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fileSharing readOnlyRecommended="1"/>
  <workbookPr filterPrivacy="1" codeName="ЭтаКнига"/>
  <xr:revisionPtr revIDLastSave="0" documentId="13_ncr:1_{DDB3F045-498E-40BD-8208-019D43F1BFC4}" xr6:coauthVersionLast="45" xr6:coauthVersionMax="45" xr10:uidLastSave="{00000000-0000-0000-0000-000000000000}"/>
  <bookViews>
    <workbookView xWindow="28680" yWindow="-120" windowWidth="29040" windowHeight="15840" tabRatio="700" activeTab="3" xr2:uid="{00000000-000D-0000-FFFF-FFFF00000000}"/>
  </bookViews>
  <sheets>
    <sheet name="декабрь 2025" sheetId="196" r:id="rId1"/>
    <sheet name="ноябрь 2025" sheetId="194" r:id="rId2"/>
    <sheet name="октябрь 2025" sheetId="192" r:id="rId3"/>
    <sheet name="сентябрь 2025" sheetId="190" r:id="rId4"/>
    <sheet name="август 2025" sheetId="188" r:id="rId5"/>
    <sheet name="июль 2025" sheetId="186" r:id="rId6"/>
    <sheet name="июнь 2025" sheetId="184" r:id="rId7"/>
    <sheet name="май 2025" sheetId="182" r:id="rId8"/>
    <sheet name="апрель 2025" sheetId="180" r:id="rId9"/>
    <sheet name="март 2025" sheetId="178" r:id="rId10"/>
    <sheet name="февраль 2025" sheetId="176" r:id="rId11"/>
    <sheet name="январь 2025" sheetId="174" r:id="rId12"/>
    <sheet name="справочник" sheetId="33" r:id="rId13"/>
    <sheet name="промеж.06" sheetId="36" state="hidden" r:id="rId14"/>
    <sheet name="промеж." sheetId="34" state="hidden" r:id="rId15"/>
    <sheet name="промеж.12.25" sheetId="197" r:id="rId16"/>
    <sheet name="промеж.11.25" sheetId="195" r:id="rId17"/>
    <sheet name="промеж.10.25" sheetId="193" r:id="rId18"/>
    <sheet name="промеж.09.25" sheetId="191" r:id="rId19"/>
    <sheet name="промеж.08.25" sheetId="189" r:id="rId20"/>
    <sheet name="промеж.07.25" sheetId="187" r:id="rId21"/>
    <sheet name="промеж.06.25" sheetId="185" r:id="rId22"/>
    <sheet name="промеж.05.25" sheetId="183" r:id="rId23"/>
    <sheet name="промеж.04.25" sheetId="181" r:id="rId24"/>
    <sheet name="промеж.03.25" sheetId="179" r:id="rId25"/>
    <sheet name="промеж.02.25" sheetId="177" r:id="rId26"/>
    <sheet name="промеж.01.25" sheetId="175" r:id="rId27"/>
  </sheets>
  <externalReferences>
    <externalReference r:id="rId28"/>
  </externalReferences>
  <definedNames>
    <definedName name="_xlnm._FilterDatabase" localSheetId="4" hidden="1">'август 2025'!$D$1:$D$65</definedName>
    <definedName name="_xlnm._FilterDatabase" localSheetId="8" hidden="1">'апрель 2025'!$D$1:$D$72</definedName>
    <definedName name="_xlnm._FilterDatabase" localSheetId="0" hidden="1">'декабрь 2025'!$O$1:$O$98</definedName>
    <definedName name="_xlnm._FilterDatabase" localSheetId="5" hidden="1">'июль 2025'!$D$1:$D$25</definedName>
    <definedName name="_xlnm._FilterDatabase" localSheetId="6" hidden="1">'июнь 2025'!$D$1:$D$58</definedName>
    <definedName name="_xlnm._FilterDatabase" localSheetId="7" hidden="1">'май 2025'!$D$1:$D$53</definedName>
    <definedName name="_xlnm._FilterDatabase" localSheetId="9" hidden="1">'март 2025'!$D$1:$D$91</definedName>
    <definedName name="_xlnm._FilterDatabase" localSheetId="1" hidden="1">'ноябрь 2025'!$D$1:$D$40</definedName>
    <definedName name="_xlnm._FilterDatabase" localSheetId="2" hidden="1">'октябрь 2025'!$D$1:$D$76</definedName>
    <definedName name="_xlnm._FilterDatabase" localSheetId="3" hidden="1">'сентябрь 2025'!$D$1:$D$89</definedName>
    <definedName name="_xlnm._FilterDatabase" localSheetId="10" hidden="1">'февраль 2025'!$D$1:$D$105</definedName>
    <definedName name="_xlnm._FilterDatabase" localSheetId="11" hidden="1">'январь 2025'!$D$1:$D$96</definedName>
    <definedName name="_xlnm.Print_Area" localSheetId="4">'август 2025'!$A$1:$R$59</definedName>
    <definedName name="_xlnm.Print_Area" localSheetId="8">'апрель 2025'!$A$1:$R$66</definedName>
    <definedName name="_xlnm.Print_Area" localSheetId="0">'декабрь 2025'!$A$1:$R$92</definedName>
    <definedName name="_xlnm.Print_Area" localSheetId="5">'июль 2025'!$A$1:$R$19</definedName>
    <definedName name="_xlnm.Print_Area" localSheetId="6">'июнь 2025'!$A$1:$R$52</definedName>
    <definedName name="_xlnm.Print_Area" localSheetId="7">'май 2025'!$A$1:$R$47</definedName>
    <definedName name="_xlnm.Print_Area" localSheetId="9">'март 2025'!$A$1:$R$85</definedName>
    <definedName name="_xlnm.Print_Area" localSheetId="1">'ноябрь 2025'!$A$1:$R$34</definedName>
    <definedName name="_xlnm.Print_Area" localSheetId="2">'октябрь 2025'!$A$1:$R$70</definedName>
    <definedName name="_xlnm.Print_Area" localSheetId="3">'сентябрь 2025'!$A$1:$R$83</definedName>
    <definedName name="_xlnm.Print_Area" localSheetId="10">'февраль 2025'!$A$1:$R$99</definedName>
    <definedName name="_xlnm.Print_Area" localSheetId="11">'январь 2025'!$A$1:$R$90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95" i="196" l="1"/>
  <c r="T91" i="196" l="1"/>
  <c r="T90" i="196" l="1"/>
  <c r="T85" i="196" l="1"/>
  <c r="T86" i="196"/>
  <c r="T87" i="196"/>
  <c r="T88" i="196"/>
  <c r="T89" i="196"/>
  <c r="T84" i="196" l="1"/>
  <c r="T81" i="196" l="1"/>
  <c r="T82" i="196"/>
  <c r="T83" i="196"/>
  <c r="T65" i="196" l="1"/>
  <c r="T66" i="196"/>
  <c r="T67" i="196"/>
  <c r="T68" i="196"/>
  <c r="T69" i="196"/>
  <c r="T70" i="196"/>
  <c r="T71" i="196"/>
  <c r="T72" i="196"/>
  <c r="T73" i="196"/>
  <c r="T74" i="196"/>
  <c r="T75" i="196"/>
  <c r="T61" i="196" l="1"/>
  <c r="T58" i="196"/>
  <c r="T59" i="196"/>
  <c r="T60" i="196"/>
  <c r="T76" i="196"/>
  <c r="T77" i="196"/>
  <c r="T80" i="196"/>
  <c r="T78" i="196"/>
  <c r="T79" i="196"/>
  <c r="T54" i="196" l="1"/>
  <c r="T55" i="196"/>
  <c r="T56" i="196"/>
  <c r="T57" i="196"/>
  <c r="T62" i="196"/>
  <c r="T63" i="196"/>
  <c r="T64" i="196"/>
  <c r="T46" i="196" l="1"/>
  <c r="T43" i="196" l="1"/>
  <c r="T40" i="196"/>
  <c r="T50" i="196" l="1"/>
  <c r="T45" i="196"/>
  <c r="T49" i="196" l="1"/>
  <c r="T47" i="196"/>
  <c r="T48" i="196"/>
  <c r="T51" i="196"/>
  <c r="T41" i="196"/>
  <c r="T42" i="196"/>
  <c r="T44" i="196"/>
  <c r="T53" i="196" l="1"/>
  <c r="T25" i="196" l="1"/>
  <c r="T26" i="196"/>
  <c r="T27" i="196"/>
  <c r="T28" i="196"/>
  <c r="T29" i="196"/>
  <c r="T30" i="196"/>
  <c r="T31" i="196"/>
  <c r="T33" i="196"/>
  <c r="T34" i="196"/>
  <c r="T38" i="196"/>
  <c r="T39" i="196"/>
  <c r="T37" i="196"/>
  <c r="T35" i="196"/>
  <c r="T36" i="196"/>
  <c r="T52" i="196"/>
  <c r="T16" i="196" l="1"/>
  <c r="T17" i="196"/>
  <c r="T18" i="196"/>
  <c r="T19" i="196"/>
  <c r="T20" i="196"/>
  <c r="T21" i="196"/>
  <c r="T32" i="196"/>
  <c r="T14" i="196" l="1"/>
  <c r="T15" i="196"/>
  <c r="T5" i="196" l="1"/>
  <c r="T6" i="196"/>
  <c r="T7" i="196"/>
  <c r="T8" i="196"/>
  <c r="T9" i="196"/>
  <c r="T10" i="196"/>
  <c r="T11" i="196"/>
  <c r="T12" i="196"/>
  <c r="T13" i="196"/>
  <c r="T22" i="196"/>
  <c r="T23" i="196"/>
  <c r="T24" i="196"/>
  <c r="T4" i="196" l="1"/>
  <c r="T92" i="196" s="1"/>
  <c r="B93" i="196"/>
  <c r="B96" i="196"/>
  <c r="B97" i="196"/>
  <c r="B94" i="196" l="1"/>
  <c r="B98" i="196" s="1"/>
  <c r="B39" i="194"/>
  <c r="D1" i="197" l="1"/>
  <c r="D172" i="197" l="1"/>
  <c r="D174" i="197"/>
  <c r="D173" i="197"/>
  <c r="D150" i="197"/>
  <c r="D63" i="197"/>
  <c r="D59" i="197"/>
  <c r="D58" i="197"/>
  <c r="D57" i="197"/>
  <c r="D64" i="197"/>
  <c r="D54" i="197"/>
  <c r="D53" i="197"/>
  <c r="D65" i="197"/>
  <c r="D60" i="197"/>
  <c r="D55" i="197"/>
  <c r="D62" i="197"/>
  <c r="D52" i="197"/>
  <c r="D66" i="197"/>
  <c r="D56" i="197"/>
  <c r="D61" i="197"/>
  <c r="E1" i="197"/>
  <c r="D170" i="197"/>
  <c r="D161" i="197"/>
  <c r="D157" i="197"/>
  <c r="D149" i="197"/>
  <c r="E168" i="197"/>
  <c r="D167" i="197"/>
  <c r="E163" i="197"/>
  <c r="D162" i="197"/>
  <c r="E158" i="197"/>
  <c r="E151" i="197"/>
  <c r="E171" i="197"/>
  <c r="D5" i="197"/>
  <c r="D9" i="197"/>
  <c r="D13" i="197"/>
  <c r="D4" i="197"/>
  <c r="D6" i="197"/>
  <c r="D11" i="197"/>
  <c r="D16" i="197"/>
  <c r="D20" i="197"/>
  <c r="D24" i="197"/>
  <c r="D28" i="197"/>
  <c r="D8" i="197"/>
  <c r="D18" i="197"/>
  <c r="D7" i="197"/>
  <c r="D14" i="197"/>
  <c r="D17" i="197"/>
  <c r="D19" i="197"/>
  <c r="D27" i="197"/>
  <c r="D12" i="197"/>
  <c r="D21" i="197"/>
  <c r="D30" i="197"/>
  <c r="D29" i="197"/>
  <c r="D25" i="197"/>
  <c r="D32" i="197"/>
  <c r="D33" i="197"/>
  <c r="D37" i="197"/>
  <c r="D41" i="197"/>
  <c r="D45" i="197"/>
  <c r="D49" i="197"/>
  <c r="D10" i="197"/>
  <c r="D22" i="197"/>
  <c r="D31" i="197"/>
  <c r="D34" i="197"/>
  <c r="D39" i="197"/>
  <c r="D44" i="197"/>
  <c r="D23" i="197"/>
  <c r="D40" i="197"/>
  <c r="D43" i="197"/>
  <c r="D50" i="197"/>
  <c r="D15" i="197"/>
  <c r="D35" i="197"/>
  <c r="D38" i="197"/>
  <c r="D46" i="197"/>
  <c r="D26" i="197"/>
  <c r="D36" i="197"/>
  <c r="D47" i="197"/>
  <c r="D42" i="197"/>
  <c r="D48" i="197"/>
  <c r="D51" i="197"/>
  <c r="D68" i="197"/>
  <c r="D72" i="197"/>
  <c r="D76" i="197"/>
  <c r="D80" i="197"/>
  <c r="D84" i="197"/>
  <c r="D88" i="197"/>
  <c r="D67" i="197"/>
  <c r="D71" i="197"/>
  <c r="D75" i="197"/>
  <c r="D79" i="197"/>
  <c r="D83" i="197"/>
  <c r="D87" i="197"/>
  <c r="D91" i="197"/>
  <c r="D95" i="197"/>
  <c r="D99" i="197"/>
  <c r="D103" i="197"/>
  <c r="D70" i="197"/>
  <c r="D74" i="197"/>
  <c r="D78" i="197"/>
  <c r="D82" i="197"/>
  <c r="D86" i="197"/>
  <c r="D90" i="197"/>
  <c r="D69" i="197"/>
  <c r="D73" i="197"/>
  <c r="D77" i="197"/>
  <c r="D81" i="197"/>
  <c r="D96" i="197"/>
  <c r="D101" i="197"/>
  <c r="D107" i="197"/>
  <c r="D111" i="197"/>
  <c r="D94" i="197"/>
  <c r="D100" i="197"/>
  <c r="D93" i="197"/>
  <c r="D98" i="197"/>
  <c r="D85" i="197"/>
  <c r="D89" i="197"/>
  <c r="D92" i="197"/>
  <c r="D97" i="197"/>
  <c r="D102" i="197"/>
  <c r="D104" i="197"/>
  <c r="D108" i="197"/>
  <c r="D112" i="197"/>
  <c r="D116" i="197"/>
  <c r="D120" i="197"/>
  <c r="D124" i="197"/>
  <c r="D128" i="197"/>
  <c r="D132" i="197"/>
  <c r="D106" i="197"/>
  <c r="D114" i="197"/>
  <c r="D119" i="197"/>
  <c r="D125" i="197"/>
  <c r="D130" i="197"/>
  <c r="D135" i="197"/>
  <c r="D139" i="197"/>
  <c r="D143" i="197"/>
  <c r="D147" i="197"/>
  <c r="D151" i="197"/>
  <c r="D155" i="197"/>
  <c r="D105" i="197"/>
  <c r="D113" i="197"/>
  <c r="D118" i="197"/>
  <c r="D123" i="197"/>
  <c r="D129" i="197"/>
  <c r="D134" i="197"/>
  <c r="D138" i="197"/>
  <c r="D142" i="197"/>
  <c r="D146" i="197"/>
  <c r="D110" i="197"/>
  <c r="D117" i="197"/>
  <c r="D122" i="197"/>
  <c r="D127" i="197"/>
  <c r="D133" i="197"/>
  <c r="D137" i="197"/>
  <c r="D141" i="197"/>
  <c r="D145" i="197"/>
  <c r="D109" i="197"/>
  <c r="D115" i="197"/>
  <c r="D121" i="197"/>
  <c r="D126" i="197"/>
  <c r="D131" i="197"/>
  <c r="D136" i="197"/>
  <c r="D140" i="197"/>
  <c r="D144" i="197"/>
  <c r="D148" i="197"/>
  <c r="D152" i="197"/>
  <c r="D156" i="197"/>
  <c r="D160" i="197"/>
  <c r="D164" i="197"/>
  <c r="D168" i="197"/>
  <c r="D3" i="197"/>
  <c r="E3" i="197"/>
  <c r="E170" i="197"/>
  <c r="D169" i="197"/>
  <c r="E164" i="197"/>
  <c r="D163" i="197"/>
  <c r="E159" i="197"/>
  <c r="D158" i="197"/>
  <c r="D153" i="197"/>
  <c r="E6" i="197"/>
  <c r="E10" i="197"/>
  <c r="E14" i="197"/>
  <c r="E5" i="197"/>
  <c r="E7" i="197"/>
  <c r="E12" i="197"/>
  <c r="E17" i="197"/>
  <c r="E21" i="197"/>
  <c r="E25" i="197"/>
  <c r="E4" i="197"/>
  <c r="E13" i="197"/>
  <c r="E19" i="197"/>
  <c r="E8" i="197"/>
  <c r="E11" i="197"/>
  <c r="E18" i="197"/>
  <c r="E20" i="197"/>
  <c r="E23" i="197"/>
  <c r="E28" i="197"/>
  <c r="E9" i="197"/>
  <c r="E15" i="197"/>
  <c r="E16" i="197"/>
  <c r="E26" i="197"/>
  <c r="E31" i="197"/>
  <c r="E24" i="197"/>
  <c r="E27" i="197"/>
  <c r="E30" i="197"/>
  <c r="E29" i="197"/>
  <c r="E34" i="197"/>
  <c r="E38" i="197"/>
  <c r="E42" i="197"/>
  <c r="E46" i="197"/>
  <c r="E32" i="197"/>
  <c r="E35" i="197"/>
  <c r="E40" i="197"/>
  <c r="E45" i="197"/>
  <c r="E50" i="197"/>
  <c r="E37" i="197"/>
  <c r="E48" i="197"/>
  <c r="E51" i="197"/>
  <c r="E43" i="197"/>
  <c r="E49" i="197"/>
  <c r="E33" i="197"/>
  <c r="E41" i="197"/>
  <c r="E44" i="197"/>
  <c r="E22" i="197"/>
  <c r="E36" i="197"/>
  <c r="E39" i="197"/>
  <c r="E47" i="197"/>
  <c r="E69" i="197"/>
  <c r="E73" i="197"/>
  <c r="E77" i="197"/>
  <c r="E81" i="197"/>
  <c r="E85" i="197"/>
  <c r="E68" i="197"/>
  <c r="E72" i="197"/>
  <c r="E76" i="197"/>
  <c r="E80" i="197"/>
  <c r="E84" i="197"/>
  <c r="E88" i="197"/>
  <c r="E92" i="197"/>
  <c r="E96" i="197"/>
  <c r="E100" i="197"/>
  <c r="E67" i="197"/>
  <c r="E71" i="197"/>
  <c r="E75" i="197"/>
  <c r="E79" i="197"/>
  <c r="E83" i="197"/>
  <c r="E87" i="197"/>
  <c r="E91" i="197"/>
  <c r="E70" i="197"/>
  <c r="E74" i="197"/>
  <c r="E78" i="197"/>
  <c r="E82" i="197"/>
  <c r="E89" i="197"/>
  <c r="E97" i="197"/>
  <c r="E102" i="197"/>
  <c r="E104" i="197"/>
  <c r="E108" i="197"/>
  <c r="E95" i="197"/>
  <c r="E101" i="197"/>
  <c r="E94" i="197"/>
  <c r="E99" i="197"/>
  <c r="E86" i="197"/>
  <c r="E90" i="197"/>
  <c r="E93" i="197"/>
  <c r="E98" i="197"/>
  <c r="E103" i="197"/>
  <c r="E105" i="197"/>
  <c r="E109" i="197"/>
  <c r="E113" i="197"/>
  <c r="E117" i="197"/>
  <c r="E121" i="197"/>
  <c r="E125" i="197"/>
  <c r="E129" i="197"/>
  <c r="E133" i="197"/>
  <c r="E107" i="197"/>
  <c r="E115" i="197"/>
  <c r="E120" i="197"/>
  <c r="E126" i="197"/>
  <c r="E131" i="197"/>
  <c r="E136" i="197"/>
  <c r="E140" i="197"/>
  <c r="E144" i="197"/>
  <c r="E148" i="197"/>
  <c r="E152" i="197"/>
  <c r="E156" i="197"/>
  <c r="E106" i="197"/>
  <c r="E114" i="197"/>
  <c r="E119" i="197"/>
  <c r="E124" i="197"/>
  <c r="E130" i="197"/>
  <c r="E135" i="197"/>
  <c r="E139" i="197"/>
  <c r="E143" i="197"/>
  <c r="E147" i="197"/>
  <c r="E111" i="197"/>
  <c r="E112" i="197"/>
  <c r="E118" i="197"/>
  <c r="E123" i="197"/>
  <c r="E128" i="197"/>
  <c r="E134" i="197"/>
  <c r="E138" i="197"/>
  <c r="E142" i="197"/>
  <c r="E146" i="197"/>
  <c r="E110" i="197"/>
  <c r="E116" i="197"/>
  <c r="E122" i="197"/>
  <c r="E127" i="197"/>
  <c r="E132" i="197"/>
  <c r="E137" i="197"/>
  <c r="E141" i="197"/>
  <c r="E145" i="197"/>
  <c r="E149" i="197"/>
  <c r="E153" i="197"/>
  <c r="E157" i="197"/>
  <c r="E161" i="197"/>
  <c r="E165" i="197"/>
  <c r="E169" i="197"/>
  <c r="E166" i="197"/>
  <c r="D165" i="197"/>
  <c r="E160" i="197"/>
  <c r="D159" i="197"/>
  <c r="E155" i="197"/>
  <c r="D154" i="197"/>
  <c r="D171" i="197"/>
  <c r="E167" i="197"/>
  <c r="D166" i="197"/>
  <c r="D176" i="197"/>
  <c r="D177" i="197"/>
  <c r="D175" i="197"/>
  <c r="E177" i="197"/>
  <c r="E175" i="197"/>
  <c r="E176" i="197"/>
  <c r="F1" i="197"/>
  <c r="E162" i="197" l="1"/>
  <c r="E172" i="197"/>
  <c r="E174" i="197"/>
  <c r="E173" i="197"/>
  <c r="F172" i="197"/>
  <c r="F174" i="197"/>
  <c r="F173" i="197"/>
  <c r="F61" i="197"/>
  <c r="F52" i="197"/>
  <c r="F56" i="197"/>
  <c r="F55" i="197"/>
  <c r="F63" i="197"/>
  <c r="F57" i="197"/>
  <c r="F58" i="197"/>
  <c r="F62" i="197"/>
  <c r="F53" i="197"/>
  <c r="F65" i="197"/>
  <c r="F60" i="197"/>
  <c r="F64" i="197"/>
  <c r="F59" i="197"/>
  <c r="F66" i="197"/>
  <c r="F54" i="197"/>
  <c r="E150" i="197"/>
  <c r="E154" i="197"/>
  <c r="E56" i="197"/>
  <c r="E52" i="197"/>
  <c r="E63" i="197"/>
  <c r="E54" i="197"/>
  <c r="E58" i="197"/>
  <c r="E57" i="197"/>
  <c r="E64" i="197"/>
  <c r="E53" i="197"/>
  <c r="E65" i="197"/>
  <c r="E55" i="197"/>
  <c r="E62" i="197"/>
  <c r="E60" i="197"/>
  <c r="E59" i="197"/>
  <c r="E66" i="197"/>
  <c r="E61" i="197"/>
  <c r="F7" i="197"/>
  <c r="F11" i="197"/>
  <c r="F6" i="197"/>
  <c r="F8" i="197"/>
  <c r="F13" i="197"/>
  <c r="F18" i="197"/>
  <c r="F22" i="197"/>
  <c r="F26" i="197"/>
  <c r="F5" i="197"/>
  <c r="F10" i="197"/>
  <c r="F15" i="197"/>
  <c r="F20" i="197"/>
  <c r="F19" i="197"/>
  <c r="F12" i="197"/>
  <c r="F21" i="197"/>
  <c r="F24" i="197"/>
  <c r="F4" i="197"/>
  <c r="F23" i="197"/>
  <c r="F32" i="197"/>
  <c r="F9" i="197"/>
  <c r="F14" i="197"/>
  <c r="F16" i="197"/>
  <c r="F17" i="197"/>
  <c r="F31" i="197"/>
  <c r="F35" i="197"/>
  <c r="F39" i="197"/>
  <c r="F43" i="197"/>
  <c r="F47" i="197"/>
  <c r="F25" i="197"/>
  <c r="F28" i="197"/>
  <c r="F36" i="197"/>
  <c r="F41" i="197"/>
  <c r="F46" i="197"/>
  <c r="F51" i="197"/>
  <c r="F34" i="197"/>
  <c r="F42" i="197"/>
  <c r="F45" i="197"/>
  <c r="F30" i="197"/>
  <c r="F37" i="197"/>
  <c r="F40" i="197"/>
  <c r="F48" i="197"/>
  <c r="F50" i="197"/>
  <c r="F29" i="197"/>
  <c r="F38" i="197"/>
  <c r="F49" i="197"/>
  <c r="F27" i="197"/>
  <c r="F33" i="197"/>
  <c r="F44" i="197"/>
  <c r="F70" i="197"/>
  <c r="F74" i="197"/>
  <c r="F78" i="197"/>
  <c r="F82" i="197"/>
  <c r="F86" i="197"/>
  <c r="F69" i="197"/>
  <c r="F73" i="197"/>
  <c r="F77" i="197"/>
  <c r="F81" i="197"/>
  <c r="F85" i="197"/>
  <c r="F89" i="197"/>
  <c r="F93" i="197"/>
  <c r="F97" i="197"/>
  <c r="F101" i="197"/>
  <c r="F68" i="197"/>
  <c r="F72" i="197"/>
  <c r="F76" i="197"/>
  <c r="F80" i="197"/>
  <c r="F84" i="197"/>
  <c r="F88" i="197"/>
  <c r="F67" i="197"/>
  <c r="F71" i="197"/>
  <c r="F75" i="197"/>
  <c r="F79" i="197"/>
  <c r="F83" i="197"/>
  <c r="F90" i="197"/>
  <c r="F92" i="197"/>
  <c r="F98" i="197"/>
  <c r="F103" i="197"/>
  <c r="F105" i="197"/>
  <c r="F109" i="197"/>
  <c r="F96" i="197"/>
  <c r="F102" i="197"/>
  <c r="F95" i="197"/>
  <c r="F100" i="197"/>
  <c r="F87" i="197"/>
  <c r="F91" i="197"/>
  <c r="F94" i="197"/>
  <c r="F99" i="197"/>
  <c r="F106" i="197"/>
  <c r="F110" i="197"/>
  <c r="F114" i="197"/>
  <c r="F118" i="197"/>
  <c r="F122" i="197"/>
  <c r="F126" i="197"/>
  <c r="F130" i="197"/>
  <c r="F134" i="197"/>
  <c r="F104" i="197"/>
  <c r="F108" i="197"/>
  <c r="F116" i="197"/>
  <c r="F121" i="197"/>
  <c r="F127" i="197"/>
  <c r="F132" i="197"/>
  <c r="F137" i="197"/>
  <c r="F141" i="197"/>
  <c r="F145" i="197"/>
  <c r="F149" i="197"/>
  <c r="F153" i="197"/>
  <c r="F157" i="197"/>
  <c r="F107" i="197"/>
  <c r="F115" i="197"/>
  <c r="F120" i="197"/>
  <c r="F125" i="197"/>
  <c r="F131" i="197"/>
  <c r="F136" i="197"/>
  <c r="F140" i="197"/>
  <c r="F144" i="197"/>
  <c r="F113" i="197"/>
  <c r="F119" i="197"/>
  <c r="F124" i="197"/>
  <c r="F129" i="197"/>
  <c r="F135" i="197"/>
  <c r="F139" i="197"/>
  <c r="F143" i="197"/>
  <c r="F147" i="197"/>
  <c r="F111" i="197"/>
  <c r="F112" i="197"/>
  <c r="F117" i="197"/>
  <c r="F123" i="197"/>
  <c r="F128" i="197"/>
  <c r="F133" i="197"/>
  <c r="F138" i="197"/>
  <c r="F142" i="197"/>
  <c r="F146" i="197"/>
  <c r="F150" i="197"/>
  <c r="F154" i="197"/>
  <c r="F158" i="197"/>
  <c r="F162" i="197"/>
  <c r="F166" i="197"/>
  <c r="F170" i="197"/>
  <c r="F163" i="197"/>
  <c r="F156" i="197"/>
  <c r="F161" i="197"/>
  <c r="F167" i="197"/>
  <c r="F155" i="197"/>
  <c r="F160" i="197"/>
  <c r="F165" i="197"/>
  <c r="F171" i="197"/>
  <c r="F152" i="197"/>
  <c r="F159" i="197"/>
  <c r="F164" i="197"/>
  <c r="F169" i="197"/>
  <c r="F3" i="197"/>
  <c r="F148" i="197"/>
  <c r="F151" i="197"/>
  <c r="F168" i="197"/>
  <c r="F176" i="197"/>
  <c r="F175" i="197"/>
  <c r="F177" i="197"/>
  <c r="G1" i="197"/>
  <c r="G172" i="197" l="1"/>
  <c r="G174" i="197"/>
  <c r="G173" i="197"/>
  <c r="G54" i="197"/>
  <c r="G66" i="197"/>
  <c r="G65" i="197"/>
  <c r="G61" i="197"/>
  <c r="G55" i="197"/>
  <c r="G62" i="197"/>
  <c r="G57" i="197"/>
  <c r="G56" i="197"/>
  <c r="G63" i="197"/>
  <c r="G53" i="197"/>
  <c r="G60" i="197"/>
  <c r="G58" i="197"/>
  <c r="G59" i="197"/>
  <c r="G52" i="197"/>
  <c r="G64" i="197"/>
  <c r="G4" i="197"/>
  <c r="G8" i="197"/>
  <c r="G12" i="197"/>
  <c r="G7" i="197"/>
  <c r="G9" i="197"/>
  <c r="G14" i="197"/>
  <c r="G15" i="197"/>
  <c r="G19" i="197"/>
  <c r="G23" i="197"/>
  <c r="G27" i="197"/>
  <c r="G6" i="197"/>
  <c r="G16" i="197"/>
  <c r="G21" i="197"/>
  <c r="G10" i="197"/>
  <c r="G13" i="197"/>
  <c r="G20" i="197"/>
  <c r="G25" i="197"/>
  <c r="G29" i="197"/>
  <c r="G22" i="197"/>
  <c r="G28" i="197"/>
  <c r="G26" i="197"/>
  <c r="G32" i="197"/>
  <c r="G5" i="197"/>
  <c r="G11" i="197"/>
  <c r="G17" i="197"/>
  <c r="G18" i="197"/>
  <c r="G24" i="197"/>
  <c r="G36" i="197"/>
  <c r="G40" i="197"/>
  <c r="G44" i="197"/>
  <c r="G48" i="197"/>
  <c r="G37" i="197"/>
  <c r="G42" i="197"/>
  <c r="G47" i="197"/>
  <c r="G33" i="197"/>
  <c r="G39" i="197"/>
  <c r="G34" i="197"/>
  <c r="G45" i="197"/>
  <c r="G51" i="197"/>
  <c r="G30" i="197"/>
  <c r="G31" i="197"/>
  <c r="G35" i="197"/>
  <c r="G43" i="197"/>
  <c r="G46" i="197"/>
  <c r="G50" i="197"/>
  <c r="G38" i="197"/>
  <c r="G41" i="197"/>
  <c r="G49" i="197"/>
  <c r="G67" i="197"/>
  <c r="G71" i="197"/>
  <c r="G75" i="197"/>
  <c r="G79" i="197"/>
  <c r="G83" i="197"/>
  <c r="G87" i="197"/>
  <c r="G70" i="197"/>
  <c r="G74" i="197"/>
  <c r="G78" i="197"/>
  <c r="G82" i="197"/>
  <c r="G86" i="197"/>
  <c r="G90" i="197"/>
  <c r="G94" i="197"/>
  <c r="G98" i="197"/>
  <c r="G102" i="197"/>
  <c r="G69" i="197"/>
  <c r="G73" i="197"/>
  <c r="G77" i="197"/>
  <c r="G81" i="197"/>
  <c r="G85" i="197"/>
  <c r="G89" i="197"/>
  <c r="G68" i="197"/>
  <c r="G72" i="197"/>
  <c r="G76" i="197"/>
  <c r="G80" i="197"/>
  <c r="G84" i="197"/>
  <c r="G91" i="197"/>
  <c r="G93" i="197"/>
  <c r="G99" i="197"/>
  <c r="G106" i="197"/>
  <c r="G110" i="197"/>
  <c r="G92" i="197"/>
  <c r="G97" i="197"/>
  <c r="G103" i="197"/>
  <c r="G96" i="197"/>
  <c r="G101" i="197"/>
  <c r="G104" i="197"/>
  <c r="G88" i="197"/>
  <c r="G95" i="197"/>
  <c r="G100" i="197"/>
  <c r="G107" i="197"/>
  <c r="G111" i="197"/>
  <c r="G115" i="197"/>
  <c r="G119" i="197"/>
  <c r="G123" i="197"/>
  <c r="G127" i="197"/>
  <c r="G131" i="197"/>
  <c r="G109" i="197"/>
  <c r="G112" i="197"/>
  <c r="G117" i="197"/>
  <c r="G122" i="197"/>
  <c r="G128" i="197"/>
  <c r="G133" i="197"/>
  <c r="G138" i="197"/>
  <c r="G142" i="197"/>
  <c r="G146" i="197"/>
  <c r="G150" i="197"/>
  <c r="G154" i="197"/>
  <c r="G108" i="197"/>
  <c r="G116" i="197"/>
  <c r="G121" i="197"/>
  <c r="G126" i="197"/>
  <c r="G132" i="197"/>
  <c r="G137" i="197"/>
  <c r="G141" i="197"/>
  <c r="G145" i="197"/>
  <c r="G105" i="197"/>
  <c r="G114" i="197"/>
  <c r="G120" i="197"/>
  <c r="G125" i="197"/>
  <c r="G130" i="197"/>
  <c r="G136" i="197"/>
  <c r="G140" i="197"/>
  <c r="G144" i="197"/>
  <c r="G148" i="197"/>
  <c r="G113" i="197"/>
  <c r="G118" i="197"/>
  <c r="G124" i="197"/>
  <c r="G129" i="197"/>
  <c r="G134" i="197"/>
  <c r="G135" i="197"/>
  <c r="G139" i="197"/>
  <c r="G143" i="197"/>
  <c r="G147" i="197"/>
  <c r="G151" i="197"/>
  <c r="G155" i="197"/>
  <c r="G159" i="197"/>
  <c r="G163" i="197"/>
  <c r="G167" i="197"/>
  <c r="G171" i="197"/>
  <c r="G3" i="197"/>
  <c r="G169" i="197"/>
  <c r="G149" i="197"/>
  <c r="G157" i="197"/>
  <c r="G162" i="197"/>
  <c r="G168" i="197"/>
  <c r="G156" i="197"/>
  <c r="G161" i="197"/>
  <c r="G166" i="197"/>
  <c r="G153" i="197"/>
  <c r="G160" i="197"/>
  <c r="G165" i="197"/>
  <c r="G170" i="197"/>
  <c r="G152" i="197"/>
  <c r="G158" i="197"/>
  <c r="G164" i="197"/>
  <c r="G175" i="197"/>
  <c r="G177" i="197"/>
  <c r="G176" i="197"/>
  <c r="H1" i="197"/>
  <c r="H172" i="197" l="1"/>
  <c r="H174" i="197"/>
  <c r="H173" i="197"/>
  <c r="H59" i="197"/>
  <c r="H65" i="197"/>
  <c r="H62" i="197"/>
  <c r="H54" i="197"/>
  <c r="H66" i="197"/>
  <c r="H60" i="197"/>
  <c r="H55" i="197"/>
  <c r="H61" i="197"/>
  <c r="H56" i="197"/>
  <c r="H63" i="197"/>
  <c r="H58" i="197"/>
  <c r="H53" i="197"/>
  <c r="H64" i="197"/>
  <c r="H57" i="197"/>
  <c r="H52" i="197"/>
  <c r="H5" i="197"/>
  <c r="H9" i="197"/>
  <c r="H13" i="197"/>
  <c r="H4" i="197"/>
  <c r="H10" i="197"/>
  <c r="H16" i="197"/>
  <c r="H20" i="197"/>
  <c r="H24" i="197"/>
  <c r="H28" i="197"/>
  <c r="H7" i="197"/>
  <c r="H12" i="197"/>
  <c r="H17" i="197"/>
  <c r="H22" i="197"/>
  <c r="H15" i="197"/>
  <c r="H21" i="197"/>
  <c r="H11" i="197"/>
  <c r="H26" i="197"/>
  <c r="H6" i="197"/>
  <c r="H25" i="197"/>
  <c r="H29" i="197"/>
  <c r="H30" i="197"/>
  <c r="H23" i="197"/>
  <c r="H8" i="197"/>
  <c r="H14" i="197"/>
  <c r="H33" i="197"/>
  <c r="H37" i="197"/>
  <c r="H41" i="197"/>
  <c r="H45" i="197"/>
  <c r="H38" i="197"/>
  <c r="H43" i="197"/>
  <c r="H48" i="197"/>
  <c r="H49" i="197"/>
  <c r="H27" i="197"/>
  <c r="H36" i="197"/>
  <c r="H44" i="197"/>
  <c r="H47" i="197"/>
  <c r="H18" i="197"/>
  <c r="H39" i="197"/>
  <c r="H42" i="197"/>
  <c r="H34" i="197"/>
  <c r="H40" i="197"/>
  <c r="H51" i="197"/>
  <c r="H19" i="197"/>
  <c r="H31" i="197"/>
  <c r="H32" i="197"/>
  <c r="H35" i="197"/>
  <c r="H46" i="197"/>
  <c r="H50" i="197"/>
  <c r="H68" i="197"/>
  <c r="H72" i="197"/>
  <c r="H76" i="197"/>
  <c r="H80" i="197"/>
  <c r="H84" i="197"/>
  <c r="H88" i="197"/>
  <c r="H67" i="197"/>
  <c r="H71" i="197"/>
  <c r="H75" i="197"/>
  <c r="H79" i="197"/>
  <c r="H83" i="197"/>
  <c r="H87" i="197"/>
  <c r="H91" i="197"/>
  <c r="H95" i="197"/>
  <c r="H99" i="197"/>
  <c r="H103" i="197"/>
  <c r="H70" i="197"/>
  <c r="H74" i="197"/>
  <c r="H78" i="197"/>
  <c r="H82" i="197"/>
  <c r="H86" i="197"/>
  <c r="H90" i="197"/>
  <c r="H69" i="197"/>
  <c r="H73" i="197"/>
  <c r="H77" i="197"/>
  <c r="H85" i="197"/>
  <c r="H94" i="197"/>
  <c r="H100" i="197"/>
  <c r="H107" i="197"/>
  <c r="H111" i="197"/>
  <c r="H81" i="197"/>
  <c r="H89" i="197"/>
  <c r="H93" i="197"/>
  <c r="H98" i="197"/>
  <c r="H92" i="197"/>
  <c r="H97" i="197"/>
  <c r="H102" i="197"/>
  <c r="H96" i="197"/>
  <c r="H101" i="197"/>
  <c r="H104" i="197"/>
  <c r="H108" i="197"/>
  <c r="H112" i="197"/>
  <c r="H116" i="197"/>
  <c r="H120" i="197"/>
  <c r="H124" i="197"/>
  <c r="H128" i="197"/>
  <c r="H132" i="197"/>
  <c r="H110" i="197"/>
  <c r="H113" i="197"/>
  <c r="H118" i="197"/>
  <c r="H123" i="197"/>
  <c r="H129" i="197"/>
  <c r="H134" i="197"/>
  <c r="H135" i="197"/>
  <c r="H139" i="197"/>
  <c r="H143" i="197"/>
  <c r="H147" i="197"/>
  <c r="H151" i="197"/>
  <c r="H155" i="197"/>
  <c r="H109" i="197"/>
  <c r="H117" i="197"/>
  <c r="H122" i="197"/>
  <c r="H127" i="197"/>
  <c r="H133" i="197"/>
  <c r="H138" i="197"/>
  <c r="H142" i="197"/>
  <c r="H146" i="197"/>
  <c r="H106" i="197"/>
  <c r="H115" i="197"/>
  <c r="H121" i="197"/>
  <c r="H126" i="197"/>
  <c r="H131" i="197"/>
  <c r="H137" i="197"/>
  <c r="H141" i="197"/>
  <c r="H145" i="197"/>
  <c r="H105" i="197"/>
  <c r="H114" i="197"/>
  <c r="H119" i="197"/>
  <c r="H125" i="197"/>
  <c r="H130" i="197"/>
  <c r="H136" i="197"/>
  <c r="H140" i="197"/>
  <c r="H144" i="197"/>
  <c r="H148" i="197"/>
  <c r="H152" i="197"/>
  <c r="H156" i="197"/>
  <c r="H160" i="197"/>
  <c r="H164" i="197"/>
  <c r="H168" i="197"/>
  <c r="H153" i="197"/>
  <c r="H159" i="197"/>
  <c r="H3" i="197"/>
  <c r="H150" i="197"/>
  <c r="H158" i="197"/>
  <c r="H163" i="197"/>
  <c r="H149" i="197"/>
  <c r="H157" i="197"/>
  <c r="H162" i="197"/>
  <c r="H167" i="197"/>
  <c r="H154" i="197"/>
  <c r="H161" i="197"/>
  <c r="H166" i="197"/>
  <c r="H171" i="197"/>
  <c r="H165" i="197"/>
  <c r="H170" i="197"/>
  <c r="H169" i="197"/>
  <c r="H176" i="197"/>
  <c r="H175" i="197"/>
  <c r="H177" i="197"/>
  <c r="I1" i="197"/>
  <c r="T33" i="194"/>
  <c r="I173" i="197" l="1"/>
  <c r="I172" i="197"/>
  <c r="I174" i="197"/>
  <c r="I52" i="197"/>
  <c r="I64" i="197"/>
  <c r="I63" i="197"/>
  <c r="I59" i="197"/>
  <c r="I54" i="197"/>
  <c r="I66" i="197"/>
  <c r="I53" i="197"/>
  <c r="I61" i="197"/>
  <c r="I58" i="197"/>
  <c r="I56" i="197"/>
  <c r="I65" i="197"/>
  <c r="I60" i="197"/>
  <c r="I55" i="197"/>
  <c r="I57" i="197"/>
  <c r="I62" i="197"/>
  <c r="I6" i="197"/>
  <c r="I10" i="197"/>
  <c r="I14" i="197"/>
  <c r="I4" i="197"/>
  <c r="I5" i="197"/>
  <c r="I11" i="197"/>
  <c r="I17" i="197"/>
  <c r="I21" i="197"/>
  <c r="I25" i="197"/>
  <c r="I9" i="197"/>
  <c r="I18" i="197"/>
  <c r="I12" i="197"/>
  <c r="I16" i="197"/>
  <c r="I7" i="197"/>
  <c r="I22" i="197"/>
  <c r="I27" i="197"/>
  <c r="I19" i="197"/>
  <c r="I20" i="197"/>
  <c r="I31" i="197"/>
  <c r="I15" i="197"/>
  <c r="I28" i="197"/>
  <c r="I29" i="197"/>
  <c r="I30" i="197"/>
  <c r="I8" i="197"/>
  <c r="I23" i="197"/>
  <c r="I34" i="197"/>
  <c r="I38" i="197"/>
  <c r="I42" i="197"/>
  <c r="I46" i="197"/>
  <c r="I13" i="197"/>
  <c r="I33" i="197"/>
  <c r="I39" i="197"/>
  <c r="I44" i="197"/>
  <c r="I50" i="197"/>
  <c r="I32" i="197"/>
  <c r="I35" i="197"/>
  <c r="I41" i="197"/>
  <c r="I49" i="197"/>
  <c r="I24" i="197"/>
  <c r="I36" i="197"/>
  <c r="I47" i="197"/>
  <c r="I37" i="197"/>
  <c r="I45" i="197"/>
  <c r="I48" i="197"/>
  <c r="I26" i="197"/>
  <c r="I40" i="197"/>
  <c r="I43" i="197"/>
  <c r="I69" i="197"/>
  <c r="I73" i="197"/>
  <c r="I77" i="197"/>
  <c r="I81" i="197"/>
  <c r="I85" i="197"/>
  <c r="I51" i="197"/>
  <c r="I68" i="197"/>
  <c r="I72" i="197"/>
  <c r="I76" i="197"/>
  <c r="I80" i="197"/>
  <c r="I84" i="197"/>
  <c r="I88" i="197"/>
  <c r="I92" i="197"/>
  <c r="I96" i="197"/>
  <c r="I100" i="197"/>
  <c r="I67" i="197"/>
  <c r="I71" i="197"/>
  <c r="I75" i="197"/>
  <c r="I79" i="197"/>
  <c r="I83" i="197"/>
  <c r="I87" i="197"/>
  <c r="I91" i="197"/>
  <c r="I70" i="197"/>
  <c r="I74" i="197"/>
  <c r="I78" i="197"/>
  <c r="I86" i="197"/>
  <c r="I95" i="197"/>
  <c r="I101" i="197"/>
  <c r="I104" i="197"/>
  <c r="I108" i="197"/>
  <c r="I82" i="197"/>
  <c r="I90" i="197"/>
  <c r="I94" i="197"/>
  <c r="I99" i="197"/>
  <c r="I89" i="197"/>
  <c r="I93" i="197"/>
  <c r="I98" i="197"/>
  <c r="I103" i="197"/>
  <c r="I97" i="197"/>
  <c r="I102" i="197"/>
  <c r="I105" i="197"/>
  <c r="I109" i="197"/>
  <c r="I113" i="197"/>
  <c r="I117" i="197"/>
  <c r="I121" i="197"/>
  <c r="I125" i="197"/>
  <c r="I129" i="197"/>
  <c r="I133" i="197"/>
  <c r="I111" i="197"/>
  <c r="I114" i="197"/>
  <c r="I119" i="197"/>
  <c r="I124" i="197"/>
  <c r="I130" i="197"/>
  <c r="I136" i="197"/>
  <c r="I140" i="197"/>
  <c r="I144" i="197"/>
  <c r="I148" i="197"/>
  <c r="I152" i="197"/>
  <c r="I156" i="197"/>
  <c r="I110" i="197"/>
  <c r="I112" i="197"/>
  <c r="I118" i="197"/>
  <c r="I123" i="197"/>
  <c r="I128" i="197"/>
  <c r="I134" i="197"/>
  <c r="I135" i="197"/>
  <c r="I139" i="197"/>
  <c r="I143" i="197"/>
  <c r="I147" i="197"/>
  <c r="I107" i="197"/>
  <c r="I116" i="197"/>
  <c r="I122" i="197"/>
  <c r="I127" i="197"/>
  <c r="I132" i="197"/>
  <c r="I138" i="197"/>
  <c r="I142" i="197"/>
  <c r="I146" i="197"/>
  <c r="I106" i="197"/>
  <c r="I115" i="197"/>
  <c r="I120" i="197"/>
  <c r="I126" i="197"/>
  <c r="I131" i="197"/>
  <c r="I137" i="197"/>
  <c r="I141" i="197"/>
  <c r="I145" i="197"/>
  <c r="I149" i="197"/>
  <c r="I153" i="197"/>
  <c r="I157" i="197"/>
  <c r="I161" i="197"/>
  <c r="I165" i="197"/>
  <c r="I169" i="197"/>
  <c r="I154" i="197"/>
  <c r="I160" i="197"/>
  <c r="I170" i="197"/>
  <c r="I151" i="197"/>
  <c r="I159" i="197"/>
  <c r="I164" i="197"/>
  <c r="I150" i="197"/>
  <c r="I158" i="197"/>
  <c r="I163" i="197"/>
  <c r="I168" i="197"/>
  <c r="I3" i="197"/>
  <c r="I155" i="197"/>
  <c r="I162" i="197"/>
  <c r="I167" i="197"/>
  <c r="I166" i="197"/>
  <c r="I171" i="197"/>
  <c r="I177" i="197"/>
  <c r="I175" i="197"/>
  <c r="I176" i="197"/>
  <c r="J1" i="197"/>
  <c r="T31" i="194"/>
  <c r="T32" i="194"/>
  <c r="J173" i="197" l="1"/>
  <c r="J172" i="197"/>
  <c r="J174" i="197"/>
  <c r="J57" i="197"/>
  <c r="J63" i="197"/>
  <c r="J58" i="197"/>
  <c r="J52" i="197"/>
  <c r="J64" i="197"/>
  <c r="J56" i="197"/>
  <c r="J59" i="197"/>
  <c r="J60" i="197"/>
  <c r="J54" i="197"/>
  <c r="J66" i="197"/>
  <c r="J61" i="197"/>
  <c r="J53" i="197"/>
  <c r="J65" i="197"/>
  <c r="J62" i="197"/>
  <c r="J55" i="197"/>
  <c r="J7" i="197"/>
  <c r="J11" i="197"/>
  <c r="J5" i="197"/>
  <c r="J6" i="197"/>
  <c r="J12" i="197"/>
  <c r="J18" i="197"/>
  <c r="J22" i="197"/>
  <c r="J26" i="197"/>
  <c r="J4" i="197"/>
  <c r="J8" i="197"/>
  <c r="J14" i="197"/>
  <c r="J19" i="197"/>
  <c r="J9" i="197"/>
  <c r="J17" i="197"/>
  <c r="J15" i="197"/>
  <c r="J23" i="197"/>
  <c r="J28" i="197"/>
  <c r="J10" i="197"/>
  <c r="J13" i="197"/>
  <c r="J24" i="197"/>
  <c r="J27" i="197"/>
  <c r="J32" i="197"/>
  <c r="J20" i="197"/>
  <c r="J21" i="197"/>
  <c r="J25" i="197"/>
  <c r="J31" i="197"/>
  <c r="J16" i="197"/>
  <c r="J30" i="197"/>
  <c r="J35" i="197"/>
  <c r="J39" i="197"/>
  <c r="J43" i="197"/>
  <c r="J47" i="197"/>
  <c r="J29" i="197"/>
  <c r="J34" i="197"/>
  <c r="J40" i="197"/>
  <c r="J45" i="197"/>
  <c r="J51" i="197"/>
  <c r="J38" i="197"/>
  <c r="J46" i="197"/>
  <c r="J50" i="197"/>
  <c r="J33" i="197"/>
  <c r="J41" i="197"/>
  <c r="J44" i="197"/>
  <c r="J49" i="197"/>
  <c r="J36" i="197"/>
  <c r="J42" i="197"/>
  <c r="J37" i="197"/>
  <c r="J48" i="197"/>
  <c r="J70" i="197"/>
  <c r="J74" i="197"/>
  <c r="J78" i="197"/>
  <c r="J82" i="197"/>
  <c r="J86" i="197"/>
  <c r="J69" i="197"/>
  <c r="J73" i="197"/>
  <c r="J77" i="197"/>
  <c r="J81" i="197"/>
  <c r="J85" i="197"/>
  <c r="J89" i="197"/>
  <c r="J93" i="197"/>
  <c r="J97" i="197"/>
  <c r="J101" i="197"/>
  <c r="J68" i="197"/>
  <c r="J72" i="197"/>
  <c r="J76" i="197"/>
  <c r="J80" i="197"/>
  <c r="J84" i="197"/>
  <c r="J88" i="197"/>
  <c r="J67" i="197"/>
  <c r="J71" i="197"/>
  <c r="J75" i="197"/>
  <c r="J79" i="197"/>
  <c r="J87" i="197"/>
  <c r="J96" i="197"/>
  <c r="J102" i="197"/>
  <c r="J105" i="197"/>
  <c r="J109" i="197"/>
  <c r="J83" i="197"/>
  <c r="J91" i="197"/>
  <c r="J95" i="197"/>
  <c r="J100" i="197"/>
  <c r="J90" i="197"/>
  <c r="J94" i="197"/>
  <c r="J99" i="197"/>
  <c r="J92" i="197"/>
  <c r="J98" i="197"/>
  <c r="J103" i="197"/>
  <c r="J106" i="197"/>
  <c r="J110" i="197"/>
  <c r="J114" i="197"/>
  <c r="J118" i="197"/>
  <c r="J122" i="197"/>
  <c r="J126" i="197"/>
  <c r="J130" i="197"/>
  <c r="J134" i="197"/>
  <c r="J115" i="197"/>
  <c r="J120" i="197"/>
  <c r="J125" i="197"/>
  <c r="J131" i="197"/>
  <c r="J137" i="197"/>
  <c r="J141" i="197"/>
  <c r="J145" i="197"/>
  <c r="J149" i="197"/>
  <c r="J153" i="197"/>
  <c r="J157" i="197"/>
  <c r="J104" i="197"/>
  <c r="J111" i="197"/>
  <c r="J113" i="197"/>
  <c r="J119" i="197"/>
  <c r="J124" i="197"/>
  <c r="J129" i="197"/>
  <c r="J136" i="197"/>
  <c r="J140" i="197"/>
  <c r="J144" i="197"/>
  <c r="J108" i="197"/>
  <c r="J112" i="197"/>
  <c r="J117" i="197"/>
  <c r="J123" i="197"/>
  <c r="J128" i="197"/>
  <c r="J133" i="197"/>
  <c r="J135" i="197"/>
  <c r="J139" i="197"/>
  <c r="J143" i="197"/>
  <c r="J147" i="197"/>
  <c r="J107" i="197"/>
  <c r="J116" i="197"/>
  <c r="J121" i="197"/>
  <c r="J127" i="197"/>
  <c r="J132" i="197"/>
  <c r="J138" i="197"/>
  <c r="J142" i="197"/>
  <c r="J146" i="197"/>
  <c r="J150" i="197"/>
  <c r="J154" i="197"/>
  <c r="J158" i="197"/>
  <c r="J162" i="197"/>
  <c r="J166" i="197"/>
  <c r="J170" i="197"/>
  <c r="J161" i="197"/>
  <c r="J165" i="197"/>
  <c r="J171" i="197"/>
  <c r="J148" i="197"/>
  <c r="J152" i="197"/>
  <c r="J160" i="197"/>
  <c r="J151" i="197"/>
  <c r="J159" i="197"/>
  <c r="J164" i="197"/>
  <c r="J169" i="197"/>
  <c r="J3" i="197"/>
  <c r="J156" i="197"/>
  <c r="J163" i="197"/>
  <c r="J168" i="197"/>
  <c r="J155" i="197"/>
  <c r="J167" i="197"/>
  <c r="J176" i="197"/>
  <c r="J175" i="197"/>
  <c r="J177" i="197"/>
  <c r="K1" i="197"/>
  <c r="K173" i="197" l="1"/>
  <c r="K172" i="197"/>
  <c r="K174" i="197"/>
  <c r="K62" i="197"/>
  <c r="K61" i="197"/>
  <c r="K65" i="197"/>
  <c r="K57" i="197"/>
  <c r="K52" i="197"/>
  <c r="K64" i="197"/>
  <c r="K63" i="197"/>
  <c r="K53" i="197"/>
  <c r="K59" i="197"/>
  <c r="K56" i="197"/>
  <c r="K58" i="197"/>
  <c r="K54" i="197"/>
  <c r="K66" i="197"/>
  <c r="K55" i="197"/>
  <c r="K60" i="197"/>
  <c r="K4" i="197"/>
  <c r="K8" i="197"/>
  <c r="K12" i="197"/>
  <c r="K6" i="197"/>
  <c r="K7" i="197"/>
  <c r="K13" i="197"/>
  <c r="K15" i="197"/>
  <c r="K19" i="197"/>
  <c r="K23" i="197"/>
  <c r="K27" i="197"/>
  <c r="K5" i="197"/>
  <c r="K11" i="197"/>
  <c r="K20" i="197"/>
  <c r="K14" i="197"/>
  <c r="K18" i="197"/>
  <c r="K10" i="197"/>
  <c r="K16" i="197"/>
  <c r="K24" i="197"/>
  <c r="K29" i="197"/>
  <c r="K22" i="197"/>
  <c r="K9" i="197"/>
  <c r="K28" i="197"/>
  <c r="K31" i="197"/>
  <c r="K32" i="197"/>
  <c r="K36" i="197"/>
  <c r="K40" i="197"/>
  <c r="K44" i="197"/>
  <c r="K48" i="197"/>
  <c r="K17" i="197"/>
  <c r="K26" i="197"/>
  <c r="K35" i="197"/>
  <c r="K41" i="197"/>
  <c r="K46" i="197"/>
  <c r="K21" i="197"/>
  <c r="K37" i="197"/>
  <c r="K43" i="197"/>
  <c r="K51" i="197"/>
  <c r="K38" i="197"/>
  <c r="K50" i="197"/>
  <c r="K25" i="197"/>
  <c r="K33" i="197"/>
  <c r="K39" i="197"/>
  <c r="K47" i="197"/>
  <c r="K49" i="197"/>
  <c r="K30" i="197"/>
  <c r="K34" i="197"/>
  <c r="K42" i="197"/>
  <c r="K45" i="197"/>
  <c r="K67" i="197"/>
  <c r="K71" i="197"/>
  <c r="K75" i="197"/>
  <c r="K79" i="197"/>
  <c r="K83" i="197"/>
  <c r="K87" i="197"/>
  <c r="K70" i="197"/>
  <c r="K74" i="197"/>
  <c r="K78" i="197"/>
  <c r="K82" i="197"/>
  <c r="K86" i="197"/>
  <c r="K90" i="197"/>
  <c r="K94" i="197"/>
  <c r="K98" i="197"/>
  <c r="K102" i="197"/>
  <c r="K69" i="197"/>
  <c r="K73" i="197"/>
  <c r="K77" i="197"/>
  <c r="K81" i="197"/>
  <c r="K85" i="197"/>
  <c r="K89" i="197"/>
  <c r="K68" i="197"/>
  <c r="K72" i="197"/>
  <c r="K76" i="197"/>
  <c r="K80" i="197"/>
  <c r="K88" i="197"/>
  <c r="K92" i="197"/>
  <c r="K97" i="197"/>
  <c r="K103" i="197"/>
  <c r="K106" i="197"/>
  <c r="K110" i="197"/>
  <c r="K84" i="197"/>
  <c r="K96" i="197"/>
  <c r="K101" i="197"/>
  <c r="K91" i="197"/>
  <c r="K95" i="197"/>
  <c r="K100" i="197"/>
  <c r="K104" i="197"/>
  <c r="K93" i="197"/>
  <c r="K99" i="197"/>
  <c r="K107" i="197"/>
  <c r="K111" i="197"/>
  <c r="K115" i="197"/>
  <c r="K119" i="197"/>
  <c r="K123" i="197"/>
  <c r="K127" i="197"/>
  <c r="K131" i="197"/>
  <c r="K105" i="197"/>
  <c r="K116" i="197"/>
  <c r="K121" i="197"/>
  <c r="K126" i="197"/>
  <c r="K132" i="197"/>
  <c r="K138" i="197"/>
  <c r="K142" i="197"/>
  <c r="K146" i="197"/>
  <c r="K150" i="197"/>
  <c r="K154" i="197"/>
  <c r="K114" i="197"/>
  <c r="K120" i="197"/>
  <c r="K125" i="197"/>
  <c r="K130" i="197"/>
  <c r="K137" i="197"/>
  <c r="K141" i="197"/>
  <c r="K145" i="197"/>
  <c r="K109" i="197"/>
  <c r="K113" i="197"/>
  <c r="K118" i="197"/>
  <c r="K124" i="197"/>
  <c r="K129" i="197"/>
  <c r="K134" i="197"/>
  <c r="K136" i="197"/>
  <c r="K140" i="197"/>
  <c r="K144" i="197"/>
  <c r="K148" i="197"/>
  <c r="K108" i="197"/>
  <c r="K112" i="197"/>
  <c r="K117" i="197"/>
  <c r="K122" i="197"/>
  <c r="K128" i="197"/>
  <c r="K133" i="197"/>
  <c r="K135" i="197"/>
  <c r="K139" i="197"/>
  <c r="K143" i="197"/>
  <c r="K147" i="197"/>
  <c r="K151" i="197"/>
  <c r="K155" i="197"/>
  <c r="K159" i="197"/>
  <c r="K163" i="197"/>
  <c r="K167" i="197"/>
  <c r="K171" i="197"/>
  <c r="K3" i="197"/>
  <c r="K168" i="197"/>
  <c r="K153" i="197"/>
  <c r="K161" i="197"/>
  <c r="K152" i="197"/>
  <c r="K160" i="197"/>
  <c r="K165" i="197"/>
  <c r="K170" i="197"/>
  <c r="K149" i="197"/>
  <c r="K157" i="197"/>
  <c r="K158" i="197"/>
  <c r="K164" i="197"/>
  <c r="K169" i="197"/>
  <c r="K156" i="197"/>
  <c r="K162" i="197"/>
  <c r="K166" i="197"/>
  <c r="K175" i="197"/>
  <c r="K177" i="197"/>
  <c r="K176" i="197"/>
  <c r="L1" i="197"/>
  <c r="T29" i="194"/>
  <c r="L174" i="197" l="1"/>
  <c r="L173" i="197"/>
  <c r="L172" i="197"/>
  <c r="L55" i="197"/>
  <c r="L56" i="197"/>
  <c r="L63" i="197"/>
  <c r="L58" i="197"/>
  <c r="L62" i="197"/>
  <c r="L61" i="197"/>
  <c r="L57" i="197"/>
  <c r="L54" i="197"/>
  <c r="L52" i="197"/>
  <c r="L64" i="197"/>
  <c r="L59" i="197"/>
  <c r="L66" i="197"/>
  <c r="L60" i="197"/>
  <c r="L65" i="197"/>
  <c r="L53" i="197"/>
  <c r="L5" i="197"/>
  <c r="L9" i="197"/>
  <c r="L13" i="197"/>
  <c r="L7" i="197"/>
  <c r="L8" i="197"/>
  <c r="L14" i="197"/>
  <c r="L16" i="197"/>
  <c r="L20" i="197"/>
  <c r="L24" i="197"/>
  <c r="L28" i="197"/>
  <c r="L6" i="197"/>
  <c r="L10" i="197"/>
  <c r="L15" i="197"/>
  <c r="L21" i="197"/>
  <c r="L4" i="197"/>
  <c r="L11" i="197"/>
  <c r="L19" i="197"/>
  <c r="L17" i="197"/>
  <c r="L25" i="197"/>
  <c r="L18" i="197"/>
  <c r="L26" i="197"/>
  <c r="L30" i="197"/>
  <c r="L12" i="197"/>
  <c r="L27" i="197"/>
  <c r="L22" i="197"/>
  <c r="L33" i="197"/>
  <c r="L37" i="197"/>
  <c r="L41" i="197"/>
  <c r="L45" i="197"/>
  <c r="L23" i="197"/>
  <c r="L36" i="197"/>
  <c r="L42" i="197"/>
  <c r="L47" i="197"/>
  <c r="L49" i="197"/>
  <c r="L31" i="197"/>
  <c r="L34" i="197"/>
  <c r="L40" i="197"/>
  <c r="L48" i="197"/>
  <c r="L32" i="197"/>
  <c r="L35" i="197"/>
  <c r="L43" i="197"/>
  <c r="L46" i="197"/>
  <c r="L51" i="197"/>
  <c r="L38" i="197"/>
  <c r="L44" i="197"/>
  <c r="L50" i="197"/>
  <c r="L29" i="197"/>
  <c r="L39" i="197"/>
  <c r="L68" i="197"/>
  <c r="L72" i="197"/>
  <c r="L76" i="197"/>
  <c r="L80" i="197"/>
  <c r="L84" i="197"/>
  <c r="L88" i="197"/>
  <c r="L67" i="197"/>
  <c r="L71" i="197"/>
  <c r="L75" i="197"/>
  <c r="L79" i="197"/>
  <c r="L83" i="197"/>
  <c r="L87" i="197"/>
  <c r="L91" i="197"/>
  <c r="L95" i="197"/>
  <c r="L99" i="197"/>
  <c r="L103" i="197"/>
  <c r="L70" i="197"/>
  <c r="L74" i="197"/>
  <c r="L78" i="197"/>
  <c r="L82" i="197"/>
  <c r="L86" i="197"/>
  <c r="L90" i="197"/>
  <c r="L69" i="197"/>
  <c r="L73" i="197"/>
  <c r="L77" i="197"/>
  <c r="L93" i="197"/>
  <c r="L98" i="197"/>
  <c r="L107" i="197"/>
  <c r="L111" i="197"/>
  <c r="L85" i="197"/>
  <c r="L92" i="197"/>
  <c r="L97" i="197"/>
  <c r="L102" i="197"/>
  <c r="L81" i="197"/>
  <c r="L96" i="197"/>
  <c r="L101" i="197"/>
  <c r="L89" i="197"/>
  <c r="L94" i="197"/>
  <c r="L100" i="197"/>
  <c r="L104" i="197"/>
  <c r="L108" i="197"/>
  <c r="L112" i="197"/>
  <c r="L116" i="197"/>
  <c r="L120" i="197"/>
  <c r="L124" i="197"/>
  <c r="L128" i="197"/>
  <c r="L132" i="197"/>
  <c r="L106" i="197"/>
  <c r="L117" i="197"/>
  <c r="L122" i="197"/>
  <c r="L127" i="197"/>
  <c r="L133" i="197"/>
  <c r="L135" i="197"/>
  <c r="L139" i="197"/>
  <c r="L143" i="197"/>
  <c r="L147" i="197"/>
  <c r="L151" i="197"/>
  <c r="L155" i="197"/>
  <c r="L105" i="197"/>
  <c r="L115" i="197"/>
  <c r="L121" i="197"/>
  <c r="L126" i="197"/>
  <c r="L131" i="197"/>
  <c r="L138" i="197"/>
  <c r="L142" i="197"/>
  <c r="L146" i="197"/>
  <c r="L110" i="197"/>
  <c r="L114" i="197"/>
  <c r="L119" i="197"/>
  <c r="L125" i="197"/>
  <c r="L130" i="197"/>
  <c r="L137" i="197"/>
  <c r="L141" i="197"/>
  <c r="L145" i="197"/>
  <c r="L109" i="197"/>
  <c r="L113" i="197"/>
  <c r="L118" i="197"/>
  <c r="L123" i="197"/>
  <c r="L129" i="197"/>
  <c r="L134" i="197"/>
  <c r="L136" i="197"/>
  <c r="L140" i="197"/>
  <c r="L144" i="197"/>
  <c r="L148" i="197"/>
  <c r="L152" i="197"/>
  <c r="L156" i="197"/>
  <c r="L160" i="197"/>
  <c r="L164" i="197"/>
  <c r="L168" i="197"/>
  <c r="L154" i="197"/>
  <c r="L162" i="197"/>
  <c r="L153" i="197"/>
  <c r="L161" i="197"/>
  <c r="L166" i="197"/>
  <c r="L171" i="197"/>
  <c r="L150" i="197"/>
  <c r="L159" i="197"/>
  <c r="L165" i="197"/>
  <c r="L170" i="197"/>
  <c r="L3" i="197"/>
  <c r="L149" i="197"/>
  <c r="L157" i="197"/>
  <c r="L158" i="197"/>
  <c r="L163" i="197"/>
  <c r="L169" i="197"/>
  <c r="L167" i="197"/>
  <c r="L176" i="197"/>
  <c r="L177" i="197"/>
  <c r="L175" i="197"/>
  <c r="M1" i="197"/>
  <c r="T25" i="194"/>
  <c r="T26" i="194"/>
  <c r="T27" i="194"/>
  <c r="T28" i="194"/>
  <c r="M173" i="197" l="1"/>
  <c r="M174" i="197"/>
  <c r="M172" i="197"/>
  <c r="M60" i="197"/>
  <c r="M55" i="197"/>
  <c r="M63" i="197"/>
  <c r="M62" i="197"/>
  <c r="M54" i="197"/>
  <c r="M66" i="197"/>
  <c r="M56" i="197"/>
  <c r="M57" i="197"/>
  <c r="M59" i="197"/>
  <c r="M52" i="197"/>
  <c r="M64" i="197"/>
  <c r="M61" i="197"/>
  <c r="M65" i="197"/>
  <c r="M53" i="197"/>
  <c r="M58" i="197"/>
  <c r="M6" i="197"/>
  <c r="M10" i="197"/>
  <c r="M14" i="197"/>
  <c r="M4" i="197"/>
  <c r="M9" i="197"/>
  <c r="M17" i="197"/>
  <c r="M21" i="197"/>
  <c r="M25" i="197"/>
  <c r="M7" i="197"/>
  <c r="M13" i="197"/>
  <c r="M16" i="197"/>
  <c r="M5" i="197"/>
  <c r="M8" i="197"/>
  <c r="M15" i="197"/>
  <c r="M20" i="197"/>
  <c r="M18" i="197"/>
  <c r="M26" i="197"/>
  <c r="M23" i="197"/>
  <c r="M29" i="197"/>
  <c r="M31" i="197"/>
  <c r="M19" i="197"/>
  <c r="M24" i="197"/>
  <c r="M30" i="197"/>
  <c r="M12" i="197"/>
  <c r="M27" i="197"/>
  <c r="M34" i="197"/>
  <c r="M38" i="197"/>
  <c r="M42" i="197"/>
  <c r="M46" i="197"/>
  <c r="M32" i="197"/>
  <c r="M37" i="197"/>
  <c r="M43" i="197"/>
  <c r="M48" i="197"/>
  <c r="M50" i="197"/>
  <c r="M22" i="197"/>
  <c r="M39" i="197"/>
  <c r="M45" i="197"/>
  <c r="M28" i="197"/>
  <c r="M40" i="197"/>
  <c r="M35" i="197"/>
  <c r="M41" i="197"/>
  <c r="M51" i="197"/>
  <c r="M11" i="197"/>
  <c r="M33" i="197"/>
  <c r="M36" i="197"/>
  <c r="M44" i="197"/>
  <c r="M47" i="197"/>
  <c r="M49" i="197"/>
  <c r="M69" i="197"/>
  <c r="M73" i="197"/>
  <c r="M77" i="197"/>
  <c r="M81" i="197"/>
  <c r="M85" i="197"/>
  <c r="M68" i="197"/>
  <c r="M72" i="197"/>
  <c r="M76" i="197"/>
  <c r="M80" i="197"/>
  <c r="M84" i="197"/>
  <c r="M88" i="197"/>
  <c r="M92" i="197"/>
  <c r="M96" i="197"/>
  <c r="M100" i="197"/>
  <c r="M67" i="197"/>
  <c r="M71" i="197"/>
  <c r="M75" i="197"/>
  <c r="M79" i="197"/>
  <c r="M83" i="197"/>
  <c r="M87" i="197"/>
  <c r="M91" i="197"/>
  <c r="M70" i="197"/>
  <c r="M74" i="197"/>
  <c r="M78" i="197"/>
  <c r="M89" i="197"/>
  <c r="M94" i="197"/>
  <c r="M99" i="197"/>
  <c r="M104" i="197"/>
  <c r="M108" i="197"/>
  <c r="M86" i="197"/>
  <c r="M93" i="197"/>
  <c r="M98" i="197"/>
  <c r="M103" i="197"/>
  <c r="M82" i="197"/>
  <c r="M97" i="197"/>
  <c r="M102" i="197"/>
  <c r="M90" i="197"/>
  <c r="M95" i="197"/>
  <c r="M101" i="197"/>
  <c r="M105" i="197"/>
  <c r="M109" i="197"/>
  <c r="M113" i="197"/>
  <c r="M117" i="197"/>
  <c r="M121" i="197"/>
  <c r="M125" i="197"/>
  <c r="M129" i="197"/>
  <c r="M133" i="197"/>
  <c r="M107" i="197"/>
  <c r="M112" i="197"/>
  <c r="M118" i="197"/>
  <c r="M123" i="197"/>
  <c r="M128" i="197"/>
  <c r="M134" i="197"/>
  <c r="M136" i="197"/>
  <c r="M140" i="197"/>
  <c r="M144" i="197"/>
  <c r="M148" i="197"/>
  <c r="M152" i="197"/>
  <c r="M156" i="197"/>
  <c r="M106" i="197"/>
  <c r="M116" i="197"/>
  <c r="M122" i="197"/>
  <c r="M127" i="197"/>
  <c r="M132" i="197"/>
  <c r="M135" i="197"/>
  <c r="M139" i="197"/>
  <c r="M143" i="197"/>
  <c r="M147" i="197"/>
  <c r="M111" i="197"/>
  <c r="M115" i="197"/>
  <c r="M120" i="197"/>
  <c r="M126" i="197"/>
  <c r="M131" i="197"/>
  <c r="M138" i="197"/>
  <c r="M142" i="197"/>
  <c r="M146" i="197"/>
  <c r="M110" i="197"/>
  <c r="M114" i="197"/>
  <c r="M119" i="197"/>
  <c r="M124" i="197"/>
  <c r="M130" i="197"/>
  <c r="M137" i="197"/>
  <c r="M141" i="197"/>
  <c r="M145" i="197"/>
  <c r="M149" i="197"/>
  <c r="M153" i="197"/>
  <c r="M157" i="197"/>
  <c r="M161" i="197"/>
  <c r="M165" i="197"/>
  <c r="M169" i="197"/>
  <c r="M164" i="197"/>
  <c r="M170" i="197"/>
  <c r="M155" i="197"/>
  <c r="M158" i="197"/>
  <c r="M163" i="197"/>
  <c r="M154" i="197"/>
  <c r="M162" i="197"/>
  <c r="M167" i="197"/>
  <c r="M151" i="197"/>
  <c r="M160" i="197"/>
  <c r="M166" i="197"/>
  <c r="M171" i="197"/>
  <c r="M150" i="197"/>
  <c r="M159" i="197"/>
  <c r="M3" i="197"/>
  <c r="M168" i="197"/>
  <c r="M177" i="197"/>
  <c r="M175" i="197"/>
  <c r="M176" i="197"/>
  <c r="N1" i="197"/>
  <c r="T30" i="194"/>
  <c r="N174" i="197" l="1"/>
  <c r="N172" i="197"/>
  <c r="N173" i="197"/>
  <c r="N53" i="197"/>
  <c r="N65" i="197"/>
  <c r="N52" i="197"/>
  <c r="N60" i="197"/>
  <c r="N55" i="197"/>
  <c r="N61" i="197"/>
  <c r="N56" i="197"/>
  <c r="N62" i="197"/>
  <c r="N54" i="197"/>
  <c r="N66" i="197"/>
  <c r="N57" i="197"/>
  <c r="N64" i="197"/>
  <c r="N59" i="197"/>
  <c r="N63" i="197"/>
  <c r="N58" i="197"/>
  <c r="N7" i="197"/>
  <c r="N11" i="197"/>
  <c r="N4" i="197"/>
  <c r="N5" i="197"/>
  <c r="N10" i="197"/>
  <c r="N18" i="197"/>
  <c r="N22" i="197"/>
  <c r="N26" i="197"/>
  <c r="N12" i="197"/>
  <c r="N17" i="197"/>
  <c r="N6" i="197"/>
  <c r="N13" i="197"/>
  <c r="N16" i="197"/>
  <c r="N21" i="197"/>
  <c r="N9" i="197"/>
  <c r="N19" i="197"/>
  <c r="N27" i="197"/>
  <c r="N8" i="197"/>
  <c r="N28" i="197"/>
  <c r="N23" i="197"/>
  <c r="N29" i="197"/>
  <c r="N31" i="197"/>
  <c r="N15" i="197"/>
  <c r="N35" i="197"/>
  <c r="N39" i="197"/>
  <c r="N43" i="197"/>
  <c r="N47" i="197"/>
  <c r="N30" i="197"/>
  <c r="N33" i="197"/>
  <c r="N38" i="197"/>
  <c r="N44" i="197"/>
  <c r="N51" i="197"/>
  <c r="N14" i="197"/>
  <c r="N36" i="197"/>
  <c r="N42" i="197"/>
  <c r="N49" i="197"/>
  <c r="N34" i="197"/>
  <c r="N37" i="197"/>
  <c r="N45" i="197"/>
  <c r="N48" i="197"/>
  <c r="N20" i="197"/>
  <c r="N24" i="197"/>
  <c r="N32" i="197"/>
  <c r="N40" i="197"/>
  <c r="N46" i="197"/>
  <c r="N25" i="197"/>
  <c r="N41" i="197"/>
  <c r="N50" i="197"/>
  <c r="N70" i="197"/>
  <c r="N74" i="197"/>
  <c r="N78" i="197"/>
  <c r="N82" i="197"/>
  <c r="N86" i="197"/>
  <c r="N69" i="197"/>
  <c r="N73" i="197"/>
  <c r="N77" i="197"/>
  <c r="N81" i="197"/>
  <c r="N85" i="197"/>
  <c r="N89" i="197"/>
  <c r="N93" i="197"/>
  <c r="N97" i="197"/>
  <c r="N101" i="197"/>
  <c r="N68" i="197"/>
  <c r="N72" i="197"/>
  <c r="N76" i="197"/>
  <c r="N80" i="197"/>
  <c r="N84" i="197"/>
  <c r="N88" i="197"/>
  <c r="N67" i="197"/>
  <c r="N71" i="197"/>
  <c r="N75" i="197"/>
  <c r="N79" i="197"/>
  <c r="N90" i="197"/>
  <c r="N95" i="197"/>
  <c r="N100" i="197"/>
  <c r="N105" i="197"/>
  <c r="N109" i="197"/>
  <c r="N87" i="197"/>
  <c r="N94" i="197"/>
  <c r="N99" i="197"/>
  <c r="N83" i="197"/>
  <c r="N92" i="197"/>
  <c r="N98" i="197"/>
  <c r="N103" i="197"/>
  <c r="N91" i="197"/>
  <c r="N96" i="197"/>
  <c r="N102" i="197"/>
  <c r="N106" i="197"/>
  <c r="N110" i="197"/>
  <c r="N114" i="197"/>
  <c r="N118" i="197"/>
  <c r="N122" i="197"/>
  <c r="N126" i="197"/>
  <c r="N130" i="197"/>
  <c r="N134" i="197"/>
  <c r="N108" i="197"/>
  <c r="N113" i="197"/>
  <c r="N119" i="197"/>
  <c r="N124" i="197"/>
  <c r="N129" i="197"/>
  <c r="N137" i="197"/>
  <c r="N141" i="197"/>
  <c r="N145" i="197"/>
  <c r="N149" i="197"/>
  <c r="N153" i="197"/>
  <c r="N157" i="197"/>
  <c r="N107" i="197"/>
  <c r="N112" i="197"/>
  <c r="N117" i="197"/>
  <c r="N123" i="197"/>
  <c r="N128" i="197"/>
  <c r="N133" i="197"/>
  <c r="N136" i="197"/>
  <c r="N140" i="197"/>
  <c r="N144" i="197"/>
  <c r="N104" i="197"/>
  <c r="N116" i="197"/>
  <c r="N121" i="197"/>
  <c r="N127" i="197"/>
  <c r="N132" i="197"/>
  <c r="N135" i="197"/>
  <c r="N139" i="197"/>
  <c r="N143" i="197"/>
  <c r="N147" i="197"/>
  <c r="N111" i="197"/>
  <c r="N115" i="197"/>
  <c r="N120" i="197"/>
  <c r="N125" i="197"/>
  <c r="N131" i="197"/>
  <c r="N138" i="197"/>
  <c r="N142" i="197"/>
  <c r="N146" i="197"/>
  <c r="N150" i="197"/>
  <c r="N154" i="197"/>
  <c r="N158" i="197"/>
  <c r="N162" i="197"/>
  <c r="N166" i="197"/>
  <c r="N170" i="197"/>
  <c r="N151" i="197"/>
  <c r="N160" i="197"/>
  <c r="N165" i="197"/>
  <c r="N171" i="197"/>
  <c r="N169" i="197"/>
  <c r="N3" i="197"/>
  <c r="N156" i="197"/>
  <c r="N159" i="197"/>
  <c r="N164" i="197"/>
  <c r="N148" i="197"/>
  <c r="N155" i="197"/>
  <c r="N163" i="197"/>
  <c r="N168" i="197"/>
  <c r="N152" i="197"/>
  <c r="N161" i="197"/>
  <c r="N167" i="197"/>
  <c r="N176" i="197"/>
  <c r="N177" i="197"/>
  <c r="N175" i="197"/>
  <c r="O1" i="197"/>
  <c r="O174" i="197" l="1"/>
  <c r="O173" i="197"/>
  <c r="O172" i="197"/>
  <c r="O58" i="197"/>
  <c r="O52" i="197"/>
  <c r="O54" i="197"/>
  <c r="O53" i="197"/>
  <c r="O65" i="197"/>
  <c r="O60" i="197"/>
  <c r="O57" i="197"/>
  <c r="O64" i="197"/>
  <c r="O66" i="197"/>
  <c r="O55" i="197"/>
  <c r="O61" i="197"/>
  <c r="O62" i="197"/>
  <c r="O59" i="197"/>
  <c r="O56" i="197"/>
  <c r="O63" i="197"/>
  <c r="O4" i="197"/>
  <c r="O8" i="197"/>
  <c r="O12" i="197"/>
  <c r="O5" i="197"/>
  <c r="O6" i="197"/>
  <c r="O11" i="197"/>
  <c r="O15" i="197"/>
  <c r="O19" i="197"/>
  <c r="O23" i="197"/>
  <c r="O27" i="197"/>
  <c r="O9" i="197"/>
  <c r="O18" i="197"/>
  <c r="O7" i="197"/>
  <c r="O10" i="197"/>
  <c r="O17" i="197"/>
  <c r="O14" i="197"/>
  <c r="O20" i="197"/>
  <c r="O22" i="197"/>
  <c r="O28" i="197"/>
  <c r="O29" i="197"/>
  <c r="O25" i="197"/>
  <c r="O13" i="197"/>
  <c r="O26" i="197"/>
  <c r="O32" i="197"/>
  <c r="O36" i="197"/>
  <c r="O40" i="197"/>
  <c r="O44" i="197"/>
  <c r="O48" i="197"/>
  <c r="O24" i="197"/>
  <c r="O31" i="197"/>
  <c r="O34" i="197"/>
  <c r="O39" i="197"/>
  <c r="O45" i="197"/>
  <c r="O16" i="197"/>
  <c r="O30" i="197"/>
  <c r="O33" i="197"/>
  <c r="O41" i="197"/>
  <c r="O47" i="197"/>
  <c r="O50" i="197"/>
  <c r="O21" i="197"/>
  <c r="O42" i="197"/>
  <c r="O49" i="197"/>
  <c r="O37" i="197"/>
  <c r="O43" i="197"/>
  <c r="O35" i="197"/>
  <c r="O38" i="197"/>
  <c r="O46" i="197"/>
  <c r="O67" i="197"/>
  <c r="O71" i="197"/>
  <c r="O75" i="197"/>
  <c r="O79" i="197"/>
  <c r="O83" i="197"/>
  <c r="O87" i="197"/>
  <c r="O70" i="197"/>
  <c r="O74" i="197"/>
  <c r="O78" i="197"/>
  <c r="O82" i="197"/>
  <c r="O86" i="197"/>
  <c r="O90" i="197"/>
  <c r="O94" i="197"/>
  <c r="O98" i="197"/>
  <c r="O102" i="197"/>
  <c r="O51" i="197"/>
  <c r="O69" i="197"/>
  <c r="O73" i="197"/>
  <c r="O77" i="197"/>
  <c r="O81" i="197"/>
  <c r="O85" i="197"/>
  <c r="O89" i="197"/>
  <c r="O68" i="197"/>
  <c r="O72" i="197"/>
  <c r="O76" i="197"/>
  <c r="O80" i="197"/>
  <c r="O91" i="197"/>
  <c r="O96" i="197"/>
  <c r="O101" i="197"/>
  <c r="O106" i="197"/>
  <c r="O110" i="197"/>
  <c r="O88" i="197"/>
  <c r="O95" i="197"/>
  <c r="O100" i="197"/>
  <c r="O84" i="197"/>
  <c r="O93" i="197"/>
  <c r="O99" i="197"/>
  <c r="O92" i="197"/>
  <c r="O97" i="197"/>
  <c r="O103" i="197"/>
  <c r="O107" i="197"/>
  <c r="O111" i="197"/>
  <c r="O115" i="197"/>
  <c r="O119" i="197"/>
  <c r="O123" i="197"/>
  <c r="O127" i="197"/>
  <c r="O131" i="197"/>
  <c r="O109" i="197"/>
  <c r="O114" i="197"/>
  <c r="O120" i="197"/>
  <c r="O125" i="197"/>
  <c r="O130" i="197"/>
  <c r="O138" i="197"/>
  <c r="O142" i="197"/>
  <c r="O146" i="197"/>
  <c r="O150" i="197"/>
  <c r="O154" i="197"/>
  <c r="O108" i="197"/>
  <c r="O113" i="197"/>
  <c r="O118" i="197"/>
  <c r="O124" i="197"/>
  <c r="O129" i="197"/>
  <c r="O134" i="197"/>
  <c r="O137" i="197"/>
  <c r="O141" i="197"/>
  <c r="O145" i="197"/>
  <c r="O105" i="197"/>
  <c r="O112" i="197"/>
  <c r="O117" i="197"/>
  <c r="O122" i="197"/>
  <c r="O128" i="197"/>
  <c r="O133" i="197"/>
  <c r="O136" i="197"/>
  <c r="O140" i="197"/>
  <c r="O144" i="197"/>
  <c r="O148" i="197"/>
  <c r="O104" i="197"/>
  <c r="O116" i="197"/>
  <c r="O121" i="197"/>
  <c r="O126" i="197"/>
  <c r="O132" i="197"/>
  <c r="O135" i="197"/>
  <c r="O139" i="197"/>
  <c r="O143" i="197"/>
  <c r="O147" i="197"/>
  <c r="O151" i="197"/>
  <c r="O155" i="197"/>
  <c r="O159" i="197"/>
  <c r="O163" i="197"/>
  <c r="O167" i="197"/>
  <c r="O171" i="197"/>
  <c r="O3" i="197"/>
  <c r="O152" i="197"/>
  <c r="O166" i="197"/>
  <c r="O149" i="197"/>
  <c r="O157" i="197"/>
  <c r="O160" i="197"/>
  <c r="O165" i="197"/>
  <c r="O170" i="197"/>
  <c r="O156" i="197"/>
  <c r="O158" i="197"/>
  <c r="O164" i="197"/>
  <c r="O169" i="197"/>
  <c r="O153" i="197"/>
  <c r="O162" i="197"/>
  <c r="O168" i="197"/>
  <c r="O161" i="197"/>
  <c r="O175" i="197"/>
  <c r="O177" i="197"/>
  <c r="O176" i="197"/>
  <c r="P1" i="197"/>
  <c r="P172" i="197" l="1"/>
  <c r="P174" i="197"/>
  <c r="P173" i="197"/>
  <c r="P63" i="197"/>
  <c r="P52" i="197"/>
  <c r="P54" i="197"/>
  <c r="P58" i="197"/>
  <c r="P53" i="197"/>
  <c r="P65" i="197"/>
  <c r="P62" i="197"/>
  <c r="P59" i="197"/>
  <c r="P60" i="197"/>
  <c r="P64" i="197"/>
  <c r="P55" i="197"/>
  <c r="P57" i="197"/>
  <c r="P66" i="197"/>
  <c r="P61" i="197"/>
  <c r="P56" i="197"/>
  <c r="P5" i="197"/>
  <c r="P9" i="197"/>
  <c r="P13" i="197"/>
  <c r="P6" i="197"/>
  <c r="P7" i="197"/>
  <c r="P12" i="197"/>
  <c r="P16" i="197"/>
  <c r="P20" i="197"/>
  <c r="P24" i="197"/>
  <c r="P28" i="197"/>
  <c r="P4" i="197"/>
  <c r="P14" i="197"/>
  <c r="P19" i="197"/>
  <c r="P18" i="197"/>
  <c r="P8" i="197"/>
  <c r="P21" i="197"/>
  <c r="P23" i="197"/>
  <c r="P11" i="197"/>
  <c r="P17" i="197"/>
  <c r="P22" i="197"/>
  <c r="P30" i="197"/>
  <c r="P10" i="197"/>
  <c r="P25" i="197"/>
  <c r="P26" i="197"/>
  <c r="P29" i="197"/>
  <c r="P33" i="197"/>
  <c r="P37" i="197"/>
  <c r="P41" i="197"/>
  <c r="P45" i="197"/>
  <c r="P35" i="197"/>
  <c r="P40" i="197"/>
  <c r="P46" i="197"/>
  <c r="P49" i="197"/>
  <c r="P38" i="197"/>
  <c r="P44" i="197"/>
  <c r="P51" i="197"/>
  <c r="P27" i="197"/>
  <c r="P31" i="197"/>
  <c r="P36" i="197"/>
  <c r="P39" i="197"/>
  <c r="P47" i="197"/>
  <c r="P50" i="197"/>
  <c r="P15" i="197"/>
  <c r="P34" i="197"/>
  <c r="P42" i="197"/>
  <c r="P48" i="197"/>
  <c r="P32" i="197"/>
  <c r="P43" i="197"/>
  <c r="P68" i="197"/>
  <c r="P72" i="197"/>
  <c r="P76" i="197"/>
  <c r="P80" i="197"/>
  <c r="P84" i="197"/>
  <c r="P67" i="197"/>
  <c r="P71" i="197"/>
  <c r="P75" i="197"/>
  <c r="P79" i="197"/>
  <c r="P83" i="197"/>
  <c r="P87" i="197"/>
  <c r="P91" i="197"/>
  <c r="P95" i="197"/>
  <c r="P99" i="197"/>
  <c r="P70" i="197"/>
  <c r="P74" i="197"/>
  <c r="P78" i="197"/>
  <c r="P82" i="197"/>
  <c r="P86" i="197"/>
  <c r="P90" i="197"/>
  <c r="P69" i="197"/>
  <c r="P73" i="197"/>
  <c r="P77" i="197"/>
  <c r="P92" i="197"/>
  <c r="P97" i="197"/>
  <c r="P102" i="197"/>
  <c r="P103" i="197"/>
  <c r="P107" i="197"/>
  <c r="P111" i="197"/>
  <c r="P89" i="197"/>
  <c r="P96" i="197"/>
  <c r="P101" i="197"/>
  <c r="P85" i="197"/>
  <c r="P88" i="197"/>
  <c r="P94" i="197"/>
  <c r="P100" i="197"/>
  <c r="P81" i="197"/>
  <c r="P93" i="197"/>
  <c r="P98" i="197"/>
  <c r="P104" i="197"/>
  <c r="P108" i="197"/>
  <c r="P112" i="197"/>
  <c r="P116" i="197"/>
  <c r="P120" i="197"/>
  <c r="P124" i="197"/>
  <c r="P128" i="197"/>
  <c r="P132" i="197"/>
  <c r="P110" i="197"/>
  <c r="P115" i="197"/>
  <c r="P121" i="197"/>
  <c r="P126" i="197"/>
  <c r="P131" i="197"/>
  <c r="P135" i="197"/>
  <c r="P139" i="197"/>
  <c r="P143" i="197"/>
  <c r="P147" i="197"/>
  <c r="P151" i="197"/>
  <c r="P155" i="197"/>
  <c r="P109" i="197"/>
  <c r="P114" i="197"/>
  <c r="P119" i="197"/>
  <c r="P125" i="197"/>
  <c r="P130" i="197"/>
  <c r="P138" i="197"/>
  <c r="P142" i="197"/>
  <c r="P146" i="197"/>
  <c r="P106" i="197"/>
  <c r="P113" i="197"/>
  <c r="P118" i="197"/>
  <c r="P123" i="197"/>
  <c r="P129" i="197"/>
  <c r="P134" i="197"/>
  <c r="P137" i="197"/>
  <c r="P141" i="197"/>
  <c r="P145" i="197"/>
  <c r="P105" i="197"/>
  <c r="P117" i="197"/>
  <c r="P122" i="197"/>
  <c r="P127" i="197"/>
  <c r="P133" i="197"/>
  <c r="P136" i="197"/>
  <c r="P140" i="197"/>
  <c r="P144" i="197"/>
  <c r="P148" i="197"/>
  <c r="P152" i="197"/>
  <c r="P156" i="197"/>
  <c r="P160" i="197"/>
  <c r="P164" i="197"/>
  <c r="P168" i="197"/>
  <c r="P162" i="197"/>
  <c r="P166" i="197"/>
  <c r="P150" i="197"/>
  <c r="P161" i="197"/>
  <c r="P149" i="197"/>
  <c r="P157" i="197"/>
  <c r="P159" i="197"/>
  <c r="P165" i="197"/>
  <c r="P170" i="197"/>
  <c r="P3" i="197"/>
  <c r="P171" i="197"/>
  <c r="P154" i="197"/>
  <c r="P158" i="197"/>
  <c r="P163" i="197"/>
  <c r="P169" i="197"/>
  <c r="P153" i="197"/>
  <c r="P167" i="197"/>
  <c r="P176" i="197"/>
  <c r="P175" i="197"/>
  <c r="P177" i="197"/>
  <c r="Q1" i="197"/>
  <c r="T22" i="194"/>
  <c r="T23" i="194"/>
  <c r="T24" i="194"/>
  <c r="Q172" i="197" l="1"/>
  <c r="Q174" i="197"/>
  <c r="Q173" i="197"/>
  <c r="Q56" i="197"/>
  <c r="Q63" i="197"/>
  <c r="Q64" i="197"/>
  <c r="Q58" i="197"/>
  <c r="Q62" i="197"/>
  <c r="Q53" i="197"/>
  <c r="Q65" i="197"/>
  <c r="Q52" i="197"/>
  <c r="Q59" i="197"/>
  <c r="Q60" i="197"/>
  <c r="Q55" i="197"/>
  <c r="Q57" i="197"/>
  <c r="Q54" i="197"/>
  <c r="Q66" i="197"/>
  <c r="Q61" i="197"/>
  <c r="Q6" i="197"/>
  <c r="Q10" i="197"/>
  <c r="Q14" i="197"/>
  <c r="Q8" i="197"/>
  <c r="Q13" i="197"/>
  <c r="Q17" i="197"/>
  <c r="Q21" i="197"/>
  <c r="Q25" i="197"/>
  <c r="Q5" i="197"/>
  <c r="Q7" i="197"/>
  <c r="Q11" i="197"/>
  <c r="Q15" i="197"/>
  <c r="Q20" i="197"/>
  <c r="Q9" i="197"/>
  <c r="Q12" i="197"/>
  <c r="Q19" i="197"/>
  <c r="Q4" i="197"/>
  <c r="Q24" i="197"/>
  <c r="Q16" i="197"/>
  <c r="Q27" i="197"/>
  <c r="Q31" i="197"/>
  <c r="Q18" i="197"/>
  <c r="Q22" i="197"/>
  <c r="Q28" i="197"/>
  <c r="Q30" i="197"/>
  <c r="Q34" i="197"/>
  <c r="Q38" i="197"/>
  <c r="Q42" i="197"/>
  <c r="Q46" i="197"/>
  <c r="Q36" i="197"/>
  <c r="Q41" i="197"/>
  <c r="Q47" i="197"/>
  <c r="Q50" i="197"/>
  <c r="Q26" i="197"/>
  <c r="Q29" i="197"/>
  <c r="Q32" i="197"/>
  <c r="Q35" i="197"/>
  <c r="Q43" i="197"/>
  <c r="Q23" i="197"/>
  <c r="Q33" i="197"/>
  <c r="Q44" i="197"/>
  <c r="Q51" i="197"/>
  <c r="Q39" i="197"/>
  <c r="Q45" i="197"/>
  <c r="Q49" i="197"/>
  <c r="Q37" i="197"/>
  <c r="Q40" i="197"/>
  <c r="Q48" i="197"/>
  <c r="Q69" i="197"/>
  <c r="Q73" i="197"/>
  <c r="Q77" i="197"/>
  <c r="Q81" i="197"/>
  <c r="Q85" i="197"/>
  <c r="Q68" i="197"/>
  <c r="Q72" i="197"/>
  <c r="Q76" i="197"/>
  <c r="Q80" i="197"/>
  <c r="Q84" i="197"/>
  <c r="Q88" i="197"/>
  <c r="Q92" i="197"/>
  <c r="Q96" i="197"/>
  <c r="Q100" i="197"/>
  <c r="Q67" i="197"/>
  <c r="Q71" i="197"/>
  <c r="Q75" i="197"/>
  <c r="Q79" i="197"/>
  <c r="Q83" i="197"/>
  <c r="Q87" i="197"/>
  <c r="Q70" i="197"/>
  <c r="Q74" i="197"/>
  <c r="Q78" i="197"/>
  <c r="Q93" i="197"/>
  <c r="Q98" i="197"/>
  <c r="Q104" i="197"/>
  <c r="Q108" i="197"/>
  <c r="Q90" i="197"/>
  <c r="Q91" i="197"/>
  <c r="Q97" i="197"/>
  <c r="Q102" i="197"/>
  <c r="Q103" i="197"/>
  <c r="Q86" i="197"/>
  <c r="Q89" i="197"/>
  <c r="Q95" i="197"/>
  <c r="Q101" i="197"/>
  <c r="Q82" i="197"/>
  <c r="Q94" i="197"/>
  <c r="Q99" i="197"/>
  <c r="Q105" i="197"/>
  <c r="Q109" i="197"/>
  <c r="Q113" i="197"/>
  <c r="Q117" i="197"/>
  <c r="Q121" i="197"/>
  <c r="Q125" i="197"/>
  <c r="Q129" i="197"/>
  <c r="Q133" i="197"/>
  <c r="Q111" i="197"/>
  <c r="Q116" i="197"/>
  <c r="Q122" i="197"/>
  <c r="Q127" i="197"/>
  <c r="Q132" i="197"/>
  <c r="Q136" i="197"/>
  <c r="Q140" i="197"/>
  <c r="Q144" i="197"/>
  <c r="Q148" i="197"/>
  <c r="Q152" i="197"/>
  <c r="Q156" i="197"/>
  <c r="Q110" i="197"/>
  <c r="Q115" i="197"/>
  <c r="Q120" i="197"/>
  <c r="Q126" i="197"/>
  <c r="Q131" i="197"/>
  <c r="Q135" i="197"/>
  <c r="Q139" i="197"/>
  <c r="Q143" i="197"/>
  <c r="Q147" i="197"/>
  <c r="Q107" i="197"/>
  <c r="Q114" i="197"/>
  <c r="Q119" i="197"/>
  <c r="Q124" i="197"/>
  <c r="Q130" i="197"/>
  <c r="Q138" i="197"/>
  <c r="Q142" i="197"/>
  <c r="Q146" i="197"/>
  <c r="Q106" i="197"/>
  <c r="Q112" i="197"/>
  <c r="Q118" i="197"/>
  <c r="Q123" i="197"/>
  <c r="Q128" i="197"/>
  <c r="Q134" i="197"/>
  <c r="Q137" i="197"/>
  <c r="Q141" i="197"/>
  <c r="Q145" i="197"/>
  <c r="Q149" i="197"/>
  <c r="Q153" i="197"/>
  <c r="Q157" i="197"/>
  <c r="Q161" i="197"/>
  <c r="Q165" i="197"/>
  <c r="Q169" i="197"/>
  <c r="Q158" i="197"/>
  <c r="Q163" i="197"/>
  <c r="Q167" i="197"/>
  <c r="Q151" i="197"/>
  <c r="Q162" i="197"/>
  <c r="Q150" i="197"/>
  <c r="Q160" i="197"/>
  <c r="Q166" i="197"/>
  <c r="Q171" i="197"/>
  <c r="Q155" i="197"/>
  <c r="Q159" i="197"/>
  <c r="Q164" i="197"/>
  <c r="Q170" i="197"/>
  <c r="Q3" i="197"/>
  <c r="Q154" i="197"/>
  <c r="Q168" i="197"/>
  <c r="Q177" i="197"/>
  <c r="Q175" i="197"/>
  <c r="Q176" i="197"/>
  <c r="R1" i="197"/>
  <c r="T20" i="194"/>
  <c r="R172" i="197" l="1"/>
  <c r="R174" i="197"/>
  <c r="R173" i="197"/>
  <c r="R61" i="197"/>
  <c r="R55" i="197"/>
  <c r="R62" i="197"/>
  <c r="R57" i="197"/>
  <c r="R64" i="197"/>
  <c r="R56" i="197"/>
  <c r="R63" i="197"/>
  <c r="R60" i="197"/>
  <c r="R58" i="197"/>
  <c r="R53" i="197"/>
  <c r="R65" i="197"/>
  <c r="R52" i="197"/>
  <c r="R54" i="197"/>
  <c r="R66" i="197"/>
  <c r="R59" i="197"/>
  <c r="R7" i="197"/>
  <c r="R11" i="197"/>
  <c r="R4" i="197"/>
  <c r="R9" i="197"/>
  <c r="R14" i="197"/>
  <c r="R18" i="197"/>
  <c r="R22" i="197"/>
  <c r="R26" i="197"/>
  <c r="R6" i="197"/>
  <c r="R8" i="197"/>
  <c r="R16" i="197"/>
  <c r="R21" i="197"/>
  <c r="R15" i="197"/>
  <c r="R20" i="197"/>
  <c r="R13" i="197"/>
  <c r="R25" i="197"/>
  <c r="R24" i="197"/>
  <c r="R29" i="197"/>
  <c r="R17" i="197"/>
  <c r="R27" i="197"/>
  <c r="R31" i="197"/>
  <c r="R10" i="197"/>
  <c r="R30" i="197"/>
  <c r="R35" i="197"/>
  <c r="R39" i="197"/>
  <c r="R43" i="197"/>
  <c r="R47" i="197"/>
  <c r="R5" i="197"/>
  <c r="R32" i="197"/>
  <c r="R37" i="197"/>
  <c r="R42" i="197"/>
  <c r="R48" i="197"/>
  <c r="R51" i="197"/>
  <c r="R19" i="197"/>
  <c r="R40" i="197"/>
  <c r="R46" i="197"/>
  <c r="R12" i="197"/>
  <c r="R38" i="197"/>
  <c r="R41" i="197"/>
  <c r="R23" i="197"/>
  <c r="R28" i="197"/>
  <c r="R33" i="197"/>
  <c r="R36" i="197"/>
  <c r="R44" i="197"/>
  <c r="R50" i="197"/>
  <c r="R34" i="197"/>
  <c r="R45" i="197"/>
  <c r="R49" i="197"/>
  <c r="R70" i="197"/>
  <c r="R74" i="197"/>
  <c r="R78" i="197"/>
  <c r="R82" i="197"/>
  <c r="R86" i="197"/>
  <c r="R69" i="197"/>
  <c r="R73" i="197"/>
  <c r="R77" i="197"/>
  <c r="R81" i="197"/>
  <c r="R85" i="197"/>
  <c r="R89" i="197"/>
  <c r="R93" i="197"/>
  <c r="R97" i="197"/>
  <c r="R101" i="197"/>
  <c r="R68" i="197"/>
  <c r="R72" i="197"/>
  <c r="R76" i="197"/>
  <c r="R80" i="197"/>
  <c r="R84" i="197"/>
  <c r="R88" i="197"/>
  <c r="R67" i="197"/>
  <c r="R71" i="197"/>
  <c r="R75" i="197"/>
  <c r="R79" i="197"/>
  <c r="R94" i="197"/>
  <c r="R99" i="197"/>
  <c r="R105" i="197"/>
  <c r="R109" i="197"/>
  <c r="R92" i="197"/>
  <c r="R98" i="197"/>
  <c r="R87" i="197"/>
  <c r="R90" i="197"/>
  <c r="R91" i="197"/>
  <c r="R96" i="197"/>
  <c r="R102" i="197"/>
  <c r="R103" i="197"/>
  <c r="R83" i="197"/>
  <c r="R95" i="197"/>
  <c r="R100" i="197"/>
  <c r="R106" i="197"/>
  <c r="R110" i="197"/>
  <c r="R114" i="197"/>
  <c r="R118" i="197"/>
  <c r="R122" i="197"/>
  <c r="R126" i="197"/>
  <c r="R130" i="197"/>
  <c r="R134" i="197"/>
  <c r="R104" i="197"/>
  <c r="R112" i="197"/>
  <c r="R117" i="197"/>
  <c r="R123" i="197"/>
  <c r="R128" i="197"/>
  <c r="R133" i="197"/>
  <c r="R137" i="197"/>
  <c r="R141" i="197"/>
  <c r="R145" i="197"/>
  <c r="R149" i="197"/>
  <c r="R153" i="197"/>
  <c r="R157" i="197"/>
  <c r="R111" i="197"/>
  <c r="R116" i="197"/>
  <c r="R121" i="197"/>
  <c r="R127" i="197"/>
  <c r="R132" i="197"/>
  <c r="R136" i="197"/>
  <c r="R140" i="197"/>
  <c r="R144" i="197"/>
  <c r="R108" i="197"/>
  <c r="R115" i="197"/>
  <c r="R120" i="197"/>
  <c r="R125" i="197"/>
  <c r="R131" i="197"/>
  <c r="R135" i="197"/>
  <c r="R139" i="197"/>
  <c r="R143" i="197"/>
  <c r="R147" i="197"/>
  <c r="R107" i="197"/>
  <c r="R113" i="197"/>
  <c r="R119" i="197"/>
  <c r="R124" i="197"/>
  <c r="R129" i="197"/>
  <c r="R138" i="197"/>
  <c r="R142" i="197"/>
  <c r="R146" i="197"/>
  <c r="R150" i="197"/>
  <c r="R154" i="197"/>
  <c r="R158" i="197"/>
  <c r="R162" i="197"/>
  <c r="R166" i="197"/>
  <c r="R170" i="197"/>
  <c r="R155" i="197"/>
  <c r="R159" i="197"/>
  <c r="R169" i="197"/>
  <c r="R3" i="197"/>
  <c r="R152" i="197"/>
  <c r="R163" i="197"/>
  <c r="R168" i="197"/>
  <c r="R151" i="197"/>
  <c r="R161" i="197"/>
  <c r="R167" i="197"/>
  <c r="R148" i="197"/>
  <c r="R156" i="197"/>
  <c r="R160" i="197"/>
  <c r="R165" i="197"/>
  <c r="R171" i="197"/>
  <c r="R164" i="197"/>
  <c r="R176" i="197"/>
  <c r="R175" i="197"/>
  <c r="R177" i="197"/>
  <c r="S1" i="197"/>
  <c r="T21" i="194"/>
  <c r="S172" i="197" l="1"/>
  <c r="S173" i="197"/>
  <c r="S174" i="197"/>
  <c r="S54" i="197"/>
  <c r="S66" i="197"/>
  <c r="S61" i="197"/>
  <c r="S65" i="197"/>
  <c r="S56" i="197"/>
  <c r="S60" i="197"/>
  <c r="S63" i="197"/>
  <c r="S53" i="197"/>
  <c r="S58" i="197"/>
  <c r="S55" i="197"/>
  <c r="S62" i="197"/>
  <c r="S57" i="197"/>
  <c r="S64" i="197"/>
  <c r="S59" i="197"/>
  <c r="S52" i="197"/>
  <c r="S4" i="197"/>
  <c r="S8" i="197"/>
  <c r="S12" i="197"/>
  <c r="S5" i="197"/>
  <c r="S10" i="197"/>
  <c r="S15" i="197"/>
  <c r="S19" i="197"/>
  <c r="S23" i="197"/>
  <c r="S27" i="197"/>
  <c r="S13" i="197"/>
  <c r="S17" i="197"/>
  <c r="S11" i="197"/>
  <c r="S14" i="197"/>
  <c r="S16" i="197"/>
  <c r="S21" i="197"/>
  <c r="S26" i="197"/>
  <c r="S29" i="197"/>
  <c r="S6" i="197"/>
  <c r="S24" i="197"/>
  <c r="S25" i="197"/>
  <c r="S31" i="197"/>
  <c r="S32" i="197"/>
  <c r="S36" i="197"/>
  <c r="S40" i="197"/>
  <c r="S44" i="197"/>
  <c r="S48" i="197"/>
  <c r="S18" i="197"/>
  <c r="S33" i="197"/>
  <c r="S38" i="197"/>
  <c r="S43" i="197"/>
  <c r="S7" i="197"/>
  <c r="S34" i="197"/>
  <c r="S37" i="197"/>
  <c r="S45" i="197"/>
  <c r="S49" i="197"/>
  <c r="S22" i="197"/>
  <c r="S30" i="197"/>
  <c r="S35" i="197"/>
  <c r="S46" i="197"/>
  <c r="S9" i="197"/>
  <c r="S41" i="197"/>
  <c r="S47" i="197"/>
  <c r="S51" i="197"/>
  <c r="S20" i="197"/>
  <c r="S28" i="197"/>
  <c r="S39" i="197"/>
  <c r="S42" i="197"/>
  <c r="S67" i="197"/>
  <c r="S71" i="197"/>
  <c r="S75" i="197"/>
  <c r="S79" i="197"/>
  <c r="S83" i="197"/>
  <c r="S87" i="197"/>
  <c r="S50" i="197"/>
  <c r="S70" i="197"/>
  <c r="S74" i="197"/>
  <c r="S78" i="197"/>
  <c r="S82" i="197"/>
  <c r="S86" i="197"/>
  <c r="S90" i="197"/>
  <c r="S94" i="197"/>
  <c r="S98" i="197"/>
  <c r="S102" i="197"/>
  <c r="S69" i="197"/>
  <c r="S73" i="197"/>
  <c r="S77" i="197"/>
  <c r="S81" i="197"/>
  <c r="S85" i="197"/>
  <c r="S89" i="197"/>
  <c r="S68" i="197"/>
  <c r="S72" i="197"/>
  <c r="S76" i="197"/>
  <c r="S80" i="197"/>
  <c r="S95" i="197"/>
  <c r="S100" i="197"/>
  <c r="S106" i="197"/>
  <c r="S110" i="197"/>
  <c r="S93" i="197"/>
  <c r="S99" i="197"/>
  <c r="S92" i="197"/>
  <c r="S97" i="197"/>
  <c r="S84" i="197"/>
  <c r="S88" i="197"/>
  <c r="S91" i="197"/>
  <c r="S96" i="197"/>
  <c r="S101" i="197"/>
  <c r="S103" i="197"/>
  <c r="S107" i="197"/>
  <c r="S111" i="197"/>
  <c r="S115" i="197"/>
  <c r="S119" i="197"/>
  <c r="S123" i="197"/>
  <c r="S127" i="197"/>
  <c r="S131" i="197"/>
  <c r="S105" i="197"/>
  <c r="S113" i="197"/>
  <c r="S118" i="197"/>
  <c r="S124" i="197"/>
  <c r="S129" i="197"/>
  <c r="S134" i="197"/>
  <c r="S138" i="197"/>
  <c r="S142" i="197"/>
  <c r="S146" i="197"/>
  <c r="S150" i="197"/>
  <c r="S154" i="197"/>
  <c r="S104" i="197"/>
  <c r="S112" i="197"/>
  <c r="S117" i="197"/>
  <c r="S122" i="197"/>
  <c r="S128" i="197"/>
  <c r="S133" i="197"/>
  <c r="S137" i="197"/>
  <c r="S141" i="197"/>
  <c r="S145" i="197"/>
  <c r="S109" i="197"/>
  <c r="S116" i="197"/>
  <c r="S121" i="197"/>
  <c r="S126" i="197"/>
  <c r="S132" i="197"/>
  <c r="S136" i="197"/>
  <c r="S140" i="197"/>
  <c r="S144" i="197"/>
  <c r="S148" i="197"/>
  <c r="S108" i="197"/>
  <c r="S114" i="197"/>
  <c r="S120" i="197"/>
  <c r="S125" i="197"/>
  <c r="S130" i="197"/>
  <c r="S135" i="197"/>
  <c r="S139" i="197"/>
  <c r="S143" i="197"/>
  <c r="S147" i="197"/>
  <c r="S151" i="197"/>
  <c r="S155" i="197"/>
  <c r="S159" i="197"/>
  <c r="S163" i="197"/>
  <c r="S167" i="197"/>
  <c r="S171" i="197"/>
  <c r="S3" i="197"/>
  <c r="S156" i="197"/>
  <c r="S153" i="197"/>
  <c r="S158" i="197"/>
  <c r="S164" i="197"/>
  <c r="S169" i="197"/>
  <c r="S152" i="197"/>
  <c r="S162" i="197"/>
  <c r="S168" i="197"/>
  <c r="S149" i="197"/>
  <c r="S157" i="197"/>
  <c r="S161" i="197"/>
  <c r="S166" i="197"/>
  <c r="S160" i="197"/>
  <c r="S165" i="197"/>
  <c r="S170" i="197"/>
  <c r="S175" i="197"/>
  <c r="S177" i="197"/>
  <c r="S176" i="197"/>
  <c r="T1" i="197"/>
  <c r="T13" i="194"/>
  <c r="T14" i="194"/>
  <c r="T15" i="194"/>
  <c r="T16" i="194"/>
  <c r="T17" i="194"/>
  <c r="T18" i="194"/>
  <c r="T19" i="194"/>
  <c r="T174" i="197" l="1"/>
  <c r="T173" i="197"/>
  <c r="T172" i="197"/>
  <c r="T59" i="197"/>
  <c r="T60" i="197"/>
  <c r="T54" i="197"/>
  <c r="T66" i="197"/>
  <c r="T53" i="197"/>
  <c r="T65" i="197"/>
  <c r="T61" i="197"/>
  <c r="T58" i="197"/>
  <c r="T56" i="197"/>
  <c r="T55" i="197"/>
  <c r="T63" i="197"/>
  <c r="T62" i="197"/>
  <c r="T64" i="197"/>
  <c r="T57" i="197"/>
  <c r="T52" i="197"/>
  <c r="T5" i="197"/>
  <c r="T9" i="197"/>
  <c r="T13" i="197"/>
  <c r="T4" i="197"/>
  <c r="T6" i="197"/>
  <c r="T11" i="197"/>
  <c r="T16" i="197"/>
  <c r="T20" i="197"/>
  <c r="T24" i="197"/>
  <c r="T28" i="197"/>
  <c r="T7" i="197"/>
  <c r="T10" i="197"/>
  <c r="T18" i="197"/>
  <c r="T8" i="197"/>
  <c r="T17" i="197"/>
  <c r="T12" i="197"/>
  <c r="T22" i="197"/>
  <c r="T27" i="197"/>
  <c r="T14" i="197"/>
  <c r="T15" i="197"/>
  <c r="T21" i="197"/>
  <c r="T23" i="197"/>
  <c r="T26" i="197"/>
  <c r="T30" i="197"/>
  <c r="T29" i="197"/>
  <c r="T33" i="197"/>
  <c r="T37" i="197"/>
  <c r="T41" i="197"/>
  <c r="T45" i="197"/>
  <c r="T19" i="197"/>
  <c r="T34" i="197"/>
  <c r="T39" i="197"/>
  <c r="T44" i="197"/>
  <c r="T49" i="197"/>
  <c r="T25" i="197"/>
  <c r="T42" i="197"/>
  <c r="T48" i="197"/>
  <c r="T50" i="197"/>
  <c r="T32" i="197"/>
  <c r="T40" i="197"/>
  <c r="T43" i="197"/>
  <c r="T31" i="197"/>
  <c r="T35" i="197"/>
  <c r="T38" i="197"/>
  <c r="T46" i="197"/>
  <c r="T36" i="197"/>
  <c r="T47" i="197"/>
  <c r="T68" i="197"/>
  <c r="T72" i="197"/>
  <c r="T76" i="197"/>
  <c r="T80" i="197"/>
  <c r="T84" i="197"/>
  <c r="T67" i="197"/>
  <c r="T71" i="197"/>
  <c r="T75" i="197"/>
  <c r="T79" i="197"/>
  <c r="T83" i="197"/>
  <c r="T87" i="197"/>
  <c r="T91" i="197"/>
  <c r="T95" i="197"/>
  <c r="T99" i="197"/>
  <c r="T70" i="197"/>
  <c r="T74" i="197"/>
  <c r="T78" i="197"/>
  <c r="T82" i="197"/>
  <c r="T86" i="197"/>
  <c r="T90" i="197"/>
  <c r="T51" i="197"/>
  <c r="T69" i="197"/>
  <c r="T73" i="197"/>
  <c r="T77" i="197"/>
  <c r="T81" i="197"/>
  <c r="T88" i="197"/>
  <c r="T96" i="197"/>
  <c r="T101" i="197"/>
  <c r="T103" i="197"/>
  <c r="T107" i="197"/>
  <c r="T94" i="197"/>
  <c r="T100" i="197"/>
  <c r="T93" i="197"/>
  <c r="T98" i="197"/>
  <c r="T85" i="197"/>
  <c r="T89" i="197"/>
  <c r="T92" i="197"/>
  <c r="T97" i="197"/>
  <c r="T102" i="197"/>
  <c r="T104" i="197"/>
  <c r="T108" i="197"/>
  <c r="T112" i="197"/>
  <c r="T116" i="197"/>
  <c r="T120" i="197"/>
  <c r="T124" i="197"/>
  <c r="T128" i="197"/>
  <c r="T132" i="197"/>
  <c r="T106" i="197"/>
  <c r="T114" i="197"/>
  <c r="T119" i="197"/>
  <c r="T125" i="197"/>
  <c r="T130" i="197"/>
  <c r="T135" i="197"/>
  <c r="T139" i="197"/>
  <c r="T143" i="197"/>
  <c r="T147" i="197"/>
  <c r="T151" i="197"/>
  <c r="T155" i="197"/>
  <c r="T105" i="197"/>
  <c r="T113" i="197"/>
  <c r="T118" i="197"/>
  <c r="T123" i="197"/>
  <c r="T129" i="197"/>
  <c r="T134" i="197"/>
  <c r="T138" i="197"/>
  <c r="T142" i="197"/>
  <c r="T146" i="197"/>
  <c r="T110" i="197"/>
  <c r="T111" i="197"/>
  <c r="T117" i="197"/>
  <c r="T122" i="197"/>
  <c r="T127" i="197"/>
  <c r="T133" i="197"/>
  <c r="T137" i="197"/>
  <c r="T141" i="197"/>
  <c r="T145" i="197"/>
  <c r="T109" i="197"/>
  <c r="T115" i="197"/>
  <c r="T121" i="197"/>
  <c r="T126" i="197"/>
  <c r="T131" i="197"/>
  <c r="T136" i="197"/>
  <c r="T140" i="197"/>
  <c r="T144" i="197"/>
  <c r="T148" i="197"/>
  <c r="T152" i="197"/>
  <c r="T156" i="197"/>
  <c r="T160" i="197"/>
  <c r="T164" i="197"/>
  <c r="T168" i="197"/>
  <c r="T157" i="197"/>
  <c r="T161" i="197"/>
  <c r="T154" i="197"/>
  <c r="T159" i="197"/>
  <c r="T165" i="197"/>
  <c r="T3" i="197"/>
  <c r="T153" i="197"/>
  <c r="T158" i="197"/>
  <c r="T163" i="197"/>
  <c r="T169" i="197"/>
  <c r="T170" i="197"/>
  <c r="T150" i="197"/>
  <c r="T162" i="197"/>
  <c r="T167" i="197"/>
  <c r="T149" i="197"/>
  <c r="T166" i="197"/>
  <c r="T171" i="197"/>
  <c r="T176" i="197"/>
  <c r="T177" i="197"/>
  <c r="T175" i="197"/>
  <c r="U1" i="197"/>
  <c r="T12" i="194"/>
  <c r="U173" i="197" l="1"/>
  <c r="U174" i="197"/>
  <c r="U172" i="197"/>
  <c r="U52" i="197"/>
  <c r="U64" i="197"/>
  <c r="U59" i="197"/>
  <c r="U63" i="197"/>
  <c r="U58" i="197"/>
  <c r="U53" i="197"/>
  <c r="U60" i="197"/>
  <c r="U55" i="197"/>
  <c r="U54" i="197"/>
  <c r="U66" i="197"/>
  <c r="U65" i="197"/>
  <c r="U61" i="197"/>
  <c r="U56" i="197"/>
  <c r="U62" i="197"/>
  <c r="U57" i="197"/>
  <c r="U6" i="197"/>
  <c r="U10" i="197"/>
  <c r="U14" i="197"/>
  <c r="U5" i="197"/>
  <c r="U7" i="197"/>
  <c r="U12" i="197"/>
  <c r="U17" i="197"/>
  <c r="U21" i="197"/>
  <c r="U25" i="197"/>
  <c r="U4" i="197"/>
  <c r="U19" i="197"/>
  <c r="U13" i="197"/>
  <c r="U18" i="197"/>
  <c r="U15" i="197"/>
  <c r="U23" i="197"/>
  <c r="U28" i="197"/>
  <c r="U9" i="197"/>
  <c r="U20" i="197"/>
  <c r="U31" i="197"/>
  <c r="U8" i="197"/>
  <c r="U11" i="197"/>
  <c r="U16" i="197"/>
  <c r="U26" i="197"/>
  <c r="U30" i="197"/>
  <c r="U24" i="197"/>
  <c r="U34" i="197"/>
  <c r="U38" i="197"/>
  <c r="U42" i="197"/>
  <c r="U46" i="197"/>
  <c r="U22" i="197"/>
  <c r="U27" i="197"/>
  <c r="U35" i="197"/>
  <c r="U40" i="197"/>
  <c r="U45" i="197"/>
  <c r="U50" i="197"/>
  <c r="U36" i="197"/>
  <c r="U39" i="197"/>
  <c r="U47" i="197"/>
  <c r="U51" i="197"/>
  <c r="U29" i="197"/>
  <c r="U37" i="197"/>
  <c r="U48" i="197"/>
  <c r="U49" i="197"/>
  <c r="U32" i="197"/>
  <c r="U43" i="197"/>
  <c r="U33" i="197"/>
  <c r="U41" i="197"/>
  <c r="U44" i="197"/>
  <c r="U69" i="197"/>
  <c r="U73" i="197"/>
  <c r="U77" i="197"/>
  <c r="U81" i="197"/>
  <c r="U85" i="197"/>
  <c r="U68" i="197"/>
  <c r="U72" i="197"/>
  <c r="U76" i="197"/>
  <c r="U80" i="197"/>
  <c r="U84" i="197"/>
  <c r="U88" i="197"/>
  <c r="U92" i="197"/>
  <c r="U96" i="197"/>
  <c r="U100" i="197"/>
  <c r="U67" i="197"/>
  <c r="U71" i="197"/>
  <c r="U75" i="197"/>
  <c r="U79" i="197"/>
  <c r="U83" i="197"/>
  <c r="U87" i="197"/>
  <c r="U70" i="197"/>
  <c r="U74" i="197"/>
  <c r="U78" i="197"/>
  <c r="U82" i="197"/>
  <c r="U89" i="197"/>
  <c r="U91" i="197"/>
  <c r="U97" i="197"/>
  <c r="U102" i="197"/>
  <c r="U104" i="197"/>
  <c r="U108" i="197"/>
  <c r="U95" i="197"/>
  <c r="U101" i="197"/>
  <c r="U103" i="197"/>
  <c r="U94" i="197"/>
  <c r="U99" i="197"/>
  <c r="U86" i="197"/>
  <c r="U90" i="197"/>
  <c r="U93" i="197"/>
  <c r="U98" i="197"/>
  <c r="U105" i="197"/>
  <c r="U109" i="197"/>
  <c r="U113" i="197"/>
  <c r="U117" i="197"/>
  <c r="U121" i="197"/>
  <c r="U125" i="197"/>
  <c r="U129" i="197"/>
  <c r="U133" i="197"/>
  <c r="U107" i="197"/>
  <c r="U115" i="197"/>
  <c r="U120" i="197"/>
  <c r="U126" i="197"/>
  <c r="U131" i="197"/>
  <c r="U136" i="197"/>
  <c r="U140" i="197"/>
  <c r="U144" i="197"/>
  <c r="U148" i="197"/>
  <c r="U152" i="197"/>
  <c r="U156" i="197"/>
  <c r="U106" i="197"/>
  <c r="U114" i="197"/>
  <c r="U119" i="197"/>
  <c r="U124" i="197"/>
  <c r="U130" i="197"/>
  <c r="U135" i="197"/>
  <c r="U139" i="197"/>
  <c r="U143" i="197"/>
  <c r="U112" i="197"/>
  <c r="U118" i="197"/>
  <c r="U123" i="197"/>
  <c r="U128" i="197"/>
  <c r="U134" i="197"/>
  <c r="U138" i="197"/>
  <c r="U142" i="197"/>
  <c r="U146" i="197"/>
  <c r="U110" i="197"/>
  <c r="U111" i="197"/>
  <c r="U116" i="197"/>
  <c r="U122" i="197"/>
  <c r="U127" i="197"/>
  <c r="U132" i="197"/>
  <c r="U137" i="197"/>
  <c r="U141" i="197"/>
  <c r="U145" i="197"/>
  <c r="U149" i="197"/>
  <c r="U153" i="197"/>
  <c r="U157" i="197"/>
  <c r="U161" i="197"/>
  <c r="U165" i="197"/>
  <c r="U169" i="197"/>
  <c r="U167" i="197"/>
  <c r="U155" i="197"/>
  <c r="U160" i="197"/>
  <c r="U166" i="197"/>
  <c r="U171" i="197"/>
  <c r="U154" i="197"/>
  <c r="U159" i="197"/>
  <c r="U164" i="197"/>
  <c r="U170" i="197"/>
  <c r="U3" i="197"/>
  <c r="U151" i="197"/>
  <c r="U158" i="197"/>
  <c r="U163" i="197"/>
  <c r="U168" i="197"/>
  <c r="U147" i="197"/>
  <c r="U150" i="197"/>
  <c r="U162" i="197"/>
  <c r="U177" i="197"/>
  <c r="U175" i="197"/>
  <c r="U176" i="197"/>
  <c r="V1" i="197"/>
  <c r="T65" i="192"/>
  <c r="T69" i="192"/>
  <c r="T6" i="194"/>
  <c r="T7" i="194"/>
  <c r="T8" i="194"/>
  <c r="T9" i="194"/>
  <c r="T10" i="194"/>
  <c r="T11" i="194"/>
  <c r="T5" i="194"/>
  <c r="B35" i="194"/>
  <c r="V173" i="197" l="1"/>
  <c r="V172" i="197"/>
  <c r="V174" i="197"/>
  <c r="V57" i="197"/>
  <c r="V60" i="197"/>
  <c r="V52" i="197"/>
  <c r="V64" i="197"/>
  <c r="V63" i="197"/>
  <c r="V58" i="197"/>
  <c r="V65" i="197"/>
  <c r="V59" i="197"/>
  <c r="V54" i="197"/>
  <c r="V66" i="197"/>
  <c r="V56" i="197"/>
  <c r="V61" i="197"/>
  <c r="V53" i="197"/>
  <c r="V55" i="197"/>
  <c r="V62" i="197"/>
  <c r="V7" i="197"/>
  <c r="V11" i="197"/>
  <c r="V6" i="197"/>
  <c r="V8" i="197"/>
  <c r="V13" i="197"/>
  <c r="V18" i="197"/>
  <c r="V22" i="197"/>
  <c r="V26" i="197"/>
  <c r="V5" i="197"/>
  <c r="V9" i="197"/>
  <c r="V12" i="197"/>
  <c r="V15" i="197"/>
  <c r="V20" i="197"/>
  <c r="V4" i="197"/>
  <c r="V10" i="197"/>
  <c r="V19" i="197"/>
  <c r="V16" i="197"/>
  <c r="V24" i="197"/>
  <c r="V25" i="197"/>
  <c r="V28" i="197"/>
  <c r="V14" i="197"/>
  <c r="V21" i="197"/>
  <c r="V23" i="197"/>
  <c r="V31" i="197"/>
  <c r="V35" i="197"/>
  <c r="V39" i="197"/>
  <c r="V43" i="197"/>
  <c r="V47" i="197"/>
  <c r="V29" i="197"/>
  <c r="V36" i="197"/>
  <c r="V41" i="197"/>
  <c r="V46" i="197"/>
  <c r="V51" i="197"/>
  <c r="V33" i="197"/>
  <c r="V44" i="197"/>
  <c r="V34" i="197"/>
  <c r="V42" i="197"/>
  <c r="V45" i="197"/>
  <c r="V50" i="197"/>
  <c r="V27" i="197"/>
  <c r="V30" i="197"/>
  <c r="V37" i="197"/>
  <c r="V40" i="197"/>
  <c r="V48" i="197"/>
  <c r="V49" i="197"/>
  <c r="V17" i="197"/>
  <c r="V32" i="197"/>
  <c r="V38" i="197"/>
  <c r="V70" i="197"/>
  <c r="V74" i="197"/>
  <c r="V78" i="197"/>
  <c r="V82" i="197"/>
  <c r="V86" i="197"/>
  <c r="V69" i="197"/>
  <c r="V73" i="197"/>
  <c r="V77" i="197"/>
  <c r="V81" i="197"/>
  <c r="V85" i="197"/>
  <c r="V89" i="197"/>
  <c r="V93" i="197"/>
  <c r="V97" i="197"/>
  <c r="V101" i="197"/>
  <c r="V68" i="197"/>
  <c r="V72" i="197"/>
  <c r="V76" i="197"/>
  <c r="V80" i="197"/>
  <c r="V84" i="197"/>
  <c r="V88" i="197"/>
  <c r="V67" i="197"/>
  <c r="V71" i="197"/>
  <c r="V75" i="197"/>
  <c r="V79" i="197"/>
  <c r="V83" i="197"/>
  <c r="V90" i="197"/>
  <c r="V92" i="197"/>
  <c r="V98" i="197"/>
  <c r="V105" i="197"/>
  <c r="V109" i="197"/>
  <c r="V91" i="197"/>
  <c r="V96" i="197"/>
  <c r="V102" i="197"/>
  <c r="V95" i="197"/>
  <c r="V100" i="197"/>
  <c r="V103" i="197"/>
  <c r="V87" i="197"/>
  <c r="V94" i="197"/>
  <c r="V99" i="197"/>
  <c r="V106" i="197"/>
  <c r="V110" i="197"/>
  <c r="V114" i="197"/>
  <c r="V118" i="197"/>
  <c r="V122" i="197"/>
  <c r="V126" i="197"/>
  <c r="V130" i="197"/>
  <c r="V134" i="197"/>
  <c r="V108" i="197"/>
  <c r="V111" i="197"/>
  <c r="V116" i="197"/>
  <c r="V121" i="197"/>
  <c r="V127" i="197"/>
  <c r="V132" i="197"/>
  <c r="V137" i="197"/>
  <c r="V141" i="197"/>
  <c r="V145" i="197"/>
  <c r="V149" i="197"/>
  <c r="V153" i="197"/>
  <c r="V157" i="197"/>
  <c r="V107" i="197"/>
  <c r="V115" i="197"/>
  <c r="V120" i="197"/>
  <c r="V125" i="197"/>
  <c r="V131" i="197"/>
  <c r="V136" i="197"/>
  <c r="V140" i="197"/>
  <c r="V144" i="197"/>
  <c r="V104" i="197"/>
  <c r="V113" i="197"/>
  <c r="V119" i="197"/>
  <c r="V124" i="197"/>
  <c r="V129" i="197"/>
  <c r="V135" i="197"/>
  <c r="V139" i="197"/>
  <c r="V143" i="197"/>
  <c r="V147" i="197"/>
  <c r="V112" i="197"/>
  <c r="V117" i="197"/>
  <c r="V123" i="197"/>
  <c r="V128" i="197"/>
  <c r="V133" i="197"/>
  <c r="V138" i="197"/>
  <c r="V142" i="197"/>
  <c r="V146" i="197"/>
  <c r="V150" i="197"/>
  <c r="V154" i="197"/>
  <c r="V158" i="197"/>
  <c r="V162" i="197"/>
  <c r="V166" i="197"/>
  <c r="V170" i="197"/>
  <c r="V168" i="197"/>
  <c r="V156" i="197"/>
  <c r="V161" i="197"/>
  <c r="V167" i="197"/>
  <c r="V155" i="197"/>
  <c r="V160" i="197"/>
  <c r="V165" i="197"/>
  <c r="V171" i="197"/>
  <c r="V152" i="197"/>
  <c r="V159" i="197"/>
  <c r="V164" i="197"/>
  <c r="V169" i="197"/>
  <c r="V3" i="197"/>
  <c r="V148" i="197"/>
  <c r="V151" i="197"/>
  <c r="V163" i="197"/>
  <c r="V176" i="197"/>
  <c r="V175" i="197"/>
  <c r="V177" i="197"/>
  <c r="W1" i="197"/>
  <c r="T34" i="194"/>
  <c r="W174" i="197" l="1"/>
  <c r="W173" i="197"/>
  <c r="W172" i="197"/>
  <c r="W62" i="197"/>
  <c r="W57" i="197"/>
  <c r="W61" i="197"/>
  <c r="W65" i="197"/>
  <c r="W52" i="197"/>
  <c r="W64" i="197"/>
  <c r="W56" i="197"/>
  <c r="W58" i="197"/>
  <c r="W59" i="197"/>
  <c r="W54" i="197"/>
  <c r="W66" i="197"/>
  <c r="W63" i="197"/>
  <c r="W53" i="197"/>
  <c r="W60" i="197"/>
  <c r="W55" i="197"/>
  <c r="W4" i="197"/>
  <c r="W8" i="197"/>
  <c r="W12" i="197"/>
  <c r="W9" i="197"/>
  <c r="W14" i="197"/>
  <c r="W15" i="197"/>
  <c r="W19" i="197"/>
  <c r="W23" i="197"/>
  <c r="W27" i="197"/>
  <c r="W6" i="197"/>
  <c r="W16" i="197"/>
  <c r="W21" i="197"/>
  <c r="W5" i="197"/>
  <c r="W7" i="197"/>
  <c r="W20" i="197"/>
  <c r="W11" i="197"/>
  <c r="W17" i="197"/>
  <c r="W25" i="197"/>
  <c r="W22" i="197"/>
  <c r="W29" i="197"/>
  <c r="W28" i="197"/>
  <c r="W10" i="197"/>
  <c r="W32" i="197"/>
  <c r="W36" i="197"/>
  <c r="W40" i="197"/>
  <c r="W44" i="197"/>
  <c r="W48" i="197"/>
  <c r="W30" i="197"/>
  <c r="W37" i="197"/>
  <c r="W42" i="197"/>
  <c r="W47" i="197"/>
  <c r="W38" i="197"/>
  <c r="W41" i="197"/>
  <c r="W26" i="197"/>
  <c r="W33" i="197"/>
  <c r="W39" i="197"/>
  <c r="W51" i="197"/>
  <c r="W13" i="197"/>
  <c r="W18" i="197"/>
  <c r="W34" i="197"/>
  <c r="W45" i="197"/>
  <c r="W50" i="197"/>
  <c r="W24" i="197"/>
  <c r="W31" i="197"/>
  <c r="W35" i="197"/>
  <c r="W43" i="197"/>
  <c r="W46" i="197"/>
  <c r="W49" i="197"/>
  <c r="W67" i="197"/>
  <c r="W71" i="197"/>
  <c r="W75" i="197"/>
  <c r="W79" i="197"/>
  <c r="W83" i="197"/>
  <c r="W87" i="197"/>
  <c r="W70" i="197"/>
  <c r="W74" i="197"/>
  <c r="W78" i="197"/>
  <c r="W82" i="197"/>
  <c r="W86" i="197"/>
  <c r="W90" i="197"/>
  <c r="W94" i="197"/>
  <c r="W98" i="197"/>
  <c r="W102" i="197"/>
  <c r="W69" i="197"/>
  <c r="W73" i="197"/>
  <c r="W77" i="197"/>
  <c r="W81" i="197"/>
  <c r="W85" i="197"/>
  <c r="W89" i="197"/>
  <c r="W68" i="197"/>
  <c r="W72" i="197"/>
  <c r="W76" i="197"/>
  <c r="W80" i="197"/>
  <c r="W84" i="197"/>
  <c r="W93" i="197"/>
  <c r="W99" i="197"/>
  <c r="W106" i="197"/>
  <c r="W110" i="197"/>
  <c r="W88" i="197"/>
  <c r="W92" i="197"/>
  <c r="W97" i="197"/>
  <c r="W91" i="197"/>
  <c r="W96" i="197"/>
  <c r="W101" i="197"/>
  <c r="W95" i="197"/>
  <c r="W100" i="197"/>
  <c r="W103" i="197"/>
  <c r="W107" i="197"/>
  <c r="W111" i="197"/>
  <c r="W115" i="197"/>
  <c r="W119" i="197"/>
  <c r="W123" i="197"/>
  <c r="W127" i="197"/>
  <c r="W131" i="197"/>
  <c r="W109" i="197"/>
  <c r="W112" i="197"/>
  <c r="W117" i="197"/>
  <c r="W122" i="197"/>
  <c r="W128" i="197"/>
  <c r="W133" i="197"/>
  <c r="W138" i="197"/>
  <c r="W142" i="197"/>
  <c r="W146" i="197"/>
  <c r="W150" i="197"/>
  <c r="W154" i="197"/>
  <c r="W108" i="197"/>
  <c r="W116" i="197"/>
  <c r="W121" i="197"/>
  <c r="W126" i="197"/>
  <c r="W132" i="197"/>
  <c r="W137" i="197"/>
  <c r="W141" i="197"/>
  <c r="W145" i="197"/>
  <c r="W105" i="197"/>
  <c r="W114" i="197"/>
  <c r="W120" i="197"/>
  <c r="W125" i="197"/>
  <c r="W130" i="197"/>
  <c r="W136" i="197"/>
  <c r="W140" i="197"/>
  <c r="W144" i="197"/>
  <c r="W148" i="197"/>
  <c r="W104" i="197"/>
  <c r="W113" i="197"/>
  <c r="W118" i="197"/>
  <c r="W124" i="197"/>
  <c r="W129" i="197"/>
  <c r="W134" i="197"/>
  <c r="W135" i="197"/>
  <c r="W139" i="197"/>
  <c r="W143" i="197"/>
  <c r="W147" i="197"/>
  <c r="W151" i="197"/>
  <c r="W155" i="197"/>
  <c r="W159" i="197"/>
  <c r="W163" i="197"/>
  <c r="W167" i="197"/>
  <c r="W171" i="197"/>
  <c r="W3" i="197"/>
  <c r="W164" i="197"/>
  <c r="W168" i="197"/>
  <c r="W149" i="197"/>
  <c r="W157" i="197"/>
  <c r="W162" i="197"/>
  <c r="W156" i="197"/>
  <c r="W161" i="197"/>
  <c r="W166" i="197"/>
  <c r="W153" i="197"/>
  <c r="W160" i="197"/>
  <c r="W165" i="197"/>
  <c r="W170" i="197"/>
  <c r="W152" i="197"/>
  <c r="W158" i="197"/>
  <c r="W169" i="197"/>
  <c r="W175" i="197"/>
  <c r="W177" i="197"/>
  <c r="W176" i="197"/>
  <c r="X1" i="197"/>
  <c r="F6" i="192"/>
  <c r="X174" i="197" l="1"/>
  <c r="X173" i="197"/>
  <c r="X172" i="197"/>
  <c r="X55" i="197"/>
  <c r="X54" i="197"/>
  <c r="X61" i="197"/>
  <c r="X62" i="197"/>
  <c r="X56" i="197"/>
  <c r="X58" i="197"/>
  <c r="X57" i="197"/>
  <c r="X66" i="197"/>
  <c r="X52" i="197"/>
  <c r="X64" i="197"/>
  <c r="X63" i="197"/>
  <c r="X59" i="197"/>
  <c r="X53" i="197"/>
  <c r="X65" i="197"/>
  <c r="X60" i="197"/>
  <c r="X5" i="197"/>
  <c r="X9" i="197"/>
  <c r="X13" i="197"/>
  <c r="X4" i="197"/>
  <c r="X10" i="197"/>
  <c r="X16" i="197"/>
  <c r="X20" i="197"/>
  <c r="X24" i="197"/>
  <c r="X28" i="197"/>
  <c r="X7" i="197"/>
  <c r="X11" i="197"/>
  <c r="X14" i="197"/>
  <c r="X17" i="197"/>
  <c r="X6" i="197"/>
  <c r="X12" i="197"/>
  <c r="X15" i="197"/>
  <c r="X18" i="197"/>
  <c r="X26" i="197"/>
  <c r="X19" i="197"/>
  <c r="X27" i="197"/>
  <c r="X30" i="197"/>
  <c r="X22" i="197"/>
  <c r="X25" i="197"/>
  <c r="X29" i="197"/>
  <c r="X8" i="197"/>
  <c r="X21" i="197"/>
  <c r="X23" i="197"/>
  <c r="X33" i="197"/>
  <c r="X37" i="197"/>
  <c r="X41" i="197"/>
  <c r="X45" i="197"/>
  <c r="X31" i="197"/>
  <c r="X32" i="197"/>
  <c r="X38" i="197"/>
  <c r="X43" i="197"/>
  <c r="X48" i="197"/>
  <c r="X49" i="197"/>
  <c r="X35" i="197"/>
  <c r="X46" i="197"/>
  <c r="X36" i="197"/>
  <c r="X44" i="197"/>
  <c r="X47" i="197"/>
  <c r="X39" i="197"/>
  <c r="X42" i="197"/>
  <c r="X51" i="197"/>
  <c r="X34" i="197"/>
  <c r="X40" i="197"/>
  <c r="X68" i="197"/>
  <c r="X72" i="197"/>
  <c r="X76" i="197"/>
  <c r="X80" i="197"/>
  <c r="X84" i="197"/>
  <c r="X67" i="197"/>
  <c r="X71" i="197"/>
  <c r="X75" i="197"/>
  <c r="X79" i="197"/>
  <c r="X83" i="197"/>
  <c r="X87" i="197"/>
  <c r="X91" i="197"/>
  <c r="X95" i="197"/>
  <c r="X99" i="197"/>
  <c r="X50" i="197"/>
  <c r="X70" i="197"/>
  <c r="X74" i="197"/>
  <c r="X78" i="197"/>
  <c r="X82" i="197"/>
  <c r="X86" i="197"/>
  <c r="X90" i="197"/>
  <c r="X69" i="197"/>
  <c r="X73" i="197"/>
  <c r="X77" i="197"/>
  <c r="X85" i="197"/>
  <c r="X94" i="197"/>
  <c r="X100" i="197"/>
  <c r="X103" i="197"/>
  <c r="X107" i="197"/>
  <c r="X81" i="197"/>
  <c r="X89" i="197"/>
  <c r="X93" i="197"/>
  <c r="X98" i="197"/>
  <c r="X88" i="197"/>
  <c r="X92" i="197"/>
  <c r="X97" i="197"/>
  <c r="X102" i="197"/>
  <c r="X96" i="197"/>
  <c r="X101" i="197"/>
  <c r="X104" i="197"/>
  <c r="X108" i="197"/>
  <c r="X112" i="197"/>
  <c r="X116" i="197"/>
  <c r="X120" i="197"/>
  <c r="X124" i="197"/>
  <c r="X128" i="197"/>
  <c r="X132" i="197"/>
  <c r="X110" i="197"/>
  <c r="X113" i="197"/>
  <c r="X118" i="197"/>
  <c r="X123" i="197"/>
  <c r="X129" i="197"/>
  <c r="X134" i="197"/>
  <c r="X135" i="197"/>
  <c r="X139" i="197"/>
  <c r="X143" i="197"/>
  <c r="X147" i="197"/>
  <c r="X151" i="197"/>
  <c r="X155" i="197"/>
  <c r="X109" i="197"/>
  <c r="X111" i="197"/>
  <c r="X117" i="197"/>
  <c r="X122" i="197"/>
  <c r="X127" i="197"/>
  <c r="X133" i="197"/>
  <c r="X138" i="197"/>
  <c r="X142" i="197"/>
  <c r="X146" i="197"/>
  <c r="X106" i="197"/>
  <c r="X115" i="197"/>
  <c r="X121" i="197"/>
  <c r="X126" i="197"/>
  <c r="X131" i="197"/>
  <c r="X137" i="197"/>
  <c r="X141" i="197"/>
  <c r="X145" i="197"/>
  <c r="X105" i="197"/>
  <c r="X114" i="197"/>
  <c r="X119" i="197"/>
  <c r="X125" i="197"/>
  <c r="X130" i="197"/>
  <c r="X136" i="197"/>
  <c r="X140" i="197"/>
  <c r="X144" i="197"/>
  <c r="X148" i="197"/>
  <c r="X152" i="197"/>
  <c r="X156" i="197"/>
  <c r="X160" i="197"/>
  <c r="X164" i="197"/>
  <c r="X168" i="197"/>
  <c r="X153" i="197"/>
  <c r="X165" i="197"/>
  <c r="X170" i="197"/>
  <c r="X150" i="197"/>
  <c r="X158" i="197"/>
  <c r="X163" i="197"/>
  <c r="X149" i="197"/>
  <c r="X157" i="197"/>
  <c r="X162" i="197"/>
  <c r="X167" i="197"/>
  <c r="X154" i="197"/>
  <c r="X161" i="197"/>
  <c r="X166" i="197"/>
  <c r="X171" i="197"/>
  <c r="X159" i="197"/>
  <c r="X3" i="197"/>
  <c r="X169" i="197"/>
  <c r="X176" i="197"/>
  <c r="X177" i="197"/>
  <c r="X175" i="197"/>
  <c r="Y1" i="197"/>
  <c r="T64" i="192"/>
  <c r="T66" i="192"/>
  <c r="T67" i="192"/>
  <c r="T68" i="192"/>
  <c r="Y174" i="197" l="1"/>
  <c r="Y173" i="197"/>
  <c r="Y172" i="197"/>
  <c r="Y60" i="197"/>
  <c r="Y66" i="197"/>
  <c r="Y55" i="197"/>
  <c r="Y59" i="197"/>
  <c r="Y61" i="197"/>
  <c r="Y62" i="197"/>
  <c r="Y57" i="197"/>
  <c r="Y54" i="197"/>
  <c r="Y63" i="197"/>
  <c r="Y52" i="197"/>
  <c r="Y64" i="197"/>
  <c r="Y56" i="197"/>
  <c r="Y65" i="197"/>
  <c r="Y58" i="197"/>
  <c r="Y53" i="197"/>
  <c r="Y6" i="197"/>
  <c r="Y10" i="197"/>
  <c r="Y14" i="197"/>
  <c r="Y4" i="197"/>
  <c r="Y5" i="197"/>
  <c r="Y11" i="197"/>
  <c r="Y17" i="197"/>
  <c r="Y21" i="197"/>
  <c r="Y25" i="197"/>
  <c r="Y8" i="197"/>
  <c r="Y18" i="197"/>
  <c r="Y9" i="197"/>
  <c r="Y16" i="197"/>
  <c r="Y19" i="197"/>
  <c r="Y22" i="197"/>
  <c r="Y27" i="197"/>
  <c r="Y7" i="197"/>
  <c r="Y12" i="197"/>
  <c r="Y24" i="197"/>
  <c r="Y31" i="197"/>
  <c r="Y15" i="197"/>
  <c r="Y20" i="197"/>
  <c r="Y30" i="197"/>
  <c r="Y28" i="197"/>
  <c r="Y29" i="197"/>
  <c r="Y34" i="197"/>
  <c r="Y38" i="197"/>
  <c r="Y42" i="197"/>
  <c r="Y46" i="197"/>
  <c r="Y33" i="197"/>
  <c r="Y39" i="197"/>
  <c r="Y44" i="197"/>
  <c r="Y50" i="197"/>
  <c r="Y32" i="197"/>
  <c r="Y40" i="197"/>
  <c r="Y43" i="197"/>
  <c r="Y49" i="197"/>
  <c r="Y35" i="197"/>
  <c r="Y41" i="197"/>
  <c r="Y26" i="197"/>
  <c r="Y36" i="197"/>
  <c r="Y47" i="197"/>
  <c r="Y13" i="197"/>
  <c r="Y23" i="197"/>
  <c r="Y37" i="197"/>
  <c r="Y45" i="197"/>
  <c r="Y48" i="197"/>
  <c r="Y51" i="197"/>
  <c r="Y69" i="197"/>
  <c r="Y73" i="197"/>
  <c r="Y77" i="197"/>
  <c r="Y81" i="197"/>
  <c r="Y85" i="197"/>
  <c r="Y68" i="197"/>
  <c r="Y72" i="197"/>
  <c r="Y76" i="197"/>
  <c r="Y80" i="197"/>
  <c r="Y84" i="197"/>
  <c r="Y88" i="197"/>
  <c r="Y92" i="197"/>
  <c r="Y96" i="197"/>
  <c r="Y100" i="197"/>
  <c r="Y67" i="197"/>
  <c r="Y71" i="197"/>
  <c r="Y75" i="197"/>
  <c r="Y79" i="197"/>
  <c r="Y83" i="197"/>
  <c r="Y87" i="197"/>
  <c r="Y70" i="197"/>
  <c r="Y74" i="197"/>
  <c r="Y78" i="197"/>
  <c r="Y86" i="197"/>
  <c r="Y95" i="197"/>
  <c r="Y101" i="197"/>
  <c r="Y104" i="197"/>
  <c r="Y108" i="197"/>
  <c r="Y82" i="197"/>
  <c r="Y90" i="197"/>
  <c r="Y94" i="197"/>
  <c r="Y99" i="197"/>
  <c r="Y103" i="197"/>
  <c r="Y89" i="197"/>
  <c r="Y93" i="197"/>
  <c r="Y98" i="197"/>
  <c r="Y91" i="197"/>
  <c r="Y97" i="197"/>
  <c r="Y102" i="197"/>
  <c r="Y105" i="197"/>
  <c r="Y109" i="197"/>
  <c r="Y113" i="197"/>
  <c r="Y117" i="197"/>
  <c r="Y121" i="197"/>
  <c r="Y125" i="197"/>
  <c r="Y129" i="197"/>
  <c r="Y133" i="197"/>
  <c r="Y114" i="197"/>
  <c r="Y119" i="197"/>
  <c r="Y124" i="197"/>
  <c r="Y130" i="197"/>
  <c r="Y136" i="197"/>
  <c r="Y140" i="197"/>
  <c r="Y144" i="197"/>
  <c r="Y148" i="197"/>
  <c r="Y152" i="197"/>
  <c r="Y156" i="197"/>
  <c r="Y110" i="197"/>
  <c r="Y112" i="197"/>
  <c r="Y118" i="197"/>
  <c r="Y123" i="197"/>
  <c r="Y128" i="197"/>
  <c r="Y134" i="197"/>
  <c r="Y135" i="197"/>
  <c r="Y139" i="197"/>
  <c r="Y143" i="197"/>
  <c r="Y107" i="197"/>
  <c r="Y111" i="197"/>
  <c r="Y116" i="197"/>
  <c r="Y122" i="197"/>
  <c r="Y127" i="197"/>
  <c r="Y132" i="197"/>
  <c r="Y138" i="197"/>
  <c r="Y142" i="197"/>
  <c r="Y146" i="197"/>
  <c r="Y106" i="197"/>
  <c r="Y115" i="197"/>
  <c r="Y120" i="197"/>
  <c r="Y126" i="197"/>
  <c r="Y131" i="197"/>
  <c r="Y137" i="197"/>
  <c r="Y141" i="197"/>
  <c r="Y145" i="197"/>
  <c r="Y149" i="197"/>
  <c r="Y153" i="197"/>
  <c r="Y157" i="197"/>
  <c r="Y161" i="197"/>
  <c r="Y165" i="197"/>
  <c r="Y169" i="197"/>
  <c r="Y154" i="197"/>
  <c r="Y166" i="197"/>
  <c r="Y171" i="197"/>
  <c r="Y170" i="197"/>
  <c r="Y147" i="197"/>
  <c r="Y151" i="197"/>
  <c r="Y159" i="197"/>
  <c r="Y164" i="197"/>
  <c r="Y150" i="197"/>
  <c r="Y158" i="197"/>
  <c r="Y163" i="197"/>
  <c r="Y168" i="197"/>
  <c r="Y3" i="197"/>
  <c r="Y155" i="197"/>
  <c r="Y162" i="197"/>
  <c r="Y167" i="197"/>
  <c r="Y160" i="197"/>
  <c r="Y177" i="197"/>
  <c r="Y175" i="197"/>
  <c r="Y176" i="197"/>
  <c r="Z1" i="197"/>
  <c r="T62" i="192"/>
  <c r="T63" i="192"/>
  <c r="Z174" i="197" l="1"/>
  <c r="Z172" i="197"/>
  <c r="Z173" i="197"/>
  <c r="Z53" i="197"/>
  <c r="Z65" i="197"/>
  <c r="Z59" i="197"/>
  <c r="Z54" i="197"/>
  <c r="Z56" i="197"/>
  <c r="Z60" i="197"/>
  <c r="Z55" i="197"/>
  <c r="Z52" i="197"/>
  <c r="Z64" i="197"/>
  <c r="Z62" i="197"/>
  <c r="Z61" i="197"/>
  <c r="Z57" i="197"/>
  <c r="Z66" i="197"/>
  <c r="Z63" i="197"/>
  <c r="Z58" i="197"/>
  <c r="Z7" i="197"/>
  <c r="Z11" i="197"/>
  <c r="Z5" i="197"/>
  <c r="Z6" i="197"/>
  <c r="Z12" i="197"/>
  <c r="Z18" i="197"/>
  <c r="Z22" i="197"/>
  <c r="Z26" i="197"/>
  <c r="Z4" i="197"/>
  <c r="Z13" i="197"/>
  <c r="Z19" i="197"/>
  <c r="Z8" i="197"/>
  <c r="Z14" i="197"/>
  <c r="Z17" i="197"/>
  <c r="Z10" i="197"/>
  <c r="Z20" i="197"/>
  <c r="Z21" i="197"/>
  <c r="Z23" i="197"/>
  <c r="Z28" i="197"/>
  <c r="Z9" i="197"/>
  <c r="Z24" i="197"/>
  <c r="Z27" i="197"/>
  <c r="Z31" i="197"/>
  <c r="Z30" i="197"/>
  <c r="Z35" i="197"/>
  <c r="Z39" i="197"/>
  <c r="Z43" i="197"/>
  <c r="Z47" i="197"/>
  <c r="Z25" i="197"/>
  <c r="Z34" i="197"/>
  <c r="Z40" i="197"/>
  <c r="Z45" i="197"/>
  <c r="Z51" i="197"/>
  <c r="Z37" i="197"/>
  <c r="Z48" i="197"/>
  <c r="Z50" i="197"/>
  <c r="Z16" i="197"/>
  <c r="Z32" i="197"/>
  <c r="Z38" i="197"/>
  <c r="Z46" i="197"/>
  <c r="Z49" i="197"/>
  <c r="Z29" i="197"/>
  <c r="Z33" i="197"/>
  <c r="Z41" i="197"/>
  <c r="Z44" i="197"/>
  <c r="Z15" i="197"/>
  <c r="Z36" i="197"/>
  <c r="Z42" i="197"/>
  <c r="Z70" i="197"/>
  <c r="Z74" i="197"/>
  <c r="Z78" i="197"/>
  <c r="Z82" i="197"/>
  <c r="Z86" i="197"/>
  <c r="Z69" i="197"/>
  <c r="Z73" i="197"/>
  <c r="Z77" i="197"/>
  <c r="Z81" i="197"/>
  <c r="Z85" i="197"/>
  <c r="Z89" i="197"/>
  <c r="Z93" i="197"/>
  <c r="Z97" i="197"/>
  <c r="Z101" i="197"/>
  <c r="Z68" i="197"/>
  <c r="Z72" i="197"/>
  <c r="Z76" i="197"/>
  <c r="Z80" i="197"/>
  <c r="Z84" i="197"/>
  <c r="Z88" i="197"/>
  <c r="Z67" i="197"/>
  <c r="Z71" i="197"/>
  <c r="Z75" i="197"/>
  <c r="Z79" i="197"/>
  <c r="Z87" i="197"/>
  <c r="Z91" i="197"/>
  <c r="Z96" i="197"/>
  <c r="Z102" i="197"/>
  <c r="Z105" i="197"/>
  <c r="Z109" i="197"/>
  <c r="Z83" i="197"/>
  <c r="Z95" i="197"/>
  <c r="Z100" i="197"/>
  <c r="Z90" i="197"/>
  <c r="Z94" i="197"/>
  <c r="Z99" i="197"/>
  <c r="Z103" i="197"/>
  <c r="Z92" i="197"/>
  <c r="Z98" i="197"/>
  <c r="Z106" i="197"/>
  <c r="Z110" i="197"/>
  <c r="Z114" i="197"/>
  <c r="Z118" i="197"/>
  <c r="Z122" i="197"/>
  <c r="Z126" i="197"/>
  <c r="Z130" i="197"/>
  <c r="Z134" i="197"/>
  <c r="Z104" i="197"/>
  <c r="Z115" i="197"/>
  <c r="Z120" i="197"/>
  <c r="Z125" i="197"/>
  <c r="Z131" i="197"/>
  <c r="Z137" i="197"/>
  <c r="Z141" i="197"/>
  <c r="Z145" i="197"/>
  <c r="Z149" i="197"/>
  <c r="Z153" i="197"/>
  <c r="Z113" i="197"/>
  <c r="Z119" i="197"/>
  <c r="Z124" i="197"/>
  <c r="Z129" i="197"/>
  <c r="Z136" i="197"/>
  <c r="Z140" i="197"/>
  <c r="Z144" i="197"/>
  <c r="Z108" i="197"/>
  <c r="Z112" i="197"/>
  <c r="Z117" i="197"/>
  <c r="Z123" i="197"/>
  <c r="Z128" i="197"/>
  <c r="Z133" i="197"/>
  <c r="Z135" i="197"/>
  <c r="Z139" i="197"/>
  <c r="Z143" i="197"/>
  <c r="Z147" i="197"/>
  <c r="Z107" i="197"/>
  <c r="Z111" i="197"/>
  <c r="Z116" i="197"/>
  <c r="Z121" i="197"/>
  <c r="Z127" i="197"/>
  <c r="Z132" i="197"/>
  <c r="Z138" i="197"/>
  <c r="Z142" i="197"/>
  <c r="Z146" i="197"/>
  <c r="Z150" i="197"/>
  <c r="Z154" i="197"/>
  <c r="Z158" i="197"/>
  <c r="Z162" i="197"/>
  <c r="Z166" i="197"/>
  <c r="Z170" i="197"/>
  <c r="Z148" i="197"/>
  <c r="Z152" i="197"/>
  <c r="Z160" i="197"/>
  <c r="Z151" i="197"/>
  <c r="Z159" i="197"/>
  <c r="Z164" i="197"/>
  <c r="Z169" i="197"/>
  <c r="Z3" i="197"/>
  <c r="Z171" i="197"/>
  <c r="Z156" i="197"/>
  <c r="Z157" i="197"/>
  <c r="Z163" i="197"/>
  <c r="Z168" i="197"/>
  <c r="Z155" i="197"/>
  <c r="Z161" i="197"/>
  <c r="Z167" i="197"/>
  <c r="Z165" i="197"/>
  <c r="Z176" i="197"/>
  <c r="Z175" i="197"/>
  <c r="Z177" i="197"/>
  <c r="AA1" i="197"/>
  <c r="D1" i="195"/>
  <c r="B37" i="194"/>
  <c r="B38" i="194"/>
  <c r="AA174" i="197" l="1"/>
  <c r="AA173" i="197"/>
  <c r="AA172" i="197"/>
  <c r="D158" i="195"/>
  <c r="D52" i="195"/>
  <c r="AA58" i="197"/>
  <c r="AA53" i="197"/>
  <c r="AA65" i="197"/>
  <c r="AA60" i="197"/>
  <c r="AA52" i="197"/>
  <c r="AA54" i="197"/>
  <c r="AA55" i="197"/>
  <c r="AA57" i="197"/>
  <c r="AA59" i="197"/>
  <c r="AA66" i="197"/>
  <c r="AA62" i="197"/>
  <c r="AA64" i="197"/>
  <c r="AA61" i="197"/>
  <c r="AA56" i="197"/>
  <c r="AA63" i="197"/>
  <c r="AA4" i="197"/>
  <c r="AA8" i="197"/>
  <c r="AA12" i="197"/>
  <c r="AA6" i="197"/>
  <c r="AA7" i="197"/>
  <c r="AA13" i="197"/>
  <c r="AA15" i="197"/>
  <c r="AA19" i="197"/>
  <c r="AA23" i="197"/>
  <c r="AA27" i="197"/>
  <c r="AA5" i="197"/>
  <c r="AA10" i="197"/>
  <c r="AA20" i="197"/>
  <c r="AA11" i="197"/>
  <c r="AA18" i="197"/>
  <c r="AA9" i="197"/>
  <c r="AA24" i="197"/>
  <c r="AA26" i="197"/>
  <c r="AA29" i="197"/>
  <c r="AA22" i="197"/>
  <c r="AA31" i="197"/>
  <c r="AA32" i="197"/>
  <c r="AA36" i="197"/>
  <c r="AA40" i="197"/>
  <c r="AA44" i="197"/>
  <c r="AA48" i="197"/>
  <c r="AA14" i="197"/>
  <c r="AA28" i="197"/>
  <c r="AA35" i="197"/>
  <c r="AA41" i="197"/>
  <c r="AA46" i="197"/>
  <c r="AA17" i="197"/>
  <c r="AA34" i="197"/>
  <c r="AA42" i="197"/>
  <c r="AA45" i="197"/>
  <c r="AA51" i="197"/>
  <c r="AA25" i="197"/>
  <c r="AA37" i="197"/>
  <c r="AA43" i="197"/>
  <c r="AA50" i="197"/>
  <c r="AA16" i="197"/>
  <c r="AA21" i="197"/>
  <c r="AA38" i="197"/>
  <c r="AA49" i="197"/>
  <c r="AA30" i="197"/>
  <c r="AA33" i="197"/>
  <c r="AA39" i="197"/>
  <c r="AA47" i="197"/>
  <c r="AA67" i="197"/>
  <c r="AA71" i="197"/>
  <c r="AA75" i="197"/>
  <c r="AA79" i="197"/>
  <c r="AA83" i="197"/>
  <c r="AA87" i="197"/>
  <c r="AA70" i="197"/>
  <c r="AA74" i="197"/>
  <c r="AA78" i="197"/>
  <c r="AA82" i="197"/>
  <c r="AA86" i="197"/>
  <c r="AA90" i="197"/>
  <c r="AA94" i="197"/>
  <c r="AA98" i="197"/>
  <c r="AA102" i="197"/>
  <c r="AA69" i="197"/>
  <c r="AA73" i="197"/>
  <c r="AA77" i="197"/>
  <c r="AA81" i="197"/>
  <c r="AA85" i="197"/>
  <c r="AA89" i="197"/>
  <c r="AA68" i="197"/>
  <c r="AA72" i="197"/>
  <c r="AA76" i="197"/>
  <c r="AA80" i="197"/>
  <c r="AA92" i="197"/>
  <c r="AA97" i="197"/>
  <c r="AA106" i="197"/>
  <c r="AA110" i="197"/>
  <c r="AA84" i="197"/>
  <c r="AA91" i="197"/>
  <c r="AA96" i="197"/>
  <c r="AA101" i="197"/>
  <c r="AA95" i="197"/>
  <c r="AA100" i="197"/>
  <c r="AA88" i="197"/>
  <c r="AA93" i="197"/>
  <c r="AA99" i="197"/>
  <c r="AA103" i="197"/>
  <c r="AA107" i="197"/>
  <c r="AA111" i="197"/>
  <c r="AA115" i="197"/>
  <c r="AA119" i="197"/>
  <c r="AA123" i="197"/>
  <c r="AA127" i="197"/>
  <c r="AA131" i="197"/>
  <c r="AA105" i="197"/>
  <c r="AA116" i="197"/>
  <c r="AA121" i="197"/>
  <c r="AA126" i="197"/>
  <c r="AA132" i="197"/>
  <c r="AA138" i="197"/>
  <c r="AA142" i="197"/>
  <c r="AA146" i="197"/>
  <c r="AA150" i="197"/>
  <c r="AA154" i="197"/>
  <c r="AA104" i="197"/>
  <c r="AA114" i="197"/>
  <c r="AA120" i="197"/>
  <c r="AA125" i="197"/>
  <c r="AA130" i="197"/>
  <c r="AA137" i="197"/>
  <c r="AA141" i="197"/>
  <c r="AA145" i="197"/>
  <c r="AA109" i="197"/>
  <c r="AA113" i="197"/>
  <c r="AA118" i="197"/>
  <c r="AA124" i="197"/>
  <c r="AA129" i="197"/>
  <c r="AA134" i="197"/>
  <c r="AA136" i="197"/>
  <c r="AA140" i="197"/>
  <c r="AA144" i="197"/>
  <c r="AA148" i="197"/>
  <c r="AA108" i="197"/>
  <c r="AA112" i="197"/>
  <c r="AA117" i="197"/>
  <c r="AA122" i="197"/>
  <c r="AA128" i="197"/>
  <c r="AA133" i="197"/>
  <c r="AA135" i="197"/>
  <c r="AA139" i="197"/>
  <c r="AA143" i="197"/>
  <c r="AA147" i="197"/>
  <c r="AA151" i="197"/>
  <c r="AA155" i="197"/>
  <c r="AA159" i="197"/>
  <c r="AA163" i="197"/>
  <c r="AA167" i="197"/>
  <c r="AA171" i="197"/>
  <c r="AA3" i="197"/>
  <c r="AA156" i="197"/>
  <c r="AA162" i="197"/>
  <c r="AA153" i="197"/>
  <c r="AA161" i="197"/>
  <c r="AA152" i="197"/>
  <c r="AA160" i="197"/>
  <c r="AA165" i="197"/>
  <c r="AA170" i="197"/>
  <c r="AA149" i="197"/>
  <c r="AA158" i="197"/>
  <c r="AA164" i="197"/>
  <c r="AA169" i="197"/>
  <c r="AA157" i="197"/>
  <c r="AA168" i="197"/>
  <c r="AA166" i="197"/>
  <c r="AA175" i="197"/>
  <c r="AA177" i="197"/>
  <c r="AA176" i="197"/>
  <c r="AB1" i="197"/>
  <c r="D165" i="195"/>
  <c r="D153" i="195"/>
  <c r="D3" i="195"/>
  <c r="D170" i="195"/>
  <c r="D14" i="195"/>
  <c r="D4" i="195"/>
  <c r="D11" i="195"/>
  <c r="D23" i="195"/>
  <c r="D35" i="195"/>
  <c r="D6" i="195"/>
  <c r="D18" i="195"/>
  <c r="D30" i="195"/>
  <c r="D13" i="195"/>
  <c r="D25" i="195"/>
  <c r="D8" i="195"/>
  <c r="D20" i="195"/>
  <c r="D32" i="195"/>
  <c r="D15" i="195"/>
  <c r="D27" i="195"/>
  <c r="D10" i="195"/>
  <c r="D22" i="195"/>
  <c r="D34" i="195"/>
  <c r="D5" i="195"/>
  <c r="D17" i="195"/>
  <c r="D29" i="195"/>
  <c r="D26" i="195"/>
  <c r="D42" i="195"/>
  <c r="D55" i="195"/>
  <c r="D9" i="195"/>
  <c r="D37" i="195"/>
  <c r="D49" i="195"/>
  <c r="D16" i="195"/>
  <c r="D44" i="195"/>
  <c r="D57" i="195"/>
  <c r="D28" i="195"/>
  <c r="D39" i="195"/>
  <c r="D51" i="195"/>
  <c r="D7" i="195"/>
  <c r="D31" i="195"/>
  <c r="D46" i="195"/>
  <c r="D21" i="195"/>
  <c r="D41" i="195"/>
  <c r="D54" i="195"/>
  <c r="D48" i="195"/>
  <c r="D12" i="195"/>
  <c r="D33" i="195"/>
  <c r="D43" i="195"/>
  <c r="D56" i="195"/>
  <c r="D19" i="195"/>
  <c r="D36" i="195"/>
  <c r="D38" i="195"/>
  <c r="D50" i="195"/>
  <c r="D45" i="195"/>
  <c r="D40" i="195"/>
  <c r="D53" i="195"/>
  <c r="D24" i="195"/>
  <c r="D47" i="195"/>
  <c r="D61" i="195"/>
  <c r="D73" i="195"/>
  <c r="D85" i="195"/>
  <c r="D68" i="195"/>
  <c r="D80" i="195"/>
  <c r="D63" i="195"/>
  <c r="D75" i="195"/>
  <c r="D87" i="195"/>
  <c r="D70" i="195"/>
  <c r="D82" i="195"/>
  <c r="D65" i="195"/>
  <c r="D77" i="195"/>
  <c r="D89" i="195"/>
  <c r="D60" i="195"/>
  <c r="D72" i="195"/>
  <c r="D84" i="195"/>
  <c r="D67" i="195"/>
  <c r="D79" i="195"/>
  <c r="D62" i="195"/>
  <c r="D74" i="195"/>
  <c r="D86" i="195"/>
  <c r="D69" i="195"/>
  <c r="D81" i="195"/>
  <c r="D64" i="195"/>
  <c r="D76" i="195"/>
  <c r="D88" i="195"/>
  <c r="D59" i="195"/>
  <c r="D71" i="195"/>
  <c r="D83" i="195"/>
  <c r="D91" i="195"/>
  <c r="D103" i="195"/>
  <c r="D115" i="195"/>
  <c r="D66" i="195"/>
  <c r="D98" i="195"/>
  <c r="D110" i="195"/>
  <c r="D93" i="195"/>
  <c r="D105" i="195"/>
  <c r="D117" i="195"/>
  <c r="D100" i="195"/>
  <c r="D112" i="195"/>
  <c r="D95" i="195"/>
  <c r="D107" i="195"/>
  <c r="D58" i="195"/>
  <c r="D90" i="195"/>
  <c r="D102" i="195"/>
  <c r="D114" i="195"/>
  <c r="D97" i="195"/>
  <c r="D109" i="195"/>
  <c r="D92" i="195"/>
  <c r="D104" i="195"/>
  <c r="D116" i="195"/>
  <c r="D78" i="195"/>
  <c r="D99" i="195"/>
  <c r="D111" i="195"/>
  <c r="D94" i="195"/>
  <c r="D106" i="195"/>
  <c r="D118" i="195"/>
  <c r="D101" i="195"/>
  <c r="D113" i="195"/>
  <c r="D126" i="195"/>
  <c r="D138" i="195"/>
  <c r="D121" i="195"/>
  <c r="D133" i="195"/>
  <c r="D145" i="195"/>
  <c r="D96" i="195"/>
  <c r="D128" i="195"/>
  <c r="D140" i="195"/>
  <c r="D123" i="195"/>
  <c r="D135" i="195"/>
  <c r="D147" i="195"/>
  <c r="D130" i="195"/>
  <c r="D142" i="195"/>
  <c r="D125" i="195"/>
  <c r="D137" i="195"/>
  <c r="D120" i="195"/>
  <c r="D132" i="195"/>
  <c r="D144" i="195"/>
  <c r="D127" i="195"/>
  <c r="D139" i="195"/>
  <c r="D122" i="195"/>
  <c r="D134" i="195"/>
  <c r="D146" i="195"/>
  <c r="D108" i="195"/>
  <c r="D129" i="195"/>
  <c r="D141" i="195"/>
  <c r="D124" i="195"/>
  <c r="D136" i="195"/>
  <c r="D148" i="195"/>
  <c r="D119" i="195"/>
  <c r="D131" i="195"/>
  <c r="D143" i="195"/>
  <c r="D163" i="195"/>
  <c r="D151" i="195"/>
  <c r="D168" i="195"/>
  <c r="D156" i="195"/>
  <c r="D173" i="195"/>
  <c r="D161" i="195"/>
  <c r="D149" i="195"/>
  <c r="D166" i="195"/>
  <c r="D154" i="195"/>
  <c r="D171" i="195"/>
  <c r="D159" i="195"/>
  <c r="D164" i="195"/>
  <c r="D152" i="195"/>
  <c r="D169" i="195"/>
  <c r="D157" i="195"/>
  <c r="D162" i="195"/>
  <c r="D150" i="195"/>
  <c r="D167" i="195"/>
  <c r="D155" i="195"/>
  <c r="D172" i="195"/>
  <c r="D160" i="195"/>
  <c r="E1" i="195"/>
  <c r="E175" i="195" s="1"/>
  <c r="D177" i="195"/>
  <c r="D176" i="195"/>
  <c r="D174" i="195"/>
  <c r="D175" i="195"/>
  <c r="B36" i="194"/>
  <c r="B40" i="194" s="1"/>
  <c r="F7" i="192"/>
  <c r="AB172" i="197" l="1"/>
  <c r="AB173" i="197"/>
  <c r="AB174" i="197"/>
  <c r="AB63" i="197"/>
  <c r="AB57" i="197"/>
  <c r="AB64" i="197"/>
  <c r="AB58" i="197"/>
  <c r="AB53" i="197"/>
  <c r="AB65" i="197"/>
  <c r="AB54" i="197"/>
  <c r="AB60" i="197"/>
  <c r="AB62" i="197"/>
  <c r="AB52" i="197"/>
  <c r="AB59" i="197"/>
  <c r="AB66" i="197"/>
  <c r="AB55" i="197"/>
  <c r="AB56" i="197"/>
  <c r="AB61" i="197"/>
  <c r="E174" i="195"/>
  <c r="E52" i="195"/>
  <c r="AB5" i="197"/>
  <c r="AB9" i="197"/>
  <c r="AB13" i="197"/>
  <c r="AB8" i="197"/>
  <c r="AB14" i="197"/>
  <c r="AB16" i="197"/>
  <c r="AB20" i="197"/>
  <c r="AB24" i="197"/>
  <c r="AB6" i="197"/>
  <c r="AB7" i="197"/>
  <c r="AB15" i="197"/>
  <c r="AB21" i="197"/>
  <c r="AB10" i="197"/>
  <c r="AB19" i="197"/>
  <c r="AB25" i="197"/>
  <c r="AB17" i="197"/>
  <c r="AB18" i="197"/>
  <c r="AB23" i="197"/>
  <c r="AB28" i="197"/>
  <c r="AB30" i="197"/>
  <c r="AB4" i="197"/>
  <c r="AB12" i="197"/>
  <c r="AB26" i="197"/>
  <c r="AB29" i="197"/>
  <c r="AB11" i="197"/>
  <c r="AB27" i="197"/>
  <c r="AB33" i="197"/>
  <c r="AB37" i="197"/>
  <c r="AB41" i="197"/>
  <c r="AB45" i="197"/>
  <c r="AB36" i="197"/>
  <c r="AB42" i="197"/>
  <c r="AB47" i="197"/>
  <c r="AB49" i="197"/>
  <c r="AB31" i="197"/>
  <c r="AB39" i="197"/>
  <c r="AB34" i="197"/>
  <c r="AB40" i="197"/>
  <c r="AB48" i="197"/>
  <c r="AB51" i="197"/>
  <c r="AB22" i="197"/>
  <c r="AB32" i="197"/>
  <c r="AB35" i="197"/>
  <c r="AB43" i="197"/>
  <c r="AB46" i="197"/>
  <c r="AB50" i="197"/>
  <c r="AB38" i="197"/>
  <c r="AB44" i="197"/>
  <c r="AB68" i="197"/>
  <c r="AB72" i="197"/>
  <c r="AB76" i="197"/>
  <c r="AB80" i="197"/>
  <c r="AB84" i="197"/>
  <c r="AB67" i="197"/>
  <c r="AB71" i="197"/>
  <c r="AB75" i="197"/>
  <c r="AB79" i="197"/>
  <c r="AB83" i="197"/>
  <c r="AB87" i="197"/>
  <c r="AB91" i="197"/>
  <c r="AB95" i="197"/>
  <c r="AB99" i="197"/>
  <c r="AB70" i="197"/>
  <c r="AB74" i="197"/>
  <c r="AB78" i="197"/>
  <c r="AB82" i="197"/>
  <c r="AB86" i="197"/>
  <c r="AB90" i="197"/>
  <c r="AB69" i="197"/>
  <c r="AB73" i="197"/>
  <c r="AB77" i="197"/>
  <c r="AB88" i="197"/>
  <c r="AB93" i="197"/>
  <c r="AB98" i="197"/>
  <c r="AB103" i="197"/>
  <c r="AB107" i="197"/>
  <c r="AB85" i="197"/>
  <c r="AB92" i="197"/>
  <c r="AB97" i="197"/>
  <c r="AB102" i="197"/>
  <c r="AB81" i="197"/>
  <c r="AB96" i="197"/>
  <c r="AB101" i="197"/>
  <c r="AB89" i="197"/>
  <c r="AB94" i="197"/>
  <c r="AB100" i="197"/>
  <c r="AB104" i="197"/>
  <c r="AB108" i="197"/>
  <c r="AB112" i="197"/>
  <c r="AB116" i="197"/>
  <c r="AB120" i="197"/>
  <c r="AB124" i="197"/>
  <c r="AB128" i="197"/>
  <c r="AB132" i="197"/>
  <c r="AB106" i="197"/>
  <c r="AB111" i="197"/>
  <c r="AB117" i="197"/>
  <c r="AB122" i="197"/>
  <c r="AB127" i="197"/>
  <c r="AB133" i="197"/>
  <c r="AB135" i="197"/>
  <c r="AB139" i="197"/>
  <c r="AB143" i="197"/>
  <c r="AB147" i="197"/>
  <c r="AB151" i="197"/>
  <c r="AB155" i="197"/>
  <c r="AB105" i="197"/>
  <c r="AB115" i="197"/>
  <c r="AB121" i="197"/>
  <c r="AB126" i="197"/>
  <c r="AB131" i="197"/>
  <c r="AB138" i="197"/>
  <c r="AB142" i="197"/>
  <c r="AB146" i="197"/>
  <c r="AB110" i="197"/>
  <c r="AB114" i="197"/>
  <c r="AB119" i="197"/>
  <c r="AB125" i="197"/>
  <c r="AB130" i="197"/>
  <c r="AB137" i="197"/>
  <c r="AB141" i="197"/>
  <c r="AB145" i="197"/>
  <c r="AB109" i="197"/>
  <c r="AB113" i="197"/>
  <c r="AB118" i="197"/>
  <c r="AB123" i="197"/>
  <c r="AB129" i="197"/>
  <c r="AB134" i="197"/>
  <c r="AB136" i="197"/>
  <c r="AB140" i="197"/>
  <c r="AB144" i="197"/>
  <c r="AB148" i="197"/>
  <c r="AB152" i="197"/>
  <c r="AB156" i="197"/>
  <c r="AB160" i="197"/>
  <c r="AB164" i="197"/>
  <c r="AB168" i="197"/>
  <c r="AB149" i="197"/>
  <c r="AB158" i="197"/>
  <c r="AB154" i="197"/>
  <c r="AB157" i="197"/>
  <c r="AB162" i="197"/>
  <c r="AB153" i="197"/>
  <c r="AB161" i="197"/>
  <c r="AB166" i="197"/>
  <c r="AB171" i="197"/>
  <c r="AB150" i="197"/>
  <c r="AB159" i="197"/>
  <c r="AB165" i="197"/>
  <c r="AB170" i="197"/>
  <c r="AB3" i="197"/>
  <c r="AB163" i="197"/>
  <c r="AB169" i="197"/>
  <c r="AB167" i="197"/>
  <c r="AB176" i="197"/>
  <c r="AB177" i="197"/>
  <c r="AB175" i="197"/>
  <c r="AC1" i="197"/>
  <c r="E177" i="195"/>
  <c r="E7" i="195"/>
  <c r="E19" i="195"/>
  <c r="E4" i="195"/>
  <c r="E16" i="195"/>
  <c r="E28" i="195"/>
  <c r="E11" i="195"/>
  <c r="E23" i="195"/>
  <c r="E35" i="195"/>
  <c r="E6" i="195"/>
  <c r="E18" i="195"/>
  <c r="E30" i="195"/>
  <c r="E13" i="195"/>
  <c r="E25" i="195"/>
  <c r="E8" i="195"/>
  <c r="E20" i="195"/>
  <c r="E32" i="195"/>
  <c r="E15" i="195"/>
  <c r="E27" i="195"/>
  <c r="E10" i="195"/>
  <c r="E22" i="195"/>
  <c r="E34" i="195"/>
  <c r="E24" i="195"/>
  <c r="E47" i="195"/>
  <c r="E26" i="195"/>
  <c r="E42" i="195"/>
  <c r="E55" i="195"/>
  <c r="E9" i="195"/>
  <c r="E29" i="195"/>
  <c r="E37" i="195"/>
  <c r="E49" i="195"/>
  <c r="E44" i="195"/>
  <c r="E39" i="195"/>
  <c r="E51" i="195"/>
  <c r="E14" i="195"/>
  <c r="E31" i="195"/>
  <c r="E46" i="195"/>
  <c r="E21" i="195"/>
  <c r="E41" i="195"/>
  <c r="E5" i="195"/>
  <c r="E48" i="195"/>
  <c r="E12" i="195"/>
  <c r="E33" i="195"/>
  <c r="E43" i="195"/>
  <c r="E36" i="195"/>
  <c r="E38" i="195"/>
  <c r="E50" i="195"/>
  <c r="E45" i="195"/>
  <c r="E17" i="195"/>
  <c r="E40" i="195"/>
  <c r="E53" i="195"/>
  <c r="E58" i="195"/>
  <c r="E66" i="195"/>
  <c r="E78" i="195"/>
  <c r="E61" i="195"/>
  <c r="E73" i="195"/>
  <c r="E85" i="195"/>
  <c r="E68" i="195"/>
  <c r="E80" i="195"/>
  <c r="E63" i="195"/>
  <c r="E75" i="195"/>
  <c r="E87" i="195"/>
  <c r="E56" i="195"/>
  <c r="E57" i="195"/>
  <c r="E70" i="195"/>
  <c r="E82" i="195"/>
  <c r="E65" i="195"/>
  <c r="E77" i="195"/>
  <c r="E60" i="195"/>
  <c r="E72" i="195"/>
  <c r="E84" i="195"/>
  <c r="E67" i="195"/>
  <c r="E79" i="195"/>
  <c r="E62" i="195"/>
  <c r="E74" i="195"/>
  <c r="E86" i="195"/>
  <c r="E54" i="195"/>
  <c r="E69" i="195"/>
  <c r="E81" i="195"/>
  <c r="E64" i="195"/>
  <c r="E76" i="195"/>
  <c r="E88" i="195"/>
  <c r="E96" i="195"/>
  <c r="E108" i="195"/>
  <c r="E91" i="195"/>
  <c r="E103" i="195"/>
  <c r="E115" i="195"/>
  <c r="E71" i="195"/>
  <c r="E89" i="195"/>
  <c r="E98" i="195"/>
  <c r="E110" i="195"/>
  <c r="E93" i="195"/>
  <c r="E105" i="195"/>
  <c r="E117" i="195"/>
  <c r="E100" i="195"/>
  <c r="E112" i="195"/>
  <c r="E95" i="195"/>
  <c r="E107" i="195"/>
  <c r="E90" i="195"/>
  <c r="E102" i="195"/>
  <c r="E114" i="195"/>
  <c r="E59" i="195"/>
  <c r="E97" i="195"/>
  <c r="E109" i="195"/>
  <c r="E92" i="195"/>
  <c r="E104" i="195"/>
  <c r="E116" i="195"/>
  <c r="E83" i="195"/>
  <c r="E99" i="195"/>
  <c r="E111" i="195"/>
  <c r="E94" i="195"/>
  <c r="E106" i="195"/>
  <c r="E118" i="195"/>
  <c r="E119" i="195"/>
  <c r="E131" i="195"/>
  <c r="E143" i="195"/>
  <c r="E126" i="195"/>
  <c r="E138" i="195"/>
  <c r="E121" i="195"/>
  <c r="E133" i="195"/>
  <c r="E145" i="195"/>
  <c r="E101" i="195"/>
  <c r="E128" i="195"/>
  <c r="E140" i="195"/>
  <c r="E123" i="195"/>
  <c r="E135" i="195"/>
  <c r="E147" i="195"/>
  <c r="E130" i="195"/>
  <c r="E142" i="195"/>
  <c r="E125" i="195"/>
  <c r="E137" i="195"/>
  <c r="E120" i="195"/>
  <c r="E132" i="195"/>
  <c r="E144" i="195"/>
  <c r="E127" i="195"/>
  <c r="E139" i="195"/>
  <c r="E122" i="195"/>
  <c r="E134" i="195"/>
  <c r="E146" i="195"/>
  <c r="E113" i="195"/>
  <c r="E129" i="195"/>
  <c r="E141" i="195"/>
  <c r="E124" i="195"/>
  <c r="E136" i="195"/>
  <c r="E153" i="195"/>
  <c r="E165" i="195"/>
  <c r="E158" i="195"/>
  <c r="E160" i="195"/>
  <c r="E172" i="195"/>
  <c r="E155" i="195"/>
  <c r="E167" i="195"/>
  <c r="E3" i="195"/>
  <c r="E150" i="195"/>
  <c r="E162" i="195"/>
  <c r="E157" i="195"/>
  <c r="E169" i="195"/>
  <c r="E152" i="195"/>
  <c r="E164" i="195"/>
  <c r="E159" i="195"/>
  <c r="E171" i="195"/>
  <c r="E154" i="195"/>
  <c r="E166" i="195"/>
  <c r="E170" i="195"/>
  <c r="E148" i="195"/>
  <c r="E149" i="195"/>
  <c r="E161" i="195"/>
  <c r="E173" i="195"/>
  <c r="E156" i="195"/>
  <c r="E168" i="195"/>
  <c r="E151" i="195"/>
  <c r="E163" i="195"/>
  <c r="E176" i="195"/>
  <c r="F1" i="195"/>
  <c r="F52" i="195" s="1"/>
  <c r="AC172" i="197" l="1"/>
  <c r="AC174" i="197"/>
  <c r="AC173" i="197"/>
  <c r="AC56" i="197"/>
  <c r="AC63" i="197"/>
  <c r="AC52" i="197"/>
  <c r="AC58" i="197"/>
  <c r="AC55" i="197"/>
  <c r="AC53" i="197"/>
  <c r="AC65" i="197"/>
  <c r="AC57" i="197"/>
  <c r="AC64" i="197"/>
  <c r="AC60" i="197"/>
  <c r="AC62" i="197"/>
  <c r="AC59" i="197"/>
  <c r="AC66" i="197"/>
  <c r="AC54" i="197"/>
  <c r="AC61" i="197"/>
  <c r="AC6" i="197"/>
  <c r="AC10" i="197"/>
  <c r="AC14" i="197"/>
  <c r="AC4" i="197"/>
  <c r="AC9" i="197"/>
  <c r="AC17" i="197"/>
  <c r="AC21" i="197"/>
  <c r="AC25" i="197"/>
  <c r="AC12" i="197"/>
  <c r="AC16" i="197"/>
  <c r="AC7" i="197"/>
  <c r="AC13" i="197"/>
  <c r="AC15" i="197"/>
  <c r="AC20" i="197"/>
  <c r="AC5" i="197"/>
  <c r="AC26" i="197"/>
  <c r="AC22" i="197"/>
  <c r="AC31" i="197"/>
  <c r="AC18" i="197"/>
  <c r="AC19" i="197"/>
  <c r="AC23" i="197"/>
  <c r="AC28" i="197"/>
  <c r="AC30" i="197"/>
  <c r="AC34" i="197"/>
  <c r="AC38" i="197"/>
  <c r="AC42" i="197"/>
  <c r="AC46" i="197"/>
  <c r="AC32" i="197"/>
  <c r="AC37" i="197"/>
  <c r="AC43" i="197"/>
  <c r="AC48" i="197"/>
  <c r="AC50" i="197"/>
  <c r="AC11" i="197"/>
  <c r="AC24" i="197"/>
  <c r="AC33" i="197"/>
  <c r="AC36" i="197"/>
  <c r="AC44" i="197"/>
  <c r="AC47" i="197"/>
  <c r="AC8" i="197"/>
  <c r="AC39" i="197"/>
  <c r="AC45" i="197"/>
  <c r="AC40" i="197"/>
  <c r="AC51" i="197"/>
  <c r="AC27" i="197"/>
  <c r="AC29" i="197"/>
  <c r="AC35" i="197"/>
  <c r="AC41" i="197"/>
  <c r="AC49" i="197"/>
  <c r="AC69" i="197"/>
  <c r="AC73" i="197"/>
  <c r="AC77" i="197"/>
  <c r="AC81" i="197"/>
  <c r="AC85" i="197"/>
  <c r="AC68" i="197"/>
  <c r="AC72" i="197"/>
  <c r="AC76" i="197"/>
  <c r="AC80" i="197"/>
  <c r="AC84" i="197"/>
  <c r="AC88" i="197"/>
  <c r="AC92" i="197"/>
  <c r="AC96" i="197"/>
  <c r="AC100" i="197"/>
  <c r="AC67" i="197"/>
  <c r="AC71" i="197"/>
  <c r="AC75" i="197"/>
  <c r="AC79" i="197"/>
  <c r="AC83" i="197"/>
  <c r="AC87" i="197"/>
  <c r="AC70" i="197"/>
  <c r="AC74" i="197"/>
  <c r="AC78" i="197"/>
  <c r="AC89" i="197"/>
  <c r="AC94" i="197"/>
  <c r="AC99" i="197"/>
  <c r="AC104" i="197"/>
  <c r="AC108" i="197"/>
  <c r="AC86" i="197"/>
  <c r="AC93" i="197"/>
  <c r="AC98" i="197"/>
  <c r="AC103" i="197"/>
  <c r="AC82" i="197"/>
  <c r="AC91" i="197"/>
  <c r="AC97" i="197"/>
  <c r="AC102" i="197"/>
  <c r="AC90" i="197"/>
  <c r="AC95" i="197"/>
  <c r="AC101" i="197"/>
  <c r="AC105" i="197"/>
  <c r="AC109" i="197"/>
  <c r="AC113" i="197"/>
  <c r="AC117" i="197"/>
  <c r="AC121" i="197"/>
  <c r="AC125" i="197"/>
  <c r="AC129" i="197"/>
  <c r="AC133" i="197"/>
  <c r="AC107" i="197"/>
  <c r="AC112" i="197"/>
  <c r="AC118" i="197"/>
  <c r="AC123" i="197"/>
  <c r="AC128" i="197"/>
  <c r="AC134" i="197"/>
  <c r="AC136" i="197"/>
  <c r="AC140" i="197"/>
  <c r="AC144" i="197"/>
  <c r="AC148" i="197"/>
  <c r="AC152" i="197"/>
  <c r="AC156" i="197"/>
  <c r="AC106" i="197"/>
  <c r="AC111" i="197"/>
  <c r="AC116" i="197"/>
  <c r="AC122" i="197"/>
  <c r="AC127" i="197"/>
  <c r="AC132" i="197"/>
  <c r="AC135" i="197"/>
  <c r="AC139" i="197"/>
  <c r="AC143" i="197"/>
  <c r="AC115" i="197"/>
  <c r="AC120" i="197"/>
  <c r="AC126" i="197"/>
  <c r="AC131" i="197"/>
  <c r="AC138" i="197"/>
  <c r="AC142" i="197"/>
  <c r="AC146" i="197"/>
  <c r="AC110" i="197"/>
  <c r="AC114" i="197"/>
  <c r="AC119" i="197"/>
  <c r="AC124" i="197"/>
  <c r="AC130" i="197"/>
  <c r="AC137" i="197"/>
  <c r="AC141" i="197"/>
  <c r="AC145" i="197"/>
  <c r="AC149" i="197"/>
  <c r="AC153" i="197"/>
  <c r="AC157" i="197"/>
  <c r="AC161" i="197"/>
  <c r="AC165" i="197"/>
  <c r="AC169" i="197"/>
  <c r="AC159" i="197"/>
  <c r="AC3" i="197"/>
  <c r="AC155" i="197"/>
  <c r="AC158" i="197"/>
  <c r="AC163" i="197"/>
  <c r="AC147" i="197"/>
  <c r="AC154" i="197"/>
  <c r="AC162" i="197"/>
  <c r="AC167" i="197"/>
  <c r="AC151" i="197"/>
  <c r="AC160" i="197"/>
  <c r="AC166" i="197"/>
  <c r="AC171" i="197"/>
  <c r="AC150" i="197"/>
  <c r="AC164" i="197"/>
  <c r="AC170" i="197"/>
  <c r="AC168" i="197"/>
  <c r="AC177" i="197"/>
  <c r="AC175" i="197"/>
  <c r="AC176" i="197"/>
  <c r="AD1" i="197"/>
  <c r="F12" i="195"/>
  <c r="F24" i="195"/>
  <c r="F9" i="195"/>
  <c r="F21" i="195"/>
  <c r="F33" i="195"/>
  <c r="F4" i="195"/>
  <c r="F16" i="195"/>
  <c r="F28" i="195"/>
  <c r="F11" i="195"/>
  <c r="F23" i="195"/>
  <c r="F35" i="195"/>
  <c r="F6" i="195"/>
  <c r="F18" i="195"/>
  <c r="F30" i="195"/>
  <c r="F13" i="195"/>
  <c r="F25" i="195"/>
  <c r="F8" i="195"/>
  <c r="F20" i="195"/>
  <c r="F32" i="195"/>
  <c r="F15" i="195"/>
  <c r="F27" i="195"/>
  <c r="F17" i="195"/>
  <c r="F40" i="195"/>
  <c r="F53" i="195"/>
  <c r="F47" i="195"/>
  <c r="F26" i="195"/>
  <c r="F42" i="195"/>
  <c r="F55" i="195"/>
  <c r="F22" i="195"/>
  <c r="F29" i="195"/>
  <c r="F37" i="195"/>
  <c r="F49" i="195"/>
  <c r="F44" i="195"/>
  <c r="F7" i="195"/>
  <c r="F39" i="195"/>
  <c r="F51" i="195"/>
  <c r="F14" i="195"/>
  <c r="F31" i="195"/>
  <c r="F46" i="195"/>
  <c r="F34" i="195"/>
  <c r="F41" i="195"/>
  <c r="F54" i="195"/>
  <c r="F5" i="195"/>
  <c r="F48" i="195"/>
  <c r="F19" i="195"/>
  <c r="F43" i="195"/>
  <c r="F56" i="195"/>
  <c r="F36" i="195"/>
  <c r="F38" i="195"/>
  <c r="F50" i="195"/>
  <c r="F10" i="195"/>
  <c r="F45" i="195"/>
  <c r="F59" i="195"/>
  <c r="F71" i="195"/>
  <c r="F83" i="195"/>
  <c r="F58" i="195"/>
  <c r="F66" i="195"/>
  <c r="F78" i="195"/>
  <c r="F61" i="195"/>
  <c r="F73" i="195"/>
  <c r="F85" i="195"/>
  <c r="F68" i="195"/>
  <c r="F80" i="195"/>
  <c r="F63" i="195"/>
  <c r="F75" i="195"/>
  <c r="F87" i="195"/>
  <c r="F57" i="195"/>
  <c r="F70" i="195"/>
  <c r="F82" i="195"/>
  <c r="F65" i="195"/>
  <c r="F77" i="195"/>
  <c r="F60" i="195"/>
  <c r="F72" i="195"/>
  <c r="F84" i="195"/>
  <c r="F67" i="195"/>
  <c r="F79" i="195"/>
  <c r="F62" i="195"/>
  <c r="F74" i="195"/>
  <c r="F86" i="195"/>
  <c r="F69" i="195"/>
  <c r="F81" i="195"/>
  <c r="F101" i="195"/>
  <c r="F113" i="195"/>
  <c r="F96" i="195"/>
  <c r="F108" i="195"/>
  <c r="F91" i="195"/>
  <c r="F103" i="195"/>
  <c r="F115" i="195"/>
  <c r="F76" i="195"/>
  <c r="F89" i="195"/>
  <c r="F98" i="195"/>
  <c r="F110" i="195"/>
  <c r="F93" i="195"/>
  <c r="F105" i="195"/>
  <c r="F117" i="195"/>
  <c r="F100" i="195"/>
  <c r="F112" i="195"/>
  <c r="F95" i="195"/>
  <c r="F107" i="195"/>
  <c r="F88" i="195"/>
  <c r="F90" i="195"/>
  <c r="F102" i="195"/>
  <c r="F114" i="195"/>
  <c r="F64" i="195"/>
  <c r="F97" i="195"/>
  <c r="F109" i="195"/>
  <c r="F92" i="195"/>
  <c r="F104" i="195"/>
  <c r="F116" i="195"/>
  <c r="F99" i="195"/>
  <c r="F111" i="195"/>
  <c r="F124" i="195"/>
  <c r="F136" i="195"/>
  <c r="F148" i="195"/>
  <c r="F118" i="195"/>
  <c r="F119" i="195"/>
  <c r="F131" i="195"/>
  <c r="F143" i="195"/>
  <c r="F126" i="195"/>
  <c r="F138" i="195"/>
  <c r="F121" i="195"/>
  <c r="F133" i="195"/>
  <c r="F145" i="195"/>
  <c r="F106" i="195"/>
  <c r="F128" i="195"/>
  <c r="F140" i="195"/>
  <c r="F123" i="195"/>
  <c r="F135" i="195"/>
  <c r="F147" i="195"/>
  <c r="F130" i="195"/>
  <c r="F142" i="195"/>
  <c r="F125" i="195"/>
  <c r="F137" i="195"/>
  <c r="F120" i="195"/>
  <c r="F132" i="195"/>
  <c r="F144" i="195"/>
  <c r="F94" i="195"/>
  <c r="F127" i="195"/>
  <c r="F139" i="195"/>
  <c r="F122" i="195"/>
  <c r="F134" i="195"/>
  <c r="F146" i="195"/>
  <c r="F129" i="195"/>
  <c r="F141" i="195"/>
  <c r="F158" i="195"/>
  <c r="F170" i="195"/>
  <c r="F163" i="195"/>
  <c r="F153" i="195"/>
  <c r="F165" i="195"/>
  <c r="F160" i="195"/>
  <c r="F172" i="195"/>
  <c r="F155" i="195"/>
  <c r="F167" i="195"/>
  <c r="F3" i="195"/>
  <c r="F150" i="195"/>
  <c r="F162" i="195"/>
  <c r="F151" i="195"/>
  <c r="F157" i="195"/>
  <c r="F169" i="195"/>
  <c r="F152" i="195"/>
  <c r="F164" i="195"/>
  <c r="F159" i="195"/>
  <c r="F171" i="195"/>
  <c r="F154" i="195"/>
  <c r="F166" i="195"/>
  <c r="F149" i="195"/>
  <c r="F161" i="195"/>
  <c r="F173" i="195"/>
  <c r="F156" i="195"/>
  <c r="F168" i="195"/>
  <c r="G1" i="195"/>
  <c r="G52" i="195" s="1"/>
  <c r="F174" i="195"/>
  <c r="F176" i="195"/>
  <c r="F177" i="195"/>
  <c r="F175" i="195"/>
  <c r="T61" i="192"/>
  <c r="T56" i="192"/>
  <c r="T57" i="192"/>
  <c r="T58" i="192"/>
  <c r="T59" i="192"/>
  <c r="T60" i="192"/>
  <c r="AD173" i="197" l="1"/>
  <c r="AD172" i="197"/>
  <c r="AD174" i="197"/>
  <c r="AD61" i="197"/>
  <c r="AD56" i="197"/>
  <c r="AD62" i="197"/>
  <c r="AD57" i="197"/>
  <c r="AD63" i="197"/>
  <c r="AD64" i="197"/>
  <c r="AD58" i="197"/>
  <c r="AD60" i="197"/>
  <c r="AD52" i="197"/>
  <c r="AD53" i="197"/>
  <c r="AD65" i="197"/>
  <c r="AD55" i="197"/>
  <c r="AD66" i="197"/>
  <c r="AD54" i="197"/>
  <c r="AD59" i="197"/>
  <c r="AD7" i="197"/>
  <c r="AD11" i="197"/>
  <c r="AD4" i="197"/>
  <c r="AD5" i="197"/>
  <c r="AD10" i="197"/>
  <c r="AD18" i="197"/>
  <c r="AD22" i="197"/>
  <c r="AD26" i="197"/>
  <c r="AD9" i="197"/>
  <c r="AD17" i="197"/>
  <c r="AD12" i="197"/>
  <c r="AD16" i="197"/>
  <c r="AD8" i="197"/>
  <c r="AD14" i="197"/>
  <c r="AD27" i="197"/>
  <c r="AD28" i="197"/>
  <c r="AD13" i="197"/>
  <c r="AD21" i="197"/>
  <c r="AD25" i="197"/>
  <c r="AD31" i="197"/>
  <c r="AD6" i="197"/>
  <c r="AD19" i="197"/>
  <c r="AD20" i="197"/>
  <c r="AD35" i="197"/>
  <c r="AD39" i="197"/>
  <c r="AD43" i="197"/>
  <c r="AD47" i="197"/>
  <c r="AD15" i="197"/>
  <c r="AD23" i="197"/>
  <c r="AD33" i="197"/>
  <c r="AD38" i="197"/>
  <c r="AD44" i="197"/>
  <c r="AD51" i="197"/>
  <c r="AD29" i="197"/>
  <c r="AD30" i="197"/>
  <c r="AD41" i="197"/>
  <c r="AD49" i="197"/>
  <c r="AD24" i="197"/>
  <c r="AD36" i="197"/>
  <c r="AD42" i="197"/>
  <c r="AD34" i="197"/>
  <c r="AD37" i="197"/>
  <c r="AD45" i="197"/>
  <c r="AD48" i="197"/>
  <c r="AD32" i="197"/>
  <c r="AD40" i="197"/>
  <c r="AD46" i="197"/>
  <c r="AD70" i="197"/>
  <c r="AD74" i="197"/>
  <c r="AD78" i="197"/>
  <c r="AD82" i="197"/>
  <c r="AD86" i="197"/>
  <c r="AD69" i="197"/>
  <c r="AD73" i="197"/>
  <c r="AD77" i="197"/>
  <c r="AD81" i="197"/>
  <c r="AD85" i="197"/>
  <c r="AD89" i="197"/>
  <c r="AD93" i="197"/>
  <c r="AD97" i="197"/>
  <c r="AD101" i="197"/>
  <c r="AD68" i="197"/>
  <c r="AD72" i="197"/>
  <c r="AD76" i="197"/>
  <c r="AD80" i="197"/>
  <c r="AD84" i="197"/>
  <c r="AD88" i="197"/>
  <c r="AD50" i="197"/>
  <c r="AD67" i="197"/>
  <c r="AD71" i="197"/>
  <c r="AD75" i="197"/>
  <c r="AD79" i="197"/>
  <c r="AD90" i="197"/>
  <c r="AD95" i="197"/>
  <c r="AD100" i="197"/>
  <c r="AD105" i="197"/>
  <c r="AD109" i="197"/>
  <c r="AD87" i="197"/>
  <c r="AD94" i="197"/>
  <c r="AD99" i="197"/>
  <c r="AD83" i="197"/>
  <c r="AD92" i="197"/>
  <c r="AD98" i="197"/>
  <c r="AD103" i="197"/>
  <c r="AD91" i="197"/>
  <c r="AD96" i="197"/>
  <c r="AD102" i="197"/>
  <c r="AD106" i="197"/>
  <c r="AD110" i="197"/>
  <c r="AD114" i="197"/>
  <c r="AD118" i="197"/>
  <c r="AD122" i="197"/>
  <c r="AD126" i="197"/>
  <c r="AD130" i="197"/>
  <c r="AD134" i="197"/>
  <c r="AD108" i="197"/>
  <c r="AD113" i="197"/>
  <c r="AD119" i="197"/>
  <c r="AD124" i="197"/>
  <c r="AD129" i="197"/>
  <c r="AD137" i="197"/>
  <c r="AD141" i="197"/>
  <c r="AD145" i="197"/>
  <c r="AD149" i="197"/>
  <c r="AD153" i="197"/>
  <c r="AD107" i="197"/>
  <c r="AD112" i="197"/>
  <c r="AD117" i="197"/>
  <c r="AD123" i="197"/>
  <c r="AD128" i="197"/>
  <c r="AD133" i="197"/>
  <c r="AD136" i="197"/>
  <c r="AD140" i="197"/>
  <c r="AD144" i="197"/>
  <c r="AD104" i="197"/>
  <c r="AD111" i="197"/>
  <c r="AD116" i="197"/>
  <c r="AD121" i="197"/>
  <c r="AD127" i="197"/>
  <c r="AD132" i="197"/>
  <c r="AD135" i="197"/>
  <c r="AD139" i="197"/>
  <c r="AD143" i="197"/>
  <c r="AD147" i="197"/>
  <c r="AD115" i="197"/>
  <c r="AD120" i="197"/>
  <c r="AD125" i="197"/>
  <c r="AD131" i="197"/>
  <c r="AD138" i="197"/>
  <c r="AD142" i="197"/>
  <c r="AD146" i="197"/>
  <c r="AD150" i="197"/>
  <c r="AD154" i="197"/>
  <c r="AD158" i="197"/>
  <c r="AD162" i="197"/>
  <c r="AD166" i="197"/>
  <c r="AD170" i="197"/>
  <c r="AD151" i="197"/>
  <c r="AD160" i="197"/>
  <c r="AD156" i="197"/>
  <c r="AD159" i="197"/>
  <c r="AD148" i="197"/>
  <c r="AD155" i="197"/>
  <c r="AD157" i="197"/>
  <c r="AD163" i="197"/>
  <c r="AD168" i="197"/>
  <c r="AD169" i="197"/>
  <c r="AD3" i="197"/>
  <c r="AD152" i="197"/>
  <c r="AD161" i="197"/>
  <c r="AD167" i="197"/>
  <c r="AD165" i="197"/>
  <c r="AD171" i="197"/>
  <c r="AD164" i="197"/>
  <c r="AD176" i="197"/>
  <c r="AD175" i="197"/>
  <c r="AD177" i="197"/>
  <c r="AE1" i="197"/>
  <c r="G5" i="195"/>
  <c r="G17" i="195"/>
  <c r="G14" i="195"/>
  <c r="G26" i="195"/>
  <c r="G9" i="195"/>
  <c r="G21" i="195"/>
  <c r="G33" i="195"/>
  <c r="G4" i="195"/>
  <c r="G16" i="195"/>
  <c r="G28" i="195"/>
  <c r="G11" i="195"/>
  <c r="G23" i="195"/>
  <c r="G35" i="195"/>
  <c r="G6" i="195"/>
  <c r="G18" i="195"/>
  <c r="G30" i="195"/>
  <c r="G13" i="195"/>
  <c r="G25" i="195"/>
  <c r="G8" i="195"/>
  <c r="G20" i="195"/>
  <c r="G32" i="195"/>
  <c r="G10" i="195"/>
  <c r="G45" i="195"/>
  <c r="G58" i="195"/>
  <c r="G24" i="195"/>
  <c r="G27" i="195"/>
  <c r="G40" i="195"/>
  <c r="G53" i="195"/>
  <c r="G47" i="195"/>
  <c r="G15" i="195"/>
  <c r="G42" i="195"/>
  <c r="G55" i="195"/>
  <c r="G22" i="195"/>
  <c r="G29" i="195"/>
  <c r="G37" i="195"/>
  <c r="G49" i="195"/>
  <c r="G44" i="195"/>
  <c r="G7" i="195"/>
  <c r="G39" i="195"/>
  <c r="G51" i="195"/>
  <c r="G31" i="195"/>
  <c r="G46" i="195"/>
  <c r="G34" i="195"/>
  <c r="G41" i="195"/>
  <c r="G12" i="195"/>
  <c r="G48" i="195"/>
  <c r="G19" i="195"/>
  <c r="G43" i="195"/>
  <c r="G56" i="195"/>
  <c r="G36" i="195"/>
  <c r="G38" i="195"/>
  <c r="G50" i="195"/>
  <c r="G64" i="195"/>
  <c r="G76" i="195"/>
  <c r="G88" i="195"/>
  <c r="G59" i="195"/>
  <c r="G71" i="195"/>
  <c r="G83" i="195"/>
  <c r="G66" i="195"/>
  <c r="G78" i="195"/>
  <c r="G61" i="195"/>
  <c r="G73" i="195"/>
  <c r="G85" i="195"/>
  <c r="G68" i="195"/>
  <c r="G80" i="195"/>
  <c r="G63" i="195"/>
  <c r="G75" i="195"/>
  <c r="G87" i="195"/>
  <c r="G57" i="195"/>
  <c r="G70" i="195"/>
  <c r="G82" i="195"/>
  <c r="G65" i="195"/>
  <c r="G77" i="195"/>
  <c r="G89" i="195"/>
  <c r="G60" i="195"/>
  <c r="G72" i="195"/>
  <c r="G84" i="195"/>
  <c r="G67" i="195"/>
  <c r="G79" i="195"/>
  <c r="G54" i="195"/>
  <c r="G62" i="195"/>
  <c r="G74" i="195"/>
  <c r="G86" i="195"/>
  <c r="G94" i="195"/>
  <c r="G106" i="195"/>
  <c r="G118" i="195"/>
  <c r="G101" i="195"/>
  <c r="G113" i="195"/>
  <c r="G96" i="195"/>
  <c r="G108" i="195"/>
  <c r="G91" i="195"/>
  <c r="G103" i="195"/>
  <c r="G115" i="195"/>
  <c r="G81" i="195"/>
  <c r="G98" i="195"/>
  <c r="G110" i="195"/>
  <c r="G93" i="195"/>
  <c r="G105" i="195"/>
  <c r="G117" i="195"/>
  <c r="G100" i="195"/>
  <c r="G112" i="195"/>
  <c r="G95" i="195"/>
  <c r="G107" i="195"/>
  <c r="G90" i="195"/>
  <c r="G102" i="195"/>
  <c r="G114" i="195"/>
  <c r="G69" i="195"/>
  <c r="G97" i="195"/>
  <c r="G109" i="195"/>
  <c r="G92" i="195"/>
  <c r="G104" i="195"/>
  <c r="G116" i="195"/>
  <c r="G129" i="195"/>
  <c r="G141" i="195"/>
  <c r="G124" i="195"/>
  <c r="G136" i="195"/>
  <c r="G148" i="195"/>
  <c r="G119" i="195"/>
  <c r="G131" i="195"/>
  <c r="G143" i="195"/>
  <c r="G126" i="195"/>
  <c r="G138" i="195"/>
  <c r="G121" i="195"/>
  <c r="G133" i="195"/>
  <c r="G145" i="195"/>
  <c r="G111" i="195"/>
  <c r="G128" i="195"/>
  <c r="G140" i="195"/>
  <c r="G123" i="195"/>
  <c r="G135" i="195"/>
  <c r="G147" i="195"/>
  <c r="G130" i="195"/>
  <c r="G142" i="195"/>
  <c r="G125" i="195"/>
  <c r="G137" i="195"/>
  <c r="G120" i="195"/>
  <c r="G132" i="195"/>
  <c r="G144" i="195"/>
  <c r="G99" i="195"/>
  <c r="G127" i="195"/>
  <c r="G139" i="195"/>
  <c r="G122" i="195"/>
  <c r="G134" i="195"/>
  <c r="G146" i="195"/>
  <c r="G151" i="195"/>
  <c r="G163" i="195"/>
  <c r="G158" i="195"/>
  <c r="G170" i="195"/>
  <c r="G156" i="195"/>
  <c r="G153" i="195"/>
  <c r="G165" i="195"/>
  <c r="G160" i="195"/>
  <c r="G172" i="195"/>
  <c r="G155" i="195"/>
  <c r="G167" i="195"/>
  <c r="G3" i="195"/>
  <c r="G150" i="195"/>
  <c r="G162" i="195"/>
  <c r="G168" i="195"/>
  <c r="G157" i="195"/>
  <c r="G169" i="195"/>
  <c r="G152" i="195"/>
  <c r="G164" i="195"/>
  <c r="G159" i="195"/>
  <c r="G171" i="195"/>
  <c r="G154" i="195"/>
  <c r="G166" i="195"/>
  <c r="G149" i="195"/>
  <c r="G161" i="195"/>
  <c r="G173" i="195"/>
  <c r="G174" i="195"/>
  <c r="H1" i="195"/>
  <c r="H52" i="195" s="1"/>
  <c r="G175" i="195"/>
  <c r="G177" i="195"/>
  <c r="G176" i="195"/>
  <c r="T51" i="192"/>
  <c r="T52" i="192"/>
  <c r="T53" i="192"/>
  <c r="T54" i="192"/>
  <c r="T55" i="192"/>
  <c r="T50" i="192"/>
  <c r="AE172" i="197" l="1"/>
  <c r="AE174" i="197"/>
  <c r="AE173" i="197"/>
  <c r="AE54" i="197"/>
  <c r="AE66" i="197"/>
  <c r="AE61" i="197"/>
  <c r="AE53" i="197"/>
  <c r="AE52" i="197"/>
  <c r="AE56" i="197"/>
  <c r="AE57" i="197"/>
  <c r="AE63" i="197"/>
  <c r="AE65" i="197"/>
  <c r="AE55" i="197"/>
  <c r="AE58" i="197"/>
  <c r="AE60" i="197"/>
  <c r="AE62" i="197"/>
  <c r="AE64" i="197"/>
  <c r="AE59" i="197"/>
  <c r="AE4" i="197"/>
  <c r="AE8" i="197"/>
  <c r="AE12" i="197"/>
  <c r="AE5" i="197"/>
  <c r="AE6" i="197"/>
  <c r="AE11" i="197"/>
  <c r="AE15" i="197"/>
  <c r="AE19" i="197"/>
  <c r="AE23" i="197"/>
  <c r="AE27" i="197"/>
  <c r="AE14" i="197"/>
  <c r="AE18" i="197"/>
  <c r="AE9" i="197"/>
  <c r="AE17" i="197"/>
  <c r="AE13" i="197"/>
  <c r="AE22" i="197"/>
  <c r="AE10" i="197"/>
  <c r="AE16" i="197"/>
  <c r="AE24" i="197"/>
  <c r="AE29" i="197"/>
  <c r="AE7" i="197"/>
  <c r="AE21" i="197"/>
  <c r="AE25" i="197"/>
  <c r="AE26" i="197"/>
  <c r="AE32" i="197"/>
  <c r="AE36" i="197"/>
  <c r="AE40" i="197"/>
  <c r="AE44" i="197"/>
  <c r="AE48" i="197"/>
  <c r="AE20" i="197"/>
  <c r="AE34" i="197"/>
  <c r="AE39" i="197"/>
  <c r="AE45" i="197"/>
  <c r="AE28" i="197"/>
  <c r="AE35" i="197"/>
  <c r="AE38" i="197"/>
  <c r="AE46" i="197"/>
  <c r="AE50" i="197"/>
  <c r="AE30" i="197"/>
  <c r="AE31" i="197"/>
  <c r="AE33" i="197"/>
  <c r="AE41" i="197"/>
  <c r="AE47" i="197"/>
  <c r="AE49" i="197"/>
  <c r="AE42" i="197"/>
  <c r="AE37" i="197"/>
  <c r="AE43" i="197"/>
  <c r="AE67" i="197"/>
  <c r="AE71" i="197"/>
  <c r="AE75" i="197"/>
  <c r="AE79" i="197"/>
  <c r="AE83" i="197"/>
  <c r="AE87" i="197"/>
  <c r="AE51" i="197"/>
  <c r="AE70" i="197"/>
  <c r="AE74" i="197"/>
  <c r="AE78" i="197"/>
  <c r="AE82" i="197"/>
  <c r="AE86" i="197"/>
  <c r="AE90" i="197"/>
  <c r="AE94" i="197"/>
  <c r="AE98" i="197"/>
  <c r="AE102" i="197"/>
  <c r="AE69" i="197"/>
  <c r="AE73" i="197"/>
  <c r="AE77" i="197"/>
  <c r="AE81" i="197"/>
  <c r="AE85" i="197"/>
  <c r="AE89" i="197"/>
  <c r="AE68" i="197"/>
  <c r="AE72" i="197"/>
  <c r="AE76" i="197"/>
  <c r="AE80" i="197"/>
  <c r="AE91" i="197"/>
  <c r="AE96" i="197"/>
  <c r="AE101" i="197"/>
  <c r="AE106" i="197"/>
  <c r="AE110" i="197"/>
  <c r="AE88" i="197"/>
  <c r="AE95" i="197"/>
  <c r="AE100" i="197"/>
  <c r="AE84" i="197"/>
  <c r="AE93" i="197"/>
  <c r="AE99" i="197"/>
  <c r="AE92" i="197"/>
  <c r="AE97" i="197"/>
  <c r="AE103" i="197"/>
  <c r="AE107" i="197"/>
  <c r="AE111" i="197"/>
  <c r="AE115" i="197"/>
  <c r="AE119" i="197"/>
  <c r="AE123" i="197"/>
  <c r="AE127" i="197"/>
  <c r="AE131" i="197"/>
  <c r="AE109" i="197"/>
  <c r="AE114" i="197"/>
  <c r="AE120" i="197"/>
  <c r="AE125" i="197"/>
  <c r="AE130" i="197"/>
  <c r="AE138" i="197"/>
  <c r="AE142" i="197"/>
  <c r="AE146" i="197"/>
  <c r="AE150" i="197"/>
  <c r="AE154" i="197"/>
  <c r="AE108" i="197"/>
  <c r="AE113" i="197"/>
  <c r="AE118" i="197"/>
  <c r="AE124" i="197"/>
  <c r="AE129" i="197"/>
  <c r="AE134" i="197"/>
  <c r="AE137" i="197"/>
  <c r="AE141" i="197"/>
  <c r="AE145" i="197"/>
  <c r="AE105" i="197"/>
  <c r="AE112" i="197"/>
  <c r="AE117" i="197"/>
  <c r="AE122" i="197"/>
  <c r="AE128" i="197"/>
  <c r="AE133" i="197"/>
  <c r="AE136" i="197"/>
  <c r="AE140" i="197"/>
  <c r="AE144" i="197"/>
  <c r="AE148" i="197"/>
  <c r="AE104" i="197"/>
  <c r="AE116" i="197"/>
  <c r="AE121" i="197"/>
  <c r="AE126" i="197"/>
  <c r="AE132" i="197"/>
  <c r="AE135" i="197"/>
  <c r="AE139" i="197"/>
  <c r="AE143" i="197"/>
  <c r="AE147" i="197"/>
  <c r="AE151" i="197"/>
  <c r="AE155" i="197"/>
  <c r="AE159" i="197"/>
  <c r="AE163" i="197"/>
  <c r="AE167" i="197"/>
  <c r="AE171" i="197"/>
  <c r="AE3" i="197"/>
  <c r="AE161" i="197"/>
  <c r="AE165" i="197"/>
  <c r="AE149" i="197"/>
  <c r="AE160" i="197"/>
  <c r="AE170" i="197"/>
  <c r="AE156" i="197"/>
  <c r="AE158" i="197"/>
  <c r="AE164" i="197"/>
  <c r="AE169" i="197"/>
  <c r="AE153" i="197"/>
  <c r="AE157" i="197"/>
  <c r="AE162" i="197"/>
  <c r="AE168" i="197"/>
  <c r="AE152" i="197"/>
  <c r="AE166" i="197"/>
  <c r="AE175" i="197"/>
  <c r="AE177" i="197"/>
  <c r="AE176" i="197"/>
  <c r="AF1" i="197"/>
  <c r="H10" i="195"/>
  <c r="H22" i="195"/>
  <c r="H7" i="195"/>
  <c r="H19" i="195"/>
  <c r="H31" i="195"/>
  <c r="H14" i="195"/>
  <c r="H26" i="195"/>
  <c r="H9" i="195"/>
  <c r="H21" i="195"/>
  <c r="H33" i="195"/>
  <c r="H4" i="195"/>
  <c r="H16" i="195"/>
  <c r="H28" i="195"/>
  <c r="H11" i="195"/>
  <c r="H23" i="195"/>
  <c r="H35" i="195"/>
  <c r="H6" i="195"/>
  <c r="H18" i="195"/>
  <c r="H30" i="195"/>
  <c r="H13" i="195"/>
  <c r="H25" i="195"/>
  <c r="H36" i="195"/>
  <c r="H38" i="195"/>
  <c r="H50" i="195"/>
  <c r="H17" i="195"/>
  <c r="H45" i="195"/>
  <c r="H58" i="195"/>
  <c r="H24" i="195"/>
  <c r="H27" i="195"/>
  <c r="H40" i="195"/>
  <c r="H53" i="195"/>
  <c r="H8" i="195"/>
  <c r="H47" i="195"/>
  <c r="H15" i="195"/>
  <c r="H42" i="195"/>
  <c r="H55" i="195"/>
  <c r="H29" i="195"/>
  <c r="H37" i="195"/>
  <c r="H49" i="195"/>
  <c r="H32" i="195"/>
  <c r="H44" i="195"/>
  <c r="H20" i="195"/>
  <c r="H39" i="195"/>
  <c r="H51" i="195"/>
  <c r="H46" i="195"/>
  <c r="H5" i="195"/>
  <c r="H34" i="195"/>
  <c r="H41" i="195"/>
  <c r="H54" i="195"/>
  <c r="H12" i="195"/>
  <c r="H48" i="195"/>
  <c r="H43" i="195"/>
  <c r="H69" i="195"/>
  <c r="H81" i="195"/>
  <c r="H64" i="195"/>
  <c r="H76" i="195"/>
  <c r="H88" i="195"/>
  <c r="H59" i="195"/>
  <c r="H71" i="195"/>
  <c r="H83" i="195"/>
  <c r="H66" i="195"/>
  <c r="H78" i="195"/>
  <c r="H61" i="195"/>
  <c r="H73" i="195"/>
  <c r="H85" i="195"/>
  <c r="H56" i="195"/>
  <c r="H68" i="195"/>
  <c r="H80" i="195"/>
  <c r="H63" i="195"/>
  <c r="H75" i="195"/>
  <c r="H57" i="195"/>
  <c r="H70" i="195"/>
  <c r="H82" i="195"/>
  <c r="H65" i="195"/>
  <c r="H77" i="195"/>
  <c r="H60" i="195"/>
  <c r="H72" i="195"/>
  <c r="H84" i="195"/>
  <c r="H67" i="195"/>
  <c r="H79" i="195"/>
  <c r="H99" i="195"/>
  <c r="H111" i="195"/>
  <c r="H94" i="195"/>
  <c r="H106" i="195"/>
  <c r="H118" i="195"/>
  <c r="H101" i="195"/>
  <c r="H113" i="195"/>
  <c r="H62" i="195"/>
  <c r="H96" i="195"/>
  <c r="H108" i="195"/>
  <c r="H89" i="195"/>
  <c r="H91" i="195"/>
  <c r="H103" i="195"/>
  <c r="H115" i="195"/>
  <c r="H86" i="195"/>
  <c r="H98" i="195"/>
  <c r="H110" i="195"/>
  <c r="H93" i="195"/>
  <c r="H105" i="195"/>
  <c r="H117" i="195"/>
  <c r="H100" i="195"/>
  <c r="H112" i="195"/>
  <c r="H95" i="195"/>
  <c r="H107" i="195"/>
  <c r="H90" i="195"/>
  <c r="H102" i="195"/>
  <c r="H114" i="195"/>
  <c r="H74" i="195"/>
  <c r="H97" i="195"/>
  <c r="H109" i="195"/>
  <c r="H122" i="195"/>
  <c r="H134" i="195"/>
  <c r="H146" i="195"/>
  <c r="H129" i="195"/>
  <c r="H141" i="195"/>
  <c r="H124" i="195"/>
  <c r="H136" i="195"/>
  <c r="H148" i="195"/>
  <c r="H119" i="195"/>
  <c r="H131" i="195"/>
  <c r="H143" i="195"/>
  <c r="H92" i="195"/>
  <c r="H126" i="195"/>
  <c r="H138" i="195"/>
  <c r="H121" i="195"/>
  <c r="H133" i="195"/>
  <c r="H145" i="195"/>
  <c r="H116" i="195"/>
  <c r="H128" i="195"/>
  <c r="H140" i="195"/>
  <c r="H87" i="195"/>
  <c r="H123" i="195"/>
  <c r="H135" i="195"/>
  <c r="H147" i="195"/>
  <c r="H130" i="195"/>
  <c r="H142" i="195"/>
  <c r="H125" i="195"/>
  <c r="H137" i="195"/>
  <c r="H120" i="195"/>
  <c r="H132" i="195"/>
  <c r="H144" i="195"/>
  <c r="H104" i="195"/>
  <c r="H127" i="195"/>
  <c r="H139" i="195"/>
  <c r="H156" i="195"/>
  <c r="H168" i="195"/>
  <c r="H151" i="195"/>
  <c r="H163" i="195"/>
  <c r="H158" i="195"/>
  <c r="H170" i="195"/>
  <c r="H153" i="195"/>
  <c r="H165" i="195"/>
  <c r="H160" i="195"/>
  <c r="H172" i="195"/>
  <c r="H155" i="195"/>
  <c r="H167" i="195"/>
  <c r="H3" i="195"/>
  <c r="H150" i="195"/>
  <c r="H162" i="195"/>
  <c r="H149" i="195"/>
  <c r="H173" i="195"/>
  <c r="H157" i="195"/>
  <c r="H169" i="195"/>
  <c r="H161" i="195"/>
  <c r="H152" i="195"/>
  <c r="H164" i="195"/>
  <c r="H159" i="195"/>
  <c r="H171" i="195"/>
  <c r="H154" i="195"/>
  <c r="H166" i="195"/>
  <c r="H174" i="195"/>
  <c r="H175" i="195"/>
  <c r="H176" i="195"/>
  <c r="H177" i="195"/>
  <c r="I1" i="195"/>
  <c r="I52" i="195" s="1"/>
  <c r="F8" i="192"/>
  <c r="AF173" i="197" l="1"/>
  <c r="AF174" i="197"/>
  <c r="AF172" i="197"/>
  <c r="AF59" i="197"/>
  <c r="AF58" i="197"/>
  <c r="AF55" i="197"/>
  <c r="AF54" i="197"/>
  <c r="AF66" i="197"/>
  <c r="AF61" i="197"/>
  <c r="AF60" i="197"/>
  <c r="AF62" i="197"/>
  <c r="AF56" i="197"/>
  <c r="AF53" i="197"/>
  <c r="AF65" i="197"/>
  <c r="AF63" i="197"/>
  <c r="AF57" i="197"/>
  <c r="AF64" i="197"/>
  <c r="AF52" i="197"/>
  <c r="AF5" i="197"/>
  <c r="AF9" i="197"/>
  <c r="AF13" i="197"/>
  <c r="AF6" i="197"/>
  <c r="AF7" i="197"/>
  <c r="AF12" i="197"/>
  <c r="AF16" i="197"/>
  <c r="AF20" i="197"/>
  <c r="AF24" i="197"/>
  <c r="AF4" i="197"/>
  <c r="AF8" i="197"/>
  <c r="AF11" i="197"/>
  <c r="AF19" i="197"/>
  <c r="AF14" i="197"/>
  <c r="AF18" i="197"/>
  <c r="AF15" i="197"/>
  <c r="AF21" i="197"/>
  <c r="AF23" i="197"/>
  <c r="AF27" i="197"/>
  <c r="AF30" i="197"/>
  <c r="AF10" i="197"/>
  <c r="AF17" i="197"/>
  <c r="AF22" i="197"/>
  <c r="AF29" i="197"/>
  <c r="AF25" i="197"/>
  <c r="AF33" i="197"/>
  <c r="AF37" i="197"/>
  <c r="AF41" i="197"/>
  <c r="AF45" i="197"/>
  <c r="AF26" i="197"/>
  <c r="AF35" i="197"/>
  <c r="AF40" i="197"/>
  <c r="AF46" i="197"/>
  <c r="AF49" i="197"/>
  <c r="AF32" i="197"/>
  <c r="AF43" i="197"/>
  <c r="AF51" i="197"/>
  <c r="AF28" i="197"/>
  <c r="AF38" i="197"/>
  <c r="AF44" i="197"/>
  <c r="AF50" i="197"/>
  <c r="AF31" i="197"/>
  <c r="AF36" i="197"/>
  <c r="AF39" i="197"/>
  <c r="AF47" i="197"/>
  <c r="AF34" i="197"/>
  <c r="AF42" i="197"/>
  <c r="AF48" i="197"/>
  <c r="AF68" i="197"/>
  <c r="AF72" i="197"/>
  <c r="AF76" i="197"/>
  <c r="AF80" i="197"/>
  <c r="AF84" i="197"/>
  <c r="AF67" i="197"/>
  <c r="AF71" i="197"/>
  <c r="AF75" i="197"/>
  <c r="AF79" i="197"/>
  <c r="AF83" i="197"/>
  <c r="AF87" i="197"/>
  <c r="AF91" i="197"/>
  <c r="AF95" i="197"/>
  <c r="AF99" i="197"/>
  <c r="AF70" i="197"/>
  <c r="AF74" i="197"/>
  <c r="AF78" i="197"/>
  <c r="AF82" i="197"/>
  <c r="AF86" i="197"/>
  <c r="AF90" i="197"/>
  <c r="AF69" i="197"/>
  <c r="AF73" i="197"/>
  <c r="AF77" i="197"/>
  <c r="AF92" i="197"/>
  <c r="AF97" i="197"/>
  <c r="AF102" i="197"/>
  <c r="AF103" i="197"/>
  <c r="AF107" i="197"/>
  <c r="AF89" i="197"/>
  <c r="AF96" i="197"/>
  <c r="AF101" i="197"/>
  <c r="AF85" i="197"/>
  <c r="AF88" i="197"/>
  <c r="AF94" i="197"/>
  <c r="AF100" i="197"/>
  <c r="AF81" i="197"/>
  <c r="AF93" i="197"/>
  <c r="AF98" i="197"/>
  <c r="AF104" i="197"/>
  <c r="AF108" i="197"/>
  <c r="AF112" i="197"/>
  <c r="AF116" i="197"/>
  <c r="AF120" i="197"/>
  <c r="AF124" i="197"/>
  <c r="AF128" i="197"/>
  <c r="AF132" i="197"/>
  <c r="AF110" i="197"/>
  <c r="AF115" i="197"/>
  <c r="AF121" i="197"/>
  <c r="AF126" i="197"/>
  <c r="AF131" i="197"/>
  <c r="AF135" i="197"/>
  <c r="AF139" i="197"/>
  <c r="AF143" i="197"/>
  <c r="AF147" i="197"/>
  <c r="AF151" i="197"/>
  <c r="AF155" i="197"/>
  <c r="AF109" i="197"/>
  <c r="AF114" i="197"/>
  <c r="AF119" i="197"/>
  <c r="AF125" i="197"/>
  <c r="AF130" i="197"/>
  <c r="AF138" i="197"/>
  <c r="AF142" i="197"/>
  <c r="AF146" i="197"/>
  <c r="AF106" i="197"/>
  <c r="AF113" i="197"/>
  <c r="AF118" i="197"/>
  <c r="AF123" i="197"/>
  <c r="AF129" i="197"/>
  <c r="AF134" i="197"/>
  <c r="AF137" i="197"/>
  <c r="AF141" i="197"/>
  <c r="AF145" i="197"/>
  <c r="AF105" i="197"/>
  <c r="AF111" i="197"/>
  <c r="AF117" i="197"/>
  <c r="AF122" i="197"/>
  <c r="AF127" i="197"/>
  <c r="AF133" i="197"/>
  <c r="AF136" i="197"/>
  <c r="AF140" i="197"/>
  <c r="AF144" i="197"/>
  <c r="AF148" i="197"/>
  <c r="AF152" i="197"/>
  <c r="AF156" i="197"/>
  <c r="AF160" i="197"/>
  <c r="AF164" i="197"/>
  <c r="AF168" i="197"/>
  <c r="AF157" i="197"/>
  <c r="AF167" i="197"/>
  <c r="AF166" i="197"/>
  <c r="AF171" i="197"/>
  <c r="AF150" i="197"/>
  <c r="AF161" i="197"/>
  <c r="AF149" i="197"/>
  <c r="AF159" i="197"/>
  <c r="AF165" i="197"/>
  <c r="AF170" i="197"/>
  <c r="AF3" i="197"/>
  <c r="AF154" i="197"/>
  <c r="AF158" i="197"/>
  <c r="AF163" i="197"/>
  <c r="AF169" i="197"/>
  <c r="AF153" i="197"/>
  <c r="AF162" i="197"/>
  <c r="AF176" i="197"/>
  <c r="AF175" i="197"/>
  <c r="AF177" i="197"/>
  <c r="AG1" i="197"/>
  <c r="I15" i="195"/>
  <c r="I12" i="195"/>
  <c r="I24" i="195"/>
  <c r="I36" i="195"/>
  <c r="I7" i="195"/>
  <c r="I19" i="195"/>
  <c r="I31" i="195"/>
  <c r="I14" i="195"/>
  <c r="I26" i="195"/>
  <c r="I9" i="195"/>
  <c r="I21" i="195"/>
  <c r="I33" i="195"/>
  <c r="I4" i="195"/>
  <c r="I16" i="195"/>
  <c r="I28" i="195"/>
  <c r="I11" i="195"/>
  <c r="I23" i="195"/>
  <c r="I35" i="195"/>
  <c r="I6" i="195"/>
  <c r="I18" i="195"/>
  <c r="I30" i="195"/>
  <c r="I25" i="195"/>
  <c r="I43" i="195"/>
  <c r="I56" i="195"/>
  <c r="I10" i="195"/>
  <c r="I38" i="195"/>
  <c r="I50" i="195"/>
  <c r="I17" i="195"/>
  <c r="I45" i="195"/>
  <c r="I58" i="195"/>
  <c r="I27" i="195"/>
  <c r="I40" i="195"/>
  <c r="I53" i="195"/>
  <c r="I8" i="195"/>
  <c r="I47" i="195"/>
  <c r="I22" i="195"/>
  <c r="I42" i="195"/>
  <c r="I29" i="195"/>
  <c r="I37" i="195"/>
  <c r="I49" i="195"/>
  <c r="I13" i="195"/>
  <c r="I32" i="195"/>
  <c r="I44" i="195"/>
  <c r="I57" i="195"/>
  <c r="I20" i="195"/>
  <c r="I39" i="195"/>
  <c r="I51" i="195"/>
  <c r="I46" i="195"/>
  <c r="I5" i="195"/>
  <c r="I34" i="195"/>
  <c r="I41" i="195"/>
  <c r="I54" i="195"/>
  <c r="I48" i="195"/>
  <c r="I62" i="195"/>
  <c r="I74" i="195"/>
  <c r="I86" i="195"/>
  <c r="I69" i="195"/>
  <c r="I81" i="195"/>
  <c r="I64" i="195"/>
  <c r="I76" i="195"/>
  <c r="I88" i="195"/>
  <c r="I59" i="195"/>
  <c r="I71" i="195"/>
  <c r="I83" i="195"/>
  <c r="I66" i="195"/>
  <c r="I78" i="195"/>
  <c r="I61" i="195"/>
  <c r="I73" i="195"/>
  <c r="I85" i="195"/>
  <c r="I55" i="195"/>
  <c r="I68" i="195"/>
  <c r="I80" i="195"/>
  <c r="I63" i="195"/>
  <c r="I75" i="195"/>
  <c r="I87" i="195"/>
  <c r="I70" i="195"/>
  <c r="I82" i="195"/>
  <c r="I65" i="195"/>
  <c r="I77" i="195"/>
  <c r="I89" i="195"/>
  <c r="I60" i="195"/>
  <c r="I72" i="195"/>
  <c r="I84" i="195"/>
  <c r="I92" i="195"/>
  <c r="I104" i="195"/>
  <c r="I116" i="195"/>
  <c r="I99" i="195"/>
  <c r="I111" i="195"/>
  <c r="I94" i="195"/>
  <c r="I106" i="195"/>
  <c r="I118" i="195"/>
  <c r="I101" i="195"/>
  <c r="I113" i="195"/>
  <c r="I67" i="195"/>
  <c r="I96" i="195"/>
  <c r="I108" i="195"/>
  <c r="I91" i="195"/>
  <c r="I103" i="195"/>
  <c r="I115" i="195"/>
  <c r="I98" i="195"/>
  <c r="I110" i="195"/>
  <c r="I93" i="195"/>
  <c r="I105" i="195"/>
  <c r="I117" i="195"/>
  <c r="I100" i="195"/>
  <c r="I112" i="195"/>
  <c r="I95" i="195"/>
  <c r="I107" i="195"/>
  <c r="I90" i="195"/>
  <c r="I102" i="195"/>
  <c r="I114" i="195"/>
  <c r="I109" i="195"/>
  <c r="I127" i="195"/>
  <c r="I139" i="195"/>
  <c r="I122" i="195"/>
  <c r="I134" i="195"/>
  <c r="I146" i="195"/>
  <c r="I129" i="195"/>
  <c r="I141" i="195"/>
  <c r="I124" i="195"/>
  <c r="I136" i="195"/>
  <c r="I148" i="195"/>
  <c r="I119" i="195"/>
  <c r="I131" i="195"/>
  <c r="I143" i="195"/>
  <c r="I79" i="195"/>
  <c r="I97" i="195"/>
  <c r="I126" i="195"/>
  <c r="I138" i="195"/>
  <c r="I121" i="195"/>
  <c r="I133" i="195"/>
  <c r="I145" i="195"/>
  <c r="I128" i="195"/>
  <c r="I140" i="195"/>
  <c r="I123" i="195"/>
  <c r="I135" i="195"/>
  <c r="I130" i="195"/>
  <c r="I142" i="195"/>
  <c r="I125" i="195"/>
  <c r="I137" i="195"/>
  <c r="I120" i="195"/>
  <c r="I132" i="195"/>
  <c r="I144" i="195"/>
  <c r="I149" i="195"/>
  <c r="I161" i="195"/>
  <c r="I173" i="195"/>
  <c r="I154" i="195"/>
  <c r="I156" i="195"/>
  <c r="I168" i="195"/>
  <c r="I151" i="195"/>
  <c r="I163" i="195"/>
  <c r="I147" i="195"/>
  <c r="I158" i="195"/>
  <c r="I170" i="195"/>
  <c r="I153" i="195"/>
  <c r="I165" i="195"/>
  <c r="I160" i="195"/>
  <c r="I172" i="195"/>
  <c r="I155" i="195"/>
  <c r="I167" i="195"/>
  <c r="I3" i="195"/>
  <c r="I150" i="195"/>
  <c r="I162" i="195"/>
  <c r="I166" i="195"/>
  <c r="I157" i="195"/>
  <c r="I169" i="195"/>
  <c r="I152" i="195"/>
  <c r="I164" i="195"/>
  <c r="I159" i="195"/>
  <c r="I171" i="195"/>
  <c r="I175" i="195"/>
  <c r="J1" i="195"/>
  <c r="J52" i="195" s="1"/>
  <c r="I174" i="195"/>
  <c r="I177" i="195"/>
  <c r="I176" i="195"/>
  <c r="T42" i="192"/>
  <c r="T43" i="192"/>
  <c r="T44" i="192"/>
  <c r="T45" i="192"/>
  <c r="T46" i="192"/>
  <c r="T47" i="192"/>
  <c r="T48" i="192"/>
  <c r="AG173" i="197" l="1"/>
  <c r="AG172" i="197"/>
  <c r="AG174" i="197"/>
  <c r="AG52" i="197"/>
  <c r="AG64" i="197"/>
  <c r="AG60" i="197"/>
  <c r="AG59" i="197"/>
  <c r="AG53" i="197"/>
  <c r="AG65" i="197"/>
  <c r="AG54" i="197"/>
  <c r="AG66" i="197"/>
  <c r="AG58" i="197"/>
  <c r="AG61" i="197"/>
  <c r="AG63" i="197"/>
  <c r="AG55" i="197"/>
  <c r="AG56" i="197"/>
  <c r="AG57" i="197"/>
  <c r="AG62" i="197"/>
  <c r="AG6" i="197"/>
  <c r="AG10" i="197"/>
  <c r="AG14" i="197"/>
  <c r="AG8" i="197"/>
  <c r="AG13" i="197"/>
  <c r="AG17" i="197"/>
  <c r="AG21" i="197"/>
  <c r="AG25" i="197"/>
  <c r="AG5" i="197"/>
  <c r="AG15" i="197"/>
  <c r="AG20" i="197"/>
  <c r="AG4" i="197"/>
  <c r="AG11" i="197"/>
  <c r="AG19" i="197"/>
  <c r="AG7" i="197"/>
  <c r="AG16" i="197"/>
  <c r="AG24" i="197"/>
  <c r="AG26" i="197"/>
  <c r="AG28" i="197"/>
  <c r="AG31" i="197"/>
  <c r="AG27" i="197"/>
  <c r="AG30" i="197"/>
  <c r="AG9" i="197"/>
  <c r="AG12" i="197"/>
  <c r="AG18" i="197"/>
  <c r="AG29" i="197"/>
  <c r="AG34" i="197"/>
  <c r="AG38" i="197"/>
  <c r="AG42" i="197"/>
  <c r="AG46" i="197"/>
  <c r="AG36" i="197"/>
  <c r="AG41" i="197"/>
  <c r="AG47" i="197"/>
  <c r="AG50" i="197"/>
  <c r="AG23" i="197"/>
  <c r="AG37" i="197"/>
  <c r="AG40" i="197"/>
  <c r="AG48" i="197"/>
  <c r="AG32" i="197"/>
  <c r="AG35" i="197"/>
  <c r="AG43" i="197"/>
  <c r="AG51" i="197"/>
  <c r="AG33" i="197"/>
  <c r="AG44" i="197"/>
  <c r="AG49" i="197"/>
  <c r="AG22" i="197"/>
  <c r="AG39" i="197"/>
  <c r="AG45" i="197"/>
  <c r="AG69" i="197"/>
  <c r="AG73" i="197"/>
  <c r="AG77" i="197"/>
  <c r="AG81" i="197"/>
  <c r="AG85" i="197"/>
  <c r="AG68" i="197"/>
  <c r="AG72" i="197"/>
  <c r="AG76" i="197"/>
  <c r="AG80" i="197"/>
  <c r="AG84" i="197"/>
  <c r="AG88" i="197"/>
  <c r="AG92" i="197"/>
  <c r="AG96" i="197"/>
  <c r="AG100" i="197"/>
  <c r="AG67" i="197"/>
  <c r="AG71" i="197"/>
  <c r="AG75" i="197"/>
  <c r="AG79" i="197"/>
  <c r="AG83" i="197"/>
  <c r="AG87" i="197"/>
  <c r="AG70" i="197"/>
  <c r="AG74" i="197"/>
  <c r="AG78" i="197"/>
  <c r="AG93" i="197"/>
  <c r="AG98" i="197"/>
  <c r="AG104" i="197"/>
  <c r="AG108" i="197"/>
  <c r="AG90" i="197"/>
  <c r="AG91" i="197"/>
  <c r="AG97" i="197"/>
  <c r="AG102" i="197"/>
  <c r="AG103" i="197"/>
  <c r="AG86" i="197"/>
  <c r="AG89" i="197"/>
  <c r="AG95" i="197"/>
  <c r="AG101" i="197"/>
  <c r="AG82" i="197"/>
  <c r="AG94" i="197"/>
  <c r="AG99" i="197"/>
  <c r="AG105" i="197"/>
  <c r="AG109" i="197"/>
  <c r="AG113" i="197"/>
  <c r="AG117" i="197"/>
  <c r="AG121" i="197"/>
  <c r="AG125" i="197"/>
  <c r="AG129" i="197"/>
  <c r="AG133" i="197"/>
  <c r="AG111" i="197"/>
  <c r="AG116" i="197"/>
  <c r="AG122" i="197"/>
  <c r="AG127" i="197"/>
  <c r="AG132" i="197"/>
  <c r="AG136" i="197"/>
  <c r="AG140" i="197"/>
  <c r="AG144" i="197"/>
  <c r="AG148" i="197"/>
  <c r="AG152" i="197"/>
  <c r="AG156" i="197"/>
  <c r="AG110" i="197"/>
  <c r="AG115" i="197"/>
  <c r="AG120" i="197"/>
  <c r="AG126" i="197"/>
  <c r="AG131" i="197"/>
  <c r="AG135" i="197"/>
  <c r="AG139" i="197"/>
  <c r="AG143" i="197"/>
  <c r="AG107" i="197"/>
  <c r="AG114" i="197"/>
  <c r="AG119" i="197"/>
  <c r="AG124" i="197"/>
  <c r="AG130" i="197"/>
  <c r="AG138" i="197"/>
  <c r="AG142" i="197"/>
  <c r="AG146" i="197"/>
  <c r="AG106" i="197"/>
  <c r="AG112" i="197"/>
  <c r="AG118" i="197"/>
  <c r="AG123" i="197"/>
  <c r="AG128" i="197"/>
  <c r="AG134" i="197"/>
  <c r="AG137" i="197"/>
  <c r="AG141" i="197"/>
  <c r="AG145" i="197"/>
  <c r="AG149" i="197"/>
  <c r="AG153" i="197"/>
  <c r="AG157" i="197"/>
  <c r="AG161" i="197"/>
  <c r="AG165" i="197"/>
  <c r="AG169" i="197"/>
  <c r="AG163" i="197"/>
  <c r="AG168" i="197"/>
  <c r="AG167" i="197"/>
  <c r="AG151" i="197"/>
  <c r="AG162" i="197"/>
  <c r="AG150" i="197"/>
  <c r="AG160" i="197"/>
  <c r="AG166" i="197"/>
  <c r="AG171" i="197"/>
  <c r="AG147" i="197"/>
  <c r="AG155" i="197"/>
  <c r="AG159" i="197"/>
  <c r="AG164" i="197"/>
  <c r="AG170" i="197"/>
  <c r="AG3" i="197"/>
  <c r="AG154" i="197"/>
  <c r="AG158" i="197"/>
  <c r="AG177" i="197"/>
  <c r="AG175" i="197"/>
  <c r="AG176" i="197"/>
  <c r="AH1" i="197"/>
  <c r="J8" i="195"/>
  <c r="J20" i="195"/>
  <c r="J5" i="195"/>
  <c r="J17" i="195"/>
  <c r="J29" i="195"/>
  <c r="J12" i="195"/>
  <c r="J24" i="195"/>
  <c r="J36" i="195"/>
  <c r="J7" i="195"/>
  <c r="J19" i="195"/>
  <c r="J31" i="195"/>
  <c r="J14" i="195"/>
  <c r="J26" i="195"/>
  <c r="J9" i="195"/>
  <c r="J21" i="195"/>
  <c r="J33" i="195"/>
  <c r="J4" i="195"/>
  <c r="J16" i="195"/>
  <c r="J28" i="195"/>
  <c r="J11" i="195"/>
  <c r="J23" i="195"/>
  <c r="J35" i="195"/>
  <c r="J48" i="195"/>
  <c r="J25" i="195"/>
  <c r="J43" i="195"/>
  <c r="J56" i="195"/>
  <c r="J10" i="195"/>
  <c r="J38" i="195"/>
  <c r="J50" i="195"/>
  <c r="J45" i="195"/>
  <c r="J27" i="195"/>
  <c r="J40" i="195"/>
  <c r="J53" i="195"/>
  <c r="J15" i="195"/>
  <c r="J30" i="195"/>
  <c r="J47" i="195"/>
  <c r="J22" i="195"/>
  <c r="J42" i="195"/>
  <c r="J6" i="195"/>
  <c r="J37" i="195"/>
  <c r="J49" i="195"/>
  <c r="J13" i="195"/>
  <c r="J32" i="195"/>
  <c r="J44" i="195"/>
  <c r="J39" i="195"/>
  <c r="J51" i="195"/>
  <c r="J46" i="195"/>
  <c r="J18" i="195"/>
  <c r="J34" i="195"/>
  <c r="J41" i="195"/>
  <c r="J67" i="195"/>
  <c r="J79" i="195"/>
  <c r="J62" i="195"/>
  <c r="J74" i="195"/>
  <c r="J86" i="195"/>
  <c r="J58" i="195"/>
  <c r="J69" i="195"/>
  <c r="J81" i="195"/>
  <c r="J64" i="195"/>
  <c r="J76" i="195"/>
  <c r="J88" i="195"/>
  <c r="J59" i="195"/>
  <c r="J71" i="195"/>
  <c r="J83" i="195"/>
  <c r="J66" i="195"/>
  <c r="J78" i="195"/>
  <c r="J61" i="195"/>
  <c r="J73" i="195"/>
  <c r="J85" i="195"/>
  <c r="J55" i="195"/>
  <c r="J68" i="195"/>
  <c r="J80" i="195"/>
  <c r="J57" i="195"/>
  <c r="J63" i="195"/>
  <c r="J75" i="195"/>
  <c r="J70" i="195"/>
  <c r="J82" i="195"/>
  <c r="J65" i="195"/>
  <c r="J77" i="195"/>
  <c r="J89" i="195"/>
  <c r="J84" i="195"/>
  <c r="J87" i="195"/>
  <c r="J97" i="195"/>
  <c r="J109" i="195"/>
  <c r="J54" i="195"/>
  <c r="J92" i="195"/>
  <c r="J104" i="195"/>
  <c r="J116" i="195"/>
  <c r="J99" i="195"/>
  <c r="J111" i="195"/>
  <c r="J94" i="195"/>
  <c r="J106" i="195"/>
  <c r="J118" i="195"/>
  <c r="J101" i="195"/>
  <c r="J113" i="195"/>
  <c r="J72" i="195"/>
  <c r="J96" i="195"/>
  <c r="J108" i="195"/>
  <c r="J91" i="195"/>
  <c r="J103" i="195"/>
  <c r="J115" i="195"/>
  <c r="J98" i="195"/>
  <c r="J110" i="195"/>
  <c r="J93" i="195"/>
  <c r="J105" i="195"/>
  <c r="J117" i="195"/>
  <c r="J100" i="195"/>
  <c r="J112" i="195"/>
  <c r="J60" i="195"/>
  <c r="J95" i="195"/>
  <c r="J107" i="195"/>
  <c r="J120" i="195"/>
  <c r="J132" i="195"/>
  <c r="J144" i="195"/>
  <c r="J114" i="195"/>
  <c r="J127" i="195"/>
  <c r="J139" i="195"/>
  <c r="J122" i="195"/>
  <c r="J134" i="195"/>
  <c r="J146" i="195"/>
  <c r="J129" i="195"/>
  <c r="J141" i="195"/>
  <c r="J124" i="195"/>
  <c r="J136" i="195"/>
  <c r="J148" i="195"/>
  <c r="J119" i="195"/>
  <c r="J131" i="195"/>
  <c r="J143" i="195"/>
  <c r="J102" i="195"/>
  <c r="J126" i="195"/>
  <c r="J138" i="195"/>
  <c r="J121" i="195"/>
  <c r="J133" i="195"/>
  <c r="J145" i="195"/>
  <c r="J128" i="195"/>
  <c r="J140" i="195"/>
  <c r="J123" i="195"/>
  <c r="J135" i="195"/>
  <c r="J147" i="195"/>
  <c r="J130" i="195"/>
  <c r="J142" i="195"/>
  <c r="J90" i="195"/>
  <c r="J125" i="195"/>
  <c r="J137" i="195"/>
  <c r="J154" i="195"/>
  <c r="J166" i="195"/>
  <c r="J159" i="195"/>
  <c r="J171" i="195"/>
  <c r="J149" i="195"/>
  <c r="J161" i="195"/>
  <c r="J173" i="195"/>
  <c r="J156" i="195"/>
  <c r="J168" i="195"/>
  <c r="J151" i="195"/>
  <c r="J163" i="195"/>
  <c r="J158" i="195"/>
  <c r="J170" i="195"/>
  <c r="J153" i="195"/>
  <c r="J165" i="195"/>
  <c r="J160" i="195"/>
  <c r="J172" i="195"/>
  <c r="J155" i="195"/>
  <c r="J167" i="195"/>
  <c r="J3" i="195"/>
  <c r="J150" i="195"/>
  <c r="J162" i="195"/>
  <c r="J157" i="195"/>
  <c r="J169" i="195"/>
  <c r="J152" i="195"/>
  <c r="J164" i="195"/>
  <c r="K1" i="195"/>
  <c r="K52" i="195" s="1"/>
  <c r="J177" i="195"/>
  <c r="J176" i="195"/>
  <c r="J175" i="195"/>
  <c r="J174" i="195"/>
  <c r="T49" i="192"/>
  <c r="AH172" i="197" l="1"/>
  <c r="AI172" i="197" s="1"/>
  <c r="AH173" i="197"/>
  <c r="AI173" i="197" s="1"/>
  <c r="AH174" i="197"/>
  <c r="AI174" i="197" s="1"/>
  <c r="AH57" i="197"/>
  <c r="AI57" i="197" s="1"/>
  <c r="AH56" i="197"/>
  <c r="AI56" i="197" s="1"/>
  <c r="AH65" i="197"/>
  <c r="AI65" i="197" s="1"/>
  <c r="AH52" i="197"/>
  <c r="AH64" i="197"/>
  <c r="AH60" i="197"/>
  <c r="AI60" i="197" s="1"/>
  <c r="AH59" i="197"/>
  <c r="AI59" i="197" s="1"/>
  <c r="AH58" i="197"/>
  <c r="AI58" i="197" s="1"/>
  <c r="AH53" i="197"/>
  <c r="AI53" i="197" s="1"/>
  <c r="AH54" i="197"/>
  <c r="AI54" i="197" s="1"/>
  <c r="AH66" i="197"/>
  <c r="AI66" i="197" s="1"/>
  <c r="AH63" i="197"/>
  <c r="AI63" i="197" s="1"/>
  <c r="AH61" i="197"/>
  <c r="AI61" i="197" s="1"/>
  <c r="AH62" i="197"/>
  <c r="AI62" i="197" s="1"/>
  <c r="AH55" i="197"/>
  <c r="AI55" i="197" s="1"/>
  <c r="AH7" i="197"/>
  <c r="AI7" i="197" s="1"/>
  <c r="AH11" i="197"/>
  <c r="AI11" i="197" s="1"/>
  <c r="AH4" i="197"/>
  <c r="AI4" i="197" s="1"/>
  <c r="AH9" i="197"/>
  <c r="AI9" i="197" s="1"/>
  <c r="AH14" i="197"/>
  <c r="AI14" i="197" s="1"/>
  <c r="AH18" i="197"/>
  <c r="AI18" i="197" s="1"/>
  <c r="AH22" i="197"/>
  <c r="AI22" i="197" s="1"/>
  <c r="AH26" i="197"/>
  <c r="AI26" i="197" s="1"/>
  <c r="AH6" i="197"/>
  <c r="AI6" i="197" s="1"/>
  <c r="AH10" i="197"/>
  <c r="AI10" i="197" s="1"/>
  <c r="AH13" i="197"/>
  <c r="AI13" i="197" s="1"/>
  <c r="AH16" i="197"/>
  <c r="AI16" i="197" s="1"/>
  <c r="AH21" i="197"/>
  <c r="AI21" i="197" s="1"/>
  <c r="AH5" i="197"/>
  <c r="AI5" i="197" s="1"/>
  <c r="AH8" i="197"/>
  <c r="AI8" i="197" s="1"/>
  <c r="AH15" i="197"/>
  <c r="AI15" i="197" s="1"/>
  <c r="AH20" i="197"/>
  <c r="AH12" i="197"/>
  <c r="AI12" i="197" s="1"/>
  <c r="AH17" i="197"/>
  <c r="AI17" i="197" s="1"/>
  <c r="AH25" i="197"/>
  <c r="AI25" i="197" s="1"/>
  <c r="AH28" i="197"/>
  <c r="AI28" i="197" s="1"/>
  <c r="AH23" i="197"/>
  <c r="AI23" i="197" s="1"/>
  <c r="AH24" i="197"/>
  <c r="AI24" i="197" s="1"/>
  <c r="AH31" i="197"/>
  <c r="AI31" i="197" s="1"/>
  <c r="AH30" i="197"/>
  <c r="AI30" i="197" s="1"/>
  <c r="AH35" i="197"/>
  <c r="AI35" i="197" s="1"/>
  <c r="AH39" i="197"/>
  <c r="AI39" i="197" s="1"/>
  <c r="AH43" i="197"/>
  <c r="AI43" i="197" s="1"/>
  <c r="AH47" i="197"/>
  <c r="AI47" i="197" s="1"/>
  <c r="AH29" i="197"/>
  <c r="AI29" i="197" s="1"/>
  <c r="AH32" i="197"/>
  <c r="AI32" i="197" s="1"/>
  <c r="AH37" i="197"/>
  <c r="AI37" i="197" s="1"/>
  <c r="AH42" i="197"/>
  <c r="AI42" i="197" s="1"/>
  <c r="AH48" i="197"/>
  <c r="AI48" i="197" s="1"/>
  <c r="AH51" i="197"/>
  <c r="AI51" i="197" s="1"/>
  <c r="AH27" i="197"/>
  <c r="AI27" i="197" s="1"/>
  <c r="AH34" i="197"/>
  <c r="AI34" i="197" s="1"/>
  <c r="AH45" i="197"/>
  <c r="AI45" i="197" s="1"/>
  <c r="AH19" i="197"/>
  <c r="AI19" i="197" s="1"/>
  <c r="AH40" i="197"/>
  <c r="AI40" i="197" s="1"/>
  <c r="AH46" i="197"/>
  <c r="AI46" i="197" s="1"/>
  <c r="AH38" i="197"/>
  <c r="AI38" i="197" s="1"/>
  <c r="AH41" i="197"/>
  <c r="AI41" i="197" s="1"/>
  <c r="AH50" i="197"/>
  <c r="AI50" i="197" s="1"/>
  <c r="AH33" i="197"/>
  <c r="AI33" i="197" s="1"/>
  <c r="AH36" i="197"/>
  <c r="AI36" i="197" s="1"/>
  <c r="AH44" i="197"/>
  <c r="AI44" i="197" s="1"/>
  <c r="AH49" i="197"/>
  <c r="AI49" i="197" s="1"/>
  <c r="AH70" i="197"/>
  <c r="AI70" i="197" s="1"/>
  <c r="AH74" i="197"/>
  <c r="AI74" i="197" s="1"/>
  <c r="AH78" i="197"/>
  <c r="AI78" i="197" s="1"/>
  <c r="AH82" i="197"/>
  <c r="AI82" i="197" s="1"/>
  <c r="AH86" i="197"/>
  <c r="AH69" i="197"/>
  <c r="AI69" i="197" s="1"/>
  <c r="AH73" i="197"/>
  <c r="AI73" i="197" s="1"/>
  <c r="AH77" i="197"/>
  <c r="AI77" i="197" s="1"/>
  <c r="AH81" i="197"/>
  <c r="AI81" i="197" s="1"/>
  <c r="AH85" i="197"/>
  <c r="AI85" i="197" s="1"/>
  <c r="AH89" i="197"/>
  <c r="AI89" i="197" s="1"/>
  <c r="AH93" i="197"/>
  <c r="AI93" i="197" s="1"/>
  <c r="AH97" i="197"/>
  <c r="AI97" i="197" s="1"/>
  <c r="AH101" i="197"/>
  <c r="AI101" i="197" s="1"/>
  <c r="AH68" i="197"/>
  <c r="AI68" i="197" s="1"/>
  <c r="AH72" i="197"/>
  <c r="AI72" i="197" s="1"/>
  <c r="AH76" i="197"/>
  <c r="AI76" i="197" s="1"/>
  <c r="AH80" i="197"/>
  <c r="AI80" i="197" s="1"/>
  <c r="AH84" i="197"/>
  <c r="AI84" i="197" s="1"/>
  <c r="AH88" i="197"/>
  <c r="AI88" i="197" s="1"/>
  <c r="AH67" i="197"/>
  <c r="AI67" i="197" s="1"/>
  <c r="AH71" i="197"/>
  <c r="AI71" i="197" s="1"/>
  <c r="AH75" i="197"/>
  <c r="AI75" i="197" s="1"/>
  <c r="AH79" i="197"/>
  <c r="AI79" i="197" s="1"/>
  <c r="AH94" i="197"/>
  <c r="AI94" i="197" s="1"/>
  <c r="AH99" i="197"/>
  <c r="AI99" i="197" s="1"/>
  <c r="AH105" i="197"/>
  <c r="AI105" i="197" s="1"/>
  <c r="AH109" i="197"/>
  <c r="AI109" i="197" s="1"/>
  <c r="AH92" i="197"/>
  <c r="AI92" i="197" s="1"/>
  <c r="AH98" i="197"/>
  <c r="AI98" i="197" s="1"/>
  <c r="AH87" i="197"/>
  <c r="AI87" i="197" s="1"/>
  <c r="AH90" i="197"/>
  <c r="AI90" i="197" s="1"/>
  <c r="AH91" i="197"/>
  <c r="AI91" i="197" s="1"/>
  <c r="AH96" i="197"/>
  <c r="AI96" i="197" s="1"/>
  <c r="AH102" i="197"/>
  <c r="AI102" i="197" s="1"/>
  <c r="AH103" i="197"/>
  <c r="AI103" i="197" s="1"/>
  <c r="AH83" i="197"/>
  <c r="AI83" i="197" s="1"/>
  <c r="AH95" i="197"/>
  <c r="AI95" i="197" s="1"/>
  <c r="AH100" i="197"/>
  <c r="AI100" i="197" s="1"/>
  <c r="AH106" i="197"/>
  <c r="AI106" i="197" s="1"/>
  <c r="AH110" i="197"/>
  <c r="AI110" i="197" s="1"/>
  <c r="AH114" i="197"/>
  <c r="AI114" i="197" s="1"/>
  <c r="AH118" i="197"/>
  <c r="AI118" i="197" s="1"/>
  <c r="AH122" i="197"/>
  <c r="AI122" i="197" s="1"/>
  <c r="AH126" i="197"/>
  <c r="AI126" i="197" s="1"/>
  <c r="AH130" i="197"/>
  <c r="AI130" i="197" s="1"/>
  <c r="AH134" i="197"/>
  <c r="AI134" i="197" s="1"/>
  <c r="AH104" i="197"/>
  <c r="AI104" i="197" s="1"/>
  <c r="AH112" i="197"/>
  <c r="AI112" i="197" s="1"/>
  <c r="AH117" i="197"/>
  <c r="AI117" i="197" s="1"/>
  <c r="AH123" i="197"/>
  <c r="AI123" i="197" s="1"/>
  <c r="AH128" i="197"/>
  <c r="AI128" i="197" s="1"/>
  <c r="AH133" i="197"/>
  <c r="AI133" i="197" s="1"/>
  <c r="AH137" i="197"/>
  <c r="AI137" i="197" s="1"/>
  <c r="AH141" i="197"/>
  <c r="AI141" i="197" s="1"/>
  <c r="AH145" i="197"/>
  <c r="AI145" i="197" s="1"/>
  <c r="AH149" i="197"/>
  <c r="AI149" i="197" s="1"/>
  <c r="AH153" i="197"/>
  <c r="AI153" i="197" s="1"/>
  <c r="AH111" i="197"/>
  <c r="AI111" i="197" s="1"/>
  <c r="AH116" i="197"/>
  <c r="AI116" i="197" s="1"/>
  <c r="AH121" i="197"/>
  <c r="AI121" i="197" s="1"/>
  <c r="AH127" i="197"/>
  <c r="AI127" i="197" s="1"/>
  <c r="AH132" i="197"/>
  <c r="AI132" i="197" s="1"/>
  <c r="AH136" i="197"/>
  <c r="AI136" i="197" s="1"/>
  <c r="AH140" i="197"/>
  <c r="AI140" i="197" s="1"/>
  <c r="AH144" i="197"/>
  <c r="AI144" i="197" s="1"/>
  <c r="AH108" i="197"/>
  <c r="AI108" i="197" s="1"/>
  <c r="AH115" i="197"/>
  <c r="AI115" i="197" s="1"/>
  <c r="AH120" i="197"/>
  <c r="AI120" i="197" s="1"/>
  <c r="AH125" i="197"/>
  <c r="AI125" i="197" s="1"/>
  <c r="AH131" i="197"/>
  <c r="AI131" i="197" s="1"/>
  <c r="AH135" i="197"/>
  <c r="AI135" i="197" s="1"/>
  <c r="AH139" i="197"/>
  <c r="AI139" i="197" s="1"/>
  <c r="AH143" i="197"/>
  <c r="AI143" i="197" s="1"/>
  <c r="AH147" i="197"/>
  <c r="AI147" i="197" s="1"/>
  <c r="AH107" i="197"/>
  <c r="AI107" i="197" s="1"/>
  <c r="AH113" i="197"/>
  <c r="AI113" i="197" s="1"/>
  <c r="AH119" i="197"/>
  <c r="AI119" i="197" s="1"/>
  <c r="AH124" i="197"/>
  <c r="AI124" i="197" s="1"/>
  <c r="AH129" i="197"/>
  <c r="AI129" i="197" s="1"/>
  <c r="AH138" i="197"/>
  <c r="AH142" i="197"/>
  <c r="AI142" i="197" s="1"/>
  <c r="AH146" i="197"/>
  <c r="AI146" i="197" s="1"/>
  <c r="AH150" i="197"/>
  <c r="AI150" i="197" s="1"/>
  <c r="AH154" i="197"/>
  <c r="AI154" i="197" s="1"/>
  <c r="AH158" i="197"/>
  <c r="AI158" i="197" s="1"/>
  <c r="AH162" i="197"/>
  <c r="AI162" i="197" s="1"/>
  <c r="AH166" i="197"/>
  <c r="AI166" i="197" s="1"/>
  <c r="AH170" i="197"/>
  <c r="AI170" i="197" s="1"/>
  <c r="AH155" i="197"/>
  <c r="AI155" i="197" s="1"/>
  <c r="AH164" i="197"/>
  <c r="AI164" i="197" s="1"/>
  <c r="AH169" i="197"/>
  <c r="AI169" i="197" s="1"/>
  <c r="AH152" i="197"/>
  <c r="AI152" i="197" s="1"/>
  <c r="AH157" i="197"/>
  <c r="AI157" i="197" s="1"/>
  <c r="AH163" i="197"/>
  <c r="AI163" i="197" s="1"/>
  <c r="AH168" i="197"/>
  <c r="AI168" i="197" s="1"/>
  <c r="AH151" i="197"/>
  <c r="AI151" i="197" s="1"/>
  <c r="AH161" i="197"/>
  <c r="AI161" i="197" s="1"/>
  <c r="AH167" i="197"/>
  <c r="AI167" i="197" s="1"/>
  <c r="AH148" i="197"/>
  <c r="AI148" i="197" s="1"/>
  <c r="AH156" i="197"/>
  <c r="AI156" i="197" s="1"/>
  <c r="AH160" i="197"/>
  <c r="AI160" i="197" s="1"/>
  <c r="AH165" i="197"/>
  <c r="AI165" i="197" s="1"/>
  <c r="AH171" i="197"/>
  <c r="AI171" i="197" s="1"/>
  <c r="AH159" i="197"/>
  <c r="AI159" i="197" s="1"/>
  <c r="AH3" i="197"/>
  <c r="AI3" i="197" s="1"/>
  <c r="AH176" i="197"/>
  <c r="AH175" i="197"/>
  <c r="AH177" i="197"/>
  <c r="AI64" i="197"/>
  <c r="AI20" i="197"/>
  <c r="K13" i="195"/>
  <c r="K10" i="195"/>
  <c r="K22" i="195"/>
  <c r="K34" i="195"/>
  <c r="K5" i="195"/>
  <c r="K17" i="195"/>
  <c r="K29" i="195"/>
  <c r="K12" i="195"/>
  <c r="K24" i="195"/>
  <c r="K36" i="195"/>
  <c r="K7" i="195"/>
  <c r="K19" i="195"/>
  <c r="K31" i="195"/>
  <c r="K14" i="195"/>
  <c r="K26" i="195"/>
  <c r="K9" i="195"/>
  <c r="K21" i="195"/>
  <c r="K33" i="195"/>
  <c r="K4" i="195"/>
  <c r="K16" i="195"/>
  <c r="K28" i="195"/>
  <c r="K18" i="195"/>
  <c r="K41" i="195"/>
  <c r="K54" i="195"/>
  <c r="K48" i="195"/>
  <c r="K25" i="195"/>
  <c r="K43" i="195"/>
  <c r="K56" i="195"/>
  <c r="K23" i="195"/>
  <c r="K38" i="195"/>
  <c r="K50" i="195"/>
  <c r="K45" i="195"/>
  <c r="K8" i="195"/>
  <c r="K27" i="195"/>
  <c r="K40" i="195"/>
  <c r="K53" i="195"/>
  <c r="K15" i="195"/>
  <c r="K30" i="195"/>
  <c r="K47" i="195"/>
  <c r="K42" i="195"/>
  <c r="K55" i="195"/>
  <c r="K6" i="195"/>
  <c r="K37" i="195"/>
  <c r="K49" i="195"/>
  <c r="K20" i="195"/>
  <c r="K32" i="195"/>
  <c r="K44" i="195"/>
  <c r="K35" i="195"/>
  <c r="K39" i="195"/>
  <c r="K51" i="195"/>
  <c r="K11" i="195"/>
  <c r="K46" i="195"/>
  <c r="K60" i="195"/>
  <c r="K72" i="195"/>
  <c r="K84" i="195"/>
  <c r="K67" i="195"/>
  <c r="K79" i="195"/>
  <c r="K62" i="195"/>
  <c r="K74" i="195"/>
  <c r="K86" i="195"/>
  <c r="K58" i="195"/>
  <c r="K69" i="195"/>
  <c r="K81" i="195"/>
  <c r="K64" i="195"/>
  <c r="K76" i="195"/>
  <c r="K88" i="195"/>
  <c r="K59" i="195"/>
  <c r="K71" i="195"/>
  <c r="K83" i="195"/>
  <c r="K66" i="195"/>
  <c r="K78" i="195"/>
  <c r="K61" i="195"/>
  <c r="K73" i="195"/>
  <c r="K85" i="195"/>
  <c r="K68" i="195"/>
  <c r="K80" i="195"/>
  <c r="K57" i="195"/>
  <c r="K63" i="195"/>
  <c r="K75" i="195"/>
  <c r="K87" i="195"/>
  <c r="K70" i="195"/>
  <c r="K82" i="195"/>
  <c r="K90" i="195"/>
  <c r="K102" i="195"/>
  <c r="K114" i="195"/>
  <c r="K97" i="195"/>
  <c r="K109" i="195"/>
  <c r="K92" i="195"/>
  <c r="K104" i="195"/>
  <c r="K116" i="195"/>
  <c r="K99" i="195"/>
  <c r="K111" i="195"/>
  <c r="K94" i="195"/>
  <c r="K106" i="195"/>
  <c r="K118" i="195"/>
  <c r="K89" i="195"/>
  <c r="K101" i="195"/>
  <c r="K113" i="195"/>
  <c r="K77" i="195"/>
  <c r="K96" i="195"/>
  <c r="K108" i="195"/>
  <c r="K91" i="195"/>
  <c r="K103" i="195"/>
  <c r="K115" i="195"/>
  <c r="K98" i="195"/>
  <c r="K110" i="195"/>
  <c r="K93" i="195"/>
  <c r="K105" i="195"/>
  <c r="K117" i="195"/>
  <c r="K100" i="195"/>
  <c r="K112" i="195"/>
  <c r="K95" i="195"/>
  <c r="K125" i="195"/>
  <c r="K137" i="195"/>
  <c r="K120" i="195"/>
  <c r="K132" i="195"/>
  <c r="K144" i="195"/>
  <c r="K65" i="195"/>
  <c r="K127" i="195"/>
  <c r="K139" i="195"/>
  <c r="K122" i="195"/>
  <c r="K134" i="195"/>
  <c r="K146" i="195"/>
  <c r="K129" i="195"/>
  <c r="K141" i="195"/>
  <c r="K124" i="195"/>
  <c r="K136" i="195"/>
  <c r="K148" i="195"/>
  <c r="K119" i="195"/>
  <c r="K131" i="195"/>
  <c r="K143" i="195"/>
  <c r="K107" i="195"/>
  <c r="K126" i="195"/>
  <c r="K138" i="195"/>
  <c r="K121" i="195"/>
  <c r="K133" i="195"/>
  <c r="K145" i="195"/>
  <c r="K128" i="195"/>
  <c r="K140" i="195"/>
  <c r="K123" i="195"/>
  <c r="K135" i="195"/>
  <c r="K147" i="195"/>
  <c r="K130" i="195"/>
  <c r="K142" i="195"/>
  <c r="K159" i="195"/>
  <c r="K171" i="195"/>
  <c r="K152" i="195"/>
  <c r="K154" i="195"/>
  <c r="K166" i="195"/>
  <c r="K149" i="195"/>
  <c r="K161" i="195"/>
  <c r="K173" i="195"/>
  <c r="K156" i="195"/>
  <c r="K168" i="195"/>
  <c r="K151" i="195"/>
  <c r="K163" i="195"/>
  <c r="K158" i="195"/>
  <c r="K170" i="195"/>
  <c r="K164" i="195"/>
  <c r="K153" i="195"/>
  <c r="K165" i="195"/>
  <c r="K160" i="195"/>
  <c r="K172" i="195"/>
  <c r="K155" i="195"/>
  <c r="K167" i="195"/>
  <c r="K3" i="195"/>
  <c r="K150" i="195"/>
  <c r="K162" i="195"/>
  <c r="K157" i="195"/>
  <c r="K169" i="195"/>
  <c r="K176" i="195"/>
  <c r="L1" i="195"/>
  <c r="L52" i="195" s="1"/>
  <c r="K175" i="195"/>
  <c r="K174" i="195"/>
  <c r="K177" i="195"/>
  <c r="F10" i="192"/>
  <c r="F11" i="192"/>
  <c r="L6" i="195" l="1"/>
  <c r="L18" i="195"/>
  <c r="L15" i="195"/>
  <c r="L27" i="195"/>
  <c r="L10" i="195"/>
  <c r="L22" i="195"/>
  <c r="L34" i="195"/>
  <c r="L5" i="195"/>
  <c r="L17" i="195"/>
  <c r="L29" i="195"/>
  <c r="L12" i="195"/>
  <c r="L24" i="195"/>
  <c r="L36" i="195"/>
  <c r="L7" i="195"/>
  <c r="L19" i="195"/>
  <c r="L31" i="195"/>
  <c r="L14" i="195"/>
  <c r="L26" i="195"/>
  <c r="L9" i="195"/>
  <c r="L21" i="195"/>
  <c r="L33" i="195"/>
  <c r="L4" i="195"/>
  <c r="L11" i="195"/>
  <c r="L46" i="195"/>
  <c r="L41" i="195"/>
  <c r="L54" i="195"/>
  <c r="L48" i="195"/>
  <c r="L16" i="195"/>
  <c r="L25" i="195"/>
  <c r="L43" i="195"/>
  <c r="L56" i="195"/>
  <c r="L23" i="195"/>
  <c r="L28" i="195"/>
  <c r="L38" i="195"/>
  <c r="L50" i="195"/>
  <c r="L45" i="195"/>
  <c r="L8" i="195"/>
  <c r="L40" i="195"/>
  <c r="L30" i="195"/>
  <c r="L47" i="195"/>
  <c r="L42" i="195"/>
  <c r="L13" i="195"/>
  <c r="L37" i="195"/>
  <c r="L49" i="195"/>
  <c r="L20" i="195"/>
  <c r="L32" i="195"/>
  <c r="L44" i="195"/>
  <c r="L57" i="195"/>
  <c r="L35" i="195"/>
  <c r="L39" i="195"/>
  <c r="L51" i="195"/>
  <c r="L65" i="195"/>
  <c r="L77" i="195"/>
  <c r="L60" i="195"/>
  <c r="L72" i="195"/>
  <c r="L84" i="195"/>
  <c r="L67" i="195"/>
  <c r="L79" i="195"/>
  <c r="L62" i="195"/>
  <c r="L74" i="195"/>
  <c r="L86" i="195"/>
  <c r="L53" i="195"/>
  <c r="L58" i="195"/>
  <c r="L69" i="195"/>
  <c r="L81" i="195"/>
  <c r="L64" i="195"/>
  <c r="L76" i="195"/>
  <c r="L88" i="195"/>
  <c r="L59" i="195"/>
  <c r="L71" i="195"/>
  <c r="L83" i="195"/>
  <c r="L66" i="195"/>
  <c r="L78" i="195"/>
  <c r="L55" i="195"/>
  <c r="L61" i="195"/>
  <c r="L73" i="195"/>
  <c r="L85" i="195"/>
  <c r="L68" i="195"/>
  <c r="L80" i="195"/>
  <c r="L63" i="195"/>
  <c r="L75" i="195"/>
  <c r="L87" i="195"/>
  <c r="L70" i="195"/>
  <c r="L95" i="195"/>
  <c r="L107" i="195"/>
  <c r="L90" i="195"/>
  <c r="L102" i="195"/>
  <c r="L114" i="195"/>
  <c r="L97" i="195"/>
  <c r="L109" i="195"/>
  <c r="L92" i="195"/>
  <c r="L104" i="195"/>
  <c r="L116" i="195"/>
  <c r="L99" i="195"/>
  <c r="L111" i="195"/>
  <c r="L94" i="195"/>
  <c r="L106" i="195"/>
  <c r="L118" i="195"/>
  <c r="L89" i="195"/>
  <c r="L101" i="195"/>
  <c r="L113" i="195"/>
  <c r="L82" i="195"/>
  <c r="L96" i="195"/>
  <c r="L108" i="195"/>
  <c r="L91" i="195"/>
  <c r="L103" i="195"/>
  <c r="L115" i="195"/>
  <c r="L98" i="195"/>
  <c r="L110" i="195"/>
  <c r="L93" i="195"/>
  <c r="L105" i="195"/>
  <c r="L117" i="195"/>
  <c r="L130" i="195"/>
  <c r="L142" i="195"/>
  <c r="L100" i="195"/>
  <c r="L125" i="195"/>
  <c r="L137" i="195"/>
  <c r="L120" i="195"/>
  <c r="L132" i="195"/>
  <c r="L144" i="195"/>
  <c r="L127" i="195"/>
  <c r="L139" i="195"/>
  <c r="L122" i="195"/>
  <c r="L134" i="195"/>
  <c r="L146" i="195"/>
  <c r="L129" i="195"/>
  <c r="L141" i="195"/>
  <c r="L124" i="195"/>
  <c r="L136" i="195"/>
  <c r="L119" i="195"/>
  <c r="L131" i="195"/>
  <c r="L143" i="195"/>
  <c r="L112" i="195"/>
  <c r="L126" i="195"/>
  <c r="L138" i="195"/>
  <c r="L121" i="195"/>
  <c r="L133" i="195"/>
  <c r="L145" i="195"/>
  <c r="L128" i="195"/>
  <c r="L140" i="195"/>
  <c r="L123" i="195"/>
  <c r="L135" i="195"/>
  <c r="L152" i="195"/>
  <c r="L164" i="195"/>
  <c r="L159" i="195"/>
  <c r="L171" i="195"/>
  <c r="L154" i="195"/>
  <c r="L166" i="195"/>
  <c r="L149" i="195"/>
  <c r="L161" i="195"/>
  <c r="L173" i="195"/>
  <c r="L169" i="195"/>
  <c r="L147" i="195"/>
  <c r="L156" i="195"/>
  <c r="L168" i="195"/>
  <c r="L151" i="195"/>
  <c r="L163" i="195"/>
  <c r="L158" i="195"/>
  <c r="L170" i="195"/>
  <c r="L153" i="195"/>
  <c r="L165" i="195"/>
  <c r="L160" i="195"/>
  <c r="L172" i="195"/>
  <c r="L148" i="195"/>
  <c r="L155" i="195"/>
  <c r="L167" i="195"/>
  <c r="L3" i="195"/>
  <c r="L150" i="195"/>
  <c r="L162" i="195"/>
  <c r="L157" i="195"/>
  <c r="L177" i="195"/>
  <c r="L174" i="195"/>
  <c r="L176" i="195"/>
  <c r="L175" i="195"/>
  <c r="M1" i="195"/>
  <c r="M52" i="195" s="1"/>
  <c r="T34" i="192"/>
  <c r="T35" i="192"/>
  <c r="T36" i="192"/>
  <c r="T37" i="192"/>
  <c r="T38" i="192"/>
  <c r="T39" i="192"/>
  <c r="T40" i="192"/>
  <c r="T41" i="192"/>
  <c r="M11" i="195" l="1"/>
  <c r="M23" i="195"/>
  <c r="M8" i="195"/>
  <c r="M20" i="195"/>
  <c r="M32" i="195"/>
  <c r="M15" i="195"/>
  <c r="M27" i="195"/>
  <c r="M10" i="195"/>
  <c r="M22" i="195"/>
  <c r="M34" i="195"/>
  <c r="M5" i="195"/>
  <c r="M17" i="195"/>
  <c r="M29" i="195"/>
  <c r="M12" i="195"/>
  <c r="M24" i="195"/>
  <c r="M36" i="195"/>
  <c r="M7" i="195"/>
  <c r="M19" i="195"/>
  <c r="M31" i="195"/>
  <c r="M14" i="195"/>
  <c r="M26" i="195"/>
  <c r="M4" i="195"/>
  <c r="M35" i="195"/>
  <c r="M39" i="195"/>
  <c r="M51" i="195"/>
  <c r="M18" i="195"/>
  <c r="M46" i="195"/>
  <c r="M41" i="195"/>
  <c r="M54" i="195"/>
  <c r="M9" i="195"/>
  <c r="M48" i="195"/>
  <c r="M16" i="195"/>
  <c r="M25" i="195"/>
  <c r="M43" i="195"/>
  <c r="M56" i="195"/>
  <c r="M28" i="195"/>
  <c r="M38" i="195"/>
  <c r="M50" i="195"/>
  <c r="M45" i="195"/>
  <c r="M21" i="195"/>
  <c r="M40" i="195"/>
  <c r="M53" i="195"/>
  <c r="M30" i="195"/>
  <c r="M47" i="195"/>
  <c r="M6" i="195"/>
  <c r="M33" i="195"/>
  <c r="M42" i="195"/>
  <c r="M55" i="195"/>
  <c r="M13" i="195"/>
  <c r="M37" i="195"/>
  <c r="M49" i="195"/>
  <c r="M44" i="195"/>
  <c r="M70" i="195"/>
  <c r="M82" i="195"/>
  <c r="M65" i="195"/>
  <c r="M77" i="195"/>
  <c r="M60" i="195"/>
  <c r="M72" i="195"/>
  <c r="M84" i="195"/>
  <c r="M67" i="195"/>
  <c r="M79" i="195"/>
  <c r="M62" i="195"/>
  <c r="M74" i="195"/>
  <c r="M86" i="195"/>
  <c r="M58" i="195"/>
  <c r="M69" i="195"/>
  <c r="M81" i="195"/>
  <c r="M64" i="195"/>
  <c r="M76" i="195"/>
  <c r="M59" i="195"/>
  <c r="M71" i="195"/>
  <c r="M83" i="195"/>
  <c r="M66" i="195"/>
  <c r="M78" i="195"/>
  <c r="M61" i="195"/>
  <c r="M73" i="195"/>
  <c r="M85" i="195"/>
  <c r="M57" i="195"/>
  <c r="M68" i="195"/>
  <c r="M80" i="195"/>
  <c r="M100" i="195"/>
  <c r="M112" i="195"/>
  <c r="M75" i="195"/>
  <c r="M87" i="195"/>
  <c r="M95" i="195"/>
  <c r="M107" i="195"/>
  <c r="M90" i="195"/>
  <c r="M102" i="195"/>
  <c r="M114" i="195"/>
  <c r="M97" i="195"/>
  <c r="M109" i="195"/>
  <c r="M92" i="195"/>
  <c r="M104" i="195"/>
  <c r="M116" i="195"/>
  <c r="M99" i="195"/>
  <c r="M111" i="195"/>
  <c r="M63" i="195"/>
  <c r="M94" i="195"/>
  <c r="M106" i="195"/>
  <c r="M118" i="195"/>
  <c r="M89" i="195"/>
  <c r="M101" i="195"/>
  <c r="M113" i="195"/>
  <c r="M88" i="195"/>
  <c r="M96" i="195"/>
  <c r="M108" i="195"/>
  <c r="M91" i="195"/>
  <c r="M103" i="195"/>
  <c r="M115" i="195"/>
  <c r="M98" i="195"/>
  <c r="M110" i="195"/>
  <c r="M123" i="195"/>
  <c r="M135" i="195"/>
  <c r="M147" i="195"/>
  <c r="M130" i="195"/>
  <c r="M142" i="195"/>
  <c r="M105" i="195"/>
  <c r="M125" i="195"/>
  <c r="M137" i="195"/>
  <c r="M120" i="195"/>
  <c r="M132" i="195"/>
  <c r="M144" i="195"/>
  <c r="M127" i="195"/>
  <c r="M139" i="195"/>
  <c r="M122" i="195"/>
  <c r="M134" i="195"/>
  <c r="M146" i="195"/>
  <c r="M129" i="195"/>
  <c r="M141" i="195"/>
  <c r="M93" i="195"/>
  <c r="M124" i="195"/>
  <c r="M136" i="195"/>
  <c r="M148" i="195"/>
  <c r="M119" i="195"/>
  <c r="M131" i="195"/>
  <c r="M143" i="195"/>
  <c r="M117" i="195"/>
  <c r="M126" i="195"/>
  <c r="M138" i="195"/>
  <c r="M121" i="195"/>
  <c r="M133" i="195"/>
  <c r="M145" i="195"/>
  <c r="M128" i="195"/>
  <c r="M140" i="195"/>
  <c r="M157" i="195"/>
  <c r="M169" i="195"/>
  <c r="M152" i="195"/>
  <c r="M164" i="195"/>
  <c r="M162" i="195"/>
  <c r="M159" i="195"/>
  <c r="M171" i="195"/>
  <c r="M154" i="195"/>
  <c r="M166" i="195"/>
  <c r="M149" i="195"/>
  <c r="M161" i="195"/>
  <c r="M173" i="195"/>
  <c r="M156" i="195"/>
  <c r="M168" i="195"/>
  <c r="M150" i="195"/>
  <c r="M151" i="195"/>
  <c r="M163" i="195"/>
  <c r="M158" i="195"/>
  <c r="M170" i="195"/>
  <c r="M153" i="195"/>
  <c r="M165" i="195"/>
  <c r="M160" i="195"/>
  <c r="M172" i="195"/>
  <c r="M155" i="195"/>
  <c r="M167" i="195"/>
  <c r="M3" i="195"/>
  <c r="M174" i="195"/>
  <c r="M176" i="195"/>
  <c r="M175" i="195"/>
  <c r="M177" i="195"/>
  <c r="N1" i="195"/>
  <c r="N52" i="195" s="1"/>
  <c r="T29" i="192"/>
  <c r="T30" i="192"/>
  <c r="T31" i="192"/>
  <c r="T32" i="192"/>
  <c r="T33" i="192"/>
  <c r="N4" i="195" l="1"/>
  <c r="N16" i="195"/>
  <c r="N13" i="195"/>
  <c r="N25" i="195"/>
  <c r="N8" i="195"/>
  <c r="N20" i="195"/>
  <c r="N32" i="195"/>
  <c r="N15" i="195"/>
  <c r="N27" i="195"/>
  <c r="N10" i="195"/>
  <c r="N22" i="195"/>
  <c r="N34" i="195"/>
  <c r="N5" i="195"/>
  <c r="N17" i="195"/>
  <c r="N29" i="195"/>
  <c r="N12" i="195"/>
  <c r="N24" i="195"/>
  <c r="N36" i="195"/>
  <c r="N7" i="195"/>
  <c r="N19" i="195"/>
  <c r="N31" i="195"/>
  <c r="N44" i="195"/>
  <c r="N57" i="195"/>
  <c r="N11" i="195"/>
  <c r="N35" i="195"/>
  <c r="N39" i="195"/>
  <c r="N51" i="195"/>
  <c r="N18" i="195"/>
  <c r="N46" i="195"/>
  <c r="N26" i="195"/>
  <c r="N41" i="195"/>
  <c r="N54" i="195"/>
  <c r="N9" i="195"/>
  <c r="N48" i="195"/>
  <c r="N23" i="195"/>
  <c r="N43" i="195"/>
  <c r="N28" i="195"/>
  <c r="N38" i="195"/>
  <c r="N50" i="195"/>
  <c r="N14" i="195"/>
  <c r="N45" i="195"/>
  <c r="N58" i="195"/>
  <c r="N21" i="195"/>
  <c r="N40" i="195"/>
  <c r="N30" i="195"/>
  <c r="N47" i="195"/>
  <c r="N6" i="195"/>
  <c r="N33" i="195"/>
  <c r="N42" i="195"/>
  <c r="N55" i="195"/>
  <c r="N37" i="195"/>
  <c r="N49" i="195"/>
  <c r="N63" i="195"/>
  <c r="N75" i="195"/>
  <c r="N87" i="195"/>
  <c r="N70" i="195"/>
  <c r="N82" i="195"/>
  <c r="N65" i="195"/>
  <c r="N77" i="195"/>
  <c r="N60" i="195"/>
  <c r="N72" i="195"/>
  <c r="N84" i="195"/>
  <c r="N67" i="195"/>
  <c r="N79" i="195"/>
  <c r="N53" i="195"/>
  <c r="N62" i="195"/>
  <c r="N74" i="195"/>
  <c r="N86" i="195"/>
  <c r="N56" i="195"/>
  <c r="N69" i="195"/>
  <c r="N81" i="195"/>
  <c r="N64" i="195"/>
  <c r="N76" i="195"/>
  <c r="N88" i="195"/>
  <c r="N59" i="195"/>
  <c r="N71" i="195"/>
  <c r="N83" i="195"/>
  <c r="N66" i="195"/>
  <c r="N78" i="195"/>
  <c r="N61" i="195"/>
  <c r="N73" i="195"/>
  <c r="N85" i="195"/>
  <c r="N93" i="195"/>
  <c r="N105" i="195"/>
  <c r="N117" i="195"/>
  <c r="N100" i="195"/>
  <c r="N112" i="195"/>
  <c r="N80" i="195"/>
  <c r="N95" i="195"/>
  <c r="N107" i="195"/>
  <c r="N90" i="195"/>
  <c r="N102" i="195"/>
  <c r="N114" i="195"/>
  <c r="N97" i="195"/>
  <c r="N109" i="195"/>
  <c r="N92" i="195"/>
  <c r="N104" i="195"/>
  <c r="N116" i="195"/>
  <c r="N99" i="195"/>
  <c r="N111" i="195"/>
  <c r="N68" i="195"/>
  <c r="N94" i="195"/>
  <c r="N106" i="195"/>
  <c r="N118" i="195"/>
  <c r="N89" i="195"/>
  <c r="N101" i="195"/>
  <c r="N113" i="195"/>
  <c r="N96" i="195"/>
  <c r="N108" i="195"/>
  <c r="N91" i="195"/>
  <c r="N103" i="195"/>
  <c r="N115" i="195"/>
  <c r="N128" i="195"/>
  <c r="N140" i="195"/>
  <c r="N123" i="195"/>
  <c r="N135" i="195"/>
  <c r="N147" i="195"/>
  <c r="N130" i="195"/>
  <c r="N142" i="195"/>
  <c r="N110" i="195"/>
  <c r="N125" i="195"/>
  <c r="N137" i="195"/>
  <c r="N120" i="195"/>
  <c r="N132" i="195"/>
  <c r="N144" i="195"/>
  <c r="N127" i="195"/>
  <c r="N139" i="195"/>
  <c r="N122" i="195"/>
  <c r="N134" i="195"/>
  <c r="N146" i="195"/>
  <c r="N129" i="195"/>
  <c r="N141" i="195"/>
  <c r="N98" i="195"/>
  <c r="N124" i="195"/>
  <c r="N136" i="195"/>
  <c r="N119" i="195"/>
  <c r="N131" i="195"/>
  <c r="N143" i="195"/>
  <c r="N126" i="195"/>
  <c r="N138" i="195"/>
  <c r="N121" i="195"/>
  <c r="N133" i="195"/>
  <c r="N145" i="195"/>
  <c r="N150" i="195"/>
  <c r="N162" i="195"/>
  <c r="N3" i="195"/>
  <c r="N157" i="195"/>
  <c r="N169" i="195"/>
  <c r="N152" i="195"/>
  <c r="N164" i="195"/>
  <c r="N159" i="195"/>
  <c r="N171" i="195"/>
  <c r="N167" i="195"/>
  <c r="N154" i="195"/>
  <c r="N166" i="195"/>
  <c r="N149" i="195"/>
  <c r="N161" i="195"/>
  <c r="N173" i="195"/>
  <c r="N156" i="195"/>
  <c r="N168" i="195"/>
  <c r="N155" i="195"/>
  <c r="N151" i="195"/>
  <c r="N163" i="195"/>
  <c r="N158" i="195"/>
  <c r="N170" i="195"/>
  <c r="N153" i="195"/>
  <c r="N165" i="195"/>
  <c r="N148" i="195"/>
  <c r="N160" i="195"/>
  <c r="N172" i="195"/>
  <c r="N177" i="195"/>
  <c r="N176" i="195"/>
  <c r="N175" i="195"/>
  <c r="N174" i="195"/>
  <c r="O1" i="195"/>
  <c r="O52" i="195" s="1"/>
  <c r="Q33" i="192"/>
  <c r="O32" i="192"/>
  <c r="O31" i="192"/>
  <c r="P30" i="192"/>
  <c r="O9" i="195" l="1"/>
  <c r="O21" i="195"/>
  <c r="O6" i="195"/>
  <c r="O18" i="195"/>
  <c r="O30" i="195"/>
  <c r="O13" i="195"/>
  <c r="O25" i="195"/>
  <c r="O8" i="195"/>
  <c r="O20" i="195"/>
  <c r="O32" i="195"/>
  <c r="O15" i="195"/>
  <c r="O27" i="195"/>
  <c r="O10" i="195"/>
  <c r="O22" i="195"/>
  <c r="O34" i="195"/>
  <c r="O5" i="195"/>
  <c r="O17" i="195"/>
  <c r="O29" i="195"/>
  <c r="O12" i="195"/>
  <c r="O24" i="195"/>
  <c r="O36" i="195"/>
  <c r="O37" i="195"/>
  <c r="O49" i="195"/>
  <c r="O4" i="195"/>
  <c r="O44" i="195"/>
  <c r="O57" i="195"/>
  <c r="O11" i="195"/>
  <c r="O35" i="195"/>
  <c r="O39" i="195"/>
  <c r="O51" i="195"/>
  <c r="O46" i="195"/>
  <c r="O26" i="195"/>
  <c r="O41" i="195"/>
  <c r="O54" i="195"/>
  <c r="O16" i="195"/>
  <c r="O48" i="195"/>
  <c r="O23" i="195"/>
  <c r="O43" i="195"/>
  <c r="O7" i="195"/>
  <c r="O28" i="195"/>
  <c r="O38" i="195"/>
  <c r="O50" i="195"/>
  <c r="O14" i="195"/>
  <c r="O31" i="195"/>
  <c r="O45" i="195"/>
  <c r="O40" i="195"/>
  <c r="O53" i="195"/>
  <c r="O47" i="195"/>
  <c r="O19" i="195"/>
  <c r="O33" i="195"/>
  <c r="O42" i="195"/>
  <c r="O68" i="195"/>
  <c r="O80" i="195"/>
  <c r="O63" i="195"/>
  <c r="O75" i="195"/>
  <c r="O87" i="195"/>
  <c r="O70" i="195"/>
  <c r="O82" i="195"/>
  <c r="O65" i="195"/>
  <c r="O77" i="195"/>
  <c r="O60" i="195"/>
  <c r="O72" i="195"/>
  <c r="O84" i="195"/>
  <c r="O67" i="195"/>
  <c r="O79" i="195"/>
  <c r="O58" i="195"/>
  <c r="O62" i="195"/>
  <c r="O74" i="195"/>
  <c r="O86" i="195"/>
  <c r="O56" i="195"/>
  <c r="O69" i="195"/>
  <c r="O81" i="195"/>
  <c r="O64" i="195"/>
  <c r="O76" i="195"/>
  <c r="O55" i="195"/>
  <c r="O59" i="195"/>
  <c r="O71" i="195"/>
  <c r="O83" i="195"/>
  <c r="O66" i="195"/>
  <c r="O78" i="195"/>
  <c r="O98" i="195"/>
  <c r="O110" i="195"/>
  <c r="O61" i="195"/>
  <c r="O93" i="195"/>
  <c r="O105" i="195"/>
  <c r="O117" i="195"/>
  <c r="O100" i="195"/>
  <c r="O112" i="195"/>
  <c r="O85" i="195"/>
  <c r="O95" i="195"/>
  <c r="O107" i="195"/>
  <c r="O90" i="195"/>
  <c r="O102" i="195"/>
  <c r="O114" i="195"/>
  <c r="O97" i="195"/>
  <c r="O109" i="195"/>
  <c r="O92" i="195"/>
  <c r="O104" i="195"/>
  <c r="O116" i="195"/>
  <c r="O99" i="195"/>
  <c r="O111" i="195"/>
  <c r="O73" i="195"/>
  <c r="O94" i="195"/>
  <c r="O106" i="195"/>
  <c r="O88" i="195"/>
  <c r="O89" i="195"/>
  <c r="O101" i="195"/>
  <c r="O113" i="195"/>
  <c r="O96" i="195"/>
  <c r="O108" i="195"/>
  <c r="O121" i="195"/>
  <c r="O133" i="195"/>
  <c r="O145" i="195"/>
  <c r="O128" i="195"/>
  <c r="O140" i="195"/>
  <c r="O91" i="195"/>
  <c r="O118" i="195"/>
  <c r="O123" i="195"/>
  <c r="O135" i="195"/>
  <c r="O147" i="195"/>
  <c r="O130" i="195"/>
  <c r="O142" i="195"/>
  <c r="O115" i="195"/>
  <c r="O125" i="195"/>
  <c r="O137" i="195"/>
  <c r="O120" i="195"/>
  <c r="O132" i="195"/>
  <c r="O144" i="195"/>
  <c r="O127" i="195"/>
  <c r="O139" i="195"/>
  <c r="O122" i="195"/>
  <c r="O134" i="195"/>
  <c r="O146" i="195"/>
  <c r="O129" i="195"/>
  <c r="O141" i="195"/>
  <c r="O103" i="195"/>
  <c r="O124" i="195"/>
  <c r="O136" i="195"/>
  <c r="O148" i="195"/>
  <c r="O119" i="195"/>
  <c r="O131" i="195"/>
  <c r="O143" i="195"/>
  <c r="O126" i="195"/>
  <c r="O138" i="195"/>
  <c r="O155" i="195"/>
  <c r="O167" i="195"/>
  <c r="O3" i="195"/>
  <c r="O150" i="195"/>
  <c r="O162" i="195"/>
  <c r="O157" i="195"/>
  <c r="O169" i="195"/>
  <c r="O160" i="195"/>
  <c r="O152" i="195"/>
  <c r="O164" i="195"/>
  <c r="O159" i="195"/>
  <c r="O171" i="195"/>
  <c r="O172" i="195"/>
  <c r="O154" i="195"/>
  <c r="O166" i="195"/>
  <c r="O149" i="195"/>
  <c r="O161" i="195"/>
  <c r="O173" i="195"/>
  <c r="O156" i="195"/>
  <c r="O168" i="195"/>
  <c r="O151" i="195"/>
  <c r="O163" i="195"/>
  <c r="O158" i="195"/>
  <c r="O170" i="195"/>
  <c r="O153" i="195"/>
  <c r="O165" i="195"/>
  <c r="P1" i="195"/>
  <c r="P52" i="195" s="1"/>
  <c r="O177" i="195"/>
  <c r="O175" i="195"/>
  <c r="O174" i="195"/>
  <c r="O176" i="195"/>
  <c r="Q29" i="192"/>
  <c r="P14" i="195" l="1"/>
  <c r="P11" i="195"/>
  <c r="P23" i="195"/>
  <c r="P35" i="195"/>
  <c r="P6" i="195"/>
  <c r="P18" i="195"/>
  <c r="P30" i="195"/>
  <c r="P13" i="195"/>
  <c r="P25" i="195"/>
  <c r="P8" i="195"/>
  <c r="P20" i="195"/>
  <c r="P32" i="195"/>
  <c r="P15" i="195"/>
  <c r="P27" i="195"/>
  <c r="P10" i="195"/>
  <c r="P22" i="195"/>
  <c r="P34" i="195"/>
  <c r="P5" i="195"/>
  <c r="P17" i="195"/>
  <c r="P29" i="195"/>
  <c r="P19" i="195"/>
  <c r="P33" i="195"/>
  <c r="P42" i="195"/>
  <c r="P55" i="195"/>
  <c r="P36" i="195"/>
  <c r="P37" i="195"/>
  <c r="P49" i="195"/>
  <c r="P4" i="195"/>
  <c r="P44" i="195"/>
  <c r="P57" i="195"/>
  <c r="P24" i="195"/>
  <c r="P39" i="195"/>
  <c r="P51" i="195"/>
  <c r="P46" i="195"/>
  <c r="P9" i="195"/>
  <c r="P26" i="195"/>
  <c r="P41" i="195"/>
  <c r="P54" i="195"/>
  <c r="P16" i="195"/>
  <c r="P48" i="195"/>
  <c r="P43" i="195"/>
  <c r="P56" i="195"/>
  <c r="P7" i="195"/>
  <c r="P28" i="195"/>
  <c r="P38" i="195"/>
  <c r="P50" i="195"/>
  <c r="P21" i="195"/>
  <c r="P31" i="195"/>
  <c r="P45" i="195"/>
  <c r="P40" i="195"/>
  <c r="P53" i="195"/>
  <c r="P12" i="195"/>
  <c r="P47" i="195"/>
  <c r="P61" i="195"/>
  <c r="P73" i="195"/>
  <c r="P85" i="195"/>
  <c r="P68" i="195"/>
  <c r="P80" i="195"/>
  <c r="P63" i="195"/>
  <c r="P75" i="195"/>
  <c r="P87" i="195"/>
  <c r="P70" i="195"/>
  <c r="P82" i="195"/>
  <c r="P65" i="195"/>
  <c r="P77" i="195"/>
  <c r="P60" i="195"/>
  <c r="P72" i="195"/>
  <c r="P84" i="195"/>
  <c r="P67" i="195"/>
  <c r="P79" i="195"/>
  <c r="P58" i="195"/>
  <c r="P62" i="195"/>
  <c r="P74" i="195"/>
  <c r="P86" i="195"/>
  <c r="P69" i="195"/>
  <c r="P81" i="195"/>
  <c r="P64" i="195"/>
  <c r="P76" i="195"/>
  <c r="P88" i="195"/>
  <c r="P59" i="195"/>
  <c r="P71" i="195"/>
  <c r="P83" i="195"/>
  <c r="P91" i="195"/>
  <c r="P103" i="195"/>
  <c r="P115" i="195"/>
  <c r="P98" i="195"/>
  <c r="P110" i="195"/>
  <c r="P66" i="195"/>
  <c r="P93" i="195"/>
  <c r="P105" i="195"/>
  <c r="P117" i="195"/>
  <c r="P100" i="195"/>
  <c r="P112" i="195"/>
  <c r="P95" i="195"/>
  <c r="P107" i="195"/>
  <c r="P90" i="195"/>
  <c r="P102" i="195"/>
  <c r="P114" i="195"/>
  <c r="P97" i="195"/>
  <c r="P109" i="195"/>
  <c r="P92" i="195"/>
  <c r="P104" i="195"/>
  <c r="P116" i="195"/>
  <c r="P99" i="195"/>
  <c r="P111" i="195"/>
  <c r="P78" i="195"/>
  <c r="P94" i="195"/>
  <c r="P106" i="195"/>
  <c r="P118" i="195"/>
  <c r="P89" i="195"/>
  <c r="P101" i="195"/>
  <c r="P113" i="195"/>
  <c r="P126" i="195"/>
  <c r="P138" i="195"/>
  <c r="P121" i="195"/>
  <c r="P133" i="195"/>
  <c r="P145" i="195"/>
  <c r="P128" i="195"/>
  <c r="P140" i="195"/>
  <c r="P96" i="195"/>
  <c r="P123" i="195"/>
  <c r="P135" i="195"/>
  <c r="P147" i="195"/>
  <c r="P130" i="195"/>
  <c r="P142" i="195"/>
  <c r="P125" i="195"/>
  <c r="P137" i="195"/>
  <c r="P120" i="195"/>
  <c r="P132" i="195"/>
  <c r="P144" i="195"/>
  <c r="P127" i="195"/>
  <c r="P139" i="195"/>
  <c r="P122" i="195"/>
  <c r="P134" i="195"/>
  <c r="P129" i="195"/>
  <c r="P141" i="195"/>
  <c r="P108" i="195"/>
  <c r="P124" i="195"/>
  <c r="P136" i="195"/>
  <c r="P148" i="195"/>
  <c r="P119" i="195"/>
  <c r="P131" i="195"/>
  <c r="P143" i="195"/>
  <c r="P160" i="195"/>
  <c r="P172" i="195"/>
  <c r="P146" i="195"/>
  <c r="P155" i="195"/>
  <c r="P167" i="195"/>
  <c r="P3" i="195"/>
  <c r="P150" i="195"/>
  <c r="P162" i="195"/>
  <c r="P157" i="195"/>
  <c r="P169" i="195"/>
  <c r="P152" i="195"/>
  <c r="P164" i="195"/>
  <c r="P159" i="195"/>
  <c r="P171" i="195"/>
  <c r="P154" i="195"/>
  <c r="P166" i="195"/>
  <c r="P165" i="195"/>
  <c r="P149" i="195"/>
  <c r="P161" i="195"/>
  <c r="P173" i="195"/>
  <c r="P156" i="195"/>
  <c r="P168" i="195"/>
  <c r="P151" i="195"/>
  <c r="P163" i="195"/>
  <c r="P158" i="195"/>
  <c r="P170" i="195"/>
  <c r="P153" i="195"/>
  <c r="P177" i="195"/>
  <c r="Q1" i="195"/>
  <c r="Q52" i="195" s="1"/>
  <c r="P176" i="195"/>
  <c r="P175" i="195"/>
  <c r="P174" i="195"/>
  <c r="Q27" i="192"/>
  <c r="Q26" i="192"/>
  <c r="O21" i="192"/>
  <c r="O20" i="192"/>
  <c r="Q7" i="195" l="1"/>
  <c r="Q19" i="195"/>
  <c r="Q4" i="195"/>
  <c r="Q16" i="195"/>
  <c r="Q28" i="195"/>
  <c r="Q11" i="195"/>
  <c r="Q23" i="195"/>
  <c r="Q35" i="195"/>
  <c r="Q6" i="195"/>
  <c r="Q18" i="195"/>
  <c r="Q30" i="195"/>
  <c r="Q13" i="195"/>
  <c r="Q25" i="195"/>
  <c r="Q8" i="195"/>
  <c r="Q20" i="195"/>
  <c r="Q32" i="195"/>
  <c r="Q15" i="195"/>
  <c r="Q27" i="195"/>
  <c r="Q10" i="195"/>
  <c r="Q22" i="195"/>
  <c r="Q34" i="195"/>
  <c r="Q12" i="195"/>
  <c r="Q47" i="195"/>
  <c r="Q33" i="195"/>
  <c r="Q42" i="195"/>
  <c r="Q55" i="195"/>
  <c r="Q36" i="195"/>
  <c r="Q37" i="195"/>
  <c r="Q49" i="195"/>
  <c r="Q17" i="195"/>
  <c r="Q44" i="195"/>
  <c r="Q24" i="195"/>
  <c r="Q39" i="195"/>
  <c r="Q51" i="195"/>
  <c r="Q46" i="195"/>
  <c r="Q9" i="195"/>
  <c r="Q26" i="195"/>
  <c r="Q41" i="195"/>
  <c r="Q29" i="195"/>
  <c r="Q48" i="195"/>
  <c r="Q43" i="195"/>
  <c r="Q14" i="195"/>
  <c r="Q38" i="195"/>
  <c r="Q50" i="195"/>
  <c r="Q21" i="195"/>
  <c r="Q31" i="195"/>
  <c r="Q45" i="195"/>
  <c r="Q5" i="195"/>
  <c r="Q40" i="195"/>
  <c r="Q53" i="195"/>
  <c r="Q54" i="195"/>
  <c r="Q66" i="195"/>
  <c r="Q78" i="195"/>
  <c r="Q61" i="195"/>
  <c r="Q73" i="195"/>
  <c r="Q85" i="195"/>
  <c r="Q68" i="195"/>
  <c r="Q80" i="195"/>
  <c r="Q63" i="195"/>
  <c r="Q75" i="195"/>
  <c r="Q87" i="195"/>
  <c r="Q70" i="195"/>
  <c r="Q82" i="195"/>
  <c r="Q65" i="195"/>
  <c r="Q77" i="195"/>
  <c r="Q60" i="195"/>
  <c r="Q72" i="195"/>
  <c r="Q84" i="195"/>
  <c r="Q67" i="195"/>
  <c r="Q79" i="195"/>
  <c r="Q56" i="195"/>
  <c r="Q58" i="195"/>
  <c r="Q62" i="195"/>
  <c r="Q74" i="195"/>
  <c r="Q69" i="195"/>
  <c r="Q81" i="195"/>
  <c r="Q64" i="195"/>
  <c r="Q76" i="195"/>
  <c r="Q88" i="195"/>
  <c r="Q96" i="195"/>
  <c r="Q108" i="195"/>
  <c r="Q91" i="195"/>
  <c r="Q103" i="195"/>
  <c r="Q115" i="195"/>
  <c r="Q98" i="195"/>
  <c r="Q110" i="195"/>
  <c r="Q71" i="195"/>
  <c r="Q93" i="195"/>
  <c r="Q105" i="195"/>
  <c r="Q117" i="195"/>
  <c r="Q57" i="195"/>
  <c r="Q100" i="195"/>
  <c r="Q112" i="195"/>
  <c r="Q95" i="195"/>
  <c r="Q107" i="195"/>
  <c r="Q86" i="195"/>
  <c r="Q90" i="195"/>
  <c r="Q102" i="195"/>
  <c r="Q114" i="195"/>
  <c r="Q97" i="195"/>
  <c r="Q109" i="195"/>
  <c r="Q59" i="195"/>
  <c r="Q92" i="195"/>
  <c r="Q104" i="195"/>
  <c r="Q116" i="195"/>
  <c r="Q99" i="195"/>
  <c r="Q111" i="195"/>
  <c r="Q83" i="195"/>
  <c r="Q94" i="195"/>
  <c r="Q106" i="195"/>
  <c r="Q118" i="195"/>
  <c r="Q119" i="195"/>
  <c r="Q131" i="195"/>
  <c r="Q143" i="195"/>
  <c r="Q126" i="195"/>
  <c r="Q138" i="195"/>
  <c r="Q121" i="195"/>
  <c r="Q133" i="195"/>
  <c r="Q145" i="195"/>
  <c r="Q128" i="195"/>
  <c r="Q140" i="195"/>
  <c r="Q101" i="195"/>
  <c r="Q123" i="195"/>
  <c r="Q135" i="195"/>
  <c r="Q147" i="195"/>
  <c r="Q130" i="195"/>
  <c r="Q142" i="195"/>
  <c r="Q125" i="195"/>
  <c r="Q137" i="195"/>
  <c r="Q120" i="195"/>
  <c r="Q132" i="195"/>
  <c r="Q144" i="195"/>
  <c r="Q127" i="195"/>
  <c r="Q139" i="195"/>
  <c r="Q89" i="195"/>
  <c r="Q122" i="195"/>
  <c r="Q134" i="195"/>
  <c r="Q146" i="195"/>
  <c r="Q129" i="195"/>
  <c r="Q141" i="195"/>
  <c r="Q113" i="195"/>
  <c r="Q124" i="195"/>
  <c r="Q136" i="195"/>
  <c r="Q153" i="195"/>
  <c r="Q165" i="195"/>
  <c r="Q160" i="195"/>
  <c r="Q172" i="195"/>
  <c r="Q170" i="195"/>
  <c r="Q155" i="195"/>
  <c r="Q167" i="195"/>
  <c r="Q3" i="195"/>
  <c r="Q148" i="195"/>
  <c r="Q150" i="195"/>
  <c r="Q162" i="195"/>
  <c r="Q157" i="195"/>
  <c r="Q169" i="195"/>
  <c r="Q152" i="195"/>
  <c r="Q164" i="195"/>
  <c r="Q158" i="195"/>
  <c r="Q159" i="195"/>
  <c r="Q171" i="195"/>
  <c r="Q154" i="195"/>
  <c r="Q166" i="195"/>
  <c r="Q149" i="195"/>
  <c r="Q161" i="195"/>
  <c r="Q173" i="195"/>
  <c r="Q156" i="195"/>
  <c r="Q168" i="195"/>
  <c r="Q151" i="195"/>
  <c r="Q163" i="195"/>
  <c r="Q174" i="195"/>
  <c r="R1" i="195"/>
  <c r="R52" i="195" s="1"/>
  <c r="Q176" i="195"/>
  <c r="Q175" i="195"/>
  <c r="Q177" i="195"/>
  <c r="T27" i="192"/>
  <c r="T21" i="192"/>
  <c r="O19" i="192"/>
  <c r="O18" i="192"/>
  <c r="R12" i="195" l="1"/>
  <c r="R24" i="195"/>
  <c r="R9" i="195"/>
  <c r="R21" i="195"/>
  <c r="R33" i="195"/>
  <c r="R4" i="195"/>
  <c r="R16" i="195"/>
  <c r="R28" i="195"/>
  <c r="R11" i="195"/>
  <c r="R23" i="195"/>
  <c r="R35" i="195"/>
  <c r="R6" i="195"/>
  <c r="R18" i="195"/>
  <c r="R30" i="195"/>
  <c r="R13" i="195"/>
  <c r="R25" i="195"/>
  <c r="R8" i="195"/>
  <c r="R20" i="195"/>
  <c r="R32" i="195"/>
  <c r="R15" i="195"/>
  <c r="R27" i="195"/>
  <c r="R5" i="195"/>
  <c r="R34" i="195"/>
  <c r="R40" i="195"/>
  <c r="R53" i="195"/>
  <c r="R19" i="195"/>
  <c r="R47" i="195"/>
  <c r="R42" i="195"/>
  <c r="R55" i="195"/>
  <c r="R10" i="195"/>
  <c r="R36" i="195"/>
  <c r="R37" i="195"/>
  <c r="R49" i="195"/>
  <c r="R17" i="195"/>
  <c r="R44" i="195"/>
  <c r="R39" i="195"/>
  <c r="R51" i="195"/>
  <c r="R46" i="195"/>
  <c r="R22" i="195"/>
  <c r="R26" i="195"/>
  <c r="R41" i="195"/>
  <c r="R54" i="195"/>
  <c r="R29" i="195"/>
  <c r="R48" i="195"/>
  <c r="R7" i="195"/>
  <c r="R43" i="195"/>
  <c r="R56" i="195"/>
  <c r="R14" i="195"/>
  <c r="R38" i="195"/>
  <c r="R50" i="195"/>
  <c r="R31" i="195"/>
  <c r="R45" i="195"/>
  <c r="R57" i="195"/>
  <c r="R59" i="195"/>
  <c r="R71" i="195"/>
  <c r="R83" i="195"/>
  <c r="R66" i="195"/>
  <c r="R78" i="195"/>
  <c r="R61" i="195"/>
  <c r="R73" i="195"/>
  <c r="R85" i="195"/>
  <c r="R68" i="195"/>
  <c r="R80" i="195"/>
  <c r="R63" i="195"/>
  <c r="R75" i="195"/>
  <c r="R87" i="195"/>
  <c r="R70" i="195"/>
  <c r="R82" i="195"/>
  <c r="R65" i="195"/>
  <c r="R77" i="195"/>
  <c r="R60" i="195"/>
  <c r="R72" i="195"/>
  <c r="R84" i="195"/>
  <c r="R67" i="195"/>
  <c r="R79" i="195"/>
  <c r="R58" i="195"/>
  <c r="R62" i="195"/>
  <c r="R74" i="195"/>
  <c r="R86" i="195"/>
  <c r="R69" i="195"/>
  <c r="R81" i="195"/>
  <c r="R89" i="195"/>
  <c r="R101" i="195"/>
  <c r="R113" i="195"/>
  <c r="R96" i="195"/>
  <c r="R108" i="195"/>
  <c r="R91" i="195"/>
  <c r="R103" i="195"/>
  <c r="R115" i="195"/>
  <c r="R98" i="195"/>
  <c r="R110" i="195"/>
  <c r="R76" i="195"/>
  <c r="R93" i="195"/>
  <c r="R105" i="195"/>
  <c r="R117" i="195"/>
  <c r="R100" i="195"/>
  <c r="R112" i="195"/>
  <c r="R95" i="195"/>
  <c r="R107" i="195"/>
  <c r="R90" i="195"/>
  <c r="R102" i="195"/>
  <c r="R114" i="195"/>
  <c r="R97" i="195"/>
  <c r="R109" i="195"/>
  <c r="R64" i="195"/>
  <c r="R92" i="195"/>
  <c r="R104" i="195"/>
  <c r="R116" i="195"/>
  <c r="R88" i="195"/>
  <c r="R99" i="195"/>
  <c r="R111" i="195"/>
  <c r="R124" i="195"/>
  <c r="R136" i="195"/>
  <c r="R148" i="195"/>
  <c r="R119" i="195"/>
  <c r="R131" i="195"/>
  <c r="R143" i="195"/>
  <c r="R126" i="195"/>
  <c r="R138" i="195"/>
  <c r="R118" i="195"/>
  <c r="R121" i="195"/>
  <c r="R133" i="195"/>
  <c r="R145" i="195"/>
  <c r="R128" i="195"/>
  <c r="R140" i="195"/>
  <c r="R106" i="195"/>
  <c r="R123" i="195"/>
  <c r="R135" i="195"/>
  <c r="R147" i="195"/>
  <c r="R130" i="195"/>
  <c r="R142" i="195"/>
  <c r="R125" i="195"/>
  <c r="R137" i="195"/>
  <c r="R120" i="195"/>
  <c r="R132" i="195"/>
  <c r="R144" i="195"/>
  <c r="R127" i="195"/>
  <c r="R139" i="195"/>
  <c r="R94" i="195"/>
  <c r="R122" i="195"/>
  <c r="R134" i="195"/>
  <c r="R146" i="195"/>
  <c r="R129" i="195"/>
  <c r="R141" i="195"/>
  <c r="R158" i="195"/>
  <c r="R170" i="195"/>
  <c r="R153" i="195"/>
  <c r="R165" i="195"/>
  <c r="R160" i="195"/>
  <c r="R172" i="195"/>
  <c r="R155" i="195"/>
  <c r="R167" i="195"/>
  <c r="R3" i="195"/>
  <c r="R151" i="195"/>
  <c r="R150" i="195"/>
  <c r="R162" i="195"/>
  <c r="R157" i="195"/>
  <c r="R169" i="195"/>
  <c r="R152" i="195"/>
  <c r="R164" i="195"/>
  <c r="R163" i="195"/>
  <c r="R159" i="195"/>
  <c r="R171" i="195"/>
  <c r="R154" i="195"/>
  <c r="R166" i="195"/>
  <c r="R149" i="195"/>
  <c r="R161" i="195"/>
  <c r="R173" i="195"/>
  <c r="R156" i="195"/>
  <c r="R168" i="195"/>
  <c r="R175" i="195"/>
  <c r="S1" i="195"/>
  <c r="S52" i="195" s="1"/>
  <c r="R174" i="195"/>
  <c r="R176" i="195"/>
  <c r="R177" i="195"/>
  <c r="Q15" i="192"/>
  <c r="P14" i="192"/>
  <c r="O13" i="192"/>
  <c r="O12" i="192"/>
  <c r="P9" i="192"/>
  <c r="S5" i="195" l="1"/>
  <c r="S17" i="195"/>
  <c r="S14" i="195"/>
  <c r="S26" i="195"/>
  <c r="S9" i="195"/>
  <c r="S21" i="195"/>
  <c r="S33" i="195"/>
  <c r="S4" i="195"/>
  <c r="S16" i="195"/>
  <c r="S28" i="195"/>
  <c r="S11" i="195"/>
  <c r="S23" i="195"/>
  <c r="S35" i="195"/>
  <c r="S6" i="195"/>
  <c r="S18" i="195"/>
  <c r="S30" i="195"/>
  <c r="S13" i="195"/>
  <c r="S25" i="195"/>
  <c r="S8" i="195"/>
  <c r="S20" i="195"/>
  <c r="S32" i="195"/>
  <c r="S31" i="195"/>
  <c r="S45" i="195"/>
  <c r="S58" i="195"/>
  <c r="S12" i="195"/>
  <c r="S34" i="195"/>
  <c r="S40" i="195"/>
  <c r="S53" i="195"/>
  <c r="S19" i="195"/>
  <c r="S47" i="195"/>
  <c r="S42" i="195"/>
  <c r="S55" i="195"/>
  <c r="S10" i="195"/>
  <c r="S36" i="195"/>
  <c r="S37" i="195"/>
  <c r="S49" i="195"/>
  <c r="S24" i="195"/>
  <c r="S44" i="195"/>
  <c r="S27" i="195"/>
  <c r="S39" i="195"/>
  <c r="S15" i="195"/>
  <c r="S46" i="195"/>
  <c r="S22" i="195"/>
  <c r="S41" i="195"/>
  <c r="S29" i="195"/>
  <c r="S48" i="195"/>
  <c r="S7" i="195"/>
  <c r="S43" i="195"/>
  <c r="S56" i="195"/>
  <c r="S38" i="195"/>
  <c r="S50" i="195"/>
  <c r="S64" i="195"/>
  <c r="S76" i="195"/>
  <c r="S88" i="195"/>
  <c r="S51" i="195"/>
  <c r="S54" i="195"/>
  <c r="S57" i="195"/>
  <c r="S59" i="195"/>
  <c r="S71" i="195"/>
  <c r="S83" i="195"/>
  <c r="S66" i="195"/>
  <c r="S78" i="195"/>
  <c r="S61" i="195"/>
  <c r="S73" i="195"/>
  <c r="S85" i="195"/>
  <c r="S68" i="195"/>
  <c r="S80" i="195"/>
  <c r="S63" i="195"/>
  <c r="S75" i="195"/>
  <c r="S87" i="195"/>
  <c r="S70" i="195"/>
  <c r="S82" i="195"/>
  <c r="S65" i="195"/>
  <c r="S77" i="195"/>
  <c r="S60" i="195"/>
  <c r="S72" i="195"/>
  <c r="S84" i="195"/>
  <c r="S67" i="195"/>
  <c r="S79" i="195"/>
  <c r="S62" i="195"/>
  <c r="S74" i="195"/>
  <c r="S86" i="195"/>
  <c r="S94" i="195"/>
  <c r="S106" i="195"/>
  <c r="S118" i="195"/>
  <c r="S89" i="195"/>
  <c r="S101" i="195"/>
  <c r="S113" i="195"/>
  <c r="S96" i="195"/>
  <c r="S108" i="195"/>
  <c r="S91" i="195"/>
  <c r="S103" i="195"/>
  <c r="S115" i="195"/>
  <c r="S98" i="195"/>
  <c r="S110" i="195"/>
  <c r="S81" i="195"/>
  <c r="S93" i="195"/>
  <c r="S105" i="195"/>
  <c r="S117" i="195"/>
  <c r="S100" i="195"/>
  <c r="S112" i="195"/>
  <c r="S95" i="195"/>
  <c r="S107" i="195"/>
  <c r="S90" i="195"/>
  <c r="S102" i="195"/>
  <c r="S114" i="195"/>
  <c r="S97" i="195"/>
  <c r="S109" i="195"/>
  <c r="S69" i="195"/>
  <c r="S92" i="195"/>
  <c r="S104" i="195"/>
  <c r="S116" i="195"/>
  <c r="S129" i="195"/>
  <c r="S141" i="195"/>
  <c r="S124" i="195"/>
  <c r="S136" i="195"/>
  <c r="S148" i="195"/>
  <c r="S119" i="195"/>
  <c r="S131" i="195"/>
  <c r="S143" i="195"/>
  <c r="S126" i="195"/>
  <c r="S138" i="195"/>
  <c r="S121" i="195"/>
  <c r="S133" i="195"/>
  <c r="S145" i="195"/>
  <c r="S128" i="195"/>
  <c r="S140" i="195"/>
  <c r="S111" i="195"/>
  <c r="S123" i="195"/>
  <c r="S135" i="195"/>
  <c r="S147" i="195"/>
  <c r="S130" i="195"/>
  <c r="S142" i="195"/>
  <c r="S125" i="195"/>
  <c r="S137" i="195"/>
  <c r="S120" i="195"/>
  <c r="S132" i="195"/>
  <c r="S144" i="195"/>
  <c r="S127" i="195"/>
  <c r="S139" i="195"/>
  <c r="S99" i="195"/>
  <c r="S122" i="195"/>
  <c r="S134" i="195"/>
  <c r="S146" i="195"/>
  <c r="S151" i="195"/>
  <c r="S163" i="195"/>
  <c r="S158" i="195"/>
  <c r="S170" i="195"/>
  <c r="S153" i="195"/>
  <c r="S165" i="195"/>
  <c r="S160" i="195"/>
  <c r="S172" i="195"/>
  <c r="S155" i="195"/>
  <c r="S167" i="195"/>
  <c r="S3" i="195"/>
  <c r="S150" i="195"/>
  <c r="S162" i="195"/>
  <c r="S157" i="195"/>
  <c r="S169" i="195"/>
  <c r="S168" i="195"/>
  <c r="S152" i="195"/>
  <c r="S164" i="195"/>
  <c r="S156" i="195"/>
  <c r="S159" i="195"/>
  <c r="S171" i="195"/>
  <c r="S154" i="195"/>
  <c r="S166" i="195"/>
  <c r="S149" i="195"/>
  <c r="S161" i="195"/>
  <c r="S173" i="195"/>
  <c r="S175" i="195"/>
  <c r="T1" i="195"/>
  <c r="T52" i="195" s="1"/>
  <c r="S176" i="195"/>
  <c r="S174" i="195"/>
  <c r="S177" i="195"/>
  <c r="T16" i="192"/>
  <c r="T10" i="195" l="1"/>
  <c r="T22" i="195"/>
  <c r="T7" i="195"/>
  <c r="T19" i="195"/>
  <c r="T31" i="195"/>
  <c r="T14" i="195"/>
  <c r="T26" i="195"/>
  <c r="T9" i="195"/>
  <c r="T21" i="195"/>
  <c r="T33" i="195"/>
  <c r="T4" i="195"/>
  <c r="T16" i="195"/>
  <c r="T28" i="195"/>
  <c r="T11" i="195"/>
  <c r="T23" i="195"/>
  <c r="T35" i="195"/>
  <c r="T6" i="195"/>
  <c r="T18" i="195"/>
  <c r="T30" i="195"/>
  <c r="T13" i="195"/>
  <c r="T25" i="195"/>
  <c r="T38" i="195"/>
  <c r="T50" i="195"/>
  <c r="T5" i="195"/>
  <c r="T45" i="195"/>
  <c r="T58" i="195"/>
  <c r="T12" i="195"/>
  <c r="T34" i="195"/>
  <c r="T40" i="195"/>
  <c r="T53" i="195"/>
  <c r="T47" i="195"/>
  <c r="T42" i="195"/>
  <c r="T55" i="195"/>
  <c r="T17" i="195"/>
  <c r="T36" i="195"/>
  <c r="T37" i="195"/>
  <c r="T49" i="195"/>
  <c r="T24" i="195"/>
  <c r="T44" i="195"/>
  <c r="T8" i="195"/>
  <c r="T27" i="195"/>
  <c r="T39" i="195"/>
  <c r="T51" i="195"/>
  <c r="T15" i="195"/>
  <c r="T46" i="195"/>
  <c r="T41" i="195"/>
  <c r="T54" i="195"/>
  <c r="T29" i="195"/>
  <c r="T48" i="195"/>
  <c r="T20" i="195"/>
  <c r="T32" i="195"/>
  <c r="T43" i="195"/>
  <c r="T69" i="195"/>
  <c r="T81" i="195"/>
  <c r="T64" i="195"/>
  <c r="T76" i="195"/>
  <c r="T88" i="195"/>
  <c r="T57" i="195"/>
  <c r="T59" i="195"/>
  <c r="T71" i="195"/>
  <c r="T83" i="195"/>
  <c r="T66" i="195"/>
  <c r="T78" i="195"/>
  <c r="T61" i="195"/>
  <c r="T73" i="195"/>
  <c r="T85" i="195"/>
  <c r="T68" i="195"/>
  <c r="T80" i="195"/>
  <c r="T63" i="195"/>
  <c r="T75" i="195"/>
  <c r="T70" i="195"/>
  <c r="T82" i="195"/>
  <c r="T65" i="195"/>
  <c r="T77" i="195"/>
  <c r="T56" i="195"/>
  <c r="T60" i="195"/>
  <c r="T72" i="195"/>
  <c r="T84" i="195"/>
  <c r="T67" i="195"/>
  <c r="T79" i="195"/>
  <c r="T99" i="195"/>
  <c r="T111" i="195"/>
  <c r="T94" i="195"/>
  <c r="T106" i="195"/>
  <c r="T118" i="195"/>
  <c r="T87" i="195"/>
  <c r="T89" i="195"/>
  <c r="T101" i="195"/>
  <c r="T113" i="195"/>
  <c r="T96" i="195"/>
  <c r="T108" i="195"/>
  <c r="T62" i="195"/>
  <c r="T91" i="195"/>
  <c r="T103" i="195"/>
  <c r="T115" i="195"/>
  <c r="T98" i="195"/>
  <c r="T110" i="195"/>
  <c r="T93" i="195"/>
  <c r="T105" i="195"/>
  <c r="T117" i="195"/>
  <c r="T86" i="195"/>
  <c r="T100" i="195"/>
  <c r="T112" i="195"/>
  <c r="T95" i="195"/>
  <c r="T107" i="195"/>
  <c r="T90" i="195"/>
  <c r="T102" i="195"/>
  <c r="T114" i="195"/>
  <c r="T97" i="195"/>
  <c r="T109" i="195"/>
  <c r="T104" i="195"/>
  <c r="T122" i="195"/>
  <c r="T134" i="195"/>
  <c r="T146" i="195"/>
  <c r="T129" i="195"/>
  <c r="T141" i="195"/>
  <c r="T124" i="195"/>
  <c r="T136" i="195"/>
  <c r="T148" i="195"/>
  <c r="T119" i="195"/>
  <c r="T131" i="195"/>
  <c r="T143" i="195"/>
  <c r="T74" i="195"/>
  <c r="T126" i="195"/>
  <c r="T138" i="195"/>
  <c r="T92" i="195"/>
  <c r="T121" i="195"/>
  <c r="T133" i="195"/>
  <c r="T145" i="195"/>
  <c r="T128" i="195"/>
  <c r="T140" i="195"/>
  <c r="T116" i="195"/>
  <c r="T123" i="195"/>
  <c r="T135" i="195"/>
  <c r="T147" i="195"/>
  <c r="T130" i="195"/>
  <c r="T142" i="195"/>
  <c r="T125" i="195"/>
  <c r="T137" i="195"/>
  <c r="T120" i="195"/>
  <c r="T132" i="195"/>
  <c r="T144" i="195"/>
  <c r="T127" i="195"/>
  <c r="T139" i="195"/>
  <c r="T156" i="195"/>
  <c r="T168" i="195"/>
  <c r="T151" i="195"/>
  <c r="T163" i="195"/>
  <c r="T158" i="195"/>
  <c r="T170" i="195"/>
  <c r="T153" i="195"/>
  <c r="T165" i="195"/>
  <c r="T161" i="195"/>
  <c r="T160" i="195"/>
  <c r="T172" i="195"/>
  <c r="T155" i="195"/>
  <c r="T167" i="195"/>
  <c r="T3" i="195"/>
  <c r="T150" i="195"/>
  <c r="T162" i="195"/>
  <c r="T157" i="195"/>
  <c r="T169" i="195"/>
  <c r="T149" i="195"/>
  <c r="T173" i="195"/>
  <c r="T152" i="195"/>
  <c r="T164" i="195"/>
  <c r="T159" i="195"/>
  <c r="T171" i="195"/>
  <c r="T154" i="195"/>
  <c r="T166" i="195"/>
  <c r="T176" i="195"/>
  <c r="T175" i="195"/>
  <c r="T174" i="195"/>
  <c r="U1" i="195"/>
  <c r="U52" i="195" s="1"/>
  <c r="T177" i="195"/>
  <c r="T26" i="192"/>
  <c r="U15" i="195" l="1"/>
  <c r="U12" i="195"/>
  <c r="U24" i="195"/>
  <c r="U36" i="195"/>
  <c r="U7" i="195"/>
  <c r="U19" i="195"/>
  <c r="U31" i="195"/>
  <c r="U14" i="195"/>
  <c r="U26" i="195"/>
  <c r="U9" i="195"/>
  <c r="U21" i="195"/>
  <c r="U33" i="195"/>
  <c r="U4" i="195"/>
  <c r="U16" i="195"/>
  <c r="U28" i="195"/>
  <c r="U11" i="195"/>
  <c r="U23" i="195"/>
  <c r="U35" i="195"/>
  <c r="U6" i="195"/>
  <c r="U18" i="195"/>
  <c r="U30" i="195"/>
  <c r="U20" i="195"/>
  <c r="U32" i="195"/>
  <c r="U43" i="195"/>
  <c r="U56" i="195"/>
  <c r="U38" i="195"/>
  <c r="U50" i="195"/>
  <c r="U5" i="195"/>
  <c r="U45" i="195"/>
  <c r="U58" i="195"/>
  <c r="U34" i="195"/>
  <c r="U40" i="195"/>
  <c r="U53" i="195"/>
  <c r="U47" i="195"/>
  <c r="U10" i="195"/>
  <c r="U25" i="195"/>
  <c r="U42" i="195"/>
  <c r="U17" i="195"/>
  <c r="U37" i="195"/>
  <c r="U49" i="195"/>
  <c r="U44" i="195"/>
  <c r="U57" i="195"/>
  <c r="U8" i="195"/>
  <c r="U27" i="195"/>
  <c r="U39" i="195"/>
  <c r="U51" i="195"/>
  <c r="U22" i="195"/>
  <c r="U46" i="195"/>
  <c r="U41" i="195"/>
  <c r="U54" i="195"/>
  <c r="U13" i="195"/>
  <c r="U29" i="195"/>
  <c r="U48" i="195"/>
  <c r="U62" i="195"/>
  <c r="U74" i="195"/>
  <c r="U86" i="195"/>
  <c r="U69" i="195"/>
  <c r="U81" i="195"/>
  <c r="U64" i="195"/>
  <c r="U76" i="195"/>
  <c r="U88" i="195"/>
  <c r="U59" i="195"/>
  <c r="U71" i="195"/>
  <c r="U83" i="195"/>
  <c r="U66" i="195"/>
  <c r="U78" i="195"/>
  <c r="U61" i="195"/>
  <c r="U73" i="195"/>
  <c r="U85" i="195"/>
  <c r="U68" i="195"/>
  <c r="U80" i="195"/>
  <c r="U63" i="195"/>
  <c r="U75" i="195"/>
  <c r="U87" i="195"/>
  <c r="U70" i="195"/>
  <c r="U82" i="195"/>
  <c r="U65" i="195"/>
  <c r="U77" i="195"/>
  <c r="U55" i="195"/>
  <c r="U60" i="195"/>
  <c r="U72" i="195"/>
  <c r="U84" i="195"/>
  <c r="U79" i="195"/>
  <c r="U92" i="195"/>
  <c r="U104" i="195"/>
  <c r="U116" i="195"/>
  <c r="U99" i="195"/>
  <c r="U111" i="195"/>
  <c r="U94" i="195"/>
  <c r="U106" i="195"/>
  <c r="U118" i="195"/>
  <c r="U89" i="195"/>
  <c r="U101" i="195"/>
  <c r="U113" i="195"/>
  <c r="U96" i="195"/>
  <c r="U108" i="195"/>
  <c r="U67" i="195"/>
  <c r="U91" i="195"/>
  <c r="U103" i="195"/>
  <c r="U115" i="195"/>
  <c r="U98" i="195"/>
  <c r="U110" i="195"/>
  <c r="U93" i="195"/>
  <c r="U105" i="195"/>
  <c r="U117" i="195"/>
  <c r="U100" i="195"/>
  <c r="U112" i="195"/>
  <c r="U95" i="195"/>
  <c r="U107" i="195"/>
  <c r="U90" i="195"/>
  <c r="U102" i="195"/>
  <c r="U114" i="195"/>
  <c r="U127" i="195"/>
  <c r="U139" i="195"/>
  <c r="U109" i="195"/>
  <c r="U122" i="195"/>
  <c r="U134" i="195"/>
  <c r="U146" i="195"/>
  <c r="U129" i="195"/>
  <c r="U141" i="195"/>
  <c r="U124" i="195"/>
  <c r="U136" i="195"/>
  <c r="U148" i="195"/>
  <c r="U119" i="195"/>
  <c r="U131" i="195"/>
  <c r="U143" i="195"/>
  <c r="U126" i="195"/>
  <c r="U138" i="195"/>
  <c r="U97" i="195"/>
  <c r="U121" i="195"/>
  <c r="U133" i="195"/>
  <c r="U145" i="195"/>
  <c r="U128" i="195"/>
  <c r="U140" i="195"/>
  <c r="U123" i="195"/>
  <c r="U135" i="195"/>
  <c r="U130" i="195"/>
  <c r="U142" i="195"/>
  <c r="U125" i="195"/>
  <c r="U137" i="195"/>
  <c r="U120" i="195"/>
  <c r="U132" i="195"/>
  <c r="U144" i="195"/>
  <c r="U149" i="195"/>
  <c r="U161" i="195"/>
  <c r="U173" i="195"/>
  <c r="U156" i="195"/>
  <c r="U168" i="195"/>
  <c r="U151" i="195"/>
  <c r="U163" i="195"/>
  <c r="U158" i="195"/>
  <c r="U170" i="195"/>
  <c r="U154" i="195"/>
  <c r="U153" i="195"/>
  <c r="U165" i="195"/>
  <c r="U147" i="195"/>
  <c r="U160" i="195"/>
  <c r="U172" i="195"/>
  <c r="U155" i="195"/>
  <c r="U167" i="195"/>
  <c r="U3" i="195"/>
  <c r="U150" i="195"/>
  <c r="U162" i="195"/>
  <c r="U157" i="195"/>
  <c r="U169" i="195"/>
  <c r="U152" i="195"/>
  <c r="U164" i="195"/>
  <c r="U159" i="195"/>
  <c r="U171" i="195"/>
  <c r="U166" i="195"/>
  <c r="U177" i="195"/>
  <c r="V1" i="195"/>
  <c r="V52" i="195" s="1"/>
  <c r="U174" i="195"/>
  <c r="U175" i="195"/>
  <c r="U176" i="195"/>
  <c r="F28" i="192"/>
  <c r="T28" i="192" s="1"/>
  <c r="V8" i="195" l="1"/>
  <c r="V20" i="195"/>
  <c r="V5" i="195"/>
  <c r="V17" i="195"/>
  <c r="V29" i="195"/>
  <c r="V12" i="195"/>
  <c r="V24" i="195"/>
  <c r="V36" i="195"/>
  <c r="V7" i="195"/>
  <c r="V19" i="195"/>
  <c r="V31" i="195"/>
  <c r="V14" i="195"/>
  <c r="V26" i="195"/>
  <c r="V9" i="195"/>
  <c r="V21" i="195"/>
  <c r="V33" i="195"/>
  <c r="V4" i="195"/>
  <c r="V16" i="195"/>
  <c r="V28" i="195"/>
  <c r="V11" i="195"/>
  <c r="V23" i="195"/>
  <c r="V35" i="195"/>
  <c r="V13" i="195"/>
  <c r="V48" i="195"/>
  <c r="V32" i="195"/>
  <c r="V43" i="195"/>
  <c r="V56" i="195"/>
  <c r="V38" i="195"/>
  <c r="V50" i="195"/>
  <c r="V18" i="195"/>
  <c r="V45" i="195"/>
  <c r="V34" i="195"/>
  <c r="V40" i="195"/>
  <c r="V53" i="195"/>
  <c r="V47" i="195"/>
  <c r="V10" i="195"/>
  <c r="V25" i="195"/>
  <c r="V42" i="195"/>
  <c r="V37" i="195"/>
  <c r="V49" i="195"/>
  <c r="V44" i="195"/>
  <c r="V15" i="195"/>
  <c r="V27" i="195"/>
  <c r="V39" i="195"/>
  <c r="V51" i="195"/>
  <c r="V22" i="195"/>
  <c r="V30" i="195"/>
  <c r="V46" i="195"/>
  <c r="V6" i="195"/>
  <c r="V41" i="195"/>
  <c r="V67" i="195"/>
  <c r="V79" i="195"/>
  <c r="V62" i="195"/>
  <c r="V74" i="195"/>
  <c r="V86" i="195"/>
  <c r="V54" i="195"/>
  <c r="V69" i="195"/>
  <c r="V81" i="195"/>
  <c r="V57" i="195"/>
  <c r="V64" i="195"/>
  <c r="V76" i="195"/>
  <c r="V88" i="195"/>
  <c r="V59" i="195"/>
  <c r="V71" i="195"/>
  <c r="V83" i="195"/>
  <c r="V66" i="195"/>
  <c r="V78" i="195"/>
  <c r="V61" i="195"/>
  <c r="V73" i="195"/>
  <c r="V85" i="195"/>
  <c r="V68" i="195"/>
  <c r="V80" i="195"/>
  <c r="V63" i="195"/>
  <c r="V75" i="195"/>
  <c r="V70" i="195"/>
  <c r="V82" i="195"/>
  <c r="V58" i="195"/>
  <c r="V65" i="195"/>
  <c r="V77" i="195"/>
  <c r="V97" i="195"/>
  <c r="V109" i="195"/>
  <c r="V84" i="195"/>
  <c r="V92" i="195"/>
  <c r="V104" i="195"/>
  <c r="V116" i="195"/>
  <c r="V55" i="195"/>
  <c r="V99" i="195"/>
  <c r="V111" i="195"/>
  <c r="V87" i="195"/>
  <c r="V94" i="195"/>
  <c r="V106" i="195"/>
  <c r="V118" i="195"/>
  <c r="V89" i="195"/>
  <c r="V101" i="195"/>
  <c r="V113" i="195"/>
  <c r="V96" i="195"/>
  <c r="V108" i="195"/>
  <c r="V72" i="195"/>
  <c r="V91" i="195"/>
  <c r="V103" i="195"/>
  <c r="V115" i="195"/>
  <c r="V98" i="195"/>
  <c r="V110" i="195"/>
  <c r="V93" i="195"/>
  <c r="V105" i="195"/>
  <c r="V100" i="195"/>
  <c r="V112" i="195"/>
  <c r="V95" i="195"/>
  <c r="V107" i="195"/>
  <c r="V90" i="195"/>
  <c r="V120" i="195"/>
  <c r="V132" i="195"/>
  <c r="V144" i="195"/>
  <c r="V60" i="195"/>
  <c r="V127" i="195"/>
  <c r="V139" i="195"/>
  <c r="V114" i="195"/>
  <c r="V122" i="195"/>
  <c r="V134" i="195"/>
  <c r="V146" i="195"/>
  <c r="V129" i="195"/>
  <c r="V141" i="195"/>
  <c r="V124" i="195"/>
  <c r="V136" i="195"/>
  <c r="V148" i="195"/>
  <c r="V119" i="195"/>
  <c r="V131" i="195"/>
  <c r="V143" i="195"/>
  <c r="V126" i="195"/>
  <c r="V138" i="195"/>
  <c r="V102" i="195"/>
  <c r="V121" i="195"/>
  <c r="V133" i="195"/>
  <c r="V145" i="195"/>
  <c r="V128" i="195"/>
  <c r="V140" i="195"/>
  <c r="V123" i="195"/>
  <c r="V135" i="195"/>
  <c r="V147" i="195"/>
  <c r="V117" i="195"/>
  <c r="V130" i="195"/>
  <c r="V142" i="195"/>
  <c r="V125" i="195"/>
  <c r="V137" i="195"/>
  <c r="V154" i="195"/>
  <c r="V166" i="195"/>
  <c r="V149" i="195"/>
  <c r="V161" i="195"/>
  <c r="V173" i="195"/>
  <c r="V156" i="195"/>
  <c r="V168" i="195"/>
  <c r="V151" i="195"/>
  <c r="V163" i="195"/>
  <c r="V158" i="195"/>
  <c r="V170" i="195"/>
  <c r="V153" i="195"/>
  <c r="V165" i="195"/>
  <c r="V171" i="195"/>
  <c r="V160" i="195"/>
  <c r="V172" i="195"/>
  <c r="V159" i="195"/>
  <c r="V155" i="195"/>
  <c r="V167" i="195"/>
  <c r="V3" i="195"/>
  <c r="V150" i="195"/>
  <c r="V162" i="195"/>
  <c r="V157" i="195"/>
  <c r="V169" i="195"/>
  <c r="V152" i="195"/>
  <c r="V164" i="195"/>
  <c r="V174" i="195"/>
  <c r="V176" i="195"/>
  <c r="W1" i="195"/>
  <c r="W52" i="195" s="1"/>
  <c r="V175" i="195"/>
  <c r="V177" i="195"/>
  <c r="Q28" i="192"/>
  <c r="T20" i="192"/>
  <c r="F25" i="192"/>
  <c r="F24" i="192"/>
  <c r="F23" i="192"/>
  <c r="T23" i="192" s="1"/>
  <c r="F22" i="192"/>
  <c r="T22" i="192" s="1"/>
  <c r="T15" i="192"/>
  <c r="T14" i="192"/>
  <c r="T13" i="192"/>
  <c r="T12" i="192"/>
  <c r="F17" i="192"/>
  <c r="T17" i="192" s="1"/>
  <c r="T9" i="192"/>
  <c r="T8" i="192"/>
  <c r="T19" i="192"/>
  <c r="T18" i="192"/>
  <c r="T7" i="192"/>
  <c r="T6" i="192"/>
  <c r="T5" i="192"/>
  <c r="W13" i="195" l="1"/>
  <c r="W10" i="195"/>
  <c r="W22" i="195"/>
  <c r="W34" i="195"/>
  <c r="W5" i="195"/>
  <c r="W17" i="195"/>
  <c r="W29" i="195"/>
  <c r="W12" i="195"/>
  <c r="W24" i="195"/>
  <c r="W36" i="195"/>
  <c r="W7" i="195"/>
  <c r="W19" i="195"/>
  <c r="W31" i="195"/>
  <c r="W14" i="195"/>
  <c r="W26" i="195"/>
  <c r="W9" i="195"/>
  <c r="W21" i="195"/>
  <c r="W33" i="195"/>
  <c r="W4" i="195"/>
  <c r="W16" i="195"/>
  <c r="W28" i="195"/>
  <c r="W6" i="195"/>
  <c r="W41" i="195"/>
  <c r="W54" i="195"/>
  <c r="W20" i="195"/>
  <c r="W48" i="195"/>
  <c r="W32" i="195"/>
  <c r="W43" i="195"/>
  <c r="W56" i="195"/>
  <c r="W11" i="195"/>
  <c r="W35" i="195"/>
  <c r="W38" i="195"/>
  <c r="W50" i="195"/>
  <c r="W18" i="195"/>
  <c r="W45" i="195"/>
  <c r="W40" i="195"/>
  <c r="W53" i="195"/>
  <c r="W47" i="195"/>
  <c r="W23" i="195"/>
  <c r="W25" i="195"/>
  <c r="W42" i="195"/>
  <c r="W55" i="195"/>
  <c r="W37" i="195"/>
  <c r="W49" i="195"/>
  <c r="W8" i="195"/>
  <c r="W44" i="195"/>
  <c r="W15" i="195"/>
  <c r="W27" i="195"/>
  <c r="W39" i="195"/>
  <c r="W51" i="195"/>
  <c r="W30" i="195"/>
  <c r="W46" i="195"/>
  <c r="W60" i="195"/>
  <c r="W72" i="195"/>
  <c r="W84" i="195"/>
  <c r="W67" i="195"/>
  <c r="W79" i="195"/>
  <c r="W62" i="195"/>
  <c r="W74" i="195"/>
  <c r="W86" i="195"/>
  <c r="W69" i="195"/>
  <c r="W81" i="195"/>
  <c r="W57" i="195"/>
  <c r="W64" i="195"/>
  <c r="W76" i="195"/>
  <c r="W88" i="195"/>
  <c r="W59" i="195"/>
  <c r="W71" i="195"/>
  <c r="W83" i="195"/>
  <c r="W66" i="195"/>
  <c r="W78" i="195"/>
  <c r="W61" i="195"/>
  <c r="W73" i="195"/>
  <c r="W85" i="195"/>
  <c r="W68" i="195"/>
  <c r="W80" i="195"/>
  <c r="W63" i="195"/>
  <c r="W75" i="195"/>
  <c r="W87" i="195"/>
  <c r="W70" i="195"/>
  <c r="W82" i="195"/>
  <c r="W65" i="195"/>
  <c r="W90" i="195"/>
  <c r="W102" i="195"/>
  <c r="W114" i="195"/>
  <c r="W97" i="195"/>
  <c r="W109" i="195"/>
  <c r="W92" i="195"/>
  <c r="W104" i="195"/>
  <c r="W116" i="195"/>
  <c r="W99" i="195"/>
  <c r="W111" i="195"/>
  <c r="W94" i="195"/>
  <c r="W106" i="195"/>
  <c r="W118" i="195"/>
  <c r="W89" i="195"/>
  <c r="W101" i="195"/>
  <c r="W113" i="195"/>
  <c r="W58" i="195"/>
  <c r="W96" i="195"/>
  <c r="W108" i="195"/>
  <c r="W77" i="195"/>
  <c r="W91" i="195"/>
  <c r="W103" i="195"/>
  <c r="W115" i="195"/>
  <c r="W98" i="195"/>
  <c r="W110" i="195"/>
  <c r="W93" i="195"/>
  <c r="W105" i="195"/>
  <c r="W117" i="195"/>
  <c r="W100" i="195"/>
  <c r="W112" i="195"/>
  <c r="W125" i="195"/>
  <c r="W137" i="195"/>
  <c r="W95" i="195"/>
  <c r="W120" i="195"/>
  <c r="W132" i="195"/>
  <c r="W144" i="195"/>
  <c r="W127" i="195"/>
  <c r="W139" i="195"/>
  <c r="W122" i="195"/>
  <c r="W134" i="195"/>
  <c r="W146" i="195"/>
  <c r="W129" i="195"/>
  <c r="W141" i="195"/>
  <c r="W124" i="195"/>
  <c r="W136" i="195"/>
  <c r="W148" i="195"/>
  <c r="W119" i="195"/>
  <c r="W131" i="195"/>
  <c r="W143" i="195"/>
  <c r="W126" i="195"/>
  <c r="W138" i="195"/>
  <c r="W107" i="195"/>
  <c r="W121" i="195"/>
  <c r="W133" i="195"/>
  <c r="W145" i="195"/>
  <c r="W128" i="195"/>
  <c r="W140" i="195"/>
  <c r="W123" i="195"/>
  <c r="W135" i="195"/>
  <c r="W147" i="195"/>
  <c r="W130" i="195"/>
  <c r="W142" i="195"/>
  <c r="W159" i="195"/>
  <c r="W171" i="195"/>
  <c r="W152" i="195"/>
  <c r="W164" i="195"/>
  <c r="W154" i="195"/>
  <c r="W166" i="195"/>
  <c r="W149" i="195"/>
  <c r="W161" i="195"/>
  <c r="W173" i="195"/>
  <c r="W156" i="195"/>
  <c r="W168" i="195"/>
  <c r="W151" i="195"/>
  <c r="W163" i="195"/>
  <c r="W158" i="195"/>
  <c r="W170" i="195"/>
  <c r="W153" i="195"/>
  <c r="W165" i="195"/>
  <c r="W160" i="195"/>
  <c r="W172" i="195"/>
  <c r="W155" i="195"/>
  <c r="W167" i="195"/>
  <c r="W3" i="195"/>
  <c r="W150" i="195"/>
  <c r="W162" i="195"/>
  <c r="W157" i="195"/>
  <c r="W169" i="195"/>
  <c r="W174" i="195"/>
  <c r="W177" i="195"/>
  <c r="W176" i="195"/>
  <c r="W175" i="195"/>
  <c r="X1" i="195"/>
  <c r="X52" i="195" s="1"/>
  <c r="T25" i="192"/>
  <c r="Q25" i="192"/>
  <c r="T24" i="192"/>
  <c r="Q24" i="192"/>
  <c r="T11" i="192"/>
  <c r="Q11" i="192"/>
  <c r="T10" i="192"/>
  <c r="Q10" i="192"/>
  <c r="D1" i="193"/>
  <c r="B74" i="192"/>
  <c r="B73" i="192"/>
  <c r="B71" i="192"/>
  <c r="T70" i="192" l="1"/>
  <c r="X6" i="195"/>
  <c r="X18" i="195"/>
  <c r="X15" i="195"/>
  <c r="X27" i="195"/>
  <c r="X10" i="195"/>
  <c r="X22" i="195"/>
  <c r="X34" i="195"/>
  <c r="X5" i="195"/>
  <c r="X17" i="195"/>
  <c r="X29" i="195"/>
  <c r="X12" i="195"/>
  <c r="X24" i="195"/>
  <c r="X36" i="195"/>
  <c r="X7" i="195"/>
  <c r="X19" i="195"/>
  <c r="X31" i="195"/>
  <c r="X14" i="195"/>
  <c r="X26" i="195"/>
  <c r="X9" i="195"/>
  <c r="X21" i="195"/>
  <c r="X33" i="195"/>
  <c r="X30" i="195"/>
  <c r="X46" i="195"/>
  <c r="X13" i="195"/>
  <c r="X41" i="195"/>
  <c r="X54" i="195"/>
  <c r="X20" i="195"/>
  <c r="X48" i="195"/>
  <c r="X4" i="195"/>
  <c r="X32" i="195"/>
  <c r="X43" i="195"/>
  <c r="X11" i="195"/>
  <c r="X35" i="195"/>
  <c r="X38" i="195"/>
  <c r="X50" i="195"/>
  <c r="X45" i="195"/>
  <c r="X40" i="195"/>
  <c r="X16" i="195"/>
  <c r="X47" i="195"/>
  <c r="X23" i="195"/>
  <c r="X25" i="195"/>
  <c r="X42" i="195"/>
  <c r="X28" i="195"/>
  <c r="X37" i="195"/>
  <c r="X49" i="195"/>
  <c r="X8" i="195"/>
  <c r="X44" i="195"/>
  <c r="X57" i="195"/>
  <c r="X39" i="195"/>
  <c r="X51" i="195"/>
  <c r="X55" i="195"/>
  <c r="X58" i="195"/>
  <c r="X65" i="195"/>
  <c r="X77" i="195"/>
  <c r="X60" i="195"/>
  <c r="X72" i="195"/>
  <c r="X84" i="195"/>
  <c r="X67" i="195"/>
  <c r="X79" i="195"/>
  <c r="X62" i="195"/>
  <c r="X74" i="195"/>
  <c r="X86" i="195"/>
  <c r="X69" i="195"/>
  <c r="X81" i="195"/>
  <c r="X64" i="195"/>
  <c r="X76" i="195"/>
  <c r="X88" i="195"/>
  <c r="X53" i="195"/>
  <c r="X59" i="195"/>
  <c r="X71" i="195"/>
  <c r="X83" i="195"/>
  <c r="X66" i="195"/>
  <c r="X78" i="195"/>
  <c r="X61" i="195"/>
  <c r="X73" i="195"/>
  <c r="X85" i="195"/>
  <c r="X68" i="195"/>
  <c r="X80" i="195"/>
  <c r="X56" i="195"/>
  <c r="X63" i="195"/>
  <c r="X75" i="195"/>
  <c r="X87" i="195"/>
  <c r="X95" i="195"/>
  <c r="X107" i="195"/>
  <c r="X70" i="195"/>
  <c r="X90" i="195"/>
  <c r="X102" i="195"/>
  <c r="X114" i="195"/>
  <c r="X97" i="195"/>
  <c r="X109" i="195"/>
  <c r="X92" i="195"/>
  <c r="X104" i="195"/>
  <c r="X116" i="195"/>
  <c r="X99" i="195"/>
  <c r="X111" i="195"/>
  <c r="X94" i="195"/>
  <c r="X106" i="195"/>
  <c r="X118" i="195"/>
  <c r="X89" i="195"/>
  <c r="X101" i="195"/>
  <c r="X113" i="195"/>
  <c r="X96" i="195"/>
  <c r="X108" i="195"/>
  <c r="X82" i="195"/>
  <c r="X91" i="195"/>
  <c r="X103" i="195"/>
  <c r="X115" i="195"/>
  <c r="X98" i="195"/>
  <c r="X110" i="195"/>
  <c r="X93" i="195"/>
  <c r="X105" i="195"/>
  <c r="X117" i="195"/>
  <c r="X130" i="195"/>
  <c r="X142" i="195"/>
  <c r="X125" i="195"/>
  <c r="X137" i="195"/>
  <c r="X100" i="195"/>
  <c r="X120" i="195"/>
  <c r="X132" i="195"/>
  <c r="X144" i="195"/>
  <c r="X127" i="195"/>
  <c r="X139" i="195"/>
  <c r="X122" i="195"/>
  <c r="X134" i="195"/>
  <c r="X146" i="195"/>
  <c r="X129" i="195"/>
  <c r="X141" i="195"/>
  <c r="X124" i="195"/>
  <c r="X136" i="195"/>
  <c r="X119" i="195"/>
  <c r="X131" i="195"/>
  <c r="X143" i="195"/>
  <c r="X126" i="195"/>
  <c r="X138" i="195"/>
  <c r="X112" i="195"/>
  <c r="X121" i="195"/>
  <c r="X133" i="195"/>
  <c r="X145" i="195"/>
  <c r="X128" i="195"/>
  <c r="X140" i="195"/>
  <c r="X123" i="195"/>
  <c r="X135" i="195"/>
  <c r="X148" i="195"/>
  <c r="X152" i="195"/>
  <c r="X164" i="195"/>
  <c r="X159" i="195"/>
  <c r="X171" i="195"/>
  <c r="X154" i="195"/>
  <c r="X166" i="195"/>
  <c r="X149" i="195"/>
  <c r="X161" i="195"/>
  <c r="X173" i="195"/>
  <c r="X156" i="195"/>
  <c r="X168" i="195"/>
  <c r="X157" i="195"/>
  <c r="X151" i="195"/>
  <c r="X163" i="195"/>
  <c r="X147" i="195"/>
  <c r="X158" i="195"/>
  <c r="X170" i="195"/>
  <c r="X153" i="195"/>
  <c r="X165" i="195"/>
  <c r="X160" i="195"/>
  <c r="X172" i="195"/>
  <c r="X155" i="195"/>
  <c r="X167" i="195"/>
  <c r="X3" i="195"/>
  <c r="X150" i="195"/>
  <c r="X162" i="195"/>
  <c r="X169" i="195"/>
  <c r="D21" i="193"/>
  <c r="D171" i="193"/>
  <c r="D172" i="193"/>
  <c r="X175" i="195"/>
  <c r="Y1" i="195"/>
  <c r="Y52" i="195" s="1"/>
  <c r="X177" i="195"/>
  <c r="X176" i="195"/>
  <c r="X174" i="195"/>
  <c r="B75" i="192"/>
  <c r="B72" i="192" s="1"/>
  <c r="B76" i="192" s="1"/>
  <c r="D30" i="193"/>
  <c r="D28" i="193"/>
  <c r="D16" i="193"/>
  <c r="D3" i="193"/>
  <c r="D24" i="193"/>
  <c r="D20" i="193"/>
  <c r="D29" i="193"/>
  <c r="D23" i="193"/>
  <c r="D26" i="193"/>
  <c r="D68" i="193"/>
  <c r="D80" i="193"/>
  <c r="D75" i="193"/>
  <c r="D70" i="193"/>
  <c r="D72" i="193"/>
  <c r="D74" i="193"/>
  <c r="D69" i="193"/>
  <c r="D76" i="193"/>
  <c r="D88" i="193"/>
  <c r="D100" i="193"/>
  <c r="D71" i="193"/>
  <c r="D83" i="193"/>
  <c r="D95" i="193"/>
  <c r="D78" i="193"/>
  <c r="D90" i="193"/>
  <c r="D73" i="193"/>
  <c r="D104" i="193"/>
  <c r="D77" i="193"/>
  <c r="D86" i="193"/>
  <c r="D85" i="193"/>
  <c r="D101" i="193"/>
  <c r="D113" i="193"/>
  <c r="D79" i="193"/>
  <c r="D81" i="193"/>
  <c r="D84" i="193"/>
  <c r="D89" i="193"/>
  <c r="D105" i="193"/>
  <c r="D123" i="193"/>
  <c r="D94" i="193"/>
  <c r="D110" i="193"/>
  <c r="D87" i="193"/>
  <c r="D93" i="193"/>
  <c r="D114" i="193"/>
  <c r="D125" i="193"/>
  <c r="D92" i="193"/>
  <c r="D107" i="193"/>
  <c r="D108" i="193"/>
  <c r="D127" i="193"/>
  <c r="D91" i="193"/>
  <c r="D97" i="193"/>
  <c r="D99" i="193"/>
  <c r="D98" i="193"/>
  <c r="D102" i="193"/>
  <c r="D124" i="193"/>
  <c r="D96" i="193"/>
  <c r="D103" i="193"/>
  <c r="D111" i="193"/>
  <c r="D118" i="193"/>
  <c r="D119" i="193"/>
  <c r="D82" i="193"/>
  <c r="D109" i="193"/>
  <c r="D116" i="193"/>
  <c r="D133" i="193"/>
  <c r="D106" i="193"/>
  <c r="D120" i="193"/>
  <c r="D129" i="193"/>
  <c r="D139" i="193"/>
  <c r="D115" i="193"/>
  <c r="D121" i="193"/>
  <c r="D140" i="193"/>
  <c r="D144" i="193"/>
  <c r="D112" i="193"/>
  <c r="D117" i="193"/>
  <c r="D151" i="193"/>
  <c r="D143" i="193"/>
  <c r="D149" i="193"/>
  <c r="D150" i="193"/>
  <c r="D159" i="193"/>
  <c r="D132" i="193"/>
  <c r="D136" i="193"/>
  <c r="D141" i="193"/>
  <c r="D142" i="193"/>
  <c r="D154" i="193"/>
  <c r="D156" i="193"/>
  <c r="D122" i="193"/>
  <c r="D128" i="193"/>
  <c r="D152" i="193"/>
  <c r="D130" i="193"/>
  <c r="D134" i="193"/>
  <c r="D137" i="193"/>
  <c r="D153" i="193"/>
  <c r="D165" i="193"/>
  <c r="D40" i="193"/>
  <c r="D126" i="193"/>
  <c r="D160" i="193"/>
  <c r="D146" i="193"/>
  <c r="D148" i="193"/>
  <c r="D155" i="193"/>
  <c r="D167" i="193"/>
  <c r="D42" i="193"/>
  <c r="D131" i="193"/>
  <c r="D135" i="193"/>
  <c r="D147" i="193"/>
  <c r="D138" i="193"/>
  <c r="D145" i="193"/>
  <c r="D157" i="193"/>
  <c r="D44" i="193"/>
  <c r="D50" i="193"/>
  <c r="D161" i="193"/>
  <c r="D163" i="193"/>
  <c r="D39" i="193"/>
  <c r="D45" i="193"/>
  <c r="D51" i="193"/>
  <c r="D37" i="193"/>
  <c r="D46" i="193"/>
  <c r="D67" i="193"/>
  <c r="D38" i="193"/>
  <c r="D36" i="193"/>
  <c r="D47" i="193"/>
  <c r="D57" i="193"/>
  <c r="D162" i="193"/>
  <c r="D41" i="193"/>
  <c r="D158" i="193"/>
  <c r="D164" i="193"/>
  <c r="D166" i="193"/>
  <c r="D169" i="193"/>
  <c r="D48" i="193"/>
  <c r="D52" i="193"/>
  <c r="D59" i="193"/>
  <c r="D170" i="193"/>
  <c r="D49" i="193"/>
  <c r="D168" i="193"/>
  <c r="D61" i="193"/>
  <c r="D5" i="193"/>
  <c r="D53" i="193"/>
  <c r="D63" i="193"/>
  <c r="D7" i="193"/>
  <c r="D19" i="193"/>
  <c r="D65" i="193"/>
  <c r="D14" i="193"/>
  <c r="D35" i="193"/>
  <c r="D9" i="193"/>
  <c r="D4" i="193"/>
  <c r="D11" i="193"/>
  <c r="D43" i="193"/>
  <c r="D60" i="193"/>
  <c r="D6" i="193"/>
  <c r="D18" i="193"/>
  <c r="D58" i="193"/>
  <c r="D64" i="193"/>
  <c r="D56" i="193"/>
  <c r="D8" i="193"/>
  <c r="D62" i="193"/>
  <c r="D15" i="193"/>
  <c r="D27" i="193"/>
  <c r="D12" i="193"/>
  <c r="D22" i="193"/>
  <c r="D17" i="193"/>
  <c r="D25" i="193"/>
  <c r="D10" i="193"/>
  <c r="D55" i="193"/>
  <c r="D13" i="193"/>
  <c r="D54" i="193"/>
  <c r="D33" i="193"/>
  <c r="D175" i="193"/>
  <c r="D176" i="193"/>
  <c r="D174" i="193"/>
  <c r="D173" i="193"/>
  <c r="D66" i="193"/>
  <c r="D34" i="193"/>
  <c r="D31" i="193"/>
  <c r="D32" i="193"/>
  <c r="E1" i="193"/>
  <c r="T58" i="190"/>
  <c r="T59" i="190"/>
  <c r="T60" i="190"/>
  <c r="T61" i="190"/>
  <c r="T62" i="190"/>
  <c r="T63" i="190"/>
  <c r="T64" i="190"/>
  <c r="T75" i="190"/>
  <c r="T67" i="190"/>
  <c r="T68" i="190"/>
  <c r="T69" i="190"/>
  <c r="T70" i="190"/>
  <c r="T66" i="190"/>
  <c r="Y11" i="195" l="1"/>
  <c r="Y23" i="195"/>
  <c r="Y8" i="195"/>
  <c r="Y20" i="195"/>
  <c r="Y32" i="195"/>
  <c r="Y15" i="195"/>
  <c r="Y27" i="195"/>
  <c r="Y10" i="195"/>
  <c r="Y22" i="195"/>
  <c r="Y34" i="195"/>
  <c r="Y5" i="195"/>
  <c r="Y17" i="195"/>
  <c r="Y29" i="195"/>
  <c r="Y12" i="195"/>
  <c r="Y24" i="195"/>
  <c r="Y36" i="195"/>
  <c r="Y7" i="195"/>
  <c r="Y19" i="195"/>
  <c r="Y31" i="195"/>
  <c r="Y14" i="195"/>
  <c r="Y26" i="195"/>
  <c r="Y39" i="195"/>
  <c r="Y51" i="195"/>
  <c r="Y6" i="195"/>
  <c r="Y30" i="195"/>
  <c r="Y46" i="195"/>
  <c r="Y13" i="195"/>
  <c r="Y33" i="195"/>
  <c r="Y41" i="195"/>
  <c r="Y54" i="195"/>
  <c r="Y48" i="195"/>
  <c r="Y4" i="195"/>
  <c r="Y43" i="195"/>
  <c r="Y56" i="195"/>
  <c r="Y18" i="195"/>
  <c r="Y35" i="195"/>
  <c r="Y38" i="195"/>
  <c r="Y50" i="195"/>
  <c r="Y45" i="195"/>
  <c r="Y9" i="195"/>
  <c r="Y40" i="195"/>
  <c r="Y53" i="195"/>
  <c r="Y16" i="195"/>
  <c r="Y47" i="195"/>
  <c r="Y25" i="195"/>
  <c r="Y42" i="195"/>
  <c r="Y55" i="195"/>
  <c r="Y28" i="195"/>
  <c r="Y37" i="195"/>
  <c r="Y49" i="195"/>
  <c r="Y21" i="195"/>
  <c r="Y44" i="195"/>
  <c r="Y70" i="195"/>
  <c r="Y82" i="195"/>
  <c r="Y58" i="195"/>
  <c r="Y65" i="195"/>
  <c r="Y77" i="195"/>
  <c r="Y60" i="195"/>
  <c r="Y72" i="195"/>
  <c r="Y84" i="195"/>
  <c r="Y67" i="195"/>
  <c r="Y79" i="195"/>
  <c r="Y62" i="195"/>
  <c r="Y74" i="195"/>
  <c r="Y86" i="195"/>
  <c r="Y57" i="195"/>
  <c r="Y69" i="195"/>
  <c r="Y81" i="195"/>
  <c r="Y64" i="195"/>
  <c r="Y76" i="195"/>
  <c r="Y59" i="195"/>
  <c r="Y71" i="195"/>
  <c r="Y83" i="195"/>
  <c r="Y66" i="195"/>
  <c r="Y78" i="195"/>
  <c r="Y61" i="195"/>
  <c r="Y73" i="195"/>
  <c r="Y85" i="195"/>
  <c r="Y68" i="195"/>
  <c r="Y80" i="195"/>
  <c r="Y100" i="195"/>
  <c r="Y112" i="195"/>
  <c r="Y95" i="195"/>
  <c r="Y107" i="195"/>
  <c r="Y75" i="195"/>
  <c r="Y90" i="195"/>
  <c r="Y102" i="195"/>
  <c r="Y114" i="195"/>
  <c r="Y97" i="195"/>
  <c r="Y109" i="195"/>
  <c r="Y87" i="195"/>
  <c r="Y92" i="195"/>
  <c r="Y104" i="195"/>
  <c r="Y116" i="195"/>
  <c r="Y99" i="195"/>
  <c r="Y111" i="195"/>
  <c r="Y94" i="195"/>
  <c r="Y106" i="195"/>
  <c r="Y63" i="195"/>
  <c r="Y89" i="195"/>
  <c r="Y101" i="195"/>
  <c r="Y113" i="195"/>
  <c r="Y96" i="195"/>
  <c r="Y108" i="195"/>
  <c r="Y91" i="195"/>
  <c r="Y103" i="195"/>
  <c r="Y115" i="195"/>
  <c r="Y98" i="195"/>
  <c r="Y110" i="195"/>
  <c r="Y123" i="195"/>
  <c r="Y135" i="195"/>
  <c r="Y147" i="195"/>
  <c r="Y130" i="195"/>
  <c r="Y142" i="195"/>
  <c r="Y125" i="195"/>
  <c r="Y137" i="195"/>
  <c r="Y105" i="195"/>
  <c r="Y120" i="195"/>
  <c r="Y132" i="195"/>
  <c r="Y144" i="195"/>
  <c r="Y118" i="195"/>
  <c r="Y127" i="195"/>
  <c r="Y139" i="195"/>
  <c r="Y122" i="195"/>
  <c r="Y134" i="195"/>
  <c r="Y146" i="195"/>
  <c r="Y129" i="195"/>
  <c r="Y141" i="195"/>
  <c r="Y124" i="195"/>
  <c r="Y136" i="195"/>
  <c r="Y148" i="195"/>
  <c r="Y88" i="195"/>
  <c r="Y93" i="195"/>
  <c r="Y119" i="195"/>
  <c r="Y131" i="195"/>
  <c r="Y143" i="195"/>
  <c r="Y126" i="195"/>
  <c r="Y138" i="195"/>
  <c r="Y121" i="195"/>
  <c r="Y133" i="195"/>
  <c r="Y145" i="195"/>
  <c r="Y117" i="195"/>
  <c r="Y128" i="195"/>
  <c r="Y140" i="195"/>
  <c r="Y157" i="195"/>
  <c r="Y169" i="195"/>
  <c r="Y152" i="195"/>
  <c r="Y164" i="195"/>
  <c r="Y159" i="195"/>
  <c r="Y171" i="195"/>
  <c r="Y154" i="195"/>
  <c r="Y166" i="195"/>
  <c r="Y149" i="195"/>
  <c r="Y161" i="195"/>
  <c r="Y173" i="195"/>
  <c r="Y156" i="195"/>
  <c r="Y168" i="195"/>
  <c r="Y151" i="195"/>
  <c r="Y163" i="195"/>
  <c r="Y158" i="195"/>
  <c r="Y170" i="195"/>
  <c r="Y153" i="195"/>
  <c r="Y165" i="195"/>
  <c r="Y160" i="195"/>
  <c r="Y172" i="195"/>
  <c r="Y155" i="195"/>
  <c r="Y167" i="195"/>
  <c r="Y3" i="195"/>
  <c r="Y150" i="195"/>
  <c r="Y162" i="195"/>
  <c r="E171" i="193"/>
  <c r="E172" i="193"/>
  <c r="Y176" i="195"/>
  <c r="Y175" i="195"/>
  <c r="Y174" i="195"/>
  <c r="Y177" i="195"/>
  <c r="Z1" i="195"/>
  <c r="Z52" i="195" s="1"/>
  <c r="E73" i="193"/>
  <c r="E85" i="193"/>
  <c r="E68" i="193"/>
  <c r="E70" i="193"/>
  <c r="E72" i="193"/>
  <c r="E79" i="193"/>
  <c r="E74" i="193"/>
  <c r="E69" i="193"/>
  <c r="E81" i="193"/>
  <c r="E93" i="193"/>
  <c r="E76" i="193"/>
  <c r="E88" i="193"/>
  <c r="E71" i="193"/>
  <c r="E83" i="193"/>
  <c r="E95" i="193"/>
  <c r="E87" i="193"/>
  <c r="E100" i="193"/>
  <c r="E109" i="193"/>
  <c r="E104" i="193"/>
  <c r="E106" i="193"/>
  <c r="E77" i="193"/>
  <c r="E82" i="193"/>
  <c r="E91" i="193"/>
  <c r="E99" i="193"/>
  <c r="E107" i="193"/>
  <c r="E116" i="193"/>
  <c r="E86" i="193"/>
  <c r="E96" i="193"/>
  <c r="E103" i="193"/>
  <c r="E114" i="193"/>
  <c r="E118" i="193"/>
  <c r="E90" i="193"/>
  <c r="E98" i="193"/>
  <c r="E111" i="193"/>
  <c r="E75" i="193"/>
  <c r="E97" i="193"/>
  <c r="E80" i="193"/>
  <c r="E94" i="193"/>
  <c r="E105" i="193"/>
  <c r="E78" i="193"/>
  <c r="E112" i="193"/>
  <c r="E122" i="193"/>
  <c r="E92" i="193"/>
  <c r="E123" i="193"/>
  <c r="E101" i="193"/>
  <c r="E113" i="193"/>
  <c r="E129" i="193"/>
  <c r="E102" i="193"/>
  <c r="E124" i="193"/>
  <c r="E84" i="193"/>
  <c r="E89" i="193"/>
  <c r="E117" i="193"/>
  <c r="E120" i="193"/>
  <c r="E126" i="193"/>
  <c r="E138" i="193"/>
  <c r="E125" i="193"/>
  <c r="E110" i="193"/>
  <c r="E119" i="193"/>
  <c r="E130" i="193"/>
  <c r="E136" i="193"/>
  <c r="E108" i="193"/>
  <c r="E115" i="193"/>
  <c r="E132" i="193"/>
  <c r="E137" i="193"/>
  <c r="E142" i="193"/>
  <c r="E121" i="193"/>
  <c r="E133" i="193"/>
  <c r="E140" i="193"/>
  <c r="E149" i="193"/>
  <c r="E144" i="193"/>
  <c r="E145" i="193"/>
  <c r="E157" i="193"/>
  <c r="E143" i="193"/>
  <c r="E164" i="193"/>
  <c r="E150" i="193"/>
  <c r="E159" i="193"/>
  <c r="E141" i="193"/>
  <c r="E151" i="193"/>
  <c r="E154" i="193"/>
  <c r="E139" i="193"/>
  <c r="E161" i="193"/>
  <c r="E156" i="193"/>
  <c r="E127" i="193"/>
  <c r="E158" i="193"/>
  <c r="E170" i="193"/>
  <c r="E45" i="193"/>
  <c r="E134" i="193"/>
  <c r="E153" i="193"/>
  <c r="E165" i="193"/>
  <c r="E160" i="193"/>
  <c r="E47" i="193"/>
  <c r="E146" i="193"/>
  <c r="E148" i="193"/>
  <c r="E131" i="193"/>
  <c r="E135" i="193"/>
  <c r="E147" i="193"/>
  <c r="E43" i="193"/>
  <c r="E44" i="193"/>
  <c r="E167" i="193"/>
  <c r="E163" i="193"/>
  <c r="E128" i="193"/>
  <c r="E155" i="193"/>
  <c r="E67" i="193"/>
  <c r="E39" i="193"/>
  <c r="E37" i="193"/>
  <c r="E46" i="193"/>
  <c r="E38" i="193"/>
  <c r="E40" i="193"/>
  <c r="E152" i="193"/>
  <c r="E36" i="193"/>
  <c r="E162" i="193"/>
  <c r="E41" i="193"/>
  <c r="E166" i="193"/>
  <c r="E169" i="193"/>
  <c r="E42" i="193"/>
  <c r="E48" i="193"/>
  <c r="E49" i="193"/>
  <c r="E54" i="193"/>
  <c r="E55" i="193"/>
  <c r="E10" i="193"/>
  <c r="E5" i="193"/>
  <c r="E53" i="193"/>
  <c r="E63" i="193"/>
  <c r="E12" i="193"/>
  <c r="E50" i="193"/>
  <c r="E51" i="193"/>
  <c r="E35" i="193"/>
  <c r="E7" i="193"/>
  <c r="E65" i="193"/>
  <c r="E14" i="193"/>
  <c r="E9" i="193"/>
  <c r="E4" i="193"/>
  <c r="E16" i="193"/>
  <c r="E168" i="193"/>
  <c r="E52" i="193"/>
  <c r="E11" i="193"/>
  <c r="E23" i="193"/>
  <c r="E59" i="193"/>
  <c r="E60" i="193"/>
  <c r="E61" i="193"/>
  <c r="E6" i="193"/>
  <c r="E58" i="193"/>
  <c r="E64" i="193"/>
  <c r="E56" i="193"/>
  <c r="E57" i="193"/>
  <c r="E8" i="193"/>
  <c r="E20" i="193"/>
  <c r="E27" i="193"/>
  <c r="E13" i="193"/>
  <c r="E62" i="193"/>
  <c r="E25" i="193"/>
  <c r="E17" i="193"/>
  <c r="E19" i="193"/>
  <c r="E28" i="193"/>
  <c r="E3" i="193"/>
  <c r="E30" i="193"/>
  <c r="E22" i="193"/>
  <c r="E15" i="193"/>
  <c r="E21" i="193"/>
  <c r="E26" i="193"/>
  <c r="E29" i="193"/>
  <c r="E24" i="193"/>
  <c r="E18" i="193"/>
  <c r="E174" i="193"/>
  <c r="E175" i="193"/>
  <c r="E176" i="193"/>
  <c r="E173" i="193"/>
  <c r="E66" i="193"/>
  <c r="E34" i="193"/>
  <c r="E32" i="193"/>
  <c r="E33" i="193"/>
  <c r="E31" i="193"/>
  <c r="F1" i="193"/>
  <c r="T71" i="190"/>
  <c r="T72" i="190"/>
  <c r="T73" i="190"/>
  <c r="T74" i="190"/>
  <c r="T76" i="190"/>
  <c r="T77" i="190"/>
  <c r="T78" i="190"/>
  <c r="T79" i="190"/>
  <c r="T82" i="190"/>
  <c r="T83" i="190"/>
  <c r="Z4" i="195" l="1"/>
  <c r="Z16" i="195"/>
  <c r="Z13" i="195"/>
  <c r="Z25" i="195"/>
  <c r="Z8" i="195"/>
  <c r="Z20" i="195"/>
  <c r="Z32" i="195"/>
  <c r="Z15" i="195"/>
  <c r="Z27" i="195"/>
  <c r="Z10" i="195"/>
  <c r="Z22" i="195"/>
  <c r="Z34" i="195"/>
  <c r="Z5" i="195"/>
  <c r="Z17" i="195"/>
  <c r="Z29" i="195"/>
  <c r="Z12" i="195"/>
  <c r="Z24" i="195"/>
  <c r="Z36" i="195"/>
  <c r="Z7" i="195"/>
  <c r="Z19" i="195"/>
  <c r="Z31" i="195"/>
  <c r="Z21" i="195"/>
  <c r="Z44" i="195"/>
  <c r="Z57" i="195"/>
  <c r="Z39" i="195"/>
  <c r="Z51" i="195"/>
  <c r="Z6" i="195"/>
  <c r="Z30" i="195"/>
  <c r="Z46" i="195"/>
  <c r="Z33" i="195"/>
  <c r="Z41" i="195"/>
  <c r="Z54" i="195"/>
  <c r="Z48" i="195"/>
  <c r="Z11" i="195"/>
  <c r="Z43" i="195"/>
  <c r="Z18" i="195"/>
  <c r="Z35" i="195"/>
  <c r="Z38" i="195"/>
  <c r="Z50" i="195"/>
  <c r="Z45" i="195"/>
  <c r="Z58" i="195"/>
  <c r="Z9" i="195"/>
  <c r="Z26" i="195"/>
  <c r="Z40" i="195"/>
  <c r="Z23" i="195"/>
  <c r="Z47" i="195"/>
  <c r="Z42" i="195"/>
  <c r="Z55" i="195"/>
  <c r="Z14" i="195"/>
  <c r="Z28" i="195"/>
  <c r="Z37" i="195"/>
  <c r="Z49" i="195"/>
  <c r="Z63" i="195"/>
  <c r="Z75" i="195"/>
  <c r="Z87" i="195"/>
  <c r="Z70" i="195"/>
  <c r="Z82" i="195"/>
  <c r="Z65" i="195"/>
  <c r="Z77" i="195"/>
  <c r="Z60" i="195"/>
  <c r="Z72" i="195"/>
  <c r="Z84" i="195"/>
  <c r="Z67" i="195"/>
  <c r="Z79" i="195"/>
  <c r="Z62" i="195"/>
  <c r="Z74" i="195"/>
  <c r="Z86" i="195"/>
  <c r="Z69" i="195"/>
  <c r="Z81" i="195"/>
  <c r="Z53" i="195"/>
  <c r="Z64" i="195"/>
  <c r="Z76" i="195"/>
  <c r="Z88" i="195"/>
  <c r="Z59" i="195"/>
  <c r="Z71" i="195"/>
  <c r="Z83" i="195"/>
  <c r="Z66" i="195"/>
  <c r="Z78" i="195"/>
  <c r="Z61" i="195"/>
  <c r="Z73" i="195"/>
  <c r="Z85" i="195"/>
  <c r="Z93" i="195"/>
  <c r="Z105" i="195"/>
  <c r="Z117" i="195"/>
  <c r="Z100" i="195"/>
  <c r="Z112" i="195"/>
  <c r="Z95" i="195"/>
  <c r="Z107" i="195"/>
  <c r="Z56" i="195"/>
  <c r="Z80" i="195"/>
  <c r="Z90" i="195"/>
  <c r="Z102" i="195"/>
  <c r="Z114" i="195"/>
  <c r="Z97" i="195"/>
  <c r="Z109" i="195"/>
  <c r="Z92" i="195"/>
  <c r="Z104" i="195"/>
  <c r="Z116" i="195"/>
  <c r="Z99" i="195"/>
  <c r="Z111" i="195"/>
  <c r="Z94" i="195"/>
  <c r="Z106" i="195"/>
  <c r="Z118" i="195"/>
  <c r="Z68" i="195"/>
  <c r="Z89" i="195"/>
  <c r="Z101" i="195"/>
  <c r="Z113" i="195"/>
  <c r="Z96" i="195"/>
  <c r="Z108" i="195"/>
  <c r="Z91" i="195"/>
  <c r="Z103" i="195"/>
  <c r="Z115" i="195"/>
  <c r="Z128" i="195"/>
  <c r="Z140" i="195"/>
  <c r="Z123" i="195"/>
  <c r="Z135" i="195"/>
  <c r="Z147" i="195"/>
  <c r="Z130" i="195"/>
  <c r="Z142" i="195"/>
  <c r="Z125" i="195"/>
  <c r="Z137" i="195"/>
  <c r="Z110" i="195"/>
  <c r="Z120" i="195"/>
  <c r="Z132" i="195"/>
  <c r="Z144" i="195"/>
  <c r="Z127" i="195"/>
  <c r="Z139" i="195"/>
  <c r="Z122" i="195"/>
  <c r="Z134" i="195"/>
  <c r="Z146" i="195"/>
  <c r="Z129" i="195"/>
  <c r="Z141" i="195"/>
  <c r="Z124" i="195"/>
  <c r="Z136" i="195"/>
  <c r="Z98" i="195"/>
  <c r="Z119" i="195"/>
  <c r="Z131" i="195"/>
  <c r="Z143" i="195"/>
  <c r="Z126" i="195"/>
  <c r="Z138" i="195"/>
  <c r="Z121" i="195"/>
  <c r="Z133" i="195"/>
  <c r="Z145" i="195"/>
  <c r="Z150" i="195"/>
  <c r="Z162" i="195"/>
  <c r="Z167" i="195"/>
  <c r="Z148" i="195"/>
  <c r="Z157" i="195"/>
  <c r="Z169" i="195"/>
  <c r="Z152" i="195"/>
  <c r="Z164" i="195"/>
  <c r="Z155" i="195"/>
  <c r="Z159" i="195"/>
  <c r="Z171" i="195"/>
  <c r="Z3" i="195"/>
  <c r="Z154" i="195"/>
  <c r="Z166" i="195"/>
  <c r="Z149" i="195"/>
  <c r="Z161" i="195"/>
  <c r="Z173" i="195"/>
  <c r="Z156" i="195"/>
  <c r="Z168" i="195"/>
  <c r="Z151" i="195"/>
  <c r="Z163" i="195"/>
  <c r="Z158" i="195"/>
  <c r="Z170" i="195"/>
  <c r="Z153" i="195"/>
  <c r="Z165" i="195"/>
  <c r="Z160" i="195"/>
  <c r="Z172" i="195"/>
  <c r="F171" i="193"/>
  <c r="F172" i="193"/>
  <c r="Z175" i="195"/>
  <c r="Z174" i="195"/>
  <c r="Z177" i="195"/>
  <c r="AA1" i="195"/>
  <c r="AA52" i="195" s="1"/>
  <c r="Z176" i="195"/>
  <c r="F78" i="193"/>
  <c r="F73" i="193"/>
  <c r="F68" i="193"/>
  <c r="F75" i="193"/>
  <c r="F70" i="193"/>
  <c r="F72" i="193"/>
  <c r="F84" i="193"/>
  <c r="F74" i="193"/>
  <c r="F86" i="193"/>
  <c r="F98" i="193"/>
  <c r="F69" i="193"/>
  <c r="F81" i="193"/>
  <c r="F93" i="193"/>
  <c r="F76" i="193"/>
  <c r="F88" i="193"/>
  <c r="F100" i="193"/>
  <c r="F71" i="193"/>
  <c r="F89" i="193"/>
  <c r="F102" i="193"/>
  <c r="F87" i="193"/>
  <c r="F77" i="193"/>
  <c r="F79" i="193"/>
  <c r="F111" i="193"/>
  <c r="F80" i="193"/>
  <c r="F83" i="193"/>
  <c r="F106" i="193"/>
  <c r="F108" i="193"/>
  <c r="F121" i="193"/>
  <c r="F104" i="193"/>
  <c r="F105" i="193"/>
  <c r="F109" i="193"/>
  <c r="F123" i="193"/>
  <c r="F92" i="193"/>
  <c r="F90" i="193"/>
  <c r="F95" i="193"/>
  <c r="F112" i="193"/>
  <c r="F117" i="193"/>
  <c r="F94" i="193"/>
  <c r="F85" i="193"/>
  <c r="F107" i="193"/>
  <c r="F110" i="193"/>
  <c r="F125" i="193"/>
  <c r="F101" i="193"/>
  <c r="F91" i="193"/>
  <c r="F97" i="193"/>
  <c r="F99" i="193"/>
  <c r="F134" i="193"/>
  <c r="F113" i="193"/>
  <c r="F129" i="193"/>
  <c r="F96" i="193"/>
  <c r="F103" i="193"/>
  <c r="F119" i="193"/>
  <c r="F131" i="193"/>
  <c r="F118" i="193"/>
  <c r="F122" i="193"/>
  <c r="F82" i="193"/>
  <c r="F127" i="193"/>
  <c r="F135" i="193"/>
  <c r="F120" i="193"/>
  <c r="F124" i="193"/>
  <c r="F114" i="193"/>
  <c r="F128" i="193"/>
  <c r="F147" i="193"/>
  <c r="F115" i="193"/>
  <c r="F116" i="193"/>
  <c r="F132" i="193"/>
  <c r="F137" i="193"/>
  <c r="F142" i="193"/>
  <c r="F133" i="193"/>
  <c r="F140" i="193"/>
  <c r="F149" i="193"/>
  <c r="F138" i="193"/>
  <c r="F144" i="193"/>
  <c r="F145" i="193"/>
  <c r="F157" i="193"/>
  <c r="F143" i="193"/>
  <c r="F136" i="193"/>
  <c r="F150" i="193"/>
  <c r="F141" i="193"/>
  <c r="F151" i="193"/>
  <c r="F154" i="193"/>
  <c r="F166" i="193"/>
  <c r="F139" i="193"/>
  <c r="F152" i="193"/>
  <c r="F163" i="193"/>
  <c r="F38" i="193"/>
  <c r="F50" i="193"/>
  <c r="F130" i="193"/>
  <c r="F158" i="193"/>
  <c r="F170" i="193"/>
  <c r="F126" i="193"/>
  <c r="F153" i="193"/>
  <c r="F165" i="193"/>
  <c r="F40" i="193"/>
  <c r="F52" i="193"/>
  <c r="F146" i="193"/>
  <c r="F148" i="193"/>
  <c r="F155" i="193"/>
  <c r="F168" i="193"/>
  <c r="F43" i="193"/>
  <c r="F44" i="193"/>
  <c r="F161" i="193"/>
  <c r="F167" i="193"/>
  <c r="F67" i="193"/>
  <c r="F45" i="193"/>
  <c r="F39" i="193"/>
  <c r="F51" i="193"/>
  <c r="F159" i="193"/>
  <c r="F37" i="193"/>
  <c r="F46" i="193"/>
  <c r="F55" i="193"/>
  <c r="F160" i="193"/>
  <c r="F36" i="193"/>
  <c r="F57" i="193"/>
  <c r="F156" i="193"/>
  <c r="F162" i="193"/>
  <c r="F164" i="193"/>
  <c r="F41" i="193"/>
  <c r="F169" i="193"/>
  <c r="F42" i="193"/>
  <c r="F48" i="193"/>
  <c r="F59" i="193"/>
  <c r="F47" i="193"/>
  <c r="F54" i="193"/>
  <c r="F62" i="193"/>
  <c r="F35" i="193"/>
  <c r="F5" i="193"/>
  <c r="F17" i="193"/>
  <c r="F53" i="193"/>
  <c r="F63" i="193"/>
  <c r="F12" i="193"/>
  <c r="F7" i="193"/>
  <c r="F19" i="193"/>
  <c r="F49" i="193"/>
  <c r="F65" i="193"/>
  <c r="F9" i="193"/>
  <c r="F21" i="193"/>
  <c r="F4" i="193"/>
  <c r="F16" i="193"/>
  <c r="F60" i="193"/>
  <c r="F61" i="193"/>
  <c r="F6" i="193"/>
  <c r="F58" i="193"/>
  <c r="F64" i="193"/>
  <c r="F13" i="193"/>
  <c r="F25" i="193"/>
  <c r="F24" i="193"/>
  <c r="F30" i="193"/>
  <c r="F56" i="193"/>
  <c r="F10" i="193"/>
  <c r="F8" i="193"/>
  <c r="F14" i="193"/>
  <c r="F28" i="193"/>
  <c r="F3" i="193"/>
  <c r="F22" i="193"/>
  <c r="F15" i="193"/>
  <c r="F23" i="193"/>
  <c r="F26" i="193"/>
  <c r="F11" i="193"/>
  <c r="F29" i="193"/>
  <c r="F18" i="193"/>
  <c r="F20" i="193"/>
  <c r="F27" i="193"/>
  <c r="F173" i="193"/>
  <c r="F175" i="193"/>
  <c r="F174" i="193"/>
  <c r="F176" i="193"/>
  <c r="F66" i="193"/>
  <c r="F34" i="193"/>
  <c r="F31" i="193"/>
  <c r="F33" i="193"/>
  <c r="F32" i="193"/>
  <c r="G1" i="193"/>
  <c r="F81" i="190"/>
  <c r="T81" i="190" s="1"/>
  <c r="F80" i="190"/>
  <c r="T80" i="190" s="1"/>
  <c r="AA9" i="195" l="1"/>
  <c r="AA21" i="195"/>
  <c r="AA6" i="195"/>
  <c r="AA18" i="195"/>
  <c r="AA30" i="195"/>
  <c r="AA13" i="195"/>
  <c r="AA25" i="195"/>
  <c r="AA8" i="195"/>
  <c r="AA20" i="195"/>
  <c r="AA32" i="195"/>
  <c r="AA15" i="195"/>
  <c r="AA27" i="195"/>
  <c r="AA10" i="195"/>
  <c r="AA22" i="195"/>
  <c r="AA34" i="195"/>
  <c r="AA5" i="195"/>
  <c r="AA17" i="195"/>
  <c r="AA29" i="195"/>
  <c r="AA12" i="195"/>
  <c r="AA24" i="195"/>
  <c r="AA36" i="195"/>
  <c r="AA14" i="195"/>
  <c r="AA28" i="195"/>
  <c r="AA37" i="195"/>
  <c r="AA49" i="195"/>
  <c r="AA31" i="195"/>
  <c r="AA44" i="195"/>
  <c r="AA57" i="195"/>
  <c r="AA39" i="195"/>
  <c r="AA51" i="195"/>
  <c r="AA19" i="195"/>
  <c r="AA46" i="195"/>
  <c r="AA33" i="195"/>
  <c r="AA41" i="195"/>
  <c r="AA54" i="195"/>
  <c r="AA4" i="195"/>
  <c r="AA48" i="195"/>
  <c r="AA11" i="195"/>
  <c r="AA43" i="195"/>
  <c r="AA35" i="195"/>
  <c r="AA38" i="195"/>
  <c r="AA50" i="195"/>
  <c r="AA45" i="195"/>
  <c r="AA16" i="195"/>
  <c r="AA26" i="195"/>
  <c r="AA40" i="195"/>
  <c r="AA53" i="195"/>
  <c r="AA23" i="195"/>
  <c r="AA47" i="195"/>
  <c r="AA7" i="195"/>
  <c r="AA42" i="195"/>
  <c r="AA56" i="195"/>
  <c r="AA68" i="195"/>
  <c r="AA80" i="195"/>
  <c r="AA55" i="195"/>
  <c r="AA63" i="195"/>
  <c r="AA75" i="195"/>
  <c r="AA87" i="195"/>
  <c r="AA58" i="195"/>
  <c r="AA70" i="195"/>
  <c r="AA82" i="195"/>
  <c r="AA65" i="195"/>
  <c r="AA77" i="195"/>
  <c r="AA60" i="195"/>
  <c r="AA72" i="195"/>
  <c r="AA84" i="195"/>
  <c r="AA67" i="195"/>
  <c r="AA79" i="195"/>
  <c r="AA62" i="195"/>
  <c r="AA74" i="195"/>
  <c r="AA69" i="195"/>
  <c r="AA81" i="195"/>
  <c r="AA64" i="195"/>
  <c r="AA76" i="195"/>
  <c r="AA59" i="195"/>
  <c r="AA71" i="195"/>
  <c r="AA83" i="195"/>
  <c r="AA66" i="195"/>
  <c r="AA78" i="195"/>
  <c r="AA88" i="195"/>
  <c r="AA98" i="195"/>
  <c r="AA110" i="195"/>
  <c r="AA93" i="195"/>
  <c r="AA105" i="195"/>
  <c r="AA117" i="195"/>
  <c r="AA61" i="195"/>
  <c r="AA100" i="195"/>
  <c r="AA112" i="195"/>
  <c r="AA95" i="195"/>
  <c r="AA107" i="195"/>
  <c r="AA85" i="195"/>
  <c r="AA90" i="195"/>
  <c r="AA102" i="195"/>
  <c r="AA114" i="195"/>
  <c r="AA97" i="195"/>
  <c r="AA109" i="195"/>
  <c r="AA92" i="195"/>
  <c r="AA104" i="195"/>
  <c r="AA116" i="195"/>
  <c r="AA99" i="195"/>
  <c r="AA111" i="195"/>
  <c r="AA86" i="195"/>
  <c r="AA94" i="195"/>
  <c r="AA106" i="195"/>
  <c r="AA73" i="195"/>
  <c r="AA89" i="195"/>
  <c r="AA101" i="195"/>
  <c r="AA113" i="195"/>
  <c r="AA96" i="195"/>
  <c r="AA108" i="195"/>
  <c r="AA121" i="195"/>
  <c r="AA133" i="195"/>
  <c r="AA145" i="195"/>
  <c r="AA128" i="195"/>
  <c r="AA140" i="195"/>
  <c r="AA123" i="195"/>
  <c r="AA135" i="195"/>
  <c r="AA147" i="195"/>
  <c r="AA91" i="195"/>
  <c r="AA130" i="195"/>
  <c r="AA142" i="195"/>
  <c r="AA125" i="195"/>
  <c r="AA137" i="195"/>
  <c r="AA115" i="195"/>
  <c r="AA118" i="195"/>
  <c r="AA120" i="195"/>
  <c r="AA132" i="195"/>
  <c r="AA144" i="195"/>
  <c r="AA127" i="195"/>
  <c r="AA139" i="195"/>
  <c r="AA122" i="195"/>
  <c r="AA134" i="195"/>
  <c r="AA146" i="195"/>
  <c r="AA129" i="195"/>
  <c r="AA141" i="195"/>
  <c r="AA124" i="195"/>
  <c r="AA136" i="195"/>
  <c r="AA103" i="195"/>
  <c r="AA119" i="195"/>
  <c r="AA131" i="195"/>
  <c r="AA143" i="195"/>
  <c r="AA126" i="195"/>
  <c r="AA138" i="195"/>
  <c r="AA155" i="195"/>
  <c r="AA167" i="195"/>
  <c r="AA3" i="195"/>
  <c r="AA150" i="195"/>
  <c r="AA162" i="195"/>
  <c r="AA148" i="195"/>
  <c r="AA157" i="195"/>
  <c r="AA169" i="195"/>
  <c r="AA152" i="195"/>
  <c r="AA164" i="195"/>
  <c r="AA159" i="195"/>
  <c r="AA171" i="195"/>
  <c r="AA154" i="195"/>
  <c r="AA166" i="195"/>
  <c r="AA160" i="195"/>
  <c r="AA149" i="195"/>
  <c r="AA161" i="195"/>
  <c r="AA173" i="195"/>
  <c r="AA156" i="195"/>
  <c r="AA168" i="195"/>
  <c r="AA151" i="195"/>
  <c r="AA163" i="195"/>
  <c r="AA158" i="195"/>
  <c r="AA170" i="195"/>
  <c r="AA153" i="195"/>
  <c r="AA165" i="195"/>
  <c r="AA172" i="195"/>
  <c r="G171" i="193"/>
  <c r="G172" i="193"/>
  <c r="AA176" i="195"/>
  <c r="AA175" i="195"/>
  <c r="AB1" i="195"/>
  <c r="AB52" i="195" s="1"/>
  <c r="AA177" i="195"/>
  <c r="AA174" i="195"/>
  <c r="G71" i="193"/>
  <c r="G83" i="193"/>
  <c r="G73" i="193"/>
  <c r="G68" i="193"/>
  <c r="G70" i="193"/>
  <c r="G77" i="193"/>
  <c r="G72" i="193"/>
  <c r="G79" i="193"/>
  <c r="G91" i="193"/>
  <c r="G74" i="193"/>
  <c r="G86" i="193"/>
  <c r="G69" i="193"/>
  <c r="G81" i="193"/>
  <c r="G93" i="193"/>
  <c r="G85" i="193"/>
  <c r="G88" i="193"/>
  <c r="G99" i="193"/>
  <c r="G107" i="193"/>
  <c r="G89" i="193"/>
  <c r="G100" i="193"/>
  <c r="G102" i="193"/>
  <c r="G75" i="193"/>
  <c r="G104" i="193"/>
  <c r="G78" i="193"/>
  <c r="G82" i="193"/>
  <c r="G84" i="193"/>
  <c r="G116" i="193"/>
  <c r="G94" i="193"/>
  <c r="G101" i="193"/>
  <c r="G110" i="193"/>
  <c r="G87" i="193"/>
  <c r="G92" i="193"/>
  <c r="G98" i="193"/>
  <c r="G115" i="193"/>
  <c r="G80" i="193"/>
  <c r="G106" i="193"/>
  <c r="G121" i="193"/>
  <c r="G128" i="193"/>
  <c r="G114" i="193"/>
  <c r="G122" i="193"/>
  <c r="G76" i="193"/>
  <c r="G127" i="193"/>
  <c r="G90" i="193"/>
  <c r="G97" i="193"/>
  <c r="G95" i="193"/>
  <c r="G96" i="193"/>
  <c r="G103" i="193"/>
  <c r="G118" i="193"/>
  <c r="G124" i="193"/>
  <c r="G136" i="193"/>
  <c r="G111" i="193"/>
  <c r="G105" i="193"/>
  <c r="G125" i="193"/>
  <c r="G138" i="193"/>
  <c r="G119" i="193"/>
  <c r="G123" i="193"/>
  <c r="G109" i="193"/>
  <c r="G120" i="193"/>
  <c r="G108" i="193"/>
  <c r="G126" i="193"/>
  <c r="G113" i="193"/>
  <c r="G147" i="193"/>
  <c r="G132" i="193"/>
  <c r="G137" i="193"/>
  <c r="G142" i="193"/>
  <c r="G131" i="193"/>
  <c r="G135" i="193"/>
  <c r="G146" i="193"/>
  <c r="G148" i="193"/>
  <c r="G155" i="193"/>
  <c r="G144" i="193"/>
  <c r="G149" i="193"/>
  <c r="G162" i="193"/>
  <c r="G145" i="193"/>
  <c r="G157" i="193"/>
  <c r="G143" i="193"/>
  <c r="G150" i="193"/>
  <c r="G159" i="193"/>
  <c r="G133" i="193"/>
  <c r="G141" i="193"/>
  <c r="G151" i="193"/>
  <c r="G154" i="193"/>
  <c r="G156" i="193"/>
  <c r="G168" i="193"/>
  <c r="G43" i="193"/>
  <c r="G152" i="193"/>
  <c r="G163" i="193"/>
  <c r="G38" i="193"/>
  <c r="G130" i="193"/>
  <c r="G134" i="193"/>
  <c r="G140" i="193"/>
  <c r="G158" i="193"/>
  <c r="G170" i="193"/>
  <c r="G45" i="193"/>
  <c r="G153" i="193"/>
  <c r="G117" i="193"/>
  <c r="G112" i="193"/>
  <c r="G49" i="193"/>
  <c r="G67" i="193"/>
  <c r="G165" i="193"/>
  <c r="G44" i="193"/>
  <c r="G161" i="193"/>
  <c r="G167" i="193"/>
  <c r="G129" i="193"/>
  <c r="G139" i="193"/>
  <c r="G39" i="193"/>
  <c r="G51" i="193"/>
  <c r="G60" i="193"/>
  <c r="G37" i="193"/>
  <c r="G40" i="193"/>
  <c r="G47" i="193"/>
  <c r="G62" i="193"/>
  <c r="G160" i="193"/>
  <c r="G36" i="193"/>
  <c r="G164" i="193"/>
  <c r="G166" i="193"/>
  <c r="G41" i="193"/>
  <c r="G52" i="193"/>
  <c r="G56" i="193"/>
  <c r="G8" i="193"/>
  <c r="G54" i="193"/>
  <c r="G55" i="193"/>
  <c r="G35" i="193"/>
  <c r="G10" i="193"/>
  <c r="G5" i="193"/>
  <c r="G50" i="193"/>
  <c r="G53" i="193"/>
  <c r="G63" i="193"/>
  <c r="G12" i="193"/>
  <c r="G42" i="193"/>
  <c r="G7" i="193"/>
  <c r="G46" i="193"/>
  <c r="G65" i="193"/>
  <c r="G14" i="193"/>
  <c r="G9" i="193"/>
  <c r="G21" i="193"/>
  <c r="G4" i="193"/>
  <c r="G169" i="193"/>
  <c r="G48" i="193"/>
  <c r="G59" i="193"/>
  <c r="G11" i="193"/>
  <c r="G61" i="193"/>
  <c r="G6" i="193"/>
  <c r="G18" i="193"/>
  <c r="G30" i="193"/>
  <c r="G16" i="193"/>
  <c r="G20" i="193"/>
  <c r="G24" i="193"/>
  <c r="G27" i="193"/>
  <c r="G13" i="193"/>
  <c r="G25" i="193"/>
  <c r="G57" i="193"/>
  <c r="G17" i="193"/>
  <c r="G19" i="193"/>
  <c r="G28" i="193"/>
  <c r="G3" i="193"/>
  <c r="G29" i="193"/>
  <c r="G58" i="193"/>
  <c r="G22" i="193"/>
  <c r="G64" i="193"/>
  <c r="G15" i="193"/>
  <c r="G23" i="193"/>
  <c r="G26" i="193"/>
  <c r="G176" i="193"/>
  <c r="G174" i="193"/>
  <c r="G173" i="193"/>
  <c r="G175" i="193"/>
  <c r="G33" i="193"/>
  <c r="G66" i="193"/>
  <c r="G34" i="193"/>
  <c r="G32" i="193"/>
  <c r="H1" i="193"/>
  <c r="G31" i="193"/>
  <c r="T55" i="190"/>
  <c r="T56" i="190"/>
  <c r="T57" i="190"/>
  <c r="AB14" i="195" l="1"/>
  <c r="AB11" i="195"/>
  <c r="AB23" i="195"/>
  <c r="AB35" i="195"/>
  <c r="AB6" i="195"/>
  <c r="AB18" i="195"/>
  <c r="AB30" i="195"/>
  <c r="AB13" i="195"/>
  <c r="AB25" i="195"/>
  <c r="AB8" i="195"/>
  <c r="AB20" i="195"/>
  <c r="AB32" i="195"/>
  <c r="AB15" i="195"/>
  <c r="AB27" i="195"/>
  <c r="AB10" i="195"/>
  <c r="AB22" i="195"/>
  <c r="AB34" i="195"/>
  <c r="AB5" i="195"/>
  <c r="AB17" i="195"/>
  <c r="AB29" i="195"/>
  <c r="AB7" i="195"/>
  <c r="AB42" i="195"/>
  <c r="AB55" i="195"/>
  <c r="AB21" i="195"/>
  <c r="AB28" i="195"/>
  <c r="AB37" i="195"/>
  <c r="AB49" i="195"/>
  <c r="AB31" i="195"/>
  <c r="AB44" i="195"/>
  <c r="AB57" i="195"/>
  <c r="AB12" i="195"/>
  <c r="AB39" i="195"/>
  <c r="AB51" i="195"/>
  <c r="AB19" i="195"/>
  <c r="AB46" i="195"/>
  <c r="AB33" i="195"/>
  <c r="AB41" i="195"/>
  <c r="AB54" i="195"/>
  <c r="AB4" i="195"/>
  <c r="AB36" i="195"/>
  <c r="AB48" i="195"/>
  <c r="AB24" i="195"/>
  <c r="AB43" i="195"/>
  <c r="AB56" i="195"/>
  <c r="AB38" i="195"/>
  <c r="AB50" i="195"/>
  <c r="AB9" i="195"/>
  <c r="AB45" i="195"/>
  <c r="AB16" i="195"/>
  <c r="AB26" i="195"/>
  <c r="AB40" i="195"/>
  <c r="AB53" i="195"/>
  <c r="AB47" i="195"/>
  <c r="AB61" i="195"/>
  <c r="AB73" i="195"/>
  <c r="AB85" i="195"/>
  <c r="AB68" i="195"/>
  <c r="AB80" i="195"/>
  <c r="AB63" i="195"/>
  <c r="AB75" i="195"/>
  <c r="AB87" i="195"/>
  <c r="AB58" i="195"/>
  <c r="AB70" i="195"/>
  <c r="AB82" i="195"/>
  <c r="AB65" i="195"/>
  <c r="AB77" i="195"/>
  <c r="AB60" i="195"/>
  <c r="AB72" i="195"/>
  <c r="AB84" i="195"/>
  <c r="AB67" i="195"/>
  <c r="AB79" i="195"/>
  <c r="AB62" i="195"/>
  <c r="AB74" i="195"/>
  <c r="AB86" i="195"/>
  <c r="AB69" i="195"/>
  <c r="AB81" i="195"/>
  <c r="AB64" i="195"/>
  <c r="AB76" i="195"/>
  <c r="AB88" i="195"/>
  <c r="AB59" i="195"/>
  <c r="AB71" i="195"/>
  <c r="AB83" i="195"/>
  <c r="AB91" i="195"/>
  <c r="AB103" i="195"/>
  <c r="AB115" i="195"/>
  <c r="AB98" i="195"/>
  <c r="AB110" i="195"/>
  <c r="AB93" i="195"/>
  <c r="AB105" i="195"/>
  <c r="AB117" i="195"/>
  <c r="AB66" i="195"/>
  <c r="AB100" i="195"/>
  <c r="AB112" i="195"/>
  <c r="AB95" i="195"/>
  <c r="AB107" i="195"/>
  <c r="AB90" i="195"/>
  <c r="AB102" i="195"/>
  <c r="AB114" i="195"/>
  <c r="AB97" i="195"/>
  <c r="AB109" i="195"/>
  <c r="AB92" i="195"/>
  <c r="AB104" i="195"/>
  <c r="AB116" i="195"/>
  <c r="AB99" i="195"/>
  <c r="AB111" i="195"/>
  <c r="AB94" i="195"/>
  <c r="AB106" i="195"/>
  <c r="AB78" i="195"/>
  <c r="AB89" i="195"/>
  <c r="AB101" i="195"/>
  <c r="AB113" i="195"/>
  <c r="AB126" i="195"/>
  <c r="AB138" i="195"/>
  <c r="AB121" i="195"/>
  <c r="AB133" i="195"/>
  <c r="AB145" i="195"/>
  <c r="AB128" i="195"/>
  <c r="AB140" i="195"/>
  <c r="AB123" i="195"/>
  <c r="AB135" i="195"/>
  <c r="AB147" i="195"/>
  <c r="AB96" i="195"/>
  <c r="AB130" i="195"/>
  <c r="AB142" i="195"/>
  <c r="AB125" i="195"/>
  <c r="AB137" i="195"/>
  <c r="AB118" i="195"/>
  <c r="AB120" i="195"/>
  <c r="AB132" i="195"/>
  <c r="AB144" i="195"/>
  <c r="AB127" i="195"/>
  <c r="AB139" i="195"/>
  <c r="AB122" i="195"/>
  <c r="AB134" i="195"/>
  <c r="AB129" i="195"/>
  <c r="AB141" i="195"/>
  <c r="AB124" i="195"/>
  <c r="AB136" i="195"/>
  <c r="AB148" i="195"/>
  <c r="AB108" i="195"/>
  <c r="AB119" i="195"/>
  <c r="AB131" i="195"/>
  <c r="AB143" i="195"/>
  <c r="AB160" i="195"/>
  <c r="AB172" i="195"/>
  <c r="AB155" i="195"/>
  <c r="AB167" i="195"/>
  <c r="AB3" i="195"/>
  <c r="AB146" i="195"/>
  <c r="AB150" i="195"/>
  <c r="AB162" i="195"/>
  <c r="AB157" i="195"/>
  <c r="AB169" i="195"/>
  <c r="AB152" i="195"/>
  <c r="AB164" i="195"/>
  <c r="AB153" i="195"/>
  <c r="AB165" i="195"/>
  <c r="AB159" i="195"/>
  <c r="AB171" i="195"/>
  <c r="AB154" i="195"/>
  <c r="AB166" i="195"/>
  <c r="AB149" i="195"/>
  <c r="AB161" i="195"/>
  <c r="AB173" i="195"/>
  <c r="AB156" i="195"/>
  <c r="AB168" i="195"/>
  <c r="AB151" i="195"/>
  <c r="AB163" i="195"/>
  <c r="AB158" i="195"/>
  <c r="AB170" i="195"/>
  <c r="H172" i="193"/>
  <c r="H171" i="193"/>
  <c r="AB177" i="195"/>
  <c r="AB174" i="195"/>
  <c r="AB175" i="195"/>
  <c r="AB176" i="195"/>
  <c r="AC1" i="195"/>
  <c r="AC52" i="195" s="1"/>
  <c r="H76" i="193"/>
  <c r="H71" i="193"/>
  <c r="H73" i="193"/>
  <c r="H68" i="193"/>
  <c r="H75" i="193"/>
  <c r="H70" i="193"/>
  <c r="H82" i="193"/>
  <c r="H72" i="193"/>
  <c r="H84" i="193"/>
  <c r="H96" i="193"/>
  <c r="H79" i="193"/>
  <c r="H91" i="193"/>
  <c r="H74" i="193"/>
  <c r="H86" i="193"/>
  <c r="H98" i="193"/>
  <c r="H69" i="193"/>
  <c r="H90" i="193"/>
  <c r="H112" i="193"/>
  <c r="H88" i="193"/>
  <c r="H99" i="193"/>
  <c r="H107" i="193"/>
  <c r="H81" i="193"/>
  <c r="H83" i="193"/>
  <c r="H87" i="193"/>
  <c r="H109" i="193"/>
  <c r="H80" i="193"/>
  <c r="H85" i="193"/>
  <c r="H113" i="193"/>
  <c r="H119" i="193"/>
  <c r="H89" i="193"/>
  <c r="H106" i="193"/>
  <c r="H108" i="193"/>
  <c r="H121" i="193"/>
  <c r="H102" i="193"/>
  <c r="H103" i="193"/>
  <c r="H94" i="193"/>
  <c r="H101" i="193"/>
  <c r="H100" i="193"/>
  <c r="H105" i="193"/>
  <c r="H115" i="193"/>
  <c r="H78" i="193"/>
  <c r="H93" i="193"/>
  <c r="H92" i="193"/>
  <c r="H132" i="193"/>
  <c r="H127" i="193"/>
  <c r="H97" i="193"/>
  <c r="H77" i="193"/>
  <c r="H111" i="193"/>
  <c r="H129" i="193"/>
  <c r="H141" i="193"/>
  <c r="H117" i="193"/>
  <c r="H118" i="193"/>
  <c r="H122" i="193"/>
  <c r="H134" i="193"/>
  <c r="H110" i="193"/>
  <c r="H125" i="193"/>
  <c r="H123" i="193"/>
  <c r="H135" i="193"/>
  <c r="H120" i="193"/>
  <c r="H124" i="193"/>
  <c r="H131" i="193"/>
  <c r="H139" i="193"/>
  <c r="H145" i="193"/>
  <c r="H114" i="193"/>
  <c r="H126" i="193"/>
  <c r="H128" i="193"/>
  <c r="H152" i="193"/>
  <c r="H104" i="193"/>
  <c r="H116" i="193"/>
  <c r="H147" i="193"/>
  <c r="H95" i="193"/>
  <c r="H138" i="193"/>
  <c r="H146" i="193"/>
  <c r="H148" i="193"/>
  <c r="H155" i="193"/>
  <c r="H167" i="193"/>
  <c r="H144" i="193"/>
  <c r="H149" i="193"/>
  <c r="H142" i="193"/>
  <c r="H157" i="193"/>
  <c r="H136" i="193"/>
  <c r="H143" i="193"/>
  <c r="H164" i="193"/>
  <c r="H150" i="193"/>
  <c r="H159" i="193"/>
  <c r="H161" i="193"/>
  <c r="H36" i="193"/>
  <c r="H48" i="193"/>
  <c r="H137" i="193"/>
  <c r="H156" i="193"/>
  <c r="H168" i="193"/>
  <c r="H163" i="193"/>
  <c r="H38" i="193"/>
  <c r="H50" i="193"/>
  <c r="H130" i="193"/>
  <c r="H140" i="193"/>
  <c r="H153" i="193"/>
  <c r="H154" i="193"/>
  <c r="H169" i="193"/>
  <c r="H42" i="193"/>
  <c r="H67" i="193"/>
  <c r="H43" i="193"/>
  <c r="H165" i="193"/>
  <c r="H44" i="193"/>
  <c r="H151" i="193"/>
  <c r="H45" i="193"/>
  <c r="H53" i="193"/>
  <c r="H39" i="193"/>
  <c r="H37" i="193"/>
  <c r="H40" i="193"/>
  <c r="H46" i="193"/>
  <c r="H55" i="193"/>
  <c r="H158" i="193"/>
  <c r="H47" i="193"/>
  <c r="H133" i="193"/>
  <c r="H160" i="193"/>
  <c r="H162" i="193"/>
  <c r="H170" i="193"/>
  <c r="H57" i="193"/>
  <c r="H58" i="193"/>
  <c r="H64" i="193"/>
  <c r="H35" i="193"/>
  <c r="H56" i="193"/>
  <c r="H62" i="193"/>
  <c r="H54" i="193"/>
  <c r="H15" i="193"/>
  <c r="H41" i="193"/>
  <c r="H10" i="193"/>
  <c r="H166" i="193"/>
  <c r="H51" i="193"/>
  <c r="H5" i="193"/>
  <c r="H17" i="193"/>
  <c r="H63" i="193"/>
  <c r="H12" i="193"/>
  <c r="H49" i="193"/>
  <c r="H7" i="193"/>
  <c r="H19" i="193"/>
  <c r="H65" i="193"/>
  <c r="H14" i="193"/>
  <c r="H52" i="193"/>
  <c r="H9" i="193"/>
  <c r="H4" i="193"/>
  <c r="H59" i="193"/>
  <c r="H60" i="193"/>
  <c r="H11" i="193"/>
  <c r="H23" i="193"/>
  <c r="H18" i="193"/>
  <c r="H29" i="193"/>
  <c r="H16" i="193"/>
  <c r="H20" i="193"/>
  <c r="H61" i="193"/>
  <c r="H24" i="193"/>
  <c r="H27" i="193"/>
  <c r="H13" i="193"/>
  <c r="H8" i="193"/>
  <c r="H25" i="193"/>
  <c r="H28" i="193"/>
  <c r="H3" i="193"/>
  <c r="H21" i="193"/>
  <c r="H22" i="193"/>
  <c r="H26" i="193"/>
  <c r="H6" i="193"/>
  <c r="H30" i="193"/>
  <c r="H173" i="193"/>
  <c r="H175" i="193"/>
  <c r="H176" i="193"/>
  <c r="H174" i="193"/>
  <c r="H66" i="193"/>
  <c r="H32" i="193"/>
  <c r="H33" i="193"/>
  <c r="H34" i="193"/>
  <c r="H31" i="193"/>
  <c r="I1" i="193"/>
  <c r="T47" i="190"/>
  <c r="T65" i="190"/>
  <c r="AC7" i="195" l="1"/>
  <c r="AC19" i="195"/>
  <c r="AC4" i="195"/>
  <c r="AC16" i="195"/>
  <c r="AC28" i="195"/>
  <c r="AC11" i="195"/>
  <c r="AC23" i="195"/>
  <c r="AC35" i="195"/>
  <c r="AC6" i="195"/>
  <c r="AC18" i="195"/>
  <c r="AC30" i="195"/>
  <c r="AC13" i="195"/>
  <c r="AC25" i="195"/>
  <c r="AC8" i="195"/>
  <c r="AC20" i="195"/>
  <c r="AC32" i="195"/>
  <c r="AC15" i="195"/>
  <c r="AC27" i="195"/>
  <c r="AC10" i="195"/>
  <c r="AC22" i="195"/>
  <c r="AC34" i="195"/>
  <c r="AC29" i="195"/>
  <c r="AC47" i="195"/>
  <c r="AC14" i="195"/>
  <c r="AC42" i="195"/>
  <c r="AC55" i="195"/>
  <c r="AC21" i="195"/>
  <c r="AC37" i="195"/>
  <c r="AC49" i="195"/>
  <c r="AC5" i="195"/>
  <c r="AC31" i="195"/>
  <c r="AC44" i="195"/>
  <c r="AC12" i="195"/>
  <c r="AC39" i="195"/>
  <c r="AC51" i="195"/>
  <c r="AC46" i="195"/>
  <c r="AC33" i="195"/>
  <c r="AC41" i="195"/>
  <c r="AC17" i="195"/>
  <c r="AC36" i="195"/>
  <c r="AC48" i="195"/>
  <c r="AC24" i="195"/>
  <c r="AC43" i="195"/>
  <c r="AC38" i="195"/>
  <c r="AC50" i="195"/>
  <c r="AC9" i="195"/>
  <c r="AC45" i="195"/>
  <c r="AC26" i="195"/>
  <c r="AC40" i="195"/>
  <c r="AC66" i="195"/>
  <c r="AC78" i="195"/>
  <c r="AC56" i="195"/>
  <c r="AC61" i="195"/>
  <c r="AC73" i="195"/>
  <c r="AC85" i="195"/>
  <c r="AC68" i="195"/>
  <c r="AC80" i="195"/>
  <c r="AC54" i="195"/>
  <c r="AC63" i="195"/>
  <c r="AC75" i="195"/>
  <c r="AC87" i="195"/>
  <c r="AC58" i="195"/>
  <c r="AC70" i="195"/>
  <c r="AC82" i="195"/>
  <c r="AC65" i="195"/>
  <c r="AC77" i="195"/>
  <c r="AC57" i="195"/>
  <c r="AC60" i="195"/>
  <c r="AC72" i="195"/>
  <c r="AC84" i="195"/>
  <c r="AC67" i="195"/>
  <c r="AC79" i="195"/>
  <c r="AC53" i="195"/>
  <c r="AC62" i="195"/>
  <c r="AC74" i="195"/>
  <c r="AC69" i="195"/>
  <c r="AC81" i="195"/>
  <c r="AC64" i="195"/>
  <c r="AC76" i="195"/>
  <c r="AC88" i="195"/>
  <c r="AC96" i="195"/>
  <c r="AC108" i="195"/>
  <c r="AC91" i="195"/>
  <c r="AC103" i="195"/>
  <c r="AC115" i="195"/>
  <c r="AC98" i="195"/>
  <c r="AC110" i="195"/>
  <c r="AC93" i="195"/>
  <c r="AC105" i="195"/>
  <c r="AC117" i="195"/>
  <c r="AC71" i="195"/>
  <c r="AC100" i="195"/>
  <c r="AC112" i="195"/>
  <c r="AC95" i="195"/>
  <c r="AC107" i="195"/>
  <c r="AC90" i="195"/>
  <c r="AC102" i="195"/>
  <c r="AC114" i="195"/>
  <c r="AC97" i="195"/>
  <c r="AC109" i="195"/>
  <c r="AC92" i="195"/>
  <c r="AC104" i="195"/>
  <c r="AC116" i="195"/>
  <c r="AC59" i="195"/>
  <c r="AC86" i="195"/>
  <c r="AC99" i="195"/>
  <c r="AC111" i="195"/>
  <c r="AC94" i="195"/>
  <c r="AC106" i="195"/>
  <c r="AC113" i="195"/>
  <c r="AC119" i="195"/>
  <c r="AC131" i="195"/>
  <c r="AC143" i="195"/>
  <c r="AC126" i="195"/>
  <c r="AC138" i="195"/>
  <c r="AC121" i="195"/>
  <c r="AC133" i="195"/>
  <c r="AC145" i="195"/>
  <c r="AC128" i="195"/>
  <c r="AC140" i="195"/>
  <c r="AC123" i="195"/>
  <c r="AC135" i="195"/>
  <c r="AC147" i="195"/>
  <c r="AC101" i="195"/>
  <c r="AC130" i="195"/>
  <c r="AC142" i="195"/>
  <c r="AC83" i="195"/>
  <c r="AC125" i="195"/>
  <c r="AC137" i="195"/>
  <c r="AC118" i="195"/>
  <c r="AC120" i="195"/>
  <c r="AC132" i="195"/>
  <c r="AC144" i="195"/>
  <c r="AC127" i="195"/>
  <c r="AC139" i="195"/>
  <c r="AC122" i="195"/>
  <c r="AC134" i="195"/>
  <c r="AC146" i="195"/>
  <c r="AC89" i="195"/>
  <c r="AC129" i="195"/>
  <c r="AC141" i="195"/>
  <c r="AC124" i="195"/>
  <c r="AC136" i="195"/>
  <c r="AC153" i="195"/>
  <c r="AC165" i="195"/>
  <c r="AC160" i="195"/>
  <c r="AC172" i="195"/>
  <c r="AC155" i="195"/>
  <c r="AC167" i="195"/>
  <c r="AC3" i="195"/>
  <c r="AC148" i="195"/>
  <c r="AC150" i="195"/>
  <c r="AC162" i="195"/>
  <c r="AC158" i="195"/>
  <c r="AC157" i="195"/>
  <c r="AC169" i="195"/>
  <c r="AC152" i="195"/>
  <c r="AC164" i="195"/>
  <c r="AC159" i="195"/>
  <c r="AC171" i="195"/>
  <c r="AC170" i="195"/>
  <c r="AC154" i="195"/>
  <c r="AC166" i="195"/>
  <c r="AC149" i="195"/>
  <c r="AC161" i="195"/>
  <c r="AC173" i="195"/>
  <c r="AC156" i="195"/>
  <c r="AC168" i="195"/>
  <c r="AC151" i="195"/>
  <c r="AC163" i="195"/>
  <c r="I172" i="193"/>
  <c r="I171" i="193"/>
  <c r="AC175" i="195"/>
  <c r="AC174" i="195"/>
  <c r="AC176" i="195"/>
  <c r="AC177" i="195"/>
  <c r="AD1" i="195"/>
  <c r="AD52" i="195" s="1"/>
  <c r="I69" i="193"/>
  <c r="I81" i="193"/>
  <c r="I76" i="193"/>
  <c r="I71" i="193"/>
  <c r="I73" i="193"/>
  <c r="I68" i="193"/>
  <c r="I75" i="193"/>
  <c r="I70" i="193"/>
  <c r="I77" i="193"/>
  <c r="I89" i="193"/>
  <c r="I72" i="193"/>
  <c r="I84" i="193"/>
  <c r="I96" i="193"/>
  <c r="I79" i="193"/>
  <c r="I91" i="193"/>
  <c r="I92" i="193"/>
  <c r="I105" i="193"/>
  <c r="I90" i="193"/>
  <c r="I86" i="193"/>
  <c r="I100" i="193"/>
  <c r="I102" i="193"/>
  <c r="I114" i="193"/>
  <c r="I78" i="193"/>
  <c r="I93" i="193"/>
  <c r="I97" i="193"/>
  <c r="I99" i="193"/>
  <c r="I107" i="193"/>
  <c r="I103" i="193"/>
  <c r="I111" i="193"/>
  <c r="I82" i="193"/>
  <c r="I95" i="193"/>
  <c r="I104" i="193"/>
  <c r="I88" i="193"/>
  <c r="I74" i="193"/>
  <c r="I80" i="193"/>
  <c r="I94" i="193"/>
  <c r="I120" i="193"/>
  <c r="I126" i="193"/>
  <c r="I85" i="193"/>
  <c r="I106" i="193"/>
  <c r="I83" i="193"/>
  <c r="I87" i="193"/>
  <c r="I112" i="193"/>
  <c r="I128" i="193"/>
  <c r="I101" i="193"/>
  <c r="I108" i="193"/>
  <c r="I123" i="193"/>
  <c r="I125" i="193"/>
  <c r="I98" i="193"/>
  <c r="I113" i="193"/>
  <c r="I134" i="193"/>
  <c r="I117" i="193"/>
  <c r="I118" i="193"/>
  <c r="I122" i="193"/>
  <c r="I110" i="193"/>
  <c r="I119" i="193"/>
  <c r="I138" i="193"/>
  <c r="I109" i="193"/>
  <c r="I130" i="193"/>
  <c r="I124" i="193"/>
  <c r="I131" i="193"/>
  <c r="I139" i="193"/>
  <c r="I145" i="193"/>
  <c r="I115" i="193"/>
  <c r="I121" i="193"/>
  <c r="I152" i="193"/>
  <c r="I147" i="193"/>
  <c r="I153" i="193"/>
  <c r="I135" i="193"/>
  <c r="I160" i="193"/>
  <c r="I146" i="193"/>
  <c r="I148" i="193"/>
  <c r="I155" i="193"/>
  <c r="I132" i="193"/>
  <c r="I144" i="193"/>
  <c r="I149" i="193"/>
  <c r="I142" i="193"/>
  <c r="I157" i="193"/>
  <c r="I136" i="193"/>
  <c r="I143" i="193"/>
  <c r="I129" i="193"/>
  <c r="I133" i="193"/>
  <c r="I151" i="193"/>
  <c r="I154" i="193"/>
  <c r="I166" i="193"/>
  <c r="I41" i="193"/>
  <c r="I127" i="193"/>
  <c r="I161" i="193"/>
  <c r="I36" i="193"/>
  <c r="I137" i="193"/>
  <c r="I156" i="193"/>
  <c r="I168" i="193"/>
  <c r="I67" i="193"/>
  <c r="I43" i="193"/>
  <c r="I116" i="193"/>
  <c r="I140" i="193"/>
  <c r="I48" i="193"/>
  <c r="I52" i="193"/>
  <c r="I169" i="193"/>
  <c r="I42" i="193"/>
  <c r="I49" i="193"/>
  <c r="I150" i="193"/>
  <c r="I50" i="193"/>
  <c r="I163" i="193"/>
  <c r="I165" i="193"/>
  <c r="I167" i="193"/>
  <c r="I44" i="193"/>
  <c r="I45" i="193"/>
  <c r="I58" i="193"/>
  <c r="I159" i="193"/>
  <c r="I38" i="193"/>
  <c r="I39" i="193"/>
  <c r="I51" i="193"/>
  <c r="I60" i="193"/>
  <c r="I141" i="193"/>
  <c r="I37" i="193"/>
  <c r="I40" i="193"/>
  <c r="I46" i="193"/>
  <c r="I158" i="193"/>
  <c r="I47" i="193"/>
  <c r="I62" i="193"/>
  <c r="I57" i="193"/>
  <c r="I61" i="193"/>
  <c r="I6" i="193"/>
  <c r="I164" i="193"/>
  <c r="I64" i="193"/>
  <c r="I55" i="193"/>
  <c r="I56" i="193"/>
  <c r="I8" i="193"/>
  <c r="I20" i="193"/>
  <c r="I54" i="193"/>
  <c r="I15" i="193"/>
  <c r="I10" i="193"/>
  <c r="I53" i="193"/>
  <c r="I5" i="193"/>
  <c r="I63" i="193"/>
  <c r="I12" i="193"/>
  <c r="I7" i="193"/>
  <c r="I19" i="193"/>
  <c r="I65" i="193"/>
  <c r="I9" i="193"/>
  <c r="I162" i="193"/>
  <c r="I4" i="193"/>
  <c r="I16" i="193"/>
  <c r="I28" i="193"/>
  <c r="I26" i="193"/>
  <c r="I29" i="193"/>
  <c r="I170" i="193"/>
  <c r="I18" i="193"/>
  <c r="I24" i="193"/>
  <c r="I35" i="193"/>
  <c r="I27" i="193"/>
  <c r="I13" i="193"/>
  <c r="I30" i="193"/>
  <c r="I14" i="193"/>
  <c r="I17" i="193"/>
  <c r="I25" i="193"/>
  <c r="I3" i="193"/>
  <c r="I23" i="193"/>
  <c r="I59" i="193"/>
  <c r="I21" i="193"/>
  <c r="I22" i="193"/>
  <c r="I11" i="193"/>
  <c r="I176" i="193"/>
  <c r="I175" i="193"/>
  <c r="I173" i="193"/>
  <c r="I174" i="193"/>
  <c r="I32" i="193"/>
  <c r="J1" i="193"/>
  <c r="I33" i="193"/>
  <c r="I31" i="193"/>
  <c r="I34" i="193"/>
  <c r="I66" i="193"/>
  <c r="T44" i="190"/>
  <c r="T45" i="190"/>
  <c r="T46" i="190"/>
  <c r="J172" i="193" l="1"/>
  <c r="J171" i="193"/>
  <c r="AD12" i="195"/>
  <c r="AD9" i="195"/>
  <c r="AD21" i="195"/>
  <c r="AD33" i="195"/>
  <c r="AD4" i="195"/>
  <c r="AD16" i="195"/>
  <c r="AD28" i="195"/>
  <c r="AD11" i="195"/>
  <c r="AD23" i="195"/>
  <c r="AD35" i="195"/>
  <c r="AD6" i="195"/>
  <c r="AD18" i="195"/>
  <c r="AD30" i="195"/>
  <c r="AD13" i="195"/>
  <c r="AD25" i="195"/>
  <c r="AD8" i="195"/>
  <c r="AD20" i="195"/>
  <c r="AD32" i="195"/>
  <c r="AD15" i="195"/>
  <c r="AD27" i="195"/>
  <c r="AD26" i="195"/>
  <c r="AD40" i="195"/>
  <c r="AD53" i="195"/>
  <c r="AD7" i="195"/>
  <c r="AD29" i="195"/>
  <c r="AD47" i="195"/>
  <c r="AD14" i="195"/>
  <c r="AD42" i="195"/>
  <c r="AD55" i="195"/>
  <c r="AD37" i="195"/>
  <c r="AD49" i="195"/>
  <c r="AD5" i="195"/>
  <c r="AD31" i="195"/>
  <c r="AD44" i="195"/>
  <c r="AD19" i="195"/>
  <c r="AD34" i="195"/>
  <c r="AD39" i="195"/>
  <c r="AD51" i="195"/>
  <c r="AD46" i="195"/>
  <c r="AD10" i="195"/>
  <c r="AD41" i="195"/>
  <c r="AD54" i="195"/>
  <c r="AD17" i="195"/>
  <c r="AD36" i="195"/>
  <c r="AD48" i="195"/>
  <c r="AD24" i="195"/>
  <c r="AD43" i="195"/>
  <c r="AD38" i="195"/>
  <c r="AD50" i="195"/>
  <c r="AD22" i="195"/>
  <c r="AD45" i="195"/>
  <c r="AD59" i="195"/>
  <c r="AD71" i="195"/>
  <c r="AD83" i="195"/>
  <c r="AD66" i="195"/>
  <c r="AD78" i="195"/>
  <c r="AD56" i="195"/>
  <c r="AD61" i="195"/>
  <c r="AD73" i="195"/>
  <c r="AD85" i="195"/>
  <c r="AD68" i="195"/>
  <c r="AD80" i="195"/>
  <c r="AD63" i="195"/>
  <c r="AD75" i="195"/>
  <c r="AD87" i="195"/>
  <c r="AD58" i="195"/>
  <c r="AD70" i="195"/>
  <c r="AD82" i="195"/>
  <c r="AD65" i="195"/>
  <c r="AD77" i="195"/>
  <c r="AD57" i="195"/>
  <c r="AD60" i="195"/>
  <c r="AD72" i="195"/>
  <c r="AD84" i="195"/>
  <c r="AD67" i="195"/>
  <c r="AD79" i="195"/>
  <c r="AD62" i="195"/>
  <c r="AD74" i="195"/>
  <c r="AD86" i="195"/>
  <c r="AD69" i="195"/>
  <c r="AD81" i="195"/>
  <c r="AD89" i="195"/>
  <c r="AD101" i="195"/>
  <c r="AD113" i="195"/>
  <c r="AD88" i="195"/>
  <c r="AD96" i="195"/>
  <c r="AD108" i="195"/>
  <c r="AD91" i="195"/>
  <c r="AD103" i="195"/>
  <c r="AD115" i="195"/>
  <c r="AD98" i="195"/>
  <c r="AD110" i="195"/>
  <c r="AD93" i="195"/>
  <c r="AD105" i="195"/>
  <c r="AD117" i="195"/>
  <c r="AD76" i="195"/>
  <c r="AD100" i="195"/>
  <c r="AD112" i="195"/>
  <c r="AD95" i="195"/>
  <c r="AD107" i="195"/>
  <c r="AD90" i="195"/>
  <c r="AD102" i="195"/>
  <c r="AD114" i="195"/>
  <c r="AD97" i="195"/>
  <c r="AD109" i="195"/>
  <c r="AD92" i="195"/>
  <c r="AD104" i="195"/>
  <c r="AD116" i="195"/>
  <c r="AD64" i="195"/>
  <c r="AD99" i="195"/>
  <c r="AD111" i="195"/>
  <c r="AD124" i="195"/>
  <c r="AD136" i="195"/>
  <c r="AD148" i="195"/>
  <c r="AD119" i="195"/>
  <c r="AD131" i="195"/>
  <c r="AD143" i="195"/>
  <c r="AD126" i="195"/>
  <c r="AD138" i="195"/>
  <c r="AD121" i="195"/>
  <c r="AD133" i="195"/>
  <c r="AD145" i="195"/>
  <c r="AD128" i="195"/>
  <c r="AD140" i="195"/>
  <c r="AD123" i="195"/>
  <c r="AD135" i="195"/>
  <c r="AD147" i="195"/>
  <c r="AD106" i="195"/>
  <c r="AD130" i="195"/>
  <c r="AD142" i="195"/>
  <c r="AD125" i="195"/>
  <c r="AD137" i="195"/>
  <c r="AD118" i="195"/>
  <c r="AD120" i="195"/>
  <c r="AD132" i="195"/>
  <c r="AD144" i="195"/>
  <c r="AD127" i="195"/>
  <c r="AD139" i="195"/>
  <c r="AD122" i="195"/>
  <c r="AD134" i="195"/>
  <c r="AD146" i="195"/>
  <c r="AD94" i="195"/>
  <c r="AD129" i="195"/>
  <c r="AD141" i="195"/>
  <c r="AD158" i="195"/>
  <c r="AD170" i="195"/>
  <c r="AD153" i="195"/>
  <c r="AD165" i="195"/>
  <c r="AD160" i="195"/>
  <c r="AD172" i="195"/>
  <c r="AD155" i="195"/>
  <c r="AD167" i="195"/>
  <c r="AD3" i="195"/>
  <c r="AD163" i="195"/>
  <c r="AD150" i="195"/>
  <c r="AD162" i="195"/>
  <c r="AD157" i="195"/>
  <c r="AD169" i="195"/>
  <c r="AD152" i="195"/>
  <c r="AD164" i="195"/>
  <c r="AD159" i="195"/>
  <c r="AD171" i="195"/>
  <c r="AD154" i="195"/>
  <c r="AD166" i="195"/>
  <c r="AD149" i="195"/>
  <c r="AD161" i="195"/>
  <c r="AD173" i="195"/>
  <c r="AD151" i="195"/>
  <c r="AD156" i="195"/>
  <c r="AD168" i="195"/>
  <c r="AD175" i="195"/>
  <c r="AD177" i="195"/>
  <c r="AD176" i="195"/>
  <c r="AD174" i="195"/>
  <c r="AE1" i="195"/>
  <c r="AE52" i="195" s="1"/>
  <c r="J74" i="193"/>
  <c r="J69" i="193"/>
  <c r="J71" i="193"/>
  <c r="J73" i="193"/>
  <c r="J68" i="193"/>
  <c r="J80" i="193"/>
  <c r="J75" i="193"/>
  <c r="J70" i="193"/>
  <c r="J82" i="193"/>
  <c r="J94" i="193"/>
  <c r="J77" i="193"/>
  <c r="J89" i="193"/>
  <c r="J72" i="193"/>
  <c r="J84" i="193"/>
  <c r="J96" i="193"/>
  <c r="J83" i="193"/>
  <c r="J87" i="193"/>
  <c r="J76" i="193"/>
  <c r="J91" i="193"/>
  <c r="J98" i="193"/>
  <c r="J110" i="193"/>
  <c r="J92" i="193"/>
  <c r="J105" i="193"/>
  <c r="J88" i="193"/>
  <c r="J99" i="193"/>
  <c r="J107" i="193"/>
  <c r="J95" i="193"/>
  <c r="J117" i="193"/>
  <c r="J85" i="193"/>
  <c r="J113" i="193"/>
  <c r="J119" i="193"/>
  <c r="J104" i="193"/>
  <c r="J109" i="193"/>
  <c r="J102" i="193"/>
  <c r="J90" i="193"/>
  <c r="J101" i="193"/>
  <c r="J116" i="193"/>
  <c r="J78" i="193"/>
  <c r="J93" i="193"/>
  <c r="J106" i="193"/>
  <c r="J115" i="193"/>
  <c r="J121" i="193"/>
  <c r="J81" i="193"/>
  <c r="J100" i="193"/>
  <c r="J122" i="193"/>
  <c r="J130" i="193"/>
  <c r="J79" i="193"/>
  <c r="J108" i="193"/>
  <c r="J123" i="193"/>
  <c r="J125" i="193"/>
  <c r="J86" i="193"/>
  <c r="J97" i="193"/>
  <c r="J127" i="193"/>
  <c r="J139" i="193"/>
  <c r="J112" i="193"/>
  <c r="J111" i="193"/>
  <c r="J133" i="193"/>
  <c r="J140" i="193"/>
  <c r="J118" i="193"/>
  <c r="J103" i="193"/>
  <c r="J120" i="193"/>
  <c r="J136" i="193"/>
  <c r="J143" i="193"/>
  <c r="J150" i="193"/>
  <c r="J114" i="193"/>
  <c r="J124" i="193"/>
  <c r="J126" i="193"/>
  <c r="J128" i="193"/>
  <c r="J131" i="193"/>
  <c r="J145" i="193"/>
  <c r="J158" i="193"/>
  <c r="J147" i="193"/>
  <c r="J153" i="193"/>
  <c r="J165" i="193"/>
  <c r="J135" i="193"/>
  <c r="J138" i="193"/>
  <c r="J146" i="193"/>
  <c r="J148" i="193"/>
  <c r="J155" i="193"/>
  <c r="J132" i="193"/>
  <c r="J144" i="193"/>
  <c r="J149" i="193"/>
  <c r="J162" i="193"/>
  <c r="J142" i="193"/>
  <c r="J157" i="193"/>
  <c r="J141" i="193"/>
  <c r="J159" i="193"/>
  <c r="J46" i="193"/>
  <c r="J129" i="193"/>
  <c r="J151" i="193"/>
  <c r="J154" i="193"/>
  <c r="J166" i="193"/>
  <c r="J67" i="193"/>
  <c r="J152" i="193"/>
  <c r="J161" i="193"/>
  <c r="J36" i="193"/>
  <c r="J48" i="193"/>
  <c r="J134" i="193"/>
  <c r="J137" i="193"/>
  <c r="J164" i="193"/>
  <c r="J170" i="193"/>
  <c r="J41" i="193"/>
  <c r="J168" i="193"/>
  <c r="J169" i="193"/>
  <c r="J42" i="193"/>
  <c r="J43" i="193"/>
  <c r="J49" i="193"/>
  <c r="J163" i="193"/>
  <c r="J167" i="193"/>
  <c r="J44" i="193"/>
  <c r="J38" i="193"/>
  <c r="J53" i="193"/>
  <c r="J39" i="193"/>
  <c r="J156" i="193"/>
  <c r="J37" i="193"/>
  <c r="J40" i="193"/>
  <c r="J55" i="193"/>
  <c r="J45" i="193"/>
  <c r="J59" i="193"/>
  <c r="J11" i="193"/>
  <c r="J47" i="193"/>
  <c r="J57" i="193"/>
  <c r="J58" i="193"/>
  <c r="J61" i="193"/>
  <c r="J6" i="193"/>
  <c r="J62" i="193"/>
  <c r="J64" i="193"/>
  <c r="J13" i="193"/>
  <c r="J56" i="193"/>
  <c r="J8" i="193"/>
  <c r="J54" i="193"/>
  <c r="J15" i="193"/>
  <c r="J50" i="193"/>
  <c r="J51" i="193"/>
  <c r="J10" i="193"/>
  <c r="J5" i="193"/>
  <c r="J17" i="193"/>
  <c r="J160" i="193"/>
  <c r="J63" i="193"/>
  <c r="J12" i="193"/>
  <c r="J7" i="193"/>
  <c r="J52" i="193"/>
  <c r="J65" i="193"/>
  <c r="J35" i="193"/>
  <c r="J9" i="193"/>
  <c r="J21" i="193"/>
  <c r="J60" i="193"/>
  <c r="J23" i="193"/>
  <c r="J26" i="193"/>
  <c r="J16" i="193"/>
  <c r="J18" i="193"/>
  <c r="J20" i="193"/>
  <c r="J29" i="193"/>
  <c r="J24" i="193"/>
  <c r="J4" i="193"/>
  <c r="J27" i="193"/>
  <c r="J30" i="193"/>
  <c r="J19" i="193"/>
  <c r="J14" i="193"/>
  <c r="J25" i="193"/>
  <c r="J28" i="193"/>
  <c r="J3" i="193"/>
  <c r="J22" i="193"/>
  <c r="J176" i="193"/>
  <c r="J175" i="193"/>
  <c r="J173" i="193"/>
  <c r="J174" i="193"/>
  <c r="J66" i="193"/>
  <c r="J32" i="193"/>
  <c r="J34" i="193"/>
  <c r="J31" i="193"/>
  <c r="J33" i="193"/>
  <c r="K1" i="193"/>
  <c r="T42" i="190"/>
  <c r="T43" i="190"/>
  <c r="T48" i="190"/>
  <c r="AE5" i="195" l="1"/>
  <c r="AE17" i="195"/>
  <c r="AE14" i="195"/>
  <c r="AE26" i="195"/>
  <c r="AE9" i="195"/>
  <c r="AE21" i="195"/>
  <c r="AE33" i="195"/>
  <c r="AE4" i="195"/>
  <c r="AE16" i="195"/>
  <c r="AE28" i="195"/>
  <c r="AE11" i="195"/>
  <c r="AE23" i="195"/>
  <c r="AE35" i="195"/>
  <c r="AE6" i="195"/>
  <c r="AE18" i="195"/>
  <c r="AE30" i="195"/>
  <c r="AE13" i="195"/>
  <c r="AE25" i="195"/>
  <c r="AE8" i="195"/>
  <c r="AE20" i="195"/>
  <c r="AE32" i="195"/>
  <c r="AE22" i="195"/>
  <c r="AE45" i="195"/>
  <c r="AE40" i="195"/>
  <c r="AE53" i="195"/>
  <c r="AE7" i="195"/>
  <c r="AE29" i="195"/>
  <c r="AE47" i="195"/>
  <c r="AE42" i="195"/>
  <c r="AE55" i="195"/>
  <c r="AE37" i="195"/>
  <c r="AE49" i="195"/>
  <c r="AE12" i="195"/>
  <c r="AE31" i="195"/>
  <c r="AE44" i="195"/>
  <c r="AE19" i="195"/>
  <c r="AE34" i="195"/>
  <c r="AE39" i="195"/>
  <c r="AE46" i="195"/>
  <c r="AE10" i="195"/>
  <c r="AE41" i="195"/>
  <c r="AE36" i="195"/>
  <c r="AE48" i="195"/>
  <c r="AE24" i="195"/>
  <c r="AE43" i="195"/>
  <c r="AE56" i="195"/>
  <c r="AE15" i="195"/>
  <c r="AE27" i="195"/>
  <c r="AE38" i="195"/>
  <c r="AE50" i="195"/>
  <c r="AE64" i="195"/>
  <c r="AE76" i="195"/>
  <c r="AE88" i="195"/>
  <c r="AE59" i="195"/>
  <c r="AE71" i="195"/>
  <c r="AE83" i="195"/>
  <c r="AE51" i="195"/>
  <c r="AE66" i="195"/>
  <c r="AE78" i="195"/>
  <c r="AE61" i="195"/>
  <c r="AE73" i="195"/>
  <c r="AE85" i="195"/>
  <c r="AE54" i="195"/>
  <c r="AE68" i="195"/>
  <c r="AE80" i="195"/>
  <c r="AE63" i="195"/>
  <c r="AE75" i="195"/>
  <c r="AE87" i="195"/>
  <c r="AE58" i="195"/>
  <c r="AE70" i="195"/>
  <c r="AE82" i="195"/>
  <c r="AE65" i="195"/>
  <c r="AE77" i="195"/>
  <c r="AE57" i="195"/>
  <c r="AE60" i="195"/>
  <c r="AE72" i="195"/>
  <c r="AE84" i="195"/>
  <c r="AE67" i="195"/>
  <c r="AE79" i="195"/>
  <c r="AE62" i="195"/>
  <c r="AE74" i="195"/>
  <c r="AE86" i="195"/>
  <c r="AE94" i="195"/>
  <c r="AE106" i="195"/>
  <c r="AE118" i="195"/>
  <c r="AE89" i="195"/>
  <c r="AE101" i="195"/>
  <c r="AE113" i="195"/>
  <c r="AE96" i="195"/>
  <c r="AE108" i="195"/>
  <c r="AE91" i="195"/>
  <c r="AE103" i="195"/>
  <c r="AE115" i="195"/>
  <c r="AE98" i="195"/>
  <c r="AE110" i="195"/>
  <c r="AE93" i="195"/>
  <c r="AE105" i="195"/>
  <c r="AE117" i="195"/>
  <c r="AE81" i="195"/>
  <c r="AE100" i="195"/>
  <c r="AE112" i="195"/>
  <c r="AE95" i="195"/>
  <c r="AE107" i="195"/>
  <c r="AE90" i="195"/>
  <c r="AE102" i="195"/>
  <c r="AE114" i="195"/>
  <c r="AE97" i="195"/>
  <c r="AE109" i="195"/>
  <c r="AE92" i="195"/>
  <c r="AE104" i="195"/>
  <c r="AE116" i="195"/>
  <c r="AE99" i="195"/>
  <c r="AE129" i="195"/>
  <c r="AE141" i="195"/>
  <c r="AE124" i="195"/>
  <c r="AE136" i="195"/>
  <c r="AE148" i="195"/>
  <c r="AE119" i="195"/>
  <c r="AE131" i="195"/>
  <c r="AE143" i="195"/>
  <c r="AE69" i="195"/>
  <c r="AE126" i="195"/>
  <c r="AE138" i="195"/>
  <c r="AE121" i="195"/>
  <c r="AE133" i="195"/>
  <c r="AE145" i="195"/>
  <c r="AE128" i="195"/>
  <c r="AE140" i="195"/>
  <c r="AE123" i="195"/>
  <c r="AE135" i="195"/>
  <c r="AE147" i="195"/>
  <c r="AE111" i="195"/>
  <c r="AE130" i="195"/>
  <c r="AE142" i="195"/>
  <c r="AE125" i="195"/>
  <c r="AE137" i="195"/>
  <c r="AE120" i="195"/>
  <c r="AE132" i="195"/>
  <c r="AE144" i="195"/>
  <c r="AE127" i="195"/>
  <c r="AE139" i="195"/>
  <c r="AE122" i="195"/>
  <c r="AE134" i="195"/>
  <c r="AE146" i="195"/>
  <c r="AE151" i="195"/>
  <c r="AE163" i="195"/>
  <c r="AE156" i="195"/>
  <c r="AE158" i="195"/>
  <c r="AE170" i="195"/>
  <c r="AE153" i="195"/>
  <c r="AE165" i="195"/>
  <c r="AE160" i="195"/>
  <c r="AE172" i="195"/>
  <c r="AE155" i="195"/>
  <c r="AE167" i="195"/>
  <c r="AE3" i="195"/>
  <c r="AE168" i="195"/>
  <c r="AE150" i="195"/>
  <c r="AE162" i="195"/>
  <c r="AE157" i="195"/>
  <c r="AE169" i="195"/>
  <c r="AE152" i="195"/>
  <c r="AE164" i="195"/>
  <c r="AE159" i="195"/>
  <c r="AE171" i="195"/>
  <c r="AE154" i="195"/>
  <c r="AE166" i="195"/>
  <c r="AE149" i="195"/>
  <c r="AE161" i="195"/>
  <c r="AE173" i="195"/>
  <c r="K172" i="193"/>
  <c r="K171" i="193"/>
  <c r="AE176" i="195"/>
  <c r="AE175" i="195"/>
  <c r="AF1" i="195"/>
  <c r="AF52" i="195" s="1"/>
  <c r="AE174" i="195"/>
  <c r="AE177" i="195"/>
  <c r="K79" i="193"/>
  <c r="K74" i="193"/>
  <c r="K69" i="193"/>
  <c r="K71" i="193"/>
  <c r="K73" i="193"/>
  <c r="K68" i="193"/>
  <c r="K75" i="193"/>
  <c r="K87" i="193"/>
  <c r="K99" i="193"/>
  <c r="K70" i="193"/>
  <c r="K82" i="193"/>
  <c r="K94" i="193"/>
  <c r="K77" i="193"/>
  <c r="K89" i="193"/>
  <c r="K81" i="193"/>
  <c r="K86" i="193"/>
  <c r="K78" i="193"/>
  <c r="K80" i="193"/>
  <c r="K93" i="193"/>
  <c r="K97" i="193"/>
  <c r="K103" i="193"/>
  <c r="K76" i="193"/>
  <c r="K91" i="193"/>
  <c r="K98" i="193"/>
  <c r="K72" i="193"/>
  <c r="K90" i="193"/>
  <c r="K112" i="193"/>
  <c r="K83" i="193"/>
  <c r="K115" i="193"/>
  <c r="K122" i="193"/>
  <c r="K96" i="193"/>
  <c r="K105" i="193"/>
  <c r="K106" i="193"/>
  <c r="K108" i="193"/>
  <c r="K104" i="193"/>
  <c r="K92" i="193"/>
  <c r="K110" i="193"/>
  <c r="K118" i="193"/>
  <c r="K95" i="193"/>
  <c r="K88" i="193"/>
  <c r="K117" i="193"/>
  <c r="K124" i="193"/>
  <c r="K85" i="193"/>
  <c r="K120" i="193"/>
  <c r="K126" i="193"/>
  <c r="K100" i="193"/>
  <c r="K114" i="193"/>
  <c r="K135" i="193"/>
  <c r="K101" i="193"/>
  <c r="K102" i="193"/>
  <c r="K84" i="193"/>
  <c r="K132" i="193"/>
  <c r="K116" i="193"/>
  <c r="K111" i="193"/>
  <c r="K137" i="193"/>
  <c r="K125" i="193"/>
  <c r="K127" i="193"/>
  <c r="K134" i="193"/>
  <c r="K119" i="193"/>
  <c r="K123" i="193"/>
  <c r="K109" i="193"/>
  <c r="K129" i="193"/>
  <c r="K130" i="193"/>
  <c r="K136" i="193"/>
  <c r="K143" i="193"/>
  <c r="K113" i="193"/>
  <c r="K139" i="193"/>
  <c r="K150" i="193"/>
  <c r="K140" i="193"/>
  <c r="K131" i="193"/>
  <c r="K158" i="193"/>
  <c r="K107" i="193"/>
  <c r="K147" i="193"/>
  <c r="K153" i="193"/>
  <c r="K138" i="193"/>
  <c r="K145" i="193"/>
  <c r="K121" i="193"/>
  <c r="K146" i="193"/>
  <c r="K148" i="193"/>
  <c r="K155" i="193"/>
  <c r="K167" i="193"/>
  <c r="K144" i="193"/>
  <c r="K149" i="193"/>
  <c r="K128" i="193"/>
  <c r="K164" i="193"/>
  <c r="K67" i="193"/>
  <c r="K39" i="193"/>
  <c r="K133" i="193"/>
  <c r="K141" i="193"/>
  <c r="K159" i="193"/>
  <c r="K151" i="193"/>
  <c r="K154" i="193"/>
  <c r="K166" i="193"/>
  <c r="K41" i="193"/>
  <c r="K152" i="193"/>
  <c r="K156" i="193"/>
  <c r="K160" i="193"/>
  <c r="K162" i="193"/>
  <c r="K47" i="193"/>
  <c r="K170" i="193"/>
  <c r="K168" i="193"/>
  <c r="K157" i="193"/>
  <c r="K169" i="193"/>
  <c r="K42" i="193"/>
  <c r="K43" i="193"/>
  <c r="K161" i="193"/>
  <c r="K50" i="193"/>
  <c r="K163" i="193"/>
  <c r="K165" i="193"/>
  <c r="K56" i="193"/>
  <c r="K44" i="193"/>
  <c r="K45" i="193"/>
  <c r="K58" i="193"/>
  <c r="K38" i="193"/>
  <c r="K36" i="193"/>
  <c r="K46" i="193"/>
  <c r="K51" i="193"/>
  <c r="K60" i="193"/>
  <c r="K4" i="193"/>
  <c r="K142" i="193"/>
  <c r="K40" i="193"/>
  <c r="K59" i="193"/>
  <c r="K57" i="193"/>
  <c r="K61" i="193"/>
  <c r="K6" i="193"/>
  <c r="K18" i="193"/>
  <c r="K55" i="193"/>
  <c r="K62" i="193"/>
  <c r="K64" i="193"/>
  <c r="K13" i="193"/>
  <c r="K8" i="193"/>
  <c r="K20" i="193"/>
  <c r="K54" i="193"/>
  <c r="K53" i="193"/>
  <c r="K10" i="193"/>
  <c r="K37" i="193"/>
  <c r="K49" i="193"/>
  <c r="K5" i="193"/>
  <c r="K17" i="193"/>
  <c r="K63" i="193"/>
  <c r="K35" i="193"/>
  <c r="K7" i="193"/>
  <c r="K48" i="193"/>
  <c r="K52" i="193"/>
  <c r="K65" i="193"/>
  <c r="K14" i="193"/>
  <c r="K26" i="193"/>
  <c r="K11" i="193"/>
  <c r="K22" i="193"/>
  <c r="K23" i="193"/>
  <c r="K16" i="193"/>
  <c r="K29" i="193"/>
  <c r="K24" i="193"/>
  <c r="K27" i="193"/>
  <c r="K30" i="193"/>
  <c r="K12" i="193"/>
  <c r="K3" i="193"/>
  <c r="K19" i="193"/>
  <c r="K25" i="193"/>
  <c r="K28" i="193"/>
  <c r="K9" i="193"/>
  <c r="K15" i="193"/>
  <c r="K21" i="193"/>
  <c r="K174" i="193"/>
  <c r="K173" i="193"/>
  <c r="K176" i="193"/>
  <c r="K175" i="193"/>
  <c r="K66" i="193"/>
  <c r="K34" i="193"/>
  <c r="K31" i="193"/>
  <c r="K32" i="193"/>
  <c r="K33" i="193"/>
  <c r="L1" i="193"/>
  <c r="T39" i="190"/>
  <c r="T40" i="190"/>
  <c r="T41" i="190"/>
  <c r="T49" i="190"/>
  <c r="T50" i="190"/>
  <c r="T51" i="190"/>
  <c r="T52" i="190"/>
  <c r="T53" i="190"/>
  <c r="T54" i="190"/>
  <c r="AF10" i="195" l="1"/>
  <c r="AF22" i="195"/>
  <c r="AF7" i="195"/>
  <c r="AF19" i="195"/>
  <c r="AF31" i="195"/>
  <c r="AF14" i="195"/>
  <c r="AF26" i="195"/>
  <c r="AF9" i="195"/>
  <c r="AF21" i="195"/>
  <c r="AF33" i="195"/>
  <c r="AF4" i="195"/>
  <c r="AF16" i="195"/>
  <c r="AF28" i="195"/>
  <c r="AF11" i="195"/>
  <c r="AF23" i="195"/>
  <c r="AF35" i="195"/>
  <c r="AF6" i="195"/>
  <c r="AF18" i="195"/>
  <c r="AF30" i="195"/>
  <c r="AF13" i="195"/>
  <c r="AF25" i="195"/>
  <c r="AF15" i="195"/>
  <c r="AF27" i="195"/>
  <c r="AF38" i="195"/>
  <c r="AF50" i="195"/>
  <c r="AF45" i="195"/>
  <c r="AF40" i="195"/>
  <c r="AF53" i="195"/>
  <c r="AF20" i="195"/>
  <c r="AF29" i="195"/>
  <c r="AF47" i="195"/>
  <c r="AF32" i="195"/>
  <c r="AF42" i="195"/>
  <c r="AF55" i="195"/>
  <c r="AF5" i="195"/>
  <c r="AF37" i="195"/>
  <c r="AF49" i="195"/>
  <c r="AF12" i="195"/>
  <c r="AF44" i="195"/>
  <c r="AF34" i="195"/>
  <c r="AF39" i="195"/>
  <c r="AF51" i="195"/>
  <c r="AF46" i="195"/>
  <c r="AF17" i="195"/>
  <c r="AF41" i="195"/>
  <c r="AF54" i="195"/>
  <c r="AF36" i="195"/>
  <c r="AF48" i="195"/>
  <c r="AF8" i="195"/>
  <c r="AF24" i="195"/>
  <c r="AF43" i="195"/>
  <c r="AF69" i="195"/>
  <c r="AF81" i="195"/>
  <c r="AF64" i="195"/>
  <c r="AF76" i="195"/>
  <c r="AF88" i="195"/>
  <c r="AF59" i="195"/>
  <c r="AF71" i="195"/>
  <c r="AF83" i="195"/>
  <c r="AF56" i="195"/>
  <c r="AF66" i="195"/>
  <c r="AF78" i="195"/>
  <c r="AF61" i="195"/>
  <c r="AF73" i="195"/>
  <c r="AF85" i="195"/>
  <c r="AF68" i="195"/>
  <c r="AF80" i="195"/>
  <c r="AF63" i="195"/>
  <c r="AF75" i="195"/>
  <c r="AF58" i="195"/>
  <c r="AF70" i="195"/>
  <c r="AF82" i="195"/>
  <c r="AF65" i="195"/>
  <c r="AF77" i="195"/>
  <c r="AF57" i="195"/>
  <c r="AF60" i="195"/>
  <c r="AF72" i="195"/>
  <c r="AF84" i="195"/>
  <c r="AF67" i="195"/>
  <c r="AF79" i="195"/>
  <c r="AF74" i="195"/>
  <c r="AF99" i="195"/>
  <c r="AF111" i="195"/>
  <c r="AF94" i="195"/>
  <c r="AF106" i="195"/>
  <c r="AF89" i="195"/>
  <c r="AF101" i="195"/>
  <c r="AF113" i="195"/>
  <c r="AF96" i="195"/>
  <c r="AF108" i="195"/>
  <c r="AF91" i="195"/>
  <c r="AF103" i="195"/>
  <c r="AF115" i="195"/>
  <c r="AF62" i="195"/>
  <c r="AF87" i="195"/>
  <c r="AF98" i="195"/>
  <c r="AF110" i="195"/>
  <c r="AF93" i="195"/>
  <c r="AF105" i="195"/>
  <c r="AF117" i="195"/>
  <c r="AF100" i="195"/>
  <c r="AF112" i="195"/>
  <c r="AF95" i="195"/>
  <c r="AF107" i="195"/>
  <c r="AF90" i="195"/>
  <c r="AF102" i="195"/>
  <c r="AF114" i="195"/>
  <c r="AF86" i="195"/>
  <c r="AF97" i="195"/>
  <c r="AF109" i="195"/>
  <c r="AF122" i="195"/>
  <c r="AF134" i="195"/>
  <c r="AF146" i="195"/>
  <c r="AF104" i="195"/>
  <c r="AF129" i="195"/>
  <c r="AF141" i="195"/>
  <c r="AF124" i="195"/>
  <c r="AF136" i="195"/>
  <c r="AF119" i="195"/>
  <c r="AF131" i="195"/>
  <c r="AF143" i="195"/>
  <c r="AF126" i="195"/>
  <c r="AF138" i="195"/>
  <c r="AF121" i="195"/>
  <c r="AF133" i="195"/>
  <c r="AF145" i="195"/>
  <c r="AF92" i="195"/>
  <c r="AF128" i="195"/>
  <c r="AF140" i="195"/>
  <c r="AF123" i="195"/>
  <c r="AF135" i="195"/>
  <c r="AF147" i="195"/>
  <c r="AF116" i="195"/>
  <c r="AF130" i="195"/>
  <c r="AF142" i="195"/>
  <c r="AF118" i="195"/>
  <c r="AF125" i="195"/>
  <c r="AF137" i="195"/>
  <c r="AF120" i="195"/>
  <c r="AF132" i="195"/>
  <c r="AF144" i="195"/>
  <c r="AF127" i="195"/>
  <c r="AF139" i="195"/>
  <c r="AF156" i="195"/>
  <c r="AF168" i="195"/>
  <c r="AF151" i="195"/>
  <c r="AF163" i="195"/>
  <c r="AF149" i="195"/>
  <c r="AF173" i="195"/>
  <c r="AF158" i="195"/>
  <c r="AF170" i="195"/>
  <c r="AF153" i="195"/>
  <c r="AF165" i="195"/>
  <c r="AF148" i="195"/>
  <c r="AF160" i="195"/>
  <c r="AF172" i="195"/>
  <c r="AF161" i="195"/>
  <c r="AF155" i="195"/>
  <c r="AF167" i="195"/>
  <c r="AF3" i="195"/>
  <c r="AF150" i="195"/>
  <c r="AF162" i="195"/>
  <c r="AF157" i="195"/>
  <c r="AF169" i="195"/>
  <c r="AF152" i="195"/>
  <c r="AF164" i="195"/>
  <c r="AF159" i="195"/>
  <c r="AF171" i="195"/>
  <c r="AF154" i="195"/>
  <c r="AF166" i="195"/>
  <c r="L172" i="193"/>
  <c r="L171" i="193"/>
  <c r="AF177" i="195"/>
  <c r="AF176" i="195"/>
  <c r="AF174" i="195"/>
  <c r="AF175" i="195"/>
  <c r="AG1" i="195"/>
  <c r="AG52" i="195" s="1"/>
  <c r="L72" i="193"/>
  <c r="L84" i="193"/>
  <c r="L74" i="193"/>
  <c r="L69" i="193"/>
  <c r="L71" i="193"/>
  <c r="L78" i="193"/>
  <c r="L73" i="193"/>
  <c r="L68" i="193"/>
  <c r="L80" i="193"/>
  <c r="L92" i="193"/>
  <c r="L75" i="193"/>
  <c r="L87" i="193"/>
  <c r="L70" i="193"/>
  <c r="L82" i="193"/>
  <c r="L94" i="193"/>
  <c r="L77" i="193"/>
  <c r="L79" i="193"/>
  <c r="L88" i="193"/>
  <c r="L95" i="193"/>
  <c r="L108" i="193"/>
  <c r="L93" i="193"/>
  <c r="L97" i="193"/>
  <c r="L103" i="193"/>
  <c r="L89" i="193"/>
  <c r="L105" i="193"/>
  <c r="L81" i="193"/>
  <c r="L112" i="193"/>
  <c r="L76" i="193"/>
  <c r="L91" i="193"/>
  <c r="L117" i="193"/>
  <c r="L85" i="193"/>
  <c r="L86" i="193"/>
  <c r="L96" i="193"/>
  <c r="L106" i="193"/>
  <c r="L98" i="193"/>
  <c r="L102" i="193"/>
  <c r="L114" i="193"/>
  <c r="L109" i="193"/>
  <c r="L118" i="193"/>
  <c r="L119" i="193"/>
  <c r="L116" i="193"/>
  <c r="L83" i="193"/>
  <c r="L110" i="193"/>
  <c r="L128" i="193"/>
  <c r="L99" i="193"/>
  <c r="L100" i="193"/>
  <c r="L122" i="193"/>
  <c r="L90" i="193"/>
  <c r="L101" i="193"/>
  <c r="L123" i="193"/>
  <c r="L125" i="193"/>
  <c r="L137" i="193"/>
  <c r="L107" i="193"/>
  <c r="L121" i="193"/>
  <c r="L111" i="193"/>
  <c r="L133" i="193"/>
  <c r="L140" i="193"/>
  <c r="L141" i="193"/>
  <c r="L120" i="193"/>
  <c r="L129" i="193"/>
  <c r="L148" i="193"/>
  <c r="L130" i="193"/>
  <c r="L136" i="193"/>
  <c r="L143" i="193"/>
  <c r="L156" i="193"/>
  <c r="L104" i="193"/>
  <c r="L163" i="193"/>
  <c r="L131" i="193"/>
  <c r="L158" i="193"/>
  <c r="L135" i="193"/>
  <c r="L147" i="193"/>
  <c r="L153" i="193"/>
  <c r="L138" i="193"/>
  <c r="L145" i="193"/>
  <c r="L160" i="193"/>
  <c r="L132" i="193"/>
  <c r="L146" i="193"/>
  <c r="L155" i="193"/>
  <c r="L113" i="193"/>
  <c r="L139" i="193"/>
  <c r="L142" i="193"/>
  <c r="L150" i="193"/>
  <c r="L157" i="193"/>
  <c r="L169" i="193"/>
  <c r="L44" i="193"/>
  <c r="L124" i="193"/>
  <c r="L164" i="193"/>
  <c r="L115" i="193"/>
  <c r="L127" i="193"/>
  <c r="L159" i="193"/>
  <c r="L46" i="193"/>
  <c r="L126" i="193"/>
  <c r="L151" i="193"/>
  <c r="L154" i="193"/>
  <c r="L134" i="193"/>
  <c r="L152" i="193"/>
  <c r="L166" i="193"/>
  <c r="L67" i="193"/>
  <c r="L37" i="193"/>
  <c r="L40" i="193"/>
  <c r="L149" i="193"/>
  <c r="L162" i="193"/>
  <c r="L41" i="193"/>
  <c r="L170" i="193"/>
  <c r="L48" i="193"/>
  <c r="L144" i="193"/>
  <c r="L168" i="193"/>
  <c r="L52" i="193"/>
  <c r="L42" i="193"/>
  <c r="L43" i="193"/>
  <c r="L49" i="193"/>
  <c r="L161" i="193"/>
  <c r="L50" i="193"/>
  <c r="L165" i="193"/>
  <c r="L167" i="193"/>
  <c r="L45" i="193"/>
  <c r="L38" i="193"/>
  <c r="L39" i="193"/>
  <c r="L53" i="193"/>
  <c r="L60" i="193"/>
  <c r="L9" i="193"/>
  <c r="L4" i="193"/>
  <c r="L47" i="193"/>
  <c r="L58" i="193"/>
  <c r="L59" i="193"/>
  <c r="L11" i="193"/>
  <c r="L57" i="193"/>
  <c r="L61" i="193"/>
  <c r="L6" i="193"/>
  <c r="L55" i="193"/>
  <c r="L56" i="193"/>
  <c r="L62" i="193"/>
  <c r="L64" i="193"/>
  <c r="L13" i="193"/>
  <c r="L36" i="193"/>
  <c r="L8" i="193"/>
  <c r="L51" i="193"/>
  <c r="L54" i="193"/>
  <c r="L15" i="193"/>
  <c r="L10" i="193"/>
  <c r="L22" i="193"/>
  <c r="L35" i="193"/>
  <c r="L5" i="193"/>
  <c r="L63" i="193"/>
  <c r="L12" i="193"/>
  <c r="L7" i="193"/>
  <c r="L19" i="193"/>
  <c r="L65" i="193"/>
  <c r="L21" i="193"/>
  <c r="L23" i="193"/>
  <c r="L26" i="193"/>
  <c r="L18" i="193"/>
  <c r="L20" i="193"/>
  <c r="L29" i="193"/>
  <c r="L16" i="193"/>
  <c r="L24" i="193"/>
  <c r="L27" i="193"/>
  <c r="L14" i="193"/>
  <c r="L17" i="193"/>
  <c r="L30" i="193"/>
  <c r="L25" i="193"/>
  <c r="L28" i="193"/>
  <c r="L3" i="193"/>
  <c r="L173" i="193"/>
  <c r="L176" i="193"/>
  <c r="L175" i="193"/>
  <c r="L174" i="193"/>
  <c r="L66" i="193"/>
  <c r="L33" i="193"/>
  <c r="L34" i="193"/>
  <c r="L31" i="193"/>
  <c r="L32" i="193"/>
  <c r="M1" i="193"/>
  <c r="T33" i="190"/>
  <c r="AG15" i="195" l="1"/>
  <c r="AG12" i="195"/>
  <c r="AG24" i="195"/>
  <c r="AG7" i="195"/>
  <c r="AG19" i="195"/>
  <c r="AG31" i="195"/>
  <c r="AG14" i="195"/>
  <c r="AG26" i="195"/>
  <c r="AG9" i="195"/>
  <c r="AG21" i="195"/>
  <c r="AG33" i="195"/>
  <c r="AG4" i="195"/>
  <c r="AG16" i="195"/>
  <c r="AG28" i="195"/>
  <c r="AG11" i="195"/>
  <c r="AG23" i="195"/>
  <c r="AG35" i="195"/>
  <c r="AG6" i="195"/>
  <c r="AG18" i="195"/>
  <c r="AG30" i="195"/>
  <c r="AG8" i="195"/>
  <c r="AG43" i="195"/>
  <c r="AG56" i="195"/>
  <c r="AG22" i="195"/>
  <c r="AG27" i="195"/>
  <c r="AG38" i="195"/>
  <c r="AG50" i="195"/>
  <c r="AG45" i="195"/>
  <c r="AG13" i="195"/>
  <c r="AG40" i="195"/>
  <c r="AG53" i="195"/>
  <c r="AG20" i="195"/>
  <c r="AG29" i="195"/>
  <c r="AG47" i="195"/>
  <c r="AG32" i="195"/>
  <c r="AG42" i="195"/>
  <c r="AG5" i="195"/>
  <c r="AG37" i="195"/>
  <c r="AG49" i="195"/>
  <c r="AG44" i="195"/>
  <c r="AG57" i="195"/>
  <c r="AG34" i="195"/>
  <c r="AG39" i="195"/>
  <c r="AG10" i="195"/>
  <c r="AG46" i="195"/>
  <c r="AG17" i="195"/>
  <c r="AG25" i="195"/>
  <c r="AG41" i="195"/>
  <c r="AG54" i="195"/>
  <c r="AG36" i="195"/>
  <c r="AG48" i="195"/>
  <c r="AG62" i="195"/>
  <c r="AG74" i="195"/>
  <c r="AG86" i="195"/>
  <c r="AG69" i="195"/>
  <c r="AG81" i="195"/>
  <c r="AG55" i="195"/>
  <c r="AG64" i="195"/>
  <c r="AG76" i="195"/>
  <c r="AG88" i="195"/>
  <c r="AG51" i="195"/>
  <c r="AG59" i="195"/>
  <c r="AG71" i="195"/>
  <c r="AG83" i="195"/>
  <c r="AG66" i="195"/>
  <c r="AG78" i="195"/>
  <c r="AG61" i="195"/>
  <c r="AG73" i="195"/>
  <c r="AG85" i="195"/>
  <c r="AG68" i="195"/>
  <c r="AG80" i="195"/>
  <c r="AG63" i="195"/>
  <c r="AG75" i="195"/>
  <c r="AG87" i="195"/>
  <c r="AG58" i="195"/>
  <c r="AG70" i="195"/>
  <c r="AG82" i="195"/>
  <c r="AG65" i="195"/>
  <c r="AG77" i="195"/>
  <c r="AG60" i="195"/>
  <c r="AG72" i="195"/>
  <c r="AG84" i="195"/>
  <c r="AG92" i="195"/>
  <c r="AG104" i="195"/>
  <c r="AG116" i="195"/>
  <c r="AG79" i="195"/>
  <c r="AG99" i="195"/>
  <c r="AG111" i="195"/>
  <c r="AG94" i="195"/>
  <c r="AG106" i="195"/>
  <c r="AG118" i="195"/>
  <c r="AG89" i="195"/>
  <c r="AG101" i="195"/>
  <c r="AG113" i="195"/>
  <c r="AG96" i="195"/>
  <c r="AG108" i="195"/>
  <c r="AG91" i="195"/>
  <c r="AG103" i="195"/>
  <c r="AG115" i="195"/>
  <c r="AG67" i="195"/>
  <c r="AG98" i="195"/>
  <c r="AG110" i="195"/>
  <c r="AG93" i="195"/>
  <c r="AG105" i="195"/>
  <c r="AG117" i="195"/>
  <c r="AG100" i="195"/>
  <c r="AG112" i="195"/>
  <c r="AG95" i="195"/>
  <c r="AG107" i="195"/>
  <c r="AG90" i="195"/>
  <c r="AG102" i="195"/>
  <c r="AG114" i="195"/>
  <c r="AG127" i="195"/>
  <c r="AG139" i="195"/>
  <c r="AG122" i="195"/>
  <c r="AG134" i="195"/>
  <c r="AG146" i="195"/>
  <c r="AG109" i="195"/>
  <c r="AG129" i="195"/>
  <c r="AG141" i="195"/>
  <c r="AG124" i="195"/>
  <c r="AG136" i="195"/>
  <c r="AG119" i="195"/>
  <c r="AG131" i="195"/>
  <c r="AG143" i="195"/>
  <c r="AG126" i="195"/>
  <c r="AG138" i="195"/>
  <c r="AG121" i="195"/>
  <c r="AG133" i="195"/>
  <c r="AG145" i="195"/>
  <c r="AG97" i="195"/>
  <c r="AG128" i="195"/>
  <c r="AG140" i="195"/>
  <c r="AG123" i="195"/>
  <c r="AG135" i="195"/>
  <c r="AG130" i="195"/>
  <c r="AG142" i="195"/>
  <c r="AG125" i="195"/>
  <c r="AG137" i="195"/>
  <c r="AG120" i="195"/>
  <c r="AG132" i="195"/>
  <c r="AG144" i="195"/>
  <c r="AG149" i="195"/>
  <c r="AG161" i="195"/>
  <c r="AG173" i="195"/>
  <c r="AG156" i="195"/>
  <c r="AG168" i="195"/>
  <c r="AG166" i="195"/>
  <c r="AG151" i="195"/>
  <c r="AG163" i="195"/>
  <c r="AG158" i="195"/>
  <c r="AG170" i="195"/>
  <c r="AG153" i="195"/>
  <c r="AG165" i="195"/>
  <c r="AG148" i="195"/>
  <c r="AG160" i="195"/>
  <c r="AG172" i="195"/>
  <c r="AG154" i="195"/>
  <c r="AG155" i="195"/>
  <c r="AG167" i="195"/>
  <c r="AG3" i="195"/>
  <c r="AG147" i="195"/>
  <c r="AG150" i="195"/>
  <c r="AG162" i="195"/>
  <c r="AG157" i="195"/>
  <c r="AG169" i="195"/>
  <c r="AG152" i="195"/>
  <c r="AG164" i="195"/>
  <c r="AG159" i="195"/>
  <c r="AG171" i="195"/>
  <c r="M172" i="193"/>
  <c r="M171" i="193"/>
  <c r="AG175" i="195"/>
  <c r="AG174" i="195"/>
  <c r="AH1" i="195"/>
  <c r="AH52" i="195" s="1"/>
  <c r="AG176" i="195"/>
  <c r="AG177" i="195"/>
  <c r="M77" i="193"/>
  <c r="M72" i="193"/>
  <c r="M74" i="193"/>
  <c r="M69" i="193"/>
  <c r="M71" i="193"/>
  <c r="M83" i="193"/>
  <c r="M73" i="193"/>
  <c r="M85" i="193"/>
  <c r="M97" i="193"/>
  <c r="M68" i="193"/>
  <c r="M80" i="193"/>
  <c r="M92" i="193"/>
  <c r="M75" i="193"/>
  <c r="M87" i="193"/>
  <c r="M99" i="193"/>
  <c r="M82" i="193"/>
  <c r="M84" i="193"/>
  <c r="M94" i="193"/>
  <c r="M101" i="193"/>
  <c r="M78" i="193"/>
  <c r="M95" i="193"/>
  <c r="M76" i="193"/>
  <c r="M91" i="193"/>
  <c r="M98" i="193"/>
  <c r="M110" i="193"/>
  <c r="M79" i="193"/>
  <c r="M88" i="193"/>
  <c r="M100" i="193"/>
  <c r="M111" i="193"/>
  <c r="M120" i="193"/>
  <c r="M93" i="193"/>
  <c r="M115" i="193"/>
  <c r="M122" i="193"/>
  <c r="M86" i="193"/>
  <c r="M107" i="193"/>
  <c r="M113" i="193"/>
  <c r="M105" i="193"/>
  <c r="M103" i="193"/>
  <c r="M104" i="193"/>
  <c r="M109" i="193"/>
  <c r="M116" i="193"/>
  <c r="M70" i="193"/>
  <c r="M124" i="193"/>
  <c r="M81" i="193"/>
  <c r="M121" i="193"/>
  <c r="M133" i="193"/>
  <c r="M114" i="193"/>
  <c r="M128" i="193"/>
  <c r="M90" i="193"/>
  <c r="M102" i="193"/>
  <c r="M130" i="193"/>
  <c r="M96" i="193"/>
  <c r="M112" i="193"/>
  <c r="M117" i="193"/>
  <c r="M132" i="193"/>
  <c r="M118" i="193"/>
  <c r="M106" i="193"/>
  <c r="M89" i="193"/>
  <c r="M119" i="193"/>
  <c r="M123" i="193"/>
  <c r="M108" i="193"/>
  <c r="M135" i="193"/>
  <c r="M138" i="193"/>
  <c r="M146" i="193"/>
  <c r="M141" i="193"/>
  <c r="M129" i="193"/>
  <c r="M148" i="193"/>
  <c r="M125" i="193"/>
  <c r="M134" i="193"/>
  <c r="M152" i="193"/>
  <c r="M140" i="193"/>
  <c r="M156" i="193"/>
  <c r="M131" i="193"/>
  <c r="M158" i="193"/>
  <c r="M147" i="193"/>
  <c r="M153" i="193"/>
  <c r="M165" i="193"/>
  <c r="M145" i="193"/>
  <c r="M144" i="193"/>
  <c r="M149" i="193"/>
  <c r="M162" i="193"/>
  <c r="M37" i="193"/>
  <c r="M49" i="193"/>
  <c r="M139" i="193"/>
  <c r="M142" i="193"/>
  <c r="M150" i="193"/>
  <c r="M157" i="193"/>
  <c r="M169" i="193"/>
  <c r="M164" i="193"/>
  <c r="M39" i="193"/>
  <c r="M51" i="193"/>
  <c r="M127" i="193"/>
  <c r="M126" i="193"/>
  <c r="M137" i="193"/>
  <c r="M151" i="193"/>
  <c r="M154" i="193"/>
  <c r="M36" i="193"/>
  <c r="M143" i="193"/>
  <c r="M160" i="193"/>
  <c r="M166" i="193"/>
  <c r="M40" i="193"/>
  <c r="M136" i="193"/>
  <c r="M41" i="193"/>
  <c r="M47" i="193"/>
  <c r="M170" i="193"/>
  <c r="M48" i="193"/>
  <c r="M168" i="193"/>
  <c r="M155" i="193"/>
  <c r="M42" i="193"/>
  <c r="M43" i="193"/>
  <c r="M54" i="193"/>
  <c r="M161" i="193"/>
  <c r="M163" i="193"/>
  <c r="M159" i="193"/>
  <c r="M167" i="193"/>
  <c r="M44" i="193"/>
  <c r="M56" i="193"/>
  <c r="M45" i="193"/>
  <c r="M58" i="193"/>
  <c r="M65" i="193"/>
  <c r="M60" i="193"/>
  <c r="M4" i="193"/>
  <c r="M16" i="193"/>
  <c r="M59" i="193"/>
  <c r="M11" i="193"/>
  <c r="M67" i="193"/>
  <c r="M57" i="193"/>
  <c r="M61" i="193"/>
  <c r="M6" i="193"/>
  <c r="M18" i="193"/>
  <c r="M55" i="193"/>
  <c r="M62" i="193"/>
  <c r="M64" i="193"/>
  <c r="M13" i="193"/>
  <c r="M50" i="193"/>
  <c r="M8" i="193"/>
  <c r="M20" i="193"/>
  <c r="M46" i="193"/>
  <c r="M53" i="193"/>
  <c r="M35" i="193"/>
  <c r="M15" i="193"/>
  <c r="M10" i="193"/>
  <c r="M38" i="193"/>
  <c r="M5" i="193"/>
  <c r="M63" i="193"/>
  <c r="M12" i="193"/>
  <c r="M24" i="193"/>
  <c r="M3" i="193"/>
  <c r="M9" i="193"/>
  <c r="M28" i="193"/>
  <c r="M7" i="193"/>
  <c r="M21" i="193"/>
  <c r="M22" i="193"/>
  <c r="M23" i="193"/>
  <c r="M26" i="193"/>
  <c r="M29" i="193"/>
  <c r="M25" i="193"/>
  <c r="M27" i="193"/>
  <c r="M19" i="193"/>
  <c r="M30" i="193"/>
  <c r="M52" i="193"/>
  <c r="M14" i="193"/>
  <c r="M17" i="193"/>
  <c r="M174" i="193"/>
  <c r="M173" i="193"/>
  <c r="M176" i="193"/>
  <c r="M175" i="193"/>
  <c r="M66" i="193"/>
  <c r="M33" i="193"/>
  <c r="M31" i="193"/>
  <c r="M34" i="193"/>
  <c r="M32" i="193"/>
  <c r="N1" i="193"/>
  <c r="T27" i="190"/>
  <c r="T28" i="190"/>
  <c r="T34" i="190"/>
  <c r="T31" i="190"/>
  <c r="T32" i="190"/>
  <c r="T30" i="190"/>
  <c r="T35" i="190"/>
  <c r="T36" i="190"/>
  <c r="T37" i="190"/>
  <c r="T38" i="190"/>
  <c r="T25" i="190"/>
  <c r="T29" i="190"/>
  <c r="T26" i="190"/>
  <c r="AH8" i="195" l="1"/>
  <c r="AH20" i="195"/>
  <c r="AH5" i="195"/>
  <c r="AI5" i="195" s="1"/>
  <c r="AH17" i="195"/>
  <c r="AI17" i="195" s="1"/>
  <c r="AH29" i="195"/>
  <c r="AH12" i="195"/>
  <c r="AI12" i="195" s="1"/>
  <c r="AH24" i="195"/>
  <c r="AI24" i="195" s="1"/>
  <c r="AH7" i="195"/>
  <c r="AI7" i="195" s="1"/>
  <c r="AH19" i="195"/>
  <c r="AI19" i="195" s="1"/>
  <c r="AH31" i="195"/>
  <c r="AI31" i="195" s="1"/>
  <c r="AH14" i="195"/>
  <c r="AI14" i="195" s="1"/>
  <c r="AH26" i="195"/>
  <c r="AI26" i="195" s="1"/>
  <c r="AH9" i="195"/>
  <c r="AH21" i="195"/>
  <c r="AH33" i="195"/>
  <c r="AI33" i="195" s="1"/>
  <c r="AH4" i="195"/>
  <c r="AI4" i="195" s="1"/>
  <c r="AH16" i="195"/>
  <c r="AH28" i="195"/>
  <c r="AI28" i="195" s="1"/>
  <c r="AH11" i="195"/>
  <c r="AI11" i="195" s="1"/>
  <c r="AH23" i="195"/>
  <c r="AI23" i="195" s="1"/>
  <c r="AH35" i="195"/>
  <c r="AI35" i="195" s="1"/>
  <c r="AH36" i="195"/>
  <c r="AI36" i="195" s="1"/>
  <c r="AH48" i="195"/>
  <c r="AI48" i="195" s="1"/>
  <c r="AH15" i="195"/>
  <c r="AI15" i="195" s="1"/>
  <c r="AH43" i="195"/>
  <c r="AH56" i="195"/>
  <c r="AH22" i="195"/>
  <c r="AI22" i="195" s="1"/>
  <c r="AH27" i="195"/>
  <c r="AI27" i="195" s="1"/>
  <c r="AH38" i="195"/>
  <c r="AH50" i="195"/>
  <c r="AI50" i="195" s="1"/>
  <c r="AH6" i="195"/>
  <c r="AI6" i="195" s="1"/>
  <c r="AH30" i="195"/>
  <c r="AI30" i="195" s="1"/>
  <c r="AH45" i="195"/>
  <c r="AI45" i="195" s="1"/>
  <c r="AH13" i="195"/>
  <c r="AI13" i="195" s="1"/>
  <c r="AH40" i="195"/>
  <c r="AI40" i="195" s="1"/>
  <c r="AH53" i="195"/>
  <c r="AI53" i="195" s="1"/>
  <c r="AH47" i="195"/>
  <c r="AH32" i="195"/>
  <c r="AI32" i="195" s="1"/>
  <c r="AH42" i="195"/>
  <c r="AI42" i="195" s="1"/>
  <c r="AH18" i="195"/>
  <c r="AI18" i="195" s="1"/>
  <c r="AH37" i="195"/>
  <c r="AH49" i="195"/>
  <c r="AI49" i="195" s="1"/>
  <c r="AH44" i="195"/>
  <c r="AI44" i="195" s="1"/>
  <c r="AH34" i="195"/>
  <c r="AI34" i="195" s="1"/>
  <c r="AH39" i="195"/>
  <c r="AI39" i="195" s="1"/>
  <c r="AH51" i="195"/>
  <c r="AI51" i="195" s="1"/>
  <c r="AH10" i="195"/>
  <c r="AI10" i="195" s="1"/>
  <c r="AH46" i="195"/>
  <c r="AI46" i="195" s="1"/>
  <c r="AH25" i="195"/>
  <c r="AH41" i="195"/>
  <c r="AI41" i="195" s="1"/>
  <c r="AH67" i="195"/>
  <c r="AI67" i="195" s="1"/>
  <c r="AH79" i="195"/>
  <c r="AH62" i="195"/>
  <c r="AI62" i="195" s="1"/>
  <c r="AH74" i="195"/>
  <c r="AH86" i="195"/>
  <c r="AH69" i="195"/>
  <c r="AH81" i="195"/>
  <c r="AH55" i="195"/>
  <c r="AI55" i="195" s="1"/>
  <c r="AH64" i="195"/>
  <c r="AI64" i="195" s="1"/>
  <c r="AH76" i="195"/>
  <c r="AH88" i="195"/>
  <c r="AH59" i="195"/>
  <c r="AI59" i="195" s="1"/>
  <c r="AH71" i="195"/>
  <c r="AH83" i="195"/>
  <c r="AH54" i="195"/>
  <c r="AI54" i="195" s="1"/>
  <c r="AH66" i="195"/>
  <c r="AI66" i="195" s="1"/>
  <c r="AH78" i="195"/>
  <c r="AH61" i="195"/>
  <c r="AI61" i="195" s="1"/>
  <c r="AH73" i="195"/>
  <c r="AH85" i="195"/>
  <c r="AH68" i="195"/>
  <c r="AI68" i="195" s="1"/>
  <c r="AH80" i="195"/>
  <c r="AH63" i="195"/>
  <c r="AH75" i="195"/>
  <c r="AH58" i="195"/>
  <c r="AI58" i="195" s="1"/>
  <c r="AH70" i="195"/>
  <c r="AH82" i="195"/>
  <c r="AH57" i="195"/>
  <c r="AI57" i="195" s="1"/>
  <c r="AH65" i="195"/>
  <c r="AI65" i="195" s="1"/>
  <c r="AH77" i="195"/>
  <c r="AH60" i="195"/>
  <c r="AI60" i="195" s="1"/>
  <c r="AH97" i="195"/>
  <c r="AH109" i="195"/>
  <c r="AH92" i="195"/>
  <c r="AH104" i="195"/>
  <c r="AH116" i="195"/>
  <c r="AH84" i="195"/>
  <c r="AH99" i="195"/>
  <c r="AH111" i="195"/>
  <c r="AH94" i="195"/>
  <c r="AH106" i="195"/>
  <c r="AH89" i="195"/>
  <c r="AH101" i="195"/>
  <c r="AH113" i="195"/>
  <c r="AH96" i="195"/>
  <c r="AH108" i="195"/>
  <c r="AH87" i="195"/>
  <c r="AH91" i="195"/>
  <c r="AH103" i="195"/>
  <c r="AH115" i="195"/>
  <c r="AH72" i="195"/>
  <c r="AH98" i="195"/>
  <c r="AH110" i="195"/>
  <c r="AH93" i="195"/>
  <c r="AH105" i="195"/>
  <c r="AH100" i="195"/>
  <c r="AH112" i="195"/>
  <c r="AH95" i="195"/>
  <c r="AH107" i="195"/>
  <c r="AH117" i="195"/>
  <c r="AH120" i="195"/>
  <c r="AH132" i="195"/>
  <c r="AH144" i="195"/>
  <c r="AH90" i="195"/>
  <c r="AH127" i="195"/>
  <c r="AH139" i="195"/>
  <c r="AH122" i="195"/>
  <c r="AH134" i="195"/>
  <c r="AH146" i="195"/>
  <c r="AH114" i="195"/>
  <c r="AH129" i="195"/>
  <c r="AH141" i="195"/>
  <c r="AH124" i="195"/>
  <c r="AH136" i="195"/>
  <c r="AH119" i="195"/>
  <c r="AH131" i="195"/>
  <c r="AH143" i="195"/>
  <c r="AH126" i="195"/>
  <c r="AH138" i="195"/>
  <c r="AH121" i="195"/>
  <c r="AH133" i="195"/>
  <c r="AH145" i="195"/>
  <c r="AH102" i="195"/>
  <c r="AH128" i="195"/>
  <c r="AH140" i="195"/>
  <c r="AH123" i="195"/>
  <c r="AH135" i="195"/>
  <c r="AH147" i="195"/>
  <c r="AH118" i="195"/>
  <c r="AH130" i="195"/>
  <c r="AH142" i="195"/>
  <c r="AH125" i="195"/>
  <c r="AH137" i="195"/>
  <c r="AH154" i="195"/>
  <c r="AH166" i="195"/>
  <c r="AH159" i="195"/>
  <c r="AH149" i="195"/>
  <c r="AH161" i="195"/>
  <c r="AH173" i="195"/>
  <c r="AH156" i="195"/>
  <c r="AH168" i="195"/>
  <c r="AH151" i="195"/>
  <c r="AH163" i="195"/>
  <c r="AH171" i="195"/>
  <c r="AH158" i="195"/>
  <c r="AH170" i="195"/>
  <c r="AH153" i="195"/>
  <c r="AH165" i="195"/>
  <c r="AH148" i="195"/>
  <c r="AH160" i="195"/>
  <c r="AH172" i="195"/>
  <c r="AH155" i="195"/>
  <c r="AH167" i="195"/>
  <c r="AH3" i="195"/>
  <c r="AI3" i="195" s="1"/>
  <c r="AH150" i="195"/>
  <c r="AH162" i="195"/>
  <c r="AH157" i="195"/>
  <c r="AH169" i="195"/>
  <c r="AH152" i="195"/>
  <c r="AH164" i="195"/>
  <c r="N172" i="193"/>
  <c r="N171" i="193"/>
  <c r="AI37" i="195"/>
  <c r="AI104" i="195"/>
  <c r="AH176" i="195"/>
  <c r="AI20" i="195"/>
  <c r="AI25" i="195"/>
  <c r="AI63" i="195"/>
  <c r="AH177" i="195"/>
  <c r="AI16" i="195"/>
  <c r="AI8" i="195"/>
  <c r="AI88" i="195"/>
  <c r="AI21" i="195"/>
  <c r="AH175" i="195"/>
  <c r="AH174" i="195"/>
  <c r="AI38" i="195"/>
  <c r="AI29" i="195"/>
  <c r="AI56" i="195"/>
  <c r="AI9" i="195"/>
  <c r="AI47" i="195"/>
  <c r="AI43" i="195"/>
  <c r="N70" i="193"/>
  <c r="N82" i="193"/>
  <c r="N72" i="193"/>
  <c r="N69" i="193"/>
  <c r="N76" i="193"/>
  <c r="N71" i="193"/>
  <c r="N78" i="193"/>
  <c r="N90" i="193"/>
  <c r="N73" i="193"/>
  <c r="N85" i="193"/>
  <c r="N68" i="193"/>
  <c r="N80" i="193"/>
  <c r="N92" i="193"/>
  <c r="N74" i="193"/>
  <c r="N96" i="193"/>
  <c r="N106" i="193"/>
  <c r="N84" i="193"/>
  <c r="N94" i="193"/>
  <c r="N101" i="193"/>
  <c r="N93" i="193"/>
  <c r="N103" i="193"/>
  <c r="N115" i="193"/>
  <c r="N77" i="193"/>
  <c r="N81" i="193"/>
  <c r="N83" i="193"/>
  <c r="N95" i="193"/>
  <c r="N97" i="193"/>
  <c r="N112" i="193"/>
  <c r="N86" i="193"/>
  <c r="N107" i="193"/>
  <c r="N87" i="193"/>
  <c r="N89" i="193"/>
  <c r="N104" i="193"/>
  <c r="N111" i="193"/>
  <c r="N127" i="193"/>
  <c r="N75" i="193"/>
  <c r="N88" i="193"/>
  <c r="N105" i="193"/>
  <c r="N117" i="193"/>
  <c r="N118" i="193"/>
  <c r="N119" i="193"/>
  <c r="N126" i="193"/>
  <c r="N91" i="193"/>
  <c r="N110" i="193"/>
  <c r="N121" i="193"/>
  <c r="N79" i="193"/>
  <c r="N98" i="193"/>
  <c r="N99" i="193"/>
  <c r="N100" i="193"/>
  <c r="N108" i="193"/>
  <c r="N135" i="193"/>
  <c r="N113" i="193"/>
  <c r="N124" i="193"/>
  <c r="N116" i="193"/>
  <c r="N131" i="193"/>
  <c r="N122" i="193"/>
  <c r="N137" i="193"/>
  <c r="N102" i="193"/>
  <c r="N109" i="193"/>
  <c r="N123" i="193"/>
  <c r="N138" i="193"/>
  <c r="N146" i="193"/>
  <c r="N120" i="193"/>
  <c r="N141" i="193"/>
  <c r="N151" i="193"/>
  <c r="N154" i="193"/>
  <c r="N125" i="193"/>
  <c r="N134" i="193"/>
  <c r="N152" i="193"/>
  <c r="N161" i="193"/>
  <c r="N140" i="193"/>
  <c r="N156" i="193"/>
  <c r="N158" i="193"/>
  <c r="N147" i="193"/>
  <c r="N148" i="193"/>
  <c r="N153" i="193"/>
  <c r="N136" i="193"/>
  <c r="N143" i="193"/>
  <c r="N155" i="193"/>
  <c r="N167" i="193"/>
  <c r="N42" i="193"/>
  <c r="N114" i="193"/>
  <c r="N128" i="193"/>
  <c r="N144" i="193"/>
  <c r="N149" i="193"/>
  <c r="N162" i="193"/>
  <c r="N37" i="193"/>
  <c r="N129" i="193"/>
  <c r="N133" i="193"/>
  <c r="N139" i="193"/>
  <c r="N142" i="193"/>
  <c r="N150" i="193"/>
  <c r="N157" i="193"/>
  <c r="N169" i="193"/>
  <c r="N44" i="193"/>
  <c r="N130" i="193"/>
  <c r="N38" i="193"/>
  <c r="N46" i="193"/>
  <c r="N51" i="193"/>
  <c r="N53" i="193"/>
  <c r="N164" i="193"/>
  <c r="N36" i="193"/>
  <c r="N160" i="193"/>
  <c r="N166" i="193"/>
  <c r="N40" i="193"/>
  <c r="N41" i="193"/>
  <c r="N47" i="193"/>
  <c r="N170" i="193"/>
  <c r="N145" i="193"/>
  <c r="N168" i="193"/>
  <c r="N49" i="193"/>
  <c r="N59" i="193"/>
  <c r="N43" i="193"/>
  <c r="N163" i="193"/>
  <c r="N165" i="193"/>
  <c r="N50" i="193"/>
  <c r="N61" i="193"/>
  <c r="N132" i="193"/>
  <c r="N159" i="193"/>
  <c r="N67" i="193"/>
  <c r="N52" i="193"/>
  <c r="N7" i="193"/>
  <c r="N45" i="193"/>
  <c r="N65" i="193"/>
  <c r="N60" i="193"/>
  <c r="N9" i="193"/>
  <c r="N58" i="193"/>
  <c r="N4" i="193"/>
  <c r="N16" i="193"/>
  <c r="N11" i="193"/>
  <c r="N56" i="193"/>
  <c r="N57" i="193"/>
  <c r="N6" i="193"/>
  <c r="N55" i="193"/>
  <c r="N62" i="193"/>
  <c r="N64" i="193"/>
  <c r="N35" i="193"/>
  <c r="N13" i="193"/>
  <c r="N54" i="193"/>
  <c r="N8" i="193"/>
  <c r="N20" i="193"/>
  <c r="N10" i="193"/>
  <c r="N5" i="193"/>
  <c r="N17" i="193"/>
  <c r="N29" i="193"/>
  <c r="N15" i="193"/>
  <c r="N25" i="193"/>
  <c r="N39" i="193"/>
  <c r="N21" i="193"/>
  <c r="N22" i="193"/>
  <c r="N18" i="193"/>
  <c r="N23" i="193"/>
  <c r="N26" i="193"/>
  <c r="N48" i="193"/>
  <c r="N63" i="193"/>
  <c r="N24" i="193"/>
  <c r="N12" i="193"/>
  <c r="N27" i="193"/>
  <c r="N28" i="193"/>
  <c r="N3" i="193"/>
  <c r="N14" i="193"/>
  <c r="N19" i="193"/>
  <c r="N30" i="193"/>
  <c r="N176" i="193"/>
  <c r="N174" i="193"/>
  <c r="N175" i="193"/>
  <c r="N173" i="193"/>
  <c r="N66" i="193"/>
  <c r="N33" i="193"/>
  <c r="N32" i="193"/>
  <c r="N31" i="193"/>
  <c r="N34" i="193"/>
  <c r="O1" i="193"/>
  <c r="T24" i="190"/>
  <c r="T23" i="190"/>
  <c r="T22" i="190"/>
  <c r="AI157" i="195" l="1"/>
  <c r="AI168" i="195"/>
  <c r="AI140" i="195"/>
  <c r="AI169" i="195"/>
  <c r="AI160" i="195"/>
  <c r="AI170" i="195"/>
  <c r="AI151" i="195"/>
  <c r="AI161" i="195"/>
  <c r="AI154" i="195"/>
  <c r="AI130" i="195"/>
  <c r="AI123" i="195"/>
  <c r="AI145" i="195"/>
  <c r="AI126" i="195"/>
  <c r="AI136" i="195"/>
  <c r="AI114" i="195"/>
  <c r="AI139" i="195"/>
  <c r="AI132" i="195"/>
  <c r="AI95" i="195"/>
  <c r="AI93" i="195"/>
  <c r="AI115" i="195"/>
  <c r="AI108" i="195"/>
  <c r="AI89" i="195"/>
  <c r="AI99" i="195"/>
  <c r="AI92" i="195"/>
  <c r="AI77" i="195"/>
  <c r="AI70" i="195"/>
  <c r="AI80" i="195"/>
  <c r="AI83" i="195"/>
  <c r="AI76" i="195"/>
  <c r="AI69" i="195"/>
  <c r="AI79" i="195"/>
  <c r="AI148" i="195"/>
  <c r="AI118" i="195"/>
  <c r="AI124" i="195"/>
  <c r="AI127" i="195"/>
  <c r="AI120" i="195"/>
  <c r="AI112" i="195"/>
  <c r="AI110" i="195"/>
  <c r="AI103" i="195"/>
  <c r="AI96" i="195"/>
  <c r="AI106" i="195"/>
  <c r="AI84" i="195"/>
  <c r="AI109" i="195"/>
  <c r="AI78" i="195"/>
  <c r="AI71" i="195"/>
  <c r="AI158" i="195"/>
  <c r="AI137" i="195"/>
  <c r="AI143" i="195"/>
  <c r="AI164" i="195"/>
  <c r="AI155" i="195"/>
  <c r="AI171" i="195"/>
  <c r="AI159" i="195"/>
  <c r="AI147" i="195"/>
  <c r="AI128" i="195"/>
  <c r="AI141" i="195"/>
  <c r="AI90" i="195"/>
  <c r="AI117" i="195"/>
  <c r="AI100" i="195"/>
  <c r="AI98" i="195"/>
  <c r="AI91" i="195"/>
  <c r="AI113" i="195"/>
  <c r="AI94" i="195"/>
  <c r="AI116" i="195"/>
  <c r="AI97" i="195"/>
  <c r="AI75" i="195"/>
  <c r="AI85" i="195"/>
  <c r="AI74" i="195"/>
  <c r="AI167" i="195"/>
  <c r="AI149" i="195"/>
  <c r="AI133" i="195"/>
  <c r="AI146" i="195"/>
  <c r="AI162" i="195"/>
  <c r="AI165" i="195"/>
  <c r="AI156" i="195"/>
  <c r="AI125" i="195"/>
  <c r="AI121" i="195"/>
  <c r="AI131" i="195"/>
  <c r="AI134" i="195"/>
  <c r="AI152" i="195"/>
  <c r="AI150" i="195"/>
  <c r="AI172" i="195"/>
  <c r="AI153" i="195"/>
  <c r="AI163" i="195"/>
  <c r="AI173" i="195"/>
  <c r="AI166" i="195"/>
  <c r="AI142" i="195"/>
  <c r="AI135" i="195"/>
  <c r="AI102" i="195"/>
  <c r="AI119" i="195"/>
  <c r="AI129" i="195"/>
  <c r="AI122" i="195"/>
  <c r="AI144" i="195"/>
  <c r="AI107" i="195"/>
  <c r="AI105" i="195"/>
  <c r="AI72" i="195"/>
  <c r="AI87" i="195"/>
  <c r="AI101" i="195"/>
  <c r="AI111" i="195"/>
  <c r="AI82" i="195"/>
  <c r="AI73" i="195"/>
  <c r="AI81" i="195"/>
  <c r="O171" i="193"/>
  <c r="O172" i="193"/>
  <c r="O75" i="193"/>
  <c r="O70" i="193"/>
  <c r="O72" i="193"/>
  <c r="O74" i="193"/>
  <c r="O69" i="193"/>
  <c r="O81" i="193"/>
  <c r="O71" i="193"/>
  <c r="O83" i="193"/>
  <c r="O95" i="193"/>
  <c r="O78" i="193"/>
  <c r="O90" i="193"/>
  <c r="O73" i="193"/>
  <c r="O85" i="193"/>
  <c r="O97" i="193"/>
  <c r="O68" i="193"/>
  <c r="O111" i="193"/>
  <c r="O80" i="193"/>
  <c r="O82" i="193"/>
  <c r="O96" i="193"/>
  <c r="O106" i="193"/>
  <c r="O92" i="193"/>
  <c r="O108" i="193"/>
  <c r="O118" i="193"/>
  <c r="O79" i="193"/>
  <c r="O84" i="193"/>
  <c r="O88" i="193"/>
  <c r="O100" i="193"/>
  <c r="O120" i="193"/>
  <c r="O89" i="193"/>
  <c r="O99" i="193"/>
  <c r="O94" i="193"/>
  <c r="O105" i="193"/>
  <c r="O102" i="193"/>
  <c r="O103" i="193"/>
  <c r="O113" i="193"/>
  <c r="O104" i="193"/>
  <c r="O109" i="193"/>
  <c r="O87" i="193"/>
  <c r="O93" i="193"/>
  <c r="O76" i="193"/>
  <c r="O107" i="193"/>
  <c r="O112" i="193"/>
  <c r="O131" i="193"/>
  <c r="O126" i="193"/>
  <c r="O91" i="193"/>
  <c r="O86" i="193"/>
  <c r="O98" i="193"/>
  <c r="O101" i="193"/>
  <c r="O114" i="193"/>
  <c r="O122" i="193"/>
  <c r="O128" i="193"/>
  <c r="O140" i="193"/>
  <c r="O77" i="193"/>
  <c r="O115" i="193"/>
  <c r="O121" i="193"/>
  <c r="O124" i="193"/>
  <c r="O116" i="193"/>
  <c r="O139" i="193"/>
  <c r="O117" i="193"/>
  <c r="O132" i="193"/>
  <c r="O110" i="193"/>
  <c r="O119" i="193"/>
  <c r="O123" i="193"/>
  <c r="O134" i="193"/>
  <c r="O144" i="193"/>
  <c r="O135" i="193"/>
  <c r="O151" i="193"/>
  <c r="O138" i="193"/>
  <c r="O146" i="193"/>
  <c r="O130" i="193"/>
  <c r="O137" i="193"/>
  <c r="O154" i="193"/>
  <c r="O166" i="193"/>
  <c r="O125" i="193"/>
  <c r="O152" i="193"/>
  <c r="O156" i="193"/>
  <c r="O163" i="193"/>
  <c r="O158" i="193"/>
  <c r="O145" i="193"/>
  <c r="O160" i="193"/>
  <c r="O47" i="193"/>
  <c r="O136" i="193"/>
  <c r="O143" i="193"/>
  <c r="O155" i="193"/>
  <c r="O167" i="193"/>
  <c r="O141" i="193"/>
  <c r="O149" i="193"/>
  <c r="O162" i="193"/>
  <c r="O37" i="193"/>
  <c r="O49" i="193"/>
  <c r="O129" i="193"/>
  <c r="O133" i="193"/>
  <c r="O142" i="193"/>
  <c r="O150" i="193"/>
  <c r="O127" i="193"/>
  <c r="O39" i="193"/>
  <c r="O45" i="193"/>
  <c r="O38" i="193"/>
  <c r="O164" i="193"/>
  <c r="O36" i="193"/>
  <c r="O40" i="193"/>
  <c r="O157" i="193"/>
  <c r="O169" i="193"/>
  <c r="O41" i="193"/>
  <c r="O170" i="193"/>
  <c r="O48" i="193"/>
  <c r="O168" i="193"/>
  <c r="O42" i="193"/>
  <c r="O52" i="193"/>
  <c r="O161" i="193"/>
  <c r="O43" i="193"/>
  <c r="O54" i="193"/>
  <c r="O147" i="193"/>
  <c r="O165" i="193"/>
  <c r="O67" i="193"/>
  <c r="O44" i="193"/>
  <c r="O50" i="193"/>
  <c r="O153" i="193"/>
  <c r="O159" i="193"/>
  <c r="O56" i="193"/>
  <c r="O63" i="193"/>
  <c r="O12" i="193"/>
  <c r="O148" i="193"/>
  <c r="O65" i="193"/>
  <c r="O14" i="193"/>
  <c r="O60" i="193"/>
  <c r="O9" i="193"/>
  <c r="O58" i="193"/>
  <c r="O59" i="193"/>
  <c r="O4" i="193"/>
  <c r="O16" i="193"/>
  <c r="O61" i="193"/>
  <c r="O35" i="193"/>
  <c r="O11" i="193"/>
  <c r="O57" i="193"/>
  <c r="O6" i="193"/>
  <c r="O18" i="193"/>
  <c r="O51" i="193"/>
  <c r="O55" i="193"/>
  <c r="O62" i="193"/>
  <c r="O64" i="193"/>
  <c r="O13" i="193"/>
  <c r="O46" i="193"/>
  <c r="O53" i="193"/>
  <c r="O8" i="193"/>
  <c r="O10" i="193"/>
  <c r="O22" i="193"/>
  <c r="O3" i="193"/>
  <c r="O15" i="193"/>
  <c r="O7" i="193"/>
  <c r="O28" i="193"/>
  <c r="O21" i="193"/>
  <c r="O20" i="193"/>
  <c r="O23" i="193"/>
  <c r="O26" i="193"/>
  <c r="O29" i="193"/>
  <c r="O5" i="193"/>
  <c r="O24" i="193"/>
  <c r="O25" i="193"/>
  <c r="O17" i="193"/>
  <c r="O27" i="193"/>
  <c r="O19" i="193"/>
  <c r="O30" i="193"/>
  <c r="O176" i="193"/>
  <c r="O174" i="193"/>
  <c r="O175" i="193"/>
  <c r="O173" i="193"/>
  <c r="O66" i="193"/>
  <c r="O32" i="193"/>
  <c r="O33" i="193"/>
  <c r="O31" i="193"/>
  <c r="P1" i="193"/>
  <c r="O34" i="193"/>
  <c r="T20" i="190"/>
  <c r="T21" i="190"/>
  <c r="P171" i="193" l="1"/>
  <c r="P172" i="193"/>
  <c r="P68" i="193"/>
  <c r="P80" i="193"/>
  <c r="P75" i="193"/>
  <c r="P70" i="193"/>
  <c r="P72" i="193"/>
  <c r="P74" i="193"/>
  <c r="P69" i="193"/>
  <c r="P76" i="193"/>
  <c r="P88" i="193"/>
  <c r="P100" i="193"/>
  <c r="P71" i="193"/>
  <c r="P83" i="193"/>
  <c r="P95" i="193"/>
  <c r="P78" i="193"/>
  <c r="P90" i="193"/>
  <c r="P104" i="193"/>
  <c r="P84" i="193"/>
  <c r="P94" i="193"/>
  <c r="P97" i="193"/>
  <c r="P101" i="193"/>
  <c r="P113" i="193"/>
  <c r="P102" i="193"/>
  <c r="P110" i="193"/>
  <c r="P114" i="193"/>
  <c r="P123" i="193"/>
  <c r="P73" i="193"/>
  <c r="P77" i="193"/>
  <c r="P82" i="193"/>
  <c r="P111" i="193"/>
  <c r="P85" i="193"/>
  <c r="P91" i="193"/>
  <c r="P89" i="193"/>
  <c r="P99" i="193"/>
  <c r="P86" i="193"/>
  <c r="P96" i="193"/>
  <c r="P106" i="193"/>
  <c r="P107" i="193"/>
  <c r="P108" i="193"/>
  <c r="P125" i="193"/>
  <c r="P105" i="193"/>
  <c r="P127" i="193"/>
  <c r="P87" i="193"/>
  <c r="P92" i="193"/>
  <c r="P93" i="193"/>
  <c r="P115" i="193"/>
  <c r="P116" i="193"/>
  <c r="P120" i="193"/>
  <c r="P124" i="193"/>
  <c r="P81" i="193"/>
  <c r="P112" i="193"/>
  <c r="P79" i="193"/>
  <c r="P121" i="193"/>
  <c r="P133" i="193"/>
  <c r="P98" i="193"/>
  <c r="P136" i="193"/>
  <c r="P117" i="193"/>
  <c r="P122" i="193"/>
  <c r="P118" i="193"/>
  <c r="P109" i="193"/>
  <c r="P119" i="193"/>
  <c r="P103" i="193"/>
  <c r="P134" i="193"/>
  <c r="P144" i="193"/>
  <c r="P135" i="193"/>
  <c r="P151" i="193"/>
  <c r="P126" i="193"/>
  <c r="P130" i="193"/>
  <c r="P137" i="193"/>
  <c r="P159" i="193"/>
  <c r="P154" i="193"/>
  <c r="P140" i="193"/>
  <c r="P152" i="193"/>
  <c r="P131" i="193"/>
  <c r="P156" i="193"/>
  <c r="P138" i="193"/>
  <c r="P132" i="193"/>
  <c r="P147" i="193"/>
  <c r="P148" i="193"/>
  <c r="P153" i="193"/>
  <c r="P165" i="193"/>
  <c r="P40" i="193"/>
  <c r="P145" i="193"/>
  <c r="P160" i="193"/>
  <c r="P128" i="193"/>
  <c r="P143" i="193"/>
  <c r="P155" i="193"/>
  <c r="P167" i="193"/>
  <c r="P42" i="193"/>
  <c r="P139" i="193"/>
  <c r="P141" i="193"/>
  <c r="P149" i="193"/>
  <c r="P129" i="193"/>
  <c r="P142" i="193"/>
  <c r="P150" i="193"/>
  <c r="P157" i="193"/>
  <c r="P37" i="193"/>
  <c r="P39" i="193"/>
  <c r="P162" i="193"/>
  <c r="P38" i="193"/>
  <c r="P46" i="193"/>
  <c r="P164" i="193"/>
  <c r="P166" i="193"/>
  <c r="P36" i="193"/>
  <c r="P169" i="193"/>
  <c r="P41" i="193"/>
  <c r="P170" i="193"/>
  <c r="P48" i="193"/>
  <c r="P57" i="193"/>
  <c r="P146" i="193"/>
  <c r="P168" i="193"/>
  <c r="P67" i="193"/>
  <c r="P59" i="193"/>
  <c r="P161" i="193"/>
  <c r="P163" i="193"/>
  <c r="P43" i="193"/>
  <c r="P44" i="193"/>
  <c r="P50" i="193"/>
  <c r="P61" i="193"/>
  <c r="P5" i="193"/>
  <c r="P52" i="193"/>
  <c r="P63" i="193"/>
  <c r="P45" i="193"/>
  <c r="P7" i="193"/>
  <c r="P19" i="193"/>
  <c r="P47" i="193"/>
  <c r="P65" i="193"/>
  <c r="P14" i="193"/>
  <c r="P60" i="193"/>
  <c r="P35" i="193"/>
  <c r="P9" i="193"/>
  <c r="P158" i="193"/>
  <c r="P58" i="193"/>
  <c r="P4" i="193"/>
  <c r="P56" i="193"/>
  <c r="P11" i="193"/>
  <c r="P6" i="193"/>
  <c r="P18" i="193"/>
  <c r="P49" i="193"/>
  <c r="P51" i="193"/>
  <c r="P54" i="193"/>
  <c r="P55" i="193"/>
  <c r="P62" i="193"/>
  <c r="P64" i="193"/>
  <c r="P53" i="193"/>
  <c r="P8" i="193"/>
  <c r="P15" i="193"/>
  <c r="P27" i="193"/>
  <c r="P30" i="193"/>
  <c r="P25" i="193"/>
  <c r="P22" i="193"/>
  <c r="P28" i="193"/>
  <c r="P3" i="193"/>
  <c r="P21" i="193"/>
  <c r="P10" i="193"/>
  <c r="P16" i="193"/>
  <c r="P20" i="193"/>
  <c r="P13" i="193"/>
  <c r="P23" i="193"/>
  <c r="P26" i="193"/>
  <c r="P29" i="193"/>
  <c r="P12" i="193"/>
  <c r="P24" i="193"/>
  <c r="P17" i="193"/>
  <c r="P175" i="193"/>
  <c r="P176" i="193"/>
  <c r="P174" i="193"/>
  <c r="P173" i="193"/>
  <c r="P66" i="193"/>
  <c r="P34" i="193"/>
  <c r="P31" i="193"/>
  <c r="P32" i="193"/>
  <c r="P33" i="193"/>
  <c r="Q1" i="193"/>
  <c r="T6" i="190"/>
  <c r="T7" i="190"/>
  <c r="T8" i="190"/>
  <c r="T9" i="190"/>
  <c r="T10" i="190"/>
  <c r="T11" i="190"/>
  <c r="T12" i="190"/>
  <c r="T13" i="190"/>
  <c r="T14" i="190"/>
  <c r="T15" i="190"/>
  <c r="T16" i="190"/>
  <c r="T17" i="190"/>
  <c r="T18" i="190"/>
  <c r="T19" i="190"/>
  <c r="Q171" i="193" l="1"/>
  <c r="Q172" i="193"/>
  <c r="Q73" i="193"/>
  <c r="Q85" i="193"/>
  <c r="Q68" i="193"/>
  <c r="Q70" i="193"/>
  <c r="Q72" i="193"/>
  <c r="Q79" i="193"/>
  <c r="Q74" i="193"/>
  <c r="Q69" i="193"/>
  <c r="Q81" i="193"/>
  <c r="Q93" i="193"/>
  <c r="Q76" i="193"/>
  <c r="Q88" i="193"/>
  <c r="Q71" i="193"/>
  <c r="Q83" i="193"/>
  <c r="Q95" i="193"/>
  <c r="Q75" i="193"/>
  <c r="Q109" i="193"/>
  <c r="Q104" i="193"/>
  <c r="Q82" i="193"/>
  <c r="Q96" i="193"/>
  <c r="Q106" i="193"/>
  <c r="Q98" i="193"/>
  <c r="Q101" i="193"/>
  <c r="Q116" i="193"/>
  <c r="Q78" i="193"/>
  <c r="Q80" i="193"/>
  <c r="Q118" i="193"/>
  <c r="Q112" i="193"/>
  <c r="Q91" i="193"/>
  <c r="Q113" i="193"/>
  <c r="Q77" i="193"/>
  <c r="Q89" i="193"/>
  <c r="Q103" i="193"/>
  <c r="Q123" i="193"/>
  <c r="Q94" i="193"/>
  <c r="Q105" i="193"/>
  <c r="Q87" i="193"/>
  <c r="Q92" i="193"/>
  <c r="Q117" i="193"/>
  <c r="Q119" i="193"/>
  <c r="Q129" i="193"/>
  <c r="Q107" i="193"/>
  <c r="Q115" i="193"/>
  <c r="Q120" i="193"/>
  <c r="Q124" i="193"/>
  <c r="Q99" i="193"/>
  <c r="Q100" i="193"/>
  <c r="Q110" i="193"/>
  <c r="Q126" i="193"/>
  <c r="Q138" i="193"/>
  <c r="Q114" i="193"/>
  <c r="Q97" i="193"/>
  <c r="Q121" i="193"/>
  <c r="Q128" i="193"/>
  <c r="Q130" i="193"/>
  <c r="Q84" i="193"/>
  <c r="Q86" i="193"/>
  <c r="Q111" i="193"/>
  <c r="Q131" i="193"/>
  <c r="Q139" i="193"/>
  <c r="Q122" i="193"/>
  <c r="Q90" i="193"/>
  <c r="Q102" i="193"/>
  <c r="Q125" i="193"/>
  <c r="Q127" i="193"/>
  <c r="Q140" i="193"/>
  <c r="Q142" i="193"/>
  <c r="Q108" i="193"/>
  <c r="Q149" i="193"/>
  <c r="Q134" i="193"/>
  <c r="Q144" i="193"/>
  <c r="Q150" i="193"/>
  <c r="Q157" i="193"/>
  <c r="Q151" i="193"/>
  <c r="Q164" i="193"/>
  <c r="Q137" i="193"/>
  <c r="Q154" i="193"/>
  <c r="Q135" i="193"/>
  <c r="Q152" i="193"/>
  <c r="Q161" i="193"/>
  <c r="Q156" i="193"/>
  <c r="Q146" i="193"/>
  <c r="Q158" i="193"/>
  <c r="Q170" i="193"/>
  <c r="Q45" i="193"/>
  <c r="Q132" i="193"/>
  <c r="Q147" i="193"/>
  <c r="Q148" i="193"/>
  <c r="Q153" i="193"/>
  <c r="Q165" i="193"/>
  <c r="Q136" i="193"/>
  <c r="Q145" i="193"/>
  <c r="Q160" i="193"/>
  <c r="Q47" i="193"/>
  <c r="Q143" i="193"/>
  <c r="Q133" i="193"/>
  <c r="Q141" i="193"/>
  <c r="Q37" i="193"/>
  <c r="Q39" i="193"/>
  <c r="Q162" i="193"/>
  <c r="Q38" i="193"/>
  <c r="Q46" i="193"/>
  <c r="Q51" i="193"/>
  <c r="Q166" i="193"/>
  <c r="Q36" i="193"/>
  <c r="Q40" i="193"/>
  <c r="Q155" i="193"/>
  <c r="Q169" i="193"/>
  <c r="Q41" i="193"/>
  <c r="Q67" i="193"/>
  <c r="Q42" i="193"/>
  <c r="Q168" i="193"/>
  <c r="Q49" i="193"/>
  <c r="Q52" i="193"/>
  <c r="Q167" i="193"/>
  <c r="Q163" i="193"/>
  <c r="Q43" i="193"/>
  <c r="Q54" i="193"/>
  <c r="Q48" i="193"/>
  <c r="Q10" i="193"/>
  <c r="Q5" i="193"/>
  <c r="Q63" i="193"/>
  <c r="Q12" i="193"/>
  <c r="Q35" i="193"/>
  <c r="Q7" i="193"/>
  <c r="Q65" i="193"/>
  <c r="Q14" i="193"/>
  <c r="Q59" i="193"/>
  <c r="Q60" i="193"/>
  <c r="Q9" i="193"/>
  <c r="Q159" i="193"/>
  <c r="Q58" i="193"/>
  <c r="Q61" i="193"/>
  <c r="Q4" i="193"/>
  <c r="Q16" i="193"/>
  <c r="Q50" i="193"/>
  <c r="Q56" i="193"/>
  <c r="Q57" i="193"/>
  <c r="Q11" i="193"/>
  <c r="Q23" i="193"/>
  <c r="Q6" i="193"/>
  <c r="Q55" i="193"/>
  <c r="Q62" i="193"/>
  <c r="Q64" i="193"/>
  <c r="Q44" i="193"/>
  <c r="Q53" i="193"/>
  <c r="Q8" i="193"/>
  <c r="Q20" i="193"/>
  <c r="Q17" i="193"/>
  <c r="Q19" i="193"/>
  <c r="Q30" i="193"/>
  <c r="Q15" i="193"/>
  <c r="Q25" i="193"/>
  <c r="Q28" i="193"/>
  <c r="Q22" i="193"/>
  <c r="Q18" i="193"/>
  <c r="Q21" i="193"/>
  <c r="Q26" i="193"/>
  <c r="Q13" i="193"/>
  <c r="Q3" i="193"/>
  <c r="Q29" i="193"/>
  <c r="Q27" i="193"/>
  <c r="Q24" i="193"/>
  <c r="Q174" i="193"/>
  <c r="Q173" i="193"/>
  <c r="Q175" i="193"/>
  <c r="Q176" i="193"/>
  <c r="Q66" i="193"/>
  <c r="Q33" i="193"/>
  <c r="Q31" i="193"/>
  <c r="Q34" i="193"/>
  <c r="Q32" i="193"/>
  <c r="R1" i="193"/>
  <c r="B60" i="188"/>
  <c r="R171" i="193" l="1"/>
  <c r="R172" i="193"/>
  <c r="R78" i="193"/>
  <c r="R73" i="193"/>
  <c r="R68" i="193"/>
  <c r="R75" i="193"/>
  <c r="R70" i="193"/>
  <c r="R72" i="193"/>
  <c r="R74" i="193"/>
  <c r="R86" i="193"/>
  <c r="R98" i="193"/>
  <c r="R69" i="193"/>
  <c r="R81" i="193"/>
  <c r="R93" i="193"/>
  <c r="R76" i="193"/>
  <c r="R88" i="193"/>
  <c r="R84" i="193"/>
  <c r="R85" i="193"/>
  <c r="R102" i="193"/>
  <c r="R71" i="193"/>
  <c r="R80" i="193"/>
  <c r="R95" i="193"/>
  <c r="R111" i="193"/>
  <c r="R87" i="193"/>
  <c r="R90" i="193"/>
  <c r="R103" i="193"/>
  <c r="R109" i="193"/>
  <c r="R121" i="193"/>
  <c r="R110" i="193"/>
  <c r="R114" i="193"/>
  <c r="R123" i="193"/>
  <c r="R77" i="193"/>
  <c r="R79" i="193"/>
  <c r="R89" i="193"/>
  <c r="R99" i="193"/>
  <c r="R117" i="193"/>
  <c r="R96" i="193"/>
  <c r="R97" i="193"/>
  <c r="R82" i="193"/>
  <c r="R94" i="193"/>
  <c r="R104" i="193"/>
  <c r="R125" i="193"/>
  <c r="R83" i="193"/>
  <c r="R105" i="193"/>
  <c r="R134" i="193"/>
  <c r="R92" i="193"/>
  <c r="R116" i="193"/>
  <c r="R119" i="193"/>
  <c r="R129" i="193"/>
  <c r="R91" i="193"/>
  <c r="R131" i="193"/>
  <c r="R107" i="193"/>
  <c r="R113" i="193"/>
  <c r="R115" i="193"/>
  <c r="R112" i="193"/>
  <c r="R124" i="193"/>
  <c r="R126" i="193"/>
  <c r="R100" i="193"/>
  <c r="R136" i="193"/>
  <c r="R101" i="193"/>
  <c r="R106" i="193"/>
  <c r="R118" i="193"/>
  <c r="R122" i="193"/>
  <c r="R133" i="193"/>
  <c r="R137" i="193"/>
  <c r="R147" i="193"/>
  <c r="R127" i="193"/>
  <c r="R140" i="193"/>
  <c r="R142" i="193"/>
  <c r="R108" i="193"/>
  <c r="R149" i="193"/>
  <c r="R141" i="193"/>
  <c r="R150" i="193"/>
  <c r="R157" i="193"/>
  <c r="R130" i="193"/>
  <c r="R151" i="193"/>
  <c r="R120" i="193"/>
  <c r="R154" i="193"/>
  <c r="R166" i="193"/>
  <c r="R135" i="193"/>
  <c r="R152" i="193"/>
  <c r="R163" i="193"/>
  <c r="R38" i="193"/>
  <c r="R146" i="193"/>
  <c r="R158" i="193"/>
  <c r="R170" i="193"/>
  <c r="R132" i="193"/>
  <c r="R144" i="193"/>
  <c r="R148" i="193"/>
  <c r="R153" i="193"/>
  <c r="R165" i="193"/>
  <c r="R40" i="193"/>
  <c r="R128" i="193"/>
  <c r="R145" i="193"/>
  <c r="R139" i="193"/>
  <c r="R143" i="193"/>
  <c r="R155" i="193"/>
  <c r="R159" i="193"/>
  <c r="R44" i="193"/>
  <c r="R50" i="193"/>
  <c r="R45" i="193"/>
  <c r="R160" i="193"/>
  <c r="R37" i="193"/>
  <c r="R39" i="193"/>
  <c r="R162" i="193"/>
  <c r="R164" i="193"/>
  <c r="R46" i="193"/>
  <c r="R138" i="193"/>
  <c r="R36" i="193"/>
  <c r="R47" i="193"/>
  <c r="R67" i="193"/>
  <c r="R55" i="193"/>
  <c r="R169" i="193"/>
  <c r="R41" i="193"/>
  <c r="R42" i="193"/>
  <c r="R48" i="193"/>
  <c r="R57" i="193"/>
  <c r="R168" i="193"/>
  <c r="R49" i="193"/>
  <c r="R161" i="193"/>
  <c r="R167" i="193"/>
  <c r="R59" i="193"/>
  <c r="R52" i="193"/>
  <c r="R35" i="193"/>
  <c r="R5" i="193"/>
  <c r="R17" i="193"/>
  <c r="R63" i="193"/>
  <c r="R12" i="193"/>
  <c r="R156" i="193"/>
  <c r="R7" i="193"/>
  <c r="R19" i="193"/>
  <c r="R65" i="193"/>
  <c r="R60" i="193"/>
  <c r="R9" i="193"/>
  <c r="R21" i="193"/>
  <c r="R58" i="193"/>
  <c r="R61" i="193"/>
  <c r="R4" i="193"/>
  <c r="R16" i="193"/>
  <c r="R43" i="193"/>
  <c r="R56" i="193"/>
  <c r="R51" i="193"/>
  <c r="R54" i="193"/>
  <c r="R6" i="193"/>
  <c r="R62" i="193"/>
  <c r="R64" i="193"/>
  <c r="R13" i="193"/>
  <c r="R25" i="193"/>
  <c r="R27" i="193"/>
  <c r="R11" i="193"/>
  <c r="R15" i="193"/>
  <c r="R22" i="193"/>
  <c r="R28" i="193"/>
  <c r="R3" i="193"/>
  <c r="R10" i="193"/>
  <c r="R18" i="193"/>
  <c r="R20" i="193"/>
  <c r="R23" i="193"/>
  <c r="R8" i="193"/>
  <c r="R26" i="193"/>
  <c r="R29" i="193"/>
  <c r="R53" i="193"/>
  <c r="R14" i="193"/>
  <c r="R24" i="193"/>
  <c r="R30" i="193"/>
  <c r="R173" i="193"/>
  <c r="R175" i="193"/>
  <c r="R176" i="193"/>
  <c r="R174" i="193"/>
  <c r="R66" i="193"/>
  <c r="R34" i="193"/>
  <c r="R31" i="193"/>
  <c r="R33" i="193"/>
  <c r="R32" i="193"/>
  <c r="S1" i="193"/>
  <c r="T5" i="190"/>
  <c r="T84" i="190" s="1"/>
  <c r="S171" i="193" l="1"/>
  <c r="S172" i="193"/>
  <c r="S71" i="193"/>
  <c r="S83" i="193"/>
  <c r="S73" i="193"/>
  <c r="S68" i="193"/>
  <c r="S70" i="193"/>
  <c r="S77" i="193"/>
  <c r="S72" i="193"/>
  <c r="S79" i="193"/>
  <c r="S91" i="193"/>
  <c r="S74" i="193"/>
  <c r="S86" i="193"/>
  <c r="S69" i="193"/>
  <c r="S81" i="193"/>
  <c r="S93" i="193"/>
  <c r="S76" i="193"/>
  <c r="S82" i="193"/>
  <c r="S100" i="193"/>
  <c r="S107" i="193"/>
  <c r="S85" i="193"/>
  <c r="S102" i="193"/>
  <c r="S78" i="193"/>
  <c r="S104" i="193"/>
  <c r="S92" i="193"/>
  <c r="S105" i="193"/>
  <c r="S101" i="193"/>
  <c r="S116" i="193"/>
  <c r="S84" i="193"/>
  <c r="S97" i="193"/>
  <c r="S75" i="193"/>
  <c r="S90" i="193"/>
  <c r="S98" i="193"/>
  <c r="S96" i="193"/>
  <c r="S89" i="193"/>
  <c r="S95" i="193"/>
  <c r="S122" i="193"/>
  <c r="S80" i="193"/>
  <c r="S103" i="193"/>
  <c r="S88" i="193"/>
  <c r="S111" i="193"/>
  <c r="S113" i="193"/>
  <c r="S94" i="193"/>
  <c r="S106" i="193"/>
  <c r="S118" i="193"/>
  <c r="S127" i="193"/>
  <c r="S87" i="193"/>
  <c r="S117" i="193"/>
  <c r="S112" i="193"/>
  <c r="S115" i="193"/>
  <c r="S120" i="193"/>
  <c r="S124" i="193"/>
  <c r="S136" i="193"/>
  <c r="S114" i="193"/>
  <c r="S129" i="193"/>
  <c r="S99" i="193"/>
  <c r="S121" i="193"/>
  <c r="S128" i="193"/>
  <c r="S130" i="193"/>
  <c r="S110" i="193"/>
  <c r="S132" i="193"/>
  <c r="S109" i="193"/>
  <c r="S119" i="193"/>
  <c r="S123" i="193"/>
  <c r="S125" i="193"/>
  <c r="S133" i="193"/>
  <c r="S137" i="193"/>
  <c r="S147" i="193"/>
  <c r="S140" i="193"/>
  <c r="S142" i="193"/>
  <c r="S139" i="193"/>
  <c r="S143" i="193"/>
  <c r="S155" i="193"/>
  <c r="S126" i="193"/>
  <c r="S141" i="193"/>
  <c r="S162" i="193"/>
  <c r="S134" i="193"/>
  <c r="S150" i="193"/>
  <c r="S157" i="193"/>
  <c r="S108" i="193"/>
  <c r="S151" i="193"/>
  <c r="S159" i="193"/>
  <c r="S131" i="193"/>
  <c r="S154" i="193"/>
  <c r="S138" i="193"/>
  <c r="S156" i="193"/>
  <c r="S168" i="193"/>
  <c r="S43" i="193"/>
  <c r="S163" i="193"/>
  <c r="S38" i="193"/>
  <c r="S146" i="193"/>
  <c r="S158" i="193"/>
  <c r="S170" i="193"/>
  <c r="S45" i="193"/>
  <c r="S144" i="193"/>
  <c r="S148" i="193"/>
  <c r="S153" i="193"/>
  <c r="S145" i="193"/>
  <c r="S149" i="193"/>
  <c r="S135" i="193"/>
  <c r="S44" i="193"/>
  <c r="S160" i="193"/>
  <c r="S37" i="193"/>
  <c r="S39" i="193"/>
  <c r="S164" i="193"/>
  <c r="S166" i="193"/>
  <c r="S67" i="193"/>
  <c r="S40" i="193"/>
  <c r="S46" i="193"/>
  <c r="S36" i="193"/>
  <c r="S47" i="193"/>
  <c r="S152" i="193"/>
  <c r="S169" i="193"/>
  <c r="S41" i="193"/>
  <c r="S42" i="193"/>
  <c r="S48" i="193"/>
  <c r="S165" i="193"/>
  <c r="S49" i="193"/>
  <c r="S52" i="193"/>
  <c r="S53" i="193"/>
  <c r="S8" i="193"/>
  <c r="S35" i="193"/>
  <c r="S10" i="193"/>
  <c r="S5" i="193"/>
  <c r="S63" i="193"/>
  <c r="S12" i="193"/>
  <c r="S7" i="193"/>
  <c r="S167" i="193"/>
  <c r="S59" i="193"/>
  <c r="S65" i="193"/>
  <c r="S14" i="193"/>
  <c r="S60" i="193"/>
  <c r="S9" i="193"/>
  <c r="S21" i="193"/>
  <c r="S50" i="193"/>
  <c r="S57" i="193"/>
  <c r="S58" i="193"/>
  <c r="S61" i="193"/>
  <c r="S4" i="193"/>
  <c r="S161" i="193"/>
  <c r="S56" i="193"/>
  <c r="S11" i="193"/>
  <c r="S51" i="193"/>
  <c r="S54" i="193"/>
  <c r="S55" i="193"/>
  <c r="S6" i="193"/>
  <c r="S18" i="193"/>
  <c r="S30" i="193"/>
  <c r="S24" i="193"/>
  <c r="S17" i="193"/>
  <c r="S19" i="193"/>
  <c r="S27" i="193"/>
  <c r="S15" i="193"/>
  <c r="S25" i="193"/>
  <c r="S62" i="193"/>
  <c r="S16" i="193"/>
  <c r="S22" i="193"/>
  <c r="S28" i="193"/>
  <c r="S3" i="193"/>
  <c r="S20" i="193"/>
  <c r="S13" i="193"/>
  <c r="S23" i="193"/>
  <c r="S26" i="193"/>
  <c r="S64" i="193"/>
  <c r="S29" i="193"/>
  <c r="S175" i="193"/>
  <c r="S176" i="193"/>
  <c r="S174" i="193"/>
  <c r="S173" i="193"/>
  <c r="S33" i="193"/>
  <c r="S31" i="193"/>
  <c r="T1" i="193"/>
  <c r="S34" i="193"/>
  <c r="S32" i="193"/>
  <c r="S66" i="193"/>
  <c r="D1" i="191"/>
  <c r="T172" i="193" l="1"/>
  <c r="T171" i="193"/>
  <c r="T76" i="193"/>
  <c r="T71" i="193"/>
  <c r="T73" i="193"/>
  <c r="T68" i="193"/>
  <c r="T75" i="193"/>
  <c r="T70" i="193"/>
  <c r="T82" i="193"/>
  <c r="T72" i="193"/>
  <c r="T84" i="193"/>
  <c r="T96" i="193"/>
  <c r="T79" i="193"/>
  <c r="T91" i="193"/>
  <c r="T74" i="193"/>
  <c r="T86" i="193"/>
  <c r="T98" i="193"/>
  <c r="T80" i="193"/>
  <c r="T87" i="193"/>
  <c r="T112" i="193"/>
  <c r="T100" i="193"/>
  <c r="T107" i="193"/>
  <c r="T109" i="193"/>
  <c r="T69" i="193"/>
  <c r="T94" i="193"/>
  <c r="T104" i="193"/>
  <c r="T108" i="193"/>
  <c r="T119" i="193"/>
  <c r="T90" i="193"/>
  <c r="T102" i="193"/>
  <c r="T103" i="193"/>
  <c r="T121" i="193"/>
  <c r="T81" i="193"/>
  <c r="T83" i="193"/>
  <c r="T77" i="193"/>
  <c r="T93" i="193"/>
  <c r="T111" i="193"/>
  <c r="T85" i="193"/>
  <c r="T97" i="193"/>
  <c r="T115" i="193"/>
  <c r="T99" i="193"/>
  <c r="T101" i="193"/>
  <c r="T89" i="193"/>
  <c r="T95" i="193"/>
  <c r="T123" i="193"/>
  <c r="T78" i="193"/>
  <c r="T88" i="193"/>
  <c r="T105" i="193"/>
  <c r="T132" i="193"/>
  <c r="T106" i="193"/>
  <c r="T118" i="193"/>
  <c r="T127" i="193"/>
  <c r="T92" i="193"/>
  <c r="T129" i="193"/>
  <c r="T120" i="193"/>
  <c r="T113" i="193"/>
  <c r="T114" i="193"/>
  <c r="T135" i="193"/>
  <c r="T138" i="193"/>
  <c r="T116" i="193"/>
  <c r="T124" i="193"/>
  <c r="T126" i="193"/>
  <c r="T117" i="193"/>
  <c r="T110" i="193"/>
  <c r="T122" i="193"/>
  <c r="T145" i="193"/>
  <c r="T152" i="193"/>
  <c r="T125" i="193"/>
  <c r="T133" i="193"/>
  <c r="T137" i="193"/>
  <c r="T147" i="193"/>
  <c r="T142" i="193"/>
  <c r="T149" i="193"/>
  <c r="T139" i="193"/>
  <c r="T143" i="193"/>
  <c r="T155" i="193"/>
  <c r="T167" i="193"/>
  <c r="T141" i="193"/>
  <c r="T130" i="193"/>
  <c r="T134" i="193"/>
  <c r="T150" i="193"/>
  <c r="T157" i="193"/>
  <c r="T140" i="193"/>
  <c r="T151" i="193"/>
  <c r="T164" i="193"/>
  <c r="T159" i="193"/>
  <c r="T161" i="193"/>
  <c r="T36" i="193"/>
  <c r="T48" i="193"/>
  <c r="T156" i="193"/>
  <c r="T168" i="193"/>
  <c r="T163" i="193"/>
  <c r="T38" i="193"/>
  <c r="T50" i="193"/>
  <c r="T136" i="193"/>
  <c r="T146" i="193"/>
  <c r="T128" i="193"/>
  <c r="T144" i="193"/>
  <c r="T148" i="193"/>
  <c r="T153" i="193"/>
  <c r="T158" i="193"/>
  <c r="T43" i="193"/>
  <c r="T154" i="193"/>
  <c r="T44" i="193"/>
  <c r="T45" i="193"/>
  <c r="T67" i="193"/>
  <c r="T160" i="193"/>
  <c r="T162" i="193"/>
  <c r="T37" i="193"/>
  <c r="T39" i="193"/>
  <c r="T166" i="193"/>
  <c r="T40" i="193"/>
  <c r="T46" i="193"/>
  <c r="T51" i="193"/>
  <c r="T53" i="193"/>
  <c r="T170" i="193"/>
  <c r="T131" i="193"/>
  <c r="T55" i="193"/>
  <c r="T169" i="193"/>
  <c r="T41" i="193"/>
  <c r="T42" i="193"/>
  <c r="T57" i="193"/>
  <c r="T62" i="193"/>
  <c r="T64" i="193"/>
  <c r="T35" i="193"/>
  <c r="T15" i="193"/>
  <c r="T165" i="193"/>
  <c r="T52" i="193"/>
  <c r="T10" i="193"/>
  <c r="T47" i="193"/>
  <c r="T5" i="193"/>
  <c r="T17" i="193"/>
  <c r="T63" i="193"/>
  <c r="T12" i="193"/>
  <c r="T7" i="193"/>
  <c r="T19" i="193"/>
  <c r="T59" i="193"/>
  <c r="T65" i="193"/>
  <c r="T14" i="193"/>
  <c r="T60" i="193"/>
  <c r="T9" i="193"/>
  <c r="T49" i="193"/>
  <c r="T58" i="193"/>
  <c r="T61" i="193"/>
  <c r="T4" i="193"/>
  <c r="T56" i="193"/>
  <c r="T11" i="193"/>
  <c r="T23" i="193"/>
  <c r="T54" i="193"/>
  <c r="T24" i="193"/>
  <c r="T27" i="193"/>
  <c r="T30" i="193"/>
  <c r="T25" i="193"/>
  <c r="T21" i="193"/>
  <c r="T22" i="193"/>
  <c r="T28" i="193"/>
  <c r="T3" i="193"/>
  <c r="T16" i="193"/>
  <c r="T18" i="193"/>
  <c r="T8" i="193"/>
  <c r="T20" i="193"/>
  <c r="T13" i="193"/>
  <c r="T29" i="193"/>
  <c r="T26" i="193"/>
  <c r="T6" i="193"/>
  <c r="T173" i="193"/>
  <c r="T176" i="193"/>
  <c r="T174" i="193"/>
  <c r="T175" i="193"/>
  <c r="T66" i="193"/>
  <c r="T32" i="193"/>
  <c r="T33" i="193"/>
  <c r="T31" i="193"/>
  <c r="T34" i="193"/>
  <c r="U1" i="193"/>
  <c r="D165" i="191"/>
  <c r="D14" i="191"/>
  <c r="D4" i="191"/>
  <c r="D17" i="191"/>
  <c r="D11" i="191"/>
  <c r="D6" i="191"/>
  <c r="D13" i="191"/>
  <c r="D8" i="191"/>
  <c r="D16" i="191"/>
  <c r="D10" i="191"/>
  <c r="D5" i="191"/>
  <c r="D18" i="191"/>
  <c r="D12" i="191"/>
  <c r="D25" i="191"/>
  <c r="D7" i="191"/>
  <c r="D15" i="191"/>
  <c r="D27" i="191"/>
  <c r="D9" i="191"/>
  <c r="D26" i="191"/>
  <c r="D43" i="191"/>
  <c r="D19" i="191"/>
  <c r="D22" i="191"/>
  <c r="D28" i="191"/>
  <c r="D47" i="191"/>
  <c r="D23" i="191"/>
  <c r="D24" i="191"/>
  <c r="D30" i="191"/>
  <c r="D39" i="191"/>
  <c r="D33" i="191"/>
  <c r="D49" i="191"/>
  <c r="D58" i="191"/>
  <c r="D36" i="191"/>
  <c r="D38" i="191"/>
  <c r="D62" i="191"/>
  <c r="D32" i="191"/>
  <c r="D46" i="191"/>
  <c r="D29" i="191"/>
  <c r="D56" i="191"/>
  <c r="D75" i="191"/>
  <c r="D21" i="191"/>
  <c r="D20" i="191"/>
  <c r="D48" i="191"/>
  <c r="D37" i="191"/>
  <c r="D60" i="191"/>
  <c r="D64" i="191"/>
  <c r="D34" i="191"/>
  <c r="D35" i="191"/>
  <c r="D42" i="191"/>
  <c r="D50" i="191"/>
  <c r="D31" i="191"/>
  <c r="D55" i="191"/>
  <c r="D82" i="191"/>
  <c r="D41" i="191"/>
  <c r="D77" i="191"/>
  <c r="D89" i="191"/>
  <c r="D51" i="191"/>
  <c r="D66" i="191"/>
  <c r="D67" i="191"/>
  <c r="D68" i="191"/>
  <c r="D54" i="191"/>
  <c r="D57" i="191"/>
  <c r="D65" i="191"/>
  <c r="D79" i="191"/>
  <c r="D91" i="191"/>
  <c r="D69" i="191"/>
  <c r="D70" i="191"/>
  <c r="D44" i="191"/>
  <c r="D53" i="191"/>
  <c r="D76" i="191"/>
  <c r="D40" i="191"/>
  <c r="D83" i="191"/>
  <c r="D61" i="191"/>
  <c r="D63" i="191"/>
  <c r="D71" i="191"/>
  <c r="D74" i="191"/>
  <c r="D78" i="191"/>
  <c r="D90" i="191"/>
  <c r="D52" i="191"/>
  <c r="D59" i="191"/>
  <c r="D80" i="191"/>
  <c r="D45" i="191"/>
  <c r="D72" i="191"/>
  <c r="D87" i="191"/>
  <c r="D73" i="191"/>
  <c r="D88" i="191"/>
  <c r="D95" i="191"/>
  <c r="D105" i="191"/>
  <c r="D84" i="191"/>
  <c r="D96" i="191"/>
  <c r="D114" i="191"/>
  <c r="D86" i="191"/>
  <c r="D81" i="191"/>
  <c r="D93" i="191"/>
  <c r="D100" i="191"/>
  <c r="D113" i="191"/>
  <c r="D85" i="191"/>
  <c r="D103" i="191"/>
  <c r="D94" i="191"/>
  <c r="D98" i="191"/>
  <c r="D92" i="191"/>
  <c r="D122" i="191"/>
  <c r="D129" i="191"/>
  <c r="D99" i="191"/>
  <c r="D104" i="191"/>
  <c r="D117" i="191"/>
  <c r="D107" i="191"/>
  <c r="D111" i="191"/>
  <c r="D112" i="191"/>
  <c r="D120" i="191"/>
  <c r="D126" i="191"/>
  <c r="D138" i="191"/>
  <c r="D150" i="191"/>
  <c r="D109" i="191"/>
  <c r="D110" i="191"/>
  <c r="D101" i="191"/>
  <c r="D118" i="191"/>
  <c r="D123" i="191"/>
  <c r="D102" i="191"/>
  <c r="D115" i="191"/>
  <c r="D125" i="191"/>
  <c r="D137" i="191"/>
  <c r="D97" i="191"/>
  <c r="D106" i="191"/>
  <c r="D108" i="191"/>
  <c r="D116" i="191"/>
  <c r="D127" i="191"/>
  <c r="D119" i="191"/>
  <c r="D134" i="191"/>
  <c r="D140" i="191"/>
  <c r="D162" i="191"/>
  <c r="D131" i="191"/>
  <c r="D144" i="191"/>
  <c r="D157" i="191"/>
  <c r="D169" i="191"/>
  <c r="D147" i="191"/>
  <c r="D128" i="191"/>
  <c r="D141" i="191"/>
  <c r="D152" i="191"/>
  <c r="D121" i="191"/>
  <c r="D159" i="191"/>
  <c r="D171" i="191"/>
  <c r="D142" i="191"/>
  <c r="D133" i="191"/>
  <c r="D154" i="191"/>
  <c r="D145" i="191"/>
  <c r="D136" i="191"/>
  <c r="D156" i="191"/>
  <c r="D148" i="191"/>
  <c r="D132" i="191"/>
  <c r="D151" i="191"/>
  <c r="D158" i="191"/>
  <c r="D170" i="191"/>
  <c r="D130" i="191"/>
  <c r="D143" i="191"/>
  <c r="D153" i="191"/>
  <c r="D135" i="191"/>
  <c r="D139" i="191"/>
  <c r="D146" i="191"/>
  <c r="D124" i="191"/>
  <c r="D149" i="191"/>
  <c r="D155" i="191"/>
  <c r="D167" i="191"/>
  <c r="D3" i="191"/>
  <c r="D163" i="191"/>
  <c r="D166" i="191"/>
  <c r="D164" i="191"/>
  <c r="D160" i="191"/>
  <c r="D168" i="191"/>
  <c r="D161" i="191"/>
  <c r="D173" i="191"/>
  <c r="D176" i="191"/>
  <c r="D172" i="191"/>
  <c r="D174" i="191"/>
  <c r="D175" i="191"/>
  <c r="E1" i="191"/>
  <c r="E14" i="191" s="1"/>
  <c r="B87" i="190"/>
  <c r="B86" i="190"/>
  <c r="B84" i="190"/>
  <c r="B88" i="190"/>
  <c r="U172" i="193" l="1"/>
  <c r="U171" i="193"/>
  <c r="U69" i="193"/>
  <c r="U81" i="193"/>
  <c r="U76" i="193"/>
  <c r="U71" i="193"/>
  <c r="U73" i="193"/>
  <c r="U68" i="193"/>
  <c r="U75" i="193"/>
  <c r="U70" i="193"/>
  <c r="U77" i="193"/>
  <c r="U89" i="193"/>
  <c r="U72" i="193"/>
  <c r="U84" i="193"/>
  <c r="U79" i="193"/>
  <c r="U91" i="193"/>
  <c r="U78" i="193"/>
  <c r="U86" i="193"/>
  <c r="U99" i="193"/>
  <c r="U105" i="193"/>
  <c r="U87" i="193"/>
  <c r="U85" i="193"/>
  <c r="U102" i="193"/>
  <c r="U114" i="193"/>
  <c r="U106" i="193"/>
  <c r="U113" i="193"/>
  <c r="U92" i="193"/>
  <c r="U98" i="193"/>
  <c r="U109" i="193"/>
  <c r="U74" i="193"/>
  <c r="U80" i="193"/>
  <c r="U82" i="193"/>
  <c r="U83" i="193"/>
  <c r="U88" i="193"/>
  <c r="U95" i="193"/>
  <c r="U100" i="193"/>
  <c r="U110" i="193"/>
  <c r="U93" i="193"/>
  <c r="U112" i="193"/>
  <c r="U90" i="193"/>
  <c r="U97" i="193"/>
  <c r="U101" i="193"/>
  <c r="U96" i="193"/>
  <c r="U108" i="193"/>
  <c r="U126" i="193"/>
  <c r="U103" i="193"/>
  <c r="U122" i="193"/>
  <c r="U128" i="193"/>
  <c r="U104" i="193"/>
  <c r="U94" i="193"/>
  <c r="U125" i="193"/>
  <c r="U107" i="193"/>
  <c r="U116" i="193"/>
  <c r="U117" i="193"/>
  <c r="U119" i="193"/>
  <c r="U134" i="193"/>
  <c r="U120" i="193"/>
  <c r="U115" i="193"/>
  <c r="U121" i="193"/>
  <c r="U124" i="193"/>
  <c r="U111" i="193"/>
  <c r="U118" i="193"/>
  <c r="U139" i="193"/>
  <c r="U132" i="193"/>
  <c r="U145" i="193"/>
  <c r="U123" i="193"/>
  <c r="U127" i="193"/>
  <c r="U152" i="193"/>
  <c r="U129" i="193"/>
  <c r="U133" i="193"/>
  <c r="U144" i="193"/>
  <c r="U148" i="193"/>
  <c r="U153" i="193"/>
  <c r="U142" i="193"/>
  <c r="U149" i="193"/>
  <c r="U160" i="193"/>
  <c r="U143" i="193"/>
  <c r="U155" i="193"/>
  <c r="U137" i="193"/>
  <c r="U141" i="193"/>
  <c r="U130" i="193"/>
  <c r="U150" i="193"/>
  <c r="U157" i="193"/>
  <c r="U140" i="193"/>
  <c r="U151" i="193"/>
  <c r="U131" i="193"/>
  <c r="U135" i="193"/>
  <c r="U154" i="193"/>
  <c r="U166" i="193"/>
  <c r="U41" i="193"/>
  <c r="U138" i="193"/>
  <c r="U161" i="193"/>
  <c r="U36" i="193"/>
  <c r="U147" i="193"/>
  <c r="U156" i="193"/>
  <c r="U168" i="193"/>
  <c r="U67" i="193"/>
  <c r="U43" i="193"/>
  <c r="U136" i="193"/>
  <c r="U146" i="193"/>
  <c r="U165" i="193"/>
  <c r="U167" i="193"/>
  <c r="U49" i="193"/>
  <c r="U52" i="193"/>
  <c r="U158" i="193"/>
  <c r="U159" i="193"/>
  <c r="U44" i="193"/>
  <c r="U38" i="193"/>
  <c r="U45" i="193"/>
  <c r="U162" i="193"/>
  <c r="U164" i="193"/>
  <c r="U37" i="193"/>
  <c r="U39" i="193"/>
  <c r="U58" i="193"/>
  <c r="U40" i="193"/>
  <c r="U170" i="193"/>
  <c r="U47" i="193"/>
  <c r="U60" i="193"/>
  <c r="U169" i="193"/>
  <c r="U48" i="193"/>
  <c r="U62" i="193"/>
  <c r="U163" i="193"/>
  <c r="U54" i="193"/>
  <c r="U6" i="193"/>
  <c r="U53" i="193"/>
  <c r="U64" i="193"/>
  <c r="U8" i="193"/>
  <c r="U20" i="193"/>
  <c r="U15" i="193"/>
  <c r="U10" i="193"/>
  <c r="U5" i="193"/>
  <c r="U42" i="193"/>
  <c r="U63" i="193"/>
  <c r="U12" i="193"/>
  <c r="U7" i="193"/>
  <c r="U19" i="193"/>
  <c r="U59" i="193"/>
  <c r="U65" i="193"/>
  <c r="U46" i="193"/>
  <c r="U50" i="193"/>
  <c r="U57" i="193"/>
  <c r="U9" i="193"/>
  <c r="U61" i="193"/>
  <c r="U4" i="193"/>
  <c r="U16" i="193"/>
  <c r="U28" i="193"/>
  <c r="U14" i="193"/>
  <c r="U29" i="193"/>
  <c r="U30" i="193"/>
  <c r="U11" i="193"/>
  <c r="U17" i="193"/>
  <c r="U24" i="193"/>
  <c r="U55" i="193"/>
  <c r="U35" i="193"/>
  <c r="U27" i="193"/>
  <c r="U56" i="193"/>
  <c r="U25" i="193"/>
  <c r="U21" i="193"/>
  <c r="U51" i="193"/>
  <c r="U18" i="193"/>
  <c r="U22" i="193"/>
  <c r="U3" i="193"/>
  <c r="U23" i="193"/>
  <c r="U13" i="193"/>
  <c r="U26" i="193"/>
  <c r="U176" i="193"/>
  <c r="U175" i="193"/>
  <c r="U174" i="193"/>
  <c r="U173" i="193"/>
  <c r="U33" i="193"/>
  <c r="U31" i="193"/>
  <c r="V1" i="193"/>
  <c r="U34" i="193"/>
  <c r="U32" i="193"/>
  <c r="U66" i="193"/>
  <c r="E9" i="191"/>
  <c r="E4" i="191"/>
  <c r="E11" i="191"/>
  <c r="E6" i="191"/>
  <c r="E13" i="191"/>
  <c r="E8" i="191"/>
  <c r="E16" i="191"/>
  <c r="E10" i="191"/>
  <c r="E5" i="191"/>
  <c r="E18" i="191"/>
  <c r="E30" i="191"/>
  <c r="E12" i="191"/>
  <c r="E7" i="191"/>
  <c r="E20" i="191"/>
  <c r="E32" i="191"/>
  <c r="E15" i="191"/>
  <c r="E48" i="191"/>
  <c r="E21" i="191"/>
  <c r="E40" i="191"/>
  <c r="E36" i="191"/>
  <c r="E23" i="191"/>
  <c r="E26" i="191"/>
  <c r="E35" i="191"/>
  <c r="E42" i="191"/>
  <c r="E63" i="191"/>
  <c r="E29" i="191"/>
  <c r="E44" i="191"/>
  <c r="E53" i="191"/>
  <c r="E55" i="191"/>
  <c r="E25" i="191"/>
  <c r="E46" i="191"/>
  <c r="E31" i="191"/>
  <c r="E47" i="191"/>
  <c r="E65" i="191"/>
  <c r="E27" i="191"/>
  <c r="E28" i="191"/>
  <c r="E24" i="191"/>
  <c r="E45" i="191"/>
  <c r="E57" i="191"/>
  <c r="E68" i="191"/>
  <c r="E22" i="191"/>
  <c r="E17" i="191"/>
  <c r="E41" i="191"/>
  <c r="E59" i="191"/>
  <c r="E19" i="191"/>
  <c r="E37" i="191"/>
  <c r="E38" i="191"/>
  <c r="E51" i="191"/>
  <c r="E52" i="191"/>
  <c r="E54" i="191"/>
  <c r="E33" i="191"/>
  <c r="E34" i="191"/>
  <c r="E39" i="191"/>
  <c r="E50" i="191"/>
  <c r="E61" i="191"/>
  <c r="E43" i="191"/>
  <c r="E72" i="191"/>
  <c r="E56" i="191"/>
  <c r="E62" i="191"/>
  <c r="E75" i="191"/>
  <c r="E82" i="191"/>
  <c r="E94" i="191"/>
  <c r="E60" i="191"/>
  <c r="E66" i="191"/>
  <c r="E67" i="191"/>
  <c r="E84" i="191"/>
  <c r="E96" i="191"/>
  <c r="E69" i="191"/>
  <c r="E64" i="191"/>
  <c r="E70" i="191"/>
  <c r="E81" i="191"/>
  <c r="E58" i="191"/>
  <c r="E76" i="191"/>
  <c r="E83" i="191"/>
  <c r="E71" i="191"/>
  <c r="E74" i="191"/>
  <c r="E49" i="191"/>
  <c r="E80" i="191"/>
  <c r="E77" i="191"/>
  <c r="E98" i="191"/>
  <c r="E110" i="191"/>
  <c r="E73" i="191"/>
  <c r="E88" i="191"/>
  <c r="E107" i="191"/>
  <c r="E119" i="191"/>
  <c r="E87" i="191"/>
  <c r="E91" i="191"/>
  <c r="E90" i="191"/>
  <c r="E102" i="191"/>
  <c r="E104" i="191"/>
  <c r="E86" i="191"/>
  <c r="E92" i="191"/>
  <c r="E97" i="191"/>
  <c r="E106" i="191"/>
  <c r="E79" i="191"/>
  <c r="E89" i="191"/>
  <c r="E93" i="191"/>
  <c r="E78" i="191"/>
  <c r="E85" i="191"/>
  <c r="E103" i="191"/>
  <c r="E134" i="191"/>
  <c r="E99" i="191"/>
  <c r="E117" i="191"/>
  <c r="E131" i="191"/>
  <c r="E143" i="191"/>
  <c r="E100" i="191"/>
  <c r="E111" i="191"/>
  <c r="E112" i="191"/>
  <c r="E105" i="191"/>
  <c r="E109" i="191"/>
  <c r="E113" i="191"/>
  <c r="E95" i="191"/>
  <c r="E101" i="191"/>
  <c r="E128" i="191"/>
  <c r="E114" i="191"/>
  <c r="E121" i="191"/>
  <c r="E130" i="191"/>
  <c r="E115" i="191"/>
  <c r="E108" i="191"/>
  <c r="E116" i="191"/>
  <c r="E127" i="191"/>
  <c r="E124" i="191"/>
  <c r="E149" i="191"/>
  <c r="E155" i="191"/>
  <c r="E120" i="191"/>
  <c r="E140" i="191"/>
  <c r="E162" i="191"/>
  <c r="E144" i="191"/>
  <c r="E157" i="191"/>
  <c r="E141" i="191"/>
  <c r="E147" i="191"/>
  <c r="E152" i="191"/>
  <c r="E164" i="191"/>
  <c r="E159" i="191"/>
  <c r="E118" i="191"/>
  <c r="E125" i="191"/>
  <c r="E150" i="191"/>
  <c r="E122" i="191"/>
  <c r="E129" i="191"/>
  <c r="E133" i="191"/>
  <c r="E142" i="191"/>
  <c r="E145" i="191"/>
  <c r="E126" i="191"/>
  <c r="E136" i="191"/>
  <c r="E137" i="191"/>
  <c r="E156" i="191"/>
  <c r="E148" i="191"/>
  <c r="E163" i="191"/>
  <c r="E123" i="191"/>
  <c r="E132" i="191"/>
  <c r="E138" i="191"/>
  <c r="E151" i="191"/>
  <c r="E153" i="191"/>
  <c r="E135" i="191"/>
  <c r="E139" i="191"/>
  <c r="E146" i="191"/>
  <c r="E160" i="191"/>
  <c r="E165" i="191"/>
  <c r="E161" i="191"/>
  <c r="E154" i="191"/>
  <c r="E168" i="191"/>
  <c r="E158" i="191"/>
  <c r="E167" i="191"/>
  <c r="E171" i="191"/>
  <c r="E170" i="191"/>
  <c r="E166" i="191"/>
  <c r="E3" i="191"/>
  <c r="E169" i="191"/>
  <c r="E175" i="191"/>
  <c r="E174" i="191"/>
  <c r="E173" i="191"/>
  <c r="E176" i="191"/>
  <c r="E172" i="191"/>
  <c r="F1" i="191"/>
  <c r="F14" i="191" s="1"/>
  <c r="B85" i="190"/>
  <c r="B89" i="190" s="1"/>
  <c r="V172" i="193" l="1"/>
  <c r="V171" i="193"/>
  <c r="V74" i="193"/>
  <c r="V69" i="193"/>
  <c r="V71" i="193"/>
  <c r="V73" i="193"/>
  <c r="V68" i="193"/>
  <c r="V80" i="193"/>
  <c r="V75" i="193"/>
  <c r="V70" i="193"/>
  <c r="V82" i="193"/>
  <c r="V94" i="193"/>
  <c r="V77" i="193"/>
  <c r="V89" i="193"/>
  <c r="V72" i="193"/>
  <c r="V84" i="193"/>
  <c r="V96" i="193"/>
  <c r="V83" i="193"/>
  <c r="V88" i="193"/>
  <c r="V110" i="193"/>
  <c r="V86" i="193"/>
  <c r="V99" i="193"/>
  <c r="V105" i="193"/>
  <c r="V100" i="193"/>
  <c r="V107" i="193"/>
  <c r="V117" i="193"/>
  <c r="V87" i="193"/>
  <c r="V104" i="193"/>
  <c r="V108" i="193"/>
  <c r="V119" i="193"/>
  <c r="V76" i="193"/>
  <c r="V78" i="193"/>
  <c r="V79" i="193"/>
  <c r="V81" i="193"/>
  <c r="V101" i="193"/>
  <c r="V95" i="193"/>
  <c r="V91" i="193"/>
  <c r="V97" i="193"/>
  <c r="V98" i="193"/>
  <c r="V90" i="193"/>
  <c r="V102" i="193"/>
  <c r="V114" i="193"/>
  <c r="V121" i="193"/>
  <c r="V85" i="193"/>
  <c r="V103" i="193"/>
  <c r="V93" i="193"/>
  <c r="V109" i="193"/>
  <c r="V130" i="193"/>
  <c r="V125" i="193"/>
  <c r="V92" i="193"/>
  <c r="V118" i="193"/>
  <c r="V127" i="193"/>
  <c r="V139" i="193"/>
  <c r="V120" i="193"/>
  <c r="V112" i="193"/>
  <c r="V113" i="193"/>
  <c r="V115" i="193"/>
  <c r="V116" i="193"/>
  <c r="V129" i="193"/>
  <c r="V135" i="193"/>
  <c r="V138" i="193"/>
  <c r="V111" i="193"/>
  <c r="V106" i="193"/>
  <c r="V122" i="193"/>
  <c r="V131" i="193"/>
  <c r="V143" i="193"/>
  <c r="V150" i="193"/>
  <c r="V132" i="193"/>
  <c r="V145" i="193"/>
  <c r="V128" i="193"/>
  <c r="V136" i="193"/>
  <c r="V146" i="193"/>
  <c r="V158" i="193"/>
  <c r="V133" i="193"/>
  <c r="V144" i="193"/>
  <c r="V148" i="193"/>
  <c r="V153" i="193"/>
  <c r="V165" i="193"/>
  <c r="V126" i="193"/>
  <c r="V142" i="193"/>
  <c r="V149" i="193"/>
  <c r="V155" i="193"/>
  <c r="V134" i="193"/>
  <c r="V137" i="193"/>
  <c r="V141" i="193"/>
  <c r="V162" i="193"/>
  <c r="V157" i="193"/>
  <c r="V123" i="193"/>
  <c r="V152" i="193"/>
  <c r="V159" i="193"/>
  <c r="V46" i="193"/>
  <c r="V154" i="193"/>
  <c r="V166" i="193"/>
  <c r="V67" i="193"/>
  <c r="V124" i="193"/>
  <c r="V161" i="193"/>
  <c r="V36" i="193"/>
  <c r="V48" i="193"/>
  <c r="V147" i="193"/>
  <c r="V156" i="193"/>
  <c r="V163" i="193"/>
  <c r="V42" i="193"/>
  <c r="V167" i="193"/>
  <c r="V43" i="193"/>
  <c r="V50" i="193"/>
  <c r="V44" i="193"/>
  <c r="V38" i="193"/>
  <c r="V45" i="193"/>
  <c r="V151" i="193"/>
  <c r="V160" i="193"/>
  <c r="V164" i="193"/>
  <c r="V37" i="193"/>
  <c r="V39" i="193"/>
  <c r="V140" i="193"/>
  <c r="V40" i="193"/>
  <c r="V51" i="193"/>
  <c r="V53" i="193"/>
  <c r="V170" i="193"/>
  <c r="V47" i="193"/>
  <c r="V168" i="193"/>
  <c r="V41" i="193"/>
  <c r="V55" i="193"/>
  <c r="V56" i="193"/>
  <c r="V11" i="193"/>
  <c r="V54" i="193"/>
  <c r="V62" i="193"/>
  <c r="V6" i="193"/>
  <c r="V64" i="193"/>
  <c r="V13" i="193"/>
  <c r="V8" i="193"/>
  <c r="V52" i="193"/>
  <c r="V15" i="193"/>
  <c r="V10" i="193"/>
  <c r="V5" i="193"/>
  <c r="V17" i="193"/>
  <c r="V63" i="193"/>
  <c r="V12" i="193"/>
  <c r="V7" i="193"/>
  <c r="V59" i="193"/>
  <c r="V60" i="193"/>
  <c r="V65" i="193"/>
  <c r="V169" i="193"/>
  <c r="V49" i="193"/>
  <c r="V57" i="193"/>
  <c r="V58" i="193"/>
  <c r="V35" i="193"/>
  <c r="V9" i="193"/>
  <c r="V21" i="193"/>
  <c r="V26" i="193"/>
  <c r="V14" i="193"/>
  <c r="V19" i="193"/>
  <c r="V61" i="193"/>
  <c r="V24" i="193"/>
  <c r="V27" i="193"/>
  <c r="V30" i="193"/>
  <c r="V4" i="193"/>
  <c r="V25" i="193"/>
  <c r="V16" i="193"/>
  <c r="V28" i="193"/>
  <c r="V20" i="193"/>
  <c r="V18" i="193"/>
  <c r="V22" i="193"/>
  <c r="V3" i="193"/>
  <c r="V23" i="193"/>
  <c r="V29" i="193"/>
  <c r="V176" i="193"/>
  <c r="V175" i="193"/>
  <c r="V174" i="193"/>
  <c r="V173" i="193"/>
  <c r="V66" i="193"/>
  <c r="V32" i="193"/>
  <c r="V34" i="193"/>
  <c r="V31" i="193"/>
  <c r="V33" i="193"/>
  <c r="W1" i="193"/>
  <c r="F15" i="191"/>
  <c r="F9" i="191"/>
  <c r="F4" i="191"/>
  <c r="F11" i="191"/>
  <c r="F6" i="191"/>
  <c r="F13" i="191"/>
  <c r="F8" i="191"/>
  <c r="F16" i="191"/>
  <c r="F10" i="191"/>
  <c r="F23" i="191"/>
  <c r="F35" i="191"/>
  <c r="F5" i="191"/>
  <c r="F12" i="191"/>
  <c r="F25" i="191"/>
  <c r="F37" i="191"/>
  <c r="F7" i="191"/>
  <c r="F32" i="191"/>
  <c r="F41" i="191"/>
  <c r="F53" i="191"/>
  <c r="F34" i="191"/>
  <c r="F45" i="191"/>
  <c r="F29" i="191"/>
  <c r="F36" i="191"/>
  <c r="F28" i="191"/>
  <c r="F40" i="191"/>
  <c r="F48" i="191"/>
  <c r="F52" i="191"/>
  <c r="F56" i="191"/>
  <c r="F19" i="191"/>
  <c r="F22" i="191"/>
  <c r="F50" i="191"/>
  <c r="F60" i="191"/>
  <c r="F18" i="191"/>
  <c r="F30" i="191"/>
  <c r="F33" i="191"/>
  <c r="F39" i="191"/>
  <c r="F55" i="191"/>
  <c r="F31" i="191"/>
  <c r="F47" i="191"/>
  <c r="F62" i="191"/>
  <c r="F71" i="191"/>
  <c r="F26" i="191"/>
  <c r="F27" i="191"/>
  <c r="F49" i="191"/>
  <c r="F73" i="191"/>
  <c r="F24" i="191"/>
  <c r="F21" i="191"/>
  <c r="F17" i="191"/>
  <c r="F20" i="191"/>
  <c r="F46" i="191"/>
  <c r="F59" i="191"/>
  <c r="F44" i="191"/>
  <c r="F38" i="191"/>
  <c r="F42" i="191"/>
  <c r="F51" i="191"/>
  <c r="F54" i="191"/>
  <c r="F80" i="191"/>
  <c r="F43" i="191"/>
  <c r="F72" i="191"/>
  <c r="F87" i="191"/>
  <c r="F68" i="191"/>
  <c r="F77" i="191"/>
  <c r="F89" i="191"/>
  <c r="F101" i="191"/>
  <c r="F57" i="191"/>
  <c r="F65" i="191"/>
  <c r="F66" i="191"/>
  <c r="F67" i="191"/>
  <c r="F69" i="191"/>
  <c r="F64" i="191"/>
  <c r="F70" i="191"/>
  <c r="F81" i="191"/>
  <c r="F58" i="191"/>
  <c r="F76" i="191"/>
  <c r="F88" i="191"/>
  <c r="F61" i="191"/>
  <c r="F63" i="191"/>
  <c r="F74" i="191"/>
  <c r="F78" i="191"/>
  <c r="F85" i="191"/>
  <c r="F83" i="191"/>
  <c r="F94" i="191"/>
  <c r="F103" i="191"/>
  <c r="F95" i="191"/>
  <c r="F84" i="191"/>
  <c r="F112" i="191"/>
  <c r="F75" i="191"/>
  <c r="F91" i="191"/>
  <c r="F99" i="191"/>
  <c r="F90" i="191"/>
  <c r="F86" i="191"/>
  <c r="F111" i="191"/>
  <c r="F82" i="191"/>
  <c r="F92" i="191"/>
  <c r="F79" i="191"/>
  <c r="F93" i="191"/>
  <c r="F100" i="191"/>
  <c r="F108" i="191"/>
  <c r="F116" i="191"/>
  <c r="F119" i="191"/>
  <c r="F127" i="191"/>
  <c r="F104" i="191"/>
  <c r="F124" i="191"/>
  <c r="F136" i="191"/>
  <c r="F148" i="191"/>
  <c r="F107" i="191"/>
  <c r="F110" i="191"/>
  <c r="F105" i="191"/>
  <c r="F109" i="191"/>
  <c r="F113" i="191"/>
  <c r="F96" i="191"/>
  <c r="F114" i="191"/>
  <c r="F118" i="191"/>
  <c r="F123" i="191"/>
  <c r="F135" i="191"/>
  <c r="F102" i="191"/>
  <c r="F97" i="191"/>
  <c r="F106" i="191"/>
  <c r="F115" i="191"/>
  <c r="F125" i="191"/>
  <c r="F98" i="191"/>
  <c r="F132" i="191"/>
  <c r="F139" i="191"/>
  <c r="F146" i="191"/>
  <c r="F160" i="191"/>
  <c r="F149" i="191"/>
  <c r="F155" i="191"/>
  <c r="F167" i="191"/>
  <c r="F120" i="191"/>
  <c r="F131" i="191"/>
  <c r="F134" i="191"/>
  <c r="F140" i="191"/>
  <c r="F128" i="191"/>
  <c r="F144" i="191"/>
  <c r="F157" i="191"/>
  <c r="F169" i="191"/>
  <c r="F141" i="191"/>
  <c r="F147" i="191"/>
  <c r="F121" i="191"/>
  <c r="F152" i="191"/>
  <c r="F150" i="191"/>
  <c r="F122" i="191"/>
  <c r="F129" i="191"/>
  <c r="F133" i="191"/>
  <c r="F142" i="191"/>
  <c r="F154" i="191"/>
  <c r="F145" i="191"/>
  <c r="F161" i="191"/>
  <c r="F126" i="191"/>
  <c r="F137" i="191"/>
  <c r="F156" i="191"/>
  <c r="F168" i="191"/>
  <c r="F117" i="191"/>
  <c r="F130" i="191"/>
  <c r="F138" i="191"/>
  <c r="F143" i="191"/>
  <c r="F151" i="191"/>
  <c r="F153" i="191"/>
  <c r="F165" i="191"/>
  <c r="F158" i="191"/>
  <c r="F164" i="191"/>
  <c r="F159" i="191"/>
  <c r="F162" i="191"/>
  <c r="F171" i="191"/>
  <c r="F163" i="191"/>
  <c r="F166" i="191"/>
  <c r="F170" i="191"/>
  <c r="F3" i="191"/>
  <c r="F174" i="191"/>
  <c r="F175" i="191"/>
  <c r="F173" i="191"/>
  <c r="F176" i="191"/>
  <c r="F172" i="191"/>
  <c r="G1" i="191"/>
  <c r="G14" i="191" s="1"/>
  <c r="W171" i="193" l="1"/>
  <c r="W172" i="193"/>
  <c r="W79" i="193"/>
  <c r="W74" i="193"/>
  <c r="W69" i="193"/>
  <c r="W71" i="193"/>
  <c r="W73" i="193"/>
  <c r="W68" i="193"/>
  <c r="W75" i="193"/>
  <c r="W87" i="193"/>
  <c r="W99" i="193"/>
  <c r="W70" i="193"/>
  <c r="W82" i="193"/>
  <c r="W94" i="193"/>
  <c r="W77" i="193"/>
  <c r="W89" i="193"/>
  <c r="W85" i="193"/>
  <c r="W81" i="193"/>
  <c r="W90" i="193"/>
  <c r="W103" i="193"/>
  <c r="W83" i="193"/>
  <c r="W88" i="193"/>
  <c r="W112" i="193"/>
  <c r="W86" i="193"/>
  <c r="W96" i="193"/>
  <c r="W107" i="193"/>
  <c r="W122" i="193"/>
  <c r="W105" i="193"/>
  <c r="W106" i="193"/>
  <c r="W113" i="193"/>
  <c r="W76" i="193"/>
  <c r="W78" i="193"/>
  <c r="W80" i="193"/>
  <c r="W84" i="193"/>
  <c r="W100" i="193"/>
  <c r="W101" i="193"/>
  <c r="W93" i="193"/>
  <c r="W111" i="193"/>
  <c r="W118" i="193"/>
  <c r="W72" i="193"/>
  <c r="W97" i="193"/>
  <c r="W98" i="193"/>
  <c r="W120" i="193"/>
  <c r="W124" i="193"/>
  <c r="W102" i="193"/>
  <c r="W95" i="193"/>
  <c r="W126" i="193"/>
  <c r="W104" i="193"/>
  <c r="W123" i="193"/>
  <c r="W135" i="193"/>
  <c r="W109" i="193"/>
  <c r="W132" i="193"/>
  <c r="W108" i="193"/>
  <c r="W134" i="193"/>
  <c r="W114" i="193"/>
  <c r="W115" i="193"/>
  <c r="W116" i="193"/>
  <c r="W121" i="193"/>
  <c r="W117" i="193"/>
  <c r="W91" i="193"/>
  <c r="W110" i="193"/>
  <c r="W136" i="193"/>
  <c r="W92" i="193"/>
  <c r="W131" i="193"/>
  <c r="W139" i="193"/>
  <c r="W143" i="193"/>
  <c r="W119" i="193"/>
  <c r="W150" i="193"/>
  <c r="W127" i="193"/>
  <c r="W145" i="193"/>
  <c r="W128" i="193"/>
  <c r="W129" i="193"/>
  <c r="W146" i="193"/>
  <c r="W158" i="193"/>
  <c r="W133" i="193"/>
  <c r="W144" i="193"/>
  <c r="W148" i="193"/>
  <c r="W153" i="193"/>
  <c r="W125" i="193"/>
  <c r="W142" i="193"/>
  <c r="W149" i="193"/>
  <c r="W155" i="193"/>
  <c r="W130" i="193"/>
  <c r="W137" i="193"/>
  <c r="W141" i="193"/>
  <c r="W140" i="193"/>
  <c r="W151" i="193"/>
  <c r="W164" i="193"/>
  <c r="W67" i="193"/>
  <c r="W39" i="193"/>
  <c r="W152" i="193"/>
  <c r="W159" i="193"/>
  <c r="W138" i="193"/>
  <c r="W154" i="193"/>
  <c r="W166" i="193"/>
  <c r="W41" i="193"/>
  <c r="W147" i="193"/>
  <c r="W156" i="193"/>
  <c r="W161" i="193"/>
  <c r="W169" i="193"/>
  <c r="W163" i="193"/>
  <c r="W165" i="193"/>
  <c r="W42" i="193"/>
  <c r="W167" i="193"/>
  <c r="W43" i="193"/>
  <c r="W157" i="193"/>
  <c r="W44" i="193"/>
  <c r="W38" i="193"/>
  <c r="W45" i="193"/>
  <c r="W56" i="193"/>
  <c r="W160" i="193"/>
  <c r="W162" i="193"/>
  <c r="W36" i="193"/>
  <c r="W37" i="193"/>
  <c r="W46" i="193"/>
  <c r="W58" i="193"/>
  <c r="W40" i="193"/>
  <c r="W170" i="193"/>
  <c r="W47" i="193"/>
  <c r="W60" i="193"/>
  <c r="W51" i="193"/>
  <c r="W55" i="193"/>
  <c r="W61" i="193"/>
  <c r="W4" i="193"/>
  <c r="W48" i="193"/>
  <c r="W53" i="193"/>
  <c r="W54" i="193"/>
  <c r="W62" i="193"/>
  <c r="W6" i="193"/>
  <c r="W18" i="193"/>
  <c r="W64" i="193"/>
  <c r="W13" i="193"/>
  <c r="W8" i="193"/>
  <c r="W52" i="193"/>
  <c r="W10" i="193"/>
  <c r="W5" i="193"/>
  <c r="W17" i="193"/>
  <c r="W168" i="193"/>
  <c r="W63" i="193"/>
  <c r="W35" i="193"/>
  <c r="W7" i="193"/>
  <c r="W50" i="193"/>
  <c r="W59" i="193"/>
  <c r="W65" i="193"/>
  <c r="W14" i="193"/>
  <c r="W26" i="193"/>
  <c r="W9" i="193"/>
  <c r="W11" i="193"/>
  <c r="W19" i="193"/>
  <c r="W24" i="193"/>
  <c r="W15" i="193"/>
  <c r="W27" i="193"/>
  <c r="W49" i="193"/>
  <c r="W30" i="193"/>
  <c r="W57" i="193"/>
  <c r="W29" i="193"/>
  <c r="W21" i="193"/>
  <c r="W25" i="193"/>
  <c r="W16" i="193"/>
  <c r="W28" i="193"/>
  <c r="W12" i="193"/>
  <c r="W20" i="193"/>
  <c r="W22" i="193"/>
  <c r="W3" i="193"/>
  <c r="W23" i="193"/>
  <c r="W174" i="193"/>
  <c r="W173" i="193"/>
  <c r="W176" i="193"/>
  <c r="W175" i="193"/>
  <c r="W66" i="193"/>
  <c r="W34" i="193"/>
  <c r="W31" i="193"/>
  <c r="W32" i="193"/>
  <c r="W33" i="193"/>
  <c r="X1" i="193"/>
  <c r="G7" i="191"/>
  <c r="G9" i="191"/>
  <c r="G4" i="191"/>
  <c r="G17" i="191"/>
  <c r="G11" i="191"/>
  <c r="G6" i="191"/>
  <c r="G13" i="191"/>
  <c r="G8" i="191"/>
  <c r="G16" i="191"/>
  <c r="G28" i="191"/>
  <c r="G10" i="191"/>
  <c r="G5" i="191"/>
  <c r="G18" i="191"/>
  <c r="G30" i="191"/>
  <c r="G12" i="191"/>
  <c r="G25" i="191"/>
  <c r="G31" i="191"/>
  <c r="G46" i="191"/>
  <c r="G20" i="191"/>
  <c r="G27" i="191"/>
  <c r="G33" i="191"/>
  <c r="G38" i="191"/>
  <c r="G50" i="191"/>
  <c r="G19" i="191"/>
  <c r="G22" i="191"/>
  <c r="G35" i="191"/>
  <c r="G29" i="191"/>
  <c r="G21" i="191"/>
  <c r="G41" i="191"/>
  <c r="G61" i="191"/>
  <c r="G43" i="191"/>
  <c r="G34" i="191"/>
  <c r="G45" i="191"/>
  <c r="G32" i="191"/>
  <c r="G42" i="191"/>
  <c r="G51" i="191"/>
  <c r="G54" i="191"/>
  <c r="G15" i="191"/>
  <c r="G39" i="191"/>
  <c r="G55" i="191"/>
  <c r="G40" i="191"/>
  <c r="G56" i="191"/>
  <c r="G65" i="191"/>
  <c r="G23" i="191"/>
  <c r="G26" i="191"/>
  <c r="G24" i="191"/>
  <c r="G58" i="191"/>
  <c r="G48" i="191"/>
  <c r="G36" i="191"/>
  <c r="G37" i="191"/>
  <c r="G53" i="191"/>
  <c r="G44" i="191"/>
  <c r="G52" i="191"/>
  <c r="G49" i="191"/>
  <c r="G80" i="191"/>
  <c r="G92" i="191"/>
  <c r="G62" i="191"/>
  <c r="G72" i="191"/>
  <c r="G75" i="191"/>
  <c r="G82" i="191"/>
  <c r="G94" i="191"/>
  <c r="G60" i="191"/>
  <c r="G68" i="191"/>
  <c r="G57" i="191"/>
  <c r="G66" i="191"/>
  <c r="G67" i="191"/>
  <c r="G73" i="191"/>
  <c r="G79" i="191"/>
  <c r="G69" i="191"/>
  <c r="G64" i="191"/>
  <c r="G70" i="191"/>
  <c r="G81" i="191"/>
  <c r="G63" i="191"/>
  <c r="G71" i="191"/>
  <c r="G47" i="191"/>
  <c r="G59" i="191"/>
  <c r="G74" i="191"/>
  <c r="G78" i="191"/>
  <c r="G90" i="191"/>
  <c r="G85" i="191"/>
  <c r="G108" i="191"/>
  <c r="G77" i="191"/>
  <c r="G83" i="191"/>
  <c r="G88" i="191"/>
  <c r="G76" i="191"/>
  <c r="G95" i="191"/>
  <c r="G101" i="191"/>
  <c r="G105" i="191"/>
  <c r="G117" i="191"/>
  <c r="G84" i="191"/>
  <c r="G87" i="191"/>
  <c r="G91" i="191"/>
  <c r="G102" i="191"/>
  <c r="G104" i="191"/>
  <c r="G116" i="191"/>
  <c r="G86" i="191"/>
  <c r="G89" i="191"/>
  <c r="G97" i="191"/>
  <c r="G93" i="191"/>
  <c r="G100" i="191"/>
  <c r="G98" i="191"/>
  <c r="G132" i="191"/>
  <c r="G99" i="191"/>
  <c r="G122" i="191"/>
  <c r="G129" i="191"/>
  <c r="G141" i="191"/>
  <c r="G107" i="191"/>
  <c r="G111" i="191"/>
  <c r="G112" i="191"/>
  <c r="G110" i="191"/>
  <c r="G120" i="191"/>
  <c r="G126" i="191"/>
  <c r="G109" i="191"/>
  <c r="G113" i="191"/>
  <c r="G96" i="191"/>
  <c r="G128" i="191"/>
  <c r="G140" i="191"/>
  <c r="G114" i="191"/>
  <c r="G118" i="191"/>
  <c r="G121" i="191"/>
  <c r="G130" i="191"/>
  <c r="G103" i="191"/>
  <c r="G106" i="191"/>
  <c r="G115" i="191"/>
  <c r="G125" i="191"/>
  <c r="G119" i="191"/>
  <c r="G135" i="191"/>
  <c r="G153" i="191"/>
  <c r="G124" i="191"/>
  <c r="G139" i="191"/>
  <c r="G146" i="191"/>
  <c r="G160" i="191"/>
  <c r="G149" i="191"/>
  <c r="G155" i="191"/>
  <c r="G131" i="191"/>
  <c r="G134" i="191"/>
  <c r="G162" i="191"/>
  <c r="G144" i="191"/>
  <c r="G157" i="191"/>
  <c r="G147" i="191"/>
  <c r="G152" i="191"/>
  <c r="G150" i="191"/>
  <c r="G159" i="191"/>
  <c r="G133" i="191"/>
  <c r="G142" i="191"/>
  <c r="G154" i="191"/>
  <c r="G136" i="191"/>
  <c r="G145" i="191"/>
  <c r="G161" i="191"/>
  <c r="G137" i="191"/>
  <c r="G148" i="191"/>
  <c r="G123" i="191"/>
  <c r="G127" i="191"/>
  <c r="G138" i="191"/>
  <c r="G143" i="191"/>
  <c r="G151" i="191"/>
  <c r="G158" i="191"/>
  <c r="G170" i="191"/>
  <c r="G165" i="191"/>
  <c r="G156" i="191"/>
  <c r="G168" i="191"/>
  <c r="G164" i="191"/>
  <c r="G167" i="191"/>
  <c r="G171" i="191"/>
  <c r="G163" i="191"/>
  <c r="G166" i="191"/>
  <c r="G3" i="191"/>
  <c r="G169" i="191"/>
  <c r="G173" i="191"/>
  <c r="G176" i="191"/>
  <c r="G172" i="191"/>
  <c r="G175" i="191"/>
  <c r="G174" i="191"/>
  <c r="H1" i="191"/>
  <c r="H14" i="191" s="1"/>
  <c r="T46" i="188"/>
  <c r="T47" i="188"/>
  <c r="T48" i="188"/>
  <c r="T49" i="188"/>
  <c r="T50" i="188"/>
  <c r="T51" i="188"/>
  <c r="T52" i="188"/>
  <c r="T53" i="188"/>
  <c r="T54" i="188"/>
  <c r="T55" i="188"/>
  <c r="T56" i="188"/>
  <c r="T57" i="188"/>
  <c r="T58" i="188"/>
  <c r="T59" i="188"/>
  <c r="X172" i="193" l="1"/>
  <c r="X171" i="193"/>
  <c r="X72" i="193"/>
  <c r="X84" i="193"/>
  <c r="X69" i="193"/>
  <c r="X71" i="193"/>
  <c r="X78" i="193"/>
  <c r="X73" i="193"/>
  <c r="X68" i="193"/>
  <c r="X80" i="193"/>
  <c r="X92" i="193"/>
  <c r="X75" i="193"/>
  <c r="X87" i="193"/>
  <c r="X70" i="193"/>
  <c r="X82" i="193"/>
  <c r="X94" i="193"/>
  <c r="X77" i="193"/>
  <c r="X79" i="193"/>
  <c r="X89" i="193"/>
  <c r="X98" i="193"/>
  <c r="X108" i="193"/>
  <c r="X81" i="193"/>
  <c r="X90" i="193"/>
  <c r="X103" i="193"/>
  <c r="X86" i="193"/>
  <c r="X105" i="193"/>
  <c r="X115" i="193"/>
  <c r="X117" i="193"/>
  <c r="X74" i="193"/>
  <c r="X102" i="193"/>
  <c r="X109" i="193"/>
  <c r="X76" i="193"/>
  <c r="X83" i="193"/>
  <c r="X88" i="193"/>
  <c r="X85" i="193"/>
  <c r="X95" i="193"/>
  <c r="X91" i="193"/>
  <c r="X100" i="193"/>
  <c r="X99" i="193"/>
  <c r="X101" i="193"/>
  <c r="X110" i="193"/>
  <c r="X96" i="193"/>
  <c r="X97" i="193"/>
  <c r="X114" i="193"/>
  <c r="X121" i="193"/>
  <c r="X104" i="193"/>
  <c r="X111" i="193"/>
  <c r="X113" i="193"/>
  <c r="X128" i="193"/>
  <c r="X93" i="193"/>
  <c r="X123" i="193"/>
  <c r="X106" i="193"/>
  <c r="X125" i="193"/>
  <c r="X137" i="193"/>
  <c r="X107" i="193"/>
  <c r="X133" i="193"/>
  <c r="X120" i="193"/>
  <c r="X112" i="193"/>
  <c r="X116" i="193"/>
  <c r="X124" i="193"/>
  <c r="X118" i="193"/>
  <c r="X130" i="193"/>
  <c r="X141" i="193"/>
  <c r="X122" i="193"/>
  <c r="X136" i="193"/>
  <c r="X148" i="193"/>
  <c r="X131" i="193"/>
  <c r="X139" i="193"/>
  <c r="X143" i="193"/>
  <c r="X147" i="193"/>
  <c r="X156" i="193"/>
  <c r="X127" i="193"/>
  <c r="X145" i="193"/>
  <c r="X163" i="193"/>
  <c r="X119" i="193"/>
  <c r="X129" i="193"/>
  <c r="X146" i="193"/>
  <c r="X158" i="193"/>
  <c r="X126" i="193"/>
  <c r="X144" i="193"/>
  <c r="X153" i="193"/>
  <c r="X142" i="193"/>
  <c r="X149" i="193"/>
  <c r="X160" i="193"/>
  <c r="X134" i="193"/>
  <c r="X150" i="193"/>
  <c r="X155" i="193"/>
  <c r="X157" i="193"/>
  <c r="X169" i="193"/>
  <c r="X44" i="193"/>
  <c r="X135" i="193"/>
  <c r="X140" i="193"/>
  <c r="X151" i="193"/>
  <c r="X164" i="193"/>
  <c r="X152" i="193"/>
  <c r="X159" i="193"/>
  <c r="X46" i="193"/>
  <c r="X132" i="193"/>
  <c r="X138" i="193"/>
  <c r="X168" i="193"/>
  <c r="X48" i="193"/>
  <c r="X161" i="193"/>
  <c r="X154" i="193"/>
  <c r="X165" i="193"/>
  <c r="X42" i="193"/>
  <c r="X167" i="193"/>
  <c r="X67" i="193"/>
  <c r="X43" i="193"/>
  <c r="X49" i="193"/>
  <c r="X50" i="193"/>
  <c r="X166" i="193"/>
  <c r="X38" i="193"/>
  <c r="X162" i="193"/>
  <c r="X36" i="193"/>
  <c r="X39" i="193"/>
  <c r="X37" i="193"/>
  <c r="X40" i="193"/>
  <c r="X51" i="193"/>
  <c r="X53" i="193"/>
  <c r="X170" i="193"/>
  <c r="X57" i="193"/>
  <c r="X9" i="193"/>
  <c r="X55" i="193"/>
  <c r="X56" i="193"/>
  <c r="X61" i="193"/>
  <c r="X4" i="193"/>
  <c r="X11" i="193"/>
  <c r="X45" i="193"/>
  <c r="X54" i="193"/>
  <c r="X62" i="193"/>
  <c r="X6" i="193"/>
  <c r="X41" i="193"/>
  <c r="X64" i="193"/>
  <c r="X13" i="193"/>
  <c r="X47" i="193"/>
  <c r="X8" i="193"/>
  <c r="X52" i="193"/>
  <c r="X15" i="193"/>
  <c r="X10" i="193"/>
  <c r="X22" i="193"/>
  <c r="X35" i="193"/>
  <c r="X5" i="193"/>
  <c r="X63" i="193"/>
  <c r="X12" i="193"/>
  <c r="X60" i="193"/>
  <c r="X7" i="193"/>
  <c r="X19" i="193"/>
  <c r="X23" i="193"/>
  <c r="X65" i="193"/>
  <c r="X14" i="193"/>
  <c r="X17" i="193"/>
  <c r="X29" i="193"/>
  <c r="X24" i="193"/>
  <c r="X27" i="193"/>
  <c r="X30" i="193"/>
  <c r="X21" i="193"/>
  <c r="X25" i="193"/>
  <c r="X26" i="193"/>
  <c r="X58" i="193"/>
  <c r="X3" i="193"/>
  <c r="X16" i="193"/>
  <c r="X18" i="193"/>
  <c r="X28" i="193"/>
  <c r="X59" i="193"/>
  <c r="X20" i="193"/>
  <c r="X173" i="193"/>
  <c r="X176" i="193"/>
  <c r="X174" i="193"/>
  <c r="X175" i="193"/>
  <c r="X66" i="193"/>
  <c r="X33" i="193"/>
  <c r="X34" i="193"/>
  <c r="X31" i="193"/>
  <c r="X32" i="193"/>
  <c r="Y1" i="193"/>
  <c r="H12" i="191"/>
  <c r="H7" i="191"/>
  <c r="H15" i="191"/>
  <c r="H9" i="191"/>
  <c r="H4" i="191"/>
  <c r="H11" i="191"/>
  <c r="H6" i="191"/>
  <c r="H13" i="191"/>
  <c r="H8" i="191"/>
  <c r="H21" i="191"/>
  <c r="H33" i="191"/>
  <c r="H16" i="191"/>
  <c r="H10" i="191"/>
  <c r="H23" i="191"/>
  <c r="H35" i="191"/>
  <c r="H5" i="191"/>
  <c r="H24" i="191"/>
  <c r="H37" i="191"/>
  <c r="H39" i="191"/>
  <c r="H51" i="191"/>
  <c r="H26" i="191"/>
  <c r="H43" i="191"/>
  <c r="H28" i="191"/>
  <c r="H19" i="191"/>
  <c r="H22" i="191"/>
  <c r="H47" i="191"/>
  <c r="H54" i="191"/>
  <c r="H66" i="191"/>
  <c r="H31" i="191"/>
  <c r="H49" i="191"/>
  <c r="H58" i="191"/>
  <c r="H17" i="191"/>
  <c r="H20" i="191"/>
  <c r="H27" i="191"/>
  <c r="H38" i="191"/>
  <c r="H44" i="191"/>
  <c r="H25" i="191"/>
  <c r="H34" i="191"/>
  <c r="H45" i="191"/>
  <c r="H32" i="191"/>
  <c r="H50" i="191"/>
  <c r="H52" i="191"/>
  <c r="H18" i="191"/>
  <c r="H30" i="191"/>
  <c r="H42" i="191"/>
  <c r="H61" i="191"/>
  <c r="H67" i="191"/>
  <c r="H69" i="191"/>
  <c r="H29" i="191"/>
  <c r="H62" i="191"/>
  <c r="H71" i="191"/>
  <c r="H41" i="191"/>
  <c r="H36" i="191"/>
  <c r="H53" i="191"/>
  <c r="H60" i="191"/>
  <c r="H59" i="191"/>
  <c r="H74" i="191"/>
  <c r="H78" i="191"/>
  <c r="H85" i="191"/>
  <c r="H55" i="191"/>
  <c r="H56" i="191"/>
  <c r="H72" i="191"/>
  <c r="H87" i="191"/>
  <c r="H99" i="191"/>
  <c r="H65" i="191"/>
  <c r="H68" i="191"/>
  <c r="H46" i="191"/>
  <c r="H48" i="191"/>
  <c r="H57" i="191"/>
  <c r="H73" i="191"/>
  <c r="H79" i="191"/>
  <c r="H40" i="191"/>
  <c r="H86" i="191"/>
  <c r="H64" i="191"/>
  <c r="H70" i="191"/>
  <c r="H76" i="191"/>
  <c r="H63" i="191"/>
  <c r="H83" i="191"/>
  <c r="H93" i="191"/>
  <c r="H100" i="191"/>
  <c r="H77" i="191"/>
  <c r="H88" i="191"/>
  <c r="H98" i="191"/>
  <c r="H110" i="191"/>
  <c r="H122" i="191"/>
  <c r="H75" i="191"/>
  <c r="H84" i="191"/>
  <c r="H96" i="191"/>
  <c r="H107" i="191"/>
  <c r="H80" i="191"/>
  <c r="H90" i="191"/>
  <c r="H91" i="191"/>
  <c r="H109" i="191"/>
  <c r="H81" i="191"/>
  <c r="H82" i="191"/>
  <c r="H92" i="191"/>
  <c r="H89" i="191"/>
  <c r="H97" i="191"/>
  <c r="H106" i="191"/>
  <c r="H103" i="191"/>
  <c r="H115" i="191"/>
  <c r="H125" i="191"/>
  <c r="H119" i="191"/>
  <c r="H134" i="191"/>
  <c r="H146" i="191"/>
  <c r="H104" i="191"/>
  <c r="H117" i="191"/>
  <c r="H111" i="191"/>
  <c r="H112" i="191"/>
  <c r="H131" i="191"/>
  <c r="H95" i="191"/>
  <c r="H101" i="191"/>
  <c r="H105" i="191"/>
  <c r="H113" i="191"/>
  <c r="H133" i="191"/>
  <c r="H94" i="191"/>
  <c r="H102" i="191"/>
  <c r="H114" i="191"/>
  <c r="H118" i="191"/>
  <c r="H123" i="191"/>
  <c r="H108" i="191"/>
  <c r="H121" i="191"/>
  <c r="H130" i="191"/>
  <c r="H127" i="191"/>
  <c r="H138" i="191"/>
  <c r="H143" i="191"/>
  <c r="H151" i="191"/>
  <c r="H158" i="191"/>
  <c r="H135" i="191"/>
  <c r="H153" i="191"/>
  <c r="H165" i="191"/>
  <c r="H3" i="191"/>
  <c r="H124" i="191"/>
  <c r="H139" i="191"/>
  <c r="H116" i="191"/>
  <c r="H120" i="191"/>
  <c r="H140" i="191"/>
  <c r="H149" i="191"/>
  <c r="H155" i="191"/>
  <c r="H167" i="191"/>
  <c r="H128" i="191"/>
  <c r="H141" i="191"/>
  <c r="H144" i="191"/>
  <c r="H147" i="191"/>
  <c r="H152" i="191"/>
  <c r="H129" i="191"/>
  <c r="H150" i="191"/>
  <c r="H159" i="191"/>
  <c r="H142" i="191"/>
  <c r="H154" i="191"/>
  <c r="H166" i="191"/>
  <c r="H126" i="191"/>
  <c r="H136" i="191"/>
  <c r="H145" i="191"/>
  <c r="H132" i="191"/>
  <c r="H137" i="191"/>
  <c r="H148" i="191"/>
  <c r="H163" i="191"/>
  <c r="H169" i="191"/>
  <c r="H161" i="191"/>
  <c r="H162" i="191"/>
  <c r="H156" i="191"/>
  <c r="H160" i="191"/>
  <c r="H168" i="191"/>
  <c r="H164" i="191"/>
  <c r="H170" i="191"/>
  <c r="H171" i="191"/>
  <c r="H157" i="191"/>
  <c r="H172" i="191"/>
  <c r="H173" i="191"/>
  <c r="H176" i="191"/>
  <c r="H175" i="191"/>
  <c r="H174" i="191"/>
  <c r="I1" i="191"/>
  <c r="I14" i="191" s="1"/>
  <c r="T45" i="188"/>
  <c r="T36" i="188"/>
  <c r="T37" i="188"/>
  <c r="T38" i="188"/>
  <c r="T39" i="188"/>
  <c r="T40" i="188"/>
  <c r="T41" i="188"/>
  <c r="T42" i="188"/>
  <c r="T43" i="188"/>
  <c r="T44" i="188"/>
  <c r="Y171" i="193" l="1"/>
  <c r="Y172" i="193"/>
  <c r="Y77" i="193"/>
  <c r="Y72" i="193"/>
  <c r="Y74" i="193"/>
  <c r="Y69" i="193"/>
  <c r="Y71" i="193"/>
  <c r="Y83" i="193"/>
  <c r="Y73" i="193"/>
  <c r="Y85" i="193"/>
  <c r="Y97" i="193"/>
  <c r="Y68" i="193"/>
  <c r="Y80" i="193"/>
  <c r="Y92" i="193"/>
  <c r="Y75" i="193"/>
  <c r="Y87" i="193"/>
  <c r="Y99" i="193"/>
  <c r="Y91" i="193"/>
  <c r="Y101" i="193"/>
  <c r="Y79" i="193"/>
  <c r="Y89" i="193"/>
  <c r="Y98" i="193"/>
  <c r="Y88" i="193"/>
  <c r="Y110" i="193"/>
  <c r="Y70" i="193"/>
  <c r="Y120" i="193"/>
  <c r="Y94" i="193"/>
  <c r="Y96" i="193"/>
  <c r="Y107" i="193"/>
  <c r="Y122" i="193"/>
  <c r="Y82" i="193"/>
  <c r="Y90" i="193"/>
  <c r="Y103" i="193"/>
  <c r="Y104" i="193"/>
  <c r="Y78" i="193"/>
  <c r="Y81" i="193"/>
  <c r="Y84" i="193"/>
  <c r="Y102" i="193"/>
  <c r="Y100" i="193"/>
  <c r="Y114" i="193"/>
  <c r="Y116" i="193"/>
  <c r="Y86" i="193"/>
  <c r="Y115" i="193"/>
  <c r="Y108" i="193"/>
  <c r="Y124" i="193"/>
  <c r="Y95" i="193"/>
  <c r="Y133" i="193"/>
  <c r="Y76" i="193"/>
  <c r="Y105" i="193"/>
  <c r="Y111" i="193"/>
  <c r="Y113" i="193"/>
  <c r="Y128" i="193"/>
  <c r="Y93" i="193"/>
  <c r="Y130" i="193"/>
  <c r="Y119" i="193"/>
  <c r="Y123" i="193"/>
  <c r="Y137" i="193"/>
  <c r="Y134" i="193"/>
  <c r="Y140" i="193"/>
  <c r="Y112" i="193"/>
  <c r="Y121" i="193"/>
  <c r="Y117" i="193"/>
  <c r="Y106" i="193"/>
  <c r="Y146" i="193"/>
  <c r="Y118" i="193"/>
  <c r="Y141" i="193"/>
  <c r="Y109" i="193"/>
  <c r="Y136" i="193"/>
  <c r="Y148" i="193"/>
  <c r="Y147" i="193"/>
  <c r="Y156" i="193"/>
  <c r="Y127" i="193"/>
  <c r="Y139" i="193"/>
  <c r="Y145" i="193"/>
  <c r="Y129" i="193"/>
  <c r="Y143" i="193"/>
  <c r="Y158" i="193"/>
  <c r="Y125" i="193"/>
  <c r="Y126" i="193"/>
  <c r="Y144" i="193"/>
  <c r="Y153" i="193"/>
  <c r="Y165" i="193"/>
  <c r="Y142" i="193"/>
  <c r="Y149" i="193"/>
  <c r="Y162" i="193"/>
  <c r="Y37" i="193"/>
  <c r="Y49" i="193"/>
  <c r="Y131" i="193"/>
  <c r="Y157" i="193"/>
  <c r="Y169" i="193"/>
  <c r="Y135" i="193"/>
  <c r="Y151" i="193"/>
  <c r="Y164" i="193"/>
  <c r="Y39" i="193"/>
  <c r="Y51" i="193"/>
  <c r="Y152" i="193"/>
  <c r="Y132" i="193"/>
  <c r="Y138" i="193"/>
  <c r="Y154" i="193"/>
  <c r="Y170" i="193"/>
  <c r="Y41" i="193"/>
  <c r="Y47" i="193"/>
  <c r="Y168" i="193"/>
  <c r="Y159" i="193"/>
  <c r="Y161" i="193"/>
  <c r="Y163" i="193"/>
  <c r="Y67" i="193"/>
  <c r="Y42" i="193"/>
  <c r="Y150" i="193"/>
  <c r="Y167" i="193"/>
  <c r="Y43" i="193"/>
  <c r="Y44" i="193"/>
  <c r="Y50" i="193"/>
  <c r="Y54" i="193"/>
  <c r="Y155" i="193"/>
  <c r="Y160" i="193"/>
  <c r="Y166" i="193"/>
  <c r="Y38" i="193"/>
  <c r="Y45" i="193"/>
  <c r="Y56" i="193"/>
  <c r="Y36" i="193"/>
  <c r="Y46" i="193"/>
  <c r="Y58" i="193"/>
  <c r="Y59" i="193"/>
  <c r="Y65" i="193"/>
  <c r="Y57" i="193"/>
  <c r="Y40" i="193"/>
  <c r="Y48" i="193"/>
  <c r="Y55" i="193"/>
  <c r="Y61" i="193"/>
  <c r="Y4" i="193"/>
  <c r="Y16" i="193"/>
  <c r="Y53" i="193"/>
  <c r="Y11" i="193"/>
  <c r="Y62" i="193"/>
  <c r="Y6" i="193"/>
  <c r="Y18" i="193"/>
  <c r="Y64" i="193"/>
  <c r="Y8" i="193"/>
  <c r="Y20" i="193"/>
  <c r="Y52" i="193"/>
  <c r="Y35" i="193"/>
  <c r="Y15" i="193"/>
  <c r="Y5" i="193"/>
  <c r="Y63" i="193"/>
  <c r="Y12" i="193"/>
  <c r="Y24" i="193"/>
  <c r="Y60" i="193"/>
  <c r="Y23" i="193"/>
  <c r="Y9" i="193"/>
  <c r="Y26" i="193"/>
  <c r="Y7" i="193"/>
  <c r="Y14" i="193"/>
  <c r="Y29" i="193"/>
  <c r="Y17" i="193"/>
  <c r="Y19" i="193"/>
  <c r="Y27" i="193"/>
  <c r="Y10" i="193"/>
  <c r="Y30" i="193"/>
  <c r="Y28" i="193"/>
  <c r="Y3" i="193"/>
  <c r="Y21" i="193"/>
  <c r="Y25" i="193"/>
  <c r="Y13" i="193"/>
  <c r="Y22" i="193"/>
  <c r="Y174" i="193"/>
  <c r="Y176" i="193"/>
  <c r="Y173" i="193"/>
  <c r="Y175" i="193"/>
  <c r="Y66" i="193"/>
  <c r="Y34" i="193"/>
  <c r="Y32" i="193"/>
  <c r="Y33" i="193"/>
  <c r="Z1" i="193"/>
  <c r="Y31" i="193"/>
  <c r="I5" i="191"/>
  <c r="I18" i="191"/>
  <c r="I12" i="191"/>
  <c r="I7" i="191"/>
  <c r="I15" i="191"/>
  <c r="I9" i="191"/>
  <c r="I4" i="191"/>
  <c r="I17" i="191"/>
  <c r="I11" i="191"/>
  <c r="I6" i="191"/>
  <c r="I19" i="191"/>
  <c r="I13" i="191"/>
  <c r="I26" i="191"/>
  <c r="I8" i="191"/>
  <c r="I16" i="191"/>
  <c r="I28" i="191"/>
  <c r="I10" i="191"/>
  <c r="I44" i="191"/>
  <c r="I48" i="191"/>
  <c r="I21" i="191"/>
  <c r="I34" i="191"/>
  <c r="I35" i="191"/>
  <c r="I40" i="191"/>
  <c r="I37" i="191"/>
  <c r="I59" i="191"/>
  <c r="I24" i="191"/>
  <c r="I39" i="191"/>
  <c r="I42" i="191"/>
  <c r="I36" i="191"/>
  <c r="I20" i="191"/>
  <c r="I27" i="191"/>
  <c r="I38" i="191"/>
  <c r="I53" i="191"/>
  <c r="I32" i="191"/>
  <c r="I33" i="191"/>
  <c r="I50" i="191"/>
  <c r="I51" i="191"/>
  <c r="I52" i="191"/>
  <c r="I54" i="191"/>
  <c r="I64" i="191"/>
  <c r="I30" i="191"/>
  <c r="I31" i="191"/>
  <c r="I29" i="191"/>
  <c r="I47" i="191"/>
  <c r="I55" i="191"/>
  <c r="I25" i="191"/>
  <c r="I23" i="191"/>
  <c r="I22" i="191"/>
  <c r="I43" i="191"/>
  <c r="I57" i="191"/>
  <c r="I41" i="191"/>
  <c r="I58" i="191"/>
  <c r="I63" i="191"/>
  <c r="I46" i="191"/>
  <c r="I45" i="191"/>
  <c r="I83" i="191"/>
  <c r="I49" i="191"/>
  <c r="I74" i="191"/>
  <c r="I78" i="191"/>
  <c r="I90" i="191"/>
  <c r="I56" i="191"/>
  <c r="I62" i="191"/>
  <c r="I80" i="191"/>
  <c r="I92" i="191"/>
  <c r="I60" i="191"/>
  <c r="I65" i="191"/>
  <c r="I66" i="191"/>
  <c r="I67" i="191"/>
  <c r="I68" i="191"/>
  <c r="I77" i="191"/>
  <c r="I84" i="191"/>
  <c r="I69" i="191"/>
  <c r="I73" i="191"/>
  <c r="I79" i="191"/>
  <c r="I61" i="191"/>
  <c r="I70" i="191"/>
  <c r="I71" i="191"/>
  <c r="I76" i="191"/>
  <c r="I88" i="191"/>
  <c r="I89" i="191"/>
  <c r="I97" i="191"/>
  <c r="I106" i="191"/>
  <c r="I85" i="191"/>
  <c r="I94" i="191"/>
  <c r="I103" i="191"/>
  <c r="I115" i="191"/>
  <c r="I72" i="191"/>
  <c r="I75" i="191"/>
  <c r="I87" i="191"/>
  <c r="I99" i="191"/>
  <c r="I114" i="191"/>
  <c r="I91" i="191"/>
  <c r="I81" i="191"/>
  <c r="I86" i="191"/>
  <c r="I102" i="191"/>
  <c r="I104" i="191"/>
  <c r="I82" i="191"/>
  <c r="I108" i="191"/>
  <c r="I121" i="191"/>
  <c r="I130" i="191"/>
  <c r="I98" i="191"/>
  <c r="I116" i="191"/>
  <c r="I119" i="191"/>
  <c r="I127" i="191"/>
  <c r="I139" i="191"/>
  <c r="I151" i="191"/>
  <c r="I93" i="191"/>
  <c r="I100" i="191"/>
  <c r="I107" i="191"/>
  <c r="I117" i="191"/>
  <c r="I124" i="191"/>
  <c r="I110" i="191"/>
  <c r="I111" i="191"/>
  <c r="I112" i="191"/>
  <c r="I95" i="191"/>
  <c r="I101" i="191"/>
  <c r="I105" i="191"/>
  <c r="I109" i="191"/>
  <c r="I120" i="191"/>
  <c r="I126" i="191"/>
  <c r="I138" i="191"/>
  <c r="I96" i="191"/>
  <c r="I113" i="191"/>
  <c r="I128" i="191"/>
  <c r="I118" i="191"/>
  <c r="I123" i="191"/>
  <c r="I135" i="191"/>
  <c r="I163" i="191"/>
  <c r="I143" i="191"/>
  <c r="I158" i="191"/>
  <c r="I170" i="191"/>
  <c r="I153" i="191"/>
  <c r="I146" i="191"/>
  <c r="I160" i="191"/>
  <c r="I140" i="191"/>
  <c r="I155" i="191"/>
  <c r="I131" i="191"/>
  <c r="I134" i="191"/>
  <c r="I149" i="191"/>
  <c r="I125" i="191"/>
  <c r="I141" i="191"/>
  <c r="I144" i="191"/>
  <c r="I157" i="191"/>
  <c r="I122" i="191"/>
  <c r="I147" i="191"/>
  <c r="I152" i="191"/>
  <c r="I129" i="191"/>
  <c r="I133" i="191"/>
  <c r="I150" i="191"/>
  <c r="I159" i="191"/>
  <c r="I142" i="191"/>
  <c r="I136" i="191"/>
  <c r="I145" i="191"/>
  <c r="I132" i="191"/>
  <c r="I137" i="191"/>
  <c r="I148" i="191"/>
  <c r="I156" i="191"/>
  <c r="I168" i="191"/>
  <c r="I169" i="191"/>
  <c r="I165" i="191"/>
  <c r="I162" i="191"/>
  <c r="I164" i="191"/>
  <c r="I154" i="191"/>
  <c r="I161" i="191"/>
  <c r="I167" i="191"/>
  <c r="I171" i="191"/>
  <c r="I166" i="191"/>
  <c r="I3" i="191"/>
  <c r="I174" i="191"/>
  <c r="I173" i="191"/>
  <c r="I176" i="191"/>
  <c r="I172" i="191"/>
  <c r="I175" i="191"/>
  <c r="J1" i="191"/>
  <c r="J14" i="191" s="1"/>
  <c r="T27" i="188"/>
  <c r="T28" i="188"/>
  <c r="T29" i="188"/>
  <c r="T30" i="188"/>
  <c r="T31" i="188"/>
  <c r="T32" i="188"/>
  <c r="T33" i="188"/>
  <c r="Z172" i="193" l="1"/>
  <c r="Z171" i="193"/>
  <c r="Z70" i="193"/>
  <c r="Z82" i="193"/>
  <c r="Z72" i="193"/>
  <c r="Z69" i="193"/>
  <c r="Z76" i="193"/>
  <c r="Z71" i="193"/>
  <c r="Z78" i="193"/>
  <c r="Z90" i="193"/>
  <c r="Z73" i="193"/>
  <c r="Z85" i="193"/>
  <c r="Z68" i="193"/>
  <c r="Z80" i="193"/>
  <c r="Z92" i="193"/>
  <c r="Z86" i="193"/>
  <c r="Z74" i="193"/>
  <c r="Z93" i="193"/>
  <c r="Z97" i="193"/>
  <c r="Z106" i="193"/>
  <c r="Z77" i="193"/>
  <c r="Z91" i="193"/>
  <c r="Z101" i="193"/>
  <c r="Z81" i="193"/>
  <c r="Z83" i="193"/>
  <c r="Z87" i="193"/>
  <c r="Z99" i="193"/>
  <c r="Z103" i="193"/>
  <c r="Z112" i="193"/>
  <c r="Z115" i="193"/>
  <c r="Z98" i="193"/>
  <c r="Z108" i="193"/>
  <c r="Z113" i="193"/>
  <c r="Z79" i="193"/>
  <c r="Z104" i="193"/>
  <c r="Z110" i="193"/>
  <c r="Z84" i="193"/>
  <c r="Z100" i="193"/>
  <c r="Z116" i="193"/>
  <c r="Z119" i="193"/>
  <c r="Z127" i="193"/>
  <c r="Z75" i="193"/>
  <c r="Z89" i="193"/>
  <c r="Z96" i="193"/>
  <c r="Z102" i="193"/>
  <c r="Z120" i="193"/>
  <c r="Z88" i="193"/>
  <c r="Z95" i="193"/>
  <c r="Z94" i="193"/>
  <c r="Z122" i="193"/>
  <c r="Z126" i="193"/>
  <c r="Z109" i="193"/>
  <c r="Z123" i="193"/>
  <c r="Z135" i="193"/>
  <c r="Z105" i="193"/>
  <c r="Z107" i="193"/>
  <c r="Z114" i="193"/>
  <c r="Z111" i="193"/>
  <c r="Z121" i="193"/>
  <c r="Z124" i="193"/>
  <c r="Z117" i="193"/>
  <c r="Z128" i="193"/>
  <c r="Z129" i="193"/>
  <c r="Z138" i="193"/>
  <c r="Z130" i="193"/>
  <c r="Z146" i="193"/>
  <c r="Z118" i="193"/>
  <c r="Z141" i="193"/>
  <c r="Z132" i="193"/>
  <c r="Z154" i="193"/>
  <c r="Z136" i="193"/>
  <c r="Z161" i="193"/>
  <c r="Z147" i="193"/>
  <c r="Z156" i="193"/>
  <c r="Z133" i="193"/>
  <c r="Z139" i="193"/>
  <c r="Z145" i="193"/>
  <c r="Z148" i="193"/>
  <c r="Z143" i="193"/>
  <c r="Z158" i="193"/>
  <c r="Z125" i="193"/>
  <c r="Z144" i="193"/>
  <c r="Z153" i="193"/>
  <c r="Z150" i="193"/>
  <c r="Z155" i="193"/>
  <c r="Z167" i="193"/>
  <c r="Z42" i="193"/>
  <c r="Z162" i="193"/>
  <c r="Z37" i="193"/>
  <c r="Z131" i="193"/>
  <c r="Z140" i="193"/>
  <c r="Z157" i="193"/>
  <c r="Z169" i="193"/>
  <c r="Z44" i="193"/>
  <c r="Z151" i="193"/>
  <c r="Z152" i="193"/>
  <c r="Z134" i="193"/>
  <c r="Z142" i="193"/>
  <c r="Z40" i="193"/>
  <c r="Z170" i="193"/>
  <c r="Z67" i="193"/>
  <c r="Z41" i="193"/>
  <c r="Z149" i="193"/>
  <c r="Z168" i="193"/>
  <c r="Z48" i="193"/>
  <c r="Z159" i="193"/>
  <c r="Z163" i="193"/>
  <c r="Z165" i="193"/>
  <c r="Z137" i="193"/>
  <c r="Z43" i="193"/>
  <c r="Z59" i="193"/>
  <c r="Z164" i="193"/>
  <c r="Z61" i="193"/>
  <c r="Z160" i="193"/>
  <c r="Z166" i="193"/>
  <c r="Z38" i="193"/>
  <c r="Z39" i="193"/>
  <c r="Z45" i="193"/>
  <c r="Z36" i="193"/>
  <c r="Z46" i="193"/>
  <c r="Z49" i="193"/>
  <c r="Z58" i="193"/>
  <c r="Z60" i="193"/>
  <c r="Z7" i="193"/>
  <c r="Z51" i="193"/>
  <c r="Z65" i="193"/>
  <c r="Z56" i="193"/>
  <c r="Z57" i="193"/>
  <c r="Z9" i="193"/>
  <c r="Z55" i="193"/>
  <c r="Z4" i="193"/>
  <c r="Z53" i="193"/>
  <c r="Z54" i="193"/>
  <c r="Z11" i="193"/>
  <c r="Z62" i="193"/>
  <c r="Z6" i="193"/>
  <c r="Z47" i="193"/>
  <c r="Z64" i="193"/>
  <c r="Z35" i="193"/>
  <c r="Z13" i="193"/>
  <c r="Z8" i="193"/>
  <c r="Z20" i="193"/>
  <c r="Z52" i="193"/>
  <c r="Z10" i="193"/>
  <c r="Z5" i="193"/>
  <c r="Z17" i="193"/>
  <c r="Z29" i="193"/>
  <c r="Z22" i="193"/>
  <c r="Z28" i="193"/>
  <c r="Z3" i="193"/>
  <c r="Z23" i="193"/>
  <c r="Z26" i="193"/>
  <c r="Z14" i="193"/>
  <c r="Z19" i="193"/>
  <c r="Z15" i="193"/>
  <c r="Z24" i="193"/>
  <c r="Z50" i="193"/>
  <c r="Z25" i="193"/>
  <c r="Z63" i="193"/>
  <c r="Z27" i="193"/>
  <c r="Z30" i="193"/>
  <c r="Z12" i="193"/>
  <c r="Z16" i="193"/>
  <c r="Z18" i="193"/>
  <c r="Z21" i="193"/>
  <c r="Z176" i="193"/>
  <c r="Z175" i="193"/>
  <c r="Z173" i="193"/>
  <c r="Z174" i="193"/>
  <c r="Z66" i="193"/>
  <c r="Z33" i="193"/>
  <c r="Z32" i="193"/>
  <c r="Z34" i="193"/>
  <c r="Z31" i="193"/>
  <c r="AA1" i="193"/>
  <c r="J10" i="191"/>
  <c r="J5" i="191"/>
  <c r="J12" i="191"/>
  <c r="J7" i="191"/>
  <c r="J9" i="191"/>
  <c r="J4" i="191"/>
  <c r="J17" i="191"/>
  <c r="J11" i="191"/>
  <c r="J6" i="191"/>
  <c r="J19" i="191"/>
  <c r="J31" i="191"/>
  <c r="J13" i="191"/>
  <c r="J8" i="191"/>
  <c r="J21" i="191"/>
  <c r="J33" i="191"/>
  <c r="J16" i="191"/>
  <c r="J18" i="191"/>
  <c r="J30" i="191"/>
  <c r="J36" i="191"/>
  <c r="J49" i="191"/>
  <c r="J32" i="191"/>
  <c r="J41" i="191"/>
  <c r="J20" i="191"/>
  <c r="J27" i="191"/>
  <c r="J38" i="191"/>
  <c r="J28" i="191"/>
  <c r="J34" i="191"/>
  <c r="J46" i="191"/>
  <c r="J64" i="191"/>
  <c r="J52" i="191"/>
  <c r="J56" i="191"/>
  <c r="J29" i="191"/>
  <c r="J44" i="191"/>
  <c r="J53" i="191"/>
  <c r="J60" i="191"/>
  <c r="J15" i="191"/>
  <c r="J61" i="191"/>
  <c r="J67" i="191"/>
  <c r="J69" i="191"/>
  <c r="J25" i="191"/>
  <c r="J26" i="191"/>
  <c r="J23" i="191"/>
  <c r="J24" i="191"/>
  <c r="J22" i="191"/>
  <c r="J43" i="191"/>
  <c r="J57" i="191"/>
  <c r="J48" i="191"/>
  <c r="J35" i="191"/>
  <c r="J37" i="191"/>
  <c r="J59" i="191"/>
  <c r="J47" i="191"/>
  <c r="J63" i="191"/>
  <c r="J71" i="191"/>
  <c r="J76" i="191"/>
  <c r="J45" i="191"/>
  <c r="J83" i="191"/>
  <c r="J95" i="191"/>
  <c r="J39" i="191"/>
  <c r="J51" i="191"/>
  <c r="J55" i="191"/>
  <c r="J85" i="191"/>
  <c r="J97" i="191"/>
  <c r="J54" i="191"/>
  <c r="J62" i="191"/>
  <c r="J75" i="191"/>
  <c r="J82" i="191"/>
  <c r="J42" i="191"/>
  <c r="J50" i="191"/>
  <c r="J65" i="191"/>
  <c r="J66" i="191"/>
  <c r="J68" i="191"/>
  <c r="J77" i="191"/>
  <c r="J84" i="191"/>
  <c r="J40" i="191"/>
  <c r="J58" i="191"/>
  <c r="J73" i="191"/>
  <c r="J70" i="191"/>
  <c r="J81" i="191"/>
  <c r="J78" i="191"/>
  <c r="J111" i="191"/>
  <c r="J89" i="191"/>
  <c r="J93" i="191"/>
  <c r="J94" i="191"/>
  <c r="J108" i="191"/>
  <c r="J120" i="191"/>
  <c r="J88" i="191"/>
  <c r="J101" i="191"/>
  <c r="J105" i="191"/>
  <c r="J72" i="191"/>
  <c r="J87" i="191"/>
  <c r="J74" i="191"/>
  <c r="J96" i="191"/>
  <c r="J107" i="191"/>
  <c r="J80" i="191"/>
  <c r="J90" i="191"/>
  <c r="J91" i="191"/>
  <c r="J79" i="191"/>
  <c r="J86" i="191"/>
  <c r="J92" i="191"/>
  <c r="J102" i="191"/>
  <c r="J104" i="191"/>
  <c r="J106" i="191"/>
  <c r="J118" i="191"/>
  <c r="J123" i="191"/>
  <c r="J135" i="191"/>
  <c r="J103" i="191"/>
  <c r="J115" i="191"/>
  <c r="J98" i="191"/>
  <c r="J116" i="191"/>
  <c r="J132" i="191"/>
  <c r="J144" i="191"/>
  <c r="J99" i="191"/>
  <c r="J100" i="191"/>
  <c r="J129" i="191"/>
  <c r="J110" i="191"/>
  <c r="J112" i="191"/>
  <c r="J131" i="191"/>
  <c r="J109" i="191"/>
  <c r="J113" i="191"/>
  <c r="J114" i="191"/>
  <c r="J128" i="191"/>
  <c r="J137" i="191"/>
  <c r="J148" i="191"/>
  <c r="J156" i="191"/>
  <c r="J119" i="191"/>
  <c r="J127" i="191"/>
  <c r="J138" i="191"/>
  <c r="J151" i="191"/>
  <c r="J163" i="191"/>
  <c r="J143" i="191"/>
  <c r="J124" i="191"/>
  <c r="J139" i="191"/>
  <c r="J146" i="191"/>
  <c r="J153" i="191"/>
  <c r="J165" i="191"/>
  <c r="J3" i="191"/>
  <c r="J160" i="191"/>
  <c r="J121" i="191"/>
  <c r="J134" i="191"/>
  <c r="J140" i="191"/>
  <c r="J149" i="191"/>
  <c r="J125" i="191"/>
  <c r="J141" i="191"/>
  <c r="J157" i="191"/>
  <c r="J122" i="191"/>
  <c r="J147" i="191"/>
  <c r="J152" i="191"/>
  <c r="J164" i="191"/>
  <c r="J133" i="191"/>
  <c r="J150" i="191"/>
  <c r="J117" i="191"/>
  <c r="J126" i="191"/>
  <c r="J142" i="191"/>
  <c r="J154" i="191"/>
  <c r="J130" i="191"/>
  <c r="J136" i="191"/>
  <c r="J145" i="191"/>
  <c r="J161" i="191"/>
  <c r="J166" i="191"/>
  <c r="J169" i="191"/>
  <c r="J168" i="191"/>
  <c r="J159" i="191"/>
  <c r="J158" i="191"/>
  <c r="J162" i="191"/>
  <c r="J155" i="191"/>
  <c r="J167" i="191"/>
  <c r="J170" i="191"/>
  <c r="J171" i="191"/>
  <c r="J176" i="191"/>
  <c r="J175" i="191"/>
  <c r="J173" i="191"/>
  <c r="J172" i="191"/>
  <c r="J174" i="191"/>
  <c r="K1" i="191"/>
  <c r="K14" i="191" s="1"/>
  <c r="Q25" i="188"/>
  <c r="O26" i="188"/>
  <c r="AA171" i="193" l="1"/>
  <c r="AA172" i="193"/>
  <c r="AA75" i="193"/>
  <c r="AA70" i="193"/>
  <c r="AA72" i="193"/>
  <c r="AA74" i="193"/>
  <c r="AA69" i="193"/>
  <c r="AA81" i="193"/>
  <c r="AA71" i="193"/>
  <c r="AA83" i="193"/>
  <c r="AA95" i="193"/>
  <c r="AA78" i="193"/>
  <c r="AA90" i="193"/>
  <c r="AA73" i="193"/>
  <c r="AA85" i="193"/>
  <c r="AA97" i="193"/>
  <c r="AA88" i="193"/>
  <c r="AA68" i="193"/>
  <c r="AA92" i="193"/>
  <c r="AA111" i="193"/>
  <c r="AA93" i="193"/>
  <c r="AA106" i="193"/>
  <c r="AA79" i="193"/>
  <c r="AA89" i="193"/>
  <c r="AA98" i="193"/>
  <c r="AA108" i="193"/>
  <c r="AA86" i="193"/>
  <c r="AA99" i="193"/>
  <c r="AA118" i="193"/>
  <c r="AA120" i="193"/>
  <c r="AA105" i="193"/>
  <c r="AA77" i="193"/>
  <c r="AA80" i="193"/>
  <c r="AA82" i="193"/>
  <c r="AA103" i="193"/>
  <c r="AA76" i="193"/>
  <c r="AA84" i="193"/>
  <c r="AA101" i="193"/>
  <c r="AA102" i="193"/>
  <c r="AA109" i="193"/>
  <c r="AA91" i="193"/>
  <c r="AA100" i="193"/>
  <c r="AA112" i="193"/>
  <c r="AA117" i="193"/>
  <c r="AA96" i="193"/>
  <c r="AA121" i="193"/>
  <c r="AA131" i="193"/>
  <c r="AA94" i="193"/>
  <c r="AA104" i="193"/>
  <c r="AA122" i="193"/>
  <c r="AA126" i="193"/>
  <c r="AA87" i="193"/>
  <c r="AA128" i="193"/>
  <c r="AA140" i="193"/>
  <c r="AA119" i="193"/>
  <c r="AA123" i="193"/>
  <c r="AA125" i="193"/>
  <c r="AA127" i="193"/>
  <c r="AA132" i="193"/>
  <c r="AA107" i="193"/>
  <c r="AA113" i="193"/>
  <c r="AA133" i="193"/>
  <c r="AA137" i="193"/>
  <c r="AA114" i="193"/>
  <c r="AA115" i="193"/>
  <c r="AA116" i="193"/>
  <c r="AA124" i="193"/>
  <c r="AA144" i="193"/>
  <c r="AA110" i="193"/>
  <c r="AA129" i="193"/>
  <c r="AA138" i="193"/>
  <c r="AA151" i="193"/>
  <c r="AA130" i="193"/>
  <c r="AA146" i="193"/>
  <c r="AA152" i="193"/>
  <c r="AA154" i="193"/>
  <c r="AA166" i="193"/>
  <c r="AA136" i="193"/>
  <c r="AA147" i="193"/>
  <c r="AA156" i="193"/>
  <c r="AA139" i="193"/>
  <c r="AA145" i="193"/>
  <c r="AA148" i="193"/>
  <c r="AA163" i="193"/>
  <c r="AA143" i="193"/>
  <c r="AA158" i="193"/>
  <c r="AA134" i="193"/>
  <c r="AA142" i="193"/>
  <c r="AA149" i="193"/>
  <c r="AA160" i="193"/>
  <c r="AA47" i="193"/>
  <c r="AA150" i="193"/>
  <c r="AA155" i="193"/>
  <c r="AA167" i="193"/>
  <c r="AA162" i="193"/>
  <c r="AA37" i="193"/>
  <c r="AA49" i="193"/>
  <c r="AA135" i="193"/>
  <c r="AA67" i="193"/>
  <c r="AA51" i="193"/>
  <c r="AA169" i="193"/>
  <c r="AA40" i="193"/>
  <c r="AA170" i="193"/>
  <c r="AA41" i="193"/>
  <c r="AA161" i="193"/>
  <c r="AA168" i="193"/>
  <c r="AA48" i="193"/>
  <c r="AA159" i="193"/>
  <c r="AA165" i="193"/>
  <c r="AA42" i="193"/>
  <c r="AA157" i="193"/>
  <c r="AA43" i="193"/>
  <c r="AA52" i="193"/>
  <c r="AA44" i="193"/>
  <c r="AA50" i="193"/>
  <c r="AA54" i="193"/>
  <c r="AA164" i="193"/>
  <c r="AA141" i="193"/>
  <c r="AA38" i="193"/>
  <c r="AA39" i="193"/>
  <c r="AA45" i="193"/>
  <c r="AA56" i="193"/>
  <c r="AA63" i="193"/>
  <c r="AA12" i="193"/>
  <c r="AA58" i="193"/>
  <c r="AA59" i="193"/>
  <c r="AA60" i="193"/>
  <c r="AA65" i="193"/>
  <c r="AA14" i="193"/>
  <c r="AA153" i="193"/>
  <c r="AA57" i="193"/>
  <c r="AA61" i="193"/>
  <c r="AA9" i="193"/>
  <c r="AA55" i="193"/>
  <c r="AA4" i="193"/>
  <c r="AA16" i="193"/>
  <c r="AA53" i="193"/>
  <c r="AA35" i="193"/>
  <c r="AA11" i="193"/>
  <c r="AA36" i="193"/>
  <c r="AA62" i="193"/>
  <c r="AA6" i="193"/>
  <c r="AA18" i="193"/>
  <c r="AA64" i="193"/>
  <c r="AA13" i="193"/>
  <c r="AA8" i="193"/>
  <c r="AA46" i="193"/>
  <c r="AA10" i="193"/>
  <c r="AA22" i="193"/>
  <c r="AA20" i="193"/>
  <c r="AA21" i="193"/>
  <c r="AA25" i="193"/>
  <c r="AA23" i="193"/>
  <c r="AA7" i="193"/>
  <c r="AA26" i="193"/>
  <c r="AA17" i="193"/>
  <c r="AA29" i="193"/>
  <c r="AA19" i="193"/>
  <c r="AA15" i="193"/>
  <c r="AA24" i="193"/>
  <c r="AA3" i="193"/>
  <c r="AA28" i="193"/>
  <c r="AA27" i="193"/>
  <c r="AA5" i="193"/>
  <c r="AA30" i="193"/>
  <c r="AA176" i="193"/>
  <c r="AA173" i="193"/>
  <c r="AA175" i="193"/>
  <c r="AA174" i="193"/>
  <c r="AA66" i="193"/>
  <c r="AA32" i="193"/>
  <c r="AA34" i="193"/>
  <c r="AA33" i="193"/>
  <c r="AB1" i="193"/>
  <c r="AA31" i="193"/>
  <c r="K16" i="191"/>
  <c r="K10" i="191"/>
  <c r="K5" i="191"/>
  <c r="K12" i="191"/>
  <c r="K7" i="191"/>
  <c r="K15" i="191"/>
  <c r="K9" i="191"/>
  <c r="K4" i="191"/>
  <c r="K17" i="191"/>
  <c r="K11" i="191"/>
  <c r="K24" i="191"/>
  <c r="K36" i="191"/>
  <c r="K6" i="191"/>
  <c r="K13" i="191"/>
  <c r="K26" i="191"/>
  <c r="K8" i="191"/>
  <c r="K23" i="191"/>
  <c r="K29" i="191"/>
  <c r="K42" i="191"/>
  <c r="K25" i="191"/>
  <c r="K46" i="191"/>
  <c r="K20" i="191"/>
  <c r="K21" i="191"/>
  <c r="K27" i="191"/>
  <c r="K38" i="191"/>
  <c r="K30" i="191"/>
  <c r="K51" i="191"/>
  <c r="K57" i="191"/>
  <c r="K18" i="191"/>
  <c r="K33" i="191"/>
  <c r="K40" i="191"/>
  <c r="K48" i="191"/>
  <c r="K61" i="191"/>
  <c r="K22" i="191"/>
  <c r="K43" i="191"/>
  <c r="K34" i="191"/>
  <c r="K35" i="191"/>
  <c r="K37" i="191"/>
  <c r="K44" i="191"/>
  <c r="K32" i="191"/>
  <c r="K28" i="191"/>
  <c r="K31" i="191"/>
  <c r="K39" i="191"/>
  <c r="K50" i="191"/>
  <c r="K54" i="191"/>
  <c r="K74" i="191"/>
  <c r="K45" i="191"/>
  <c r="K49" i="191"/>
  <c r="K19" i="191"/>
  <c r="K70" i="191"/>
  <c r="K81" i="191"/>
  <c r="K47" i="191"/>
  <c r="K59" i="191"/>
  <c r="K63" i="191"/>
  <c r="K71" i="191"/>
  <c r="K76" i="191"/>
  <c r="K88" i="191"/>
  <c r="K41" i="191"/>
  <c r="K78" i="191"/>
  <c r="K90" i="191"/>
  <c r="K102" i="191"/>
  <c r="K55" i="191"/>
  <c r="K56" i="191"/>
  <c r="K62" i="191"/>
  <c r="K60" i="191"/>
  <c r="K72" i="191"/>
  <c r="K53" i="191"/>
  <c r="K67" i="191"/>
  <c r="K75" i="191"/>
  <c r="K82" i="191"/>
  <c r="K65" i="191"/>
  <c r="K66" i="191"/>
  <c r="K68" i="191"/>
  <c r="K77" i="191"/>
  <c r="K89" i="191"/>
  <c r="K69" i="191"/>
  <c r="K58" i="191"/>
  <c r="K64" i="191"/>
  <c r="K73" i="191"/>
  <c r="K79" i="191"/>
  <c r="K52" i="191"/>
  <c r="K86" i="191"/>
  <c r="K92" i="191"/>
  <c r="K104" i="191"/>
  <c r="K83" i="191"/>
  <c r="K85" i="191"/>
  <c r="K93" i="191"/>
  <c r="K100" i="191"/>
  <c r="K113" i="191"/>
  <c r="K84" i="191"/>
  <c r="K95" i="191"/>
  <c r="K98" i="191"/>
  <c r="K87" i="191"/>
  <c r="K112" i="191"/>
  <c r="K80" i="191"/>
  <c r="K99" i="191"/>
  <c r="K91" i="191"/>
  <c r="K114" i="191"/>
  <c r="K128" i="191"/>
  <c r="K106" i="191"/>
  <c r="K108" i="191"/>
  <c r="K103" i="191"/>
  <c r="K115" i="191"/>
  <c r="K125" i="191"/>
  <c r="K137" i="191"/>
  <c r="K149" i="191"/>
  <c r="K116" i="191"/>
  <c r="K122" i="191"/>
  <c r="K107" i="191"/>
  <c r="K111" i="191"/>
  <c r="K117" i="191"/>
  <c r="K124" i="191"/>
  <c r="K136" i="191"/>
  <c r="K101" i="191"/>
  <c r="K105" i="191"/>
  <c r="K110" i="191"/>
  <c r="K96" i="191"/>
  <c r="K109" i="191"/>
  <c r="K126" i="191"/>
  <c r="K94" i="191"/>
  <c r="K97" i="191"/>
  <c r="K133" i="191"/>
  <c r="K130" i="191"/>
  <c r="K132" i="191"/>
  <c r="K145" i="191"/>
  <c r="K161" i="191"/>
  <c r="K148" i="191"/>
  <c r="K156" i="191"/>
  <c r="K168" i="191"/>
  <c r="K119" i="191"/>
  <c r="K127" i="191"/>
  <c r="K135" i="191"/>
  <c r="K138" i="191"/>
  <c r="K151" i="191"/>
  <c r="K143" i="191"/>
  <c r="K158" i="191"/>
  <c r="K170" i="191"/>
  <c r="K146" i="191"/>
  <c r="K120" i="191"/>
  <c r="K139" i="191"/>
  <c r="K153" i="191"/>
  <c r="K118" i="191"/>
  <c r="K131" i="191"/>
  <c r="K121" i="191"/>
  <c r="K134" i="191"/>
  <c r="K140" i="191"/>
  <c r="K155" i="191"/>
  <c r="K144" i="191"/>
  <c r="K162" i="191"/>
  <c r="K141" i="191"/>
  <c r="K157" i="191"/>
  <c r="K169" i="191"/>
  <c r="K129" i="191"/>
  <c r="K147" i="191"/>
  <c r="K152" i="191"/>
  <c r="K150" i="191"/>
  <c r="K123" i="191"/>
  <c r="K142" i="191"/>
  <c r="K154" i="191"/>
  <c r="K166" i="191"/>
  <c r="K165" i="191"/>
  <c r="K160" i="191"/>
  <c r="K159" i="191"/>
  <c r="K164" i="191"/>
  <c r="K167" i="191"/>
  <c r="K3" i="191"/>
  <c r="K163" i="191"/>
  <c r="K171" i="191"/>
  <c r="K172" i="191"/>
  <c r="K175" i="191"/>
  <c r="K176" i="191"/>
  <c r="K173" i="191"/>
  <c r="K174" i="191"/>
  <c r="L1" i="191"/>
  <c r="L14" i="191" s="1"/>
  <c r="T34" i="188"/>
  <c r="T35" i="188"/>
  <c r="AB171" i="193" l="1"/>
  <c r="AB172" i="193"/>
  <c r="AB68" i="193"/>
  <c r="AB80" i="193"/>
  <c r="AB75" i="193"/>
  <c r="AB70" i="193"/>
  <c r="AB72" i="193"/>
  <c r="AB74" i="193"/>
  <c r="AB69" i="193"/>
  <c r="AB76" i="193"/>
  <c r="AB88" i="193"/>
  <c r="AB100" i="193"/>
  <c r="AB71" i="193"/>
  <c r="AB83" i="193"/>
  <c r="AB95" i="193"/>
  <c r="AB78" i="193"/>
  <c r="AB90" i="193"/>
  <c r="AB87" i="193"/>
  <c r="AB73" i="193"/>
  <c r="AB94" i="193"/>
  <c r="AB96" i="193"/>
  <c r="AB104" i="193"/>
  <c r="AB92" i="193"/>
  <c r="AB97" i="193"/>
  <c r="AB77" i="193"/>
  <c r="AB91" i="193"/>
  <c r="AB101" i="193"/>
  <c r="AB113" i="193"/>
  <c r="AB89" i="193"/>
  <c r="AB111" i="193"/>
  <c r="AB112" i="193"/>
  <c r="AB106" i="193"/>
  <c r="AB107" i="193"/>
  <c r="AB98" i="193"/>
  <c r="AB105" i="193"/>
  <c r="AB84" i="193"/>
  <c r="AB86" i="193"/>
  <c r="AB82" i="193"/>
  <c r="AB99" i="193"/>
  <c r="AB118" i="193"/>
  <c r="AB125" i="193"/>
  <c r="AB110" i="193"/>
  <c r="AB115" i="193"/>
  <c r="AB116" i="193"/>
  <c r="AB119" i="193"/>
  <c r="AB127" i="193"/>
  <c r="AB102" i="193"/>
  <c r="AB85" i="193"/>
  <c r="AB103" i="193"/>
  <c r="AB114" i="193"/>
  <c r="AB124" i="193"/>
  <c r="AB121" i="193"/>
  <c r="AB81" i="193"/>
  <c r="AB93" i="193"/>
  <c r="AB133" i="193"/>
  <c r="AB79" i="193"/>
  <c r="AB108" i="193"/>
  <c r="AB123" i="193"/>
  <c r="AB139" i="193"/>
  <c r="AB120" i="193"/>
  <c r="AB126" i="193"/>
  <c r="AB135" i="193"/>
  <c r="AB117" i="193"/>
  <c r="AB128" i="193"/>
  <c r="AB144" i="193"/>
  <c r="AB122" i="193"/>
  <c r="AB129" i="193"/>
  <c r="AB138" i="193"/>
  <c r="AB151" i="193"/>
  <c r="AB132" i="193"/>
  <c r="AB152" i="193"/>
  <c r="AB159" i="193"/>
  <c r="AB154" i="193"/>
  <c r="AB136" i="193"/>
  <c r="AB146" i="193"/>
  <c r="AB109" i="193"/>
  <c r="AB147" i="193"/>
  <c r="AB156" i="193"/>
  <c r="AB145" i="193"/>
  <c r="AB148" i="193"/>
  <c r="AB137" i="193"/>
  <c r="AB141" i="193"/>
  <c r="AB153" i="193"/>
  <c r="AB165" i="193"/>
  <c r="AB40" i="193"/>
  <c r="AB134" i="193"/>
  <c r="AB142" i="193"/>
  <c r="AB149" i="193"/>
  <c r="AB160" i="193"/>
  <c r="AB150" i="193"/>
  <c r="AB155" i="193"/>
  <c r="AB167" i="193"/>
  <c r="AB42" i="193"/>
  <c r="AB131" i="193"/>
  <c r="AB140" i="193"/>
  <c r="AB36" i="193"/>
  <c r="AB46" i="193"/>
  <c r="AB143" i="193"/>
  <c r="AB158" i="193"/>
  <c r="AB169" i="193"/>
  <c r="AB47" i="193"/>
  <c r="AB170" i="193"/>
  <c r="AB41" i="193"/>
  <c r="AB161" i="193"/>
  <c r="AB163" i="193"/>
  <c r="AB168" i="193"/>
  <c r="AB49" i="193"/>
  <c r="AB57" i="193"/>
  <c r="AB130" i="193"/>
  <c r="AB157" i="193"/>
  <c r="AB43" i="193"/>
  <c r="AB44" i="193"/>
  <c r="AB59" i="193"/>
  <c r="AB162" i="193"/>
  <c r="AB50" i="193"/>
  <c r="AB164" i="193"/>
  <c r="AB166" i="193"/>
  <c r="AB37" i="193"/>
  <c r="AB61" i="193"/>
  <c r="AB39" i="193"/>
  <c r="AB5" i="193"/>
  <c r="AB63" i="193"/>
  <c r="AB51" i="193"/>
  <c r="AB58" i="193"/>
  <c r="AB60" i="193"/>
  <c r="AB7" i="193"/>
  <c r="AB19" i="193"/>
  <c r="AB67" i="193"/>
  <c r="AB48" i="193"/>
  <c r="AB56" i="193"/>
  <c r="AB65" i="193"/>
  <c r="AB14" i="193"/>
  <c r="AB45" i="193"/>
  <c r="AB35" i="193"/>
  <c r="AB9" i="193"/>
  <c r="AB54" i="193"/>
  <c r="AB55" i="193"/>
  <c r="AB4" i="193"/>
  <c r="AB53" i="193"/>
  <c r="AB11" i="193"/>
  <c r="AB62" i="193"/>
  <c r="AB6" i="193"/>
  <c r="AB18" i="193"/>
  <c r="AB64" i="193"/>
  <c r="AB52" i="193"/>
  <c r="AB8" i="193"/>
  <c r="AB38" i="193"/>
  <c r="AB15" i="193"/>
  <c r="AB27" i="193"/>
  <c r="AB12" i="193"/>
  <c r="AB13" i="193"/>
  <c r="AB16" i="193"/>
  <c r="AB20" i="193"/>
  <c r="AB21" i="193"/>
  <c r="AB22" i="193"/>
  <c r="AB28" i="193"/>
  <c r="AB3" i="193"/>
  <c r="AB23" i="193"/>
  <c r="AB26" i="193"/>
  <c r="AB17" i="193"/>
  <c r="AB29" i="193"/>
  <c r="AB25" i="193"/>
  <c r="AB10" i="193"/>
  <c r="AB24" i="193"/>
  <c r="AB30" i="193"/>
  <c r="AB175" i="193"/>
  <c r="AB176" i="193"/>
  <c r="AB174" i="193"/>
  <c r="AB173" i="193"/>
  <c r="AB66" i="193"/>
  <c r="AB34" i="193"/>
  <c r="AB31" i="193"/>
  <c r="AB32" i="193"/>
  <c r="AB33" i="193"/>
  <c r="AC1" i="193"/>
  <c r="L8" i="191"/>
  <c r="L10" i="191"/>
  <c r="L5" i="191"/>
  <c r="L18" i="191"/>
  <c r="L12" i="191"/>
  <c r="L7" i="191"/>
  <c r="L15" i="191"/>
  <c r="L9" i="191"/>
  <c r="L4" i="191"/>
  <c r="L17" i="191"/>
  <c r="L29" i="191"/>
  <c r="L11" i="191"/>
  <c r="L6" i="191"/>
  <c r="L19" i="191"/>
  <c r="L31" i="191"/>
  <c r="L13" i="191"/>
  <c r="L22" i="191"/>
  <c r="L47" i="191"/>
  <c r="L16" i="191"/>
  <c r="L37" i="191"/>
  <c r="L39" i="191"/>
  <c r="L33" i="191"/>
  <c r="L23" i="191"/>
  <c r="L32" i="191"/>
  <c r="L45" i="191"/>
  <c r="L62" i="191"/>
  <c r="L26" i="191"/>
  <c r="L41" i="191"/>
  <c r="L54" i="191"/>
  <c r="L36" i="191"/>
  <c r="L43" i="191"/>
  <c r="L38" i="191"/>
  <c r="L34" i="191"/>
  <c r="L35" i="191"/>
  <c r="L44" i="191"/>
  <c r="L59" i="191"/>
  <c r="L30" i="191"/>
  <c r="L42" i="191"/>
  <c r="L51" i="191"/>
  <c r="L52" i="191"/>
  <c r="L53" i="191"/>
  <c r="L60" i="191"/>
  <c r="L64" i="191"/>
  <c r="L27" i="191"/>
  <c r="L28" i="191"/>
  <c r="L25" i="191"/>
  <c r="L40" i="191"/>
  <c r="L21" i="191"/>
  <c r="L24" i="191"/>
  <c r="L49" i="191"/>
  <c r="L56" i="191"/>
  <c r="L20" i="191"/>
  <c r="L46" i="191"/>
  <c r="L48" i="191"/>
  <c r="L58" i="191"/>
  <c r="L70" i="191"/>
  <c r="L81" i="191"/>
  <c r="L93" i="191"/>
  <c r="L63" i="191"/>
  <c r="L71" i="191"/>
  <c r="L74" i="191"/>
  <c r="L83" i="191"/>
  <c r="L95" i="191"/>
  <c r="L55" i="191"/>
  <c r="L80" i="191"/>
  <c r="L57" i="191"/>
  <c r="L72" i="191"/>
  <c r="L50" i="191"/>
  <c r="L67" i="191"/>
  <c r="L75" i="191"/>
  <c r="L82" i="191"/>
  <c r="L65" i="191"/>
  <c r="L66" i="191"/>
  <c r="L68" i="191"/>
  <c r="L69" i="191"/>
  <c r="L61" i="191"/>
  <c r="L73" i="191"/>
  <c r="L79" i="191"/>
  <c r="L86" i="191"/>
  <c r="L91" i="191"/>
  <c r="L102" i="191"/>
  <c r="L109" i="191"/>
  <c r="L78" i="191"/>
  <c r="L92" i="191"/>
  <c r="L89" i="191"/>
  <c r="L77" i="191"/>
  <c r="L85" i="191"/>
  <c r="L106" i="191"/>
  <c r="L118" i="191"/>
  <c r="L76" i="191"/>
  <c r="L88" i="191"/>
  <c r="L103" i="191"/>
  <c r="L84" i="191"/>
  <c r="L101" i="191"/>
  <c r="L105" i="191"/>
  <c r="L87" i="191"/>
  <c r="L90" i="191"/>
  <c r="L96" i="191"/>
  <c r="L99" i="191"/>
  <c r="L94" i="191"/>
  <c r="L97" i="191"/>
  <c r="L133" i="191"/>
  <c r="L114" i="191"/>
  <c r="L108" i="191"/>
  <c r="L98" i="191"/>
  <c r="L115" i="191"/>
  <c r="L121" i="191"/>
  <c r="L130" i="191"/>
  <c r="L142" i="191"/>
  <c r="L104" i="191"/>
  <c r="L116" i="191"/>
  <c r="L119" i="191"/>
  <c r="L127" i="191"/>
  <c r="L100" i="191"/>
  <c r="L107" i="191"/>
  <c r="L129" i="191"/>
  <c r="L141" i="191"/>
  <c r="L111" i="191"/>
  <c r="L112" i="191"/>
  <c r="L117" i="191"/>
  <c r="L110" i="191"/>
  <c r="L120" i="191"/>
  <c r="L113" i="191"/>
  <c r="L126" i="191"/>
  <c r="L123" i="191"/>
  <c r="L136" i="191"/>
  <c r="L154" i="191"/>
  <c r="L132" i="191"/>
  <c r="L137" i="191"/>
  <c r="L145" i="191"/>
  <c r="L161" i="191"/>
  <c r="L148" i="191"/>
  <c r="L156" i="191"/>
  <c r="L135" i="191"/>
  <c r="L138" i="191"/>
  <c r="L151" i="191"/>
  <c r="L163" i="191"/>
  <c r="L143" i="191"/>
  <c r="L124" i="191"/>
  <c r="L158" i="191"/>
  <c r="L128" i="191"/>
  <c r="L139" i="191"/>
  <c r="L146" i="191"/>
  <c r="L153" i="191"/>
  <c r="L131" i="191"/>
  <c r="L149" i="191"/>
  <c r="L160" i="191"/>
  <c r="L125" i="191"/>
  <c r="L134" i="191"/>
  <c r="L140" i="191"/>
  <c r="L155" i="191"/>
  <c r="L144" i="191"/>
  <c r="L162" i="191"/>
  <c r="L122" i="191"/>
  <c r="L147" i="191"/>
  <c r="L152" i="191"/>
  <c r="L150" i="191"/>
  <c r="L159" i="191"/>
  <c r="L166" i="191"/>
  <c r="L171" i="191"/>
  <c r="L3" i="191"/>
  <c r="L168" i="191"/>
  <c r="L169" i="191"/>
  <c r="L165" i="191"/>
  <c r="L164" i="191"/>
  <c r="L167" i="191"/>
  <c r="L157" i="191"/>
  <c r="L170" i="191"/>
  <c r="L174" i="191"/>
  <c r="L173" i="191"/>
  <c r="L176" i="191"/>
  <c r="L172" i="191"/>
  <c r="L175" i="191"/>
  <c r="M1" i="191"/>
  <c r="M14" i="191" s="1"/>
  <c r="T22" i="188"/>
  <c r="T23" i="188"/>
  <c r="T24" i="188"/>
  <c r="T25" i="188"/>
  <c r="T26" i="188"/>
  <c r="AC171" i="193" l="1"/>
  <c r="AC172" i="193"/>
  <c r="AC73" i="193"/>
  <c r="AC85" i="193"/>
  <c r="AC68" i="193"/>
  <c r="AC70" i="193"/>
  <c r="AC72" i="193"/>
  <c r="AC79" i="193"/>
  <c r="AC74" i="193"/>
  <c r="AC69" i="193"/>
  <c r="AC81" i="193"/>
  <c r="AC93" i="193"/>
  <c r="AC76" i="193"/>
  <c r="AC88" i="193"/>
  <c r="AC71" i="193"/>
  <c r="AC83" i="193"/>
  <c r="AC95" i="193"/>
  <c r="AC84" i="193"/>
  <c r="AC109" i="193"/>
  <c r="AC94" i="193"/>
  <c r="AC96" i="193"/>
  <c r="AC104" i="193"/>
  <c r="AC90" i="193"/>
  <c r="AC106" i="193"/>
  <c r="AC75" i="193"/>
  <c r="AC91" i="193"/>
  <c r="AC114" i="193"/>
  <c r="AC116" i="193"/>
  <c r="AC86" i="193"/>
  <c r="AC99" i="193"/>
  <c r="AC118" i="193"/>
  <c r="AC92" i="193"/>
  <c r="AC107" i="193"/>
  <c r="AC82" i="193"/>
  <c r="AC103" i="193"/>
  <c r="AC77" i="193"/>
  <c r="AC98" i="193"/>
  <c r="AC100" i="193"/>
  <c r="AC101" i="193"/>
  <c r="AC80" i="193"/>
  <c r="AC97" i="193"/>
  <c r="AC117" i="193"/>
  <c r="AC89" i="193"/>
  <c r="AC78" i="193"/>
  <c r="AC102" i="193"/>
  <c r="AC129" i="193"/>
  <c r="AC124" i="193"/>
  <c r="AC87" i="193"/>
  <c r="AC105" i="193"/>
  <c r="AC111" i="193"/>
  <c r="AC113" i="193"/>
  <c r="AC122" i="193"/>
  <c r="AC126" i="193"/>
  <c r="AC138" i="193"/>
  <c r="AC108" i="193"/>
  <c r="AC119" i="193"/>
  <c r="AC131" i="193"/>
  <c r="AC136" i="193"/>
  <c r="AC123" i="193"/>
  <c r="AC132" i="193"/>
  <c r="AC120" i="193"/>
  <c r="AC112" i="193"/>
  <c r="AC115" i="193"/>
  <c r="AC121" i="193"/>
  <c r="AC134" i="193"/>
  <c r="AC142" i="193"/>
  <c r="AC135" i="193"/>
  <c r="AC149" i="193"/>
  <c r="AC110" i="193"/>
  <c r="AC128" i="193"/>
  <c r="AC144" i="193"/>
  <c r="AC157" i="193"/>
  <c r="AC164" i="193"/>
  <c r="AC152" i="193"/>
  <c r="AC127" i="193"/>
  <c r="AC154" i="193"/>
  <c r="AC133" i="193"/>
  <c r="AC146" i="193"/>
  <c r="AC161" i="193"/>
  <c r="AC139" i="193"/>
  <c r="AC147" i="193"/>
  <c r="AC156" i="193"/>
  <c r="AC130" i="193"/>
  <c r="AC143" i="193"/>
  <c r="AC158" i="193"/>
  <c r="AC170" i="193"/>
  <c r="AC45" i="193"/>
  <c r="AC137" i="193"/>
  <c r="AC141" i="193"/>
  <c r="AC153" i="193"/>
  <c r="AC165" i="193"/>
  <c r="AC160" i="193"/>
  <c r="AC47" i="193"/>
  <c r="AC150" i="193"/>
  <c r="AC140" i="193"/>
  <c r="AC151" i="193"/>
  <c r="AC148" i="193"/>
  <c r="AC38" i="193"/>
  <c r="AC39" i="193"/>
  <c r="AC36" i="193"/>
  <c r="AC125" i="193"/>
  <c r="AC40" i="193"/>
  <c r="AC169" i="193"/>
  <c r="AC41" i="193"/>
  <c r="AC159" i="193"/>
  <c r="AC163" i="193"/>
  <c r="AC167" i="193"/>
  <c r="AC168" i="193"/>
  <c r="AC42" i="193"/>
  <c r="AC48" i="193"/>
  <c r="AC145" i="193"/>
  <c r="AC49" i="193"/>
  <c r="AC155" i="193"/>
  <c r="AC43" i="193"/>
  <c r="AC52" i="193"/>
  <c r="AC44" i="193"/>
  <c r="AC162" i="193"/>
  <c r="AC67" i="193"/>
  <c r="AC50" i="193"/>
  <c r="AC54" i="193"/>
  <c r="AC10" i="193"/>
  <c r="AC5" i="193"/>
  <c r="AC59" i="193"/>
  <c r="AC63" i="193"/>
  <c r="AC12" i="193"/>
  <c r="AC51" i="193"/>
  <c r="AC58" i="193"/>
  <c r="AC60" i="193"/>
  <c r="AC35" i="193"/>
  <c r="AC7" i="193"/>
  <c r="AC56" i="193"/>
  <c r="AC57" i="193"/>
  <c r="AC61" i="193"/>
  <c r="AC65" i="193"/>
  <c r="AC14" i="193"/>
  <c r="AC166" i="193"/>
  <c r="AC9" i="193"/>
  <c r="AC55" i="193"/>
  <c r="AC4" i="193"/>
  <c r="AC16" i="193"/>
  <c r="AC53" i="193"/>
  <c r="AC11" i="193"/>
  <c r="AC37" i="193"/>
  <c r="AC62" i="193"/>
  <c r="AC6" i="193"/>
  <c r="AC64" i="193"/>
  <c r="AC8" i="193"/>
  <c r="AC20" i="193"/>
  <c r="AC18" i="193"/>
  <c r="AC30" i="193"/>
  <c r="AC3" i="193"/>
  <c r="AC13" i="193"/>
  <c r="AC21" i="193"/>
  <c r="AC22" i="193"/>
  <c r="AC25" i="193"/>
  <c r="AC28" i="193"/>
  <c r="AC46" i="193"/>
  <c r="AC23" i="193"/>
  <c r="AC26" i="193"/>
  <c r="AC17" i="193"/>
  <c r="AC19" i="193"/>
  <c r="AC29" i="193"/>
  <c r="AC15" i="193"/>
  <c r="AC24" i="193"/>
  <c r="AC27" i="193"/>
  <c r="AC174" i="193"/>
  <c r="AC173" i="193"/>
  <c r="AC175" i="193"/>
  <c r="AC176" i="193"/>
  <c r="AC66" i="193"/>
  <c r="AC34" i="193"/>
  <c r="AC32" i="193"/>
  <c r="AC33" i="193"/>
  <c r="AC31" i="193"/>
  <c r="AD1" i="193"/>
  <c r="M13" i="191"/>
  <c r="M8" i="191"/>
  <c r="M16" i="191"/>
  <c r="M10" i="191"/>
  <c r="M5" i="191"/>
  <c r="M12" i="191"/>
  <c r="M7" i="191"/>
  <c r="M15" i="191"/>
  <c r="M9" i="191"/>
  <c r="M22" i="191"/>
  <c r="M34" i="191"/>
  <c r="M4" i="191"/>
  <c r="M11" i="191"/>
  <c r="M24" i="191"/>
  <c r="M36" i="191"/>
  <c r="M6" i="191"/>
  <c r="M17" i="191"/>
  <c r="M35" i="191"/>
  <c r="M40" i="191"/>
  <c r="M52" i="191"/>
  <c r="M31" i="191"/>
  <c r="M44" i="191"/>
  <c r="M26" i="191"/>
  <c r="M32" i="191"/>
  <c r="M33" i="191"/>
  <c r="M25" i="191"/>
  <c r="M55" i="191"/>
  <c r="M67" i="191"/>
  <c r="M47" i="191"/>
  <c r="M59" i="191"/>
  <c r="M39" i="191"/>
  <c r="M42" i="191"/>
  <c r="M29" i="191"/>
  <c r="M49" i="191"/>
  <c r="M46" i="191"/>
  <c r="M48" i="191"/>
  <c r="M37" i="191"/>
  <c r="M38" i="191"/>
  <c r="M66" i="191"/>
  <c r="M70" i="191"/>
  <c r="M18" i="191"/>
  <c r="M72" i="191"/>
  <c r="M30" i="191"/>
  <c r="M27" i="191"/>
  <c r="M28" i="191"/>
  <c r="M23" i="191"/>
  <c r="M45" i="191"/>
  <c r="M21" i="191"/>
  <c r="M43" i="191"/>
  <c r="M56" i="191"/>
  <c r="M20" i="191"/>
  <c r="M41" i="191"/>
  <c r="M19" i="191"/>
  <c r="M61" i="191"/>
  <c r="M73" i="191"/>
  <c r="M79" i="191"/>
  <c r="M86" i="191"/>
  <c r="M63" i="191"/>
  <c r="M71" i="191"/>
  <c r="M76" i="191"/>
  <c r="M88" i="191"/>
  <c r="M100" i="191"/>
  <c r="M51" i="191"/>
  <c r="M54" i="191"/>
  <c r="M62" i="191"/>
  <c r="M60" i="191"/>
  <c r="M80" i="191"/>
  <c r="M53" i="191"/>
  <c r="M57" i="191"/>
  <c r="M87" i="191"/>
  <c r="M50" i="191"/>
  <c r="M65" i="191"/>
  <c r="M68" i="191"/>
  <c r="M77" i="191"/>
  <c r="M58" i="191"/>
  <c r="M64" i="191"/>
  <c r="M69" i="191"/>
  <c r="M84" i="191"/>
  <c r="M82" i="191"/>
  <c r="M99" i="191"/>
  <c r="M91" i="191"/>
  <c r="M78" i="191"/>
  <c r="M92" i="191"/>
  <c r="M83" i="191"/>
  <c r="M89" i="191"/>
  <c r="M97" i="191"/>
  <c r="M111" i="191"/>
  <c r="M85" i="191"/>
  <c r="M94" i="191"/>
  <c r="M108" i="191"/>
  <c r="M75" i="191"/>
  <c r="M98" i="191"/>
  <c r="M110" i="191"/>
  <c r="M74" i="191"/>
  <c r="M81" i="191"/>
  <c r="M90" i="191"/>
  <c r="M96" i="191"/>
  <c r="M107" i="191"/>
  <c r="M113" i="191"/>
  <c r="M126" i="191"/>
  <c r="M106" i="191"/>
  <c r="M114" i="191"/>
  <c r="M118" i="191"/>
  <c r="M103" i="191"/>
  <c r="M123" i="191"/>
  <c r="M135" i="191"/>
  <c r="M147" i="191"/>
  <c r="M115" i="191"/>
  <c r="M93" i="191"/>
  <c r="M104" i="191"/>
  <c r="M116" i="191"/>
  <c r="M122" i="191"/>
  <c r="M134" i="191"/>
  <c r="M95" i="191"/>
  <c r="M101" i="191"/>
  <c r="M105" i="191"/>
  <c r="M112" i="191"/>
  <c r="M117" i="191"/>
  <c r="M124" i="191"/>
  <c r="M102" i="191"/>
  <c r="M109" i="191"/>
  <c r="M120" i="191"/>
  <c r="M131" i="191"/>
  <c r="M142" i="191"/>
  <c r="M150" i="191"/>
  <c r="M159" i="191"/>
  <c r="M130" i="191"/>
  <c r="M136" i="191"/>
  <c r="M154" i="191"/>
  <c r="M166" i="191"/>
  <c r="M132" i="191"/>
  <c r="M137" i="191"/>
  <c r="M145" i="191"/>
  <c r="M119" i="191"/>
  <c r="M127" i="191"/>
  <c r="M148" i="191"/>
  <c r="M156" i="191"/>
  <c r="M168" i="191"/>
  <c r="M138" i="191"/>
  <c r="M151" i="191"/>
  <c r="M143" i="191"/>
  <c r="M128" i="191"/>
  <c r="M139" i="191"/>
  <c r="M146" i="191"/>
  <c r="M153" i="191"/>
  <c r="M121" i="191"/>
  <c r="M149" i="191"/>
  <c r="M160" i="191"/>
  <c r="M125" i="191"/>
  <c r="M140" i="191"/>
  <c r="M155" i="191"/>
  <c r="M167" i="191"/>
  <c r="M141" i="191"/>
  <c r="M144" i="191"/>
  <c r="M129" i="191"/>
  <c r="M133" i="191"/>
  <c r="M152" i="191"/>
  <c r="M164" i="191"/>
  <c r="M157" i="191"/>
  <c r="M171" i="191"/>
  <c r="M3" i="191"/>
  <c r="M165" i="191"/>
  <c r="M161" i="191"/>
  <c r="M169" i="191"/>
  <c r="M158" i="191"/>
  <c r="M162" i="191"/>
  <c r="M170" i="191"/>
  <c r="M163" i="191"/>
  <c r="M173" i="191"/>
  <c r="M176" i="191"/>
  <c r="M174" i="191"/>
  <c r="M172" i="191"/>
  <c r="M175" i="191"/>
  <c r="N1" i="191"/>
  <c r="N14" i="191" s="1"/>
  <c r="T20" i="188"/>
  <c r="T21" i="188"/>
  <c r="AD171" i="193" l="1"/>
  <c r="AD172" i="193"/>
  <c r="AD78" i="193"/>
  <c r="AD73" i="193"/>
  <c r="AD68" i="193"/>
  <c r="AD75" i="193"/>
  <c r="AD70" i="193"/>
  <c r="AD72" i="193"/>
  <c r="AD74" i="193"/>
  <c r="AD86" i="193"/>
  <c r="AD98" i="193"/>
  <c r="AD69" i="193"/>
  <c r="AD81" i="193"/>
  <c r="AD93" i="193"/>
  <c r="AD76" i="193"/>
  <c r="AD88" i="193"/>
  <c r="AD77" i="193"/>
  <c r="AD79" i="193"/>
  <c r="AD95" i="193"/>
  <c r="AD102" i="193"/>
  <c r="AD84" i="193"/>
  <c r="AD71" i="193"/>
  <c r="AD92" i="193"/>
  <c r="AD97" i="193"/>
  <c r="AD111" i="193"/>
  <c r="AD85" i="193"/>
  <c r="AD100" i="193"/>
  <c r="AD110" i="193"/>
  <c r="AD121" i="193"/>
  <c r="AD89" i="193"/>
  <c r="AD87" i="193"/>
  <c r="AD94" i="193"/>
  <c r="AD96" i="193"/>
  <c r="AD90" i="193"/>
  <c r="AD106" i="193"/>
  <c r="AD80" i="193"/>
  <c r="AD104" i="193"/>
  <c r="AD105" i="193"/>
  <c r="AD108" i="193"/>
  <c r="AD113" i="193"/>
  <c r="AD117" i="193"/>
  <c r="AD91" i="193"/>
  <c r="AD107" i="193"/>
  <c r="AD123" i="193"/>
  <c r="AD82" i="193"/>
  <c r="AD99" i="193"/>
  <c r="AD101" i="193"/>
  <c r="AD112" i="193"/>
  <c r="AD125" i="193"/>
  <c r="AD83" i="193"/>
  <c r="AD103" i="193"/>
  <c r="AD120" i="193"/>
  <c r="AD134" i="193"/>
  <c r="AD114" i="193"/>
  <c r="AD131" i="193"/>
  <c r="AD109" i="193"/>
  <c r="AD119" i="193"/>
  <c r="AD127" i="193"/>
  <c r="AD139" i="193"/>
  <c r="AD115" i="193"/>
  <c r="AD116" i="193"/>
  <c r="AD140" i="193"/>
  <c r="AD124" i="193"/>
  <c r="AD126" i="193"/>
  <c r="AD142" i="193"/>
  <c r="AD135" i="193"/>
  <c r="AD149" i="193"/>
  <c r="AD138" i="193"/>
  <c r="AD151" i="193"/>
  <c r="AD118" i="193"/>
  <c r="AD157" i="193"/>
  <c r="AD128" i="193"/>
  <c r="AD132" i="193"/>
  <c r="AD152" i="193"/>
  <c r="AD129" i="193"/>
  <c r="AD136" i="193"/>
  <c r="AD154" i="193"/>
  <c r="AD166" i="193"/>
  <c r="AD133" i="193"/>
  <c r="AD146" i="193"/>
  <c r="AD145" i="193"/>
  <c r="AD148" i="193"/>
  <c r="AD163" i="193"/>
  <c r="AD38" i="193"/>
  <c r="AD130" i="193"/>
  <c r="AD143" i="193"/>
  <c r="AD158" i="193"/>
  <c r="AD170" i="193"/>
  <c r="AD137" i="193"/>
  <c r="AD141" i="193"/>
  <c r="AD153" i="193"/>
  <c r="AD165" i="193"/>
  <c r="AD40" i="193"/>
  <c r="AD150" i="193"/>
  <c r="AD155" i="193"/>
  <c r="AD37" i="193"/>
  <c r="AD45" i="193"/>
  <c r="AD122" i="193"/>
  <c r="AD156" i="193"/>
  <c r="AD39" i="193"/>
  <c r="AD36" i="193"/>
  <c r="AD46" i="193"/>
  <c r="AD47" i="193"/>
  <c r="AD51" i="193"/>
  <c r="AD144" i="193"/>
  <c r="AD169" i="193"/>
  <c r="AD161" i="193"/>
  <c r="AD41" i="193"/>
  <c r="AD159" i="193"/>
  <c r="AD167" i="193"/>
  <c r="AD168" i="193"/>
  <c r="AD42" i="193"/>
  <c r="AD48" i="193"/>
  <c r="AD55" i="193"/>
  <c r="AD57" i="193"/>
  <c r="AD67" i="193"/>
  <c r="AD43" i="193"/>
  <c r="AD147" i="193"/>
  <c r="AD160" i="193"/>
  <c r="AD44" i="193"/>
  <c r="AD59" i="193"/>
  <c r="AD50" i="193"/>
  <c r="AD49" i="193"/>
  <c r="AD164" i="193"/>
  <c r="AD35" i="193"/>
  <c r="AD5" i="193"/>
  <c r="AD17" i="193"/>
  <c r="AD63" i="193"/>
  <c r="AD12" i="193"/>
  <c r="AD58" i="193"/>
  <c r="AD60" i="193"/>
  <c r="AD7" i="193"/>
  <c r="AD19" i="193"/>
  <c r="AD56" i="193"/>
  <c r="AD61" i="193"/>
  <c r="AD65" i="193"/>
  <c r="AD54" i="193"/>
  <c r="AD9" i="193"/>
  <c r="AD21" i="193"/>
  <c r="AD4" i="193"/>
  <c r="AD16" i="193"/>
  <c r="AD53" i="193"/>
  <c r="AD62" i="193"/>
  <c r="AD6" i="193"/>
  <c r="AD52" i="193"/>
  <c r="AD64" i="193"/>
  <c r="AD13" i="193"/>
  <c r="AD25" i="193"/>
  <c r="AD162" i="193"/>
  <c r="AD18" i="193"/>
  <c r="AD20" i="193"/>
  <c r="AD22" i="193"/>
  <c r="AD28" i="193"/>
  <c r="AD11" i="193"/>
  <c r="AD14" i="193"/>
  <c r="AD3" i="193"/>
  <c r="AD23" i="193"/>
  <c r="AD27" i="193"/>
  <c r="AD30" i="193"/>
  <c r="AD26" i="193"/>
  <c r="AD29" i="193"/>
  <c r="AD10" i="193"/>
  <c r="AD8" i="193"/>
  <c r="AD15" i="193"/>
  <c r="AD24" i="193"/>
  <c r="AD173" i="193"/>
  <c r="AD175" i="193"/>
  <c r="AD176" i="193"/>
  <c r="AD174" i="193"/>
  <c r="AD66" i="193"/>
  <c r="AD34" i="193"/>
  <c r="AD31" i="193"/>
  <c r="AD33" i="193"/>
  <c r="AD32" i="193"/>
  <c r="AE1" i="193"/>
  <c r="N6" i="191"/>
  <c r="N19" i="191"/>
  <c r="N13" i="191"/>
  <c r="N8" i="191"/>
  <c r="N16" i="191"/>
  <c r="N10" i="191"/>
  <c r="N5" i="191"/>
  <c r="N12" i="191"/>
  <c r="N7" i="191"/>
  <c r="N20" i="191"/>
  <c r="N15" i="191"/>
  <c r="N27" i="191"/>
  <c r="N9" i="191"/>
  <c r="N4" i="191"/>
  <c r="N17" i="191"/>
  <c r="N29" i="191"/>
  <c r="N11" i="191"/>
  <c r="N28" i="191"/>
  <c r="N45" i="191"/>
  <c r="N24" i="191"/>
  <c r="N30" i="191"/>
  <c r="N49" i="191"/>
  <c r="N25" i="191"/>
  <c r="N26" i="191"/>
  <c r="N32" i="191"/>
  <c r="N53" i="191"/>
  <c r="N60" i="191"/>
  <c r="N35" i="191"/>
  <c r="N37" i="191"/>
  <c r="N31" i="191"/>
  <c r="N22" i="191"/>
  <c r="N39" i="191"/>
  <c r="N42" i="191"/>
  <c r="N36" i="191"/>
  <c r="N46" i="191"/>
  <c r="N48" i="191"/>
  <c r="N58" i="191"/>
  <c r="N63" i="191"/>
  <c r="N33" i="191"/>
  <c r="N34" i="191"/>
  <c r="N38" i="191"/>
  <c r="N18" i="191"/>
  <c r="N47" i="191"/>
  <c r="N50" i="191"/>
  <c r="N40" i="191"/>
  <c r="N55" i="191"/>
  <c r="N23" i="191"/>
  <c r="N62" i="191"/>
  <c r="N21" i="191"/>
  <c r="N41" i="191"/>
  <c r="N57" i="191"/>
  <c r="N52" i="191"/>
  <c r="N64" i="191"/>
  <c r="N69" i="191"/>
  <c r="N61" i="191"/>
  <c r="N73" i="191"/>
  <c r="N79" i="191"/>
  <c r="N91" i="191"/>
  <c r="N43" i="191"/>
  <c r="N59" i="191"/>
  <c r="N70" i="191"/>
  <c r="N81" i="191"/>
  <c r="N93" i="191"/>
  <c r="N51" i="191"/>
  <c r="N56" i="191"/>
  <c r="N54" i="191"/>
  <c r="N78" i="191"/>
  <c r="N44" i="191"/>
  <c r="N72" i="191"/>
  <c r="N80" i="191"/>
  <c r="N67" i="191"/>
  <c r="N66" i="191"/>
  <c r="N75" i="191"/>
  <c r="N65" i="191"/>
  <c r="N68" i="191"/>
  <c r="N77" i="191"/>
  <c r="N89" i="191"/>
  <c r="N90" i="191"/>
  <c r="N96" i="191"/>
  <c r="N107" i="191"/>
  <c r="N82" i="191"/>
  <c r="N86" i="191"/>
  <c r="N71" i="191"/>
  <c r="N92" i="191"/>
  <c r="N104" i="191"/>
  <c r="N116" i="191"/>
  <c r="N83" i="191"/>
  <c r="N76" i="191"/>
  <c r="N85" i="191"/>
  <c r="N88" i="191"/>
  <c r="N84" i="191"/>
  <c r="N95" i="191"/>
  <c r="N103" i="191"/>
  <c r="N115" i="191"/>
  <c r="N74" i="191"/>
  <c r="N87" i="191"/>
  <c r="N101" i="191"/>
  <c r="N105" i="191"/>
  <c r="N102" i="191"/>
  <c r="N109" i="191"/>
  <c r="N120" i="191"/>
  <c r="N131" i="191"/>
  <c r="N94" i="191"/>
  <c r="N97" i="191"/>
  <c r="N113" i="191"/>
  <c r="N106" i="191"/>
  <c r="N108" i="191"/>
  <c r="N114" i="191"/>
  <c r="N118" i="191"/>
  <c r="N128" i="191"/>
  <c r="N140" i="191"/>
  <c r="N98" i="191"/>
  <c r="N99" i="191"/>
  <c r="N125" i="191"/>
  <c r="N100" i="191"/>
  <c r="N119" i="191"/>
  <c r="N127" i="191"/>
  <c r="N139" i="191"/>
  <c r="N111" i="191"/>
  <c r="N129" i="191"/>
  <c r="N110" i="191"/>
  <c r="N112" i="191"/>
  <c r="N117" i="191"/>
  <c r="N124" i="191"/>
  <c r="N136" i="191"/>
  <c r="N152" i="191"/>
  <c r="N123" i="191"/>
  <c r="N142" i="191"/>
  <c r="N150" i="191"/>
  <c r="N159" i="191"/>
  <c r="N171" i="191"/>
  <c r="N130" i="191"/>
  <c r="N154" i="191"/>
  <c r="N132" i="191"/>
  <c r="N137" i="191"/>
  <c r="N145" i="191"/>
  <c r="N161" i="191"/>
  <c r="N156" i="191"/>
  <c r="N135" i="191"/>
  <c r="N148" i="191"/>
  <c r="N138" i="191"/>
  <c r="N151" i="191"/>
  <c r="N143" i="191"/>
  <c r="N158" i="191"/>
  <c r="N146" i="191"/>
  <c r="N153" i="191"/>
  <c r="N121" i="191"/>
  <c r="N134" i="191"/>
  <c r="N149" i="191"/>
  <c r="N160" i="191"/>
  <c r="N122" i="191"/>
  <c r="N141" i="191"/>
  <c r="N144" i="191"/>
  <c r="N126" i="191"/>
  <c r="N133" i="191"/>
  <c r="N147" i="191"/>
  <c r="N157" i="191"/>
  <c r="N169" i="191"/>
  <c r="N163" i="191"/>
  <c r="N170" i="191"/>
  <c r="N166" i="191"/>
  <c r="N3" i="191"/>
  <c r="N165" i="191"/>
  <c r="N168" i="191"/>
  <c r="N164" i="191"/>
  <c r="N155" i="191"/>
  <c r="N162" i="191"/>
  <c r="N167" i="191"/>
  <c r="N172" i="191"/>
  <c r="N175" i="191"/>
  <c r="N176" i="191"/>
  <c r="N174" i="191"/>
  <c r="N173" i="191"/>
  <c r="O1" i="191"/>
  <c r="O14" i="191" s="1"/>
  <c r="T12" i="188"/>
  <c r="T13" i="188"/>
  <c r="T14" i="188"/>
  <c r="T15" i="188"/>
  <c r="T16" i="188"/>
  <c r="T17" i="188"/>
  <c r="T18" i="188"/>
  <c r="T19" i="188"/>
  <c r="AE171" i="193" l="1"/>
  <c r="AE172" i="193"/>
  <c r="AE71" i="193"/>
  <c r="AE83" i="193"/>
  <c r="AE73" i="193"/>
  <c r="AE68" i="193"/>
  <c r="AE70" i="193"/>
  <c r="AE77" i="193"/>
  <c r="AE72" i="193"/>
  <c r="AE79" i="193"/>
  <c r="AE91" i="193"/>
  <c r="AE74" i="193"/>
  <c r="AE86" i="193"/>
  <c r="AE69" i="193"/>
  <c r="AE81" i="193"/>
  <c r="AE93" i="193"/>
  <c r="AE82" i="193"/>
  <c r="AE107" i="193"/>
  <c r="AE95" i="193"/>
  <c r="AE102" i="193"/>
  <c r="AE94" i="193"/>
  <c r="AE96" i="193"/>
  <c r="AE104" i="193"/>
  <c r="AE84" i="193"/>
  <c r="AE97" i="193"/>
  <c r="AE111" i="193"/>
  <c r="AE114" i="193"/>
  <c r="AE116" i="193"/>
  <c r="AE112" i="193"/>
  <c r="AE87" i="193"/>
  <c r="AE92" i="193"/>
  <c r="AE78" i="193"/>
  <c r="AE88" i="193"/>
  <c r="AE98" i="193"/>
  <c r="AE90" i="193"/>
  <c r="AE99" i="193"/>
  <c r="AE100" i="193"/>
  <c r="AE118" i="193"/>
  <c r="AE75" i="193"/>
  <c r="AE80" i="193"/>
  <c r="AE101" i="193"/>
  <c r="AE89" i="193"/>
  <c r="AE85" i="193"/>
  <c r="AE108" i="193"/>
  <c r="AE115" i="193"/>
  <c r="AE119" i="193"/>
  <c r="AE127" i="193"/>
  <c r="AE103" i="193"/>
  <c r="AE120" i="193"/>
  <c r="AE76" i="193"/>
  <c r="AE121" i="193"/>
  <c r="AE124" i="193"/>
  <c r="AE136" i="193"/>
  <c r="AE122" i="193"/>
  <c r="AE109" i="193"/>
  <c r="AE130" i="193"/>
  <c r="AE105" i="193"/>
  <c r="AE123" i="193"/>
  <c r="AE125" i="193"/>
  <c r="AE113" i="193"/>
  <c r="AE137" i="193"/>
  <c r="AE106" i="193"/>
  <c r="AE134" i="193"/>
  <c r="AE140" i="193"/>
  <c r="AE147" i="193"/>
  <c r="AE117" i="193"/>
  <c r="AE126" i="193"/>
  <c r="AE142" i="193"/>
  <c r="AE150" i="193"/>
  <c r="AE155" i="193"/>
  <c r="AE138" i="193"/>
  <c r="AE151" i="193"/>
  <c r="AE162" i="193"/>
  <c r="AE157" i="193"/>
  <c r="AE128" i="193"/>
  <c r="AE132" i="193"/>
  <c r="AE152" i="193"/>
  <c r="AE159" i="193"/>
  <c r="AE110" i="193"/>
  <c r="AE129" i="193"/>
  <c r="AE154" i="193"/>
  <c r="AE144" i="193"/>
  <c r="AE156" i="193"/>
  <c r="AE168" i="193"/>
  <c r="AE43" i="193"/>
  <c r="AE145" i="193"/>
  <c r="AE148" i="193"/>
  <c r="AE163" i="193"/>
  <c r="AE38" i="193"/>
  <c r="AE143" i="193"/>
  <c r="AE149" i="193"/>
  <c r="AE158" i="193"/>
  <c r="AE170" i="193"/>
  <c r="AE45" i="193"/>
  <c r="AE141" i="193"/>
  <c r="AE153" i="193"/>
  <c r="AE131" i="193"/>
  <c r="AE135" i="193"/>
  <c r="AE164" i="193"/>
  <c r="AE166" i="193"/>
  <c r="AE50" i="193"/>
  <c r="AE37" i="193"/>
  <c r="AE39" i="193"/>
  <c r="AE36" i="193"/>
  <c r="AE40" i="193"/>
  <c r="AE46" i="193"/>
  <c r="AE165" i="193"/>
  <c r="AE169" i="193"/>
  <c r="AE161" i="193"/>
  <c r="AE41" i="193"/>
  <c r="AE139" i="193"/>
  <c r="AE167" i="193"/>
  <c r="AE42" i="193"/>
  <c r="AE146" i="193"/>
  <c r="AE67" i="193"/>
  <c r="AE49" i="193"/>
  <c r="AE52" i="193"/>
  <c r="AE133" i="193"/>
  <c r="AE8" i="193"/>
  <c r="AE35" i="193"/>
  <c r="AE10" i="193"/>
  <c r="AE59" i="193"/>
  <c r="AE5" i="193"/>
  <c r="AE48" i="193"/>
  <c r="AE51" i="193"/>
  <c r="AE63" i="193"/>
  <c r="AE12" i="193"/>
  <c r="AE57" i="193"/>
  <c r="AE58" i="193"/>
  <c r="AE60" i="193"/>
  <c r="AE7" i="193"/>
  <c r="AE56" i="193"/>
  <c r="AE61" i="193"/>
  <c r="AE65" i="193"/>
  <c r="AE14" i="193"/>
  <c r="AE47" i="193"/>
  <c r="AE54" i="193"/>
  <c r="AE55" i="193"/>
  <c r="AE9" i="193"/>
  <c r="AE21" i="193"/>
  <c r="AE160" i="193"/>
  <c r="AE4" i="193"/>
  <c r="AE53" i="193"/>
  <c r="AE11" i="193"/>
  <c r="AE62" i="193"/>
  <c r="AE6" i="193"/>
  <c r="AE18" i="193"/>
  <c r="AE30" i="193"/>
  <c r="AE27" i="193"/>
  <c r="AE16" i="193"/>
  <c r="AE13" i="193"/>
  <c r="AE44" i="193"/>
  <c r="AE20" i="193"/>
  <c r="AE25" i="193"/>
  <c r="AE22" i="193"/>
  <c r="AE28" i="193"/>
  <c r="AE3" i="193"/>
  <c r="AE23" i="193"/>
  <c r="AE17" i="193"/>
  <c r="AE19" i="193"/>
  <c r="AE26" i="193"/>
  <c r="AE24" i="193"/>
  <c r="AE29" i="193"/>
  <c r="AE15" i="193"/>
  <c r="AE64" i="193"/>
  <c r="AE176" i="193"/>
  <c r="AE174" i="193"/>
  <c r="AE173" i="193"/>
  <c r="AE175" i="193"/>
  <c r="AE66" i="193"/>
  <c r="AE33" i="193"/>
  <c r="AE32" i="193"/>
  <c r="AF1" i="193"/>
  <c r="AE31" i="193"/>
  <c r="AE34" i="193"/>
  <c r="O11" i="191"/>
  <c r="O6" i="191"/>
  <c r="O13" i="191"/>
  <c r="O8" i="191"/>
  <c r="O10" i="191"/>
  <c r="O5" i="191"/>
  <c r="O12" i="191"/>
  <c r="O7" i="191"/>
  <c r="O20" i="191"/>
  <c r="O32" i="191"/>
  <c r="O15" i="191"/>
  <c r="O9" i="191"/>
  <c r="O22" i="191"/>
  <c r="O34" i="191"/>
  <c r="O4" i="191"/>
  <c r="O21" i="191"/>
  <c r="O38" i="191"/>
  <c r="O50" i="191"/>
  <c r="O18" i="191"/>
  <c r="O23" i="191"/>
  <c r="O42" i="191"/>
  <c r="O37" i="191"/>
  <c r="O39" i="191"/>
  <c r="O25" i="191"/>
  <c r="O44" i="191"/>
  <c r="O65" i="191"/>
  <c r="O28" i="191"/>
  <c r="O46" i="191"/>
  <c r="O51" i="191"/>
  <c r="O57" i="191"/>
  <c r="O19" i="191"/>
  <c r="O24" i="191"/>
  <c r="O40" i="191"/>
  <c r="O41" i="191"/>
  <c r="O17" i="191"/>
  <c r="O31" i="191"/>
  <c r="O48" i="191"/>
  <c r="O36" i="191"/>
  <c r="O68" i="191"/>
  <c r="O35" i="191"/>
  <c r="O33" i="191"/>
  <c r="O59" i="191"/>
  <c r="O66" i="191"/>
  <c r="O70" i="191"/>
  <c r="O29" i="191"/>
  <c r="O16" i="191"/>
  <c r="O30" i="191"/>
  <c r="O26" i="191"/>
  <c r="O27" i="191"/>
  <c r="O47" i="191"/>
  <c r="O45" i="191"/>
  <c r="O49" i="191"/>
  <c r="O55" i="191"/>
  <c r="O43" i="191"/>
  <c r="O58" i="191"/>
  <c r="O77" i="191"/>
  <c r="O52" i="191"/>
  <c r="O64" i="191"/>
  <c r="O69" i="191"/>
  <c r="O84" i="191"/>
  <c r="O61" i="191"/>
  <c r="O86" i="191"/>
  <c r="O98" i="191"/>
  <c r="O63" i="191"/>
  <c r="O71" i="191"/>
  <c r="O56" i="191"/>
  <c r="O74" i="191"/>
  <c r="O54" i="191"/>
  <c r="O62" i="191"/>
  <c r="O78" i="191"/>
  <c r="O60" i="191"/>
  <c r="O85" i="191"/>
  <c r="O53" i="191"/>
  <c r="O72" i="191"/>
  <c r="O67" i="191"/>
  <c r="O75" i="191"/>
  <c r="O82" i="191"/>
  <c r="O79" i="191"/>
  <c r="O81" i="191"/>
  <c r="O90" i="191"/>
  <c r="O73" i="191"/>
  <c r="O91" i="191"/>
  <c r="O102" i="191"/>
  <c r="O109" i="191"/>
  <c r="O121" i="191"/>
  <c r="O89" i="191"/>
  <c r="O92" i="191"/>
  <c r="O83" i="191"/>
  <c r="O93" i="191"/>
  <c r="O76" i="191"/>
  <c r="O100" i="191"/>
  <c r="O106" i="191"/>
  <c r="O88" i="191"/>
  <c r="O94" i="191"/>
  <c r="O108" i="191"/>
  <c r="O80" i="191"/>
  <c r="O87" i="191"/>
  <c r="O101" i="191"/>
  <c r="O105" i="191"/>
  <c r="O110" i="191"/>
  <c r="O112" i="191"/>
  <c r="O117" i="191"/>
  <c r="O124" i="191"/>
  <c r="O97" i="191"/>
  <c r="O113" i="191"/>
  <c r="O133" i="191"/>
  <c r="O145" i="191"/>
  <c r="O103" i="191"/>
  <c r="O114" i="191"/>
  <c r="O115" i="191"/>
  <c r="O99" i="191"/>
  <c r="O130" i="191"/>
  <c r="O104" i="191"/>
  <c r="O132" i="191"/>
  <c r="O107" i="191"/>
  <c r="O95" i="191"/>
  <c r="O122" i="191"/>
  <c r="O96" i="191"/>
  <c r="O111" i="191"/>
  <c r="O129" i="191"/>
  <c r="O126" i="191"/>
  <c r="O147" i="191"/>
  <c r="O157" i="191"/>
  <c r="O152" i="191"/>
  <c r="O164" i="191"/>
  <c r="O123" i="191"/>
  <c r="O136" i="191"/>
  <c r="O142" i="191"/>
  <c r="O150" i="191"/>
  <c r="O154" i="191"/>
  <c r="O166" i="191"/>
  <c r="O116" i="191"/>
  <c r="O119" i="191"/>
  <c r="O127" i="191"/>
  <c r="O137" i="191"/>
  <c r="O120" i="191"/>
  <c r="O135" i="191"/>
  <c r="O148" i="191"/>
  <c r="O118" i="191"/>
  <c r="O138" i="191"/>
  <c r="O151" i="191"/>
  <c r="O128" i="191"/>
  <c r="O131" i="191"/>
  <c r="O139" i="191"/>
  <c r="O143" i="191"/>
  <c r="O158" i="191"/>
  <c r="O146" i="191"/>
  <c r="O153" i="191"/>
  <c r="O165" i="191"/>
  <c r="O125" i="191"/>
  <c r="O134" i="191"/>
  <c r="O140" i="191"/>
  <c r="O149" i="191"/>
  <c r="O155" i="191"/>
  <c r="O141" i="191"/>
  <c r="O144" i="191"/>
  <c r="O162" i="191"/>
  <c r="O163" i="191"/>
  <c r="O170" i="191"/>
  <c r="O160" i="191"/>
  <c r="O169" i="191"/>
  <c r="O171" i="191"/>
  <c r="O156" i="191"/>
  <c r="O3" i="191"/>
  <c r="O161" i="191"/>
  <c r="O159" i="191"/>
  <c r="O168" i="191"/>
  <c r="O167" i="191"/>
  <c r="O176" i="191"/>
  <c r="O172" i="191"/>
  <c r="O175" i="191"/>
  <c r="O174" i="191"/>
  <c r="O173" i="191"/>
  <c r="P1" i="191"/>
  <c r="P14" i="191" s="1"/>
  <c r="T6" i="188"/>
  <c r="T7" i="188"/>
  <c r="T8" i="188"/>
  <c r="T9" i="188"/>
  <c r="T10" i="188"/>
  <c r="T11" i="188"/>
  <c r="AF172" i="193" l="1"/>
  <c r="AF171" i="193"/>
  <c r="AF76" i="193"/>
  <c r="AF71" i="193"/>
  <c r="AF73" i="193"/>
  <c r="AF68" i="193"/>
  <c r="AF75" i="193"/>
  <c r="AF70" i="193"/>
  <c r="AF82" i="193"/>
  <c r="AF72" i="193"/>
  <c r="AF84" i="193"/>
  <c r="AF96" i="193"/>
  <c r="AF79" i="193"/>
  <c r="AF91" i="193"/>
  <c r="AF74" i="193"/>
  <c r="AF86" i="193"/>
  <c r="AF98" i="193"/>
  <c r="AF81" i="193"/>
  <c r="AF83" i="193"/>
  <c r="AF69" i="193"/>
  <c r="AF80" i="193"/>
  <c r="AF100" i="193"/>
  <c r="AF93" i="193"/>
  <c r="AF109" i="193"/>
  <c r="AF85" i="193"/>
  <c r="AF101" i="193"/>
  <c r="AF119" i="193"/>
  <c r="AF110" i="193"/>
  <c r="AF121" i="193"/>
  <c r="AF99" i="193"/>
  <c r="AF94" i="193"/>
  <c r="AF77" i="193"/>
  <c r="AF90" i="193"/>
  <c r="AF106" i="193"/>
  <c r="AF107" i="193"/>
  <c r="AF115" i="193"/>
  <c r="AF92" i="193"/>
  <c r="AF105" i="193"/>
  <c r="AF123" i="193"/>
  <c r="AF97" i="193"/>
  <c r="AF78" i="193"/>
  <c r="AF88" i="193"/>
  <c r="AF89" i="193"/>
  <c r="AF95" i="193"/>
  <c r="AF102" i="193"/>
  <c r="AF132" i="193"/>
  <c r="AF108" i="193"/>
  <c r="AF127" i="193"/>
  <c r="AF103" i="193"/>
  <c r="AF104" i="193"/>
  <c r="AF129" i="193"/>
  <c r="AF118" i="193"/>
  <c r="AF122" i="193"/>
  <c r="AF131" i="193"/>
  <c r="AF136" i="193"/>
  <c r="AF87" i="193"/>
  <c r="AF113" i="193"/>
  <c r="AF114" i="193"/>
  <c r="AF120" i="193"/>
  <c r="AF112" i="193"/>
  <c r="AF111" i="193"/>
  <c r="AF133" i="193"/>
  <c r="AF145" i="193"/>
  <c r="AF116" i="193"/>
  <c r="AF137" i="193"/>
  <c r="AF124" i="193"/>
  <c r="AF134" i="193"/>
  <c r="AF140" i="193"/>
  <c r="AF147" i="193"/>
  <c r="AF117" i="193"/>
  <c r="AF135" i="193"/>
  <c r="AF150" i="193"/>
  <c r="AF155" i="193"/>
  <c r="AF167" i="193"/>
  <c r="AF138" i="193"/>
  <c r="AF151" i="193"/>
  <c r="AF157" i="193"/>
  <c r="AF128" i="193"/>
  <c r="AF164" i="193"/>
  <c r="AF126" i="193"/>
  <c r="AF152" i="193"/>
  <c r="AF159" i="193"/>
  <c r="AF125" i="193"/>
  <c r="AF139" i="193"/>
  <c r="AF146" i="193"/>
  <c r="AF161" i="193"/>
  <c r="AF36" i="193"/>
  <c r="AF48" i="193"/>
  <c r="AF144" i="193"/>
  <c r="AF156" i="193"/>
  <c r="AF168" i="193"/>
  <c r="AF130" i="193"/>
  <c r="AF142" i="193"/>
  <c r="AF148" i="193"/>
  <c r="AF163" i="193"/>
  <c r="AF38" i="193"/>
  <c r="AF50" i="193"/>
  <c r="AF143" i="193"/>
  <c r="AF149" i="193"/>
  <c r="AF141" i="193"/>
  <c r="AF153" i="193"/>
  <c r="AF160" i="193"/>
  <c r="AF162" i="193"/>
  <c r="AF44" i="193"/>
  <c r="AF166" i="193"/>
  <c r="AF37" i="193"/>
  <c r="AF154" i="193"/>
  <c r="AF158" i="193"/>
  <c r="AF39" i="193"/>
  <c r="AF170" i="193"/>
  <c r="AF40" i="193"/>
  <c r="AF46" i="193"/>
  <c r="AF47" i="193"/>
  <c r="AF165" i="193"/>
  <c r="AF169" i="193"/>
  <c r="AF53" i="193"/>
  <c r="AF67" i="193"/>
  <c r="AF41" i="193"/>
  <c r="AF42" i="193"/>
  <c r="AF55" i="193"/>
  <c r="AF49" i="193"/>
  <c r="AF43" i="193"/>
  <c r="AF57" i="193"/>
  <c r="AF64" i="193"/>
  <c r="AF35" i="193"/>
  <c r="AF15" i="193"/>
  <c r="AF10" i="193"/>
  <c r="AF59" i="193"/>
  <c r="AF5" i="193"/>
  <c r="AF17" i="193"/>
  <c r="AF45" i="193"/>
  <c r="AF51" i="193"/>
  <c r="AF63" i="193"/>
  <c r="AF12" i="193"/>
  <c r="AF58" i="193"/>
  <c r="AF60" i="193"/>
  <c r="AF7" i="193"/>
  <c r="AF19" i="193"/>
  <c r="AF56" i="193"/>
  <c r="AF61" i="193"/>
  <c r="AF65" i="193"/>
  <c r="AF14" i="193"/>
  <c r="AF54" i="193"/>
  <c r="AF9" i="193"/>
  <c r="AF4" i="193"/>
  <c r="AF11" i="193"/>
  <c r="AF23" i="193"/>
  <c r="AF6" i="193"/>
  <c r="AF24" i="193"/>
  <c r="AF16" i="193"/>
  <c r="AF18" i="193"/>
  <c r="AF13" i="193"/>
  <c r="AF21" i="193"/>
  <c r="AF20" i="193"/>
  <c r="AF25" i="193"/>
  <c r="AF22" i="193"/>
  <c r="AF62" i="193"/>
  <c r="AF28" i="193"/>
  <c r="AF27" i="193"/>
  <c r="AF3" i="193"/>
  <c r="AF26" i="193"/>
  <c r="AF30" i="193"/>
  <c r="AF52" i="193"/>
  <c r="AF8" i="193"/>
  <c r="AF29" i="193"/>
  <c r="AF173" i="193"/>
  <c r="AF174" i="193"/>
  <c r="AF175" i="193"/>
  <c r="AF176" i="193"/>
  <c r="AF66" i="193"/>
  <c r="AF32" i="193"/>
  <c r="AF33" i="193"/>
  <c r="AF31" i="193"/>
  <c r="AF34" i="193"/>
  <c r="AG1" i="193"/>
  <c r="P4" i="191"/>
  <c r="P17" i="191"/>
  <c r="P11" i="191"/>
  <c r="P6" i="191"/>
  <c r="P13" i="191"/>
  <c r="P8" i="191"/>
  <c r="P16" i="191"/>
  <c r="P10" i="191"/>
  <c r="P5" i="191"/>
  <c r="P18" i="191"/>
  <c r="P12" i="191"/>
  <c r="P25" i="191"/>
  <c r="P7" i="191"/>
  <c r="P15" i="191"/>
  <c r="P27" i="191"/>
  <c r="P9" i="191"/>
  <c r="P19" i="191"/>
  <c r="P34" i="191"/>
  <c r="P43" i="191"/>
  <c r="P36" i="191"/>
  <c r="P47" i="191"/>
  <c r="P31" i="191"/>
  <c r="P37" i="191"/>
  <c r="P39" i="191"/>
  <c r="P38" i="191"/>
  <c r="P50" i="191"/>
  <c r="P58" i="191"/>
  <c r="P21" i="191"/>
  <c r="P30" i="191"/>
  <c r="P33" i="191"/>
  <c r="P24" i="191"/>
  <c r="P40" i="191"/>
  <c r="P41" i="191"/>
  <c r="P32" i="191"/>
  <c r="P35" i="191"/>
  <c r="P44" i="191"/>
  <c r="P63" i="191"/>
  <c r="P75" i="191"/>
  <c r="P29" i="191"/>
  <c r="P28" i="191"/>
  <c r="P51" i="191"/>
  <c r="P52" i="191"/>
  <c r="P53" i="191"/>
  <c r="P26" i="191"/>
  <c r="P54" i="191"/>
  <c r="P22" i="191"/>
  <c r="P61" i="191"/>
  <c r="P23" i="191"/>
  <c r="P20" i="191"/>
  <c r="P56" i="191"/>
  <c r="P65" i="191"/>
  <c r="P68" i="191"/>
  <c r="P82" i="191"/>
  <c r="P77" i="191"/>
  <c r="P89" i="191"/>
  <c r="P45" i="191"/>
  <c r="P49" i="191"/>
  <c r="P64" i="191"/>
  <c r="P69" i="191"/>
  <c r="P59" i="191"/>
  <c r="P70" i="191"/>
  <c r="P73" i="191"/>
  <c r="P79" i="191"/>
  <c r="P91" i="191"/>
  <c r="P55" i="191"/>
  <c r="P71" i="191"/>
  <c r="P76" i="191"/>
  <c r="P46" i="191"/>
  <c r="P48" i="191"/>
  <c r="P74" i="191"/>
  <c r="P83" i="191"/>
  <c r="P42" i="191"/>
  <c r="P62" i="191"/>
  <c r="P78" i="191"/>
  <c r="P57" i="191"/>
  <c r="P60" i="191"/>
  <c r="P72" i="191"/>
  <c r="P66" i="191"/>
  <c r="P67" i="191"/>
  <c r="P87" i="191"/>
  <c r="P80" i="191"/>
  <c r="P101" i="191"/>
  <c r="P105" i="191"/>
  <c r="P81" i="191"/>
  <c r="P86" i="191"/>
  <c r="P90" i="191"/>
  <c r="P99" i="191"/>
  <c r="P114" i="191"/>
  <c r="P92" i="191"/>
  <c r="P85" i="191"/>
  <c r="P93" i="191"/>
  <c r="P97" i="191"/>
  <c r="P88" i="191"/>
  <c r="P113" i="191"/>
  <c r="P84" i="191"/>
  <c r="P94" i="191"/>
  <c r="P95" i="191"/>
  <c r="P98" i="191"/>
  <c r="P103" i="191"/>
  <c r="P96" i="191"/>
  <c r="P111" i="191"/>
  <c r="P129" i="191"/>
  <c r="P102" i="191"/>
  <c r="P109" i="191"/>
  <c r="P110" i="191"/>
  <c r="P112" i="191"/>
  <c r="P126" i="191"/>
  <c r="P138" i="191"/>
  <c r="P150" i="191"/>
  <c r="P106" i="191"/>
  <c r="P108" i="191"/>
  <c r="P118" i="191"/>
  <c r="P115" i="191"/>
  <c r="P121" i="191"/>
  <c r="P123" i="191"/>
  <c r="P104" i="191"/>
  <c r="P116" i="191"/>
  <c r="P125" i="191"/>
  <c r="P137" i="191"/>
  <c r="P100" i="191"/>
  <c r="P107" i="191"/>
  <c r="P119" i="191"/>
  <c r="P127" i="191"/>
  <c r="P122" i="191"/>
  <c r="P134" i="191"/>
  <c r="P133" i="191"/>
  <c r="P141" i="191"/>
  <c r="P144" i="191"/>
  <c r="P162" i="191"/>
  <c r="P147" i="191"/>
  <c r="P157" i="191"/>
  <c r="P169" i="191"/>
  <c r="P152" i="191"/>
  <c r="P130" i="191"/>
  <c r="P136" i="191"/>
  <c r="P142" i="191"/>
  <c r="P159" i="191"/>
  <c r="P171" i="191"/>
  <c r="P145" i="191"/>
  <c r="P154" i="191"/>
  <c r="P132" i="191"/>
  <c r="P124" i="191"/>
  <c r="P120" i="191"/>
  <c r="P135" i="191"/>
  <c r="P148" i="191"/>
  <c r="P156" i="191"/>
  <c r="P151" i="191"/>
  <c r="P128" i="191"/>
  <c r="P131" i="191"/>
  <c r="P139" i="191"/>
  <c r="P143" i="191"/>
  <c r="P158" i="191"/>
  <c r="P170" i="191"/>
  <c r="P146" i="191"/>
  <c r="P140" i="191"/>
  <c r="P149" i="191"/>
  <c r="P117" i="191"/>
  <c r="P155" i="191"/>
  <c r="P167" i="191"/>
  <c r="P153" i="191"/>
  <c r="P3" i="191"/>
  <c r="P163" i="191"/>
  <c r="P166" i="191"/>
  <c r="P160" i="191"/>
  <c r="P161" i="191"/>
  <c r="P165" i="191"/>
  <c r="P168" i="191"/>
  <c r="P164" i="191"/>
  <c r="P173" i="191"/>
  <c r="P176" i="191"/>
  <c r="P172" i="191"/>
  <c r="P175" i="191"/>
  <c r="P174" i="191"/>
  <c r="Q1" i="191"/>
  <c r="Q14" i="191" s="1"/>
  <c r="D1" i="189"/>
  <c r="D166" i="189" s="1"/>
  <c r="B63" i="188"/>
  <c r="T5" i="188"/>
  <c r="T60" i="188" s="1"/>
  <c r="B62" i="188"/>
  <c r="B64" i="188"/>
  <c r="AG172" i="193" l="1"/>
  <c r="AG171" i="193"/>
  <c r="AG69" i="193"/>
  <c r="AG81" i="193"/>
  <c r="AG76" i="193"/>
  <c r="AG71" i="193"/>
  <c r="AG73" i="193"/>
  <c r="AG68" i="193"/>
  <c r="AG75" i="193"/>
  <c r="AG70" i="193"/>
  <c r="AG77" i="193"/>
  <c r="AG89" i="193"/>
  <c r="AG72" i="193"/>
  <c r="AG84" i="193"/>
  <c r="AG79" i="193"/>
  <c r="AG91" i="193"/>
  <c r="AG78" i="193"/>
  <c r="AG105" i="193"/>
  <c r="AG74" i="193"/>
  <c r="AG80" i="193"/>
  <c r="AG82" i="193"/>
  <c r="AG100" i="193"/>
  <c r="AG95" i="193"/>
  <c r="AG102" i="193"/>
  <c r="AG114" i="193"/>
  <c r="AG93" i="193"/>
  <c r="AG103" i="193"/>
  <c r="AG109" i="193"/>
  <c r="AG97" i="193"/>
  <c r="AG96" i="193"/>
  <c r="AG99" i="193"/>
  <c r="AG83" i="193"/>
  <c r="AG87" i="193"/>
  <c r="AG92" i="193"/>
  <c r="AG86" i="193"/>
  <c r="AG122" i="193"/>
  <c r="AG126" i="193"/>
  <c r="AG90" i="193"/>
  <c r="AG98" i="193"/>
  <c r="AG101" i="193"/>
  <c r="AG110" i="193"/>
  <c r="AG116" i="193"/>
  <c r="AG117" i="193"/>
  <c r="AG125" i="193"/>
  <c r="AG85" i="193"/>
  <c r="AG88" i="193"/>
  <c r="AG115" i="193"/>
  <c r="AG119" i="193"/>
  <c r="AG94" i="193"/>
  <c r="AG104" i="193"/>
  <c r="AG120" i="193"/>
  <c r="AG134" i="193"/>
  <c r="AG118" i="193"/>
  <c r="AG128" i="193"/>
  <c r="AG138" i="193"/>
  <c r="AG108" i="193"/>
  <c r="AG130" i="193"/>
  <c r="AG107" i="193"/>
  <c r="AG123" i="193"/>
  <c r="AG113" i="193"/>
  <c r="AG112" i="193"/>
  <c r="AG111" i="193"/>
  <c r="AG121" i="193"/>
  <c r="AG133" i="193"/>
  <c r="AG145" i="193"/>
  <c r="AG106" i="193"/>
  <c r="AG137" i="193"/>
  <c r="AG152" i="193"/>
  <c r="AG131" i="193"/>
  <c r="AG140" i="193"/>
  <c r="AG141" i="193"/>
  <c r="AG153" i="193"/>
  <c r="AG135" i="193"/>
  <c r="AG160" i="193"/>
  <c r="AG150" i="193"/>
  <c r="AG155" i="193"/>
  <c r="AG151" i="193"/>
  <c r="AG127" i="193"/>
  <c r="AG132" i="193"/>
  <c r="AG157" i="193"/>
  <c r="AG136" i="193"/>
  <c r="AG147" i="193"/>
  <c r="AG154" i="193"/>
  <c r="AG166" i="193"/>
  <c r="AG41" i="193"/>
  <c r="AG139" i="193"/>
  <c r="AG146" i="193"/>
  <c r="AG161" i="193"/>
  <c r="AG36" i="193"/>
  <c r="AG144" i="193"/>
  <c r="AG156" i="193"/>
  <c r="AG168" i="193"/>
  <c r="AG67" i="193"/>
  <c r="AG43" i="193"/>
  <c r="AG124" i="193"/>
  <c r="AG142" i="193"/>
  <c r="AG148" i="193"/>
  <c r="AG143" i="193"/>
  <c r="AG149" i="193"/>
  <c r="AG52" i="193"/>
  <c r="AG162" i="193"/>
  <c r="AG164" i="193"/>
  <c r="AG38" i="193"/>
  <c r="AG44" i="193"/>
  <c r="AG45" i="193"/>
  <c r="AG37" i="193"/>
  <c r="AG158" i="193"/>
  <c r="AG39" i="193"/>
  <c r="AG170" i="193"/>
  <c r="AG40" i="193"/>
  <c r="AG46" i="193"/>
  <c r="AG129" i="193"/>
  <c r="AG163" i="193"/>
  <c r="AG47" i="193"/>
  <c r="AG51" i="193"/>
  <c r="AG58" i="193"/>
  <c r="AG159" i="193"/>
  <c r="AG165" i="193"/>
  <c r="AG169" i="193"/>
  <c r="AG167" i="193"/>
  <c r="AG48" i="193"/>
  <c r="AG60" i="193"/>
  <c r="AG42" i="193"/>
  <c r="AG49" i="193"/>
  <c r="AG62" i="193"/>
  <c r="AG6" i="193"/>
  <c r="AG50" i="193"/>
  <c r="AG64" i="193"/>
  <c r="AG8" i="193"/>
  <c r="AG15" i="193"/>
  <c r="AG10" i="193"/>
  <c r="AG59" i="193"/>
  <c r="AG5" i="193"/>
  <c r="AG57" i="193"/>
  <c r="AG63" i="193"/>
  <c r="AG12" i="193"/>
  <c r="AG7" i="193"/>
  <c r="AG19" i="193"/>
  <c r="AG55" i="193"/>
  <c r="AG56" i="193"/>
  <c r="AG61" i="193"/>
  <c r="AG65" i="193"/>
  <c r="AG54" i="193"/>
  <c r="AG9" i="193"/>
  <c r="AG53" i="193"/>
  <c r="AG4" i="193"/>
  <c r="AG16" i="193"/>
  <c r="AG28" i="193"/>
  <c r="AG24" i="193"/>
  <c r="AG35" i="193"/>
  <c r="AG27" i="193"/>
  <c r="AG18" i="193"/>
  <c r="AG30" i="193"/>
  <c r="AG13" i="193"/>
  <c r="AG21" i="193"/>
  <c r="AG11" i="193"/>
  <c r="AG20" i="193"/>
  <c r="AG25" i="193"/>
  <c r="AG14" i="193"/>
  <c r="AG22" i="193"/>
  <c r="AG29" i="193"/>
  <c r="AG23" i="193"/>
  <c r="AG3" i="193"/>
  <c r="AG17" i="193"/>
  <c r="AG26" i="193"/>
  <c r="AG176" i="193"/>
  <c r="AG175" i="193"/>
  <c r="AG173" i="193"/>
  <c r="AG174" i="193"/>
  <c r="AH1" i="193"/>
  <c r="AG33" i="193"/>
  <c r="AG31" i="193"/>
  <c r="AG66" i="193"/>
  <c r="AG34" i="193"/>
  <c r="AG32" i="193"/>
  <c r="Q9" i="191"/>
  <c r="Q4" i="191"/>
  <c r="Q11" i="191"/>
  <c r="Q6" i="191"/>
  <c r="Q13" i="191"/>
  <c r="Q8" i="191"/>
  <c r="Q16" i="191"/>
  <c r="Q10" i="191"/>
  <c r="Q5" i="191"/>
  <c r="Q18" i="191"/>
  <c r="Q30" i="191"/>
  <c r="Q12" i="191"/>
  <c r="Q7" i="191"/>
  <c r="Q20" i="191"/>
  <c r="Q32" i="191"/>
  <c r="Q15" i="191"/>
  <c r="Q27" i="191"/>
  <c r="Q33" i="191"/>
  <c r="Q48" i="191"/>
  <c r="Q29" i="191"/>
  <c r="Q35" i="191"/>
  <c r="Q40" i="191"/>
  <c r="Q24" i="191"/>
  <c r="Q31" i="191"/>
  <c r="Q34" i="191"/>
  <c r="Q43" i="191"/>
  <c r="Q63" i="191"/>
  <c r="Q23" i="191"/>
  <c r="Q45" i="191"/>
  <c r="Q55" i="191"/>
  <c r="Q26" i="191"/>
  <c r="Q47" i="191"/>
  <c r="Q19" i="191"/>
  <c r="Q41" i="191"/>
  <c r="Q57" i="191"/>
  <c r="Q36" i="191"/>
  <c r="Q37" i="191"/>
  <c r="Q38" i="191"/>
  <c r="Q46" i="191"/>
  <c r="Q58" i="191"/>
  <c r="Q68" i="191"/>
  <c r="Q25" i="191"/>
  <c r="Q28" i="191"/>
  <c r="Q50" i="191"/>
  <c r="Q51" i="191"/>
  <c r="Q52" i="191"/>
  <c r="Q53" i="191"/>
  <c r="Q17" i="191"/>
  <c r="Q54" i="191"/>
  <c r="Q64" i="191"/>
  <c r="Q22" i="191"/>
  <c r="Q21" i="191"/>
  <c r="Q49" i="191"/>
  <c r="Q62" i="191"/>
  <c r="Q66" i="191"/>
  <c r="Q67" i="191"/>
  <c r="Q75" i="191"/>
  <c r="Q65" i="191"/>
  <c r="Q82" i="191"/>
  <c r="Q94" i="191"/>
  <c r="Q61" i="191"/>
  <c r="Q69" i="191"/>
  <c r="Q84" i="191"/>
  <c r="Q96" i="191"/>
  <c r="Q39" i="191"/>
  <c r="Q59" i="191"/>
  <c r="Q81" i="191"/>
  <c r="Q56" i="191"/>
  <c r="Q71" i="191"/>
  <c r="Q76" i="191"/>
  <c r="Q44" i="191"/>
  <c r="Q74" i="191"/>
  <c r="Q83" i="191"/>
  <c r="Q42" i="191"/>
  <c r="Q60" i="191"/>
  <c r="Q72" i="191"/>
  <c r="Q80" i="191"/>
  <c r="Q87" i="191"/>
  <c r="Q110" i="191"/>
  <c r="Q70" i="191"/>
  <c r="Q79" i="191"/>
  <c r="Q73" i="191"/>
  <c r="Q78" i="191"/>
  <c r="Q86" i="191"/>
  <c r="Q90" i="191"/>
  <c r="Q91" i="191"/>
  <c r="Q107" i="191"/>
  <c r="Q119" i="191"/>
  <c r="Q77" i="191"/>
  <c r="Q89" i="191"/>
  <c r="Q92" i="191"/>
  <c r="Q104" i="191"/>
  <c r="Q85" i="191"/>
  <c r="Q100" i="191"/>
  <c r="Q106" i="191"/>
  <c r="Q88" i="191"/>
  <c r="Q95" i="191"/>
  <c r="Q98" i="191"/>
  <c r="Q103" i="191"/>
  <c r="Q122" i="191"/>
  <c r="Q134" i="191"/>
  <c r="Q111" i="191"/>
  <c r="Q102" i="191"/>
  <c r="Q109" i="191"/>
  <c r="Q112" i="191"/>
  <c r="Q117" i="191"/>
  <c r="Q97" i="191"/>
  <c r="Q113" i="191"/>
  <c r="Q120" i="191"/>
  <c r="Q131" i="191"/>
  <c r="Q143" i="191"/>
  <c r="Q108" i="191"/>
  <c r="Q114" i="191"/>
  <c r="Q93" i="191"/>
  <c r="Q118" i="191"/>
  <c r="Q128" i="191"/>
  <c r="Q99" i="191"/>
  <c r="Q130" i="191"/>
  <c r="Q116" i="191"/>
  <c r="Q101" i="191"/>
  <c r="Q105" i="191"/>
  <c r="Q127" i="191"/>
  <c r="Q115" i="191"/>
  <c r="Q155" i="191"/>
  <c r="Q126" i="191"/>
  <c r="Q133" i="191"/>
  <c r="Q141" i="191"/>
  <c r="Q144" i="191"/>
  <c r="Q162" i="191"/>
  <c r="Q157" i="191"/>
  <c r="Q147" i="191"/>
  <c r="Q123" i="191"/>
  <c r="Q150" i="191"/>
  <c r="Q152" i="191"/>
  <c r="Q164" i="191"/>
  <c r="Q136" i="191"/>
  <c r="Q142" i="191"/>
  <c r="Q159" i="191"/>
  <c r="Q132" i="191"/>
  <c r="Q137" i="191"/>
  <c r="Q145" i="191"/>
  <c r="Q124" i="191"/>
  <c r="Q135" i="191"/>
  <c r="Q138" i="191"/>
  <c r="Q148" i="191"/>
  <c r="Q156" i="191"/>
  <c r="Q151" i="191"/>
  <c r="Q163" i="191"/>
  <c r="Q121" i="191"/>
  <c r="Q139" i="191"/>
  <c r="Q125" i="191"/>
  <c r="Q146" i="191"/>
  <c r="Q153" i="191"/>
  <c r="Q129" i="191"/>
  <c r="Q140" i="191"/>
  <c r="Q149" i="191"/>
  <c r="Q160" i="191"/>
  <c r="Q167" i="191"/>
  <c r="Q170" i="191"/>
  <c r="Q154" i="191"/>
  <c r="Q166" i="191"/>
  <c r="Q171" i="191"/>
  <c r="Q169" i="191"/>
  <c r="Q3" i="191"/>
  <c r="Q161" i="191"/>
  <c r="Q165" i="191"/>
  <c r="Q158" i="191"/>
  <c r="Q168" i="191"/>
  <c r="Q175" i="191"/>
  <c r="Q174" i="191"/>
  <c r="Q172" i="191"/>
  <c r="Q176" i="191"/>
  <c r="Q173" i="191"/>
  <c r="R1" i="191"/>
  <c r="R14" i="191" s="1"/>
  <c r="D152" i="189"/>
  <c r="D167" i="189"/>
  <c r="D169" i="189"/>
  <c r="D4" i="189"/>
  <c r="D140" i="189"/>
  <c r="D164" i="189"/>
  <c r="D157" i="189"/>
  <c r="E1" i="189"/>
  <c r="E4" i="189" s="1"/>
  <c r="D5" i="189"/>
  <c r="D17" i="189"/>
  <c r="D29" i="189"/>
  <c r="D12" i="189"/>
  <c r="D24" i="189"/>
  <c r="D36" i="189"/>
  <c r="D7" i="189"/>
  <c r="D19" i="189"/>
  <c r="D31" i="189"/>
  <c r="D14" i="189"/>
  <c r="D26" i="189"/>
  <c r="D9" i="189"/>
  <c r="D21" i="189"/>
  <c r="D33" i="189"/>
  <c r="D16" i="189"/>
  <c r="D28" i="189"/>
  <c r="D11" i="189"/>
  <c r="D15" i="189"/>
  <c r="D45" i="189"/>
  <c r="D22" i="189"/>
  <c r="D40" i="189"/>
  <c r="D52" i="189"/>
  <c r="D23" i="189"/>
  <c r="D47" i="189"/>
  <c r="D30" i="189"/>
  <c r="D42" i="189"/>
  <c r="D54" i="189"/>
  <c r="D13" i="189"/>
  <c r="D37" i="189"/>
  <c r="D49" i="189"/>
  <c r="D6" i="189"/>
  <c r="D20" i="189"/>
  <c r="D44" i="189"/>
  <c r="D8" i="189"/>
  <c r="D35" i="189"/>
  <c r="D41" i="189"/>
  <c r="D10" i="189"/>
  <c r="D18" i="189"/>
  <c r="D38" i="189"/>
  <c r="D65" i="189"/>
  <c r="D60" i="189"/>
  <c r="D72" i="189"/>
  <c r="D55" i="189"/>
  <c r="D67" i="189"/>
  <c r="D62" i="189"/>
  <c r="D43" i="189"/>
  <c r="D53" i="189"/>
  <c r="D57" i="189"/>
  <c r="D69" i="189"/>
  <c r="D64" i="189"/>
  <c r="D32" i="189"/>
  <c r="D34" i="189"/>
  <c r="D48" i="189"/>
  <c r="D61" i="189"/>
  <c r="D73" i="189"/>
  <c r="D25" i="189"/>
  <c r="D56" i="189"/>
  <c r="D83" i="189"/>
  <c r="D71" i="189"/>
  <c r="D78" i="189"/>
  <c r="D90" i="189"/>
  <c r="D59" i="189"/>
  <c r="D70" i="189"/>
  <c r="D85" i="189"/>
  <c r="D58" i="189"/>
  <c r="D80" i="189"/>
  <c r="D92" i="189"/>
  <c r="D75" i="189"/>
  <c r="D87" i="189"/>
  <c r="D27" i="189"/>
  <c r="D39" i="189"/>
  <c r="D46" i="189"/>
  <c r="D50" i="189"/>
  <c r="D82" i="189"/>
  <c r="D79" i="189"/>
  <c r="D91" i="189"/>
  <c r="D51" i="189"/>
  <c r="D66" i="189"/>
  <c r="D74" i="189"/>
  <c r="D86" i="189"/>
  <c r="D81" i="189"/>
  <c r="D93" i="189"/>
  <c r="D96" i="189"/>
  <c r="D108" i="189"/>
  <c r="D103" i="189"/>
  <c r="D115" i="189"/>
  <c r="D68" i="189"/>
  <c r="D76" i="189"/>
  <c r="D98" i="189"/>
  <c r="D110" i="189"/>
  <c r="D105" i="189"/>
  <c r="D117" i="189"/>
  <c r="D84" i="189"/>
  <c r="D100" i="189"/>
  <c r="D112" i="189"/>
  <c r="D104" i="189"/>
  <c r="D116" i="189"/>
  <c r="D77" i="189"/>
  <c r="D99" i="189"/>
  <c r="D111" i="189"/>
  <c r="D63" i="189"/>
  <c r="D94" i="189"/>
  <c r="D106" i="189"/>
  <c r="D107" i="189"/>
  <c r="D128" i="189"/>
  <c r="D89" i="189"/>
  <c r="D114" i="189"/>
  <c r="D123" i="189"/>
  <c r="D135" i="189"/>
  <c r="D118" i="189"/>
  <c r="D130" i="189"/>
  <c r="D113" i="189"/>
  <c r="D125" i="189"/>
  <c r="D137" i="189"/>
  <c r="D120" i="189"/>
  <c r="D132" i="189"/>
  <c r="D127" i="189"/>
  <c r="D97" i="189"/>
  <c r="D122" i="189"/>
  <c r="D134" i="189"/>
  <c r="D95" i="189"/>
  <c r="D124" i="189"/>
  <c r="D136" i="189"/>
  <c r="D102" i="189"/>
  <c r="D119" i="189"/>
  <c r="D131" i="189"/>
  <c r="D151" i="189"/>
  <c r="D163" i="189"/>
  <c r="D109" i="189"/>
  <c r="D146" i="189"/>
  <c r="D158" i="189"/>
  <c r="D121" i="189"/>
  <c r="D141" i="189"/>
  <c r="D153" i="189"/>
  <c r="D129" i="189"/>
  <c r="D148" i="189"/>
  <c r="D160" i="189"/>
  <c r="D126" i="189"/>
  <c r="D143" i="189"/>
  <c r="D155" i="189"/>
  <c r="D88" i="189"/>
  <c r="D101" i="189"/>
  <c r="D139" i="189"/>
  <c r="D150" i="189"/>
  <c r="D162" i="189"/>
  <c r="D147" i="189"/>
  <c r="D159" i="189"/>
  <c r="D142" i="189"/>
  <c r="D154" i="189"/>
  <c r="D149" i="189"/>
  <c r="D161" i="189"/>
  <c r="D144" i="189"/>
  <c r="D3" i="189"/>
  <c r="D165" i="189"/>
  <c r="D170" i="189"/>
  <c r="D156" i="189"/>
  <c r="D133" i="189"/>
  <c r="D168" i="189"/>
  <c r="D145" i="189"/>
  <c r="D138" i="189"/>
  <c r="E173" i="189"/>
  <c r="E175" i="189"/>
  <c r="E172" i="189"/>
  <c r="E174" i="189"/>
  <c r="E171" i="189"/>
  <c r="D175" i="189"/>
  <c r="D172" i="189"/>
  <c r="D174" i="189"/>
  <c r="D171" i="189"/>
  <c r="D173" i="189"/>
  <c r="F1" i="189"/>
  <c r="F4" i="189" s="1"/>
  <c r="B61" i="188"/>
  <c r="B65" i="188" s="1"/>
  <c r="T17" i="186"/>
  <c r="T18" i="186"/>
  <c r="AH172" i="193" l="1"/>
  <c r="AI172" i="193" s="1"/>
  <c r="AH171" i="193"/>
  <c r="AI171" i="193" s="1"/>
  <c r="AH74" i="193"/>
  <c r="AI74" i="193" s="1"/>
  <c r="AH69" i="193"/>
  <c r="AI69" i="193" s="1"/>
  <c r="AH71" i="193"/>
  <c r="AI71" i="193" s="1"/>
  <c r="AH73" i="193"/>
  <c r="AI73" i="193" s="1"/>
  <c r="AH68" i="193"/>
  <c r="AI68" i="193" s="1"/>
  <c r="AH80" i="193"/>
  <c r="AI80" i="193" s="1"/>
  <c r="AH70" i="193"/>
  <c r="AI70" i="193" s="1"/>
  <c r="AH82" i="193"/>
  <c r="AI82" i="193" s="1"/>
  <c r="AH94" i="193"/>
  <c r="AI94" i="193" s="1"/>
  <c r="AH77" i="193"/>
  <c r="AI77" i="193" s="1"/>
  <c r="AH89" i="193"/>
  <c r="AI89" i="193" s="1"/>
  <c r="AH72" i="193"/>
  <c r="AI72" i="193" s="1"/>
  <c r="AH84" i="193"/>
  <c r="AI84" i="193" s="1"/>
  <c r="AH96" i="193"/>
  <c r="AI96" i="193" s="1"/>
  <c r="AH76" i="193"/>
  <c r="AI76" i="193" s="1"/>
  <c r="AH85" i="193"/>
  <c r="AH110" i="193"/>
  <c r="AI110" i="193" s="1"/>
  <c r="AH78" i="193"/>
  <c r="AI78" i="193" s="1"/>
  <c r="AH105" i="193"/>
  <c r="AI105" i="193" s="1"/>
  <c r="AH107" i="193"/>
  <c r="AI107" i="193" s="1"/>
  <c r="AH75" i="193"/>
  <c r="AI75" i="193" s="1"/>
  <c r="AH95" i="193"/>
  <c r="AI95" i="193" s="1"/>
  <c r="AH102" i="193"/>
  <c r="AI102" i="193" s="1"/>
  <c r="AH108" i="193"/>
  <c r="AI108" i="193" s="1"/>
  <c r="AH113" i="193"/>
  <c r="AI113" i="193" s="1"/>
  <c r="AH117" i="193"/>
  <c r="AI117" i="193" s="1"/>
  <c r="AH91" i="193"/>
  <c r="AI91" i="193" s="1"/>
  <c r="AH100" i="193"/>
  <c r="AI100" i="193" s="1"/>
  <c r="AH101" i="193"/>
  <c r="AI101" i="193" s="1"/>
  <c r="AH119" i="193"/>
  <c r="AI119" i="193" s="1"/>
  <c r="AH111" i="193"/>
  <c r="AI111" i="193" s="1"/>
  <c r="AH79" i="193"/>
  <c r="AI79" i="193" s="1"/>
  <c r="AH81" i="193"/>
  <c r="AI81" i="193" s="1"/>
  <c r="AH112" i="193"/>
  <c r="AI112" i="193" s="1"/>
  <c r="AH87" i="193"/>
  <c r="AI87" i="193" s="1"/>
  <c r="AH92" i="193"/>
  <c r="AI92" i="193" s="1"/>
  <c r="AH106" i="193"/>
  <c r="AI106" i="193" s="1"/>
  <c r="AH109" i="193"/>
  <c r="AI109" i="193" s="1"/>
  <c r="AH86" i="193"/>
  <c r="AI86" i="193" s="1"/>
  <c r="AH90" i="193"/>
  <c r="AI90" i="193" s="1"/>
  <c r="AH98" i="193"/>
  <c r="AI98" i="193" s="1"/>
  <c r="AH99" i="193"/>
  <c r="AI99" i="193" s="1"/>
  <c r="AH97" i="193"/>
  <c r="AI97" i="193" s="1"/>
  <c r="AH118" i="193"/>
  <c r="AI118" i="193" s="1"/>
  <c r="AH130" i="193"/>
  <c r="AI130" i="193" s="1"/>
  <c r="AH83" i="193"/>
  <c r="AI83" i="193" s="1"/>
  <c r="AH116" i="193"/>
  <c r="AI116" i="193" s="1"/>
  <c r="AH125" i="193"/>
  <c r="AI125" i="193" s="1"/>
  <c r="AH88" i="193"/>
  <c r="AI88" i="193" s="1"/>
  <c r="AH103" i="193"/>
  <c r="AI103" i="193" s="1"/>
  <c r="AH114" i="193"/>
  <c r="AI114" i="193" s="1"/>
  <c r="AH127" i="193"/>
  <c r="AI127" i="193" s="1"/>
  <c r="AH139" i="193"/>
  <c r="AI139" i="193" s="1"/>
  <c r="AH104" i="193"/>
  <c r="AI104" i="193" s="1"/>
  <c r="AH122" i="193"/>
  <c r="AI122" i="193" s="1"/>
  <c r="AH129" i="193"/>
  <c r="AI129" i="193" s="1"/>
  <c r="AH135" i="193"/>
  <c r="AI135" i="193" s="1"/>
  <c r="AH123" i="193"/>
  <c r="AI123" i="193" s="1"/>
  <c r="AH120" i="193"/>
  <c r="AI120" i="193" s="1"/>
  <c r="AH115" i="193"/>
  <c r="AI115" i="193" s="1"/>
  <c r="AH132" i="193"/>
  <c r="AI132" i="193" s="1"/>
  <c r="AH143" i="193"/>
  <c r="AI143" i="193" s="1"/>
  <c r="AH150" i="193"/>
  <c r="AI150" i="193" s="1"/>
  <c r="AH93" i="193"/>
  <c r="AI93" i="193" s="1"/>
  <c r="AH121" i="193"/>
  <c r="AI121" i="193" s="1"/>
  <c r="AH133" i="193"/>
  <c r="AI133" i="193" s="1"/>
  <c r="AH145" i="193"/>
  <c r="AI145" i="193" s="1"/>
  <c r="AH149" i="193"/>
  <c r="AI149" i="193" s="1"/>
  <c r="AH131" i="193"/>
  <c r="AI131" i="193" s="1"/>
  <c r="AH140" i="193"/>
  <c r="AI140" i="193" s="1"/>
  <c r="AH141" i="193"/>
  <c r="AI141" i="193" s="1"/>
  <c r="AH153" i="193"/>
  <c r="AI153" i="193" s="1"/>
  <c r="AH165" i="193"/>
  <c r="AI165" i="193" s="1"/>
  <c r="AH138" i="193"/>
  <c r="AI138" i="193" s="1"/>
  <c r="AH155" i="193"/>
  <c r="AI155" i="193" s="1"/>
  <c r="AH151" i="193"/>
  <c r="AI151" i="193" s="1"/>
  <c r="AH162" i="193"/>
  <c r="AI162" i="193" s="1"/>
  <c r="AH128" i="193"/>
  <c r="AI128" i="193" s="1"/>
  <c r="AH157" i="193"/>
  <c r="AI157" i="193" s="1"/>
  <c r="AH159" i="193"/>
  <c r="AI159" i="193" s="1"/>
  <c r="AH46" i="193"/>
  <c r="AI46" i="193" s="1"/>
  <c r="AH147" i="193"/>
  <c r="AI147" i="193" s="1"/>
  <c r="AH154" i="193"/>
  <c r="AI154" i="193" s="1"/>
  <c r="AH166" i="193"/>
  <c r="AI166" i="193" s="1"/>
  <c r="AH67" i="193"/>
  <c r="AI67" i="193" s="1"/>
  <c r="AH134" i="193"/>
  <c r="AI134" i="193" s="1"/>
  <c r="AH146" i="193"/>
  <c r="AI146" i="193" s="1"/>
  <c r="AH161" i="193"/>
  <c r="AI161" i="193" s="1"/>
  <c r="AH36" i="193"/>
  <c r="AI36" i="193" s="1"/>
  <c r="AH48" i="193"/>
  <c r="AI48" i="193" s="1"/>
  <c r="AH137" i="193"/>
  <c r="AH144" i="193"/>
  <c r="AI144" i="193" s="1"/>
  <c r="AH124" i="193"/>
  <c r="AI124" i="193" s="1"/>
  <c r="AH142" i="193"/>
  <c r="AI142" i="193" s="1"/>
  <c r="AH148" i="193"/>
  <c r="AI148" i="193" s="1"/>
  <c r="AH160" i="193"/>
  <c r="AI160" i="193" s="1"/>
  <c r="AH156" i="193"/>
  <c r="AI156" i="193" s="1"/>
  <c r="AH164" i="193"/>
  <c r="AI164" i="193" s="1"/>
  <c r="AH38" i="193"/>
  <c r="AI38" i="193" s="1"/>
  <c r="AH44" i="193"/>
  <c r="AI44" i="193" s="1"/>
  <c r="AH126" i="193"/>
  <c r="AI126" i="193" s="1"/>
  <c r="AH136" i="193"/>
  <c r="AI136" i="193" s="1"/>
  <c r="AH45" i="193"/>
  <c r="AI45" i="193" s="1"/>
  <c r="AH37" i="193"/>
  <c r="AI37" i="193" s="1"/>
  <c r="AH158" i="193"/>
  <c r="AI158" i="193" s="1"/>
  <c r="AH39" i="193"/>
  <c r="AI39" i="193" s="1"/>
  <c r="AH170" i="193"/>
  <c r="AI170" i="193" s="1"/>
  <c r="AH40" i="193"/>
  <c r="AI40" i="193" s="1"/>
  <c r="AH163" i="193"/>
  <c r="AI163" i="193" s="1"/>
  <c r="AH168" i="193"/>
  <c r="AI168" i="193" s="1"/>
  <c r="AH169" i="193"/>
  <c r="AI169" i="193" s="1"/>
  <c r="AH41" i="193"/>
  <c r="AI41" i="193" s="1"/>
  <c r="AH53" i="193"/>
  <c r="AI53" i="193" s="1"/>
  <c r="AH152" i="193"/>
  <c r="AI152" i="193" s="1"/>
  <c r="AH167" i="193"/>
  <c r="AI167" i="193" s="1"/>
  <c r="AH42" i="193"/>
  <c r="AI42" i="193" s="1"/>
  <c r="AH55" i="193"/>
  <c r="AI55" i="193" s="1"/>
  <c r="AH52" i="193"/>
  <c r="AI52" i="193" s="1"/>
  <c r="AH62" i="193"/>
  <c r="AI62" i="193" s="1"/>
  <c r="AH11" i="193"/>
  <c r="AI11" i="193" s="1"/>
  <c r="AH6" i="193"/>
  <c r="AI6" i="193" s="1"/>
  <c r="AH49" i="193"/>
  <c r="AI49" i="193" s="1"/>
  <c r="AH50" i="193"/>
  <c r="AI50" i="193" s="1"/>
  <c r="AH64" i="193"/>
  <c r="AI64" i="193" s="1"/>
  <c r="AH13" i="193"/>
  <c r="AI13" i="193" s="1"/>
  <c r="AH8" i="193"/>
  <c r="AI8" i="193" s="1"/>
  <c r="AH15" i="193"/>
  <c r="AI15" i="193" s="1"/>
  <c r="AH10" i="193"/>
  <c r="AI10" i="193" s="1"/>
  <c r="AH51" i="193"/>
  <c r="AI51" i="193" s="1"/>
  <c r="AH59" i="193"/>
  <c r="AI59" i="193" s="1"/>
  <c r="AH5" i="193"/>
  <c r="AI5" i="193" s="1"/>
  <c r="AH17" i="193"/>
  <c r="AI17" i="193" s="1"/>
  <c r="AH57" i="193"/>
  <c r="AI57" i="193" s="1"/>
  <c r="AH58" i="193"/>
  <c r="AI58" i="193" s="1"/>
  <c r="AH60" i="193"/>
  <c r="AI60" i="193" s="1"/>
  <c r="AH63" i="193"/>
  <c r="AI63" i="193" s="1"/>
  <c r="AH12" i="193"/>
  <c r="AI12" i="193" s="1"/>
  <c r="AH47" i="193"/>
  <c r="AI47" i="193" s="1"/>
  <c r="AH7" i="193"/>
  <c r="AI7" i="193" s="1"/>
  <c r="AH43" i="193"/>
  <c r="AI43" i="193" s="1"/>
  <c r="AH56" i="193"/>
  <c r="AI56" i="193" s="1"/>
  <c r="AH61" i="193"/>
  <c r="AI61" i="193" s="1"/>
  <c r="AH65" i="193"/>
  <c r="AI65" i="193" s="1"/>
  <c r="AH54" i="193"/>
  <c r="AI54" i="193" s="1"/>
  <c r="AH35" i="193"/>
  <c r="AI35" i="193" s="1"/>
  <c r="AH9" i="193"/>
  <c r="AI9" i="193" s="1"/>
  <c r="AH21" i="193"/>
  <c r="AI21" i="193" s="1"/>
  <c r="AH29" i="193"/>
  <c r="AI29" i="193" s="1"/>
  <c r="AH24" i="193"/>
  <c r="AI24" i="193" s="1"/>
  <c r="AH16" i="193"/>
  <c r="AI16" i="193" s="1"/>
  <c r="AH27" i="193"/>
  <c r="AI27" i="193" s="1"/>
  <c r="AH18" i="193"/>
  <c r="AI18" i="193" s="1"/>
  <c r="AH30" i="193"/>
  <c r="AI30" i="193" s="1"/>
  <c r="AH20" i="193"/>
  <c r="AI20" i="193" s="1"/>
  <c r="AH25" i="193"/>
  <c r="AI25" i="193" s="1"/>
  <c r="AH4" i="193"/>
  <c r="AI4" i="193" s="1"/>
  <c r="AH14" i="193"/>
  <c r="AI14" i="193" s="1"/>
  <c r="AH22" i="193"/>
  <c r="AI22" i="193" s="1"/>
  <c r="AH28" i="193"/>
  <c r="AI28" i="193" s="1"/>
  <c r="AH23" i="193"/>
  <c r="AI23" i="193" s="1"/>
  <c r="AH26" i="193"/>
  <c r="AI26" i="193" s="1"/>
  <c r="AH19" i="193"/>
  <c r="AI19" i="193" s="1"/>
  <c r="AH3" i="193"/>
  <c r="AI3" i="193" s="1"/>
  <c r="AH176" i="193"/>
  <c r="AH175" i="193"/>
  <c r="AH173" i="193"/>
  <c r="AH174" i="193"/>
  <c r="AH66" i="193"/>
  <c r="AI66" i="193" s="1"/>
  <c r="AH32" i="193"/>
  <c r="AI32" i="193" s="1"/>
  <c r="AH34" i="193"/>
  <c r="AI34" i="193" s="1"/>
  <c r="AH31" i="193"/>
  <c r="AI31" i="193" s="1"/>
  <c r="AH33" i="193"/>
  <c r="AI33" i="193" s="1"/>
  <c r="R15" i="191"/>
  <c r="R9" i="191"/>
  <c r="R4" i="191"/>
  <c r="R11" i="191"/>
  <c r="R6" i="191"/>
  <c r="R13" i="191"/>
  <c r="R8" i="191"/>
  <c r="R16" i="191"/>
  <c r="R10" i="191"/>
  <c r="R23" i="191"/>
  <c r="R35" i="191"/>
  <c r="R5" i="191"/>
  <c r="R12" i="191"/>
  <c r="R25" i="191"/>
  <c r="R37" i="191"/>
  <c r="R7" i="191"/>
  <c r="R20" i="191"/>
  <c r="R26" i="191"/>
  <c r="R41" i="191"/>
  <c r="R53" i="191"/>
  <c r="R22" i="191"/>
  <c r="R28" i="191"/>
  <c r="R45" i="191"/>
  <c r="R30" i="191"/>
  <c r="R24" i="191"/>
  <c r="R27" i="191"/>
  <c r="R36" i="191"/>
  <c r="R49" i="191"/>
  <c r="R56" i="191"/>
  <c r="R60" i="191"/>
  <c r="R18" i="191"/>
  <c r="R46" i="191"/>
  <c r="R33" i="191"/>
  <c r="R47" i="191"/>
  <c r="R19" i="191"/>
  <c r="R65" i="191"/>
  <c r="R34" i="191"/>
  <c r="R48" i="191"/>
  <c r="R73" i="191"/>
  <c r="R31" i="191"/>
  <c r="R32" i="191"/>
  <c r="R29" i="191"/>
  <c r="R42" i="191"/>
  <c r="R40" i="191"/>
  <c r="R50" i="191"/>
  <c r="R51" i="191"/>
  <c r="R52" i="191"/>
  <c r="R17" i="191"/>
  <c r="R55" i="191"/>
  <c r="R21" i="191"/>
  <c r="R43" i="191"/>
  <c r="R72" i="191"/>
  <c r="R80" i="191"/>
  <c r="R38" i="191"/>
  <c r="R58" i="191"/>
  <c r="R66" i="191"/>
  <c r="R67" i="191"/>
  <c r="R68" i="191"/>
  <c r="R75" i="191"/>
  <c r="R87" i="191"/>
  <c r="R64" i="191"/>
  <c r="R77" i="191"/>
  <c r="R89" i="191"/>
  <c r="R101" i="191"/>
  <c r="R61" i="191"/>
  <c r="R69" i="191"/>
  <c r="R39" i="191"/>
  <c r="R59" i="191"/>
  <c r="R63" i="191"/>
  <c r="R70" i="191"/>
  <c r="R81" i="191"/>
  <c r="R54" i="191"/>
  <c r="R71" i="191"/>
  <c r="R76" i="191"/>
  <c r="R88" i="191"/>
  <c r="R44" i="191"/>
  <c r="R62" i="191"/>
  <c r="R57" i="191"/>
  <c r="R78" i="191"/>
  <c r="R85" i="191"/>
  <c r="R95" i="191"/>
  <c r="R98" i="191"/>
  <c r="R103" i="191"/>
  <c r="R79" i="191"/>
  <c r="R82" i="191"/>
  <c r="R96" i="191"/>
  <c r="R112" i="191"/>
  <c r="R86" i="191"/>
  <c r="R90" i="191"/>
  <c r="R91" i="191"/>
  <c r="R83" i="191"/>
  <c r="R102" i="191"/>
  <c r="R93" i="191"/>
  <c r="R97" i="191"/>
  <c r="R111" i="191"/>
  <c r="R84" i="191"/>
  <c r="R94" i="191"/>
  <c r="R74" i="191"/>
  <c r="R108" i="191"/>
  <c r="R105" i="191"/>
  <c r="R127" i="191"/>
  <c r="R92" i="191"/>
  <c r="R110" i="191"/>
  <c r="R109" i="191"/>
  <c r="R117" i="191"/>
  <c r="R124" i="191"/>
  <c r="R136" i="191"/>
  <c r="R148" i="191"/>
  <c r="R113" i="191"/>
  <c r="R106" i="191"/>
  <c r="R114" i="191"/>
  <c r="R99" i="191"/>
  <c r="R115" i="191"/>
  <c r="R121" i="191"/>
  <c r="R123" i="191"/>
  <c r="R135" i="191"/>
  <c r="R104" i="191"/>
  <c r="R100" i="191"/>
  <c r="R116" i="191"/>
  <c r="R125" i="191"/>
  <c r="R107" i="191"/>
  <c r="R119" i="191"/>
  <c r="R132" i="191"/>
  <c r="R129" i="191"/>
  <c r="R140" i="191"/>
  <c r="R149" i="191"/>
  <c r="R160" i="191"/>
  <c r="R155" i="191"/>
  <c r="R167" i="191"/>
  <c r="R144" i="191"/>
  <c r="R126" i="191"/>
  <c r="R133" i="191"/>
  <c r="R141" i="191"/>
  <c r="R147" i="191"/>
  <c r="R157" i="191"/>
  <c r="R169" i="191"/>
  <c r="R150" i="191"/>
  <c r="R152" i="191"/>
  <c r="R130" i="191"/>
  <c r="R142" i="191"/>
  <c r="R137" i="191"/>
  <c r="R145" i="191"/>
  <c r="R154" i="191"/>
  <c r="R118" i="191"/>
  <c r="R120" i="191"/>
  <c r="R161" i="191"/>
  <c r="R138" i="191"/>
  <c r="R156" i="191"/>
  <c r="R168" i="191"/>
  <c r="R128" i="191"/>
  <c r="R131" i="191"/>
  <c r="R143" i="191"/>
  <c r="R151" i="191"/>
  <c r="R134" i="191"/>
  <c r="R139" i="191"/>
  <c r="R122" i="191"/>
  <c r="R146" i="191"/>
  <c r="R153" i="191"/>
  <c r="R165" i="191"/>
  <c r="R166" i="191"/>
  <c r="R171" i="191"/>
  <c r="R163" i="191"/>
  <c r="R170" i="191"/>
  <c r="R3" i="191"/>
  <c r="R159" i="191"/>
  <c r="R158" i="191"/>
  <c r="R162" i="191"/>
  <c r="R164" i="191"/>
  <c r="R174" i="191"/>
  <c r="R175" i="191"/>
  <c r="R172" i="191"/>
  <c r="R176" i="191"/>
  <c r="R173" i="191"/>
  <c r="S1" i="191"/>
  <c r="S14" i="191" s="1"/>
  <c r="F15" i="189"/>
  <c r="F27" i="189"/>
  <c r="F10" i="189"/>
  <c r="F22" i="189"/>
  <c r="F34" i="189"/>
  <c r="F5" i="189"/>
  <c r="F17" i="189"/>
  <c r="F29" i="189"/>
  <c r="F12" i="189"/>
  <c r="F24" i="189"/>
  <c r="F36" i="189"/>
  <c r="F7" i="189"/>
  <c r="F19" i="189"/>
  <c r="F31" i="189"/>
  <c r="F14" i="189"/>
  <c r="F26" i="189"/>
  <c r="F9" i="189"/>
  <c r="F25" i="189"/>
  <c r="F43" i="189"/>
  <c r="F32" i="189"/>
  <c r="F38" i="189"/>
  <c r="F50" i="189"/>
  <c r="F33" i="189"/>
  <c r="F45" i="189"/>
  <c r="F16" i="189"/>
  <c r="F40" i="189"/>
  <c r="F52" i="189"/>
  <c r="F23" i="189"/>
  <c r="F47" i="189"/>
  <c r="F30" i="189"/>
  <c r="F42" i="189"/>
  <c r="F54" i="189"/>
  <c r="F21" i="189"/>
  <c r="F39" i="189"/>
  <c r="F51" i="189"/>
  <c r="F63" i="189"/>
  <c r="F6" i="189"/>
  <c r="F8" i="189"/>
  <c r="F58" i="189"/>
  <c r="F70" i="189"/>
  <c r="F18" i="189"/>
  <c r="F20" i="189"/>
  <c r="F65" i="189"/>
  <c r="F35" i="189"/>
  <c r="F37" i="189"/>
  <c r="F41" i="189"/>
  <c r="F60" i="189"/>
  <c r="F72" i="189"/>
  <c r="F13" i="189"/>
  <c r="F55" i="189"/>
  <c r="F67" i="189"/>
  <c r="F11" i="189"/>
  <c r="F28" i="189"/>
  <c r="F44" i="189"/>
  <c r="F62" i="189"/>
  <c r="F59" i="189"/>
  <c r="F71" i="189"/>
  <c r="F69" i="189"/>
  <c r="F81" i="189"/>
  <c r="F57" i="189"/>
  <c r="F68" i="189"/>
  <c r="F76" i="189"/>
  <c r="F88" i="189"/>
  <c r="F56" i="189"/>
  <c r="F83" i="189"/>
  <c r="F78" i="189"/>
  <c r="F90" i="189"/>
  <c r="F85" i="189"/>
  <c r="F73" i="189"/>
  <c r="F80" i="189"/>
  <c r="F92" i="189"/>
  <c r="F64" i="189"/>
  <c r="F77" i="189"/>
  <c r="F89" i="189"/>
  <c r="F53" i="189"/>
  <c r="F84" i="189"/>
  <c r="F49" i="189"/>
  <c r="F66" i="189"/>
  <c r="F79" i="189"/>
  <c r="F91" i="189"/>
  <c r="F94" i="189"/>
  <c r="F106" i="189"/>
  <c r="F82" i="189"/>
  <c r="F101" i="189"/>
  <c r="F113" i="189"/>
  <c r="F96" i="189"/>
  <c r="F108" i="189"/>
  <c r="F61" i="189"/>
  <c r="F87" i="189"/>
  <c r="F103" i="189"/>
  <c r="F115" i="189"/>
  <c r="F98" i="189"/>
  <c r="F110" i="189"/>
  <c r="F86" i="189"/>
  <c r="F102" i="189"/>
  <c r="F114" i="189"/>
  <c r="F48" i="189"/>
  <c r="F97" i="189"/>
  <c r="F109" i="189"/>
  <c r="F104" i="189"/>
  <c r="F116" i="189"/>
  <c r="F93" i="189"/>
  <c r="F126" i="189"/>
  <c r="F138" i="189"/>
  <c r="F75" i="189"/>
  <c r="F100" i="189"/>
  <c r="F121" i="189"/>
  <c r="F133" i="189"/>
  <c r="F107" i="189"/>
  <c r="F128" i="189"/>
  <c r="F99" i="189"/>
  <c r="F123" i="189"/>
  <c r="F135" i="189"/>
  <c r="F105" i="189"/>
  <c r="F118" i="189"/>
  <c r="F130" i="189"/>
  <c r="F112" i="189"/>
  <c r="F125" i="189"/>
  <c r="F120" i="189"/>
  <c r="F132" i="189"/>
  <c r="F117" i="189"/>
  <c r="F122" i="189"/>
  <c r="F134" i="189"/>
  <c r="F46" i="189"/>
  <c r="F129" i="189"/>
  <c r="F127" i="189"/>
  <c r="F149" i="189"/>
  <c r="F161" i="189"/>
  <c r="F95" i="189"/>
  <c r="F124" i="189"/>
  <c r="F144" i="189"/>
  <c r="F156" i="189"/>
  <c r="F151" i="189"/>
  <c r="F163" i="189"/>
  <c r="F146" i="189"/>
  <c r="F158" i="189"/>
  <c r="F141" i="189"/>
  <c r="F153" i="189"/>
  <c r="F148" i="189"/>
  <c r="F160" i="189"/>
  <c r="F74" i="189"/>
  <c r="F131" i="189"/>
  <c r="F137" i="189"/>
  <c r="F145" i="189"/>
  <c r="F157" i="189"/>
  <c r="F140" i="189"/>
  <c r="F152" i="189"/>
  <c r="F136" i="189"/>
  <c r="F147" i="189"/>
  <c r="F159" i="189"/>
  <c r="F155" i="189"/>
  <c r="F166" i="189"/>
  <c r="F142" i="189"/>
  <c r="F119" i="189"/>
  <c r="F3" i="189"/>
  <c r="F111" i="189"/>
  <c r="F168" i="189"/>
  <c r="F165" i="189"/>
  <c r="F164" i="189"/>
  <c r="F139" i="189"/>
  <c r="F150" i="189"/>
  <c r="F170" i="189"/>
  <c r="F162" i="189"/>
  <c r="F167" i="189"/>
  <c r="F169" i="189"/>
  <c r="F154" i="189"/>
  <c r="F143" i="189"/>
  <c r="E10" i="189"/>
  <c r="E22" i="189"/>
  <c r="E34" i="189"/>
  <c r="E5" i="189"/>
  <c r="E17" i="189"/>
  <c r="E29" i="189"/>
  <c r="E12" i="189"/>
  <c r="E24" i="189"/>
  <c r="E36" i="189"/>
  <c r="E7" i="189"/>
  <c r="E19" i="189"/>
  <c r="E31" i="189"/>
  <c r="E14" i="189"/>
  <c r="E26" i="189"/>
  <c r="E9" i="189"/>
  <c r="E21" i="189"/>
  <c r="E33" i="189"/>
  <c r="E32" i="189"/>
  <c r="E38" i="189"/>
  <c r="E50" i="189"/>
  <c r="E15" i="189"/>
  <c r="E45" i="189"/>
  <c r="E16" i="189"/>
  <c r="E40" i="189"/>
  <c r="E52" i="189"/>
  <c r="E23" i="189"/>
  <c r="E47" i="189"/>
  <c r="E30" i="189"/>
  <c r="E42" i="189"/>
  <c r="E54" i="189"/>
  <c r="E13" i="189"/>
  <c r="E37" i="189"/>
  <c r="E49" i="189"/>
  <c r="E28" i="189"/>
  <c r="E46" i="189"/>
  <c r="E6" i="189"/>
  <c r="E8" i="189"/>
  <c r="E39" i="189"/>
  <c r="E58" i="189"/>
  <c r="E70" i="189"/>
  <c r="E18" i="189"/>
  <c r="E20" i="189"/>
  <c r="E65" i="189"/>
  <c r="E35" i="189"/>
  <c r="E41" i="189"/>
  <c r="E60" i="189"/>
  <c r="E72" i="189"/>
  <c r="E55" i="189"/>
  <c r="E67" i="189"/>
  <c r="E11" i="189"/>
  <c r="E44" i="189"/>
  <c r="E62" i="189"/>
  <c r="E43" i="189"/>
  <c r="E53" i="189"/>
  <c r="E57" i="189"/>
  <c r="E69" i="189"/>
  <c r="E66" i="189"/>
  <c r="E68" i="189"/>
  <c r="E76" i="189"/>
  <c r="E88" i="189"/>
  <c r="E25" i="189"/>
  <c r="E56" i="189"/>
  <c r="E83" i="189"/>
  <c r="E71" i="189"/>
  <c r="E78" i="189"/>
  <c r="E90" i="189"/>
  <c r="E59" i="189"/>
  <c r="E85" i="189"/>
  <c r="E73" i="189"/>
  <c r="E80" i="189"/>
  <c r="E92" i="189"/>
  <c r="E48" i="189"/>
  <c r="E61" i="189"/>
  <c r="E75" i="189"/>
  <c r="E87" i="189"/>
  <c r="E63" i="189"/>
  <c r="E84" i="189"/>
  <c r="E79" i="189"/>
  <c r="E91" i="189"/>
  <c r="E51" i="189"/>
  <c r="E74" i="189"/>
  <c r="E86" i="189"/>
  <c r="E27" i="189"/>
  <c r="E82" i="189"/>
  <c r="E101" i="189"/>
  <c r="E113" i="189"/>
  <c r="E64" i="189"/>
  <c r="E96" i="189"/>
  <c r="E108" i="189"/>
  <c r="E103" i="189"/>
  <c r="E115" i="189"/>
  <c r="E98" i="189"/>
  <c r="E110" i="189"/>
  <c r="E93" i="189"/>
  <c r="E105" i="189"/>
  <c r="E117" i="189"/>
  <c r="E97" i="189"/>
  <c r="E109" i="189"/>
  <c r="E104" i="189"/>
  <c r="E116" i="189"/>
  <c r="E77" i="189"/>
  <c r="E99" i="189"/>
  <c r="E111" i="189"/>
  <c r="E100" i="189"/>
  <c r="E121" i="189"/>
  <c r="E133" i="189"/>
  <c r="E107" i="189"/>
  <c r="E128" i="189"/>
  <c r="E89" i="189"/>
  <c r="E114" i="189"/>
  <c r="E123" i="189"/>
  <c r="E135" i="189"/>
  <c r="E106" i="189"/>
  <c r="E118" i="189"/>
  <c r="E130" i="189"/>
  <c r="E81" i="189"/>
  <c r="E112" i="189"/>
  <c r="E125" i="189"/>
  <c r="E137" i="189"/>
  <c r="E120" i="189"/>
  <c r="E132" i="189"/>
  <c r="E127" i="189"/>
  <c r="E129" i="189"/>
  <c r="E95" i="189"/>
  <c r="E124" i="189"/>
  <c r="E136" i="189"/>
  <c r="E144" i="189"/>
  <c r="E156" i="189"/>
  <c r="E151" i="189"/>
  <c r="E163" i="189"/>
  <c r="E146" i="189"/>
  <c r="E158" i="189"/>
  <c r="E141" i="189"/>
  <c r="E153" i="189"/>
  <c r="E148" i="189"/>
  <c r="E126" i="189"/>
  <c r="E143" i="189"/>
  <c r="E155" i="189"/>
  <c r="E140" i="189"/>
  <c r="E152" i="189"/>
  <c r="E122" i="189"/>
  <c r="E147" i="189"/>
  <c r="E159" i="189"/>
  <c r="E119" i="189"/>
  <c r="E142" i="189"/>
  <c r="E154" i="189"/>
  <c r="E166" i="189"/>
  <c r="E138" i="189"/>
  <c r="E145" i="189"/>
  <c r="E162" i="189"/>
  <c r="E168" i="189"/>
  <c r="E134" i="189"/>
  <c r="E139" i="189"/>
  <c r="E150" i="189"/>
  <c r="E170" i="189"/>
  <c r="E94" i="189"/>
  <c r="E165" i="189"/>
  <c r="E167" i="189"/>
  <c r="E149" i="189"/>
  <c r="E157" i="189"/>
  <c r="E160" i="189"/>
  <c r="E164" i="189"/>
  <c r="E3" i="189"/>
  <c r="E161" i="189"/>
  <c r="E169" i="189"/>
  <c r="E102" i="189"/>
  <c r="E131" i="189"/>
  <c r="F173" i="189"/>
  <c r="F174" i="189"/>
  <c r="F172" i="189"/>
  <c r="F171" i="189"/>
  <c r="F175" i="189"/>
  <c r="G1" i="189"/>
  <c r="G4" i="189" s="1"/>
  <c r="T6" i="186"/>
  <c r="T7" i="186"/>
  <c r="T8" i="186"/>
  <c r="T9" i="186"/>
  <c r="T10" i="186"/>
  <c r="T11" i="186"/>
  <c r="T12" i="186"/>
  <c r="T13" i="186"/>
  <c r="T14" i="186"/>
  <c r="T15" i="186"/>
  <c r="T16" i="186"/>
  <c r="S7" i="191" l="1"/>
  <c r="S9" i="191"/>
  <c r="S4" i="191"/>
  <c r="S17" i="191"/>
  <c r="S11" i="191"/>
  <c r="S6" i="191"/>
  <c r="S13" i="191"/>
  <c r="S8" i="191"/>
  <c r="S16" i="191"/>
  <c r="S28" i="191"/>
  <c r="S10" i="191"/>
  <c r="S5" i="191"/>
  <c r="S18" i="191"/>
  <c r="S30" i="191"/>
  <c r="S12" i="191"/>
  <c r="S15" i="191"/>
  <c r="S46" i="191"/>
  <c r="S21" i="191"/>
  <c r="S38" i="191"/>
  <c r="S23" i="191"/>
  <c r="S36" i="191"/>
  <c r="S20" i="191"/>
  <c r="S29" i="191"/>
  <c r="S42" i="191"/>
  <c r="S52" i="191"/>
  <c r="S61" i="191"/>
  <c r="S44" i="191"/>
  <c r="S53" i="191"/>
  <c r="S35" i="191"/>
  <c r="S26" i="191"/>
  <c r="S43" i="191"/>
  <c r="S19" i="191"/>
  <c r="S41" i="191"/>
  <c r="S56" i="191"/>
  <c r="S62" i="191"/>
  <c r="S37" i="191"/>
  <c r="S57" i="191"/>
  <c r="S33" i="191"/>
  <c r="S34" i="191"/>
  <c r="S31" i="191"/>
  <c r="S32" i="191"/>
  <c r="S39" i="191"/>
  <c r="S27" i="191"/>
  <c r="S24" i="191"/>
  <c r="S25" i="191"/>
  <c r="S47" i="191"/>
  <c r="S60" i="191"/>
  <c r="S22" i="191"/>
  <c r="S45" i="191"/>
  <c r="S54" i="191"/>
  <c r="S49" i="191"/>
  <c r="S55" i="191"/>
  <c r="S72" i="191"/>
  <c r="S80" i="191"/>
  <c r="S92" i="191"/>
  <c r="S58" i="191"/>
  <c r="S65" i="191"/>
  <c r="S66" i="191"/>
  <c r="S67" i="191"/>
  <c r="S68" i="191"/>
  <c r="S82" i="191"/>
  <c r="S94" i="191"/>
  <c r="S64" i="191"/>
  <c r="S69" i="191"/>
  <c r="S51" i="191"/>
  <c r="S59" i="191"/>
  <c r="S63" i="191"/>
  <c r="S70" i="191"/>
  <c r="S79" i="191"/>
  <c r="S48" i="191"/>
  <c r="S81" i="191"/>
  <c r="S71" i="191"/>
  <c r="S40" i="191"/>
  <c r="S50" i="191"/>
  <c r="S74" i="191"/>
  <c r="S78" i="191"/>
  <c r="S90" i="191"/>
  <c r="S108" i="191"/>
  <c r="S87" i="191"/>
  <c r="S105" i="191"/>
  <c r="S117" i="191"/>
  <c r="S73" i="191"/>
  <c r="S77" i="191"/>
  <c r="S86" i="191"/>
  <c r="S91" i="191"/>
  <c r="S89" i="191"/>
  <c r="S99" i="191"/>
  <c r="S76" i="191"/>
  <c r="S83" i="191"/>
  <c r="S75" i="191"/>
  <c r="S85" i="191"/>
  <c r="S104" i="191"/>
  <c r="S93" i="191"/>
  <c r="S88" i="191"/>
  <c r="S100" i="191"/>
  <c r="S84" i="191"/>
  <c r="S101" i="191"/>
  <c r="S107" i="191"/>
  <c r="S119" i="191"/>
  <c r="S132" i="191"/>
  <c r="S96" i="191"/>
  <c r="S111" i="191"/>
  <c r="S102" i="191"/>
  <c r="S110" i="191"/>
  <c r="S112" i="191"/>
  <c r="S129" i="191"/>
  <c r="S141" i="191"/>
  <c r="S97" i="191"/>
  <c r="S109" i="191"/>
  <c r="S98" i="191"/>
  <c r="S103" i="191"/>
  <c r="S113" i="191"/>
  <c r="S106" i="191"/>
  <c r="S126" i="191"/>
  <c r="S114" i="191"/>
  <c r="S118" i="191"/>
  <c r="S128" i="191"/>
  <c r="S140" i="191"/>
  <c r="S115" i="191"/>
  <c r="S130" i="191"/>
  <c r="S95" i="191"/>
  <c r="S116" i="191"/>
  <c r="S125" i="191"/>
  <c r="S122" i="191"/>
  <c r="S146" i="191"/>
  <c r="S153" i="191"/>
  <c r="S149" i="191"/>
  <c r="S160" i="191"/>
  <c r="S155" i="191"/>
  <c r="S133" i="191"/>
  <c r="S144" i="191"/>
  <c r="S162" i="191"/>
  <c r="S123" i="191"/>
  <c r="S147" i="191"/>
  <c r="S157" i="191"/>
  <c r="S127" i="191"/>
  <c r="S136" i="191"/>
  <c r="S150" i="191"/>
  <c r="S152" i="191"/>
  <c r="S142" i="191"/>
  <c r="S159" i="191"/>
  <c r="S124" i="191"/>
  <c r="S137" i="191"/>
  <c r="S145" i="191"/>
  <c r="S154" i="191"/>
  <c r="S120" i="191"/>
  <c r="S135" i="191"/>
  <c r="S148" i="191"/>
  <c r="S161" i="191"/>
  <c r="S138" i="191"/>
  <c r="S121" i="191"/>
  <c r="S131" i="191"/>
  <c r="S143" i="191"/>
  <c r="S151" i="191"/>
  <c r="S134" i="191"/>
  <c r="S139" i="191"/>
  <c r="S158" i="191"/>
  <c r="S164" i="191"/>
  <c r="S167" i="191"/>
  <c r="S156" i="191"/>
  <c r="S163" i="191"/>
  <c r="S170" i="191"/>
  <c r="S166" i="191"/>
  <c r="S171" i="191"/>
  <c r="S169" i="191"/>
  <c r="S165" i="191"/>
  <c r="S3" i="191"/>
  <c r="S168" i="191"/>
  <c r="S173" i="191"/>
  <c r="S176" i="191"/>
  <c r="S172" i="191"/>
  <c r="S175" i="191"/>
  <c r="S174" i="191"/>
  <c r="T1" i="191"/>
  <c r="T14" i="191" s="1"/>
  <c r="G8" i="189"/>
  <c r="G20" i="189"/>
  <c r="G32" i="189"/>
  <c r="G15" i="189"/>
  <c r="G27" i="189"/>
  <c r="G10" i="189"/>
  <c r="G22" i="189"/>
  <c r="G34" i="189"/>
  <c r="G5" i="189"/>
  <c r="G17" i="189"/>
  <c r="G29" i="189"/>
  <c r="G12" i="189"/>
  <c r="G24" i="189"/>
  <c r="G36" i="189"/>
  <c r="G7" i="189"/>
  <c r="G19" i="189"/>
  <c r="G31" i="189"/>
  <c r="G11" i="189"/>
  <c r="G18" i="189"/>
  <c r="G48" i="189"/>
  <c r="G25" i="189"/>
  <c r="G43" i="189"/>
  <c r="G26" i="189"/>
  <c r="G38" i="189"/>
  <c r="G50" i="189"/>
  <c r="G33" i="189"/>
  <c r="G45" i="189"/>
  <c r="G16" i="189"/>
  <c r="G40" i="189"/>
  <c r="G52" i="189"/>
  <c r="G23" i="189"/>
  <c r="G47" i="189"/>
  <c r="G6" i="189"/>
  <c r="G14" i="189"/>
  <c r="G44" i="189"/>
  <c r="G51" i="189"/>
  <c r="G56" i="189"/>
  <c r="G68" i="189"/>
  <c r="G39" i="189"/>
  <c r="G63" i="189"/>
  <c r="G58" i="189"/>
  <c r="G70" i="189"/>
  <c r="G42" i="189"/>
  <c r="G65" i="189"/>
  <c r="G35" i="189"/>
  <c r="G37" i="189"/>
  <c r="G41" i="189"/>
  <c r="G60" i="189"/>
  <c r="G72" i="189"/>
  <c r="G9" i="189"/>
  <c r="G13" i="189"/>
  <c r="G55" i="189"/>
  <c r="G67" i="189"/>
  <c r="G21" i="189"/>
  <c r="G46" i="189"/>
  <c r="G54" i="189"/>
  <c r="G64" i="189"/>
  <c r="G30" i="189"/>
  <c r="G74" i="189"/>
  <c r="G86" i="189"/>
  <c r="G69" i="189"/>
  <c r="G81" i="189"/>
  <c r="G57" i="189"/>
  <c r="G76" i="189"/>
  <c r="G88" i="189"/>
  <c r="G71" i="189"/>
  <c r="G83" i="189"/>
  <c r="G59" i="189"/>
  <c r="G78" i="189"/>
  <c r="G90" i="189"/>
  <c r="G85" i="189"/>
  <c r="G82" i="189"/>
  <c r="G77" i="189"/>
  <c r="G89" i="189"/>
  <c r="G53" i="189"/>
  <c r="G84" i="189"/>
  <c r="G99" i="189"/>
  <c r="G111" i="189"/>
  <c r="G28" i="189"/>
  <c r="G94" i="189"/>
  <c r="G106" i="189"/>
  <c r="G79" i="189"/>
  <c r="G101" i="189"/>
  <c r="G113" i="189"/>
  <c r="G96" i="189"/>
  <c r="G108" i="189"/>
  <c r="G61" i="189"/>
  <c r="G87" i="189"/>
  <c r="G103" i="189"/>
  <c r="G115" i="189"/>
  <c r="G66" i="189"/>
  <c r="G95" i="189"/>
  <c r="G107" i="189"/>
  <c r="G80" i="189"/>
  <c r="G102" i="189"/>
  <c r="G114" i="189"/>
  <c r="G97" i="189"/>
  <c r="G109" i="189"/>
  <c r="G119" i="189"/>
  <c r="G131" i="189"/>
  <c r="G93" i="189"/>
  <c r="G126" i="189"/>
  <c r="G138" i="189"/>
  <c r="G75" i="189"/>
  <c r="G100" i="189"/>
  <c r="G121" i="189"/>
  <c r="G133" i="189"/>
  <c r="G128" i="189"/>
  <c r="G98" i="189"/>
  <c r="G123" i="189"/>
  <c r="G135" i="189"/>
  <c r="G105" i="189"/>
  <c r="G118" i="189"/>
  <c r="G130" i="189"/>
  <c r="G112" i="189"/>
  <c r="G125" i="189"/>
  <c r="G137" i="189"/>
  <c r="G110" i="189"/>
  <c r="G127" i="189"/>
  <c r="G139" i="189"/>
  <c r="G62" i="189"/>
  <c r="G73" i="189"/>
  <c r="G92" i="189"/>
  <c r="G117" i="189"/>
  <c r="G122" i="189"/>
  <c r="G134" i="189"/>
  <c r="G104" i="189"/>
  <c r="G142" i="189"/>
  <c r="G154" i="189"/>
  <c r="G149" i="189"/>
  <c r="G161" i="189"/>
  <c r="G49" i="189"/>
  <c r="G124" i="189"/>
  <c r="G144" i="189"/>
  <c r="G156" i="189"/>
  <c r="G132" i="189"/>
  <c r="G151" i="189"/>
  <c r="G163" i="189"/>
  <c r="G129" i="189"/>
  <c r="G146" i="189"/>
  <c r="G158" i="189"/>
  <c r="G141" i="189"/>
  <c r="G153" i="189"/>
  <c r="G116" i="189"/>
  <c r="G150" i="189"/>
  <c r="G162" i="189"/>
  <c r="G145" i="189"/>
  <c r="G157" i="189"/>
  <c r="G140" i="189"/>
  <c r="G152" i="189"/>
  <c r="G120" i="189"/>
  <c r="G148" i="189"/>
  <c r="G164" i="189"/>
  <c r="G3" i="189"/>
  <c r="G170" i="189"/>
  <c r="G169" i="189"/>
  <c r="G159" i="189"/>
  <c r="G166" i="189"/>
  <c r="G91" i="189"/>
  <c r="G165" i="189"/>
  <c r="G168" i="189"/>
  <c r="G147" i="189"/>
  <c r="G155" i="189"/>
  <c r="G136" i="189"/>
  <c r="G143" i="189"/>
  <c r="G160" i="189"/>
  <c r="G167" i="189"/>
  <c r="G174" i="189"/>
  <c r="G175" i="189"/>
  <c r="G171" i="189"/>
  <c r="G172" i="189"/>
  <c r="G173" i="189"/>
  <c r="H1" i="189"/>
  <c r="H4" i="189" s="1"/>
  <c r="Q11" i="186"/>
  <c r="Q10" i="186"/>
  <c r="T12" i="191" l="1"/>
  <c r="T7" i="191"/>
  <c r="T15" i="191"/>
  <c r="T9" i="191"/>
  <c r="T4" i="191"/>
  <c r="T11" i="191"/>
  <c r="T6" i="191"/>
  <c r="T13" i="191"/>
  <c r="T8" i="191"/>
  <c r="T21" i="191"/>
  <c r="T33" i="191"/>
  <c r="T16" i="191"/>
  <c r="T10" i="191"/>
  <c r="T23" i="191"/>
  <c r="T35" i="191"/>
  <c r="T5" i="191"/>
  <c r="T32" i="191"/>
  <c r="T39" i="191"/>
  <c r="T51" i="191"/>
  <c r="T17" i="191"/>
  <c r="T19" i="191"/>
  <c r="T34" i="191"/>
  <c r="T43" i="191"/>
  <c r="T29" i="191"/>
  <c r="T30" i="191"/>
  <c r="T36" i="191"/>
  <c r="T22" i="191"/>
  <c r="T48" i="191"/>
  <c r="T54" i="191"/>
  <c r="T66" i="191"/>
  <c r="T50" i="191"/>
  <c r="T58" i="191"/>
  <c r="T28" i="191"/>
  <c r="T37" i="191"/>
  <c r="T18" i="191"/>
  <c r="T46" i="191"/>
  <c r="T49" i="191"/>
  <c r="T55" i="191"/>
  <c r="T69" i="191"/>
  <c r="T65" i="191"/>
  <c r="T71" i="191"/>
  <c r="T38" i="191"/>
  <c r="T31" i="191"/>
  <c r="T44" i="191"/>
  <c r="T42" i="191"/>
  <c r="T26" i="191"/>
  <c r="T27" i="191"/>
  <c r="T53" i="191"/>
  <c r="T59" i="191"/>
  <c r="T24" i="191"/>
  <c r="T25" i="191"/>
  <c r="T40" i="191"/>
  <c r="T20" i="191"/>
  <c r="T45" i="191"/>
  <c r="T61" i="191"/>
  <c r="T78" i="191"/>
  <c r="T85" i="191"/>
  <c r="T47" i="191"/>
  <c r="T52" i="191"/>
  <c r="T41" i="191"/>
  <c r="T67" i="191"/>
  <c r="T68" i="191"/>
  <c r="T75" i="191"/>
  <c r="T87" i="191"/>
  <c r="T99" i="191"/>
  <c r="T64" i="191"/>
  <c r="T73" i="191"/>
  <c r="T63" i="191"/>
  <c r="T70" i="191"/>
  <c r="T79" i="191"/>
  <c r="T56" i="191"/>
  <c r="T86" i="191"/>
  <c r="T62" i="191"/>
  <c r="T76" i="191"/>
  <c r="T57" i="191"/>
  <c r="T60" i="191"/>
  <c r="T74" i="191"/>
  <c r="T83" i="191"/>
  <c r="T84" i="191"/>
  <c r="T80" i="191"/>
  <c r="T81" i="191"/>
  <c r="T82" i="191"/>
  <c r="T101" i="191"/>
  <c r="T110" i="191"/>
  <c r="T90" i="191"/>
  <c r="T77" i="191"/>
  <c r="T91" i="191"/>
  <c r="T107" i="191"/>
  <c r="T89" i="191"/>
  <c r="T72" i="191"/>
  <c r="T92" i="191"/>
  <c r="T102" i="191"/>
  <c r="T109" i="191"/>
  <c r="T93" i="191"/>
  <c r="T97" i="191"/>
  <c r="T88" i="191"/>
  <c r="T94" i="191"/>
  <c r="T100" i="191"/>
  <c r="T106" i="191"/>
  <c r="T95" i="191"/>
  <c r="T116" i="191"/>
  <c r="T125" i="191"/>
  <c r="T105" i="191"/>
  <c r="T96" i="191"/>
  <c r="T111" i="191"/>
  <c r="T122" i="191"/>
  <c r="T134" i="191"/>
  <c r="T146" i="191"/>
  <c r="T112" i="191"/>
  <c r="T98" i="191"/>
  <c r="T103" i="191"/>
  <c r="T108" i="191"/>
  <c r="T113" i="191"/>
  <c r="T120" i="191"/>
  <c r="T131" i="191"/>
  <c r="T114" i="191"/>
  <c r="T133" i="191"/>
  <c r="T118" i="191"/>
  <c r="T104" i="191"/>
  <c r="T115" i="191"/>
  <c r="T121" i="191"/>
  <c r="T123" i="191"/>
  <c r="T130" i="191"/>
  <c r="T117" i="191"/>
  <c r="T139" i="191"/>
  <c r="T158" i="191"/>
  <c r="T129" i="191"/>
  <c r="T140" i="191"/>
  <c r="T153" i="191"/>
  <c r="T165" i="191"/>
  <c r="T3" i="191"/>
  <c r="T149" i="191"/>
  <c r="T126" i="191"/>
  <c r="T141" i="191"/>
  <c r="T155" i="191"/>
  <c r="T167" i="191"/>
  <c r="T144" i="191"/>
  <c r="T119" i="191"/>
  <c r="T147" i="191"/>
  <c r="T127" i="191"/>
  <c r="T132" i="191"/>
  <c r="T136" i="191"/>
  <c r="T150" i="191"/>
  <c r="T152" i="191"/>
  <c r="T142" i="191"/>
  <c r="T159" i="191"/>
  <c r="T124" i="191"/>
  <c r="T137" i="191"/>
  <c r="T145" i="191"/>
  <c r="T154" i="191"/>
  <c r="T166" i="191"/>
  <c r="T135" i="191"/>
  <c r="T148" i="191"/>
  <c r="T128" i="191"/>
  <c r="T138" i="191"/>
  <c r="T143" i="191"/>
  <c r="T151" i="191"/>
  <c r="T163" i="191"/>
  <c r="T157" i="191"/>
  <c r="T164" i="191"/>
  <c r="T156" i="191"/>
  <c r="T170" i="191"/>
  <c r="T160" i="191"/>
  <c r="T171" i="191"/>
  <c r="T161" i="191"/>
  <c r="T169" i="191"/>
  <c r="T162" i="191"/>
  <c r="T168" i="191"/>
  <c r="T176" i="191"/>
  <c r="T172" i="191"/>
  <c r="T173" i="191"/>
  <c r="T175" i="191"/>
  <c r="T174" i="191"/>
  <c r="U1" i="191"/>
  <c r="U14" i="191" s="1"/>
  <c r="H13" i="189"/>
  <c r="H25" i="189"/>
  <c r="H37" i="189"/>
  <c r="H8" i="189"/>
  <c r="H20" i="189"/>
  <c r="H32" i="189"/>
  <c r="H15" i="189"/>
  <c r="H27" i="189"/>
  <c r="H10" i="189"/>
  <c r="H22" i="189"/>
  <c r="H34" i="189"/>
  <c r="H5" i="189"/>
  <c r="H17" i="189"/>
  <c r="H29" i="189"/>
  <c r="H12" i="189"/>
  <c r="H24" i="189"/>
  <c r="H36" i="189"/>
  <c r="H7" i="189"/>
  <c r="H35" i="189"/>
  <c r="H41" i="189"/>
  <c r="H53" i="189"/>
  <c r="H11" i="189"/>
  <c r="H18" i="189"/>
  <c r="H48" i="189"/>
  <c r="H19" i="189"/>
  <c r="H43" i="189"/>
  <c r="H26" i="189"/>
  <c r="H38" i="189"/>
  <c r="H50" i="189"/>
  <c r="H33" i="189"/>
  <c r="H45" i="189"/>
  <c r="H16" i="189"/>
  <c r="H40" i="189"/>
  <c r="H52" i="189"/>
  <c r="H31" i="189"/>
  <c r="H49" i="189"/>
  <c r="H61" i="189"/>
  <c r="H73" i="189"/>
  <c r="H51" i="189"/>
  <c r="H56" i="189"/>
  <c r="H68" i="189"/>
  <c r="H6" i="189"/>
  <c r="H39" i="189"/>
  <c r="H63" i="189"/>
  <c r="H58" i="189"/>
  <c r="H70" i="189"/>
  <c r="H42" i="189"/>
  <c r="H65" i="189"/>
  <c r="H60" i="189"/>
  <c r="H72" i="189"/>
  <c r="H47" i="189"/>
  <c r="H57" i="189"/>
  <c r="H69" i="189"/>
  <c r="H55" i="189"/>
  <c r="H66" i="189"/>
  <c r="H79" i="189"/>
  <c r="H91" i="189"/>
  <c r="H21" i="189"/>
  <c r="H30" i="189"/>
  <c r="H74" i="189"/>
  <c r="H86" i="189"/>
  <c r="H81" i="189"/>
  <c r="H76" i="189"/>
  <c r="H88" i="189"/>
  <c r="H54" i="189"/>
  <c r="H71" i="189"/>
  <c r="H83" i="189"/>
  <c r="H9" i="189"/>
  <c r="H59" i="189"/>
  <c r="H78" i="189"/>
  <c r="H90" i="189"/>
  <c r="H28" i="189"/>
  <c r="H75" i="189"/>
  <c r="H87" i="189"/>
  <c r="H64" i="189"/>
  <c r="H82" i="189"/>
  <c r="H77" i="189"/>
  <c r="H89" i="189"/>
  <c r="H85" i="189"/>
  <c r="H104" i="189"/>
  <c r="H116" i="189"/>
  <c r="H99" i="189"/>
  <c r="H111" i="189"/>
  <c r="H94" i="189"/>
  <c r="H106" i="189"/>
  <c r="H101" i="189"/>
  <c r="H113" i="189"/>
  <c r="H14" i="189"/>
  <c r="H44" i="189"/>
  <c r="H96" i="189"/>
  <c r="H108" i="189"/>
  <c r="H100" i="189"/>
  <c r="H112" i="189"/>
  <c r="H23" i="189"/>
  <c r="H95" i="189"/>
  <c r="H107" i="189"/>
  <c r="H80" i="189"/>
  <c r="H102" i="189"/>
  <c r="H114" i="189"/>
  <c r="H84" i="189"/>
  <c r="H115" i="189"/>
  <c r="H124" i="189"/>
  <c r="H136" i="189"/>
  <c r="H119" i="189"/>
  <c r="H131" i="189"/>
  <c r="H93" i="189"/>
  <c r="H126" i="189"/>
  <c r="H138" i="189"/>
  <c r="H67" i="189"/>
  <c r="H121" i="189"/>
  <c r="H133" i="189"/>
  <c r="H128" i="189"/>
  <c r="H98" i="189"/>
  <c r="H123" i="189"/>
  <c r="H135" i="189"/>
  <c r="H105" i="189"/>
  <c r="H118" i="189"/>
  <c r="H130" i="189"/>
  <c r="H103" i="189"/>
  <c r="H120" i="189"/>
  <c r="H132" i="189"/>
  <c r="H110" i="189"/>
  <c r="H127" i="189"/>
  <c r="H139" i="189"/>
  <c r="H147" i="189"/>
  <c r="H159" i="189"/>
  <c r="H46" i="189"/>
  <c r="H142" i="189"/>
  <c r="H154" i="189"/>
  <c r="H109" i="189"/>
  <c r="H149" i="189"/>
  <c r="H161" i="189"/>
  <c r="H144" i="189"/>
  <c r="H156" i="189"/>
  <c r="H62" i="189"/>
  <c r="H151" i="189"/>
  <c r="H129" i="189"/>
  <c r="H146" i="189"/>
  <c r="H158" i="189"/>
  <c r="H143" i="189"/>
  <c r="H155" i="189"/>
  <c r="H125" i="189"/>
  <c r="H137" i="189"/>
  <c r="H150" i="189"/>
  <c r="H162" i="189"/>
  <c r="H117" i="189"/>
  <c r="H122" i="189"/>
  <c r="H145" i="189"/>
  <c r="H157" i="189"/>
  <c r="H160" i="189"/>
  <c r="H169" i="189"/>
  <c r="H141" i="189"/>
  <c r="H148" i="189"/>
  <c r="H164" i="189"/>
  <c r="H3" i="189"/>
  <c r="H163" i="189"/>
  <c r="H153" i="189"/>
  <c r="H166" i="189"/>
  <c r="H170" i="189"/>
  <c r="H92" i="189"/>
  <c r="H134" i="189"/>
  <c r="H97" i="189"/>
  <c r="H168" i="189"/>
  <c r="H152" i="189"/>
  <c r="H165" i="189"/>
  <c r="H167" i="189"/>
  <c r="H140" i="189"/>
  <c r="H175" i="189"/>
  <c r="H172" i="189"/>
  <c r="H171" i="189"/>
  <c r="H173" i="189"/>
  <c r="H174" i="189"/>
  <c r="I1" i="189"/>
  <c r="I4" i="189" s="1"/>
  <c r="P9" i="186"/>
  <c r="O8" i="186"/>
  <c r="U5" i="191" l="1"/>
  <c r="U18" i="191"/>
  <c r="U12" i="191"/>
  <c r="U7" i="191"/>
  <c r="U15" i="191"/>
  <c r="U9" i="191"/>
  <c r="U4" i="191"/>
  <c r="U17" i="191"/>
  <c r="U11" i="191"/>
  <c r="U6" i="191"/>
  <c r="U19" i="191"/>
  <c r="U13" i="191"/>
  <c r="U26" i="191"/>
  <c r="U8" i="191"/>
  <c r="U16" i="191"/>
  <c r="U28" i="191"/>
  <c r="U10" i="191"/>
  <c r="U25" i="191"/>
  <c r="U31" i="191"/>
  <c r="U37" i="191"/>
  <c r="U44" i="191"/>
  <c r="U27" i="191"/>
  <c r="U48" i="191"/>
  <c r="U22" i="191"/>
  <c r="U23" i="191"/>
  <c r="U29" i="191"/>
  <c r="U40" i="191"/>
  <c r="U39" i="191"/>
  <c r="U41" i="191"/>
  <c r="U59" i="191"/>
  <c r="U32" i="191"/>
  <c r="U38" i="191"/>
  <c r="U21" i="191"/>
  <c r="U45" i="191"/>
  <c r="U35" i="191"/>
  <c r="U20" i="191"/>
  <c r="U43" i="191"/>
  <c r="U49" i="191"/>
  <c r="U55" i="191"/>
  <c r="U67" i="191"/>
  <c r="U36" i="191"/>
  <c r="U56" i="191"/>
  <c r="U62" i="191"/>
  <c r="U33" i="191"/>
  <c r="U34" i="191"/>
  <c r="U30" i="191"/>
  <c r="U42" i="191"/>
  <c r="U24" i="191"/>
  <c r="U47" i="191"/>
  <c r="U50" i="191"/>
  <c r="U51" i="191"/>
  <c r="U52" i="191"/>
  <c r="U54" i="191"/>
  <c r="U57" i="191"/>
  <c r="U60" i="191"/>
  <c r="U74" i="191"/>
  <c r="U83" i="191"/>
  <c r="U78" i="191"/>
  <c r="U90" i="191"/>
  <c r="U58" i="191"/>
  <c r="U65" i="191"/>
  <c r="U66" i="191"/>
  <c r="U72" i="191"/>
  <c r="U80" i="191"/>
  <c r="U92" i="191"/>
  <c r="U68" i="191"/>
  <c r="U61" i="191"/>
  <c r="U64" i="191"/>
  <c r="U69" i="191"/>
  <c r="U77" i="191"/>
  <c r="U73" i="191"/>
  <c r="U46" i="191"/>
  <c r="U63" i="191"/>
  <c r="U70" i="191"/>
  <c r="U79" i="191"/>
  <c r="U53" i="191"/>
  <c r="U71" i="191"/>
  <c r="U76" i="191"/>
  <c r="U88" i="191"/>
  <c r="U94" i="191"/>
  <c r="U100" i="191"/>
  <c r="U106" i="191"/>
  <c r="U84" i="191"/>
  <c r="U87" i="191"/>
  <c r="U81" i="191"/>
  <c r="U95" i="191"/>
  <c r="U98" i="191"/>
  <c r="U103" i="191"/>
  <c r="U115" i="191"/>
  <c r="U82" i="191"/>
  <c r="U86" i="191"/>
  <c r="U96" i="191"/>
  <c r="U91" i="191"/>
  <c r="U89" i="191"/>
  <c r="U114" i="191"/>
  <c r="U75" i="191"/>
  <c r="U85" i="191"/>
  <c r="U104" i="191"/>
  <c r="U93" i="191"/>
  <c r="U97" i="191"/>
  <c r="U130" i="191"/>
  <c r="U101" i="191"/>
  <c r="U107" i="191"/>
  <c r="U105" i="191"/>
  <c r="U127" i="191"/>
  <c r="U139" i="191"/>
  <c r="U102" i="191"/>
  <c r="U110" i="191"/>
  <c r="U111" i="191"/>
  <c r="U109" i="191"/>
  <c r="U112" i="191"/>
  <c r="U117" i="191"/>
  <c r="U124" i="191"/>
  <c r="U108" i="191"/>
  <c r="U113" i="191"/>
  <c r="U126" i="191"/>
  <c r="U138" i="191"/>
  <c r="U99" i="191"/>
  <c r="U118" i="191"/>
  <c r="U128" i="191"/>
  <c r="U121" i="191"/>
  <c r="U123" i="191"/>
  <c r="U135" i="191"/>
  <c r="U134" i="191"/>
  <c r="U143" i="191"/>
  <c r="U151" i="191"/>
  <c r="U163" i="191"/>
  <c r="U122" i="191"/>
  <c r="U146" i="191"/>
  <c r="U158" i="191"/>
  <c r="U170" i="191"/>
  <c r="U129" i="191"/>
  <c r="U140" i="191"/>
  <c r="U153" i="191"/>
  <c r="U149" i="191"/>
  <c r="U160" i="191"/>
  <c r="U155" i="191"/>
  <c r="U133" i="191"/>
  <c r="U141" i="191"/>
  <c r="U116" i="191"/>
  <c r="U144" i="191"/>
  <c r="U119" i="191"/>
  <c r="U147" i="191"/>
  <c r="U157" i="191"/>
  <c r="U132" i="191"/>
  <c r="U136" i="191"/>
  <c r="U150" i="191"/>
  <c r="U152" i="191"/>
  <c r="U142" i="191"/>
  <c r="U159" i="191"/>
  <c r="U120" i="191"/>
  <c r="U137" i="191"/>
  <c r="U145" i="191"/>
  <c r="U148" i="191"/>
  <c r="U125" i="191"/>
  <c r="U131" i="191"/>
  <c r="U156" i="191"/>
  <c r="U168" i="191"/>
  <c r="U162" i="191"/>
  <c r="U164" i="191"/>
  <c r="U167" i="191"/>
  <c r="U154" i="191"/>
  <c r="U166" i="191"/>
  <c r="U161" i="191"/>
  <c r="U3" i="191"/>
  <c r="U171" i="191"/>
  <c r="U169" i="191"/>
  <c r="U165" i="191"/>
  <c r="U176" i="191"/>
  <c r="U174" i="191"/>
  <c r="U173" i="191"/>
  <c r="U175" i="191"/>
  <c r="U172" i="191"/>
  <c r="V1" i="191"/>
  <c r="V14" i="191" s="1"/>
  <c r="I6" i="189"/>
  <c r="I18" i="189"/>
  <c r="I30" i="189"/>
  <c r="I13" i="189"/>
  <c r="I25" i="189"/>
  <c r="I37" i="189"/>
  <c r="I8" i="189"/>
  <c r="I20" i="189"/>
  <c r="I32" i="189"/>
  <c r="I15" i="189"/>
  <c r="I27" i="189"/>
  <c r="I10" i="189"/>
  <c r="I22" i="189"/>
  <c r="I34" i="189"/>
  <c r="I5" i="189"/>
  <c r="I17" i="189"/>
  <c r="I29" i="189"/>
  <c r="I28" i="189"/>
  <c r="I46" i="189"/>
  <c r="I35" i="189"/>
  <c r="I41" i="189"/>
  <c r="I53" i="189"/>
  <c r="I11" i="189"/>
  <c r="I12" i="189"/>
  <c r="I36" i="189"/>
  <c r="I48" i="189"/>
  <c r="I19" i="189"/>
  <c r="I43" i="189"/>
  <c r="I26" i="189"/>
  <c r="I38" i="189"/>
  <c r="I50" i="189"/>
  <c r="I33" i="189"/>
  <c r="I45" i="189"/>
  <c r="I7" i="189"/>
  <c r="I24" i="189"/>
  <c r="I42" i="189"/>
  <c r="I14" i="189"/>
  <c r="I16" i="189"/>
  <c r="I66" i="189"/>
  <c r="I31" i="189"/>
  <c r="I61" i="189"/>
  <c r="I73" i="189"/>
  <c r="I40" i="189"/>
  <c r="I51" i="189"/>
  <c r="I52" i="189"/>
  <c r="I56" i="189"/>
  <c r="I68" i="189"/>
  <c r="I39" i="189"/>
  <c r="I63" i="189"/>
  <c r="I58" i="189"/>
  <c r="I70" i="189"/>
  <c r="I65" i="189"/>
  <c r="I62" i="189"/>
  <c r="I47" i="189"/>
  <c r="I49" i="189"/>
  <c r="I67" i="189"/>
  <c r="I84" i="189"/>
  <c r="I55" i="189"/>
  <c r="I79" i="189"/>
  <c r="I91" i="189"/>
  <c r="I21" i="189"/>
  <c r="I69" i="189"/>
  <c r="I74" i="189"/>
  <c r="I86" i="189"/>
  <c r="I57" i="189"/>
  <c r="I81" i="189"/>
  <c r="I72" i="189"/>
  <c r="I76" i="189"/>
  <c r="I88" i="189"/>
  <c r="I54" i="189"/>
  <c r="I60" i="189"/>
  <c r="I71" i="189"/>
  <c r="I83" i="189"/>
  <c r="I44" i="189"/>
  <c r="I80" i="189"/>
  <c r="I92" i="189"/>
  <c r="I75" i="189"/>
  <c r="I87" i="189"/>
  <c r="I64" i="189"/>
  <c r="I82" i="189"/>
  <c r="I9" i="189"/>
  <c r="I97" i="189"/>
  <c r="I109" i="189"/>
  <c r="I85" i="189"/>
  <c r="I104" i="189"/>
  <c r="I116" i="189"/>
  <c r="I99" i="189"/>
  <c r="I111" i="189"/>
  <c r="I90" i="189"/>
  <c r="I94" i="189"/>
  <c r="I106" i="189"/>
  <c r="I101" i="189"/>
  <c r="I113" i="189"/>
  <c r="I89" i="189"/>
  <c r="I93" i="189"/>
  <c r="I105" i="189"/>
  <c r="I117" i="189"/>
  <c r="I59" i="189"/>
  <c r="I100" i="189"/>
  <c r="I112" i="189"/>
  <c r="I23" i="189"/>
  <c r="I95" i="189"/>
  <c r="I107" i="189"/>
  <c r="I108" i="189"/>
  <c r="I129" i="189"/>
  <c r="I115" i="189"/>
  <c r="I124" i="189"/>
  <c r="I136" i="189"/>
  <c r="I119" i="189"/>
  <c r="I131" i="189"/>
  <c r="I114" i="189"/>
  <c r="I126" i="189"/>
  <c r="I138" i="189"/>
  <c r="I121" i="189"/>
  <c r="I133" i="189"/>
  <c r="I128" i="189"/>
  <c r="I98" i="189"/>
  <c r="I123" i="189"/>
  <c r="I135" i="189"/>
  <c r="I96" i="189"/>
  <c r="I125" i="189"/>
  <c r="I137" i="189"/>
  <c r="I78" i="189"/>
  <c r="I103" i="189"/>
  <c r="I120" i="189"/>
  <c r="I132" i="189"/>
  <c r="I130" i="189"/>
  <c r="I140" i="189"/>
  <c r="I152" i="189"/>
  <c r="I127" i="189"/>
  <c r="I147" i="189"/>
  <c r="I159" i="189"/>
  <c r="I142" i="189"/>
  <c r="I154" i="189"/>
  <c r="I118" i="189"/>
  <c r="I149" i="189"/>
  <c r="I161" i="189"/>
  <c r="I110" i="189"/>
  <c r="I144" i="189"/>
  <c r="I156" i="189"/>
  <c r="I151" i="189"/>
  <c r="I163" i="189"/>
  <c r="I102" i="189"/>
  <c r="I134" i="189"/>
  <c r="I139" i="189"/>
  <c r="I148" i="189"/>
  <c r="I160" i="189"/>
  <c r="I77" i="189"/>
  <c r="I143" i="189"/>
  <c r="I155" i="189"/>
  <c r="I150" i="189"/>
  <c r="I162" i="189"/>
  <c r="I158" i="189"/>
  <c r="I168" i="189"/>
  <c r="I141" i="189"/>
  <c r="I169" i="189"/>
  <c r="I145" i="189"/>
  <c r="I164" i="189"/>
  <c r="I3" i="189"/>
  <c r="I167" i="189"/>
  <c r="I153" i="189"/>
  <c r="I166" i="189"/>
  <c r="I122" i="189"/>
  <c r="I170" i="189"/>
  <c r="I157" i="189"/>
  <c r="I146" i="189"/>
  <c r="I165" i="189"/>
  <c r="I173" i="189"/>
  <c r="I172" i="189"/>
  <c r="I174" i="189"/>
  <c r="I171" i="189"/>
  <c r="I175" i="189"/>
  <c r="J1" i="189"/>
  <c r="J4" i="189" s="1"/>
  <c r="B22" i="186"/>
  <c r="Q6" i="186"/>
  <c r="Q7" i="186"/>
  <c r="B23" i="186"/>
  <c r="Q5" i="186"/>
  <c r="V10" i="191" l="1"/>
  <c r="V5" i="191"/>
  <c r="V12" i="191"/>
  <c r="V7" i="191"/>
  <c r="V9" i="191"/>
  <c r="V4" i="191"/>
  <c r="V17" i="191"/>
  <c r="V11" i="191"/>
  <c r="V6" i="191"/>
  <c r="V19" i="191"/>
  <c r="V31" i="191"/>
  <c r="V13" i="191"/>
  <c r="V8" i="191"/>
  <c r="V21" i="191"/>
  <c r="V33" i="191"/>
  <c r="V16" i="191"/>
  <c r="V24" i="191"/>
  <c r="V49" i="191"/>
  <c r="V20" i="191"/>
  <c r="V41" i="191"/>
  <c r="V18" i="191"/>
  <c r="V35" i="191"/>
  <c r="V38" i="191"/>
  <c r="V22" i="191"/>
  <c r="V15" i="191"/>
  <c r="V40" i="191"/>
  <c r="V47" i="191"/>
  <c r="V64" i="191"/>
  <c r="V25" i="191"/>
  <c r="V34" i="191"/>
  <c r="V43" i="191"/>
  <c r="V56" i="191"/>
  <c r="V28" i="191"/>
  <c r="V37" i="191"/>
  <c r="V45" i="191"/>
  <c r="V54" i="191"/>
  <c r="V61" i="191"/>
  <c r="V69" i="191"/>
  <c r="V36" i="191"/>
  <c r="V32" i="191"/>
  <c r="V29" i="191"/>
  <c r="V30" i="191"/>
  <c r="V39" i="191"/>
  <c r="V44" i="191"/>
  <c r="V58" i="191"/>
  <c r="V63" i="191"/>
  <c r="V26" i="191"/>
  <c r="V27" i="191"/>
  <c r="V23" i="191"/>
  <c r="V53" i="191"/>
  <c r="V50" i="191"/>
  <c r="V51" i="191"/>
  <c r="V52" i="191"/>
  <c r="V60" i="191"/>
  <c r="V76" i="191"/>
  <c r="V57" i="191"/>
  <c r="V74" i="191"/>
  <c r="V83" i="191"/>
  <c r="V95" i="191"/>
  <c r="V85" i="191"/>
  <c r="V97" i="191"/>
  <c r="V65" i="191"/>
  <c r="V66" i="191"/>
  <c r="V67" i="191"/>
  <c r="V68" i="191"/>
  <c r="V55" i="191"/>
  <c r="V59" i="191"/>
  <c r="V77" i="191"/>
  <c r="V73" i="191"/>
  <c r="V84" i="191"/>
  <c r="V46" i="191"/>
  <c r="V48" i="191"/>
  <c r="V70" i="191"/>
  <c r="V42" i="191"/>
  <c r="V62" i="191"/>
  <c r="V71" i="191"/>
  <c r="V81" i="191"/>
  <c r="V88" i="191"/>
  <c r="V93" i="191"/>
  <c r="V111" i="191"/>
  <c r="V80" i="191"/>
  <c r="V79" i="191"/>
  <c r="V87" i="191"/>
  <c r="V108" i="191"/>
  <c r="V120" i="191"/>
  <c r="V78" i="191"/>
  <c r="V82" i="191"/>
  <c r="V90" i="191"/>
  <c r="V105" i="191"/>
  <c r="V86" i="191"/>
  <c r="V91" i="191"/>
  <c r="V99" i="191"/>
  <c r="V107" i="191"/>
  <c r="V72" i="191"/>
  <c r="V89" i="191"/>
  <c r="V92" i="191"/>
  <c r="V75" i="191"/>
  <c r="V102" i="191"/>
  <c r="V104" i="191"/>
  <c r="V121" i="191"/>
  <c r="V123" i="191"/>
  <c r="V135" i="191"/>
  <c r="V94" i="191"/>
  <c r="V101" i="191"/>
  <c r="V116" i="191"/>
  <c r="V96" i="191"/>
  <c r="V119" i="191"/>
  <c r="V132" i="191"/>
  <c r="V144" i="191"/>
  <c r="V110" i="191"/>
  <c r="V109" i="191"/>
  <c r="V112" i="191"/>
  <c r="V117" i="191"/>
  <c r="V129" i="191"/>
  <c r="V98" i="191"/>
  <c r="V103" i="191"/>
  <c r="V106" i="191"/>
  <c r="V113" i="191"/>
  <c r="V131" i="191"/>
  <c r="V114" i="191"/>
  <c r="V100" i="191"/>
  <c r="V115" i="191"/>
  <c r="V118" i="191"/>
  <c r="V128" i="191"/>
  <c r="V125" i="191"/>
  <c r="V156" i="191"/>
  <c r="V134" i="191"/>
  <c r="V139" i="191"/>
  <c r="V143" i="191"/>
  <c r="V151" i="191"/>
  <c r="V163" i="191"/>
  <c r="V122" i="191"/>
  <c r="V146" i="191"/>
  <c r="V140" i="191"/>
  <c r="V153" i="191"/>
  <c r="V165" i="191"/>
  <c r="V3" i="191"/>
  <c r="V149" i="191"/>
  <c r="V160" i="191"/>
  <c r="V126" i="191"/>
  <c r="V130" i="191"/>
  <c r="V133" i="191"/>
  <c r="V141" i="191"/>
  <c r="V127" i="191"/>
  <c r="V147" i="191"/>
  <c r="V157" i="191"/>
  <c r="V136" i="191"/>
  <c r="V150" i="191"/>
  <c r="V152" i="191"/>
  <c r="V164" i="191"/>
  <c r="V124" i="191"/>
  <c r="V142" i="191"/>
  <c r="V137" i="191"/>
  <c r="V145" i="191"/>
  <c r="V154" i="191"/>
  <c r="V138" i="191"/>
  <c r="V148" i="191"/>
  <c r="V161" i="191"/>
  <c r="V162" i="191"/>
  <c r="V168" i="191"/>
  <c r="V167" i="191"/>
  <c r="V170" i="191"/>
  <c r="V171" i="191"/>
  <c r="V166" i="191"/>
  <c r="V159" i="191"/>
  <c r="V155" i="191"/>
  <c r="V169" i="191"/>
  <c r="V158" i="191"/>
  <c r="V176" i="191"/>
  <c r="V175" i="191"/>
  <c r="V174" i="191"/>
  <c r="V173" i="191"/>
  <c r="V172" i="191"/>
  <c r="W1" i="191"/>
  <c r="W14" i="191" s="1"/>
  <c r="J11" i="189"/>
  <c r="J23" i="189"/>
  <c r="J35" i="189"/>
  <c r="J6" i="189"/>
  <c r="J18" i="189"/>
  <c r="J30" i="189"/>
  <c r="J13" i="189"/>
  <c r="J25" i="189"/>
  <c r="J37" i="189"/>
  <c r="J8" i="189"/>
  <c r="J20" i="189"/>
  <c r="J32" i="189"/>
  <c r="J15" i="189"/>
  <c r="J27" i="189"/>
  <c r="J10" i="189"/>
  <c r="J22" i="189"/>
  <c r="J34" i="189"/>
  <c r="J5" i="189"/>
  <c r="J9" i="189"/>
  <c r="J21" i="189"/>
  <c r="J39" i="189"/>
  <c r="J51" i="189"/>
  <c r="J28" i="189"/>
  <c r="J46" i="189"/>
  <c r="J29" i="189"/>
  <c r="J41" i="189"/>
  <c r="J53" i="189"/>
  <c r="J12" i="189"/>
  <c r="J36" i="189"/>
  <c r="J48" i="189"/>
  <c r="J19" i="189"/>
  <c r="J43" i="189"/>
  <c r="J26" i="189"/>
  <c r="J38" i="189"/>
  <c r="J50" i="189"/>
  <c r="J17" i="189"/>
  <c r="J47" i="189"/>
  <c r="J49" i="189"/>
  <c r="J59" i="189"/>
  <c r="J71" i="189"/>
  <c r="J14" i="189"/>
  <c r="J16" i="189"/>
  <c r="J66" i="189"/>
  <c r="J31" i="189"/>
  <c r="J33" i="189"/>
  <c r="J61" i="189"/>
  <c r="J73" i="189"/>
  <c r="J40" i="189"/>
  <c r="J52" i="189"/>
  <c r="J56" i="189"/>
  <c r="J68" i="189"/>
  <c r="J24" i="189"/>
  <c r="J63" i="189"/>
  <c r="J42" i="189"/>
  <c r="J58" i="189"/>
  <c r="J70" i="189"/>
  <c r="J44" i="189"/>
  <c r="J55" i="189"/>
  <c r="J67" i="189"/>
  <c r="J77" i="189"/>
  <c r="J89" i="189"/>
  <c r="J7" i="189"/>
  <c r="J45" i="189"/>
  <c r="J84" i="189"/>
  <c r="J79" i="189"/>
  <c r="J91" i="189"/>
  <c r="J69" i="189"/>
  <c r="J74" i="189"/>
  <c r="J86" i="189"/>
  <c r="J57" i="189"/>
  <c r="J81" i="189"/>
  <c r="J72" i="189"/>
  <c r="J76" i="189"/>
  <c r="J88" i="189"/>
  <c r="J62" i="189"/>
  <c r="J85" i="189"/>
  <c r="J80" i="189"/>
  <c r="J92" i="189"/>
  <c r="J65" i="189"/>
  <c r="J75" i="189"/>
  <c r="J87" i="189"/>
  <c r="J60" i="189"/>
  <c r="J102" i="189"/>
  <c r="J114" i="189"/>
  <c r="J97" i="189"/>
  <c r="J109" i="189"/>
  <c r="J64" i="189"/>
  <c r="J82" i="189"/>
  <c r="J104" i="189"/>
  <c r="J116" i="189"/>
  <c r="J99" i="189"/>
  <c r="J111" i="189"/>
  <c r="J90" i="189"/>
  <c r="J94" i="189"/>
  <c r="J106" i="189"/>
  <c r="J98" i="189"/>
  <c r="J110" i="189"/>
  <c r="J83" i="189"/>
  <c r="J93" i="189"/>
  <c r="J105" i="189"/>
  <c r="J117" i="189"/>
  <c r="J100" i="189"/>
  <c r="J112" i="189"/>
  <c r="J101" i="189"/>
  <c r="J122" i="189"/>
  <c r="J134" i="189"/>
  <c r="J54" i="189"/>
  <c r="J108" i="189"/>
  <c r="J129" i="189"/>
  <c r="J115" i="189"/>
  <c r="J124" i="189"/>
  <c r="J136" i="189"/>
  <c r="J107" i="189"/>
  <c r="J119" i="189"/>
  <c r="J131" i="189"/>
  <c r="J113" i="189"/>
  <c r="J126" i="189"/>
  <c r="J138" i="189"/>
  <c r="J121" i="189"/>
  <c r="J133" i="189"/>
  <c r="J128" i="189"/>
  <c r="J118" i="189"/>
  <c r="J130" i="189"/>
  <c r="J96" i="189"/>
  <c r="J125" i="189"/>
  <c r="J137" i="189"/>
  <c r="J145" i="189"/>
  <c r="J157" i="189"/>
  <c r="J140" i="189"/>
  <c r="J152" i="189"/>
  <c r="J95" i="189"/>
  <c r="J127" i="189"/>
  <c r="J147" i="189"/>
  <c r="J159" i="189"/>
  <c r="J135" i="189"/>
  <c r="J142" i="189"/>
  <c r="J154" i="189"/>
  <c r="J132" i="189"/>
  <c r="J149" i="189"/>
  <c r="J144" i="189"/>
  <c r="J156" i="189"/>
  <c r="J141" i="189"/>
  <c r="J153" i="189"/>
  <c r="J139" i="189"/>
  <c r="J148" i="189"/>
  <c r="J160" i="189"/>
  <c r="J78" i="189"/>
  <c r="J103" i="189"/>
  <c r="J143" i="189"/>
  <c r="J155" i="189"/>
  <c r="J151" i="189"/>
  <c r="J167" i="189"/>
  <c r="J120" i="189"/>
  <c r="J169" i="189"/>
  <c r="J164" i="189"/>
  <c r="J3" i="189"/>
  <c r="J158" i="189"/>
  <c r="J150" i="189"/>
  <c r="J166" i="189"/>
  <c r="J123" i="189"/>
  <c r="J163" i="189"/>
  <c r="J168" i="189"/>
  <c r="J146" i="189"/>
  <c r="J161" i="189"/>
  <c r="J165" i="189"/>
  <c r="J162" i="189"/>
  <c r="J170" i="189"/>
  <c r="J173" i="189"/>
  <c r="J174" i="189"/>
  <c r="J171" i="189"/>
  <c r="J175" i="189"/>
  <c r="J172" i="189"/>
  <c r="K1" i="189"/>
  <c r="K4" i="189" s="1"/>
  <c r="B24" i="186"/>
  <c r="B21" i="186" s="1"/>
  <c r="B20" i="186"/>
  <c r="W16" i="191" l="1"/>
  <c r="W10" i="191"/>
  <c r="W5" i="191"/>
  <c r="W12" i="191"/>
  <c r="W7" i="191"/>
  <c r="W15" i="191"/>
  <c r="W9" i="191"/>
  <c r="W4" i="191"/>
  <c r="W17" i="191"/>
  <c r="W11" i="191"/>
  <c r="W24" i="191"/>
  <c r="W36" i="191"/>
  <c r="W6" i="191"/>
  <c r="W13" i="191"/>
  <c r="W26" i="191"/>
  <c r="W8" i="191"/>
  <c r="W42" i="191"/>
  <c r="W33" i="191"/>
  <c r="W46" i="191"/>
  <c r="W28" i="191"/>
  <c r="W34" i="191"/>
  <c r="W18" i="191"/>
  <c r="W35" i="191"/>
  <c r="W38" i="191"/>
  <c r="W31" i="191"/>
  <c r="W57" i="191"/>
  <c r="W27" i="191"/>
  <c r="W49" i="191"/>
  <c r="W52" i="191"/>
  <c r="W61" i="191"/>
  <c r="W30" i="191"/>
  <c r="W44" i="191"/>
  <c r="W21" i="191"/>
  <c r="W45" i="191"/>
  <c r="W50" i="191"/>
  <c r="W51" i="191"/>
  <c r="W20" i="191"/>
  <c r="W54" i="191"/>
  <c r="W64" i="191"/>
  <c r="W19" i="191"/>
  <c r="W41" i="191"/>
  <c r="W55" i="191"/>
  <c r="W67" i="191"/>
  <c r="W74" i="191"/>
  <c r="W48" i="191"/>
  <c r="W32" i="191"/>
  <c r="W29" i="191"/>
  <c r="W39" i="191"/>
  <c r="W58" i="191"/>
  <c r="W25" i="191"/>
  <c r="W22" i="191"/>
  <c r="W23" i="191"/>
  <c r="W40" i="191"/>
  <c r="W47" i="191"/>
  <c r="W53" i="191"/>
  <c r="W37" i="191"/>
  <c r="W62" i="191"/>
  <c r="W71" i="191"/>
  <c r="W81" i="191"/>
  <c r="W60" i="191"/>
  <c r="W76" i="191"/>
  <c r="W88" i="191"/>
  <c r="W43" i="191"/>
  <c r="W78" i="191"/>
  <c r="W90" i="191"/>
  <c r="W102" i="191"/>
  <c r="W65" i="191"/>
  <c r="W66" i="191"/>
  <c r="W68" i="191"/>
  <c r="W75" i="191"/>
  <c r="W69" i="191"/>
  <c r="W82" i="191"/>
  <c r="W59" i="191"/>
  <c r="W77" i="191"/>
  <c r="W89" i="191"/>
  <c r="W56" i="191"/>
  <c r="W63" i="191"/>
  <c r="W73" i="191"/>
  <c r="W70" i="191"/>
  <c r="W79" i="191"/>
  <c r="W86" i="191"/>
  <c r="W97" i="191"/>
  <c r="W104" i="191"/>
  <c r="W84" i="191"/>
  <c r="W94" i="191"/>
  <c r="W80" i="191"/>
  <c r="W113" i="191"/>
  <c r="W87" i="191"/>
  <c r="W101" i="191"/>
  <c r="W83" i="191"/>
  <c r="W96" i="191"/>
  <c r="W112" i="191"/>
  <c r="W91" i="191"/>
  <c r="W72" i="191"/>
  <c r="W85" i="191"/>
  <c r="W92" i="191"/>
  <c r="W100" i="191"/>
  <c r="W115" i="191"/>
  <c r="W118" i="191"/>
  <c r="W128" i="191"/>
  <c r="W95" i="191"/>
  <c r="W107" i="191"/>
  <c r="W105" i="191"/>
  <c r="W116" i="191"/>
  <c r="W125" i="191"/>
  <c r="W137" i="191"/>
  <c r="W149" i="191"/>
  <c r="W111" i="191"/>
  <c r="W110" i="191"/>
  <c r="W122" i="191"/>
  <c r="W93" i="191"/>
  <c r="W109" i="191"/>
  <c r="W98" i="191"/>
  <c r="W103" i="191"/>
  <c r="W106" i="191"/>
  <c r="W108" i="191"/>
  <c r="W120" i="191"/>
  <c r="W124" i="191"/>
  <c r="W136" i="191"/>
  <c r="W99" i="191"/>
  <c r="W114" i="191"/>
  <c r="W126" i="191"/>
  <c r="W133" i="191"/>
  <c r="W131" i="191"/>
  <c r="W138" i="191"/>
  <c r="W148" i="191"/>
  <c r="W161" i="191"/>
  <c r="W117" i="191"/>
  <c r="W156" i="191"/>
  <c r="W168" i="191"/>
  <c r="W151" i="191"/>
  <c r="W134" i="191"/>
  <c r="W139" i="191"/>
  <c r="W143" i="191"/>
  <c r="W129" i="191"/>
  <c r="W146" i="191"/>
  <c r="W158" i="191"/>
  <c r="W170" i="191"/>
  <c r="W153" i="191"/>
  <c r="W140" i="191"/>
  <c r="W123" i="191"/>
  <c r="W130" i="191"/>
  <c r="W141" i="191"/>
  <c r="W144" i="191"/>
  <c r="W155" i="191"/>
  <c r="W119" i="191"/>
  <c r="W162" i="191"/>
  <c r="W127" i="191"/>
  <c r="W132" i="191"/>
  <c r="W147" i="191"/>
  <c r="W157" i="191"/>
  <c r="W169" i="191"/>
  <c r="W150" i="191"/>
  <c r="W152" i="191"/>
  <c r="W135" i="191"/>
  <c r="W142" i="191"/>
  <c r="W121" i="191"/>
  <c r="W145" i="191"/>
  <c r="W154" i="191"/>
  <c r="W166" i="191"/>
  <c r="W164" i="191"/>
  <c r="W167" i="191"/>
  <c r="W163" i="191"/>
  <c r="W160" i="191"/>
  <c r="W159" i="191"/>
  <c r="W171" i="191"/>
  <c r="W3" i="191"/>
  <c r="W165" i="191"/>
  <c r="W172" i="191"/>
  <c r="W175" i="191"/>
  <c r="W176" i="191"/>
  <c r="W174" i="191"/>
  <c r="W173" i="191"/>
  <c r="X1" i="191"/>
  <c r="X14" i="191" s="1"/>
  <c r="K16" i="189"/>
  <c r="K28" i="189"/>
  <c r="K11" i="189"/>
  <c r="K23" i="189"/>
  <c r="K35" i="189"/>
  <c r="K6" i="189"/>
  <c r="K18" i="189"/>
  <c r="K30" i="189"/>
  <c r="K13" i="189"/>
  <c r="K25" i="189"/>
  <c r="K37" i="189"/>
  <c r="K8" i="189"/>
  <c r="K20" i="189"/>
  <c r="K32" i="189"/>
  <c r="K15" i="189"/>
  <c r="K27" i="189"/>
  <c r="K10" i="189"/>
  <c r="K5" i="189"/>
  <c r="K14" i="189"/>
  <c r="K44" i="189"/>
  <c r="K9" i="189"/>
  <c r="K21" i="189"/>
  <c r="K39" i="189"/>
  <c r="K51" i="189"/>
  <c r="K22" i="189"/>
  <c r="K46" i="189"/>
  <c r="K29" i="189"/>
  <c r="K41" i="189"/>
  <c r="K53" i="189"/>
  <c r="K12" i="189"/>
  <c r="K36" i="189"/>
  <c r="K48" i="189"/>
  <c r="K19" i="189"/>
  <c r="K43" i="189"/>
  <c r="K34" i="189"/>
  <c r="K40" i="189"/>
  <c r="K50" i="189"/>
  <c r="K54" i="189"/>
  <c r="K64" i="189"/>
  <c r="K38" i="189"/>
  <c r="K49" i="189"/>
  <c r="K59" i="189"/>
  <c r="K71" i="189"/>
  <c r="K66" i="189"/>
  <c r="K31" i="189"/>
  <c r="K33" i="189"/>
  <c r="K61" i="189"/>
  <c r="K73" i="189"/>
  <c r="K52" i="189"/>
  <c r="K56" i="189"/>
  <c r="K68" i="189"/>
  <c r="K24" i="189"/>
  <c r="K26" i="189"/>
  <c r="K63" i="189"/>
  <c r="K7" i="189"/>
  <c r="K45" i="189"/>
  <c r="K60" i="189"/>
  <c r="K72" i="189"/>
  <c r="K82" i="189"/>
  <c r="K47" i="189"/>
  <c r="K67" i="189"/>
  <c r="K77" i="189"/>
  <c r="K89" i="189"/>
  <c r="K17" i="189"/>
  <c r="K55" i="189"/>
  <c r="K84" i="189"/>
  <c r="K70" i="189"/>
  <c r="K79" i="189"/>
  <c r="K91" i="189"/>
  <c r="K58" i="189"/>
  <c r="K69" i="189"/>
  <c r="K74" i="189"/>
  <c r="K86" i="189"/>
  <c r="K57" i="189"/>
  <c r="K81" i="189"/>
  <c r="K78" i="189"/>
  <c r="K90" i="189"/>
  <c r="K42" i="189"/>
  <c r="K62" i="189"/>
  <c r="K85" i="189"/>
  <c r="K80" i="189"/>
  <c r="K92" i="189"/>
  <c r="K88" i="189"/>
  <c r="K95" i="189"/>
  <c r="K107" i="189"/>
  <c r="K102" i="189"/>
  <c r="K114" i="189"/>
  <c r="K97" i="189"/>
  <c r="K109" i="189"/>
  <c r="K76" i="189"/>
  <c r="K104" i="189"/>
  <c r="K116" i="189"/>
  <c r="K99" i="189"/>
  <c r="K111" i="189"/>
  <c r="K75" i="189"/>
  <c r="K103" i="189"/>
  <c r="K115" i="189"/>
  <c r="K98" i="189"/>
  <c r="K110" i="189"/>
  <c r="K83" i="189"/>
  <c r="K93" i="189"/>
  <c r="K105" i="189"/>
  <c r="K117" i="189"/>
  <c r="K65" i="189"/>
  <c r="K94" i="189"/>
  <c r="K127" i="189"/>
  <c r="K101" i="189"/>
  <c r="K122" i="189"/>
  <c r="K134" i="189"/>
  <c r="K108" i="189"/>
  <c r="K129" i="189"/>
  <c r="K100" i="189"/>
  <c r="K124" i="189"/>
  <c r="K136" i="189"/>
  <c r="K106" i="189"/>
  <c r="K119" i="189"/>
  <c r="K131" i="189"/>
  <c r="K113" i="189"/>
  <c r="K126" i="189"/>
  <c r="K121" i="189"/>
  <c r="K133" i="189"/>
  <c r="K87" i="189"/>
  <c r="K123" i="189"/>
  <c r="K135" i="189"/>
  <c r="K118" i="189"/>
  <c r="K130" i="189"/>
  <c r="K150" i="189"/>
  <c r="K162" i="189"/>
  <c r="K145" i="189"/>
  <c r="K157" i="189"/>
  <c r="K140" i="189"/>
  <c r="K152" i="189"/>
  <c r="K147" i="189"/>
  <c r="K159" i="189"/>
  <c r="K96" i="189"/>
  <c r="K142" i="189"/>
  <c r="K154" i="189"/>
  <c r="K132" i="189"/>
  <c r="K149" i="189"/>
  <c r="K161" i="189"/>
  <c r="K120" i="189"/>
  <c r="K138" i="189"/>
  <c r="K146" i="189"/>
  <c r="K158" i="189"/>
  <c r="K112" i="189"/>
  <c r="K128" i="189"/>
  <c r="K141" i="189"/>
  <c r="K153" i="189"/>
  <c r="K125" i="189"/>
  <c r="K137" i="189"/>
  <c r="K139" i="189"/>
  <c r="K148" i="189"/>
  <c r="K160" i="189"/>
  <c r="K151" i="189"/>
  <c r="K167" i="189"/>
  <c r="K165" i="189"/>
  <c r="K156" i="189"/>
  <c r="K169" i="189"/>
  <c r="K164" i="189"/>
  <c r="K3" i="189"/>
  <c r="K144" i="189"/>
  <c r="K166" i="189"/>
  <c r="K155" i="189"/>
  <c r="K163" i="189"/>
  <c r="K168" i="189"/>
  <c r="K170" i="189"/>
  <c r="K143" i="189"/>
  <c r="K174" i="189"/>
  <c r="K175" i="189"/>
  <c r="K171" i="189"/>
  <c r="K173" i="189"/>
  <c r="K172" i="189"/>
  <c r="L1" i="189"/>
  <c r="L4" i="189" s="1"/>
  <c r="B53" i="184"/>
  <c r="T5" i="186"/>
  <c r="T19" i="186" s="1"/>
  <c r="X8" i="191" l="1"/>
  <c r="X10" i="191"/>
  <c r="X5" i="191"/>
  <c r="X12" i="191"/>
  <c r="X7" i="191"/>
  <c r="X15" i="191"/>
  <c r="X9" i="191"/>
  <c r="X4" i="191"/>
  <c r="X17" i="191"/>
  <c r="X29" i="191"/>
  <c r="X11" i="191"/>
  <c r="X6" i="191"/>
  <c r="X19" i="191"/>
  <c r="X31" i="191"/>
  <c r="X13" i="191"/>
  <c r="X30" i="191"/>
  <c r="X47" i="191"/>
  <c r="X26" i="191"/>
  <c r="X32" i="191"/>
  <c r="X39" i="191"/>
  <c r="X21" i="191"/>
  <c r="X27" i="191"/>
  <c r="X28" i="191"/>
  <c r="X34" i="191"/>
  <c r="X24" i="191"/>
  <c r="X51" i="191"/>
  <c r="X62" i="191"/>
  <c r="X16" i="191"/>
  <c r="X20" i="191"/>
  <c r="X42" i="191"/>
  <c r="X54" i="191"/>
  <c r="X23" i="191"/>
  <c r="X44" i="191"/>
  <c r="X22" i="191"/>
  <c r="X40" i="191"/>
  <c r="X52" i="191"/>
  <c r="X53" i="191"/>
  <c r="X45" i="191"/>
  <c r="X50" i="191"/>
  <c r="X60" i="191"/>
  <c r="X43" i="191"/>
  <c r="X18" i="191"/>
  <c r="X35" i="191"/>
  <c r="X36" i="191"/>
  <c r="X37" i="191"/>
  <c r="X33" i="191"/>
  <c r="X38" i="191"/>
  <c r="X46" i="191"/>
  <c r="X48" i="191"/>
  <c r="X57" i="191"/>
  <c r="X25" i="191"/>
  <c r="X59" i="191"/>
  <c r="X71" i="191"/>
  <c r="X81" i="191"/>
  <c r="X93" i="191"/>
  <c r="X49" i="191"/>
  <c r="X83" i="191"/>
  <c r="X95" i="191"/>
  <c r="X41" i="191"/>
  <c r="X58" i="191"/>
  <c r="X67" i="191"/>
  <c r="X61" i="191"/>
  <c r="X65" i="191"/>
  <c r="X66" i="191"/>
  <c r="X72" i="191"/>
  <c r="X80" i="191"/>
  <c r="X64" i="191"/>
  <c r="X68" i="191"/>
  <c r="X75" i="191"/>
  <c r="X55" i="191"/>
  <c r="X69" i="191"/>
  <c r="X82" i="191"/>
  <c r="X56" i="191"/>
  <c r="X63" i="191"/>
  <c r="X73" i="191"/>
  <c r="X70" i="191"/>
  <c r="X79" i="191"/>
  <c r="X74" i="191"/>
  <c r="X109" i="191"/>
  <c r="X88" i="191"/>
  <c r="X84" i="191"/>
  <c r="X94" i="191"/>
  <c r="X100" i="191"/>
  <c r="X106" i="191"/>
  <c r="X118" i="191"/>
  <c r="X78" i="191"/>
  <c r="X87" i="191"/>
  <c r="X98" i="191"/>
  <c r="X103" i="191"/>
  <c r="X77" i="191"/>
  <c r="X90" i="191"/>
  <c r="X76" i="191"/>
  <c r="X86" i="191"/>
  <c r="X105" i="191"/>
  <c r="X89" i="191"/>
  <c r="X91" i="191"/>
  <c r="X99" i="191"/>
  <c r="X85" i="191"/>
  <c r="X92" i="191"/>
  <c r="X102" i="191"/>
  <c r="X133" i="191"/>
  <c r="X101" i="191"/>
  <c r="X107" i="191"/>
  <c r="X130" i="191"/>
  <c r="X142" i="191"/>
  <c r="X96" i="191"/>
  <c r="X97" i="191"/>
  <c r="X111" i="191"/>
  <c r="X127" i="191"/>
  <c r="X110" i="191"/>
  <c r="X112" i="191"/>
  <c r="X117" i="191"/>
  <c r="X129" i="191"/>
  <c r="X141" i="191"/>
  <c r="X108" i="191"/>
  <c r="X113" i="191"/>
  <c r="X104" i="191"/>
  <c r="X114" i="191"/>
  <c r="X126" i="191"/>
  <c r="X121" i="191"/>
  <c r="X145" i="191"/>
  <c r="X154" i="191"/>
  <c r="X115" i="191"/>
  <c r="X125" i="191"/>
  <c r="X131" i="191"/>
  <c r="X138" i="191"/>
  <c r="X148" i="191"/>
  <c r="X161" i="191"/>
  <c r="X156" i="191"/>
  <c r="X122" i="191"/>
  <c r="X134" i="191"/>
  <c r="X139" i="191"/>
  <c r="X143" i="191"/>
  <c r="X151" i="191"/>
  <c r="X163" i="191"/>
  <c r="X158" i="191"/>
  <c r="X146" i="191"/>
  <c r="X140" i="191"/>
  <c r="X149" i="191"/>
  <c r="X153" i="191"/>
  <c r="X116" i="191"/>
  <c r="X123" i="191"/>
  <c r="X160" i="191"/>
  <c r="X144" i="191"/>
  <c r="X155" i="191"/>
  <c r="X119" i="191"/>
  <c r="X162" i="191"/>
  <c r="X132" i="191"/>
  <c r="X136" i="191"/>
  <c r="X147" i="191"/>
  <c r="X120" i="191"/>
  <c r="X124" i="191"/>
  <c r="X150" i="191"/>
  <c r="X152" i="191"/>
  <c r="X128" i="191"/>
  <c r="X135" i="191"/>
  <c r="X137" i="191"/>
  <c r="X159" i="191"/>
  <c r="X157" i="191"/>
  <c r="X168" i="191"/>
  <c r="X164" i="191"/>
  <c r="X167" i="191"/>
  <c r="X166" i="191"/>
  <c r="X170" i="191"/>
  <c r="X169" i="191"/>
  <c r="X171" i="191"/>
  <c r="X3" i="191"/>
  <c r="X165" i="191"/>
  <c r="X174" i="191"/>
  <c r="X173" i="191"/>
  <c r="X176" i="191"/>
  <c r="X172" i="191"/>
  <c r="X175" i="191"/>
  <c r="Y1" i="191"/>
  <c r="Y14" i="191" s="1"/>
  <c r="L9" i="189"/>
  <c r="L21" i="189"/>
  <c r="L33" i="189"/>
  <c r="L16" i="189"/>
  <c r="L28" i="189"/>
  <c r="L11" i="189"/>
  <c r="L23" i="189"/>
  <c r="L35" i="189"/>
  <c r="L6" i="189"/>
  <c r="L18" i="189"/>
  <c r="L30" i="189"/>
  <c r="L13" i="189"/>
  <c r="L25" i="189"/>
  <c r="L37" i="189"/>
  <c r="L8" i="189"/>
  <c r="L20" i="189"/>
  <c r="L32" i="189"/>
  <c r="L5" i="189"/>
  <c r="L10" i="189"/>
  <c r="L31" i="189"/>
  <c r="L49" i="189"/>
  <c r="L14" i="189"/>
  <c r="L44" i="189"/>
  <c r="L15" i="189"/>
  <c r="L39" i="189"/>
  <c r="L51" i="189"/>
  <c r="L22" i="189"/>
  <c r="L46" i="189"/>
  <c r="L29" i="189"/>
  <c r="L41" i="189"/>
  <c r="L53" i="189"/>
  <c r="L12" i="189"/>
  <c r="L36" i="189"/>
  <c r="L48" i="189"/>
  <c r="L27" i="189"/>
  <c r="L45" i="189"/>
  <c r="L57" i="189"/>
  <c r="L69" i="189"/>
  <c r="L50" i="189"/>
  <c r="L54" i="189"/>
  <c r="L64" i="189"/>
  <c r="L38" i="189"/>
  <c r="L59" i="189"/>
  <c r="L71" i="189"/>
  <c r="L66" i="189"/>
  <c r="L40" i="189"/>
  <c r="L61" i="189"/>
  <c r="L73" i="189"/>
  <c r="L52" i="189"/>
  <c r="L56" i="189"/>
  <c r="L68" i="189"/>
  <c r="L17" i="189"/>
  <c r="L19" i="189"/>
  <c r="L65" i="189"/>
  <c r="L34" i="189"/>
  <c r="L75" i="189"/>
  <c r="L87" i="189"/>
  <c r="L82" i="189"/>
  <c r="L7" i="189"/>
  <c r="L26" i="189"/>
  <c r="L43" i="189"/>
  <c r="L47" i="189"/>
  <c r="L67" i="189"/>
  <c r="L77" i="189"/>
  <c r="L89" i="189"/>
  <c r="L55" i="189"/>
  <c r="L84" i="189"/>
  <c r="L70" i="189"/>
  <c r="L79" i="189"/>
  <c r="L91" i="189"/>
  <c r="L58" i="189"/>
  <c r="L74" i="189"/>
  <c r="L86" i="189"/>
  <c r="L83" i="189"/>
  <c r="L24" i="189"/>
  <c r="L63" i="189"/>
  <c r="L78" i="189"/>
  <c r="L90" i="189"/>
  <c r="L42" i="189"/>
  <c r="L62" i="189"/>
  <c r="L85" i="189"/>
  <c r="L100" i="189"/>
  <c r="L112" i="189"/>
  <c r="L60" i="189"/>
  <c r="L88" i="189"/>
  <c r="L95" i="189"/>
  <c r="L107" i="189"/>
  <c r="L102" i="189"/>
  <c r="L114" i="189"/>
  <c r="L72" i="189"/>
  <c r="L97" i="189"/>
  <c r="L109" i="189"/>
  <c r="L76" i="189"/>
  <c r="L104" i="189"/>
  <c r="L116" i="189"/>
  <c r="L92" i="189"/>
  <c r="L96" i="189"/>
  <c r="L108" i="189"/>
  <c r="L103" i="189"/>
  <c r="L115" i="189"/>
  <c r="L98" i="189"/>
  <c r="L110" i="189"/>
  <c r="L120" i="189"/>
  <c r="L132" i="189"/>
  <c r="L94" i="189"/>
  <c r="L127" i="189"/>
  <c r="L139" i="189"/>
  <c r="L101" i="189"/>
  <c r="L122" i="189"/>
  <c r="L134" i="189"/>
  <c r="L80" i="189"/>
  <c r="L93" i="189"/>
  <c r="L129" i="189"/>
  <c r="L99" i="189"/>
  <c r="L124" i="189"/>
  <c r="L136" i="189"/>
  <c r="L81" i="189"/>
  <c r="L106" i="189"/>
  <c r="L119" i="189"/>
  <c r="L131" i="189"/>
  <c r="L113" i="189"/>
  <c r="L126" i="189"/>
  <c r="L138" i="189"/>
  <c r="L111" i="189"/>
  <c r="L128" i="189"/>
  <c r="L123" i="189"/>
  <c r="L135" i="189"/>
  <c r="L133" i="189"/>
  <c r="L143" i="189"/>
  <c r="L155" i="189"/>
  <c r="L130" i="189"/>
  <c r="L150" i="189"/>
  <c r="L162" i="189"/>
  <c r="L145" i="189"/>
  <c r="L157" i="189"/>
  <c r="L105" i="189"/>
  <c r="L121" i="189"/>
  <c r="L140" i="189"/>
  <c r="L152" i="189"/>
  <c r="L118" i="189"/>
  <c r="L147" i="189"/>
  <c r="L159" i="189"/>
  <c r="L142" i="189"/>
  <c r="L154" i="189"/>
  <c r="L151" i="189"/>
  <c r="L163" i="189"/>
  <c r="L146" i="189"/>
  <c r="L158" i="189"/>
  <c r="L141" i="189"/>
  <c r="L153" i="189"/>
  <c r="L165" i="189"/>
  <c r="L160" i="189"/>
  <c r="L161" i="189"/>
  <c r="L148" i="189"/>
  <c r="L167" i="189"/>
  <c r="L144" i="189"/>
  <c r="L166" i="189"/>
  <c r="L137" i="189"/>
  <c r="L156" i="189"/>
  <c r="L169" i="189"/>
  <c r="L164" i="189"/>
  <c r="L3" i="189"/>
  <c r="L125" i="189"/>
  <c r="L170" i="189"/>
  <c r="L117" i="189"/>
  <c r="L149" i="189"/>
  <c r="L168" i="189"/>
  <c r="L175" i="189"/>
  <c r="L172" i="189"/>
  <c r="L174" i="189"/>
  <c r="L173" i="189"/>
  <c r="L171" i="189"/>
  <c r="M1" i="189"/>
  <c r="M4" i="189" s="1"/>
  <c r="D1" i="187"/>
  <c r="D4" i="187" s="1"/>
  <c r="Y13" i="191" l="1"/>
  <c r="Y8" i="191"/>
  <c r="Y10" i="191"/>
  <c r="Y5" i="191"/>
  <c r="Y12" i="191"/>
  <c r="Y7" i="191"/>
  <c r="Y15" i="191"/>
  <c r="Y9" i="191"/>
  <c r="Y22" i="191"/>
  <c r="Y34" i="191"/>
  <c r="Y4" i="191"/>
  <c r="Y11" i="191"/>
  <c r="Y24" i="191"/>
  <c r="Y36" i="191"/>
  <c r="Y6" i="191"/>
  <c r="Y23" i="191"/>
  <c r="Y40" i="191"/>
  <c r="Y52" i="191"/>
  <c r="Y25" i="191"/>
  <c r="Y37" i="191"/>
  <c r="Y44" i="191"/>
  <c r="Y16" i="191"/>
  <c r="Y20" i="191"/>
  <c r="Y21" i="191"/>
  <c r="Y27" i="191"/>
  <c r="Y19" i="191"/>
  <c r="Y33" i="191"/>
  <c r="Y46" i="191"/>
  <c r="Y55" i="191"/>
  <c r="Y67" i="191"/>
  <c r="Y48" i="191"/>
  <c r="Y59" i="191"/>
  <c r="Y32" i="191"/>
  <c r="Y43" i="191"/>
  <c r="Y30" i="191"/>
  <c r="Y47" i="191"/>
  <c r="Y51" i="191"/>
  <c r="Y53" i="191"/>
  <c r="Y70" i="191"/>
  <c r="Y49" i="191"/>
  <c r="Y61" i="191"/>
  <c r="Y64" i="191"/>
  <c r="Y72" i="191"/>
  <c r="Y18" i="191"/>
  <c r="Y35" i="191"/>
  <c r="Y31" i="191"/>
  <c r="Y38" i="191"/>
  <c r="Y28" i="191"/>
  <c r="Y57" i="191"/>
  <c r="Y29" i="191"/>
  <c r="Y17" i="191"/>
  <c r="Y26" i="191"/>
  <c r="Y42" i="191"/>
  <c r="Y79" i="191"/>
  <c r="Y62" i="191"/>
  <c r="Y86" i="191"/>
  <c r="Y60" i="191"/>
  <c r="Y71" i="191"/>
  <c r="Y45" i="191"/>
  <c r="Y74" i="191"/>
  <c r="Y76" i="191"/>
  <c r="Y88" i="191"/>
  <c r="Y100" i="191"/>
  <c r="Y41" i="191"/>
  <c r="Y58" i="191"/>
  <c r="Y39" i="191"/>
  <c r="Y65" i="191"/>
  <c r="Y66" i="191"/>
  <c r="Y80" i="191"/>
  <c r="Y68" i="191"/>
  <c r="Y75" i="191"/>
  <c r="Y87" i="191"/>
  <c r="Y54" i="191"/>
  <c r="Y69" i="191"/>
  <c r="Y77" i="191"/>
  <c r="Y50" i="191"/>
  <c r="Y56" i="191"/>
  <c r="Y63" i="191"/>
  <c r="Y73" i="191"/>
  <c r="Y84" i="191"/>
  <c r="Y85" i="191"/>
  <c r="Y92" i="191"/>
  <c r="Y102" i="191"/>
  <c r="Y93" i="191"/>
  <c r="Y111" i="191"/>
  <c r="Y81" i="191"/>
  <c r="Y78" i="191"/>
  <c r="Y82" i="191"/>
  <c r="Y108" i="191"/>
  <c r="Y90" i="191"/>
  <c r="Y101" i="191"/>
  <c r="Y110" i="191"/>
  <c r="Y83" i="191"/>
  <c r="Y96" i="191"/>
  <c r="Y89" i="191"/>
  <c r="Y91" i="191"/>
  <c r="Y99" i="191"/>
  <c r="Y107" i="191"/>
  <c r="Y104" i="191"/>
  <c r="Y114" i="191"/>
  <c r="Y126" i="191"/>
  <c r="Y95" i="191"/>
  <c r="Y115" i="191"/>
  <c r="Y94" i="191"/>
  <c r="Y121" i="191"/>
  <c r="Y123" i="191"/>
  <c r="Y135" i="191"/>
  <c r="Y147" i="191"/>
  <c r="Y105" i="191"/>
  <c r="Y116" i="191"/>
  <c r="Y97" i="191"/>
  <c r="Y119" i="191"/>
  <c r="Y109" i="191"/>
  <c r="Y112" i="191"/>
  <c r="Y122" i="191"/>
  <c r="Y134" i="191"/>
  <c r="Y98" i="191"/>
  <c r="Y103" i="191"/>
  <c r="Y106" i="191"/>
  <c r="Y117" i="191"/>
  <c r="Y113" i="191"/>
  <c r="Y120" i="191"/>
  <c r="Y124" i="191"/>
  <c r="Y131" i="191"/>
  <c r="Y128" i="191"/>
  <c r="Y137" i="191"/>
  <c r="Y159" i="191"/>
  <c r="Y145" i="191"/>
  <c r="Y154" i="191"/>
  <c r="Y166" i="191"/>
  <c r="Y148" i="191"/>
  <c r="Y125" i="191"/>
  <c r="Y138" i="191"/>
  <c r="Y156" i="191"/>
  <c r="Y168" i="191"/>
  <c r="Y151" i="191"/>
  <c r="Y129" i="191"/>
  <c r="Y139" i="191"/>
  <c r="Y143" i="191"/>
  <c r="Y146" i="191"/>
  <c r="Y133" i="191"/>
  <c r="Y140" i="191"/>
  <c r="Y149" i="191"/>
  <c r="Y153" i="191"/>
  <c r="Y130" i="191"/>
  <c r="Y141" i="191"/>
  <c r="Y160" i="191"/>
  <c r="Y118" i="191"/>
  <c r="Y144" i="191"/>
  <c r="Y155" i="191"/>
  <c r="Y167" i="191"/>
  <c r="Y127" i="191"/>
  <c r="Y132" i="191"/>
  <c r="Y136" i="191"/>
  <c r="Y142" i="191"/>
  <c r="Y150" i="191"/>
  <c r="Y152" i="191"/>
  <c r="Y164" i="191"/>
  <c r="Y3" i="191"/>
  <c r="Y165" i="191"/>
  <c r="Y162" i="191"/>
  <c r="Y157" i="191"/>
  <c r="Y163" i="191"/>
  <c r="Y170" i="191"/>
  <c r="Y171" i="191"/>
  <c r="Y161" i="191"/>
  <c r="Y158" i="191"/>
  <c r="Y169" i="191"/>
  <c r="Y173" i="191"/>
  <c r="Y176" i="191"/>
  <c r="Y174" i="191"/>
  <c r="Y172" i="191"/>
  <c r="Y175" i="191"/>
  <c r="Z1" i="191"/>
  <c r="Z14" i="191" s="1"/>
  <c r="M14" i="189"/>
  <c r="M26" i="189"/>
  <c r="M9" i="189"/>
  <c r="M21" i="189"/>
  <c r="M33" i="189"/>
  <c r="M16" i="189"/>
  <c r="M28" i="189"/>
  <c r="M11" i="189"/>
  <c r="M23" i="189"/>
  <c r="M35" i="189"/>
  <c r="M6" i="189"/>
  <c r="M18" i="189"/>
  <c r="M30" i="189"/>
  <c r="M13" i="189"/>
  <c r="M25" i="189"/>
  <c r="M37" i="189"/>
  <c r="M8" i="189"/>
  <c r="M5" i="189"/>
  <c r="M7" i="189"/>
  <c r="M24" i="189"/>
  <c r="M42" i="189"/>
  <c r="M54" i="189"/>
  <c r="M10" i="189"/>
  <c r="M31" i="189"/>
  <c r="M49" i="189"/>
  <c r="M32" i="189"/>
  <c r="M44" i="189"/>
  <c r="M15" i="189"/>
  <c r="M39" i="189"/>
  <c r="M51" i="189"/>
  <c r="M22" i="189"/>
  <c r="M46" i="189"/>
  <c r="M29" i="189"/>
  <c r="M41" i="189"/>
  <c r="M53" i="189"/>
  <c r="M20" i="189"/>
  <c r="M38" i="189"/>
  <c r="M50" i="189"/>
  <c r="M27" i="189"/>
  <c r="M47" i="189"/>
  <c r="M62" i="189"/>
  <c r="M57" i="189"/>
  <c r="M69" i="189"/>
  <c r="M64" i="189"/>
  <c r="M59" i="189"/>
  <c r="M71" i="189"/>
  <c r="M66" i="189"/>
  <c r="M40" i="189"/>
  <c r="M61" i="189"/>
  <c r="M73" i="189"/>
  <c r="M58" i="189"/>
  <c r="M70" i="189"/>
  <c r="M65" i="189"/>
  <c r="M80" i="189"/>
  <c r="M92" i="189"/>
  <c r="M34" i="189"/>
  <c r="M75" i="189"/>
  <c r="M87" i="189"/>
  <c r="M12" i="189"/>
  <c r="M45" i="189"/>
  <c r="M68" i="189"/>
  <c r="M82" i="189"/>
  <c r="M17" i="189"/>
  <c r="M43" i="189"/>
  <c r="M56" i="189"/>
  <c r="M67" i="189"/>
  <c r="M77" i="189"/>
  <c r="M89" i="189"/>
  <c r="M52" i="189"/>
  <c r="M55" i="189"/>
  <c r="M84" i="189"/>
  <c r="M79" i="189"/>
  <c r="M91" i="189"/>
  <c r="M19" i="189"/>
  <c r="M60" i="189"/>
  <c r="M76" i="189"/>
  <c r="M88" i="189"/>
  <c r="M83" i="189"/>
  <c r="M63" i="189"/>
  <c r="M78" i="189"/>
  <c r="M90" i="189"/>
  <c r="M74" i="189"/>
  <c r="M93" i="189"/>
  <c r="M105" i="189"/>
  <c r="M117" i="189"/>
  <c r="M100" i="189"/>
  <c r="M112" i="189"/>
  <c r="M85" i="189"/>
  <c r="M95" i="189"/>
  <c r="M107" i="189"/>
  <c r="M102" i="189"/>
  <c r="M114" i="189"/>
  <c r="M72" i="189"/>
  <c r="M97" i="189"/>
  <c r="M109" i="189"/>
  <c r="M101" i="189"/>
  <c r="M113" i="189"/>
  <c r="M86" i="189"/>
  <c r="M96" i="189"/>
  <c r="M108" i="189"/>
  <c r="M48" i="189"/>
  <c r="M103" i="189"/>
  <c r="M115" i="189"/>
  <c r="M116" i="189"/>
  <c r="M125" i="189"/>
  <c r="M137" i="189"/>
  <c r="M120" i="189"/>
  <c r="M132" i="189"/>
  <c r="M94" i="189"/>
  <c r="M127" i="189"/>
  <c r="M122" i="189"/>
  <c r="M134" i="189"/>
  <c r="M129" i="189"/>
  <c r="M36" i="189"/>
  <c r="M99" i="189"/>
  <c r="M124" i="189"/>
  <c r="M81" i="189"/>
  <c r="M106" i="189"/>
  <c r="M119" i="189"/>
  <c r="M131" i="189"/>
  <c r="M104" i="189"/>
  <c r="M121" i="189"/>
  <c r="M133" i="189"/>
  <c r="M111" i="189"/>
  <c r="M128" i="189"/>
  <c r="M136" i="189"/>
  <c r="M148" i="189"/>
  <c r="M160" i="189"/>
  <c r="M143" i="189"/>
  <c r="M155" i="189"/>
  <c r="M130" i="189"/>
  <c r="M150" i="189"/>
  <c r="M162" i="189"/>
  <c r="M145" i="189"/>
  <c r="M157" i="189"/>
  <c r="M135" i="189"/>
  <c r="M140" i="189"/>
  <c r="M152" i="189"/>
  <c r="M110" i="189"/>
  <c r="M118" i="189"/>
  <c r="M147" i="189"/>
  <c r="M159" i="189"/>
  <c r="M144" i="189"/>
  <c r="M156" i="189"/>
  <c r="M98" i="189"/>
  <c r="M138" i="189"/>
  <c r="M151" i="189"/>
  <c r="M163" i="189"/>
  <c r="M146" i="189"/>
  <c r="M158" i="189"/>
  <c r="M126" i="189"/>
  <c r="M154" i="189"/>
  <c r="M161" i="189"/>
  <c r="M170" i="189"/>
  <c r="M3" i="189"/>
  <c r="M165" i="189"/>
  <c r="M142" i="189"/>
  <c r="M167" i="189"/>
  <c r="M123" i="189"/>
  <c r="M139" i="189"/>
  <c r="M153" i="189"/>
  <c r="M169" i="189"/>
  <c r="M164" i="189"/>
  <c r="M141" i="189"/>
  <c r="M166" i="189"/>
  <c r="M149" i="189"/>
  <c r="M168" i="189"/>
  <c r="M173" i="189"/>
  <c r="M175" i="189"/>
  <c r="M171" i="189"/>
  <c r="M174" i="189"/>
  <c r="M172" i="189"/>
  <c r="N1" i="189"/>
  <c r="N4" i="189" s="1"/>
  <c r="D8" i="187"/>
  <c r="D10" i="187"/>
  <c r="D5" i="187"/>
  <c r="D7" i="187"/>
  <c r="D11" i="187"/>
  <c r="D23" i="187"/>
  <c r="D35" i="187"/>
  <c r="D6" i="187"/>
  <c r="D18" i="187"/>
  <c r="D30" i="187"/>
  <c r="D13" i="187"/>
  <c r="D25" i="187"/>
  <c r="D20" i="187"/>
  <c r="D32" i="187"/>
  <c r="D15" i="187"/>
  <c r="D27" i="187"/>
  <c r="D22" i="187"/>
  <c r="D17" i="187"/>
  <c r="D29" i="187"/>
  <c r="D9" i="187"/>
  <c r="D12" i="187"/>
  <c r="D24" i="187"/>
  <c r="D21" i="187"/>
  <c r="D33" i="187"/>
  <c r="D31" i="187"/>
  <c r="D45" i="187"/>
  <c r="D57" i="187"/>
  <c r="D14" i="187"/>
  <c r="D40" i="187"/>
  <c r="D52" i="187"/>
  <c r="D28" i="187"/>
  <c r="D47" i="187"/>
  <c r="D59" i="187"/>
  <c r="D19" i="187"/>
  <c r="D42" i="187"/>
  <c r="D54" i="187"/>
  <c r="D37" i="187"/>
  <c r="D49" i="187"/>
  <c r="D16" i="187"/>
  <c r="D44" i="187"/>
  <c r="D56" i="187"/>
  <c r="D39" i="187"/>
  <c r="D51" i="187"/>
  <c r="D46" i="187"/>
  <c r="D58" i="187"/>
  <c r="D26" i="187"/>
  <c r="D43" i="187"/>
  <c r="D55" i="187"/>
  <c r="D41" i="187"/>
  <c r="D68" i="187"/>
  <c r="D80" i="187"/>
  <c r="D34" i="187"/>
  <c r="D63" i="187"/>
  <c r="D75" i="187"/>
  <c r="D38" i="187"/>
  <c r="D70" i="187"/>
  <c r="D82" i="187"/>
  <c r="D65" i="187"/>
  <c r="D77" i="187"/>
  <c r="D60" i="187"/>
  <c r="D72" i="187"/>
  <c r="D67" i="187"/>
  <c r="D79" i="187"/>
  <c r="D62" i="187"/>
  <c r="D74" i="187"/>
  <c r="D48" i="187"/>
  <c r="D69" i="187"/>
  <c r="D81" i="187"/>
  <c r="D36" i="187"/>
  <c r="D66" i="187"/>
  <c r="D78" i="187"/>
  <c r="D76" i="187"/>
  <c r="D87" i="187"/>
  <c r="D99" i="187"/>
  <c r="D53" i="187"/>
  <c r="D94" i="187"/>
  <c r="D106" i="187"/>
  <c r="D73" i="187"/>
  <c r="D89" i="187"/>
  <c r="D101" i="187"/>
  <c r="D64" i="187"/>
  <c r="D84" i="187"/>
  <c r="D96" i="187"/>
  <c r="D91" i="187"/>
  <c r="D103" i="187"/>
  <c r="D61" i="187"/>
  <c r="D86" i="187"/>
  <c r="D98" i="187"/>
  <c r="D83" i="187"/>
  <c r="D93" i="187"/>
  <c r="D105" i="187"/>
  <c r="D88" i="187"/>
  <c r="D100" i="187"/>
  <c r="D50" i="187"/>
  <c r="D95" i="187"/>
  <c r="D71" i="187"/>
  <c r="D85" i="187"/>
  <c r="D97" i="187"/>
  <c r="D114" i="187"/>
  <c r="D126" i="187"/>
  <c r="D107" i="187"/>
  <c r="D109" i="187"/>
  <c r="D121" i="187"/>
  <c r="D133" i="187"/>
  <c r="D116" i="187"/>
  <c r="D128" i="187"/>
  <c r="D111" i="187"/>
  <c r="D123" i="187"/>
  <c r="D118" i="187"/>
  <c r="D130" i="187"/>
  <c r="D92" i="187"/>
  <c r="D113" i="187"/>
  <c r="D125" i="187"/>
  <c r="D90" i="187"/>
  <c r="D108" i="187"/>
  <c r="D120" i="187"/>
  <c r="D132" i="187"/>
  <c r="D104" i="187"/>
  <c r="D115" i="187"/>
  <c r="D127" i="187"/>
  <c r="D102" i="187"/>
  <c r="D110" i="187"/>
  <c r="D122" i="187"/>
  <c r="D134" i="187"/>
  <c r="D112" i="187"/>
  <c r="D124" i="187"/>
  <c r="D141" i="187"/>
  <c r="D153" i="187"/>
  <c r="D136" i="187"/>
  <c r="D148" i="187"/>
  <c r="D160" i="187"/>
  <c r="D143" i="187"/>
  <c r="D155" i="187"/>
  <c r="D138" i="187"/>
  <c r="D150" i="187"/>
  <c r="D145" i="187"/>
  <c r="D157" i="187"/>
  <c r="D119" i="187"/>
  <c r="D140" i="187"/>
  <c r="D152" i="187"/>
  <c r="D117" i="187"/>
  <c r="D135" i="187"/>
  <c r="D147" i="187"/>
  <c r="D159" i="187"/>
  <c r="D131" i="187"/>
  <c r="D142" i="187"/>
  <c r="D154" i="187"/>
  <c r="D129" i="187"/>
  <c r="D137" i="187"/>
  <c r="D149" i="187"/>
  <c r="D161" i="187"/>
  <c r="D170" i="187"/>
  <c r="D151" i="187"/>
  <c r="D165" i="187"/>
  <c r="D3" i="187"/>
  <c r="D156" i="187"/>
  <c r="D167" i="187"/>
  <c r="D139" i="187"/>
  <c r="D162" i="187"/>
  <c r="D169" i="187"/>
  <c r="D144" i="187"/>
  <c r="D164" i="187"/>
  <c r="D158" i="187"/>
  <c r="D166" i="187"/>
  <c r="D163" i="187"/>
  <c r="D168" i="187"/>
  <c r="D146" i="187"/>
  <c r="B25" i="186"/>
  <c r="E1" i="187"/>
  <c r="E4" i="187" s="1"/>
  <c r="D172" i="187"/>
  <c r="D175" i="187"/>
  <c r="D173" i="187"/>
  <c r="D174" i="187"/>
  <c r="D171" i="187"/>
  <c r="Z6" i="191" l="1"/>
  <c r="Z8" i="191"/>
  <c r="Z16" i="191"/>
  <c r="Z10" i="191"/>
  <c r="Z5" i="191"/>
  <c r="Z12" i="191"/>
  <c r="Z7" i="191"/>
  <c r="Z15" i="191"/>
  <c r="Z27" i="191"/>
  <c r="Z9" i="191"/>
  <c r="Z4" i="191"/>
  <c r="Z17" i="191"/>
  <c r="Z29" i="191"/>
  <c r="Z11" i="191"/>
  <c r="Z36" i="191"/>
  <c r="Z45" i="191"/>
  <c r="Z49" i="191"/>
  <c r="Z19" i="191"/>
  <c r="Z33" i="191"/>
  <c r="Z20" i="191"/>
  <c r="Z26" i="191"/>
  <c r="Z60" i="191"/>
  <c r="Z39" i="191"/>
  <c r="Z41" i="191"/>
  <c r="Z25" i="191"/>
  <c r="Z38" i="191"/>
  <c r="Z23" i="191"/>
  <c r="Z32" i="191"/>
  <c r="Z43" i="191"/>
  <c r="Z13" i="191"/>
  <c r="Z21" i="191"/>
  <c r="Z22" i="191"/>
  <c r="Z40" i="191"/>
  <c r="Z47" i="191"/>
  <c r="Z52" i="191"/>
  <c r="Z66" i="191"/>
  <c r="Z50" i="191"/>
  <c r="Z54" i="191"/>
  <c r="Z18" i="191"/>
  <c r="Z34" i="191"/>
  <c r="Z35" i="191"/>
  <c r="Z37" i="191"/>
  <c r="Z46" i="191"/>
  <c r="Z56" i="191"/>
  <c r="Z30" i="191"/>
  <c r="Z31" i="191"/>
  <c r="Z44" i="191"/>
  <c r="Z48" i="191"/>
  <c r="Z28" i="191"/>
  <c r="Z24" i="191"/>
  <c r="Z42" i="191"/>
  <c r="Z58" i="191"/>
  <c r="Z63" i="191"/>
  <c r="Z70" i="191"/>
  <c r="Z73" i="191"/>
  <c r="Z79" i="191"/>
  <c r="Z91" i="191"/>
  <c r="Z57" i="191"/>
  <c r="Z62" i="191"/>
  <c r="Z71" i="191"/>
  <c r="Z81" i="191"/>
  <c r="Z93" i="191"/>
  <c r="Z67" i="191"/>
  <c r="Z78" i="191"/>
  <c r="Z51" i="191"/>
  <c r="Z61" i="191"/>
  <c r="Z72" i="191"/>
  <c r="Z64" i="191"/>
  <c r="Z65" i="191"/>
  <c r="Z80" i="191"/>
  <c r="Z55" i="191"/>
  <c r="Z59" i="191"/>
  <c r="Z68" i="191"/>
  <c r="Z69" i="191"/>
  <c r="Z53" i="191"/>
  <c r="Z77" i="191"/>
  <c r="Z89" i="191"/>
  <c r="Z99" i="191"/>
  <c r="Z107" i="191"/>
  <c r="Z74" i="191"/>
  <c r="Z85" i="191"/>
  <c r="Z92" i="191"/>
  <c r="Z88" i="191"/>
  <c r="Z97" i="191"/>
  <c r="Z104" i="191"/>
  <c r="Z116" i="191"/>
  <c r="Z84" i="191"/>
  <c r="Z87" i="191"/>
  <c r="Z95" i="191"/>
  <c r="Z82" i="191"/>
  <c r="Z98" i="191"/>
  <c r="Z103" i="191"/>
  <c r="Z115" i="191"/>
  <c r="Z76" i="191"/>
  <c r="Z86" i="191"/>
  <c r="Z90" i="191"/>
  <c r="Z83" i="191"/>
  <c r="Z105" i="191"/>
  <c r="Z75" i="191"/>
  <c r="Z96" i="191"/>
  <c r="Z131" i="191"/>
  <c r="Z100" i="191"/>
  <c r="Z114" i="191"/>
  <c r="Z118" i="191"/>
  <c r="Z128" i="191"/>
  <c r="Z140" i="191"/>
  <c r="Z94" i="191"/>
  <c r="Z101" i="191"/>
  <c r="Z102" i="191"/>
  <c r="Z125" i="191"/>
  <c r="Z111" i="191"/>
  <c r="Z110" i="191"/>
  <c r="Z127" i="191"/>
  <c r="Z139" i="191"/>
  <c r="Z109" i="191"/>
  <c r="Z112" i="191"/>
  <c r="Z106" i="191"/>
  <c r="Z108" i="191"/>
  <c r="Z117" i="191"/>
  <c r="Z129" i="191"/>
  <c r="Z113" i="191"/>
  <c r="Z120" i="191"/>
  <c r="Z124" i="191"/>
  <c r="Z135" i="191"/>
  <c r="Z142" i="191"/>
  <c r="Z150" i="191"/>
  <c r="Z152" i="191"/>
  <c r="Z121" i="191"/>
  <c r="Z137" i="191"/>
  <c r="Z159" i="191"/>
  <c r="Z171" i="191"/>
  <c r="Z154" i="191"/>
  <c r="Z145" i="191"/>
  <c r="Z138" i="191"/>
  <c r="Z148" i="191"/>
  <c r="Z161" i="191"/>
  <c r="Z122" i="191"/>
  <c r="Z134" i="191"/>
  <c r="Z156" i="191"/>
  <c r="Z126" i="191"/>
  <c r="Z143" i="191"/>
  <c r="Z151" i="191"/>
  <c r="Z146" i="191"/>
  <c r="Z158" i="191"/>
  <c r="Z123" i="191"/>
  <c r="Z133" i="191"/>
  <c r="Z149" i="191"/>
  <c r="Z153" i="191"/>
  <c r="Z130" i="191"/>
  <c r="Z141" i="191"/>
  <c r="Z160" i="191"/>
  <c r="Z119" i="191"/>
  <c r="Z144" i="191"/>
  <c r="Z147" i="191"/>
  <c r="Z132" i="191"/>
  <c r="Z136" i="191"/>
  <c r="Z157" i="191"/>
  <c r="Z169" i="191"/>
  <c r="Z3" i="191"/>
  <c r="Z165" i="191"/>
  <c r="Z162" i="191"/>
  <c r="Z168" i="191"/>
  <c r="Z164" i="191"/>
  <c r="Z167" i="191"/>
  <c r="Z163" i="191"/>
  <c r="Z166" i="191"/>
  <c r="Z170" i="191"/>
  <c r="Z155" i="191"/>
  <c r="Z172" i="191"/>
  <c r="Z175" i="191"/>
  <c r="Z176" i="191"/>
  <c r="Z174" i="191"/>
  <c r="Z173" i="191"/>
  <c r="AA1" i="191"/>
  <c r="AA14" i="191" s="1"/>
  <c r="N7" i="189"/>
  <c r="N19" i="189"/>
  <c r="N31" i="189"/>
  <c r="N14" i="189"/>
  <c r="N26" i="189"/>
  <c r="N9" i="189"/>
  <c r="N21" i="189"/>
  <c r="N33" i="189"/>
  <c r="N16" i="189"/>
  <c r="N28" i="189"/>
  <c r="N11" i="189"/>
  <c r="N23" i="189"/>
  <c r="N35" i="189"/>
  <c r="N6" i="189"/>
  <c r="N18" i="189"/>
  <c r="N30" i="189"/>
  <c r="N5" i="189"/>
  <c r="N17" i="189"/>
  <c r="N47" i="189"/>
  <c r="N24" i="189"/>
  <c r="N42" i="189"/>
  <c r="N54" i="189"/>
  <c r="N10" i="189"/>
  <c r="N25" i="189"/>
  <c r="N49" i="189"/>
  <c r="N32" i="189"/>
  <c r="N44" i="189"/>
  <c r="N15" i="189"/>
  <c r="N39" i="189"/>
  <c r="N51" i="189"/>
  <c r="N22" i="189"/>
  <c r="N46" i="189"/>
  <c r="N13" i="189"/>
  <c r="N37" i="189"/>
  <c r="N43" i="189"/>
  <c r="N12" i="189"/>
  <c r="N48" i="189"/>
  <c r="N55" i="189"/>
  <c r="N67" i="189"/>
  <c r="N27" i="189"/>
  <c r="N29" i="189"/>
  <c r="N62" i="189"/>
  <c r="N8" i="189"/>
  <c r="N50" i="189"/>
  <c r="N57" i="189"/>
  <c r="N69" i="189"/>
  <c r="N20" i="189"/>
  <c r="N38" i="189"/>
  <c r="N64" i="189"/>
  <c r="N59" i="189"/>
  <c r="N71" i="189"/>
  <c r="N41" i="189"/>
  <c r="N66" i="189"/>
  <c r="N53" i="189"/>
  <c r="N63" i="189"/>
  <c r="N85" i="189"/>
  <c r="N65" i="189"/>
  <c r="N80" i="189"/>
  <c r="N92" i="189"/>
  <c r="N34" i="189"/>
  <c r="N75" i="189"/>
  <c r="N87" i="189"/>
  <c r="N45" i="189"/>
  <c r="N68" i="189"/>
  <c r="N82" i="189"/>
  <c r="N56" i="189"/>
  <c r="N77" i="189"/>
  <c r="N89" i="189"/>
  <c r="N52" i="189"/>
  <c r="N70" i="189"/>
  <c r="N84" i="189"/>
  <c r="N61" i="189"/>
  <c r="N72" i="189"/>
  <c r="N81" i="189"/>
  <c r="N60" i="189"/>
  <c r="N76" i="189"/>
  <c r="N88" i="189"/>
  <c r="N83" i="189"/>
  <c r="N91" i="189"/>
  <c r="N98" i="189"/>
  <c r="N110" i="189"/>
  <c r="N74" i="189"/>
  <c r="N93" i="189"/>
  <c r="N105" i="189"/>
  <c r="N117" i="189"/>
  <c r="N100" i="189"/>
  <c r="N112" i="189"/>
  <c r="N79" i="189"/>
  <c r="N95" i="189"/>
  <c r="N107" i="189"/>
  <c r="N102" i="189"/>
  <c r="N114" i="189"/>
  <c r="N78" i="189"/>
  <c r="N94" i="189"/>
  <c r="N106" i="189"/>
  <c r="N101" i="189"/>
  <c r="N113" i="189"/>
  <c r="N86" i="189"/>
  <c r="N96" i="189"/>
  <c r="N108" i="189"/>
  <c r="N109" i="189"/>
  <c r="N118" i="189"/>
  <c r="N130" i="189"/>
  <c r="N116" i="189"/>
  <c r="N125" i="189"/>
  <c r="N137" i="189"/>
  <c r="N120" i="189"/>
  <c r="N132" i="189"/>
  <c r="N115" i="189"/>
  <c r="N127" i="189"/>
  <c r="N90" i="189"/>
  <c r="N122" i="189"/>
  <c r="N134" i="189"/>
  <c r="N58" i="189"/>
  <c r="N129" i="189"/>
  <c r="N36" i="189"/>
  <c r="N99" i="189"/>
  <c r="N124" i="189"/>
  <c r="N136" i="189"/>
  <c r="N97" i="189"/>
  <c r="N126" i="189"/>
  <c r="N138" i="189"/>
  <c r="N104" i="189"/>
  <c r="N121" i="189"/>
  <c r="N133" i="189"/>
  <c r="N40" i="189"/>
  <c r="N119" i="189"/>
  <c r="N139" i="189"/>
  <c r="N141" i="189"/>
  <c r="N153" i="189"/>
  <c r="N148" i="189"/>
  <c r="N160" i="189"/>
  <c r="N143" i="189"/>
  <c r="N155" i="189"/>
  <c r="N150" i="189"/>
  <c r="N162" i="189"/>
  <c r="N145" i="189"/>
  <c r="N157" i="189"/>
  <c r="N135" i="189"/>
  <c r="N140" i="189"/>
  <c r="N152" i="189"/>
  <c r="N123" i="189"/>
  <c r="N149" i="189"/>
  <c r="N161" i="189"/>
  <c r="N131" i="189"/>
  <c r="N144" i="189"/>
  <c r="N156" i="189"/>
  <c r="N128" i="189"/>
  <c r="N151" i="189"/>
  <c r="N163" i="189"/>
  <c r="N73" i="189"/>
  <c r="N154" i="189"/>
  <c r="N170" i="189"/>
  <c r="N165" i="189"/>
  <c r="N3" i="189"/>
  <c r="N159" i="189"/>
  <c r="N168" i="189"/>
  <c r="N111" i="189"/>
  <c r="N142" i="189"/>
  <c r="N167" i="189"/>
  <c r="N147" i="189"/>
  <c r="N169" i="189"/>
  <c r="N164" i="189"/>
  <c r="N158" i="189"/>
  <c r="N103" i="189"/>
  <c r="N146" i="189"/>
  <c r="N166" i="189"/>
  <c r="N173" i="189"/>
  <c r="N174" i="189"/>
  <c r="N172" i="189"/>
  <c r="N175" i="189"/>
  <c r="N171" i="189"/>
  <c r="O1" i="189"/>
  <c r="O4" i="189" s="1"/>
  <c r="E6" i="187"/>
  <c r="E8" i="187"/>
  <c r="E10" i="187"/>
  <c r="E7" i="187"/>
  <c r="E16" i="187"/>
  <c r="E28" i="187"/>
  <c r="E23" i="187"/>
  <c r="E35" i="187"/>
  <c r="E5" i="187"/>
  <c r="E18" i="187"/>
  <c r="E30" i="187"/>
  <c r="E13" i="187"/>
  <c r="E25" i="187"/>
  <c r="E20" i="187"/>
  <c r="E32" i="187"/>
  <c r="E11" i="187"/>
  <c r="E15" i="187"/>
  <c r="E27" i="187"/>
  <c r="E22" i="187"/>
  <c r="E34" i="187"/>
  <c r="E17" i="187"/>
  <c r="E29" i="187"/>
  <c r="E14" i="187"/>
  <c r="E26" i="187"/>
  <c r="E9" i="187"/>
  <c r="E38" i="187"/>
  <c r="E50" i="187"/>
  <c r="E31" i="187"/>
  <c r="E45" i="187"/>
  <c r="E57" i="187"/>
  <c r="E40" i="187"/>
  <c r="E52" i="187"/>
  <c r="E47" i="187"/>
  <c r="E59" i="187"/>
  <c r="E19" i="187"/>
  <c r="E42" i="187"/>
  <c r="E54" i="187"/>
  <c r="E37" i="187"/>
  <c r="E49" i="187"/>
  <c r="E24" i="187"/>
  <c r="E44" i="187"/>
  <c r="E56" i="187"/>
  <c r="E39" i="187"/>
  <c r="E51" i="187"/>
  <c r="E36" i="187"/>
  <c r="E48" i="187"/>
  <c r="E61" i="187"/>
  <c r="E73" i="187"/>
  <c r="E41" i="187"/>
  <c r="E68" i="187"/>
  <c r="E80" i="187"/>
  <c r="E55" i="187"/>
  <c r="E63" i="187"/>
  <c r="E75" i="187"/>
  <c r="E46" i="187"/>
  <c r="E58" i="187"/>
  <c r="E70" i="187"/>
  <c r="E12" i="187"/>
  <c r="E65" i="187"/>
  <c r="E77" i="187"/>
  <c r="E43" i="187"/>
  <c r="E60" i="187"/>
  <c r="E72" i="187"/>
  <c r="E67" i="187"/>
  <c r="E79" i="187"/>
  <c r="E62" i="187"/>
  <c r="E74" i="187"/>
  <c r="E33" i="187"/>
  <c r="E53" i="187"/>
  <c r="E71" i="187"/>
  <c r="E83" i="187"/>
  <c r="E82" i="187"/>
  <c r="E92" i="187"/>
  <c r="E104" i="187"/>
  <c r="E76" i="187"/>
  <c r="E87" i="187"/>
  <c r="E99" i="187"/>
  <c r="E94" i="187"/>
  <c r="E106" i="187"/>
  <c r="E89" i="187"/>
  <c r="E101" i="187"/>
  <c r="E64" i="187"/>
  <c r="E84" i="187"/>
  <c r="E96" i="187"/>
  <c r="E78" i="187"/>
  <c r="E91" i="187"/>
  <c r="E103" i="187"/>
  <c r="E69" i="187"/>
  <c r="E81" i="187"/>
  <c r="E86" i="187"/>
  <c r="E98" i="187"/>
  <c r="E21" i="187"/>
  <c r="E93" i="187"/>
  <c r="E105" i="187"/>
  <c r="E66" i="187"/>
  <c r="E88" i="187"/>
  <c r="E100" i="187"/>
  <c r="E90" i="187"/>
  <c r="E102" i="187"/>
  <c r="E119" i="187"/>
  <c r="E131" i="187"/>
  <c r="E114" i="187"/>
  <c r="E126" i="187"/>
  <c r="E107" i="187"/>
  <c r="E109" i="187"/>
  <c r="E121" i="187"/>
  <c r="E133" i="187"/>
  <c r="E116" i="187"/>
  <c r="E128" i="187"/>
  <c r="E111" i="187"/>
  <c r="E123" i="187"/>
  <c r="E85" i="187"/>
  <c r="E118" i="187"/>
  <c r="E130" i="187"/>
  <c r="E113" i="187"/>
  <c r="E125" i="187"/>
  <c r="E97" i="187"/>
  <c r="E108" i="187"/>
  <c r="E120" i="187"/>
  <c r="E132" i="187"/>
  <c r="E95" i="187"/>
  <c r="E115" i="187"/>
  <c r="E127" i="187"/>
  <c r="E117" i="187"/>
  <c r="E129" i="187"/>
  <c r="E146" i="187"/>
  <c r="E158" i="187"/>
  <c r="E141" i="187"/>
  <c r="E153" i="187"/>
  <c r="E136" i="187"/>
  <c r="E148" i="187"/>
  <c r="E160" i="187"/>
  <c r="E143" i="187"/>
  <c r="E155" i="187"/>
  <c r="E138" i="187"/>
  <c r="E150" i="187"/>
  <c r="E112" i="187"/>
  <c r="E145" i="187"/>
  <c r="E157" i="187"/>
  <c r="E110" i="187"/>
  <c r="E140" i="187"/>
  <c r="E152" i="187"/>
  <c r="E124" i="187"/>
  <c r="E135" i="187"/>
  <c r="E147" i="187"/>
  <c r="E159" i="187"/>
  <c r="E122" i="187"/>
  <c r="E142" i="187"/>
  <c r="E154" i="187"/>
  <c r="E137" i="187"/>
  <c r="E163" i="187"/>
  <c r="E170" i="187"/>
  <c r="E151" i="187"/>
  <c r="E165" i="187"/>
  <c r="E149" i="187"/>
  <c r="E168" i="187"/>
  <c r="E134" i="187"/>
  <c r="E156" i="187"/>
  <c r="E167" i="187"/>
  <c r="E139" i="187"/>
  <c r="E162" i="187"/>
  <c r="E166" i="187"/>
  <c r="E161" i="187"/>
  <c r="E169" i="187"/>
  <c r="E144" i="187"/>
  <c r="E164" i="187"/>
  <c r="E3" i="187"/>
  <c r="E173" i="187"/>
  <c r="E171" i="187"/>
  <c r="E175" i="187"/>
  <c r="E172" i="187"/>
  <c r="E174" i="187"/>
  <c r="F1" i="187"/>
  <c r="F4" i="187" s="1"/>
  <c r="B56" i="184"/>
  <c r="B55" i="184"/>
  <c r="AA11" i="191" l="1"/>
  <c r="AA6" i="191"/>
  <c r="AA13" i="191"/>
  <c r="AA8" i="191"/>
  <c r="AA10" i="191"/>
  <c r="AA5" i="191"/>
  <c r="AA12" i="191"/>
  <c r="AA7" i="191"/>
  <c r="AA20" i="191"/>
  <c r="AA32" i="191"/>
  <c r="AA15" i="191"/>
  <c r="AA9" i="191"/>
  <c r="AA22" i="191"/>
  <c r="AA34" i="191"/>
  <c r="AA4" i="191"/>
  <c r="AA18" i="191"/>
  <c r="AA29" i="191"/>
  <c r="AA35" i="191"/>
  <c r="AA38" i="191"/>
  <c r="AA50" i="191"/>
  <c r="AA31" i="191"/>
  <c r="AA42" i="191"/>
  <c r="AA26" i="191"/>
  <c r="AA16" i="191"/>
  <c r="AA19" i="191"/>
  <c r="AA33" i="191"/>
  <c r="AA17" i="191"/>
  <c r="AA37" i="191"/>
  <c r="AA45" i="191"/>
  <c r="AA53" i="191"/>
  <c r="AA65" i="191"/>
  <c r="AA36" i="191"/>
  <c r="AA40" i="191"/>
  <c r="AA47" i="191"/>
  <c r="AA57" i="191"/>
  <c r="AA25" i="191"/>
  <c r="AA23" i="191"/>
  <c r="AA24" i="191"/>
  <c r="AA21" i="191"/>
  <c r="AA59" i="191"/>
  <c r="AA63" i="191"/>
  <c r="AA68" i="191"/>
  <c r="AA51" i="191"/>
  <c r="AA60" i="191"/>
  <c r="AA70" i="191"/>
  <c r="AA41" i="191"/>
  <c r="AA46" i="191"/>
  <c r="AA56" i="191"/>
  <c r="AA62" i="191"/>
  <c r="AA30" i="191"/>
  <c r="AA27" i="191"/>
  <c r="AA28" i="191"/>
  <c r="AA39" i="191"/>
  <c r="AA77" i="191"/>
  <c r="AA73" i="191"/>
  <c r="AA84" i="191"/>
  <c r="AA52" i="191"/>
  <c r="AA86" i="191"/>
  <c r="AA98" i="191"/>
  <c r="AA43" i="191"/>
  <c r="AA49" i="191"/>
  <c r="AA58" i="191"/>
  <c r="AA67" i="191"/>
  <c r="AA78" i="191"/>
  <c r="AA61" i="191"/>
  <c r="AA66" i="191"/>
  <c r="AA72" i="191"/>
  <c r="AA85" i="191"/>
  <c r="AA64" i="191"/>
  <c r="AA44" i="191"/>
  <c r="AA48" i="191"/>
  <c r="AA54" i="191"/>
  <c r="AA55" i="191"/>
  <c r="AA75" i="191"/>
  <c r="AA69" i="191"/>
  <c r="AA82" i="191"/>
  <c r="AA89" i="191"/>
  <c r="AA91" i="191"/>
  <c r="AA96" i="191"/>
  <c r="AA74" i="191"/>
  <c r="AA92" i="191"/>
  <c r="AA88" i="191"/>
  <c r="AA93" i="191"/>
  <c r="AA109" i="191"/>
  <c r="AA121" i="191"/>
  <c r="AA71" i="191"/>
  <c r="AA79" i="191"/>
  <c r="AA80" i="191"/>
  <c r="AA81" i="191"/>
  <c r="AA94" i="191"/>
  <c r="AA106" i="191"/>
  <c r="AA87" i="191"/>
  <c r="AA108" i="191"/>
  <c r="AA76" i="191"/>
  <c r="AA90" i="191"/>
  <c r="AA101" i="191"/>
  <c r="AA83" i="191"/>
  <c r="AA105" i="191"/>
  <c r="AA113" i="191"/>
  <c r="AA120" i="191"/>
  <c r="AA124" i="191"/>
  <c r="AA104" i="191"/>
  <c r="AA100" i="191"/>
  <c r="AA114" i="191"/>
  <c r="AA95" i="191"/>
  <c r="AA115" i="191"/>
  <c r="AA118" i="191"/>
  <c r="AA133" i="191"/>
  <c r="AA145" i="191"/>
  <c r="AA107" i="191"/>
  <c r="AA102" i="191"/>
  <c r="AA116" i="191"/>
  <c r="AA130" i="191"/>
  <c r="AA97" i="191"/>
  <c r="AA111" i="191"/>
  <c r="AA119" i="191"/>
  <c r="AA132" i="191"/>
  <c r="AA110" i="191"/>
  <c r="AA103" i="191"/>
  <c r="AA112" i="191"/>
  <c r="AA122" i="191"/>
  <c r="AA99" i="191"/>
  <c r="AA117" i="191"/>
  <c r="AA129" i="191"/>
  <c r="AA136" i="191"/>
  <c r="AA157" i="191"/>
  <c r="AA128" i="191"/>
  <c r="AA135" i="191"/>
  <c r="AA142" i="191"/>
  <c r="AA150" i="191"/>
  <c r="AA152" i="191"/>
  <c r="AA164" i="191"/>
  <c r="AA131" i="191"/>
  <c r="AA137" i="191"/>
  <c r="AA125" i="191"/>
  <c r="AA154" i="191"/>
  <c r="AA166" i="191"/>
  <c r="AA148" i="191"/>
  <c r="AA138" i="191"/>
  <c r="AA134" i="191"/>
  <c r="AA139" i="191"/>
  <c r="AA126" i="191"/>
  <c r="AA143" i="191"/>
  <c r="AA151" i="191"/>
  <c r="AA140" i="191"/>
  <c r="AA146" i="191"/>
  <c r="AA158" i="191"/>
  <c r="AA123" i="191"/>
  <c r="AA149" i="191"/>
  <c r="AA153" i="191"/>
  <c r="AA165" i="191"/>
  <c r="AA141" i="191"/>
  <c r="AA127" i="191"/>
  <c r="AA144" i="191"/>
  <c r="AA147" i="191"/>
  <c r="AA162" i="191"/>
  <c r="AA169" i="191"/>
  <c r="AA171" i="191"/>
  <c r="AA3" i="191"/>
  <c r="AA168" i="191"/>
  <c r="AA156" i="191"/>
  <c r="AA167" i="191"/>
  <c r="AA160" i="191"/>
  <c r="AA163" i="191"/>
  <c r="AA159" i="191"/>
  <c r="AA161" i="191"/>
  <c r="AA170" i="191"/>
  <c r="AA155" i="191"/>
  <c r="AA176" i="191"/>
  <c r="AA172" i="191"/>
  <c r="AA174" i="191"/>
  <c r="AA173" i="191"/>
  <c r="AA175" i="191"/>
  <c r="AB1" i="191"/>
  <c r="AB14" i="191" s="1"/>
  <c r="O12" i="189"/>
  <c r="O24" i="189"/>
  <c r="O36" i="189"/>
  <c r="O7" i="189"/>
  <c r="O19" i="189"/>
  <c r="O31" i="189"/>
  <c r="O14" i="189"/>
  <c r="O26" i="189"/>
  <c r="O9" i="189"/>
  <c r="O21" i="189"/>
  <c r="O33" i="189"/>
  <c r="O16" i="189"/>
  <c r="O28" i="189"/>
  <c r="O11" i="189"/>
  <c r="O23" i="189"/>
  <c r="O35" i="189"/>
  <c r="O6" i="189"/>
  <c r="O5" i="189"/>
  <c r="O8" i="189"/>
  <c r="O34" i="189"/>
  <c r="O40" i="189"/>
  <c r="O52" i="189"/>
  <c r="O17" i="189"/>
  <c r="O47" i="189"/>
  <c r="O18" i="189"/>
  <c r="O42" i="189"/>
  <c r="O54" i="189"/>
  <c r="O10" i="189"/>
  <c r="O25" i="189"/>
  <c r="O49" i="189"/>
  <c r="O32" i="189"/>
  <c r="O44" i="189"/>
  <c r="O15" i="189"/>
  <c r="O39" i="189"/>
  <c r="O51" i="189"/>
  <c r="O30" i="189"/>
  <c r="O48" i="189"/>
  <c r="O60" i="189"/>
  <c r="O72" i="189"/>
  <c r="O55" i="189"/>
  <c r="O67" i="189"/>
  <c r="O27" i="189"/>
  <c r="O29" i="189"/>
  <c r="O62" i="189"/>
  <c r="O50" i="189"/>
  <c r="O57" i="189"/>
  <c r="O69" i="189"/>
  <c r="O20" i="189"/>
  <c r="O22" i="189"/>
  <c r="O38" i="189"/>
  <c r="O64" i="189"/>
  <c r="O37" i="189"/>
  <c r="O59" i="189"/>
  <c r="O71" i="189"/>
  <c r="O43" i="189"/>
  <c r="O56" i="189"/>
  <c r="O68" i="189"/>
  <c r="O78" i="189"/>
  <c r="O90" i="189"/>
  <c r="O66" i="189"/>
  <c r="O85" i="189"/>
  <c r="O65" i="189"/>
  <c r="O80" i="189"/>
  <c r="O92" i="189"/>
  <c r="O13" i="189"/>
  <c r="O75" i="189"/>
  <c r="O87" i="189"/>
  <c r="O41" i="189"/>
  <c r="O45" i="189"/>
  <c r="O82" i="189"/>
  <c r="O77" i="189"/>
  <c r="O89" i="189"/>
  <c r="O46" i="189"/>
  <c r="O73" i="189"/>
  <c r="O74" i="189"/>
  <c r="O86" i="189"/>
  <c r="O61" i="189"/>
  <c r="O81" i="189"/>
  <c r="O76" i="189"/>
  <c r="O88" i="189"/>
  <c r="O103" i="189"/>
  <c r="O115" i="189"/>
  <c r="O91" i="189"/>
  <c r="O98" i="189"/>
  <c r="O110" i="189"/>
  <c r="O93" i="189"/>
  <c r="O105" i="189"/>
  <c r="O117" i="189"/>
  <c r="O100" i="189"/>
  <c r="O112" i="189"/>
  <c r="O79" i="189"/>
  <c r="O95" i="189"/>
  <c r="O107" i="189"/>
  <c r="O99" i="189"/>
  <c r="O111" i="189"/>
  <c r="O70" i="189"/>
  <c r="O94" i="189"/>
  <c r="O106" i="189"/>
  <c r="O101" i="189"/>
  <c r="O113" i="189"/>
  <c r="O53" i="189"/>
  <c r="O102" i="189"/>
  <c r="O123" i="189"/>
  <c r="O135" i="189"/>
  <c r="O84" i="189"/>
  <c r="O109" i="189"/>
  <c r="O118" i="189"/>
  <c r="O130" i="189"/>
  <c r="O116" i="189"/>
  <c r="O125" i="189"/>
  <c r="O137" i="189"/>
  <c r="O108" i="189"/>
  <c r="O120" i="189"/>
  <c r="O132" i="189"/>
  <c r="O114" i="189"/>
  <c r="O127" i="189"/>
  <c r="O139" i="189"/>
  <c r="O122" i="189"/>
  <c r="O134" i="189"/>
  <c r="O58" i="189"/>
  <c r="O129" i="189"/>
  <c r="O119" i="189"/>
  <c r="O131" i="189"/>
  <c r="O97" i="189"/>
  <c r="O126" i="189"/>
  <c r="O138" i="189"/>
  <c r="O146" i="189"/>
  <c r="O158" i="189"/>
  <c r="O104" i="189"/>
  <c r="O133" i="189"/>
  <c r="O136" i="189"/>
  <c r="O141" i="189"/>
  <c r="O153" i="189"/>
  <c r="O83" i="189"/>
  <c r="O148" i="189"/>
  <c r="O160" i="189"/>
  <c r="O124" i="189"/>
  <c r="O143" i="189"/>
  <c r="O155" i="189"/>
  <c r="O121" i="189"/>
  <c r="O150" i="189"/>
  <c r="O63" i="189"/>
  <c r="O96" i="189"/>
  <c r="O145" i="189"/>
  <c r="O157" i="189"/>
  <c r="O142" i="189"/>
  <c r="O154" i="189"/>
  <c r="O149" i="189"/>
  <c r="O161" i="189"/>
  <c r="O144" i="189"/>
  <c r="O156" i="189"/>
  <c r="O140" i="189"/>
  <c r="O168" i="189"/>
  <c r="O147" i="189"/>
  <c r="O151" i="189"/>
  <c r="O170" i="189"/>
  <c r="O165" i="189"/>
  <c r="O159" i="189"/>
  <c r="O128" i="189"/>
  <c r="O167" i="189"/>
  <c r="O169" i="189"/>
  <c r="O164" i="189"/>
  <c r="O3" i="189"/>
  <c r="O162" i="189"/>
  <c r="O166" i="189"/>
  <c r="O152" i="189"/>
  <c r="O163" i="189"/>
  <c r="O174" i="189"/>
  <c r="O175" i="189"/>
  <c r="O171" i="189"/>
  <c r="O172" i="189"/>
  <c r="O173" i="189"/>
  <c r="P1" i="189"/>
  <c r="P4" i="189" s="1"/>
  <c r="F11" i="187"/>
  <c r="F6" i="187"/>
  <c r="F8" i="187"/>
  <c r="F5" i="187"/>
  <c r="F9" i="187"/>
  <c r="F21" i="187"/>
  <c r="F33" i="187"/>
  <c r="F16" i="187"/>
  <c r="F28" i="187"/>
  <c r="F23" i="187"/>
  <c r="F35" i="187"/>
  <c r="F18" i="187"/>
  <c r="F30" i="187"/>
  <c r="F13" i="187"/>
  <c r="F25" i="187"/>
  <c r="F20" i="187"/>
  <c r="F32" i="187"/>
  <c r="F10" i="187"/>
  <c r="F15" i="187"/>
  <c r="F27" i="187"/>
  <c r="F22" i="187"/>
  <c r="F34" i="187"/>
  <c r="F19" i="187"/>
  <c r="F31" i="187"/>
  <c r="F17" i="187"/>
  <c r="F43" i="187"/>
  <c r="F55" i="187"/>
  <c r="F38" i="187"/>
  <c r="F50" i="187"/>
  <c r="F14" i="187"/>
  <c r="F45" i="187"/>
  <c r="F57" i="187"/>
  <c r="F40" i="187"/>
  <c r="F52" i="187"/>
  <c r="F47" i="187"/>
  <c r="F42" i="187"/>
  <c r="F54" i="187"/>
  <c r="F37" i="187"/>
  <c r="F49" i="187"/>
  <c r="F24" i="187"/>
  <c r="F44" i="187"/>
  <c r="F56" i="187"/>
  <c r="F12" i="187"/>
  <c r="F41" i="187"/>
  <c r="F53" i="187"/>
  <c r="F7" i="187"/>
  <c r="F66" i="187"/>
  <c r="F78" i="187"/>
  <c r="F29" i="187"/>
  <c r="F61" i="187"/>
  <c r="F73" i="187"/>
  <c r="F68" i="187"/>
  <c r="F80" i="187"/>
  <c r="F63" i="187"/>
  <c r="F75" i="187"/>
  <c r="F46" i="187"/>
  <c r="F58" i="187"/>
  <c r="F59" i="187"/>
  <c r="F70" i="187"/>
  <c r="F65" i="187"/>
  <c r="F77" i="187"/>
  <c r="F51" i="187"/>
  <c r="F60" i="187"/>
  <c r="F72" i="187"/>
  <c r="F67" i="187"/>
  <c r="F79" i="187"/>
  <c r="F64" i="187"/>
  <c r="F76" i="187"/>
  <c r="F62" i="187"/>
  <c r="F85" i="187"/>
  <c r="F97" i="187"/>
  <c r="F82" i="187"/>
  <c r="F92" i="187"/>
  <c r="F104" i="187"/>
  <c r="F87" i="187"/>
  <c r="F99" i="187"/>
  <c r="F48" i="187"/>
  <c r="F94" i="187"/>
  <c r="F106" i="187"/>
  <c r="F89" i="187"/>
  <c r="F101" i="187"/>
  <c r="F36" i="187"/>
  <c r="F84" i="187"/>
  <c r="F96" i="187"/>
  <c r="F91" i="187"/>
  <c r="F103" i="187"/>
  <c r="F69" i="187"/>
  <c r="F81" i="187"/>
  <c r="F83" i="187"/>
  <c r="F86" i="187"/>
  <c r="F98" i="187"/>
  <c r="F93" i="187"/>
  <c r="F105" i="187"/>
  <c r="F39" i="187"/>
  <c r="F95" i="187"/>
  <c r="F107" i="187"/>
  <c r="F26" i="187"/>
  <c r="F112" i="187"/>
  <c r="F124" i="187"/>
  <c r="F71" i="187"/>
  <c r="F119" i="187"/>
  <c r="F131" i="187"/>
  <c r="F114" i="187"/>
  <c r="F126" i="187"/>
  <c r="F109" i="187"/>
  <c r="F121" i="187"/>
  <c r="F133" i="187"/>
  <c r="F74" i="187"/>
  <c r="F116" i="187"/>
  <c r="F128" i="187"/>
  <c r="F111" i="187"/>
  <c r="F123" i="187"/>
  <c r="F118" i="187"/>
  <c r="F130" i="187"/>
  <c r="F90" i="187"/>
  <c r="F113" i="187"/>
  <c r="F125" i="187"/>
  <c r="F88" i="187"/>
  <c r="F108" i="187"/>
  <c r="F120" i="187"/>
  <c r="F132" i="187"/>
  <c r="F100" i="187"/>
  <c r="F110" i="187"/>
  <c r="F122" i="187"/>
  <c r="F134" i="187"/>
  <c r="F139" i="187"/>
  <c r="F151" i="187"/>
  <c r="F146" i="187"/>
  <c r="F158" i="187"/>
  <c r="F141" i="187"/>
  <c r="F153" i="187"/>
  <c r="F136" i="187"/>
  <c r="F148" i="187"/>
  <c r="F160" i="187"/>
  <c r="F143" i="187"/>
  <c r="F155" i="187"/>
  <c r="F138" i="187"/>
  <c r="F150" i="187"/>
  <c r="F145" i="187"/>
  <c r="F157" i="187"/>
  <c r="F117" i="187"/>
  <c r="F140" i="187"/>
  <c r="F152" i="187"/>
  <c r="F115" i="187"/>
  <c r="F135" i="187"/>
  <c r="F147" i="187"/>
  <c r="F159" i="187"/>
  <c r="F154" i="187"/>
  <c r="F168" i="187"/>
  <c r="F137" i="187"/>
  <c r="F163" i="187"/>
  <c r="F170" i="187"/>
  <c r="F3" i="187"/>
  <c r="F142" i="187"/>
  <c r="F165" i="187"/>
  <c r="F102" i="187"/>
  <c r="F129" i="187"/>
  <c r="F156" i="187"/>
  <c r="F167" i="187"/>
  <c r="F162" i="187"/>
  <c r="F127" i="187"/>
  <c r="F161" i="187"/>
  <c r="F169" i="187"/>
  <c r="F144" i="187"/>
  <c r="F164" i="187"/>
  <c r="F149" i="187"/>
  <c r="F166" i="187"/>
  <c r="F174" i="187"/>
  <c r="F172" i="187"/>
  <c r="F175" i="187"/>
  <c r="F173" i="187"/>
  <c r="F171" i="187"/>
  <c r="G1" i="187"/>
  <c r="G4" i="187" s="1"/>
  <c r="AB4" i="191" l="1"/>
  <c r="AB17" i="191"/>
  <c r="AB11" i="191"/>
  <c r="AB6" i="191"/>
  <c r="AB13" i="191"/>
  <c r="AB8" i="191"/>
  <c r="AB16" i="191"/>
  <c r="AB10" i="191"/>
  <c r="AB5" i="191"/>
  <c r="AB18" i="191"/>
  <c r="AB12" i="191"/>
  <c r="AB25" i="191"/>
  <c r="AB7" i="191"/>
  <c r="AB15" i="191"/>
  <c r="AB27" i="191"/>
  <c r="AB9" i="191"/>
  <c r="AB22" i="191"/>
  <c r="AB28" i="191"/>
  <c r="AB43" i="191"/>
  <c r="AB24" i="191"/>
  <c r="AB30" i="191"/>
  <c r="AB47" i="191"/>
  <c r="AB32" i="191"/>
  <c r="AB37" i="191"/>
  <c r="AB26" i="191"/>
  <c r="AB39" i="191"/>
  <c r="AB35" i="191"/>
  <c r="AB58" i="191"/>
  <c r="AB29" i="191"/>
  <c r="AB51" i="191"/>
  <c r="AB42" i="191"/>
  <c r="AB38" i="191"/>
  <c r="AB23" i="191"/>
  <c r="AB20" i="191"/>
  <c r="AB21" i="191"/>
  <c r="AB19" i="191"/>
  <c r="AB45" i="191"/>
  <c r="AB52" i="191"/>
  <c r="AB53" i="191"/>
  <c r="AB66" i="191"/>
  <c r="AB36" i="191"/>
  <c r="AB33" i="191"/>
  <c r="AB34" i="191"/>
  <c r="AB41" i="191"/>
  <c r="AB55" i="191"/>
  <c r="AB31" i="191"/>
  <c r="AB44" i="191"/>
  <c r="AB48" i="191"/>
  <c r="AB50" i="191"/>
  <c r="AB56" i="191"/>
  <c r="AB69" i="191"/>
  <c r="AB82" i="191"/>
  <c r="AB63" i="191"/>
  <c r="AB70" i="191"/>
  <c r="AB77" i="191"/>
  <c r="AB89" i="191"/>
  <c r="AB57" i="191"/>
  <c r="AB60" i="191"/>
  <c r="AB62" i="191"/>
  <c r="AB79" i="191"/>
  <c r="AB91" i="191"/>
  <c r="AB49" i="191"/>
  <c r="AB74" i="191"/>
  <c r="AB76" i="191"/>
  <c r="AB83" i="191"/>
  <c r="AB67" i="191"/>
  <c r="AB78" i="191"/>
  <c r="AB61" i="191"/>
  <c r="AB65" i="191"/>
  <c r="AB72" i="191"/>
  <c r="AB46" i="191"/>
  <c r="AB59" i="191"/>
  <c r="AB64" i="191"/>
  <c r="AB68" i="191"/>
  <c r="AB40" i="191"/>
  <c r="AB54" i="191"/>
  <c r="AB75" i="191"/>
  <c r="AB87" i="191"/>
  <c r="AB105" i="191"/>
  <c r="AB85" i="191"/>
  <c r="AB92" i="191"/>
  <c r="AB102" i="191"/>
  <c r="AB114" i="191"/>
  <c r="AB88" i="191"/>
  <c r="AB71" i="191"/>
  <c r="AB73" i="191"/>
  <c r="AB80" i="191"/>
  <c r="AB84" i="191"/>
  <c r="AB81" i="191"/>
  <c r="AB100" i="191"/>
  <c r="AB95" i="191"/>
  <c r="AB113" i="191"/>
  <c r="AB86" i="191"/>
  <c r="AB103" i="191"/>
  <c r="AB90" i="191"/>
  <c r="AB101" i="191"/>
  <c r="AB99" i="191"/>
  <c r="AB117" i="191"/>
  <c r="AB129" i="191"/>
  <c r="AB104" i="191"/>
  <c r="AB126" i="191"/>
  <c r="AB138" i="191"/>
  <c r="AB150" i="191"/>
  <c r="AB115" i="191"/>
  <c r="AB94" i="191"/>
  <c r="AB96" i="191"/>
  <c r="AB107" i="191"/>
  <c r="AB123" i="191"/>
  <c r="AB93" i="191"/>
  <c r="AB97" i="191"/>
  <c r="AB125" i="191"/>
  <c r="AB137" i="191"/>
  <c r="AB111" i="191"/>
  <c r="AB98" i="191"/>
  <c r="AB109" i="191"/>
  <c r="AB110" i="191"/>
  <c r="AB127" i="191"/>
  <c r="AB106" i="191"/>
  <c r="AB108" i="191"/>
  <c r="AB112" i="191"/>
  <c r="AB122" i="191"/>
  <c r="AB134" i="191"/>
  <c r="AB132" i="191"/>
  <c r="AB147" i="191"/>
  <c r="AB162" i="191"/>
  <c r="AB136" i="191"/>
  <c r="AB157" i="191"/>
  <c r="AB169" i="191"/>
  <c r="AB121" i="191"/>
  <c r="AB128" i="191"/>
  <c r="AB135" i="191"/>
  <c r="AB142" i="191"/>
  <c r="AB152" i="191"/>
  <c r="AB131" i="191"/>
  <c r="AB145" i="191"/>
  <c r="AB159" i="191"/>
  <c r="AB171" i="191"/>
  <c r="AB154" i="191"/>
  <c r="AB148" i="191"/>
  <c r="AB139" i="191"/>
  <c r="AB156" i="191"/>
  <c r="AB116" i="191"/>
  <c r="AB143" i="191"/>
  <c r="AB151" i="191"/>
  <c r="AB133" i="191"/>
  <c r="AB140" i="191"/>
  <c r="AB146" i="191"/>
  <c r="AB158" i="191"/>
  <c r="AB118" i="191"/>
  <c r="AB130" i="191"/>
  <c r="AB149" i="191"/>
  <c r="AB119" i="191"/>
  <c r="AB141" i="191"/>
  <c r="AB120" i="191"/>
  <c r="AB124" i="191"/>
  <c r="AB144" i="191"/>
  <c r="AB155" i="191"/>
  <c r="AB167" i="191"/>
  <c r="AB170" i="191"/>
  <c r="AB153" i="191"/>
  <c r="AB165" i="191"/>
  <c r="AB3" i="191"/>
  <c r="AB168" i="191"/>
  <c r="AB164" i="191"/>
  <c r="AB160" i="191"/>
  <c r="AB163" i="191"/>
  <c r="AB166" i="191"/>
  <c r="AB161" i="191"/>
  <c r="AB173" i="191"/>
  <c r="AB176" i="191"/>
  <c r="AB172" i="191"/>
  <c r="AB174" i="191"/>
  <c r="AB175" i="191"/>
  <c r="AC1" i="191"/>
  <c r="AC14" i="191" s="1"/>
  <c r="P5" i="189"/>
  <c r="P17" i="189"/>
  <c r="P29" i="189"/>
  <c r="P12" i="189"/>
  <c r="P24" i="189"/>
  <c r="P36" i="189"/>
  <c r="P7" i="189"/>
  <c r="P19" i="189"/>
  <c r="P31" i="189"/>
  <c r="P14" i="189"/>
  <c r="P26" i="189"/>
  <c r="P9" i="189"/>
  <c r="P21" i="189"/>
  <c r="P33" i="189"/>
  <c r="P16" i="189"/>
  <c r="P28" i="189"/>
  <c r="P11" i="189"/>
  <c r="P27" i="189"/>
  <c r="P45" i="189"/>
  <c r="P8" i="189"/>
  <c r="P34" i="189"/>
  <c r="P40" i="189"/>
  <c r="P52" i="189"/>
  <c r="P35" i="189"/>
  <c r="P47" i="189"/>
  <c r="P18" i="189"/>
  <c r="P42" i="189"/>
  <c r="P54" i="189"/>
  <c r="P10" i="189"/>
  <c r="P25" i="189"/>
  <c r="P49" i="189"/>
  <c r="P32" i="189"/>
  <c r="P44" i="189"/>
  <c r="P23" i="189"/>
  <c r="P41" i="189"/>
  <c r="P65" i="189"/>
  <c r="P48" i="189"/>
  <c r="P60" i="189"/>
  <c r="P72" i="189"/>
  <c r="P55" i="189"/>
  <c r="P67" i="189"/>
  <c r="P6" i="189"/>
  <c r="P51" i="189"/>
  <c r="P62" i="189"/>
  <c r="P39" i="189"/>
  <c r="P50" i="189"/>
  <c r="P57" i="189"/>
  <c r="P69" i="189"/>
  <c r="P20" i="189"/>
  <c r="P22" i="189"/>
  <c r="P38" i="189"/>
  <c r="P64" i="189"/>
  <c r="P30" i="189"/>
  <c r="P61" i="189"/>
  <c r="P73" i="189"/>
  <c r="P53" i="189"/>
  <c r="P63" i="189"/>
  <c r="P83" i="189"/>
  <c r="P78" i="189"/>
  <c r="P90" i="189"/>
  <c r="P66" i="189"/>
  <c r="P85" i="189"/>
  <c r="P80" i="189"/>
  <c r="P92" i="189"/>
  <c r="P13" i="189"/>
  <c r="P43" i="189"/>
  <c r="P68" i="189"/>
  <c r="P75" i="189"/>
  <c r="P87" i="189"/>
  <c r="P56" i="189"/>
  <c r="P82" i="189"/>
  <c r="P37" i="189"/>
  <c r="P58" i="189"/>
  <c r="P79" i="189"/>
  <c r="P91" i="189"/>
  <c r="P15" i="189"/>
  <c r="P46" i="189"/>
  <c r="P74" i="189"/>
  <c r="P86" i="189"/>
  <c r="P81" i="189"/>
  <c r="P71" i="189"/>
  <c r="P77" i="189"/>
  <c r="P96" i="189"/>
  <c r="P108" i="189"/>
  <c r="P103" i="189"/>
  <c r="P115" i="189"/>
  <c r="P88" i="189"/>
  <c r="P98" i="189"/>
  <c r="P110" i="189"/>
  <c r="P93" i="189"/>
  <c r="P105" i="189"/>
  <c r="P117" i="189"/>
  <c r="P100" i="189"/>
  <c r="P112" i="189"/>
  <c r="P104" i="189"/>
  <c r="P116" i="189"/>
  <c r="P89" i="189"/>
  <c r="P99" i="189"/>
  <c r="P111" i="189"/>
  <c r="P59" i="189"/>
  <c r="P70" i="189"/>
  <c r="P94" i="189"/>
  <c r="P106" i="189"/>
  <c r="P95" i="189"/>
  <c r="P128" i="189"/>
  <c r="P102" i="189"/>
  <c r="P123" i="189"/>
  <c r="P135" i="189"/>
  <c r="P84" i="189"/>
  <c r="P109" i="189"/>
  <c r="P118" i="189"/>
  <c r="P130" i="189"/>
  <c r="P101" i="189"/>
  <c r="P125" i="189"/>
  <c r="P137" i="189"/>
  <c r="P76" i="189"/>
  <c r="P107" i="189"/>
  <c r="P120" i="189"/>
  <c r="P132" i="189"/>
  <c r="P114" i="189"/>
  <c r="P127" i="189"/>
  <c r="P122" i="189"/>
  <c r="P134" i="189"/>
  <c r="P124" i="189"/>
  <c r="P136" i="189"/>
  <c r="P119" i="189"/>
  <c r="P131" i="189"/>
  <c r="P113" i="189"/>
  <c r="P151" i="189"/>
  <c r="P163" i="189"/>
  <c r="P139" i="189"/>
  <c r="P146" i="189"/>
  <c r="P158" i="189"/>
  <c r="P133" i="189"/>
  <c r="P141" i="189"/>
  <c r="P153" i="189"/>
  <c r="P148" i="189"/>
  <c r="P160" i="189"/>
  <c r="P143" i="189"/>
  <c r="P155" i="189"/>
  <c r="P121" i="189"/>
  <c r="P150" i="189"/>
  <c r="P162" i="189"/>
  <c r="P147" i="189"/>
  <c r="P159" i="189"/>
  <c r="P142" i="189"/>
  <c r="P154" i="189"/>
  <c r="P138" i="189"/>
  <c r="P149" i="189"/>
  <c r="P161" i="189"/>
  <c r="P157" i="189"/>
  <c r="P167" i="189"/>
  <c r="P126" i="189"/>
  <c r="P140" i="189"/>
  <c r="P168" i="189"/>
  <c r="P129" i="189"/>
  <c r="P97" i="189"/>
  <c r="P145" i="189"/>
  <c r="P170" i="189"/>
  <c r="P165" i="189"/>
  <c r="P156" i="189"/>
  <c r="P166" i="189"/>
  <c r="P144" i="189"/>
  <c r="P169" i="189"/>
  <c r="P152" i="189"/>
  <c r="P164" i="189"/>
  <c r="P3" i="189"/>
  <c r="P175" i="189"/>
  <c r="P172" i="189"/>
  <c r="P171" i="189"/>
  <c r="P173" i="189"/>
  <c r="P174" i="189"/>
  <c r="Q1" i="189"/>
  <c r="Q4" i="189" s="1"/>
  <c r="G11" i="187"/>
  <c r="G6" i="187"/>
  <c r="G8" i="187"/>
  <c r="G10" i="187"/>
  <c r="G5" i="187"/>
  <c r="G7" i="187"/>
  <c r="G14" i="187"/>
  <c r="G26" i="187"/>
  <c r="G21" i="187"/>
  <c r="G33" i="187"/>
  <c r="G16" i="187"/>
  <c r="G28" i="187"/>
  <c r="G23" i="187"/>
  <c r="G18" i="187"/>
  <c r="G30" i="187"/>
  <c r="G13" i="187"/>
  <c r="G25" i="187"/>
  <c r="G20" i="187"/>
  <c r="G32" i="187"/>
  <c r="G15" i="187"/>
  <c r="G27" i="187"/>
  <c r="G12" i="187"/>
  <c r="G24" i="187"/>
  <c r="G36" i="187"/>
  <c r="G48" i="187"/>
  <c r="G9" i="187"/>
  <c r="G17" i="187"/>
  <c r="G43" i="187"/>
  <c r="G55" i="187"/>
  <c r="G31" i="187"/>
  <c r="G38" i="187"/>
  <c r="G50" i="187"/>
  <c r="G22" i="187"/>
  <c r="G45" i="187"/>
  <c r="G57" i="187"/>
  <c r="G40" i="187"/>
  <c r="G52" i="187"/>
  <c r="G19" i="187"/>
  <c r="G47" i="187"/>
  <c r="G42" i="187"/>
  <c r="G54" i="187"/>
  <c r="G37" i="187"/>
  <c r="G49" i="187"/>
  <c r="G29" i="187"/>
  <c r="G34" i="187"/>
  <c r="G46" i="187"/>
  <c r="G58" i="187"/>
  <c r="G44" i="187"/>
  <c r="G71" i="187"/>
  <c r="G83" i="187"/>
  <c r="G66" i="187"/>
  <c r="G78" i="187"/>
  <c r="G41" i="187"/>
  <c r="G61" i="187"/>
  <c r="G73" i="187"/>
  <c r="G68" i="187"/>
  <c r="G80" i="187"/>
  <c r="G63" i="187"/>
  <c r="G75" i="187"/>
  <c r="G35" i="187"/>
  <c r="G59" i="187"/>
  <c r="G70" i="187"/>
  <c r="G65" i="187"/>
  <c r="G77" i="187"/>
  <c r="G51" i="187"/>
  <c r="G60" i="187"/>
  <c r="G72" i="187"/>
  <c r="G39" i="187"/>
  <c r="G69" i="187"/>
  <c r="G81" i="187"/>
  <c r="G79" i="187"/>
  <c r="G90" i="187"/>
  <c r="G102" i="187"/>
  <c r="G62" i="187"/>
  <c r="G85" i="187"/>
  <c r="G97" i="187"/>
  <c r="G53" i="187"/>
  <c r="G76" i="187"/>
  <c r="G82" i="187"/>
  <c r="G92" i="187"/>
  <c r="G104" i="187"/>
  <c r="G67" i="187"/>
  <c r="G87" i="187"/>
  <c r="G99" i="187"/>
  <c r="G94" i="187"/>
  <c r="G106" i="187"/>
  <c r="G64" i="187"/>
  <c r="G89" i="187"/>
  <c r="G101" i="187"/>
  <c r="G84" i="187"/>
  <c r="G96" i="187"/>
  <c r="G56" i="187"/>
  <c r="G91" i="187"/>
  <c r="G103" i="187"/>
  <c r="G86" i="187"/>
  <c r="G98" i="187"/>
  <c r="G74" i="187"/>
  <c r="G88" i="187"/>
  <c r="G100" i="187"/>
  <c r="G105" i="187"/>
  <c r="G117" i="187"/>
  <c r="G129" i="187"/>
  <c r="G112" i="187"/>
  <c r="G124" i="187"/>
  <c r="G119" i="187"/>
  <c r="G131" i="187"/>
  <c r="G107" i="187"/>
  <c r="G114" i="187"/>
  <c r="G126" i="187"/>
  <c r="G109" i="187"/>
  <c r="G121" i="187"/>
  <c r="G133" i="187"/>
  <c r="G116" i="187"/>
  <c r="G128" i="187"/>
  <c r="G111" i="187"/>
  <c r="G123" i="187"/>
  <c r="G118" i="187"/>
  <c r="G130" i="187"/>
  <c r="G113" i="187"/>
  <c r="G125" i="187"/>
  <c r="G93" i="187"/>
  <c r="G115" i="187"/>
  <c r="G127" i="187"/>
  <c r="G132" i="187"/>
  <c r="G144" i="187"/>
  <c r="G156" i="187"/>
  <c r="G139" i="187"/>
  <c r="G151" i="187"/>
  <c r="G146" i="187"/>
  <c r="G158" i="187"/>
  <c r="G141" i="187"/>
  <c r="G153" i="187"/>
  <c r="G95" i="187"/>
  <c r="G136" i="187"/>
  <c r="G148" i="187"/>
  <c r="G160" i="187"/>
  <c r="G143" i="187"/>
  <c r="G155" i="187"/>
  <c r="G138" i="187"/>
  <c r="G150" i="187"/>
  <c r="G110" i="187"/>
  <c r="G145" i="187"/>
  <c r="G157" i="187"/>
  <c r="G108" i="187"/>
  <c r="G140" i="187"/>
  <c r="G152" i="187"/>
  <c r="G122" i="187"/>
  <c r="G154" i="187"/>
  <c r="G168" i="187"/>
  <c r="G137" i="187"/>
  <c r="G163" i="187"/>
  <c r="G159" i="187"/>
  <c r="G170" i="187"/>
  <c r="G142" i="187"/>
  <c r="G165" i="187"/>
  <c r="G134" i="187"/>
  <c r="G147" i="187"/>
  <c r="G167" i="187"/>
  <c r="G164" i="187"/>
  <c r="G162" i="187"/>
  <c r="G135" i="187"/>
  <c r="G3" i="187"/>
  <c r="G161" i="187"/>
  <c r="G169" i="187"/>
  <c r="G120" i="187"/>
  <c r="G149" i="187"/>
  <c r="G166" i="187"/>
  <c r="G175" i="187"/>
  <c r="G171" i="187"/>
  <c r="G173" i="187"/>
  <c r="G172" i="187"/>
  <c r="G174" i="187"/>
  <c r="H1" i="187"/>
  <c r="H4" i="187" s="1"/>
  <c r="AC9" i="191" l="1"/>
  <c r="AC4" i="191"/>
  <c r="AC11" i="191"/>
  <c r="AC6" i="191"/>
  <c r="AC13" i="191"/>
  <c r="AC8" i="191"/>
  <c r="AC16" i="191"/>
  <c r="AC10" i="191"/>
  <c r="AC5" i="191"/>
  <c r="AC18" i="191"/>
  <c r="AC30" i="191"/>
  <c r="AC12" i="191"/>
  <c r="AC7" i="191"/>
  <c r="AC20" i="191"/>
  <c r="AC32" i="191"/>
  <c r="AC15" i="191"/>
  <c r="AC21" i="191"/>
  <c r="AC48" i="191"/>
  <c r="AC23" i="191"/>
  <c r="AC40" i="191"/>
  <c r="AC17" i="191"/>
  <c r="AC25" i="191"/>
  <c r="AC37" i="191"/>
  <c r="AC28" i="191"/>
  <c r="AC44" i="191"/>
  <c r="AC50" i="191"/>
  <c r="AC63" i="191"/>
  <c r="AC22" i="191"/>
  <c r="AC31" i="191"/>
  <c r="AC46" i="191"/>
  <c r="AC55" i="191"/>
  <c r="AC34" i="191"/>
  <c r="AC41" i="191"/>
  <c r="AC42" i="191"/>
  <c r="AC24" i="191"/>
  <c r="AC58" i="191"/>
  <c r="AC59" i="191"/>
  <c r="AC68" i="191"/>
  <c r="AC19" i="191"/>
  <c r="AC49" i="191"/>
  <c r="AC35" i="191"/>
  <c r="AC36" i="191"/>
  <c r="AC33" i="191"/>
  <c r="AC38" i="191"/>
  <c r="AC29" i="191"/>
  <c r="AC26" i="191"/>
  <c r="AC27" i="191"/>
  <c r="AC39" i="191"/>
  <c r="AC57" i="191"/>
  <c r="AC53" i="191"/>
  <c r="AC54" i="191"/>
  <c r="AC75" i="191"/>
  <c r="AC56" i="191"/>
  <c r="AC69" i="191"/>
  <c r="AC82" i="191"/>
  <c r="AC94" i="191"/>
  <c r="AC70" i="191"/>
  <c r="AC47" i="191"/>
  <c r="AC73" i="191"/>
  <c r="AC84" i="191"/>
  <c r="AC96" i="191"/>
  <c r="AC45" i="191"/>
  <c r="AC52" i="191"/>
  <c r="AC60" i="191"/>
  <c r="AC62" i="191"/>
  <c r="AC43" i="191"/>
  <c r="AC71" i="191"/>
  <c r="AC81" i="191"/>
  <c r="AC74" i="191"/>
  <c r="AC76" i="191"/>
  <c r="AC51" i="191"/>
  <c r="AC83" i="191"/>
  <c r="AC66" i="191"/>
  <c r="AC67" i="191"/>
  <c r="AC61" i="191"/>
  <c r="AC65" i="191"/>
  <c r="AC72" i="191"/>
  <c r="AC64" i="191"/>
  <c r="AC80" i="191"/>
  <c r="AC90" i="191"/>
  <c r="AC101" i="191"/>
  <c r="AC110" i="191"/>
  <c r="AC89" i="191"/>
  <c r="AC91" i="191"/>
  <c r="AC85" i="191"/>
  <c r="AC99" i="191"/>
  <c r="AC107" i="191"/>
  <c r="AC119" i="191"/>
  <c r="AC79" i="191"/>
  <c r="AC88" i="191"/>
  <c r="AC93" i="191"/>
  <c r="AC97" i="191"/>
  <c r="AC104" i="191"/>
  <c r="AC78" i="191"/>
  <c r="AC77" i="191"/>
  <c r="AC87" i="191"/>
  <c r="AC106" i="191"/>
  <c r="AC98" i="191"/>
  <c r="AC86" i="191"/>
  <c r="AC103" i="191"/>
  <c r="AC108" i="191"/>
  <c r="AC112" i="191"/>
  <c r="AC122" i="191"/>
  <c r="AC134" i="191"/>
  <c r="AC113" i="191"/>
  <c r="AC92" i="191"/>
  <c r="AC100" i="191"/>
  <c r="AC114" i="191"/>
  <c r="AC131" i="191"/>
  <c r="AC143" i="191"/>
  <c r="AC95" i="191"/>
  <c r="AC105" i="191"/>
  <c r="AC115" i="191"/>
  <c r="AC118" i="191"/>
  <c r="AC121" i="191"/>
  <c r="AC128" i="191"/>
  <c r="AC102" i="191"/>
  <c r="AC116" i="191"/>
  <c r="AC130" i="191"/>
  <c r="AC111" i="191"/>
  <c r="AC109" i="191"/>
  <c r="AC127" i="191"/>
  <c r="AC120" i="191"/>
  <c r="AC124" i="191"/>
  <c r="AC144" i="191"/>
  <c r="AC155" i="191"/>
  <c r="AC132" i="191"/>
  <c r="AC147" i="191"/>
  <c r="AC162" i="191"/>
  <c r="AC150" i="191"/>
  <c r="AC117" i="191"/>
  <c r="AC136" i="191"/>
  <c r="AC157" i="191"/>
  <c r="AC135" i="191"/>
  <c r="AC137" i="191"/>
  <c r="AC142" i="191"/>
  <c r="AC152" i="191"/>
  <c r="AC164" i="191"/>
  <c r="AC159" i="191"/>
  <c r="AC125" i="191"/>
  <c r="AC145" i="191"/>
  <c r="AC129" i="191"/>
  <c r="AC138" i="191"/>
  <c r="AC148" i="191"/>
  <c r="AC126" i="191"/>
  <c r="AC139" i="191"/>
  <c r="AC156" i="191"/>
  <c r="AC151" i="191"/>
  <c r="AC163" i="191"/>
  <c r="AC123" i="191"/>
  <c r="AC133" i="191"/>
  <c r="AC140" i="191"/>
  <c r="AC146" i="191"/>
  <c r="AC149" i="191"/>
  <c r="AC153" i="191"/>
  <c r="AC141" i="191"/>
  <c r="AC160" i="191"/>
  <c r="AC158" i="191"/>
  <c r="AC161" i="191"/>
  <c r="AC170" i="191"/>
  <c r="AC169" i="191"/>
  <c r="AC171" i="191"/>
  <c r="AC165" i="191"/>
  <c r="AC3" i="191"/>
  <c r="AC168" i="191"/>
  <c r="AC154" i="191"/>
  <c r="AC167" i="191"/>
  <c r="AC166" i="191"/>
  <c r="AC175" i="191"/>
  <c r="AC174" i="191"/>
  <c r="AC176" i="191"/>
  <c r="AC173" i="191"/>
  <c r="AC172" i="191"/>
  <c r="AD1" i="191"/>
  <c r="AD14" i="191" s="1"/>
  <c r="Q10" i="189"/>
  <c r="Q22" i="189"/>
  <c r="Q34" i="189"/>
  <c r="Q5" i="189"/>
  <c r="Q17" i="189"/>
  <c r="Q29" i="189"/>
  <c r="Q12" i="189"/>
  <c r="Q24" i="189"/>
  <c r="Q36" i="189"/>
  <c r="Q7" i="189"/>
  <c r="Q19" i="189"/>
  <c r="Q31" i="189"/>
  <c r="Q14" i="189"/>
  <c r="Q26" i="189"/>
  <c r="Q9" i="189"/>
  <c r="Q21" i="189"/>
  <c r="Q33" i="189"/>
  <c r="Q20" i="189"/>
  <c r="Q38" i="189"/>
  <c r="Q50" i="189"/>
  <c r="Q27" i="189"/>
  <c r="Q45" i="189"/>
  <c r="Q8" i="189"/>
  <c r="Q28" i="189"/>
  <c r="Q40" i="189"/>
  <c r="Q52" i="189"/>
  <c r="Q11" i="189"/>
  <c r="Q35" i="189"/>
  <c r="Q47" i="189"/>
  <c r="Q18" i="189"/>
  <c r="Q42" i="189"/>
  <c r="Q25" i="189"/>
  <c r="Q49" i="189"/>
  <c r="Q16" i="189"/>
  <c r="Q46" i="189"/>
  <c r="Q58" i="189"/>
  <c r="Q70" i="189"/>
  <c r="Q65" i="189"/>
  <c r="Q48" i="189"/>
  <c r="Q54" i="189"/>
  <c r="Q60" i="189"/>
  <c r="Q72" i="189"/>
  <c r="Q55" i="189"/>
  <c r="Q67" i="189"/>
  <c r="Q6" i="189"/>
  <c r="Q51" i="189"/>
  <c r="Q62" i="189"/>
  <c r="Q39" i="189"/>
  <c r="Q57" i="189"/>
  <c r="Q69" i="189"/>
  <c r="Q13" i="189"/>
  <c r="Q15" i="189"/>
  <c r="Q66" i="189"/>
  <c r="Q64" i="189"/>
  <c r="Q76" i="189"/>
  <c r="Q88" i="189"/>
  <c r="Q53" i="189"/>
  <c r="Q63" i="189"/>
  <c r="Q83" i="189"/>
  <c r="Q30" i="189"/>
  <c r="Q78" i="189"/>
  <c r="Q90" i="189"/>
  <c r="Q85" i="189"/>
  <c r="Q80" i="189"/>
  <c r="Q92" i="189"/>
  <c r="Q41" i="189"/>
  <c r="Q43" i="189"/>
  <c r="Q68" i="189"/>
  <c r="Q75" i="189"/>
  <c r="Q87" i="189"/>
  <c r="Q23" i="189"/>
  <c r="Q59" i="189"/>
  <c r="Q84" i="189"/>
  <c r="Q37" i="189"/>
  <c r="Q44" i="189"/>
  <c r="Q73" i="189"/>
  <c r="Q79" i="189"/>
  <c r="Q91" i="189"/>
  <c r="Q61" i="189"/>
  <c r="Q74" i="189"/>
  <c r="Q86" i="189"/>
  <c r="Q56" i="189"/>
  <c r="Q101" i="189"/>
  <c r="Q113" i="189"/>
  <c r="Q71" i="189"/>
  <c r="Q77" i="189"/>
  <c r="Q96" i="189"/>
  <c r="Q108" i="189"/>
  <c r="Q103" i="189"/>
  <c r="Q115" i="189"/>
  <c r="Q82" i="189"/>
  <c r="Q98" i="189"/>
  <c r="Q110" i="189"/>
  <c r="Q32" i="189"/>
  <c r="Q93" i="189"/>
  <c r="Q105" i="189"/>
  <c r="Q117" i="189"/>
  <c r="Q81" i="189"/>
  <c r="Q97" i="189"/>
  <c r="Q109" i="189"/>
  <c r="Q104" i="189"/>
  <c r="Q116" i="189"/>
  <c r="Q89" i="189"/>
  <c r="Q99" i="189"/>
  <c r="Q111" i="189"/>
  <c r="Q121" i="189"/>
  <c r="Q133" i="189"/>
  <c r="Q95" i="189"/>
  <c r="Q128" i="189"/>
  <c r="Q102" i="189"/>
  <c r="Q123" i="189"/>
  <c r="Q135" i="189"/>
  <c r="Q94" i="189"/>
  <c r="Q118" i="189"/>
  <c r="Q130" i="189"/>
  <c r="Q100" i="189"/>
  <c r="Q125" i="189"/>
  <c r="Q137" i="189"/>
  <c r="Q107" i="189"/>
  <c r="Q120" i="189"/>
  <c r="Q132" i="189"/>
  <c r="Q114" i="189"/>
  <c r="Q127" i="189"/>
  <c r="Q112" i="189"/>
  <c r="Q129" i="189"/>
  <c r="Q124" i="189"/>
  <c r="Q136" i="189"/>
  <c r="Q122" i="189"/>
  <c r="Q144" i="189"/>
  <c r="Q156" i="189"/>
  <c r="Q119" i="189"/>
  <c r="Q151" i="189"/>
  <c r="Q163" i="189"/>
  <c r="Q139" i="189"/>
  <c r="Q146" i="189"/>
  <c r="Q158" i="189"/>
  <c r="Q141" i="189"/>
  <c r="Q153" i="189"/>
  <c r="Q148" i="189"/>
  <c r="Q143" i="189"/>
  <c r="Q155" i="189"/>
  <c r="Q126" i="189"/>
  <c r="Q140" i="189"/>
  <c r="Q152" i="189"/>
  <c r="Q134" i="189"/>
  <c r="Q147" i="189"/>
  <c r="Q159" i="189"/>
  <c r="Q131" i="189"/>
  <c r="Q142" i="189"/>
  <c r="Q154" i="189"/>
  <c r="Q106" i="189"/>
  <c r="Q166" i="189"/>
  <c r="Q157" i="189"/>
  <c r="Q161" i="189"/>
  <c r="Q138" i="189"/>
  <c r="Q160" i="189"/>
  <c r="Q168" i="189"/>
  <c r="Q162" i="189"/>
  <c r="Q167" i="189"/>
  <c r="Q145" i="189"/>
  <c r="Q170" i="189"/>
  <c r="Q150" i="189"/>
  <c r="Q165" i="189"/>
  <c r="Q164" i="189"/>
  <c r="Q3" i="189"/>
  <c r="Q149" i="189"/>
  <c r="Q169" i="189"/>
  <c r="Q173" i="189"/>
  <c r="Q171" i="189"/>
  <c r="Q174" i="189"/>
  <c r="Q175" i="189"/>
  <c r="Q172" i="189"/>
  <c r="R1" i="189"/>
  <c r="R4" i="189" s="1"/>
  <c r="H9" i="187"/>
  <c r="H11" i="187"/>
  <c r="H6" i="187"/>
  <c r="H10" i="187"/>
  <c r="H7" i="187"/>
  <c r="H19" i="187"/>
  <c r="H31" i="187"/>
  <c r="H14" i="187"/>
  <c r="H26" i="187"/>
  <c r="H21" i="187"/>
  <c r="H33" i="187"/>
  <c r="H5" i="187"/>
  <c r="H16" i="187"/>
  <c r="H28" i="187"/>
  <c r="H23" i="187"/>
  <c r="H18" i="187"/>
  <c r="H30" i="187"/>
  <c r="H13" i="187"/>
  <c r="H25" i="187"/>
  <c r="H20" i="187"/>
  <c r="H32" i="187"/>
  <c r="H8" i="187"/>
  <c r="H17" i="187"/>
  <c r="H29" i="187"/>
  <c r="H35" i="187"/>
  <c r="H41" i="187"/>
  <c r="H53" i="187"/>
  <c r="H36" i="187"/>
  <c r="H48" i="187"/>
  <c r="H43" i="187"/>
  <c r="H55" i="187"/>
  <c r="H38" i="187"/>
  <c r="H50" i="187"/>
  <c r="H22" i="187"/>
  <c r="H45" i="187"/>
  <c r="H57" i="187"/>
  <c r="H40" i="187"/>
  <c r="H52" i="187"/>
  <c r="H27" i="187"/>
  <c r="H47" i="187"/>
  <c r="H59" i="187"/>
  <c r="H42" i="187"/>
  <c r="H54" i="187"/>
  <c r="H39" i="187"/>
  <c r="H51" i="187"/>
  <c r="H64" i="187"/>
  <c r="H76" i="187"/>
  <c r="H44" i="187"/>
  <c r="H71" i="187"/>
  <c r="H34" i="187"/>
  <c r="H66" i="187"/>
  <c r="H78" i="187"/>
  <c r="H24" i="187"/>
  <c r="H49" i="187"/>
  <c r="H61" i="187"/>
  <c r="H73" i="187"/>
  <c r="H68" i="187"/>
  <c r="H80" i="187"/>
  <c r="H12" i="187"/>
  <c r="H46" i="187"/>
  <c r="H58" i="187"/>
  <c r="H63" i="187"/>
  <c r="H75" i="187"/>
  <c r="H37" i="187"/>
  <c r="H70" i="187"/>
  <c r="H82" i="187"/>
  <c r="H65" i="187"/>
  <c r="H77" i="187"/>
  <c r="H15" i="187"/>
  <c r="H56" i="187"/>
  <c r="H62" i="187"/>
  <c r="H74" i="187"/>
  <c r="H95" i="187"/>
  <c r="H79" i="187"/>
  <c r="H90" i="187"/>
  <c r="H102" i="187"/>
  <c r="H85" i="187"/>
  <c r="H97" i="187"/>
  <c r="H92" i="187"/>
  <c r="H104" i="187"/>
  <c r="H67" i="187"/>
  <c r="H87" i="187"/>
  <c r="H99" i="187"/>
  <c r="H94" i="187"/>
  <c r="H106" i="187"/>
  <c r="H72" i="187"/>
  <c r="H89" i="187"/>
  <c r="H101" i="187"/>
  <c r="H84" i="187"/>
  <c r="H96" i="187"/>
  <c r="H69" i="187"/>
  <c r="H81" i="187"/>
  <c r="H83" i="187"/>
  <c r="H91" i="187"/>
  <c r="H103" i="187"/>
  <c r="H93" i="187"/>
  <c r="H105" i="187"/>
  <c r="H98" i="187"/>
  <c r="H110" i="187"/>
  <c r="H122" i="187"/>
  <c r="H134" i="187"/>
  <c r="H117" i="187"/>
  <c r="H129" i="187"/>
  <c r="H112" i="187"/>
  <c r="H124" i="187"/>
  <c r="H119" i="187"/>
  <c r="H131" i="187"/>
  <c r="H107" i="187"/>
  <c r="H114" i="187"/>
  <c r="H126" i="187"/>
  <c r="H109" i="187"/>
  <c r="H121" i="187"/>
  <c r="H133" i="187"/>
  <c r="H116" i="187"/>
  <c r="H128" i="187"/>
  <c r="H111" i="187"/>
  <c r="H123" i="187"/>
  <c r="H118" i="187"/>
  <c r="H130" i="187"/>
  <c r="H60" i="187"/>
  <c r="H86" i="187"/>
  <c r="H108" i="187"/>
  <c r="H120" i="187"/>
  <c r="H132" i="187"/>
  <c r="H125" i="187"/>
  <c r="H137" i="187"/>
  <c r="H149" i="187"/>
  <c r="H161" i="187"/>
  <c r="H144" i="187"/>
  <c r="H156" i="187"/>
  <c r="H139" i="187"/>
  <c r="H151" i="187"/>
  <c r="H146" i="187"/>
  <c r="H158" i="187"/>
  <c r="H141" i="187"/>
  <c r="H153" i="187"/>
  <c r="H136" i="187"/>
  <c r="H148" i="187"/>
  <c r="H160" i="187"/>
  <c r="H143" i="187"/>
  <c r="H155" i="187"/>
  <c r="H138" i="187"/>
  <c r="H150" i="187"/>
  <c r="H145" i="187"/>
  <c r="H157" i="187"/>
  <c r="H140" i="187"/>
  <c r="H166" i="187"/>
  <c r="H88" i="187"/>
  <c r="H113" i="187"/>
  <c r="H154" i="187"/>
  <c r="H168" i="187"/>
  <c r="H100" i="187"/>
  <c r="H115" i="187"/>
  <c r="H163" i="187"/>
  <c r="H159" i="187"/>
  <c r="H170" i="187"/>
  <c r="H169" i="187"/>
  <c r="H142" i="187"/>
  <c r="H165" i="187"/>
  <c r="H152" i="187"/>
  <c r="H147" i="187"/>
  <c r="H167" i="187"/>
  <c r="H127" i="187"/>
  <c r="H162" i="187"/>
  <c r="H135" i="187"/>
  <c r="H164" i="187"/>
  <c r="H3" i="187"/>
  <c r="H172" i="187"/>
  <c r="H174" i="187"/>
  <c r="H171" i="187"/>
  <c r="H173" i="187"/>
  <c r="H175" i="187"/>
  <c r="I1" i="187"/>
  <c r="I4" i="187" s="1"/>
  <c r="AD15" i="191" l="1"/>
  <c r="AD9" i="191"/>
  <c r="AD4" i="191"/>
  <c r="AD11" i="191"/>
  <c r="AD6" i="191"/>
  <c r="AD13" i="191"/>
  <c r="AD8" i="191"/>
  <c r="AD16" i="191"/>
  <c r="AD10" i="191"/>
  <c r="AD23" i="191"/>
  <c r="AD35" i="191"/>
  <c r="AD5" i="191"/>
  <c r="AD12" i="191"/>
  <c r="AD25" i="191"/>
  <c r="AD37" i="191"/>
  <c r="AD7" i="191"/>
  <c r="AD34" i="191"/>
  <c r="AD41" i="191"/>
  <c r="AD36" i="191"/>
  <c r="AD45" i="191"/>
  <c r="AD31" i="191"/>
  <c r="AD17" i="191"/>
  <c r="AD32" i="191"/>
  <c r="AD18" i="191"/>
  <c r="AD21" i="191"/>
  <c r="AD56" i="191"/>
  <c r="AD24" i="191"/>
  <c r="AD60" i="191"/>
  <c r="AD27" i="191"/>
  <c r="AD39" i="191"/>
  <c r="AD48" i="191"/>
  <c r="AD26" i="191"/>
  <c r="AD42" i="191"/>
  <c r="AD22" i="191"/>
  <c r="AD20" i="191"/>
  <c r="AD40" i="191"/>
  <c r="AD47" i="191"/>
  <c r="AD63" i="191"/>
  <c r="AD73" i="191"/>
  <c r="AD19" i="191"/>
  <c r="AD43" i="191"/>
  <c r="AD49" i="191"/>
  <c r="AD54" i="191"/>
  <c r="AD55" i="191"/>
  <c r="AD61" i="191"/>
  <c r="AD64" i="191"/>
  <c r="AD33" i="191"/>
  <c r="AD30" i="191"/>
  <c r="AD46" i="191"/>
  <c r="AD28" i="191"/>
  <c r="AD29" i="191"/>
  <c r="AD44" i="191"/>
  <c r="AD80" i="191"/>
  <c r="AD50" i="191"/>
  <c r="AD53" i="191"/>
  <c r="AD75" i="191"/>
  <c r="AD87" i="191"/>
  <c r="AD38" i="191"/>
  <c r="AD69" i="191"/>
  <c r="AD70" i="191"/>
  <c r="AD77" i="191"/>
  <c r="AD89" i="191"/>
  <c r="AD101" i="191"/>
  <c r="AD57" i="191"/>
  <c r="AD52" i="191"/>
  <c r="AD62" i="191"/>
  <c r="AD58" i="191"/>
  <c r="AD71" i="191"/>
  <c r="AD81" i="191"/>
  <c r="AD74" i="191"/>
  <c r="AD76" i="191"/>
  <c r="AD88" i="191"/>
  <c r="AD51" i="191"/>
  <c r="AD66" i="191"/>
  <c r="AD67" i="191"/>
  <c r="AD78" i="191"/>
  <c r="AD59" i="191"/>
  <c r="AD65" i="191"/>
  <c r="AD68" i="191"/>
  <c r="AD72" i="191"/>
  <c r="AD85" i="191"/>
  <c r="AD83" i="191"/>
  <c r="AD86" i="191"/>
  <c r="AD103" i="191"/>
  <c r="AD90" i="191"/>
  <c r="AD91" i="191"/>
  <c r="AD112" i="191"/>
  <c r="AD92" i="191"/>
  <c r="AD79" i="191"/>
  <c r="AD84" i="191"/>
  <c r="AD93" i="191"/>
  <c r="AD82" i="191"/>
  <c r="AD94" i="191"/>
  <c r="AD100" i="191"/>
  <c r="AD111" i="191"/>
  <c r="AD95" i="191"/>
  <c r="AD98" i="191"/>
  <c r="AD106" i="191"/>
  <c r="AD109" i="191"/>
  <c r="AD127" i="191"/>
  <c r="AD99" i="191"/>
  <c r="AD108" i="191"/>
  <c r="AD113" i="191"/>
  <c r="AD117" i="191"/>
  <c r="AD104" i="191"/>
  <c r="AD120" i="191"/>
  <c r="AD124" i="191"/>
  <c r="AD136" i="191"/>
  <c r="AD148" i="191"/>
  <c r="AD114" i="191"/>
  <c r="AD96" i="191"/>
  <c r="AD105" i="191"/>
  <c r="AD107" i="191"/>
  <c r="AD115" i="191"/>
  <c r="AD118" i="191"/>
  <c r="AD102" i="191"/>
  <c r="AD123" i="191"/>
  <c r="AD135" i="191"/>
  <c r="AD97" i="191"/>
  <c r="AD116" i="191"/>
  <c r="AD119" i="191"/>
  <c r="AD125" i="191"/>
  <c r="AD110" i="191"/>
  <c r="AD132" i="191"/>
  <c r="AD141" i="191"/>
  <c r="AD160" i="191"/>
  <c r="AD144" i="191"/>
  <c r="AD155" i="191"/>
  <c r="AD167" i="191"/>
  <c r="AD147" i="191"/>
  <c r="AD121" i="191"/>
  <c r="AD128" i="191"/>
  <c r="AD150" i="191"/>
  <c r="AD157" i="191"/>
  <c r="AD169" i="191"/>
  <c r="AD152" i="191"/>
  <c r="AD131" i="191"/>
  <c r="AD137" i="191"/>
  <c r="AD142" i="191"/>
  <c r="AD122" i="191"/>
  <c r="AD145" i="191"/>
  <c r="AD129" i="191"/>
  <c r="AD134" i="191"/>
  <c r="AD138" i="191"/>
  <c r="AD154" i="191"/>
  <c r="AD161" i="191"/>
  <c r="AD126" i="191"/>
  <c r="AD139" i="191"/>
  <c r="AD143" i="191"/>
  <c r="AD156" i="191"/>
  <c r="AD168" i="191"/>
  <c r="AD151" i="191"/>
  <c r="AD130" i="191"/>
  <c r="AD133" i="191"/>
  <c r="AD140" i="191"/>
  <c r="AD146" i="191"/>
  <c r="AD149" i="191"/>
  <c r="AD153" i="191"/>
  <c r="AD165" i="191"/>
  <c r="AD166" i="191"/>
  <c r="AD158" i="191"/>
  <c r="AD170" i="191"/>
  <c r="AD171" i="191"/>
  <c r="AD162" i="191"/>
  <c r="AD3" i="191"/>
  <c r="AD164" i="191"/>
  <c r="AD163" i="191"/>
  <c r="AD159" i="191"/>
  <c r="AD174" i="191"/>
  <c r="AD175" i="191"/>
  <c r="AD176" i="191"/>
  <c r="AD173" i="191"/>
  <c r="AD172" i="191"/>
  <c r="AE1" i="191"/>
  <c r="AE14" i="191" s="1"/>
  <c r="R15" i="189"/>
  <c r="R27" i="189"/>
  <c r="R10" i="189"/>
  <c r="R22" i="189"/>
  <c r="R34" i="189"/>
  <c r="R5" i="189"/>
  <c r="R17" i="189"/>
  <c r="R29" i="189"/>
  <c r="R12" i="189"/>
  <c r="R24" i="189"/>
  <c r="R36" i="189"/>
  <c r="R7" i="189"/>
  <c r="R19" i="189"/>
  <c r="R31" i="189"/>
  <c r="R14" i="189"/>
  <c r="R26" i="189"/>
  <c r="R9" i="189"/>
  <c r="R6" i="189"/>
  <c r="R13" i="189"/>
  <c r="R37" i="189"/>
  <c r="R43" i="189"/>
  <c r="R20" i="189"/>
  <c r="R38" i="189"/>
  <c r="R50" i="189"/>
  <c r="R21" i="189"/>
  <c r="R45" i="189"/>
  <c r="R8" i="189"/>
  <c r="R28" i="189"/>
  <c r="R40" i="189"/>
  <c r="R52" i="189"/>
  <c r="R11" i="189"/>
  <c r="R35" i="189"/>
  <c r="R47" i="189"/>
  <c r="R18" i="189"/>
  <c r="R42" i="189"/>
  <c r="R54" i="189"/>
  <c r="R33" i="189"/>
  <c r="R39" i="189"/>
  <c r="R51" i="189"/>
  <c r="R23" i="189"/>
  <c r="R25" i="189"/>
  <c r="R46" i="189"/>
  <c r="R53" i="189"/>
  <c r="R63" i="189"/>
  <c r="R58" i="189"/>
  <c r="R70" i="189"/>
  <c r="R16" i="189"/>
  <c r="R49" i="189"/>
  <c r="R65" i="189"/>
  <c r="R48" i="189"/>
  <c r="R60" i="189"/>
  <c r="R72" i="189"/>
  <c r="R55" i="189"/>
  <c r="R67" i="189"/>
  <c r="R62" i="189"/>
  <c r="R41" i="189"/>
  <c r="R59" i="189"/>
  <c r="R71" i="189"/>
  <c r="R81" i="189"/>
  <c r="R64" i="189"/>
  <c r="R76" i="189"/>
  <c r="R88" i="189"/>
  <c r="R83" i="189"/>
  <c r="R30" i="189"/>
  <c r="R66" i="189"/>
  <c r="R78" i="189"/>
  <c r="R90" i="189"/>
  <c r="R85" i="189"/>
  <c r="R69" i="189"/>
  <c r="R80" i="189"/>
  <c r="R92" i="189"/>
  <c r="R32" i="189"/>
  <c r="R77" i="189"/>
  <c r="R89" i="189"/>
  <c r="R84" i="189"/>
  <c r="R44" i="189"/>
  <c r="R73" i="189"/>
  <c r="R79" i="189"/>
  <c r="R91" i="189"/>
  <c r="R94" i="189"/>
  <c r="R106" i="189"/>
  <c r="R56" i="189"/>
  <c r="R101" i="189"/>
  <c r="R113" i="189"/>
  <c r="R74" i="189"/>
  <c r="R96" i="189"/>
  <c r="R108" i="189"/>
  <c r="R57" i="189"/>
  <c r="R68" i="189"/>
  <c r="R103" i="189"/>
  <c r="R115" i="189"/>
  <c r="R82" i="189"/>
  <c r="R98" i="189"/>
  <c r="R110" i="189"/>
  <c r="R102" i="189"/>
  <c r="R114" i="189"/>
  <c r="R75" i="189"/>
  <c r="R97" i="189"/>
  <c r="R109" i="189"/>
  <c r="R104" i="189"/>
  <c r="R116" i="189"/>
  <c r="R117" i="189"/>
  <c r="R126" i="189"/>
  <c r="R138" i="189"/>
  <c r="R121" i="189"/>
  <c r="R133" i="189"/>
  <c r="R95" i="189"/>
  <c r="R128" i="189"/>
  <c r="R123" i="189"/>
  <c r="R135" i="189"/>
  <c r="R93" i="189"/>
  <c r="R118" i="189"/>
  <c r="R130" i="189"/>
  <c r="R100" i="189"/>
  <c r="R125" i="189"/>
  <c r="R107" i="189"/>
  <c r="R120" i="189"/>
  <c r="R132" i="189"/>
  <c r="R61" i="189"/>
  <c r="R105" i="189"/>
  <c r="R122" i="189"/>
  <c r="R134" i="189"/>
  <c r="R87" i="189"/>
  <c r="R112" i="189"/>
  <c r="R129" i="189"/>
  <c r="R99" i="189"/>
  <c r="R137" i="189"/>
  <c r="R149" i="189"/>
  <c r="R161" i="189"/>
  <c r="R144" i="189"/>
  <c r="R156" i="189"/>
  <c r="R119" i="189"/>
  <c r="R136" i="189"/>
  <c r="R151" i="189"/>
  <c r="R163" i="189"/>
  <c r="R86" i="189"/>
  <c r="R127" i="189"/>
  <c r="R139" i="189"/>
  <c r="R146" i="189"/>
  <c r="R158" i="189"/>
  <c r="R124" i="189"/>
  <c r="R141" i="189"/>
  <c r="R153" i="189"/>
  <c r="R148" i="189"/>
  <c r="R160" i="189"/>
  <c r="R111" i="189"/>
  <c r="R145" i="189"/>
  <c r="R157" i="189"/>
  <c r="R140" i="189"/>
  <c r="R152" i="189"/>
  <c r="R147" i="189"/>
  <c r="R159" i="189"/>
  <c r="R143" i="189"/>
  <c r="R162" i="189"/>
  <c r="R166" i="189"/>
  <c r="R131" i="189"/>
  <c r="R154" i="189"/>
  <c r="R168" i="189"/>
  <c r="R150" i="189"/>
  <c r="R3" i="189"/>
  <c r="R165" i="189"/>
  <c r="R142" i="189"/>
  <c r="R170" i="189"/>
  <c r="R164" i="189"/>
  <c r="R167" i="189"/>
  <c r="R169" i="189"/>
  <c r="R155" i="189"/>
  <c r="R173" i="189"/>
  <c r="R174" i="189"/>
  <c r="R171" i="189"/>
  <c r="R175" i="189"/>
  <c r="R172" i="189"/>
  <c r="S1" i="189"/>
  <c r="S4" i="189" s="1"/>
  <c r="I9" i="187"/>
  <c r="I11" i="187"/>
  <c r="I6" i="187"/>
  <c r="I8" i="187"/>
  <c r="I12" i="187"/>
  <c r="I24" i="187"/>
  <c r="I7" i="187"/>
  <c r="I19" i="187"/>
  <c r="I31" i="187"/>
  <c r="I14" i="187"/>
  <c r="I26" i="187"/>
  <c r="I21" i="187"/>
  <c r="I33" i="187"/>
  <c r="I5" i="187"/>
  <c r="I16" i="187"/>
  <c r="I28" i="187"/>
  <c r="I23" i="187"/>
  <c r="I18" i="187"/>
  <c r="I30" i="187"/>
  <c r="I10" i="187"/>
  <c r="I13" i="187"/>
  <c r="I25" i="187"/>
  <c r="I22" i="187"/>
  <c r="I34" i="187"/>
  <c r="I20" i="187"/>
  <c r="I46" i="187"/>
  <c r="I58" i="187"/>
  <c r="I35" i="187"/>
  <c r="I41" i="187"/>
  <c r="I53" i="187"/>
  <c r="I17" i="187"/>
  <c r="I36" i="187"/>
  <c r="I48" i="187"/>
  <c r="I43" i="187"/>
  <c r="I55" i="187"/>
  <c r="I38" i="187"/>
  <c r="I50" i="187"/>
  <c r="I45" i="187"/>
  <c r="I57" i="187"/>
  <c r="I40" i="187"/>
  <c r="I52" i="187"/>
  <c r="I27" i="187"/>
  <c r="I47" i="187"/>
  <c r="I59" i="187"/>
  <c r="I15" i="187"/>
  <c r="I44" i="187"/>
  <c r="I56" i="187"/>
  <c r="I69" i="187"/>
  <c r="I81" i="187"/>
  <c r="I64" i="187"/>
  <c r="I76" i="187"/>
  <c r="I29" i="187"/>
  <c r="I71" i="187"/>
  <c r="I83" i="187"/>
  <c r="I66" i="187"/>
  <c r="I78" i="187"/>
  <c r="I49" i="187"/>
  <c r="I61" i="187"/>
  <c r="I73" i="187"/>
  <c r="I68" i="187"/>
  <c r="I80" i="187"/>
  <c r="I54" i="187"/>
  <c r="I63" i="187"/>
  <c r="I75" i="187"/>
  <c r="I32" i="187"/>
  <c r="I37" i="187"/>
  <c r="I70" i="187"/>
  <c r="I82" i="187"/>
  <c r="I67" i="187"/>
  <c r="I79" i="187"/>
  <c r="I65" i="187"/>
  <c r="I88" i="187"/>
  <c r="I100" i="187"/>
  <c r="I95" i="187"/>
  <c r="I62" i="187"/>
  <c r="I90" i="187"/>
  <c r="I102" i="187"/>
  <c r="I85" i="187"/>
  <c r="I97" i="187"/>
  <c r="I42" i="187"/>
  <c r="I92" i="187"/>
  <c r="I104" i="187"/>
  <c r="I87" i="187"/>
  <c r="I99" i="187"/>
  <c r="I94" i="187"/>
  <c r="I106" i="187"/>
  <c r="I72" i="187"/>
  <c r="I89" i="187"/>
  <c r="I101" i="187"/>
  <c r="I84" i="187"/>
  <c r="I96" i="187"/>
  <c r="I60" i="187"/>
  <c r="I86" i="187"/>
  <c r="I98" i="187"/>
  <c r="I91" i="187"/>
  <c r="I115" i="187"/>
  <c r="I127" i="187"/>
  <c r="I105" i="187"/>
  <c r="I110" i="187"/>
  <c r="I122" i="187"/>
  <c r="I134" i="187"/>
  <c r="I103" i="187"/>
  <c r="I117" i="187"/>
  <c r="I129" i="187"/>
  <c r="I39" i="187"/>
  <c r="I112" i="187"/>
  <c r="I124" i="187"/>
  <c r="I119" i="187"/>
  <c r="I131" i="187"/>
  <c r="I74" i="187"/>
  <c r="I107" i="187"/>
  <c r="I114" i="187"/>
  <c r="I126" i="187"/>
  <c r="I51" i="187"/>
  <c r="I109" i="187"/>
  <c r="I121" i="187"/>
  <c r="I133" i="187"/>
  <c r="I116" i="187"/>
  <c r="I128" i="187"/>
  <c r="I77" i="187"/>
  <c r="I111" i="187"/>
  <c r="I123" i="187"/>
  <c r="I113" i="187"/>
  <c r="I125" i="187"/>
  <c r="I118" i="187"/>
  <c r="I142" i="187"/>
  <c r="I154" i="187"/>
  <c r="I132" i="187"/>
  <c r="I137" i="187"/>
  <c r="I149" i="187"/>
  <c r="I161" i="187"/>
  <c r="I130" i="187"/>
  <c r="I144" i="187"/>
  <c r="I156" i="187"/>
  <c r="I93" i="187"/>
  <c r="I139" i="187"/>
  <c r="I151" i="187"/>
  <c r="I146" i="187"/>
  <c r="I158" i="187"/>
  <c r="I141" i="187"/>
  <c r="I153" i="187"/>
  <c r="I136" i="187"/>
  <c r="I148" i="187"/>
  <c r="I160" i="187"/>
  <c r="I143" i="187"/>
  <c r="I155" i="187"/>
  <c r="I138" i="187"/>
  <c r="I150" i="187"/>
  <c r="I157" i="187"/>
  <c r="I140" i="187"/>
  <c r="I166" i="187"/>
  <c r="I145" i="187"/>
  <c r="I168" i="187"/>
  <c r="I163" i="187"/>
  <c r="I164" i="187"/>
  <c r="I159" i="187"/>
  <c r="I170" i="187"/>
  <c r="I162" i="187"/>
  <c r="I108" i="187"/>
  <c r="I165" i="187"/>
  <c r="I3" i="187"/>
  <c r="I147" i="187"/>
  <c r="I167" i="187"/>
  <c r="I152" i="187"/>
  <c r="I169" i="187"/>
  <c r="I120" i="187"/>
  <c r="I135" i="187"/>
  <c r="I173" i="187"/>
  <c r="I175" i="187"/>
  <c r="I174" i="187"/>
  <c r="I171" i="187"/>
  <c r="I172" i="187"/>
  <c r="J1" i="187"/>
  <c r="J4" i="187" s="1"/>
  <c r="T40" i="184"/>
  <c r="T41" i="184"/>
  <c r="T46" i="184"/>
  <c r="T47" i="184"/>
  <c r="T48" i="184"/>
  <c r="T49" i="184"/>
  <c r="T50" i="184"/>
  <c r="T52" i="184"/>
  <c r="AE7" i="191" l="1"/>
  <c r="AE9" i="191"/>
  <c r="AE4" i="191"/>
  <c r="AE17" i="191"/>
  <c r="AE11" i="191"/>
  <c r="AE6" i="191"/>
  <c r="AE13" i="191"/>
  <c r="AE8" i="191"/>
  <c r="AE16" i="191"/>
  <c r="AE28" i="191"/>
  <c r="AE10" i="191"/>
  <c r="AE5" i="191"/>
  <c r="AE18" i="191"/>
  <c r="AE30" i="191"/>
  <c r="AE12" i="191"/>
  <c r="AE19" i="191"/>
  <c r="AE27" i="191"/>
  <c r="AE33" i="191"/>
  <c r="AE46" i="191"/>
  <c r="AE29" i="191"/>
  <c r="AE38" i="191"/>
  <c r="AE24" i="191"/>
  <c r="AE25" i="191"/>
  <c r="AE31" i="191"/>
  <c r="AE43" i="191"/>
  <c r="AE61" i="191"/>
  <c r="AE53" i="191"/>
  <c r="AE20" i="191"/>
  <c r="AE36" i="191"/>
  <c r="AE40" i="191"/>
  <c r="AE34" i="191"/>
  <c r="AE39" i="191"/>
  <c r="AE41" i="191"/>
  <c r="AE44" i="191"/>
  <c r="AE26" i="191"/>
  <c r="AE42" i="191"/>
  <c r="AE57" i="191"/>
  <c r="AE65" i="191"/>
  <c r="AE23" i="191"/>
  <c r="AE15" i="191"/>
  <c r="AE21" i="191"/>
  <c r="AE22" i="191"/>
  <c r="AE58" i="191"/>
  <c r="AE50" i="191"/>
  <c r="AE51" i="191"/>
  <c r="AE52" i="191"/>
  <c r="AE37" i="191"/>
  <c r="AE32" i="191"/>
  <c r="AE35" i="191"/>
  <c r="AE49" i="191"/>
  <c r="AE54" i="191"/>
  <c r="AE48" i="191"/>
  <c r="AE56" i="191"/>
  <c r="AE59" i="191"/>
  <c r="AE64" i="191"/>
  <c r="AE68" i="191"/>
  <c r="AE72" i="191"/>
  <c r="AE80" i="191"/>
  <c r="AE92" i="191"/>
  <c r="AE63" i="191"/>
  <c r="AE69" i="191"/>
  <c r="AE82" i="191"/>
  <c r="AE94" i="191"/>
  <c r="AE47" i="191"/>
  <c r="AE45" i="191"/>
  <c r="AE60" i="191"/>
  <c r="AE62" i="191"/>
  <c r="AE79" i="191"/>
  <c r="AE71" i="191"/>
  <c r="AE81" i="191"/>
  <c r="AE55" i="191"/>
  <c r="AE66" i="191"/>
  <c r="AE67" i="191"/>
  <c r="AE78" i="191"/>
  <c r="AE75" i="191"/>
  <c r="AE98" i="191"/>
  <c r="AE108" i="191"/>
  <c r="AE83" i="191"/>
  <c r="AE86" i="191"/>
  <c r="AE70" i="191"/>
  <c r="AE89" i="191"/>
  <c r="AE90" i="191"/>
  <c r="AE74" i="191"/>
  <c r="AE91" i="191"/>
  <c r="AE96" i="191"/>
  <c r="AE105" i="191"/>
  <c r="AE117" i="191"/>
  <c r="AE85" i="191"/>
  <c r="AE73" i="191"/>
  <c r="AE88" i="191"/>
  <c r="AE102" i="191"/>
  <c r="AE84" i="191"/>
  <c r="AE97" i="191"/>
  <c r="AE104" i="191"/>
  <c r="AE77" i="191"/>
  <c r="AE87" i="191"/>
  <c r="AE76" i="191"/>
  <c r="AE95" i="191"/>
  <c r="AE110" i="191"/>
  <c r="AE132" i="191"/>
  <c r="AE106" i="191"/>
  <c r="AE109" i="191"/>
  <c r="AE112" i="191"/>
  <c r="AE99" i="191"/>
  <c r="AE113" i="191"/>
  <c r="AE129" i="191"/>
  <c r="AE141" i="191"/>
  <c r="AE100" i="191"/>
  <c r="AE101" i="191"/>
  <c r="AE114" i="191"/>
  <c r="AE126" i="191"/>
  <c r="AE107" i="191"/>
  <c r="AE121" i="191"/>
  <c r="AE128" i="191"/>
  <c r="AE140" i="191"/>
  <c r="AE93" i="191"/>
  <c r="AE116" i="191"/>
  <c r="AE103" i="191"/>
  <c r="AE111" i="191"/>
  <c r="AE119" i="191"/>
  <c r="AE125" i="191"/>
  <c r="AE149" i="191"/>
  <c r="AE153" i="191"/>
  <c r="AE120" i="191"/>
  <c r="AE124" i="191"/>
  <c r="AE160" i="191"/>
  <c r="AE115" i="191"/>
  <c r="AE144" i="191"/>
  <c r="AE155" i="191"/>
  <c r="AE136" i="191"/>
  <c r="AE147" i="191"/>
  <c r="AE162" i="191"/>
  <c r="AE150" i="191"/>
  <c r="AE157" i="191"/>
  <c r="AE135" i="191"/>
  <c r="AE131" i="191"/>
  <c r="AE137" i="191"/>
  <c r="AE142" i="191"/>
  <c r="AE152" i="191"/>
  <c r="AE122" i="191"/>
  <c r="AE145" i="191"/>
  <c r="AE159" i="191"/>
  <c r="AE134" i="191"/>
  <c r="AE138" i="191"/>
  <c r="AE148" i="191"/>
  <c r="AE154" i="191"/>
  <c r="AE161" i="191"/>
  <c r="AE139" i="191"/>
  <c r="AE143" i="191"/>
  <c r="AE118" i="191"/>
  <c r="AE123" i="191"/>
  <c r="AE151" i="191"/>
  <c r="AE127" i="191"/>
  <c r="AE130" i="191"/>
  <c r="AE133" i="191"/>
  <c r="AE146" i="191"/>
  <c r="AE158" i="191"/>
  <c r="AE166" i="191"/>
  <c r="AE169" i="191"/>
  <c r="AE170" i="191"/>
  <c r="AE171" i="191"/>
  <c r="AE165" i="191"/>
  <c r="AE3" i="191"/>
  <c r="AE168" i="191"/>
  <c r="AE156" i="191"/>
  <c r="AE164" i="191"/>
  <c r="AE167" i="191"/>
  <c r="AE163" i="191"/>
  <c r="AE173" i="191"/>
  <c r="AE176" i="191"/>
  <c r="AE172" i="191"/>
  <c r="AE175" i="191"/>
  <c r="AE174" i="191"/>
  <c r="AF1" i="191"/>
  <c r="AF14" i="191" s="1"/>
  <c r="S8" i="189"/>
  <c r="S20" i="189"/>
  <c r="S32" i="189"/>
  <c r="S15" i="189"/>
  <c r="S27" i="189"/>
  <c r="S10" i="189"/>
  <c r="S22" i="189"/>
  <c r="S34" i="189"/>
  <c r="S5" i="189"/>
  <c r="S17" i="189"/>
  <c r="S29" i="189"/>
  <c r="S12" i="189"/>
  <c r="S24" i="189"/>
  <c r="S36" i="189"/>
  <c r="S7" i="189"/>
  <c r="S19" i="189"/>
  <c r="S31" i="189"/>
  <c r="S30" i="189"/>
  <c r="S48" i="189"/>
  <c r="S6" i="189"/>
  <c r="S13" i="189"/>
  <c r="S37" i="189"/>
  <c r="S43" i="189"/>
  <c r="S9" i="189"/>
  <c r="S14" i="189"/>
  <c r="S38" i="189"/>
  <c r="S50" i="189"/>
  <c r="S21" i="189"/>
  <c r="S45" i="189"/>
  <c r="S28" i="189"/>
  <c r="S40" i="189"/>
  <c r="S52" i="189"/>
  <c r="S11" i="189"/>
  <c r="S35" i="189"/>
  <c r="S47" i="189"/>
  <c r="S26" i="189"/>
  <c r="S44" i="189"/>
  <c r="S56" i="189"/>
  <c r="S68" i="189"/>
  <c r="S23" i="189"/>
  <c r="S25" i="189"/>
  <c r="S46" i="189"/>
  <c r="S53" i="189"/>
  <c r="S63" i="189"/>
  <c r="S58" i="189"/>
  <c r="S70" i="189"/>
  <c r="S16" i="189"/>
  <c r="S18" i="189"/>
  <c r="S49" i="189"/>
  <c r="S54" i="189"/>
  <c r="S65" i="189"/>
  <c r="S33" i="189"/>
  <c r="S60" i="189"/>
  <c r="S72" i="189"/>
  <c r="S51" i="189"/>
  <c r="S55" i="189"/>
  <c r="S67" i="189"/>
  <c r="S42" i="189"/>
  <c r="S64" i="189"/>
  <c r="S61" i="189"/>
  <c r="S74" i="189"/>
  <c r="S86" i="189"/>
  <c r="S81" i="189"/>
  <c r="S76" i="189"/>
  <c r="S88" i="189"/>
  <c r="S83" i="189"/>
  <c r="S66" i="189"/>
  <c r="S78" i="189"/>
  <c r="S90" i="189"/>
  <c r="S85" i="189"/>
  <c r="S71" i="189"/>
  <c r="S82" i="189"/>
  <c r="S59" i="189"/>
  <c r="S77" i="189"/>
  <c r="S89" i="189"/>
  <c r="S84" i="189"/>
  <c r="S41" i="189"/>
  <c r="S80" i="189"/>
  <c r="S99" i="189"/>
  <c r="S111" i="189"/>
  <c r="S94" i="189"/>
  <c r="S106" i="189"/>
  <c r="S91" i="189"/>
  <c r="S101" i="189"/>
  <c r="S113" i="189"/>
  <c r="S96" i="189"/>
  <c r="S108" i="189"/>
  <c r="S57" i="189"/>
  <c r="S103" i="189"/>
  <c r="S115" i="189"/>
  <c r="S62" i="189"/>
  <c r="S73" i="189"/>
  <c r="S95" i="189"/>
  <c r="S107" i="189"/>
  <c r="S39" i="189"/>
  <c r="S92" i="189"/>
  <c r="S102" i="189"/>
  <c r="S114" i="189"/>
  <c r="S75" i="189"/>
  <c r="S97" i="189"/>
  <c r="S109" i="189"/>
  <c r="S79" i="189"/>
  <c r="S110" i="189"/>
  <c r="S119" i="189"/>
  <c r="S131" i="189"/>
  <c r="S117" i="189"/>
  <c r="S126" i="189"/>
  <c r="S138" i="189"/>
  <c r="S121" i="189"/>
  <c r="S133" i="189"/>
  <c r="S116" i="189"/>
  <c r="S128" i="189"/>
  <c r="S123" i="189"/>
  <c r="S135" i="189"/>
  <c r="S69" i="189"/>
  <c r="S93" i="189"/>
  <c r="S118" i="189"/>
  <c r="S130" i="189"/>
  <c r="S100" i="189"/>
  <c r="S125" i="189"/>
  <c r="S137" i="189"/>
  <c r="S98" i="189"/>
  <c r="S127" i="189"/>
  <c r="S105" i="189"/>
  <c r="S122" i="189"/>
  <c r="S134" i="189"/>
  <c r="S142" i="189"/>
  <c r="S154" i="189"/>
  <c r="S149" i="189"/>
  <c r="S161" i="189"/>
  <c r="S104" i="189"/>
  <c r="S144" i="189"/>
  <c r="S156" i="189"/>
  <c r="S136" i="189"/>
  <c r="S151" i="189"/>
  <c r="S163" i="189"/>
  <c r="S87" i="189"/>
  <c r="S139" i="189"/>
  <c r="S146" i="189"/>
  <c r="S158" i="189"/>
  <c r="S124" i="189"/>
  <c r="S141" i="189"/>
  <c r="S153" i="189"/>
  <c r="S150" i="189"/>
  <c r="S162" i="189"/>
  <c r="S120" i="189"/>
  <c r="S145" i="189"/>
  <c r="S157" i="189"/>
  <c r="S112" i="189"/>
  <c r="S140" i="189"/>
  <c r="S152" i="189"/>
  <c r="S132" i="189"/>
  <c r="S164" i="189"/>
  <c r="S3" i="189"/>
  <c r="S170" i="189"/>
  <c r="S143" i="189"/>
  <c r="S166" i="189"/>
  <c r="S169" i="189"/>
  <c r="S148" i="189"/>
  <c r="S160" i="189"/>
  <c r="S168" i="189"/>
  <c r="S159" i="189"/>
  <c r="S129" i="189"/>
  <c r="S165" i="189"/>
  <c r="S147" i="189"/>
  <c r="S155" i="189"/>
  <c r="S167" i="189"/>
  <c r="S174" i="189"/>
  <c r="S175" i="189"/>
  <c r="S171" i="189"/>
  <c r="S173" i="189"/>
  <c r="S172" i="189"/>
  <c r="T1" i="189"/>
  <c r="T4" i="189" s="1"/>
  <c r="J7" i="187"/>
  <c r="J9" i="187"/>
  <c r="J11" i="187"/>
  <c r="J8" i="187"/>
  <c r="J5" i="187"/>
  <c r="J17" i="187"/>
  <c r="J29" i="187"/>
  <c r="J12" i="187"/>
  <c r="J24" i="187"/>
  <c r="J6" i="187"/>
  <c r="J19" i="187"/>
  <c r="J31" i="187"/>
  <c r="J14" i="187"/>
  <c r="J26" i="187"/>
  <c r="J21" i="187"/>
  <c r="J16" i="187"/>
  <c r="J28" i="187"/>
  <c r="J23" i="187"/>
  <c r="J35" i="187"/>
  <c r="J18" i="187"/>
  <c r="J30" i="187"/>
  <c r="J15" i="187"/>
  <c r="J27" i="187"/>
  <c r="J34" i="187"/>
  <c r="J39" i="187"/>
  <c r="J51" i="187"/>
  <c r="J20" i="187"/>
  <c r="J46" i="187"/>
  <c r="J58" i="187"/>
  <c r="J41" i="187"/>
  <c r="J53" i="187"/>
  <c r="J10" i="187"/>
  <c r="J25" i="187"/>
  <c r="J36" i="187"/>
  <c r="J48" i="187"/>
  <c r="J43" i="187"/>
  <c r="J55" i="187"/>
  <c r="J22" i="187"/>
  <c r="J38" i="187"/>
  <c r="J50" i="187"/>
  <c r="J13" i="187"/>
  <c r="J45" i="187"/>
  <c r="J57" i="187"/>
  <c r="J40" i="187"/>
  <c r="J52" i="187"/>
  <c r="J32" i="187"/>
  <c r="J33" i="187"/>
  <c r="J37" i="187"/>
  <c r="J49" i="187"/>
  <c r="J47" i="187"/>
  <c r="J62" i="187"/>
  <c r="J74" i="187"/>
  <c r="J69" i="187"/>
  <c r="J44" i="187"/>
  <c r="J64" i="187"/>
  <c r="J76" i="187"/>
  <c r="J71" i="187"/>
  <c r="J66" i="187"/>
  <c r="J78" i="187"/>
  <c r="J61" i="187"/>
  <c r="J73" i="187"/>
  <c r="J59" i="187"/>
  <c r="J68" i="187"/>
  <c r="J80" i="187"/>
  <c r="J54" i="187"/>
  <c r="J63" i="187"/>
  <c r="J75" i="187"/>
  <c r="J42" i="187"/>
  <c r="J60" i="187"/>
  <c r="J72" i="187"/>
  <c r="J93" i="187"/>
  <c r="J105" i="187"/>
  <c r="J65" i="187"/>
  <c r="J88" i="187"/>
  <c r="J100" i="187"/>
  <c r="J79" i="187"/>
  <c r="J95" i="187"/>
  <c r="J70" i="187"/>
  <c r="J82" i="187"/>
  <c r="J90" i="187"/>
  <c r="J102" i="187"/>
  <c r="J85" i="187"/>
  <c r="J97" i="187"/>
  <c r="J67" i="187"/>
  <c r="J92" i="187"/>
  <c r="J104" i="187"/>
  <c r="J87" i="187"/>
  <c r="J99" i="187"/>
  <c r="J94" i="187"/>
  <c r="J106" i="187"/>
  <c r="J56" i="187"/>
  <c r="J89" i="187"/>
  <c r="J101" i="187"/>
  <c r="J77" i="187"/>
  <c r="J91" i="187"/>
  <c r="J103" i="187"/>
  <c r="J84" i="187"/>
  <c r="J108" i="187"/>
  <c r="J120" i="187"/>
  <c r="J132" i="187"/>
  <c r="J98" i="187"/>
  <c r="J115" i="187"/>
  <c r="J127" i="187"/>
  <c r="J81" i="187"/>
  <c r="J96" i="187"/>
  <c r="J110" i="187"/>
  <c r="J122" i="187"/>
  <c r="J117" i="187"/>
  <c r="J129" i="187"/>
  <c r="J112" i="187"/>
  <c r="J124" i="187"/>
  <c r="J119" i="187"/>
  <c r="J131" i="187"/>
  <c r="J107" i="187"/>
  <c r="J114" i="187"/>
  <c r="J126" i="187"/>
  <c r="J109" i="187"/>
  <c r="J121" i="187"/>
  <c r="J133" i="187"/>
  <c r="J83" i="187"/>
  <c r="J116" i="187"/>
  <c r="J128" i="187"/>
  <c r="J118" i="187"/>
  <c r="J130" i="187"/>
  <c r="J111" i="187"/>
  <c r="J134" i="187"/>
  <c r="J135" i="187"/>
  <c r="J147" i="187"/>
  <c r="J159" i="187"/>
  <c r="J125" i="187"/>
  <c r="J142" i="187"/>
  <c r="J154" i="187"/>
  <c r="J123" i="187"/>
  <c r="J137" i="187"/>
  <c r="J149" i="187"/>
  <c r="J161" i="187"/>
  <c r="J144" i="187"/>
  <c r="J156" i="187"/>
  <c r="J139" i="187"/>
  <c r="J151" i="187"/>
  <c r="J146" i="187"/>
  <c r="J158" i="187"/>
  <c r="J141" i="187"/>
  <c r="J153" i="187"/>
  <c r="J136" i="187"/>
  <c r="J148" i="187"/>
  <c r="J160" i="187"/>
  <c r="J143" i="187"/>
  <c r="J155" i="187"/>
  <c r="J86" i="187"/>
  <c r="J164" i="187"/>
  <c r="J3" i="187"/>
  <c r="J157" i="187"/>
  <c r="J113" i="187"/>
  <c r="J140" i="187"/>
  <c r="J166" i="187"/>
  <c r="J145" i="187"/>
  <c r="J168" i="187"/>
  <c r="J169" i="187"/>
  <c r="J163" i="187"/>
  <c r="J150" i="187"/>
  <c r="J170" i="187"/>
  <c r="J138" i="187"/>
  <c r="J167" i="187"/>
  <c r="J165" i="187"/>
  <c r="J162" i="187"/>
  <c r="J152" i="187"/>
  <c r="J174" i="187"/>
  <c r="J171" i="187"/>
  <c r="J173" i="187"/>
  <c r="J175" i="187"/>
  <c r="J172" i="187"/>
  <c r="K1" i="187"/>
  <c r="K4" i="187" s="1"/>
  <c r="T39" i="184"/>
  <c r="AF12" i="191" l="1"/>
  <c r="AF7" i="191"/>
  <c r="AF15" i="191"/>
  <c r="AF9" i="191"/>
  <c r="AF4" i="191"/>
  <c r="AF11" i="191"/>
  <c r="AF6" i="191"/>
  <c r="AF13" i="191"/>
  <c r="AF8" i="191"/>
  <c r="AF21" i="191"/>
  <c r="AF33" i="191"/>
  <c r="AF16" i="191"/>
  <c r="AF10" i="191"/>
  <c r="AF23" i="191"/>
  <c r="AF35" i="191"/>
  <c r="AF5" i="191"/>
  <c r="AF20" i="191"/>
  <c r="AF26" i="191"/>
  <c r="AF39" i="191"/>
  <c r="AF51" i="191"/>
  <c r="AF22" i="191"/>
  <c r="AF43" i="191"/>
  <c r="AF24" i="191"/>
  <c r="AF30" i="191"/>
  <c r="AF49" i="191"/>
  <c r="AF52" i="191"/>
  <c r="AF54" i="191"/>
  <c r="AF66" i="191"/>
  <c r="AF19" i="191"/>
  <c r="AF45" i="191"/>
  <c r="AF58" i="191"/>
  <c r="AF29" i="191"/>
  <c r="AF27" i="191"/>
  <c r="AF36" i="191"/>
  <c r="AF40" i="191"/>
  <c r="AF47" i="191"/>
  <c r="AF25" i="191"/>
  <c r="AF28" i="191"/>
  <c r="AF48" i="191"/>
  <c r="AF44" i="191"/>
  <c r="AF62" i="191"/>
  <c r="AF69" i="191"/>
  <c r="AF71" i="191"/>
  <c r="AF18" i="191"/>
  <c r="AF50" i="191"/>
  <c r="AF34" i="191"/>
  <c r="AF37" i="191"/>
  <c r="AF41" i="191"/>
  <c r="AF32" i="191"/>
  <c r="AF31" i="191"/>
  <c r="AF38" i="191"/>
  <c r="AF55" i="191"/>
  <c r="AF17" i="191"/>
  <c r="AF46" i="191"/>
  <c r="AF65" i="191"/>
  <c r="AF67" i="191"/>
  <c r="AF78" i="191"/>
  <c r="AF59" i="191"/>
  <c r="AF64" i="191"/>
  <c r="AF68" i="191"/>
  <c r="AF72" i="191"/>
  <c r="AF85" i="191"/>
  <c r="AF53" i="191"/>
  <c r="AF56" i="191"/>
  <c r="AF63" i="191"/>
  <c r="AF75" i="191"/>
  <c r="AF87" i="191"/>
  <c r="AF99" i="191"/>
  <c r="AF57" i="191"/>
  <c r="AF70" i="191"/>
  <c r="AF60" i="191"/>
  <c r="AF79" i="191"/>
  <c r="AF86" i="191"/>
  <c r="AF74" i="191"/>
  <c r="AF76" i="191"/>
  <c r="AF42" i="191"/>
  <c r="AF61" i="191"/>
  <c r="AF83" i="191"/>
  <c r="AF95" i="191"/>
  <c r="AF89" i="191"/>
  <c r="AF90" i="191"/>
  <c r="AF110" i="191"/>
  <c r="AF91" i="191"/>
  <c r="AF80" i="191"/>
  <c r="AF92" i="191"/>
  <c r="AF107" i="191"/>
  <c r="AF73" i="191"/>
  <c r="AF81" i="191"/>
  <c r="AF88" i="191"/>
  <c r="AF84" i="191"/>
  <c r="AF93" i="191"/>
  <c r="AF109" i="191"/>
  <c r="AF82" i="191"/>
  <c r="AF94" i="191"/>
  <c r="AF77" i="191"/>
  <c r="AF100" i="191"/>
  <c r="AF106" i="191"/>
  <c r="AF103" i="191"/>
  <c r="AF111" i="191"/>
  <c r="AF119" i="191"/>
  <c r="AF125" i="191"/>
  <c r="AF108" i="191"/>
  <c r="AF112" i="191"/>
  <c r="AF117" i="191"/>
  <c r="AF122" i="191"/>
  <c r="AF134" i="191"/>
  <c r="AF146" i="191"/>
  <c r="AF104" i="191"/>
  <c r="AF113" i="191"/>
  <c r="AF101" i="191"/>
  <c r="AF114" i="191"/>
  <c r="AF96" i="191"/>
  <c r="AF105" i="191"/>
  <c r="AF115" i="191"/>
  <c r="AF118" i="191"/>
  <c r="AF133" i="191"/>
  <c r="AF102" i="191"/>
  <c r="AF97" i="191"/>
  <c r="AF123" i="191"/>
  <c r="AF98" i="191"/>
  <c r="AF116" i="191"/>
  <c r="AF130" i="191"/>
  <c r="AF127" i="191"/>
  <c r="AF158" i="191"/>
  <c r="AF141" i="191"/>
  <c r="AF149" i="191"/>
  <c r="AF153" i="191"/>
  <c r="AF165" i="191"/>
  <c r="AF3" i="191"/>
  <c r="AF120" i="191"/>
  <c r="AF124" i="191"/>
  <c r="AF132" i="191"/>
  <c r="AF144" i="191"/>
  <c r="AF155" i="191"/>
  <c r="AF167" i="191"/>
  <c r="AF147" i="191"/>
  <c r="AF121" i="191"/>
  <c r="AF128" i="191"/>
  <c r="AF136" i="191"/>
  <c r="AF135" i="191"/>
  <c r="AF150" i="191"/>
  <c r="AF131" i="191"/>
  <c r="AF137" i="191"/>
  <c r="AF142" i="191"/>
  <c r="AF152" i="191"/>
  <c r="AF129" i="191"/>
  <c r="AF145" i="191"/>
  <c r="AF159" i="191"/>
  <c r="AF138" i="191"/>
  <c r="AF148" i="191"/>
  <c r="AF154" i="191"/>
  <c r="AF166" i="191"/>
  <c r="AF126" i="191"/>
  <c r="AF139" i="191"/>
  <c r="AF143" i="191"/>
  <c r="AF140" i="191"/>
  <c r="AF151" i="191"/>
  <c r="AF163" i="191"/>
  <c r="AF161" i="191"/>
  <c r="AF157" i="191"/>
  <c r="AF169" i="191"/>
  <c r="AF170" i="191"/>
  <c r="AF162" i="191"/>
  <c r="AF171" i="191"/>
  <c r="AF156" i="191"/>
  <c r="AF168" i="191"/>
  <c r="AF164" i="191"/>
  <c r="AF160" i="191"/>
  <c r="AF176" i="191"/>
  <c r="AF172" i="191"/>
  <c r="AF175" i="191"/>
  <c r="AF173" i="191"/>
  <c r="AF174" i="191"/>
  <c r="AG1" i="191"/>
  <c r="AG14" i="191" s="1"/>
  <c r="T13" i="189"/>
  <c r="T25" i="189"/>
  <c r="T37" i="189"/>
  <c r="T8" i="189"/>
  <c r="T20" i="189"/>
  <c r="T32" i="189"/>
  <c r="T15" i="189"/>
  <c r="T27" i="189"/>
  <c r="T10" i="189"/>
  <c r="T22" i="189"/>
  <c r="T34" i="189"/>
  <c r="T5" i="189"/>
  <c r="T17" i="189"/>
  <c r="T29" i="189"/>
  <c r="T12" i="189"/>
  <c r="T24" i="189"/>
  <c r="T36" i="189"/>
  <c r="T7" i="189"/>
  <c r="T23" i="189"/>
  <c r="T41" i="189"/>
  <c r="T53" i="189"/>
  <c r="T30" i="189"/>
  <c r="T48" i="189"/>
  <c r="T6" i="189"/>
  <c r="T31" i="189"/>
  <c r="T43" i="189"/>
  <c r="T9" i="189"/>
  <c r="T14" i="189"/>
  <c r="T38" i="189"/>
  <c r="T50" i="189"/>
  <c r="T21" i="189"/>
  <c r="T45" i="189"/>
  <c r="T28" i="189"/>
  <c r="T40" i="189"/>
  <c r="T52" i="189"/>
  <c r="T19" i="189"/>
  <c r="T49" i="189"/>
  <c r="T61" i="189"/>
  <c r="T73" i="189"/>
  <c r="T47" i="189"/>
  <c r="T56" i="189"/>
  <c r="T68" i="189"/>
  <c r="T46" i="189"/>
  <c r="T63" i="189"/>
  <c r="T58" i="189"/>
  <c r="T70" i="189"/>
  <c r="T16" i="189"/>
  <c r="T18" i="189"/>
  <c r="T54" i="189"/>
  <c r="T65" i="189"/>
  <c r="T33" i="189"/>
  <c r="T35" i="189"/>
  <c r="T60" i="189"/>
  <c r="T72" i="189"/>
  <c r="T57" i="189"/>
  <c r="T69" i="189"/>
  <c r="T62" i="189"/>
  <c r="T79" i="189"/>
  <c r="T91" i="189"/>
  <c r="T74" i="189"/>
  <c r="T86" i="189"/>
  <c r="T64" i="189"/>
  <c r="T81" i="189"/>
  <c r="T26" i="189"/>
  <c r="T76" i="189"/>
  <c r="T88" i="189"/>
  <c r="T67" i="189"/>
  <c r="T83" i="189"/>
  <c r="T55" i="189"/>
  <c r="T66" i="189"/>
  <c r="T78" i="189"/>
  <c r="T90" i="189"/>
  <c r="T75" i="189"/>
  <c r="T87" i="189"/>
  <c r="T71" i="189"/>
  <c r="T82" i="189"/>
  <c r="T11" i="189"/>
  <c r="T59" i="189"/>
  <c r="T77" i="189"/>
  <c r="T89" i="189"/>
  <c r="T104" i="189"/>
  <c r="T116" i="189"/>
  <c r="T80" i="189"/>
  <c r="T99" i="189"/>
  <c r="T111" i="189"/>
  <c r="T42" i="189"/>
  <c r="T51" i="189"/>
  <c r="T94" i="189"/>
  <c r="T106" i="189"/>
  <c r="T85" i="189"/>
  <c r="T101" i="189"/>
  <c r="T113" i="189"/>
  <c r="T96" i="189"/>
  <c r="T108" i="189"/>
  <c r="T84" i="189"/>
  <c r="T100" i="189"/>
  <c r="T112" i="189"/>
  <c r="T95" i="189"/>
  <c r="T107" i="189"/>
  <c r="T39" i="189"/>
  <c r="T92" i="189"/>
  <c r="T102" i="189"/>
  <c r="T114" i="189"/>
  <c r="T103" i="189"/>
  <c r="T124" i="189"/>
  <c r="T136" i="189"/>
  <c r="T110" i="189"/>
  <c r="T119" i="189"/>
  <c r="T131" i="189"/>
  <c r="T117" i="189"/>
  <c r="T126" i="189"/>
  <c r="T138" i="189"/>
  <c r="T109" i="189"/>
  <c r="T121" i="189"/>
  <c r="T133" i="189"/>
  <c r="T115" i="189"/>
  <c r="T128" i="189"/>
  <c r="T123" i="189"/>
  <c r="T135" i="189"/>
  <c r="T93" i="189"/>
  <c r="T118" i="189"/>
  <c r="T130" i="189"/>
  <c r="T44" i="189"/>
  <c r="T120" i="189"/>
  <c r="T132" i="189"/>
  <c r="T98" i="189"/>
  <c r="T127" i="189"/>
  <c r="T125" i="189"/>
  <c r="T147" i="189"/>
  <c r="T159" i="189"/>
  <c r="T122" i="189"/>
  <c r="T137" i="189"/>
  <c r="T142" i="189"/>
  <c r="T154" i="189"/>
  <c r="T149" i="189"/>
  <c r="T161" i="189"/>
  <c r="T144" i="189"/>
  <c r="T156" i="189"/>
  <c r="T105" i="189"/>
  <c r="T151" i="189"/>
  <c r="T139" i="189"/>
  <c r="T146" i="189"/>
  <c r="T158" i="189"/>
  <c r="T97" i="189"/>
  <c r="T129" i="189"/>
  <c r="T143" i="189"/>
  <c r="T155" i="189"/>
  <c r="T150" i="189"/>
  <c r="T162" i="189"/>
  <c r="T134" i="189"/>
  <c r="T145" i="189"/>
  <c r="T157" i="189"/>
  <c r="T169" i="189"/>
  <c r="T164" i="189"/>
  <c r="T3" i="189"/>
  <c r="T170" i="189"/>
  <c r="T140" i="189"/>
  <c r="T166" i="189"/>
  <c r="T148" i="189"/>
  <c r="T160" i="189"/>
  <c r="T153" i="189"/>
  <c r="T168" i="189"/>
  <c r="T165" i="189"/>
  <c r="T163" i="189"/>
  <c r="T167" i="189"/>
  <c r="T152" i="189"/>
  <c r="T141" i="189"/>
  <c r="T175" i="189"/>
  <c r="T172" i="189"/>
  <c r="T174" i="189"/>
  <c r="T173" i="189"/>
  <c r="T171" i="189"/>
  <c r="U1" i="189"/>
  <c r="U4" i="189" s="1"/>
  <c r="K7" i="187"/>
  <c r="K9" i="187"/>
  <c r="K6" i="187"/>
  <c r="K10" i="187"/>
  <c r="K22" i="187"/>
  <c r="K34" i="187"/>
  <c r="K17" i="187"/>
  <c r="K29" i="187"/>
  <c r="K12" i="187"/>
  <c r="K24" i="187"/>
  <c r="K19" i="187"/>
  <c r="K31" i="187"/>
  <c r="K14" i="187"/>
  <c r="K26" i="187"/>
  <c r="K5" i="187"/>
  <c r="K21" i="187"/>
  <c r="K11" i="187"/>
  <c r="K16" i="187"/>
  <c r="K28" i="187"/>
  <c r="K23" i="187"/>
  <c r="K35" i="187"/>
  <c r="K20" i="187"/>
  <c r="K32" i="187"/>
  <c r="K44" i="187"/>
  <c r="K56" i="187"/>
  <c r="K39" i="187"/>
  <c r="K51" i="187"/>
  <c r="K46" i="187"/>
  <c r="K58" i="187"/>
  <c r="K41" i="187"/>
  <c r="K53" i="187"/>
  <c r="K25" i="187"/>
  <c r="K36" i="187"/>
  <c r="K48" i="187"/>
  <c r="K43" i="187"/>
  <c r="K55" i="187"/>
  <c r="K30" i="187"/>
  <c r="K38" i="187"/>
  <c r="K50" i="187"/>
  <c r="K13" i="187"/>
  <c r="K45" i="187"/>
  <c r="K57" i="187"/>
  <c r="K42" i="187"/>
  <c r="K54" i="187"/>
  <c r="K67" i="187"/>
  <c r="K79" i="187"/>
  <c r="K47" i="187"/>
  <c r="K62" i="187"/>
  <c r="K74" i="187"/>
  <c r="K8" i="187"/>
  <c r="K69" i="187"/>
  <c r="K81" i="187"/>
  <c r="K52" i="187"/>
  <c r="K64" i="187"/>
  <c r="K76" i="187"/>
  <c r="K18" i="187"/>
  <c r="K71" i="187"/>
  <c r="K49" i="187"/>
  <c r="K66" i="187"/>
  <c r="K78" i="187"/>
  <c r="K40" i="187"/>
  <c r="K61" i="187"/>
  <c r="K73" i="187"/>
  <c r="K59" i="187"/>
  <c r="K68" i="187"/>
  <c r="K80" i="187"/>
  <c r="K65" i="187"/>
  <c r="K77" i="187"/>
  <c r="K86" i="187"/>
  <c r="K98" i="187"/>
  <c r="K93" i="187"/>
  <c r="K105" i="187"/>
  <c r="K33" i="187"/>
  <c r="K88" i="187"/>
  <c r="K100" i="187"/>
  <c r="K95" i="187"/>
  <c r="K70" i="187"/>
  <c r="K82" i="187"/>
  <c r="K90" i="187"/>
  <c r="K102" i="187"/>
  <c r="K15" i="187"/>
  <c r="K85" i="187"/>
  <c r="K97" i="187"/>
  <c r="K37" i="187"/>
  <c r="K75" i="187"/>
  <c r="K92" i="187"/>
  <c r="K104" i="187"/>
  <c r="K87" i="187"/>
  <c r="K99" i="187"/>
  <c r="K72" i="187"/>
  <c r="K94" i="187"/>
  <c r="K106" i="187"/>
  <c r="K27" i="187"/>
  <c r="K83" i="187"/>
  <c r="K84" i="187"/>
  <c r="K96" i="187"/>
  <c r="K113" i="187"/>
  <c r="K125" i="187"/>
  <c r="K91" i="187"/>
  <c r="K108" i="187"/>
  <c r="K120" i="187"/>
  <c r="K132" i="187"/>
  <c r="K63" i="187"/>
  <c r="K89" i="187"/>
  <c r="K115" i="187"/>
  <c r="K127" i="187"/>
  <c r="K103" i="187"/>
  <c r="K110" i="187"/>
  <c r="K122" i="187"/>
  <c r="K101" i="187"/>
  <c r="K117" i="187"/>
  <c r="K129" i="187"/>
  <c r="K112" i="187"/>
  <c r="K124" i="187"/>
  <c r="K119" i="187"/>
  <c r="K131" i="187"/>
  <c r="K107" i="187"/>
  <c r="K114" i="187"/>
  <c r="K126" i="187"/>
  <c r="K109" i="187"/>
  <c r="K121" i="187"/>
  <c r="K133" i="187"/>
  <c r="K111" i="187"/>
  <c r="K123" i="187"/>
  <c r="K140" i="187"/>
  <c r="K152" i="187"/>
  <c r="K60" i="187"/>
  <c r="K118" i="187"/>
  <c r="K134" i="187"/>
  <c r="K135" i="187"/>
  <c r="K147" i="187"/>
  <c r="K159" i="187"/>
  <c r="K116" i="187"/>
  <c r="K142" i="187"/>
  <c r="K154" i="187"/>
  <c r="K130" i="187"/>
  <c r="K137" i="187"/>
  <c r="K149" i="187"/>
  <c r="K161" i="187"/>
  <c r="K128" i="187"/>
  <c r="K144" i="187"/>
  <c r="K156" i="187"/>
  <c r="K139" i="187"/>
  <c r="K151" i="187"/>
  <c r="K146" i="187"/>
  <c r="K158" i="187"/>
  <c r="K141" i="187"/>
  <c r="K153" i="187"/>
  <c r="K136" i="187"/>
  <c r="K148" i="187"/>
  <c r="K160" i="187"/>
  <c r="K143" i="187"/>
  <c r="K169" i="187"/>
  <c r="K164" i="187"/>
  <c r="K3" i="187"/>
  <c r="K157" i="187"/>
  <c r="K162" i="187"/>
  <c r="K166" i="187"/>
  <c r="K155" i="187"/>
  <c r="K145" i="187"/>
  <c r="K168" i="187"/>
  <c r="K163" i="187"/>
  <c r="K150" i="187"/>
  <c r="K170" i="187"/>
  <c r="K165" i="187"/>
  <c r="K138" i="187"/>
  <c r="K167" i="187"/>
  <c r="K175" i="187"/>
  <c r="K171" i="187"/>
  <c r="K172" i="187"/>
  <c r="K173" i="187"/>
  <c r="K174" i="187"/>
  <c r="L1" i="187"/>
  <c r="L4" i="187" s="1"/>
  <c r="T38" i="184"/>
  <c r="T51" i="184"/>
  <c r="AG5" i="191" l="1"/>
  <c r="AG18" i="191"/>
  <c r="AG12" i="191"/>
  <c r="AG7" i="191"/>
  <c r="AG15" i="191"/>
  <c r="AG9" i="191"/>
  <c r="AG4" i="191"/>
  <c r="AG17" i="191"/>
  <c r="AG11" i="191"/>
  <c r="AG6" i="191"/>
  <c r="AG19" i="191"/>
  <c r="AG13" i="191"/>
  <c r="AG26" i="191"/>
  <c r="AG8" i="191"/>
  <c r="AG16" i="191"/>
  <c r="AG28" i="191"/>
  <c r="AG10" i="191"/>
  <c r="AG44" i="191"/>
  <c r="AG35" i="191"/>
  <c r="AG48" i="191"/>
  <c r="AG30" i="191"/>
  <c r="AG36" i="191"/>
  <c r="AG40" i="191"/>
  <c r="AG23" i="191"/>
  <c r="AG38" i="191"/>
  <c r="AG42" i="191"/>
  <c r="AG59" i="191"/>
  <c r="AG33" i="191"/>
  <c r="AG50" i="191"/>
  <c r="AG22" i="191"/>
  <c r="AG46" i="191"/>
  <c r="AG20" i="191"/>
  <c r="AG29" i="191"/>
  <c r="AG27" i="191"/>
  <c r="AG39" i="191"/>
  <c r="AG25" i="191"/>
  <c r="AG56" i="191"/>
  <c r="AG24" i="191"/>
  <c r="AG57" i="191"/>
  <c r="AG65" i="191"/>
  <c r="AG21" i="191"/>
  <c r="AG45" i="191"/>
  <c r="AG43" i="191"/>
  <c r="AG51" i="191"/>
  <c r="AG52" i="191"/>
  <c r="AG53" i="191"/>
  <c r="AG60" i="191"/>
  <c r="AG34" i="191"/>
  <c r="AG37" i="191"/>
  <c r="AG32" i="191"/>
  <c r="AG31" i="191"/>
  <c r="AG55" i="191"/>
  <c r="AG61" i="191"/>
  <c r="AG66" i="191"/>
  <c r="AG83" i="191"/>
  <c r="AG54" i="191"/>
  <c r="AG67" i="191"/>
  <c r="AG78" i="191"/>
  <c r="AG90" i="191"/>
  <c r="AG64" i="191"/>
  <c r="AG68" i="191"/>
  <c r="AG80" i="191"/>
  <c r="AG92" i="191"/>
  <c r="AG63" i="191"/>
  <c r="AG47" i="191"/>
  <c r="AG41" i="191"/>
  <c r="AG49" i="191"/>
  <c r="AG70" i="191"/>
  <c r="AG73" i="191"/>
  <c r="AG77" i="191"/>
  <c r="AG62" i="191"/>
  <c r="AG58" i="191"/>
  <c r="AG79" i="191"/>
  <c r="AG71" i="191"/>
  <c r="AG74" i="191"/>
  <c r="AG76" i="191"/>
  <c r="AG88" i="191"/>
  <c r="AG69" i="191"/>
  <c r="AG106" i="191"/>
  <c r="AG75" i="191"/>
  <c r="AG86" i="191"/>
  <c r="AG101" i="191"/>
  <c r="AG103" i="191"/>
  <c r="AG115" i="191"/>
  <c r="AG89" i="191"/>
  <c r="AG85" i="191"/>
  <c r="AG91" i="191"/>
  <c r="AG99" i="191"/>
  <c r="AG81" i="191"/>
  <c r="AG102" i="191"/>
  <c r="AG114" i="191"/>
  <c r="AG84" i="191"/>
  <c r="AG93" i="191"/>
  <c r="AG82" i="191"/>
  <c r="AG87" i="191"/>
  <c r="AG94" i="191"/>
  <c r="AG97" i="191"/>
  <c r="AG104" i="191"/>
  <c r="AG72" i="191"/>
  <c r="AG100" i="191"/>
  <c r="AG98" i="191"/>
  <c r="AG116" i="191"/>
  <c r="AG130" i="191"/>
  <c r="AG110" i="191"/>
  <c r="AG111" i="191"/>
  <c r="AG109" i="191"/>
  <c r="AG108" i="191"/>
  <c r="AG112" i="191"/>
  <c r="AG127" i="191"/>
  <c r="AG139" i="191"/>
  <c r="AG95" i="191"/>
  <c r="AG113" i="191"/>
  <c r="AG120" i="191"/>
  <c r="AG124" i="191"/>
  <c r="AG96" i="191"/>
  <c r="AG105" i="191"/>
  <c r="AG107" i="191"/>
  <c r="AG126" i="191"/>
  <c r="AG138" i="191"/>
  <c r="AG121" i="191"/>
  <c r="AG128" i="191"/>
  <c r="AG123" i="191"/>
  <c r="AG135" i="191"/>
  <c r="AG133" i="191"/>
  <c r="AG140" i="191"/>
  <c r="AG146" i="191"/>
  <c r="AG151" i="191"/>
  <c r="AG158" i="191"/>
  <c r="AG170" i="191"/>
  <c r="AG153" i="191"/>
  <c r="AG141" i="191"/>
  <c r="AG149" i="191"/>
  <c r="AG117" i="191"/>
  <c r="AG132" i="191"/>
  <c r="AG160" i="191"/>
  <c r="AG144" i="191"/>
  <c r="AG155" i="191"/>
  <c r="AG125" i="191"/>
  <c r="AG136" i="191"/>
  <c r="AG147" i="191"/>
  <c r="AG150" i="191"/>
  <c r="AG157" i="191"/>
  <c r="AG122" i="191"/>
  <c r="AG131" i="191"/>
  <c r="AG137" i="191"/>
  <c r="AG142" i="191"/>
  <c r="AG152" i="191"/>
  <c r="AG129" i="191"/>
  <c r="AG134" i="191"/>
  <c r="AG145" i="191"/>
  <c r="AG159" i="191"/>
  <c r="AG148" i="191"/>
  <c r="AG118" i="191"/>
  <c r="AG119" i="191"/>
  <c r="AG143" i="191"/>
  <c r="AG156" i="191"/>
  <c r="AG168" i="191"/>
  <c r="AG163" i="191"/>
  <c r="AG161" i="191"/>
  <c r="AG166" i="191"/>
  <c r="AG169" i="191"/>
  <c r="AG162" i="191"/>
  <c r="AG165" i="191"/>
  <c r="AG171" i="191"/>
  <c r="AG154" i="191"/>
  <c r="AG3" i="191"/>
  <c r="AG164" i="191"/>
  <c r="AG167" i="191"/>
  <c r="AG176" i="191"/>
  <c r="AG174" i="191"/>
  <c r="AG175" i="191"/>
  <c r="AG173" i="191"/>
  <c r="AG172" i="191"/>
  <c r="AH1" i="191"/>
  <c r="AH14" i="191" s="1"/>
  <c r="AI14" i="191" s="1"/>
  <c r="U6" i="189"/>
  <c r="U18" i="189"/>
  <c r="U30" i="189"/>
  <c r="U13" i="189"/>
  <c r="U25" i="189"/>
  <c r="U37" i="189"/>
  <c r="U8" i="189"/>
  <c r="U20" i="189"/>
  <c r="U32" i="189"/>
  <c r="U15" i="189"/>
  <c r="U27" i="189"/>
  <c r="U10" i="189"/>
  <c r="U22" i="189"/>
  <c r="U34" i="189"/>
  <c r="U5" i="189"/>
  <c r="U17" i="189"/>
  <c r="U29" i="189"/>
  <c r="U16" i="189"/>
  <c r="U46" i="189"/>
  <c r="U7" i="189"/>
  <c r="U23" i="189"/>
  <c r="U41" i="189"/>
  <c r="U53" i="189"/>
  <c r="U24" i="189"/>
  <c r="U48" i="189"/>
  <c r="U31" i="189"/>
  <c r="U43" i="189"/>
  <c r="U9" i="189"/>
  <c r="U14" i="189"/>
  <c r="U38" i="189"/>
  <c r="U50" i="189"/>
  <c r="U21" i="189"/>
  <c r="U45" i="189"/>
  <c r="U12" i="189"/>
  <c r="U36" i="189"/>
  <c r="U42" i="189"/>
  <c r="U44" i="189"/>
  <c r="U66" i="189"/>
  <c r="U61" i="189"/>
  <c r="U73" i="189"/>
  <c r="U47" i="189"/>
  <c r="U56" i="189"/>
  <c r="U68" i="189"/>
  <c r="U63" i="189"/>
  <c r="U49" i="189"/>
  <c r="U58" i="189"/>
  <c r="U70" i="189"/>
  <c r="U54" i="189"/>
  <c r="U65" i="189"/>
  <c r="U26" i="189"/>
  <c r="U28" i="189"/>
  <c r="U39" i="189"/>
  <c r="U52" i="189"/>
  <c r="U62" i="189"/>
  <c r="U40" i="189"/>
  <c r="U51" i="189"/>
  <c r="U84" i="189"/>
  <c r="U79" i="189"/>
  <c r="U91" i="189"/>
  <c r="U74" i="189"/>
  <c r="U86" i="189"/>
  <c r="U35" i="189"/>
  <c r="U64" i="189"/>
  <c r="U81" i="189"/>
  <c r="U76" i="189"/>
  <c r="U88" i="189"/>
  <c r="U67" i="189"/>
  <c r="U83" i="189"/>
  <c r="U57" i="189"/>
  <c r="U80" i="189"/>
  <c r="U92" i="189"/>
  <c r="U19" i="189"/>
  <c r="U72" i="189"/>
  <c r="U75" i="189"/>
  <c r="U87" i="189"/>
  <c r="U33" i="189"/>
  <c r="U60" i="189"/>
  <c r="U71" i="189"/>
  <c r="U82" i="189"/>
  <c r="U97" i="189"/>
  <c r="U109" i="189"/>
  <c r="U104" i="189"/>
  <c r="U116" i="189"/>
  <c r="U11" i="189"/>
  <c r="U77" i="189"/>
  <c r="U99" i="189"/>
  <c r="U111" i="189"/>
  <c r="U94" i="189"/>
  <c r="U106" i="189"/>
  <c r="U85" i="189"/>
  <c r="U101" i="189"/>
  <c r="U113" i="189"/>
  <c r="U93" i="189"/>
  <c r="U105" i="189"/>
  <c r="U117" i="189"/>
  <c r="U55" i="189"/>
  <c r="U78" i="189"/>
  <c r="U100" i="189"/>
  <c r="U112" i="189"/>
  <c r="U95" i="189"/>
  <c r="U107" i="189"/>
  <c r="U96" i="189"/>
  <c r="U129" i="189"/>
  <c r="U103" i="189"/>
  <c r="U124" i="189"/>
  <c r="U136" i="189"/>
  <c r="U110" i="189"/>
  <c r="U119" i="189"/>
  <c r="U131" i="189"/>
  <c r="U89" i="189"/>
  <c r="U102" i="189"/>
  <c r="U126" i="189"/>
  <c r="U138" i="189"/>
  <c r="U108" i="189"/>
  <c r="U121" i="189"/>
  <c r="U133" i="189"/>
  <c r="U90" i="189"/>
  <c r="U115" i="189"/>
  <c r="U128" i="189"/>
  <c r="U69" i="189"/>
  <c r="U123" i="189"/>
  <c r="U135" i="189"/>
  <c r="U125" i="189"/>
  <c r="U137" i="189"/>
  <c r="U120" i="189"/>
  <c r="U132" i="189"/>
  <c r="U140" i="189"/>
  <c r="U152" i="189"/>
  <c r="U147" i="189"/>
  <c r="U159" i="189"/>
  <c r="U122" i="189"/>
  <c r="U142" i="189"/>
  <c r="U154" i="189"/>
  <c r="U59" i="189"/>
  <c r="U114" i="189"/>
  <c r="U130" i="189"/>
  <c r="U149" i="189"/>
  <c r="U161" i="189"/>
  <c r="U127" i="189"/>
  <c r="U144" i="189"/>
  <c r="U156" i="189"/>
  <c r="U151" i="189"/>
  <c r="U163" i="189"/>
  <c r="U148" i="189"/>
  <c r="U160" i="189"/>
  <c r="U143" i="189"/>
  <c r="U155" i="189"/>
  <c r="U98" i="189"/>
  <c r="U150" i="189"/>
  <c r="U162" i="189"/>
  <c r="U146" i="189"/>
  <c r="U169" i="189"/>
  <c r="U168" i="189"/>
  <c r="U167" i="189"/>
  <c r="U157" i="189"/>
  <c r="U164" i="189"/>
  <c r="U3" i="189"/>
  <c r="U153" i="189"/>
  <c r="U166" i="189"/>
  <c r="U139" i="189"/>
  <c r="U134" i="189"/>
  <c r="U145" i="189"/>
  <c r="U170" i="189"/>
  <c r="U141" i="189"/>
  <c r="U118" i="189"/>
  <c r="U158" i="189"/>
  <c r="U165" i="189"/>
  <c r="U173" i="189"/>
  <c r="U175" i="189"/>
  <c r="U174" i="189"/>
  <c r="U172" i="189"/>
  <c r="U171" i="189"/>
  <c r="V1" i="189"/>
  <c r="V4" i="189" s="1"/>
  <c r="L5" i="187"/>
  <c r="L7" i="187"/>
  <c r="L9" i="187"/>
  <c r="L11" i="187"/>
  <c r="L6" i="187"/>
  <c r="L8" i="187"/>
  <c r="L15" i="187"/>
  <c r="L27" i="187"/>
  <c r="L22" i="187"/>
  <c r="L34" i="187"/>
  <c r="L17" i="187"/>
  <c r="L29" i="187"/>
  <c r="L12" i="187"/>
  <c r="L24" i="187"/>
  <c r="L19" i="187"/>
  <c r="L31" i="187"/>
  <c r="L14" i="187"/>
  <c r="L26" i="187"/>
  <c r="L21" i="187"/>
  <c r="L33" i="187"/>
  <c r="L16" i="187"/>
  <c r="L28" i="187"/>
  <c r="L13" i="187"/>
  <c r="L25" i="187"/>
  <c r="L23" i="187"/>
  <c r="L37" i="187"/>
  <c r="L49" i="187"/>
  <c r="L44" i="187"/>
  <c r="L56" i="187"/>
  <c r="L20" i="187"/>
  <c r="L35" i="187"/>
  <c r="L39" i="187"/>
  <c r="L51" i="187"/>
  <c r="L46" i="187"/>
  <c r="L58" i="187"/>
  <c r="L10" i="187"/>
  <c r="L41" i="187"/>
  <c r="L53" i="187"/>
  <c r="L36" i="187"/>
  <c r="L48" i="187"/>
  <c r="L43" i="187"/>
  <c r="L55" i="187"/>
  <c r="L30" i="187"/>
  <c r="L38" i="187"/>
  <c r="L50" i="187"/>
  <c r="L18" i="187"/>
  <c r="L47" i="187"/>
  <c r="L59" i="187"/>
  <c r="L60" i="187"/>
  <c r="L72" i="187"/>
  <c r="L67" i="187"/>
  <c r="L79" i="187"/>
  <c r="L62" i="187"/>
  <c r="L74" i="187"/>
  <c r="L69" i="187"/>
  <c r="L52" i="187"/>
  <c r="L64" i="187"/>
  <c r="L76" i="187"/>
  <c r="L71" i="187"/>
  <c r="L57" i="187"/>
  <c r="L66" i="187"/>
  <c r="L78" i="187"/>
  <c r="L40" i="187"/>
  <c r="L61" i="187"/>
  <c r="L73" i="187"/>
  <c r="L70" i="187"/>
  <c r="L82" i="187"/>
  <c r="L32" i="187"/>
  <c r="L68" i="187"/>
  <c r="L91" i="187"/>
  <c r="L103" i="187"/>
  <c r="L86" i="187"/>
  <c r="L98" i="187"/>
  <c r="L65" i="187"/>
  <c r="L93" i="187"/>
  <c r="L105" i="187"/>
  <c r="L54" i="187"/>
  <c r="L88" i="187"/>
  <c r="L100" i="187"/>
  <c r="L95" i="187"/>
  <c r="L42" i="187"/>
  <c r="L90" i="187"/>
  <c r="L102" i="187"/>
  <c r="L85" i="187"/>
  <c r="L97" i="187"/>
  <c r="L75" i="187"/>
  <c r="L92" i="187"/>
  <c r="L104" i="187"/>
  <c r="L87" i="187"/>
  <c r="L99" i="187"/>
  <c r="L45" i="187"/>
  <c r="L63" i="187"/>
  <c r="L81" i="187"/>
  <c r="L89" i="187"/>
  <c r="L101" i="187"/>
  <c r="L80" i="187"/>
  <c r="L118" i="187"/>
  <c r="L130" i="187"/>
  <c r="L84" i="187"/>
  <c r="L113" i="187"/>
  <c r="L125" i="187"/>
  <c r="L108" i="187"/>
  <c r="L120" i="187"/>
  <c r="L132" i="187"/>
  <c r="L96" i="187"/>
  <c r="L115" i="187"/>
  <c r="L127" i="187"/>
  <c r="L94" i="187"/>
  <c r="L110" i="187"/>
  <c r="L122" i="187"/>
  <c r="L134" i="187"/>
  <c r="L117" i="187"/>
  <c r="L129" i="187"/>
  <c r="L106" i="187"/>
  <c r="L112" i="187"/>
  <c r="L124" i="187"/>
  <c r="L119" i="187"/>
  <c r="L131" i="187"/>
  <c r="L107" i="187"/>
  <c r="L114" i="187"/>
  <c r="L126" i="187"/>
  <c r="L116" i="187"/>
  <c r="L128" i="187"/>
  <c r="L145" i="187"/>
  <c r="L157" i="187"/>
  <c r="L111" i="187"/>
  <c r="L140" i="187"/>
  <c r="L152" i="187"/>
  <c r="L109" i="187"/>
  <c r="L135" i="187"/>
  <c r="L147" i="187"/>
  <c r="L159" i="187"/>
  <c r="L123" i="187"/>
  <c r="L142" i="187"/>
  <c r="L154" i="187"/>
  <c r="L77" i="187"/>
  <c r="L121" i="187"/>
  <c r="L137" i="187"/>
  <c r="L149" i="187"/>
  <c r="L161" i="187"/>
  <c r="L144" i="187"/>
  <c r="L156" i="187"/>
  <c r="L83" i="187"/>
  <c r="L133" i="187"/>
  <c r="L139" i="187"/>
  <c r="L151" i="187"/>
  <c r="L146" i="187"/>
  <c r="L158" i="187"/>
  <c r="L141" i="187"/>
  <c r="L153" i="187"/>
  <c r="L160" i="187"/>
  <c r="L162" i="187"/>
  <c r="L143" i="187"/>
  <c r="L169" i="187"/>
  <c r="L164" i="187"/>
  <c r="L3" i="187"/>
  <c r="L148" i="187"/>
  <c r="L170" i="187"/>
  <c r="L166" i="187"/>
  <c r="L136" i="187"/>
  <c r="L168" i="187"/>
  <c r="L163" i="187"/>
  <c r="L150" i="187"/>
  <c r="L165" i="187"/>
  <c r="L155" i="187"/>
  <c r="L138" i="187"/>
  <c r="L167" i="187"/>
  <c r="L172" i="187"/>
  <c r="L173" i="187"/>
  <c r="L175" i="187"/>
  <c r="L174" i="187"/>
  <c r="L171" i="187"/>
  <c r="M1" i="187"/>
  <c r="M4" i="187" s="1"/>
  <c r="T36" i="184"/>
  <c r="T37" i="184"/>
  <c r="T42" i="184"/>
  <c r="T43" i="184"/>
  <c r="AH10" i="191" l="1"/>
  <c r="AI10" i="191" s="1"/>
  <c r="AH5" i="191"/>
  <c r="AI5" i="191" s="1"/>
  <c r="AH12" i="191"/>
  <c r="AI12" i="191" s="1"/>
  <c r="AH7" i="191"/>
  <c r="AI7" i="191" s="1"/>
  <c r="AH9" i="191"/>
  <c r="AH4" i="191"/>
  <c r="AI4" i="191" s="1"/>
  <c r="AH17" i="191"/>
  <c r="AI17" i="191" s="1"/>
  <c r="AH11" i="191"/>
  <c r="AI11" i="191" s="1"/>
  <c r="AH6" i="191"/>
  <c r="AI6" i="191" s="1"/>
  <c r="AH19" i="191"/>
  <c r="AI19" i="191" s="1"/>
  <c r="AH31" i="191"/>
  <c r="AI31" i="191" s="1"/>
  <c r="AH13" i="191"/>
  <c r="AI13" i="191" s="1"/>
  <c r="AH8" i="191"/>
  <c r="AI8" i="191" s="1"/>
  <c r="AH21" i="191"/>
  <c r="AI21" i="191" s="1"/>
  <c r="AH33" i="191"/>
  <c r="AI33" i="191" s="1"/>
  <c r="AH16" i="191"/>
  <c r="AI16" i="191" s="1"/>
  <c r="AH32" i="191"/>
  <c r="AI32" i="191" s="1"/>
  <c r="AH37" i="191"/>
  <c r="AI37" i="191" s="1"/>
  <c r="AH49" i="191"/>
  <c r="AI49" i="191" s="1"/>
  <c r="AH28" i="191"/>
  <c r="AI28" i="191" s="1"/>
  <c r="AH34" i="191"/>
  <c r="AI34" i="191" s="1"/>
  <c r="AH41" i="191"/>
  <c r="AI41" i="191" s="1"/>
  <c r="AH23" i="191"/>
  <c r="AI23" i="191" s="1"/>
  <c r="AH29" i="191"/>
  <c r="AI29" i="191" s="1"/>
  <c r="AH38" i="191"/>
  <c r="AI38" i="191" s="1"/>
  <c r="AH30" i="191"/>
  <c r="AI30" i="191" s="1"/>
  <c r="AH36" i="191"/>
  <c r="AI36" i="191" s="1"/>
  <c r="AH64" i="191"/>
  <c r="AI64" i="191" s="1"/>
  <c r="AH26" i="191"/>
  <c r="AI26" i="191" s="1"/>
  <c r="AH44" i="191"/>
  <c r="AI44" i="191" s="1"/>
  <c r="AH56" i="191"/>
  <c r="AI56" i="191" s="1"/>
  <c r="AH22" i="191"/>
  <c r="AI22" i="191" s="1"/>
  <c r="AH46" i="191"/>
  <c r="AI46" i="191" s="1"/>
  <c r="AH27" i="191"/>
  <c r="AI27" i="191" s="1"/>
  <c r="AH39" i="191"/>
  <c r="AI39" i="191" s="1"/>
  <c r="AH48" i="191"/>
  <c r="AI48" i="191" s="1"/>
  <c r="AH67" i="191"/>
  <c r="AI67" i="191" s="1"/>
  <c r="AH25" i="191"/>
  <c r="AI25" i="191" s="1"/>
  <c r="AH24" i="191"/>
  <c r="AI24" i="191" s="1"/>
  <c r="AH42" i="191"/>
  <c r="AI42" i="191" s="1"/>
  <c r="AH62" i="191"/>
  <c r="AI62" i="191" s="1"/>
  <c r="AH69" i="191"/>
  <c r="AI69" i="191" s="1"/>
  <c r="AH15" i="191"/>
  <c r="AI15" i="191" s="1"/>
  <c r="AH20" i="191"/>
  <c r="AI20" i="191" s="1"/>
  <c r="AH47" i="191"/>
  <c r="AI47" i="191" s="1"/>
  <c r="AH45" i="191"/>
  <c r="AI45" i="191" s="1"/>
  <c r="AH18" i="191"/>
  <c r="AI18" i="191" s="1"/>
  <c r="AH43" i="191"/>
  <c r="AI43" i="191" s="1"/>
  <c r="AH50" i="191"/>
  <c r="AI50" i="191" s="1"/>
  <c r="AH51" i="191"/>
  <c r="AI51" i="191" s="1"/>
  <c r="AH52" i="191"/>
  <c r="AI52" i="191" s="1"/>
  <c r="AH53" i="191"/>
  <c r="AI53" i="191" s="1"/>
  <c r="AH35" i="191"/>
  <c r="AI35" i="191" s="1"/>
  <c r="AH54" i="191"/>
  <c r="AI54" i="191" s="1"/>
  <c r="AH61" i="191"/>
  <c r="AI61" i="191" s="1"/>
  <c r="AH40" i="191"/>
  <c r="AI40" i="191" s="1"/>
  <c r="AH55" i="191"/>
  <c r="AI55" i="191" s="1"/>
  <c r="AH74" i="191"/>
  <c r="AI74" i="191" s="1"/>
  <c r="AH76" i="191"/>
  <c r="AI76" i="191" s="1"/>
  <c r="AH65" i="191"/>
  <c r="AI65" i="191" s="1"/>
  <c r="AH66" i="191"/>
  <c r="AI66" i="191" s="1"/>
  <c r="AH83" i="191"/>
  <c r="AI83" i="191" s="1"/>
  <c r="AH59" i="191"/>
  <c r="AI59" i="191" s="1"/>
  <c r="AH68" i="191"/>
  <c r="AI68" i="191" s="1"/>
  <c r="AH72" i="191"/>
  <c r="AI72" i="191" s="1"/>
  <c r="AH85" i="191"/>
  <c r="AH97" i="191"/>
  <c r="AI97" i="191" s="1"/>
  <c r="AH63" i="191"/>
  <c r="AI63" i="191" s="1"/>
  <c r="AH57" i="191"/>
  <c r="AI57" i="191" s="1"/>
  <c r="AH60" i="191"/>
  <c r="AI60" i="191" s="1"/>
  <c r="AH70" i="191"/>
  <c r="AI70" i="191" s="1"/>
  <c r="AH73" i="191"/>
  <c r="AI73" i="191" s="1"/>
  <c r="AH77" i="191"/>
  <c r="AI77" i="191" s="1"/>
  <c r="AH84" i="191"/>
  <c r="AI84" i="191" s="1"/>
  <c r="AH58" i="191"/>
  <c r="AI58" i="191" s="1"/>
  <c r="AH71" i="191"/>
  <c r="AI71" i="191" s="1"/>
  <c r="AH81" i="191"/>
  <c r="AI81" i="191" s="1"/>
  <c r="AH100" i="191"/>
  <c r="AI100" i="191" s="1"/>
  <c r="AH75" i="191"/>
  <c r="AI75" i="191" s="1"/>
  <c r="AH86" i="191"/>
  <c r="AI86" i="191" s="1"/>
  <c r="AH98" i="191"/>
  <c r="AI98" i="191" s="1"/>
  <c r="AH108" i="191"/>
  <c r="AI108" i="191" s="1"/>
  <c r="AH120" i="191"/>
  <c r="AI120" i="191" s="1"/>
  <c r="AH90" i="191"/>
  <c r="AI90" i="191" s="1"/>
  <c r="AH89" i="191"/>
  <c r="AI89" i="191" s="1"/>
  <c r="AH91" i="191"/>
  <c r="AI91" i="191" s="1"/>
  <c r="AH96" i="191"/>
  <c r="AI96" i="191" s="1"/>
  <c r="AH105" i="191"/>
  <c r="AI105" i="191" s="1"/>
  <c r="AH79" i="191"/>
  <c r="AI79" i="191" s="1"/>
  <c r="AH80" i="191"/>
  <c r="AI80" i="191" s="1"/>
  <c r="AH78" i="191"/>
  <c r="AI78" i="191" s="1"/>
  <c r="AH88" i="191"/>
  <c r="AI88" i="191" s="1"/>
  <c r="AH107" i="191"/>
  <c r="AI107" i="191" s="1"/>
  <c r="AH93" i="191"/>
  <c r="AI93" i="191" s="1"/>
  <c r="AH82" i="191"/>
  <c r="AI82" i="191" s="1"/>
  <c r="AH87" i="191"/>
  <c r="AI87" i="191" s="1"/>
  <c r="AH94" i="191"/>
  <c r="AI94" i="191" s="1"/>
  <c r="AH104" i="191"/>
  <c r="AI104" i="191" s="1"/>
  <c r="AH123" i="191"/>
  <c r="AI123" i="191" s="1"/>
  <c r="AH135" i="191"/>
  <c r="AI135" i="191" s="1"/>
  <c r="AH103" i="191"/>
  <c r="AI103" i="191" s="1"/>
  <c r="AH106" i="191"/>
  <c r="AI106" i="191" s="1"/>
  <c r="AH110" i="191"/>
  <c r="AI110" i="191" s="1"/>
  <c r="AH111" i="191"/>
  <c r="AI111" i="191" s="1"/>
  <c r="AH92" i="191"/>
  <c r="AI92" i="191" s="1"/>
  <c r="AH99" i="191"/>
  <c r="AI99" i="191" s="1"/>
  <c r="AH109" i="191"/>
  <c r="AI109" i="191" s="1"/>
  <c r="AH132" i="191"/>
  <c r="AI132" i="191" s="1"/>
  <c r="AH144" i="191"/>
  <c r="AI144" i="191" s="1"/>
  <c r="AH112" i="191"/>
  <c r="AI112" i="191" s="1"/>
  <c r="AH117" i="191"/>
  <c r="AI117" i="191" s="1"/>
  <c r="AH95" i="191"/>
  <c r="AI95" i="191" s="1"/>
  <c r="AH113" i="191"/>
  <c r="AI113" i="191" s="1"/>
  <c r="AH129" i="191"/>
  <c r="AI129" i="191" s="1"/>
  <c r="AH101" i="191"/>
  <c r="AI101" i="191" s="1"/>
  <c r="AH114" i="191"/>
  <c r="AI114" i="191" s="1"/>
  <c r="AH131" i="191"/>
  <c r="AI131" i="191" s="1"/>
  <c r="AH115" i="191"/>
  <c r="AI115" i="191" s="1"/>
  <c r="AH102" i="191"/>
  <c r="AI102" i="191" s="1"/>
  <c r="AH118" i="191"/>
  <c r="AI118" i="191" s="1"/>
  <c r="AH121" i="191"/>
  <c r="AI121" i="191" s="1"/>
  <c r="AH128" i="191"/>
  <c r="AI128" i="191" s="1"/>
  <c r="AH119" i="191"/>
  <c r="AI119" i="191" s="1"/>
  <c r="AH130" i="191"/>
  <c r="AI130" i="191" s="1"/>
  <c r="AH143" i="191"/>
  <c r="AI143" i="191" s="1"/>
  <c r="AH156" i="191"/>
  <c r="AI156" i="191" s="1"/>
  <c r="AH127" i="191"/>
  <c r="AI127" i="191" s="1"/>
  <c r="AH133" i="191"/>
  <c r="AI133" i="191" s="1"/>
  <c r="AH140" i="191"/>
  <c r="AI140" i="191" s="1"/>
  <c r="AH146" i="191"/>
  <c r="AI146" i="191" s="1"/>
  <c r="AH151" i="191"/>
  <c r="AI151" i="191" s="1"/>
  <c r="AH163" i="191"/>
  <c r="AI163" i="191" s="1"/>
  <c r="AH124" i="191"/>
  <c r="AI124" i="191" s="1"/>
  <c r="AH141" i="191"/>
  <c r="AI141" i="191" s="1"/>
  <c r="AH149" i="191"/>
  <c r="AI149" i="191" s="1"/>
  <c r="AH153" i="191"/>
  <c r="AI153" i="191" s="1"/>
  <c r="AH165" i="191"/>
  <c r="AI165" i="191" s="1"/>
  <c r="AH3" i="191"/>
  <c r="AI3" i="191" s="1"/>
  <c r="AH160" i="191"/>
  <c r="AI160" i="191" s="1"/>
  <c r="AH125" i="191"/>
  <c r="AI125" i="191" s="1"/>
  <c r="AH136" i="191"/>
  <c r="AI136" i="191" s="1"/>
  <c r="AH147" i="191"/>
  <c r="AI147" i="191" s="1"/>
  <c r="AH150" i="191"/>
  <c r="AI150" i="191" s="1"/>
  <c r="AH157" i="191"/>
  <c r="AI157" i="191" s="1"/>
  <c r="AH116" i="191"/>
  <c r="AI116" i="191" s="1"/>
  <c r="AH122" i="191"/>
  <c r="AI122" i="191" s="1"/>
  <c r="AH137" i="191"/>
  <c r="AH142" i="191"/>
  <c r="AI142" i="191" s="1"/>
  <c r="AH152" i="191"/>
  <c r="AI152" i="191" s="1"/>
  <c r="AH164" i="191"/>
  <c r="AI164" i="191" s="1"/>
  <c r="AH134" i="191"/>
  <c r="AI134" i="191" s="1"/>
  <c r="AH138" i="191"/>
  <c r="AI138" i="191" s="1"/>
  <c r="AH145" i="191"/>
  <c r="AI145" i="191" s="1"/>
  <c r="AH126" i="191"/>
  <c r="AI126" i="191" s="1"/>
  <c r="AH148" i="191"/>
  <c r="AI148" i="191" s="1"/>
  <c r="AH154" i="191"/>
  <c r="AI154" i="191" s="1"/>
  <c r="AH139" i="191"/>
  <c r="AI139" i="191" s="1"/>
  <c r="AH161" i="191"/>
  <c r="AI161" i="191" s="1"/>
  <c r="AH167" i="191"/>
  <c r="AI167" i="191" s="1"/>
  <c r="AH155" i="191"/>
  <c r="AI155" i="191" s="1"/>
  <c r="AH159" i="191"/>
  <c r="AI159" i="191" s="1"/>
  <c r="AH169" i="191"/>
  <c r="AI169" i="191" s="1"/>
  <c r="AH158" i="191"/>
  <c r="AI158" i="191" s="1"/>
  <c r="AH166" i="191"/>
  <c r="AI166" i="191" s="1"/>
  <c r="AH170" i="191"/>
  <c r="AI170" i="191" s="1"/>
  <c r="AH162" i="191"/>
  <c r="AI162" i="191" s="1"/>
  <c r="AH171" i="191"/>
  <c r="AI171" i="191" s="1"/>
  <c r="AH168" i="191"/>
  <c r="AI168" i="191" s="1"/>
  <c r="AH176" i="191"/>
  <c r="AH175" i="191"/>
  <c r="AH173" i="191"/>
  <c r="AH172" i="191"/>
  <c r="AH174" i="191"/>
  <c r="AI9" i="191"/>
  <c r="V11" i="189"/>
  <c r="V23" i="189"/>
  <c r="V35" i="189"/>
  <c r="V6" i="189"/>
  <c r="V18" i="189"/>
  <c r="V30" i="189"/>
  <c r="V13" i="189"/>
  <c r="V25" i="189"/>
  <c r="V37" i="189"/>
  <c r="V8" i="189"/>
  <c r="V20" i="189"/>
  <c r="V32" i="189"/>
  <c r="V15" i="189"/>
  <c r="V27" i="189"/>
  <c r="V10" i="189"/>
  <c r="V22" i="189"/>
  <c r="V34" i="189"/>
  <c r="V5" i="189"/>
  <c r="V33" i="189"/>
  <c r="V39" i="189"/>
  <c r="V51" i="189"/>
  <c r="V16" i="189"/>
  <c r="V46" i="189"/>
  <c r="V7" i="189"/>
  <c r="V17" i="189"/>
  <c r="V41" i="189"/>
  <c r="V53" i="189"/>
  <c r="V24" i="189"/>
  <c r="V48" i="189"/>
  <c r="V31" i="189"/>
  <c r="V43" i="189"/>
  <c r="V9" i="189"/>
  <c r="V14" i="189"/>
  <c r="V38" i="189"/>
  <c r="V50" i="189"/>
  <c r="V29" i="189"/>
  <c r="V47" i="189"/>
  <c r="V36" i="189"/>
  <c r="V45" i="189"/>
  <c r="V59" i="189"/>
  <c r="V71" i="189"/>
  <c r="V12" i="189"/>
  <c r="V44" i="189"/>
  <c r="V66" i="189"/>
  <c r="V61" i="189"/>
  <c r="V73" i="189"/>
  <c r="V56" i="189"/>
  <c r="V68" i="189"/>
  <c r="V63" i="189"/>
  <c r="V49" i="189"/>
  <c r="V58" i="189"/>
  <c r="V70" i="189"/>
  <c r="V40" i="189"/>
  <c r="V55" i="189"/>
  <c r="V67" i="189"/>
  <c r="V42" i="189"/>
  <c r="V77" i="189"/>
  <c r="V89" i="189"/>
  <c r="V62" i="189"/>
  <c r="V84" i="189"/>
  <c r="V79" i="189"/>
  <c r="V91" i="189"/>
  <c r="V21" i="189"/>
  <c r="V65" i="189"/>
  <c r="V74" i="189"/>
  <c r="V86" i="189"/>
  <c r="V26" i="189"/>
  <c r="V64" i="189"/>
  <c r="V81" i="189"/>
  <c r="V76" i="189"/>
  <c r="V88" i="189"/>
  <c r="V69" i="189"/>
  <c r="V85" i="189"/>
  <c r="V28" i="189"/>
  <c r="V57" i="189"/>
  <c r="V80" i="189"/>
  <c r="V92" i="189"/>
  <c r="V19" i="189"/>
  <c r="V72" i="189"/>
  <c r="V75" i="189"/>
  <c r="V87" i="189"/>
  <c r="V83" i="189"/>
  <c r="V102" i="189"/>
  <c r="V114" i="189"/>
  <c r="V97" i="189"/>
  <c r="V109" i="189"/>
  <c r="V60" i="189"/>
  <c r="V104" i="189"/>
  <c r="V116" i="189"/>
  <c r="V52" i="189"/>
  <c r="V99" i="189"/>
  <c r="V111" i="189"/>
  <c r="V94" i="189"/>
  <c r="V106" i="189"/>
  <c r="V98" i="189"/>
  <c r="V110" i="189"/>
  <c r="V93" i="189"/>
  <c r="V105" i="189"/>
  <c r="V117" i="189"/>
  <c r="V78" i="189"/>
  <c r="V100" i="189"/>
  <c r="V112" i="189"/>
  <c r="V122" i="189"/>
  <c r="V134" i="189"/>
  <c r="V96" i="189"/>
  <c r="V129" i="189"/>
  <c r="V54" i="189"/>
  <c r="V103" i="189"/>
  <c r="V124" i="189"/>
  <c r="V136" i="189"/>
  <c r="V95" i="189"/>
  <c r="V119" i="189"/>
  <c r="V131" i="189"/>
  <c r="V101" i="189"/>
  <c r="V126" i="189"/>
  <c r="V138" i="189"/>
  <c r="V108" i="189"/>
  <c r="V121" i="189"/>
  <c r="V133" i="189"/>
  <c r="V90" i="189"/>
  <c r="V115" i="189"/>
  <c r="V128" i="189"/>
  <c r="V82" i="189"/>
  <c r="V113" i="189"/>
  <c r="V118" i="189"/>
  <c r="V130" i="189"/>
  <c r="V125" i="189"/>
  <c r="V137" i="189"/>
  <c r="V145" i="189"/>
  <c r="V157" i="189"/>
  <c r="V140" i="189"/>
  <c r="V152" i="189"/>
  <c r="V147" i="189"/>
  <c r="V159" i="189"/>
  <c r="V142" i="189"/>
  <c r="V154" i="189"/>
  <c r="V149" i="189"/>
  <c r="V127" i="189"/>
  <c r="V144" i="189"/>
  <c r="V156" i="189"/>
  <c r="V141" i="189"/>
  <c r="V153" i="189"/>
  <c r="V107" i="189"/>
  <c r="V123" i="189"/>
  <c r="V148" i="189"/>
  <c r="V160" i="189"/>
  <c r="V120" i="189"/>
  <c r="V143" i="189"/>
  <c r="V155" i="189"/>
  <c r="V167" i="189"/>
  <c r="V135" i="189"/>
  <c r="V132" i="189"/>
  <c r="V146" i="189"/>
  <c r="V162" i="189"/>
  <c r="V161" i="189"/>
  <c r="V169" i="189"/>
  <c r="V151" i="189"/>
  <c r="V164" i="189"/>
  <c r="V3" i="189"/>
  <c r="V139" i="189"/>
  <c r="V168" i="189"/>
  <c r="V166" i="189"/>
  <c r="V150" i="189"/>
  <c r="V158" i="189"/>
  <c r="V165" i="189"/>
  <c r="V163" i="189"/>
  <c r="V170" i="189"/>
  <c r="V173" i="189"/>
  <c r="V174" i="189"/>
  <c r="V172" i="189"/>
  <c r="V175" i="189"/>
  <c r="V171" i="189"/>
  <c r="W1" i="189"/>
  <c r="W4" i="189" s="1"/>
  <c r="M10" i="187"/>
  <c r="M5" i="187"/>
  <c r="M7" i="187"/>
  <c r="M11" i="187"/>
  <c r="M8" i="187"/>
  <c r="M20" i="187"/>
  <c r="M32" i="187"/>
  <c r="M15" i="187"/>
  <c r="M27" i="187"/>
  <c r="M22" i="187"/>
  <c r="M34" i="187"/>
  <c r="M6" i="187"/>
  <c r="M17" i="187"/>
  <c r="M29" i="187"/>
  <c r="M12" i="187"/>
  <c r="M24" i="187"/>
  <c r="M19" i="187"/>
  <c r="M31" i="187"/>
  <c r="M14" i="187"/>
  <c r="M26" i="187"/>
  <c r="M21" i="187"/>
  <c r="M33" i="187"/>
  <c r="M9" i="187"/>
  <c r="M18" i="187"/>
  <c r="M30" i="187"/>
  <c r="M42" i="187"/>
  <c r="M54" i="187"/>
  <c r="M23" i="187"/>
  <c r="M37" i="187"/>
  <c r="M49" i="187"/>
  <c r="M44" i="187"/>
  <c r="M56" i="187"/>
  <c r="M28" i="187"/>
  <c r="M35" i="187"/>
  <c r="M39" i="187"/>
  <c r="M51" i="187"/>
  <c r="M46" i="187"/>
  <c r="M25" i="187"/>
  <c r="M41" i="187"/>
  <c r="M53" i="187"/>
  <c r="M16" i="187"/>
  <c r="M36" i="187"/>
  <c r="M48" i="187"/>
  <c r="M43" i="187"/>
  <c r="M55" i="187"/>
  <c r="M40" i="187"/>
  <c r="M52" i="187"/>
  <c r="M50" i="187"/>
  <c r="M65" i="187"/>
  <c r="M77" i="187"/>
  <c r="M60" i="187"/>
  <c r="M72" i="187"/>
  <c r="M47" i="187"/>
  <c r="M67" i="187"/>
  <c r="M79" i="187"/>
  <c r="M38" i="187"/>
  <c r="M62" i="187"/>
  <c r="M74" i="187"/>
  <c r="M69" i="187"/>
  <c r="M64" i="187"/>
  <c r="M76" i="187"/>
  <c r="M13" i="187"/>
  <c r="M58" i="187"/>
  <c r="M71" i="187"/>
  <c r="M83" i="187"/>
  <c r="M57" i="187"/>
  <c r="M66" i="187"/>
  <c r="M78" i="187"/>
  <c r="M45" i="187"/>
  <c r="M63" i="187"/>
  <c r="M75" i="187"/>
  <c r="M84" i="187"/>
  <c r="M96" i="187"/>
  <c r="M68" i="187"/>
  <c r="M91" i="187"/>
  <c r="M103" i="187"/>
  <c r="M86" i="187"/>
  <c r="M98" i="187"/>
  <c r="M59" i="187"/>
  <c r="M73" i="187"/>
  <c r="M93" i="187"/>
  <c r="M105" i="187"/>
  <c r="M88" i="187"/>
  <c r="M100" i="187"/>
  <c r="M70" i="187"/>
  <c r="M82" i="187"/>
  <c r="M95" i="187"/>
  <c r="M61" i="187"/>
  <c r="M90" i="187"/>
  <c r="M102" i="187"/>
  <c r="M85" i="187"/>
  <c r="M97" i="187"/>
  <c r="M92" i="187"/>
  <c r="M104" i="187"/>
  <c r="M80" i="187"/>
  <c r="M94" i="187"/>
  <c r="M106" i="187"/>
  <c r="M111" i="187"/>
  <c r="M123" i="187"/>
  <c r="M118" i="187"/>
  <c r="M130" i="187"/>
  <c r="M113" i="187"/>
  <c r="M125" i="187"/>
  <c r="M81" i="187"/>
  <c r="M89" i="187"/>
  <c r="M108" i="187"/>
  <c r="M120" i="187"/>
  <c r="M132" i="187"/>
  <c r="M87" i="187"/>
  <c r="M115" i="187"/>
  <c r="M127" i="187"/>
  <c r="M101" i="187"/>
  <c r="M110" i="187"/>
  <c r="M122" i="187"/>
  <c r="M99" i="187"/>
  <c r="M117" i="187"/>
  <c r="M129" i="187"/>
  <c r="M112" i="187"/>
  <c r="M124" i="187"/>
  <c r="M119" i="187"/>
  <c r="M131" i="187"/>
  <c r="M109" i="187"/>
  <c r="M121" i="187"/>
  <c r="M133" i="187"/>
  <c r="M138" i="187"/>
  <c r="M150" i="187"/>
  <c r="M145" i="187"/>
  <c r="M157" i="187"/>
  <c r="M134" i="187"/>
  <c r="M140" i="187"/>
  <c r="M152" i="187"/>
  <c r="M116" i="187"/>
  <c r="M135" i="187"/>
  <c r="M147" i="187"/>
  <c r="M159" i="187"/>
  <c r="M107" i="187"/>
  <c r="M114" i="187"/>
  <c r="M142" i="187"/>
  <c r="M154" i="187"/>
  <c r="M128" i="187"/>
  <c r="M137" i="187"/>
  <c r="M149" i="187"/>
  <c r="M161" i="187"/>
  <c r="M126" i="187"/>
  <c r="M144" i="187"/>
  <c r="M156" i="187"/>
  <c r="M139" i="187"/>
  <c r="M151" i="187"/>
  <c r="M146" i="187"/>
  <c r="M158" i="187"/>
  <c r="M167" i="187"/>
  <c r="M160" i="187"/>
  <c r="M162" i="187"/>
  <c r="M155" i="187"/>
  <c r="M143" i="187"/>
  <c r="M169" i="187"/>
  <c r="M170" i="187"/>
  <c r="M164" i="187"/>
  <c r="M3" i="187"/>
  <c r="M141" i="187"/>
  <c r="M148" i="187"/>
  <c r="M166" i="187"/>
  <c r="M153" i="187"/>
  <c r="M136" i="187"/>
  <c r="M168" i="187"/>
  <c r="M163" i="187"/>
  <c r="M165" i="187"/>
  <c r="M173" i="187"/>
  <c r="M174" i="187"/>
  <c r="M175" i="187"/>
  <c r="M172" i="187"/>
  <c r="M171" i="187"/>
  <c r="N1" i="187"/>
  <c r="N4" i="187" s="1"/>
  <c r="T35" i="184"/>
  <c r="T44" i="184"/>
  <c r="T45" i="184"/>
  <c r="W16" i="189" l="1"/>
  <c r="W28" i="189"/>
  <c r="W11" i="189"/>
  <c r="W23" i="189"/>
  <c r="W35" i="189"/>
  <c r="W6" i="189"/>
  <c r="W18" i="189"/>
  <c r="W30" i="189"/>
  <c r="W13" i="189"/>
  <c r="W25" i="189"/>
  <c r="W37" i="189"/>
  <c r="W8" i="189"/>
  <c r="W20" i="189"/>
  <c r="W32" i="189"/>
  <c r="W15" i="189"/>
  <c r="W27" i="189"/>
  <c r="W10" i="189"/>
  <c r="W5" i="189"/>
  <c r="W26" i="189"/>
  <c r="W44" i="189"/>
  <c r="W33" i="189"/>
  <c r="W39" i="189"/>
  <c r="W51" i="189"/>
  <c r="W34" i="189"/>
  <c r="W46" i="189"/>
  <c r="W7" i="189"/>
  <c r="W17" i="189"/>
  <c r="W41" i="189"/>
  <c r="W53" i="189"/>
  <c r="W24" i="189"/>
  <c r="W48" i="189"/>
  <c r="W31" i="189"/>
  <c r="W43" i="189"/>
  <c r="W22" i="189"/>
  <c r="W40" i="189"/>
  <c r="W19" i="189"/>
  <c r="W21" i="189"/>
  <c r="W64" i="189"/>
  <c r="W36" i="189"/>
  <c r="W45" i="189"/>
  <c r="W59" i="189"/>
  <c r="W71" i="189"/>
  <c r="W12" i="189"/>
  <c r="W14" i="189"/>
  <c r="W66" i="189"/>
  <c r="W29" i="189"/>
  <c r="W47" i="189"/>
  <c r="W61" i="189"/>
  <c r="W73" i="189"/>
  <c r="W56" i="189"/>
  <c r="W68" i="189"/>
  <c r="W50" i="189"/>
  <c r="W63" i="189"/>
  <c r="W9" i="189"/>
  <c r="W60" i="189"/>
  <c r="W72" i="189"/>
  <c r="W82" i="189"/>
  <c r="W38" i="189"/>
  <c r="W42" i="189"/>
  <c r="W49" i="189"/>
  <c r="W77" i="189"/>
  <c r="W89" i="189"/>
  <c r="W62" i="189"/>
  <c r="W84" i="189"/>
  <c r="W79" i="189"/>
  <c r="W91" i="189"/>
  <c r="W65" i="189"/>
  <c r="W74" i="189"/>
  <c r="W86" i="189"/>
  <c r="W81" i="189"/>
  <c r="W54" i="189"/>
  <c r="W70" i="189"/>
  <c r="W78" i="189"/>
  <c r="W90" i="189"/>
  <c r="W58" i="189"/>
  <c r="W69" i="189"/>
  <c r="W85" i="189"/>
  <c r="W57" i="189"/>
  <c r="W80" i="189"/>
  <c r="W92" i="189"/>
  <c r="W67" i="189"/>
  <c r="W95" i="189"/>
  <c r="W107" i="189"/>
  <c r="W83" i="189"/>
  <c r="W102" i="189"/>
  <c r="W114" i="189"/>
  <c r="W97" i="189"/>
  <c r="W109" i="189"/>
  <c r="W88" i="189"/>
  <c r="W104" i="189"/>
  <c r="W116" i="189"/>
  <c r="W52" i="189"/>
  <c r="W99" i="189"/>
  <c r="W111" i="189"/>
  <c r="W87" i="189"/>
  <c r="W103" i="189"/>
  <c r="W115" i="189"/>
  <c r="W98" i="189"/>
  <c r="W110" i="189"/>
  <c r="W55" i="189"/>
  <c r="W93" i="189"/>
  <c r="W105" i="189"/>
  <c r="W127" i="189"/>
  <c r="W122" i="189"/>
  <c r="W134" i="189"/>
  <c r="W96" i="189"/>
  <c r="W129" i="189"/>
  <c r="W75" i="189"/>
  <c r="W117" i="189"/>
  <c r="W124" i="189"/>
  <c r="W136" i="189"/>
  <c r="W94" i="189"/>
  <c r="W119" i="189"/>
  <c r="W131" i="189"/>
  <c r="W76" i="189"/>
  <c r="W101" i="189"/>
  <c r="W126" i="189"/>
  <c r="W108" i="189"/>
  <c r="W121" i="189"/>
  <c r="W133" i="189"/>
  <c r="W106" i="189"/>
  <c r="W123" i="189"/>
  <c r="W135" i="189"/>
  <c r="W113" i="189"/>
  <c r="W118" i="189"/>
  <c r="W130" i="189"/>
  <c r="W128" i="189"/>
  <c r="W138" i="189"/>
  <c r="W150" i="189"/>
  <c r="W162" i="189"/>
  <c r="W125" i="189"/>
  <c r="W145" i="189"/>
  <c r="W157" i="189"/>
  <c r="W137" i="189"/>
  <c r="W140" i="189"/>
  <c r="W152" i="189"/>
  <c r="W100" i="189"/>
  <c r="W147" i="189"/>
  <c r="W159" i="189"/>
  <c r="W142" i="189"/>
  <c r="W154" i="189"/>
  <c r="W149" i="189"/>
  <c r="W161" i="189"/>
  <c r="W132" i="189"/>
  <c r="W139" i="189"/>
  <c r="W146" i="189"/>
  <c r="W158" i="189"/>
  <c r="W141" i="189"/>
  <c r="W153" i="189"/>
  <c r="W148" i="189"/>
  <c r="W160" i="189"/>
  <c r="W163" i="189"/>
  <c r="W166" i="189"/>
  <c r="W167" i="189"/>
  <c r="W120" i="189"/>
  <c r="W143" i="189"/>
  <c r="W169" i="189"/>
  <c r="W155" i="189"/>
  <c r="W165" i="189"/>
  <c r="W151" i="189"/>
  <c r="W164" i="189"/>
  <c r="W3" i="189"/>
  <c r="W156" i="189"/>
  <c r="W112" i="189"/>
  <c r="W168" i="189"/>
  <c r="W170" i="189"/>
  <c r="W144" i="189"/>
  <c r="W174" i="189"/>
  <c r="W175" i="189"/>
  <c r="W171" i="189"/>
  <c r="W173" i="189"/>
  <c r="W172" i="189"/>
  <c r="X1" i="189"/>
  <c r="X4" i="189" s="1"/>
  <c r="N10" i="187"/>
  <c r="N5" i="187"/>
  <c r="N7" i="187"/>
  <c r="N9" i="187"/>
  <c r="N13" i="187"/>
  <c r="N25" i="187"/>
  <c r="N8" i="187"/>
  <c r="N20" i="187"/>
  <c r="N32" i="187"/>
  <c r="N15" i="187"/>
  <c r="N27" i="187"/>
  <c r="N22" i="187"/>
  <c r="N34" i="187"/>
  <c r="N6" i="187"/>
  <c r="N17" i="187"/>
  <c r="N29" i="187"/>
  <c r="N12" i="187"/>
  <c r="N24" i="187"/>
  <c r="N19" i="187"/>
  <c r="N31" i="187"/>
  <c r="N11" i="187"/>
  <c r="N14" i="187"/>
  <c r="N26" i="187"/>
  <c r="N23" i="187"/>
  <c r="N35" i="187"/>
  <c r="N33" i="187"/>
  <c r="N47" i="187"/>
  <c r="N42" i="187"/>
  <c r="N54" i="187"/>
  <c r="N37" i="187"/>
  <c r="N49" i="187"/>
  <c r="N44" i="187"/>
  <c r="N56" i="187"/>
  <c r="N28" i="187"/>
  <c r="N39" i="187"/>
  <c r="N51" i="187"/>
  <c r="N46" i="187"/>
  <c r="N41" i="187"/>
  <c r="N53" i="187"/>
  <c r="N16" i="187"/>
  <c r="N36" i="187"/>
  <c r="N48" i="187"/>
  <c r="N45" i="187"/>
  <c r="N57" i="187"/>
  <c r="N70" i="187"/>
  <c r="N82" i="187"/>
  <c r="N50" i="187"/>
  <c r="N65" i="187"/>
  <c r="N77" i="187"/>
  <c r="N60" i="187"/>
  <c r="N72" i="187"/>
  <c r="N30" i="187"/>
  <c r="N55" i="187"/>
  <c r="N67" i="187"/>
  <c r="N79" i="187"/>
  <c r="N38" i="187"/>
  <c r="N62" i="187"/>
  <c r="N74" i="187"/>
  <c r="N18" i="187"/>
  <c r="N52" i="187"/>
  <c r="N69" i="187"/>
  <c r="N43" i="187"/>
  <c r="N64" i="187"/>
  <c r="N76" i="187"/>
  <c r="N58" i="187"/>
  <c r="N71" i="187"/>
  <c r="N21" i="187"/>
  <c r="N68" i="187"/>
  <c r="N80" i="187"/>
  <c r="N40" i="187"/>
  <c r="N81" i="187"/>
  <c r="N83" i="187"/>
  <c r="N89" i="187"/>
  <c r="N101" i="187"/>
  <c r="N84" i="187"/>
  <c r="N96" i="187"/>
  <c r="N91" i="187"/>
  <c r="N103" i="187"/>
  <c r="N86" i="187"/>
  <c r="N98" i="187"/>
  <c r="N59" i="187"/>
  <c r="N73" i="187"/>
  <c r="N93" i="187"/>
  <c r="N105" i="187"/>
  <c r="N88" i="187"/>
  <c r="N100" i="187"/>
  <c r="N78" i="187"/>
  <c r="N95" i="187"/>
  <c r="N61" i="187"/>
  <c r="N90" i="187"/>
  <c r="N102" i="187"/>
  <c r="N75" i="187"/>
  <c r="N85" i="187"/>
  <c r="N97" i="187"/>
  <c r="N87" i="187"/>
  <c r="N99" i="187"/>
  <c r="N116" i="187"/>
  <c r="N128" i="187"/>
  <c r="N111" i="187"/>
  <c r="N123" i="187"/>
  <c r="N118" i="187"/>
  <c r="N130" i="187"/>
  <c r="N63" i="187"/>
  <c r="N113" i="187"/>
  <c r="N125" i="187"/>
  <c r="N108" i="187"/>
  <c r="N120" i="187"/>
  <c r="N132" i="187"/>
  <c r="N94" i="187"/>
  <c r="N115" i="187"/>
  <c r="N127" i="187"/>
  <c r="N66" i="187"/>
  <c r="N92" i="187"/>
  <c r="N110" i="187"/>
  <c r="N122" i="187"/>
  <c r="N134" i="187"/>
  <c r="N106" i="187"/>
  <c r="N117" i="187"/>
  <c r="N129" i="187"/>
  <c r="N104" i="187"/>
  <c r="N112" i="187"/>
  <c r="N124" i="187"/>
  <c r="N107" i="187"/>
  <c r="N114" i="187"/>
  <c r="N126" i="187"/>
  <c r="N143" i="187"/>
  <c r="N155" i="187"/>
  <c r="N138" i="187"/>
  <c r="N150" i="187"/>
  <c r="N145" i="187"/>
  <c r="N157" i="187"/>
  <c r="N109" i="187"/>
  <c r="N140" i="187"/>
  <c r="N152" i="187"/>
  <c r="N135" i="187"/>
  <c r="N147" i="187"/>
  <c r="N159" i="187"/>
  <c r="N121" i="187"/>
  <c r="N142" i="187"/>
  <c r="N154" i="187"/>
  <c r="N119" i="187"/>
  <c r="N137" i="187"/>
  <c r="N149" i="187"/>
  <c r="N161" i="187"/>
  <c r="N133" i="187"/>
  <c r="N144" i="187"/>
  <c r="N156" i="187"/>
  <c r="N131" i="187"/>
  <c r="N139" i="187"/>
  <c r="N151" i="187"/>
  <c r="N146" i="187"/>
  <c r="N167" i="187"/>
  <c r="N3" i="187"/>
  <c r="N158" i="187"/>
  <c r="N163" i="187"/>
  <c r="N165" i="187"/>
  <c r="N160" i="187"/>
  <c r="N162" i="187"/>
  <c r="N169" i="187"/>
  <c r="N164" i="187"/>
  <c r="N148" i="187"/>
  <c r="N166" i="187"/>
  <c r="N153" i="187"/>
  <c r="N136" i="187"/>
  <c r="N168" i="187"/>
  <c r="N141" i="187"/>
  <c r="N170" i="187"/>
  <c r="N174" i="187"/>
  <c r="N175" i="187"/>
  <c r="N172" i="187"/>
  <c r="N171" i="187"/>
  <c r="N173" i="187"/>
  <c r="O1" i="187"/>
  <c r="O4" i="187" s="1"/>
  <c r="T18" i="184"/>
  <c r="X9" i="189" l="1"/>
  <c r="X21" i="189"/>
  <c r="X33" i="189"/>
  <c r="X16" i="189"/>
  <c r="X28" i="189"/>
  <c r="X11" i="189"/>
  <c r="X23" i="189"/>
  <c r="X35" i="189"/>
  <c r="X6" i="189"/>
  <c r="X18" i="189"/>
  <c r="X30" i="189"/>
  <c r="X13" i="189"/>
  <c r="X25" i="189"/>
  <c r="X37" i="189"/>
  <c r="X8" i="189"/>
  <c r="X20" i="189"/>
  <c r="X32" i="189"/>
  <c r="X19" i="189"/>
  <c r="X49" i="189"/>
  <c r="X5" i="189"/>
  <c r="X26" i="189"/>
  <c r="X44" i="189"/>
  <c r="X27" i="189"/>
  <c r="X39" i="189"/>
  <c r="X51" i="189"/>
  <c r="X34" i="189"/>
  <c r="X46" i="189"/>
  <c r="X7" i="189"/>
  <c r="X17" i="189"/>
  <c r="X41" i="189"/>
  <c r="X53" i="189"/>
  <c r="X10" i="189"/>
  <c r="X24" i="189"/>
  <c r="X48" i="189"/>
  <c r="X15" i="189"/>
  <c r="X45" i="189"/>
  <c r="X42" i="189"/>
  <c r="X57" i="189"/>
  <c r="X69" i="189"/>
  <c r="X64" i="189"/>
  <c r="X36" i="189"/>
  <c r="X59" i="189"/>
  <c r="X71" i="189"/>
  <c r="X12" i="189"/>
  <c r="X14" i="189"/>
  <c r="X66" i="189"/>
  <c r="X29" i="189"/>
  <c r="X31" i="189"/>
  <c r="X47" i="189"/>
  <c r="X61" i="189"/>
  <c r="X73" i="189"/>
  <c r="X56" i="189"/>
  <c r="X68" i="189"/>
  <c r="X54" i="189"/>
  <c r="X65" i="189"/>
  <c r="X60" i="189"/>
  <c r="X75" i="189"/>
  <c r="X87" i="189"/>
  <c r="X40" i="189"/>
  <c r="X82" i="189"/>
  <c r="X38" i="189"/>
  <c r="X63" i="189"/>
  <c r="X77" i="189"/>
  <c r="X89" i="189"/>
  <c r="X62" i="189"/>
  <c r="X84" i="189"/>
  <c r="X22" i="189"/>
  <c r="X79" i="189"/>
  <c r="X91" i="189"/>
  <c r="X74" i="189"/>
  <c r="X86" i="189"/>
  <c r="X52" i="189"/>
  <c r="X55" i="189"/>
  <c r="X83" i="189"/>
  <c r="X70" i="189"/>
  <c r="X78" i="189"/>
  <c r="X90" i="189"/>
  <c r="X58" i="189"/>
  <c r="X85" i="189"/>
  <c r="X50" i="189"/>
  <c r="X100" i="189"/>
  <c r="X112" i="189"/>
  <c r="X67" i="189"/>
  <c r="X95" i="189"/>
  <c r="X107" i="189"/>
  <c r="X80" i="189"/>
  <c r="X102" i="189"/>
  <c r="X114" i="189"/>
  <c r="X43" i="189"/>
  <c r="X97" i="189"/>
  <c r="X109" i="189"/>
  <c r="X88" i="189"/>
  <c r="X104" i="189"/>
  <c r="X116" i="189"/>
  <c r="X96" i="189"/>
  <c r="X108" i="189"/>
  <c r="X81" i="189"/>
  <c r="X103" i="189"/>
  <c r="X115" i="189"/>
  <c r="X98" i="189"/>
  <c r="X110" i="189"/>
  <c r="X111" i="189"/>
  <c r="X120" i="189"/>
  <c r="X132" i="189"/>
  <c r="X127" i="189"/>
  <c r="X139" i="189"/>
  <c r="X122" i="189"/>
  <c r="X134" i="189"/>
  <c r="X129" i="189"/>
  <c r="X117" i="189"/>
  <c r="X124" i="189"/>
  <c r="X136" i="189"/>
  <c r="X94" i="189"/>
  <c r="X119" i="189"/>
  <c r="X131" i="189"/>
  <c r="X76" i="189"/>
  <c r="X101" i="189"/>
  <c r="X126" i="189"/>
  <c r="X138" i="189"/>
  <c r="X72" i="189"/>
  <c r="X99" i="189"/>
  <c r="X128" i="189"/>
  <c r="X106" i="189"/>
  <c r="X123" i="189"/>
  <c r="X135" i="189"/>
  <c r="X143" i="189"/>
  <c r="X155" i="189"/>
  <c r="X113" i="189"/>
  <c r="X150" i="189"/>
  <c r="X162" i="189"/>
  <c r="X125" i="189"/>
  <c r="X145" i="189"/>
  <c r="X157" i="189"/>
  <c r="X133" i="189"/>
  <c r="X137" i="189"/>
  <c r="X140" i="189"/>
  <c r="X152" i="189"/>
  <c r="X130" i="189"/>
  <c r="X147" i="189"/>
  <c r="X105" i="189"/>
  <c r="X142" i="189"/>
  <c r="X154" i="189"/>
  <c r="X92" i="189"/>
  <c r="X151" i="189"/>
  <c r="X93" i="189"/>
  <c r="X146" i="189"/>
  <c r="X158" i="189"/>
  <c r="X141" i="189"/>
  <c r="X153" i="189"/>
  <c r="X149" i="189"/>
  <c r="X165" i="189"/>
  <c r="X163" i="189"/>
  <c r="X156" i="189"/>
  <c r="X166" i="189"/>
  <c r="X170" i="189"/>
  <c r="X167" i="189"/>
  <c r="X121" i="189"/>
  <c r="X161" i="189"/>
  <c r="X169" i="189"/>
  <c r="X159" i="189"/>
  <c r="X148" i="189"/>
  <c r="X160" i="189"/>
  <c r="X164" i="189"/>
  <c r="X3" i="189"/>
  <c r="X118" i="189"/>
  <c r="X144" i="189"/>
  <c r="X168" i="189"/>
  <c r="X175" i="189"/>
  <c r="X172" i="189"/>
  <c r="X171" i="189"/>
  <c r="X174" i="189"/>
  <c r="X173" i="189"/>
  <c r="Y1" i="189"/>
  <c r="Y4" i="189" s="1"/>
  <c r="O8" i="187"/>
  <c r="O10" i="187"/>
  <c r="O5" i="187"/>
  <c r="O9" i="187"/>
  <c r="O6" i="187"/>
  <c r="O18" i="187"/>
  <c r="O30" i="187"/>
  <c r="O13" i="187"/>
  <c r="O25" i="187"/>
  <c r="O7" i="187"/>
  <c r="O20" i="187"/>
  <c r="O32" i="187"/>
  <c r="O15" i="187"/>
  <c r="O27" i="187"/>
  <c r="O22" i="187"/>
  <c r="O17" i="187"/>
  <c r="O29" i="187"/>
  <c r="O12" i="187"/>
  <c r="O24" i="187"/>
  <c r="O19" i="187"/>
  <c r="O31" i="187"/>
  <c r="O16" i="187"/>
  <c r="O28" i="187"/>
  <c r="O26" i="187"/>
  <c r="O40" i="187"/>
  <c r="O52" i="187"/>
  <c r="O33" i="187"/>
  <c r="O34" i="187"/>
  <c r="O47" i="187"/>
  <c r="O59" i="187"/>
  <c r="O23" i="187"/>
  <c r="O42" i="187"/>
  <c r="O54" i="187"/>
  <c r="O14" i="187"/>
  <c r="O37" i="187"/>
  <c r="O49" i="187"/>
  <c r="O35" i="187"/>
  <c r="O44" i="187"/>
  <c r="O56" i="187"/>
  <c r="O39" i="187"/>
  <c r="O51" i="187"/>
  <c r="O11" i="187"/>
  <c r="O46" i="187"/>
  <c r="O58" i="187"/>
  <c r="O41" i="187"/>
  <c r="O53" i="187"/>
  <c r="O21" i="187"/>
  <c r="O38" i="187"/>
  <c r="O50" i="187"/>
  <c r="O36" i="187"/>
  <c r="O63" i="187"/>
  <c r="O75" i="187"/>
  <c r="O70" i="187"/>
  <c r="O65" i="187"/>
  <c r="O77" i="187"/>
  <c r="O60" i="187"/>
  <c r="O72" i="187"/>
  <c r="O55" i="187"/>
  <c r="O67" i="187"/>
  <c r="O79" i="187"/>
  <c r="O62" i="187"/>
  <c r="O74" i="187"/>
  <c r="O69" i="187"/>
  <c r="O81" i="187"/>
  <c r="O43" i="187"/>
  <c r="O64" i="187"/>
  <c r="O76" i="187"/>
  <c r="O61" i="187"/>
  <c r="O73" i="187"/>
  <c r="O71" i="187"/>
  <c r="O94" i="187"/>
  <c r="O106" i="187"/>
  <c r="O83" i="187"/>
  <c r="O89" i="187"/>
  <c r="O101" i="187"/>
  <c r="O68" i="187"/>
  <c r="O84" i="187"/>
  <c r="O96" i="187"/>
  <c r="O91" i="187"/>
  <c r="O103" i="187"/>
  <c r="O48" i="187"/>
  <c r="O86" i="187"/>
  <c r="O98" i="187"/>
  <c r="O93" i="187"/>
  <c r="O105" i="187"/>
  <c r="O82" i="187"/>
  <c r="O88" i="187"/>
  <c r="O100" i="187"/>
  <c r="O78" i="187"/>
  <c r="O95" i="187"/>
  <c r="O90" i="187"/>
  <c r="O102" i="187"/>
  <c r="O66" i="187"/>
  <c r="O92" i="187"/>
  <c r="O104" i="187"/>
  <c r="O109" i="187"/>
  <c r="O121" i="187"/>
  <c r="O133" i="187"/>
  <c r="O80" i="187"/>
  <c r="O116" i="187"/>
  <c r="O128" i="187"/>
  <c r="O111" i="187"/>
  <c r="O123" i="187"/>
  <c r="O118" i="187"/>
  <c r="O130" i="187"/>
  <c r="O113" i="187"/>
  <c r="O125" i="187"/>
  <c r="O45" i="187"/>
  <c r="O87" i="187"/>
  <c r="O108" i="187"/>
  <c r="O120" i="187"/>
  <c r="O132" i="187"/>
  <c r="O85" i="187"/>
  <c r="O115" i="187"/>
  <c r="O127" i="187"/>
  <c r="O99" i="187"/>
  <c r="O110" i="187"/>
  <c r="O122" i="187"/>
  <c r="O134" i="187"/>
  <c r="O57" i="187"/>
  <c r="O97" i="187"/>
  <c r="O117" i="187"/>
  <c r="O129" i="187"/>
  <c r="O119" i="187"/>
  <c r="O131" i="187"/>
  <c r="O136" i="187"/>
  <c r="O148" i="187"/>
  <c r="O160" i="187"/>
  <c r="O143" i="187"/>
  <c r="O155" i="187"/>
  <c r="O138" i="187"/>
  <c r="O150" i="187"/>
  <c r="O145" i="187"/>
  <c r="O157" i="187"/>
  <c r="O140" i="187"/>
  <c r="O152" i="187"/>
  <c r="O107" i="187"/>
  <c r="O114" i="187"/>
  <c r="O135" i="187"/>
  <c r="O147" i="187"/>
  <c r="O159" i="187"/>
  <c r="O112" i="187"/>
  <c r="O142" i="187"/>
  <c r="O154" i="187"/>
  <c r="O126" i="187"/>
  <c r="O137" i="187"/>
  <c r="O149" i="187"/>
  <c r="O161" i="187"/>
  <c r="O124" i="187"/>
  <c r="O144" i="187"/>
  <c r="O156" i="187"/>
  <c r="O165" i="187"/>
  <c r="O146" i="187"/>
  <c r="O168" i="187"/>
  <c r="O170" i="187"/>
  <c r="O167" i="187"/>
  <c r="O151" i="187"/>
  <c r="O162" i="187"/>
  <c r="O169" i="187"/>
  <c r="O164" i="187"/>
  <c r="O3" i="187"/>
  <c r="O139" i="187"/>
  <c r="O166" i="187"/>
  <c r="O153" i="187"/>
  <c r="O158" i="187"/>
  <c r="O163" i="187"/>
  <c r="O141" i="187"/>
  <c r="O175" i="187"/>
  <c r="O171" i="187"/>
  <c r="O174" i="187"/>
  <c r="O173" i="187"/>
  <c r="O172" i="187"/>
  <c r="P1" i="187"/>
  <c r="P4" i="187" s="1"/>
  <c r="T28" i="184"/>
  <c r="T30" i="184"/>
  <c r="T29" i="184"/>
  <c r="T31" i="184"/>
  <c r="T32" i="184"/>
  <c r="T34" i="184"/>
  <c r="T33" i="184"/>
  <c r="Y14" i="189" l="1"/>
  <c r="Y26" i="189"/>
  <c r="Y9" i="189"/>
  <c r="Y21" i="189"/>
  <c r="Y33" i="189"/>
  <c r="Y16" i="189"/>
  <c r="Y28" i="189"/>
  <c r="Y11" i="189"/>
  <c r="Y23" i="189"/>
  <c r="Y35" i="189"/>
  <c r="Y6" i="189"/>
  <c r="Y18" i="189"/>
  <c r="Y30" i="189"/>
  <c r="Y13" i="189"/>
  <c r="Y25" i="189"/>
  <c r="Y37" i="189"/>
  <c r="Y8" i="189"/>
  <c r="Y12" i="189"/>
  <c r="Y36" i="189"/>
  <c r="Y42" i="189"/>
  <c r="Y54" i="189"/>
  <c r="Y19" i="189"/>
  <c r="Y49" i="189"/>
  <c r="Y5" i="189"/>
  <c r="Y20" i="189"/>
  <c r="Y44" i="189"/>
  <c r="Y27" i="189"/>
  <c r="Y39" i="189"/>
  <c r="Y51" i="189"/>
  <c r="Y34" i="189"/>
  <c r="Y46" i="189"/>
  <c r="Y7" i="189"/>
  <c r="Y17" i="189"/>
  <c r="Y41" i="189"/>
  <c r="Y53" i="189"/>
  <c r="Y32" i="189"/>
  <c r="Y38" i="189"/>
  <c r="Y50" i="189"/>
  <c r="Y43" i="189"/>
  <c r="Y52" i="189"/>
  <c r="Y62" i="189"/>
  <c r="Y10" i="189"/>
  <c r="Y57" i="189"/>
  <c r="Y69" i="189"/>
  <c r="Y45" i="189"/>
  <c r="Y64" i="189"/>
  <c r="Y59" i="189"/>
  <c r="Y71" i="189"/>
  <c r="Y48" i="189"/>
  <c r="Y66" i="189"/>
  <c r="Y29" i="189"/>
  <c r="Y31" i="189"/>
  <c r="Y47" i="189"/>
  <c r="Y61" i="189"/>
  <c r="Y73" i="189"/>
  <c r="Y58" i="189"/>
  <c r="Y70" i="189"/>
  <c r="Y72" i="189"/>
  <c r="Y80" i="189"/>
  <c r="Y92" i="189"/>
  <c r="Y60" i="189"/>
  <c r="Y75" i="189"/>
  <c r="Y87" i="189"/>
  <c r="Y40" i="189"/>
  <c r="Y82" i="189"/>
  <c r="Y63" i="189"/>
  <c r="Y77" i="189"/>
  <c r="Y89" i="189"/>
  <c r="Y84" i="189"/>
  <c r="Y22" i="189"/>
  <c r="Y65" i="189"/>
  <c r="Y79" i="189"/>
  <c r="Y91" i="189"/>
  <c r="Y56" i="189"/>
  <c r="Y67" i="189"/>
  <c r="Y76" i="189"/>
  <c r="Y88" i="189"/>
  <c r="Y55" i="189"/>
  <c r="Y83" i="189"/>
  <c r="Y15" i="189"/>
  <c r="Y24" i="189"/>
  <c r="Y78" i="189"/>
  <c r="Y90" i="189"/>
  <c r="Y86" i="189"/>
  <c r="Y93" i="189"/>
  <c r="Y105" i="189"/>
  <c r="Y117" i="189"/>
  <c r="Y100" i="189"/>
  <c r="Y112" i="189"/>
  <c r="Y95" i="189"/>
  <c r="Y107" i="189"/>
  <c r="Y74" i="189"/>
  <c r="Y102" i="189"/>
  <c r="Y114" i="189"/>
  <c r="Y68" i="189"/>
  <c r="Y97" i="189"/>
  <c r="Y109" i="189"/>
  <c r="Y101" i="189"/>
  <c r="Y113" i="189"/>
  <c r="Y96" i="189"/>
  <c r="Y108" i="189"/>
  <c r="Y81" i="189"/>
  <c r="Y103" i="189"/>
  <c r="Y115" i="189"/>
  <c r="Y104" i="189"/>
  <c r="Y125" i="189"/>
  <c r="Y137" i="189"/>
  <c r="Y111" i="189"/>
  <c r="Y120" i="189"/>
  <c r="Y132" i="189"/>
  <c r="Y127" i="189"/>
  <c r="Y110" i="189"/>
  <c r="Y122" i="189"/>
  <c r="Y134" i="189"/>
  <c r="Y85" i="189"/>
  <c r="Y116" i="189"/>
  <c r="Y129" i="189"/>
  <c r="Y124" i="189"/>
  <c r="Y94" i="189"/>
  <c r="Y119" i="189"/>
  <c r="Y131" i="189"/>
  <c r="Y121" i="189"/>
  <c r="Y133" i="189"/>
  <c r="Y99" i="189"/>
  <c r="Y128" i="189"/>
  <c r="Y148" i="189"/>
  <c r="Y160" i="189"/>
  <c r="Y138" i="189"/>
  <c r="Y143" i="189"/>
  <c r="Y155" i="189"/>
  <c r="Y150" i="189"/>
  <c r="Y162" i="189"/>
  <c r="Y145" i="189"/>
  <c r="Y157" i="189"/>
  <c r="Y136" i="189"/>
  <c r="Y140" i="189"/>
  <c r="Y152" i="189"/>
  <c r="Y130" i="189"/>
  <c r="Y147" i="189"/>
  <c r="Y159" i="189"/>
  <c r="Y118" i="189"/>
  <c r="Y144" i="189"/>
  <c r="Y156" i="189"/>
  <c r="Y126" i="189"/>
  <c r="Y139" i="189"/>
  <c r="Y151" i="189"/>
  <c r="Y123" i="189"/>
  <c r="Y146" i="189"/>
  <c r="Y158" i="189"/>
  <c r="Y170" i="189"/>
  <c r="Y142" i="189"/>
  <c r="Y164" i="189"/>
  <c r="Y106" i="189"/>
  <c r="Y149" i="189"/>
  <c r="Y165" i="189"/>
  <c r="Y163" i="189"/>
  <c r="Y135" i="189"/>
  <c r="Y154" i="189"/>
  <c r="Y167" i="189"/>
  <c r="Y3" i="189"/>
  <c r="Y161" i="189"/>
  <c r="Y169" i="189"/>
  <c r="Y98" i="189"/>
  <c r="Y153" i="189"/>
  <c r="Y166" i="189"/>
  <c r="Y168" i="189"/>
  <c r="Y141" i="189"/>
  <c r="Y172" i="189"/>
  <c r="Y173" i="189"/>
  <c r="Y175" i="189"/>
  <c r="Y171" i="189"/>
  <c r="Y174" i="189"/>
  <c r="Z1" i="189"/>
  <c r="Z4" i="189" s="1"/>
  <c r="P8" i="187"/>
  <c r="P10" i="187"/>
  <c r="P5" i="187"/>
  <c r="P7" i="187"/>
  <c r="P11" i="187"/>
  <c r="P23" i="187"/>
  <c r="P35" i="187"/>
  <c r="P18" i="187"/>
  <c r="P30" i="187"/>
  <c r="P13" i="187"/>
  <c r="P25" i="187"/>
  <c r="P20" i="187"/>
  <c r="P32" i="187"/>
  <c r="P15" i="187"/>
  <c r="P27" i="187"/>
  <c r="P6" i="187"/>
  <c r="P22" i="187"/>
  <c r="P17" i="187"/>
  <c r="P29" i="187"/>
  <c r="P12" i="187"/>
  <c r="P24" i="187"/>
  <c r="P21" i="187"/>
  <c r="P33" i="187"/>
  <c r="P45" i="187"/>
  <c r="P57" i="187"/>
  <c r="P26" i="187"/>
  <c r="P40" i="187"/>
  <c r="P52" i="187"/>
  <c r="P9" i="187"/>
  <c r="P34" i="187"/>
  <c r="P47" i="187"/>
  <c r="P59" i="187"/>
  <c r="P31" i="187"/>
  <c r="P42" i="187"/>
  <c r="P54" i="187"/>
  <c r="P14" i="187"/>
  <c r="P37" i="187"/>
  <c r="P49" i="187"/>
  <c r="P28" i="187"/>
  <c r="P44" i="187"/>
  <c r="P56" i="187"/>
  <c r="P19" i="187"/>
  <c r="P39" i="187"/>
  <c r="P51" i="187"/>
  <c r="P46" i="187"/>
  <c r="P58" i="187"/>
  <c r="P43" i="187"/>
  <c r="P55" i="187"/>
  <c r="P16" i="187"/>
  <c r="P53" i="187"/>
  <c r="P68" i="187"/>
  <c r="P80" i="187"/>
  <c r="P36" i="187"/>
  <c r="P63" i="187"/>
  <c r="P75" i="187"/>
  <c r="P50" i="187"/>
  <c r="P70" i="187"/>
  <c r="P82" i="187"/>
  <c r="P41" i="187"/>
  <c r="P65" i="187"/>
  <c r="P77" i="187"/>
  <c r="P60" i="187"/>
  <c r="P72" i="187"/>
  <c r="P38" i="187"/>
  <c r="P67" i="187"/>
  <c r="P79" i="187"/>
  <c r="P62" i="187"/>
  <c r="P74" i="187"/>
  <c r="P69" i="187"/>
  <c r="P81" i="187"/>
  <c r="P48" i="187"/>
  <c r="P66" i="187"/>
  <c r="P78" i="187"/>
  <c r="P87" i="187"/>
  <c r="P99" i="187"/>
  <c r="P71" i="187"/>
  <c r="P94" i="187"/>
  <c r="P106" i="187"/>
  <c r="P83" i="187"/>
  <c r="P89" i="187"/>
  <c r="P101" i="187"/>
  <c r="P76" i="187"/>
  <c r="P84" i="187"/>
  <c r="P96" i="187"/>
  <c r="P91" i="187"/>
  <c r="P103" i="187"/>
  <c r="P73" i="187"/>
  <c r="P86" i="187"/>
  <c r="P98" i="187"/>
  <c r="P64" i="187"/>
  <c r="P93" i="187"/>
  <c r="P105" i="187"/>
  <c r="P88" i="187"/>
  <c r="P100" i="187"/>
  <c r="P61" i="187"/>
  <c r="P95" i="187"/>
  <c r="P85" i="187"/>
  <c r="P97" i="187"/>
  <c r="P107" i="187"/>
  <c r="P114" i="187"/>
  <c r="P126" i="187"/>
  <c r="P109" i="187"/>
  <c r="P121" i="187"/>
  <c r="P133" i="187"/>
  <c r="P116" i="187"/>
  <c r="P128" i="187"/>
  <c r="P111" i="187"/>
  <c r="P123" i="187"/>
  <c r="P118" i="187"/>
  <c r="P130" i="187"/>
  <c r="P113" i="187"/>
  <c r="P125" i="187"/>
  <c r="P108" i="187"/>
  <c r="P120" i="187"/>
  <c r="P132" i="187"/>
  <c r="P92" i="187"/>
  <c r="P115" i="187"/>
  <c r="P127" i="187"/>
  <c r="P90" i="187"/>
  <c r="P110" i="187"/>
  <c r="P122" i="187"/>
  <c r="P134" i="187"/>
  <c r="P102" i="187"/>
  <c r="P112" i="187"/>
  <c r="P124" i="187"/>
  <c r="P104" i="187"/>
  <c r="P141" i="187"/>
  <c r="P153" i="187"/>
  <c r="P136" i="187"/>
  <c r="P148" i="187"/>
  <c r="P160" i="187"/>
  <c r="P143" i="187"/>
  <c r="P155" i="187"/>
  <c r="P138" i="187"/>
  <c r="P150" i="187"/>
  <c r="P145" i="187"/>
  <c r="P157" i="187"/>
  <c r="P140" i="187"/>
  <c r="P152" i="187"/>
  <c r="P135" i="187"/>
  <c r="P147" i="187"/>
  <c r="P159" i="187"/>
  <c r="P119" i="187"/>
  <c r="P142" i="187"/>
  <c r="P154" i="187"/>
  <c r="P117" i="187"/>
  <c r="P137" i="187"/>
  <c r="P149" i="187"/>
  <c r="P161" i="187"/>
  <c r="P131" i="187"/>
  <c r="P170" i="187"/>
  <c r="P165" i="187"/>
  <c r="P144" i="187"/>
  <c r="P146" i="187"/>
  <c r="P167" i="187"/>
  <c r="P163" i="187"/>
  <c r="P151" i="187"/>
  <c r="P162" i="187"/>
  <c r="P169" i="187"/>
  <c r="P156" i="187"/>
  <c r="P164" i="187"/>
  <c r="P3" i="187"/>
  <c r="P158" i="187"/>
  <c r="P139" i="187"/>
  <c r="P166" i="187"/>
  <c r="P129" i="187"/>
  <c r="P168" i="187"/>
  <c r="P172" i="187"/>
  <c r="P171" i="187"/>
  <c r="P174" i="187"/>
  <c r="P173" i="187"/>
  <c r="P175" i="187"/>
  <c r="Q1" i="187"/>
  <c r="Q4" i="187" s="1"/>
  <c r="T25" i="184"/>
  <c r="T26" i="184"/>
  <c r="T27" i="184"/>
  <c r="Z7" i="189" l="1"/>
  <c r="Z19" i="189"/>
  <c r="Z31" i="189"/>
  <c r="Z14" i="189"/>
  <c r="Z26" i="189"/>
  <c r="Z9" i="189"/>
  <c r="Z21" i="189"/>
  <c r="Z33" i="189"/>
  <c r="Z16" i="189"/>
  <c r="Z28" i="189"/>
  <c r="Z11" i="189"/>
  <c r="Z23" i="189"/>
  <c r="Z35" i="189"/>
  <c r="Z6" i="189"/>
  <c r="Z18" i="189"/>
  <c r="Z30" i="189"/>
  <c r="Z29" i="189"/>
  <c r="Z47" i="189"/>
  <c r="Z12" i="189"/>
  <c r="Z36" i="189"/>
  <c r="Z42" i="189"/>
  <c r="Z54" i="189"/>
  <c r="Z13" i="189"/>
  <c r="Z37" i="189"/>
  <c r="Z49" i="189"/>
  <c r="Z5" i="189"/>
  <c r="Z20" i="189"/>
  <c r="Z44" i="189"/>
  <c r="Z8" i="189"/>
  <c r="Z27" i="189"/>
  <c r="Z39" i="189"/>
  <c r="Z51" i="189"/>
  <c r="Z34" i="189"/>
  <c r="Z46" i="189"/>
  <c r="Z25" i="189"/>
  <c r="Z43" i="189"/>
  <c r="Z55" i="189"/>
  <c r="Z67" i="189"/>
  <c r="Z52" i="189"/>
  <c r="Z62" i="189"/>
  <c r="Z10" i="189"/>
  <c r="Z53" i="189"/>
  <c r="Z57" i="189"/>
  <c r="Z69" i="189"/>
  <c r="Z45" i="189"/>
  <c r="Z64" i="189"/>
  <c r="Z59" i="189"/>
  <c r="Z71" i="189"/>
  <c r="Z48" i="189"/>
  <c r="Z66" i="189"/>
  <c r="Z22" i="189"/>
  <c r="Z24" i="189"/>
  <c r="Z38" i="189"/>
  <c r="Z63" i="189"/>
  <c r="Z73" i="189"/>
  <c r="Z85" i="189"/>
  <c r="Z61" i="189"/>
  <c r="Z72" i="189"/>
  <c r="Z80" i="189"/>
  <c r="Z92" i="189"/>
  <c r="Z60" i="189"/>
  <c r="Z75" i="189"/>
  <c r="Z87" i="189"/>
  <c r="Z40" i="189"/>
  <c r="Z82" i="189"/>
  <c r="Z17" i="189"/>
  <c r="Z77" i="189"/>
  <c r="Z89" i="189"/>
  <c r="Z84" i="189"/>
  <c r="Z68" i="189"/>
  <c r="Z81" i="189"/>
  <c r="Z32" i="189"/>
  <c r="Z56" i="189"/>
  <c r="Z76" i="189"/>
  <c r="Z88" i="189"/>
  <c r="Z70" i="189"/>
  <c r="Z83" i="189"/>
  <c r="Z98" i="189"/>
  <c r="Z110" i="189"/>
  <c r="Z41" i="189"/>
  <c r="Z50" i="189"/>
  <c r="Z86" i="189"/>
  <c r="Z93" i="189"/>
  <c r="Z105" i="189"/>
  <c r="Z100" i="189"/>
  <c r="Z112" i="189"/>
  <c r="Z91" i="189"/>
  <c r="Z95" i="189"/>
  <c r="Z107" i="189"/>
  <c r="Z74" i="189"/>
  <c r="Z102" i="189"/>
  <c r="Z114" i="189"/>
  <c r="Z58" i="189"/>
  <c r="Z90" i="189"/>
  <c r="Z94" i="189"/>
  <c r="Z106" i="189"/>
  <c r="Z101" i="189"/>
  <c r="Z113" i="189"/>
  <c r="Z96" i="189"/>
  <c r="Z108" i="189"/>
  <c r="Z15" i="189"/>
  <c r="Z97" i="189"/>
  <c r="Z118" i="189"/>
  <c r="Z130" i="189"/>
  <c r="Z65" i="189"/>
  <c r="Z79" i="189"/>
  <c r="Z104" i="189"/>
  <c r="Z125" i="189"/>
  <c r="Z137" i="189"/>
  <c r="Z111" i="189"/>
  <c r="Z120" i="189"/>
  <c r="Z132" i="189"/>
  <c r="Z103" i="189"/>
  <c r="Z127" i="189"/>
  <c r="Z109" i="189"/>
  <c r="Z122" i="189"/>
  <c r="Z134" i="189"/>
  <c r="Z116" i="189"/>
  <c r="Z117" i="189"/>
  <c r="Z129" i="189"/>
  <c r="Z124" i="189"/>
  <c r="Z136" i="189"/>
  <c r="Z126" i="189"/>
  <c r="Z138" i="189"/>
  <c r="Z121" i="189"/>
  <c r="Z133" i="189"/>
  <c r="Z131" i="189"/>
  <c r="Z141" i="189"/>
  <c r="Z153" i="189"/>
  <c r="Z99" i="189"/>
  <c r="Z128" i="189"/>
  <c r="Z148" i="189"/>
  <c r="Z160" i="189"/>
  <c r="Z143" i="189"/>
  <c r="Z155" i="189"/>
  <c r="Z119" i="189"/>
  <c r="Z150" i="189"/>
  <c r="Z162" i="189"/>
  <c r="Z145" i="189"/>
  <c r="Z157" i="189"/>
  <c r="Z140" i="189"/>
  <c r="Z152" i="189"/>
  <c r="Z135" i="189"/>
  <c r="Z149" i="189"/>
  <c r="Z161" i="189"/>
  <c r="Z144" i="189"/>
  <c r="Z156" i="189"/>
  <c r="Z139" i="189"/>
  <c r="Z151" i="189"/>
  <c r="Z170" i="189"/>
  <c r="Z164" i="189"/>
  <c r="Z3" i="189"/>
  <c r="Z78" i="189"/>
  <c r="Z146" i="189"/>
  <c r="Z165" i="189"/>
  <c r="Z163" i="189"/>
  <c r="Z115" i="189"/>
  <c r="Z169" i="189"/>
  <c r="Z154" i="189"/>
  <c r="Z167" i="189"/>
  <c r="Z142" i="189"/>
  <c r="Z159" i="189"/>
  <c r="Z158" i="189"/>
  <c r="Z168" i="189"/>
  <c r="Z123" i="189"/>
  <c r="Z147" i="189"/>
  <c r="Z166" i="189"/>
  <c r="Z173" i="189"/>
  <c r="Z174" i="189"/>
  <c r="Z172" i="189"/>
  <c r="Z175" i="189"/>
  <c r="Z171" i="189"/>
  <c r="AA1" i="189"/>
  <c r="AA4" i="189" s="1"/>
  <c r="Q6" i="187"/>
  <c r="Q8" i="187"/>
  <c r="Q10" i="187"/>
  <c r="Q7" i="187"/>
  <c r="Q9" i="187"/>
  <c r="Q16" i="187"/>
  <c r="Q28" i="187"/>
  <c r="Q23" i="187"/>
  <c r="Q18" i="187"/>
  <c r="Q30" i="187"/>
  <c r="Q13" i="187"/>
  <c r="Q25" i="187"/>
  <c r="Q20" i="187"/>
  <c r="Q15" i="187"/>
  <c r="Q27" i="187"/>
  <c r="Q5" i="187"/>
  <c r="Q22" i="187"/>
  <c r="Q34" i="187"/>
  <c r="Q17" i="187"/>
  <c r="Q29" i="187"/>
  <c r="Q14" i="187"/>
  <c r="Q26" i="187"/>
  <c r="Q12" i="187"/>
  <c r="Q32" i="187"/>
  <c r="Q38" i="187"/>
  <c r="Q50" i="187"/>
  <c r="Q45" i="187"/>
  <c r="Q57" i="187"/>
  <c r="Q33" i="187"/>
  <c r="Q40" i="187"/>
  <c r="Q52" i="187"/>
  <c r="Q47" i="187"/>
  <c r="Q31" i="187"/>
  <c r="Q42" i="187"/>
  <c r="Q54" i="187"/>
  <c r="Q35" i="187"/>
  <c r="Q37" i="187"/>
  <c r="Q49" i="187"/>
  <c r="Q44" i="187"/>
  <c r="Q56" i="187"/>
  <c r="Q11" i="187"/>
  <c r="Q19" i="187"/>
  <c r="Q39" i="187"/>
  <c r="Q51" i="187"/>
  <c r="Q36" i="187"/>
  <c r="Q48" i="187"/>
  <c r="Q61" i="187"/>
  <c r="Q73" i="187"/>
  <c r="Q53" i="187"/>
  <c r="Q68" i="187"/>
  <c r="Q80" i="187"/>
  <c r="Q63" i="187"/>
  <c r="Q75" i="187"/>
  <c r="Q70" i="187"/>
  <c r="Q24" i="187"/>
  <c r="Q41" i="187"/>
  <c r="Q65" i="187"/>
  <c r="Q77" i="187"/>
  <c r="Q55" i="187"/>
  <c r="Q60" i="187"/>
  <c r="Q72" i="187"/>
  <c r="Q46" i="187"/>
  <c r="Q67" i="187"/>
  <c r="Q79" i="187"/>
  <c r="Q62" i="187"/>
  <c r="Q74" i="187"/>
  <c r="Q59" i="187"/>
  <c r="Q71" i="187"/>
  <c r="Q83" i="187"/>
  <c r="Q58" i="187"/>
  <c r="Q92" i="187"/>
  <c r="Q104" i="187"/>
  <c r="Q81" i="187"/>
  <c r="Q87" i="187"/>
  <c r="Q99" i="187"/>
  <c r="Q94" i="187"/>
  <c r="Q106" i="187"/>
  <c r="Q89" i="187"/>
  <c r="Q101" i="187"/>
  <c r="Q76" i="187"/>
  <c r="Q84" i="187"/>
  <c r="Q96" i="187"/>
  <c r="Q91" i="187"/>
  <c r="Q103" i="187"/>
  <c r="Q43" i="187"/>
  <c r="Q86" i="187"/>
  <c r="Q98" i="187"/>
  <c r="Q64" i="187"/>
  <c r="Q82" i="187"/>
  <c r="Q93" i="187"/>
  <c r="Q105" i="187"/>
  <c r="Q21" i="187"/>
  <c r="Q78" i="187"/>
  <c r="Q88" i="187"/>
  <c r="Q100" i="187"/>
  <c r="Q90" i="187"/>
  <c r="Q102" i="187"/>
  <c r="Q119" i="187"/>
  <c r="Q131" i="187"/>
  <c r="Q107" i="187"/>
  <c r="Q114" i="187"/>
  <c r="Q126" i="187"/>
  <c r="Q109" i="187"/>
  <c r="Q121" i="187"/>
  <c r="Q133" i="187"/>
  <c r="Q116" i="187"/>
  <c r="Q128" i="187"/>
  <c r="Q111" i="187"/>
  <c r="Q123" i="187"/>
  <c r="Q118" i="187"/>
  <c r="Q130" i="187"/>
  <c r="Q113" i="187"/>
  <c r="Q125" i="187"/>
  <c r="Q66" i="187"/>
  <c r="Q85" i="187"/>
  <c r="Q108" i="187"/>
  <c r="Q120" i="187"/>
  <c r="Q132" i="187"/>
  <c r="Q115" i="187"/>
  <c r="Q127" i="187"/>
  <c r="Q69" i="187"/>
  <c r="Q95" i="187"/>
  <c r="Q117" i="187"/>
  <c r="Q129" i="187"/>
  <c r="Q146" i="187"/>
  <c r="Q158" i="187"/>
  <c r="Q141" i="187"/>
  <c r="Q153" i="187"/>
  <c r="Q136" i="187"/>
  <c r="Q148" i="187"/>
  <c r="Q160" i="187"/>
  <c r="Q134" i="187"/>
  <c r="Q143" i="187"/>
  <c r="Q155" i="187"/>
  <c r="Q138" i="187"/>
  <c r="Q150" i="187"/>
  <c r="Q145" i="187"/>
  <c r="Q157" i="187"/>
  <c r="Q97" i="187"/>
  <c r="Q140" i="187"/>
  <c r="Q152" i="187"/>
  <c r="Q112" i="187"/>
  <c r="Q135" i="187"/>
  <c r="Q147" i="187"/>
  <c r="Q159" i="187"/>
  <c r="Q110" i="187"/>
  <c r="Q142" i="187"/>
  <c r="Q154" i="187"/>
  <c r="Q149" i="187"/>
  <c r="Q163" i="187"/>
  <c r="Q122" i="187"/>
  <c r="Q170" i="187"/>
  <c r="Q165" i="187"/>
  <c r="Q124" i="187"/>
  <c r="Q137" i="187"/>
  <c r="Q167" i="187"/>
  <c r="Q151" i="187"/>
  <c r="Q162" i="187"/>
  <c r="Q169" i="187"/>
  <c r="Q156" i="187"/>
  <c r="Q164" i="187"/>
  <c r="Q3" i="187"/>
  <c r="Q161" i="187"/>
  <c r="Q166" i="187"/>
  <c r="Q168" i="187"/>
  <c r="Q139" i="187"/>
  <c r="Q144" i="187"/>
  <c r="Q173" i="187"/>
  <c r="Q172" i="187"/>
  <c r="Q171" i="187"/>
  <c r="Q175" i="187"/>
  <c r="Q174" i="187"/>
  <c r="R1" i="187"/>
  <c r="R4" i="187" s="1"/>
  <c r="T16" i="184"/>
  <c r="T17" i="184"/>
  <c r="T19" i="184"/>
  <c r="T20" i="184"/>
  <c r="T21" i="184"/>
  <c r="T22" i="184"/>
  <c r="T23" i="184"/>
  <c r="T24" i="184"/>
  <c r="AA12" i="189" l="1"/>
  <c r="AA24" i="189"/>
  <c r="AA36" i="189"/>
  <c r="AA7" i="189"/>
  <c r="AA19" i="189"/>
  <c r="AA31" i="189"/>
  <c r="AA14" i="189"/>
  <c r="AA26" i="189"/>
  <c r="AA9" i="189"/>
  <c r="AA21" i="189"/>
  <c r="AA33" i="189"/>
  <c r="AA16" i="189"/>
  <c r="AA28" i="189"/>
  <c r="AA11" i="189"/>
  <c r="AA23" i="189"/>
  <c r="AA35" i="189"/>
  <c r="AA6" i="189"/>
  <c r="AA22" i="189"/>
  <c r="AA40" i="189"/>
  <c r="AA52" i="189"/>
  <c r="AA29" i="189"/>
  <c r="AA47" i="189"/>
  <c r="AA30" i="189"/>
  <c r="AA42" i="189"/>
  <c r="AA54" i="189"/>
  <c r="AA13" i="189"/>
  <c r="AA37" i="189"/>
  <c r="AA49" i="189"/>
  <c r="AA5" i="189"/>
  <c r="AA20" i="189"/>
  <c r="AA44" i="189"/>
  <c r="AA8" i="189"/>
  <c r="AA27" i="189"/>
  <c r="AA39" i="189"/>
  <c r="AA51" i="189"/>
  <c r="AA10" i="189"/>
  <c r="AA18" i="189"/>
  <c r="AA48" i="189"/>
  <c r="AA32" i="189"/>
  <c r="AA34" i="189"/>
  <c r="AA60" i="189"/>
  <c r="AA72" i="189"/>
  <c r="AA43" i="189"/>
  <c r="AA55" i="189"/>
  <c r="AA67" i="189"/>
  <c r="AA25" i="189"/>
  <c r="AA62" i="189"/>
  <c r="AA46" i="189"/>
  <c r="AA53" i="189"/>
  <c r="AA57" i="189"/>
  <c r="AA69" i="189"/>
  <c r="AA45" i="189"/>
  <c r="AA64" i="189"/>
  <c r="AA59" i="189"/>
  <c r="AA71" i="189"/>
  <c r="AA50" i="189"/>
  <c r="AA56" i="189"/>
  <c r="AA68" i="189"/>
  <c r="AA15" i="189"/>
  <c r="AA58" i="189"/>
  <c r="AA78" i="189"/>
  <c r="AA90" i="189"/>
  <c r="AA73" i="189"/>
  <c r="AA85" i="189"/>
  <c r="AA61" i="189"/>
  <c r="AA80" i="189"/>
  <c r="AA92" i="189"/>
  <c r="AA38" i="189"/>
  <c r="AA75" i="189"/>
  <c r="AA87" i="189"/>
  <c r="AA63" i="189"/>
  <c r="AA82" i="189"/>
  <c r="AA17" i="189"/>
  <c r="AA77" i="189"/>
  <c r="AA89" i="189"/>
  <c r="AA41" i="189"/>
  <c r="AA74" i="189"/>
  <c r="AA86" i="189"/>
  <c r="AA81" i="189"/>
  <c r="AA76" i="189"/>
  <c r="AA88" i="189"/>
  <c r="AA103" i="189"/>
  <c r="AA115" i="189"/>
  <c r="AA98" i="189"/>
  <c r="AA110" i="189"/>
  <c r="AA83" i="189"/>
  <c r="AA93" i="189"/>
  <c r="AA105" i="189"/>
  <c r="AA100" i="189"/>
  <c r="AA112" i="189"/>
  <c r="AA91" i="189"/>
  <c r="AA95" i="189"/>
  <c r="AA107" i="189"/>
  <c r="AA99" i="189"/>
  <c r="AA111" i="189"/>
  <c r="AA66" i="189"/>
  <c r="AA84" i="189"/>
  <c r="AA94" i="189"/>
  <c r="AA106" i="189"/>
  <c r="AA101" i="189"/>
  <c r="AA113" i="189"/>
  <c r="AA123" i="189"/>
  <c r="AA135" i="189"/>
  <c r="AA97" i="189"/>
  <c r="AA118" i="189"/>
  <c r="AA130" i="189"/>
  <c r="AA65" i="189"/>
  <c r="AA79" i="189"/>
  <c r="AA104" i="189"/>
  <c r="AA125" i="189"/>
  <c r="AA137" i="189"/>
  <c r="AA96" i="189"/>
  <c r="AA120" i="189"/>
  <c r="AA132" i="189"/>
  <c r="AA102" i="189"/>
  <c r="AA127" i="189"/>
  <c r="AA109" i="189"/>
  <c r="AA122" i="189"/>
  <c r="AA134" i="189"/>
  <c r="AA116" i="189"/>
  <c r="AA117" i="189"/>
  <c r="AA129" i="189"/>
  <c r="AA114" i="189"/>
  <c r="AA119" i="189"/>
  <c r="AA131" i="189"/>
  <c r="AA126" i="189"/>
  <c r="AA138" i="189"/>
  <c r="AA108" i="189"/>
  <c r="AA146" i="189"/>
  <c r="AA158" i="189"/>
  <c r="AA141" i="189"/>
  <c r="AA153" i="189"/>
  <c r="AA128" i="189"/>
  <c r="AA148" i="189"/>
  <c r="AA160" i="189"/>
  <c r="AA143" i="189"/>
  <c r="AA155" i="189"/>
  <c r="AA133" i="189"/>
  <c r="AA150" i="189"/>
  <c r="AA136" i="189"/>
  <c r="AA145" i="189"/>
  <c r="AA157" i="189"/>
  <c r="AA142" i="189"/>
  <c r="AA154" i="189"/>
  <c r="AA149" i="189"/>
  <c r="AA161" i="189"/>
  <c r="AA144" i="189"/>
  <c r="AA156" i="189"/>
  <c r="AA70" i="189"/>
  <c r="AA152" i="189"/>
  <c r="AA168" i="189"/>
  <c r="AA162" i="189"/>
  <c r="AA170" i="189"/>
  <c r="AA140" i="189"/>
  <c r="AA165" i="189"/>
  <c r="AA121" i="189"/>
  <c r="AA163" i="189"/>
  <c r="AA151" i="189"/>
  <c r="AA167" i="189"/>
  <c r="AA169" i="189"/>
  <c r="AA139" i="189"/>
  <c r="AA159" i="189"/>
  <c r="AA164" i="189"/>
  <c r="AA3" i="189"/>
  <c r="AA147" i="189"/>
  <c r="AA166" i="189"/>
  <c r="AA124" i="189"/>
  <c r="AA174" i="189"/>
  <c r="AA175" i="189"/>
  <c r="AA171" i="189"/>
  <c r="AA173" i="189"/>
  <c r="AA172" i="189"/>
  <c r="AB1" i="189"/>
  <c r="AB4" i="189" s="1"/>
  <c r="R11" i="187"/>
  <c r="R6" i="187"/>
  <c r="R8" i="187"/>
  <c r="R5" i="187"/>
  <c r="R9" i="187"/>
  <c r="R21" i="187"/>
  <c r="R33" i="187"/>
  <c r="R16" i="187"/>
  <c r="R28" i="187"/>
  <c r="R23" i="187"/>
  <c r="R35" i="187"/>
  <c r="R7" i="187"/>
  <c r="R18" i="187"/>
  <c r="R30" i="187"/>
  <c r="R13" i="187"/>
  <c r="R25" i="187"/>
  <c r="R20" i="187"/>
  <c r="R15" i="187"/>
  <c r="R27" i="187"/>
  <c r="R22" i="187"/>
  <c r="R34" i="187"/>
  <c r="R10" i="187"/>
  <c r="R19" i="187"/>
  <c r="R31" i="187"/>
  <c r="R29" i="187"/>
  <c r="R43" i="187"/>
  <c r="R55" i="187"/>
  <c r="R12" i="187"/>
  <c r="R32" i="187"/>
  <c r="R38" i="187"/>
  <c r="R50" i="187"/>
  <c r="R26" i="187"/>
  <c r="R45" i="187"/>
  <c r="R57" i="187"/>
  <c r="R17" i="187"/>
  <c r="R40" i="187"/>
  <c r="R52" i="187"/>
  <c r="R47" i="187"/>
  <c r="R14" i="187"/>
  <c r="R42" i="187"/>
  <c r="R54" i="187"/>
  <c r="R37" i="187"/>
  <c r="R49" i="187"/>
  <c r="R44" i="187"/>
  <c r="R56" i="187"/>
  <c r="R24" i="187"/>
  <c r="R41" i="187"/>
  <c r="R53" i="187"/>
  <c r="R39" i="187"/>
  <c r="R66" i="187"/>
  <c r="R78" i="187"/>
  <c r="R61" i="187"/>
  <c r="R73" i="187"/>
  <c r="R36" i="187"/>
  <c r="R68" i="187"/>
  <c r="R80" i="187"/>
  <c r="R63" i="187"/>
  <c r="R75" i="187"/>
  <c r="R70" i="187"/>
  <c r="R65" i="187"/>
  <c r="R77" i="187"/>
  <c r="R60" i="187"/>
  <c r="R72" i="187"/>
  <c r="R46" i="187"/>
  <c r="R67" i="187"/>
  <c r="R79" i="187"/>
  <c r="R64" i="187"/>
  <c r="R76" i="187"/>
  <c r="R74" i="187"/>
  <c r="R85" i="187"/>
  <c r="R97" i="187"/>
  <c r="R58" i="187"/>
  <c r="R92" i="187"/>
  <c r="R104" i="187"/>
  <c r="R71" i="187"/>
  <c r="R81" i="187"/>
  <c r="R87" i="187"/>
  <c r="R99" i="187"/>
  <c r="R62" i="187"/>
  <c r="R83" i="187"/>
  <c r="R94" i="187"/>
  <c r="R106" i="187"/>
  <c r="R89" i="187"/>
  <c r="R101" i="187"/>
  <c r="R48" i="187"/>
  <c r="R59" i="187"/>
  <c r="R84" i="187"/>
  <c r="R96" i="187"/>
  <c r="R91" i="187"/>
  <c r="R103" i="187"/>
  <c r="R86" i="187"/>
  <c r="R98" i="187"/>
  <c r="R82" i="187"/>
  <c r="R93" i="187"/>
  <c r="R105" i="187"/>
  <c r="R51" i="187"/>
  <c r="R69" i="187"/>
  <c r="R95" i="187"/>
  <c r="R107" i="187"/>
  <c r="R100" i="187"/>
  <c r="R112" i="187"/>
  <c r="R124" i="187"/>
  <c r="R119" i="187"/>
  <c r="R131" i="187"/>
  <c r="R114" i="187"/>
  <c r="R126" i="187"/>
  <c r="R109" i="187"/>
  <c r="R121" i="187"/>
  <c r="R133" i="187"/>
  <c r="R116" i="187"/>
  <c r="R128" i="187"/>
  <c r="R111" i="187"/>
  <c r="R123" i="187"/>
  <c r="R118" i="187"/>
  <c r="R130" i="187"/>
  <c r="R113" i="187"/>
  <c r="R125" i="187"/>
  <c r="R108" i="187"/>
  <c r="R120" i="187"/>
  <c r="R132" i="187"/>
  <c r="R88" i="187"/>
  <c r="R110" i="187"/>
  <c r="R122" i="187"/>
  <c r="R134" i="187"/>
  <c r="R90" i="187"/>
  <c r="R127" i="187"/>
  <c r="R139" i="187"/>
  <c r="R151" i="187"/>
  <c r="R146" i="187"/>
  <c r="R158" i="187"/>
  <c r="R141" i="187"/>
  <c r="R153" i="187"/>
  <c r="R136" i="187"/>
  <c r="R148" i="187"/>
  <c r="R160" i="187"/>
  <c r="R143" i="187"/>
  <c r="R155" i="187"/>
  <c r="R138" i="187"/>
  <c r="R150" i="187"/>
  <c r="R145" i="187"/>
  <c r="R157" i="187"/>
  <c r="R140" i="187"/>
  <c r="R152" i="187"/>
  <c r="R135" i="187"/>
  <c r="R147" i="187"/>
  <c r="R159" i="187"/>
  <c r="R168" i="187"/>
  <c r="R149" i="187"/>
  <c r="R163" i="187"/>
  <c r="R170" i="187"/>
  <c r="R154" i="187"/>
  <c r="R165" i="187"/>
  <c r="R115" i="187"/>
  <c r="R137" i="187"/>
  <c r="R102" i="187"/>
  <c r="R167" i="187"/>
  <c r="R3" i="187"/>
  <c r="R117" i="187"/>
  <c r="R142" i="187"/>
  <c r="R162" i="187"/>
  <c r="R169" i="187"/>
  <c r="R156" i="187"/>
  <c r="R164" i="187"/>
  <c r="R161" i="187"/>
  <c r="R166" i="187"/>
  <c r="R129" i="187"/>
  <c r="R144" i="187"/>
  <c r="R174" i="187"/>
  <c r="R173" i="187"/>
  <c r="R175" i="187"/>
  <c r="R172" i="187"/>
  <c r="R171" i="187"/>
  <c r="S1" i="187"/>
  <c r="S4" i="187" s="1"/>
  <c r="T15" i="184"/>
  <c r="T14" i="184"/>
  <c r="T13" i="184"/>
  <c r="T12" i="184"/>
  <c r="T11" i="184"/>
  <c r="AB5" i="189" l="1"/>
  <c r="AB17" i="189"/>
  <c r="AB29" i="189"/>
  <c r="AB12" i="189"/>
  <c r="AB24" i="189"/>
  <c r="AB36" i="189"/>
  <c r="AB7" i="189"/>
  <c r="AB19" i="189"/>
  <c r="AB31" i="189"/>
  <c r="AB14" i="189"/>
  <c r="AB26" i="189"/>
  <c r="AB9" i="189"/>
  <c r="AB21" i="189"/>
  <c r="AB33" i="189"/>
  <c r="AB16" i="189"/>
  <c r="AB28" i="189"/>
  <c r="AB15" i="189"/>
  <c r="AB45" i="189"/>
  <c r="AB22" i="189"/>
  <c r="AB40" i="189"/>
  <c r="AB52" i="189"/>
  <c r="AB23" i="189"/>
  <c r="AB47" i="189"/>
  <c r="AB6" i="189"/>
  <c r="AB30" i="189"/>
  <c r="AB42" i="189"/>
  <c r="AB54" i="189"/>
  <c r="AB13" i="189"/>
  <c r="AB37" i="189"/>
  <c r="AB49" i="189"/>
  <c r="AB20" i="189"/>
  <c r="AB44" i="189"/>
  <c r="AB11" i="189"/>
  <c r="AB35" i="189"/>
  <c r="AB41" i="189"/>
  <c r="AB65" i="189"/>
  <c r="AB32" i="189"/>
  <c r="AB34" i="189"/>
  <c r="AB60" i="189"/>
  <c r="AB72" i="189"/>
  <c r="AB43" i="189"/>
  <c r="AB55" i="189"/>
  <c r="AB67" i="189"/>
  <c r="AB8" i="189"/>
  <c r="AB10" i="189"/>
  <c r="AB25" i="189"/>
  <c r="AB27" i="189"/>
  <c r="AB62" i="189"/>
  <c r="AB46" i="189"/>
  <c r="AB53" i="189"/>
  <c r="AB57" i="189"/>
  <c r="AB69" i="189"/>
  <c r="AB18" i="189"/>
  <c r="AB64" i="189"/>
  <c r="AB51" i="189"/>
  <c r="AB61" i="189"/>
  <c r="AB59" i="189"/>
  <c r="AB70" i="189"/>
  <c r="AB83" i="189"/>
  <c r="AB58" i="189"/>
  <c r="AB78" i="189"/>
  <c r="AB90" i="189"/>
  <c r="AB73" i="189"/>
  <c r="AB85" i="189"/>
  <c r="AB80" i="189"/>
  <c r="AB92" i="189"/>
  <c r="AB38" i="189"/>
  <c r="AB75" i="189"/>
  <c r="AB87" i="189"/>
  <c r="AB63" i="189"/>
  <c r="AB82" i="189"/>
  <c r="AB39" i="189"/>
  <c r="AB48" i="189"/>
  <c r="AB50" i="189"/>
  <c r="AB79" i="189"/>
  <c r="AB91" i="189"/>
  <c r="AB68" i="189"/>
  <c r="AB74" i="189"/>
  <c r="AB86" i="189"/>
  <c r="AB56" i="189"/>
  <c r="AB81" i="189"/>
  <c r="AB89" i="189"/>
  <c r="AB96" i="189"/>
  <c r="AB108" i="189"/>
  <c r="AB103" i="189"/>
  <c r="AB115" i="189"/>
  <c r="AB71" i="189"/>
  <c r="AB98" i="189"/>
  <c r="AB110" i="189"/>
  <c r="AB77" i="189"/>
  <c r="AB93" i="189"/>
  <c r="AB105" i="189"/>
  <c r="AB100" i="189"/>
  <c r="AB112" i="189"/>
  <c r="AB76" i="189"/>
  <c r="AB104" i="189"/>
  <c r="AB116" i="189"/>
  <c r="AB99" i="189"/>
  <c r="AB111" i="189"/>
  <c r="AB66" i="189"/>
  <c r="AB84" i="189"/>
  <c r="AB94" i="189"/>
  <c r="AB106" i="189"/>
  <c r="AB88" i="189"/>
  <c r="AB128" i="189"/>
  <c r="AB123" i="189"/>
  <c r="AB135" i="189"/>
  <c r="AB97" i="189"/>
  <c r="AB118" i="189"/>
  <c r="AB130" i="189"/>
  <c r="AB125" i="189"/>
  <c r="AB137" i="189"/>
  <c r="AB95" i="189"/>
  <c r="AB120" i="189"/>
  <c r="AB132" i="189"/>
  <c r="AB102" i="189"/>
  <c r="AB127" i="189"/>
  <c r="AB109" i="189"/>
  <c r="AB122" i="189"/>
  <c r="AB134" i="189"/>
  <c r="AB107" i="189"/>
  <c r="AB124" i="189"/>
  <c r="AB136" i="189"/>
  <c r="AB114" i="189"/>
  <c r="AB119" i="189"/>
  <c r="AB131" i="189"/>
  <c r="AB117" i="189"/>
  <c r="AB139" i="189"/>
  <c r="AB151" i="189"/>
  <c r="AB163" i="189"/>
  <c r="AB146" i="189"/>
  <c r="AB158" i="189"/>
  <c r="AB113" i="189"/>
  <c r="AB138" i="189"/>
  <c r="AB141" i="189"/>
  <c r="AB153" i="189"/>
  <c r="AB148" i="189"/>
  <c r="AB160" i="189"/>
  <c r="AB143" i="189"/>
  <c r="AB155" i="189"/>
  <c r="AB133" i="189"/>
  <c r="AB150" i="189"/>
  <c r="AB162" i="189"/>
  <c r="AB121" i="189"/>
  <c r="AB147" i="189"/>
  <c r="AB159" i="189"/>
  <c r="AB129" i="189"/>
  <c r="AB142" i="189"/>
  <c r="AB154" i="189"/>
  <c r="AB126" i="189"/>
  <c r="AB149" i="189"/>
  <c r="AB161" i="189"/>
  <c r="AB145" i="189"/>
  <c r="AB167" i="189"/>
  <c r="AB152" i="189"/>
  <c r="AB168" i="189"/>
  <c r="AB166" i="189"/>
  <c r="AB157" i="189"/>
  <c r="AB170" i="189"/>
  <c r="AB140" i="189"/>
  <c r="AB165" i="189"/>
  <c r="AB156" i="189"/>
  <c r="AB169" i="189"/>
  <c r="AB144" i="189"/>
  <c r="AB101" i="189"/>
  <c r="AB164" i="189"/>
  <c r="AB3" i="189"/>
  <c r="AB175" i="189"/>
  <c r="AB172" i="189"/>
  <c r="AB174" i="189"/>
  <c r="AB173" i="189"/>
  <c r="AB171" i="189"/>
  <c r="AC1" i="189"/>
  <c r="AC4" i="189" s="1"/>
  <c r="S11" i="187"/>
  <c r="S6" i="187"/>
  <c r="S8" i="187"/>
  <c r="S10" i="187"/>
  <c r="S5" i="187"/>
  <c r="S14" i="187"/>
  <c r="S26" i="187"/>
  <c r="S9" i="187"/>
  <c r="S21" i="187"/>
  <c r="S33" i="187"/>
  <c r="S16" i="187"/>
  <c r="S28" i="187"/>
  <c r="S23" i="187"/>
  <c r="S7" i="187"/>
  <c r="S18" i="187"/>
  <c r="S30" i="187"/>
  <c r="S13" i="187"/>
  <c r="S25" i="187"/>
  <c r="S20" i="187"/>
  <c r="S32" i="187"/>
  <c r="S15" i="187"/>
  <c r="S27" i="187"/>
  <c r="S12" i="187"/>
  <c r="S24" i="187"/>
  <c r="S36" i="187"/>
  <c r="S48" i="187"/>
  <c r="S29" i="187"/>
  <c r="S43" i="187"/>
  <c r="S55" i="187"/>
  <c r="S38" i="187"/>
  <c r="S50" i="187"/>
  <c r="S34" i="187"/>
  <c r="S45" i="187"/>
  <c r="S57" i="187"/>
  <c r="S17" i="187"/>
  <c r="S40" i="187"/>
  <c r="S52" i="187"/>
  <c r="S31" i="187"/>
  <c r="S47" i="187"/>
  <c r="S22" i="187"/>
  <c r="S35" i="187"/>
  <c r="S42" i="187"/>
  <c r="S54" i="187"/>
  <c r="S37" i="187"/>
  <c r="S49" i="187"/>
  <c r="S46" i="187"/>
  <c r="S58" i="187"/>
  <c r="S56" i="187"/>
  <c r="S59" i="187"/>
  <c r="S71" i="187"/>
  <c r="S83" i="187"/>
  <c r="S39" i="187"/>
  <c r="S66" i="187"/>
  <c r="S78" i="187"/>
  <c r="S53" i="187"/>
  <c r="S61" i="187"/>
  <c r="S73" i="187"/>
  <c r="S44" i="187"/>
  <c r="S68" i="187"/>
  <c r="S80" i="187"/>
  <c r="S63" i="187"/>
  <c r="S75" i="187"/>
  <c r="S41" i="187"/>
  <c r="S70" i="187"/>
  <c r="S19" i="187"/>
  <c r="S65" i="187"/>
  <c r="S77" i="187"/>
  <c r="S60" i="187"/>
  <c r="S72" i="187"/>
  <c r="S51" i="187"/>
  <c r="S69" i="187"/>
  <c r="S81" i="187"/>
  <c r="S90" i="187"/>
  <c r="S102" i="187"/>
  <c r="S74" i="187"/>
  <c r="S85" i="187"/>
  <c r="S97" i="187"/>
  <c r="S92" i="187"/>
  <c r="S104" i="187"/>
  <c r="S79" i="187"/>
  <c r="S87" i="187"/>
  <c r="S99" i="187"/>
  <c r="S62" i="187"/>
  <c r="S94" i="187"/>
  <c r="S106" i="187"/>
  <c r="S76" i="187"/>
  <c r="S89" i="187"/>
  <c r="S101" i="187"/>
  <c r="S67" i="187"/>
  <c r="S84" i="187"/>
  <c r="S96" i="187"/>
  <c r="S91" i="187"/>
  <c r="S103" i="187"/>
  <c r="S64" i="187"/>
  <c r="S86" i="187"/>
  <c r="S98" i="187"/>
  <c r="S88" i="187"/>
  <c r="S100" i="187"/>
  <c r="S93" i="187"/>
  <c r="S117" i="187"/>
  <c r="S129" i="187"/>
  <c r="S112" i="187"/>
  <c r="S124" i="187"/>
  <c r="S105" i="187"/>
  <c r="S107" i="187"/>
  <c r="S119" i="187"/>
  <c r="S131" i="187"/>
  <c r="S114" i="187"/>
  <c r="S126" i="187"/>
  <c r="S109" i="187"/>
  <c r="S121" i="187"/>
  <c r="S133" i="187"/>
  <c r="S116" i="187"/>
  <c r="S128" i="187"/>
  <c r="S82" i="187"/>
  <c r="S111" i="187"/>
  <c r="S123" i="187"/>
  <c r="S118" i="187"/>
  <c r="S130" i="187"/>
  <c r="S113" i="187"/>
  <c r="S125" i="187"/>
  <c r="S115" i="187"/>
  <c r="S127" i="187"/>
  <c r="S120" i="187"/>
  <c r="S144" i="187"/>
  <c r="S156" i="187"/>
  <c r="S139" i="187"/>
  <c r="S151" i="187"/>
  <c r="S132" i="187"/>
  <c r="S146" i="187"/>
  <c r="S158" i="187"/>
  <c r="S141" i="187"/>
  <c r="S153" i="187"/>
  <c r="S134" i="187"/>
  <c r="S136" i="187"/>
  <c r="S148" i="187"/>
  <c r="S160" i="187"/>
  <c r="S95" i="187"/>
  <c r="S143" i="187"/>
  <c r="S155" i="187"/>
  <c r="S138" i="187"/>
  <c r="S150" i="187"/>
  <c r="S145" i="187"/>
  <c r="S157" i="187"/>
  <c r="S140" i="187"/>
  <c r="S152" i="187"/>
  <c r="S135" i="187"/>
  <c r="S110" i="187"/>
  <c r="S164" i="187"/>
  <c r="S166" i="187"/>
  <c r="S168" i="187"/>
  <c r="S147" i="187"/>
  <c r="S122" i="187"/>
  <c r="S149" i="187"/>
  <c r="S163" i="187"/>
  <c r="S170" i="187"/>
  <c r="S3" i="187"/>
  <c r="S154" i="187"/>
  <c r="S165" i="187"/>
  <c r="S137" i="187"/>
  <c r="S161" i="187"/>
  <c r="S159" i="187"/>
  <c r="S167" i="187"/>
  <c r="S108" i="187"/>
  <c r="S142" i="187"/>
  <c r="S162" i="187"/>
  <c r="S169" i="187"/>
  <c r="S175" i="187"/>
  <c r="S171" i="187"/>
  <c r="S174" i="187"/>
  <c r="S173" i="187"/>
  <c r="S172" i="187"/>
  <c r="T1" i="187"/>
  <c r="T4" i="187" s="1"/>
  <c r="T4" i="184"/>
  <c r="T6" i="184"/>
  <c r="T5" i="184"/>
  <c r="T7" i="184"/>
  <c r="T8" i="184"/>
  <c r="T9" i="184"/>
  <c r="T10" i="184"/>
  <c r="AC10" i="189" l="1"/>
  <c r="AC22" i="189"/>
  <c r="AC34" i="189"/>
  <c r="AC5" i="189"/>
  <c r="AC17" i="189"/>
  <c r="AC29" i="189"/>
  <c r="AC12" i="189"/>
  <c r="AC24" i="189"/>
  <c r="AC36" i="189"/>
  <c r="AC7" i="189"/>
  <c r="AC19" i="189"/>
  <c r="AC31" i="189"/>
  <c r="AC14" i="189"/>
  <c r="AC26" i="189"/>
  <c r="AC9" i="189"/>
  <c r="AC21" i="189"/>
  <c r="AC33" i="189"/>
  <c r="AC32" i="189"/>
  <c r="AC38" i="189"/>
  <c r="AC50" i="189"/>
  <c r="AC15" i="189"/>
  <c r="AC45" i="189"/>
  <c r="AC16" i="189"/>
  <c r="AC40" i="189"/>
  <c r="AC52" i="189"/>
  <c r="AC23" i="189"/>
  <c r="AC47" i="189"/>
  <c r="AC6" i="189"/>
  <c r="AC30" i="189"/>
  <c r="AC42" i="189"/>
  <c r="AC13" i="189"/>
  <c r="AC37" i="189"/>
  <c r="AC49" i="189"/>
  <c r="AC28" i="189"/>
  <c r="AC46" i="189"/>
  <c r="AC41" i="189"/>
  <c r="AC58" i="189"/>
  <c r="AC70" i="189"/>
  <c r="AC65" i="189"/>
  <c r="AC44" i="189"/>
  <c r="AC60" i="189"/>
  <c r="AC72" i="189"/>
  <c r="AC43" i="189"/>
  <c r="AC55" i="189"/>
  <c r="AC67" i="189"/>
  <c r="AC8" i="189"/>
  <c r="AC25" i="189"/>
  <c r="AC27" i="189"/>
  <c r="AC62" i="189"/>
  <c r="AC53" i="189"/>
  <c r="AC57" i="189"/>
  <c r="AC69" i="189"/>
  <c r="AC11" i="189"/>
  <c r="AC66" i="189"/>
  <c r="AC71" i="189"/>
  <c r="AC76" i="189"/>
  <c r="AC88" i="189"/>
  <c r="AC51" i="189"/>
  <c r="AC59" i="189"/>
  <c r="AC83" i="189"/>
  <c r="AC78" i="189"/>
  <c r="AC90" i="189"/>
  <c r="AC61" i="189"/>
  <c r="AC73" i="189"/>
  <c r="AC85" i="189"/>
  <c r="AC35" i="189"/>
  <c r="AC80" i="189"/>
  <c r="AC92" i="189"/>
  <c r="AC64" i="189"/>
  <c r="AC75" i="189"/>
  <c r="AC87" i="189"/>
  <c r="AC84" i="189"/>
  <c r="AC39" i="189"/>
  <c r="AC48" i="189"/>
  <c r="AC54" i="189"/>
  <c r="AC79" i="189"/>
  <c r="AC91" i="189"/>
  <c r="AC68" i="189"/>
  <c r="AC74" i="189"/>
  <c r="AC86" i="189"/>
  <c r="AC63" i="189"/>
  <c r="AC101" i="189"/>
  <c r="AC113" i="189"/>
  <c r="AC89" i="189"/>
  <c r="AC96" i="189"/>
  <c r="AC108" i="189"/>
  <c r="AC56" i="189"/>
  <c r="AC103" i="189"/>
  <c r="AC115" i="189"/>
  <c r="AC98" i="189"/>
  <c r="AC110" i="189"/>
  <c r="AC77" i="189"/>
  <c r="AC93" i="189"/>
  <c r="AC105" i="189"/>
  <c r="AC20" i="189"/>
  <c r="AC97" i="189"/>
  <c r="AC109" i="189"/>
  <c r="AC104" i="189"/>
  <c r="AC116" i="189"/>
  <c r="AC99" i="189"/>
  <c r="AC111" i="189"/>
  <c r="AC112" i="189"/>
  <c r="AC121" i="189"/>
  <c r="AC133" i="189"/>
  <c r="AC18" i="189"/>
  <c r="AC128" i="189"/>
  <c r="AC123" i="189"/>
  <c r="AC135" i="189"/>
  <c r="AC118" i="189"/>
  <c r="AC130" i="189"/>
  <c r="AC125" i="189"/>
  <c r="AC137" i="189"/>
  <c r="AC95" i="189"/>
  <c r="AC120" i="189"/>
  <c r="AC132" i="189"/>
  <c r="AC102" i="189"/>
  <c r="AC127" i="189"/>
  <c r="AC100" i="189"/>
  <c r="AC117" i="189"/>
  <c r="AC129" i="189"/>
  <c r="AC82" i="189"/>
  <c r="AC107" i="189"/>
  <c r="AC124" i="189"/>
  <c r="AC136" i="189"/>
  <c r="AC81" i="189"/>
  <c r="AC94" i="189"/>
  <c r="AC134" i="189"/>
  <c r="AC144" i="189"/>
  <c r="AC156" i="189"/>
  <c r="AC131" i="189"/>
  <c r="AC139" i="189"/>
  <c r="AC151" i="189"/>
  <c r="AC163" i="189"/>
  <c r="AC146" i="189"/>
  <c r="AC158" i="189"/>
  <c r="AC122" i="189"/>
  <c r="AC138" i="189"/>
  <c r="AC141" i="189"/>
  <c r="AC153" i="189"/>
  <c r="AC114" i="189"/>
  <c r="AC119" i="189"/>
  <c r="AC148" i="189"/>
  <c r="AC143" i="189"/>
  <c r="AC155" i="189"/>
  <c r="AC106" i="189"/>
  <c r="AC140" i="189"/>
  <c r="AC152" i="189"/>
  <c r="AC147" i="189"/>
  <c r="AC159" i="189"/>
  <c r="AC142" i="189"/>
  <c r="AC154" i="189"/>
  <c r="AC166" i="189"/>
  <c r="AC160" i="189"/>
  <c r="AC145" i="189"/>
  <c r="AC167" i="189"/>
  <c r="AC126" i="189"/>
  <c r="AC149" i="189"/>
  <c r="AC168" i="189"/>
  <c r="AC162" i="189"/>
  <c r="AC157" i="189"/>
  <c r="AC170" i="189"/>
  <c r="AC161" i="189"/>
  <c r="AC165" i="189"/>
  <c r="AC164" i="189"/>
  <c r="AC3" i="189"/>
  <c r="AC150" i="189"/>
  <c r="AC169" i="189"/>
  <c r="AC172" i="189"/>
  <c r="AC173" i="189"/>
  <c r="AC175" i="189"/>
  <c r="AC171" i="189"/>
  <c r="AC174" i="189"/>
  <c r="AD1" i="189"/>
  <c r="AD4" i="189" s="1"/>
  <c r="T9" i="187"/>
  <c r="T11" i="187"/>
  <c r="T6" i="187"/>
  <c r="T10" i="187"/>
  <c r="T7" i="187"/>
  <c r="T19" i="187"/>
  <c r="T31" i="187"/>
  <c r="T14" i="187"/>
  <c r="T26" i="187"/>
  <c r="T8" i="187"/>
  <c r="T21" i="187"/>
  <c r="T33" i="187"/>
  <c r="T16" i="187"/>
  <c r="T28" i="187"/>
  <c r="T23" i="187"/>
  <c r="T18" i="187"/>
  <c r="T30" i="187"/>
  <c r="T13" i="187"/>
  <c r="T25" i="187"/>
  <c r="T5" i="187"/>
  <c r="T20" i="187"/>
  <c r="T32" i="187"/>
  <c r="T17" i="187"/>
  <c r="T29" i="187"/>
  <c r="T15" i="187"/>
  <c r="T41" i="187"/>
  <c r="T53" i="187"/>
  <c r="T36" i="187"/>
  <c r="T48" i="187"/>
  <c r="T12" i="187"/>
  <c r="T43" i="187"/>
  <c r="T55" i="187"/>
  <c r="T38" i="187"/>
  <c r="T50" i="187"/>
  <c r="T34" i="187"/>
  <c r="T45" i="187"/>
  <c r="T57" i="187"/>
  <c r="T40" i="187"/>
  <c r="T52" i="187"/>
  <c r="T47" i="187"/>
  <c r="T22" i="187"/>
  <c r="T35" i="187"/>
  <c r="T42" i="187"/>
  <c r="T54" i="187"/>
  <c r="T39" i="187"/>
  <c r="T51" i="187"/>
  <c r="T64" i="187"/>
  <c r="T76" i="187"/>
  <c r="T56" i="187"/>
  <c r="T59" i="187"/>
  <c r="T71" i="187"/>
  <c r="T66" i="187"/>
  <c r="T78" i="187"/>
  <c r="T61" i="187"/>
  <c r="T73" i="187"/>
  <c r="T44" i="187"/>
  <c r="T68" i="187"/>
  <c r="T24" i="187"/>
  <c r="T63" i="187"/>
  <c r="T75" i="187"/>
  <c r="T49" i="187"/>
  <c r="T70" i="187"/>
  <c r="T82" i="187"/>
  <c r="T65" i="187"/>
  <c r="T77" i="187"/>
  <c r="T27" i="187"/>
  <c r="T58" i="187"/>
  <c r="T62" i="187"/>
  <c r="T74" i="187"/>
  <c r="T46" i="187"/>
  <c r="T60" i="187"/>
  <c r="T80" i="187"/>
  <c r="T95" i="187"/>
  <c r="T90" i="187"/>
  <c r="T102" i="187"/>
  <c r="T85" i="187"/>
  <c r="T97" i="187"/>
  <c r="T81" i="187"/>
  <c r="T92" i="187"/>
  <c r="T104" i="187"/>
  <c r="T79" i="187"/>
  <c r="T83" i="187"/>
  <c r="T87" i="187"/>
  <c r="T99" i="187"/>
  <c r="T94" i="187"/>
  <c r="T106" i="187"/>
  <c r="T89" i="187"/>
  <c r="T101" i="187"/>
  <c r="T37" i="187"/>
  <c r="T67" i="187"/>
  <c r="T84" i="187"/>
  <c r="T96" i="187"/>
  <c r="T91" i="187"/>
  <c r="T103" i="187"/>
  <c r="T93" i="187"/>
  <c r="T105" i="187"/>
  <c r="T86" i="187"/>
  <c r="T110" i="187"/>
  <c r="T122" i="187"/>
  <c r="T100" i="187"/>
  <c r="T117" i="187"/>
  <c r="T129" i="187"/>
  <c r="T72" i="187"/>
  <c r="T98" i="187"/>
  <c r="T112" i="187"/>
  <c r="T124" i="187"/>
  <c r="T107" i="187"/>
  <c r="T119" i="187"/>
  <c r="T131" i="187"/>
  <c r="T114" i="187"/>
  <c r="T126" i="187"/>
  <c r="T109" i="187"/>
  <c r="T121" i="187"/>
  <c r="T133" i="187"/>
  <c r="T116" i="187"/>
  <c r="T128" i="187"/>
  <c r="T111" i="187"/>
  <c r="T123" i="187"/>
  <c r="T118" i="187"/>
  <c r="T130" i="187"/>
  <c r="T108" i="187"/>
  <c r="T120" i="187"/>
  <c r="T132" i="187"/>
  <c r="T113" i="187"/>
  <c r="T137" i="187"/>
  <c r="T149" i="187"/>
  <c r="T161" i="187"/>
  <c r="T127" i="187"/>
  <c r="T144" i="187"/>
  <c r="T156" i="187"/>
  <c r="T125" i="187"/>
  <c r="T139" i="187"/>
  <c r="T151" i="187"/>
  <c r="T69" i="187"/>
  <c r="T146" i="187"/>
  <c r="T158" i="187"/>
  <c r="T141" i="187"/>
  <c r="T153" i="187"/>
  <c r="T134" i="187"/>
  <c r="T136" i="187"/>
  <c r="T148" i="187"/>
  <c r="T160" i="187"/>
  <c r="T143" i="187"/>
  <c r="T155" i="187"/>
  <c r="T138" i="187"/>
  <c r="T150" i="187"/>
  <c r="T145" i="187"/>
  <c r="T157" i="187"/>
  <c r="T152" i="187"/>
  <c r="T166" i="187"/>
  <c r="T135" i="187"/>
  <c r="T88" i="187"/>
  <c r="T168" i="187"/>
  <c r="T140" i="187"/>
  <c r="T163" i="187"/>
  <c r="T170" i="187"/>
  <c r="T115" i="187"/>
  <c r="T154" i="187"/>
  <c r="T165" i="187"/>
  <c r="T169" i="187"/>
  <c r="T159" i="187"/>
  <c r="T167" i="187"/>
  <c r="T142" i="187"/>
  <c r="T162" i="187"/>
  <c r="T147" i="187"/>
  <c r="T164" i="187"/>
  <c r="T3" i="187"/>
  <c r="T53" i="184"/>
  <c r="T172" i="187"/>
  <c r="T175" i="187"/>
  <c r="T174" i="187"/>
  <c r="T171" i="187"/>
  <c r="T173" i="187"/>
  <c r="U1" i="187"/>
  <c r="U4" i="187" s="1"/>
  <c r="D1" i="185"/>
  <c r="AD15" i="189" l="1"/>
  <c r="AD27" i="189"/>
  <c r="AD10" i="189"/>
  <c r="AD22" i="189"/>
  <c r="AD34" i="189"/>
  <c r="AD5" i="189"/>
  <c r="AD17" i="189"/>
  <c r="AD29" i="189"/>
  <c r="AD12" i="189"/>
  <c r="AD24" i="189"/>
  <c r="AD36" i="189"/>
  <c r="AD7" i="189"/>
  <c r="AD19" i="189"/>
  <c r="AD31" i="189"/>
  <c r="AD14" i="189"/>
  <c r="AD26" i="189"/>
  <c r="AD9" i="189"/>
  <c r="AD25" i="189"/>
  <c r="AD43" i="189"/>
  <c r="AD32" i="189"/>
  <c r="AD38" i="189"/>
  <c r="AD50" i="189"/>
  <c r="AD33" i="189"/>
  <c r="AD45" i="189"/>
  <c r="AD16" i="189"/>
  <c r="AD40" i="189"/>
  <c r="AD52" i="189"/>
  <c r="AD23" i="189"/>
  <c r="AD47" i="189"/>
  <c r="AD6" i="189"/>
  <c r="AD30" i="189"/>
  <c r="AD42" i="189"/>
  <c r="AD54" i="189"/>
  <c r="AD8" i="189"/>
  <c r="AD21" i="189"/>
  <c r="AD39" i="189"/>
  <c r="AD63" i="189"/>
  <c r="AD41" i="189"/>
  <c r="AD58" i="189"/>
  <c r="AD70" i="189"/>
  <c r="AD65" i="189"/>
  <c r="AD44" i="189"/>
  <c r="AD60" i="189"/>
  <c r="AD72" i="189"/>
  <c r="AD55" i="189"/>
  <c r="AD67" i="189"/>
  <c r="AD46" i="189"/>
  <c r="AD62" i="189"/>
  <c r="AD35" i="189"/>
  <c r="AD37" i="189"/>
  <c r="AD48" i="189"/>
  <c r="AD59" i="189"/>
  <c r="AD71" i="189"/>
  <c r="AD11" i="189"/>
  <c r="AD20" i="189"/>
  <c r="AD56" i="189"/>
  <c r="AD81" i="189"/>
  <c r="AD76" i="189"/>
  <c r="AD88" i="189"/>
  <c r="AD49" i="189"/>
  <c r="AD51" i="189"/>
  <c r="AD53" i="189"/>
  <c r="AD83" i="189"/>
  <c r="AD78" i="189"/>
  <c r="AD90" i="189"/>
  <c r="AD61" i="189"/>
  <c r="AD73" i="189"/>
  <c r="AD85" i="189"/>
  <c r="AD13" i="189"/>
  <c r="AD80" i="189"/>
  <c r="AD92" i="189"/>
  <c r="AD66" i="189"/>
  <c r="AD77" i="189"/>
  <c r="AD89" i="189"/>
  <c r="AD84" i="189"/>
  <c r="AD28" i="189"/>
  <c r="AD69" i="189"/>
  <c r="AD79" i="189"/>
  <c r="AD91" i="189"/>
  <c r="AD75" i="189"/>
  <c r="AD94" i="189"/>
  <c r="AD106" i="189"/>
  <c r="AD101" i="189"/>
  <c r="AD113" i="189"/>
  <c r="AD86" i="189"/>
  <c r="AD96" i="189"/>
  <c r="AD108" i="189"/>
  <c r="AD64" i="189"/>
  <c r="AD103" i="189"/>
  <c r="AD115" i="189"/>
  <c r="AD98" i="189"/>
  <c r="AD110" i="189"/>
  <c r="AD102" i="189"/>
  <c r="AD114" i="189"/>
  <c r="AD87" i="189"/>
  <c r="AD97" i="189"/>
  <c r="AD109" i="189"/>
  <c r="AD104" i="189"/>
  <c r="AD116" i="189"/>
  <c r="AD74" i="189"/>
  <c r="AD105" i="189"/>
  <c r="AD126" i="189"/>
  <c r="AD138" i="189"/>
  <c r="AD112" i="189"/>
  <c r="AD121" i="189"/>
  <c r="AD133" i="189"/>
  <c r="AD18" i="189"/>
  <c r="AD128" i="189"/>
  <c r="AD111" i="189"/>
  <c r="AD123" i="189"/>
  <c r="AD135" i="189"/>
  <c r="AD57" i="189"/>
  <c r="AD68" i="189"/>
  <c r="AD118" i="189"/>
  <c r="AD130" i="189"/>
  <c r="AD125" i="189"/>
  <c r="AD95" i="189"/>
  <c r="AD120" i="189"/>
  <c r="AD132" i="189"/>
  <c r="AD93" i="189"/>
  <c r="AD122" i="189"/>
  <c r="AD134" i="189"/>
  <c r="AD100" i="189"/>
  <c r="AD117" i="189"/>
  <c r="AD129" i="189"/>
  <c r="AD149" i="189"/>
  <c r="AD161" i="189"/>
  <c r="AD82" i="189"/>
  <c r="AD144" i="189"/>
  <c r="AD156" i="189"/>
  <c r="AD99" i="189"/>
  <c r="AD131" i="189"/>
  <c r="AD139" i="189"/>
  <c r="AD151" i="189"/>
  <c r="AD163" i="189"/>
  <c r="AD146" i="189"/>
  <c r="AD158" i="189"/>
  <c r="AD137" i="189"/>
  <c r="AD141" i="189"/>
  <c r="AD153" i="189"/>
  <c r="AD119" i="189"/>
  <c r="AD148" i="189"/>
  <c r="AD160" i="189"/>
  <c r="AD145" i="189"/>
  <c r="AD157" i="189"/>
  <c r="AD140" i="189"/>
  <c r="AD152" i="189"/>
  <c r="AD107" i="189"/>
  <c r="AD147" i="189"/>
  <c r="AD159" i="189"/>
  <c r="AD155" i="189"/>
  <c r="AD165" i="189"/>
  <c r="AD166" i="189"/>
  <c r="AD3" i="189"/>
  <c r="AD127" i="189"/>
  <c r="AD143" i="189"/>
  <c r="AD168" i="189"/>
  <c r="AD162" i="189"/>
  <c r="AD154" i="189"/>
  <c r="AD170" i="189"/>
  <c r="AD142" i="189"/>
  <c r="AD167" i="189"/>
  <c r="AD124" i="189"/>
  <c r="AD150" i="189"/>
  <c r="AD169" i="189"/>
  <c r="AD164" i="189"/>
  <c r="AD136" i="189"/>
  <c r="AD173" i="189"/>
  <c r="AD174" i="189"/>
  <c r="AD172" i="189"/>
  <c r="AD171" i="189"/>
  <c r="AD175" i="189"/>
  <c r="AE1" i="189"/>
  <c r="AE4" i="189" s="1"/>
  <c r="D83" i="185"/>
  <c r="D84" i="185"/>
  <c r="D14" i="185"/>
  <c r="D26" i="185"/>
  <c r="D9" i="185"/>
  <c r="D21" i="185"/>
  <c r="D4" i="185"/>
  <c r="D16" i="185"/>
  <c r="D28" i="185"/>
  <c r="D11" i="185"/>
  <c r="D23" i="185"/>
  <c r="D3" i="185"/>
  <c r="D6" i="185"/>
  <c r="D18" i="185"/>
  <c r="D13" i="185"/>
  <c r="D25" i="185"/>
  <c r="D8" i="185"/>
  <c r="D20" i="185"/>
  <c r="D15" i="185"/>
  <c r="D27" i="185"/>
  <c r="D12" i="185"/>
  <c r="D24" i="185"/>
  <c r="D17" i="185"/>
  <c r="D22" i="185"/>
  <c r="D5" i="185"/>
  <c r="D19" i="185"/>
  <c r="D7" i="185"/>
  <c r="D10" i="185"/>
  <c r="U9" i="187"/>
  <c r="U11" i="187"/>
  <c r="U6" i="187"/>
  <c r="U8" i="187"/>
  <c r="U12" i="187"/>
  <c r="U24" i="187"/>
  <c r="U19" i="187"/>
  <c r="U31" i="187"/>
  <c r="U14" i="187"/>
  <c r="U26" i="187"/>
  <c r="U21" i="187"/>
  <c r="U33" i="187"/>
  <c r="U16" i="187"/>
  <c r="U28" i="187"/>
  <c r="U7" i="187"/>
  <c r="U23" i="187"/>
  <c r="U18" i="187"/>
  <c r="U30" i="187"/>
  <c r="U13" i="187"/>
  <c r="U25" i="187"/>
  <c r="U22" i="187"/>
  <c r="U34" i="187"/>
  <c r="U46" i="187"/>
  <c r="U58" i="187"/>
  <c r="U15" i="187"/>
  <c r="U41" i="187"/>
  <c r="U53" i="187"/>
  <c r="U29" i="187"/>
  <c r="U32" i="187"/>
  <c r="U36" i="187"/>
  <c r="U48" i="187"/>
  <c r="U5" i="187"/>
  <c r="U20" i="187"/>
  <c r="U43" i="187"/>
  <c r="U55" i="187"/>
  <c r="U38" i="187"/>
  <c r="U50" i="187"/>
  <c r="U10" i="187"/>
  <c r="U17" i="187"/>
  <c r="U45" i="187"/>
  <c r="U40" i="187"/>
  <c r="U52" i="187"/>
  <c r="U47" i="187"/>
  <c r="U27" i="187"/>
  <c r="U44" i="187"/>
  <c r="U56" i="187"/>
  <c r="U42" i="187"/>
  <c r="U69" i="187"/>
  <c r="U81" i="187"/>
  <c r="U64" i="187"/>
  <c r="U76" i="187"/>
  <c r="U39" i="187"/>
  <c r="U59" i="187"/>
  <c r="U71" i="187"/>
  <c r="U83" i="187"/>
  <c r="U66" i="187"/>
  <c r="U78" i="187"/>
  <c r="U61" i="187"/>
  <c r="U73" i="187"/>
  <c r="U68" i="187"/>
  <c r="U80" i="187"/>
  <c r="U35" i="187"/>
  <c r="U63" i="187"/>
  <c r="U75" i="187"/>
  <c r="U49" i="187"/>
  <c r="U70" i="187"/>
  <c r="U82" i="187"/>
  <c r="U37" i="187"/>
  <c r="U67" i="187"/>
  <c r="U79" i="187"/>
  <c r="U77" i="187"/>
  <c r="U88" i="187"/>
  <c r="U100" i="187"/>
  <c r="U60" i="187"/>
  <c r="U95" i="187"/>
  <c r="U74" i="187"/>
  <c r="U90" i="187"/>
  <c r="U102" i="187"/>
  <c r="U65" i="187"/>
  <c r="U85" i="187"/>
  <c r="U97" i="187"/>
  <c r="U54" i="187"/>
  <c r="U92" i="187"/>
  <c r="U104" i="187"/>
  <c r="U62" i="187"/>
  <c r="U87" i="187"/>
  <c r="U99" i="187"/>
  <c r="U94" i="187"/>
  <c r="U106" i="187"/>
  <c r="U89" i="187"/>
  <c r="U101" i="187"/>
  <c r="U84" i="187"/>
  <c r="U96" i="187"/>
  <c r="U57" i="187"/>
  <c r="U72" i="187"/>
  <c r="U86" i="187"/>
  <c r="U98" i="187"/>
  <c r="U115" i="187"/>
  <c r="U127" i="187"/>
  <c r="U93" i="187"/>
  <c r="U110" i="187"/>
  <c r="U122" i="187"/>
  <c r="U91" i="187"/>
  <c r="U117" i="187"/>
  <c r="U129" i="187"/>
  <c r="U105" i="187"/>
  <c r="U112" i="187"/>
  <c r="U124" i="187"/>
  <c r="U103" i="187"/>
  <c r="U107" i="187"/>
  <c r="U119" i="187"/>
  <c r="U131" i="187"/>
  <c r="U114" i="187"/>
  <c r="U126" i="187"/>
  <c r="U109" i="187"/>
  <c r="U121" i="187"/>
  <c r="U133" i="187"/>
  <c r="U51" i="187"/>
  <c r="U116" i="187"/>
  <c r="U128" i="187"/>
  <c r="U111" i="187"/>
  <c r="U123" i="187"/>
  <c r="U113" i="187"/>
  <c r="U125" i="187"/>
  <c r="U142" i="187"/>
  <c r="U154" i="187"/>
  <c r="U120" i="187"/>
  <c r="U137" i="187"/>
  <c r="U149" i="187"/>
  <c r="U161" i="187"/>
  <c r="U118" i="187"/>
  <c r="U144" i="187"/>
  <c r="U156" i="187"/>
  <c r="U132" i="187"/>
  <c r="U139" i="187"/>
  <c r="U151" i="187"/>
  <c r="U130" i="187"/>
  <c r="U146" i="187"/>
  <c r="U158" i="187"/>
  <c r="U141" i="187"/>
  <c r="U153" i="187"/>
  <c r="U134" i="187"/>
  <c r="U136" i="187"/>
  <c r="U148" i="187"/>
  <c r="U160" i="187"/>
  <c r="U143" i="187"/>
  <c r="U155" i="187"/>
  <c r="U138" i="187"/>
  <c r="U150" i="187"/>
  <c r="U152" i="187"/>
  <c r="U166" i="187"/>
  <c r="U135" i="187"/>
  <c r="U162" i="187"/>
  <c r="U157" i="187"/>
  <c r="U168" i="187"/>
  <c r="U140" i="187"/>
  <c r="U163" i="187"/>
  <c r="U170" i="187"/>
  <c r="U145" i="187"/>
  <c r="U165" i="187"/>
  <c r="U3" i="187"/>
  <c r="U108" i="187"/>
  <c r="U159" i="187"/>
  <c r="U167" i="187"/>
  <c r="U169" i="187"/>
  <c r="U147" i="187"/>
  <c r="U164" i="187"/>
  <c r="U173" i="187"/>
  <c r="U171" i="187"/>
  <c r="U175" i="187"/>
  <c r="U172" i="187"/>
  <c r="U174" i="187"/>
  <c r="V1" i="187"/>
  <c r="V4" i="187" s="1"/>
  <c r="D101" i="185"/>
  <c r="D103" i="185"/>
  <c r="D102" i="185"/>
  <c r="D100" i="185"/>
  <c r="D162" i="185"/>
  <c r="D122" i="185"/>
  <c r="D151" i="185"/>
  <c r="D144" i="185"/>
  <c r="D120" i="185"/>
  <c r="D160" i="185"/>
  <c r="D142" i="185"/>
  <c r="D97" i="185"/>
  <c r="D173" i="185"/>
  <c r="D150" i="185"/>
  <c r="D127" i="185"/>
  <c r="D112" i="185"/>
  <c r="D113" i="185"/>
  <c r="D149" i="185"/>
  <c r="D126" i="185"/>
  <c r="D169" i="185"/>
  <c r="D148" i="185"/>
  <c r="D125" i="185"/>
  <c r="D107" i="185"/>
  <c r="D167" i="185"/>
  <c r="D147" i="185"/>
  <c r="D124" i="185"/>
  <c r="D99" i="185"/>
  <c r="D131" i="185"/>
  <c r="D171" i="185"/>
  <c r="D111" i="185"/>
  <c r="D163" i="185"/>
  <c r="D146" i="185"/>
  <c r="D123" i="185"/>
  <c r="D98" i="185"/>
  <c r="D96" i="185"/>
  <c r="D159" i="185"/>
  <c r="D139" i="185"/>
  <c r="D119" i="185"/>
  <c r="D92" i="185"/>
  <c r="D158" i="185"/>
  <c r="D138" i="185"/>
  <c r="D118" i="185"/>
  <c r="D46" i="185"/>
  <c r="D155" i="185"/>
  <c r="D137" i="185"/>
  <c r="D116" i="185"/>
  <c r="D44" i="185"/>
  <c r="D152" i="185"/>
  <c r="D136" i="185"/>
  <c r="D115" i="185"/>
  <c r="D43" i="185"/>
  <c r="D36" i="185"/>
  <c r="D33" i="185"/>
  <c r="D29" i="185"/>
  <c r="D39" i="185"/>
  <c r="D45" i="185"/>
  <c r="D57" i="185"/>
  <c r="D69" i="185"/>
  <c r="D34" i="185"/>
  <c r="D41" i="185"/>
  <c r="D49" i="185"/>
  <c r="D61" i="185"/>
  <c r="D73" i="185"/>
  <c r="D51" i="185"/>
  <c r="D64" i="185"/>
  <c r="D77" i="185"/>
  <c r="D86" i="185"/>
  <c r="D30" i="185"/>
  <c r="D53" i="185"/>
  <c r="D66" i="185"/>
  <c r="D79" i="185"/>
  <c r="D90" i="185"/>
  <c r="D32" i="185"/>
  <c r="D50" i="185"/>
  <c r="D47" i="185"/>
  <c r="D52" i="185"/>
  <c r="D71" i="185"/>
  <c r="D76" i="185"/>
  <c r="D81" i="185"/>
  <c r="D105" i="185"/>
  <c r="D117" i="185"/>
  <c r="D129" i="185"/>
  <c r="D141" i="185"/>
  <c r="D153" i="185"/>
  <c r="D165" i="185"/>
  <c r="D55" i="185"/>
  <c r="D94" i="185"/>
  <c r="D109" i="185"/>
  <c r="D121" i="185"/>
  <c r="D133" i="185"/>
  <c r="D145" i="185"/>
  <c r="D157" i="185"/>
  <c r="D63" i="185"/>
  <c r="D65" i="185"/>
  <c r="D67" i="185"/>
  <c r="D37" i="185"/>
  <c r="D38" i="185"/>
  <c r="D40" i="185"/>
  <c r="D58" i="185"/>
  <c r="D70" i="185"/>
  <c r="D72" i="185"/>
  <c r="D31" i="185"/>
  <c r="D48" i="185"/>
  <c r="D62" i="185"/>
  <c r="D108" i="185"/>
  <c r="D128" i="185"/>
  <c r="D134" i="185"/>
  <c r="D154" i="185"/>
  <c r="D60" i="185"/>
  <c r="D75" i="185"/>
  <c r="D87" i="185"/>
  <c r="D104" i="185"/>
  <c r="D110" i="185"/>
  <c r="D130" i="185"/>
  <c r="D143" i="185"/>
  <c r="D156" i="185"/>
  <c r="D82" i="185"/>
  <c r="D89" i="185"/>
  <c r="D93" i="185"/>
  <c r="D54" i="185"/>
  <c r="D59" i="185"/>
  <c r="D88" i="185"/>
  <c r="D80" i="185"/>
  <c r="D95" i="185"/>
  <c r="D132" i="185"/>
  <c r="D161" i="185"/>
  <c r="D166" i="185"/>
  <c r="D168" i="185"/>
  <c r="D172" i="185"/>
  <c r="D174" i="185"/>
  <c r="D42" i="185"/>
  <c r="D56" i="185"/>
  <c r="D68" i="185"/>
  <c r="D74" i="185"/>
  <c r="D78" i="185"/>
  <c r="D85" i="185"/>
  <c r="D91" i="185"/>
  <c r="D106" i="185"/>
  <c r="D135" i="185"/>
  <c r="D140" i="185"/>
  <c r="D164" i="185"/>
  <c r="D170" i="185"/>
  <c r="D114" i="185"/>
  <c r="D35" i="185"/>
  <c r="E1" i="185"/>
  <c r="AE8" i="189" l="1"/>
  <c r="AE20" i="189"/>
  <c r="AE32" i="189"/>
  <c r="AE15" i="189"/>
  <c r="AE27" i="189"/>
  <c r="AE10" i="189"/>
  <c r="AE22" i="189"/>
  <c r="AE34" i="189"/>
  <c r="AE5" i="189"/>
  <c r="AE17" i="189"/>
  <c r="AE29" i="189"/>
  <c r="AE12" i="189"/>
  <c r="AE24" i="189"/>
  <c r="AE36" i="189"/>
  <c r="AE7" i="189"/>
  <c r="AE19" i="189"/>
  <c r="AE31" i="189"/>
  <c r="AE18" i="189"/>
  <c r="AE48" i="189"/>
  <c r="AE25" i="189"/>
  <c r="AE43" i="189"/>
  <c r="AE26" i="189"/>
  <c r="AE38" i="189"/>
  <c r="AE50" i="189"/>
  <c r="AE33" i="189"/>
  <c r="AE45" i="189"/>
  <c r="AE16" i="189"/>
  <c r="AE40" i="189"/>
  <c r="AE52" i="189"/>
  <c r="AE23" i="189"/>
  <c r="AE47" i="189"/>
  <c r="AE14" i="189"/>
  <c r="AE44" i="189"/>
  <c r="AE56" i="189"/>
  <c r="AE68" i="189"/>
  <c r="AE21" i="189"/>
  <c r="AE42" i="189"/>
  <c r="AE63" i="189"/>
  <c r="AE41" i="189"/>
  <c r="AE58" i="189"/>
  <c r="AE70" i="189"/>
  <c r="AE65" i="189"/>
  <c r="AE60" i="189"/>
  <c r="AE72" i="189"/>
  <c r="AE6" i="189"/>
  <c r="AE55" i="189"/>
  <c r="AE67" i="189"/>
  <c r="AE49" i="189"/>
  <c r="AE64" i="189"/>
  <c r="AE57" i="189"/>
  <c r="AE74" i="189"/>
  <c r="AE86" i="189"/>
  <c r="AE11" i="189"/>
  <c r="AE71" i="189"/>
  <c r="AE81" i="189"/>
  <c r="AE59" i="189"/>
  <c r="AE76" i="189"/>
  <c r="AE88" i="189"/>
  <c r="AE51" i="189"/>
  <c r="AE53" i="189"/>
  <c r="AE83" i="189"/>
  <c r="AE30" i="189"/>
  <c r="AE62" i="189"/>
  <c r="AE78" i="189"/>
  <c r="AE90" i="189"/>
  <c r="AE35" i="189"/>
  <c r="AE61" i="189"/>
  <c r="AE73" i="189"/>
  <c r="AE85" i="189"/>
  <c r="AE82" i="189"/>
  <c r="AE66" i="189"/>
  <c r="AE77" i="189"/>
  <c r="AE89" i="189"/>
  <c r="AE37" i="189"/>
  <c r="AE39" i="189"/>
  <c r="AE46" i="189"/>
  <c r="AE54" i="189"/>
  <c r="AE84" i="189"/>
  <c r="AE92" i="189"/>
  <c r="AE99" i="189"/>
  <c r="AE111" i="189"/>
  <c r="AE9" i="189"/>
  <c r="AE75" i="189"/>
  <c r="AE94" i="189"/>
  <c r="AE106" i="189"/>
  <c r="AE28" i="189"/>
  <c r="AE101" i="189"/>
  <c r="AE113" i="189"/>
  <c r="AE13" i="189"/>
  <c r="AE80" i="189"/>
  <c r="AE96" i="189"/>
  <c r="AE108" i="189"/>
  <c r="AE103" i="189"/>
  <c r="AE115" i="189"/>
  <c r="AE69" i="189"/>
  <c r="AE79" i="189"/>
  <c r="AE95" i="189"/>
  <c r="AE107" i="189"/>
  <c r="AE102" i="189"/>
  <c r="AE114" i="189"/>
  <c r="AE87" i="189"/>
  <c r="AE97" i="189"/>
  <c r="AE109" i="189"/>
  <c r="AE98" i="189"/>
  <c r="AE119" i="189"/>
  <c r="AE131" i="189"/>
  <c r="AE105" i="189"/>
  <c r="AE126" i="189"/>
  <c r="AE138" i="189"/>
  <c r="AE112" i="189"/>
  <c r="AE121" i="189"/>
  <c r="AE133" i="189"/>
  <c r="AE104" i="189"/>
  <c r="AE128" i="189"/>
  <c r="AE110" i="189"/>
  <c r="AE123" i="189"/>
  <c r="AE135" i="189"/>
  <c r="AE118" i="189"/>
  <c r="AE130" i="189"/>
  <c r="AE125" i="189"/>
  <c r="AE137" i="189"/>
  <c r="AE91" i="189"/>
  <c r="AE127" i="189"/>
  <c r="AE93" i="189"/>
  <c r="AE122" i="189"/>
  <c r="AE134" i="189"/>
  <c r="AE120" i="189"/>
  <c r="AE142" i="189"/>
  <c r="AE154" i="189"/>
  <c r="AE117" i="189"/>
  <c r="AE149" i="189"/>
  <c r="AE161" i="189"/>
  <c r="AE144" i="189"/>
  <c r="AE156" i="189"/>
  <c r="AE139" i="189"/>
  <c r="AE151" i="189"/>
  <c r="AE100" i="189"/>
  <c r="AE146" i="189"/>
  <c r="AE158" i="189"/>
  <c r="AE141" i="189"/>
  <c r="AE153" i="189"/>
  <c r="AE124" i="189"/>
  <c r="AE150" i="189"/>
  <c r="AE162" i="189"/>
  <c r="AE116" i="189"/>
  <c r="AE132" i="189"/>
  <c r="AE145" i="189"/>
  <c r="AE157" i="189"/>
  <c r="AE129" i="189"/>
  <c r="AE140" i="189"/>
  <c r="AE152" i="189"/>
  <c r="AE164" i="189"/>
  <c r="AE3" i="189"/>
  <c r="AE148" i="189"/>
  <c r="AE155" i="189"/>
  <c r="AE170" i="189"/>
  <c r="AE166" i="189"/>
  <c r="AE165" i="189"/>
  <c r="AE160" i="189"/>
  <c r="AE169" i="189"/>
  <c r="AE143" i="189"/>
  <c r="AE168" i="189"/>
  <c r="AE163" i="189"/>
  <c r="AE136" i="189"/>
  <c r="AE147" i="189"/>
  <c r="AE159" i="189"/>
  <c r="AE167" i="189"/>
  <c r="AE174" i="189"/>
  <c r="AE175" i="189"/>
  <c r="AE171" i="189"/>
  <c r="AE172" i="189"/>
  <c r="AE173" i="189"/>
  <c r="AF1" i="189"/>
  <c r="AF4" i="189" s="1"/>
  <c r="V7" i="187"/>
  <c r="V9" i="187"/>
  <c r="V11" i="187"/>
  <c r="V8" i="187"/>
  <c r="V5" i="187"/>
  <c r="V10" i="187"/>
  <c r="V17" i="187"/>
  <c r="V29" i="187"/>
  <c r="V12" i="187"/>
  <c r="V24" i="187"/>
  <c r="V19" i="187"/>
  <c r="V31" i="187"/>
  <c r="V14" i="187"/>
  <c r="V26" i="187"/>
  <c r="V21" i="187"/>
  <c r="V16" i="187"/>
  <c r="V28" i="187"/>
  <c r="V6" i="187"/>
  <c r="V23" i="187"/>
  <c r="V18" i="187"/>
  <c r="V30" i="187"/>
  <c r="V15" i="187"/>
  <c r="V27" i="187"/>
  <c r="V39" i="187"/>
  <c r="V51" i="187"/>
  <c r="V46" i="187"/>
  <c r="V58" i="187"/>
  <c r="V41" i="187"/>
  <c r="V53" i="187"/>
  <c r="V32" i="187"/>
  <c r="V33" i="187"/>
  <c r="V36" i="187"/>
  <c r="V48" i="187"/>
  <c r="V20" i="187"/>
  <c r="V43" i="187"/>
  <c r="V55" i="187"/>
  <c r="V34" i="187"/>
  <c r="V38" i="187"/>
  <c r="V50" i="187"/>
  <c r="V25" i="187"/>
  <c r="V45" i="187"/>
  <c r="V57" i="187"/>
  <c r="V40" i="187"/>
  <c r="V52" i="187"/>
  <c r="V37" i="187"/>
  <c r="V49" i="187"/>
  <c r="V22" i="187"/>
  <c r="V62" i="187"/>
  <c r="V74" i="187"/>
  <c r="V42" i="187"/>
  <c r="V69" i="187"/>
  <c r="V56" i="187"/>
  <c r="V64" i="187"/>
  <c r="V76" i="187"/>
  <c r="V47" i="187"/>
  <c r="V59" i="187"/>
  <c r="V71" i="187"/>
  <c r="V66" i="187"/>
  <c r="V78" i="187"/>
  <c r="V44" i="187"/>
  <c r="V61" i="187"/>
  <c r="V73" i="187"/>
  <c r="V68" i="187"/>
  <c r="V80" i="187"/>
  <c r="V13" i="187"/>
  <c r="V35" i="187"/>
  <c r="V63" i="187"/>
  <c r="V75" i="187"/>
  <c r="V54" i="187"/>
  <c r="V60" i="187"/>
  <c r="V72" i="187"/>
  <c r="V93" i="187"/>
  <c r="V105" i="187"/>
  <c r="V77" i="187"/>
  <c r="V88" i="187"/>
  <c r="V100" i="187"/>
  <c r="V95" i="187"/>
  <c r="V90" i="187"/>
  <c r="V102" i="187"/>
  <c r="V65" i="187"/>
  <c r="V81" i="187"/>
  <c r="V85" i="187"/>
  <c r="V97" i="187"/>
  <c r="V79" i="187"/>
  <c r="V83" i="187"/>
  <c r="V92" i="187"/>
  <c r="V104" i="187"/>
  <c r="V70" i="187"/>
  <c r="V87" i="187"/>
  <c r="V99" i="187"/>
  <c r="V94" i="187"/>
  <c r="V106" i="187"/>
  <c r="V67" i="187"/>
  <c r="V89" i="187"/>
  <c r="V101" i="187"/>
  <c r="V82" i="187"/>
  <c r="V91" i="187"/>
  <c r="V103" i="187"/>
  <c r="V108" i="187"/>
  <c r="V120" i="187"/>
  <c r="V132" i="187"/>
  <c r="V86" i="187"/>
  <c r="V115" i="187"/>
  <c r="V127" i="187"/>
  <c r="V84" i="187"/>
  <c r="V110" i="187"/>
  <c r="V122" i="187"/>
  <c r="V98" i="187"/>
  <c r="V117" i="187"/>
  <c r="V129" i="187"/>
  <c r="V96" i="187"/>
  <c r="V112" i="187"/>
  <c r="V124" i="187"/>
  <c r="V107" i="187"/>
  <c r="V119" i="187"/>
  <c r="V131" i="187"/>
  <c r="V114" i="187"/>
  <c r="V126" i="187"/>
  <c r="V109" i="187"/>
  <c r="V121" i="187"/>
  <c r="V133" i="187"/>
  <c r="V116" i="187"/>
  <c r="V128" i="187"/>
  <c r="V118" i="187"/>
  <c r="V130" i="187"/>
  <c r="V135" i="187"/>
  <c r="V147" i="187"/>
  <c r="V159" i="187"/>
  <c r="V113" i="187"/>
  <c r="V142" i="187"/>
  <c r="V154" i="187"/>
  <c r="V111" i="187"/>
  <c r="V137" i="187"/>
  <c r="V149" i="187"/>
  <c r="V161" i="187"/>
  <c r="V125" i="187"/>
  <c r="V144" i="187"/>
  <c r="V156" i="187"/>
  <c r="V123" i="187"/>
  <c r="V139" i="187"/>
  <c r="V151" i="187"/>
  <c r="V146" i="187"/>
  <c r="V158" i="187"/>
  <c r="V141" i="187"/>
  <c r="V153" i="187"/>
  <c r="V134" i="187"/>
  <c r="V136" i="187"/>
  <c r="V148" i="187"/>
  <c r="V160" i="187"/>
  <c r="V143" i="187"/>
  <c r="V155" i="187"/>
  <c r="V138" i="187"/>
  <c r="V164" i="187"/>
  <c r="V3" i="187"/>
  <c r="V150" i="187"/>
  <c r="V152" i="187"/>
  <c r="V166" i="187"/>
  <c r="V167" i="187"/>
  <c r="V157" i="187"/>
  <c r="V168" i="187"/>
  <c r="V140" i="187"/>
  <c r="V163" i="187"/>
  <c r="V170" i="187"/>
  <c r="V145" i="187"/>
  <c r="V165" i="187"/>
  <c r="V162" i="187"/>
  <c r="V169" i="187"/>
  <c r="E83" i="185"/>
  <c r="E84" i="185"/>
  <c r="E7" i="185"/>
  <c r="E19" i="185"/>
  <c r="E14" i="185"/>
  <c r="E26" i="185"/>
  <c r="E9" i="185"/>
  <c r="E21" i="185"/>
  <c r="E4" i="185"/>
  <c r="E16" i="185"/>
  <c r="E28" i="185"/>
  <c r="E11" i="185"/>
  <c r="E23" i="185"/>
  <c r="E6" i="185"/>
  <c r="E18" i="185"/>
  <c r="E13" i="185"/>
  <c r="E25" i="185"/>
  <c r="E8" i="185"/>
  <c r="E20" i="185"/>
  <c r="E5" i="185"/>
  <c r="E17" i="185"/>
  <c r="E15" i="185"/>
  <c r="E12" i="185"/>
  <c r="E3" i="185"/>
  <c r="E22" i="185"/>
  <c r="E10" i="185"/>
  <c r="E24" i="185"/>
  <c r="E27" i="185"/>
  <c r="V174" i="187"/>
  <c r="V172" i="187"/>
  <c r="V171" i="187"/>
  <c r="V173" i="187"/>
  <c r="V175" i="187"/>
  <c r="W1" i="187"/>
  <c r="W4" i="187" s="1"/>
  <c r="E101" i="185"/>
  <c r="E102" i="185"/>
  <c r="E103" i="185"/>
  <c r="E100" i="185"/>
  <c r="E29" i="185"/>
  <c r="E40" i="185"/>
  <c r="E31" i="185"/>
  <c r="E50" i="185"/>
  <c r="E62" i="185"/>
  <c r="E74" i="185"/>
  <c r="E54" i="185"/>
  <c r="E66" i="185"/>
  <c r="E78" i="185"/>
  <c r="E44" i="185"/>
  <c r="E57" i="185"/>
  <c r="E70" i="185"/>
  <c r="E91" i="185"/>
  <c r="E46" i="185"/>
  <c r="E59" i="185"/>
  <c r="E72" i="185"/>
  <c r="E82" i="185"/>
  <c r="E36" i="185"/>
  <c r="E45" i="185"/>
  <c r="E55" i="185"/>
  <c r="E30" i="185"/>
  <c r="E34" i="185"/>
  <c r="E43" i="185"/>
  <c r="E47" i="185"/>
  <c r="E52" i="185"/>
  <c r="E88" i="185"/>
  <c r="E95" i="185"/>
  <c r="E110" i="185"/>
  <c r="E122" i="185"/>
  <c r="E134" i="185"/>
  <c r="E146" i="185"/>
  <c r="E158" i="185"/>
  <c r="E60" i="185"/>
  <c r="E65" i="185"/>
  <c r="E99" i="185"/>
  <c r="E114" i="185"/>
  <c r="E126" i="185"/>
  <c r="E138" i="185"/>
  <c r="E150" i="185"/>
  <c r="E162" i="185"/>
  <c r="E69" i="185"/>
  <c r="E71" i="185"/>
  <c r="E75" i="185"/>
  <c r="E77" i="185"/>
  <c r="E81" i="185"/>
  <c r="E39" i="185"/>
  <c r="E41" i="185"/>
  <c r="E42" i="185"/>
  <c r="E64" i="185"/>
  <c r="E68" i="185"/>
  <c r="E76" i="185"/>
  <c r="E37" i="185"/>
  <c r="E38" i="185"/>
  <c r="E53" i="185"/>
  <c r="E58" i="185"/>
  <c r="E89" i="185"/>
  <c r="E98" i="185"/>
  <c r="E121" i="185"/>
  <c r="E127" i="185"/>
  <c r="E147" i="185"/>
  <c r="E160" i="185"/>
  <c r="E35" i="185"/>
  <c r="E73" i="185"/>
  <c r="E79" i="185"/>
  <c r="E92" i="185"/>
  <c r="E94" i="185"/>
  <c r="E123" i="185"/>
  <c r="E136" i="185"/>
  <c r="E149" i="185"/>
  <c r="E169" i="185"/>
  <c r="E85" i="185"/>
  <c r="E87" i="185"/>
  <c r="E93" i="185"/>
  <c r="E86" i="185"/>
  <c r="E90" i="185"/>
  <c r="E32" i="185"/>
  <c r="E108" i="185"/>
  <c r="E113" i="185"/>
  <c r="E137" i="185"/>
  <c r="E142" i="185"/>
  <c r="E63" i="185"/>
  <c r="E67" i="185"/>
  <c r="E80" i="185"/>
  <c r="E111" i="185"/>
  <c r="E116" i="185"/>
  <c r="E145" i="185"/>
  <c r="E155" i="185"/>
  <c r="E48" i="185"/>
  <c r="E96" i="185"/>
  <c r="E51" i="185"/>
  <c r="E56" i="185"/>
  <c r="E61" i="185"/>
  <c r="E49" i="185"/>
  <c r="E164" i="185"/>
  <c r="E170" i="185"/>
  <c r="E154" i="185"/>
  <c r="E156" i="185"/>
  <c r="E106" i="185"/>
  <c r="E112" i="185"/>
  <c r="E118" i="185"/>
  <c r="E120" i="185"/>
  <c r="E33" i="185"/>
  <c r="E168" i="185"/>
  <c r="E97" i="185"/>
  <c r="E104" i="185"/>
  <c r="E117" i="185"/>
  <c r="E125" i="185"/>
  <c r="E133" i="185"/>
  <c r="E124" i="185"/>
  <c r="E130" i="185"/>
  <c r="E105" i="185"/>
  <c r="E107" i="185"/>
  <c r="E115" i="185"/>
  <c r="E129" i="185"/>
  <c r="E109" i="185"/>
  <c r="E119" i="185"/>
  <c r="E144" i="185"/>
  <c r="E151" i="185"/>
  <c r="E159" i="185"/>
  <c r="E165" i="185"/>
  <c r="E173" i="185"/>
  <c r="E135" i="185"/>
  <c r="E128" i="185"/>
  <c r="E163" i="185"/>
  <c r="E174" i="185"/>
  <c r="E148" i="185"/>
  <c r="E141" i="185"/>
  <c r="E139" i="185"/>
  <c r="E143" i="185"/>
  <c r="E157" i="185"/>
  <c r="E131" i="185"/>
  <c r="E153" i="185"/>
  <c r="E161" i="185"/>
  <c r="E167" i="185"/>
  <c r="E140" i="185"/>
  <c r="E152" i="185"/>
  <c r="E171" i="185"/>
  <c r="E132" i="185"/>
  <c r="E166" i="185"/>
  <c r="E172" i="185"/>
  <c r="F1" i="185"/>
  <c r="B57" i="184"/>
  <c r="AF13" i="189" l="1"/>
  <c r="AF25" i="189"/>
  <c r="AF8" i="189"/>
  <c r="AF20" i="189"/>
  <c r="AF32" i="189"/>
  <c r="AF15" i="189"/>
  <c r="AF27" i="189"/>
  <c r="AF10" i="189"/>
  <c r="AF22" i="189"/>
  <c r="AF34" i="189"/>
  <c r="AF5" i="189"/>
  <c r="AF17" i="189"/>
  <c r="AF29" i="189"/>
  <c r="AF12" i="189"/>
  <c r="AF24" i="189"/>
  <c r="AF36" i="189"/>
  <c r="AF7" i="189"/>
  <c r="AF11" i="189"/>
  <c r="AF35" i="189"/>
  <c r="AF41" i="189"/>
  <c r="AF53" i="189"/>
  <c r="AF18" i="189"/>
  <c r="AF48" i="189"/>
  <c r="AF19" i="189"/>
  <c r="AF43" i="189"/>
  <c r="AF26" i="189"/>
  <c r="AF38" i="189"/>
  <c r="AF50" i="189"/>
  <c r="AF33" i="189"/>
  <c r="AF45" i="189"/>
  <c r="AF16" i="189"/>
  <c r="AF40" i="189"/>
  <c r="AF52" i="189"/>
  <c r="AF9" i="189"/>
  <c r="AF31" i="189"/>
  <c r="AF37" i="189"/>
  <c r="AF49" i="189"/>
  <c r="AF28" i="189"/>
  <c r="AF30" i="189"/>
  <c r="AF39" i="189"/>
  <c r="AF51" i="189"/>
  <c r="AF61" i="189"/>
  <c r="AF56" i="189"/>
  <c r="AF68" i="189"/>
  <c r="AF21" i="189"/>
  <c r="AF23" i="189"/>
  <c r="AF42" i="189"/>
  <c r="AF63" i="189"/>
  <c r="AF58" i="189"/>
  <c r="AF70" i="189"/>
  <c r="AF14" i="189"/>
  <c r="AF44" i="189"/>
  <c r="AF65" i="189"/>
  <c r="AF60" i="189"/>
  <c r="AF72" i="189"/>
  <c r="AF57" i="189"/>
  <c r="AF69" i="189"/>
  <c r="AF6" i="189"/>
  <c r="AF79" i="189"/>
  <c r="AF91" i="189"/>
  <c r="AF74" i="189"/>
  <c r="AF86" i="189"/>
  <c r="AF71" i="189"/>
  <c r="AF81" i="189"/>
  <c r="AF47" i="189"/>
  <c r="AF59" i="189"/>
  <c r="AF76" i="189"/>
  <c r="AF88" i="189"/>
  <c r="AF83" i="189"/>
  <c r="AF62" i="189"/>
  <c r="AF78" i="189"/>
  <c r="AF90" i="189"/>
  <c r="AF75" i="189"/>
  <c r="AF87" i="189"/>
  <c r="AF67" i="189"/>
  <c r="AF82" i="189"/>
  <c r="AF55" i="189"/>
  <c r="AF66" i="189"/>
  <c r="AF77" i="189"/>
  <c r="AF89" i="189"/>
  <c r="AF104" i="189"/>
  <c r="AF116" i="189"/>
  <c r="AF92" i="189"/>
  <c r="AF99" i="189"/>
  <c r="AF111" i="189"/>
  <c r="AF94" i="189"/>
  <c r="AF106" i="189"/>
  <c r="AF101" i="189"/>
  <c r="AF113" i="189"/>
  <c r="AF64" i="189"/>
  <c r="AF80" i="189"/>
  <c r="AF96" i="189"/>
  <c r="AF108" i="189"/>
  <c r="AF46" i="189"/>
  <c r="AF54" i="189"/>
  <c r="AF100" i="189"/>
  <c r="AF112" i="189"/>
  <c r="AF73" i="189"/>
  <c r="AF95" i="189"/>
  <c r="AF107" i="189"/>
  <c r="AF102" i="189"/>
  <c r="AF114" i="189"/>
  <c r="AF124" i="189"/>
  <c r="AF136" i="189"/>
  <c r="AF98" i="189"/>
  <c r="AF119" i="189"/>
  <c r="AF131" i="189"/>
  <c r="AF105" i="189"/>
  <c r="AF126" i="189"/>
  <c r="AF138" i="189"/>
  <c r="AF84" i="189"/>
  <c r="AF97" i="189"/>
  <c r="AF121" i="189"/>
  <c r="AF133" i="189"/>
  <c r="AF103" i="189"/>
  <c r="AF128" i="189"/>
  <c r="AF85" i="189"/>
  <c r="AF110" i="189"/>
  <c r="AF123" i="189"/>
  <c r="AF135" i="189"/>
  <c r="AF118" i="189"/>
  <c r="AF130" i="189"/>
  <c r="AF115" i="189"/>
  <c r="AF120" i="189"/>
  <c r="AF132" i="189"/>
  <c r="AF127" i="189"/>
  <c r="AF147" i="189"/>
  <c r="AF159" i="189"/>
  <c r="AF134" i="189"/>
  <c r="AF142" i="189"/>
  <c r="AF154" i="189"/>
  <c r="AF117" i="189"/>
  <c r="AF149" i="189"/>
  <c r="AF161" i="189"/>
  <c r="AF109" i="189"/>
  <c r="AF125" i="189"/>
  <c r="AF144" i="189"/>
  <c r="AF156" i="189"/>
  <c r="AF122" i="189"/>
  <c r="AF139" i="189"/>
  <c r="AF151" i="189"/>
  <c r="AF137" i="189"/>
  <c r="AF146" i="189"/>
  <c r="AF158" i="189"/>
  <c r="AF143" i="189"/>
  <c r="AF155" i="189"/>
  <c r="AF150" i="189"/>
  <c r="AF162" i="189"/>
  <c r="AF93" i="189"/>
  <c r="AF145" i="189"/>
  <c r="AF157" i="189"/>
  <c r="AF141" i="189"/>
  <c r="AF169" i="189"/>
  <c r="AF164" i="189"/>
  <c r="AF3" i="189"/>
  <c r="AF152" i="189"/>
  <c r="AF166" i="189"/>
  <c r="AF163" i="189"/>
  <c r="AF140" i="189"/>
  <c r="AF168" i="189"/>
  <c r="AF148" i="189"/>
  <c r="AF170" i="189"/>
  <c r="AF129" i="189"/>
  <c r="AF160" i="189"/>
  <c r="AF165" i="189"/>
  <c r="AF167" i="189"/>
  <c r="AF153" i="189"/>
  <c r="AF175" i="189"/>
  <c r="AF172" i="189"/>
  <c r="AF173" i="189"/>
  <c r="AF171" i="189"/>
  <c r="AF174" i="189"/>
  <c r="AG1" i="189"/>
  <c r="AG4" i="189" s="1"/>
  <c r="W7" i="187"/>
  <c r="W9" i="187"/>
  <c r="W6" i="187"/>
  <c r="W10" i="187"/>
  <c r="W22" i="187"/>
  <c r="W34" i="187"/>
  <c r="W17" i="187"/>
  <c r="W29" i="187"/>
  <c r="W12" i="187"/>
  <c r="W24" i="187"/>
  <c r="W8" i="187"/>
  <c r="W19" i="187"/>
  <c r="W31" i="187"/>
  <c r="W14" i="187"/>
  <c r="W26" i="187"/>
  <c r="W21" i="187"/>
  <c r="W16" i="187"/>
  <c r="W28" i="187"/>
  <c r="W23" i="187"/>
  <c r="W11" i="187"/>
  <c r="W20" i="187"/>
  <c r="W32" i="187"/>
  <c r="W18" i="187"/>
  <c r="W44" i="187"/>
  <c r="W56" i="187"/>
  <c r="W39" i="187"/>
  <c r="W51" i="187"/>
  <c r="W15" i="187"/>
  <c r="W46" i="187"/>
  <c r="W58" i="187"/>
  <c r="W41" i="187"/>
  <c r="W53" i="187"/>
  <c r="W5" i="187"/>
  <c r="W33" i="187"/>
  <c r="W36" i="187"/>
  <c r="W48" i="187"/>
  <c r="W43" i="187"/>
  <c r="W55" i="187"/>
  <c r="W38" i="187"/>
  <c r="W50" i="187"/>
  <c r="W25" i="187"/>
  <c r="W45" i="187"/>
  <c r="W57" i="187"/>
  <c r="W13" i="187"/>
  <c r="W35" i="187"/>
  <c r="W42" i="187"/>
  <c r="W54" i="187"/>
  <c r="W67" i="187"/>
  <c r="W79" i="187"/>
  <c r="W62" i="187"/>
  <c r="W74" i="187"/>
  <c r="W69" i="187"/>
  <c r="W81" i="187"/>
  <c r="W64" i="187"/>
  <c r="W76" i="187"/>
  <c r="W30" i="187"/>
  <c r="W47" i="187"/>
  <c r="W59" i="187"/>
  <c r="W71" i="187"/>
  <c r="W66" i="187"/>
  <c r="W78" i="187"/>
  <c r="W52" i="187"/>
  <c r="W61" i="187"/>
  <c r="W73" i="187"/>
  <c r="W68" i="187"/>
  <c r="W80" i="187"/>
  <c r="W65" i="187"/>
  <c r="W77" i="187"/>
  <c r="W63" i="187"/>
  <c r="W86" i="187"/>
  <c r="W98" i="187"/>
  <c r="W40" i="187"/>
  <c r="W93" i="187"/>
  <c r="W105" i="187"/>
  <c r="W60" i="187"/>
  <c r="W88" i="187"/>
  <c r="W100" i="187"/>
  <c r="W95" i="187"/>
  <c r="W90" i="187"/>
  <c r="W102" i="187"/>
  <c r="W85" i="187"/>
  <c r="W97" i="187"/>
  <c r="W49" i="187"/>
  <c r="W83" i="187"/>
  <c r="W92" i="187"/>
  <c r="W104" i="187"/>
  <c r="W70" i="187"/>
  <c r="W87" i="187"/>
  <c r="W99" i="187"/>
  <c r="W37" i="187"/>
  <c r="W94" i="187"/>
  <c r="W106" i="187"/>
  <c r="W84" i="187"/>
  <c r="W96" i="187"/>
  <c r="W113" i="187"/>
  <c r="W125" i="187"/>
  <c r="W27" i="187"/>
  <c r="W108" i="187"/>
  <c r="W120" i="187"/>
  <c r="W132" i="187"/>
  <c r="W115" i="187"/>
  <c r="W127" i="187"/>
  <c r="W72" i="187"/>
  <c r="W91" i="187"/>
  <c r="W110" i="187"/>
  <c r="W122" i="187"/>
  <c r="W89" i="187"/>
  <c r="W117" i="187"/>
  <c r="W129" i="187"/>
  <c r="W103" i="187"/>
  <c r="W112" i="187"/>
  <c r="W124" i="187"/>
  <c r="W75" i="187"/>
  <c r="W101" i="187"/>
  <c r="W107" i="187"/>
  <c r="W119" i="187"/>
  <c r="W131" i="187"/>
  <c r="W82" i="187"/>
  <c r="W114" i="187"/>
  <c r="W126" i="187"/>
  <c r="W109" i="187"/>
  <c r="W121" i="187"/>
  <c r="W133" i="187"/>
  <c r="W111" i="187"/>
  <c r="W123" i="187"/>
  <c r="W140" i="187"/>
  <c r="W152" i="187"/>
  <c r="W135" i="187"/>
  <c r="W147" i="187"/>
  <c r="W159" i="187"/>
  <c r="W142" i="187"/>
  <c r="W154" i="187"/>
  <c r="W118" i="187"/>
  <c r="W137" i="187"/>
  <c r="W149" i="187"/>
  <c r="W161" i="187"/>
  <c r="W116" i="187"/>
  <c r="W144" i="187"/>
  <c r="W156" i="187"/>
  <c r="W130" i="187"/>
  <c r="W139" i="187"/>
  <c r="W151" i="187"/>
  <c r="W128" i="187"/>
  <c r="W146" i="187"/>
  <c r="W158" i="187"/>
  <c r="W141" i="187"/>
  <c r="W153" i="187"/>
  <c r="W134" i="187"/>
  <c r="W136" i="187"/>
  <c r="W148" i="187"/>
  <c r="W160" i="187"/>
  <c r="W155" i="187"/>
  <c r="W169" i="187"/>
  <c r="W162" i="187"/>
  <c r="W138" i="187"/>
  <c r="W164" i="187"/>
  <c r="W3" i="187"/>
  <c r="W143" i="187"/>
  <c r="W166" i="187"/>
  <c r="W157" i="187"/>
  <c r="W168" i="187"/>
  <c r="W163" i="187"/>
  <c r="W170" i="187"/>
  <c r="W145" i="187"/>
  <c r="W165" i="187"/>
  <c r="W150" i="187"/>
  <c r="W167" i="187"/>
  <c r="F83" i="185"/>
  <c r="F84" i="185"/>
  <c r="F12" i="185"/>
  <c r="F24" i="185"/>
  <c r="F7" i="185"/>
  <c r="F19" i="185"/>
  <c r="F14" i="185"/>
  <c r="F26" i="185"/>
  <c r="F9" i="185"/>
  <c r="F21" i="185"/>
  <c r="F4" i="185"/>
  <c r="F16" i="185"/>
  <c r="F28" i="185"/>
  <c r="F11" i="185"/>
  <c r="F23" i="185"/>
  <c r="F6" i="185"/>
  <c r="F18" i="185"/>
  <c r="F13" i="185"/>
  <c r="F25" i="185"/>
  <c r="F10" i="185"/>
  <c r="F22" i="185"/>
  <c r="F3" i="185"/>
  <c r="F15" i="185"/>
  <c r="F20" i="185"/>
  <c r="F17" i="185"/>
  <c r="F8" i="185"/>
  <c r="F27" i="185"/>
  <c r="F5" i="185"/>
  <c r="W175" i="187"/>
  <c r="W171" i="187"/>
  <c r="W173" i="187"/>
  <c r="W174" i="187"/>
  <c r="W172" i="187"/>
  <c r="X1" i="187"/>
  <c r="X4" i="187" s="1"/>
  <c r="F101" i="185"/>
  <c r="F102" i="185"/>
  <c r="F103" i="185"/>
  <c r="F100" i="185"/>
  <c r="B54" i="184"/>
  <c r="B58" i="184" s="1"/>
  <c r="F34" i="185"/>
  <c r="F31" i="185"/>
  <c r="F33" i="185"/>
  <c r="F41" i="185"/>
  <c r="F35" i="185"/>
  <c r="F36" i="185"/>
  <c r="F38" i="185"/>
  <c r="F43" i="185"/>
  <c r="F55" i="185"/>
  <c r="F67" i="185"/>
  <c r="F79" i="185"/>
  <c r="F47" i="185"/>
  <c r="F59" i="185"/>
  <c r="F71" i="185"/>
  <c r="F37" i="185"/>
  <c r="F50" i="185"/>
  <c r="F63" i="185"/>
  <c r="F76" i="185"/>
  <c r="F40" i="185"/>
  <c r="F52" i="185"/>
  <c r="F65" i="185"/>
  <c r="F88" i="185"/>
  <c r="F60" i="185"/>
  <c r="F48" i="185"/>
  <c r="F30" i="185"/>
  <c r="F57" i="185"/>
  <c r="F62" i="185"/>
  <c r="F115" i="185"/>
  <c r="F127" i="185"/>
  <c r="F139" i="185"/>
  <c r="F151" i="185"/>
  <c r="F163" i="185"/>
  <c r="F70" i="185"/>
  <c r="F75" i="185"/>
  <c r="F90" i="185"/>
  <c r="F107" i="185"/>
  <c r="F119" i="185"/>
  <c r="F131" i="185"/>
  <c r="F143" i="185"/>
  <c r="F155" i="185"/>
  <c r="F45" i="185"/>
  <c r="F73" i="185"/>
  <c r="F66" i="185"/>
  <c r="F74" i="185"/>
  <c r="F78" i="185"/>
  <c r="F80" i="185"/>
  <c r="F39" i="185"/>
  <c r="F42" i="185"/>
  <c r="F64" i="185"/>
  <c r="F68" i="185"/>
  <c r="F72" i="185"/>
  <c r="F114" i="185"/>
  <c r="F120" i="185"/>
  <c r="F140" i="185"/>
  <c r="F153" i="185"/>
  <c r="F166" i="185"/>
  <c r="F170" i="185"/>
  <c r="F29" i="185"/>
  <c r="F93" i="185"/>
  <c r="F116" i="185"/>
  <c r="F129" i="185"/>
  <c r="F142" i="185"/>
  <c r="F162" i="185"/>
  <c r="F91" i="185"/>
  <c r="F82" i="185"/>
  <c r="F85" i="185"/>
  <c r="F87" i="185"/>
  <c r="F89" i="185"/>
  <c r="F98" i="185"/>
  <c r="F92" i="185"/>
  <c r="F96" i="185"/>
  <c r="F86" i="185"/>
  <c r="F118" i="185"/>
  <c r="F147" i="185"/>
  <c r="F152" i="185"/>
  <c r="F167" i="185"/>
  <c r="F32" i="185"/>
  <c r="F69" i="185"/>
  <c r="F77" i="185"/>
  <c r="F81" i="185"/>
  <c r="F95" i="185"/>
  <c r="F121" i="185"/>
  <c r="F126" i="185"/>
  <c r="F150" i="185"/>
  <c r="F160" i="185"/>
  <c r="F165" i="185"/>
  <c r="F53" i="185"/>
  <c r="F58" i="185"/>
  <c r="F97" i="185"/>
  <c r="F104" i="185"/>
  <c r="F46" i="185"/>
  <c r="F51" i="185"/>
  <c r="F56" i="185"/>
  <c r="F61" i="185"/>
  <c r="F94" i="185"/>
  <c r="F54" i="185"/>
  <c r="F44" i="185"/>
  <c r="F49" i="185"/>
  <c r="F99" i="185"/>
  <c r="F105" i="185"/>
  <c r="F171" i="185"/>
  <c r="F172" i="185"/>
  <c r="F173" i="185"/>
  <c r="F110" i="185"/>
  <c r="F122" i="185"/>
  <c r="F124" i="185"/>
  <c r="F128" i="185"/>
  <c r="F132" i="185"/>
  <c r="F106" i="185"/>
  <c r="F108" i="185"/>
  <c r="F112" i="185"/>
  <c r="F168" i="185"/>
  <c r="F141" i="185"/>
  <c r="F117" i="185"/>
  <c r="F113" i="185"/>
  <c r="F123" i="185"/>
  <c r="F148" i="185"/>
  <c r="F130" i="185"/>
  <c r="F138" i="185"/>
  <c r="F137" i="185"/>
  <c r="F145" i="185"/>
  <c r="F146" i="185"/>
  <c r="F109" i="185"/>
  <c r="F111" i="185"/>
  <c r="F144" i="185"/>
  <c r="F159" i="185"/>
  <c r="F164" i="185"/>
  <c r="F135" i="185"/>
  <c r="F125" i="185"/>
  <c r="F154" i="185"/>
  <c r="F158" i="185"/>
  <c r="F133" i="185"/>
  <c r="F174" i="185"/>
  <c r="F157" i="185"/>
  <c r="F136" i="185"/>
  <c r="F161" i="185"/>
  <c r="F134" i="185"/>
  <c r="F149" i="185"/>
  <c r="F156" i="185"/>
  <c r="F169" i="185"/>
  <c r="G1" i="185"/>
  <c r="AG6" i="189" l="1"/>
  <c r="AG18" i="189"/>
  <c r="AG30" i="189"/>
  <c r="AG13" i="189"/>
  <c r="AG25" i="189"/>
  <c r="AG8" i="189"/>
  <c r="AG20" i="189"/>
  <c r="AG32" i="189"/>
  <c r="AG15" i="189"/>
  <c r="AG27" i="189"/>
  <c r="AG10" i="189"/>
  <c r="AG22" i="189"/>
  <c r="AG34" i="189"/>
  <c r="AG5" i="189"/>
  <c r="AG17" i="189"/>
  <c r="AG29" i="189"/>
  <c r="AG28" i="189"/>
  <c r="AG46" i="189"/>
  <c r="AG11" i="189"/>
  <c r="AG35" i="189"/>
  <c r="AG41" i="189"/>
  <c r="AG53" i="189"/>
  <c r="AG12" i="189"/>
  <c r="AG36" i="189"/>
  <c r="AG48" i="189"/>
  <c r="AG19" i="189"/>
  <c r="AG43" i="189"/>
  <c r="AG26" i="189"/>
  <c r="AG38" i="189"/>
  <c r="AG50" i="189"/>
  <c r="AG33" i="189"/>
  <c r="AG45" i="189"/>
  <c r="AG24" i="189"/>
  <c r="AG42" i="189"/>
  <c r="AG40" i="189"/>
  <c r="AG54" i="189"/>
  <c r="AG66" i="189"/>
  <c r="AG39" i="189"/>
  <c r="AG51" i="189"/>
  <c r="AG61" i="189"/>
  <c r="AG52" i="189"/>
  <c r="AG56" i="189"/>
  <c r="AG68" i="189"/>
  <c r="AG21" i="189"/>
  <c r="AG23" i="189"/>
  <c r="AG63" i="189"/>
  <c r="AG58" i="189"/>
  <c r="AG70" i="189"/>
  <c r="AG14" i="189"/>
  <c r="AG16" i="189"/>
  <c r="AG44" i="189"/>
  <c r="AG65" i="189"/>
  <c r="AG62" i="189"/>
  <c r="AG69" i="189"/>
  <c r="AG84" i="189"/>
  <c r="AG57" i="189"/>
  <c r="AG79" i="189"/>
  <c r="AG91" i="189"/>
  <c r="AG72" i="189"/>
  <c r="AG74" i="189"/>
  <c r="AG86" i="189"/>
  <c r="AG7" i="189"/>
  <c r="AG49" i="189"/>
  <c r="AG60" i="189"/>
  <c r="AG71" i="189"/>
  <c r="AG81" i="189"/>
  <c r="AG47" i="189"/>
  <c r="AG59" i="189"/>
  <c r="AG76" i="189"/>
  <c r="AG88" i="189"/>
  <c r="AG31" i="189"/>
  <c r="AG83" i="189"/>
  <c r="AG9" i="189"/>
  <c r="AG64" i="189"/>
  <c r="AG80" i="189"/>
  <c r="AG75" i="189"/>
  <c r="AG87" i="189"/>
  <c r="AG67" i="189"/>
  <c r="AG82" i="189"/>
  <c r="AG78" i="189"/>
  <c r="AG97" i="189"/>
  <c r="AG109" i="189"/>
  <c r="AG104" i="189"/>
  <c r="AG116" i="189"/>
  <c r="AG89" i="189"/>
  <c r="AG92" i="189"/>
  <c r="AG99" i="189"/>
  <c r="AG111" i="189"/>
  <c r="AG94" i="189"/>
  <c r="AG106" i="189"/>
  <c r="AG101" i="189"/>
  <c r="AG113" i="189"/>
  <c r="AG37" i="189"/>
  <c r="AG93" i="189"/>
  <c r="AG105" i="189"/>
  <c r="AG90" i="189"/>
  <c r="AG100" i="189"/>
  <c r="AG112" i="189"/>
  <c r="AG73" i="189"/>
  <c r="AG95" i="189"/>
  <c r="AG107" i="189"/>
  <c r="AG117" i="189"/>
  <c r="AG129" i="189"/>
  <c r="AG124" i="189"/>
  <c r="AG136" i="189"/>
  <c r="AG98" i="189"/>
  <c r="AG119" i="189"/>
  <c r="AG131" i="189"/>
  <c r="AG55" i="189"/>
  <c r="AG126" i="189"/>
  <c r="AG96" i="189"/>
  <c r="AG121" i="189"/>
  <c r="AG133" i="189"/>
  <c r="AG103" i="189"/>
  <c r="AG128" i="189"/>
  <c r="AG85" i="189"/>
  <c r="AG110" i="189"/>
  <c r="AG123" i="189"/>
  <c r="AG135" i="189"/>
  <c r="AG77" i="189"/>
  <c r="AG108" i="189"/>
  <c r="AG125" i="189"/>
  <c r="AG137" i="189"/>
  <c r="AG115" i="189"/>
  <c r="AG120" i="189"/>
  <c r="AG132" i="189"/>
  <c r="AG140" i="189"/>
  <c r="AG152" i="189"/>
  <c r="AG147" i="189"/>
  <c r="AG159" i="189"/>
  <c r="AG134" i="189"/>
  <c r="AG142" i="189"/>
  <c r="AG154" i="189"/>
  <c r="AG149" i="189"/>
  <c r="AG161" i="189"/>
  <c r="AG138" i="189"/>
  <c r="AG144" i="189"/>
  <c r="AG156" i="189"/>
  <c r="AG114" i="189"/>
  <c r="AG122" i="189"/>
  <c r="AG139" i="189"/>
  <c r="AG151" i="189"/>
  <c r="AG148" i="189"/>
  <c r="AG160" i="189"/>
  <c r="AG102" i="189"/>
  <c r="AG118" i="189"/>
  <c r="AG143" i="189"/>
  <c r="AG155" i="189"/>
  <c r="AG150" i="189"/>
  <c r="AG162" i="189"/>
  <c r="AG158" i="189"/>
  <c r="AG168" i="189"/>
  <c r="AG141" i="189"/>
  <c r="AG169" i="189"/>
  <c r="AG164" i="189"/>
  <c r="AG3" i="189"/>
  <c r="AG146" i="189"/>
  <c r="AG163" i="189"/>
  <c r="AG127" i="189"/>
  <c r="AG166" i="189"/>
  <c r="AG157" i="189"/>
  <c r="AG167" i="189"/>
  <c r="AG145" i="189"/>
  <c r="AG170" i="189"/>
  <c r="AG153" i="189"/>
  <c r="AG130" i="189"/>
  <c r="AG165" i="189"/>
  <c r="AG172" i="189"/>
  <c r="AG173" i="189"/>
  <c r="AG174" i="189"/>
  <c r="AG175" i="189"/>
  <c r="AG171" i="189"/>
  <c r="AH1" i="189"/>
  <c r="AH4" i="189" s="1"/>
  <c r="AI4" i="189" s="1"/>
  <c r="G83" i="185"/>
  <c r="G84" i="185"/>
  <c r="G5" i="185"/>
  <c r="G17" i="185"/>
  <c r="G12" i="185"/>
  <c r="G24" i="185"/>
  <c r="G7" i="185"/>
  <c r="G19" i="185"/>
  <c r="G14" i="185"/>
  <c r="G26" i="185"/>
  <c r="G9" i="185"/>
  <c r="G21" i="185"/>
  <c r="G4" i="185"/>
  <c r="G16" i="185"/>
  <c r="G11" i="185"/>
  <c r="G23" i="185"/>
  <c r="G6" i="185"/>
  <c r="G18" i="185"/>
  <c r="G15" i="185"/>
  <c r="G27" i="185"/>
  <c r="G20" i="185"/>
  <c r="G3" i="185"/>
  <c r="G25" i="185"/>
  <c r="G28" i="185"/>
  <c r="G8" i="185"/>
  <c r="G13" i="185"/>
  <c r="G10" i="185"/>
  <c r="G22" i="185"/>
  <c r="X5" i="187"/>
  <c r="X7" i="187"/>
  <c r="X9" i="187"/>
  <c r="X11" i="187"/>
  <c r="X6" i="187"/>
  <c r="X15" i="187"/>
  <c r="X27" i="187"/>
  <c r="X10" i="187"/>
  <c r="X22" i="187"/>
  <c r="X34" i="187"/>
  <c r="X17" i="187"/>
  <c r="X29" i="187"/>
  <c r="X12" i="187"/>
  <c r="X24" i="187"/>
  <c r="X8" i="187"/>
  <c r="X19" i="187"/>
  <c r="X31" i="187"/>
  <c r="X14" i="187"/>
  <c r="X26" i="187"/>
  <c r="X21" i="187"/>
  <c r="X33" i="187"/>
  <c r="X16" i="187"/>
  <c r="X28" i="187"/>
  <c r="X13" i="187"/>
  <c r="X25" i="187"/>
  <c r="X37" i="187"/>
  <c r="X49" i="187"/>
  <c r="X18" i="187"/>
  <c r="X44" i="187"/>
  <c r="X56" i="187"/>
  <c r="X39" i="187"/>
  <c r="X51" i="187"/>
  <c r="X23" i="187"/>
  <c r="X46" i="187"/>
  <c r="X58" i="187"/>
  <c r="X32" i="187"/>
  <c r="X41" i="187"/>
  <c r="X53" i="187"/>
  <c r="X20" i="187"/>
  <c r="X36" i="187"/>
  <c r="X48" i="187"/>
  <c r="X43" i="187"/>
  <c r="X55" i="187"/>
  <c r="X38" i="187"/>
  <c r="X50" i="187"/>
  <c r="X30" i="187"/>
  <c r="X47" i="187"/>
  <c r="X45" i="187"/>
  <c r="X60" i="187"/>
  <c r="X72" i="187"/>
  <c r="X67" i="187"/>
  <c r="X79" i="187"/>
  <c r="X42" i="187"/>
  <c r="X62" i="187"/>
  <c r="X74" i="187"/>
  <c r="X69" i="187"/>
  <c r="X64" i="187"/>
  <c r="X76" i="187"/>
  <c r="X59" i="187"/>
  <c r="X71" i="187"/>
  <c r="X66" i="187"/>
  <c r="X78" i="187"/>
  <c r="X52" i="187"/>
  <c r="X61" i="187"/>
  <c r="X73" i="187"/>
  <c r="X40" i="187"/>
  <c r="X57" i="187"/>
  <c r="X70" i="187"/>
  <c r="X82" i="187"/>
  <c r="X91" i="187"/>
  <c r="X103" i="187"/>
  <c r="X63" i="187"/>
  <c r="X80" i="187"/>
  <c r="X86" i="187"/>
  <c r="X98" i="187"/>
  <c r="X77" i="187"/>
  <c r="X93" i="187"/>
  <c r="X105" i="187"/>
  <c r="X35" i="187"/>
  <c r="X68" i="187"/>
  <c r="X88" i="187"/>
  <c r="X100" i="187"/>
  <c r="X95" i="187"/>
  <c r="X54" i="187"/>
  <c r="X65" i="187"/>
  <c r="X81" i="187"/>
  <c r="X90" i="187"/>
  <c r="X102" i="187"/>
  <c r="X85" i="187"/>
  <c r="X97" i="187"/>
  <c r="X83" i="187"/>
  <c r="X92" i="187"/>
  <c r="X104" i="187"/>
  <c r="X87" i="187"/>
  <c r="X99" i="187"/>
  <c r="X75" i="187"/>
  <c r="X89" i="187"/>
  <c r="X101" i="187"/>
  <c r="X118" i="187"/>
  <c r="X130" i="187"/>
  <c r="X113" i="187"/>
  <c r="X125" i="187"/>
  <c r="X108" i="187"/>
  <c r="X120" i="187"/>
  <c r="X132" i="187"/>
  <c r="X84" i="187"/>
  <c r="X115" i="187"/>
  <c r="X127" i="187"/>
  <c r="X110" i="187"/>
  <c r="X122" i="187"/>
  <c r="X96" i="187"/>
  <c r="X117" i="187"/>
  <c r="X129" i="187"/>
  <c r="X94" i="187"/>
  <c r="X112" i="187"/>
  <c r="X124" i="187"/>
  <c r="X107" i="187"/>
  <c r="X119" i="187"/>
  <c r="X131" i="187"/>
  <c r="X106" i="187"/>
  <c r="X114" i="187"/>
  <c r="X126" i="187"/>
  <c r="X116" i="187"/>
  <c r="X128" i="187"/>
  <c r="X145" i="187"/>
  <c r="X157" i="187"/>
  <c r="X140" i="187"/>
  <c r="X152" i="187"/>
  <c r="X135" i="187"/>
  <c r="X147" i="187"/>
  <c r="X159" i="187"/>
  <c r="X111" i="187"/>
  <c r="X142" i="187"/>
  <c r="X154" i="187"/>
  <c r="X109" i="187"/>
  <c r="X137" i="187"/>
  <c r="X149" i="187"/>
  <c r="X161" i="187"/>
  <c r="X123" i="187"/>
  <c r="X144" i="187"/>
  <c r="X156" i="187"/>
  <c r="X121" i="187"/>
  <c r="X139" i="187"/>
  <c r="X151" i="187"/>
  <c r="X146" i="187"/>
  <c r="X158" i="187"/>
  <c r="X133" i="187"/>
  <c r="X141" i="187"/>
  <c r="X153" i="187"/>
  <c r="X162" i="187"/>
  <c r="X155" i="187"/>
  <c r="X169" i="187"/>
  <c r="X165" i="187"/>
  <c r="X138" i="187"/>
  <c r="X164" i="187"/>
  <c r="X3" i="187"/>
  <c r="X160" i="187"/>
  <c r="X143" i="187"/>
  <c r="X166" i="187"/>
  <c r="X134" i="187"/>
  <c r="X148" i="187"/>
  <c r="X168" i="187"/>
  <c r="X170" i="187"/>
  <c r="X163" i="187"/>
  <c r="X136" i="187"/>
  <c r="X167" i="187"/>
  <c r="X150" i="187"/>
  <c r="X172" i="187"/>
  <c r="X174" i="187"/>
  <c r="X171" i="187"/>
  <c r="X173" i="187"/>
  <c r="X175" i="187"/>
  <c r="Y1" i="187"/>
  <c r="Y4" i="187" s="1"/>
  <c r="G101" i="185"/>
  <c r="G103" i="185"/>
  <c r="G102" i="185"/>
  <c r="G100" i="185"/>
  <c r="G36" i="185"/>
  <c r="G32" i="185"/>
  <c r="G38" i="185"/>
  <c r="G48" i="185"/>
  <c r="G60" i="185"/>
  <c r="G72" i="185"/>
  <c r="G30" i="185"/>
  <c r="G40" i="185"/>
  <c r="G52" i="185"/>
  <c r="G64" i="185"/>
  <c r="G76" i="185"/>
  <c r="G29" i="185"/>
  <c r="G31" i="185"/>
  <c r="G33" i="185"/>
  <c r="G35" i="185"/>
  <c r="G42" i="185"/>
  <c r="G43" i="185"/>
  <c r="G56" i="185"/>
  <c r="G69" i="185"/>
  <c r="G89" i="185"/>
  <c r="G45" i="185"/>
  <c r="G58" i="185"/>
  <c r="G78" i="185"/>
  <c r="G53" i="185"/>
  <c r="G34" i="185"/>
  <c r="G67" i="185"/>
  <c r="G77" i="185"/>
  <c r="G87" i="185"/>
  <c r="G93" i="185"/>
  <c r="G108" i="185"/>
  <c r="G120" i="185"/>
  <c r="G132" i="185"/>
  <c r="G144" i="185"/>
  <c r="G156" i="185"/>
  <c r="G46" i="185"/>
  <c r="G51" i="185"/>
  <c r="G80" i="185"/>
  <c r="G82" i="185"/>
  <c r="G97" i="185"/>
  <c r="G112" i="185"/>
  <c r="G124" i="185"/>
  <c r="G136" i="185"/>
  <c r="G148" i="185"/>
  <c r="G160" i="185"/>
  <c r="G50" i="185"/>
  <c r="G55" i="185"/>
  <c r="G79" i="185"/>
  <c r="G41" i="185"/>
  <c r="G66" i="185"/>
  <c r="G70" i="185"/>
  <c r="G74" i="185"/>
  <c r="G107" i="185"/>
  <c r="G113" i="185"/>
  <c r="G133" i="185"/>
  <c r="G146" i="185"/>
  <c r="G159" i="185"/>
  <c r="G44" i="185"/>
  <c r="G49" i="185"/>
  <c r="G109" i="185"/>
  <c r="G122" i="185"/>
  <c r="G135" i="185"/>
  <c r="G155" i="185"/>
  <c r="G161" i="185"/>
  <c r="G167" i="185"/>
  <c r="G91" i="185"/>
  <c r="G88" i="185"/>
  <c r="G90" i="185"/>
  <c r="G92" i="185"/>
  <c r="G96" i="185"/>
  <c r="G123" i="185"/>
  <c r="G128" i="185"/>
  <c r="G157" i="185"/>
  <c r="G47" i="185"/>
  <c r="G57" i="185"/>
  <c r="G65" i="185"/>
  <c r="G71" i="185"/>
  <c r="G73" i="185"/>
  <c r="G75" i="185"/>
  <c r="G86" i="185"/>
  <c r="G61" i="185"/>
  <c r="G94" i="185"/>
  <c r="G99" i="185"/>
  <c r="G131" i="185"/>
  <c r="G141" i="185"/>
  <c r="G169" i="185"/>
  <c r="G106" i="185"/>
  <c r="G37" i="185"/>
  <c r="G63" i="185"/>
  <c r="G81" i="185"/>
  <c r="G95" i="185"/>
  <c r="G98" i="185"/>
  <c r="G59" i="185"/>
  <c r="G85" i="185"/>
  <c r="G54" i="185"/>
  <c r="G105" i="185"/>
  <c r="G39" i="185"/>
  <c r="G62" i="185"/>
  <c r="G68" i="185"/>
  <c r="G116" i="185"/>
  <c r="G126" i="185"/>
  <c r="G130" i="185"/>
  <c r="G134" i="185"/>
  <c r="G138" i="185"/>
  <c r="G110" i="185"/>
  <c r="G114" i="185"/>
  <c r="G118" i="185"/>
  <c r="G104" i="185"/>
  <c r="G111" i="185"/>
  <c r="G117" i="185"/>
  <c r="G125" i="185"/>
  <c r="G139" i="185"/>
  <c r="G147" i="185"/>
  <c r="G158" i="185"/>
  <c r="G174" i="185"/>
  <c r="G172" i="185"/>
  <c r="G115" i="185"/>
  <c r="G121" i="185"/>
  <c r="G129" i="185"/>
  <c r="G127" i="185"/>
  <c r="G119" i="185"/>
  <c r="G142" i="185"/>
  <c r="G166" i="185"/>
  <c r="G151" i="185"/>
  <c r="G165" i="185"/>
  <c r="G173" i="185"/>
  <c r="G164" i="185"/>
  <c r="G137" i="185"/>
  <c r="G154" i="185"/>
  <c r="G150" i="185"/>
  <c r="G163" i="185"/>
  <c r="G143" i="185"/>
  <c r="G145" i="185"/>
  <c r="G153" i="185"/>
  <c r="G162" i="185"/>
  <c r="G168" i="185"/>
  <c r="G170" i="185"/>
  <c r="G149" i="185"/>
  <c r="G140" i="185"/>
  <c r="G152" i="185"/>
  <c r="G171" i="185"/>
  <c r="H1" i="185"/>
  <c r="T47" i="182"/>
  <c r="T40" i="182"/>
  <c r="T41" i="182"/>
  <c r="AH11" i="189" l="1"/>
  <c r="AI11" i="189" s="1"/>
  <c r="AH23" i="189"/>
  <c r="AI23" i="189" s="1"/>
  <c r="AH35" i="189"/>
  <c r="AI35" i="189" s="1"/>
  <c r="AH6" i="189"/>
  <c r="AI6" i="189" s="1"/>
  <c r="AH18" i="189"/>
  <c r="AI18" i="189" s="1"/>
  <c r="AH30" i="189"/>
  <c r="AI30" i="189" s="1"/>
  <c r="AH13" i="189"/>
  <c r="AI13" i="189" s="1"/>
  <c r="AH25" i="189"/>
  <c r="AI25" i="189" s="1"/>
  <c r="AH8" i="189"/>
  <c r="AI8" i="189" s="1"/>
  <c r="AH20" i="189"/>
  <c r="AI20" i="189" s="1"/>
  <c r="AH32" i="189"/>
  <c r="AI32" i="189" s="1"/>
  <c r="AH15" i="189"/>
  <c r="AI15" i="189" s="1"/>
  <c r="AH27" i="189"/>
  <c r="AH10" i="189"/>
  <c r="AI10" i="189" s="1"/>
  <c r="AH22" i="189"/>
  <c r="AI22" i="189" s="1"/>
  <c r="AH34" i="189"/>
  <c r="AI34" i="189" s="1"/>
  <c r="AH5" i="189"/>
  <c r="AI5" i="189" s="1"/>
  <c r="AH21" i="189"/>
  <c r="AI21" i="189" s="1"/>
  <c r="AH39" i="189"/>
  <c r="AI39" i="189" s="1"/>
  <c r="AH51" i="189"/>
  <c r="AI51" i="189" s="1"/>
  <c r="AH28" i="189"/>
  <c r="AI28" i="189" s="1"/>
  <c r="AH46" i="189"/>
  <c r="AI46" i="189" s="1"/>
  <c r="AH29" i="189"/>
  <c r="AI29" i="189" s="1"/>
  <c r="AH41" i="189"/>
  <c r="AI41" i="189" s="1"/>
  <c r="AH53" i="189"/>
  <c r="AI53" i="189" s="1"/>
  <c r="AH12" i="189"/>
  <c r="AI12" i="189" s="1"/>
  <c r="AH36" i="189"/>
  <c r="AI36" i="189" s="1"/>
  <c r="AH48" i="189"/>
  <c r="AI48" i="189" s="1"/>
  <c r="AH19" i="189"/>
  <c r="AI19" i="189" s="1"/>
  <c r="AH43" i="189"/>
  <c r="AI43" i="189" s="1"/>
  <c r="AH26" i="189"/>
  <c r="AI26" i="189" s="1"/>
  <c r="AH38" i="189"/>
  <c r="AI38" i="189" s="1"/>
  <c r="AH50" i="189"/>
  <c r="AI50" i="189" s="1"/>
  <c r="AH17" i="189"/>
  <c r="AI17" i="189" s="1"/>
  <c r="AH47" i="189"/>
  <c r="AI47" i="189" s="1"/>
  <c r="AH59" i="189"/>
  <c r="AI59" i="189" s="1"/>
  <c r="AH71" i="189"/>
  <c r="AI71" i="189" s="1"/>
  <c r="AH40" i="189"/>
  <c r="AI40" i="189" s="1"/>
  <c r="AH54" i="189"/>
  <c r="AI54" i="189" s="1"/>
  <c r="AH66" i="189"/>
  <c r="AI66" i="189" s="1"/>
  <c r="AH61" i="189"/>
  <c r="AI61" i="189" s="1"/>
  <c r="AH42" i="189"/>
  <c r="AI42" i="189" s="1"/>
  <c r="AH52" i="189"/>
  <c r="AI52" i="189" s="1"/>
  <c r="AH56" i="189"/>
  <c r="AI56" i="189" s="1"/>
  <c r="AH68" i="189"/>
  <c r="AI68" i="189" s="1"/>
  <c r="AH63" i="189"/>
  <c r="AI63" i="189" s="1"/>
  <c r="AH45" i="189"/>
  <c r="AI45" i="189" s="1"/>
  <c r="AH58" i="189"/>
  <c r="AI58" i="189" s="1"/>
  <c r="AH70" i="189"/>
  <c r="AI70" i="189" s="1"/>
  <c r="AH55" i="189"/>
  <c r="AI55" i="189" s="1"/>
  <c r="AH67" i="189"/>
  <c r="AI67" i="189" s="1"/>
  <c r="AH37" i="189"/>
  <c r="AI37" i="189" s="1"/>
  <c r="AH44" i="189"/>
  <c r="AI44" i="189" s="1"/>
  <c r="AH77" i="189"/>
  <c r="AI77" i="189" s="1"/>
  <c r="AH89" i="189"/>
  <c r="AI89" i="189" s="1"/>
  <c r="AH16" i="189"/>
  <c r="AI16" i="189" s="1"/>
  <c r="AH69" i="189"/>
  <c r="AI69" i="189" s="1"/>
  <c r="AH84" i="189"/>
  <c r="AH57" i="189"/>
  <c r="AI57" i="189" s="1"/>
  <c r="AH79" i="189"/>
  <c r="AI79" i="189" s="1"/>
  <c r="AH91" i="189"/>
  <c r="AI91" i="189" s="1"/>
  <c r="AH72" i="189"/>
  <c r="AI72" i="189" s="1"/>
  <c r="AH74" i="189"/>
  <c r="AI74" i="189" s="1"/>
  <c r="AH86" i="189"/>
  <c r="AI86" i="189" s="1"/>
  <c r="AH7" i="189"/>
  <c r="AI7" i="189" s="1"/>
  <c r="AH49" i="189"/>
  <c r="AI49" i="189" s="1"/>
  <c r="AH60" i="189"/>
  <c r="AI60" i="189" s="1"/>
  <c r="AH81" i="189"/>
  <c r="AI81" i="189" s="1"/>
  <c r="AH76" i="189"/>
  <c r="AI76" i="189" s="1"/>
  <c r="AH88" i="189"/>
  <c r="AI88" i="189" s="1"/>
  <c r="AH14" i="189"/>
  <c r="AI14" i="189" s="1"/>
  <c r="AH65" i="189"/>
  <c r="AI65" i="189" s="1"/>
  <c r="AH73" i="189"/>
  <c r="AI73" i="189" s="1"/>
  <c r="AH85" i="189"/>
  <c r="AI85" i="189" s="1"/>
  <c r="AH9" i="189"/>
  <c r="AI9" i="189" s="1"/>
  <c r="AH64" i="189"/>
  <c r="AI64" i="189" s="1"/>
  <c r="AH80" i="189"/>
  <c r="AI80" i="189" s="1"/>
  <c r="AH75" i="189"/>
  <c r="AI75" i="189" s="1"/>
  <c r="AH87" i="189"/>
  <c r="AI87" i="189" s="1"/>
  <c r="AH102" i="189"/>
  <c r="AI102" i="189" s="1"/>
  <c r="AH114" i="189"/>
  <c r="AI114" i="189" s="1"/>
  <c r="AH78" i="189"/>
  <c r="AI78" i="189" s="1"/>
  <c r="AH97" i="189"/>
  <c r="AI97" i="189" s="1"/>
  <c r="AH109" i="189"/>
  <c r="AI109" i="189" s="1"/>
  <c r="AH104" i="189"/>
  <c r="AI104" i="189" s="1"/>
  <c r="AH116" i="189"/>
  <c r="AI116" i="189" s="1"/>
  <c r="AH31" i="189"/>
  <c r="AI31" i="189" s="1"/>
  <c r="AH83" i="189"/>
  <c r="AI83" i="189" s="1"/>
  <c r="AH92" i="189"/>
  <c r="AI92" i="189" s="1"/>
  <c r="AH99" i="189"/>
  <c r="AI99" i="189" s="1"/>
  <c r="AH111" i="189"/>
  <c r="AI111" i="189" s="1"/>
  <c r="AH94" i="189"/>
  <c r="AI94" i="189" s="1"/>
  <c r="AH106" i="189"/>
  <c r="AI106" i="189" s="1"/>
  <c r="AH82" i="189"/>
  <c r="AI82" i="189" s="1"/>
  <c r="AH98" i="189"/>
  <c r="AI98" i="189" s="1"/>
  <c r="AH110" i="189"/>
  <c r="AI110" i="189" s="1"/>
  <c r="AH62" i="189"/>
  <c r="AI62" i="189" s="1"/>
  <c r="AH93" i="189"/>
  <c r="AI93" i="189" s="1"/>
  <c r="AH105" i="189"/>
  <c r="AI105" i="189" s="1"/>
  <c r="AH90" i="189"/>
  <c r="AI90" i="189" s="1"/>
  <c r="AH100" i="189"/>
  <c r="AI100" i="189" s="1"/>
  <c r="AH112" i="189"/>
  <c r="AI112" i="189" s="1"/>
  <c r="AH113" i="189"/>
  <c r="AI113" i="189" s="1"/>
  <c r="AH122" i="189"/>
  <c r="AI122" i="189" s="1"/>
  <c r="AH134" i="189"/>
  <c r="AI134" i="189" s="1"/>
  <c r="AH117" i="189"/>
  <c r="AI117" i="189" s="1"/>
  <c r="AH129" i="189"/>
  <c r="AI129" i="189" s="1"/>
  <c r="AH124" i="189"/>
  <c r="AI124" i="189" s="1"/>
  <c r="AH136" i="189"/>
  <c r="AH24" i="189"/>
  <c r="AI24" i="189" s="1"/>
  <c r="AH119" i="189"/>
  <c r="AI119" i="189" s="1"/>
  <c r="AH131" i="189"/>
  <c r="AI131" i="189" s="1"/>
  <c r="AH33" i="189"/>
  <c r="AI33" i="189" s="1"/>
  <c r="AH126" i="189"/>
  <c r="AI126" i="189" s="1"/>
  <c r="AH138" i="189"/>
  <c r="AI138" i="189" s="1"/>
  <c r="AH96" i="189"/>
  <c r="AI96" i="189" s="1"/>
  <c r="AH121" i="189"/>
  <c r="AI121" i="189" s="1"/>
  <c r="AH133" i="189"/>
  <c r="AI133" i="189" s="1"/>
  <c r="AH103" i="189"/>
  <c r="AI103" i="189" s="1"/>
  <c r="AH128" i="189"/>
  <c r="AI128" i="189" s="1"/>
  <c r="AH101" i="189"/>
  <c r="AI101" i="189" s="1"/>
  <c r="AH118" i="189"/>
  <c r="AI118" i="189" s="1"/>
  <c r="AH130" i="189"/>
  <c r="AI130" i="189" s="1"/>
  <c r="AH108" i="189"/>
  <c r="AI108" i="189" s="1"/>
  <c r="AH125" i="189"/>
  <c r="AI125" i="189" s="1"/>
  <c r="AH137" i="189"/>
  <c r="AI137" i="189" s="1"/>
  <c r="AH123" i="189"/>
  <c r="AI123" i="189" s="1"/>
  <c r="AH145" i="189"/>
  <c r="AI145" i="189" s="1"/>
  <c r="AH157" i="189"/>
  <c r="AI157" i="189" s="1"/>
  <c r="AH120" i="189"/>
  <c r="AI120" i="189" s="1"/>
  <c r="AH140" i="189"/>
  <c r="AI140" i="189" s="1"/>
  <c r="AH152" i="189"/>
  <c r="AI152" i="189" s="1"/>
  <c r="AH147" i="189"/>
  <c r="AI147" i="189" s="1"/>
  <c r="AH159" i="189"/>
  <c r="AI159" i="189" s="1"/>
  <c r="AH95" i="189"/>
  <c r="AI95" i="189" s="1"/>
  <c r="AH142" i="189"/>
  <c r="AI142" i="189" s="1"/>
  <c r="AH154" i="189"/>
  <c r="AI154" i="189" s="1"/>
  <c r="AH149" i="189"/>
  <c r="AI149" i="189" s="1"/>
  <c r="AH144" i="189"/>
  <c r="AI144" i="189" s="1"/>
  <c r="AH156" i="189"/>
  <c r="AI156" i="189" s="1"/>
  <c r="AH127" i="189"/>
  <c r="AI127" i="189" s="1"/>
  <c r="AH141" i="189"/>
  <c r="AI141" i="189" s="1"/>
  <c r="AH153" i="189"/>
  <c r="AI153" i="189" s="1"/>
  <c r="AH135" i="189"/>
  <c r="AI135" i="189" s="1"/>
  <c r="AH148" i="189"/>
  <c r="AI148" i="189" s="1"/>
  <c r="AH160" i="189"/>
  <c r="AI160" i="189" s="1"/>
  <c r="AH132" i="189"/>
  <c r="AI132" i="189" s="1"/>
  <c r="AH143" i="189"/>
  <c r="AI143" i="189" s="1"/>
  <c r="AH155" i="189"/>
  <c r="AI155" i="189" s="1"/>
  <c r="AH167" i="189"/>
  <c r="AI167" i="189" s="1"/>
  <c r="AH151" i="189"/>
  <c r="AI151" i="189" s="1"/>
  <c r="AH115" i="189"/>
  <c r="AI115" i="189" s="1"/>
  <c r="AH158" i="189"/>
  <c r="AI158" i="189" s="1"/>
  <c r="AH168" i="189"/>
  <c r="AI168" i="189" s="1"/>
  <c r="AH107" i="189"/>
  <c r="AI107" i="189" s="1"/>
  <c r="AH169" i="189"/>
  <c r="AI169" i="189" s="1"/>
  <c r="AH161" i="189"/>
  <c r="AI161" i="189" s="1"/>
  <c r="AH164" i="189"/>
  <c r="AI164" i="189" s="1"/>
  <c r="AH3" i="189"/>
  <c r="AI3" i="189" s="1"/>
  <c r="AH146" i="189"/>
  <c r="AI146" i="189" s="1"/>
  <c r="AH162" i="189"/>
  <c r="AI162" i="189" s="1"/>
  <c r="AH166" i="189"/>
  <c r="AI166" i="189" s="1"/>
  <c r="AH163" i="189"/>
  <c r="AI163" i="189" s="1"/>
  <c r="AH165" i="189"/>
  <c r="AI165" i="189" s="1"/>
  <c r="AH150" i="189"/>
  <c r="AI150" i="189" s="1"/>
  <c r="AH139" i="189"/>
  <c r="AI139" i="189" s="1"/>
  <c r="AH170" i="189"/>
  <c r="AI170" i="189" s="1"/>
  <c r="AH173" i="189"/>
  <c r="AH174" i="189"/>
  <c r="AH172" i="189"/>
  <c r="AH171" i="189"/>
  <c r="AH175" i="189"/>
  <c r="AI27" i="189"/>
  <c r="H83" i="185"/>
  <c r="H84" i="185"/>
  <c r="H10" i="185"/>
  <c r="H22" i="185"/>
  <c r="H3" i="185"/>
  <c r="H5" i="185"/>
  <c r="H17" i="185"/>
  <c r="H12" i="185"/>
  <c r="H24" i="185"/>
  <c r="H7" i="185"/>
  <c r="H19" i="185"/>
  <c r="H14" i="185"/>
  <c r="H26" i="185"/>
  <c r="H9" i="185"/>
  <c r="H21" i="185"/>
  <c r="H4" i="185"/>
  <c r="H16" i="185"/>
  <c r="H28" i="185"/>
  <c r="H11" i="185"/>
  <c r="H23" i="185"/>
  <c r="H8" i="185"/>
  <c r="H20" i="185"/>
  <c r="H18" i="185"/>
  <c r="H15" i="185"/>
  <c r="H6" i="185"/>
  <c r="H25" i="185"/>
  <c r="H13" i="185"/>
  <c r="H27" i="185"/>
  <c r="Y10" i="187"/>
  <c r="Y5" i="187"/>
  <c r="Y7" i="187"/>
  <c r="Y11" i="187"/>
  <c r="Y8" i="187"/>
  <c r="Y20" i="187"/>
  <c r="Y32" i="187"/>
  <c r="Y15" i="187"/>
  <c r="Y27" i="187"/>
  <c r="Y9" i="187"/>
  <c r="Y22" i="187"/>
  <c r="Y34" i="187"/>
  <c r="Y17" i="187"/>
  <c r="Y29" i="187"/>
  <c r="Y12" i="187"/>
  <c r="Y24" i="187"/>
  <c r="Y19" i="187"/>
  <c r="Y31" i="187"/>
  <c r="Y14" i="187"/>
  <c r="Y26" i="187"/>
  <c r="Y6" i="187"/>
  <c r="Y21" i="187"/>
  <c r="Y33" i="187"/>
  <c r="Y18" i="187"/>
  <c r="Y30" i="187"/>
  <c r="Y35" i="187"/>
  <c r="Y42" i="187"/>
  <c r="Y54" i="187"/>
  <c r="Y37" i="187"/>
  <c r="Y49" i="187"/>
  <c r="Y44" i="187"/>
  <c r="Y56" i="187"/>
  <c r="Y39" i="187"/>
  <c r="Y51" i="187"/>
  <c r="Y23" i="187"/>
  <c r="Y46" i="187"/>
  <c r="Y41" i="187"/>
  <c r="Y53" i="187"/>
  <c r="Y28" i="187"/>
  <c r="Y36" i="187"/>
  <c r="Y48" i="187"/>
  <c r="Y43" i="187"/>
  <c r="Y55" i="187"/>
  <c r="Y40" i="187"/>
  <c r="Y52" i="187"/>
  <c r="Y65" i="187"/>
  <c r="Y77" i="187"/>
  <c r="Y16" i="187"/>
  <c r="Y45" i="187"/>
  <c r="Y60" i="187"/>
  <c r="Y72" i="187"/>
  <c r="Y67" i="187"/>
  <c r="Y79" i="187"/>
  <c r="Y50" i="187"/>
  <c r="Y62" i="187"/>
  <c r="Y74" i="187"/>
  <c r="Y69" i="187"/>
  <c r="Y47" i="187"/>
  <c r="Y64" i="187"/>
  <c r="Y76" i="187"/>
  <c r="Y25" i="187"/>
  <c r="Y38" i="187"/>
  <c r="Y59" i="187"/>
  <c r="Y71" i="187"/>
  <c r="Y83" i="187"/>
  <c r="Y66" i="187"/>
  <c r="Y78" i="187"/>
  <c r="Y63" i="187"/>
  <c r="Y75" i="187"/>
  <c r="Y82" i="187"/>
  <c r="Y84" i="187"/>
  <c r="Y96" i="187"/>
  <c r="Y91" i="187"/>
  <c r="Y103" i="187"/>
  <c r="Y58" i="187"/>
  <c r="Y80" i="187"/>
  <c r="Y86" i="187"/>
  <c r="Y98" i="187"/>
  <c r="Y13" i="187"/>
  <c r="Y93" i="187"/>
  <c r="Y105" i="187"/>
  <c r="Y68" i="187"/>
  <c r="Y88" i="187"/>
  <c r="Y100" i="187"/>
  <c r="Y95" i="187"/>
  <c r="Y73" i="187"/>
  <c r="Y81" i="187"/>
  <c r="Y90" i="187"/>
  <c r="Y102" i="187"/>
  <c r="Y85" i="187"/>
  <c r="Y97" i="187"/>
  <c r="Y70" i="187"/>
  <c r="Y92" i="187"/>
  <c r="Y104" i="187"/>
  <c r="Y94" i="187"/>
  <c r="Y106" i="187"/>
  <c r="Y61" i="187"/>
  <c r="Y111" i="187"/>
  <c r="Y123" i="187"/>
  <c r="Y118" i="187"/>
  <c r="Y130" i="187"/>
  <c r="Y113" i="187"/>
  <c r="Y125" i="187"/>
  <c r="Y108" i="187"/>
  <c r="Y120" i="187"/>
  <c r="Y132" i="187"/>
  <c r="Y115" i="187"/>
  <c r="Y127" i="187"/>
  <c r="Y89" i="187"/>
  <c r="Y110" i="187"/>
  <c r="Y122" i="187"/>
  <c r="Y87" i="187"/>
  <c r="Y117" i="187"/>
  <c r="Y129" i="187"/>
  <c r="Y101" i="187"/>
  <c r="Y112" i="187"/>
  <c r="Y124" i="187"/>
  <c r="Y99" i="187"/>
  <c r="Y107" i="187"/>
  <c r="Y119" i="187"/>
  <c r="Y131" i="187"/>
  <c r="Y109" i="187"/>
  <c r="Y121" i="187"/>
  <c r="Y133" i="187"/>
  <c r="Y57" i="187"/>
  <c r="Y138" i="187"/>
  <c r="Y150" i="187"/>
  <c r="Y145" i="187"/>
  <c r="Y157" i="187"/>
  <c r="Y140" i="187"/>
  <c r="Y152" i="187"/>
  <c r="Y135" i="187"/>
  <c r="Y147" i="187"/>
  <c r="Y159" i="187"/>
  <c r="Y142" i="187"/>
  <c r="Y154" i="187"/>
  <c r="Y116" i="187"/>
  <c r="Y137" i="187"/>
  <c r="Y149" i="187"/>
  <c r="Y161" i="187"/>
  <c r="Y114" i="187"/>
  <c r="Y144" i="187"/>
  <c r="Y156" i="187"/>
  <c r="Y128" i="187"/>
  <c r="Y139" i="187"/>
  <c r="Y151" i="187"/>
  <c r="Y126" i="187"/>
  <c r="Y146" i="187"/>
  <c r="Y158" i="187"/>
  <c r="Y141" i="187"/>
  <c r="Y167" i="187"/>
  <c r="Y162" i="187"/>
  <c r="Y155" i="187"/>
  <c r="Y169" i="187"/>
  <c r="Y3" i="187"/>
  <c r="Y164" i="187"/>
  <c r="Y160" i="187"/>
  <c r="Y143" i="187"/>
  <c r="Y166" i="187"/>
  <c r="Y153" i="187"/>
  <c r="Y170" i="187"/>
  <c r="Y134" i="187"/>
  <c r="Y148" i="187"/>
  <c r="Y168" i="187"/>
  <c r="Y163" i="187"/>
  <c r="Y136" i="187"/>
  <c r="Y165" i="187"/>
  <c r="Y173" i="187"/>
  <c r="Y175" i="187"/>
  <c r="Y172" i="187"/>
  <c r="Y174" i="187"/>
  <c r="Y171" i="187"/>
  <c r="Z1" i="187"/>
  <c r="Z4" i="187" s="1"/>
  <c r="H101" i="185"/>
  <c r="H103" i="185"/>
  <c r="H102" i="185"/>
  <c r="H100" i="185"/>
  <c r="H32" i="185"/>
  <c r="H29" i="185"/>
  <c r="H39" i="185"/>
  <c r="H34" i="185"/>
  <c r="H37" i="185"/>
  <c r="H53" i="185"/>
  <c r="H65" i="185"/>
  <c r="H77" i="185"/>
  <c r="H35" i="185"/>
  <c r="H45" i="185"/>
  <c r="H57" i="185"/>
  <c r="H69" i="185"/>
  <c r="H49" i="185"/>
  <c r="H62" i="185"/>
  <c r="H75" i="185"/>
  <c r="H81" i="185"/>
  <c r="H51" i="185"/>
  <c r="H71" i="185"/>
  <c r="H86" i="185"/>
  <c r="H46" i="185"/>
  <c r="H58" i="185"/>
  <c r="H43" i="185"/>
  <c r="H48" i="185"/>
  <c r="H72" i="185"/>
  <c r="H98" i="185"/>
  <c r="H113" i="185"/>
  <c r="H125" i="185"/>
  <c r="H137" i="185"/>
  <c r="H149" i="185"/>
  <c r="H161" i="185"/>
  <c r="H31" i="185"/>
  <c r="H38" i="185"/>
  <c r="H42" i="185"/>
  <c r="H56" i="185"/>
  <c r="H61" i="185"/>
  <c r="H89" i="185"/>
  <c r="H105" i="185"/>
  <c r="H117" i="185"/>
  <c r="H129" i="185"/>
  <c r="H141" i="185"/>
  <c r="H153" i="185"/>
  <c r="H165" i="185"/>
  <c r="H44" i="185"/>
  <c r="H60" i="185"/>
  <c r="H47" i="185"/>
  <c r="H40" i="185"/>
  <c r="H76" i="185"/>
  <c r="H78" i="185"/>
  <c r="H80" i="185"/>
  <c r="H85" i="185"/>
  <c r="H97" i="185"/>
  <c r="H106" i="185"/>
  <c r="H126" i="185"/>
  <c r="H139" i="185"/>
  <c r="H152" i="185"/>
  <c r="H168" i="185"/>
  <c r="H54" i="185"/>
  <c r="H82" i="185"/>
  <c r="H88" i="185"/>
  <c r="H99" i="185"/>
  <c r="H115" i="185"/>
  <c r="H128" i="185"/>
  <c r="H148" i="185"/>
  <c r="H154" i="185"/>
  <c r="H172" i="185"/>
  <c r="H50" i="185"/>
  <c r="H55" i="185"/>
  <c r="H94" i="185"/>
  <c r="H41" i="185"/>
  <c r="H30" i="185"/>
  <c r="H104" i="185"/>
  <c r="H133" i="185"/>
  <c r="H138" i="185"/>
  <c r="H162" i="185"/>
  <c r="H92" i="185"/>
  <c r="H52" i="185"/>
  <c r="H79" i="185"/>
  <c r="H90" i="185"/>
  <c r="H96" i="185"/>
  <c r="H107" i="185"/>
  <c r="H112" i="185"/>
  <c r="H136" i="185"/>
  <c r="H146" i="185"/>
  <c r="H151" i="185"/>
  <c r="H174" i="185"/>
  <c r="H108" i="185"/>
  <c r="H110" i="185"/>
  <c r="H114" i="185"/>
  <c r="H118" i="185"/>
  <c r="H33" i="185"/>
  <c r="H67" i="185"/>
  <c r="H73" i="185"/>
  <c r="H63" i="185"/>
  <c r="H95" i="185"/>
  <c r="H93" i="185"/>
  <c r="H59" i="185"/>
  <c r="H109" i="185"/>
  <c r="H111" i="185"/>
  <c r="H119" i="185"/>
  <c r="H36" i="185"/>
  <c r="H64" i="185"/>
  <c r="H66" i="185"/>
  <c r="H70" i="185"/>
  <c r="H74" i="185"/>
  <c r="H68" i="185"/>
  <c r="H140" i="185"/>
  <c r="H142" i="185"/>
  <c r="H144" i="185"/>
  <c r="H158" i="185"/>
  <c r="H169" i="185"/>
  <c r="H87" i="185"/>
  <c r="H91" i="185"/>
  <c r="H116" i="185"/>
  <c r="H120" i="185"/>
  <c r="H122" i="185"/>
  <c r="H124" i="185"/>
  <c r="H130" i="185"/>
  <c r="H132" i="185"/>
  <c r="H134" i="185"/>
  <c r="H131" i="185"/>
  <c r="H157" i="185"/>
  <c r="H164" i="185"/>
  <c r="H166" i="185"/>
  <c r="H123" i="185"/>
  <c r="H147" i="185"/>
  <c r="H155" i="185"/>
  <c r="H156" i="185"/>
  <c r="H135" i="185"/>
  <c r="H143" i="185"/>
  <c r="H127" i="185"/>
  <c r="H171" i="185"/>
  <c r="H121" i="185"/>
  <c r="H159" i="185"/>
  <c r="H173" i="185"/>
  <c r="H150" i="185"/>
  <c r="H163" i="185"/>
  <c r="H145" i="185"/>
  <c r="H167" i="185"/>
  <c r="H170" i="185"/>
  <c r="H160" i="185"/>
  <c r="I1" i="185"/>
  <c r="T38" i="182"/>
  <c r="T39" i="182"/>
  <c r="T42" i="182"/>
  <c r="T44" i="182"/>
  <c r="T45" i="182"/>
  <c r="T43" i="182"/>
  <c r="T46" i="182"/>
  <c r="I83" i="185" l="1"/>
  <c r="I84" i="185"/>
  <c r="I15" i="185"/>
  <c r="I27" i="185"/>
  <c r="I10" i="185"/>
  <c r="I22" i="185"/>
  <c r="I3" i="185"/>
  <c r="I5" i="185"/>
  <c r="I17" i="185"/>
  <c r="I12" i="185"/>
  <c r="I24" i="185"/>
  <c r="I7" i="185"/>
  <c r="I19" i="185"/>
  <c r="I14" i="185"/>
  <c r="I26" i="185"/>
  <c r="I9" i="185"/>
  <c r="I21" i="185"/>
  <c r="I4" i="185"/>
  <c r="I16" i="185"/>
  <c r="I28" i="185"/>
  <c r="I13" i="185"/>
  <c r="I25" i="185"/>
  <c r="I18" i="185"/>
  <c r="I23" i="185"/>
  <c r="I6" i="185"/>
  <c r="I20" i="185"/>
  <c r="I11" i="185"/>
  <c r="I8" i="185"/>
  <c r="Z10" i="187"/>
  <c r="Z5" i="187"/>
  <c r="Z7" i="187"/>
  <c r="Z9" i="187"/>
  <c r="Z13" i="187"/>
  <c r="Z25" i="187"/>
  <c r="Z20" i="187"/>
  <c r="Z32" i="187"/>
  <c r="Z15" i="187"/>
  <c r="Z27" i="187"/>
  <c r="Z22" i="187"/>
  <c r="Z34" i="187"/>
  <c r="Z17" i="187"/>
  <c r="Z29" i="187"/>
  <c r="Z8" i="187"/>
  <c r="Z12" i="187"/>
  <c r="Z24" i="187"/>
  <c r="Z19" i="187"/>
  <c r="Z31" i="187"/>
  <c r="Z14" i="187"/>
  <c r="Z26" i="187"/>
  <c r="Z23" i="187"/>
  <c r="Z21" i="187"/>
  <c r="Z47" i="187"/>
  <c r="Z35" i="187"/>
  <c r="Z42" i="187"/>
  <c r="Z54" i="187"/>
  <c r="Z18" i="187"/>
  <c r="Z37" i="187"/>
  <c r="Z49" i="187"/>
  <c r="Z44" i="187"/>
  <c r="Z56" i="187"/>
  <c r="Z39" i="187"/>
  <c r="Z51" i="187"/>
  <c r="Z33" i="187"/>
  <c r="Z46" i="187"/>
  <c r="Z6" i="187"/>
  <c r="Z41" i="187"/>
  <c r="Z53" i="187"/>
  <c r="Z28" i="187"/>
  <c r="Z36" i="187"/>
  <c r="Z48" i="187"/>
  <c r="Z16" i="187"/>
  <c r="Z45" i="187"/>
  <c r="Z57" i="187"/>
  <c r="Z58" i="187"/>
  <c r="Z70" i="187"/>
  <c r="Z82" i="187"/>
  <c r="Z65" i="187"/>
  <c r="Z77" i="187"/>
  <c r="Z60" i="187"/>
  <c r="Z72" i="187"/>
  <c r="Z11" i="187"/>
  <c r="Z67" i="187"/>
  <c r="Z79" i="187"/>
  <c r="Z50" i="187"/>
  <c r="Z62" i="187"/>
  <c r="Z74" i="187"/>
  <c r="Z30" i="187"/>
  <c r="Z69" i="187"/>
  <c r="Z55" i="187"/>
  <c r="Z64" i="187"/>
  <c r="Z76" i="187"/>
  <c r="Z38" i="187"/>
  <c r="Z59" i="187"/>
  <c r="Z71" i="187"/>
  <c r="Z68" i="187"/>
  <c r="Z80" i="187"/>
  <c r="Z52" i="187"/>
  <c r="Z66" i="187"/>
  <c r="Z89" i="187"/>
  <c r="Z101" i="187"/>
  <c r="Z84" i="187"/>
  <c r="Z96" i="187"/>
  <c r="Z40" i="187"/>
  <c r="Z63" i="187"/>
  <c r="Z91" i="187"/>
  <c r="Z103" i="187"/>
  <c r="Z86" i="187"/>
  <c r="Z98" i="187"/>
  <c r="Z93" i="187"/>
  <c r="Z105" i="187"/>
  <c r="Z88" i="187"/>
  <c r="Z100" i="187"/>
  <c r="Z95" i="187"/>
  <c r="Z43" i="187"/>
  <c r="Z73" i="187"/>
  <c r="Z81" i="187"/>
  <c r="Z90" i="187"/>
  <c r="Z102" i="187"/>
  <c r="Z83" i="187"/>
  <c r="Z85" i="187"/>
  <c r="Z97" i="187"/>
  <c r="Z61" i="187"/>
  <c r="Z87" i="187"/>
  <c r="Z99" i="187"/>
  <c r="Z116" i="187"/>
  <c r="Z128" i="187"/>
  <c r="Z111" i="187"/>
  <c r="Z123" i="187"/>
  <c r="Z118" i="187"/>
  <c r="Z130" i="187"/>
  <c r="Z113" i="187"/>
  <c r="Z125" i="187"/>
  <c r="Z108" i="187"/>
  <c r="Z120" i="187"/>
  <c r="Z132" i="187"/>
  <c r="Z115" i="187"/>
  <c r="Z127" i="187"/>
  <c r="Z110" i="187"/>
  <c r="Z122" i="187"/>
  <c r="Z134" i="187"/>
  <c r="Z75" i="187"/>
  <c r="Z94" i="187"/>
  <c r="Z117" i="187"/>
  <c r="Z129" i="187"/>
  <c r="Z92" i="187"/>
  <c r="Z112" i="187"/>
  <c r="Z124" i="187"/>
  <c r="Z78" i="187"/>
  <c r="Z104" i="187"/>
  <c r="Z114" i="187"/>
  <c r="Z126" i="187"/>
  <c r="Z143" i="187"/>
  <c r="Z155" i="187"/>
  <c r="Z138" i="187"/>
  <c r="Z150" i="187"/>
  <c r="Z106" i="187"/>
  <c r="Z145" i="187"/>
  <c r="Z157" i="187"/>
  <c r="Z140" i="187"/>
  <c r="Z152" i="187"/>
  <c r="Z135" i="187"/>
  <c r="Z147" i="187"/>
  <c r="Z159" i="187"/>
  <c r="Z109" i="187"/>
  <c r="Z142" i="187"/>
  <c r="Z154" i="187"/>
  <c r="Z107" i="187"/>
  <c r="Z137" i="187"/>
  <c r="Z149" i="187"/>
  <c r="Z161" i="187"/>
  <c r="Z121" i="187"/>
  <c r="Z144" i="187"/>
  <c r="Z156" i="187"/>
  <c r="Z119" i="187"/>
  <c r="Z139" i="187"/>
  <c r="Z151" i="187"/>
  <c r="Z158" i="187"/>
  <c r="Z3" i="187"/>
  <c r="Z131" i="187"/>
  <c r="Z141" i="187"/>
  <c r="Z167" i="187"/>
  <c r="Z162" i="187"/>
  <c r="Z133" i="187"/>
  <c r="Z146" i="187"/>
  <c r="Z169" i="187"/>
  <c r="Z163" i="187"/>
  <c r="Z164" i="187"/>
  <c r="Z160" i="187"/>
  <c r="Z166" i="187"/>
  <c r="Z165" i="187"/>
  <c r="Z148" i="187"/>
  <c r="Z168" i="187"/>
  <c r="Z153" i="187"/>
  <c r="Z170" i="187"/>
  <c r="Z136" i="187"/>
  <c r="Z174" i="187"/>
  <c r="Z171" i="187"/>
  <c r="Z173" i="187"/>
  <c r="Z175" i="187"/>
  <c r="Z172" i="187"/>
  <c r="AA1" i="187"/>
  <c r="AA4" i="187" s="1"/>
  <c r="I102" i="185"/>
  <c r="I101" i="185"/>
  <c r="I103" i="185"/>
  <c r="I100" i="185"/>
  <c r="I34" i="185"/>
  <c r="I32" i="185"/>
  <c r="I46" i="185"/>
  <c r="I58" i="185"/>
  <c r="I70" i="185"/>
  <c r="I39" i="185"/>
  <c r="I50" i="185"/>
  <c r="I62" i="185"/>
  <c r="I74" i="185"/>
  <c r="I55" i="185"/>
  <c r="I68" i="185"/>
  <c r="I87" i="185"/>
  <c r="I41" i="185"/>
  <c r="I44" i="185"/>
  <c r="I64" i="185"/>
  <c r="I77" i="185"/>
  <c r="I91" i="185"/>
  <c r="I31" i="185"/>
  <c r="I38" i="185"/>
  <c r="I42" i="185"/>
  <c r="I51" i="185"/>
  <c r="I56" i="185"/>
  <c r="I61" i="185"/>
  <c r="I33" i="185"/>
  <c r="I37" i="185"/>
  <c r="I53" i="185"/>
  <c r="I63" i="185"/>
  <c r="I106" i="185"/>
  <c r="I118" i="185"/>
  <c r="I130" i="185"/>
  <c r="I142" i="185"/>
  <c r="I154" i="185"/>
  <c r="I166" i="185"/>
  <c r="I35" i="185"/>
  <c r="I40" i="185"/>
  <c r="I66" i="185"/>
  <c r="I81" i="185"/>
  <c r="I95" i="185"/>
  <c r="I110" i="185"/>
  <c r="I122" i="185"/>
  <c r="I134" i="185"/>
  <c r="I146" i="185"/>
  <c r="I158" i="185"/>
  <c r="I29" i="185"/>
  <c r="I49" i="185"/>
  <c r="I54" i="185"/>
  <c r="I52" i="185"/>
  <c r="I57" i="185"/>
  <c r="I47" i="185"/>
  <c r="I90" i="185"/>
  <c r="I96" i="185"/>
  <c r="I119" i="185"/>
  <c r="I132" i="185"/>
  <c r="I145" i="185"/>
  <c r="I165" i="185"/>
  <c r="I59" i="185"/>
  <c r="I108" i="185"/>
  <c r="I121" i="185"/>
  <c r="I141" i="185"/>
  <c r="I147" i="185"/>
  <c r="I45" i="185"/>
  <c r="I60" i="185"/>
  <c r="I94" i="185"/>
  <c r="I43" i="185"/>
  <c r="I48" i="185"/>
  <c r="I30" i="185"/>
  <c r="I109" i="185"/>
  <c r="I114" i="185"/>
  <c r="I143" i="185"/>
  <c r="I171" i="185"/>
  <c r="I104" i="185"/>
  <c r="I88" i="185"/>
  <c r="I117" i="185"/>
  <c r="I127" i="185"/>
  <c r="I156" i="185"/>
  <c r="I168" i="185"/>
  <c r="I172" i="185"/>
  <c r="I112" i="185"/>
  <c r="I116" i="185"/>
  <c r="I120" i="185"/>
  <c r="I124" i="185"/>
  <c r="I65" i="185"/>
  <c r="I69" i="185"/>
  <c r="I71" i="185"/>
  <c r="I75" i="185"/>
  <c r="I79" i="185"/>
  <c r="I86" i="185"/>
  <c r="I97" i="185"/>
  <c r="I67" i="185"/>
  <c r="I73" i="185"/>
  <c r="I89" i="185"/>
  <c r="I98" i="185"/>
  <c r="I85" i="185"/>
  <c r="I93" i="185"/>
  <c r="I107" i="185"/>
  <c r="I113" i="185"/>
  <c r="I115" i="185"/>
  <c r="I123" i="185"/>
  <c r="I125" i="185"/>
  <c r="I99" i="185"/>
  <c r="I111" i="185"/>
  <c r="I72" i="185"/>
  <c r="I76" i="185"/>
  <c r="I78" i="185"/>
  <c r="I80" i="185"/>
  <c r="I92" i="185"/>
  <c r="I36" i="185"/>
  <c r="I136" i="185"/>
  <c r="I148" i="185"/>
  <c r="I150" i="185"/>
  <c r="I152" i="185"/>
  <c r="I164" i="185"/>
  <c r="I174" i="185"/>
  <c r="I82" i="185"/>
  <c r="I126" i="185"/>
  <c r="I128" i="185"/>
  <c r="I138" i="185"/>
  <c r="I140" i="185"/>
  <c r="I144" i="185"/>
  <c r="I169" i="185"/>
  <c r="I159" i="185"/>
  <c r="I163" i="185"/>
  <c r="I167" i="185"/>
  <c r="I131" i="185"/>
  <c r="I139" i="185"/>
  <c r="I105" i="185"/>
  <c r="I155" i="185"/>
  <c r="I160" i="185"/>
  <c r="I151" i="185"/>
  <c r="I135" i="185"/>
  <c r="I173" i="185"/>
  <c r="I137" i="185"/>
  <c r="I133" i="185"/>
  <c r="I157" i="185"/>
  <c r="I129" i="185"/>
  <c r="I153" i="185"/>
  <c r="I162" i="185"/>
  <c r="I161" i="185"/>
  <c r="I149" i="185"/>
  <c r="I170" i="185"/>
  <c r="J1" i="185"/>
  <c r="T29" i="182"/>
  <c r="J84" i="185" l="1"/>
  <c r="J83" i="185"/>
  <c r="J8" i="185"/>
  <c r="J20" i="185"/>
  <c r="J15" i="185"/>
  <c r="J27" i="185"/>
  <c r="J10" i="185"/>
  <c r="J22" i="185"/>
  <c r="J3" i="185"/>
  <c r="J5" i="185"/>
  <c r="J17" i="185"/>
  <c r="J12" i="185"/>
  <c r="J24" i="185"/>
  <c r="J7" i="185"/>
  <c r="J19" i="185"/>
  <c r="J14" i="185"/>
  <c r="J26" i="185"/>
  <c r="J9" i="185"/>
  <c r="J21" i="185"/>
  <c r="J6" i="185"/>
  <c r="J18" i="185"/>
  <c r="J4" i="185"/>
  <c r="J23" i="185"/>
  <c r="J11" i="185"/>
  <c r="J28" i="185"/>
  <c r="J25" i="185"/>
  <c r="J13" i="185"/>
  <c r="J16" i="185"/>
  <c r="AA8" i="187"/>
  <c r="AA10" i="187"/>
  <c r="AA5" i="187"/>
  <c r="AA9" i="187"/>
  <c r="AA6" i="187"/>
  <c r="AA11" i="187"/>
  <c r="AA18" i="187"/>
  <c r="AA30" i="187"/>
  <c r="AA13" i="187"/>
  <c r="AA25" i="187"/>
  <c r="AA20" i="187"/>
  <c r="AA32" i="187"/>
  <c r="AA15" i="187"/>
  <c r="AA27" i="187"/>
  <c r="AA22" i="187"/>
  <c r="AA17" i="187"/>
  <c r="AA29" i="187"/>
  <c r="AA7" i="187"/>
  <c r="AA12" i="187"/>
  <c r="AA24" i="187"/>
  <c r="AA19" i="187"/>
  <c r="AA31" i="187"/>
  <c r="AA16" i="187"/>
  <c r="AA28" i="187"/>
  <c r="AA40" i="187"/>
  <c r="AA52" i="187"/>
  <c r="AA21" i="187"/>
  <c r="AA47" i="187"/>
  <c r="AA35" i="187"/>
  <c r="AA42" i="187"/>
  <c r="AA54" i="187"/>
  <c r="AA26" i="187"/>
  <c r="AA37" i="187"/>
  <c r="AA49" i="187"/>
  <c r="AA44" i="187"/>
  <c r="AA56" i="187"/>
  <c r="AA23" i="187"/>
  <c r="AA39" i="187"/>
  <c r="AA51" i="187"/>
  <c r="AA14" i="187"/>
  <c r="AA33" i="187"/>
  <c r="AA34" i="187"/>
  <c r="AA46" i="187"/>
  <c r="AA58" i="187"/>
  <c r="AA41" i="187"/>
  <c r="AA53" i="187"/>
  <c r="AA38" i="187"/>
  <c r="AA50" i="187"/>
  <c r="AA48" i="187"/>
  <c r="AA57" i="187"/>
  <c r="AA63" i="187"/>
  <c r="AA75" i="187"/>
  <c r="AA70" i="187"/>
  <c r="AA45" i="187"/>
  <c r="AA65" i="187"/>
  <c r="AA77" i="187"/>
  <c r="AA36" i="187"/>
  <c r="AA60" i="187"/>
  <c r="AA72" i="187"/>
  <c r="AA67" i="187"/>
  <c r="AA79" i="187"/>
  <c r="AA62" i="187"/>
  <c r="AA74" i="187"/>
  <c r="AA69" i="187"/>
  <c r="AA81" i="187"/>
  <c r="AA55" i="187"/>
  <c r="AA64" i="187"/>
  <c r="AA76" i="187"/>
  <c r="AA43" i="187"/>
  <c r="AA61" i="187"/>
  <c r="AA73" i="187"/>
  <c r="AA94" i="187"/>
  <c r="AA106" i="187"/>
  <c r="AA66" i="187"/>
  <c r="AA82" i="187"/>
  <c r="AA89" i="187"/>
  <c r="AA101" i="187"/>
  <c r="AA84" i="187"/>
  <c r="AA96" i="187"/>
  <c r="AA71" i="187"/>
  <c r="AA80" i="187"/>
  <c r="AA91" i="187"/>
  <c r="AA103" i="187"/>
  <c r="AA86" i="187"/>
  <c r="AA98" i="187"/>
  <c r="AA68" i="187"/>
  <c r="AA93" i="187"/>
  <c r="AA105" i="187"/>
  <c r="AA59" i="187"/>
  <c r="AA88" i="187"/>
  <c r="AA100" i="187"/>
  <c r="AA95" i="187"/>
  <c r="AA90" i="187"/>
  <c r="AA102" i="187"/>
  <c r="AA78" i="187"/>
  <c r="AA92" i="187"/>
  <c r="AA104" i="187"/>
  <c r="AA109" i="187"/>
  <c r="AA121" i="187"/>
  <c r="AA133" i="187"/>
  <c r="AA116" i="187"/>
  <c r="AA128" i="187"/>
  <c r="AA111" i="187"/>
  <c r="AA123" i="187"/>
  <c r="AA118" i="187"/>
  <c r="AA130" i="187"/>
  <c r="AA113" i="187"/>
  <c r="AA125" i="187"/>
  <c r="AA108" i="187"/>
  <c r="AA120" i="187"/>
  <c r="AA132" i="187"/>
  <c r="AA115" i="187"/>
  <c r="AA127" i="187"/>
  <c r="AA87" i="187"/>
  <c r="AA110" i="187"/>
  <c r="AA122" i="187"/>
  <c r="AA85" i="187"/>
  <c r="AA117" i="187"/>
  <c r="AA129" i="187"/>
  <c r="AA83" i="187"/>
  <c r="AA97" i="187"/>
  <c r="AA107" i="187"/>
  <c r="AA119" i="187"/>
  <c r="AA131" i="187"/>
  <c r="AA136" i="187"/>
  <c r="AA148" i="187"/>
  <c r="AA160" i="187"/>
  <c r="AA143" i="187"/>
  <c r="AA155" i="187"/>
  <c r="AA138" i="187"/>
  <c r="AA150" i="187"/>
  <c r="AA145" i="187"/>
  <c r="AA157" i="187"/>
  <c r="AA140" i="187"/>
  <c r="AA152" i="187"/>
  <c r="AA135" i="187"/>
  <c r="AA147" i="187"/>
  <c r="AA159" i="187"/>
  <c r="AA142" i="187"/>
  <c r="AA154" i="187"/>
  <c r="AA114" i="187"/>
  <c r="AA137" i="187"/>
  <c r="AA149" i="187"/>
  <c r="AA161" i="187"/>
  <c r="AA99" i="187"/>
  <c r="AA112" i="187"/>
  <c r="AA144" i="187"/>
  <c r="AA156" i="187"/>
  <c r="AA165" i="187"/>
  <c r="AA170" i="187"/>
  <c r="AA158" i="187"/>
  <c r="AA141" i="187"/>
  <c r="AA167" i="187"/>
  <c r="AA162" i="187"/>
  <c r="AA168" i="187"/>
  <c r="AA124" i="187"/>
  <c r="AA146" i="187"/>
  <c r="AA169" i="187"/>
  <c r="AA164" i="187"/>
  <c r="AA3" i="187"/>
  <c r="AA139" i="187"/>
  <c r="AA126" i="187"/>
  <c r="AA151" i="187"/>
  <c r="AA166" i="187"/>
  <c r="AA134" i="187"/>
  <c r="AA163" i="187"/>
  <c r="AA153" i="187"/>
  <c r="AA175" i="187"/>
  <c r="AA171" i="187"/>
  <c r="AA172" i="187"/>
  <c r="AA174" i="187"/>
  <c r="AA173" i="187"/>
  <c r="AB1" i="187"/>
  <c r="AB4" i="187" s="1"/>
  <c r="J102" i="185"/>
  <c r="J101" i="185"/>
  <c r="J103" i="185"/>
  <c r="J100" i="185"/>
  <c r="J30" i="185"/>
  <c r="J31" i="185"/>
  <c r="J37" i="185"/>
  <c r="J33" i="185"/>
  <c r="J41" i="185"/>
  <c r="J51" i="185"/>
  <c r="J63" i="185"/>
  <c r="J75" i="185"/>
  <c r="J43" i="185"/>
  <c r="J55" i="185"/>
  <c r="J67" i="185"/>
  <c r="J79" i="185"/>
  <c r="J38" i="185"/>
  <c r="J48" i="185"/>
  <c r="J61" i="185"/>
  <c r="J92" i="185"/>
  <c r="J57" i="185"/>
  <c r="J70" i="185"/>
  <c r="J35" i="185"/>
  <c r="J40" i="185"/>
  <c r="J29" i="185"/>
  <c r="J39" i="185"/>
  <c r="J44" i="185"/>
  <c r="J49" i="185"/>
  <c r="J54" i="185"/>
  <c r="J58" i="185"/>
  <c r="J68" i="185"/>
  <c r="J73" i="185"/>
  <c r="J86" i="185"/>
  <c r="J96" i="185"/>
  <c r="J111" i="185"/>
  <c r="J123" i="185"/>
  <c r="J135" i="185"/>
  <c r="J147" i="185"/>
  <c r="J159" i="185"/>
  <c r="J47" i="185"/>
  <c r="J71" i="185"/>
  <c r="J76" i="185"/>
  <c r="J88" i="185"/>
  <c r="J115" i="185"/>
  <c r="J127" i="185"/>
  <c r="J139" i="185"/>
  <c r="J151" i="185"/>
  <c r="J163" i="185"/>
  <c r="J59" i="185"/>
  <c r="J32" i="185"/>
  <c r="J52" i="185"/>
  <c r="J112" i="185"/>
  <c r="J125" i="185"/>
  <c r="J138" i="185"/>
  <c r="J158" i="185"/>
  <c r="J164" i="185"/>
  <c r="J98" i="185"/>
  <c r="J114" i="185"/>
  <c r="J134" i="185"/>
  <c r="J140" i="185"/>
  <c r="J160" i="185"/>
  <c r="J170" i="185"/>
  <c r="J45" i="185"/>
  <c r="J50" i="185"/>
  <c r="J60" i="185"/>
  <c r="J99" i="185"/>
  <c r="J53" i="185"/>
  <c r="J119" i="185"/>
  <c r="J124" i="185"/>
  <c r="J148" i="185"/>
  <c r="J153" i="185"/>
  <c r="J34" i="185"/>
  <c r="J36" i="185"/>
  <c r="J46" i="185"/>
  <c r="J56" i="185"/>
  <c r="J95" i="185"/>
  <c r="J122" i="185"/>
  <c r="J132" i="185"/>
  <c r="J137" i="185"/>
  <c r="J161" i="185"/>
  <c r="J166" i="185"/>
  <c r="J126" i="185"/>
  <c r="J128" i="185"/>
  <c r="J130" i="185"/>
  <c r="J144" i="185"/>
  <c r="J82" i="185"/>
  <c r="J87" i="185"/>
  <c r="J91" i="185"/>
  <c r="J77" i="185"/>
  <c r="J90" i="185"/>
  <c r="J65" i="185"/>
  <c r="J69" i="185"/>
  <c r="J81" i="185"/>
  <c r="J97" i="185"/>
  <c r="J104" i="185"/>
  <c r="J94" i="185"/>
  <c r="J89" i="185"/>
  <c r="J117" i="185"/>
  <c r="J121" i="185"/>
  <c r="J129" i="185"/>
  <c r="J131" i="185"/>
  <c r="J133" i="185"/>
  <c r="J85" i="185"/>
  <c r="J93" i="185"/>
  <c r="J107" i="185"/>
  <c r="J109" i="185"/>
  <c r="J113" i="185"/>
  <c r="J42" i="185"/>
  <c r="J105" i="185"/>
  <c r="J62" i="185"/>
  <c r="J64" i="185"/>
  <c r="J66" i="185"/>
  <c r="J72" i="185"/>
  <c r="J74" i="185"/>
  <c r="J78" i="185"/>
  <c r="J80" i="185"/>
  <c r="J146" i="185"/>
  <c r="J154" i="185"/>
  <c r="J156" i="185"/>
  <c r="J162" i="185"/>
  <c r="J173" i="185"/>
  <c r="J136" i="185"/>
  <c r="J142" i="185"/>
  <c r="J150" i="185"/>
  <c r="J152" i="185"/>
  <c r="J174" i="185"/>
  <c r="J169" i="185"/>
  <c r="J118" i="185"/>
  <c r="J108" i="185"/>
  <c r="J110" i="185"/>
  <c r="J149" i="185"/>
  <c r="J171" i="185"/>
  <c r="J157" i="185"/>
  <c r="J168" i="185"/>
  <c r="J106" i="185"/>
  <c r="J172" i="185"/>
  <c r="J155" i="185"/>
  <c r="J165" i="185"/>
  <c r="J116" i="185"/>
  <c r="J141" i="185"/>
  <c r="J143" i="185"/>
  <c r="J145" i="185"/>
  <c r="J120" i="185"/>
  <c r="J167" i="185"/>
  <c r="K1" i="185"/>
  <c r="T35" i="182"/>
  <c r="T37" i="182"/>
  <c r="AB8" i="187" l="1"/>
  <c r="AB10" i="187"/>
  <c r="AB5" i="187"/>
  <c r="AB7" i="187"/>
  <c r="AB11" i="187"/>
  <c r="AB23" i="187"/>
  <c r="AB18" i="187"/>
  <c r="AB30" i="187"/>
  <c r="AB13" i="187"/>
  <c r="AB25" i="187"/>
  <c r="AB9" i="187"/>
  <c r="AB20" i="187"/>
  <c r="AB32" i="187"/>
  <c r="AB15" i="187"/>
  <c r="AB27" i="187"/>
  <c r="AB22" i="187"/>
  <c r="AB17" i="187"/>
  <c r="AB29" i="187"/>
  <c r="AB12" i="187"/>
  <c r="AB24" i="187"/>
  <c r="AB21" i="187"/>
  <c r="AB33" i="187"/>
  <c r="AB45" i="187"/>
  <c r="AB57" i="187"/>
  <c r="AB40" i="187"/>
  <c r="AB52" i="187"/>
  <c r="AB47" i="187"/>
  <c r="AB35" i="187"/>
  <c r="AB42" i="187"/>
  <c r="AB54" i="187"/>
  <c r="AB26" i="187"/>
  <c r="AB37" i="187"/>
  <c r="AB49" i="187"/>
  <c r="AB44" i="187"/>
  <c r="AB56" i="187"/>
  <c r="AB31" i="187"/>
  <c r="AB39" i="187"/>
  <c r="AB51" i="187"/>
  <c r="AB6" i="187"/>
  <c r="AB14" i="187"/>
  <c r="AB34" i="187"/>
  <c r="AB46" i="187"/>
  <c r="AB58" i="187"/>
  <c r="AB43" i="187"/>
  <c r="AB55" i="187"/>
  <c r="AB28" i="187"/>
  <c r="AB68" i="187"/>
  <c r="AB80" i="187"/>
  <c r="AB48" i="187"/>
  <c r="AB63" i="187"/>
  <c r="AB75" i="187"/>
  <c r="AB16" i="187"/>
  <c r="AB70" i="187"/>
  <c r="AB82" i="187"/>
  <c r="AB53" i="187"/>
  <c r="AB65" i="187"/>
  <c r="AB77" i="187"/>
  <c r="AB36" i="187"/>
  <c r="AB60" i="187"/>
  <c r="AB72" i="187"/>
  <c r="AB50" i="187"/>
  <c r="AB67" i="187"/>
  <c r="AB79" i="187"/>
  <c r="AB41" i="187"/>
  <c r="AB62" i="187"/>
  <c r="AB74" i="187"/>
  <c r="AB19" i="187"/>
  <c r="AB69" i="187"/>
  <c r="AB81" i="187"/>
  <c r="AB66" i="187"/>
  <c r="AB78" i="187"/>
  <c r="AB87" i="187"/>
  <c r="AB99" i="187"/>
  <c r="AB94" i="187"/>
  <c r="AB106" i="187"/>
  <c r="AB89" i="187"/>
  <c r="AB101" i="187"/>
  <c r="AB84" i="187"/>
  <c r="AB96" i="187"/>
  <c r="AB71" i="187"/>
  <c r="AB91" i="187"/>
  <c r="AB103" i="187"/>
  <c r="AB86" i="187"/>
  <c r="AB98" i="187"/>
  <c r="AB76" i="187"/>
  <c r="AB93" i="187"/>
  <c r="AB105" i="187"/>
  <c r="AB59" i="187"/>
  <c r="AB88" i="187"/>
  <c r="AB100" i="187"/>
  <c r="AB73" i="187"/>
  <c r="AB95" i="187"/>
  <c r="AB83" i="187"/>
  <c r="AB85" i="187"/>
  <c r="AB97" i="187"/>
  <c r="AB102" i="187"/>
  <c r="AB114" i="187"/>
  <c r="AB126" i="187"/>
  <c r="AB61" i="187"/>
  <c r="AB109" i="187"/>
  <c r="AB121" i="187"/>
  <c r="AB133" i="187"/>
  <c r="AB38" i="187"/>
  <c r="AB116" i="187"/>
  <c r="AB128" i="187"/>
  <c r="AB111" i="187"/>
  <c r="AB123" i="187"/>
  <c r="AB64" i="187"/>
  <c r="AB118" i="187"/>
  <c r="AB130" i="187"/>
  <c r="AB113" i="187"/>
  <c r="AB125" i="187"/>
  <c r="AB108" i="187"/>
  <c r="AB120" i="187"/>
  <c r="AB132" i="187"/>
  <c r="AB115" i="187"/>
  <c r="AB127" i="187"/>
  <c r="AB110" i="187"/>
  <c r="AB122" i="187"/>
  <c r="AB90" i="187"/>
  <c r="AB112" i="187"/>
  <c r="AB124" i="187"/>
  <c r="AB129" i="187"/>
  <c r="AB134" i="187"/>
  <c r="AB141" i="187"/>
  <c r="AB153" i="187"/>
  <c r="AB104" i="187"/>
  <c r="AB136" i="187"/>
  <c r="AB148" i="187"/>
  <c r="AB160" i="187"/>
  <c r="AB92" i="187"/>
  <c r="AB143" i="187"/>
  <c r="AB155" i="187"/>
  <c r="AB138" i="187"/>
  <c r="AB150" i="187"/>
  <c r="AB145" i="187"/>
  <c r="AB157" i="187"/>
  <c r="AB140" i="187"/>
  <c r="AB152" i="187"/>
  <c r="AB135" i="187"/>
  <c r="AB147" i="187"/>
  <c r="AB159" i="187"/>
  <c r="AB107" i="187"/>
  <c r="AB142" i="187"/>
  <c r="AB154" i="187"/>
  <c r="AB137" i="187"/>
  <c r="AB149" i="187"/>
  <c r="AB161" i="187"/>
  <c r="AB144" i="187"/>
  <c r="AB170" i="187"/>
  <c r="AB165" i="187"/>
  <c r="AB119" i="187"/>
  <c r="AB131" i="187"/>
  <c r="AB158" i="187"/>
  <c r="AB156" i="187"/>
  <c r="AB167" i="187"/>
  <c r="AB162" i="187"/>
  <c r="AB146" i="187"/>
  <c r="AB169" i="187"/>
  <c r="AB164" i="187"/>
  <c r="AB3" i="187"/>
  <c r="AB117" i="187"/>
  <c r="AB151" i="187"/>
  <c r="AB166" i="187"/>
  <c r="AB139" i="187"/>
  <c r="AB168" i="187"/>
  <c r="AB163" i="187"/>
  <c r="K84" i="185"/>
  <c r="K83" i="185"/>
  <c r="K13" i="185"/>
  <c r="K25" i="185"/>
  <c r="K8" i="185"/>
  <c r="K20" i="185"/>
  <c r="K15" i="185"/>
  <c r="K27" i="185"/>
  <c r="K10" i="185"/>
  <c r="K22" i="185"/>
  <c r="K3" i="185"/>
  <c r="K5" i="185"/>
  <c r="K17" i="185"/>
  <c r="K12" i="185"/>
  <c r="K24" i="185"/>
  <c r="K7" i="185"/>
  <c r="K19" i="185"/>
  <c r="K14" i="185"/>
  <c r="K26" i="185"/>
  <c r="K11" i="185"/>
  <c r="K23" i="185"/>
  <c r="K21" i="185"/>
  <c r="K4" i="185"/>
  <c r="K18" i="185"/>
  <c r="K9" i="185"/>
  <c r="K6" i="185"/>
  <c r="K16" i="185"/>
  <c r="K28" i="185"/>
  <c r="AB172" i="187"/>
  <c r="AB173" i="187"/>
  <c r="AB175" i="187"/>
  <c r="AB174" i="187"/>
  <c r="AB171" i="187"/>
  <c r="AC1" i="187"/>
  <c r="AC4" i="187" s="1"/>
  <c r="K102" i="185"/>
  <c r="K101" i="185"/>
  <c r="K103" i="185"/>
  <c r="K100" i="185"/>
  <c r="K35" i="185"/>
  <c r="K32" i="185"/>
  <c r="K42" i="185"/>
  <c r="K44" i="185"/>
  <c r="K56" i="185"/>
  <c r="K68" i="185"/>
  <c r="K80" i="185"/>
  <c r="K31" i="185"/>
  <c r="K36" i="185"/>
  <c r="K38" i="185"/>
  <c r="K48" i="185"/>
  <c r="K60" i="185"/>
  <c r="K72" i="185"/>
  <c r="K54" i="185"/>
  <c r="K74" i="185"/>
  <c r="K85" i="185"/>
  <c r="K50" i="185"/>
  <c r="K63" i="185"/>
  <c r="K76" i="185"/>
  <c r="K89" i="185"/>
  <c r="K47" i="185"/>
  <c r="K41" i="185"/>
  <c r="K59" i="185"/>
  <c r="K29" i="185"/>
  <c r="K33" i="185"/>
  <c r="K37" i="185"/>
  <c r="K39" i="185"/>
  <c r="K49" i="185"/>
  <c r="K78" i="185"/>
  <c r="K92" i="185"/>
  <c r="K104" i="185"/>
  <c r="K116" i="185"/>
  <c r="K128" i="185"/>
  <c r="K140" i="185"/>
  <c r="K152" i="185"/>
  <c r="K164" i="185"/>
  <c r="K52" i="185"/>
  <c r="K93" i="185"/>
  <c r="K108" i="185"/>
  <c r="K120" i="185"/>
  <c r="K132" i="185"/>
  <c r="K144" i="185"/>
  <c r="K156" i="185"/>
  <c r="K57" i="185"/>
  <c r="K105" i="185"/>
  <c r="K118" i="185"/>
  <c r="K131" i="185"/>
  <c r="K151" i="185"/>
  <c r="K157" i="185"/>
  <c r="K30" i="185"/>
  <c r="K107" i="185"/>
  <c r="K127" i="185"/>
  <c r="K133" i="185"/>
  <c r="K153" i="185"/>
  <c r="K166" i="185"/>
  <c r="K46" i="185"/>
  <c r="K61" i="185"/>
  <c r="K95" i="185"/>
  <c r="K55" i="185"/>
  <c r="K58" i="185"/>
  <c r="K43" i="185"/>
  <c r="K53" i="185"/>
  <c r="K97" i="185"/>
  <c r="K129" i="185"/>
  <c r="K158" i="185"/>
  <c r="K163" i="185"/>
  <c r="K173" i="185"/>
  <c r="K51" i="185"/>
  <c r="K62" i="185"/>
  <c r="K64" i="185"/>
  <c r="K65" i="185"/>
  <c r="K66" i="185"/>
  <c r="K67" i="185"/>
  <c r="K69" i="185"/>
  <c r="K73" i="185"/>
  <c r="K81" i="185"/>
  <c r="K113" i="185"/>
  <c r="K142" i="185"/>
  <c r="K167" i="185"/>
  <c r="K122" i="185"/>
  <c r="K134" i="185"/>
  <c r="K136" i="185"/>
  <c r="K138" i="185"/>
  <c r="K150" i="185"/>
  <c r="K82" i="185"/>
  <c r="K87" i="185"/>
  <c r="K91" i="185"/>
  <c r="K40" i="185"/>
  <c r="K106" i="185"/>
  <c r="K110" i="185"/>
  <c r="K34" i="185"/>
  <c r="K96" i="185"/>
  <c r="K71" i="185"/>
  <c r="K75" i="185"/>
  <c r="K77" i="185"/>
  <c r="K79" i="185"/>
  <c r="K86" i="185"/>
  <c r="K90" i="185"/>
  <c r="K94" i="185"/>
  <c r="K98" i="185"/>
  <c r="K135" i="185"/>
  <c r="K137" i="185"/>
  <c r="K139" i="185"/>
  <c r="K143" i="185"/>
  <c r="K145" i="185"/>
  <c r="K149" i="185"/>
  <c r="K115" i="185"/>
  <c r="K117" i="185"/>
  <c r="K119" i="185"/>
  <c r="K121" i="185"/>
  <c r="K123" i="185"/>
  <c r="K125" i="185"/>
  <c r="K88" i="185"/>
  <c r="K70" i="185"/>
  <c r="K160" i="185"/>
  <c r="K170" i="185"/>
  <c r="K171" i="185"/>
  <c r="K45" i="185"/>
  <c r="K146" i="185"/>
  <c r="K148" i="185"/>
  <c r="K154" i="185"/>
  <c r="K162" i="185"/>
  <c r="K174" i="185"/>
  <c r="K126" i="185"/>
  <c r="K111" i="185"/>
  <c r="K99" i="185"/>
  <c r="K165" i="185"/>
  <c r="K130" i="185"/>
  <c r="K147" i="185"/>
  <c r="K112" i="185"/>
  <c r="K109" i="185"/>
  <c r="K114" i="185"/>
  <c r="K172" i="185"/>
  <c r="K159" i="185"/>
  <c r="K155" i="185"/>
  <c r="K141" i="185"/>
  <c r="K161" i="185"/>
  <c r="K168" i="185"/>
  <c r="K169" i="185"/>
  <c r="K124" i="185"/>
  <c r="L1" i="185"/>
  <c r="T32" i="182"/>
  <c r="AC6" i="187" l="1"/>
  <c r="AC8" i="187"/>
  <c r="AC10" i="187"/>
  <c r="AC7" i="187"/>
  <c r="AC16" i="187"/>
  <c r="AC28" i="187"/>
  <c r="AC11" i="187"/>
  <c r="AC23" i="187"/>
  <c r="AC18" i="187"/>
  <c r="AC30" i="187"/>
  <c r="AC13" i="187"/>
  <c r="AC25" i="187"/>
  <c r="AC9" i="187"/>
  <c r="AC20" i="187"/>
  <c r="AC15" i="187"/>
  <c r="AC27" i="187"/>
  <c r="AC22" i="187"/>
  <c r="AC34" i="187"/>
  <c r="AC17" i="187"/>
  <c r="AC29" i="187"/>
  <c r="AC5" i="187"/>
  <c r="AC14" i="187"/>
  <c r="AC26" i="187"/>
  <c r="AC24" i="187"/>
  <c r="AC38" i="187"/>
  <c r="AC50" i="187"/>
  <c r="AC45" i="187"/>
  <c r="AC57" i="187"/>
  <c r="AC21" i="187"/>
  <c r="AC40" i="187"/>
  <c r="AC52" i="187"/>
  <c r="AC12" i="187"/>
  <c r="AC47" i="187"/>
  <c r="AC35" i="187"/>
  <c r="AC42" i="187"/>
  <c r="AC54" i="187"/>
  <c r="AC32" i="187"/>
  <c r="AC37" i="187"/>
  <c r="AC49" i="187"/>
  <c r="AC44" i="187"/>
  <c r="AC56" i="187"/>
  <c r="AC31" i="187"/>
  <c r="AC33" i="187"/>
  <c r="AC39" i="187"/>
  <c r="AC51" i="187"/>
  <c r="AC19" i="187"/>
  <c r="AC36" i="187"/>
  <c r="AC48" i="187"/>
  <c r="AC61" i="187"/>
  <c r="AC73" i="187"/>
  <c r="AC58" i="187"/>
  <c r="AC68" i="187"/>
  <c r="AC80" i="187"/>
  <c r="AC63" i="187"/>
  <c r="AC75" i="187"/>
  <c r="AC70" i="187"/>
  <c r="AC53" i="187"/>
  <c r="AC65" i="187"/>
  <c r="AC77" i="187"/>
  <c r="AC60" i="187"/>
  <c r="AC72" i="187"/>
  <c r="AC67" i="187"/>
  <c r="AC79" i="187"/>
  <c r="AC41" i="187"/>
  <c r="AC62" i="187"/>
  <c r="AC74" i="187"/>
  <c r="AC59" i="187"/>
  <c r="AC71" i="187"/>
  <c r="AC83" i="187"/>
  <c r="AC69" i="187"/>
  <c r="AC92" i="187"/>
  <c r="AC104" i="187"/>
  <c r="AC46" i="187"/>
  <c r="AC87" i="187"/>
  <c r="AC99" i="187"/>
  <c r="AC66" i="187"/>
  <c r="AC82" i="187"/>
  <c r="AC94" i="187"/>
  <c r="AC106" i="187"/>
  <c r="AC89" i="187"/>
  <c r="AC101" i="187"/>
  <c r="AC84" i="187"/>
  <c r="AC96" i="187"/>
  <c r="AC91" i="187"/>
  <c r="AC103" i="187"/>
  <c r="AC55" i="187"/>
  <c r="AC86" i="187"/>
  <c r="AC98" i="187"/>
  <c r="AC76" i="187"/>
  <c r="AC93" i="187"/>
  <c r="AC105" i="187"/>
  <c r="AC43" i="187"/>
  <c r="AC81" i="187"/>
  <c r="AC88" i="187"/>
  <c r="AC100" i="187"/>
  <c r="AC64" i="187"/>
  <c r="AC90" i="187"/>
  <c r="AC102" i="187"/>
  <c r="AC95" i="187"/>
  <c r="AC107" i="187"/>
  <c r="AC119" i="187"/>
  <c r="AC131" i="187"/>
  <c r="AC114" i="187"/>
  <c r="AC126" i="187"/>
  <c r="AC109" i="187"/>
  <c r="AC121" i="187"/>
  <c r="AC133" i="187"/>
  <c r="AC116" i="187"/>
  <c r="AC128" i="187"/>
  <c r="AC111" i="187"/>
  <c r="AC123" i="187"/>
  <c r="AC118" i="187"/>
  <c r="AC130" i="187"/>
  <c r="AC113" i="187"/>
  <c r="AC125" i="187"/>
  <c r="AC108" i="187"/>
  <c r="AC120" i="187"/>
  <c r="AC132" i="187"/>
  <c r="AC115" i="187"/>
  <c r="AC127" i="187"/>
  <c r="AC117" i="187"/>
  <c r="AC129" i="187"/>
  <c r="AC122" i="187"/>
  <c r="AC146" i="187"/>
  <c r="AC158" i="187"/>
  <c r="AC134" i="187"/>
  <c r="AC141" i="187"/>
  <c r="AC153" i="187"/>
  <c r="AC136" i="187"/>
  <c r="AC148" i="187"/>
  <c r="AC160" i="187"/>
  <c r="AC143" i="187"/>
  <c r="AC155" i="187"/>
  <c r="AC138" i="187"/>
  <c r="AC150" i="187"/>
  <c r="AC78" i="187"/>
  <c r="AC145" i="187"/>
  <c r="AC157" i="187"/>
  <c r="AC140" i="187"/>
  <c r="AC152" i="187"/>
  <c r="AC97" i="187"/>
  <c r="AC135" i="187"/>
  <c r="AC147" i="187"/>
  <c r="AC159" i="187"/>
  <c r="AC85" i="187"/>
  <c r="AC142" i="187"/>
  <c r="AC154" i="187"/>
  <c r="AC112" i="187"/>
  <c r="AC161" i="187"/>
  <c r="AC163" i="187"/>
  <c r="AC144" i="187"/>
  <c r="AC170" i="187"/>
  <c r="AC165" i="187"/>
  <c r="AC149" i="187"/>
  <c r="AC166" i="187"/>
  <c r="AC167" i="187"/>
  <c r="AC124" i="187"/>
  <c r="AC162" i="187"/>
  <c r="AC137" i="187"/>
  <c r="AC169" i="187"/>
  <c r="AC168" i="187"/>
  <c r="AC164" i="187"/>
  <c r="AC3" i="187"/>
  <c r="AC151" i="187"/>
  <c r="AC110" i="187"/>
  <c r="AC156" i="187"/>
  <c r="AC139" i="187"/>
  <c r="L83" i="185"/>
  <c r="L84" i="185"/>
  <c r="L6" i="185"/>
  <c r="L18" i="185"/>
  <c r="L13" i="185"/>
  <c r="L25" i="185"/>
  <c r="L8" i="185"/>
  <c r="L20" i="185"/>
  <c r="L15" i="185"/>
  <c r="L27" i="185"/>
  <c r="L10" i="185"/>
  <c r="L22" i="185"/>
  <c r="L3" i="185"/>
  <c r="L5" i="185"/>
  <c r="L17" i="185"/>
  <c r="L12" i="185"/>
  <c r="L24" i="185"/>
  <c r="L7" i="185"/>
  <c r="L19" i="185"/>
  <c r="L4" i="185"/>
  <c r="L16" i="185"/>
  <c r="L28" i="185"/>
  <c r="L21" i="185"/>
  <c r="L26" i="185"/>
  <c r="L9" i="185"/>
  <c r="L23" i="185"/>
  <c r="L14" i="185"/>
  <c r="L11" i="185"/>
  <c r="AC173" i="187"/>
  <c r="AC174" i="187"/>
  <c r="AC172" i="187"/>
  <c r="AC171" i="187"/>
  <c r="AC175" i="187"/>
  <c r="AD1" i="187"/>
  <c r="AD4" i="187" s="1"/>
  <c r="L102" i="185"/>
  <c r="L103" i="185"/>
  <c r="L101" i="185"/>
  <c r="L100" i="185"/>
  <c r="L30" i="185"/>
  <c r="L39" i="185"/>
  <c r="L33" i="185"/>
  <c r="L42" i="185"/>
  <c r="L49" i="185"/>
  <c r="L61" i="185"/>
  <c r="L73" i="185"/>
  <c r="L53" i="185"/>
  <c r="L65" i="185"/>
  <c r="L77" i="185"/>
  <c r="L47" i="185"/>
  <c r="L67" i="185"/>
  <c r="L80" i="185"/>
  <c r="L90" i="185"/>
  <c r="L29" i="185"/>
  <c r="L37" i="185"/>
  <c r="L43" i="185"/>
  <c r="L56" i="185"/>
  <c r="L69" i="185"/>
  <c r="L81" i="185"/>
  <c r="L52" i="185"/>
  <c r="L41" i="185"/>
  <c r="L44" i="185"/>
  <c r="L54" i="185"/>
  <c r="L59" i="185"/>
  <c r="L85" i="185"/>
  <c r="L94" i="185"/>
  <c r="L109" i="185"/>
  <c r="L121" i="185"/>
  <c r="L133" i="185"/>
  <c r="L145" i="185"/>
  <c r="L157" i="185"/>
  <c r="L57" i="185"/>
  <c r="L62" i="185"/>
  <c r="L87" i="185"/>
  <c r="L98" i="185"/>
  <c r="L113" i="185"/>
  <c r="L125" i="185"/>
  <c r="L137" i="185"/>
  <c r="L149" i="185"/>
  <c r="L161" i="185"/>
  <c r="L35" i="185"/>
  <c r="L46" i="185"/>
  <c r="L32" i="185"/>
  <c r="L86" i="185"/>
  <c r="L91" i="185"/>
  <c r="L95" i="185"/>
  <c r="L111" i="185"/>
  <c r="L124" i="185"/>
  <c r="L144" i="185"/>
  <c r="L150" i="185"/>
  <c r="L36" i="185"/>
  <c r="L64" i="185"/>
  <c r="L66" i="185"/>
  <c r="L89" i="185"/>
  <c r="L97" i="185"/>
  <c r="L120" i="185"/>
  <c r="L126" i="185"/>
  <c r="L146" i="185"/>
  <c r="L159" i="185"/>
  <c r="L168" i="185"/>
  <c r="L51" i="185"/>
  <c r="L31" i="185"/>
  <c r="L38" i="185"/>
  <c r="L40" i="185"/>
  <c r="L48" i="185"/>
  <c r="L58" i="185"/>
  <c r="L105" i="185"/>
  <c r="L110" i="185"/>
  <c r="L134" i="185"/>
  <c r="L139" i="185"/>
  <c r="L63" i="185"/>
  <c r="L68" i="185"/>
  <c r="L70" i="185"/>
  <c r="L71" i="185"/>
  <c r="L72" i="185"/>
  <c r="L74" i="185"/>
  <c r="L75" i="185"/>
  <c r="L78" i="185"/>
  <c r="L79" i="185"/>
  <c r="L108" i="185"/>
  <c r="L118" i="185"/>
  <c r="L123" i="185"/>
  <c r="L147" i="185"/>
  <c r="L152" i="185"/>
  <c r="L162" i="185"/>
  <c r="L132" i="185"/>
  <c r="L140" i="185"/>
  <c r="L142" i="185"/>
  <c r="L148" i="185"/>
  <c r="L154" i="185"/>
  <c r="L45" i="185"/>
  <c r="L82" i="185"/>
  <c r="L112" i="185"/>
  <c r="L114" i="185"/>
  <c r="L34" i="185"/>
  <c r="L96" i="185"/>
  <c r="L127" i="185"/>
  <c r="L141" i="185"/>
  <c r="L155" i="185"/>
  <c r="L167" i="185"/>
  <c r="L129" i="185"/>
  <c r="L131" i="185"/>
  <c r="L135" i="185"/>
  <c r="L143" i="185"/>
  <c r="L99" i="185"/>
  <c r="L76" i="185"/>
  <c r="L88" i="185"/>
  <c r="L92" i="185"/>
  <c r="L166" i="185"/>
  <c r="L172" i="185"/>
  <c r="L50" i="185"/>
  <c r="L55" i="185"/>
  <c r="L60" i="185"/>
  <c r="L156" i="185"/>
  <c r="L158" i="185"/>
  <c r="L160" i="185"/>
  <c r="L164" i="185"/>
  <c r="L170" i="185"/>
  <c r="L171" i="185"/>
  <c r="L173" i="185"/>
  <c r="L106" i="185"/>
  <c r="L119" i="185"/>
  <c r="L104" i="185"/>
  <c r="L116" i="185"/>
  <c r="L93" i="185"/>
  <c r="L122" i="185"/>
  <c r="L138" i="185"/>
  <c r="L107" i="185"/>
  <c r="L130" i="185"/>
  <c r="L115" i="185"/>
  <c r="L151" i="185"/>
  <c r="L165" i="185"/>
  <c r="L128" i="185"/>
  <c r="L117" i="185"/>
  <c r="L174" i="185"/>
  <c r="L163" i="185"/>
  <c r="L136" i="185"/>
  <c r="L153" i="185"/>
  <c r="L169" i="185"/>
  <c r="M1" i="185"/>
  <c r="T30" i="182"/>
  <c r="M84" i="185" l="1"/>
  <c r="M83" i="185"/>
  <c r="M11" i="185"/>
  <c r="M23" i="185"/>
  <c r="M6" i="185"/>
  <c r="M18" i="185"/>
  <c r="M13" i="185"/>
  <c r="M25" i="185"/>
  <c r="M8" i="185"/>
  <c r="M20" i="185"/>
  <c r="M15" i="185"/>
  <c r="M27" i="185"/>
  <c r="M10" i="185"/>
  <c r="M22" i="185"/>
  <c r="M5" i="185"/>
  <c r="M17" i="185"/>
  <c r="M12" i="185"/>
  <c r="M24" i="185"/>
  <c r="M9" i="185"/>
  <c r="M21" i="185"/>
  <c r="M7" i="185"/>
  <c r="M4" i="185"/>
  <c r="M26" i="185"/>
  <c r="M3" i="185"/>
  <c r="M14" i="185"/>
  <c r="M19" i="185"/>
  <c r="M28" i="185"/>
  <c r="M16" i="185"/>
  <c r="AD6" i="187"/>
  <c r="AD8" i="187"/>
  <c r="AD5" i="187"/>
  <c r="AD9" i="187"/>
  <c r="AD21" i="187"/>
  <c r="AD33" i="187"/>
  <c r="AD16" i="187"/>
  <c r="AD28" i="187"/>
  <c r="AD10" i="187"/>
  <c r="AD11" i="187"/>
  <c r="AD23" i="187"/>
  <c r="AD35" i="187"/>
  <c r="AD18" i="187"/>
  <c r="AD30" i="187"/>
  <c r="AD13" i="187"/>
  <c r="AD25" i="187"/>
  <c r="AD20" i="187"/>
  <c r="AD15" i="187"/>
  <c r="AD27" i="187"/>
  <c r="AD7" i="187"/>
  <c r="AD22" i="187"/>
  <c r="AD34" i="187"/>
  <c r="AD19" i="187"/>
  <c r="AD31" i="187"/>
  <c r="AD43" i="187"/>
  <c r="AD55" i="187"/>
  <c r="AD24" i="187"/>
  <c r="AD38" i="187"/>
  <c r="AD50" i="187"/>
  <c r="AD45" i="187"/>
  <c r="AD57" i="187"/>
  <c r="AD29" i="187"/>
  <c r="AD40" i="187"/>
  <c r="AD52" i="187"/>
  <c r="AD12" i="187"/>
  <c r="AD47" i="187"/>
  <c r="AD26" i="187"/>
  <c r="AD42" i="187"/>
  <c r="AD54" i="187"/>
  <c r="AD17" i="187"/>
  <c r="AD32" i="187"/>
  <c r="AD37" i="187"/>
  <c r="AD49" i="187"/>
  <c r="AD44" i="187"/>
  <c r="AD56" i="187"/>
  <c r="AD41" i="187"/>
  <c r="AD53" i="187"/>
  <c r="AD51" i="187"/>
  <c r="AD66" i="187"/>
  <c r="AD78" i="187"/>
  <c r="AD61" i="187"/>
  <c r="AD73" i="187"/>
  <c r="AD48" i="187"/>
  <c r="AD58" i="187"/>
  <c r="AD68" i="187"/>
  <c r="AD80" i="187"/>
  <c r="AD39" i="187"/>
  <c r="AD63" i="187"/>
  <c r="AD75" i="187"/>
  <c r="AD70" i="187"/>
  <c r="AD36" i="187"/>
  <c r="AD65" i="187"/>
  <c r="AD77" i="187"/>
  <c r="AD60" i="187"/>
  <c r="AD72" i="187"/>
  <c r="AD67" i="187"/>
  <c r="AD79" i="187"/>
  <c r="AD46" i="187"/>
  <c r="AD64" i="187"/>
  <c r="AD76" i="187"/>
  <c r="AD85" i="187"/>
  <c r="AD97" i="187"/>
  <c r="AD69" i="187"/>
  <c r="AD92" i="187"/>
  <c r="AD104" i="187"/>
  <c r="AD87" i="187"/>
  <c r="AD99" i="187"/>
  <c r="AD74" i="187"/>
  <c r="AD82" i="187"/>
  <c r="AD94" i="187"/>
  <c r="AD14" i="187"/>
  <c r="AD89" i="187"/>
  <c r="AD101" i="187"/>
  <c r="AD71" i="187"/>
  <c r="AD84" i="187"/>
  <c r="AD96" i="187"/>
  <c r="AD62" i="187"/>
  <c r="AD91" i="187"/>
  <c r="AD103" i="187"/>
  <c r="AD86" i="187"/>
  <c r="AD98" i="187"/>
  <c r="AD59" i="187"/>
  <c r="AD93" i="187"/>
  <c r="AD105" i="187"/>
  <c r="AD95" i="187"/>
  <c r="AD88" i="187"/>
  <c r="AD112" i="187"/>
  <c r="AD124" i="187"/>
  <c r="AD102" i="187"/>
  <c r="AD107" i="187"/>
  <c r="AD119" i="187"/>
  <c r="AD131" i="187"/>
  <c r="AD100" i="187"/>
  <c r="AD114" i="187"/>
  <c r="AD126" i="187"/>
  <c r="AD109" i="187"/>
  <c r="AD121" i="187"/>
  <c r="AD133" i="187"/>
  <c r="AD81" i="187"/>
  <c r="AD116" i="187"/>
  <c r="AD128" i="187"/>
  <c r="AD111" i="187"/>
  <c r="AD123" i="187"/>
  <c r="AD118" i="187"/>
  <c r="AD130" i="187"/>
  <c r="AD113" i="187"/>
  <c r="AD125" i="187"/>
  <c r="AD108" i="187"/>
  <c r="AD120" i="187"/>
  <c r="AD132" i="187"/>
  <c r="AD106" i="187"/>
  <c r="AD110" i="187"/>
  <c r="AD122" i="187"/>
  <c r="AD134" i="187"/>
  <c r="AD115" i="187"/>
  <c r="AD139" i="187"/>
  <c r="AD151" i="187"/>
  <c r="AD90" i="187"/>
  <c r="AD129" i="187"/>
  <c r="AD146" i="187"/>
  <c r="AD158" i="187"/>
  <c r="AD127" i="187"/>
  <c r="AD141" i="187"/>
  <c r="AD153" i="187"/>
  <c r="AD136" i="187"/>
  <c r="AD148" i="187"/>
  <c r="AD160" i="187"/>
  <c r="AD143" i="187"/>
  <c r="AD155" i="187"/>
  <c r="AD138" i="187"/>
  <c r="AD150" i="187"/>
  <c r="AD145" i="187"/>
  <c r="AD157" i="187"/>
  <c r="AD83" i="187"/>
  <c r="AD140" i="187"/>
  <c r="AD152" i="187"/>
  <c r="AD135" i="187"/>
  <c r="AD147" i="187"/>
  <c r="AD159" i="187"/>
  <c r="AD168" i="187"/>
  <c r="AD161" i="187"/>
  <c r="AD163" i="187"/>
  <c r="AD144" i="187"/>
  <c r="AD170" i="187"/>
  <c r="AD142" i="187"/>
  <c r="AD165" i="187"/>
  <c r="AD149" i="187"/>
  <c r="AD167" i="187"/>
  <c r="AD154" i="187"/>
  <c r="AD162" i="187"/>
  <c r="AD137" i="187"/>
  <c r="AD169" i="187"/>
  <c r="AD3" i="187"/>
  <c r="AD117" i="187"/>
  <c r="AD164" i="187"/>
  <c r="AD166" i="187"/>
  <c r="AD156" i="187"/>
  <c r="AD174" i="187"/>
  <c r="AD175" i="187"/>
  <c r="AD171" i="187"/>
  <c r="AD173" i="187"/>
  <c r="AD172" i="187"/>
  <c r="AE1" i="187"/>
  <c r="AE4" i="187" s="1"/>
  <c r="M102" i="185"/>
  <c r="M101" i="185"/>
  <c r="M103" i="185"/>
  <c r="M100" i="185"/>
  <c r="M33" i="185"/>
  <c r="M30" i="185"/>
  <c r="M36" i="185"/>
  <c r="M40" i="185"/>
  <c r="M32" i="185"/>
  <c r="M54" i="185"/>
  <c r="M66" i="185"/>
  <c r="M78" i="185"/>
  <c r="M37" i="185"/>
  <c r="M46" i="185"/>
  <c r="M58" i="185"/>
  <c r="M70" i="185"/>
  <c r="M60" i="185"/>
  <c r="M73" i="185"/>
  <c r="M82" i="185"/>
  <c r="M31" i="185"/>
  <c r="M35" i="185"/>
  <c r="M42" i="185"/>
  <c r="M49" i="185"/>
  <c r="M62" i="185"/>
  <c r="M75" i="185"/>
  <c r="M87" i="185"/>
  <c r="M57" i="185"/>
  <c r="M45" i="185"/>
  <c r="M64" i="185"/>
  <c r="M91" i="185"/>
  <c r="M99" i="185"/>
  <c r="M114" i="185"/>
  <c r="M126" i="185"/>
  <c r="M138" i="185"/>
  <c r="M150" i="185"/>
  <c r="M162" i="185"/>
  <c r="M34" i="185"/>
  <c r="M67" i="185"/>
  <c r="M72" i="185"/>
  <c r="M106" i="185"/>
  <c r="M118" i="185"/>
  <c r="M130" i="185"/>
  <c r="M142" i="185"/>
  <c r="M154" i="185"/>
  <c r="M166" i="185"/>
  <c r="M51" i="185"/>
  <c r="M61" i="185"/>
  <c r="M104" i="185"/>
  <c r="M117" i="185"/>
  <c r="M137" i="185"/>
  <c r="M143" i="185"/>
  <c r="M163" i="185"/>
  <c r="M169" i="185"/>
  <c r="M43" i="185"/>
  <c r="M48" i="185"/>
  <c r="M53" i="185"/>
  <c r="M68" i="185"/>
  <c r="M74" i="185"/>
  <c r="M113" i="185"/>
  <c r="M119" i="185"/>
  <c r="M139" i="185"/>
  <c r="M152" i="185"/>
  <c r="M165" i="185"/>
  <c r="M29" i="185"/>
  <c r="M56" i="185"/>
  <c r="M63" i="185"/>
  <c r="M65" i="185"/>
  <c r="M69" i="185"/>
  <c r="M71" i="185"/>
  <c r="M79" i="185"/>
  <c r="M81" i="185"/>
  <c r="M95" i="185"/>
  <c r="M93" i="185"/>
  <c r="M115" i="185"/>
  <c r="M144" i="185"/>
  <c r="M149" i="185"/>
  <c r="M105" i="185"/>
  <c r="M97" i="185"/>
  <c r="M76" i="185"/>
  <c r="M77" i="185"/>
  <c r="M80" i="185"/>
  <c r="M86" i="185"/>
  <c r="M88" i="185"/>
  <c r="M90" i="185"/>
  <c r="M92" i="185"/>
  <c r="M96" i="185"/>
  <c r="M128" i="185"/>
  <c r="M157" i="185"/>
  <c r="M171" i="185"/>
  <c r="M146" i="185"/>
  <c r="M156" i="185"/>
  <c r="M158" i="185"/>
  <c r="M50" i="185"/>
  <c r="M55" i="185"/>
  <c r="M160" i="185"/>
  <c r="M108" i="185"/>
  <c r="M38" i="185"/>
  <c r="M41" i="185"/>
  <c r="M147" i="185"/>
  <c r="M151" i="185"/>
  <c r="M153" i="185"/>
  <c r="M159" i="185"/>
  <c r="M44" i="185"/>
  <c r="M59" i="185"/>
  <c r="M89" i="185"/>
  <c r="M94" i="185"/>
  <c r="M98" i="185"/>
  <c r="M127" i="185"/>
  <c r="M133" i="185"/>
  <c r="M141" i="185"/>
  <c r="M155" i="185"/>
  <c r="M145" i="185"/>
  <c r="M85" i="185"/>
  <c r="M47" i="185"/>
  <c r="M52" i="185"/>
  <c r="M107" i="185"/>
  <c r="M109" i="185"/>
  <c r="M111" i="185"/>
  <c r="M39" i="185"/>
  <c r="M172" i="185"/>
  <c r="M164" i="185"/>
  <c r="M170" i="185"/>
  <c r="M173" i="185"/>
  <c r="M134" i="185"/>
  <c r="M135" i="185"/>
  <c r="M124" i="185"/>
  <c r="M161" i="185"/>
  <c r="M110" i="185"/>
  <c r="M116" i="185"/>
  <c r="M148" i="185"/>
  <c r="M123" i="185"/>
  <c r="M131" i="185"/>
  <c r="M167" i="185"/>
  <c r="M122" i="185"/>
  <c r="M112" i="185"/>
  <c r="M120" i="185"/>
  <c r="M136" i="185"/>
  <c r="M132" i="185"/>
  <c r="M140" i="185"/>
  <c r="M121" i="185"/>
  <c r="M125" i="185"/>
  <c r="M174" i="185"/>
  <c r="M129" i="185"/>
  <c r="M168" i="185"/>
  <c r="N1" i="185"/>
  <c r="T28" i="182"/>
  <c r="N83" i="185" l="1"/>
  <c r="N84" i="185"/>
  <c r="N4" i="185"/>
  <c r="N16" i="185"/>
  <c r="N28" i="185"/>
  <c r="N11" i="185"/>
  <c r="N23" i="185"/>
  <c r="N6" i="185"/>
  <c r="N18" i="185"/>
  <c r="N13" i="185"/>
  <c r="N25" i="185"/>
  <c r="N8" i="185"/>
  <c r="N20" i="185"/>
  <c r="N15" i="185"/>
  <c r="N27" i="185"/>
  <c r="N10" i="185"/>
  <c r="N22" i="185"/>
  <c r="N3" i="185"/>
  <c r="N5" i="185"/>
  <c r="N17" i="185"/>
  <c r="N14" i="185"/>
  <c r="N26" i="185"/>
  <c r="N24" i="185"/>
  <c r="N7" i="185"/>
  <c r="N21" i="185"/>
  <c r="N12" i="185"/>
  <c r="N9" i="185"/>
  <c r="N19" i="185"/>
  <c r="AE6" i="187"/>
  <c r="AE8" i="187"/>
  <c r="AE10" i="187"/>
  <c r="AE5" i="187"/>
  <c r="AE14" i="187"/>
  <c r="AE26" i="187"/>
  <c r="AE21" i="187"/>
  <c r="AE33" i="187"/>
  <c r="AE16" i="187"/>
  <c r="AE28" i="187"/>
  <c r="AE11" i="187"/>
  <c r="AE23" i="187"/>
  <c r="AE18" i="187"/>
  <c r="AE30" i="187"/>
  <c r="AE9" i="187"/>
  <c r="AE13" i="187"/>
  <c r="AE25" i="187"/>
  <c r="AE20" i="187"/>
  <c r="AE32" i="187"/>
  <c r="AE15" i="187"/>
  <c r="AE27" i="187"/>
  <c r="AE12" i="187"/>
  <c r="AE24" i="187"/>
  <c r="AE36" i="187"/>
  <c r="AE48" i="187"/>
  <c r="AE43" i="187"/>
  <c r="AE55" i="187"/>
  <c r="AE38" i="187"/>
  <c r="AE50" i="187"/>
  <c r="AE45" i="187"/>
  <c r="AE57" i="187"/>
  <c r="AE29" i="187"/>
  <c r="AE40" i="187"/>
  <c r="AE52" i="187"/>
  <c r="AE35" i="187"/>
  <c r="AE47" i="187"/>
  <c r="AE42" i="187"/>
  <c r="AE54" i="187"/>
  <c r="AE17" i="187"/>
  <c r="AE37" i="187"/>
  <c r="AE49" i="187"/>
  <c r="AE46" i="187"/>
  <c r="AE58" i="187"/>
  <c r="AE59" i="187"/>
  <c r="AE71" i="187"/>
  <c r="AE83" i="187"/>
  <c r="AE7" i="187"/>
  <c r="AE22" i="187"/>
  <c r="AE51" i="187"/>
  <c r="AE66" i="187"/>
  <c r="AE78" i="187"/>
  <c r="AE61" i="187"/>
  <c r="AE73" i="187"/>
  <c r="AE34" i="187"/>
  <c r="AE56" i="187"/>
  <c r="AE68" i="187"/>
  <c r="AE39" i="187"/>
  <c r="AE63" i="187"/>
  <c r="AE75" i="187"/>
  <c r="AE53" i="187"/>
  <c r="AE70" i="187"/>
  <c r="AE31" i="187"/>
  <c r="AE44" i="187"/>
  <c r="AE65" i="187"/>
  <c r="AE77" i="187"/>
  <c r="AE60" i="187"/>
  <c r="AE72" i="187"/>
  <c r="AE69" i="187"/>
  <c r="AE81" i="187"/>
  <c r="AE90" i="187"/>
  <c r="AE102" i="187"/>
  <c r="AE85" i="187"/>
  <c r="AE97" i="187"/>
  <c r="AE92" i="187"/>
  <c r="AE104" i="187"/>
  <c r="AE41" i="187"/>
  <c r="AE87" i="187"/>
  <c r="AE99" i="187"/>
  <c r="AE74" i="187"/>
  <c r="AE80" i="187"/>
  <c r="AE82" i="187"/>
  <c r="AE94" i="187"/>
  <c r="AE89" i="187"/>
  <c r="AE101" i="187"/>
  <c r="AE19" i="187"/>
  <c r="AE79" i="187"/>
  <c r="AE84" i="187"/>
  <c r="AE96" i="187"/>
  <c r="AE62" i="187"/>
  <c r="AE91" i="187"/>
  <c r="AE103" i="187"/>
  <c r="AE76" i="187"/>
  <c r="AE86" i="187"/>
  <c r="AE98" i="187"/>
  <c r="AE88" i="187"/>
  <c r="AE100" i="187"/>
  <c r="AE117" i="187"/>
  <c r="AE129" i="187"/>
  <c r="AE95" i="187"/>
  <c r="AE112" i="187"/>
  <c r="AE124" i="187"/>
  <c r="AE93" i="187"/>
  <c r="AE107" i="187"/>
  <c r="AE119" i="187"/>
  <c r="AE131" i="187"/>
  <c r="AE114" i="187"/>
  <c r="AE126" i="187"/>
  <c r="AE105" i="187"/>
  <c r="AE109" i="187"/>
  <c r="AE121" i="187"/>
  <c r="AE133" i="187"/>
  <c r="AE64" i="187"/>
  <c r="AE116" i="187"/>
  <c r="AE128" i="187"/>
  <c r="AE111" i="187"/>
  <c r="AE123" i="187"/>
  <c r="AE118" i="187"/>
  <c r="AE130" i="187"/>
  <c r="AE67" i="187"/>
  <c r="AE113" i="187"/>
  <c r="AE125" i="187"/>
  <c r="AE115" i="187"/>
  <c r="AE127" i="187"/>
  <c r="AE108" i="187"/>
  <c r="AE144" i="187"/>
  <c r="AE156" i="187"/>
  <c r="AE122" i="187"/>
  <c r="AE139" i="187"/>
  <c r="AE151" i="187"/>
  <c r="AE120" i="187"/>
  <c r="AE134" i="187"/>
  <c r="AE146" i="187"/>
  <c r="AE158" i="187"/>
  <c r="AE106" i="187"/>
  <c r="AE141" i="187"/>
  <c r="AE153" i="187"/>
  <c r="AE132" i="187"/>
  <c r="AE136" i="187"/>
  <c r="AE148" i="187"/>
  <c r="AE160" i="187"/>
  <c r="AE143" i="187"/>
  <c r="AE155" i="187"/>
  <c r="AE138" i="187"/>
  <c r="AE150" i="187"/>
  <c r="AE145" i="187"/>
  <c r="AE157" i="187"/>
  <c r="AE140" i="187"/>
  <c r="AE152" i="187"/>
  <c r="AE147" i="187"/>
  <c r="AE168" i="187"/>
  <c r="AE161" i="187"/>
  <c r="AE163" i="187"/>
  <c r="AE164" i="187"/>
  <c r="AE135" i="187"/>
  <c r="AE170" i="187"/>
  <c r="AE165" i="187"/>
  <c r="AE149" i="187"/>
  <c r="AE166" i="187"/>
  <c r="AE167" i="187"/>
  <c r="AE154" i="187"/>
  <c r="AE162" i="187"/>
  <c r="AE137" i="187"/>
  <c r="AE169" i="187"/>
  <c r="AE159" i="187"/>
  <c r="AE3" i="187"/>
  <c r="AE142" i="187"/>
  <c r="AE110" i="187"/>
  <c r="AE175" i="187"/>
  <c r="AE171" i="187"/>
  <c r="AE174" i="187"/>
  <c r="AE173" i="187"/>
  <c r="AE172" i="187"/>
  <c r="AF1" i="187"/>
  <c r="AF4" i="187" s="1"/>
  <c r="N103" i="185"/>
  <c r="N102" i="185"/>
  <c r="N101" i="185"/>
  <c r="N100" i="185"/>
  <c r="N35" i="185"/>
  <c r="N29" i="185"/>
  <c r="N31" i="185"/>
  <c r="N37" i="185"/>
  <c r="N41" i="185"/>
  <c r="N47" i="185"/>
  <c r="N59" i="185"/>
  <c r="N71" i="185"/>
  <c r="N51" i="185"/>
  <c r="N63" i="185"/>
  <c r="N75" i="185"/>
  <c r="N39" i="185"/>
  <c r="N53" i="185"/>
  <c r="N66" i="185"/>
  <c r="N79" i="185"/>
  <c r="N88" i="185"/>
  <c r="N33" i="185"/>
  <c r="N55" i="185"/>
  <c r="N68" i="185"/>
  <c r="N92" i="185"/>
  <c r="N34" i="185"/>
  <c r="N50" i="185"/>
  <c r="N45" i="185"/>
  <c r="N69" i="185"/>
  <c r="N74" i="185"/>
  <c r="N107" i="185"/>
  <c r="N119" i="185"/>
  <c r="N131" i="185"/>
  <c r="N143" i="185"/>
  <c r="N155" i="185"/>
  <c r="N30" i="185"/>
  <c r="N43" i="185"/>
  <c r="N48" i="185"/>
  <c r="N77" i="185"/>
  <c r="N86" i="185"/>
  <c r="N96" i="185"/>
  <c r="N111" i="185"/>
  <c r="N123" i="185"/>
  <c r="N135" i="185"/>
  <c r="N147" i="185"/>
  <c r="N159" i="185"/>
  <c r="N36" i="185"/>
  <c r="N64" i="185"/>
  <c r="N56" i="185"/>
  <c r="N65" i="185"/>
  <c r="N46" i="185"/>
  <c r="N61" i="185"/>
  <c r="N94" i="185"/>
  <c r="N110" i="185"/>
  <c r="N130" i="185"/>
  <c r="N136" i="185"/>
  <c r="N156" i="185"/>
  <c r="N58" i="185"/>
  <c r="N62" i="185"/>
  <c r="N70" i="185"/>
  <c r="N72" i="185"/>
  <c r="N76" i="185"/>
  <c r="N78" i="185"/>
  <c r="N80" i="185"/>
  <c r="N85" i="185"/>
  <c r="N90" i="185"/>
  <c r="N106" i="185"/>
  <c r="N112" i="185"/>
  <c r="N132" i="185"/>
  <c r="N145" i="185"/>
  <c r="N158" i="185"/>
  <c r="N67" i="185"/>
  <c r="N73" i="185"/>
  <c r="N81" i="185"/>
  <c r="N82" i="185"/>
  <c r="N40" i="185"/>
  <c r="N93" i="185"/>
  <c r="N120" i="185"/>
  <c r="N125" i="185"/>
  <c r="N154" i="185"/>
  <c r="N164" i="185"/>
  <c r="N170" i="185"/>
  <c r="N104" i="185"/>
  <c r="N109" i="185"/>
  <c r="N133" i="185"/>
  <c r="N138" i="185"/>
  <c r="N148" i="185"/>
  <c r="N60" i="185"/>
  <c r="N152" i="185"/>
  <c r="N162" i="185"/>
  <c r="N87" i="185"/>
  <c r="N91" i="185"/>
  <c r="N95" i="185"/>
  <c r="N97" i="185"/>
  <c r="N38" i="185"/>
  <c r="N157" i="185"/>
  <c r="N161" i="185"/>
  <c r="N163" i="185"/>
  <c r="N165" i="185"/>
  <c r="N49" i="185"/>
  <c r="N54" i="185"/>
  <c r="N137" i="185"/>
  <c r="N139" i="185"/>
  <c r="N153" i="185"/>
  <c r="N149" i="185"/>
  <c r="N151" i="185"/>
  <c r="N44" i="185"/>
  <c r="N89" i="185"/>
  <c r="N32" i="185"/>
  <c r="N57" i="185"/>
  <c r="N115" i="185"/>
  <c r="N42" i="185"/>
  <c r="N52" i="185"/>
  <c r="N99" i="185"/>
  <c r="N105" i="185"/>
  <c r="N166" i="185"/>
  <c r="N171" i="185"/>
  <c r="N172" i="185"/>
  <c r="N114" i="185"/>
  <c r="N127" i="185"/>
  <c r="N142" i="185"/>
  <c r="N98" i="185"/>
  <c r="N118" i="185"/>
  <c r="N108" i="185"/>
  <c r="N117" i="185"/>
  <c r="N140" i="185"/>
  <c r="N160" i="185"/>
  <c r="N124" i="185"/>
  <c r="N113" i="185"/>
  <c r="N116" i="185"/>
  <c r="N121" i="185"/>
  <c r="N128" i="185"/>
  <c r="N129" i="185"/>
  <c r="N144" i="185"/>
  <c r="N167" i="185"/>
  <c r="N168" i="185"/>
  <c r="N169" i="185"/>
  <c r="N146" i="185"/>
  <c r="N173" i="185"/>
  <c r="N174" i="185"/>
  <c r="N122" i="185"/>
  <c r="N141" i="185"/>
  <c r="N150" i="185"/>
  <c r="N126" i="185"/>
  <c r="N134" i="185"/>
  <c r="O1" i="185"/>
  <c r="T23" i="182"/>
  <c r="T24" i="182"/>
  <c r="T25" i="182"/>
  <c r="T26" i="182"/>
  <c r="T33" i="182"/>
  <c r="T34" i="182"/>
  <c r="T27" i="182"/>
  <c r="T31" i="182"/>
  <c r="T36" i="182"/>
  <c r="O84" i="185" l="1"/>
  <c r="O83" i="185"/>
  <c r="O9" i="185"/>
  <c r="O21" i="185"/>
  <c r="O4" i="185"/>
  <c r="O16" i="185"/>
  <c r="O28" i="185"/>
  <c r="O11" i="185"/>
  <c r="O23" i="185"/>
  <c r="O6" i="185"/>
  <c r="O18" i="185"/>
  <c r="O13" i="185"/>
  <c r="O25" i="185"/>
  <c r="O8" i="185"/>
  <c r="O20" i="185"/>
  <c r="O15" i="185"/>
  <c r="O27" i="185"/>
  <c r="O10" i="185"/>
  <c r="O22" i="185"/>
  <c r="O3" i="185"/>
  <c r="O7" i="185"/>
  <c r="O19" i="185"/>
  <c r="O24" i="185"/>
  <c r="O12" i="185"/>
  <c r="O26" i="185"/>
  <c r="O17" i="185"/>
  <c r="O5" i="185"/>
  <c r="O14" i="185"/>
  <c r="AF9" i="187"/>
  <c r="AF6" i="187"/>
  <c r="AF10" i="187"/>
  <c r="AF7" i="187"/>
  <c r="AF19" i="187"/>
  <c r="AF31" i="187"/>
  <c r="AF14" i="187"/>
  <c r="AF26" i="187"/>
  <c r="AF21" i="187"/>
  <c r="AF33" i="187"/>
  <c r="AF16" i="187"/>
  <c r="AF28" i="187"/>
  <c r="AF11" i="187"/>
  <c r="AF23" i="187"/>
  <c r="AF18" i="187"/>
  <c r="AF30" i="187"/>
  <c r="AF8" i="187"/>
  <c r="AF13" i="187"/>
  <c r="AF25" i="187"/>
  <c r="AF20" i="187"/>
  <c r="AF32" i="187"/>
  <c r="AF17" i="187"/>
  <c r="AF29" i="187"/>
  <c r="AF27" i="187"/>
  <c r="AF41" i="187"/>
  <c r="AF53" i="187"/>
  <c r="AF36" i="187"/>
  <c r="AF48" i="187"/>
  <c r="AF24" i="187"/>
  <c r="AF43" i="187"/>
  <c r="AF55" i="187"/>
  <c r="AF15" i="187"/>
  <c r="AF38" i="187"/>
  <c r="AF50" i="187"/>
  <c r="AF45" i="187"/>
  <c r="AF5" i="187"/>
  <c r="AF12" i="187"/>
  <c r="AF40" i="187"/>
  <c r="AF52" i="187"/>
  <c r="AF35" i="187"/>
  <c r="AF47" i="187"/>
  <c r="AF42" i="187"/>
  <c r="AF54" i="187"/>
  <c r="AF22" i="187"/>
  <c r="AF39" i="187"/>
  <c r="AF51" i="187"/>
  <c r="AF37" i="187"/>
  <c r="AF64" i="187"/>
  <c r="AF76" i="187"/>
  <c r="AF57" i="187"/>
  <c r="AF59" i="187"/>
  <c r="AF71" i="187"/>
  <c r="AF66" i="187"/>
  <c r="AF78" i="187"/>
  <c r="AF58" i="187"/>
  <c r="AF61" i="187"/>
  <c r="AF73" i="187"/>
  <c r="AF34" i="187"/>
  <c r="AF56" i="187"/>
  <c r="AF68" i="187"/>
  <c r="AF63" i="187"/>
  <c r="AF75" i="187"/>
  <c r="AF70" i="187"/>
  <c r="AF82" i="187"/>
  <c r="AF44" i="187"/>
  <c r="AF65" i="187"/>
  <c r="AF77" i="187"/>
  <c r="AF62" i="187"/>
  <c r="AF74" i="187"/>
  <c r="AF72" i="187"/>
  <c r="AF83" i="187"/>
  <c r="AF95" i="187"/>
  <c r="AF90" i="187"/>
  <c r="AF102" i="187"/>
  <c r="AF46" i="187"/>
  <c r="AF69" i="187"/>
  <c r="AF85" i="187"/>
  <c r="AF97" i="187"/>
  <c r="AF60" i="187"/>
  <c r="AF92" i="187"/>
  <c r="AF104" i="187"/>
  <c r="AF87" i="187"/>
  <c r="AF99" i="187"/>
  <c r="AF80" i="187"/>
  <c r="AF94" i="187"/>
  <c r="AF106" i="187"/>
  <c r="AF89" i="187"/>
  <c r="AF101" i="187"/>
  <c r="AF49" i="187"/>
  <c r="AF79" i="187"/>
  <c r="AF84" i="187"/>
  <c r="AF96" i="187"/>
  <c r="AF91" i="187"/>
  <c r="AF103" i="187"/>
  <c r="AF67" i="187"/>
  <c r="AF81" i="187"/>
  <c r="AF93" i="187"/>
  <c r="AF105" i="187"/>
  <c r="AF110" i="187"/>
  <c r="AF122" i="187"/>
  <c r="AF88" i="187"/>
  <c r="AF117" i="187"/>
  <c r="AF129" i="187"/>
  <c r="AF86" i="187"/>
  <c r="AF112" i="187"/>
  <c r="AF124" i="187"/>
  <c r="AF100" i="187"/>
  <c r="AF107" i="187"/>
  <c r="AF119" i="187"/>
  <c r="AF131" i="187"/>
  <c r="AF98" i="187"/>
  <c r="AF114" i="187"/>
  <c r="AF126" i="187"/>
  <c r="AF109" i="187"/>
  <c r="AF121" i="187"/>
  <c r="AF133" i="187"/>
  <c r="AF116" i="187"/>
  <c r="AF128" i="187"/>
  <c r="AF111" i="187"/>
  <c r="AF123" i="187"/>
  <c r="AF118" i="187"/>
  <c r="AF130" i="187"/>
  <c r="AF108" i="187"/>
  <c r="AF120" i="187"/>
  <c r="AF132" i="187"/>
  <c r="AF137" i="187"/>
  <c r="AF149" i="187"/>
  <c r="AF161" i="187"/>
  <c r="AF115" i="187"/>
  <c r="AF144" i="187"/>
  <c r="AF156" i="187"/>
  <c r="AF113" i="187"/>
  <c r="AF139" i="187"/>
  <c r="AF151" i="187"/>
  <c r="AF127" i="187"/>
  <c r="AF134" i="187"/>
  <c r="AF146" i="187"/>
  <c r="AF158" i="187"/>
  <c r="AF125" i="187"/>
  <c r="AF141" i="187"/>
  <c r="AF153" i="187"/>
  <c r="AF136" i="187"/>
  <c r="AF148" i="187"/>
  <c r="AF160" i="187"/>
  <c r="AF143" i="187"/>
  <c r="AF155" i="187"/>
  <c r="AF138" i="187"/>
  <c r="AF150" i="187"/>
  <c r="AF145" i="187"/>
  <c r="AF157" i="187"/>
  <c r="AF166" i="187"/>
  <c r="AF169" i="187"/>
  <c r="AF147" i="187"/>
  <c r="AF168" i="187"/>
  <c r="AF152" i="187"/>
  <c r="AF163" i="187"/>
  <c r="AF135" i="187"/>
  <c r="AF170" i="187"/>
  <c r="AF165" i="187"/>
  <c r="AF140" i="187"/>
  <c r="AF167" i="187"/>
  <c r="AF154" i="187"/>
  <c r="AF162" i="187"/>
  <c r="AF159" i="187"/>
  <c r="AF164" i="187"/>
  <c r="AF3" i="187"/>
  <c r="AF142" i="187"/>
  <c r="AF172" i="187"/>
  <c r="AF171" i="187"/>
  <c r="AF173" i="187"/>
  <c r="AF175" i="187"/>
  <c r="AF174" i="187"/>
  <c r="AG1" i="187"/>
  <c r="AG4" i="187" s="1"/>
  <c r="O103" i="185"/>
  <c r="O102" i="185"/>
  <c r="O101" i="185"/>
  <c r="O100" i="185"/>
  <c r="O31" i="185"/>
  <c r="O38" i="185"/>
  <c r="O42" i="185"/>
  <c r="O29" i="185"/>
  <c r="O34" i="185"/>
  <c r="O52" i="185"/>
  <c r="O64" i="185"/>
  <c r="O76" i="185"/>
  <c r="O32" i="185"/>
  <c r="O44" i="185"/>
  <c r="O56" i="185"/>
  <c r="O68" i="185"/>
  <c r="O80" i="185"/>
  <c r="O46" i="185"/>
  <c r="O59" i="185"/>
  <c r="O72" i="185"/>
  <c r="O48" i="185"/>
  <c r="O61" i="185"/>
  <c r="O74" i="185"/>
  <c r="O85" i="185"/>
  <c r="O30" i="185"/>
  <c r="O43" i="185"/>
  <c r="O36" i="185"/>
  <c r="O55" i="185"/>
  <c r="O60" i="185"/>
  <c r="O50" i="185"/>
  <c r="O79" i="185"/>
  <c r="O90" i="185"/>
  <c r="O97" i="185"/>
  <c r="O112" i="185"/>
  <c r="O124" i="185"/>
  <c r="O136" i="185"/>
  <c r="O148" i="185"/>
  <c r="O160" i="185"/>
  <c r="O53" i="185"/>
  <c r="O58" i="185"/>
  <c r="O104" i="185"/>
  <c r="O116" i="185"/>
  <c r="O128" i="185"/>
  <c r="O140" i="185"/>
  <c r="O152" i="185"/>
  <c r="O164" i="185"/>
  <c r="O62" i="185"/>
  <c r="O66" i="185"/>
  <c r="O70" i="185"/>
  <c r="O78" i="185"/>
  <c r="O63" i="185"/>
  <c r="O67" i="185"/>
  <c r="O69" i="185"/>
  <c r="O71" i="185"/>
  <c r="O73" i="185"/>
  <c r="O51" i="185"/>
  <c r="O65" i="185"/>
  <c r="O81" i="185"/>
  <c r="O123" i="185"/>
  <c r="O129" i="185"/>
  <c r="O149" i="185"/>
  <c r="O162" i="185"/>
  <c r="O167" i="185"/>
  <c r="O40" i="185"/>
  <c r="O96" i="185"/>
  <c r="O105" i="185"/>
  <c r="O125" i="185"/>
  <c r="O138" i="185"/>
  <c r="O151" i="185"/>
  <c r="O171" i="185"/>
  <c r="O75" i="185"/>
  <c r="O77" i="185"/>
  <c r="O86" i="185"/>
  <c r="O88" i="185"/>
  <c r="O92" i="185"/>
  <c r="O37" i="185"/>
  <c r="O87" i="185"/>
  <c r="O89" i="185"/>
  <c r="O91" i="185"/>
  <c r="O82" i="185"/>
  <c r="O98" i="185"/>
  <c r="O130" i="185"/>
  <c r="O135" i="185"/>
  <c r="O159" i="185"/>
  <c r="O93" i="185"/>
  <c r="O39" i="185"/>
  <c r="O114" i="185"/>
  <c r="O143" i="185"/>
  <c r="O153" i="185"/>
  <c r="O173" i="185"/>
  <c r="O33" i="185"/>
  <c r="O45" i="185"/>
  <c r="O106" i="185"/>
  <c r="O41" i="185"/>
  <c r="O95" i="185"/>
  <c r="O168" i="185"/>
  <c r="O35" i="185"/>
  <c r="O147" i="185"/>
  <c r="O157" i="185"/>
  <c r="O49" i="185"/>
  <c r="O54" i="185"/>
  <c r="O113" i="185"/>
  <c r="O47" i="185"/>
  <c r="O57" i="185"/>
  <c r="O107" i="185"/>
  <c r="O109" i="185"/>
  <c r="O111" i="185"/>
  <c r="O115" i="185"/>
  <c r="O117" i="185"/>
  <c r="O121" i="185"/>
  <c r="O99" i="185"/>
  <c r="O166" i="185"/>
  <c r="O119" i="185"/>
  <c r="O118" i="185"/>
  <c r="O126" i="185"/>
  <c r="O108" i="185"/>
  <c r="O132" i="185"/>
  <c r="O141" i="185"/>
  <c r="O150" i="185"/>
  <c r="O94" i="185"/>
  <c r="O110" i="185"/>
  <c r="O139" i="185"/>
  <c r="O163" i="185"/>
  <c r="O165" i="185"/>
  <c r="O131" i="185"/>
  <c r="O145" i="185"/>
  <c r="O120" i="185"/>
  <c r="O170" i="185"/>
  <c r="O127" i="185"/>
  <c r="O142" i="185"/>
  <c r="O169" i="185"/>
  <c r="O155" i="185"/>
  <c r="O144" i="185"/>
  <c r="O172" i="185"/>
  <c r="O146" i="185"/>
  <c r="O137" i="185"/>
  <c r="O154" i="185"/>
  <c r="O158" i="185"/>
  <c r="O122" i="185"/>
  <c r="O133" i="185"/>
  <c r="O174" i="185"/>
  <c r="O156" i="185"/>
  <c r="O134" i="185"/>
  <c r="O161" i="185"/>
  <c r="P1" i="185"/>
  <c r="T19" i="182"/>
  <c r="T20" i="182"/>
  <c r="T21" i="182"/>
  <c r="T22" i="182"/>
  <c r="T18" i="182"/>
  <c r="P84" i="185" l="1"/>
  <c r="P83" i="185"/>
  <c r="P14" i="185"/>
  <c r="P26" i="185"/>
  <c r="P9" i="185"/>
  <c r="P21" i="185"/>
  <c r="P4" i="185"/>
  <c r="P16" i="185"/>
  <c r="P28" i="185"/>
  <c r="P11" i="185"/>
  <c r="P23" i="185"/>
  <c r="P6" i="185"/>
  <c r="P18" i="185"/>
  <c r="P13" i="185"/>
  <c r="P25" i="185"/>
  <c r="P8" i="185"/>
  <c r="P20" i="185"/>
  <c r="P15" i="185"/>
  <c r="P27" i="185"/>
  <c r="P12" i="185"/>
  <c r="P24" i="185"/>
  <c r="P10" i="185"/>
  <c r="P7" i="185"/>
  <c r="P17" i="185"/>
  <c r="P3" i="185"/>
  <c r="P5" i="185"/>
  <c r="P19" i="185"/>
  <c r="P22" i="185"/>
  <c r="AG9" i="187"/>
  <c r="AG6" i="187"/>
  <c r="AG8" i="187"/>
  <c r="AG5" i="187"/>
  <c r="AG12" i="187"/>
  <c r="AG24" i="187"/>
  <c r="AG19" i="187"/>
  <c r="AG31" i="187"/>
  <c r="AG14" i="187"/>
  <c r="AG26" i="187"/>
  <c r="AG10" i="187"/>
  <c r="AG21" i="187"/>
  <c r="AG33" i="187"/>
  <c r="AG16" i="187"/>
  <c r="AG28" i="187"/>
  <c r="AG11" i="187"/>
  <c r="AG23" i="187"/>
  <c r="AG18" i="187"/>
  <c r="AG30" i="187"/>
  <c r="AG13" i="187"/>
  <c r="AG25" i="187"/>
  <c r="AG22" i="187"/>
  <c r="AG34" i="187"/>
  <c r="AG46" i="187"/>
  <c r="AG58" i="187"/>
  <c r="AG27" i="187"/>
  <c r="AG41" i="187"/>
  <c r="AG53" i="187"/>
  <c r="AG36" i="187"/>
  <c r="AG48" i="187"/>
  <c r="AG43" i="187"/>
  <c r="AG55" i="187"/>
  <c r="AG15" i="187"/>
  <c r="AG38" i="187"/>
  <c r="AG50" i="187"/>
  <c r="AG29" i="187"/>
  <c r="AG45" i="187"/>
  <c r="AG20" i="187"/>
  <c r="AG40" i="187"/>
  <c r="AG52" i="187"/>
  <c r="AG32" i="187"/>
  <c r="AG35" i="187"/>
  <c r="AG47" i="187"/>
  <c r="AG7" i="187"/>
  <c r="AG44" i="187"/>
  <c r="AG56" i="187"/>
  <c r="AG54" i="187"/>
  <c r="AG69" i="187"/>
  <c r="AG81" i="187"/>
  <c r="AG37" i="187"/>
  <c r="AG64" i="187"/>
  <c r="AG76" i="187"/>
  <c r="AG51" i="187"/>
  <c r="AG57" i="187"/>
  <c r="AG59" i="187"/>
  <c r="AG71" i="187"/>
  <c r="AG17" i="187"/>
  <c r="AG42" i="187"/>
  <c r="AG66" i="187"/>
  <c r="AG78" i="187"/>
  <c r="AG61" i="187"/>
  <c r="AG73" i="187"/>
  <c r="AG39" i="187"/>
  <c r="AG68" i="187"/>
  <c r="AG80" i="187"/>
  <c r="AG63" i="187"/>
  <c r="AG75" i="187"/>
  <c r="AG70" i="187"/>
  <c r="AG82" i="187"/>
  <c r="AG49" i="187"/>
  <c r="AG67" i="187"/>
  <c r="AG79" i="187"/>
  <c r="AG88" i="187"/>
  <c r="AG100" i="187"/>
  <c r="AG72" i="187"/>
  <c r="AG83" i="187"/>
  <c r="AG95" i="187"/>
  <c r="AG90" i="187"/>
  <c r="AG102" i="187"/>
  <c r="AG77" i="187"/>
  <c r="AG85" i="187"/>
  <c r="AG97" i="187"/>
  <c r="AG60" i="187"/>
  <c r="AG92" i="187"/>
  <c r="AG104" i="187"/>
  <c r="AG74" i="187"/>
  <c r="AG87" i="187"/>
  <c r="AG99" i="187"/>
  <c r="AG65" i="187"/>
  <c r="AG94" i="187"/>
  <c r="AG106" i="187"/>
  <c r="AG89" i="187"/>
  <c r="AG101" i="187"/>
  <c r="AG62" i="187"/>
  <c r="AG84" i="187"/>
  <c r="AG96" i="187"/>
  <c r="AG86" i="187"/>
  <c r="AG98" i="187"/>
  <c r="AG115" i="187"/>
  <c r="AG127" i="187"/>
  <c r="AG110" i="187"/>
  <c r="AG122" i="187"/>
  <c r="AG117" i="187"/>
  <c r="AG129" i="187"/>
  <c r="AG93" i="187"/>
  <c r="AG112" i="187"/>
  <c r="AG124" i="187"/>
  <c r="AG91" i="187"/>
  <c r="AG107" i="187"/>
  <c r="AG119" i="187"/>
  <c r="AG131" i="187"/>
  <c r="AG105" i="187"/>
  <c r="AG114" i="187"/>
  <c r="AG126" i="187"/>
  <c r="AG103" i="187"/>
  <c r="AG109" i="187"/>
  <c r="AG121" i="187"/>
  <c r="AG133" i="187"/>
  <c r="AG116" i="187"/>
  <c r="AG128" i="187"/>
  <c r="AG111" i="187"/>
  <c r="AG123" i="187"/>
  <c r="AG113" i="187"/>
  <c r="AG125" i="187"/>
  <c r="AG142" i="187"/>
  <c r="AG154" i="187"/>
  <c r="AG108" i="187"/>
  <c r="AG137" i="187"/>
  <c r="AG149" i="187"/>
  <c r="AG161" i="187"/>
  <c r="AG144" i="187"/>
  <c r="AG156" i="187"/>
  <c r="AG120" i="187"/>
  <c r="AG139" i="187"/>
  <c r="AG151" i="187"/>
  <c r="AG118" i="187"/>
  <c r="AG134" i="187"/>
  <c r="AG146" i="187"/>
  <c r="AG158" i="187"/>
  <c r="AG132" i="187"/>
  <c r="AG141" i="187"/>
  <c r="AG153" i="187"/>
  <c r="AG130" i="187"/>
  <c r="AG136" i="187"/>
  <c r="AG148" i="187"/>
  <c r="AG160" i="187"/>
  <c r="AG143" i="187"/>
  <c r="AG155" i="187"/>
  <c r="AG138" i="187"/>
  <c r="AG150" i="187"/>
  <c r="AG166" i="187"/>
  <c r="AG145" i="187"/>
  <c r="AG147" i="187"/>
  <c r="AG168" i="187"/>
  <c r="AG152" i="187"/>
  <c r="AG163" i="187"/>
  <c r="AG162" i="187"/>
  <c r="AG135" i="187"/>
  <c r="AG170" i="187"/>
  <c r="AG157" i="187"/>
  <c r="AG165" i="187"/>
  <c r="AG140" i="187"/>
  <c r="AG159" i="187"/>
  <c r="AG164" i="187"/>
  <c r="AG167" i="187"/>
  <c r="AG169" i="187"/>
  <c r="AG3" i="187"/>
  <c r="AG173" i="187"/>
  <c r="AG172" i="187"/>
  <c r="AG175" i="187"/>
  <c r="AG174" i="187"/>
  <c r="AG171" i="187"/>
  <c r="AH1" i="187"/>
  <c r="AH4" i="187" s="1"/>
  <c r="AI4" i="187" s="1"/>
  <c r="P101" i="185"/>
  <c r="P103" i="185"/>
  <c r="P102" i="185"/>
  <c r="P100" i="185"/>
  <c r="P36" i="185"/>
  <c r="P33" i="185"/>
  <c r="P35" i="185"/>
  <c r="P40" i="185"/>
  <c r="P45" i="185"/>
  <c r="P57" i="185"/>
  <c r="P69" i="185"/>
  <c r="P49" i="185"/>
  <c r="P61" i="185"/>
  <c r="P73" i="185"/>
  <c r="P30" i="185"/>
  <c r="P34" i="185"/>
  <c r="P52" i="185"/>
  <c r="P65" i="185"/>
  <c r="P78" i="185"/>
  <c r="P86" i="185"/>
  <c r="P38" i="185"/>
  <c r="P54" i="185"/>
  <c r="P67" i="185"/>
  <c r="P90" i="185"/>
  <c r="P48" i="185"/>
  <c r="P53" i="185"/>
  <c r="P58" i="185"/>
  <c r="P32" i="185"/>
  <c r="P55" i="185"/>
  <c r="P60" i="185"/>
  <c r="P82" i="185"/>
  <c r="P105" i="185"/>
  <c r="P117" i="185"/>
  <c r="P129" i="185"/>
  <c r="P141" i="185"/>
  <c r="P153" i="185"/>
  <c r="P165" i="185"/>
  <c r="P63" i="185"/>
  <c r="P92" i="185"/>
  <c r="P94" i="185"/>
  <c r="P109" i="185"/>
  <c r="P121" i="185"/>
  <c r="P133" i="185"/>
  <c r="P145" i="185"/>
  <c r="P157" i="185"/>
  <c r="P43" i="185"/>
  <c r="P68" i="185"/>
  <c r="P72" i="185"/>
  <c r="P74" i="185"/>
  <c r="P76" i="185"/>
  <c r="P80" i="185"/>
  <c r="P75" i="185"/>
  <c r="P77" i="185"/>
  <c r="P79" i="185"/>
  <c r="P56" i="185"/>
  <c r="P71" i="185"/>
  <c r="P87" i="185"/>
  <c r="P93" i="185"/>
  <c r="P116" i="185"/>
  <c r="P122" i="185"/>
  <c r="P142" i="185"/>
  <c r="P155" i="185"/>
  <c r="P39" i="185"/>
  <c r="P41" i="185"/>
  <c r="P95" i="185"/>
  <c r="P118" i="185"/>
  <c r="P131" i="185"/>
  <c r="P144" i="185"/>
  <c r="P164" i="185"/>
  <c r="P62" i="185"/>
  <c r="P64" i="185"/>
  <c r="P66" i="185"/>
  <c r="P70" i="185"/>
  <c r="P96" i="185"/>
  <c r="P29" i="185"/>
  <c r="P46" i="185"/>
  <c r="P51" i="185"/>
  <c r="P88" i="185"/>
  <c r="P44" i="185"/>
  <c r="P85" i="185"/>
  <c r="P37" i="185"/>
  <c r="P89" i="185"/>
  <c r="P91" i="185"/>
  <c r="P106" i="185"/>
  <c r="P111" i="185"/>
  <c r="P140" i="185"/>
  <c r="P150" i="185"/>
  <c r="P169" i="185"/>
  <c r="P174" i="185"/>
  <c r="P98" i="185"/>
  <c r="P42" i="185"/>
  <c r="P47" i="185"/>
  <c r="P119" i="185"/>
  <c r="P124" i="185"/>
  <c r="P134" i="185"/>
  <c r="P158" i="185"/>
  <c r="P163" i="185"/>
  <c r="P99" i="185"/>
  <c r="P50" i="185"/>
  <c r="P31" i="185"/>
  <c r="P81" i="185"/>
  <c r="P97" i="185"/>
  <c r="P104" i="185"/>
  <c r="P159" i="185"/>
  <c r="P59" i="185"/>
  <c r="P113" i="185"/>
  <c r="P127" i="185"/>
  <c r="P107" i="185"/>
  <c r="P115" i="185"/>
  <c r="P120" i="185"/>
  <c r="P143" i="185"/>
  <c r="P114" i="185"/>
  <c r="P108" i="185"/>
  <c r="P125" i="185"/>
  <c r="P162" i="185"/>
  <c r="P132" i="185"/>
  <c r="P149" i="185"/>
  <c r="P148" i="185"/>
  <c r="P161" i="185"/>
  <c r="P110" i="185"/>
  <c r="P123" i="185"/>
  <c r="P112" i="185"/>
  <c r="P137" i="185"/>
  <c r="P152" i="185"/>
  <c r="P130" i="185"/>
  <c r="P160" i="185"/>
  <c r="P166" i="185"/>
  <c r="P167" i="185"/>
  <c r="P168" i="185"/>
  <c r="P170" i="185"/>
  <c r="P171" i="185"/>
  <c r="P172" i="185"/>
  <c r="P146" i="185"/>
  <c r="P151" i="185"/>
  <c r="P135" i="185"/>
  <c r="P128" i="185"/>
  <c r="P173" i="185"/>
  <c r="P139" i="185"/>
  <c r="P154" i="185"/>
  <c r="P126" i="185"/>
  <c r="P147" i="185"/>
  <c r="P136" i="185"/>
  <c r="P138" i="185"/>
  <c r="P156" i="185"/>
  <c r="Q1" i="185"/>
  <c r="T66" i="180"/>
  <c r="T43" i="180"/>
  <c r="Q83" i="185" l="1"/>
  <c r="Q84" i="185"/>
  <c r="Q7" i="185"/>
  <c r="Q19" i="185"/>
  <c r="Q14" i="185"/>
  <c r="Q26" i="185"/>
  <c r="Q9" i="185"/>
  <c r="Q21" i="185"/>
  <c r="Q4" i="185"/>
  <c r="Q16" i="185"/>
  <c r="Q28" i="185"/>
  <c r="Q11" i="185"/>
  <c r="Q23" i="185"/>
  <c r="Q6" i="185"/>
  <c r="Q18" i="185"/>
  <c r="Q13" i="185"/>
  <c r="Q25" i="185"/>
  <c r="Q8" i="185"/>
  <c r="Q20" i="185"/>
  <c r="Q5" i="185"/>
  <c r="Q17" i="185"/>
  <c r="Q27" i="185"/>
  <c r="Q10" i="185"/>
  <c r="Q24" i="185"/>
  <c r="Q15" i="185"/>
  <c r="Q12" i="185"/>
  <c r="Q22" i="185"/>
  <c r="Q3" i="185"/>
  <c r="AH7" i="187"/>
  <c r="AI7" i="187" s="1"/>
  <c r="AH9" i="187"/>
  <c r="AI9" i="187" s="1"/>
  <c r="AH8" i="187"/>
  <c r="AI8" i="187" s="1"/>
  <c r="AH5" i="187"/>
  <c r="AI5" i="187" s="1"/>
  <c r="AH17" i="187"/>
  <c r="AI17" i="187" s="1"/>
  <c r="AH29" i="187"/>
  <c r="AI29" i="187" s="1"/>
  <c r="AH12" i="187"/>
  <c r="AI12" i="187" s="1"/>
  <c r="AH24" i="187"/>
  <c r="AI24" i="187" s="1"/>
  <c r="AH19" i="187"/>
  <c r="AH31" i="187"/>
  <c r="AI31" i="187" s="1"/>
  <c r="AH14" i="187"/>
  <c r="AI14" i="187" s="1"/>
  <c r="AH26" i="187"/>
  <c r="AI26" i="187" s="1"/>
  <c r="AH10" i="187"/>
  <c r="AI10" i="187" s="1"/>
  <c r="AH21" i="187"/>
  <c r="AI21" i="187" s="1"/>
  <c r="AH16" i="187"/>
  <c r="AI16" i="187" s="1"/>
  <c r="AH28" i="187"/>
  <c r="AI28" i="187" s="1"/>
  <c r="AH11" i="187"/>
  <c r="AI11" i="187" s="1"/>
  <c r="AH23" i="187"/>
  <c r="AI23" i="187" s="1"/>
  <c r="AH18" i="187"/>
  <c r="AI18" i="187" s="1"/>
  <c r="AH30" i="187"/>
  <c r="AI30" i="187" s="1"/>
  <c r="AH6" i="187"/>
  <c r="AI6" i="187" s="1"/>
  <c r="AH15" i="187"/>
  <c r="AI15" i="187" s="1"/>
  <c r="AH27" i="187"/>
  <c r="AI27" i="187" s="1"/>
  <c r="AH13" i="187"/>
  <c r="AI13" i="187" s="1"/>
  <c r="AH39" i="187"/>
  <c r="AI39" i="187" s="1"/>
  <c r="AH51" i="187"/>
  <c r="AI51" i="187" s="1"/>
  <c r="AH46" i="187"/>
  <c r="AI46" i="187" s="1"/>
  <c r="AH58" i="187"/>
  <c r="AH41" i="187"/>
  <c r="AI41" i="187" s="1"/>
  <c r="AH53" i="187"/>
  <c r="AI53" i="187" s="1"/>
  <c r="AH36" i="187"/>
  <c r="AI36" i="187" s="1"/>
  <c r="AH48" i="187"/>
  <c r="AI48" i="187" s="1"/>
  <c r="AH43" i="187"/>
  <c r="AI43" i="187" s="1"/>
  <c r="AH55" i="187"/>
  <c r="AI55" i="187" s="1"/>
  <c r="AH38" i="187"/>
  <c r="AI38" i="187" s="1"/>
  <c r="AH50" i="187"/>
  <c r="AI50" i="187" s="1"/>
  <c r="AH45" i="187"/>
  <c r="AI45" i="187" s="1"/>
  <c r="AH57" i="187"/>
  <c r="AI57" i="187" s="1"/>
  <c r="AH20" i="187"/>
  <c r="AI20" i="187" s="1"/>
  <c r="AH40" i="187"/>
  <c r="AI40" i="187" s="1"/>
  <c r="AH52" i="187"/>
  <c r="AI52" i="187" s="1"/>
  <c r="AH34" i="187"/>
  <c r="AI34" i="187" s="1"/>
  <c r="AH37" i="187"/>
  <c r="AI37" i="187" s="1"/>
  <c r="AH49" i="187"/>
  <c r="AI49" i="187" s="1"/>
  <c r="AH33" i="187"/>
  <c r="AI33" i="187" s="1"/>
  <c r="AH62" i="187"/>
  <c r="AI62" i="187" s="1"/>
  <c r="AH74" i="187"/>
  <c r="AI74" i="187" s="1"/>
  <c r="AH54" i="187"/>
  <c r="AI54" i="187" s="1"/>
  <c r="AH69" i="187"/>
  <c r="AH22" i="187"/>
  <c r="AI22" i="187" s="1"/>
  <c r="AH64" i="187"/>
  <c r="AI64" i="187" s="1"/>
  <c r="AH76" i="187"/>
  <c r="AI76" i="187" s="1"/>
  <c r="AH59" i="187"/>
  <c r="AI59" i="187" s="1"/>
  <c r="AH71" i="187"/>
  <c r="AI71" i="187" s="1"/>
  <c r="AH42" i="187"/>
  <c r="AI42" i="187" s="1"/>
  <c r="AH66" i="187"/>
  <c r="AI66" i="187" s="1"/>
  <c r="AH78" i="187"/>
  <c r="AI78" i="187" s="1"/>
  <c r="AH56" i="187"/>
  <c r="AI56" i="187" s="1"/>
  <c r="AH61" i="187"/>
  <c r="AI61" i="187" s="1"/>
  <c r="AH73" i="187"/>
  <c r="AI73" i="187" s="1"/>
  <c r="AH47" i="187"/>
  <c r="AI47" i="187" s="1"/>
  <c r="AH68" i="187"/>
  <c r="AI68" i="187" s="1"/>
  <c r="AH80" i="187"/>
  <c r="AI80" i="187" s="1"/>
  <c r="AH25" i="187"/>
  <c r="AI25" i="187" s="1"/>
  <c r="AH63" i="187"/>
  <c r="AI63" i="187" s="1"/>
  <c r="AH75" i="187"/>
  <c r="AI75" i="187" s="1"/>
  <c r="AH60" i="187"/>
  <c r="AI60" i="187" s="1"/>
  <c r="AH72" i="187"/>
  <c r="AI72" i="187" s="1"/>
  <c r="AH93" i="187"/>
  <c r="AI93" i="187" s="1"/>
  <c r="AH105" i="187"/>
  <c r="AI105" i="187" s="1"/>
  <c r="AH32" i="187"/>
  <c r="AI32" i="187" s="1"/>
  <c r="AH88" i="187"/>
  <c r="AI88" i="187" s="1"/>
  <c r="AH100" i="187"/>
  <c r="AH83" i="187"/>
  <c r="AI83" i="187" s="1"/>
  <c r="AH95" i="187"/>
  <c r="AI95" i="187" s="1"/>
  <c r="AH90" i="187"/>
  <c r="AI90" i="187" s="1"/>
  <c r="AH102" i="187"/>
  <c r="AI102" i="187" s="1"/>
  <c r="AH35" i="187"/>
  <c r="AI35" i="187" s="1"/>
  <c r="AH77" i="187"/>
  <c r="AI77" i="187" s="1"/>
  <c r="AH85" i="187"/>
  <c r="AI85" i="187" s="1"/>
  <c r="AH97" i="187"/>
  <c r="AI97" i="187" s="1"/>
  <c r="AH82" i="187"/>
  <c r="AI82" i="187" s="1"/>
  <c r="AH92" i="187"/>
  <c r="AI92" i="187" s="1"/>
  <c r="AH104" i="187"/>
  <c r="AI104" i="187" s="1"/>
  <c r="AH87" i="187"/>
  <c r="AI87" i="187" s="1"/>
  <c r="AH99" i="187"/>
  <c r="AI99" i="187" s="1"/>
  <c r="AH65" i="187"/>
  <c r="AI65" i="187" s="1"/>
  <c r="AH94" i="187"/>
  <c r="AI94" i="187" s="1"/>
  <c r="AH79" i="187"/>
  <c r="AI79" i="187" s="1"/>
  <c r="AH89" i="187"/>
  <c r="AI89" i="187" s="1"/>
  <c r="AH101" i="187"/>
  <c r="AI101" i="187" s="1"/>
  <c r="AH91" i="187"/>
  <c r="AI91" i="187" s="1"/>
  <c r="AH103" i="187"/>
  <c r="AI103" i="187" s="1"/>
  <c r="AH70" i="187"/>
  <c r="AI70" i="187" s="1"/>
  <c r="AH106" i="187"/>
  <c r="AI106" i="187" s="1"/>
  <c r="AH108" i="187"/>
  <c r="AI108" i="187" s="1"/>
  <c r="AH120" i="187"/>
  <c r="AI120" i="187" s="1"/>
  <c r="AH132" i="187"/>
  <c r="AI132" i="187" s="1"/>
  <c r="AH115" i="187"/>
  <c r="AI115" i="187" s="1"/>
  <c r="AH127" i="187"/>
  <c r="AI127" i="187" s="1"/>
  <c r="AH110" i="187"/>
  <c r="AI110" i="187" s="1"/>
  <c r="AH122" i="187"/>
  <c r="AI122" i="187" s="1"/>
  <c r="AH86" i="187"/>
  <c r="AI86" i="187" s="1"/>
  <c r="AH117" i="187"/>
  <c r="AI117" i="187" s="1"/>
  <c r="AH129" i="187"/>
  <c r="AI129" i="187" s="1"/>
  <c r="AH44" i="187"/>
  <c r="AI44" i="187" s="1"/>
  <c r="AH84" i="187"/>
  <c r="AH112" i="187"/>
  <c r="AI112" i="187" s="1"/>
  <c r="AH124" i="187"/>
  <c r="AI124" i="187" s="1"/>
  <c r="AH81" i="187"/>
  <c r="AI81" i="187" s="1"/>
  <c r="AH98" i="187"/>
  <c r="AI98" i="187" s="1"/>
  <c r="AH107" i="187"/>
  <c r="AI107" i="187" s="1"/>
  <c r="AH119" i="187"/>
  <c r="AI119" i="187" s="1"/>
  <c r="AH131" i="187"/>
  <c r="AI131" i="187" s="1"/>
  <c r="AH96" i="187"/>
  <c r="AI96" i="187" s="1"/>
  <c r="AH114" i="187"/>
  <c r="AI114" i="187" s="1"/>
  <c r="AH126" i="187"/>
  <c r="AI126" i="187" s="1"/>
  <c r="AH109" i="187"/>
  <c r="AI109" i="187" s="1"/>
  <c r="AH121" i="187"/>
  <c r="AI121" i="187" s="1"/>
  <c r="AH133" i="187"/>
  <c r="AI133" i="187" s="1"/>
  <c r="AH116" i="187"/>
  <c r="AI116" i="187" s="1"/>
  <c r="AH128" i="187"/>
  <c r="AI128" i="187" s="1"/>
  <c r="AH118" i="187"/>
  <c r="AI118" i="187" s="1"/>
  <c r="AH130" i="187"/>
  <c r="AI130" i="187" s="1"/>
  <c r="AH135" i="187"/>
  <c r="AI135" i="187" s="1"/>
  <c r="AH147" i="187"/>
  <c r="AI147" i="187" s="1"/>
  <c r="AH159" i="187"/>
  <c r="AI159" i="187" s="1"/>
  <c r="AH142" i="187"/>
  <c r="AI142" i="187" s="1"/>
  <c r="AH154" i="187"/>
  <c r="AI154" i="187" s="1"/>
  <c r="AH67" i="187"/>
  <c r="AI67" i="187" s="1"/>
  <c r="AH137" i="187"/>
  <c r="AI137" i="187" s="1"/>
  <c r="AH149" i="187"/>
  <c r="AI149" i="187" s="1"/>
  <c r="AH113" i="187"/>
  <c r="AI113" i="187" s="1"/>
  <c r="AH144" i="187"/>
  <c r="AI144" i="187" s="1"/>
  <c r="AH156" i="187"/>
  <c r="AI156" i="187" s="1"/>
  <c r="AH111" i="187"/>
  <c r="AI111" i="187" s="1"/>
  <c r="AH139" i="187"/>
  <c r="AI139" i="187" s="1"/>
  <c r="AH151" i="187"/>
  <c r="AI151" i="187" s="1"/>
  <c r="AH125" i="187"/>
  <c r="AI125" i="187" s="1"/>
  <c r="AH134" i="187"/>
  <c r="AI134" i="187" s="1"/>
  <c r="AH146" i="187"/>
  <c r="AI146" i="187" s="1"/>
  <c r="AH158" i="187"/>
  <c r="AI158" i="187" s="1"/>
  <c r="AH123" i="187"/>
  <c r="AI123" i="187" s="1"/>
  <c r="AH141" i="187"/>
  <c r="AI141" i="187" s="1"/>
  <c r="AH153" i="187"/>
  <c r="AI153" i="187" s="1"/>
  <c r="AH136" i="187"/>
  <c r="AH148" i="187"/>
  <c r="AI148" i="187" s="1"/>
  <c r="AH160" i="187"/>
  <c r="AI160" i="187" s="1"/>
  <c r="AH143" i="187"/>
  <c r="AI143" i="187" s="1"/>
  <c r="AH155" i="187"/>
  <c r="AI155" i="187" s="1"/>
  <c r="AH150" i="187"/>
  <c r="AI150" i="187" s="1"/>
  <c r="AH164" i="187"/>
  <c r="AI164" i="187" s="1"/>
  <c r="AH3" i="187"/>
  <c r="AI3" i="187" s="1"/>
  <c r="AH166" i="187"/>
  <c r="AI166" i="187" s="1"/>
  <c r="AH138" i="187"/>
  <c r="AI138" i="187" s="1"/>
  <c r="AH161" i="187"/>
  <c r="AI161" i="187" s="1"/>
  <c r="AH169" i="187"/>
  <c r="AI169" i="187" s="1"/>
  <c r="AH168" i="187"/>
  <c r="AI168" i="187" s="1"/>
  <c r="AH152" i="187"/>
  <c r="AI152" i="187" s="1"/>
  <c r="AH163" i="187"/>
  <c r="AI163" i="187" s="1"/>
  <c r="AH170" i="187"/>
  <c r="AI170" i="187" s="1"/>
  <c r="AH157" i="187"/>
  <c r="AI157" i="187" s="1"/>
  <c r="AH165" i="187"/>
  <c r="AI165" i="187" s="1"/>
  <c r="AH140" i="187"/>
  <c r="AI140" i="187" s="1"/>
  <c r="AH167" i="187"/>
  <c r="AI167" i="187" s="1"/>
  <c r="AH145" i="187"/>
  <c r="AI145" i="187" s="1"/>
  <c r="AH162" i="187"/>
  <c r="AI162" i="187" s="1"/>
  <c r="AI19" i="187"/>
  <c r="AI69" i="187"/>
  <c r="AI100" i="187"/>
  <c r="AH174" i="187"/>
  <c r="AH173" i="187"/>
  <c r="AH175" i="187"/>
  <c r="AH172" i="187"/>
  <c r="AH171" i="187"/>
  <c r="AI58" i="187"/>
  <c r="Q101" i="185"/>
  <c r="Q102" i="185"/>
  <c r="Q103" i="185"/>
  <c r="Q100" i="185"/>
  <c r="Q29" i="185"/>
  <c r="Q34" i="185"/>
  <c r="Q30" i="185"/>
  <c r="Q40" i="185"/>
  <c r="Q50" i="185"/>
  <c r="Q62" i="185"/>
  <c r="Q74" i="185"/>
  <c r="Q42" i="185"/>
  <c r="Q54" i="185"/>
  <c r="Q66" i="185"/>
  <c r="Q78" i="185"/>
  <c r="Q32" i="185"/>
  <c r="Q36" i="185"/>
  <c r="Q45" i="185"/>
  <c r="Q58" i="185"/>
  <c r="Q71" i="185"/>
  <c r="Q91" i="185"/>
  <c r="Q47" i="185"/>
  <c r="Q60" i="185"/>
  <c r="Q80" i="185"/>
  <c r="Q82" i="185"/>
  <c r="Q46" i="185"/>
  <c r="Q51" i="185"/>
  <c r="Q65" i="185"/>
  <c r="Q70" i="185"/>
  <c r="Q89" i="185"/>
  <c r="Q95" i="185"/>
  <c r="Q110" i="185"/>
  <c r="Q122" i="185"/>
  <c r="Q134" i="185"/>
  <c r="Q146" i="185"/>
  <c r="Q158" i="185"/>
  <c r="Q39" i="185"/>
  <c r="Q41" i="185"/>
  <c r="Q44" i="185"/>
  <c r="Q68" i="185"/>
  <c r="Q73" i="185"/>
  <c r="Q85" i="185"/>
  <c r="Q99" i="185"/>
  <c r="Q114" i="185"/>
  <c r="Q126" i="185"/>
  <c r="Q138" i="185"/>
  <c r="Q150" i="185"/>
  <c r="Q162" i="185"/>
  <c r="Q48" i="185"/>
  <c r="Q53" i="185"/>
  <c r="Q33" i="185"/>
  <c r="Q63" i="185"/>
  <c r="Q67" i="185"/>
  <c r="Q69" i="185"/>
  <c r="Q75" i="185"/>
  <c r="Q77" i="185"/>
  <c r="Q79" i="185"/>
  <c r="Q92" i="185"/>
  <c r="Q109" i="185"/>
  <c r="Q115" i="185"/>
  <c r="Q135" i="185"/>
  <c r="Q148" i="185"/>
  <c r="Q161" i="185"/>
  <c r="Q37" i="185"/>
  <c r="Q38" i="185"/>
  <c r="Q111" i="185"/>
  <c r="Q124" i="185"/>
  <c r="Q137" i="185"/>
  <c r="Q157" i="185"/>
  <c r="Q163" i="185"/>
  <c r="Q169" i="185"/>
  <c r="Q72" i="185"/>
  <c r="Q76" i="185"/>
  <c r="Q56" i="185"/>
  <c r="Q61" i="185"/>
  <c r="Q64" i="185"/>
  <c r="Q86" i="185"/>
  <c r="Q96" i="185"/>
  <c r="Q49" i="185"/>
  <c r="Q59" i="185"/>
  <c r="Q94" i="185"/>
  <c r="Q87" i="185"/>
  <c r="Q116" i="185"/>
  <c r="Q121" i="185"/>
  <c r="Q145" i="185"/>
  <c r="Q155" i="185"/>
  <c r="Q160" i="185"/>
  <c r="Q172" i="185"/>
  <c r="Q43" i="185"/>
  <c r="Q52" i="185"/>
  <c r="Q57" i="185"/>
  <c r="Q97" i="185"/>
  <c r="Q129" i="185"/>
  <c r="Q139" i="185"/>
  <c r="Q90" i="185"/>
  <c r="Q107" i="185"/>
  <c r="Q55" i="185"/>
  <c r="Q31" i="185"/>
  <c r="Q81" i="185"/>
  <c r="Q108" i="185"/>
  <c r="Q104" i="185"/>
  <c r="Q35" i="185"/>
  <c r="Q93" i="185"/>
  <c r="Q98" i="185"/>
  <c r="Q119" i="185"/>
  <c r="Q123" i="185"/>
  <c r="Q125" i="185"/>
  <c r="Q131" i="185"/>
  <c r="Q141" i="185"/>
  <c r="Q167" i="185"/>
  <c r="Q88" i="185"/>
  <c r="Q105" i="185"/>
  <c r="Q113" i="185"/>
  <c r="Q117" i="185"/>
  <c r="Q127" i="185"/>
  <c r="Q128" i="185"/>
  <c r="Q136" i="185"/>
  <c r="Q144" i="185"/>
  <c r="Q106" i="185"/>
  <c r="Q120" i="185"/>
  <c r="Q133" i="185"/>
  <c r="Q151" i="185"/>
  <c r="Q140" i="185"/>
  <c r="Q132" i="185"/>
  <c r="Q149" i="185"/>
  <c r="Q159" i="185"/>
  <c r="Q166" i="185"/>
  <c r="Q171" i="185"/>
  <c r="Q112" i="185"/>
  <c r="Q156" i="185"/>
  <c r="Q152" i="185"/>
  <c r="Q130" i="185"/>
  <c r="Q142" i="185"/>
  <c r="Q168" i="185"/>
  <c r="Q170" i="185"/>
  <c r="Q165" i="185"/>
  <c r="Q164" i="185"/>
  <c r="Q173" i="185"/>
  <c r="Q118" i="185"/>
  <c r="Q154" i="185"/>
  <c r="Q143" i="185"/>
  <c r="Q147" i="185"/>
  <c r="Q153" i="185"/>
  <c r="Q174" i="185"/>
  <c r="R1" i="185"/>
  <c r="T16" i="182"/>
  <c r="T15" i="182"/>
  <c r="R83" i="185" l="1"/>
  <c r="R84" i="185"/>
  <c r="R12" i="185"/>
  <c r="R24" i="185"/>
  <c r="R7" i="185"/>
  <c r="R19" i="185"/>
  <c r="R14" i="185"/>
  <c r="R26" i="185"/>
  <c r="R9" i="185"/>
  <c r="R21" i="185"/>
  <c r="R4" i="185"/>
  <c r="R16" i="185"/>
  <c r="R28" i="185"/>
  <c r="R11" i="185"/>
  <c r="R23" i="185"/>
  <c r="R6" i="185"/>
  <c r="R18" i="185"/>
  <c r="R13" i="185"/>
  <c r="R25" i="185"/>
  <c r="R10" i="185"/>
  <c r="R22" i="185"/>
  <c r="R3" i="185"/>
  <c r="R27" i="185"/>
  <c r="R15" i="185"/>
  <c r="R20" i="185"/>
  <c r="R17" i="185"/>
  <c r="R5" i="185"/>
  <c r="R8" i="185"/>
  <c r="R101" i="185"/>
  <c r="R103" i="185"/>
  <c r="R102" i="185"/>
  <c r="R100" i="185"/>
  <c r="R34" i="185"/>
  <c r="R31" i="185"/>
  <c r="R41" i="185"/>
  <c r="R36" i="185"/>
  <c r="R39" i="185"/>
  <c r="R43" i="185"/>
  <c r="R55" i="185"/>
  <c r="R67" i="185"/>
  <c r="R79" i="185"/>
  <c r="R33" i="185"/>
  <c r="R47" i="185"/>
  <c r="R59" i="185"/>
  <c r="R71" i="185"/>
  <c r="R40" i="185"/>
  <c r="R51" i="185"/>
  <c r="R64" i="185"/>
  <c r="R77" i="185"/>
  <c r="R53" i="185"/>
  <c r="R73" i="185"/>
  <c r="R88" i="185"/>
  <c r="R44" i="185"/>
  <c r="R56" i="185"/>
  <c r="R32" i="185"/>
  <c r="R46" i="185"/>
  <c r="R75" i="185"/>
  <c r="R81" i="185"/>
  <c r="R115" i="185"/>
  <c r="R127" i="185"/>
  <c r="R139" i="185"/>
  <c r="R151" i="185"/>
  <c r="R163" i="185"/>
  <c r="R37" i="185"/>
  <c r="R49" i="185"/>
  <c r="R78" i="185"/>
  <c r="R91" i="185"/>
  <c r="R107" i="185"/>
  <c r="R119" i="185"/>
  <c r="R131" i="185"/>
  <c r="R143" i="185"/>
  <c r="R155" i="185"/>
  <c r="R30" i="185"/>
  <c r="R38" i="185"/>
  <c r="R58" i="185"/>
  <c r="R45" i="185"/>
  <c r="R50" i="185"/>
  <c r="R99" i="185"/>
  <c r="R108" i="185"/>
  <c r="R128" i="185"/>
  <c r="R141" i="185"/>
  <c r="R154" i="185"/>
  <c r="R42" i="185"/>
  <c r="R52" i="185"/>
  <c r="R57" i="185"/>
  <c r="R86" i="185"/>
  <c r="R104" i="185"/>
  <c r="R117" i="185"/>
  <c r="R130" i="185"/>
  <c r="R150" i="185"/>
  <c r="R156" i="185"/>
  <c r="R68" i="185"/>
  <c r="R74" i="185"/>
  <c r="R80" i="185"/>
  <c r="R62" i="185"/>
  <c r="R63" i="185"/>
  <c r="R65" i="185"/>
  <c r="R66" i="185"/>
  <c r="R69" i="185"/>
  <c r="R70" i="185"/>
  <c r="R72" i="185"/>
  <c r="R76" i="185"/>
  <c r="R90" i="185"/>
  <c r="R92" i="185"/>
  <c r="R35" i="185"/>
  <c r="R54" i="185"/>
  <c r="R85" i="185"/>
  <c r="R94" i="185"/>
  <c r="R126" i="185"/>
  <c r="R136" i="185"/>
  <c r="R165" i="185"/>
  <c r="R168" i="185"/>
  <c r="R82" i="185"/>
  <c r="R89" i="185"/>
  <c r="R48" i="185"/>
  <c r="R87" i="185"/>
  <c r="R105" i="185"/>
  <c r="R110" i="185"/>
  <c r="R120" i="185"/>
  <c r="R144" i="185"/>
  <c r="R149" i="185"/>
  <c r="R170" i="185"/>
  <c r="R113" i="185"/>
  <c r="R60" i="185"/>
  <c r="R61" i="185"/>
  <c r="R96" i="185"/>
  <c r="R106" i="185"/>
  <c r="R112" i="185"/>
  <c r="R174" i="185"/>
  <c r="R95" i="185"/>
  <c r="R97" i="185"/>
  <c r="R93" i="185"/>
  <c r="R98" i="185"/>
  <c r="R129" i="185"/>
  <c r="R133" i="185"/>
  <c r="R135" i="185"/>
  <c r="R137" i="185"/>
  <c r="R147" i="185"/>
  <c r="R29" i="185"/>
  <c r="R109" i="185"/>
  <c r="R111" i="185"/>
  <c r="R121" i="185"/>
  <c r="R123" i="185"/>
  <c r="R125" i="185"/>
  <c r="R167" i="185"/>
  <c r="R114" i="185"/>
  <c r="R118" i="185"/>
  <c r="R173" i="185"/>
  <c r="R124" i="185"/>
  <c r="R140" i="185"/>
  <c r="R158" i="185"/>
  <c r="R160" i="185"/>
  <c r="R164" i="185"/>
  <c r="R116" i="185"/>
  <c r="R132" i="185"/>
  <c r="R122" i="185"/>
  <c r="R146" i="185"/>
  <c r="R134" i="185"/>
  <c r="R138" i="185"/>
  <c r="R161" i="185"/>
  <c r="R148" i="185"/>
  <c r="R159" i="185"/>
  <c r="R152" i="185"/>
  <c r="R166" i="185"/>
  <c r="R169" i="185"/>
  <c r="R171" i="185"/>
  <c r="R142" i="185"/>
  <c r="R172" i="185"/>
  <c r="R157" i="185"/>
  <c r="R145" i="185"/>
  <c r="R162" i="185"/>
  <c r="R153" i="185"/>
  <c r="S1" i="185"/>
  <c r="O10" i="182"/>
  <c r="O9" i="182"/>
  <c r="S84" i="185" l="1"/>
  <c r="S83" i="185"/>
  <c r="S5" i="185"/>
  <c r="S17" i="185"/>
  <c r="S12" i="185"/>
  <c r="S24" i="185"/>
  <c r="S7" i="185"/>
  <c r="S19" i="185"/>
  <c r="S14" i="185"/>
  <c r="S26" i="185"/>
  <c r="S9" i="185"/>
  <c r="S21" i="185"/>
  <c r="S4" i="185"/>
  <c r="S16" i="185"/>
  <c r="S11" i="185"/>
  <c r="S23" i="185"/>
  <c r="S6" i="185"/>
  <c r="S18" i="185"/>
  <c r="S15" i="185"/>
  <c r="S27" i="185"/>
  <c r="S13" i="185"/>
  <c r="S10" i="185"/>
  <c r="S20" i="185"/>
  <c r="S8" i="185"/>
  <c r="S28" i="185"/>
  <c r="S3" i="185"/>
  <c r="S25" i="185"/>
  <c r="S22" i="185"/>
  <c r="S101" i="185"/>
  <c r="S103" i="185"/>
  <c r="S102" i="185"/>
  <c r="S100" i="185"/>
  <c r="S36" i="185"/>
  <c r="S29" i="185"/>
  <c r="S38" i="185"/>
  <c r="S30" i="185"/>
  <c r="S35" i="185"/>
  <c r="S48" i="185"/>
  <c r="S60" i="185"/>
  <c r="S72" i="185"/>
  <c r="S41" i="185"/>
  <c r="S52" i="185"/>
  <c r="S64" i="185"/>
  <c r="S76" i="185"/>
  <c r="S44" i="185"/>
  <c r="S57" i="185"/>
  <c r="S70" i="185"/>
  <c r="S89" i="185"/>
  <c r="S39" i="185"/>
  <c r="S46" i="185"/>
  <c r="S66" i="185"/>
  <c r="S79" i="185"/>
  <c r="S37" i="185"/>
  <c r="S49" i="185"/>
  <c r="S51" i="185"/>
  <c r="S56" i="185"/>
  <c r="S80" i="185"/>
  <c r="S93" i="185"/>
  <c r="S108" i="185"/>
  <c r="S120" i="185"/>
  <c r="S132" i="185"/>
  <c r="S144" i="185"/>
  <c r="S156" i="185"/>
  <c r="S54" i="185"/>
  <c r="S59" i="185"/>
  <c r="S69" i="185"/>
  <c r="S97" i="185"/>
  <c r="S112" i="185"/>
  <c r="S124" i="185"/>
  <c r="S136" i="185"/>
  <c r="S148" i="185"/>
  <c r="S160" i="185"/>
  <c r="S40" i="185"/>
  <c r="S42" i="185"/>
  <c r="S55" i="185"/>
  <c r="S33" i="185"/>
  <c r="S45" i="185"/>
  <c r="S50" i="185"/>
  <c r="S73" i="185"/>
  <c r="S82" i="185"/>
  <c r="S88" i="185"/>
  <c r="S98" i="185"/>
  <c r="S121" i="185"/>
  <c r="S134" i="185"/>
  <c r="S147" i="185"/>
  <c r="S31" i="185"/>
  <c r="S47" i="185"/>
  <c r="S91" i="185"/>
  <c r="S94" i="185"/>
  <c r="S110" i="185"/>
  <c r="S123" i="185"/>
  <c r="S143" i="185"/>
  <c r="S149" i="185"/>
  <c r="S167" i="185"/>
  <c r="S78" i="185"/>
  <c r="S67" i="185"/>
  <c r="S68" i="185"/>
  <c r="S71" i="185"/>
  <c r="S74" i="185"/>
  <c r="S75" i="185"/>
  <c r="S77" i="185"/>
  <c r="S99" i="185"/>
  <c r="S107" i="185"/>
  <c r="S131" i="185"/>
  <c r="S141" i="185"/>
  <c r="S146" i="185"/>
  <c r="S53" i="185"/>
  <c r="S58" i="185"/>
  <c r="S85" i="185"/>
  <c r="S34" i="185"/>
  <c r="S115" i="185"/>
  <c r="S125" i="185"/>
  <c r="S154" i="185"/>
  <c r="S159" i="185"/>
  <c r="S105" i="185"/>
  <c r="S109" i="185"/>
  <c r="S111" i="185"/>
  <c r="S117" i="185"/>
  <c r="S127" i="185"/>
  <c r="S43" i="185"/>
  <c r="S87" i="185"/>
  <c r="S63" i="185"/>
  <c r="S65" i="185"/>
  <c r="S86" i="185"/>
  <c r="S90" i="185"/>
  <c r="S61" i="185"/>
  <c r="S96" i="185"/>
  <c r="S114" i="185"/>
  <c r="S116" i="185"/>
  <c r="S118" i="185"/>
  <c r="S122" i="185"/>
  <c r="S169" i="185"/>
  <c r="S81" i="185"/>
  <c r="S106" i="185"/>
  <c r="S32" i="185"/>
  <c r="S139" i="185"/>
  <c r="S145" i="185"/>
  <c r="S151" i="185"/>
  <c r="S153" i="185"/>
  <c r="S161" i="185"/>
  <c r="S62" i="185"/>
  <c r="S92" i="185"/>
  <c r="S119" i="185"/>
  <c r="S129" i="185"/>
  <c r="S133" i="185"/>
  <c r="S135" i="185"/>
  <c r="S137" i="185"/>
  <c r="S104" i="185"/>
  <c r="S126" i="185"/>
  <c r="S142" i="185"/>
  <c r="S152" i="185"/>
  <c r="S170" i="185"/>
  <c r="S150" i="185"/>
  <c r="S113" i="185"/>
  <c r="S162" i="185"/>
  <c r="S95" i="185"/>
  <c r="S130" i="185"/>
  <c r="S138" i="185"/>
  <c r="S140" i="185"/>
  <c r="S155" i="185"/>
  <c r="S168" i="185"/>
  <c r="S166" i="185"/>
  <c r="S171" i="185"/>
  <c r="S165" i="185"/>
  <c r="S172" i="185"/>
  <c r="S158" i="185"/>
  <c r="S128" i="185"/>
  <c r="S164" i="185"/>
  <c r="S173" i="185"/>
  <c r="S163" i="185"/>
  <c r="S157" i="185"/>
  <c r="S174" i="185"/>
  <c r="T1" i="185"/>
  <c r="O7" i="182"/>
  <c r="O8" i="182"/>
  <c r="O6" i="182"/>
  <c r="O5" i="182"/>
  <c r="T83" i="185" l="1"/>
  <c r="T84" i="185"/>
  <c r="T10" i="185"/>
  <c r="T22" i="185"/>
  <c r="T3" i="185"/>
  <c r="T5" i="185"/>
  <c r="T17" i="185"/>
  <c r="T12" i="185"/>
  <c r="T24" i="185"/>
  <c r="T7" i="185"/>
  <c r="T19" i="185"/>
  <c r="T14" i="185"/>
  <c r="T26" i="185"/>
  <c r="T9" i="185"/>
  <c r="T21" i="185"/>
  <c r="T4" i="185"/>
  <c r="T16" i="185"/>
  <c r="T28" i="185"/>
  <c r="T11" i="185"/>
  <c r="T23" i="185"/>
  <c r="T8" i="185"/>
  <c r="T20" i="185"/>
  <c r="T13" i="185"/>
  <c r="T27" i="185"/>
  <c r="T18" i="185"/>
  <c r="T15" i="185"/>
  <c r="T6" i="185"/>
  <c r="T25" i="185"/>
  <c r="T103" i="185"/>
  <c r="T101" i="185"/>
  <c r="T102" i="185"/>
  <c r="T100" i="185"/>
  <c r="T32" i="185"/>
  <c r="T29" i="185"/>
  <c r="T33" i="185"/>
  <c r="T39" i="185"/>
  <c r="T35" i="185"/>
  <c r="T53" i="185"/>
  <c r="T65" i="185"/>
  <c r="T77" i="185"/>
  <c r="T45" i="185"/>
  <c r="T57" i="185"/>
  <c r="T69" i="185"/>
  <c r="T50" i="185"/>
  <c r="T63" i="185"/>
  <c r="T81" i="185"/>
  <c r="T59" i="185"/>
  <c r="T72" i="185"/>
  <c r="T86" i="185"/>
  <c r="T41" i="185"/>
  <c r="T54" i="185"/>
  <c r="T38" i="185"/>
  <c r="T40" i="185"/>
  <c r="T42" i="185"/>
  <c r="T36" i="185"/>
  <c r="T61" i="185"/>
  <c r="T88" i="185"/>
  <c r="T98" i="185"/>
  <c r="T113" i="185"/>
  <c r="T125" i="185"/>
  <c r="T137" i="185"/>
  <c r="T149" i="185"/>
  <c r="T161" i="185"/>
  <c r="T64" i="185"/>
  <c r="T74" i="185"/>
  <c r="T90" i="185"/>
  <c r="T105" i="185"/>
  <c r="T117" i="185"/>
  <c r="T129" i="185"/>
  <c r="T141" i="185"/>
  <c r="T153" i="185"/>
  <c r="T165" i="185"/>
  <c r="T31" i="185"/>
  <c r="T37" i="185"/>
  <c r="T47" i="185"/>
  <c r="T52" i="185"/>
  <c r="T60" i="185"/>
  <c r="T55" i="185"/>
  <c r="T114" i="185"/>
  <c r="T127" i="185"/>
  <c r="T140" i="185"/>
  <c r="T160" i="185"/>
  <c r="T166" i="185"/>
  <c r="T168" i="185"/>
  <c r="T87" i="185"/>
  <c r="T116" i="185"/>
  <c r="T136" i="185"/>
  <c r="T142" i="185"/>
  <c r="T162" i="185"/>
  <c r="T172" i="185"/>
  <c r="T34" i="185"/>
  <c r="T73" i="185"/>
  <c r="T78" i="185"/>
  <c r="T79" i="185"/>
  <c r="T80" i="185"/>
  <c r="T97" i="185"/>
  <c r="T95" i="185"/>
  <c r="T44" i="185"/>
  <c r="T49" i="185"/>
  <c r="T112" i="185"/>
  <c r="T122" i="185"/>
  <c r="T151" i="185"/>
  <c r="T94" i="185"/>
  <c r="T30" i="185"/>
  <c r="T91" i="185"/>
  <c r="T99" i="185"/>
  <c r="T93" i="185"/>
  <c r="T106" i="185"/>
  <c r="T130" i="185"/>
  <c r="T135" i="185"/>
  <c r="T164" i="185"/>
  <c r="T174" i="185"/>
  <c r="T115" i="185"/>
  <c r="T119" i="185"/>
  <c r="T121" i="185"/>
  <c r="T123" i="185"/>
  <c r="T133" i="185"/>
  <c r="T62" i="185"/>
  <c r="T92" i="185"/>
  <c r="T48" i="185"/>
  <c r="T58" i="185"/>
  <c r="T82" i="185"/>
  <c r="T43" i="185"/>
  <c r="T46" i="185"/>
  <c r="T51" i="185"/>
  <c r="T56" i="185"/>
  <c r="T67" i="185"/>
  <c r="T71" i="185"/>
  <c r="T75" i="185"/>
  <c r="T110" i="185"/>
  <c r="T120" i="185"/>
  <c r="T126" i="185"/>
  <c r="T128" i="185"/>
  <c r="T132" i="185"/>
  <c r="T173" i="185"/>
  <c r="T96" i="185"/>
  <c r="T108" i="185"/>
  <c r="T118" i="185"/>
  <c r="T85" i="185"/>
  <c r="T89" i="185"/>
  <c r="T104" i="185"/>
  <c r="T143" i="185"/>
  <c r="T155" i="185"/>
  <c r="T157" i="185"/>
  <c r="T159" i="185"/>
  <c r="T66" i="185"/>
  <c r="T68" i="185"/>
  <c r="T70" i="185"/>
  <c r="T76" i="185"/>
  <c r="T131" i="185"/>
  <c r="T139" i="185"/>
  <c r="T145" i="185"/>
  <c r="T147" i="185"/>
  <c r="T167" i="185"/>
  <c r="T111" i="185"/>
  <c r="T134" i="185"/>
  <c r="T150" i="185"/>
  <c r="T124" i="185"/>
  <c r="T107" i="185"/>
  <c r="T138" i="185"/>
  <c r="T109" i="185"/>
  <c r="T156" i="185"/>
  <c r="T144" i="185"/>
  <c r="T152" i="185"/>
  <c r="T170" i="185"/>
  <c r="T169" i="185"/>
  <c r="T171" i="185"/>
  <c r="T146" i="185"/>
  <c r="T148" i="185"/>
  <c r="T158" i="185"/>
  <c r="T154" i="185"/>
  <c r="T163" i="185"/>
  <c r="U1" i="185"/>
  <c r="Q66" i="180"/>
  <c r="O65" i="180"/>
  <c r="Q64" i="180"/>
  <c r="O63" i="180"/>
  <c r="U83" i="185" l="1"/>
  <c r="U84" i="185"/>
  <c r="U15" i="185"/>
  <c r="U27" i="185"/>
  <c r="U10" i="185"/>
  <c r="U22" i="185"/>
  <c r="U3" i="185"/>
  <c r="U5" i="185"/>
  <c r="U17" i="185"/>
  <c r="U12" i="185"/>
  <c r="U24" i="185"/>
  <c r="U7" i="185"/>
  <c r="U19" i="185"/>
  <c r="U14" i="185"/>
  <c r="U26" i="185"/>
  <c r="U9" i="185"/>
  <c r="U21" i="185"/>
  <c r="U4" i="185"/>
  <c r="U16" i="185"/>
  <c r="U28" i="185"/>
  <c r="U13" i="185"/>
  <c r="U25" i="185"/>
  <c r="U18" i="185"/>
  <c r="U23" i="185"/>
  <c r="U6" i="185"/>
  <c r="U11" i="185"/>
  <c r="U20" i="185"/>
  <c r="U8" i="185"/>
  <c r="U102" i="185"/>
  <c r="U101" i="185"/>
  <c r="U103" i="185"/>
  <c r="U100" i="185"/>
  <c r="U34" i="185"/>
  <c r="U38" i="185"/>
  <c r="U46" i="185"/>
  <c r="U58" i="185"/>
  <c r="U70" i="185"/>
  <c r="U40" i="185"/>
  <c r="U50" i="185"/>
  <c r="U62" i="185"/>
  <c r="U74" i="185"/>
  <c r="U41" i="185"/>
  <c r="U43" i="185"/>
  <c r="U56" i="185"/>
  <c r="U76" i="185"/>
  <c r="U87" i="185"/>
  <c r="U52" i="185"/>
  <c r="U65" i="185"/>
  <c r="U78" i="185"/>
  <c r="U91" i="185"/>
  <c r="U39" i="185"/>
  <c r="U59" i="185"/>
  <c r="U31" i="185"/>
  <c r="U47" i="185"/>
  <c r="U42" i="185"/>
  <c r="U66" i="185"/>
  <c r="U71" i="185"/>
  <c r="U106" i="185"/>
  <c r="U118" i="185"/>
  <c r="U130" i="185"/>
  <c r="U142" i="185"/>
  <c r="U154" i="185"/>
  <c r="U166" i="185"/>
  <c r="U29" i="185"/>
  <c r="U33" i="185"/>
  <c r="U45" i="185"/>
  <c r="U55" i="185"/>
  <c r="U79" i="185"/>
  <c r="U82" i="185"/>
  <c r="U95" i="185"/>
  <c r="U110" i="185"/>
  <c r="U122" i="185"/>
  <c r="U134" i="185"/>
  <c r="U146" i="185"/>
  <c r="U158" i="185"/>
  <c r="U57" i="185"/>
  <c r="U60" i="185"/>
  <c r="U107" i="185"/>
  <c r="U120" i="185"/>
  <c r="U133" i="185"/>
  <c r="U153" i="185"/>
  <c r="U159" i="185"/>
  <c r="U61" i="185"/>
  <c r="U81" i="185"/>
  <c r="U92" i="185"/>
  <c r="U93" i="185"/>
  <c r="U109" i="185"/>
  <c r="U129" i="185"/>
  <c r="U135" i="185"/>
  <c r="U155" i="185"/>
  <c r="U36" i="185"/>
  <c r="U35" i="185"/>
  <c r="U54" i="185"/>
  <c r="U117" i="185"/>
  <c r="U127" i="185"/>
  <c r="U132" i="185"/>
  <c r="U156" i="185"/>
  <c r="U161" i="185"/>
  <c r="U167" i="185"/>
  <c r="U37" i="185"/>
  <c r="U44" i="185"/>
  <c r="U49" i="185"/>
  <c r="U32" i="185"/>
  <c r="U98" i="185"/>
  <c r="U111" i="185"/>
  <c r="U140" i="185"/>
  <c r="U145" i="185"/>
  <c r="U169" i="185"/>
  <c r="U125" i="185"/>
  <c r="U131" i="185"/>
  <c r="U137" i="185"/>
  <c r="U139" i="185"/>
  <c r="U147" i="185"/>
  <c r="U68" i="185"/>
  <c r="U88" i="185"/>
  <c r="U113" i="185"/>
  <c r="U30" i="185"/>
  <c r="U53" i="185"/>
  <c r="U48" i="185"/>
  <c r="U69" i="185"/>
  <c r="U73" i="185"/>
  <c r="U77" i="185"/>
  <c r="U51" i="185"/>
  <c r="U63" i="185"/>
  <c r="U67" i="185"/>
  <c r="U75" i="185"/>
  <c r="U86" i="185"/>
  <c r="U90" i="185"/>
  <c r="U124" i="185"/>
  <c r="U138" i="185"/>
  <c r="U152" i="185"/>
  <c r="U170" i="185"/>
  <c r="U171" i="185"/>
  <c r="U112" i="185"/>
  <c r="U114" i="185"/>
  <c r="U116" i="185"/>
  <c r="U126" i="185"/>
  <c r="U128" i="185"/>
  <c r="U94" i="185"/>
  <c r="U85" i="185"/>
  <c r="U89" i="185"/>
  <c r="U104" i="185"/>
  <c r="U149" i="185"/>
  <c r="U163" i="185"/>
  <c r="U165" i="185"/>
  <c r="U168" i="185"/>
  <c r="U64" i="185"/>
  <c r="U72" i="185"/>
  <c r="U80" i="185"/>
  <c r="U141" i="185"/>
  <c r="U143" i="185"/>
  <c r="U151" i="185"/>
  <c r="U157" i="185"/>
  <c r="U99" i="185"/>
  <c r="U119" i="185"/>
  <c r="U108" i="185"/>
  <c r="U105" i="185"/>
  <c r="U96" i="185"/>
  <c r="U115" i="185"/>
  <c r="U97" i="185"/>
  <c r="U121" i="185"/>
  <c r="U174" i="185"/>
  <c r="U160" i="185"/>
  <c r="U144" i="185"/>
  <c r="U148" i="185"/>
  <c r="U172" i="185"/>
  <c r="U173" i="185"/>
  <c r="U164" i="185"/>
  <c r="U123" i="185"/>
  <c r="U150" i="185"/>
  <c r="U162" i="185"/>
  <c r="U136" i="185"/>
  <c r="V1" i="185"/>
  <c r="T17" i="182"/>
  <c r="T13" i="182"/>
  <c r="T14" i="182"/>
  <c r="V84" i="185" l="1"/>
  <c r="V83" i="185"/>
  <c r="V8" i="185"/>
  <c r="V20" i="185"/>
  <c r="V15" i="185"/>
  <c r="V27" i="185"/>
  <c r="V10" i="185"/>
  <c r="V22" i="185"/>
  <c r="V3" i="185"/>
  <c r="V5" i="185"/>
  <c r="V17" i="185"/>
  <c r="V12" i="185"/>
  <c r="V24" i="185"/>
  <c r="V7" i="185"/>
  <c r="V19" i="185"/>
  <c r="V14" i="185"/>
  <c r="V26" i="185"/>
  <c r="V9" i="185"/>
  <c r="V21" i="185"/>
  <c r="V6" i="185"/>
  <c r="V18" i="185"/>
  <c r="V16" i="185"/>
  <c r="V13" i="185"/>
  <c r="V4" i="185"/>
  <c r="V23" i="185"/>
  <c r="V11" i="185"/>
  <c r="V25" i="185"/>
  <c r="V28" i="185"/>
  <c r="V102" i="185"/>
  <c r="V103" i="185"/>
  <c r="V101" i="185"/>
  <c r="V100" i="185"/>
  <c r="V30" i="185"/>
  <c r="V32" i="185"/>
  <c r="V37" i="185"/>
  <c r="V41" i="185"/>
  <c r="V31" i="185"/>
  <c r="V51" i="185"/>
  <c r="V63" i="185"/>
  <c r="V75" i="185"/>
  <c r="V29" i="185"/>
  <c r="V34" i="185"/>
  <c r="V43" i="185"/>
  <c r="V55" i="185"/>
  <c r="V67" i="185"/>
  <c r="V79" i="185"/>
  <c r="V49" i="185"/>
  <c r="V69" i="185"/>
  <c r="V92" i="185"/>
  <c r="V45" i="185"/>
  <c r="V58" i="185"/>
  <c r="V71" i="185"/>
  <c r="V33" i="185"/>
  <c r="V35" i="185"/>
  <c r="V52" i="185"/>
  <c r="V57" i="185"/>
  <c r="V38" i="185"/>
  <c r="V40" i="185"/>
  <c r="V47" i="185"/>
  <c r="V76" i="185"/>
  <c r="V87" i="185"/>
  <c r="V96" i="185"/>
  <c r="V111" i="185"/>
  <c r="V123" i="185"/>
  <c r="V135" i="185"/>
  <c r="V147" i="185"/>
  <c r="V159" i="185"/>
  <c r="V50" i="185"/>
  <c r="V60" i="185"/>
  <c r="V89" i="185"/>
  <c r="V115" i="185"/>
  <c r="V127" i="185"/>
  <c r="V139" i="185"/>
  <c r="V151" i="185"/>
  <c r="V163" i="185"/>
  <c r="V39" i="185"/>
  <c r="V61" i="185"/>
  <c r="V81" i="185"/>
  <c r="V44" i="185"/>
  <c r="V97" i="185"/>
  <c r="V113" i="185"/>
  <c r="V126" i="185"/>
  <c r="V146" i="185"/>
  <c r="V152" i="185"/>
  <c r="V99" i="185"/>
  <c r="V122" i="185"/>
  <c r="V128" i="185"/>
  <c r="V148" i="185"/>
  <c r="V161" i="185"/>
  <c r="V170" i="185"/>
  <c r="V93" i="185"/>
  <c r="V36" i="185"/>
  <c r="V59" i="185"/>
  <c r="V95" i="185"/>
  <c r="V108" i="185"/>
  <c r="V137" i="185"/>
  <c r="V166" i="185"/>
  <c r="V171" i="185"/>
  <c r="V54" i="185"/>
  <c r="V48" i="185"/>
  <c r="V85" i="185"/>
  <c r="V116" i="185"/>
  <c r="V121" i="185"/>
  <c r="V150" i="185"/>
  <c r="V172" i="185"/>
  <c r="V42" i="185"/>
  <c r="V129" i="185"/>
  <c r="V141" i="185"/>
  <c r="V143" i="185"/>
  <c r="V145" i="185"/>
  <c r="V157" i="185"/>
  <c r="V64" i="185"/>
  <c r="V66" i="185"/>
  <c r="V70" i="185"/>
  <c r="V72" i="185"/>
  <c r="V80" i="185"/>
  <c r="V62" i="185"/>
  <c r="V68" i="185"/>
  <c r="V88" i="185"/>
  <c r="V105" i="185"/>
  <c r="V107" i="185"/>
  <c r="V109" i="185"/>
  <c r="V91" i="185"/>
  <c r="V53" i="185"/>
  <c r="V82" i="185"/>
  <c r="V46" i="185"/>
  <c r="V56" i="185"/>
  <c r="V65" i="185"/>
  <c r="V73" i="185"/>
  <c r="V77" i="185"/>
  <c r="V130" i="185"/>
  <c r="V134" i="185"/>
  <c r="V136" i="185"/>
  <c r="V140" i="185"/>
  <c r="V142" i="185"/>
  <c r="V144" i="185"/>
  <c r="V86" i="185"/>
  <c r="V90" i="185"/>
  <c r="V110" i="185"/>
  <c r="V120" i="185"/>
  <c r="V124" i="185"/>
  <c r="V132" i="185"/>
  <c r="V138" i="185"/>
  <c r="V94" i="185"/>
  <c r="V74" i="185"/>
  <c r="V78" i="185"/>
  <c r="V98" i="185"/>
  <c r="V104" i="185"/>
  <c r="V149" i="185"/>
  <c r="V153" i="185"/>
  <c r="V155" i="185"/>
  <c r="V165" i="185"/>
  <c r="V168" i="185"/>
  <c r="V112" i="185"/>
  <c r="V106" i="185"/>
  <c r="V125" i="185"/>
  <c r="V133" i="185"/>
  <c r="V117" i="185"/>
  <c r="V118" i="185"/>
  <c r="V114" i="185"/>
  <c r="V174" i="185"/>
  <c r="V156" i="185"/>
  <c r="V167" i="185"/>
  <c r="V160" i="185"/>
  <c r="V169" i="185"/>
  <c r="V173" i="185"/>
  <c r="V131" i="185"/>
  <c r="V158" i="185"/>
  <c r="V164" i="185"/>
  <c r="V119" i="185"/>
  <c r="V154" i="185"/>
  <c r="V162" i="185"/>
  <c r="W1" i="185"/>
  <c r="T9" i="182"/>
  <c r="T10" i="182"/>
  <c r="T12" i="182"/>
  <c r="T8" i="182"/>
  <c r="W84" i="185" l="1"/>
  <c r="W83" i="185"/>
  <c r="W13" i="185"/>
  <c r="W25" i="185"/>
  <c r="W8" i="185"/>
  <c r="W20" i="185"/>
  <c r="W15" i="185"/>
  <c r="W27" i="185"/>
  <c r="W10" i="185"/>
  <c r="W22" i="185"/>
  <c r="W3" i="185"/>
  <c r="W5" i="185"/>
  <c r="W17" i="185"/>
  <c r="W12" i="185"/>
  <c r="W24" i="185"/>
  <c r="W7" i="185"/>
  <c r="W19" i="185"/>
  <c r="W14" i="185"/>
  <c r="W26" i="185"/>
  <c r="W11" i="185"/>
  <c r="W23" i="185"/>
  <c r="W28" i="185"/>
  <c r="W16" i="185"/>
  <c r="W21" i="185"/>
  <c r="W4" i="185"/>
  <c r="W18" i="185"/>
  <c r="W9" i="185"/>
  <c r="W6" i="185"/>
  <c r="W102" i="185"/>
  <c r="W103" i="185"/>
  <c r="W101" i="185"/>
  <c r="W100" i="185"/>
  <c r="W35" i="185"/>
  <c r="W32" i="185"/>
  <c r="W34" i="185"/>
  <c r="W36" i="185"/>
  <c r="W37" i="185"/>
  <c r="W44" i="185"/>
  <c r="W56" i="185"/>
  <c r="W68" i="185"/>
  <c r="W80" i="185"/>
  <c r="W39" i="185"/>
  <c r="W48" i="185"/>
  <c r="W60" i="185"/>
  <c r="W72" i="185"/>
  <c r="W42" i="185"/>
  <c r="W62" i="185"/>
  <c r="W75" i="185"/>
  <c r="W85" i="185"/>
  <c r="W30" i="185"/>
  <c r="W40" i="185"/>
  <c r="W51" i="185"/>
  <c r="W64" i="185"/>
  <c r="W77" i="185"/>
  <c r="W89" i="185"/>
  <c r="W29" i="185"/>
  <c r="W45" i="185"/>
  <c r="W50" i="185"/>
  <c r="W55" i="185"/>
  <c r="W31" i="185"/>
  <c r="W52" i="185"/>
  <c r="W57" i="185"/>
  <c r="W104" i="185"/>
  <c r="W116" i="185"/>
  <c r="W128" i="185"/>
  <c r="W140" i="185"/>
  <c r="W152" i="185"/>
  <c r="W164" i="185"/>
  <c r="W65" i="185"/>
  <c r="W70" i="185"/>
  <c r="W81" i="185"/>
  <c r="W93" i="185"/>
  <c r="W108" i="185"/>
  <c r="W120" i="185"/>
  <c r="W132" i="185"/>
  <c r="W144" i="185"/>
  <c r="W156" i="185"/>
  <c r="W41" i="185"/>
  <c r="W49" i="185"/>
  <c r="W54" i="185"/>
  <c r="W106" i="185"/>
  <c r="W119" i="185"/>
  <c r="W139" i="185"/>
  <c r="W145" i="185"/>
  <c r="W165" i="185"/>
  <c r="W46" i="185"/>
  <c r="W63" i="185"/>
  <c r="W67" i="185"/>
  <c r="W73" i="185"/>
  <c r="W115" i="185"/>
  <c r="W121" i="185"/>
  <c r="W141" i="185"/>
  <c r="W154" i="185"/>
  <c r="W47" i="185"/>
  <c r="W98" i="185"/>
  <c r="W113" i="185"/>
  <c r="W118" i="185"/>
  <c r="W142" i="185"/>
  <c r="W147" i="185"/>
  <c r="W157" i="185"/>
  <c r="W173" i="185"/>
  <c r="W95" i="185"/>
  <c r="W59" i="185"/>
  <c r="W43" i="185"/>
  <c r="W53" i="185"/>
  <c r="W82" i="185"/>
  <c r="W94" i="185"/>
  <c r="W126" i="185"/>
  <c r="W131" i="185"/>
  <c r="W155" i="185"/>
  <c r="W160" i="185"/>
  <c r="W168" i="185"/>
  <c r="W135" i="185"/>
  <c r="W149" i="185"/>
  <c r="W153" i="185"/>
  <c r="W74" i="185"/>
  <c r="W76" i="185"/>
  <c r="W78" i="185"/>
  <c r="W66" i="185"/>
  <c r="W92" i="185"/>
  <c r="W33" i="185"/>
  <c r="W88" i="185"/>
  <c r="W99" i="185"/>
  <c r="W111" i="185"/>
  <c r="W58" i="185"/>
  <c r="W87" i="185"/>
  <c r="W91" i="185"/>
  <c r="W79" i="185"/>
  <c r="W69" i="185"/>
  <c r="W71" i="185"/>
  <c r="W146" i="185"/>
  <c r="W148" i="185"/>
  <c r="W150" i="185"/>
  <c r="W158" i="185"/>
  <c r="W162" i="185"/>
  <c r="W172" i="185"/>
  <c r="W38" i="185"/>
  <c r="W61" i="185"/>
  <c r="W122" i="185"/>
  <c r="W130" i="185"/>
  <c r="W134" i="185"/>
  <c r="W136" i="185"/>
  <c r="W86" i="185"/>
  <c r="W90" i="185"/>
  <c r="W96" i="185"/>
  <c r="W97" i="185"/>
  <c r="W112" i="185"/>
  <c r="W114" i="185"/>
  <c r="W174" i="185"/>
  <c r="W159" i="185"/>
  <c r="W161" i="185"/>
  <c r="W163" i="185"/>
  <c r="W151" i="185"/>
  <c r="W109" i="185"/>
  <c r="W127" i="185"/>
  <c r="W169" i="185"/>
  <c r="W117" i="185"/>
  <c r="W125" i="185"/>
  <c r="W133" i="185"/>
  <c r="W170" i="185"/>
  <c r="W105" i="185"/>
  <c r="W110" i="185"/>
  <c r="W107" i="185"/>
  <c r="W124" i="185"/>
  <c r="W167" i="185"/>
  <c r="W138" i="185"/>
  <c r="W166" i="185"/>
  <c r="W171" i="185"/>
  <c r="W137" i="185"/>
  <c r="W123" i="185"/>
  <c r="W143" i="185"/>
  <c r="W129" i="185"/>
  <c r="X1" i="185"/>
  <c r="T11" i="182"/>
  <c r="T7" i="182"/>
  <c r="T6" i="182"/>
  <c r="T5" i="182"/>
  <c r="X83" i="185" l="1"/>
  <c r="X84" i="185"/>
  <c r="X6" i="185"/>
  <c r="X18" i="185"/>
  <c r="X13" i="185"/>
  <c r="X25" i="185"/>
  <c r="X8" i="185"/>
  <c r="X20" i="185"/>
  <c r="X15" i="185"/>
  <c r="X27" i="185"/>
  <c r="X10" i="185"/>
  <c r="X22" i="185"/>
  <c r="X3" i="185"/>
  <c r="X5" i="185"/>
  <c r="X17" i="185"/>
  <c r="X12" i="185"/>
  <c r="X24" i="185"/>
  <c r="X7" i="185"/>
  <c r="X19" i="185"/>
  <c r="X4" i="185"/>
  <c r="X16" i="185"/>
  <c r="X28" i="185"/>
  <c r="X21" i="185"/>
  <c r="X26" i="185"/>
  <c r="X9" i="185"/>
  <c r="X23" i="185"/>
  <c r="X11" i="185"/>
  <c r="X14" i="185"/>
  <c r="X102" i="185"/>
  <c r="X103" i="185"/>
  <c r="X101" i="185"/>
  <c r="X100" i="185"/>
  <c r="X31" i="185"/>
  <c r="X33" i="185"/>
  <c r="X39" i="185"/>
  <c r="X49" i="185"/>
  <c r="X61" i="185"/>
  <c r="X73" i="185"/>
  <c r="X30" i="185"/>
  <c r="X53" i="185"/>
  <c r="X65" i="185"/>
  <c r="X77" i="185"/>
  <c r="X37" i="185"/>
  <c r="X55" i="185"/>
  <c r="X68" i="185"/>
  <c r="X90" i="185"/>
  <c r="X32" i="185"/>
  <c r="X36" i="185"/>
  <c r="X44" i="185"/>
  <c r="X57" i="185"/>
  <c r="X70" i="185"/>
  <c r="X81" i="185"/>
  <c r="X60" i="185"/>
  <c r="X43" i="185"/>
  <c r="X48" i="185"/>
  <c r="X35" i="185"/>
  <c r="X62" i="185"/>
  <c r="X67" i="185"/>
  <c r="X86" i="185"/>
  <c r="X94" i="185"/>
  <c r="X109" i="185"/>
  <c r="X121" i="185"/>
  <c r="X133" i="185"/>
  <c r="X145" i="185"/>
  <c r="X157" i="185"/>
  <c r="X46" i="185"/>
  <c r="X75" i="185"/>
  <c r="X80" i="185"/>
  <c r="X88" i="185"/>
  <c r="X98" i="185"/>
  <c r="X113" i="185"/>
  <c r="X125" i="185"/>
  <c r="X137" i="185"/>
  <c r="X149" i="185"/>
  <c r="X161" i="185"/>
  <c r="X63" i="185"/>
  <c r="X34" i="185"/>
  <c r="X59" i="185"/>
  <c r="X66" i="185"/>
  <c r="X54" i="185"/>
  <c r="X89" i="185"/>
  <c r="X96" i="185"/>
  <c r="X112" i="185"/>
  <c r="X132" i="185"/>
  <c r="X138" i="185"/>
  <c r="X158" i="185"/>
  <c r="X51" i="185"/>
  <c r="X56" i="185"/>
  <c r="X69" i="185"/>
  <c r="X71" i="185"/>
  <c r="X82" i="185"/>
  <c r="X108" i="185"/>
  <c r="X114" i="185"/>
  <c r="X134" i="185"/>
  <c r="X147" i="185"/>
  <c r="X160" i="185"/>
  <c r="X168" i="185"/>
  <c r="X52" i="185"/>
  <c r="X85" i="185"/>
  <c r="X42" i="185"/>
  <c r="X47" i="185"/>
  <c r="X93" i="185"/>
  <c r="X123" i="185"/>
  <c r="X152" i="185"/>
  <c r="X162" i="185"/>
  <c r="X40" i="185"/>
  <c r="X58" i="185"/>
  <c r="X87" i="185"/>
  <c r="X91" i="185"/>
  <c r="X99" i="185"/>
  <c r="X107" i="185"/>
  <c r="X136" i="185"/>
  <c r="X165" i="185"/>
  <c r="X104" i="185"/>
  <c r="X155" i="185"/>
  <c r="X29" i="185"/>
  <c r="X159" i="185"/>
  <c r="X64" i="185"/>
  <c r="X72" i="185"/>
  <c r="X74" i="185"/>
  <c r="X76" i="185"/>
  <c r="X78" i="185"/>
  <c r="X45" i="185"/>
  <c r="X50" i="185"/>
  <c r="X92" i="185"/>
  <c r="X115" i="185"/>
  <c r="X105" i="185"/>
  <c r="X79" i="185"/>
  <c r="X154" i="185"/>
  <c r="X156" i="185"/>
  <c r="X164" i="185"/>
  <c r="X166" i="185"/>
  <c r="X41" i="185"/>
  <c r="X140" i="185"/>
  <c r="X142" i="185"/>
  <c r="X148" i="185"/>
  <c r="X144" i="185"/>
  <c r="X146" i="185"/>
  <c r="X150" i="185"/>
  <c r="X38" i="185"/>
  <c r="X95" i="185"/>
  <c r="X106" i="185"/>
  <c r="X110" i="185"/>
  <c r="X97" i="185"/>
  <c r="X169" i="185"/>
  <c r="X174" i="185"/>
  <c r="X163" i="185"/>
  <c r="X129" i="185"/>
  <c r="X120" i="185"/>
  <c r="X128" i="185"/>
  <c r="X111" i="185"/>
  <c r="X119" i="185"/>
  <c r="X126" i="185"/>
  <c r="X141" i="185"/>
  <c r="X118" i="185"/>
  <c r="X117" i="185"/>
  <c r="X116" i="185"/>
  <c r="X122" i="185"/>
  <c r="X153" i="185"/>
  <c r="X124" i="185"/>
  <c r="X167" i="185"/>
  <c r="X170" i="185"/>
  <c r="X127" i="185"/>
  <c r="X130" i="185"/>
  <c r="X135" i="185"/>
  <c r="X151" i="185"/>
  <c r="X171" i="185"/>
  <c r="X139" i="185"/>
  <c r="X172" i="185"/>
  <c r="X131" i="185"/>
  <c r="X143" i="185"/>
  <c r="X173" i="185"/>
  <c r="Y1" i="185"/>
  <c r="B69" i="180"/>
  <c r="Y83" i="185" l="1"/>
  <c r="Y84" i="185"/>
  <c r="Y11" i="185"/>
  <c r="Y23" i="185"/>
  <c r="Y6" i="185"/>
  <c r="Y18" i="185"/>
  <c r="Y13" i="185"/>
  <c r="Y25" i="185"/>
  <c r="Y8" i="185"/>
  <c r="Y20" i="185"/>
  <c r="Y15" i="185"/>
  <c r="Y27" i="185"/>
  <c r="Y10" i="185"/>
  <c r="Y22" i="185"/>
  <c r="Y5" i="185"/>
  <c r="Y17" i="185"/>
  <c r="Y12" i="185"/>
  <c r="Y24" i="185"/>
  <c r="Y9" i="185"/>
  <c r="Y21" i="185"/>
  <c r="Y19" i="185"/>
  <c r="Y28" i="185"/>
  <c r="Y16" i="185"/>
  <c r="Y7" i="185"/>
  <c r="Y4" i="185"/>
  <c r="Y26" i="185"/>
  <c r="Y14" i="185"/>
  <c r="Y3" i="185"/>
  <c r="Y102" i="185"/>
  <c r="Y103" i="185"/>
  <c r="Y101" i="185"/>
  <c r="Y100" i="185"/>
  <c r="Y33" i="185"/>
  <c r="Y30" i="185"/>
  <c r="Y40" i="185"/>
  <c r="Y42" i="185"/>
  <c r="Y54" i="185"/>
  <c r="Y66" i="185"/>
  <c r="Y78" i="185"/>
  <c r="Y35" i="185"/>
  <c r="Y38" i="185"/>
  <c r="Y46" i="185"/>
  <c r="Y58" i="185"/>
  <c r="Y70" i="185"/>
  <c r="Y48" i="185"/>
  <c r="Y61" i="185"/>
  <c r="Y74" i="185"/>
  <c r="Y82" i="185"/>
  <c r="Y34" i="185"/>
  <c r="Y50" i="185"/>
  <c r="Y63" i="185"/>
  <c r="Y76" i="185"/>
  <c r="Y87" i="185"/>
  <c r="Y53" i="185"/>
  <c r="Y43" i="185"/>
  <c r="Y72" i="185"/>
  <c r="Y92" i="185"/>
  <c r="Y99" i="185"/>
  <c r="Y114" i="185"/>
  <c r="Y126" i="185"/>
  <c r="Y138" i="185"/>
  <c r="Y150" i="185"/>
  <c r="Y162" i="185"/>
  <c r="Y51" i="185"/>
  <c r="Y56" i="185"/>
  <c r="Y106" i="185"/>
  <c r="Y118" i="185"/>
  <c r="Y130" i="185"/>
  <c r="Y142" i="185"/>
  <c r="Y154" i="185"/>
  <c r="Y166" i="185"/>
  <c r="Y67" i="185"/>
  <c r="Y69" i="185"/>
  <c r="Y71" i="185"/>
  <c r="Y73" i="185"/>
  <c r="Y62" i="185"/>
  <c r="Y64" i="185"/>
  <c r="Y68" i="185"/>
  <c r="Y44" i="185"/>
  <c r="Y49" i="185"/>
  <c r="Y59" i="185"/>
  <c r="Y85" i="185"/>
  <c r="Y105" i="185"/>
  <c r="Y125" i="185"/>
  <c r="Y131" i="185"/>
  <c r="Y151" i="185"/>
  <c r="Y164" i="185"/>
  <c r="Y169" i="185"/>
  <c r="Y32" i="185"/>
  <c r="Y65" i="185"/>
  <c r="Y75" i="185"/>
  <c r="Y77" i="185"/>
  <c r="Y79" i="185"/>
  <c r="Y88" i="185"/>
  <c r="Y98" i="185"/>
  <c r="Y107" i="185"/>
  <c r="Y127" i="185"/>
  <c r="Y140" i="185"/>
  <c r="Y153" i="185"/>
  <c r="Y39" i="185"/>
  <c r="Y57" i="185"/>
  <c r="Y91" i="185"/>
  <c r="Y94" i="185"/>
  <c r="Y52" i="185"/>
  <c r="Y45" i="185"/>
  <c r="Y86" i="185"/>
  <c r="Y90" i="185"/>
  <c r="Y96" i="185"/>
  <c r="Y104" i="185"/>
  <c r="Y128" i="185"/>
  <c r="Y133" i="185"/>
  <c r="Y143" i="185"/>
  <c r="Y89" i="185"/>
  <c r="Y112" i="185"/>
  <c r="Y117" i="185"/>
  <c r="Y141" i="185"/>
  <c r="Y146" i="185"/>
  <c r="Y167" i="185"/>
  <c r="Y161" i="185"/>
  <c r="Y29" i="185"/>
  <c r="Y80" i="185"/>
  <c r="Y55" i="185"/>
  <c r="Y60" i="185"/>
  <c r="Y37" i="185"/>
  <c r="Y160" i="185"/>
  <c r="Y31" i="185"/>
  <c r="Y152" i="185"/>
  <c r="Y156" i="185"/>
  <c r="Y158" i="185"/>
  <c r="Y41" i="185"/>
  <c r="Y81" i="185"/>
  <c r="Y108" i="185"/>
  <c r="Y95" i="185"/>
  <c r="Y110" i="185"/>
  <c r="Y124" i="185"/>
  <c r="Y173" i="185"/>
  <c r="Y36" i="185"/>
  <c r="Y47" i="185"/>
  <c r="Y93" i="185"/>
  <c r="Y97" i="185"/>
  <c r="Y165" i="185"/>
  <c r="Y168" i="185"/>
  <c r="Y174" i="185"/>
  <c r="Y121" i="185"/>
  <c r="Y122" i="185"/>
  <c r="Y137" i="185"/>
  <c r="Y145" i="185"/>
  <c r="Y109" i="185"/>
  <c r="Y111" i="185"/>
  <c r="Y134" i="185"/>
  <c r="Y119" i="185"/>
  <c r="Y113" i="185"/>
  <c r="Y116" i="185"/>
  <c r="Y115" i="185"/>
  <c r="Y123" i="185"/>
  <c r="Y148" i="185"/>
  <c r="Y120" i="185"/>
  <c r="Y136" i="185"/>
  <c r="Y149" i="185"/>
  <c r="Y132" i="185"/>
  <c r="Y172" i="185"/>
  <c r="Y144" i="185"/>
  <c r="Y155" i="185"/>
  <c r="Y159" i="185"/>
  <c r="Y170" i="185"/>
  <c r="Y135" i="185"/>
  <c r="Y171" i="185"/>
  <c r="Y139" i="185"/>
  <c r="Y157" i="185"/>
  <c r="Y163" i="185"/>
  <c r="Y129" i="185"/>
  <c r="Y147" i="185"/>
  <c r="Z1" i="185"/>
  <c r="D1" i="183"/>
  <c r="B52" i="182"/>
  <c r="B51" i="182"/>
  <c r="B50" i="182"/>
  <c r="B48" i="182"/>
  <c r="Z83" i="185" l="1"/>
  <c r="Z84" i="185"/>
  <c r="Z4" i="185"/>
  <c r="Z16" i="185"/>
  <c r="Z28" i="185"/>
  <c r="Z11" i="185"/>
  <c r="Z23" i="185"/>
  <c r="Z6" i="185"/>
  <c r="Z18" i="185"/>
  <c r="Z13" i="185"/>
  <c r="Z25" i="185"/>
  <c r="Z8" i="185"/>
  <c r="Z20" i="185"/>
  <c r="Z15" i="185"/>
  <c r="Z27" i="185"/>
  <c r="Z10" i="185"/>
  <c r="Z22" i="185"/>
  <c r="Z3" i="185"/>
  <c r="Z5" i="185"/>
  <c r="Z17" i="185"/>
  <c r="Z14" i="185"/>
  <c r="Z26" i="185"/>
  <c r="Z19" i="185"/>
  <c r="Z24" i="185"/>
  <c r="Z7" i="185"/>
  <c r="Z21" i="185"/>
  <c r="Z12" i="185"/>
  <c r="Z9" i="185"/>
  <c r="Z103" i="185"/>
  <c r="Z102" i="185"/>
  <c r="Z101" i="185"/>
  <c r="D21" i="183"/>
  <c r="D87" i="183"/>
  <c r="Z100" i="185"/>
  <c r="Z35" i="185"/>
  <c r="Z37" i="185"/>
  <c r="Z32" i="185"/>
  <c r="Z47" i="185"/>
  <c r="Z59" i="185"/>
  <c r="Z71" i="185"/>
  <c r="Z51" i="185"/>
  <c r="Z63" i="185"/>
  <c r="Z75" i="185"/>
  <c r="Z29" i="185"/>
  <c r="Z31" i="185"/>
  <c r="Z54" i="185"/>
  <c r="Z67" i="185"/>
  <c r="Z80" i="185"/>
  <c r="Z88" i="185"/>
  <c r="Z41" i="185"/>
  <c r="Z43" i="185"/>
  <c r="Z56" i="185"/>
  <c r="Z69" i="185"/>
  <c r="Z92" i="185"/>
  <c r="Z46" i="185"/>
  <c r="Z58" i="185"/>
  <c r="Z48" i="185"/>
  <c r="Z53" i="185"/>
  <c r="Z77" i="185"/>
  <c r="Z85" i="185"/>
  <c r="Z107" i="185"/>
  <c r="Z119" i="185"/>
  <c r="Z131" i="185"/>
  <c r="Z143" i="185"/>
  <c r="Z155" i="185"/>
  <c r="Z36" i="185"/>
  <c r="Z61" i="185"/>
  <c r="Z66" i="185"/>
  <c r="Z96" i="185"/>
  <c r="Z111" i="185"/>
  <c r="Z123" i="185"/>
  <c r="Z135" i="185"/>
  <c r="Z147" i="185"/>
  <c r="Z159" i="185"/>
  <c r="Z65" i="185"/>
  <c r="Z79" i="185"/>
  <c r="Z72" i="185"/>
  <c r="Z74" i="185"/>
  <c r="Z76" i="185"/>
  <c r="Z78" i="185"/>
  <c r="Z34" i="185"/>
  <c r="Z62" i="185"/>
  <c r="Z64" i="185"/>
  <c r="Z68" i="185"/>
  <c r="Z90" i="185"/>
  <c r="Z95" i="185"/>
  <c r="Z118" i="185"/>
  <c r="Z124" i="185"/>
  <c r="Z144" i="185"/>
  <c r="Z157" i="185"/>
  <c r="Z97" i="185"/>
  <c r="Z120" i="185"/>
  <c r="Z133" i="185"/>
  <c r="Z146" i="185"/>
  <c r="Z166" i="185"/>
  <c r="Z82" i="185"/>
  <c r="Z87" i="185"/>
  <c r="Z89" i="185"/>
  <c r="Z39" i="185"/>
  <c r="Z57" i="185"/>
  <c r="Z91" i="185"/>
  <c r="Z94" i="185"/>
  <c r="Z33" i="185"/>
  <c r="Z38" i="185"/>
  <c r="Z50" i="185"/>
  <c r="Z55" i="185"/>
  <c r="Z60" i="185"/>
  <c r="Z81" i="185"/>
  <c r="Z45" i="185"/>
  <c r="Z86" i="185"/>
  <c r="Z109" i="185"/>
  <c r="Z138" i="185"/>
  <c r="Z148" i="185"/>
  <c r="Z104" i="185"/>
  <c r="Z122" i="185"/>
  <c r="Z151" i="185"/>
  <c r="Z156" i="185"/>
  <c r="Z171" i="185"/>
  <c r="Z173" i="185"/>
  <c r="Z98" i="185"/>
  <c r="Z93" i="185"/>
  <c r="Z70" i="185"/>
  <c r="Z40" i="185"/>
  <c r="Z30" i="185"/>
  <c r="Z73" i="185"/>
  <c r="Z154" i="185"/>
  <c r="Z44" i="185"/>
  <c r="Z49" i="185"/>
  <c r="Z106" i="185"/>
  <c r="Z108" i="185"/>
  <c r="Z112" i="185"/>
  <c r="Z114" i="185"/>
  <c r="Z116" i="185"/>
  <c r="Z170" i="185"/>
  <c r="Z42" i="185"/>
  <c r="Z52" i="185"/>
  <c r="Z110" i="185"/>
  <c r="Z169" i="185"/>
  <c r="Z130" i="185"/>
  <c r="Z121" i="185"/>
  <c r="Z129" i="185"/>
  <c r="Z127" i="185"/>
  <c r="Z153" i="185"/>
  <c r="Z172" i="185"/>
  <c r="Z142" i="185"/>
  <c r="Z99" i="185"/>
  <c r="Z126" i="185"/>
  <c r="Z134" i="185"/>
  <c r="Z141" i="185"/>
  <c r="Z152" i="185"/>
  <c r="Z125" i="185"/>
  <c r="Z113" i="185"/>
  <c r="Z117" i="185"/>
  <c r="Z105" i="185"/>
  <c r="Z139" i="185"/>
  <c r="Z115" i="185"/>
  <c r="Z162" i="185"/>
  <c r="Z136" i="185"/>
  <c r="Z149" i="185"/>
  <c r="Z161" i="185"/>
  <c r="Z132" i="185"/>
  <c r="Z140" i="185"/>
  <c r="Z174" i="185"/>
  <c r="Z160" i="185"/>
  <c r="Z168" i="185"/>
  <c r="Z167" i="185"/>
  <c r="Z165" i="185"/>
  <c r="Z128" i="185"/>
  <c r="Z137" i="185"/>
  <c r="Z150" i="185"/>
  <c r="Z158" i="185"/>
  <c r="Z164" i="185"/>
  <c r="Z145" i="185"/>
  <c r="Z163" i="185"/>
  <c r="AA1" i="185"/>
  <c r="D30" i="183"/>
  <c r="D29" i="183"/>
  <c r="D24" i="183"/>
  <c r="D23" i="183"/>
  <c r="D28" i="183"/>
  <c r="D22" i="183"/>
  <c r="D27" i="183"/>
  <c r="D122" i="183"/>
  <c r="D123" i="183"/>
  <c r="D85" i="183"/>
  <c r="D37" i="183"/>
  <c r="D43" i="183"/>
  <c r="D32" i="183"/>
  <c r="D38" i="183"/>
  <c r="D44" i="183"/>
  <c r="D33" i="183"/>
  <c r="D39" i="183"/>
  <c r="D45" i="183"/>
  <c r="D34" i="183"/>
  <c r="D40" i="183"/>
  <c r="D46" i="183"/>
  <c r="D35" i="183"/>
  <c r="D41" i="183"/>
  <c r="D47" i="183"/>
  <c r="D36" i="183"/>
  <c r="D42" i="183"/>
  <c r="D48" i="183"/>
  <c r="D53" i="183"/>
  <c r="D59" i="183"/>
  <c r="D54" i="183"/>
  <c r="D60" i="183"/>
  <c r="D49" i="183"/>
  <c r="D55" i="183"/>
  <c r="D61" i="183"/>
  <c r="D50" i="183"/>
  <c r="D56" i="183"/>
  <c r="D62" i="183"/>
  <c r="D51" i="183"/>
  <c r="D57" i="183"/>
  <c r="D52" i="183"/>
  <c r="D58" i="183"/>
  <c r="D66" i="183"/>
  <c r="D72" i="183"/>
  <c r="D78" i="183"/>
  <c r="D64" i="183"/>
  <c r="D67" i="183"/>
  <c r="D73" i="183"/>
  <c r="D79" i="183"/>
  <c r="D63" i="183"/>
  <c r="D68" i="183"/>
  <c r="D74" i="183"/>
  <c r="D80" i="183"/>
  <c r="D69" i="183"/>
  <c r="D75" i="183"/>
  <c r="D70" i="183"/>
  <c r="D76" i="183"/>
  <c r="D65" i="183"/>
  <c r="D71" i="183"/>
  <c r="D77" i="183"/>
  <c r="D82" i="183"/>
  <c r="D90" i="183"/>
  <c r="D96" i="183"/>
  <c r="D83" i="183"/>
  <c r="D91" i="183"/>
  <c r="D97" i="183"/>
  <c r="D84" i="183"/>
  <c r="D92" i="183"/>
  <c r="D98" i="183"/>
  <c r="D86" i="183"/>
  <c r="D93" i="183"/>
  <c r="D99" i="183"/>
  <c r="D88" i="183"/>
  <c r="D94" i="183"/>
  <c r="D81" i="183"/>
  <c r="D89" i="183"/>
  <c r="D95" i="183"/>
  <c r="D100" i="183"/>
  <c r="D106" i="183"/>
  <c r="D112" i="183"/>
  <c r="D101" i="183"/>
  <c r="D107" i="183"/>
  <c r="D113" i="183"/>
  <c r="D102" i="183"/>
  <c r="D108" i="183"/>
  <c r="D114" i="183"/>
  <c r="D103" i="183"/>
  <c r="D109" i="183"/>
  <c r="D104" i="183"/>
  <c r="D110" i="183"/>
  <c r="D105" i="183"/>
  <c r="D111" i="183"/>
  <c r="D115" i="183"/>
  <c r="D121" i="183"/>
  <c r="D129" i="183"/>
  <c r="D135" i="183"/>
  <c r="D141" i="183"/>
  <c r="D147" i="183"/>
  <c r="D116" i="183"/>
  <c r="D124" i="183"/>
  <c r="D130" i="183"/>
  <c r="D136" i="183"/>
  <c r="D142" i="183"/>
  <c r="D148" i="183"/>
  <c r="D117" i="183"/>
  <c r="D125" i="183"/>
  <c r="D131" i="183"/>
  <c r="D137" i="183"/>
  <c r="D143" i="183"/>
  <c r="D149" i="183"/>
  <c r="D118" i="183"/>
  <c r="D126" i="183"/>
  <c r="D132" i="183"/>
  <c r="D138" i="183"/>
  <c r="D144" i="183"/>
  <c r="D119" i="183"/>
  <c r="D127" i="183"/>
  <c r="D133" i="183"/>
  <c r="D139" i="183"/>
  <c r="D145" i="183"/>
  <c r="D120" i="183"/>
  <c r="D128" i="183"/>
  <c r="D134" i="183"/>
  <c r="D140" i="183"/>
  <c r="D146" i="183"/>
  <c r="D153" i="183"/>
  <c r="D159" i="183"/>
  <c r="D165" i="183"/>
  <c r="D8" i="183"/>
  <c r="D14" i="183"/>
  <c r="D154" i="183"/>
  <c r="D160" i="183"/>
  <c r="D166" i="183"/>
  <c r="D9" i="183"/>
  <c r="D15" i="183"/>
  <c r="D155" i="183"/>
  <c r="D161" i="183"/>
  <c r="D4" i="183"/>
  <c r="D10" i="183"/>
  <c r="D16" i="183"/>
  <c r="D150" i="183"/>
  <c r="D156" i="183"/>
  <c r="D162" i="183"/>
  <c r="D5" i="183"/>
  <c r="D11" i="183"/>
  <c r="D17" i="183"/>
  <c r="D151" i="183"/>
  <c r="D157" i="183"/>
  <c r="D163" i="183"/>
  <c r="D6" i="183"/>
  <c r="D12" i="183"/>
  <c r="D18" i="183"/>
  <c r="D152" i="183"/>
  <c r="D158" i="183"/>
  <c r="D164" i="183"/>
  <c r="D7" i="183"/>
  <c r="D13" i="183"/>
  <c r="D19" i="183"/>
  <c r="D26" i="183"/>
  <c r="D20" i="183"/>
  <c r="D31" i="183"/>
  <c r="D25" i="183"/>
  <c r="D3" i="183"/>
  <c r="E1" i="183"/>
  <c r="E87" i="183" s="1"/>
  <c r="T48" i="182"/>
  <c r="B49" i="182"/>
  <c r="B53" i="182" s="1"/>
  <c r="AA84" i="185" l="1"/>
  <c r="AA83" i="185"/>
  <c r="AA9" i="185"/>
  <c r="AA21" i="185"/>
  <c r="AA4" i="185"/>
  <c r="AA16" i="185"/>
  <c r="AA28" i="185"/>
  <c r="AA11" i="185"/>
  <c r="AA23" i="185"/>
  <c r="AA6" i="185"/>
  <c r="AA18" i="185"/>
  <c r="AA13" i="185"/>
  <c r="AA25" i="185"/>
  <c r="AA8" i="185"/>
  <c r="AA20" i="185"/>
  <c r="AA15" i="185"/>
  <c r="AA27" i="185"/>
  <c r="AA10" i="185"/>
  <c r="AA22" i="185"/>
  <c r="AA3" i="185"/>
  <c r="AA7" i="185"/>
  <c r="AA19" i="185"/>
  <c r="AA5" i="185"/>
  <c r="AA24" i="185"/>
  <c r="AA12" i="185"/>
  <c r="AA17" i="185"/>
  <c r="AA26" i="185"/>
  <c r="AA14" i="185"/>
  <c r="AA103" i="185"/>
  <c r="AA101" i="185"/>
  <c r="AA102" i="185"/>
  <c r="AA100" i="185"/>
  <c r="AA31" i="185"/>
  <c r="AA30" i="185"/>
  <c r="AA36" i="185"/>
  <c r="AA38" i="185"/>
  <c r="AA32" i="185"/>
  <c r="AA52" i="185"/>
  <c r="AA64" i="185"/>
  <c r="AA76" i="185"/>
  <c r="AA44" i="185"/>
  <c r="AA56" i="185"/>
  <c r="AA68" i="185"/>
  <c r="AA80" i="185"/>
  <c r="AA33" i="185"/>
  <c r="AA47" i="185"/>
  <c r="AA60" i="185"/>
  <c r="AA73" i="185"/>
  <c r="AA49" i="185"/>
  <c r="AA62" i="185"/>
  <c r="AA85" i="185"/>
  <c r="AA51" i="185"/>
  <c r="AA61" i="185"/>
  <c r="AA58" i="185"/>
  <c r="AA91" i="185"/>
  <c r="AA97" i="185"/>
  <c r="AA112" i="185"/>
  <c r="AA124" i="185"/>
  <c r="AA136" i="185"/>
  <c r="AA148" i="185"/>
  <c r="AA160" i="185"/>
  <c r="AA42" i="185"/>
  <c r="AA71" i="185"/>
  <c r="AA87" i="185"/>
  <c r="AA104" i="185"/>
  <c r="AA116" i="185"/>
  <c r="AA128" i="185"/>
  <c r="AA140" i="185"/>
  <c r="AA152" i="185"/>
  <c r="AA164" i="185"/>
  <c r="AA46" i="185"/>
  <c r="AA75" i="185"/>
  <c r="AA77" i="185"/>
  <c r="AA29" i="185"/>
  <c r="AA70" i="185"/>
  <c r="AA66" i="185"/>
  <c r="AA72" i="185"/>
  <c r="AA74" i="185"/>
  <c r="AA78" i="185"/>
  <c r="AA111" i="185"/>
  <c r="AA117" i="185"/>
  <c r="AA137" i="185"/>
  <c r="AA150" i="185"/>
  <c r="AA163" i="185"/>
  <c r="AA167" i="185"/>
  <c r="AA45" i="185"/>
  <c r="AA113" i="185"/>
  <c r="AA126" i="185"/>
  <c r="AA139" i="185"/>
  <c r="AA159" i="185"/>
  <c r="AA165" i="185"/>
  <c r="AA171" i="185"/>
  <c r="AA43" i="185"/>
  <c r="AA48" i="185"/>
  <c r="AA53" i="185"/>
  <c r="AA34" i="185"/>
  <c r="AA82" i="185"/>
  <c r="AA89" i="185"/>
  <c r="AA41" i="185"/>
  <c r="AA88" i="185"/>
  <c r="AA92" i="185"/>
  <c r="AA50" i="185"/>
  <c r="AA55" i="185"/>
  <c r="AA81" i="185"/>
  <c r="AA90" i="185"/>
  <c r="AA114" i="185"/>
  <c r="AA119" i="185"/>
  <c r="AA129" i="185"/>
  <c r="AA153" i="185"/>
  <c r="AA158" i="185"/>
  <c r="AA170" i="185"/>
  <c r="AA96" i="185"/>
  <c r="AA35" i="185"/>
  <c r="AA86" i="185"/>
  <c r="AA95" i="185"/>
  <c r="AA127" i="185"/>
  <c r="AA132" i="185"/>
  <c r="AA161" i="185"/>
  <c r="AA173" i="185"/>
  <c r="AA110" i="185"/>
  <c r="AA93" i="185"/>
  <c r="AA37" i="185"/>
  <c r="AA40" i="185"/>
  <c r="AA99" i="185"/>
  <c r="AA105" i="185"/>
  <c r="AA63" i="185"/>
  <c r="AA65" i="185"/>
  <c r="AA67" i="185"/>
  <c r="AA69" i="185"/>
  <c r="AA79" i="185"/>
  <c r="AA54" i="185"/>
  <c r="AA59" i="185"/>
  <c r="AA118" i="185"/>
  <c r="AA120" i="185"/>
  <c r="AA122" i="185"/>
  <c r="AA130" i="185"/>
  <c r="AA134" i="185"/>
  <c r="AA172" i="185"/>
  <c r="AA39" i="185"/>
  <c r="AA57" i="185"/>
  <c r="AA94" i="185"/>
  <c r="AA106" i="185"/>
  <c r="AA108" i="185"/>
  <c r="AA169" i="185"/>
  <c r="AA98" i="185"/>
  <c r="AA115" i="185"/>
  <c r="AA138" i="185"/>
  <c r="AA146" i="185"/>
  <c r="AA109" i="185"/>
  <c r="AA121" i="185"/>
  <c r="AA135" i="185"/>
  <c r="AA143" i="185"/>
  <c r="AA144" i="185"/>
  <c r="AA142" i="185"/>
  <c r="AA151" i="185"/>
  <c r="AA133" i="185"/>
  <c r="AA107" i="185"/>
  <c r="AA131" i="185"/>
  <c r="AA147" i="185"/>
  <c r="AA123" i="185"/>
  <c r="AA162" i="185"/>
  <c r="AA149" i="185"/>
  <c r="AA156" i="185"/>
  <c r="AA174" i="185"/>
  <c r="AA125" i="185"/>
  <c r="AA166" i="185"/>
  <c r="AA168" i="185"/>
  <c r="AA155" i="185"/>
  <c r="AA141" i="185"/>
  <c r="AA154" i="185"/>
  <c r="AA145" i="185"/>
  <c r="AA157" i="185"/>
  <c r="AB1" i="185"/>
  <c r="E3" i="183"/>
  <c r="E122" i="183"/>
  <c r="E123" i="183"/>
  <c r="E85" i="183"/>
  <c r="E36" i="183"/>
  <c r="E42" i="183"/>
  <c r="E48" i="183"/>
  <c r="E37" i="183"/>
  <c r="E43" i="183"/>
  <c r="E32" i="183"/>
  <c r="E38" i="183"/>
  <c r="E44" i="183"/>
  <c r="E33" i="183"/>
  <c r="E39" i="183"/>
  <c r="E45" i="183"/>
  <c r="E34" i="183"/>
  <c r="E40" i="183"/>
  <c r="E46" i="183"/>
  <c r="E35" i="183"/>
  <c r="E41" i="183"/>
  <c r="E47" i="183"/>
  <c r="E52" i="183"/>
  <c r="E58" i="183"/>
  <c r="E64" i="183"/>
  <c r="E53" i="183"/>
  <c r="E59" i="183"/>
  <c r="E54" i="183"/>
  <c r="E60" i="183"/>
  <c r="E49" i="183"/>
  <c r="E55" i="183"/>
  <c r="E61" i="183"/>
  <c r="E50" i="183"/>
  <c r="E56" i="183"/>
  <c r="E62" i="183"/>
  <c r="E51" i="183"/>
  <c r="E57" i="183"/>
  <c r="E65" i="183"/>
  <c r="E71" i="183"/>
  <c r="E77" i="183"/>
  <c r="E66" i="183"/>
  <c r="E72" i="183"/>
  <c r="E78" i="183"/>
  <c r="E67" i="183"/>
  <c r="E73" i="183"/>
  <c r="E79" i="183"/>
  <c r="E63" i="183"/>
  <c r="E68" i="183"/>
  <c r="E74" i="183"/>
  <c r="E80" i="183"/>
  <c r="E69" i="183"/>
  <c r="E75" i="183"/>
  <c r="E70" i="183"/>
  <c r="E76" i="183"/>
  <c r="E81" i="183"/>
  <c r="E89" i="183"/>
  <c r="E95" i="183"/>
  <c r="E82" i="183"/>
  <c r="E90" i="183"/>
  <c r="E96" i="183"/>
  <c r="E83" i="183"/>
  <c r="E91" i="183"/>
  <c r="E97" i="183"/>
  <c r="E84" i="183"/>
  <c r="E92" i="183"/>
  <c r="E98" i="183"/>
  <c r="E86" i="183"/>
  <c r="E93" i="183"/>
  <c r="E88" i="183"/>
  <c r="E94" i="183"/>
  <c r="E105" i="183"/>
  <c r="E111" i="183"/>
  <c r="E99" i="183"/>
  <c r="E100" i="183"/>
  <c r="E106" i="183"/>
  <c r="E112" i="183"/>
  <c r="E101" i="183"/>
  <c r="E107" i="183"/>
  <c r="E113" i="183"/>
  <c r="E102" i="183"/>
  <c r="E108" i="183"/>
  <c r="E114" i="183"/>
  <c r="E103" i="183"/>
  <c r="E109" i="183"/>
  <c r="E104" i="183"/>
  <c r="E110" i="183"/>
  <c r="E120" i="183"/>
  <c r="E128" i="183"/>
  <c r="E134" i="183"/>
  <c r="E140" i="183"/>
  <c r="E146" i="183"/>
  <c r="E115" i="183"/>
  <c r="E121" i="183"/>
  <c r="E129" i="183"/>
  <c r="E135" i="183"/>
  <c r="E141" i="183"/>
  <c r="E147" i="183"/>
  <c r="E116" i="183"/>
  <c r="E124" i="183"/>
  <c r="E130" i="183"/>
  <c r="E136" i="183"/>
  <c r="E142" i="183"/>
  <c r="E148" i="183"/>
  <c r="E117" i="183"/>
  <c r="E125" i="183"/>
  <c r="E131" i="183"/>
  <c r="E137" i="183"/>
  <c r="E143" i="183"/>
  <c r="E149" i="183"/>
  <c r="E118" i="183"/>
  <c r="E126" i="183"/>
  <c r="E132" i="183"/>
  <c r="E138" i="183"/>
  <c r="E144" i="183"/>
  <c r="E119" i="183"/>
  <c r="E127" i="183"/>
  <c r="E133" i="183"/>
  <c r="E139" i="183"/>
  <c r="E145" i="183"/>
  <c r="E152" i="183"/>
  <c r="E158" i="183"/>
  <c r="E164" i="183"/>
  <c r="E7" i="183"/>
  <c r="E13" i="183"/>
  <c r="E19" i="183"/>
  <c r="E153" i="183"/>
  <c r="E159" i="183"/>
  <c r="E165" i="183"/>
  <c r="E8" i="183"/>
  <c r="E14" i="183"/>
  <c r="E154" i="183"/>
  <c r="E160" i="183"/>
  <c r="E166" i="183"/>
  <c r="E9" i="183"/>
  <c r="E15" i="183"/>
  <c r="E155" i="183"/>
  <c r="E161" i="183"/>
  <c r="E4" i="183"/>
  <c r="E10" i="183"/>
  <c r="E16" i="183"/>
  <c r="E150" i="183"/>
  <c r="E156" i="183"/>
  <c r="E162" i="183"/>
  <c r="E5" i="183"/>
  <c r="E11" i="183"/>
  <c r="E17" i="183"/>
  <c r="E151" i="183"/>
  <c r="E157" i="183"/>
  <c r="E163" i="183"/>
  <c r="E6" i="183"/>
  <c r="E12" i="183"/>
  <c r="E18" i="183"/>
  <c r="E24" i="183"/>
  <c r="E30" i="183"/>
  <c r="E25" i="183"/>
  <c r="E31" i="183"/>
  <c r="E20" i="183"/>
  <c r="E26" i="183"/>
  <c r="E21" i="183"/>
  <c r="E27" i="183"/>
  <c r="E22" i="183"/>
  <c r="E28" i="183"/>
  <c r="E23" i="183"/>
  <c r="E29" i="183"/>
  <c r="F1" i="183"/>
  <c r="F87" i="183" s="1"/>
  <c r="AB83" i="185" l="1"/>
  <c r="AB84" i="185"/>
  <c r="AB14" i="185"/>
  <c r="AB26" i="185"/>
  <c r="AB9" i="185"/>
  <c r="AB21" i="185"/>
  <c r="AB4" i="185"/>
  <c r="AB16" i="185"/>
  <c r="AB28" i="185"/>
  <c r="AB11" i="185"/>
  <c r="AB23" i="185"/>
  <c r="AB6" i="185"/>
  <c r="AB18" i="185"/>
  <c r="AB13" i="185"/>
  <c r="AB25" i="185"/>
  <c r="AB8" i="185"/>
  <c r="AB20" i="185"/>
  <c r="AB15" i="185"/>
  <c r="AB27" i="185"/>
  <c r="AB12" i="185"/>
  <c r="AB24" i="185"/>
  <c r="AB22" i="185"/>
  <c r="AB5" i="185"/>
  <c r="AB19" i="185"/>
  <c r="AB10" i="185"/>
  <c r="AB7" i="185"/>
  <c r="AB17" i="185"/>
  <c r="AB3" i="185"/>
  <c r="AB101" i="185"/>
  <c r="AB103" i="185"/>
  <c r="AB102" i="185"/>
  <c r="AB100" i="185"/>
  <c r="AB36" i="185"/>
  <c r="AB33" i="185"/>
  <c r="AB29" i="185"/>
  <c r="AB41" i="185"/>
  <c r="AB45" i="185"/>
  <c r="AB57" i="185"/>
  <c r="AB69" i="185"/>
  <c r="AB31" i="185"/>
  <c r="AB37" i="185"/>
  <c r="AB49" i="185"/>
  <c r="AB61" i="185"/>
  <c r="AB73" i="185"/>
  <c r="AB35" i="185"/>
  <c r="AB38" i="185"/>
  <c r="AB53" i="185"/>
  <c r="AB66" i="185"/>
  <c r="AB79" i="185"/>
  <c r="AB86" i="185"/>
  <c r="AB42" i="185"/>
  <c r="AB55" i="185"/>
  <c r="AB75" i="185"/>
  <c r="AB90" i="185"/>
  <c r="AB56" i="185"/>
  <c r="AB34" i="185"/>
  <c r="AB44" i="185"/>
  <c r="AB54" i="185"/>
  <c r="AB59" i="185"/>
  <c r="AB63" i="185"/>
  <c r="AB68" i="185"/>
  <c r="AB78" i="185"/>
  <c r="AB105" i="185"/>
  <c r="AB117" i="185"/>
  <c r="AB129" i="185"/>
  <c r="AB141" i="185"/>
  <c r="AB153" i="185"/>
  <c r="AB165" i="185"/>
  <c r="AB32" i="185"/>
  <c r="AB40" i="185"/>
  <c r="AB47" i="185"/>
  <c r="AB52" i="185"/>
  <c r="AB76" i="185"/>
  <c r="AB94" i="185"/>
  <c r="AB109" i="185"/>
  <c r="AB121" i="185"/>
  <c r="AB133" i="185"/>
  <c r="AB145" i="185"/>
  <c r="AB157" i="185"/>
  <c r="AB51" i="185"/>
  <c r="AB43" i="185"/>
  <c r="AB48" i="185"/>
  <c r="AB80" i="185"/>
  <c r="AB70" i="185"/>
  <c r="AB104" i="185"/>
  <c r="AB110" i="185"/>
  <c r="AB130" i="185"/>
  <c r="AB143" i="185"/>
  <c r="AB156" i="185"/>
  <c r="AB50" i="185"/>
  <c r="AB89" i="185"/>
  <c r="AB106" i="185"/>
  <c r="AB119" i="185"/>
  <c r="AB132" i="185"/>
  <c r="AB152" i="185"/>
  <c r="AB158" i="185"/>
  <c r="AB58" i="185"/>
  <c r="AB85" i="185"/>
  <c r="AB87" i="185"/>
  <c r="AB60" i="185"/>
  <c r="AB88" i="185"/>
  <c r="AB92" i="185"/>
  <c r="AB124" i="185"/>
  <c r="AB134" i="185"/>
  <c r="AB163" i="185"/>
  <c r="AB174" i="185"/>
  <c r="AB81" i="185"/>
  <c r="AB30" i="185"/>
  <c r="AB108" i="185"/>
  <c r="AB137" i="185"/>
  <c r="AB142" i="185"/>
  <c r="AB166" i="185"/>
  <c r="AB95" i="185"/>
  <c r="AB97" i="185"/>
  <c r="AB39" i="185"/>
  <c r="AB62" i="185"/>
  <c r="AB64" i="185"/>
  <c r="AB72" i="185"/>
  <c r="AB74" i="185"/>
  <c r="AB93" i="185"/>
  <c r="AB98" i="185"/>
  <c r="AB82" i="185"/>
  <c r="AB91" i="185"/>
  <c r="AB115" i="185"/>
  <c r="AB46" i="185"/>
  <c r="AB71" i="185"/>
  <c r="AB77" i="185"/>
  <c r="AB65" i="185"/>
  <c r="AB67" i="185"/>
  <c r="AB96" i="185"/>
  <c r="AB126" i="185"/>
  <c r="AB128" i="185"/>
  <c r="AB136" i="185"/>
  <c r="AB138" i="185"/>
  <c r="AB144" i="185"/>
  <c r="AB171" i="185"/>
  <c r="AB112" i="185"/>
  <c r="AB114" i="185"/>
  <c r="AB116" i="185"/>
  <c r="AB118" i="185"/>
  <c r="AB120" i="185"/>
  <c r="AB122" i="185"/>
  <c r="AB170" i="185"/>
  <c r="AB172" i="185"/>
  <c r="AB173" i="185"/>
  <c r="AB123" i="185"/>
  <c r="AB154" i="185"/>
  <c r="AB127" i="185"/>
  <c r="AB135" i="185"/>
  <c r="AB111" i="185"/>
  <c r="AB99" i="185"/>
  <c r="AB113" i="185"/>
  <c r="AB149" i="185"/>
  <c r="AB107" i="185"/>
  <c r="AB147" i="185"/>
  <c r="AB161" i="185"/>
  <c r="AB162" i="185"/>
  <c r="AB140" i="185"/>
  <c r="AB160" i="185"/>
  <c r="AB169" i="185"/>
  <c r="AB151" i="185"/>
  <c r="AB125" i="185"/>
  <c r="AB146" i="185"/>
  <c r="AB159" i="185"/>
  <c r="AB167" i="185"/>
  <c r="AB168" i="185"/>
  <c r="AB148" i="185"/>
  <c r="AB155" i="185"/>
  <c r="AB131" i="185"/>
  <c r="AB139" i="185"/>
  <c r="AB150" i="185"/>
  <c r="AB164" i="185"/>
  <c r="AC1" i="185"/>
  <c r="F3" i="183"/>
  <c r="F122" i="183"/>
  <c r="F123" i="183"/>
  <c r="F85" i="183"/>
  <c r="F35" i="183"/>
  <c r="F41" i="183"/>
  <c r="F47" i="183"/>
  <c r="F36" i="183"/>
  <c r="F42" i="183"/>
  <c r="F48" i="183"/>
  <c r="F37" i="183"/>
  <c r="F43" i="183"/>
  <c r="F32" i="183"/>
  <c r="F38" i="183"/>
  <c r="F44" i="183"/>
  <c r="F33" i="183"/>
  <c r="F39" i="183"/>
  <c r="F45" i="183"/>
  <c r="F34" i="183"/>
  <c r="F40" i="183"/>
  <c r="F46" i="183"/>
  <c r="F51" i="183"/>
  <c r="F57" i="183"/>
  <c r="F63" i="183"/>
  <c r="F52" i="183"/>
  <c r="F58" i="183"/>
  <c r="F64" i="183"/>
  <c r="F53" i="183"/>
  <c r="F59" i="183"/>
  <c r="F54" i="183"/>
  <c r="F60" i="183"/>
  <c r="F49" i="183"/>
  <c r="F55" i="183"/>
  <c r="F61" i="183"/>
  <c r="F50" i="183"/>
  <c r="F56" i="183"/>
  <c r="F62" i="183"/>
  <c r="F70" i="183"/>
  <c r="F76" i="183"/>
  <c r="F65" i="183"/>
  <c r="F71" i="183"/>
  <c r="F77" i="183"/>
  <c r="F66" i="183"/>
  <c r="F72" i="183"/>
  <c r="F78" i="183"/>
  <c r="F67" i="183"/>
  <c r="F73" i="183"/>
  <c r="F79" i="183"/>
  <c r="F68" i="183"/>
  <c r="F74" i="183"/>
  <c r="F80" i="183"/>
  <c r="F69" i="183"/>
  <c r="F75" i="183"/>
  <c r="F88" i="183"/>
  <c r="F94" i="183"/>
  <c r="F81" i="183"/>
  <c r="F89" i="183"/>
  <c r="F95" i="183"/>
  <c r="F82" i="183"/>
  <c r="F90" i="183"/>
  <c r="F96" i="183"/>
  <c r="F83" i="183"/>
  <c r="F91" i="183"/>
  <c r="F97" i="183"/>
  <c r="F84" i="183"/>
  <c r="F92" i="183"/>
  <c r="F86" i="183"/>
  <c r="F93" i="183"/>
  <c r="F104" i="183"/>
  <c r="F110" i="183"/>
  <c r="F105" i="183"/>
  <c r="F111" i="183"/>
  <c r="F98" i="183"/>
  <c r="F99" i="183"/>
  <c r="F100" i="183"/>
  <c r="F106" i="183"/>
  <c r="F112" i="183"/>
  <c r="F101" i="183"/>
  <c r="F107" i="183"/>
  <c r="F113" i="183"/>
  <c r="F102" i="183"/>
  <c r="F108" i="183"/>
  <c r="F114" i="183"/>
  <c r="F103" i="183"/>
  <c r="F109" i="183"/>
  <c r="F119" i="183"/>
  <c r="F127" i="183"/>
  <c r="F133" i="183"/>
  <c r="F139" i="183"/>
  <c r="F145" i="183"/>
  <c r="F120" i="183"/>
  <c r="F128" i="183"/>
  <c r="F134" i="183"/>
  <c r="F140" i="183"/>
  <c r="F146" i="183"/>
  <c r="F115" i="183"/>
  <c r="F121" i="183"/>
  <c r="F129" i="183"/>
  <c r="F135" i="183"/>
  <c r="F141" i="183"/>
  <c r="F147" i="183"/>
  <c r="F116" i="183"/>
  <c r="F124" i="183"/>
  <c r="F130" i="183"/>
  <c r="F136" i="183"/>
  <c r="F142" i="183"/>
  <c r="F148" i="183"/>
  <c r="F117" i="183"/>
  <c r="F125" i="183"/>
  <c r="F131" i="183"/>
  <c r="F137" i="183"/>
  <c r="F143" i="183"/>
  <c r="F149" i="183"/>
  <c r="F118" i="183"/>
  <c r="F126" i="183"/>
  <c r="F132" i="183"/>
  <c r="F138" i="183"/>
  <c r="F144" i="183"/>
  <c r="F151" i="183"/>
  <c r="F157" i="183"/>
  <c r="F163" i="183"/>
  <c r="F6" i="183"/>
  <c r="F12" i="183"/>
  <c r="F18" i="183"/>
  <c r="F152" i="183"/>
  <c r="F158" i="183"/>
  <c r="F164" i="183"/>
  <c r="F7" i="183"/>
  <c r="F13" i="183"/>
  <c r="F19" i="183"/>
  <c r="F153" i="183"/>
  <c r="F159" i="183"/>
  <c r="F165" i="183"/>
  <c r="F8" i="183"/>
  <c r="F14" i="183"/>
  <c r="F154" i="183"/>
  <c r="F160" i="183"/>
  <c r="F166" i="183"/>
  <c r="F9" i="183"/>
  <c r="F15" i="183"/>
  <c r="F155" i="183"/>
  <c r="F161" i="183"/>
  <c r="F4" i="183"/>
  <c r="F10" i="183"/>
  <c r="F16" i="183"/>
  <c r="F150" i="183"/>
  <c r="F156" i="183"/>
  <c r="F162" i="183"/>
  <c r="F5" i="183"/>
  <c r="F11" i="183"/>
  <c r="F17" i="183"/>
  <c r="F23" i="183"/>
  <c r="F29" i="183"/>
  <c r="F24" i="183"/>
  <c r="F30" i="183"/>
  <c r="F25" i="183"/>
  <c r="F31" i="183"/>
  <c r="F20" i="183"/>
  <c r="F26" i="183"/>
  <c r="F21" i="183"/>
  <c r="F27" i="183"/>
  <c r="F22" i="183"/>
  <c r="F28" i="183"/>
  <c r="G1" i="183"/>
  <c r="G87" i="183" s="1"/>
  <c r="T63" i="180"/>
  <c r="T64" i="180"/>
  <c r="T62" i="180"/>
  <c r="T65" i="180"/>
  <c r="AC83" i="185" l="1"/>
  <c r="AC84" i="185"/>
  <c r="AC7" i="185"/>
  <c r="AC19" i="185"/>
  <c r="AC14" i="185"/>
  <c r="AC26" i="185"/>
  <c r="AC9" i="185"/>
  <c r="AC21" i="185"/>
  <c r="AC4" i="185"/>
  <c r="AC16" i="185"/>
  <c r="AC28" i="185"/>
  <c r="AC11" i="185"/>
  <c r="AC23" i="185"/>
  <c r="AC6" i="185"/>
  <c r="AC18" i="185"/>
  <c r="AC13" i="185"/>
  <c r="AC25" i="185"/>
  <c r="AC8" i="185"/>
  <c r="AC20" i="185"/>
  <c r="AC5" i="185"/>
  <c r="AC17" i="185"/>
  <c r="AC3" i="185"/>
  <c r="AC22" i="185"/>
  <c r="AC27" i="185"/>
  <c r="AC10" i="185"/>
  <c r="AC24" i="185"/>
  <c r="AC15" i="185"/>
  <c r="AC12" i="185"/>
  <c r="AC101" i="185"/>
  <c r="AC102" i="185"/>
  <c r="AC103" i="185"/>
  <c r="AC100" i="185"/>
  <c r="AC29" i="185"/>
  <c r="AC31" i="185"/>
  <c r="AC40" i="185"/>
  <c r="AC50" i="185"/>
  <c r="AC62" i="185"/>
  <c r="AC74" i="185"/>
  <c r="AC36" i="185"/>
  <c r="AC42" i="185"/>
  <c r="AC54" i="185"/>
  <c r="AC66" i="185"/>
  <c r="AC78" i="185"/>
  <c r="AC46" i="185"/>
  <c r="AC59" i="185"/>
  <c r="AC72" i="185"/>
  <c r="AC91" i="185"/>
  <c r="AC48" i="185"/>
  <c r="AC68" i="185"/>
  <c r="AC82" i="185"/>
  <c r="AC32" i="185"/>
  <c r="AC47" i="185"/>
  <c r="AC52" i="185"/>
  <c r="AC30" i="185"/>
  <c r="AC39" i="185"/>
  <c r="AC49" i="185"/>
  <c r="AC34" i="185"/>
  <c r="AC44" i="185"/>
  <c r="AC73" i="185"/>
  <c r="AC95" i="185"/>
  <c r="AC110" i="185"/>
  <c r="AC122" i="185"/>
  <c r="AC134" i="185"/>
  <c r="AC146" i="185"/>
  <c r="AC158" i="185"/>
  <c r="AC38" i="185"/>
  <c r="AC57" i="185"/>
  <c r="AC67" i="185"/>
  <c r="AC86" i="185"/>
  <c r="AC99" i="185"/>
  <c r="AC114" i="185"/>
  <c r="AC126" i="185"/>
  <c r="AC138" i="185"/>
  <c r="AC150" i="185"/>
  <c r="AC162" i="185"/>
  <c r="AC45" i="185"/>
  <c r="AC56" i="185"/>
  <c r="AC35" i="185"/>
  <c r="AC53" i="185"/>
  <c r="AC58" i="185"/>
  <c r="AC43" i="185"/>
  <c r="AC76" i="185"/>
  <c r="AC80" i="185"/>
  <c r="AC94" i="185"/>
  <c r="AC123" i="185"/>
  <c r="AC136" i="185"/>
  <c r="AC149" i="185"/>
  <c r="AC55" i="185"/>
  <c r="AC60" i="185"/>
  <c r="AC96" i="185"/>
  <c r="AC112" i="185"/>
  <c r="AC125" i="185"/>
  <c r="AC145" i="185"/>
  <c r="AC151" i="185"/>
  <c r="AC169" i="185"/>
  <c r="AC64" i="185"/>
  <c r="AC65" i="185"/>
  <c r="AC93" i="185"/>
  <c r="AC33" i="185"/>
  <c r="AC41" i="185"/>
  <c r="AC97" i="185"/>
  <c r="AC105" i="185"/>
  <c r="AC115" i="185"/>
  <c r="AC139" i="185"/>
  <c r="AC144" i="185"/>
  <c r="AC90" i="185"/>
  <c r="AC88" i="185"/>
  <c r="AC92" i="185"/>
  <c r="AC37" i="185"/>
  <c r="AC113" i="185"/>
  <c r="AC118" i="185"/>
  <c r="AC147" i="185"/>
  <c r="AC106" i="185"/>
  <c r="AC108" i="185"/>
  <c r="AC116" i="185"/>
  <c r="AC120" i="185"/>
  <c r="AC70" i="185"/>
  <c r="AC87" i="185"/>
  <c r="AC107" i="185"/>
  <c r="AC109" i="185"/>
  <c r="AC111" i="185"/>
  <c r="AC167" i="185"/>
  <c r="AC51" i="185"/>
  <c r="AC75" i="185"/>
  <c r="AC61" i="185"/>
  <c r="AC63" i="185"/>
  <c r="AC69" i="185"/>
  <c r="AC71" i="185"/>
  <c r="AC77" i="185"/>
  <c r="AC79" i="185"/>
  <c r="AC81" i="185"/>
  <c r="AC132" i="185"/>
  <c r="AC140" i="185"/>
  <c r="AC142" i="185"/>
  <c r="AC148" i="185"/>
  <c r="AC154" i="185"/>
  <c r="AC85" i="185"/>
  <c r="AC89" i="185"/>
  <c r="AC124" i="185"/>
  <c r="AC128" i="185"/>
  <c r="AC130" i="185"/>
  <c r="AC171" i="185"/>
  <c r="AC170" i="185"/>
  <c r="AC172" i="185"/>
  <c r="AC131" i="185"/>
  <c r="AC98" i="185"/>
  <c r="AC104" i="185"/>
  <c r="AC168" i="185"/>
  <c r="AC143" i="185"/>
  <c r="AC119" i="185"/>
  <c r="AC127" i="185"/>
  <c r="AC135" i="185"/>
  <c r="AC117" i="185"/>
  <c r="AC129" i="185"/>
  <c r="AC157" i="185"/>
  <c r="AC163" i="185"/>
  <c r="AC153" i="185"/>
  <c r="AC121" i="185"/>
  <c r="AC161" i="185"/>
  <c r="AC152" i="185"/>
  <c r="AC156" i="185"/>
  <c r="AC174" i="185"/>
  <c r="AC160" i="185"/>
  <c r="AC166" i="185"/>
  <c r="AC133" i="185"/>
  <c r="AC159" i="185"/>
  <c r="AC165" i="185"/>
  <c r="AC137" i="185"/>
  <c r="AC155" i="185"/>
  <c r="AC141" i="185"/>
  <c r="AC173" i="185"/>
  <c r="AC164" i="185"/>
  <c r="AD1" i="185"/>
  <c r="G3" i="183"/>
  <c r="G122" i="183"/>
  <c r="G123" i="183"/>
  <c r="G85" i="183"/>
  <c r="G34" i="183"/>
  <c r="G40" i="183"/>
  <c r="G46" i="183"/>
  <c r="G35" i="183"/>
  <c r="G41" i="183"/>
  <c r="G47" i="183"/>
  <c r="G36" i="183"/>
  <c r="G42" i="183"/>
  <c r="G48" i="183"/>
  <c r="G37" i="183"/>
  <c r="G43" i="183"/>
  <c r="G32" i="183"/>
  <c r="G38" i="183"/>
  <c r="G44" i="183"/>
  <c r="G33" i="183"/>
  <c r="G39" i="183"/>
  <c r="G45" i="183"/>
  <c r="G50" i="183"/>
  <c r="G56" i="183"/>
  <c r="G62" i="183"/>
  <c r="G51" i="183"/>
  <c r="G57" i="183"/>
  <c r="G63" i="183"/>
  <c r="G52" i="183"/>
  <c r="G58" i="183"/>
  <c r="G64" i="183"/>
  <c r="G53" i="183"/>
  <c r="G59" i="183"/>
  <c r="G54" i="183"/>
  <c r="G60" i="183"/>
  <c r="G49" i="183"/>
  <c r="G55" i="183"/>
  <c r="G61" i="183"/>
  <c r="G69" i="183"/>
  <c r="G75" i="183"/>
  <c r="G70" i="183"/>
  <c r="G76" i="183"/>
  <c r="G65" i="183"/>
  <c r="G71" i="183"/>
  <c r="G77" i="183"/>
  <c r="G66" i="183"/>
  <c r="G72" i="183"/>
  <c r="G78" i="183"/>
  <c r="G67" i="183"/>
  <c r="G73" i="183"/>
  <c r="G79" i="183"/>
  <c r="G68" i="183"/>
  <c r="G74" i="183"/>
  <c r="G80" i="183"/>
  <c r="G86" i="183"/>
  <c r="G93" i="183"/>
  <c r="G99" i="183"/>
  <c r="G88" i="183"/>
  <c r="G94" i="183"/>
  <c r="G81" i="183"/>
  <c r="G89" i="183"/>
  <c r="G95" i="183"/>
  <c r="G82" i="183"/>
  <c r="G90" i="183"/>
  <c r="G96" i="183"/>
  <c r="G83" i="183"/>
  <c r="G91" i="183"/>
  <c r="G84" i="183"/>
  <c r="G92" i="183"/>
  <c r="G103" i="183"/>
  <c r="G109" i="183"/>
  <c r="G104" i="183"/>
  <c r="G110" i="183"/>
  <c r="G105" i="183"/>
  <c r="G111" i="183"/>
  <c r="G98" i="183"/>
  <c r="G100" i="183"/>
  <c r="G106" i="183"/>
  <c r="G112" i="183"/>
  <c r="G97" i="183"/>
  <c r="G101" i="183"/>
  <c r="G107" i="183"/>
  <c r="G113" i="183"/>
  <c r="G102" i="183"/>
  <c r="G108" i="183"/>
  <c r="G114" i="183"/>
  <c r="G118" i="183"/>
  <c r="G126" i="183"/>
  <c r="G132" i="183"/>
  <c r="G138" i="183"/>
  <c r="G144" i="183"/>
  <c r="G119" i="183"/>
  <c r="G127" i="183"/>
  <c r="G133" i="183"/>
  <c r="G139" i="183"/>
  <c r="G145" i="183"/>
  <c r="G120" i="183"/>
  <c r="G128" i="183"/>
  <c r="G134" i="183"/>
  <c r="G140" i="183"/>
  <c r="G146" i="183"/>
  <c r="G115" i="183"/>
  <c r="G121" i="183"/>
  <c r="G129" i="183"/>
  <c r="G135" i="183"/>
  <c r="G141" i="183"/>
  <c r="G147" i="183"/>
  <c r="G116" i="183"/>
  <c r="G124" i="183"/>
  <c r="G130" i="183"/>
  <c r="G136" i="183"/>
  <c r="G142" i="183"/>
  <c r="G148" i="183"/>
  <c r="G117" i="183"/>
  <c r="G125" i="183"/>
  <c r="G131" i="183"/>
  <c r="G137" i="183"/>
  <c r="G143" i="183"/>
  <c r="G149" i="183"/>
  <c r="G150" i="183"/>
  <c r="G156" i="183"/>
  <c r="G162" i="183"/>
  <c r="G5" i="183"/>
  <c r="G11" i="183"/>
  <c r="G17" i="183"/>
  <c r="G151" i="183"/>
  <c r="G157" i="183"/>
  <c r="G163" i="183"/>
  <c r="G6" i="183"/>
  <c r="G12" i="183"/>
  <c r="G18" i="183"/>
  <c r="G152" i="183"/>
  <c r="G158" i="183"/>
  <c r="G164" i="183"/>
  <c r="G7" i="183"/>
  <c r="G13" i="183"/>
  <c r="G19" i="183"/>
  <c r="G153" i="183"/>
  <c r="G159" i="183"/>
  <c r="G165" i="183"/>
  <c r="G8" i="183"/>
  <c r="G14" i="183"/>
  <c r="G154" i="183"/>
  <c r="G160" i="183"/>
  <c r="G166" i="183"/>
  <c r="G9" i="183"/>
  <c r="G15" i="183"/>
  <c r="G155" i="183"/>
  <c r="G161" i="183"/>
  <c r="G4" i="183"/>
  <c r="G10" i="183"/>
  <c r="G16" i="183"/>
  <c r="G22" i="183"/>
  <c r="G28" i="183"/>
  <c r="G23" i="183"/>
  <c r="G29" i="183"/>
  <c r="G24" i="183"/>
  <c r="G30" i="183"/>
  <c r="G25" i="183"/>
  <c r="G31" i="183"/>
  <c r="G20" i="183"/>
  <c r="G26" i="183"/>
  <c r="G21" i="183"/>
  <c r="G27" i="183"/>
  <c r="H1" i="183"/>
  <c r="H87" i="183" s="1"/>
  <c r="AD83" i="185" l="1"/>
  <c r="AD84" i="185"/>
  <c r="AD12" i="185"/>
  <c r="AD24" i="185"/>
  <c r="AD7" i="185"/>
  <c r="AD19" i="185"/>
  <c r="AD14" i="185"/>
  <c r="AD26" i="185"/>
  <c r="AD9" i="185"/>
  <c r="AD21" i="185"/>
  <c r="AD4" i="185"/>
  <c r="AD16" i="185"/>
  <c r="AD28" i="185"/>
  <c r="AD11" i="185"/>
  <c r="AD23" i="185"/>
  <c r="AD6" i="185"/>
  <c r="AD18" i="185"/>
  <c r="AD13" i="185"/>
  <c r="AD25" i="185"/>
  <c r="AD10" i="185"/>
  <c r="AD22" i="185"/>
  <c r="AD3" i="185"/>
  <c r="AD8" i="185"/>
  <c r="AD5" i="185"/>
  <c r="AD27" i="185"/>
  <c r="AD15" i="185"/>
  <c r="AD17" i="185"/>
  <c r="AD20" i="185"/>
  <c r="AD101" i="185"/>
  <c r="AD102" i="185"/>
  <c r="AD103" i="185"/>
  <c r="AD100" i="185"/>
  <c r="AD34" i="185"/>
  <c r="AD31" i="185"/>
  <c r="AD35" i="185"/>
  <c r="AD41" i="185"/>
  <c r="AD33" i="185"/>
  <c r="AD43" i="185"/>
  <c r="AD55" i="185"/>
  <c r="AD67" i="185"/>
  <c r="AD79" i="185"/>
  <c r="AD47" i="185"/>
  <c r="AD59" i="185"/>
  <c r="AD71" i="185"/>
  <c r="AD39" i="185"/>
  <c r="AD52" i="185"/>
  <c r="AD65" i="185"/>
  <c r="AD37" i="185"/>
  <c r="AD61" i="185"/>
  <c r="AD74" i="185"/>
  <c r="AD88" i="185"/>
  <c r="AD36" i="185"/>
  <c r="AD38" i="185"/>
  <c r="AD40" i="185"/>
  <c r="AD42" i="185"/>
  <c r="AD57" i="185"/>
  <c r="AD45" i="185"/>
  <c r="AD30" i="185"/>
  <c r="AD49" i="185"/>
  <c r="AD54" i="185"/>
  <c r="AD64" i="185"/>
  <c r="AD90" i="185"/>
  <c r="AD115" i="185"/>
  <c r="AD127" i="185"/>
  <c r="AD139" i="185"/>
  <c r="AD151" i="185"/>
  <c r="AD163" i="185"/>
  <c r="AD62" i="185"/>
  <c r="AD72" i="185"/>
  <c r="AD77" i="185"/>
  <c r="AD92" i="185"/>
  <c r="AD107" i="185"/>
  <c r="AD119" i="185"/>
  <c r="AD131" i="185"/>
  <c r="AD143" i="185"/>
  <c r="AD155" i="185"/>
  <c r="AD32" i="185"/>
  <c r="AD50" i="185"/>
  <c r="AD60" i="185"/>
  <c r="AD29" i="185"/>
  <c r="AD48" i="185"/>
  <c r="AD53" i="185"/>
  <c r="AD58" i="185"/>
  <c r="AD86" i="185"/>
  <c r="AD91" i="185"/>
  <c r="AD93" i="185"/>
  <c r="AD116" i="185"/>
  <c r="AD129" i="185"/>
  <c r="AD142" i="185"/>
  <c r="AD162" i="185"/>
  <c r="AD105" i="185"/>
  <c r="AD118" i="185"/>
  <c r="AD138" i="185"/>
  <c r="AD144" i="185"/>
  <c r="AD164" i="185"/>
  <c r="AD95" i="185"/>
  <c r="AD63" i="185"/>
  <c r="AD69" i="185"/>
  <c r="AD70" i="185"/>
  <c r="AD110" i="185"/>
  <c r="AD120" i="185"/>
  <c r="AD149" i="185"/>
  <c r="AD154" i="185"/>
  <c r="AD172" i="185"/>
  <c r="AD97" i="185"/>
  <c r="AD123" i="185"/>
  <c r="AD128" i="185"/>
  <c r="AD152" i="185"/>
  <c r="AD157" i="185"/>
  <c r="AD112" i="185"/>
  <c r="AD114" i="185"/>
  <c r="AD122" i="185"/>
  <c r="AD124" i="185"/>
  <c r="AD130" i="185"/>
  <c r="AD85" i="185"/>
  <c r="AD89" i="185"/>
  <c r="AD94" i="185"/>
  <c r="AD66" i="185"/>
  <c r="AD68" i="185"/>
  <c r="AD76" i="185"/>
  <c r="AD78" i="185"/>
  <c r="AD80" i="185"/>
  <c r="AD104" i="185"/>
  <c r="AD98" i="185"/>
  <c r="AD82" i="185"/>
  <c r="AD87" i="185"/>
  <c r="AD99" i="185"/>
  <c r="AD113" i="185"/>
  <c r="AD117" i="185"/>
  <c r="AD121" i="185"/>
  <c r="AD125" i="185"/>
  <c r="AD135" i="185"/>
  <c r="AD56" i="185"/>
  <c r="AD109" i="185"/>
  <c r="AD111" i="185"/>
  <c r="AD46" i="185"/>
  <c r="AD51" i="185"/>
  <c r="AD73" i="185"/>
  <c r="AD75" i="185"/>
  <c r="AD44" i="185"/>
  <c r="AD81" i="185"/>
  <c r="AD146" i="185"/>
  <c r="AD150" i="185"/>
  <c r="AD156" i="185"/>
  <c r="AD160" i="185"/>
  <c r="AD96" i="185"/>
  <c r="AD126" i="185"/>
  <c r="AD132" i="185"/>
  <c r="AD134" i="185"/>
  <c r="AD136" i="185"/>
  <c r="AD140" i="185"/>
  <c r="AD148" i="185"/>
  <c r="AD171" i="185"/>
  <c r="AD147" i="185"/>
  <c r="AD106" i="185"/>
  <c r="AD174" i="185"/>
  <c r="AD108" i="185"/>
  <c r="AD153" i="185"/>
  <c r="AD169" i="185"/>
  <c r="AD145" i="185"/>
  <c r="AD173" i="185"/>
  <c r="AD161" i="185"/>
  <c r="AD170" i="185"/>
  <c r="AD166" i="185"/>
  <c r="AD167" i="185"/>
  <c r="AD168" i="185"/>
  <c r="AD133" i="185"/>
  <c r="AD159" i="185"/>
  <c r="AD165" i="185"/>
  <c r="AD137" i="185"/>
  <c r="AD141" i="185"/>
  <c r="AD158" i="185"/>
  <c r="AE1" i="185"/>
  <c r="H3" i="183"/>
  <c r="H122" i="183"/>
  <c r="H123" i="183"/>
  <c r="H85" i="183"/>
  <c r="H33" i="183"/>
  <c r="H39" i="183"/>
  <c r="H45" i="183"/>
  <c r="H34" i="183"/>
  <c r="H40" i="183"/>
  <c r="H46" i="183"/>
  <c r="H35" i="183"/>
  <c r="H41" i="183"/>
  <c r="H47" i="183"/>
  <c r="H36" i="183"/>
  <c r="H42" i="183"/>
  <c r="H48" i="183"/>
  <c r="H37" i="183"/>
  <c r="H43" i="183"/>
  <c r="H32" i="183"/>
  <c r="H38" i="183"/>
  <c r="H44" i="183"/>
  <c r="H49" i="183"/>
  <c r="H55" i="183"/>
  <c r="H61" i="183"/>
  <c r="H50" i="183"/>
  <c r="H56" i="183"/>
  <c r="H62" i="183"/>
  <c r="H51" i="183"/>
  <c r="H57" i="183"/>
  <c r="H63" i="183"/>
  <c r="H52" i="183"/>
  <c r="H58" i="183"/>
  <c r="H64" i="183"/>
  <c r="H53" i="183"/>
  <c r="H59" i="183"/>
  <c r="H54" i="183"/>
  <c r="H60" i="183"/>
  <c r="H68" i="183"/>
  <c r="H74" i="183"/>
  <c r="H80" i="183"/>
  <c r="H69" i="183"/>
  <c r="H75" i="183"/>
  <c r="H70" i="183"/>
  <c r="H76" i="183"/>
  <c r="H65" i="183"/>
  <c r="H71" i="183"/>
  <c r="H77" i="183"/>
  <c r="H66" i="183"/>
  <c r="H72" i="183"/>
  <c r="H78" i="183"/>
  <c r="H67" i="183"/>
  <c r="H73" i="183"/>
  <c r="H79" i="183"/>
  <c r="H84" i="183"/>
  <c r="H92" i="183"/>
  <c r="H98" i="183"/>
  <c r="H86" i="183"/>
  <c r="H93" i="183"/>
  <c r="H88" i="183"/>
  <c r="H94" i="183"/>
  <c r="H81" i="183"/>
  <c r="H89" i="183"/>
  <c r="H95" i="183"/>
  <c r="H82" i="183"/>
  <c r="H90" i="183"/>
  <c r="H83" i="183"/>
  <c r="H91" i="183"/>
  <c r="H96" i="183"/>
  <c r="H102" i="183"/>
  <c r="H108" i="183"/>
  <c r="H114" i="183"/>
  <c r="H103" i="183"/>
  <c r="H109" i="183"/>
  <c r="H104" i="183"/>
  <c r="H110" i="183"/>
  <c r="H99" i="183"/>
  <c r="H105" i="183"/>
  <c r="H111" i="183"/>
  <c r="H100" i="183"/>
  <c r="H106" i="183"/>
  <c r="H112" i="183"/>
  <c r="H97" i="183"/>
  <c r="H101" i="183"/>
  <c r="H107" i="183"/>
  <c r="H113" i="183"/>
  <c r="H117" i="183"/>
  <c r="H125" i="183"/>
  <c r="H131" i="183"/>
  <c r="H137" i="183"/>
  <c r="H143" i="183"/>
  <c r="H149" i="183"/>
  <c r="H118" i="183"/>
  <c r="H126" i="183"/>
  <c r="H132" i="183"/>
  <c r="H138" i="183"/>
  <c r="H144" i="183"/>
  <c r="H119" i="183"/>
  <c r="H127" i="183"/>
  <c r="H133" i="183"/>
  <c r="H139" i="183"/>
  <c r="H145" i="183"/>
  <c r="H120" i="183"/>
  <c r="H128" i="183"/>
  <c r="H134" i="183"/>
  <c r="H140" i="183"/>
  <c r="H146" i="183"/>
  <c r="H115" i="183"/>
  <c r="H121" i="183"/>
  <c r="H129" i="183"/>
  <c r="H135" i="183"/>
  <c r="H141" i="183"/>
  <c r="H147" i="183"/>
  <c r="H116" i="183"/>
  <c r="H124" i="183"/>
  <c r="H130" i="183"/>
  <c r="H136" i="183"/>
  <c r="H142" i="183"/>
  <c r="H148" i="183"/>
  <c r="H155" i="183"/>
  <c r="H161" i="183"/>
  <c r="H4" i="183"/>
  <c r="H10" i="183"/>
  <c r="H16" i="183"/>
  <c r="H150" i="183"/>
  <c r="H156" i="183"/>
  <c r="H162" i="183"/>
  <c r="H5" i="183"/>
  <c r="H11" i="183"/>
  <c r="H17" i="183"/>
  <c r="H151" i="183"/>
  <c r="H157" i="183"/>
  <c r="H163" i="183"/>
  <c r="H6" i="183"/>
  <c r="H12" i="183"/>
  <c r="H18" i="183"/>
  <c r="H152" i="183"/>
  <c r="H158" i="183"/>
  <c r="H164" i="183"/>
  <c r="H7" i="183"/>
  <c r="H13" i="183"/>
  <c r="H19" i="183"/>
  <c r="H153" i="183"/>
  <c r="H159" i="183"/>
  <c r="H165" i="183"/>
  <c r="H8" i="183"/>
  <c r="H14" i="183"/>
  <c r="H154" i="183"/>
  <c r="H160" i="183"/>
  <c r="H166" i="183"/>
  <c r="H9" i="183"/>
  <c r="H15" i="183"/>
  <c r="H21" i="183"/>
  <c r="H27" i="183"/>
  <c r="H31" i="183"/>
  <c r="H22" i="183"/>
  <c r="H28" i="183"/>
  <c r="H23" i="183"/>
  <c r="H29" i="183"/>
  <c r="H24" i="183"/>
  <c r="H30" i="183"/>
  <c r="H25" i="183"/>
  <c r="H20" i="183"/>
  <c r="H26" i="183"/>
  <c r="I1" i="183"/>
  <c r="I87" i="183" s="1"/>
  <c r="T56" i="180"/>
  <c r="T57" i="180"/>
  <c r="T58" i="180"/>
  <c r="T59" i="180"/>
  <c r="T60" i="180"/>
  <c r="T61" i="180"/>
  <c r="AE83" i="185" l="1"/>
  <c r="AE84" i="185"/>
  <c r="AE5" i="185"/>
  <c r="AE17" i="185"/>
  <c r="AE12" i="185"/>
  <c r="AE24" i="185"/>
  <c r="AE7" i="185"/>
  <c r="AE19" i="185"/>
  <c r="AE14" i="185"/>
  <c r="AE26" i="185"/>
  <c r="AE9" i="185"/>
  <c r="AE21" i="185"/>
  <c r="AE4" i="185"/>
  <c r="AE16" i="185"/>
  <c r="AE11" i="185"/>
  <c r="AE23" i="185"/>
  <c r="AE6" i="185"/>
  <c r="AE18" i="185"/>
  <c r="AE15" i="185"/>
  <c r="AE27" i="185"/>
  <c r="AE25" i="185"/>
  <c r="AE8" i="185"/>
  <c r="AE3" i="185"/>
  <c r="AE22" i="185"/>
  <c r="AE28" i="185"/>
  <c r="AE13" i="185"/>
  <c r="AE10" i="185"/>
  <c r="AE20" i="185"/>
  <c r="AE103" i="185"/>
  <c r="AE102" i="185"/>
  <c r="AE101" i="185"/>
  <c r="AE100" i="185"/>
  <c r="AE36" i="185"/>
  <c r="AE30" i="185"/>
  <c r="AE38" i="185"/>
  <c r="AE40" i="185"/>
  <c r="AE48" i="185"/>
  <c r="AE60" i="185"/>
  <c r="AE72" i="185"/>
  <c r="AE32" i="185"/>
  <c r="AE52" i="185"/>
  <c r="AE64" i="185"/>
  <c r="AE76" i="185"/>
  <c r="AE45" i="185"/>
  <c r="AE58" i="185"/>
  <c r="AE78" i="185"/>
  <c r="AE89" i="185"/>
  <c r="AE54" i="185"/>
  <c r="AE67" i="185"/>
  <c r="AE80" i="185"/>
  <c r="AE37" i="185"/>
  <c r="AE41" i="185"/>
  <c r="AE50" i="185"/>
  <c r="AE39" i="185"/>
  <c r="AE59" i="185"/>
  <c r="AE69" i="185"/>
  <c r="AE82" i="185"/>
  <c r="AE93" i="185"/>
  <c r="AE108" i="185"/>
  <c r="AE120" i="185"/>
  <c r="AE132" i="185"/>
  <c r="AE144" i="185"/>
  <c r="AE156" i="185"/>
  <c r="AE43" i="185"/>
  <c r="AE53" i="185"/>
  <c r="AE85" i="185"/>
  <c r="AE97" i="185"/>
  <c r="AE112" i="185"/>
  <c r="AE124" i="185"/>
  <c r="AE136" i="185"/>
  <c r="AE148" i="185"/>
  <c r="AE160" i="185"/>
  <c r="AE55" i="185"/>
  <c r="AE35" i="185"/>
  <c r="AE81" i="185"/>
  <c r="AE109" i="185"/>
  <c r="AE122" i="185"/>
  <c r="AE135" i="185"/>
  <c r="AE155" i="185"/>
  <c r="AE161" i="185"/>
  <c r="AE33" i="185"/>
  <c r="AE95" i="185"/>
  <c r="AE111" i="185"/>
  <c r="AE131" i="185"/>
  <c r="AE137" i="185"/>
  <c r="AE157" i="185"/>
  <c r="AE167" i="185"/>
  <c r="AE46" i="185"/>
  <c r="AE51" i="185"/>
  <c r="AE61" i="185"/>
  <c r="AE62" i="185"/>
  <c r="AE66" i="185"/>
  <c r="AE68" i="185"/>
  <c r="AE71" i="185"/>
  <c r="AE73" i="185"/>
  <c r="AE74" i="185"/>
  <c r="AE75" i="185"/>
  <c r="AE77" i="185"/>
  <c r="AE79" i="185"/>
  <c r="AE63" i="185"/>
  <c r="AE65" i="185"/>
  <c r="AE70" i="185"/>
  <c r="AE98" i="185"/>
  <c r="AE125" i="185"/>
  <c r="AE130" i="185"/>
  <c r="AE159" i="185"/>
  <c r="AE169" i="185"/>
  <c r="AE44" i="185"/>
  <c r="AE96" i="185"/>
  <c r="AE104" i="185"/>
  <c r="AE133" i="185"/>
  <c r="AE162" i="185"/>
  <c r="AE170" i="185"/>
  <c r="AE118" i="185"/>
  <c r="AE126" i="185"/>
  <c r="AE128" i="185"/>
  <c r="AE134" i="185"/>
  <c r="AE140" i="185"/>
  <c r="AE42" i="185"/>
  <c r="AE47" i="185"/>
  <c r="AE57" i="185"/>
  <c r="AE94" i="185"/>
  <c r="AE29" i="185"/>
  <c r="AE106" i="185"/>
  <c r="AE88" i="185"/>
  <c r="AE92" i="185"/>
  <c r="AE34" i="185"/>
  <c r="AE91" i="185"/>
  <c r="AE119" i="185"/>
  <c r="AE123" i="185"/>
  <c r="AE127" i="185"/>
  <c r="AE129" i="185"/>
  <c r="AE141" i="185"/>
  <c r="AE168" i="185"/>
  <c r="AE87" i="185"/>
  <c r="AE99" i="185"/>
  <c r="AE105" i="185"/>
  <c r="AE107" i="185"/>
  <c r="AE113" i="185"/>
  <c r="AE115" i="185"/>
  <c r="AE117" i="185"/>
  <c r="AE121" i="185"/>
  <c r="AE31" i="185"/>
  <c r="AE56" i="185"/>
  <c r="AE86" i="185"/>
  <c r="AE90" i="185"/>
  <c r="AE49" i="185"/>
  <c r="AE152" i="185"/>
  <c r="AE158" i="185"/>
  <c r="AE164" i="185"/>
  <c r="AE166" i="185"/>
  <c r="AE138" i="185"/>
  <c r="AE142" i="185"/>
  <c r="AE146" i="185"/>
  <c r="AE150" i="185"/>
  <c r="AE154" i="185"/>
  <c r="AE139" i="185"/>
  <c r="AE114" i="185"/>
  <c r="AE145" i="185"/>
  <c r="AE143" i="185"/>
  <c r="AE110" i="185"/>
  <c r="AE116" i="185"/>
  <c r="AE147" i="185"/>
  <c r="AE163" i="185"/>
  <c r="AE173" i="185"/>
  <c r="AE149" i="185"/>
  <c r="AE171" i="185"/>
  <c r="AE153" i="185"/>
  <c r="AE172" i="185"/>
  <c r="AE174" i="185"/>
  <c r="AE151" i="185"/>
  <c r="AE165" i="185"/>
  <c r="AF1" i="185"/>
  <c r="I3" i="183"/>
  <c r="I123" i="183"/>
  <c r="I85" i="183"/>
  <c r="I122" i="183"/>
  <c r="I32" i="183"/>
  <c r="I38" i="183"/>
  <c r="I44" i="183"/>
  <c r="I33" i="183"/>
  <c r="I39" i="183"/>
  <c r="I45" i="183"/>
  <c r="I34" i="183"/>
  <c r="I40" i="183"/>
  <c r="I46" i="183"/>
  <c r="I35" i="183"/>
  <c r="I41" i="183"/>
  <c r="I47" i="183"/>
  <c r="I36" i="183"/>
  <c r="I42" i="183"/>
  <c r="I48" i="183"/>
  <c r="I37" i="183"/>
  <c r="I43" i="183"/>
  <c r="I54" i="183"/>
  <c r="I60" i="183"/>
  <c r="I49" i="183"/>
  <c r="I55" i="183"/>
  <c r="I61" i="183"/>
  <c r="I50" i="183"/>
  <c r="I56" i="183"/>
  <c r="I62" i="183"/>
  <c r="I51" i="183"/>
  <c r="I57" i="183"/>
  <c r="I63" i="183"/>
  <c r="I52" i="183"/>
  <c r="I58" i="183"/>
  <c r="I53" i="183"/>
  <c r="I59" i="183"/>
  <c r="I67" i="183"/>
  <c r="I73" i="183"/>
  <c r="I79" i="183"/>
  <c r="I68" i="183"/>
  <c r="I74" i="183"/>
  <c r="I80" i="183"/>
  <c r="I64" i="183"/>
  <c r="I69" i="183"/>
  <c r="I75" i="183"/>
  <c r="I70" i="183"/>
  <c r="I76" i="183"/>
  <c r="I65" i="183"/>
  <c r="I71" i="183"/>
  <c r="I77" i="183"/>
  <c r="I66" i="183"/>
  <c r="I72" i="183"/>
  <c r="I78" i="183"/>
  <c r="I83" i="183"/>
  <c r="I91" i="183"/>
  <c r="I97" i="183"/>
  <c r="I84" i="183"/>
  <c r="I92" i="183"/>
  <c r="I98" i="183"/>
  <c r="I86" i="183"/>
  <c r="I93" i="183"/>
  <c r="I88" i="183"/>
  <c r="I94" i="183"/>
  <c r="I81" i="183"/>
  <c r="I89" i="183"/>
  <c r="I95" i="183"/>
  <c r="I82" i="183"/>
  <c r="I90" i="183"/>
  <c r="I101" i="183"/>
  <c r="I107" i="183"/>
  <c r="I113" i="183"/>
  <c r="I96" i="183"/>
  <c r="I102" i="183"/>
  <c r="I108" i="183"/>
  <c r="I114" i="183"/>
  <c r="I103" i="183"/>
  <c r="I109" i="183"/>
  <c r="I104" i="183"/>
  <c r="I110" i="183"/>
  <c r="I99" i="183"/>
  <c r="I105" i="183"/>
  <c r="I111" i="183"/>
  <c r="I100" i="183"/>
  <c r="I106" i="183"/>
  <c r="I112" i="183"/>
  <c r="I116" i="183"/>
  <c r="I124" i="183"/>
  <c r="I130" i="183"/>
  <c r="I136" i="183"/>
  <c r="I142" i="183"/>
  <c r="I148" i="183"/>
  <c r="I117" i="183"/>
  <c r="I125" i="183"/>
  <c r="I131" i="183"/>
  <c r="I137" i="183"/>
  <c r="I143" i="183"/>
  <c r="I149" i="183"/>
  <c r="I118" i="183"/>
  <c r="I126" i="183"/>
  <c r="I132" i="183"/>
  <c r="I138" i="183"/>
  <c r="I144" i="183"/>
  <c r="I119" i="183"/>
  <c r="I127" i="183"/>
  <c r="I133" i="183"/>
  <c r="I139" i="183"/>
  <c r="I145" i="183"/>
  <c r="I120" i="183"/>
  <c r="I128" i="183"/>
  <c r="I134" i="183"/>
  <c r="I140" i="183"/>
  <c r="I146" i="183"/>
  <c r="I115" i="183"/>
  <c r="I121" i="183"/>
  <c r="I129" i="183"/>
  <c r="I135" i="183"/>
  <c r="I141" i="183"/>
  <c r="I147" i="183"/>
  <c r="I154" i="183"/>
  <c r="I160" i="183"/>
  <c r="I166" i="183"/>
  <c r="I9" i="183"/>
  <c r="I15" i="183"/>
  <c r="I155" i="183"/>
  <c r="I161" i="183"/>
  <c r="I4" i="183"/>
  <c r="I10" i="183"/>
  <c r="I16" i="183"/>
  <c r="I150" i="183"/>
  <c r="I156" i="183"/>
  <c r="I162" i="183"/>
  <c r="I5" i="183"/>
  <c r="I11" i="183"/>
  <c r="I17" i="183"/>
  <c r="I151" i="183"/>
  <c r="I157" i="183"/>
  <c r="I163" i="183"/>
  <c r="I6" i="183"/>
  <c r="I12" i="183"/>
  <c r="I18" i="183"/>
  <c r="I152" i="183"/>
  <c r="I158" i="183"/>
  <c r="I164" i="183"/>
  <c r="I7" i="183"/>
  <c r="I13" i="183"/>
  <c r="I19" i="183"/>
  <c r="I153" i="183"/>
  <c r="I159" i="183"/>
  <c r="I165" i="183"/>
  <c r="I8" i="183"/>
  <c r="I14" i="183"/>
  <c r="I20" i="183"/>
  <c r="I26" i="183"/>
  <c r="I21" i="183"/>
  <c r="I27" i="183"/>
  <c r="I22" i="183"/>
  <c r="I28" i="183"/>
  <c r="I23" i="183"/>
  <c r="I29" i="183"/>
  <c r="I24" i="183"/>
  <c r="I30" i="183"/>
  <c r="I25" i="183"/>
  <c r="I31" i="183"/>
  <c r="J1" i="183"/>
  <c r="J87" i="183" s="1"/>
  <c r="T53" i="180"/>
  <c r="AF83" i="185" l="1"/>
  <c r="AF84" i="185"/>
  <c r="AF10" i="185"/>
  <c r="AF22" i="185"/>
  <c r="AF3" i="185"/>
  <c r="AF5" i="185"/>
  <c r="AF17" i="185"/>
  <c r="AF12" i="185"/>
  <c r="AF24" i="185"/>
  <c r="AF7" i="185"/>
  <c r="AF19" i="185"/>
  <c r="AF14" i="185"/>
  <c r="AF26" i="185"/>
  <c r="AF9" i="185"/>
  <c r="AF21" i="185"/>
  <c r="AF4" i="185"/>
  <c r="AF16" i="185"/>
  <c r="AF28" i="185"/>
  <c r="AF11" i="185"/>
  <c r="AF23" i="185"/>
  <c r="AF8" i="185"/>
  <c r="AF20" i="185"/>
  <c r="AF25" i="185"/>
  <c r="AF13" i="185"/>
  <c r="AF27" i="185"/>
  <c r="AF18" i="185"/>
  <c r="AF6" i="185"/>
  <c r="AF15" i="185"/>
  <c r="AF103" i="185"/>
  <c r="AF102" i="185"/>
  <c r="AF101" i="185"/>
  <c r="AF100" i="185"/>
  <c r="AF32" i="185"/>
  <c r="AF29" i="185"/>
  <c r="AF34" i="185"/>
  <c r="AF39" i="185"/>
  <c r="AF53" i="185"/>
  <c r="AF65" i="185"/>
  <c r="AF77" i="185"/>
  <c r="AF45" i="185"/>
  <c r="AF57" i="185"/>
  <c r="AF69" i="185"/>
  <c r="AF51" i="185"/>
  <c r="AF71" i="185"/>
  <c r="AF81" i="185"/>
  <c r="AF47" i="185"/>
  <c r="AF60" i="185"/>
  <c r="AF73" i="185"/>
  <c r="AF86" i="185"/>
  <c r="AF43" i="185"/>
  <c r="AF55" i="185"/>
  <c r="AF37" i="185"/>
  <c r="AF41" i="185"/>
  <c r="AF50" i="185"/>
  <c r="AF74" i="185"/>
  <c r="AF79" i="185"/>
  <c r="AF89" i="185"/>
  <c r="AF98" i="185"/>
  <c r="AF113" i="185"/>
  <c r="AF125" i="185"/>
  <c r="AF137" i="185"/>
  <c r="AF149" i="185"/>
  <c r="AF161" i="185"/>
  <c r="AF35" i="185"/>
  <c r="AF48" i="185"/>
  <c r="AF58" i="185"/>
  <c r="AF63" i="185"/>
  <c r="AF91" i="185"/>
  <c r="AF105" i="185"/>
  <c r="AF117" i="185"/>
  <c r="AF129" i="185"/>
  <c r="AF141" i="185"/>
  <c r="AF153" i="185"/>
  <c r="AF165" i="185"/>
  <c r="AF33" i="185"/>
  <c r="AF87" i="185"/>
  <c r="AF99" i="185"/>
  <c r="AF115" i="185"/>
  <c r="AF128" i="185"/>
  <c r="AF148" i="185"/>
  <c r="AF154" i="185"/>
  <c r="AF168" i="185"/>
  <c r="AF44" i="185"/>
  <c r="AF70" i="185"/>
  <c r="AF85" i="185"/>
  <c r="AF90" i="185"/>
  <c r="AF104" i="185"/>
  <c r="AF124" i="185"/>
  <c r="AF130" i="185"/>
  <c r="AF150" i="185"/>
  <c r="AF163" i="185"/>
  <c r="AF30" i="185"/>
  <c r="AF96" i="185"/>
  <c r="AF31" i="185"/>
  <c r="AF56" i="185"/>
  <c r="AF67" i="185"/>
  <c r="AF72" i="185"/>
  <c r="AF76" i="185"/>
  <c r="AF78" i="185"/>
  <c r="AF80" i="185"/>
  <c r="AF38" i="185"/>
  <c r="AF46" i="185"/>
  <c r="AF61" i="185"/>
  <c r="AF62" i="185"/>
  <c r="AF64" i="185"/>
  <c r="AF66" i="185"/>
  <c r="AF68" i="185"/>
  <c r="AF75" i="185"/>
  <c r="AF93" i="185"/>
  <c r="AF106" i="185"/>
  <c r="AF135" i="185"/>
  <c r="AF140" i="185"/>
  <c r="AF164" i="185"/>
  <c r="AF40" i="185"/>
  <c r="AF49" i="185"/>
  <c r="AF109" i="185"/>
  <c r="AF114" i="185"/>
  <c r="AF138" i="185"/>
  <c r="AF143" i="185"/>
  <c r="AF174" i="185"/>
  <c r="AF132" i="185"/>
  <c r="AF136" i="185"/>
  <c r="AF142" i="185"/>
  <c r="AF146" i="185"/>
  <c r="AF36" i="185"/>
  <c r="AF52" i="185"/>
  <c r="AF42" i="185"/>
  <c r="AF94" i="185"/>
  <c r="AF108" i="185"/>
  <c r="AF110" i="185"/>
  <c r="AF88" i="185"/>
  <c r="AF92" i="185"/>
  <c r="AF131" i="185"/>
  <c r="AF133" i="185"/>
  <c r="AF139" i="185"/>
  <c r="AF145" i="185"/>
  <c r="AF147" i="185"/>
  <c r="AF82" i="185"/>
  <c r="AF119" i="185"/>
  <c r="AF123" i="185"/>
  <c r="AF127" i="185"/>
  <c r="AF54" i="185"/>
  <c r="AF59" i="185"/>
  <c r="AF162" i="185"/>
  <c r="AF95" i="185"/>
  <c r="AF144" i="185"/>
  <c r="AF152" i="185"/>
  <c r="AF156" i="185"/>
  <c r="AF158" i="185"/>
  <c r="AF160" i="185"/>
  <c r="AF166" i="185"/>
  <c r="AF97" i="185"/>
  <c r="AF107" i="185"/>
  <c r="AF112" i="185"/>
  <c r="AF122" i="185"/>
  <c r="AF120" i="185"/>
  <c r="AF121" i="185"/>
  <c r="AF155" i="185"/>
  <c r="AF111" i="185"/>
  <c r="AF172" i="185"/>
  <c r="AF118" i="185"/>
  <c r="AF126" i="185"/>
  <c r="AF134" i="185"/>
  <c r="AF116" i="185"/>
  <c r="AF157" i="185"/>
  <c r="AF173" i="185"/>
  <c r="AF169" i="185"/>
  <c r="AF171" i="185"/>
  <c r="AF170" i="185"/>
  <c r="AF167" i="185"/>
  <c r="AF151" i="185"/>
  <c r="AF159" i="185"/>
  <c r="AG1" i="185"/>
  <c r="J3" i="183"/>
  <c r="J122" i="183"/>
  <c r="J123" i="183"/>
  <c r="J85" i="183"/>
  <c r="J37" i="183"/>
  <c r="J43" i="183"/>
  <c r="J32" i="183"/>
  <c r="J38" i="183"/>
  <c r="J44" i="183"/>
  <c r="J33" i="183"/>
  <c r="J39" i="183"/>
  <c r="J45" i="183"/>
  <c r="J34" i="183"/>
  <c r="J40" i="183"/>
  <c r="J46" i="183"/>
  <c r="J35" i="183"/>
  <c r="J41" i="183"/>
  <c r="J47" i="183"/>
  <c r="J36" i="183"/>
  <c r="J42" i="183"/>
  <c r="J48" i="183"/>
  <c r="J53" i="183"/>
  <c r="J59" i="183"/>
  <c r="J54" i="183"/>
  <c r="J60" i="183"/>
  <c r="J49" i="183"/>
  <c r="J55" i="183"/>
  <c r="J61" i="183"/>
  <c r="J50" i="183"/>
  <c r="J56" i="183"/>
  <c r="J62" i="183"/>
  <c r="J51" i="183"/>
  <c r="J57" i="183"/>
  <c r="J52" i="183"/>
  <c r="J58" i="183"/>
  <c r="J66" i="183"/>
  <c r="J72" i="183"/>
  <c r="J78" i="183"/>
  <c r="J67" i="183"/>
  <c r="J73" i="183"/>
  <c r="J79" i="183"/>
  <c r="J68" i="183"/>
  <c r="J74" i="183"/>
  <c r="J80" i="183"/>
  <c r="J64" i="183"/>
  <c r="J69" i="183"/>
  <c r="J75" i="183"/>
  <c r="J63" i="183"/>
  <c r="J70" i="183"/>
  <c r="J76" i="183"/>
  <c r="J65" i="183"/>
  <c r="J71" i="183"/>
  <c r="J77" i="183"/>
  <c r="J82" i="183"/>
  <c r="J90" i="183"/>
  <c r="J96" i="183"/>
  <c r="J83" i="183"/>
  <c r="J91" i="183"/>
  <c r="J97" i="183"/>
  <c r="J84" i="183"/>
  <c r="J92" i="183"/>
  <c r="J98" i="183"/>
  <c r="J86" i="183"/>
  <c r="J93" i="183"/>
  <c r="J88" i="183"/>
  <c r="J94" i="183"/>
  <c r="J81" i="183"/>
  <c r="J89" i="183"/>
  <c r="J95" i="183"/>
  <c r="J100" i="183"/>
  <c r="J106" i="183"/>
  <c r="J112" i="183"/>
  <c r="J101" i="183"/>
  <c r="J107" i="183"/>
  <c r="J113" i="183"/>
  <c r="J102" i="183"/>
  <c r="J108" i="183"/>
  <c r="J114" i="183"/>
  <c r="J103" i="183"/>
  <c r="J109" i="183"/>
  <c r="J104" i="183"/>
  <c r="J110" i="183"/>
  <c r="J99" i="183"/>
  <c r="J105" i="183"/>
  <c r="J111" i="183"/>
  <c r="J115" i="183"/>
  <c r="J121" i="183"/>
  <c r="J129" i="183"/>
  <c r="J135" i="183"/>
  <c r="J141" i="183"/>
  <c r="J147" i="183"/>
  <c r="J116" i="183"/>
  <c r="J124" i="183"/>
  <c r="J130" i="183"/>
  <c r="J136" i="183"/>
  <c r="J142" i="183"/>
  <c r="J148" i="183"/>
  <c r="J117" i="183"/>
  <c r="J125" i="183"/>
  <c r="J131" i="183"/>
  <c r="J137" i="183"/>
  <c r="J143" i="183"/>
  <c r="J149" i="183"/>
  <c r="J118" i="183"/>
  <c r="J126" i="183"/>
  <c r="J132" i="183"/>
  <c r="J138" i="183"/>
  <c r="J144" i="183"/>
  <c r="J119" i="183"/>
  <c r="J127" i="183"/>
  <c r="J133" i="183"/>
  <c r="J139" i="183"/>
  <c r="J145" i="183"/>
  <c r="J120" i="183"/>
  <c r="J128" i="183"/>
  <c r="J134" i="183"/>
  <c r="J140" i="183"/>
  <c r="J146" i="183"/>
  <c r="J153" i="183"/>
  <c r="J159" i="183"/>
  <c r="J165" i="183"/>
  <c r="J8" i="183"/>
  <c r="J14" i="183"/>
  <c r="J154" i="183"/>
  <c r="J160" i="183"/>
  <c r="J166" i="183"/>
  <c r="J9" i="183"/>
  <c r="J15" i="183"/>
  <c r="J155" i="183"/>
  <c r="J161" i="183"/>
  <c r="J4" i="183"/>
  <c r="J10" i="183"/>
  <c r="J16" i="183"/>
  <c r="J150" i="183"/>
  <c r="J156" i="183"/>
  <c r="J162" i="183"/>
  <c r="J5" i="183"/>
  <c r="J11" i="183"/>
  <c r="J17" i="183"/>
  <c r="J151" i="183"/>
  <c r="J157" i="183"/>
  <c r="J163" i="183"/>
  <c r="J6" i="183"/>
  <c r="J12" i="183"/>
  <c r="J18" i="183"/>
  <c r="J152" i="183"/>
  <c r="J158" i="183"/>
  <c r="J164" i="183"/>
  <c r="J7" i="183"/>
  <c r="J13" i="183"/>
  <c r="J19" i="183"/>
  <c r="J25" i="183"/>
  <c r="J31" i="183"/>
  <c r="J20" i="183"/>
  <c r="J26" i="183"/>
  <c r="J21" i="183"/>
  <c r="J27" i="183"/>
  <c r="J22" i="183"/>
  <c r="J28" i="183"/>
  <c r="J23" i="183"/>
  <c r="J29" i="183"/>
  <c r="J24" i="183"/>
  <c r="J30" i="183"/>
  <c r="K1" i="183"/>
  <c r="K87" i="183" s="1"/>
  <c r="T48" i="180"/>
  <c r="T49" i="180"/>
  <c r="T50" i="180"/>
  <c r="T51" i="180"/>
  <c r="T52" i="180"/>
  <c r="T54" i="180"/>
  <c r="T55" i="180"/>
  <c r="AG83" i="185" l="1"/>
  <c r="AG84" i="185"/>
  <c r="AG15" i="185"/>
  <c r="AG27" i="185"/>
  <c r="AG10" i="185"/>
  <c r="AG22" i="185"/>
  <c r="AG3" i="185"/>
  <c r="AG5" i="185"/>
  <c r="AG17" i="185"/>
  <c r="AG12" i="185"/>
  <c r="AG24" i="185"/>
  <c r="AG7" i="185"/>
  <c r="AG19" i="185"/>
  <c r="AG14" i="185"/>
  <c r="AG26" i="185"/>
  <c r="AG9" i="185"/>
  <c r="AG21" i="185"/>
  <c r="AG4" i="185"/>
  <c r="AG16" i="185"/>
  <c r="AG28" i="185"/>
  <c r="AG13" i="185"/>
  <c r="AG25" i="185"/>
  <c r="AG11" i="185"/>
  <c r="AG8" i="185"/>
  <c r="AG18" i="185"/>
  <c r="AG6" i="185"/>
  <c r="AG23" i="185"/>
  <c r="AG20" i="185"/>
  <c r="AG102" i="185"/>
  <c r="AG101" i="185"/>
  <c r="AG103" i="185"/>
  <c r="AG100" i="185"/>
  <c r="AG34" i="185"/>
  <c r="AG36" i="185"/>
  <c r="AG29" i="185"/>
  <c r="AG39" i="185"/>
  <c r="AG46" i="185"/>
  <c r="AG58" i="185"/>
  <c r="AG70" i="185"/>
  <c r="AG41" i="185"/>
  <c r="AG50" i="185"/>
  <c r="AG62" i="185"/>
  <c r="AG74" i="185"/>
  <c r="AG44" i="185"/>
  <c r="AG64" i="185"/>
  <c r="AG77" i="185"/>
  <c r="AG87" i="185"/>
  <c r="AG33" i="185"/>
  <c r="AG35" i="185"/>
  <c r="AG38" i="185"/>
  <c r="AG53" i="185"/>
  <c r="AG66" i="185"/>
  <c r="AG79" i="185"/>
  <c r="AG91" i="185"/>
  <c r="AG48" i="185"/>
  <c r="AG45" i="185"/>
  <c r="AG55" i="185"/>
  <c r="AG81" i="185"/>
  <c r="AG106" i="185"/>
  <c r="AG118" i="185"/>
  <c r="AG130" i="185"/>
  <c r="AG142" i="185"/>
  <c r="AG154" i="185"/>
  <c r="AG31" i="185"/>
  <c r="AG68" i="185"/>
  <c r="AG95" i="185"/>
  <c r="AG110" i="185"/>
  <c r="AG122" i="185"/>
  <c r="AG134" i="185"/>
  <c r="AG146" i="185"/>
  <c r="AG158" i="185"/>
  <c r="AG30" i="185"/>
  <c r="AG42" i="185"/>
  <c r="AG92" i="185"/>
  <c r="AG108" i="185"/>
  <c r="AG121" i="185"/>
  <c r="AG141" i="185"/>
  <c r="AG147" i="185"/>
  <c r="AG49" i="185"/>
  <c r="AG94" i="185"/>
  <c r="AG117" i="185"/>
  <c r="AG123" i="185"/>
  <c r="AG143" i="185"/>
  <c r="AG156" i="185"/>
  <c r="AG32" i="185"/>
  <c r="AG37" i="185"/>
  <c r="AG40" i="185"/>
  <c r="AG43" i="185"/>
  <c r="AG96" i="185"/>
  <c r="AG51" i="185"/>
  <c r="AG56" i="185"/>
  <c r="AG67" i="185"/>
  <c r="AG69" i="185"/>
  <c r="AG71" i="185"/>
  <c r="AG72" i="185"/>
  <c r="AG73" i="185"/>
  <c r="AG76" i="185"/>
  <c r="AG78" i="185"/>
  <c r="AG80" i="185"/>
  <c r="AG111" i="185"/>
  <c r="AG116" i="185"/>
  <c r="AG145" i="185"/>
  <c r="AG168" i="185"/>
  <c r="AG98" i="185"/>
  <c r="AG60" i="185"/>
  <c r="AG61" i="185"/>
  <c r="AG63" i="185"/>
  <c r="AG65" i="185"/>
  <c r="AG75" i="185"/>
  <c r="AG93" i="185"/>
  <c r="AG54" i="185"/>
  <c r="AG59" i="185"/>
  <c r="AG88" i="185"/>
  <c r="AG119" i="185"/>
  <c r="AG148" i="185"/>
  <c r="AG153" i="185"/>
  <c r="AG138" i="185"/>
  <c r="AG144" i="185"/>
  <c r="AG150" i="185"/>
  <c r="AG152" i="185"/>
  <c r="AG160" i="185"/>
  <c r="AG47" i="185"/>
  <c r="AG52" i="185"/>
  <c r="AG57" i="185"/>
  <c r="AG85" i="185"/>
  <c r="AG89" i="185"/>
  <c r="AG97" i="185"/>
  <c r="AG112" i="185"/>
  <c r="AG114" i="185"/>
  <c r="AG137" i="185"/>
  <c r="AG149" i="185"/>
  <c r="AG151" i="185"/>
  <c r="AG155" i="185"/>
  <c r="AG159" i="185"/>
  <c r="AG174" i="185"/>
  <c r="AG125" i="185"/>
  <c r="AG129" i="185"/>
  <c r="AG131" i="185"/>
  <c r="AG133" i="185"/>
  <c r="AG135" i="185"/>
  <c r="AG139" i="185"/>
  <c r="AG82" i="185"/>
  <c r="AG107" i="185"/>
  <c r="AG86" i="185"/>
  <c r="AG90" i="185"/>
  <c r="AG162" i="185"/>
  <c r="AG164" i="185"/>
  <c r="AG166" i="185"/>
  <c r="AG115" i="185"/>
  <c r="AG109" i="185"/>
  <c r="AG104" i="185"/>
  <c r="AG128" i="185"/>
  <c r="AG136" i="185"/>
  <c r="AG167" i="185"/>
  <c r="AG120" i="185"/>
  <c r="AG99" i="185"/>
  <c r="AG127" i="185"/>
  <c r="AG105" i="185"/>
  <c r="AG113" i="185"/>
  <c r="AG124" i="185"/>
  <c r="AG132" i="185"/>
  <c r="AG140" i="185"/>
  <c r="AG173" i="185"/>
  <c r="AG157" i="185"/>
  <c r="AG163" i="185"/>
  <c r="AG170" i="185"/>
  <c r="AG161" i="185"/>
  <c r="AG169" i="185"/>
  <c r="AG126" i="185"/>
  <c r="AG165" i="185"/>
  <c r="AG171" i="185"/>
  <c r="AG172" i="185"/>
  <c r="AH1" i="185"/>
  <c r="K3" i="183"/>
  <c r="K122" i="183"/>
  <c r="K123" i="183"/>
  <c r="K85" i="183"/>
  <c r="K36" i="183"/>
  <c r="K42" i="183"/>
  <c r="K48" i="183"/>
  <c r="K37" i="183"/>
  <c r="K43" i="183"/>
  <c r="K32" i="183"/>
  <c r="K38" i="183"/>
  <c r="K44" i="183"/>
  <c r="K33" i="183"/>
  <c r="K39" i="183"/>
  <c r="K45" i="183"/>
  <c r="K34" i="183"/>
  <c r="K40" i="183"/>
  <c r="K46" i="183"/>
  <c r="K35" i="183"/>
  <c r="K41" i="183"/>
  <c r="K47" i="183"/>
  <c r="K52" i="183"/>
  <c r="K58" i="183"/>
  <c r="K64" i="183"/>
  <c r="K53" i="183"/>
  <c r="K59" i="183"/>
  <c r="K54" i="183"/>
  <c r="K60" i="183"/>
  <c r="K49" i="183"/>
  <c r="K55" i="183"/>
  <c r="K61" i="183"/>
  <c r="K50" i="183"/>
  <c r="K56" i="183"/>
  <c r="K62" i="183"/>
  <c r="K51" i="183"/>
  <c r="K57" i="183"/>
  <c r="K65" i="183"/>
  <c r="K71" i="183"/>
  <c r="K77" i="183"/>
  <c r="K66" i="183"/>
  <c r="K72" i="183"/>
  <c r="K78" i="183"/>
  <c r="K67" i="183"/>
  <c r="K73" i="183"/>
  <c r="K79" i="183"/>
  <c r="K68" i="183"/>
  <c r="K74" i="183"/>
  <c r="K80" i="183"/>
  <c r="K69" i="183"/>
  <c r="K75" i="183"/>
  <c r="K63" i="183"/>
  <c r="K70" i="183"/>
  <c r="K76" i="183"/>
  <c r="K81" i="183"/>
  <c r="K89" i="183"/>
  <c r="K95" i="183"/>
  <c r="K82" i="183"/>
  <c r="K90" i="183"/>
  <c r="K96" i="183"/>
  <c r="K83" i="183"/>
  <c r="K91" i="183"/>
  <c r="K97" i="183"/>
  <c r="K84" i="183"/>
  <c r="K92" i="183"/>
  <c r="K98" i="183"/>
  <c r="K86" i="183"/>
  <c r="K93" i="183"/>
  <c r="K88" i="183"/>
  <c r="K94" i="183"/>
  <c r="K99" i="183"/>
  <c r="K105" i="183"/>
  <c r="K111" i="183"/>
  <c r="K100" i="183"/>
  <c r="K106" i="183"/>
  <c r="K112" i="183"/>
  <c r="K101" i="183"/>
  <c r="K107" i="183"/>
  <c r="K113" i="183"/>
  <c r="K102" i="183"/>
  <c r="K108" i="183"/>
  <c r="K114" i="183"/>
  <c r="K103" i="183"/>
  <c r="K109" i="183"/>
  <c r="K104" i="183"/>
  <c r="K110" i="183"/>
  <c r="K120" i="183"/>
  <c r="K128" i="183"/>
  <c r="K134" i="183"/>
  <c r="K140" i="183"/>
  <c r="K146" i="183"/>
  <c r="K115" i="183"/>
  <c r="K121" i="183"/>
  <c r="K129" i="183"/>
  <c r="K135" i="183"/>
  <c r="K141" i="183"/>
  <c r="K147" i="183"/>
  <c r="K116" i="183"/>
  <c r="K124" i="183"/>
  <c r="K130" i="183"/>
  <c r="K136" i="183"/>
  <c r="K142" i="183"/>
  <c r="K148" i="183"/>
  <c r="K117" i="183"/>
  <c r="K125" i="183"/>
  <c r="K131" i="183"/>
  <c r="K137" i="183"/>
  <c r="K143" i="183"/>
  <c r="K149" i="183"/>
  <c r="K118" i="183"/>
  <c r="K126" i="183"/>
  <c r="K132" i="183"/>
  <c r="K138" i="183"/>
  <c r="K144" i="183"/>
  <c r="K119" i="183"/>
  <c r="K127" i="183"/>
  <c r="K133" i="183"/>
  <c r="K139" i="183"/>
  <c r="K145" i="183"/>
  <c r="K152" i="183"/>
  <c r="K158" i="183"/>
  <c r="K164" i="183"/>
  <c r="K7" i="183"/>
  <c r="K13" i="183"/>
  <c r="K153" i="183"/>
  <c r="K159" i="183"/>
  <c r="K165" i="183"/>
  <c r="K8" i="183"/>
  <c r="K14" i="183"/>
  <c r="K154" i="183"/>
  <c r="K160" i="183"/>
  <c r="K166" i="183"/>
  <c r="K9" i="183"/>
  <c r="K15" i="183"/>
  <c r="K155" i="183"/>
  <c r="K161" i="183"/>
  <c r="K4" i="183"/>
  <c r="K10" i="183"/>
  <c r="K16" i="183"/>
  <c r="K150" i="183"/>
  <c r="K156" i="183"/>
  <c r="K162" i="183"/>
  <c r="K5" i="183"/>
  <c r="K11" i="183"/>
  <c r="K17" i="183"/>
  <c r="K151" i="183"/>
  <c r="K157" i="183"/>
  <c r="K163" i="183"/>
  <c r="K6" i="183"/>
  <c r="K12" i="183"/>
  <c r="K18" i="183"/>
  <c r="K24" i="183"/>
  <c r="K30" i="183"/>
  <c r="K19" i="183"/>
  <c r="K25" i="183"/>
  <c r="K31" i="183"/>
  <c r="K20" i="183"/>
  <c r="K26" i="183"/>
  <c r="K21" i="183"/>
  <c r="K27" i="183"/>
  <c r="K22" i="183"/>
  <c r="K28" i="183"/>
  <c r="K23" i="183"/>
  <c r="K29" i="183"/>
  <c r="L1" i="183"/>
  <c r="L87" i="183" s="1"/>
  <c r="T47" i="180"/>
  <c r="AH84" i="185" l="1"/>
  <c r="AI84" i="185" s="1"/>
  <c r="AH83" i="185"/>
  <c r="AI83" i="185" s="1"/>
  <c r="AH8" i="185"/>
  <c r="AI8" i="185" s="1"/>
  <c r="AH20" i="185"/>
  <c r="AI20" i="185" s="1"/>
  <c r="AH15" i="185"/>
  <c r="AH27" i="185"/>
  <c r="AI27" i="185" s="1"/>
  <c r="AH10" i="185"/>
  <c r="AH22" i="185"/>
  <c r="AI22" i="185" s="1"/>
  <c r="AH3" i="185"/>
  <c r="AI3" i="185" s="1"/>
  <c r="AH5" i="185"/>
  <c r="AI5" i="185" s="1"/>
  <c r="AH17" i="185"/>
  <c r="AI17" i="185" s="1"/>
  <c r="AH12" i="185"/>
  <c r="AI12" i="185" s="1"/>
  <c r="AH24" i="185"/>
  <c r="AH7" i="185"/>
  <c r="AI7" i="185" s="1"/>
  <c r="AH19" i="185"/>
  <c r="AI19" i="185" s="1"/>
  <c r="AH14" i="185"/>
  <c r="AH26" i="185"/>
  <c r="AH9" i="185"/>
  <c r="AI9" i="185" s="1"/>
  <c r="AH21" i="185"/>
  <c r="AH6" i="185"/>
  <c r="AI6" i="185" s="1"/>
  <c r="AH18" i="185"/>
  <c r="AI18" i="185" s="1"/>
  <c r="AH11" i="185"/>
  <c r="AI11" i="185" s="1"/>
  <c r="AH25" i="185"/>
  <c r="AI25" i="185" s="1"/>
  <c r="AH16" i="185"/>
  <c r="AI16" i="185" s="1"/>
  <c r="AH28" i="185"/>
  <c r="AI28" i="185" s="1"/>
  <c r="AH13" i="185"/>
  <c r="AI13" i="185" s="1"/>
  <c r="AH4" i="185"/>
  <c r="AI4" i="185" s="1"/>
  <c r="AH23" i="185"/>
  <c r="AI23" i="185" s="1"/>
  <c r="AH102" i="185"/>
  <c r="AI102" i="185" s="1"/>
  <c r="AH101" i="185"/>
  <c r="AI101" i="185" s="1"/>
  <c r="AH103" i="185"/>
  <c r="AI103" i="185" s="1"/>
  <c r="AH100" i="185"/>
  <c r="AI100" i="185" s="1"/>
  <c r="AH30" i="185"/>
  <c r="AI30" i="185" s="1"/>
  <c r="AI15" i="185"/>
  <c r="AH33" i="185"/>
  <c r="AI33" i="185" s="1"/>
  <c r="AH37" i="185"/>
  <c r="AI37" i="185" s="1"/>
  <c r="AH29" i="185"/>
  <c r="AI29" i="185" s="1"/>
  <c r="AH35" i="185"/>
  <c r="AI35" i="185" s="1"/>
  <c r="AH41" i="185"/>
  <c r="AH34" i="185"/>
  <c r="AI34" i="185" s="1"/>
  <c r="AH51" i="185"/>
  <c r="AI51" i="185" s="1"/>
  <c r="AH63" i="185"/>
  <c r="AI63" i="185" s="1"/>
  <c r="AH75" i="185"/>
  <c r="AI75" i="185" s="1"/>
  <c r="AH43" i="185"/>
  <c r="AI43" i="185" s="1"/>
  <c r="AH55" i="185"/>
  <c r="AI55" i="185" s="1"/>
  <c r="AH67" i="185"/>
  <c r="AI67" i="185" s="1"/>
  <c r="AH79" i="185"/>
  <c r="AI79" i="185" s="1"/>
  <c r="AH40" i="185"/>
  <c r="AI40" i="185" s="1"/>
  <c r="AH57" i="185"/>
  <c r="AI57" i="185" s="1"/>
  <c r="AH70" i="185"/>
  <c r="AI70" i="185" s="1"/>
  <c r="AH31" i="185"/>
  <c r="AI31" i="185" s="1"/>
  <c r="AH46" i="185"/>
  <c r="AI46" i="185" s="1"/>
  <c r="AH59" i="185"/>
  <c r="AI59" i="185" s="1"/>
  <c r="AH72" i="185"/>
  <c r="AI72" i="185" s="1"/>
  <c r="AH53" i="185"/>
  <c r="AI53" i="185" s="1"/>
  <c r="AH58" i="185"/>
  <c r="AI58" i="185" s="1"/>
  <c r="AI21" i="185"/>
  <c r="AH56" i="185"/>
  <c r="AI56" i="185" s="1"/>
  <c r="AH60" i="185"/>
  <c r="AI60" i="185" s="1"/>
  <c r="AH65" i="185"/>
  <c r="AI65" i="185" s="1"/>
  <c r="AH88" i="185"/>
  <c r="AI88" i="185" s="1"/>
  <c r="AH96" i="185"/>
  <c r="AI96" i="185" s="1"/>
  <c r="AH111" i="185"/>
  <c r="AI111" i="185" s="1"/>
  <c r="AH123" i="185"/>
  <c r="AI123" i="185" s="1"/>
  <c r="AH135" i="185"/>
  <c r="AH147" i="185"/>
  <c r="AI147" i="185" s="1"/>
  <c r="AH159" i="185"/>
  <c r="AI159" i="185" s="1"/>
  <c r="AH44" i="185"/>
  <c r="AI44" i="185" s="1"/>
  <c r="AH49" i="185"/>
  <c r="AI49" i="185" s="1"/>
  <c r="AH73" i="185"/>
  <c r="AI73" i="185" s="1"/>
  <c r="AH78" i="185"/>
  <c r="AI78" i="185" s="1"/>
  <c r="AH90" i="185"/>
  <c r="AI90" i="185" s="1"/>
  <c r="AH115" i="185"/>
  <c r="AI115" i="185" s="1"/>
  <c r="AH127" i="185"/>
  <c r="AI127" i="185" s="1"/>
  <c r="AH139" i="185"/>
  <c r="AI139" i="185" s="1"/>
  <c r="AH151" i="185"/>
  <c r="AI151" i="185" s="1"/>
  <c r="AH163" i="185"/>
  <c r="AI163" i="185" s="1"/>
  <c r="AI24" i="185"/>
  <c r="AH47" i="185"/>
  <c r="AI47" i="185" s="1"/>
  <c r="AH52" i="185"/>
  <c r="AI52" i="185" s="1"/>
  <c r="AH61" i="185"/>
  <c r="AI61" i="185" s="1"/>
  <c r="AH42" i="185"/>
  <c r="AI42" i="185" s="1"/>
  <c r="AH98" i="185"/>
  <c r="AI98" i="185" s="1"/>
  <c r="AH114" i="185"/>
  <c r="AI114" i="185" s="1"/>
  <c r="AH134" i="185"/>
  <c r="AI134" i="185" s="1"/>
  <c r="AH140" i="185"/>
  <c r="AI140" i="185" s="1"/>
  <c r="AH160" i="185"/>
  <c r="AI160" i="185" s="1"/>
  <c r="AH166" i="185"/>
  <c r="AI166" i="185" s="1"/>
  <c r="AI10" i="185"/>
  <c r="AH54" i="185"/>
  <c r="AI54" i="185" s="1"/>
  <c r="AH62" i="185"/>
  <c r="AI62" i="185" s="1"/>
  <c r="AH64" i="185"/>
  <c r="AI64" i="185" s="1"/>
  <c r="AH66" i="185"/>
  <c r="AI66" i="185" s="1"/>
  <c r="AH68" i="185"/>
  <c r="AI68" i="185" s="1"/>
  <c r="AH76" i="185"/>
  <c r="AI76" i="185" s="1"/>
  <c r="AH80" i="185"/>
  <c r="AI80" i="185" s="1"/>
  <c r="AH110" i="185"/>
  <c r="AI110" i="185" s="1"/>
  <c r="AH116" i="185"/>
  <c r="AI116" i="185" s="1"/>
  <c r="AH136" i="185"/>
  <c r="AI136" i="185" s="1"/>
  <c r="AH149" i="185"/>
  <c r="AI149" i="185" s="1"/>
  <c r="AH162" i="185"/>
  <c r="AI162" i="185" s="1"/>
  <c r="AH170" i="185"/>
  <c r="AH32" i="185"/>
  <c r="AI32" i="185" s="1"/>
  <c r="AH48" i="185"/>
  <c r="AI48" i="185" s="1"/>
  <c r="AH82" i="185"/>
  <c r="AI82" i="185" s="1"/>
  <c r="AH94" i="185"/>
  <c r="AI94" i="185" s="1"/>
  <c r="AH74" i="185"/>
  <c r="AI74" i="185" s="1"/>
  <c r="AH77" i="185"/>
  <c r="AI77" i="185" s="1"/>
  <c r="AH121" i="185"/>
  <c r="AI121" i="185" s="1"/>
  <c r="AH126" i="185"/>
  <c r="AI126" i="185" s="1"/>
  <c r="AH150" i="185"/>
  <c r="AI150" i="185" s="1"/>
  <c r="AH155" i="185"/>
  <c r="AI155" i="185" s="1"/>
  <c r="AH50" i="185"/>
  <c r="AI50" i="185" s="1"/>
  <c r="AH38" i="185"/>
  <c r="AI38" i="185" s="1"/>
  <c r="AH45" i="185"/>
  <c r="AI45" i="185" s="1"/>
  <c r="AH69" i="185"/>
  <c r="AI69" i="185" s="1"/>
  <c r="AH71" i="185"/>
  <c r="AI71" i="185" s="1"/>
  <c r="AH81" i="185"/>
  <c r="AI81" i="185" s="1"/>
  <c r="AH86" i="185"/>
  <c r="AI86" i="185" s="1"/>
  <c r="AH92" i="185"/>
  <c r="AI92" i="185" s="1"/>
  <c r="AH97" i="185"/>
  <c r="AI97" i="185" s="1"/>
  <c r="AH124" i="185"/>
  <c r="AI124" i="185" s="1"/>
  <c r="AH129" i="185"/>
  <c r="AI129" i="185" s="1"/>
  <c r="AH158" i="185"/>
  <c r="AI158" i="185" s="1"/>
  <c r="AH172" i="185"/>
  <c r="AH148" i="185"/>
  <c r="AI148" i="185" s="1"/>
  <c r="AH154" i="185"/>
  <c r="AI154" i="185" s="1"/>
  <c r="AH156" i="185"/>
  <c r="AI156" i="185" s="1"/>
  <c r="AH95" i="185"/>
  <c r="AI95" i="185" s="1"/>
  <c r="AH36" i="185"/>
  <c r="AI36" i="185" s="1"/>
  <c r="AH39" i="185"/>
  <c r="AI39" i="185" s="1"/>
  <c r="AH85" i="185"/>
  <c r="AI85" i="185" s="1"/>
  <c r="AH89" i="185"/>
  <c r="AI89" i="185" s="1"/>
  <c r="AH93" i="185"/>
  <c r="AI93" i="185" s="1"/>
  <c r="AI26" i="185"/>
  <c r="AH104" i="185"/>
  <c r="AI104" i="185" s="1"/>
  <c r="AH143" i="185"/>
  <c r="AI143" i="185" s="1"/>
  <c r="AH153" i="185"/>
  <c r="AI153" i="185" s="1"/>
  <c r="AH157" i="185"/>
  <c r="AI157" i="185" s="1"/>
  <c r="AH161" i="185"/>
  <c r="AI161" i="185" s="1"/>
  <c r="AH165" i="185"/>
  <c r="AI165" i="185" s="1"/>
  <c r="AH173" i="185"/>
  <c r="AH91" i="185"/>
  <c r="AI91" i="185" s="1"/>
  <c r="AH137" i="185"/>
  <c r="AI137" i="185" s="1"/>
  <c r="AH141" i="185"/>
  <c r="AI141" i="185" s="1"/>
  <c r="AH145" i="185"/>
  <c r="AI145" i="185" s="1"/>
  <c r="AH87" i="185"/>
  <c r="AI87" i="185" s="1"/>
  <c r="AH99" i="185"/>
  <c r="AI99" i="185" s="1"/>
  <c r="AH105" i="185"/>
  <c r="AI105" i="185" s="1"/>
  <c r="AH109" i="185"/>
  <c r="AI109" i="185" s="1"/>
  <c r="AH113" i="185"/>
  <c r="AI113" i="185" s="1"/>
  <c r="AH107" i="185"/>
  <c r="AI107" i="185" s="1"/>
  <c r="AH167" i="185"/>
  <c r="AI167" i="185" s="1"/>
  <c r="AI14" i="185"/>
  <c r="AH164" i="185"/>
  <c r="AI164" i="185" s="1"/>
  <c r="AH112" i="185"/>
  <c r="AI112" i="185" s="1"/>
  <c r="AH122" i="185"/>
  <c r="AI122" i="185" s="1"/>
  <c r="AH106" i="185"/>
  <c r="AI106" i="185" s="1"/>
  <c r="AH171" i="185"/>
  <c r="AH128" i="185"/>
  <c r="AI128" i="185" s="1"/>
  <c r="AH144" i="185"/>
  <c r="AI144" i="185" s="1"/>
  <c r="AH120" i="185"/>
  <c r="AI120" i="185" s="1"/>
  <c r="AH168" i="185"/>
  <c r="AI168" i="185" s="1"/>
  <c r="AH108" i="185"/>
  <c r="AI108" i="185" s="1"/>
  <c r="AH119" i="185"/>
  <c r="AI119" i="185" s="1"/>
  <c r="AH118" i="185"/>
  <c r="AI118" i="185" s="1"/>
  <c r="AH117" i="185"/>
  <c r="AI117" i="185" s="1"/>
  <c r="AH125" i="185"/>
  <c r="AI125" i="185" s="1"/>
  <c r="AH133" i="185"/>
  <c r="AI133" i="185" s="1"/>
  <c r="AH132" i="185"/>
  <c r="AI132" i="185" s="1"/>
  <c r="AH138" i="185"/>
  <c r="AI138" i="185" s="1"/>
  <c r="AH142" i="185"/>
  <c r="AI142" i="185" s="1"/>
  <c r="AH130" i="185"/>
  <c r="AI130" i="185" s="1"/>
  <c r="AH152" i="185"/>
  <c r="AI152" i="185" s="1"/>
  <c r="AH174" i="185"/>
  <c r="AH169" i="185"/>
  <c r="AI169" i="185" s="1"/>
  <c r="AH146" i="185"/>
  <c r="AI146" i="185" s="1"/>
  <c r="AH131" i="185"/>
  <c r="AI131" i="185" s="1"/>
  <c r="AI41" i="185"/>
  <c r="L3" i="183"/>
  <c r="L122" i="183"/>
  <c r="L123" i="183"/>
  <c r="L85" i="183"/>
  <c r="L35" i="183"/>
  <c r="L41" i="183"/>
  <c r="L47" i="183"/>
  <c r="L36" i="183"/>
  <c r="L42" i="183"/>
  <c r="L48" i="183"/>
  <c r="L37" i="183"/>
  <c r="L43" i="183"/>
  <c r="L32" i="183"/>
  <c r="L38" i="183"/>
  <c r="L44" i="183"/>
  <c r="L33" i="183"/>
  <c r="L39" i="183"/>
  <c r="L45" i="183"/>
  <c r="L34" i="183"/>
  <c r="L40" i="183"/>
  <c r="L46" i="183"/>
  <c r="L51" i="183"/>
  <c r="L57" i="183"/>
  <c r="L63" i="183"/>
  <c r="L52" i="183"/>
  <c r="L58" i="183"/>
  <c r="L64" i="183"/>
  <c r="L53" i="183"/>
  <c r="L59" i="183"/>
  <c r="L54" i="183"/>
  <c r="L60" i="183"/>
  <c r="L49" i="183"/>
  <c r="L55" i="183"/>
  <c r="L61" i="183"/>
  <c r="L50" i="183"/>
  <c r="L56" i="183"/>
  <c r="L62" i="183"/>
  <c r="L70" i="183"/>
  <c r="L76" i="183"/>
  <c r="L65" i="183"/>
  <c r="L71" i="183"/>
  <c r="L77" i="183"/>
  <c r="L66" i="183"/>
  <c r="L72" i="183"/>
  <c r="L78" i="183"/>
  <c r="L67" i="183"/>
  <c r="L73" i="183"/>
  <c r="L79" i="183"/>
  <c r="L68" i="183"/>
  <c r="L74" i="183"/>
  <c r="L80" i="183"/>
  <c r="L69" i="183"/>
  <c r="L75" i="183"/>
  <c r="L88" i="183"/>
  <c r="L94" i="183"/>
  <c r="L81" i="183"/>
  <c r="L89" i="183"/>
  <c r="L95" i="183"/>
  <c r="L82" i="183"/>
  <c r="L90" i="183"/>
  <c r="L96" i="183"/>
  <c r="L83" i="183"/>
  <c r="L91" i="183"/>
  <c r="L97" i="183"/>
  <c r="L84" i="183"/>
  <c r="L92" i="183"/>
  <c r="L86" i="183"/>
  <c r="L93" i="183"/>
  <c r="L104" i="183"/>
  <c r="L110" i="183"/>
  <c r="L99" i="183"/>
  <c r="L105" i="183"/>
  <c r="L111" i="183"/>
  <c r="L100" i="183"/>
  <c r="L106" i="183"/>
  <c r="L112" i="183"/>
  <c r="L101" i="183"/>
  <c r="L107" i="183"/>
  <c r="L113" i="183"/>
  <c r="L98" i="183"/>
  <c r="L102" i="183"/>
  <c r="L108" i="183"/>
  <c r="L114" i="183"/>
  <c r="L103" i="183"/>
  <c r="L109" i="183"/>
  <c r="L119" i="183"/>
  <c r="L127" i="183"/>
  <c r="L133" i="183"/>
  <c r="L139" i="183"/>
  <c r="L145" i="183"/>
  <c r="L120" i="183"/>
  <c r="L128" i="183"/>
  <c r="L134" i="183"/>
  <c r="L140" i="183"/>
  <c r="L146" i="183"/>
  <c r="L115" i="183"/>
  <c r="L121" i="183"/>
  <c r="L129" i="183"/>
  <c r="L135" i="183"/>
  <c r="L141" i="183"/>
  <c r="L147" i="183"/>
  <c r="L116" i="183"/>
  <c r="L124" i="183"/>
  <c r="L130" i="183"/>
  <c r="L136" i="183"/>
  <c r="L142" i="183"/>
  <c r="L148" i="183"/>
  <c r="L117" i="183"/>
  <c r="L125" i="183"/>
  <c r="L131" i="183"/>
  <c r="L137" i="183"/>
  <c r="L143" i="183"/>
  <c r="L149" i="183"/>
  <c r="L118" i="183"/>
  <c r="L126" i="183"/>
  <c r="L132" i="183"/>
  <c r="L138" i="183"/>
  <c r="L144" i="183"/>
  <c r="L151" i="183"/>
  <c r="L157" i="183"/>
  <c r="L163" i="183"/>
  <c r="L6" i="183"/>
  <c r="L12" i="183"/>
  <c r="L18" i="183"/>
  <c r="L152" i="183"/>
  <c r="L158" i="183"/>
  <c r="L164" i="183"/>
  <c r="L7" i="183"/>
  <c r="L13" i="183"/>
  <c r="L153" i="183"/>
  <c r="L159" i="183"/>
  <c r="L165" i="183"/>
  <c r="L8" i="183"/>
  <c r="L14" i="183"/>
  <c r="L154" i="183"/>
  <c r="L160" i="183"/>
  <c r="L166" i="183"/>
  <c r="L9" i="183"/>
  <c r="L15" i="183"/>
  <c r="L155" i="183"/>
  <c r="L161" i="183"/>
  <c r="L4" i="183"/>
  <c r="L10" i="183"/>
  <c r="L16" i="183"/>
  <c r="L150" i="183"/>
  <c r="L156" i="183"/>
  <c r="L162" i="183"/>
  <c r="L5" i="183"/>
  <c r="L11" i="183"/>
  <c r="L17" i="183"/>
  <c r="L23" i="183"/>
  <c r="L29" i="183"/>
  <c r="L24" i="183"/>
  <c r="L30" i="183"/>
  <c r="L19" i="183"/>
  <c r="L25" i="183"/>
  <c r="L31" i="183"/>
  <c r="L20" i="183"/>
  <c r="L26" i="183"/>
  <c r="L21" i="183"/>
  <c r="L27" i="183"/>
  <c r="L22" i="183"/>
  <c r="L28" i="183"/>
  <c r="M1" i="183"/>
  <c r="M87" i="183" s="1"/>
  <c r="T46" i="180"/>
  <c r="M3" i="183" l="1"/>
  <c r="M122" i="183"/>
  <c r="M123" i="183"/>
  <c r="M85" i="183"/>
  <c r="M34" i="183"/>
  <c r="M40" i="183"/>
  <c r="M46" i="183"/>
  <c r="M35" i="183"/>
  <c r="M41" i="183"/>
  <c r="M47" i="183"/>
  <c r="M36" i="183"/>
  <c r="M42" i="183"/>
  <c r="M48" i="183"/>
  <c r="M37" i="183"/>
  <c r="M43" i="183"/>
  <c r="M32" i="183"/>
  <c r="M38" i="183"/>
  <c r="M44" i="183"/>
  <c r="M33" i="183"/>
  <c r="M39" i="183"/>
  <c r="M45" i="183"/>
  <c r="M50" i="183"/>
  <c r="M56" i="183"/>
  <c r="M62" i="183"/>
  <c r="M51" i="183"/>
  <c r="M57" i="183"/>
  <c r="M63" i="183"/>
  <c r="M52" i="183"/>
  <c r="M58" i="183"/>
  <c r="M64" i="183"/>
  <c r="M53" i="183"/>
  <c r="M59" i="183"/>
  <c r="M54" i="183"/>
  <c r="M60" i="183"/>
  <c r="M49" i="183"/>
  <c r="M55" i="183"/>
  <c r="M61" i="183"/>
  <c r="M69" i="183"/>
  <c r="M75" i="183"/>
  <c r="M70" i="183"/>
  <c r="M76" i="183"/>
  <c r="M65" i="183"/>
  <c r="M71" i="183"/>
  <c r="M77" i="183"/>
  <c r="M66" i="183"/>
  <c r="M72" i="183"/>
  <c r="M78" i="183"/>
  <c r="M67" i="183"/>
  <c r="M73" i="183"/>
  <c r="M79" i="183"/>
  <c r="M68" i="183"/>
  <c r="M74" i="183"/>
  <c r="M80" i="183"/>
  <c r="M86" i="183"/>
  <c r="M93" i="183"/>
  <c r="M88" i="183"/>
  <c r="M94" i="183"/>
  <c r="M81" i="183"/>
  <c r="M89" i="183"/>
  <c r="M95" i="183"/>
  <c r="M82" i="183"/>
  <c r="M90" i="183"/>
  <c r="M96" i="183"/>
  <c r="M83" i="183"/>
  <c r="M91" i="183"/>
  <c r="M84" i="183"/>
  <c r="M92" i="183"/>
  <c r="M97" i="183"/>
  <c r="M103" i="183"/>
  <c r="M109" i="183"/>
  <c r="M104" i="183"/>
  <c r="M110" i="183"/>
  <c r="M99" i="183"/>
  <c r="M105" i="183"/>
  <c r="M111" i="183"/>
  <c r="M100" i="183"/>
  <c r="M106" i="183"/>
  <c r="M112" i="183"/>
  <c r="M101" i="183"/>
  <c r="M107" i="183"/>
  <c r="M113" i="183"/>
  <c r="M98" i="183"/>
  <c r="M102" i="183"/>
  <c r="M108" i="183"/>
  <c r="M114" i="183"/>
  <c r="M118" i="183"/>
  <c r="M126" i="183"/>
  <c r="M132" i="183"/>
  <c r="M138" i="183"/>
  <c r="M144" i="183"/>
  <c r="M119" i="183"/>
  <c r="M127" i="183"/>
  <c r="M133" i="183"/>
  <c r="M139" i="183"/>
  <c r="M145" i="183"/>
  <c r="M120" i="183"/>
  <c r="M128" i="183"/>
  <c r="M134" i="183"/>
  <c r="M140" i="183"/>
  <c r="M146" i="183"/>
  <c r="M115" i="183"/>
  <c r="M121" i="183"/>
  <c r="M129" i="183"/>
  <c r="M135" i="183"/>
  <c r="M141" i="183"/>
  <c r="M147" i="183"/>
  <c r="M116" i="183"/>
  <c r="M124" i="183"/>
  <c r="M130" i="183"/>
  <c r="M136" i="183"/>
  <c r="M142" i="183"/>
  <c r="M148" i="183"/>
  <c r="M117" i="183"/>
  <c r="M125" i="183"/>
  <c r="M131" i="183"/>
  <c r="M137" i="183"/>
  <c r="M143" i="183"/>
  <c r="M149" i="183"/>
  <c r="M150" i="183"/>
  <c r="M156" i="183"/>
  <c r="M162" i="183"/>
  <c r="M5" i="183"/>
  <c r="M11" i="183"/>
  <c r="M17" i="183"/>
  <c r="M151" i="183"/>
  <c r="M157" i="183"/>
  <c r="M163" i="183"/>
  <c r="M6" i="183"/>
  <c r="M12" i="183"/>
  <c r="M18" i="183"/>
  <c r="M152" i="183"/>
  <c r="M158" i="183"/>
  <c r="M164" i="183"/>
  <c r="M7" i="183"/>
  <c r="M13" i="183"/>
  <c r="M153" i="183"/>
  <c r="M159" i="183"/>
  <c r="M165" i="183"/>
  <c r="M8" i="183"/>
  <c r="M14" i="183"/>
  <c r="M154" i="183"/>
  <c r="M160" i="183"/>
  <c r="M166" i="183"/>
  <c r="M9" i="183"/>
  <c r="M15" i="183"/>
  <c r="M155" i="183"/>
  <c r="M161" i="183"/>
  <c r="M4" i="183"/>
  <c r="M10" i="183"/>
  <c r="M16" i="183"/>
  <c r="M22" i="183"/>
  <c r="M28" i="183"/>
  <c r="M23" i="183"/>
  <c r="M29" i="183"/>
  <c r="M24" i="183"/>
  <c r="M30" i="183"/>
  <c r="M19" i="183"/>
  <c r="M25" i="183"/>
  <c r="M31" i="183"/>
  <c r="M20" i="183"/>
  <c r="M26" i="183"/>
  <c r="M21" i="183"/>
  <c r="M27" i="183"/>
  <c r="N1" i="183"/>
  <c r="N87" i="183" s="1"/>
  <c r="T45" i="180"/>
  <c r="T44" i="180"/>
  <c r="T39" i="180"/>
  <c r="N3" i="183" l="1"/>
  <c r="N122" i="183"/>
  <c r="N123" i="183"/>
  <c r="N85" i="183"/>
  <c r="N33" i="183"/>
  <c r="N39" i="183"/>
  <c r="N45" i="183"/>
  <c r="N34" i="183"/>
  <c r="N40" i="183"/>
  <c r="N46" i="183"/>
  <c r="N35" i="183"/>
  <c r="N41" i="183"/>
  <c r="N47" i="183"/>
  <c r="N36" i="183"/>
  <c r="N42" i="183"/>
  <c r="N48" i="183"/>
  <c r="N37" i="183"/>
  <c r="N43" i="183"/>
  <c r="N32" i="183"/>
  <c r="N38" i="183"/>
  <c r="N44" i="183"/>
  <c r="N49" i="183"/>
  <c r="N55" i="183"/>
  <c r="N61" i="183"/>
  <c r="N50" i="183"/>
  <c r="N56" i="183"/>
  <c r="N62" i="183"/>
  <c r="N51" i="183"/>
  <c r="N57" i="183"/>
  <c r="N63" i="183"/>
  <c r="N52" i="183"/>
  <c r="N58" i="183"/>
  <c r="N64" i="183"/>
  <c r="N53" i="183"/>
  <c r="N59" i="183"/>
  <c r="N54" i="183"/>
  <c r="N60" i="183"/>
  <c r="N68" i="183"/>
  <c r="N74" i="183"/>
  <c r="N80" i="183"/>
  <c r="N69" i="183"/>
  <c r="N75" i="183"/>
  <c r="N70" i="183"/>
  <c r="N76" i="183"/>
  <c r="N65" i="183"/>
  <c r="N71" i="183"/>
  <c r="N77" i="183"/>
  <c r="N66" i="183"/>
  <c r="N72" i="183"/>
  <c r="N78" i="183"/>
  <c r="N67" i="183"/>
  <c r="N73" i="183"/>
  <c r="N79" i="183"/>
  <c r="N84" i="183"/>
  <c r="N92" i="183"/>
  <c r="N98" i="183"/>
  <c r="N86" i="183"/>
  <c r="N93" i="183"/>
  <c r="N88" i="183"/>
  <c r="N94" i="183"/>
  <c r="N81" i="183"/>
  <c r="N89" i="183"/>
  <c r="N95" i="183"/>
  <c r="N82" i="183"/>
  <c r="N90" i="183"/>
  <c r="N83" i="183"/>
  <c r="N91" i="183"/>
  <c r="N102" i="183"/>
  <c r="N108" i="183"/>
  <c r="N114" i="183"/>
  <c r="N97" i="183"/>
  <c r="N103" i="183"/>
  <c r="N109" i="183"/>
  <c r="N96" i="183"/>
  <c r="N104" i="183"/>
  <c r="N110" i="183"/>
  <c r="N99" i="183"/>
  <c r="N105" i="183"/>
  <c r="N111" i="183"/>
  <c r="N100" i="183"/>
  <c r="N106" i="183"/>
  <c r="N112" i="183"/>
  <c r="N101" i="183"/>
  <c r="N107" i="183"/>
  <c r="N113" i="183"/>
  <c r="N117" i="183"/>
  <c r="N125" i="183"/>
  <c r="N131" i="183"/>
  <c r="N137" i="183"/>
  <c r="N143" i="183"/>
  <c r="N118" i="183"/>
  <c r="N126" i="183"/>
  <c r="N132" i="183"/>
  <c r="N138" i="183"/>
  <c r="N144" i="183"/>
  <c r="N119" i="183"/>
  <c r="N127" i="183"/>
  <c r="N133" i="183"/>
  <c r="N139" i="183"/>
  <c r="N145" i="183"/>
  <c r="N120" i="183"/>
  <c r="N128" i="183"/>
  <c r="N134" i="183"/>
  <c r="N140" i="183"/>
  <c r="N146" i="183"/>
  <c r="N115" i="183"/>
  <c r="N121" i="183"/>
  <c r="N129" i="183"/>
  <c r="N135" i="183"/>
  <c r="N141" i="183"/>
  <c r="N147" i="183"/>
  <c r="N116" i="183"/>
  <c r="N124" i="183"/>
  <c r="N130" i="183"/>
  <c r="N136" i="183"/>
  <c r="N142" i="183"/>
  <c r="N148" i="183"/>
  <c r="N149" i="183"/>
  <c r="N155" i="183"/>
  <c r="N161" i="183"/>
  <c r="N4" i="183"/>
  <c r="N10" i="183"/>
  <c r="N16" i="183"/>
  <c r="N150" i="183"/>
  <c r="N156" i="183"/>
  <c r="N162" i="183"/>
  <c r="N5" i="183"/>
  <c r="N11" i="183"/>
  <c r="N17" i="183"/>
  <c r="N151" i="183"/>
  <c r="N157" i="183"/>
  <c r="N163" i="183"/>
  <c r="N6" i="183"/>
  <c r="N12" i="183"/>
  <c r="N18" i="183"/>
  <c r="N152" i="183"/>
  <c r="N158" i="183"/>
  <c r="N164" i="183"/>
  <c r="N7" i="183"/>
  <c r="N13" i="183"/>
  <c r="N153" i="183"/>
  <c r="N159" i="183"/>
  <c r="N165" i="183"/>
  <c r="N8" i="183"/>
  <c r="N14" i="183"/>
  <c r="N154" i="183"/>
  <c r="N160" i="183"/>
  <c r="N166" i="183"/>
  <c r="N9" i="183"/>
  <c r="N15" i="183"/>
  <c r="N21" i="183"/>
  <c r="N27" i="183"/>
  <c r="N22" i="183"/>
  <c r="N28" i="183"/>
  <c r="N23" i="183"/>
  <c r="N29" i="183"/>
  <c r="N24" i="183"/>
  <c r="N30" i="183"/>
  <c r="N19" i="183"/>
  <c r="N25" i="183"/>
  <c r="N31" i="183"/>
  <c r="N20" i="183"/>
  <c r="N26" i="183"/>
  <c r="O1" i="183"/>
  <c r="O87" i="183" s="1"/>
  <c r="T41" i="180"/>
  <c r="O3" i="183" l="1"/>
  <c r="O123" i="183"/>
  <c r="O85" i="183"/>
  <c r="O122" i="183"/>
  <c r="O32" i="183"/>
  <c r="O38" i="183"/>
  <c r="O44" i="183"/>
  <c r="O33" i="183"/>
  <c r="O39" i="183"/>
  <c r="O45" i="183"/>
  <c r="O34" i="183"/>
  <c r="O40" i="183"/>
  <c r="O46" i="183"/>
  <c r="O35" i="183"/>
  <c r="O41" i="183"/>
  <c r="O47" i="183"/>
  <c r="O36" i="183"/>
  <c r="O42" i="183"/>
  <c r="O37" i="183"/>
  <c r="O43" i="183"/>
  <c r="O48" i="183"/>
  <c r="O54" i="183"/>
  <c r="O60" i="183"/>
  <c r="O49" i="183"/>
  <c r="O55" i="183"/>
  <c r="O61" i="183"/>
  <c r="O50" i="183"/>
  <c r="O56" i="183"/>
  <c r="O62" i="183"/>
  <c r="O51" i="183"/>
  <c r="O57" i="183"/>
  <c r="O63" i="183"/>
  <c r="O52" i="183"/>
  <c r="O58" i="183"/>
  <c r="O53" i="183"/>
  <c r="O59" i="183"/>
  <c r="O67" i="183"/>
  <c r="O73" i="183"/>
  <c r="O79" i="183"/>
  <c r="O68" i="183"/>
  <c r="O74" i="183"/>
  <c r="O80" i="183"/>
  <c r="O69" i="183"/>
  <c r="O75" i="183"/>
  <c r="O70" i="183"/>
  <c r="O76" i="183"/>
  <c r="O64" i="183"/>
  <c r="O65" i="183"/>
  <c r="O71" i="183"/>
  <c r="O77" i="183"/>
  <c r="O66" i="183"/>
  <c r="O72" i="183"/>
  <c r="O78" i="183"/>
  <c r="O83" i="183"/>
  <c r="O91" i="183"/>
  <c r="O97" i="183"/>
  <c r="O84" i="183"/>
  <c r="O92" i="183"/>
  <c r="O98" i="183"/>
  <c r="O86" i="183"/>
  <c r="O93" i="183"/>
  <c r="O88" i="183"/>
  <c r="O94" i="183"/>
  <c r="O81" i="183"/>
  <c r="O89" i="183"/>
  <c r="O82" i="183"/>
  <c r="O90" i="183"/>
  <c r="O95" i="183"/>
  <c r="O101" i="183"/>
  <c r="O107" i="183"/>
  <c r="O113" i="183"/>
  <c r="O102" i="183"/>
  <c r="O108" i="183"/>
  <c r="O114" i="183"/>
  <c r="O103" i="183"/>
  <c r="O109" i="183"/>
  <c r="O96" i="183"/>
  <c r="O104" i="183"/>
  <c r="O110" i="183"/>
  <c r="O99" i="183"/>
  <c r="O105" i="183"/>
  <c r="O111" i="183"/>
  <c r="O100" i="183"/>
  <c r="O106" i="183"/>
  <c r="O112" i="183"/>
  <c r="O116" i="183"/>
  <c r="O124" i="183"/>
  <c r="O130" i="183"/>
  <c r="O136" i="183"/>
  <c r="O142" i="183"/>
  <c r="O148" i="183"/>
  <c r="O117" i="183"/>
  <c r="O125" i="183"/>
  <c r="O131" i="183"/>
  <c r="O137" i="183"/>
  <c r="O143" i="183"/>
  <c r="O118" i="183"/>
  <c r="O126" i="183"/>
  <c r="O132" i="183"/>
  <c r="O138" i="183"/>
  <c r="O144" i="183"/>
  <c r="O119" i="183"/>
  <c r="O127" i="183"/>
  <c r="O133" i="183"/>
  <c r="O139" i="183"/>
  <c r="O145" i="183"/>
  <c r="O120" i="183"/>
  <c r="O128" i="183"/>
  <c r="O134" i="183"/>
  <c r="O140" i="183"/>
  <c r="O146" i="183"/>
  <c r="O115" i="183"/>
  <c r="O121" i="183"/>
  <c r="O129" i="183"/>
  <c r="O135" i="183"/>
  <c r="O141" i="183"/>
  <c r="O147" i="183"/>
  <c r="O154" i="183"/>
  <c r="O160" i="183"/>
  <c r="O166" i="183"/>
  <c r="O9" i="183"/>
  <c r="O15" i="183"/>
  <c r="O149" i="183"/>
  <c r="O155" i="183"/>
  <c r="O161" i="183"/>
  <c r="O4" i="183"/>
  <c r="O10" i="183"/>
  <c r="O16" i="183"/>
  <c r="O150" i="183"/>
  <c r="O156" i="183"/>
  <c r="O162" i="183"/>
  <c r="O5" i="183"/>
  <c r="O11" i="183"/>
  <c r="O17" i="183"/>
  <c r="O151" i="183"/>
  <c r="O157" i="183"/>
  <c r="O163" i="183"/>
  <c r="O6" i="183"/>
  <c r="O12" i="183"/>
  <c r="O18" i="183"/>
  <c r="O152" i="183"/>
  <c r="O158" i="183"/>
  <c r="O164" i="183"/>
  <c r="O7" i="183"/>
  <c r="O13" i="183"/>
  <c r="O153" i="183"/>
  <c r="O159" i="183"/>
  <c r="O165" i="183"/>
  <c r="O8" i="183"/>
  <c r="O14" i="183"/>
  <c r="O20" i="183"/>
  <c r="O26" i="183"/>
  <c r="O21" i="183"/>
  <c r="O27" i="183"/>
  <c r="O22" i="183"/>
  <c r="O28" i="183"/>
  <c r="O23" i="183"/>
  <c r="O29" i="183"/>
  <c r="O24" i="183"/>
  <c r="O30" i="183"/>
  <c r="O19" i="183"/>
  <c r="O25" i="183"/>
  <c r="O31" i="183"/>
  <c r="P1" i="183"/>
  <c r="P87" i="183" s="1"/>
  <c r="T38" i="180"/>
  <c r="T37" i="180"/>
  <c r="T36" i="180"/>
  <c r="P3" i="183" l="1"/>
  <c r="P122" i="183"/>
  <c r="P123" i="183"/>
  <c r="P85" i="183"/>
  <c r="P37" i="183"/>
  <c r="P43" i="183"/>
  <c r="P32" i="183"/>
  <c r="P38" i="183"/>
  <c r="P44" i="183"/>
  <c r="P33" i="183"/>
  <c r="P39" i="183"/>
  <c r="P45" i="183"/>
  <c r="P34" i="183"/>
  <c r="P40" i="183"/>
  <c r="P46" i="183"/>
  <c r="P35" i="183"/>
  <c r="P41" i="183"/>
  <c r="P47" i="183"/>
  <c r="P36" i="183"/>
  <c r="P42" i="183"/>
  <c r="P53" i="183"/>
  <c r="P59" i="183"/>
  <c r="P48" i="183"/>
  <c r="P54" i="183"/>
  <c r="P60" i="183"/>
  <c r="P49" i="183"/>
  <c r="P55" i="183"/>
  <c r="P61" i="183"/>
  <c r="P50" i="183"/>
  <c r="P56" i="183"/>
  <c r="P62" i="183"/>
  <c r="P51" i="183"/>
  <c r="P57" i="183"/>
  <c r="P52" i="183"/>
  <c r="P58" i="183"/>
  <c r="P63" i="183"/>
  <c r="P66" i="183"/>
  <c r="P72" i="183"/>
  <c r="P78" i="183"/>
  <c r="P67" i="183"/>
  <c r="P73" i="183"/>
  <c r="P79" i="183"/>
  <c r="P68" i="183"/>
  <c r="P74" i="183"/>
  <c r="P69" i="183"/>
  <c r="P75" i="183"/>
  <c r="P70" i="183"/>
  <c r="P76" i="183"/>
  <c r="P64" i="183"/>
  <c r="P65" i="183"/>
  <c r="P71" i="183"/>
  <c r="P77" i="183"/>
  <c r="P80" i="183"/>
  <c r="P82" i="183"/>
  <c r="P90" i="183"/>
  <c r="P96" i="183"/>
  <c r="P83" i="183"/>
  <c r="P91" i="183"/>
  <c r="P97" i="183"/>
  <c r="P84" i="183"/>
  <c r="P92" i="183"/>
  <c r="P98" i="183"/>
  <c r="P86" i="183"/>
  <c r="P93" i="183"/>
  <c r="P88" i="183"/>
  <c r="P94" i="183"/>
  <c r="P81" i="183"/>
  <c r="P89" i="183"/>
  <c r="P95" i="183"/>
  <c r="P100" i="183"/>
  <c r="P106" i="183"/>
  <c r="P112" i="183"/>
  <c r="P101" i="183"/>
  <c r="P107" i="183"/>
  <c r="P113" i="183"/>
  <c r="P102" i="183"/>
  <c r="P108" i="183"/>
  <c r="P103" i="183"/>
  <c r="P109" i="183"/>
  <c r="P104" i="183"/>
  <c r="P110" i="183"/>
  <c r="P99" i="183"/>
  <c r="P105" i="183"/>
  <c r="P111" i="183"/>
  <c r="P114" i="183"/>
  <c r="P115" i="183"/>
  <c r="P121" i="183"/>
  <c r="P129" i="183"/>
  <c r="P135" i="183"/>
  <c r="P141" i="183"/>
  <c r="P147" i="183"/>
  <c r="P116" i="183"/>
  <c r="P124" i="183"/>
  <c r="P130" i="183"/>
  <c r="P136" i="183"/>
  <c r="P142" i="183"/>
  <c r="P148" i="183"/>
  <c r="P117" i="183"/>
  <c r="P125" i="183"/>
  <c r="P131" i="183"/>
  <c r="P137" i="183"/>
  <c r="P143" i="183"/>
  <c r="P118" i="183"/>
  <c r="P126" i="183"/>
  <c r="P132" i="183"/>
  <c r="P138" i="183"/>
  <c r="P144" i="183"/>
  <c r="P119" i="183"/>
  <c r="P127" i="183"/>
  <c r="P133" i="183"/>
  <c r="P139" i="183"/>
  <c r="P145" i="183"/>
  <c r="P120" i="183"/>
  <c r="P128" i="183"/>
  <c r="P134" i="183"/>
  <c r="P140" i="183"/>
  <c r="P146" i="183"/>
  <c r="P153" i="183"/>
  <c r="P159" i="183"/>
  <c r="P165" i="183"/>
  <c r="P8" i="183"/>
  <c r="P14" i="183"/>
  <c r="P154" i="183"/>
  <c r="P160" i="183"/>
  <c r="P166" i="183"/>
  <c r="P9" i="183"/>
  <c r="P15" i="183"/>
  <c r="P149" i="183"/>
  <c r="P155" i="183"/>
  <c r="P161" i="183"/>
  <c r="P4" i="183"/>
  <c r="P10" i="183"/>
  <c r="P16" i="183"/>
  <c r="P150" i="183"/>
  <c r="P156" i="183"/>
  <c r="P162" i="183"/>
  <c r="P5" i="183"/>
  <c r="P11" i="183"/>
  <c r="P17" i="183"/>
  <c r="P151" i="183"/>
  <c r="P157" i="183"/>
  <c r="P163" i="183"/>
  <c r="P6" i="183"/>
  <c r="P12" i="183"/>
  <c r="P18" i="183"/>
  <c r="P152" i="183"/>
  <c r="P158" i="183"/>
  <c r="P164" i="183"/>
  <c r="P7" i="183"/>
  <c r="P13" i="183"/>
  <c r="P19" i="183"/>
  <c r="P25" i="183"/>
  <c r="P31" i="183"/>
  <c r="P20" i="183"/>
  <c r="P26" i="183"/>
  <c r="P21" i="183"/>
  <c r="P27" i="183"/>
  <c r="P22" i="183"/>
  <c r="P28" i="183"/>
  <c r="P23" i="183"/>
  <c r="P29" i="183"/>
  <c r="P24" i="183"/>
  <c r="P30" i="183"/>
  <c r="Q1" i="183"/>
  <c r="Q87" i="183" s="1"/>
  <c r="T33" i="180"/>
  <c r="T34" i="180"/>
  <c r="T35" i="180"/>
  <c r="Q3" i="183" l="1"/>
  <c r="Q122" i="183"/>
  <c r="Q123" i="183"/>
  <c r="Q85" i="183"/>
  <c r="Q36" i="183"/>
  <c r="Q42" i="183"/>
  <c r="Q37" i="183"/>
  <c r="Q43" i="183"/>
  <c r="Q32" i="183"/>
  <c r="Q38" i="183"/>
  <c r="Q44" i="183"/>
  <c r="Q33" i="183"/>
  <c r="Q39" i="183"/>
  <c r="Q45" i="183"/>
  <c r="Q34" i="183"/>
  <c r="Q40" i="183"/>
  <c r="Q46" i="183"/>
  <c r="Q35" i="183"/>
  <c r="Q41" i="183"/>
  <c r="Q47" i="183"/>
  <c r="Q52" i="183"/>
  <c r="Q58" i="183"/>
  <c r="Q64" i="183"/>
  <c r="Q53" i="183"/>
  <c r="Q59" i="183"/>
  <c r="Q48" i="183"/>
  <c r="Q54" i="183"/>
  <c r="Q60" i="183"/>
  <c r="Q49" i="183"/>
  <c r="Q55" i="183"/>
  <c r="Q61" i="183"/>
  <c r="Q50" i="183"/>
  <c r="Q56" i="183"/>
  <c r="Q62" i="183"/>
  <c r="Q51" i="183"/>
  <c r="Q57" i="183"/>
  <c r="Q65" i="183"/>
  <c r="Q71" i="183"/>
  <c r="Q77" i="183"/>
  <c r="Q63" i="183"/>
  <c r="Q66" i="183"/>
  <c r="Q72" i="183"/>
  <c r="Q78" i="183"/>
  <c r="Q67" i="183"/>
  <c r="Q73" i="183"/>
  <c r="Q79" i="183"/>
  <c r="Q68" i="183"/>
  <c r="Q74" i="183"/>
  <c r="Q80" i="183"/>
  <c r="Q69" i="183"/>
  <c r="Q75" i="183"/>
  <c r="Q70" i="183"/>
  <c r="Q76" i="183"/>
  <c r="Q81" i="183"/>
  <c r="Q89" i="183"/>
  <c r="Q95" i="183"/>
  <c r="Q82" i="183"/>
  <c r="Q90" i="183"/>
  <c r="Q96" i="183"/>
  <c r="Q83" i="183"/>
  <c r="Q91" i="183"/>
  <c r="Q97" i="183"/>
  <c r="Q84" i="183"/>
  <c r="Q92" i="183"/>
  <c r="Q98" i="183"/>
  <c r="Q86" i="183"/>
  <c r="Q93" i="183"/>
  <c r="Q88" i="183"/>
  <c r="Q94" i="183"/>
  <c r="Q99" i="183"/>
  <c r="Q105" i="183"/>
  <c r="Q111" i="183"/>
  <c r="Q100" i="183"/>
  <c r="Q106" i="183"/>
  <c r="Q112" i="183"/>
  <c r="Q101" i="183"/>
  <c r="Q107" i="183"/>
  <c r="Q113" i="183"/>
  <c r="Q102" i="183"/>
  <c r="Q108" i="183"/>
  <c r="Q103" i="183"/>
  <c r="Q109" i="183"/>
  <c r="Q104" i="183"/>
  <c r="Q110" i="183"/>
  <c r="Q120" i="183"/>
  <c r="Q128" i="183"/>
  <c r="Q134" i="183"/>
  <c r="Q140" i="183"/>
  <c r="Q146" i="183"/>
  <c r="Q114" i="183"/>
  <c r="Q115" i="183"/>
  <c r="Q121" i="183"/>
  <c r="Q129" i="183"/>
  <c r="Q135" i="183"/>
  <c r="Q141" i="183"/>
  <c r="Q147" i="183"/>
  <c r="Q116" i="183"/>
  <c r="Q124" i="183"/>
  <c r="Q130" i="183"/>
  <c r="Q136" i="183"/>
  <c r="Q142" i="183"/>
  <c r="Q148" i="183"/>
  <c r="Q117" i="183"/>
  <c r="Q125" i="183"/>
  <c r="Q131" i="183"/>
  <c r="Q137" i="183"/>
  <c r="Q143" i="183"/>
  <c r="Q118" i="183"/>
  <c r="Q126" i="183"/>
  <c r="Q132" i="183"/>
  <c r="Q138" i="183"/>
  <c r="Q144" i="183"/>
  <c r="Q119" i="183"/>
  <c r="Q127" i="183"/>
  <c r="Q133" i="183"/>
  <c r="Q139" i="183"/>
  <c r="Q145" i="183"/>
  <c r="Q152" i="183"/>
  <c r="Q158" i="183"/>
  <c r="Q164" i="183"/>
  <c r="Q7" i="183"/>
  <c r="Q13" i="183"/>
  <c r="Q153" i="183"/>
  <c r="Q159" i="183"/>
  <c r="Q165" i="183"/>
  <c r="Q8" i="183"/>
  <c r="Q14" i="183"/>
  <c r="Q154" i="183"/>
  <c r="Q160" i="183"/>
  <c r="Q166" i="183"/>
  <c r="Q9" i="183"/>
  <c r="Q15" i="183"/>
  <c r="Q149" i="183"/>
  <c r="Q155" i="183"/>
  <c r="Q161" i="183"/>
  <c r="Q4" i="183"/>
  <c r="Q10" i="183"/>
  <c r="Q16" i="183"/>
  <c r="Q150" i="183"/>
  <c r="Q156" i="183"/>
  <c r="Q162" i="183"/>
  <c r="Q5" i="183"/>
  <c r="Q11" i="183"/>
  <c r="Q17" i="183"/>
  <c r="Q151" i="183"/>
  <c r="Q157" i="183"/>
  <c r="Q163" i="183"/>
  <c r="Q6" i="183"/>
  <c r="Q12" i="183"/>
  <c r="Q18" i="183"/>
  <c r="Q24" i="183"/>
  <c r="Q30" i="183"/>
  <c r="Q19" i="183"/>
  <c r="Q25" i="183"/>
  <c r="Q31" i="183"/>
  <c r="Q20" i="183"/>
  <c r="Q26" i="183"/>
  <c r="Q21" i="183"/>
  <c r="Q27" i="183"/>
  <c r="Q22" i="183"/>
  <c r="Q28" i="183"/>
  <c r="Q23" i="183"/>
  <c r="Q29" i="183"/>
  <c r="R1" i="183"/>
  <c r="R87" i="183" s="1"/>
  <c r="T32" i="180"/>
  <c r="T31" i="180"/>
  <c r="T30" i="180"/>
  <c r="R3" i="183" l="1"/>
  <c r="R122" i="183"/>
  <c r="R123" i="183"/>
  <c r="R85" i="183"/>
  <c r="R35" i="183"/>
  <c r="R41" i="183"/>
  <c r="R47" i="183"/>
  <c r="R36" i="183"/>
  <c r="R42" i="183"/>
  <c r="R37" i="183"/>
  <c r="R43" i="183"/>
  <c r="R32" i="183"/>
  <c r="R38" i="183"/>
  <c r="R44" i="183"/>
  <c r="R33" i="183"/>
  <c r="R39" i="183"/>
  <c r="R45" i="183"/>
  <c r="R34" i="183"/>
  <c r="R40" i="183"/>
  <c r="R46" i="183"/>
  <c r="R51" i="183"/>
  <c r="R57" i="183"/>
  <c r="R63" i="183"/>
  <c r="R52" i="183"/>
  <c r="R58" i="183"/>
  <c r="R64" i="183"/>
  <c r="R53" i="183"/>
  <c r="R59" i="183"/>
  <c r="R48" i="183"/>
  <c r="R54" i="183"/>
  <c r="R60" i="183"/>
  <c r="R49" i="183"/>
  <c r="R55" i="183"/>
  <c r="R61" i="183"/>
  <c r="R50" i="183"/>
  <c r="R56" i="183"/>
  <c r="R62" i="183"/>
  <c r="R70" i="183"/>
  <c r="R76" i="183"/>
  <c r="R65" i="183"/>
  <c r="R71" i="183"/>
  <c r="R77" i="183"/>
  <c r="R66" i="183"/>
  <c r="R72" i="183"/>
  <c r="R78" i="183"/>
  <c r="R67" i="183"/>
  <c r="R73" i="183"/>
  <c r="R79" i="183"/>
  <c r="R68" i="183"/>
  <c r="R74" i="183"/>
  <c r="R69" i="183"/>
  <c r="R75" i="183"/>
  <c r="R88" i="183"/>
  <c r="R94" i="183"/>
  <c r="R80" i="183"/>
  <c r="R81" i="183"/>
  <c r="R89" i="183"/>
  <c r="R95" i="183"/>
  <c r="R82" i="183"/>
  <c r="R90" i="183"/>
  <c r="R96" i="183"/>
  <c r="R83" i="183"/>
  <c r="R91" i="183"/>
  <c r="R97" i="183"/>
  <c r="R84" i="183"/>
  <c r="R92" i="183"/>
  <c r="R86" i="183"/>
  <c r="R93" i="183"/>
  <c r="R98" i="183"/>
  <c r="R104" i="183"/>
  <c r="R110" i="183"/>
  <c r="R99" i="183"/>
  <c r="R105" i="183"/>
  <c r="R111" i="183"/>
  <c r="R100" i="183"/>
  <c r="R106" i="183"/>
  <c r="R112" i="183"/>
  <c r="R101" i="183"/>
  <c r="R107" i="183"/>
  <c r="R113" i="183"/>
  <c r="R102" i="183"/>
  <c r="R108" i="183"/>
  <c r="R103" i="183"/>
  <c r="R109" i="183"/>
  <c r="R119" i="183"/>
  <c r="R127" i="183"/>
  <c r="R133" i="183"/>
  <c r="R139" i="183"/>
  <c r="R145" i="183"/>
  <c r="R120" i="183"/>
  <c r="R128" i="183"/>
  <c r="R134" i="183"/>
  <c r="R140" i="183"/>
  <c r="R146" i="183"/>
  <c r="R114" i="183"/>
  <c r="R115" i="183"/>
  <c r="R121" i="183"/>
  <c r="R129" i="183"/>
  <c r="R135" i="183"/>
  <c r="R141" i="183"/>
  <c r="R147" i="183"/>
  <c r="R116" i="183"/>
  <c r="R124" i="183"/>
  <c r="R130" i="183"/>
  <c r="R136" i="183"/>
  <c r="R142" i="183"/>
  <c r="R148" i="183"/>
  <c r="R117" i="183"/>
  <c r="R125" i="183"/>
  <c r="R131" i="183"/>
  <c r="R137" i="183"/>
  <c r="R143" i="183"/>
  <c r="R118" i="183"/>
  <c r="R126" i="183"/>
  <c r="R132" i="183"/>
  <c r="R138" i="183"/>
  <c r="R144" i="183"/>
  <c r="R151" i="183"/>
  <c r="R157" i="183"/>
  <c r="R163" i="183"/>
  <c r="R6" i="183"/>
  <c r="R12" i="183"/>
  <c r="R18" i="183"/>
  <c r="R152" i="183"/>
  <c r="R158" i="183"/>
  <c r="R164" i="183"/>
  <c r="R7" i="183"/>
  <c r="R13" i="183"/>
  <c r="R153" i="183"/>
  <c r="R159" i="183"/>
  <c r="R165" i="183"/>
  <c r="R8" i="183"/>
  <c r="R14" i="183"/>
  <c r="R154" i="183"/>
  <c r="R160" i="183"/>
  <c r="R166" i="183"/>
  <c r="R9" i="183"/>
  <c r="R15" i="183"/>
  <c r="R149" i="183"/>
  <c r="R155" i="183"/>
  <c r="R161" i="183"/>
  <c r="R4" i="183"/>
  <c r="R10" i="183"/>
  <c r="R16" i="183"/>
  <c r="R150" i="183"/>
  <c r="R156" i="183"/>
  <c r="R162" i="183"/>
  <c r="R5" i="183"/>
  <c r="R11" i="183"/>
  <c r="R17" i="183"/>
  <c r="R23" i="183"/>
  <c r="R29" i="183"/>
  <c r="R24" i="183"/>
  <c r="R30" i="183"/>
  <c r="R19" i="183"/>
  <c r="R25" i="183"/>
  <c r="R31" i="183"/>
  <c r="R20" i="183"/>
  <c r="R26" i="183"/>
  <c r="R21" i="183"/>
  <c r="R27" i="183"/>
  <c r="R22" i="183"/>
  <c r="R28" i="183"/>
  <c r="S1" i="183"/>
  <c r="S87" i="183" s="1"/>
  <c r="T40" i="180"/>
  <c r="S3" i="183" l="1"/>
  <c r="S122" i="183"/>
  <c r="S123" i="183"/>
  <c r="S85" i="183"/>
  <c r="S34" i="183"/>
  <c r="S40" i="183"/>
  <c r="S46" i="183"/>
  <c r="S35" i="183"/>
  <c r="S41" i="183"/>
  <c r="S47" i="183"/>
  <c r="S36" i="183"/>
  <c r="S42" i="183"/>
  <c r="S37" i="183"/>
  <c r="S43" i="183"/>
  <c r="S32" i="183"/>
  <c r="S38" i="183"/>
  <c r="S44" i="183"/>
  <c r="S33" i="183"/>
  <c r="S39" i="183"/>
  <c r="S45" i="183"/>
  <c r="S50" i="183"/>
  <c r="S56" i="183"/>
  <c r="S62" i="183"/>
  <c r="S51" i="183"/>
  <c r="S57" i="183"/>
  <c r="S63" i="183"/>
  <c r="S52" i="183"/>
  <c r="S58" i="183"/>
  <c r="S64" i="183"/>
  <c r="S53" i="183"/>
  <c r="S59" i="183"/>
  <c r="S48" i="183"/>
  <c r="S54" i="183"/>
  <c r="S60" i="183"/>
  <c r="S49" i="183"/>
  <c r="S55" i="183"/>
  <c r="S61" i="183"/>
  <c r="S69" i="183"/>
  <c r="S75" i="183"/>
  <c r="S70" i="183"/>
  <c r="S76" i="183"/>
  <c r="S65" i="183"/>
  <c r="S71" i="183"/>
  <c r="S77" i="183"/>
  <c r="S66" i="183"/>
  <c r="S72" i="183"/>
  <c r="S78" i="183"/>
  <c r="S67" i="183"/>
  <c r="S73" i="183"/>
  <c r="S79" i="183"/>
  <c r="S68" i="183"/>
  <c r="S74" i="183"/>
  <c r="S86" i="183"/>
  <c r="S93" i="183"/>
  <c r="S88" i="183"/>
  <c r="S94" i="183"/>
  <c r="S80" i="183"/>
  <c r="S81" i="183"/>
  <c r="S89" i="183"/>
  <c r="S95" i="183"/>
  <c r="S82" i="183"/>
  <c r="S90" i="183"/>
  <c r="S96" i="183"/>
  <c r="S83" i="183"/>
  <c r="S91" i="183"/>
  <c r="S84" i="183"/>
  <c r="S92" i="183"/>
  <c r="S103" i="183"/>
  <c r="S109" i="183"/>
  <c r="S98" i="183"/>
  <c r="S104" i="183"/>
  <c r="S110" i="183"/>
  <c r="S97" i="183"/>
  <c r="S99" i="183"/>
  <c r="S105" i="183"/>
  <c r="S111" i="183"/>
  <c r="S100" i="183"/>
  <c r="S106" i="183"/>
  <c r="S112" i="183"/>
  <c r="S101" i="183"/>
  <c r="S107" i="183"/>
  <c r="S113" i="183"/>
  <c r="S102" i="183"/>
  <c r="S108" i="183"/>
  <c r="S118" i="183"/>
  <c r="S126" i="183"/>
  <c r="S132" i="183"/>
  <c r="S138" i="183"/>
  <c r="S144" i="183"/>
  <c r="S119" i="183"/>
  <c r="S127" i="183"/>
  <c r="S133" i="183"/>
  <c r="S139" i="183"/>
  <c r="S145" i="183"/>
  <c r="S120" i="183"/>
  <c r="S128" i="183"/>
  <c r="S134" i="183"/>
  <c r="S140" i="183"/>
  <c r="S146" i="183"/>
  <c r="S114" i="183"/>
  <c r="S115" i="183"/>
  <c r="S121" i="183"/>
  <c r="S129" i="183"/>
  <c r="S135" i="183"/>
  <c r="S141" i="183"/>
  <c r="S147" i="183"/>
  <c r="S116" i="183"/>
  <c r="S124" i="183"/>
  <c r="S130" i="183"/>
  <c r="S136" i="183"/>
  <c r="S142" i="183"/>
  <c r="S148" i="183"/>
  <c r="S117" i="183"/>
  <c r="S125" i="183"/>
  <c r="S131" i="183"/>
  <c r="S137" i="183"/>
  <c r="S143" i="183"/>
  <c r="S150" i="183"/>
  <c r="S156" i="183"/>
  <c r="S162" i="183"/>
  <c r="S5" i="183"/>
  <c r="S11" i="183"/>
  <c r="S17" i="183"/>
  <c r="S151" i="183"/>
  <c r="S157" i="183"/>
  <c r="S163" i="183"/>
  <c r="S6" i="183"/>
  <c r="S12" i="183"/>
  <c r="S18" i="183"/>
  <c r="S152" i="183"/>
  <c r="S158" i="183"/>
  <c r="S164" i="183"/>
  <c r="S7" i="183"/>
  <c r="S13" i="183"/>
  <c r="S153" i="183"/>
  <c r="S159" i="183"/>
  <c r="S165" i="183"/>
  <c r="S8" i="183"/>
  <c r="S14" i="183"/>
  <c r="S154" i="183"/>
  <c r="S160" i="183"/>
  <c r="S166" i="183"/>
  <c r="S9" i="183"/>
  <c r="S15" i="183"/>
  <c r="S149" i="183"/>
  <c r="S155" i="183"/>
  <c r="S161" i="183"/>
  <c r="S4" i="183"/>
  <c r="S10" i="183"/>
  <c r="S16" i="183"/>
  <c r="S22" i="183"/>
  <c r="S28" i="183"/>
  <c r="S23" i="183"/>
  <c r="S29" i="183"/>
  <c r="S24" i="183"/>
  <c r="S30" i="183"/>
  <c r="S19" i="183"/>
  <c r="S25" i="183"/>
  <c r="S31" i="183"/>
  <c r="S20" i="183"/>
  <c r="S26" i="183"/>
  <c r="S21" i="183"/>
  <c r="S27" i="183"/>
  <c r="T1" i="183"/>
  <c r="T87" i="183" s="1"/>
  <c r="T23" i="180"/>
  <c r="T3" i="183" l="1"/>
  <c r="T122" i="183"/>
  <c r="T123" i="183"/>
  <c r="T85" i="183"/>
  <c r="T33" i="183"/>
  <c r="T39" i="183"/>
  <c r="T45" i="183"/>
  <c r="T34" i="183"/>
  <c r="T40" i="183"/>
  <c r="T46" i="183"/>
  <c r="T35" i="183"/>
  <c r="T41" i="183"/>
  <c r="T47" i="183"/>
  <c r="T36" i="183"/>
  <c r="T42" i="183"/>
  <c r="T37" i="183"/>
  <c r="T43" i="183"/>
  <c r="T32" i="183"/>
  <c r="T38" i="183"/>
  <c r="T44" i="183"/>
  <c r="T49" i="183"/>
  <c r="T55" i="183"/>
  <c r="T61" i="183"/>
  <c r="T50" i="183"/>
  <c r="T56" i="183"/>
  <c r="T62" i="183"/>
  <c r="T51" i="183"/>
  <c r="T57" i="183"/>
  <c r="T63" i="183"/>
  <c r="T52" i="183"/>
  <c r="T58" i="183"/>
  <c r="T64" i="183"/>
  <c r="T53" i="183"/>
  <c r="T59" i="183"/>
  <c r="T48" i="183"/>
  <c r="T54" i="183"/>
  <c r="T60" i="183"/>
  <c r="T68" i="183"/>
  <c r="T74" i="183"/>
  <c r="T80" i="183"/>
  <c r="T69" i="183"/>
  <c r="T75" i="183"/>
  <c r="T70" i="183"/>
  <c r="T76" i="183"/>
  <c r="T65" i="183"/>
  <c r="T71" i="183"/>
  <c r="T77" i="183"/>
  <c r="T66" i="183"/>
  <c r="T72" i="183"/>
  <c r="T78" i="183"/>
  <c r="T67" i="183"/>
  <c r="T73" i="183"/>
  <c r="T79" i="183"/>
  <c r="T84" i="183"/>
  <c r="T92" i="183"/>
  <c r="T98" i="183"/>
  <c r="T86" i="183"/>
  <c r="T93" i="183"/>
  <c r="T88" i="183"/>
  <c r="T94" i="183"/>
  <c r="T81" i="183"/>
  <c r="T89" i="183"/>
  <c r="T95" i="183"/>
  <c r="T82" i="183"/>
  <c r="T90" i="183"/>
  <c r="T83" i="183"/>
  <c r="T91" i="183"/>
  <c r="T102" i="183"/>
  <c r="T108" i="183"/>
  <c r="T103" i="183"/>
  <c r="T109" i="183"/>
  <c r="T104" i="183"/>
  <c r="T110" i="183"/>
  <c r="T97" i="183"/>
  <c r="T99" i="183"/>
  <c r="T105" i="183"/>
  <c r="T111" i="183"/>
  <c r="T96" i="183"/>
  <c r="T100" i="183"/>
  <c r="T106" i="183"/>
  <c r="T112" i="183"/>
  <c r="T101" i="183"/>
  <c r="T107" i="183"/>
  <c r="T113" i="183"/>
  <c r="T117" i="183"/>
  <c r="T125" i="183"/>
  <c r="T131" i="183"/>
  <c r="T137" i="183"/>
  <c r="T143" i="183"/>
  <c r="T118" i="183"/>
  <c r="T126" i="183"/>
  <c r="T132" i="183"/>
  <c r="T138" i="183"/>
  <c r="T144" i="183"/>
  <c r="T119" i="183"/>
  <c r="T127" i="183"/>
  <c r="T133" i="183"/>
  <c r="T139" i="183"/>
  <c r="T145" i="183"/>
  <c r="T120" i="183"/>
  <c r="T128" i="183"/>
  <c r="T134" i="183"/>
  <c r="T140" i="183"/>
  <c r="T146" i="183"/>
  <c r="T114" i="183"/>
  <c r="T115" i="183"/>
  <c r="T121" i="183"/>
  <c r="T129" i="183"/>
  <c r="T135" i="183"/>
  <c r="T141" i="183"/>
  <c r="T147" i="183"/>
  <c r="T116" i="183"/>
  <c r="T124" i="183"/>
  <c r="T130" i="183"/>
  <c r="T136" i="183"/>
  <c r="T142" i="183"/>
  <c r="T148" i="183"/>
  <c r="T149" i="183"/>
  <c r="T155" i="183"/>
  <c r="T161" i="183"/>
  <c r="T4" i="183"/>
  <c r="T10" i="183"/>
  <c r="T16" i="183"/>
  <c r="T150" i="183"/>
  <c r="T156" i="183"/>
  <c r="T162" i="183"/>
  <c r="T5" i="183"/>
  <c r="T11" i="183"/>
  <c r="T17" i="183"/>
  <c r="T151" i="183"/>
  <c r="T157" i="183"/>
  <c r="T163" i="183"/>
  <c r="T6" i="183"/>
  <c r="T12" i="183"/>
  <c r="T18" i="183"/>
  <c r="T152" i="183"/>
  <c r="T158" i="183"/>
  <c r="T164" i="183"/>
  <c r="T7" i="183"/>
  <c r="T13" i="183"/>
  <c r="T153" i="183"/>
  <c r="T159" i="183"/>
  <c r="T165" i="183"/>
  <c r="T8" i="183"/>
  <c r="T14" i="183"/>
  <c r="T154" i="183"/>
  <c r="T160" i="183"/>
  <c r="T166" i="183"/>
  <c r="T9" i="183"/>
  <c r="T15" i="183"/>
  <c r="T21" i="183"/>
  <c r="T27" i="183"/>
  <c r="T22" i="183"/>
  <c r="T28" i="183"/>
  <c r="T23" i="183"/>
  <c r="T29" i="183"/>
  <c r="T24" i="183"/>
  <c r="T30" i="183"/>
  <c r="T19" i="183"/>
  <c r="T25" i="183"/>
  <c r="T31" i="183"/>
  <c r="T20" i="183"/>
  <c r="T26" i="183"/>
  <c r="U1" i="183"/>
  <c r="U87" i="183" s="1"/>
  <c r="T26" i="180"/>
  <c r="T27" i="180"/>
  <c r="T24" i="180"/>
  <c r="T28" i="180"/>
  <c r="T25" i="180"/>
  <c r="T29" i="180"/>
  <c r="U3" i="183" l="1"/>
  <c r="U123" i="183"/>
  <c r="U85" i="183"/>
  <c r="U122" i="183"/>
  <c r="U32" i="183"/>
  <c r="U38" i="183"/>
  <c r="U44" i="183"/>
  <c r="U33" i="183"/>
  <c r="U39" i="183"/>
  <c r="U45" i="183"/>
  <c r="U34" i="183"/>
  <c r="U40" i="183"/>
  <c r="U46" i="183"/>
  <c r="U35" i="183"/>
  <c r="U41" i="183"/>
  <c r="U47" i="183"/>
  <c r="U36" i="183"/>
  <c r="U42" i="183"/>
  <c r="U37" i="183"/>
  <c r="U43" i="183"/>
  <c r="U48" i="183"/>
  <c r="U54" i="183"/>
  <c r="U60" i="183"/>
  <c r="U49" i="183"/>
  <c r="U55" i="183"/>
  <c r="U61" i="183"/>
  <c r="U50" i="183"/>
  <c r="U56" i="183"/>
  <c r="U62" i="183"/>
  <c r="U51" i="183"/>
  <c r="U57" i="183"/>
  <c r="U63" i="183"/>
  <c r="U52" i="183"/>
  <c r="U58" i="183"/>
  <c r="U53" i="183"/>
  <c r="U59" i="183"/>
  <c r="U64" i="183"/>
  <c r="U67" i="183"/>
  <c r="U73" i="183"/>
  <c r="U79" i="183"/>
  <c r="U68" i="183"/>
  <c r="U74" i="183"/>
  <c r="U69" i="183"/>
  <c r="U75" i="183"/>
  <c r="U70" i="183"/>
  <c r="U76" i="183"/>
  <c r="U65" i="183"/>
  <c r="U71" i="183"/>
  <c r="U77" i="183"/>
  <c r="U66" i="183"/>
  <c r="U72" i="183"/>
  <c r="U78" i="183"/>
  <c r="U83" i="183"/>
  <c r="U91" i="183"/>
  <c r="U97" i="183"/>
  <c r="U84" i="183"/>
  <c r="U92" i="183"/>
  <c r="U98" i="183"/>
  <c r="U86" i="183"/>
  <c r="U93" i="183"/>
  <c r="U80" i="183"/>
  <c r="U88" i="183"/>
  <c r="U94" i="183"/>
  <c r="U81" i="183"/>
  <c r="U89" i="183"/>
  <c r="U82" i="183"/>
  <c r="U90" i="183"/>
  <c r="U101" i="183"/>
  <c r="U107" i="183"/>
  <c r="U113" i="183"/>
  <c r="U95" i="183"/>
  <c r="U102" i="183"/>
  <c r="U108" i="183"/>
  <c r="U114" i="183"/>
  <c r="U103" i="183"/>
  <c r="U109" i="183"/>
  <c r="U104" i="183"/>
  <c r="U110" i="183"/>
  <c r="U99" i="183"/>
  <c r="U105" i="183"/>
  <c r="U111" i="183"/>
  <c r="U96" i="183"/>
  <c r="U100" i="183"/>
  <c r="U106" i="183"/>
  <c r="U112" i="183"/>
  <c r="U116" i="183"/>
  <c r="U124" i="183"/>
  <c r="U130" i="183"/>
  <c r="U136" i="183"/>
  <c r="U142" i="183"/>
  <c r="U148" i="183"/>
  <c r="U117" i="183"/>
  <c r="U125" i="183"/>
  <c r="U131" i="183"/>
  <c r="U137" i="183"/>
  <c r="U143" i="183"/>
  <c r="U118" i="183"/>
  <c r="U126" i="183"/>
  <c r="U132" i="183"/>
  <c r="U138" i="183"/>
  <c r="U144" i="183"/>
  <c r="U119" i="183"/>
  <c r="U127" i="183"/>
  <c r="U133" i="183"/>
  <c r="U139" i="183"/>
  <c r="U145" i="183"/>
  <c r="U120" i="183"/>
  <c r="U128" i="183"/>
  <c r="U134" i="183"/>
  <c r="U140" i="183"/>
  <c r="U146" i="183"/>
  <c r="U115" i="183"/>
  <c r="U121" i="183"/>
  <c r="U129" i="183"/>
  <c r="U135" i="183"/>
  <c r="U141" i="183"/>
  <c r="U147" i="183"/>
  <c r="U154" i="183"/>
  <c r="U160" i="183"/>
  <c r="U166" i="183"/>
  <c r="U9" i="183"/>
  <c r="U15" i="183"/>
  <c r="U149" i="183"/>
  <c r="U155" i="183"/>
  <c r="U161" i="183"/>
  <c r="U4" i="183"/>
  <c r="U10" i="183"/>
  <c r="U16" i="183"/>
  <c r="U150" i="183"/>
  <c r="U156" i="183"/>
  <c r="U162" i="183"/>
  <c r="U5" i="183"/>
  <c r="U11" i="183"/>
  <c r="U17" i="183"/>
  <c r="U151" i="183"/>
  <c r="U157" i="183"/>
  <c r="U163" i="183"/>
  <c r="U6" i="183"/>
  <c r="U12" i="183"/>
  <c r="U18" i="183"/>
  <c r="U152" i="183"/>
  <c r="U158" i="183"/>
  <c r="U164" i="183"/>
  <c r="U7" i="183"/>
  <c r="U13" i="183"/>
  <c r="U153" i="183"/>
  <c r="U159" i="183"/>
  <c r="U165" i="183"/>
  <c r="U8" i="183"/>
  <c r="U14" i="183"/>
  <c r="U20" i="183"/>
  <c r="U26" i="183"/>
  <c r="U21" i="183"/>
  <c r="U27" i="183"/>
  <c r="U22" i="183"/>
  <c r="U28" i="183"/>
  <c r="U23" i="183"/>
  <c r="U29" i="183"/>
  <c r="U24" i="183"/>
  <c r="U30" i="183"/>
  <c r="U19" i="183"/>
  <c r="U25" i="183"/>
  <c r="U31" i="183"/>
  <c r="V1" i="183"/>
  <c r="V87" i="183" s="1"/>
  <c r="T42" i="180"/>
  <c r="V3" i="183" l="1"/>
  <c r="V122" i="183"/>
  <c r="V123" i="183"/>
  <c r="V85" i="183"/>
  <c r="V37" i="183"/>
  <c r="V43" i="183"/>
  <c r="V32" i="183"/>
  <c r="V38" i="183"/>
  <c r="V44" i="183"/>
  <c r="V33" i="183"/>
  <c r="V39" i="183"/>
  <c r="V45" i="183"/>
  <c r="V34" i="183"/>
  <c r="V40" i="183"/>
  <c r="V46" i="183"/>
  <c r="V35" i="183"/>
  <c r="V41" i="183"/>
  <c r="V47" i="183"/>
  <c r="V36" i="183"/>
  <c r="V42" i="183"/>
  <c r="V53" i="183"/>
  <c r="V59" i="183"/>
  <c r="V48" i="183"/>
  <c r="V54" i="183"/>
  <c r="V60" i="183"/>
  <c r="V49" i="183"/>
  <c r="V55" i="183"/>
  <c r="V61" i="183"/>
  <c r="V50" i="183"/>
  <c r="V56" i="183"/>
  <c r="V62" i="183"/>
  <c r="V51" i="183"/>
  <c r="V57" i="183"/>
  <c r="V52" i="183"/>
  <c r="V58" i="183"/>
  <c r="V66" i="183"/>
  <c r="V72" i="183"/>
  <c r="V78" i="183"/>
  <c r="V64" i="183"/>
  <c r="V67" i="183"/>
  <c r="V73" i="183"/>
  <c r="V79" i="183"/>
  <c r="V63" i="183"/>
  <c r="V68" i="183"/>
  <c r="V74" i="183"/>
  <c r="V69" i="183"/>
  <c r="V75" i="183"/>
  <c r="V70" i="183"/>
  <c r="V76" i="183"/>
  <c r="V65" i="183"/>
  <c r="V71" i="183"/>
  <c r="V77" i="183"/>
  <c r="V82" i="183"/>
  <c r="V90" i="183"/>
  <c r="V96" i="183"/>
  <c r="V83" i="183"/>
  <c r="V91" i="183"/>
  <c r="V97" i="183"/>
  <c r="V84" i="183"/>
  <c r="V92" i="183"/>
  <c r="V98" i="183"/>
  <c r="V86" i="183"/>
  <c r="V93" i="183"/>
  <c r="V80" i="183"/>
  <c r="V88" i="183"/>
  <c r="V94" i="183"/>
  <c r="V81" i="183"/>
  <c r="V89" i="183"/>
  <c r="V95" i="183"/>
  <c r="V100" i="183"/>
  <c r="V106" i="183"/>
  <c r="V112" i="183"/>
  <c r="V101" i="183"/>
  <c r="V107" i="183"/>
  <c r="V113" i="183"/>
  <c r="V102" i="183"/>
  <c r="V108" i="183"/>
  <c r="V103" i="183"/>
  <c r="V109" i="183"/>
  <c r="V104" i="183"/>
  <c r="V110" i="183"/>
  <c r="V99" i="183"/>
  <c r="V105" i="183"/>
  <c r="V111" i="183"/>
  <c r="V115" i="183"/>
  <c r="V121" i="183"/>
  <c r="V129" i="183"/>
  <c r="V135" i="183"/>
  <c r="V141" i="183"/>
  <c r="V147" i="183"/>
  <c r="V116" i="183"/>
  <c r="V124" i="183"/>
  <c r="V130" i="183"/>
  <c r="V136" i="183"/>
  <c r="V142" i="183"/>
  <c r="V148" i="183"/>
  <c r="V117" i="183"/>
  <c r="V125" i="183"/>
  <c r="V131" i="183"/>
  <c r="V137" i="183"/>
  <c r="V143" i="183"/>
  <c r="V118" i="183"/>
  <c r="V126" i="183"/>
  <c r="V132" i="183"/>
  <c r="V138" i="183"/>
  <c r="V144" i="183"/>
  <c r="V119" i="183"/>
  <c r="V127" i="183"/>
  <c r="V133" i="183"/>
  <c r="V139" i="183"/>
  <c r="V145" i="183"/>
  <c r="V114" i="183"/>
  <c r="V120" i="183"/>
  <c r="V128" i="183"/>
  <c r="V134" i="183"/>
  <c r="V140" i="183"/>
  <c r="V146" i="183"/>
  <c r="V153" i="183"/>
  <c r="V159" i="183"/>
  <c r="V165" i="183"/>
  <c r="V8" i="183"/>
  <c r="V14" i="183"/>
  <c r="V154" i="183"/>
  <c r="V160" i="183"/>
  <c r="V166" i="183"/>
  <c r="V9" i="183"/>
  <c r="V15" i="183"/>
  <c r="V149" i="183"/>
  <c r="V155" i="183"/>
  <c r="V161" i="183"/>
  <c r="V4" i="183"/>
  <c r="V10" i="183"/>
  <c r="V16" i="183"/>
  <c r="V150" i="183"/>
  <c r="V156" i="183"/>
  <c r="V162" i="183"/>
  <c r="V5" i="183"/>
  <c r="V11" i="183"/>
  <c r="V17" i="183"/>
  <c r="V151" i="183"/>
  <c r="V157" i="183"/>
  <c r="V163" i="183"/>
  <c r="V6" i="183"/>
  <c r="V12" i="183"/>
  <c r="V18" i="183"/>
  <c r="V152" i="183"/>
  <c r="V158" i="183"/>
  <c r="V164" i="183"/>
  <c r="V7" i="183"/>
  <c r="V13" i="183"/>
  <c r="V19" i="183"/>
  <c r="V25" i="183"/>
  <c r="V31" i="183"/>
  <c r="V20" i="183"/>
  <c r="V26" i="183"/>
  <c r="V21" i="183"/>
  <c r="V27" i="183"/>
  <c r="V22" i="183"/>
  <c r="V28" i="183"/>
  <c r="V23" i="183"/>
  <c r="V29" i="183"/>
  <c r="V24" i="183"/>
  <c r="V30" i="183"/>
  <c r="W1" i="183"/>
  <c r="W87" i="183" s="1"/>
  <c r="T16" i="180"/>
  <c r="W3" i="183" l="1"/>
  <c r="W122" i="183"/>
  <c r="W123" i="183"/>
  <c r="W85" i="183"/>
  <c r="W36" i="183"/>
  <c r="W42" i="183"/>
  <c r="W37" i="183"/>
  <c r="W43" i="183"/>
  <c r="W32" i="183"/>
  <c r="W38" i="183"/>
  <c r="W44" i="183"/>
  <c r="W33" i="183"/>
  <c r="W39" i="183"/>
  <c r="W45" i="183"/>
  <c r="W34" i="183"/>
  <c r="W40" i="183"/>
  <c r="W46" i="183"/>
  <c r="W35" i="183"/>
  <c r="W41" i="183"/>
  <c r="W47" i="183"/>
  <c r="W52" i="183"/>
  <c r="W58" i="183"/>
  <c r="W64" i="183"/>
  <c r="W53" i="183"/>
  <c r="W59" i="183"/>
  <c r="W48" i="183"/>
  <c r="W54" i="183"/>
  <c r="W60" i="183"/>
  <c r="W49" i="183"/>
  <c r="W55" i="183"/>
  <c r="W61" i="183"/>
  <c r="W50" i="183"/>
  <c r="W56" i="183"/>
  <c r="W51" i="183"/>
  <c r="W57" i="183"/>
  <c r="W62" i="183"/>
  <c r="W65" i="183"/>
  <c r="W71" i="183"/>
  <c r="W77" i="183"/>
  <c r="W66" i="183"/>
  <c r="W72" i="183"/>
  <c r="W78" i="183"/>
  <c r="W67" i="183"/>
  <c r="W73" i="183"/>
  <c r="W79" i="183"/>
  <c r="W63" i="183"/>
  <c r="W68" i="183"/>
  <c r="W74" i="183"/>
  <c r="W69" i="183"/>
  <c r="W75" i="183"/>
  <c r="W70" i="183"/>
  <c r="W76" i="183"/>
  <c r="W81" i="183"/>
  <c r="W89" i="183"/>
  <c r="W95" i="183"/>
  <c r="W82" i="183"/>
  <c r="W90" i="183"/>
  <c r="W96" i="183"/>
  <c r="W83" i="183"/>
  <c r="W91" i="183"/>
  <c r="W97" i="183"/>
  <c r="W84" i="183"/>
  <c r="W92" i="183"/>
  <c r="W98" i="183"/>
  <c r="W86" i="183"/>
  <c r="W93" i="183"/>
  <c r="W80" i="183"/>
  <c r="W88" i="183"/>
  <c r="W94" i="183"/>
  <c r="W99" i="183"/>
  <c r="W105" i="183"/>
  <c r="W111" i="183"/>
  <c r="W100" i="183"/>
  <c r="W106" i="183"/>
  <c r="W112" i="183"/>
  <c r="W101" i="183"/>
  <c r="W107" i="183"/>
  <c r="W113" i="183"/>
  <c r="W102" i="183"/>
  <c r="W108" i="183"/>
  <c r="W103" i="183"/>
  <c r="W109" i="183"/>
  <c r="W104" i="183"/>
  <c r="W110" i="183"/>
  <c r="W114" i="183"/>
  <c r="W120" i="183"/>
  <c r="W128" i="183"/>
  <c r="W134" i="183"/>
  <c r="W140" i="183"/>
  <c r="W146" i="183"/>
  <c r="W115" i="183"/>
  <c r="W121" i="183"/>
  <c r="W129" i="183"/>
  <c r="W135" i="183"/>
  <c r="W141" i="183"/>
  <c r="W147" i="183"/>
  <c r="W116" i="183"/>
  <c r="W124" i="183"/>
  <c r="W130" i="183"/>
  <c r="W136" i="183"/>
  <c r="W142" i="183"/>
  <c r="W148" i="183"/>
  <c r="W117" i="183"/>
  <c r="W125" i="183"/>
  <c r="W131" i="183"/>
  <c r="W137" i="183"/>
  <c r="W143" i="183"/>
  <c r="W118" i="183"/>
  <c r="W126" i="183"/>
  <c r="W132" i="183"/>
  <c r="W138" i="183"/>
  <c r="W144" i="183"/>
  <c r="W119" i="183"/>
  <c r="W127" i="183"/>
  <c r="W133" i="183"/>
  <c r="W139" i="183"/>
  <c r="W145" i="183"/>
  <c r="W152" i="183"/>
  <c r="W158" i="183"/>
  <c r="W164" i="183"/>
  <c r="W7" i="183"/>
  <c r="W13" i="183"/>
  <c r="W153" i="183"/>
  <c r="W159" i="183"/>
  <c r="W165" i="183"/>
  <c r="W8" i="183"/>
  <c r="W14" i="183"/>
  <c r="W154" i="183"/>
  <c r="W160" i="183"/>
  <c r="W166" i="183"/>
  <c r="W9" i="183"/>
  <c r="W15" i="183"/>
  <c r="W149" i="183"/>
  <c r="W155" i="183"/>
  <c r="W161" i="183"/>
  <c r="W4" i="183"/>
  <c r="W10" i="183"/>
  <c r="W16" i="183"/>
  <c r="W150" i="183"/>
  <c r="W156" i="183"/>
  <c r="W162" i="183"/>
  <c r="W5" i="183"/>
  <c r="W11" i="183"/>
  <c r="W17" i="183"/>
  <c r="W151" i="183"/>
  <c r="W157" i="183"/>
  <c r="W163" i="183"/>
  <c r="W6" i="183"/>
  <c r="W12" i="183"/>
  <c r="W18" i="183"/>
  <c r="W24" i="183"/>
  <c r="W30" i="183"/>
  <c r="W19" i="183"/>
  <c r="W25" i="183"/>
  <c r="W31" i="183"/>
  <c r="W20" i="183"/>
  <c r="W26" i="183"/>
  <c r="W21" i="183"/>
  <c r="W27" i="183"/>
  <c r="W22" i="183"/>
  <c r="W28" i="183"/>
  <c r="W23" i="183"/>
  <c r="W29" i="183"/>
  <c r="X1" i="183"/>
  <c r="X87" i="183" s="1"/>
  <c r="T19" i="180"/>
  <c r="T20" i="180"/>
  <c r="T21" i="180"/>
  <c r="T15" i="180"/>
  <c r="T17" i="180"/>
  <c r="T18" i="180"/>
  <c r="X3" i="183" l="1"/>
  <c r="X122" i="183"/>
  <c r="X123" i="183"/>
  <c r="X85" i="183"/>
  <c r="X35" i="183"/>
  <c r="X41" i="183"/>
  <c r="X47" i="183"/>
  <c r="X36" i="183"/>
  <c r="X42" i="183"/>
  <c r="X37" i="183"/>
  <c r="X43" i="183"/>
  <c r="X32" i="183"/>
  <c r="X38" i="183"/>
  <c r="X44" i="183"/>
  <c r="X33" i="183"/>
  <c r="X39" i="183"/>
  <c r="X45" i="183"/>
  <c r="X34" i="183"/>
  <c r="X40" i="183"/>
  <c r="X46" i="183"/>
  <c r="X51" i="183"/>
  <c r="X57" i="183"/>
  <c r="X63" i="183"/>
  <c r="X52" i="183"/>
  <c r="X58" i="183"/>
  <c r="X64" i="183"/>
  <c r="X53" i="183"/>
  <c r="X59" i="183"/>
  <c r="X48" i="183"/>
  <c r="X54" i="183"/>
  <c r="X60" i="183"/>
  <c r="X49" i="183"/>
  <c r="X55" i="183"/>
  <c r="X61" i="183"/>
  <c r="X50" i="183"/>
  <c r="X56" i="183"/>
  <c r="X62" i="183"/>
  <c r="X70" i="183"/>
  <c r="X76" i="183"/>
  <c r="X65" i="183"/>
  <c r="X71" i="183"/>
  <c r="X77" i="183"/>
  <c r="X66" i="183"/>
  <c r="X72" i="183"/>
  <c r="X78" i="183"/>
  <c r="X67" i="183"/>
  <c r="X73" i="183"/>
  <c r="X79" i="183"/>
  <c r="X68" i="183"/>
  <c r="X74" i="183"/>
  <c r="X69" i="183"/>
  <c r="X75" i="183"/>
  <c r="X80" i="183"/>
  <c r="X88" i="183"/>
  <c r="X94" i="183"/>
  <c r="X81" i="183"/>
  <c r="X89" i="183"/>
  <c r="X95" i="183"/>
  <c r="X82" i="183"/>
  <c r="X90" i="183"/>
  <c r="X96" i="183"/>
  <c r="X83" i="183"/>
  <c r="X91" i="183"/>
  <c r="X97" i="183"/>
  <c r="X84" i="183"/>
  <c r="X92" i="183"/>
  <c r="X86" i="183"/>
  <c r="X93" i="183"/>
  <c r="X104" i="183"/>
  <c r="X110" i="183"/>
  <c r="X99" i="183"/>
  <c r="X105" i="183"/>
  <c r="X111" i="183"/>
  <c r="X98" i="183"/>
  <c r="X100" i="183"/>
  <c r="X106" i="183"/>
  <c r="X112" i="183"/>
  <c r="X101" i="183"/>
  <c r="X107" i="183"/>
  <c r="X113" i="183"/>
  <c r="X102" i="183"/>
  <c r="X108" i="183"/>
  <c r="X103" i="183"/>
  <c r="X109" i="183"/>
  <c r="X119" i="183"/>
  <c r="X127" i="183"/>
  <c r="X133" i="183"/>
  <c r="X139" i="183"/>
  <c r="X145" i="183"/>
  <c r="X114" i="183"/>
  <c r="X120" i="183"/>
  <c r="X128" i="183"/>
  <c r="X134" i="183"/>
  <c r="X140" i="183"/>
  <c r="X146" i="183"/>
  <c r="X115" i="183"/>
  <c r="X121" i="183"/>
  <c r="X129" i="183"/>
  <c r="X135" i="183"/>
  <c r="X141" i="183"/>
  <c r="X147" i="183"/>
  <c r="X116" i="183"/>
  <c r="X124" i="183"/>
  <c r="X130" i="183"/>
  <c r="X136" i="183"/>
  <c r="X142" i="183"/>
  <c r="X148" i="183"/>
  <c r="X117" i="183"/>
  <c r="X125" i="183"/>
  <c r="X131" i="183"/>
  <c r="X137" i="183"/>
  <c r="X143" i="183"/>
  <c r="X118" i="183"/>
  <c r="X126" i="183"/>
  <c r="X132" i="183"/>
  <c r="X138" i="183"/>
  <c r="X144" i="183"/>
  <c r="X151" i="183"/>
  <c r="X157" i="183"/>
  <c r="X163" i="183"/>
  <c r="X6" i="183"/>
  <c r="X12" i="183"/>
  <c r="X18" i="183"/>
  <c r="X152" i="183"/>
  <c r="X158" i="183"/>
  <c r="X164" i="183"/>
  <c r="X7" i="183"/>
  <c r="X13" i="183"/>
  <c r="X153" i="183"/>
  <c r="X159" i="183"/>
  <c r="X165" i="183"/>
  <c r="X8" i="183"/>
  <c r="X14" i="183"/>
  <c r="X154" i="183"/>
  <c r="X160" i="183"/>
  <c r="X166" i="183"/>
  <c r="X9" i="183"/>
  <c r="X15" i="183"/>
  <c r="X149" i="183"/>
  <c r="X155" i="183"/>
  <c r="X161" i="183"/>
  <c r="X4" i="183"/>
  <c r="X10" i="183"/>
  <c r="X16" i="183"/>
  <c r="X150" i="183"/>
  <c r="X156" i="183"/>
  <c r="X162" i="183"/>
  <c r="X5" i="183"/>
  <c r="X11" i="183"/>
  <c r="X17" i="183"/>
  <c r="X23" i="183"/>
  <c r="X29" i="183"/>
  <c r="X24" i="183"/>
  <c r="X30" i="183"/>
  <c r="X19" i="183"/>
  <c r="X25" i="183"/>
  <c r="X31" i="183"/>
  <c r="X20" i="183"/>
  <c r="X26" i="183"/>
  <c r="X21" i="183"/>
  <c r="X27" i="183"/>
  <c r="X22" i="183"/>
  <c r="X28" i="183"/>
  <c r="Y1" i="183"/>
  <c r="Y87" i="183" s="1"/>
  <c r="T22" i="180"/>
  <c r="Y3" i="183" l="1"/>
  <c r="Y122" i="183"/>
  <c r="Y123" i="183"/>
  <c r="Y85" i="183"/>
  <c r="Y34" i="183"/>
  <c r="Y40" i="183"/>
  <c r="Y46" i="183"/>
  <c r="Y35" i="183"/>
  <c r="Y41" i="183"/>
  <c r="Y47" i="183"/>
  <c r="Y36" i="183"/>
  <c r="Y42" i="183"/>
  <c r="Y37" i="183"/>
  <c r="Y43" i="183"/>
  <c r="Y32" i="183"/>
  <c r="Y38" i="183"/>
  <c r="Y44" i="183"/>
  <c r="Y33" i="183"/>
  <c r="Y39" i="183"/>
  <c r="Y45" i="183"/>
  <c r="Y50" i="183"/>
  <c r="Y56" i="183"/>
  <c r="Y62" i="183"/>
  <c r="Y51" i="183"/>
  <c r="Y57" i="183"/>
  <c r="Y63" i="183"/>
  <c r="Y52" i="183"/>
  <c r="Y58" i="183"/>
  <c r="Y64" i="183"/>
  <c r="Y53" i="183"/>
  <c r="Y59" i="183"/>
  <c r="Y48" i="183"/>
  <c r="Y54" i="183"/>
  <c r="Y60" i="183"/>
  <c r="Y49" i="183"/>
  <c r="Y55" i="183"/>
  <c r="Y61" i="183"/>
  <c r="Y69" i="183"/>
  <c r="Y75" i="183"/>
  <c r="Y70" i="183"/>
  <c r="Y76" i="183"/>
  <c r="Y65" i="183"/>
  <c r="Y71" i="183"/>
  <c r="Y77" i="183"/>
  <c r="Y66" i="183"/>
  <c r="Y72" i="183"/>
  <c r="Y78" i="183"/>
  <c r="Y67" i="183"/>
  <c r="Y73" i="183"/>
  <c r="Y79" i="183"/>
  <c r="Y68" i="183"/>
  <c r="Y74" i="183"/>
  <c r="Y86" i="183"/>
  <c r="Y93" i="183"/>
  <c r="Y80" i="183"/>
  <c r="Y88" i="183"/>
  <c r="Y94" i="183"/>
  <c r="Y81" i="183"/>
  <c r="Y89" i="183"/>
  <c r="Y95" i="183"/>
  <c r="Y82" i="183"/>
  <c r="Y90" i="183"/>
  <c r="Y96" i="183"/>
  <c r="Y83" i="183"/>
  <c r="Y91" i="183"/>
  <c r="Y84" i="183"/>
  <c r="Y92" i="183"/>
  <c r="Y103" i="183"/>
  <c r="Y109" i="183"/>
  <c r="Y104" i="183"/>
  <c r="Y110" i="183"/>
  <c r="Y99" i="183"/>
  <c r="Y105" i="183"/>
  <c r="Y111" i="183"/>
  <c r="Y98" i="183"/>
  <c r="Y100" i="183"/>
  <c r="Y106" i="183"/>
  <c r="Y112" i="183"/>
  <c r="Y97" i="183"/>
  <c r="Y101" i="183"/>
  <c r="Y107" i="183"/>
  <c r="Y113" i="183"/>
  <c r="Y102" i="183"/>
  <c r="Y108" i="183"/>
  <c r="Y118" i="183"/>
  <c r="Y126" i="183"/>
  <c r="Y132" i="183"/>
  <c r="Y138" i="183"/>
  <c r="Y144" i="183"/>
  <c r="Y119" i="183"/>
  <c r="Y127" i="183"/>
  <c r="Y133" i="183"/>
  <c r="Y139" i="183"/>
  <c r="Y145" i="183"/>
  <c r="Y114" i="183"/>
  <c r="Y120" i="183"/>
  <c r="Y128" i="183"/>
  <c r="Y134" i="183"/>
  <c r="Y140" i="183"/>
  <c r="Y146" i="183"/>
  <c r="Y115" i="183"/>
  <c r="Y121" i="183"/>
  <c r="Y129" i="183"/>
  <c r="Y135" i="183"/>
  <c r="Y141" i="183"/>
  <c r="Y147" i="183"/>
  <c r="Y116" i="183"/>
  <c r="Y124" i="183"/>
  <c r="Y130" i="183"/>
  <c r="Y136" i="183"/>
  <c r="Y142" i="183"/>
  <c r="Y148" i="183"/>
  <c r="Y117" i="183"/>
  <c r="Y125" i="183"/>
  <c r="Y131" i="183"/>
  <c r="Y137" i="183"/>
  <c r="Y143" i="183"/>
  <c r="Y150" i="183"/>
  <c r="Y156" i="183"/>
  <c r="Y162" i="183"/>
  <c r="Y5" i="183"/>
  <c r="Y11" i="183"/>
  <c r="Y17" i="183"/>
  <c r="Y151" i="183"/>
  <c r="Y157" i="183"/>
  <c r="Y163" i="183"/>
  <c r="Y6" i="183"/>
  <c r="Y12" i="183"/>
  <c r="Y18" i="183"/>
  <c r="Y152" i="183"/>
  <c r="Y158" i="183"/>
  <c r="Y164" i="183"/>
  <c r="Y7" i="183"/>
  <c r="Y13" i="183"/>
  <c r="Y153" i="183"/>
  <c r="Y159" i="183"/>
  <c r="Y165" i="183"/>
  <c r="Y8" i="183"/>
  <c r="Y14" i="183"/>
  <c r="Y154" i="183"/>
  <c r="Y160" i="183"/>
  <c r="Y166" i="183"/>
  <c r="Y9" i="183"/>
  <c r="Y15" i="183"/>
  <c r="Y149" i="183"/>
  <c r="Y155" i="183"/>
  <c r="Y161" i="183"/>
  <c r="Y4" i="183"/>
  <c r="Y10" i="183"/>
  <c r="Y16" i="183"/>
  <c r="Y22" i="183"/>
  <c r="Y28" i="183"/>
  <c r="Y23" i="183"/>
  <c r="Y29" i="183"/>
  <c r="Y24" i="183"/>
  <c r="Y30" i="183"/>
  <c r="Y19" i="183"/>
  <c r="Y25" i="183"/>
  <c r="Y31" i="183"/>
  <c r="Y20" i="183"/>
  <c r="Y26" i="183"/>
  <c r="Y21" i="183"/>
  <c r="Y27" i="183"/>
  <c r="Z1" i="183"/>
  <c r="Z87" i="183" s="1"/>
  <c r="T14" i="180"/>
  <c r="T9" i="180"/>
  <c r="T10" i="180"/>
  <c r="T11" i="180"/>
  <c r="T12" i="180"/>
  <c r="T13" i="180"/>
  <c r="Z3" i="183" l="1"/>
  <c r="Z122" i="183"/>
  <c r="Z123" i="183"/>
  <c r="Z85" i="183"/>
  <c r="Z33" i="183"/>
  <c r="Z39" i="183"/>
  <c r="Z45" i="183"/>
  <c r="Z34" i="183"/>
  <c r="Z40" i="183"/>
  <c r="Z46" i="183"/>
  <c r="Z35" i="183"/>
  <c r="Z41" i="183"/>
  <c r="Z47" i="183"/>
  <c r="Z36" i="183"/>
  <c r="Z42" i="183"/>
  <c r="Z37" i="183"/>
  <c r="Z43" i="183"/>
  <c r="Z32" i="183"/>
  <c r="Z38" i="183"/>
  <c r="Z44" i="183"/>
  <c r="Z49" i="183"/>
  <c r="Z55" i="183"/>
  <c r="Z61" i="183"/>
  <c r="Z50" i="183"/>
  <c r="Z56" i="183"/>
  <c r="Z62" i="183"/>
  <c r="Z51" i="183"/>
  <c r="Z57" i="183"/>
  <c r="Z63" i="183"/>
  <c r="Z52" i="183"/>
  <c r="Z58" i="183"/>
  <c r="Z53" i="183"/>
  <c r="Z59" i="183"/>
  <c r="Z48" i="183"/>
  <c r="Z54" i="183"/>
  <c r="Z60" i="183"/>
  <c r="Z68" i="183"/>
  <c r="Z74" i="183"/>
  <c r="Z69" i="183"/>
  <c r="Z75" i="183"/>
  <c r="Z64" i="183"/>
  <c r="Z70" i="183"/>
  <c r="Z76" i="183"/>
  <c r="Z65" i="183"/>
  <c r="Z71" i="183"/>
  <c r="Z77" i="183"/>
  <c r="Z66" i="183"/>
  <c r="Z72" i="183"/>
  <c r="Z78" i="183"/>
  <c r="Z67" i="183"/>
  <c r="Z73" i="183"/>
  <c r="Z79" i="183"/>
  <c r="Z84" i="183"/>
  <c r="Z92" i="183"/>
  <c r="Z98" i="183"/>
  <c r="Z86" i="183"/>
  <c r="Z93" i="183"/>
  <c r="Z80" i="183"/>
  <c r="Z88" i="183"/>
  <c r="Z94" i="183"/>
  <c r="Z81" i="183"/>
  <c r="Z89" i="183"/>
  <c r="Z95" i="183"/>
  <c r="Z82" i="183"/>
  <c r="Z90" i="183"/>
  <c r="Z83" i="183"/>
  <c r="Z91" i="183"/>
  <c r="Z96" i="183"/>
  <c r="Z102" i="183"/>
  <c r="Z108" i="183"/>
  <c r="Z103" i="183"/>
  <c r="Z109" i="183"/>
  <c r="Z104" i="183"/>
  <c r="Z110" i="183"/>
  <c r="Z99" i="183"/>
  <c r="Z105" i="183"/>
  <c r="Z111" i="183"/>
  <c r="Z100" i="183"/>
  <c r="Z106" i="183"/>
  <c r="Z112" i="183"/>
  <c r="Z97" i="183"/>
  <c r="Z101" i="183"/>
  <c r="Z107" i="183"/>
  <c r="Z113" i="183"/>
  <c r="Z117" i="183"/>
  <c r="Z125" i="183"/>
  <c r="Z131" i="183"/>
  <c r="Z137" i="183"/>
  <c r="Z143" i="183"/>
  <c r="Z118" i="183"/>
  <c r="Z126" i="183"/>
  <c r="Z132" i="183"/>
  <c r="Z138" i="183"/>
  <c r="Z144" i="183"/>
  <c r="Z119" i="183"/>
  <c r="Z127" i="183"/>
  <c r="Z133" i="183"/>
  <c r="Z139" i="183"/>
  <c r="Z145" i="183"/>
  <c r="Z114" i="183"/>
  <c r="Z120" i="183"/>
  <c r="Z128" i="183"/>
  <c r="Z134" i="183"/>
  <c r="Z140" i="183"/>
  <c r="Z146" i="183"/>
  <c r="Z115" i="183"/>
  <c r="Z121" i="183"/>
  <c r="Z129" i="183"/>
  <c r="Z135" i="183"/>
  <c r="Z141" i="183"/>
  <c r="Z147" i="183"/>
  <c r="Z116" i="183"/>
  <c r="Z124" i="183"/>
  <c r="Z130" i="183"/>
  <c r="Z136" i="183"/>
  <c r="Z142" i="183"/>
  <c r="Z148" i="183"/>
  <c r="Z149" i="183"/>
  <c r="Z155" i="183"/>
  <c r="Z161" i="183"/>
  <c r="Z4" i="183"/>
  <c r="Z10" i="183"/>
  <c r="Z16" i="183"/>
  <c r="Z150" i="183"/>
  <c r="Z156" i="183"/>
  <c r="Z162" i="183"/>
  <c r="Z5" i="183"/>
  <c r="Z11" i="183"/>
  <c r="Z17" i="183"/>
  <c r="Z151" i="183"/>
  <c r="Z157" i="183"/>
  <c r="Z163" i="183"/>
  <c r="Z6" i="183"/>
  <c r="Z12" i="183"/>
  <c r="Z18" i="183"/>
  <c r="Z152" i="183"/>
  <c r="Z158" i="183"/>
  <c r="Z164" i="183"/>
  <c r="Z7" i="183"/>
  <c r="Z13" i="183"/>
  <c r="Z153" i="183"/>
  <c r="Z159" i="183"/>
  <c r="Z165" i="183"/>
  <c r="Z8" i="183"/>
  <c r="Z14" i="183"/>
  <c r="Z154" i="183"/>
  <c r="Z160" i="183"/>
  <c r="Z166" i="183"/>
  <c r="Z9" i="183"/>
  <c r="Z15" i="183"/>
  <c r="Z21" i="183"/>
  <c r="Z27" i="183"/>
  <c r="Z22" i="183"/>
  <c r="Z28" i="183"/>
  <c r="Z23" i="183"/>
  <c r="Z29" i="183"/>
  <c r="Z24" i="183"/>
  <c r="Z30" i="183"/>
  <c r="Z31" i="183"/>
  <c r="Z19" i="183"/>
  <c r="Z25" i="183"/>
  <c r="Z20" i="183"/>
  <c r="Z26" i="183"/>
  <c r="AA1" i="183"/>
  <c r="AA87" i="183" s="1"/>
  <c r="T8" i="180"/>
  <c r="AA3" i="183" l="1"/>
  <c r="AA123" i="183"/>
  <c r="AA85" i="183"/>
  <c r="AA122" i="183"/>
  <c r="AA32" i="183"/>
  <c r="AA38" i="183"/>
  <c r="AA44" i="183"/>
  <c r="AA33" i="183"/>
  <c r="AA39" i="183"/>
  <c r="AA45" i="183"/>
  <c r="AA34" i="183"/>
  <c r="AA40" i="183"/>
  <c r="AA46" i="183"/>
  <c r="AA35" i="183"/>
  <c r="AA41" i="183"/>
  <c r="AA47" i="183"/>
  <c r="AA36" i="183"/>
  <c r="AA42" i="183"/>
  <c r="AA37" i="183"/>
  <c r="AA43" i="183"/>
  <c r="AA48" i="183"/>
  <c r="AA54" i="183"/>
  <c r="AA60" i="183"/>
  <c r="AA49" i="183"/>
  <c r="AA55" i="183"/>
  <c r="AA61" i="183"/>
  <c r="AA50" i="183"/>
  <c r="AA56" i="183"/>
  <c r="AA62" i="183"/>
  <c r="AA51" i="183"/>
  <c r="AA57" i="183"/>
  <c r="AA63" i="183"/>
  <c r="AA52" i="183"/>
  <c r="AA58" i="183"/>
  <c r="AA53" i="183"/>
  <c r="AA59" i="183"/>
  <c r="AA67" i="183"/>
  <c r="AA73" i="183"/>
  <c r="AA79" i="183"/>
  <c r="AA68" i="183"/>
  <c r="AA74" i="183"/>
  <c r="AA69" i="183"/>
  <c r="AA75" i="183"/>
  <c r="AA64" i="183"/>
  <c r="AA70" i="183"/>
  <c r="AA76" i="183"/>
  <c r="AA65" i="183"/>
  <c r="AA71" i="183"/>
  <c r="AA77" i="183"/>
  <c r="AA66" i="183"/>
  <c r="AA72" i="183"/>
  <c r="AA78" i="183"/>
  <c r="AA83" i="183"/>
  <c r="AA91" i="183"/>
  <c r="AA97" i="183"/>
  <c r="AA84" i="183"/>
  <c r="AA92" i="183"/>
  <c r="AA98" i="183"/>
  <c r="AA86" i="183"/>
  <c r="AA93" i="183"/>
  <c r="AA80" i="183"/>
  <c r="AA88" i="183"/>
  <c r="AA94" i="183"/>
  <c r="AA81" i="183"/>
  <c r="AA89" i="183"/>
  <c r="AA82" i="183"/>
  <c r="AA90" i="183"/>
  <c r="AA101" i="183"/>
  <c r="AA107" i="183"/>
  <c r="AA113" i="183"/>
  <c r="AA96" i="183"/>
  <c r="AA102" i="183"/>
  <c r="AA108" i="183"/>
  <c r="AA95" i="183"/>
  <c r="AA103" i="183"/>
  <c r="AA109" i="183"/>
  <c r="AA104" i="183"/>
  <c r="AA110" i="183"/>
  <c r="AA99" i="183"/>
  <c r="AA105" i="183"/>
  <c r="AA111" i="183"/>
  <c r="AA100" i="183"/>
  <c r="AA106" i="183"/>
  <c r="AA112" i="183"/>
  <c r="AA116" i="183"/>
  <c r="AA124" i="183"/>
  <c r="AA130" i="183"/>
  <c r="AA136" i="183"/>
  <c r="AA142" i="183"/>
  <c r="AA148" i="183"/>
  <c r="AA117" i="183"/>
  <c r="AA125" i="183"/>
  <c r="AA131" i="183"/>
  <c r="AA137" i="183"/>
  <c r="AA143" i="183"/>
  <c r="AA118" i="183"/>
  <c r="AA126" i="183"/>
  <c r="AA132" i="183"/>
  <c r="AA138" i="183"/>
  <c r="AA144" i="183"/>
  <c r="AA119" i="183"/>
  <c r="AA127" i="183"/>
  <c r="AA133" i="183"/>
  <c r="AA139" i="183"/>
  <c r="AA145" i="183"/>
  <c r="AA114" i="183"/>
  <c r="AA120" i="183"/>
  <c r="AA128" i="183"/>
  <c r="AA134" i="183"/>
  <c r="AA140" i="183"/>
  <c r="AA146" i="183"/>
  <c r="AA115" i="183"/>
  <c r="AA121" i="183"/>
  <c r="AA129" i="183"/>
  <c r="AA135" i="183"/>
  <c r="AA141" i="183"/>
  <c r="AA147" i="183"/>
  <c r="AA154" i="183"/>
  <c r="AA160" i="183"/>
  <c r="AA166" i="183"/>
  <c r="AA9" i="183"/>
  <c r="AA15" i="183"/>
  <c r="AA149" i="183"/>
  <c r="AA155" i="183"/>
  <c r="AA161" i="183"/>
  <c r="AA4" i="183"/>
  <c r="AA10" i="183"/>
  <c r="AA16" i="183"/>
  <c r="AA150" i="183"/>
  <c r="AA156" i="183"/>
  <c r="AA162" i="183"/>
  <c r="AA5" i="183"/>
  <c r="AA11" i="183"/>
  <c r="AA17" i="183"/>
  <c r="AA151" i="183"/>
  <c r="AA157" i="183"/>
  <c r="AA163" i="183"/>
  <c r="AA6" i="183"/>
  <c r="AA12" i="183"/>
  <c r="AA18" i="183"/>
  <c r="AA152" i="183"/>
  <c r="AA158" i="183"/>
  <c r="AA164" i="183"/>
  <c r="AA7" i="183"/>
  <c r="AA13" i="183"/>
  <c r="AA153" i="183"/>
  <c r="AA159" i="183"/>
  <c r="AA165" i="183"/>
  <c r="AA8" i="183"/>
  <c r="AA14" i="183"/>
  <c r="AA20" i="183"/>
  <c r="AA26" i="183"/>
  <c r="AA21" i="183"/>
  <c r="AA27" i="183"/>
  <c r="AA22" i="183"/>
  <c r="AA28" i="183"/>
  <c r="AA23" i="183"/>
  <c r="AA29" i="183"/>
  <c r="AA24" i="183"/>
  <c r="AA30" i="183"/>
  <c r="AA19" i="183"/>
  <c r="AA25" i="183"/>
  <c r="AA31" i="183"/>
  <c r="AB1" i="183"/>
  <c r="AB87" i="183" s="1"/>
  <c r="T5" i="180"/>
  <c r="T7" i="180"/>
  <c r="T6" i="180"/>
  <c r="T4" i="180"/>
  <c r="T67" i="180" l="1"/>
  <c r="AB3" i="183"/>
  <c r="AB122" i="183"/>
  <c r="AB123" i="183"/>
  <c r="AB85" i="183"/>
  <c r="AB37" i="183"/>
  <c r="AB43" i="183"/>
  <c r="AB32" i="183"/>
  <c r="AB38" i="183"/>
  <c r="AB44" i="183"/>
  <c r="AB33" i="183"/>
  <c r="AB39" i="183"/>
  <c r="AB45" i="183"/>
  <c r="AB34" i="183"/>
  <c r="AB40" i="183"/>
  <c r="AB46" i="183"/>
  <c r="AB35" i="183"/>
  <c r="AB41" i="183"/>
  <c r="AB47" i="183"/>
  <c r="AB36" i="183"/>
  <c r="AB42" i="183"/>
  <c r="AB53" i="183"/>
  <c r="AB59" i="183"/>
  <c r="AB48" i="183"/>
  <c r="AB54" i="183"/>
  <c r="AB60" i="183"/>
  <c r="AB49" i="183"/>
  <c r="AB55" i="183"/>
  <c r="AB61" i="183"/>
  <c r="AB50" i="183"/>
  <c r="AB56" i="183"/>
  <c r="AB62" i="183"/>
  <c r="AB51" i="183"/>
  <c r="AB57" i="183"/>
  <c r="AB52" i="183"/>
  <c r="AB58" i="183"/>
  <c r="AB66" i="183"/>
  <c r="AB72" i="183"/>
  <c r="AB78" i="183"/>
  <c r="AB67" i="183"/>
  <c r="AB73" i="183"/>
  <c r="AB79" i="183"/>
  <c r="AB68" i="183"/>
  <c r="AB74" i="183"/>
  <c r="AB69" i="183"/>
  <c r="AB75" i="183"/>
  <c r="AB63" i="183"/>
  <c r="AB64" i="183"/>
  <c r="AB70" i="183"/>
  <c r="AB76" i="183"/>
  <c r="AB65" i="183"/>
  <c r="AB71" i="183"/>
  <c r="AB77" i="183"/>
  <c r="AB82" i="183"/>
  <c r="AB90" i="183"/>
  <c r="AB96" i="183"/>
  <c r="AB83" i="183"/>
  <c r="AB91" i="183"/>
  <c r="AB97" i="183"/>
  <c r="AB84" i="183"/>
  <c r="AB92" i="183"/>
  <c r="AB98" i="183"/>
  <c r="AB86" i="183"/>
  <c r="AB93" i="183"/>
  <c r="AB80" i="183"/>
  <c r="AB88" i="183"/>
  <c r="AB94" i="183"/>
  <c r="AB81" i="183"/>
  <c r="AB89" i="183"/>
  <c r="AB100" i="183"/>
  <c r="AB106" i="183"/>
  <c r="AB112" i="183"/>
  <c r="AB101" i="183"/>
  <c r="AB107" i="183"/>
  <c r="AB113" i="183"/>
  <c r="AB102" i="183"/>
  <c r="AB108" i="183"/>
  <c r="AB95" i="183"/>
  <c r="AB103" i="183"/>
  <c r="AB109" i="183"/>
  <c r="AB104" i="183"/>
  <c r="AB110" i="183"/>
  <c r="AB99" i="183"/>
  <c r="AB105" i="183"/>
  <c r="AB111" i="183"/>
  <c r="AB115" i="183"/>
  <c r="AB121" i="183"/>
  <c r="AB129" i="183"/>
  <c r="AB135" i="183"/>
  <c r="AB141" i="183"/>
  <c r="AB147" i="183"/>
  <c r="AB116" i="183"/>
  <c r="AB124" i="183"/>
  <c r="AB130" i="183"/>
  <c r="AB136" i="183"/>
  <c r="AB142" i="183"/>
  <c r="AB148" i="183"/>
  <c r="AB117" i="183"/>
  <c r="AB125" i="183"/>
  <c r="AB131" i="183"/>
  <c r="AB137" i="183"/>
  <c r="AB143" i="183"/>
  <c r="AB118" i="183"/>
  <c r="AB126" i="183"/>
  <c r="AB132" i="183"/>
  <c r="AB138" i="183"/>
  <c r="AB144" i="183"/>
  <c r="AB119" i="183"/>
  <c r="AB127" i="183"/>
  <c r="AB133" i="183"/>
  <c r="AB139" i="183"/>
  <c r="AB145" i="183"/>
  <c r="AB114" i="183"/>
  <c r="AB120" i="183"/>
  <c r="AB128" i="183"/>
  <c r="AB134" i="183"/>
  <c r="AB140" i="183"/>
  <c r="AB146" i="183"/>
  <c r="AB153" i="183"/>
  <c r="AB159" i="183"/>
  <c r="AB165" i="183"/>
  <c r="AB8" i="183"/>
  <c r="AB14" i="183"/>
  <c r="AB154" i="183"/>
  <c r="AB160" i="183"/>
  <c r="AB166" i="183"/>
  <c r="AB9" i="183"/>
  <c r="AB15" i="183"/>
  <c r="AB149" i="183"/>
  <c r="AB155" i="183"/>
  <c r="AB161" i="183"/>
  <c r="AB4" i="183"/>
  <c r="AB10" i="183"/>
  <c r="AB16" i="183"/>
  <c r="AB150" i="183"/>
  <c r="AB156" i="183"/>
  <c r="AB162" i="183"/>
  <c r="AB5" i="183"/>
  <c r="AB11" i="183"/>
  <c r="AB17" i="183"/>
  <c r="AB151" i="183"/>
  <c r="AB157" i="183"/>
  <c r="AB163" i="183"/>
  <c r="AB6" i="183"/>
  <c r="AB12" i="183"/>
  <c r="AB18" i="183"/>
  <c r="AB152" i="183"/>
  <c r="AB158" i="183"/>
  <c r="AB164" i="183"/>
  <c r="AB7" i="183"/>
  <c r="AB13" i="183"/>
  <c r="AB19" i="183"/>
  <c r="AB25" i="183"/>
  <c r="AB31" i="183"/>
  <c r="AB20" i="183"/>
  <c r="AB26" i="183"/>
  <c r="AB21" i="183"/>
  <c r="AB27" i="183"/>
  <c r="AB22" i="183"/>
  <c r="AB28" i="183"/>
  <c r="AB23" i="183"/>
  <c r="AB29" i="183"/>
  <c r="AB24" i="183"/>
  <c r="AB30" i="183"/>
  <c r="AC1" i="183"/>
  <c r="AC87" i="183" s="1"/>
  <c r="D1" i="181"/>
  <c r="B71" i="180"/>
  <c r="B70" i="180"/>
  <c r="B67" i="180"/>
  <c r="D85" i="181" l="1"/>
  <c r="D121" i="181"/>
  <c r="D122" i="181"/>
  <c r="D123" i="181"/>
  <c r="D124" i="181"/>
  <c r="AC3" i="183"/>
  <c r="AC122" i="183"/>
  <c r="AC123" i="183"/>
  <c r="AC85" i="183"/>
  <c r="AC36" i="183"/>
  <c r="AC42" i="183"/>
  <c r="AC37" i="183"/>
  <c r="AC43" i="183"/>
  <c r="AC32" i="183"/>
  <c r="AC38" i="183"/>
  <c r="AC44" i="183"/>
  <c r="AC33" i="183"/>
  <c r="AC39" i="183"/>
  <c r="AC45" i="183"/>
  <c r="AC34" i="183"/>
  <c r="AC40" i="183"/>
  <c r="AC46" i="183"/>
  <c r="AC35" i="183"/>
  <c r="AC41" i="183"/>
  <c r="AC47" i="183"/>
  <c r="AC52" i="183"/>
  <c r="AC58" i="183"/>
  <c r="AC53" i="183"/>
  <c r="AC59" i="183"/>
  <c r="AC48" i="183"/>
  <c r="AC54" i="183"/>
  <c r="AC60" i="183"/>
  <c r="AC49" i="183"/>
  <c r="AC55" i="183"/>
  <c r="AC61" i="183"/>
  <c r="AC50" i="183"/>
  <c r="AC56" i="183"/>
  <c r="AC51" i="183"/>
  <c r="AC57" i="183"/>
  <c r="AC65" i="183"/>
  <c r="AC71" i="183"/>
  <c r="AC77" i="183"/>
  <c r="AC62" i="183"/>
  <c r="AC66" i="183"/>
  <c r="AC72" i="183"/>
  <c r="AC78" i="183"/>
  <c r="AC67" i="183"/>
  <c r="AC73" i="183"/>
  <c r="AC79" i="183"/>
  <c r="AC68" i="183"/>
  <c r="AC74" i="183"/>
  <c r="AC69" i="183"/>
  <c r="AC75" i="183"/>
  <c r="AC63" i="183"/>
  <c r="AC64" i="183"/>
  <c r="AC70" i="183"/>
  <c r="AC76" i="183"/>
  <c r="AC81" i="183"/>
  <c r="AC89" i="183"/>
  <c r="AC95" i="183"/>
  <c r="AC82" i="183"/>
  <c r="AC90" i="183"/>
  <c r="AC96" i="183"/>
  <c r="AC83" i="183"/>
  <c r="AC91" i="183"/>
  <c r="AC97" i="183"/>
  <c r="AC84" i="183"/>
  <c r="AC92" i="183"/>
  <c r="AC98" i="183"/>
  <c r="AC86" i="183"/>
  <c r="AC93" i="183"/>
  <c r="AC80" i="183"/>
  <c r="AC88" i="183"/>
  <c r="AC94" i="183"/>
  <c r="AC99" i="183"/>
  <c r="AC105" i="183"/>
  <c r="AC111" i="183"/>
  <c r="AC100" i="183"/>
  <c r="AC106" i="183"/>
  <c r="AC112" i="183"/>
  <c r="AC101" i="183"/>
  <c r="AC107" i="183"/>
  <c r="AC113" i="183"/>
  <c r="AC102" i="183"/>
  <c r="AC108" i="183"/>
  <c r="AC103" i="183"/>
  <c r="AC109" i="183"/>
  <c r="AC104" i="183"/>
  <c r="AC110" i="183"/>
  <c r="AC114" i="183"/>
  <c r="AC120" i="183"/>
  <c r="AC128" i="183"/>
  <c r="AC134" i="183"/>
  <c r="AC140" i="183"/>
  <c r="AC146" i="183"/>
  <c r="AC115" i="183"/>
  <c r="AC121" i="183"/>
  <c r="AC129" i="183"/>
  <c r="AC135" i="183"/>
  <c r="AC141" i="183"/>
  <c r="AC147" i="183"/>
  <c r="AC116" i="183"/>
  <c r="AC124" i="183"/>
  <c r="AC130" i="183"/>
  <c r="AC136" i="183"/>
  <c r="AC142" i="183"/>
  <c r="AC148" i="183"/>
  <c r="AC117" i="183"/>
  <c r="AC125" i="183"/>
  <c r="AC131" i="183"/>
  <c r="AC137" i="183"/>
  <c r="AC143" i="183"/>
  <c r="AC118" i="183"/>
  <c r="AC126" i="183"/>
  <c r="AC132" i="183"/>
  <c r="AC138" i="183"/>
  <c r="AC144" i="183"/>
  <c r="AC119" i="183"/>
  <c r="AC127" i="183"/>
  <c r="AC133" i="183"/>
  <c r="AC139" i="183"/>
  <c r="AC145" i="183"/>
  <c r="AC152" i="183"/>
  <c r="AC158" i="183"/>
  <c r="AC164" i="183"/>
  <c r="AC7" i="183"/>
  <c r="AC13" i="183"/>
  <c r="AC153" i="183"/>
  <c r="AC159" i="183"/>
  <c r="AC165" i="183"/>
  <c r="AC8" i="183"/>
  <c r="AC14" i="183"/>
  <c r="AC154" i="183"/>
  <c r="AC160" i="183"/>
  <c r="AC166" i="183"/>
  <c r="AC9" i="183"/>
  <c r="AC15" i="183"/>
  <c r="AC149" i="183"/>
  <c r="AC155" i="183"/>
  <c r="AC161" i="183"/>
  <c r="AC4" i="183"/>
  <c r="AC10" i="183"/>
  <c r="AC16" i="183"/>
  <c r="AC150" i="183"/>
  <c r="AC156" i="183"/>
  <c r="AC162" i="183"/>
  <c r="AC5" i="183"/>
  <c r="AC11" i="183"/>
  <c r="AC17" i="183"/>
  <c r="AC151" i="183"/>
  <c r="AC157" i="183"/>
  <c r="AC163" i="183"/>
  <c r="AC6" i="183"/>
  <c r="AC12" i="183"/>
  <c r="AC18" i="183"/>
  <c r="AC24" i="183"/>
  <c r="AC30" i="183"/>
  <c r="AC19" i="183"/>
  <c r="AC25" i="183"/>
  <c r="AC31" i="183"/>
  <c r="AC20" i="183"/>
  <c r="AC26" i="183"/>
  <c r="AC21" i="183"/>
  <c r="AC27" i="183"/>
  <c r="AC22" i="183"/>
  <c r="AC28" i="183"/>
  <c r="AC23" i="183"/>
  <c r="AC29" i="183"/>
  <c r="AD1" i="183"/>
  <c r="AD87" i="183" s="1"/>
  <c r="D133" i="181"/>
  <c r="D56" i="181"/>
  <c r="D164" i="181"/>
  <c r="D158" i="181"/>
  <c r="D111" i="181"/>
  <c r="D72" i="181"/>
  <c r="D154" i="181"/>
  <c r="D138" i="181"/>
  <c r="D114" i="181"/>
  <c r="B68" i="180"/>
  <c r="B72" i="180" s="1"/>
  <c r="D150" i="181"/>
  <c r="D157" i="181"/>
  <c r="D143" i="181"/>
  <c r="D9" i="181"/>
  <c r="D21" i="181"/>
  <c r="D33" i="181"/>
  <c r="D4" i="181"/>
  <c r="D16" i="181"/>
  <c r="D28" i="181"/>
  <c r="D11" i="181"/>
  <c r="D23" i="181"/>
  <c r="D35" i="181"/>
  <c r="D13" i="181"/>
  <c r="D25" i="181"/>
  <c r="D8" i="181"/>
  <c r="D20" i="181"/>
  <c r="D32" i="181"/>
  <c r="D15" i="181"/>
  <c r="D27" i="181"/>
  <c r="D12" i="181"/>
  <c r="D24" i="181"/>
  <c r="D36" i="181"/>
  <c r="D5" i="181"/>
  <c r="D18" i="181"/>
  <c r="D31" i="181"/>
  <c r="D39" i="181"/>
  <c r="D51" i="181"/>
  <c r="D6" i="181"/>
  <c r="D19" i="181"/>
  <c r="D46" i="181"/>
  <c r="D7" i="181"/>
  <c r="D34" i="181"/>
  <c r="D41" i="181"/>
  <c r="D53" i="181"/>
  <c r="D10" i="181"/>
  <c r="D43" i="181"/>
  <c r="D55" i="181"/>
  <c r="D40" i="181"/>
  <c r="D44" i="181"/>
  <c r="D68" i="181"/>
  <c r="D47" i="181"/>
  <c r="D14" i="181"/>
  <c r="D50" i="181"/>
  <c r="D54" i="181"/>
  <c r="D58" i="181"/>
  <c r="D17" i="181"/>
  <c r="D60" i="181"/>
  <c r="D29" i="181"/>
  <c r="D37" i="181"/>
  <c r="D45" i="181"/>
  <c r="D61" i="181"/>
  <c r="D78" i="181"/>
  <c r="D52" i="181"/>
  <c r="D65" i="181"/>
  <c r="D59" i="181"/>
  <c r="D70" i="181"/>
  <c r="D30" i="181"/>
  <c r="D77" i="181"/>
  <c r="D62" i="181"/>
  <c r="D63" i="181"/>
  <c r="D67" i="181"/>
  <c r="D75" i="181"/>
  <c r="D79" i="181"/>
  <c r="D81" i="181"/>
  <c r="D89" i="181"/>
  <c r="D86" i="181"/>
  <c r="D69" i="181"/>
  <c r="D80" i="181"/>
  <c r="D93" i="181"/>
  <c r="D38" i="181"/>
  <c r="D64" i="181"/>
  <c r="D88" i="181"/>
  <c r="D49" i="181"/>
  <c r="D92" i="181"/>
  <c r="D103" i="181"/>
  <c r="D22" i="181"/>
  <c r="D48" i="181"/>
  <c r="D71" i="181"/>
  <c r="D98" i="181"/>
  <c r="D110" i="181"/>
  <c r="D90" i="181"/>
  <c r="D95" i="181"/>
  <c r="D107" i="181"/>
  <c r="D42" i="181"/>
  <c r="D76" i="181"/>
  <c r="D102" i="181"/>
  <c r="D57" i="181"/>
  <c r="D87" i="181"/>
  <c r="D97" i="181"/>
  <c r="D109" i="181"/>
  <c r="D66" i="181"/>
  <c r="D101" i="181"/>
  <c r="D26" i="181"/>
  <c r="D96" i="181"/>
  <c r="D117" i="181"/>
  <c r="D91" i="181"/>
  <c r="D112" i="181"/>
  <c r="D125" i="181"/>
  <c r="D74" i="181"/>
  <c r="D99" i="181"/>
  <c r="D119" i="181"/>
  <c r="D116" i="181"/>
  <c r="D129" i="181"/>
  <c r="D73" i="181"/>
  <c r="D94" i="181"/>
  <c r="D108" i="181"/>
  <c r="D115" i="181"/>
  <c r="D128" i="181"/>
  <c r="D137" i="181"/>
  <c r="D149" i="181"/>
  <c r="D161" i="181"/>
  <c r="D83" i="181"/>
  <c r="D106" i="181"/>
  <c r="D130" i="181"/>
  <c r="D132" i="181"/>
  <c r="D144" i="181"/>
  <c r="D156" i="181"/>
  <c r="D100" i="181"/>
  <c r="D139" i="181"/>
  <c r="D151" i="181"/>
  <c r="D163" i="181"/>
  <c r="D134" i="181"/>
  <c r="D113" i="181"/>
  <c r="D141" i="181"/>
  <c r="D153" i="181"/>
  <c r="D165" i="181"/>
  <c r="D84" i="181"/>
  <c r="D120" i="181"/>
  <c r="D127" i="181"/>
  <c r="D136" i="181"/>
  <c r="D148" i="181"/>
  <c r="D160" i="181"/>
  <c r="D3" i="181"/>
  <c r="D105" i="181"/>
  <c r="D135" i="181"/>
  <c r="D147" i="181"/>
  <c r="D159" i="181"/>
  <c r="D82" i="181"/>
  <c r="D146" i="181"/>
  <c r="D142" i="181"/>
  <c r="D152" i="181"/>
  <c r="D145" i="181"/>
  <c r="D126" i="181"/>
  <c r="D104" i="181"/>
  <c r="D131" i="181"/>
  <c r="D162" i="181"/>
  <c r="D140" i="181"/>
  <c r="D118" i="181"/>
  <c r="D155" i="181"/>
  <c r="E1" i="181"/>
  <c r="T85" i="178"/>
  <c r="E56" i="181" l="1"/>
  <c r="E124" i="181"/>
  <c r="E85" i="181"/>
  <c r="E121" i="181"/>
  <c r="E122" i="181"/>
  <c r="E123" i="181"/>
  <c r="AD3" i="183"/>
  <c r="AD122" i="183"/>
  <c r="AD123" i="183"/>
  <c r="AD85" i="183"/>
  <c r="AD35" i="183"/>
  <c r="AD41" i="183"/>
  <c r="AD47" i="183"/>
  <c r="AD36" i="183"/>
  <c r="AD42" i="183"/>
  <c r="AD37" i="183"/>
  <c r="AD43" i="183"/>
  <c r="AD32" i="183"/>
  <c r="AD38" i="183"/>
  <c r="AD44" i="183"/>
  <c r="AD33" i="183"/>
  <c r="AD39" i="183"/>
  <c r="AD45" i="183"/>
  <c r="AD34" i="183"/>
  <c r="AD40" i="183"/>
  <c r="AD46" i="183"/>
  <c r="AD51" i="183"/>
  <c r="AD57" i="183"/>
  <c r="AD63" i="183"/>
  <c r="AD52" i="183"/>
  <c r="AD58" i="183"/>
  <c r="AD53" i="183"/>
  <c r="AD59" i="183"/>
  <c r="AD48" i="183"/>
  <c r="AD54" i="183"/>
  <c r="AD60" i="183"/>
  <c r="AD49" i="183"/>
  <c r="AD55" i="183"/>
  <c r="AD61" i="183"/>
  <c r="AD50" i="183"/>
  <c r="AD56" i="183"/>
  <c r="AD62" i="183"/>
  <c r="AD64" i="183"/>
  <c r="AD70" i="183"/>
  <c r="AD76" i="183"/>
  <c r="AD65" i="183"/>
  <c r="AD71" i="183"/>
  <c r="AD77" i="183"/>
  <c r="AD66" i="183"/>
  <c r="AD72" i="183"/>
  <c r="AD78" i="183"/>
  <c r="AD67" i="183"/>
  <c r="AD73" i="183"/>
  <c r="AD79" i="183"/>
  <c r="AD68" i="183"/>
  <c r="AD74" i="183"/>
  <c r="AD69" i="183"/>
  <c r="AD75" i="183"/>
  <c r="AD80" i="183"/>
  <c r="AD88" i="183"/>
  <c r="AD94" i="183"/>
  <c r="AD81" i="183"/>
  <c r="AD89" i="183"/>
  <c r="AD95" i="183"/>
  <c r="AD82" i="183"/>
  <c r="AD90" i="183"/>
  <c r="AD96" i="183"/>
  <c r="AD83" i="183"/>
  <c r="AD91" i="183"/>
  <c r="AD97" i="183"/>
  <c r="AD84" i="183"/>
  <c r="AD92" i="183"/>
  <c r="AD86" i="183"/>
  <c r="AD93" i="183"/>
  <c r="AD104" i="183"/>
  <c r="AD110" i="183"/>
  <c r="AD99" i="183"/>
  <c r="AD105" i="183"/>
  <c r="AD111" i="183"/>
  <c r="AD100" i="183"/>
  <c r="AD106" i="183"/>
  <c r="AD112" i="183"/>
  <c r="AD101" i="183"/>
  <c r="AD107" i="183"/>
  <c r="AD113" i="183"/>
  <c r="AD98" i="183"/>
  <c r="AD102" i="183"/>
  <c r="AD108" i="183"/>
  <c r="AD103" i="183"/>
  <c r="AD109" i="183"/>
  <c r="AD119" i="183"/>
  <c r="AD127" i="183"/>
  <c r="AD133" i="183"/>
  <c r="AD139" i="183"/>
  <c r="AD145" i="183"/>
  <c r="AD114" i="183"/>
  <c r="AD120" i="183"/>
  <c r="AD128" i="183"/>
  <c r="AD134" i="183"/>
  <c r="AD140" i="183"/>
  <c r="AD146" i="183"/>
  <c r="AD115" i="183"/>
  <c r="AD121" i="183"/>
  <c r="AD129" i="183"/>
  <c r="AD135" i="183"/>
  <c r="AD141" i="183"/>
  <c r="AD147" i="183"/>
  <c r="AD116" i="183"/>
  <c r="AD124" i="183"/>
  <c r="AD130" i="183"/>
  <c r="AD136" i="183"/>
  <c r="AD142" i="183"/>
  <c r="AD148" i="183"/>
  <c r="AD117" i="183"/>
  <c r="AD125" i="183"/>
  <c r="AD131" i="183"/>
  <c r="AD137" i="183"/>
  <c r="AD143" i="183"/>
  <c r="AD118" i="183"/>
  <c r="AD126" i="183"/>
  <c r="AD132" i="183"/>
  <c r="AD138" i="183"/>
  <c r="AD144" i="183"/>
  <c r="AD151" i="183"/>
  <c r="AD157" i="183"/>
  <c r="AD163" i="183"/>
  <c r="AD6" i="183"/>
  <c r="AD12" i="183"/>
  <c r="AD18" i="183"/>
  <c r="AD152" i="183"/>
  <c r="AD158" i="183"/>
  <c r="AD164" i="183"/>
  <c r="AD7" i="183"/>
  <c r="AD13" i="183"/>
  <c r="AD153" i="183"/>
  <c r="AD159" i="183"/>
  <c r="AD165" i="183"/>
  <c r="AD8" i="183"/>
  <c r="AD14" i="183"/>
  <c r="AD154" i="183"/>
  <c r="AD160" i="183"/>
  <c r="AD166" i="183"/>
  <c r="AD9" i="183"/>
  <c r="AD15" i="183"/>
  <c r="AD149" i="183"/>
  <c r="AD155" i="183"/>
  <c r="AD161" i="183"/>
  <c r="AD4" i="183"/>
  <c r="AD10" i="183"/>
  <c r="AD16" i="183"/>
  <c r="AD150" i="183"/>
  <c r="AD156" i="183"/>
  <c r="AD162" i="183"/>
  <c r="AD5" i="183"/>
  <c r="AD11" i="183"/>
  <c r="AD17" i="183"/>
  <c r="AD23" i="183"/>
  <c r="AD29" i="183"/>
  <c r="AD24" i="183"/>
  <c r="AD30" i="183"/>
  <c r="AD19" i="183"/>
  <c r="AD25" i="183"/>
  <c r="AD31" i="183"/>
  <c r="AD20" i="183"/>
  <c r="AD26" i="183"/>
  <c r="AD21" i="183"/>
  <c r="AD27" i="183"/>
  <c r="AD22" i="183"/>
  <c r="AD28" i="183"/>
  <c r="AE1" i="183"/>
  <c r="AE87" i="183" s="1"/>
  <c r="E14" i="181"/>
  <c r="E26" i="181"/>
  <c r="E9" i="181"/>
  <c r="E21" i="181"/>
  <c r="E33" i="181"/>
  <c r="E4" i="181"/>
  <c r="E16" i="181"/>
  <c r="E28" i="181"/>
  <c r="E6" i="181"/>
  <c r="E18" i="181"/>
  <c r="E30" i="181"/>
  <c r="E13" i="181"/>
  <c r="E25" i="181"/>
  <c r="E8" i="181"/>
  <c r="E20" i="181"/>
  <c r="E32" i="181"/>
  <c r="E5" i="181"/>
  <c r="E17" i="181"/>
  <c r="E29" i="181"/>
  <c r="E44" i="181"/>
  <c r="E57" i="181"/>
  <c r="E31" i="181"/>
  <c r="E39" i="181"/>
  <c r="E51" i="181"/>
  <c r="E19" i="181"/>
  <c r="E46" i="181"/>
  <c r="E22" i="181"/>
  <c r="E35" i="181"/>
  <c r="E48" i="181"/>
  <c r="E37" i="181"/>
  <c r="E61" i="181"/>
  <c r="E7" i="181"/>
  <c r="E40" i="181"/>
  <c r="E10" i="181"/>
  <c r="E43" i="181"/>
  <c r="E47" i="181"/>
  <c r="E63" i="181"/>
  <c r="E38" i="181"/>
  <c r="E60" i="181"/>
  <c r="E64" i="181"/>
  <c r="E71" i="181"/>
  <c r="E45" i="181"/>
  <c r="E34" i="181"/>
  <c r="E52" i="181"/>
  <c r="E53" i="181"/>
  <c r="E65" i="181"/>
  <c r="E73" i="181"/>
  <c r="E11" i="181"/>
  <c r="E75" i="181"/>
  <c r="E24" i="181"/>
  <c r="E54" i="181"/>
  <c r="E58" i="181"/>
  <c r="E70" i="181"/>
  <c r="E27" i="181"/>
  <c r="E69" i="181"/>
  <c r="E67" i="181"/>
  <c r="E87" i="181"/>
  <c r="E68" i="181"/>
  <c r="E79" i="181"/>
  <c r="E81" i="181"/>
  <c r="E74" i="181"/>
  <c r="E91" i="181"/>
  <c r="E50" i="181"/>
  <c r="E86" i="181"/>
  <c r="E23" i="181"/>
  <c r="E62" i="181"/>
  <c r="E77" i="181"/>
  <c r="E80" i="181"/>
  <c r="E93" i="181"/>
  <c r="E42" i="181"/>
  <c r="E72" i="181"/>
  <c r="E76" i="181"/>
  <c r="E84" i="181"/>
  <c r="E12" i="181"/>
  <c r="E92" i="181"/>
  <c r="E96" i="181"/>
  <c r="E108" i="181"/>
  <c r="E41" i="181"/>
  <c r="E89" i="181"/>
  <c r="E103" i="181"/>
  <c r="E55" i="181"/>
  <c r="E98" i="181"/>
  <c r="E78" i="181"/>
  <c r="E82" i="181"/>
  <c r="E100" i="181"/>
  <c r="E90" i="181"/>
  <c r="E95" i="181"/>
  <c r="E107" i="181"/>
  <c r="E49" i="181"/>
  <c r="E102" i="181"/>
  <c r="E94" i="181"/>
  <c r="E106" i="181"/>
  <c r="E97" i="181"/>
  <c r="E105" i="181"/>
  <c r="E109" i="181"/>
  <c r="E117" i="181"/>
  <c r="E112" i="181"/>
  <c r="E125" i="181"/>
  <c r="E83" i="181"/>
  <c r="E114" i="181"/>
  <c r="E127" i="181"/>
  <c r="E110" i="181"/>
  <c r="E66" i="181"/>
  <c r="E101" i="181"/>
  <c r="E120" i="181"/>
  <c r="E115" i="181"/>
  <c r="E126" i="181"/>
  <c r="E128" i="181"/>
  <c r="E142" i="181"/>
  <c r="E154" i="181"/>
  <c r="E139" i="181"/>
  <c r="E59" i="181"/>
  <c r="E119" i="181"/>
  <c r="E137" i="181"/>
  <c r="E149" i="181"/>
  <c r="E161" i="181"/>
  <c r="E15" i="181"/>
  <c r="E88" i="181"/>
  <c r="E116" i="181"/>
  <c r="E130" i="181"/>
  <c r="E132" i="181"/>
  <c r="E144" i="181"/>
  <c r="E156" i="181"/>
  <c r="E134" i="181"/>
  <c r="E146" i="181"/>
  <c r="E158" i="181"/>
  <c r="E113" i="181"/>
  <c r="E129" i="181"/>
  <c r="E141" i="181"/>
  <c r="E153" i="181"/>
  <c r="E165" i="181"/>
  <c r="E104" i="181"/>
  <c r="E118" i="181"/>
  <c r="E140" i="181"/>
  <c r="E152" i="181"/>
  <c r="E164" i="181"/>
  <c r="E111" i="181"/>
  <c r="E148" i="181"/>
  <c r="E155" i="181"/>
  <c r="E162" i="181"/>
  <c r="E36" i="181"/>
  <c r="E145" i="181"/>
  <c r="E131" i="181"/>
  <c r="E159" i="181"/>
  <c r="E3" i="181"/>
  <c r="E163" i="181"/>
  <c r="E160" i="181"/>
  <c r="E136" i="181"/>
  <c r="E150" i="181"/>
  <c r="E135" i="181"/>
  <c r="E133" i="181"/>
  <c r="E143" i="181"/>
  <c r="E99" i="181"/>
  <c r="E147" i="181"/>
  <c r="E138" i="181"/>
  <c r="E151" i="181"/>
  <c r="E157" i="181"/>
  <c r="F1" i="181"/>
  <c r="T84" i="178"/>
  <c r="F56" i="181" l="1"/>
  <c r="F123" i="181"/>
  <c r="F124" i="181"/>
  <c r="F85" i="181"/>
  <c r="F121" i="181"/>
  <c r="F122" i="181"/>
  <c r="AE3" i="183"/>
  <c r="AE122" i="183"/>
  <c r="AE123" i="183"/>
  <c r="AE85" i="183"/>
  <c r="AE34" i="183"/>
  <c r="AE40" i="183"/>
  <c r="AE46" i="183"/>
  <c r="AE35" i="183"/>
  <c r="AE41" i="183"/>
  <c r="AE47" i="183"/>
  <c r="AE36" i="183"/>
  <c r="AE42" i="183"/>
  <c r="AE37" i="183"/>
  <c r="AE43" i="183"/>
  <c r="AE32" i="183"/>
  <c r="AE38" i="183"/>
  <c r="AE44" i="183"/>
  <c r="AE33" i="183"/>
  <c r="AE39" i="183"/>
  <c r="AE45" i="183"/>
  <c r="AE50" i="183"/>
  <c r="AE56" i="183"/>
  <c r="AE62" i="183"/>
  <c r="AE51" i="183"/>
  <c r="AE57" i="183"/>
  <c r="AE63" i="183"/>
  <c r="AE52" i="183"/>
  <c r="AE58" i="183"/>
  <c r="AE53" i="183"/>
  <c r="AE59" i="183"/>
  <c r="AE48" i="183"/>
  <c r="AE54" i="183"/>
  <c r="AE60" i="183"/>
  <c r="AE49" i="183"/>
  <c r="AE55" i="183"/>
  <c r="AE61" i="183"/>
  <c r="AE69" i="183"/>
  <c r="AE75" i="183"/>
  <c r="AE64" i="183"/>
  <c r="AE70" i="183"/>
  <c r="AE76" i="183"/>
  <c r="AE65" i="183"/>
  <c r="AE71" i="183"/>
  <c r="AE77" i="183"/>
  <c r="AE66" i="183"/>
  <c r="AE72" i="183"/>
  <c r="AE78" i="183"/>
  <c r="AE67" i="183"/>
  <c r="AE73" i="183"/>
  <c r="AE79" i="183"/>
  <c r="AE68" i="183"/>
  <c r="AE74" i="183"/>
  <c r="AE86" i="183"/>
  <c r="AE93" i="183"/>
  <c r="AE80" i="183"/>
  <c r="AE88" i="183"/>
  <c r="AE94" i="183"/>
  <c r="AE81" i="183"/>
  <c r="AE89" i="183"/>
  <c r="AE95" i="183"/>
  <c r="AE82" i="183"/>
  <c r="AE90" i="183"/>
  <c r="AE96" i="183"/>
  <c r="AE83" i="183"/>
  <c r="AE91" i="183"/>
  <c r="AE84" i="183"/>
  <c r="AE92" i="183"/>
  <c r="AE97" i="183"/>
  <c r="AE103" i="183"/>
  <c r="AE109" i="183"/>
  <c r="AE104" i="183"/>
  <c r="AE110" i="183"/>
  <c r="AE99" i="183"/>
  <c r="AE105" i="183"/>
  <c r="AE111" i="183"/>
  <c r="AE100" i="183"/>
  <c r="AE106" i="183"/>
  <c r="AE112" i="183"/>
  <c r="AE101" i="183"/>
  <c r="AE107" i="183"/>
  <c r="AE113" i="183"/>
  <c r="AE98" i="183"/>
  <c r="AE102" i="183"/>
  <c r="AE108" i="183"/>
  <c r="AE118" i="183"/>
  <c r="AE126" i="183"/>
  <c r="AE132" i="183"/>
  <c r="AE138" i="183"/>
  <c r="AE144" i="183"/>
  <c r="AE119" i="183"/>
  <c r="AE127" i="183"/>
  <c r="AE133" i="183"/>
  <c r="AE139" i="183"/>
  <c r="AE145" i="183"/>
  <c r="AE114" i="183"/>
  <c r="AE120" i="183"/>
  <c r="AE128" i="183"/>
  <c r="AE134" i="183"/>
  <c r="AE140" i="183"/>
  <c r="AE146" i="183"/>
  <c r="AE115" i="183"/>
  <c r="AE121" i="183"/>
  <c r="AE129" i="183"/>
  <c r="AE135" i="183"/>
  <c r="AE141" i="183"/>
  <c r="AE147" i="183"/>
  <c r="AE116" i="183"/>
  <c r="AE124" i="183"/>
  <c r="AE130" i="183"/>
  <c r="AE136" i="183"/>
  <c r="AE142" i="183"/>
  <c r="AE148" i="183"/>
  <c r="AE117" i="183"/>
  <c r="AE125" i="183"/>
  <c r="AE131" i="183"/>
  <c r="AE137" i="183"/>
  <c r="AE143" i="183"/>
  <c r="AE150" i="183"/>
  <c r="AE156" i="183"/>
  <c r="AE162" i="183"/>
  <c r="AE5" i="183"/>
  <c r="AE11" i="183"/>
  <c r="AE17" i="183"/>
  <c r="AE151" i="183"/>
  <c r="AE157" i="183"/>
  <c r="AE163" i="183"/>
  <c r="AE6" i="183"/>
  <c r="AE12" i="183"/>
  <c r="AE18" i="183"/>
  <c r="AE152" i="183"/>
  <c r="AE158" i="183"/>
  <c r="AE164" i="183"/>
  <c r="AE7" i="183"/>
  <c r="AE13" i="183"/>
  <c r="AE153" i="183"/>
  <c r="AE159" i="183"/>
  <c r="AE165" i="183"/>
  <c r="AE8" i="183"/>
  <c r="AE14" i="183"/>
  <c r="AE154" i="183"/>
  <c r="AE160" i="183"/>
  <c r="AE166" i="183"/>
  <c r="AE9" i="183"/>
  <c r="AE15" i="183"/>
  <c r="AE149" i="183"/>
  <c r="AE155" i="183"/>
  <c r="AE161" i="183"/>
  <c r="AE4" i="183"/>
  <c r="AE10" i="183"/>
  <c r="AE16" i="183"/>
  <c r="AE22" i="183"/>
  <c r="AE28" i="183"/>
  <c r="AE23" i="183"/>
  <c r="AE29" i="183"/>
  <c r="AE24" i="183"/>
  <c r="AE30" i="183"/>
  <c r="AE19" i="183"/>
  <c r="AE25" i="183"/>
  <c r="AE31" i="183"/>
  <c r="AE20" i="183"/>
  <c r="AE26" i="183"/>
  <c r="AE21" i="183"/>
  <c r="AE27" i="183"/>
  <c r="AF1" i="183"/>
  <c r="AF87" i="183" s="1"/>
  <c r="F7" i="181"/>
  <c r="F19" i="181"/>
  <c r="F31" i="181"/>
  <c r="F14" i="181"/>
  <c r="F26" i="181"/>
  <c r="F9" i="181"/>
  <c r="F21" i="181"/>
  <c r="F33" i="181"/>
  <c r="F4" i="181"/>
  <c r="F11" i="181"/>
  <c r="F23" i="181"/>
  <c r="F35" i="181"/>
  <c r="F6" i="181"/>
  <c r="F18" i="181"/>
  <c r="F30" i="181"/>
  <c r="F13" i="181"/>
  <c r="F25" i="181"/>
  <c r="F10" i="181"/>
  <c r="F22" i="181"/>
  <c r="F34" i="181"/>
  <c r="F17" i="181"/>
  <c r="F37" i="181"/>
  <c r="F49" i="181"/>
  <c r="F5" i="181"/>
  <c r="F32" i="181"/>
  <c r="F44" i="181"/>
  <c r="F20" i="181"/>
  <c r="F39" i="181"/>
  <c r="F51" i="181"/>
  <c r="F41" i="181"/>
  <c r="F53" i="181"/>
  <c r="F29" i="181"/>
  <c r="F66" i="181"/>
  <c r="F40" i="181"/>
  <c r="F24" i="181"/>
  <c r="F50" i="181"/>
  <c r="F54" i="181"/>
  <c r="F58" i="181"/>
  <c r="F62" i="181"/>
  <c r="F67" i="181"/>
  <c r="F76" i="181"/>
  <c r="F38" i="181"/>
  <c r="F60" i="181"/>
  <c r="F61" i="181"/>
  <c r="F64" i="181"/>
  <c r="F45" i="181"/>
  <c r="F46" i="181"/>
  <c r="F15" i="181"/>
  <c r="F36" i="181"/>
  <c r="F59" i="181"/>
  <c r="F68" i="181"/>
  <c r="F28" i="181"/>
  <c r="F47" i="181"/>
  <c r="F75" i="181"/>
  <c r="F8" i="181"/>
  <c r="F12" i="181"/>
  <c r="F57" i="181"/>
  <c r="F92" i="181"/>
  <c r="F87" i="181"/>
  <c r="F55" i="181"/>
  <c r="F83" i="181"/>
  <c r="F43" i="181"/>
  <c r="F74" i="181"/>
  <c r="F91" i="181"/>
  <c r="F27" i="181"/>
  <c r="F63" i="181"/>
  <c r="F69" i="181"/>
  <c r="F86" i="181"/>
  <c r="F90" i="181"/>
  <c r="F72" i="181"/>
  <c r="F84" i="181"/>
  <c r="F101" i="181"/>
  <c r="F81" i="181"/>
  <c r="F96" i="181"/>
  <c r="F108" i="181"/>
  <c r="F48" i="181"/>
  <c r="F71" i="181"/>
  <c r="F89" i="181"/>
  <c r="F70" i="181"/>
  <c r="F105" i="181"/>
  <c r="F78" i="181"/>
  <c r="F82" i="181"/>
  <c r="F100" i="181"/>
  <c r="F16" i="181"/>
  <c r="F42" i="181"/>
  <c r="F95" i="181"/>
  <c r="F107" i="181"/>
  <c r="F73" i="181"/>
  <c r="F88" i="181"/>
  <c r="F99" i="181"/>
  <c r="F115" i="181"/>
  <c r="F128" i="181"/>
  <c r="F97" i="181"/>
  <c r="F102" i="181"/>
  <c r="F79" i="181"/>
  <c r="F93" i="181"/>
  <c r="F98" i="181"/>
  <c r="F109" i="181"/>
  <c r="F117" i="181"/>
  <c r="F106" i="181"/>
  <c r="F119" i="181"/>
  <c r="F52" i="181"/>
  <c r="F103" i="181"/>
  <c r="F114" i="181"/>
  <c r="F127" i="181"/>
  <c r="F113" i="181"/>
  <c r="F126" i="181"/>
  <c r="F94" i="181"/>
  <c r="F135" i="181"/>
  <c r="F147" i="181"/>
  <c r="F159" i="181"/>
  <c r="F3" i="181"/>
  <c r="F116" i="181"/>
  <c r="F112" i="181"/>
  <c r="F142" i="181"/>
  <c r="F154" i="181"/>
  <c r="F130" i="181"/>
  <c r="F132" i="181"/>
  <c r="F137" i="181"/>
  <c r="F149" i="181"/>
  <c r="F161" i="181"/>
  <c r="F139" i="181"/>
  <c r="F151" i="181"/>
  <c r="F163" i="181"/>
  <c r="F80" i="181"/>
  <c r="F134" i="181"/>
  <c r="F146" i="181"/>
  <c r="F158" i="181"/>
  <c r="F120" i="181"/>
  <c r="F111" i="181"/>
  <c r="F133" i="181"/>
  <c r="F145" i="181"/>
  <c r="F157" i="181"/>
  <c r="F104" i="181"/>
  <c r="F118" i="181"/>
  <c r="F138" i="181"/>
  <c r="F165" i="181"/>
  <c r="F77" i="181"/>
  <c r="F148" i="181"/>
  <c r="F140" i="181"/>
  <c r="F141" i="181"/>
  <c r="F155" i="181"/>
  <c r="F162" i="181"/>
  <c r="F152" i="181"/>
  <c r="F110" i="181"/>
  <c r="F131" i="181"/>
  <c r="F156" i="181"/>
  <c r="F153" i="181"/>
  <c r="F65" i="181"/>
  <c r="F143" i="181"/>
  <c r="F125" i="181"/>
  <c r="F129" i="181"/>
  <c r="F160" i="181"/>
  <c r="F164" i="181"/>
  <c r="F144" i="181"/>
  <c r="F136" i="181"/>
  <c r="F150" i="181"/>
  <c r="G1" i="181"/>
  <c r="T82" i="178"/>
  <c r="G56" i="181" l="1"/>
  <c r="G122" i="181"/>
  <c r="G123" i="181"/>
  <c r="G124" i="181"/>
  <c r="G85" i="181"/>
  <c r="G121" i="181"/>
  <c r="AF3" i="183"/>
  <c r="AF122" i="183"/>
  <c r="AF123" i="183"/>
  <c r="AF85" i="183"/>
  <c r="AF33" i="183"/>
  <c r="AF39" i="183"/>
  <c r="AF45" i="183"/>
  <c r="AF34" i="183"/>
  <c r="AF40" i="183"/>
  <c r="AF46" i="183"/>
  <c r="AF35" i="183"/>
  <c r="AF41" i="183"/>
  <c r="AF47" i="183"/>
  <c r="AF36" i="183"/>
  <c r="AF42" i="183"/>
  <c r="AF37" i="183"/>
  <c r="AF43" i="183"/>
  <c r="AF32" i="183"/>
  <c r="AF38" i="183"/>
  <c r="AF44" i="183"/>
  <c r="AF49" i="183"/>
  <c r="AF55" i="183"/>
  <c r="AF61" i="183"/>
  <c r="AF50" i="183"/>
  <c r="AF56" i="183"/>
  <c r="AF62" i="183"/>
  <c r="AF51" i="183"/>
  <c r="AF57" i="183"/>
  <c r="AF63" i="183"/>
  <c r="AF52" i="183"/>
  <c r="AF58" i="183"/>
  <c r="AF53" i="183"/>
  <c r="AF59" i="183"/>
  <c r="AF48" i="183"/>
  <c r="AF54" i="183"/>
  <c r="AF60" i="183"/>
  <c r="AF68" i="183"/>
  <c r="AF74" i="183"/>
  <c r="AF69" i="183"/>
  <c r="AF75" i="183"/>
  <c r="AF64" i="183"/>
  <c r="AF70" i="183"/>
  <c r="AF76" i="183"/>
  <c r="AF65" i="183"/>
  <c r="AF71" i="183"/>
  <c r="AF77" i="183"/>
  <c r="AF66" i="183"/>
  <c r="AF72" i="183"/>
  <c r="AF78" i="183"/>
  <c r="AF67" i="183"/>
  <c r="AF73" i="183"/>
  <c r="AF79" i="183"/>
  <c r="AF84" i="183"/>
  <c r="AF92" i="183"/>
  <c r="AF98" i="183"/>
  <c r="AF86" i="183"/>
  <c r="AF93" i="183"/>
  <c r="AF80" i="183"/>
  <c r="AF88" i="183"/>
  <c r="AF94" i="183"/>
  <c r="AF81" i="183"/>
  <c r="AF89" i="183"/>
  <c r="AF95" i="183"/>
  <c r="AF82" i="183"/>
  <c r="AF90" i="183"/>
  <c r="AF83" i="183"/>
  <c r="AF91" i="183"/>
  <c r="AF102" i="183"/>
  <c r="AF108" i="183"/>
  <c r="AF97" i="183"/>
  <c r="AF103" i="183"/>
  <c r="AF109" i="183"/>
  <c r="AF96" i="183"/>
  <c r="AF104" i="183"/>
  <c r="AF110" i="183"/>
  <c r="AF99" i="183"/>
  <c r="AF105" i="183"/>
  <c r="AF111" i="183"/>
  <c r="AF100" i="183"/>
  <c r="AF106" i="183"/>
  <c r="AF112" i="183"/>
  <c r="AF101" i="183"/>
  <c r="AF107" i="183"/>
  <c r="AF113" i="183"/>
  <c r="AF117" i="183"/>
  <c r="AF125" i="183"/>
  <c r="AF131" i="183"/>
  <c r="AF137" i="183"/>
  <c r="AF143" i="183"/>
  <c r="AF118" i="183"/>
  <c r="AF126" i="183"/>
  <c r="AF132" i="183"/>
  <c r="AF138" i="183"/>
  <c r="AF144" i="183"/>
  <c r="AF119" i="183"/>
  <c r="AF127" i="183"/>
  <c r="AF133" i="183"/>
  <c r="AF139" i="183"/>
  <c r="AF145" i="183"/>
  <c r="AF114" i="183"/>
  <c r="AF120" i="183"/>
  <c r="AF128" i="183"/>
  <c r="AF134" i="183"/>
  <c r="AF140" i="183"/>
  <c r="AF146" i="183"/>
  <c r="AF115" i="183"/>
  <c r="AF121" i="183"/>
  <c r="AF129" i="183"/>
  <c r="AF135" i="183"/>
  <c r="AF141" i="183"/>
  <c r="AF147" i="183"/>
  <c r="AF116" i="183"/>
  <c r="AF124" i="183"/>
  <c r="AF130" i="183"/>
  <c r="AF136" i="183"/>
  <c r="AF142" i="183"/>
  <c r="AF148" i="183"/>
  <c r="AF149" i="183"/>
  <c r="AF155" i="183"/>
  <c r="AF161" i="183"/>
  <c r="AF4" i="183"/>
  <c r="AF10" i="183"/>
  <c r="AF16" i="183"/>
  <c r="AF150" i="183"/>
  <c r="AF156" i="183"/>
  <c r="AF162" i="183"/>
  <c r="AF5" i="183"/>
  <c r="AF11" i="183"/>
  <c r="AF17" i="183"/>
  <c r="AF151" i="183"/>
  <c r="AF157" i="183"/>
  <c r="AF163" i="183"/>
  <c r="AF6" i="183"/>
  <c r="AF12" i="183"/>
  <c r="AF18" i="183"/>
  <c r="AF152" i="183"/>
  <c r="AF158" i="183"/>
  <c r="AF164" i="183"/>
  <c r="AF7" i="183"/>
  <c r="AF13" i="183"/>
  <c r="AF153" i="183"/>
  <c r="AF159" i="183"/>
  <c r="AF165" i="183"/>
  <c r="AF8" i="183"/>
  <c r="AF14" i="183"/>
  <c r="AF154" i="183"/>
  <c r="AF160" i="183"/>
  <c r="AF166" i="183"/>
  <c r="AF9" i="183"/>
  <c r="AF15" i="183"/>
  <c r="AF21" i="183"/>
  <c r="AF27" i="183"/>
  <c r="AF22" i="183"/>
  <c r="AF28" i="183"/>
  <c r="AF23" i="183"/>
  <c r="AF29" i="183"/>
  <c r="AF24" i="183"/>
  <c r="AF30" i="183"/>
  <c r="AF19" i="183"/>
  <c r="AF25" i="183"/>
  <c r="AF31" i="183"/>
  <c r="AF20" i="183"/>
  <c r="AF26" i="183"/>
  <c r="AG1" i="183"/>
  <c r="AG87" i="183" s="1"/>
  <c r="G12" i="181"/>
  <c r="G24" i="181"/>
  <c r="G36" i="181"/>
  <c r="G7" i="181"/>
  <c r="G19" i="181"/>
  <c r="G31" i="181"/>
  <c r="G14" i="181"/>
  <c r="G26" i="181"/>
  <c r="G4" i="181"/>
  <c r="G16" i="181"/>
  <c r="G28" i="181"/>
  <c r="G11" i="181"/>
  <c r="G23" i="181"/>
  <c r="G35" i="181"/>
  <c r="G6" i="181"/>
  <c r="G18" i="181"/>
  <c r="G30" i="181"/>
  <c r="G15" i="181"/>
  <c r="G27" i="181"/>
  <c r="G29" i="181"/>
  <c r="G42" i="181"/>
  <c r="G54" i="181"/>
  <c r="G17" i="181"/>
  <c r="G37" i="181"/>
  <c r="G49" i="181"/>
  <c r="G5" i="181"/>
  <c r="G32" i="181"/>
  <c r="G44" i="181"/>
  <c r="G8" i="181"/>
  <c r="G21" i="181"/>
  <c r="G34" i="181"/>
  <c r="G46" i="181"/>
  <c r="G25" i="181"/>
  <c r="G55" i="181"/>
  <c r="G59" i="181"/>
  <c r="G51" i="181"/>
  <c r="G61" i="181"/>
  <c r="G43" i="181"/>
  <c r="G47" i="181"/>
  <c r="G63" i="181"/>
  <c r="G69" i="181"/>
  <c r="G62" i="181"/>
  <c r="G67" i="181"/>
  <c r="G13" i="181"/>
  <c r="G38" i="181"/>
  <c r="G39" i="181"/>
  <c r="G60" i="181"/>
  <c r="G64" i="181"/>
  <c r="G71" i="181"/>
  <c r="G52" i="181"/>
  <c r="G65" i="181"/>
  <c r="G73" i="181"/>
  <c r="G40" i="181"/>
  <c r="G68" i="181"/>
  <c r="G33" i="181"/>
  <c r="G50" i="181"/>
  <c r="G57" i="181"/>
  <c r="G72" i="181"/>
  <c r="G84" i="181"/>
  <c r="G9" i="181"/>
  <c r="G53" i="181"/>
  <c r="G75" i="181"/>
  <c r="G92" i="181"/>
  <c r="G48" i="181"/>
  <c r="G89" i="181"/>
  <c r="G10" i="181"/>
  <c r="G83" i="181"/>
  <c r="G74" i="181"/>
  <c r="G91" i="181"/>
  <c r="G66" i="181"/>
  <c r="G78" i="181"/>
  <c r="G82" i="181"/>
  <c r="G94" i="181"/>
  <c r="G106" i="181"/>
  <c r="G101" i="181"/>
  <c r="G22" i="181"/>
  <c r="G41" i="181"/>
  <c r="G81" i="181"/>
  <c r="G96" i="181"/>
  <c r="G77" i="181"/>
  <c r="G93" i="181"/>
  <c r="G98" i="181"/>
  <c r="G110" i="181"/>
  <c r="G70" i="181"/>
  <c r="G105" i="181"/>
  <c r="G76" i="181"/>
  <c r="G90" i="181"/>
  <c r="G100" i="181"/>
  <c r="G20" i="181"/>
  <c r="G58" i="181"/>
  <c r="G80" i="181"/>
  <c r="G104" i="181"/>
  <c r="G120" i="181"/>
  <c r="G115" i="181"/>
  <c r="G128" i="181"/>
  <c r="G97" i="181"/>
  <c r="G102" i="181"/>
  <c r="G99" i="181"/>
  <c r="G112" i="181"/>
  <c r="G125" i="181"/>
  <c r="G86" i="181"/>
  <c r="G119" i="181"/>
  <c r="G118" i="181"/>
  <c r="G87" i="181"/>
  <c r="G140" i="181"/>
  <c r="G152" i="181"/>
  <c r="G164" i="181"/>
  <c r="G79" i="181"/>
  <c r="G109" i="181"/>
  <c r="G126" i="181"/>
  <c r="G135" i="181"/>
  <c r="G147" i="181"/>
  <c r="G159" i="181"/>
  <c r="G3" i="181"/>
  <c r="G45" i="181"/>
  <c r="G137" i="181"/>
  <c r="G103" i="181"/>
  <c r="G142" i="181"/>
  <c r="G154" i="181"/>
  <c r="G88" i="181"/>
  <c r="G116" i="181"/>
  <c r="G130" i="181"/>
  <c r="G132" i="181"/>
  <c r="G144" i="181"/>
  <c r="G156" i="181"/>
  <c r="G113" i="181"/>
  <c r="G139" i="181"/>
  <c r="G151" i="181"/>
  <c r="G163" i="181"/>
  <c r="G95" i="181"/>
  <c r="G108" i="181"/>
  <c r="G127" i="181"/>
  <c r="G138" i="181"/>
  <c r="G150" i="181"/>
  <c r="G162" i="181"/>
  <c r="G111" i="181"/>
  <c r="G158" i="181"/>
  <c r="G107" i="181"/>
  <c r="G155" i="181"/>
  <c r="G165" i="181"/>
  <c r="G141" i="181"/>
  <c r="G148" i="181"/>
  <c r="G145" i="181"/>
  <c r="G149" i="181"/>
  <c r="G131" i="181"/>
  <c r="G146" i="181"/>
  <c r="G134" i="181"/>
  <c r="G153" i="181"/>
  <c r="G129" i="181"/>
  <c r="G133" i="181"/>
  <c r="G160" i="181"/>
  <c r="G117" i="181"/>
  <c r="G136" i="181"/>
  <c r="G157" i="181"/>
  <c r="G114" i="181"/>
  <c r="G161" i="181"/>
  <c r="G143" i="181"/>
  <c r="H1" i="181"/>
  <c r="T78" i="178"/>
  <c r="T79" i="178"/>
  <c r="T83" i="178"/>
  <c r="T80" i="178"/>
  <c r="H56" i="181" l="1"/>
  <c r="H121" i="181"/>
  <c r="H122" i="181"/>
  <c r="H123" i="181"/>
  <c r="H124" i="181"/>
  <c r="H85" i="181"/>
  <c r="AG3" i="183"/>
  <c r="AG123" i="183"/>
  <c r="AG85" i="183"/>
  <c r="AG122" i="183"/>
  <c r="AG32" i="183"/>
  <c r="AG38" i="183"/>
  <c r="AG44" i="183"/>
  <c r="AG33" i="183"/>
  <c r="AG39" i="183"/>
  <c r="AG45" i="183"/>
  <c r="AG34" i="183"/>
  <c r="AG40" i="183"/>
  <c r="AG46" i="183"/>
  <c r="AG35" i="183"/>
  <c r="AG41" i="183"/>
  <c r="AG47" i="183"/>
  <c r="AG36" i="183"/>
  <c r="AG42" i="183"/>
  <c r="AG37" i="183"/>
  <c r="AG43" i="183"/>
  <c r="AG48" i="183"/>
  <c r="AG54" i="183"/>
  <c r="AG60" i="183"/>
  <c r="AG49" i="183"/>
  <c r="AG55" i="183"/>
  <c r="AG61" i="183"/>
  <c r="AG50" i="183"/>
  <c r="AG56" i="183"/>
  <c r="AG62" i="183"/>
  <c r="AG51" i="183"/>
  <c r="AG57" i="183"/>
  <c r="AG63" i="183"/>
  <c r="AG52" i="183"/>
  <c r="AG58" i="183"/>
  <c r="AG53" i="183"/>
  <c r="AG59" i="183"/>
  <c r="AG67" i="183"/>
  <c r="AG73" i="183"/>
  <c r="AG79" i="183"/>
  <c r="AG68" i="183"/>
  <c r="AG74" i="183"/>
  <c r="AG69" i="183"/>
  <c r="AG75" i="183"/>
  <c r="AG64" i="183"/>
  <c r="AG70" i="183"/>
  <c r="AG76" i="183"/>
  <c r="AG65" i="183"/>
  <c r="AG71" i="183"/>
  <c r="AG77" i="183"/>
  <c r="AG66" i="183"/>
  <c r="AG72" i="183"/>
  <c r="AG78" i="183"/>
  <c r="AG83" i="183"/>
  <c r="AG91" i="183"/>
  <c r="AG97" i="183"/>
  <c r="AG84" i="183"/>
  <c r="AG92" i="183"/>
  <c r="AG98" i="183"/>
  <c r="AG86" i="183"/>
  <c r="AG93" i="183"/>
  <c r="AG80" i="183"/>
  <c r="AG88" i="183"/>
  <c r="AG94" i="183"/>
  <c r="AG81" i="183"/>
  <c r="AG89" i="183"/>
  <c r="AG82" i="183"/>
  <c r="AG90" i="183"/>
  <c r="AG101" i="183"/>
  <c r="AG107" i="183"/>
  <c r="AG113" i="183"/>
  <c r="AG102" i="183"/>
  <c r="AG108" i="183"/>
  <c r="AG103" i="183"/>
  <c r="AG109" i="183"/>
  <c r="AG96" i="183"/>
  <c r="AG104" i="183"/>
  <c r="AG110" i="183"/>
  <c r="AG95" i="183"/>
  <c r="AG99" i="183"/>
  <c r="AG105" i="183"/>
  <c r="AG111" i="183"/>
  <c r="AG100" i="183"/>
  <c r="AG106" i="183"/>
  <c r="AG112" i="183"/>
  <c r="AG116" i="183"/>
  <c r="AG124" i="183"/>
  <c r="AG130" i="183"/>
  <c r="AG136" i="183"/>
  <c r="AG142" i="183"/>
  <c r="AG148" i="183"/>
  <c r="AG117" i="183"/>
  <c r="AG125" i="183"/>
  <c r="AG131" i="183"/>
  <c r="AG137" i="183"/>
  <c r="AG143" i="183"/>
  <c r="AG118" i="183"/>
  <c r="AG126" i="183"/>
  <c r="AG132" i="183"/>
  <c r="AG138" i="183"/>
  <c r="AG144" i="183"/>
  <c r="AG119" i="183"/>
  <c r="AG127" i="183"/>
  <c r="AG133" i="183"/>
  <c r="AG139" i="183"/>
  <c r="AG145" i="183"/>
  <c r="AG114" i="183"/>
  <c r="AG120" i="183"/>
  <c r="AG128" i="183"/>
  <c r="AG134" i="183"/>
  <c r="AG140" i="183"/>
  <c r="AG146" i="183"/>
  <c r="AG115" i="183"/>
  <c r="AG121" i="183"/>
  <c r="AG129" i="183"/>
  <c r="AG135" i="183"/>
  <c r="AG141" i="183"/>
  <c r="AG147" i="183"/>
  <c r="AG154" i="183"/>
  <c r="AG160" i="183"/>
  <c r="AG166" i="183"/>
  <c r="AG9" i="183"/>
  <c r="AG15" i="183"/>
  <c r="AG149" i="183"/>
  <c r="AG155" i="183"/>
  <c r="AG161" i="183"/>
  <c r="AG4" i="183"/>
  <c r="AG10" i="183"/>
  <c r="AG16" i="183"/>
  <c r="AG150" i="183"/>
  <c r="AG156" i="183"/>
  <c r="AG162" i="183"/>
  <c r="AG5" i="183"/>
  <c r="AG11" i="183"/>
  <c r="AG17" i="183"/>
  <c r="AG151" i="183"/>
  <c r="AG157" i="183"/>
  <c r="AG163" i="183"/>
  <c r="AG6" i="183"/>
  <c r="AG12" i="183"/>
  <c r="AG18" i="183"/>
  <c r="AG152" i="183"/>
  <c r="AG158" i="183"/>
  <c r="AG164" i="183"/>
  <c r="AG7" i="183"/>
  <c r="AG13" i="183"/>
  <c r="AG153" i="183"/>
  <c r="AG159" i="183"/>
  <c r="AG165" i="183"/>
  <c r="AG8" i="183"/>
  <c r="AG14" i="183"/>
  <c r="AG20" i="183"/>
  <c r="AG26" i="183"/>
  <c r="AG21" i="183"/>
  <c r="AG27" i="183"/>
  <c r="AG22" i="183"/>
  <c r="AG28" i="183"/>
  <c r="AG23" i="183"/>
  <c r="AG29" i="183"/>
  <c r="AG24" i="183"/>
  <c r="AG30" i="183"/>
  <c r="AG19" i="183"/>
  <c r="AG25" i="183"/>
  <c r="AG31" i="183"/>
  <c r="AH1" i="183"/>
  <c r="AH87" i="183" s="1"/>
  <c r="AI87" i="183" s="1"/>
  <c r="H5" i="181"/>
  <c r="H17" i="181"/>
  <c r="H29" i="181"/>
  <c r="H12" i="181"/>
  <c r="H24" i="181"/>
  <c r="H36" i="181"/>
  <c r="H7" i="181"/>
  <c r="H19" i="181"/>
  <c r="H31" i="181"/>
  <c r="H9" i="181"/>
  <c r="H21" i="181"/>
  <c r="H33" i="181"/>
  <c r="H4" i="181"/>
  <c r="H16" i="181"/>
  <c r="H28" i="181"/>
  <c r="H11" i="181"/>
  <c r="H23" i="181"/>
  <c r="H35" i="181"/>
  <c r="H8" i="181"/>
  <c r="H20" i="181"/>
  <c r="H32" i="181"/>
  <c r="H30" i="181"/>
  <c r="H47" i="181"/>
  <c r="H18" i="181"/>
  <c r="H42" i="181"/>
  <c r="H54" i="181"/>
  <c r="H6" i="181"/>
  <c r="H37" i="181"/>
  <c r="H49" i="181"/>
  <c r="H39" i="181"/>
  <c r="H51" i="181"/>
  <c r="H15" i="181"/>
  <c r="H48" i="181"/>
  <c r="H52" i="181"/>
  <c r="H64" i="181"/>
  <c r="H25" i="181"/>
  <c r="H44" i="181"/>
  <c r="H55" i="181"/>
  <c r="H59" i="181"/>
  <c r="H10" i="181"/>
  <c r="H40" i="181"/>
  <c r="H27" i="181"/>
  <c r="H57" i="181"/>
  <c r="H63" i="181"/>
  <c r="H74" i="181"/>
  <c r="H69" i="181"/>
  <c r="H61" i="181"/>
  <c r="H62" i="181"/>
  <c r="H67" i="181"/>
  <c r="H76" i="181"/>
  <c r="H45" i="181"/>
  <c r="H53" i="181"/>
  <c r="H65" i="181"/>
  <c r="H73" i="181"/>
  <c r="H43" i="181"/>
  <c r="H90" i="181"/>
  <c r="H13" i="181"/>
  <c r="H34" i="181"/>
  <c r="H46" i="181"/>
  <c r="H72" i="181"/>
  <c r="H84" i="181"/>
  <c r="H22" i="181"/>
  <c r="H41" i="181"/>
  <c r="H71" i="181"/>
  <c r="H79" i="181"/>
  <c r="H81" i="181"/>
  <c r="H14" i="181"/>
  <c r="H89" i="181"/>
  <c r="H50" i="181"/>
  <c r="H83" i="181"/>
  <c r="H70" i="181"/>
  <c r="H88" i="181"/>
  <c r="H66" i="181"/>
  <c r="H99" i="181"/>
  <c r="H68" i="181"/>
  <c r="H92" i="181"/>
  <c r="H94" i="181"/>
  <c r="H106" i="181"/>
  <c r="H86" i="181"/>
  <c r="H103" i="181"/>
  <c r="H77" i="181"/>
  <c r="H93" i="181"/>
  <c r="H98" i="181"/>
  <c r="H110" i="181"/>
  <c r="H78" i="181"/>
  <c r="H82" i="181"/>
  <c r="H105" i="181"/>
  <c r="H97" i="181"/>
  <c r="H109" i="181"/>
  <c r="H87" i="181"/>
  <c r="H95" i="181"/>
  <c r="H108" i="181"/>
  <c r="H113" i="181"/>
  <c r="H126" i="181"/>
  <c r="H26" i="181"/>
  <c r="H96" i="181"/>
  <c r="H120" i="181"/>
  <c r="H58" i="181"/>
  <c r="H91" i="181"/>
  <c r="H115" i="181"/>
  <c r="H117" i="181"/>
  <c r="H112" i="181"/>
  <c r="H125" i="181"/>
  <c r="H80" i="181"/>
  <c r="H104" i="181"/>
  <c r="H111" i="181"/>
  <c r="H101" i="181"/>
  <c r="H118" i="181"/>
  <c r="H133" i="181"/>
  <c r="H145" i="181"/>
  <c r="H157" i="181"/>
  <c r="H128" i="181"/>
  <c r="H140" i="181"/>
  <c r="H152" i="181"/>
  <c r="H164" i="181"/>
  <c r="H60" i="181"/>
  <c r="H75" i="181"/>
  <c r="H119" i="181"/>
  <c r="H135" i="181"/>
  <c r="H147" i="181"/>
  <c r="H159" i="181"/>
  <c r="H3" i="181"/>
  <c r="H100" i="181"/>
  <c r="H137" i="181"/>
  <c r="H149" i="181"/>
  <c r="H161" i="181"/>
  <c r="H116" i="181"/>
  <c r="H130" i="181"/>
  <c r="H132" i="181"/>
  <c r="H144" i="181"/>
  <c r="H156" i="181"/>
  <c r="H107" i="181"/>
  <c r="H131" i="181"/>
  <c r="H143" i="181"/>
  <c r="H155" i="181"/>
  <c r="H38" i="181"/>
  <c r="H114" i="181"/>
  <c r="H139" i="181"/>
  <c r="H151" i="181"/>
  <c r="H148" i="181"/>
  <c r="H138" i="181"/>
  <c r="H158" i="181"/>
  <c r="H165" i="181"/>
  <c r="H102" i="181"/>
  <c r="H141" i="181"/>
  <c r="H162" i="181"/>
  <c r="H129" i="181"/>
  <c r="H142" i="181"/>
  <c r="H163" i="181"/>
  <c r="H134" i="181"/>
  <c r="H127" i="181"/>
  <c r="H146" i="181"/>
  <c r="H153" i="181"/>
  <c r="H150" i="181"/>
  <c r="H136" i="181"/>
  <c r="H154" i="181"/>
  <c r="H160" i="181"/>
  <c r="I1" i="181"/>
  <c r="T74" i="178"/>
  <c r="T73" i="178"/>
  <c r="I56" i="181" l="1"/>
  <c r="I121" i="181"/>
  <c r="I122" i="181"/>
  <c r="I123" i="181"/>
  <c r="I124" i="181"/>
  <c r="I85" i="181"/>
  <c r="AH3" i="183"/>
  <c r="AI3" i="183" s="1"/>
  <c r="AH122" i="183"/>
  <c r="AI122" i="183" s="1"/>
  <c r="AH123" i="183"/>
  <c r="AI123" i="183" s="1"/>
  <c r="AH85" i="183"/>
  <c r="AI85" i="183" s="1"/>
  <c r="AH37" i="183"/>
  <c r="AI37" i="183" s="1"/>
  <c r="AH43" i="183"/>
  <c r="AI43" i="183" s="1"/>
  <c r="AH32" i="183"/>
  <c r="AI32" i="183" s="1"/>
  <c r="AH38" i="183"/>
  <c r="AI38" i="183" s="1"/>
  <c r="AH44" i="183"/>
  <c r="AI44" i="183" s="1"/>
  <c r="AH33" i="183"/>
  <c r="AI33" i="183" s="1"/>
  <c r="AH39" i="183"/>
  <c r="AI39" i="183" s="1"/>
  <c r="AH45" i="183"/>
  <c r="AI45" i="183" s="1"/>
  <c r="AH34" i="183"/>
  <c r="AI34" i="183" s="1"/>
  <c r="AH40" i="183"/>
  <c r="AI40" i="183" s="1"/>
  <c r="AH46" i="183"/>
  <c r="AI46" i="183" s="1"/>
  <c r="AH35" i="183"/>
  <c r="AI35" i="183" s="1"/>
  <c r="AH41" i="183"/>
  <c r="AI41" i="183" s="1"/>
  <c r="AH47" i="183"/>
  <c r="AI47" i="183" s="1"/>
  <c r="AH36" i="183"/>
  <c r="AI36" i="183" s="1"/>
  <c r="AH42" i="183"/>
  <c r="AI42" i="183" s="1"/>
  <c r="AH53" i="183"/>
  <c r="AI53" i="183" s="1"/>
  <c r="AH59" i="183"/>
  <c r="AH48" i="183"/>
  <c r="AI48" i="183" s="1"/>
  <c r="AH54" i="183"/>
  <c r="AI54" i="183" s="1"/>
  <c r="AH60" i="183"/>
  <c r="AI60" i="183" s="1"/>
  <c r="AH49" i="183"/>
  <c r="AI49" i="183" s="1"/>
  <c r="AH55" i="183"/>
  <c r="AI55" i="183" s="1"/>
  <c r="AH61" i="183"/>
  <c r="AI61" i="183" s="1"/>
  <c r="AH50" i="183"/>
  <c r="AI50" i="183" s="1"/>
  <c r="AH56" i="183"/>
  <c r="AI56" i="183" s="1"/>
  <c r="AH62" i="183"/>
  <c r="AI62" i="183" s="1"/>
  <c r="AH51" i="183"/>
  <c r="AI51" i="183" s="1"/>
  <c r="AH57" i="183"/>
  <c r="AI57" i="183" s="1"/>
  <c r="AH52" i="183"/>
  <c r="AI52" i="183" s="1"/>
  <c r="AH58" i="183"/>
  <c r="AI58" i="183" s="1"/>
  <c r="AH63" i="183"/>
  <c r="AI63" i="183" s="1"/>
  <c r="AH66" i="183"/>
  <c r="AI66" i="183" s="1"/>
  <c r="AH72" i="183"/>
  <c r="AI72" i="183" s="1"/>
  <c r="AH78" i="183"/>
  <c r="AI78" i="183" s="1"/>
  <c r="AH67" i="183"/>
  <c r="AI67" i="183" s="1"/>
  <c r="AH73" i="183"/>
  <c r="AI73" i="183" s="1"/>
  <c r="AH79" i="183"/>
  <c r="AI79" i="183" s="1"/>
  <c r="AH68" i="183"/>
  <c r="AI68" i="183" s="1"/>
  <c r="AH74" i="183"/>
  <c r="AI74" i="183" s="1"/>
  <c r="AH69" i="183"/>
  <c r="AI69" i="183" s="1"/>
  <c r="AH75" i="183"/>
  <c r="AH64" i="183"/>
  <c r="AI64" i="183" s="1"/>
  <c r="AH70" i="183"/>
  <c r="AI70" i="183" s="1"/>
  <c r="AH76" i="183"/>
  <c r="AI76" i="183" s="1"/>
  <c r="AH65" i="183"/>
  <c r="AI65" i="183" s="1"/>
  <c r="AH71" i="183"/>
  <c r="AI71" i="183" s="1"/>
  <c r="AH77" i="183"/>
  <c r="AI77" i="183" s="1"/>
  <c r="AH82" i="183"/>
  <c r="AI82" i="183" s="1"/>
  <c r="AH90" i="183"/>
  <c r="AI90" i="183" s="1"/>
  <c r="AH96" i="183"/>
  <c r="AI96" i="183" s="1"/>
  <c r="AH83" i="183"/>
  <c r="AI83" i="183" s="1"/>
  <c r="AH91" i="183"/>
  <c r="AI91" i="183" s="1"/>
  <c r="AH97" i="183"/>
  <c r="AH84" i="183"/>
  <c r="AI84" i="183" s="1"/>
  <c r="AH92" i="183"/>
  <c r="AI92" i="183" s="1"/>
  <c r="AH86" i="183"/>
  <c r="AI86" i="183" s="1"/>
  <c r="AH93" i="183"/>
  <c r="AI93" i="183" s="1"/>
  <c r="AH80" i="183"/>
  <c r="AI80" i="183" s="1"/>
  <c r="AH88" i="183"/>
  <c r="AI88" i="183" s="1"/>
  <c r="AH94" i="183"/>
  <c r="AI94" i="183" s="1"/>
  <c r="AH81" i="183"/>
  <c r="AI81" i="183" s="1"/>
  <c r="AH89" i="183"/>
  <c r="AI89" i="183" s="1"/>
  <c r="AH98" i="183"/>
  <c r="AI98" i="183" s="1"/>
  <c r="AH100" i="183"/>
  <c r="AI100" i="183" s="1"/>
  <c r="AH106" i="183"/>
  <c r="AI106" i="183" s="1"/>
  <c r="AH112" i="183"/>
  <c r="AI112" i="183" s="1"/>
  <c r="AH101" i="183"/>
  <c r="AI101" i="183" s="1"/>
  <c r="AH107" i="183"/>
  <c r="AI107" i="183" s="1"/>
  <c r="AH113" i="183"/>
  <c r="AI113" i="183" s="1"/>
  <c r="AH102" i="183"/>
  <c r="AI102" i="183" s="1"/>
  <c r="AH108" i="183"/>
  <c r="AI108" i="183" s="1"/>
  <c r="AH103" i="183"/>
  <c r="AI103" i="183" s="1"/>
  <c r="AH109" i="183"/>
  <c r="AI109" i="183" s="1"/>
  <c r="AH104" i="183"/>
  <c r="AI104" i="183" s="1"/>
  <c r="AH110" i="183"/>
  <c r="AI110" i="183" s="1"/>
  <c r="AH95" i="183"/>
  <c r="AI95" i="183" s="1"/>
  <c r="AH99" i="183"/>
  <c r="AI99" i="183" s="1"/>
  <c r="AH105" i="183"/>
  <c r="AI105" i="183" s="1"/>
  <c r="AH111" i="183"/>
  <c r="AI111" i="183" s="1"/>
  <c r="AH115" i="183"/>
  <c r="AI115" i="183" s="1"/>
  <c r="AH121" i="183"/>
  <c r="AI121" i="183" s="1"/>
  <c r="AH129" i="183"/>
  <c r="AI129" i="183" s="1"/>
  <c r="AH135" i="183"/>
  <c r="AI135" i="183" s="1"/>
  <c r="AH141" i="183"/>
  <c r="AI141" i="183" s="1"/>
  <c r="AH147" i="183"/>
  <c r="AI147" i="183" s="1"/>
  <c r="AH116" i="183"/>
  <c r="AI116" i="183" s="1"/>
  <c r="AH124" i="183"/>
  <c r="AI124" i="183" s="1"/>
  <c r="AH130" i="183"/>
  <c r="AI130" i="183" s="1"/>
  <c r="AH136" i="183"/>
  <c r="AI136" i="183" s="1"/>
  <c r="AH142" i="183"/>
  <c r="AI142" i="183" s="1"/>
  <c r="AH148" i="183"/>
  <c r="AI148" i="183" s="1"/>
  <c r="AH117" i="183"/>
  <c r="AI117" i="183" s="1"/>
  <c r="AH125" i="183"/>
  <c r="AI125" i="183" s="1"/>
  <c r="AH131" i="183"/>
  <c r="AI131" i="183" s="1"/>
  <c r="AH137" i="183"/>
  <c r="AI137" i="183" s="1"/>
  <c r="AH143" i="183"/>
  <c r="AI143" i="183" s="1"/>
  <c r="AH118" i="183"/>
  <c r="AI118" i="183" s="1"/>
  <c r="AH126" i="183"/>
  <c r="AI126" i="183" s="1"/>
  <c r="AH132" i="183"/>
  <c r="AH138" i="183"/>
  <c r="AI138" i="183" s="1"/>
  <c r="AH144" i="183"/>
  <c r="AI144" i="183" s="1"/>
  <c r="AH119" i="183"/>
  <c r="AI119" i="183" s="1"/>
  <c r="AH127" i="183"/>
  <c r="AI127" i="183" s="1"/>
  <c r="AH133" i="183"/>
  <c r="AI133" i="183" s="1"/>
  <c r="AH139" i="183"/>
  <c r="AI139" i="183" s="1"/>
  <c r="AH145" i="183"/>
  <c r="AI145" i="183" s="1"/>
  <c r="AH114" i="183"/>
  <c r="AI114" i="183" s="1"/>
  <c r="AH120" i="183"/>
  <c r="AI120" i="183" s="1"/>
  <c r="AH128" i="183"/>
  <c r="AI128" i="183" s="1"/>
  <c r="AH134" i="183"/>
  <c r="AI134" i="183" s="1"/>
  <c r="AH140" i="183"/>
  <c r="AI140" i="183" s="1"/>
  <c r="AH146" i="183"/>
  <c r="AI146" i="183" s="1"/>
  <c r="AH153" i="183"/>
  <c r="AI153" i="183" s="1"/>
  <c r="AH159" i="183"/>
  <c r="AI159" i="183" s="1"/>
  <c r="AH165" i="183"/>
  <c r="AI165" i="183" s="1"/>
  <c r="AH8" i="183"/>
  <c r="AI8" i="183" s="1"/>
  <c r="AH14" i="183"/>
  <c r="AI14" i="183" s="1"/>
  <c r="AH154" i="183"/>
  <c r="AI154" i="183" s="1"/>
  <c r="AH160" i="183"/>
  <c r="AI160" i="183" s="1"/>
  <c r="AH166" i="183"/>
  <c r="AI166" i="183" s="1"/>
  <c r="AH9" i="183"/>
  <c r="AI9" i="183" s="1"/>
  <c r="AH15" i="183"/>
  <c r="AI15" i="183" s="1"/>
  <c r="AH149" i="183"/>
  <c r="AI149" i="183" s="1"/>
  <c r="AH155" i="183"/>
  <c r="AI155" i="183" s="1"/>
  <c r="AH161" i="183"/>
  <c r="AI161" i="183" s="1"/>
  <c r="AH4" i="183"/>
  <c r="AI4" i="183" s="1"/>
  <c r="AH10" i="183"/>
  <c r="AI10" i="183" s="1"/>
  <c r="AH16" i="183"/>
  <c r="AI16" i="183" s="1"/>
  <c r="AH150" i="183"/>
  <c r="AI150" i="183" s="1"/>
  <c r="AH156" i="183"/>
  <c r="AI156" i="183" s="1"/>
  <c r="AH162" i="183"/>
  <c r="AI162" i="183" s="1"/>
  <c r="AH5" i="183"/>
  <c r="AI5" i="183" s="1"/>
  <c r="AH11" i="183"/>
  <c r="AI11" i="183" s="1"/>
  <c r="AH17" i="183"/>
  <c r="AI17" i="183" s="1"/>
  <c r="AH151" i="183"/>
  <c r="AI151" i="183" s="1"/>
  <c r="AH157" i="183"/>
  <c r="AI157" i="183" s="1"/>
  <c r="AH163" i="183"/>
  <c r="AI163" i="183" s="1"/>
  <c r="AH6" i="183"/>
  <c r="AI6" i="183" s="1"/>
  <c r="AH12" i="183"/>
  <c r="AI12" i="183" s="1"/>
  <c r="AH18" i="183"/>
  <c r="AI18" i="183" s="1"/>
  <c r="AH152" i="183"/>
  <c r="AI152" i="183" s="1"/>
  <c r="AH158" i="183"/>
  <c r="AI158" i="183" s="1"/>
  <c r="AH164" i="183"/>
  <c r="AI164" i="183" s="1"/>
  <c r="AH7" i="183"/>
  <c r="AI7" i="183" s="1"/>
  <c r="AH13" i="183"/>
  <c r="AI13" i="183" s="1"/>
  <c r="AH19" i="183"/>
  <c r="AI19" i="183" s="1"/>
  <c r="AH25" i="183"/>
  <c r="AI25" i="183" s="1"/>
  <c r="AH31" i="183"/>
  <c r="AI31" i="183" s="1"/>
  <c r="AH20" i="183"/>
  <c r="AI20" i="183" s="1"/>
  <c r="AH26" i="183"/>
  <c r="AI26" i="183" s="1"/>
  <c r="AH21" i="183"/>
  <c r="AI21" i="183" s="1"/>
  <c r="AH27" i="183"/>
  <c r="AI27" i="183" s="1"/>
  <c r="AH22" i="183"/>
  <c r="AI22" i="183" s="1"/>
  <c r="AH28" i="183"/>
  <c r="AI28" i="183" s="1"/>
  <c r="AH23" i="183"/>
  <c r="AI23" i="183" s="1"/>
  <c r="AH29" i="183"/>
  <c r="AI29" i="183" s="1"/>
  <c r="AH24" i="183"/>
  <c r="AI24" i="183" s="1"/>
  <c r="AH30" i="183"/>
  <c r="AI30" i="183" s="1"/>
  <c r="AI97" i="183"/>
  <c r="AI75" i="183"/>
  <c r="AI59" i="183"/>
  <c r="I10" i="181"/>
  <c r="I22" i="181"/>
  <c r="I34" i="181"/>
  <c r="I5" i="181"/>
  <c r="I17" i="181"/>
  <c r="I29" i="181"/>
  <c r="I12" i="181"/>
  <c r="I24" i="181"/>
  <c r="I36" i="181"/>
  <c r="I14" i="181"/>
  <c r="I26" i="181"/>
  <c r="I9" i="181"/>
  <c r="I21" i="181"/>
  <c r="I33" i="181"/>
  <c r="I4" i="181"/>
  <c r="I16" i="181"/>
  <c r="I28" i="181"/>
  <c r="I13" i="181"/>
  <c r="I25" i="181"/>
  <c r="I15" i="181"/>
  <c r="I40" i="181"/>
  <c r="I52" i="181"/>
  <c r="I30" i="181"/>
  <c r="I47" i="181"/>
  <c r="I18" i="181"/>
  <c r="I31" i="181"/>
  <c r="I42" i="181"/>
  <c r="I54" i="181"/>
  <c r="I7" i="181"/>
  <c r="I20" i="181"/>
  <c r="I44" i="181"/>
  <c r="I11" i="181"/>
  <c r="I41" i="181"/>
  <c r="I45" i="181"/>
  <c r="I57" i="181"/>
  <c r="I32" i="181"/>
  <c r="I37" i="181"/>
  <c r="I48" i="181"/>
  <c r="I35" i="181"/>
  <c r="I51" i="181"/>
  <c r="I55" i="181"/>
  <c r="I59" i="181"/>
  <c r="I61" i="181"/>
  <c r="I23" i="181"/>
  <c r="I50" i="181"/>
  <c r="I79" i="181"/>
  <c r="I27" i="181"/>
  <c r="I63" i="181"/>
  <c r="I19" i="181"/>
  <c r="I69" i="181"/>
  <c r="I38" i="181"/>
  <c r="I46" i="181"/>
  <c r="I60" i="181"/>
  <c r="I71" i="181"/>
  <c r="I53" i="181"/>
  <c r="I6" i="181"/>
  <c r="I49" i="181"/>
  <c r="I66" i="181"/>
  <c r="I8" i="181"/>
  <c r="I76" i="181"/>
  <c r="I78" i="181"/>
  <c r="I82" i="181"/>
  <c r="I39" i="181"/>
  <c r="I67" i="181"/>
  <c r="I90" i="181"/>
  <c r="I87" i="181"/>
  <c r="I81" i="181"/>
  <c r="I43" i="181"/>
  <c r="I89" i="181"/>
  <c r="I58" i="181"/>
  <c r="I77" i="181"/>
  <c r="I80" i="181"/>
  <c r="I93" i="181"/>
  <c r="I88" i="181"/>
  <c r="I104" i="181"/>
  <c r="I72" i="181"/>
  <c r="I84" i="181"/>
  <c r="I99" i="181"/>
  <c r="I68" i="181"/>
  <c r="I92" i="181"/>
  <c r="I94" i="181"/>
  <c r="I65" i="181"/>
  <c r="I96" i="181"/>
  <c r="I108" i="181"/>
  <c r="I86" i="181"/>
  <c r="I103" i="181"/>
  <c r="I70" i="181"/>
  <c r="I98" i="181"/>
  <c r="I110" i="181"/>
  <c r="I91" i="181"/>
  <c r="I102" i="181"/>
  <c r="I101" i="181"/>
  <c r="I118" i="181"/>
  <c r="I95" i="181"/>
  <c r="I105" i="181"/>
  <c r="I113" i="181"/>
  <c r="I126" i="181"/>
  <c r="I120" i="181"/>
  <c r="I64" i="181"/>
  <c r="I109" i="181"/>
  <c r="I83" i="181"/>
  <c r="I106" i="181"/>
  <c r="I117" i="181"/>
  <c r="I130" i="181"/>
  <c r="I116" i="181"/>
  <c r="I129" i="181"/>
  <c r="I73" i="181"/>
  <c r="I111" i="181"/>
  <c r="I138" i="181"/>
  <c r="I150" i="181"/>
  <c r="I162" i="181"/>
  <c r="I74" i="181"/>
  <c r="I115" i="181"/>
  <c r="I133" i="181"/>
  <c r="I145" i="181"/>
  <c r="I157" i="181"/>
  <c r="I112" i="181"/>
  <c r="I128" i="181"/>
  <c r="I140" i="181"/>
  <c r="I152" i="181"/>
  <c r="I164" i="181"/>
  <c r="I75" i="181"/>
  <c r="I119" i="181"/>
  <c r="I135" i="181"/>
  <c r="I100" i="181"/>
  <c r="I142" i="181"/>
  <c r="I154" i="181"/>
  <c r="I62" i="181"/>
  <c r="I137" i="181"/>
  <c r="I149" i="181"/>
  <c r="I161" i="181"/>
  <c r="I114" i="181"/>
  <c r="I136" i="181"/>
  <c r="I148" i="181"/>
  <c r="I160" i="181"/>
  <c r="I107" i="181"/>
  <c r="I144" i="181"/>
  <c r="I165" i="181"/>
  <c r="I139" i="181"/>
  <c r="I151" i="181"/>
  <c r="I158" i="181"/>
  <c r="I155" i="181"/>
  <c r="I134" i="181"/>
  <c r="I141" i="181"/>
  <c r="I159" i="181"/>
  <c r="I3" i="181"/>
  <c r="I132" i="181"/>
  <c r="I156" i="181"/>
  <c r="I127" i="181"/>
  <c r="I97" i="181"/>
  <c r="I131" i="181"/>
  <c r="I163" i="181"/>
  <c r="I125" i="181"/>
  <c r="I146" i="181"/>
  <c r="I143" i="181"/>
  <c r="I147" i="181"/>
  <c r="I153" i="181"/>
  <c r="J1" i="181"/>
  <c r="T81" i="178"/>
  <c r="J56" i="181" l="1"/>
  <c r="J85" i="181"/>
  <c r="J121" i="181"/>
  <c r="J122" i="181"/>
  <c r="J123" i="181"/>
  <c r="J124" i="181"/>
  <c r="J15" i="181"/>
  <c r="J27" i="181"/>
  <c r="J10" i="181"/>
  <c r="J22" i="181"/>
  <c r="J34" i="181"/>
  <c r="J5" i="181"/>
  <c r="J17" i="181"/>
  <c r="J29" i="181"/>
  <c r="J7" i="181"/>
  <c r="J19" i="181"/>
  <c r="J31" i="181"/>
  <c r="J14" i="181"/>
  <c r="J26" i="181"/>
  <c r="J9" i="181"/>
  <c r="J21" i="181"/>
  <c r="J33" i="181"/>
  <c r="J6" i="181"/>
  <c r="J18" i="181"/>
  <c r="J30" i="181"/>
  <c r="J16" i="181"/>
  <c r="J45" i="181"/>
  <c r="J4" i="181"/>
  <c r="J40" i="181"/>
  <c r="J52" i="181"/>
  <c r="J47" i="181"/>
  <c r="J32" i="181"/>
  <c r="J37" i="181"/>
  <c r="J49" i="181"/>
  <c r="J36" i="181"/>
  <c r="J38" i="181"/>
  <c r="J62" i="181"/>
  <c r="J11" i="181"/>
  <c r="J41" i="181"/>
  <c r="J57" i="181"/>
  <c r="J25" i="181"/>
  <c r="J44" i="181"/>
  <c r="J48" i="181"/>
  <c r="J28" i="181"/>
  <c r="J8" i="181"/>
  <c r="J43" i="181"/>
  <c r="J72" i="181"/>
  <c r="J23" i="181"/>
  <c r="J50" i="181"/>
  <c r="J51" i="181"/>
  <c r="J63" i="181"/>
  <c r="J74" i="181"/>
  <c r="J13" i="181"/>
  <c r="J39" i="181"/>
  <c r="J64" i="181"/>
  <c r="J67" i="181"/>
  <c r="J76" i="181"/>
  <c r="J46" i="181"/>
  <c r="J59" i="181"/>
  <c r="J60" i="181"/>
  <c r="J71" i="181"/>
  <c r="J42" i="181"/>
  <c r="J70" i="181"/>
  <c r="J12" i="181"/>
  <c r="J66" i="181"/>
  <c r="J88" i="181"/>
  <c r="J78" i="181"/>
  <c r="J82" i="181"/>
  <c r="J68" i="181"/>
  <c r="J75" i="181"/>
  <c r="J92" i="181"/>
  <c r="J35" i="181"/>
  <c r="J55" i="181"/>
  <c r="J79" i="181"/>
  <c r="J87" i="181"/>
  <c r="J81" i="181"/>
  <c r="J73" i="181"/>
  <c r="J86" i="181"/>
  <c r="J58" i="181"/>
  <c r="J80" i="181"/>
  <c r="J97" i="181"/>
  <c r="J109" i="181"/>
  <c r="J104" i="181"/>
  <c r="J84" i="181"/>
  <c r="J24" i="181"/>
  <c r="J101" i="181"/>
  <c r="J65" i="181"/>
  <c r="J96" i="181"/>
  <c r="J108" i="181"/>
  <c r="J77" i="181"/>
  <c r="J93" i="181"/>
  <c r="J103" i="181"/>
  <c r="J54" i="181"/>
  <c r="J83" i="181"/>
  <c r="J95" i="181"/>
  <c r="J107" i="181"/>
  <c r="J94" i="181"/>
  <c r="J111" i="181"/>
  <c r="J89" i="181"/>
  <c r="J118" i="181"/>
  <c r="J105" i="181"/>
  <c r="J113" i="181"/>
  <c r="J102" i="181"/>
  <c r="J115" i="181"/>
  <c r="J128" i="181"/>
  <c r="J99" i="181"/>
  <c r="J20" i="181"/>
  <c r="J131" i="181"/>
  <c r="J143" i="181"/>
  <c r="J155" i="181"/>
  <c r="J140" i="181"/>
  <c r="J91" i="181"/>
  <c r="J98" i="181"/>
  <c r="J138" i="181"/>
  <c r="J150" i="181"/>
  <c r="J162" i="181"/>
  <c r="J106" i="181"/>
  <c r="J126" i="181"/>
  <c r="J133" i="181"/>
  <c r="J145" i="181"/>
  <c r="J157" i="181"/>
  <c r="J69" i="181"/>
  <c r="J112" i="181"/>
  <c r="J61" i="181"/>
  <c r="J119" i="181"/>
  <c r="J135" i="181"/>
  <c r="J147" i="181"/>
  <c r="J159" i="181"/>
  <c r="J3" i="181"/>
  <c r="J116" i="181"/>
  <c r="J100" i="181"/>
  <c r="J142" i="181"/>
  <c r="J154" i="181"/>
  <c r="J141" i="181"/>
  <c r="J153" i="181"/>
  <c r="J165" i="181"/>
  <c r="J114" i="181"/>
  <c r="J90" i="181"/>
  <c r="J136" i="181"/>
  <c r="J161" i="181"/>
  <c r="J144" i="181"/>
  <c r="J139" i="181"/>
  <c r="J151" i="181"/>
  <c r="J158" i="181"/>
  <c r="J110" i="181"/>
  <c r="J127" i="181"/>
  <c r="J148" i="181"/>
  <c r="J125" i="181"/>
  <c r="J53" i="181"/>
  <c r="J130" i="181"/>
  <c r="J152" i="181"/>
  <c r="J149" i="181"/>
  <c r="J132" i="181"/>
  <c r="J156" i="181"/>
  <c r="J163" i="181"/>
  <c r="J129" i="181"/>
  <c r="J134" i="181"/>
  <c r="J160" i="181"/>
  <c r="J117" i="181"/>
  <c r="J120" i="181"/>
  <c r="J137" i="181"/>
  <c r="J146" i="181"/>
  <c r="J164" i="181"/>
  <c r="K1" i="181"/>
  <c r="T75" i="178"/>
  <c r="T76" i="178"/>
  <c r="T77" i="178"/>
  <c r="T63" i="178"/>
  <c r="T64" i="178"/>
  <c r="T65" i="178"/>
  <c r="T66" i="178"/>
  <c r="T67" i="178"/>
  <c r="T70" i="178"/>
  <c r="T71" i="178"/>
  <c r="T72" i="178"/>
  <c r="T68" i="178"/>
  <c r="T69" i="178"/>
  <c r="T58" i="178"/>
  <c r="K56" i="181" l="1"/>
  <c r="K124" i="181"/>
  <c r="K85" i="181"/>
  <c r="K121" i="181"/>
  <c r="K122" i="181"/>
  <c r="K123" i="181"/>
  <c r="K8" i="181"/>
  <c r="K20" i="181"/>
  <c r="K32" i="181"/>
  <c r="K15" i="181"/>
  <c r="K27" i="181"/>
  <c r="K10" i="181"/>
  <c r="K22" i="181"/>
  <c r="K34" i="181"/>
  <c r="K12" i="181"/>
  <c r="K24" i="181"/>
  <c r="K36" i="181"/>
  <c r="K7" i="181"/>
  <c r="K19" i="181"/>
  <c r="K31" i="181"/>
  <c r="K14" i="181"/>
  <c r="K26" i="181"/>
  <c r="K11" i="181"/>
  <c r="K23" i="181"/>
  <c r="K35" i="181"/>
  <c r="K28" i="181"/>
  <c r="K38" i="181"/>
  <c r="K50" i="181"/>
  <c r="K16" i="181"/>
  <c r="K29" i="181"/>
  <c r="K45" i="181"/>
  <c r="K4" i="181"/>
  <c r="K17" i="181"/>
  <c r="K30" i="181"/>
  <c r="K40" i="181"/>
  <c r="K52" i="181"/>
  <c r="K6" i="181"/>
  <c r="K33" i="181"/>
  <c r="K42" i="181"/>
  <c r="K54" i="181"/>
  <c r="K67" i="181"/>
  <c r="K18" i="181"/>
  <c r="K21" i="181"/>
  <c r="K37" i="181"/>
  <c r="K41" i="181"/>
  <c r="K57" i="181"/>
  <c r="K51" i="181"/>
  <c r="K55" i="181"/>
  <c r="K59" i="181"/>
  <c r="K66" i="181"/>
  <c r="K77" i="181"/>
  <c r="K25" i="181"/>
  <c r="K43" i="181"/>
  <c r="K44" i="181"/>
  <c r="K9" i="181"/>
  <c r="K61" i="181"/>
  <c r="K62" i="181"/>
  <c r="K69" i="181"/>
  <c r="K13" i="181"/>
  <c r="K39" i="181"/>
  <c r="K64" i="181"/>
  <c r="K76" i="181"/>
  <c r="K58" i="181"/>
  <c r="K49" i="181"/>
  <c r="K70" i="181"/>
  <c r="K80" i="181"/>
  <c r="K93" i="181"/>
  <c r="K88" i="181"/>
  <c r="K84" i="181"/>
  <c r="K48" i="181"/>
  <c r="K68" i="181"/>
  <c r="K71" i="181"/>
  <c r="K75" i="181"/>
  <c r="K92" i="181"/>
  <c r="K79" i="181"/>
  <c r="K87" i="181"/>
  <c r="K65" i="181"/>
  <c r="K91" i="181"/>
  <c r="K73" i="181"/>
  <c r="K102" i="181"/>
  <c r="K5" i="181"/>
  <c r="K97" i="181"/>
  <c r="K109" i="181"/>
  <c r="K72" i="181"/>
  <c r="K89" i="181"/>
  <c r="K94" i="181"/>
  <c r="K106" i="181"/>
  <c r="K101" i="181"/>
  <c r="K86" i="181"/>
  <c r="K96" i="181"/>
  <c r="K108" i="181"/>
  <c r="K47" i="181"/>
  <c r="K60" i="181"/>
  <c r="K74" i="181"/>
  <c r="K100" i="181"/>
  <c r="K116" i="181"/>
  <c r="K129" i="181"/>
  <c r="K63" i="181"/>
  <c r="K111" i="181"/>
  <c r="K95" i="181"/>
  <c r="K118" i="181"/>
  <c r="K81" i="181"/>
  <c r="K98" i="181"/>
  <c r="K120" i="181"/>
  <c r="K115" i="181"/>
  <c r="K128" i="181"/>
  <c r="K82" i="181"/>
  <c r="K107" i="181"/>
  <c r="K114" i="181"/>
  <c r="K127" i="181"/>
  <c r="K104" i="181"/>
  <c r="K136" i="181"/>
  <c r="K148" i="181"/>
  <c r="K160" i="181"/>
  <c r="K131" i="181"/>
  <c r="K143" i="181"/>
  <c r="K155" i="181"/>
  <c r="K126" i="181"/>
  <c r="K133" i="181"/>
  <c r="K83" i="181"/>
  <c r="K138" i="181"/>
  <c r="K150" i="181"/>
  <c r="K162" i="181"/>
  <c r="K103" i="181"/>
  <c r="K46" i="181"/>
  <c r="K112" i="181"/>
  <c r="K140" i="181"/>
  <c r="K152" i="181"/>
  <c r="K164" i="181"/>
  <c r="K119" i="181"/>
  <c r="K135" i="181"/>
  <c r="K147" i="181"/>
  <c r="K159" i="181"/>
  <c r="K3" i="181"/>
  <c r="K90" i="181"/>
  <c r="K110" i="181"/>
  <c r="K125" i="181"/>
  <c r="K134" i="181"/>
  <c r="K146" i="181"/>
  <c r="K158" i="181"/>
  <c r="K78" i="181"/>
  <c r="K117" i="181"/>
  <c r="K137" i="181"/>
  <c r="K154" i="181"/>
  <c r="K139" i="181"/>
  <c r="K161" i="181"/>
  <c r="K151" i="181"/>
  <c r="K144" i="181"/>
  <c r="K165" i="181"/>
  <c r="K145" i="181"/>
  <c r="K53" i="181"/>
  <c r="K130" i="181"/>
  <c r="K141" i="181"/>
  <c r="K142" i="181"/>
  <c r="K132" i="181"/>
  <c r="K113" i="181"/>
  <c r="K149" i="181"/>
  <c r="K156" i="181"/>
  <c r="K105" i="181"/>
  <c r="K153" i="181"/>
  <c r="K99" i="181"/>
  <c r="K157" i="181"/>
  <c r="K163" i="181"/>
  <c r="L1" i="181"/>
  <c r="L56" i="181" l="1"/>
  <c r="L123" i="181"/>
  <c r="L124" i="181"/>
  <c r="L85" i="181"/>
  <c r="L121" i="181"/>
  <c r="L122" i="181"/>
  <c r="L13" i="181"/>
  <c r="L25" i="181"/>
  <c r="L8" i="181"/>
  <c r="L20" i="181"/>
  <c r="L32" i="181"/>
  <c r="L15" i="181"/>
  <c r="L27" i="181"/>
  <c r="L5" i="181"/>
  <c r="L17" i="181"/>
  <c r="L29" i="181"/>
  <c r="L12" i="181"/>
  <c r="L24" i="181"/>
  <c r="L36" i="181"/>
  <c r="L7" i="181"/>
  <c r="L19" i="181"/>
  <c r="L31" i="181"/>
  <c r="L4" i="181"/>
  <c r="L16" i="181"/>
  <c r="L28" i="181"/>
  <c r="L43" i="181"/>
  <c r="L55" i="181"/>
  <c r="L38" i="181"/>
  <c r="L50" i="181"/>
  <c r="L45" i="181"/>
  <c r="L18" i="181"/>
  <c r="L47" i="181"/>
  <c r="L22" i="181"/>
  <c r="L60" i="181"/>
  <c r="L52" i="181"/>
  <c r="L11" i="181"/>
  <c r="L62" i="181"/>
  <c r="L14" i="181"/>
  <c r="L35" i="181"/>
  <c r="L44" i="181"/>
  <c r="L48" i="181"/>
  <c r="L64" i="181"/>
  <c r="L49" i="181"/>
  <c r="L70" i="181"/>
  <c r="L21" i="181"/>
  <c r="L37" i="181"/>
  <c r="L57" i="181"/>
  <c r="L66" i="181"/>
  <c r="L23" i="181"/>
  <c r="L51" i="181"/>
  <c r="L72" i="181"/>
  <c r="L34" i="181"/>
  <c r="L63" i="181"/>
  <c r="L74" i="181"/>
  <c r="L9" i="181"/>
  <c r="L61" i="181"/>
  <c r="L67" i="181"/>
  <c r="L69" i="181"/>
  <c r="L10" i="181"/>
  <c r="L68" i="181"/>
  <c r="L33" i="181"/>
  <c r="L42" i="181"/>
  <c r="L58" i="181"/>
  <c r="L73" i="181"/>
  <c r="L77" i="181"/>
  <c r="L86" i="181"/>
  <c r="L76" i="181"/>
  <c r="L80" i="181"/>
  <c r="L93" i="181"/>
  <c r="L26" i="181"/>
  <c r="L53" i="181"/>
  <c r="L90" i="181"/>
  <c r="L41" i="181"/>
  <c r="L84" i="181"/>
  <c r="L6" i="181"/>
  <c r="L71" i="181"/>
  <c r="L75" i="181"/>
  <c r="L92" i="181"/>
  <c r="L83" i="181"/>
  <c r="L91" i="181"/>
  <c r="L95" i="181"/>
  <c r="L107" i="181"/>
  <c r="L30" i="181"/>
  <c r="L88" i="181"/>
  <c r="L102" i="181"/>
  <c r="L97" i="181"/>
  <c r="L59" i="181"/>
  <c r="L81" i="181"/>
  <c r="L99" i="181"/>
  <c r="L89" i="181"/>
  <c r="L94" i="181"/>
  <c r="L106" i="181"/>
  <c r="L65" i="181"/>
  <c r="L101" i="181"/>
  <c r="L40" i="181"/>
  <c r="L105" i="181"/>
  <c r="L104" i="181"/>
  <c r="L87" i="181"/>
  <c r="L108" i="181"/>
  <c r="L116" i="181"/>
  <c r="L129" i="181"/>
  <c r="L96" i="181"/>
  <c r="L111" i="181"/>
  <c r="L79" i="181"/>
  <c r="L113" i="181"/>
  <c r="L126" i="181"/>
  <c r="L98" i="181"/>
  <c r="L109" i="181"/>
  <c r="L120" i="181"/>
  <c r="L39" i="181"/>
  <c r="L78" i="181"/>
  <c r="L100" i="181"/>
  <c r="L119" i="181"/>
  <c r="L82" i="181"/>
  <c r="L114" i="181"/>
  <c r="L141" i="181"/>
  <c r="L153" i="181"/>
  <c r="L165" i="181"/>
  <c r="L138" i="181"/>
  <c r="L118" i="181"/>
  <c r="L136" i="181"/>
  <c r="L148" i="181"/>
  <c r="L160" i="181"/>
  <c r="L128" i="181"/>
  <c r="L115" i="181"/>
  <c r="L131" i="181"/>
  <c r="L143" i="181"/>
  <c r="L155" i="181"/>
  <c r="L103" i="181"/>
  <c r="L133" i="181"/>
  <c r="L145" i="181"/>
  <c r="L157" i="181"/>
  <c r="L46" i="181"/>
  <c r="L112" i="181"/>
  <c r="L140" i="181"/>
  <c r="L152" i="181"/>
  <c r="L164" i="181"/>
  <c r="L117" i="181"/>
  <c r="L127" i="181"/>
  <c r="L139" i="181"/>
  <c r="L151" i="181"/>
  <c r="L163" i="181"/>
  <c r="L54" i="181"/>
  <c r="L110" i="181"/>
  <c r="L147" i="181"/>
  <c r="L144" i="181"/>
  <c r="L137" i="181"/>
  <c r="L154" i="181"/>
  <c r="L161" i="181"/>
  <c r="L158" i="181"/>
  <c r="L162" i="181"/>
  <c r="L3" i="181"/>
  <c r="L132" i="181"/>
  <c r="L159" i="181"/>
  <c r="L130" i="181"/>
  <c r="L142" i="181"/>
  <c r="L149" i="181"/>
  <c r="L125" i="181"/>
  <c r="L135" i="181"/>
  <c r="L146" i="181"/>
  <c r="L134" i="181"/>
  <c r="L150" i="181"/>
  <c r="L156" i="181"/>
  <c r="M1" i="181"/>
  <c r="T54" i="178"/>
  <c r="T59" i="178"/>
  <c r="T60" i="178"/>
  <c r="T61" i="178"/>
  <c r="T62" i="178"/>
  <c r="M56" i="181" l="1"/>
  <c r="M122" i="181"/>
  <c r="M123" i="181"/>
  <c r="M124" i="181"/>
  <c r="M85" i="181"/>
  <c r="M121" i="181"/>
  <c r="M6" i="181"/>
  <c r="M18" i="181"/>
  <c r="M30" i="181"/>
  <c r="M13" i="181"/>
  <c r="M25" i="181"/>
  <c r="M8" i="181"/>
  <c r="M20" i="181"/>
  <c r="M32" i="181"/>
  <c r="M10" i="181"/>
  <c r="M22" i="181"/>
  <c r="M34" i="181"/>
  <c r="M5" i="181"/>
  <c r="M17" i="181"/>
  <c r="M29" i="181"/>
  <c r="M12" i="181"/>
  <c r="M24" i="181"/>
  <c r="M36" i="181"/>
  <c r="M9" i="181"/>
  <c r="M21" i="181"/>
  <c r="M33" i="181"/>
  <c r="M14" i="181"/>
  <c r="M27" i="181"/>
  <c r="M48" i="181"/>
  <c r="M15" i="181"/>
  <c r="M28" i="181"/>
  <c r="M43" i="181"/>
  <c r="M55" i="181"/>
  <c r="M16" i="181"/>
  <c r="M38" i="181"/>
  <c r="M50" i="181"/>
  <c r="M19" i="181"/>
  <c r="M40" i="181"/>
  <c r="M52" i="181"/>
  <c r="M26" i="181"/>
  <c r="M49" i="181"/>
  <c r="M53" i="181"/>
  <c r="M65" i="181"/>
  <c r="M4" i="181"/>
  <c r="M45" i="181"/>
  <c r="M7" i="181"/>
  <c r="M37" i="181"/>
  <c r="M41" i="181"/>
  <c r="M57" i="181"/>
  <c r="M42" i="181"/>
  <c r="M58" i="181"/>
  <c r="M75" i="181"/>
  <c r="M70" i="181"/>
  <c r="M44" i="181"/>
  <c r="M66" i="181"/>
  <c r="M11" i="181"/>
  <c r="M62" i="181"/>
  <c r="M63" i="181"/>
  <c r="M74" i="181"/>
  <c r="M31" i="181"/>
  <c r="M35" i="181"/>
  <c r="M91" i="181"/>
  <c r="M51" i="181"/>
  <c r="M73" i="181"/>
  <c r="M77" i="181"/>
  <c r="M86" i="181"/>
  <c r="M46" i="181"/>
  <c r="M72" i="181"/>
  <c r="M78" i="181"/>
  <c r="M82" i="181"/>
  <c r="M90" i="181"/>
  <c r="M68" i="181"/>
  <c r="M84" i="181"/>
  <c r="M54" i="181"/>
  <c r="M89" i="181"/>
  <c r="M83" i="181"/>
  <c r="M100" i="181"/>
  <c r="M80" i="181"/>
  <c r="M95" i="181"/>
  <c r="M107" i="181"/>
  <c r="M88" i="181"/>
  <c r="M61" i="181"/>
  <c r="M104" i="181"/>
  <c r="M59" i="181"/>
  <c r="M81" i="181"/>
  <c r="M99" i="181"/>
  <c r="M94" i="181"/>
  <c r="M106" i="181"/>
  <c r="M64" i="181"/>
  <c r="M69" i="181"/>
  <c r="M79" i="181"/>
  <c r="M87" i="181"/>
  <c r="M98" i="181"/>
  <c r="M110" i="181"/>
  <c r="M67" i="181"/>
  <c r="M114" i="181"/>
  <c r="M127" i="181"/>
  <c r="M101" i="181"/>
  <c r="M71" i="181"/>
  <c r="M108" i="181"/>
  <c r="M116" i="181"/>
  <c r="M97" i="181"/>
  <c r="M105" i="181"/>
  <c r="M118" i="181"/>
  <c r="M102" i="181"/>
  <c r="M113" i="181"/>
  <c r="M126" i="181"/>
  <c r="M112" i="181"/>
  <c r="M125" i="181"/>
  <c r="M39" i="181"/>
  <c r="M134" i="181"/>
  <c r="M146" i="181"/>
  <c r="M158" i="181"/>
  <c r="M96" i="181"/>
  <c r="M111" i="181"/>
  <c r="M141" i="181"/>
  <c r="M153" i="181"/>
  <c r="M165" i="181"/>
  <c r="M115" i="181"/>
  <c r="M131" i="181"/>
  <c r="M109" i="181"/>
  <c r="M136" i="181"/>
  <c r="M148" i="181"/>
  <c r="M160" i="181"/>
  <c r="M60" i="181"/>
  <c r="M128" i="181"/>
  <c r="M138" i="181"/>
  <c r="M150" i="181"/>
  <c r="M162" i="181"/>
  <c r="M47" i="181"/>
  <c r="M119" i="181"/>
  <c r="M92" i="181"/>
  <c r="M103" i="181"/>
  <c r="M133" i="181"/>
  <c r="M145" i="181"/>
  <c r="M157" i="181"/>
  <c r="M23" i="181"/>
  <c r="M76" i="181"/>
  <c r="M129" i="181"/>
  <c r="M132" i="181"/>
  <c r="M144" i="181"/>
  <c r="M156" i="181"/>
  <c r="M117" i="181"/>
  <c r="M120" i="181"/>
  <c r="M164" i="181"/>
  <c r="M161" i="181"/>
  <c r="M93" i="181"/>
  <c r="M147" i="181"/>
  <c r="M137" i="181"/>
  <c r="M154" i="181"/>
  <c r="M140" i="181"/>
  <c r="M139" i="181"/>
  <c r="M151" i="181"/>
  <c r="M155" i="181"/>
  <c r="M152" i="181"/>
  <c r="M130" i="181"/>
  <c r="M159" i="181"/>
  <c r="M3" i="181"/>
  <c r="M142" i="181"/>
  <c r="M163" i="181"/>
  <c r="M135" i="181"/>
  <c r="M143" i="181"/>
  <c r="M149" i="181"/>
  <c r="N1" i="181"/>
  <c r="T52" i="178"/>
  <c r="T53" i="178"/>
  <c r="T55" i="178"/>
  <c r="T56" i="178"/>
  <c r="T57" i="178"/>
  <c r="N56" i="181" l="1"/>
  <c r="N121" i="181"/>
  <c r="N122" i="181"/>
  <c r="N123" i="181"/>
  <c r="N124" i="181"/>
  <c r="N85" i="181"/>
  <c r="N11" i="181"/>
  <c r="N23" i="181"/>
  <c r="N35" i="181"/>
  <c r="N6" i="181"/>
  <c r="N18" i="181"/>
  <c r="N30" i="181"/>
  <c r="N13" i="181"/>
  <c r="N25" i="181"/>
  <c r="N15" i="181"/>
  <c r="N27" i="181"/>
  <c r="N10" i="181"/>
  <c r="N22" i="181"/>
  <c r="N34" i="181"/>
  <c r="N5" i="181"/>
  <c r="N17" i="181"/>
  <c r="N29" i="181"/>
  <c r="N14" i="181"/>
  <c r="N26" i="181"/>
  <c r="N41" i="181"/>
  <c r="N53" i="181"/>
  <c r="N48" i="181"/>
  <c r="N28" i="181"/>
  <c r="N43" i="181"/>
  <c r="N55" i="181"/>
  <c r="N4" i="181"/>
  <c r="N31" i="181"/>
  <c r="N45" i="181"/>
  <c r="N8" i="181"/>
  <c r="N42" i="181"/>
  <c r="N46" i="181"/>
  <c r="N58" i="181"/>
  <c r="N36" i="181"/>
  <c r="N38" i="181"/>
  <c r="N49" i="181"/>
  <c r="N32" i="181"/>
  <c r="N52" i="181"/>
  <c r="N60" i="181"/>
  <c r="N21" i="181"/>
  <c r="N62" i="181"/>
  <c r="N12" i="181"/>
  <c r="N33" i="181"/>
  <c r="N68" i="181"/>
  <c r="N37" i="181"/>
  <c r="N50" i="181"/>
  <c r="N57" i="181"/>
  <c r="N70" i="181"/>
  <c r="N51" i="181"/>
  <c r="N72" i="181"/>
  <c r="N7" i="181"/>
  <c r="N16" i="181"/>
  <c r="N65" i="181"/>
  <c r="N83" i="181"/>
  <c r="N44" i="181"/>
  <c r="N66" i="181"/>
  <c r="N91" i="181"/>
  <c r="N39" i="181"/>
  <c r="N88" i="181"/>
  <c r="N78" i="181"/>
  <c r="N82" i="181"/>
  <c r="N90" i="181"/>
  <c r="N20" i="181"/>
  <c r="N47" i="181"/>
  <c r="N59" i="181"/>
  <c r="N81" i="181"/>
  <c r="N54" i="181"/>
  <c r="N105" i="181"/>
  <c r="N73" i="181"/>
  <c r="N100" i="181"/>
  <c r="N80" i="181"/>
  <c r="N95" i="181"/>
  <c r="N63" i="181"/>
  <c r="N71" i="181"/>
  <c r="N92" i="181"/>
  <c r="N97" i="181"/>
  <c r="N109" i="181"/>
  <c r="N24" i="181"/>
  <c r="N61" i="181"/>
  <c r="N104" i="181"/>
  <c r="N89" i="181"/>
  <c r="N99" i="181"/>
  <c r="N103" i="181"/>
  <c r="N76" i="181"/>
  <c r="N84" i="181"/>
  <c r="N119" i="181"/>
  <c r="N40" i="181"/>
  <c r="N67" i="181"/>
  <c r="N94" i="181"/>
  <c r="N114" i="181"/>
  <c r="N127" i="181"/>
  <c r="N9" i="181"/>
  <c r="N87" i="181"/>
  <c r="N101" i="181"/>
  <c r="N74" i="181"/>
  <c r="N77" i="181"/>
  <c r="N93" i="181"/>
  <c r="N96" i="181"/>
  <c r="N111" i="181"/>
  <c r="N64" i="181"/>
  <c r="N79" i="181"/>
  <c r="N118" i="181"/>
  <c r="N110" i="181"/>
  <c r="N117" i="181"/>
  <c r="N130" i="181"/>
  <c r="N107" i="181"/>
  <c r="N125" i="181"/>
  <c r="N139" i="181"/>
  <c r="N151" i="181"/>
  <c r="N163" i="181"/>
  <c r="N136" i="181"/>
  <c r="N134" i="181"/>
  <c r="N146" i="181"/>
  <c r="N158" i="181"/>
  <c r="N98" i="181"/>
  <c r="N141" i="181"/>
  <c r="N153" i="181"/>
  <c r="N165" i="181"/>
  <c r="N106" i="181"/>
  <c r="N69" i="181"/>
  <c r="N75" i="181"/>
  <c r="N115" i="181"/>
  <c r="N126" i="181"/>
  <c r="N131" i="181"/>
  <c r="N143" i="181"/>
  <c r="N155" i="181"/>
  <c r="N19" i="181"/>
  <c r="N128" i="181"/>
  <c r="N138" i="181"/>
  <c r="N150" i="181"/>
  <c r="N162" i="181"/>
  <c r="N112" i="181"/>
  <c r="N137" i="181"/>
  <c r="N149" i="181"/>
  <c r="N161" i="181"/>
  <c r="N135" i="181"/>
  <c r="N157" i="181"/>
  <c r="N120" i="181"/>
  <c r="N164" i="181"/>
  <c r="N154" i="181"/>
  <c r="N147" i="181"/>
  <c r="N133" i="181"/>
  <c r="N108" i="181"/>
  <c r="N140" i="181"/>
  <c r="N144" i="181"/>
  <c r="N102" i="181"/>
  <c r="N148" i="181"/>
  <c r="N145" i="181"/>
  <c r="N159" i="181"/>
  <c r="N3" i="181"/>
  <c r="N116" i="181"/>
  <c r="N152" i="181"/>
  <c r="N86" i="181"/>
  <c r="N113" i="181"/>
  <c r="N132" i="181"/>
  <c r="N156" i="181"/>
  <c r="N129" i="181"/>
  <c r="N160" i="181"/>
  <c r="N142" i="181"/>
  <c r="O1" i="181"/>
  <c r="O56" i="181" l="1"/>
  <c r="O121" i="181"/>
  <c r="O122" i="181"/>
  <c r="O123" i="181"/>
  <c r="O124" i="181"/>
  <c r="O85" i="181"/>
  <c r="O4" i="181"/>
  <c r="O16" i="181"/>
  <c r="O28" i="181"/>
  <c r="O11" i="181"/>
  <c r="O23" i="181"/>
  <c r="O35" i="181"/>
  <c r="O6" i="181"/>
  <c r="O18" i="181"/>
  <c r="O30" i="181"/>
  <c r="O8" i="181"/>
  <c r="O20" i="181"/>
  <c r="O32" i="181"/>
  <c r="O15" i="181"/>
  <c r="O27" i="181"/>
  <c r="O10" i="181"/>
  <c r="O22" i="181"/>
  <c r="O34" i="181"/>
  <c r="O7" i="181"/>
  <c r="O19" i="181"/>
  <c r="O31" i="181"/>
  <c r="O13" i="181"/>
  <c r="O26" i="181"/>
  <c r="O46" i="181"/>
  <c r="O14" i="181"/>
  <c r="O41" i="181"/>
  <c r="O53" i="181"/>
  <c r="O29" i="181"/>
  <c r="O48" i="181"/>
  <c r="O5" i="181"/>
  <c r="O38" i="181"/>
  <c r="O50" i="181"/>
  <c r="O12" i="181"/>
  <c r="O33" i="181"/>
  <c r="O39" i="181"/>
  <c r="O63" i="181"/>
  <c r="O42" i="181"/>
  <c r="O58" i="181"/>
  <c r="O36" i="181"/>
  <c r="O45" i="181"/>
  <c r="O49" i="181"/>
  <c r="O25" i="181"/>
  <c r="O73" i="181"/>
  <c r="O68" i="181"/>
  <c r="O17" i="181"/>
  <c r="O21" i="181"/>
  <c r="O43" i="181"/>
  <c r="O75" i="181"/>
  <c r="O44" i="181"/>
  <c r="O66" i="181"/>
  <c r="O77" i="181"/>
  <c r="O51" i="181"/>
  <c r="O52" i="181"/>
  <c r="O72" i="181"/>
  <c r="O54" i="181"/>
  <c r="O55" i="181"/>
  <c r="O65" i="181"/>
  <c r="O89" i="181"/>
  <c r="O37" i="181"/>
  <c r="O57" i="181"/>
  <c r="O70" i="181"/>
  <c r="O83" i="181"/>
  <c r="O67" i="181"/>
  <c r="O76" i="181"/>
  <c r="O80" i="181"/>
  <c r="O93" i="181"/>
  <c r="O88" i="181"/>
  <c r="O78" i="181"/>
  <c r="O82" i="181"/>
  <c r="O24" i="181"/>
  <c r="O40" i="181"/>
  <c r="O60" i="181"/>
  <c r="O61" i="181"/>
  <c r="O64" i="181"/>
  <c r="O69" i="181"/>
  <c r="O74" i="181"/>
  <c r="O79" i="181"/>
  <c r="O87" i="181"/>
  <c r="O47" i="181"/>
  <c r="O98" i="181"/>
  <c r="O110" i="181"/>
  <c r="O91" i="181"/>
  <c r="O105" i="181"/>
  <c r="O84" i="181"/>
  <c r="O102" i="181"/>
  <c r="O71" i="181"/>
  <c r="O92" i="181"/>
  <c r="O97" i="181"/>
  <c r="O109" i="181"/>
  <c r="O59" i="181"/>
  <c r="O81" i="181"/>
  <c r="O104" i="181"/>
  <c r="O62" i="181"/>
  <c r="O96" i="181"/>
  <c r="O108" i="181"/>
  <c r="O107" i="181"/>
  <c r="O112" i="181"/>
  <c r="O125" i="181"/>
  <c r="O119" i="181"/>
  <c r="O94" i="181"/>
  <c r="O114" i="181"/>
  <c r="O116" i="181"/>
  <c r="O129" i="181"/>
  <c r="O111" i="181"/>
  <c r="O103" i="181"/>
  <c r="O117" i="181"/>
  <c r="O132" i="181"/>
  <c r="O144" i="181"/>
  <c r="O156" i="181"/>
  <c r="O141" i="181"/>
  <c r="O9" i="181"/>
  <c r="O101" i="181"/>
  <c r="O139" i="181"/>
  <c r="O151" i="181"/>
  <c r="O163" i="181"/>
  <c r="O118" i="181"/>
  <c r="O134" i="181"/>
  <c r="O146" i="181"/>
  <c r="O158" i="181"/>
  <c r="O106" i="181"/>
  <c r="O136" i="181"/>
  <c r="O148" i="181"/>
  <c r="O160" i="181"/>
  <c r="O100" i="181"/>
  <c r="O115" i="181"/>
  <c r="O126" i="181"/>
  <c r="O131" i="181"/>
  <c r="O143" i="181"/>
  <c r="O155" i="181"/>
  <c r="O128" i="181"/>
  <c r="O120" i="181"/>
  <c r="O130" i="181"/>
  <c r="O142" i="181"/>
  <c r="O154" i="181"/>
  <c r="O90" i="181"/>
  <c r="O99" i="181"/>
  <c r="O150" i="181"/>
  <c r="O137" i="181"/>
  <c r="O135" i="181"/>
  <c r="O157" i="181"/>
  <c r="O138" i="181"/>
  <c r="O164" i="181"/>
  <c r="O147" i="181"/>
  <c r="O95" i="181"/>
  <c r="O161" i="181"/>
  <c r="O165" i="181"/>
  <c r="O152" i="181"/>
  <c r="O86" i="181"/>
  <c r="O140" i="181"/>
  <c r="O162" i="181"/>
  <c r="O145" i="181"/>
  <c r="O113" i="181"/>
  <c r="O127" i="181"/>
  <c r="O133" i="181"/>
  <c r="O149" i="181"/>
  <c r="O153" i="181"/>
  <c r="O3" i="181"/>
  <c r="O159" i="181"/>
  <c r="P1" i="181"/>
  <c r="T48" i="178"/>
  <c r="T50" i="178"/>
  <c r="T51" i="178"/>
  <c r="P56" i="181" l="1"/>
  <c r="P85" i="181"/>
  <c r="P121" i="181"/>
  <c r="P122" i="181"/>
  <c r="P123" i="181"/>
  <c r="P124" i="181"/>
  <c r="P9" i="181"/>
  <c r="P21" i="181"/>
  <c r="P33" i="181"/>
  <c r="P4" i="181"/>
  <c r="P16" i="181"/>
  <c r="P28" i="181"/>
  <c r="P11" i="181"/>
  <c r="P23" i="181"/>
  <c r="P35" i="181"/>
  <c r="P13" i="181"/>
  <c r="P25" i="181"/>
  <c r="P8" i="181"/>
  <c r="P20" i="181"/>
  <c r="P32" i="181"/>
  <c r="P15" i="181"/>
  <c r="P27" i="181"/>
  <c r="P12" i="181"/>
  <c r="P24" i="181"/>
  <c r="P36" i="181"/>
  <c r="P39" i="181"/>
  <c r="P51" i="181"/>
  <c r="P26" i="181"/>
  <c r="P46" i="181"/>
  <c r="P14" i="181"/>
  <c r="P41" i="181"/>
  <c r="P53" i="181"/>
  <c r="P17" i="181"/>
  <c r="P30" i="181"/>
  <c r="P43" i="181"/>
  <c r="P55" i="181"/>
  <c r="P22" i="181"/>
  <c r="P29" i="181"/>
  <c r="P18" i="181"/>
  <c r="P38" i="181"/>
  <c r="P42" i="181"/>
  <c r="P58" i="181"/>
  <c r="P7" i="181"/>
  <c r="P52" i="181"/>
  <c r="P60" i="181"/>
  <c r="P6" i="181"/>
  <c r="P65" i="181"/>
  <c r="P78" i="181"/>
  <c r="P49" i="181"/>
  <c r="P68" i="181"/>
  <c r="P19" i="181"/>
  <c r="P37" i="181"/>
  <c r="P57" i="181"/>
  <c r="P70" i="181"/>
  <c r="P34" i="181"/>
  <c r="P44" i="181"/>
  <c r="P45" i="181"/>
  <c r="P66" i="181"/>
  <c r="P77" i="181"/>
  <c r="P47" i="181"/>
  <c r="P48" i="181"/>
  <c r="P59" i="181"/>
  <c r="P54" i="181"/>
  <c r="P81" i="181"/>
  <c r="P89" i="181"/>
  <c r="P86" i="181"/>
  <c r="P67" i="181"/>
  <c r="P72" i="181"/>
  <c r="P76" i="181"/>
  <c r="P80" i="181"/>
  <c r="P93" i="181"/>
  <c r="P10" i="181"/>
  <c r="P31" i="181"/>
  <c r="P88" i="181"/>
  <c r="P71" i="181"/>
  <c r="P92" i="181"/>
  <c r="P40" i="181"/>
  <c r="P64" i="181"/>
  <c r="P69" i="181"/>
  <c r="P74" i="181"/>
  <c r="P79" i="181"/>
  <c r="P87" i="181"/>
  <c r="P103" i="181"/>
  <c r="P83" i="181"/>
  <c r="P98" i="181"/>
  <c r="P5" i="181"/>
  <c r="P73" i="181"/>
  <c r="P91" i="181"/>
  <c r="P95" i="181"/>
  <c r="P107" i="181"/>
  <c r="P63" i="181"/>
  <c r="P84" i="181"/>
  <c r="P102" i="181"/>
  <c r="P61" i="181"/>
  <c r="P97" i="181"/>
  <c r="P109" i="181"/>
  <c r="P75" i="181"/>
  <c r="P90" i="181"/>
  <c r="P101" i="181"/>
  <c r="P62" i="181"/>
  <c r="P82" i="181"/>
  <c r="P100" i="181"/>
  <c r="P117" i="181"/>
  <c r="P104" i="181"/>
  <c r="P112" i="181"/>
  <c r="P125" i="181"/>
  <c r="P119" i="181"/>
  <c r="P108" i="181"/>
  <c r="P96" i="181"/>
  <c r="P105" i="181"/>
  <c r="P116" i="181"/>
  <c r="P129" i="181"/>
  <c r="P115" i="181"/>
  <c r="P128" i="181"/>
  <c r="P110" i="181"/>
  <c r="P127" i="181"/>
  <c r="P137" i="181"/>
  <c r="P149" i="181"/>
  <c r="P161" i="181"/>
  <c r="P94" i="181"/>
  <c r="P114" i="181"/>
  <c r="P132" i="181"/>
  <c r="P144" i="181"/>
  <c r="P156" i="181"/>
  <c r="P118" i="181"/>
  <c r="P134" i="181"/>
  <c r="P111" i="181"/>
  <c r="P139" i="181"/>
  <c r="P151" i="181"/>
  <c r="P163" i="181"/>
  <c r="P141" i="181"/>
  <c r="P153" i="181"/>
  <c r="P165" i="181"/>
  <c r="P126" i="181"/>
  <c r="P106" i="181"/>
  <c r="P136" i="181"/>
  <c r="P148" i="181"/>
  <c r="P160" i="181"/>
  <c r="P99" i="181"/>
  <c r="P113" i="181"/>
  <c r="P135" i="181"/>
  <c r="P147" i="181"/>
  <c r="P159" i="181"/>
  <c r="P3" i="181"/>
  <c r="P143" i="181"/>
  <c r="P150" i="181"/>
  <c r="P138" i="181"/>
  <c r="P120" i="181"/>
  <c r="P157" i="181"/>
  <c r="P164" i="181"/>
  <c r="P50" i="181"/>
  <c r="P154" i="181"/>
  <c r="P158" i="181"/>
  <c r="P140" i="181"/>
  <c r="P155" i="181"/>
  <c r="P145" i="181"/>
  <c r="P130" i="181"/>
  <c r="P162" i="181"/>
  <c r="P131" i="181"/>
  <c r="P142" i="181"/>
  <c r="P133" i="181"/>
  <c r="P146" i="181"/>
  <c r="P152" i="181"/>
  <c r="Q1" i="181"/>
  <c r="T49" i="178"/>
  <c r="Q56" i="181" l="1"/>
  <c r="Q124" i="181"/>
  <c r="Q85" i="181"/>
  <c r="Q121" i="181"/>
  <c r="Q122" i="181"/>
  <c r="Q123" i="181"/>
  <c r="Q14" i="181"/>
  <c r="Q26" i="181"/>
  <c r="Q9" i="181"/>
  <c r="Q21" i="181"/>
  <c r="Q33" i="181"/>
  <c r="Q4" i="181"/>
  <c r="Q16" i="181"/>
  <c r="Q28" i="181"/>
  <c r="Q6" i="181"/>
  <c r="Q18" i="181"/>
  <c r="Q30" i="181"/>
  <c r="Q13" i="181"/>
  <c r="Q25" i="181"/>
  <c r="Q8" i="181"/>
  <c r="Q20" i="181"/>
  <c r="Q32" i="181"/>
  <c r="Q5" i="181"/>
  <c r="Q17" i="181"/>
  <c r="Q29" i="181"/>
  <c r="Q12" i="181"/>
  <c r="Q44" i="181"/>
  <c r="Q27" i="181"/>
  <c r="Q39" i="181"/>
  <c r="Q51" i="181"/>
  <c r="Q15" i="181"/>
  <c r="Q46" i="181"/>
  <c r="Q48" i="181"/>
  <c r="Q19" i="181"/>
  <c r="Q61" i="181"/>
  <c r="Q53" i="181"/>
  <c r="Q22" i="181"/>
  <c r="Q11" i="181"/>
  <c r="Q45" i="181"/>
  <c r="Q49" i="181"/>
  <c r="Q10" i="181"/>
  <c r="Q31" i="181"/>
  <c r="Q54" i="181"/>
  <c r="Q71" i="181"/>
  <c r="Q42" i="181"/>
  <c r="Q58" i="181"/>
  <c r="Q65" i="181"/>
  <c r="Q73" i="181"/>
  <c r="Q23" i="181"/>
  <c r="Q50" i="181"/>
  <c r="Q75" i="181"/>
  <c r="Q36" i="181"/>
  <c r="Q37" i="181"/>
  <c r="Q38" i="181"/>
  <c r="Q57" i="181"/>
  <c r="Q70" i="181"/>
  <c r="Q40" i="181"/>
  <c r="Q41" i="181"/>
  <c r="Q64" i="181"/>
  <c r="Q67" i="181"/>
  <c r="Q69" i="181"/>
  <c r="Q47" i="181"/>
  <c r="Q59" i="181"/>
  <c r="Q74" i="181"/>
  <c r="Q79" i="181"/>
  <c r="Q87" i="181"/>
  <c r="Q81" i="181"/>
  <c r="Q91" i="181"/>
  <c r="Q86" i="181"/>
  <c r="Q35" i="181"/>
  <c r="Q55" i="181"/>
  <c r="Q72" i="181"/>
  <c r="Q76" i="181"/>
  <c r="Q80" i="181"/>
  <c r="Q93" i="181"/>
  <c r="Q62" i="181"/>
  <c r="Q63" i="181"/>
  <c r="Q84" i="181"/>
  <c r="Q60" i="181"/>
  <c r="Q96" i="181"/>
  <c r="Q108" i="181"/>
  <c r="Q66" i="181"/>
  <c r="Q103" i="181"/>
  <c r="Q83" i="181"/>
  <c r="Q98" i="181"/>
  <c r="Q7" i="181"/>
  <c r="Q52" i="181"/>
  <c r="Q100" i="181"/>
  <c r="Q95" i="181"/>
  <c r="Q107" i="181"/>
  <c r="Q24" i="181"/>
  <c r="Q92" i="181"/>
  <c r="Q102" i="181"/>
  <c r="Q82" i="181"/>
  <c r="Q94" i="181"/>
  <c r="Q106" i="181"/>
  <c r="Q110" i="181"/>
  <c r="Q117" i="181"/>
  <c r="Q89" i="181"/>
  <c r="Q104" i="181"/>
  <c r="Q112" i="181"/>
  <c r="Q125" i="181"/>
  <c r="Q68" i="181"/>
  <c r="Q101" i="181"/>
  <c r="Q114" i="181"/>
  <c r="Q127" i="181"/>
  <c r="Q34" i="181"/>
  <c r="Q43" i="181"/>
  <c r="Q77" i="181"/>
  <c r="Q97" i="181"/>
  <c r="Q90" i="181"/>
  <c r="Q120" i="181"/>
  <c r="Q78" i="181"/>
  <c r="Q129" i="181"/>
  <c r="Q130" i="181"/>
  <c r="Q142" i="181"/>
  <c r="Q154" i="181"/>
  <c r="Q137" i="181"/>
  <c r="Q149" i="181"/>
  <c r="Q161" i="181"/>
  <c r="Q109" i="181"/>
  <c r="Q139" i="181"/>
  <c r="Q132" i="181"/>
  <c r="Q144" i="181"/>
  <c r="Q156" i="181"/>
  <c r="Q111" i="181"/>
  <c r="Q88" i="181"/>
  <c r="Q118" i="181"/>
  <c r="Q134" i="181"/>
  <c r="Q146" i="181"/>
  <c r="Q158" i="181"/>
  <c r="Q141" i="181"/>
  <c r="Q153" i="181"/>
  <c r="Q165" i="181"/>
  <c r="Q115" i="181"/>
  <c r="Q140" i="181"/>
  <c r="Q152" i="181"/>
  <c r="Q164" i="181"/>
  <c r="Q99" i="181"/>
  <c r="Q113" i="181"/>
  <c r="Q133" i="181"/>
  <c r="Q160" i="181"/>
  <c r="Q136" i="181"/>
  <c r="Q143" i="181"/>
  <c r="Q126" i="181"/>
  <c r="Q157" i="181"/>
  <c r="Q135" i="181"/>
  <c r="Q150" i="181"/>
  <c r="Q128" i="181"/>
  <c r="Q131" i="181"/>
  <c r="Q138" i="181"/>
  <c r="Q147" i="181"/>
  <c r="Q162" i="181"/>
  <c r="Q151" i="181"/>
  <c r="Q148" i="181"/>
  <c r="Q116" i="181"/>
  <c r="Q119" i="181"/>
  <c r="Q155" i="181"/>
  <c r="Q159" i="181"/>
  <c r="Q3" i="181"/>
  <c r="Q105" i="181"/>
  <c r="Q163" i="181"/>
  <c r="Q145" i="181"/>
  <c r="R1" i="181"/>
  <c r="T47" i="178"/>
  <c r="R56" i="181" l="1"/>
  <c r="R123" i="181"/>
  <c r="R124" i="181"/>
  <c r="R85" i="181"/>
  <c r="R121" i="181"/>
  <c r="R122" i="181"/>
  <c r="R7" i="181"/>
  <c r="R19" i="181"/>
  <c r="R31" i="181"/>
  <c r="R14" i="181"/>
  <c r="R26" i="181"/>
  <c r="R9" i="181"/>
  <c r="R21" i="181"/>
  <c r="R33" i="181"/>
  <c r="R11" i="181"/>
  <c r="R23" i="181"/>
  <c r="R35" i="181"/>
  <c r="R6" i="181"/>
  <c r="R18" i="181"/>
  <c r="R30" i="181"/>
  <c r="R13" i="181"/>
  <c r="R25" i="181"/>
  <c r="R10" i="181"/>
  <c r="R22" i="181"/>
  <c r="R34" i="181"/>
  <c r="R24" i="181"/>
  <c r="R37" i="181"/>
  <c r="R49" i="181"/>
  <c r="R12" i="181"/>
  <c r="R44" i="181"/>
  <c r="R27" i="181"/>
  <c r="R39" i="181"/>
  <c r="R51" i="181"/>
  <c r="R16" i="181"/>
  <c r="R29" i="181"/>
  <c r="R41" i="181"/>
  <c r="R53" i="181"/>
  <c r="R50" i="181"/>
  <c r="R54" i="181"/>
  <c r="R66" i="181"/>
  <c r="R8" i="181"/>
  <c r="R15" i="181"/>
  <c r="R46" i="181"/>
  <c r="R4" i="181"/>
  <c r="R36" i="181"/>
  <c r="R38" i="181"/>
  <c r="R42" i="181"/>
  <c r="R58" i="181"/>
  <c r="R47" i="181"/>
  <c r="R55" i="181"/>
  <c r="R59" i="181"/>
  <c r="R76" i="181"/>
  <c r="R65" i="181"/>
  <c r="R43" i="181"/>
  <c r="R68" i="181"/>
  <c r="R32" i="181"/>
  <c r="R75" i="181"/>
  <c r="R60" i="181"/>
  <c r="R61" i="181"/>
  <c r="R40" i="181"/>
  <c r="R64" i="181"/>
  <c r="R69" i="181"/>
  <c r="R92" i="181"/>
  <c r="R17" i="181"/>
  <c r="R74" i="181"/>
  <c r="R79" i="181"/>
  <c r="R87" i="181"/>
  <c r="R5" i="181"/>
  <c r="R73" i="181"/>
  <c r="R77" i="181"/>
  <c r="R83" i="181"/>
  <c r="R91" i="181"/>
  <c r="R48" i="181"/>
  <c r="R67" i="181"/>
  <c r="R86" i="181"/>
  <c r="R90" i="181"/>
  <c r="R20" i="181"/>
  <c r="R62" i="181"/>
  <c r="R101" i="181"/>
  <c r="R96" i="181"/>
  <c r="R108" i="181"/>
  <c r="R45" i="181"/>
  <c r="R88" i="181"/>
  <c r="R105" i="181"/>
  <c r="R52" i="181"/>
  <c r="R100" i="181"/>
  <c r="R63" i="181"/>
  <c r="R71" i="181"/>
  <c r="R84" i="181"/>
  <c r="R95" i="181"/>
  <c r="R107" i="181"/>
  <c r="R28" i="181"/>
  <c r="R78" i="181"/>
  <c r="R99" i="181"/>
  <c r="R115" i="181"/>
  <c r="R128" i="181"/>
  <c r="R82" i="181"/>
  <c r="R110" i="181"/>
  <c r="R117" i="181"/>
  <c r="R94" i="181"/>
  <c r="R119" i="181"/>
  <c r="R81" i="181"/>
  <c r="R93" i="181"/>
  <c r="R114" i="181"/>
  <c r="R127" i="181"/>
  <c r="R70" i="181"/>
  <c r="R106" i="181"/>
  <c r="R113" i="181"/>
  <c r="R126" i="181"/>
  <c r="R57" i="181"/>
  <c r="R120" i="181"/>
  <c r="R135" i="181"/>
  <c r="R147" i="181"/>
  <c r="R159" i="181"/>
  <c r="R3" i="181"/>
  <c r="R132" i="181"/>
  <c r="R104" i="181"/>
  <c r="R125" i="181"/>
  <c r="R129" i="181"/>
  <c r="R130" i="181"/>
  <c r="R142" i="181"/>
  <c r="R154" i="181"/>
  <c r="R137" i="181"/>
  <c r="R149" i="181"/>
  <c r="R161" i="181"/>
  <c r="R98" i="181"/>
  <c r="R109" i="181"/>
  <c r="R111" i="181"/>
  <c r="R139" i="181"/>
  <c r="R151" i="181"/>
  <c r="R163" i="181"/>
  <c r="R80" i="181"/>
  <c r="R103" i="181"/>
  <c r="R118" i="181"/>
  <c r="R134" i="181"/>
  <c r="R146" i="181"/>
  <c r="R158" i="181"/>
  <c r="R133" i="181"/>
  <c r="R145" i="181"/>
  <c r="R157" i="181"/>
  <c r="R72" i="181"/>
  <c r="R153" i="181"/>
  <c r="R150" i="181"/>
  <c r="R160" i="181"/>
  <c r="R136" i="181"/>
  <c r="R143" i="181"/>
  <c r="R112" i="181"/>
  <c r="R164" i="181"/>
  <c r="R116" i="181"/>
  <c r="R138" i="181"/>
  <c r="R144" i="181"/>
  <c r="R102" i="181"/>
  <c r="R165" i="181"/>
  <c r="R155" i="181"/>
  <c r="R140" i="181"/>
  <c r="R141" i="181"/>
  <c r="R148" i="181"/>
  <c r="R97" i="181"/>
  <c r="R89" i="181"/>
  <c r="R131" i="181"/>
  <c r="R152" i="181"/>
  <c r="R156" i="181"/>
  <c r="R162" i="181"/>
  <c r="S1" i="181"/>
  <c r="T45" i="178"/>
  <c r="T46" i="178"/>
  <c r="S56" i="181" l="1"/>
  <c r="S122" i="181"/>
  <c r="S123" i="181"/>
  <c r="S124" i="181"/>
  <c r="S85" i="181"/>
  <c r="S121" i="181"/>
  <c r="S12" i="181"/>
  <c r="S24" i="181"/>
  <c r="S36" i="181"/>
  <c r="S7" i="181"/>
  <c r="S19" i="181"/>
  <c r="S31" i="181"/>
  <c r="S14" i="181"/>
  <c r="S26" i="181"/>
  <c r="S4" i="181"/>
  <c r="S16" i="181"/>
  <c r="S28" i="181"/>
  <c r="S11" i="181"/>
  <c r="S23" i="181"/>
  <c r="S35" i="181"/>
  <c r="S6" i="181"/>
  <c r="S18" i="181"/>
  <c r="S30" i="181"/>
  <c r="S15" i="181"/>
  <c r="S27" i="181"/>
  <c r="S25" i="181"/>
  <c r="S42" i="181"/>
  <c r="S54" i="181"/>
  <c r="S13" i="181"/>
  <c r="S37" i="181"/>
  <c r="S49" i="181"/>
  <c r="S44" i="181"/>
  <c r="S46" i="181"/>
  <c r="S5" i="181"/>
  <c r="S43" i="181"/>
  <c r="S47" i="181"/>
  <c r="S59" i="181"/>
  <c r="S33" i="181"/>
  <c r="S39" i="181"/>
  <c r="S50" i="181"/>
  <c r="S8" i="181"/>
  <c r="S29" i="181"/>
  <c r="S53" i="181"/>
  <c r="S61" i="181"/>
  <c r="S32" i="181"/>
  <c r="S63" i="181"/>
  <c r="S40" i="181"/>
  <c r="S48" i="181"/>
  <c r="S64" i="181"/>
  <c r="S67" i="181"/>
  <c r="S69" i="181"/>
  <c r="S10" i="181"/>
  <c r="S55" i="181"/>
  <c r="S58" i="181"/>
  <c r="S71" i="181"/>
  <c r="S17" i="181"/>
  <c r="S73" i="181"/>
  <c r="S68" i="181"/>
  <c r="S20" i="181"/>
  <c r="S62" i="181"/>
  <c r="S60" i="181"/>
  <c r="S84" i="181"/>
  <c r="S21" i="181"/>
  <c r="S65" i="181"/>
  <c r="S92" i="181"/>
  <c r="S9" i="181"/>
  <c r="S89" i="181"/>
  <c r="S22" i="181"/>
  <c r="S77" i="181"/>
  <c r="S83" i="181"/>
  <c r="S41" i="181"/>
  <c r="S91" i="181"/>
  <c r="S52" i="181"/>
  <c r="S82" i="181"/>
  <c r="S90" i="181"/>
  <c r="S94" i="181"/>
  <c r="S106" i="181"/>
  <c r="S51" i="181"/>
  <c r="S74" i="181"/>
  <c r="S79" i="181"/>
  <c r="S87" i="181"/>
  <c r="S101" i="181"/>
  <c r="S66" i="181"/>
  <c r="S96" i="181"/>
  <c r="S38" i="181"/>
  <c r="S72" i="181"/>
  <c r="S80" i="181"/>
  <c r="S98" i="181"/>
  <c r="S45" i="181"/>
  <c r="S88" i="181"/>
  <c r="S105" i="181"/>
  <c r="S100" i="181"/>
  <c r="S93" i="181"/>
  <c r="S104" i="181"/>
  <c r="S57" i="181"/>
  <c r="S78" i="181"/>
  <c r="S103" i="181"/>
  <c r="S120" i="181"/>
  <c r="S76" i="181"/>
  <c r="S107" i="181"/>
  <c r="S115" i="181"/>
  <c r="S128" i="181"/>
  <c r="S110" i="181"/>
  <c r="S95" i="181"/>
  <c r="S112" i="181"/>
  <c r="S125" i="181"/>
  <c r="S108" i="181"/>
  <c r="S119" i="181"/>
  <c r="S99" i="181"/>
  <c r="S118" i="181"/>
  <c r="S113" i="181"/>
  <c r="S140" i="181"/>
  <c r="S152" i="181"/>
  <c r="S164" i="181"/>
  <c r="S137" i="181"/>
  <c r="S117" i="181"/>
  <c r="S127" i="181"/>
  <c r="S135" i="181"/>
  <c r="S147" i="181"/>
  <c r="S159" i="181"/>
  <c r="S3" i="181"/>
  <c r="S114" i="181"/>
  <c r="S129" i="181"/>
  <c r="S130" i="181"/>
  <c r="S142" i="181"/>
  <c r="S154" i="181"/>
  <c r="S132" i="181"/>
  <c r="S144" i="181"/>
  <c r="S156" i="181"/>
  <c r="S70" i="181"/>
  <c r="S75" i="181"/>
  <c r="S109" i="181"/>
  <c r="S111" i="181"/>
  <c r="S139" i="181"/>
  <c r="S151" i="181"/>
  <c r="S163" i="181"/>
  <c r="S86" i="181"/>
  <c r="S102" i="181"/>
  <c r="S116" i="181"/>
  <c r="S138" i="181"/>
  <c r="S150" i="181"/>
  <c r="S162" i="181"/>
  <c r="S134" i="181"/>
  <c r="S146" i="181"/>
  <c r="S97" i="181"/>
  <c r="S133" i="181"/>
  <c r="S153" i="181"/>
  <c r="S143" i="181"/>
  <c r="S34" i="181"/>
  <c r="S160" i="181"/>
  <c r="S136" i="181"/>
  <c r="S126" i="181"/>
  <c r="S157" i="181"/>
  <c r="S81" i="181"/>
  <c r="S161" i="181"/>
  <c r="S158" i="181"/>
  <c r="S141" i="181"/>
  <c r="S148" i="181"/>
  <c r="S165" i="181"/>
  <c r="S145" i="181"/>
  <c r="S131" i="181"/>
  <c r="S149" i="181"/>
  <c r="S155" i="181"/>
  <c r="T1" i="181"/>
  <c r="T33" i="178"/>
  <c r="T34" i="178"/>
  <c r="T35" i="178"/>
  <c r="T36" i="178"/>
  <c r="T37" i="178"/>
  <c r="T38" i="178"/>
  <c r="T39" i="178"/>
  <c r="T41" i="178"/>
  <c r="T42" i="178"/>
  <c r="T43" i="178"/>
  <c r="T44" i="178"/>
  <c r="T40" i="178"/>
  <c r="T56" i="181" l="1"/>
  <c r="T121" i="181"/>
  <c r="T122" i="181"/>
  <c r="T123" i="181"/>
  <c r="T124" i="181"/>
  <c r="T85" i="181"/>
  <c r="T5" i="181"/>
  <c r="T17" i="181"/>
  <c r="T29" i="181"/>
  <c r="T12" i="181"/>
  <c r="T24" i="181"/>
  <c r="T36" i="181"/>
  <c r="T7" i="181"/>
  <c r="T19" i="181"/>
  <c r="T31" i="181"/>
  <c r="T9" i="181"/>
  <c r="T21" i="181"/>
  <c r="T33" i="181"/>
  <c r="T4" i="181"/>
  <c r="T16" i="181"/>
  <c r="T28" i="181"/>
  <c r="T11" i="181"/>
  <c r="T23" i="181"/>
  <c r="T35" i="181"/>
  <c r="T8" i="181"/>
  <c r="T20" i="181"/>
  <c r="T32" i="181"/>
  <c r="T10" i="181"/>
  <c r="T47" i="181"/>
  <c r="T25" i="181"/>
  <c r="T42" i="181"/>
  <c r="T54" i="181"/>
  <c r="T13" i="181"/>
  <c r="T26" i="181"/>
  <c r="T37" i="181"/>
  <c r="T49" i="181"/>
  <c r="T15" i="181"/>
  <c r="T39" i="181"/>
  <c r="T51" i="181"/>
  <c r="T40" i="181"/>
  <c r="T64" i="181"/>
  <c r="T43" i="181"/>
  <c r="T46" i="181"/>
  <c r="T50" i="181"/>
  <c r="T22" i="181"/>
  <c r="T41" i="181"/>
  <c r="T60" i="181"/>
  <c r="T74" i="181"/>
  <c r="T6" i="181"/>
  <c r="T48" i="181"/>
  <c r="T59" i="181"/>
  <c r="T67" i="181"/>
  <c r="T69" i="181"/>
  <c r="T27" i="181"/>
  <c r="T55" i="181"/>
  <c r="T76" i="181"/>
  <c r="T65" i="181"/>
  <c r="T73" i="181"/>
  <c r="T14" i="181"/>
  <c r="T63" i="181"/>
  <c r="T61" i="181"/>
  <c r="T62" i="181"/>
  <c r="T71" i="181"/>
  <c r="T90" i="181"/>
  <c r="T58" i="181"/>
  <c r="T84" i="181"/>
  <c r="T34" i="181"/>
  <c r="T57" i="181"/>
  <c r="T66" i="181"/>
  <c r="T70" i="181"/>
  <c r="T81" i="181"/>
  <c r="T18" i="181"/>
  <c r="T53" i="181"/>
  <c r="T89" i="181"/>
  <c r="T77" i="181"/>
  <c r="T83" i="181"/>
  <c r="T45" i="181"/>
  <c r="T75" i="181"/>
  <c r="T78" i="181"/>
  <c r="T88" i="181"/>
  <c r="T82" i="181"/>
  <c r="T99" i="181"/>
  <c r="T44" i="181"/>
  <c r="T94" i="181"/>
  <c r="T106" i="181"/>
  <c r="T30" i="181"/>
  <c r="T79" i="181"/>
  <c r="T87" i="181"/>
  <c r="T68" i="181"/>
  <c r="T103" i="181"/>
  <c r="T38" i="181"/>
  <c r="T72" i="181"/>
  <c r="T80" i="181"/>
  <c r="T98" i="181"/>
  <c r="T52" i="181"/>
  <c r="T105" i="181"/>
  <c r="T86" i="181"/>
  <c r="T97" i="181"/>
  <c r="T109" i="181"/>
  <c r="T113" i="181"/>
  <c r="T126" i="181"/>
  <c r="T100" i="181"/>
  <c r="T120" i="181"/>
  <c r="T107" i="181"/>
  <c r="T115" i="181"/>
  <c r="T91" i="181"/>
  <c r="T104" i="181"/>
  <c r="T117" i="181"/>
  <c r="T95" i="181"/>
  <c r="T101" i="181"/>
  <c r="T112" i="181"/>
  <c r="T125" i="181"/>
  <c r="T92" i="181"/>
  <c r="T111" i="181"/>
  <c r="T133" i="181"/>
  <c r="T145" i="181"/>
  <c r="T157" i="181"/>
  <c r="T129" i="181"/>
  <c r="T130" i="181"/>
  <c r="T110" i="181"/>
  <c r="T140" i="181"/>
  <c r="T152" i="181"/>
  <c r="T164" i="181"/>
  <c r="T96" i="181"/>
  <c r="T127" i="181"/>
  <c r="T135" i="181"/>
  <c r="T147" i="181"/>
  <c r="T159" i="181"/>
  <c r="T3" i="181"/>
  <c r="T114" i="181"/>
  <c r="T137" i="181"/>
  <c r="T149" i="181"/>
  <c r="T161" i="181"/>
  <c r="T132" i="181"/>
  <c r="T144" i="181"/>
  <c r="T156" i="181"/>
  <c r="T118" i="181"/>
  <c r="T131" i="181"/>
  <c r="T143" i="181"/>
  <c r="T155" i="181"/>
  <c r="T102" i="181"/>
  <c r="T116" i="181"/>
  <c r="T163" i="181"/>
  <c r="T134" i="181"/>
  <c r="T146" i="181"/>
  <c r="T160" i="181"/>
  <c r="T93" i="181"/>
  <c r="T153" i="181"/>
  <c r="T141" i="181"/>
  <c r="T128" i="181"/>
  <c r="T136" i="181"/>
  <c r="T150" i="181"/>
  <c r="T165" i="181"/>
  <c r="T108" i="181"/>
  <c r="T139" i="181"/>
  <c r="T154" i="181"/>
  <c r="T138" i="181"/>
  <c r="T151" i="181"/>
  <c r="T158" i="181"/>
  <c r="T119" i="181"/>
  <c r="T162" i="181"/>
  <c r="T142" i="181"/>
  <c r="T148" i="181"/>
  <c r="U1" i="181"/>
  <c r="T32" i="178"/>
  <c r="U56" i="181" l="1"/>
  <c r="U121" i="181"/>
  <c r="U122" i="181"/>
  <c r="U123" i="181"/>
  <c r="U124" i="181"/>
  <c r="U85" i="181"/>
  <c r="U10" i="181"/>
  <c r="U22" i="181"/>
  <c r="U34" i="181"/>
  <c r="U5" i="181"/>
  <c r="U17" i="181"/>
  <c r="U29" i="181"/>
  <c r="U12" i="181"/>
  <c r="U24" i="181"/>
  <c r="U36" i="181"/>
  <c r="U14" i="181"/>
  <c r="U26" i="181"/>
  <c r="U9" i="181"/>
  <c r="U21" i="181"/>
  <c r="U33" i="181"/>
  <c r="U4" i="181"/>
  <c r="U16" i="181"/>
  <c r="U28" i="181"/>
  <c r="U13" i="181"/>
  <c r="U25" i="181"/>
  <c r="U11" i="181"/>
  <c r="U40" i="181"/>
  <c r="U52" i="181"/>
  <c r="U47" i="181"/>
  <c r="U42" i="181"/>
  <c r="U54" i="181"/>
  <c r="U27" i="181"/>
  <c r="U44" i="181"/>
  <c r="U23" i="181"/>
  <c r="U57" i="181"/>
  <c r="U19" i="181"/>
  <c r="U15" i="181"/>
  <c r="U39" i="181"/>
  <c r="U43" i="181"/>
  <c r="U59" i="181"/>
  <c r="U18" i="181"/>
  <c r="U53" i="181"/>
  <c r="U61" i="181"/>
  <c r="U35" i="181"/>
  <c r="U62" i="181"/>
  <c r="U79" i="181"/>
  <c r="U8" i="181"/>
  <c r="U31" i="181"/>
  <c r="U41" i="181"/>
  <c r="U60" i="181"/>
  <c r="U64" i="181"/>
  <c r="U6" i="181"/>
  <c r="U48" i="181"/>
  <c r="U49" i="181"/>
  <c r="U67" i="181"/>
  <c r="U69" i="181"/>
  <c r="U58" i="181"/>
  <c r="U71" i="181"/>
  <c r="U50" i="181"/>
  <c r="U65" i="181"/>
  <c r="U20" i="181"/>
  <c r="U63" i="181"/>
  <c r="U82" i="181"/>
  <c r="U90" i="181"/>
  <c r="U30" i="181"/>
  <c r="U87" i="181"/>
  <c r="U46" i="181"/>
  <c r="U66" i="181"/>
  <c r="U70" i="181"/>
  <c r="U73" i="181"/>
  <c r="U81" i="181"/>
  <c r="U89" i="181"/>
  <c r="U38" i="181"/>
  <c r="U72" i="181"/>
  <c r="U80" i="181"/>
  <c r="U93" i="181"/>
  <c r="U75" i="181"/>
  <c r="U78" i="181"/>
  <c r="U104" i="181"/>
  <c r="U37" i="181"/>
  <c r="U99" i="181"/>
  <c r="U51" i="181"/>
  <c r="U74" i="181"/>
  <c r="U94" i="181"/>
  <c r="U32" i="181"/>
  <c r="U91" i="181"/>
  <c r="U96" i="181"/>
  <c r="U108" i="181"/>
  <c r="U7" i="181"/>
  <c r="U68" i="181"/>
  <c r="U103" i="181"/>
  <c r="U45" i="181"/>
  <c r="U88" i="181"/>
  <c r="U98" i="181"/>
  <c r="U76" i="181"/>
  <c r="U102" i="181"/>
  <c r="U118" i="181"/>
  <c r="U84" i="181"/>
  <c r="U113" i="181"/>
  <c r="U126" i="181"/>
  <c r="U100" i="181"/>
  <c r="U120" i="181"/>
  <c r="U110" i="181"/>
  <c r="U117" i="181"/>
  <c r="U55" i="181"/>
  <c r="U109" i="181"/>
  <c r="U116" i="181"/>
  <c r="U129" i="181"/>
  <c r="U138" i="181"/>
  <c r="U150" i="181"/>
  <c r="U162" i="181"/>
  <c r="U127" i="181"/>
  <c r="U135" i="181"/>
  <c r="U107" i="181"/>
  <c r="U133" i="181"/>
  <c r="U145" i="181"/>
  <c r="U157" i="181"/>
  <c r="U101" i="181"/>
  <c r="U125" i="181"/>
  <c r="U140" i="181"/>
  <c r="U152" i="181"/>
  <c r="U164" i="181"/>
  <c r="U83" i="181"/>
  <c r="U114" i="181"/>
  <c r="U130" i="181"/>
  <c r="U142" i="181"/>
  <c r="U154" i="181"/>
  <c r="U92" i="181"/>
  <c r="U106" i="181"/>
  <c r="U111" i="181"/>
  <c r="U137" i="181"/>
  <c r="U149" i="181"/>
  <c r="U161" i="181"/>
  <c r="U97" i="181"/>
  <c r="U136" i="181"/>
  <c r="U148" i="181"/>
  <c r="U160" i="181"/>
  <c r="U86" i="181"/>
  <c r="U105" i="181"/>
  <c r="U131" i="181"/>
  <c r="U156" i="181"/>
  <c r="U163" i="181"/>
  <c r="U77" i="181"/>
  <c r="U134" i="181"/>
  <c r="U146" i="181"/>
  <c r="U153" i="181"/>
  <c r="U119" i="181"/>
  <c r="U115" i="181"/>
  <c r="U143" i="181"/>
  <c r="U158" i="181"/>
  <c r="U95" i="181"/>
  <c r="U112" i="181"/>
  <c r="U128" i="181"/>
  <c r="U147" i="181"/>
  <c r="U139" i="181"/>
  <c r="U144" i="181"/>
  <c r="U151" i="181"/>
  <c r="U141" i="181"/>
  <c r="U155" i="181"/>
  <c r="U132" i="181"/>
  <c r="U159" i="181"/>
  <c r="U165" i="181"/>
  <c r="U3" i="181"/>
  <c r="V1" i="181"/>
  <c r="T26" i="178"/>
  <c r="T27" i="178"/>
  <c r="T28" i="178"/>
  <c r="T29" i="178"/>
  <c r="T25" i="178"/>
  <c r="T30" i="178"/>
  <c r="T31" i="178"/>
  <c r="V56" i="181" l="1"/>
  <c r="V85" i="181"/>
  <c r="V121" i="181"/>
  <c r="V122" i="181"/>
  <c r="V123" i="181"/>
  <c r="V124" i="181"/>
  <c r="V15" i="181"/>
  <c r="V27" i="181"/>
  <c r="V10" i="181"/>
  <c r="V22" i="181"/>
  <c r="V34" i="181"/>
  <c r="V5" i="181"/>
  <c r="V17" i="181"/>
  <c r="V29" i="181"/>
  <c r="V7" i="181"/>
  <c r="V19" i="181"/>
  <c r="V31" i="181"/>
  <c r="V14" i="181"/>
  <c r="V26" i="181"/>
  <c r="V9" i="181"/>
  <c r="V21" i="181"/>
  <c r="V33" i="181"/>
  <c r="V6" i="181"/>
  <c r="V18" i="181"/>
  <c r="V30" i="181"/>
  <c r="V23" i="181"/>
  <c r="V36" i="181"/>
  <c r="V45" i="181"/>
  <c r="V11" i="181"/>
  <c r="V24" i="181"/>
  <c r="V40" i="181"/>
  <c r="V52" i="181"/>
  <c r="V12" i="181"/>
  <c r="V25" i="181"/>
  <c r="V47" i="181"/>
  <c r="V28" i="181"/>
  <c r="V37" i="181"/>
  <c r="V49" i="181"/>
  <c r="V62" i="181"/>
  <c r="V54" i="181"/>
  <c r="V57" i="181"/>
  <c r="V8" i="181"/>
  <c r="V46" i="181"/>
  <c r="V50" i="181"/>
  <c r="V20" i="181"/>
  <c r="V61" i="181"/>
  <c r="V63" i="181"/>
  <c r="V72" i="181"/>
  <c r="V4" i="181"/>
  <c r="V35" i="181"/>
  <c r="V41" i="181"/>
  <c r="V42" i="181"/>
  <c r="V59" i="181"/>
  <c r="V60" i="181"/>
  <c r="V64" i="181"/>
  <c r="V74" i="181"/>
  <c r="V55" i="181"/>
  <c r="V76" i="181"/>
  <c r="V43" i="181"/>
  <c r="V58" i="181"/>
  <c r="V71" i="181"/>
  <c r="V53" i="181"/>
  <c r="V66" i="181"/>
  <c r="V70" i="181"/>
  <c r="V16" i="181"/>
  <c r="V75" i="181"/>
  <c r="V78" i="181"/>
  <c r="V88" i="181"/>
  <c r="V69" i="181"/>
  <c r="V82" i="181"/>
  <c r="V51" i="181"/>
  <c r="V79" i="181"/>
  <c r="V92" i="181"/>
  <c r="V39" i="181"/>
  <c r="V87" i="181"/>
  <c r="V73" i="181"/>
  <c r="V81" i="181"/>
  <c r="V68" i="181"/>
  <c r="V86" i="181"/>
  <c r="V93" i="181"/>
  <c r="V97" i="181"/>
  <c r="V109" i="181"/>
  <c r="V13" i="181"/>
  <c r="V90" i="181"/>
  <c r="V104" i="181"/>
  <c r="V44" i="181"/>
  <c r="V83" i="181"/>
  <c r="V101" i="181"/>
  <c r="V32" i="181"/>
  <c r="V91" i="181"/>
  <c r="V96" i="181"/>
  <c r="V108" i="181"/>
  <c r="V38" i="181"/>
  <c r="V80" i="181"/>
  <c r="V103" i="181"/>
  <c r="V77" i="181"/>
  <c r="V95" i="181"/>
  <c r="V107" i="181"/>
  <c r="V48" i="181"/>
  <c r="V106" i="181"/>
  <c r="V111" i="181"/>
  <c r="V118" i="181"/>
  <c r="V67" i="181"/>
  <c r="V84" i="181"/>
  <c r="V113" i="181"/>
  <c r="V89" i="181"/>
  <c r="V115" i="181"/>
  <c r="V128" i="181"/>
  <c r="V94" i="181"/>
  <c r="V110" i="181"/>
  <c r="V102" i="181"/>
  <c r="V99" i="181"/>
  <c r="V116" i="181"/>
  <c r="V131" i="181"/>
  <c r="V143" i="181"/>
  <c r="V155" i="181"/>
  <c r="V125" i="181"/>
  <c r="V120" i="181"/>
  <c r="V138" i="181"/>
  <c r="V150" i="181"/>
  <c r="V162" i="181"/>
  <c r="V140" i="181"/>
  <c r="V117" i="181"/>
  <c r="V133" i="181"/>
  <c r="V145" i="181"/>
  <c r="V157" i="181"/>
  <c r="V98" i="181"/>
  <c r="V127" i="181"/>
  <c r="V129" i="181"/>
  <c r="V135" i="181"/>
  <c r="V147" i="181"/>
  <c r="V159" i="181"/>
  <c r="V3" i="181"/>
  <c r="V114" i="181"/>
  <c r="V130" i="181"/>
  <c r="V142" i="181"/>
  <c r="V154" i="181"/>
  <c r="V105" i="181"/>
  <c r="V119" i="181"/>
  <c r="V141" i="181"/>
  <c r="V153" i="181"/>
  <c r="V165" i="181"/>
  <c r="V132" i="181"/>
  <c r="V149" i="181"/>
  <c r="V134" i="181"/>
  <c r="V146" i="181"/>
  <c r="V100" i="181"/>
  <c r="V156" i="181"/>
  <c r="V163" i="181"/>
  <c r="V137" i="181"/>
  <c r="V160" i="181"/>
  <c r="V126" i="181"/>
  <c r="V136" i="181"/>
  <c r="V164" i="181"/>
  <c r="V112" i="181"/>
  <c r="V161" i="181"/>
  <c r="V151" i="181"/>
  <c r="V65" i="181"/>
  <c r="V139" i="181"/>
  <c r="V144" i="181"/>
  <c r="V148" i="181"/>
  <c r="V152" i="181"/>
  <c r="V158" i="181"/>
  <c r="W1" i="181"/>
  <c r="T24" i="178"/>
  <c r="W56" i="181" l="1"/>
  <c r="W124" i="181"/>
  <c r="W85" i="181"/>
  <c r="W121" i="181"/>
  <c r="W122" i="181"/>
  <c r="W123" i="181"/>
  <c r="W8" i="181"/>
  <c r="W20" i="181"/>
  <c r="W32" i="181"/>
  <c r="W15" i="181"/>
  <c r="W27" i="181"/>
  <c r="W10" i="181"/>
  <c r="W22" i="181"/>
  <c r="W34" i="181"/>
  <c r="W12" i="181"/>
  <c r="W24" i="181"/>
  <c r="W36" i="181"/>
  <c r="W7" i="181"/>
  <c r="W19" i="181"/>
  <c r="W31" i="181"/>
  <c r="W14" i="181"/>
  <c r="W26" i="181"/>
  <c r="W11" i="181"/>
  <c r="W23" i="181"/>
  <c r="W35" i="181"/>
  <c r="W38" i="181"/>
  <c r="W50" i="181"/>
  <c r="W45" i="181"/>
  <c r="W40" i="181"/>
  <c r="W52" i="181"/>
  <c r="W13" i="181"/>
  <c r="W42" i="181"/>
  <c r="W54" i="181"/>
  <c r="W9" i="181"/>
  <c r="W30" i="181"/>
  <c r="W51" i="181"/>
  <c r="W55" i="181"/>
  <c r="W67" i="181"/>
  <c r="W5" i="181"/>
  <c r="W47" i="181"/>
  <c r="W33" i="181"/>
  <c r="W57" i="181"/>
  <c r="W4" i="181"/>
  <c r="W39" i="181"/>
  <c r="W43" i="181"/>
  <c r="W59" i="181"/>
  <c r="W16" i="181"/>
  <c r="W77" i="181"/>
  <c r="W29" i="181"/>
  <c r="W61" i="181"/>
  <c r="W62" i="181"/>
  <c r="W63" i="181"/>
  <c r="W25" i="181"/>
  <c r="W21" i="181"/>
  <c r="W48" i="181"/>
  <c r="W69" i="181"/>
  <c r="W17" i="181"/>
  <c r="W76" i="181"/>
  <c r="W18" i="181"/>
  <c r="W46" i="181"/>
  <c r="W80" i="181"/>
  <c r="W93" i="181"/>
  <c r="W49" i="181"/>
  <c r="W60" i="181"/>
  <c r="W64" i="181"/>
  <c r="W71" i="181"/>
  <c r="W75" i="181"/>
  <c r="W78" i="181"/>
  <c r="W88" i="181"/>
  <c r="W44" i="181"/>
  <c r="W74" i="181"/>
  <c r="W84" i="181"/>
  <c r="W79" i="181"/>
  <c r="W92" i="181"/>
  <c r="W53" i="181"/>
  <c r="W66" i="181"/>
  <c r="W70" i="181"/>
  <c r="W87" i="181"/>
  <c r="W91" i="181"/>
  <c r="W86" i="181"/>
  <c r="W102" i="181"/>
  <c r="W58" i="181"/>
  <c r="W82" i="181"/>
  <c r="W97" i="181"/>
  <c r="W109" i="181"/>
  <c r="W37" i="181"/>
  <c r="W90" i="181"/>
  <c r="W94" i="181"/>
  <c r="W106" i="181"/>
  <c r="W83" i="181"/>
  <c r="W101" i="181"/>
  <c r="W68" i="181"/>
  <c r="W72" i="181"/>
  <c r="W96" i="181"/>
  <c r="W108" i="181"/>
  <c r="W89" i="181"/>
  <c r="W100" i="181"/>
  <c r="W73" i="181"/>
  <c r="W99" i="181"/>
  <c r="W116" i="181"/>
  <c r="W129" i="181"/>
  <c r="W6" i="181"/>
  <c r="W103" i="181"/>
  <c r="W111" i="181"/>
  <c r="W41" i="181"/>
  <c r="W118" i="181"/>
  <c r="W107" i="181"/>
  <c r="W120" i="181"/>
  <c r="W104" i="181"/>
  <c r="W115" i="181"/>
  <c r="W128" i="181"/>
  <c r="W114" i="181"/>
  <c r="W127" i="181"/>
  <c r="W136" i="181"/>
  <c r="W148" i="181"/>
  <c r="W160" i="181"/>
  <c r="W117" i="181"/>
  <c r="W133" i="181"/>
  <c r="W113" i="181"/>
  <c r="W131" i="181"/>
  <c r="W143" i="181"/>
  <c r="W155" i="181"/>
  <c r="W110" i="181"/>
  <c r="W138" i="181"/>
  <c r="W150" i="181"/>
  <c r="W162" i="181"/>
  <c r="W125" i="181"/>
  <c r="W140" i="181"/>
  <c r="W152" i="181"/>
  <c r="W164" i="181"/>
  <c r="W98" i="181"/>
  <c r="W135" i="181"/>
  <c r="W147" i="181"/>
  <c r="W159" i="181"/>
  <c r="W3" i="181"/>
  <c r="W65" i="181"/>
  <c r="W112" i="181"/>
  <c r="W126" i="181"/>
  <c r="W134" i="181"/>
  <c r="W146" i="181"/>
  <c r="W158" i="181"/>
  <c r="W105" i="181"/>
  <c r="W142" i="181"/>
  <c r="W28" i="181"/>
  <c r="W132" i="181"/>
  <c r="W149" i="181"/>
  <c r="W163" i="181"/>
  <c r="W156" i="181"/>
  <c r="W153" i="181"/>
  <c r="W137" i="181"/>
  <c r="W157" i="181"/>
  <c r="W81" i="181"/>
  <c r="W95" i="181"/>
  <c r="W154" i="181"/>
  <c r="W139" i="181"/>
  <c r="W161" i="181"/>
  <c r="W144" i="181"/>
  <c r="W119" i="181"/>
  <c r="W130" i="181"/>
  <c r="W165" i="181"/>
  <c r="W141" i="181"/>
  <c r="W145" i="181"/>
  <c r="W151" i="181"/>
  <c r="X1" i="181"/>
  <c r="T18" i="178"/>
  <c r="T19" i="178"/>
  <c r="T20" i="178"/>
  <c r="T21" i="178"/>
  <c r="T22" i="178"/>
  <c r="T23" i="178"/>
  <c r="X56" i="181" l="1"/>
  <c r="X123" i="181"/>
  <c r="X124" i="181"/>
  <c r="X85" i="181"/>
  <c r="X121" i="181"/>
  <c r="X122" i="181"/>
  <c r="X13" i="181"/>
  <c r="X25" i="181"/>
  <c r="X8" i="181"/>
  <c r="X20" i="181"/>
  <c r="X32" i="181"/>
  <c r="X15" i="181"/>
  <c r="X27" i="181"/>
  <c r="X5" i="181"/>
  <c r="X17" i="181"/>
  <c r="X29" i="181"/>
  <c r="X12" i="181"/>
  <c r="X24" i="181"/>
  <c r="X36" i="181"/>
  <c r="X7" i="181"/>
  <c r="X19" i="181"/>
  <c r="X31" i="181"/>
  <c r="X4" i="181"/>
  <c r="X16" i="181"/>
  <c r="X28" i="181"/>
  <c r="X9" i="181"/>
  <c r="X22" i="181"/>
  <c r="X35" i="181"/>
  <c r="X43" i="181"/>
  <c r="X55" i="181"/>
  <c r="X10" i="181"/>
  <c r="X23" i="181"/>
  <c r="X38" i="181"/>
  <c r="X50" i="181"/>
  <c r="X11" i="181"/>
  <c r="X45" i="181"/>
  <c r="X14" i="181"/>
  <c r="X47" i="181"/>
  <c r="X34" i="181"/>
  <c r="X44" i="181"/>
  <c r="X48" i="181"/>
  <c r="X60" i="181"/>
  <c r="X26" i="181"/>
  <c r="X30" i="181"/>
  <c r="X40" i="181"/>
  <c r="X51" i="181"/>
  <c r="X54" i="181"/>
  <c r="X62" i="181"/>
  <c r="X64" i="181"/>
  <c r="X53" i="181"/>
  <c r="X66" i="181"/>
  <c r="X70" i="181"/>
  <c r="X33" i="181"/>
  <c r="X61" i="181"/>
  <c r="X63" i="181"/>
  <c r="X72" i="181"/>
  <c r="X6" i="181"/>
  <c r="X41" i="181"/>
  <c r="X49" i="181"/>
  <c r="X67" i="181"/>
  <c r="X74" i="181"/>
  <c r="X21" i="181"/>
  <c r="X69" i="181"/>
  <c r="X39" i="181"/>
  <c r="X52" i="181"/>
  <c r="X68" i="181"/>
  <c r="X86" i="181"/>
  <c r="X42" i="181"/>
  <c r="X59" i="181"/>
  <c r="X80" i="181"/>
  <c r="X93" i="181"/>
  <c r="X37" i="181"/>
  <c r="X65" i="181"/>
  <c r="X90" i="181"/>
  <c r="X57" i="181"/>
  <c r="X84" i="181"/>
  <c r="X18" i="181"/>
  <c r="X46" i="181"/>
  <c r="X79" i="181"/>
  <c r="X92" i="181"/>
  <c r="X83" i="181"/>
  <c r="X95" i="181"/>
  <c r="X107" i="181"/>
  <c r="X75" i="181"/>
  <c r="X78" i="181"/>
  <c r="X102" i="181"/>
  <c r="X58" i="181"/>
  <c r="X82" i="181"/>
  <c r="X97" i="181"/>
  <c r="X73" i="181"/>
  <c r="X99" i="181"/>
  <c r="X94" i="181"/>
  <c r="X106" i="181"/>
  <c r="X91" i="181"/>
  <c r="X101" i="181"/>
  <c r="X81" i="181"/>
  <c r="X105" i="181"/>
  <c r="X116" i="181"/>
  <c r="X129" i="181"/>
  <c r="X76" i="181"/>
  <c r="X103" i="181"/>
  <c r="X111" i="181"/>
  <c r="X100" i="181"/>
  <c r="X113" i="181"/>
  <c r="X126" i="181"/>
  <c r="X89" i="181"/>
  <c r="X120" i="181"/>
  <c r="X98" i="181"/>
  <c r="X119" i="181"/>
  <c r="X141" i="181"/>
  <c r="X153" i="181"/>
  <c r="X165" i="181"/>
  <c r="X110" i="181"/>
  <c r="X87" i="181"/>
  <c r="X136" i="181"/>
  <c r="X148" i="181"/>
  <c r="X160" i="181"/>
  <c r="X138" i="181"/>
  <c r="X104" i="181"/>
  <c r="X131" i="181"/>
  <c r="X143" i="181"/>
  <c r="X155" i="181"/>
  <c r="X96" i="181"/>
  <c r="X117" i="181"/>
  <c r="X133" i="181"/>
  <c r="X145" i="181"/>
  <c r="X157" i="181"/>
  <c r="X109" i="181"/>
  <c r="X114" i="181"/>
  <c r="X88" i="181"/>
  <c r="X125" i="181"/>
  <c r="X127" i="181"/>
  <c r="X140" i="181"/>
  <c r="X152" i="181"/>
  <c r="X164" i="181"/>
  <c r="X128" i="181"/>
  <c r="X139" i="181"/>
  <c r="X151" i="181"/>
  <c r="X163" i="181"/>
  <c r="X112" i="181"/>
  <c r="X159" i="181"/>
  <c r="X3" i="181"/>
  <c r="X77" i="181"/>
  <c r="X156" i="181"/>
  <c r="X142" i="181"/>
  <c r="X135" i="181"/>
  <c r="X132" i="181"/>
  <c r="X149" i="181"/>
  <c r="X118" i="181"/>
  <c r="X134" i="181"/>
  <c r="X146" i="181"/>
  <c r="X115" i="181"/>
  <c r="X150" i="181"/>
  <c r="X108" i="181"/>
  <c r="X137" i="181"/>
  <c r="X147" i="181"/>
  <c r="X154" i="181"/>
  <c r="X161" i="181"/>
  <c r="X71" i="181"/>
  <c r="X158" i="181"/>
  <c r="X130" i="181"/>
  <c r="X162" i="181"/>
  <c r="X144" i="181"/>
  <c r="Y1" i="181"/>
  <c r="T15" i="178"/>
  <c r="T13" i="178"/>
  <c r="T17" i="178"/>
  <c r="T14" i="178"/>
  <c r="T10" i="178"/>
  <c r="Y56" i="181" l="1"/>
  <c r="Y122" i="181"/>
  <c r="Y123" i="181"/>
  <c r="Y124" i="181"/>
  <c r="Y85" i="181"/>
  <c r="Y121" i="181"/>
  <c r="Y6" i="181"/>
  <c r="Y18" i="181"/>
  <c r="Y30" i="181"/>
  <c r="Y13" i="181"/>
  <c r="Y25" i="181"/>
  <c r="Y8" i="181"/>
  <c r="Y20" i="181"/>
  <c r="Y32" i="181"/>
  <c r="Y10" i="181"/>
  <c r="Y22" i="181"/>
  <c r="Y34" i="181"/>
  <c r="Y5" i="181"/>
  <c r="Y17" i="181"/>
  <c r="Y29" i="181"/>
  <c r="Y12" i="181"/>
  <c r="Y24" i="181"/>
  <c r="Y36" i="181"/>
  <c r="Y9" i="181"/>
  <c r="Y21" i="181"/>
  <c r="Y33" i="181"/>
  <c r="Y48" i="181"/>
  <c r="Y35" i="181"/>
  <c r="Y43" i="181"/>
  <c r="Y55" i="181"/>
  <c r="Y23" i="181"/>
  <c r="Y38" i="181"/>
  <c r="Y50" i="181"/>
  <c r="Y26" i="181"/>
  <c r="Y40" i="181"/>
  <c r="Y52" i="181"/>
  <c r="Y16" i="181"/>
  <c r="Y37" i="181"/>
  <c r="Y41" i="181"/>
  <c r="Y65" i="181"/>
  <c r="Y44" i="181"/>
  <c r="Y19" i="181"/>
  <c r="Y47" i="181"/>
  <c r="Y51" i="181"/>
  <c r="Y57" i="181"/>
  <c r="Y46" i="181"/>
  <c r="Y75" i="181"/>
  <c r="Y53" i="181"/>
  <c r="Y54" i="181"/>
  <c r="Y66" i="181"/>
  <c r="Y4" i="181"/>
  <c r="Y31" i="181"/>
  <c r="Y62" i="181"/>
  <c r="Y42" i="181"/>
  <c r="Y59" i="181"/>
  <c r="Y60" i="181"/>
  <c r="Y64" i="181"/>
  <c r="Y15" i="181"/>
  <c r="Y49" i="181"/>
  <c r="Y67" i="181"/>
  <c r="Y74" i="181"/>
  <c r="Y45" i="181"/>
  <c r="Y68" i="181"/>
  <c r="Y72" i="181"/>
  <c r="Y91" i="181"/>
  <c r="Y61" i="181"/>
  <c r="Y63" i="181"/>
  <c r="Y86" i="181"/>
  <c r="Y58" i="181"/>
  <c r="Y82" i="181"/>
  <c r="Y90" i="181"/>
  <c r="Y14" i="181"/>
  <c r="Y39" i="181"/>
  <c r="Y84" i="181"/>
  <c r="Y7" i="181"/>
  <c r="Y28" i="181"/>
  <c r="Y76" i="181"/>
  <c r="Y77" i="181"/>
  <c r="Y89" i="181"/>
  <c r="Y100" i="181"/>
  <c r="Y69" i="181"/>
  <c r="Y93" i="181"/>
  <c r="Y95" i="181"/>
  <c r="Y107" i="181"/>
  <c r="Y78" i="181"/>
  <c r="Y87" i="181"/>
  <c r="Y104" i="181"/>
  <c r="Y73" i="181"/>
  <c r="Y99" i="181"/>
  <c r="Y83" i="181"/>
  <c r="Y94" i="181"/>
  <c r="Y106" i="181"/>
  <c r="Y11" i="181"/>
  <c r="Y98" i="181"/>
  <c r="Y70" i="181"/>
  <c r="Y80" i="181"/>
  <c r="Y92" i="181"/>
  <c r="Y109" i="181"/>
  <c r="Y114" i="181"/>
  <c r="Y127" i="181"/>
  <c r="Y27" i="181"/>
  <c r="Y116" i="181"/>
  <c r="Y71" i="181"/>
  <c r="Y118" i="181"/>
  <c r="Y113" i="181"/>
  <c r="Y126" i="181"/>
  <c r="Y88" i="181"/>
  <c r="Y105" i="181"/>
  <c r="Y112" i="181"/>
  <c r="Y125" i="181"/>
  <c r="Y102" i="181"/>
  <c r="Y119" i="181"/>
  <c r="Y134" i="181"/>
  <c r="Y146" i="181"/>
  <c r="Y158" i="181"/>
  <c r="Y131" i="181"/>
  <c r="Y141" i="181"/>
  <c r="Y153" i="181"/>
  <c r="Y165" i="181"/>
  <c r="Y101" i="181"/>
  <c r="Y79" i="181"/>
  <c r="Y120" i="181"/>
  <c r="Y136" i="181"/>
  <c r="Y148" i="181"/>
  <c r="Y160" i="181"/>
  <c r="Y96" i="181"/>
  <c r="Y110" i="181"/>
  <c r="Y138" i="181"/>
  <c r="Y150" i="181"/>
  <c r="Y162" i="181"/>
  <c r="Y117" i="181"/>
  <c r="Y129" i="181"/>
  <c r="Y133" i="181"/>
  <c r="Y145" i="181"/>
  <c r="Y157" i="181"/>
  <c r="Y81" i="181"/>
  <c r="Y108" i="181"/>
  <c r="Y132" i="181"/>
  <c r="Y144" i="181"/>
  <c r="Y156" i="181"/>
  <c r="Y97" i="181"/>
  <c r="Y130" i="181"/>
  <c r="Y152" i="181"/>
  <c r="Y111" i="181"/>
  <c r="Y159" i="181"/>
  <c r="Y3" i="181"/>
  <c r="Y142" i="181"/>
  <c r="Y149" i="181"/>
  <c r="Y135" i="181"/>
  <c r="Y163" i="181"/>
  <c r="Y143" i="181"/>
  <c r="Y164" i="181"/>
  <c r="Y115" i="181"/>
  <c r="Y128" i="181"/>
  <c r="Y103" i="181"/>
  <c r="Y137" i="181"/>
  <c r="Y147" i="181"/>
  <c r="Y140" i="181"/>
  <c r="Y154" i="181"/>
  <c r="Y151" i="181"/>
  <c r="Y155" i="181"/>
  <c r="Y139" i="181"/>
  <c r="Y161" i="181"/>
  <c r="Z1" i="181"/>
  <c r="T16" i="178"/>
  <c r="T12" i="178"/>
  <c r="T11" i="178"/>
  <c r="T9" i="178"/>
  <c r="T8" i="178"/>
  <c r="T7" i="178"/>
  <c r="T6" i="178"/>
  <c r="T5" i="178"/>
  <c r="Z56" i="181" l="1"/>
  <c r="Z121" i="181"/>
  <c r="Z122" i="181"/>
  <c r="Z123" i="181"/>
  <c r="Z124" i="181"/>
  <c r="Z85" i="181"/>
  <c r="Z11" i="181"/>
  <c r="Z23" i="181"/>
  <c r="Z35" i="181"/>
  <c r="Z6" i="181"/>
  <c r="Z18" i="181"/>
  <c r="Z30" i="181"/>
  <c r="Z13" i="181"/>
  <c r="Z25" i="181"/>
  <c r="Z15" i="181"/>
  <c r="Z27" i="181"/>
  <c r="Z10" i="181"/>
  <c r="Z22" i="181"/>
  <c r="Z34" i="181"/>
  <c r="Z5" i="181"/>
  <c r="Z17" i="181"/>
  <c r="Z29" i="181"/>
  <c r="Z14" i="181"/>
  <c r="Z26" i="181"/>
  <c r="Z8" i="181"/>
  <c r="Z21" i="181"/>
  <c r="Z41" i="181"/>
  <c r="Z53" i="181"/>
  <c r="Z9" i="181"/>
  <c r="Z36" i="181"/>
  <c r="Z48" i="181"/>
  <c r="Z24" i="181"/>
  <c r="Z43" i="181"/>
  <c r="Z55" i="181"/>
  <c r="Z45" i="181"/>
  <c r="Z20" i="181"/>
  <c r="Z58" i="181"/>
  <c r="Z12" i="181"/>
  <c r="Z16" i="181"/>
  <c r="Z37" i="181"/>
  <c r="Z40" i="181"/>
  <c r="Z44" i="181"/>
  <c r="Z60" i="181"/>
  <c r="Z33" i="181"/>
  <c r="Z54" i="181"/>
  <c r="Z62" i="181"/>
  <c r="Z39" i="181"/>
  <c r="Z68" i="181"/>
  <c r="Z46" i="181"/>
  <c r="Z47" i="181"/>
  <c r="Z66" i="181"/>
  <c r="Z70" i="181"/>
  <c r="Z61" i="181"/>
  <c r="Z63" i="181"/>
  <c r="Z72" i="181"/>
  <c r="Z19" i="181"/>
  <c r="Z42" i="181"/>
  <c r="Z59" i="181"/>
  <c r="Z64" i="181"/>
  <c r="Z38" i="181"/>
  <c r="Z57" i="181"/>
  <c r="Z52" i="181"/>
  <c r="Z83" i="181"/>
  <c r="Z4" i="181"/>
  <c r="Z91" i="181"/>
  <c r="Z71" i="181"/>
  <c r="Z78" i="181"/>
  <c r="Z88" i="181"/>
  <c r="Z51" i="181"/>
  <c r="Z65" i="181"/>
  <c r="Z74" i="181"/>
  <c r="Z82" i="181"/>
  <c r="Z90" i="181"/>
  <c r="Z32" i="181"/>
  <c r="Z73" i="181"/>
  <c r="Z81" i="181"/>
  <c r="Z28" i="181"/>
  <c r="Z76" i="181"/>
  <c r="Z77" i="181"/>
  <c r="Z89" i="181"/>
  <c r="Z105" i="181"/>
  <c r="Z86" i="181"/>
  <c r="Z100" i="181"/>
  <c r="Z69" i="181"/>
  <c r="Z75" i="181"/>
  <c r="Z93" i="181"/>
  <c r="Z95" i="181"/>
  <c r="Z79" i="181"/>
  <c r="Z97" i="181"/>
  <c r="Z109" i="181"/>
  <c r="Z87" i="181"/>
  <c r="Z104" i="181"/>
  <c r="Z7" i="181"/>
  <c r="Z99" i="181"/>
  <c r="Z50" i="181"/>
  <c r="Z67" i="181"/>
  <c r="Z92" i="181"/>
  <c r="Z103" i="181"/>
  <c r="Z102" i="181"/>
  <c r="Z119" i="181"/>
  <c r="Z49" i="181"/>
  <c r="Z80" i="181"/>
  <c r="Z106" i="181"/>
  <c r="Z114" i="181"/>
  <c r="Z127" i="181"/>
  <c r="Z31" i="181"/>
  <c r="Z111" i="181"/>
  <c r="Z107" i="181"/>
  <c r="Z118" i="181"/>
  <c r="Z117" i="181"/>
  <c r="Z112" i="181"/>
  <c r="Z128" i="181"/>
  <c r="Z139" i="181"/>
  <c r="Z151" i="181"/>
  <c r="Z163" i="181"/>
  <c r="Z116" i="181"/>
  <c r="Z134" i="181"/>
  <c r="Z146" i="181"/>
  <c r="Z158" i="181"/>
  <c r="Z94" i="181"/>
  <c r="Z113" i="181"/>
  <c r="Z141" i="181"/>
  <c r="Z153" i="181"/>
  <c r="Z165" i="181"/>
  <c r="Z120" i="181"/>
  <c r="Z136" i="181"/>
  <c r="Z101" i="181"/>
  <c r="Z131" i="181"/>
  <c r="Z143" i="181"/>
  <c r="Z155" i="181"/>
  <c r="Z96" i="181"/>
  <c r="Z110" i="181"/>
  <c r="Z138" i="181"/>
  <c r="Z150" i="181"/>
  <c r="Z162" i="181"/>
  <c r="Z98" i="181"/>
  <c r="Z125" i="181"/>
  <c r="Z115" i="181"/>
  <c r="Z137" i="181"/>
  <c r="Z149" i="181"/>
  <c r="Z161" i="181"/>
  <c r="Z108" i="181"/>
  <c r="Z129" i="181"/>
  <c r="Z145" i="181"/>
  <c r="Z130" i="181"/>
  <c r="Z152" i="181"/>
  <c r="Z132" i="181"/>
  <c r="Z133" i="181"/>
  <c r="Z159" i="181"/>
  <c r="Z3" i="181"/>
  <c r="Z142" i="181"/>
  <c r="Z156" i="181"/>
  <c r="Z140" i="181"/>
  <c r="Z135" i="181"/>
  <c r="Z160" i="181"/>
  <c r="Z126" i="181"/>
  <c r="Z157" i="181"/>
  <c r="Z84" i="181"/>
  <c r="Z164" i="181"/>
  <c r="Z147" i="181"/>
  <c r="Z144" i="181"/>
  <c r="Z148" i="181"/>
  <c r="Z154" i="181"/>
  <c r="T86" i="178"/>
  <c r="AA1" i="181"/>
  <c r="T97" i="176"/>
  <c r="T98" i="176"/>
  <c r="T99" i="176"/>
  <c r="T81" i="176"/>
  <c r="T82" i="176"/>
  <c r="T83" i="176"/>
  <c r="T84" i="176"/>
  <c r="T85" i="176"/>
  <c r="T86" i="176"/>
  <c r="T87" i="176"/>
  <c r="T88" i="176"/>
  <c r="T89" i="176"/>
  <c r="T90" i="176"/>
  <c r="T91" i="176"/>
  <c r="T92" i="176"/>
  <c r="T93" i="176"/>
  <c r="T94" i="176"/>
  <c r="T95" i="176"/>
  <c r="AA56" i="181" l="1"/>
  <c r="AA121" i="181"/>
  <c r="AA122" i="181"/>
  <c r="AA123" i="181"/>
  <c r="AA124" i="181"/>
  <c r="AA85" i="181"/>
  <c r="AA4" i="181"/>
  <c r="AA16" i="181"/>
  <c r="AA28" i="181"/>
  <c r="AA11" i="181"/>
  <c r="AA23" i="181"/>
  <c r="AA35" i="181"/>
  <c r="AA6" i="181"/>
  <c r="AA18" i="181"/>
  <c r="AA30" i="181"/>
  <c r="AA8" i="181"/>
  <c r="AA20" i="181"/>
  <c r="AA32" i="181"/>
  <c r="AA15" i="181"/>
  <c r="AA27" i="181"/>
  <c r="AA10" i="181"/>
  <c r="AA22" i="181"/>
  <c r="AA34" i="181"/>
  <c r="AA7" i="181"/>
  <c r="AA19" i="181"/>
  <c r="AA31" i="181"/>
  <c r="AA33" i="181"/>
  <c r="AA46" i="181"/>
  <c r="AA21" i="181"/>
  <c r="AA41" i="181"/>
  <c r="AA53" i="181"/>
  <c r="AA9" i="181"/>
  <c r="AA36" i="181"/>
  <c r="AA48" i="181"/>
  <c r="AA12" i="181"/>
  <c r="AA25" i="181"/>
  <c r="AA38" i="181"/>
  <c r="AA50" i="181"/>
  <c r="AA63" i="181"/>
  <c r="AA55" i="181"/>
  <c r="AA58" i="181"/>
  <c r="AA5" i="181"/>
  <c r="AA26" i="181"/>
  <c r="AA37" i="181"/>
  <c r="AA29" i="181"/>
  <c r="AA47" i="181"/>
  <c r="AA51" i="181"/>
  <c r="AA14" i="181"/>
  <c r="AA52" i="181"/>
  <c r="AA73" i="181"/>
  <c r="AA39" i="181"/>
  <c r="AA40" i="181"/>
  <c r="AA68" i="181"/>
  <c r="AA54" i="181"/>
  <c r="AA75" i="181"/>
  <c r="AA60" i="181"/>
  <c r="AA61" i="181"/>
  <c r="AA72" i="181"/>
  <c r="AA24" i="181"/>
  <c r="AA65" i="181"/>
  <c r="AA45" i="181"/>
  <c r="AA76" i="181"/>
  <c r="AA77" i="181"/>
  <c r="AA89" i="181"/>
  <c r="AA62" i="181"/>
  <c r="AA83" i="181"/>
  <c r="AA69" i="181"/>
  <c r="AA80" i="181"/>
  <c r="AA44" i="181"/>
  <c r="AA71" i="181"/>
  <c r="AA78" i="181"/>
  <c r="AA88" i="181"/>
  <c r="AA57" i="181"/>
  <c r="AA74" i="181"/>
  <c r="AA82" i="181"/>
  <c r="AA87" i="181"/>
  <c r="AA81" i="181"/>
  <c r="AA98" i="181"/>
  <c r="AA64" i="181"/>
  <c r="AA105" i="181"/>
  <c r="AA13" i="181"/>
  <c r="AA86" i="181"/>
  <c r="AA102" i="181"/>
  <c r="AA79" i="181"/>
  <c r="AA97" i="181"/>
  <c r="AA109" i="181"/>
  <c r="AA104" i="181"/>
  <c r="AA43" i="181"/>
  <c r="AA70" i="181"/>
  <c r="AA84" i="181"/>
  <c r="AA96" i="181"/>
  <c r="AA108" i="181"/>
  <c r="AA112" i="181"/>
  <c r="AA125" i="181"/>
  <c r="AA92" i="181"/>
  <c r="AA99" i="181"/>
  <c r="AA119" i="181"/>
  <c r="AA49" i="181"/>
  <c r="AA106" i="181"/>
  <c r="AA114" i="181"/>
  <c r="AA59" i="181"/>
  <c r="AA103" i="181"/>
  <c r="AA116" i="181"/>
  <c r="AA91" i="181"/>
  <c r="AA100" i="181"/>
  <c r="AA111" i="181"/>
  <c r="AA110" i="181"/>
  <c r="AA66" i="181"/>
  <c r="AA90" i="181"/>
  <c r="AA126" i="181"/>
  <c r="AA132" i="181"/>
  <c r="AA144" i="181"/>
  <c r="AA156" i="181"/>
  <c r="AA17" i="181"/>
  <c r="AA113" i="181"/>
  <c r="AA42" i="181"/>
  <c r="AA67" i="181"/>
  <c r="AA128" i="181"/>
  <c r="AA139" i="181"/>
  <c r="AA151" i="181"/>
  <c r="AA163" i="181"/>
  <c r="AA141" i="181"/>
  <c r="AA107" i="181"/>
  <c r="AA134" i="181"/>
  <c r="AA146" i="181"/>
  <c r="AA158" i="181"/>
  <c r="AA94" i="181"/>
  <c r="AA120" i="181"/>
  <c r="AA136" i="181"/>
  <c r="AA148" i="181"/>
  <c r="AA160" i="181"/>
  <c r="AA117" i="181"/>
  <c r="AA127" i="181"/>
  <c r="AA101" i="181"/>
  <c r="AA131" i="181"/>
  <c r="AA143" i="181"/>
  <c r="AA155" i="181"/>
  <c r="AA95" i="181"/>
  <c r="AA130" i="181"/>
  <c r="AA142" i="181"/>
  <c r="AA154" i="181"/>
  <c r="AA115" i="181"/>
  <c r="AA162" i="181"/>
  <c r="AA129" i="181"/>
  <c r="AA145" i="181"/>
  <c r="AA93" i="181"/>
  <c r="AA3" i="181"/>
  <c r="AA152" i="181"/>
  <c r="AA133" i="181"/>
  <c r="AA159" i="181"/>
  <c r="AA149" i="181"/>
  <c r="AA118" i="181"/>
  <c r="AA153" i="181"/>
  <c r="AA135" i="181"/>
  <c r="AA150" i="181"/>
  <c r="AA137" i="181"/>
  <c r="AA138" i="181"/>
  <c r="AA157" i="181"/>
  <c r="AA164" i="181"/>
  <c r="AA140" i="181"/>
  <c r="AA161" i="181"/>
  <c r="AA165" i="181"/>
  <c r="AA147" i="181"/>
  <c r="AB1" i="181"/>
  <c r="D1" i="179"/>
  <c r="B90" i="178"/>
  <c r="B89" i="178"/>
  <c r="B88" i="178"/>
  <c r="B86" i="178"/>
  <c r="AB56" i="181" l="1"/>
  <c r="AB85" i="181"/>
  <c r="AB121" i="181"/>
  <c r="AB122" i="181"/>
  <c r="AB123" i="181"/>
  <c r="AB124" i="181"/>
  <c r="AB9" i="181"/>
  <c r="AB21" i="181"/>
  <c r="AB33" i="181"/>
  <c r="AB4" i="181"/>
  <c r="AB16" i="181"/>
  <c r="AB28" i="181"/>
  <c r="AB11" i="181"/>
  <c r="AB23" i="181"/>
  <c r="AB35" i="181"/>
  <c r="AB13" i="181"/>
  <c r="AB25" i="181"/>
  <c r="AB8" i="181"/>
  <c r="AB20" i="181"/>
  <c r="AB32" i="181"/>
  <c r="AB15" i="181"/>
  <c r="AB27" i="181"/>
  <c r="AB12" i="181"/>
  <c r="AB24" i="181"/>
  <c r="AB7" i="181"/>
  <c r="AB34" i="181"/>
  <c r="AB39" i="181"/>
  <c r="AB51" i="181"/>
  <c r="AB22" i="181"/>
  <c r="AB46" i="181"/>
  <c r="AB10" i="181"/>
  <c r="AB41" i="181"/>
  <c r="AB53" i="181"/>
  <c r="AB43" i="181"/>
  <c r="AB55" i="181"/>
  <c r="AB6" i="181"/>
  <c r="AB52" i="181"/>
  <c r="AB48" i="181"/>
  <c r="AB30" i="181"/>
  <c r="AB58" i="181"/>
  <c r="AB19" i="181"/>
  <c r="AB40" i="181"/>
  <c r="AB44" i="181"/>
  <c r="AB60" i="181"/>
  <c r="AB18" i="181"/>
  <c r="AB45" i="181"/>
  <c r="AB57" i="181"/>
  <c r="AB78" i="181"/>
  <c r="AB14" i="181"/>
  <c r="AB29" i="181"/>
  <c r="AB47" i="181"/>
  <c r="AB68" i="181"/>
  <c r="AB31" i="181"/>
  <c r="AB62" i="181"/>
  <c r="AB66" i="181"/>
  <c r="AB70" i="181"/>
  <c r="AB63" i="181"/>
  <c r="AB38" i="181"/>
  <c r="AB81" i="181"/>
  <c r="AB54" i="181"/>
  <c r="AB72" i="181"/>
  <c r="AB76" i="181"/>
  <c r="AB77" i="181"/>
  <c r="AB89" i="181"/>
  <c r="AB49" i="181"/>
  <c r="AB75" i="181"/>
  <c r="AB86" i="181"/>
  <c r="AB5" i="181"/>
  <c r="AB26" i="181"/>
  <c r="AB37" i="181"/>
  <c r="AB69" i="181"/>
  <c r="AB80" i="181"/>
  <c r="AB93" i="181"/>
  <c r="AB65" i="181"/>
  <c r="AB71" i="181"/>
  <c r="AB88" i="181"/>
  <c r="AB67" i="181"/>
  <c r="AB79" i="181"/>
  <c r="AB92" i="181"/>
  <c r="AB103" i="181"/>
  <c r="AB98" i="181"/>
  <c r="AB64" i="181"/>
  <c r="AB90" i="181"/>
  <c r="AB95" i="181"/>
  <c r="AB107" i="181"/>
  <c r="AB102" i="181"/>
  <c r="AB73" i="181"/>
  <c r="AB87" i="181"/>
  <c r="AB97" i="181"/>
  <c r="AB109" i="181"/>
  <c r="AB36" i="181"/>
  <c r="AB101" i="181"/>
  <c r="AB117" i="181"/>
  <c r="AB112" i="181"/>
  <c r="AB125" i="181"/>
  <c r="AB82" i="181"/>
  <c r="AB99" i="181"/>
  <c r="AB119" i="181"/>
  <c r="AB42" i="181"/>
  <c r="AB50" i="181"/>
  <c r="AB84" i="181"/>
  <c r="AB59" i="181"/>
  <c r="AB74" i="181"/>
  <c r="AB116" i="181"/>
  <c r="AB129" i="181"/>
  <c r="AB96" i="181"/>
  <c r="AB108" i="181"/>
  <c r="AB115" i="181"/>
  <c r="AB128" i="181"/>
  <c r="AB105" i="181"/>
  <c r="AB137" i="181"/>
  <c r="AB149" i="181"/>
  <c r="AB161" i="181"/>
  <c r="AB104" i="181"/>
  <c r="AB134" i="181"/>
  <c r="AB126" i="181"/>
  <c r="AB132" i="181"/>
  <c r="AB144" i="181"/>
  <c r="AB156" i="181"/>
  <c r="AB91" i="181"/>
  <c r="AB139" i="181"/>
  <c r="AB151" i="181"/>
  <c r="AB163" i="181"/>
  <c r="AB17" i="181"/>
  <c r="AB83" i="181"/>
  <c r="AB94" i="181"/>
  <c r="AB113" i="181"/>
  <c r="AB141" i="181"/>
  <c r="AB153" i="181"/>
  <c r="AB165" i="181"/>
  <c r="AB61" i="181"/>
  <c r="AB120" i="181"/>
  <c r="AB136" i="181"/>
  <c r="AB148" i="181"/>
  <c r="AB160" i="181"/>
  <c r="AB110" i="181"/>
  <c r="AB135" i="181"/>
  <c r="AB147" i="181"/>
  <c r="AB159" i="181"/>
  <c r="AB3" i="181"/>
  <c r="AB155" i="181"/>
  <c r="AB152" i="181"/>
  <c r="AB106" i="181"/>
  <c r="AB114" i="181"/>
  <c r="AB131" i="181"/>
  <c r="AB162" i="181"/>
  <c r="AB100" i="181"/>
  <c r="AB111" i="181"/>
  <c r="AB130" i="181"/>
  <c r="AB145" i="181"/>
  <c r="AB133" i="181"/>
  <c r="AB142" i="181"/>
  <c r="AB146" i="181"/>
  <c r="AB118" i="181"/>
  <c r="AB143" i="181"/>
  <c r="AB150" i="181"/>
  <c r="AB138" i="181"/>
  <c r="AB157" i="181"/>
  <c r="AB154" i="181"/>
  <c r="AB127" i="181"/>
  <c r="AB140" i="181"/>
  <c r="AB158" i="181"/>
  <c r="AB164" i="181"/>
  <c r="AC1" i="181"/>
  <c r="D39" i="179"/>
  <c r="D48" i="179"/>
  <c r="D117" i="179"/>
  <c r="D162" i="179"/>
  <c r="D72" i="179"/>
  <c r="D3" i="179"/>
  <c r="D161" i="179"/>
  <c r="D149" i="179"/>
  <c r="D139" i="179"/>
  <c r="B87" i="178"/>
  <c r="B91" i="178" s="1"/>
  <c r="D156" i="179"/>
  <c r="D157" i="179"/>
  <c r="D151" i="179"/>
  <c r="D4" i="179"/>
  <c r="D16" i="179"/>
  <c r="D28" i="179"/>
  <c r="D11" i="179"/>
  <c r="D23" i="179"/>
  <c r="D6" i="179"/>
  <c r="D18" i="179"/>
  <c r="D30" i="179"/>
  <c r="D15" i="179"/>
  <c r="D27" i="179"/>
  <c r="D10" i="179"/>
  <c r="D22" i="179"/>
  <c r="D34" i="179"/>
  <c r="D13" i="179"/>
  <c r="D17" i="179"/>
  <c r="D49" i="179"/>
  <c r="D9" i="179"/>
  <c r="D19" i="179"/>
  <c r="D26" i="179"/>
  <c r="D43" i="179"/>
  <c r="D21" i="179"/>
  <c r="D29" i="179"/>
  <c r="D33" i="179"/>
  <c r="D37" i="179"/>
  <c r="D51" i="179"/>
  <c r="D36" i="179"/>
  <c r="D45" i="179"/>
  <c r="D7" i="179"/>
  <c r="D25" i="179"/>
  <c r="D40" i="179"/>
  <c r="D12" i="179"/>
  <c r="D42" i="179"/>
  <c r="D8" i="179"/>
  <c r="D31" i="179"/>
  <c r="D44" i="179"/>
  <c r="D50" i="179"/>
  <c r="D57" i="179"/>
  <c r="D69" i="179"/>
  <c r="D64" i="179"/>
  <c r="D5" i="179"/>
  <c r="D52" i="179"/>
  <c r="D59" i="179"/>
  <c r="D20" i="179"/>
  <c r="D38" i="179"/>
  <c r="D54" i="179"/>
  <c r="D66" i="179"/>
  <c r="D61" i="179"/>
  <c r="D14" i="179"/>
  <c r="D32" i="179"/>
  <c r="D41" i="179"/>
  <c r="D63" i="179"/>
  <c r="D58" i="179"/>
  <c r="D35" i="179"/>
  <c r="D79" i="179"/>
  <c r="D60" i="179"/>
  <c r="D74" i="179"/>
  <c r="D86" i="179"/>
  <c r="D81" i="179"/>
  <c r="D67" i="179"/>
  <c r="D76" i="179"/>
  <c r="D88" i="179"/>
  <c r="D46" i="179"/>
  <c r="D62" i="179"/>
  <c r="D71" i="179"/>
  <c r="D83" i="179"/>
  <c r="D53" i="179"/>
  <c r="D73" i="179"/>
  <c r="D85" i="179"/>
  <c r="D80" i="179"/>
  <c r="D68" i="179"/>
  <c r="D70" i="179"/>
  <c r="D75" i="179"/>
  <c r="D87" i="179"/>
  <c r="D24" i="179"/>
  <c r="D47" i="179"/>
  <c r="D55" i="179"/>
  <c r="D56" i="179"/>
  <c r="D82" i="179"/>
  <c r="D65" i="179"/>
  <c r="D78" i="179"/>
  <c r="D98" i="179"/>
  <c r="D110" i="179"/>
  <c r="D89" i="179"/>
  <c r="D93" i="179"/>
  <c r="D105" i="179"/>
  <c r="D100" i="179"/>
  <c r="D112" i="179"/>
  <c r="D95" i="179"/>
  <c r="D107" i="179"/>
  <c r="D77" i="179"/>
  <c r="D102" i="179"/>
  <c r="D114" i="179"/>
  <c r="D92" i="179"/>
  <c r="D104" i="179"/>
  <c r="D99" i="179"/>
  <c r="D111" i="179"/>
  <c r="D84" i="179"/>
  <c r="D103" i="179"/>
  <c r="D124" i="179"/>
  <c r="D91" i="179"/>
  <c r="D106" i="179"/>
  <c r="D119" i="179"/>
  <c r="D131" i="179"/>
  <c r="D94" i="179"/>
  <c r="D126" i="179"/>
  <c r="D121" i="179"/>
  <c r="D133" i="179"/>
  <c r="D108" i="179"/>
  <c r="D109" i="179"/>
  <c r="D116" i="179"/>
  <c r="D128" i="179"/>
  <c r="D90" i="179"/>
  <c r="D118" i="179"/>
  <c r="D130" i="179"/>
  <c r="D125" i="179"/>
  <c r="D113" i="179"/>
  <c r="D120" i="179"/>
  <c r="D132" i="179"/>
  <c r="D97" i="179"/>
  <c r="D123" i="179"/>
  <c r="D146" i="179"/>
  <c r="D158" i="179"/>
  <c r="D141" i="179"/>
  <c r="D153" i="179"/>
  <c r="D122" i="179"/>
  <c r="D136" i="179"/>
  <c r="D148" i="179"/>
  <c r="D160" i="179"/>
  <c r="D129" i="179"/>
  <c r="D143" i="179"/>
  <c r="D155" i="179"/>
  <c r="D138" i="179"/>
  <c r="D150" i="179"/>
  <c r="D134" i="179"/>
  <c r="D140" i="179"/>
  <c r="D152" i="179"/>
  <c r="D115" i="179"/>
  <c r="D135" i="179"/>
  <c r="D147" i="179"/>
  <c r="D159" i="179"/>
  <c r="D96" i="179"/>
  <c r="D142" i="179"/>
  <c r="D154" i="179"/>
  <c r="D144" i="179"/>
  <c r="E1" i="179"/>
  <c r="D137" i="179"/>
  <c r="D145" i="179"/>
  <c r="D127" i="179"/>
  <c r="D101" i="179"/>
  <c r="T73" i="176"/>
  <c r="T74" i="176"/>
  <c r="T75" i="176"/>
  <c r="T76" i="176"/>
  <c r="T96" i="176"/>
  <c r="AC56" i="181" l="1"/>
  <c r="AC124" i="181"/>
  <c r="AC85" i="181"/>
  <c r="AC121" i="181"/>
  <c r="AC122" i="181"/>
  <c r="AC123" i="181"/>
  <c r="AC14" i="181"/>
  <c r="AC26" i="181"/>
  <c r="AC9" i="181"/>
  <c r="AC21" i="181"/>
  <c r="AC33" i="181"/>
  <c r="AC4" i="181"/>
  <c r="AC16" i="181"/>
  <c r="AC28" i="181"/>
  <c r="AC6" i="181"/>
  <c r="AC18" i="181"/>
  <c r="AC30" i="181"/>
  <c r="AC13" i="181"/>
  <c r="AC25" i="181"/>
  <c r="AC8" i="181"/>
  <c r="AC20" i="181"/>
  <c r="AC32" i="181"/>
  <c r="AC5" i="181"/>
  <c r="AC17" i="181"/>
  <c r="AC29" i="181"/>
  <c r="AC19" i="181"/>
  <c r="AC44" i="181"/>
  <c r="AC7" i="181"/>
  <c r="AC34" i="181"/>
  <c r="AC39" i="181"/>
  <c r="AC51" i="181"/>
  <c r="AC22" i="181"/>
  <c r="AC35" i="181"/>
  <c r="AC46" i="181"/>
  <c r="AC11" i="181"/>
  <c r="AC24" i="181"/>
  <c r="AC36" i="181"/>
  <c r="AC48" i="181"/>
  <c r="AC31" i="181"/>
  <c r="AC45" i="181"/>
  <c r="AC49" i="181"/>
  <c r="AC61" i="181"/>
  <c r="AC23" i="181"/>
  <c r="AC41" i="181"/>
  <c r="AC52" i="181"/>
  <c r="AC12" i="181"/>
  <c r="AC55" i="181"/>
  <c r="AC15" i="181"/>
  <c r="AC37" i="181"/>
  <c r="AC38" i="181"/>
  <c r="AC65" i="181"/>
  <c r="AC71" i="181"/>
  <c r="AC57" i="181"/>
  <c r="AC10" i="181"/>
  <c r="AC40" i="181"/>
  <c r="AC53" i="181"/>
  <c r="AC73" i="181"/>
  <c r="AC27" i="181"/>
  <c r="AC54" i="181"/>
  <c r="AC75" i="181"/>
  <c r="AC62" i="181"/>
  <c r="AC66" i="181"/>
  <c r="AC70" i="181"/>
  <c r="AC69" i="181"/>
  <c r="AC87" i="181"/>
  <c r="AC47" i="181"/>
  <c r="AC68" i="181"/>
  <c r="AC81" i="181"/>
  <c r="AC42" i="181"/>
  <c r="AC59" i="181"/>
  <c r="AC64" i="181"/>
  <c r="AC91" i="181"/>
  <c r="AC58" i="181"/>
  <c r="AC86" i="181"/>
  <c r="AC78" i="181"/>
  <c r="AC80" i="181"/>
  <c r="AC93" i="181"/>
  <c r="AC50" i="181"/>
  <c r="AC84" i="181"/>
  <c r="AC67" i="181"/>
  <c r="AC92" i="181"/>
  <c r="AC96" i="181"/>
  <c r="AC108" i="181"/>
  <c r="AC60" i="181"/>
  <c r="AC76" i="181"/>
  <c r="AC77" i="181"/>
  <c r="AC89" i="181"/>
  <c r="AC103" i="181"/>
  <c r="AC98" i="181"/>
  <c r="AC74" i="181"/>
  <c r="AC82" i="181"/>
  <c r="AC100" i="181"/>
  <c r="AC90" i="181"/>
  <c r="AC95" i="181"/>
  <c r="AC107" i="181"/>
  <c r="AC79" i="181"/>
  <c r="AC102" i="181"/>
  <c r="AC94" i="181"/>
  <c r="AC106" i="181"/>
  <c r="AC105" i="181"/>
  <c r="AC110" i="181"/>
  <c r="AC109" i="181"/>
  <c r="AC117" i="181"/>
  <c r="AC63" i="181"/>
  <c r="AC112" i="181"/>
  <c r="AC114" i="181"/>
  <c r="AC127" i="181"/>
  <c r="AC97" i="181"/>
  <c r="AC101" i="181"/>
  <c r="AC120" i="181"/>
  <c r="AC115" i="181"/>
  <c r="AC130" i="181"/>
  <c r="AC142" i="181"/>
  <c r="AC154" i="181"/>
  <c r="AC99" i="181"/>
  <c r="AC119" i="181"/>
  <c r="AC137" i="181"/>
  <c r="AC149" i="181"/>
  <c r="AC161" i="181"/>
  <c r="AC43" i="181"/>
  <c r="AC116" i="181"/>
  <c r="AC126" i="181"/>
  <c r="AC128" i="181"/>
  <c r="AC132" i="181"/>
  <c r="AC144" i="181"/>
  <c r="AC156" i="181"/>
  <c r="AC139" i="181"/>
  <c r="AC104" i="181"/>
  <c r="AC134" i="181"/>
  <c r="AC146" i="181"/>
  <c r="AC158" i="181"/>
  <c r="AC83" i="181"/>
  <c r="AC113" i="181"/>
  <c r="AC141" i="181"/>
  <c r="AC153" i="181"/>
  <c r="AC165" i="181"/>
  <c r="AC88" i="181"/>
  <c r="AC72" i="181"/>
  <c r="AC118" i="181"/>
  <c r="AC140" i="181"/>
  <c r="AC152" i="181"/>
  <c r="AC164" i="181"/>
  <c r="AC148" i="181"/>
  <c r="AC155" i="181"/>
  <c r="AC111" i="181"/>
  <c r="AC145" i="181"/>
  <c r="AC129" i="181"/>
  <c r="AC131" i="181"/>
  <c r="AC162" i="181"/>
  <c r="AC159" i="181"/>
  <c r="AC3" i="181"/>
  <c r="AC133" i="181"/>
  <c r="AC163" i="181"/>
  <c r="AC136" i="181"/>
  <c r="AC160" i="181"/>
  <c r="AC135" i="181"/>
  <c r="AC143" i="181"/>
  <c r="AC150" i="181"/>
  <c r="AC147" i="181"/>
  <c r="AC125" i="181"/>
  <c r="AC151" i="181"/>
  <c r="AC157" i="181"/>
  <c r="AC138" i="181"/>
  <c r="AD1" i="181"/>
  <c r="E39" i="179"/>
  <c r="E48" i="179"/>
  <c r="E162" i="179"/>
  <c r="E72" i="179"/>
  <c r="E9" i="179"/>
  <c r="E21" i="179"/>
  <c r="E33" i="179"/>
  <c r="E4" i="179"/>
  <c r="E16" i="179"/>
  <c r="E11" i="179"/>
  <c r="E23" i="179"/>
  <c r="E35" i="179"/>
  <c r="E8" i="179"/>
  <c r="E20" i="179"/>
  <c r="E32" i="179"/>
  <c r="E15" i="179"/>
  <c r="E27" i="179"/>
  <c r="E5" i="179"/>
  <c r="E30" i="179"/>
  <c r="E41" i="179"/>
  <c r="E6" i="179"/>
  <c r="E13" i="179"/>
  <c r="E17" i="179"/>
  <c r="E49" i="179"/>
  <c r="E19" i="179"/>
  <c r="E26" i="179"/>
  <c r="E43" i="179"/>
  <c r="E29" i="179"/>
  <c r="E37" i="179"/>
  <c r="E51" i="179"/>
  <c r="E36" i="179"/>
  <c r="E45" i="179"/>
  <c r="E10" i="179"/>
  <c r="E47" i="179"/>
  <c r="E14" i="179"/>
  <c r="E24" i="179"/>
  <c r="E50" i="179"/>
  <c r="E18" i="179"/>
  <c r="E34" i="179"/>
  <c r="E62" i="179"/>
  <c r="E57" i="179"/>
  <c r="E69" i="179"/>
  <c r="E64" i="179"/>
  <c r="E7" i="179"/>
  <c r="E12" i="179"/>
  <c r="E52" i="179"/>
  <c r="E59" i="179"/>
  <c r="E71" i="179"/>
  <c r="E38" i="179"/>
  <c r="E40" i="179"/>
  <c r="E54" i="179"/>
  <c r="E66" i="179"/>
  <c r="E22" i="179"/>
  <c r="E25" i="179"/>
  <c r="E42" i="179"/>
  <c r="E56" i="179"/>
  <c r="E68" i="179"/>
  <c r="E63" i="179"/>
  <c r="E84" i="179"/>
  <c r="E79" i="179"/>
  <c r="E60" i="179"/>
  <c r="E61" i="179"/>
  <c r="E74" i="179"/>
  <c r="E86" i="179"/>
  <c r="E81" i="179"/>
  <c r="E44" i="179"/>
  <c r="E67" i="179"/>
  <c r="E76" i="179"/>
  <c r="E88" i="179"/>
  <c r="E65" i="179"/>
  <c r="E78" i="179"/>
  <c r="E90" i="179"/>
  <c r="E53" i="179"/>
  <c r="E73" i="179"/>
  <c r="E85" i="179"/>
  <c r="E80" i="179"/>
  <c r="E70" i="179"/>
  <c r="E75" i="179"/>
  <c r="E87" i="179"/>
  <c r="E46" i="179"/>
  <c r="E91" i="179"/>
  <c r="E103" i="179"/>
  <c r="E115" i="179"/>
  <c r="E98" i="179"/>
  <c r="E110" i="179"/>
  <c r="E58" i="179"/>
  <c r="E89" i="179"/>
  <c r="E93" i="179"/>
  <c r="E105" i="179"/>
  <c r="E83" i="179"/>
  <c r="E100" i="179"/>
  <c r="E112" i="179"/>
  <c r="E55" i="179"/>
  <c r="E95" i="179"/>
  <c r="E107" i="179"/>
  <c r="E97" i="179"/>
  <c r="E109" i="179"/>
  <c r="E82" i="179"/>
  <c r="E92" i="179"/>
  <c r="E104" i="179"/>
  <c r="E77" i="179"/>
  <c r="E117" i="179"/>
  <c r="E129" i="179"/>
  <c r="E124" i="179"/>
  <c r="E106" i="179"/>
  <c r="E119" i="179"/>
  <c r="E131" i="179"/>
  <c r="E94" i="179"/>
  <c r="E126" i="179"/>
  <c r="E121" i="179"/>
  <c r="E133" i="179"/>
  <c r="E31" i="179"/>
  <c r="E96" i="179"/>
  <c r="E111" i="179"/>
  <c r="E123" i="179"/>
  <c r="E99" i="179"/>
  <c r="E118" i="179"/>
  <c r="E130" i="179"/>
  <c r="E125" i="179"/>
  <c r="E28" i="179"/>
  <c r="E108" i="179"/>
  <c r="E116" i="179"/>
  <c r="E139" i="179"/>
  <c r="E151" i="179"/>
  <c r="E114" i="179"/>
  <c r="E146" i="179"/>
  <c r="E158" i="179"/>
  <c r="E141" i="179"/>
  <c r="E153" i="179"/>
  <c r="E122" i="179"/>
  <c r="E136" i="179"/>
  <c r="E148" i="179"/>
  <c r="E160" i="179"/>
  <c r="E128" i="179"/>
  <c r="E143" i="179"/>
  <c r="E155" i="179"/>
  <c r="E101" i="179"/>
  <c r="E127" i="179"/>
  <c r="E145" i="179"/>
  <c r="E157" i="179"/>
  <c r="E134" i="179"/>
  <c r="E140" i="179"/>
  <c r="E152" i="179"/>
  <c r="E135" i="179"/>
  <c r="E147" i="179"/>
  <c r="E159" i="179"/>
  <c r="E120" i="179"/>
  <c r="E138" i="179"/>
  <c r="F1" i="179"/>
  <c r="E102" i="179"/>
  <c r="E137" i="179"/>
  <c r="E144" i="179"/>
  <c r="E150" i="179"/>
  <c r="E3" i="179"/>
  <c r="E149" i="179"/>
  <c r="E156" i="179"/>
  <c r="E161" i="179"/>
  <c r="E154" i="179"/>
  <c r="E113" i="179"/>
  <c r="E142" i="179"/>
  <c r="E132" i="179"/>
  <c r="T67" i="176"/>
  <c r="T68" i="176"/>
  <c r="T69" i="176"/>
  <c r="T77" i="176"/>
  <c r="T78" i="176"/>
  <c r="T79" i="176"/>
  <c r="T80" i="176"/>
  <c r="AD56" i="181" l="1"/>
  <c r="AD123" i="181"/>
  <c r="AD124" i="181"/>
  <c r="AD85" i="181"/>
  <c r="AD121" i="181"/>
  <c r="AD122" i="181"/>
  <c r="AD7" i="181"/>
  <c r="AD19" i="181"/>
  <c r="AD31" i="181"/>
  <c r="AD14" i="181"/>
  <c r="AD26" i="181"/>
  <c r="AD9" i="181"/>
  <c r="AD21" i="181"/>
  <c r="AD33" i="181"/>
  <c r="AD11" i="181"/>
  <c r="AD23" i="181"/>
  <c r="AD35" i="181"/>
  <c r="AD6" i="181"/>
  <c r="AD18" i="181"/>
  <c r="AD30" i="181"/>
  <c r="AD13" i="181"/>
  <c r="AD25" i="181"/>
  <c r="AD10" i="181"/>
  <c r="AD22" i="181"/>
  <c r="AD34" i="181"/>
  <c r="AD20" i="181"/>
  <c r="AD37" i="181"/>
  <c r="AD49" i="181"/>
  <c r="AD8" i="181"/>
  <c r="AD44" i="181"/>
  <c r="AD39" i="181"/>
  <c r="AD51" i="181"/>
  <c r="AD41" i="181"/>
  <c r="AD53" i="181"/>
  <c r="AD27" i="181"/>
  <c r="AD38" i="181"/>
  <c r="AD42" i="181"/>
  <c r="AD66" i="181"/>
  <c r="AD45" i="181"/>
  <c r="AD16" i="181"/>
  <c r="AD48" i="181"/>
  <c r="AD52" i="181"/>
  <c r="AD5" i="181"/>
  <c r="AD58" i="181"/>
  <c r="AD76" i="181"/>
  <c r="AD12" i="181"/>
  <c r="AD65" i="181"/>
  <c r="AD46" i="181"/>
  <c r="AD57" i="181"/>
  <c r="AD4" i="181"/>
  <c r="AD47" i="181"/>
  <c r="AD68" i="181"/>
  <c r="AD54" i="181"/>
  <c r="AD55" i="181"/>
  <c r="AD75" i="181"/>
  <c r="AD28" i="181"/>
  <c r="AD67" i="181"/>
  <c r="AD24" i="181"/>
  <c r="AD73" i="181"/>
  <c r="AD79" i="181"/>
  <c r="AD92" i="181"/>
  <c r="AD29" i="181"/>
  <c r="AD40" i="181"/>
  <c r="AD87" i="181"/>
  <c r="AD17" i="181"/>
  <c r="AD83" i="181"/>
  <c r="AD59" i="181"/>
  <c r="AD64" i="181"/>
  <c r="AD91" i="181"/>
  <c r="AD69" i="181"/>
  <c r="AD86" i="181"/>
  <c r="AD43" i="181"/>
  <c r="AD90" i="181"/>
  <c r="AD50" i="181"/>
  <c r="AD84" i="181"/>
  <c r="AD101" i="181"/>
  <c r="AD62" i="181"/>
  <c r="AD81" i="181"/>
  <c r="AD96" i="181"/>
  <c r="AD108" i="181"/>
  <c r="AD60" i="181"/>
  <c r="AD77" i="181"/>
  <c r="AD89" i="181"/>
  <c r="AD15" i="181"/>
  <c r="AD93" i="181"/>
  <c r="AD105" i="181"/>
  <c r="AD74" i="181"/>
  <c r="AD82" i="181"/>
  <c r="AD100" i="181"/>
  <c r="AD32" i="181"/>
  <c r="AD95" i="181"/>
  <c r="AD107" i="181"/>
  <c r="AD88" i="181"/>
  <c r="AD99" i="181"/>
  <c r="AD98" i="181"/>
  <c r="AD115" i="181"/>
  <c r="AD128" i="181"/>
  <c r="AD70" i="181"/>
  <c r="AD78" i="181"/>
  <c r="AD102" i="181"/>
  <c r="AD110" i="181"/>
  <c r="AD80" i="181"/>
  <c r="AD109" i="181"/>
  <c r="AD117" i="181"/>
  <c r="AD106" i="181"/>
  <c r="AD119" i="181"/>
  <c r="AD71" i="181"/>
  <c r="AD103" i="181"/>
  <c r="AD114" i="181"/>
  <c r="AD127" i="181"/>
  <c r="AD61" i="181"/>
  <c r="AD113" i="181"/>
  <c r="AD126" i="181"/>
  <c r="AD97" i="181"/>
  <c r="AD135" i="181"/>
  <c r="AD147" i="181"/>
  <c r="AD159" i="181"/>
  <c r="AD3" i="181"/>
  <c r="AD112" i="181"/>
  <c r="AD130" i="181"/>
  <c r="AD142" i="181"/>
  <c r="AD154" i="181"/>
  <c r="AD137" i="181"/>
  <c r="AD149" i="181"/>
  <c r="AD161" i="181"/>
  <c r="AD116" i="181"/>
  <c r="AD132" i="181"/>
  <c r="AD139" i="181"/>
  <c r="AD151" i="181"/>
  <c r="AD163" i="181"/>
  <c r="AD120" i="181"/>
  <c r="AD94" i="181"/>
  <c r="AD104" i="181"/>
  <c r="AD134" i="181"/>
  <c r="AD146" i="181"/>
  <c r="AD158" i="181"/>
  <c r="AD36" i="181"/>
  <c r="AD111" i="181"/>
  <c r="AD133" i="181"/>
  <c r="AD145" i="181"/>
  <c r="AD157" i="181"/>
  <c r="AD72" i="181"/>
  <c r="AD118" i="181"/>
  <c r="AD125" i="181"/>
  <c r="AD140" i="181"/>
  <c r="AD141" i="181"/>
  <c r="AD165" i="181"/>
  <c r="AD129" i="181"/>
  <c r="AD131" i="181"/>
  <c r="AD162" i="181"/>
  <c r="AD148" i="181"/>
  <c r="AD155" i="181"/>
  <c r="AD152" i="181"/>
  <c r="AD143" i="181"/>
  <c r="AD156" i="181"/>
  <c r="AD153" i="181"/>
  <c r="AD63" i="181"/>
  <c r="AD136" i="181"/>
  <c r="AD160" i="181"/>
  <c r="AD138" i="181"/>
  <c r="AD164" i="181"/>
  <c r="AD144" i="181"/>
  <c r="AD150" i="181"/>
  <c r="AE1" i="181"/>
  <c r="F39" i="179"/>
  <c r="F48" i="179"/>
  <c r="F162" i="179"/>
  <c r="F72" i="179"/>
  <c r="F14" i="179"/>
  <c r="F26" i="179"/>
  <c r="F9" i="179"/>
  <c r="F21" i="179"/>
  <c r="F4" i="179"/>
  <c r="F16" i="179"/>
  <c r="F28" i="179"/>
  <c r="F13" i="179"/>
  <c r="F25" i="179"/>
  <c r="F8" i="179"/>
  <c r="F20" i="179"/>
  <c r="F32" i="179"/>
  <c r="F46" i="179"/>
  <c r="F11" i="179"/>
  <c r="F15" i="179"/>
  <c r="F30" i="179"/>
  <c r="F41" i="179"/>
  <c r="F6" i="179"/>
  <c r="F17" i="179"/>
  <c r="F23" i="179"/>
  <c r="F49" i="179"/>
  <c r="F19" i="179"/>
  <c r="F33" i="179"/>
  <c r="F43" i="179"/>
  <c r="F29" i="179"/>
  <c r="F37" i="179"/>
  <c r="F51" i="179"/>
  <c r="F7" i="179"/>
  <c r="F40" i="179"/>
  <c r="F12" i="179"/>
  <c r="F18" i="179"/>
  <c r="F22" i="179"/>
  <c r="F35" i="179"/>
  <c r="F42" i="179"/>
  <c r="F10" i="179"/>
  <c r="F27" i="179"/>
  <c r="F55" i="179"/>
  <c r="F67" i="179"/>
  <c r="F34" i="179"/>
  <c r="F50" i="179"/>
  <c r="F62" i="179"/>
  <c r="F57" i="179"/>
  <c r="F5" i="179"/>
  <c r="F64" i="179"/>
  <c r="F52" i="179"/>
  <c r="F59" i="179"/>
  <c r="F71" i="179"/>
  <c r="F61" i="179"/>
  <c r="F56" i="179"/>
  <c r="F31" i="179"/>
  <c r="F58" i="179"/>
  <c r="F77" i="179"/>
  <c r="F89" i="179"/>
  <c r="F84" i="179"/>
  <c r="F38" i="179"/>
  <c r="F79" i="179"/>
  <c r="F60" i="179"/>
  <c r="F74" i="179"/>
  <c r="F86" i="179"/>
  <c r="F36" i="179"/>
  <c r="F63" i="179"/>
  <c r="F69" i="179"/>
  <c r="F81" i="179"/>
  <c r="F83" i="179"/>
  <c r="F65" i="179"/>
  <c r="F78" i="179"/>
  <c r="F90" i="179"/>
  <c r="F53" i="179"/>
  <c r="F54" i="179"/>
  <c r="F73" i="179"/>
  <c r="F85" i="179"/>
  <c r="F66" i="179"/>
  <c r="F68" i="179"/>
  <c r="F80" i="179"/>
  <c r="F96" i="179"/>
  <c r="F108" i="179"/>
  <c r="F24" i="179"/>
  <c r="F47" i="179"/>
  <c r="F75" i="179"/>
  <c r="F91" i="179"/>
  <c r="F103" i="179"/>
  <c r="F115" i="179"/>
  <c r="F98" i="179"/>
  <c r="F110" i="179"/>
  <c r="F93" i="179"/>
  <c r="F105" i="179"/>
  <c r="F100" i="179"/>
  <c r="F112" i="179"/>
  <c r="F88" i="179"/>
  <c r="F102" i="179"/>
  <c r="F114" i="179"/>
  <c r="F97" i="179"/>
  <c r="F109" i="179"/>
  <c r="F44" i="179"/>
  <c r="F104" i="179"/>
  <c r="F122" i="179"/>
  <c r="F134" i="179"/>
  <c r="F45" i="179"/>
  <c r="F92" i="179"/>
  <c r="F117" i="179"/>
  <c r="F129" i="179"/>
  <c r="F124" i="179"/>
  <c r="F106" i="179"/>
  <c r="F107" i="179"/>
  <c r="F119" i="179"/>
  <c r="F131" i="179"/>
  <c r="F82" i="179"/>
  <c r="F94" i="179"/>
  <c r="F95" i="179"/>
  <c r="F126" i="179"/>
  <c r="F116" i="179"/>
  <c r="F128" i="179"/>
  <c r="F70" i="179"/>
  <c r="F111" i="179"/>
  <c r="F123" i="179"/>
  <c r="F99" i="179"/>
  <c r="F118" i="179"/>
  <c r="F130" i="179"/>
  <c r="F144" i="179"/>
  <c r="F156" i="179"/>
  <c r="F139" i="179"/>
  <c r="F151" i="179"/>
  <c r="F146" i="179"/>
  <c r="F158" i="179"/>
  <c r="F141" i="179"/>
  <c r="F153" i="179"/>
  <c r="F121" i="179"/>
  <c r="F136" i="179"/>
  <c r="F148" i="179"/>
  <c r="F160" i="179"/>
  <c r="F120" i="179"/>
  <c r="F138" i="179"/>
  <c r="F150" i="179"/>
  <c r="F101" i="179"/>
  <c r="F127" i="179"/>
  <c r="F145" i="179"/>
  <c r="F157" i="179"/>
  <c r="F133" i="179"/>
  <c r="F140" i="179"/>
  <c r="F152" i="179"/>
  <c r="F159" i="179"/>
  <c r="F137" i="179"/>
  <c r="F76" i="179"/>
  <c r="F143" i="179"/>
  <c r="F113" i="179"/>
  <c r="F132" i="179"/>
  <c r="F142" i="179"/>
  <c r="F149" i="179"/>
  <c r="F87" i="179"/>
  <c r="F155" i="179"/>
  <c r="F135" i="179"/>
  <c r="F154" i="179"/>
  <c r="F161" i="179"/>
  <c r="F125" i="179"/>
  <c r="F3" i="179"/>
  <c r="G1" i="179"/>
  <c r="F147" i="179"/>
  <c r="T72" i="176"/>
  <c r="AE56" i="181" l="1"/>
  <c r="AE122" i="181"/>
  <c r="AE123" i="181"/>
  <c r="AE124" i="181"/>
  <c r="AE85" i="181"/>
  <c r="AE121" i="181"/>
  <c r="AE12" i="181"/>
  <c r="AE24" i="181"/>
  <c r="AE7" i="181"/>
  <c r="AE19" i="181"/>
  <c r="AE31" i="181"/>
  <c r="AE14" i="181"/>
  <c r="AE26" i="181"/>
  <c r="AE4" i="181"/>
  <c r="AE16" i="181"/>
  <c r="AE28" i="181"/>
  <c r="AE11" i="181"/>
  <c r="AE23" i="181"/>
  <c r="AE35" i="181"/>
  <c r="AE6" i="181"/>
  <c r="AE18" i="181"/>
  <c r="AE30" i="181"/>
  <c r="AE15" i="181"/>
  <c r="AE27" i="181"/>
  <c r="AE5" i="181"/>
  <c r="AE32" i="181"/>
  <c r="AE42" i="181"/>
  <c r="AE54" i="181"/>
  <c r="AE20" i="181"/>
  <c r="AE33" i="181"/>
  <c r="AE37" i="181"/>
  <c r="AE49" i="181"/>
  <c r="AE8" i="181"/>
  <c r="AE21" i="181"/>
  <c r="AE34" i="181"/>
  <c r="AE44" i="181"/>
  <c r="AE10" i="181"/>
  <c r="AE46" i="181"/>
  <c r="AE17" i="181"/>
  <c r="AE59" i="181"/>
  <c r="AE9" i="181"/>
  <c r="AE38" i="181"/>
  <c r="AE41" i="181"/>
  <c r="AE45" i="181"/>
  <c r="AE61" i="181"/>
  <c r="AE55" i="181"/>
  <c r="AE63" i="181"/>
  <c r="AE69" i="181"/>
  <c r="AE52" i="181"/>
  <c r="AE39" i="181"/>
  <c r="AE65" i="181"/>
  <c r="AE71" i="181"/>
  <c r="AE29" i="181"/>
  <c r="AE40" i="181"/>
  <c r="AE73" i="181"/>
  <c r="AE47" i="181"/>
  <c r="AE48" i="181"/>
  <c r="AE68" i="181"/>
  <c r="AE22" i="181"/>
  <c r="AE50" i="181"/>
  <c r="AE51" i="181"/>
  <c r="AE58" i="181"/>
  <c r="AE64" i="181"/>
  <c r="AE67" i="181"/>
  <c r="AE84" i="181"/>
  <c r="AE25" i="181"/>
  <c r="AE79" i="181"/>
  <c r="AE92" i="181"/>
  <c r="AE13" i="181"/>
  <c r="AE60" i="181"/>
  <c r="AE72" i="181"/>
  <c r="AE77" i="181"/>
  <c r="AE89" i="181"/>
  <c r="AE75" i="181"/>
  <c r="AE83" i="181"/>
  <c r="AE91" i="181"/>
  <c r="AE36" i="181"/>
  <c r="AE70" i="181"/>
  <c r="AE74" i="181"/>
  <c r="AE82" i="181"/>
  <c r="AE43" i="181"/>
  <c r="AE94" i="181"/>
  <c r="AE106" i="181"/>
  <c r="AE101" i="181"/>
  <c r="AE62" i="181"/>
  <c r="AE76" i="181"/>
  <c r="AE81" i="181"/>
  <c r="AE96" i="181"/>
  <c r="AE66" i="181"/>
  <c r="AE78" i="181"/>
  <c r="AE98" i="181"/>
  <c r="AE93" i="181"/>
  <c r="AE105" i="181"/>
  <c r="AE90" i="181"/>
  <c r="AE100" i="181"/>
  <c r="AE80" i="181"/>
  <c r="AE104" i="181"/>
  <c r="AE88" i="181"/>
  <c r="AE97" i="181"/>
  <c r="AE120" i="181"/>
  <c r="AE57" i="181"/>
  <c r="AE115" i="181"/>
  <c r="AE128" i="181"/>
  <c r="AE102" i="181"/>
  <c r="AE110" i="181"/>
  <c r="AE87" i="181"/>
  <c r="AE99" i="181"/>
  <c r="AE112" i="181"/>
  <c r="AE125" i="181"/>
  <c r="AE119" i="181"/>
  <c r="AE86" i="181"/>
  <c r="AE118" i="181"/>
  <c r="AE108" i="181"/>
  <c r="AE140" i="181"/>
  <c r="AE152" i="181"/>
  <c r="AE164" i="181"/>
  <c r="AE135" i="181"/>
  <c r="AE147" i="181"/>
  <c r="AE159" i="181"/>
  <c r="AE3" i="181"/>
  <c r="AE130" i="181"/>
  <c r="AE142" i="181"/>
  <c r="AE154" i="181"/>
  <c r="AE107" i="181"/>
  <c r="AE126" i="181"/>
  <c r="AE137" i="181"/>
  <c r="AE116" i="181"/>
  <c r="AE132" i="181"/>
  <c r="AE144" i="181"/>
  <c r="AE156" i="181"/>
  <c r="AE139" i="181"/>
  <c r="AE151" i="181"/>
  <c r="AE163" i="181"/>
  <c r="AE113" i="181"/>
  <c r="AE53" i="181"/>
  <c r="AE129" i="181"/>
  <c r="AE138" i="181"/>
  <c r="AE150" i="181"/>
  <c r="AE162" i="181"/>
  <c r="AE95" i="181"/>
  <c r="AE111" i="181"/>
  <c r="AE127" i="181"/>
  <c r="AE158" i="181"/>
  <c r="AE117" i="181"/>
  <c r="AE141" i="181"/>
  <c r="AE165" i="181"/>
  <c r="AE114" i="181"/>
  <c r="AE148" i="181"/>
  <c r="AE155" i="181"/>
  <c r="AE131" i="181"/>
  <c r="AE145" i="181"/>
  <c r="AE134" i="181"/>
  <c r="AE149" i="181"/>
  <c r="AE133" i="181"/>
  <c r="AE146" i="181"/>
  <c r="AE103" i="181"/>
  <c r="AE160" i="181"/>
  <c r="AE109" i="181"/>
  <c r="AE153" i="181"/>
  <c r="AE136" i="181"/>
  <c r="AE157" i="181"/>
  <c r="AE161" i="181"/>
  <c r="AE143" i="181"/>
  <c r="AF1" i="181"/>
  <c r="G39" i="179"/>
  <c r="G48" i="179"/>
  <c r="G162" i="179"/>
  <c r="G72" i="179"/>
  <c r="G7" i="179"/>
  <c r="G19" i="179"/>
  <c r="G31" i="179"/>
  <c r="G14" i="179"/>
  <c r="G9" i="179"/>
  <c r="G21" i="179"/>
  <c r="G33" i="179"/>
  <c r="G4" i="179"/>
  <c r="G6" i="179"/>
  <c r="G18" i="179"/>
  <c r="G30" i="179"/>
  <c r="G13" i="179"/>
  <c r="G25" i="179"/>
  <c r="G34" i="179"/>
  <c r="G38" i="179"/>
  <c r="G52" i="179"/>
  <c r="G46" i="179"/>
  <c r="G11" i="179"/>
  <c r="G15" i="179"/>
  <c r="G41" i="179"/>
  <c r="G17" i="179"/>
  <c r="G23" i="179"/>
  <c r="G26" i="179"/>
  <c r="G49" i="179"/>
  <c r="G43" i="179"/>
  <c r="G32" i="179"/>
  <c r="G36" i="179"/>
  <c r="G45" i="179"/>
  <c r="G10" i="179"/>
  <c r="G16" i="179"/>
  <c r="G20" i="179"/>
  <c r="G28" i="179"/>
  <c r="G47" i="179"/>
  <c r="G60" i="179"/>
  <c r="G27" i="179"/>
  <c r="G55" i="179"/>
  <c r="G67" i="179"/>
  <c r="G50" i="179"/>
  <c r="G51" i="179"/>
  <c r="G62" i="179"/>
  <c r="G37" i="179"/>
  <c r="G57" i="179"/>
  <c r="G69" i="179"/>
  <c r="G5" i="179"/>
  <c r="G12" i="179"/>
  <c r="G64" i="179"/>
  <c r="G54" i="179"/>
  <c r="G66" i="179"/>
  <c r="G22" i="179"/>
  <c r="G42" i="179"/>
  <c r="G61" i="179"/>
  <c r="G82" i="179"/>
  <c r="G35" i="179"/>
  <c r="G58" i="179"/>
  <c r="G59" i="179"/>
  <c r="G77" i="179"/>
  <c r="G89" i="179"/>
  <c r="G84" i="179"/>
  <c r="G29" i="179"/>
  <c r="G79" i="179"/>
  <c r="G74" i="179"/>
  <c r="G86" i="179"/>
  <c r="G44" i="179"/>
  <c r="G76" i="179"/>
  <c r="G88" i="179"/>
  <c r="G40" i="179"/>
  <c r="G83" i="179"/>
  <c r="G8" i="179"/>
  <c r="G65" i="179"/>
  <c r="G78" i="179"/>
  <c r="G90" i="179"/>
  <c r="G53" i="179"/>
  <c r="G73" i="179"/>
  <c r="G85" i="179"/>
  <c r="G81" i="179"/>
  <c r="G101" i="179"/>
  <c r="G113" i="179"/>
  <c r="G68" i="179"/>
  <c r="G96" i="179"/>
  <c r="G108" i="179"/>
  <c r="G24" i="179"/>
  <c r="G75" i="179"/>
  <c r="G91" i="179"/>
  <c r="G103" i="179"/>
  <c r="G115" i="179"/>
  <c r="G71" i="179"/>
  <c r="G98" i="179"/>
  <c r="G110" i="179"/>
  <c r="G80" i="179"/>
  <c r="G93" i="179"/>
  <c r="G105" i="179"/>
  <c r="G63" i="179"/>
  <c r="G95" i="179"/>
  <c r="G107" i="179"/>
  <c r="G56" i="179"/>
  <c r="G102" i="179"/>
  <c r="G114" i="179"/>
  <c r="G127" i="179"/>
  <c r="G104" i="179"/>
  <c r="G122" i="179"/>
  <c r="G134" i="179"/>
  <c r="G92" i="179"/>
  <c r="G117" i="179"/>
  <c r="G129" i="179"/>
  <c r="G124" i="179"/>
  <c r="G106" i="179"/>
  <c r="G119" i="179"/>
  <c r="G131" i="179"/>
  <c r="G97" i="179"/>
  <c r="G121" i="179"/>
  <c r="G133" i="179"/>
  <c r="G116" i="179"/>
  <c r="G128" i="179"/>
  <c r="G70" i="179"/>
  <c r="G111" i="179"/>
  <c r="G112" i="179"/>
  <c r="G123" i="179"/>
  <c r="G94" i="179"/>
  <c r="G137" i="179"/>
  <c r="G149" i="179"/>
  <c r="G161" i="179"/>
  <c r="G100" i="179"/>
  <c r="G130" i="179"/>
  <c r="G144" i="179"/>
  <c r="G156" i="179"/>
  <c r="G139" i="179"/>
  <c r="G151" i="179"/>
  <c r="G146" i="179"/>
  <c r="G158" i="179"/>
  <c r="G109" i="179"/>
  <c r="G141" i="179"/>
  <c r="G153" i="179"/>
  <c r="G87" i="179"/>
  <c r="G143" i="179"/>
  <c r="G155" i="179"/>
  <c r="G120" i="179"/>
  <c r="G138" i="179"/>
  <c r="G150" i="179"/>
  <c r="G126" i="179"/>
  <c r="G145" i="179"/>
  <c r="G157" i="179"/>
  <c r="G160" i="179"/>
  <c r="G152" i="179"/>
  <c r="G159" i="179"/>
  <c r="G136" i="179"/>
  <c r="G125" i="179"/>
  <c r="G135" i="179"/>
  <c r="G3" i="179"/>
  <c r="G132" i="179"/>
  <c r="G142" i="179"/>
  <c r="G99" i="179"/>
  <c r="G140" i="179"/>
  <c r="G148" i="179"/>
  <c r="G147" i="179"/>
  <c r="G154" i="179"/>
  <c r="G118" i="179"/>
  <c r="H1" i="179"/>
  <c r="T71" i="176"/>
  <c r="T70" i="176"/>
  <c r="AF56" i="181" l="1"/>
  <c r="AF121" i="181"/>
  <c r="AF122" i="181"/>
  <c r="AF123" i="181"/>
  <c r="AF124" i="181"/>
  <c r="AF85" i="181"/>
  <c r="AF5" i="181"/>
  <c r="AF17" i="181"/>
  <c r="AF29" i="181"/>
  <c r="AF12" i="181"/>
  <c r="AF24" i="181"/>
  <c r="AF7" i="181"/>
  <c r="AF19" i="181"/>
  <c r="AF31" i="181"/>
  <c r="AF9" i="181"/>
  <c r="AF21" i="181"/>
  <c r="AF33" i="181"/>
  <c r="AF4" i="181"/>
  <c r="AF16" i="181"/>
  <c r="AF28" i="181"/>
  <c r="AF11" i="181"/>
  <c r="AF23" i="181"/>
  <c r="AF35" i="181"/>
  <c r="AF8" i="181"/>
  <c r="AF20" i="181"/>
  <c r="AF32" i="181"/>
  <c r="AF6" i="181"/>
  <c r="AF47" i="181"/>
  <c r="AF42" i="181"/>
  <c r="AF54" i="181"/>
  <c r="AF37" i="181"/>
  <c r="AF49" i="181"/>
  <c r="AF22" i="181"/>
  <c r="AF39" i="181"/>
  <c r="AF51" i="181"/>
  <c r="AF13" i="181"/>
  <c r="AF64" i="181"/>
  <c r="AF27" i="181"/>
  <c r="AF34" i="181"/>
  <c r="AF38" i="181"/>
  <c r="AF26" i="181"/>
  <c r="AF48" i="181"/>
  <c r="AF52" i="181"/>
  <c r="AF67" i="181"/>
  <c r="AF74" i="181"/>
  <c r="AF18" i="181"/>
  <c r="AF45" i="181"/>
  <c r="AF69" i="181"/>
  <c r="AF14" i="181"/>
  <c r="AF25" i="181"/>
  <c r="AF53" i="181"/>
  <c r="AF57" i="181"/>
  <c r="AF40" i="181"/>
  <c r="AF41" i="181"/>
  <c r="AF73" i="181"/>
  <c r="AF43" i="181"/>
  <c r="AF44" i="181"/>
  <c r="AF59" i="181"/>
  <c r="AF50" i="181"/>
  <c r="AF90" i="181"/>
  <c r="AF84" i="181"/>
  <c r="AF61" i="181"/>
  <c r="AF62" i="181"/>
  <c r="AF63" i="181"/>
  <c r="AF76" i="181"/>
  <c r="AF81" i="181"/>
  <c r="AF30" i="181"/>
  <c r="AF60" i="181"/>
  <c r="AF72" i="181"/>
  <c r="AF77" i="181"/>
  <c r="AF89" i="181"/>
  <c r="AF58" i="181"/>
  <c r="AF75" i="181"/>
  <c r="AF83" i="181"/>
  <c r="AF88" i="181"/>
  <c r="AF36" i="181"/>
  <c r="AF70" i="181"/>
  <c r="AF99" i="181"/>
  <c r="AF92" i="181"/>
  <c r="AF94" i="181"/>
  <c r="AF106" i="181"/>
  <c r="AF55" i="181"/>
  <c r="AF86" i="181"/>
  <c r="AF103" i="181"/>
  <c r="AF15" i="181"/>
  <c r="AF66" i="181"/>
  <c r="AF78" i="181"/>
  <c r="AF98" i="181"/>
  <c r="AF82" i="181"/>
  <c r="AF93" i="181"/>
  <c r="AF105" i="181"/>
  <c r="AF71" i="181"/>
  <c r="AF97" i="181"/>
  <c r="AF109" i="181"/>
  <c r="AF108" i="181"/>
  <c r="AF113" i="181"/>
  <c r="AF126" i="181"/>
  <c r="AF120" i="181"/>
  <c r="AF115" i="181"/>
  <c r="AF10" i="181"/>
  <c r="AF117" i="181"/>
  <c r="AF68" i="181"/>
  <c r="AF87" i="181"/>
  <c r="AF112" i="181"/>
  <c r="AF125" i="181"/>
  <c r="AF46" i="181"/>
  <c r="AF95" i="181"/>
  <c r="AF104" i="181"/>
  <c r="AF111" i="181"/>
  <c r="AF118" i="181"/>
  <c r="AF133" i="181"/>
  <c r="AF145" i="181"/>
  <c r="AF157" i="181"/>
  <c r="AF102" i="181"/>
  <c r="AF140" i="181"/>
  <c r="AF152" i="181"/>
  <c r="AF164" i="181"/>
  <c r="AF119" i="181"/>
  <c r="AF135" i="181"/>
  <c r="AF147" i="181"/>
  <c r="AF159" i="181"/>
  <c r="AF3" i="181"/>
  <c r="AF79" i="181"/>
  <c r="AF91" i="181"/>
  <c r="AF128" i="181"/>
  <c r="AF130" i="181"/>
  <c r="AF107" i="181"/>
  <c r="AF137" i="181"/>
  <c r="AF149" i="181"/>
  <c r="AF161" i="181"/>
  <c r="AF96" i="181"/>
  <c r="AF116" i="181"/>
  <c r="AF132" i="181"/>
  <c r="AF144" i="181"/>
  <c r="AF156" i="181"/>
  <c r="AF101" i="181"/>
  <c r="AF131" i="181"/>
  <c r="AF143" i="181"/>
  <c r="AF155" i="181"/>
  <c r="AF65" i="181"/>
  <c r="AF151" i="181"/>
  <c r="AF127" i="181"/>
  <c r="AF158" i="181"/>
  <c r="AF100" i="181"/>
  <c r="AF148" i="181"/>
  <c r="AF141" i="181"/>
  <c r="AF165" i="181"/>
  <c r="AF114" i="181"/>
  <c r="AF136" i="181"/>
  <c r="AF80" i="181"/>
  <c r="AF129" i="181"/>
  <c r="AF162" i="181"/>
  <c r="AF163" i="181"/>
  <c r="AF142" i="181"/>
  <c r="AF134" i="181"/>
  <c r="AF153" i="181"/>
  <c r="AF146" i="181"/>
  <c r="AF110" i="181"/>
  <c r="AF139" i="181"/>
  <c r="AF150" i="181"/>
  <c r="AF138" i="181"/>
  <c r="AF154" i="181"/>
  <c r="AF160" i="181"/>
  <c r="AG1" i="181"/>
  <c r="H39" i="179"/>
  <c r="H48" i="179"/>
  <c r="H162" i="179"/>
  <c r="H72" i="179"/>
  <c r="H12" i="179"/>
  <c r="H24" i="179"/>
  <c r="H36" i="179"/>
  <c r="H7" i="179"/>
  <c r="H19" i="179"/>
  <c r="H14" i="179"/>
  <c r="H26" i="179"/>
  <c r="H4" i="179"/>
  <c r="H11" i="179"/>
  <c r="H23" i="179"/>
  <c r="H35" i="179"/>
  <c r="H6" i="179"/>
  <c r="H18" i="179"/>
  <c r="H30" i="179"/>
  <c r="H8" i="179"/>
  <c r="H5" i="179"/>
  <c r="H27" i="179"/>
  <c r="H44" i="179"/>
  <c r="H34" i="179"/>
  <c r="H38" i="179"/>
  <c r="H9" i="179"/>
  <c r="H13" i="179"/>
  <c r="H46" i="179"/>
  <c r="H15" i="179"/>
  <c r="H21" i="179"/>
  <c r="H41" i="179"/>
  <c r="H17" i="179"/>
  <c r="H33" i="179"/>
  <c r="H49" i="179"/>
  <c r="H25" i="179"/>
  <c r="H29" i="179"/>
  <c r="H37" i="179"/>
  <c r="H51" i="179"/>
  <c r="H40" i="179"/>
  <c r="H31" i="179"/>
  <c r="H47" i="179"/>
  <c r="H53" i="179"/>
  <c r="H65" i="179"/>
  <c r="H10" i="179"/>
  <c r="H60" i="179"/>
  <c r="H55" i="179"/>
  <c r="H50" i="179"/>
  <c r="H62" i="179"/>
  <c r="H20" i="179"/>
  <c r="H57" i="179"/>
  <c r="H69" i="179"/>
  <c r="H59" i="179"/>
  <c r="H32" i="179"/>
  <c r="H54" i="179"/>
  <c r="H28" i="179"/>
  <c r="H70" i="179"/>
  <c r="H75" i="179"/>
  <c r="H87" i="179"/>
  <c r="H82" i="179"/>
  <c r="H58" i="179"/>
  <c r="H77" i="179"/>
  <c r="H89" i="179"/>
  <c r="H22" i="179"/>
  <c r="H61" i="179"/>
  <c r="H84" i="179"/>
  <c r="H79" i="179"/>
  <c r="H42" i="179"/>
  <c r="H63" i="179"/>
  <c r="H64" i="179"/>
  <c r="H71" i="179"/>
  <c r="H81" i="179"/>
  <c r="H52" i="179"/>
  <c r="H76" i="179"/>
  <c r="H88" i="179"/>
  <c r="H83" i="179"/>
  <c r="H16" i="179"/>
  <c r="H78" i="179"/>
  <c r="H90" i="179"/>
  <c r="H94" i="179"/>
  <c r="H106" i="179"/>
  <c r="H101" i="179"/>
  <c r="H113" i="179"/>
  <c r="H68" i="179"/>
  <c r="H96" i="179"/>
  <c r="H108" i="179"/>
  <c r="H86" i="179"/>
  <c r="H91" i="179"/>
  <c r="H103" i="179"/>
  <c r="H115" i="179"/>
  <c r="H66" i="179"/>
  <c r="H98" i="179"/>
  <c r="H110" i="179"/>
  <c r="H74" i="179"/>
  <c r="H100" i="179"/>
  <c r="H112" i="179"/>
  <c r="H85" i="179"/>
  <c r="H95" i="179"/>
  <c r="H107" i="179"/>
  <c r="H73" i="179"/>
  <c r="H120" i="179"/>
  <c r="H132" i="179"/>
  <c r="H67" i="179"/>
  <c r="H127" i="179"/>
  <c r="H45" i="179"/>
  <c r="H104" i="179"/>
  <c r="H105" i="179"/>
  <c r="H122" i="179"/>
  <c r="H134" i="179"/>
  <c r="H92" i="179"/>
  <c r="H93" i="179"/>
  <c r="H117" i="179"/>
  <c r="H129" i="179"/>
  <c r="H124" i="179"/>
  <c r="H109" i="179"/>
  <c r="H126" i="179"/>
  <c r="H97" i="179"/>
  <c r="H121" i="179"/>
  <c r="H133" i="179"/>
  <c r="H116" i="179"/>
  <c r="H128" i="179"/>
  <c r="H131" i="179"/>
  <c r="H142" i="179"/>
  <c r="H154" i="179"/>
  <c r="H111" i="179"/>
  <c r="H123" i="179"/>
  <c r="H137" i="179"/>
  <c r="H149" i="179"/>
  <c r="H161" i="179"/>
  <c r="H114" i="179"/>
  <c r="H130" i="179"/>
  <c r="H144" i="179"/>
  <c r="H156" i="179"/>
  <c r="H43" i="179"/>
  <c r="H139" i="179"/>
  <c r="H151" i="179"/>
  <c r="H146" i="179"/>
  <c r="H158" i="179"/>
  <c r="H136" i="179"/>
  <c r="H148" i="179"/>
  <c r="H160" i="179"/>
  <c r="H143" i="179"/>
  <c r="H155" i="179"/>
  <c r="H119" i="179"/>
  <c r="H138" i="179"/>
  <c r="H150" i="179"/>
  <c r="H56" i="179"/>
  <c r="H153" i="179"/>
  <c r="H145" i="179"/>
  <c r="H152" i="179"/>
  <c r="H102" i="179"/>
  <c r="H159" i="179"/>
  <c r="H80" i="179"/>
  <c r="H118" i="179"/>
  <c r="H125" i="179"/>
  <c r="H135" i="179"/>
  <c r="H3" i="179"/>
  <c r="H141" i="179"/>
  <c r="H140" i="179"/>
  <c r="H147" i="179"/>
  <c r="H99" i="179"/>
  <c r="H157" i="179"/>
  <c r="I1" i="179"/>
  <c r="T66" i="176"/>
  <c r="T64" i="176"/>
  <c r="T65" i="176"/>
  <c r="AG56" i="181" l="1"/>
  <c r="AG121" i="181"/>
  <c r="AG122" i="181"/>
  <c r="AG123" i="181"/>
  <c r="AG124" i="181"/>
  <c r="AG85" i="181"/>
  <c r="AG10" i="181"/>
  <c r="AG22" i="181"/>
  <c r="AG34" i="181"/>
  <c r="AG5" i="181"/>
  <c r="AG17" i="181"/>
  <c r="AG29" i="181"/>
  <c r="AG12" i="181"/>
  <c r="AG24" i="181"/>
  <c r="AG14" i="181"/>
  <c r="AG26" i="181"/>
  <c r="AG9" i="181"/>
  <c r="AG21" i="181"/>
  <c r="AG33" i="181"/>
  <c r="AG4" i="181"/>
  <c r="AG16" i="181"/>
  <c r="AG28" i="181"/>
  <c r="AG13" i="181"/>
  <c r="AG25" i="181"/>
  <c r="AG18" i="181"/>
  <c r="AG31" i="181"/>
  <c r="AG40" i="181"/>
  <c r="AG52" i="181"/>
  <c r="AG6" i="181"/>
  <c r="AG19" i="181"/>
  <c r="AG32" i="181"/>
  <c r="AG47" i="181"/>
  <c r="AG7" i="181"/>
  <c r="AG20" i="181"/>
  <c r="AG42" i="181"/>
  <c r="AG54" i="181"/>
  <c r="AG23" i="181"/>
  <c r="AG44" i="181"/>
  <c r="AG53" i="181"/>
  <c r="AG57" i="181"/>
  <c r="AG49" i="181"/>
  <c r="AG27" i="181"/>
  <c r="AG59" i="181"/>
  <c r="AG30" i="181"/>
  <c r="AG41" i="181"/>
  <c r="AG45" i="181"/>
  <c r="AG61" i="181"/>
  <c r="AG50" i="181"/>
  <c r="AG58" i="181"/>
  <c r="AG38" i="181"/>
  <c r="AG67" i="181"/>
  <c r="AG8" i="181"/>
  <c r="AG35" i="181"/>
  <c r="AG69" i="181"/>
  <c r="AG46" i="181"/>
  <c r="AG65" i="181"/>
  <c r="AG71" i="181"/>
  <c r="AG36" i="181"/>
  <c r="AG37" i="181"/>
  <c r="AG60" i="181"/>
  <c r="AG43" i="181"/>
  <c r="AG70" i="181"/>
  <c r="AG82" i="181"/>
  <c r="AG73" i="181"/>
  <c r="AG90" i="181"/>
  <c r="AG87" i="181"/>
  <c r="AG62" i="181"/>
  <c r="AG63" i="181"/>
  <c r="AG76" i="181"/>
  <c r="AG81" i="181"/>
  <c r="AG51" i="181"/>
  <c r="AG64" i="181"/>
  <c r="AG72" i="181"/>
  <c r="AG77" i="181"/>
  <c r="AG89" i="181"/>
  <c r="AG15" i="181"/>
  <c r="AG66" i="181"/>
  <c r="AG78" i="181"/>
  <c r="AG80" i="181"/>
  <c r="AG88" i="181"/>
  <c r="AG104" i="181"/>
  <c r="AG84" i="181"/>
  <c r="AG99" i="181"/>
  <c r="AG92" i="181"/>
  <c r="AG94" i="181"/>
  <c r="AG48" i="181"/>
  <c r="AG96" i="181"/>
  <c r="AG108" i="181"/>
  <c r="AG55" i="181"/>
  <c r="AG86" i="181"/>
  <c r="AG103" i="181"/>
  <c r="AG74" i="181"/>
  <c r="AG98" i="181"/>
  <c r="AG91" i="181"/>
  <c r="AG102" i="181"/>
  <c r="AG39" i="181"/>
  <c r="AG101" i="181"/>
  <c r="AG118" i="181"/>
  <c r="AG97" i="181"/>
  <c r="AG105" i="181"/>
  <c r="AG113" i="181"/>
  <c r="AG126" i="181"/>
  <c r="AG120" i="181"/>
  <c r="AG109" i="181"/>
  <c r="AG110" i="181"/>
  <c r="AG11" i="181"/>
  <c r="AG106" i="181"/>
  <c r="AG117" i="181"/>
  <c r="AG75" i="181"/>
  <c r="AG83" i="181"/>
  <c r="AG116" i="181"/>
  <c r="AG129" i="181"/>
  <c r="AG95" i="181"/>
  <c r="AG111" i="181"/>
  <c r="AG138" i="181"/>
  <c r="AG150" i="181"/>
  <c r="AG162" i="181"/>
  <c r="AG115" i="181"/>
  <c r="AG133" i="181"/>
  <c r="AG145" i="181"/>
  <c r="AG157" i="181"/>
  <c r="AG119" i="181"/>
  <c r="AG135" i="181"/>
  <c r="AG68" i="181"/>
  <c r="AG112" i="181"/>
  <c r="AG140" i="181"/>
  <c r="AG152" i="181"/>
  <c r="AG164" i="181"/>
  <c r="AG79" i="181"/>
  <c r="AG128" i="181"/>
  <c r="AG130" i="181"/>
  <c r="AG142" i="181"/>
  <c r="AG154" i="181"/>
  <c r="AG107" i="181"/>
  <c r="AG137" i="181"/>
  <c r="AG149" i="181"/>
  <c r="AG161" i="181"/>
  <c r="AG93" i="181"/>
  <c r="AG100" i="181"/>
  <c r="AG114" i="181"/>
  <c r="AG127" i="181"/>
  <c r="AG136" i="181"/>
  <c r="AG148" i="181"/>
  <c r="AG160" i="181"/>
  <c r="AG144" i="181"/>
  <c r="AG141" i="181"/>
  <c r="AG125" i="181"/>
  <c r="AG151" i="181"/>
  <c r="AG158" i="181"/>
  <c r="AG165" i="181"/>
  <c r="AG132" i="181"/>
  <c r="AG155" i="181"/>
  <c r="AG131" i="181"/>
  <c r="AG159" i="181"/>
  <c r="AG3" i="181"/>
  <c r="AG156" i="181"/>
  <c r="AG146" i="181"/>
  <c r="AG134" i="181"/>
  <c r="AG163" i="181"/>
  <c r="AG143" i="181"/>
  <c r="AG139" i="181"/>
  <c r="AG147" i="181"/>
  <c r="AG153" i="181"/>
  <c r="AH1" i="181"/>
  <c r="I39" i="179"/>
  <c r="I48" i="179"/>
  <c r="I162" i="179"/>
  <c r="I72" i="179"/>
  <c r="I5" i="179"/>
  <c r="I17" i="179"/>
  <c r="I29" i="179"/>
  <c r="I12" i="179"/>
  <c r="I7" i="179"/>
  <c r="I19" i="179"/>
  <c r="I31" i="179"/>
  <c r="I4" i="179"/>
  <c r="I16" i="179"/>
  <c r="I28" i="179"/>
  <c r="I11" i="179"/>
  <c r="I23" i="179"/>
  <c r="I35" i="179"/>
  <c r="I50" i="179"/>
  <c r="I27" i="179"/>
  <c r="I44" i="179"/>
  <c r="I30" i="179"/>
  <c r="I34" i="179"/>
  <c r="I38" i="179"/>
  <c r="I6" i="179"/>
  <c r="I9" i="179"/>
  <c r="I13" i="179"/>
  <c r="I46" i="179"/>
  <c r="I15" i="179"/>
  <c r="I21" i="179"/>
  <c r="I26" i="179"/>
  <c r="I41" i="179"/>
  <c r="I43" i="179"/>
  <c r="I32" i="179"/>
  <c r="I45" i="179"/>
  <c r="I24" i="179"/>
  <c r="I58" i="179"/>
  <c r="I70" i="179"/>
  <c r="I18" i="179"/>
  <c r="I47" i="179"/>
  <c r="I49" i="179"/>
  <c r="I53" i="179"/>
  <c r="I65" i="179"/>
  <c r="I10" i="179"/>
  <c r="I60" i="179"/>
  <c r="I51" i="179"/>
  <c r="I55" i="179"/>
  <c r="I67" i="179"/>
  <c r="I33" i="179"/>
  <c r="I37" i="179"/>
  <c r="I62" i="179"/>
  <c r="I36" i="179"/>
  <c r="I40" i="179"/>
  <c r="I52" i="179"/>
  <c r="I64" i="179"/>
  <c r="I14" i="179"/>
  <c r="I25" i="179"/>
  <c r="I59" i="179"/>
  <c r="I56" i="179"/>
  <c r="I57" i="179"/>
  <c r="I68" i="179"/>
  <c r="I80" i="179"/>
  <c r="I75" i="179"/>
  <c r="I87" i="179"/>
  <c r="I82" i="179"/>
  <c r="I77" i="179"/>
  <c r="I89" i="179"/>
  <c r="I22" i="179"/>
  <c r="I61" i="179"/>
  <c r="I84" i="179"/>
  <c r="I74" i="179"/>
  <c r="I86" i="179"/>
  <c r="I42" i="179"/>
  <c r="I63" i="179"/>
  <c r="I71" i="179"/>
  <c r="I81" i="179"/>
  <c r="I76" i="179"/>
  <c r="I88" i="179"/>
  <c r="I8" i="179"/>
  <c r="I20" i="179"/>
  <c r="I54" i="179"/>
  <c r="I83" i="179"/>
  <c r="I99" i="179"/>
  <c r="I111" i="179"/>
  <c r="I78" i="179"/>
  <c r="I94" i="179"/>
  <c r="I106" i="179"/>
  <c r="I101" i="179"/>
  <c r="I113" i="179"/>
  <c r="I96" i="179"/>
  <c r="I108" i="179"/>
  <c r="I91" i="179"/>
  <c r="I103" i="179"/>
  <c r="I115" i="179"/>
  <c r="I69" i="179"/>
  <c r="I93" i="179"/>
  <c r="I105" i="179"/>
  <c r="I100" i="179"/>
  <c r="I112" i="179"/>
  <c r="I102" i="179"/>
  <c r="I125" i="179"/>
  <c r="I73" i="179"/>
  <c r="I120" i="179"/>
  <c r="I132" i="179"/>
  <c r="I85" i="179"/>
  <c r="I127" i="179"/>
  <c r="I104" i="179"/>
  <c r="I122" i="179"/>
  <c r="I134" i="179"/>
  <c r="I92" i="179"/>
  <c r="I107" i="179"/>
  <c r="I117" i="179"/>
  <c r="I129" i="179"/>
  <c r="I119" i="179"/>
  <c r="I131" i="179"/>
  <c r="I79" i="179"/>
  <c r="I90" i="179"/>
  <c r="I109" i="179"/>
  <c r="I110" i="179"/>
  <c r="I126" i="179"/>
  <c r="I97" i="179"/>
  <c r="I98" i="179"/>
  <c r="I121" i="179"/>
  <c r="I133" i="179"/>
  <c r="I124" i="179"/>
  <c r="I135" i="179"/>
  <c r="I147" i="179"/>
  <c r="I159" i="179"/>
  <c r="I116" i="179"/>
  <c r="I142" i="179"/>
  <c r="I154" i="179"/>
  <c r="I123" i="179"/>
  <c r="I137" i="179"/>
  <c r="I149" i="179"/>
  <c r="I161" i="179"/>
  <c r="I114" i="179"/>
  <c r="I130" i="179"/>
  <c r="I144" i="179"/>
  <c r="I156" i="179"/>
  <c r="I95" i="179"/>
  <c r="I139" i="179"/>
  <c r="I151" i="179"/>
  <c r="I141" i="179"/>
  <c r="I153" i="179"/>
  <c r="I136" i="179"/>
  <c r="I148" i="179"/>
  <c r="I160" i="179"/>
  <c r="I143" i="179"/>
  <c r="I155" i="179"/>
  <c r="I146" i="179"/>
  <c r="I138" i="179"/>
  <c r="I145" i="179"/>
  <c r="I66" i="179"/>
  <c r="I152" i="179"/>
  <c r="I128" i="179"/>
  <c r="I158" i="179"/>
  <c r="I157" i="179"/>
  <c r="I118" i="179"/>
  <c r="I3" i="179"/>
  <c r="I140" i="179"/>
  <c r="I150" i="179"/>
  <c r="J1" i="179"/>
  <c r="T58" i="176"/>
  <c r="T59" i="176"/>
  <c r="T60" i="176"/>
  <c r="AH56" i="181" l="1"/>
  <c r="AI56" i="181" s="1"/>
  <c r="AH85" i="181"/>
  <c r="AI85" i="181" s="1"/>
  <c r="AH121" i="181"/>
  <c r="AI121" i="181" s="1"/>
  <c r="AH122" i="181"/>
  <c r="AI122" i="181" s="1"/>
  <c r="AH123" i="181"/>
  <c r="AI123" i="181" s="1"/>
  <c r="AH124" i="181"/>
  <c r="AI124" i="181" s="1"/>
  <c r="AH15" i="181"/>
  <c r="AH27" i="181"/>
  <c r="AH10" i="181"/>
  <c r="AI10" i="181" s="1"/>
  <c r="AH22" i="181"/>
  <c r="AI22" i="181" s="1"/>
  <c r="AH34" i="181"/>
  <c r="AI34" i="181" s="1"/>
  <c r="AH5" i="181"/>
  <c r="AI5" i="181" s="1"/>
  <c r="AH17" i="181"/>
  <c r="AI17" i="181" s="1"/>
  <c r="AH29" i="181"/>
  <c r="AI29" i="181" s="1"/>
  <c r="AH7" i="181"/>
  <c r="AI7" i="181" s="1"/>
  <c r="AH19" i="181"/>
  <c r="AI19" i="181" s="1"/>
  <c r="AH31" i="181"/>
  <c r="AI31" i="181" s="1"/>
  <c r="AH14" i="181"/>
  <c r="AI14" i="181" s="1"/>
  <c r="AH26" i="181"/>
  <c r="AH9" i="181"/>
  <c r="AH21" i="181"/>
  <c r="AI21" i="181" s="1"/>
  <c r="AH33" i="181"/>
  <c r="AI33" i="181" s="1"/>
  <c r="AH6" i="181"/>
  <c r="AI6" i="181" s="1"/>
  <c r="AH18" i="181"/>
  <c r="AI18" i="181" s="1"/>
  <c r="AH30" i="181"/>
  <c r="AI30" i="181" s="1"/>
  <c r="AH45" i="181"/>
  <c r="AI45" i="181" s="1"/>
  <c r="AH40" i="181"/>
  <c r="AI40" i="181" s="1"/>
  <c r="AH52" i="181"/>
  <c r="AI52" i="181" s="1"/>
  <c r="AH32" i="181"/>
  <c r="AI32" i="181" s="1"/>
  <c r="AH47" i="181"/>
  <c r="AI47" i="181" s="1"/>
  <c r="AH8" i="181"/>
  <c r="AH35" i="181"/>
  <c r="AH37" i="181"/>
  <c r="AH49" i="181"/>
  <c r="AI49" i="181" s="1"/>
  <c r="AH46" i="181"/>
  <c r="AI46" i="181" s="1"/>
  <c r="AH50" i="181"/>
  <c r="AI50" i="181" s="1"/>
  <c r="AH62" i="181"/>
  <c r="AI62" i="181" s="1"/>
  <c r="AH13" i="181"/>
  <c r="AI13" i="181" s="1"/>
  <c r="AH20" i="181"/>
  <c r="AI20" i="181" s="1"/>
  <c r="AH42" i="181"/>
  <c r="AI42" i="181" s="1"/>
  <c r="AH53" i="181"/>
  <c r="AI53" i="181" s="1"/>
  <c r="AH57" i="181"/>
  <c r="AI57" i="181" s="1"/>
  <c r="AH23" i="181"/>
  <c r="AI23" i="181" s="1"/>
  <c r="AH12" i="181"/>
  <c r="AH38" i="181"/>
  <c r="AI38" i="181" s="1"/>
  <c r="AH24" i="181"/>
  <c r="AI24" i="181" s="1"/>
  <c r="AH43" i="181"/>
  <c r="AI43" i="181" s="1"/>
  <c r="AH51" i="181"/>
  <c r="AI51" i="181" s="1"/>
  <c r="AH64" i="181"/>
  <c r="AI64" i="181" s="1"/>
  <c r="AH72" i="181"/>
  <c r="AI72" i="181" s="1"/>
  <c r="AH16" i="181"/>
  <c r="AI16" i="181" s="1"/>
  <c r="AH58" i="181"/>
  <c r="AI58" i="181" s="1"/>
  <c r="AH67" i="181"/>
  <c r="AI67" i="181" s="1"/>
  <c r="AH74" i="181"/>
  <c r="AI74" i="181" s="1"/>
  <c r="AH39" i="181"/>
  <c r="AI39" i="181" s="1"/>
  <c r="AH76" i="181"/>
  <c r="AI76" i="181" s="1"/>
  <c r="AH4" i="181"/>
  <c r="AI4" i="181" s="1"/>
  <c r="AH25" i="181"/>
  <c r="AI25" i="181" s="1"/>
  <c r="AH65" i="181"/>
  <c r="AI65" i="181" s="1"/>
  <c r="AH71" i="181"/>
  <c r="AI71" i="181" s="1"/>
  <c r="AH63" i="181"/>
  <c r="AI63" i="181" s="1"/>
  <c r="AH28" i="181"/>
  <c r="AI28" i="181" s="1"/>
  <c r="AH36" i="181"/>
  <c r="AI36" i="181" s="1"/>
  <c r="AH88" i="181"/>
  <c r="AI88" i="181" s="1"/>
  <c r="AH70" i="181"/>
  <c r="AI70" i="181" s="1"/>
  <c r="AH82" i="181"/>
  <c r="AI82" i="181" s="1"/>
  <c r="AH68" i="181"/>
  <c r="AI68" i="181" s="1"/>
  <c r="AH79" i="181"/>
  <c r="AH92" i="181"/>
  <c r="AI92" i="181" s="1"/>
  <c r="AH61" i="181"/>
  <c r="AI61" i="181" s="1"/>
  <c r="AH87" i="181"/>
  <c r="AI87" i="181" s="1"/>
  <c r="AH44" i="181"/>
  <c r="AI44" i="181" s="1"/>
  <c r="AH59" i="181"/>
  <c r="AI59" i="181" s="1"/>
  <c r="AH60" i="181"/>
  <c r="AI60" i="181" s="1"/>
  <c r="AH81" i="181"/>
  <c r="AI81" i="181" s="1"/>
  <c r="AH11" i="181"/>
  <c r="AI11" i="181" s="1"/>
  <c r="AH55" i="181"/>
  <c r="AI55" i="181" s="1"/>
  <c r="AH86" i="181"/>
  <c r="AI86" i="181" s="1"/>
  <c r="AH80" i="181"/>
  <c r="AI80" i="181" s="1"/>
  <c r="AH97" i="181"/>
  <c r="AI97" i="181" s="1"/>
  <c r="AH109" i="181"/>
  <c r="AI109" i="181" s="1"/>
  <c r="AH54" i="181"/>
  <c r="AI54" i="181" s="1"/>
  <c r="AH104" i="181"/>
  <c r="AI104" i="181" s="1"/>
  <c r="AH84" i="181"/>
  <c r="AI84" i="181" s="1"/>
  <c r="AH41" i="181"/>
  <c r="AI41" i="181" s="1"/>
  <c r="AH75" i="181"/>
  <c r="AI75" i="181" s="1"/>
  <c r="AH101" i="181"/>
  <c r="AI101" i="181" s="1"/>
  <c r="AH48" i="181"/>
  <c r="AI48" i="181" s="1"/>
  <c r="AH96" i="181"/>
  <c r="AI96" i="181" s="1"/>
  <c r="AH108" i="181"/>
  <c r="AI108" i="181" s="1"/>
  <c r="AH66" i="181"/>
  <c r="AI66" i="181" s="1"/>
  <c r="AH78" i="181"/>
  <c r="AI78" i="181" s="1"/>
  <c r="AH103" i="181"/>
  <c r="AI103" i="181" s="1"/>
  <c r="AH83" i="181"/>
  <c r="AI83" i="181" s="1"/>
  <c r="AH95" i="181"/>
  <c r="AI95" i="181" s="1"/>
  <c r="AH107" i="181"/>
  <c r="AI107" i="181" s="1"/>
  <c r="AH90" i="181"/>
  <c r="AI90" i="181" s="1"/>
  <c r="AH111" i="181"/>
  <c r="AI111" i="181" s="1"/>
  <c r="AH73" i="181"/>
  <c r="AI73" i="181" s="1"/>
  <c r="AH98" i="181"/>
  <c r="AI98" i="181" s="1"/>
  <c r="AH118" i="181"/>
  <c r="AI118" i="181" s="1"/>
  <c r="AH105" i="181"/>
  <c r="AI105" i="181" s="1"/>
  <c r="AH113" i="181"/>
  <c r="AI113" i="181" s="1"/>
  <c r="AH102" i="181"/>
  <c r="AI102" i="181" s="1"/>
  <c r="AH115" i="181"/>
  <c r="AI115" i="181" s="1"/>
  <c r="AH128" i="181"/>
  <c r="AI128" i="181" s="1"/>
  <c r="AH99" i="181"/>
  <c r="AI99" i="181" s="1"/>
  <c r="AH110" i="181"/>
  <c r="AI110" i="181" s="1"/>
  <c r="AH94" i="181"/>
  <c r="AI94" i="181" s="1"/>
  <c r="AH129" i="181"/>
  <c r="AI129" i="181" s="1"/>
  <c r="AH131" i="181"/>
  <c r="AH143" i="181"/>
  <c r="AI143" i="181" s="1"/>
  <c r="AH155" i="181"/>
  <c r="AI155" i="181" s="1"/>
  <c r="AH138" i="181"/>
  <c r="AI138" i="181" s="1"/>
  <c r="AH150" i="181"/>
  <c r="AI150" i="181" s="1"/>
  <c r="AH162" i="181"/>
  <c r="AI162" i="181" s="1"/>
  <c r="AH112" i="181"/>
  <c r="AI112" i="181" s="1"/>
  <c r="AH133" i="181"/>
  <c r="AI133" i="181" s="1"/>
  <c r="AH145" i="181"/>
  <c r="AI145" i="181" s="1"/>
  <c r="AH157" i="181"/>
  <c r="AI157" i="181" s="1"/>
  <c r="AH91" i="181"/>
  <c r="AI91" i="181" s="1"/>
  <c r="AH119" i="181"/>
  <c r="AI119" i="181" s="1"/>
  <c r="AH126" i="181"/>
  <c r="AI126" i="181" s="1"/>
  <c r="AH135" i="181"/>
  <c r="AI135" i="181" s="1"/>
  <c r="AH147" i="181"/>
  <c r="AI147" i="181" s="1"/>
  <c r="AH159" i="181"/>
  <c r="AI159" i="181" s="1"/>
  <c r="AH3" i="181"/>
  <c r="AI3" i="181" s="1"/>
  <c r="AH69" i="181"/>
  <c r="AI69" i="181" s="1"/>
  <c r="AH130" i="181"/>
  <c r="AI130" i="181" s="1"/>
  <c r="AH142" i="181"/>
  <c r="AI142" i="181" s="1"/>
  <c r="AH154" i="181"/>
  <c r="AI154" i="181" s="1"/>
  <c r="AH116" i="181"/>
  <c r="AI116" i="181" s="1"/>
  <c r="AH77" i="181"/>
  <c r="AI77" i="181" s="1"/>
  <c r="AH125" i="181"/>
  <c r="AI125" i="181" s="1"/>
  <c r="AH141" i="181"/>
  <c r="AI141" i="181" s="1"/>
  <c r="AH153" i="181"/>
  <c r="AI153" i="181" s="1"/>
  <c r="AH165" i="181"/>
  <c r="AI165" i="181" s="1"/>
  <c r="AH93" i="181"/>
  <c r="AI93" i="181" s="1"/>
  <c r="AH100" i="181"/>
  <c r="AI100" i="181" s="1"/>
  <c r="AH114" i="181"/>
  <c r="AI114" i="181" s="1"/>
  <c r="AH139" i="181"/>
  <c r="AI139" i="181" s="1"/>
  <c r="AH161" i="181"/>
  <c r="AI161" i="181" s="1"/>
  <c r="AH158" i="181"/>
  <c r="AI158" i="181" s="1"/>
  <c r="AH140" i="181"/>
  <c r="AI140" i="181" s="1"/>
  <c r="AH144" i="181"/>
  <c r="AI144" i="181" s="1"/>
  <c r="AH120" i="181"/>
  <c r="AI120" i="181" s="1"/>
  <c r="AH106" i="181"/>
  <c r="AI106" i="181" s="1"/>
  <c r="AH117" i="181"/>
  <c r="AI117" i="181" s="1"/>
  <c r="AH127" i="181"/>
  <c r="AI127" i="181" s="1"/>
  <c r="AH151" i="181"/>
  <c r="AI151" i="181" s="1"/>
  <c r="AH148" i="181"/>
  <c r="AI148" i="181" s="1"/>
  <c r="AH137" i="181"/>
  <c r="AI137" i="181" s="1"/>
  <c r="AH132" i="181"/>
  <c r="AI132" i="181" s="1"/>
  <c r="AH152" i="181"/>
  <c r="AI152" i="181" s="1"/>
  <c r="AH149" i="181"/>
  <c r="AI149" i="181" s="1"/>
  <c r="AH163" i="181"/>
  <c r="AI163" i="181" s="1"/>
  <c r="AH156" i="181"/>
  <c r="AI156" i="181" s="1"/>
  <c r="AH134" i="181"/>
  <c r="AI134" i="181" s="1"/>
  <c r="AH136" i="181"/>
  <c r="AI136" i="181" s="1"/>
  <c r="AH160" i="181"/>
  <c r="AI160" i="181" s="1"/>
  <c r="AH89" i="181"/>
  <c r="AI89" i="181" s="1"/>
  <c r="AH164" i="181"/>
  <c r="AI164" i="181" s="1"/>
  <c r="AH146" i="181"/>
  <c r="AI146" i="181" s="1"/>
  <c r="AI79" i="181"/>
  <c r="AI37" i="181"/>
  <c r="AI27" i="181"/>
  <c r="AI9" i="181"/>
  <c r="AI35" i="181"/>
  <c r="AI15" i="181"/>
  <c r="AI8" i="181"/>
  <c r="AI26" i="181"/>
  <c r="AI12" i="181"/>
  <c r="J39" i="179"/>
  <c r="J48" i="179"/>
  <c r="J162" i="179"/>
  <c r="J72" i="179"/>
  <c r="J10" i="179"/>
  <c r="J22" i="179"/>
  <c r="J34" i="179"/>
  <c r="J5" i="179"/>
  <c r="J17" i="179"/>
  <c r="J12" i="179"/>
  <c r="J24" i="179"/>
  <c r="J36" i="179"/>
  <c r="J9" i="179"/>
  <c r="J21" i="179"/>
  <c r="J33" i="179"/>
  <c r="J4" i="179"/>
  <c r="J16" i="179"/>
  <c r="J28" i="179"/>
  <c r="J6" i="179"/>
  <c r="J31" i="179"/>
  <c r="J42" i="179"/>
  <c r="J50" i="179"/>
  <c r="J27" i="179"/>
  <c r="J44" i="179"/>
  <c r="J11" i="179"/>
  <c r="J30" i="179"/>
  <c r="J38" i="179"/>
  <c r="J13" i="179"/>
  <c r="J19" i="179"/>
  <c r="J23" i="179"/>
  <c r="J46" i="179"/>
  <c r="J49" i="179"/>
  <c r="J25" i="179"/>
  <c r="J37" i="179"/>
  <c r="J51" i="179"/>
  <c r="J8" i="179"/>
  <c r="J63" i="179"/>
  <c r="J58" i="179"/>
  <c r="J70" i="179"/>
  <c r="J18" i="179"/>
  <c r="J47" i="179"/>
  <c r="J53" i="179"/>
  <c r="J65" i="179"/>
  <c r="J15" i="179"/>
  <c r="J60" i="179"/>
  <c r="J7" i="179"/>
  <c r="J26" i="179"/>
  <c r="J55" i="179"/>
  <c r="J67" i="179"/>
  <c r="J20" i="179"/>
  <c r="J29" i="179"/>
  <c r="J57" i="179"/>
  <c r="J69" i="179"/>
  <c r="J40" i="179"/>
  <c r="J41" i="179"/>
  <c r="J52" i="179"/>
  <c r="J64" i="179"/>
  <c r="J43" i="179"/>
  <c r="J45" i="179"/>
  <c r="J66" i="179"/>
  <c r="J73" i="179"/>
  <c r="J85" i="179"/>
  <c r="J56" i="179"/>
  <c r="J68" i="179"/>
  <c r="J80" i="179"/>
  <c r="J14" i="179"/>
  <c r="J32" i="179"/>
  <c r="J35" i="179"/>
  <c r="J59" i="179"/>
  <c r="J75" i="179"/>
  <c r="J87" i="179"/>
  <c r="J82" i="179"/>
  <c r="J77" i="179"/>
  <c r="J89" i="179"/>
  <c r="J79" i="179"/>
  <c r="J74" i="179"/>
  <c r="J86" i="179"/>
  <c r="J71" i="179"/>
  <c r="J81" i="179"/>
  <c r="J76" i="179"/>
  <c r="J88" i="179"/>
  <c r="J61" i="179"/>
  <c r="J84" i="179"/>
  <c r="J92" i="179"/>
  <c r="J104" i="179"/>
  <c r="J54" i="179"/>
  <c r="J99" i="179"/>
  <c r="J111" i="179"/>
  <c r="J78" i="179"/>
  <c r="J94" i="179"/>
  <c r="J106" i="179"/>
  <c r="J62" i="179"/>
  <c r="J101" i="179"/>
  <c r="J113" i="179"/>
  <c r="J83" i="179"/>
  <c r="J96" i="179"/>
  <c r="J108" i="179"/>
  <c r="J98" i="179"/>
  <c r="J110" i="179"/>
  <c r="J93" i="179"/>
  <c r="J105" i="179"/>
  <c r="J114" i="179"/>
  <c r="J115" i="179"/>
  <c r="J118" i="179"/>
  <c r="J130" i="179"/>
  <c r="J102" i="179"/>
  <c r="J103" i="179"/>
  <c r="J125" i="179"/>
  <c r="J91" i="179"/>
  <c r="J120" i="179"/>
  <c r="J132" i="179"/>
  <c r="J127" i="179"/>
  <c r="J122" i="179"/>
  <c r="J134" i="179"/>
  <c r="J95" i="179"/>
  <c r="J124" i="179"/>
  <c r="J119" i="179"/>
  <c r="J131" i="179"/>
  <c r="J90" i="179"/>
  <c r="J109" i="179"/>
  <c r="J126" i="179"/>
  <c r="J117" i="179"/>
  <c r="J140" i="179"/>
  <c r="J152" i="179"/>
  <c r="J97" i="179"/>
  <c r="J135" i="179"/>
  <c r="J147" i="179"/>
  <c r="J159" i="179"/>
  <c r="J100" i="179"/>
  <c r="J116" i="179"/>
  <c r="J142" i="179"/>
  <c r="J154" i="179"/>
  <c r="J123" i="179"/>
  <c r="J137" i="179"/>
  <c r="J149" i="179"/>
  <c r="J161" i="179"/>
  <c r="J129" i="179"/>
  <c r="J144" i="179"/>
  <c r="J156" i="179"/>
  <c r="J128" i="179"/>
  <c r="J146" i="179"/>
  <c r="J158" i="179"/>
  <c r="J141" i="179"/>
  <c r="J153" i="179"/>
  <c r="J107" i="179"/>
  <c r="J136" i="179"/>
  <c r="J148" i="179"/>
  <c r="J160" i="179"/>
  <c r="J139" i="179"/>
  <c r="J138" i="179"/>
  <c r="J145" i="179"/>
  <c r="J112" i="179"/>
  <c r="J121" i="179"/>
  <c r="J151" i="179"/>
  <c r="J150" i="179"/>
  <c r="J157" i="179"/>
  <c r="J133" i="179"/>
  <c r="J155" i="179"/>
  <c r="J3" i="179"/>
  <c r="J143" i="179"/>
  <c r="K1" i="179"/>
  <c r="T56" i="176"/>
  <c r="T57" i="176"/>
  <c r="T55" i="176"/>
  <c r="K39" i="179" l="1"/>
  <c r="K48" i="179"/>
  <c r="K162" i="179"/>
  <c r="K72" i="179"/>
  <c r="K15" i="179"/>
  <c r="K27" i="179"/>
  <c r="K10" i="179"/>
  <c r="K22" i="179"/>
  <c r="K5" i="179"/>
  <c r="K17" i="179"/>
  <c r="K29" i="179"/>
  <c r="K14" i="179"/>
  <c r="K26" i="179"/>
  <c r="K9" i="179"/>
  <c r="K21" i="179"/>
  <c r="K33" i="179"/>
  <c r="K4" i="179"/>
  <c r="K8" i="179"/>
  <c r="K20" i="179"/>
  <c r="K24" i="179"/>
  <c r="K47" i="179"/>
  <c r="K31" i="179"/>
  <c r="K42" i="179"/>
  <c r="K50" i="179"/>
  <c r="K34" i="179"/>
  <c r="K44" i="179"/>
  <c r="K6" i="179"/>
  <c r="K11" i="179"/>
  <c r="K30" i="179"/>
  <c r="K38" i="179"/>
  <c r="K41" i="179"/>
  <c r="K7" i="179"/>
  <c r="K36" i="179"/>
  <c r="K43" i="179"/>
  <c r="K13" i="179"/>
  <c r="K45" i="179"/>
  <c r="K46" i="179"/>
  <c r="K56" i="179"/>
  <c r="K68" i="179"/>
  <c r="K63" i="179"/>
  <c r="K49" i="179"/>
  <c r="K58" i="179"/>
  <c r="K18" i="179"/>
  <c r="K23" i="179"/>
  <c r="K53" i="179"/>
  <c r="K65" i="179"/>
  <c r="K51" i="179"/>
  <c r="K60" i="179"/>
  <c r="K62" i="179"/>
  <c r="K57" i="179"/>
  <c r="K78" i="179"/>
  <c r="K90" i="179"/>
  <c r="K25" i="179"/>
  <c r="K28" i="179"/>
  <c r="K66" i="179"/>
  <c r="K70" i="179"/>
  <c r="K73" i="179"/>
  <c r="K85" i="179"/>
  <c r="K80" i="179"/>
  <c r="K32" i="179"/>
  <c r="K35" i="179"/>
  <c r="K59" i="179"/>
  <c r="K75" i="179"/>
  <c r="K87" i="179"/>
  <c r="K82" i="179"/>
  <c r="K19" i="179"/>
  <c r="K61" i="179"/>
  <c r="K67" i="179"/>
  <c r="K69" i="179"/>
  <c r="K84" i="179"/>
  <c r="K64" i="179"/>
  <c r="K79" i="179"/>
  <c r="K12" i="179"/>
  <c r="K40" i="179"/>
  <c r="K52" i="179"/>
  <c r="K74" i="179"/>
  <c r="K86" i="179"/>
  <c r="K37" i="179"/>
  <c r="K71" i="179"/>
  <c r="K81" i="179"/>
  <c r="K97" i="179"/>
  <c r="K109" i="179"/>
  <c r="K92" i="179"/>
  <c r="K104" i="179"/>
  <c r="K54" i="179"/>
  <c r="K99" i="179"/>
  <c r="K111" i="179"/>
  <c r="K89" i="179"/>
  <c r="K94" i="179"/>
  <c r="K106" i="179"/>
  <c r="K101" i="179"/>
  <c r="K113" i="179"/>
  <c r="K77" i="179"/>
  <c r="K91" i="179"/>
  <c r="K103" i="179"/>
  <c r="K115" i="179"/>
  <c r="K16" i="179"/>
  <c r="K88" i="179"/>
  <c r="K98" i="179"/>
  <c r="K110" i="179"/>
  <c r="K123" i="179"/>
  <c r="K114" i="179"/>
  <c r="K118" i="179"/>
  <c r="K130" i="179"/>
  <c r="K102" i="179"/>
  <c r="K125" i="179"/>
  <c r="K105" i="179"/>
  <c r="K120" i="179"/>
  <c r="K132" i="179"/>
  <c r="K93" i="179"/>
  <c r="K127" i="179"/>
  <c r="K107" i="179"/>
  <c r="K108" i="179"/>
  <c r="K117" i="179"/>
  <c r="K129" i="179"/>
  <c r="K95" i="179"/>
  <c r="K96" i="179"/>
  <c r="K124" i="179"/>
  <c r="K55" i="179"/>
  <c r="K83" i="179"/>
  <c r="K119" i="179"/>
  <c r="K131" i="179"/>
  <c r="K145" i="179"/>
  <c r="K157" i="179"/>
  <c r="K140" i="179"/>
  <c r="K152" i="179"/>
  <c r="K135" i="179"/>
  <c r="K147" i="179"/>
  <c r="K159" i="179"/>
  <c r="K100" i="179"/>
  <c r="K116" i="179"/>
  <c r="K142" i="179"/>
  <c r="K154" i="179"/>
  <c r="K122" i="179"/>
  <c r="K137" i="179"/>
  <c r="K149" i="179"/>
  <c r="K161" i="179"/>
  <c r="K76" i="179"/>
  <c r="K112" i="179"/>
  <c r="K121" i="179"/>
  <c r="K139" i="179"/>
  <c r="K151" i="179"/>
  <c r="K128" i="179"/>
  <c r="K146" i="179"/>
  <c r="K158" i="179"/>
  <c r="K134" i="179"/>
  <c r="K141" i="179"/>
  <c r="K153" i="179"/>
  <c r="K160" i="179"/>
  <c r="K138" i="179"/>
  <c r="K144" i="179"/>
  <c r="K143" i="179"/>
  <c r="K150" i="179"/>
  <c r="K126" i="179"/>
  <c r="K156" i="179"/>
  <c r="K136" i="179"/>
  <c r="K148" i="179"/>
  <c r="K155" i="179"/>
  <c r="K3" i="179"/>
  <c r="K133" i="179"/>
  <c r="L1" i="179"/>
  <c r="T50" i="176"/>
  <c r="T51" i="176"/>
  <c r="T54" i="176"/>
  <c r="T63" i="176"/>
  <c r="T61" i="176"/>
  <c r="T62" i="176"/>
  <c r="L39" i="179" l="1"/>
  <c r="L48" i="179"/>
  <c r="L162" i="179"/>
  <c r="L72" i="179"/>
  <c r="L8" i="179"/>
  <c r="L20" i="179"/>
  <c r="L32" i="179"/>
  <c r="L15" i="179"/>
  <c r="L10" i="179"/>
  <c r="L22" i="179"/>
  <c r="L34" i="179"/>
  <c r="L7" i="179"/>
  <c r="L19" i="179"/>
  <c r="L31" i="179"/>
  <c r="L14" i="179"/>
  <c r="L26" i="179"/>
  <c r="L4" i="179"/>
  <c r="L18" i="179"/>
  <c r="L35" i="179"/>
  <c r="L40" i="179"/>
  <c r="L5" i="179"/>
  <c r="L24" i="179"/>
  <c r="L47" i="179"/>
  <c r="L42" i="179"/>
  <c r="L27" i="179"/>
  <c r="L50" i="179"/>
  <c r="L9" i="179"/>
  <c r="L44" i="179"/>
  <c r="L13" i="179"/>
  <c r="L23" i="179"/>
  <c r="L33" i="179"/>
  <c r="L46" i="179"/>
  <c r="L29" i="179"/>
  <c r="L49" i="179"/>
  <c r="L16" i="179"/>
  <c r="L21" i="179"/>
  <c r="L61" i="179"/>
  <c r="L45" i="179"/>
  <c r="L56" i="179"/>
  <c r="L68" i="179"/>
  <c r="L63" i="179"/>
  <c r="L30" i="179"/>
  <c r="L58" i="179"/>
  <c r="L70" i="179"/>
  <c r="L53" i="179"/>
  <c r="L65" i="179"/>
  <c r="L12" i="179"/>
  <c r="L17" i="179"/>
  <c r="L37" i="179"/>
  <c r="L38" i="179"/>
  <c r="L55" i="179"/>
  <c r="L67" i="179"/>
  <c r="L36" i="179"/>
  <c r="L62" i="179"/>
  <c r="L54" i="179"/>
  <c r="L83" i="179"/>
  <c r="L41" i="179"/>
  <c r="L43" i="179"/>
  <c r="L57" i="179"/>
  <c r="L78" i="179"/>
  <c r="L90" i="179"/>
  <c r="L25" i="179"/>
  <c r="L28" i="179"/>
  <c r="L51" i="179"/>
  <c r="L66" i="179"/>
  <c r="L73" i="179"/>
  <c r="L85" i="179"/>
  <c r="L6" i="179"/>
  <c r="L80" i="179"/>
  <c r="L59" i="179"/>
  <c r="L60" i="179"/>
  <c r="L75" i="179"/>
  <c r="L87" i="179"/>
  <c r="L77" i="179"/>
  <c r="L89" i="179"/>
  <c r="L69" i="179"/>
  <c r="L84" i="179"/>
  <c r="L64" i="179"/>
  <c r="L79" i="179"/>
  <c r="L52" i="179"/>
  <c r="L74" i="179"/>
  <c r="L86" i="179"/>
  <c r="L102" i="179"/>
  <c r="L114" i="179"/>
  <c r="L81" i="179"/>
  <c r="L97" i="179"/>
  <c r="L109" i="179"/>
  <c r="L92" i="179"/>
  <c r="L104" i="179"/>
  <c r="L11" i="179"/>
  <c r="L99" i="179"/>
  <c r="L111" i="179"/>
  <c r="L71" i="179"/>
  <c r="L94" i="179"/>
  <c r="L106" i="179"/>
  <c r="L96" i="179"/>
  <c r="L108" i="179"/>
  <c r="L91" i="179"/>
  <c r="L103" i="179"/>
  <c r="L115" i="179"/>
  <c r="L88" i="179"/>
  <c r="L100" i="179"/>
  <c r="L101" i="179"/>
  <c r="L116" i="179"/>
  <c r="L128" i="179"/>
  <c r="L123" i="179"/>
  <c r="L118" i="179"/>
  <c r="L130" i="179"/>
  <c r="L125" i="179"/>
  <c r="L105" i="179"/>
  <c r="L120" i="179"/>
  <c r="L132" i="179"/>
  <c r="L122" i="179"/>
  <c r="L134" i="179"/>
  <c r="L107" i="179"/>
  <c r="L117" i="179"/>
  <c r="L129" i="179"/>
  <c r="L95" i="179"/>
  <c r="L110" i="179"/>
  <c r="L124" i="179"/>
  <c r="L82" i="179"/>
  <c r="L138" i="179"/>
  <c r="L150" i="179"/>
  <c r="L131" i="179"/>
  <c r="L145" i="179"/>
  <c r="L157" i="179"/>
  <c r="L140" i="179"/>
  <c r="L152" i="179"/>
  <c r="L135" i="179"/>
  <c r="L147" i="179"/>
  <c r="L159" i="179"/>
  <c r="L142" i="179"/>
  <c r="L154" i="179"/>
  <c r="L144" i="179"/>
  <c r="L156" i="179"/>
  <c r="L76" i="179"/>
  <c r="L112" i="179"/>
  <c r="L121" i="179"/>
  <c r="L139" i="179"/>
  <c r="L151" i="179"/>
  <c r="L93" i="179"/>
  <c r="L127" i="179"/>
  <c r="L146" i="179"/>
  <c r="L158" i="179"/>
  <c r="L161" i="179"/>
  <c r="L153" i="179"/>
  <c r="L160" i="179"/>
  <c r="L137" i="179"/>
  <c r="L136" i="179"/>
  <c r="L113" i="179"/>
  <c r="L143" i="179"/>
  <c r="L119" i="179"/>
  <c r="L141" i="179"/>
  <c r="L98" i="179"/>
  <c r="L149" i="179"/>
  <c r="L155" i="179"/>
  <c r="L126" i="179"/>
  <c r="L148" i="179"/>
  <c r="L3" i="179"/>
  <c r="L133" i="179"/>
  <c r="M1" i="179"/>
  <c r="T49" i="176"/>
  <c r="M39" i="179" l="1"/>
  <c r="M48" i="179"/>
  <c r="M162" i="179"/>
  <c r="M72" i="179"/>
  <c r="M13" i="179"/>
  <c r="M25" i="179"/>
  <c r="M8" i="179"/>
  <c r="M20" i="179"/>
  <c r="M15" i="179"/>
  <c r="M27" i="179"/>
  <c r="M12" i="179"/>
  <c r="M24" i="179"/>
  <c r="M36" i="179"/>
  <c r="M7" i="179"/>
  <c r="M19" i="179"/>
  <c r="M31" i="179"/>
  <c r="M4" i="179"/>
  <c r="M16" i="179"/>
  <c r="M22" i="179"/>
  <c r="M28" i="179"/>
  <c r="M45" i="179"/>
  <c r="M18" i="179"/>
  <c r="M35" i="179"/>
  <c r="M40" i="179"/>
  <c r="M5" i="179"/>
  <c r="M47" i="179"/>
  <c r="M42" i="179"/>
  <c r="M34" i="179"/>
  <c r="M50" i="179"/>
  <c r="M6" i="179"/>
  <c r="M11" i="179"/>
  <c r="M17" i="179"/>
  <c r="M21" i="179"/>
  <c r="M26" i="179"/>
  <c r="M30" i="179"/>
  <c r="M38" i="179"/>
  <c r="M41" i="179"/>
  <c r="M54" i="179"/>
  <c r="M66" i="179"/>
  <c r="M46" i="179"/>
  <c r="M61" i="179"/>
  <c r="M56" i="179"/>
  <c r="M10" i="179"/>
  <c r="M49" i="179"/>
  <c r="M63" i="179"/>
  <c r="M23" i="179"/>
  <c r="M58" i="179"/>
  <c r="M70" i="179"/>
  <c r="M9" i="179"/>
  <c r="M51" i="179"/>
  <c r="M60" i="179"/>
  <c r="M29" i="179"/>
  <c r="M37" i="179"/>
  <c r="M55" i="179"/>
  <c r="M76" i="179"/>
  <c r="M88" i="179"/>
  <c r="M83" i="179"/>
  <c r="M43" i="179"/>
  <c r="M57" i="179"/>
  <c r="M68" i="179"/>
  <c r="M78" i="179"/>
  <c r="M90" i="179"/>
  <c r="M14" i="179"/>
  <c r="M73" i="179"/>
  <c r="M85" i="179"/>
  <c r="M32" i="179"/>
  <c r="M80" i="179"/>
  <c r="M33" i="179"/>
  <c r="M62" i="179"/>
  <c r="M82" i="179"/>
  <c r="M44" i="179"/>
  <c r="M67" i="179"/>
  <c r="M77" i="179"/>
  <c r="M89" i="179"/>
  <c r="M69" i="179"/>
  <c r="M84" i="179"/>
  <c r="M64" i="179"/>
  <c r="M65" i="179"/>
  <c r="M79" i="179"/>
  <c r="M87" i="179"/>
  <c r="M95" i="179"/>
  <c r="M107" i="179"/>
  <c r="M102" i="179"/>
  <c r="M114" i="179"/>
  <c r="M81" i="179"/>
  <c r="M97" i="179"/>
  <c r="M109" i="179"/>
  <c r="M75" i="179"/>
  <c r="M92" i="179"/>
  <c r="M104" i="179"/>
  <c r="M86" i="179"/>
  <c r="M99" i="179"/>
  <c r="M111" i="179"/>
  <c r="M59" i="179"/>
  <c r="M101" i="179"/>
  <c r="M113" i="179"/>
  <c r="M52" i="179"/>
  <c r="M74" i="179"/>
  <c r="M96" i="179"/>
  <c r="M108" i="179"/>
  <c r="M112" i="179"/>
  <c r="M121" i="179"/>
  <c r="M133" i="179"/>
  <c r="M100" i="179"/>
  <c r="M115" i="179"/>
  <c r="M116" i="179"/>
  <c r="M128" i="179"/>
  <c r="M103" i="179"/>
  <c r="M123" i="179"/>
  <c r="M91" i="179"/>
  <c r="M118" i="179"/>
  <c r="M130" i="179"/>
  <c r="M125" i="179"/>
  <c r="M53" i="179"/>
  <c r="M93" i="179"/>
  <c r="M94" i="179"/>
  <c r="M127" i="179"/>
  <c r="M122" i="179"/>
  <c r="M134" i="179"/>
  <c r="M117" i="179"/>
  <c r="M129" i="179"/>
  <c r="M105" i="179"/>
  <c r="M132" i="179"/>
  <c r="M143" i="179"/>
  <c r="M155" i="179"/>
  <c r="M71" i="179"/>
  <c r="M124" i="179"/>
  <c r="M138" i="179"/>
  <c r="M150" i="179"/>
  <c r="M131" i="179"/>
  <c r="M145" i="179"/>
  <c r="M157" i="179"/>
  <c r="M140" i="179"/>
  <c r="M152" i="179"/>
  <c r="M106" i="179"/>
  <c r="M135" i="179"/>
  <c r="M147" i="179"/>
  <c r="M159" i="179"/>
  <c r="M98" i="179"/>
  <c r="M137" i="179"/>
  <c r="M149" i="179"/>
  <c r="M161" i="179"/>
  <c r="M144" i="179"/>
  <c r="M156" i="179"/>
  <c r="M120" i="179"/>
  <c r="M139" i="179"/>
  <c r="M151" i="179"/>
  <c r="M154" i="179"/>
  <c r="M3" i="179"/>
  <c r="M110" i="179"/>
  <c r="M146" i="179"/>
  <c r="M153" i="179"/>
  <c r="M160" i="179"/>
  <c r="M136" i="179"/>
  <c r="M142" i="179"/>
  <c r="M158" i="179"/>
  <c r="M148" i="179"/>
  <c r="M126" i="179"/>
  <c r="M141" i="179"/>
  <c r="M119" i="179"/>
  <c r="N1" i="179"/>
  <c r="T43" i="176"/>
  <c r="T44" i="176"/>
  <c r="T45" i="176"/>
  <c r="T46" i="176"/>
  <c r="T47" i="176"/>
  <c r="T48" i="176"/>
  <c r="N39" i="179" l="1"/>
  <c r="N48" i="179"/>
  <c r="N162" i="179"/>
  <c r="N72" i="179"/>
  <c r="N6" i="179"/>
  <c r="N18" i="179"/>
  <c r="N30" i="179"/>
  <c r="N13" i="179"/>
  <c r="N8" i="179"/>
  <c r="N20" i="179"/>
  <c r="N32" i="179"/>
  <c r="N5" i="179"/>
  <c r="N17" i="179"/>
  <c r="N29" i="179"/>
  <c r="N12" i="179"/>
  <c r="N24" i="179"/>
  <c r="N36" i="179"/>
  <c r="N4" i="179"/>
  <c r="N10" i="179"/>
  <c r="N14" i="179"/>
  <c r="N37" i="179"/>
  <c r="N51" i="179"/>
  <c r="N16" i="179"/>
  <c r="N22" i="179"/>
  <c r="N28" i="179"/>
  <c r="N45" i="179"/>
  <c r="N31" i="179"/>
  <c r="N35" i="179"/>
  <c r="N40" i="179"/>
  <c r="N47" i="179"/>
  <c r="N27" i="179"/>
  <c r="N42" i="179"/>
  <c r="N9" i="179"/>
  <c r="N15" i="179"/>
  <c r="N19" i="179"/>
  <c r="N44" i="179"/>
  <c r="N23" i="179"/>
  <c r="N33" i="179"/>
  <c r="N46" i="179"/>
  <c r="N43" i="179"/>
  <c r="N59" i="179"/>
  <c r="N71" i="179"/>
  <c r="N21" i="179"/>
  <c r="N54" i="179"/>
  <c r="N66" i="179"/>
  <c r="N34" i="179"/>
  <c r="N61" i="179"/>
  <c r="N56" i="179"/>
  <c r="N68" i="179"/>
  <c r="N49" i="179"/>
  <c r="N50" i="179"/>
  <c r="N63" i="179"/>
  <c r="N53" i="179"/>
  <c r="N65" i="179"/>
  <c r="N38" i="179"/>
  <c r="N60" i="179"/>
  <c r="N55" i="179"/>
  <c r="N81" i="179"/>
  <c r="N76" i="179"/>
  <c r="N88" i="179"/>
  <c r="N41" i="179"/>
  <c r="N70" i="179"/>
  <c r="N83" i="179"/>
  <c r="N25" i="179"/>
  <c r="N57" i="179"/>
  <c r="N58" i="179"/>
  <c r="N78" i="179"/>
  <c r="N90" i="179"/>
  <c r="N73" i="179"/>
  <c r="N85" i="179"/>
  <c r="N11" i="179"/>
  <c r="N75" i="179"/>
  <c r="N87" i="179"/>
  <c r="N62" i="179"/>
  <c r="N82" i="179"/>
  <c r="N67" i="179"/>
  <c r="N77" i="179"/>
  <c r="N89" i="179"/>
  <c r="N69" i="179"/>
  <c r="N84" i="179"/>
  <c r="N7" i="179"/>
  <c r="N100" i="179"/>
  <c r="N112" i="179"/>
  <c r="N95" i="179"/>
  <c r="N107" i="179"/>
  <c r="N102" i="179"/>
  <c r="N114" i="179"/>
  <c r="N26" i="179"/>
  <c r="N97" i="179"/>
  <c r="N109" i="179"/>
  <c r="N92" i="179"/>
  <c r="N104" i="179"/>
  <c r="N80" i="179"/>
  <c r="N94" i="179"/>
  <c r="N106" i="179"/>
  <c r="N101" i="179"/>
  <c r="N113" i="179"/>
  <c r="N126" i="179"/>
  <c r="N121" i="179"/>
  <c r="N133" i="179"/>
  <c r="N115" i="179"/>
  <c r="N116" i="179"/>
  <c r="N128" i="179"/>
  <c r="N74" i="179"/>
  <c r="N103" i="179"/>
  <c r="N123" i="179"/>
  <c r="N52" i="179"/>
  <c r="N91" i="179"/>
  <c r="N118" i="179"/>
  <c r="N130" i="179"/>
  <c r="N86" i="179"/>
  <c r="N105" i="179"/>
  <c r="N120" i="179"/>
  <c r="N132" i="179"/>
  <c r="N93" i="179"/>
  <c r="N108" i="179"/>
  <c r="N127" i="179"/>
  <c r="N79" i="179"/>
  <c r="N96" i="179"/>
  <c r="N122" i="179"/>
  <c r="N134" i="179"/>
  <c r="N125" i="179"/>
  <c r="N136" i="179"/>
  <c r="N148" i="179"/>
  <c r="N160" i="179"/>
  <c r="N117" i="179"/>
  <c r="N143" i="179"/>
  <c r="N155" i="179"/>
  <c r="N111" i="179"/>
  <c r="N124" i="179"/>
  <c r="N138" i="179"/>
  <c r="N150" i="179"/>
  <c r="N131" i="179"/>
  <c r="N145" i="179"/>
  <c r="N157" i="179"/>
  <c r="N140" i="179"/>
  <c r="N152" i="179"/>
  <c r="N142" i="179"/>
  <c r="N154" i="179"/>
  <c r="N98" i="179"/>
  <c r="N137" i="179"/>
  <c r="N149" i="179"/>
  <c r="N161" i="179"/>
  <c r="N144" i="179"/>
  <c r="N156" i="179"/>
  <c r="N147" i="179"/>
  <c r="N64" i="179"/>
  <c r="N139" i="179"/>
  <c r="N3" i="179"/>
  <c r="N110" i="179"/>
  <c r="N146" i="179"/>
  <c r="N153" i="179"/>
  <c r="N159" i="179"/>
  <c r="N158" i="179"/>
  <c r="N129" i="179"/>
  <c r="N135" i="179"/>
  <c r="N151" i="179"/>
  <c r="N141" i="179"/>
  <c r="N99" i="179"/>
  <c r="N119" i="179"/>
  <c r="O1" i="179"/>
  <c r="T34" i="176"/>
  <c r="T35" i="176"/>
  <c r="T36" i="176"/>
  <c r="T37" i="176"/>
  <c r="T38" i="176"/>
  <c r="T39" i="176"/>
  <c r="T40" i="176"/>
  <c r="T41" i="176"/>
  <c r="T42" i="176"/>
  <c r="T52" i="176"/>
  <c r="O39" i="179" l="1"/>
  <c r="O48" i="179"/>
  <c r="O162" i="179"/>
  <c r="O72" i="179"/>
  <c r="O11" i="179"/>
  <c r="O23" i="179"/>
  <c r="O35" i="179"/>
  <c r="O6" i="179"/>
  <c r="O18" i="179"/>
  <c r="O13" i="179"/>
  <c r="O25" i="179"/>
  <c r="O10" i="179"/>
  <c r="O22" i="179"/>
  <c r="O34" i="179"/>
  <c r="O5" i="179"/>
  <c r="O17" i="179"/>
  <c r="O29" i="179"/>
  <c r="O7" i="179"/>
  <c r="O4" i="179"/>
  <c r="O12" i="179"/>
  <c r="O32" i="179"/>
  <c r="O43" i="179"/>
  <c r="O8" i="179"/>
  <c r="O14" i="179"/>
  <c r="O20" i="179"/>
  <c r="O37" i="179"/>
  <c r="O51" i="179"/>
  <c r="O16" i="179"/>
  <c r="O24" i="179"/>
  <c r="O28" i="179"/>
  <c r="O45" i="179"/>
  <c r="O31" i="179"/>
  <c r="O40" i="179"/>
  <c r="O47" i="179"/>
  <c r="O50" i="179"/>
  <c r="O21" i="179"/>
  <c r="O26" i="179"/>
  <c r="O38" i="179"/>
  <c r="O44" i="179"/>
  <c r="O52" i="179"/>
  <c r="O64" i="179"/>
  <c r="O59" i="179"/>
  <c r="O71" i="179"/>
  <c r="O27" i="179"/>
  <c r="O46" i="179"/>
  <c r="O54" i="179"/>
  <c r="O61" i="179"/>
  <c r="O15" i="179"/>
  <c r="O30" i="179"/>
  <c r="O56" i="179"/>
  <c r="O68" i="179"/>
  <c r="O33" i="179"/>
  <c r="O58" i="179"/>
  <c r="O70" i="179"/>
  <c r="O9" i="179"/>
  <c r="O53" i="179"/>
  <c r="O65" i="179"/>
  <c r="O74" i="179"/>
  <c r="O86" i="179"/>
  <c r="O55" i="179"/>
  <c r="O81" i="179"/>
  <c r="O76" i="179"/>
  <c r="O88" i="179"/>
  <c r="O41" i="179"/>
  <c r="O66" i="179"/>
  <c r="O83" i="179"/>
  <c r="O49" i="179"/>
  <c r="O57" i="179"/>
  <c r="O78" i="179"/>
  <c r="O90" i="179"/>
  <c r="O80" i="179"/>
  <c r="O19" i="179"/>
  <c r="O75" i="179"/>
  <c r="O87" i="179"/>
  <c r="O42" i="179"/>
  <c r="O62" i="179"/>
  <c r="O63" i="179"/>
  <c r="O82" i="179"/>
  <c r="O67" i="179"/>
  <c r="O77" i="179"/>
  <c r="O89" i="179"/>
  <c r="O36" i="179"/>
  <c r="O73" i="179"/>
  <c r="O93" i="179"/>
  <c r="O105" i="179"/>
  <c r="O84" i="179"/>
  <c r="O100" i="179"/>
  <c r="O112" i="179"/>
  <c r="O95" i="179"/>
  <c r="O107" i="179"/>
  <c r="O102" i="179"/>
  <c r="O114" i="179"/>
  <c r="O97" i="179"/>
  <c r="O109" i="179"/>
  <c r="O99" i="179"/>
  <c r="O111" i="179"/>
  <c r="O69" i="179"/>
  <c r="O94" i="179"/>
  <c r="O106" i="179"/>
  <c r="O98" i="179"/>
  <c r="O113" i="179"/>
  <c r="O119" i="179"/>
  <c r="O131" i="179"/>
  <c r="O101" i="179"/>
  <c r="O126" i="179"/>
  <c r="O121" i="179"/>
  <c r="O133" i="179"/>
  <c r="O60" i="179"/>
  <c r="O85" i="179"/>
  <c r="O115" i="179"/>
  <c r="O116" i="179"/>
  <c r="O128" i="179"/>
  <c r="O103" i="179"/>
  <c r="O104" i="179"/>
  <c r="O123" i="179"/>
  <c r="O125" i="179"/>
  <c r="O120" i="179"/>
  <c r="O132" i="179"/>
  <c r="O108" i="179"/>
  <c r="O127" i="179"/>
  <c r="O91" i="179"/>
  <c r="O118" i="179"/>
  <c r="O141" i="179"/>
  <c r="O153" i="179"/>
  <c r="O136" i="179"/>
  <c r="O148" i="179"/>
  <c r="O160" i="179"/>
  <c r="O117" i="179"/>
  <c r="O143" i="179"/>
  <c r="O155" i="179"/>
  <c r="O124" i="179"/>
  <c r="O138" i="179"/>
  <c r="O150" i="179"/>
  <c r="O92" i="179"/>
  <c r="O130" i="179"/>
  <c r="O145" i="179"/>
  <c r="O157" i="179"/>
  <c r="O129" i="179"/>
  <c r="O135" i="179"/>
  <c r="O147" i="179"/>
  <c r="O159" i="179"/>
  <c r="O142" i="179"/>
  <c r="O154" i="179"/>
  <c r="O137" i="179"/>
  <c r="O149" i="179"/>
  <c r="O161" i="179"/>
  <c r="O140" i="179"/>
  <c r="O134" i="179"/>
  <c r="O139" i="179"/>
  <c r="O3" i="179"/>
  <c r="O110" i="179"/>
  <c r="O146" i="179"/>
  <c r="O152" i="179"/>
  <c r="O79" i="179"/>
  <c r="O96" i="179"/>
  <c r="O151" i="179"/>
  <c r="O158" i="179"/>
  <c r="O122" i="179"/>
  <c r="O156" i="179"/>
  <c r="O144" i="179"/>
  <c r="P1" i="179"/>
  <c r="T53" i="176"/>
  <c r="P39" i="179" l="1"/>
  <c r="P48" i="179"/>
  <c r="P162" i="179"/>
  <c r="P72" i="179"/>
  <c r="P4" i="179"/>
  <c r="P16" i="179"/>
  <c r="P28" i="179"/>
  <c r="P11" i="179"/>
  <c r="P23" i="179"/>
  <c r="P6" i="179"/>
  <c r="P18" i="179"/>
  <c r="P30" i="179"/>
  <c r="P15" i="179"/>
  <c r="P27" i="179"/>
  <c r="P10" i="179"/>
  <c r="P22" i="179"/>
  <c r="P34" i="179"/>
  <c r="P25" i="179"/>
  <c r="P49" i="179"/>
  <c r="P12" i="179"/>
  <c r="P32" i="179"/>
  <c r="P43" i="179"/>
  <c r="P8" i="179"/>
  <c r="P14" i="179"/>
  <c r="P20" i="179"/>
  <c r="P37" i="179"/>
  <c r="P51" i="179"/>
  <c r="P5" i="179"/>
  <c r="P24" i="179"/>
  <c r="P35" i="179"/>
  <c r="P45" i="179"/>
  <c r="P31" i="179"/>
  <c r="P40" i="179"/>
  <c r="P42" i="179"/>
  <c r="P9" i="179"/>
  <c r="P19" i="179"/>
  <c r="P44" i="179"/>
  <c r="P57" i="179"/>
  <c r="P69" i="179"/>
  <c r="P13" i="179"/>
  <c r="P52" i="179"/>
  <c r="P64" i="179"/>
  <c r="P21" i="179"/>
  <c r="P59" i="179"/>
  <c r="P46" i="179"/>
  <c r="P47" i="179"/>
  <c r="P54" i="179"/>
  <c r="P66" i="179"/>
  <c r="P61" i="179"/>
  <c r="P7" i="179"/>
  <c r="P26" i="179"/>
  <c r="P63" i="179"/>
  <c r="P17" i="179"/>
  <c r="P33" i="179"/>
  <c r="P58" i="179"/>
  <c r="P71" i="179"/>
  <c r="P79" i="179"/>
  <c r="P74" i="179"/>
  <c r="P86" i="179"/>
  <c r="P55" i="179"/>
  <c r="P56" i="179"/>
  <c r="P81" i="179"/>
  <c r="P38" i="179"/>
  <c r="P68" i="179"/>
  <c r="P70" i="179"/>
  <c r="P76" i="179"/>
  <c r="P88" i="179"/>
  <c r="P29" i="179"/>
  <c r="P41" i="179"/>
  <c r="P83" i="179"/>
  <c r="P36" i="179"/>
  <c r="P60" i="179"/>
  <c r="P73" i="179"/>
  <c r="P85" i="179"/>
  <c r="P80" i="179"/>
  <c r="P75" i="179"/>
  <c r="P87" i="179"/>
  <c r="P50" i="179"/>
  <c r="P62" i="179"/>
  <c r="P82" i="179"/>
  <c r="P90" i="179"/>
  <c r="P98" i="179"/>
  <c r="P110" i="179"/>
  <c r="P65" i="179"/>
  <c r="P93" i="179"/>
  <c r="P105" i="179"/>
  <c r="P84" i="179"/>
  <c r="P100" i="179"/>
  <c r="P112" i="179"/>
  <c r="P78" i="179"/>
  <c r="P95" i="179"/>
  <c r="P107" i="179"/>
  <c r="P89" i="179"/>
  <c r="P102" i="179"/>
  <c r="P114" i="179"/>
  <c r="P92" i="179"/>
  <c r="P104" i="179"/>
  <c r="P77" i="179"/>
  <c r="P99" i="179"/>
  <c r="P111" i="179"/>
  <c r="P124" i="179"/>
  <c r="P113" i="179"/>
  <c r="P119" i="179"/>
  <c r="P131" i="179"/>
  <c r="P67" i="179"/>
  <c r="P101" i="179"/>
  <c r="P126" i="179"/>
  <c r="P121" i="179"/>
  <c r="P133" i="179"/>
  <c r="P115" i="179"/>
  <c r="P116" i="179"/>
  <c r="P128" i="179"/>
  <c r="P91" i="179"/>
  <c r="P106" i="179"/>
  <c r="P118" i="179"/>
  <c r="P130" i="179"/>
  <c r="P53" i="179"/>
  <c r="P94" i="179"/>
  <c r="P125" i="179"/>
  <c r="P120" i="179"/>
  <c r="P132" i="179"/>
  <c r="P146" i="179"/>
  <c r="P158" i="179"/>
  <c r="P108" i="179"/>
  <c r="P141" i="179"/>
  <c r="P153" i="179"/>
  <c r="P97" i="179"/>
  <c r="P136" i="179"/>
  <c r="P148" i="179"/>
  <c r="P160" i="179"/>
  <c r="P117" i="179"/>
  <c r="P143" i="179"/>
  <c r="P155" i="179"/>
  <c r="P103" i="179"/>
  <c r="P123" i="179"/>
  <c r="P138" i="179"/>
  <c r="P150" i="179"/>
  <c r="P122" i="179"/>
  <c r="P140" i="179"/>
  <c r="P152" i="179"/>
  <c r="P129" i="179"/>
  <c r="P135" i="179"/>
  <c r="P147" i="179"/>
  <c r="P159" i="179"/>
  <c r="P142" i="179"/>
  <c r="P154" i="179"/>
  <c r="P109" i="179"/>
  <c r="P127" i="179"/>
  <c r="P161" i="179"/>
  <c r="P134" i="179"/>
  <c r="P139" i="179"/>
  <c r="P145" i="179"/>
  <c r="P96" i="179"/>
  <c r="P144" i="179"/>
  <c r="P151" i="179"/>
  <c r="P157" i="179"/>
  <c r="P149" i="179"/>
  <c r="P137" i="179"/>
  <c r="P156" i="179"/>
  <c r="P3" i="179"/>
  <c r="Q1" i="179"/>
  <c r="T30" i="176"/>
  <c r="T31" i="176"/>
  <c r="T32" i="176"/>
  <c r="T33" i="176"/>
  <c r="Q39" i="179" l="1"/>
  <c r="Q48" i="179"/>
  <c r="Q162" i="179"/>
  <c r="Q72" i="179"/>
  <c r="Q9" i="179"/>
  <c r="Q21" i="179"/>
  <c r="Q33" i="179"/>
  <c r="Q4" i="179"/>
  <c r="Q16" i="179"/>
  <c r="Q11" i="179"/>
  <c r="Q23" i="179"/>
  <c r="Q35" i="179"/>
  <c r="Q8" i="179"/>
  <c r="Q20" i="179"/>
  <c r="Q32" i="179"/>
  <c r="Q15" i="179"/>
  <c r="Q27" i="179"/>
  <c r="Q5" i="179"/>
  <c r="Q36" i="179"/>
  <c r="Q41" i="179"/>
  <c r="Q10" i="179"/>
  <c r="Q25" i="179"/>
  <c r="Q49" i="179"/>
  <c r="Q12" i="179"/>
  <c r="Q18" i="179"/>
  <c r="Q22" i="179"/>
  <c r="Q43" i="179"/>
  <c r="Q14" i="179"/>
  <c r="Q28" i="179"/>
  <c r="Q37" i="179"/>
  <c r="Q51" i="179"/>
  <c r="Q24" i="179"/>
  <c r="Q45" i="179"/>
  <c r="Q34" i="179"/>
  <c r="Q47" i="179"/>
  <c r="Q13" i="179"/>
  <c r="Q17" i="179"/>
  <c r="Q30" i="179"/>
  <c r="Q50" i="179"/>
  <c r="Q62" i="179"/>
  <c r="Q31" i="179"/>
  <c r="Q44" i="179"/>
  <c r="Q57" i="179"/>
  <c r="Q69" i="179"/>
  <c r="Q52" i="179"/>
  <c r="Q64" i="179"/>
  <c r="Q59" i="179"/>
  <c r="Q71" i="179"/>
  <c r="Q46" i="179"/>
  <c r="Q54" i="179"/>
  <c r="Q66" i="179"/>
  <c r="Q56" i="179"/>
  <c r="Q68" i="179"/>
  <c r="Q7" i="179"/>
  <c r="Q26" i="179"/>
  <c r="Q63" i="179"/>
  <c r="Q53" i="179"/>
  <c r="Q84" i="179"/>
  <c r="Q79" i="179"/>
  <c r="Q74" i="179"/>
  <c r="Q86" i="179"/>
  <c r="Q55" i="179"/>
  <c r="Q81" i="179"/>
  <c r="Q6" i="179"/>
  <c r="Q38" i="179"/>
  <c r="Q58" i="179"/>
  <c r="Q70" i="179"/>
  <c r="Q76" i="179"/>
  <c r="Q88" i="179"/>
  <c r="Q78" i="179"/>
  <c r="Q90" i="179"/>
  <c r="Q60" i="179"/>
  <c r="Q61" i="179"/>
  <c r="Q73" i="179"/>
  <c r="Q85" i="179"/>
  <c r="Q19" i="179"/>
  <c r="Q80" i="179"/>
  <c r="Q40" i="179"/>
  <c r="Q42" i="179"/>
  <c r="Q75" i="179"/>
  <c r="Q87" i="179"/>
  <c r="Q91" i="179"/>
  <c r="Q103" i="179"/>
  <c r="Q115" i="179"/>
  <c r="Q98" i="179"/>
  <c r="Q110" i="179"/>
  <c r="Q65" i="179"/>
  <c r="Q93" i="179"/>
  <c r="Q105" i="179"/>
  <c r="Q100" i="179"/>
  <c r="Q112" i="179"/>
  <c r="Q95" i="179"/>
  <c r="Q107" i="179"/>
  <c r="Q29" i="179"/>
  <c r="Q83" i="179"/>
  <c r="Q97" i="179"/>
  <c r="Q109" i="179"/>
  <c r="Q92" i="179"/>
  <c r="Q104" i="179"/>
  <c r="Q99" i="179"/>
  <c r="Q117" i="179"/>
  <c r="Q129" i="179"/>
  <c r="Q77" i="179"/>
  <c r="Q124" i="179"/>
  <c r="Q113" i="179"/>
  <c r="Q114" i="179"/>
  <c r="Q119" i="179"/>
  <c r="Q131" i="179"/>
  <c r="Q67" i="179"/>
  <c r="Q101" i="179"/>
  <c r="Q102" i="179"/>
  <c r="Q126" i="179"/>
  <c r="Q89" i="179"/>
  <c r="Q121" i="179"/>
  <c r="Q133" i="179"/>
  <c r="Q82" i="179"/>
  <c r="Q123" i="179"/>
  <c r="Q106" i="179"/>
  <c r="Q118" i="179"/>
  <c r="Q130" i="179"/>
  <c r="Q94" i="179"/>
  <c r="Q125" i="179"/>
  <c r="Q139" i="179"/>
  <c r="Q151" i="179"/>
  <c r="Q132" i="179"/>
  <c r="Q146" i="179"/>
  <c r="Q158" i="179"/>
  <c r="Q108" i="179"/>
  <c r="Q141" i="179"/>
  <c r="Q153" i="179"/>
  <c r="Q111" i="179"/>
  <c r="Q136" i="179"/>
  <c r="Q148" i="179"/>
  <c r="Q160" i="179"/>
  <c r="Q116" i="179"/>
  <c r="Q143" i="179"/>
  <c r="Q155" i="179"/>
  <c r="Q145" i="179"/>
  <c r="Q157" i="179"/>
  <c r="Q122" i="179"/>
  <c r="Q140" i="179"/>
  <c r="Q152" i="179"/>
  <c r="Q128" i="179"/>
  <c r="Q135" i="179"/>
  <c r="Q147" i="179"/>
  <c r="Q159" i="179"/>
  <c r="Q120" i="179"/>
  <c r="Q154" i="179"/>
  <c r="Q127" i="179"/>
  <c r="Q161" i="179"/>
  <c r="Q134" i="179"/>
  <c r="Q138" i="179"/>
  <c r="Q3" i="179"/>
  <c r="Q137" i="179"/>
  <c r="Q96" i="179"/>
  <c r="Q144" i="179"/>
  <c r="Q150" i="179"/>
  <c r="Q142" i="179"/>
  <c r="Q149" i="179"/>
  <c r="Q156" i="179"/>
  <c r="R1" i="179"/>
  <c r="R39" i="179" l="1"/>
  <c r="R48" i="179"/>
  <c r="R162" i="179"/>
  <c r="R72" i="179"/>
  <c r="R14" i="179"/>
  <c r="R26" i="179"/>
  <c r="R9" i="179"/>
  <c r="R21" i="179"/>
  <c r="R4" i="179"/>
  <c r="R16" i="179"/>
  <c r="R28" i="179"/>
  <c r="R13" i="179"/>
  <c r="R25" i="179"/>
  <c r="R8" i="179"/>
  <c r="R20" i="179"/>
  <c r="R32" i="179"/>
  <c r="R7" i="179"/>
  <c r="R29" i="179"/>
  <c r="R46" i="179"/>
  <c r="R36" i="179"/>
  <c r="R41" i="179"/>
  <c r="R10" i="179"/>
  <c r="R49" i="179"/>
  <c r="R12" i="179"/>
  <c r="R18" i="179"/>
  <c r="R22" i="179"/>
  <c r="R43" i="179"/>
  <c r="R5" i="179"/>
  <c r="R35" i="179"/>
  <c r="R37" i="179"/>
  <c r="R51" i="179"/>
  <c r="R27" i="179"/>
  <c r="R31" i="179"/>
  <c r="R40" i="179"/>
  <c r="R6" i="179"/>
  <c r="R11" i="179"/>
  <c r="R15" i="179"/>
  <c r="R42" i="179"/>
  <c r="R19" i="179"/>
  <c r="R55" i="179"/>
  <c r="R67" i="179"/>
  <c r="R24" i="179"/>
  <c r="R62" i="179"/>
  <c r="R44" i="179"/>
  <c r="R45" i="179"/>
  <c r="R57" i="179"/>
  <c r="R34" i="179"/>
  <c r="R52" i="179"/>
  <c r="R64" i="179"/>
  <c r="R47" i="179"/>
  <c r="R59" i="179"/>
  <c r="R50" i="179"/>
  <c r="R61" i="179"/>
  <c r="R56" i="179"/>
  <c r="R17" i="179"/>
  <c r="R65" i="179"/>
  <c r="R77" i="179"/>
  <c r="R89" i="179"/>
  <c r="R53" i="179"/>
  <c r="R54" i="179"/>
  <c r="R71" i="179"/>
  <c r="R84" i="179"/>
  <c r="R79" i="179"/>
  <c r="R74" i="179"/>
  <c r="R86" i="179"/>
  <c r="R66" i="179"/>
  <c r="R68" i="179"/>
  <c r="R81" i="179"/>
  <c r="R83" i="179"/>
  <c r="R23" i="179"/>
  <c r="R33" i="179"/>
  <c r="R78" i="179"/>
  <c r="R90" i="179"/>
  <c r="R30" i="179"/>
  <c r="R60" i="179"/>
  <c r="R73" i="179"/>
  <c r="R85" i="179"/>
  <c r="R63" i="179"/>
  <c r="R80" i="179"/>
  <c r="R70" i="179"/>
  <c r="R76" i="179"/>
  <c r="R96" i="179"/>
  <c r="R108" i="179"/>
  <c r="R87" i="179"/>
  <c r="R91" i="179"/>
  <c r="R103" i="179"/>
  <c r="R115" i="179"/>
  <c r="R98" i="179"/>
  <c r="R110" i="179"/>
  <c r="R38" i="179"/>
  <c r="R58" i="179"/>
  <c r="R93" i="179"/>
  <c r="R105" i="179"/>
  <c r="R75" i="179"/>
  <c r="R100" i="179"/>
  <c r="R112" i="179"/>
  <c r="R102" i="179"/>
  <c r="R114" i="179"/>
  <c r="R97" i="179"/>
  <c r="R109" i="179"/>
  <c r="R111" i="179"/>
  <c r="R122" i="179"/>
  <c r="R134" i="179"/>
  <c r="R88" i="179"/>
  <c r="R99" i="179"/>
  <c r="R117" i="179"/>
  <c r="R129" i="179"/>
  <c r="R124" i="179"/>
  <c r="R113" i="179"/>
  <c r="R119" i="179"/>
  <c r="R131" i="179"/>
  <c r="R101" i="179"/>
  <c r="R126" i="179"/>
  <c r="R92" i="179"/>
  <c r="R116" i="179"/>
  <c r="R128" i="179"/>
  <c r="R82" i="179"/>
  <c r="R123" i="179"/>
  <c r="R106" i="179"/>
  <c r="R107" i="179"/>
  <c r="R118" i="179"/>
  <c r="R130" i="179"/>
  <c r="R69" i="179"/>
  <c r="R133" i="179"/>
  <c r="R144" i="179"/>
  <c r="R156" i="179"/>
  <c r="R94" i="179"/>
  <c r="R125" i="179"/>
  <c r="R139" i="179"/>
  <c r="R151" i="179"/>
  <c r="R132" i="179"/>
  <c r="R146" i="179"/>
  <c r="R158" i="179"/>
  <c r="R141" i="179"/>
  <c r="R153" i="179"/>
  <c r="R136" i="179"/>
  <c r="R148" i="179"/>
  <c r="R160" i="179"/>
  <c r="R138" i="179"/>
  <c r="R150" i="179"/>
  <c r="R145" i="179"/>
  <c r="R157" i="179"/>
  <c r="R104" i="179"/>
  <c r="R121" i="179"/>
  <c r="R140" i="179"/>
  <c r="R152" i="179"/>
  <c r="R155" i="179"/>
  <c r="R147" i="179"/>
  <c r="R120" i="179"/>
  <c r="R154" i="179"/>
  <c r="R127" i="179"/>
  <c r="R161" i="179"/>
  <c r="R95" i="179"/>
  <c r="R137" i="179"/>
  <c r="R135" i="179"/>
  <c r="R143" i="179"/>
  <c r="R159" i="179"/>
  <c r="R142" i="179"/>
  <c r="R3" i="179"/>
  <c r="R149" i="179"/>
  <c r="S1" i="179"/>
  <c r="T19" i="176"/>
  <c r="T20" i="176"/>
  <c r="T21" i="176"/>
  <c r="T22" i="176"/>
  <c r="T23" i="176"/>
  <c r="T24" i="176"/>
  <c r="T25" i="176"/>
  <c r="T26" i="176"/>
  <c r="T27" i="176"/>
  <c r="T28" i="176"/>
  <c r="T29" i="176"/>
  <c r="S39" i="179" l="1"/>
  <c r="S48" i="179"/>
  <c r="S162" i="179"/>
  <c r="S72" i="179"/>
  <c r="S7" i="179"/>
  <c r="S19" i="179"/>
  <c r="S31" i="179"/>
  <c r="S14" i="179"/>
  <c r="S9" i="179"/>
  <c r="S21" i="179"/>
  <c r="S33" i="179"/>
  <c r="S6" i="179"/>
  <c r="S18" i="179"/>
  <c r="S30" i="179"/>
  <c r="S13" i="179"/>
  <c r="S25" i="179"/>
  <c r="S38" i="179"/>
  <c r="S4" i="179"/>
  <c r="S29" i="179"/>
  <c r="S46" i="179"/>
  <c r="S32" i="179"/>
  <c r="S36" i="179"/>
  <c r="S41" i="179"/>
  <c r="S8" i="179"/>
  <c r="S10" i="179"/>
  <c r="S16" i="179"/>
  <c r="S20" i="179"/>
  <c r="S49" i="179"/>
  <c r="S12" i="179"/>
  <c r="S22" i="179"/>
  <c r="S28" i="179"/>
  <c r="S43" i="179"/>
  <c r="S24" i="179"/>
  <c r="S45" i="179"/>
  <c r="S34" i="179"/>
  <c r="S47" i="179"/>
  <c r="S35" i="179"/>
  <c r="S42" i="179"/>
  <c r="S60" i="179"/>
  <c r="S55" i="179"/>
  <c r="S67" i="179"/>
  <c r="S62" i="179"/>
  <c r="S27" i="179"/>
  <c r="S44" i="179"/>
  <c r="S57" i="179"/>
  <c r="S69" i="179"/>
  <c r="S52" i="179"/>
  <c r="S64" i="179"/>
  <c r="S23" i="179"/>
  <c r="S54" i="179"/>
  <c r="S66" i="179"/>
  <c r="S50" i="179"/>
  <c r="S51" i="179"/>
  <c r="S61" i="179"/>
  <c r="S5" i="179"/>
  <c r="S82" i="179"/>
  <c r="S17" i="179"/>
  <c r="S65" i="179"/>
  <c r="S77" i="179"/>
  <c r="S89" i="179"/>
  <c r="S53" i="179"/>
  <c r="S71" i="179"/>
  <c r="S84" i="179"/>
  <c r="S56" i="179"/>
  <c r="S79" i="179"/>
  <c r="S74" i="179"/>
  <c r="S86" i="179"/>
  <c r="S15" i="179"/>
  <c r="S26" i="179"/>
  <c r="S58" i="179"/>
  <c r="S59" i="179"/>
  <c r="S70" i="179"/>
  <c r="S76" i="179"/>
  <c r="S88" i="179"/>
  <c r="S11" i="179"/>
  <c r="S83" i="179"/>
  <c r="S78" i="179"/>
  <c r="S90" i="179"/>
  <c r="S73" i="179"/>
  <c r="S85" i="179"/>
  <c r="S101" i="179"/>
  <c r="S113" i="179"/>
  <c r="S37" i="179"/>
  <c r="S96" i="179"/>
  <c r="S108" i="179"/>
  <c r="S87" i="179"/>
  <c r="S91" i="179"/>
  <c r="S103" i="179"/>
  <c r="S115" i="179"/>
  <c r="S68" i="179"/>
  <c r="S81" i="179"/>
  <c r="S98" i="179"/>
  <c r="S110" i="179"/>
  <c r="S40" i="179"/>
  <c r="S93" i="179"/>
  <c r="S105" i="179"/>
  <c r="S95" i="179"/>
  <c r="S107" i="179"/>
  <c r="S63" i="179"/>
  <c r="S80" i="179"/>
  <c r="S102" i="179"/>
  <c r="S114" i="179"/>
  <c r="S127" i="179"/>
  <c r="S111" i="179"/>
  <c r="S112" i="179"/>
  <c r="S122" i="179"/>
  <c r="S134" i="179"/>
  <c r="S99" i="179"/>
  <c r="S100" i="179"/>
  <c r="S117" i="179"/>
  <c r="S129" i="179"/>
  <c r="S124" i="179"/>
  <c r="S119" i="179"/>
  <c r="S131" i="179"/>
  <c r="S104" i="179"/>
  <c r="S121" i="179"/>
  <c r="S133" i="179"/>
  <c r="S75" i="179"/>
  <c r="S92" i="179"/>
  <c r="S116" i="179"/>
  <c r="S128" i="179"/>
  <c r="S123" i="179"/>
  <c r="S126" i="179"/>
  <c r="S137" i="179"/>
  <c r="S149" i="179"/>
  <c r="S161" i="179"/>
  <c r="S118" i="179"/>
  <c r="S144" i="179"/>
  <c r="S156" i="179"/>
  <c r="S94" i="179"/>
  <c r="S125" i="179"/>
  <c r="S139" i="179"/>
  <c r="S151" i="179"/>
  <c r="S97" i="179"/>
  <c r="S132" i="179"/>
  <c r="S146" i="179"/>
  <c r="S158" i="179"/>
  <c r="S141" i="179"/>
  <c r="S153" i="179"/>
  <c r="S109" i="179"/>
  <c r="S143" i="179"/>
  <c r="S155" i="179"/>
  <c r="S138" i="179"/>
  <c r="S150" i="179"/>
  <c r="S145" i="179"/>
  <c r="S157" i="179"/>
  <c r="S130" i="179"/>
  <c r="S148" i="179"/>
  <c r="S140" i="179"/>
  <c r="S147" i="179"/>
  <c r="S120" i="179"/>
  <c r="S154" i="179"/>
  <c r="S160" i="179"/>
  <c r="S159" i="179"/>
  <c r="S3" i="179"/>
  <c r="S106" i="179"/>
  <c r="S136" i="179"/>
  <c r="S135" i="179"/>
  <c r="S152" i="179"/>
  <c r="S142" i="179"/>
  <c r="T1" i="179"/>
  <c r="T12" i="176"/>
  <c r="T13" i="176"/>
  <c r="T14" i="176"/>
  <c r="T15" i="176"/>
  <c r="T16" i="176"/>
  <c r="T17" i="176"/>
  <c r="T18" i="176"/>
  <c r="T39" i="179" l="1"/>
  <c r="T48" i="179"/>
  <c r="T162" i="179"/>
  <c r="T72" i="179"/>
  <c r="T12" i="179"/>
  <c r="T24" i="179"/>
  <c r="T36" i="179"/>
  <c r="T7" i="179"/>
  <c r="T19" i="179"/>
  <c r="T14" i="179"/>
  <c r="T26" i="179"/>
  <c r="T11" i="179"/>
  <c r="T23" i="179"/>
  <c r="T35" i="179"/>
  <c r="T6" i="179"/>
  <c r="T18" i="179"/>
  <c r="T30" i="179"/>
  <c r="T8" i="179"/>
  <c r="T33" i="179"/>
  <c r="T44" i="179"/>
  <c r="T38" i="179"/>
  <c r="T4" i="179"/>
  <c r="T25" i="179"/>
  <c r="T29" i="179"/>
  <c r="T46" i="179"/>
  <c r="T32" i="179"/>
  <c r="T41" i="179"/>
  <c r="T10" i="179"/>
  <c r="T16" i="179"/>
  <c r="T20" i="179"/>
  <c r="T49" i="179"/>
  <c r="T5" i="179"/>
  <c r="T37" i="179"/>
  <c r="T51" i="179"/>
  <c r="T27" i="179"/>
  <c r="T40" i="179"/>
  <c r="T28" i="179"/>
  <c r="T53" i="179"/>
  <c r="T65" i="179"/>
  <c r="T42" i="179"/>
  <c r="T43" i="179"/>
  <c r="T60" i="179"/>
  <c r="T13" i="179"/>
  <c r="T31" i="179"/>
  <c r="T55" i="179"/>
  <c r="T21" i="179"/>
  <c r="T45" i="179"/>
  <c r="T62" i="179"/>
  <c r="T34" i="179"/>
  <c r="T57" i="179"/>
  <c r="T69" i="179"/>
  <c r="T15" i="179"/>
  <c r="T59" i="179"/>
  <c r="T54" i="179"/>
  <c r="T52" i="179"/>
  <c r="T67" i="179"/>
  <c r="T75" i="179"/>
  <c r="T87" i="179"/>
  <c r="T82" i="179"/>
  <c r="T17" i="179"/>
  <c r="T77" i="179"/>
  <c r="T89" i="179"/>
  <c r="T71" i="179"/>
  <c r="T84" i="179"/>
  <c r="T56" i="179"/>
  <c r="T79" i="179"/>
  <c r="T68" i="179"/>
  <c r="T81" i="179"/>
  <c r="T58" i="179"/>
  <c r="T70" i="179"/>
  <c r="T76" i="179"/>
  <c r="T88" i="179"/>
  <c r="T61" i="179"/>
  <c r="T83" i="179"/>
  <c r="T78" i="179"/>
  <c r="T90" i="179"/>
  <c r="T22" i="179"/>
  <c r="T94" i="179"/>
  <c r="T106" i="179"/>
  <c r="T73" i="179"/>
  <c r="T101" i="179"/>
  <c r="T113" i="179"/>
  <c r="T9" i="179"/>
  <c r="T47" i="179"/>
  <c r="T96" i="179"/>
  <c r="T108" i="179"/>
  <c r="T91" i="179"/>
  <c r="T103" i="179"/>
  <c r="T115" i="179"/>
  <c r="T50" i="179"/>
  <c r="T98" i="179"/>
  <c r="T110" i="179"/>
  <c r="T66" i="179"/>
  <c r="T86" i="179"/>
  <c r="T100" i="179"/>
  <c r="T112" i="179"/>
  <c r="T95" i="179"/>
  <c r="T107" i="179"/>
  <c r="T97" i="179"/>
  <c r="T120" i="179"/>
  <c r="T132" i="179"/>
  <c r="T127" i="179"/>
  <c r="T111" i="179"/>
  <c r="T122" i="179"/>
  <c r="T134" i="179"/>
  <c r="T99" i="179"/>
  <c r="T114" i="179"/>
  <c r="T117" i="179"/>
  <c r="T129" i="179"/>
  <c r="T74" i="179"/>
  <c r="T85" i="179"/>
  <c r="T102" i="179"/>
  <c r="T124" i="179"/>
  <c r="T126" i="179"/>
  <c r="T63" i="179"/>
  <c r="T104" i="179"/>
  <c r="T105" i="179"/>
  <c r="T121" i="179"/>
  <c r="T133" i="179"/>
  <c r="T92" i="179"/>
  <c r="T93" i="179"/>
  <c r="T116" i="179"/>
  <c r="T128" i="179"/>
  <c r="T119" i="179"/>
  <c r="T142" i="179"/>
  <c r="T154" i="179"/>
  <c r="T137" i="179"/>
  <c r="T149" i="179"/>
  <c r="T161" i="179"/>
  <c r="T118" i="179"/>
  <c r="T144" i="179"/>
  <c r="T156" i="179"/>
  <c r="T125" i="179"/>
  <c r="T139" i="179"/>
  <c r="T151" i="179"/>
  <c r="T131" i="179"/>
  <c r="T146" i="179"/>
  <c r="T158" i="179"/>
  <c r="T130" i="179"/>
  <c r="T136" i="179"/>
  <c r="T148" i="179"/>
  <c r="T160" i="179"/>
  <c r="T109" i="179"/>
  <c r="T143" i="179"/>
  <c r="T155" i="179"/>
  <c r="T138" i="179"/>
  <c r="T150" i="179"/>
  <c r="T123" i="179"/>
  <c r="T141" i="179"/>
  <c r="T64" i="179"/>
  <c r="T140" i="179"/>
  <c r="T147" i="179"/>
  <c r="T153" i="179"/>
  <c r="T152" i="179"/>
  <c r="T80" i="179"/>
  <c r="T159" i="179"/>
  <c r="T3" i="179"/>
  <c r="T135" i="179"/>
  <c r="T157" i="179"/>
  <c r="T145" i="179"/>
  <c r="U1" i="179"/>
  <c r="F16" i="174"/>
  <c r="U39" i="179" l="1"/>
  <c r="U48" i="179"/>
  <c r="U162" i="179"/>
  <c r="U72" i="179"/>
  <c r="U5" i="179"/>
  <c r="U17" i="179"/>
  <c r="U29" i="179"/>
  <c r="U12" i="179"/>
  <c r="U7" i="179"/>
  <c r="U19" i="179"/>
  <c r="U31" i="179"/>
  <c r="U4" i="179"/>
  <c r="U16" i="179"/>
  <c r="U28" i="179"/>
  <c r="U11" i="179"/>
  <c r="U23" i="179"/>
  <c r="U35" i="179"/>
  <c r="U26" i="179"/>
  <c r="U50" i="179"/>
  <c r="U33" i="179"/>
  <c r="U44" i="179"/>
  <c r="U38" i="179"/>
  <c r="U25" i="179"/>
  <c r="U36" i="179"/>
  <c r="U46" i="179"/>
  <c r="U8" i="179"/>
  <c r="U14" i="179"/>
  <c r="U18" i="179"/>
  <c r="U32" i="179"/>
  <c r="U41" i="179"/>
  <c r="U22" i="179"/>
  <c r="U43" i="179"/>
  <c r="U45" i="179"/>
  <c r="U6" i="179"/>
  <c r="U58" i="179"/>
  <c r="U70" i="179"/>
  <c r="U53" i="179"/>
  <c r="U65" i="179"/>
  <c r="U24" i="179"/>
  <c r="U42" i="179"/>
  <c r="U60" i="179"/>
  <c r="U13" i="179"/>
  <c r="U55" i="179"/>
  <c r="U67" i="179"/>
  <c r="U10" i="179"/>
  <c r="U21" i="179"/>
  <c r="U27" i="179"/>
  <c r="U62" i="179"/>
  <c r="U30" i="179"/>
  <c r="U47" i="179"/>
  <c r="U49" i="179"/>
  <c r="U52" i="179"/>
  <c r="U64" i="179"/>
  <c r="U15" i="179"/>
  <c r="U20" i="179"/>
  <c r="U59" i="179"/>
  <c r="U9" i="179"/>
  <c r="U63" i="179"/>
  <c r="U69" i="179"/>
  <c r="U80" i="179"/>
  <c r="U75" i="179"/>
  <c r="U87" i="179"/>
  <c r="U54" i="179"/>
  <c r="U82" i="179"/>
  <c r="U51" i="179"/>
  <c r="U77" i="179"/>
  <c r="U89" i="179"/>
  <c r="U71" i="179"/>
  <c r="U84" i="179"/>
  <c r="U66" i="179"/>
  <c r="U74" i="179"/>
  <c r="U86" i="179"/>
  <c r="U68" i="179"/>
  <c r="U81" i="179"/>
  <c r="U76" i="179"/>
  <c r="U88" i="179"/>
  <c r="U61" i="179"/>
  <c r="U83" i="179"/>
  <c r="U57" i="179"/>
  <c r="U79" i="179"/>
  <c r="U99" i="179"/>
  <c r="U111" i="179"/>
  <c r="U90" i="179"/>
  <c r="U94" i="179"/>
  <c r="U106" i="179"/>
  <c r="U37" i="179"/>
  <c r="U73" i="179"/>
  <c r="U101" i="179"/>
  <c r="U113" i="179"/>
  <c r="U96" i="179"/>
  <c r="U108" i="179"/>
  <c r="U78" i="179"/>
  <c r="U91" i="179"/>
  <c r="U103" i="179"/>
  <c r="U115" i="179"/>
  <c r="U93" i="179"/>
  <c r="U105" i="179"/>
  <c r="U100" i="179"/>
  <c r="U112" i="179"/>
  <c r="U109" i="179"/>
  <c r="U110" i="179"/>
  <c r="U125" i="179"/>
  <c r="U97" i="179"/>
  <c r="U98" i="179"/>
  <c r="U120" i="179"/>
  <c r="U132" i="179"/>
  <c r="U127" i="179"/>
  <c r="U122" i="179"/>
  <c r="U134" i="179"/>
  <c r="U114" i="179"/>
  <c r="U117" i="179"/>
  <c r="U129" i="179"/>
  <c r="U119" i="179"/>
  <c r="U131" i="179"/>
  <c r="U126" i="179"/>
  <c r="U104" i="179"/>
  <c r="U121" i="179"/>
  <c r="U133" i="179"/>
  <c r="U102" i="179"/>
  <c r="U135" i="179"/>
  <c r="U147" i="179"/>
  <c r="U159" i="179"/>
  <c r="U34" i="179"/>
  <c r="U142" i="179"/>
  <c r="U154" i="179"/>
  <c r="U40" i="179"/>
  <c r="U137" i="179"/>
  <c r="U149" i="179"/>
  <c r="U161" i="179"/>
  <c r="U118" i="179"/>
  <c r="U144" i="179"/>
  <c r="U156" i="179"/>
  <c r="U85" i="179"/>
  <c r="U124" i="179"/>
  <c r="U139" i="179"/>
  <c r="U151" i="179"/>
  <c r="U56" i="179"/>
  <c r="U95" i="179"/>
  <c r="U123" i="179"/>
  <c r="U141" i="179"/>
  <c r="U153" i="179"/>
  <c r="U130" i="179"/>
  <c r="U136" i="179"/>
  <c r="U148" i="179"/>
  <c r="U160" i="179"/>
  <c r="U143" i="179"/>
  <c r="U155" i="179"/>
  <c r="U92" i="179"/>
  <c r="U116" i="179"/>
  <c r="U140" i="179"/>
  <c r="U146" i="179"/>
  <c r="U145" i="179"/>
  <c r="U107" i="179"/>
  <c r="U152" i="179"/>
  <c r="U158" i="179"/>
  <c r="U3" i="179"/>
  <c r="U157" i="179"/>
  <c r="U150" i="179"/>
  <c r="U128" i="179"/>
  <c r="U138" i="179"/>
  <c r="V1" i="179"/>
  <c r="B93" i="174"/>
  <c r="V39" i="179" l="1"/>
  <c r="V48" i="179"/>
  <c r="V162" i="179"/>
  <c r="V72" i="179"/>
  <c r="V10" i="179"/>
  <c r="V22" i="179"/>
  <c r="V34" i="179"/>
  <c r="V5" i="179"/>
  <c r="V17" i="179"/>
  <c r="V12" i="179"/>
  <c r="V24" i="179"/>
  <c r="V36" i="179"/>
  <c r="V9" i="179"/>
  <c r="V21" i="179"/>
  <c r="V33" i="179"/>
  <c r="V4" i="179"/>
  <c r="V16" i="179"/>
  <c r="V28" i="179"/>
  <c r="V6" i="179"/>
  <c r="V15" i="179"/>
  <c r="V42" i="179"/>
  <c r="V7" i="179"/>
  <c r="V26" i="179"/>
  <c r="V50" i="179"/>
  <c r="V44" i="179"/>
  <c r="V29" i="179"/>
  <c r="V38" i="179"/>
  <c r="V25" i="179"/>
  <c r="V46" i="179"/>
  <c r="V20" i="179"/>
  <c r="V35" i="179"/>
  <c r="V49" i="179"/>
  <c r="V31" i="179"/>
  <c r="V37" i="179"/>
  <c r="V51" i="179"/>
  <c r="V11" i="179"/>
  <c r="V40" i="179"/>
  <c r="V41" i="179"/>
  <c r="V63" i="179"/>
  <c r="V8" i="179"/>
  <c r="V19" i="179"/>
  <c r="V58" i="179"/>
  <c r="V70" i="179"/>
  <c r="V43" i="179"/>
  <c r="V53" i="179"/>
  <c r="V65" i="179"/>
  <c r="V60" i="179"/>
  <c r="V13" i="179"/>
  <c r="V18" i="179"/>
  <c r="V45" i="179"/>
  <c r="V55" i="179"/>
  <c r="V67" i="179"/>
  <c r="V57" i="179"/>
  <c r="V69" i="179"/>
  <c r="V23" i="179"/>
  <c r="V30" i="179"/>
  <c r="V47" i="179"/>
  <c r="V52" i="179"/>
  <c r="V64" i="179"/>
  <c r="V73" i="179"/>
  <c r="V85" i="179"/>
  <c r="V80" i="179"/>
  <c r="V75" i="179"/>
  <c r="V87" i="179"/>
  <c r="V54" i="179"/>
  <c r="V82" i="179"/>
  <c r="V14" i="179"/>
  <c r="V77" i="179"/>
  <c r="V89" i="179"/>
  <c r="V56" i="179"/>
  <c r="V79" i="179"/>
  <c r="V59" i="179"/>
  <c r="V66" i="179"/>
  <c r="V74" i="179"/>
  <c r="V86" i="179"/>
  <c r="V68" i="179"/>
  <c r="V81" i="179"/>
  <c r="V76" i="179"/>
  <c r="V88" i="179"/>
  <c r="V92" i="179"/>
  <c r="V104" i="179"/>
  <c r="V61" i="179"/>
  <c r="V99" i="179"/>
  <c r="V111" i="179"/>
  <c r="V90" i="179"/>
  <c r="V94" i="179"/>
  <c r="V106" i="179"/>
  <c r="V84" i="179"/>
  <c r="V101" i="179"/>
  <c r="V113" i="179"/>
  <c r="V27" i="179"/>
  <c r="V62" i="179"/>
  <c r="V96" i="179"/>
  <c r="V108" i="179"/>
  <c r="V71" i="179"/>
  <c r="V98" i="179"/>
  <c r="V110" i="179"/>
  <c r="V83" i="179"/>
  <c r="V93" i="179"/>
  <c r="V105" i="179"/>
  <c r="V118" i="179"/>
  <c r="V130" i="179"/>
  <c r="V109" i="179"/>
  <c r="V125" i="179"/>
  <c r="V97" i="179"/>
  <c r="V112" i="179"/>
  <c r="V120" i="179"/>
  <c r="V132" i="179"/>
  <c r="V100" i="179"/>
  <c r="V127" i="179"/>
  <c r="V122" i="179"/>
  <c r="V134" i="179"/>
  <c r="V102" i="179"/>
  <c r="V103" i="179"/>
  <c r="V124" i="179"/>
  <c r="V32" i="179"/>
  <c r="V91" i="179"/>
  <c r="V119" i="179"/>
  <c r="V131" i="179"/>
  <c r="V126" i="179"/>
  <c r="V140" i="179"/>
  <c r="V152" i="179"/>
  <c r="V133" i="179"/>
  <c r="V135" i="179"/>
  <c r="V147" i="179"/>
  <c r="V159" i="179"/>
  <c r="V142" i="179"/>
  <c r="V154" i="179"/>
  <c r="V137" i="179"/>
  <c r="V149" i="179"/>
  <c r="V161" i="179"/>
  <c r="V114" i="179"/>
  <c r="V117" i="179"/>
  <c r="V144" i="179"/>
  <c r="V156" i="179"/>
  <c r="V116" i="179"/>
  <c r="V146" i="179"/>
  <c r="V158" i="179"/>
  <c r="V95" i="179"/>
  <c r="V123" i="179"/>
  <c r="V141" i="179"/>
  <c r="V153" i="179"/>
  <c r="V78" i="179"/>
  <c r="V115" i="179"/>
  <c r="V129" i="179"/>
  <c r="V136" i="179"/>
  <c r="V148" i="179"/>
  <c r="V160" i="179"/>
  <c r="V155" i="179"/>
  <c r="V139" i="179"/>
  <c r="V128" i="179"/>
  <c r="V138" i="179"/>
  <c r="V145" i="179"/>
  <c r="V151" i="179"/>
  <c r="V121" i="179"/>
  <c r="V150" i="179"/>
  <c r="V157" i="179"/>
  <c r="V107" i="179"/>
  <c r="V143" i="179"/>
  <c r="V3" i="179"/>
  <c r="W1" i="179"/>
  <c r="T4" i="176"/>
  <c r="T5" i="176"/>
  <c r="T6" i="176"/>
  <c r="T7" i="176"/>
  <c r="T8" i="176"/>
  <c r="T9" i="176"/>
  <c r="T10" i="176"/>
  <c r="T11" i="176"/>
  <c r="B100" i="176"/>
  <c r="B104" i="176"/>
  <c r="B103" i="176"/>
  <c r="B102" i="176"/>
  <c r="B95" i="174"/>
  <c r="B94" i="174"/>
  <c r="B91" i="174"/>
  <c r="W39" i="179" l="1"/>
  <c r="W48" i="179"/>
  <c r="W162" i="179"/>
  <c r="W72" i="179"/>
  <c r="B92" i="174"/>
  <c r="B96" i="174" s="1"/>
  <c r="W15" i="179"/>
  <c r="W27" i="179"/>
  <c r="W10" i="179"/>
  <c r="W22" i="179"/>
  <c r="W5" i="179"/>
  <c r="W17" i="179"/>
  <c r="W29" i="179"/>
  <c r="W14" i="179"/>
  <c r="W26" i="179"/>
  <c r="W9" i="179"/>
  <c r="W21" i="179"/>
  <c r="W33" i="179"/>
  <c r="W13" i="179"/>
  <c r="W19" i="179"/>
  <c r="W23" i="179"/>
  <c r="W30" i="179"/>
  <c r="W47" i="179"/>
  <c r="W42" i="179"/>
  <c r="W7" i="179"/>
  <c r="W50" i="179"/>
  <c r="W4" i="179"/>
  <c r="W44" i="179"/>
  <c r="W36" i="179"/>
  <c r="W38" i="179"/>
  <c r="W8" i="179"/>
  <c r="W18" i="179"/>
  <c r="W28" i="179"/>
  <c r="W32" i="179"/>
  <c r="W41" i="179"/>
  <c r="W24" i="179"/>
  <c r="W43" i="179"/>
  <c r="W56" i="179"/>
  <c r="W68" i="179"/>
  <c r="W6" i="179"/>
  <c r="W11" i="179"/>
  <c r="W16" i="179"/>
  <c r="W35" i="179"/>
  <c r="W40" i="179"/>
  <c r="W63" i="179"/>
  <c r="W58" i="179"/>
  <c r="W31" i="179"/>
  <c r="W53" i="179"/>
  <c r="W65" i="179"/>
  <c r="W60" i="179"/>
  <c r="W34" i="179"/>
  <c r="W62" i="179"/>
  <c r="W12" i="179"/>
  <c r="W49" i="179"/>
  <c r="W57" i="179"/>
  <c r="W37" i="179"/>
  <c r="W64" i="179"/>
  <c r="W78" i="179"/>
  <c r="W45" i="179"/>
  <c r="W52" i="179"/>
  <c r="W67" i="179"/>
  <c r="W69" i="179"/>
  <c r="W73" i="179"/>
  <c r="W85" i="179"/>
  <c r="W80" i="179"/>
  <c r="W75" i="179"/>
  <c r="W87" i="179"/>
  <c r="W25" i="179"/>
  <c r="W51" i="179"/>
  <c r="W54" i="179"/>
  <c r="W55" i="179"/>
  <c r="W82" i="179"/>
  <c r="W46" i="179"/>
  <c r="W71" i="179"/>
  <c r="W84" i="179"/>
  <c r="W79" i="179"/>
  <c r="W59" i="179"/>
  <c r="W66" i="179"/>
  <c r="W70" i="179"/>
  <c r="W74" i="179"/>
  <c r="W86" i="179"/>
  <c r="W81" i="179"/>
  <c r="W97" i="179"/>
  <c r="W109" i="179"/>
  <c r="W76" i="179"/>
  <c r="W92" i="179"/>
  <c r="W104" i="179"/>
  <c r="W61" i="179"/>
  <c r="W99" i="179"/>
  <c r="W111" i="179"/>
  <c r="W90" i="179"/>
  <c r="W94" i="179"/>
  <c r="W106" i="179"/>
  <c r="W101" i="179"/>
  <c r="W113" i="179"/>
  <c r="W89" i="179"/>
  <c r="W91" i="179"/>
  <c r="W103" i="179"/>
  <c r="W115" i="179"/>
  <c r="W98" i="179"/>
  <c r="W110" i="179"/>
  <c r="W95" i="179"/>
  <c r="W96" i="179"/>
  <c r="W123" i="179"/>
  <c r="W118" i="179"/>
  <c r="W130" i="179"/>
  <c r="W77" i="179"/>
  <c r="W88" i="179"/>
  <c r="W125" i="179"/>
  <c r="W20" i="179"/>
  <c r="W112" i="179"/>
  <c r="W120" i="179"/>
  <c r="W132" i="179"/>
  <c r="W100" i="179"/>
  <c r="W127" i="179"/>
  <c r="W114" i="179"/>
  <c r="W117" i="179"/>
  <c r="W129" i="179"/>
  <c r="W102" i="179"/>
  <c r="W124" i="179"/>
  <c r="W105" i="179"/>
  <c r="W119" i="179"/>
  <c r="W131" i="179"/>
  <c r="W134" i="179"/>
  <c r="W145" i="179"/>
  <c r="W157" i="179"/>
  <c r="W83" i="179"/>
  <c r="W126" i="179"/>
  <c r="W140" i="179"/>
  <c r="W152" i="179"/>
  <c r="W133" i="179"/>
  <c r="W135" i="179"/>
  <c r="W147" i="179"/>
  <c r="W159" i="179"/>
  <c r="W108" i="179"/>
  <c r="W142" i="179"/>
  <c r="W154" i="179"/>
  <c r="W137" i="179"/>
  <c r="W149" i="179"/>
  <c r="W161" i="179"/>
  <c r="W139" i="179"/>
  <c r="W151" i="179"/>
  <c r="W116" i="179"/>
  <c r="W146" i="179"/>
  <c r="W158" i="179"/>
  <c r="W122" i="179"/>
  <c r="W141" i="179"/>
  <c r="W153" i="179"/>
  <c r="W156" i="179"/>
  <c r="W93" i="179"/>
  <c r="W148" i="179"/>
  <c r="W155" i="179"/>
  <c r="W121" i="179"/>
  <c r="W136" i="179"/>
  <c r="W128" i="179"/>
  <c r="W138" i="179"/>
  <c r="W144" i="179"/>
  <c r="W143" i="179"/>
  <c r="W3" i="179"/>
  <c r="W150" i="179"/>
  <c r="W107" i="179"/>
  <c r="W160" i="179"/>
  <c r="X1" i="179"/>
  <c r="B101" i="176"/>
  <c r="B105" i="176" s="1"/>
  <c r="T90" i="174"/>
  <c r="X39" i="179" l="1"/>
  <c r="X48" i="179"/>
  <c r="X162" i="179"/>
  <c r="X72" i="179"/>
  <c r="X8" i="179"/>
  <c r="X20" i="179"/>
  <c r="X32" i="179"/>
  <c r="X15" i="179"/>
  <c r="X10" i="179"/>
  <c r="X22" i="179"/>
  <c r="X34" i="179"/>
  <c r="X7" i="179"/>
  <c r="X19" i="179"/>
  <c r="X31" i="179"/>
  <c r="X14" i="179"/>
  <c r="X26" i="179"/>
  <c r="X4" i="179"/>
  <c r="X11" i="179"/>
  <c r="X17" i="179"/>
  <c r="X21" i="179"/>
  <c r="X40" i="179"/>
  <c r="X13" i="179"/>
  <c r="X23" i="179"/>
  <c r="X30" i="179"/>
  <c r="X47" i="179"/>
  <c r="X33" i="179"/>
  <c r="X42" i="179"/>
  <c r="X50" i="179"/>
  <c r="X29" i="179"/>
  <c r="X44" i="179"/>
  <c r="X12" i="179"/>
  <c r="X16" i="179"/>
  <c r="X25" i="179"/>
  <c r="X46" i="179"/>
  <c r="X35" i="179"/>
  <c r="X49" i="179"/>
  <c r="X61" i="179"/>
  <c r="X28" i="179"/>
  <c r="X41" i="179"/>
  <c r="X56" i="179"/>
  <c r="X68" i="179"/>
  <c r="X6" i="179"/>
  <c r="X63" i="179"/>
  <c r="X24" i="179"/>
  <c r="X43" i="179"/>
  <c r="X58" i="179"/>
  <c r="X70" i="179"/>
  <c r="X53" i="179"/>
  <c r="X65" i="179"/>
  <c r="X5" i="179"/>
  <c r="X27" i="179"/>
  <c r="X45" i="179"/>
  <c r="X55" i="179"/>
  <c r="X67" i="179"/>
  <c r="X62" i="179"/>
  <c r="X83" i="179"/>
  <c r="X9" i="179"/>
  <c r="X37" i="179"/>
  <c r="X64" i="179"/>
  <c r="X78" i="179"/>
  <c r="X90" i="179"/>
  <c r="X52" i="179"/>
  <c r="X69" i="179"/>
  <c r="X73" i="179"/>
  <c r="X85" i="179"/>
  <c r="X80" i="179"/>
  <c r="X18" i="179"/>
  <c r="X75" i="179"/>
  <c r="X87" i="179"/>
  <c r="X38" i="179"/>
  <c r="X57" i="179"/>
  <c r="X77" i="179"/>
  <c r="X89" i="179"/>
  <c r="X36" i="179"/>
  <c r="X71" i="179"/>
  <c r="X84" i="179"/>
  <c r="X79" i="179"/>
  <c r="X59" i="179"/>
  <c r="X60" i="179"/>
  <c r="X66" i="179"/>
  <c r="X74" i="179"/>
  <c r="X86" i="179"/>
  <c r="X82" i="179"/>
  <c r="X102" i="179"/>
  <c r="X114" i="179"/>
  <c r="X97" i="179"/>
  <c r="X109" i="179"/>
  <c r="X76" i="179"/>
  <c r="X92" i="179"/>
  <c r="X104" i="179"/>
  <c r="X54" i="179"/>
  <c r="X99" i="179"/>
  <c r="X111" i="179"/>
  <c r="X81" i="179"/>
  <c r="X94" i="179"/>
  <c r="X106" i="179"/>
  <c r="X51" i="179"/>
  <c r="X96" i="179"/>
  <c r="X108" i="179"/>
  <c r="X91" i="179"/>
  <c r="X103" i="179"/>
  <c r="X107" i="179"/>
  <c r="X116" i="179"/>
  <c r="X128" i="179"/>
  <c r="X95" i="179"/>
  <c r="X110" i="179"/>
  <c r="X123" i="179"/>
  <c r="X98" i="179"/>
  <c r="X118" i="179"/>
  <c r="X130" i="179"/>
  <c r="X88" i="179"/>
  <c r="X125" i="179"/>
  <c r="X112" i="179"/>
  <c r="X113" i="179"/>
  <c r="X120" i="179"/>
  <c r="X132" i="179"/>
  <c r="X115" i="179"/>
  <c r="X122" i="179"/>
  <c r="X134" i="179"/>
  <c r="X117" i="179"/>
  <c r="X129" i="179"/>
  <c r="X124" i="179"/>
  <c r="X127" i="179"/>
  <c r="X138" i="179"/>
  <c r="X150" i="179"/>
  <c r="X105" i="179"/>
  <c r="X119" i="179"/>
  <c r="X145" i="179"/>
  <c r="X157" i="179"/>
  <c r="X126" i="179"/>
  <c r="X140" i="179"/>
  <c r="X152" i="179"/>
  <c r="X133" i="179"/>
  <c r="X135" i="179"/>
  <c r="X147" i="179"/>
  <c r="X159" i="179"/>
  <c r="X100" i="179"/>
  <c r="X142" i="179"/>
  <c r="X154" i="179"/>
  <c r="X144" i="179"/>
  <c r="X156" i="179"/>
  <c r="X139" i="179"/>
  <c r="X151" i="179"/>
  <c r="X101" i="179"/>
  <c r="X146" i="179"/>
  <c r="X158" i="179"/>
  <c r="X149" i="179"/>
  <c r="X141" i="179"/>
  <c r="X93" i="179"/>
  <c r="X148" i="179"/>
  <c r="X155" i="179"/>
  <c r="X131" i="179"/>
  <c r="X161" i="179"/>
  <c r="X160" i="179"/>
  <c r="X121" i="179"/>
  <c r="X137" i="179"/>
  <c r="X143" i="179"/>
  <c r="X3" i="179"/>
  <c r="X136" i="179"/>
  <c r="X153" i="179"/>
  <c r="Y1" i="179"/>
  <c r="D1" i="177"/>
  <c r="D120" i="177" s="1"/>
  <c r="T100" i="176"/>
  <c r="Y39" i="179" l="1"/>
  <c r="Y48" i="179"/>
  <c r="Y162" i="179"/>
  <c r="Y72" i="179"/>
  <c r="Y13" i="179"/>
  <c r="Y25" i="179"/>
  <c r="Y8" i="179"/>
  <c r="Y20" i="179"/>
  <c r="Y15" i="179"/>
  <c r="Y27" i="179"/>
  <c r="Y12" i="179"/>
  <c r="Y24" i="179"/>
  <c r="Y36" i="179"/>
  <c r="Y7" i="179"/>
  <c r="Y19" i="179"/>
  <c r="Y31" i="179"/>
  <c r="Y6" i="179"/>
  <c r="Y9" i="179"/>
  <c r="Y34" i="179"/>
  <c r="Y45" i="179"/>
  <c r="Y11" i="179"/>
  <c r="Y17" i="179"/>
  <c r="Y21" i="179"/>
  <c r="Y40" i="179"/>
  <c r="Y23" i="179"/>
  <c r="Y26" i="179"/>
  <c r="Y30" i="179"/>
  <c r="Y47" i="179"/>
  <c r="Y33" i="179"/>
  <c r="Y42" i="179"/>
  <c r="Y4" i="179"/>
  <c r="Y50" i="179"/>
  <c r="Y10" i="179"/>
  <c r="Y14" i="179"/>
  <c r="Y38" i="179"/>
  <c r="Y5" i="179"/>
  <c r="Y18" i="179"/>
  <c r="Y28" i="179"/>
  <c r="Y41" i="179"/>
  <c r="Y32" i="179"/>
  <c r="Y37" i="179"/>
  <c r="Y54" i="179"/>
  <c r="Y66" i="179"/>
  <c r="Y61" i="179"/>
  <c r="Y16" i="179"/>
  <c r="Y35" i="179"/>
  <c r="Y56" i="179"/>
  <c r="Y63" i="179"/>
  <c r="Y43" i="179"/>
  <c r="Y44" i="179"/>
  <c r="Y58" i="179"/>
  <c r="Y70" i="179"/>
  <c r="Y46" i="179"/>
  <c r="Y60" i="179"/>
  <c r="Y55" i="179"/>
  <c r="Y76" i="179"/>
  <c r="Y88" i="179"/>
  <c r="Y83" i="179"/>
  <c r="Y64" i="179"/>
  <c r="Y65" i="179"/>
  <c r="Y67" i="179"/>
  <c r="Y78" i="179"/>
  <c r="Y90" i="179"/>
  <c r="Y52" i="179"/>
  <c r="Y53" i="179"/>
  <c r="Y69" i="179"/>
  <c r="Y73" i="179"/>
  <c r="Y85" i="179"/>
  <c r="Y80" i="179"/>
  <c r="Y22" i="179"/>
  <c r="Y29" i="179"/>
  <c r="Y51" i="179"/>
  <c r="Y82" i="179"/>
  <c r="Y57" i="179"/>
  <c r="Y77" i="179"/>
  <c r="Y89" i="179"/>
  <c r="Y71" i="179"/>
  <c r="Y84" i="179"/>
  <c r="Y68" i="179"/>
  <c r="Y79" i="179"/>
  <c r="Y95" i="179"/>
  <c r="Y107" i="179"/>
  <c r="Y102" i="179"/>
  <c r="Y114" i="179"/>
  <c r="Y97" i="179"/>
  <c r="Y109" i="179"/>
  <c r="Y49" i="179"/>
  <c r="Y87" i="179"/>
  <c r="Y92" i="179"/>
  <c r="Y104" i="179"/>
  <c r="Y99" i="179"/>
  <c r="Y111" i="179"/>
  <c r="Y75" i="179"/>
  <c r="Y101" i="179"/>
  <c r="Y113" i="179"/>
  <c r="Y59" i="179"/>
  <c r="Y86" i="179"/>
  <c r="Y96" i="179"/>
  <c r="Y108" i="179"/>
  <c r="Y121" i="179"/>
  <c r="Y133" i="179"/>
  <c r="Y116" i="179"/>
  <c r="Y128" i="179"/>
  <c r="Y110" i="179"/>
  <c r="Y123" i="179"/>
  <c r="Y81" i="179"/>
  <c r="Y98" i="179"/>
  <c r="Y118" i="179"/>
  <c r="Y130" i="179"/>
  <c r="Y125" i="179"/>
  <c r="Y62" i="179"/>
  <c r="Y100" i="179"/>
  <c r="Y127" i="179"/>
  <c r="Y103" i="179"/>
  <c r="Y115" i="179"/>
  <c r="Y122" i="179"/>
  <c r="Y134" i="179"/>
  <c r="Y91" i="179"/>
  <c r="Y117" i="179"/>
  <c r="Y129" i="179"/>
  <c r="Y120" i="179"/>
  <c r="Y143" i="179"/>
  <c r="Y155" i="179"/>
  <c r="Y138" i="179"/>
  <c r="Y150" i="179"/>
  <c r="Y105" i="179"/>
  <c r="Y119" i="179"/>
  <c r="Y145" i="179"/>
  <c r="Y157" i="179"/>
  <c r="Y94" i="179"/>
  <c r="Y126" i="179"/>
  <c r="Y140" i="179"/>
  <c r="Y152" i="179"/>
  <c r="Y74" i="179"/>
  <c r="Y132" i="179"/>
  <c r="Y135" i="179"/>
  <c r="Y147" i="179"/>
  <c r="Y159" i="179"/>
  <c r="Y106" i="179"/>
  <c r="Y131" i="179"/>
  <c r="Y137" i="179"/>
  <c r="Y149" i="179"/>
  <c r="Y161" i="179"/>
  <c r="Y144" i="179"/>
  <c r="Y156" i="179"/>
  <c r="Y112" i="179"/>
  <c r="Y139" i="179"/>
  <c r="Y151" i="179"/>
  <c r="Y142" i="179"/>
  <c r="Y3" i="179"/>
  <c r="Y141" i="179"/>
  <c r="Y93" i="179"/>
  <c r="Y148" i="179"/>
  <c r="Y124" i="179"/>
  <c r="Y154" i="179"/>
  <c r="Y153" i="179"/>
  <c r="Y160" i="179"/>
  <c r="Y136" i="179"/>
  <c r="Y158" i="179"/>
  <c r="Y146" i="179"/>
  <c r="Z1" i="179"/>
  <c r="D136" i="177"/>
  <c r="D158" i="177"/>
  <c r="D4" i="177"/>
  <c r="D16" i="177"/>
  <c r="D28" i="177"/>
  <c r="D11" i="177"/>
  <c r="D23" i="177"/>
  <c r="D35" i="177"/>
  <c r="D6" i="177"/>
  <c r="D18" i="177"/>
  <c r="D30" i="177"/>
  <c r="D13" i="177"/>
  <c r="D25" i="177"/>
  <c r="D8" i="177"/>
  <c r="D20" i="177"/>
  <c r="D32" i="177"/>
  <c r="D15" i="177"/>
  <c r="D27" i="177"/>
  <c r="D10" i="177"/>
  <c r="D22" i="177"/>
  <c r="D34" i="177"/>
  <c r="D5" i="177"/>
  <c r="D17" i="177"/>
  <c r="D29" i="177"/>
  <c r="D12" i="177"/>
  <c r="D24" i="177"/>
  <c r="D36" i="177"/>
  <c r="D14" i="177"/>
  <c r="D26" i="177"/>
  <c r="D9" i="177"/>
  <c r="D43" i="177"/>
  <c r="D55" i="177"/>
  <c r="D21" i="177"/>
  <c r="D45" i="177"/>
  <c r="D57" i="177"/>
  <c r="D19" i="177"/>
  <c r="D40" i="177"/>
  <c r="D52" i="177"/>
  <c r="D64" i="177"/>
  <c r="D33" i="177"/>
  <c r="D47" i="177"/>
  <c r="D59" i="177"/>
  <c r="D31" i="177"/>
  <c r="D42" i="177"/>
  <c r="D54" i="177"/>
  <c r="D37" i="177"/>
  <c r="D49" i="177"/>
  <c r="D61" i="177"/>
  <c r="D44" i="177"/>
  <c r="D56" i="177"/>
  <c r="D46" i="177"/>
  <c r="D58" i="177"/>
  <c r="D41" i="177"/>
  <c r="D70" i="177"/>
  <c r="D82" i="177"/>
  <c r="D48" i="177"/>
  <c r="D65" i="177"/>
  <c r="D7" i="177"/>
  <c r="D62" i="177"/>
  <c r="D72" i="177"/>
  <c r="D39" i="177"/>
  <c r="D67" i="177"/>
  <c r="D79" i="177"/>
  <c r="D53" i="177"/>
  <c r="D74" i="177"/>
  <c r="D86" i="177"/>
  <c r="D60" i="177"/>
  <c r="D69" i="177"/>
  <c r="D81" i="177"/>
  <c r="D38" i="177"/>
  <c r="D76" i="177"/>
  <c r="D51" i="177"/>
  <c r="D71" i="177"/>
  <c r="D83" i="177"/>
  <c r="D80" i="177"/>
  <c r="D85" i="177"/>
  <c r="D94" i="177"/>
  <c r="D106" i="177"/>
  <c r="D66" i="177"/>
  <c r="D68" i="177"/>
  <c r="D89" i="177"/>
  <c r="D101" i="177"/>
  <c r="D87" i="177"/>
  <c r="D96" i="177"/>
  <c r="D91" i="177"/>
  <c r="D63" i="177"/>
  <c r="D98" i="177"/>
  <c r="D88" i="177"/>
  <c r="D100" i="177"/>
  <c r="D84" i="177"/>
  <c r="D95" i="177"/>
  <c r="D75" i="177"/>
  <c r="D90" i="177"/>
  <c r="D78" i="177"/>
  <c r="D97" i="177"/>
  <c r="D73" i="177"/>
  <c r="D110" i="177"/>
  <c r="D123" i="177"/>
  <c r="D135" i="177"/>
  <c r="D77" i="177"/>
  <c r="D104" i="177"/>
  <c r="D117" i="177"/>
  <c r="D112" i="177"/>
  <c r="D125" i="177"/>
  <c r="D93" i="177"/>
  <c r="D107" i="177"/>
  <c r="D119" i="177"/>
  <c r="D114" i="177"/>
  <c r="D127" i="177"/>
  <c r="D99" i="177"/>
  <c r="D105" i="177"/>
  <c r="D109" i="177"/>
  <c r="D122" i="177"/>
  <c r="D116" i="177"/>
  <c r="D92" i="177"/>
  <c r="D111" i="177"/>
  <c r="D124" i="177"/>
  <c r="D103" i="177"/>
  <c r="D118" i="177"/>
  <c r="D113" i="177"/>
  <c r="D126" i="177"/>
  <c r="D102" i="177"/>
  <c r="D108" i="177"/>
  <c r="D121" i="177"/>
  <c r="D50" i="177"/>
  <c r="D143" i="177"/>
  <c r="D155" i="177"/>
  <c r="D131" i="177"/>
  <c r="D138" i="177"/>
  <c r="D150" i="177"/>
  <c r="D134" i="177"/>
  <c r="D145" i="177"/>
  <c r="D157" i="177"/>
  <c r="D115" i="177"/>
  <c r="D140" i="177"/>
  <c r="D152" i="177"/>
  <c r="D129" i="177"/>
  <c r="D147" i="177"/>
  <c r="D132" i="177"/>
  <c r="D142" i="177"/>
  <c r="D154" i="177"/>
  <c r="D137" i="177"/>
  <c r="D149" i="177"/>
  <c r="D144" i="177"/>
  <c r="D130" i="177"/>
  <c r="D139" i="177"/>
  <c r="D151" i="177"/>
  <c r="D128" i="177"/>
  <c r="D133" i="177"/>
  <c r="D141" i="177"/>
  <c r="D153" i="177"/>
  <c r="D3" i="177"/>
  <c r="D146" i="177"/>
  <c r="D148" i="177"/>
  <c r="D156" i="177"/>
  <c r="D215" i="177"/>
  <c r="D203" i="177"/>
  <c r="D191" i="177"/>
  <c r="D211" i="177"/>
  <c r="D199" i="177"/>
  <c r="D219" i="177"/>
  <c r="D206" i="177"/>
  <c r="D193" i="177"/>
  <c r="D189" i="177"/>
  <c r="D217" i="177"/>
  <c r="D197" i="177"/>
  <c r="D185" i="177"/>
  <c r="D218" i="177"/>
  <c r="D213" i="177"/>
  <c r="D209" i="177"/>
  <c r="D204" i="177"/>
  <c r="D194" i="177"/>
  <c r="D221" i="177"/>
  <c r="D192" i="177"/>
  <c r="D183" i="177"/>
  <c r="D170" i="177"/>
  <c r="D202" i="177"/>
  <c r="D187" i="177"/>
  <c r="D208" i="177"/>
  <c r="D198" i="177"/>
  <c r="D182" i="177"/>
  <c r="D178" i="177"/>
  <c r="D166" i="177"/>
  <c r="D220" i="177"/>
  <c r="D175" i="177"/>
  <c r="D212" i="177"/>
  <c r="D216" i="177"/>
  <c r="D186" i="177"/>
  <c r="D179" i="177"/>
  <c r="D172" i="177"/>
  <c r="D196" i="177"/>
  <c r="D171" i="177"/>
  <c r="D165" i="177"/>
  <c r="D210" i="177"/>
  <c r="D205" i="177"/>
  <c r="D200" i="177"/>
  <c r="D176" i="177"/>
  <c r="D163" i="177"/>
  <c r="D184" i="177"/>
  <c r="D168" i="177"/>
  <c r="D162" i="177"/>
  <c r="D160" i="177"/>
  <c r="D190" i="177"/>
  <c r="D188" i="177"/>
  <c r="D181" i="177"/>
  <c r="D222" i="177"/>
  <c r="D195" i="177"/>
  <c r="D180" i="177"/>
  <c r="D177" i="177"/>
  <c r="D201" i="177"/>
  <c r="D167" i="177"/>
  <c r="D169" i="177"/>
  <c r="D214" i="177"/>
  <c r="D207" i="177"/>
  <c r="D173" i="177"/>
  <c r="D161" i="177"/>
  <c r="D159" i="177"/>
  <c r="D174" i="177"/>
  <c r="D164" i="177"/>
  <c r="E1" i="177"/>
  <c r="T75" i="174"/>
  <c r="T76" i="174"/>
  <c r="T77" i="174"/>
  <c r="T78" i="174"/>
  <c r="T79" i="174"/>
  <c r="T80" i="174"/>
  <c r="T82" i="174"/>
  <c r="T83" i="174"/>
  <c r="T84" i="174"/>
  <c r="T85" i="174"/>
  <c r="T86" i="174"/>
  <c r="T87" i="174"/>
  <c r="T88" i="174"/>
  <c r="T81" i="174"/>
  <c r="Z39" i="179" l="1"/>
  <c r="Z48" i="179"/>
  <c r="Z162" i="179"/>
  <c r="Z72" i="179"/>
  <c r="E158" i="177"/>
  <c r="E120" i="177"/>
  <c r="Z6" i="179"/>
  <c r="Z18" i="179"/>
  <c r="Z30" i="179"/>
  <c r="Z13" i="179"/>
  <c r="Z8" i="179"/>
  <c r="Z20" i="179"/>
  <c r="Z32" i="179"/>
  <c r="Z5" i="179"/>
  <c r="Z17" i="179"/>
  <c r="Z29" i="179"/>
  <c r="Z12" i="179"/>
  <c r="Z24" i="179"/>
  <c r="Z36" i="179"/>
  <c r="Z27" i="179"/>
  <c r="Z37" i="179"/>
  <c r="Z51" i="179"/>
  <c r="Z9" i="179"/>
  <c r="Z15" i="179"/>
  <c r="Z19" i="179"/>
  <c r="Z34" i="179"/>
  <c r="Z45" i="179"/>
  <c r="Z11" i="179"/>
  <c r="Z21" i="179"/>
  <c r="Z40" i="179"/>
  <c r="Z7" i="179"/>
  <c r="Z23" i="179"/>
  <c r="Z26" i="179"/>
  <c r="Z47" i="179"/>
  <c r="Z33" i="179"/>
  <c r="Z42" i="179"/>
  <c r="Z44" i="179"/>
  <c r="Z16" i="179"/>
  <c r="Z22" i="179"/>
  <c r="Z46" i="179"/>
  <c r="Z4" i="179"/>
  <c r="Z25" i="179"/>
  <c r="Z38" i="179"/>
  <c r="Z59" i="179"/>
  <c r="Z54" i="179"/>
  <c r="Z66" i="179"/>
  <c r="Z28" i="179"/>
  <c r="Z41" i="179"/>
  <c r="Z61" i="179"/>
  <c r="Z35" i="179"/>
  <c r="Z56" i="179"/>
  <c r="Z68" i="179"/>
  <c r="Z31" i="179"/>
  <c r="Z63" i="179"/>
  <c r="Z53" i="179"/>
  <c r="Z65" i="179"/>
  <c r="Z60" i="179"/>
  <c r="Z62" i="179"/>
  <c r="Z81" i="179"/>
  <c r="Z76" i="179"/>
  <c r="Z88" i="179"/>
  <c r="Z83" i="179"/>
  <c r="Z10" i="179"/>
  <c r="Z43" i="179"/>
  <c r="Z64" i="179"/>
  <c r="Z67" i="179"/>
  <c r="Z78" i="179"/>
  <c r="Z90" i="179"/>
  <c r="Z52" i="179"/>
  <c r="Z69" i="179"/>
  <c r="Z73" i="179"/>
  <c r="Z85" i="179"/>
  <c r="Z49" i="179"/>
  <c r="Z75" i="179"/>
  <c r="Z87" i="179"/>
  <c r="Z82" i="179"/>
  <c r="Z57" i="179"/>
  <c r="Z58" i="179"/>
  <c r="Z77" i="179"/>
  <c r="Z89" i="179"/>
  <c r="Z70" i="179"/>
  <c r="Z71" i="179"/>
  <c r="Z84" i="179"/>
  <c r="Z100" i="179"/>
  <c r="Z112" i="179"/>
  <c r="Z79" i="179"/>
  <c r="Z95" i="179"/>
  <c r="Z107" i="179"/>
  <c r="Z102" i="179"/>
  <c r="Z114" i="179"/>
  <c r="Z97" i="179"/>
  <c r="Z109" i="179"/>
  <c r="Z92" i="179"/>
  <c r="Z104" i="179"/>
  <c r="Z14" i="179"/>
  <c r="Z55" i="179"/>
  <c r="Z94" i="179"/>
  <c r="Z106" i="179"/>
  <c r="Z101" i="179"/>
  <c r="Z113" i="179"/>
  <c r="Z80" i="179"/>
  <c r="Z93" i="179"/>
  <c r="Z108" i="179"/>
  <c r="Z126" i="179"/>
  <c r="Z96" i="179"/>
  <c r="Z121" i="179"/>
  <c r="Z133" i="179"/>
  <c r="Z116" i="179"/>
  <c r="Z128" i="179"/>
  <c r="Z50" i="179"/>
  <c r="Z110" i="179"/>
  <c r="Z111" i="179"/>
  <c r="Z123" i="179"/>
  <c r="Z98" i="179"/>
  <c r="Z99" i="179"/>
  <c r="Z118" i="179"/>
  <c r="Z130" i="179"/>
  <c r="Z74" i="179"/>
  <c r="Z120" i="179"/>
  <c r="Z132" i="179"/>
  <c r="Z86" i="179"/>
  <c r="Z127" i="179"/>
  <c r="Z103" i="179"/>
  <c r="Z115" i="179"/>
  <c r="Z122" i="179"/>
  <c r="Z134" i="179"/>
  <c r="Z136" i="179"/>
  <c r="Z148" i="179"/>
  <c r="Z160" i="179"/>
  <c r="Z91" i="179"/>
  <c r="Z143" i="179"/>
  <c r="Z155" i="179"/>
  <c r="Z138" i="179"/>
  <c r="Z150" i="179"/>
  <c r="Z105" i="179"/>
  <c r="Z119" i="179"/>
  <c r="Z145" i="179"/>
  <c r="Z157" i="179"/>
  <c r="Z125" i="179"/>
  <c r="Z140" i="179"/>
  <c r="Z152" i="179"/>
  <c r="Z124" i="179"/>
  <c r="Z142" i="179"/>
  <c r="Z154" i="179"/>
  <c r="Z131" i="179"/>
  <c r="Z137" i="179"/>
  <c r="Z149" i="179"/>
  <c r="Z161" i="179"/>
  <c r="Z144" i="179"/>
  <c r="Z156" i="179"/>
  <c r="Z135" i="179"/>
  <c r="Z3" i="179"/>
  <c r="Z141" i="179"/>
  <c r="Z117" i="179"/>
  <c r="Z147" i="179"/>
  <c r="Z146" i="179"/>
  <c r="Z153" i="179"/>
  <c r="Z129" i="179"/>
  <c r="Z159" i="179"/>
  <c r="Z139" i="179"/>
  <c r="Z151" i="179"/>
  <c r="Z158" i="179"/>
  <c r="AA1" i="179"/>
  <c r="E9" i="177"/>
  <c r="E21" i="177"/>
  <c r="E33" i="177"/>
  <c r="E4" i="177"/>
  <c r="E16" i="177"/>
  <c r="E28" i="177"/>
  <c r="E11" i="177"/>
  <c r="E23" i="177"/>
  <c r="E35" i="177"/>
  <c r="E6" i="177"/>
  <c r="E18" i="177"/>
  <c r="E30" i="177"/>
  <c r="E13" i="177"/>
  <c r="E25" i="177"/>
  <c r="E8" i="177"/>
  <c r="E20" i="177"/>
  <c r="E32" i="177"/>
  <c r="E15" i="177"/>
  <c r="E27" i="177"/>
  <c r="E10" i="177"/>
  <c r="E22" i="177"/>
  <c r="E34" i="177"/>
  <c r="E5" i="177"/>
  <c r="E17" i="177"/>
  <c r="E29" i="177"/>
  <c r="E7" i="177"/>
  <c r="E19" i="177"/>
  <c r="E31" i="177"/>
  <c r="E48" i="177"/>
  <c r="E60" i="177"/>
  <c r="E14" i="177"/>
  <c r="E38" i="177"/>
  <c r="E50" i="177"/>
  <c r="E62" i="177"/>
  <c r="E12" i="177"/>
  <c r="E45" i="177"/>
  <c r="E57" i="177"/>
  <c r="E26" i="177"/>
  <c r="E40" i="177"/>
  <c r="E52" i="177"/>
  <c r="E64" i="177"/>
  <c r="E24" i="177"/>
  <c r="E47" i="177"/>
  <c r="E59" i="177"/>
  <c r="E42" i="177"/>
  <c r="E54" i="177"/>
  <c r="E36" i="177"/>
  <c r="E37" i="177"/>
  <c r="E49" i="177"/>
  <c r="E61" i="177"/>
  <c r="E39" i="177"/>
  <c r="E51" i="177"/>
  <c r="E63" i="177"/>
  <c r="E75" i="177"/>
  <c r="E87" i="177"/>
  <c r="E41" i="177"/>
  <c r="E55" i="177"/>
  <c r="E65" i="177"/>
  <c r="E77" i="177"/>
  <c r="E72" i="177"/>
  <c r="E46" i="177"/>
  <c r="E67" i="177"/>
  <c r="E79" i="177"/>
  <c r="E53" i="177"/>
  <c r="E74" i="177"/>
  <c r="E69" i="177"/>
  <c r="E81" i="177"/>
  <c r="E44" i="177"/>
  <c r="E76" i="177"/>
  <c r="E99" i="177"/>
  <c r="E80" i="177"/>
  <c r="E85" i="177"/>
  <c r="E94" i="177"/>
  <c r="E66" i="177"/>
  <c r="E68" i="177"/>
  <c r="E83" i="177"/>
  <c r="E89" i="177"/>
  <c r="E101" i="177"/>
  <c r="E71" i="177"/>
  <c r="E82" i="177"/>
  <c r="E96" i="177"/>
  <c r="E56" i="177"/>
  <c r="E70" i="177"/>
  <c r="E91" i="177"/>
  <c r="E73" i="177"/>
  <c r="E93" i="177"/>
  <c r="E88" i="177"/>
  <c r="E100" i="177"/>
  <c r="E84" i="177"/>
  <c r="E95" i="177"/>
  <c r="E58" i="177"/>
  <c r="E90" i="177"/>
  <c r="E115" i="177"/>
  <c r="E128" i="177"/>
  <c r="E110" i="177"/>
  <c r="E123" i="177"/>
  <c r="E104" i="177"/>
  <c r="E117" i="177"/>
  <c r="E112" i="177"/>
  <c r="E125" i="177"/>
  <c r="E78" i="177"/>
  <c r="E107" i="177"/>
  <c r="E119" i="177"/>
  <c r="E114" i="177"/>
  <c r="E127" i="177"/>
  <c r="E43" i="177"/>
  <c r="E98" i="177"/>
  <c r="E105" i="177"/>
  <c r="E109" i="177"/>
  <c r="E122" i="177"/>
  <c r="E116" i="177"/>
  <c r="E92" i="177"/>
  <c r="E111" i="177"/>
  <c r="E124" i="177"/>
  <c r="E103" i="177"/>
  <c r="E118" i="177"/>
  <c r="E97" i="177"/>
  <c r="E106" i="177"/>
  <c r="E113" i="177"/>
  <c r="E126" i="177"/>
  <c r="E136" i="177"/>
  <c r="E148" i="177"/>
  <c r="E143" i="177"/>
  <c r="E131" i="177"/>
  <c r="E138" i="177"/>
  <c r="E150" i="177"/>
  <c r="E134" i="177"/>
  <c r="E145" i="177"/>
  <c r="E121" i="177"/>
  <c r="E140" i="177"/>
  <c r="E152" i="177"/>
  <c r="E129" i="177"/>
  <c r="E147" i="177"/>
  <c r="E132" i="177"/>
  <c r="E142" i="177"/>
  <c r="E154" i="177"/>
  <c r="E86" i="177"/>
  <c r="E102" i="177"/>
  <c r="E135" i="177"/>
  <c r="E137" i="177"/>
  <c r="E149" i="177"/>
  <c r="E144" i="177"/>
  <c r="E156" i="177"/>
  <c r="E146" i="177"/>
  <c r="E155" i="177"/>
  <c r="E157" i="177"/>
  <c r="E141" i="177"/>
  <c r="E139" i="177"/>
  <c r="E153" i="177"/>
  <c r="E108" i="177"/>
  <c r="E151" i="177"/>
  <c r="E130" i="177"/>
  <c r="E3" i="177"/>
  <c r="E133" i="177"/>
  <c r="E220" i="177"/>
  <c r="E208" i="177"/>
  <c r="E196" i="177"/>
  <c r="E216" i="177"/>
  <c r="E204" i="177"/>
  <c r="E192" i="177"/>
  <c r="E212" i="177"/>
  <c r="E199" i="177"/>
  <c r="E182" i="177"/>
  <c r="E210" i="177"/>
  <c r="E190" i="177"/>
  <c r="E214" i="177"/>
  <c r="E219" i="177"/>
  <c r="E202" i="177"/>
  <c r="E197" i="177"/>
  <c r="E187" i="177"/>
  <c r="E175" i="177"/>
  <c r="E163" i="177"/>
  <c r="E207" i="177"/>
  <c r="E180" i="177"/>
  <c r="E218" i="177"/>
  <c r="E213" i="177"/>
  <c r="E185" i="177"/>
  <c r="E171" i="177"/>
  <c r="E221" i="177"/>
  <c r="E183" i="177"/>
  <c r="E168" i="177"/>
  <c r="E178" i="177"/>
  <c r="E165" i="177"/>
  <c r="E217" i="177"/>
  <c r="E201" i="177"/>
  <c r="E191" i="177"/>
  <c r="E188" i="177"/>
  <c r="E164" i="177"/>
  <c r="E169" i="177"/>
  <c r="E186" i="177"/>
  <c r="E181" i="177"/>
  <c r="E222" i="177"/>
  <c r="E195" i="177"/>
  <c r="E189" i="177"/>
  <c r="E177" i="177"/>
  <c r="E159" i="177"/>
  <c r="E205" i="177"/>
  <c r="E200" i="177"/>
  <c r="E215" i="177"/>
  <c r="E179" i="177"/>
  <c r="E211" i="177"/>
  <c r="E206" i="177"/>
  <c r="E176" i="177"/>
  <c r="E203" i="177"/>
  <c r="E198" i="177"/>
  <c r="E193" i="177"/>
  <c r="E209" i="177"/>
  <c r="E194" i="177"/>
  <c r="E184" i="177"/>
  <c r="E166" i="177"/>
  <c r="E162" i="177"/>
  <c r="E160" i="177"/>
  <c r="E174" i="177"/>
  <c r="E172" i="177"/>
  <c r="E170" i="177"/>
  <c r="E167" i="177"/>
  <c r="E173" i="177"/>
  <c r="E161" i="177"/>
  <c r="F1" i="177"/>
  <c r="T89" i="174"/>
  <c r="AA39" i="179" l="1"/>
  <c r="AA48" i="179"/>
  <c r="AA162" i="179"/>
  <c r="AA72" i="179"/>
  <c r="F158" i="177"/>
  <c r="F120" i="177"/>
  <c r="AA11" i="179"/>
  <c r="AA23" i="179"/>
  <c r="AA35" i="179"/>
  <c r="AA6" i="179"/>
  <c r="AA18" i="179"/>
  <c r="AA13" i="179"/>
  <c r="AA25" i="179"/>
  <c r="AA10" i="179"/>
  <c r="AA22" i="179"/>
  <c r="AA34" i="179"/>
  <c r="AA5" i="179"/>
  <c r="AA17" i="179"/>
  <c r="AA29" i="179"/>
  <c r="AA7" i="179"/>
  <c r="AA43" i="179"/>
  <c r="AA27" i="179"/>
  <c r="AA37" i="179"/>
  <c r="AA51" i="179"/>
  <c r="AA9" i="179"/>
  <c r="AA15" i="179"/>
  <c r="AA19" i="179"/>
  <c r="AA45" i="179"/>
  <c r="AA21" i="179"/>
  <c r="AA30" i="179"/>
  <c r="AA40" i="179"/>
  <c r="AA26" i="179"/>
  <c r="AA47" i="179"/>
  <c r="AA4" i="179"/>
  <c r="AA36" i="179"/>
  <c r="AA50" i="179"/>
  <c r="AA14" i="179"/>
  <c r="AA20" i="179"/>
  <c r="AA32" i="179"/>
  <c r="AA38" i="179"/>
  <c r="AA52" i="179"/>
  <c r="AA64" i="179"/>
  <c r="AA59" i="179"/>
  <c r="AA8" i="179"/>
  <c r="AA54" i="179"/>
  <c r="AA16" i="179"/>
  <c r="AA28" i="179"/>
  <c r="AA41" i="179"/>
  <c r="AA42" i="179"/>
  <c r="AA61" i="179"/>
  <c r="AA24" i="179"/>
  <c r="AA56" i="179"/>
  <c r="AA68" i="179"/>
  <c r="AA58" i="179"/>
  <c r="AA46" i="179"/>
  <c r="AA53" i="179"/>
  <c r="AA74" i="179"/>
  <c r="AA86" i="179"/>
  <c r="AA31" i="179"/>
  <c r="AA62" i="179"/>
  <c r="AA63" i="179"/>
  <c r="AA81" i="179"/>
  <c r="AA76" i="179"/>
  <c r="AA88" i="179"/>
  <c r="AA65" i="179"/>
  <c r="AA83" i="179"/>
  <c r="AA67" i="179"/>
  <c r="AA78" i="179"/>
  <c r="AA90" i="179"/>
  <c r="AA55" i="179"/>
  <c r="AA80" i="179"/>
  <c r="AA49" i="179"/>
  <c r="AA75" i="179"/>
  <c r="AA87" i="179"/>
  <c r="AA33" i="179"/>
  <c r="AA44" i="179"/>
  <c r="AA82" i="179"/>
  <c r="AA12" i="179"/>
  <c r="AA57" i="179"/>
  <c r="AA77" i="179"/>
  <c r="AA89" i="179"/>
  <c r="AA85" i="179"/>
  <c r="AA93" i="179"/>
  <c r="AA105" i="179"/>
  <c r="AA70" i="179"/>
  <c r="AA100" i="179"/>
  <c r="AA112" i="179"/>
  <c r="AA79" i="179"/>
  <c r="AA95" i="179"/>
  <c r="AA107" i="179"/>
  <c r="AA73" i="179"/>
  <c r="AA102" i="179"/>
  <c r="AA114" i="179"/>
  <c r="AA84" i="179"/>
  <c r="AA97" i="179"/>
  <c r="AA109" i="179"/>
  <c r="AA99" i="179"/>
  <c r="AA111" i="179"/>
  <c r="AA66" i="179"/>
  <c r="AA71" i="179"/>
  <c r="AA94" i="179"/>
  <c r="AA106" i="179"/>
  <c r="AA119" i="179"/>
  <c r="AA131" i="179"/>
  <c r="AA108" i="179"/>
  <c r="AA126" i="179"/>
  <c r="AA96" i="179"/>
  <c r="AA121" i="179"/>
  <c r="AA133" i="179"/>
  <c r="AA116" i="179"/>
  <c r="AA128" i="179"/>
  <c r="AA60" i="179"/>
  <c r="AA110" i="179"/>
  <c r="AA123" i="179"/>
  <c r="AA69" i="179"/>
  <c r="AA101" i="179"/>
  <c r="AA125" i="179"/>
  <c r="AA120" i="179"/>
  <c r="AA132" i="179"/>
  <c r="AA127" i="179"/>
  <c r="AA113" i="179"/>
  <c r="AA141" i="179"/>
  <c r="AA153" i="179"/>
  <c r="AA134" i="179"/>
  <c r="AA136" i="179"/>
  <c r="AA148" i="179"/>
  <c r="AA160" i="179"/>
  <c r="AA91" i="179"/>
  <c r="AA143" i="179"/>
  <c r="AA155" i="179"/>
  <c r="AA138" i="179"/>
  <c r="AA150" i="179"/>
  <c r="AA118" i="179"/>
  <c r="AA145" i="179"/>
  <c r="AA157" i="179"/>
  <c r="AA92" i="179"/>
  <c r="AA117" i="179"/>
  <c r="AA135" i="179"/>
  <c r="AA147" i="179"/>
  <c r="AA159" i="179"/>
  <c r="AA124" i="179"/>
  <c r="AA142" i="179"/>
  <c r="AA154" i="179"/>
  <c r="AA98" i="179"/>
  <c r="AA130" i="179"/>
  <c r="AA137" i="179"/>
  <c r="AA149" i="179"/>
  <c r="AA161" i="179"/>
  <c r="AA156" i="179"/>
  <c r="AA3" i="179"/>
  <c r="AA103" i="179"/>
  <c r="AA140" i="179"/>
  <c r="AA104" i="179"/>
  <c r="AA139" i="179"/>
  <c r="AA146" i="179"/>
  <c r="AA115" i="179"/>
  <c r="AA122" i="179"/>
  <c r="AA152" i="179"/>
  <c r="AA158" i="179"/>
  <c r="AA144" i="179"/>
  <c r="AA151" i="179"/>
  <c r="AA129" i="179"/>
  <c r="AB1" i="179"/>
  <c r="F14" i="177"/>
  <c r="F26" i="177"/>
  <c r="F9" i="177"/>
  <c r="F21" i="177"/>
  <c r="F33" i="177"/>
  <c r="F4" i="177"/>
  <c r="F16" i="177"/>
  <c r="F28" i="177"/>
  <c r="F11" i="177"/>
  <c r="F23" i="177"/>
  <c r="F35" i="177"/>
  <c r="F6" i="177"/>
  <c r="F18" i="177"/>
  <c r="F30" i="177"/>
  <c r="F13" i="177"/>
  <c r="F25" i="177"/>
  <c r="F8" i="177"/>
  <c r="F20" i="177"/>
  <c r="F32" i="177"/>
  <c r="F15" i="177"/>
  <c r="F27" i="177"/>
  <c r="F10" i="177"/>
  <c r="F22" i="177"/>
  <c r="F34" i="177"/>
  <c r="F12" i="177"/>
  <c r="F24" i="177"/>
  <c r="F36" i="177"/>
  <c r="F41" i="177"/>
  <c r="F53" i="177"/>
  <c r="F7" i="177"/>
  <c r="F43" i="177"/>
  <c r="F55" i="177"/>
  <c r="F5" i="177"/>
  <c r="F38" i="177"/>
  <c r="F50" i="177"/>
  <c r="F62" i="177"/>
  <c r="F19" i="177"/>
  <c r="F45" i="177"/>
  <c r="F57" i="177"/>
  <c r="F17" i="177"/>
  <c r="F40" i="177"/>
  <c r="F52" i="177"/>
  <c r="F64" i="177"/>
  <c r="F31" i="177"/>
  <c r="F47" i="177"/>
  <c r="F59" i="177"/>
  <c r="F29" i="177"/>
  <c r="F42" i="177"/>
  <c r="F54" i="177"/>
  <c r="F44" i="177"/>
  <c r="F56" i="177"/>
  <c r="F49" i="177"/>
  <c r="F63" i="177"/>
  <c r="F68" i="177"/>
  <c r="F80" i="177"/>
  <c r="F48" i="177"/>
  <c r="F70" i="177"/>
  <c r="F82" i="177"/>
  <c r="F61" i="177"/>
  <c r="F65" i="177"/>
  <c r="F77" i="177"/>
  <c r="F39" i="177"/>
  <c r="F72" i="177"/>
  <c r="F84" i="177"/>
  <c r="F46" i="177"/>
  <c r="F67" i="177"/>
  <c r="F79" i="177"/>
  <c r="F60" i="177"/>
  <c r="F74" i="177"/>
  <c r="F37" i="177"/>
  <c r="F69" i="177"/>
  <c r="F81" i="177"/>
  <c r="F51" i="177"/>
  <c r="F86" i="177"/>
  <c r="F92" i="177"/>
  <c r="F104" i="177"/>
  <c r="F99" i="177"/>
  <c r="F85" i="177"/>
  <c r="F94" i="177"/>
  <c r="F66" i="177"/>
  <c r="F83" i="177"/>
  <c r="F87" i="177"/>
  <c r="F89" i="177"/>
  <c r="F71" i="177"/>
  <c r="F96" i="177"/>
  <c r="F98" i="177"/>
  <c r="F73" i="177"/>
  <c r="F93" i="177"/>
  <c r="F76" i="177"/>
  <c r="F88" i="177"/>
  <c r="F100" i="177"/>
  <c r="F75" i="177"/>
  <c r="F95" i="177"/>
  <c r="F91" i="177"/>
  <c r="F102" i="177"/>
  <c r="F108" i="177"/>
  <c r="F121" i="177"/>
  <c r="F133" i="177"/>
  <c r="F115" i="177"/>
  <c r="F128" i="177"/>
  <c r="F101" i="177"/>
  <c r="F110" i="177"/>
  <c r="F123" i="177"/>
  <c r="F117" i="177"/>
  <c r="F58" i="177"/>
  <c r="F90" i="177"/>
  <c r="F112" i="177"/>
  <c r="F125" i="177"/>
  <c r="F78" i="177"/>
  <c r="F107" i="177"/>
  <c r="F119" i="177"/>
  <c r="F114" i="177"/>
  <c r="F127" i="177"/>
  <c r="F105" i="177"/>
  <c r="F109" i="177"/>
  <c r="F122" i="177"/>
  <c r="F116" i="177"/>
  <c r="F111" i="177"/>
  <c r="F124" i="177"/>
  <c r="F103" i="177"/>
  <c r="F118" i="177"/>
  <c r="F141" i="177"/>
  <c r="F153" i="177"/>
  <c r="F136" i="177"/>
  <c r="F148" i="177"/>
  <c r="F97" i="177"/>
  <c r="F143" i="177"/>
  <c r="F155" i="177"/>
  <c r="F131" i="177"/>
  <c r="F138" i="177"/>
  <c r="F150" i="177"/>
  <c r="F106" i="177"/>
  <c r="F134" i="177"/>
  <c r="F145" i="177"/>
  <c r="F126" i="177"/>
  <c r="F140" i="177"/>
  <c r="F152" i="177"/>
  <c r="F129" i="177"/>
  <c r="F147" i="177"/>
  <c r="F132" i="177"/>
  <c r="F142" i="177"/>
  <c r="F154" i="177"/>
  <c r="F135" i="177"/>
  <c r="F137" i="177"/>
  <c r="F149" i="177"/>
  <c r="F113" i="177"/>
  <c r="F130" i="177"/>
  <c r="F139" i="177"/>
  <c r="F151" i="177"/>
  <c r="F157" i="177"/>
  <c r="F3" i="177"/>
  <c r="F146" i="177"/>
  <c r="F144" i="177"/>
  <c r="F156" i="177"/>
  <c r="F213" i="177"/>
  <c r="F201" i="177"/>
  <c r="F221" i="177"/>
  <c r="F209" i="177"/>
  <c r="F197" i="177"/>
  <c r="F218" i="177"/>
  <c r="F205" i="177"/>
  <c r="F192" i="177"/>
  <c r="F187" i="177"/>
  <c r="F216" i="177"/>
  <c r="F203" i="177"/>
  <c r="F214" i="177"/>
  <c r="F219" i="177"/>
  <c r="F195" i="177"/>
  <c r="F190" i="177"/>
  <c r="F184" i="177"/>
  <c r="F207" i="177"/>
  <c r="F180" i="177"/>
  <c r="F168" i="177"/>
  <c r="F222" i="177"/>
  <c r="F217" i="177"/>
  <c r="F212" i="177"/>
  <c r="F186" i="177"/>
  <c r="F194" i="177"/>
  <c r="F176" i="177"/>
  <c r="F164" i="177"/>
  <c r="F181" i="177"/>
  <c r="F174" i="177"/>
  <c r="F196" i="177"/>
  <c r="F191" i="177"/>
  <c r="F188" i="177"/>
  <c r="F182" i="177"/>
  <c r="F171" i="177"/>
  <c r="F211" i="177"/>
  <c r="F206" i="177"/>
  <c r="F177" i="177"/>
  <c r="F220" i="177"/>
  <c r="F185" i="177"/>
  <c r="F162" i="177"/>
  <c r="F189" i="177"/>
  <c r="F159" i="177"/>
  <c r="F200" i="177"/>
  <c r="F170" i="177"/>
  <c r="F215" i="177"/>
  <c r="F210" i="177"/>
  <c r="F169" i="177"/>
  <c r="F202" i="177"/>
  <c r="F198" i="177"/>
  <c r="F193" i="177"/>
  <c r="F178" i="177"/>
  <c r="F208" i="177"/>
  <c r="F173" i="177"/>
  <c r="F204" i="177"/>
  <c r="F199" i="177"/>
  <c r="F183" i="177"/>
  <c r="F175" i="177"/>
  <c r="F167" i="177"/>
  <c r="F163" i="177"/>
  <c r="F179" i="177"/>
  <c r="F165" i="177"/>
  <c r="F161" i="177"/>
  <c r="F172" i="177"/>
  <c r="F166" i="177"/>
  <c r="F160" i="177"/>
  <c r="G1" i="177"/>
  <c r="T69" i="174"/>
  <c r="T70" i="174"/>
  <c r="T71" i="174"/>
  <c r="T72" i="174"/>
  <c r="T73" i="174"/>
  <c r="T74" i="174"/>
  <c r="T62" i="174"/>
  <c r="T67" i="174"/>
  <c r="T68" i="174"/>
  <c r="AB39" i="179" l="1"/>
  <c r="AB48" i="179"/>
  <c r="AB162" i="179"/>
  <c r="AB72" i="179"/>
  <c r="G158" i="177"/>
  <c r="G120" i="177"/>
  <c r="AB4" i="179"/>
  <c r="AB16" i="179"/>
  <c r="AB28" i="179"/>
  <c r="AB11" i="179"/>
  <c r="AB23" i="179"/>
  <c r="AB6" i="179"/>
  <c r="AB18" i="179"/>
  <c r="AB30" i="179"/>
  <c r="AB15" i="179"/>
  <c r="AB27" i="179"/>
  <c r="AB10" i="179"/>
  <c r="AB22" i="179"/>
  <c r="AB34" i="179"/>
  <c r="AB31" i="179"/>
  <c r="AB49" i="179"/>
  <c r="AB43" i="179"/>
  <c r="AB13" i="179"/>
  <c r="AB17" i="179"/>
  <c r="AB37" i="179"/>
  <c r="AB51" i="179"/>
  <c r="AB9" i="179"/>
  <c r="AB19" i="179"/>
  <c r="AB45" i="179"/>
  <c r="AB7" i="179"/>
  <c r="AB21" i="179"/>
  <c r="AB40" i="179"/>
  <c r="AB29" i="179"/>
  <c r="AB33" i="179"/>
  <c r="AB42" i="179"/>
  <c r="AB8" i="179"/>
  <c r="AB12" i="179"/>
  <c r="AB25" i="179"/>
  <c r="AB44" i="179"/>
  <c r="AB14" i="179"/>
  <c r="AB57" i="179"/>
  <c r="AB69" i="179"/>
  <c r="AB32" i="179"/>
  <c r="AB38" i="179"/>
  <c r="AB52" i="179"/>
  <c r="AB64" i="179"/>
  <c r="AB59" i="179"/>
  <c r="AB54" i="179"/>
  <c r="AB66" i="179"/>
  <c r="AB35" i="179"/>
  <c r="AB41" i="179"/>
  <c r="AB61" i="179"/>
  <c r="AB63" i="179"/>
  <c r="AB5" i="179"/>
  <c r="AB58" i="179"/>
  <c r="AB24" i="179"/>
  <c r="AB47" i="179"/>
  <c r="AB50" i="179"/>
  <c r="AB79" i="179"/>
  <c r="AB74" i="179"/>
  <c r="AB86" i="179"/>
  <c r="AB62" i="179"/>
  <c r="AB81" i="179"/>
  <c r="AB76" i="179"/>
  <c r="AB88" i="179"/>
  <c r="AB53" i="179"/>
  <c r="AB65" i="179"/>
  <c r="AB83" i="179"/>
  <c r="AB73" i="179"/>
  <c r="AB85" i="179"/>
  <c r="AB26" i="179"/>
  <c r="AB46" i="179"/>
  <c r="AB55" i="179"/>
  <c r="AB56" i="179"/>
  <c r="AB80" i="179"/>
  <c r="AB36" i="179"/>
  <c r="AB75" i="179"/>
  <c r="AB87" i="179"/>
  <c r="AB82" i="179"/>
  <c r="AB67" i="179"/>
  <c r="AB98" i="179"/>
  <c r="AB110" i="179"/>
  <c r="AB93" i="179"/>
  <c r="AB105" i="179"/>
  <c r="AB70" i="179"/>
  <c r="AB100" i="179"/>
  <c r="AB112" i="179"/>
  <c r="AB95" i="179"/>
  <c r="AB107" i="179"/>
  <c r="AB68" i="179"/>
  <c r="AB90" i="179"/>
  <c r="AB102" i="179"/>
  <c r="AB114" i="179"/>
  <c r="AB78" i="179"/>
  <c r="AB92" i="179"/>
  <c r="AB104" i="179"/>
  <c r="AB89" i="179"/>
  <c r="AB99" i="179"/>
  <c r="AB111" i="179"/>
  <c r="AB94" i="179"/>
  <c r="AB124" i="179"/>
  <c r="AB84" i="179"/>
  <c r="AB119" i="179"/>
  <c r="AB131" i="179"/>
  <c r="AB108" i="179"/>
  <c r="AB109" i="179"/>
  <c r="AB126" i="179"/>
  <c r="AB77" i="179"/>
  <c r="AB96" i="179"/>
  <c r="AB97" i="179"/>
  <c r="AB121" i="179"/>
  <c r="AB133" i="179"/>
  <c r="AB20" i="179"/>
  <c r="AB116" i="179"/>
  <c r="AB128" i="179"/>
  <c r="AB113" i="179"/>
  <c r="AB118" i="179"/>
  <c r="AB130" i="179"/>
  <c r="AB101" i="179"/>
  <c r="AB125" i="179"/>
  <c r="AB120" i="179"/>
  <c r="AB132" i="179"/>
  <c r="AB146" i="179"/>
  <c r="AB158" i="179"/>
  <c r="AB127" i="179"/>
  <c r="AB141" i="179"/>
  <c r="AB153" i="179"/>
  <c r="AB71" i="179"/>
  <c r="AB134" i="179"/>
  <c r="AB136" i="179"/>
  <c r="AB148" i="179"/>
  <c r="AB160" i="179"/>
  <c r="AB91" i="179"/>
  <c r="AB143" i="179"/>
  <c r="AB155" i="179"/>
  <c r="AB138" i="179"/>
  <c r="AB150" i="179"/>
  <c r="AB103" i="179"/>
  <c r="AB140" i="179"/>
  <c r="AB152" i="179"/>
  <c r="AB106" i="179"/>
  <c r="AB117" i="179"/>
  <c r="AB135" i="179"/>
  <c r="AB147" i="179"/>
  <c r="AB159" i="179"/>
  <c r="AB60" i="179"/>
  <c r="AB123" i="179"/>
  <c r="AB142" i="179"/>
  <c r="AB154" i="179"/>
  <c r="AB157" i="179"/>
  <c r="AB149" i="179"/>
  <c r="AB156" i="179"/>
  <c r="AB139" i="179"/>
  <c r="AB137" i="179"/>
  <c r="AB145" i="179"/>
  <c r="AB115" i="179"/>
  <c r="AB122" i="179"/>
  <c r="AB161" i="179"/>
  <c r="AB3" i="179"/>
  <c r="AB151" i="179"/>
  <c r="AB144" i="179"/>
  <c r="AB129" i="179"/>
  <c r="AC1" i="179"/>
  <c r="G7" i="177"/>
  <c r="G19" i="177"/>
  <c r="G31" i="177"/>
  <c r="G14" i="177"/>
  <c r="G26" i="177"/>
  <c r="G9" i="177"/>
  <c r="G21" i="177"/>
  <c r="G33" i="177"/>
  <c r="G4" i="177"/>
  <c r="G16" i="177"/>
  <c r="G28" i="177"/>
  <c r="G11" i="177"/>
  <c r="G23" i="177"/>
  <c r="G35" i="177"/>
  <c r="G6" i="177"/>
  <c r="G18" i="177"/>
  <c r="G30" i="177"/>
  <c r="G13" i="177"/>
  <c r="G25" i="177"/>
  <c r="G8" i="177"/>
  <c r="G20" i="177"/>
  <c r="G32" i="177"/>
  <c r="G15" i="177"/>
  <c r="G27" i="177"/>
  <c r="G5" i="177"/>
  <c r="G17" i="177"/>
  <c r="G29" i="177"/>
  <c r="G46" i="177"/>
  <c r="G58" i="177"/>
  <c r="G48" i="177"/>
  <c r="G60" i="177"/>
  <c r="G43" i="177"/>
  <c r="G55" i="177"/>
  <c r="G12" i="177"/>
  <c r="G38" i="177"/>
  <c r="G50" i="177"/>
  <c r="G62" i="177"/>
  <c r="G10" i="177"/>
  <c r="G45" i="177"/>
  <c r="G57" i="177"/>
  <c r="G24" i="177"/>
  <c r="G40" i="177"/>
  <c r="G52" i="177"/>
  <c r="G22" i="177"/>
  <c r="G47" i="177"/>
  <c r="G59" i="177"/>
  <c r="G34" i="177"/>
  <c r="G37" i="177"/>
  <c r="G49" i="177"/>
  <c r="G61" i="177"/>
  <c r="G42" i="177"/>
  <c r="G56" i="177"/>
  <c r="G73" i="177"/>
  <c r="G85" i="177"/>
  <c r="G63" i="177"/>
  <c r="G41" i="177"/>
  <c r="G75" i="177"/>
  <c r="G36" i="177"/>
  <c r="G54" i="177"/>
  <c r="G70" i="177"/>
  <c r="G82" i="177"/>
  <c r="G65" i="177"/>
  <c r="G77" i="177"/>
  <c r="G39" i="177"/>
  <c r="G72" i="177"/>
  <c r="G84" i="177"/>
  <c r="G53" i="177"/>
  <c r="G67" i="177"/>
  <c r="G79" i="177"/>
  <c r="G74" i="177"/>
  <c r="G86" i="177"/>
  <c r="G78" i="177"/>
  <c r="G97" i="177"/>
  <c r="G51" i="177"/>
  <c r="G81" i="177"/>
  <c r="G92" i="177"/>
  <c r="G69" i="177"/>
  <c r="G80" i="177"/>
  <c r="G99" i="177"/>
  <c r="G68" i="177"/>
  <c r="G94" i="177"/>
  <c r="G66" i="177"/>
  <c r="G83" i="177"/>
  <c r="G87" i="177"/>
  <c r="G89" i="177"/>
  <c r="G44" i="177"/>
  <c r="G91" i="177"/>
  <c r="G98" i="177"/>
  <c r="G64" i="177"/>
  <c r="G93" i="177"/>
  <c r="G76" i="177"/>
  <c r="G88" i="177"/>
  <c r="G106" i="177"/>
  <c r="G113" i="177"/>
  <c r="G126" i="177"/>
  <c r="G102" i="177"/>
  <c r="G108" i="177"/>
  <c r="G121" i="177"/>
  <c r="G115" i="177"/>
  <c r="G128" i="177"/>
  <c r="G96" i="177"/>
  <c r="G100" i="177"/>
  <c r="G101" i="177"/>
  <c r="G104" i="177"/>
  <c r="G110" i="177"/>
  <c r="G123" i="177"/>
  <c r="G117" i="177"/>
  <c r="G90" i="177"/>
  <c r="G112" i="177"/>
  <c r="G125" i="177"/>
  <c r="G71" i="177"/>
  <c r="G107" i="177"/>
  <c r="G119" i="177"/>
  <c r="G95" i="177"/>
  <c r="G114" i="177"/>
  <c r="G127" i="177"/>
  <c r="G105" i="177"/>
  <c r="G109" i="177"/>
  <c r="G122" i="177"/>
  <c r="G116" i="177"/>
  <c r="G111" i="177"/>
  <c r="G124" i="177"/>
  <c r="G133" i="177"/>
  <c r="G146" i="177"/>
  <c r="G141" i="177"/>
  <c r="G153" i="177"/>
  <c r="G136" i="177"/>
  <c r="G148" i="177"/>
  <c r="G143" i="177"/>
  <c r="G131" i="177"/>
  <c r="G138" i="177"/>
  <c r="G150" i="177"/>
  <c r="G134" i="177"/>
  <c r="G145" i="177"/>
  <c r="G157" i="177"/>
  <c r="G140" i="177"/>
  <c r="G152" i="177"/>
  <c r="G129" i="177"/>
  <c r="G147" i="177"/>
  <c r="G132" i="177"/>
  <c r="G142" i="177"/>
  <c r="G154" i="177"/>
  <c r="G144" i="177"/>
  <c r="G156" i="177"/>
  <c r="G3" i="177"/>
  <c r="G155" i="177"/>
  <c r="G103" i="177"/>
  <c r="G139" i="177"/>
  <c r="G137" i="177"/>
  <c r="G151" i="177"/>
  <c r="G135" i="177"/>
  <c r="G149" i="177"/>
  <c r="G130" i="177"/>
  <c r="G118" i="177"/>
  <c r="G218" i="177"/>
  <c r="G206" i="177"/>
  <c r="G194" i="177"/>
  <c r="G214" i="177"/>
  <c r="G202" i="177"/>
  <c r="G190" i="177"/>
  <c r="G211" i="177"/>
  <c r="G198" i="177"/>
  <c r="G222" i="177"/>
  <c r="G209" i="177"/>
  <c r="G196" i="177"/>
  <c r="G188" i="177"/>
  <c r="G219" i="177"/>
  <c r="G200" i="177"/>
  <c r="G181" i="177"/>
  <c r="G179" i="177"/>
  <c r="G215" i="177"/>
  <c r="G217" i="177"/>
  <c r="G212" i="177"/>
  <c r="G186" i="177"/>
  <c r="G173" i="177"/>
  <c r="G193" i="177"/>
  <c r="G204" i="177"/>
  <c r="G199" i="177"/>
  <c r="G169" i="177"/>
  <c r="G221" i="177"/>
  <c r="G189" i="177"/>
  <c r="G187" i="177"/>
  <c r="G167" i="177"/>
  <c r="G216" i="177"/>
  <c r="G201" i="177"/>
  <c r="G177" i="177"/>
  <c r="G164" i="177"/>
  <c r="G160" i="177"/>
  <c r="G195" i="177"/>
  <c r="G170" i="177"/>
  <c r="G183" i="177"/>
  <c r="G175" i="177"/>
  <c r="G182" i="177"/>
  <c r="G210" i="177"/>
  <c r="G205" i="177"/>
  <c r="G180" i="177"/>
  <c r="G172" i="177"/>
  <c r="G213" i="177"/>
  <c r="G191" i="177"/>
  <c r="G176" i="177"/>
  <c r="G207" i="177"/>
  <c r="G197" i="177"/>
  <c r="G192" i="177"/>
  <c r="G178" i="177"/>
  <c r="G208" i="177"/>
  <c r="G203" i="177"/>
  <c r="G171" i="177"/>
  <c r="G161" i="177"/>
  <c r="G185" i="177"/>
  <c r="G184" i="177"/>
  <c r="G220" i="177"/>
  <c r="G168" i="177"/>
  <c r="G159" i="177"/>
  <c r="G163" i="177"/>
  <c r="G165" i="177"/>
  <c r="G166" i="177"/>
  <c r="G174" i="177"/>
  <c r="G162" i="177"/>
  <c r="H1" i="177"/>
  <c r="T48" i="174"/>
  <c r="T49" i="174"/>
  <c r="T50" i="174"/>
  <c r="T51" i="174"/>
  <c r="T52" i="174"/>
  <c r="T53" i="174"/>
  <c r="T54" i="174"/>
  <c r="T55" i="174"/>
  <c r="T56" i="174"/>
  <c r="T57" i="174"/>
  <c r="T58" i="174"/>
  <c r="T59" i="174"/>
  <c r="T60" i="174"/>
  <c r="T61" i="174"/>
  <c r="T63" i="174"/>
  <c r="AC39" i="179" l="1"/>
  <c r="AC48" i="179"/>
  <c r="AC162" i="179"/>
  <c r="AC72" i="179"/>
  <c r="H158" i="177"/>
  <c r="H120" i="177"/>
  <c r="AC9" i="179"/>
  <c r="AC21" i="179"/>
  <c r="AC33" i="179"/>
  <c r="AC4" i="179"/>
  <c r="AC16" i="179"/>
  <c r="AC11" i="179"/>
  <c r="AC23" i="179"/>
  <c r="AC35" i="179"/>
  <c r="AC8" i="179"/>
  <c r="AC20" i="179"/>
  <c r="AC32" i="179"/>
  <c r="AC15" i="179"/>
  <c r="AC27" i="179"/>
  <c r="AC5" i="179"/>
  <c r="AC24" i="179"/>
  <c r="AC41" i="179"/>
  <c r="AC6" i="179"/>
  <c r="AC31" i="179"/>
  <c r="AC49" i="179"/>
  <c r="AC34" i="179"/>
  <c r="AC43" i="179"/>
  <c r="AC13" i="179"/>
  <c r="AC17" i="179"/>
  <c r="AC37" i="179"/>
  <c r="AC51" i="179"/>
  <c r="AC19" i="179"/>
  <c r="AC30" i="179"/>
  <c r="AC45" i="179"/>
  <c r="AC26" i="179"/>
  <c r="AC47" i="179"/>
  <c r="AC10" i="179"/>
  <c r="AC36" i="179"/>
  <c r="AC50" i="179"/>
  <c r="AC22" i="179"/>
  <c r="AC62" i="179"/>
  <c r="AC14" i="179"/>
  <c r="AC25" i="179"/>
  <c r="AC57" i="179"/>
  <c r="AC69" i="179"/>
  <c r="AC38" i="179"/>
  <c r="AC40" i="179"/>
  <c r="AC52" i="179"/>
  <c r="AC64" i="179"/>
  <c r="AC59" i="179"/>
  <c r="AC28" i="179"/>
  <c r="AC42" i="179"/>
  <c r="AC54" i="179"/>
  <c r="AC66" i="179"/>
  <c r="AC18" i="179"/>
  <c r="AC44" i="179"/>
  <c r="AC56" i="179"/>
  <c r="AC68" i="179"/>
  <c r="AC63" i="179"/>
  <c r="AC60" i="179"/>
  <c r="AC61" i="179"/>
  <c r="AC70" i="179"/>
  <c r="AC71" i="179"/>
  <c r="AC84" i="179"/>
  <c r="AC79" i="179"/>
  <c r="AC74" i="179"/>
  <c r="AC86" i="179"/>
  <c r="AC81" i="179"/>
  <c r="AC76" i="179"/>
  <c r="AC88" i="179"/>
  <c r="AC7" i="179"/>
  <c r="AC67" i="179"/>
  <c r="AC78" i="179"/>
  <c r="AC29" i="179"/>
  <c r="AC73" i="179"/>
  <c r="AC85" i="179"/>
  <c r="AC46" i="179"/>
  <c r="AC55" i="179"/>
  <c r="AC80" i="179"/>
  <c r="AC58" i="179"/>
  <c r="AC75" i="179"/>
  <c r="AC87" i="179"/>
  <c r="AC53" i="179"/>
  <c r="AC91" i="179"/>
  <c r="AC103" i="179"/>
  <c r="AC115" i="179"/>
  <c r="AC82" i="179"/>
  <c r="AC98" i="179"/>
  <c r="AC110" i="179"/>
  <c r="AC93" i="179"/>
  <c r="AC105" i="179"/>
  <c r="AC65" i="179"/>
  <c r="AC100" i="179"/>
  <c r="AC112" i="179"/>
  <c r="AC12" i="179"/>
  <c r="AC95" i="179"/>
  <c r="AC107" i="179"/>
  <c r="AC97" i="179"/>
  <c r="AC109" i="179"/>
  <c r="AC92" i="179"/>
  <c r="AC104" i="179"/>
  <c r="AC106" i="179"/>
  <c r="AC117" i="179"/>
  <c r="AC129" i="179"/>
  <c r="AC94" i="179"/>
  <c r="AC124" i="179"/>
  <c r="AC119" i="179"/>
  <c r="AC131" i="179"/>
  <c r="AC108" i="179"/>
  <c r="AC126" i="179"/>
  <c r="AC77" i="179"/>
  <c r="AC96" i="179"/>
  <c r="AC111" i="179"/>
  <c r="AC121" i="179"/>
  <c r="AC133" i="179"/>
  <c r="AC123" i="179"/>
  <c r="AC113" i="179"/>
  <c r="AC114" i="179"/>
  <c r="AC118" i="179"/>
  <c r="AC130" i="179"/>
  <c r="AC101" i="179"/>
  <c r="AC102" i="179"/>
  <c r="AC125" i="179"/>
  <c r="AC99" i="179"/>
  <c r="AC128" i="179"/>
  <c r="AC139" i="179"/>
  <c r="AC151" i="179"/>
  <c r="AC120" i="179"/>
  <c r="AC146" i="179"/>
  <c r="AC158" i="179"/>
  <c r="AC83" i="179"/>
  <c r="AC127" i="179"/>
  <c r="AC141" i="179"/>
  <c r="AC153" i="179"/>
  <c r="AC134" i="179"/>
  <c r="AC136" i="179"/>
  <c r="AC148" i="179"/>
  <c r="AC160" i="179"/>
  <c r="AC143" i="179"/>
  <c r="AC155" i="179"/>
  <c r="AC145" i="179"/>
  <c r="AC157" i="179"/>
  <c r="AC140" i="179"/>
  <c r="AC152" i="179"/>
  <c r="AC89" i="179"/>
  <c r="AC116" i="179"/>
  <c r="AC135" i="179"/>
  <c r="AC147" i="179"/>
  <c r="AC159" i="179"/>
  <c r="AC150" i="179"/>
  <c r="AC142" i="179"/>
  <c r="AC149" i="179"/>
  <c r="AC156" i="179"/>
  <c r="AC3" i="179"/>
  <c r="AC161" i="179"/>
  <c r="AC132" i="179"/>
  <c r="AC138" i="179"/>
  <c r="AC90" i="179"/>
  <c r="AC122" i="179"/>
  <c r="AC154" i="179"/>
  <c r="AC144" i="179"/>
  <c r="AC137" i="179"/>
  <c r="AD1" i="179"/>
  <c r="H12" i="177"/>
  <c r="H24" i="177"/>
  <c r="H36" i="177"/>
  <c r="H7" i="177"/>
  <c r="H19" i="177"/>
  <c r="H31" i="177"/>
  <c r="H14" i="177"/>
  <c r="H26" i="177"/>
  <c r="H9" i="177"/>
  <c r="H21" i="177"/>
  <c r="H33" i="177"/>
  <c r="H4" i="177"/>
  <c r="H16" i="177"/>
  <c r="H28" i="177"/>
  <c r="H11" i="177"/>
  <c r="H23" i="177"/>
  <c r="H35" i="177"/>
  <c r="H6" i="177"/>
  <c r="H18" i="177"/>
  <c r="H30" i="177"/>
  <c r="H13" i="177"/>
  <c r="H25" i="177"/>
  <c r="H8" i="177"/>
  <c r="H20" i="177"/>
  <c r="H32" i="177"/>
  <c r="H10" i="177"/>
  <c r="H22" i="177"/>
  <c r="H34" i="177"/>
  <c r="H39" i="177"/>
  <c r="H51" i="177"/>
  <c r="H63" i="177"/>
  <c r="H41" i="177"/>
  <c r="H53" i="177"/>
  <c r="H48" i="177"/>
  <c r="H60" i="177"/>
  <c r="H5" i="177"/>
  <c r="H43" i="177"/>
  <c r="H55" i="177"/>
  <c r="H38" i="177"/>
  <c r="H50" i="177"/>
  <c r="H62" i="177"/>
  <c r="H17" i="177"/>
  <c r="H45" i="177"/>
  <c r="H57" i="177"/>
  <c r="H15" i="177"/>
  <c r="H40" i="177"/>
  <c r="H52" i="177"/>
  <c r="H64" i="177"/>
  <c r="H27" i="177"/>
  <c r="H42" i="177"/>
  <c r="H54" i="177"/>
  <c r="H49" i="177"/>
  <c r="H66" i="177"/>
  <c r="H78" i="177"/>
  <c r="H56" i="177"/>
  <c r="H68" i="177"/>
  <c r="H80" i="177"/>
  <c r="H29" i="177"/>
  <c r="H47" i="177"/>
  <c r="H75" i="177"/>
  <c r="H61" i="177"/>
  <c r="H70" i="177"/>
  <c r="H82" i="177"/>
  <c r="H65" i="177"/>
  <c r="H77" i="177"/>
  <c r="H46" i="177"/>
  <c r="H72" i="177"/>
  <c r="H84" i="177"/>
  <c r="H59" i="177"/>
  <c r="H67" i="177"/>
  <c r="H79" i="177"/>
  <c r="H37" i="177"/>
  <c r="H90" i="177"/>
  <c r="H102" i="177"/>
  <c r="H86" i="177"/>
  <c r="H97" i="177"/>
  <c r="H81" i="177"/>
  <c r="H92" i="177"/>
  <c r="H69" i="177"/>
  <c r="H85" i="177"/>
  <c r="H99" i="177"/>
  <c r="H94" i="177"/>
  <c r="H71" i="177"/>
  <c r="H96" i="177"/>
  <c r="H44" i="177"/>
  <c r="H74" i="177"/>
  <c r="H91" i="177"/>
  <c r="H73" i="177"/>
  <c r="H98" i="177"/>
  <c r="H93" i="177"/>
  <c r="H103" i="177"/>
  <c r="H118" i="177"/>
  <c r="H131" i="177"/>
  <c r="H88" i="177"/>
  <c r="H106" i="177"/>
  <c r="H113" i="177"/>
  <c r="H126" i="177"/>
  <c r="H108" i="177"/>
  <c r="H121" i="177"/>
  <c r="H115" i="177"/>
  <c r="H128" i="177"/>
  <c r="H100" i="177"/>
  <c r="H101" i="177"/>
  <c r="H104" i="177"/>
  <c r="H110" i="177"/>
  <c r="H123" i="177"/>
  <c r="H58" i="177"/>
  <c r="H117" i="177"/>
  <c r="H87" i="177"/>
  <c r="H112" i="177"/>
  <c r="H125" i="177"/>
  <c r="H107" i="177"/>
  <c r="H119" i="177"/>
  <c r="H95" i="177"/>
  <c r="H114" i="177"/>
  <c r="H127" i="177"/>
  <c r="H83" i="177"/>
  <c r="H89" i="177"/>
  <c r="H105" i="177"/>
  <c r="H109" i="177"/>
  <c r="H122" i="177"/>
  <c r="H76" i="177"/>
  <c r="H116" i="177"/>
  <c r="H124" i="177"/>
  <c r="H130" i="177"/>
  <c r="H139" i="177"/>
  <c r="H151" i="177"/>
  <c r="H3" i="177"/>
  <c r="H133" i="177"/>
  <c r="H146" i="177"/>
  <c r="H141" i="177"/>
  <c r="H153" i="177"/>
  <c r="H136" i="177"/>
  <c r="H148" i="177"/>
  <c r="H143" i="177"/>
  <c r="H111" i="177"/>
  <c r="H138" i="177"/>
  <c r="H150" i="177"/>
  <c r="H134" i="177"/>
  <c r="H145" i="177"/>
  <c r="H140" i="177"/>
  <c r="H152" i="177"/>
  <c r="H129" i="177"/>
  <c r="H147" i="177"/>
  <c r="H135" i="177"/>
  <c r="H137" i="177"/>
  <c r="H149" i="177"/>
  <c r="H155" i="177"/>
  <c r="H157" i="177"/>
  <c r="H156" i="177"/>
  <c r="H132" i="177"/>
  <c r="H144" i="177"/>
  <c r="H142" i="177"/>
  <c r="H154" i="177"/>
  <c r="H211" i="177"/>
  <c r="H199" i="177"/>
  <c r="H219" i="177"/>
  <c r="H207" i="177"/>
  <c r="H195" i="177"/>
  <c r="H217" i="177"/>
  <c r="H204" i="177"/>
  <c r="H191" i="177"/>
  <c r="H185" i="177"/>
  <c r="H215" i="177"/>
  <c r="H202" i="177"/>
  <c r="H210" i="177"/>
  <c r="H205" i="177"/>
  <c r="H189" i="177"/>
  <c r="H220" i="177"/>
  <c r="H222" i="177"/>
  <c r="H193" i="177"/>
  <c r="H178" i="177"/>
  <c r="H166" i="177"/>
  <c r="H208" i="177"/>
  <c r="H203" i="177"/>
  <c r="H198" i="177"/>
  <c r="H182" i="177"/>
  <c r="H214" i="177"/>
  <c r="H209" i="177"/>
  <c r="H184" i="177"/>
  <c r="H174" i="177"/>
  <c r="H162" i="177"/>
  <c r="H206" i="177"/>
  <c r="H170" i="177"/>
  <c r="H200" i="177"/>
  <c r="H190" i="177"/>
  <c r="H180" i="177"/>
  <c r="H176" i="177"/>
  <c r="H221" i="177"/>
  <c r="H194" i="177"/>
  <c r="H168" i="177"/>
  <c r="H188" i="177"/>
  <c r="H177" i="177"/>
  <c r="H172" i="177"/>
  <c r="H213" i="177"/>
  <c r="H179" i="177"/>
  <c r="H201" i="177"/>
  <c r="H196" i="177"/>
  <c r="H197" i="177"/>
  <c r="H192" i="177"/>
  <c r="H171" i="177"/>
  <c r="H161" i="177"/>
  <c r="H173" i="177"/>
  <c r="H164" i="177"/>
  <c r="H216" i="177"/>
  <c r="H212" i="177"/>
  <c r="H218" i="177"/>
  <c r="H187" i="177"/>
  <c r="H186" i="177"/>
  <c r="H181" i="177"/>
  <c r="H163" i="177"/>
  <c r="H167" i="177"/>
  <c r="H175" i="177"/>
  <c r="H165" i="177"/>
  <c r="H169" i="177"/>
  <c r="H183" i="177"/>
  <c r="H160" i="177"/>
  <c r="H159" i="177"/>
  <c r="I1" i="177"/>
  <c r="T64" i="174"/>
  <c r="AD39" i="179" l="1"/>
  <c r="AD48" i="179"/>
  <c r="AD162" i="179"/>
  <c r="AD72" i="179"/>
  <c r="I158" i="177"/>
  <c r="I120" i="177"/>
  <c r="AD14" i="179"/>
  <c r="AD26" i="179"/>
  <c r="AD9" i="179"/>
  <c r="AD21" i="179"/>
  <c r="AD4" i="179"/>
  <c r="AD16" i="179"/>
  <c r="AD28" i="179"/>
  <c r="AD13" i="179"/>
  <c r="AD25" i="179"/>
  <c r="AD8" i="179"/>
  <c r="AD20" i="179"/>
  <c r="AD32" i="179"/>
  <c r="AD35" i="179"/>
  <c r="AD46" i="179"/>
  <c r="AD24" i="179"/>
  <c r="AD41" i="179"/>
  <c r="AD6" i="179"/>
  <c r="AD27" i="179"/>
  <c r="AD31" i="179"/>
  <c r="AD49" i="179"/>
  <c r="AD11" i="179"/>
  <c r="AD15" i="179"/>
  <c r="AD34" i="179"/>
  <c r="AD43" i="179"/>
  <c r="AD17" i="179"/>
  <c r="AD23" i="179"/>
  <c r="AD37" i="179"/>
  <c r="AD51" i="179"/>
  <c r="AD7" i="179"/>
  <c r="AD40" i="179"/>
  <c r="AD29" i="179"/>
  <c r="AD42" i="179"/>
  <c r="AD36" i="179"/>
  <c r="AD55" i="179"/>
  <c r="AD67" i="179"/>
  <c r="AD22" i="179"/>
  <c r="AD62" i="179"/>
  <c r="AD19" i="179"/>
  <c r="AD57" i="179"/>
  <c r="AD38" i="179"/>
  <c r="AD52" i="179"/>
  <c r="AD64" i="179"/>
  <c r="AD59" i="179"/>
  <c r="AD10" i="179"/>
  <c r="AD61" i="179"/>
  <c r="AD18" i="179"/>
  <c r="AD44" i="179"/>
  <c r="AD45" i="179"/>
  <c r="AD56" i="179"/>
  <c r="AD77" i="179"/>
  <c r="AD89" i="179"/>
  <c r="AD5" i="179"/>
  <c r="AD47" i="179"/>
  <c r="AD50" i="179"/>
  <c r="AD60" i="179"/>
  <c r="AD70" i="179"/>
  <c r="AD71" i="179"/>
  <c r="AD84" i="179"/>
  <c r="AD63" i="179"/>
  <c r="AD79" i="179"/>
  <c r="AD74" i="179"/>
  <c r="AD86" i="179"/>
  <c r="AD81" i="179"/>
  <c r="AD53" i="179"/>
  <c r="AD54" i="179"/>
  <c r="AD65" i="179"/>
  <c r="AD69" i="179"/>
  <c r="AD83" i="179"/>
  <c r="AD78" i="179"/>
  <c r="AD73" i="179"/>
  <c r="AD85" i="179"/>
  <c r="AD30" i="179"/>
  <c r="AD33" i="179"/>
  <c r="AD80" i="179"/>
  <c r="AD88" i="179"/>
  <c r="AD96" i="179"/>
  <c r="AD108" i="179"/>
  <c r="AD91" i="179"/>
  <c r="AD103" i="179"/>
  <c r="AD82" i="179"/>
  <c r="AD98" i="179"/>
  <c r="AD110" i="179"/>
  <c r="AD76" i="179"/>
  <c r="AD93" i="179"/>
  <c r="AD105" i="179"/>
  <c r="AD58" i="179"/>
  <c r="AD87" i="179"/>
  <c r="AD100" i="179"/>
  <c r="AD112" i="179"/>
  <c r="AD90" i="179"/>
  <c r="AD102" i="179"/>
  <c r="AD114" i="179"/>
  <c r="AD75" i="179"/>
  <c r="AD97" i="179"/>
  <c r="AD109" i="179"/>
  <c r="AD12" i="179"/>
  <c r="AD66" i="179"/>
  <c r="AD122" i="179"/>
  <c r="AD134" i="179"/>
  <c r="AD106" i="179"/>
  <c r="AD107" i="179"/>
  <c r="AD117" i="179"/>
  <c r="AD129" i="179"/>
  <c r="AD94" i="179"/>
  <c r="AD95" i="179"/>
  <c r="AD124" i="179"/>
  <c r="AD119" i="179"/>
  <c r="AD131" i="179"/>
  <c r="AD68" i="179"/>
  <c r="AD126" i="179"/>
  <c r="AD99" i="179"/>
  <c r="AD116" i="179"/>
  <c r="AD128" i="179"/>
  <c r="AD123" i="179"/>
  <c r="AD113" i="179"/>
  <c r="AD118" i="179"/>
  <c r="AD130" i="179"/>
  <c r="AD121" i="179"/>
  <c r="AD144" i="179"/>
  <c r="AD156" i="179"/>
  <c r="AD139" i="179"/>
  <c r="AD151" i="179"/>
  <c r="AD120" i="179"/>
  <c r="AD146" i="179"/>
  <c r="AD158" i="179"/>
  <c r="AD127" i="179"/>
  <c r="AD141" i="179"/>
  <c r="AD153" i="179"/>
  <c r="AD111" i="179"/>
  <c r="AD133" i="179"/>
  <c r="AD136" i="179"/>
  <c r="AD148" i="179"/>
  <c r="AD160" i="179"/>
  <c r="AD132" i="179"/>
  <c r="AD138" i="179"/>
  <c r="AD150" i="179"/>
  <c r="AD92" i="179"/>
  <c r="AD145" i="179"/>
  <c r="AD157" i="179"/>
  <c r="AD140" i="179"/>
  <c r="AD152" i="179"/>
  <c r="AD143" i="179"/>
  <c r="AD101" i="179"/>
  <c r="AD135" i="179"/>
  <c r="AD142" i="179"/>
  <c r="AD149" i="179"/>
  <c r="AD155" i="179"/>
  <c r="AD104" i="179"/>
  <c r="AD154" i="179"/>
  <c r="AD161" i="179"/>
  <c r="AD125" i="179"/>
  <c r="AD147" i="179"/>
  <c r="AD3" i="179"/>
  <c r="AD159" i="179"/>
  <c r="AD115" i="179"/>
  <c r="AD137" i="179"/>
  <c r="AE1" i="179"/>
  <c r="I5" i="177"/>
  <c r="I17" i="177"/>
  <c r="I29" i="177"/>
  <c r="I12" i="177"/>
  <c r="I24" i="177"/>
  <c r="I36" i="177"/>
  <c r="I7" i="177"/>
  <c r="I19" i="177"/>
  <c r="I31" i="177"/>
  <c r="I14" i="177"/>
  <c r="I26" i="177"/>
  <c r="I9" i="177"/>
  <c r="I21" i="177"/>
  <c r="I33" i="177"/>
  <c r="I4" i="177"/>
  <c r="I16" i="177"/>
  <c r="I28" i="177"/>
  <c r="I11" i="177"/>
  <c r="I23" i="177"/>
  <c r="I35" i="177"/>
  <c r="I6" i="177"/>
  <c r="I18" i="177"/>
  <c r="I30" i="177"/>
  <c r="I13" i="177"/>
  <c r="I25" i="177"/>
  <c r="I15" i="177"/>
  <c r="I27" i="177"/>
  <c r="I44" i="177"/>
  <c r="I56" i="177"/>
  <c r="I46" i="177"/>
  <c r="I58" i="177"/>
  <c r="I41" i="177"/>
  <c r="I53" i="177"/>
  <c r="I48" i="177"/>
  <c r="I60" i="177"/>
  <c r="I43" i="177"/>
  <c r="I55" i="177"/>
  <c r="I10" i="177"/>
  <c r="I38" i="177"/>
  <c r="I50" i="177"/>
  <c r="I62" i="177"/>
  <c r="I8" i="177"/>
  <c r="I45" i="177"/>
  <c r="I57" i="177"/>
  <c r="I20" i="177"/>
  <c r="I47" i="177"/>
  <c r="I59" i="177"/>
  <c r="I34" i="177"/>
  <c r="I42" i="177"/>
  <c r="I64" i="177"/>
  <c r="I71" i="177"/>
  <c r="I83" i="177"/>
  <c r="I49" i="177"/>
  <c r="I66" i="177"/>
  <c r="I63" i="177"/>
  <c r="I73" i="177"/>
  <c r="I22" i="177"/>
  <c r="I40" i="177"/>
  <c r="I68" i="177"/>
  <c r="I80" i="177"/>
  <c r="I54" i="177"/>
  <c r="I75" i="177"/>
  <c r="I61" i="177"/>
  <c r="I70" i="177"/>
  <c r="I82" i="177"/>
  <c r="I39" i="177"/>
  <c r="I65" i="177"/>
  <c r="I77" i="177"/>
  <c r="I52" i="177"/>
  <c r="I72" i="177"/>
  <c r="I84" i="177"/>
  <c r="I79" i="177"/>
  <c r="I95" i="177"/>
  <c r="I37" i="177"/>
  <c r="I67" i="177"/>
  <c r="I78" i="177"/>
  <c r="I90" i="177"/>
  <c r="I102" i="177"/>
  <c r="I51" i="177"/>
  <c r="I86" i="177"/>
  <c r="I97" i="177"/>
  <c r="I81" i="177"/>
  <c r="I92" i="177"/>
  <c r="I69" i="177"/>
  <c r="I85" i="177"/>
  <c r="I99" i="177"/>
  <c r="I87" i="177"/>
  <c r="I89" i="177"/>
  <c r="I101" i="177"/>
  <c r="I96" i="177"/>
  <c r="I74" i="177"/>
  <c r="I91" i="177"/>
  <c r="I94" i="177"/>
  <c r="I111" i="177"/>
  <c r="I124" i="177"/>
  <c r="I32" i="177"/>
  <c r="I103" i="177"/>
  <c r="I118" i="177"/>
  <c r="I88" i="177"/>
  <c r="I106" i="177"/>
  <c r="I113" i="177"/>
  <c r="I126" i="177"/>
  <c r="I108" i="177"/>
  <c r="I121" i="177"/>
  <c r="I93" i="177"/>
  <c r="I115" i="177"/>
  <c r="I128" i="177"/>
  <c r="I100" i="177"/>
  <c r="I104" i="177"/>
  <c r="I110" i="177"/>
  <c r="I123" i="177"/>
  <c r="I117" i="177"/>
  <c r="I98" i="177"/>
  <c r="I112" i="177"/>
  <c r="I125" i="177"/>
  <c r="I107" i="177"/>
  <c r="I119" i="177"/>
  <c r="I114" i="177"/>
  <c r="I127" i="177"/>
  <c r="I105" i="177"/>
  <c r="I109" i="177"/>
  <c r="I122" i="177"/>
  <c r="I144" i="177"/>
  <c r="I156" i="177"/>
  <c r="I130" i="177"/>
  <c r="I139" i="177"/>
  <c r="I151" i="177"/>
  <c r="I133" i="177"/>
  <c r="I146" i="177"/>
  <c r="I141" i="177"/>
  <c r="I153" i="177"/>
  <c r="I76" i="177"/>
  <c r="I136" i="177"/>
  <c r="I148" i="177"/>
  <c r="I131" i="177"/>
  <c r="I143" i="177"/>
  <c r="I155" i="177"/>
  <c r="I116" i="177"/>
  <c r="I138" i="177"/>
  <c r="I150" i="177"/>
  <c r="I134" i="177"/>
  <c r="I145" i="177"/>
  <c r="I140" i="177"/>
  <c r="I152" i="177"/>
  <c r="I132" i="177"/>
  <c r="I142" i="177"/>
  <c r="I154" i="177"/>
  <c r="I3" i="177"/>
  <c r="I129" i="177"/>
  <c r="I157" i="177"/>
  <c r="I137" i="177"/>
  <c r="I135" i="177"/>
  <c r="I149" i="177"/>
  <c r="I147" i="177"/>
  <c r="I216" i="177"/>
  <c r="I204" i="177"/>
  <c r="I192" i="177"/>
  <c r="I212" i="177"/>
  <c r="I200" i="177"/>
  <c r="I210" i="177"/>
  <c r="I197" i="177"/>
  <c r="I221" i="177"/>
  <c r="I208" i="177"/>
  <c r="I195" i="177"/>
  <c r="I186" i="177"/>
  <c r="I220" i="177"/>
  <c r="I215" i="177"/>
  <c r="I222" i="177"/>
  <c r="I203" i="177"/>
  <c r="I198" i="177"/>
  <c r="I182" i="177"/>
  <c r="I171" i="177"/>
  <c r="I213" i="177"/>
  <c r="I185" i="177"/>
  <c r="I219" i="177"/>
  <c r="I190" i="177"/>
  <c r="I181" i="177"/>
  <c r="I179" i="177"/>
  <c r="I167" i="177"/>
  <c r="I193" i="177"/>
  <c r="I173" i="177"/>
  <c r="I217" i="177"/>
  <c r="I211" i="177"/>
  <c r="I180" i="177"/>
  <c r="I176" i="177"/>
  <c r="I163" i="177"/>
  <c r="I218" i="177"/>
  <c r="I205" i="177"/>
  <c r="I169" i="177"/>
  <c r="I209" i="177"/>
  <c r="I199" i="177"/>
  <c r="I187" i="177"/>
  <c r="I174" i="177"/>
  <c r="I161" i="177"/>
  <c r="I172" i="177"/>
  <c r="I170" i="177"/>
  <c r="I165" i="177"/>
  <c r="I201" i="177"/>
  <c r="I196" i="177"/>
  <c r="I206" i="177"/>
  <c r="I207" i="177"/>
  <c r="I202" i="177"/>
  <c r="I178" i="177"/>
  <c r="I214" i="177"/>
  <c r="I164" i="177"/>
  <c r="I166" i="177"/>
  <c r="I160" i="177"/>
  <c r="I184" i="177"/>
  <c r="I183" i="177"/>
  <c r="I175" i="177"/>
  <c r="I194" i="177"/>
  <c r="I189" i="177"/>
  <c r="I188" i="177"/>
  <c r="I177" i="177"/>
  <c r="I191" i="177"/>
  <c r="I168" i="177"/>
  <c r="I162" i="177"/>
  <c r="I159" i="177"/>
  <c r="J1" i="177"/>
  <c r="T40" i="174"/>
  <c r="T41" i="174"/>
  <c r="T42" i="174"/>
  <c r="T43" i="174"/>
  <c r="T44" i="174"/>
  <c r="T45" i="174"/>
  <c r="T46" i="174"/>
  <c r="T47" i="174"/>
  <c r="T65" i="174"/>
  <c r="T66" i="174"/>
  <c r="AE39" i="179" l="1"/>
  <c r="AE48" i="179"/>
  <c r="AE162" i="179"/>
  <c r="AE72" i="179"/>
  <c r="J158" i="177"/>
  <c r="J120" i="177"/>
  <c r="AE7" i="179"/>
  <c r="AE19" i="179"/>
  <c r="AE31" i="179"/>
  <c r="AE14" i="179"/>
  <c r="AE9" i="179"/>
  <c r="AE21" i="179"/>
  <c r="AE33" i="179"/>
  <c r="AE6" i="179"/>
  <c r="AE18" i="179"/>
  <c r="AE30" i="179"/>
  <c r="AE13" i="179"/>
  <c r="AE25" i="179"/>
  <c r="AE28" i="179"/>
  <c r="AE38" i="179"/>
  <c r="AE35" i="179"/>
  <c r="AE46" i="179"/>
  <c r="AE24" i="179"/>
  <c r="AE41" i="179"/>
  <c r="AE27" i="179"/>
  <c r="AE49" i="179"/>
  <c r="AE11" i="179"/>
  <c r="AE15" i="179"/>
  <c r="AE34" i="179"/>
  <c r="AE43" i="179"/>
  <c r="AE45" i="179"/>
  <c r="AE47" i="179"/>
  <c r="AE29" i="179"/>
  <c r="AE50" i="179"/>
  <c r="AE51" i="179"/>
  <c r="AE60" i="179"/>
  <c r="AE4" i="179"/>
  <c r="AE36" i="179"/>
  <c r="AE37" i="179"/>
  <c r="AE55" i="179"/>
  <c r="AE67" i="179"/>
  <c r="AE22" i="179"/>
  <c r="AE32" i="179"/>
  <c r="AE62" i="179"/>
  <c r="AE8" i="179"/>
  <c r="AE40" i="179"/>
  <c r="AE57" i="179"/>
  <c r="AE69" i="179"/>
  <c r="AE16" i="179"/>
  <c r="AE52" i="179"/>
  <c r="AE64" i="179"/>
  <c r="AE54" i="179"/>
  <c r="AE66" i="179"/>
  <c r="AE10" i="179"/>
  <c r="AE61" i="179"/>
  <c r="AE12" i="179"/>
  <c r="AE20" i="179"/>
  <c r="AE68" i="179"/>
  <c r="AE82" i="179"/>
  <c r="AE77" i="179"/>
  <c r="AE89" i="179"/>
  <c r="AE5" i="179"/>
  <c r="AE70" i="179"/>
  <c r="AE71" i="179"/>
  <c r="AE84" i="179"/>
  <c r="AE17" i="179"/>
  <c r="AE63" i="179"/>
  <c r="AE79" i="179"/>
  <c r="AE74" i="179"/>
  <c r="AE86" i="179"/>
  <c r="AE76" i="179"/>
  <c r="AE88" i="179"/>
  <c r="AE53" i="179"/>
  <c r="AE65" i="179"/>
  <c r="AE83" i="179"/>
  <c r="AE23" i="179"/>
  <c r="AE26" i="179"/>
  <c r="AE56" i="179"/>
  <c r="AE78" i="179"/>
  <c r="AE44" i="179"/>
  <c r="AE73" i="179"/>
  <c r="AE85" i="179"/>
  <c r="AE101" i="179"/>
  <c r="AE113" i="179"/>
  <c r="AE96" i="179"/>
  <c r="AE108" i="179"/>
  <c r="AE91" i="179"/>
  <c r="AE103" i="179"/>
  <c r="AE98" i="179"/>
  <c r="AE110" i="179"/>
  <c r="AE93" i="179"/>
  <c r="AE105" i="179"/>
  <c r="AE81" i="179"/>
  <c r="AE95" i="179"/>
  <c r="AE107" i="179"/>
  <c r="AE42" i="179"/>
  <c r="AE90" i="179"/>
  <c r="AE102" i="179"/>
  <c r="AE114" i="179"/>
  <c r="AE92" i="179"/>
  <c r="AE115" i="179"/>
  <c r="AE127" i="179"/>
  <c r="AE58" i="179"/>
  <c r="AE80" i="179"/>
  <c r="AE122" i="179"/>
  <c r="AE134" i="179"/>
  <c r="AE59" i="179"/>
  <c r="AE106" i="179"/>
  <c r="AE117" i="179"/>
  <c r="AE129" i="179"/>
  <c r="AE94" i="179"/>
  <c r="AE109" i="179"/>
  <c r="AE124" i="179"/>
  <c r="AE97" i="179"/>
  <c r="AE119" i="179"/>
  <c r="AE131" i="179"/>
  <c r="AE111" i="179"/>
  <c r="AE112" i="179"/>
  <c r="AE121" i="179"/>
  <c r="AE133" i="179"/>
  <c r="AE99" i="179"/>
  <c r="AE100" i="179"/>
  <c r="AE116" i="179"/>
  <c r="AE128" i="179"/>
  <c r="AE75" i="179"/>
  <c r="AE123" i="179"/>
  <c r="AE137" i="179"/>
  <c r="AE149" i="179"/>
  <c r="AE161" i="179"/>
  <c r="AE144" i="179"/>
  <c r="AE156" i="179"/>
  <c r="AE139" i="179"/>
  <c r="AE151" i="179"/>
  <c r="AE120" i="179"/>
  <c r="AE146" i="179"/>
  <c r="AE158" i="179"/>
  <c r="AE126" i="179"/>
  <c r="AE141" i="179"/>
  <c r="AE153" i="179"/>
  <c r="AE125" i="179"/>
  <c r="AE143" i="179"/>
  <c r="AE155" i="179"/>
  <c r="AE87" i="179"/>
  <c r="AE132" i="179"/>
  <c r="AE138" i="179"/>
  <c r="AE150" i="179"/>
  <c r="AE145" i="179"/>
  <c r="AE157" i="179"/>
  <c r="AE136" i="179"/>
  <c r="AE130" i="179"/>
  <c r="AE135" i="179"/>
  <c r="AE142" i="179"/>
  <c r="AE148" i="179"/>
  <c r="AE147" i="179"/>
  <c r="AE3" i="179"/>
  <c r="AE104" i="179"/>
  <c r="AE154" i="179"/>
  <c r="AE118" i="179"/>
  <c r="AE160" i="179"/>
  <c r="AE140" i="179"/>
  <c r="AE152" i="179"/>
  <c r="AE159" i="179"/>
  <c r="AF1" i="179"/>
  <c r="J10" i="177"/>
  <c r="J22" i="177"/>
  <c r="J34" i="177"/>
  <c r="J5" i="177"/>
  <c r="J17" i="177"/>
  <c r="J29" i="177"/>
  <c r="J12" i="177"/>
  <c r="J24" i="177"/>
  <c r="J36" i="177"/>
  <c r="J7" i="177"/>
  <c r="J19" i="177"/>
  <c r="J31" i="177"/>
  <c r="J14" i="177"/>
  <c r="J26" i="177"/>
  <c r="J9" i="177"/>
  <c r="J21" i="177"/>
  <c r="J33" i="177"/>
  <c r="J4" i="177"/>
  <c r="J16" i="177"/>
  <c r="J28" i="177"/>
  <c r="J11" i="177"/>
  <c r="J23" i="177"/>
  <c r="J35" i="177"/>
  <c r="J6" i="177"/>
  <c r="J18" i="177"/>
  <c r="J30" i="177"/>
  <c r="J8" i="177"/>
  <c r="J20" i="177"/>
  <c r="J32" i="177"/>
  <c r="J37" i="177"/>
  <c r="J49" i="177"/>
  <c r="J61" i="177"/>
  <c r="J39" i="177"/>
  <c r="J51" i="177"/>
  <c r="J63" i="177"/>
  <c r="J46" i="177"/>
  <c r="J58" i="177"/>
  <c r="J41" i="177"/>
  <c r="J53" i="177"/>
  <c r="J48" i="177"/>
  <c r="J60" i="177"/>
  <c r="J43" i="177"/>
  <c r="J55" i="177"/>
  <c r="J38" i="177"/>
  <c r="J50" i="177"/>
  <c r="J62" i="177"/>
  <c r="J13" i="177"/>
  <c r="J40" i="177"/>
  <c r="J52" i="177"/>
  <c r="J27" i="177"/>
  <c r="J76" i="177"/>
  <c r="J42" i="177"/>
  <c r="J64" i="177"/>
  <c r="J56" i="177"/>
  <c r="J66" i="177"/>
  <c r="J78" i="177"/>
  <c r="J15" i="177"/>
  <c r="J73" i="177"/>
  <c r="J47" i="177"/>
  <c r="J68" i="177"/>
  <c r="J80" i="177"/>
  <c r="J54" i="177"/>
  <c r="J75" i="177"/>
  <c r="J70" i="177"/>
  <c r="J82" i="177"/>
  <c r="J45" i="177"/>
  <c r="J65" i="177"/>
  <c r="J77" i="177"/>
  <c r="J88" i="177"/>
  <c r="J100" i="177"/>
  <c r="J59" i="177"/>
  <c r="J79" i="177"/>
  <c r="J95" i="177"/>
  <c r="J67" i="177"/>
  <c r="J90" i="177"/>
  <c r="J102" i="177"/>
  <c r="J86" i="177"/>
  <c r="J97" i="177"/>
  <c r="J81" i="177"/>
  <c r="J92" i="177"/>
  <c r="J72" i="177"/>
  <c r="J83" i="177"/>
  <c r="J94" i="177"/>
  <c r="J25" i="177"/>
  <c r="J71" i="177"/>
  <c r="J87" i="177"/>
  <c r="J89" i="177"/>
  <c r="J101" i="177"/>
  <c r="J44" i="177"/>
  <c r="J57" i="177"/>
  <c r="J96" i="177"/>
  <c r="J74" i="177"/>
  <c r="J84" i="177"/>
  <c r="J91" i="177"/>
  <c r="J69" i="177"/>
  <c r="J116" i="177"/>
  <c r="J129" i="177"/>
  <c r="J111" i="177"/>
  <c r="J124" i="177"/>
  <c r="J103" i="177"/>
  <c r="J118" i="177"/>
  <c r="J106" i="177"/>
  <c r="J113" i="177"/>
  <c r="J126" i="177"/>
  <c r="J108" i="177"/>
  <c r="J121" i="177"/>
  <c r="J93" i="177"/>
  <c r="J115" i="177"/>
  <c r="J128" i="177"/>
  <c r="J85" i="177"/>
  <c r="J99" i="177"/>
  <c r="J104" i="177"/>
  <c r="J110" i="177"/>
  <c r="J123" i="177"/>
  <c r="J117" i="177"/>
  <c r="J98" i="177"/>
  <c r="J112" i="177"/>
  <c r="J125" i="177"/>
  <c r="J107" i="177"/>
  <c r="J119" i="177"/>
  <c r="J114" i="177"/>
  <c r="J127" i="177"/>
  <c r="J109" i="177"/>
  <c r="J135" i="177"/>
  <c r="J137" i="177"/>
  <c r="J149" i="177"/>
  <c r="J144" i="177"/>
  <c r="J105" i="177"/>
  <c r="J130" i="177"/>
  <c r="J139" i="177"/>
  <c r="J151" i="177"/>
  <c r="J3" i="177"/>
  <c r="J133" i="177"/>
  <c r="J146" i="177"/>
  <c r="J141" i="177"/>
  <c r="J153" i="177"/>
  <c r="J136" i="177"/>
  <c r="J148" i="177"/>
  <c r="J131" i="177"/>
  <c r="J143" i="177"/>
  <c r="J122" i="177"/>
  <c r="J138" i="177"/>
  <c r="J150" i="177"/>
  <c r="J134" i="177"/>
  <c r="J145" i="177"/>
  <c r="J157" i="177"/>
  <c r="J147" i="177"/>
  <c r="J155" i="177"/>
  <c r="J132" i="177"/>
  <c r="J142" i="177"/>
  <c r="J140" i="177"/>
  <c r="J154" i="177"/>
  <c r="J156" i="177"/>
  <c r="J152" i="177"/>
  <c r="J221" i="177"/>
  <c r="J209" i="177"/>
  <c r="J197" i="177"/>
  <c r="J217" i="177"/>
  <c r="J205" i="177"/>
  <c r="J193" i="177"/>
  <c r="J203" i="177"/>
  <c r="J190" i="177"/>
  <c r="J183" i="177"/>
  <c r="J214" i="177"/>
  <c r="J201" i="177"/>
  <c r="J220" i="177"/>
  <c r="J215" i="177"/>
  <c r="J196" i="177"/>
  <c r="J191" i="177"/>
  <c r="J188" i="177"/>
  <c r="J213" i="177"/>
  <c r="J208" i="177"/>
  <c r="J185" i="177"/>
  <c r="J176" i="177"/>
  <c r="J164" i="177"/>
  <c r="J218" i="177"/>
  <c r="J194" i="177"/>
  <c r="J200" i="177"/>
  <c r="J195" i="177"/>
  <c r="J189" i="177"/>
  <c r="J172" i="177"/>
  <c r="J198" i="177"/>
  <c r="J166" i="177"/>
  <c r="J169" i="177"/>
  <c r="J210" i="177"/>
  <c r="J175" i="177"/>
  <c r="J204" i="177"/>
  <c r="J181" i="177"/>
  <c r="J167" i="177"/>
  <c r="J159" i="177"/>
  <c r="J222" i="177"/>
  <c r="J180" i="177"/>
  <c r="J165" i="177"/>
  <c r="J179" i="177"/>
  <c r="J163" i="177"/>
  <c r="J174" i="177"/>
  <c r="J206" i="177"/>
  <c r="J219" i="177"/>
  <c r="J211" i="177"/>
  <c r="J207" i="177"/>
  <c r="J202" i="177"/>
  <c r="J192" i="177"/>
  <c r="J178" i="177"/>
  <c r="J171" i="177"/>
  <c r="J161" i="177"/>
  <c r="J173" i="177"/>
  <c r="J160" i="177"/>
  <c r="J216" i="177"/>
  <c r="J212" i="177"/>
  <c r="J184" i="177"/>
  <c r="J162" i="177"/>
  <c r="J199" i="177"/>
  <c r="J187" i="177"/>
  <c r="J186" i="177"/>
  <c r="J182" i="177"/>
  <c r="J170" i="177"/>
  <c r="J177" i="177"/>
  <c r="J168" i="177"/>
  <c r="K1" i="177"/>
  <c r="T33" i="174"/>
  <c r="T35" i="174"/>
  <c r="T36" i="174"/>
  <c r="T37" i="174"/>
  <c r="T38" i="174"/>
  <c r="T34" i="174"/>
  <c r="T39" i="174"/>
  <c r="AF39" i="179" l="1"/>
  <c r="AF48" i="179"/>
  <c r="AF162" i="179"/>
  <c r="AF72" i="179"/>
  <c r="K158" i="177"/>
  <c r="K120" i="177"/>
  <c r="AF12" i="179"/>
  <c r="AF24" i="179"/>
  <c r="AF7" i="179"/>
  <c r="AF19" i="179"/>
  <c r="AF14" i="179"/>
  <c r="AF26" i="179"/>
  <c r="AF11" i="179"/>
  <c r="AF23" i="179"/>
  <c r="AF35" i="179"/>
  <c r="AF6" i="179"/>
  <c r="AF18" i="179"/>
  <c r="AF30" i="179"/>
  <c r="AF5" i="179"/>
  <c r="AF22" i="179"/>
  <c r="AF44" i="179"/>
  <c r="AF28" i="179"/>
  <c r="AF38" i="179"/>
  <c r="AF46" i="179"/>
  <c r="AF31" i="179"/>
  <c r="AF41" i="179"/>
  <c r="AF9" i="179"/>
  <c r="AF13" i="179"/>
  <c r="AF27" i="179"/>
  <c r="AF49" i="179"/>
  <c r="AF17" i="179"/>
  <c r="AF37" i="179"/>
  <c r="AF51" i="179"/>
  <c r="AF4" i="179"/>
  <c r="AF33" i="179"/>
  <c r="AF40" i="179"/>
  <c r="AF53" i="179"/>
  <c r="AF65" i="179"/>
  <c r="AF29" i="179"/>
  <c r="AF50" i="179"/>
  <c r="AF60" i="179"/>
  <c r="AF25" i="179"/>
  <c r="AF36" i="179"/>
  <c r="AF55" i="179"/>
  <c r="AF32" i="179"/>
  <c r="AF62" i="179"/>
  <c r="AF8" i="179"/>
  <c r="AF57" i="179"/>
  <c r="AF69" i="179"/>
  <c r="AF42" i="179"/>
  <c r="AF43" i="179"/>
  <c r="AF59" i="179"/>
  <c r="AF34" i="179"/>
  <c r="AF54" i="179"/>
  <c r="AF58" i="179"/>
  <c r="AF66" i="179"/>
  <c r="AF75" i="179"/>
  <c r="AF87" i="179"/>
  <c r="AF20" i="179"/>
  <c r="AF61" i="179"/>
  <c r="AF68" i="179"/>
  <c r="AF82" i="179"/>
  <c r="AF21" i="179"/>
  <c r="AF45" i="179"/>
  <c r="AF47" i="179"/>
  <c r="AF77" i="179"/>
  <c r="AF89" i="179"/>
  <c r="AF70" i="179"/>
  <c r="AF71" i="179"/>
  <c r="AF84" i="179"/>
  <c r="AF10" i="179"/>
  <c r="AF63" i="179"/>
  <c r="AF64" i="179"/>
  <c r="AF79" i="179"/>
  <c r="AF81" i="179"/>
  <c r="AF15" i="179"/>
  <c r="AF67" i="179"/>
  <c r="AF76" i="179"/>
  <c r="AF88" i="179"/>
  <c r="AF83" i="179"/>
  <c r="AF56" i="179"/>
  <c r="AF78" i="179"/>
  <c r="AF74" i="179"/>
  <c r="AF94" i="179"/>
  <c r="AF106" i="179"/>
  <c r="AF85" i="179"/>
  <c r="AF101" i="179"/>
  <c r="AF113" i="179"/>
  <c r="AF96" i="179"/>
  <c r="AF108" i="179"/>
  <c r="AF91" i="179"/>
  <c r="AF103" i="179"/>
  <c r="AF73" i="179"/>
  <c r="AF98" i="179"/>
  <c r="AF110" i="179"/>
  <c r="AF100" i="179"/>
  <c r="AF112" i="179"/>
  <c r="AF95" i="179"/>
  <c r="AF107" i="179"/>
  <c r="AF104" i="179"/>
  <c r="AF105" i="179"/>
  <c r="AF120" i="179"/>
  <c r="AF132" i="179"/>
  <c r="AF16" i="179"/>
  <c r="AF92" i="179"/>
  <c r="AF93" i="179"/>
  <c r="AF115" i="179"/>
  <c r="AF127" i="179"/>
  <c r="AF80" i="179"/>
  <c r="AF122" i="179"/>
  <c r="AF117" i="179"/>
  <c r="AF129" i="179"/>
  <c r="AF109" i="179"/>
  <c r="AF124" i="179"/>
  <c r="AF126" i="179"/>
  <c r="AF111" i="179"/>
  <c r="AF121" i="179"/>
  <c r="AF133" i="179"/>
  <c r="AF86" i="179"/>
  <c r="AF99" i="179"/>
  <c r="AF114" i="179"/>
  <c r="AF116" i="179"/>
  <c r="AF128" i="179"/>
  <c r="AF142" i="179"/>
  <c r="AF154" i="179"/>
  <c r="AF102" i="179"/>
  <c r="AF137" i="179"/>
  <c r="AF149" i="179"/>
  <c r="AF161" i="179"/>
  <c r="AF144" i="179"/>
  <c r="AF156" i="179"/>
  <c r="AF139" i="179"/>
  <c r="AF151" i="179"/>
  <c r="AF52" i="179"/>
  <c r="AF97" i="179"/>
  <c r="AF119" i="179"/>
  <c r="AF134" i="179"/>
  <c r="AF146" i="179"/>
  <c r="AF158" i="179"/>
  <c r="AF118" i="179"/>
  <c r="AF136" i="179"/>
  <c r="AF148" i="179"/>
  <c r="AF160" i="179"/>
  <c r="AF125" i="179"/>
  <c r="AF143" i="179"/>
  <c r="AF155" i="179"/>
  <c r="AF131" i="179"/>
  <c r="AF138" i="179"/>
  <c r="AF150" i="179"/>
  <c r="AF123" i="179"/>
  <c r="AF157" i="179"/>
  <c r="AF130" i="179"/>
  <c r="AF135" i="179"/>
  <c r="AF141" i="179"/>
  <c r="AF140" i="179"/>
  <c r="AF147" i="179"/>
  <c r="AF3" i="179"/>
  <c r="AF153" i="179"/>
  <c r="AF90" i="179"/>
  <c r="AF145" i="179"/>
  <c r="AF152" i="179"/>
  <c r="AF159" i="179"/>
  <c r="AG1" i="179"/>
  <c r="K15" i="177"/>
  <c r="K27" i="177"/>
  <c r="K10" i="177"/>
  <c r="K22" i="177"/>
  <c r="K34" i="177"/>
  <c r="K5" i="177"/>
  <c r="K17" i="177"/>
  <c r="K29" i="177"/>
  <c r="K12" i="177"/>
  <c r="K24" i="177"/>
  <c r="K36" i="177"/>
  <c r="K7" i="177"/>
  <c r="K19" i="177"/>
  <c r="K31" i="177"/>
  <c r="K14" i="177"/>
  <c r="K26" i="177"/>
  <c r="K9" i="177"/>
  <c r="K21" i="177"/>
  <c r="K33" i="177"/>
  <c r="K4" i="177"/>
  <c r="K16" i="177"/>
  <c r="K28" i="177"/>
  <c r="K11" i="177"/>
  <c r="K23" i="177"/>
  <c r="K35" i="177"/>
  <c r="K13" i="177"/>
  <c r="K25" i="177"/>
  <c r="K32" i="177"/>
  <c r="K42" i="177"/>
  <c r="K54" i="177"/>
  <c r="K44" i="177"/>
  <c r="K56" i="177"/>
  <c r="K39" i="177"/>
  <c r="K51" i="177"/>
  <c r="K63" i="177"/>
  <c r="K46" i="177"/>
  <c r="K58" i="177"/>
  <c r="K41" i="177"/>
  <c r="K53" i="177"/>
  <c r="K48" i="177"/>
  <c r="K60" i="177"/>
  <c r="K43" i="177"/>
  <c r="K55" i="177"/>
  <c r="K6" i="177"/>
  <c r="K45" i="177"/>
  <c r="K57" i="177"/>
  <c r="K50" i="177"/>
  <c r="K20" i="177"/>
  <c r="K69" i="177"/>
  <c r="K81" i="177"/>
  <c r="K49" i="177"/>
  <c r="K64" i="177"/>
  <c r="K71" i="177"/>
  <c r="K83" i="177"/>
  <c r="K8" i="177"/>
  <c r="K62" i="177"/>
  <c r="K66" i="177"/>
  <c r="K78" i="177"/>
  <c r="K40" i="177"/>
  <c r="K73" i="177"/>
  <c r="K85" i="177"/>
  <c r="K47" i="177"/>
  <c r="K68" i="177"/>
  <c r="K80" i="177"/>
  <c r="K30" i="177"/>
  <c r="K61" i="177"/>
  <c r="K75" i="177"/>
  <c r="K38" i="177"/>
  <c r="K70" i="177"/>
  <c r="K82" i="177"/>
  <c r="K76" i="177"/>
  <c r="K93" i="177"/>
  <c r="K105" i="177"/>
  <c r="K88" i="177"/>
  <c r="K100" i="177"/>
  <c r="K37" i="177"/>
  <c r="K59" i="177"/>
  <c r="K79" i="177"/>
  <c r="K95" i="177"/>
  <c r="K52" i="177"/>
  <c r="K67" i="177"/>
  <c r="K90" i="177"/>
  <c r="K18" i="177"/>
  <c r="K86" i="177"/>
  <c r="K97" i="177"/>
  <c r="K99" i="177"/>
  <c r="K72" i="177"/>
  <c r="K94" i="177"/>
  <c r="K87" i="177"/>
  <c r="K89" i="177"/>
  <c r="K101" i="177"/>
  <c r="K96" i="177"/>
  <c r="K65" i="177"/>
  <c r="K109" i="177"/>
  <c r="K122" i="177"/>
  <c r="K134" i="177"/>
  <c r="K84" i="177"/>
  <c r="K91" i="177"/>
  <c r="K116" i="177"/>
  <c r="K77" i="177"/>
  <c r="K102" i="177"/>
  <c r="K111" i="177"/>
  <c r="K124" i="177"/>
  <c r="K103" i="177"/>
  <c r="K118" i="177"/>
  <c r="K74" i="177"/>
  <c r="K106" i="177"/>
  <c r="K113" i="177"/>
  <c r="K126" i="177"/>
  <c r="K108" i="177"/>
  <c r="K121" i="177"/>
  <c r="K115" i="177"/>
  <c r="K128" i="177"/>
  <c r="K104" i="177"/>
  <c r="K110" i="177"/>
  <c r="K123" i="177"/>
  <c r="K117" i="177"/>
  <c r="K92" i="177"/>
  <c r="K98" i="177"/>
  <c r="K112" i="177"/>
  <c r="K125" i="177"/>
  <c r="K107" i="177"/>
  <c r="K119" i="177"/>
  <c r="K132" i="177"/>
  <c r="K142" i="177"/>
  <c r="K154" i="177"/>
  <c r="K114" i="177"/>
  <c r="K135" i="177"/>
  <c r="K137" i="177"/>
  <c r="K149" i="177"/>
  <c r="K144" i="177"/>
  <c r="K156" i="177"/>
  <c r="K130" i="177"/>
  <c r="K139" i="177"/>
  <c r="K151" i="177"/>
  <c r="K133" i="177"/>
  <c r="K146" i="177"/>
  <c r="K141" i="177"/>
  <c r="K153" i="177"/>
  <c r="K136" i="177"/>
  <c r="K148" i="177"/>
  <c r="K131" i="177"/>
  <c r="K143" i="177"/>
  <c r="K127" i="177"/>
  <c r="K138" i="177"/>
  <c r="K150" i="177"/>
  <c r="K129" i="177"/>
  <c r="K140" i="177"/>
  <c r="K152" i="177"/>
  <c r="K155" i="177"/>
  <c r="K157" i="177"/>
  <c r="K3" i="177"/>
  <c r="K147" i="177"/>
  <c r="K145" i="177"/>
  <c r="K214" i="177"/>
  <c r="K202" i="177"/>
  <c r="K190" i="177"/>
  <c r="K222" i="177"/>
  <c r="K210" i="177"/>
  <c r="K198" i="177"/>
  <c r="K216" i="177"/>
  <c r="K196" i="177"/>
  <c r="K188" i="177"/>
  <c r="K220" i="177"/>
  <c r="K207" i="177"/>
  <c r="K194" i="177"/>
  <c r="K206" i="177"/>
  <c r="K201" i="177"/>
  <c r="K183" i="177"/>
  <c r="K218" i="177"/>
  <c r="K169" i="177"/>
  <c r="K199" i="177"/>
  <c r="K184" i="177"/>
  <c r="K215" i="177"/>
  <c r="K205" i="177"/>
  <c r="K177" i="177"/>
  <c r="K165" i="177"/>
  <c r="K208" i="177"/>
  <c r="K203" i="177"/>
  <c r="K172" i="177"/>
  <c r="K217" i="177"/>
  <c r="K200" i="177"/>
  <c r="K195" i="177"/>
  <c r="K175" i="177"/>
  <c r="K162" i="177"/>
  <c r="K219" i="177"/>
  <c r="K168" i="177"/>
  <c r="K189" i="177"/>
  <c r="K173" i="177"/>
  <c r="K179" i="177"/>
  <c r="K163" i="177"/>
  <c r="K213" i="177"/>
  <c r="K174" i="177"/>
  <c r="K191" i="177"/>
  <c r="K211" i="177"/>
  <c r="K192" i="177"/>
  <c r="K178" i="177"/>
  <c r="K176" i="177"/>
  <c r="K221" i="177"/>
  <c r="K197" i="177"/>
  <c r="K164" i="177"/>
  <c r="K160" i="177"/>
  <c r="K212" i="177"/>
  <c r="K193" i="177"/>
  <c r="K166" i="177"/>
  <c r="K159" i="177"/>
  <c r="K187" i="177"/>
  <c r="K186" i="177"/>
  <c r="K185" i="177"/>
  <c r="K209" i="177"/>
  <c r="K204" i="177"/>
  <c r="K180" i="177"/>
  <c r="K182" i="177"/>
  <c r="K167" i="177"/>
  <c r="K181" i="177"/>
  <c r="K171" i="177"/>
  <c r="K161" i="177"/>
  <c r="K170" i="177"/>
  <c r="L1" i="177"/>
  <c r="T32" i="174"/>
  <c r="AG39" i="179" l="1"/>
  <c r="AG48" i="179"/>
  <c r="AG162" i="179"/>
  <c r="AG72" i="179"/>
  <c r="AG5" i="179"/>
  <c r="AG17" i="179"/>
  <c r="AG29" i="179"/>
  <c r="AG12" i="179"/>
  <c r="AG7" i="179"/>
  <c r="AG19" i="179"/>
  <c r="AG31" i="179"/>
  <c r="AG4" i="179"/>
  <c r="AG16" i="179"/>
  <c r="AG28" i="179"/>
  <c r="AG11" i="179"/>
  <c r="AG23" i="179"/>
  <c r="AG35" i="179"/>
  <c r="AG10" i="179"/>
  <c r="AG20" i="179"/>
  <c r="AG32" i="179"/>
  <c r="AG36" i="179"/>
  <c r="AG50" i="179"/>
  <c r="AG22" i="179"/>
  <c r="AG44" i="179"/>
  <c r="AG38" i="179"/>
  <c r="AG6" i="179"/>
  <c r="AG24" i="179"/>
  <c r="AG46" i="179"/>
  <c r="AG41" i="179"/>
  <c r="AG15" i="179"/>
  <c r="AG21" i="179"/>
  <c r="AG30" i="179"/>
  <c r="AG34" i="179"/>
  <c r="AG43" i="179"/>
  <c r="AG26" i="179"/>
  <c r="AG45" i="179"/>
  <c r="AG58" i="179"/>
  <c r="AG70" i="179"/>
  <c r="AG51" i="179"/>
  <c r="AG53" i="179"/>
  <c r="AG65" i="179"/>
  <c r="AG14" i="179"/>
  <c r="AG37" i="179"/>
  <c r="AG60" i="179"/>
  <c r="AG25" i="179"/>
  <c r="AG55" i="179"/>
  <c r="AG67" i="179"/>
  <c r="AG40" i="179"/>
  <c r="AG62" i="179"/>
  <c r="AG52" i="179"/>
  <c r="AG64" i="179"/>
  <c r="AG27" i="179"/>
  <c r="AG42" i="179"/>
  <c r="AG59" i="179"/>
  <c r="AG80" i="179"/>
  <c r="AG13" i="179"/>
  <c r="AG66" i="179"/>
  <c r="AG75" i="179"/>
  <c r="AG87" i="179"/>
  <c r="AG9" i="179"/>
  <c r="AG61" i="179"/>
  <c r="AG68" i="179"/>
  <c r="AG82" i="179"/>
  <c r="AG47" i="179"/>
  <c r="AG77" i="179"/>
  <c r="AG89" i="179"/>
  <c r="AG71" i="179"/>
  <c r="AG84" i="179"/>
  <c r="AG74" i="179"/>
  <c r="AG86" i="179"/>
  <c r="AG54" i="179"/>
  <c r="AG69" i="179"/>
  <c r="AG81" i="179"/>
  <c r="AG49" i="179"/>
  <c r="AG76" i="179"/>
  <c r="AG88" i="179"/>
  <c r="AG83" i="179"/>
  <c r="AG99" i="179"/>
  <c r="AG111" i="179"/>
  <c r="AG8" i="179"/>
  <c r="AG57" i="179"/>
  <c r="AG94" i="179"/>
  <c r="AG106" i="179"/>
  <c r="AG85" i="179"/>
  <c r="AG101" i="179"/>
  <c r="AG113" i="179"/>
  <c r="AG79" i="179"/>
  <c r="AG96" i="179"/>
  <c r="AG108" i="179"/>
  <c r="AG91" i="179"/>
  <c r="AG103" i="179"/>
  <c r="AG93" i="179"/>
  <c r="AG105" i="179"/>
  <c r="AG78" i="179"/>
  <c r="AG100" i="179"/>
  <c r="AG112" i="179"/>
  <c r="AG125" i="179"/>
  <c r="AG104" i="179"/>
  <c r="AG120" i="179"/>
  <c r="AG132" i="179"/>
  <c r="AG18" i="179"/>
  <c r="AG73" i="179"/>
  <c r="AG92" i="179"/>
  <c r="AG107" i="179"/>
  <c r="AG115" i="179"/>
  <c r="AG127" i="179"/>
  <c r="AG95" i="179"/>
  <c r="AG122" i="179"/>
  <c r="AG117" i="179"/>
  <c r="AG129" i="179"/>
  <c r="AG97" i="179"/>
  <c r="AG98" i="179"/>
  <c r="AG119" i="179"/>
  <c r="AG131" i="179"/>
  <c r="AG126" i="179"/>
  <c r="AG33" i="179"/>
  <c r="AG63" i="179"/>
  <c r="AG121" i="179"/>
  <c r="AG133" i="179"/>
  <c r="AG110" i="179"/>
  <c r="AG135" i="179"/>
  <c r="AG147" i="179"/>
  <c r="AG159" i="179"/>
  <c r="AG128" i="179"/>
  <c r="AG142" i="179"/>
  <c r="AG154" i="179"/>
  <c r="AG102" i="179"/>
  <c r="AG137" i="179"/>
  <c r="AG149" i="179"/>
  <c r="AG161" i="179"/>
  <c r="AG144" i="179"/>
  <c r="AG156" i="179"/>
  <c r="AG139" i="179"/>
  <c r="AG151" i="179"/>
  <c r="AG141" i="179"/>
  <c r="AG153" i="179"/>
  <c r="AG56" i="179"/>
  <c r="AG118" i="179"/>
  <c r="AG136" i="179"/>
  <c r="AG148" i="179"/>
  <c r="AG160" i="179"/>
  <c r="AG109" i="179"/>
  <c r="AG124" i="179"/>
  <c r="AG143" i="179"/>
  <c r="AG155" i="179"/>
  <c r="AG158" i="179"/>
  <c r="AG116" i="179"/>
  <c r="AG150" i="179"/>
  <c r="AG123" i="179"/>
  <c r="AG157" i="179"/>
  <c r="AG130" i="179"/>
  <c r="AG134" i="179"/>
  <c r="AG140" i="179"/>
  <c r="AG114" i="179"/>
  <c r="AG146" i="179"/>
  <c r="AG3" i="179"/>
  <c r="AG138" i="179"/>
  <c r="AG90" i="179"/>
  <c r="AG145" i="179"/>
  <c r="AG152" i="179"/>
  <c r="AH1" i="179"/>
  <c r="L158" i="177"/>
  <c r="L120" i="177"/>
  <c r="L8" i="177"/>
  <c r="L20" i="177"/>
  <c r="L32" i="177"/>
  <c r="L15" i="177"/>
  <c r="L27" i="177"/>
  <c r="L10" i="177"/>
  <c r="L22" i="177"/>
  <c r="L34" i="177"/>
  <c r="L5" i="177"/>
  <c r="L17" i="177"/>
  <c r="L29" i="177"/>
  <c r="L12" i="177"/>
  <c r="L24" i="177"/>
  <c r="L36" i="177"/>
  <c r="L7" i="177"/>
  <c r="L19" i="177"/>
  <c r="L31" i="177"/>
  <c r="L14" i="177"/>
  <c r="L26" i="177"/>
  <c r="L9" i="177"/>
  <c r="L21" i="177"/>
  <c r="L33" i="177"/>
  <c r="L4" i="177"/>
  <c r="L16" i="177"/>
  <c r="L28" i="177"/>
  <c r="L6" i="177"/>
  <c r="L18" i="177"/>
  <c r="L30" i="177"/>
  <c r="L25" i="177"/>
  <c r="L47" i="177"/>
  <c r="L59" i="177"/>
  <c r="L37" i="177"/>
  <c r="L49" i="177"/>
  <c r="L61" i="177"/>
  <c r="L35" i="177"/>
  <c r="L44" i="177"/>
  <c r="L56" i="177"/>
  <c r="L39" i="177"/>
  <c r="L51" i="177"/>
  <c r="L63" i="177"/>
  <c r="L46" i="177"/>
  <c r="L58" i="177"/>
  <c r="L41" i="177"/>
  <c r="L53" i="177"/>
  <c r="L48" i="177"/>
  <c r="L60" i="177"/>
  <c r="L38" i="177"/>
  <c r="L50" i="177"/>
  <c r="L62" i="177"/>
  <c r="L43" i="177"/>
  <c r="L13" i="177"/>
  <c r="L57" i="177"/>
  <c r="L74" i="177"/>
  <c r="L86" i="177"/>
  <c r="L42" i="177"/>
  <c r="L76" i="177"/>
  <c r="L55" i="177"/>
  <c r="L64" i="177"/>
  <c r="L71" i="177"/>
  <c r="L83" i="177"/>
  <c r="L66" i="177"/>
  <c r="L78" i="177"/>
  <c r="L40" i="177"/>
  <c r="L73" i="177"/>
  <c r="L85" i="177"/>
  <c r="L23" i="177"/>
  <c r="L54" i="177"/>
  <c r="L68" i="177"/>
  <c r="L80" i="177"/>
  <c r="L75" i="177"/>
  <c r="L77" i="177"/>
  <c r="L98" i="177"/>
  <c r="L11" i="177"/>
  <c r="L93" i="177"/>
  <c r="L88" i="177"/>
  <c r="L100" i="177"/>
  <c r="L79" i="177"/>
  <c r="L95" i="177"/>
  <c r="L52" i="177"/>
  <c r="L67" i="177"/>
  <c r="L82" i="177"/>
  <c r="L90" i="177"/>
  <c r="L65" i="177"/>
  <c r="L69" i="177"/>
  <c r="L92" i="177"/>
  <c r="L99" i="177"/>
  <c r="L72" i="177"/>
  <c r="L94" i="177"/>
  <c r="L45" i="177"/>
  <c r="L87" i="177"/>
  <c r="L89" i="177"/>
  <c r="L97" i="177"/>
  <c r="L105" i="177"/>
  <c r="L114" i="177"/>
  <c r="L127" i="177"/>
  <c r="L109" i="177"/>
  <c r="L122" i="177"/>
  <c r="L84" i="177"/>
  <c r="L91" i="177"/>
  <c r="L116" i="177"/>
  <c r="L70" i="177"/>
  <c r="L81" i="177"/>
  <c r="L102" i="177"/>
  <c r="L111" i="177"/>
  <c r="L124" i="177"/>
  <c r="L96" i="177"/>
  <c r="L103" i="177"/>
  <c r="L118" i="177"/>
  <c r="L101" i="177"/>
  <c r="L106" i="177"/>
  <c r="L113" i="177"/>
  <c r="L126" i="177"/>
  <c r="L108" i="177"/>
  <c r="L121" i="177"/>
  <c r="L115" i="177"/>
  <c r="L128" i="177"/>
  <c r="L104" i="177"/>
  <c r="L110" i="177"/>
  <c r="L123" i="177"/>
  <c r="L117" i="177"/>
  <c r="L112" i="177"/>
  <c r="L125" i="177"/>
  <c r="L147" i="177"/>
  <c r="L132" i="177"/>
  <c r="L142" i="177"/>
  <c r="L119" i="177"/>
  <c r="L135" i="177"/>
  <c r="L137" i="177"/>
  <c r="L149" i="177"/>
  <c r="L144" i="177"/>
  <c r="L130" i="177"/>
  <c r="L139" i="177"/>
  <c r="L151" i="177"/>
  <c r="L133" i="177"/>
  <c r="L146" i="177"/>
  <c r="L141" i="177"/>
  <c r="L153" i="177"/>
  <c r="L107" i="177"/>
  <c r="L136" i="177"/>
  <c r="L148" i="177"/>
  <c r="L131" i="177"/>
  <c r="L143" i="177"/>
  <c r="L155" i="177"/>
  <c r="L145" i="177"/>
  <c r="L157" i="177"/>
  <c r="L150" i="177"/>
  <c r="L3" i="177"/>
  <c r="L134" i="177"/>
  <c r="L156" i="177"/>
  <c r="L129" i="177"/>
  <c r="L154" i="177"/>
  <c r="L138" i="177"/>
  <c r="L140" i="177"/>
  <c r="L152" i="177"/>
  <c r="L219" i="177"/>
  <c r="L207" i="177"/>
  <c r="L195" i="177"/>
  <c r="L215" i="177"/>
  <c r="L203" i="177"/>
  <c r="L191" i="177"/>
  <c r="L222" i="177"/>
  <c r="L209" i="177"/>
  <c r="L181" i="177"/>
  <c r="L213" i="177"/>
  <c r="L200" i="177"/>
  <c r="L189" i="177"/>
  <c r="L211" i="177"/>
  <c r="L187" i="177"/>
  <c r="L180" i="177"/>
  <c r="L221" i="177"/>
  <c r="L216" i="177"/>
  <c r="L199" i="177"/>
  <c r="L194" i="177"/>
  <c r="L184" i="177"/>
  <c r="L174" i="177"/>
  <c r="L162" i="177"/>
  <c r="L204" i="177"/>
  <c r="L179" i="177"/>
  <c r="L220" i="177"/>
  <c r="L210" i="177"/>
  <c r="L170" i="177"/>
  <c r="L192" i="177"/>
  <c r="L178" i="177"/>
  <c r="L165" i="177"/>
  <c r="L218" i="177"/>
  <c r="L205" i="177"/>
  <c r="L190" i="177"/>
  <c r="L168" i="177"/>
  <c r="L185" i="177"/>
  <c r="L183" i="177"/>
  <c r="L193" i="177"/>
  <c r="L166" i="177"/>
  <c r="L167" i="177"/>
  <c r="L206" i="177"/>
  <c r="L201" i="177"/>
  <c r="L196" i="177"/>
  <c r="L217" i="177"/>
  <c r="L202" i="177"/>
  <c r="L197" i="177"/>
  <c r="L214" i="177"/>
  <c r="L212" i="177"/>
  <c r="L173" i="177"/>
  <c r="L208" i="177"/>
  <c r="L198" i="177"/>
  <c r="L159" i="177"/>
  <c r="L186" i="177"/>
  <c r="L175" i="177"/>
  <c r="L182" i="177"/>
  <c r="L177" i="177"/>
  <c r="L188" i="177"/>
  <c r="L172" i="177"/>
  <c r="L163" i="177"/>
  <c r="L176" i="177"/>
  <c r="L164" i="177"/>
  <c r="L171" i="177"/>
  <c r="L169" i="177"/>
  <c r="L161" i="177"/>
  <c r="L160" i="177"/>
  <c r="M1" i="177"/>
  <c r="T30" i="174"/>
  <c r="AH39" i="179" l="1"/>
  <c r="AI39" i="179" s="1"/>
  <c r="AH48" i="179"/>
  <c r="AI48" i="179" s="1"/>
  <c r="AH162" i="179"/>
  <c r="AI162" i="179" s="1"/>
  <c r="AH72" i="179"/>
  <c r="AI72" i="179" s="1"/>
  <c r="M158" i="177"/>
  <c r="M120" i="177"/>
  <c r="AH10" i="179"/>
  <c r="AI10" i="179" s="1"/>
  <c r="AH22" i="179"/>
  <c r="AI22" i="179" s="1"/>
  <c r="AH34" i="179"/>
  <c r="AI34" i="179" s="1"/>
  <c r="AH5" i="179"/>
  <c r="AI5" i="179" s="1"/>
  <c r="AH17" i="179"/>
  <c r="AI17" i="179" s="1"/>
  <c r="AH12" i="179"/>
  <c r="AI12" i="179" s="1"/>
  <c r="AH24" i="179"/>
  <c r="AI24" i="179" s="1"/>
  <c r="AH9" i="179"/>
  <c r="AI9" i="179" s="1"/>
  <c r="AH21" i="179"/>
  <c r="AI21" i="179" s="1"/>
  <c r="AH33" i="179"/>
  <c r="AI33" i="179" s="1"/>
  <c r="AH4" i="179"/>
  <c r="AI4" i="179" s="1"/>
  <c r="AH16" i="179"/>
  <c r="AI16" i="179" s="1"/>
  <c r="AH28" i="179"/>
  <c r="AI28" i="179" s="1"/>
  <c r="AH6" i="179"/>
  <c r="AI6" i="179" s="1"/>
  <c r="AH8" i="179"/>
  <c r="AI8" i="179" s="1"/>
  <c r="AH14" i="179"/>
  <c r="AI14" i="179" s="1"/>
  <c r="AH18" i="179"/>
  <c r="AI18" i="179" s="1"/>
  <c r="AH25" i="179"/>
  <c r="AI25" i="179" s="1"/>
  <c r="AH42" i="179"/>
  <c r="AI42" i="179" s="1"/>
  <c r="AH20" i="179"/>
  <c r="AI20" i="179" s="1"/>
  <c r="AH32" i="179"/>
  <c r="AI32" i="179" s="1"/>
  <c r="AH36" i="179"/>
  <c r="AI36" i="179" s="1"/>
  <c r="AH50" i="179"/>
  <c r="AI50" i="179" s="1"/>
  <c r="AH35" i="179"/>
  <c r="AI35" i="179" s="1"/>
  <c r="AH44" i="179"/>
  <c r="AI44" i="179" s="1"/>
  <c r="AH38" i="179"/>
  <c r="AI38" i="179" s="1"/>
  <c r="AH31" i="179"/>
  <c r="AI31" i="179" s="1"/>
  <c r="AH46" i="179"/>
  <c r="AI46" i="179" s="1"/>
  <c r="AH13" i="179"/>
  <c r="AI13" i="179" s="1"/>
  <c r="AH19" i="179"/>
  <c r="AI19" i="179" s="1"/>
  <c r="AH23" i="179"/>
  <c r="AI23" i="179" s="1"/>
  <c r="AH27" i="179"/>
  <c r="AI27" i="179" s="1"/>
  <c r="AH49" i="179"/>
  <c r="AI49" i="179" s="1"/>
  <c r="AH37" i="179"/>
  <c r="AI37" i="179" s="1"/>
  <c r="AH51" i="179"/>
  <c r="AI51" i="179" s="1"/>
  <c r="AH47" i="179"/>
  <c r="AI47" i="179" s="1"/>
  <c r="AH63" i="179"/>
  <c r="AI63" i="179" s="1"/>
  <c r="AH58" i="179"/>
  <c r="AI58" i="179" s="1"/>
  <c r="AH70" i="179"/>
  <c r="AI70" i="179" s="1"/>
  <c r="AH11" i="179"/>
  <c r="AI11" i="179" s="1"/>
  <c r="AH29" i="179"/>
  <c r="AI29" i="179" s="1"/>
  <c r="AH53" i="179"/>
  <c r="AI53" i="179" s="1"/>
  <c r="AH60" i="179"/>
  <c r="AI60" i="179" s="1"/>
  <c r="AH55" i="179"/>
  <c r="AI55" i="179" s="1"/>
  <c r="AH67" i="179"/>
  <c r="AI67" i="179" s="1"/>
  <c r="AH57" i="179"/>
  <c r="AI57" i="179" s="1"/>
  <c r="AH69" i="179"/>
  <c r="AI69" i="179" s="1"/>
  <c r="AH43" i="179"/>
  <c r="AI43" i="179" s="1"/>
  <c r="AH52" i="179"/>
  <c r="AI52" i="179" s="1"/>
  <c r="AH64" i="179"/>
  <c r="AI64" i="179" s="1"/>
  <c r="AH40" i="179"/>
  <c r="AI40" i="179" s="1"/>
  <c r="AH59" i="179"/>
  <c r="AI59" i="179" s="1"/>
  <c r="AH73" i="179"/>
  <c r="AI73" i="179" s="1"/>
  <c r="AH85" i="179"/>
  <c r="AI85" i="179" s="1"/>
  <c r="AH80" i="179"/>
  <c r="AI80" i="179" s="1"/>
  <c r="AH66" i="179"/>
  <c r="AI66" i="179" s="1"/>
  <c r="AH75" i="179"/>
  <c r="AI75" i="179" s="1"/>
  <c r="AH87" i="179"/>
  <c r="AI87" i="179" s="1"/>
  <c r="AH45" i="179"/>
  <c r="AI45" i="179" s="1"/>
  <c r="AH61" i="179"/>
  <c r="AI61" i="179" s="1"/>
  <c r="AH62" i="179"/>
  <c r="AI62" i="179" s="1"/>
  <c r="AH68" i="179"/>
  <c r="AI68" i="179" s="1"/>
  <c r="AH82" i="179"/>
  <c r="AI82" i="179" s="1"/>
  <c r="AH77" i="179"/>
  <c r="AI77" i="179" s="1"/>
  <c r="AH89" i="179"/>
  <c r="AI89" i="179" s="1"/>
  <c r="AH79" i="179"/>
  <c r="AI79" i="179" s="1"/>
  <c r="AH7" i="179"/>
  <c r="AI7" i="179" s="1"/>
  <c r="AH74" i="179"/>
  <c r="AI74" i="179" s="1"/>
  <c r="AH86" i="179"/>
  <c r="AI86" i="179" s="1"/>
  <c r="AH15" i="179"/>
  <c r="AI15" i="179" s="1"/>
  <c r="AH54" i="179"/>
  <c r="AI54" i="179" s="1"/>
  <c r="AH65" i="179"/>
  <c r="AI65" i="179" s="1"/>
  <c r="AH81" i="179"/>
  <c r="AI81" i="179" s="1"/>
  <c r="AH26" i="179"/>
  <c r="AI26" i="179" s="1"/>
  <c r="AH76" i="179"/>
  <c r="AI76" i="179" s="1"/>
  <c r="AH88" i="179"/>
  <c r="AI88" i="179" s="1"/>
  <c r="AH92" i="179"/>
  <c r="AI92" i="179" s="1"/>
  <c r="AH104" i="179"/>
  <c r="AI104" i="179" s="1"/>
  <c r="AH99" i="179"/>
  <c r="AI99" i="179" s="1"/>
  <c r="AH111" i="179"/>
  <c r="AI111" i="179" s="1"/>
  <c r="AH94" i="179"/>
  <c r="AI94" i="179" s="1"/>
  <c r="AH106" i="179"/>
  <c r="AI106" i="179" s="1"/>
  <c r="AH101" i="179"/>
  <c r="AI101" i="179" s="1"/>
  <c r="AH113" i="179"/>
  <c r="AI113" i="179" s="1"/>
  <c r="AH96" i="179"/>
  <c r="AI96" i="179" s="1"/>
  <c r="AH108" i="179"/>
  <c r="AI108" i="179" s="1"/>
  <c r="AH41" i="179"/>
  <c r="AI41" i="179" s="1"/>
  <c r="AH84" i="179"/>
  <c r="AI84" i="179" s="1"/>
  <c r="AH98" i="179"/>
  <c r="AI98" i="179" s="1"/>
  <c r="AH110" i="179"/>
  <c r="AI110" i="179" s="1"/>
  <c r="AH30" i="179"/>
  <c r="AI30" i="179" s="1"/>
  <c r="AH93" i="179"/>
  <c r="AI93" i="179" s="1"/>
  <c r="AH105" i="179"/>
  <c r="AI105" i="179" s="1"/>
  <c r="AH56" i="179"/>
  <c r="AI56" i="179" s="1"/>
  <c r="AH90" i="179"/>
  <c r="AI90" i="179" s="1"/>
  <c r="AH91" i="179"/>
  <c r="AI91" i="179" s="1"/>
  <c r="AH118" i="179"/>
  <c r="AI118" i="179" s="1"/>
  <c r="AH130" i="179"/>
  <c r="AI130" i="179" s="1"/>
  <c r="AH125" i="179"/>
  <c r="AI125" i="179" s="1"/>
  <c r="AH120" i="179"/>
  <c r="AI120" i="179" s="1"/>
  <c r="AH132" i="179"/>
  <c r="AI132" i="179" s="1"/>
  <c r="AH107" i="179"/>
  <c r="AI107" i="179" s="1"/>
  <c r="AH115" i="179"/>
  <c r="AI115" i="179" s="1"/>
  <c r="AH127" i="179"/>
  <c r="AI127" i="179" s="1"/>
  <c r="AH95" i="179"/>
  <c r="AI95" i="179" s="1"/>
  <c r="AH122" i="179"/>
  <c r="AI122" i="179" s="1"/>
  <c r="AH78" i="179"/>
  <c r="AI78" i="179" s="1"/>
  <c r="AH109" i="179"/>
  <c r="AI109" i="179" s="1"/>
  <c r="AH124" i="179"/>
  <c r="AI124" i="179" s="1"/>
  <c r="AH97" i="179"/>
  <c r="AI97" i="179" s="1"/>
  <c r="AH112" i="179"/>
  <c r="AI112" i="179" s="1"/>
  <c r="AH119" i="179"/>
  <c r="AI119" i="179" s="1"/>
  <c r="AH131" i="179"/>
  <c r="AI131" i="179" s="1"/>
  <c r="AH100" i="179"/>
  <c r="AI100" i="179" s="1"/>
  <c r="AH126" i="179"/>
  <c r="AI126" i="179" s="1"/>
  <c r="AH129" i="179"/>
  <c r="AI129" i="179" s="1"/>
  <c r="AH140" i="179"/>
  <c r="AI140" i="179" s="1"/>
  <c r="AH152" i="179"/>
  <c r="AI152" i="179" s="1"/>
  <c r="AH121" i="179"/>
  <c r="AI121" i="179" s="1"/>
  <c r="AH135" i="179"/>
  <c r="AI135" i="179" s="1"/>
  <c r="AH147" i="179"/>
  <c r="AI147" i="179" s="1"/>
  <c r="AH159" i="179"/>
  <c r="AI159" i="179" s="1"/>
  <c r="AH128" i="179"/>
  <c r="AH142" i="179"/>
  <c r="AI142" i="179" s="1"/>
  <c r="AH154" i="179"/>
  <c r="AI154" i="179" s="1"/>
  <c r="AH71" i="179"/>
  <c r="AI71" i="179" s="1"/>
  <c r="AH83" i="179"/>
  <c r="AI83" i="179" s="1"/>
  <c r="AH102" i="179"/>
  <c r="AI102" i="179" s="1"/>
  <c r="AH137" i="179"/>
  <c r="AI137" i="179" s="1"/>
  <c r="AH149" i="179"/>
  <c r="AI149" i="179" s="1"/>
  <c r="AH161" i="179"/>
  <c r="AI161" i="179" s="1"/>
  <c r="AH144" i="179"/>
  <c r="AI144" i="179" s="1"/>
  <c r="AH156" i="179"/>
  <c r="AI156" i="179" s="1"/>
  <c r="AH114" i="179"/>
  <c r="AI114" i="179" s="1"/>
  <c r="AH134" i="179"/>
  <c r="AI134" i="179" s="1"/>
  <c r="AH146" i="179"/>
  <c r="AI146" i="179" s="1"/>
  <c r="AH158" i="179"/>
  <c r="AI158" i="179" s="1"/>
  <c r="AH103" i="179"/>
  <c r="AI103" i="179" s="1"/>
  <c r="AH141" i="179"/>
  <c r="AI141" i="179" s="1"/>
  <c r="AH153" i="179"/>
  <c r="AI153" i="179" s="1"/>
  <c r="AH117" i="179"/>
  <c r="AI117" i="179" s="1"/>
  <c r="AH136" i="179"/>
  <c r="AI136" i="179" s="1"/>
  <c r="AH148" i="179"/>
  <c r="AI148" i="179" s="1"/>
  <c r="AH160" i="179"/>
  <c r="AI160" i="179" s="1"/>
  <c r="AH133" i="179"/>
  <c r="AI133" i="179" s="1"/>
  <c r="AH151" i="179"/>
  <c r="AI151" i="179" s="1"/>
  <c r="AH143" i="179"/>
  <c r="AI143" i="179" s="1"/>
  <c r="AH116" i="179"/>
  <c r="AI116" i="179" s="1"/>
  <c r="AH150" i="179"/>
  <c r="AI150" i="179" s="1"/>
  <c r="AH123" i="179"/>
  <c r="AI123" i="179" s="1"/>
  <c r="AH157" i="179"/>
  <c r="AI157" i="179" s="1"/>
  <c r="AH139" i="179"/>
  <c r="AI139" i="179" s="1"/>
  <c r="AH3" i="179"/>
  <c r="AI3" i="179" s="1"/>
  <c r="AH155" i="179"/>
  <c r="AI155" i="179" s="1"/>
  <c r="AH138" i="179"/>
  <c r="AI138" i="179" s="1"/>
  <c r="AH145" i="179"/>
  <c r="AI145" i="179" s="1"/>
  <c r="M13" i="177"/>
  <c r="M25" i="177"/>
  <c r="M8" i="177"/>
  <c r="M20" i="177"/>
  <c r="M32" i="177"/>
  <c r="M15" i="177"/>
  <c r="M27" i="177"/>
  <c r="M10" i="177"/>
  <c r="M22" i="177"/>
  <c r="M34" i="177"/>
  <c r="M5" i="177"/>
  <c r="M17" i="177"/>
  <c r="M29" i="177"/>
  <c r="M12" i="177"/>
  <c r="M24" i="177"/>
  <c r="M36" i="177"/>
  <c r="M7" i="177"/>
  <c r="M19" i="177"/>
  <c r="M31" i="177"/>
  <c r="M14" i="177"/>
  <c r="M26" i="177"/>
  <c r="M9" i="177"/>
  <c r="M21" i="177"/>
  <c r="M33" i="177"/>
  <c r="M11" i="177"/>
  <c r="M23" i="177"/>
  <c r="M35" i="177"/>
  <c r="M4" i="177"/>
  <c r="M18" i="177"/>
  <c r="M40" i="177"/>
  <c r="M52" i="177"/>
  <c r="M64" i="177"/>
  <c r="M30" i="177"/>
  <c r="M42" i="177"/>
  <c r="M54" i="177"/>
  <c r="M28" i="177"/>
  <c r="M37" i="177"/>
  <c r="M49" i="177"/>
  <c r="M61" i="177"/>
  <c r="M44" i="177"/>
  <c r="M56" i="177"/>
  <c r="M39" i="177"/>
  <c r="M51" i="177"/>
  <c r="M63" i="177"/>
  <c r="M46" i="177"/>
  <c r="M58" i="177"/>
  <c r="M41" i="177"/>
  <c r="M53" i="177"/>
  <c r="M43" i="177"/>
  <c r="M55" i="177"/>
  <c r="M6" i="177"/>
  <c r="M50" i="177"/>
  <c r="M67" i="177"/>
  <c r="M79" i="177"/>
  <c r="M57" i="177"/>
  <c r="M69" i="177"/>
  <c r="M81" i="177"/>
  <c r="M48" i="177"/>
  <c r="M76" i="177"/>
  <c r="M62" i="177"/>
  <c r="M71" i="177"/>
  <c r="M83" i="177"/>
  <c r="M66" i="177"/>
  <c r="M78" i="177"/>
  <c r="M16" i="177"/>
  <c r="M47" i="177"/>
  <c r="M73" i="177"/>
  <c r="M60" i="177"/>
  <c r="M68" i="177"/>
  <c r="M80" i="177"/>
  <c r="M84" i="177"/>
  <c r="M91" i="177"/>
  <c r="M103" i="177"/>
  <c r="M77" i="177"/>
  <c r="M98" i="177"/>
  <c r="M93" i="177"/>
  <c r="M38" i="177"/>
  <c r="M59" i="177"/>
  <c r="M88" i="177"/>
  <c r="M100" i="177"/>
  <c r="M95" i="177"/>
  <c r="M70" i="177"/>
  <c r="M85" i="177"/>
  <c r="M97" i="177"/>
  <c r="M65" i="177"/>
  <c r="M92" i="177"/>
  <c r="M99" i="177"/>
  <c r="M72" i="177"/>
  <c r="M94" i="177"/>
  <c r="M86" i="177"/>
  <c r="M107" i="177"/>
  <c r="M119" i="177"/>
  <c r="M132" i="177"/>
  <c r="M105" i="177"/>
  <c r="M114" i="177"/>
  <c r="M127" i="177"/>
  <c r="M109" i="177"/>
  <c r="M122" i="177"/>
  <c r="M116" i="177"/>
  <c r="M102" i="177"/>
  <c r="M111" i="177"/>
  <c r="M124" i="177"/>
  <c r="M74" i="177"/>
  <c r="M96" i="177"/>
  <c r="M118" i="177"/>
  <c r="M82" i="177"/>
  <c r="M90" i="177"/>
  <c r="M101" i="177"/>
  <c r="M106" i="177"/>
  <c r="M113" i="177"/>
  <c r="M126" i="177"/>
  <c r="M45" i="177"/>
  <c r="M75" i="177"/>
  <c r="M87" i="177"/>
  <c r="M108" i="177"/>
  <c r="M121" i="177"/>
  <c r="M115" i="177"/>
  <c r="M128" i="177"/>
  <c r="M104" i="177"/>
  <c r="M110" i="177"/>
  <c r="M123" i="177"/>
  <c r="M89" i="177"/>
  <c r="M117" i="177"/>
  <c r="M129" i="177"/>
  <c r="M140" i="177"/>
  <c r="M152" i="177"/>
  <c r="M147" i="177"/>
  <c r="M142" i="177"/>
  <c r="M154" i="177"/>
  <c r="M125" i="177"/>
  <c r="M135" i="177"/>
  <c r="M137" i="177"/>
  <c r="M149" i="177"/>
  <c r="M144" i="177"/>
  <c r="M130" i="177"/>
  <c r="M139" i="177"/>
  <c r="M151" i="177"/>
  <c r="M133" i="177"/>
  <c r="M146" i="177"/>
  <c r="M141" i="177"/>
  <c r="M153" i="177"/>
  <c r="M112" i="177"/>
  <c r="M136" i="177"/>
  <c r="M148" i="177"/>
  <c r="M134" i="177"/>
  <c r="M138" i="177"/>
  <c r="M150" i="177"/>
  <c r="M131" i="177"/>
  <c r="M143" i="177"/>
  <c r="M3" i="177"/>
  <c r="M145" i="177"/>
  <c r="M155" i="177"/>
  <c r="M157" i="177"/>
  <c r="M156" i="177"/>
  <c r="M212" i="177"/>
  <c r="M200" i="177"/>
  <c r="M220" i="177"/>
  <c r="M208" i="177"/>
  <c r="M196" i="177"/>
  <c r="M215" i="177"/>
  <c r="M202" i="177"/>
  <c r="M186" i="177"/>
  <c r="M206" i="177"/>
  <c r="M193" i="177"/>
  <c r="M221" i="177"/>
  <c r="M216" i="177"/>
  <c r="M192" i="177"/>
  <c r="M204" i="177"/>
  <c r="M179" i="177"/>
  <c r="M167" i="177"/>
  <c r="M219" i="177"/>
  <c r="M214" i="177"/>
  <c r="M209" i="177"/>
  <c r="M181" i="177"/>
  <c r="M201" i="177"/>
  <c r="M191" i="177"/>
  <c r="M188" i="177"/>
  <c r="M183" i="177"/>
  <c r="M175" i="177"/>
  <c r="M163" i="177"/>
  <c r="M222" i="177"/>
  <c r="M197" i="177"/>
  <c r="M184" i="177"/>
  <c r="M171" i="177"/>
  <c r="M218" i="177"/>
  <c r="M210" i="177"/>
  <c r="M185" i="177"/>
  <c r="M161" i="177"/>
  <c r="M187" i="177"/>
  <c r="M174" i="177"/>
  <c r="M198" i="177"/>
  <c r="M172" i="177"/>
  <c r="M213" i="177"/>
  <c r="M205" i="177"/>
  <c r="M195" i="177"/>
  <c r="M190" i="177"/>
  <c r="M217" i="177"/>
  <c r="M211" i="177"/>
  <c r="M176" i="177"/>
  <c r="M207" i="177"/>
  <c r="M166" i="177"/>
  <c r="M159" i="177"/>
  <c r="M203" i="177"/>
  <c r="M162" i="177"/>
  <c r="M182" i="177"/>
  <c r="M177" i="177"/>
  <c r="M168" i="177"/>
  <c r="M199" i="177"/>
  <c r="M194" i="177"/>
  <c r="M189" i="177"/>
  <c r="M165" i="177"/>
  <c r="M164" i="177"/>
  <c r="M180" i="177"/>
  <c r="M173" i="177"/>
  <c r="M169" i="177"/>
  <c r="M160" i="177"/>
  <c r="M178" i="177"/>
  <c r="M170" i="177"/>
  <c r="N1" i="177"/>
  <c r="T29" i="174"/>
  <c r="T28" i="174"/>
  <c r="T27" i="174"/>
  <c r="T21" i="174"/>
  <c r="T22" i="174"/>
  <c r="T23" i="174"/>
  <c r="T24" i="174"/>
  <c r="T26" i="174"/>
  <c r="T31" i="174"/>
  <c r="N158" i="177" l="1"/>
  <c r="N120" i="177"/>
  <c r="N6" i="177"/>
  <c r="N18" i="177"/>
  <c r="N30" i="177"/>
  <c r="N13" i="177"/>
  <c r="N25" i="177"/>
  <c r="N8" i="177"/>
  <c r="N20" i="177"/>
  <c r="N32" i="177"/>
  <c r="N15" i="177"/>
  <c r="N27" i="177"/>
  <c r="N10" i="177"/>
  <c r="N22" i="177"/>
  <c r="N34" i="177"/>
  <c r="N5" i="177"/>
  <c r="N17" i="177"/>
  <c r="N29" i="177"/>
  <c r="N12" i="177"/>
  <c r="N24" i="177"/>
  <c r="N36" i="177"/>
  <c r="N7" i="177"/>
  <c r="N19" i="177"/>
  <c r="N31" i="177"/>
  <c r="N14" i="177"/>
  <c r="N26" i="177"/>
  <c r="N4" i="177"/>
  <c r="N16" i="177"/>
  <c r="N28" i="177"/>
  <c r="N11" i="177"/>
  <c r="N45" i="177"/>
  <c r="N57" i="177"/>
  <c r="N23" i="177"/>
  <c r="N47" i="177"/>
  <c r="N59" i="177"/>
  <c r="N21" i="177"/>
  <c r="N42" i="177"/>
  <c r="N54" i="177"/>
  <c r="N35" i="177"/>
  <c r="N37" i="177"/>
  <c r="N49" i="177"/>
  <c r="N61" i="177"/>
  <c r="N33" i="177"/>
  <c r="N44" i="177"/>
  <c r="N56" i="177"/>
  <c r="N39" i="177"/>
  <c r="N51" i="177"/>
  <c r="N63" i="177"/>
  <c r="N46" i="177"/>
  <c r="N58" i="177"/>
  <c r="N48" i="177"/>
  <c r="N60" i="177"/>
  <c r="N43" i="177"/>
  <c r="N72" i="177"/>
  <c r="N84" i="177"/>
  <c r="N50" i="177"/>
  <c r="N74" i="177"/>
  <c r="N41" i="177"/>
  <c r="N69" i="177"/>
  <c r="N81" i="177"/>
  <c r="N55" i="177"/>
  <c r="N64" i="177"/>
  <c r="N76" i="177"/>
  <c r="N62" i="177"/>
  <c r="N71" i="177"/>
  <c r="N83" i="177"/>
  <c r="N9" i="177"/>
  <c r="N40" i="177"/>
  <c r="N66" i="177"/>
  <c r="N78" i="177"/>
  <c r="N53" i="177"/>
  <c r="N73" i="177"/>
  <c r="N85" i="177"/>
  <c r="N96" i="177"/>
  <c r="N91" i="177"/>
  <c r="N77" i="177"/>
  <c r="N98" i="177"/>
  <c r="N80" i="177"/>
  <c r="N93" i="177"/>
  <c r="N38" i="177"/>
  <c r="N68" i="177"/>
  <c r="N79" i="177"/>
  <c r="N88" i="177"/>
  <c r="N100" i="177"/>
  <c r="N82" i="177"/>
  <c r="N86" i="177"/>
  <c r="N90" i="177"/>
  <c r="N70" i="177"/>
  <c r="N97" i="177"/>
  <c r="N65" i="177"/>
  <c r="N92" i="177"/>
  <c r="N52" i="177"/>
  <c r="N112" i="177"/>
  <c r="N125" i="177"/>
  <c r="N94" i="177"/>
  <c r="N107" i="177"/>
  <c r="N119" i="177"/>
  <c r="N105" i="177"/>
  <c r="N114" i="177"/>
  <c r="N127" i="177"/>
  <c r="N109" i="177"/>
  <c r="N122" i="177"/>
  <c r="N116" i="177"/>
  <c r="N102" i="177"/>
  <c r="N103" i="177"/>
  <c r="N111" i="177"/>
  <c r="N124" i="177"/>
  <c r="N67" i="177"/>
  <c r="N118" i="177"/>
  <c r="N99" i="177"/>
  <c r="N101" i="177"/>
  <c r="N106" i="177"/>
  <c r="N113" i="177"/>
  <c r="N126" i="177"/>
  <c r="N75" i="177"/>
  <c r="N87" i="177"/>
  <c r="N108" i="177"/>
  <c r="N121" i="177"/>
  <c r="N95" i="177"/>
  <c r="N115" i="177"/>
  <c r="N128" i="177"/>
  <c r="N104" i="177"/>
  <c r="N110" i="177"/>
  <c r="N123" i="177"/>
  <c r="N145" i="177"/>
  <c r="N157" i="177"/>
  <c r="N129" i="177"/>
  <c r="N140" i="177"/>
  <c r="N152" i="177"/>
  <c r="N132" i="177"/>
  <c r="N147" i="177"/>
  <c r="N142" i="177"/>
  <c r="N154" i="177"/>
  <c r="N135" i="177"/>
  <c r="N137" i="177"/>
  <c r="N149" i="177"/>
  <c r="N144" i="177"/>
  <c r="N156" i="177"/>
  <c r="N130" i="177"/>
  <c r="N139" i="177"/>
  <c r="N151" i="177"/>
  <c r="N133" i="177"/>
  <c r="N146" i="177"/>
  <c r="N141" i="177"/>
  <c r="N153" i="177"/>
  <c r="N131" i="177"/>
  <c r="N143" i="177"/>
  <c r="N155" i="177"/>
  <c r="N89" i="177"/>
  <c r="N136" i="177"/>
  <c r="N150" i="177"/>
  <c r="N148" i="177"/>
  <c r="N3" i="177"/>
  <c r="N134" i="177"/>
  <c r="N138" i="177"/>
  <c r="N117" i="177"/>
  <c r="N217" i="177"/>
  <c r="N205" i="177"/>
  <c r="N193" i="177"/>
  <c r="N213" i="177"/>
  <c r="N201" i="177"/>
  <c r="N221" i="177"/>
  <c r="N208" i="177"/>
  <c r="N195" i="177"/>
  <c r="N219" i="177"/>
  <c r="N199" i="177"/>
  <c r="N187" i="177"/>
  <c r="N216" i="177"/>
  <c r="N197" i="177"/>
  <c r="N214" i="177"/>
  <c r="N209" i="177"/>
  <c r="N181" i="177"/>
  <c r="N172" i="177"/>
  <c r="N190" i="177"/>
  <c r="N189" i="177"/>
  <c r="N211" i="177"/>
  <c r="N206" i="177"/>
  <c r="N196" i="177"/>
  <c r="N180" i="177"/>
  <c r="N168" i="177"/>
  <c r="N222" i="177"/>
  <c r="N212" i="177"/>
  <c r="N207" i="177"/>
  <c r="N202" i="177"/>
  <c r="N186" i="177"/>
  <c r="N182" i="177"/>
  <c r="N179" i="177"/>
  <c r="N177" i="177"/>
  <c r="N164" i="177"/>
  <c r="N183" i="177"/>
  <c r="N174" i="177"/>
  <c r="N159" i="177"/>
  <c r="N194" i="177"/>
  <c r="N173" i="177"/>
  <c r="N167" i="177"/>
  <c r="N203" i="177"/>
  <c r="N178" i="177"/>
  <c r="N165" i="177"/>
  <c r="N210" i="177"/>
  <c r="N200" i="177"/>
  <c r="N215" i="177"/>
  <c r="N191" i="177"/>
  <c r="N176" i="177"/>
  <c r="N198" i="177"/>
  <c r="N162" i="177"/>
  <c r="N184" i="177"/>
  <c r="N175" i="177"/>
  <c r="N185" i="177"/>
  <c r="N170" i="177"/>
  <c r="N218" i="177"/>
  <c r="N204" i="177"/>
  <c r="N188" i="177"/>
  <c r="N220" i="177"/>
  <c r="N192" i="177"/>
  <c r="N171" i="177"/>
  <c r="N169" i="177"/>
  <c r="N161" i="177"/>
  <c r="N160" i="177"/>
  <c r="N166" i="177"/>
  <c r="N163" i="177"/>
  <c r="O1" i="177"/>
  <c r="T13" i="174"/>
  <c r="T16" i="174"/>
  <c r="T17" i="174"/>
  <c r="T18" i="174"/>
  <c r="T19" i="174"/>
  <c r="T20" i="174"/>
  <c r="T25" i="174"/>
  <c r="O158" i="177" l="1"/>
  <c r="O120" i="177"/>
  <c r="O11" i="177"/>
  <c r="O23" i="177"/>
  <c r="O35" i="177"/>
  <c r="O6" i="177"/>
  <c r="O18" i="177"/>
  <c r="O30" i="177"/>
  <c r="O13" i="177"/>
  <c r="O25" i="177"/>
  <c r="O8" i="177"/>
  <c r="O20" i="177"/>
  <c r="O32" i="177"/>
  <c r="O15" i="177"/>
  <c r="O27" i="177"/>
  <c r="O10" i="177"/>
  <c r="O22" i="177"/>
  <c r="O34" i="177"/>
  <c r="O5" i="177"/>
  <c r="O17" i="177"/>
  <c r="O29" i="177"/>
  <c r="O12" i="177"/>
  <c r="O24" i="177"/>
  <c r="O36" i="177"/>
  <c r="O7" i="177"/>
  <c r="O19" i="177"/>
  <c r="O31" i="177"/>
  <c r="O9" i="177"/>
  <c r="O21" i="177"/>
  <c r="O33" i="177"/>
  <c r="O4" i="177"/>
  <c r="O38" i="177"/>
  <c r="O50" i="177"/>
  <c r="O62" i="177"/>
  <c r="O16" i="177"/>
  <c r="O40" i="177"/>
  <c r="O52" i="177"/>
  <c r="O14" i="177"/>
  <c r="O47" i="177"/>
  <c r="O59" i="177"/>
  <c r="O28" i="177"/>
  <c r="O42" i="177"/>
  <c r="O54" i="177"/>
  <c r="O26" i="177"/>
  <c r="O37" i="177"/>
  <c r="O49" i="177"/>
  <c r="O61" i="177"/>
  <c r="O44" i="177"/>
  <c r="O56" i="177"/>
  <c r="O39" i="177"/>
  <c r="O51" i="177"/>
  <c r="O63" i="177"/>
  <c r="O41" i="177"/>
  <c r="O53" i="177"/>
  <c r="O65" i="177"/>
  <c r="O77" i="177"/>
  <c r="O43" i="177"/>
  <c r="O57" i="177"/>
  <c r="O67" i="177"/>
  <c r="O79" i="177"/>
  <c r="O74" i="177"/>
  <c r="O48" i="177"/>
  <c r="O69" i="177"/>
  <c r="O81" i="177"/>
  <c r="O55" i="177"/>
  <c r="O64" i="177"/>
  <c r="O76" i="177"/>
  <c r="O71" i="177"/>
  <c r="O83" i="177"/>
  <c r="O46" i="177"/>
  <c r="O66" i="177"/>
  <c r="O78" i="177"/>
  <c r="O58" i="177"/>
  <c r="O75" i="177"/>
  <c r="O87" i="177"/>
  <c r="O89" i="177"/>
  <c r="O101" i="177"/>
  <c r="O84" i="177"/>
  <c r="O96" i="177"/>
  <c r="O91" i="177"/>
  <c r="O98" i="177"/>
  <c r="O80" i="177"/>
  <c r="O93" i="177"/>
  <c r="O95" i="177"/>
  <c r="O82" i="177"/>
  <c r="O85" i="177"/>
  <c r="O86" i="177"/>
  <c r="O90" i="177"/>
  <c r="O70" i="177"/>
  <c r="O97" i="177"/>
  <c r="O73" i="177"/>
  <c r="O92" i="177"/>
  <c r="O117" i="177"/>
  <c r="O130" i="177"/>
  <c r="O112" i="177"/>
  <c r="O125" i="177"/>
  <c r="O94" i="177"/>
  <c r="O107" i="177"/>
  <c r="O119" i="177"/>
  <c r="O88" i="177"/>
  <c r="O105" i="177"/>
  <c r="O114" i="177"/>
  <c r="O127" i="177"/>
  <c r="O109" i="177"/>
  <c r="O122" i="177"/>
  <c r="O116" i="177"/>
  <c r="O60" i="177"/>
  <c r="O100" i="177"/>
  <c r="O102" i="177"/>
  <c r="O103" i="177"/>
  <c r="O111" i="177"/>
  <c r="O124" i="177"/>
  <c r="O118" i="177"/>
  <c r="O45" i="177"/>
  <c r="O99" i="177"/>
  <c r="O106" i="177"/>
  <c r="O113" i="177"/>
  <c r="O126" i="177"/>
  <c r="O68" i="177"/>
  <c r="O108" i="177"/>
  <c r="O121" i="177"/>
  <c r="O72" i="177"/>
  <c r="O115" i="177"/>
  <c r="O128" i="177"/>
  <c r="O104" i="177"/>
  <c r="O134" i="177"/>
  <c r="O138" i="177"/>
  <c r="O150" i="177"/>
  <c r="O145" i="177"/>
  <c r="O129" i="177"/>
  <c r="O140" i="177"/>
  <c r="O152" i="177"/>
  <c r="O110" i="177"/>
  <c r="O132" i="177"/>
  <c r="O147" i="177"/>
  <c r="O142" i="177"/>
  <c r="O135" i="177"/>
  <c r="O137" i="177"/>
  <c r="O149" i="177"/>
  <c r="O144" i="177"/>
  <c r="O139" i="177"/>
  <c r="O151" i="177"/>
  <c r="O133" i="177"/>
  <c r="O146" i="177"/>
  <c r="O123" i="177"/>
  <c r="O136" i="177"/>
  <c r="O148" i="177"/>
  <c r="O154" i="177"/>
  <c r="O156" i="177"/>
  <c r="O3" i="177"/>
  <c r="O131" i="177"/>
  <c r="O143" i="177"/>
  <c r="O155" i="177"/>
  <c r="O141" i="177"/>
  <c r="O153" i="177"/>
  <c r="O157" i="177"/>
  <c r="O222" i="177"/>
  <c r="O210" i="177"/>
  <c r="O198" i="177"/>
  <c r="O218" i="177"/>
  <c r="O206" i="177"/>
  <c r="O194" i="177"/>
  <c r="O214" i="177"/>
  <c r="O201" i="177"/>
  <c r="O184" i="177"/>
  <c r="O212" i="177"/>
  <c r="O192" i="177"/>
  <c r="O221" i="177"/>
  <c r="O207" i="177"/>
  <c r="O202" i="177"/>
  <c r="O186" i="177"/>
  <c r="O182" i="177"/>
  <c r="O217" i="177"/>
  <c r="O219" i="177"/>
  <c r="O190" i="177"/>
  <c r="O189" i="177"/>
  <c r="O177" i="177"/>
  <c r="O165" i="177"/>
  <c r="O205" i="177"/>
  <c r="O200" i="177"/>
  <c r="O195" i="177"/>
  <c r="O216" i="177"/>
  <c r="O187" i="177"/>
  <c r="O173" i="177"/>
  <c r="O161" i="177"/>
  <c r="O213" i="177"/>
  <c r="O170" i="177"/>
  <c r="O167" i="177"/>
  <c r="O220" i="177"/>
  <c r="O204" i="177"/>
  <c r="O199" i="177"/>
  <c r="O166" i="177"/>
  <c r="O208" i="177"/>
  <c r="O171" i="177"/>
  <c r="O160" i="177"/>
  <c r="O215" i="177"/>
  <c r="O191" i="177"/>
  <c r="O176" i="177"/>
  <c r="O174" i="177"/>
  <c r="O211" i="177"/>
  <c r="O196" i="177"/>
  <c r="O169" i="177"/>
  <c r="O178" i="177"/>
  <c r="O197" i="177"/>
  <c r="O203" i="177"/>
  <c r="O193" i="177"/>
  <c r="O175" i="177"/>
  <c r="O185" i="177"/>
  <c r="O168" i="177"/>
  <c r="O188" i="177"/>
  <c r="O183" i="177"/>
  <c r="O209" i="177"/>
  <c r="O181" i="177"/>
  <c r="O180" i="177"/>
  <c r="O179" i="177"/>
  <c r="O164" i="177"/>
  <c r="O162" i="177"/>
  <c r="O159" i="177"/>
  <c r="O172" i="177"/>
  <c r="O163" i="177"/>
  <c r="P1" i="177"/>
  <c r="T12" i="174"/>
  <c r="T14" i="174"/>
  <c r="T15" i="174"/>
  <c r="P158" i="177" l="1"/>
  <c r="P120" i="177"/>
  <c r="P4" i="177"/>
  <c r="P16" i="177"/>
  <c r="P28" i="177"/>
  <c r="P11" i="177"/>
  <c r="P23" i="177"/>
  <c r="P35" i="177"/>
  <c r="P6" i="177"/>
  <c r="P18" i="177"/>
  <c r="P30" i="177"/>
  <c r="P13" i="177"/>
  <c r="P25" i="177"/>
  <c r="P8" i="177"/>
  <c r="P20" i="177"/>
  <c r="P32" i="177"/>
  <c r="P15" i="177"/>
  <c r="P27" i="177"/>
  <c r="P10" i="177"/>
  <c r="P22" i="177"/>
  <c r="P34" i="177"/>
  <c r="P5" i="177"/>
  <c r="P17" i="177"/>
  <c r="P29" i="177"/>
  <c r="P12" i="177"/>
  <c r="P24" i="177"/>
  <c r="P36" i="177"/>
  <c r="P14" i="177"/>
  <c r="P26" i="177"/>
  <c r="P43" i="177"/>
  <c r="P55" i="177"/>
  <c r="P9" i="177"/>
  <c r="P45" i="177"/>
  <c r="P57" i="177"/>
  <c r="P7" i="177"/>
  <c r="P40" i="177"/>
  <c r="P52" i="177"/>
  <c r="P21" i="177"/>
  <c r="P47" i="177"/>
  <c r="P59" i="177"/>
  <c r="P19" i="177"/>
  <c r="P42" i="177"/>
  <c r="P54" i="177"/>
  <c r="P33" i="177"/>
  <c r="P37" i="177"/>
  <c r="P49" i="177"/>
  <c r="P61" i="177"/>
  <c r="P31" i="177"/>
  <c r="P44" i="177"/>
  <c r="P56" i="177"/>
  <c r="P46" i="177"/>
  <c r="P58" i="177"/>
  <c r="P51" i="177"/>
  <c r="P70" i="177"/>
  <c r="P82" i="177"/>
  <c r="P65" i="177"/>
  <c r="P50" i="177"/>
  <c r="P72" i="177"/>
  <c r="P63" i="177"/>
  <c r="P67" i="177"/>
  <c r="P79" i="177"/>
  <c r="P41" i="177"/>
  <c r="P74" i="177"/>
  <c r="P48" i="177"/>
  <c r="P69" i="177"/>
  <c r="P81" i="177"/>
  <c r="P62" i="177"/>
  <c r="P64" i="177"/>
  <c r="P76" i="177"/>
  <c r="P39" i="177"/>
  <c r="P71" i="177"/>
  <c r="P83" i="177"/>
  <c r="P94" i="177"/>
  <c r="P106" i="177"/>
  <c r="P75" i="177"/>
  <c r="P87" i="177"/>
  <c r="P89" i="177"/>
  <c r="P101" i="177"/>
  <c r="P78" i="177"/>
  <c r="P84" i="177"/>
  <c r="P96" i="177"/>
  <c r="P77" i="177"/>
  <c r="P91" i="177"/>
  <c r="P98" i="177"/>
  <c r="P53" i="177"/>
  <c r="P60" i="177"/>
  <c r="P68" i="177"/>
  <c r="P88" i="177"/>
  <c r="P100" i="177"/>
  <c r="P95" i="177"/>
  <c r="P85" i="177"/>
  <c r="P86" i="177"/>
  <c r="P90" i="177"/>
  <c r="P97" i="177"/>
  <c r="P80" i="177"/>
  <c r="P104" i="177"/>
  <c r="P110" i="177"/>
  <c r="P123" i="177"/>
  <c r="P135" i="177"/>
  <c r="P73" i="177"/>
  <c r="P117" i="177"/>
  <c r="P112" i="177"/>
  <c r="P125" i="177"/>
  <c r="P38" i="177"/>
  <c r="P66" i="177"/>
  <c r="P107" i="177"/>
  <c r="P119" i="177"/>
  <c r="P105" i="177"/>
  <c r="P114" i="177"/>
  <c r="P127" i="177"/>
  <c r="P109" i="177"/>
  <c r="P122" i="177"/>
  <c r="P93" i="177"/>
  <c r="P116" i="177"/>
  <c r="P102" i="177"/>
  <c r="P103" i="177"/>
  <c r="P111" i="177"/>
  <c r="P124" i="177"/>
  <c r="P118" i="177"/>
  <c r="P99" i="177"/>
  <c r="P113" i="177"/>
  <c r="P126" i="177"/>
  <c r="P92" i="177"/>
  <c r="P108" i="177"/>
  <c r="P121" i="177"/>
  <c r="P131" i="177"/>
  <c r="P143" i="177"/>
  <c r="P155" i="177"/>
  <c r="P134" i="177"/>
  <c r="P138" i="177"/>
  <c r="P150" i="177"/>
  <c r="P145" i="177"/>
  <c r="P157" i="177"/>
  <c r="P129" i="177"/>
  <c r="P140" i="177"/>
  <c r="P152" i="177"/>
  <c r="P115" i="177"/>
  <c r="P132" i="177"/>
  <c r="P147" i="177"/>
  <c r="P142" i="177"/>
  <c r="P154" i="177"/>
  <c r="P137" i="177"/>
  <c r="P149" i="177"/>
  <c r="P130" i="177"/>
  <c r="P144" i="177"/>
  <c r="P139" i="177"/>
  <c r="P151" i="177"/>
  <c r="P141" i="177"/>
  <c r="P153" i="177"/>
  <c r="P133" i="177"/>
  <c r="P128" i="177"/>
  <c r="P136" i="177"/>
  <c r="P156" i="177"/>
  <c r="P3" i="177"/>
  <c r="P148" i="177"/>
  <c r="P146" i="177"/>
  <c r="P215" i="177"/>
  <c r="P203" i="177"/>
  <c r="P191" i="177"/>
  <c r="P211" i="177"/>
  <c r="P199" i="177"/>
  <c r="P220" i="177"/>
  <c r="P207" i="177"/>
  <c r="P194" i="177"/>
  <c r="P189" i="177"/>
  <c r="P218" i="177"/>
  <c r="P205" i="177"/>
  <c r="P185" i="177"/>
  <c r="P217" i="177"/>
  <c r="P212" i="177"/>
  <c r="P222" i="177"/>
  <c r="P200" i="177"/>
  <c r="P195" i="177"/>
  <c r="P170" i="177"/>
  <c r="P210" i="177"/>
  <c r="P188" i="177"/>
  <c r="P183" i="177"/>
  <c r="P221" i="177"/>
  <c r="P197" i="177"/>
  <c r="P192" i="177"/>
  <c r="P178" i="177"/>
  <c r="P166" i="177"/>
  <c r="P213" i="177"/>
  <c r="P214" i="177"/>
  <c r="P176" i="177"/>
  <c r="P163" i="177"/>
  <c r="P219" i="177"/>
  <c r="P204" i="177"/>
  <c r="P187" i="177"/>
  <c r="P173" i="177"/>
  <c r="P209" i="177"/>
  <c r="P181" i="177"/>
  <c r="P184" i="177"/>
  <c r="P179" i="177"/>
  <c r="P164" i="177"/>
  <c r="P196" i="177"/>
  <c r="P169" i="177"/>
  <c r="P167" i="177"/>
  <c r="P206" i="177"/>
  <c r="P201" i="177"/>
  <c r="P171" i="177"/>
  <c r="P202" i="177"/>
  <c r="P198" i="177"/>
  <c r="P193" i="177"/>
  <c r="P175" i="177"/>
  <c r="P208" i="177"/>
  <c r="P168" i="177"/>
  <c r="P216" i="177"/>
  <c r="P186" i="177"/>
  <c r="P182" i="177"/>
  <c r="P177" i="177"/>
  <c r="P180" i="177"/>
  <c r="P172" i="177"/>
  <c r="P190" i="177"/>
  <c r="P174" i="177"/>
  <c r="P165" i="177"/>
  <c r="P161" i="177"/>
  <c r="P160" i="177"/>
  <c r="P162" i="177"/>
  <c r="P159" i="177"/>
  <c r="Q1" i="177"/>
  <c r="T11" i="174"/>
  <c r="Q158" i="177" l="1"/>
  <c r="Q120" i="177"/>
  <c r="Q9" i="177"/>
  <c r="Q21" i="177"/>
  <c r="Q33" i="177"/>
  <c r="Q4" i="177"/>
  <c r="Q16" i="177"/>
  <c r="Q28" i="177"/>
  <c r="Q11" i="177"/>
  <c r="Q23" i="177"/>
  <c r="Q35" i="177"/>
  <c r="Q6" i="177"/>
  <c r="Q18" i="177"/>
  <c r="Q30" i="177"/>
  <c r="Q13" i="177"/>
  <c r="Q25" i="177"/>
  <c r="Q8" i="177"/>
  <c r="Q20" i="177"/>
  <c r="Q32" i="177"/>
  <c r="Q15" i="177"/>
  <c r="Q27" i="177"/>
  <c r="Q10" i="177"/>
  <c r="Q22" i="177"/>
  <c r="Q34" i="177"/>
  <c r="Q5" i="177"/>
  <c r="Q17" i="177"/>
  <c r="Q29" i="177"/>
  <c r="Q7" i="177"/>
  <c r="Q19" i="177"/>
  <c r="Q31" i="177"/>
  <c r="Q48" i="177"/>
  <c r="Q60" i="177"/>
  <c r="Q38" i="177"/>
  <c r="Q50" i="177"/>
  <c r="Q62" i="177"/>
  <c r="Q45" i="177"/>
  <c r="Q57" i="177"/>
  <c r="Q14" i="177"/>
  <c r="Q40" i="177"/>
  <c r="Q52" i="177"/>
  <c r="Q12" i="177"/>
  <c r="Q47" i="177"/>
  <c r="Q59" i="177"/>
  <c r="Q26" i="177"/>
  <c r="Q42" i="177"/>
  <c r="Q54" i="177"/>
  <c r="Q24" i="177"/>
  <c r="Q37" i="177"/>
  <c r="Q49" i="177"/>
  <c r="Q61" i="177"/>
  <c r="Q36" i="177"/>
  <c r="Q39" i="177"/>
  <c r="Q51" i="177"/>
  <c r="Q63" i="177"/>
  <c r="Q44" i="177"/>
  <c r="Q58" i="177"/>
  <c r="Q75" i="177"/>
  <c r="Q87" i="177"/>
  <c r="Q43" i="177"/>
  <c r="Q65" i="177"/>
  <c r="Q77" i="177"/>
  <c r="Q56" i="177"/>
  <c r="Q72" i="177"/>
  <c r="Q67" i="177"/>
  <c r="Q79" i="177"/>
  <c r="Q41" i="177"/>
  <c r="Q74" i="177"/>
  <c r="Q55" i="177"/>
  <c r="Q69" i="177"/>
  <c r="Q81" i="177"/>
  <c r="Q64" i="177"/>
  <c r="Q76" i="177"/>
  <c r="Q46" i="177"/>
  <c r="Q99" i="177"/>
  <c r="Q94" i="177"/>
  <c r="Q89" i="177"/>
  <c r="Q101" i="177"/>
  <c r="Q78" i="177"/>
  <c r="Q84" i="177"/>
  <c r="Q96" i="177"/>
  <c r="Q91" i="177"/>
  <c r="Q66" i="177"/>
  <c r="Q80" i="177"/>
  <c r="Q93" i="177"/>
  <c r="Q53" i="177"/>
  <c r="Q68" i="177"/>
  <c r="Q83" i="177"/>
  <c r="Q88" i="177"/>
  <c r="Q100" i="177"/>
  <c r="Q71" i="177"/>
  <c r="Q82" i="177"/>
  <c r="Q95" i="177"/>
  <c r="Q70" i="177"/>
  <c r="Q85" i="177"/>
  <c r="Q86" i="177"/>
  <c r="Q90" i="177"/>
  <c r="Q115" i="177"/>
  <c r="Q128" i="177"/>
  <c r="Q97" i="177"/>
  <c r="Q104" i="177"/>
  <c r="Q110" i="177"/>
  <c r="Q123" i="177"/>
  <c r="Q73" i="177"/>
  <c r="Q117" i="177"/>
  <c r="Q112" i="177"/>
  <c r="Q125" i="177"/>
  <c r="Q107" i="177"/>
  <c r="Q119" i="177"/>
  <c r="Q105" i="177"/>
  <c r="Q114" i="177"/>
  <c r="Q127" i="177"/>
  <c r="Q109" i="177"/>
  <c r="Q122" i="177"/>
  <c r="Q116" i="177"/>
  <c r="Q102" i="177"/>
  <c r="Q103" i="177"/>
  <c r="Q111" i="177"/>
  <c r="Q124" i="177"/>
  <c r="Q106" i="177"/>
  <c r="Q118" i="177"/>
  <c r="Q98" i="177"/>
  <c r="Q113" i="177"/>
  <c r="Q126" i="177"/>
  <c r="Q136" i="177"/>
  <c r="Q148" i="177"/>
  <c r="Q131" i="177"/>
  <c r="Q143" i="177"/>
  <c r="Q134" i="177"/>
  <c r="Q138" i="177"/>
  <c r="Q150" i="177"/>
  <c r="Q145" i="177"/>
  <c r="Q129" i="177"/>
  <c r="Q140" i="177"/>
  <c r="Q152" i="177"/>
  <c r="Q121" i="177"/>
  <c r="Q132" i="177"/>
  <c r="Q147" i="177"/>
  <c r="Q135" i="177"/>
  <c r="Q142" i="177"/>
  <c r="Q137" i="177"/>
  <c r="Q149" i="177"/>
  <c r="Q130" i="177"/>
  <c r="Q144" i="177"/>
  <c r="Q156" i="177"/>
  <c r="Q108" i="177"/>
  <c r="Q133" i="177"/>
  <c r="Q146" i="177"/>
  <c r="Q92" i="177"/>
  <c r="Q154" i="177"/>
  <c r="Q141" i="177"/>
  <c r="Q139" i="177"/>
  <c r="Q153" i="177"/>
  <c r="Q3" i="177"/>
  <c r="Q151" i="177"/>
  <c r="Q155" i="177"/>
  <c r="Q157" i="177"/>
  <c r="Q220" i="177"/>
  <c r="Q208" i="177"/>
  <c r="Q196" i="177"/>
  <c r="Q216" i="177"/>
  <c r="Q204" i="177"/>
  <c r="Q192" i="177"/>
  <c r="Q213" i="177"/>
  <c r="Q200" i="177"/>
  <c r="Q182" i="177"/>
  <c r="Q211" i="177"/>
  <c r="Q198" i="177"/>
  <c r="Q217" i="177"/>
  <c r="Q212" i="177"/>
  <c r="Q222" i="177"/>
  <c r="Q193" i="177"/>
  <c r="Q185" i="177"/>
  <c r="Q210" i="177"/>
  <c r="Q205" i="177"/>
  <c r="Q188" i="177"/>
  <c r="Q183" i="177"/>
  <c r="Q175" i="177"/>
  <c r="Q163" i="177"/>
  <c r="Q215" i="177"/>
  <c r="Q191" i="177"/>
  <c r="Q180" i="177"/>
  <c r="Q202" i="177"/>
  <c r="Q186" i="177"/>
  <c r="Q171" i="177"/>
  <c r="Q214" i="177"/>
  <c r="Q169" i="177"/>
  <c r="Q219" i="177"/>
  <c r="Q209" i="177"/>
  <c r="Q199" i="177"/>
  <c r="Q194" i="177"/>
  <c r="Q181" i="177"/>
  <c r="Q166" i="177"/>
  <c r="Q172" i="177"/>
  <c r="Q197" i="177"/>
  <c r="Q177" i="177"/>
  <c r="Q206" i="177"/>
  <c r="Q201" i="177"/>
  <c r="Q178" i="177"/>
  <c r="Q161" i="177"/>
  <c r="Q160" i="177"/>
  <c r="Q207" i="177"/>
  <c r="Q221" i="177"/>
  <c r="Q203" i="177"/>
  <c r="Q184" i="177"/>
  <c r="Q170" i="177"/>
  <c r="Q218" i="177"/>
  <c r="Q187" i="177"/>
  <c r="Q189" i="177"/>
  <c r="Q190" i="177"/>
  <c r="Q195" i="177"/>
  <c r="Q176" i="177"/>
  <c r="Q167" i="177"/>
  <c r="Q164" i="177"/>
  <c r="Q168" i="177"/>
  <c r="Q173" i="177"/>
  <c r="Q165" i="177"/>
  <c r="Q179" i="177"/>
  <c r="Q162" i="177"/>
  <c r="Q159" i="177"/>
  <c r="Q174" i="177"/>
  <c r="R1" i="177"/>
  <c r="T10" i="174"/>
  <c r="T8" i="174"/>
  <c r="T6" i="174"/>
  <c r="T7" i="174"/>
  <c r="T9" i="174"/>
  <c r="R158" i="177" l="1"/>
  <c r="R120" i="177"/>
  <c r="R14" i="177"/>
  <c r="R26" i="177"/>
  <c r="R9" i="177"/>
  <c r="R21" i="177"/>
  <c r="R33" i="177"/>
  <c r="R4" i="177"/>
  <c r="R16" i="177"/>
  <c r="R28" i="177"/>
  <c r="R11" i="177"/>
  <c r="R23" i="177"/>
  <c r="R35" i="177"/>
  <c r="R6" i="177"/>
  <c r="R18" i="177"/>
  <c r="R30" i="177"/>
  <c r="R13" i="177"/>
  <c r="R25" i="177"/>
  <c r="R8" i="177"/>
  <c r="R20" i="177"/>
  <c r="R32" i="177"/>
  <c r="R15" i="177"/>
  <c r="R27" i="177"/>
  <c r="R10" i="177"/>
  <c r="R22" i="177"/>
  <c r="R34" i="177"/>
  <c r="R12" i="177"/>
  <c r="R24" i="177"/>
  <c r="R36" i="177"/>
  <c r="R41" i="177"/>
  <c r="R53" i="177"/>
  <c r="R43" i="177"/>
  <c r="R55" i="177"/>
  <c r="R38" i="177"/>
  <c r="R50" i="177"/>
  <c r="R62" i="177"/>
  <c r="R7" i="177"/>
  <c r="R45" i="177"/>
  <c r="R57" i="177"/>
  <c r="R5" i="177"/>
  <c r="R40" i="177"/>
  <c r="R52" i="177"/>
  <c r="R19" i="177"/>
  <c r="R47" i="177"/>
  <c r="R59" i="177"/>
  <c r="R17" i="177"/>
  <c r="R42" i="177"/>
  <c r="R54" i="177"/>
  <c r="R29" i="177"/>
  <c r="R44" i="177"/>
  <c r="R56" i="177"/>
  <c r="R37" i="177"/>
  <c r="R51" i="177"/>
  <c r="R68" i="177"/>
  <c r="R80" i="177"/>
  <c r="R58" i="177"/>
  <c r="R70" i="177"/>
  <c r="R82" i="177"/>
  <c r="R49" i="177"/>
  <c r="R65" i="177"/>
  <c r="R77" i="177"/>
  <c r="R63" i="177"/>
  <c r="R72" i="177"/>
  <c r="R84" i="177"/>
  <c r="R67" i="177"/>
  <c r="R79" i="177"/>
  <c r="R48" i="177"/>
  <c r="R74" i="177"/>
  <c r="R31" i="177"/>
  <c r="R61" i="177"/>
  <c r="R69" i="177"/>
  <c r="R81" i="177"/>
  <c r="R73" i="177"/>
  <c r="R92" i="177"/>
  <c r="R104" i="177"/>
  <c r="R46" i="177"/>
  <c r="R76" i="177"/>
  <c r="R99" i="177"/>
  <c r="R75" i="177"/>
  <c r="R87" i="177"/>
  <c r="R94" i="177"/>
  <c r="R89" i="177"/>
  <c r="R78" i="177"/>
  <c r="R96" i="177"/>
  <c r="R39" i="177"/>
  <c r="R98" i="177"/>
  <c r="R60" i="177"/>
  <c r="R66" i="177"/>
  <c r="R93" i="177"/>
  <c r="R83" i="177"/>
  <c r="R88" i="177"/>
  <c r="R100" i="177"/>
  <c r="R64" i="177"/>
  <c r="R71" i="177"/>
  <c r="R95" i="177"/>
  <c r="R108" i="177"/>
  <c r="R121" i="177"/>
  <c r="R133" i="177"/>
  <c r="R86" i="177"/>
  <c r="R115" i="177"/>
  <c r="R128" i="177"/>
  <c r="R97" i="177"/>
  <c r="R110" i="177"/>
  <c r="R123" i="177"/>
  <c r="R91" i="177"/>
  <c r="R117" i="177"/>
  <c r="R112" i="177"/>
  <c r="R125" i="177"/>
  <c r="R107" i="177"/>
  <c r="R119" i="177"/>
  <c r="R105" i="177"/>
  <c r="R114" i="177"/>
  <c r="R127" i="177"/>
  <c r="R85" i="177"/>
  <c r="R90" i="177"/>
  <c r="R109" i="177"/>
  <c r="R122" i="177"/>
  <c r="R101" i="177"/>
  <c r="R116" i="177"/>
  <c r="R102" i="177"/>
  <c r="R103" i="177"/>
  <c r="R111" i="177"/>
  <c r="R124" i="177"/>
  <c r="R106" i="177"/>
  <c r="R118" i="177"/>
  <c r="R141" i="177"/>
  <c r="R153" i="177"/>
  <c r="R136" i="177"/>
  <c r="R148" i="177"/>
  <c r="R131" i="177"/>
  <c r="R143" i="177"/>
  <c r="R155" i="177"/>
  <c r="R134" i="177"/>
  <c r="R138" i="177"/>
  <c r="R150" i="177"/>
  <c r="R145" i="177"/>
  <c r="R129" i="177"/>
  <c r="R140" i="177"/>
  <c r="R152" i="177"/>
  <c r="R126" i="177"/>
  <c r="R132" i="177"/>
  <c r="R147" i="177"/>
  <c r="R135" i="177"/>
  <c r="R142" i="177"/>
  <c r="R137" i="177"/>
  <c r="R149" i="177"/>
  <c r="R139" i="177"/>
  <c r="R151" i="177"/>
  <c r="R154" i="177"/>
  <c r="R156" i="177"/>
  <c r="R3" i="177"/>
  <c r="R157" i="177"/>
  <c r="R146" i="177"/>
  <c r="R144" i="177"/>
  <c r="R113" i="177"/>
  <c r="R130" i="177"/>
  <c r="R213" i="177"/>
  <c r="R201" i="177"/>
  <c r="R221" i="177"/>
  <c r="R209" i="177"/>
  <c r="R197" i="177"/>
  <c r="R219" i="177"/>
  <c r="R206" i="177"/>
  <c r="R193" i="177"/>
  <c r="R187" i="177"/>
  <c r="R217" i="177"/>
  <c r="R204" i="177"/>
  <c r="R191" i="177"/>
  <c r="R222" i="177"/>
  <c r="R203" i="177"/>
  <c r="R198" i="177"/>
  <c r="R218" i="177"/>
  <c r="R215" i="177"/>
  <c r="R180" i="177"/>
  <c r="R168" i="177"/>
  <c r="R220" i="177"/>
  <c r="R196" i="177"/>
  <c r="R212" i="177"/>
  <c r="R207" i="177"/>
  <c r="R182" i="177"/>
  <c r="R176" i="177"/>
  <c r="R164" i="177"/>
  <c r="R188" i="177"/>
  <c r="R162" i="177"/>
  <c r="R172" i="177"/>
  <c r="R189" i="177"/>
  <c r="R178" i="177"/>
  <c r="R165" i="177"/>
  <c r="R214" i="177"/>
  <c r="R202" i="177"/>
  <c r="R192" i="177"/>
  <c r="R186" i="177"/>
  <c r="R170" i="177"/>
  <c r="R211" i="177"/>
  <c r="R161" i="177"/>
  <c r="R160" i="177"/>
  <c r="R171" i="177"/>
  <c r="R175" i="177"/>
  <c r="R208" i="177"/>
  <c r="R184" i="177"/>
  <c r="R216" i="177"/>
  <c r="R185" i="177"/>
  <c r="R177" i="177"/>
  <c r="R183" i="177"/>
  <c r="R199" i="177"/>
  <c r="R194" i="177"/>
  <c r="R181" i="177"/>
  <c r="R163" i="177"/>
  <c r="R190" i="177"/>
  <c r="R179" i="177"/>
  <c r="R174" i="177"/>
  <c r="R195" i="177"/>
  <c r="R210" i="177"/>
  <c r="R205" i="177"/>
  <c r="R200" i="177"/>
  <c r="R169" i="177"/>
  <c r="R173" i="177"/>
  <c r="R159" i="177"/>
  <c r="R166" i="177"/>
  <c r="R167" i="177"/>
  <c r="S1" i="177"/>
  <c r="T5" i="174"/>
  <c r="T91" i="174" s="1"/>
  <c r="S158" i="177" l="1"/>
  <c r="S120" i="177"/>
  <c r="S7" i="177"/>
  <c r="S19" i="177"/>
  <c r="S31" i="177"/>
  <c r="S14" i="177"/>
  <c r="S26" i="177"/>
  <c r="S9" i="177"/>
  <c r="S21" i="177"/>
  <c r="S33" i="177"/>
  <c r="S4" i="177"/>
  <c r="S16" i="177"/>
  <c r="S28" i="177"/>
  <c r="S11" i="177"/>
  <c r="S23" i="177"/>
  <c r="S35" i="177"/>
  <c r="S6" i="177"/>
  <c r="S18" i="177"/>
  <c r="S30" i="177"/>
  <c r="S13" i="177"/>
  <c r="S25" i="177"/>
  <c r="S8" i="177"/>
  <c r="S20" i="177"/>
  <c r="S32" i="177"/>
  <c r="S15" i="177"/>
  <c r="S27" i="177"/>
  <c r="S5" i="177"/>
  <c r="S17" i="177"/>
  <c r="S29" i="177"/>
  <c r="S46" i="177"/>
  <c r="S58" i="177"/>
  <c r="S48" i="177"/>
  <c r="S60" i="177"/>
  <c r="S43" i="177"/>
  <c r="S55" i="177"/>
  <c r="S38" i="177"/>
  <c r="S50" i="177"/>
  <c r="S62" i="177"/>
  <c r="S45" i="177"/>
  <c r="S57" i="177"/>
  <c r="S12" i="177"/>
  <c r="S40" i="177"/>
  <c r="S52" i="177"/>
  <c r="S10" i="177"/>
  <c r="S47" i="177"/>
  <c r="S59" i="177"/>
  <c r="S22" i="177"/>
  <c r="S37" i="177"/>
  <c r="S49" i="177"/>
  <c r="S61" i="177"/>
  <c r="S44" i="177"/>
  <c r="S73" i="177"/>
  <c r="S85" i="177"/>
  <c r="S34" i="177"/>
  <c r="S51" i="177"/>
  <c r="S75" i="177"/>
  <c r="S42" i="177"/>
  <c r="S70" i="177"/>
  <c r="S82" i="177"/>
  <c r="S36" i="177"/>
  <c r="S56" i="177"/>
  <c r="S65" i="177"/>
  <c r="S77" i="177"/>
  <c r="S63" i="177"/>
  <c r="S72" i="177"/>
  <c r="S84" i="177"/>
  <c r="S41" i="177"/>
  <c r="S67" i="177"/>
  <c r="S79" i="177"/>
  <c r="S24" i="177"/>
  <c r="S54" i="177"/>
  <c r="S74" i="177"/>
  <c r="S97" i="177"/>
  <c r="S92" i="177"/>
  <c r="S76" i="177"/>
  <c r="S99" i="177"/>
  <c r="S87" i="177"/>
  <c r="S94" i="177"/>
  <c r="S89" i="177"/>
  <c r="S81" i="177"/>
  <c r="S91" i="177"/>
  <c r="S39" i="177"/>
  <c r="S69" i="177"/>
  <c r="S80" i="177"/>
  <c r="S98" i="177"/>
  <c r="S53" i="177"/>
  <c r="S66" i="177"/>
  <c r="S68" i="177"/>
  <c r="S93" i="177"/>
  <c r="S83" i="177"/>
  <c r="S88" i="177"/>
  <c r="S113" i="177"/>
  <c r="S126" i="177"/>
  <c r="S108" i="177"/>
  <c r="S121" i="177"/>
  <c r="S86" i="177"/>
  <c r="S104" i="177"/>
  <c r="S115" i="177"/>
  <c r="S128" i="177"/>
  <c r="S110" i="177"/>
  <c r="S123" i="177"/>
  <c r="S117" i="177"/>
  <c r="S112" i="177"/>
  <c r="S125" i="177"/>
  <c r="S78" i="177"/>
  <c r="S96" i="177"/>
  <c r="S107" i="177"/>
  <c r="S119" i="177"/>
  <c r="S71" i="177"/>
  <c r="S100" i="177"/>
  <c r="S105" i="177"/>
  <c r="S114" i="177"/>
  <c r="S127" i="177"/>
  <c r="S90" i="177"/>
  <c r="S109" i="177"/>
  <c r="S122" i="177"/>
  <c r="S101" i="177"/>
  <c r="S116" i="177"/>
  <c r="S64" i="177"/>
  <c r="S95" i="177"/>
  <c r="S102" i="177"/>
  <c r="S103" i="177"/>
  <c r="S111" i="177"/>
  <c r="S124" i="177"/>
  <c r="S118" i="177"/>
  <c r="S146" i="177"/>
  <c r="S141" i="177"/>
  <c r="S153" i="177"/>
  <c r="S136" i="177"/>
  <c r="S148" i="177"/>
  <c r="S131" i="177"/>
  <c r="S143" i="177"/>
  <c r="S134" i="177"/>
  <c r="S138" i="177"/>
  <c r="S150" i="177"/>
  <c r="S106" i="177"/>
  <c r="S145" i="177"/>
  <c r="S157" i="177"/>
  <c r="S129" i="177"/>
  <c r="S140" i="177"/>
  <c r="S152" i="177"/>
  <c r="S132" i="177"/>
  <c r="S147" i="177"/>
  <c r="S135" i="177"/>
  <c r="S142" i="177"/>
  <c r="S154" i="177"/>
  <c r="S130" i="177"/>
  <c r="S144" i="177"/>
  <c r="S156" i="177"/>
  <c r="S3" i="177"/>
  <c r="S133" i="177"/>
  <c r="S139" i="177"/>
  <c r="S137" i="177"/>
  <c r="S151" i="177"/>
  <c r="S155" i="177"/>
  <c r="S149" i="177"/>
  <c r="S218" i="177"/>
  <c r="S206" i="177"/>
  <c r="S194" i="177"/>
  <c r="S214" i="177"/>
  <c r="S202" i="177"/>
  <c r="S190" i="177"/>
  <c r="S212" i="177"/>
  <c r="S199" i="177"/>
  <c r="S180" i="177"/>
  <c r="S210" i="177"/>
  <c r="S197" i="177"/>
  <c r="S188" i="177"/>
  <c r="S208" i="177"/>
  <c r="S184" i="177"/>
  <c r="S179" i="177"/>
  <c r="S220" i="177"/>
  <c r="S196" i="177"/>
  <c r="S191" i="177"/>
  <c r="S173" i="177"/>
  <c r="S161" i="177"/>
  <c r="S216" i="177"/>
  <c r="S211" i="177"/>
  <c r="S201" i="177"/>
  <c r="S187" i="177"/>
  <c r="S222" i="177"/>
  <c r="S217" i="177"/>
  <c r="S185" i="177"/>
  <c r="S169" i="177"/>
  <c r="S215" i="177"/>
  <c r="S175" i="177"/>
  <c r="S189" i="177"/>
  <c r="S178" i="177"/>
  <c r="S165" i="177"/>
  <c r="S160" i="177"/>
  <c r="S221" i="177"/>
  <c r="S203" i="177"/>
  <c r="S198" i="177"/>
  <c r="S193" i="177"/>
  <c r="S171" i="177"/>
  <c r="S213" i="177"/>
  <c r="S207" i="177"/>
  <c r="S182" i="177"/>
  <c r="S176" i="177"/>
  <c r="S163" i="177"/>
  <c r="S164" i="177"/>
  <c r="S159" i="177"/>
  <c r="S192" i="177"/>
  <c r="S219" i="177"/>
  <c r="S177" i="177"/>
  <c r="S186" i="177"/>
  <c r="S183" i="177"/>
  <c r="S170" i="177"/>
  <c r="S181" i="177"/>
  <c r="S209" i="177"/>
  <c r="S204" i="177"/>
  <c r="S174" i="177"/>
  <c r="S172" i="177"/>
  <c r="S195" i="177"/>
  <c r="S205" i="177"/>
  <c r="S200" i="177"/>
  <c r="S168" i="177"/>
  <c r="S162" i="177"/>
  <c r="S166" i="177"/>
  <c r="S167" i="177"/>
  <c r="T1" i="177"/>
  <c r="D1" i="175"/>
  <c r="D157" i="175" s="1"/>
  <c r="T158" i="177" l="1"/>
  <c r="T120" i="177"/>
  <c r="D8" i="175"/>
  <c r="D10" i="175"/>
  <c r="D11" i="175"/>
  <c r="D12" i="175"/>
  <c r="D14" i="175"/>
  <c r="D13" i="175"/>
  <c r="D9" i="175"/>
  <c r="T12" i="177"/>
  <c r="T24" i="177"/>
  <c r="T36" i="177"/>
  <c r="T7" i="177"/>
  <c r="T19" i="177"/>
  <c r="T31" i="177"/>
  <c r="T14" i="177"/>
  <c r="T26" i="177"/>
  <c r="T9" i="177"/>
  <c r="T21" i="177"/>
  <c r="T33" i="177"/>
  <c r="T4" i="177"/>
  <c r="T16" i="177"/>
  <c r="T28" i="177"/>
  <c r="T11" i="177"/>
  <c r="T23" i="177"/>
  <c r="T35" i="177"/>
  <c r="T6" i="177"/>
  <c r="T18" i="177"/>
  <c r="T30" i="177"/>
  <c r="T13" i="177"/>
  <c r="T25" i="177"/>
  <c r="T8" i="177"/>
  <c r="T20" i="177"/>
  <c r="T32" i="177"/>
  <c r="T10" i="177"/>
  <c r="T22" i="177"/>
  <c r="T34" i="177"/>
  <c r="T39" i="177"/>
  <c r="T51" i="177"/>
  <c r="T63" i="177"/>
  <c r="T41" i="177"/>
  <c r="T53" i="177"/>
  <c r="T48" i="177"/>
  <c r="T60" i="177"/>
  <c r="T43" i="177"/>
  <c r="T55" i="177"/>
  <c r="T38" i="177"/>
  <c r="T50" i="177"/>
  <c r="T62" i="177"/>
  <c r="T5" i="177"/>
  <c r="T45" i="177"/>
  <c r="T57" i="177"/>
  <c r="T40" i="177"/>
  <c r="T52" i="177"/>
  <c r="T15" i="177"/>
  <c r="T42" i="177"/>
  <c r="T54" i="177"/>
  <c r="T37" i="177"/>
  <c r="T66" i="177"/>
  <c r="T78" i="177"/>
  <c r="T27" i="177"/>
  <c r="T44" i="177"/>
  <c r="T58" i="177"/>
  <c r="T68" i="177"/>
  <c r="T80" i="177"/>
  <c r="T75" i="177"/>
  <c r="T29" i="177"/>
  <c r="T49" i="177"/>
  <c r="T70" i="177"/>
  <c r="T82" i="177"/>
  <c r="T56" i="177"/>
  <c r="T65" i="177"/>
  <c r="T77" i="177"/>
  <c r="T72" i="177"/>
  <c r="T84" i="177"/>
  <c r="T17" i="177"/>
  <c r="T47" i="177"/>
  <c r="T67" i="177"/>
  <c r="T79" i="177"/>
  <c r="T74" i="177"/>
  <c r="T86" i="177"/>
  <c r="T90" i="177"/>
  <c r="T102" i="177"/>
  <c r="T73" i="177"/>
  <c r="T97" i="177"/>
  <c r="T46" i="177"/>
  <c r="T92" i="177"/>
  <c r="T76" i="177"/>
  <c r="T99" i="177"/>
  <c r="T59" i="177"/>
  <c r="T87" i="177"/>
  <c r="T94" i="177"/>
  <c r="T96" i="177"/>
  <c r="T81" i="177"/>
  <c r="T91" i="177"/>
  <c r="T69" i="177"/>
  <c r="T98" i="177"/>
  <c r="T61" i="177"/>
  <c r="T93" i="177"/>
  <c r="T89" i="177"/>
  <c r="T106" i="177"/>
  <c r="T118" i="177"/>
  <c r="T131" i="177"/>
  <c r="T113" i="177"/>
  <c r="T126" i="177"/>
  <c r="T108" i="177"/>
  <c r="T121" i="177"/>
  <c r="T104" i="177"/>
  <c r="T115" i="177"/>
  <c r="T128" i="177"/>
  <c r="T88" i="177"/>
  <c r="T110" i="177"/>
  <c r="T123" i="177"/>
  <c r="T117" i="177"/>
  <c r="T112" i="177"/>
  <c r="T125" i="177"/>
  <c r="T107" i="177"/>
  <c r="T119" i="177"/>
  <c r="T71" i="177"/>
  <c r="T85" i="177"/>
  <c r="T100" i="177"/>
  <c r="T105" i="177"/>
  <c r="T114" i="177"/>
  <c r="T127" i="177"/>
  <c r="T109" i="177"/>
  <c r="T122" i="177"/>
  <c r="T83" i="177"/>
  <c r="T101" i="177"/>
  <c r="T116" i="177"/>
  <c r="T133" i="177"/>
  <c r="T139" i="177"/>
  <c r="T151" i="177"/>
  <c r="T3" i="177"/>
  <c r="T64" i="177"/>
  <c r="T95" i="177"/>
  <c r="T124" i="177"/>
  <c r="T146" i="177"/>
  <c r="T141" i="177"/>
  <c r="T153" i="177"/>
  <c r="T136" i="177"/>
  <c r="T148" i="177"/>
  <c r="T143" i="177"/>
  <c r="T134" i="177"/>
  <c r="T138" i="177"/>
  <c r="T150" i="177"/>
  <c r="T111" i="177"/>
  <c r="T145" i="177"/>
  <c r="T129" i="177"/>
  <c r="T140" i="177"/>
  <c r="T152" i="177"/>
  <c r="T132" i="177"/>
  <c r="T147" i="177"/>
  <c r="T103" i="177"/>
  <c r="T137" i="177"/>
  <c r="T149" i="177"/>
  <c r="T156" i="177"/>
  <c r="T155" i="177"/>
  <c r="T157" i="177"/>
  <c r="T154" i="177"/>
  <c r="T144" i="177"/>
  <c r="T135" i="177"/>
  <c r="T142" i="177"/>
  <c r="T130" i="177"/>
  <c r="T211" i="177"/>
  <c r="T199" i="177"/>
  <c r="T219" i="177"/>
  <c r="T207" i="177"/>
  <c r="T195" i="177"/>
  <c r="T205" i="177"/>
  <c r="T192" i="177"/>
  <c r="T185" i="177"/>
  <c r="T216" i="177"/>
  <c r="T203" i="177"/>
  <c r="T190" i="177"/>
  <c r="T218" i="177"/>
  <c r="T213" i="177"/>
  <c r="T181" i="177"/>
  <c r="T201" i="177"/>
  <c r="T187" i="177"/>
  <c r="T178" i="177"/>
  <c r="T166" i="177"/>
  <c r="T221" i="177"/>
  <c r="T206" i="177"/>
  <c r="T186" i="177"/>
  <c r="T222" i="177"/>
  <c r="T198" i="177"/>
  <c r="T193" i="177"/>
  <c r="T174" i="177"/>
  <c r="T162" i="177"/>
  <c r="T215" i="177"/>
  <c r="T212" i="177"/>
  <c r="T196" i="177"/>
  <c r="T191" i="177"/>
  <c r="T180" i="177"/>
  <c r="T168" i="177"/>
  <c r="T220" i="177"/>
  <c r="T171" i="177"/>
  <c r="T208" i="177"/>
  <c r="T184" i="177"/>
  <c r="T179" i="177"/>
  <c r="T177" i="177"/>
  <c r="T164" i="177"/>
  <c r="T169" i="177"/>
  <c r="T159" i="177"/>
  <c r="T217" i="177"/>
  <c r="T202" i="177"/>
  <c r="T197" i="177"/>
  <c r="T173" i="177"/>
  <c r="T214" i="177"/>
  <c r="T183" i="177"/>
  <c r="T182" i="177"/>
  <c r="T209" i="177"/>
  <c r="T204" i="177"/>
  <c r="T194" i="177"/>
  <c r="T188" i="177"/>
  <c r="T172" i="177"/>
  <c r="T163" i="177"/>
  <c r="T189" i="177"/>
  <c r="T167" i="177"/>
  <c r="T165" i="177"/>
  <c r="T200" i="177"/>
  <c r="T210" i="177"/>
  <c r="T161" i="177"/>
  <c r="T160" i="177"/>
  <c r="T176" i="177"/>
  <c r="T175" i="177"/>
  <c r="T170" i="177"/>
  <c r="U1" i="177"/>
  <c r="D143" i="175"/>
  <c r="D98" i="175"/>
  <c r="D28" i="175"/>
  <c r="D38" i="175"/>
  <c r="D35" i="175"/>
  <c r="D36" i="175"/>
  <c r="D37" i="175"/>
  <c r="D34" i="175"/>
  <c r="D80" i="175"/>
  <c r="D155" i="175"/>
  <c r="D141" i="175"/>
  <c r="D4" i="175"/>
  <c r="D16" i="175"/>
  <c r="D23" i="175"/>
  <c r="D6" i="175"/>
  <c r="D18" i="175"/>
  <c r="D30" i="175"/>
  <c r="D25" i="175"/>
  <c r="D20" i="175"/>
  <c r="D32" i="175"/>
  <c r="D15" i="175"/>
  <c r="D27" i="175"/>
  <c r="D17" i="175"/>
  <c r="D48" i="175"/>
  <c r="D24" i="175"/>
  <c r="D43" i="175"/>
  <c r="D7" i="175"/>
  <c r="D31" i="175"/>
  <c r="D50" i="175"/>
  <c r="D45" i="175"/>
  <c r="D21" i="175"/>
  <c r="D40" i="175"/>
  <c r="D52" i="175"/>
  <c r="D22" i="175"/>
  <c r="D47" i="175"/>
  <c r="D5" i="175"/>
  <c r="D29" i="175"/>
  <c r="D42" i="175"/>
  <c r="D54" i="175"/>
  <c r="D19" i="175"/>
  <c r="D44" i="175"/>
  <c r="D33" i="175"/>
  <c r="D46" i="175"/>
  <c r="D56" i="175"/>
  <c r="D68" i="175"/>
  <c r="D81" i="175"/>
  <c r="D39" i="175"/>
  <c r="D63" i="175"/>
  <c r="D75" i="175"/>
  <c r="D53" i="175"/>
  <c r="D58" i="175"/>
  <c r="D70" i="175"/>
  <c r="D65" i="175"/>
  <c r="D77" i="175"/>
  <c r="D60" i="175"/>
  <c r="D72" i="175"/>
  <c r="D41" i="175"/>
  <c r="D55" i="175"/>
  <c r="D67" i="175"/>
  <c r="D79" i="175"/>
  <c r="D64" i="175"/>
  <c r="D76" i="175"/>
  <c r="D59" i="175"/>
  <c r="D71" i="175"/>
  <c r="D26" i="175"/>
  <c r="D51" i="175"/>
  <c r="D66" i="175"/>
  <c r="D62" i="175"/>
  <c r="D89" i="175"/>
  <c r="D102" i="175"/>
  <c r="D84" i="175"/>
  <c r="D96" i="175"/>
  <c r="D73" i="175"/>
  <c r="D91" i="175"/>
  <c r="D104" i="175"/>
  <c r="D49" i="175"/>
  <c r="D86" i="175"/>
  <c r="D99" i="175"/>
  <c r="D93" i="175"/>
  <c r="D61" i="175"/>
  <c r="D88" i="175"/>
  <c r="D101" i="175"/>
  <c r="D85" i="175"/>
  <c r="D97" i="175"/>
  <c r="D74" i="175"/>
  <c r="D92" i="175"/>
  <c r="D105" i="175"/>
  <c r="D57" i="175"/>
  <c r="D87" i="175"/>
  <c r="D100" i="175"/>
  <c r="D95" i="175"/>
  <c r="D111" i="175"/>
  <c r="D123" i="175"/>
  <c r="D118" i="175"/>
  <c r="D130" i="175"/>
  <c r="D78" i="175"/>
  <c r="D113" i="175"/>
  <c r="D125" i="175"/>
  <c r="D83" i="175"/>
  <c r="D108" i="175"/>
  <c r="D120" i="175"/>
  <c r="D106" i="175"/>
  <c r="D115" i="175"/>
  <c r="D127" i="175"/>
  <c r="D94" i="175"/>
  <c r="D110" i="175"/>
  <c r="D122" i="175"/>
  <c r="D117" i="175"/>
  <c r="D129" i="175"/>
  <c r="D82" i="175"/>
  <c r="D119" i="175"/>
  <c r="D107" i="175"/>
  <c r="D114" i="175"/>
  <c r="D126" i="175"/>
  <c r="D90" i="175"/>
  <c r="D109" i="175"/>
  <c r="D121" i="175"/>
  <c r="D140" i="175"/>
  <c r="D152" i="175"/>
  <c r="D128" i="175"/>
  <c r="D135" i="175"/>
  <c r="D147" i="175"/>
  <c r="D103" i="175"/>
  <c r="D112" i="175"/>
  <c r="D142" i="175"/>
  <c r="D154" i="175"/>
  <c r="D137" i="175"/>
  <c r="D149" i="175"/>
  <c r="D124" i="175"/>
  <c r="D132" i="175"/>
  <c r="D144" i="175"/>
  <c r="D156" i="175"/>
  <c r="D139" i="175"/>
  <c r="D151" i="175"/>
  <c r="D69" i="175"/>
  <c r="D134" i="175"/>
  <c r="D146" i="175"/>
  <c r="D136" i="175"/>
  <c r="D148" i="175"/>
  <c r="D138" i="175"/>
  <c r="D150" i="175"/>
  <c r="D116" i="175"/>
  <c r="D131" i="175"/>
  <c r="D133" i="175"/>
  <c r="D145" i="175"/>
  <c r="D3" i="175"/>
  <c r="D153" i="175"/>
  <c r="E1" i="175"/>
  <c r="D215" i="175"/>
  <c r="D203" i="175"/>
  <c r="D220" i="175"/>
  <c r="D208" i="175"/>
  <c r="D213" i="175"/>
  <c r="D218" i="175"/>
  <c r="D206" i="175"/>
  <c r="D194" i="175"/>
  <c r="D211" i="175"/>
  <c r="D216" i="175"/>
  <c r="D221" i="175"/>
  <c r="D214" i="175"/>
  <c r="D202" i="175"/>
  <c r="D190" i="175"/>
  <c r="D219" i="175"/>
  <c r="D207" i="175"/>
  <c r="D195" i="175"/>
  <c r="D212" i="175"/>
  <c r="D217" i="175"/>
  <c r="D205" i="175"/>
  <c r="D193" i="175"/>
  <c r="D209" i="175"/>
  <c r="D186" i="175"/>
  <c r="D174" i="175"/>
  <c r="D204" i="175"/>
  <c r="D191" i="175"/>
  <c r="D182" i="175"/>
  <c r="D170" i="175"/>
  <c r="D192" i="175"/>
  <c r="D175" i="175"/>
  <c r="D169" i="175"/>
  <c r="D165" i="175"/>
  <c r="D199" i="175"/>
  <c r="D173" i="175"/>
  <c r="D198" i="175"/>
  <c r="D179" i="175"/>
  <c r="D168" i="175"/>
  <c r="D161" i="175"/>
  <c r="D196" i="175"/>
  <c r="D184" i="175"/>
  <c r="D197" i="175"/>
  <c r="D189" i="175"/>
  <c r="D185" i="175"/>
  <c r="D180" i="175"/>
  <c r="D210" i="175"/>
  <c r="D181" i="175"/>
  <c r="D176" i="175"/>
  <c r="D164" i="175"/>
  <c r="D172" i="175"/>
  <c r="D187" i="175"/>
  <c r="D177" i="175"/>
  <c r="D178" i="175"/>
  <c r="D201" i="175"/>
  <c r="D200" i="175"/>
  <c r="D188" i="175"/>
  <c r="D183" i="175"/>
  <c r="D158" i="175"/>
  <c r="D166" i="175"/>
  <c r="D162" i="175"/>
  <c r="D159" i="175"/>
  <c r="D160" i="175"/>
  <c r="D171" i="175"/>
  <c r="D163" i="175"/>
  <c r="D167" i="175"/>
  <c r="U158" i="177" l="1"/>
  <c r="U120" i="177"/>
  <c r="E210" i="175"/>
  <c r="E157" i="175"/>
  <c r="E190" i="175"/>
  <c r="E13" i="175"/>
  <c r="E12" i="175"/>
  <c r="E8" i="175"/>
  <c r="E11" i="175"/>
  <c r="E10" i="175"/>
  <c r="E9" i="175"/>
  <c r="E14" i="175"/>
  <c r="U5" i="177"/>
  <c r="U17" i="177"/>
  <c r="U29" i="177"/>
  <c r="U12" i="177"/>
  <c r="U24" i="177"/>
  <c r="U36" i="177"/>
  <c r="U7" i="177"/>
  <c r="U19" i="177"/>
  <c r="U31" i="177"/>
  <c r="U14" i="177"/>
  <c r="U26" i="177"/>
  <c r="U9" i="177"/>
  <c r="U21" i="177"/>
  <c r="U33" i="177"/>
  <c r="U4" i="177"/>
  <c r="U16" i="177"/>
  <c r="U28" i="177"/>
  <c r="U11" i="177"/>
  <c r="U23" i="177"/>
  <c r="U35" i="177"/>
  <c r="U6" i="177"/>
  <c r="U18" i="177"/>
  <c r="U30" i="177"/>
  <c r="U13" i="177"/>
  <c r="U25" i="177"/>
  <c r="U15" i="177"/>
  <c r="U27" i="177"/>
  <c r="U34" i="177"/>
  <c r="U44" i="177"/>
  <c r="U56" i="177"/>
  <c r="U46" i="177"/>
  <c r="U58" i="177"/>
  <c r="U41" i="177"/>
  <c r="U53" i="177"/>
  <c r="U48" i="177"/>
  <c r="U60" i="177"/>
  <c r="U43" i="177"/>
  <c r="U55" i="177"/>
  <c r="U38" i="177"/>
  <c r="U50" i="177"/>
  <c r="U62" i="177"/>
  <c r="U45" i="177"/>
  <c r="U57" i="177"/>
  <c r="U8" i="177"/>
  <c r="U47" i="177"/>
  <c r="U59" i="177"/>
  <c r="U52" i="177"/>
  <c r="U71" i="177"/>
  <c r="U83" i="177"/>
  <c r="U20" i="177"/>
  <c r="U37" i="177"/>
  <c r="U66" i="177"/>
  <c r="U51" i="177"/>
  <c r="U73" i="177"/>
  <c r="U68" i="177"/>
  <c r="U80" i="177"/>
  <c r="U22" i="177"/>
  <c r="U42" i="177"/>
  <c r="U75" i="177"/>
  <c r="U49" i="177"/>
  <c r="U70" i="177"/>
  <c r="U82" i="177"/>
  <c r="U63" i="177"/>
  <c r="U65" i="177"/>
  <c r="U77" i="177"/>
  <c r="U10" i="177"/>
  <c r="U40" i="177"/>
  <c r="U72" i="177"/>
  <c r="U84" i="177"/>
  <c r="U64" i="177"/>
  <c r="U85" i="177"/>
  <c r="U95" i="177"/>
  <c r="U74" i="177"/>
  <c r="U86" i="177"/>
  <c r="U90" i="177"/>
  <c r="U102" i="177"/>
  <c r="U97" i="177"/>
  <c r="U92" i="177"/>
  <c r="U76" i="177"/>
  <c r="U99" i="177"/>
  <c r="U67" i="177"/>
  <c r="U78" i="177"/>
  <c r="U89" i="177"/>
  <c r="U96" i="177"/>
  <c r="U39" i="177"/>
  <c r="U81" i="177"/>
  <c r="U91" i="177"/>
  <c r="U54" i="177"/>
  <c r="U69" i="177"/>
  <c r="U103" i="177"/>
  <c r="U111" i="177"/>
  <c r="U124" i="177"/>
  <c r="U106" i="177"/>
  <c r="U118" i="177"/>
  <c r="U32" i="177"/>
  <c r="U113" i="177"/>
  <c r="U126" i="177"/>
  <c r="U94" i="177"/>
  <c r="U108" i="177"/>
  <c r="U121" i="177"/>
  <c r="U104" i="177"/>
  <c r="U115" i="177"/>
  <c r="U128" i="177"/>
  <c r="U88" i="177"/>
  <c r="U110" i="177"/>
  <c r="U123" i="177"/>
  <c r="U117" i="177"/>
  <c r="U61" i="177"/>
  <c r="U93" i="177"/>
  <c r="U112" i="177"/>
  <c r="U125" i="177"/>
  <c r="U107" i="177"/>
  <c r="U119" i="177"/>
  <c r="U79" i="177"/>
  <c r="U87" i="177"/>
  <c r="U100" i="177"/>
  <c r="U105" i="177"/>
  <c r="U114" i="177"/>
  <c r="U127" i="177"/>
  <c r="U109" i="177"/>
  <c r="U122" i="177"/>
  <c r="U130" i="177"/>
  <c r="U144" i="177"/>
  <c r="U156" i="177"/>
  <c r="U133" i="177"/>
  <c r="U139" i="177"/>
  <c r="U151" i="177"/>
  <c r="U146" i="177"/>
  <c r="U153" i="177"/>
  <c r="U98" i="177"/>
  <c r="U141" i="177"/>
  <c r="U131" i="177"/>
  <c r="U136" i="177"/>
  <c r="U148" i="177"/>
  <c r="U143" i="177"/>
  <c r="U155" i="177"/>
  <c r="U101" i="177"/>
  <c r="U134" i="177"/>
  <c r="U138" i="177"/>
  <c r="U150" i="177"/>
  <c r="U116" i="177"/>
  <c r="U145" i="177"/>
  <c r="U129" i="177"/>
  <c r="U140" i="177"/>
  <c r="U152" i="177"/>
  <c r="U135" i="177"/>
  <c r="U142" i="177"/>
  <c r="U154" i="177"/>
  <c r="U147" i="177"/>
  <c r="U157" i="177"/>
  <c r="U132" i="177"/>
  <c r="U137" i="177"/>
  <c r="U3" i="177"/>
  <c r="U149" i="177"/>
  <c r="U216" i="177"/>
  <c r="U204" i="177"/>
  <c r="U192" i="177"/>
  <c r="U212" i="177"/>
  <c r="U200" i="177"/>
  <c r="U218" i="177"/>
  <c r="U198" i="177"/>
  <c r="U222" i="177"/>
  <c r="U209" i="177"/>
  <c r="U196" i="177"/>
  <c r="U186" i="177"/>
  <c r="U213" i="177"/>
  <c r="U194" i="177"/>
  <c r="U214" i="177"/>
  <c r="U221" i="177"/>
  <c r="U211" i="177"/>
  <c r="U206" i="177"/>
  <c r="U171" i="177"/>
  <c r="U202" i="177"/>
  <c r="U197" i="177"/>
  <c r="U182" i="177"/>
  <c r="U208" i="177"/>
  <c r="U203" i="177"/>
  <c r="U184" i="177"/>
  <c r="U179" i="177"/>
  <c r="U167" i="177"/>
  <c r="U201" i="177"/>
  <c r="U174" i="177"/>
  <c r="U220" i="177"/>
  <c r="U193" i="177"/>
  <c r="U177" i="177"/>
  <c r="U164" i="177"/>
  <c r="U170" i="177"/>
  <c r="U215" i="177"/>
  <c r="U188" i="177"/>
  <c r="U175" i="177"/>
  <c r="U162" i="177"/>
  <c r="U217" i="177"/>
  <c r="U178" i="177"/>
  <c r="U173" i="177"/>
  <c r="U219" i="177"/>
  <c r="U207" i="177"/>
  <c r="U183" i="177"/>
  <c r="U185" i="177"/>
  <c r="U181" i="177"/>
  <c r="U172" i="177"/>
  <c r="U163" i="177"/>
  <c r="U199" i="177"/>
  <c r="U189" i="177"/>
  <c r="U187" i="177"/>
  <c r="U180" i="177"/>
  <c r="U165" i="177"/>
  <c r="U195" i="177"/>
  <c r="U190" i="177"/>
  <c r="U210" i="177"/>
  <c r="U205" i="177"/>
  <c r="U176" i="177"/>
  <c r="U191" i="177"/>
  <c r="U159" i="177"/>
  <c r="U168" i="177"/>
  <c r="U169" i="177"/>
  <c r="U161" i="177"/>
  <c r="U160" i="177"/>
  <c r="U166" i="177"/>
  <c r="V1" i="177"/>
  <c r="E220" i="175"/>
  <c r="E98" i="175"/>
  <c r="E28" i="175"/>
  <c r="E38" i="175"/>
  <c r="E35" i="175"/>
  <c r="E37" i="175"/>
  <c r="E34" i="175"/>
  <c r="E36" i="175"/>
  <c r="E80" i="175"/>
  <c r="E186" i="175"/>
  <c r="E195" i="175"/>
  <c r="E213" i="175"/>
  <c r="E164" i="175"/>
  <c r="E171" i="175"/>
  <c r="E177" i="175"/>
  <c r="E189" i="175"/>
  <c r="E170" i="175"/>
  <c r="E203" i="175"/>
  <c r="E197" i="175"/>
  <c r="E217" i="175"/>
  <c r="E196" i="175"/>
  <c r="E176" i="175"/>
  <c r="E166" i="175"/>
  <c r="E169" i="175"/>
  <c r="E200" i="175"/>
  <c r="E208" i="175"/>
  <c r="E161" i="175"/>
  <c r="E182" i="175"/>
  <c r="E184" i="175"/>
  <c r="E212" i="175"/>
  <c r="E21" i="175"/>
  <c r="E33" i="175"/>
  <c r="E4" i="175"/>
  <c r="E16" i="175"/>
  <c r="E23" i="175"/>
  <c r="E6" i="175"/>
  <c r="E18" i="175"/>
  <c r="E30" i="175"/>
  <c r="E25" i="175"/>
  <c r="E20" i="175"/>
  <c r="E32" i="175"/>
  <c r="E41" i="175"/>
  <c r="E53" i="175"/>
  <c r="E17" i="175"/>
  <c r="E48" i="175"/>
  <c r="E24" i="175"/>
  <c r="E43" i="175"/>
  <c r="E7" i="175"/>
  <c r="E31" i="175"/>
  <c r="E50" i="175"/>
  <c r="E45" i="175"/>
  <c r="E15" i="175"/>
  <c r="E40" i="175"/>
  <c r="E52" i="175"/>
  <c r="E22" i="175"/>
  <c r="E47" i="175"/>
  <c r="E49" i="175"/>
  <c r="E26" i="175"/>
  <c r="E39" i="175"/>
  <c r="E51" i="175"/>
  <c r="E5" i="175"/>
  <c r="E42" i="175"/>
  <c r="E61" i="175"/>
  <c r="E73" i="175"/>
  <c r="E56" i="175"/>
  <c r="E68" i="175"/>
  <c r="E27" i="175"/>
  <c r="E63" i="175"/>
  <c r="E75" i="175"/>
  <c r="E58" i="175"/>
  <c r="E70" i="175"/>
  <c r="E44" i="175"/>
  <c r="E65" i="175"/>
  <c r="E77" i="175"/>
  <c r="E60" i="175"/>
  <c r="E72" i="175"/>
  <c r="E46" i="175"/>
  <c r="E57" i="175"/>
  <c r="E69" i="175"/>
  <c r="E29" i="175"/>
  <c r="E54" i="175"/>
  <c r="E64" i="175"/>
  <c r="E76" i="175"/>
  <c r="E59" i="175"/>
  <c r="E71" i="175"/>
  <c r="E78" i="175"/>
  <c r="E82" i="175"/>
  <c r="E94" i="175"/>
  <c r="E107" i="175"/>
  <c r="E19" i="175"/>
  <c r="E62" i="175"/>
  <c r="E89" i="175"/>
  <c r="E102" i="175"/>
  <c r="E79" i="175"/>
  <c r="E84" i="175"/>
  <c r="E96" i="175"/>
  <c r="E67" i="175"/>
  <c r="E91" i="175"/>
  <c r="E104" i="175"/>
  <c r="E86" i="175"/>
  <c r="E99" i="175"/>
  <c r="E81" i="175"/>
  <c r="E93" i="175"/>
  <c r="E66" i="175"/>
  <c r="E90" i="175"/>
  <c r="E103" i="175"/>
  <c r="E85" i="175"/>
  <c r="E97" i="175"/>
  <c r="E74" i="175"/>
  <c r="E92" i="175"/>
  <c r="E116" i="175"/>
  <c r="E128" i="175"/>
  <c r="E95" i="175"/>
  <c r="E111" i="175"/>
  <c r="E123" i="175"/>
  <c r="E118" i="175"/>
  <c r="E130" i="175"/>
  <c r="E55" i="175"/>
  <c r="E101" i="175"/>
  <c r="E113" i="175"/>
  <c r="E125" i="175"/>
  <c r="E83" i="175"/>
  <c r="E108" i="175"/>
  <c r="E120" i="175"/>
  <c r="E106" i="175"/>
  <c r="E115" i="175"/>
  <c r="E127" i="175"/>
  <c r="E88" i="175"/>
  <c r="E110" i="175"/>
  <c r="E122" i="175"/>
  <c r="E100" i="175"/>
  <c r="E112" i="175"/>
  <c r="E124" i="175"/>
  <c r="E119" i="175"/>
  <c r="E114" i="175"/>
  <c r="E126" i="175"/>
  <c r="E131" i="175"/>
  <c r="E133" i="175"/>
  <c r="E145" i="175"/>
  <c r="E121" i="175"/>
  <c r="E140" i="175"/>
  <c r="E152" i="175"/>
  <c r="E135" i="175"/>
  <c r="E147" i="175"/>
  <c r="E142" i="175"/>
  <c r="E154" i="175"/>
  <c r="E117" i="175"/>
  <c r="E137" i="175"/>
  <c r="E149" i="175"/>
  <c r="E105" i="175"/>
  <c r="E132" i="175"/>
  <c r="E144" i="175"/>
  <c r="E156" i="175"/>
  <c r="E139" i="175"/>
  <c r="E151" i="175"/>
  <c r="E141" i="175"/>
  <c r="E153" i="175"/>
  <c r="E143" i="175"/>
  <c r="E155" i="175"/>
  <c r="E109" i="175"/>
  <c r="E138" i="175"/>
  <c r="E150" i="175"/>
  <c r="E146" i="175"/>
  <c r="E87" i="175"/>
  <c r="E129" i="175"/>
  <c r="E3" i="175"/>
  <c r="E136" i="175"/>
  <c r="E148" i="175"/>
  <c r="E134" i="175"/>
  <c r="E159" i="175"/>
  <c r="E172" i="175"/>
  <c r="E193" i="175"/>
  <c r="E207" i="175"/>
  <c r="E162" i="175"/>
  <c r="E181" i="175"/>
  <c r="E188" i="175"/>
  <c r="E219" i="175"/>
  <c r="E168" i="175"/>
  <c r="E194" i="175"/>
  <c r="E175" i="175"/>
  <c r="E209" i="175"/>
  <c r="E183" i="175"/>
  <c r="E191" i="175"/>
  <c r="E187" i="175"/>
  <c r="E216" i="175"/>
  <c r="F1" i="175"/>
  <c r="F157" i="175" s="1"/>
  <c r="E201" i="175"/>
  <c r="E214" i="175"/>
  <c r="E192" i="175"/>
  <c r="E199" i="175"/>
  <c r="E167" i="175"/>
  <c r="E202" i="175"/>
  <c r="E180" i="175"/>
  <c r="E215" i="175"/>
  <c r="E211" i="175"/>
  <c r="E158" i="175"/>
  <c r="E178" i="175"/>
  <c r="E185" i="175"/>
  <c r="E198" i="175"/>
  <c r="E218" i="175"/>
  <c r="E163" i="175"/>
  <c r="E204" i="175"/>
  <c r="E165" i="175"/>
  <c r="E179" i="175"/>
  <c r="E221" i="175"/>
  <c r="E173" i="175"/>
  <c r="E160" i="175"/>
  <c r="E174" i="175"/>
  <c r="E205" i="175"/>
  <c r="E206" i="175"/>
  <c r="F195" i="175" l="1"/>
  <c r="F161" i="175"/>
  <c r="F220" i="175"/>
  <c r="F190" i="175"/>
  <c r="F211" i="175"/>
  <c r="F177" i="175"/>
  <c r="F218" i="175"/>
  <c r="F194" i="175"/>
  <c r="F201" i="175"/>
  <c r="F179" i="175"/>
  <c r="F181" i="175"/>
  <c r="F196" i="175"/>
  <c r="G1" i="175"/>
  <c r="G157" i="175" s="1"/>
  <c r="F193" i="175"/>
  <c r="V158" i="177"/>
  <c r="V120" i="177"/>
  <c r="F175" i="175"/>
  <c r="F203" i="175"/>
  <c r="F173" i="175"/>
  <c r="F192" i="175"/>
  <c r="F178" i="175"/>
  <c r="F204" i="175"/>
  <c r="F164" i="175"/>
  <c r="F162" i="175"/>
  <c r="F191" i="175"/>
  <c r="F213" i="175"/>
  <c r="F170" i="175"/>
  <c r="F199" i="175"/>
  <c r="F206" i="175"/>
  <c r="F210" i="175"/>
  <c r="F183" i="175"/>
  <c r="F189" i="175"/>
  <c r="F217" i="175"/>
  <c r="F160" i="175"/>
  <c r="F215" i="175"/>
  <c r="F168" i="175"/>
  <c r="F208" i="175"/>
  <c r="F205" i="175"/>
  <c r="F202" i="175"/>
  <c r="F197" i="175"/>
  <c r="F221" i="175"/>
  <c r="F219" i="175"/>
  <c r="F10" i="175"/>
  <c r="F11" i="175"/>
  <c r="F13" i="175"/>
  <c r="F8" i="175"/>
  <c r="F12" i="175"/>
  <c r="F9" i="175"/>
  <c r="F14" i="175"/>
  <c r="F158" i="175"/>
  <c r="F166" i="175"/>
  <c r="F185" i="175"/>
  <c r="F212" i="175"/>
  <c r="F198" i="175"/>
  <c r="F167" i="175"/>
  <c r="F172" i="175"/>
  <c r="F216" i="175"/>
  <c r="F176" i="175"/>
  <c r="F186" i="175"/>
  <c r="F163" i="175"/>
  <c r="F200" i="175"/>
  <c r="V10" i="177"/>
  <c r="V22" i="177"/>
  <c r="V34" i="177"/>
  <c r="V5" i="177"/>
  <c r="V17" i="177"/>
  <c r="V29" i="177"/>
  <c r="V12" i="177"/>
  <c r="V24" i="177"/>
  <c r="V36" i="177"/>
  <c r="V7" i="177"/>
  <c r="V19" i="177"/>
  <c r="V31" i="177"/>
  <c r="V14" i="177"/>
  <c r="V26" i="177"/>
  <c r="V9" i="177"/>
  <c r="V21" i="177"/>
  <c r="V33" i="177"/>
  <c r="V4" i="177"/>
  <c r="V16" i="177"/>
  <c r="V28" i="177"/>
  <c r="V11" i="177"/>
  <c r="V23" i="177"/>
  <c r="V35" i="177"/>
  <c r="V6" i="177"/>
  <c r="V18" i="177"/>
  <c r="V30" i="177"/>
  <c r="V8" i="177"/>
  <c r="V20" i="177"/>
  <c r="V32" i="177"/>
  <c r="V27" i="177"/>
  <c r="V37" i="177"/>
  <c r="V49" i="177"/>
  <c r="V61" i="177"/>
  <c r="V39" i="177"/>
  <c r="V51" i="177"/>
  <c r="V63" i="177"/>
  <c r="V46" i="177"/>
  <c r="V58" i="177"/>
  <c r="V41" i="177"/>
  <c r="V53" i="177"/>
  <c r="V48" i="177"/>
  <c r="V60" i="177"/>
  <c r="V43" i="177"/>
  <c r="V55" i="177"/>
  <c r="V38" i="177"/>
  <c r="V50" i="177"/>
  <c r="V62" i="177"/>
  <c r="V40" i="177"/>
  <c r="V52" i="177"/>
  <c r="V45" i="177"/>
  <c r="V59" i="177"/>
  <c r="V64" i="177"/>
  <c r="V76" i="177"/>
  <c r="V13" i="177"/>
  <c r="V44" i="177"/>
  <c r="V66" i="177"/>
  <c r="V78" i="177"/>
  <c r="V57" i="177"/>
  <c r="V73" i="177"/>
  <c r="V15" i="177"/>
  <c r="V68" i="177"/>
  <c r="V80" i="177"/>
  <c r="V42" i="177"/>
  <c r="V75" i="177"/>
  <c r="V56" i="177"/>
  <c r="V70" i="177"/>
  <c r="V82" i="177"/>
  <c r="V65" i="177"/>
  <c r="V77" i="177"/>
  <c r="V71" i="177"/>
  <c r="V88" i="177"/>
  <c r="V100" i="177"/>
  <c r="V85" i="177"/>
  <c r="V95" i="177"/>
  <c r="V74" i="177"/>
  <c r="V86" i="177"/>
  <c r="V90" i="177"/>
  <c r="V102" i="177"/>
  <c r="V47" i="177"/>
  <c r="V97" i="177"/>
  <c r="V84" i="177"/>
  <c r="V92" i="177"/>
  <c r="V79" i="177"/>
  <c r="V87" i="177"/>
  <c r="V94" i="177"/>
  <c r="V67" i="177"/>
  <c r="V89" i="177"/>
  <c r="V25" i="177"/>
  <c r="V96" i="177"/>
  <c r="V81" i="177"/>
  <c r="V91" i="177"/>
  <c r="V98" i="177"/>
  <c r="V101" i="177"/>
  <c r="V116" i="177"/>
  <c r="V129" i="177"/>
  <c r="V54" i="177"/>
  <c r="V69" i="177"/>
  <c r="V103" i="177"/>
  <c r="V111" i="177"/>
  <c r="V124" i="177"/>
  <c r="V106" i="177"/>
  <c r="V118" i="177"/>
  <c r="V113" i="177"/>
  <c r="V126" i="177"/>
  <c r="V108" i="177"/>
  <c r="V121" i="177"/>
  <c r="V104" i="177"/>
  <c r="V115" i="177"/>
  <c r="V128" i="177"/>
  <c r="V110" i="177"/>
  <c r="V123" i="177"/>
  <c r="V117" i="177"/>
  <c r="V93" i="177"/>
  <c r="V112" i="177"/>
  <c r="V125" i="177"/>
  <c r="V107" i="177"/>
  <c r="V119" i="177"/>
  <c r="V99" i="177"/>
  <c r="V105" i="177"/>
  <c r="V114" i="177"/>
  <c r="V127" i="177"/>
  <c r="V137" i="177"/>
  <c r="V149" i="177"/>
  <c r="V109" i="177"/>
  <c r="V130" i="177"/>
  <c r="V144" i="177"/>
  <c r="V133" i="177"/>
  <c r="V139" i="177"/>
  <c r="V151" i="177"/>
  <c r="V3" i="177"/>
  <c r="V72" i="177"/>
  <c r="V146" i="177"/>
  <c r="V141" i="177"/>
  <c r="V153" i="177"/>
  <c r="V131" i="177"/>
  <c r="V136" i="177"/>
  <c r="V148" i="177"/>
  <c r="V83" i="177"/>
  <c r="V143" i="177"/>
  <c r="V134" i="177"/>
  <c r="V138" i="177"/>
  <c r="V150" i="177"/>
  <c r="V122" i="177"/>
  <c r="V145" i="177"/>
  <c r="V157" i="177"/>
  <c r="V132" i="177"/>
  <c r="V147" i="177"/>
  <c r="V152" i="177"/>
  <c r="V154" i="177"/>
  <c r="V156" i="177"/>
  <c r="V140" i="177"/>
  <c r="V155" i="177"/>
  <c r="V135" i="177"/>
  <c r="V142" i="177"/>
  <c r="V221" i="177"/>
  <c r="V209" i="177"/>
  <c r="V197" i="177"/>
  <c r="V217" i="177"/>
  <c r="V205" i="177"/>
  <c r="V193" i="177"/>
  <c r="V211" i="177"/>
  <c r="V191" i="177"/>
  <c r="V183" i="177"/>
  <c r="V215" i="177"/>
  <c r="V202" i="177"/>
  <c r="V218" i="177"/>
  <c r="V214" i="177"/>
  <c r="V204" i="177"/>
  <c r="V199" i="177"/>
  <c r="V189" i="177"/>
  <c r="V219" i="177"/>
  <c r="V216" i="177"/>
  <c r="V186" i="177"/>
  <c r="V182" i="177"/>
  <c r="V176" i="177"/>
  <c r="V164" i="177"/>
  <c r="V207" i="177"/>
  <c r="V192" i="177"/>
  <c r="V222" i="177"/>
  <c r="V213" i="177"/>
  <c r="V181" i="177"/>
  <c r="V172" i="177"/>
  <c r="V206" i="177"/>
  <c r="V195" i="177"/>
  <c r="V190" i="177"/>
  <c r="V167" i="177"/>
  <c r="V208" i="177"/>
  <c r="V203" i="177"/>
  <c r="V198" i="177"/>
  <c r="V184" i="177"/>
  <c r="V179" i="177"/>
  <c r="V170" i="177"/>
  <c r="V212" i="177"/>
  <c r="V180" i="177"/>
  <c r="V168" i="177"/>
  <c r="V159" i="177"/>
  <c r="V173" i="177"/>
  <c r="V171" i="177"/>
  <c r="V166" i="177"/>
  <c r="V162" i="177"/>
  <c r="V175" i="177"/>
  <c r="V185" i="177"/>
  <c r="V177" i="177"/>
  <c r="V194" i="177"/>
  <c r="V188" i="177"/>
  <c r="V187" i="177"/>
  <c r="V165" i="177"/>
  <c r="V174" i="177"/>
  <c r="V210" i="177"/>
  <c r="V200" i="177"/>
  <c r="V220" i="177"/>
  <c r="V201" i="177"/>
  <c r="V196" i="177"/>
  <c r="V178" i="177"/>
  <c r="V169" i="177"/>
  <c r="V161" i="177"/>
  <c r="V160" i="177"/>
  <c r="V163" i="177"/>
  <c r="W1" i="177"/>
  <c r="F188" i="175"/>
  <c r="F171" i="175"/>
  <c r="F180" i="175"/>
  <c r="F98" i="175"/>
  <c r="F28" i="175"/>
  <c r="F38" i="175"/>
  <c r="F37" i="175"/>
  <c r="F36" i="175"/>
  <c r="F35" i="175"/>
  <c r="F34" i="175"/>
  <c r="F80" i="175"/>
  <c r="F169" i="175"/>
  <c r="F182" i="175"/>
  <c r="F159" i="175"/>
  <c r="F184" i="175"/>
  <c r="F214" i="175"/>
  <c r="F174" i="175"/>
  <c r="F187" i="175"/>
  <c r="F165" i="175"/>
  <c r="F207" i="175"/>
  <c r="F209" i="175"/>
  <c r="G23" i="175"/>
  <c r="G65" i="175"/>
  <c r="G141" i="175"/>
  <c r="F26" i="175"/>
  <c r="F21" i="175"/>
  <c r="F33" i="175"/>
  <c r="F4" i="175"/>
  <c r="F16" i="175"/>
  <c r="F23" i="175"/>
  <c r="F6" i="175"/>
  <c r="F18" i="175"/>
  <c r="F30" i="175"/>
  <c r="F25" i="175"/>
  <c r="F27" i="175"/>
  <c r="F46" i="175"/>
  <c r="F41" i="175"/>
  <c r="F53" i="175"/>
  <c r="F17" i="175"/>
  <c r="F48" i="175"/>
  <c r="F24" i="175"/>
  <c r="F43" i="175"/>
  <c r="F7" i="175"/>
  <c r="F31" i="175"/>
  <c r="F50" i="175"/>
  <c r="F32" i="175"/>
  <c r="F45" i="175"/>
  <c r="F15" i="175"/>
  <c r="F40" i="175"/>
  <c r="F52" i="175"/>
  <c r="F5" i="175"/>
  <c r="F29" i="175"/>
  <c r="F42" i="175"/>
  <c r="F54" i="175"/>
  <c r="F19" i="175"/>
  <c r="F44" i="175"/>
  <c r="F66" i="175"/>
  <c r="F78" i="175"/>
  <c r="F61" i="175"/>
  <c r="F73" i="175"/>
  <c r="F39" i="175"/>
  <c r="F56" i="175"/>
  <c r="F68" i="175"/>
  <c r="F47" i="175"/>
  <c r="F63" i="175"/>
  <c r="F75" i="175"/>
  <c r="F58" i="175"/>
  <c r="F70" i="175"/>
  <c r="F65" i="175"/>
  <c r="F77" i="175"/>
  <c r="F62" i="175"/>
  <c r="F74" i="175"/>
  <c r="F57" i="175"/>
  <c r="F69" i="175"/>
  <c r="F64" i="175"/>
  <c r="F76" i="175"/>
  <c r="F87" i="175"/>
  <c r="F100" i="175"/>
  <c r="F82" i="175"/>
  <c r="F94" i="175"/>
  <c r="F20" i="175"/>
  <c r="F59" i="175"/>
  <c r="F89" i="175"/>
  <c r="F102" i="175"/>
  <c r="F22" i="175"/>
  <c r="F79" i="175"/>
  <c r="F84" i="175"/>
  <c r="F96" i="175"/>
  <c r="F49" i="175"/>
  <c r="F67" i="175"/>
  <c r="F91" i="175"/>
  <c r="F104" i="175"/>
  <c r="F86" i="175"/>
  <c r="F99" i="175"/>
  <c r="F51" i="175"/>
  <c r="F83" i="175"/>
  <c r="F95" i="175"/>
  <c r="F60" i="175"/>
  <c r="F90" i="175"/>
  <c r="F103" i="175"/>
  <c r="F85" i="175"/>
  <c r="F97" i="175"/>
  <c r="F72" i="175"/>
  <c r="F81" i="175"/>
  <c r="F105" i="175"/>
  <c r="F109" i="175"/>
  <c r="F121" i="175"/>
  <c r="F116" i="175"/>
  <c r="F128" i="175"/>
  <c r="F92" i="175"/>
  <c r="F111" i="175"/>
  <c r="F123" i="175"/>
  <c r="F118" i="175"/>
  <c r="F130" i="175"/>
  <c r="F55" i="175"/>
  <c r="F101" i="175"/>
  <c r="F113" i="175"/>
  <c r="F125" i="175"/>
  <c r="F108" i="175"/>
  <c r="F120" i="175"/>
  <c r="F106" i="175"/>
  <c r="F115" i="175"/>
  <c r="F127" i="175"/>
  <c r="F117" i="175"/>
  <c r="F129" i="175"/>
  <c r="F93" i="175"/>
  <c r="F112" i="175"/>
  <c r="F124" i="175"/>
  <c r="F107" i="175"/>
  <c r="F119" i="175"/>
  <c r="F138" i="175"/>
  <c r="F150" i="175"/>
  <c r="F114" i="175"/>
  <c r="F131" i="175"/>
  <c r="F133" i="175"/>
  <c r="F145" i="175"/>
  <c r="F140" i="175"/>
  <c r="F152" i="175"/>
  <c r="F126" i="175"/>
  <c r="F135" i="175"/>
  <c r="F147" i="175"/>
  <c r="F110" i="175"/>
  <c r="F142" i="175"/>
  <c r="F154" i="175"/>
  <c r="F137" i="175"/>
  <c r="F149" i="175"/>
  <c r="F122" i="175"/>
  <c r="F132" i="175"/>
  <c r="F144" i="175"/>
  <c r="F156" i="175"/>
  <c r="F88" i="175"/>
  <c r="F134" i="175"/>
  <c r="F146" i="175"/>
  <c r="F136" i="175"/>
  <c r="F148" i="175"/>
  <c r="F143" i="175"/>
  <c r="F155" i="175"/>
  <c r="F71" i="175"/>
  <c r="F139" i="175"/>
  <c r="F153" i="175"/>
  <c r="F151" i="175"/>
  <c r="F3" i="175"/>
  <c r="F141" i="175"/>
  <c r="G197" i="175"/>
  <c r="G196" i="175"/>
  <c r="G172" i="175"/>
  <c r="G169" i="175"/>
  <c r="G166" i="175" l="1"/>
  <c r="G135" i="175"/>
  <c r="G124" i="175"/>
  <c r="G130" i="175"/>
  <c r="G114" i="175"/>
  <c r="G64" i="175"/>
  <c r="G58" i="175"/>
  <c r="G5" i="175"/>
  <c r="G48" i="175"/>
  <c r="G37" i="175"/>
  <c r="H1" i="175"/>
  <c r="H157" i="175" s="1"/>
  <c r="G212" i="175"/>
  <c r="G181" i="175"/>
  <c r="G195" i="175"/>
  <c r="G220" i="175"/>
  <c r="G221" i="175"/>
  <c r="G3" i="175"/>
  <c r="G139" i="175"/>
  <c r="G140" i="175"/>
  <c r="G93" i="175"/>
  <c r="G123" i="175"/>
  <c r="G103" i="175"/>
  <c r="G84" i="175"/>
  <c r="G57" i="175"/>
  <c r="G75" i="175"/>
  <c r="G59" i="175"/>
  <c r="G53" i="175"/>
  <c r="G4" i="175"/>
  <c r="G38" i="175"/>
  <c r="W158" i="177"/>
  <c r="W120" i="177"/>
  <c r="G134" i="175"/>
  <c r="G129" i="175"/>
  <c r="G119" i="175"/>
  <c r="G117" i="175"/>
  <c r="G111" i="175"/>
  <c r="G90" i="175"/>
  <c r="G102" i="175"/>
  <c r="G54" i="175"/>
  <c r="G63" i="175"/>
  <c r="G49" i="175"/>
  <c r="G41" i="175"/>
  <c r="G33" i="175"/>
  <c r="G28" i="175"/>
  <c r="G152" i="175"/>
  <c r="G118" i="175"/>
  <c r="G96" i="175"/>
  <c r="G69" i="175"/>
  <c r="G44" i="175"/>
  <c r="G71" i="175"/>
  <c r="G16" i="175"/>
  <c r="G35" i="175"/>
  <c r="G162" i="175"/>
  <c r="G188" i="175"/>
  <c r="G186" i="175"/>
  <c r="G168" i="175"/>
  <c r="G215" i="175"/>
  <c r="G216" i="175"/>
  <c r="G156" i="175"/>
  <c r="G127" i="175"/>
  <c r="G145" i="175"/>
  <c r="G122" i="175"/>
  <c r="G86" i="175"/>
  <c r="G60" i="175"/>
  <c r="G89" i="175"/>
  <c r="G29" i="175"/>
  <c r="G68" i="175"/>
  <c r="G47" i="175"/>
  <c r="G46" i="175"/>
  <c r="G21" i="175"/>
  <c r="G98" i="175"/>
  <c r="G167" i="175"/>
  <c r="G163" i="175"/>
  <c r="G176" i="175"/>
  <c r="G187" i="175"/>
  <c r="G210" i="175"/>
  <c r="G206" i="175"/>
  <c r="G144" i="175"/>
  <c r="G106" i="175"/>
  <c r="G133" i="175"/>
  <c r="G110" i="175"/>
  <c r="G128" i="175"/>
  <c r="G95" i="175"/>
  <c r="G94" i="175"/>
  <c r="G74" i="175"/>
  <c r="G56" i="175"/>
  <c r="G22" i="175"/>
  <c r="G27" i="175"/>
  <c r="G26" i="175"/>
  <c r="G12" i="175"/>
  <c r="G171" i="175"/>
  <c r="G201" i="175"/>
  <c r="G164" i="175"/>
  <c r="G174" i="175"/>
  <c r="G198" i="175"/>
  <c r="G211" i="175"/>
  <c r="G159" i="175"/>
  <c r="G183" i="175"/>
  <c r="G191" i="175"/>
  <c r="G200" i="175"/>
  <c r="G193" i="175"/>
  <c r="G218" i="175"/>
  <c r="G146" i="175"/>
  <c r="G149" i="175"/>
  <c r="G131" i="175"/>
  <c r="G85" i="175"/>
  <c r="G116" i="175"/>
  <c r="G83" i="175"/>
  <c r="G82" i="175"/>
  <c r="G62" i="175"/>
  <c r="G15" i="175"/>
  <c r="G45" i="175"/>
  <c r="G51" i="175"/>
  <c r="G31" i="175"/>
  <c r="G14" i="175"/>
  <c r="G132" i="175"/>
  <c r="G115" i="175"/>
  <c r="G138" i="175"/>
  <c r="G108" i="175"/>
  <c r="G109" i="175"/>
  <c r="G101" i="175"/>
  <c r="G100" i="175"/>
  <c r="G79" i="175"/>
  <c r="G61" i="175"/>
  <c r="G50" i="175"/>
  <c r="G20" i="175"/>
  <c r="G7" i="175"/>
  <c r="G13" i="175"/>
  <c r="G120" i="175"/>
  <c r="G8" i="175"/>
  <c r="G161" i="175"/>
  <c r="G203" i="175"/>
  <c r="G175" i="175"/>
  <c r="G173" i="175"/>
  <c r="G217" i="175"/>
  <c r="G165" i="175"/>
  <c r="G190" i="175"/>
  <c r="G180" i="175"/>
  <c r="G185" i="175"/>
  <c r="G207" i="175"/>
  <c r="G148" i="175"/>
  <c r="G154" i="175"/>
  <c r="G107" i="175"/>
  <c r="G125" i="175"/>
  <c r="G81" i="175"/>
  <c r="G88" i="175"/>
  <c r="G87" i="175"/>
  <c r="G67" i="175"/>
  <c r="G78" i="175"/>
  <c r="G25" i="175"/>
  <c r="G30" i="175"/>
  <c r="G80" i="175"/>
  <c r="G9" i="175"/>
  <c r="G199" i="175"/>
  <c r="G182" i="175"/>
  <c r="G178" i="175"/>
  <c r="G208" i="175"/>
  <c r="G209" i="175"/>
  <c r="G151" i="175"/>
  <c r="G112" i="175"/>
  <c r="G99" i="175"/>
  <c r="G17" i="175"/>
  <c r="G160" i="175"/>
  <c r="G202" i="175"/>
  <c r="G194" i="175"/>
  <c r="G204" i="175"/>
  <c r="G205" i="175"/>
  <c r="G77" i="175"/>
  <c r="G137" i="175"/>
  <c r="G150" i="175"/>
  <c r="G121" i="175"/>
  <c r="G52" i="175"/>
  <c r="G76" i="175"/>
  <c r="G40" i="175"/>
  <c r="G73" i="175"/>
  <c r="G32" i="175"/>
  <c r="G39" i="175"/>
  <c r="G19" i="175"/>
  <c r="G179" i="175"/>
  <c r="G213" i="175"/>
  <c r="G170" i="175"/>
  <c r="G177" i="175"/>
  <c r="G219" i="175"/>
  <c r="G136" i="175"/>
  <c r="G142" i="175"/>
  <c r="G155" i="175"/>
  <c r="G113" i="175"/>
  <c r="G72" i="175"/>
  <c r="G104" i="175"/>
  <c r="G105" i="175"/>
  <c r="G55" i="175"/>
  <c r="G66" i="175"/>
  <c r="G43" i="175"/>
  <c r="G18" i="175"/>
  <c r="G36" i="175"/>
  <c r="G10" i="175"/>
  <c r="G184" i="175"/>
  <c r="G158" i="175"/>
  <c r="G192" i="175"/>
  <c r="G189" i="175"/>
  <c r="G214" i="175"/>
  <c r="G153" i="175"/>
  <c r="G147" i="175"/>
  <c r="G143" i="175"/>
  <c r="G97" i="175"/>
  <c r="G126" i="175"/>
  <c r="G91" i="175"/>
  <c r="G92" i="175"/>
  <c r="G70" i="175"/>
  <c r="G42" i="175"/>
  <c r="G24" i="175"/>
  <c r="G6" i="175"/>
  <c r="G34" i="175"/>
  <c r="G11" i="175"/>
  <c r="H11" i="175"/>
  <c r="H8" i="175"/>
  <c r="W15" i="177"/>
  <c r="W27" i="177"/>
  <c r="W10" i="177"/>
  <c r="W22" i="177"/>
  <c r="W34" i="177"/>
  <c r="W5" i="177"/>
  <c r="W17" i="177"/>
  <c r="W29" i="177"/>
  <c r="W12" i="177"/>
  <c r="W24" i="177"/>
  <c r="W36" i="177"/>
  <c r="W7" i="177"/>
  <c r="W19" i="177"/>
  <c r="W31" i="177"/>
  <c r="W14" i="177"/>
  <c r="W26" i="177"/>
  <c r="W9" i="177"/>
  <c r="W21" i="177"/>
  <c r="W33" i="177"/>
  <c r="W4" i="177"/>
  <c r="W16" i="177"/>
  <c r="W28" i="177"/>
  <c r="W11" i="177"/>
  <c r="W23" i="177"/>
  <c r="W35" i="177"/>
  <c r="W13" i="177"/>
  <c r="W25" i="177"/>
  <c r="W20" i="177"/>
  <c r="W42" i="177"/>
  <c r="W54" i="177"/>
  <c r="W32" i="177"/>
  <c r="W44" i="177"/>
  <c r="W56" i="177"/>
  <c r="W30" i="177"/>
  <c r="W39" i="177"/>
  <c r="W51" i="177"/>
  <c r="W63" i="177"/>
  <c r="W46" i="177"/>
  <c r="W58" i="177"/>
  <c r="W41" i="177"/>
  <c r="W53" i="177"/>
  <c r="W48" i="177"/>
  <c r="W60" i="177"/>
  <c r="W43" i="177"/>
  <c r="W55" i="177"/>
  <c r="W45" i="177"/>
  <c r="W57" i="177"/>
  <c r="W38" i="177"/>
  <c r="W52" i="177"/>
  <c r="W69" i="177"/>
  <c r="W81" i="177"/>
  <c r="W6" i="177"/>
  <c r="W59" i="177"/>
  <c r="W64" i="177"/>
  <c r="W37" i="177"/>
  <c r="W71" i="177"/>
  <c r="W50" i="177"/>
  <c r="W66" i="177"/>
  <c r="W78" i="177"/>
  <c r="W8" i="177"/>
  <c r="W73" i="177"/>
  <c r="W85" i="177"/>
  <c r="W68" i="177"/>
  <c r="W80" i="177"/>
  <c r="W49" i="177"/>
  <c r="W75" i="177"/>
  <c r="W62" i="177"/>
  <c r="W70" i="177"/>
  <c r="W82" i="177"/>
  <c r="W72" i="177"/>
  <c r="W83" i="177"/>
  <c r="W93" i="177"/>
  <c r="W105" i="177"/>
  <c r="W88" i="177"/>
  <c r="W100" i="177"/>
  <c r="W95" i="177"/>
  <c r="W74" i="177"/>
  <c r="W86" i="177"/>
  <c r="W90" i="177"/>
  <c r="W47" i="177"/>
  <c r="W77" i="177"/>
  <c r="W97" i="177"/>
  <c r="W99" i="177"/>
  <c r="W79" i="177"/>
  <c r="W87" i="177"/>
  <c r="W94" i="177"/>
  <c r="W67" i="177"/>
  <c r="W89" i="177"/>
  <c r="W40" i="177"/>
  <c r="W65" i="177"/>
  <c r="W96" i="177"/>
  <c r="W18" i="177"/>
  <c r="W76" i="177"/>
  <c r="W92" i="177"/>
  <c r="W109" i="177"/>
  <c r="W122" i="177"/>
  <c r="W134" i="177"/>
  <c r="W98" i="177"/>
  <c r="W101" i="177"/>
  <c r="W116" i="177"/>
  <c r="W103" i="177"/>
  <c r="W111" i="177"/>
  <c r="W124" i="177"/>
  <c r="W84" i="177"/>
  <c r="W106" i="177"/>
  <c r="W118" i="177"/>
  <c r="W91" i="177"/>
  <c r="W113" i="177"/>
  <c r="W126" i="177"/>
  <c r="W108" i="177"/>
  <c r="W121" i="177"/>
  <c r="W104" i="177"/>
  <c r="W115" i="177"/>
  <c r="W128" i="177"/>
  <c r="W110" i="177"/>
  <c r="W123" i="177"/>
  <c r="W61" i="177"/>
  <c r="W117" i="177"/>
  <c r="W112" i="177"/>
  <c r="W125" i="177"/>
  <c r="W107" i="177"/>
  <c r="W119" i="177"/>
  <c r="W135" i="177"/>
  <c r="W142" i="177"/>
  <c r="W154" i="177"/>
  <c r="W137" i="177"/>
  <c r="W149" i="177"/>
  <c r="W114" i="177"/>
  <c r="W130" i="177"/>
  <c r="W144" i="177"/>
  <c r="W156" i="177"/>
  <c r="W133" i="177"/>
  <c r="W139" i="177"/>
  <c r="W151" i="177"/>
  <c r="W146" i="177"/>
  <c r="W141" i="177"/>
  <c r="W153" i="177"/>
  <c r="W131" i="177"/>
  <c r="W136" i="177"/>
  <c r="W148" i="177"/>
  <c r="W143" i="177"/>
  <c r="W102" i="177"/>
  <c r="W138" i="177"/>
  <c r="W150" i="177"/>
  <c r="W140" i="177"/>
  <c r="W152" i="177"/>
  <c r="W127" i="177"/>
  <c r="W145" i="177"/>
  <c r="W157" i="177"/>
  <c r="W129" i="177"/>
  <c r="W3" i="177"/>
  <c r="W132" i="177"/>
  <c r="W155" i="177"/>
  <c r="W147" i="177"/>
  <c r="W214" i="177"/>
  <c r="W202" i="177"/>
  <c r="W190" i="177"/>
  <c r="W222" i="177"/>
  <c r="W210" i="177"/>
  <c r="W198" i="177"/>
  <c r="W217" i="177"/>
  <c r="W204" i="177"/>
  <c r="W188" i="177"/>
  <c r="W208" i="177"/>
  <c r="W195" i="177"/>
  <c r="W184" i="177"/>
  <c r="W219" i="177"/>
  <c r="W209" i="177"/>
  <c r="W221" i="177"/>
  <c r="W207" i="177"/>
  <c r="W197" i="177"/>
  <c r="W192" i="177"/>
  <c r="W169" i="177"/>
  <c r="W212" i="177"/>
  <c r="W185" i="177"/>
  <c r="W218" i="177"/>
  <c r="W194" i="177"/>
  <c r="W177" i="177"/>
  <c r="W165" i="177"/>
  <c r="W216" i="177"/>
  <c r="W211" i="177"/>
  <c r="W200" i="177"/>
  <c r="W183" i="177"/>
  <c r="W173" i="177"/>
  <c r="W163" i="177"/>
  <c r="W176" i="177"/>
  <c r="W201" i="177"/>
  <c r="W196" i="177"/>
  <c r="W191" i="177"/>
  <c r="W174" i="177"/>
  <c r="W161" i="177"/>
  <c r="W166" i="177"/>
  <c r="W164" i="177"/>
  <c r="W162" i="177"/>
  <c r="W175" i="177"/>
  <c r="W203" i="177"/>
  <c r="W193" i="177"/>
  <c r="W187" i="177"/>
  <c r="W186" i="177"/>
  <c r="W182" i="177"/>
  <c r="W181" i="177"/>
  <c r="W199" i="177"/>
  <c r="W189" i="177"/>
  <c r="W180" i="177"/>
  <c r="W167" i="177"/>
  <c r="W220" i="177"/>
  <c r="W205" i="177"/>
  <c r="W179" i="177"/>
  <c r="W160" i="177"/>
  <c r="W215" i="177"/>
  <c r="W213" i="177"/>
  <c r="W206" i="177"/>
  <c r="W171" i="177"/>
  <c r="W168" i="177"/>
  <c r="W159" i="177"/>
  <c r="W178" i="177"/>
  <c r="W170" i="177"/>
  <c r="W172" i="177"/>
  <c r="X1" i="177"/>
  <c r="H205" i="175"/>
  <c r="H180" i="175"/>
  <c r="H110" i="175" l="1"/>
  <c r="H127" i="175"/>
  <c r="H71" i="175"/>
  <c r="H52" i="175"/>
  <c r="H201" i="175"/>
  <c r="H116" i="175"/>
  <c r="H23" i="175"/>
  <c r="H95" i="175"/>
  <c r="H189" i="175"/>
  <c r="H50" i="175"/>
  <c r="H220" i="175"/>
  <c r="H16" i="175"/>
  <c r="H203" i="175"/>
  <c r="H101" i="175"/>
  <c r="H7" i="175"/>
  <c r="H146" i="175"/>
  <c r="H87" i="175"/>
  <c r="H37" i="175"/>
  <c r="H199" i="175"/>
  <c r="H100" i="175"/>
  <c r="H80" i="175"/>
  <c r="H62" i="175"/>
  <c r="H115" i="175"/>
  <c r="H156" i="175"/>
  <c r="H38" i="175"/>
  <c r="H112" i="175"/>
  <c r="H163" i="175"/>
  <c r="H32" i="175"/>
  <c r="H192" i="175"/>
  <c r="H67" i="175"/>
  <c r="H150" i="175"/>
  <c r="H183" i="175"/>
  <c r="H122" i="175"/>
  <c r="H72" i="175"/>
  <c r="H187" i="175"/>
  <c r="H144" i="175"/>
  <c r="H88" i="175"/>
  <c r="H25" i="175"/>
  <c r="H165" i="175"/>
  <c r="H211" i="175"/>
  <c r="H104" i="175"/>
  <c r="H59" i="175"/>
  <c r="H204" i="175"/>
  <c r="H90" i="175"/>
  <c r="H107" i="175"/>
  <c r="H5" i="175"/>
  <c r="H174" i="175"/>
  <c r="H206" i="175"/>
  <c r="H149" i="175"/>
  <c r="H138" i="175"/>
  <c r="H121" i="175"/>
  <c r="H92" i="175"/>
  <c r="H76" i="175"/>
  <c r="H4" i="175"/>
  <c r="I1" i="175"/>
  <c r="I157" i="175" s="1"/>
  <c r="H160" i="175"/>
  <c r="H215" i="175"/>
  <c r="H132" i="175"/>
  <c r="H106" i="175"/>
  <c r="H93" i="175"/>
  <c r="H49" i="175"/>
  <c r="H43" i="175"/>
  <c r="H35" i="175"/>
  <c r="H177" i="175"/>
  <c r="H195" i="175"/>
  <c r="H202" i="175"/>
  <c r="H152" i="175"/>
  <c r="H123" i="175"/>
  <c r="H22" i="175"/>
  <c r="H73" i="175"/>
  <c r="H27" i="175"/>
  <c r="H164" i="175"/>
  <c r="H181" i="175"/>
  <c r="H198" i="175"/>
  <c r="H120" i="175"/>
  <c r="H103" i="175"/>
  <c r="H81" i="175"/>
  <c r="H75" i="175"/>
  <c r="H18" i="175"/>
  <c r="H36" i="175"/>
  <c r="H158" i="175"/>
  <c r="H175" i="175"/>
  <c r="H209" i="175"/>
  <c r="H140" i="175"/>
  <c r="H111" i="175"/>
  <c r="H94" i="175"/>
  <c r="H61" i="175"/>
  <c r="H51" i="175"/>
  <c r="H168" i="175"/>
  <c r="H207" i="175"/>
  <c r="H216" i="175"/>
  <c r="H133" i="175"/>
  <c r="H128" i="175"/>
  <c r="H70" i="175"/>
  <c r="H66" i="175"/>
  <c r="H44" i="175"/>
  <c r="H169" i="175"/>
  <c r="H173" i="175"/>
  <c r="H196" i="175"/>
  <c r="H208" i="175"/>
  <c r="H221" i="175"/>
  <c r="H134" i="175"/>
  <c r="H145" i="175"/>
  <c r="H58" i="175"/>
  <c r="H86" i="175"/>
  <c r="H83" i="175"/>
  <c r="H82" i="175"/>
  <c r="H55" i="175"/>
  <c r="H78" i="175"/>
  <c r="H40" i="175"/>
  <c r="H20" i="175"/>
  <c r="H34" i="175"/>
  <c r="H176" i="175"/>
  <c r="H179" i="175"/>
  <c r="H186" i="175"/>
  <c r="H178" i="175"/>
  <c r="H210" i="175"/>
  <c r="H151" i="175"/>
  <c r="H154" i="175"/>
  <c r="H155" i="175"/>
  <c r="H57" i="175"/>
  <c r="H109" i="175"/>
  <c r="H96" i="175"/>
  <c r="H65" i="175"/>
  <c r="H63" i="175"/>
  <c r="H64" i="175"/>
  <c r="H48" i="175"/>
  <c r="H33" i="175"/>
  <c r="H28" i="175"/>
  <c r="H184" i="175"/>
  <c r="H191" i="175"/>
  <c r="H194" i="175"/>
  <c r="H217" i="175"/>
  <c r="H137" i="175"/>
  <c r="H142" i="175"/>
  <c r="H143" i="175"/>
  <c r="H125" i="175"/>
  <c r="H114" i="175"/>
  <c r="H84" i="175"/>
  <c r="H97" i="175"/>
  <c r="H6" i="175"/>
  <c r="H45" i="175"/>
  <c r="H17" i="175"/>
  <c r="H21" i="175"/>
  <c r="H98" i="175"/>
  <c r="H159" i="175"/>
  <c r="H200" i="175"/>
  <c r="H162" i="175"/>
  <c r="H170" i="175"/>
  <c r="H212" i="175"/>
  <c r="H139" i="175"/>
  <c r="H108" i="175"/>
  <c r="H148" i="175"/>
  <c r="H91" i="175"/>
  <c r="H99" i="175"/>
  <c r="H102" i="175"/>
  <c r="H85" i="175"/>
  <c r="H68" i="175"/>
  <c r="H54" i="175"/>
  <c r="H53" i="175"/>
  <c r="H26" i="175"/>
  <c r="H166" i="175"/>
  <c r="H161" i="175"/>
  <c r="H167" i="175"/>
  <c r="H182" i="175"/>
  <c r="H219" i="175"/>
  <c r="H3" i="175"/>
  <c r="H147" i="175"/>
  <c r="H129" i="175"/>
  <c r="H130" i="175"/>
  <c r="H131" i="175"/>
  <c r="H89" i="175"/>
  <c r="H77" i="175"/>
  <c r="H56" i="175"/>
  <c r="H42" i="175"/>
  <c r="H41" i="175"/>
  <c r="H31" i="175"/>
  <c r="H172" i="175"/>
  <c r="H188" i="175"/>
  <c r="H185" i="175"/>
  <c r="H218" i="175"/>
  <c r="H190" i="175"/>
  <c r="H153" i="175"/>
  <c r="H124" i="175"/>
  <c r="H117" i="175"/>
  <c r="H118" i="175"/>
  <c r="H119" i="175"/>
  <c r="H79" i="175"/>
  <c r="H74" i="175"/>
  <c r="H47" i="175"/>
  <c r="H29" i="175"/>
  <c r="H46" i="175"/>
  <c r="H19" i="175"/>
  <c r="H197" i="175"/>
  <c r="H193" i="175"/>
  <c r="H171" i="175"/>
  <c r="H213" i="175"/>
  <c r="H214" i="175"/>
  <c r="H141" i="175"/>
  <c r="H135" i="175"/>
  <c r="H136" i="175"/>
  <c r="H113" i="175"/>
  <c r="H126" i="175"/>
  <c r="H69" i="175"/>
  <c r="H105" i="175"/>
  <c r="H60" i="175"/>
  <c r="H30" i="175"/>
  <c r="H15" i="175"/>
  <c r="H39" i="175"/>
  <c r="H24" i="175"/>
  <c r="H12" i="175"/>
  <c r="H9" i="175"/>
  <c r="H10" i="175"/>
  <c r="H13" i="175"/>
  <c r="H14" i="175"/>
  <c r="X158" i="177"/>
  <c r="X120" i="177"/>
  <c r="X8" i="177"/>
  <c r="X20" i="177"/>
  <c r="X32" i="177"/>
  <c r="X15" i="177"/>
  <c r="X27" i="177"/>
  <c r="X10" i="177"/>
  <c r="X22" i="177"/>
  <c r="X34" i="177"/>
  <c r="X5" i="177"/>
  <c r="X17" i="177"/>
  <c r="X29" i="177"/>
  <c r="X12" i="177"/>
  <c r="X24" i="177"/>
  <c r="X36" i="177"/>
  <c r="X7" i="177"/>
  <c r="X19" i="177"/>
  <c r="X31" i="177"/>
  <c r="X14" i="177"/>
  <c r="X26" i="177"/>
  <c r="X9" i="177"/>
  <c r="X21" i="177"/>
  <c r="X33" i="177"/>
  <c r="X4" i="177"/>
  <c r="X16" i="177"/>
  <c r="X28" i="177"/>
  <c r="X6" i="177"/>
  <c r="X18" i="177"/>
  <c r="X30" i="177"/>
  <c r="X13" i="177"/>
  <c r="X47" i="177"/>
  <c r="X59" i="177"/>
  <c r="X25" i="177"/>
  <c r="X37" i="177"/>
  <c r="X49" i="177"/>
  <c r="X61" i="177"/>
  <c r="X23" i="177"/>
  <c r="X44" i="177"/>
  <c r="X56" i="177"/>
  <c r="X39" i="177"/>
  <c r="X51" i="177"/>
  <c r="X63" i="177"/>
  <c r="X35" i="177"/>
  <c r="X46" i="177"/>
  <c r="X58" i="177"/>
  <c r="X41" i="177"/>
  <c r="X53" i="177"/>
  <c r="X48" i="177"/>
  <c r="X60" i="177"/>
  <c r="X38" i="177"/>
  <c r="X50" i="177"/>
  <c r="X62" i="177"/>
  <c r="X45" i="177"/>
  <c r="X74" i="177"/>
  <c r="X86" i="177"/>
  <c r="X52" i="177"/>
  <c r="X64" i="177"/>
  <c r="X76" i="177"/>
  <c r="X43" i="177"/>
  <c r="X71" i="177"/>
  <c r="X57" i="177"/>
  <c r="X66" i="177"/>
  <c r="X78" i="177"/>
  <c r="X73" i="177"/>
  <c r="X42" i="177"/>
  <c r="X68" i="177"/>
  <c r="X80" i="177"/>
  <c r="X55" i="177"/>
  <c r="X75" i="177"/>
  <c r="X98" i="177"/>
  <c r="X72" i="177"/>
  <c r="X83" i="177"/>
  <c r="X93" i="177"/>
  <c r="X11" i="177"/>
  <c r="X85" i="177"/>
  <c r="X88" i="177"/>
  <c r="X100" i="177"/>
  <c r="X95" i="177"/>
  <c r="X90" i="177"/>
  <c r="X84" i="177"/>
  <c r="X92" i="177"/>
  <c r="X99" i="177"/>
  <c r="X79" i="177"/>
  <c r="X87" i="177"/>
  <c r="X94" i="177"/>
  <c r="X67" i="177"/>
  <c r="X82" i="177"/>
  <c r="X89" i="177"/>
  <c r="X102" i="177"/>
  <c r="X114" i="177"/>
  <c r="X127" i="177"/>
  <c r="X65" i="177"/>
  <c r="X109" i="177"/>
  <c r="X122" i="177"/>
  <c r="X54" i="177"/>
  <c r="X69" i="177"/>
  <c r="X101" i="177"/>
  <c r="X116" i="177"/>
  <c r="X77" i="177"/>
  <c r="X97" i="177"/>
  <c r="X103" i="177"/>
  <c r="X111" i="177"/>
  <c r="X124" i="177"/>
  <c r="X40" i="177"/>
  <c r="X70" i="177"/>
  <c r="X81" i="177"/>
  <c r="X106" i="177"/>
  <c r="X118" i="177"/>
  <c r="X91" i="177"/>
  <c r="X113" i="177"/>
  <c r="X126" i="177"/>
  <c r="X108" i="177"/>
  <c r="X121" i="177"/>
  <c r="X96" i="177"/>
  <c r="X104" i="177"/>
  <c r="X115" i="177"/>
  <c r="X128" i="177"/>
  <c r="X110" i="177"/>
  <c r="X123" i="177"/>
  <c r="X117" i="177"/>
  <c r="X112" i="177"/>
  <c r="X125" i="177"/>
  <c r="X132" i="177"/>
  <c r="X147" i="177"/>
  <c r="X135" i="177"/>
  <c r="X142" i="177"/>
  <c r="X137" i="177"/>
  <c r="X149" i="177"/>
  <c r="X105" i="177"/>
  <c r="X119" i="177"/>
  <c r="X130" i="177"/>
  <c r="X144" i="177"/>
  <c r="X133" i="177"/>
  <c r="X139" i="177"/>
  <c r="X151" i="177"/>
  <c r="X146" i="177"/>
  <c r="X141" i="177"/>
  <c r="X153" i="177"/>
  <c r="X131" i="177"/>
  <c r="X136" i="177"/>
  <c r="X148" i="177"/>
  <c r="X107" i="177"/>
  <c r="X134" i="177"/>
  <c r="X143" i="177"/>
  <c r="X155" i="177"/>
  <c r="X129" i="177"/>
  <c r="X145" i="177"/>
  <c r="X138" i="177"/>
  <c r="X157" i="177"/>
  <c r="X152" i="177"/>
  <c r="X150" i="177"/>
  <c r="X140" i="177"/>
  <c r="X154" i="177"/>
  <c r="X156" i="177"/>
  <c r="X3" i="177"/>
  <c r="X219" i="177"/>
  <c r="X207" i="177"/>
  <c r="X195" i="177"/>
  <c r="X215" i="177"/>
  <c r="X203" i="177"/>
  <c r="X191" i="177"/>
  <c r="X210" i="177"/>
  <c r="X197" i="177"/>
  <c r="X181" i="177"/>
  <c r="X221" i="177"/>
  <c r="X201" i="177"/>
  <c r="X189" i="177"/>
  <c r="X214" i="177"/>
  <c r="X200" i="177"/>
  <c r="X190" i="177"/>
  <c r="X183" i="177"/>
  <c r="X220" i="177"/>
  <c r="X212" i="177"/>
  <c r="X202" i="177"/>
  <c r="X185" i="177"/>
  <c r="X174" i="177"/>
  <c r="X162" i="177"/>
  <c r="X222" i="177"/>
  <c r="X217" i="177"/>
  <c r="X193" i="177"/>
  <c r="X179" i="177"/>
  <c r="X199" i="177"/>
  <c r="X170" i="177"/>
  <c r="X216" i="177"/>
  <c r="X211" i="177"/>
  <c r="X205" i="177"/>
  <c r="X166" i="177"/>
  <c r="X176" i="177"/>
  <c r="X186" i="177"/>
  <c r="X182" i="177"/>
  <c r="X175" i="177"/>
  <c r="X169" i="177"/>
  <c r="X206" i="177"/>
  <c r="X167" i="177"/>
  <c r="X192" i="177"/>
  <c r="X168" i="177"/>
  <c r="X208" i="177"/>
  <c r="X198" i="177"/>
  <c r="X187" i="177"/>
  <c r="X184" i="177"/>
  <c r="X194" i="177"/>
  <c r="X188" i="177"/>
  <c r="X180" i="177"/>
  <c r="X209" i="177"/>
  <c r="X204" i="177"/>
  <c r="X218" i="177"/>
  <c r="X160" i="177"/>
  <c r="X161" i="177"/>
  <c r="X178" i="177"/>
  <c r="X213" i="177"/>
  <c r="X196" i="177"/>
  <c r="X173" i="177"/>
  <c r="X164" i="177"/>
  <c r="X171" i="177"/>
  <c r="X165" i="177"/>
  <c r="X159" i="177"/>
  <c r="X172" i="177"/>
  <c r="X163" i="177"/>
  <c r="X177" i="177"/>
  <c r="Y1" i="177"/>
  <c r="I98" i="175"/>
  <c r="I28" i="175"/>
  <c r="I36" i="175"/>
  <c r="I37" i="175"/>
  <c r="I34" i="175"/>
  <c r="I80" i="175"/>
  <c r="I5" i="175"/>
  <c r="I24" i="175"/>
  <c r="I7" i="175"/>
  <c r="I19" i="175"/>
  <c r="I31" i="175"/>
  <c r="I33" i="175"/>
  <c r="I4" i="175"/>
  <c r="I16" i="175"/>
  <c r="I6" i="175"/>
  <c r="I44" i="175"/>
  <c r="I20" i="175"/>
  <c r="I39" i="175"/>
  <c r="I51" i="175"/>
  <c r="I41" i="175"/>
  <c r="I53" i="175"/>
  <c r="I48" i="175"/>
  <c r="I18" i="175"/>
  <c r="I45" i="175"/>
  <c r="I22" i="175"/>
  <c r="I47" i="175"/>
  <c r="I57" i="175"/>
  <c r="I76" i="175"/>
  <c r="I42" i="175"/>
  <c r="I59" i="175"/>
  <c r="I71" i="175"/>
  <c r="I78" i="175"/>
  <c r="I15" i="175"/>
  <c r="I61" i="175"/>
  <c r="I73" i="175"/>
  <c r="I65" i="175"/>
  <c r="I77" i="175"/>
  <c r="I60" i="175"/>
  <c r="I72" i="175"/>
  <c r="I67" i="175"/>
  <c r="I90" i="175"/>
  <c r="I103" i="175"/>
  <c r="I85" i="175"/>
  <c r="I62" i="175"/>
  <c r="I92" i="175"/>
  <c r="I105" i="175"/>
  <c r="I87" i="175"/>
  <c r="I82" i="175"/>
  <c r="I94" i="175"/>
  <c r="I23" i="175"/>
  <c r="I79" i="175"/>
  <c r="I86" i="175"/>
  <c r="I99" i="175"/>
  <c r="I63" i="175"/>
  <c r="I81" i="175"/>
  <c r="I88" i="175"/>
  <c r="I101" i="175"/>
  <c r="I84" i="175"/>
  <c r="I112" i="175"/>
  <c r="I119" i="175"/>
  <c r="I95" i="175"/>
  <c r="I114" i="175"/>
  <c r="I126" i="175"/>
  <c r="I121" i="175"/>
  <c r="I104" i="175"/>
  <c r="I116" i="175"/>
  <c r="I128" i="175"/>
  <c r="I111" i="175"/>
  <c r="I123" i="175"/>
  <c r="I75" i="175"/>
  <c r="I118" i="175"/>
  <c r="I120" i="175"/>
  <c r="I96" i="175"/>
  <c r="I106" i="175"/>
  <c r="I115" i="175"/>
  <c r="I110" i="175"/>
  <c r="I122" i="175"/>
  <c r="I91" i="175"/>
  <c r="I141" i="175"/>
  <c r="I148" i="175"/>
  <c r="I143" i="175"/>
  <c r="I155" i="175"/>
  <c r="I131" i="175"/>
  <c r="I133" i="175"/>
  <c r="I145" i="175"/>
  <c r="I117" i="175"/>
  <c r="I140" i="175"/>
  <c r="I147" i="175"/>
  <c r="I113" i="175"/>
  <c r="I137" i="175"/>
  <c r="I149" i="175"/>
  <c r="I151" i="175"/>
  <c r="I134" i="175"/>
  <c r="I146" i="175"/>
  <c r="I3" i="175"/>
  <c r="I144" i="175"/>
  <c r="I142" i="175"/>
  <c r="I156" i="175"/>
  <c r="I154" i="175"/>
  <c r="I221" i="175"/>
  <c r="I209" i="175"/>
  <c r="I214" i="175"/>
  <c r="I219" i="175"/>
  <c r="I212" i="175"/>
  <c r="I217" i="175"/>
  <c r="I215" i="175"/>
  <c r="I203" i="175"/>
  <c r="I208" i="175"/>
  <c r="I196" i="175"/>
  <c r="I213" i="175"/>
  <c r="I218" i="175"/>
  <c r="I202" i="175"/>
  <c r="I200" i="175"/>
  <c r="I190" i="175"/>
  <c r="I187" i="175"/>
  <c r="I171" i="175"/>
  <c r="I186" i="175"/>
  <c r="I173" i="175"/>
  <c r="I166" i="175"/>
  <c r="I180" i="175"/>
  <c r="I167" i="175"/>
  <c r="I162" i="175"/>
  <c r="I176" i="175"/>
  <c r="I181" i="175"/>
  <c r="I210" i="175"/>
  <c r="I182" i="175"/>
  <c r="I193" i="175"/>
  <c r="I178" i="175"/>
  <c r="I201" i="175"/>
  <c r="I169" i="175"/>
  <c r="I168" i="175"/>
  <c r="I205" i="175"/>
  <c r="I198" i="175"/>
  <c r="I197" i="175"/>
  <c r="I192" i="175"/>
  <c r="I174" i="175"/>
  <c r="I165" i="175"/>
  <c r="I159" i="175"/>
  <c r="I158" i="175"/>
  <c r="I161" i="175"/>
  <c r="I160" i="175"/>
  <c r="J1" i="175"/>
  <c r="J157" i="175" s="1"/>
  <c r="I10" i="175" l="1"/>
  <c r="I8" i="175"/>
  <c r="I9" i="175"/>
  <c r="I195" i="175"/>
  <c r="I68" i="175"/>
  <c r="I172" i="175"/>
  <c r="I170" i="175"/>
  <c r="I179" i="175"/>
  <c r="I188" i="175"/>
  <c r="I211" i="175"/>
  <c r="I185" i="175"/>
  <c r="I183" i="175"/>
  <c r="I194" i="175"/>
  <c r="I220" i="175"/>
  <c r="I204" i="175"/>
  <c r="I129" i="175"/>
  <c r="I139" i="175"/>
  <c r="I135" i="175"/>
  <c r="I150" i="175"/>
  <c r="I136" i="175"/>
  <c r="I58" i="175"/>
  <c r="I108" i="175"/>
  <c r="I83" i="175"/>
  <c r="I109" i="175"/>
  <c r="I107" i="175"/>
  <c r="I52" i="175"/>
  <c r="I102" i="175"/>
  <c r="I70" i="175"/>
  <c r="I54" i="175"/>
  <c r="I55" i="175"/>
  <c r="I66" i="175"/>
  <c r="I64" i="175"/>
  <c r="I32" i="175"/>
  <c r="I46" i="175"/>
  <c r="I49" i="175"/>
  <c r="I21" i="175"/>
  <c r="I29" i="175"/>
  <c r="I35" i="175"/>
  <c r="I177" i="175"/>
  <c r="I189" i="175"/>
  <c r="I199" i="175"/>
  <c r="I163" i="175"/>
  <c r="I164" i="175"/>
  <c r="I184" i="175"/>
  <c r="I175" i="175"/>
  <c r="I206" i="175"/>
  <c r="I191" i="175"/>
  <c r="I207" i="175"/>
  <c r="I216" i="175"/>
  <c r="I132" i="175"/>
  <c r="I125" i="175"/>
  <c r="I152" i="175"/>
  <c r="I138" i="175"/>
  <c r="I153" i="175"/>
  <c r="I127" i="175"/>
  <c r="I130" i="175"/>
  <c r="I74" i="175"/>
  <c r="I25" i="175"/>
  <c r="I124" i="175"/>
  <c r="I93" i="175"/>
  <c r="I89" i="175"/>
  <c r="I100" i="175"/>
  <c r="I97" i="175"/>
  <c r="I40" i="175"/>
  <c r="I56" i="175"/>
  <c r="I50" i="175"/>
  <c r="I69" i="175"/>
  <c r="I43" i="175"/>
  <c r="I27" i="175"/>
  <c r="I30" i="175"/>
  <c r="I26" i="175"/>
  <c r="I17" i="175"/>
  <c r="I38" i="175"/>
  <c r="I13" i="175"/>
  <c r="I11" i="175"/>
  <c r="I14" i="175"/>
  <c r="I12" i="175"/>
  <c r="Y158" i="177"/>
  <c r="Y120" i="177"/>
  <c r="J14" i="175"/>
  <c r="J13" i="175"/>
  <c r="J9" i="175"/>
  <c r="J11" i="175"/>
  <c r="J8" i="175"/>
  <c r="J10" i="175"/>
  <c r="J12" i="175"/>
  <c r="Y13" i="177"/>
  <c r="Y25" i="177"/>
  <c r="Y8" i="177"/>
  <c r="Y20" i="177"/>
  <c r="Y32" i="177"/>
  <c r="Y15" i="177"/>
  <c r="Y27" i="177"/>
  <c r="Y10" i="177"/>
  <c r="Y22" i="177"/>
  <c r="Y34" i="177"/>
  <c r="Y5" i="177"/>
  <c r="Y17" i="177"/>
  <c r="Y29" i="177"/>
  <c r="Y12" i="177"/>
  <c r="Y24" i="177"/>
  <c r="Y7" i="177"/>
  <c r="Y19" i="177"/>
  <c r="Y31" i="177"/>
  <c r="Y14" i="177"/>
  <c r="Y26" i="177"/>
  <c r="Y9" i="177"/>
  <c r="Y21" i="177"/>
  <c r="Y33" i="177"/>
  <c r="Y11" i="177"/>
  <c r="Y23" i="177"/>
  <c r="Y35" i="177"/>
  <c r="Y6" i="177"/>
  <c r="Y40" i="177"/>
  <c r="Y52" i="177"/>
  <c r="Y4" i="177"/>
  <c r="Y18" i="177"/>
  <c r="Y42" i="177"/>
  <c r="Y54" i="177"/>
  <c r="Y16" i="177"/>
  <c r="Y37" i="177"/>
  <c r="Y49" i="177"/>
  <c r="Y61" i="177"/>
  <c r="Y30" i="177"/>
  <c r="Y44" i="177"/>
  <c r="Y56" i="177"/>
  <c r="Y28" i="177"/>
  <c r="Y39" i="177"/>
  <c r="Y51" i="177"/>
  <c r="Y63" i="177"/>
  <c r="Y46" i="177"/>
  <c r="Y58" i="177"/>
  <c r="Y41" i="177"/>
  <c r="Y53" i="177"/>
  <c r="Y43" i="177"/>
  <c r="Y55" i="177"/>
  <c r="Y38" i="177"/>
  <c r="Y67" i="177"/>
  <c r="Y79" i="177"/>
  <c r="Y45" i="177"/>
  <c r="Y59" i="177"/>
  <c r="Y69" i="177"/>
  <c r="Y81" i="177"/>
  <c r="Y64" i="177"/>
  <c r="Y76" i="177"/>
  <c r="Y50" i="177"/>
  <c r="Y71" i="177"/>
  <c r="Y83" i="177"/>
  <c r="Y36" i="177"/>
  <c r="Y57" i="177"/>
  <c r="Y66" i="177"/>
  <c r="Y78" i="177"/>
  <c r="Y73" i="177"/>
  <c r="Y48" i="177"/>
  <c r="Y68" i="177"/>
  <c r="Y80" i="177"/>
  <c r="Y91" i="177"/>
  <c r="Y103" i="177"/>
  <c r="Y62" i="177"/>
  <c r="Y98" i="177"/>
  <c r="Y72" i="177"/>
  <c r="Y93" i="177"/>
  <c r="Y75" i="177"/>
  <c r="Y85" i="177"/>
  <c r="Y88" i="177"/>
  <c r="Y100" i="177"/>
  <c r="Y74" i="177"/>
  <c r="Y86" i="177"/>
  <c r="Y95" i="177"/>
  <c r="Y77" i="177"/>
  <c r="Y97" i="177"/>
  <c r="Y84" i="177"/>
  <c r="Y92" i="177"/>
  <c r="Y60" i="177"/>
  <c r="Y99" i="177"/>
  <c r="Y87" i="177"/>
  <c r="Y94" i="177"/>
  <c r="Y105" i="177"/>
  <c r="Y107" i="177"/>
  <c r="Y119" i="177"/>
  <c r="Y132" i="177"/>
  <c r="Y89" i="177"/>
  <c r="Y102" i="177"/>
  <c r="Y114" i="177"/>
  <c r="Y127" i="177"/>
  <c r="Y65" i="177"/>
  <c r="Y109" i="177"/>
  <c r="Y122" i="177"/>
  <c r="Y101" i="177"/>
  <c r="Y116" i="177"/>
  <c r="Y111" i="177"/>
  <c r="Y124" i="177"/>
  <c r="Y70" i="177"/>
  <c r="Y106" i="177"/>
  <c r="Y118" i="177"/>
  <c r="Y113" i="177"/>
  <c r="Y126" i="177"/>
  <c r="Y82" i="177"/>
  <c r="Y108" i="177"/>
  <c r="Y121" i="177"/>
  <c r="Y96" i="177"/>
  <c r="Y104" i="177"/>
  <c r="Y115" i="177"/>
  <c r="Y128" i="177"/>
  <c r="Y47" i="177"/>
  <c r="Y90" i="177"/>
  <c r="Y110" i="177"/>
  <c r="Y123" i="177"/>
  <c r="Y117" i="177"/>
  <c r="Y140" i="177"/>
  <c r="Y152" i="177"/>
  <c r="Y147" i="177"/>
  <c r="Y135" i="177"/>
  <c r="Y142" i="177"/>
  <c r="Y154" i="177"/>
  <c r="Y137" i="177"/>
  <c r="Y149" i="177"/>
  <c r="Y125" i="177"/>
  <c r="Y130" i="177"/>
  <c r="Y144" i="177"/>
  <c r="Y133" i="177"/>
  <c r="Y139" i="177"/>
  <c r="Y151" i="177"/>
  <c r="Y146" i="177"/>
  <c r="Y141" i="177"/>
  <c r="Y153" i="177"/>
  <c r="Y131" i="177"/>
  <c r="Y136" i="177"/>
  <c r="Y148" i="177"/>
  <c r="Y138" i="177"/>
  <c r="Y150" i="177"/>
  <c r="Y155" i="177"/>
  <c r="Y145" i="177"/>
  <c r="Y157" i="177"/>
  <c r="Y143" i="177"/>
  <c r="Y134" i="177"/>
  <c r="Y129" i="177"/>
  <c r="Y3" i="177"/>
  <c r="Y112" i="177"/>
  <c r="Y156" i="177"/>
  <c r="Y212" i="177"/>
  <c r="Y200" i="177"/>
  <c r="Y220" i="177"/>
  <c r="Y208" i="177"/>
  <c r="Y196" i="177"/>
  <c r="Y216" i="177"/>
  <c r="Y203" i="177"/>
  <c r="Y190" i="177"/>
  <c r="Y186" i="177"/>
  <c r="Y214" i="177"/>
  <c r="Y194" i="177"/>
  <c r="Y219" i="177"/>
  <c r="Y205" i="177"/>
  <c r="Y195" i="177"/>
  <c r="Y188" i="177"/>
  <c r="Y180" i="177"/>
  <c r="Y215" i="177"/>
  <c r="Y222" i="177"/>
  <c r="Y217" i="177"/>
  <c r="Y193" i="177"/>
  <c r="Y179" i="177"/>
  <c r="Y167" i="177"/>
  <c r="Y213" i="177"/>
  <c r="Y198" i="177"/>
  <c r="Y184" i="177"/>
  <c r="Y209" i="177"/>
  <c r="Y204" i="177"/>
  <c r="Y189" i="177"/>
  <c r="Y175" i="177"/>
  <c r="Y163" i="177"/>
  <c r="Y210" i="177"/>
  <c r="Y187" i="177"/>
  <c r="Y185" i="177"/>
  <c r="Y172" i="177"/>
  <c r="Y221" i="177"/>
  <c r="Y182" i="177"/>
  <c r="Y169" i="177"/>
  <c r="Y192" i="177"/>
  <c r="Y168" i="177"/>
  <c r="Y211" i="177"/>
  <c r="Y173" i="177"/>
  <c r="Y207" i="177"/>
  <c r="Y202" i="177"/>
  <c r="Y197" i="177"/>
  <c r="Y177" i="177"/>
  <c r="Y181" i="177"/>
  <c r="Y199" i="177"/>
  <c r="Y218" i="177"/>
  <c r="Y174" i="177"/>
  <c r="Y160" i="177"/>
  <c r="Y161" i="177"/>
  <c r="Y178" i="177"/>
  <c r="Y176" i="177"/>
  <c r="Y159" i="177"/>
  <c r="Y171" i="177"/>
  <c r="Y206" i="177"/>
  <c r="Y201" i="177"/>
  <c r="Y191" i="177"/>
  <c r="Y166" i="177"/>
  <c r="Y162" i="177"/>
  <c r="Y165" i="177"/>
  <c r="Y170" i="177"/>
  <c r="Y183" i="177"/>
  <c r="Y164" i="177"/>
  <c r="Z1" i="177"/>
  <c r="J98" i="175"/>
  <c r="J28" i="175"/>
  <c r="J34" i="175"/>
  <c r="J36" i="175"/>
  <c r="J38" i="175"/>
  <c r="J35" i="175"/>
  <c r="J37" i="175"/>
  <c r="J80" i="175"/>
  <c r="J22" i="175"/>
  <c r="J5" i="175"/>
  <c r="J17" i="175"/>
  <c r="J29" i="175"/>
  <c r="J24" i="175"/>
  <c r="J7" i="175"/>
  <c r="J19" i="175"/>
  <c r="J31" i="175"/>
  <c r="J26" i="175"/>
  <c r="J21" i="175"/>
  <c r="J33" i="175"/>
  <c r="J4" i="175"/>
  <c r="J23" i="175"/>
  <c r="J42" i="175"/>
  <c r="J54" i="175"/>
  <c r="J6" i="175"/>
  <c r="J30" i="175"/>
  <c r="J49" i="175"/>
  <c r="J44" i="175"/>
  <c r="J20" i="175"/>
  <c r="J39" i="175"/>
  <c r="J51" i="175"/>
  <c r="J27" i="175"/>
  <c r="J46" i="175"/>
  <c r="J41" i="175"/>
  <c r="J53" i="175"/>
  <c r="J48" i="175"/>
  <c r="J25" i="175"/>
  <c r="J50" i="175"/>
  <c r="J15" i="175"/>
  <c r="J40" i="175"/>
  <c r="J52" i="175"/>
  <c r="J62" i="175"/>
  <c r="J74" i="175"/>
  <c r="J45" i="175"/>
  <c r="J57" i="175"/>
  <c r="J69" i="175"/>
  <c r="J64" i="175"/>
  <c r="J76" i="175"/>
  <c r="J18" i="175"/>
  <c r="J59" i="175"/>
  <c r="J71" i="175"/>
  <c r="J66" i="175"/>
  <c r="J78" i="175"/>
  <c r="J47" i="175"/>
  <c r="J61" i="175"/>
  <c r="J73" i="175"/>
  <c r="J16" i="175"/>
  <c r="J58" i="175"/>
  <c r="J70" i="175"/>
  <c r="J43" i="175"/>
  <c r="J65" i="175"/>
  <c r="J32" i="175"/>
  <c r="J60" i="175"/>
  <c r="J72" i="175"/>
  <c r="J68" i="175"/>
  <c r="J83" i="175"/>
  <c r="J95" i="175"/>
  <c r="J77" i="175"/>
  <c r="J90" i="175"/>
  <c r="J103" i="175"/>
  <c r="J85" i="175"/>
  <c r="J97" i="175"/>
  <c r="J56" i="175"/>
  <c r="J92" i="175"/>
  <c r="J105" i="175"/>
  <c r="J87" i="175"/>
  <c r="J100" i="175"/>
  <c r="J67" i="175"/>
  <c r="J82" i="175"/>
  <c r="J94" i="175"/>
  <c r="J55" i="175"/>
  <c r="J91" i="175"/>
  <c r="J104" i="175"/>
  <c r="J86" i="175"/>
  <c r="J99" i="175"/>
  <c r="J63" i="175"/>
  <c r="J81" i="175"/>
  <c r="J93" i="175"/>
  <c r="J102" i="175"/>
  <c r="J117" i="175"/>
  <c r="J129" i="175"/>
  <c r="J84" i="175"/>
  <c r="J112" i="175"/>
  <c r="J124" i="175"/>
  <c r="J107" i="175"/>
  <c r="J119" i="175"/>
  <c r="J89" i="175"/>
  <c r="J114" i="175"/>
  <c r="J126" i="175"/>
  <c r="J109" i="175"/>
  <c r="J121" i="175"/>
  <c r="J101" i="175"/>
  <c r="J116" i="175"/>
  <c r="J128" i="175"/>
  <c r="J79" i="175"/>
  <c r="J111" i="175"/>
  <c r="J123" i="175"/>
  <c r="J88" i="175"/>
  <c r="J113" i="175"/>
  <c r="J125" i="175"/>
  <c r="J108" i="175"/>
  <c r="J120" i="175"/>
  <c r="J96" i="175"/>
  <c r="J106" i="175"/>
  <c r="J115" i="175"/>
  <c r="J127" i="175"/>
  <c r="J134" i="175"/>
  <c r="J146" i="175"/>
  <c r="J141" i="175"/>
  <c r="J153" i="175"/>
  <c r="J136" i="175"/>
  <c r="J148" i="175"/>
  <c r="J143" i="175"/>
  <c r="J155" i="175"/>
  <c r="J130" i="175"/>
  <c r="J131" i="175"/>
  <c r="J138" i="175"/>
  <c r="J150" i="175"/>
  <c r="J110" i="175"/>
  <c r="J133" i="175"/>
  <c r="J145" i="175"/>
  <c r="J140" i="175"/>
  <c r="J152" i="175"/>
  <c r="J75" i="175"/>
  <c r="J142" i="175"/>
  <c r="J154" i="175"/>
  <c r="J118" i="175"/>
  <c r="J132" i="175"/>
  <c r="J144" i="175"/>
  <c r="J156" i="175"/>
  <c r="J139" i="175"/>
  <c r="J151" i="175"/>
  <c r="J3" i="175"/>
  <c r="J137" i="175"/>
  <c r="J135" i="175"/>
  <c r="J149" i="175"/>
  <c r="J147" i="175"/>
  <c r="J122" i="175"/>
  <c r="J221" i="175"/>
  <c r="J209" i="175"/>
  <c r="J197" i="175"/>
  <c r="J214" i="175"/>
  <c r="J219" i="175"/>
  <c r="J207" i="175"/>
  <c r="J212" i="175"/>
  <c r="J200" i="175"/>
  <c r="J217" i="175"/>
  <c r="J210" i="175"/>
  <c r="J215" i="175"/>
  <c r="J220" i="175"/>
  <c r="J208" i="175"/>
  <c r="J196" i="175"/>
  <c r="J213" i="175"/>
  <c r="J201" i="175"/>
  <c r="J218" i="175"/>
  <c r="J206" i="175"/>
  <c r="J211" i="175"/>
  <c r="J199" i="175"/>
  <c r="J216" i="175"/>
  <c r="J204" i="175"/>
  <c r="J198" i="175"/>
  <c r="J192" i="175"/>
  <c r="J191" i="175"/>
  <c r="J180" i="175"/>
  <c r="J188" i="175"/>
  <c r="J176" i="175"/>
  <c r="J190" i="175"/>
  <c r="J179" i="175"/>
  <c r="J202" i="175"/>
  <c r="J177" i="175"/>
  <c r="J195" i="175"/>
  <c r="J164" i="175"/>
  <c r="J181" i="175"/>
  <c r="J171" i="175"/>
  <c r="J194" i="175"/>
  <c r="J186" i="175"/>
  <c r="J172" i="175"/>
  <c r="J158" i="175"/>
  <c r="J182" i="175"/>
  <c r="J193" i="175"/>
  <c r="J187" i="175"/>
  <c r="J183" i="175"/>
  <c r="J178" i="175"/>
  <c r="J173" i="175"/>
  <c r="J161" i="175"/>
  <c r="J203" i="175"/>
  <c r="J169" i="175"/>
  <c r="J168" i="175"/>
  <c r="J174" i="175"/>
  <c r="J165" i="175"/>
  <c r="J205" i="175"/>
  <c r="J184" i="175"/>
  <c r="J189" i="175"/>
  <c r="J170" i="175"/>
  <c r="J185" i="175"/>
  <c r="J175" i="175"/>
  <c r="J167" i="175"/>
  <c r="J159" i="175"/>
  <c r="J166" i="175"/>
  <c r="J162" i="175"/>
  <c r="J160" i="175"/>
  <c r="J163" i="175"/>
  <c r="K1" i="175"/>
  <c r="K157" i="175" s="1"/>
  <c r="Z158" i="177" l="1"/>
  <c r="Z120" i="177"/>
  <c r="K11" i="175"/>
  <c r="K14" i="175"/>
  <c r="K9" i="175"/>
  <c r="K10" i="175"/>
  <c r="K13" i="175"/>
  <c r="K12" i="175"/>
  <c r="K8" i="175"/>
  <c r="Z6" i="177"/>
  <c r="Z18" i="177"/>
  <c r="Z30" i="177"/>
  <c r="Z13" i="177"/>
  <c r="Z25" i="177"/>
  <c r="Z8" i="177"/>
  <c r="Z20" i="177"/>
  <c r="Z32" i="177"/>
  <c r="Z15" i="177"/>
  <c r="Z27" i="177"/>
  <c r="Z10" i="177"/>
  <c r="Z22" i="177"/>
  <c r="Z34" i="177"/>
  <c r="Z5" i="177"/>
  <c r="Z17" i="177"/>
  <c r="Z29" i="177"/>
  <c r="Z12" i="177"/>
  <c r="Z24" i="177"/>
  <c r="Z36" i="177"/>
  <c r="Z7" i="177"/>
  <c r="Z19" i="177"/>
  <c r="Z31" i="177"/>
  <c r="Z14" i="177"/>
  <c r="Z26" i="177"/>
  <c r="Z4" i="177"/>
  <c r="Z16" i="177"/>
  <c r="Z28" i="177"/>
  <c r="Z45" i="177"/>
  <c r="Z57" i="177"/>
  <c r="Z11" i="177"/>
  <c r="Z47" i="177"/>
  <c r="Z59" i="177"/>
  <c r="Z9" i="177"/>
  <c r="Z42" i="177"/>
  <c r="Z54" i="177"/>
  <c r="Z23" i="177"/>
  <c r="Z37" i="177"/>
  <c r="Z49" i="177"/>
  <c r="Z61" i="177"/>
  <c r="Z21" i="177"/>
  <c r="Z44" i="177"/>
  <c r="Z56" i="177"/>
  <c r="Z35" i="177"/>
  <c r="Z39" i="177"/>
  <c r="Z51" i="177"/>
  <c r="Z63" i="177"/>
  <c r="Z33" i="177"/>
  <c r="Z46" i="177"/>
  <c r="Z58" i="177"/>
  <c r="Z48" i="177"/>
  <c r="Z60" i="177"/>
  <c r="Z53" i="177"/>
  <c r="Z72" i="177"/>
  <c r="Z84" i="177"/>
  <c r="Z38" i="177"/>
  <c r="Z52" i="177"/>
  <c r="Z74" i="177"/>
  <c r="Z69" i="177"/>
  <c r="Z81" i="177"/>
  <c r="Z43" i="177"/>
  <c r="Z64" i="177"/>
  <c r="Z76" i="177"/>
  <c r="Z50" i="177"/>
  <c r="Z71" i="177"/>
  <c r="Z83" i="177"/>
  <c r="Z66" i="177"/>
  <c r="Z78" i="177"/>
  <c r="Z41" i="177"/>
  <c r="Z73" i="177"/>
  <c r="Z85" i="177"/>
  <c r="Z65" i="177"/>
  <c r="Z70" i="177"/>
  <c r="Z96" i="177"/>
  <c r="Z55" i="177"/>
  <c r="Z91" i="177"/>
  <c r="Z62" i="177"/>
  <c r="Z98" i="177"/>
  <c r="Z93" i="177"/>
  <c r="Z75" i="177"/>
  <c r="Z88" i="177"/>
  <c r="Z100" i="177"/>
  <c r="Z90" i="177"/>
  <c r="Z77" i="177"/>
  <c r="Z97" i="177"/>
  <c r="Z80" i="177"/>
  <c r="Z92" i="177"/>
  <c r="Z68" i="177"/>
  <c r="Z79" i="177"/>
  <c r="Z95" i="177"/>
  <c r="Z112" i="177"/>
  <c r="Z125" i="177"/>
  <c r="Z105" i="177"/>
  <c r="Z107" i="177"/>
  <c r="Z119" i="177"/>
  <c r="Z89" i="177"/>
  <c r="Z102" i="177"/>
  <c r="Z114" i="177"/>
  <c r="Z127" i="177"/>
  <c r="Z86" i="177"/>
  <c r="Z109" i="177"/>
  <c r="Z122" i="177"/>
  <c r="Z94" i="177"/>
  <c r="Z101" i="177"/>
  <c r="Z103" i="177"/>
  <c r="Z116" i="177"/>
  <c r="Z40" i="177"/>
  <c r="Z111" i="177"/>
  <c r="Z124" i="177"/>
  <c r="Z106" i="177"/>
  <c r="Z118" i="177"/>
  <c r="Z67" i="177"/>
  <c r="Z113" i="177"/>
  <c r="Z126" i="177"/>
  <c r="Z82" i="177"/>
  <c r="Z108" i="177"/>
  <c r="Z121" i="177"/>
  <c r="Z104" i="177"/>
  <c r="Z115" i="177"/>
  <c r="Z128" i="177"/>
  <c r="Z87" i="177"/>
  <c r="Z110" i="177"/>
  <c r="Z123" i="177"/>
  <c r="Z129" i="177"/>
  <c r="Z145" i="177"/>
  <c r="Z157" i="177"/>
  <c r="Z132" i="177"/>
  <c r="Z140" i="177"/>
  <c r="Z152" i="177"/>
  <c r="Z147" i="177"/>
  <c r="Z135" i="177"/>
  <c r="Z142" i="177"/>
  <c r="Z99" i="177"/>
  <c r="Z137" i="177"/>
  <c r="Z149" i="177"/>
  <c r="Z130" i="177"/>
  <c r="Z144" i="177"/>
  <c r="Z156" i="177"/>
  <c r="Z133" i="177"/>
  <c r="Z139" i="177"/>
  <c r="Z151" i="177"/>
  <c r="Z146" i="177"/>
  <c r="Z141" i="177"/>
  <c r="Z153" i="177"/>
  <c r="Z117" i="177"/>
  <c r="Z134" i="177"/>
  <c r="Z143" i="177"/>
  <c r="Z155" i="177"/>
  <c r="Z3" i="177"/>
  <c r="Z138" i="177"/>
  <c r="Z131" i="177"/>
  <c r="Z136" i="177"/>
  <c r="Z150" i="177"/>
  <c r="Z148" i="177"/>
  <c r="Z154" i="177"/>
  <c r="Z217" i="177"/>
  <c r="Z205" i="177"/>
  <c r="Z193" i="177"/>
  <c r="Z213" i="177"/>
  <c r="Z201" i="177"/>
  <c r="Z222" i="177"/>
  <c r="Z209" i="177"/>
  <c r="Z196" i="177"/>
  <c r="Z220" i="177"/>
  <c r="Z207" i="177"/>
  <c r="Z187" i="177"/>
  <c r="Z215" i="177"/>
  <c r="Z210" i="177"/>
  <c r="Z198" i="177"/>
  <c r="Z184" i="177"/>
  <c r="Z172" i="177"/>
  <c r="Z218" i="177"/>
  <c r="Z208" i="177"/>
  <c r="Z203" i="177"/>
  <c r="Z181" i="177"/>
  <c r="Z219" i="177"/>
  <c r="Z214" i="177"/>
  <c r="Z183" i="177"/>
  <c r="Z168" i="177"/>
  <c r="Z178" i="177"/>
  <c r="Z165" i="177"/>
  <c r="Z221" i="177"/>
  <c r="Z192" i="177"/>
  <c r="Z186" i="177"/>
  <c r="Z175" i="177"/>
  <c r="Z162" i="177"/>
  <c r="Z159" i="177"/>
  <c r="Z202" i="177"/>
  <c r="Z197" i="177"/>
  <c r="Z188" i="177"/>
  <c r="Z180" i="177"/>
  <c r="Z216" i="177"/>
  <c r="Z166" i="177"/>
  <c r="Z177" i="177"/>
  <c r="Z170" i="177"/>
  <c r="Z199" i="177"/>
  <c r="Z194" i="177"/>
  <c r="Z182" i="177"/>
  <c r="Z212" i="177"/>
  <c r="Z204" i="177"/>
  <c r="Z189" i="177"/>
  <c r="Z167" i="177"/>
  <c r="Z161" i="177"/>
  <c r="Z200" i="177"/>
  <c r="Z195" i="177"/>
  <c r="Z190" i="177"/>
  <c r="Z179" i="177"/>
  <c r="Z176" i="177"/>
  <c r="Z171" i="177"/>
  <c r="Z169" i="177"/>
  <c r="Z206" i="177"/>
  <c r="Z191" i="177"/>
  <c r="Z211" i="177"/>
  <c r="Z173" i="177"/>
  <c r="Z160" i="177"/>
  <c r="Z185" i="177"/>
  <c r="Z163" i="177"/>
  <c r="Z174" i="177"/>
  <c r="Z164" i="177"/>
  <c r="AA1" i="177"/>
  <c r="K98" i="175"/>
  <c r="K28" i="175"/>
  <c r="K34" i="175"/>
  <c r="K38" i="175"/>
  <c r="K37" i="175"/>
  <c r="K36" i="175"/>
  <c r="K35" i="175"/>
  <c r="K80" i="175"/>
  <c r="K15" i="175"/>
  <c r="K27" i="175"/>
  <c r="K22" i="175"/>
  <c r="K5" i="175"/>
  <c r="K17" i="175"/>
  <c r="K29" i="175"/>
  <c r="K24" i="175"/>
  <c r="K7" i="175"/>
  <c r="K19" i="175"/>
  <c r="K31" i="175"/>
  <c r="K26" i="175"/>
  <c r="K4" i="175"/>
  <c r="K16" i="175"/>
  <c r="K47" i="175"/>
  <c r="K23" i="175"/>
  <c r="K42" i="175"/>
  <c r="K54" i="175"/>
  <c r="K6" i="175"/>
  <c r="K30" i="175"/>
  <c r="K49" i="175"/>
  <c r="K44" i="175"/>
  <c r="K20" i="175"/>
  <c r="K39" i="175"/>
  <c r="K51" i="175"/>
  <c r="K21" i="175"/>
  <c r="K46" i="175"/>
  <c r="K41" i="175"/>
  <c r="K53" i="175"/>
  <c r="K18" i="175"/>
  <c r="K43" i="175"/>
  <c r="K32" i="175"/>
  <c r="K45" i="175"/>
  <c r="K48" i="175"/>
  <c r="K55" i="175"/>
  <c r="K67" i="175"/>
  <c r="K79" i="175"/>
  <c r="K62" i="175"/>
  <c r="K74" i="175"/>
  <c r="K33" i="175"/>
  <c r="K57" i="175"/>
  <c r="K69" i="175"/>
  <c r="K64" i="175"/>
  <c r="K76" i="175"/>
  <c r="K50" i="175"/>
  <c r="K59" i="175"/>
  <c r="K71" i="175"/>
  <c r="K66" i="175"/>
  <c r="K78" i="175"/>
  <c r="K52" i="175"/>
  <c r="K63" i="175"/>
  <c r="K75" i="175"/>
  <c r="K58" i="175"/>
  <c r="K70" i="175"/>
  <c r="K65" i="175"/>
  <c r="K77" i="175"/>
  <c r="K88" i="175"/>
  <c r="K101" i="175"/>
  <c r="K68" i="175"/>
  <c r="K83" i="175"/>
  <c r="K95" i="175"/>
  <c r="K90" i="175"/>
  <c r="K103" i="175"/>
  <c r="K73" i="175"/>
  <c r="K85" i="175"/>
  <c r="K97" i="175"/>
  <c r="K56" i="175"/>
  <c r="K92" i="175"/>
  <c r="K105" i="175"/>
  <c r="K87" i="175"/>
  <c r="K100" i="175"/>
  <c r="K72" i="175"/>
  <c r="K84" i="175"/>
  <c r="K96" i="175"/>
  <c r="K91" i="175"/>
  <c r="K104" i="175"/>
  <c r="K86" i="175"/>
  <c r="K99" i="175"/>
  <c r="K110" i="175"/>
  <c r="K122" i="175"/>
  <c r="K102" i="175"/>
  <c r="K117" i="175"/>
  <c r="K129" i="175"/>
  <c r="K60" i="175"/>
  <c r="K81" i="175"/>
  <c r="K112" i="175"/>
  <c r="K124" i="175"/>
  <c r="K61" i="175"/>
  <c r="K107" i="175"/>
  <c r="K119" i="175"/>
  <c r="K25" i="175"/>
  <c r="K89" i="175"/>
  <c r="K114" i="175"/>
  <c r="K126" i="175"/>
  <c r="K109" i="175"/>
  <c r="K121" i="175"/>
  <c r="K94" i="175"/>
  <c r="K116" i="175"/>
  <c r="K128" i="175"/>
  <c r="K40" i="175"/>
  <c r="K118" i="175"/>
  <c r="K130" i="175"/>
  <c r="K82" i="175"/>
  <c r="K113" i="175"/>
  <c r="K125" i="175"/>
  <c r="K108" i="175"/>
  <c r="K120" i="175"/>
  <c r="K123" i="175"/>
  <c r="K139" i="175"/>
  <c r="K151" i="175"/>
  <c r="K134" i="175"/>
  <c r="K146" i="175"/>
  <c r="K141" i="175"/>
  <c r="K153" i="175"/>
  <c r="K93" i="175"/>
  <c r="K136" i="175"/>
  <c r="K148" i="175"/>
  <c r="K143" i="175"/>
  <c r="K155" i="175"/>
  <c r="K131" i="175"/>
  <c r="K138" i="175"/>
  <c r="K150" i="175"/>
  <c r="K133" i="175"/>
  <c r="K145" i="175"/>
  <c r="K135" i="175"/>
  <c r="K147" i="175"/>
  <c r="K111" i="175"/>
  <c r="K137" i="175"/>
  <c r="K149" i="175"/>
  <c r="K132" i="175"/>
  <c r="K144" i="175"/>
  <c r="K156" i="175"/>
  <c r="K127" i="175"/>
  <c r="K115" i="175"/>
  <c r="K3" i="175"/>
  <c r="K142" i="175"/>
  <c r="K140" i="175"/>
  <c r="K106" i="175"/>
  <c r="K154" i="175"/>
  <c r="K152" i="175"/>
  <c r="K214" i="175"/>
  <c r="K202" i="175"/>
  <c r="K219" i="175"/>
  <c r="K207" i="175"/>
  <c r="K212" i="175"/>
  <c r="K217" i="175"/>
  <c r="K205" i="175"/>
  <c r="K193" i="175"/>
  <c r="K210" i="175"/>
  <c r="K215" i="175"/>
  <c r="K220" i="175"/>
  <c r="K213" i="175"/>
  <c r="K201" i="175"/>
  <c r="K189" i="175"/>
  <c r="K218" i="175"/>
  <c r="K206" i="175"/>
  <c r="K194" i="175"/>
  <c r="K211" i="175"/>
  <c r="K216" i="175"/>
  <c r="K204" i="175"/>
  <c r="K192" i="175"/>
  <c r="K221" i="175"/>
  <c r="K196" i="175"/>
  <c r="K185" i="175"/>
  <c r="K173" i="175"/>
  <c r="K208" i="175"/>
  <c r="K181" i="175"/>
  <c r="K169" i="175"/>
  <c r="K203" i="175"/>
  <c r="K199" i="175"/>
  <c r="K172" i="175"/>
  <c r="K164" i="175"/>
  <c r="K198" i="175"/>
  <c r="K191" i="175"/>
  <c r="K183" i="175"/>
  <c r="K170" i="175"/>
  <c r="K176" i="175"/>
  <c r="K171" i="175"/>
  <c r="K160" i="175"/>
  <c r="K186" i="175"/>
  <c r="K182" i="175"/>
  <c r="K177" i="175"/>
  <c r="K166" i="175"/>
  <c r="K187" i="175"/>
  <c r="K190" i="175"/>
  <c r="K188" i="175"/>
  <c r="K168" i="175"/>
  <c r="K174" i="175"/>
  <c r="K165" i="175"/>
  <c r="K184" i="175"/>
  <c r="K179" i="175"/>
  <c r="K209" i="175"/>
  <c r="K200" i="175"/>
  <c r="K197" i="175"/>
  <c r="K175" i="175"/>
  <c r="K167" i="175"/>
  <c r="K195" i="175"/>
  <c r="K180" i="175"/>
  <c r="K163" i="175"/>
  <c r="K162" i="175"/>
  <c r="K159" i="175"/>
  <c r="K178" i="175"/>
  <c r="K158" i="175"/>
  <c r="K161" i="175"/>
  <c r="L1" i="175"/>
  <c r="L157" i="175" s="1"/>
  <c r="AA158" i="177" l="1"/>
  <c r="AA120" i="177"/>
  <c r="L12" i="175"/>
  <c r="L11" i="175"/>
  <c r="L14" i="175"/>
  <c r="L9" i="175"/>
  <c r="L8" i="175"/>
  <c r="L13" i="175"/>
  <c r="L10" i="175"/>
  <c r="AA11" i="177"/>
  <c r="AA23" i="177"/>
  <c r="AA35" i="177"/>
  <c r="AA6" i="177"/>
  <c r="AA18" i="177"/>
  <c r="AA30" i="177"/>
  <c r="AA13" i="177"/>
  <c r="AA25" i="177"/>
  <c r="AA8" i="177"/>
  <c r="AA20" i="177"/>
  <c r="AA32" i="177"/>
  <c r="AA15" i="177"/>
  <c r="AA27" i="177"/>
  <c r="AA10" i="177"/>
  <c r="AA22" i="177"/>
  <c r="AA34" i="177"/>
  <c r="AA5" i="177"/>
  <c r="AA17" i="177"/>
  <c r="AA29" i="177"/>
  <c r="AA12" i="177"/>
  <c r="AA24" i="177"/>
  <c r="AA36" i="177"/>
  <c r="AA7" i="177"/>
  <c r="AA19" i="177"/>
  <c r="AA31" i="177"/>
  <c r="AA9" i="177"/>
  <c r="AA21" i="177"/>
  <c r="AA33" i="177"/>
  <c r="AA38" i="177"/>
  <c r="AA50" i="177"/>
  <c r="AA62" i="177"/>
  <c r="AA4" i="177"/>
  <c r="AA40" i="177"/>
  <c r="AA52" i="177"/>
  <c r="AA47" i="177"/>
  <c r="AA59" i="177"/>
  <c r="AA16" i="177"/>
  <c r="AA42" i="177"/>
  <c r="AA54" i="177"/>
  <c r="AA14" i="177"/>
  <c r="AA37" i="177"/>
  <c r="AA49" i="177"/>
  <c r="AA61" i="177"/>
  <c r="AA28" i="177"/>
  <c r="AA44" i="177"/>
  <c r="AA56" i="177"/>
  <c r="AA26" i="177"/>
  <c r="AA39" i="177"/>
  <c r="AA51" i="177"/>
  <c r="AA63" i="177"/>
  <c r="AA41" i="177"/>
  <c r="AA53" i="177"/>
  <c r="AA46" i="177"/>
  <c r="AA60" i="177"/>
  <c r="AA65" i="177"/>
  <c r="AA77" i="177"/>
  <c r="AA45" i="177"/>
  <c r="AA67" i="177"/>
  <c r="AA79" i="177"/>
  <c r="AA58" i="177"/>
  <c r="AA74" i="177"/>
  <c r="AA69" i="177"/>
  <c r="AA81" i="177"/>
  <c r="AA43" i="177"/>
  <c r="AA64" i="177"/>
  <c r="AA76" i="177"/>
  <c r="AA57" i="177"/>
  <c r="AA71" i="177"/>
  <c r="AA83" i="177"/>
  <c r="AA66" i="177"/>
  <c r="AA78" i="177"/>
  <c r="AA82" i="177"/>
  <c r="AA89" i="177"/>
  <c r="AA101" i="177"/>
  <c r="AA70" i="177"/>
  <c r="AA96" i="177"/>
  <c r="AA55" i="177"/>
  <c r="AA73" i="177"/>
  <c r="AA91" i="177"/>
  <c r="AA72" i="177"/>
  <c r="AA98" i="177"/>
  <c r="AA85" i="177"/>
  <c r="AA93" i="177"/>
  <c r="AA48" i="177"/>
  <c r="AA86" i="177"/>
  <c r="AA95" i="177"/>
  <c r="AA90" i="177"/>
  <c r="AA84" i="177"/>
  <c r="AA97" i="177"/>
  <c r="AA80" i="177"/>
  <c r="AA92" i="177"/>
  <c r="AA99" i="177"/>
  <c r="AA117" i="177"/>
  <c r="AA130" i="177"/>
  <c r="AA112" i="177"/>
  <c r="AA125" i="177"/>
  <c r="AA105" i="177"/>
  <c r="AA107" i="177"/>
  <c r="AA119" i="177"/>
  <c r="AA102" i="177"/>
  <c r="AA114" i="177"/>
  <c r="AA127" i="177"/>
  <c r="AA109" i="177"/>
  <c r="AA122" i="177"/>
  <c r="AA94" i="177"/>
  <c r="AA103" i="177"/>
  <c r="AA116" i="177"/>
  <c r="AA88" i="177"/>
  <c r="AA111" i="177"/>
  <c r="AA124" i="177"/>
  <c r="AA106" i="177"/>
  <c r="AA118" i="177"/>
  <c r="AA113" i="177"/>
  <c r="AA126" i="177"/>
  <c r="AA75" i="177"/>
  <c r="AA108" i="177"/>
  <c r="AA121" i="177"/>
  <c r="AA68" i="177"/>
  <c r="AA100" i="177"/>
  <c r="AA104" i="177"/>
  <c r="AA115" i="177"/>
  <c r="AA128" i="177"/>
  <c r="AA138" i="177"/>
  <c r="AA150" i="177"/>
  <c r="AA129" i="177"/>
  <c r="AA145" i="177"/>
  <c r="AA132" i="177"/>
  <c r="AA140" i="177"/>
  <c r="AA152" i="177"/>
  <c r="AA147" i="177"/>
  <c r="AA110" i="177"/>
  <c r="AA135" i="177"/>
  <c r="AA142" i="177"/>
  <c r="AA137" i="177"/>
  <c r="AA149" i="177"/>
  <c r="AA144" i="177"/>
  <c r="AA133" i="177"/>
  <c r="AA139" i="177"/>
  <c r="AA151" i="177"/>
  <c r="AA87" i="177"/>
  <c r="AA146" i="177"/>
  <c r="AA131" i="177"/>
  <c r="AA136" i="177"/>
  <c r="AA148" i="177"/>
  <c r="AA155" i="177"/>
  <c r="AA3" i="177"/>
  <c r="AA157" i="177"/>
  <c r="AA143" i="177"/>
  <c r="AA141" i="177"/>
  <c r="AA134" i="177"/>
  <c r="AA153" i="177"/>
  <c r="AA154" i="177"/>
  <c r="AA156" i="177"/>
  <c r="AA123" i="177"/>
  <c r="AA222" i="177"/>
  <c r="AA210" i="177"/>
  <c r="AA198" i="177"/>
  <c r="AA218" i="177"/>
  <c r="AA206" i="177"/>
  <c r="AA194" i="177"/>
  <c r="AA215" i="177"/>
  <c r="AA202" i="177"/>
  <c r="AA184" i="177"/>
  <c r="AA213" i="177"/>
  <c r="AA200" i="177"/>
  <c r="AA220" i="177"/>
  <c r="AA191" i="177"/>
  <c r="AA187" i="177"/>
  <c r="AA208" i="177"/>
  <c r="AA203" i="177"/>
  <c r="AA181" i="177"/>
  <c r="AA177" i="177"/>
  <c r="AA165" i="177"/>
  <c r="AA199" i="177"/>
  <c r="AA195" i="177"/>
  <c r="AA190" i="177"/>
  <c r="AA188" i="177"/>
  <c r="AA180" i="177"/>
  <c r="AA173" i="177"/>
  <c r="AA161" i="177"/>
  <c r="AA217" i="177"/>
  <c r="AA171" i="177"/>
  <c r="AA197" i="177"/>
  <c r="AA168" i="177"/>
  <c r="AA207" i="177"/>
  <c r="AA174" i="177"/>
  <c r="AA185" i="177"/>
  <c r="AA183" i="177"/>
  <c r="AA160" i="177"/>
  <c r="AA192" i="177"/>
  <c r="AA175" i="177"/>
  <c r="AA219" i="177"/>
  <c r="AA170" i="177"/>
  <c r="AA221" i="177"/>
  <c r="AA214" i="177"/>
  <c r="AA212" i="177"/>
  <c r="AA204" i="177"/>
  <c r="AA189" i="177"/>
  <c r="AA186" i="177"/>
  <c r="AA216" i="177"/>
  <c r="AA209" i="177"/>
  <c r="AA179" i="177"/>
  <c r="AA176" i="177"/>
  <c r="AA205" i="177"/>
  <c r="AA178" i="177"/>
  <c r="AA169" i="177"/>
  <c r="AA159" i="177"/>
  <c r="AA164" i="177"/>
  <c r="AA201" i="177"/>
  <c r="AA196" i="177"/>
  <c r="AA211" i="177"/>
  <c r="AA193" i="177"/>
  <c r="AA166" i="177"/>
  <c r="AA162" i="177"/>
  <c r="AA163" i="177"/>
  <c r="AA172" i="177"/>
  <c r="AA167" i="177"/>
  <c r="AA182" i="177"/>
  <c r="AB1" i="177"/>
  <c r="L98" i="175"/>
  <c r="L28" i="175"/>
  <c r="L38" i="175"/>
  <c r="L35" i="175"/>
  <c r="L34" i="175"/>
  <c r="L36" i="175"/>
  <c r="L37" i="175"/>
  <c r="L80" i="175"/>
  <c r="L20" i="175"/>
  <c r="L32" i="175"/>
  <c r="L15" i="175"/>
  <c r="L27" i="175"/>
  <c r="L22" i="175"/>
  <c r="L5" i="175"/>
  <c r="L17" i="175"/>
  <c r="L29" i="175"/>
  <c r="L24" i="175"/>
  <c r="L7" i="175"/>
  <c r="L19" i="175"/>
  <c r="L31" i="175"/>
  <c r="L4" i="175"/>
  <c r="L33" i="175"/>
  <c r="L40" i="175"/>
  <c r="L52" i="175"/>
  <c r="L16" i="175"/>
  <c r="L47" i="175"/>
  <c r="L23" i="175"/>
  <c r="L42" i="175"/>
  <c r="L54" i="175"/>
  <c r="L6" i="175"/>
  <c r="L30" i="175"/>
  <c r="L49" i="175"/>
  <c r="L44" i="175"/>
  <c r="L39" i="175"/>
  <c r="L51" i="175"/>
  <c r="L21" i="175"/>
  <c r="L46" i="175"/>
  <c r="L48" i="175"/>
  <c r="L25" i="175"/>
  <c r="L50" i="175"/>
  <c r="L60" i="175"/>
  <c r="L72" i="175"/>
  <c r="L55" i="175"/>
  <c r="L67" i="175"/>
  <c r="L45" i="175"/>
  <c r="L62" i="175"/>
  <c r="L74" i="175"/>
  <c r="L53" i="175"/>
  <c r="L57" i="175"/>
  <c r="L69" i="175"/>
  <c r="L18" i="175"/>
  <c r="L64" i="175"/>
  <c r="L76" i="175"/>
  <c r="L59" i="175"/>
  <c r="L71" i="175"/>
  <c r="L56" i="175"/>
  <c r="L68" i="175"/>
  <c r="L63" i="175"/>
  <c r="L75" i="175"/>
  <c r="L43" i="175"/>
  <c r="L58" i="175"/>
  <c r="L70" i="175"/>
  <c r="L41" i="175"/>
  <c r="L81" i="175"/>
  <c r="L93" i="175"/>
  <c r="L106" i="175"/>
  <c r="L78" i="175"/>
  <c r="L88" i="175"/>
  <c r="L101" i="175"/>
  <c r="L65" i="175"/>
  <c r="L77" i="175"/>
  <c r="L83" i="175"/>
  <c r="L95" i="175"/>
  <c r="L90" i="175"/>
  <c r="L103" i="175"/>
  <c r="L73" i="175"/>
  <c r="L85" i="175"/>
  <c r="L97" i="175"/>
  <c r="L92" i="175"/>
  <c r="L105" i="175"/>
  <c r="L26" i="175"/>
  <c r="L89" i="175"/>
  <c r="L102" i="175"/>
  <c r="L66" i="175"/>
  <c r="L84" i="175"/>
  <c r="L96" i="175"/>
  <c r="L91" i="175"/>
  <c r="L104" i="175"/>
  <c r="L87" i="175"/>
  <c r="L115" i="175"/>
  <c r="L127" i="175"/>
  <c r="L110" i="175"/>
  <c r="L122" i="175"/>
  <c r="L99" i="175"/>
  <c r="L117" i="175"/>
  <c r="L129" i="175"/>
  <c r="L112" i="175"/>
  <c r="L124" i="175"/>
  <c r="L61" i="175"/>
  <c r="L107" i="175"/>
  <c r="L119" i="175"/>
  <c r="L86" i="175"/>
  <c r="L114" i="175"/>
  <c r="L126" i="175"/>
  <c r="L109" i="175"/>
  <c r="L121" i="175"/>
  <c r="L111" i="175"/>
  <c r="L123" i="175"/>
  <c r="L100" i="175"/>
  <c r="L118" i="175"/>
  <c r="L82" i="175"/>
  <c r="L113" i="175"/>
  <c r="L125" i="175"/>
  <c r="L116" i="175"/>
  <c r="L132" i="175"/>
  <c r="L144" i="175"/>
  <c r="L156" i="175"/>
  <c r="L139" i="175"/>
  <c r="L151" i="175"/>
  <c r="L128" i="175"/>
  <c r="L134" i="175"/>
  <c r="L146" i="175"/>
  <c r="L141" i="175"/>
  <c r="L153" i="175"/>
  <c r="L94" i="175"/>
  <c r="L136" i="175"/>
  <c r="L148" i="175"/>
  <c r="L130" i="175"/>
  <c r="L143" i="175"/>
  <c r="L155" i="175"/>
  <c r="L131" i="175"/>
  <c r="L138" i="175"/>
  <c r="L150" i="175"/>
  <c r="L140" i="175"/>
  <c r="L152" i="175"/>
  <c r="L79" i="175"/>
  <c r="L142" i="175"/>
  <c r="L154" i="175"/>
  <c r="L137" i="175"/>
  <c r="L149" i="175"/>
  <c r="L120" i="175"/>
  <c r="L147" i="175"/>
  <c r="L3" i="175"/>
  <c r="L135" i="175"/>
  <c r="L133" i="175"/>
  <c r="L108" i="175"/>
  <c r="L145" i="175"/>
  <c r="L219" i="175"/>
  <c r="L207" i="175"/>
  <c r="L212" i="175"/>
  <c r="L217" i="175"/>
  <c r="L210" i="175"/>
  <c r="L198" i="175"/>
  <c r="L215" i="175"/>
  <c r="L220" i="175"/>
  <c r="L208" i="175"/>
  <c r="L218" i="175"/>
  <c r="L206" i="175"/>
  <c r="L194" i="175"/>
  <c r="L211" i="175"/>
  <c r="L199" i="175"/>
  <c r="L216" i="175"/>
  <c r="L204" i="175"/>
  <c r="L221" i="175"/>
  <c r="L209" i="175"/>
  <c r="L197" i="175"/>
  <c r="L193" i="175"/>
  <c r="L178" i="175"/>
  <c r="L203" i="175"/>
  <c r="L186" i="175"/>
  <c r="L174" i="175"/>
  <c r="L213" i="175"/>
  <c r="L195" i="175"/>
  <c r="L185" i="175"/>
  <c r="L176" i="175"/>
  <c r="L181" i="175"/>
  <c r="L191" i="175"/>
  <c r="L182" i="175"/>
  <c r="L214" i="175"/>
  <c r="L187" i="175"/>
  <c r="L163" i="175"/>
  <c r="L190" i="175"/>
  <c r="L188" i="175"/>
  <c r="L183" i="175"/>
  <c r="L169" i="175"/>
  <c r="L165" i="175"/>
  <c r="L159" i="175"/>
  <c r="L202" i="175"/>
  <c r="L201" i="175"/>
  <c r="L184" i="175"/>
  <c r="L179" i="175"/>
  <c r="L205" i="175"/>
  <c r="L200" i="175"/>
  <c r="L192" i="175"/>
  <c r="L189" i="175"/>
  <c r="L180" i="175"/>
  <c r="L196" i="175"/>
  <c r="L171" i="175"/>
  <c r="L164" i="175"/>
  <c r="L160" i="175"/>
  <c r="L175" i="175"/>
  <c r="L170" i="175"/>
  <c r="L167" i="175"/>
  <c r="L173" i="175"/>
  <c r="L168" i="175"/>
  <c r="L166" i="175"/>
  <c r="L158" i="175"/>
  <c r="L177" i="175"/>
  <c r="L172" i="175"/>
  <c r="L161" i="175"/>
  <c r="L162" i="175"/>
  <c r="M1" i="175"/>
  <c r="M157" i="175" s="1"/>
  <c r="AB158" i="177" l="1"/>
  <c r="AB120" i="177"/>
  <c r="M9" i="175"/>
  <c r="M12" i="175"/>
  <c r="M14" i="175"/>
  <c r="M11" i="175"/>
  <c r="M13" i="175"/>
  <c r="M8" i="175"/>
  <c r="M10" i="175"/>
  <c r="AB4" i="177"/>
  <c r="AB16" i="177"/>
  <c r="AB28" i="177"/>
  <c r="AB11" i="177"/>
  <c r="AB23" i="177"/>
  <c r="AB35" i="177"/>
  <c r="AB6" i="177"/>
  <c r="AB18" i="177"/>
  <c r="AB30" i="177"/>
  <c r="AB13" i="177"/>
  <c r="AB25" i="177"/>
  <c r="AB8" i="177"/>
  <c r="AB20" i="177"/>
  <c r="AB32" i="177"/>
  <c r="AB15" i="177"/>
  <c r="AB27" i="177"/>
  <c r="AB10" i="177"/>
  <c r="AB22" i="177"/>
  <c r="AB34" i="177"/>
  <c r="AB5" i="177"/>
  <c r="AB17" i="177"/>
  <c r="AB29" i="177"/>
  <c r="AB12" i="177"/>
  <c r="AB24" i="177"/>
  <c r="AB14" i="177"/>
  <c r="AB26" i="177"/>
  <c r="AB36" i="177"/>
  <c r="AB43" i="177"/>
  <c r="AB55" i="177"/>
  <c r="AB45" i="177"/>
  <c r="AB57" i="177"/>
  <c r="AB40" i="177"/>
  <c r="AB52" i="177"/>
  <c r="AB9" i="177"/>
  <c r="AB47" i="177"/>
  <c r="AB59" i="177"/>
  <c r="AB7" i="177"/>
  <c r="AB42" i="177"/>
  <c r="AB54" i="177"/>
  <c r="AB21" i="177"/>
  <c r="AB37" i="177"/>
  <c r="AB49" i="177"/>
  <c r="AB61" i="177"/>
  <c r="AB19" i="177"/>
  <c r="AB44" i="177"/>
  <c r="AB56" i="177"/>
  <c r="AB31" i="177"/>
  <c r="AB46" i="177"/>
  <c r="AB58" i="177"/>
  <c r="AB33" i="177"/>
  <c r="AB39" i="177"/>
  <c r="AB53" i="177"/>
  <c r="AB70" i="177"/>
  <c r="AB82" i="177"/>
  <c r="AB60" i="177"/>
  <c r="AB65" i="177"/>
  <c r="AB38" i="177"/>
  <c r="AB72" i="177"/>
  <c r="AB51" i="177"/>
  <c r="AB67" i="177"/>
  <c r="AB79" i="177"/>
  <c r="AB74" i="177"/>
  <c r="AB69" i="177"/>
  <c r="AB81" i="177"/>
  <c r="AB50" i="177"/>
  <c r="AB64" i="177"/>
  <c r="AB76" i="177"/>
  <c r="AB63" i="177"/>
  <c r="AB71" i="177"/>
  <c r="AB83" i="177"/>
  <c r="AB41" i="177"/>
  <c r="AB87" i="177"/>
  <c r="AB94" i="177"/>
  <c r="AB89" i="177"/>
  <c r="AB101" i="177"/>
  <c r="AB96" i="177"/>
  <c r="AB62" i="177"/>
  <c r="AB73" i="177"/>
  <c r="AB91" i="177"/>
  <c r="AB98" i="177"/>
  <c r="AB75" i="177"/>
  <c r="AB88" i="177"/>
  <c r="AB100" i="177"/>
  <c r="AB48" i="177"/>
  <c r="AB78" i="177"/>
  <c r="AB86" i="177"/>
  <c r="AB95" i="177"/>
  <c r="AB77" i="177"/>
  <c r="AB90" i="177"/>
  <c r="AB66" i="177"/>
  <c r="AB84" i="177"/>
  <c r="AB97" i="177"/>
  <c r="AB110" i="177"/>
  <c r="AB123" i="177"/>
  <c r="AB135" i="177"/>
  <c r="AB80" i="177"/>
  <c r="AB92" i="177"/>
  <c r="AB99" i="177"/>
  <c r="AB117" i="177"/>
  <c r="AB112" i="177"/>
  <c r="AB125" i="177"/>
  <c r="AB105" i="177"/>
  <c r="AB107" i="177"/>
  <c r="AB119" i="177"/>
  <c r="AB102" i="177"/>
  <c r="AB114" i="177"/>
  <c r="AB127" i="177"/>
  <c r="AB109" i="177"/>
  <c r="AB122" i="177"/>
  <c r="AB103" i="177"/>
  <c r="AB116" i="177"/>
  <c r="AB111" i="177"/>
  <c r="AB124" i="177"/>
  <c r="AB106" i="177"/>
  <c r="AB118" i="177"/>
  <c r="AB85" i="177"/>
  <c r="AB93" i="177"/>
  <c r="AB113" i="177"/>
  <c r="AB126" i="177"/>
  <c r="AB108" i="177"/>
  <c r="AB121" i="177"/>
  <c r="AB128" i="177"/>
  <c r="AB134" i="177"/>
  <c r="AB143" i="177"/>
  <c r="AB155" i="177"/>
  <c r="AB104" i="177"/>
  <c r="AB138" i="177"/>
  <c r="AB150" i="177"/>
  <c r="AB68" i="177"/>
  <c r="AB129" i="177"/>
  <c r="AB145" i="177"/>
  <c r="AB157" i="177"/>
  <c r="AB132" i="177"/>
  <c r="AB140" i="177"/>
  <c r="AB152" i="177"/>
  <c r="AB147" i="177"/>
  <c r="AB115" i="177"/>
  <c r="AB142" i="177"/>
  <c r="AB154" i="177"/>
  <c r="AB130" i="177"/>
  <c r="AB137" i="177"/>
  <c r="AB149" i="177"/>
  <c r="AB144" i="177"/>
  <c r="AB133" i="177"/>
  <c r="AB139" i="177"/>
  <c r="AB151" i="177"/>
  <c r="AB141" i="177"/>
  <c r="AB153" i="177"/>
  <c r="AB3" i="177"/>
  <c r="AB131" i="177"/>
  <c r="AB136" i="177"/>
  <c r="AB148" i="177"/>
  <c r="AB146" i="177"/>
  <c r="AB156" i="177"/>
  <c r="AB215" i="177"/>
  <c r="AB203" i="177"/>
  <c r="AB191" i="177"/>
  <c r="AB211" i="177"/>
  <c r="AB199" i="177"/>
  <c r="AB221" i="177"/>
  <c r="AB208" i="177"/>
  <c r="AB195" i="177"/>
  <c r="AB189" i="177"/>
  <c r="AB219" i="177"/>
  <c r="AB206" i="177"/>
  <c r="AB193" i="177"/>
  <c r="AB185" i="177"/>
  <c r="AB220" i="177"/>
  <c r="AB201" i="177"/>
  <c r="AB196" i="177"/>
  <c r="AB182" i="177"/>
  <c r="AB216" i="177"/>
  <c r="AB222" i="177"/>
  <c r="AB218" i="177"/>
  <c r="AB213" i="177"/>
  <c r="AB170" i="177"/>
  <c r="AB204" i="177"/>
  <c r="AB194" i="177"/>
  <c r="AB205" i="177"/>
  <c r="AB200" i="177"/>
  <c r="AB178" i="177"/>
  <c r="AB166" i="177"/>
  <c r="AB217" i="177"/>
  <c r="AB181" i="177"/>
  <c r="AB164" i="177"/>
  <c r="AB207" i="177"/>
  <c r="AB202" i="177"/>
  <c r="AB188" i="177"/>
  <c r="AB180" i="177"/>
  <c r="AB174" i="177"/>
  <c r="AB161" i="177"/>
  <c r="AB214" i="177"/>
  <c r="AB212" i="177"/>
  <c r="AB167" i="177"/>
  <c r="AB190" i="177"/>
  <c r="AB172" i="177"/>
  <c r="AB197" i="177"/>
  <c r="AB177" i="177"/>
  <c r="AB168" i="177"/>
  <c r="AB163" i="177"/>
  <c r="AB183" i="177"/>
  <c r="AB198" i="177"/>
  <c r="AB209" i="177"/>
  <c r="AB179" i="177"/>
  <c r="AB176" i="177"/>
  <c r="AB169" i="177"/>
  <c r="AB159" i="177"/>
  <c r="AB210" i="177"/>
  <c r="AB171" i="177"/>
  <c r="AB173" i="177"/>
  <c r="AB192" i="177"/>
  <c r="AB175" i="177"/>
  <c r="AB165" i="177"/>
  <c r="AB160" i="177"/>
  <c r="AB162" i="177"/>
  <c r="AB187" i="177"/>
  <c r="AB186" i="177"/>
  <c r="AB184" i="177"/>
  <c r="AC1" i="177"/>
  <c r="M98" i="175"/>
  <c r="M28" i="175"/>
  <c r="M37" i="175"/>
  <c r="M38" i="175"/>
  <c r="M35" i="175"/>
  <c r="M34" i="175"/>
  <c r="M36" i="175"/>
  <c r="M80" i="175"/>
  <c r="M25" i="175"/>
  <c r="M20" i="175"/>
  <c r="M32" i="175"/>
  <c r="M15" i="175"/>
  <c r="M27" i="175"/>
  <c r="M22" i="175"/>
  <c r="M5" i="175"/>
  <c r="M17" i="175"/>
  <c r="M29" i="175"/>
  <c r="M24" i="175"/>
  <c r="M4" i="175"/>
  <c r="M26" i="175"/>
  <c r="M45" i="175"/>
  <c r="M33" i="175"/>
  <c r="M40" i="175"/>
  <c r="M52" i="175"/>
  <c r="M16" i="175"/>
  <c r="M47" i="175"/>
  <c r="M23" i="175"/>
  <c r="M42" i="175"/>
  <c r="M54" i="175"/>
  <c r="M6" i="175"/>
  <c r="M30" i="175"/>
  <c r="M49" i="175"/>
  <c r="M7" i="175"/>
  <c r="M31" i="175"/>
  <c r="M44" i="175"/>
  <c r="M39" i="175"/>
  <c r="M51" i="175"/>
  <c r="M41" i="175"/>
  <c r="M53" i="175"/>
  <c r="M18" i="175"/>
  <c r="M43" i="175"/>
  <c r="M65" i="175"/>
  <c r="M77" i="175"/>
  <c r="M48" i="175"/>
  <c r="M60" i="175"/>
  <c r="M72" i="175"/>
  <c r="M55" i="175"/>
  <c r="M67" i="175"/>
  <c r="M21" i="175"/>
  <c r="M62" i="175"/>
  <c r="M74" i="175"/>
  <c r="M57" i="175"/>
  <c r="M69" i="175"/>
  <c r="M50" i="175"/>
  <c r="M64" i="175"/>
  <c r="M76" i="175"/>
  <c r="M19" i="175"/>
  <c r="M61" i="175"/>
  <c r="M73" i="175"/>
  <c r="M46" i="175"/>
  <c r="M56" i="175"/>
  <c r="M68" i="175"/>
  <c r="M63" i="175"/>
  <c r="M75" i="175"/>
  <c r="M71" i="175"/>
  <c r="M86" i="175"/>
  <c r="M99" i="175"/>
  <c r="M81" i="175"/>
  <c r="M93" i="175"/>
  <c r="M78" i="175"/>
  <c r="M88" i="175"/>
  <c r="M101" i="175"/>
  <c r="M59" i="175"/>
  <c r="M83" i="175"/>
  <c r="M95" i="175"/>
  <c r="M90" i="175"/>
  <c r="M103" i="175"/>
  <c r="M70" i="175"/>
  <c r="M85" i="175"/>
  <c r="M97" i="175"/>
  <c r="M58" i="175"/>
  <c r="M79" i="175"/>
  <c r="M82" i="175"/>
  <c r="M94" i="175"/>
  <c r="M89" i="175"/>
  <c r="M102" i="175"/>
  <c r="M66" i="175"/>
  <c r="M84" i="175"/>
  <c r="M96" i="175"/>
  <c r="M106" i="175"/>
  <c r="M108" i="175"/>
  <c r="M120" i="175"/>
  <c r="M87" i="175"/>
  <c r="M105" i="175"/>
  <c r="M115" i="175"/>
  <c r="M127" i="175"/>
  <c r="M110" i="175"/>
  <c r="M122" i="175"/>
  <c r="M92" i="175"/>
  <c r="M117" i="175"/>
  <c r="M129" i="175"/>
  <c r="M112" i="175"/>
  <c r="M124" i="175"/>
  <c r="M104" i="175"/>
  <c r="M107" i="175"/>
  <c r="M119" i="175"/>
  <c r="M114" i="175"/>
  <c r="M126" i="175"/>
  <c r="M91" i="175"/>
  <c r="M116" i="175"/>
  <c r="M128" i="175"/>
  <c r="M111" i="175"/>
  <c r="M123" i="175"/>
  <c r="M100" i="175"/>
  <c r="M118" i="175"/>
  <c r="M130" i="175"/>
  <c r="M109" i="175"/>
  <c r="M137" i="175"/>
  <c r="M149" i="175"/>
  <c r="M132" i="175"/>
  <c r="M144" i="175"/>
  <c r="M156" i="175"/>
  <c r="M121" i="175"/>
  <c r="M139" i="175"/>
  <c r="M151" i="175"/>
  <c r="M134" i="175"/>
  <c r="M146" i="175"/>
  <c r="M141" i="175"/>
  <c r="M153" i="175"/>
  <c r="M136" i="175"/>
  <c r="M148" i="175"/>
  <c r="M143" i="175"/>
  <c r="M155" i="175"/>
  <c r="M133" i="175"/>
  <c r="M145" i="175"/>
  <c r="M135" i="175"/>
  <c r="M147" i="175"/>
  <c r="M125" i="175"/>
  <c r="M142" i="175"/>
  <c r="M154" i="175"/>
  <c r="M113" i="175"/>
  <c r="M3" i="175"/>
  <c r="M140" i="175"/>
  <c r="M131" i="175"/>
  <c r="M138" i="175"/>
  <c r="M152" i="175"/>
  <c r="M150" i="175"/>
  <c r="M212" i="175"/>
  <c r="M200" i="175"/>
  <c r="M217" i="175"/>
  <c r="M210" i="175"/>
  <c r="M215" i="175"/>
  <c r="M203" i="175"/>
  <c r="M191" i="175"/>
  <c r="M220" i="175"/>
  <c r="M208" i="175"/>
  <c r="M213" i="175"/>
  <c r="M218" i="175"/>
  <c r="M211" i="175"/>
  <c r="M199" i="175"/>
  <c r="M216" i="175"/>
  <c r="M204" i="175"/>
  <c r="M221" i="175"/>
  <c r="M209" i="175"/>
  <c r="M214" i="175"/>
  <c r="M202" i="175"/>
  <c r="M190" i="175"/>
  <c r="M219" i="175"/>
  <c r="M183" i="175"/>
  <c r="M171" i="175"/>
  <c r="M201" i="175"/>
  <c r="M197" i="175"/>
  <c r="M195" i="175"/>
  <c r="M179" i="175"/>
  <c r="M193" i="175"/>
  <c r="M184" i="175"/>
  <c r="M178" i="175"/>
  <c r="M182" i="175"/>
  <c r="M169" i="175"/>
  <c r="M206" i="175"/>
  <c r="M186" i="175"/>
  <c r="M158" i="175"/>
  <c r="M194" i="175"/>
  <c r="M177" i="175"/>
  <c r="M172" i="175"/>
  <c r="M166" i="175"/>
  <c r="M187" i="175"/>
  <c r="M161" i="175"/>
  <c r="M188" i="175"/>
  <c r="M207" i="175"/>
  <c r="M174" i="175"/>
  <c r="M205" i="175"/>
  <c r="M192" i="175"/>
  <c r="M189" i="175"/>
  <c r="M175" i="175"/>
  <c r="M170" i="175"/>
  <c r="M167" i="175"/>
  <c r="M162" i="175"/>
  <c r="M198" i="175"/>
  <c r="M180" i="175"/>
  <c r="M196" i="175"/>
  <c r="M185" i="175"/>
  <c r="M164" i="175"/>
  <c r="M181" i="175"/>
  <c r="M176" i="175"/>
  <c r="M173" i="175"/>
  <c r="M168" i="175"/>
  <c r="M165" i="175"/>
  <c r="M160" i="175"/>
  <c r="M163" i="175"/>
  <c r="M159" i="175"/>
  <c r="N1" i="175"/>
  <c r="N157" i="175" s="1"/>
  <c r="AC158" i="177" l="1"/>
  <c r="AC120" i="177"/>
  <c r="N10" i="175"/>
  <c r="N9" i="175"/>
  <c r="N12" i="175"/>
  <c r="N14" i="175"/>
  <c r="N8" i="175"/>
  <c r="N13" i="175"/>
  <c r="N11" i="175"/>
  <c r="AC9" i="177"/>
  <c r="AC21" i="177"/>
  <c r="AC33" i="177"/>
  <c r="AC4" i="177"/>
  <c r="AC16" i="177"/>
  <c r="AC28" i="177"/>
  <c r="AC11" i="177"/>
  <c r="AC23" i="177"/>
  <c r="AC35" i="177"/>
  <c r="AC6" i="177"/>
  <c r="AC18" i="177"/>
  <c r="AC30" i="177"/>
  <c r="AC13" i="177"/>
  <c r="AC25" i="177"/>
  <c r="AC8" i="177"/>
  <c r="AC20" i="177"/>
  <c r="AC32" i="177"/>
  <c r="AC15" i="177"/>
  <c r="AC27" i="177"/>
  <c r="AC10" i="177"/>
  <c r="AC22" i="177"/>
  <c r="AC34" i="177"/>
  <c r="AC5" i="177"/>
  <c r="AC17" i="177"/>
  <c r="AC29" i="177"/>
  <c r="AC7" i="177"/>
  <c r="AC19" i="177"/>
  <c r="AC31" i="177"/>
  <c r="AC48" i="177"/>
  <c r="AC60" i="177"/>
  <c r="AC38" i="177"/>
  <c r="AC50" i="177"/>
  <c r="AC62" i="177"/>
  <c r="AC45" i="177"/>
  <c r="AC57" i="177"/>
  <c r="AC40" i="177"/>
  <c r="AC52" i="177"/>
  <c r="AC47" i="177"/>
  <c r="AC59" i="177"/>
  <c r="AC14" i="177"/>
  <c r="AC42" i="177"/>
  <c r="AC54" i="177"/>
  <c r="AC12" i="177"/>
  <c r="AC37" i="177"/>
  <c r="AC49" i="177"/>
  <c r="AC61" i="177"/>
  <c r="AC24" i="177"/>
  <c r="AC39" i="177"/>
  <c r="AC51" i="177"/>
  <c r="AC63" i="177"/>
  <c r="AC26" i="177"/>
  <c r="AC46" i="177"/>
  <c r="AC75" i="177"/>
  <c r="AC87" i="177"/>
  <c r="AC53" i="177"/>
  <c r="AC65" i="177"/>
  <c r="AC77" i="177"/>
  <c r="AC44" i="177"/>
  <c r="AC72" i="177"/>
  <c r="AC58" i="177"/>
  <c r="AC67" i="177"/>
  <c r="AC79" i="177"/>
  <c r="AC74" i="177"/>
  <c r="AC36" i="177"/>
  <c r="AC43" i="177"/>
  <c r="AC69" i="177"/>
  <c r="AC81" i="177"/>
  <c r="AC56" i="177"/>
  <c r="AC64" i="177"/>
  <c r="AC76" i="177"/>
  <c r="AC68" i="177"/>
  <c r="AC99" i="177"/>
  <c r="AC41" i="177"/>
  <c r="AC71" i="177"/>
  <c r="AC82" i="177"/>
  <c r="AC94" i="177"/>
  <c r="AC70" i="177"/>
  <c r="AC83" i="177"/>
  <c r="AC89" i="177"/>
  <c r="AC101" i="177"/>
  <c r="AC55" i="177"/>
  <c r="AC96" i="177"/>
  <c r="AC73" i="177"/>
  <c r="AC91" i="177"/>
  <c r="AC85" i="177"/>
  <c r="AC93" i="177"/>
  <c r="AC88" i="177"/>
  <c r="AC100" i="177"/>
  <c r="AC78" i="177"/>
  <c r="AC86" i="177"/>
  <c r="AC95" i="177"/>
  <c r="AC90" i="177"/>
  <c r="AC104" i="177"/>
  <c r="AC115" i="177"/>
  <c r="AC128" i="177"/>
  <c r="AC110" i="177"/>
  <c r="AC123" i="177"/>
  <c r="AC80" i="177"/>
  <c r="AC92" i="177"/>
  <c r="AC98" i="177"/>
  <c r="AC117" i="177"/>
  <c r="AC112" i="177"/>
  <c r="AC125" i="177"/>
  <c r="AC66" i="177"/>
  <c r="AC84" i="177"/>
  <c r="AC97" i="177"/>
  <c r="AC105" i="177"/>
  <c r="AC107" i="177"/>
  <c r="AC119" i="177"/>
  <c r="AC102" i="177"/>
  <c r="AC114" i="177"/>
  <c r="AC127" i="177"/>
  <c r="AC109" i="177"/>
  <c r="AC122" i="177"/>
  <c r="AC103" i="177"/>
  <c r="AC116" i="177"/>
  <c r="AC111" i="177"/>
  <c r="AC124" i="177"/>
  <c r="AC106" i="177"/>
  <c r="AC118" i="177"/>
  <c r="AC113" i="177"/>
  <c r="AC126" i="177"/>
  <c r="AC131" i="177"/>
  <c r="AC136" i="177"/>
  <c r="AC148" i="177"/>
  <c r="AC134" i="177"/>
  <c r="AC143" i="177"/>
  <c r="AC138" i="177"/>
  <c r="AC150" i="177"/>
  <c r="AC129" i="177"/>
  <c r="AC145" i="177"/>
  <c r="AC132" i="177"/>
  <c r="AC140" i="177"/>
  <c r="AC152" i="177"/>
  <c r="AC135" i="177"/>
  <c r="AC147" i="177"/>
  <c r="AC121" i="177"/>
  <c r="AC142" i="177"/>
  <c r="AC130" i="177"/>
  <c r="AC137" i="177"/>
  <c r="AC149" i="177"/>
  <c r="AC144" i="177"/>
  <c r="AC156" i="177"/>
  <c r="AC146" i="177"/>
  <c r="AC133" i="177"/>
  <c r="AC154" i="177"/>
  <c r="AC155" i="177"/>
  <c r="AC157" i="177"/>
  <c r="AC3" i="177"/>
  <c r="AC108" i="177"/>
  <c r="AC141" i="177"/>
  <c r="AC151" i="177"/>
  <c r="AC139" i="177"/>
  <c r="AC153" i="177"/>
  <c r="AC220" i="177"/>
  <c r="AC208" i="177"/>
  <c r="AC196" i="177"/>
  <c r="AC216" i="177"/>
  <c r="AC204" i="177"/>
  <c r="AC192" i="177"/>
  <c r="AC214" i="177"/>
  <c r="AC201" i="177"/>
  <c r="AC182" i="177"/>
  <c r="AC212" i="177"/>
  <c r="AC199" i="177"/>
  <c r="AC215" i="177"/>
  <c r="AC211" i="177"/>
  <c r="AC206" i="177"/>
  <c r="AC186" i="177"/>
  <c r="AC221" i="177"/>
  <c r="AC222" i="177"/>
  <c r="AC194" i="177"/>
  <c r="AC175" i="177"/>
  <c r="AC163" i="177"/>
  <c r="AC209" i="177"/>
  <c r="AC189" i="177"/>
  <c r="AC183" i="177"/>
  <c r="AC210" i="177"/>
  <c r="AC187" i="177"/>
  <c r="AC171" i="177"/>
  <c r="AC218" i="177"/>
  <c r="AC177" i="177"/>
  <c r="AC167" i="177"/>
  <c r="AC213" i="177"/>
  <c r="AC191" i="177"/>
  <c r="AC173" i="177"/>
  <c r="AC217" i="177"/>
  <c r="AC205" i="177"/>
  <c r="AC200" i="177"/>
  <c r="AC195" i="177"/>
  <c r="AC178" i="177"/>
  <c r="AC165" i="177"/>
  <c r="AC219" i="177"/>
  <c r="AC207" i="177"/>
  <c r="AC202" i="177"/>
  <c r="AC170" i="177"/>
  <c r="AC198" i="177"/>
  <c r="AC193" i="177"/>
  <c r="AC185" i="177"/>
  <c r="AC184" i="177"/>
  <c r="AC172" i="177"/>
  <c r="AC203" i="177"/>
  <c r="AC188" i="177"/>
  <c r="AC180" i="177"/>
  <c r="AC179" i="177"/>
  <c r="AC176" i="177"/>
  <c r="AC190" i="177"/>
  <c r="AC164" i="177"/>
  <c r="AC162" i="177"/>
  <c r="AC197" i="177"/>
  <c r="AC168" i="177"/>
  <c r="AC181" i="177"/>
  <c r="AC160" i="177"/>
  <c r="AC169" i="177"/>
  <c r="AC161" i="177"/>
  <c r="AC159" i="177"/>
  <c r="AC166" i="177"/>
  <c r="AC174" i="177"/>
  <c r="AD1" i="177"/>
  <c r="N98" i="175"/>
  <c r="N28" i="175"/>
  <c r="N38" i="175"/>
  <c r="N37" i="175"/>
  <c r="N36" i="175"/>
  <c r="N34" i="175"/>
  <c r="N35" i="175"/>
  <c r="N80" i="175"/>
  <c r="N6" i="175"/>
  <c r="N18" i="175"/>
  <c r="N30" i="175"/>
  <c r="N25" i="175"/>
  <c r="N20" i="175"/>
  <c r="N32" i="175"/>
  <c r="N15" i="175"/>
  <c r="N27" i="175"/>
  <c r="N22" i="175"/>
  <c r="N5" i="175"/>
  <c r="N17" i="175"/>
  <c r="N29" i="175"/>
  <c r="N4" i="175"/>
  <c r="N19" i="175"/>
  <c r="N50" i="175"/>
  <c r="N26" i="175"/>
  <c r="N45" i="175"/>
  <c r="N33" i="175"/>
  <c r="N40" i="175"/>
  <c r="N52" i="175"/>
  <c r="N16" i="175"/>
  <c r="N47" i="175"/>
  <c r="N23" i="175"/>
  <c r="N42" i="175"/>
  <c r="N54" i="175"/>
  <c r="N24" i="175"/>
  <c r="N49" i="175"/>
  <c r="N7" i="175"/>
  <c r="N31" i="175"/>
  <c r="N44" i="175"/>
  <c r="N21" i="175"/>
  <c r="N46" i="175"/>
  <c r="N48" i="175"/>
  <c r="N51" i="175"/>
  <c r="N58" i="175"/>
  <c r="N70" i="175"/>
  <c r="N65" i="175"/>
  <c r="N77" i="175"/>
  <c r="N60" i="175"/>
  <c r="N72" i="175"/>
  <c r="N39" i="175"/>
  <c r="N55" i="175"/>
  <c r="N67" i="175"/>
  <c r="N53" i="175"/>
  <c r="N62" i="175"/>
  <c r="N74" i="175"/>
  <c r="N57" i="175"/>
  <c r="N69" i="175"/>
  <c r="N66" i="175"/>
  <c r="N78" i="175"/>
  <c r="N61" i="175"/>
  <c r="N73" i="175"/>
  <c r="N56" i="175"/>
  <c r="N68" i="175"/>
  <c r="N91" i="175"/>
  <c r="N104" i="175"/>
  <c r="N41" i="175"/>
  <c r="N71" i="175"/>
  <c r="N86" i="175"/>
  <c r="N99" i="175"/>
  <c r="N81" i="175"/>
  <c r="N93" i="175"/>
  <c r="N76" i="175"/>
  <c r="N88" i="175"/>
  <c r="N101" i="175"/>
  <c r="N59" i="175"/>
  <c r="N83" i="175"/>
  <c r="N95" i="175"/>
  <c r="N43" i="175"/>
  <c r="N90" i="175"/>
  <c r="N103" i="175"/>
  <c r="N75" i="175"/>
  <c r="N87" i="175"/>
  <c r="N100" i="175"/>
  <c r="N79" i="175"/>
  <c r="N82" i="175"/>
  <c r="N94" i="175"/>
  <c r="N89" i="175"/>
  <c r="N102" i="175"/>
  <c r="N113" i="175"/>
  <c r="N125" i="175"/>
  <c r="N106" i="175"/>
  <c r="N108" i="175"/>
  <c r="N120" i="175"/>
  <c r="N84" i="175"/>
  <c r="N105" i="175"/>
  <c r="N115" i="175"/>
  <c r="N127" i="175"/>
  <c r="N110" i="175"/>
  <c r="N122" i="175"/>
  <c r="N92" i="175"/>
  <c r="N117" i="175"/>
  <c r="N129" i="175"/>
  <c r="N112" i="175"/>
  <c r="N124" i="175"/>
  <c r="N97" i="175"/>
  <c r="N107" i="175"/>
  <c r="N119" i="175"/>
  <c r="N63" i="175"/>
  <c r="N109" i="175"/>
  <c r="N121" i="175"/>
  <c r="N64" i="175"/>
  <c r="N85" i="175"/>
  <c r="N116" i="175"/>
  <c r="N128" i="175"/>
  <c r="N111" i="175"/>
  <c r="N123" i="175"/>
  <c r="N142" i="175"/>
  <c r="N154" i="175"/>
  <c r="N137" i="175"/>
  <c r="N149" i="175"/>
  <c r="N114" i="175"/>
  <c r="N132" i="175"/>
  <c r="N144" i="175"/>
  <c r="N156" i="175"/>
  <c r="N139" i="175"/>
  <c r="N151" i="175"/>
  <c r="N126" i="175"/>
  <c r="N134" i="175"/>
  <c r="N146" i="175"/>
  <c r="N141" i="175"/>
  <c r="N153" i="175"/>
  <c r="N130" i="175"/>
  <c r="N136" i="175"/>
  <c r="N148" i="175"/>
  <c r="N131" i="175"/>
  <c r="N138" i="175"/>
  <c r="N150" i="175"/>
  <c r="N140" i="175"/>
  <c r="N152" i="175"/>
  <c r="N118" i="175"/>
  <c r="N135" i="175"/>
  <c r="N147" i="175"/>
  <c r="N155" i="175"/>
  <c r="N133" i="175"/>
  <c r="N96" i="175"/>
  <c r="N3" i="175"/>
  <c r="N145" i="175"/>
  <c r="N143" i="175"/>
  <c r="N217" i="175"/>
  <c r="N205" i="175"/>
  <c r="N210" i="175"/>
  <c r="N215" i="175"/>
  <c r="N220" i="175"/>
  <c r="N208" i="175"/>
  <c r="N196" i="175"/>
  <c r="N213" i="175"/>
  <c r="N218" i="175"/>
  <c r="N206" i="175"/>
  <c r="N216" i="175"/>
  <c r="N204" i="175"/>
  <c r="N192" i="175"/>
  <c r="N221" i="175"/>
  <c r="N209" i="175"/>
  <c r="N197" i="175"/>
  <c r="N214" i="175"/>
  <c r="N219" i="175"/>
  <c r="N207" i="175"/>
  <c r="N195" i="175"/>
  <c r="N211" i="175"/>
  <c r="N188" i="175"/>
  <c r="N176" i="175"/>
  <c r="N199" i="175"/>
  <c r="N184" i="175"/>
  <c r="N172" i="175"/>
  <c r="N177" i="175"/>
  <c r="N171" i="175"/>
  <c r="N167" i="175"/>
  <c r="N212" i="175"/>
  <c r="N189" i="175"/>
  <c r="N175" i="175"/>
  <c r="N194" i="175"/>
  <c r="N191" i="175"/>
  <c r="N166" i="175"/>
  <c r="N187" i="175"/>
  <c r="N182" i="175"/>
  <c r="N163" i="175"/>
  <c r="N173" i="175"/>
  <c r="N168" i="175"/>
  <c r="N193" i="175"/>
  <c r="N190" i="175"/>
  <c r="N183" i="175"/>
  <c r="N203" i="175"/>
  <c r="N202" i="175"/>
  <c r="N201" i="175"/>
  <c r="N179" i="175"/>
  <c r="N200" i="175"/>
  <c r="N170" i="175"/>
  <c r="N198" i="175"/>
  <c r="N180" i="175"/>
  <c r="N185" i="175"/>
  <c r="N181" i="175"/>
  <c r="N186" i="175"/>
  <c r="N164" i="175"/>
  <c r="N159" i="175"/>
  <c r="N158" i="175"/>
  <c r="N161" i="175"/>
  <c r="N178" i="175"/>
  <c r="N165" i="175"/>
  <c r="N162" i="175"/>
  <c r="N160" i="175"/>
  <c r="N174" i="175"/>
  <c r="N169" i="175"/>
  <c r="O1" i="175"/>
  <c r="O157" i="175" s="1"/>
  <c r="AD158" i="177" l="1"/>
  <c r="AD120" i="177"/>
  <c r="O10" i="175"/>
  <c r="O13" i="175"/>
  <c r="O8" i="175"/>
  <c r="O12" i="175"/>
  <c r="O14" i="175"/>
  <c r="O9" i="175"/>
  <c r="O11" i="175"/>
  <c r="AD14" i="177"/>
  <c r="AD26" i="177"/>
  <c r="AD9" i="177"/>
  <c r="AD21" i="177"/>
  <c r="AD33" i="177"/>
  <c r="AD4" i="177"/>
  <c r="AD16" i="177"/>
  <c r="AD28" i="177"/>
  <c r="AD11" i="177"/>
  <c r="AD23" i="177"/>
  <c r="AD35" i="177"/>
  <c r="AD6" i="177"/>
  <c r="AD18" i="177"/>
  <c r="AD30" i="177"/>
  <c r="AD13" i="177"/>
  <c r="AD25" i="177"/>
  <c r="AD8" i="177"/>
  <c r="AD20" i="177"/>
  <c r="AD32" i="177"/>
  <c r="AD15" i="177"/>
  <c r="AD27" i="177"/>
  <c r="AD10" i="177"/>
  <c r="AD22" i="177"/>
  <c r="AD34" i="177"/>
  <c r="AD12" i="177"/>
  <c r="AD24" i="177"/>
  <c r="AD36" i="177"/>
  <c r="AD41" i="177"/>
  <c r="AD53" i="177"/>
  <c r="AD43" i="177"/>
  <c r="AD55" i="177"/>
  <c r="AD38" i="177"/>
  <c r="AD50" i="177"/>
  <c r="AD62" i="177"/>
  <c r="AD45" i="177"/>
  <c r="AD57" i="177"/>
  <c r="AD40" i="177"/>
  <c r="AD52" i="177"/>
  <c r="AD7" i="177"/>
  <c r="AD47" i="177"/>
  <c r="AD59" i="177"/>
  <c r="AD5" i="177"/>
  <c r="AD42" i="177"/>
  <c r="AD54" i="177"/>
  <c r="AD17" i="177"/>
  <c r="AD44" i="177"/>
  <c r="AD56" i="177"/>
  <c r="AD19" i="177"/>
  <c r="AD39" i="177"/>
  <c r="AD68" i="177"/>
  <c r="AD80" i="177"/>
  <c r="AD46" i="177"/>
  <c r="AD60" i="177"/>
  <c r="AD70" i="177"/>
  <c r="AD82" i="177"/>
  <c r="AD37" i="177"/>
  <c r="AD65" i="177"/>
  <c r="AD77" i="177"/>
  <c r="AD51" i="177"/>
  <c r="AD72" i="177"/>
  <c r="AD84" i="177"/>
  <c r="AD29" i="177"/>
  <c r="AD58" i="177"/>
  <c r="AD67" i="177"/>
  <c r="AD79" i="177"/>
  <c r="AD74" i="177"/>
  <c r="AD49" i="177"/>
  <c r="AD69" i="177"/>
  <c r="AD81" i="177"/>
  <c r="AD61" i="177"/>
  <c r="AD92" i="177"/>
  <c r="AD104" i="177"/>
  <c r="AD64" i="177"/>
  <c r="AD87" i="177"/>
  <c r="AD99" i="177"/>
  <c r="AD71" i="177"/>
  <c r="AD94" i="177"/>
  <c r="AD83" i="177"/>
  <c r="AD89" i="177"/>
  <c r="AD96" i="177"/>
  <c r="AD76" i="177"/>
  <c r="AD98" i="177"/>
  <c r="AD75" i="177"/>
  <c r="AD85" i="177"/>
  <c r="AD93" i="177"/>
  <c r="AD48" i="177"/>
  <c r="AD88" i="177"/>
  <c r="AD100" i="177"/>
  <c r="AD31" i="177"/>
  <c r="AD78" i="177"/>
  <c r="AD86" i="177"/>
  <c r="AD95" i="177"/>
  <c r="AD108" i="177"/>
  <c r="AD121" i="177"/>
  <c r="AD133" i="177"/>
  <c r="AD115" i="177"/>
  <c r="AD128" i="177"/>
  <c r="AD110" i="177"/>
  <c r="AD123" i="177"/>
  <c r="AD73" i="177"/>
  <c r="AD117" i="177"/>
  <c r="AD112" i="177"/>
  <c r="AD125" i="177"/>
  <c r="AD66" i="177"/>
  <c r="AD97" i="177"/>
  <c r="AD101" i="177"/>
  <c r="AD105" i="177"/>
  <c r="AD107" i="177"/>
  <c r="AD119" i="177"/>
  <c r="AD91" i="177"/>
  <c r="AD102" i="177"/>
  <c r="AD114" i="177"/>
  <c r="AD127" i="177"/>
  <c r="AD109" i="177"/>
  <c r="AD122" i="177"/>
  <c r="AD103" i="177"/>
  <c r="AD116" i="177"/>
  <c r="AD63" i="177"/>
  <c r="AD111" i="177"/>
  <c r="AD124" i="177"/>
  <c r="AD90" i="177"/>
  <c r="AD106" i="177"/>
  <c r="AD118" i="177"/>
  <c r="AD113" i="177"/>
  <c r="AD141" i="177"/>
  <c r="AD153" i="177"/>
  <c r="AD131" i="177"/>
  <c r="AD136" i="177"/>
  <c r="AD148" i="177"/>
  <c r="AD134" i="177"/>
  <c r="AD143" i="177"/>
  <c r="AD155" i="177"/>
  <c r="AD138" i="177"/>
  <c r="AD150" i="177"/>
  <c r="AD129" i="177"/>
  <c r="AD145" i="177"/>
  <c r="AD132" i="177"/>
  <c r="AD140" i="177"/>
  <c r="AD152" i="177"/>
  <c r="AD135" i="177"/>
  <c r="AD147" i="177"/>
  <c r="AD126" i="177"/>
  <c r="AD142" i="177"/>
  <c r="AD130" i="177"/>
  <c r="AD137" i="177"/>
  <c r="AD149" i="177"/>
  <c r="AD139" i="177"/>
  <c r="AD151" i="177"/>
  <c r="AD157" i="177"/>
  <c r="AD3" i="177"/>
  <c r="AD156" i="177"/>
  <c r="AD146" i="177"/>
  <c r="AD144" i="177"/>
  <c r="AD154" i="177"/>
  <c r="AD213" i="177"/>
  <c r="AD201" i="177"/>
  <c r="AD221" i="177"/>
  <c r="AD209" i="177"/>
  <c r="AD197" i="177"/>
  <c r="AD207" i="177"/>
  <c r="AD194" i="177"/>
  <c r="AD187" i="177"/>
  <c r="AD218" i="177"/>
  <c r="AD205" i="177"/>
  <c r="AD192" i="177"/>
  <c r="AD216" i="177"/>
  <c r="AD222" i="177"/>
  <c r="AD204" i="177"/>
  <c r="AD199" i="177"/>
  <c r="AD189" i="177"/>
  <c r="AD183" i="177"/>
  <c r="AD168" i="177"/>
  <c r="AD219" i="177"/>
  <c r="AD214" i="177"/>
  <c r="AD190" i="177"/>
  <c r="AD188" i="177"/>
  <c r="AD180" i="177"/>
  <c r="AD220" i="177"/>
  <c r="AD215" i="177"/>
  <c r="AD191" i="177"/>
  <c r="AD176" i="177"/>
  <c r="AD164" i="177"/>
  <c r="AD179" i="177"/>
  <c r="AD170" i="177"/>
  <c r="AD212" i="177"/>
  <c r="AD173" i="177"/>
  <c r="AD211" i="177"/>
  <c r="AD206" i="177"/>
  <c r="AD196" i="177"/>
  <c r="AD166" i="177"/>
  <c r="AD210" i="177"/>
  <c r="AD181" i="177"/>
  <c r="AD171" i="177"/>
  <c r="AD163" i="177"/>
  <c r="AD198" i="177"/>
  <c r="AD193" i="177"/>
  <c r="AD185" i="177"/>
  <c r="AD184" i="177"/>
  <c r="AD172" i="177"/>
  <c r="AD203" i="177"/>
  <c r="AD186" i="177"/>
  <c r="AD182" i="177"/>
  <c r="AD208" i="177"/>
  <c r="AD200" i="177"/>
  <c r="AD195" i="177"/>
  <c r="AD178" i="177"/>
  <c r="AD162" i="177"/>
  <c r="AD217" i="177"/>
  <c r="AD202" i="177"/>
  <c r="AD177" i="177"/>
  <c r="AD165" i="177"/>
  <c r="AD160" i="177"/>
  <c r="AD169" i="177"/>
  <c r="AD161" i="177"/>
  <c r="AD159" i="177"/>
  <c r="AD175" i="177"/>
  <c r="AD174" i="177"/>
  <c r="AD167" i="177"/>
  <c r="AE1" i="177"/>
  <c r="O98" i="175"/>
  <c r="O28" i="175"/>
  <c r="O35" i="175"/>
  <c r="O37" i="175"/>
  <c r="O34" i="175"/>
  <c r="O36" i="175"/>
  <c r="O38" i="175"/>
  <c r="O80" i="175"/>
  <c r="O23" i="175"/>
  <c r="O6" i="175"/>
  <c r="O18" i="175"/>
  <c r="O30" i="175"/>
  <c r="O25" i="175"/>
  <c r="O20" i="175"/>
  <c r="O32" i="175"/>
  <c r="O15" i="175"/>
  <c r="O27" i="175"/>
  <c r="O22" i="175"/>
  <c r="O4" i="175"/>
  <c r="O43" i="175"/>
  <c r="O19" i="175"/>
  <c r="O50" i="175"/>
  <c r="O26" i="175"/>
  <c r="O45" i="175"/>
  <c r="O33" i="175"/>
  <c r="O40" i="175"/>
  <c r="O52" i="175"/>
  <c r="O16" i="175"/>
  <c r="O47" i="175"/>
  <c r="O17" i="175"/>
  <c r="O42" i="175"/>
  <c r="O54" i="175"/>
  <c r="O24" i="175"/>
  <c r="O49" i="175"/>
  <c r="O39" i="175"/>
  <c r="O51" i="175"/>
  <c r="O41" i="175"/>
  <c r="O53" i="175"/>
  <c r="O63" i="175"/>
  <c r="O75" i="175"/>
  <c r="O58" i="175"/>
  <c r="O70" i="175"/>
  <c r="O5" i="175"/>
  <c r="O48" i="175"/>
  <c r="O65" i="175"/>
  <c r="O77" i="175"/>
  <c r="O60" i="175"/>
  <c r="O72" i="175"/>
  <c r="O21" i="175"/>
  <c r="O55" i="175"/>
  <c r="O67" i="175"/>
  <c r="O62" i="175"/>
  <c r="O74" i="175"/>
  <c r="O59" i="175"/>
  <c r="O71" i="175"/>
  <c r="O7" i="175"/>
  <c r="O66" i="175"/>
  <c r="O46" i="175"/>
  <c r="O61" i="175"/>
  <c r="O73" i="175"/>
  <c r="O31" i="175"/>
  <c r="O57" i="175"/>
  <c r="O84" i="175"/>
  <c r="O96" i="175"/>
  <c r="O91" i="175"/>
  <c r="O104" i="175"/>
  <c r="O68" i="175"/>
  <c r="O86" i="175"/>
  <c r="O99" i="175"/>
  <c r="O78" i="175"/>
  <c r="O81" i="175"/>
  <c r="O93" i="175"/>
  <c r="O76" i="175"/>
  <c r="O88" i="175"/>
  <c r="O101" i="175"/>
  <c r="O56" i="175"/>
  <c r="O83" i="175"/>
  <c r="O95" i="175"/>
  <c r="O92" i="175"/>
  <c r="O105" i="175"/>
  <c r="O69" i="175"/>
  <c r="O87" i="175"/>
  <c r="O100" i="175"/>
  <c r="O79" i="175"/>
  <c r="O82" i="175"/>
  <c r="O94" i="175"/>
  <c r="O90" i="175"/>
  <c r="O118" i="175"/>
  <c r="O130" i="175"/>
  <c r="O113" i="175"/>
  <c r="O125" i="175"/>
  <c r="O102" i="175"/>
  <c r="O106" i="175"/>
  <c r="O108" i="175"/>
  <c r="O120" i="175"/>
  <c r="O115" i="175"/>
  <c r="O127" i="175"/>
  <c r="O110" i="175"/>
  <c r="O122" i="175"/>
  <c r="O29" i="175"/>
  <c r="O89" i="175"/>
  <c r="O117" i="175"/>
  <c r="O129" i="175"/>
  <c r="O112" i="175"/>
  <c r="O124" i="175"/>
  <c r="O114" i="175"/>
  <c r="O126" i="175"/>
  <c r="O44" i="175"/>
  <c r="O103" i="175"/>
  <c r="O109" i="175"/>
  <c r="O121" i="175"/>
  <c r="O64" i="175"/>
  <c r="O85" i="175"/>
  <c r="O116" i="175"/>
  <c r="O128" i="175"/>
  <c r="O135" i="175"/>
  <c r="O147" i="175"/>
  <c r="O123" i="175"/>
  <c r="O142" i="175"/>
  <c r="O154" i="175"/>
  <c r="O107" i="175"/>
  <c r="O137" i="175"/>
  <c r="O149" i="175"/>
  <c r="O132" i="175"/>
  <c r="O144" i="175"/>
  <c r="O156" i="175"/>
  <c r="O119" i="175"/>
  <c r="O139" i="175"/>
  <c r="O151" i="175"/>
  <c r="O134" i="175"/>
  <c r="O146" i="175"/>
  <c r="O141" i="175"/>
  <c r="O153" i="175"/>
  <c r="O97" i="175"/>
  <c r="O143" i="175"/>
  <c r="O155" i="175"/>
  <c r="O133" i="175"/>
  <c r="O145" i="175"/>
  <c r="O111" i="175"/>
  <c r="O140" i="175"/>
  <c r="O152" i="175"/>
  <c r="O148" i="175"/>
  <c r="O3" i="175"/>
  <c r="O150" i="175"/>
  <c r="O131" i="175"/>
  <c r="O138" i="175"/>
  <c r="O136" i="175"/>
  <c r="O210" i="175"/>
  <c r="O198" i="175"/>
  <c r="O215" i="175"/>
  <c r="O220" i="175"/>
  <c r="O208" i="175"/>
  <c r="O213" i="175"/>
  <c r="O201" i="175"/>
  <c r="O189" i="175"/>
  <c r="O218" i="175"/>
  <c r="O211" i="175"/>
  <c r="O216" i="175"/>
  <c r="O221" i="175"/>
  <c r="O209" i="175"/>
  <c r="O197" i="175"/>
  <c r="O214" i="175"/>
  <c r="O202" i="175"/>
  <c r="O219" i="175"/>
  <c r="O207" i="175"/>
  <c r="O212" i="175"/>
  <c r="O200" i="175"/>
  <c r="O217" i="175"/>
  <c r="O194" i="175"/>
  <c r="O181" i="175"/>
  <c r="O169" i="175"/>
  <c r="O177" i="175"/>
  <c r="O170" i="175"/>
  <c r="O188" i="175"/>
  <c r="O187" i="175"/>
  <c r="O182" i="175"/>
  <c r="O172" i="175"/>
  <c r="O163" i="175"/>
  <c r="O161" i="175"/>
  <c r="O193" i="175"/>
  <c r="O190" i="175"/>
  <c r="O183" i="175"/>
  <c r="O178" i="175"/>
  <c r="O165" i="175"/>
  <c r="O159" i="175"/>
  <c r="O203" i="175"/>
  <c r="O205" i="175"/>
  <c r="O184" i="175"/>
  <c r="O162" i="175"/>
  <c r="O204" i="175"/>
  <c r="O192" i="175"/>
  <c r="O180" i="175"/>
  <c r="O175" i="175"/>
  <c r="O167" i="175"/>
  <c r="O199" i="175"/>
  <c r="O185" i="175"/>
  <c r="O164" i="175"/>
  <c r="O160" i="175"/>
  <c r="O196" i="175"/>
  <c r="O195" i="175"/>
  <c r="O186" i="175"/>
  <c r="O176" i="175"/>
  <c r="O171" i="175"/>
  <c r="O206" i="175"/>
  <c r="O191" i="175"/>
  <c r="O166" i="175"/>
  <c r="O173" i="175"/>
  <c r="O168" i="175"/>
  <c r="O179" i="175"/>
  <c r="O158" i="175"/>
  <c r="O174" i="175"/>
  <c r="P1" i="175"/>
  <c r="P157" i="175" s="1"/>
  <c r="AE158" i="177" l="1"/>
  <c r="AE120" i="177"/>
  <c r="P8" i="175"/>
  <c r="P12" i="175"/>
  <c r="P13" i="175"/>
  <c r="P10" i="175"/>
  <c r="P14" i="175"/>
  <c r="P11" i="175"/>
  <c r="P9" i="175"/>
  <c r="AE7" i="177"/>
  <c r="AE19" i="177"/>
  <c r="AE31" i="177"/>
  <c r="AE14" i="177"/>
  <c r="AE26" i="177"/>
  <c r="AE9" i="177"/>
  <c r="AE21" i="177"/>
  <c r="AE33" i="177"/>
  <c r="AE4" i="177"/>
  <c r="AE16" i="177"/>
  <c r="AE28" i="177"/>
  <c r="AE11" i="177"/>
  <c r="AE23" i="177"/>
  <c r="AE35" i="177"/>
  <c r="AE6" i="177"/>
  <c r="AE18" i="177"/>
  <c r="AE30" i="177"/>
  <c r="AE13" i="177"/>
  <c r="AE25" i="177"/>
  <c r="AE8" i="177"/>
  <c r="AE20" i="177"/>
  <c r="AE32" i="177"/>
  <c r="AE15" i="177"/>
  <c r="AE27" i="177"/>
  <c r="AE5" i="177"/>
  <c r="AE17" i="177"/>
  <c r="AE29" i="177"/>
  <c r="AE46" i="177"/>
  <c r="AE58" i="177"/>
  <c r="AE36" i="177"/>
  <c r="AE48" i="177"/>
  <c r="AE60" i="177"/>
  <c r="AE43" i="177"/>
  <c r="AE55" i="177"/>
  <c r="AE38" i="177"/>
  <c r="AE50" i="177"/>
  <c r="AE62" i="177"/>
  <c r="AE45" i="177"/>
  <c r="AE57" i="177"/>
  <c r="AE40" i="177"/>
  <c r="AE52" i="177"/>
  <c r="AE47" i="177"/>
  <c r="AE59" i="177"/>
  <c r="AE10" i="177"/>
  <c r="AE37" i="177"/>
  <c r="AE49" i="177"/>
  <c r="AE61" i="177"/>
  <c r="AE12" i="177"/>
  <c r="AE73" i="177"/>
  <c r="AE85" i="177"/>
  <c r="AE39" i="177"/>
  <c r="AE34" i="177"/>
  <c r="AE53" i="177"/>
  <c r="AE75" i="177"/>
  <c r="AE70" i="177"/>
  <c r="AE82" i="177"/>
  <c r="AE44" i="177"/>
  <c r="AE65" i="177"/>
  <c r="AE77" i="177"/>
  <c r="AE22" i="177"/>
  <c r="AE51" i="177"/>
  <c r="AE72" i="177"/>
  <c r="AE84" i="177"/>
  <c r="AE67" i="177"/>
  <c r="AE79" i="177"/>
  <c r="AE42" i="177"/>
  <c r="AE74" i="177"/>
  <c r="AE54" i="177"/>
  <c r="AE66" i="177"/>
  <c r="AE69" i="177"/>
  <c r="AE80" i="177"/>
  <c r="AE97" i="177"/>
  <c r="AE68" i="177"/>
  <c r="AE92" i="177"/>
  <c r="AE41" i="177"/>
  <c r="AE64" i="177"/>
  <c r="AE87" i="177"/>
  <c r="AE99" i="177"/>
  <c r="AE71" i="177"/>
  <c r="AE94" i="177"/>
  <c r="AE83" i="177"/>
  <c r="AE89" i="177"/>
  <c r="AE24" i="177"/>
  <c r="AE63" i="177"/>
  <c r="AE91" i="177"/>
  <c r="AE76" i="177"/>
  <c r="AE98" i="177"/>
  <c r="AE93" i="177"/>
  <c r="AE88" i="177"/>
  <c r="AE113" i="177"/>
  <c r="AE126" i="177"/>
  <c r="AE95" i="177"/>
  <c r="AE104" i="177"/>
  <c r="AE108" i="177"/>
  <c r="AE121" i="177"/>
  <c r="AE115" i="177"/>
  <c r="AE56" i="177"/>
  <c r="AE110" i="177"/>
  <c r="AE123" i="177"/>
  <c r="AE86" i="177"/>
  <c r="AE117" i="177"/>
  <c r="AE81" i="177"/>
  <c r="AE112" i="177"/>
  <c r="AE125" i="177"/>
  <c r="AE101" i="177"/>
  <c r="AE105" i="177"/>
  <c r="AE107" i="177"/>
  <c r="AE119" i="177"/>
  <c r="AE78" i="177"/>
  <c r="AE102" i="177"/>
  <c r="AE114" i="177"/>
  <c r="AE127" i="177"/>
  <c r="AE109" i="177"/>
  <c r="AE122" i="177"/>
  <c r="AE96" i="177"/>
  <c r="AE103" i="177"/>
  <c r="AE116" i="177"/>
  <c r="AE111" i="177"/>
  <c r="AE124" i="177"/>
  <c r="AE146" i="177"/>
  <c r="AE118" i="177"/>
  <c r="AE128" i="177"/>
  <c r="AE141" i="177"/>
  <c r="AE153" i="177"/>
  <c r="AE131" i="177"/>
  <c r="AE136" i="177"/>
  <c r="AE148" i="177"/>
  <c r="AE134" i="177"/>
  <c r="AE143" i="177"/>
  <c r="AE138" i="177"/>
  <c r="AE150" i="177"/>
  <c r="AE100" i="177"/>
  <c r="AE129" i="177"/>
  <c r="AE145" i="177"/>
  <c r="AE157" i="177"/>
  <c r="AE106" i="177"/>
  <c r="AE132" i="177"/>
  <c r="AE140" i="177"/>
  <c r="AE152" i="177"/>
  <c r="AE135" i="177"/>
  <c r="AE147" i="177"/>
  <c r="AE142" i="177"/>
  <c r="AE154" i="177"/>
  <c r="AE90" i="177"/>
  <c r="AE133" i="177"/>
  <c r="AE144" i="177"/>
  <c r="AE156" i="177"/>
  <c r="AE155" i="177"/>
  <c r="AE3" i="177"/>
  <c r="AE130" i="177"/>
  <c r="AE139" i="177"/>
  <c r="AE149" i="177"/>
  <c r="AE137" i="177"/>
  <c r="AE151" i="177"/>
  <c r="AE218" i="177"/>
  <c r="AE206" i="177"/>
  <c r="AE194" i="177"/>
  <c r="AE214" i="177"/>
  <c r="AE202" i="177"/>
  <c r="AE190" i="177"/>
  <c r="AE220" i="177"/>
  <c r="AE200" i="177"/>
  <c r="AE180" i="177"/>
  <c r="AE211" i="177"/>
  <c r="AE198" i="177"/>
  <c r="AE188" i="177"/>
  <c r="AE216" i="177"/>
  <c r="AE221" i="177"/>
  <c r="AE197" i="177"/>
  <c r="AE192" i="177"/>
  <c r="AE185" i="177"/>
  <c r="AE179" i="177"/>
  <c r="AE217" i="177"/>
  <c r="AE222" i="177"/>
  <c r="AE219" i="177"/>
  <c r="AE209" i="177"/>
  <c r="AE173" i="177"/>
  <c r="AE161" i="177"/>
  <c r="AE195" i="177"/>
  <c r="AE178" i="177"/>
  <c r="AE196" i="177"/>
  <c r="AE186" i="177"/>
  <c r="AE182" i="177"/>
  <c r="AE169" i="177"/>
  <c r="AE204" i="177"/>
  <c r="AE199" i="177"/>
  <c r="AE189" i="177"/>
  <c r="AE176" i="177"/>
  <c r="AE163" i="177"/>
  <c r="AE212" i="177"/>
  <c r="AE213" i="177"/>
  <c r="AE191" i="177"/>
  <c r="AE166" i="177"/>
  <c r="AE160" i="177"/>
  <c r="AE201" i="177"/>
  <c r="AE172" i="177"/>
  <c r="AE187" i="177"/>
  <c r="AE177" i="177"/>
  <c r="AE164" i="177"/>
  <c r="AE193" i="177"/>
  <c r="AE184" i="177"/>
  <c r="AE203" i="177"/>
  <c r="AE183" i="177"/>
  <c r="AE165" i="177"/>
  <c r="AE208" i="177"/>
  <c r="AE181" i="177"/>
  <c r="AE174" i="177"/>
  <c r="AE210" i="177"/>
  <c r="AE205" i="177"/>
  <c r="AE171" i="177"/>
  <c r="AE162" i="177"/>
  <c r="AE175" i="177"/>
  <c r="AE215" i="177"/>
  <c r="AE207" i="177"/>
  <c r="AE170" i="177"/>
  <c r="AE159" i="177"/>
  <c r="AE167" i="177"/>
  <c r="AE168" i="177"/>
  <c r="AF1" i="177"/>
  <c r="P98" i="175"/>
  <c r="P28" i="175"/>
  <c r="P35" i="175"/>
  <c r="P34" i="175"/>
  <c r="P38" i="175"/>
  <c r="P37" i="175"/>
  <c r="P36" i="175"/>
  <c r="P80" i="175"/>
  <c r="P4" i="175"/>
  <c r="P16" i="175"/>
  <c r="P23" i="175"/>
  <c r="P6" i="175"/>
  <c r="P18" i="175"/>
  <c r="P30" i="175"/>
  <c r="P25" i="175"/>
  <c r="P20" i="175"/>
  <c r="P32" i="175"/>
  <c r="P15" i="175"/>
  <c r="P27" i="175"/>
  <c r="P5" i="175"/>
  <c r="P29" i="175"/>
  <c r="P48" i="175"/>
  <c r="P43" i="175"/>
  <c r="P19" i="175"/>
  <c r="P50" i="175"/>
  <c r="P26" i="175"/>
  <c r="P45" i="175"/>
  <c r="P33" i="175"/>
  <c r="P40" i="175"/>
  <c r="P52" i="175"/>
  <c r="P47" i="175"/>
  <c r="P17" i="175"/>
  <c r="P42" i="175"/>
  <c r="P7" i="175"/>
  <c r="P31" i="175"/>
  <c r="P44" i="175"/>
  <c r="P21" i="175"/>
  <c r="P46" i="175"/>
  <c r="P54" i="175"/>
  <c r="P56" i="175"/>
  <c r="P68" i="175"/>
  <c r="P51" i="175"/>
  <c r="P63" i="175"/>
  <c r="P75" i="175"/>
  <c r="P58" i="175"/>
  <c r="P70" i="175"/>
  <c r="P24" i="175"/>
  <c r="P65" i="175"/>
  <c r="P77" i="175"/>
  <c r="P39" i="175"/>
  <c r="P60" i="175"/>
  <c r="P72" i="175"/>
  <c r="P53" i="175"/>
  <c r="P55" i="175"/>
  <c r="P67" i="175"/>
  <c r="P22" i="175"/>
  <c r="P41" i="175"/>
  <c r="P64" i="175"/>
  <c r="P76" i="175"/>
  <c r="P49" i="175"/>
  <c r="P59" i="175"/>
  <c r="P71" i="175"/>
  <c r="P66" i="175"/>
  <c r="P74" i="175"/>
  <c r="P89" i="175"/>
  <c r="P102" i="175"/>
  <c r="P57" i="175"/>
  <c r="P84" i="175"/>
  <c r="P96" i="175"/>
  <c r="P91" i="175"/>
  <c r="P104" i="175"/>
  <c r="P62" i="175"/>
  <c r="P86" i="175"/>
  <c r="P99" i="175"/>
  <c r="P78" i="175"/>
  <c r="P81" i="175"/>
  <c r="P93" i="175"/>
  <c r="P73" i="175"/>
  <c r="P88" i="175"/>
  <c r="P101" i="175"/>
  <c r="P61" i="175"/>
  <c r="P85" i="175"/>
  <c r="P97" i="175"/>
  <c r="P92" i="175"/>
  <c r="P105" i="175"/>
  <c r="P69" i="175"/>
  <c r="P87" i="175"/>
  <c r="P100" i="175"/>
  <c r="P111" i="175"/>
  <c r="P123" i="175"/>
  <c r="P90" i="175"/>
  <c r="P118" i="175"/>
  <c r="P113" i="175"/>
  <c r="P125" i="175"/>
  <c r="P95" i="175"/>
  <c r="P106" i="175"/>
  <c r="P108" i="175"/>
  <c r="P120" i="175"/>
  <c r="P115" i="175"/>
  <c r="P127" i="175"/>
  <c r="P110" i="175"/>
  <c r="P122" i="175"/>
  <c r="P83" i="175"/>
  <c r="P117" i="175"/>
  <c r="P129" i="175"/>
  <c r="P79" i="175"/>
  <c r="P94" i="175"/>
  <c r="P107" i="175"/>
  <c r="P119" i="175"/>
  <c r="P114" i="175"/>
  <c r="P126" i="175"/>
  <c r="P103" i="175"/>
  <c r="P109" i="175"/>
  <c r="P121" i="175"/>
  <c r="P140" i="175"/>
  <c r="P152" i="175"/>
  <c r="P82" i="175"/>
  <c r="P116" i="175"/>
  <c r="P135" i="175"/>
  <c r="P147" i="175"/>
  <c r="P142" i="175"/>
  <c r="P154" i="175"/>
  <c r="P128" i="175"/>
  <c r="P137" i="175"/>
  <c r="P149" i="175"/>
  <c r="P112" i="175"/>
  <c r="P132" i="175"/>
  <c r="P144" i="175"/>
  <c r="P156" i="175"/>
  <c r="P139" i="175"/>
  <c r="P151" i="175"/>
  <c r="P124" i="175"/>
  <c r="P134" i="175"/>
  <c r="P146" i="175"/>
  <c r="P136" i="175"/>
  <c r="P148" i="175"/>
  <c r="P131" i="175"/>
  <c r="P138" i="175"/>
  <c r="P150" i="175"/>
  <c r="P133" i="175"/>
  <c r="P145" i="175"/>
  <c r="P141" i="175"/>
  <c r="P3" i="175"/>
  <c r="P155" i="175"/>
  <c r="P153" i="175"/>
  <c r="P130" i="175"/>
  <c r="P143" i="175"/>
  <c r="P215" i="175"/>
  <c r="P203" i="175"/>
  <c r="P220" i="175"/>
  <c r="P208" i="175"/>
  <c r="P213" i="175"/>
  <c r="P218" i="175"/>
  <c r="P206" i="175"/>
  <c r="P194" i="175"/>
  <c r="P211" i="175"/>
  <c r="P216" i="175"/>
  <c r="P221" i="175"/>
  <c r="P214" i="175"/>
  <c r="P202" i="175"/>
  <c r="P190" i="175"/>
  <c r="P219" i="175"/>
  <c r="P207" i="175"/>
  <c r="P195" i="175"/>
  <c r="P212" i="175"/>
  <c r="P217" i="175"/>
  <c r="P205" i="175"/>
  <c r="P193" i="175"/>
  <c r="P186" i="175"/>
  <c r="P174" i="175"/>
  <c r="P182" i="175"/>
  <c r="P170" i="175"/>
  <c r="P210" i="175"/>
  <c r="P191" i="175"/>
  <c r="P183" i="175"/>
  <c r="P165" i="175"/>
  <c r="P201" i="175"/>
  <c r="P187" i="175"/>
  <c r="P181" i="175"/>
  <c r="P177" i="175"/>
  <c r="P161" i="175"/>
  <c r="P173" i="175"/>
  <c r="P168" i="175"/>
  <c r="P178" i="175"/>
  <c r="P188" i="175"/>
  <c r="P184" i="175"/>
  <c r="P204" i="175"/>
  <c r="P200" i="175"/>
  <c r="P192" i="175"/>
  <c r="P180" i="175"/>
  <c r="P175" i="175"/>
  <c r="P167" i="175"/>
  <c r="P199" i="175"/>
  <c r="P198" i="175"/>
  <c r="P189" i="175"/>
  <c r="P185" i="175"/>
  <c r="P164" i="175"/>
  <c r="P209" i="175"/>
  <c r="P197" i="175"/>
  <c r="P196" i="175"/>
  <c r="P166" i="175"/>
  <c r="P172" i="175"/>
  <c r="P163" i="175"/>
  <c r="P176" i="175"/>
  <c r="P171" i="175"/>
  <c r="P179" i="175"/>
  <c r="P158" i="175"/>
  <c r="P162" i="175"/>
  <c r="P160" i="175"/>
  <c r="P169" i="175"/>
  <c r="P159" i="175"/>
  <c r="Q1" i="175"/>
  <c r="Q157" i="175" s="1"/>
  <c r="AF158" i="177" l="1"/>
  <c r="AF120" i="177"/>
  <c r="Q13" i="175"/>
  <c r="Q8" i="175"/>
  <c r="Q10" i="175"/>
  <c r="Q12" i="175"/>
  <c r="Q11" i="175"/>
  <c r="Q14" i="175"/>
  <c r="Q9" i="175"/>
  <c r="AF12" i="177"/>
  <c r="AF24" i="177"/>
  <c r="AF7" i="177"/>
  <c r="AF19" i="177"/>
  <c r="AF31" i="177"/>
  <c r="AF14" i="177"/>
  <c r="AF26" i="177"/>
  <c r="AF9" i="177"/>
  <c r="AF21" i="177"/>
  <c r="AF33" i="177"/>
  <c r="AF4" i="177"/>
  <c r="AF16" i="177"/>
  <c r="AF28" i="177"/>
  <c r="AF11" i="177"/>
  <c r="AF23" i="177"/>
  <c r="AF35" i="177"/>
  <c r="AF6" i="177"/>
  <c r="AF18" i="177"/>
  <c r="AF30" i="177"/>
  <c r="AF13" i="177"/>
  <c r="AF25" i="177"/>
  <c r="AF8" i="177"/>
  <c r="AF20" i="177"/>
  <c r="AF32" i="177"/>
  <c r="AF10" i="177"/>
  <c r="AF22" i="177"/>
  <c r="AF34" i="177"/>
  <c r="AF29" i="177"/>
  <c r="AF39" i="177"/>
  <c r="AF51" i="177"/>
  <c r="AF63" i="177"/>
  <c r="AF41" i="177"/>
  <c r="AF53" i="177"/>
  <c r="AF36" i="177"/>
  <c r="AF48" i="177"/>
  <c r="AF60" i="177"/>
  <c r="AF43" i="177"/>
  <c r="AF55" i="177"/>
  <c r="AF38" i="177"/>
  <c r="AF50" i="177"/>
  <c r="AF62" i="177"/>
  <c r="AF45" i="177"/>
  <c r="AF57" i="177"/>
  <c r="AF40" i="177"/>
  <c r="AF52" i="177"/>
  <c r="AF42" i="177"/>
  <c r="AF54" i="177"/>
  <c r="AF5" i="177"/>
  <c r="AF47" i="177"/>
  <c r="AF61" i="177"/>
  <c r="AF66" i="177"/>
  <c r="AF78" i="177"/>
  <c r="AF27" i="177"/>
  <c r="AF46" i="177"/>
  <c r="AF68" i="177"/>
  <c r="AF80" i="177"/>
  <c r="AF59" i="177"/>
  <c r="AF75" i="177"/>
  <c r="AF37" i="177"/>
  <c r="AF70" i="177"/>
  <c r="AF82" i="177"/>
  <c r="AF15" i="177"/>
  <c r="AF44" i="177"/>
  <c r="AF65" i="177"/>
  <c r="AF77" i="177"/>
  <c r="AF58" i="177"/>
  <c r="AF72" i="177"/>
  <c r="AF84" i="177"/>
  <c r="AF67" i="177"/>
  <c r="AF79" i="177"/>
  <c r="AF81" i="177"/>
  <c r="AF90" i="177"/>
  <c r="AF102" i="177"/>
  <c r="AF69" i="177"/>
  <c r="AF97" i="177"/>
  <c r="AF92" i="177"/>
  <c r="AF17" i="177"/>
  <c r="AF64" i="177"/>
  <c r="AF87" i="177"/>
  <c r="AF99" i="177"/>
  <c r="AF71" i="177"/>
  <c r="AF94" i="177"/>
  <c r="AF56" i="177"/>
  <c r="AF73" i="177"/>
  <c r="AF96" i="177"/>
  <c r="AF91" i="177"/>
  <c r="AF76" i="177"/>
  <c r="AF85" i="177"/>
  <c r="AF98" i="177"/>
  <c r="AF49" i="177"/>
  <c r="AF93" i="177"/>
  <c r="AF83" i="177"/>
  <c r="AF100" i="177"/>
  <c r="AF106" i="177"/>
  <c r="AF118" i="177"/>
  <c r="AF131" i="177"/>
  <c r="AF113" i="177"/>
  <c r="AF126" i="177"/>
  <c r="AF95" i="177"/>
  <c r="AF104" i="177"/>
  <c r="AF108" i="177"/>
  <c r="AF121" i="177"/>
  <c r="AF89" i="177"/>
  <c r="AF115" i="177"/>
  <c r="AF110" i="177"/>
  <c r="AF123" i="177"/>
  <c r="AF86" i="177"/>
  <c r="AF117" i="177"/>
  <c r="AF74" i="177"/>
  <c r="AF112" i="177"/>
  <c r="AF125" i="177"/>
  <c r="AF88" i="177"/>
  <c r="AF101" i="177"/>
  <c r="AF105" i="177"/>
  <c r="AF107" i="177"/>
  <c r="AF119" i="177"/>
  <c r="AF114" i="177"/>
  <c r="AF127" i="177"/>
  <c r="AF109" i="177"/>
  <c r="AF122" i="177"/>
  <c r="AF103" i="177"/>
  <c r="AF116" i="177"/>
  <c r="AF139" i="177"/>
  <c r="AF151" i="177"/>
  <c r="AF3" i="177"/>
  <c r="AF146" i="177"/>
  <c r="AF124" i="177"/>
  <c r="AF128" i="177"/>
  <c r="AF141" i="177"/>
  <c r="AF153" i="177"/>
  <c r="AF136" i="177"/>
  <c r="AF148" i="177"/>
  <c r="AF134" i="177"/>
  <c r="AF143" i="177"/>
  <c r="AF138" i="177"/>
  <c r="AF150" i="177"/>
  <c r="AF129" i="177"/>
  <c r="AF145" i="177"/>
  <c r="AF111" i="177"/>
  <c r="AF132" i="177"/>
  <c r="AF140" i="177"/>
  <c r="AF152" i="177"/>
  <c r="AF135" i="177"/>
  <c r="AF147" i="177"/>
  <c r="AF130" i="177"/>
  <c r="AF137" i="177"/>
  <c r="AF149" i="177"/>
  <c r="AF133" i="177"/>
  <c r="AF155" i="177"/>
  <c r="AF142" i="177"/>
  <c r="AF157" i="177"/>
  <c r="AF156" i="177"/>
  <c r="AF144" i="177"/>
  <c r="AF154" i="177"/>
  <c r="AF211" i="177"/>
  <c r="AF199" i="177"/>
  <c r="AF219" i="177"/>
  <c r="AF207" i="177"/>
  <c r="AF195" i="177"/>
  <c r="AF213" i="177"/>
  <c r="AF193" i="177"/>
  <c r="AF185" i="177"/>
  <c r="AF217" i="177"/>
  <c r="AF204" i="177"/>
  <c r="AF191" i="177"/>
  <c r="AF221" i="177"/>
  <c r="AF212" i="177"/>
  <c r="AF202" i="177"/>
  <c r="AF222" i="177"/>
  <c r="AF214" i="177"/>
  <c r="AF190" i="177"/>
  <c r="AF188" i="177"/>
  <c r="AF180" i="177"/>
  <c r="AF178" i="177"/>
  <c r="AF166" i="177"/>
  <c r="AF210" i="177"/>
  <c r="AF205" i="177"/>
  <c r="AF200" i="177"/>
  <c r="AF216" i="177"/>
  <c r="AF206" i="177"/>
  <c r="AF201" i="177"/>
  <c r="AF174" i="177"/>
  <c r="AF162" i="177"/>
  <c r="AF218" i="177"/>
  <c r="AF209" i="177"/>
  <c r="AF194" i="177"/>
  <c r="AF184" i="177"/>
  <c r="AF169" i="177"/>
  <c r="AF196" i="177"/>
  <c r="AF172" i="177"/>
  <c r="AF215" i="177"/>
  <c r="AF183" i="177"/>
  <c r="AF165" i="177"/>
  <c r="AF170" i="177"/>
  <c r="AF203" i="177"/>
  <c r="AF198" i="177"/>
  <c r="AF208" i="177"/>
  <c r="AF186" i="177"/>
  <c r="AF182" i="177"/>
  <c r="AF181" i="177"/>
  <c r="AF160" i="177"/>
  <c r="AF187" i="177"/>
  <c r="AF164" i="177"/>
  <c r="AF220" i="177"/>
  <c r="AF175" i="177"/>
  <c r="AF173" i="177"/>
  <c r="AF197" i="177"/>
  <c r="AF192" i="177"/>
  <c r="AF163" i="177"/>
  <c r="AF159" i="177"/>
  <c r="AF176" i="177"/>
  <c r="AF171" i="177"/>
  <c r="AF161" i="177"/>
  <c r="AF189" i="177"/>
  <c r="AF179" i="177"/>
  <c r="AF167" i="177"/>
  <c r="AF177" i="177"/>
  <c r="AF168" i="177"/>
  <c r="AG1" i="177"/>
  <c r="Q98" i="175"/>
  <c r="Q28" i="175"/>
  <c r="Q34" i="175"/>
  <c r="Q35" i="175"/>
  <c r="Q36" i="175"/>
  <c r="Q37" i="175"/>
  <c r="Q38" i="175"/>
  <c r="Q80" i="175"/>
  <c r="Q21" i="175"/>
  <c r="Q33" i="175"/>
  <c r="Q4" i="175"/>
  <c r="Q16" i="175"/>
  <c r="Q23" i="175"/>
  <c r="Q6" i="175"/>
  <c r="Q18" i="175"/>
  <c r="Q30" i="175"/>
  <c r="Q25" i="175"/>
  <c r="Q20" i="175"/>
  <c r="Q32" i="175"/>
  <c r="Q22" i="175"/>
  <c r="Q41" i="175"/>
  <c r="Q53" i="175"/>
  <c r="Q5" i="175"/>
  <c r="Q29" i="175"/>
  <c r="Q48" i="175"/>
  <c r="Q43" i="175"/>
  <c r="Q19" i="175"/>
  <c r="Q50" i="175"/>
  <c r="Q26" i="175"/>
  <c r="Q45" i="175"/>
  <c r="Q27" i="175"/>
  <c r="Q40" i="175"/>
  <c r="Q52" i="175"/>
  <c r="Q47" i="175"/>
  <c r="Q24" i="175"/>
  <c r="Q49" i="175"/>
  <c r="Q39" i="175"/>
  <c r="Q51" i="175"/>
  <c r="Q17" i="175"/>
  <c r="Q61" i="175"/>
  <c r="Q73" i="175"/>
  <c r="Q54" i="175"/>
  <c r="Q56" i="175"/>
  <c r="Q68" i="175"/>
  <c r="Q63" i="175"/>
  <c r="Q75" i="175"/>
  <c r="Q42" i="175"/>
  <c r="Q58" i="175"/>
  <c r="Q70" i="175"/>
  <c r="Q65" i="175"/>
  <c r="Q77" i="175"/>
  <c r="Q15" i="175"/>
  <c r="Q60" i="175"/>
  <c r="Q72" i="175"/>
  <c r="Q57" i="175"/>
  <c r="Q69" i="175"/>
  <c r="Q64" i="175"/>
  <c r="Q7" i="175"/>
  <c r="Q59" i="175"/>
  <c r="Q71" i="175"/>
  <c r="Q79" i="175"/>
  <c r="Q82" i="175"/>
  <c r="Q94" i="175"/>
  <c r="Q31" i="175"/>
  <c r="Q74" i="175"/>
  <c r="Q89" i="175"/>
  <c r="Q102" i="175"/>
  <c r="Q84" i="175"/>
  <c r="Q96" i="175"/>
  <c r="Q91" i="175"/>
  <c r="Q104" i="175"/>
  <c r="Q62" i="175"/>
  <c r="Q86" i="175"/>
  <c r="Q99" i="175"/>
  <c r="Q76" i="175"/>
  <c r="Q78" i="175"/>
  <c r="Q81" i="175"/>
  <c r="Q93" i="175"/>
  <c r="Q90" i="175"/>
  <c r="Q103" i="175"/>
  <c r="Q55" i="175"/>
  <c r="Q85" i="175"/>
  <c r="Q97" i="175"/>
  <c r="Q92" i="175"/>
  <c r="Q116" i="175"/>
  <c r="Q128" i="175"/>
  <c r="Q111" i="175"/>
  <c r="Q123" i="175"/>
  <c r="Q66" i="175"/>
  <c r="Q87" i="175"/>
  <c r="Q118" i="175"/>
  <c r="Q130" i="175"/>
  <c r="Q67" i="175"/>
  <c r="Q105" i="175"/>
  <c r="Q113" i="175"/>
  <c r="Q125" i="175"/>
  <c r="Q95" i="175"/>
  <c r="Q106" i="175"/>
  <c r="Q108" i="175"/>
  <c r="Q120" i="175"/>
  <c r="Q115" i="175"/>
  <c r="Q127" i="175"/>
  <c r="Q101" i="175"/>
  <c r="Q110" i="175"/>
  <c r="Q122" i="175"/>
  <c r="Q112" i="175"/>
  <c r="Q124" i="175"/>
  <c r="Q88" i="175"/>
  <c r="Q107" i="175"/>
  <c r="Q119" i="175"/>
  <c r="Q44" i="175"/>
  <c r="Q114" i="175"/>
  <c r="Q126" i="175"/>
  <c r="Q133" i="175"/>
  <c r="Q145" i="175"/>
  <c r="Q46" i="175"/>
  <c r="Q109" i="175"/>
  <c r="Q140" i="175"/>
  <c r="Q152" i="175"/>
  <c r="Q83" i="175"/>
  <c r="Q135" i="175"/>
  <c r="Q147" i="175"/>
  <c r="Q121" i="175"/>
  <c r="Q142" i="175"/>
  <c r="Q154" i="175"/>
  <c r="Q137" i="175"/>
  <c r="Q149" i="175"/>
  <c r="Q132" i="175"/>
  <c r="Q144" i="175"/>
  <c r="Q156" i="175"/>
  <c r="Q117" i="175"/>
  <c r="Q139" i="175"/>
  <c r="Q151" i="175"/>
  <c r="Q141" i="175"/>
  <c r="Q153" i="175"/>
  <c r="Q129" i="175"/>
  <c r="Q143" i="175"/>
  <c r="Q155" i="175"/>
  <c r="Q100" i="175"/>
  <c r="Q131" i="175"/>
  <c r="Q138" i="175"/>
  <c r="Q150" i="175"/>
  <c r="Q134" i="175"/>
  <c r="Q148" i="175"/>
  <c r="Q146" i="175"/>
  <c r="Q3" i="175"/>
  <c r="Q136" i="175"/>
  <c r="Q220" i="175"/>
  <c r="Q208" i="175"/>
  <c r="Q196" i="175"/>
  <c r="Q213" i="175"/>
  <c r="Q218" i="175"/>
  <c r="Q206" i="175"/>
  <c r="Q211" i="175"/>
  <c r="Q199" i="175"/>
  <c r="Q216" i="175"/>
  <c r="Q221" i="175"/>
  <c r="Q209" i="175"/>
  <c r="Q219" i="175"/>
  <c r="Q207" i="175"/>
  <c r="Q195" i="175"/>
  <c r="Q212" i="175"/>
  <c r="Q200" i="175"/>
  <c r="Q217" i="175"/>
  <c r="Q205" i="175"/>
  <c r="Q210" i="175"/>
  <c r="Q198" i="175"/>
  <c r="Q215" i="175"/>
  <c r="Q179" i="175"/>
  <c r="Q187" i="175"/>
  <c r="Q175" i="175"/>
  <c r="Q176" i="175"/>
  <c r="Q197" i="175"/>
  <c r="Q194" i="175"/>
  <c r="Q192" i="175"/>
  <c r="Q180" i="175"/>
  <c r="Q174" i="175"/>
  <c r="Q173" i="175"/>
  <c r="Q168" i="175"/>
  <c r="Q178" i="175"/>
  <c r="Q214" i="175"/>
  <c r="Q193" i="175"/>
  <c r="Q190" i="175"/>
  <c r="Q188" i="175"/>
  <c r="Q183" i="175"/>
  <c r="Q169" i="175"/>
  <c r="Q203" i="175"/>
  <c r="Q184" i="175"/>
  <c r="Q204" i="175"/>
  <c r="Q202" i="175"/>
  <c r="Q201" i="175"/>
  <c r="Q189" i="175"/>
  <c r="Q185" i="175"/>
  <c r="Q170" i="175"/>
  <c r="Q164" i="175"/>
  <c r="Q160" i="175"/>
  <c r="Q171" i="175"/>
  <c r="Q186" i="175"/>
  <c r="Q181" i="175"/>
  <c r="Q191" i="175"/>
  <c r="Q172" i="175"/>
  <c r="Q182" i="175"/>
  <c r="Q177" i="175"/>
  <c r="Q162" i="175"/>
  <c r="Q166" i="175"/>
  <c r="Q167" i="175"/>
  <c r="Q161" i="175"/>
  <c r="Q158" i="175"/>
  <c r="Q165" i="175"/>
  <c r="Q163" i="175"/>
  <c r="Q159" i="175"/>
  <c r="R1" i="175"/>
  <c r="R157" i="175" s="1"/>
  <c r="AG158" i="177" l="1"/>
  <c r="AG120" i="177"/>
  <c r="R13" i="175"/>
  <c r="R8" i="175"/>
  <c r="R10" i="175"/>
  <c r="R12" i="175"/>
  <c r="R14" i="175"/>
  <c r="R9" i="175"/>
  <c r="R11" i="175"/>
  <c r="AG5" i="177"/>
  <c r="AG17" i="177"/>
  <c r="AG29" i="177"/>
  <c r="AG12" i="177"/>
  <c r="AG24" i="177"/>
  <c r="AG7" i="177"/>
  <c r="AG19" i="177"/>
  <c r="AG31" i="177"/>
  <c r="AG14" i="177"/>
  <c r="AG26" i="177"/>
  <c r="AG9" i="177"/>
  <c r="AG21" i="177"/>
  <c r="AG33" i="177"/>
  <c r="AG4" i="177"/>
  <c r="AG16" i="177"/>
  <c r="AG28" i="177"/>
  <c r="AG11" i="177"/>
  <c r="AG23" i="177"/>
  <c r="AG35" i="177"/>
  <c r="AG6" i="177"/>
  <c r="AG18" i="177"/>
  <c r="AG30" i="177"/>
  <c r="AG13" i="177"/>
  <c r="AG25" i="177"/>
  <c r="AG15" i="177"/>
  <c r="AG27" i="177"/>
  <c r="AG22" i="177"/>
  <c r="AG44" i="177"/>
  <c r="AG56" i="177"/>
  <c r="AG34" i="177"/>
  <c r="AG46" i="177"/>
  <c r="AG58" i="177"/>
  <c r="AG32" i="177"/>
  <c r="AG41" i="177"/>
  <c r="AG53" i="177"/>
  <c r="AG36" i="177"/>
  <c r="AG48" i="177"/>
  <c r="AG60" i="177"/>
  <c r="AG43" i="177"/>
  <c r="AG55" i="177"/>
  <c r="AG38" i="177"/>
  <c r="AG50" i="177"/>
  <c r="AG62" i="177"/>
  <c r="AG45" i="177"/>
  <c r="AG57" i="177"/>
  <c r="AG47" i="177"/>
  <c r="AG59" i="177"/>
  <c r="AG40" i="177"/>
  <c r="AG54" i="177"/>
  <c r="AG71" i="177"/>
  <c r="AG83" i="177"/>
  <c r="AG61" i="177"/>
  <c r="AG66" i="177"/>
  <c r="AG20" i="177"/>
  <c r="AG39" i="177"/>
  <c r="AG73" i="177"/>
  <c r="AG52" i="177"/>
  <c r="AG68" i="177"/>
  <c r="AG80" i="177"/>
  <c r="AG75" i="177"/>
  <c r="AG8" i="177"/>
  <c r="AG37" i="177"/>
  <c r="AG70" i="177"/>
  <c r="AG82" i="177"/>
  <c r="AG51" i="177"/>
  <c r="AG65" i="177"/>
  <c r="AG77" i="177"/>
  <c r="AG72" i="177"/>
  <c r="AG84" i="177"/>
  <c r="AG10" i="177"/>
  <c r="AG86" i="177"/>
  <c r="AG95" i="177"/>
  <c r="AG81" i="177"/>
  <c r="AG90" i="177"/>
  <c r="AG102" i="177"/>
  <c r="AG69" i="177"/>
  <c r="AG97" i="177"/>
  <c r="AG42" i="177"/>
  <c r="AG92" i="177"/>
  <c r="AG64" i="177"/>
  <c r="AG87" i="177"/>
  <c r="AG99" i="177"/>
  <c r="AG74" i="177"/>
  <c r="AG89" i="177"/>
  <c r="AG63" i="177"/>
  <c r="AG96" i="177"/>
  <c r="AG91" i="177"/>
  <c r="AG76" i="177"/>
  <c r="AG85" i="177"/>
  <c r="AG111" i="177"/>
  <c r="AG124" i="177"/>
  <c r="AG100" i="177"/>
  <c r="AG106" i="177"/>
  <c r="AG118" i="177"/>
  <c r="AG113" i="177"/>
  <c r="AG126" i="177"/>
  <c r="AG98" i="177"/>
  <c r="AG104" i="177"/>
  <c r="AG108" i="177"/>
  <c r="AG121" i="177"/>
  <c r="AG115" i="177"/>
  <c r="AG110" i="177"/>
  <c r="AG123" i="177"/>
  <c r="AG94" i="177"/>
  <c r="AG117" i="177"/>
  <c r="AG112" i="177"/>
  <c r="AG125" i="177"/>
  <c r="AG67" i="177"/>
  <c r="AG78" i="177"/>
  <c r="AG88" i="177"/>
  <c r="AG101" i="177"/>
  <c r="AG105" i="177"/>
  <c r="AG107" i="177"/>
  <c r="AG119" i="177"/>
  <c r="AG114" i="177"/>
  <c r="AG127" i="177"/>
  <c r="AG49" i="177"/>
  <c r="AG79" i="177"/>
  <c r="AG93" i="177"/>
  <c r="AG109" i="177"/>
  <c r="AG122" i="177"/>
  <c r="AG133" i="177"/>
  <c r="AG144" i="177"/>
  <c r="AG156" i="177"/>
  <c r="AG139" i="177"/>
  <c r="AG151" i="177"/>
  <c r="AG146" i="177"/>
  <c r="AG128" i="177"/>
  <c r="AG131" i="177"/>
  <c r="AG141" i="177"/>
  <c r="AG153" i="177"/>
  <c r="AG136" i="177"/>
  <c r="AG148" i="177"/>
  <c r="AG134" i="177"/>
  <c r="AG143" i="177"/>
  <c r="AG155" i="177"/>
  <c r="AG138" i="177"/>
  <c r="AG150" i="177"/>
  <c r="AG129" i="177"/>
  <c r="AG145" i="177"/>
  <c r="AG116" i="177"/>
  <c r="AG132" i="177"/>
  <c r="AG140" i="177"/>
  <c r="AG152" i="177"/>
  <c r="AG142" i="177"/>
  <c r="AG154" i="177"/>
  <c r="AG147" i="177"/>
  <c r="AG3" i="177"/>
  <c r="AG135" i="177"/>
  <c r="AG103" i="177"/>
  <c r="AG157" i="177"/>
  <c r="AG149" i="177"/>
  <c r="AG137" i="177"/>
  <c r="AG130" i="177"/>
  <c r="AG216" i="177"/>
  <c r="AG204" i="177"/>
  <c r="AG192" i="177"/>
  <c r="AG212" i="177"/>
  <c r="AG200" i="177"/>
  <c r="AG219" i="177"/>
  <c r="AG206" i="177"/>
  <c r="AG210" i="177"/>
  <c r="AG197" i="177"/>
  <c r="AG186" i="177"/>
  <c r="AG222" i="177"/>
  <c r="AG217" i="177"/>
  <c r="AG207" i="177"/>
  <c r="AG184" i="177"/>
  <c r="AG181" i="177"/>
  <c r="AG205" i="177"/>
  <c r="AG195" i="177"/>
  <c r="AG171" i="177"/>
  <c r="AG215" i="177"/>
  <c r="AG187" i="177"/>
  <c r="AG221" i="177"/>
  <c r="AG211" i="177"/>
  <c r="AG179" i="177"/>
  <c r="AG167" i="177"/>
  <c r="AG203" i="177"/>
  <c r="AG198" i="177"/>
  <c r="AG193" i="177"/>
  <c r="AG175" i="177"/>
  <c r="AG162" i="177"/>
  <c r="AG213" i="177"/>
  <c r="AG214" i="177"/>
  <c r="AG201" i="177"/>
  <c r="AG183" i="177"/>
  <c r="AG165" i="177"/>
  <c r="AG185" i="177"/>
  <c r="AG218" i="177"/>
  <c r="AG189" i="177"/>
  <c r="AG176" i="177"/>
  <c r="AG163" i="177"/>
  <c r="AG208" i="177"/>
  <c r="AG182" i="177"/>
  <c r="AG172" i="177"/>
  <c r="AG160" i="177"/>
  <c r="AG174" i="177"/>
  <c r="AG159" i="177"/>
  <c r="AG209" i="177"/>
  <c r="AG199" i="177"/>
  <c r="AG194" i="177"/>
  <c r="AG190" i="177"/>
  <c r="AG178" i="177"/>
  <c r="AG220" i="177"/>
  <c r="AG173" i="177"/>
  <c r="AG196" i="177"/>
  <c r="AG191" i="177"/>
  <c r="AG168" i="177"/>
  <c r="AG166" i="177"/>
  <c r="AG177" i="177"/>
  <c r="AG202" i="177"/>
  <c r="AG161" i="177"/>
  <c r="AG169" i="177"/>
  <c r="AG180" i="177"/>
  <c r="AG188" i="177"/>
  <c r="AG170" i="177"/>
  <c r="AG164" i="177"/>
  <c r="AH1" i="177"/>
  <c r="R98" i="175"/>
  <c r="R28" i="175"/>
  <c r="R38" i="175"/>
  <c r="R34" i="175"/>
  <c r="R36" i="175"/>
  <c r="R35" i="175"/>
  <c r="R37" i="175"/>
  <c r="R80" i="175"/>
  <c r="R26" i="175"/>
  <c r="R21" i="175"/>
  <c r="R33" i="175"/>
  <c r="R4" i="175"/>
  <c r="R16" i="175"/>
  <c r="R23" i="175"/>
  <c r="R6" i="175"/>
  <c r="R18" i="175"/>
  <c r="R30" i="175"/>
  <c r="R25" i="175"/>
  <c r="R15" i="175"/>
  <c r="R46" i="175"/>
  <c r="R22" i="175"/>
  <c r="R41" i="175"/>
  <c r="R53" i="175"/>
  <c r="R5" i="175"/>
  <c r="R29" i="175"/>
  <c r="R48" i="175"/>
  <c r="R43" i="175"/>
  <c r="R19" i="175"/>
  <c r="R50" i="175"/>
  <c r="R20" i="175"/>
  <c r="R45" i="175"/>
  <c r="R27" i="175"/>
  <c r="R40" i="175"/>
  <c r="R52" i="175"/>
  <c r="R17" i="175"/>
  <c r="R42" i="175"/>
  <c r="R54" i="175"/>
  <c r="R7" i="175"/>
  <c r="R31" i="175"/>
  <c r="R44" i="175"/>
  <c r="R66" i="175"/>
  <c r="R78" i="175"/>
  <c r="R61" i="175"/>
  <c r="R73" i="175"/>
  <c r="R51" i="175"/>
  <c r="R56" i="175"/>
  <c r="R68" i="175"/>
  <c r="R63" i="175"/>
  <c r="R75" i="175"/>
  <c r="R24" i="175"/>
  <c r="R58" i="175"/>
  <c r="R70" i="175"/>
  <c r="R39" i="175"/>
  <c r="R65" i="175"/>
  <c r="R77" i="175"/>
  <c r="R62" i="175"/>
  <c r="R74" i="175"/>
  <c r="R57" i="175"/>
  <c r="R69" i="175"/>
  <c r="R49" i="175"/>
  <c r="R64" i="175"/>
  <c r="R76" i="175"/>
  <c r="R47" i="175"/>
  <c r="R60" i="175"/>
  <c r="R87" i="175"/>
  <c r="R100" i="175"/>
  <c r="R79" i="175"/>
  <c r="R82" i="175"/>
  <c r="R94" i="175"/>
  <c r="R32" i="175"/>
  <c r="R71" i="175"/>
  <c r="R89" i="175"/>
  <c r="R102" i="175"/>
  <c r="R84" i="175"/>
  <c r="R96" i="175"/>
  <c r="R91" i="175"/>
  <c r="R104" i="175"/>
  <c r="R59" i="175"/>
  <c r="R86" i="175"/>
  <c r="R99" i="175"/>
  <c r="R83" i="175"/>
  <c r="R95" i="175"/>
  <c r="R72" i="175"/>
  <c r="R90" i="175"/>
  <c r="R103" i="175"/>
  <c r="R55" i="175"/>
  <c r="R85" i="175"/>
  <c r="R97" i="175"/>
  <c r="R93" i="175"/>
  <c r="R109" i="175"/>
  <c r="R121" i="175"/>
  <c r="R116" i="175"/>
  <c r="R128" i="175"/>
  <c r="R111" i="175"/>
  <c r="R123" i="175"/>
  <c r="R81" i="175"/>
  <c r="R118" i="175"/>
  <c r="R67" i="175"/>
  <c r="R105" i="175"/>
  <c r="R113" i="175"/>
  <c r="R125" i="175"/>
  <c r="R92" i="175"/>
  <c r="R106" i="175"/>
  <c r="R108" i="175"/>
  <c r="R120" i="175"/>
  <c r="R115" i="175"/>
  <c r="R127" i="175"/>
  <c r="R117" i="175"/>
  <c r="R129" i="175"/>
  <c r="R112" i="175"/>
  <c r="R124" i="175"/>
  <c r="R88" i="175"/>
  <c r="R107" i="175"/>
  <c r="R119" i="175"/>
  <c r="R101" i="175"/>
  <c r="R131" i="175"/>
  <c r="R138" i="175"/>
  <c r="R150" i="175"/>
  <c r="R133" i="175"/>
  <c r="R145" i="175"/>
  <c r="R140" i="175"/>
  <c r="R152" i="175"/>
  <c r="R114" i="175"/>
  <c r="R135" i="175"/>
  <c r="R147" i="175"/>
  <c r="R142" i="175"/>
  <c r="R154" i="175"/>
  <c r="R126" i="175"/>
  <c r="R137" i="175"/>
  <c r="R149" i="175"/>
  <c r="R110" i="175"/>
  <c r="R132" i="175"/>
  <c r="R144" i="175"/>
  <c r="R156" i="175"/>
  <c r="R122" i="175"/>
  <c r="R130" i="175"/>
  <c r="R134" i="175"/>
  <c r="R146" i="175"/>
  <c r="R136" i="175"/>
  <c r="R148" i="175"/>
  <c r="R143" i="175"/>
  <c r="R155" i="175"/>
  <c r="R141" i="175"/>
  <c r="R139" i="175"/>
  <c r="R153" i="175"/>
  <c r="R151" i="175"/>
  <c r="R3" i="175"/>
  <c r="R213" i="175"/>
  <c r="R201" i="175"/>
  <c r="R218" i="175"/>
  <c r="R211" i="175"/>
  <c r="R216" i="175"/>
  <c r="R204" i="175"/>
  <c r="R192" i="175"/>
  <c r="R221" i="175"/>
  <c r="R209" i="175"/>
  <c r="R214" i="175"/>
  <c r="R219" i="175"/>
  <c r="R212" i="175"/>
  <c r="R200" i="175"/>
  <c r="R217" i="175"/>
  <c r="R205" i="175"/>
  <c r="R210" i="175"/>
  <c r="R215" i="175"/>
  <c r="R203" i="175"/>
  <c r="R191" i="175"/>
  <c r="R220" i="175"/>
  <c r="R184" i="175"/>
  <c r="R172" i="175"/>
  <c r="R189" i="175"/>
  <c r="R180" i="175"/>
  <c r="R168" i="175"/>
  <c r="R202" i="175"/>
  <c r="R198" i="175"/>
  <c r="R182" i="175"/>
  <c r="R169" i="175"/>
  <c r="R163" i="175"/>
  <c r="R173" i="175"/>
  <c r="R208" i="175"/>
  <c r="R178" i="175"/>
  <c r="R159" i="175"/>
  <c r="R193" i="175"/>
  <c r="R190" i="175"/>
  <c r="R188" i="175"/>
  <c r="R183" i="175"/>
  <c r="R165" i="175"/>
  <c r="R179" i="175"/>
  <c r="R174" i="175"/>
  <c r="R162" i="175"/>
  <c r="R207" i="175"/>
  <c r="R185" i="175"/>
  <c r="R199" i="175"/>
  <c r="R197" i="175"/>
  <c r="R196" i="175"/>
  <c r="R171" i="175"/>
  <c r="R186" i="175"/>
  <c r="R181" i="175"/>
  <c r="R176" i="175"/>
  <c r="R166" i="175"/>
  <c r="R195" i="175"/>
  <c r="R206" i="175"/>
  <c r="R177" i="175"/>
  <c r="R194" i="175"/>
  <c r="R187" i="175"/>
  <c r="R160" i="175"/>
  <c r="R175" i="175"/>
  <c r="R170" i="175"/>
  <c r="R158" i="175"/>
  <c r="R164" i="175"/>
  <c r="R167" i="175"/>
  <c r="R161" i="175"/>
  <c r="S1" i="175"/>
  <c r="S157" i="175" s="1"/>
  <c r="AH158" i="177" l="1"/>
  <c r="AI158" i="177" s="1"/>
  <c r="AH120" i="177"/>
  <c r="AI120" i="177" s="1"/>
  <c r="S11" i="175"/>
  <c r="S13" i="175"/>
  <c r="S14" i="175"/>
  <c r="S8" i="175"/>
  <c r="S10" i="175"/>
  <c r="S9" i="175"/>
  <c r="S12" i="175"/>
  <c r="AH10" i="177"/>
  <c r="AI10" i="177" s="1"/>
  <c r="AH22" i="177"/>
  <c r="AI22" i="177" s="1"/>
  <c r="AH34" i="177"/>
  <c r="AI34" i="177" s="1"/>
  <c r="AH5" i="177"/>
  <c r="AI5" i="177" s="1"/>
  <c r="AH17" i="177"/>
  <c r="AI17" i="177" s="1"/>
  <c r="AH29" i="177"/>
  <c r="AI29" i="177" s="1"/>
  <c r="AH12" i="177"/>
  <c r="AI12" i="177" s="1"/>
  <c r="AH24" i="177"/>
  <c r="AI24" i="177" s="1"/>
  <c r="AH7" i="177"/>
  <c r="AI7" i="177" s="1"/>
  <c r="AH19" i="177"/>
  <c r="AI19" i="177" s="1"/>
  <c r="AH31" i="177"/>
  <c r="AI31" i="177" s="1"/>
  <c r="AH14" i="177"/>
  <c r="AI14" i="177" s="1"/>
  <c r="AH26" i="177"/>
  <c r="AI26" i="177" s="1"/>
  <c r="AH9" i="177"/>
  <c r="AI9" i="177" s="1"/>
  <c r="AH21" i="177"/>
  <c r="AI21" i="177" s="1"/>
  <c r="AH33" i="177"/>
  <c r="AI33" i="177" s="1"/>
  <c r="AH4" i="177"/>
  <c r="AI4" i="177" s="1"/>
  <c r="AH16" i="177"/>
  <c r="AI16" i="177" s="1"/>
  <c r="AH28" i="177"/>
  <c r="AI28" i="177" s="1"/>
  <c r="AH11" i="177"/>
  <c r="AI11" i="177" s="1"/>
  <c r="AH23" i="177"/>
  <c r="AI23" i="177" s="1"/>
  <c r="AH35" i="177"/>
  <c r="AI35" i="177" s="1"/>
  <c r="AH6" i="177"/>
  <c r="AI6" i="177" s="1"/>
  <c r="AH18" i="177"/>
  <c r="AI18" i="177" s="1"/>
  <c r="AH30" i="177"/>
  <c r="AI30" i="177" s="1"/>
  <c r="AH8" i="177"/>
  <c r="AI8" i="177" s="1"/>
  <c r="AH20" i="177"/>
  <c r="AI20" i="177" s="1"/>
  <c r="AH32" i="177"/>
  <c r="AI32" i="177" s="1"/>
  <c r="AH15" i="177"/>
  <c r="AI15" i="177" s="1"/>
  <c r="AH37" i="177"/>
  <c r="AI37" i="177" s="1"/>
  <c r="AH49" i="177"/>
  <c r="AI49" i="177" s="1"/>
  <c r="AH61" i="177"/>
  <c r="AI61" i="177" s="1"/>
  <c r="AH27" i="177"/>
  <c r="AI27" i="177" s="1"/>
  <c r="AH39" i="177"/>
  <c r="AI39" i="177" s="1"/>
  <c r="AH51" i="177"/>
  <c r="AI51" i="177" s="1"/>
  <c r="AH63" i="177"/>
  <c r="AI63" i="177" s="1"/>
  <c r="AH25" i="177"/>
  <c r="AI25" i="177" s="1"/>
  <c r="AH46" i="177"/>
  <c r="AI46" i="177" s="1"/>
  <c r="AH58" i="177"/>
  <c r="AI58" i="177" s="1"/>
  <c r="AH41" i="177"/>
  <c r="AI41" i="177" s="1"/>
  <c r="AH53" i="177"/>
  <c r="AI53" i="177" s="1"/>
  <c r="AH36" i="177"/>
  <c r="AI36" i="177" s="1"/>
  <c r="AH48" i="177"/>
  <c r="AI48" i="177" s="1"/>
  <c r="AH60" i="177"/>
  <c r="AI60" i="177" s="1"/>
  <c r="AH43" i="177"/>
  <c r="AI43" i="177" s="1"/>
  <c r="AH55" i="177"/>
  <c r="AI55" i="177" s="1"/>
  <c r="AH38" i="177"/>
  <c r="AI38" i="177" s="1"/>
  <c r="AH50" i="177"/>
  <c r="AI50" i="177" s="1"/>
  <c r="AH62" i="177"/>
  <c r="AI62" i="177" s="1"/>
  <c r="AH40" i="177"/>
  <c r="AI40" i="177" s="1"/>
  <c r="AH52" i="177"/>
  <c r="AI52" i="177" s="1"/>
  <c r="AH47" i="177"/>
  <c r="AI47" i="177" s="1"/>
  <c r="AH64" i="177"/>
  <c r="AI64" i="177" s="1"/>
  <c r="AH76" i="177"/>
  <c r="AI76" i="177" s="1"/>
  <c r="AH54" i="177"/>
  <c r="AI54" i="177" s="1"/>
  <c r="AH13" i="177"/>
  <c r="AI13" i="177" s="1"/>
  <c r="AH66" i="177"/>
  <c r="AI66" i="177" s="1"/>
  <c r="AH78" i="177"/>
  <c r="AI78" i="177" s="1"/>
  <c r="AH45" i="177"/>
  <c r="AI45" i="177" s="1"/>
  <c r="AH73" i="177"/>
  <c r="AI73" i="177" s="1"/>
  <c r="AH59" i="177"/>
  <c r="AI59" i="177" s="1"/>
  <c r="AH68" i="177"/>
  <c r="AI68" i="177" s="1"/>
  <c r="AH80" i="177"/>
  <c r="AI80" i="177" s="1"/>
  <c r="AH75" i="177"/>
  <c r="AI75" i="177" s="1"/>
  <c r="AH44" i="177"/>
  <c r="AI44" i="177" s="1"/>
  <c r="AH70" i="177"/>
  <c r="AI70" i="177" s="1"/>
  <c r="AH82" i="177"/>
  <c r="AI82" i="177" s="1"/>
  <c r="AH57" i="177"/>
  <c r="AI57" i="177" s="1"/>
  <c r="AH65" i="177"/>
  <c r="AI65" i="177" s="1"/>
  <c r="AH77" i="177"/>
  <c r="AI77" i="177" s="1"/>
  <c r="AH67" i="177"/>
  <c r="AI67" i="177" s="1"/>
  <c r="AH88" i="177"/>
  <c r="AI88" i="177" s="1"/>
  <c r="AH100" i="177"/>
  <c r="AI100" i="177" s="1"/>
  <c r="AH86" i="177"/>
  <c r="AI86" i="177" s="1"/>
  <c r="AH95" i="177"/>
  <c r="AI95" i="177" s="1"/>
  <c r="AH81" i="177"/>
  <c r="AI81" i="177" s="1"/>
  <c r="AH90" i="177"/>
  <c r="AI90" i="177" s="1"/>
  <c r="AH102" i="177"/>
  <c r="AI102" i="177" s="1"/>
  <c r="AH69" i="177"/>
  <c r="AI69" i="177" s="1"/>
  <c r="AH97" i="177"/>
  <c r="AI97" i="177" s="1"/>
  <c r="AH42" i="177"/>
  <c r="AI42" i="177" s="1"/>
  <c r="AH72" i="177"/>
  <c r="AI72" i="177" s="1"/>
  <c r="AH92" i="177"/>
  <c r="AI92" i="177" s="1"/>
  <c r="AH83" i="177"/>
  <c r="AI83" i="177" s="1"/>
  <c r="AH94" i="177"/>
  <c r="AI94" i="177" s="1"/>
  <c r="AH56" i="177"/>
  <c r="AI56" i="177" s="1"/>
  <c r="AH74" i="177"/>
  <c r="AI74" i="177" s="1"/>
  <c r="AH89" i="177"/>
  <c r="AI89" i="177" s="1"/>
  <c r="AH96" i="177"/>
  <c r="AI96" i="177" s="1"/>
  <c r="AH91" i="177"/>
  <c r="AI91" i="177" s="1"/>
  <c r="AH87" i="177"/>
  <c r="AI87" i="177" s="1"/>
  <c r="AH103" i="177"/>
  <c r="AI103" i="177" s="1"/>
  <c r="AH116" i="177"/>
  <c r="AI116" i="177" s="1"/>
  <c r="AH129" i="177"/>
  <c r="AI129" i="177" s="1"/>
  <c r="AH111" i="177"/>
  <c r="AI111" i="177" s="1"/>
  <c r="AH124" i="177"/>
  <c r="AI124" i="177" s="1"/>
  <c r="AH99" i="177"/>
  <c r="AI99" i="177" s="1"/>
  <c r="AH106" i="177"/>
  <c r="AI106" i="177" s="1"/>
  <c r="AH118" i="177"/>
  <c r="AI118" i="177" s="1"/>
  <c r="AH113" i="177"/>
  <c r="AI113" i="177" s="1"/>
  <c r="AH126" i="177"/>
  <c r="AI126" i="177" s="1"/>
  <c r="AH98" i="177"/>
  <c r="AI98" i="177" s="1"/>
  <c r="AH104" i="177"/>
  <c r="AI104" i="177" s="1"/>
  <c r="AH108" i="177"/>
  <c r="AI108" i="177" s="1"/>
  <c r="AH121" i="177"/>
  <c r="AI121" i="177" s="1"/>
  <c r="AH84" i="177"/>
  <c r="AI84" i="177" s="1"/>
  <c r="AH115" i="177"/>
  <c r="AI115" i="177" s="1"/>
  <c r="AH128" i="177"/>
  <c r="AI128" i="177" s="1"/>
  <c r="AH110" i="177"/>
  <c r="AI110" i="177" s="1"/>
  <c r="AH123" i="177"/>
  <c r="AI123" i="177" s="1"/>
  <c r="AH117" i="177"/>
  <c r="AI117" i="177" s="1"/>
  <c r="AH112" i="177"/>
  <c r="AI112" i="177" s="1"/>
  <c r="AH125" i="177"/>
  <c r="AH71" i="177"/>
  <c r="AI71" i="177" s="1"/>
  <c r="AH101" i="177"/>
  <c r="AI101" i="177" s="1"/>
  <c r="AH105" i="177"/>
  <c r="AI105" i="177" s="1"/>
  <c r="AH107" i="177"/>
  <c r="AI107" i="177" s="1"/>
  <c r="AH119" i="177"/>
  <c r="AI119" i="177" s="1"/>
  <c r="AH85" i="177"/>
  <c r="AI85" i="177" s="1"/>
  <c r="AH114" i="177"/>
  <c r="AI114" i="177" s="1"/>
  <c r="AH127" i="177"/>
  <c r="AI127" i="177" s="1"/>
  <c r="AH93" i="177"/>
  <c r="AI93" i="177" s="1"/>
  <c r="AH130" i="177"/>
  <c r="AI130" i="177" s="1"/>
  <c r="AH137" i="177"/>
  <c r="AI137" i="177" s="1"/>
  <c r="AH149" i="177"/>
  <c r="AI149" i="177" s="1"/>
  <c r="AH133" i="177"/>
  <c r="AI133" i="177" s="1"/>
  <c r="AH144" i="177"/>
  <c r="AI144" i="177" s="1"/>
  <c r="AH109" i="177"/>
  <c r="AI109" i="177" s="1"/>
  <c r="AH139" i="177"/>
  <c r="AI139" i="177" s="1"/>
  <c r="AH151" i="177"/>
  <c r="AI151" i="177" s="1"/>
  <c r="AH3" i="177"/>
  <c r="AI3" i="177" s="1"/>
  <c r="AH146" i="177"/>
  <c r="AI146" i="177" s="1"/>
  <c r="AH131" i="177"/>
  <c r="AI131" i="177" s="1"/>
  <c r="AH141" i="177"/>
  <c r="AI141" i="177" s="1"/>
  <c r="AH79" i="177"/>
  <c r="AI79" i="177" s="1"/>
  <c r="AH136" i="177"/>
  <c r="AI136" i="177" s="1"/>
  <c r="AH148" i="177"/>
  <c r="AI148" i="177" s="1"/>
  <c r="AH134" i="177"/>
  <c r="AI134" i="177" s="1"/>
  <c r="AH143" i="177"/>
  <c r="AI143" i="177" s="1"/>
  <c r="AH138" i="177"/>
  <c r="AI138" i="177" s="1"/>
  <c r="AH150" i="177"/>
  <c r="AI150" i="177" s="1"/>
  <c r="AH145" i="177"/>
  <c r="AI145" i="177" s="1"/>
  <c r="AH157" i="177"/>
  <c r="AI157" i="177" s="1"/>
  <c r="AH135" i="177"/>
  <c r="AI135" i="177" s="1"/>
  <c r="AH147" i="177"/>
  <c r="AI147" i="177" s="1"/>
  <c r="AH140" i="177"/>
  <c r="AI140" i="177" s="1"/>
  <c r="AH142" i="177"/>
  <c r="AI142" i="177" s="1"/>
  <c r="AH154" i="177"/>
  <c r="AI154" i="177" s="1"/>
  <c r="AH152" i="177"/>
  <c r="AI152" i="177" s="1"/>
  <c r="AH156" i="177"/>
  <c r="AI156" i="177" s="1"/>
  <c r="AH122" i="177"/>
  <c r="AI122" i="177" s="1"/>
  <c r="AH155" i="177"/>
  <c r="AI155" i="177" s="1"/>
  <c r="AH132" i="177"/>
  <c r="AI132" i="177" s="1"/>
  <c r="AH153" i="177"/>
  <c r="AI153" i="177" s="1"/>
  <c r="AH221" i="177"/>
  <c r="AH209" i="177"/>
  <c r="AH197" i="177"/>
  <c r="AH217" i="177"/>
  <c r="AH205" i="177"/>
  <c r="AH193" i="177"/>
  <c r="AH212" i="177"/>
  <c r="AH199" i="177"/>
  <c r="AH183" i="177"/>
  <c r="AH203" i="177"/>
  <c r="AH190" i="177"/>
  <c r="AH222" i="177"/>
  <c r="AH198" i="177"/>
  <c r="AH215" i="177"/>
  <c r="AH210" i="177"/>
  <c r="AH200" i="177"/>
  <c r="AH187" i="177"/>
  <c r="AH176" i="177"/>
  <c r="AH164" i="177"/>
  <c r="AH220" i="177"/>
  <c r="AH196" i="177"/>
  <c r="AH191" i="177"/>
  <c r="AH182" i="177"/>
  <c r="AH202" i="177"/>
  <c r="AH192" i="177"/>
  <c r="AH185" i="177"/>
  <c r="AH172" i="177"/>
  <c r="AH160" i="177"/>
  <c r="AH219" i="177"/>
  <c r="AH208" i="177"/>
  <c r="AH168" i="177"/>
  <c r="AH214" i="177"/>
  <c r="AH211" i="177"/>
  <c r="AH206" i="177"/>
  <c r="AH181" i="177"/>
  <c r="AH178" i="177"/>
  <c r="AH177" i="177"/>
  <c r="AH171" i="177"/>
  <c r="AH194" i="177"/>
  <c r="AH179" i="177"/>
  <c r="AH169" i="177"/>
  <c r="AH159" i="177"/>
  <c r="AH186" i="177"/>
  <c r="AH174" i="177"/>
  <c r="AH165" i="177"/>
  <c r="AH167" i="177"/>
  <c r="AH161" i="177"/>
  <c r="AH189" i="177"/>
  <c r="AH188" i="177"/>
  <c r="AH180" i="177"/>
  <c r="AH204" i="177"/>
  <c r="AH216" i="177"/>
  <c r="AH218" i="177"/>
  <c r="AH195" i="177"/>
  <c r="AH173" i="177"/>
  <c r="AH175" i="177"/>
  <c r="AH166" i="177"/>
  <c r="AH201" i="177"/>
  <c r="AH213" i="177"/>
  <c r="AH170" i="177"/>
  <c r="AH207" i="177"/>
  <c r="AH184" i="177"/>
  <c r="AH162" i="177"/>
  <c r="AH163" i="177"/>
  <c r="S98" i="175"/>
  <c r="S28" i="175"/>
  <c r="S38" i="175"/>
  <c r="S37" i="175"/>
  <c r="S34" i="175"/>
  <c r="S36" i="175"/>
  <c r="S35" i="175"/>
  <c r="S80" i="175"/>
  <c r="S7" i="175"/>
  <c r="S19" i="175"/>
  <c r="S31" i="175"/>
  <c r="S26" i="175"/>
  <c r="S21" i="175"/>
  <c r="S33" i="175"/>
  <c r="S4" i="175"/>
  <c r="S16" i="175"/>
  <c r="S23" i="175"/>
  <c r="S6" i="175"/>
  <c r="S18" i="175"/>
  <c r="S30" i="175"/>
  <c r="S32" i="175"/>
  <c r="S39" i="175"/>
  <c r="S51" i="175"/>
  <c r="S15" i="175"/>
  <c r="S46" i="175"/>
  <c r="S22" i="175"/>
  <c r="S41" i="175"/>
  <c r="S53" i="175"/>
  <c r="S5" i="175"/>
  <c r="S29" i="175"/>
  <c r="S48" i="175"/>
  <c r="S43" i="175"/>
  <c r="S50" i="175"/>
  <c r="S20" i="175"/>
  <c r="S45" i="175"/>
  <c r="S47" i="175"/>
  <c r="S24" i="175"/>
  <c r="S49" i="175"/>
  <c r="S40" i="175"/>
  <c r="S59" i="175"/>
  <c r="S71" i="175"/>
  <c r="S17" i="175"/>
  <c r="S66" i="175"/>
  <c r="S78" i="175"/>
  <c r="S54" i="175"/>
  <c r="S61" i="175"/>
  <c r="S73" i="175"/>
  <c r="S27" i="175"/>
  <c r="S56" i="175"/>
  <c r="S68" i="175"/>
  <c r="S42" i="175"/>
  <c r="S63" i="175"/>
  <c r="S75" i="175"/>
  <c r="S58" i="175"/>
  <c r="S70" i="175"/>
  <c r="S25" i="175"/>
  <c r="S44" i="175"/>
  <c r="S55" i="175"/>
  <c r="S67" i="175"/>
  <c r="S52" i="175"/>
  <c r="S62" i="175"/>
  <c r="S74" i="175"/>
  <c r="S57" i="175"/>
  <c r="S69" i="175"/>
  <c r="S92" i="175"/>
  <c r="S105" i="175"/>
  <c r="S60" i="175"/>
  <c r="S87" i="175"/>
  <c r="S100" i="175"/>
  <c r="S79" i="175"/>
  <c r="S82" i="175"/>
  <c r="S94" i="175"/>
  <c r="S65" i="175"/>
  <c r="S77" i="175"/>
  <c r="S89" i="175"/>
  <c r="S102" i="175"/>
  <c r="S84" i="175"/>
  <c r="S96" i="175"/>
  <c r="S91" i="175"/>
  <c r="S104" i="175"/>
  <c r="S64" i="175"/>
  <c r="S88" i="175"/>
  <c r="S101" i="175"/>
  <c r="S83" i="175"/>
  <c r="S95" i="175"/>
  <c r="S72" i="175"/>
  <c r="S90" i="175"/>
  <c r="S103" i="175"/>
  <c r="S114" i="175"/>
  <c r="S126" i="175"/>
  <c r="S93" i="175"/>
  <c r="S109" i="175"/>
  <c r="S121" i="175"/>
  <c r="S116" i="175"/>
  <c r="S128" i="175"/>
  <c r="S99" i="175"/>
  <c r="S111" i="175"/>
  <c r="S123" i="175"/>
  <c r="S81" i="175"/>
  <c r="S118" i="175"/>
  <c r="S113" i="175"/>
  <c r="S125" i="175"/>
  <c r="S86" i="175"/>
  <c r="S106" i="175"/>
  <c r="S108" i="175"/>
  <c r="S120" i="175"/>
  <c r="S97" i="175"/>
  <c r="S110" i="175"/>
  <c r="S122" i="175"/>
  <c r="S76" i="175"/>
  <c r="S117" i="175"/>
  <c r="S112" i="175"/>
  <c r="S124" i="175"/>
  <c r="S143" i="175"/>
  <c r="S155" i="175"/>
  <c r="S131" i="175"/>
  <c r="S138" i="175"/>
  <c r="S150" i="175"/>
  <c r="S133" i="175"/>
  <c r="S145" i="175"/>
  <c r="S107" i="175"/>
  <c r="S140" i="175"/>
  <c r="S152" i="175"/>
  <c r="S135" i="175"/>
  <c r="S147" i="175"/>
  <c r="S85" i="175"/>
  <c r="S119" i="175"/>
  <c r="S142" i="175"/>
  <c r="S154" i="175"/>
  <c r="S137" i="175"/>
  <c r="S149" i="175"/>
  <c r="S115" i="175"/>
  <c r="S139" i="175"/>
  <c r="S151" i="175"/>
  <c r="S127" i="175"/>
  <c r="S141" i="175"/>
  <c r="S153" i="175"/>
  <c r="S129" i="175"/>
  <c r="S136" i="175"/>
  <c r="S148" i="175"/>
  <c r="S134" i="175"/>
  <c r="S132" i="175"/>
  <c r="S146" i="175"/>
  <c r="S144" i="175"/>
  <c r="S130" i="175"/>
  <c r="S156" i="175"/>
  <c r="S3" i="175"/>
  <c r="S218" i="175"/>
  <c r="S206" i="175"/>
  <c r="S211" i="175"/>
  <c r="S216" i="175"/>
  <c r="S221" i="175"/>
  <c r="S209" i="175"/>
  <c r="S197" i="175"/>
  <c r="S214" i="175"/>
  <c r="S219" i="175"/>
  <c r="S207" i="175"/>
  <c r="S217" i="175"/>
  <c r="S205" i="175"/>
  <c r="S193" i="175"/>
  <c r="S210" i="175"/>
  <c r="S198" i="175"/>
  <c r="S215" i="175"/>
  <c r="S220" i="175"/>
  <c r="S208" i="175"/>
  <c r="S196" i="175"/>
  <c r="S203" i="175"/>
  <c r="S201" i="175"/>
  <c r="S199" i="175"/>
  <c r="S177" i="175"/>
  <c r="S190" i="175"/>
  <c r="S185" i="175"/>
  <c r="S173" i="175"/>
  <c r="S188" i="175"/>
  <c r="S175" i="175"/>
  <c r="S186" i="175"/>
  <c r="S183" i="175"/>
  <c r="S165" i="175"/>
  <c r="S179" i="175"/>
  <c r="S184" i="175"/>
  <c r="S167" i="175"/>
  <c r="S204" i="175"/>
  <c r="S202" i="175"/>
  <c r="S200" i="175"/>
  <c r="S192" i="175"/>
  <c r="S189" i="175"/>
  <c r="S180" i="175"/>
  <c r="S213" i="175"/>
  <c r="S171" i="175"/>
  <c r="S158" i="175"/>
  <c r="S181" i="175"/>
  <c r="S176" i="175"/>
  <c r="S166" i="175"/>
  <c r="S195" i="175"/>
  <c r="S212" i="175"/>
  <c r="S191" i="175"/>
  <c r="S194" i="175"/>
  <c r="S187" i="175"/>
  <c r="S182" i="175"/>
  <c r="S178" i="175"/>
  <c r="S168" i="175"/>
  <c r="S172" i="175"/>
  <c r="S164" i="175"/>
  <c r="S170" i="175"/>
  <c r="S162" i="175"/>
  <c r="S161" i="175"/>
  <c r="S160" i="175"/>
  <c r="S174" i="175"/>
  <c r="S169" i="175"/>
  <c r="S163" i="175"/>
  <c r="S159" i="175"/>
  <c r="T1" i="175"/>
  <c r="T157" i="175" s="1"/>
  <c r="T11" i="175" l="1"/>
  <c r="T13" i="175"/>
  <c r="T8" i="175"/>
  <c r="T14" i="175"/>
  <c r="T10" i="175"/>
  <c r="T12" i="175"/>
  <c r="T9" i="175"/>
  <c r="T98" i="175"/>
  <c r="T28" i="175"/>
  <c r="T36" i="175"/>
  <c r="T38" i="175"/>
  <c r="T35" i="175"/>
  <c r="T37" i="175"/>
  <c r="T34" i="175"/>
  <c r="T80" i="175"/>
  <c r="T24" i="175"/>
  <c r="T7" i="175"/>
  <c r="T19" i="175"/>
  <c r="T31" i="175"/>
  <c r="T26" i="175"/>
  <c r="T21" i="175"/>
  <c r="T33" i="175"/>
  <c r="T4" i="175"/>
  <c r="T16" i="175"/>
  <c r="T23" i="175"/>
  <c r="T25" i="175"/>
  <c r="T44" i="175"/>
  <c r="T32" i="175"/>
  <c r="T39" i="175"/>
  <c r="T51" i="175"/>
  <c r="T15" i="175"/>
  <c r="T46" i="175"/>
  <c r="T22" i="175"/>
  <c r="T41" i="175"/>
  <c r="T53" i="175"/>
  <c r="T5" i="175"/>
  <c r="T29" i="175"/>
  <c r="T48" i="175"/>
  <c r="T6" i="175"/>
  <c r="T30" i="175"/>
  <c r="T43" i="175"/>
  <c r="T50" i="175"/>
  <c r="T27" i="175"/>
  <c r="T40" i="175"/>
  <c r="T52" i="175"/>
  <c r="T17" i="175"/>
  <c r="T42" i="175"/>
  <c r="T54" i="175"/>
  <c r="T20" i="175"/>
  <c r="T64" i="175"/>
  <c r="T76" i="175"/>
  <c r="T59" i="175"/>
  <c r="T71" i="175"/>
  <c r="T66" i="175"/>
  <c r="T78" i="175"/>
  <c r="T45" i="175"/>
  <c r="T61" i="175"/>
  <c r="T73" i="175"/>
  <c r="T56" i="175"/>
  <c r="T68" i="175"/>
  <c r="T18" i="175"/>
  <c r="T63" i="175"/>
  <c r="T75" i="175"/>
  <c r="T60" i="175"/>
  <c r="T72" i="175"/>
  <c r="T55" i="175"/>
  <c r="T67" i="175"/>
  <c r="T62" i="175"/>
  <c r="T74" i="175"/>
  <c r="T85" i="175"/>
  <c r="T97" i="175"/>
  <c r="T47" i="175"/>
  <c r="T92" i="175"/>
  <c r="T105" i="175"/>
  <c r="T57" i="175"/>
  <c r="T87" i="175"/>
  <c r="T100" i="175"/>
  <c r="T79" i="175"/>
  <c r="T82" i="175"/>
  <c r="T94" i="175"/>
  <c r="T65" i="175"/>
  <c r="T77" i="175"/>
  <c r="T89" i="175"/>
  <c r="T102" i="175"/>
  <c r="T49" i="175"/>
  <c r="T84" i="175"/>
  <c r="T96" i="175"/>
  <c r="T81" i="175"/>
  <c r="T93" i="175"/>
  <c r="T58" i="175"/>
  <c r="T88" i="175"/>
  <c r="T101" i="175"/>
  <c r="T83" i="175"/>
  <c r="T95" i="175"/>
  <c r="T107" i="175"/>
  <c r="T119" i="175"/>
  <c r="T131" i="175"/>
  <c r="T114" i="175"/>
  <c r="T126" i="175"/>
  <c r="T90" i="175"/>
  <c r="T109" i="175"/>
  <c r="T121" i="175"/>
  <c r="T116" i="175"/>
  <c r="T128" i="175"/>
  <c r="T99" i="175"/>
  <c r="T111" i="175"/>
  <c r="T123" i="175"/>
  <c r="T118" i="175"/>
  <c r="T104" i="175"/>
  <c r="T113" i="175"/>
  <c r="T125" i="175"/>
  <c r="T69" i="175"/>
  <c r="T115" i="175"/>
  <c r="T127" i="175"/>
  <c r="T70" i="175"/>
  <c r="T91" i="175"/>
  <c r="T110" i="175"/>
  <c r="T122" i="175"/>
  <c r="T117" i="175"/>
  <c r="T129" i="175"/>
  <c r="T136" i="175"/>
  <c r="T148" i="175"/>
  <c r="T143" i="175"/>
  <c r="T155" i="175"/>
  <c r="T138" i="175"/>
  <c r="T150" i="175"/>
  <c r="T103" i="175"/>
  <c r="T133" i="175"/>
  <c r="T145" i="175"/>
  <c r="T140" i="175"/>
  <c r="T152" i="175"/>
  <c r="T112" i="175"/>
  <c r="T135" i="175"/>
  <c r="T147" i="175"/>
  <c r="T86" i="175"/>
  <c r="T142" i="175"/>
  <c r="T154" i="175"/>
  <c r="T108" i="175"/>
  <c r="T132" i="175"/>
  <c r="T144" i="175"/>
  <c r="T156" i="175"/>
  <c r="T106" i="175"/>
  <c r="T120" i="175"/>
  <c r="T130" i="175"/>
  <c r="T134" i="175"/>
  <c r="T146" i="175"/>
  <c r="T141" i="175"/>
  <c r="T153" i="175"/>
  <c r="T139" i="175"/>
  <c r="T137" i="175"/>
  <c r="T151" i="175"/>
  <c r="T149" i="175"/>
  <c r="T3" i="175"/>
  <c r="T124" i="175"/>
  <c r="T211" i="175"/>
  <c r="T199" i="175"/>
  <c r="T216" i="175"/>
  <c r="T221" i="175"/>
  <c r="T209" i="175"/>
  <c r="T214" i="175"/>
  <c r="T202" i="175"/>
  <c r="T190" i="175"/>
  <c r="T219" i="175"/>
  <c r="T212" i="175"/>
  <c r="T217" i="175"/>
  <c r="T210" i="175"/>
  <c r="T198" i="175"/>
  <c r="T215" i="175"/>
  <c r="T203" i="175"/>
  <c r="T220" i="175"/>
  <c r="T208" i="175"/>
  <c r="T213" i="175"/>
  <c r="T201" i="175"/>
  <c r="T189" i="175"/>
  <c r="T218" i="175"/>
  <c r="T197" i="175"/>
  <c r="T195" i="175"/>
  <c r="T182" i="175"/>
  <c r="T170" i="175"/>
  <c r="T191" i="175"/>
  <c r="T178" i="175"/>
  <c r="T181" i="175"/>
  <c r="T168" i="175"/>
  <c r="T179" i="175"/>
  <c r="T193" i="175"/>
  <c r="T188" i="175"/>
  <c r="T174" i="175"/>
  <c r="T169" i="175"/>
  <c r="T162" i="175"/>
  <c r="T184" i="175"/>
  <c r="T207" i="175"/>
  <c r="T204" i="175"/>
  <c r="T164" i="175"/>
  <c r="T160" i="175"/>
  <c r="T200" i="175"/>
  <c r="T192" i="175"/>
  <c r="T185" i="175"/>
  <c r="T180" i="175"/>
  <c r="T205" i="175"/>
  <c r="T196" i="175"/>
  <c r="T176" i="175"/>
  <c r="T166" i="175"/>
  <c r="T186" i="175"/>
  <c r="T172" i="175"/>
  <c r="T163" i="175"/>
  <c r="T161" i="175"/>
  <c r="T206" i="175"/>
  <c r="T194" i="175"/>
  <c r="T187" i="175"/>
  <c r="T177" i="175"/>
  <c r="T183" i="175"/>
  <c r="T173" i="175"/>
  <c r="T165" i="175"/>
  <c r="T158" i="175"/>
  <c r="T159" i="175"/>
  <c r="T175" i="175"/>
  <c r="T167" i="175"/>
  <c r="T171" i="175"/>
  <c r="U1" i="175"/>
  <c r="U157" i="175" s="1"/>
  <c r="U9" i="175" l="1"/>
  <c r="U11" i="175"/>
  <c r="U8" i="175"/>
  <c r="U13" i="175"/>
  <c r="U12" i="175"/>
  <c r="U14" i="175"/>
  <c r="U10" i="175"/>
  <c r="U98" i="175"/>
  <c r="U28" i="175"/>
  <c r="U36" i="175"/>
  <c r="U35" i="175"/>
  <c r="U37" i="175"/>
  <c r="U34" i="175"/>
  <c r="U38" i="175"/>
  <c r="U80" i="175"/>
  <c r="U5" i="175"/>
  <c r="U17" i="175"/>
  <c r="U29" i="175"/>
  <c r="U24" i="175"/>
  <c r="U7" i="175"/>
  <c r="U19" i="175"/>
  <c r="U31" i="175"/>
  <c r="U26" i="175"/>
  <c r="U21" i="175"/>
  <c r="U33" i="175"/>
  <c r="U4" i="175"/>
  <c r="U16" i="175"/>
  <c r="U18" i="175"/>
  <c r="U49" i="175"/>
  <c r="U25" i="175"/>
  <c r="U44" i="175"/>
  <c r="U32" i="175"/>
  <c r="U39" i="175"/>
  <c r="U51" i="175"/>
  <c r="U15" i="175"/>
  <c r="U46" i="175"/>
  <c r="U22" i="175"/>
  <c r="U41" i="175"/>
  <c r="U53" i="175"/>
  <c r="U23" i="175"/>
  <c r="U48" i="175"/>
  <c r="U6" i="175"/>
  <c r="U30" i="175"/>
  <c r="U43" i="175"/>
  <c r="U20" i="175"/>
  <c r="U45" i="175"/>
  <c r="U47" i="175"/>
  <c r="U57" i="175"/>
  <c r="U69" i="175"/>
  <c r="U40" i="175"/>
  <c r="U64" i="175"/>
  <c r="U76" i="175"/>
  <c r="U59" i="175"/>
  <c r="U71" i="175"/>
  <c r="U54" i="175"/>
  <c r="U66" i="175"/>
  <c r="U78" i="175"/>
  <c r="U27" i="175"/>
  <c r="U61" i="175"/>
  <c r="U73" i="175"/>
  <c r="U42" i="175"/>
  <c r="U56" i="175"/>
  <c r="U68" i="175"/>
  <c r="U65" i="175"/>
  <c r="U77" i="175"/>
  <c r="U60" i="175"/>
  <c r="U72" i="175"/>
  <c r="U52" i="175"/>
  <c r="U55" i="175"/>
  <c r="U67" i="175"/>
  <c r="U63" i="175"/>
  <c r="U90" i="175"/>
  <c r="U103" i="175"/>
  <c r="U85" i="175"/>
  <c r="U97" i="175"/>
  <c r="U74" i="175"/>
  <c r="U92" i="175"/>
  <c r="U105" i="175"/>
  <c r="U87" i="175"/>
  <c r="U100" i="175"/>
  <c r="U79" i="175"/>
  <c r="U82" i="175"/>
  <c r="U94" i="175"/>
  <c r="U62" i="175"/>
  <c r="U89" i="175"/>
  <c r="U102" i="175"/>
  <c r="U86" i="175"/>
  <c r="U99" i="175"/>
  <c r="U75" i="175"/>
  <c r="U81" i="175"/>
  <c r="U93" i="175"/>
  <c r="U58" i="175"/>
  <c r="U88" i="175"/>
  <c r="U101" i="175"/>
  <c r="U50" i="175"/>
  <c r="U96" i="175"/>
  <c r="U112" i="175"/>
  <c r="U124" i="175"/>
  <c r="U107" i="175"/>
  <c r="U119" i="175"/>
  <c r="U114" i="175"/>
  <c r="U126" i="175"/>
  <c r="U84" i="175"/>
  <c r="U109" i="175"/>
  <c r="U121" i="175"/>
  <c r="U116" i="175"/>
  <c r="U128" i="175"/>
  <c r="U95" i="175"/>
  <c r="U111" i="175"/>
  <c r="U123" i="175"/>
  <c r="U118" i="175"/>
  <c r="U83" i="175"/>
  <c r="U106" i="175"/>
  <c r="U108" i="175"/>
  <c r="U120" i="175"/>
  <c r="U115" i="175"/>
  <c r="U127" i="175"/>
  <c r="U70" i="175"/>
  <c r="U91" i="175"/>
  <c r="U110" i="175"/>
  <c r="U122" i="175"/>
  <c r="U125" i="175"/>
  <c r="U129" i="175"/>
  <c r="U141" i="175"/>
  <c r="U153" i="175"/>
  <c r="U136" i="175"/>
  <c r="U148" i="175"/>
  <c r="U131" i="175"/>
  <c r="U143" i="175"/>
  <c r="U155" i="175"/>
  <c r="U138" i="175"/>
  <c r="U150" i="175"/>
  <c r="U104" i="175"/>
  <c r="U133" i="175"/>
  <c r="U145" i="175"/>
  <c r="U140" i="175"/>
  <c r="U152" i="175"/>
  <c r="U135" i="175"/>
  <c r="U147" i="175"/>
  <c r="U137" i="175"/>
  <c r="U149" i="175"/>
  <c r="U113" i="175"/>
  <c r="U139" i="175"/>
  <c r="U151" i="175"/>
  <c r="U130" i="175"/>
  <c r="U134" i="175"/>
  <c r="U146" i="175"/>
  <c r="U3" i="175"/>
  <c r="U156" i="175"/>
  <c r="U132" i="175"/>
  <c r="U117" i="175"/>
  <c r="U144" i="175"/>
  <c r="U142" i="175"/>
  <c r="U154" i="175"/>
  <c r="U216" i="175"/>
  <c r="U204" i="175"/>
  <c r="U221" i="175"/>
  <c r="U209" i="175"/>
  <c r="U214" i="175"/>
  <c r="U219" i="175"/>
  <c r="U207" i="175"/>
  <c r="U195" i="175"/>
  <c r="U212" i="175"/>
  <c r="U217" i="175"/>
  <c r="U205" i="175"/>
  <c r="U215" i="175"/>
  <c r="U203" i="175"/>
  <c r="U191" i="175"/>
  <c r="U220" i="175"/>
  <c r="U208" i="175"/>
  <c r="U196" i="175"/>
  <c r="U213" i="175"/>
  <c r="U218" i="175"/>
  <c r="U206" i="175"/>
  <c r="U194" i="175"/>
  <c r="U187" i="175"/>
  <c r="U175" i="175"/>
  <c r="U210" i="175"/>
  <c r="U192" i="175"/>
  <c r="U183" i="175"/>
  <c r="U171" i="175"/>
  <c r="U189" i="175"/>
  <c r="U174" i="175"/>
  <c r="U166" i="175"/>
  <c r="U200" i="175"/>
  <c r="U185" i="175"/>
  <c r="U172" i="175"/>
  <c r="U190" i="175"/>
  <c r="U169" i="175"/>
  <c r="U162" i="175"/>
  <c r="U211" i="175"/>
  <c r="U184" i="175"/>
  <c r="U179" i="175"/>
  <c r="U167" i="175"/>
  <c r="U202" i="175"/>
  <c r="U180" i="175"/>
  <c r="U170" i="175"/>
  <c r="U201" i="175"/>
  <c r="U199" i="175"/>
  <c r="U198" i="175"/>
  <c r="U197" i="175"/>
  <c r="U186" i="175"/>
  <c r="U181" i="175"/>
  <c r="U163" i="175"/>
  <c r="U177" i="175"/>
  <c r="U182" i="175"/>
  <c r="U178" i="175"/>
  <c r="U173" i="175"/>
  <c r="U168" i="175"/>
  <c r="U165" i="175"/>
  <c r="U193" i="175"/>
  <c r="U188" i="175"/>
  <c r="U161" i="175"/>
  <c r="U159" i="175"/>
  <c r="U164" i="175"/>
  <c r="U160" i="175"/>
  <c r="U176" i="175"/>
  <c r="U158" i="175"/>
  <c r="V1" i="175"/>
  <c r="V157" i="175" s="1"/>
  <c r="V14" i="175" l="1"/>
  <c r="V9" i="175"/>
  <c r="V12" i="175"/>
  <c r="V11" i="175"/>
  <c r="V13" i="175"/>
  <c r="V8" i="175"/>
  <c r="V10" i="175"/>
  <c r="V98" i="175"/>
  <c r="V28" i="175"/>
  <c r="V34" i="175"/>
  <c r="V36" i="175"/>
  <c r="V37" i="175"/>
  <c r="V38" i="175"/>
  <c r="V35" i="175"/>
  <c r="V80" i="175"/>
  <c r="V22" i="175"/>
  <c r="V5" i="175"/>
  <c r="V17" i="175"/>
  <c r="V29" i="175"/>
  <c r="V24" i="175"/>
  <c r="V7" i="175"/>
  <c r="V19" i="175"/>
  <c r="V31" i="175"/>
  <c r="V26" i="175"/>
  <c r="V21" i="175"/>
  <c r="V33" i="175"/>
  <c r="V4" i="175"/>
  <c r="V42" i="175"/>
  <c r="V18" i="175"/>
  <c r="V49" i="175"/>
  <c r="V25" i="175"/>
  <c r="V44" i="175"/>
  <c r="V32" i="175"/>
  <c r="V39" i="175"/>
  <c r="V51" i="175"/>
  <c r="V15" i="175"/>
  <c r="V46" i="175"/>
  <c r="V16" i="175"/>
  <c r="V41" i="175"/>
  <c r="V53" i="175"/>
  <c r="V23" i="175"/>
  <c r="V48" i="175"/>
  <c r="V50" i="175"/>
  <c r="V27" i="175"/>
  <c r="V40" i="175"/>
  <c r="V52" i="175"/>
  <c r="V43" i="175"/>
  <c r="V62" i="175"/>
  <c r="V74" i="175"/>
  <c r="V20" i="175"/>
  <c r="V57" i="175"/>
  <c r="V69" i="175"/>
  <c r="V64" i="175"/>
  <c r="V76" i="175"/>
  <c r="V30" i="175"/>
  <c r="V59" i="175"/>
  <c r="V71" i="175"/>
  <c r="V45" i="175"/>
  <c r="V54" i="175"/>
  <c r="V66" i="175"/>
  <c r="V78" i="175"/>
  <c r="V61" i="175"/>
  <c r="V73" i="175"/>
  <c r="V47" i="175"/>
  <c r="V58" i="175"/>
  <c r="V70" i="175"/>
  <c r="V65" i="175"/>
  <c r="V60" i="175"/>
  <c r="V72" i="175"/>
  <c r="V6" i="175"/>
  <c r="V83" i="175"/>
  <c r="V95" i="175"/>
  <c r="V63" i="175"/>
  <c r="V90" i="175"/>
  <c r="V103" i="175"/>
  <c r="V85" i="175"/>
  <c r="V97" i="175"/>
  <c r="V68" i="175"/>
  <c r="V92" i="175"/>
  <c r="V87" i="175"/>
  <c r="V100" i="175"/>
  <c r="V77" i="175"/>
  <c r="V79" i="175"/>
  <c r="V82" i="175"/>
  <c r="V94" i="175"/>
  <c r="V67" i="175"/>
  <c r="V91" i="175"/>
  <c r="V104" i="175"/>
  <c r="V86" i="175"/>
  <c r="V99" i="175"/>
  <c r="V75" i="175"/>
  <c r="V81" i="175"/>
  <c r="V93" i="175"/>
  <c r="V117" i="175"/>
  <c r="V129" i="175"/>
  <c r="V96" i="175"/>
  <c r="V112" i="175"/>
  <c r="V124" i="175"/>
  <c r="V107" i="175"/>
  <c r="V119" i="175"/>
  <c r="V102" i="175"/>
  <c r="V114" i="175"/>
  <c r="V126" i="175"/>
  <c r="V84" i="175"/>
  <c r="V109" i="175"/>
  <c r="V121" i="175"/>
  <c r="V55" i="175"/>
  <c r="V105" i="175"/>
  <c r="V116" i="175"/>
  <c r="V128" i="175"/>
  <c r="V56" i="175"/>
  <c r="V89" i="175"/>
  <c r="V111" i="175"/>
  <c r="V123" i="175"/>
  <c r="V101" i="175"/>
  <c r="V113" i="175"/>
  <c r="V125" i="175"/>
  <c r="V106" i="175"/>
  <c r="V108" i="175"/>
  <c r="V120" i="175"/>
  <c r="V115" i="175"/>
  <c r="V127" i="175"/>
  <c r="V118" i="175"/>
  <c r="V130" i="175"/>
  <c r="V134" i="175"/>
  <c r="V146" i="175"/>
  <c r="V141" i="175"/>
  <c r="V153" i="175"/>
  <c r="V136" i="175"/>
  <c r="V148" i="175"/>
  <c r="V131" i="175"/>
  <c r="V143" i="175"/>
  <c r="V155" i="175"/>
  <c r="V138" i="175"/>
  <c r="V150" i="175"/>
  <c r="V133" i="175"/>
  <c r="V145" i="175"/>
  <c r="V140" i="175"/>
  <c r="V152" i="175"/>
  <c r="V142" i="175"/>
  <c r="V154" i="175"/>
  <c r="V132" i="175"/>
  <c r="V144" i="175"/>
  <c r="V156" i="175"/>
  <c r="V139" i="175"/>
  <c r="V151" i="175"/>
  <c r="V3" i="175"/>
  <c r="V88" i="175"/>
  <c r="V137" i="175"/>
  <c r="V149" i="175"/>
  <c r="V135" i="175"/>
  <c r="V147" i="175"/>
  <c r="V122" i="175"/>
  <c r="V110" i="175"/>
  <c r="V221" i="175"/>
  <c r="V209" i="175"/>
  <c r="V197" i="175"/>
  <c r="V214" i="175"/>
  <c r="V219" i="175"/>
  <c r="V207" i="175"/>
  <c r="V212" i="175"/>
  <c r="V200" i="175"/>
  <c r="V217" i="175"/>
  <c r="V210" i="175"/>
  <c r="V215" i="175"/>
  <c r="V220" i="175"/>
  <c r="V208" i="175"/>
  <c r="V196" i="175"/>
  <c r="V213" i="175"/>
  <c r="V201" i="175"/>
  <c r="V218" i="175"/>
  <c r="V206" i="175"/>
  <c r="V211" i="175"/>
  <c r="V199" i="175"/>
  <c r="V216" i="175"/>
  <c r="V180" i="175"/>
  <c r="V168" i="175"/>
  <c r="V205" i="175"/>
  <c r="V202" i="175"/>
  <c r="V193" i="175"/>
  <c r="V188" i="175"/>
  <c r="V176" i="175"/>
  <c r="V194" i="175"/>
  <c r="V187" i="175"/>
  <c r="V190" i="175"/>
  <c r="V178" i="175"/>
  <c r="V184" i="175"/>
  <c r="V179" i="175"/>
  <c r="V174" i="175"/>
  <c r="V167" i="175"/>
  <c r="V164" i="175"/>
  <c r="V160" i="175"/>
  <c r="V204" i="175"/>
  <c r="V203" i="175"/>
  <c r="V192" i="175"/>
  <c r="V185" i="175"/>
  <c r="V175" i="175"/>
  <c r="V158" i="175"/>
  <c r="V189" i="175"/>
  <c r="V198" i="175"/>
  <c r="V186" i="175"/>
  <c r="V181" i="175"/>
  <c r="V163" i="175"/>
  <c r="V161" i="175"/>
  <c r="V195" i="175"/>
  <c r="V177" i="175"/>
  <c r="V172" i="175"/>
  <c r="V191" i="175"/>
  <c r="V182" i="175"/>
  <c r="V183" i="175"/>
  <c r="V169" i="175"/>
  <c r="V165" i="175"/>
  <c r="V173" i="175"/>
  <c r="V166" i="175"/>
  <c r="V170" i="175"/>
  <c r="V162" i="175"/>
  <c r="V159" i="175"/>
  <c r="V171" i="175"/>
  <c r="W1" i="175"/>
  <c r="W157" i="175" s="1"/>
  <c r="W11" i="175" l="1"/>
  <c r="W12" i="175"/>
  <c r="W14" i="175"/>
  <c r="W9" i="175"/>
  <c r="W10" i="175"/>
  <c r="W13" i="175"/>
  <c r="W8" i="175"/>
  <c r="W98" i="175"/>
  <c r="W28" i="175"/>
  <c r="W38" i="175"/>
  <c r="W34" i="175"/>
  <c r="W36" i="175"/>
  <c r="W35" i="175"/>
  <c r="W37" i="175"/>
  <c r="W80" i="175"/>
  <c r="W15" i="175"/>
  <c r="W27" i="175"/>
  <c r="W22" i="175"/>
  <c r="W5" i="175"/>
  <c r="W17" i="175"/>
  <c r="W29" i="175"/>
  <c r="W24" i="175"/>
  <c r="W7" i="175"/>
  <c r="W19" i="175"/>
  <c r="W31" i="175"/>
  <c r="W26" i="175"/>
  <c r="W47" i="175"/>
  <c r="W4" i="175"/>
  <c r="W42" i="175"/>
  <c r="W18" i="175"/>
  <c r="W49" i="175"/>
  <c r="W25" i="175"/>
  <c r="W44" i="175"/>
  <c r="W32" i="175"/>
  <c r="W39" i="175"/>
  <c r="W51" i="175"/>
  <c r="W33" i="175"/>
  <c r="W46" i="175"/>
  <c r="W16" i="175"/>
  <c r="W41" i="175"/>
  <c r="W53" i="175"/>
  <c r="W6" i="175"/>
  <c r="W30" i="175"/>
  <c r="W43" i="175"/>
  <c r="W20" i="175"/>
  <c r="W45" i="175"/>
  <c r="W23" i="175"/>
  <c r="W55" i="175"/>
  <c r="W67" i="175"/>
  <c r="W79" i="175"/>
  <c r="W62" i="175"/>
  <c r="W74" i="175"/>
  <c r="W40" i="175"/>
  <c r="W57" i="175"/>
  <c r="W69" i="175"/>
  <c r="W48" i="175"/>
  <c r="W64" i="175"/>
  <c r="W76" i="175"/>
  <c r="W59" i="175"/>
  <c r="W71" i="175"/>
  <c r="W21" i="175"/>
  <c r="W54" i="175"/>
  <c r="W66" i="175"/>
  <c r="W78" i="175"/>
  <c r="W63" i="175"/>
  <c r="W75" i="175"/>
  <c r="W58" i="175"/>
  <c r="W70" i="175"/>
  <c r="W65" i="175"/>
  <c r="W88" i="175"/>
  <c r="W101" i="175"/>
  <c r="W83" i="175"/>
  <c r="W95" i="175"/>
  <c r="W60" i="175"/>
  <c r="W90" i="175"/>
  <c r="W103" i="175"/>
  <c r="W85" i="175"/>
  <c r="W97" i="175"/>
  <c r="W68" i="175"/>
  <c r="W92" i="175"/>
  <c r="W87" i="175"/>
  <c r="W100" i="175"/>
  <c r="W84" i="175"/>
  <c r="W96" i="175"/>
  <c r="W61" i="175"/>
  <c r="W91" i="175"/>
  <c r="W104" i="175"/>
  <c r="W86" i="175"/>
  <c r="W99" i="175"/>
  <c r="W77" i="175"/>
  <c r="W82" i="175"/>
  <c r="W110" i="175"/>
  <c r="W122" i="175"/>
  <c r="W50" i="175"/>
  <c r="W117" i="175"/>
  <c r="W129" i="175"/>
  <c r="W52" i="175"/>
  <c r="W72" i="175"/>
  <c r="W93" i="175"/>
  <c r="W112" i="175"/>
  <c r="W124" i="175"/>
  <c r="W73" i="175"/>
  <c r="W107" i="175"/>
  <c r="W119" i="175"/>
  <c r="W102" i="175"/>
  <c r="W114" i="175"/>
  <c r="W126" i="175"/>
  <c r="W81" i="175"/>
  <c r="W109" i="175"/>
  <c r="W121" i="175"/>
  <c r="W105" i="175"/>
  <c r="W116" i="175"/>
  <c r="W128" i="175"/>
  <c r="W118" i="175"/>
  <c r="W130" i="175"/>
  <c r="W94" i="175"/>
  <c r="W113" i="175"/>
  <c r="W125" i="175"/>
  <c r="W106" i="175"/>
  <c r="W108" i="175"/>
  <c r="W120" i="175"/>
  <c r="W111" i="175"/>
  <c r="W139" i="175"/>
  <c r="W151" i="175"/>
  <c r="W134" i="175"/>
  <c r="W146" i="175"/>
  <c r="W56" i="175"/>
  <c r="W123" i="175"/>
  <c r="W141" i="175"/>
  <c r="W153" i="175"/>
  <c r="W136" i="175"/>
  <c r="W148" i="175"/>
  <c r="W131" i="175"/>
  <c r="W143" i="175"/>
  <c r="W155" i="175"/>
  <c r="W138" i="175"/>
  <c r="W150" i="175"/>
  <c r="W133" i="175"/>
  <c r="W145" i="175"/>
  <c r="W135" i="175"/>
  <c r="W147" i="175"/>
  <c r="W89" i="175"/>
  <c r="W137" i="175"/>
  <c r="W149" i="175"/>
  <c r="W127" i="175"/>
  <c r="W132" i="175"/>
  <c r="W144" i="175"/>
  <c r="W156" i="175"/>
  <c r="W142" i="175"/>
  <c r="W3" i="175"/>
  <c r="W115" i="175"/>
  <c r="W140" i="175"/>
  <c r="W154" i="175"/>
  <c r="W152" i="175"/>
  <c r="W214" i="175"/>
  <c r="W202" i="175"/>
  <c r="W219" i="175"/>
  <c r="W207" i="175"/>
  <c r="W212" i="175"/>
  <c r="W217" i="175"/>
  <c r="W205" i="175"/>
  <c r="W193" i="175"/>
  <c r="W210" i="175"/>
  <c r="W215" i="175"/>
  <c r="W220" i="175"/>
  <c r="W213" i="175"/>
  <c r="W201" i="175"/>
  <c r="W189" i="175"/>
  <c r="W218" i="175"/>
  <c r="W206" i="175"/>
  <c r="W194" i="175"/>
  <c r="W211" i="175"/>
  <c r="W216" i="175"/>
  <c r="W204" i="175"/>
  <c r="W192" i="175"/>
  <c r="W221" i="175"/>
  <c r="W185" i="175"/>
  <c r="W173" i="175"/>
  <c r="W200" i="175"/>
  <c r="W198" i="175"/>
  <c r="W181" i="175"/>
  <c r="W169" i="175"/>
  <c r="W186" i="175"/>
  <c r="W180" i="175"/>
  <c r="W164" i="175"/>
  <c r="W209" i="175"/>
  <c r="W196" i="175"/>
  <c r="W184" i="175"/>
  <c r="W171" i="175"/>
  <c r="W160" i="175"/>
  <c r="W170" i="175"/>
  <c r="W203" i="175"/>
  <c r="W199" i="175"/>
  <c r="W197" i="175"/>
  <c r="W195" i="175"/>
  <c r="W177" i="175"/>
  <c r="W172" i="175"/>
  <c r="W191" i="175"/>
  <c r="W182" i="175"/>
  <c r="W187" i="175"/>
  <c r="W165" i="175"/>
  <c r="W183" i="175"/>
  <c r="W178" i="175"/>
  <c r="W188" i="175"/>
  <c r="W208" i="175"/>
  <c r="W190" i="175"/>
  <c r="W179" i="175"/>
  <c r="W174" i="175"/>
  <c r="W167" i="175"/>
  <c r="W168" i="175"/>
  <c r="W163" i="175"/>
  <c r="W166" i="175"/>
  <c r="W175" i="175"/>
  <c r="W162" i="175"/>
  <c r="W161" i="175"/>
  <c r="W159" i="175"/>
  <c r="W176" i="175"/>
  <c r="W158" i="175"/>
  <c r="X1" i="175"/>
  <c r="X157" i="175" s="1"/>
  <c r="X12" i="175" l="1"/>
  <c r="X14" i="175"/>
  <c r="X10" i="175"/>
  <c r="X9" i="175"/>
  <c r="X11" i="175"/>
  <c r="X13" i="175"/>
  <c r="X8" i="175"/>
  <c r="X98" i="175"/>
  <c r="X28" i="175"/>
  <c r="X34" i="175"/>
  <c r="X38" i="175"/>
  <c r="X35" i="175"/>
  <c r="X37" i="175"/>
  <c r="X36" i="175"/>
  <c r="X80" i="175"/>
  <c r="X20" i="175"/>
  <c r="X32" i="175"/>
  <c r="X15" i="175"/>
  <c r="X27" i="175"/>
  <c r="X22" i="175"/>
  <c r="X5" i="175"/>
  <c r="X17" i="175"/>
  <c r="X29" i="175"/>
  <c r="X24" i="175"/>
  <c r="X7" i="175"/>
  <c r="X19" i="175"/>
  <c r="X31" i="175"/>
  <c r="X4" i="175"/>
  <c r="X21" i="175"/>
  <c r="X40" i="175"/>
  <c r="X52" i="175"/>
  <c r="X47" i="175"/>
  <c r="X42" i="175"/>
  <c r="X18" i="175"/>
  <c r="X49" i="175"/>
  <c r="X25" i="175"/>
  <c r="X44" i="175"/>
  <c r="X26" i="175"/>
  <c r="X39" i="175"/>
  <c r="X51" i="175"/>
  <c r="X33" i="175"/>
  <c r="X46" i="175"/>
  <c r="X23" i="175"/>
  <c r="X48" i="175"/>
  <c r="X50" i="175"/>
  <c r="X60" i="175"/>
  <c r="X72" i="175"/>
  <c r="X43" i="175"/>
  <c r="X55" i="175"/>
  <c r="X67" i="175"/>
  <c r="X62" i="175"/>
  <c r="X74" i="175"/>
  <c r="X57" i="175"/>
  <c r="X69" i="175"/>
  <c r="X30" i="175"/>
  <c r="X64" i="175"/>
  <c r="X76" i="175"/>
  <c r="X45" i="175"/>
  <c r="X59" i="175"/>
  <c r="X71" i="175"/>
  <c r="X56" i="175"/>
  <c r="X68" i="175"/>
  <c r="X16" i="175"/>
  <c r="X41" i="175"/>
  <c r="X63" i="175"/>
  <c r="X75" i="175"/>
  <c r="X58" i="175"/>
  <c r="X70" i="175"/>
  <c r="X53" i="175"/>
  <c r="X66" i="175"/>
  <c r="X81" i="175"/>
  <c r="X93" i="175"/>
  <c r="X106" i="175"/>
  <c r="X6" i="175"/>
  <c r="X88" i="175"/>
  <c r="X101" i="175"/>
  <c r="X83" i="175"/>
  <c r="X95" i="175"/>
  <c r="X54" i="175"/>
  <c r="X90" i="175"/>
  <c r="X103" i="175"/>
  <c r="X85" i="175"/>
  <c r="X97" i="175"/>
  <c r="X65" i="175"/>
  <c r="X92" i="175"/>
  <c r="X89" i="175"/>
  <c r="X102" i="175"/>
  <c r="X84" i="175"/>
  <c r="X96" i="175"/>
  <c r="X61" i="175"/>
  <c r="X91" i="175"/>
  <c r="X104" i="175"/>
  <c r="X100" i="175"/>
  <c r="X115" i="175"/>
  <c r="X127" i="175"/>
  <c r="X77" i="175"/>
  <c r="X82" i="175"/>
  <c r="X110" i="175"/>
  <c r="X122" i="175"/>
  <c r="X117" i="175"/>
  <c r="X129" i="175"/>
  <c r="X78" i="175"/>
  <c r="X87" i="175"/>
  <c r="X112" i="175"/>
  <c r="X124" i="175"/>
  <c r="X73" i="175"/>
  <c r="X107" i="175"/>
  <c r="X119" i="175"/>
  <c r="X99" i="175"/>
  <c r="X114" i="175"/>
  <c r="X126" i="175"/>
  <c r="X109" i="175"/>
  <c r="X121" i="175"/>
  <c r="X86" i="175"/>
  <c r="X111" i="175"/>
  <c r="X123" i="175"/>
  <c r="X79" i="175"/>
  <c r="X118" i="175"/>
  <c r="X94" i="175"/>
  <c r="X113" i="175"/>
  <c r="X125" i="175"/>
  <c r="X132" i="175"/>
  <c r="X144" i="175"/>
  <c r="X156" i="175"/>
  <c r="X130" i="175"/>
  <c r="X139" i="175"/>
  <c r="X151" i="175"/>
  <c r="X116" i="175"/>
  <c r="X134" i="175"/>
  <c r="X146" i="175"/>
  <c r="X141" i="175"/>
  <c r="X153" i="175"/>
  <c r="X128" i="175"/>
  <c r="X136" i="175"/>
  <c r="X148" i="175"/>
  <c r="X131" i="175"/>
  <c r="X143" i="175"/>
  <c r="X155" i="175"/>
  <c r="X105" i="175"/>
  <c r="X138" i="175"/>
  <c r="X150" i="175"/>
  <c r="X140" i="175"/>
  <c r="X152" i="175"/>
  <c r="X142" i="175"/>
  <c r="X154" i="175"/>
  <c r="X120" i="175"/>
  <c r="X137" i="175"/>
  <c r="X149" i="175"/>
  <c r="X135" i="175"/>
  <c r="X3" i="175"/>
  <c r="X133" i="175"/>
  <c r="X108" i="175"/>
  <c r="X147" i="175"/>
  <c r="X145" i="175"/>
  <c r="X219" i="175"/>
  <c r="X207" i="175"/>
  <c r="X195" i="175"/>
  <c r="X212" i="175"/>
  <c r="X217" i="175"/>
  <c r="X210" i="175"/>
  <c r="X198" i="175"/>
  <c r="X215" i="175"/>
  <c r="X220" i="175"/>
  <c r="X208" i="175"/>
  <c r="X218" i="175"/>
  <c r="X206" i="175"/>
  <c r="X194" i="175"/>
  <c r="X211" i="175"/>
  <c r="X199" i="175"/>
  <c r="X216" i="175"/>
  <c r="X204" i="175"/>
  <c r="X221" i="175"/>
  <c r="X209" i="175"/>
  <c r="X197" i="175"/>
  <c r="X213" i="175"/>
  <c r="X190" i="175"/>
  <c r="X189" i="175"/>
  <c r="X178" i="175"/>
  <c r="X196" i="175"/>
  <c r="X186" i="175"/>
  <c r="X174" i="175"/>
  <c r="X192" i="175"/>
  <c r="X179" i="175"/>
  <c r="X173" i="175"/>
  <c r="X177" i="175"/>
  <c r="X170" i="175"/>
  <c r="X164" i="175"/>
  <c r="X214" i="175"/>
  <c r="X203" i="175"/>
  <c r="X175" i="175"/>
  <c r="X202" i="175"/>
  <c r="X185" i="175"/>
  <c r="X180" i="175"/>
  <c r="X201" i="175"/>
  <c r="X200" i="175"/>
  <c r="X176" i="175"/>
  <c r="X171" i="175"/>
  <c r="X166" i="175"/>
  <c r="X205" i="175"/>
  <c r="X181" i="175"/>
  <c r="X191" i="175"/>
  <c r="X182" i="175"/>
  <c r="X159" i="175"/>
  <c r="X187" i="175"/>
  <c r="X165" i="175"/>
  <c r="X183" i="175"/>
  <c r="X168" i="175"/>
  <c r="X188" i="175"/>
  <c r="X193" i="175"/>
  <c r="X169" i="175"/>
  <c r="X167" i="175"/>
  <c r="X184" i="175"/>
  <c r="X158" i="175"/>
  <c r="X163" i="175"/>
  <c r="X162" i="175"/>
  <c r="X161" i="175"/>
  <c r="X160" i="175"/>
  <c r="X172" i="175"/>
  <c r="Y1" i="175"/>
  <c r="Y157" i="175" s="1"/>
  <c r="Y10" i="175" l="1"/>
  <c r="Y12" i="175"/>
  <c r="Y14" i="175"/>
  <c r="Y9" i="175"/>
  <c r="Y11" i="175"/>
  <c r="Y13" i="175"/>
  <c r="Y8" i="175"/>
  <c r="Y98" i="175"/>
  <c r="Y28" i="175"/>
  <c r="Y37" i="175"/>
  <c r="Y36" i="175"/>
  <c r="Y38" i="175"/>
  <c r="Y34" i="175"/>
  <c r="Y35" i="175"/>
  <c r="Y80" i="175"/>
  <c r="Y25" i="175"/>
  <c r="Y20" i="175"/>
  <c r="Y32" i="175"/>
  <c r="Y15" i="175"/>
  <c r="Y27" i="175"/>
  <c r="Y22" i="175"/>
  <c r="Y5" i="175"/>
  <c r="Y17" i="175"/>
  <c r="Y29" i="175"/>
  <c r="Y24" i="175"/>
  <c r="Y45" i="175"/>
  <c r="Y21" i="175"/>
  <c r="Y40" i="175"/>
  <c r="Y52" i="175"/>
  <c r="Y4" i="175"/>
  <c r="Y47" i="175"/>
  <c r="Y42" i="175"/>
  <c r="Y18" i="175"/>
  <c r="Y49" i="175"/>
  <c r="Y19" i="175"/>
  <c r="Y44" i="175"/>
  <c r="Y26" i="175"/>
  <c r="Y39" i="175"/>
  <c r="Y51" i="175"/>
  <c r="Y16" i="175"/>
  <c r="Y41" i="175"/>
  <c r="Y53" i="175"/>
  <c r="Y6" i="175"/>
  <c r="Y30" i="175"/>
  <c r="Y43" i="175"/>
  <c r="Y46" i="175"/>
  <c r="Y65" i="175"/>
  <c r="Y77" i="175"/>
  <c r="Y23" i="175"/>
  <c r="Y60" i="175"/>
  <c r="Y72" i="175"/>
  <c r="Y55" i="175"/>
  <c r="Y67" i="175"/>
  <c r="Y33" i="175"/>
  <c r="Y62" i="175"/>
  <c r="Y74" i="175"/>
  <c r="Y48" i="175"/>
  <c r="Y57" i="175"/>
  <c r="Y69" i="175"/>
  <c r="Y64" i="175"/>
  <c r="Y76" i="175"/>
  <c r="Y31" i="175"/>
  <c r="Y50" i="175"/>
  <c r="Y61" i="175"/>
  <c r="Y73" i="175"/>
  <c r="Y56" i="175"/>
  <c r="Y68" i="175"/>
  <c r="Y63" i="175"/>
  <c r="Y75" i="175"/>
  <c r="Y86" i="175"/>
  <c r="Y99" i="175"/>
  <c r="Y66" i="175"/>
  <c r="Y81" i="175"/>
  <c r="Y93" i="175"/>
  <c r="Y7" i="175"/>
  <c r="Y88" i="175"/>
  <c r="Y101" i="175"/>
  <c r="Y71" i="175"/>
  <c r="Y83" i="175"/>
  <c r="Y95" i="175"/>
  <c r="Y54" i="175"/>
  <c r="Y90" i="175"/>
  <c r="Y103" i="175"/>
  <c r="Y85" i="175"/>
  <c r="Y97" i="175"/>
  <c r="Y70" i="175"/>
  <c r="Y82" i="175"/>
  <c r="Y94" i="175"/>
  <c r="Y89" i="175"/>
  <c r="Y102" i="175"/>
  <c r="Y84" i="175"/>
  <c r="Y96" i="175"/>
  <c r="Y59" i="175"/>
  <c r="Y108" i="175"/>
  <c r="Y120" i="175"/>
  <c r="Y100" i="175"/>
  <c r="Y115" i="175"/>
  <c r="Y127" i="175"/>
  <c r="Y110" i="175"/>
  <c r="Y122" i="175"/>
  <c r="Y117" i="175"/>
  <c r="Y129" i="175"/>
  <c r="Y78" i="175"/>
  <c r="Y87" i="175"/>
  <c r="Y112" i="175"/>
  <c r="Y124" i="175"/>
  <c r="Y107" i="175"/>
  <c r="Y119" i="175"/>
  <c r="Y92" i="175"/>
  <c r="Y114" i="175"/>
  <c r="Y126" i="175"/>
  <c r="Y104" i="175"/>
  <c r="Y105" i="175"/>
  <c r="Y116" i="175"/>
  <c r="Y128" i="175"/>
  <c r="Y111" i="175"/>
  <c r="Y123" i="175"/>
  <c r="Y79" i="175"/>
  <c r="Y118" i="175"/>
  <c r="Y137" i="175"/>
  <c r="Y149" i="175"/>
  <c r="Y91" i="175"/>
  <c r="Y125" i="175"/>
  <c r="Y132" i="175"/>
  <c r="Y144" i="175"/>
  <c r="Y156" i="175"/>
  <c r="Y109" i="175"/>
  <c r="Y130" i="175"/>
  <c r="Y139" i="175"/>
  <c r="Y151" i="175"/>
  <c r="Y58" i="175"/>
  <c r="Y134" i="175"/>
  <c r="Y146" i="175"/>
  <c r="Y121" i="175"/>
  <c r="Y141" i="175"/>
  <c r="Y153" i="175"/>
  <c r="Y136" i="175"/>
  <c r="Y148" i="175"/>
  <c r="Y131" i="175"/>
  <c r="Y143" i="175"/>
  <c r="Y155" i="175"/>
  <c r="Y133" i="175"/>
  <c r="Y145" i="175"/>
  <c r="Y135" i="175"/>
  <c r="Y147" i="175"/>
  <c r="Y106" i="175"/>
  <c r="Y113" i="175"/>
  <c r="Y142" i="175"/>
  <c r="Y154" i="175"/>
  <c r="Y150" i="175"/>
  <c r="Y152" i="175"/>
  <c r="Y3" i="175"/>
  <c r="Y140" i="175"/>
  <c r="Y138" i="175"/>
  <c r="Y212" i="175"/>
  <c r="Y200" i="175"/>
  <c r="Y217" i="175"/>
  <c r="Y210" i="175"/>
  <c r="Y215" i="175"/>
  <c r="Y203" i="175"/>
  <c r="Y191" i="175"/>
  <c r="Y220" i="175"/>
  <c r="Y208" i="175"/>
  <c r="Y213" i="175"/>
  <c r="Y218" i="175"/>
  <c r="Y211" i="175"/>
  <c r="Y199" i="175"/>
  <c r="Y216" i="175"/>
  <c r="Y204" i="175"/>
  <c r="Y221" i="175"/>
  <c r="Y209" i="175"/>
  <c r="Y214" i="175"/>
  <c r="Y202" i="175"/>
  <c r="Y190" i="175"/>
  <c r="Y219" i="175"/>
  <c r="Y183" i="175"/>
  <c r="Y171" i="175"/>
  <c r="Y206" i="175"/>
  <c r="Y179" i="175"/>
  <c r="Y207" i="175"/>
  <c r="Y201" i="175"/>
  <c r="Y197" i="175"/>
  <c r="Y172" i="175"/>
  <c r="Y205" i="175"/>
  <c r="Y193" i="175"/>
  <c r="Y170" i="175"/>
  <c r="Y175" i="175"/>
  <c r="Y158" i="175"/>
  <c r="Y185" i="175"/>
  <c r="Y180" i="175"/>
  <c r="Y192" i="175"/>
  <c r="Y189" i="175"/>
  <c r="Y181" i="175"/>
  <c r="Y163" i="175"/>
  <c r="Y161" i="175"/>
  <c r="Y198" i="175"/>
  <c r="Y186" i="175"/>
  <c r="Y196" i="175"/>
  <c r="Y195" i="175"/>
  <c r="Y182" i="175"/>
  <c r="Y187" i="175"/>
  <c r="Y165" i="175"/>
  <c r="Y168" i="175"/>
  <c r="Y194" i="175"/>
  <c r="Y188" i="175"/>
  <c r="Y178" i="175"/>
  <c r="Y173" i="175"/>
  <c r="Y162" i="175"/>
  <c r="Y184" i="175"/>
  <c r="Y174" i="175"/>
  <c r="Y164" i="175"/>
  <c r="Y169" i="175"/>
  <c r="Y177" i="175"/>
  <c r="Y167" i="175"/>
  <c r="Y159" i="175"/>
  <c r="Y160" i="175"/>
  <c r="Y176" i="175"/>
  <c r="Y166" i="175"/>
  <c r="Z1" i="175"/>
  <c r="Z157" i="175" s="1"/>
  <c r="Z10" i="175" l="1"/>
  <c r="Z14" i="175"/>
  <c r="Z9" i="175"/>
  <c r="Z12" i="175"/>
  <c r="Z8" i="175"/>
  <c r="Z11" i="175"/>
  <c r="Z13" i="175"/>
  <c r="Z98" i="175"/>
  <c r="Z28" i="175"/>
  <c r="Z36" i="175"/>
  <c r="Z37" i="175"/>
  <c r="Z38" i="175"/>
  <c r="Z35" i="175"/>
  <c r="Z34" i="175"/>
  <c r="Z80" i="175"/>
  <c r="Z6" i="175"/>
  <c r="Z18" i="175"/>
  <c r="Z30" i="175"/>
  <c r="Z25" i="175"/>
  <c r="Z20" i="175"/>
  <c r="Z32" i="175"/>
  <c r="Z15" i="175"/>
  <c r="Z27" i="175"/>
  <c r="Z22" i="175"/>
  <c r="Z5" i="175"/>
  <c r="Z17" i="175"/>
  <c r="Z29" i="175"/>
  <c r="Z7" i="175"/>
  <c r="Z31" i="175"/>
  <c r="Z50" i="175"/>
  <c r="Z45" i="175"/>
  <c r="Z21" i="175"/>
  <c r="Z40" i="175"/>
  <c r="Z52" i="175"/>
  <c r="Z4" i="175"/>
  <c r="Z47" i="175"/>
  <c r="Z42" i="175"/>
  <c r="Z49" i="175"/>
  <c r="Z19" i="175"/>
  <c r="Z44" i="175"/>
  <c r="Z33" i="175"/>
  <c r="Z46" i="175"/>
  <c r="Z23" i="175"/>
  <c r="Z48" i="175"/>
  <c r="Z26" i="175"/>
  <c r="Z58" i="175"/>
  <c r="Z70" i="175"/>
  <c r="Z65" i="175"/>
  <c r="Z77" i="175"/>
  <c r="Z43" i="175"/>
  <c r="Z60" i="175"/>
  <c r="Z72" i="175"/>
  <c r="Z51" i="175"/>
  <c r="Z55" i="175"/>
  <c r="Z67" i="175"/>
  <c r="Z62" i="175"/>
  <c r="Z74" i="175"/>
  <c r="Z24" i="175"/>
  <c r="Z57" i="175"/>
  <c r="Z69" i="175"/>
  <c r="Z54" i="175"/>
  <c r="Z66" i="175"/>
  <c r="Z78" i="175"/>
  <c r="Z61" i="175"/>
  <c r="Z73" i="175"/>
  <c r="Z16" i="175"/>
  <c r="Z41" i="175"/>
  <c r="Z56" i="175"/>
  <c r="Z68" i="175"/>
  <c r="Z91" i="175"/>
  <c r="Z104" i="175"/>
  <c r="Z53" i="175"/>
  <c r="Z86" i="175"/>
  <c r="Z99" i="175"/>
  <c r="Z63" i="175"/>
  <c r="Z81" i="175"/>
  <c r="Z93" i="175"/>
  <c r="Z88" i="175"/>
  <c r="Z101" i="175"/>
  <c r="Z71" i="175"/>
  <c r="Z83" i="175"/>
  <c r="Z95" i="175"/>
  <c r="Z90" i="175"/>
  <c r="Z103" i="175"/>
  <c r="Z79" i="175"/>
  <c r="Z87" i="175"/>
  <c r="Z100" i="175"/>
  <c r="Z39" i="175"/>
  <c r="Z64" i="175"/>
  <c r="Z82" i="175"/>
  <c r="Z94" i="175"/>
  <c r="Z89" i="175"/>
  <c r="Z102" i="175"/>
  <c r="Z85" i="175"/>
  <c r="Z106" i="175"/>
  <c r="Z113" i="175"/>
  <c r="Z125" i="175"/>
  <c r="Z59" i="175"/>
  <c r="Z108" i="175"/>
  <c r="Z120" i="175"/>
  <c r="Z96" i="175"/>
  <c r="Z115" i="175"/>
  <c r="Z127" i="175"/>
  <c r="Z110" i="175"/>
  <c r="Z122" i="175"/>
  <c r="Z117" i="175"/>
  <c r="Z129" i="175"/>
  <c r="Z84" i="175"/>
  <c r="Z112" i="175"/>
  <c r="Z124" i="175"/>
  <c r="Z107" i="175"/>
  <c r="Z119" i="175"/>
  <c r="Z75" i="175"/>
  <c r="Z109" i="175"/>
  <c r="Z121" i="175"/>
  <c r="Z97" i="175"/>
  <c r="Z105" i="175"/>
  <c r="Z116" i="175"/>
  <c r="Z76" i="175"/>
  <c r="Z111" i="175"/>
  <c r="Z123" i="175"/>
  <c r="Z142" i="175"/>
  <c r="Z154" i="175"/>
  <c r="Z118" i="175"/>
  <c r="Z137" i="175"/>
  <c r="Z149" i="175"/>
  <c r="Z92" i="175"/>
  <c r="Z132" i="175"/>
  <c r="Z144" i="175"/>
  <c r="Z156" i="175"/>
  <c r="Z130" i="175"/>
  <c r="Z139" i="175"/>
  <c r="Z151" i="175"/>
  <c r="Z114" i="175"/>
  <c r="Z134" i="175"/>
  <c r="Z146" i="175"/>
  <c r="Z128" i="175"/>
  <c r="Z141" i="175"/>
  <c r="Z153" i="175"/>
  <c r="Z126" i="175"/>
  <c r="Z136" i="175"/>
  <c r="Z148" i="175"/>
  <c r="Z138" i="175"/>
  <c r="Z150" i="175"/>
  <c r="Z140" i="175"/>
  <c r="Z152" i="175"/>
  <c r="Z135" i="175"/>
  <c r="Z147" i="175"/>
  <c r="Z143" i="175"/>
  <c r="Z155" i="175"/>
  <c r="Z3" i="175"/>
  <c r="Z145" i="175"/>
  <c r="Z133" i="175"/>
  <c r="Z131" i="175"/>
  <c r="Z217" i="175"/>
  <c r="Z205" i="175"/>
  <c r="Z210" i="175"/>
  <c r="Z215" i="175"/>
  <c r="Z220" i="175"/>
  <c r="Z208" i="175"/>
  <c r="Z196" i="175"/>
  <c r="Z213" i="175"/>
  <c r="Z218" i="175"/>
  <c r="Z206" i="175"/>
  <c r="Z216" i="175"/>
  <c r="Z204" i="175"/>
  <c r="Z192" i="175"/>
  <c r="Z221" i="175"/>
  <c r="Z209" i="175"/>
  <c r="Z197" i="175"/>
  <c r="Z214" i="175"/>
  <c r="Z219" i="175"/>
  <c r="Z207" i="175"/>
  <c r="Z195" i="175"/>
  <c r="Z191" i="175"/>
  <c r="Z188" i="175"/>
  <c r="Z176" i="175"/>
  <c r="Z184" i="175"/>
  <c r="Z172" i="175"/>
  <c r="Z185" i="175"/>
  <c r="Z167" i="175"/>
  <c r="Z183" i="175"/>
  <c r="Z211" i="175"/>
  <c r="Z203" i="175"/>
  <c r="Z180" i="175"/>
  <c r="Z202" i="175"/>
  <c r="Z166" i="175"/>
  <c r="Z201" i="175"/>
  <c r="Z200" i="175"/>
  <c r="Z189" i="175"/>
  <c r="Z181" i="175"/>
  <c r="Z199" i="175"/>
  <c r="Z198" i="175"/>
  <c r="Z186" i="175"/>
  <c r="Z182" i="175"/>
  <c r="Z187" i="175"/>
  <c r="Z168" i="175"/>
  <c r="Z194" i="175"/>
  <c r="Z178" i="175"/>
  <c r="Z173" i="175"/>
  <c r="Z212" i="175"/>
  <c r="Z169" i="175"/>
  <c r="Z193" i="175"/>
  <c r="Z190" i="175"/>
  <c r="Z179" i="175"/>
  <c r="Z164" i="175"/>
  <c r="Z175" i="175"/>
  <c r="Z170" i="175"/>
  <c r="Z174" i="175"/>
  <c r="Z162" i="175"/>
  <c r="Z160" i="175"/>
  <c r="Z161" i="175"/>
  <c r="Z177" i="175"/>
  <c r="Z159" i="175"/>
  <c r="Z165" i="175"/>
  <c r="Z163" i="175"/>
  <c r="Z171" i="175"/>
  <c r="Z158" i="175"/>
  <c r="AA1" i="175"/>
  <c r="AA157" i="175" s="1"/>
  <c r="AA10" i="175" l="1"/>
  <c r="AA14" i="175"/>
  <c r="AA12" i="175"/>
  <c r="AA8" i="175"/>
  <c r="AA9" i="175"/>
  <c r="AA11" i="175"/>
  <c r="AA13" i="175"/>
  <c r="AA98" i="175"/>
  <c r="AA28" i="175"/>
  <c r="AA35" i="175"/>
  <c r="AA37" i="175"/>
  <c r="AA36" i="175"/>
  <c r="AA34" i="175"/>
  <c r="AA38" i="175"/>
  <c r="AA80" i="175"/>
  <c r="AA23" i="175"/>
  <c r="AA6" i="175"/>
  <c r="AA18" i="175"/>
  <c r="AA30" i="175"/>
  <c r="AA25" i="175"/>
  <c r="AA20" i="175"/>
  <c r="AA32" i="175"/>
  <c r="AA15" i="175"/>
  <c r="AA27" i="175"/>
  <c r="AA22" i="175"/>
  <c r="AA24" i="175"/>
  <c r="AA43" i="175"/>
  <c r="AA7" i="175"/>
  <c r="AA31" i="175"/>
  <c r="AA50" i="175"/>
  <c r="AA45" i="175"/>
  <c r="AA21" i="175"/>
  <c r="AA40" i="175"/>
  <c r="AA52" i="175"/>
  <c r="AA4" i="175"/>
  <c r="AA47" i="175"/>
  <c r="AA5" i="175"/>
  <c r="AA29" i="175"/>
  <c r="AA42" i="175"/>
  <c r="AA49" i="175"/>
  <c r="AA26" i="175"/>
  <c r="AA39" i="175"/>
  <c r="AA51" i="175"/>
  <c r="AA16" i="175"/>
  <c r="AA41" i="175"/>
  <c r="AA53" i="175"/>
  <c r="AA63" i="175"/>
  <c r="AA75" i="175"/>
  <c r="AA46" i="175"/>
  <c r="AA58" i="175"/>
  <c r="AA70" i="175"/>
  <c r="AA17" i="175"/>
  <c r="AA65" i="175"/>
  <c r="AA77" i="175"/>
  <c r="AA60" i="175"/>
  <c r="AA72" i="175"/>
  <c r="AA33" i="175"/>
  <c r="AA55" i="175"/>
  <c r="AA67" i="175"/>
  <c r="AA48" i="175"/>
  <c r="AA62" i="175"/>
  <c r="AA74" i="175"/>
  <c r="AA59" i="175"/>
  <c r="AA71" i="175"/>
  <c r="AA19" i="175"/>
  <c r="AA44" i="175"/>
  <c r="AA54" i="175"/>
  <c r="AA66" i="175"/>
  <c r="AA61" i="175"/>
  <c r="AA73" i="175"/>
  <c r="AA69" i="175"/>
  <c r="AA84" i="175"/>
  <c r="AA96" i="175"/>
  <c r="AA91" i="175"/>
  <c r="AA104" i="175"/>
  <c r="AA86" i="175"/>
  <c r="AA99" i="175"/>
  <c r="AA57" i="175"/>
  <c r="AA81" i="175"/>
  <c r="AA93" i="175"/>
  <c r="AA88" i="175"/>
  <c r="AA101" i="175"/>
  <c r="AA68" i="175"/>
  <c r="AA83" i="175"/>
  <c r="AA95" i="175"/>
  <c r="AA56" i="175"/>
  <c r="AA76" i="175"/>
  <c r="AA78" i="175"/>
  <c r="AA92" i="175"/>
  <c r="AA79" i="175"/>
  <c r="AA87" i="175"/>
  <c r="AA100" i="175"/>
  <c r="AA64" i="175"/>
  <c r="AA82" i="175"/>
  <c r="AA94" i="175"/>
  <c r="AA103" i="175"/>
  <c r="AA118" i="175"/>
  <c r="AA130" i="175"/>
  <c r="AA85" i="175"/>
  <c r="AA106" i="175"/>
  <c r="AA113" i="175"/>
  <c r="AA125" i="175"/>
  <c r="AA108" i="175"/>
  <c r="AA120" i="175"/>
  <c r="AA90" i="175"/>
  <c r="AA115" i="175"/>
  <c r="AA127" i="175"/>
  <c r="AA110" i="175"/>
  <c r="AA122" i="175"/>
  <c r="AA102" i="175"/>
  <c r="AA117" i="175"/>
  <c r="AA129" i="175"/>
  <c r="AA112" i="175"/>
  <c r="AA124" i="175"/>
  <c r="AA89" i="175"/>
  <c r="AA114" i="175"/>
  <c r="AA126" i="175"/>
  <c r="AA109" i="175"/>
  <c r="AA121" i="175"/>
  <c r="AA97" i="175"/>
  <c r="AA105" i="175"/>
  <c r="AA116" i="175"/>
  <c r="AA128" i="175"/>
  <c r="AA135" i="175"/>
  <c r="AA147" i="175"/>
  <c r="AA111" i="175"/>
  <c r="AA142" i="175"/>
  <c r="AA154" i="175"/>
  <c r="AA137" i="175"/>
  <c r="AA149" i="175"/>
  <c r="AA123" i="175"/>
  <c r="AA132" i="175"/>
  <c r="AA144" i="175"/>
  <c r="AA156" i="175"/>
  <c r="AA107" i="175"/>
  <c r="AA139" i="175"/>
  <c r="AA151" i="175"/>
  <c r="AA134" i="175"/>
  <c r="AA146" i="175"/>
  <c r="AA119" i="175"/>
  <c r="AA141" i="175"/>
  <c r="AA153" i="175"/>
  <c r="AA131" i="175"/>
  <c r="AA143" i="175"/>
  <c r="AA155" i="175"/>
  <c r="AA133" i="175"/>
  <c r="AA145" i="175"/>
  <c r="AA140" i="175"/>
  <c r="AA152" i="175"/>
  <c r="AA136" i="175"/>
  <c r="AA150" i="175"/>
  <c r="AA148" i="175"/>
  <c r="AA3" i="175"/>
  <c r="AA138" i="175"/>
  <c r="AA210" i="175"/>
  <c r="AA198" i="175"/>
  <c r="AA215" i="175"/>
  <c r="AA220" i="175"/>
  <c r="AA208" i="175"/>
  <c r="AA213" i="175"/>
  <c r="AA201" i="175"/>
  <c r="AA189" i="175"/>
  <c r="AA218" i="175"/>
  <c r="AA211" i="175"/>
  <c r="AA216" i="175"/>
  <c r="AA221" i="175"/>
  <c r="AA209" i="175"/>
  <c r="AA197" i="175"/>
  <c r="AA214" i="175"/>
  <c r="AA202" i="175"/>
  <c r="AA219" i="175"/>
  <c r="AA207" i="175"/>
  <c r="AA212" i="175"/>
  <c r="AA200" i="175"/>
  <c r="AA217" i="175"/>
  <c r="AA193" i="175"/>
  <c r="AA192" i="175"/>
  <c r="AA181" i="175"/>
  <c r="AA169" i="175"/>
  <c r="AA194" i="175"/>
  <c r="AA177" i="175"/>
  <c r="AA178" i="175"/>
  <c r="AA204" i="175"/>
  <c r="AA203" i="175"/>
  <c r="AA182" i="175"/>
  <c r="AA176" i="175"/>
  <c r="AA185" i="175"/>
  <c r="AA166" i="175"/>
  <c r="AA171" i="175"/>
  <c r="AA163" i="175"/>
  <c r="AA161" i="175"/>
  <c r="AA199" i="175"/>
  <c r="AA186" i="175"/>
  <c r="AA205" i="175"/>
  <c r="AA159" i="175"/>
  <c r="AA196" i="175"/>
  <c r="AA195" i="175"/>
  <c r="AA187" i="175"/>
  <c r="AA191" i="175"/>
  <c r="AA173" i="175"/>
  <c r="AA162" i="175"/>
  <c r="AA188" i="175"/>
  <c r="AA183" i="175"/>
  <c r="AA206" i="175"/>
  <c r="AA174" i="175"/>
  <c r="AA167" i="175"/>
  <c r="AA160" i="175"/>
  <c r="AA190" i="175"/>
  <c r="AA184" i="175"/>
  <c r="AA179" i="175"/>
  <c r="AA175" i="175"/>
  <c r="AA170" i="175"/>
  <c r="AA180" i="175"/>
  <c r="AA168" i="175"/>
  <c r="AA164" i="175"/>
  <c r="AA172" i="175"/>
  <c r="AA165" i="175"/>
  <c r="AA158" i="175"/>
  <c r="AB1" i="175"/>
  <c r="AB157" i="175" s="1"/>
  <c r="AB8" i="175" l="1"/>
  <c r="AB12" i="175"/>
  <c r="AB11" i="175"/>
  <c r="AB10" i="175"/>
  <c r="AB13" i="175"/>
  <c r="AB14" i="175"/>
  <c r="AB9" i="175"/>
  <c r="AB98" i="175"/>
  <c r="AB28" i="175"/>
  <c r="AB34" i="175"/>
  <c r="AB36" i="175"/>
  <c r="AB35" i="175"/>
  <c r="AB37" i="175"/>
  <c r="AB38" i="175"/>
  <c r="AB80" i="175"/>
  <c r="AB4" i="175"/>
  <c r="AB16" i="175"/>
  <c r="AB23" i="175"/>
  <c r="AB6" i="175"/>
  <c r="AB18" i="175"/>
  <c r="AB30" i="175"/>
  <c r="AB25" i="175"/>
  <c r="AB20" i="175"/>
  <c r="AB32" i="175"/>
  <c r="AB15" i="175"/>
  <c r="AB27" i="175"/>
  <c r="AB17" i="175"/>
  <c r="AB48" i="175"/>
  <c r="AB24" i="175"/>
  <c r="AB43" i="175"/>
  <c r="AB7" i="175"/>
  <c r="AB31" i="175"/>
  <c r="AB50" i="175"/>
  <c r="AB45" i="175"/>
  <c r="AB21" i="175"/>
  <c r="AB40" i="175"/>
  <c r="AB52" i="175"/>
  <c r="AB22" i="175"/>
  <c r="AB47" i="175"/>
  <c r="AB5" i="175"/>
  <c r="AB29" i="175"/>
  <c r="AB42" i="175"/>
  <c r="AB19" i="175"/>
  <c r="AB44" i="175"/>
  <c r="AB33" i="175"/>
  <c r="AB46" i="175"/>
  <c r="AB49" i="175"/>
  <c r="AB56" i="175"/>
  <c r="AB68" i="175"/>
  <c r="AB26" i="175"/>
  <c r="AB63" i="175"/>
  <c r="AB75" i="175"/>
  <c r="AB58" i="175"/>
  <c r="AB70" i="175"/>
  <c r="AB65" i="175"/>
  <c r="AB77" i="175"/>
  <c r="AB51" i="175"/>
  <c r="AB60" i="175"/>
  <c r="AB72" i="175"/>
  <c r="AB55" i="175"/>
  <c r="AB67" i="175"/>
  <c r="AB53" i="175"/>
  <c r="AB64" i="175"/>
  <c r="AB76" i="175"/>
  <c r="AB59" i="175"/>
  <c r="AB71" i="175"/>
  <c r="AB54" i="175"/>
  <c r="AB66" i="175"/>
  <c r="AB89" i="175"/>
  <c r="AB102" i="175"/>
  <c r="AB69" i="175"/>
  <c r="AB84" i="175"/>
  <c r="AB96" i="175"/>
  <c r="AB41" i="175"/>
  <c r="AB91" i="175"/>
  <c r="AB104" i="175"/>
  <c r="AB74" i="175"/>
  <c r="AB86" i="175"/>
  <c r="AB99" i="175"/>
  <c r="AB57" i="175"/>
  <c r="AB81" i="175"/>
  <c r="AB93" i="175"/>
  <c r="AB88" i="175"/>
  <c r="AB101" i="175"/>
  <c r="AB73" i="175"/>
  <c r="AB85" i="175"/>
  <c r="AB97" i="175"/>
  <c r="AB78" i="175"/>
  <c r="AB92" i="175"/>
  <c r="AB39" i="175"/>
  <c r="AB79" i="175"/>
  <c r="AB87" i="175"/>
  <c r="AB100" i="175"/>
  <c r="AB111" i="175"/>
  <c r="AB123" i="175"/>
  <c r="AB103" i="175"/>
  <c r="AB118" i="175"/>
  <c r="AB82" i="175"/>
  <c r="AB106" i="175"/>
  <c r="AB113" i="175"/>
  <c r="AB125" i="175"/>
  <c r="AB108" i="175"/>
  <c r="AB120" i="175"/>
  <c r="AB90" i="175"/>
  <c r="AB115" i="175"/>
  <c r="AB127" i="175"/>
  <c r="AB61" i="175"/>
  <c r="AB110" i="175"/>
  <c r="AB122" i="175"/>
  <c r="AB62" i="175"/>
  <c r="AB95" i="175"/>
  <c r="AB117" i="175"/>
  <c r="AB129" i="175"/>
  <c r="AB107" i="175"/>
  <c r="AB119" i="175"/>
  <c r="AB83" i="175"/>
  <c r="AB114" i="175"/>
  <c r="AB126" i="175"/>
  <c r="AB109" i="175"/>
  <c r="AB121" i="175"/>
  <c r="AB140" i="175"/>
  <c r="AB152" i="175"/>
  <c r="AB135" i="175"/>
  <c r="AB147" i="175"/>
  <c r="AB142" i="175"/>
  <c r="AB154" i="175"/>
  <c r="AB116" i="175"/>
  <c r="AB137" i="175"/>
  <c r="AB149" i="175"/>
  <c r="AB130" i="175"/>
  <c r="AB132" i="175"/>
  <c r="AB144" i="175"/>
  <c r="AB156" i="175"/>
  <c r="AB94" i="175"/>
  <c r="AB139" i="175"/>
  <c r="AB151" i="175"/>
  <c r="AB112" i="175"/>
  <c r="AB128" i="175"/>
  <c r="AB134" i="175"/>
  <c r="AB146" i="175"/>
  <c r="AB124" i="175"/>
  <c r="AB136" i="175"/>
  <c r="AB148" i="175"/>
  <c r="AB138" i="175"/>
  <c r="AB150" i="175"/>
  <c r="AB133" i="175"/>
  <c r="AB145" i="175"/>
  <c r="AB143" i="175"/>
  <c r="AB141" i="175"/>
  <c r="AB155" i="175"/>
  <c r="AB153" i="175"/>
  <c r="AB3" i="175"/>
  <c r="AB105" i="175"/>
  <c r="AB131" i="175"/>
  <c r="AB215" i="175"/>
  <c r="AB203" i="175"/>
  <c r="AB220" i="175"/>
  <c r="AB208" i="175"/>
  <c r="AB213" i="175"/>
  <c r="AB218" i="175"/>
  <c r="AB206" i="175"/>
  <c r="AB194" i="175"/>
  <c r="AB211" i="175"/>
  <c r="AB216" i="175"/>
  <c r="AB221" i="175"/>
  <c r="AB214" i="175"/>
  <c r="AB202" i="175"/>
  <c r="AB190" i="175"/>
  <c r="AB219" i="175"/>
  <c r="AB207" i="175"/>
  <c r="AB195" i="175"/>
  <c r="AB212" i="175"/>
  <c r="AB217" i="175"/>
  <c r="AB205" i="175"/>
  <c r="AB193" i="175"/>
  <c r="AB186" i="175"/>
  <c r="AB174" i="175"/>
  <c r="AB204" i="175"/>
  <c r="AB182" i="175"/>
  <c r="AB170" i="175"/>
  <c r="AB184" i="175"/>
  <c r="AB171" i="175"/>
  <c r="AB165" i="175"/>
  <c r="AB199" i="175"/>
  <c r="AB175" i="175"/>
  <c r="AB169" i="175"/>
  <c r="AB163" i="175"/>
  <c r="AB161" i="175"/>
  <c r="AB201" i="175"/>
  <c r="AB200" i="175"/>
  <c r="AB192" i="175"/>
  <c r="AB189" i="175"/>
  <c r="AB181" i="175"/>
  <c r="AB176" i="175"/>
  <c r="AB198" i="175"/>
  <c r="AB196" i="175"/>
  <c r="AB187" i="175"/>
  <c r="AB177" i="175"/>
  <c r="AB172" i="175"/>
  <c r="AB210" i="175"/>
  <c r="AB197" i="175"/>
  <c r="AB191" i="175"/>
  <c r="AB188" i="175"/>
  <c r="AB183" i="175"/>
  <c r="AB178" i="175"/>
  <c r="AB209" i="175"/>
  <c r="AB167" i="175"/>
  <c r="AB179" i="175"/>
  <c r="AB164" i="175"/>
  <c r="AB180" i="175"/>
  <c r="AB185" i="175"/>
  <c r="AB166" i="175"/>
  <c r="AB173" i="175"/>
  <c r="AB162" i="175"/>
  <c r="AB160" i="175"/>
  <c r="AB159" i="175"/>
  <c r="AB158" i="175"/>
  <c r="AB168" i="175"/>
  <c r="AC1" i="175"/>
  <c r="AC157" i="175" s="1"/>
  <c r="AC13" i="175" l="1"/>
  <c r="AC8" i="175"/>
  <c r="AC12" i="175"/>
  <c r="AC11" i="175"/>
  <c r="AC10" i="175"/>
  <c r="AC9" i="175"/>
  <c r="AC14" i="175"/>
  <c r="AC98" i="175"/>
  <c r="AC28" i="175"/>
  <c r="AC35" i="175"/>
  <c r="AC34" i="175"/>
  <c r="AC38" i="175"/>
  <c r="AC37" i="175"/>
  <c r="AC36" i="175"/>
  <c r="AC80" i="175"/>
  <c r="AC21" i="175"/>
  <c r="AC33" i="175"/>
  <c r="AC4" i="175"/>
  <c r="AC16" i="175"/>
  <c r="AC23" i="175"/>
  <c r="AC6" i="175"/>
  <c r="AC18" i="175"/>
  <c r="AC30" i="175"/>
  <c r="AC25" i="175"/>
  <c r="AC20" i="175"/>
  <c r="AC32" i="175"/>
  <c r="AC41" i="175"/>
  <c r="AC53" i="175"/>
  <c r="AC17" i="175"/>
  <c r="AC48" i="175"/>
  <c r="AC24" i="175"/>
  <c r="AC43" i="175"/>
  <c r="AC7" i="175"/>
  <c r="AC31" i="175"/>
  <c r="AC50" i="175"/>
  <c r="AC45" i="175"/>
  <c r="AC15" i="175"/>
  <c r="AC40" i="175"/>
  <c r="AC52" i="175"/>
  <c r="AC22" i="175"/>
  <c r="AC47" i="175"/>
  <c r="AC49" i="175"/>
  <c r="AC26" i="175"/>
  <c r="AC39" i="175"/>
  <c r="AC51" i="175"/>
  <c r="AC29" i="175"/>
  <c r="AC61" i="175"/>
  <c r="AC73" i="175"/>
  <c r="AC56" i="175"/>
  <c r="AC68" i="175"/>
  <c r="AC46" i="175"/>
  <c r="AC63" i="175"/>
  <c r="AC75" i="175"/>
  <c r="AC5" i="175"/>
  <c r="AC58" i="175"/>
  <c r="AC70" i="175"/>
  <c r="AC65" i="175"/>
  <c r="AC77" i="175"/>
  <c r="AC27" i="175"/>
  <c r="AC60" i="175"/>
  <c r="AC72" i="175"/>
  <c r="AC57" i="175"/>
  <c r="AC69" i="175"/>
  <c r="AC64" i="175"/>
  <c r="AC19" i="175"/>
  <c r="AC44" i="175"/>
  <c r="AC59" i="175"/>
  <c r="AC71" i="175"/>
  <c r="AC55" i="175"/>
  <c r="AC82" i="175"/>
  <c r="AC94" i="175"/>
  <c r="AC89" i="175"/>
  <c r="AC102" i="175"/>
  <c r="AC66" i="175"/>
  <c r="AC84" i="175"/>
  <c r="AC96" i="175"/>
  <c r="AC42" i="175"/>
  <c r="AC91" i="175"/>
  <c r="AC104" i="175"/>
  <c r="AC74" i="175"/>
  <c r="AC86" i="175"/>
  <c r="AC99" i="175"/>
  <c r="AC54" i="175"/>
  <c r="AC81" i="175"/>
  <c r="AC93" i="175"/>
  <c r="AC90" i="175"/>
  <c r="AC103" i="175"/>
  <c r="AC67" i="175"/>
  <c r="AC76" i="175"/>
  <c r="AC85" i="175"/>
  <c r="AC97" i="175"/>
  <c r="AC78" i="175"/>
  <c r="AC92" i="175"/>
  <c r="AC88" i="175"/>
  <c r="AC105" i="175"/>
  <c r="AC116" i="175"/>
  <c r="AC128" i="175"/>
  <c r="AC111" i="175"/>
  <c r="AC123" i="175"/>
  <c r="AC100" i="175"/>
  <c r="AC118" i="175"/>
  <c r="AC106" i="175"/>
  <c r="AC113" i="175"/>
  <c r="AC125" i="175"/>
  <c r="AC108" i="175"/>
  <c r="AC120" i="175"/>
  <c r="AC87" i="175"/>
  <c r="AC115" i="175"/>
  <c r="AC127" i="175"/>
  <c r="AC110" i="175"/>
  <c r="AC122" i="175"/>
  <c r="AC112" i="175"/>
  <c r="AC124" i="175"/>
  <c r="AC101" i="175"/>
  <c r="AC107" i="175"/>
  <c r="AC119" i="175"/>
  <c r="AC83" i="175"/>
  <c r="AC114" i="175"/>
  <c r="AC126" i="175"/>
  <c r="AC133" i="175"/>
  <c r="AC145" i="175"/>
  <c r="AC129" i="175"/>
  <c r="AC140" i="175"/>
  <c r="AC152" i="175"/>
  <c r="AC135" i="175"/>
  <c r="AC147" i="175"/>
  <c r="AC109" i="175"/>
  <c r="AC142" i="175"/>
  <c r="AC154" i="175"/>
  <c r="AC62" i="175"/>
  <c r="AC137" i="175"/>
  <c r="AC149" i="175"/>
  <c r="AC121" i="175"/>
  <c r="AC130" i="175"/>
  <c r="AC132" i="175"/>
  <c r="AC144" i="175"/>
  <c r="AC156" i="175"/>
  <c r="AC95" i="175"/>
  <c r="AC139" i="175"/>
  <c r="AC151" i="175"/>
  <c r="AC117" i="175"/>
  <c r="AC141" i="175"/>
  <c r="AC153" i="175"/>
  <c r="AC131" i="175"/>
  <c r="AC143" i="175"/>
  <c r="AC155" i="175"/>
  <c r="AC79" i="175"/>
  <c r="AC138" i="175"/>
  <c r="AC150" i="175"/>
  <c r="AC136" i="175"/>
  <c r="AC134" i="175"/>
  <c r="AC148" i="175"/>
  <c r="AC146" i="175"/>
  <c r="AC3" i="175"/>
  <c r="AC220" i="175"/>
  <c r="AC208" i="175"/>
  <c r="AC196" i="175"/>
  <c r="AC213" i="175"/>
  <c r="AC218" i="175"/>
  <c r="AC206" i="175"/>
  <c r="AC211" i="175"/>
  <c r="AC199" i="175"/>
  <c r="AC216" i="175"/>
  <c r="AC221" i="175"/>
  <c r="AC209" i="175"/>
  <c r="AC219" i="175"/>
  <c r="AC207" i="175"/>
  <c r="AC195" i="175"/>
  <c r="AC212" i="175"/>
  <c r="AC200" i="175"/>
  <c r="AC217" i="175"/>
  <c r="AC205" i="175"/>
  <c r="AC210" i="175"/>
  <c r="AC198" i="175"/>
  <c r="AC215" i="175"/>
  <c r="AC179" i="175"/>
  <c r="AC187" i="175"/>
  <c r="AC175" i="175"/>
  <c r="AC190" i="175"/>
  <c r="AC177" i="175"/>
  <c r="AC191" i="175"/>
  <c r="AC188" i="175"/>
  <c r="AC168" i="175"/>
  <c r="AC214" i="175"/>
  <c r="AC202" i="175"/>
  <c r="AC201" i="175"/>
  <c r="AC192" i="175"/>
  <c r="AC189" i="175"/>
  <c r="AC181" i="175"/>
  <c r="AC176" i="175"/>
  <c r="AC171" i="175"/>
  <c r="AC204" i="175"/>
  <c r="AC186" i="175"/>
  <c r="AC197" i="175"/>
  <c r="AC182" i="175"/>
  <c r="AC165" i="175"/>
  <c r="AC183" i="175"/>
  <c r="AC194" i="175"/>
  <c r="AC167" i="175"/>
  <c r="AC160" i="175"/>
  <c r="AC174" i="175"/>
  <c r="AC169" i="175"/>
  <c r="AC164" i="175"/>
  <c r="AC193" i="175"/>
  <c r="AC184" i="175"/>
  <c r="AC180" i="175"/>
  <c r="AC185" i="175"/>
  <c r="AC166" i="175"/>
  <c r="AC203" i="175"/>
  <c r="AC163" i="175"/>
  <c r="AC178" i="175"/>
  <c r="AC161" i="175"/>
  <c r="AC158" i="175"/>
  <c r="AC170" i="175"/>
  <c r="AC162" i="175"/>
  <c r="AC172" i="175"/>
  <c r="AC159" i="175"/>
  <c r="AC173" i="175"/>
  <c r="AD1" i="175"/>
  <c r="AD157" i="175" s="1"/>
  <c r="AD11" i="175" l="1"/>
  <c r="AD13" i="175"/>
  <c r="AD8" i="175"/>
  <c r="AD10" i="175"/>
  <c r="AD12" i="175"/>
  <c r="AD14" i="175"/>
  <c r="AD9" i="175"/>
  <c r="AD98" i="175"/>
  <c r="AD28" i="175"/>
  <c r="AD38" i="175"/>
  <c r="AD34" i="175"/>
  <c r="AD35" i="175"/>
  <c r="AD37" i="175"/>
  <c r="AD36" i="175"/>
  <c r="AD80" i="175"/>
  <c r="AD26" i="175"/>
  <c r="AD21" i="175"/>
  <c r="AD33" i="175"/>
  <c r="AD4" i="175"/>
  <c r="AD16" i="175"/>
  <c r="AD23" i="175"/>
  <c r="AD6" i="175"/>
  <c r="AD18" i="175"/>
  <c r="AD30" i="175"/>
  <c r="AD25" i="175"/>
  <c r="AD27" i="175"/>
  <c r="AD46" i="175"/>
  <c r="AD41" i="175"/>
  <c r="AD53" i="175"/>
  <c r="AD17" i="175"/>
  <c r="AD48" i="175"/>
  <c r="AD24" i="175"/>
  <c r="AD43" i="175"/>
  <c r="AD7" i="175"/>
  <c r="AD31" i="175"/>
  <c r="AD50" i="175"/>
  <c r="AD32" i="175"/>
  <c r="AD45" i="175"/>
  <c r="AD15" i="175"/>
  <c r="AD40" i="175"/>
  <c r="AD52" i="175"/>
  <c r="AD5" i="175"/>
  <c r="AD29" i="175"/>
  <c r="AD42" i="175"/>
  <c r="AD19" i="175"/>
  <c r="AD44" i="175"/>
  <c r="AD54" i="175"/>
  <c r="AD66" i="175"/>
  <c r="AD78" i="175"/>
  <c r="AD49" i="175"/>
  <c r="AD61" i="175"/>
  <c r="AD73" i="175"/>
  <c r="AD20" i="175"/>
  <c r="AD56" i="175"/>
  <c r="AD68" i="175"/>
  <c r="AD63" i="175"/>
  <c r="AD75" i="175"/>
  <c r="AD58" i="175"/>
  <c r="AD70" i="175"/>
  <c r="AD51" i="175"/>
  <c r="AD65" i="175"/>
  <c r="AD77" i="175"/>
  <c r="AD39" i="175"/>
  <c r="AD62" i="175"/>
  <c r="AD74" i="175"/>
  <c r="AD22" i="175"/>
  <c r="AD47" i="175"/>
  <c r="AD57" i="175"/>
  <c r="AD69" i="175"/>
  <c r="AD64" i="175"/>
  <c r="AD76" i="175"/>
  <c r="AD72" i="175"/>
  <c r="AD79" i="175"/>
  <c r="AD87" i="175"/>
  <c r="AD100" i="175"/>
  <c r="AD55" i="175"/>
  <c r="AD82" i="175"/>
  <c r="AD94" i="175"/>
  <c r="AD89" i="175"/>
  <c r="AD102" i="175"/>
  <c r="AD60" i="175"/>
  <c r="AD84" i="175"/>
  <c r="AD96" i="175"/>
  <c r="AD91" i="175"/>
  <c r="AD104" i="175"/>
  <c r="AD71" i="175"/>
  <c r="AD86" i="175"/>
  <c r="AD99" i="175"/>
  <c r="AD59" i="175"/>
  <c r="AD83" i="175"/>
  <c r="AD95" i="175"/>
  <c r="AD90" i="175"/>
  <c r="AD103" i="175"/>
  <c r="AD67" i="175"/>
  <c r="AD85" i="175"/>
  <c r="AD97" i="175"/>
  <c r="AD109" i="175"/>
  <c r="AD121" i="175"/>
  <c r="AD88" i="175"/>
  <c r="AD105" i="175"/>
  <c r="AD116" i="175"/>
  <c r="AD128" i="175"/>
  <c r="AD111" i="175"/>
  <c r="AD123" i="175"/>
  <c r="AD93" i="175"/>
  <c r="AD118" i="175"/>
  <c r="AD106" i="175"/>
  <c r="AD113" i="175"/>
  <c r="AD125" i="175"/>
  <c r="AD108" i="175"/>
  <c r="AD120" i="175"/>
  <c r="AD81" i="175"/>
  <c r="AD115" i="175"/>
  <c r="AD127" i="175"/>
  <c r="AD92" i="175"/>
  <c r="AD117" i="175"/>
  <c r="AD129" i="175"/>
  <c r="AD112" i="175"/>
  <c r="AD124" i="175"/>
  <c r="AD101" i="175"/>
  <c r="AD107" i="175"/>
  <c r="AD119" i="175"/>
  <c r="AD138" i="175"/>
  <c r="AD150" i="175"/>
  <c r="AD133" i="175"/>
  <c r="AD145" i="175"/>
  <c r="AD140" i="175"/>
  <c r="AD152" i="175"/>
  <c r="AD135" i="175"/>
  <c r="AD147" i="175"/>
  <c r="AD142" i="175"/>
  <c r="AD154" i="175"/>
  <c r="AD114" i="175"/>
  <c r="AD137" i="175"/>
  <c r="AD149" i="175"/>
  <c r="AD130" i="175"/>
  <c r="AD132" i="175"/>
  <c r="AD144" i="175"/>
  <c r="AD156" i="175"/>
  <c r="AD110" i="175"/>
  <c r="AD134" i="175"/>
  <c r="AD146" i="175"/>
  <c r="AD122" i="175"/>
  <c r="AD136" i="175"/>
  <c r="AD148" i="175"/>
  <c r="AD131" i="175"/>
  <c r="AD143" i="175"/>
  <c r="AD155" i="175"/>
  <c r="AD126" i="175"/>
  <c r="AD141" i="175"/>
  <c r="AD139" i="175"/>
  <c r="AD153" i="175"/>
  <c r="AD151" i="175"/>
  <c r="AD3" i="175"/>
  <c r="AD213" i="175"/>
  <c r="AD201" i="175"/>
  <c r="AD218" i="175"/>
  <c r="AD211" i="175"/>
  <c r="AD216" i="175"/>
  <c r="AD204" i="175"/>
  <c r="AD192" i="175"/>
  <c r="AD221" i="175"/>
  <c r="AD209" i="175"/>
  <c r="AD214" i="175"/>
  <c r="AD219" i="175"/>
  <c r="AD212" i="175"/>
  <c r="AD200" i="175"/>
  <c r="AD217" i="175"/>
  <c r="AD205" i="175"/>
  <c r="AD193" i="175"/>
  <c r="AD210" i="175"/>
  <c r="AD215" i="175"/>
  <c r="AD203" i="175"/>
  <c r="AD191" i="175"/>
  <c r="AD220" i="175"/>
  <c r="AD202" i="175"/>
  <c r="AD198" i="175"/>
  <c r="AD196" i="175"/>
  <c r="AD184" i="175"/>
  <c r="AD172" i="175"/>
  <c r="AD180" i="175"/>
  <c r="AD168" i="175"/>
  <c r="AD183" i="175"/>
  <c r="AD170" i="175"/>
  <c r="AD163" i="175"/>
  <c r="AD195" i="175"/>
  <c r="AD181" i="175"/>
  <c r="AD186" i="175"/>
  <c r="AD159" i="175"/>
  <c r="AD199" i="175"/>
  <c r="AD207" i="175"/>
  <c r="AD197" i="175"/>
  <c r="AD187" i="175"/>
  <c r="AD182" i="175"/>
  <c r="AD177" i="175"/>
  <c r="AD173" i="175"/>
  <c r="AD162" i="175"/>
  <c r="AD194" i="175"/>
  <c r="AD188" i="175"/>
  <c r="AD174" i="175"/>
  <c r="AD169" i="175"/>
  <c r="AD164" i="175"/>
  <c r="AD206" i="175"/>
  <c r="AD179" i="175"/>
  <c r="AD190" i="175"/>
  <c r="AD185" i="175"/>
  <c r="AD208" i="175"/>
  <c r="AD189" i="175"/>
  <c r="AD176" i="175"/>
  <c r="AD171" i="175"/>
  <c r="AD166" i="175"/>
  <c r="AD175" i="175"/>
  <c r="AD178" i="175"/>
  <c r="AD161" i="175"/>
  <c r="AD160" i="175"/>
  <c r="AD165" i="175"/>
  <c r="AD167" i="175"/>
  <c r="AD158" i="175"/>
  <c r="AE1" i="175"/>
  <c r="AE157" i="175" s="1"/>
  <c r="AE11" i="175" l="1"/>
  <c r="AE13" i="175"/>
  <c r="AE10" i="175"/>
  <c r="AE8" i="175"/>
  <c r="AE14" i="175"/>
  <c r="AE12" i="175"/>
  <c r="AE9" i="175"/>
  <c r="AE98" i="175"/>
  <c r="AE28" i="175"/>
  <c r="AE38" i="175"/>
  <c r="AE35" i="175"/>
  <c r="AE37" i="175"/>
  <c r="AE34" i="175"/>
  <c r="AE36" i="175"/>
  <c r="AE80" i="175"/>
  <c r="AE7" i="175"/>
  <c r="AE19" i="175"/>
  <c r="AE31" i="175"/>
  <c r="AE26" i="175"/>
  <c r="AE21" i="175"/>
  <c r="AE33" i="175"/>
  <c r="AE4" i="175"/>
  <c r="AE16" i="175"/>
  <c r="AE23" i="175"/>
  <c r="AE6" i="175"/>
  <c r="AE18" i="175"/>
  <c r="AE30" i="175"/>
  <c r="AE20" i="175"/>
  <c r="AE39" i="175"/>
  <c r="AE51" i="175"/>
  <c r="AE27" i="175"/>
  <c r="AE46" i="175"/>
  <c r="AE41" i="175"/>
  <c r="AE53" i="175"/>
  <c r="AE17" i="175"/>
  <c r="AE48" i="175"/>
  <c r="AE24" i="175"/>
  <c r="AE43" i="175"/>
  <c r="AE25" i="175"/>
  <c r="AE50" i="175"/>
  <c r="AE32" i="175"/>
  <c r="AE45" i="175"/>
  <c r="AE22" i="175"/>
  <c r="AE47" i="175"/>
  <c r="AE49" i="175"/>
  <c r="AE52" i="175"/>
  <c r="AE59" i="175"/>
  <c r="AE71" i="175"/>
  <c r="AE29" i="175"/>
  <c r="AE54" i="175"/>
  <c r="AE66" i="175"/>
  <c r="AE61" i="175"/>
  <c r="AE73" i="175"/>
  <c r="AE40" i="175"/>
  <c r="AE56" i="175"/>
  <c r="AE68" i="175"/>
  <c r="AE5" i="175"/>
  <c r="AE63" i="175"/>
  <c r="AE75" i="175"/>
  <c r="AE58" i="175"/>
  <c r="AE70" i="175"/>
  <c r="AE55" i="175"/>
  <c r="AE67" i="175"/>
  <c r="AE62" i="175"/>
  <c r="AE74" i="175"/>
  <c r="AE57" i="175"/>
  <c r="AE69" i="175"/>
  <c r="AE92" i="175"/>
  <c r="AE105" i="175"/>
  <c r="AE72" i="175"/>
  <c r="AE79" i="175"/>
  <c r="AE87" i="175"/>
  <c r="AE100" i="175"/>
  <c r="AE82" i="175"/>
  <c r="AE94" i="175"/>
  <c r="AE89" i="175"/>
  <c r="AE102" i="175"/>
  <c r="AE42" i="175"/>
  <c r="AE60" i="175"/>
  <c r="AE84" i="175"/>
  <c r="AE96" i="175"/>
  <c r="AE91" i="175"/>
  <c r="AE104" i="175"/>
  <c r="AE44" i="175"/>
  <c r="AE77" i="175"/>
  <c r="AE88" i="175"/>
  <c r="AE101" i="175"/>
  <c r="AE15" i="175"/>
  <c r="AE83" i="175"/>
  <c r="AE95" i="175"/>
  <c r="AE76" i="175"/>
  <c r="AE90" i="175"/>
  <c r="AE103" i="175"/>
  <c r="AE65" i="175"/>
  <c r="AE114" i="175"/>
  <c r="AE126" i="175"/>
  <c r="AE109" i="175"/>
  <c r="AE121" i="175"/>
  <c r="AE85" i="175"/>
  <c r="AE116" i="175"/>
  <c r="AE128" i="175"/>
  <c r="AE111" i="175"/>
  <c r="AE123" i="175"/>
  <c r="AE93" i="175"/>
  <c r="AE118" i="175"/>
  <c r="AE78" i="175"/>
  <c r="AE106" i="175"/>
  <c r="AE113" i="175"/>
  <c r="AE125" i="175"/>
  <c r="AE99" i="175"/>
  <c r="AE108" i="175"/>
  <c r="AE120" i="175"/>
  <c r="AE110" i="175"/>
  <c r="AE122" i="175"/>
  <c r="AE86" i="175"/>
  <c r="AE117" i="175"/>
  <c r="AE112" i="175"/>
  <c r="AE124" i="175"/>
  <c r="AE81" i="175"/>
  <c r="AE127" i="175"/>
  <c r="AE131" i="175"/>
  <c r="AE143" i="175"/>
  <c r="AE155" i="175"/>
  <c r="AE138" i="175"/>
  <c r="AE150" i="175"/>
  <c r="AE129" i="175"/>
  <c r="AE133" i="175"/>
  <c r="AE145" i="175"/>
  <c r="AE140" i="175"/>
  <c r="AE152" i="175"/>
  <c r="AE135" i="175"/>
  <c r="AE147" i="175"/>
  <c r="AE64" i="175"/>
  <c r="AE107" i="175"/>
  <c r="AE142" i="175"/>
  <c r="AE154" i="175"/>
  <c r="AE137" i="175"/>
  <c r="AE149" i="175"/>
  <c r="AE139" i="175"/>
  <c r="AE151" i="175"/>
  <c r="AE115" i="175"/>
  <c r="AE141" i="175"/>
  <c r="AE153" i="175"/>
  <c r="AE136" i="175"/>
  <c r="AE148" i="175"/>
  <c r="AE134" i="175"/>
  <c r="AE132" i="175"/>
  <c r="AE97" i="175"/>
  <c r="AE146" i="175"/>
  <c r="AE119" i="175"/>
  <c r="AE130" i="175"/>
  <c r="AE144" i="175"/>
  <c r="AE156" i="175"/>
  <c r="AE3" i="175"/>
  <c r="AE218" i="175"/>
  <c r="AE206" i="175"/>
  <c r="AE211" i="175"/>
  <c r="AE216" i="175"/>
  <c r="AE221" i="175"/>
  <c r="AE209" i="175"/>
  <c r="AE197" i="175"/>
  <c r="AE214" i="175"/>
  <c r="AE219" i="175"/>
  <c r="AE207" i="175"/>
  <c r="AE217" i="175"/>
  <c r="AE205" i="175"/>
  <c r="AE193" i="175"/>
  <c r="AE210" i="175"/>
  <c r="AE198" i="175"/>
  <c r="AE215" i="175"/>
  <c r="AE203" i="175"/>
  <c r="AE220" i="175"/>
  <c r="AE208" i="175"/>
  <c r="AE196" i="175"/>
  <c r="AE200" i="175"/>
  <c r="AE177" i="175"/>
  <c r="AE212" i="175"/>
  <c r="AE185" i="175"/>
  <c r="AE173" i="175"/>
  <c r="AE176" i="175"/>
  <c r="AE187" i="175"/>
  <c r="AE174" i="175"/>
  <c r="AE204" i="175"/>
  <c r="AE199" i="175"/>
  <c r="AE182" i="175"/>
  <c r="AE172" i="175"/>
  <c r="AE165" i="175"/>
  <c r="AE195" i="175"/>
  <c r="AE191" i="175"/>
  <c r="AE178" i="175"/>
  <c r="AE168" i="175"/>
  <c r="AE194" i="175"/>
  <c r="AE188" i="175"/>
  <c r="AE183" i="175"/>
  <c r="AE213" i="175"/>
  <c r="AE179" i="175"/>
  <c r="AE158" i="175"/>
  <c r="AE190" i="175"/>
  <c r="AE184" i="175"/>
  <c r="AE180" i="175"/>
  <c r="AE175" i="175"/>
  <c r="AE170" i="175"/>
  <c r="AE166" i="175"/>
  <c r="AE189" i="175"/>
  <c r="AE171" i="175"/>
  <c r="AE202" i="175"/>
  <c r="AE201" i="175"/>
  <c r="AE192" i="175"/>
  <c r="AE186" i="175"/>
  <c r="AE181" i="175"/>
  <c r="AE159" i="175"/>
  <c r="AE162" i="175"/>
  <c r="AE160" i="175"/>
  <c r="AE164" i="175"/>
  <c r="AE161" i="175"/>
  <c r="AE167" i="175"/>
  <c r="AE169" i="175"/>
  <c r="AE163" i="175"/>
  <c r="AF1" i="175"/>
  <c r="AF157" i="175" s="1"/>
  <c r="AF8" i="175" l="1"/>
  <c r="AF14" i="175"/>
  <c r="AF9" i="175"/>
  <c r="AF11" i="175"/>
  <c r="AF13" i="175"/>
  <c r="AF10" i="175"/>
  <c r="AF12" i="175"/>
  <c r="AF98" i="175"/>
  <c r="AF28" i="175"/>
  <c r="AF36" i="175"/>
  <c r="AF34" i="175"/>
  <c r="AF38" i="175"/>
  <c r="AF35" i="175"/>
  <c r="AF37" i="175"/>
  <c r="AF80" i="175"/>
  <c r="AF24" i="175"/>
  <c r="AF7" i="175"/>
  <c r="AF19" i="175"/>
  <c r="AF31" i="175"/>
  <c r="AF26" i="175"/>
  <c r="AF21" i="175"/>
  <c r="AF33" i="175"/>
  <c r="AF4" i="175"/>
  <c r="AF16" i="175"/>
  <c r="AF23" i="175"/>
  <c r="AF44" i="175"/>
  <c r="AF20" i="175"/>
  <c r="AF39" i="175"/>
  <c r="AF51" i="175"/>
  <c r="AF27" i="175"/>
  <c r="AF46" i="175"/>
  <c r="AF41" i="175"/>
  <c r="AF53" i="175"/>
  <c r="AF17" i="175"/>
  <c r="AF48" i="175"/>
  <c r="AF18" i="175"/>
  <c r="AF43" i="175"/>
  <c r="AF25" i="175"/>
  <c r="AF50" i="175"/>
  <c r="AF15" i="175"/>
  <c r="AF40" i="175"/>
  <c r="AF52" i="175"/>
  <c r="AF5" i="175"/>
  <c r="AF29" i="175"/>
  <c r="AF42" i="175"/>
  <c r="AF32" i="175"/>
  <c r="AF64" i="175"/>
  <c r="AF76" i="175"/>
  <c r="AF59" i="175"/>
  <c r="AF71" i="175"/>
  <c r="AF49" i="175"/>
  <c r="AF54" i="175"/>
  <c r="AF66" i="175"/>
  <c r="AF78" i="175"/>
  <c r="AF61" i="175"/>
  <c r="AF73" i="175"/>
  <c r="AF56" i="175"/>
  <c r="AF68" i="175"/>
  <c r="AF30" i="175"/>
  <c r="AF63" i="175"/>
  <c r="AF75" i="175"/>
  <c r="AF6" i="175"/>
  <c r="AF60" i="175"/>
  <c r="AF72" i="175"/>
  <c r="AF55" i="175"/>
  <c r="AF67" i="175"/>
  <c r="AF22" i="175"/>
  <c r="AF47" i="175"/>
  <c r="AF62" i="175"/>
  <c r="AF74" i="175"/>
  <c r="AF58" i="175"/>
  <c r="AF85" i="175"/>
  <c r="AF97" i="175"/>
  <c r="AF92" i="175"/>
  <c r="AF105" i="175"/>
  <c r="AF69" i="175"/>
  <c r="AF79" i="175"/>
  <c r="AF87" i="175"/>
  <c r="AF100" i="175"/>
  <c r="AF82" i="175"/>
  <c r="AF94" i="175"/>
  <c r="AF89" i="175"/>
  <c r="AF102" i="175"/>
  <c r="AF57" i="175"/>
  <c r="AF84" i="175"/>
  <c r="AF96" i="175"/>
  <c r="AF81" i="175"/>
  <c r="AF93" i="175"/>
  <c r="AF45" i="175"/>
  <c r="AF70" i="175"/>
  <c r="AF77" i="175"/>
  <c r="AF88" i="175"/>
  <c r="AF101" i="175"/>
  <c r="AF83" i="175"/>
  <c r="AF95" i="175"/>
  <c r="AF91" i="175"/>
  <c r="AF107" i="175"/>
  <c r="AF119" i="175"/>
  <c r="AF65" i="175"/>
  <c r="AF114" i="175"/>
  <c r="AF126" i="175"/>
  <c r="AF103" i="175"/>
  <c r="AF109" i="175"/>
  <c r="AF121" i="175"/>
  <c r="AF116" i="175"/>
  <c r="AF128" i="175"/>
  <c r="AF111" i="175"/>
  <c r="AF123" i="175"/>
  <c r="AF90" i="175"/>
  <c r="AF118" i="175"/>
  <c r="AF106" i="175"/>
  <c r="AF113" i="175"/>
  <c r="AF125" i="175"/>
  <c r="AF115" i="175"/>
  <c r="AF127" i="175"/>
  <c r="AF104" i="175"/>
  <c r="AF110" i="175"/>
  <c r="AF122" i="175"/>
  <c r="AF86" i="175"/>
  <c r="AF117" i="175"/>
  <c r="AF129" i="175"/>
  <c r="AF120" i="175"/>
  <c r="AF136" i="175"/>
  <c r="AF148" i="175"/>
  <c r="AF131" i="175"/>
  <c r="AF143" i="175"/>
  <c r="AF155" i="175"/>
  <c r="AF138" i="175"/>
  <c r="AF150" i="175"/>
  <c r="AF133" i="175"/>
  <c r="AF145" i="175"/>
  <c r="AF140" i="175"/>
  <c r="AF152" i="175"/>
  <c r="AF135" i="175"/>
  <c r="AF147" i="175"/>
  <c r="AF142" i="175"/>
  <c r="AF154" i="175"/>
  <c r="AF130" i="175"/>
  <c r="AF132" i="175"/>
  <c r="AF144" i="175"/>
  <c r="AF156" i="175"/>
  <c r="AF99" i="175"/>
  <c r="AF108" i="175"/>
  <c r="AF134" i="175"/>
  <c r="AF146" i="175"/>
  <c r="AF141" i="175"/>
  <c r="AF153" i="175"/>
  <c r="AF112" i="175"/>
  <c r="AF151" i="175"/>
  <c r="AF3" i="175"/>
  <c r="AF139" i="175"/>
  <c r="AF137" i="175"/>
  <c r="AF149" i="175"/>
  <c r="AF124" i="175"/>
  <c r="AF211" i="175"/>
  <c r="AF199" i="175"/>
  <c r="AF216" i="175"/>
  <c r="AF221" i="175"/>
  <c r="AF209" i="175"/>
  <c r="AF214" i="175"/>
  <c r="AF202" i="175"/>
  <c r="AF190" i="175"/>
  <c r="AF219" i="175"/>
  <c r="AF207" i="175"/>
  <c r="AF212" i="175"/>
  <c r="AF217" i="175"/>
  <c r="AF210" i="175"/>
  <c r="AF198" i="175"/>
  <c r="AF215" i="175"/>
  <c r="AF203" i="175"/>
  <c r="AF220" i="175"/>
  <c r="AF208" i="175"/>
  <c r="AF213" i="175"/>
  <c r="AF201" i="175"/>
  <c r="AF189" i="175"/>
  <c r="AF218" i="175"/>
  <c r="AF205" i="175"/>
  <c r="AF194" i="175"/>
  <c r="AF182" i="175"/>
  <c r="AF170" i="175"/>
  <c r="AF178" i="175"/>
  <c r="AF200" i="175"/>
  <c r="AF196" i="175"/>
  <c r="AF169" i="175"/>
  <c r="AF180" i="175"/>
  <c r="AF172" i="175"/>
  <c r="AF165" i="175"/>
  <c r="AF197" i="175"/>
  <c r="AF187" i="175"/>
  <c r="AF177" i="175"/>
  <c r="AF162" i="175"/>
  <c r="AF195" i="175"/>
  <c r="AF191" i="175"/>
  <c r="AF188" i="175"/>
  <c r="AF183" i="175"/>
  <c r="AF167" i="175"/>
  <c r="AF160" i="175"/>
  <c r="AF179" i="175"/>
  <c r="AF206" i="175"/>
  <c r="AF184" i="175"/>
  <c r="AF193" i="175"/>
  <c r="AF175" i="175"/>
  <c r="AF166" i="175"/>
  <c r="AF185" i="175"/>
  <c r="AF161" i="175"/>
  <c r="AF192" i="175"/>
  <c r="AF186" i="175"/>
  <c r="AF181" i="175"/>
  <c r="AF176" i="175"/>
  <c r="AF204" i="175"/>
  <c r="AF163" i="175"/>
  <c r="AF171" i="175"/>
  <c r="AF159" i="175"/>
  <c r="AF158" i="175"/>
  <c r="AF174" i="175"/>
  <c r="AF173" i="175"/>
  <c r="AF168" i="175"/>
  <c r="AF164" i="175"/>
  <c r="AG1" i="175"/>
  <c r="AG157" i="175" s="1"/>
  <c r="AG9" i="175" l="1"/>
  <c r="AG13" i="175"/>
  <c r="AG8" i="175"/>
  <c r="AG14" i="175"/>
  <c r="AG11" i="175"/>
  <c r="AG12" i="175"/>
  <c r="AG10" i="175"/>
  <c r="AG98" i="175"/>
  <c r="AG28" i="175"/>
  <c r="AG34" i="175"/>
  <c r="AG36" i="175"/>
  <c r="AG38" i="175"/>
  <c r="AG35" i="175"/>
  <c r="AG37" i="175"/>
  <c r="AG80" i="175"/>
  <c r="AG5" i="175"/>
  <c r="AG17" i="175"/>
  <c r="AG29" i="175"/>
  <c r="AG24" i="175"/>
  <c r="AG7" i="175"/>
  <c r="AG19" i="175"/>
  <c r="AG31" i="175"/>
  <c r="AG26" i="175"/>
  <c r="AG21" i="175"/>
  <c r="AG33" i="175"/>
  <c r="AG4" i="175"/>
  <c r="AG16" i="175"/>
  <c r="AG6" i="175"/>
  <c r="AG30" i="175"/>
  <c r="AG49" i="175"/>
  <c r="AG44" i="175"/>
  <c r="AG20" i="175"/>
  <c r="AG39" i="175"/>
  <c r="AG51" i="175"/>
  <c r="AG27" i="175"/>
  <c r="AG46" i="175"/>
  <c r="AG41" i="175"/>
  <c r="AG53" i="175"/>
  <c r="AG48" i="175"/>
  <c r="AG18" i="175"/>
  <c r="AG43" i="175"/>
  <c r="AG32" i="175"/>
  <c r="AG45" i="175"/>
  <c r="AG22" i="175"/>
  <c r="AG47" i="175"/>
  <c r="AG57" i="175"/>
  <c r="AG69" i="175"/>
  <c r="AG52" i="175"/>
  <c r="AG64" i="175"/>
  <c r="AG76" i="175"/>
  <c r="AG23" i="175"/>
  <c r="AG59" i="175"/>
  <c r="AG71" i="175"/>
  <c r="AG54" i="175"/>
  <c r="AG66" i="175"/>
  <c r="AG40" i="175"/>
  <c r="AG61" i="175"/>
  <c r="AG73" i="175"/>
  <c r="AG56" i="175"/>
  <c r="AG68" i="175"/>
  <c r="AG42" i="175"/>
  <c r="AG65" i="175"/>
  <c r="AG77" i="175"/>
  <c r="AG25" i="175"/>
  <c r="AG50" i="175"/>
  <c r="AG60" i="175"/>
  <c r="AG72" i="175"/>
  <c r="AG55" i="175"/>
  <c r="AG67" i="175"/>
  <c r="AG75" i="175"/>
  <c r="AG78" i="175"/>
  <c r="AG90" i="175"/>
  <c r="AG103" i="175"/>
  <c r="AG58" i="175"/>
  <c r="AG85" i="175"/>
  <c r="AG97" i="175"/>
  <c r="AG92" i="175"/>
  <c r="AG63" i="175"/>
  <c r="AG79" i="175"/>
  <c r="AG87" i="175"/>
  <c r="AG100" i="175"/>
  <c r="AG82" i="175"/>
  <c r="AG94" i="175"/>
  <c r="AG74" i="175"/>
  <c r="AG89" i="175"/>
  <c r="AG102" i="175"/>
  <c r="AG62" i="175"/>
  <c r="AG86" i="175"/>
  <c r="AG99" i="175"/>
  <c r="AG81" i="175"/>
  <c r="AG93" i="175"/>
  <c r="AG15" i="175"/>
  <c r="AG70" i="175"/>
  <c r="AG88" i="175"/>
  <c r="AG101" i="175"/>
  <c r="AG112" i="175"/>
  <c r="AG124" i="175"/>
  <c r="AG91" i="175"/>
  <c r="AG107" i="175"/>
  <c r="AG119" i="175"/>
  <c r="AG105" i="175"/>
  <c r="AG114" i="175"/>
  <c r="AG126" i="175"/>
  <c r="AG96" i="175"/>
  <c r="AG109" i="175"/>
  <c r="AG121" i="175"/>
  <c r="AG116" i="175"/>
  <c r="AG128" i="175"/>
  <c r="AG111" i="175"/>
  <c r="AG123" i="175"/>
  <c r="AG84" i="175"/>
  <c r="AG118" i="175"/>
  <c r="AG95" i="175"/>
  <c r="AG108" i="175"/>
  <c r="AG120" i="175"/>
  <c r="AG115" i="175"/>
  <c r="AG127" i="175"/>
  <c r="AG104" i="175"/>
  <c r="AG110" i="175"/>
  <c r="AG122" i="175"/>
  <c r="AG106" i="175"/>
  <c r="AG113" i="175"/>
  <c r="AG141" i="175"/>
  <c r="AG153" i="175"/>
  <c r="AG136" i="175"/>
  <c r="AG148" i="175"/>
  <c r="AG125" i="175"/>
  <c r="AG131" i="175"/>
  <c r="AG143" i="175"/>
  <c r="AG155" i="175"/>
  <c r="AG83" i="175"/>
  <c r="AG129" i="175"/>
  <c r="AG138" i="175"/>
  <c r="AG150" i="175"/>
  <c r="AG133" i="175"/>
  <c r="AG145" i="175"/>
  <c r="AG140" i="175"/>
  <c r="AG152" i="175"/>
  <c r="AG135" i="175"/>
  <c r="AG147" i="175"/>
  <c r="AG137" i="175"/>
  <c r="AG149" i="175"/>
  <c r="AG139" i="175"/>
  <c r="AG151" i="175"/>
  <c r="AG134" i="175"/>
  <c r="AG146" i="175"/>
  <c r="AG3" i="175"/>
  <c r="AG144" i="175"/>
  <c r="AG117" i="175"/>
  <c r="AG132" i="175"/>
  <c r="AG130" i="175"/>
  <c r="AG142" i="175"/>
  <c r="AG156" i="175"/>
  <c r="AG154" i="175"/>
  <c r="AG216" i="175"/>
  <c r="AG204" i="175"/>
  <c r="AG221" i="175"/>
  <c r="AG209" i="175"/>
  <c r="AG214" i="175"/>
  <c r="AG219" i="175"/>
  <c r="AG207" i="175"/>
  <c r="AG195" i="175"/>
  <c r="AG212" i="175"/>
  <c r="AG217" i="175"/>
  <c r="AG205" i="175"/>
  <c r="AG215" i="175"/>
  <c r="AG203" i="175"/>
  <c r="AG191" i="175"/>
  <c r="AG220" i="175"/>
  <c r="AG208" i="175"/>
  <c r="AG196" i="175"/>
  <c r="AG213" i="175"/>
  <c r="AG218" i="175"/>
  <c r="AG206" i="175"/>
  <c r="AG194" i="175"/>
  <c r="AG187" i="175"/>
  <c r="AG175" i="175"/>
  <c r="AG201" i="175"/>
  <c r="AG199" i="175"/>
  <c r="AG197" i="175"/>
  <c r="AG183" i="175"/>
  <c r="AG171" i="175"/>
  <c r="AG193" i="175"/>
  <c r="AG188" i="175"/>
  <c r="AG182" i="175"/>
  <c r="AG166" i="175"/>
  <c r="AG189" i="175"/>
  <c r="AG186" i="175"/>
  <c r="AG173" i="175"/>
  <c r="AG200" i="175"/>
  <c r="AG177" i="175"/>
  <c r="AG162" i="175"/>
  <c r="AG198" i="175"/>
  <c r="AG168" i="175"/>
  <c r="AG178" i="175"/>
  <c r="AG210" i="175"/>
  <c r="AG164" i="175"/>
  <c r="AG179" i="175"/>
  <c r="AG184" i="175"/>
  <c r="AG190" i="175"/>
  <c r="AG185" i="175"/>
  <c r="AG180" i="175"/>
  <c r="AG170" i="175"/>
  <c r="AG163" i="175"/>
  <c r="AG192" i="175"/>
  <c r="AG181" i="175"/>
  <c r="AG202" i="175"/>
  <c r="AG211" i="175"/>
  <c r="AG172" i="175"/>
  <c r="AG165" i="175"/>
  <c r="AG176" i="175"/>
  <c r="AG161" i="175"/>
  <c r="AG160" i="175"/>
  <c r="AG159" i="175"/>
  <c r="AG167" i="175"/>
  <c r="AG158" i="175"/>
  <c r="AG174" i="175"/>
  <c r="AG169" i="175"/>
  <c r="AH1" i="175"/>
  <c r="AH157" i="175" s="1"/>
  <c r="AI157" i="175" s="1"/>
  <c r="AH14" i="175" l="1"/>
  <c r="AI14" i="175" s="1"/>
  <c r="AH9" i="175"/>
  <c r="AI9" i="175" s="1"/>
  <c r="AH11" i="175"/>
  <c r="AH13" i="175"/>
  <c r="AH8" i="175"/>
  <c r="AI8" i="175" s="1"/>
  <c r="AH12" i="175"/>
  <c r="AI12" i="175" s="1"/>
  <c r="AH10" i="175"/>
  <c r="AH98" i="175"/>
  <c r="AI98" i="175" s="1"/>
  <c r="AH28" i="175"/>
  <c r="AI28" i="175" s="1"/>
  <c r="AH34" i="175"/>
  <c r="AI34" i="175" s="1"/>
  <c r="AH36" i="175"/>
  <c r="AI36" i="175" s="1"/>
  <c r="AH38" i="175"/>
  <c r="AI38" i="175" s="1"/>
  <c r="AH35" i="175"/>
  <c r="AI35" i="175" s="1"/>
  <c r="AH37" i="175"/>
  <c r="AI37" i="175" s="1"/>
  <c r="AH80" i="175"/>
  <c r="AI80" i="175" s="1"/>
  <c r="AH22" i="175"/>
  <c r="AI22" i="175" s="1"/>
  <c r="AH5" i="175"/>
  <c r="AI5" i="175" s="1"/>
  <c r="AH17" i="175"/>
  <c r="AI17" i="175" s="1"/>
  <c r="AH29" i="175"/>
  <c r="AI29" i="175" s="1"/>
  <c r="AH24" i="175"/>
  <c r="AI24" i="175" s="1"/>
  <c r="AH7" i="175"/>
  <c r="AI7" i="175" s="1"/>
  <c r="AH19" i="175"/>
  <c r="AI19" i="175" s="1"/>
  <c r="AH31" i="175"/>
  <c r="AI31" i="175" s="1"/>
  <c r="AH26" i="175"/>
  <c r="AI26" i="175" s="1"/>
  <c r="AH21" i="175"/>
  <c r="AI21" i="175" s="1"/>
  <c r="AH33" i="175"/>
  <c r="AI33" i="175" s="1"/>
  <c r="AH23" i="175"/>
  <c r="AI23" i="175" s="1"/>
  <c r="AH42" i="175"/>
  <c r="AI42" i="175" s="1"/>
  <c r="AH6" i="175"/>
  <c r="AI6" i="175" s="1"/>
  <c r="AH30" i="175"/>
  <c r="AI30" i="175" s="1"/>
  <c r="AH49" i="175"/>
  <c r="AI49" i="175" s="1"/>
  <c r="AI13" i="175"/>
  <c r="AH44" i="175"/>
  <c r="AI44" i="175" s="1"/>
  <c r="AH20" i="175"/>
  <c r="AI20" i="175" s="1"/>
  <c r="AH39" i="175"/>
  <c r="AI39" i="175" s="1"/>
  <c r="AH51" i="175"/>
  <c r="AI51" i="175" s="1"/>
  <c r="AH27" i="175"/>
  <c r="AI27" i="175" s="1"/>
  <c r="AH46" i="175"/>
  <c r="AI46" i="175" s="1"/>
  <c r="AH4" i="175"/>
  <c r="AI4" i="175" s="1"/>
  <c r="AH41" i="175"/>
  <c r="AI41" i="175" s="1"/>
  <c r="AH53" i="175"/>
  <c r="AI53" i="175" s="1"/>
  <c r="AI11" i="175"/>
  <c r="AH48" i="175"/>
  <c r="AI48" i="175" s="1"/>
  <c r="AH25" i="175"/>
  <c r="AI25" i="175" s="1"/>
  <c r="AH50" i="175"/>
  <c r="AI50" i="175" s="1"/>
  <c r="AH15" i="175"/>
  <c r="AI15" i="175" s="1"/>
  <c r="AH40" i="175"/>
  <c r="AI40" i="175" s="1"/>
  <c r="AH52" i="175"/>
  <c r="AI52" i="175" s="1"/>
  <c r="AH62" i="175"/>
  <c r="AI62" i="175" s="1"/>
  <c r="AH74" i="175"/>
  <c r="AI74" i="175" s="1"/>
  <c r="AH32" i="175"/>
  <c r="AI32" i="175" s="1"/>
  <c r="AH57" i="175"/>
  <c r="AI57" i="175" s="1"/>
  <c r="AH69" i="175"/>
  <c r="AI69" i="175" s="1"/>
  <c r="AH64" i="175"/>
  <c r="AI64" i="175" s="1"/>
  <c r="AH76" i="175"/>
  <c r="AI76" i="175" s="1"/>
  <c r="AH43" i="175"/>
  <c r="AI43" i="175" s="1"/>
  <c r="AH59" i="175"/>
  <c r="AI59" i="175" s="1"/>
  <c r="AH71" i="175"/>
  <c r="AI71" i="175" s="1"/>
  <c r="AH54" i="175"/>
  <c r="AI54" i="175" s="1"/>
  <c r="AH66" i="175"/>
  <c r="AI66" i="175" s="1"/>
  <c r="AH61" i="175"/>
  <c r="AI61" i="175" s="1"/>
  <c r="AH73" i="175"/>
  <c r="AI73" i="175" s="1"/>
  <c r="AH58" i="175"/>
  <c r="AI58" i="175" s="1"/>
  <c r="AH70" i="175"/>
  <c r="AI70" i="175" s="1"/>
  <c r="AH65" i="175"/>
  <c r="AI65" i="175" s="1"/>
  <c r="AH60" i="175"/>
  <c r="AI60" i="175" s="1"/>
  <c r="AH72" i="175"/>
  <c r="AI72" i="175" s="1"/>
  <c r="AH18" i="175"/>
  <c r="AI18" i="175" s="1"/>
  <c r="AH83" i="175"/>
  <c r="AI83" i="175" s="1"/>
  <c r="AH95" i="175"/>
  <c r="AI95" i="175" s="1"/>
  <c r="AH75" i="175"/>
  <c r="AI75" i="175" s="1"/>
  <c r="AH78" i="175"/>
  <c r="AI78" i="175" s="1"/>
  <c r="AH90" i="175"/>
  <c r="AI90" i="175" s="1"/>
  <c r="AH103" i="175"/>
  <c r="AI103" i="175" s="1"/>
  <c r="AH47" i="175"/>
  <c r="AI47" i="175" s="1"/>
  <c r="AH55" i="175"/>
  <c r="AI55" i="175" s="1"/>
  <c r="AH85" i="175"/>
  <c r="AI85" i="175" s="1"/>
  <c r="AH97" i="175"/>
  <c r="AI97" i="175" s="1"/>
  <c r="AH92" i="175"/>
  <c r="AI92" i="175" s="1"/>
  <c r="AH63" i="175"/>
  <c r="AI63" i="175" s="1"/>
  <c r="AH79" i="175"/>
  <c r="AI79" i="175" s="1"/>
  <c r="AH87" i="175"/>
  <c r="AI87" i="175" s="1"/>
  <c r="AH100" i="175"/>
  <c r="AI100" i="175" s="1"/>
  <c r="AH82" i="175"/>
  <c r="AI82" i="175" s="1"/>
  <c r="AH94" i="175"/>
  <c r="AI94" i="175" s="1"/>
  <c r="AH91" i="175"/>
  <c r="AI91" i="175" s="1"/>
  <c r="AH104" i="175"/>
  <c r="AI104" i="175" s="1"/>
  <c r="AH56" i="175"/>
  <c r="AI56" i="175" s="1"/>
  <c r="AH86" i="175"/>
  <c r="AI86" i="175" s="1"/>
  <c r="AH99" i="175"/>
  <c r="AI99" i="175" s="1"/>
  <c r="AH45" i="175"/>
  <c r="AI45" i="175" s="1"/>
  <c r="AH77" i="175"/>
  <c r="AI77" i="175" s="1"/>
  <c r="AH81" i="175"/>
  <c r="AI81" i="175" s="1"/>
  <c r="AH93" i="175"/>
  <c r="AI93" i="175" s="1"/>
  <c r="AH117" i="175"/>
  <c r="AI117" i="175" s="1"/>
  <c r="AH129" i="175"/>
  <c r="AI129" i="175" s="1"/>
  <c r="AH112" i="175"/>
  <c r="AI112" i="175" s="1"/>
  <c r="AH124" i="175"/>
  <c r="AH16" i="175"/>
  <c r="AI16" i="175" s="1"/>
  <c r="AH88" i="175"/>
  <c r="AI88" i="175" s="1"/>
  <c r="AH107" i="175"/>
  <c r="AI107" i="175" s="1"/>
  <c r="AH119" i="175"/>
  <c r="AI119" i="175" s="1"/>
  <c r="AH105" i="175"/>
  <c r="AI105" i="175" s="1"/>
  <c r="AH114" i="175"/>
  <c r="AI114" i="175" s="1"/>
  <c r="AH126" i="175"/>
  <c r="AI126" i="175" s="1"/>
  <c r="AH96" i="175"/>
  <c r="AI96" i="175" s="1"/>
  <c r="AH109" i="175"/>
  <c r="AI109" i="175" s="1"/>
  <c r="AH121" i="175"/>
  <c r="AI121" i="175" s="1"/>
  <c r="AH67" i="175"/>
  <c r="AI67" i="175" s="1"/>
  <c r="AH116" i="175"/>
  <c r="AI116" i="175" s="1"/>
  <c r="AH128" i="175"/>
  <c r="AI128" i="175" s="1"/>
  <c r="AH68" i="175"/>
  <c r="AI68" i="175" s="1"/>
  <c r="AH102" i="175"/>
  <c r="AI102" i="175" s="1"/>
  <c r="AH111" i="175"/>
  <c r="AI111" i="175" s="1"/>
  <c r="AH123" i="175"/>
  <c r="AI123" i="175" s="1"/>
  <c r="AH106" i="175"/>
  <c r="AI106" i="175" s="1"/>
  <c r="AH113" i="175"/>
  <c r="AI113" i="175" s="1"/>
  <c r="AH125" i="175"/>
  <c r="AI125" i="175" s="1"/>
  <c r="AH89" i="175"/>
  <c r="AI89" i="175" s="1"/>
  <c r="AH108" i="175"/>
  <c r="AI108" i="175" s="1"/>
  <c r="AH120" i="175"/>
  <c r="AI120" i="175" s="1"/>
  <c r="AH115" i="175"/>
  <c r="AI115" i="175" s="1"/>
  <c r="AH127" i="175"/>
  <c r="AI127" i="175" s="1"/>
  <c r="AH134" i="175"/>
  <c r="AI134" i="175" s="1"/>
  <c r="AH146" i="175"/>
  <c r="AI146" i="175" s="1"/>
  <c r="AH101" i="175"/>
  <c r="AI101" i="175" s="1"/>
  <c r="AH141" i="175"/>
  <c r="AI141" i="175" s="1"/>
  <c r="AH153" i="175"/>
  <c r="AI153" i="175" s="1"/>
  <c r="AH118" i="175"/>
  <c r="AI118" i="175" s="1"/>
  <c r="AH136" i="175"/>
  <c r="AI136" i="175" s="1"/>
  <c r="AH148" i="175"/>
  <c r="AI148" i="175" s="1"/>
  <c r="AH131" i="175"/>
  <c r="AI131" i="175" s="1"/>
  <c r="AH143" i="175"/>
  <c r="AI143" i="175" s="1"/>
  <c r="AH155" i="175"/>
  <c r="AI155" i="175" s="1"/>
  <c r="AH84" i="175"/>
  <c r="AI84" i="175" s="1"/>
  <c r="AH138" i="175"/>
  <c r="AI138" i="175" s="1"/>
  <c r="AH150" i="175"/>
  <c r="AI150" i="175" s="1"/>
  <c r="AH133" i="175"/>
  <c r="AI133" i="175" s="1"/>
  <c r="AH145" i="175"/>
  <c r="AI145" i="175" s="1"/>
  <c r="AH140" i="175"/>
  <c r="AI140" i="175" s="1"/>
  <c r="AH152" i="175"/>
  <c r="AI152" i="175" s="1"/>
  <c r="AH142" i="175"/>
  <c r="AI142" i="175" s="1"/>
  <c r="AH154" i="175"/>
  <c r="AI154" i="175" s="1"/>
  <c r="AH130" i="175"/>
  <c r="AI130" i="175" s="1"/>
  <c r="AH132" i="175"/>
  <c r="AI132" i="175" s="1"/>
  <c r="AH144" i="175"/>
  <c r="AI144" i="175" s="1"/>
  <c r="AH156" i="175"/>
  <c r="AI156" i="175" s="1"/>
  <c r="AH122" i="175"/>
  <c r="AI122" i="175" s="1"/>
  <c r="AH139" i="175"/>
  <c r="AI139" i="175" s="1"/>
  <c r="AH151" i="175"/>
  <c r="AI151" i="175" s="1"/>
  <c r="AH3" i="175"/>
  <c r="AI3" i="175" s="1"/>
  <c r="AH137" i="175"/>
  <c r="AI137" i="175" s="1"/>
  <c r="AH135" i="175"/>
  <c r="AI135" i="175" s="1"/>
  <c r="AH149" i="175"/>
  <c r="AI149" i="175" s="1"/>
  <c r="AH147" i="175"/>
  <c r="AI147" i="175" s="1"/>
  <c r="AH110" i="175"/>
  <c r="AI110" i="175" s="1"/>
  <c r="AH221" i="175"/>
  <c r="AH209" i="175"/>
  <c r="AH197" i="175"/>
  <c r="AH214" i="175"/>
  <c r="AH219" i="175"/>
  <c r="AH207" i="175"/>
  <c r="AH212" i="175"/>
  <c r="AH200" i="175"/>
  <c r="AH217" i="175"/>
  <c r="AH210" i="175"/>
  <c r="AH215" i="175"/>
  <c r="AH220" i="175"/>
  <c r="AH208" i="175"/>
  <c r="AH196" i="175"/>
  <c r="AH213" i="175"/>
  <c r="AH201" i="175"/>
  <c r="AH218" i="175"/>
  <c r="AH206" i="175"/>
  <c r="AH211" i="175"/>
  <c r="AH199" i="175"/>
  <c r="AH216" i="175"/>
  <c r="AH204" i="175"/>
  <c r="AH180" i="175"/>
  <c r="AH168" i="175"/>
  <c r="AH195" i="175"/>
  <c r="AH189" i="175"/>
  <c r="AH188" i="175"/>
  <c r="AH176" i="175"/>
  <c r="AH181" i="175"/>
  <c r="AH175" i="175"/>
  <c r="AH202" i="175"/>
  <c r="AH179" i="175"/>
  <c r="AH198" i="175"/>
  <c r="AH187" i="175"/>
  <c r="AH182" i="175"/>
  <c r="AH191" i="175"/>
  <c r="AH178" i="175"/>
  <c r="AH173" i="175"/>
  <c r="AH167" i="175"/>
  <c r="AH160" i="175"/>
  <c r="AH205" i="175"/>
  <c r="AH183" i="175"/>
  <c r="AH194" i="175"/>
  <c r="AH174" i="175"/>
  <c r="AH169" i="175"/>
  <c r="AH158" i="175"/>
  <c r="AH184" i="175"/>
  <c r="AH190" i="175"/>
  <c r="AH193" i="175"/>
  <c r="AH185" i="175"/>
  <c r="AH170" i="175"/>
  <c r="AH166" i="175"/>
  <c r="AH161" i="175"/>
  <c r="AH163" i="175"/>
  <c r="AH192" i="175"/>
  <c r="AH171" i="175"/>
  <c r="AH159" i="175"/>
  <c r="AH186" i="175"/>
  <c r="AH203" i="175"/>
  <c r="AH172" i="175"/>
  <c r="AH165" i="175"/>
  <c r="AH177" i="175"/>
  <c r="AH162" i="175"/>
  <c r="AH164" i="175"/>
  <c r="AI10" i="175"/>
  <c r="AH26" i="36" l="1"/>
  <c r="AG26" i="36"/>
  <c r="AF26" i="36"/>
  <c r="AE26" i="36"/>
  <c r="AD26" i="36"/>
  <c r="AC26" i="36"/>
  <c r="AB26" i="36"/>
  <c r="AA26" i="36"/>
  <c r="Z26" i="36"/>
  <c r="Y26" i="36"/>
  <c r="X26" i="36"/>
  <c r="W26" i="36"/>
  <c r="V26" i="36"/>
  <c r="U26" i="36"/>
  <c r="T26" i="36"/>
  <c r="S26" i="36"/>
  <c r="R26" i="36"/>
  <c r="Q26" i="36"/>
  <c r="P26" i="36"/>
  <c r="O26" i="36"/>
  <c r="N26" i="36"/>
  <c r="M26" i="36"/>
  <c r="L26" i="36"/>
  <c r="K26" i="36"/>
  <c r="J26" i="36"/>
  <c r="I26" i="36"/>
  <c r="H26" i="36"/>
  <c r="G26" i="36"/>
  <c r="F26" i="36"/>
  <c r="E26" i="36"/>
  <c r="D26" i="36"/>
  <c r="AH25" i="36"/>
  <c r="AG25" i="36"/>
  <c r="AF25" i="36"/>
  <c r="AE25" i="36"/>
  <c r="AD25" i="36"/>
  <c r="AC25" i="36"/>
  <c r="AB25" i="36"/>
  <c r="AA25" i="36"/>
  <c r="Z25" i="36"/>
  <c r="Y25" i="36"/>
  <c r="X25" i="36"/>
  <c r="W25" i="36"/>
  <c r="V25" i="36"/>
  <c r="U25" i="36"/>
  <c r="T25" i="36"/>
  <c r="S25" i="36"/>
  <c r="R25" i="36"/>
  <c r="Q25" i="36"/>
  <c r="P25" i="36"/>
  <c r="O25" i="36"/>
  <c r="N25" i="36"/>
  <c r="M25" i="36"/>
  <c r="L25" i="36"/>
  <c r="K25" i="36"/>
  <c r="J25" i="36"/>
  <c r="I25" i="36"/>
  <c r="H25" i="36"/>
  <c r="G25" i="36"/>
  <c r="F25" i="36"/>
  <c r="E25" i="36"/>
  <c r="D25" i="36"/>
  <c r="AH24" i="36"/>
  <c r="AG24" i="36"/>
  <c r="AF24" i="36"/>
  <c r="AE24" i="36"/>
  <c r="AD24" i="36"/>
  <c r="AC24" i="36"/>
  <c r="AB24" i="36"/>
  <c r="AA24" i="36"/>
  <c r="Z24" i="36"/>
  <c r="Y24" i="36"/>
  <c r="X24" i="36"/>
  <c r="W24" i="36"/>
  <c r="V24" i="36"/>
  <c r="U24" i="36"/>
  <c r="T24" i="36"/>
  <c r="S24" i="36"/>
  <c r="R24" i="36"/>
  <c r="Q24" i="36"/>
  <c r="P24" i="36"/>
  <c r="O24" i="36"/>
  <c r="N24" i="36"/>
  <c r="M24" i="36"/>
  <c r="L24" i="36"/>
  <c r="K24" i="36"/>
  <c r="J24" i="36"/>
  <c r="I24" i="36"/>
  <c r="H24" i="36"/>
  <c r="G24" i="36"/>
  <c r="F24" i="36"/>
  <c r="E24" i="36"/>
  <c r="D24" i="36"/>
  <c r="AH23" i="36"/>
  <c r="AG23" i="36"/>
  <c r="AF23" i="36"/>
  <c r="AE23" i="36"/>
  <c r="AD23" i="36"/>
  <c r="AC23" i="36"/>
  <c r="AB23" i="36"/>
  <c r="AA23" i="36"/>
  <c r="Z23" i="36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AH22" i="36"/>
  <c r="AG22" i="36"/>
  <c r="AF22" i="36"/>
  <c r="AE22" i="36"/>
  <c r="AD22" i="36"/>
  <c r="AC22" i="36"/>
  <c r="AB22" i="36"/>
  <c r="AA22" i="36"/>
  <c r="Z22" i="36"/>
  <c r="Y22" i="36"/>
  <c r="X22" i="36"/>
  <c r="W22" i="36"/>
  <c r="V22" i="36"/>
  <c r="U22" i="36"/>
  <c r="T22" i="36"/>
  <c r="S22" i="36"/>
  <c r="R22" i="36"/>
  <c r="Q22" i="36"/>
  <c r="P22" i="36"/>
  <c r="O22" i="36"/>
  <c r="N22" i="36"/>
  <c r="M22" i="36"/>
  <c r="L22" i="36"/>
  <c r="K22" i="36"/>
  <c r="J22" i="36"/>
  <c r="I22" i="36"/>
  <c r="H22" i="36"/>
  <c r="G22" i="36"/>
  <c r="F22" i="36"/>
  <c r="E22" i="36"/>
  <c r="D22" i="36"/>
  <c r="AH21" i="36"/>
  <c r="AG21" i="36"/>
  <c r="AF21" i="36"/>
  <c r="AE21" i="36"/>
  <c r="AD21" i="36"/>
  <c r="AC21" i="36"/>
  <c r="AB21" i="36"/>
  <c r="AA21" i="36"/>
  <c r="Z21" i="36"/>
  <c r="Y21" i="36"/>
  <c r="X21" i="36"/>
  <c r="W21" i="36"/>
  <c r="V21" i="36"/>
  <c r="U21" i="36"/>
  <c r="T21" i="36"/>
  <c r="S21" i="36"/>
  <c r="R21" i="36"/>
  <c r="Q21" i="36"/>
  <c r="P21" i="36"/>
  <c r="O21" i="36"/>
  <c r="N21" i="36"/>
  <c r="M21" i="36"/>
  <c r="L21" i="36"/>
  <c r="K21" i="36"/>
  <c r="J21" i="36"/>
  <c r="I21" i="36"/>
  <c r="H21" i="36"/>
  <c r="G21" i="36"/>
  <c r="F21" i="36"/>
  <c r="E21" i="36"/>
  <c r="D21" i="36"/>
  <c r="AH20" i="36"/>
  <c r="AG20" i="36"/>
  <c r="AF20" i="36"/>
  <c r="AE20" i="36"/>
  <c r="AD20" i="36"/>
  <c r="AC20" i="36"/>
  <c r="AB20" i="36"/>
  <c r="AA20" i="36"/>
  <c r="Z20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AH19" i="36"/>
  <c r="AG19" i="36"/>
  <c r="AF19" i="36"/>
  <c r="AE19" i="36"/>
  <c r="AD19" i="36"/>
  <c r="AC19" i="36"/>
  <c r="AB19" i="36"/>
  <c r="AA19" i="36"/>
  <c r="Z19" i="36"/>
  <c r="Y19" i="36"/>
  <c r="X19" i="36"/>
  <c r="W19" i="36"/>
  <c r="V19" i="36"/>
  <c r="U19" i="36"/>
  <c r="T19" i="36"/>
  <c r="S19" i="36"/>
  <c r="R19" i="36"/>
  <c r="Q19" i="36"/>
  <c r="P19" i="36"/>
  <c r="O19" i="36"/>
  <c r="N19" i="36"/>
  <c r="M19" i="36"/>
  <c r="L19" i="36"/>
  <c r="K19" i="36"/>
  <c r="J19" i="36"/>
  <c r="I19" i="36"/>
  <c r="H19" i="36"/>
  <c r="G19" i="36"/>
  <c r="F19" i="36"/>
  <c r="E19" i="36"/>
  <c r="D19" i="36"/>
  <c r="AH18" i="36"/>
  <c r="AG18" i="36"/>
  <c r="AF18" i="36"/>
  <c r="AE18" i="36"/>
  <c r="AD18" i="36"/>
  <c r="AC18" i="36"/>
  <c r="AB18" i="36"/>
  <c r="AA18" i="36"/>
  <c r="Z18" i="36"/>
  <c r="Y18" i="36"/>
  <c r="X18" i="36"/>
  <c r="W18" i="36"/>
  <c r="V18" i="36"/>
  <c r="U18" i="36"/>
  <c r="T18" i="36"/>
  <c r="S18" i="36"/>
  <c r="R18" i="36"/>
  <c r="Q18" i="36"/>
  <c r="P18" i="36"/>
  <c r="O18" i="36"/>
  <c r="N18" i="36"/>
  <c r="M18" i="36"/>
  <c r="L18" i="36"/>
  <c r="K18" i="36"/>
  <c r="J18" i="36"/>
  <c r="I18" i="36"/>
  <c r="H18" i="36"/>
  <c r="G18" i="36"/>
  <c r="F18" i="36"/>
  <c r="E18" i="36"/>
  <c r="D18" i="36"/>
  <c r="AH17" i="36"/>
  <c r="AG17" i="36"/>
  <c r="AF17" i="36"/>
  <c r="AE17" i="36"/>
  <c r="AD17" i="36"/>
  <c r="AC17" i="36"/>
  <c r="AB17" i="36"/>
  <c r="AA17" i="36"/>
  <c r="Z17" i="36"/>
  <c r="Y17" i="36"/>
  <c r="X17" i="36"/>
  <c r="W17" i="36"/>
  <c r="V17" i="36"/>
  <c r="U17" i="36"/>
  <c r="T17" i="36"/>
  <c r="S17" i="36"/>
  <c r="R17" i="36"/>
  <c r="Q17" i="36"/>
  <c r="P17" i="36"/>
  <c r="O17" i="36"/>
  <c r="N17" i="36"/>
  <c r="M17" i="36"/>
  <c r="L17" i="36"/>
  <c r="K17" i="36"/>
  <c r="J17" i="36"/>
  <c r="I17" i="36"/>
  <c r="H17" i="36"/>
  <c r="G17" i="36"/>
  <c r="F17" i="36"/>
  <c r="E17" i="36"/>
  <c r="D17" i="36"/>
  <c r="AH16" i="36"/>
  <c r="AG16" i="36"/>
  <c r="AF16" i="36"/>
  <c r="AE16" i="36"/>
  <c r="AD16" i="36"/>
  <c r="AC16" i="36"/>
  <c r="AB16" i="36"/>
  <c r="AA16" i="36"/>
  <c r="Z16" i="36"/>
  <c r="Y16" i="36"/>
  <c r="X16" i="36"/>
  <c r="W16" i="36"/>
  <c r="V16" i="36"/>
  <c r="U16" i="36"/>
  <c r="T16" i="36"/>
  <c r="S16" i="36"/>
  <c r="R16" i="36"/>
  <c r="Q16" i="36"/>
  <c r="P16" i="36"/>
  <c r="O16" i="36"/>
  <c r="N16" i="36"/>
  <c r="M16" i="36"/>
  <c r="L16" i="36"/>
  <c r="K16" i="36"/>
  <c r="J16" i="36"/>
  <c r="I16" i="36"/>
  <c r="H16" i="36"/>
  <c r="G16" i="36"/>
  <c r="F16" i="36"/>
  <c r="E16" i="36"/>
  <c r="D16" i="36"/>
  <c r="AH15" i="36"/>
  <c r="AG15" i="36"/>
  <c r="AF15" i="36"/>
  <c r="AE15" i="36"/>
  <c r="AD15" i="36"/>
  <c r="AC15" i="36"/>
  <c r="AB15" i="36"/>
  <c r="AA15" i="36"/>
  <c r="Z15" i="36"/>
  <c r="Y15" i="36"/>
  <c r="X15" i="36"/>
  <c r="W15" i="36"/>
  <c r="V15" i="36"/>
  <c r="U15" i="36"/>
  <c r="T15" i="36"/>
  <c r="S15" i="36"/>
  <c r="R15" i="36"/>
  <c r="Q15" i="36"/>
  <c r="P15" i="36"/>
  <c r="O15" i="36"/>
  <c r="N15" i="36"/>
  <c r="M15" i="36"/>
  <c r="L15" i="36"/>
  <c r="K15" i="36"/>
  <c r="J15" i="36"/>
  <c r="I15" i="36"/>
  <c r="H15" i="36"/>
  <c r="G15" i="36"/>
  <c r="F15" i="36"/>
  <c r="E15" i="36"/>
  <c r="D15" i="36"/>
  <c r="AH14" i="36"/>
  <c r="AG14" i="36"/>
  <c r="AF14" i="36"/>
  <c r="AE14" i="36"/>
  <c r="AD14" i="36"/>
  <c r="AC14" i="36"/>
  <c r="AB14" i="36"/>
  <c r="AA14" i="36"/>
  <c r="Z14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AH13" i="36"/>
  <c r="AG13" i="36"/>
  <c r="AF13" i="36"/>
  <c r="AE13" i="36"/>
  <c r="AD13" i="36"/>
  <c r="AC13" i="36"/>
  <c r="AB13" i="36"/>
  <c r="AA13" i="36"/>
  <c r="Z13" i="36"/>
  <c r="Y13" i="36"/>
  <c r="X13" i="36"/>
  <c r="W13" i="36"/>
  <c r="V13" i="36"/>
  <c r="U13" i="36"/>
  <c r="T13" i="36"/>
  <c r="S13" i="36"/>
  <c r="R13" i="36"/>
  <c r="Q13" i="36"/>
  <c r="P13" i="36"/>
  <c r="O13" i="36"/>
  <c r="N13" i="36"/>
  <c r="M13" i="36"/>
  <c r="L13" i="36"/>
  <c r="K13" i="36"/>
  <c r="J13" i="36"/>
  <c r="I13" i="36"/>
  <c r="H13" i="36"/>
  <c r="G13" i="36"/>
  <c r="F13" i="36"/>
  <c r="E13" i="36"/>
  <c r="D13" i="36"/>
  <c r="AH12" i="36"/>
  <c r="AG12" i="36"/>
  <c r="AF12" i="36"/>
  <c r="AE12" i="36"/>
  <c r="AD12" i="36"/>
  <c r="AC12" i="36"/>
  <c r="AB12" i="36"/>
  <c r="AA12" i="36"/>
  <c r="Z12" i="36"/>
  <c r="Y12" i="36"/>
  <c r="X12" i="36"/>
  <c r="W12" i="36"/>
  <c r="V12" i="36"/>
  <c r="U12" i="36"/>
  <c r="T12" i="36"/>
  <c r="S12" i="36"/>
  <c r="R12" i="36"/>
  <c r="Q12" i="36"/>
  <c r="P12" i="36"/>
  <c r="O12" i="36"/>
  <c r="N12" i="36"/>
  <c r="M12" i="36"/>
  <c r="L12" i="36"/>
  <c r="K12" i="36"/>
  <c r="J12" i="36"/>
  <c r="I12" i="36"/>
  <c r="H12" i="36"/>
  <c r="G12" i="36"/>
  <c r="F12" i="36"/>
  <c r="E12" i="36"/>
  <c r="D12" i="36"/>
  <c r="AH10" i="36"/>
  <c r="AG10" i="36"/>
  <c r="AF10" i="36"/>
  <c r="AE10" i="36"/>
  <c r="AD10" i="36"/>
  <c r="AC10" i="36"/>
  <c r="AB10" i="36"/>
  <c r="AA10" i="36"/>
  <c r="Z10" i="36"/>
  <c r="Y10" i="36"/>
  <c r="X10" i="36"/>
  <c r="W10" i="36"/>
  <c r="V10" i="36"/>
  <c r="U10" i="36"/>
  <c r="T10" i="36"/>
  <c r="S10" i="36"/>
  <c r="R10" i="36"/>
  <c r="Q10" i="36"/>
  <c r="P10" i="36"/>
  <c r="O10" i="36"/>
  <c r="N10" i="36"/>
  <c r="M10" i="36"/>
  <c r="L10" i="36"/>
  <c r="K10" i="36"/>
  <c r="J10" i="36"/>
  <c r="I10" i="36"/>
  <c r="H10" i="36"/>
  <c r="G10" i="36"/>
  <c r="F10" i="36"/>
  <c r="E10" i="36"/>
  <c r="D10" i="36"/>
  <c r="AH9" i="36"/>
  <c r="AG9" i="36"/>
  <c r="AF9" i="36"/>
  <c r="AE9" i="36"/>
  <c r="AD9" i="36"/>
  <c r="AC9" i="36"/>
  <c r="AB9" i="36"/>
  <c r="AA9" i="36"/>
  <c r="Z9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AH8" i="36"/>
  <c r="AG8" i="36"/>
  <c r="AF8" i="36"/>
  <c r="AE8" i="36"/>
  <c r="AD8" i="36"/>
  <c r="AC8" i="36"/>
  <c r="AB8" i="36"/>
  <c r="AA8" i="36"/>
  <c r="Z8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AH7" i="36"/>
  <c r="AG7" i="36"/>
  <c r="AF7" i="36"/>
  <c r="AE7" i="36"/>
  <c r="AD7" i="36"/>
  <c r="AC7" i="36"/>
  <c r="AB7" i="36"/>
  <c r="AA7" i="36"/>
  <c r="Z7" i="36"/>
  <c r="Y7" i="36"/>
  <c r="X7" i="36"/>
  <c r="W7" i="36"/>
  <c r="V7" i="36"/>
  <c r="U7" i="36"/>
  <c r="T7" i="36"/>
  <c r="S7" i="36"/>
  <c r="R7" i="36"/>
  <c r="Q7" i="36"/>
  <c r="P7" i="36"/>
  <c r="O7" i="36"/>
  <c r="N7" i="36"/>
  <c r="M7" i="36"/>
  <c r="L7" i="36"/>
  <c r="K7" i="36"/>
  <c r="J7" i="36"/>
  <c r="I7" i="36"/>
  <c r="H7" i="36"/>
  <c r="G7" i="36"/>
  <c r="F7" i="36"/>
  <c r="E7" i="36"/>
  <c r="D7" i="36"/>
  <c r="AH6" i="36"/>
  <c r="AG6" i="36"/>
  <c r="AF6" i="36"/>
  <c r="AE6" i="36"/>
  <c r="AD6" i="36"/>
  <c r="AC6" i="36"/>
  <c r="AB6" i="36"/>
  <c r="AA6" i="36"/>
  <c r="Z6" i="36"/>
  <c r="Y6" i="36"/>
  <c r="X6" i="36"/>
  <c r="W6" i="36"/>
  <c r="V6" i="36"/>
  <c r="U6" i="36"/>
  <c r="T6" i="36"/>
  <c r="S6" i="36"/>
  <c r="R6" i="36"/>
  <c r="Q6" i="36"/>
  <c r="P6" i="36"/>
  <c r="O6" i="36"/>
  <c r="N6" i="36"/>
  <c r="M6" i="36"/>
  <c r="L6" i="36"/>
  <c r="K6" i="36"/>
  <c r="J6" i="36"/>
  <c r="I6" i="36"/>
  <c r="H6" i="36"/>
  <c r="G6" i="36"/>
  <c r="F6" i="36"/>
  <c r="E6" i="36"/>
  <c r="D6" i="36"/>
  <c r="AH5" i="36"/>
  <c r="AG5" i="36"/>
  <c r="AF5" i="36"/>
  <c r="AE5" i="36"/>
  <c r="AD5" i="36"/>
  <c r="AC5" i="36"/>
  <c r="AB5" i="36"/>
  <c r="AA5" i="36"/>
  <c r="Z5" i="36"/>
  <c r="Y5" i="36"/>
  <c r="X5" i="36"/>
  <c r="W5" i="36"/>
  <c r="V5" i="36"/>
  <c r="U5" i="36"/>
  <c r="T5" i="36"/>
  <c r="S5" i="36"/>
  <c r="R5" i="36"/>
  <c r="Q5" i="36"/>
  <c r="P5" i="36"/>
  <c r="O5" i="36"/>
  <c r="N5" i="36"/>
  <c r="M5" i="36"/>
  <c r="L5" i="36"/>
  <c r="K5" i="36"/>
  <c r="J5" i="36"/>
  <c r="I5" i="36"/>
  <c r="H5" i="36"/>
  <c r="G5" i="36"/>
  <c r="F5" i="36"/>
  <c r="E5" i="36"/>
  <c r="D5" i="36"/>
  <c r="AH4" i="36"/>
  <c r="AG4" i="36"/>
  <c r="AF4" i="36"/>
  <c r="AE4" i="36"/>
  <c r="AD4" i="36"/>
  <c r="AC4" i="36"/>
  <c r="AB4" i="36"/>
  <c r="AA4" i="36"/>
  <c r="Z4" i="36"/>
  <c r="Y4" i="36"/>
  <c r="X4" i="36"/>
  <c r="W4" i="36"/>
  <c r="V4" i="36"/>
  <c r="U4" i="36"/>
  <c r="T4" i="36"/>
  <c r="S4" i="36"/>
  <c r="R4" i="36"/>
  <c r="Q4" i="36"/>
  <c r="P4" i="36"/>
  <c r="O4" i="36"/>
  <c r="N4" i="36"/>
  <c r="M4" i="36"/>
  <c r="L4" i="36"/>
  <c r="K4" i="36"/>
  <c r="J4" i="36"/>
  <c r="I4" i="36"/>
  <c r="H4" i="36"/>
  <c r="G4" i="36"/>
  <c r="F4" i="36"/>
  <c r="E4" i="36"/>
  <c r="D4" i="36"/>
  <c r="AH3" i="36"/>
  <c r="AG3" i="36"/>
  <c r="AF3" i="36"/>
  <c r="AE3" i="36"/>
  <c r="AD3" i="36"/>
  <c r="AC3" i="36"/>
  <c r="AB3" i="36"/>
  <c r="AA3" i="36"/>
  <c r="Z3" i="36"/>
  <c r="Y3" i="36"/>
  <c r="X3" i="36"/>
  <c r="W3" i="36"/>
  <c r="V3" i="36"/>
  <c r="U3" i="36"/>
  <c r="T3" i="36"/>
  <c r="S3" i="36"/>
  <c r="R3" i="36"/>
  <c r="Q3" i="36"/>
  <c r="P3" i="36"/>
  <c r="O3" i="36"/>
  <c r="N3" i="36"/>
  <c r="M3" i="36"/>
  <c r="L3" i="36"/>
  <c r="K3" i="36"/>
  <c r="J3" i="36"/>
  <c r="I3" i="36"/>
  <c r="H3" i="36"/>
  <c r="G3" i="36"/>
  <c r="F3" i="36"/>
  <c r="E3" i="36"/>
  <c r="D3" i="36"/>
  <c r="AI25" i="36" l="1"/>
  <c r="AI4" i="36"/>
  <c r="AI8" i="36"/>
  <c r="AI13" i="36"/>
  <c r="AI21" i="36"/>
  <c r="AI17" i="36"/>
  <c r="AI3" i="36"/>
  <c r="AI6" i="36"/>
  <c r="AI10" i="36"/>
  <c r="AI15" i="36"/>
  <c r="AI19" i="36"/>
  <c r="AI23" i="36"/>
  <c r="AI5" i="36"/>
  <c r="AI9" i="36"/>
  <c r="AI14" i="36"/>
  <c r="AI18" i="36"/>
  <c r="AI22" i="36"/>
  <c r="AI26" i="36"/>
  <c r="AI7" i="36"/>
  <c r="AI12" i="36"/>
  <c r="AI16" i="36"/>
  <c r="AI20" i="36"/>
  <c r="AI24" i="36"/>
  <c r="D14" i="34" l="1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R14" i="34"/>
  <c r="S14" i="34"/>
  <c r="T14" i="34"/>
  <c r="U14" i="34"/>
  <c r="V14" i="34"/>
  <c r="W14" i="34"/>
  <c r="X14" i="34"/>
  <c r="Y14" i="34"/>
  <c r="Z14" i="34"/>
  <c r="AA14" i="34"/>
  <c r="AB14" i="34"/>
  <c r="AC14" i="34"/>
  <c r="AD14" i="34"/>
  <c r="AE14" i="34"/>
  <c r="AF14" i="34"/>
  <c r="AG14" i="34"/>
  <c r="AH14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R15" i="34"/>
  <c r="S15" i="34"/>
  <c r="T15" i="34"/>
  <c r="U15" i="34"/>
  <c r="V15" i="34"/>
  <c r="W15" i="34"/>
  <c r="X15" i="34"/>
  <c r="Y15" i="34"/>
  <c r="Z15" i="34"/>
  <c r="AA15" i="34"/>
  <c r="AB15" i="34"/>
  <c r="AC15" i="34"/>
  <c r="AD15" i="34"/>
  <c r="AE15" i="34"/>
  <c r="AF15" i="34"/>
  <c r="AG15" i="34"/>
  <c r="AH15" i="34"/>
  <c r="D16" i="34"/>
  <c r="E16" i="34"/>
  <c r="F16" i="34"/>
  <c r="G16" i="34"/>
  <c r="H16" i="34"/>
  <c r="I16" i="34"/>
  <c r="J16" i="34"/>
  <c r="K16" i="34"/>
  <c r="L16" i="34"/>
  <c r="M16" i="34"/>
  <c r="N16" i="34"/>
  <c r="O16" i="34"/>
  <c r="P16" i="34"/>
  <c r="Q16" i="34"/>
  <c r="R16" i="34"/>
  <c r="S16" i="34"/>
  <c r="T16" i="34"/>
  <c r="U16" i="34"/>
  <c r="V16" i="34"/>
  <c r="W16" i="34"/>
  <c r="X16" i="34"/>
  <c r="Y16" i="34"/>
  <c r="Z16" i="34"/>
  <c r="AA16" i="34"/>
  <c r="AB16" i="34"/>
  <c r="AC16" i="34"/>
  <c r="AD16" i="34"/>
  <c r="AE16" i="34"/>
  <c r="AF16" i="34"/>
  <c r="AG16" i="34"/>
  <c r="AH16" i="34"/>
  <c r="D17" i="34"/>
  <c r="E17" i="34"/>
  <c r="F17" i="34"/>
  <c r="G17" i="34"/>
  <c r="H17" i="34"/>
  <c r="I17" i="34"/>
  <c r="J17" i="34"/>
  <c r="K17" i="34"/>
  <c r="L17" i="34"/>
  <c r="M17" i="34"/>
  <c r="N17" i="34"/>
  <c r="O17" i="34"/>
  <c r="P17" i="34"/>
  <c r="Q17" i="34"/>
  <c r="R17" i="34"/>
  <c r="S17" i="34"/>
  <c r="T17" i="34"/>
  <c r="U17" i="34"/>
  <c r="V17" i="34"/>
  <c r="W17" i="34"/>
  <c r="X17" i="34"/>
  <c r="Y17" i="34"/>
  <c r="Z17" i="34"/>
  <c r="AA17" i="34"/>
  <c r="AB17" i="34"/>
  <c r="AC17" i="34"/>
  <c r="AD17" i="34"/>
  <c r="AE17" i="34"/>
  <c r="AF17" i="34"/>
  <c r="AG17" i="34"/>
  <c r="AH17" i="34"/>
  <c r="D18" i="34"/>
  <c r="E18" i="34"/>
  <c r="F18" i="34"/>
  <c r="G18" i="34"/>
  <c r="H18" i="34"/>
  <c r="I18" i="34"/>
  <c r="J18" i="34"/>
  <c r="K18" i="34"/>
  <c r="L18" i="34"/>
  <c r="M18" i="34"/>
  <c r="N18" i="34"/>
  <c r="O18" i="34"/>
  <c r="P18" i="34"/>
  <c r="Q18" i="34"/>
  <c r="R18" i="34"/>
  <c r="S18" i="34"/>
  <c r="T18" i="34"/>
  <c r="U18" i="34"/>
  <c r="V18" i="34"/>
  <c r="W18" i="34"/>
  <c r="X18" i="34"/>
  <c r="Y18" i="34"/>
  <c r="Z18" i="34"/>
  <c r="AA18" i="34"/>
  <c r="AB18" i="34"/>
  <c r="AC18" i="34"/>
  <c r="AD18" i="34"/>
  <c r="AE18" i="34"/>
  <c r="AF18" i="34"/>
  <c r="AG18" i="34"/>
  <c r="AH18" i="34"/>
  <c r="D19" i="34"/>
  <c r="E19" i="34"/>
  <c r="F19" i="34"/>
  <c r="G19" i="34"/>
  <c r="H19" i="34"/>
  <c r="I19" i="34"/>
  <c r="J19" i="34"/>
  <c r="K19" i="34"/>
  <c r="L19" i="34"/>
  <c r="M19" i="34"/>
  <c r="N19" i="34"/>
  <c r="O19" i="34"/>
  <c r="P19" i="34"/>
  <c r="Q19" i="34"/>
  <c r="R19" i="34"/>
  <c r="S19" i="34"/>
  <c r="T19" i="34"/>
  <c r="U19" i="34"/>
  <c r="V19" i="34"/>
  <c r="W19" i="34"/>
  <c r="X19" i="34"/>
  <c r="Y19" i="34"/>
  <c r="Z19" i="34"/>
  <c r="AA19" i="34"/>
  <c r="AB19" i="34"/>
  <c r="AC19" i="34"/>
  <c r="AD19" i="34"/>
  <c r="AE19" i="34"/>
  <c r="AF19" i="34"/>
  <c r="AG19" i="34"/>
  <c r="AH19" i="34"/>
  <c r="D20" i="34"/>
  <c r="E20" i="34"/>
  <c r="F20" i="34"/>
  <c r="G20" i="34"/>
  <c r="H20" i="34"/>
  <c r="I20" i="34"/>
  <c r="J20" i="34"/>
  <c r="K20" i="34"/>
  <c r="L20" i="34"/>
  <c r="M20" i="34"/>
  <c r="N20" i="34"/>
  <c r="O20" i="34"/>
  <c r="P20" i="34"/>
  <c r="Q20" i="34"/>
  <c r="R20" i="34"/>
  <c r="S20" i="34"/>
  <c r="T20" i="34"/>
  <c r="U20" i="34"/>
  <c r="V20" i="34"/>
  <c r="W20" i="34"/>
  <c r="X20" i="34"/>
  <c r="Y20" i="34"/>
  <c r="Z20" i="34"/>
  <c r="AA20" i="34"/>
  <c r="AB20" i="34"/>
  <c r="AC20" i="34"/>
  <c r="AD20" i="34"/>
  <c r="AE20" i="34"/>
  <c r="AF20" i="34"/>
  <c r="AG20" i="34"/>
  <c r="AH20" i="34"/>
  <c r="D21" i="34"/>
  <c r="E21" i="34"/>
  <c r="F21" i="34"/>
  <c r="G21" i="34"/>
  <c r="H21" i="34"/>
  <c r="I21" i="34"/>
  <c r="J21" i="34"/>
  <c r="K21" i="34"/>
  <c r="L21" i="34"/>
  <c r="M21" i="34"/>
  <c r="N21" i="34"/>
  <c r="O21" i="34"/>
  <c r="P21" i="34"/>
  <c r="Q21" i="34"/>
  <c r="R21" i="34"/>
  <c r="S21" i="34"/>
  <c r="T21" i="34"/>
  <c r="U21" i="34"/>
  <c r="V21" i="34"/>
  <c r="W21" i="34"/>
  <c r="X21" i="34"/>
  <c r="Y21" i="34"/>
  <c r="Z21" i="34"/>
  <c r="AA21" i="34"/>
  <c r="AB21" i="34"/>
  <c r="AC21" i="34"/>
  <c r="AD21" i="34"/>
  <c r="AE21" i="34"/>
  <c r="AF21" i="34"/>
  <c r="AG21" i="34"/>
  <c r="AH21" i="34"/>
  <c r="D22" i="34"/>
  <c r="E22" i="34"/>
  <c r="F22" i="34"/>
  <c r="G22" i="34"/>
  <c r="H22" i="34"/>
  <c r="I22" i="34"/>
  <c r="J22" i="34"/>
  <c r="K22" i="34"/>
  <c r="L22" i="34"/>
  <c r="M22" i="34"/>
  <c r="N22" i="34"/>
  <c r="O22" i="34"/>
  <c r="P22" i="34"/>
  <c r="Q22" i="34"/>
  <c r="R22" i="34"/>
  <c r="S22" i="34"/>
  <c r="T22" i="34"/>
  <c r="U22" i="34"/>
  <c r="V22" i="34"/>
  <c r="W22" i="34"/>
  <c r="X22" i="34"/>
  <c r="Y22" i="34"/>
  <c r="Z22" i="34"/>
  <c r="AA22" i="34"/>
  <c r="AB22" i="34"/>
  <c r="AC22" i="34"/>
  <c r="AD22" i="34"/>
  <c r="AE22" i="34"/>
  <c r="AF22" i="34"/>
  <c r="AG22" i="34"/>
  <c r="AH22" i="34"/>
  <c r="D23" i="34"/>
  <c r="E23" i="34"/>
  <c r="F23" i="34"/>
  <c r="G23" i="34"/>
  <c r="H23" i="34"/>
  <c r="I23" i="34"/>
  <c r="J23" i="34"/>
  <c r="K23" i="34"/>
  <c r="L23" i="34"/>
  <c r="M23" i="34"/>
  <c r="N23" i="34"/>
  <c r="O23" i="34"/>
  <c r="P23" i="34"/>
  <c r="Q23" i="34"/>
  <c r="R23" i="34"/>
  <c r="S23" i="34"/>
  <c r="T23" i="34"/>
  <c r="U23" i="34"/>
  <c r="V23" i="34"/>
  <c r="W23" i="34"/>
  <c r="X23" i="34"/>
  <c r="Y23" i="34"/>
  <c r="Z23" i="34"/>
  <c r="AA23" i="34"/>
  <c r="AB23" i="34"/>
  <c r="AC23" i="34"/>
  <c r="AD23" i="34"/>
  <c r="AE23" i="34"/>
  <c r="AF23" i="34"/>
  <c r="AG23" i="34"/>
  <c r="AH23" i="34"/>
  <c r="D24" i="34"/>
  <c r="E24" i="34"/>
  <c r="F24" i="34"/>
  <c r="G24" i="34"/>
  <c r="H24" i="34"/>
  <c r="I24" i="34"/>
  <c r="J24" i="34"/>
  <c r="K24" i="34"/>
  <c r="L24" i="34"/>
  <c r="M24" i="34"/>
  <c r="N24" i="34"/>
  <c r="O24" i="34"/>
  <c r="P24" i="34"/>
  <c r="Q24" i="34"/>
  <c r="R24" i="34"/>
  <c r="S24" i="34"/>
  <c r="T24" i="34"/>
  <c r="U24" i="34"/>
  <c r="V24" i="34"/>
  <c r="W24" i="34"/>
  <c r="X24" i="34"/>
  <c r="Y24" i="34"/>
  <c r="Z24" i="34"/>
  <c r="AA24" i="34"/>
  <c r="AB24" i="34"/>
  <c r="AC24" i="34"/>
  <c r="AD24" i="34"/>
  <c r="AE24" i="34"/>
  <c r="AF24" i="34"/>
  <c r="AG24" i="34"/>
  <c r="AH24" i="34"/>
  <c r="D25" i="34"/>
  <c r="E25" i="34"/>
  <c r="F25" i="34"/>
  <c r="G25" i="34"/>
  <c r="H25" i="34"/>
  <c r="I25" i="34"/>
  <c r="J25" i="34"/>
  <c r="K25" i="34"/>
  <c r="L25" i="34"/>
  <c r="M25" i="34"/>
  <c r="N25" i="34"/>
  <c r="O25" i="34"/>
  <c r="P25" i="34"/>
  <c r="Q25" i="34"/>
  <c r="R25" i="34"/>
  <c r="S25" i="34"/>
  <c r="T25" i="34"/>
  <c r="U25" i="34"/>
  <c r="V25" i="34"/>
  <c r="W25" i="34"/>
  <c r="X25" i="34"/>
  <c r="Y25" i="34"/>
  <c r="Z25" i="34"/>
  <c r="AA25" i="34"/>
  <c r="AB25" i="34"/>
  <c r="AC25" i="34"/>
  <c r="AD25" i="34"/>
  <c r="AE25" i="34"/>
  <c r="AF25" i="34"/>
  <c r="AG25" i="34"/>
  <c r="AH25" i="34"/>
  <c r="D26" i="34"/>
  <c r="E26" i="34"/>
  <c r="F26" i="34"/>
  <c r="G26" i="34"/>
  <c r="H26" i="34"/>
  <c r="I26" i="34"/>
  <c r="J26" i="34"/>
  <c r="K26" i="34"/>
  <c r="L26" i="34"/>
  <c r="M26" i="34"/>
  <c r="N26" i="34"/>
  <c r="O26" i="34"/>
  <c r="P26" i="34"/>
  <c r="Q26" i="34"/>
  <c r="R26" i="34"/>
  <c r="S26" i="34"/>
  <c r="T26" i="34"/>
  <c r="U26" i="34"/>
  <c r="V26" i="34"/>
  <c r="W26" i="34"/>
  <c r="X26" i="34"/>
  <c r="Y26" i="34"/>
  <c r="Z26" i="34"/>
  <c r="AA26" i="34"/>
  <c r="AB26" i="34"/>
  <c r="AC26" i="34"/>
  <c r="AD26" i="34"/>
  <c r="AE26" i="34"/>
  <c r="AF26" i="34"/>
  <c r="AG26" i="34"/>
  <c r="AH26" i="34"/>
  <c r="D3" i="34" l="1"/>
  <c r="D4" i="34"/>
  <c r="D5" i="34"/>
  <c r="D6" i="34"/>
  <c r="D7" i="34"/>
  <c r="D8" i="34"/>
  <c r="D9" i="34"/>
  <c r="D10" i="34"/>
  <c r="AH13" i="34"/>
  <c r="AG13" i="34"/>
  <c r="AF13" i="34"/>
  <c r="AE13" i="34"/>
  <c r="AD13" i="34"/>
  <c r="AC13" i="34"/>
  <c r="AB13" i="34"/>
  <c r="AA13" i="34"/>
  <c r="Z13" i="34"/>
  <c r="Y13" i="34"/>
  <c r="X13" i="34"/>
  <c r="W13" i="34"/>
  <c r="V13" i="34"/>
  <c r="U13" i="34"/>
  <c r="T13" i="34"/>
  <c r="S13" i="34"/>
  <c r="R13" i="34"/>
  <c r="Q13" i="34"/>
  <c r="P13" i="34"/>
  <c r="O13" i="34"/>
  <c r="N13" i="34"/>
  <c r="M13" i="34"/>
  <c r="L13" i="34"/>
  <c r="K13" i="34"/>
  <c r="J13" i="34"/>
  <c r="I13" i="34"/>
  <c r="H13" i="34"/>
  <c r="G13" i="34"/>
  <c r="F13" i="34"/>
  <c r="E13" i="34"/>
  <c r="D13" i="34"/>
  <c r="AH12" i="34"/>
  <c r="AG12" i="34"/>
  <c r="AF12" i="34"/>
  <c r="AE12" i="34"/>
  <c r="AD12" i="34"/>
  <c r="AC12" i="34"/>
  <c r="AB12" i="34"/>
  <c r="AA12" i="34"/>
  <c r="Z12" i="34"/>
  <c r="Y12" i="34"/>
  <c r="X12" i="34"/>
  <c r="W12" i="34"/>
  <c r="V12" i="34"/>
  <c r="U12" i="34"/>
  <c r="T12" i="34"/>
  <c r="S12" i="34"/>
  <c r="R12" i="34"/>
  <c r="Q12" i="34"/>
  <c r="P12" i="34"/>
  <c r="O12" i="34"/>
  <c r="N12" i="34"/>
  <c r="M12" i="34"/>
  <c r="L12" i="34"/>
  <c r="K12" i="34"/>
  <c r="J12" i="34"/>
  <c r="I12" i="34"/>
  <c r="H12" i="34"/>
  <c r="G12" i="34"/>
  <c r="F12" i="34"/>
  <c r="E12" i="34"/>
  <c r="D12" i="34"/>
  <c r="AI26" i="34"/>
  <c r="AI25" i="34"/>
  <c r="AI24" i="34"/>
  <c r="AI23" i="34"/>
  <c r="AI22" i="34"/>
  <c r="AI21" i="34"/>
  <c r="AI20" i="34"/>
  <c r="AI19" i="34"/>
  <c r="AI18" i="34"/>
  <c r="AI17" i="34"/>
  <c r="AI16" i="34"/>
  <c r="AI15" i="34"/>
  <c r="AI14" i="34"/>
  <c r="AH10" i="34"/>
  <c r="AG10" i="34"/>
  <c r="AF10" i="34"/>
  <c r="AE10" i="34"/>
  <c r="AD10" i="34"/>
  <c r="AC10" i="34"/>
  <c r="AB10" i="34"/>
  <c r="AA10" i="34"/>
  <c r="Z10" i="34"/>
  <c r="Y10" i="34"/>
  <c r="X10" i="34"/>
  <c r="W10" i="34"/>
  <c r="V10" i="34"/>
  <c r="U10" i="34"/>
  <c r="T10" i="34"/>
  <c r="S10" i="34"/>
  <c r="R10" i="34"/>
  <c r="Q10" i="34"/>
  <c r="P10" i="34"/>
  <c r="O10" i="34"/>
  <c r="N10" i="34"/>
  <c r="M10" i="34"/>
  <c r="L10" i="34"/>
  <c r="K10" i="34"/>
  <c r="J10" i="34"/>
  <c r="I10" i="34"/>
  <c r="H10" i="34"/>
  <c r="G10" i="34"/>
  <c r="F10" i="34"/>
  <c r="E10" i="34"/>
  <c r="AH9" i="34"/>
  <c r="AG9" i="34"/>
  <c r="AF9" i="34"/>
  <c r="AE9" i="34"/>
  <c r="AD9" i="34"/>
  <c r="AC9" i="34"/>
  <c r="AB9" i="34"/>
  <c r="AA9" i="34"/>
  <c r="Z9" i="34"/>
  <c r="Y9" i="34"/>
  <c r="X9" i="34"/>
  <c r="W9" i="34"/>
  <c r="V9" i="34"/>
  <c r="U9" i="34"/>
  <c r="T9" i="34"/>
  <c r="S9" i="34"/>
  <c r="R9" i="34"/>
  <c r="Q9" i="34"/>
  <c r="P9" i="34"/>
  <c r="O9" i="34"/>
  <c r="N9" i="34"/>
  <c r="M9" i="34"/>
  <c r="L9" i="34"/>
  <c r="K9" i="34"/>
  <c r="J9" i="34"/>
  <c r="I9" i="34"/>
  <c r="H9" i="34"/>
  <c r="G9" i="34"/>
  <c r="F9" i="34"/>
  <c r="E9" i="34"/>
  <c r="AH8" i="34"/>
  <c r="AG8" i="34"/>
  <c r="AF8" i="34"/>
  <c r="AE8" i="34"/>
  <c r="AD8" i="34"/>
  <c r="AC8" i="34"/>
  <c r="AB8" i="34"/>
  <c r="AA8" i="34"/>
  <c r="Z8" i="34"/>
  <c r="Y8" i="34"/>
  <c r="X8" i="34"/>
  <c r="W8" i="34"/>
  <c r="V8" i="34"/>
  <c r="U8" i="34"/>
  <c r="T8" i="34"/>
  <c r="S8" i="34"/>
  <c r="R8" i="34"/>
  <c r="Q8" i="34"/>
  <c r="P8" i="34"/>
  <c r="O8" i="34"/>
  <c r="N8" i="34"/>
  <c r="M8" i="34"/>
  <c r="L8" i="34"/>
  <c r="K8" i="34"/>
  <c r="J8" i="34"/>
  <c r="I8" i="34"/>
  <c r="H8" i="34"/>
  <c r="G8" i="34"/>
  <c r="F8" i="34"/>
  <c r="E8" i="34"/>
  <c r="AH7" i="34"/>
  <c r="AG7" i="34"/>
  <c r="AF7" i="34"/>
  <c r="AE7" i="34"/>
  <c r="AD7" i="34"/>
  <c r="AC7" i="34"/>
  <c r="AB7" i="34"/>
  <c r="AA7" i="34"/>
  <c r="Z7" i="34"/>
  <c r="Y7" i="34"/>
  <c r="X7" i="34"/>
  <c r="W7" i="34"/>
  <c r="V7" i="34"/>
  <c r="U7" i="34"/>
  <c r="T7" i="34"/>
  <c r="S7" i="34"/>
  <c r="R7" i="34"/>
  <c r="Q7" i="34"/>
  <c r="P7" i="34"/>
  <c r="O7" i="34"/>
  <c r="N7" i="34"/>
  <c r="M7" i="34"/>
  <c r="L7" i="34"/>
  <c r="K7" i="34"/>
  <c r="J7" i="34"/>
  <c r="I7" i="34"/>
  <c r="H7" i="34"/>
  <c r="G7" i="34"/>
  <c r="F7" i="34"/>
  <c r="E7" i="34"/>
  <c r="AH6" i="34"/>
  <c r="AG6" i="34"/>
  <c r="AF6" i="34"/>
  <c r="AE6" i="34"/>
  <c r="AD6" i="34"/>
  <c r="AC6" i="34"/>
  <c r="AB6" i="34"/>
  <c r="AA6" i="34"/>
  <c r="Z6" i="34"/>
  <c r="Y6" i="34"/>
  <c r="X6" i="34"/>
  <c r="W6" i="34"/>
  <c r="V6" i="34"/>
  <c r="U6" i="34"/>
  <c r="T6" i="34"/>
  <c r="S6" i="34"/>
  <c r="R6" i="34"/>
  <c r="Q6" i="34"/>
  <c r="P6" i="34"/>
  <c r="O6" i="34"/>
  <c r="N6" i="34"/>
  <c r="M6" i="34"/>
  <c r="L6" i="34"/>
  <c r="K6" i="34"/>
  <c r="J6" i="34"/>
  <c r="I6" i="34"/>
  <c r="H6" i="34"/>
  <c r="G6" i="34"/>
  <c r="F6" i="34"/>
  <c r="E6" i="34"/>
  <c r="AH5" i="34"/>
  <c r="AG5" i="34"/>
  <c r="AF5" i="34"/>
  <c r="AE5" i="34"/>
  <c r="AD5" i="34"/>
  <c r="AC5" i="34"/>
  <c r="AB5" i="34"/>
  <c r="AA5" i="34"/>
  <c r="Z5" i="34"/>
  <c r="Y5" i="34"/>
  <c r="X5" i="34"/>
  <c r="W5" i="34"/>
  <c r="V5" i="34"/>
  <c r="U5" i="34"/>
  <c r="T5" i="34"/>
  <c r="S5" i="34"/>
  <c r="R5" i="34"/>
  <c r="Q5" i="34"/>
  <c r="P5" i="34"/>
  <c r="O5" i="34"/>
  <c r="N5" i="34"/>
  <c r="M5" i="34"/>
  <c r="L5" i="34"/>
  <c r="K5" i="34"/>
  <c r="J5" i="34"/>
  <c r="I5" i="34"/>
  <c r="H5" i="34"/>
  <c r="G5" i="34"/>
  <c r="F5" i="34"/>
  <c r="E5" i="34"/>
  <c r="AH4" i="34"/>
  <c r="AG4" i="34"/>
  <c r="AF4" i="34"/>
  <c r="AE4" i="34"/>
  <c r="AD4" i="34"/>
  <c r="AC4" i="34"/>
  <c r="AB4" i="34"/>
  <c r="AA4" i="34"/>
  <c r="Z4" i="34"/>
  <c r="Y4" i="34"/>
  <c r="X4" i="34"/>
  <c r="W4" i="34"/>
  <c r="V4" i="34"/>
  <c r="U4" i="34"/>
  <c r="T4" i="34"/>
  <c r="S4" i="34"/>
  <c r="R4" i="34"/>
  <c r="Q4" i="34"/>
  <c r="P4" i="34"/>
  <c r="O4" i="34"/>
  <c r="N4" i="34"/>
  <c r="M4" i="34"/>
  <c r="L4" i="34"/>
  <c r="K4" i="34"/>
  <c r="J4" i="34"/>
  <c r="I4" i="34"/>
  <c r="H4" i="34"/>
  <c r="G4" i="34"/>
  <c r="F4" i="34"/>
  <c r="E4" i="34"/>
  <c r="AH3" i="34"/>
  <c r="AG3" i="34"/>
  <c r="AF3" i="34"/>
  <c r="AE3" i="34"/>
  <c r="AD3" i="34"/>
  <c r="AC3" i="34"/>
  <c r="AB3" i="34"/>
  <c r="AA3" i="34"/>
  <c r="Z3" i="34"/>
  <c r="Y3" i="34"/>
  <c r="X3" i="34"/>
  <c r="W3" i="34"/>
  <c r="V3" i="34"/>
  <c r="U3" i="34"/>
  <c r="T3" i="34"/>
  <c r="S3" i="34"/>
  <c r="R3" i="34"/>
  <c r="Q3" i="34"/>
  <c r="P3" i="34"/>
  <c r="O3" i="34"/>
  <c r="N3" i="34"/>
  <c r="M3" i="34"/>
  <c r="L3" i="34"/>
  <c r="K3" i="34"/>
  <c r="J3" i="34"/>
  <c r="I3" i="34"/>
  <c r="H3" i="34"/>
  <c r="G3" i="34"/>
  <c r="F3" i="34"/>
  <c r="E3" i="34"/>
  <c r="AI12" i="34" l="1"/>
  <c r="AI13" i="34"/>
  <c r="AI6" i="34"/>
  <c r="AI10" i="34"/>
  <c r="AI7" i="34"/>
  <c r="AI5" i="34"/>
  <c r="AI9" i="34"/>
  <c r="AI3" i="34"/>
  <c r="AI4" i="34"/>
  <c r="AI8" i="34"/>
</calcChain>
</file>

<file path=xl/sharedStrings.xml><?xml version="1.0" encoding="utf-8"?>
<sst xmlns="http://schemas.openxmlformats.org/spreadsheetml/2006/main" count="10406" uniqueCount="2080">
  <si>
    <t>КОЛИЧЕСТВО</t>
  </si>
  <si>
    <t>КГ</t>
  </si>
  <si>
    <t>ПУНКТ НАЗНАЧЕНИЯ</t>
  </si>
  <si>
    <t>СТАТУС</t>
  </si>
  <si>
    <t>ПРОДУКТ</t>
  </si>
  <si>
    <t>ПАРТИЯ</t>
  </si>
  <si>
    <t>ДАТА ОТГРУЗКИ</t>
  </si>
  <si>
    <t>АВТОДОСТАВКА</t>
  </si>
  <si>
    <t>№ АВТО</t>
  </si>
  <si>
    <t>ЖД ДОСТАВКА</t>
  </si>
  <si>
    <t>ВОДИТЕЛЬ</t>
  </si>
  <si>
    <t>№ КОНТЕЙНЕРА</t>
  </si>
  <si>
    <t>ИТОГО ОТГРУЖЕНО</t>
  </si>
  <si>
    <t>ЧП</t>
  </si>
  <si>
    <t>т</t>
  </si>
  <si>
    <t>Итого заказов на:</t>
  </si>
  <si>
    <t>Итого отгружено:</t>
  </si>
  <si>
    <t>из них ЧП:</t>
  </si>
  <si>
    <t>НОМЕР ЗАКАЗА</t>
  </si>
  <si>
    <t>Реасолт</t>
  </si>
  <si>
    <t>Осталось отгрузить</t>
  </si>
  <si>
    <t>ТЕЛ. ВОДИТЕЛЯ</t>
  </si>
  <si>
    <t>R2D2</t>
  </si>
  <si>
    <t>Жидкий</t>
  </si>
  <si>
    <t>из них на жидкий:</t>
  </si>
  <si>
    <t>В837УУ159</t>
  </si>
  <si>
    <t xml:space="preserve">Бобыкин </t>
  </si>
  <si>
    <t>КЛСП</t>
  </si>
  <si>
    <t>М774НА159</t>
  </si>
  <si>
    <t>Костицын</t>
  </si>
  <si>
    <t>Реутов</t>
  </si>
  <si>
    <t>Рубцов</t>
  </si>
  <si>
    <t>Степанов</t>
  </si>
  <si>
    <t>К108ОО159</t>
  </si>
  <si>
    <t>Прудников</t>
  </si>
  <si>
    <t>Мясников</t>
  </si>
  <si>
    <t>Х851МО96</t>
  </si>
  <si>
    <t>Воронин </t>
  </si>
  <si>
    <t>Мезин</t>
  </si>
  <si>
    <t>Нуртдинов </t>
  </si>
  <si>
    <t>Болотов</t>
  </si>
  <si>
    <t xml:space="preserve">Пантелеев  </t>
  </si>
  <si>
    <t>Бачинин</t>
  </si>
  <si>
    <t>Корнильев</t>
  </si>
  <si>
    <t>Асташов С</t>
  </si>
  <si>
    <t>Баранов В</t>
  </si>
  <si>
    <t>Бедарев</t>
  </si>
  <si>
    <t>Иванов В</t>
  </si>
  <si>
    <t>Чайка А</t>
  </si>
  <si>
    <t>Гришкин</t>
  </si>
  <si>
    <t>Маркеев</t>
  </si>
  <si>
    <t>Рахматуллин </t>
  </si>
  <si>
    <t>Верещагин</t>
  </si>
  <si>
    <t>Бабкин</t>
  </si>
  <si>
    <t>Иванов</t>
  </si>
  <si>
    <t>Т975УК96</t>
  </si>
  <si>
    <t>Полосин</t>
  </si>
  <si>
    <t>Петров</t>
  </si>
  <si>
    <t> 89600381060</t>
  </si>
  <si>
    <t xml:space="preserve">Бахтияров Фарит </t>
  </si>
  <si>
    <t>Унукович Михаил</t>
  </si>
  <si>
    <t>Смердов</t>
  </si>
  <si>
    <t>Гришкин </t>
  </si>
  <si>
    <t>М883ТС96</t>
  </si>
  <si>
    <t>Русинов</t>
  </si>
  <si>
    <t>Буртовой</t>
  </si>
  <si>
    <t>Е885УР196</t>
  </si>
  <si>
    <t>Лашутин</t>
  </si>
  <si>
    <t>Напалков</t>
  </si>
  <si>
    <t>Е833УС 35</t>
  </si>
  <si>
    <t>Бусыгин</t>
  </si>
  <si>
    <t>Кравцов</t>
  </si>
  <si>
    <t>М773ОВ</t>
  </si>
  <si>
    <t>Маркин</t>
  </si>
  <si>
    <t xml:space="preserve">Айдаркин </t>
  </si>
  <si>
    <t>Марусов</t>
  </si>
  <si>
    <t>Суслов</t>
  </si>
  <si>
    <t>Бушмелев </t>
  </si>
  <si>
    <t>Тройников</t>
  </si>
  <si>
    <t>Крюков</t>
  </si>
  <si>
    <t>Номер авто</t>
  </si>
  <si>
    <t>ФИО водителя</t>
  </si>
  <si>
    <t>Телефон</t>
  </si>
  <si>
    <t>Р442РЕ43 </t>
  </si>
  <si>
    <t>В919МР67</t>
  </si>
  <si>
    <t>Х833ЕС116</t>
  </si>
  <si>
    <t>А404УХ716</t>
  </si>
  <si>
    <t>К458МК777</t>
  </si>
  <si>
    <t>К227АУ136</t>
  </si>
  <si>
    <t>Х644ЕС116RUS </t>
  </si>
  <si>
    <t>3844 НР/HD120</t>
  </si>
  <si>
    <t> 89061161335</t>
  </si>
  <si>
    <t>М232ЕВ159</t>
  </si>
  <si>
    <t>С738ХВ96</t>
  </si>
  <si>
    <t>Т298ХН96</t>
  </si>
  <si>
    <t>Р863А076</t>
  </si>
  <si>
    <t>К300КХ67 </t>
  </si>
  <si>
    <t>А698ТЕ37</t>
  </si>
  <si>
    <t>Е135ТО35</t>
  </si>
  <si>
    <t>С458НМ116</t>
  </si>
  <si>
    <t>Бабушкин</t>
  </si>
  <si>
    <t>Е868ХК73</t>
  </si>
  <si>
    <t>А212МА37</t>
  </si>
  <si>
    <t> Р419МЕ152</t>
  </si>
  <si>
    <t>A448ET716</t>
  </si>
  <si>
    <t>О282КА45</t>
  </si>
  <si>
    <t> Р774ТС96</t>
  </si>
  <si>
    <t>  К800ЕК67    </t>
  </si>
  <si>
    <t> В252РР73</t>
  </si>
  <si>
    <t>АН486473</t>
  </si>
  <si>
    <t> В192МЕ196</t>
  </si>
  <si>
    <t>У745РВ43</t>
  </si>
  <si>
    <t>О518УА43</t>
  </si>
  <si>
    <t>Р900НО18</t>
  </si>
  <si>
    <t>Х064ЕС116  </t>
  </si>
  <si>
    <t>Х293ЕС116   </t>
  </si>
  <si>
    <t>Савганов</t>
  </si>
  <si>
    <t> 89122514901</t>
  </si>
  <si>
    <t>89107115070 </t>
  </si>
  <si>
    <t>89502092020  </t>
  </si>
  <si>
    <t>89965296119 </t>
  </si>
  <si>
    <t>М960ВА159</t>
  </si>
  <si>
    <t>О262ЕМ73</t>
  </si>
  <si>
    <t>Н555КМ67</t>
  </si>
  <si>
    <t>Н252ТУ31</t>
  </si>
  <si>
    <t> Р768ТР18</t>
  </si>
  <si>
    <t>АВ1548/67   </t>
  </si>
  <si>
    <t>Успехов Вячеслав  </t>
  </si>
  <si>
    <t xml:space="preserve"> Е836ХХ73</t>
  </si>
  <si>
    <t>Семенов</t>
  </si>
  <si>
    <t>BaraFLC</t>
  </si>
  <si>
    <t>Стабилайт II п/проп 25 кг</t>
  </si>
  <si>
    <t>Стабилайт II марк 25 кг</t>
  </si>
  <si>
    <t>Стабилайт II п/проп 22,7 кг</t>
  </si>
  <si>
    <t>Стабилайт II  марк 22,7 кг</t>
  </si>
  <si>
    <t>UNITROL</t>
  </si>
  <si>
    <t>MEX-ASR</t>
  </si>
  <si>
    <t>Оптитрол Порошок 20 кг</t>
  </si>
  <si>
    <t>Оптитрол (УЩР 30%)</t>
  </si>
  <si>
    <t>Оптитрол Ж (бочка обруч 50 кг)</t>
  </si>
  <si>
    <t>Оптитрол Ж (бочка 200 кг)</t>
  </si>
  <si>
    <t>Оптитрол Ж для СХТ (бочка обруч 200 кг)</t>
  </si>
  <si>
    <t>Оптитрол Ж КАЗАХ (ДТ 20%) 96 л</t>
  </si>
  <si>
    <t>Оптитрол Ж КАЗАХ (ДТ 20%) 200 л</t>
  </si>
  <si>
    <t>Оптитрол Ж КАЗАХ (пеногас 3%) 90 л</t>
  </si>
  <si>
    <t>КЛОТОНЕКС 25 кг</t>
  </si>
  <si>
    <t>BLACKTROL</t>
  </si>
  <si>
    <t>ВЕЛЛТРИТ</t>
  </si>
  <si>
    <t>ЛИКВИТРОЛ</t>
  </si>
  <si>
    <t>КЛСП без КМЦ на переработку</t>
  </si>
  <si>
    <t>31.06.2019</t>
  </si>
  <si>
    <t>АКТЫ</t>
  </si>
  <si>
    <t>ОТГРУЗКИ ПРОДУКЦИИ</t>
  </si>
  <si>
    <t>из них ИНАЯ:</t>
  </si>
  <si>
    <t>ИНАЯ</t>
  </si>
  <si>
    <t>мешков/бочек</t>
  </si>
  <si>
    <t>КЛИЕНТ</t>
  </si>
  <si>
    <t>Оптитрол Ж - 200 кг п/эт</t>
  </si>
  <si>
    <t>Оптитрол Ж - 200 кг мет</t>
  </si>
  <si>
    <t>заметки</t>
  </si>
  <si>
    <t>ТЕРРАПАН ж - 200 кг мет</t>
  </si>
  <si>
    <t>Цена со склада за 1 тонну</t>
  </si>
  <si>
    <t>Итого</t>
  </si>
  <si>
    <t>ВЕЛЛТРИТ - 950 кг еврокуб</t>
  </si>
  <si>
    <t>БурСервис</t>
  </si>
  <si>
    <t>Пыть-Ях</t>
  </si>
  <si>
    <t>Пурпе</t>
  </si>
  <si>
    <t>BLACKTROL ж - 200 кг мет</t>
  </si>
  <si>
    <t>BLACKTROL ж - 200 кг п/эт</t>
  </si>
  <si>
    <t>MEX GL-LUBE (СС Голд) - 180 кг мет</t>
  </si>
  <si>
    <t>MEX GL-LUBE (СС Голд) - 200 кг п/эт</t>
  </si>
  <si>
    <t>ВЕЛЛТРИТ - 200 кг мет</t>
  </si>
  <si>
    <t>ВЕЛЛТРИТ - 200 кг п/эт</t>
  </si>
  <si>
    <t>EWO MUL (Экстрамул-2000) - 190 кг п/эт</t>
  </si>
  <si>
    <t>EWO WET (Веллтрит) - 200 кг п/эт</t>
  </si>
  <si>
    <t>ADAPTA II (Ликвитрол) - 25 кг канистра</t>
  </si>
  <si>
    <t>ADAPTA LE (Адванта ж) - 25 кг канистра</t>
  </si>
  <si>
    <t>CLAY GRABBER - 25 кг канистра</t>
  </si>
  <si>
    <t>BLACKTROL ж - 50 кг п/эт</t>
  </si>
  <si>
    <t>Оптитрол Ж - 50 кг п/эт</t>
  </si>
  <si>
    <t>СУПЕРСЛАЙДЕР СИЛЬВЕР - 200 кг п/эт</t>
  </si>
  <si>
    <t>BUR-RMOD L (Реомод ж) - 190 кг п/эт</t>
  </si>
  <si>
    <t>THINNER (Экстрамул-2000) - 180 кг мет</t>
  </si>
  <si>
    <t>ВЕЛЛТРИТ - 180 кг мет</t>
  </si>
  <si>
    <t>WET AGENT (Веллтрит) - 180 кг мет</t>
  </si>
  <si>
    <t>СБМЛУБ ПЛЮС (СС Платинум) - 180 кг мет</t>
  </si>
  <si>
    <t>EZ MUL NTR (Экстрамул-2000) - 190 кг мет</t>
  </si>
  <si>
    <t>ЛИКВИТРОЛ - 200 кг п/эт</t>
  </si>
  <si>
    <t>ЛИКВИТРОЛ - 200 кг мет</t>
  </si>
  <si>
    <t>ЭКСТРАМУЛ-2000 - 180 кг мет</t>
  </si>
  <si>
    <t>ЭКСТРАМУЛ-2000 - 190 кг п/эт</t>
  </si>
  <si>
    <t>ЭКСТРАМУЛ-2000 - 190 кг мет</t>
  </si>
  <si>
    <t>ЭКСТРАМУЛ-2000 - 900 кг еврокуб</t>
  </si>
  <si>
    <t>СУПЕРСЛАЙДЕР ГОЛД - 180 кг мет</t>
  </si>
  <si>
    <t>СУПЕРСЛАЙДЕР ГОЛД - 200 кг п/эт</t>
  </si>
  <si>
    <t>TORQ TRIM II PLUS (СС Голд) - 185 кг п/эт</t>
  </si>
  <si>
    <t>TORQ TRIM II PLUS (СС Голд) - 185 кг мет</t>
  </si>
  <si>
    <t>СБМОЙЛРЕО В (Реомод ж) - 180 кг мет</t>
  </si>
  <si>
    <t>Реагент В - 200 кг п/эт</t>
  </si>
  <si>
    <t>EWO MUL2 - 200 кг п/эт</t>
  </si>
  <si>
    <t>ШЕЙЛ-ИКС ж - 200 кг п/эт</t>
  </si>
  <si>
    <t>АДВАНТА ж - 25 кг канистра</t>
  </si>
  <si>
    <t>ВЕЛЛБОНД - 200 кг п/эт</t>
  </si>
  <si>
    <t>СБМЛУБ ПЛЮС (СС Платинум) - 185 кг п/эт</t>
  </si>
  <si>
    <t>ПОЛИТРОЛ - 200 кг мет</t>
  </si>
  <si>
    <t>EZ MUL NTR (Экстрамул-2000) - 190 кг п/эт</t>
  </si>
  <si>
    <t>BLACKTROL ж - 25 кг канистра</t>
  </si>
  <si>
    <t>Оптитрол Ж - 25 кг канистра</t>
  </si>
  <si>
    <t>СУПЕРСЛАЙДЕР ПЛАТИНУМ - 25 кг канистра</t>
  </si>
  <si>
    <t>DAF М 910 РУ 29</t>
  </si>
  <si>
    <t>VOLVO М 773 ОВ 29</t>
  </si>
  <si>
    <t xml:space="preserve">Продукция </t>
  </si>
  <si>
    <t>Стабилайт II - бум 25,0 кг</t>
  </si>
  <si>
    <t>КЛОТОНЕКС - бум 25,0 кг</t>
  </si>
  <si>
    <t>Стабилайт II - п/проп обезл 25,0 кг</t>
  </si>
  <si>
    <t>DURATONE - бум 25,0 кг</t>
  </si>
  <si>
    <t>Стабилайт II - п/проп марк 25,0 кг</t>
  </si>
  <si>
    <t>СТАБИЛАЙТ РУО - бум 25,0 кг</t>
  </si>
  <si>
    <t>Стабилайт II - п/проп обезл 22,7 кг</t>
  </si>
  <si>
    <t>СБМОЙЛБЛОК (Ст РУО) - бум 25,0 кг</t>
  </si>
  <si>
    <t>Стабилайт II - п/проп марк 22,7 кг</t>
  </si>
  <si>
    <t>VERSATROL M (Ст РУО) - бум 22,68 кг</t>
  </si>
  <si>
    <t>Сульф асф - п/проп обезл 25,0 кг</t>
  </si>
  <si>
    <t>ТЕРРАПАН - бум 25,0 кг</t>
  </si>
  <si>
    <t>Сульф асф - п/проп марк 25,0 кг</t>
  </si>
  <si>
    <t>ТЕРРАПАН - п/проп 25,0 кг</t>
  </si>
  <si>
    <t>Сульф асф - бум 25,0 кг</t>
  </si>
  <si>
    <t>POLYAC PLUS R - бум 22,68 кг</t>
  </si>
  <si>
    <t>BaraFLC - бум 22,68 кг</t>
  </si>
  <si>
    <t>Petro STAB - бум 25,0 кг</t>
  </si>
  <si>
    <t>ПОЛИКАП - бум 25,0 кг</t>
  </si>
  <si>
    <t>Reasolt - п/проп 22,7 кг</t>
  </si>
  <si>
    <t>EZ-MUD DP (Поликап) - бум 25,0 кг</t>
  </si>
  <si>
    <t>Reasolt - бум 22,7 кг</t>
  </si>
  <si>
    <t>РЕОМОД п - бум 18,0 кг</t>
  </si>
  <si>
    <t>СУЛЬФОБИТ - бум 22,7 кг</t>
  </si>
  <si>
    <t>ТЕРМАВИС РУО - бум 20,0 кг</t>
  </si>
  <si>
    <t>СУЛЬФОБИТ - бум 25,0 кг</t>
  </si>
  <si>
    <t>EWO GEL (Термавис РУО) - бум 20,0 кг</t>
  </si>
  <si>
    <t>LG-DRILL - бум 25,0 кг</t>
  </si>
  <si>
    <t>ТАНАТИН - бум 20,0 кг</t>
  </si>
  <si>
    <t>LG-DRILL - п/проп 25,0 кг</t>
  </si>
  <si>
    <t>СБМТАН (Танатин) - бум 20,0 кг</t>
  </si>
  <si>
    <t>СБМСУЛЬФ - бум 25,0 кг</t>
  </si>
  <si>
    <t>АДВАНТА п - бум 14,0 кг</t>
  </si>
  <si>
    <t>АСФАСОЛ - бум 25,0 кг</t>
  </si>
  <si>
    <t>ШЕЙЛ-ИКС п - бум 25,0 кг</t>
  </si>
  <si>
    <t>Асфальтен SAS Bur - бум 25,0 кг</t>
  </si>
  <si>
    <t>Petro ASF - бум 25,0 кг</t>
  </si>
  <si>
    <t>Atren SL - бум 25,0 кг</t>
  </si>
  <si>
    <t>UNITROL - п/проп 25,0 кг</t>
  </si>
  <si>
    <t>MEX-ASR - п/проп 25,0 кг</t>
  </si>
  <si>
    <t>КЛСП - бум 20,0 кг</t>
  </si>
  <si>
    <t>R2D2 - бум 20,0 кг</t>
  </si>
  <si>
    <t>КЛСП РУО - бум 20,0 кг</t>
  </si>
  <si>
    <t>Оптитрол п - бум 20,0 кг</t>
  </si>
  <si>
    <t>СБМОЙЛФИЛЬТР (Ликвитрол) - 190 п/эт</t>
  </si>
  <si>
    <t>ЭКСТРАМУЛ-2000 - 190 кг (переработка)</t>
  </si>
  <si>
    <t>ЭКСТРАМУЛ ДИРЕКТ - 180 кг мет</t>
  </si>
  <si>
    <t>ЭКСТРАМУЛ ДИРЕКТ - 180 кг п/эт</t>
  </si>
  <si>
    <t>СБМЛУБ (СС Голд) - 180 кг мет</t>
  </si>
  <si>
    <t>СУПЕРСЛАЙДЕР СИЛЬВЕР - 200 кг мет</t>
  </si>
  <si>
    <t>СУПЕРСЛАЙДЕР ПЛАТИНУМ - 200 кг мет</t>
  </si>
  <si>
    <t>СУПЕРСЛАЙДЕР ПЛАТИНУМ - 200 кг п/эт</t>
  </si>
  <si>
    <t>СУПЕРСЛАЙДЕР ПЛАТИНУМ - 50 кг п/эт</t>
  </si>
  <si>
    <t>СУПЕРСЛАЙДЕР РУО - 180 п/эт</t>
  </si>
  <si>
    <t>Drilling Lube (СС РУО) - 180 кг мет</t>
  </si>
  <si>
    <t>Drilling Lube (СС РУО) - 200 кг п/эт</t>
  </si>
  <si>
    <t>РЕОМОД ж - 180 кг п/эт</t>
  </si>
  <si>
    <t>РЕОМОД ж - 200 кг п/эт</t>
  </si>
  <si>
    <t>UNIMOD (Реомод ж) - 190 кг мет</t>
  </si>
  <si>
    <t>ДЖИ-ДРИЛЛ - 200 кг мет</t>
  </si>
  <si>
    <t>КЛА-ФРИ - 200 кг мет</t>
  </si>
  <si>
    <t>МАКС-ФЛЕКС - 200 кг п/эт</t>
  </si>
  <si>
    <t>МАКС-ФЛЕКС - 200 кг мет</t>
  </si>
  <si>
    <t>ДРИЛАМИН - 200 кг мет</t>
  </si>
  <si>
    <t>ДЖИ-ДРИЛЛ - 200 кг п/эт</t>
  </si>
  <si>
    <t>КЛА-ФРИ - 200 кг п/эт</t>
  </si>
  <si>
    <t>РЕОМОД ж - 180 кг мет</t>
  </si>
  <si>
    <t>РЕОМОД ж - 200 кг мет</t>
  </si>
  <si>
    <t>TORQ TRIM 22 (СС РУО) - 185 кг мет</t>
  </si>
  <si>
    <t>Самовывоз</t>
  </si>
  <si>
    <t>ЭКСТРАМУЛ ДИРЕКТ - 190 кг п/эт</t>
  </si>
  <si>
    <t>TORQ TRIM 22 (СС РУО) - 185 кг п/эт</t>
  </si>
  <si>
    <t>Химпром</t>
  </si>
  <si>
    <t>Спец№4</t>
  </si>
  <si>
    <t>Вишняков Денис</t>
  </si>
  <si>
    <t>МКО</t>
  </si>
  <si>
    <t>ПОЛИКАП - п/проп 25,0 кг</t>
  </si>
  <si>
    <t>СУПЕРСЛАЙДЕР ГОЛД - 20 кг канистра</t>
  </si>
  <si>
    <t>ПОЛИТРОЛ - 200 кг п/эт</t>
  </si>
  <si>
    <t>КССБ-2М - п/проп 25,0 кг</t>
  </si>
  <si>
    <t>Сульфит натрия - п/проп 25,0 кг</t>
  </si>
  <si>
    <t>СБМОЙЛРЕО В (Реомод ж) - 180 кг п/эт</t>
  </si>
  <si>
    <t>Алмазгеобур</t>
  </si>
  <si>
    <t>РЕОМОД ж - 190 кг п/эт</t>
  </si>
  <si>
    <t xml:space="preserve">Бутвин Николай </t>
  </si>
  <si>
    <t>кнт</t>
  </si>
  <si>
    <t>ЭКСТРАМУЛ СУПРИМ - 190 кг мет</t>
  </si>
  <si>
    <t>OPTIBUR (Оптитрол ж) - 200 п/эт</t>
  </si>
  <si>
    <t>АДВАНТА ж - 200 кг п/эт</t>
  </si>
  <si>
    <t>NOVATEC F (АДВАНТА ж) - 200 кг п/эт</t>
  </si>
  <si>
    <t>BaraFLC - бум 25,0 кг</t>
  </si>
  <si>
    <t>конт (самовывоз)</t>
  </si>
  <si>
    <t>DRIL-N-SLIDE (СС Платинум) - 175 кг п/эт</t>
  </si>
  <si>
    <t>ВЕЛЛТРИТ - 180 кг п/эт</t>
  </si>
  <si>
    <t>BURFLC - бум 25,0 кг</t>
  </si>
  <si>
    <t>RADIAGREEN RA - 175 кг мет</t>
  </si>
  <si>
    <t>Реагент В - 55 кг п/эт</t>
  </si>
  <si>
    <t>ЭКСТРАМУЛ-2000 - 200 кг п/эт</t>
  </si>
  <si>
    <t>СУПЕРСЛАЙДЕР СОЛТ - 200 кг п/эт</t>
  </si>
  <si>
    <t>авто(Ариал)</t>
  </si>
  <si>
    <t>ЭКСТРАМУЛ СУПРИМ - 190 кг п/эт</t>
  </si>
  <si>
    <t>МАКС-ФЛЕКС - 1000 кг еврокуб</t>
  </si>
  <si>
    <t>ВАЛЬКИРИЯ (BLACKTROL ж) - 200 кг п/эт</t>
  </si>
  <si>
    <t>СУПЕРСЛАЙДЕР ГОЛД - 25 кг канистра</t>
  </si>
  <si>
    <t>авто(Агро)</t>
  </si>
  <si>
    <t>авто(Гандвик)</t>
  </si>
  <si>
    <t>отправил ПК</t>
  </si>
  <si>
    <t>завел в отчет по отгрузкам</t>
  </si>
  <si>
    <t>140824</t>
  </si>
  <si>
    <t>образцы заказаны</t>
  </si>
  <si>
    <t>ЭКСТРА-ДЕФ - 200 кг п/эт</t>
  </si>
  <si>
    <t>Краснокамск</t>
  </si>
  <si>
    <t>RADIAGREEN RA - 950 кг еврокуб</t>
  </si>
  <si>
    <t xml:space="preserve">Надо заполнить </t>
  </si>
  <si>
    <t>СУПЕРСЛАЙДЕР РУО - 200 кг п/эт</t>
  </si>
  <si>
    <t xml:space="preserve">FAW О 884 РС 29 </t>
  </si>
  <si>
    <t>BaraFLC(0) - бум 22,7 кг</t>
  </si>
  <si>
    <t>241024</t>
  </si>
  <si>
    <t>251024</t>
  </si>
  <si>
    <t>БС-079979</t>
  </si>
  <si>
    <t>291024</t>
  </si>
  <si>
    <t>Сода кальцинированная</t>
  </si>
  <si>
    <t>301024</t>
  </si>
  <si>
    <t>311024</t>
  </si>
  <si>
    <t>011124</t>
  </si>
  <si>
    <t>031124</t>
  </si>
  <si>
    <t>061124</t>
  </si>
  <si>
    <t>081124</t>
  </si>
  <si>
    <t>091124</t>
  </si>
  <si>
    <t>101124</t>
  </si>
  <si>
    <t>111124</t>
  </si>
  <si>
    <t>121124</t>
  </si>
  <si>
    <t>БС-079976(1-4)</t>
  </si>
  <si>
    <t>БС-079976(2-4)</t>
  </si>
  <si>
    <t>БС-079976(3-4)</t>
  </si>
  <si>
    <t>181124</t>
  </si>
  <si>
    <t>191124</t>
  </si>
  <si>
    <t>261124</t>
  </si>
  <si>
    <t>БС-079976(2-2)</t>
  </si>
  <si>
    <t>241124</t>
  </si>
  <si>
    <t>БС-079976(1-20)</t>
  </si>
  <si>
    <t>БС-079976(2-20)</t>
  </si>
  <si>
    <t>БС-079976(3-20)</t>
  </si>
  <si>
    <t>БС-079976(4-20)</t>
  </si>
  <si>
    <t>БС-079976(5-20)</t>
  </si>
  <si>
    <t>БС-079976(6-20)</t>
  </si>
  <si>
    <t>БС-079976(7-20)</t>
  </si>
  <si>
    <t>БС-079976(8-20)</t>
  </si>
  <si>
    <t>БС-079976(9-20)</t>
  </si>
  <si>
    <t>БС-079976(10-20)</t>
  </si>
  <si>
    <t>281124</t>
  </si>
  <si>
    <t>291124</t>
  </si>
  <si>
    <t>БС-079976(11-20)</t>
  </si>
  <si>
    <t>БС-079976(12-20)</t>
  </si>
  <si>
    <t>БС-079976(13-20)</t>
  </si>
  <si>
    <t>301124</t>
  </si>
  <si>
    <t>БС-079976(14-20)</t>
  </si>
  <si>
    <t>011224</t>
  </si>
  <si>
    <t>БС-079976(15-20)</t>
  </si>
  <si>
    <t>021224</t>
  </si>
  <si>
    <t>061224</t>
  </si>
  <si>
    <t>101224</t>
  </si>
  <si>
    <t>БС-079976(4-4)</t>
  </si>
  <si>
    <t>BLACKTROL ж - 210 кг п/эт</t>
  </si>
  <si>
    <t>231224</t>
  </si>
  <si>
    <t>221224</t>
  </si>
  <si>
    <t>БС-079976(16-20)</t>
  </si>
  <si>
    <t>БС-079978(1-4)</t>
  </si>
  <si>
    <t>181224</t>
  </si>
  <si>
    <t>БС-079976(17-20)</t>
  </si>
  <si>
    <t>201224</t>
  </si>
  <si>
    <t>ASPHO-SLIDE - бум 25,0 кг</t>
  </si>
  <si>
    <t>BURTONE R - бум 25,0 кг</t>
  </si>
  <si>
    <t>СУПЕРСЛАЙДЕР ГОЛД - 28 кг канистра</t>
  </si>
  <si>
    <t>VOLVO М 552 КК 29</t>
  </si>
  <si>
    <t>Тимохин Виталий</t>
  </si>
  <si>
    <t>Парфенов Роман</t>
  </si>
  <si>
    <t>авто(Самовывоз)</t>
  </si>
  <si>
    <t>0056431224</t>
  </si>
  <si>
    <t>Спец№39(1-3)</t>
  </si>
  <si>
    <t>Пермь</t>
  </si>
  <si>
    <t>Спец№39(2-3)</t>
  </si>
  <si>
    <t>Спец№39(3-3)</t>
  </si>
  <si>
    <t>Попов Алексей</t>
  </si>
  <si>
    <t>SCANIA Н 166 МН 159</t>
  </si>
  <si>
    <t>Березин Дмитрий</t>
  </si>
  <si>
    <t>SCANIA О 265 ВО 159</t>
  </si>
  <si>
    <t>366/1</t>
  </si>
  <si>
    <t>Спец№7359</t>
  </si>
  <si>
    <t>ТКШ</t>
  </si>
  <si>
    <t>261224</t>
  </si>
  <si>
    <t>271224</t>
  </si>
  <si>
    <t>отгружено</t>
  </si>
  <si>
    <t>Спец№26(1-6)</t>
  </si>
  <si>
    <t>Спец№26(2-6)</t>
  </si>
  <si>
    <t>Спец№26(3-6)</t>
  </si>
  <si>
    <t>авто(Инкам)</t>
  </si>
  <si>
    <t>Спец№26(4-6)</t>
  </si>
  <si>
    <t>251224</t>
  </si>
  <si>
    <t xml:space="preserve">Хрущ Александр </t>
  </si>
  <si>
    <t xml:space="preserve">DAF О539ОН29 </t>
  </si>
  <si>
    <t xml:space="preserve">89116825992
</t>
  </si>
  <si>
    <t>Белоцерковский Алексей</t>
  </si>
  <si>
    <t>Талашев Николай</t>
  </si>
  <si>
    <t>Вахтомин Иван</t>
  </si>
  <si>
    <t>+</t>
  </si>
  <si>
    <t>авто(Бакин)</t>
  </si>
  <si>
    <t>Фокин Дмитрий</t>
  </si>
  <si>
    <t>Спец№26(5-6)</t>
  </si>
  <si>
    <t>авто(ГК Урал)</t>
  </si>
  <si>
    <t>Вольво М562УВ 29</t>
  </si>
  <si>
    <t>DAF К008МА 29</t>
  </si>
  <si>
    <t>МАН М353ОА 29</t>
  </si>
  <si>
    <t>Вольво О856УЕ 29</t>
  </si>
  <si>
    <t>Вольво О618СМ 29</t>
  </si>
  <si>
    <t>DAF Р575МС 45</t>
  </si>
  <si>
    <t>Голосков Алексей</t>
  </si>
  <si>
    <t>САМОВЫВОЗ</t>
  </si>
  <si>
    <t>051224</t>
  </si>
  <si>
    <t>Спец№24275</t>
  </si>
  <si>
    <t>Петроинжиниринг</t>
  </si>
  <si>
    <t>140125</t>
  </si>
  <si>
    <t>Коротчаево</t>
  </si>
  <si>
    <t>Сандак Сергей</t>
  </si>
  <si>
    <t>SHACMAN Е 778 РО 156</t>
  </si>
  <si>
    <t>Спец№25</t>
  </si>
  <si>
    <t xml:space="preserve">Сутягин Константин </t>
  </si>
  <si>
    <t>Рено Р345МА 196</t>
  </si>
  <si>
    <t>366/2</t>
  </si>
  <si>
    <t>366/3</t>
  </si>
  <si>
    <t>366/4</t>
  </si>
  <si>
    <t>Колупаев Дмитрий</t>
  </si>
  <si>
    <t>DAF С 277 МО 45</t>
  </si>
  <si>
    <t>6464, 6465, 6466, 6467, 6468</t>
  </si>
  <si>
    <t>6469, 6470, 6471, 6472, 200</t>
  </si>
  <si>
    <t>201, 202, 203, 204, 205</t>
  </si>
  <si>
    <t>авто</t>
  </si>
  <si>
    <t>Спец№24313</t>
  </si>
  <si>
    <t>Сургут</t>
  </si>
  <si>
    <t>Омас</t>
  </si>
  <si>
    <t>Нижневартовск</t>
  </si>
  <si>
    <t>12/2024</t>
  </si>
  <si>
    <t>366/5</t>
  </si>
  <si>
    <t>005</t>
  </si>
  <si>
    <t>005/1</t>
  </si>
  <si>
    <t>Спец№38(1-7)</t>
  </si>
  <si>
    <t>Спец№38(2-7)</t>
  </si>
  <si>
    <t>Спец№26(6-6)</t>
  </si>
  <si>
    <t>206, 207, 208, 209, 210</t>
  </si>
  <si>
    <t>VOLVO К 777 ОО 29</t>
  </si>
  <si>
    <t>Учаров Сергей</t>
  </si>
  <si>
    <t>005/2</t>
  </si>
  <si>
    <t>11/2024</t>
  </si>
  <si>
    <t>Спец№64К(1-2)</t>
  </si>
  <si>
    <t>Спец№64К(2-2)</t>
  </si>
  <si>
    <t>160125</t>
  </si>
  <si>
    <t>Спец№65К(1-3)</t>
  </si>
  <si>
    <t>Спец№65К(2-3)</t>
  </si>
  <si>
    <t>Спец№65К(3-3)</t>
  </si>
  <si>
    <t>Бузулук</t>
  </si>
  <si>
    <t>Спец№66К</t>
  </si>
  <si>
    <t>200125</t>
  </si>
  <si>
    <t>Омас SBT</t>
  </si>
  <si>
    <t>005/3</t>
  </si>
  <si>
    <t>Спец№38(3-7)</t>
  </si>
  <si>
    <t>005/4</t>
  </si>
  <si>
    <t>005/5</t>
  </si>
  <si>
    <t>005/6</t>
  </si>
  <si>
    <t>Бойчук Сергей</t>
  </si>
  <si>
    <t>PETERBILT М 744 ОН 29</t>
  </si>
  <si>
    <t>211, 212, 213, 214, 215</t>
  </si>
  <si>
    <t xml:space="preserve">216, 217, 218, 219, 220
216, 217, 218, 219, 220
216, 217, 218, 219, 220
</t>
  </si>
  <si>
    <t>140, 141, 142, 143, 144</t>
  </si>
  <si>
    <t>145, 146, 147, 148, 149</t>
  </si>
  <si>
    <t xml:space="preserve">Омас </t>
  </si>
  <si>
    <t>MAN М517 ОА 29</t>
  </si>
  <si>
    <t>Загвоздин Алексей</t>
  </si>
  <si>
    <t>авто (Агро)</t>
  </si>
  <si>
    <t>Спец№19(1-2)</t>
  </si>
  <si>
    <t>МАДСЕРВИС</t>
  </si>
  <si>
    <t>без номера</t>
  </si>
  <si>
    <t>Самара</t>
  </si>
  <si>
    <t>Подорванов Евгений</t>
  </si>
  <si>
    <t>авто(Арсэн)</t>
  </si>
  <si>
    <t>MAN О 408 УВ 31</t>
  </si>
  <si>
    <t xml:space="preserve">Бажан Анатолий </t>
  </si>
  <si>
    <t>89068309261/89123564568</t>
  </si>
  <si>
    <t>Скания  Е 605 МВ 156</t>
  </si>
  <si>
    <t>Ноябрьск</t>
  </si>
  <si>
    <t>Спец№24276</t>
  </si>
  <si>
    <t>Спец№38(4-7)</t>
  </si>
  <si>
    <t>005/7</t>
  </si>
  <si>
    <t>005/8</t>
  </si>
  <si>
    <t>005/9</t>
  </si>
  <si>
    <t>005/10</t>
  </si>
  <si>
    <t>Буринтех</t>
  </si>
  <si>
    <t xml:space="preserve">Пыть-Ях </t>
  </si>
  <si>
    <t>авто (Бакин)</t>
  </si>
  <si>
    <t>Спец№38(5-7)</t>
  </si>
  <si>
    <t>005/11</t>
  </si>
  <si>
    <t>005/12</t>
  </si>
  <si>
    <t>005/13</t>
  </si>
  <si>
    <t>005/14</t>
  </si>
  <si>
    <t>Ифтодий Николай</t>
  </si>
  <si>
    <t>Спец№36(1-2)</t>
  </si>
  <si>
    <t>Спец№36(2-2)</t>
  </si>
  <si>
    <t>Киреев Сергей</t>
  </si>
  <si>
    <t xml:space="preserve">150, 151, 152, 153, 154
150, 151, 152, 153, 154
</t>
  </si>
  <si>
    <t xml:space="preserve">155, 156, 157, 158, 159
</t>
  </si>
  <si>
    <t>160, 161, 162, 163, 248</t>
  </si>
  <si>
    <t>297, 298, 299, 300, 301</t>
  </si>
  <si>
    <t>249, 250, 251, 252, 253</t>
  </si>
  <si>
    <t>287, 288, 289, 290, 291</t>
  </si>
  <si>
    <t>292, 293, 294, 295, 296</t>
  </si>
  <si>
    <t>302, 303, 304, 305, 306</t>
  </si>
  <si>
    <t>Глазырин Михаил</t>
  </si>
  <si>
    <t>Ситрак А 308 РУ 18</t>
  </si>
  <si>
    <t>Спец№67К</t>
  </si>
  <si>
    <t>БС-084937</t>
  </si>
  <si>
    <t>Губкинский</t>
  </si>
  <si>
    <t>Спец№38(6-7)</t>
  </si>
  <si>
    <t>005/15</t>
  </si>
  <si>
    <t>005/16</t>
  </si>
  <si>
    <t>005/17</t>
  </si>
  <si>
    <t>005/18</t>
  </si>
  <si>
    <t>Спец№38(7-7)</t>
  </si>
  <si>
    <t>005/19</t>
  </si>
  <si>
    <t>005/20</t>
  </si>
  <si>
    <t>005/21</t>
  </si>
  <si>
    <t>005/22</t>
  </si>
  <si>
    <t>307, 308, 309, 310, 311</t>
  </si>
  <si>
    <t>317, 318, 319, 320, 321</t>
  </si>
  <si>
    <t>322, 323, 324, 325, 326</t>
  </si>
  <si>
    <t>327, 328, 329, 330, 331</t>
  </si>
  <si>
    <t>Юнусов Ришат</t>
  </si>
  <si>
    <t>MERCEDES С 858 ЕУ 02</t>
  </si>
  <si>
    <t>БС-087992</t>
  </si>
  <si>
    <t>Лосев Дмитрий</t>
  </si>
  <si>
    <t>Мерседес О 402 АХ 774</t>
  </si>
  <si>
    <t>Потеряев Александр</t>
  </si>
  <si>
    <t>Даф Н 607 УА 159</t>
  </si>
  <si>
    <t>312, 313, 314, 315, 316</t>
  </si>
  <si>
    <t>337, 338, 339, 340, 341</t>
  </si>
  <si>
    <t>365, 366, 367, 368, 369</t>
  </si>
  <si>
    <t>370, 371, 372, 373, 374</t>
  </si>
  <si>
    <t>Спец№40</t>
  </si>
  <si>
    <t>Инко-Сервис</t>
  </si>
  <si>
    <t>220125</t>
  </si>
  <si>
    <t>Волгоград</t>
  </si>
  <si>
    <t>20250115</t>
  </si>
  <si>
    <t>Высоканов Сергей</t>
  </si>
  <si>
    <t>Даф Н 544 ТО 159</t>
  </si>
  <si>
    <t>ДАФ А 96 3АМ 156</t>
  </si>
  <si>
    <t>Коваленко Сергей</t>
  </si>
  <si>
    <t>Спец№19(2-2)</t>
  </si>
  <si>
    <t>050424</t>
  </si>
  <si>
    <t>Спец№20(1-3)</t>
  </si>
  <si>
    <t>Спец№20(2-3)</t>
  </si>
  <si>
    <t>авто (Арсэн)</t>
  </si>
  <si>
    <t>Вайгант Сергей</t>
  </si>
  <si>
    <t>Камаз Е 999 СА 29</t>
  </si>
  <si>
    <t>Орлов Павел</t>
  </si>
  <si>
    <t>МАЗ М326 ОХ 29</t>
  </si>
  <si>
    <t>Титов Дмитрий</t>
  </si>
  <si>
    <t>Вольво У 790 АС 44</t>
  </si>
  <si>
    <t>Горбенко Александр</t>
  </si>
  <si>
    <t>СИТРАК С 030 РС 36</t>
  </si>
  <si>
    <t>Лысенко Геннадий</t>
  </si>
  <si>
    <t>89123177852/89226331008</t>
  </si>
  <si>
    <t>Рено У 308 АО 774</t>
  </si>
  <si>
    <t>SITRAK E 716 РВ 156</t>
  </si>
  <si>
    <t>Хайсанов Валерий</t>
  </si>
  <si>
    <t>Павозков Андрей</t>
  </si>
  <si>
    <t>Даф О 542 ВР 29</t>
  </si>
  <si>
    <t>Спец№41</t>
  </si>
  <si>
    <t>Вольво Р 034 СВ 29</t>
  </si>
  <si>
    <t>TKRU3531108</t>
  </si>
  <si>
    <t>TKRU3517455</t>
  </si>
  <si>
    <t>TKRU3397200</t>
  </si>
  <si>
    <t>TKRU3245927</t>
  </si>
  <si>
    <t>Арак Константин</t>
  </si>
  <si>
    <t>Скания В 359 ВР 156</t>
  </si>
  <si>
    <t>Спец№3</t>
  </si>
  <si>
    <t>Омас РК</t>
  </si>
  <si>
    <t>Кульсары</t>
  </si>
  <si>
    <t>авто (Ванюхин)</t>
  </si>
  <si>
    <t>БС-079976(18-20)</t>
  </si>
  <si>
    <t>БС-079976(19-20)</t>
  </si>
  <si>
    <t>260125</t>
  </si>
  <si>
    <t>270125</t>
  </si>
  <si>
    <t>Татарский Николай</t>
  </si>
  <si>
    <t>МАН О 531 НТ 29</t>
  </si>
  <si>
    <t>Кравченко Евгений</t>
  </si>
  <si>
    <t xml:space="preserve">89021984502
</t>
  </si>
  <si>
    <t>Бутвин Николай</t>
  </si>
  <si>
    <t xml:space="preserve">FAW О 88 4РС 29 </t>
  </si>
  <si>
    <t>Мерседес С 481 ХХ 174</t>
  </si>
  <si>
    <t>МАН М 517 ОА 29</t>
  </si>
  <si>
    <t xml:space="preserve">Суетин Дмитрий </t>
  </si>
  <si>
    <t>DAF У 594 ВА 790</t>
  </si>
  <si>
    <t xml:space="preserve">89277644533/87789283367  </t>
  </si>
  <si>
    <t>КАРБО-БЛОК Medium - бум 25,0 кг</t>
  </si>
  <si>
    <t>КАРБО-БЛОК Coarse - бум 25,0 кг</t>
  </si>
  <si>
    <t>КАРБО-БЛОК Fine - бум 25,0 кг</t>
  </si>
  <si>
    <t>Счет №19</t>
  </si>
  <si>
    <t>СпецБурМатериалы</t>
  </si>
  <si>
    <t>БС-079976(20-20)</t>
  </si>
  <si>
    <t>280125</t>
  </si>
  <si>
    <t>090125</t>
  </si>
  <si>
    <t>100125</t>
  </si>
  <si>
    <t>130125</t>
  </si>
  <si>
    <t>Деловые линии</t>
  </si>
  <si>
    <t>Дел. Лин.Заказ №51306104</t>
  </si>
  <si>
    <t>RZDU0712410</t>
  </si>
  <si>
    <t>RZDU0397345</t>
  </si>
  <si>
    <t>RZDU0675364</t>
  </si>
  <si>
    <t>RZDU0724772</t>
  </si>
  <si>
    <t>Спец№6</t>
  </si>
  <si>
    <t>ИНК-Сервис</t>
  </si>
  <si>
    <t>Усть-Кут</t>
  </si>
  <si>
    <t>390, 391, 392, 393, 394</t>
  </si>
  <si>
    <t>395, 396, 397, 398, 399</t>
  </si>
  <si>
    <t>553, 554, 555, 556, 557</t>
  </si>
  <si>
    <t>558, 559, 560, 561, 562</t>
  </si>
  <si>
    <t>Пыжов Анатолий</t>
  </si>
  <si>
    <t>RZDU3011754</t>
  </si>
  <si>
    <t>Кольцов Виталий</t>
  </si>
  <si>
    <t>SHACMAN Н 410 КН 774</t>
  </si>
  <si>
    <t>Рено Т 719 АС 774</t>
  </si>
  <si>
    <t>RZDU0649447</t>
  </si>
  <si>
    <t>RZDU0670125</t>
  </si>
  <si>
    <t>RZDU0677897</t>
  </si>
  <si>
    <t xml:space="preserve">Мищенко Роман </t>
  </si>
  <si>
    <t>SITRAK У 206 ТТ 71</t>
  </si>
  <si>
    <t>авто (Ариал)</t>
  </si>
  <si>
    <t>БС-086485(1-2)</t>
  </si>
  <si>
    <t>241224</t>
  </si>
  <si>
    <t>Накл.00250003887</t>
  </si>
  <si>
    <t>Москва</t>
  </si>
  <si>
    <t>300125</t>
  </si>
  <si>
    <t>БС-079978(2-4)</t>
  </si>
  <si>
    <t>БС-086485(2-2)</t>
  </si>
  <si>
    <t>010225</t>
  </si>
  <si>
    <t>Спец№914(1-2)</t>
  </si>
  <si>
    <t>Спец№914(2-2)</t>
  </si>
  <si>
    <t>020225</t>
  </si>
  <si>
    <t>БС-079978(1-22)</t>
  </si>
  <si>
    <t>БС-079978(2-22)</t>
  </si>
  <si>
    <t>БС-079978(3-22)</t>
  </si>
  <si>
    <t>TKRU3136931</t>
  </si>
  <si>
    <t>TKRU3209200</t>
  </si>
  <si>
    <t>TKRU3526987</t>
  </si>
  <si>
    <t>TKRU3370810</t>
  </si>
  <si>
    <t>030225</t>
  </si>
  <si>
    <t>Спец№42(1-2)</t>
  </si>
  <si>
    <t>Спец№42(2-2)</t>
  </si>
  <si>
    <t>БС-079978(3-4)</t>
  </si>
  <si>
    <t>18</t>
  </si>
  <si>
    <t>18/1</t>
  </si>
  <si>
    <t>18/2</t>
  </si>
  <si>
    <t>18/3</t>
  </si>
  <si>
    <t>18/4</t>
  </si>
  <si>
    <t>Чернаков Константин</t>
  </si>
  <si>
    <t>МАН К 733 ТТ 29</t>
  </si>
  <si>
    <t>НГС</t>
  </si>
  <si>
    <t>050225</t>
  </si>
  <si>
    <t>060225</t>
  </si>
  <si>
    <t>TKRU3395444</t>
  </si>
  <si>
    <t>TKRU3277966</t>
  </si>
  <si>
    <t>TKRU3247719</t>
  </si>
  <si>
    <t>TKRU3189865</t>
  </si>
  <si>
    <t>БС-079978(4-4)</t>
  </si>
  <si>
    <t>18/5</t>
  </si>
  <si>
    <t>18/6</t>
  </si>
  <si>
    <t>18/7</t>
  </si>
  <si>
    <t>18/8</t>
  </si>
  <si>
    <t>18/9</t>
  </si>
  <si>
    <t>783, 784, 785, 786, 787</t>
  </si>
  <si>
    <t>788, 789, 790, 791, 792</t>
  </si>
  <si>
    <t>793, 794, 795, 796, 797</t>
  </si>
  <si>
    <t>798, 799, 800, 801, 802</t>
  </si>
  <si>
    <t xml:space="preserve">Борисов Дмитрий </t>
  </si>
  <si>
    <t>Mercedes О 515 ОУ 29</t>
  </si>
  <si>
    <t>89539399073/89115800204</t>
  </si>
  <si>
    <t>авто (Клото)</t>
  </si>
  <si>
    <t>Спец№2</t>
  </si>
  <si>
    <t>АВК</t>
  </si>
  <si>
    <t>Белоусов Игорь</t>
  </si>
  <si>
    <t>Mercedes О 512 ТН 29</t>
  </si>
  <si>
    <t>Архангельск</t>
  </si>
  <si>
    <t>TKRU3558963</t>
  </si>
  <si>
    <t>TKRU3411653</t>
  </si>
  <si>
    <t>FAW О 884 РС 29</t>
  </si>
  <si>
    <t>Салимуллин Ринат</t>
  </si>
  <si>
    <t>МАН Н 352 РВ 59</t>
  </si>
  <si>
    <t>070225</t>
  </si>
  <si>
    <t>Спец№41(1-3)</t>
  </si>
  <si>
    <t>со склада</t>
  </si>
  <si>
    <t>TKRU3473892</t>
  </si>
  <si>
    <t>TKRU3394978</t>
  </si>
  <si>
    <t>TKRU3355499</t>
  </si>
  <si>
    <t>18/10</t>
  </si>
  <si>
    <t>18/11</t>
  </si>
  <si>
    <t>Спец№40(1-6)</t>
  </si>
  <si>
    <t>025</t>
  </si>
  <si>
    <t>Спец№41(2-3)</t>
  </si>
  <si>
    <t>Спец№41(3-3)</t>
  </si>
  <si>
    <t>TKRU3535171</t>
  </si>
  <si>
    <t>803, 804, 805, 806, 807</t>
  </si>
  <si>
    <t>808, 809, 810, 811, 812</t>
  </si>
  <si>
    <t>813, 814, 815, 816, 817</t>
  </si>
  <si>
    <t>818, 819, 820, 821, 822</t>
  </si>
  <si>
    <t>Басыров Эдуард</t>
  </si>
  <si>
    <t>SITRAK Н 674 СХ 702</t>
  </si>
  <si>
    <t xml:space="preserve">Усачев Павел </t>
  </si>
  <si>
    <t>FAW Х 058 ВН 763</t>
  </si>
  <si>
    <t>Гусев Марк</t>
  </si>
  <si>
    <t>ФОРД В 584 СР 37</t>
  </si>
  <si>
    <t>Акрос</t>
  </si>
  <si>
    <t>110225</t>
  </si>
  <si>
    <t>Мурманск</t>
  </si>
  <si>
    <t>Спец№42</t>
  </si>
  <si>
    <t>20250214</t>
  </si>
  <si>
    <t>025/1</t>
  </si>
  <si>
    <t>025/2</t>
  </si>
  <si>
    <t>025/3</t>
  </si>
  <si>
    <t>025/4</t>
  </si>
  <si>
    <t>823, 824, 825, 826, 827</t>
  </si>
  <si>
    <t>828, 829, 830, 831, 832</t>
  </si>
  <si>
    <t>893, 894, 895, 896, 897</t>
  </si>
  <si>
    <t>898, 899, 900, 901, 902</t>
  </si>
  <si>
    <t>TKRU3190104</t>
  </si>
  <si>
    <t>TKRU3325663</t>
  </si>
  <si>
    <t xml:space="preserve">Загвоздин Алексей </t>
  </si>
  <si>
    <t>Спец№38(1-4)</t>
  </si>
  <si>
    <t>Спец№38(2-4)</t>
  </si>
  <si>
    <t xml:space="preserve">Гришанков Сергей </t>
  </si>
  <si>
    <t>Freightliner В 628 НА 159</t>
  </si>
  <si>
    <t xml:space="preserve">Борисов Александр </t>
  </si>
  <si>
    <t>Спец№39</t>
  </si>
  <si>
    <t>230824</t>
  </si>
  <si>
    <t>БС-092759</t>
  </si>
  <si>
    <t>Усинск</t>
  </si>
  <si>
    <t>обезличка 11-13.02</t>
  </si>
  <si>
    <t>Шахман У 169 ВР 716</t>
  </si>
  <si>
    <t>903, 904, 905, 906, 907</t>
  </si>
  <si>
    <t>908, 909, 910, 911, 912</t>
  </si>
  <si>
    <t>913, 914, 915, 916, 917</t>
  </si>
  <si>
    <t>918, 919, 920, 921, 922</t>
  </si>
  <si>
    <t>923, 924, 925, 926, 927</t>
  </si>
  <si>
    <t>Спец№40(2-6)</t>
  </si>
  <si>
    <t>Спец№37</t>
  </si>
  <si>
    <t>170225</t>
  </si>
  <si>
    <t>Кунцов Демид</t>
  </si>
  <si>
    <t>МАЗ А 154 УТ 43</t>
  </si>
  <si>
    <t>МАН М 353 ОА 29</t>
  </si>
  <si>
    <t>TKRU3058171</t>
  </si>
  <si>
    <t>TKRU3457422</t>
  </si>
  <si>
    <t>TKRU3120241</t>
  </si>
  <si>
    <t>TKRU3142132</t>
  </si>
  <si>
    <t>0066430225</t>
  </si>
  <si>
    <t>НЖВ</t>
  </si>
  <si>
    <t>Сец№70К</t>
  </si>
  <si>
    <t>20250213</t>
  </si>
  <si>
    <t>20250212</t>
  </si>
  <si>
    <t>БС-079978(4-22)</t>
  </si>
  <si>
    <t>БС-079978(5-22)</t>
  </si>
  <si>
    <t>140225</t>
  </si>
  <si>
    <t>200225</t>
  </si>
  <si>
    <t>Сец№68К</t>
  </si>
  <si>
    <t>Уфа</t>
  </si>
  <si>
    <t>160225</t>
  </si>
  <si>
    <t>БС-079978(6-22)</t>
  </si>
  <si>
    <t>БС-079978(7-22)</t>
  </si>
  <si>
    <t>SITRAK У 312 ВМ 774</t>
  </si>
  <si>
    <t>Голомаздин Алексей</t>
  </si>
  <si>
    <t>КазПетроДриллинг</t>
  </si>
  <si>
    <t>Жанаозен</t>
  </si>
  <si>
    <t>авто(Ванюхин)</t>
  </si>
  <si>
    <t>Спец№17(1-2)</t>
  </si>
  <si>
    <t xml:space="preserve">89963427701/87772313238 </t>
  </si>
  <si>
    <t xml:space="preserve">Шестопалов Александр </t>
  </si>
  <si>
    <t>DAF Р 783 OP 790</t>
  </si>
  <si>
    <t>060924</t>
  </si>
  <si>
    <t>СБМ</t>
  </si>
  <si>
    <t>190225</t>
  </si>
  <si>
    <t>025/5</t>
  </si>
  <si>
    <t>025/6</t>
  </si>
  <si>
    <t>БС-079978(8-22)</t>
  </si>
  <si>
    <t>180225</t>
  </si>
  <si>
    <t>TKRU3089059</t>
  </si>
  <si>
    <t>GQRU3459214</t>
  </si>
  <si>
    <t>070924</t>
  </si>
  <si>
    <t>080924</t>
  </si>
  <si>
    <t>МАН О 531 НТ 30</t>
  </si>
  <si>
    <t>TKRU3340884</t>
  </si>
  <si>
    <t>TKRU3147598</t>
  </si>
  <si>
    <t>Спец№24625</t>
  </si>
  <si>
    <t>КАТФЛО, бочка п/э 200 кг</t>
  </si>
  <si>
    <t>Рядовкин Евгений</t>
  </si>
  <si>
    <t>Вольво О 856 УЕ 29</t>
  </si>
  <si>
    <t>БС-079978(9-22)</t>
  </si>
  <si>
    <t>TKRU3149517</t>
  </si>
  <si>
    <t>TKRU3176298</t>
  </si>
  <si>
    <t>Спец№38(3-4)</t>
  </si>
  <si>
    <t>КИРЕЕВ СЕРГЕЙ</t>
  </si>
  <si>
    <t>ВОЛЬВО Р 034 СВ 29</t>
  </si>
  <si>
    <t>Газель С 294 МВ 716</t>
  </si>
  <si>
    <t>Каблуков Олег</t>
  </si>
  <si>
    <t>Спец№5/Счет№38</t>
  </si>
  <si>
    <t>250225</t>
  </si>
  <si>
    <t>025/7</t>
  </si>
  <si>
    <t>025/8</t>
  </si>
  <si>
    <t>025/9</t>
  </si>
  <si>
    <t>025/10</t>
  </si>
  <si>
    <t>Спец№40(3-6)</t>
  </si>
  <si>
    <t>БС-079978(10-22)</t>
  </si>
  <si>
    <t>230225</t>
  </si>
  <si>
    <t>Спец№17(2-2)</t>
  </si>
  <si>
    <t>230924</t>
  </si>
  <si>
    <t>231024</t>
  </si>
  <si>
    <t>221024</t>
  </si>
  <si>
    <t>261024</t>
  </si>
  <si>
    <t>Спец№17</t>
  </si>
  <si>
    <t>СпецПетроСервис</t>
  </si>
  <si>
    <t>240225</t>
  </si>
  <si>
    <t>025/11</t>
  </si>
  <si>
    <t>025/12</t>
  </si>
  <si>
    <t>025/13</t>
  </si>
  <si>
    <t>025/14</t>
  </si>
  <si>
    <t>Спец№40(4-6)</t>
  </si>
  <si>
    <t>Сец№69К(1-2)</t>
  </si>
  <si>
    <t>Сец№69К(2-2)</t>
  </si>
  <si>
    <t>Томск</t>
  </si>
  <si>
    <t>Спец№1(1-2)</t>
  </si>
  <si>
    <t>Спец№1(2-2)</t>
  </si>
  <si>
    <t>Сорокин Сергей</t>
  </si>
  <si>
    <t xml:space="preserve"> Sitrak X 904 HP 37</t>
  </si>
  <si>
    <t>1093, 1094, 1095, 1096, 1097</t>
  </si>
  <si>
    <t>1098, 1099, 1100, 1001, 1102</t>
  </si>
  <si>
    <t>1183, 1184, 1185, 1186, 1187</t>
  </si>
  <si>
    <t>Торопов Владислав</t>
  </si>
  <si>
    <t>FAW Р743 ВК 29</t>
  </si>
  <si>
    <t>Мазырин Дмитрий</t>
  </si>
  <si>
    <t>VOLVO Р 919 РЕ 159</t>
  </si>
  <si>
    <t>Собянин Сергей</t>
  </si>
  <si>
    <t>Ивеко Р 459 СХ 159</t>
  </si>
  <si>
    <t>БС-079978(11-22)</t>
  </si>
  <si>
    <t>Спец№38(4-4)</t>
  </si>
  <si>
    <t>260225</t>
  </si>
  <si>
    <t>025/15</t>
  </si>
  <si>
    <t>025/16</t>
  </si>
  <si>
    <t>Спец№40(5-6)</t>
  </si>
  <si>
    <t>(самовывоз)</t>
  </si>
  <si>
    <t>BUR TRIM II PLUS (СС Голд) - 185 кг п/эт</t>
  </si>
  <si>
    <t>БС-093277</t>
  </si>
  <si>
    <t>Черебилов Сергей</t>
  </si>
  <si>
    <t>Маз Н 250 УУ 126</t>
  </si>
  <si>
    <t>1188, 1189, 1190, 1191, 1192</t>
  </si>
  <si>
    <t>1213, 1214, 1215, 1216, 1217</t>
  </si>
  <si>
    <t>1218, 1219, 1220, 1221, 1222</t>
  </si>
  <si>
    <t>1226, 1227, 1228, 1229,1230</t>
  </si>
  <si>
    <t>Перевалов Дмитрий</t>
  </si>
  <si>
    <t xml:space="preserve"> Scania Н 345 ВР 196</t>
  </si>
  <si>
    <t>89122788103/89935034846</t>
  </si>
  <si>
    <t>270225</t>
  </si>
  <si>
    <t>БС-079978(12-22)</t>
  </si>
  <si>
    <t>TKRU3412135</t>
  </si>
  <si>
    <t>TKRU3010840</t>
  </si>
  <si>
    <t>TKRU3511436</t>
  </si>
  <si>
    <t>TKRU3375598</t>
  </si>
  <si>
    <t>Ащегулов Семён</t>
  </si>
  <si>
    <t>Volvo Т 681 MP 67</t>
  </si>
  <si>
    <t xml:space="preserve">89608185086/87777918885 </t>
  </si>
  <si>
    <t>Спец№1 Счет№20</t>
  </si>
  <si>
    <t>Владимир</t>
  </si>
  <si>
    <t>1241, 1242, 1243, 1244, 1245</t>
  </si>
  <si>
    <t>1246, 1248, 1249, 1250, 1298</t>
  </si>
  <si>
    <t>1251, 1252, 1253, 1254, 1255</t>
  </si>
  <si>
    <t>1293, 1294, 1295, 1296, 1297</t>
  </si>
  <si>
    <t>Абдрафиков Марат</t>
  </si>
  <si>
    <t>Скания г/н Е519СМ/89</t>
  </si>
  <si>
    <t>RZDU0613655</t>
  </si>
  <si>
    <t>RZDU0631279</t>
  </si>
  <si>
    <t>RZDU3012051</t>
  </si>
  <si>
    <t>RZDU3042396</t>
  </si>
  <si>
    <t>Хрущ Александр</t>
  </si>
  <si>
    <t xml:space="preserve">89216700606
8 921 670 06 06
</t>
  </si>
  <si>
    <t>DAF О 539 ОН 29</t>
  </si>
  <si>
    <t>БС-094191</t>
  </si>
  <si>
    <t>280225</t>
  </si>
  <si>
    <t>Нягань</t>
  </si>
  <si>
    <t>БС-079978(13-22)</t>
  </si>
  <si>
    <t>БС-079978(14-22)</t>
  </si>
  <si>
    <t>010325</t>
  </si>
  <si>
    <t>БС-079978(15-22)</t>
  </si>
  <si>
    <t>БС-079978(16-22)</t>
  </si>
  <si>
    <t>БС-079978(17-22)</t>
  </si>
  <si>
    <t>010325/1</t>
  </si>
  <si>
    <t>БС-079978(18-22)</t>
  </si>
  <si>
    <t>020325</t>
  </si>
  <si>
    <t>БС-079978(19-22)</t>
  </si>
  <si>
    <t>020325/1</t>
  </si>
  <si>
    <t>БС-079978(20-22)</t>
  </si>
  <si>
    <t>020325/2</t>
  </si>
  <si>
    <t>Костин Павел</t>
  </si>
  <si>
    <t>СКАНИЯ М 479 ХН 716</t>
  </si>
  <si>
    <t xml:space="preserve">Войтович Станислав </t>
  </si>
  <si>
    <t>Даф А 875 СУ 37</t>
  </si>
  <si>
    <t>Киреев Дмитрий</t>
  </si>
  <si>
    <t>ГАЗ Х 020 СВ 154</t>
  </si>
  <si>
    <t>БС-079978(21-22)</t>
  </si>
  <si>
    <t>БС-079978(22-22)</t>
  </si>
  <si>
    <t>030325</t>
  </si>
  <si>
    <t>030325/1</t>
  </si>
  <si>
    <t>Спец№71К</t>
  </si>
  <si>
    <t>RZDU3045332</t>
  </si>
  <si>
    <t>RZDU3012339</t>
  </si>
  <si>
    <t>TKRU3012360</t>
  </si>
  <si>
    <t>TKRU3345530</t>
  </si>
  <si>
    <t>RZDU3011836</t>
  </si>
  <si>
    <t>TKRU3380383</t>
  </si>
  <si>
    <t>025/17</t>
  </si>
  <si>
    <t>025/18</t>
  </si>
  <si>
    <t>Спец№43</t>
  </si>
  <si>
    <t>040325</t>
  </si>
  <si>
    <t>RZDU3047757</t>
  </si>
  <si>
    <t>TKRU3432194</t>
  </si>
  <si>
    <t>Карелин Виталий</t>
  </si>
  <si>
    <t>Скания А 330 АМ 124</t>
  </si>
  <si>
    <t>060325</t>
  </si>
  <si>
    <t>025/19</t>
  </si>
  <si>
    <t>Спец№40(6-6)</t>
  </si>
  <si>
    <t>GQRU3170520</t>
  </si>
  <si>
    <t>TKRU33278406</t>
  </si>
  <si>
    <t>RZDU3025779</t>
  </si>
  <si>
    <t>Мерседес О 596 АХ 774</t>
  </si>
  <si>
    <t>Супрунов Виктор</t>
  </si>
  <si>
    <t>89227484636/89821041191</t>
  </si>
  <si>
    <t>050325</t>
  </si>
  <si>
    <t>Спец№41(1-6)</t>
  </si>
  <si>
    <t>Сец№71К(1-5)</t>
  </si>
  <si>
    <t>Спец№41(2-6)</t>
  </si>
  <si>
    <t>1299, 1300,  1301, 1302, 1564</t>
  </si>
  <si>
    <t>1565, 1566, 1567, 1568, 1569</t>
  </si>
  <si>
    <t>1570, 1571, 1572, 1573, 1574</t>
  </si>
  <si>
    <t>1575, 1576, 1577, 1578, 1579</t>
  </si>
  <si>
    <t xml:space="preserve">89832876634
</t>
  </si>
  <si>
    <t>025/20</t>
  </si>
  <si>
    <t>025/21</t>
  </si>
  <si>
    <t>025/22</t>
  </si>
  <si>
    <t>025/23</t>
  </si>
  <si>
    <t>ХимБурСервис</t>
  </si>
  <si>
    <t>100325</t>
  </si>
  <si>
    <t>Бугульма</t>
  </si>
  <si>
    <t>Мерседес К 324 ХР 174</t>
  </si>
  <si>
    <t>Колосовский Андрей</t>
  </si>
  <si>
    <t>SCANIA Е 150 ЕХ 716</t>
  </si>
  <si>
    <t>Кислов Виктор</t>
  </si>
  <si>
    <t>Богомолов Виктор</t>
  </si>
  <si>
    <t>ДонгФенг М 808 КН 35</t>
  </si>
  <si>
    <t>Шайхетдинов Айдар</t>
  </si>
  <si>
    <t>Вольво В 110 МХ 716</t>
  </si>
  <si>
    <t>DAF К 008 МА 29</t>
  </si>
  <si>
    <t>1580, 1581, 1582, 1583, 1584</t>
  </si>
  <si>
    <t>1625, 1626, 1627, 1628, 1629</t>
  </si>
  <si>
    <t>1630, 1631, 1632, 1633, 1634</t>
  </si>
  <si>
    <t>1655, 1656,1657, 1658, 1659</t>
  </si>
  <si>
    <t>Белоруснефть</t>
  </si>
  <si>
    <t>ДОГОВОР № 00182</t>
  </si>
  <si>
    <t>070325</t>
  </si>
  <si>
    <t>100225</t>
  </si>
  <si>
    <t>130225</t>
  </si>
  <si>
    <t>Говша Артур</t>
  </si>
  <si>
    <t>375293876552/89103086699</t>
  </si>
  <si>
    <t>Вольво АО 6273-7</t>
  </si>
  <si>
    <t>ГОТОВ</t>
  </si>
  <si>
    <t>Путятин Сергей</t>
  </si>
  <si>
    <t>FAW О 797 РА 29</t>
  </si>
  <si>
    <t>БС-095752</t>
  </si>
  <si>
    <t>120325</t>
  </si>
  <si>
    <t>140325</t>
  </si>
  <si>
    <t>ВЕЛЛБОНД - 190 кг п/эт</t>
  </si>
  <si>
    <t>АПП-490, бочка п/э 200кг</t>
  </si>
  <si>
    <t>DAF Р 575 МС 45</t>
  </si>
  <si>
    <t>авто(Авто 45)</t>
  </si>
  <si>
    <t>Беларусь</t>
  </si>
  <si>
    <t>TKRU3012078</t>
  </si>
  <si>
    <t>TKRU3486190</t>
  </si>
  <si>
    <t>Спец№41(3-6)</t>
  </si>
  <si>
    <t>Спец№72К(1-2)</t>
  </si>
  <si>
    <t>Васильев Денис</t>
  </si>
  <si>
    <t>Мерседес О 770 МА 29</t>
  </si>
  <si>
    <t>150325</t>
  </si>
  <si>
    <t>Сец№71К(3-5)</t>
  </si>
  <si>
    <t>Спец№41(4-6)</t>
  </si>
  <si>
    <t>Каражан Арман</t>
  </si>
  <si>
    <t>DAF Е 375 АМ 198</t>
  </si>
  <si>
    <t>89270908660/87779998937</t>
  </si>
  <si>
    <t>DAF Р 783 ОР 790</t>
  </si>
  <si>
    <t>МАН М 825 МР 43</t>
  </si>
  <si>
    <t>Иван Врублевский</t>
  </si>
  <si>
    <t>Ильин Артем</t>
  </si>
  <si>
    <t>МАЗ Н 530 ЕК 154</t>
  </si>
  <si>
    <t>ТЕРРАПАН - бум 20,0 кг</t>
  </si>
  <si>
    <t>Спец 1</t>
  </si>
  <si>
    <t>SANEG</t>
  </si>
  <si>
    <t>Карши</t>
  </si>
  <si>
    <t xml:space="preserve">KHOLMIRZAEV KAMOLUDDIN </t>
  </si>
  <si>
    <t>DAF 20800KAA</t>
  </si>
  <si>
    <t>UMIRZAKOV BAKHTIYOR</t>
  </si>
  <si>
    <t>DAF 20C165JA</t>
  </si>
  <si>
    <t>DAF 20053XAA</t>
  </si>
  <si>
    <t>SATTAROV UMIDJON</t>
  </si>
  <si>
    <t>SHODIEV ALIMARDON</t>
  </si>
  <si>
    <t>DAF 203316АА</t>
  </si>
  <si>
    <t>8 916 950-10-79 (дисп.)</t>
  </si>
  <si>
    <t>180325</t>
  </si>
  <si>
    <t>Спец№18</t>
  </si>
  <si>
    <t>170325</t>
  </si>
  <si>
    <t>Волжский</t>
  </si>
  <si>
    <t>авто()</t>
  </si>
  <si>
    <t>Спец№72К</t>
  </si>
  <si>
    <t>Данилюк Сергей</t>
  </si>
  <si>
    <t xml:space="preserve">89116749590
</t>
  </si>
  <si>
    <t xml:space="preserve">Соллерс Атлант А 555 ОВ 29
</t>
  </si>
  <si>
    <t>№ КОНТЕЙНЕРА/ВАГОНА</t>
  </si>
  <si>
    <t>кнт(самовывоз)</t>
  </si>
  <si>
    <t>200325</t>
  </si>
  <si>
    <t>Спец№44</t>
  </si>
  <si>
    <t>20250318</t>
  </si>
  <si>
    <t>Спец№46</t>
  </si>
  <si>
    <t>БС-095834</t>
  </si>
  <si>
    <t>Кожва</t>
  </si>
  <si>
    <t>Усиинск</t>
  </si>
  <si>
    <t>БС-096752</t>
  </si>
  <si>
    <t>Сец№4 РК</t>
  </si>
  <si>
    <t>TKRU3002779</t>
  </si>
  <si>
    <t>TKRU3452082</t>
  </si>
  <si>
    <t>Новосемейкино</t>
  </si>
  <si>
    <t>20250320</t>
  </si>
  <si>
    <t>20250319</t>
  </si>
  <si>
    <t>Спец№45</t>
  </si>
  <si>
    <t>Спец№41(5-6)</t>
  </si>
  <si>
    <t>110325</t>
  </si>
  <si>
    <t>Спец№41(6-6)</t>
  </si>
  <si>
    <t>Скания Н 252 НТ 46</t>
  </si>
  <si>
    <t>Ефремов Вячеслав</t>
  </si>
  <si>
    <t xml:space="preserve"> Малышев Константин</t>
  </si>
  <si>
    <t>СКАНИЯ К 740 СК 53</t>
  </si>
  <si>
    <t>Спец№146(1-2)</t>
  </si>
  <si>
    <t xml:space="preserve">Ащегулов Семён </t>
  </si>
  <si>
    <t xml:space="preserve">Volvo Т 681 МР 67 </t>
  </si>
  <si>
    <t>Антонов Евгений</t>
  </si>
  <si>
    <t>DAF К 298 МО 45</t>
  </si>
  <si>
    <t>Скородумов Илья</t>
  </si>
  <si>
    <t xml:space="preserve">Камаз У 531 ЕР 136 </t>
  </si>
  <si>
    <t xml:space="preserve">89920571557
</t>
  </si>
  <si>
    <t>БС-096965</t>
  </si>
  <si>
    <t>Васильянов Константин</t>
  </si>
  <si>
    <t>Мерседес О 097 ЕС 29</t>
  </si>
  <si>
    <t>БС-097158</t>
  </si>
  <si>
    <t>Спец№71К(2-5)</t>
  </si>
  <si>
    <t>03/2025</t>
  </si>
  <si>
    <t>020425</t>
  </si>
  <si>
    <t>БС-097000(1-2)</t>
  </si>
  <si>
    <t>БС-097000(2-2)</t>
  </si>
  <si>
    <t>IN-MOD (РЕОМОД) - бум 18,0 кг</t>
  </si>
  <si>
    <t>Мерседес Р 264 ХК 39</t>
  </si>
  <si>
    <t>Шумкин Вячеслав</t>
  </si>
  <si>
    <t>Shacman С 309 УХ 198</t>
  </si>
  <si>
    <t>Спец к Договору126010У</t>
  </si>
  <si>
    <t>Сургутнефтегаз</t>
  </si>
  <si>
    <t>270325</t>
  </si>
  <si>
    <t>Спец№44(1-2)</t>
  </si>
  <si>
    <t>260325</t>
  </si>
  <si>
    <t>Ежов Алексей</t>
  </si>
  <si>
    <t>FAW О 484 ОУ 29</t>
  </si>
  <si>
    <t>авто(Клото)</t>
  </si>
  <si>
    <t>МЫШЕВ АЛЕКСАНДР</t>
  </si>
  <si>
    <t>SITRAK C 923 УР 716</t>
  </si>
  <si>
    <t>Детков Ян</t>
  </si>
  <si>
    <t>авто (ГК Урал)</t>
  </si>
  <si>
    <t>Шимолин Николай</t>
  </si>
  <si>
    <t>МАЗ С 039 ЕУ 96</t>
  </si>
  <si>
    <t>Спец№146(2-2)</t>
  </si>
  <si>
    <t>Спец№44(2-2)</t>
  </si>
  <si>
    <t>FOTON О 571 ХН 29</t>
  </si>
  <si>
    <t>Шайдулятов Марат</t>
  </si>
  <si>
    <t>СКАНИЯ Р 331 УС 18</t>
  </si>
  <si>
    <t>280325</t>
  </si>
  <si>
    <t>Спец№43(1-4)</t>
  </si>
  <si>
    <t>090325</t>
  </si>
  <si>
    <t>YMLU3210998</t>
  </si>
  <si>
    <t>Белозеров Леонид</t>
  </si>
  <si>
    <t>Renault Р 777 НМ 196</t>
  </si>
  <si>
    <t xml:space="preserve">Протопопов Александр </t>
  </si>
  <si>
    <t>КАМАЗ С 382 ОС 89</t>
  </si>
  <si>
    <t>Спец№5</t>
  </si>
  <si>
    <t>Спец№73К</t>
  </si>
  <si>
    <t>20250327</t>
  </si>
  <si>
    <t>TKRU3126050</t>
  </si>
  <si>
    <t>Отгружено</t>
  </si>
  <si>
    <t>БС-097486</t>
  </si>
  <si>
    <t>Городецкий Дмитрий</t>
  </si>
  <si>
    <t>Mercedes А424УТ 763</t>
  </si>
  <si>
    <t>Круговых Роман</t>
  </si>
  <si>
    <t>Мерседес Т742ЕО 790</t>
  </si>
  <si>
    <t>030425</t>
  </si>
  <si>
    <t>Спец№71К(4-5)</t>
  </si>
  <si>
    <t>Спец№71К(5-5)</t>
  </si>
  <si>
    <t>Спец№43(2-4)</t>
  </si>
  <si>
    <t>160325</t>
  </si>
  <si>
    <t>авто(ТК авто 45)</t>
  </si>
  <si>
    <t>Каюмов Айгиз</t>
  </si>
  <si>
    <t>МАН О 011 ВЕ 159</t>
  </si>
  <si>
    <t>060425</t>
  </si>
  <si>
    <t>Спец№43(3-4)</t>
  </si>
  <si>
    <t>Пыть-Ях СТС</t>
  </si>
  <si>
    <t>МАН О 531 НТ29</t>
  </si>
  <si>
    <t xml:space="preserve">Антонов Евгений </t>
  </si>
  <si>
    <t>Белый Яр</t>
  </si>
  <si>
    <t>TKRU3390015</t>
  </si>
  <si>
    <t>RZDU3042523</t>
  </si>
  <si>
    <t>MERSEDES В 134 ТА 69</t>
  </si>
  <si>
    <t xml:space="preserve">89201584436/89829252877  </t>
  </si>
  <si>
    <t>Квашнин Виктор</t>
  </si>
  <si>
    <t>Спец№43(4-4)</t>
  </si>
  <si>
    <t>050425</t>
  </si>
  <si>
    <t>070425</t>
  </si>
  <si>
    <t>080425</t>
  </si>
  <si>
    <t xml:space="preserve">Фокин Дмитрий </t>
  </si>
  <si>
    <t>Вольво О 618 СМ 29</t>
  </si>
  <si>
    <t>Спец№72К(2-2)</t>
  </si>
  <si>
    <t>Спец№44(1-10)</t>
  </si>
  <si>
    <t>RZDU3007081</t>
  </si>
  <si>
    <t>Спецификация 14</t>
  </si>
  <si>
    <t>Eriell</t>
  </si>
  <si>
    <t>Volvo 50Q197UA</t>
  </si>
  <si>
    <t>Давранов Илхомжон</t>
  </si>
  <si>
    <t>Volvo 50V175XA</t>
  </si>
  <si>
    <t>Жураев Ихтиёр</t>
  </si>
  <si>
    <t>кнт (КЛОТО)</t>
  </si>
  <si>
    <t>RZDU3044418</t>
  </si>
  <si>
    <t>КЛСП - п/проп 20,0 кг</t>
  </si>
  <si>
    <t>авто (самовывоз)</t>
  </si>
  <si>
    <t>Счет №76</t>
  </si>
  <si>
    <t>ЗИПО НПП</t>
  </si>
  <si>
    <t>Деловые Линии</t>
  </si>
  <si>
    <t>Спец№75К (1-2)</t>
  </si>
  <si>
    <t>Спец№75К(2-2)</t>
  </si>
  <si>
    <t>150425</t>
  </si>
  <si>
    <t>Спецификация 11</t>
  </si>
  <si>
    <t>Спецификация 12</t>
  </si>
  <si>
    <t>ДЕХКОНОВ ШОХРУХБЕК</t>
  </si>
  <si>
    <t>MERCEDES 60006QBA / KRONE 606208AA</t>
  </si>
  <si>
    <t>ЮЛДОШЕВ МУХАММАДАЛИ</t>
  </si>
  <si>
    <t>DAF 60157WBA / KRONE 606207AA</t>
  </si>
  <si>
    <t>ТУЛАНОВ МУРОДИЛЛО</t>
  </si>
  <si>
    <t>MERCEDES 60775PBA / SCHMITZ 605304AA</t>
  </si>
  <si>
    <t>140425</t>
  </si>
  <si>
    <t>Салига Валерий</t>
  </si>
  <si>
    <t>Скания О 240 ТА 44</t>
  </si>
  <si>
    <t>Москвин Роман</t>
  </si>
  <si>
    <t>SITRAK О 909 РК 154</t>
  </si>
  <si>
    <t>20250407</t>
  </si>
  <si>
    <t>Спец№76К (1-4)</t>
  </si>
  <si>
    <t>Спец№76К (2-4)</t>
  </si>
  <si>
    <t>Спец№76К (3-4)</t>
  </si>
  <si>
    <t>Спец№76К (4-4)</t>
  </si>
  <si>
    <t>090425</t>
  </si>
  <si>
    <t>Спец№44(2-10)</t>
  </si>
  <si>
    <t>Спец№74К (1-2)</t>
  </si>
  <si>
    <t>Спец№74К (2-2)</t>
  </si>
  <si>
    <t>130425</t>
  </si>
  <si>
    <t>160425</t>
  </si>
  <si>
    <r>
      <t xml:space="preserve">Пыть-Ях </t>
    </r>
    <r>
      <rPr>
        <b/>
        <sz val="12"/>
        <color theme="1"/>
        <rFont val="Calibri"/>
        <family val="2"/>
        <charset val="204"/>
        <scheme val="minor"/>
      </rPr>
      <t>СТС</t>
    </r>
  </si>
  <si>
    <t>Спец№44(3-10)</t>
  </si>
  <si>
    <t>110425</t>
  </si>
  <si>
    <t>БС-098770(1-2)</t>
  </si>
  <si>
    <t>180425</t>
  </si>
  <si>
    <t>200425</t>
  </si>
  <si>
    <t>Спец №47</t>
  </si>
  <si>
    <t>TKRU3127502</t>
  </si>
  <si>
    <t>Колчерин Николай</t>
  </si>
  <si>
    <t>Маз Н 416 ЕН 21</t>
  </si>
  <si>
    <t>Изюмов Олег</t>
  </si>
  <si>
    <t>89876739579/89613654643</t>
  </si>
  <si>
    <t>Мерседес А 373 РТ 716</t>
  </si>
  <si>
    <t>Спец№44(4-10)</t>
  </si>
  <si>
    <t>Борисов Дмитрий</t>
  </si>
  <si>
    <t>авто(Елото)</t>
  </si>
  <si>
    <t>Шукаев  Михаил</t>
  </si>
  <si>
    <t>DAF У 377 МХ 45</t>
  </si>
  <si>
    <t>авто (Авто45)</t>
  </si>
  <si>
    <t xml:space="preserve">Осипов Дмитрий </t>
  </si>
  <si>
    <t>БС-098770(2-2)</t>
  </si>
  <si>
    <t>Спец№48</t>
  </si>
  <si>
    <t>010425</t>
  </si>
  <si>
    <t>Спец№44(5-10)</t>
  </si>
  <si>
    <t>230425</t>
  </si>
  <si>
    <t>Спец№44(6-10)</t>
  </si>
  <si>
    <t>170425</t>
  </si>
  <si>
    <t>КамазР 056 АТ 46</t>
  </si>
  <si>
    <t>Жакшылыков Нурпаиз</t>
  </si>
  <si>
    <t>Кошкин Сергей</t>
  </si>
  <si>
    <t>Мерседес В 404 МО 73</t>
  </si>
  <si>
    <t>Спец№44(7-10)</t>
  </si>
  <si>
    <t>БС-098847</t>
  </si>
  <si>
    <t xml:space="preserve">FAW А 109 МО 252 </t>
  </si>
  <si>
    <t xml:space="preserve">Кротов Сергей </t>
  </si>
  <si>
    <t>210425</t>
  </si>
  <si>
    <t>Спец№44(8-10)</t>
  </si>
  <si>
    <t>БС-098669(1-6)</t>
  </si>
  <si>
    <t>БС-100974</t>
  </si>
  <si>
    <t>БС-098669(2-6)</t>
  </si>
  <si>
    <t>020525</t>
  </si>
  <si>
    <t>МАЗ У 032 АВ 96</t>
  </si>
  <si>
    <t>Шимолин Павел</t>
  </si>
  <si>
    <t>190425</t>
  </si>
  <si>
    <t>Спец№44(9-10)</t>
  </si>
  <si>
    <t>Спец№148</t>
  </si>
  <si>
    <t>250425</t>
  </si>
  <si>
    <t>240425</t>
  </si>
  <si>
    <t>МАЗ Н 995 ЕО 72</t>
  </si>
  <si>
    <t>Кузнецов Андрей</t>
  </si>
  <si>
    <t>МАЗ О 604 ОМ 116</t>
  </si>
  <si>
    <t xml:space="preserve">Галаганов Василий </t>
  </si>
  <si>
    <t>Спец№19</t>
  </si>
  <si>
    <t>Захаров Виталий</t>
  </si>
  <si>
    <t>КАМАЗ О 970 УК 47</t>
  </si>
  <si>
    <t>290425</t>
  </si>
  <si>
    <t>JAC О 421 ХС 159</t>
  </si>
  <si>
    <t>Тетенькин Павел</t>
  </si>
  <si>
    <t>БС-098669(3-6)</t>
  </si>
  <si>
    <t>030525</t>
  </si>
  <si>
    <t>Семченков Сергей</t>
  </si>
  <si>
    <t>DAF Т 177 НВ 67</t>
  </si>
  <si>
    <t>Казаков Валерий</t>
  </si>
  <si>
    <t>SCANIA  О 050 СХ 159</t>
  </si>
  <si>
    <t>Спец№44(10-10)</t>
  </si>
  <si>
    <t>220425</t>
  </si>
  <si>
    <t xml:space="preserve">89115713730        </t>
  </si>
  <si>
    <t xml:space="preserve">BLACKTROL ж - 1000 кг еврокуб </t>
  </si>
  <si>
    <t>MEX-RBD (СС Солт) - бочка п/э 200 кг</t>
  </si>
  <si>
    <t>010525</t>
  </si>
  <si>
    <t>Жидкая обсадная колонна ULTRAFINE (100 мкм) - бум 10,0 кг</t>
  </si>
  <si>
    <t>Жидкая обсадная колонна FINE (270 мкм) - бум 10,0 кг</t>
  </si>
  <si>
    <t>Жидкая обсадная колонна MEDIUM (500 мкм) - бум 10,0 кг</t>
  </si>
  <si>
    <t>Жидкая обсадная колонна COARSE (1100 мкм) - бум 10,0 кг</t>
  </si>
  <si>
    <t>040525</t>
  </si>
  <si>
    <t>отгружен</t>
  </si>
  <si>
    <t>Спец№47(1-10)</t>
  </si>
  <si>
    <t>070525</t>
  </si>
  <si>
    <t>050525</t>
  </si>
  <si>
    <t>БС-100127</t>
  </si>
  <si>
    <t>БС-100380</t>
  </si>
  <si>
    <t>Спец№47(2-10)</t>
  </si>
  <si>
    <t>Спец№47(3-10)</t>
  </si>
  <si>
    <t>080525</t>
  </si>
  <si>
    <t>БС-098669(4-6)</t>
  </si>
  <si>
    <t>авто (Инкам)</t>
  </si>
  <si>
    <t>БС-098669(5-6)</t>
  </si>
  <si>
    <t>090525</t>
  </si>
  <si>
    <t>БС-098669(6-6)</t>
  </si>
  <si>
    <t>100525</t>
  </si>
  <si>
    <t>Спец№47(4-10)</t>
  </si>
  <si>
    <t>SITRAK У312ВМ774</t>
  </si>
  <si>
    <t>авто (ИП Семенова)</t>
  </si>
  <si>
    <t xml:space="preserve">Голомаздин Алексей </t>
  </si>
  <si>
    <t xml:space="preserve">Василенко Алексей </t>
  </si>
  <si>
    <t xml:space="preserve">Рядовкин Евгений </t>
  </si>
  <si>
    <t xml:space="preserve">Хрущ Алексадр </t>
  </si>
  <si>
    <t xml:space="preserve">Анфалов Сергей </t>
  </si>
  <si>
    <t>авто (АГРО)</t>
  </si>
  <si>
    <t>Протопопов Александр</t>
  </si>
  <si>
    <t>Камаз С 382 ОС 89</t>
  </si>
  <si>
    <t>Спец№47(5-10)</t>
  </si>
  <si>
    <t>130525</t>
  </si>
  <si>
    <t>БС-100892</t>
  </si>
  <si>
    <t>160525</t>
  </si>
  <si>
    <t>Спец№47(6-10)</t>
  </si>
  <si>
    <t>150525</t>
  </si>
  <si>
    <t>самоыввоз</t>
  </si>
  <si>
    <t>счет №126</t>
  </si>
  <si>
    <t>СЭНАМ СЕРВИС</t>
  </si>
  <si>
    <t>самовывоз</t>
  </si>
  <si>
    <t>СДЭК</t>
  </si>
  <si>
    <t>Александров Дмитрий</t>
  </si>
  <si>
    <t>КАМАЗ Х 293 РХ 790</t>
  </si>
  <si>
    <t>DAF В 426 МХ 45</t>
  </si>
  <si>
    <t>SITRAK Р 416 МС 193</t>
  </si>
  <si>
    <t>SITRAK С 139 ХР 716</t>
  </si>
  <si>
    <t>Шаханин Александр</t>
  </si>
  <si>
    <t>VOLVO С497ОС 193</t>
  </si>
  <si>
    <t>Спец№147</t>
  </si>
  <si>
    <t xml:space="preserve">Спец№77К </t>
  </si>
  <si>
    <t xml:space="preserve">Спец№78К </t>
  </si>
  <si>
    <t>Спец№18(1-2)</t>
  </si>
  <si>
    <t xml:space="preserve">Каримов Рим </t>
  </si>
  <si>
    <t>Спец№19(1-4)</t>
  </si>
  <si>
    <t>89963427701/87772313238</t>
  </si>
  <si>
    <t>89608340879/87476119403</t>
  </si>
  <si>
    <t xml:space="preserve">Дегтярев Андрей </t>
  </si>
  <si>
    <t>Mersedes О 119 КУ 790</t>
  </si>
  <si>
    <t xml:space="preserve">Спец№79К </t>
  </si>
  <si>
    <t>Спец№47(7-10)</t>
  </si>
  <si>
    <t>190525</t>
  </si>
  <si>
    <t>БС-101457</t>
  </si>
  <si>
    <t>Осипов Олег</t>
  </si>
  <si>
    <t>Ивеко Р 566 ТВ 159</t>
  </si>
  <si>
    <t>Спец№33</t>
  </si>
  <si>
    <t>Энергоресурс</t>
  </si>
  <si>
    <t>FOTON О 571 ХН 29</t>
  </si>
  <si>
    <t>140525</t>
  </si>
  <si>
    <t>Спец№47(8-10)</t>
  </si>
  <si>
    <t>210525</t>
  </si>
  <si>
    <t>авто(Авто45)</t>
  </si>
  <si>
    <t>Стефанков Дмитрий</t>
  </si>
  <si>
    <t>Хакимов Николай</t>
  </si>
  <si>
    <t>Ивеко Р 486 ВТ 159</t>
  </si>
  <si>
    <t>БС-101657(1-8)</t>
  </si>
  <si>
    <t>БС-101657(2-8)</t>
  </si>
  <si>
    <t>Спец№19(2-4)</t>
  </si>
  <si>
    <t>Спец№19(3-4)</t>
  </si>
  <si>
    <t>100425</t>
  </si>
  <si>
    <t>Спец№47(9-10)</t>
  </si>
  <si>
    <t>240525</t>
  </si>
  <si>
    <t>Дроздов Александр</t>
  </si>
  <si>
    <t>FAW JH6 Р 541 УС 159</t>
  </si>
  <si>
    <t>Лукьянов Константин</t>
  </si>
  <si>
    <t>SANY Е 140 ТР 08</t>
  </si>
  <si>
    <t>Спец№78К (1-3)</t>
  </si>
  <si>
    <t>220525</t>
  </si>
  <si>
    <t>БС-101657(3-8)</t>
  </si>
  <si>
    <t>БС-101657(4-8)</t>
  </si>
  <si>
    <t>230525</t>
  </si>
  <si>
    <t>Абдурахманов Магомед</t>
  </si>
  <si>
    <t xml:space="preserve"> СКАНИЯ А 246 РТ 716</t>
  </si>
  <si>
    <t>Не выполнено</t>
  </si>
  <si>
    <t>DAF Е 375 АМ 197</t>
  </si>
  <si>
    <t xml:space="preserve">89270908660/87779998937 </t>
  </si>
  <si>
    <t>Шимолин Олег</t>
  </si>
  <si>
    <t>МАЗ С 334 ЕУ 96</t>
  </si>
  <si>
    <t>Краснощеков Сергей</t>
  </si>
  <si>
    <t>ВОЛЬВО М 441 ВК 96</t>
  </si>
  <si>
    <t>Григорьев Евгений</t>
  </si>
  <si>
    <t>ВОЛЬВО У 251 МУ 72</t>
  </si>
  <si>
    <t xml:space="preserve">Volvo  Т 681 МР 67 </t>
  </si>
  <si>
    <t>ДАФ Р 375 УЕ 196</t>
  </si>
  <si>
    <t>Рябков Вадим</t>
  </si>
  <si>
    <t>Scania Н 244 УР 29</t>
  </si>
  <si>
    <t>Голуб Игорь</t>
  </si>
  <si>
    <t>Спец№47(10-10)</t>
  </si>
  <si>
    <t>270525</t>
  </si>
  <si>
    <t>БС-101657(5-8)</t>
  </si>
  <si>
    <t>250525</t>
  </si>
  <si>
    <t>Спец№77К (1-2)</t>
  </si>
  <si>
    <t>Спец№77К (2-2)</t>
  </si>
  <si>
    <t>кнт(Клото)</t>
  </si>
  <si>
    <t>БС-087078</t>
  </si>
  <si>
    <t>ОЕ41023023</t>
  </si>
  <si>
    <t>Корсаков</t>
  </si>
  <si>
    <t>авто(Легион)</t>
  </si>
  <si>
    <t>авто (Авто 45)</t>
  </si>
  <si>
    <t>Жигулёв Николай</t>
  </si>
  <si>
    <t>DONGFENG Х 539 ОЕ 37</t>
  </si>
  <si>
    <t>Спец№25397</t>
  </si>
  <si>
    <t>Ружицкий Сергей</t>
  </si>
  <si>
    <t>Мерседес К 682 ХК 198</t>
  </si>
  <si>
    <t>Спец№78К (2-3)</t>
  </si>
  <si>
    <t>Спец№80К</t>
  </si>
  <si>
    <t>280525</t>
  </si>
  <si>
    <t>TKRU3158951</t>
  </si>
  <si>
    <t>БС-101657(6-8)</t>
  </si>
  <si>
    <t>СКАНИЯ М 503 СМ 159</t>
  </si>
  <si>
    <t>Ракшин Андрей</t>
  </si>
  <si>
    <t>YMLU3240082</t>
  </si>
  <si>
    <t>OOLU1430148</t>
  </si>
  <si>
    <t>Осипов Дмитрий</t>
  </si>
  <si>
    <t>DAF Р 575 МС  45</t>
  </si>
  <si>
    <t>DAF К 298 МО 44</t>
  </si>
  <si>
    <t xml:space="preserve">Шмаков Александр </t>
  </si>
  <si>
    <t>КАМАЗ О 773 НМ 45</t>
  </si>
  <si>
    <t>ЭКСТРАМУЛ-2000 - 180 кг п/эт</t>
  </si>
  <si>
    <t>ЭКСТРАМУЛ СУПРИМ - 200 кг п/эт</t>
  </si>
  <si>
    <t>БС-101657(7-8)</t>
  </si>
  <si>
    <t>БС-101657(8-8)</t>
  </si>
  <si>
    <t>290525</t>
  </si>
  <si>
    <t>310525</t>
  </si>
  <si>
    <t>030625</t>
  </si>
  <si>
    <t>060625</t>
  </si>
  <si>
    <t>Спец№19(4-4)</t>
  </si>
  <si>
    <t>FWL</t>
  </si>
  <si>
    <t>200525</t>
  </si>
  <si>
    <t>Турция</t>
  </si>
  <si>
    <t>Камаз У650КН 152</t>
  </si>
  <si>
    <t xml:space="preserve">8915-955-72-92
8915-955-72-92
</t>
  </si>
  <si>
    <t>Молодцов Антон</t>
  </si>
  <si>
    <t>Матвейко Андрей</t>
  </si>
  <si>
    <t xml:space="preserve">VOLVO FH-TRUCK Н878УС 126 </t>
  </si>
  <si>
    <t>Чурсин Андрей</t>
  </si>
  <si>
    <t xml:space="preserve">DAF М536НО 126 </t>
  </si>
  <si>
    <t>Хрулькевич Максим</t>
  </si>
  <si>
    <t>МАН К642УК134</t>
  </si>
  <si>
    <t>TKRU3354487</t>
  </si>
  <si>
    <t>TKRU3309997</t>
  </si>
  <si>
    <t>Спец№78К (3-3)</t>
  </si>
  <si>
    <t>Спец№21</t>
  </si>
  <si>
    <t>МадСервис</t>
  </si>
  <si>
    <t>040625</t>
  </si>
  <si>
    <t>Спец№149</t>
  </si>
  <si>
    <t>050625</t>
  </si>
  <si>
    <t>090625</t>
  </si>
  <si>
    <t>BLACKTROL ж - 215,5 кг п/эт</t>
  </si>
  <si>
    <t>Малюсь Алексей</t>
  </si>
  <si>
    <t>Переадресация на Пыть-Ях</t>
  </si>
  <si>
    <t>БС-103186</t>
  </si>
  <si>
    <t xml:space="preserve">Портнов Дмитрий </t>
  </si>
  <si>
    <t xml:space="preserve">89273817812/87773777323  </t>
  </si>
  <si>
    <t>DAF У 690 РК 790</t>
  </si>
  <si>
    <t>БС-102928(1-3)</t>
  </si>
  <si>
    <t>БС-102928(2-3)</t>
  </si>
  <si>
    <t>БС-102928(3-3)</t>
  </si>
  <si>
    <t>BURF MUL NTR, бочка п/э 190 кг</t>
  </si>
  <si>
    <t>BURF MUL NTR (ЭКСТРАМУЛ СУПРИМ), бочка п/э 190 кг</t>
  </si>
  <si>
    <t>Хафизов Марат</t>
  </si>
  <si>
    <t xml:space="preserve"> КАМАЗ  Т 776 ЕЕ 774</t>
  </si>
  <si>
    <t>БС-105120</t>
  </si>
  <si>
    <t xml:space="preserve">Анфалов Сергей  </t>
  </si>
  <si>
    <t>авто(ИП Семенова)</t>
  </si>
  <si>
    <t>020625</t>
  </si>
  <si>
    <t>Комар эпокси</t>
  </si>
  <si>
    <t>0066430525</t>
  </si>
  <si>
    <t>Спец№50</t>
  </si>
  <si>
    <t>Спец№49(1-4)</t>
  </si>
  <si>
    <t>Спец№49(2-4)</t>
  </si>
  <si>
    <t>Спец№49(3-4)</t>
  </si>
  <si>
    <t>Спец№49(4-4)</t>
  </si>
  <si>
    <t>TKRU3273615</t>
  </si>
  <si>
    <t>Маз М 326 ОХ 29</t>
  </si>
  <si>
    <t>TKRU3241897</t>
  </si>
  <si>
    <t>TKRU3284477</t>
  </si>
  <si>
    <t>Камаз У738ВС 152</t>
  </si>
  <si>
    <t>Малышкин Виктор</t>
  </si>
  <si>
    <t>Спец№83К</t>
  </si>
  <si>
    <t>Спец№18(2-2)</t>
  </si>
  <si>
    <t>Демьянка</t>
  </si>
  <si>
    <t>20240913</t>
  </si>
  <si>
    <t>Спец №49(1-2)</t>
  </si>
  <si>
    <t>Спец №49(2-2)</t>
  </si>
  <si>
    <t>Спец№81К</t>
  </si>
  <si>
    <t>Спец№82К</t>
  </si>
  <si>
    <t>Спец№20(1-2)</t>
  </si>
  <si>
    <t>120625</t>
  </si>
  <si>
    <t>160625</t>
  </si>
  <si>
    <t>Спец№150</t>
  </si>
  <si>
    <t>170625</t>
  </si>
  <si>
    <t>Макшанов Игорь</t>
  </si>
  <si>
    <t>СИТРАК Х 827 ЕВ 31</t>
  </si>
  <si>
    <t>Спец№1,2</t>
  </si>
  <si>
    <t>Бедросов Давид</t>
  </si>
  <si>
    <t>ГАЗ Т 049 ЕН 136</t>
  </si>
  <si>
    <t>авто(Семенова)</t>
  </si>
  <si>
    <t xml:space="preserve">Беляков Игорь </t>
  </si>
  <si>
    <t>Фатиев Валерий</t>
  </si>
  <si>
    <t>Форд М 266 МО 35</t>
  </si>
  <si>
    <t>Счет №204</t>
  </si>
  <si>
    <t>Прогресс-2</t>
  </si>
  <si>
    <t>180625</t>
  </si>
  <si>
    <t>190625</t>
  </si>
  <si>
    <t>Газель А 571 ХЕ 43</t>
  </si>
  <si>
    <t>Южанин Олег</t>
  </si>
  <si>
    <t>Спец№32</t>
  </si>
  <si>
    <t>МК Сервис</t>
  </si>
  <si>
    <t>Сорочинск</t>
  </si>
  <si>
    <t>КАМАЗ Н 807 ТВ 159</t>
  </si>
  <si>
    <t>Пендюрин Сергей</t>
  </si>
  <si>
    <t>110521</t>
  </si>
  <si>
    <t>Мрские платформы</t>
  </si>
  <si>
    <t>ГАЗ О 424 ОУ 29</t>
  </si>
  <si>
    <t>Селининов Дмитрий</t>
  </si>
  <si>
    <t>Шахман Р 311 ОМ 716</t>
  </si>
  <si>
    <t>Спец№151</t>
  </si>
  <si>
    <t>260625</t>
  </si>
  <si>
    <t>20250625</t>
  </si>
  <si>
    <t>FAW X 290 КВ 31</t>
  </si>
  <si>
    <t>Дмитренко Роман</t>
  </si>
  <si>
    <t>20250627</t>
  </si>
  <si>
    <t>Шурухин Павел</t>
  </si>
  <si>
    <t>Заляев Ильшат/Сабитов</t>
  </si>
  <si>
    <t>Бывальцев Денис Михайлович</t>
  </si>
  <si>
    <t>А/М КАМАЗ Х268 НМ 45</t>
  </si>
  <si>
    <t>авто(авто 45)</t>
  </si>
  <si>
    <t>Чукалин Сергей Георгиевич</t>
  </si>
  <si>
    <t>SCANIA С742АН550</t>
  </si>
  <si>
    <t>Фокин Дмитрий Викторович</t>
  </si>
  <si>
    <t>деловые линии</t>
  </si>
  <si>
    <t>Счет №226</t>
  </si>
  <si>
    <t>ОХОТСКАЯ ГГК</t>
  </si>
  <si>
    <t>100725</t>
  </si>
  <si>
    <t>Хабаровск</t>
  </si>
  <si>
    <t>090725</t>
  </si>
  <si>
    <t>Спец№84К</t>
  </si>
  <si>
    <t>Спец№85К(1-2)</t>
  </si>
  <si>
    <t>Спец№85К(2-2)</t>
  </si>
  <si>
    <t>Спец№86К</t>
  </si>
  <si>
    <t>Спец№51</t>
  </si>
  <si>
    <t>220725</t>
  </si>
  <si>
    <t>Спец№1-СТ</t>
  </si>
  <si>
    <t>ССК-Технологии</t>
  </si>
  <si>
    <t>210725</t>
  </si>
  <si>
    <t>авто(Ариал Транс)</t>
  </si>
  <si>
    <t>Счет №235</t>
  </si>
  <si>
    <t>150725</t>
  </si>
  <si>
    <t>Айнахов Евгений</t>
  </si>
  <si>
    <t>Газ М 326 ХА 164</t>
  </si>
  <si>
    <t>авто(Борисов)</t>
  </si>
  <si>
    <t>Спец№34</t>
  </si>
  <si>
    <t>б/п</t>
  </si>
  <si>
    <t>Дегтярев Андрей</t>
  </si>
  <si>
    <t xml:space="preserve">89608340879/87476119403 
</t>
  </si>
  <si>
    <t>БС-108150(1-3)</t>
  </si>
  <si>
    <t>БС-108150(2-3)</t>
  </si>
  <si>
    <t>БС-108150(3-3)</t>
  </si>
  <si>
    <t>БС-110062(1-2)</t>
  </si>
  <si>
    <t>БС-110062(2-2)</t>
  </si>
  <si>
    <t>БС-109055</t>
  </si>
  <si>
    <t>ОЕ50411003</t>
  </si>
  <si>
    <t>010825/1</t>
  </si>
  <si>
    <t>010825/2</t>
  </si>
  <si>
    <t>010825/3</t>
  </si>
  <si>
    <t>010825/4</t>
  </si>
  <si>
    <t>Спец№21(1-2)</t>
  </si>
  <si>
    <t>Спец№21(2-2)</t>
  </si>
  <si>
    <t>020825/1</t>
  </si>
  <si>
    <t>020825/2</t>
  </si>
  <si>
    <t>020825/3</t>
  </si>
  <si>
    <t>020825/4</t>
  </si>
  <si>
    <t>030825/1</t>
  </si>
  <si>
    <t>030825/2</t>
  </si>
  <si>
    <t>030825/3</t>
  </si>
  <si>
    <t>030825/4</t>
  </si>
  <si>
    <t>040825/1</t>
  </si>
  <si>
    <t>040825/2</t>
  </si>
  <si>
    <t>040825/3</t>
  </si>
  <si>
    <t>040825/4</t>
  </si>
  <si>
    <t>050825/1</t>
  </si>
  <si>
    <t>050825/2</t>
  </si>
  <si>
    <t>050825/3</t>
  </si>
  <si>
    <t>050825/4</t>
  </si>
  <si>
    <t>89608185086/87777918885</t>
  </si>
  <si>
    <t>Степаненко Василий</t>
  </si>
  <si>
    <t>ДАФ У 498 АК 31</t>
  </si>
  <si>
    <t>FAW У 769 ЕА 152</t>
  </si>
  <si>
    <t>Курапов Дмитрий</t>
  </si>
  <si>
    <t>Шмаков Александр</t>
  </si>
  <si>
    <t xml:space="preserve">Ильин Андрей </t>
  </si>
  <si>
    <t>Портнов Дмитрий</t>
  </si>
  <si>
    <t>89273817812/87773777323</t>
  </si>
  <si>
    <t>Спец№20(2-2)</t>
  </si>
  <si>
    <t>БС-110580</t>
  </si>
  <si>
    <t>Стабилайт II - бум марк 25,0 кг</t>
  </si>
  <si>
    <t>080825</t>
  </si>
  <si>
    <t>120825</t>
  </si>
  <si>
    <t>Спец№152(1-7)</t>
  </si>
  <si>
    <t>Спец№152(3-7)</t>
  </si>
  <si>
    <t>Спец№152(2-7)</t>
  </si>
  <si>
    <t>Спец№152(4-7)</t>
  </si>
  <si>
    <t>Спец№152(5-7)</t>
  </si>
  <si>
    <t>Спец№152(6-7)</t>
  </si>
  <si>
    <t>Спец№152(7-7)</t>
  </si>
  <si>
    <t>20250808</t>
  </si>
  <si>
    <t>Спец№52(1-2)</t>
  </si>
  <si>
    <t>Спец№52(2-2)</t>
  </si>
  <si>
    <t>TKRU3440733</t>
  </si>
  <si>
    <t>TKRU3056836</t>
  </si>
  <si>
    <t>270626</t>
  </si>
  <si>
    <t>89277644533/87789283367</t>
  </si>
  <si>
    <t xml:space="preserve">Каражан Арман </t>
  </si>
  <si>
    <t>Спец№23</t>
  </si>
  <si>
    <t>DAF Е 375 AM 198</t>
  </si>
  <si>
    <t xml:space="preserve">Мейзер Игорь </t>
  </si>
  <si>
    <t>Джак К 194 HM 136</t>
  </si>
  <si>
    <t>120825/1</t>
  </si>
  <si>
    <t>120825/2</t>
  </si>
  <si>
    <t>120825/3</t>
  </si>
  <si>
    <t>120825/4</t>
  </si>
  <si>
    <t>130825/1</t>
  </si>
  <si>
    <t>130825/2</t>
  </si>
  <si>
    <t>130825/3</t>
  </si>
  <si>
    <t>130825/4</t>
  </si>
  <si>
    <t>140825/1</t>
  </si>
  <si>
    <t>140825/2</t>
  </si>
  <si>
    <t>140825/3</t>
  </si>
  <si>
    <t>140825/4</t>
  </si>
  <si>
    <t>150825/1</t>
  </si>
  <si>
    <t>150825/2</t>
  </si>
  <si>
    <t>150825/3</t>
  </si>
  <si>
    <t>150825/4</t>
  </si>
  <si>
    <t>160825/1</t>
  </si>
  <si>
    <t>160825/2</t>
  </si>
  <si>
    <t>160825/3</t>
  </si>
  <si>
    <t>160825/4</t>
  </si>
  <si>
    <t>БС-111582(1-5)</t>
  </si>
  <si>
    <t>БС-111582(2-5)</t>
  </si>
  <si>
    <t>БС-111582(3-5)</t>
  </si>
  <si>
    <t>БС-111582(4-5)</t>
  </si>
  <si>
    <t>БС-111582(5-5)</t>
  </si>
  <si>
    <t>GESU1286125</t>
  </si>
  <si>
    <t>TCKU3763060</t>
  </si>
  <si>
    <t>Спец№22</t>
  </si>
  <si>
    <t>200825</t>
  </si>
  <si>
    <t>Спец№153</t>
  </si>
  <si>
    <t>КУРС ЕВРО НА 15.08 93,0588</t>
  </si>
  <si>
    <t>атво(Бакин)</t>
  </si>
  <si>
    <t>140825</t>
  </si>
  <si>
    <t>Салимзянов Радик Зифирович</t>
  </si>
  <si>
    <t>Ситрак У 674 КУ 716</t>
  </si>
  <si>
    <t>Павлюченков Геннадий</t>
  </si>
  <si>
    <t>89532884114, 89506984652</t>
  </si>
  <si>
    <t>Ситрак Р 751 ЕН 32</t>
  </si>
  <si>
    <t>DAF М982АА15</t>
  </si>
  <si>
    <t>Вильгельм Павел</t>
  </si>
  <si>
    <t>Михайлов Денис</t>
  </si>
  <si>
    <t>РЕНО Н 451 МС 196</t>
  </si>
  <si>
    <t>КАМАЗ О773НМ 45</t>
  </si>
  <si>
    <t>Счет №263</t>
  </si>
  <si>
    <t>TKRU3407503</t>
  </si>
  <si>
    <t>TKRU3399732</t>
  </si>
  <si>
    <t>Рогозин Сергей</t>
  </si>
  <si>
    <t>СИТРАК Т 111 ЕС 35</t>
  </si>
  <si>
    <t>Мирошниченко Максим</t>
  </si>
  <si>
    <t>ГАЗЕЛЬ К 699 СР 82</t>
  </si>
  <si>
    <t>TKRU3451928</t>
  </si>
  <si>
    <t>TKRU3061278</t>
  </si>
  <si>
    <t>260825</t>
  </si>
  <si>
    <t>280825</t>
  </si>
  <si>
    <t>270825</t>
  </si>
  <si>
    <t>Спец№53(1-5)</t>
  </si>
  <si>
    <t>Спец№53(2-5)</t>
  </si>
  <si>
    <t>Спец№53(3-5)</t>
  </si>
  <si>
    <t>Спец№53(4-5)</t>
  </si>
  <si>
    <t>Спец№53(5-5)</t>
  </si>
  <si>
    <t>20250829</t>
  </si>
  <si>
    <t>Воинов Леонид</t>
  </si>
  <si>
    <t>ВОЛЬВО  Х 933 КО 52</t>
  </si>
  <si>
    <t>020925</t>
  </si>
  <si>
    <t xml:space="preserve">Матушкин Анатолий </t>
  </si>
  <si>
    <t>Камаз В 139 РХ 790</t>
  </si>
  <si>
    <t>Лучкин Евгений</t>
  </si>
  <si>
    <t>МАН М 884 ОЕ 35</t>
  </si>
  <si>
    <t>Спец№5(1-3)</t>
  </si>
  <si>
    <t>Спец№5(2-3)</t>
  </si>
  <si>
    <t>Спец№5(3-3)</t>
  </si>
  <si>
    <t>010925</t>
  </si>
  <si>
    <t>кнт(БС)</t>
  </si>
  <si>
    <t>БС-111914</t>
  </si>
  <si>
    <t>авто(АГЛ)</t>
  </si>
  <si>
    <t>Быков Алексей</t>
  </si>
  <si>
    <t>МАЗ М 508 ОХ 196</t>
  </si>
  <si>
    <t>GQRU3142153</t>
  </si>
  <si>
    <t xml:space="preserve">TKRU3034457 </t>
  </si>
  <si>
    <t>ЗПУ Клещ 60СЦ номер В5654303</t>
  </si>
  <si>
    <t>ЗПУ Клещ 60СЦ номер В5654304</t>
  </si>
  <si>
    <t>Пушкарев Виктор</t>
  </si>
  <si>
    <t>ДАФ Т 428 УК 750</t>
  </si>
  <si>
    <t>МАЗ Н 99 5ЕО 72</t>
  </si>
  <si>
    <t>040925</t>
  </si>
  <si>
    <t>050925</t>
  </si>
  <si>
    <t>050925/1</t>
  </si>
  <si>
    <t>Нижевартовск</t>
  </si>
  <si>
    <t>Спец№87К</t>
  </si>
  <si>
    <t>Спец№82К(1-3)</t>
  </si>
  <si>
    <t>Спец№82К(2-3)</t>
  </si>
  <si>
    <t>Спец№82К(3-3)</t>
  </si>
  <si>
    <t>KENWORTH У 181 ЕЕ 142</t>
  </si>
  <si>
    <t>Заика Николай</t>
  </si>
  <si>
    <t>Скания В 050 КА 156</t>
  </si>
  <si>
    <t>Шатун Евгений</t>
  </si>
  <si>
    <t>Биккинин Эльвир</t>
  </si>
  <si>
    <t>FOTON AUMAN М 149 ХТ 702</t>
  </si>
  <si>
    <t>Спец№88К</t>
  </si>
  <si>
    <t>Пепельницын Алексей</t>
  </si>
  <si>
    <t>Ман О 531 НТ 29</t>
  </si>
  <si>
    <t>TKRU3127539</t>
  </si>
  <si>
    <t>Севергин Александр</t>
  </si>
  <si>
    <t>Камаз В 102 РХ 790</t>
  </si>
  <si>
    <t>Малютин Виктор</t>
  </si>
  <si>
    <t>Скания У 580 ВР 48</t>
  </si>
  <si>
    <t>БС-114189(1-2)</t>
  </si>
  <si>
    <t>170925/1</t>
  </si>
  <si>
    <t>170925/2</t>
  </si>
  <si>
    <t>170925/3</t>
  </si>
  <si>
    <t>170925/4</t>
  </si>
  <si>
    <t>180925/1</t>
  </si>
  <si>
    <t>180925/2</t>
  </si>
  <si>
    <t>180925/3</t>
  </si>
  <si>
    <t>180925/4</t>
  </si>
  <si>
    <t>Хрущ/Белоцерковский</t>
  </si>
  <si>
    <t>DAF О539ОН29/DAF К008МА29</t>
  </si>
  <si>
    <t>89216700606/89116825992</t>
  </si>
  <si>
    <t>Асташов Сергей</t>
  </si>
  <si>
    <t>ДАФ Р 831 МВ 67</t>
  </si>
  <si>
    <t>Гребенщиков Алексей</t>
  </si>
  <si>
    <t>СИТРАК Р 334 ОН 48</t>
  </si>
  <si>
    <t>Спец№24</t>
  </si>
  <si>
    <t>290924</t>
  </si>
  <si>
    <t>Спец№25(1-3)</t>
  </si>
  <si>
    <t>Спец№25(2-3)</t>
  </si>
  <si>
    <t>Спец№25(3-3)</t>
  </si>
  <si>
    <t>89802610619/89802643561</t>
  </si>
  <si>
    <t>150925</t>
  </si>
  <si>
    <t>Спец№90К</t>
  </si>
  <si>
    <t>Спец№89К</t>
  </si>
  <si>
    <t>230925/1</t>
  </si>
  <si>
    <t>230925/2</t>
  </si>
  <si>
    <t>230925/3</t>
  </si>
  <si>
    <t>230925/4</t>
  </si>
  <si>
    <t>БС-114682</t>
  </si>
  <si>
    <t>BaraFLC(0) - бум 25,0 кг</t>
  </si>
  <si>
    <t>Спец№26</t>
  </si>
  <si>
    <t>110324</t>
  </si>
  <si>
    <t>кнт(Самовывоз)</t>
  </si>
  <si>
    <t>TKRU3403621</t>
  </si>
  <si>
    <t>ЗПУ Клещ 60СЦ В5654306</t>
  </si>
  <si>
    <t>БС-114257(1-2)</t>
  </si>
  <si>
    <t>БС-114189(2-2)</t>
  </si>
  <si>
    <t>БС-114257(2-2)</t>
  </si>
  <si>
    <t>230925</t>
  </si>
  <si>
    <t>TKRU3538210</t>
  </si>
  <si>
    <t>TKRU3036296</t>
  </si>
  <si>
    <t>180424</t>
  </si>
  <si>
    <t>Спец№27(1-2)</t>
  </si>
  <si>
    <t>Искалиев Сергей</t>
  </si>
  <si>
    <t>Камаз Т 504 КХ 716</t>
  </si>
  <si>
    <t>Спец 2</t>
  </si>
  <si>
    <t>180925</t>
  </si>
  <si>
    <t>220925</t>
  </si>
  <si>
    <t>240925</t>
  </si>
  <si>
    <t>250925</t>
  </si>
  <si>
    <t>160925</t>
  </si>
  <si>
    <t>170925</t>
  </si>
  <si>
    <t>190925</t>
  </si>
  <si>
    <t xml:space="preserve">МАН Н  894 ММ/136 </t>
  </si>
  <si>
    <t>89397721035, 89204442316</t>
  </si>
  <si>
    <t>Пустовалов Евгений Викторович</t>
  </si>
  <si>
    <t>290925/1</t>
  </si>
  <si>
    <t>290925/2</t>
  </si>
  <si>
    <t>290925/3</t>
  </si>
  <si>
    <t>290925/4</t>
  </si>
  <si>
    <t>300925/1</t>
  </si>
  <si>
    <t>300925/2</t>
  </si>
  <si>
    <t>300925/3</t>
  </si>
  <si>
    <t>300925/4</t>
  </si>
  <si>
    <t>240925/1</t>
  </si>
  <si>
    <t>240925/2</t>
  </si>
  <si>
    <t>240925/3</t>
  </si>
  <si>
    <t>240925/4</t>
  </si>
  <si>
    <t>250925/1</t>
  </si>
  <si>
    <t>250925/2</t>
  </si>
  <si>
    <t>250925/3</t>
  </si>
  <si>
    <t>250925/4</t>
  </si>
  <si>
    <t>Голиков Николай</t>
  </si>
  <si>
    <t>Вольво  Н 864 КА 198</t>
  </si>
  <si>
    <t>БС-115808(1-4)</t>
  </si>
  <si>
    <t>БС-115808(4-4)</t>
  </si>
  <si>
    <t>БС-115808(3-4)</t>
  </si>
  <si>
    <t>БС-115808(2-4)</t>
  </si>
  <si>
    <t>Волков Сергей</t>
  </si>
  <si>
    <t>Скания Х 877 РВ 43</t>
  </si>
  <si>
    <t>TKRU3409996</t>
  </si>
  <si>
    <t>ИЛ Направлен МАЗ М326ОХ29</t>
  </si>
  <si>
    <t>Порубов Виктор</t>
  </si>
  <si>
    <t>Мерседес AXOR  К558УР 73</t>
  </si>
  <si>
    <t>Низамов Фенис</t>
  </si>
  <si>
    <t>Scania Т372МТ/116</t>
  </si>
  <si>
    <t>Таранда Игорь Геннадьевич</t>
  </si>
  <si>
    <t>DAF  М591КВ67</t>
  </si>
  <si>
    <t>8 910 242-62-32</t>
  </si>
  <si>
    <t>Доля Виталий Владимирович</t>
  </si>
  <si>
    <t>DAF М048КХ67</t>
  </si>
  <si>
    <t>Renault М571СУ 35</t>
  </si>
  <si>
    <t>Даф Х 901 КС 72</t>
  </si>
  <si>
    <t>Солянников Дмитрий</t>
  </si>
  <si>
    <t>авто(АКС)</t>
  </si>
  <si>
    <t>RSH7.MDS.R-25-0800-008928</t>
  </si>
  <si>
    <t>ВЕЛЬШЕДА</t>
  </si>
  <si>
    <t>300925</t>
  </si>
  <si>
    <t>Холмск</t>
  </si>
  <si>
    <t>Спец№27 (2-2)</t>
  </si>
  <si>
    <t>071025</t>
  </si>
  <si>
    <t>091025</t>
  </si>
  <si>
    <t>БС-116085</t>
  </si>
  <si>
    <t>081025</t>
  </si>
  <si>
    <t>конт.</t>
  </si>
  <si>
    <t>БС-116097</t>
  </si>
  <si>
    <t>101025</t>
  </si>
  <si>
    <t>111025</t>
  </si>
  <si>
    <t>121025</t>
  </si>
  <si>
    <t>141025</t>
  </si>
  <si>
    <t>151025</t>
  </si>
  <si>
    <t>VOLVO Р450НК 27</t>
  </si>
  <si>
    <t>Осипов Дмитрий Петрович</t>
  </si>
  <si>
    <t>DAF К298МО45</t>
  </si>
  <si>
    <t>Антонов Евгений Васильевич</t>
  </si>
  <si>
    <t>DAF А032НА45</t>
  </si>
  <si>
    <t>Спец№154 (1-2)</t>
  </si>
  <si>
    <t>Спец№154 (2-2)</t>
  </si>
  <si>
    <t>Клото</t>
  </si>
  <si>
    <t xml:space="preserve">Борисов Дмитрий Сергеевич </t>
  </si>
  <si>
    <t>Mercedes-Benz О515ОУ29</t>
  </si>
  <si>
    <t xml:space="preserve">Голуб Игорь Анатольевич </t>
  </si>
  <si>
    <t>Scania Н 244 УР29</t>
  </si>
  <si>
    <t>Анфалов Сергей  Аркадьевич</t>
  </si>
  <si>
    <t>Кутепов Евгений Александрович</t>
  </si>
  <si>
    <t>DAF Р575МС45</t>
  </si>
  <si>
    <t>Глазырин Виктор Геннадьевич</t>
  </si>
  <si>
    <t>SCANIA М165ТА 159</t>
  </si>
  <si>
    <t>VOLVO У911ОР 48</t>
  </si>
  <si>
    <t xml:space="preserve">Помольцев Александр Викторович </t>
  </si>
  <si>
    <t>Киреев Сергей Владимирович</t>
  </si>
  <si>
    <t>КАМАЗ А815ОТ 193</t>
  </si>
  <si>
    <t>Дудник Кирилл Николаевич</t>
  </si>
  <si>
    <t>Спец№93К(1-6)</t>
  </si>
  <si>
    <t>ОМАС</t>
  </si>
  <si>
    <t>Спец№1</t>
  </si>
  <si>
    <t>Волганефтетранс</t>
  </si>
  <si>
    <t>Саратов</t>
  </si>
  <si>
    <t>Демендеев Руслан Николаевич</t>
  </si>
  <si>
    <t>газель Х 170 ТА 72</t>
  </si>
  <si>
    <t>Спец№93К(2-6)</t>
  </si>
  <si>
    <t>Спец№93К(3-6)</t>
  </si>
  <si>
    <t>Спец№93К(4-6)</t>
  </si>
  <si>
    <t>Спец№93К(5-6)</t>
  </si>
  <si>
    <t>10/2025</t>
  </si>
  <si>
    <t>Спец№93К(6-6)</t>
  </si>
  <si>
    <t>Спец№91К</t>
  </si>
  <si>
    <t>Авто (Клото)</t>
  </si>
  <si>
    <t>Отгружен</t>
  </si>
  <si>
    <t>Ивеко С 669 УК 56</t>
  </si>
  <si>
    <t>Яновский Сергей Александрович</t>
  </si>
  <si>
    <t>авто (АРИАЛ)</t>
  </si>
  <si>
    <t>ДАФ К562УА-32</t>
  </si>
  <si>
    <t>Антошин Андрей Иванович</t>
  </si>
  <si>
    <t>КАМАЗ Х293 РХ 790</t>
  </si>
  <si>
    <t xml:space="preserve">Сабитов Ильдар Энварьевич </t>
  </si>
  <si>
    <t>TKRU3181340</t>
  </si>
  <si>
    <t>TKRU3219907</t>
  </si>
  <si>
    <t>131025</t>
  </si>
  <si>
    <t>Спец№22 (1-2)</t>
  </si>
  <si>
    <t>Спец№22 (2-2)</t>
  </si>
  <si>
    <t>Спец№29</t>
  </si>
  <si>
    <t>Спец№28(1-2)</t>
  </si>
  <si>
    <t>Спец№28(2-2)</t>
  </si>
  <si>
    <t>150825</t>
  </si>
  <si>
    <t>060825</t>
  </si>
  <si>
    <t>070825</t>
  </si>
  <si>
    <t>130825</t>
  </si>
  <si>
    <t>190825</t>
  </si>
  <si>
    <t>RZDU3044980</t>
  </si>
  <si>
    <t>RZDU3029990</t>
  </si>
  <si>
    <t>RZDU0717109</t>
  </si>
  <si>
    <t>231025</t>
  </si>
  <si>
    <t>241025</t>
  </si>
  <si>
    <t>авто(ДЛ)</t>
  </si>
  <si>
    <t>Счет№338</t>
  </si>
  <si>
    <t>БГРП</t>
  </si>
  <si>
    <t>201025</t>
  </si>
  <si>
    <t>Рубцовск</t>
  </si>
  <si>
    <t>FAW Х237СТ154</t>
  </si>
  <si>
    <t>Гумеров Рамиль</t>
  </si>
  <si>
    <t>Пухальский Павел</t>
  </si>
  <si>
    <t>89328606606/89058451070</t>
  </si>
  <si>
    <t>СКАНИЯ Х367УК56</t>
  </si>
  <si>
    <t>Накл. №00250055456</t>
  </si>
  <si>
    <t xml:space="preserve">89273633863/87789283367 </t>
  </si>
  <si>
    <t>DAF У594ВА790</t>
  </si>
  <si>
    <t>89309378814/87476119403</t>
  </si>
  <si>
    <t>Mersedes О119КУ790</t>
  </si>
  <si>
    <t>DAF К008МА29</t>
  </si>
  <si>
    <t>161025/1</t>
  </si>
  <si>
    <t>221025</t>
  </si>
  <si>
    <t>ТАНАТИН ж - 30 кг канистра</t>
  </si>
  <si>
    <t>DAF В426МХ45</t>
  </si>
  <si>
    <t>Ясинский Владимир</t>
  </si>
  <si>
    <t>НПЦ по геологии</t>
  </si>
  <si>
    <t>271025</t>
  </si>
  <si>
    <t>DAF Р783ОР/790</t>
  </si>
  <si>
    <t>Спец№30</t>
  </si>
  <si>
    <t>281025</t>
  </si>
  <si>
    <t>301025</t>
  </si>
  <si>
    <t>311025</t>
  </si>
  <si>
    <t>291025</t>
  </si>
  <si>
    <t>Сафкин Денис</t>
  </si>
  <si>
    <t>Ивеко К209РО702</t>
  </si>
  <si>
    <t>Спец№94К</t>
  </si>
  <si>
    <t>авто(дел. линии)</t>
  </si>
  <si>
    <t>Счет№347</t>
  </si>
  <si>
    <t>Слуцк</t>
  </si>
  <si>
    <t>Накл. №00250057026</t>
  </si>
  <si>
    <t>Напалков Сергей</t>
  </si>
  <si>
    <t>Камаз К033ТУ34</t>
  </si>
  <si>
    <t>89814308537/89315037120</t>
  </si>
  <si>
    <t>Вольво О856УЕ29</t>
  </si>
  <si>
    <t>061125</t>
  </si>
  <si>
    <t>Спец№95К</t>
  </si>
  <si>
    <t>DAF О539ОН29</t>
  </si>
  <si>
    <t>89608185086/1777918885</t>
  </si>
  <si>
    <t>Volvo Т681МР67</t>
  </si>
  <si>
    <t>Спец№96К (1-2)</t>
  </si>
  <si>
    <t>Спец№96К (2-2)</t>
  </si>
  <si>
    <t>071125</t>
  </si>
  <si>
    <t>Вольво М441ВК96</t>
  </si>
  <si>
    <t>Вольво У251МУ72</t>
  </si>
  <si>
    <t>авто(Вельшеда)</t>
  </si>
  <si>
    <t>Хохлев Владимир</t>
  </si>
  <si>
    <t>Мерседес Е283РТ797</t>
  </si>
  <si>
    <t>200925</t>
  </si>
  <si>
    <t>011025</t>
  </si>
  <si>
    <t>141125</t>
  </si>
  <si>
    <t>Спец№24 (1-6)</t>
  </si>
  <si>
    <t>211025</t>
  </si>
  <si>
    <t>Спец№24 (2-6)</t>
  </si>
  <si>
    <t>Спец№24 (3-6)</t>
  </si>
  <si>
    <t>Спец№24 (4-6)</t>
  </si>
  <si>
    <t>201125</t>
  </si>
  <si>
    <t>211125</t>
  </si>
  <si>
    <t xml:space="preserve">Котов Денис </t>
  </si>
  <si>
    <t>Mercedes Р039ВВ250</t>
  </si>
  <si>
    <t xml:space="preserve">Счет №357 </t>
  </si>
  <si>
    <t>Парм-Гинс</t>
  </si>
  <si>
    <t>150625</t>
  </si>
  <si>
    <t>Наклд. №00250060962</t>
  </si>
  <si>
    <t>Спец№35</t>
  </si>
  <si>
    <t>210125</t>
  </si>
  <si>
    <t>Спец№97К(1-9)</t>
  </si>
  <si>
    <t>Спец№97К(2-9)</t>
  </si>
  <si>
    <t>Спец№97К(3-9)</t>
  </si>
  <si>
    <t>Спец№97К(4-9)</t>
  </si>
  <si>
    <t>С956НУ716</t>
  </si>
  <si>
    <t>Галеев Ильгиз</t>
  </si>
  <si>
    <t>271125</t>
  </si>
  <si>
    <t>авто(Коровин)</t>
  </si>
  <si>
    <t>ДАФ У377МХ45</t>
  </si>
  <si>
    <t>281125</t>
  </si>
  <si>
    <t>Mercedes О515ОУ29</t>
  </si>
  <si>
    <t>авто(КЛОТО)</t>
  </si>
  <si>
    <t>DАF Е375АМ198</t>
  </si>
  <si>
    <t>БС-122779</t>
  </si>
  <si>
    <t>ф</t>
  </si>
  <si>
    <t>ТЕРМАВИС РУО - бум 22,7 кг</t>
  </si>
  <si>
    <t>ГАЗ К627МВ763</t>
  </si>
  <si>
    <t>890223544561</t>
  </si>
  <si>
    <t>Вольво Р034СВ29</t>
  </si>
  <si>
    <t>041225</t>
  </si>
  <si>
    <t>051225</t>
  </si>
  <si>
    <t xml:space="preserve">Марков Вячеслав </t>
  </si>
  <si>
    <t>Мерседес Е516СМ174</t>
  </si>
  <si>
    <t>Симдянов Павел</t>
  </si>
  <si>
    <t>021225</t>
  </si>
  <si>
    <t>031225</t>
  </si>
  <si>
    <t>251125</t>
  </si>
  <si>
    <t>Счет№369</t>
  </si>
  <si>
    <t>ДЛ</t>
  </si>
  <si>
    <t>Спец№97К(5-9)</t>
  </si>
  <si>
    <t>020725</t>
  </si>
  <si>
    <t>081225</t>
  </si>
  <si>
    <t>Спец№31(1-4)</t>
  </si>
  <si>
    <t>Спец№31(2-4)</t>
  </si>
  <si>
    <t>Спец№31(3-4)</t>
  </si>
  <si>
    <t>Спец№31(4-4)</t>
  </si>
  <si>
    <t>Спец№97К(6-9)</t>
  </si>
  <si>
    <t>Дудин Андрей</t>
  </si>
  <si>
    <t>РЕНО Н451МС196</t>
  </si>
  <si>
    <t>01/50/14/09/1264 (1)</t>
  </si>
  <si>
    <t>Сургут. Белый Яр</t>
  </si>
  <si>
    <t>VOLVO С 497ОС193</t>
  </si>
  <si>
    <t>№00250063878</t>
  </si>
  <si>
    <t>самовывоз на Рубцовск</t>
  </si>
  <si>
    <t>авто(Рич Трак)</t>
  </si>
  <si>
    <t>01/50/14/09/1264 (2)</t>
  </si>
  <si>
    <t>01/50/14/09/1264 (3)</t>
  </si>
  <si>
    <t>Кононыхин Эдуард</t>
  </si>
  <si>
    <t>Ситрак У190МУ48</t>
  </si>
  <si>
    <t>ФАВ В066ХЕ122</t>
  </si>
  <si>
    <t>Пенский Дмитрий</t>
  </si>
  <si>
    <t>СКАНИЯ Х311КУ55</t>
  </si>
  <si>
    <t>Елпашов Ярослав</t>
  </si>
  <si>
    <t>Вольво М958МВ29</t>
  </si>
  <si>
    <t>Манаков Юрий</t>
  </si>
  <si>
    <t>101225</t>
  </si>
  <si>
    <t xml:space="preserve">Спец№155 </t>
  </si>
  <si>
    <t>БС-121267</t>
  </si>
  <si>
    <t>161225</t>
  </si>
  <si>
    <t>111225</t>
  </si>
  <si>
    <t>EZ BUR DP (Поликап) - бум 25,0 кг</t>
  </si>
  <si>
    <t>Парфенов Василий</t>
  </si>
  <si>
    <t>Ивеко А479ТУ43</t>
  </si>
  <si>
    <t>БС-124217</t>
  </si>
  <si>
    <t>авто (Рич Трак)</t>
  </si>
  <si>
    <t>Соколов Михаил</t>
  </si>
  <si>
    <t>Скания В913ХВ35</t>
  </si>
  <si>
    <t>Спец№98К(1-4)</t>
  </si>
  <si>
    <t>Спец№98К(2-4)</t>
  </si>
  <si>
    <t>01/50/14/09/1264 (4)</t>
  </si>
  <si>
    <t>01/50/14/09/1264 (5)</t>
  </si>
  <si>
    <t>Спец№97К(7-9)</t>
  </si>
  <si>
    <t>Абдрашитов Роберт</t>
  </si>
  <si>
    <t>SHACMAN М274ВЕ702</t>
  </si>
  <si>
    <t>121225</t>
  </si>
  <si>
    <t>RZDU0728417</t>
  </si>
  <si>
    <t>131225</t>
  </si>
  <si>
    <t>131225/1</t>
  </si>
  <si>
    <t>141225</t>
  </si>
  <si>
    <t>Спец№36</t>
  </si>
  <si>
    <t>ПОЛИКАП ж - 30 кг канистра</t>
  </si>
  <si>
    <t>авто(Семенов)</t>
  </si>
  <si>
    <t>Камаз Е999СА29</t>
  </si>
  <si>
    <t>Ильин Андрей</t>
  </si>
  <si>
    <t>Добрыдин Станислав</t>
  </si>
  <si>
    <t>ВОЛЬВО О951РК72</t>
  </si>
  <si>
    <t>01/50/14/09/1264 (6)</t>
  </si>
  <si>
    <t>Спец№97К(8-9)</t>
  </si>
  <si>
    <t>Спец№97К(9-9)</t>
  </si>
  <si>
    <t>01/50/14/09/1264 (7)</t>
  </si>
  <si>
    <t>Садыков Михаил</t>
  </si>
  <si>
    <t>МЕРСЕДЕС У555ВО56</t>
  </si>
  <si>
    <t>01/50/14/09/1264 (8)</t>
  </si>
  <si>
    <t>141225/1</t>
  </si>
  <si>
    <t>Вольво У251МУ73</t>
  </si>
  <si>
    <t>Вольво У251МУ74</t>
  </si>
  <si>
    <t>Вольво У251МУ75</t>
  </si>
  <si>
    <t>Вольво У251МУ76</t>
  </si>
  <si>
    <t>Котляр Владимир</t>
  </si>
  <si>
    <t>MAN В429МУ799</t>
  </si>
  <si>
    <t>Кутузов Роман</t>
  </si>
  <si>
    <t>КАМАЗ Т733РС797</t>
  </si>
  <si>
    <t>181225</t>
  </si>
  <si>
    <t>Краснобаев Сергей</t>
  </si>
  <si>
    <t>SITRAK М326ХЕ33</t>
  </si>
  <si>
    <t>Карпов Сергей</t>
  </si>
  <si>
    <t>СКАНИЯ Р740РВ716</t>
  </si>
  <si>
    <t>01/50/14/09/1264 (9)</t>
  </si>
  <si>
    <t>Рейс Сергей</t>
  </si>
  <si>
    <t>Камаз В956ХХ37</t>
  </si>
  <si>
    <t>171225</t>
  </si>
  <si>
    <t>01/50/14/09/1264 (10)</t>
  </si>
  <si>
    <t>Верещагин Дмитрий</t>
  </si>
  <si>
    <t>89З79941567</t>
  </si>
  <si>
    <t xml:space="preserve">Демидов Юрий </t>
  </si>
  <si>
    <t>Скания C800CУ59</t>
  </si>
  <si>
    <t>Бураков Василий</t>
  </si>
  <si>
    <t>SITRAK  А510НМ155</t>
  </si>
  <si>
    <t>191225</t>
  </si>
  <si>
    <t>211225</t>
  </si>
  <si>
    <t>Зигангиров Айрат</t>
  </si>
  <si>
    <t>Beiben У158МС716</t>
  </si>
  <si>
    <t>Scania Т372МТ116</t>
  </si>
  <si>
    <t>Панин Артем</t>
  </si>
  <si>
    <t>СИТРАК У212МХ48</t>
  </si>
  <si>
    <t xml:space="preserve">Даф Х901КС72 </t>
  </si>
  <si>
    <t>261225</t>
  </si>
  <si>
    <t>ИГС</t>
  </si>
  <si>
    <t>Тарко-Сале</t>
  </si>
  <si>
    <t>самовыво СДЭК</t>
  </si>
  <si>
    <t>Счет №144</t>
  </si>
  <si>
    <t>ЦИНКО-ТРЕЙД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</si>
</sst>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19]mmmm\ yyyy;@"/>
    <numFmt numFmtId="166" formatCode="0.000"/>
  </numFmts>
  <fonts count="1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6"/>
      <color theme="1"/>
      <name val="Calibri"/>
      <family val="2"/>
      <scheme val="minor"/>
    </font>
    <font>
      <b/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scheme val="minor"/>
    </font>
    <font>
      <sz val="6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sz val="11"/>
      <color theme="1"/>
      <name val="Times"/>
      <family val="1"/>
    </font>
    <font>
      <b/>
      <sz val="11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8E4EC"/>
        <bgColor indexed="64"/>
      </patternFill>
    </fill>
    <fill>
      <patternFill patternType="solid">
        <fgColor rgb="FFE89AD9"/>
        <bgColor indexed="64"/>
      </patternFill>
    </fill>
    <fill>
      <patternFill patternType="solid">
        <fgColor rgb="FFA2D2F2"/>
        <bgColor indexed="64"/>
      </patternFill>
    </fill>
    <fill>
      <patternFill patternType="solid">
        <fgColor rgb="FFBDF7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35B4B"/>
        <bgColor indexed="64"/>
      </patternFill>
    </fill>
    <fill>
      <patternFill patternType="solid">
        <fgColor rgb="FFF0904E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4">
    <xf numFmtId="0" fontId="0" fillId="0" borderId="0" xfId="0"/>
    <xf numFmtId="0" fontId="103" fillId="9" borderId="7" xfId="0" applyFont="1" applyFill="1" applyBorder="1" applyAlignment="1">
      <alignment wrapText="1"/>
    </xf>
    <xf numFmtId="0" fontId="102" fillId="9" borderId="7" xfId="0" applyFont="1" applyFill="1" applyBorder="1" applyAlignment="1">
      <alignment wrapText="1"/>
    </xf>
    <xf numFmtId="0" fontId="102" fillId="9" borderId="5" xfId="0" applyFont="1" applyFill="1" applyBorder="1" applyAlignment="1">
      <alignment wrapText="1"/>
    </xf>
    <xf numFmtId="0" fontId="0" fillId="11" borderId="1" xfId="0" applyFill="1" applyBorder="1" applyAlignment="1">
      <alignment horizontal="center"/>
    </xf>
    <xf numFmtId="0" fontId="99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98" fillId="11" borderId="1" xfId="0" applyFont="1" applyFill="1" applyBorder="1" applyAlignment="1">
      <alignment horizontal="center" vertical="center"/>
    </xf>
    <xf numFmtId="0" fontId="97" fillId="11" borderId="1" xfId="0" applyFont="1" applyFill="1" applyBorder="1" applyAlignment="1">
      <alignment horizontal="center" vertical="center"/>
    </xf>
    <xf numFmtId="3" fontId="0" fillId="11" borderId="1" xfId="0" applyNumberFormat="1" applyFill="1" applyBorder="1" applyAlignment="1">
      <alignment horizontal="center" vertical="center"/>
    </xf>
    <xf numFmtId="0" fontId="106" fillId="11" borderId="1" xfId="0" applyFont="1" applyFill="1" applyBorder="1" applyAlignment="1">
      <alignment horizontal="center" vertical="center"/>
    </xf>
    <xf numFmtId="0" fontId="96" fillId="11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95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6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107" fillId="11" borderId="1" xfId="0" applyFont="1" applyFill="1" applyBorder="1" applyAlignment="1">
      <alignment horizontal="center" vertical="center"/>
    </xf>
    <xf numFmtId="1" fontId="106" fillId="15" borderId="13" xfId="0" applyNumberFormat="1" applyFont="1" applyFill="1" applyBorder="1" applyAlignment="1">
      <alignment horizontal="center" shrinkToFit="1"/>
    </xf>
    <xf numFmtId="1" fontId="109" fillId="9" borderId="14" xfId="0" applyNumberFormat="1" applyFont="1" applyFill="1" applyBorder="1" applyAlignment="1">
      <alignment horizontal="center" shrinkToFit="1"/>
    </xf>
    <xf numFmtId="14" fontId="110" fillId="0" borderId="0" xfId="0" applyNumberFormat="1" applyFont="1"/>
    <xf numFmtId="0" fontId="110" fillId="0" borderId="0" xfId="0" applyFont="1"/>
    <xf numFmtId="164" fontId="111" fillId="15" borderId="12" xfId="0" applyNumberFormat="1" applyFont="1" applyFill="1" applyBorder="1" applyAlignment="1">
      <alignment horizontal="center"/>
    </xf>
    <xf numFmtId="164" fontId="111" fillId="15" borderId="16" xfId="0" applyNumberFormat="1" applyFont="1" applyFill="1" applyBorder="1" applyAlignment="1">
      <alignment horizontal="center"/>
    </xf>
    <xf numFmtId="1" fontId="105" fillId="9" borderId="16" xfId="0" applyNumberFormat="1" applyFont="1" applyFill="1" applyBorder="1" applyAlignment="1">
      <alignment horizontal="center" shrinkToFit="1"/>
    </xf>
    <xf numFmtId="1" fontId="105" fillId="9" borderId="21" xfId="0" applyNumberFormat="1" applyFont="1" applyFill="1" applyBorder="1" applyAlignment="1">
      <alignment horizontal="center" shrinkToFit="1"/>
    </xf>
    <xf numFmtId="0" fontId="112" fillId="16" borderId="17" xfId="0" applyFont="1" applyFill="1" applyBorder="1" applyAlignment="1">
      <alignment horizontal="center" vertical="center" wrapText="1"/>
    </xf>
    <xf numFmtId="164" fontId="112" fillId="16" borderId="16" xfId="0" applyNumberFormat="1" applyFont="1" applyFill="1" applyBorder="1" applyAlignment="1">
      <alignment horizontal="center"/>
    </xf>
    <xf numFmtId="0" fontId="112" fillId="16" borderId="15" xfId="0" applyFont="1" applyFill="1" applyBorder="1" applyAlignment="1">
      <alignment horizontal="center" vertical="center" wrapText="1"/>
    </xf>
    <xf numFmtId="0" fontId="113" fillId="16" borderId="15" xfId="0" applyFont="1" applyFill="1" applyBorder="1" applyAlignment="1">
      <alignment horizontal="center" vertical="center" wrapText="1"/>
    </xf>
    <xf numFmtId="164" fontId="112" fillId="16" borderId="19" xfId="0" applyNumberFormat="1" applyFont="1" applyFill="1" applyBorder="1" applyAlignment="1">
      <alignment horizontal="center"/>
    </xf>
    <xf numFmtId="0" fontId="112" fillId="16" borderId="16" xfId="0" applyFont="1" applyFill="1" applyBorder="1" applyAlignment="1">
      <alignment horizontal="center" vertical="center" wrapText="1"/>
    </xf>
    <xf numFmtId="0" fontId="112" fillId="16" borderId="20" xfId="0" applyFont="1" applyFill="1" applyBorder="1" applyAlignment="1">
      <alignment horizontal="center" vertical="center" wrapText="1"/>
    </xf>
    <xf numFmtId="0" fontId="113" fillId="15" borderId="12" xfId="0" applyFont="1" applyFill="1" applyBorder="1" applyAlignment="1">
      <alignment horizontal="center" vertical="center" wrapText="1"/>
    </xf>
    <xf numFmtId="0" fontId="113" fillId="15" borderId="15" xfId="0" applyFont="1" applyFill="1" applyBorder="1" applyAlignment="1">
      <alignment horizontal="center" vertical="center" wrapText="1"/>
    </xf>
    <xf numFmtId="0" fontId="113" fillId="15" borderId="16" xfId="0" applyFont="1" applyFill="1" applyBorder="1" applyAlignment="1">
      <alignment horizontal="center" vertical="center" wrapText="1"/>
    </xf>
    <xf numFmtId="1" fontId="0" fillId="0" borderId="0" xfId="0" applyNumberFormat="1"/>
    <xf numFmtId="0" fontId="112" fillId="16" borderId="22" xfId="0" applyFont="1" applyFill="1" applyBorder="1" applyAlignment="1">
      <alignment horizontal="center" vertical="center" wrapText="1"/>
    </xf>
    <xf numFmtId="164" fontId="112" fillId="16" borderId="12" xfId="0" applyNumberFormat="1" applyFont="1" applyFill="1" applyBorder="1" applyAlignment="1">
      <alignment horizontal="center"/>
    </xf>
    <xf numFmtId="1" fontId="106" fillId="15" borderId="23" xfId="0" applyNumberFormat="1" applyFont="1" applyFill="1" applyBorder="1" applyAlignment="1">
      <alignment horizontal="center" shrinkToFit="1"/>
    </xf>
    <xf numFmtId="1" fontId="105" fillId="9" borderId="12" xfId="0" applyNumberFormat="1" applyFont="1" applyFill="1" applyBorder="1" applyAlignment="1">
      <alignment horizontal="center" shrinkToFit="1"/>
    </xf>
    <xf numFmtId="0" fontId="112" fillId="16" borderId="24" xfId="0" applyFont="1" applyFill="1" applyBorder="1" applyAlignment="1">
      <alignment horizontal="center" vertical="center" wrapText="1"/>
    </xf>
    <xf numFmtId="164" fontId="112" fillId="16" borderId="21" xfId="0" applyNumberFormat="1" applyFont="1" applyFill="1" applyBorder="1" applyAlignment="1">
      <alignment horizontal="center"/>
    </xf>
    <xf numFmtId="0" fontId="108" fillId="9" borderId="25" xfId="0" applyFont="1" applyFill="1" applyBorder="1" applyAlignment="1">
      <alignment horizontal="center" vertical="center"/>
    </xf>
    <xf numFmtId="0" fontId="108" fillId="9" borderId="18" xfId="0" applyFont="1" applyFill="1" applyBorder="1" applyAlignment="1">
      <alignment horizontal="center" vertical="center"/>
    </xf>
    <xf numFmtId="0" fontId="108" fillId="14" borderId="18" xfId="0" applyFont="1" applyFill="1" applyBorder="1" applyAlignment="1">
      <alignment horizontal="center" vertical="center"/>
    </xf>
    <xf numFmtId="0" fontId="108" fillId="14" borderId="25" xfId="0" applyFont="1" applyFill="1" applyBorder="1" applyAlignment="1">
      <alignment horizontal="center" vertical="center"/>
    </xf>
    <xf numFmtId="1" fontId="109" fillId="9" borderId="12" xfId="0" applyNumberFormat="1" applyFont="1" applyFill="1" applyBorder="1" applyAlignment="1">
      <alignment horizontal="center" shrinkToFit="1"/>
    </xf>
    <xf numFmtId="0" fontId="113" fillId="15" borderId="24" xfId="0" applyFont="1" applyFill="1" applyBorder="1" applyAlignment="1">
      <alignment horizontal="center" vertical="center" wrapText="1"/>
    </xf>
    <xf numFmtId="164" fontId="111" fillId="15" borderId="21" xfId="0" applyNumberFormat="1" applyFont="1" applyFill="1" applyBorder="1" applyAlignment="1">
      <alignment horizontal="center"/>
    </xf>
    <xf numFmtId="1" fontId="106" fillId="15" borderId="26" xfId="0" applyNumberFormat="1" applyFont="1" applyFill="1" applyBorder="1" applyAlignment="1">
      <alignment horizontal="center" shrinkToFit="1"/>
    </xf>
    <xf numFmtId="1" fontId="109" fillId="9" borderId="27" xfId="0" applyNumberFormat="1" applyFont="1" applyFill="1" applyBorder="1" applyAlignment="1">
      <alignment horizontal="center" shrinkToFit="1"/>
    </xf>
    <xf numFmtId="0" fontId="0" fillId="11" borderId="1" xfId="0" applyFill="1" applyBorder="1"/>
    <xf numFmtId="0" fontId="102" fillId="9" borderId="28" xfId="0" applyFont="1" applyFill="1" applyBorder="1" applyAlignment="1">
      <alignment wrapText="1"/>
    </xf>
    <xf numFmtId="14" fontId="0" fillId="11" borderId="1" xfId="0" applyNumberFormat="1" applyFill="1" applyBorder="1" applyAlignment="1">
      <alignment horizontal="center" vertical="center"/>
    </xf>
    <xf numFmtId="49" fontId="0" fillId="11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101" fillId="17" borderId="0" xfId="0" applyFont="1" applyFill="1" applyBorder="1" applyAlignment="1">
      <alignment horizontal="center"/>
    </xf>
    <xf numFmtId="0" fontId="0" fillId="17" borderId="0" xfId="0" applyFill="1"/>
    <xf numFmtId="0" fontId="101" fillId="17" borderId="0" xfId="0" applyFont="1" applyFill="1" applyBorder="1" applyAlignment="1"/>
    <xf numFmtId="3" fontId="0" fillId="11" borderId="1" xfId="0" applyNumberFormat="1" applyFill="1" applyBorder="1"/>
    <xf numFmtId="0" fontId="0" fillId="11" borderId="1" xfId="0" applyFill="1" applyBorder="1" applyAlignment="1">
      <alignment horizontal="left"/>
    </xf>
    <xf numFmtId="0" fontId="0" fillId="11" borderId="0" xfId="0" applyFill="1"/>
    <xf numFmtId="0" fontId="0" fillId="15" borderId="0" xfId="0" applyFill="1"/>
    <xf numFmtId="0" fontId="0" fillId="11" borderId="1" xfId="0" applyFill="1" applyBorder="1" applyAlignment="1">
      <alignment horizontal="center" vertical="center"/>
    </xf>
    <xf numFmtId="165" fontId="101" fillId="9" borderId="0" xfId="0" applyNumberFormat="1" applyFont="1" applyFill="1" applyBorder="1" applyAlignment="1">
      <alignment horizontal="center"/>
    </xf>
    <xf numFmtId="14" fontId="100" fillId="0" borderId="0" xfId="0" applyNumberFormat="1" applyFont="1" applyAlignment="1">
      <alignment horizontal="center"/>
    </xf>
    <xf numFmtId="0" fontId="100" fillId="0" borderId="0" xfId="0" applyFont="1"/>
    <xf numFmtId="14" fontId="116" fillId="0" borderId="0" xfId="0" applyNumberFormat="1" applyFont="1"/>
    <xf numFmtId="0" fontId="116" fillId="0" borderId="0" xfId="0" applyFont="1"/>
    <xf numFmtId="0" fontId="100" fillId="0" borderId="0" xfId="0" applyFont="1" applyAlignment="1">
      <alignment horizontal="center"/>
    </xf>
    <xf numFmtId="0" fontId="108" fillId="11" borderId="30" xfId="0" applyFont="1" applyFill="1" applyBorder="1" applyAlignment="1">
      <alignment horizontal="center" vertical="center"/>
    </xf>
    <xf numFmtId="0" fontId="108" fillId="11" borderId="18" xfId="0" applyFont="1" applyFill="1" applyBorder="1" applyAlignment="1">
      <alignment horizontal="center" vertical="center"/>
    </xf>
    <xf numFmtId="0" fontId="111" fillId="8" borderId="12" xfId="0" applyFont="1" applyFill="1" applyBorder="1" applyAlignment="1">
      <alignment horizontal="left" vertical="center" wrapText="1"/>
    </xf>
    <xf numFmtId="2" fontId="111" fillId="8" borderId="12" xfId="0" applyNumberFormat="1" applyFont="1" applyFill="1" applyBorder="1" applyAlignment="1">
      <alignment horizontal="center"/>
    </xf>
    <xf numFmtId="1" fontId="106" fillId="8" borderId="10" xfId="0" applyNumberFormat="1" applyFont="1" applyFill="1" applyBorder="1" applyAlignment="1">
      <alignment horizontal="center" shrinkToFit="1"/>
    </xf>
    <xf numFmtId="0" fontId="111" fillId="8" borderId="15" xfId="0" applyFont="1" applyFill="1" applyBorder="1" applyAlignment="1">
      <alignment horizontal="left" vertical="center" wrapText="1"/>
    </xf>
    <xf numFmtId="164" fontId="111" fillId="8" borderId="16" xfId="0" applyNumberFormat="1" applyFont="1" applyFill="1" applyBorder="1" applyAlignment="1">
      <alignment horizontal="center"/>
    </xf>
    <xf numFmtId="0" fontId="111" fillId="8" borderId="16" xfId="0" applyFont="1" applyFill="1" applyBorder="1" applyAlignment="1">
      <alignment horizontal="left" vertical="center" wrapText="1"/>
    </xf>
    <xf numFmtId="0" fontId="111" fillId="8" borderId="20" xfId="0" applyFont="1" applyFill="1" applyBorder="1" applyAlignment="1">
      <alignment horizontal="left" vertical="center" wrapText="1"/>
    </xf>
    <xf numFmtId="164" fontId="111" fillId="8" borderId="19" xfId="0" applyNumberFormat="1" applyFont="1" applyFill="1" applyBorder="1" applyAlignment="1">
      <alignment horizontal="center"/>
    </xf>
    <xf numFmtId="1" fontId="109" fillId="9" borderId="19" xfId="0" applyNumberFormat="1" applyFont="1" applyFill="1" applyBorder="1" applyAlignment="1">
      <alignment horizontal="center" shrinkToFit="1"/>
    </xf>
    <xf numFmtId="164" fontId="117" fillId="7" borderId="16" xfId="0" applyNumberFormat="1" applyFont="1" applyFill="1" applyBorder="1" applyAlignment="1">
      <alignment horizontal="center"/>
    </xf>
    <xf numFmtId="0" fontId="117" fillId="7" borderId="15" xfId="0" applyFont="1" applyFill="1" applyBorder="1" applyAlignment="1">
      <alignment horizontal="left" vertical="center" wrapText="1"/>
    </xf>
    <xf numFmtId="2" fontId="117" fillId="7" borderId="16" xfId="0" applyNumberFormat="1" applyFont="1" applyFill="1" applyBorder="1" applyAlignment="1">
      <alignment horizontal="center"/>
    </xf>
    <xf numFmtId="164" fontId="117" fillId="7" borderId="19" xfId="0" applyNumberFormat="1" applyFont="1" applyFill="1" applyBorder="1" applyAlignment="1">
      <alignment horizontal="center"/>
    </xf>
    <xf numFmtId="0" fontId="117" fillId="7" borderId="16" xfId="0" applyFont="1" applyFill="1" applyBorder="1" applyAlignment="1">
      <alignment horizontal="left" vertical="center" wrapText="1"/>
    </xf>
    <xf numFmtId="0" fontId="117" fillId="7" borderId="20" xfId="0" applyFont="1" applyFill="1" applyBorder="1" applyAlignment="1">
      <alignment horizontal="left" vertical="center" wrapText="1"/>
    </xf>
    <xf numFmtId="0" fontId="117" fillId="7" borderId="31" xfId="0" applyFont="1" applyFill="1" applyBorder="1" applyAlignment="1">
      <alignment horizontal="left" vertical="center" wrapText="1"/>
    </xf>
    <xf numFmtId="164" fontId="117" fillId="7" borderId="32" xfId="0" applyNumberFormat="1" applyFont="1" applyFill="1" applyBorder="1" applyAlignment="1">
      <alignment horizontal="center"/>
    </xf>
    <xf numFmtId="164" fontId="117" fillId="7" borderId="21" xfId="0" applyNumberFormat="1" applyFont="1" applyFill="1" applyBorder="1" applyAlignment="1">
      <alignment horizontal="center"/>
    </xf>
    <xf numFmtId="0" fontId="115" fillId="11" borderId="1" xfId="0" applyFont="1" applyFill="1" applyBorder="1" applyAlignment="1">
      <alignment horizontal="center"/>
    </xf>
    <xf numFmtId="0" fontId="115" fillId="11" borderId="1" xfId="0" applyFont="1" applyFill="1" applyBorder="1" applyAlignment="1">
      <alignment horizontal="center" vertical="center"/>
    </xf>
    <xf numFmtId="3" fontId="0" fillId="11" borderId="8" xfId="0" applyNumberFormat="1" applyFill="1" applyBorder="1"/>
    <xf numFmtId="0" fontId="0" fillId="0" borderId="1" xfId="0" applyBorder="1"/>
    <xf numFmtId="2" fontId="111" fillId="8" borderId="16" xfId="0" applyNumberFormat="1" applyFont="1" applyFill="1" applyBorder="1" applyAlignment="1">
      <alignment horizontal="center"/>
    </xf>
    <xf numFmtId="0" fontId="0" fillId="11" borderId="0" xfId="0" applyFill="1" applyBorder="1" applyAlignment="1">
      <alignment horizontal="center" vertical="center"/>
    </xf>
    <xf numFmtId="0" fontId="0" fillId="11" borderId="1" xfId="0" applyFill="1" applyBorder="1" applyAlignment="1"/>
    <xf numFmtId="0" fontId="0" fillId="11" borderId="1" xfId="0" applyFill="1" applyBorder="1" applyAlignment="1">
      <alignment horizontal="left" vertical="center"/>
    </xf>
    <xf numFmtId="166" fontId="102" fillId="9" borderId="1" xfId="0" applyNumberFormat="1" applyFont="1" applyFill="1" applyBorder="1" applyAlignment="1">
      <alignment wrapText="1"/>
    </xf>
    <xf numFmtId="166" fontId="102" fillId="9" borderId="2" xfId="0" applyNumberFormat="1" applyFont="1" applyFill="1" applyBorder="1" applyAlignment="1">
      <alignment wrapText="1"/>
    </xf>
    <xf numFmtId="166" fontId="103" fillId="9" borderId="1" xfId="0" applyNumberFormat="1" applyFont="1" applyFill="1" applyBorder="1" applyAlignment="1">
      <alignment wrapText="1"/>
    </xf>
    <xf numFmtId="166" fontId="102" fillId="9" borderId="1" xfId="0" applyNumberFormat="1" applyFont="1" applyFill="1" applyBorder="1"/>
    <xf numFmtId="166" fontId="102" fillId="9" borderId="4" xfId="0" applyNumberFormat="1" applyFont="1" applyFill="1" applyBorder="1" applyAlignment="1">
      <alignment wrapText="1"/>
    </xf>
    <xf numFmtId="0" fontId="0" fillId="11" borderId="1" xfId="0" applyNumberFormat="1" applyFill="1" applyBorder="1" applyAlignment="1">
      <alignment horizontal="left"/>
    </xf>
    <xf numFmtId="0" fontId="101" fillId="17" borderId="0" xfId="0" applyFont="1" applyFill="1" applyBorder="1" applyAlignment="1">
      <alignment horizontal="left"/>
    </xf>
    <xf numFmtId="0" fontId="100" fillId="5" borderId="8" xfId="0" applyFont="1" applyFill="1" applyBorder="1" applyAlignment="1">
      <alignment horizontal="left" vertical="center"/>
    </xf>
    <xf numFmtId="0" fontId="0" fillId="11" borderId="1" xfId="0" applyNumberFormat="1" applyFill="1" applyBorder="1" applyAlignment="1">
      <alignment horizontal="left" vertical="top"/>
    </xf>
    <xf numFmtId="0" fontId="101" fillId="17" borderId="0" xfId="0" applyFont="1" applyFill="1" applyBorder="1" applyAlignment="1">
      <alignment horizontal="center" vertical="center"/>
    </xf>
    <xf numFmtId="0" fontId="104" fillId="9" borderId="6" xfId="0" applyFont="1" applyFill="1" applyBorder="1" applyAlignment="1">
      <alignment horizontal="center" vertical="center" wrapText="1"/>
    </xf>
    <xf numFmtId="0" fontId="0" fillId="9" borderId="6" xfId="0" applyFont="1" applyFill="1" applyBorder="1" applyAlignment="1">
      <alignment horizontal="center" vertical="center" wrapText="1"/>
    </xf>
    <xf numFmtId="0" fontId="0" fillId="9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8" fillId="0" borderId="0" xfId="0" applyFont="1" applyAlignment="1">
      <alignment horizontal="center"/>
    </xf>
    <xf numFmtId="0" fontId="114" fillId="0" borderId="0" xfId="0" applyFont="1"/>
    <xf numFmtId="0" fontId="114" fillId="0" borderId="1" xfId="0" applyFont="1" applyBorder="1" applyAlignment="1">
      <alignment horizontal="left" vertical="center" wrapText="1"/>
    </xf>
    <xf numFmtId="0" fontId="114" fillId="0" borderId="0" xfId="0" applyFont="1" applyAlignment="1">
      <alignment horizontal="left"/>
    </xf>
    <xf numFmtId="0" fontId="114" fillId="0" borderId="1" xfId="0" applyFont="1" applyBorder="1"/>
    <xf numFmtId="0" fontId="114" fillId="0" borderId="1" xfId="0" applyFont="1" applyFill="1" applyBorder="1"/>
    <xf numFmtId="0" fontId="114" fillId="0" borderId="1" xfId="0" applyFont="1" applyBorder="1" applyAlignment="1">
      <alignment vertical="top" wrapText="1"/>
    </xf>
    <xf numFmtId="0" fontId="105" fillId="0" borderId="0" xfId="0" applyFont="1" applyBorder="1" applyAlignment="1">
      <alignment horizontal="center" vertical="center" wrapText="1"/>
    </xf>
    <xf numFmtId="0" fontId="114" fillId="0" borderId="1" xfId="0" applyFont="1" applyBorder="1" applyAlignment="1">
      <alignment vertical="top"/>
    </xf>
    <xf numFmtId="0" fontId="0" fillId="0" borderId="0" xfId="0" applyBorder="1" applyAlignment="1">
      <alignment horizontal="center"/>
    </xf>
    <xf numFmtId="0" fontId="114" fillId="0" borderId="1" xfId="0" applyFont="1" applyFill="1" applyBorder="1" applyAlignment="1">
      <alignment horizontal="left"/>
    </xf>
    <xf numFmtId="0" fontId="111" fillId="13" borderId="20" xfId="0" applyFont="1" applyFill="1" applyBorder="1" applyAlignment="1">
      <alignment horizontal="left" vertical="center" wrapText="1"/>
    </xf>
    <xf numFmtId="164" fontId="111" fillId="13" borderId="16" xfId="0" applyNumberFormat="1" applyFont="1" applyFill="1" applyBorder="1" applyAlignment="1">
      <alignment horizontal="center"/>
    </xf>
    <xf numFmtId="0" fontId="111" fillId="13" borderId="15" xfId="0" applyFont="1" applyFill="1" applyBorder="1" applyAlignment="1">
      <alignment horizontal="left" vertical="center" wrapText="1"/>
    </xf>
    <xf numFmtId="0" fontId="111" fillId="13" borderId="17" xfId="0" applyFont="1" applyFill="1" applyBorder="1" applyAlignment="1">
      <alignment horizontal="left" vertical="center" wrapText="1"/>
    </xf>
    <xf numFmtId="0" fontId="117" fillId="13" borderId="17" xfId="0" applyFont="1" applyFill="1" applyBorder="1" applyAlignment="1">
      <alignment horizontal="left" vertical="center" wrapText="1"/>
    </xf>
    <xf numFmtId="164" fontId="117" fillId="13" borderId="16" xfId="0" applyNumberFormat="1" applyFont="1" applyFill="1" applyBorder="1" applyAlignment="1">
      <alignment horizontal="center"/>
    </xf>
    <xf numFmtId="0" fontId="117" fillId="13" borderId="15" xfId="0" applyFont="1" applyFill="1" applyBorder="1" applyAlignment="1">
      <alignment horizontal="left" vertical="center" wrapText="1"/>
    </xf>
    <xf numFmtId="164" fontId="117" fillId="13" borderId="19" xfId="0" applyNumberFormat="1" applyFont="1" applyFill="1" applyBorder="1" applyAlignment="1">
      <alignment horizontal="center"/>
    </xf>
    <xf numFmtId="2" fontId="111" fillId="13" borderId="16" xfId="0" applyNumberFormat="1" applyFont="1" applyFill="1" applyBorder="1" applyAlignment="1">
      <alignment horizontal="center"/>
    </xf>
    <xf numFmtId="2" fontId="117" fillId="13" borderId="16" xfId="0" applyNumberFormat="1" applyFont="1" applyFill="1" applyBorder="1" applyAlignment="1">
      <alignment horizontal="center"/>
    </xf>
    <xf numFmtId="0" fontId="117" fillId="13" borderId="20" xfId="0" applyFont="1" applyFill="1" applyBorder="1" applyAlignment="1">
      <alignment horizontal="left" vertical="center" wrapText="1"/>
    </xf>
    <xf numFmtId="0" fontId="117" fillId="13" borderId="16" xfId="0" applyFont="1" applyFill="1" applyBorder="1" applyAlignment="1">
      <alignment horizontal="left" vertical="center" wrapText="1"/>
    </xf>
    <xf numFmtId="2" fontId="117" fillId="13" borderId="19" xfId="0" applyNumberFormat="1" applyFont="1" applyFill="1" applyBorder="1" applyAlignment="1">
      <alignment horizontal="center"/>
    </xf>
    <xf numFmtId="0" fontId="0" fillId="14" borderId="0" xfId="0" applyFill="1"/>
    <xf numFmtId="14" fontId="100" fillId="11" borderId="1" xfId="0" applyNumberFormat="1" applyFont="1" applyFill="1" applyBorder="1" applyAlignment="1">
      <alignment horizontal="left" vertical="center"/>
    </xf>
    <xf numFmtId="0" fontId="100" fillId="0" borderId="0" xfId="0" applyFont="1" applyAlignment="1">
      <alignment horizontal="left"/>
    </xf>
    <xf numFmtId="0" fontId="0" fillId="14" borderId="29" xfId="0" applyFill="1" applyBorder="1" applyAlignment="1">
      <alignment horizontal="center" wrapText="1"/>
    </xf>
    <xf numFmtId="0" fontId="0" fillId="14" borderId="1" xfId="0" applyFill="1" applyBorder="1" applyAlignment="1">
      <alignment horizontal="center" vertical="center"/>
    </xf>
    <xf numFmtId="0" fontId="115" fillId="14" borderId="1" xfId="0" applyFont="1" applyFill="1" applyBorder="1" applyAlignment="1">
      <alignment horizontal="center" vertical="center"/>
    </xf>
    <xf numFmtId="49" fontId="0" fillId="14" borderId="1" xfId="0" applyNumberFormat="1" applyFill="1" applyBorder="1" applyAlignment="1">
      <alignment horizontal="center"/>
    </xf>
    <xf numFmtId="0" fontId="115" fillId="14" borderId="1" xfId="0" applyFont="1" applyFill="1" applyBorder="1" applyAlignment="1">
      <alignment horizontal="center"/>
    </xf>
    <xf numFmtId="14" fontId="0" fillId="14" borderId="1" xfId="0" applyNumberFormat="1" applyFill="1" applyBorder="1" applyAlignment="1">
      <alignment horizontal="center" vertical="center"/>
    </xf>
    <xf numFmtId="0" fontId="0" fillId="14" borderId="1" xfId="0" applyFill="1" applyBorder="1" applyAlignment="1"/>
    <xf numFmtId="0" fontId="0" fillId="14" borderId="1" xfId="0" applyNumberFormat="1" applyFill="1" applyBorder="1" applyAlignment="1">
      <alignment horizontal="left" vertical="top"/>
    </xf>
    <xf numFmtId="0" fontId="100" fillId="7" borderId="9" xfId="0" applyFont="1" applyFill="1" applyBorder="1" applyAlignment="1">
      <alignment horizontal="center" vertical="center"/>
    </xf>
    <xf numFmtId="0" fontId="100" fillId="5" borderId="33" xfId="0" applyFont="1" applyFill="1" applyBorder="1" applyAlignment="1">
      <alignment horizontal="left" vertical="center"/>
    </xf>
    <xf numFmtId="0" fontId="100" fillId="13" borderId="9" xfId="0" applyFont="1" applyFill="1" applyBorder="1" applyAlignment="1">
      <alignment horizontal="center" vertical="center"/>
    </xf>
    <xf numFmtId="0" fontId="100" fillId="13" borderId="9" xfId="0" applyFont="1" applyFill="1" applyBorder="1"/>
    <xf numFmtId="0" fontId="0" fillId="18" borderId="9" xfId="0" applyFill="1" applyBorder="1"/>
    <xf numFmtId="0" fontId="102" fillId="0" borderId="0" xfId="0" applyFont="1"/>
    <xf numFmtId="0" fontId="100" fillId="14" borderId="33" xfId="0" applyFont="1" applyFill="1" applyBorder="1" applyAlignment="1">
      <alignment horizontal="left" vertical="center"/>
    </xf>
    <xf numFmtId="0" fontId="100" fillId="14" borderId="9" xfId="0" applyFont="1" applyFill="1" applyBorder="1" applyAlignment="1">
      <alignment horizontal="center" vertical="center"/>
    </xf>
    <xf numFmtId="0" fontId="100" fillId="14" borderId="9" xfId="0" applyFont="1" applyFill="1" applyBorder="1"/>
    <xf numFmtId="0" fontId="0" fillId="14" borderId="9" xfId="0" applyFill="1" applyBorder="1"/>
    <xf numFmtId="0" fontId="0" fillId="9" borderId="2" xfId="0" applyFont="1" applyFill="1" applyBorder="1" applyAlignment="1">
      <alignment horizontal="center" vertical="center" wrapText="1"/>
    </xf>
    <xf numFmtId="3" fontId="0" fillId="0" borderId="2" xfId="0" applyNumberFormat="1" applyBorder="1"/>
    <xf numFmtId="0" fontId="100" fillId="2" borderId="9" xfId="0" applyFont="1" applyFill="1" applyBorder="1" applyAlignment="1">
      <alignment horizontal="center" vertical="center"/>
    </xf>
    <xf numFmtId="14" fontId="100" fillId="11" borderId="9" xfId="0" applyNumberFormat="1" applyFont="1" applyFill="1" applyBorder="1" applyAlignment="1">
      <alignment horizontal="left" vertical="center"/>
    </xf>
    <xf numFmtId="14" fontId="100" fillId="20" borderId="9" xfId="0" applyNumberFormat="1" applyFont="1" applyFill="1" applyBorder="1" applyAlignment="1">
      <alignment horizontal="left" vertical="center"/>
    </xf>
    <xf numFmtId="0" fontId="0" fillId="11" borderId="1" xfId="0" applyNumberFormat="1" applyFill="1" applyBorder="1" applyAlignment="1">
      <alignment horizontal="left" vertical="top" wrapText="1"/>
    </xf>
    <xf numFmtId="0" fontId="0" fillId="11" borderId="1" xfId="0" applyFill="1" applyBorder="1" applyAlignment="1">
      <alignment wrapText="1"/>
    </xf>
    <xf numFmtId="0" fontId="0" fillId="11" borderId="1" xfId="0" applyFill="1" applyBorder="1" applyAlignment="1">
      <alignment horizontal="left" vertical="top"/>
    </xf>
    <xf numFmtId="49" fontId="0" fillId="9" borderId="1" xfId="0" applyNumberFormat="1" applyFill="1" applyBorder="1" applyAlignment="1">
      <alignment horizontal="center"/>
    </xf>
    <xf numFmtId="0" fontId="0" fillId="19" borderId="1" xfId="0" applyFill="1" applyBorder="1"/>
    <xf numFmtId="0" fontId="105" fillId="11" borderId="1" xfId="0" applyFont="1" applyFill="1" applyBorder="1"/>
    <xf numFmtId="0" fontId="93" fillId="11" borderId="1" xfId="0" applyFont="1" applyFill="1" applyBorder="1" applyAlignment="1"/>
    <xf numFmtId="0" fontId="0" fillId="11" borderId="1" xfId="0" applyFont="1" applyFill="1" applyBorder="1" applyAlignment="1">
      <alignment horizontal="center" vertical="center"/>
    </xf>
    <xf numFmtId="14" fontId="100" fillId="20" borderId="1" xfId="0" applyNumberFormat="1" applyFont="1" applyFill="1" applyBorder="1" applyAlignment="1">
      <alignment horizontal="left" vertical="center"/>
    </xf>
    <xf numFmtId="49" fontId="101" fillId="17" borderId="0" xfId="0" applyNumberFormat="1" applyFont="1" applyFill="1" applyBorder="1" applyAlignment="1">
      <alignment horizontal="center"/>
    </xf>
    <xf numFmtId="49" fontId="0" fillId="0" borderId="0" xfId="0" applyNumberFormat="1"/>
    <xf numFmtId="49" fontId="0" fillId="9" borderId="0" xfId="0" applyNumberFormat="1" applyFill="1"/>
    <xf numFmtId="49" fontId="0" fillId="20" borderId="0" xfId="0" applyNumberFormat="1" applyFill="1"/>
    <xf numFmtId="49" fontId="0" fillId="19" borderId="0" xfId="0" applyNumberFormat="1" applyFill="1"/>
    <xf numFmtId="49" fontId="0" fillId="21" borderId="0" xfId="0" applyNumberFormat="1" applyFill="1"/>
    <xf numFmtId="0" fontId="100" fillId="22" borderId="9" xfId="0" applyFont="1" applyFill="1" applyBorder="1" applyAlignment="1">
      <alignment horizontal="left"/>
    </xf>
    <xf numFmtId="0" fontId="100" fillId="2" borderId="9" xfId="0" applyFont="1" applyFill="1" applyBorder="1" applyAlignment="1">
      <alignment horizontal="center" vertical="center"/>
    </xf>
    <xf numFmtId="0" fontId="100" fillId="23" borderId="9" xfId="0" applyFont="1" applyFill="1" applyBorder="1" applyAlignment="1">
      <alignment horizontal="left"/>
    </xf>
    <xf numFmtId="1" fontId="106" fillId="13" borderId="10" xfId="0" applyNumberFormat="1" applyFont="1" applyFill="1" applyBorder="1" applyAlignment="1">
      <alignment horizontal="center" shrinkToFit="1"/>
    </xf>
    <xf numFmtId="1" fontId="106" fillId="7" borderId="10" xfId="0" applyNumberFormat="1" applyFont="1" applyFill="1" applyBorder="1" applyAlignment="1">
      <alignment horizontal="center" shrinkToFit="1"/>
    </xf>
    <xf numFmtId="0" fontId="0" fillId="0" borderId="0" xfId="0" applyFill="1"/>
    <xf numFmtId="0" fontId="0" fillId="11" borderId="1" xfId="0" applyFill="1" applyBorder="1" applyAlignment="1">
      <alignment horizontal="left" vertical="top" wrapText="1"/>
    </xf>
    <xf numFmtId="0" fontId="100" fillId="22" borderId="9" xfId="0" applyFont="1" applyFill="1" applyBorder="1" applyAlignment="1">
      <alignment horizontal="left" wrapText="1"/>
    </xf>
    <xf numFmtId="14" fontId="100" fillId="22" borderId="1" xfId="0" applyNumberFormat="1" applyFont="1" applyFill="1" applyBorder="1" applyAlignment="1">
      <alignment horizontal="left" vertical="center"/>
    </xf>
    <xf numFmtId="49" fontId="0" fillId="22" borderId="0" xfId="0" applyNumberFormat="1" applyFill="1"/>
    <xf numFmtId="49" fontId="115" fillId="11" borderId="1" xfId="0" applyNumberFormat="1" applyFont="1" applyFill="1" applyBorder="1" applyAlignment="1">
      <alignment horizontal="center"/>
    </xf>
    <xf numFmtId="14" fontId="115" fillId="11" borderId="1" xfId="0" applyNumberFormat="1" applyFont="1" applyFill="1" applyBorder="1" applyAlignment="1">
      <alignment horizontal="center" vertical="center"/>
    </xf>
    <xf numFmtId="0" fontId="115" fillId="11" borderId="1" xfId="0" applyFont="1" applyFill="1" applyBorder="1" applyAlignment="1"/>
    <xf numFmtId="0" fontId="115" fillId="11" borderId="1" xfId="0" applyNumberFormat="1" applyFont="1" applyFill="1" applyBorder="1" applyAlignment="1">
      <alignment horizontal="left" vertical="top"/>
    </xf>
    <xf numFmtId="14" fontId="120" fillId="11" borderId="9" xfId="0" applyNumberFormat="1" applyFont="1" applyFill="1" applyBorder="1" applyAlignment="1">
      <alignment horizontal="left" vertical="center"/>
    </xf>
    <xf numFmtId="0" fontId="115" fillId="11" borderId="1" xfId="0" applyFont="1" applyFill="1" applyBorder="1"/>
    <xf numFmtId="3" fontId="115" fillId="11" borderId="8" xfId="0" applyNumberFormat="1" applyFont="1" applyFill="1" applyBorder="1"/>
    <xf numFmtId="0" fontId="92" fillId="11" borderId="1" xfId="0" applyFont="1" applyFill="1" applyBorder="1"/>
    <xf numFmtId="0" fontId="92" fillId="11" borderId="1" xfId="0" applyFont="1" applyFill="1" applyBorder="1" applyAlignment="1">
      <alignment horizontal="left"/>
    </xf>
    <xf numFmtId="0" fontId="121" fillId="0" borderId="1" xfId="0" applyFont="1" applyBorder="1"/>
    <xf numFmtId="14" fontId="0" fillId="11" borderId="1" xfId="0" applyNumberFormat="1" applyFill="1" applyBorder="1" applyAlignment="1">
      <alignment horizontal="left" vertical="center"/>
    </xf>
    <xf numFmtId="0" fontId="100" fillId="14" borderId="2" xfId="0" applyFont="1" applyFill="1" applyBorder="1" applyAlignment="1">
      <alignment horizontal="center" vertical="center" wrapText="1"/>
    </xf>
    <xf numFmtId="0" fontId="100" fillId="2" borderId="9" xfId="0" applyFont="1" applyFill="1" applyBorder="1" applyAlignment="1">
      <alignment horizontal="center" vertical="center"/>
    </xf>
    <xf numFmtId="0" fontId="90" fillId="11" borderId="1" xfId="0" applyFont="1" applyFill="1" applyBorder="1"/>
    <xf numFmtId="0" fontId="91" fillId="11" borderId="1" xfId="0" applyFont="1" applyFill="1" applyBorder="1" applyAlignment="1">
      <alignment horizontal="left"/>
    </xf>
    <xf numFmtId="0" fontId="90" fillId="11" borderId="1" xfId="0" applyFont="1" applyFill="1" applyBorder="1" applyAlignment="1">
      <alignment horizontal="left"/>
    </xf>
    <xf numFmtId="0" fontId="0" fillId="11" borderId="9" xfId="0" applyFill="1" applyBorder="1"/>
    <xf numFmtId="0" fontId="91" fillId="11" borderId="1" xfId="0" applyFont="1" applyFill="1" applyBorder="1"/>
    <xf numFmtId="0" fontId="0" fillId="11" borderId="1" xfId="0" applyFill="1" applyBorder="1" applyAlignment="1">
      <alignment horizontal="left" wrapText="1"/>
    </xf>
    <xf numFmtId="0" fontId="89" fillId="11" borderId="1" xfId="0" applyFont="1" applyFill="1" applyBorder="1"/>
    <xf numFmtId="0" fontId="89" fillId="11" borderId="1" xfId="0" applyFont="1" applyFill="1" applyBorder="1" applyAlignment="1">
      <alignment horizontal="left"/>
    </xf>
    <xf numFmtId="0" fontId="0" fillId="14" borderId="1" xfId="0" applyNumberFormat="1" applyFill="1" applyBorder="1" applyAlignment="1">
      <alignment horizontal="left" vertical="top" wrapText="1"/>
    </xf>
    <xf numFmtId="0" fontId="87" fillId="11" borderId="1" xfId="0" applyFont="1" applyFill="1" applyBorder="1" applyAlignment="1">
      <alignment horizontal="left"/>
    </xf>
    <xf numFmtId="14" fontId="0" fillId="11" borderId="9" xfId="0" applyNumberFormat="1" applyFill="1" applyBorder="1" applyAlignment="1">
      <alignment horizontal="left" vertical="center"/>
    </xf>
    <xf numFmtId="0" fontId="88" fillId="11" borderId="1" xfId="0" applyFont="1" applyFill="1" applyBorder="1"/>
    <xf numFmtId="0" fontId="85" fillId="11" borderId="1" xfId="0" applyFont="1" applyFill="1" applyBorder="1" applyAlignment="1">
      <alignment horizontal="left"/>
    </xf>
    <xf numFmtId="0" fontId="88" fillId="11" borderId="1" xfId="0" applyFont="1" applyFill="1" applyBorder="1" applyAlignment="1">
      <alignment horizontal="left"/>
    </xf>
    <xf numFmtId="0" fontId="84" fillId="11" borderId="1" xfId="0" applyFont="1" applyFill="1" applyBorder="1" applyAlignment="1">
      <alignment horizontal="left"/>
    </xf>
    <xf numFmtId="0" fontId="0" fillId="11" borderId="1" xfId="0" applyNumberFormat="1" applyFill="1" applyBorder="1" applyAlignment="1">
      <alignment horizontal="left" wrapText="1"/>
    </xf>
    <xf numFmtId="0" fontId="0" fillId="22" borderId="1" xfId="0" applyFill="1" applyBorder="1" applyAlignment="1">
      <alignment horizontal="left" vertical="center"/>
    </xf>
    <xf numFmtId="0" fontId="0" fillId="24" borderId="1" xfId="0" applyFill="1" applyBorder="1" applyAlignment="1">
      <alignment horizontal="center" vertical="center"/>
    </xf>
    <xf numFmtId="0" fontId="115" fillId="24" borderId="1" xfId="0" applyFont="1" applyFill="1" applyBorder="1" applyAlignment="1">
      <alignment horizontal="center"/>
    </xf>
    <xf numFmtId="0" fontId="115" fillId="24" borderId="1" xfId="0" applyFont="1" applyFill="1" applyBorder="1" applyAlignment="1">
      <alignment horizontal="center" vertical="center"/>
    </xf>
    <xf numFmtId="49" fontId="0" fillId="24" borderId="1" xfId="0" applyNumberFormat="1" applyFill="1" applyBorder="1" applyAlignment="1">
      <alignment horizontal="center"/>
    </xf>
    <xf numFmtId="14" fontId="0" fillId="24" borderId="1" xfId="0" applyNumberFormat="1" applyFill="1" applyBorder="1" applyAlignment="1">
      <alignment horizontal="center" vertical="center"/>
    </xf>
    <xf numFmtId="0" fontId="83" fillId="24" borderId="1" xfId="0" applyFont="1" applyFill="1" applyBorder="1"/>
    <xf numFmtId="0" fontId="86" fillId="24" borderId="1" xfId="0" applyFont="1" applyFill="1" applyBorder="1" applyAlignment="1">
      <alignment horizontal="left"/>
    </xf>
    <xf numFmtId="0" fontId="83" fillId="24" borderId="1" xfId="0" applyFont="1" applyFill="1" applyBorder="1" applyAlignment="1">
      <alignment horizontal="left"/>
    </xf>
    <xf numFmtId="0" fontId="0" fillId="24" borderId="9" xfId="0" applyFill="1" applyBorder="1"/>
    <xf numFmtId="0" fontId="0" fillId="24" borderId="1" xfId="0" applyFill="1" applyBorder="1" applyAlignment="1">
      <alignment horizontal="center"/>
    </xf>
    <xf numFmtId="0" fontId="0" fillId="24" borderId="1" xfId="0" applyFill="1" applyBorder="1"/>
    <xf numFmtId="3" fontId="0" fillId="24" borderId="8" xfId="0" applyNumberFormat="1" applyFill="1" applyBorder="1"/>
    <xf numFmtId="0" fontId="86" fillId="24" borderId="1" xfId="0" applyFont="1" applyFill="1" applyBorder="1"/>
    <xf numFmtId="0" fontId="0" fillId="9" borderId="1" xfId="0" applyFill="1" applyBorder="1" applyAlignment="1">
      <alignment horizontal="center"/>
    </xf>
    <xf numFmtId="0" fontId="100" fillId="2" borderId="9" xfId="0" applyFont="1" applyFill="1" applyBorder="1" applyAlignment="1">
      <alignment horizontal="center" vertical="center"/>
    </xf>
    <xf numFmtId="3" fontId="0" fillId="13" borderId="34" xfId="0" applyNumberFormat="1" applyFill="1" applyBorder="1"/>
    <xf numFmtId="3" fontId="0" fillId="13" borderId="27" xfId="0" applyNumberFormat="1" applyFill="1" applyBorder="1"/>
    <xf numFmtId="3" fontId="0" fillId="25" borderId="2" xfId="0" applyNumberFormat="1" applyFill="1" applyBorder="1"/>
    <xf numFmtId="0" fontId="100" fillId="11" borderId="9" xfId="0" applyFont="1" applyFill="1" applyBorder="1" applyAlignment="1">
      <alignment horizontal="left"/>
    </xf>
    <xf numFmtId="0" fontId="82" fillId="11" borderId="1" xfId="0" applyFont="1" applyFill="1" applyBorder="1" applyAlignment="1">
      <alignment horizontal="center" vertical="center"/>
    </xf>
    <xf numFmtId="0" fontId="100" fillId="2" borderId="9" xfId="0" applyFont="1" applyFill="1" applyBorder="1" applyAlignment="1">
      <alignment horizontal="center" vertical="center"/>
    </xf>
    <xf numFmtId="0" fontId="123" fillId="0" borderId="1" xfId="0" applyFont="1" applyBorder="1"/>
    <xf numFmtId="0" fontId="0" fillId="27" borderId="0" xfId="0" applyFill="1"/>
    <xf numFmtId="0" fontId="0" fillId="14" borderId="1" xfId="0" applyFill="1" applyBorder="1" applyAlignment="1">
      <alignment horizontal="center"/>
    </xf>
    <xf numFmtId="0" fontId="0" fillId="14" borderId="1" xfId="0" applyNumberFormat="1" applyFill="1" applyBorder="1" applyAlignment="1">
      <alignment horizontal="left"/>
    </xf>
    <xf numFmtId="14" fontId="0" fillId="20" borderId="9" xfId="0" applyNumberFormat="1" applyFill="1" applyBorder="1" applyAlignment="1">
      <alignment horizontal="left" vertical="center"/>
    </xf>
    <xf numFmtId="0" fontId="100" fillId="20" borderId="9" xfId="0" applyFont="1" applyFill="1" applyBorder="1" applyAlignment="1">
      <alignment horizontal="left"/>
    </xf>
    <xf numFmtId="0" fontId="115" fillId="19" borderId="1" xfId="0" applyFont="1" applyFill="1" applyBorder="1"/>
    <xf numFmtId="14" fontId="81" fillId="11" borderId="9" xfId="0" applyNumberFormat="1" applyFont="1" applyFill="1" applyBorder="1" applyAlignment="1">
      <alignment horizontal="left" vertical="center"/>
    </xf>
    <xf numFmtId="0" fontId="115" fillId="11" borderId="1" xfId="0" applyFont="1" applyFill="1" applyBorder="1" applyAlignment="1">
      <alignment horizontal="left"/>
    </xf>
    <xf numFmtId="0" fontId="100" fillId="14" borderId="1" xfId="0" applyFont="1" applyFill="1" applyBorder="1" applyAlignment="1">
      <alignment horizontal="center"/>
    </xf>
    <xf numFmtId="49" fontId="0" fillId="26" borderId="0" xfId="0" applyNumberFormat="1" applyFill="1"/>
    <xf numFmtId="14" fontId="80" fillId="11" borderId="9" xfId="0" applyNumberFormat="1" applyFont="1" applyFill="1" applyBorder="1" applyAlignment="1">
      <alignment horizontal="left" vertical="center"/>
    </xf>
    <xf numFmtId="14" fontId="79" fillId="11" borderId="9" xfId="0" applyNumberFormat="1" applyFont="1" applyFill="1" applyBorder="1" applyAlignment="1">
      <alignment horizontal="left" vertical="center"/>
    </xf>
    <xf numFmtId="0" fontId="78" fillId="11" borderId="1" xfId="0" applyFont="1" applyFill="1" applyBorder="1" applyAlignment="1">
      <alignment horizontal="center" vertical="center"/>
    </xf>
    <xf numFmtId="0" fontId="115" fillId="11" borderId="1" xfId="0" applyNumberFormat="1" applyFont="1" applyFill="1" applyBorder="1" applyAlignment="1">
      <alignment horizontal="center"/>
    </xf>
    <xf numFmtId="0" fontId="100" fillId="2" borderId="9" xfId="0" applyFont="1" applyFill="1" applyBorder="1" applyAlignment="1">
      <alignment horizontal="center" vertical="center"/>
    </xf>
    <xf numFmtId="3" fontId="0" fillId="14" borderId="1" xfId="0" applyNumberFormat="1" applyFill="1" applyBorder="1"/>
    <xf numFmtId="0" fontId="100" fillId="11" borderId="1" xfId="0" applyFont="1" applyFill="1" applyBorder="1" applyAlignment="1">
      <alignment horizontal="left"/>
    </xf>
    <xf numFmtId="14" fontId="77" fillId="11" borderId="9" xfId="0" applyNumberFormat="1" applyFont="1" applyFill="1" applyBorder="1" applyAlignment="1">
      <alignment horizontal="left" vertical="center"/>
    </xf>
    <xf numFmtId="14" fontId="0" fillId="20" borderId="1" xfId="0" applyNumberFormat="1" applyFill="1" applyBorder="1" applyAlignment="1">
      <alignment horizontal="left" vertical="center"/>
    </xf>
    <xf numFmtId="14" fontId="76" fillId="11" borderId="9" xfId="0" applyNumberFormat="1" applyFont="1" applyFill="1" applyBorder="1" applyAlignment="1">
      <alignment horizontal="left" vertical="center"/>
    </xf>
    <xf numFmtId="49" fontId="115" fillId="9" borderId="1" xfId="0" applyNumberFormat="1" applyFont="1" applyFill="1" applyBorder="1" applyAlignment="1">
      <alignment horizontal="center"/>
    </xf>
    <xf numFmtId="14" fontId="100" fillId="22" borderId="9" xfId="0" applyNumberFormat="1" applyFont="1" applyFill="1" applyBorder="1" applyAlignment="1">
      <alignment horizontal="left" vertical="center"/>
    </xf>
    <xf numFmtId="0" fontId="75" fillId="11" borderId="1" xfId="0" applyFont="1" applyFill="1" applyBorder="1" applyAlignment="1">
      <alignment horizontal="left" wrapText="1"/>
    </xf>
    <xf numFmtId="14" fontId="74" fillId="11" borderId="9" xfId="0" applyNumberFormat="1" applyFont="1" applyFill="1" applyBorder="1" applyAlignment="1">
      <alignment horizontal="left" vertical="center"/>
    </xf>
    <xf numFmtId="0" fontId="100" fillId="2" borderId="9" xfId="0" applyFont="1" applyFill="1" applyBorder="1" applyAlignment="1">
      <alignment horizontal="center" vertical="center"/>
    </xf>
    <xf numFmtId="14" fontId="73" fillId="11" borderId="9" xfId="0" applyNumberFormat="1" applyFont="1" applyFill="1" applyBorder="1" applyAlignment="1">
      <alignment horizontal="left" vertical="center"/>
    </xf>
    <xf numFmtId="14" fontId="71" fillId="11" borderId="9" xfId="0" applyNumberFormat="1" applyFont="1" applyFill="1" applyBorder="1" applyAlignment="1">
      <alignment horizontal="left" vertical="center"/>
    </xf>
    <xf numFmtId="14" fontId="72" fillId="11" borderId="9" xfId="0" applyNumberFormat="1" applyFont="1" applyFill="1" applyBorder="1" applyAlignment="1">
      <alignment horizontal="left" vertical="center"/>
    </xf>
    <xf numFmtId="14" fontId="70" fillId="11" borderId="9" xfId="0" applyNumberFormat="1" applyFont="1" applyFill="1" applyBorder="1" applyAlignment="1">
      <alignment horizontal="left" vertical="center"/>
    </xf>
    <xf numFmtId="0" fontId="69" fillId="11" borderId="9" xfId="0" applyNumberFormat="1" applyFont="1" applyFill="1" applyBorder="1" applyAlignment="1">
      <alignment horizontal="left" vertical="center"/>
    </xf>
    <xf numFmtId="0" fontId="0" fillId="22" borderId="1" xfId="0" applyFill="1" applyBorder="1"/>
    <xf numFmtId="0" fontId="100" fillId="2" borderId="9" xfId="0" applyFont="1" applyFill="1" applyBorder="1" applyAlignment="1">
      <alignment horizontal="center" vertical="center"/>
    </xf>
    <xf numFmtId="0" fontId="100" fillId="14" borderId="2" xfId="0" applyFont="1" applyFill="1" applyBorder="1" applyAlignment="1">
      <alignment horizontal="center" vertical="center"/>
    </xf>
    <xf numFmtId="49" fontId="100" fillId="14" borderId="2" xfId="0" applyNumberFormat="1" applyFont="1" applyFill="1" applyBorder="1" applyAlignment="1">
      <alignment horizontal="center" vertical="center"/>
    </xf>
    <xf numFmtId="0" fontId="0" fillId="14" borderId="8" xfId="0" applyFill="1" applyBorder="1" applyAlignment="1">
      <alignment horizontal="center" wrapText="1"/>
    </xf>
    <xf numFmtId="0" fontId="111" fillId="8" borderId="17" xfId="0" applyFont="1" applyFill="1" applyBorder="1" applyAlignment="1">
      <alignment horizontal="left" vertical="center" wrapText="1"/>
    </xf>
    <xf numFmtId="2" fontId="111" fillId="8" borderId="14" xfId="0" applyNumberFormat="1" applyFont="1" applyFill="1" applyBorder="1" applyAlignment="1">
      <alignment horizontal="center"/>
    </xf>
    <xf numFmtId="1" fontId="109" fillId="9" borderId="16" xfId="0" applyNumberFormat="1" applyFont="1" applyFill="1" applyBorder="1" applyAlignment="1">
      <alignment horizontal="center" shrinkToFit="1"/>
    </xf>
    <xf numFmtId="0" fontId="0" fillId="11" borderId="0" xfId="0" applyFill="1" applyAlignment="1">
      <alignment horizontal="left"/>
    </xf>
    <xf numFmtId="0" fontId="115" fillId="19" borderId="1" xfId="0" applyFont="1" applyFill="1" applyBorder="1" applyAlignment="1">
      <alignment horizontal="left"/>
    </xf>
    <xf numFmtId="0" fontId="68" fillId="11" borderId="1" xfId="0" applyFont="1" applyFill="1" applyBorder="1" applyAlignment="1">
      <alignment horizontal="left" wrapText="1"/>
    </xf>
    <xf numFmtId="14" fontId="67" fillId="11" borderId="9" xfId="0" applyNumberFormat="1" applyFont="1" applyFill="1" applyBorder="1" applyAlignment="1">
      <alignment horizontal="left" vertical="center"/>
    </xf>
    <xf numFmtId="14" fontId="66" fillId="11" borderId="9" xfId="0" applyNumberFormat="1" applyFont="1" applyFill="1" applyBorder="1" applyAlignment="1">
      <alignment horizontal="left" vertical="center"/>
    </xf>
    <xf numFmtId="14" fontId="64" fillId="11" borderId="9" xfId="0" applyNumberFormat="1" applyFont="1" applyFill="1" applyBorder="1" applyAlignment="1">
      <alignment horizontal="left" vertical="center"/>
    </xf>
    <xf numFmtId="14" fontId="65" fillId="11" borderId="9" xfId="0" applyNumberFormat="1" applyFont="1" applyFill="1" applyBorder="1" applyAlignment="1">
      <alignment horizontal="left" vertical="center"/>
    </xf>
    <xf numFmtId="49" fontId="0" fillId="28" borderId="0" xfId="0" applyNumberFormat="1" applyFill="1"/>
    <xf numFmtId="0" fontId="100" fillId="2" borderId="9" xfId="0" applyFont="1" applyFill="1" applyBorder="1" applyAlignment="1">
      <alignment horizontal="center" vertical="center"/>
    </xf>
    <xf numFmtId="0" fontId="0" fillId="11" borderId="1" xfId="0" applyNumberFormat="1" applyFill="1" applyBorder="1" applyAlignment="1">
      <alignment horizontal="center"/>
    </xf>
    <xf numFmtId="0" fontId="63" fillId="11" borderId="1" xfId="0" applyFont="1" applyFill="1" applyBorder="1" applyAlignment="1">
      <alignment horizontal="left" wrapText="1"/>
    </xf>
    <xf numFmtId="0" fontId="100" fillId="22" borderId="1" xfId="0" applyFont="1" applyFill="1" applyBorder="1"/>
    <xf numFmtId="14" fontId="62" fillId="11" borderId="9" xfId="0" applyNumberFormat="1" applyFont="1" applyFill="1" applyBorder="1" applyAlignment="1">
      <alignment horizontal="left" vertical="center"/>
    </xf>
    <xf numFmtId="14" fontId="61" fillId="11" borderId="9" xfId="0" applyNumberFormat="1" applyFont="1" applyFill="1" applyBorder="1" applyAlignment="1">
      <alignment horizontal="left" vertical="center"/>
    </xf>
    <xf numFmtId="14" fontId="60" fillId="11" borderId="9" xfId="0" applyNumberFormat="1" applyFont="1" applyFill="1" applyBorder="1" applyAlignment="1">
      <alignment horizontal="left" vertical="center"/>
    </xf>
    <xf numFmtId="14" fontId="57" fillId="11" borderId="9" xfId="0" applyNumberFormat="1" applyFont="1" applyFill="1" applyBorder="1" applyAlignment="1">
      <alignment horizontal="left" vertical="center"/>
    </xf>
    <xf numFmtId="0" fontId="55" fillId="11" borderId="1" xfId="0" applyFont="1" applyFill="1" applyBorder="1" applyAlignment="1">
      <alignment horizontal="center"/>
    </xf>
    <xf numFmtId="14" fontId="59" fillId="11" borderId="1" xfId="0" applyNumberFormat="1" applyFont="1" applyFill="1" applyBorder="1" applyAlignment="1">
      <alignment horizontal="center" vertical="center"/>
    </xf>
    <xf numFmtId="0" fontId="58" fillId="11" borderId="1" xfId="0" applyFont="1" applyFill="1" applyBorder="1"/>
    <xf numFmtId="0" fontId="56" fillId="11" borderId="1" xfId="0" applyNumberFormat="1" applyFont="1" applyFill="1" applyBorder="1" applyAlignment="1">
      <alignment horizontal="left" vertical="top"/>
    </xf>
    <xf numFmtId="14" fontId="124" fillId="11" borderId="9" xfId="0" applyNumberFormat="1" applyFont="1" applyFill="1" applyBorder="1" applyAlignment="1">
      <alignment horizontal="left" vertical="center"/>
    </xf>
    <xf numFmtId="14" fontId="54" fillId="11" borderId="9" xfId="0" applyNumberFormat="1" applyFont="1" applyFill="1" applyBorder="1" applyAlignment="1">
      <alignment horizontal="left" vertical="center"/>
    </xf>
    <xf numFmtId="14" fontId="53" fillId="11" borderId="9" xfId="0" applyNumberFormat="1" applyFont="1" applyFill="1" applyBorder="1" applyAlignment="1">
      <alignment horizontal="left" vertical="center"/>
    </xf>
    <xf numFmtId="0" fontId="115" fillId="11" borderId="1" xfId="0" applyFont="1" applyFill="1" applyBorder="1" applyAlignment="1">
      <alignment horizontal="left" wrapText="1"/>
    </xf>
    <xf numFmtId="0" fontId="100" fillId="2" borderId="9" xfId="0" applyFont="1" applyFill="1" applyBorder="1" applyAlignment="1">
      <alignment horizontal="center" vertical="center"/>
    </xf>
    <xf numFmtId="14" fontId="50" fillId="11" borderId="9" xfId="0" applyNumberFormat="1" applyFont="1" applyFill="1" applyBorder="1" applyAlignment="1">
      <alignment horizontal="left" vertical="center"/>
    </xf>
    <xf numFmtId="0" fontId="55" fillId="14" borderId="1" xfId="0" applyFont="1" applyFill="1" applyBorder="1" applyAlignment="1">
      <alignment horizontal="center"/>
    </xf>
    <xf numFmtId="14" fontId="51" fillId="14" borderId="9" xfId="0" applyNumberFormat="1" applyFont="1" applyFill="1" applyBorder="1" applyAlignment="1">
      <alignment horizontal="left" vertical="center"/>
    </xf>
    <xf numFmtId="0" fontId="115" fillId="14" borderId="1" xfId="0" applyFont="1" applyFill="1" applyBorder="1" applyAlignment="1">
      <alignment horizontal="left"/>
    </xf>
    <xf numFmtId="0" fontId="0" fillId="14" borderId="1" xfId="0" applyFill="1" applyBorder="1" applyAlignment="1">
      <alignment horizontal="left"/>
    </xf>
    <xf numFmtId="0" fontId="0" fillId="11" borderId="9" xfId="0" applyFill="1" applyBorder="1" applyAlignment="1"/>
    <xf numFmtId="0" fontId="100" fillId="11" borderId="9" xfId="0" applyFont="1" applyFill="1" applyBorder="1"/>
    <xf numFmtId="14" fontId="42" fillId="11" borderId="9" xfId="0" applyNumberFormat="1" applyFont="1" applyFill="1" applyBorder="1" applyAlignment="1">
      <alignment horizontal="left" vertical="center"/>
    </xf>
    <xf numFmtId="14" fontId="39" fillId="11" borderId="9" xfId="0" applyNumberFormat="1" applyFont="1" applyFill="1" applyBorder="1" applyAlignment="1">
      <alignment horizontal="left" vertical="center"/>
    </xf>
    <xf numFmtId="14" fontId="37" fillId="11" borderId="9" xfId="0" applyNumberFormat="1" applyFont="1" applyFill="1" applyBorder="1" applyAlignment="1">
      <alignment horizontal="left" vertical="center"/>
    </xf>
    <xf numFmtId="14" fontId="52" fillId="11" borderId="9" xfId="0" applyNumberFormat="1" applyFont="1" applyFill="1" applyBorder="1" applyAlignment="1">
      <alignment horizontal="left" vertical="center"/>
    </xf>
    <xf numFmtId="14" fontId="51" fillId="11" borderId="9" xfId="0" applyNumberFormat="1" applyFont="1" applyFill="1" applyBorder="1" applyAlignment="1">
      <alignment horizontal="left" vertical="center"/>
    </xf>
    <xf numFmtId="14" fontId="51" fillId="11" borderId="1" xfId="0" applyNumberFormat="1" applyFont="1" applyFill="1" applyBorder="1" applyAlignment="1">
      <alignment horizontal="left" vertical="center"/>
    </xf>
    <xf numFmtId="14" fontId="49" fillId="11" borderId="9" xfId="0" applyNumberFormat="1" applyFont="1" applyFill="1" applyBorder="1" applyAlignment="1">
      <alignment horizontal="left" vertical="center"/>
    </xf>
    <xf numFmtId="14" fontId="44" fillId="11" borderId="9" xfId="0" applyNumberFormat="1" applyFont="1" applyFill="1" applyBorder="1" applyAlignment="1">
      <alignment horizontal="left" vertical="center"/>
    </xf>
    <xf numFmtId="14" fontId="47" fillId="11" borderId="9" xfId="0" applyNumberFormat="1" applyFont="1" applyFill="1" applyBorder="1" applyAlignment="1">
      <alignment horizontal="left" vertical="center"/>
    </xf>
    <xf numFmtId="14" fontId="46" fillId="11" borderId="9" xfId="0" applyNumberFormat="1" applyFont="1" applyFill="1" applyBorder="1" applyAlignment="1">
      <alignment horizontal="left" vertical="center"/>
    </xf>
    <xf numFmtId="14" fontId="43" fillId="11" borderId="9" xfId="0" applyNumberFormat="1" applyFont="1" applyFill="1" applyBorder="1" applyAlignment="1">
      <alignment horizontal="left" vertical="center"/>
    </xf>
    <xf numFmtId="14" fontId="45" fillId="11" borderId="9" xfId="0" applyNumberFormat="1" applyFont="1" applyFill="1" applyBorder="1" applyAlignment="1">
      <alignment horizontal="left" vertical="center"/>
    </xf>
    <xf numFmtId="14" fontId="40" fillId="11" borderId="9" xfId="0" applyNumberFormat="1" applyFont="1" applyFill="1" applyBorder="1" applyAlignment="1">
      <alignment horizontal="left" vertical="center"/>
    </xf>
    <xf numFmtId="14" fontId="41" fillId="11" borderId="9" xfId="0" applyNumberFormat="1" applyFont="1" applyFill="1" applyBorder="1" applyAlignment="1">
      <alignment horizontal="left" vertical="center"/>
    </xf>
    <xf numFmtId="14" fontId="36" fillId="11" borderId="9" xfId="0" applyNumberFormat="1" applyFont="1" applyFill="1" applyBorder="1" applyAlignment="1">
      <alignment horizontal="left" vertical="center"/>
    </xf>
    <xf numFmtId="14" fontId="35" fillId="11" borderId="9" xfId="0" applyNumberFormat="1" applyFont="1" applyFill="1" applyBorder="1" applyAlignment="1">
      <alignment horizontal="left" vertical="center"/>
    </xf>
    <xf numFmtId="14" fontId="38" fillId="11" borderId="9" xfId="0" applyNumberFormat="1" applyFont="1" applyFill="1" applyBorder="1" applyAlignment="1">
      <alignment horizontal="left" vertical="center"/>
    </xf>
    <xf numFmtId="0" fontId="100" fillId="0" borderId="2" xfId="0" applyFont="1" applyFill="1" applyBorder="1" applyAlignment="1">
      <alignment horizontal="center" vertical="center" wrapText="1"/>
    </xf>
    <xf numFmtId="0" fontId="100" fillId="0" borderId="2" xfId="0" applyFont="1" applyFill="1" applyBorder="1" applyAlignment="1">
      <alignment horizontal="center" vertical="center"/>
    </xf>
    <xf numFmtId="49" fontId="100" fillId="0" borderId="2" xfId="0" applyNumberFormat="1" applyFont="1" applyFill="1" applyBorder="1" applyAlignment="1">
      <alignment horizontal="center" vertical="center"/>
    </xf>
    <xf numFmtId="0" fontId="100" fillId="0" borderId="9" xfId="0" applyFont="1" applyFill="1" applyBorder="1" applyAlignment="1">
      <alignment horizontal="center" vertical="center"/>
    </xf>
    <xf numFmtId="0" fontId="100" fillId="0" borderId="33" xfId="0" applyFont="1" applyFill="1" applyBorder="1" applyAlignment="1">
      <alignment horizontal="left" vertical="center"/>
    </xf>
    <xf numFmtId="0" fontId="100" fillId="0" borderId="9" xfId="0" applyFont="1" applyFill="1" applyBorder="1"/>
    <xf numFmtId="0" fontId="0" fillId="0" borderId="29" xfId="0" applyFill="1" applyBorder="1" applyAlignment="1">
      <alignment horizontal="center" wrapText="1"/>
    </xf>
    <xf numFmtId="0" fontId="0" fillId="0" borderId="8" xfId="0" applyFill="1" applyBorder="1" applyAlignment="1">
      <alignment horizontal="center" wrapText="1"/>
    </xf>
    <xf numFmtId="0" fontId="0" fillId="0" borderId="9" xfId="0" applyFill="1" applyBorder="1"/>
    <xf numFmtId="14" fontId="48" fillId="11" borderId="1" xfId="0" applyNumberFormat="1" applyFont="1" applyFill="1" applyBorder="1" applyAlignment="1">
      <alignment horizontal="center" vertical="center"/>
    </xf>
    <xf numFmtId="0" fontId="34" fillId="11" borderId="1" xfId="0" applyFont="1" applyFill="1" applyBorder="1"/>
    <xf numFmtId="14" fontId="33" fillId="11" borderId="9" xfId="0" applyNumberFormat="1" applyFont="1" applyFill="1" applyBorder="1" applyAlignment="1">
      <alignment horizontal="left" vertical="center"/>
    </xf>
    <xf numFmtId="14" fontId="32" fillId="11" borderId="9" xfId="0" applyNumberFormat="1" applyFont="1" applyFill="1" applyBorder="1" applyAlignment="1">
      <alignment horizontal="left" vertical="center"/>
    </xf>
    <xf numFmtId="0" fontId="100" fillId="2" borderId="9" xfId="0" applyFont="1" applyFill="1" applyBorder="1" applyAlignment="1">
      <alignment horizontal="center" vertical="center"/>
    </xf>
    <xf numFmtId="0" fontId="125" fillId="29" borderId="1" xfId="0" applyFont="1" applyFill="1" applyBorder="1" applyAlignment="1">
      <alignment horizontal="center" vertical="center"/>
    </xf>
    <xf numFmtId="0" fontId="125" fillId="29" borderId="1" xfId="0" applyFont="1" applyFill="1" applyBorder="1" applyAlignment="1">
      <alignment horizontal="center"/>
    </xf>
    <xf numFmtId="0" fontId="126" fillId="29" borderId="1" xfId="0" applyFont="1" applyFill="1" applyBorder="1" applyAlignment="1">
      <alignment horizontal="center" vertical="center"/>
    </xf>
    <xf numFmtId="49" fontId="125" fillId="29" borderId="1" xfId="0" applyNumberFormat="1" applyFont="1" applyFill="1" applyBorder="1" applyAlignment="1">
      <alignment horizontal="center"/>
    </xf>
    <xf numFmtId="14" fontId="125" fillId="29" borderId="1" xfId="0" applyNumberFormat="1" applyFont="1" applyFill="1" applyBorder="1" applyAlignment="1">
      <alignment horizontal="center" vertical="center"/>
    </xf>
    <xf numFmtId="0" fontId="125" fillId="29" borderId="1" xfId="0" applyNumberFormat="1" applyFont="1" applyFill="1" applyBorder="1" applyAlignment="1">
      <alignment horizontal="center"/>
    </xf>
    <xf numFmtId="3" fontId="125" fillId="29" borderId="8" xfId="0" applyNumberFormat="1" applyFont="1" applyFill="1" applyBorder="1" applyAlignment="1">
      <alignment horizontal="center"/>
    </xf>
    <xf numFmtId="14" fontId="31" fillId="11" borderId="9" xfId="0" applyNumberFormat="1" applyFont="1" applyFill="1" applyBorder="1" applyAlignment="1">
      <alignment horizontal="left" vertical="center"/>
    </xf>
    <xf numFmtId="14" fontId="30" fillId="11" borderId="9" xfId="0" applyNumberFormat="1" applyFont="1" applyFill="1" applyBorder="1" applyAlignment="1">
      <alignment horizontal="left" vertical="center"/>
    </xf>
    <xf numFmtId="0" fontId="28" fillId="11" borderId="1" xfId="0" applyFont="1" applyFill="1" applyBorder="1" applyAlignment="1">
      <alignment horizontal="left" wrapText="1"/>
    </xf>
    <xf numFmtId="14" fontId="26" fillId="11" borderId="9" xfId="0" applyNumberFormat="1" applyFont="1" applyFill="1" applyBorder="1" applyAlignment="1">
      <alignment horizontal="left" vertical="center"/>
    </xf>
    <xf numFmtId="14" fontId="29" fillId="11" borderId="9" xfId="0" applyNumberFormat="1" applyFont="1" applyFill="1" applyBorder="1" applyAlignment="1">
      <alignment horizontal="left" vertical="center"/>
    </xf>
    <xf numFmtId="14" fontId="25" fillId="11" borderId="9" xfId="0" applyNumberFormat="1" applyFont="1" applyFill="1" applyBorder="1" applyAlignment="1">
      <alignment horizontal="left" vertical="center"/>
    </xf>
    <xf numFmtId="0" fontId="27" fillId="11" borderId="1" xfId="0" applyFont="1" applyFill="1" applyBorder="1" applyAlignment="1">
      <alignment horizontal="left" wrapText="1"/>
    </xf>
    <xf numFmtId="14" fontId="24" fillId="11" borderId="9" xfId="0" applyNumberFormat="1" applyFont="1" applyFill="1" applyBorder="1" applyAlignment="1">
      <alignment horizontal="left" vertical="center"/>
    </xf>
    <xf numFmtId="14" fontId="23" fillId="11" borderId="9" xfId="0" applyNumberFormat="1" applyFont="1" applyFill="1" applyBorder="1" applyAlignment="1">
      <alignment horizontal="left" vertical="center"/>
    </xf>
    <xf numFmtId="49" fontId="107" fillId="9" borderId="0" xfId="0" applyNumberFormat="1" applyFont="1" applyFill="1"/>
    <xf numFmtId="14" fontId="22" fillId="11" borderId="9" xfId="0" applyNumberFormat="1" applyFont="1" applyFill="1" applyBorder="1" applyAlignment="1">
      <alignment horizontal="left" vertical="center"/>
    </xf>
    <xf numFmtId="14" fontId="21" fillId="11" borderId="9" xfId="0" applyNumberFormat="1" applyFont="1" applyFill="1" applyBorder="1" applyAlignment="1">
      <alignment horizontal="left" vertical="center"/>
    </xf>
    <xf numFmtId="0" fontId="20" fillId="11" borderId="9" xfId="0" applyFont="1" applyFill="1" applyBorder="1"/>
    <xf numFmtId="0" fontId="19" fillId="11" borderId="9" xfId="0" applyFont="1" applyFill="1" applyBorder="1"/>
    <xf numFmtId="14" fontId="18" fillId="11" borderId="9" xfId="0" applyNumberFormat="1" applyFont="1" applyFill="1" applyBorder="1" applyAlignment="1">
      <alignment horizontal="left" vertical="center"/>
    </xf>
    <xf numFmtId="1" fontId="0" fillId="11" borderId="1" xfId="0" applyNumberFormat="1" applyFill="1" applyBorder="1" applyAlignment="1">
      <alignment horizontal="center"/>
    </xf>
    <xf numFmtId="1" fontId="115" fillId="11" borderId="1" xfId="0" applyNumberFormat="1" applyFont="1" applyFill="1" applyBorder="1" applyAlignment="1">
      <alignment horizontal="center"/>
    </xf>
    <xf numFmtId="14" fontId="17" fillId="11" borderId="9" xfId="0" applyNumberFormat="1" applyFont="1" applyFill="1" applyBorder="1" applyAlignment="1">
      <alignment horizontal="left" vertical="center"/>
    </xf>
    <xf numFmtId="14" fontId="15" fillId="11" borderId="9" xfId="0" applyNumberFormat="1" applyFont="1" applyFill="1" applyBorder="1" applyAlignment="1">
      <alignment horizontal="left" vertical="center"/>
    </xf>
    <xf numFmtId="14" fontId="16" fillId="11" borderId="9" xfId="0" applyNumberFormat="1" applyFont="1" applyFill="1" applyBorder="1" applyAlignment="1">
      <alignment horizontal="left" vertical="center"/>
    </xf>
    <xf numFmtId="0" fontId="115" fillId="11" borderId="1" xfId="0" applyNumberFormat="1" applyFont="1" applyFill="1" applyBorder="1" applyAlignment="1">
      <alignment horizontal="left"/>
    </xf>
    <xf numFmtId="14" fontId="14" fillId="11" borderId="9" xfId="0" applyNumberFormat="1" applyFont="1" applyFill="1" applyBorder="1" applyAlignment="1">
      <alignment horizontal="left" vertical="center"/>
    </xf>
    <xf numFmtId="14" fontId="13" fillId="11" borderId="9" xfId="0" applyNumberFormat="1" applyFont="1" applyFill="1" applyBorder="1" applyAlignment="1">
      <alignment horizontal="left" vertical="center"/>
    </xf>
    <xf numFmtId="14" fontId="115" fillId="11" borderId="1" xfId="0" applyNumberFormat="1" applyFont="1" applyFill="1" applyBorder="1" applyAlignment="1">
      <alignment horizontal="center"/>
    </xf>
    <xf numFmtId="0" fontId="100" fillId="2" borderId="9" xfId="0" applyFont="1" applyFill="1" applyBorder="1" applyAlignment="1">
      <alignment horizontal="center" vertical="center"/>
    </xf>
    <xf numFmtId="14" fontId="12" fillId="11" borderId="9" xfId="0" applyNumberFormat="1" applyFont="1" applyFill="1" applyBorder="1" applyAlignment="1">
      <alignment horizontal="left" vertical="center"/>
    </xf>
    <xf numFmtId="14" fontId="11" fillId="11" borderId="9" xfId="0" applyNumberFormat="1" applyFont="1" applyFill="1" applyBorder="1" applyAlignment="1">
      <alignment horizontal="left" vertical="center"/>
    </xf>
    <xf numFmtId="14" fontId="10" fillId="11" borderId="9" xfId="0" applyNumberFormat="1" applyFont="1" applyFill="1" applyBorder="1" applyAlignment="1">
      <alignment horizontal="left" vertical="center"/>
    </xf>
    <xf numFmtId="14" fontId="9" fillId="11" borderId="9" xfId="0" applyNumberFormat="1" applyFont="1" applyFill="1" applyBorder="1" applyAlignment="1">
      <alignment horizontal="left" vertical="center"/>
    </xf>
    <xf numFmtId="14" fontId="8" fillId="11" borderId="9" xfId="0" applyNumberFormat="1" applyFont="1" applyFill="1" applyBorder="1" applyAlignment="1">
      <alignment horizontal="left" vertical="center"/>
    </xf>
    <xf numFmtId="14" fontId="6" fillId="11" borderId="9" xfId="0" applyNumberFormat="1" applyFont="1" applyFill="1" applyBorder="1" applyAlignment="1">
      <alignment horizontal="left" vertical="center"/>
    </xf>
    <xf numFmtId="14" fontId="7" fillId="11" borderId="9" xfId="0" applyNumberFormat="1" applyFont="1" applyFill="1" applyBorder="1" applyAlignment="1">
      <alignment horizontal="left" vertical="center"/>
    </xf>
    <xf numFmtId="14" fontId="0" fillId="11" borderId="1" xfId="0" applyNumberFormat="1" applyFill="1" applyBorder="1" applyAlignment="1">
      <alignment horizontal="center" wrapText="1"/>
    </xf>
    <xf numFmtId="14" fontId="5" fillId="11" borderId="9" xfId="0" applyNumberFormat="1" applyFont="1" applyFill="1" applyBorder="1" applyAlignment="1">
      <alignment horizontal="left" vertical="center"/>
    </xf>
    <xf numFmtId="14" fontId="4" fillId="11" borderId="9" xfId="0" applyNumberFormat="1" applyFont="1" applyFill="1" applyBorder="1" applyAlignment="1">
      <alignment horizontal="left" vertical="center"/>
    </xf>
    <xf numFmtId="14" fontId="3" fillId="11" borderId="9" xfId="0" applyNumberFormat="1" applyFont="1" applyFill="1" applyBorder="1" applyAlignment="1">
      <alignment horizontal="left" vertical="center"/>
    </xf>
    <xf numFmtId="14" fontId="2" fillId="11" borderId="9" xfId="0" applyNumberFormat="1" applyFont="1" applyFill="1" applyBorder="1" applyAlignment="1">
      <alignment horizontal="left" vertical="center"/>
    </xf>
    <xf numFmtId="14" fontId="1" fillId="11" borderId="9" xfId="0" applyNumberFormat="1" applyFont="1" applyFill="1" applyBorder="1" applyAlignment="1">
      <alignment horizontal="left" vertical="center"/>
    </xf>
    <xf numFmtId="0" fontId="0" fillId="15" borderId="1" xfId="0" applyFill="1" applyBorder="1" applyAlignment="1">
      <alignment horizontal="center" wrapText="1"/>
    </xf>
    <xf numFmtId="0" fontId="100" fillId="8" borderId="9" xfId="0" applyFont="1" applyFill="1" applyBorder="1" applyAlignment="1">
      <alignment horizontal="center" vertical="center"/>
    </xf>
    <xf numFmtId="0" fontId="100" fillId="8" borderId="2" xfId="0" applyFont="1" applyFill="1" applyBorder="1" applyAlignment="1">
      <alignment horizontal="center" vertical="center"/>
    </xf>
    <xf numFmtId="0" fontId="100" fillId="3" borderId="9" xfId="0" applyFont="1" applyFill="1" applyBorder="1" applyAlignment="1">
      <alignment horizontal="center" vertical="center"/>
    </xf>
    <xf numFmtId="0" fontId="100" fillId="3" borderId="2" xfId="0" applyFont="1" applyFill="1" applyBorder="1" applyAlignment="1">
      <alignment horizontal="center" vertical="center"/>
    </xf>
    <xf numFmtId="0" fontId="100" fillId="4" borderId="9" xfId="0" applyFont="1" applyFill="1" applyBorder="1" applyAlignment="1">
      <alignment horizontal="center" vertical="center" wrapText="1"/>
    </xf>
    <xf numFmtId="0" fontId="100" fillId="4" borderId="2" xfId="0" applyFont="1" applyFill="1" applyBorder="1" applyAlignment="1">
      <alignment horizontal="center" vertical="center" wrapText="1"/>
    </xf>
    <xf numFmtId="0" fontId="100" fillId="2" borderId="8" xfId="0" applyFont="1" applyFill="1" applyBorder="1" applyAlignment="1">
      <alignment horizontal="center" vertical="center"/>
    </xf>
    <xf numFmtId="0" fontId="100" fillId="2" borderId="11" xfId="0" applyFont="1" applyFill="1" applyBorder="1" applyAlignment="1">
      <alignment horizontal="center" vertical="center"/>
    </xf>
    <xf numFmtId="0" fontId="100" fillId="2" borderId="10" xfId="0" applyFont="1" applyFill="1" applyBorder="1" applyAlignment="1">
      <alignment horizontal="center" vertical="center"/>
    </xf>
    <xf numFmtId="0" fontId="100" fillId="13" borderId="8" xfId="0" applyFont="1" applyFill="1" applyBorder="1" applyAlignment="1">
      <alignment horizontal="center"/>
    </xf>
    <xf numFmtId="0" fontId="100" fillId="13" borderId="11" xfId="0" applyFont="1" applyFill="1" applyBorder="1" applyAlignment="1">
      <alignment horizontal="center"/>
    </xf>
    <xf numFmtId="0" fontId="100" fillId="13" borderId="10" xfId="0" applyFont="1" applyFill="1" applyBorder="1" applyAlignment="1">
      <alignment horizontal="center"/>
    </xf>
    <xf numFmtId="0" fontId="0" fillId="10" borderId="9" xfId="0" applyFill="1" applyBorder="1" applyAlignment="1">
      <alignment horizontal="center" wrapText="1"/>
    </xf>
    <xf numFmtId="0" fontId="0" fillId="10" borderId="29" xfId="0" applyFill="1" applyBorder="1" applyAlignment="1">
      <alignment horizontal="center" wrapText="1"/>
    </xf>
    <xf numFmtId="0" fontId="100" fillId="7" borderId="8" xfId="0" applyFont="1" applyFill="1" applyBorder="1" applyAlignment="1">
      <alignment horizontal="center" vertical="center"/>
    </xf>
    <xf numFmtId="0" fontId="100" fillId="7" borderId="10" xfId="0" applyFont="1" applyFill="1" applyBorder="1" applyAlignment="1">
      <alignment horizontal="center" vertical="center"/>
    </xf>
    <xf numFmtId="0" fontId="100" fillId="12" borderId="9" xfId="0" applyFont="1" applyFill="1" applyBorder="1" applyAlignment="1">
      <alignment horizontal="center" vertical="center" wrapText="1"/>
    </xf>
    <xf numFmtId="0" fontId="100" fillId="12" borderId="2" xfId="0" applyFont="1" applyFill="1" applyBorder="1" applyAlignment="1">
      <alignment horizontal="center" vertical="center" wrapText="1"/>
    </xf>
    <xf numFmtId="0" fontId="100" fillId="4" borderId="9" xfId="0" applyFont="1" applyFill="1" applyBorder="1" applyAlignment="1">
      <alignment horizontal="center" vertical="center"/>
    </xf>
    <xf numFmtId="0" fontId="100" fillId="4" borderId="2" xfId="0" applyFont="1" applyFill="1" applyBorder="1" applyAlignment="1">
      <alignment horizontal="center" vertical="center"/>
    </xf>
    <xf numFmtId="0" fontId="100" fillId="2" borderId="9" xfId="0" applyFont="1" applyFill="1" applyBorder="1" applyAlignment="1">
      <alignment horizontal="center" vertical="center"/>
    </xf>
    <xf numFmtId="0" fontId="100" fillId="2" borderId="2" xfId="0" applyFont="1" applyFill="1" applyBorder="1" applyAlignment="1">
      <alignment horizontal="center" vertical="center"/>
    </xf>
    <xf numFmtId="0" fontId="100" fillId="5" borderId="9" xfId="0" applyFont="1" applyFill="1" applyBorder="1" applyAlignment="1">
      <alignment horizontal="center" vertical="center"/>
    </xf>
    <xf numFmtId="0" fontId="100" fillId="5" borderId="2" xfId="0" applyFont="1" applyFill="1" applyBorder="1" applyAlignment="1">
      <alignment horizontal="center" vertical="center"/>
    </xf>
    <xf numFmtId="49" fontId="100" fillId="6" borderId="9" xfId="0" applyNumberFormat="1" applyFont="1" applyFill="1" applyBorder="1" applyAlignment="1">
      <alignment horizontal="center" vertical="center"/>
    </xf>
    <xf numFmtId="49" fontId="100" fillId="6" borderId="2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E89AD9"/>
      <color rgb="FFA2D2F2"/>
      <color rgb="FFF35B4B"/>
      <color rgb="FFDEB7B6"/>
      <color rgb="FFA8E4EC"/>
      <color rgb="FF00FFFF"/>
      <color rgb="FF9EF6A0"/>
      <color rgb="FFA2FE96"/>
      <color rgb="FFF0904E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YandexDisk\&#1047;&#1040;&#1050;&#1040;&#1047;&#1067;%20&#1086;&#1073;&#1097;&#1072;&#1103;\&#1047;&#1040;&#1050;&#1040;&#1047;&#1067;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очник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98"/>
  <sheetViews>
    <sheetView zoomScale="70" zoomScaleNormal="70" zoomScaleSheetLayoutView="70" workbookViewId="0">
      <pane ySplit="3" topLeftCell="A4" activePane="bottomLeft" state="frozen"/>
      <selection pane="bottomLeft" activeCell="H4" sqref="H4"/>
    </sheetView>
  </sheetViews>
  <sheetFormatPr defaultRowHeight="15" x14ac:dyDescent="0.25"/>
  <cols>
    <col min="1" max="1" width="18" style="113" customWidth="1"/>
    <col min="2" max="2" width="19.85546875" customWidth="1"/>
    <col min="3" max="3" width="17" customWidth="1"/>
    <col min="4" max="4" width="41" customWidth="1"/>
    <col min="5" max="5" width="15.5703125" style="174" customWidth="1"/>
    <col min="6" max="6" width="13" bestFit="1" customWidth="1"/>
    <col min="7" max="7" width="15.5703125" customWidth="1"/>
    <col min="8" max="8" width="22.42578125" customWidth="1"/>
    <col min="9" max="9" width="24.28515625" customWidth="1"/>
    <col min="10" max="10" width="20.28515625" customWidth="1"/>
    <col min="11" max="11" width="25.140625" customWidth="1"/>
    <col min="12" max="12" width="24.7109375" customWidth="1"/>
    <col min="13" max="13" width="32.140625" customWidth="1"/>
    <col min="14" max="14" width="18.42578125" style="140" customWidth="1"/>
    <col min="15" max="16" width="8.85546875" customWidth="1"/>
    <col min="17" max="17" width="8" customWidth="1"/>
    <col min="18" max="18" width="10.85546875" customWidth="1"/>
    <col min="19" max="19" width="13.85546875" customWidth="1"/>
    <col min="20" max="20" width="17.28515625" customWidth="1"/>
    <col min="21" max="21" width="15.42578125" customWidth="1"/>
  </cols>
  <sheetData>
    <row r="1" spans="1:20" s="59" customFormat="1" ht="17.25" x14ac:dyDescent="0.3">
      <c r="A1" s="109"/>
      <c r="B1" s="58" t="s">
        <v>152</v>
      </c>
      <c r="C1" s="66">
        <v>45992</v>
      </c>
      <c r="D1" s="58"/>
      <c r="E1" s="173"/>
      <c r="F1" s="58"/>
      <c r="H1" s="58"/>
      <c r="I1" s="58"/>
      <c r="J1" s="58"/>
      <c r="K1" s="60"/>
      <c r="L1" s="60"/>
      <c r="M1" s="60"/>
      <c r="N1" s="106"/>
      <c r="O1" s="60"/>
      <c r="P1" s="60"/>
      <c r="Q1" s="60"/>
    </row>
    <row r="2" spans="1:20" ht="25.5" customHeight="1" x14ac:dyDescent="0.25">
      <c r="A2" s="404" t="s">
        <v>159</v>
      </c>
      <c r="B2" s="406" t="s">
        <v>18</v>
      </c>
      <c r="C2" s="408" t="s">
        <v>156</v>
      </c>
      <c r="D2" s="410" t="s">
        <v>4</v>
      </c>
      <c r="E2" s="412" t="s">
        <v>5</v>
      </c>
      <c r="F2" s="402" t="s">
        <v>0</v>
      </c>
      <c r="G2" s="403"/>
      <c r="H2" s="388" t="s">
        <v>2</v>
      </c>
      <c r="I2" s="390" t="s">
        <v>3</v>
      </c>
      <c r="J2" s="392" t="s">
        <v>6</v>
      </c>
      <c r="K2" s="394" t="s">
        <v>7</v>
      </c>
      <c r="L2" s="395"/>
      <c r="M2" s="396"/>
      <c r="N2" s="107" t="s">
        <v>9</v>
      </c>
      <c r="O2" s="397" t="s">
        <v>12</v>
      </c>
      <c r="P2" s="398"/>
      <c r="Q2" s="399"/>
      <c r="R2" s="400" t="s">
        <v>151</v>
      </c>
      <c r="S2" s="387" t="s">
        <v>161</v>
      </c>
      <c r="T2" s="95"/>
    </row>
    <row r="3" spans="1:20" x14ac:dyDescent="0.25">
      <c r="A3" s="405"/>
      <c r="B3" s="407"/>
      <c r="C3" s="409"/>
      <c r="D3" s="411"/>
      <c r="E3" s="413"/>
      <c r="F3" s="149" t="s">
        <v>1</v>
      </c>
      <c r="G3" s="149" t="s">
        <v>155</v>
      </c>
      <c r="H3" s="389"/>
      <c r="I3" s="391"/>
      <c r="J3" s="393"/>
      <c r="K3" s="373" t="s">
        <v>8</v>
      </c>
      <c r="L3" s="373" t="s">
        <v>21</v>
      </c>
      <c r="M3" s="373" t="s">
        <v>10</v>
      </c>
      <c r="N3" s="150" t="s">
        <v>1038</v>
      </c>
      <c r="O3" s="151" t="s">
        <v>13</v>
      </c>
      <c r="P3" s="151" t="s">
        <v>154</v>
      </c>
      <c r="Q3" s="152" t="s">
        <v>23</v>
      </c>
      <c r="R3" s="401"/>
      <c r="S3" s="387"/>
      <c r="T3" s="153" t="s">
        <v>162</v>
      </c>
    </row>
    <row r="4" spans="1:20" s="63" customFormat="1" ht="13.5" customHeight="1" x14ac:dyDescent="0.25">
      <c r="A4" s="65" t="s">
        <v>790</v>
      </c>
      <c r="B4" s="57" t="s">
        <v>1935</v>
      </c>
      <c r="C4" s="57" t="s">
        <v>788</v>
      </c>
      <c r="D4" s="93" t="s">
        <v>157</v>
      </c>
      <c r="E4" s="189" t="s">
        <v>1894</v>
      </c>
      <c r="F4" s="92">
        <v>800</v>
      </c>
      <c r="G4" s="65">
        <v>4</v>
      </c>
      <c r="H4" s="65" t="s">
        <v>789</v>
      </c>
      <c r="I4" s="65" t="s">
        <v>404</v>
      </c>
      <c r="J4" s="55">
        <v>45992</v>
      </c>
      <c r="K4" s="165" t="s">
        <v>1960</v>
      </c>
      <c r="L4" s="166" t="s">
        <v>1010</v>
      </c>
      <c r="M4" s="53" t="s">
        <v>1008</v>
      </c>
      <c r="N4" s="199"/>
      <c r="O4" s="92"/>
      <c r="P4" s="57"/>
      <c r="Q4" s="92">
        <v>800</v>
      </c>
      <c r="R4" s="53" t="s">
        <v>417</v>
      </c>
      <c r="S4" s="94">
        <v>82000</v>
      </c>
      <c r="T4" s="61">
        <f t="shared" ref="T4:T21" si="0">S4*F4/1000</f>
        <v>65600</v>
      </c>
    </row>
    <row r="5" spans="1:20" s="63" customFormat="1" ht="13.5" customHeight="1" x14ac:dyDescent="0.25">
      <c r="A5" s="65" t="s">
        <v>790</v>
      </c>
      <c r="B5" s="57" t="s">
        <v>1935</v>
      </c>
      <c r="C5" s="57" t="s">
        <v>788</v>
      </c>
      <c r="D5" s="93" t="s">
        <v>157</v>
      </c>
      <c r="E5" s="189" t="s">
        <v>1938</v>
      </c>
      <c r="F5" s="92">
        <v>6400</v>
      </c>
      <c r="G5" s="65">
        <v>32</v>
      </c>
      <c r="H5" s="65" t="s">
        <v>789</v>
      </c>
      <c r="I5" s="65" t="s">
        <v>404</v>
      </c>
      <c r="J5" s="55">
        <v>45992</v>
      </c>
      <c r="K5" s="165" t="s">
        <v>1960</v>
      </c>
      <c r="L5" s="166" t="s">
        <v>1010</v>
      </c>
      <c r="M5" s="53" t="s">
        <v>1008</v>
      </c>
      <c r="N5" s="199"/>
      <c r="O5" s="92"/>
      <c r="P5" s="57"/>
      <c r="Q5" s="92">
        <v>6400</v>
      </c>
      <c r="R5" s="53" t="s">
        <v>417</v>
      </c>
      <c r="S5" s="94">
        <v>82000</v>
      </c>
      <c r="T5" s="61">
        <f t="shared" si="0"/>
        <v>524800</v>
      </c>
    </row>
    <row r="6" spans="1:20" s="63" customFormat="1" ht="13.5" customHeight="1" x14ac:dyDescent="0.25">
      <c r="A6" s="65" t="s">
        <v>790</v>
      </c>
      <c r="B6" s="57" t="s">
        <v>1935</v>
      </c>
      <c r="C6" s="57" t="s">
        <v>788</v>
      </c>
      <c r="D6" s="93" t="s">
        <v>157</v>
      </c>
      <c r="E6" s="189" t="s">
        <v>1939</v>
      </c>
      <c r="F6" s="92">
        <v>10400</v>
      </c>
      <c r="G6" s="65">
        <v>52</v>
      </c>
      <c r="H6" s="65" t="s">
        <v>789</v>
      </c>
      <c r="I6" s="65" t="s">
        <v>404</v>
      </c>
      <c r="J6" s="55">
        <v>45992</v>
      </c>
      <c r="K6" s="165" t="s">
        <v>1960</v>
      </c>
      <c r="L6" s="166" t="s">
        <v>1010</v>
      </c>
      <c r="M6" s="53" t="s">
        <v>1008</v>
      </c>
      <c r="N6" s="199"/>
      <c r="O6" s="92"/>
      <c r="P6" s="57"/>
      <c r="Q6" s="92">
        <v>10400</v>
      </c>
      <c r="R6" s="53" t="s">
        <v>417</v>
      </c>
      <c r="S6" s="94">
        <v>82000</v>
      </c>
      <c r="T6" s="61">
        <f t="shared" si="0"/>
        <v>852800</v>
      </c>
    </row>
    <row r="7" spans="1:20" s="63" customFormat="1" ht="13.5" customHeight="1" x14ac:dyDescent="0.25">
      <c r="A7" s="65" t="s">
        <v>389</v>
      </c>
      <c r="B7" s="57" t="s">
        <v>1838</v>
      </c>
      <c r="C7" s="57" t="s">
        <v>1480</v>
      </c>
      <c r="D7" s="93" t="s">
        <v>168</v>
      </c>
      <c r="E7" s="56" t="s">
        <v>1803</v>
      </c>
      <c r="F7" s="92">
        <v>1600</v>
      </c>
      <c r="G7" s="65">
        <v>8</v>
      </c>
      <c r="H7" s="65" t="s">
        <v>429</v>
      </c>
      <c r="I7" s="65" t="s">
        <v>404</v>
      </c>
      <c r="J7" s="55">
        <v>45992</v>
      </c>
      <c r="K7" s="368" t="s">
        <v>1964</v>
      </c>
      <c r="L7" s="369" t="s">
        <v>1965</v>
      </c>
      <c r="M7" s="62" t="s">
        <v>1971</v>
      </c>
      <c r="N7" s="162"/>
      <c r="O7" s="92"/>
      <c r="P7" s="92"/>
      <c r="Q7" s="92">
        <v>1600</v>
      </c>
      <c r="R7" s="53" t="s">
        <v>417</v>
      </c>
      <c r="S7" s="94">
        <v>111000</v>
      </c>
      <c r="T7" s="61">
        <f t="shared" si="0"/>
        <v>177600</v>
      </c>
    </row>
    <row r="8" spans="1:20" s="63" customFormat="1" ht="13.5" customHeight="1" x14ac:dyDescent="0.25">
      <c r="A8" s="65" t="s">
        <v>418</v>
      </c>
      <c r="B8" s="57" t="s">
        <v>1951</v>
      </c>
      <c r="C8" s="57" t="s">
        <v>1837</v>
      </c>
      <c r="D8" s="93" t="s">
        <v>223</v>
      </c>
      <c r="E8" s="56" t="s">
        <v>1847</v>
      </c>
      <c r="F8" s="92">
        <v>20000</v>
      </c>
      <c r="G8" s="65">
        <v>800</v>
      </c>
      <c r="H8" s="65" t="s">
        <v>773</v>
      </c>
      <c r="I8" s="65" t="s">
        <v>404</v>
      </c>
      <c r="J8" s="55">
        <v>45993</v>
      </c>
      <c r="K8" s="367" t="s">
        <v>1966</v>
      </c>
      <c r="L8" s="248">
        <v>89212974613</v>
      </c>
      <c r="M8" s="62" t="s">
        <v>518</v>
      </c>
      <c r="N8" s="162"/>
      <c r="O8" s="92"/>
      <c r="P8" s="92">
        <v>20000</v>
      </c>
      <c r="Q8" s="57"/>
      <c r="R8" s="53" t="s">
        <v>417</v>
      </c>
      <c r="S8" s="94">
        <v>250000</v>
      </c>
      <c r="T8" s="61">
        <f t="shared" si="0"/>
        <v>5000000</v>
      </c>
    </row>
    <row r="9" spans="1:20" s="63" customFormat="1" ht="13.5" customHeight="1" x14ac:dyDescent="0.25">
      <c r="A9" s="65" t="s">
        <v>311</v>
      </c>
      <c r="B9" s="57" t="s">
        <v>1448</v>
      </c>
      <c r="C9" s="57" t="s">
        <v>507</v>
      </c>
      <c r="D9" s="10" t="s">
        <v>237</v>
      </c>
      <c r="E9" s="56" t="s">
        <v>1425</v>
      </c>
      <c r="F9" s="57">
        <v>20000</v>
      </c>
      <c r="G9" s="65">
        <v>800</v>
      </c>
      <c r="H9" s="65" t="s">
        <v>165</v>
      </c>
      <c r="I9" s="55" t="s">
        <v>404</v>
      </c>
      <c r="J9" s="55">
        <v>45993</v>
      </c>
      <c r="K9" s="53" t="s">
        <v>1970</v>
      </c>
      <c r="L9" s="207">
        <v>89823053258</v>
      </c>
      <c r="M9" s="53" t="s">
        <v>1969</v>
      </c>
      <c r="N9" s="212"/>
      <c r="O9" s="57">
        <v>20000</v>
      </c>
      <c r="P9" s="57"/>
      <c r="Q9" s="57"/>
      <c r="R9" s="53" t="s">
        <v>417</v>
      </c>
      <c r="S9" s="94">
        <v>41500</v>
      </c>
      <c r="T9" s="61">
        <f t="shared" si="0"/>
        <v>830000</v>
      </c>
    </row>
    <row r="10" spans="1:20" s="63" customFormat="1" ht="13.5" customHeight="1" x14ac:dyDescent="0.25">
      <c r="A10" s="65" t="s">
        <v>311</v>
      </c>
      <c r="B10" s="57" t="s">
        <v>1448</v>
      </c>
      <c r="C10" s="57" t="s">
        <v>507</v>
      </c>
      <c r="D10" s="10" t="s">
        <v>237</v>
      </c>
      <c r="E10" s="56" t="s">
        <v>1424</v>
      </c>
      <c r="F10" s="57">
        <v>1000</v>
      </c>
      <c r="G10" s="65">
        <v>40</v>
      </c>
      <c r="H10" s="65" t="s">
        <v>165</v>
      </c>
      <c r="I10" s="55" t="s">
        <v>404</v>
      </c>
      <c r="J10" s="55">
        <v>45993</v>
      </c>
      <c r="K10" s="53" t="s">
        <v>1970</v>
      </c>
      <c r="L10" s="207">
        <v>89823053258</v>
      </c>
      <c r="M10" s="53" t="s">
        <v>1969</v>
      </c>
      <c r="N10" s="212"/>
      <c r="O10" s="57">
        <v>1000</v>
      </c>
      <c r="P10" s="57"/>
      <c r="Q10" s="57"/>
      <c r="R10" s="53" t="s">
        <v>417</v>
      </c>
      <c r="S10" s="94">
        <v>41500</v>
      </c>
      <c r="T10" s="61">
        <f t="shared" si="0"/>
        <v>41500</v>
      </c>
    </row>
    <row r="11" spans="1:20" s="63" customFormat="1" ht="13.5" customHeight="1" x14ac:dyDescent="0.25">
      <c r="A11" s="65" t="s">
        <v>408</v>
      </c>
      <c r="B11" s="57" t="s">
        <v>1977</v>
      </c>
      <c r="C11" s="57" t="s">
        <v>1837</v>
      </c>
      <c r="D11" s="93" t="s">
        <v>226</v>
      </c>
      <c r="E11" s="56" t="s">
        <v>1075</v>
      </c>
      <c r="F11" s="92">
        <v>18000</v>
      </c>
      <c r="G11" s="65">
        <v>720</v>
      </c>
      <c r="H11" s="65" t="s">
        <v>773</v>
      </c>
      <c r="I11" s="65" t="s">
        <v>404</v>
      </c>
      <c r="J11" s="55">
        <v>45996</v>
      </c>
      <c r="K11" s="370" t="s">
        <v>1892</v>
      </c>
      <c r="L11" s="248">
        <v>89116825992</v>
      </c>
      <c r="M11" s="62" t="s">
        <v>414</v>
      </c>
      <c r="N11" s="162"/>
      <c r="O11" s="92">
        <v>18000</v>
      </c>
      <c r="P11" s="92"/>
      <c r="Q11" s="57"/>
      <c r="R11" s="53" t="s">
        <v>417</v>
      </c>
      <c r="S11" s="94">
        <v>44500</v>
      </c>
      <c r="T11" s="61">
        <f t="shared" si="0"/>
        <v>801000</v>
      </c>
    </row>
    <row r="12" spans="1:20" s="63" customFormat="1" ht="13.5" customHeight="1" x14ac:dyDescent="0.25">
      <c r="A12" s="65" t="s">
        <v>408</v>
      </c>
      <c r="B12" s="57" t="s">
        <v>1977</v>
      </c>
      <c r="C12" s="57" t="s">
        <v>1837</v>
      </c>
      <c r="D12" s="93" t="s">
        <v>223</v>
      </c>
      <c r="E12" s="56" t="s">
        <v>1847</v>
      </c>
      <c r="F12" s="92">
        <v>2000</v>
      </c>
      <c r="G12" s="65">
        <v>80</v>
      </c>
      <c r="H12" s="65" t="s">
        <v>773</v>
      </c>
      <c r="I12" s="65" t="s">
        <v>404</v>
      </c>
      <c r="J12" s="55">
        <v>45996</v>
      </c>
      <c r="K12" s="370" t="s">
        <v>1892</v>
      </c>
      <c r="L12" s="248">
        <v>89116825992</v>
      </c>
      <c r="M12" s="62" t="s">
        <v>414</v>
      </c>
      <c r="N12" s="162"/>
      <c r="O12" s="92"/>
      <c r="P12" s="92">
        <v>2000</v>
      </c>
      <c r="Q12" s="57"/>
      <c r="R12" s="53" t="s">
        <v>417</v>
      </c>
      <c r="S12" s="94">
        <v>250000</v>
      </c>
      <c r="T12" s="61">
        <f t="shared" si="0"/>
        <v>500000</v>
      </c>
    </row>
    <row r="13" spans="1:20" s="63" customFormat="1" ht="13.5" customHeight="1" x14ac:dyDescent="0.25">
      <c r="A13" s="65" t="s">
        <v>1976</v>
      </c>
      <c r="B13" s="57" t="s">
        <v>1975</v>
      </c>
      <c r="C13" s="57" t="s">
        <v>1879</v>
      </c>
      <c r="D13" s="93" t="s">
        <v>263</v>
      </c>
      <c r="E13" s="56" t="s">
        <v>1974</v>
      </c>
      <c r="F13" s="92">
        <v>600</v>
      </c>
      <c r="G13" s="65">
        <v>3</v>
      </c>
      <c r="H13" s="65" t="s">
        <v>1991</v>
      </c>
      <c r="I13" s="65" t="s">
        <v>404</v>
      </c>
      <c r="J13" s="55">
        <v>45996</v>
      </c>
      <c r="K13" s="371" t="s">
        <v>623</v>
      </c>
      <c r="L13" s="248" t="s">
        <v>1990</v>
      </c>
      <c r="M13" s="62"/>
      <c r="N13" s="162"/>
      <c r="O13" s="92"/>
      <c r="P13" s="92"/>
      <c r="Q13" s="92">
        <v>600</v>
      </c>
      <c r="R13" s="53" t="s">
        <v>417</v>
      </c>
      <c r="S13" s="94">
        <v>235000</v>
      </c>
      <c r="T13" s="61">
        <f t="shared" si="0"/>
        <v>141000</v>
      </c>
    </row>
    <row r="14" spans="1:20" s="63" customFormat="1" ht="13.5" customHeight="1" x14ac:dyDescent="0.25">
      <c r="A14" s="65" t="s">
        <v>418</v>
      </c>
      <c r="B14" s="57" t="s">
        <v>1984</v>
      </c>
      <c r="C14" s="57" t="s">
        <v>1837</v>
      </c>
      <c r="D14" s="93" t="s">
        <v>223</v>
      </c>
      <c r="E14" s="56" t="s">
        <v>1847</v>
      </c>
      <c r="F14" s="92">
        <v>18000</v>
      </c>
      <c r="G14" s="65">
        <v>720</v>
      </c>
      <c r="H14" s="65" t="s">
        <v>773</v>
      </c>
      <c r="I14" s="65" t="s">
        <v>404</v>
      </c>
      <c r="J14" s="55">
        <v>45999</v>
      </c>
      <c r="K14" s="371" t="s">
        <v>1916</v>
      </c>
      <c r="L14" s="248">
        <v>89216004800</v>
      </c>
      <c r="M14" s="62" t="s">
        <v>811</v>
      </c>
      <c r="N14" s="162"/>
      <c r="O14" s="92"/>
      <c r="P14" s="92">
        <v>18000</v>
      </c>
      <c r="Q14" s="57"/>
      <c r="R14" s="53" t="s">
        <v>417</v>
      </c>
      <c r="S14" s="94">
        <v>250000</v>
      </c>
      <c r="T14" s="61">
        <f t="shared" si="0"/>
        <v>4500000</v>
      </c>
    </row>
    <row r="15" spans="1:20" s="63" customFormat="1" ht="13.5" customHeight="1" x14ac:dyDescent="0.25">
      <c r="A15" s="65" t="s">
        <v>418</v>
      </c>
      <c r="B15" s="57" t="s">
        <v>1984</v>
      </c>
      <c r="C15" s="57" t="s">
        <v>1837</v>
      </c>
      <c r="D15" s="93" t="s">
        <v>226</v>
      </c>
      <c r="E15" s="56" t="s">
        <v>1075</v>
      </c>
      <c r="F15" s="92">
        <v>2000</v>
      </c>
      <c r="G15" s="65">
        <v>80</v>
      </c>
      <c r="H15" s="65" t="s">
        <v>773</v>
      </c>
      <c r="I15" s="65" t="s">
        <v>404</v>
      </c>
      <c r="J15" s="55">
        <v>45999</v>
      </c>
      <c r="K15" s="371" t="s">
        <v>1916</v>
      </c>
      <c r="L15" s="248">
        <v>89216004800</v>
      </c>
      <c r="M15" s="62" t="s">
        <v>811</v>
      </c>
      <c r="N15" s="162"/>
      <c r="O15" s="92">
        <v>2000</v>
      </c>
      <c r="P15" s="92"/>
      <c r="Q15" s="57"/>
      <c r="R15" s="53" t="s">
        <v>417</v>
      </c>
      <c r="S15" s="94">
        <v>44500</v>
      </c>
      <c r="T15" s="61">
        <f t="shared" si="0"/>
        <v>89000</v>
      </c>
    </row>
    <row r="16" spans="1:20" s="63" customFormat="1" ht="13.5" customHeight="1" x14ac:dyDescent="0.25">
      <c r="A16" s="65" t="s">
        <v>311</v>
      </c>
      <c r="B16" s="57" t="s">
        <v>1980</v>
      </c>
      <c r="C16" s="57" t="s">
        <v>491</v>
      </c>
      <c r="D16" s="93" t="s">
        <v>226</v>
      </c>
      <c r="E16" s="56" t="s">
        <v>567</v>
      </c>
      <c r="F16" s="92">
        <v>12000</v>
      </c>
      <c r="G16" s="65">
        <v>480</v>
      </c>
      <c r="H16" s="65" t="s">
        <v>471</v>
      </c>
      <c r="I16" s="65" t="s">
        <v>404</v>
      </c>
      <c r="J16" s="55">
        <v>46000</v>
      </c>
      <c r="K16" s="371" t="s">
        <v>1986</v>
      </c>
      <c r="L16" s="248">
        <v>89923370709</v>
      </c>
      <c r="M16" s="62" t="s">
        <v>1985</v>
      </c>
      <c r="N16" s="162"/>
      <c r="O16" s="92">
        <v>12000</v>
      </c>
      <c r="P16" s="92"/>
      <c r="Q16" s="92"/>
      <c r="R16" s="53" t="s">
        <v>417</v>
      </c>
      <c r="S16" s="94">
        <v>44500</v>
      </c>
      <c r="T16" s="61">
        <f t="shared" si="0"/>
        <v>534000</v>
      </c>
    </row>
    <row r="17" spans="1:20" s="63" customFormat="1" ht="13.5" customHeight="1" x14ac:dyDescent="0.25">
      <c r="A17" s="65" t="s">
        <v>311</v>
      </c>
      <c r="B17" s="57" t="s">
        <v>1980</v>
      </c>
      <c r="C17" s="57" t="s">
        <v>491</v>
      </c>
      <c r="D17" s="93" t="s">
        <v>230</v>
      </c>
      <c r="E17" s="56" t="s">
        <v>1978</v>
      </c>
      <c r="F17" s="92">
        <v>2000</v>
      </c>
      <c r="G17" s="65">
        <v>80</v>
      </c>
      <c r="H17" s="65" t="s">
        <v>471</v>
      </c>
      <c r="I17" s="65" t="s">
        <v>404</v>
      </c>
      <c r="J17" s="55">
        <v>46000</v>
      </c>
      <c r="K17" s="371" t="s">
        <v>1986</v>
      </c>
      <c r="L17" s="248">
        <v>89923370709</v>
      </c>
      <c r="M17" s="62" t="s">
        <v>1985</v>
      </c>
      <c r="N17" s="162"/>
      <c r="O17" s="92"/>
      <c r="P17" s="92">
        <v>2000</v>
      </c>
      <c r="Q17" s="92"/>
      <c r="R17" s="53" t="s">
        <v>417</v>
      </c>
      <c r="S17" s="94">
        <v>250000</v>
      </c>
      <c r="T17" s="61">
        <f t="shared" si="0"/>
        <v>500000</v>
      </c>
    </row>
    <row r="18" spans="1:20" s="63" customFormat="1" ht="13.5" customHeight="1" x14ac:dyDescent="0.25">
      <c r="A18" s="65" t="s">
        <v>311</v>
      </c>
      <c r="B18" s="57" t="s">
        <v>1980</v>
      </c>
      <c r="C18" s="57" t="s">
        <v>491</v>
      </c>
      <c r="D18" s="93" t="s">
        <v>194</v>
      </c>
      <c r="E18" s="56" t="s">
        <v>1744</v>
      </c>
      <c r="F18" s="92">
        <v>6400</v>
      </c>
      <c r="G18" s="65">
        <v>32</v>
      </c>
      <c r="H18" s="65" t="s">
        <v>471</v>
      </c>
      <c r="I18" s="65" t="s">
        <v>404</v>
      </c>
      <c r="J18" s="55">
        <v>46000</v>
      </c>
      <c r="K18" s="371" t="s">
        <v>1986</v>
      </c>
      <c r="L18" s="248">
        <v>89923370709</v>
      </c>
      <c r="M18" s="62" t="s">
        <v>1985</v>
      </c>
      <c r="N18" s="162"/>
      <c r="O18" s="92"/>
      <c r="P18" s="92"/>
      <c r="Q18" s="92">
        <v>6400</v>
      </c>
      <c r="R18" s="53" t="s">
        <v>417</v>
      </c>
      <c r="S18" s="94">
        <v>105000</v>
      </c>
      <c r="T18" s="61">
        <f t="shared" si="0"/>
        <v>672000</v>
      </c>
    </row>
    <row r="19" spans="1:20" s="63" customFormat="1" x14ac:dyDescent="0.25">
      <c r="A19" s="65" t="s">
        <v>311</v>
      </c>
      <c r="B19" s="57" t="s">
        <v>1987</v>
      </c>
      <c r="C19" s="57" t="s">
        <v>1084</v>
      </c>
      <c r="D19" s="93" t="s">
        <v>157</v>
      </c>
      <c r="E19" s="189" t="s">
        <v>1930</v>
      </c>
      <c r="F19" s="92">
        <v>3600</v>
      </c>
      <c r="G19" s="65">
        <v>18</v>
      </c>
      <c r="H19" s="65" t="s">
        <v>1988</v>
      </c>
      <c r="I19" s="65" t="s">
        <v>404</v>
      </c>
      <c r="J19" s="372">
        <v>46000</v>
      </c>
      <c r="K19" s="99" t="s">
        <v>1996</v>
      </c>
      <c r="L19" s="185">
        <v>89042871081</v>
      </c>
      <c r="M19" s="53" t="s">
        <v>1995</v>
      </c>
      <c r="N19" s="212"/>
      <c r="O19" s="57"/>
      <c r="P19" s="57"/>
      <c r="Q19" s="92">
        <v>3600</v>
      </c>
      <c r="R19" s="53" t="s">
        <v>417</v>
      </c>
      <c r="S19" s="94">
        <v>85500</v>
      </c>
      <c r="T19" s="61">
        <f t="shared" si="0"/>
        <v>307800</v>
      </c>
    </row>
    <row r="20" spans="1:20" s="63" customFormat="1" x14ac:dyDescent="0.25">
      <c r="A20" s="65" t="s">
        <v>311</v>
      </c>
      <c r="B20" s="57" t="s">
        <v>1987</v>
      </c>
      <c r="C20" s="57" t="s">
        <v>1084</v>
      </c>
      <c r="D20" s="93" t="s">
        <v>157</v>
      </c>
      <c r="E20" s="189" t="s">
        <v>1931</v>
      </c>
      <c r="F20" s="92">
        <v>6800</v>
      </c>
      <c r="G20" s="65">
        <v>34</v>
      </c>
      <c r="H20" s="65" t="s">
        <v>1988</v>
      </c>
      <c r="I20" s="65" t="s">
        <v>404</v>
      </c>
      <c r="J20" s="372">
        <v>46000</v>
      </c>
      <c r="K20" s="99" t="s">
        <v>1996</v>
      </c>
      <c r="L20" s="185">
        <v>89042871081</v>
      </c>
      <c r="M20" s="53" t="s">
        <v>1995</v>
      </c>
      <c r="N20" s="212"/>
      <c r="O20" s="57"/>
      <c r="P20" s="57"/>
      <c r="Q20" s="92">
        <v>6800</v>
      </c>
      <c r="R20" s="53" t="s">
        <v>417</v>
      </c>
      <c r="S20" s="94">
        <v>85500</v>
      </c>
      <c r="T20" s="61">
        <f t="shared" si="0"/>
        <v>581400</v>
      </c>
    </row>
    <row r="21" spans="1:20" s="63" customFormat="1" x14ac:dyDescent="0.25">
      <c r="A21" s="65" t="s">
        <v>311</v>
      </c>
      <c r="B21" s="57" t="s">
        <v>1987</v>
      </c>
      <c r="C21" s="57" t="s">
        <v>1084</v>
      </c>
      <c r="D21" s="93" t="s">
        <v>157</v>
      </c>
      <c r="E21" s="189" t="s">
        <v>1932</v>
      </c>
      <c r="F21" s="92">
        <v>7200</v>
      </c>
      <c r="G21" s="65">
        <v>36</v>
      </c>
      <c r="H21" s="65" t="s">
        <v>1988</v>
      </c>
      <c r="I21" s="65" t="s">
        <v>404</v>
      </c>
      <c r="J21" s="372">
        <v>46000</v>
      </c>
      <c r="K21" s="99" t="s">
        <v>1996</v>
      </c>
      <c r="L21" s="185">
        <v>89042871081</v>
      </c>
      <c r="M21" s="53" t="s">
        <v>1995</v>
      </c>
      <c r="N21" s="212"/>
      <c r="O21" s="57"/>
      <c r="P21" s="57"/>
      <c r="Q21" s="92">
        <v>7200</v>
      </c>
      <c r="R21" s="53" t="s">
        <v>417</v>
      </c>
      <c r="S21" s="94">
        <v>85500</v>
      </c>
      <c r="T21" s="61">
        <f t="shared" si="0"/>
        <v>615600</v>
      </c>
    </row>
    <row r="22" spans="1:20" s="63" customFormat="1" x14ac:dyDescent="0.25">
      <c r="A22" s="65" t="s">
        <v>1992</v>
      </c>
      <c r="B22" s="57" t="s">
        <v>1993</v>
      </c>
      <c r="C22" s="57" t="s">
        <v>1084</v>
      </c>
      <c r="D22" s="93" t="s">
        <v>157</v>
      </c>
      <c r="E22" s="189" t="s">
        <v>1902</v>
      </c>
      <c r="F22" s="92">
        <v>6800</v>
      </c>
      <c r="G22" s="65">
        <v>34</v>
      </c>
      <c r="H22" s="65" t="s">
        <v>1988</v>
      </c>
      <c r="I22" s="65" t="s">
        <v>404</v>
      </c>
      <c r="J22" s="372">
        <v>46001</v>
      </c>
      <c r="K22" s="99" t="s">
        <v>1997</v>
      </c>
      <c r="L22" s="185">
        <v>89823630520</v>
      </c>
      <c r="M22" s="53" t="s">
        <v>1998</v>
      </c>
      <c r="N22" s="212"/>
      <c r="O22" s="57"/>
      <c r="P22" s="57"/>
      <c r="Q22" s="92">
        <v>6800</v>
      </c>
      <c r="R22" s="53" t="s">
        <v>417</v>
      </c>
      <c r="S22" s="94">
        <v>85500</v>
      </c>
      <c r="T22" s="61">
        <f>S22*F22/1000</f>
        <v>581400</v>
      </c>
    </row>
    <row r="23" spans="1:20" s="63" customFormat="1" x14ac:dyDescent="0.25">
      <c r="A23" s="65" t="s">
        <v>1992</v>
      </c>
      <c r="B23" s="57" t="s">
        <v>1993</v>
      </c>
      <c r="C23" s="57" t="s">
        <v>1084</v>
      </c>
      <c r="D23" s="93" t="s">
        <v>157</v>
      </c>
      <c r="E23" s="189" t="s">
        <v>1905</v>
      </c>
      <c r="F23" s="92">
        <v>7000</v>
      </c>
      <c r="G23" s="65">
        <v>35</v>
      </c>
      <c r="H23" s="65" t="s">
        <v>1988</v>
      </c>
      <c r="I23" s="65" t="s">
        <v>404</v>
      </c>
      <c r="J23" s="372">
        <v>46001</v>
      </c>
      <c r="K23" s="99" t="s">
        <v>1997</v>
      </c>
      <c r="L23" s="185">
        <v>89823630520</v>
      </c>
      <c r="M23" s="53" t="s">
        <v>1998</v>
      </c>
      <c r="N23" s="212"/>
      <c r="O23" s="57"/>
      <c r="P23" s="57"/>
      <c r="Q23" s="92">
        <v>7000</v>
      </c>
      <c r="R23" s="53" t="s">
        <v>417</v>
      </c>
      <c r="S23" s="94">
        <v>85500</v>
      </c>
      <c r="T23" s="61">
        <f>S23*F23/1000</f>
        <v>598500</v>
      </c>
    </row>
    <row r="24" spans="1:20" s="63" customFormat="1" x14ac:dyDescent="0.25">
      <c r="A24" s="65" t="s">
        <v>1992</v>
      </c>
      <c r="B24" s="57" t="s">
        <v>1993</v>
      </c>
      <c r="C24" s="57" t="s">
        <v>1084</v>
      </c>
      <c r="D24" s="93" t="s">
        <v>157</v>
      </c>
      <c r="E24" s="189" t="s">
        <v>1904</v>
      </c>
      <c r="F24" s="92">
        <v>3800</v>
      </c>
      <c r="G24" s="65">
        <v>19</v>
      </c>
      <c r="H24" s="65" t="s">
        <v>1988</v>
      </c>
      <c r="I24" s="65" t="s">
        <v>404</v>
      </c>
      <c r="J24" s="372">
        <v>46001</v>
      </c>
      <c r="K24" s="99" t="s">
        <v>1997</v>
      </c>
      <c r="L24" s="185">
        <v>89823630520</v>
      </c>
      <c r="M24" s="53" t="s">
        <v>1998</v>
      </c>
      <c r="N24" s="212"/>
      <c r="O24" s="57"/>
      <c r="P24" s="57"/>
      <c r="Q24" s="92">
        <v>3800</v>
      </c>
      <c r="R24" s="53" t="s">
        <v>417</v>
      </c>
      <c r="S24" s="94">
        <v>85500</v>
      </c>
      <c r="T24" s="61">
        <f>S24*F24/1000</f>
        <v>324900</v>
      </c>
    </row>
    <row r="25" spans="1:20" s="63" customFormat="1" x14ac:dyDescent="0.25">
      <c r="A25" s="65" t="s">
        <v>1992</v>
      </c>
      <c r="B25" s="57" t="s">
        <v>1994</v>
      </c>
      <c r="C25" s="57" t="s">
        <v>1084</v>
      </c>
      <c r="D25" s="93" t="s">
        <v>168</v>
      </c>
      <c r="E25" s="189" t="s">
        <v>1659</v>
      </c>
      <c r="F25" s="92">
        <v>8800</v>
      </c>
      <c r="G25" s="65">
        <v>44</v>
      </c>
      <c r="H25" s="65" t="s">
        <v>1988</v>
      </c>
      <c r="I25" s="65" t="s">
        <v>404</v>
      </c>
      <c r="J25" s="372">
        <v>46001</v>
      </c>
      <c r="K25" s="99" t="s">
        <v>1999</v>
      </c>
      <c r="L25" s="185">
        <v>89131417754</v>
      </c>
      <c r="M25" s="53" t="s">
        <v>2000</v>
      </c>
      <c r="N25" s="212"/>
      <c r="O25" s="57"/>
      <c r="P25" s="57"/>
      <c r="Q25" s="92">
        <v>8800</v>
      </c>
      <c r="R25" s="53" t="s">
        <v>417</v>
      </c>
      <c r="S25" s="94">
        <v>94500</v>
      </c>
      <c r="T25" s="61">
        <f t="shared" ref="T25:T34" si="1">S25*F25/1000</f>
        <v>831600</v>
      </c>
    </row>
    <row r="26" spans="1:20" s="63" customFormat="1" x14ac:dyDescent="0.25">
      <c r="A26" s="65" t="s">
        <v>1992</v>
      </c>
      <c r="B26" s="57" t="s">
        <v>1994</v>
      </c>
      <c r="C26" s="57" t="s">
        <v>1084</v>
      </c>
      <c r="D26" s="93" t="s">
        <v>168</v>
      </c>
      <c r="E26" s="189" t="s">
        <v>1680</v>
      </c>
      <c r="F26" s="92">
        <v>8800</v>
      </c>
      <c r="G26" s="65">
        <v>44</v>
      </c>
      <c r="H26" s="65" t="s">
        <v>1988</v>
      </c>
      <c r="I26" s="65" t="s">
        <v>404</v>
      </c>
      <c r="J26" s="372">
        <v>46001</v>
      </c>
      <c r="K26" s="99" t="s">
        <v>1999</v>
      </c>
      <c r="L26" s="185">
        <v>89131417754</v>
      </c>
      <c r="M26" s="53" t="s">
        <v>2000</v>
      </c>
      <c r="N26" s="212"/>
      <c r="O26" s="57"/>
      <c r="P26" s="57"/>
      <c r="Q26" s="92">
        <v>8800</v>
      </c>
      <c r="R26" s="53" t="s">
        <v>417</v>
      </c>
      <c r="S26" s="94">
        <v>94500</v>
      </c>
      <c r="T26" s="61">
        <f t="shared" si="1"/>
        <v>831600</v>
      </c>
    </row>
    <row r="27" spans="1:20" s="63" customFormat="1" x14ac:dyDescent="0.25">
      <c r="A27" s="65" t="s">
        <v>316</v>
      </c>
      <c r="B27" s="57" t="s">
        <v>2017</v>
      </c>
      <c r="C27" s="57" t="s">
        <v>1084</v>
      </c>
      <c r="D27" s="93" t="s">
        <v>157</v>
      </c>
      <c r="E27" s="189" t="s">
        <v>1681</v>
      </c>
      <c r="F27" s="92">
        <v>7200</v>
      </c>
      <c r="G27" s="65">
        <v>36</v>
      </c>
      <c r="H27" s="65" t="s">
        <v>1988</v>
      </c>
      <c r="I27" s="65" t="s">
        <v>404</v>
      </c>
      <c r="J27" s="372">
        <v>46001</v>
      </c>
      <c r="K27" s="99" t="s">
        <v>1989</v>
      </c>
      <c r="L27" s="185">
        <v>89182638560</v>
      </c>
      <c r="M27" s="53" t="s">
        <v>1305</v>
      </c>
      <c r="N27" s="212"/>
      <c r="O27" s="57"/>
      <c r="P27" s="57"/>
      <c r="Q27" s="92">
        <v>7200</v>
      </c>
      <c r="R27" s="53" t="s">
        <v>417</v>
      </c>
      <c r="S27" s="94">
        <v>85500</v>
      </c>
      <c r="T27" s="61">
        <f t="shared" si="1"/>
        <v>615600</v>
      </c>
    </row>
    <row r="28" spans="1:20" s="63" customFormat="1" x14ac:dyDescent="0.25">
      <c r="A28" s="65" t="s">
        <v>316</v>
      </c>
      <c r="B28" s="57" t="s">
        <v>2017</v>
      </c>
      <c r="C28" s="57" t="s">
        <v>1084</v>
      </c>
      <c r="D28" s="93" t="s">
        <v>157</v>
      </c>
      <c r="E28" s="189" t="s">
        <v>1682</v>
      </c>
      <c r="F28" s="92">
        <v>6800</v>
      </c>
      <c r="G28" s="65">
        <v>34</v>
      </c>
      <c r="H28" s="65" t="s">
        <v>1988</v>
      </c>
      <c r="I28" s="65" t="s">
        <v>404</v>
      </c>
      <c r="J28" s="372">
        <v>46001</v>
      </c>
      <c r="K28" s="99" t="s">
        <v>1989</v>
      </c>
      <c r="L28" s="185">
        <v>89182638560</v>
      </c>
      <c r="M28" s="53" t="s">
        <v>1305</v>
      </c>
      <c r="N28" s="212"/>
      <c r="O28" s="57"/>
      <c r="P28" s="57"/>
      <c r="Q28" s="92">
        <v>6800</v>
      </c>
      <c r="R28" s="53" t="s">
        <v>417</v>
      </c>
      <c r="S28" s="94">
        <v>85500</v>
      </c>
      <c r="T28" s="61">
        <f t="shared" si="1"/>
        <v>581400</v>
      </c>
    </row>
    <row r="29" spans="1:20" s="63" customFormat="1" x14ac:dyDescent="0.25">
      <c r="A29" s="65" t="s">
        <v>316</v>
      </c>
      <c r="B29" s="57" t="s">
        <v>2017</v>
      </c>
      <c r="C29" s="57" t="s">
        <v>1084</v>
      </c>
      <c r="D29" s="93" t="s">
        <v>157</v>
      </c>
      <c r="E29" s="189" t="s">
        <v>1930</v>
      </c>
      <c r="F29" s="92">
        <v>3600</v>
      </c>
      <c r="G29" s="65">
        <v>18</v>
      </c>
      <c r="H29" s="65" t="s">
        <v>1988</v>
      </c>
      <c r="I29" s="65" t="s">
        <v>404</v>
      </c>
      <c r="J29" s="372">
        <v>46001</v>
      </c>
      <c r="K29" s="99" t="s">
        <v>1989</v>
      </c>
      <c r="L29" s="185">
        <v>89182638560</v>
      </c>
      <c r="M29" s="53" t="s">
        <v>1305</v>
      </c>
      <c r="N29" s="212"/>
      <c r="O29" s="57"/>
      <c r="P29" s="57"/>
      <c r="Q29" s="92">
        <v>3600</v>
      </c>
      <c r="R29" s="53" t="s">
        <v>417</v>
      </c>
      <c r="S29" s="94">
        <v>85500</v>
      </c>
      <c r="T29" s="61">
        <f t="shared" si="1"/>
        <v>307800</v>
      </c>
    </row>
    <row r="30" spans="1:20" s="63" customFormat="1" x14ac:dyDescent="0.25">
      <c r="A30" s="65" t="s">
        <v>311</v>
      </c>
      <c r="B30" s="57" t="s">
        <v>2018</v>
      </c>
      <c r="C30" s="57" t="s">
        <v>1084</v>
      </c>
      <c r="D30" s="93" t="s">
        <v>168</v>
      </c>
      <c r="E30" s="189" t="s">
        <v>1917</v>
      </c>
      <c r="F30" s="92">
        <v>8800</v>
      </c>
      <c r="G30" s="65">
        <v>44</v>
      </c>
      <c r="H30" s="65" t="s">
        <v>1988</v>
      </c>
      <c r="I30" s="65" t="s">
        <v>404</v>
      </c>
      <c r="J30" s="372">
        <v>46001</v>
      </c>
      <c r="K30" s="99" t="s">
        <v>2001</v>
      </c>
      <c r="L30" s="185">
        <v>89991688169</v>
      </c>
      <c r="M30" s="53" t="s">
        <v>2002</v>
      </c>
      <c r="N30" s="212"/>
      <c r="O30" s="57"/>
      <c r="P30" s="57"/>
      <c r="Q30" s="92">
        <v>8800</v>
      </c>
      <c r="R30" s="53" t="s">
        <v>417</v>
      </c>
      <c r="S30" s="94">
        <v>94500</v>
      </c>
      <c r="T30" s="61">
        <f t="shared" si="1"/>
        <v>831600</v>
      </c>
    </row>
    <row r="31" spans="1:20" s="63" customFormat="1" x14ac:dyDescent="0.25">
      <c r="A31" s="65" t="s">
        <v>311</v>
      </c>
      <c r="B31" s="57" t="s">
        <v>2018</v>
      </c>
      <c r="C31" s="57" t="s">
        <v>1084</v>
      </c>
      <c r="D31" s="93" t="s">
        <v>168</v>
      </c>
      <c r="E31" s="189" t="s">
        <v>1924</v>
      </c>
      <c r="F31" s="92">
        <v>8800</v>
      </c>
      <c r="G31" s="65">
        <v>44</v>
      </c>
      <c r="H31" s="65" t="s">
        <v>1988</v>
      </c>
      <c r="I31" s="65" t="s">
        <v>404</v>
      </c>
      <c r="J31" s="372">
        <v>46001</v>
      </c>
      <c r="K31" s="99" t="s">
        <v>2001</v>
      </c>
      <c r="L31" s="185">
        <v>89991688169</v>
      </c>
      <c r="M31" s="53" t="s">
        <v>2002</v>
      </c>
      <c r="N31" s="212"/>
      <c r="O31" s="57"/>
      <c r="P31" s="57"/>
      <c r="Q31" s="92">
        <v>8800</v>
      </c>
      <c r="R31" s="53" t="s">
        <v>417</v>
      </c>
      <c r="S31" s="94">
        <v>94500</v>
      </c>
      <c r="T31" s="61">
        <f t="shared" si="1"/>
        <v>831600</v>
      </c>
    </row>
    <row r="32" spans="1:20" s="63" customFormat="1" ht="13.5" customHeight="1" x14ac:dyDescent="0.25">
      <c r="A32" s="65" t="s">
        <v>316</v>
      </c>
      <c r="B32" s="57" t="s">
        <v>1981</v>
      </c>
      <c r="C32" s="57" t="s">
        <v>491</v>
      </c>
      <c r="D32" s="93" t="s">
        <v>226</v>
      </c>
      <c r="E32" s="56" t="s">
        <v>567</v>
      </c>
      <c r="F32" s="92">
        <v>20000</v>
      </c>
      <c r="G32" s="65">
        <v>800</v>
      </c>
      <c r="H32" s="65" t="s">
        <v>471</v>
      </c>
      <c r="I32" s="65" t="s">
        <v>404</v>
      </c>
      <c r="J32" s="55">
        <v>46002</v>
      </c>
      <c r="K32" s="374" t="s">
        <v>2010</v>
      </c>
      <c r="L32" s="248">
        <v>89229265251</v>
      </c>
      <c r="M32" s="62" t="s">
        <v>2009</v>
      </c>
      <c r="N32" s="162"/>
      <c r="O32" s="92">
        <v>20000</v>
      </c>
      <c r="P32" s="92"/>
      <c r="Q32" s="57"/>
      <c r="R32" s="53" t="s">
        <v>417</v>
      </c>
      <c r="S32" s="94">
        <v>44500</v>
      </c>
      <c r="T32" s="61">
        <f>S32*F32/1000</f>
        <v>890000</v>
      </c>
    </row>
    <row r="33" spans="1:20" s="63" customFormat="1" ht="13.5" customHeight="1" x14ac:dyDescent="0.25">
      <c r="A33" s="65" t="s">
        <v>2012</v>
      </c>
      <c r="B33" s="57" t="s">
        <v>2004</v>
      </c>
      <c r="C33" s="57" t="s">
        <v>730</v>
      </c>
      <c r="D33" s="10" t="s">
        <v>1426</v>
      </c>
      <c r="E33" s="56" t="s">
        <v>2003</v>
      </c>
      <c r="F33" s="57">
        <v>18964</v>
      </c>
      <c r="G33" s="65">
        <v>88</v>
      </c>
      <c r="H33" s="65" t="s">
        <v>500</v>
      </c>
      <c r="I33" s="65" t="s">
        <v>404</v>
      </c>
      <c r="J33" s="55">
        <v>46003</v>
      </c>
      <c r="K33" s="375" t="s">
        <v>2014</v>
      </c>
      <c r="L33" s="248">
        <v>89115127033</v>
      </c>
      <c r="M33" s="62" t="s">
        <v>2013</v>
      </c>
      <c r="N33" s="162"/>
      <c r="O33" s="92"/>
      <c r="P33" s="92"/>
      <c r="Q33" s="57">
        <v>18964</v>
      </c>
      <c r="R33" s="53" t="s">
        <v>417</v>
      </c>
      <c r="S33" s="94">
        <v>93000</v>
      </c>
      <c r="T33" s="61">
        <f t="shared" si="1"/>
        <v>1763652</v>
      </c>
    </row>
    <row r="34" spans="1:20" s="63" customFormat="1" ht="13.5" customHeight="1" x14ac:dyDescent="0.25">
      <c r="A34" s="65" t="s">
        <v>1033</v>
      </c>
      <c r="B34" s="57" t="s">
        <v>2019</v>
      </c>
      <c r="C34" s="57" t="s">
        <v>1837</v>
      </c>
      <c r="D34" s="93" t="s">
        <v>226</v>
      </c>
      <c r="E34" s="56" t="s">
        <v>1075</v>
      </c>
      <c r="F34" s="92">
        <v>20000</v>
      </c>
      <c r="G34" s="65">
        <v>800</v>
      </c>
      <c r="H34" s="65" t="s">
        <v>773</v>
      </c>
      <c r="I34" s="65" t="s">
        <v>404</v>
      </c>
      <c r="J34" s="55">
        <v>46003</v>
      </c>
      <c r="K34" s="376" t="s">
        <v>2021</v>
      </c>
      <c r="L34" s="248">
        <v>89051805168</v>
      </c>
      <c r="M34" s="62" t="s">
        <v>2020</v>
      </c>
      <c r="N34" s="162"/>
      <c r="O34" s="92">
        <v>20000</v>
      </c>
      <c r="P34" s="92"/>
      <c r="Q34" s="57"/>
      <c r="R34" s="53" t="s">
        <v>417</v>
      </c>
      <c r="S34" s="94">
        <v>44500</v>
      </c>
      <c r="T34" s="61">
        <f t="shared" si="1"/>
        <v>890000</v>
      </c>
    </row>
    <row r="35" spans="1:20" s="63" customFormat="1" ht="13.5" customHeight="1" x14ac:dyDescent="0.25">
      <c r="A35" s="65" t="s">
        <v>297</v>
      </c>
      <c r="B35" s="57" t="s">
        <v>1961</v>
      </c>
      <c r="C35" s="57" t="s">
        <v>164</v>
      </c>
      <c r="D35" s="93" t="s">
        <v>304</v>
      </c>
      <c r="E35" s="167" t="s">
        <v>1967</v>
      </c>
      <c r="F35" s="92">
        <v>7000</v>
      </c>
      <c r="G35" s="65">
        <v>40</v>
      </c>
      <c r="H35" s="65" t="s">
        <v>166</v>
      </c>
      <c r="I35" s="65" t="s">
        <v>404</v>
      </c>
      <c r="J35" s="55">
        <v>46006</v>
      </c>
      <c r="K35" s="377" t="s">
        <v>2030</v>
      </c>
      <c r="L35" s="248">
        <v>89115583359</v>
      </c>
      <c r="M35" s="62" t="s">
        <v>571</v>
      </c>
      <c r="N35" s="262" t="s">
        <v>2023</v>
      </c>
      <c r="O35" s="92"/>
      <c r="P35" s="92"/>
      <c r="Q35" s="57">
        <v>7000</v>
      </c>
      <c r="R35" s="168" t="s">
        <v>417</v>
      </c>
      <c r="S35" s="94">
        <v>255000</v>
      </c>
      <c r="T35" s="61">
        <f>S35*F35/1000</f>
        <v>1785000</v>
      </c>
    </row>
    <row r="36" spans="1:20" s="63" customFormat="1" ht="13.5" customHeight="1" x14ac:dyDescent="0.25">
      <c r="A36" s="65" t="s">
        <v>297</v>
      </c>
      <c r="B36" s="57" t="s">
        <v>1961</v>
      </c>
      <c r="C36" s="57" t="s">
        <v>164</v>
      </c>
      <c r="D36" s="93" t="s">
        <v>304</v>
      </c>
      <c r="E36" s="167" t="s">
        <v>1968</v>
      </c>
      <c r="F36" s="92">
        <v>7000</v>
      </c>
      <c r="G36" s="65">
        <v>40</v>
      </c>
      <c r="H36" s="65" t="s">
        <v>166</v>
      </c>
      <c r="I36" s="65" t="s">
        <v>404</v>
      </c>
      <c r="J36" s="55">
        <v>46006</v>
      </c>
      <c r="K36" s="377" t="s">
        <v>2030</v>
      </c>
      <c r="L36" s="248">
        <v>89115583359</v>
      </c>
      <c r="M36" s="62" t="s">
        <v>571</v>
      </c>
      <c r="N36" s="262" t="s">
        <v>2023</v>
      </c>
      <c r="O36" s="92"/>
      <c r="P36" s="92"/>
      <c r="Q36" s="57">
        <v>7000</v>
      </c>
      <c r="R36" s="168" t="s">
        <v>417</v>
      </c>
      <c r="S36" s="94">
        <v>255000</v>
      </c>
      <c r="T36" s="61">
        <f>S36*F36/1000</f>
        <v>1785000</v>
      </c>
    </row>
    <row r="37" spans="1:20" s="63" customFormat="1" ht="13.5" customHeight="1" x14ac:dyDescent="0.25">
      <c r="A37" s="65" t="s">
        <v>2029</v>
      </c>
      <c r="B37" s="57" t="s">
        <v>2035</v>
      </c>
      <c r="C37" s="57" t="s">
        <v>1837</v>
      </c>
      <c r="D37" s="93" t="s">
        <v>223</v>
      </c>
      <c r="E37" s="56" t="s">
        <v>1847</v>
      </c>
      <c r="F37" s="92">
        <v>20000</v>
      </c>
      <c r="G37" s="65">
        <v>800</v>
      </c>
      <c r="H37" s="65" t="s">
        <v>773</v>
      </c>
      <c r="I37" s="65" t="s">
        <v>404</v>
      </c>
      <c r="J37" s="55">
        <v>46007</v>
      </c>
      <c r="K37" s="377" t="s">
        <v>1956</v>
      </c>
      <c r="L37" s="248">
        <v>89195966929</v>
      </c>
      <c r="M37" s="62" t="s">
        <v>2031</v>
      </c>
      <c r="N37" s="162"/>
      <c r="O37" s="92"/>
      <c r="P37" s="92">
        <v>20000</v>
      </c>
      <c r="Q37" s="57"/>
      <c r="R37" s="53" t="s">
        <v>417</v>
      </c>
      <c r="S37" s="94">
        <v>250000</v>
      </c>
      <c r="T37" s="61">
        <f>S37*F37/1000</f>
        <v>5000000</v>
      </c>
    </row>
    <row r="38" spans="1:20" s="63" customFormat="1" ht="13.5" customHeight="1" x14ac:dyDescent="0.25">
      <c r="A38" s="65" t="s">
        <v>316</v>
      </c>
      <c r="B38" s="57" t="s">
        <v>2036</v>
      </c>
      <c r="C38" s="57" t="s">
        <v>1837</v>
      </c>
      <c r="D38" s="93" t="s">
        <v>226</v>
      </c>
      <c r="E38" s="56" t="s">
        <v>1075</v>
      </c>
      <c r="F38" s="92">
        <v>18000</v>
      </c>
      <c r="G38" s="65">
        <v>720</v>
      </c>
      <c r="H38" s="65" t="s">
        <v>773</v>
      </c>
      <c r="I38" s="65" t="s">
        <v>404</v>
      </c>
      <c r="J38" s="55">
        <v>46007</v>
      </c>
      <c r="K38" s="378" t="s">
        <v>2039</v>
      </c>
      <c r="L38" s="248">
        <v>89877892282</v>
      </c>
      <c r="M38" s="62" t="s">
        <v>2038</v>
      </c>
      <c r="N38" s="162"/>
      <c r="O38" s="92">
        <v>18000</v>
      </c>
      <c r="P38" s="92"/>
      <c r="Q38" s="57"/>
      <c r="R38" s="53" t="s">
        <v>417</v>
      </c>
      <c r="S38" s="94">
        <v>44500</v>
      </c>
      <c r="T38" s="61">
        <f>S38*F38/1000</f>
        <v>801000</v>
      </c>
    </row>
    <row r="39" spans="1:20" s="63" customFormat="1" ht="13.5" customHeight="1" x14ac:dyDescent="0.25">
      <c r="A39" s="65" t="s">
        <v>316</v>
      </c>
      <c r="B39" s="57" t="s">
        <v>2036</v>
      </c>
      <c r="C39" s="57" t="s">
        <v>1837</v>
      </c>
      <c r="D39" s="93" t="s">
        <v>223</v>
      </c>
      <c r="E39" s="56" t="s">
        <v>1847</v>
      </c>
      <c r="F39" s="92">
        <v>2000</v>
      </c>
      <c r="G39" s="65">
        <v>80</v>
      </c>
      <c r="H39" s="65" t="s">
        <v>773</v>
      </c>
      <c r="I39" s="65" t="s">
        <v>404</v>
      </c>
      <c r="J39" s="55">
        <v>46007</v>
      </c>
      <c r="K39" s="378" t="s">
        <v>2039</v>
      </c>
      <c r="L39" s="248">
        <v>89877892282</v>
      </c>
      <c r="M39" s="62" t="s">
        <v>2038</v>
      </c>
      <c r="N39" s="162"/>
      <c r="O39" s="92"/>
      <c r="P39" s="92">
        <v>2000</v>
      </c>
      <c r="Q39" s="57"/>
      <c r="R39" s="53" t="s">
        <v>417</v>
      </c>
      <c r="S39" s="94">
        <v>250000</v>
      </c>
      <c r="T39" s="61">
        <f>S39*F39/1000</f>
        <v>500000</v>
      </c>
    </row>
    <row r="40" spans="1:20" s="63" customFormat="1" x14ac:dyDescent="0.25">
      <c r="A40" s="65" t="s">
        <v>311</v>
      </c>
      <c r="B40" s="57" t="s">
        <v>2034</v>
      </c>
      <c r="C40" s="57" t="s">
        <v>1084</v>
      </c>
      <c r="D40" s="93" t="s">
        <v>157</v>
      </c>
      <c r="E40" s="189" t="s">
        <v>1904</v>
      </c>
      <c r="F40" s="92">
        <v>3200</v>
      </c>
      <c r="G40" s="65">
        <v>16</v>
      </c>
      <c r="H40" s="65" t="s">
        <v>1988</v>
      </c>
      <c r="I40" s="65" t="s">
        <v>404</v>
      </c>
      <c r="J40" s="372">
        <v>46007</v>
      </c>
      <c r="K40" s="99" t="s">
        <v>2033</v>
      </c>
      <c r="L40" s="185">
        <v>89966862434</v>
      </c>
      <c r="M40" s="53" t="s">
        <v>2032</v>
      </c>
      <c r="N40" s="212"/>
      <c r="O40" s="57"/>
      <c r="P40" s="57"/>
      <c r="Q40" s="92">
        <v>3200</v>
      </c>
      <c r="R40" s="53" t="s">
        <v>417</v>
      </c>
      <c r="S40" s="94">
        <v>85500</v>
      </c>
      <c r="T40" s="61">
        <f t="shared" ref="T40" si="2">S40*F40/1000</f>
        <v>273600</v>
      </c>
    </row>
    <row r="41" spans="1:20" s="63" customFormat="1" x14ac:dyDescent="0.25">
      <c r="A41" s="65" t="s">
        <v>311</v>
      </c>
      <c r="B41" s="57" t="s">
        <v>2034</v>
      </c>
      <c r="C41" s="57" t="s">
        <v>1084</v>
      </c>
      <c r="D41" s="93" t="s">
        <v>157</v>
      </c>
      <c r="E41" s="189" t="s">
        <v>2003</v>
      </c>
      <c r="F41" s="92">
        <v>6400</v>
      </c>
      <c r="G41" s="65">
        <v>32</v>
      </c>
      <c r="H41" s="65" t="s">
        <v>1988</v>
      </c>
      <c r="I41" s="65" t="s">
        <v>404</v>
      </c>
      <c r="J41" s="372">
        <v>46007</v>
      </c>
      <c r="K41" s="99" t="s">
        <v>2033</v>
      </c>
      <c r="L41" s="185">
        <v>89966862434</v>
      </c>
      <c r="M41" s="53" t="s">
        <v>2032</v>
      </c>
      <c r="N41" s="212"/>
      <c r="O41" s="57"/>
      <c r="P41" s="57"/>
      <c r="Q41" s="92">
        <v>6400</v>
      </c>
      <c r="R41" s="53" t="s">
        <v>417</v>
      </c>
      <c r="S41" s="94">
        <v>85500</v>
      </c>
      <c r="T41" s="61">
        <f>S41*F41/1000</f>
        <v>547200</v>
      </c>
    </row>
    <row r="42" spans="1:20" s="63" customFormat="1" ht="19.5" customHeight="1" x14ac:dyDescent="0.25">
      <c r="A42" s="65" t="s">
        <v>311</v>
      </c>
      <c r="B42" s="57" t="s">
        <v>2034</v>
      </c>
      <c r="C42" s="57" t="s">
        <v>1084</v>
      </c>
      <c r="D42" s="93" t="s">
        <v>157</v>
      </c>
      <c r="E42" s="189" t="s">
        <v>2007</v>
      </c>
      <c r="F42" s="92">
        <v>7200</v>
      </c>
      <c r="G42" s="65">
        <v>36</v>
      </c>
      <c r="H42" s="65" t="s">
        <v>1988</v>
      </c>
      <c r="I42" s="65" t="s">
        <v>404</v>
      </c>
      <c r="J42" s="372">
        <v>46007</v>
      </c>
      <c r="K42" s="99" t="s">
        <v>2033</v>
      </c>
      <c r="L42" s="185">
        <v>89966862434</v>
      </c>
      <c r="M42" s="53" t="s">
        <v>2032</v>
      </c>
      <c r="N42" s="212"/>
      <c r="O42" s="57"/>
      <c r="P42" s="57"/>
      <c r="Q42" s="92">
        <v>7200</v>
      </c>
      <c r="R42" s="53" t="s">
        <v>417</v>
      </c>
      <c r="S42" s="94">
        <v>85500</v>
      </c>
      <c r="T42" s="61">
        <f>S42*F42/1000</f>
        <v>615600</v>
      </c>
    </row>
    <row r="43" spans="1:20" s="63" customFormat="1" x14ac:dyDescent="0.25">
      <c r="A43" s="65" t="s">
        <v>311</v>
      </c>
      <c r="B43" s="57" t="s">
        <v>2034</v>
      </c>
      <c r="C43" s="57" t="s">
        <v>1084</v>
      </c>
      <c r="D43" s="93" t="s">
        <v>157</v>
      </c>
      <c r="E43" s="189" t="s">
        <v>2024</v>
      </c>
      <c r="F43" s="92">
        <v>800</v>
      </c>
      <c r="G43" s="65">
        <v>4</v>
      </c>
      <c r="H43" s="65" t="s">
        <v>1988</v>
      </c>
      <c r="I43" s="65" t="s">
        <v>404</v>
      </c>
      <c r="J43" s="372">
        <v>46007</v>
      </c>
      <c r="K43" s="99" t="s">
        <v>2033</v>
      </c>
      <c r="L43" s="185">
        <v>89966862434</v>
      </c>
      <c r="M43" s="53" t="s">
        <v>2032</v>
      </c>
      <c r="N43" s="212"/>
      <c r="O43" s="57"/>
      <c r="P43" s="57"/>
      <c r="Q43" s="92">
        <v>800</v>
      </c>
      <c r="R43" s="53" t="s">
        <v>417</v>
      </c>
      <c r="S43" s="94">
        <v>85500</v>
      </c>
      <c r="T43" s="61">
        <f t="shared" ref="T43" si="3">S43*F43/1000</f>
        <v>68400</v>
      </c>
    </row>
    <row r="44" spans="1:20" s="63" customFormat="1" x14ac:dyDescent="0.25">
      <c r="A44" s="65" t="s">
        <v>421</v>
      </c>
      <c r="B44" s="57" t="s">
        <v>2037</v>
      </c>
      <c r="C44" s="57" t="s">
        <v>1084</v>
      </c>
      <c r="D44" s="93" t="s">
        <v>157</v>
      </c>
      <c r="E44" s="189" t="s">
        <v>2024</v>
      </c>
      <c r="F44" s="92">
        <v>5600</v>
      </c>
      <c r="G44" s="65">
        <v>28</v>
      </c>
      <c r="H44" s="65" t="s">
        <v>1988</v>
      </c>
      <c r="I44" s="65" t="s">
        <v>404</v>
      </c>
      <c r="J44" s="372">
        <v>46007</v>
      </c>
      <c r="K44" s="99" t="s">
        <v>1925</v>
      </c>
      <c r="L44" s="185">
        <v>89995402889</v>
      </c>
      <c r="M44" s="53" t="s">
        <v>1356</v>
      </c>
      <c r="N44" s="212"/>
      <c r="O44" s="57"/>
      <c r="P44" s="57"/>
      <c r="Q44" s="92">
        <v>5600</v>
      </c>
      <c r="R44" s="53" t="s">
        <v>417</v>
      </c>
      <c r="S44" s="94">
        <v>85500</v>
      </c>
      <c r="T44" s="61">
        <f>S44*F44/1000</f>
        <v>478800</v>
      </c>
    </row>
    <row r="45" spans="1:20" s="63" customFormat="1" x14ac:dyDescent="0.25">
      <c r="A45" s="65" t="s">
        <v>421</v>
      </c>
      <c r="B45" s="57" t="s">
        <v>2037</v>
      </c>
      <c r="C45" s="57" t="s">
        <v>1084</v>
      </c>
      <c r="D45" s="93" t="s">
        <v>157</v>
      </c>
      <c r="E45" s="189" t="s">
        <v>2025</v>
      </c>
      <c r="F45" s="92">
        <v>7200</v>
      </c>
      <c r="G45" s="65">
        <v>36</v>
      </c>
      <c r="H45" s="65" t="s">
        <v>1988</v>
      </c>
      <c r="I45" s="65" t="s">
        <v>404</v>
      </c>
      <c r="J45" s="372">
        <v>46007</v>
      </c>
      <c r="K45" s="99" t="s">
        <v>1925</v>
      </c>
      <c r="L45" s="185">
        <v>89995402889</v>
      </c>
      <c r="M45" s="53" t="s">
        <v>1356</v>
      </c>
      <c r="N45" s="212"/>
      <c r="O45" s="57"/>
      <c r="P45" s="57"/>
      <c r="Q45" s="92">
        <v>7200</v>
      </c>
      <c r="R45" s="53" t="s">
        <v>417</v>
      </c>
      <c r="S45" s="94">
        <v>85500</v>
      </c>
      <c r="T45" s="61">
        <f t="shared" ref="T45:T46" si="4">S45*F45/1000</f>
        <v>615600</v>
      </c>
    </row>
    <row r="46" spans="1:20" s="63" customFormat="1" x14ac:dyDescent="0.25">
      <c r="A46" s="65" t="s">
        <v>421</v>
      </c>
      <c r="B46" s="57" t="s">
        <v>2037</v>
      </c>
      <c r="C46" s="57" t="s">
        <v>1084</v>
      </c>
      <c r="D46" s="93" t="s">
        <v>157</v>
      </c>
      <c r="E46" s="189" t="s">
        <v>2026</v>
      </c>
      <c r="F46" s="92">
        <v>4800</v>
      </c>
      <c r="G46" s="65">
        <v>24</v>
      </c>
      <c r="H46" s="65" t="s">
        <v>1988</v>
      </c>
      <c r="I46" s="65" t="s">
        <v>404</v>
      </c>
      <c r="J46" s="372">
        <v>46007</v>
      </c>
      <c r="K46" s="99" t="s">
        <v>1925</v>
      </c>
      <c r="L46" s="185">
        <v>89995402889</v>
      </c>
      <c r="M46" s="53" t="s">
        <v>1356</v>
      </c>
      <c r="N46" s="212"/>
      <c r="O46" s="57"/>
      <c r="P46" s="57"/>
      <c r="Q46" s="92">
        <v>4800</v>
      </c>
      <c r="R46" s="53" t="s">
        <v>417</v>
      </c>
      <c r="S46" s="94">
        <v>85500</v>
      </c>
      <c r="T46" s="61">
        <f t="shared" si="4"/>
        <v>410400</v>
      </c>
    </row>
    <row r="47" spans="1:20" s="63" customFormat="1" x14ac:dyDescent="0.25">
      <c r="A47" s="65" t="s">
        <v>421</v>
      </c>
      <c r="B47" s="57" t="s">
        <v>2040</v>
      </c>
      <c r="C47" s="57" t="s">
        <v>1084</v>
      </c>
      <c r="D47" s="93" t="s">
        <v>168</v>
      </c>
      <c r="E47" s="189" t="s">
        <v>1680</v>
      </c>
      <c r="F47" s="92">
        <v>800</v>
      </c>
      <c r="G47" s="65">
        <v>4</v>
      </c>
      <c r="H47" s="65" t="s">
        <v>1988</v>
      </c>
      <c r="I47" s="65" t="s">
        <v>404</v>
      </c>
      <c r="J47" s="372">
        <v>46008</v>
      </c>
      <c r="K47" s="99" t="s">
        <v>1926</v>
      </c>
      <c r="L47" s="185">
        <v>89199519633</v>
      </c>
      <c r="M47" s="53" t="s">
        <v>1358</v>
      </c>
      <c r="N47" s="212"/>
      <c r="O47" s="57"/>
      <c r="P47" s="57"/>
      <c r="Q47" s="92">
        <v>800</v>
      </c>
      <c r="R47" s="53" t="s">
        <v>417</v>
      </c>
      <c r="S47" s="94">
        <v>94500</v>
      </c>
      <c r="T47" s="61">
        <f>S47*F47/1000</f>
        <v>75600</v>
      </c>
    </row>
    <row r="48" spans="1:20" s="63" customFormat="1" x14ac:dyDescent="0.25">
      <c r="A48" s="65" t="s">
        <v>421</v>
      </c>
      <c r="B48" s="57" t="s">
        <v>2040</v>
      </c>
      <c r="C48" s="57" t="s">
        <v>1084</v>
      </c>
      <c r="D48" s="93" t="s">
        <v>168</v>
      </c>
      <c r="E48" s="189" t="s">
        <v>2007</v>
      </c>
      <c r="F48" s="92">
        <v>7200</v>
      </c>
      <c r="G48" s="65">
        <v>36</v>
      </c>
      <c r="H48" s="65" t="s">
        <v>1988</v>
      </c>
      <c r="I48" s="65" t="s">
        <v>404</v>
      </c>
      <c r="J48" s="372">
        <v>46008</v>
      </c>
      <c r="K48" s="99" t="s">
        <v>2042</v>
      </c>
      <c r="L48" s="185">
        <v>89199519633</v>
      </c>
      <c r="M48" s="53" t="s">
        <v>1358</v>
      </c>
      <c r="N48" s="212"/>
      <c r="O48" s="57"/>
      <c r="P48" s="57"/>
      <c r="Q48" s="92">
        <v>7200</v>
      </c>
      <c r="R48" s="53" t="s">
        <v>417</v>
      </c>
      <c r="S48" s="94">
        <v>94500</v>
      </c>
      <c r="T48" s="61">
        <f>S48*F48/1000</f>
        <v>680400</v>
      </c>
    </row>
    <row r="49" spans="1:20" s="63" customFormat="1" x14ac:dyDescent="0.25">
      <c r="A49" s="65" t="s">
        <v>421</v>
      </c>
      <c r="B49" s="57" t="s">
        <v>2040</v>
      </c>
      <c r="C49" s="57" t="s">
        <v>1084</v>
      </c>
      <c r="D49" s="93" t="s">
        <v>168</v>
      </c>
      <c r="E49" s="189" t="s">
        <v>2022</v>
      </c>
      <c r="F49" s="92">
        <v>6800</v>
      </c>
      <c r="G49" s="65">
        <v>34</v>
      </c>
      <c r="H49" s="65" t="s">
        <v>1988</v>
      </c>
      <c r="I49" s="65" t="s">
        <v>404</v>
      </c>
      <c r="J49" s="372">
        <v>46008</v>
      </c>
      <c r="K49" s="99" t="s">
        <v>2043</v>
      </c>
      <c r="L49" s="185">
        <v>89199519633</v>
      </c>
      <c r="M49" s="53" t="s">
        <v>1358</v>
      </c>
      <c r="N49" s="212"/>
      <c r="O49" s="57"/>
      <c r="P49" s="57"/>
      <c r="Q49" s="92">
        <v>6800</v>
      </c>
      <c r="R49" s="53" t="s">
        <v>417</v>
      </c>
      <c r="S49" s="94">
        <v>94500</v>
      </c>
      <c r="T49" s="61">
        <f t="shared" ref="T49" si="5">S49*F49/1000</f>
        <v>642600</v>
      </c>
    </row>
    <row r="50" spans="1:20" s="63" customFormat="1" x14ac:dyDescent="0.25">
      <c r="A50" s="65" t="s">
        <v>421</v>
      </c>
      <c r="B50" s="57" t="s">
        <v>2040</v>
      </c>
      <c r="C50" s="57" t="s">
        <v>1084</v>
      </c>
      <c r="D50" s="93" t="s">
        <v>157</v>
      </c>
      <c r="E50" s="189" t="s">
        <v>2026</v>
      </c>
      <c r="F50" s="92">
        <v>2400</v>
      </c>
      <c r="G50" s="65">
        <v>12</v>
      </c>
      <c r="H50" s="65" t="s">
        <v>1988</v>
      </c>
      <c r="I50" s="65" t="s">
        <v>404</v>
      </c>
      <c r="J50" s="372">
        <v>46008</v>
      </c>
      <c r="K50" s="99" t="s">
        <v>2044</v>
      </c>
      <c r="L50" s="185">
        <v>89199519633</v>
      </c>
      <c r="M50" s="53" t="s">
        <v>1358</v>
      </c>
      <c r="N50" s="212"/>
      <c r="O50" s="57"/>
      <c r="P50" s="57"/>
      <c r="Q50" s="92">
        <v>2400</v>
      </c>
      <c r="R50" s="53" t="s">
        <v>417</v>
      </c>
      <c r="S50" s="94">
        <v>85500</v>
      </c>
      <c r="T50" s="61">
        <f t="shared" ref="T50" si="6">S50*F50/1000</f>
        <v>205200</v>
      </c>
    </row>
    <row r="51" spans="1:20" s="63" customFormat="1" x14ac:dyDescent="0.25">
      <c r="A51" s="65" t="s">
        <v>421</v>
      </c>
      <c r="B51" s="57" t="s">
        <v>2040</v>
      </c>
      <c r="C51" s="57" t="s">
        <v>1084</v>
      </c>
      <c r="D51" s="93" t="s">
        <v>157</v>
      </c>
      <c r="E51" s="189" t="s">
        <v>1972</v>
      </c>
      <c r="F51" s="92">
        <v>400</v>
      </c>
      <c r="G51" s="65">
        <v>2</v>
      </c>
      <c r="H51" s="65" t="s">
        <v>1988</v>
      </c>
      <c r="I51" s="65" t="s">
        <v>404</v>
      </c>
      <c r="J51" s="372">
        <v>46008</v>
      </c>
      <c r="K51" s="99" t="s">
        <v>2045</v>
      </c>
      <c r="L51" s="185">
        <v>89199519633</v>
      </c>
      <c r="M51" s="53" t="s">
        <v>1358</v>
      </c>
      <c r="N51" s="212"/>
      <c r="O51" s="57"/>
      <c r="P51" s="57"/>
      <c r="Q51" s="92">
        <v>400</v>
      </c>
      <c r="R51" s="53" t="s">
        <v>417</v>
      </c>
      <c r="S51" s="94">
        <v>85500</v>
      </c>
      <c r="T51" s="61">
        <f>S51*F51/1000</f>
        <v>34200</v>
      </c>
    </row>
    <row r="52" spans="1:20" s="63" customFormat="1" ht="13.5" customHeight="1" x14ac:dyDescent="0.25">
      <c r="A52" s="65" t="s">
        <v>311</v>
      </c>
      <c r="B52" s="57" t="s">
        <v>2005</v>
      </c>
      <c r="C52" s="57" t="s">
        <v>164</v>
      </c>
      <c r="D52" s="93" t="s">
        <v>2008</v>
      </c>
      <c r="E52" s="167" t="s">
        <v>2006</v>
      </c>
      <c r="F52" s="92">
        <v>17500</v>
      </c>
      <c r="G52" s="65">
        <v>700</v>
      </c>
      <c r="H52" s="65" t="s">
        <v>165</v>
      </c>
      <c r="I52" s="55" t="s">
        <v>404</v>
      </c>
      <c r="J52" s="55">
        <v>46008</v>
      </c>
      <c r="K52" s="379" t="s">
        <v>2047</v>
      </c>
      <c r="L52" s="248">
        <v>89228725860</v>
      </c>
      <c r="M52" s="62" t="s">
        <v>2046</v>
      </c>
      <c r="N52" s="262"/>
      <c r="O52" s="92"/>
      <c r="P52" s="92">
        <v>17500</v>
      </c>
      <c r="Q52" s="57"/>
      <c r="R52" s="168" t="s">
        <v>417</v>
      </c>
      <c r="S52" s="94">
        <v>265000</v>
      </c>
      <c r="T52" s="61">
        <f t="shared" ref="T52:T77" si="7">S52*F52/1000</f>
        <v>4637500</v>
      </c>
    </row>
    <row r="53" spans="1:20" s="63" customFormat="1" ht="13.5" customHeight="1" x14ac:dyDescent="0.25">
      <c r="A53" s="65" t="s">
        <v>311</v>
      </c>
      <c r="B53" s="57" t="s">
        <v>2011</v>
      </c>
      <c r="C53" s="57" t="s">
        <v>164</v>
      </c>
      <c r="D53" s="10" t="s">
        <v>306</v>
      </c>
      <c r="E53" s="167" t="s">
        <v>1893</v>
      </c>
      <c r="F53" s="57">
        <v>2625</v>
      </c>
      <c r="G53" s="65">
        <v>105</v>
      </c>
      <c r="H53" s="65" t="s">
        <v>165</v>
      </c>
      <c r="I53" s="55" t="s">
        <v>404</v>
      </c>
      <c r="J53" s="55">
        <v>46008</v>
      </c>
      <c r="K53" s="380" t="s">
        <v>2047</v>
      </c>
      <c r="L53" s="248">
        <v>89228725860</v>
      </c>
      <c r="M53" s="62" t="s">
        <v>2046</v>
      </c>
      <c r="N53" s="290"/>
      <c r="O53" s="57">
        <v>2625</v>
      </c>
      <c r="P53" s="57"/>
      <c r="Q53" s="57"/>
      <c r="R53" s="168" t="s">
        <v>417</v>
      </c>
      <c r="S53" s="94">
        <v>41000</v>
      </c>
      <c r="T53" s="61">
        <f t="shared" si="7"/>
        <v>107625</v>
      </c>
    </row>
    <row r="54" spans="1:20" s="63" customFormat="1" ht="13.5" customHeight="1" x14ac:dyDescent="0.25">
      <c r="A54" s="65" t="s">
        <v>316</v>
      </c>
      <c r="B54" s="57" t="s">
        <v>1982</v>
      </c>
      <c r="C54" s="57" t="s">
        <v>491</v>
      </c>
      <c r="D54" s="93" t="s">
        <v>226</v>
      </c>
      <c r="E54" s="56" t="s">
        <v>567</v>
      </c>
      <c r="F54" s="92">
        <v>20000</v>
      </c>
      <c r="G54" s="65">
        <v>800</v>
      </c>
      <c r="H54" s="65" t="s">
        <v>471</v>
      </c>
      <c r="I54" s="65" t="s">
        <v>404</v>
      </c>
      <c r="J54" s="55">
        <v>46009</v>
      </c>
      <c r="K54" s="379" t="s">
        <v>2052</v>
      </c>
      <c r="L54" s="248">
        <v>89202335007</v>
      </c>
      <c r="M54" s="62" t="s">
        <v>2051</v>
      </c>
      <c r="N54" s="162"/>
      <c r="O54" s="92">
        <v>20000</v>
      </c>
      <c r="P54" s="92"/>
      <c r="Q54" s="92"/>
      <c r="R54" s="53" t="s">
        <v>417</v>
      </c>
      <c r="S54" s="94">
        <v>44500</v>
      </c>
      <c r="T54" s="61">
        <f t="shared" si="7"/>
        <v>890000</v>
      </c>
    </row>
    <row r="55" spans="1:20" s="63" customFormat="1" ht="13.5" customHeight="1" x14ac:dyDescent="0.25">
      <c r="A55" s="65" t="s">
        <v>790</v>
      </c>
      <c r="B55" s="57" t="s">
        <v>1936</v>
      </c>
      <c r="C55" s="57" t="s">
        <v>788</v>
      </c>
      <c r="D55" s="93" t="s">
        <v>157</v>
      </c>
      <c r="E55" s="189" t="s">
        <v>1939</v>
      </c>
      <c r="F55" s="92">
        <v>4000</v>
      </c>
      <c r="G55" s="65">
        <v>20</v>
      </c>
      <c r="H55" s="65" t="s">
        <v>789</v>
      </c>
      <c r="I55" s="65" t="s">
        <v>404</v>
      </c>
      <c r="J55" s="381">
        <v>46009</v>
      </c>
      <c r="K55" s="165" t="s">
        <v>1891</v>
      </c>
      <c r="L55" s="166" t="s">
        <v>2061</v>
      </c>
      <c r="M55" s="53" t="s">
        <v>2060</v>
      </c>
      <c r="N55" s="199"/>
      <c r="O55" s="92"/>
      <c r="P55" s="57"/>
      <c r="Q55" s="92">
        <v>4000</v>
      </c>
      <c r="R55" s="53" t="s">
        <v>417</v>
      </c>
      <c r="S55" s="94">
        <v>82000</v>
      </c>
      <c r="T55" s="61">
        <f t="shared" si="7"/>
        <v>328000</v>
      </c>
    </row>
    <row r="56" spans="1:20" s="63" customFormat="1" ht="13.5" customHeight="1" x14ac:dyDescent="0.25">
      <c r="A56" s="65" t="s">
        <v>790</v>
      </c>
      <c r="B56" s="57" t="s">
        <v>1936</v>
      </c>
      <c r="C56" s="57" t="s">
        <v>788</v>
      </c>
      <c r="D56" s="93" t="s">
        <v>157</v>
      </c>
      <c r="E56" s="189" t="s">
        <v>1954</v>
      </c>
      <c r="F56" s="92">
        <v>7200</v>
      </c>
      <c r="G56" s="65">
        <v>36</v>
      </c>
      <c r="H56" s="65" t="s">
        <v>789</v>
      </c>
      <c r="I56" s="65" t="s">
        <v>404</v>
      </c>
      <c r="J56" s="381">
        <v>46009</v>
      </c>
      <c r="K56" s="165" t="s">
        <v>1891</v>
      </c>
      <c r="L56" s="166" t="s">
        <v>2061</v>
      </c>
      <c r="M56" s="53" t="s">
        <v>2060</v>
      </c>
      <c r="N56" s="199"/>
      <c r="O56" s="92"/>
      <c r="P56" s="57"/>
      <c r="Q56" s="92">
        <v>7200</v>
      </c>
      <c r="R56" s="53" t="s">
        <v>417</v>
      </c>
      <c r="S56" s="94">
        <v>82000</v>
      </c>
      <c r="T56" s="61">
        <f t="shared" si="7"/>
        <v>590400</v>
      </c>
    </row>
    <row r="57" spans="1:20" s="63" customFormat="1" ht="13.5" customHeight="1" x14ac:dyDescent="0.25">
      <c r="A57" s="65" t="s">
        <v>790</v>
      </c>
      <c r="B57" s="57" t="s">
        <v>1936</v>
      </c>
      <c r="C57" s="57" t="s">
        <v>788</v>
      </c>
      <c r="D57" s="93" t="s">
        <v>157</v>
      </c>
      <c r="E57" s="189" t="s">
        <v>1957</v>
      </c>
      <c r="F57" s="92">
        <v>6400</v>
      </c>
      <c r="G57" s="65">
        <v>32</v>
      </c>
      <c r="H57" s="65" t="s">
        <v>789</v>
      </c>
      <c r="I57" s="65" t="s">
        <v>404</v>
      </c>
      <c r="J57" s="381">
        <v>46009</v>
      </c>
      <c r="K57" s="165" t="s">
        <v>1891</v>
      </c>
      <c r="L57" s="166" t="s">
        <v>2061</v>
      </c>
      <c r="M57" s="53" t="s">
        <v>2060</v>
      </c>
      <c r="N57" s="199"/>
      <c r="O57" s="92"/>
      <c r="P57" s="57"/>
      <c r="Q57" s="92">
        <v>6400</v>
      </c>
      <c r="R57" s="53" t="s">
        <v>417</v>
      </c>
      <c r="S57" s="94">
        <v>82000</v>
      </c>
      <c r="T57" s="61">
        <f t="shared" si="7"/>
        <v>524800</v>
      </c>
    </row>
    <row r="58" spans="1:20" s="63" customFormat="1" ht="13.5" customHeight="1" x14ac:dyDescent="0.25">
      <c r="A58" s="65" t="s">
        <v>790</v>
      </c>
      <c r="B58" s="57" t="s">
        <v>1937</v>
      </c>
      <c r="C58" s="57" t="s">
        <v>788</v>
      </c>
      <c r="D58" s="93" t="s">
        <v>157</v>
      </c>
      <c r="E58" s="189" t="s">
        <v>1972</v>
      </c>
      <c r="F58" s="92">
        <v>7200</v>
      </c>
      <c r="G58" s="65">
        <v>36</v>
      </c>
      <c r="H58" s="65" t="s">
        <v>789</v>
      </c>
      <c r="I58" s="65" t="s">
        <v>404</v>
      </c>
      <c r="J58" s="381">
        <v>46010</v>
      </c>
      <c r="K58" s="165" t="s">
        <v>1941</v>
      </c>
      <c r="L58" s="166">
        <v>89773804045</v>
      </c>
      <c r="M58" s="53" t="s">
        <v>1940</v>
      </c>
      <c r="N58" s="199"/>
      <c r="O58" s="92"/>
      <c r="P58" s="57"/>
      <c r="Q58" s="92">
        <v>7200</v>
      </c>
      <c r="R58" s="53" t="s">
        <v>417</v>
      </c>
      <c r="S58" s="94">
        <v>82000</v>
      </c>
      <c r="T58" s="61">
        <f t="shared" ref="T58:T64" si="8">S58*F58/1000</f>
        <v>590400</v>
      </c>
    </row>
    <row r="59" spans="1:20" s="63" customFormat="1" ht="13.5" customHeight="1" x14ac:dyDescent="0.25">
      <c r="A59" s="65" t="s">
        <v>790</v>
      </c>
      <c r="B59" s="57" t="s">
        <v>1937</v>
      </c>
      <c r="C59" s="57" t="s">
        <v>788</v>
      </c>
      <c r="D59" s="93" t="s">
        <v>157</v>
      </c>
      <c r="E59" s="189" t="s">
        <v>1973</v>
      </c>
      <c r="F59" s="92">
        <v>7200</v>
      </c>
      <c r="G59" s="65">
        <v>36</v>
      </c>
      <c r="H59" s="65" t="s">
        <v>789</v>
      </c>
      <c r="I59" s="65" t="s">
        <v>404</v>
      </c>
      <c r="J59" s="381">
        <v>46010</v>
      </c>
      <c r="K59" s="165" t="s">
        <v>1941</v>
      </c>
      <c r="L59" s="166">
        <v>89773804045</v>
      </c>
      <c r="M59" s="53" t="s">
        <v>1940</v>
      </c>
      <c r="N59" s="199"/>
      <c r="O59" s="92"/>
      <c r="P59" s="57"/>
      <c r="Q59" s="92">
        <v>7200</v>
      </c>
      <c r="R59" s="53" t="s">
        <v>417</v>
      </c>
      <c r="S59" s="94">
        <v>82000</v>
      </c>
      <c r="T59" s="61">
        <f t="shared" si="8"/>
        <v>590400</v>
      </c>
    </row>
    <row r="60" spans="1:20" s="63" customFormat="1" ht="13.5" customHeight="1" x14ac:dyDescent="0.25">
      <c r="A60" s="65" t="s">
        <v>790</v>
      </c>
      <c r="B60" s="57" t="s">
        <v>1937</v>
      </c>
      <c r="C60" s="57" t="s">
        <v>788</v>
      </c>
      <c r="D60" s="93" t="s">
        <v>157</v>
      </c>
      <c r="E60" s="189" t="s">
        <v>1967</v>
      </c>
      <c r="F60" s="92">
        <v>3200</v>
      </c>
      <c r="G60" s="65">
        <v>16</v>
      </c>
      <c r="H60" s="65" t="s">
        <v>789</v>
      </c>
      <c r="I60" s="65" t="s">
        <v>404</v>
      </c>
      <c r="J60" s="381">
        <v>46010</v>
      </c>
      <c r="K60" s="165" t="s">
        <v>1941</v>
      </c>
      <c r="L60" s="166">
        <v>89773804045</v>
      </c>
      <c r="M60" s="53" t="s">
        <v>1940</v>
      </c>
      <c r="N60" s="199"/>
      <c r="O60" s="92"/>
      <c r="P60" s="57"/>
      <c r="Q60" s="92">
        <v>3200</v>
      </c>
      <c r="R60" s="53" t="s">
        <v>417</v>
      </c>
      <c r="S60" s="94">
        <v>82000</v>
      </c>
      <c r="T60" s="61">
        <f t="shared" si="8"/>
        <v>262400</v>
      </c>
    </row>
    <row r="61" spans="1:20" s="63" customFormat="1" ht="13.5" customHeight="1" x14ac:dyDescent="0.25">
      <c r="A61" s="65" t="s">
        <v>316</v>
      </c>
      <c r="B61" s="57" t="s">
        <v>2015</v>
      </c>
      <c r="C61" s="57" t="s">
        <v>1837</v>
      </c>
      <c r="D61" s="93" t="s">
        <v>194</v>
      </c>
      <c r="E61" s="56" t="s">
        <v>1212</v>
      </c>
      <c r="F61" s="92">
        <v>17600</v>
      </c>
      <c r="G61" s="65">
        <v>88</v>
      </c>
      <c r="H61" s="65" t="s">
        <v>165</v>
      </c>
      <c r="I61" s="65" t="s">
        <v>404</v>
      </c>
      <c r="J61" s="55">
        <v>46010</v>
      </c>
      <c r="K61" s="382" t="s">
        <v>2063</v>
      </c>
      <c r="L61" s="248">
        <v>89082487484</v>
      </c>
      <c r="M61" s="62" t="s">
        <v>2062</v>
      </c>
      <c r="N61" s="162"/>
      <c r="O61" s="92"/>
      <c r="P61" s="92"/>
      <c r="Q61" s="92">
        <v>17600</v>
      </c>
      <c r="R61" s="53" t="s">
        <v>417</v>
      </c>
      <c r="S61" s="94">
        <v>105000</v>
      </c>
      <c r="T61" s="61">
        <f t="shared" si="8"/>
        <v>1848000</v>
      </c>
    </row>
    <row r="62" spans="1:20" s="63" customFormat="1" x14ac:dyDescent="0.25">
      <c r="A62" s="65" t="s">
        <v>311</v>
      </c>
      <c r="B62" s="57" t="s">
        <v>2055</v>
      </c>
      <c r="C62" s="57" t="s">
        <v>1084</v>
      </c>
      <c r="D62" s="93" t="s">
        <v>157</v>
      </c>
      <c r="E62" s="189" t="s">
        <v>2041</v>
      </c>
      <c r="F62" s="92">
        <v>6400</v>
      </c>
      <c r="G62" s="65">
        <v>32</v>
      </c>
      <c r="H62" s="65" t="s">
        <v>1988</v>
      </c>
      <c r="I62" s="65" t="s">
        <v>404</v>
      </c>
      <c r="J62" s="372">
        <v>46010</v>
      </c>
      <c r="K62" s="99" t="s">
        <v>2054</v>
      </c>
      <c r="L62" s="185">
        <v>89178991264</v>
      </c>
      <c r="M62" s="53" t="s">
        <v>2053</v>
      </c>
      <c r="N62" s="212"/>
      <c r="O62" s="57"/>
      <c r="P62" s="57"/>
      <c r="Q62" s="92">
        <v>6400</v>
      </c>
      <c r="R62" s="53" t="s">
        <v>417</v>
      </c>
      <c r="S62" s="94">
        <v>85500</v>
      </c>
      <c r="T62" s="61">
        <f t="shared" si="8"/>
        <v>547200</v>
      </c>
    </row>
    <row r="63" spans="1:20" s="63" customFormat="1" x14ac:dyDescent="0.25">
      <c r="A63" s="65" t="s">
        <v>311</v>
      </c>
      <c r="B63" s="57" t="s">
        <v>2055</v>
      </c>
      <c r="C63" s="57" t="s">
        <v>1084</v>
      </c>
      <c r="D63" s="93" t="s">
        <v>157</v>
      </c>
      <c r="E63" s="189" t="s">
        <v>2006</v>
      </c>
      <c r="F63" s="92">
        <v>7200</v>
      </c>
      <c r="G63" s="65">
        <v>36</v>
      </c>
      <c r="H63" s="65" t="s">
        <v>1988</v>
      </c>
      <c r="I63" s="65" t="s">
        <v>404</v>
      </c>
      <c r="J63" s="372">
        <v>46010</v>
      </c>
      <c r="K63" s="99" t="s">
        <v>2054</v>
      </c>
      <c r="L63" s="185">
        <v>89178991264</v>
      </c>
      <c r="M63" s="53" t="s">
        <v>2053</v>
      </c>
      <c r="N63" s="212"/>
      <c r="O63" s="57"/>
      <c r="P63" s="57"/>
      <c r="Q63" s="92">
        <v>7200</v>
      </c>
      <c r="R63" s="53" t="s">
        <v>417</v>
      </c>
      <c r="S63" s="94">
        <v>85500</v>
      </c>
      <c r="T63" s="61">
        <f t="shared" si="8"/>
        <v>615600</v>
      </c>
    </row>
    <row r="64" spans="1:20" s="63" customFormat="1" x14ac:dyDescent="0.25">
      <c r="A64" s="65" t="s">
        <v>311</v>
      </c>
      <c r="B64" s="57" t="s">
        <v>2055</v>
      </c>
      <c r="C64" s="57" t="s">
        <v>1084</v>
      </c>
      <c r="D64" s="93" t="s">
        <v>157</v>
      </c>
      <c r="E64" s="189" t="s">
        <v>2058</v>
      </c>
      <c r="F64" s="92">
        <v>4000</v>
      </c>
      <c r="G64" s="65">
        <v>20</v>
      </c>
      <c r="H64" s="65" t="s">
        <v>1988</v>
      </c>
      <c r="I64" s="65" t="s">
        <v>404</v>
      </c>
      <c r="J64" s="372">
        <v>46010</v>
      </c>
      <c r="K64" s="99" t="s">
        <v>2054</v>
      </c>
      <c r="L64" s="185">
        <v>89178991264</v>
      </c>
      <c r="M64" s="53" t="s">
        <v>2053</v>
      </c>
      <c r="N64" s="212"/>
      <c r="O64" s="57"/>
      <c r="P64" s="57"/>
      <c r="Q64" s="92">
        <v>4000</v>
      </c>
      <c r="R64" s="53" t="s">
        <v>417</v>
      </c>
      <c r="S64" s="94">
        <v>85500</v>
      </c>
      <c r="T64" s="61">
        <f t="shared" si="8"/>
        <v>342000</v>
      </c>
    </row>
    <row r="65" spans="1:20" s="63" customFormat="1" ht="13.5" customHeight="1" x14ac:dyDescent="0.25">
      <c r="A65" s="65" t="s">
        <v>311</v>
      </c>
      <c r="B65" s="57" t="s">
        <v>1485</v>
      </c>
      <c r="C65" s="57" t="s">
        <v>491</v>
      </c>
      <c r="D65" s="93" t="s">
        <v>276</v>
      </c>
      <c r="E65" s="56" t="s">
        <v>1968</v>
      </c>
      <c r="F65" s="92">
        <v>800</v>
      </c>
      <c r="G65" s="65">
        <v>4</v>
      </c>
      <c r="H65" s="65" t="s">
        <v>165</v>
      </c>
      <c r="I65" s="55" t="s">
        <v>404</v>
      </c>
      <c r="J65" s="55">
        <v>46010</v>
      </c>
      <c r="K65" s="380" t="s">
        <v>2049</v>
      </c>
      <c r="L65" s="248">
        <v>89108992954</v>
      </c>
      <c r="M65" s="62" t="s">
        <v>2048</v>
      </c>
      <c r="N65" s="162"/>
      <c r="O65" s="92"/>
      <c r="P65" s="92"/>
      <c r="Q65" s="92">
        <v>800</v>
      </c>
      <c r="R65" s="53" t="s">
        <v>417</v>
      </c>
      <c r="S65" s="94">
        <v>97000</v>
      </c>
      <c r="T65" s="61">
        <f t="shared" ref="T65:T75" si="9">S65*F65/1000</f>
        <v>77600</v>
      </c>
    </row>
    <row r="66" spans="1:20" s="63" customFormat="1" ht="13.5" customHeight="1" x14ac:dyDescent="0.25">
      <c r="A66" s="65" t="s">
        <v>311</v>
      </c>
      <c r="B66" s="57" t="s">
        <v>1485</v>
      </c>
      <c r="C66" s="57" t="s">
        <v>491</v>
      </c>
      <c r="D66" s="93" t="s">
        <v>230</v>
      </c>
      <c r="E66" s="56" t="s">
        <v>1978</v>
      </c>
      <c r="F66" s="92">
        <v>1000</v>
      </c>
      <c r="G66" s="65">
        <v>40</v>
      </c>
      <c r="H66" s="65" t="s">
        <v>165</v>
      </c>
      <c r="I66" s="55" t="s">
        <v>404</v>
      </c>
      <c r="J66" s="55">
        <v>46010</v>
      </c>
      <c r="K66" s="380" t="s">
        <v>2049</v>
      </c>
      <c r="L66" s="248">
        <v>89108992954</v>
      </c>
      <c r="M66" s="62" t="s">
        <v>2048</v>
      </c>
      <c r="N66" s="162"/>
      <c r="O66" s="92"/>
      <c r="P66" s="92">
        <v>1000</v>
      </c>
      <c r="Q66" s="92"/>
      <c r="R66" s="53" t="s">
        <v>417</v>
      </c>
      <c r="S66" s="94">
        <v>250000</v>
      </c>
      <c r="T66" s="61">
        <f t="shared" si="9"/>
        <v>250000</v>
      </c>
    </row>
    <row r="67" spans="1:20" s="63" customFormat="1" ht="13.5" customHeight="1" x14ac:dyDescent="0.25">
      <c r="A67" s="65" t="s">
        <v>311</v>
      </c>
      <c r="B67" s="57" t="s">
        <v>1485</v>
      </c>
      <c r="C67" s="57" t="s">
        <v>491</v>
      </c>
      <c r="D67" s="93" t="s">
        <v>194</v>
      </c>
      <c r="E67" s="56" t="s">
        <v>1744</v>
      </c>
      <c r="F67" s="92">
        <v>12000</v>
      </c>
      <c r="G67" s="65">
        <v>60</v>
      </c>
      <c r="H67" s="65" t="s">
        <v>165</v>
      </c>
      <c r="I67" s="55" t="s">
        <v>404</v>
      </c>
      <c r="J67" s="55">
        <v>46010</v>
      </c>
      <c r="K67" s="380" t="s">
        <v>2049</v>
      </c>
      <c r="L67" s="248">
        <v>89108992954</v>
      </c>
      <c r="M67" s="62" t="s">
        <v>2048</v>
      </c>
      <c r="N67" s="162"/>
      <c r="O67" s="92"/>
      <c r="P67" s="92"/>
      <c r="Q67" s="92">
        <v>12000</v>
      </c>
      <c r="R67" s="53" t="s">
        <v>417</v>
      </c>
      <c r="S67" s="94">
        <v>105000</v>
      </c>
      <c r="T67" s="61">
        <f t="shared" si="9"/>
        <v>1260000</v>
      </c>
    </row>
    <row r="68" spans="1:20" s="63" customFormat="1" ht="13.5" customHeight="1" x14ac:dyDescent="0.25">
      <c r="A68" s="65" t="s">
        <v>311</v>
      </c>
      <c r="B68" s="57" t="s">
        <v>1485</v>
      </c>
      <c r="C68" s="57" t="s">
        <v>491</v>
      </c>
      <c r="D68" s="93" t="s">
        <v>168</v>
      </c>
      <c r="E68" s="56" t="s">
        <v>1182</v>
      </c>
      <c r="F68" s="92">
        <v>4000</v>
      </c>
      <c r="G68" s="65">
        <v>20</v>
      </c>
      <c r="H68" s="65" t="s">
        <v>165</v>
      </c>
      <c r="I68" s="55" t="s">
        <v>404</v>
      </c>
      <c r="J68" s="55">
        <v>46010</v>
      </c>
      <c r="K68" s="380" t="s">
        <v>2049</v>
      </c>
      <c r="L68" s="248">
        <v>89108992954</v>
      </c>
      <c r="M68" s="62" t="s">
        <v>2048</v>
      </c>
      <c r="N68" s="162"/>
      <c r="O68" s="92"/>
      <c r="P68" s="92"/>
      <c r="Q68" s="92">
        <v>4000</v>
      </c>
      <c r="R68" s="53" t="s">
        <v>417</v>
      </c>
      <c r="S68" s="94">
        <v>89000</v>
      </c>
      <c r="T68" s="61">
        <f t="shared" si="9"/>
        <v>356000</v>
      </c>
    </row>
    <row r="69" spans="1:20" s="63" customFormat="1" ht="13.5" customHeight="1" x14ac:dyDescent="0.25">
      <c r="A69" s="65" t="s">
        <v>316</v>
      </c>
      <c r="B69" s="57" t="s">
        <v>1983</v>
      </c>
      <c r="C69" s="57" t="s">
        <v>491</v>
      </c>
      <c r="D69" s="93" t="s">
        <v>194</v>
      </c>
      <c r="E69" s="56" t="s">
        <v>1744</v>
      </c>
      <c r="F69" s="92">
        <v>800</v>
      </c>
      <c r="G69" s="65">
        <v>4</v>
      </c>
      <c r="H69" s="65" t="s">
        <v>471</v>
      </c>
      <c r="I69" s="65" t="s">
        <v>404</v>
      </c>
      <c r="J69" s="55">
        <v>46010</v>
      </c>
      <c r="K69" s="382" t="s">
        <v>2057</v>
      </c>
      <c r="L69" s="248">
        <v>89012843927</v>
      </c>
      <c r="M69" s="62" t="s">
        <v>2056</v>
      </c>
      <c r="N69" s="162"/>
      <c r="O69" s="92"/>
      <c r="P69" s="92"/>
      <c r="Q69" s="92">
        <v>800</v>
      </c>
      <c r="R69" s="53" t="s">
        <v>417</v>
      </c>
      <c r="S69" s="94">
        <v>105000</v>
      </c>
      <c r="T69" s="61">
        <f t="shared" si="9"/>
        <v>84000</v>
      </c>
    </row>
    <row r="70" spans="1:20" s="63" customFormat="1" ht="13.5" customHeight="1" x14ac:dyDescent="0.25">
      <c r="A70" s="65" t="s">
        <v>316</v>
      </c>
      <c r="B70" s="57" t="s">
        <v>1983</v>
      </c>
      <c r="C70" s="57" t="s">
        <v>491</v>
      </c>
      <c r="D70" s="93" t="s">
        <v>290</v>
      </c>
      <c r="E70" s="56" t="s">
        <v>2050</v>
      </c>
      <c r="F70" s="92">
        <v>6000</v>
      </c>
      <c r="G70" s="65">
        <v>30</v>
      </c>
      <c r="H70" s="65" t="s">
        <v>471</v>
      </c>
      <c r="I70" s="65" t="s">
        <v>404</v>
      </c>
      <c r="J70" s="55">
        <v>46010</v>
      </c>
      <c r="K70" s="382" t="s">
        <v>2057</v>
      </c>
      <c r="L70" s="248">
        <v>89012843927</v>
      </c>
      <c r="M70" s="62" t="s">
        <v>2056</v>
      </c>
      <c r="N70" s="162"/>
      <c r="O70" s="92"/>
      <c r="P70" s="92"/>
      <c r="Q70" s="92">
        <v>6000</v>
      </c>
      <c r="R70" s="53" t="s">
        <v>417</v>
      </c>
      <c r="S70" s="94">
        <v>127000</v>
      </c>
      <c r="T70" s="61">
        <f t="shared" si="9"/>
        <v>762000</v>
      </c>
    </row>
    <row r="71" spans="1:20" s="63" customFormat="1" ht="13.5" customHeight="1" x14ac:dyDescent="0.25">
      <c r="A71" s="65" t="s">
        <v>316</v>
      </c>
      <c r="B71" s="57" t="s">
        <v>1983</v>
      </c>
      <c r="C71" s="57" t="s">
        <v>491</v>
      </c>
      <c r="D71" s="93" t="s">
        <v>276</v>
      </c>
      <c r="E71" s="56" t="s">
        <v>1968</v>
      </c>
      <c r="F71" s="92">
        <v>4400</v>
      </c>
      <c r="G71" s="65">
        <v>22</v>
      </c>
      <c r="H71" s="65" t="s">
        <v>471</v>
      </c>
      <c r="I71" s="65" t="s">
        <v>404</v>
      </c>
      <c r="J71" s="55">
        <v>46010</v>
      </c>
      <c r="K71" s="382" t="s">
        <v>2057</v>
      </c>
      <c r="L71" s="248">
        <v>89012843927</v>
      </c>
      <c r="M71" s="62" t="s">
        <v>2056</v>
      </c>
      <c r="N71" s="162"/>
      <c r="O71" s="92"/>
      <c r="P71" s="92"/>
      <c r="Q71" s="92">
        <v>4400</v>
      </c>
      <c r="R71" s="53" t="s">
        <v>417</v>
      </c>
      <c r="S71" s="94">
        <v>97000</v>
      </c>
      <c r="T71" s="61">
        <f t="shared" si="9"/>
        <v>426800</v>
      </c>
    </row>
    <row r="72" spans="1:20" s="63" customFormat="1" ht="13.5" customHeight="1" x14ac:dyDescent="0.25">
      <c r="A72" s="65" t="s">
        <v>316</v>
      </c>
      <c r="B72" s="57" t="s">
        <v>1983</v>
      </c>
      <c r="C72" s="57" t="s">
        <v>491</v>
      </c>
      <c r="D72" s="93" t="s">
        <v>252</v>
      </c>
      <c r="E72" s="56" t="s">
        <v>1979</v>
      </c>
      <c r="F72" s="92">
        <v>8000</v>
      </c>
      <c r="G72" s="65">
        <v>400</v>
      </c>
      <c r="H72" s="65" t="s">
        <v>471</v>
      </c>
      <c r="I72" s="65" t="s">
        <v>404</v>
      </c>
      <c r="J72" s="55">
        <v>46010</v>
      </c>
      <c r="K72" s="382" t="s">
        <v>2057</v>
      </c>
      <c r="L72" s="248">
        <v>89012843927</v>
      </c>
      <c r="M72" s="62" t="s">
        <v>2056</v>
      </c>
      <c r="N72" s="162"/>
      <c r="O72" s="92"/>
      <c r="P72" s="92">
        <v>8000</v>
      </c>
      <c r="Q72" s="92"/>
      <c r="R72" s="53" t="s">
        <v>417</v>
      </c>
      <c r="S72" s="94">
        <v>87000</v>
      </c>
      <c r="T72" s="61">
        <f t="shared" si="9"/>
        <v>696000</v>
      </c>
    </row>
    <row r="73" spans="1:20" s="63" customFormat="1" ht="13.5" customHeight="1" x14ac:dyDescent="0.25">
      <c r="A73" s="65" t="s">
        <v>311</v>
      </c>
      <c r="B73" s="57" t="s">
        <v>2016</v>
      </c>
      <c r="C73" s="57" t="s">
        <v>1837</v>
      </c>
      <c r="D73" s="93" t="s">
        <v>226</v>
      </c>
      <c r="E73" s="56" t="s">
        <v>1075</v>
      </c>
      <c r="F73" s="92">
        <v>20000</v>
      </c>
      <c r="G73" s="65">
        <v>800</v>
      </c>
      <c r="H73" s="65" t="s">
        <v>165</v>
      </c>
      <c r="I73" s="65" t="s">
        <v>404</v>
      </c>
      <c r="J73" s="55">
        <v>46013</v>
      </c>
      <c r="K73" s="383" t="s">
        <v>2065</v>
      </c>
      <c r="L73" s="248">
        <v>89131432738</v>
      </c>
      <c r="M73" s="62" t="s">
        <v>2064</v>
      </c>
      <c r="N73" s="162"/>
      <c r="O73" s="92">
        <v>20000</v>
      </c>
      <c r="P73" s="92"/>
      <c r="Q73" s="57"/>
      <c r="R73" s="53" t="s">
        <v>417</v>
      </c>
      <c r="S73" s="94">
        <v>44500</v>
      </c>
      <c r="T73" s="61">
        <f t="shared" si="9"/>
        <v>890000</v>
      </c>
    </row>
    <row r="74" spans="1:20" s="63" customFormat="1" ht="13.5" customHeight="1" x14ac:dyDescent="0.25">
      <c r="A74" s="65" t="s">
        <v>316</v>
      </c>
      <c r="B74" s="57" t="s">
        <v>1323</v>
      </c>
      <c r="C74" s="57" t="s">
        <v>491</v>
      </c>
      <c r="D74" s="93" t="s">
        <v>236</v>
      </c>
      <c r="E74" s="56" t="s">
        <v>1903</v>
      </c>
      <c r="F74" s="92">
        <v>5000</v>
      </c>
      <c r="G74" s="65">
        <v>250</v>
      </c>
      <c r="H74" s="65" t="s">
        <v>782</v>
      </c>
      <c r="I74" s="55" t="s">
        <v>404</v>
      </c>
      <c r="J74" s="55">
        <v>46014</v>
      </c>
      <c r="K74" s="384" t="s">
        <v>2069</v>
      </c>
      <c r="L74" s="248">
        <v>89872831666</v>
      </c>
      <c r="M74" s="62" t="s">
        <v>2068</v>
      </c>
      <c r="N74" s="162"/>
      <c r="O74" s="92"/>
      <c r="P74" s="92">
        <v>5000</v>
      </c>
      <c r="Q74" s="92"/>
      <c r="R74" s="53" t="s">
        <v>417</v>
      </c>
      <c r="S74" s="94">
        <v>270000</v>
      </c>
      <c r="T74" s="61">
        <f t="shared" si="9"/>
        <v>1350000</v>
      </c>
    </row>
    <row r="75" spans="1:20" s="63" customFormat="1" ht="13.5" customHeight="1" x14ac:dyDescent="0.25">
      <c r="A75" s="65" t="s">
        <v>316</v>
      </c>
      <c r="B75" s="57" t="s">
        <v>1323</v>
      </c>
      <c r="C75" s="57" t="s">
        <v>491</v>
      </c>
      <c r="D75" s="93" t="s">
        <v>268</v>
      </c>
      <c r="E75" s="56" t="s">
        <v>1904</v>
      </c>
      <c r="F75" s="92">
        <v>2880</v>
      </c>
      <c r="G75" s="65">
        <v>16</v>
      </c>
      <c r="H75" s="65" t="s">
        <v>782</v>
      </c>
      <c r="I75" s="55" t="s">
        <v>404</v>
      </c>
      <c r="J75" s="55">
        <v>46014</v>
      </c>
      <c r="K75" s="384" t="s">
        <v>2069</v>
      </c>
      <c r="L75" s="248">
        <v>89872831666</v>
      </c>
      <c r="M75" s="62" t="s">
        <v>2068</v>
      </c>
      <c r="N75" s="162"/>
      <c r="O75" s="92"/>
      <c r="P75" s="92"/>
      <c r="Q75" s="92">
        <v>2880</v>
      </c>
      <c r="R75" s="53" t="s">
        <v>417</v>
      </c>
      <c r="S75" s="94">
        <v>310000</v>
      </c>
      <c r="T75" s="61">
        <f t="shared" si="9"/>
        <v>892800</v>
      </c>
    </row>
    <row r="76" spans="1:20" s="63" customFormat="1" ht="13.5" customHeight="1" x14ac:dyDescent="0.25">
      <c r="A76" s="65" t="s">
        <v>316</v>
      </c>
      <c r="B76" s="57" t="s">
        <v>1323</v>
      </c>
      <c r="C76" s="57" t="s">
        <v>491</v>
      </c>
      <c r="D76" s="93" t="s">
        <v>217</v>
      </c>
      <c r="E76" s="56" t="s">
        <v>1902</v>
      </c>
      <c r="F76" s="92">
        <v>4000</v>
      </c>
      <c r="G76" s="65">
        <v>160</v>
      </c>
      <c r="H76" s="65" t="s">
        <v>782</v>
      </c>
      <c r="I76" s="55" t="s">
        <v>404</v>
      </c>
      <c r="J76" s="55">
        <v>46014</v>
      </c>
      <c r="K76" s="384" t="s">
        <v>2069</v>
      </c>
      <c r="L76" s="248">
        <v>89872831666</v>
      </c>
      <c r="M76" s="62" t="s">
        <v>2068</v>
      </c>
      <c r="N76" s="162"/>
      <c r="O76" s="92"/>
      <c r="P76" s="92">
        <v>4000</v>
      </c>
      <c r="Q76" s="92"/>
      <c r="R76" s="53" t="s">
        <v>417</v>
      </c>
      <c r="S76" s="94">
        <v>70000</v>
      </c>
      <c r="T76" s="61">
        <f t="shared" si="7"/>
        <v>280000</v>
      </c>
    </row>
    <row r="77" spans="1:20" s="63" customFormat="1" ht="13.5" customHeight="1" x14ac:dyDescent="0.25">
      <c r="A77" s="65" t="s">
        <v>316</v>
      </c>
      <c r="B77" s="57" t="s">
        <v>1323</v>
      </c>
      <c r="C77" s="57" t="s">
        <v>491</v>
      </c>
      <c r="D77" s="93" t="s">
        <v>309</v>
      </c>
      <c r="E77" s="56" t="s">
        <v>1905</v>
      </c>
      <c r="F77" s="92">
        <v>8000</v>
      </c>
      <c r="G77" s="65">
        <v>40</v>
      </c>
      <c r="H77" s="65" t="s">
        <v>782</v>
      </c>
      <c r="I77" s="55" t="s">
        <v>404</v>
      </c>
      <c r="J77" s="55">
        <v>46014</v>
      </c>
      <c r="K77" s="384" t="s">
        <v>2069</v>
      </c>
      <c r="L77" s="248">
        <v>89872831666</v>
      </c>
      <c r="M77" s="62" t="s">
        <v>2068</v>
      </c>
      <c r="N77" s="162"/>
      <c r="O77" s="92"/>
      <c r="P77" s="92"/>
      <c r="Q77" s="92">
        <v>8000</v>
      </c>
      <c r="R77" s="53" t="s">
        <v>417</v>
      </c>
      <c r="S77" s="94">
        <v>135000</v>
      </c>
      <c r="T77" s="61">
        <f t="shared" si="7"/>
        <v>1080000</v>
      </c>
    </row>
    <row r="78" spans="1:20" s="63" customFormat="1" ht="13.5" customHeight="1" x14ac:dyDescent="0.25">
      <c r="A78" s="65" t="s">
        <v>316</v>
      </c>
      <c r="B78" s="57" t="s">
        <v>2027</v>
      </c>
      <c r="C78" s="57" t="s">
        <v>491</v>
      </c>
      <c r="D78" s="93" t="s">
        <v>226</v>
      </c>
      <c r="E78" s="56" t="s">
        <v>567</v>
      </c>
      <c r="F78" s="92">
        <v>16000</v>
      </c>
      <c r="G78" s="65">
        <v>640</v>
      </c>
      <c r="H78" s="65" t="s">
        <v>493</v>
      </c>
      <c r="I78" s="65" t="s">
        <v>404</v>
      </c>
      <c r="J78" s="55">
        <v>46014</v>
      </c>
      <c r="K78" s="384" t="s">
        <v>2070</v>
      </c>
      <c r="L78" s="248">
        <v>89991645883</v>
      </c>
      <c r="M78" s="62" t="s">
        <v>1787</v>
      </c>
      <c r="N78" s="162"/>
      <c r="O78" s="92">
        <v>16000</v>
      </c>
      <c r="P78" s="92"/>
      <c r="Q78" s="92"/>
      <c r="R78" s="53" t="s">
        <v>417</v>
      </c>
      <c r="S78" s="94">
        <v>44500</v>
      </c>
      <c r="T78" s="61">
        <f t="shared" ref="T78:T83" si="10">S78*F78/1000</f>
        <v>712000</v>
      </c>
    </row>
    <row r="79" spans="1:20" s="63" customFormat="1" ht="13.5" customHeight="1" x14ac:dyDescent="0.25">
      <c r="A79" s="65" t="s">
        <v>316</v>
      </c>
      <c r="B79" s="57" t="s">
        <v>2027</v>
      </c>
      <c r="C79" s="57" t="s">
        <v>491</v>
      </c>
      <c r="D79" s="93" t="s">
        <v>168</v>
      </c>
      <c r="E79" s="56" t="s">
        <v>1182</v>
      </c>
      <c r="F79" s="92">
        <v>4000</v>
      </c>
      <c r="G79" s="65">
        <v>20</v>
      </c>
      <c r="H79" s="65" t="s">
        <v>493</v>
      </c>
      <c r="I79" s="65" t="s">
        <v>404</v>
      </c>
      <c r="J79" s="55">
        <v>46014</v>
      </c>
      <c r="K79" s="384" t="s">
        <v>2070</v>
      </c>
      <c r="L79" s="248">
        <v>89991645883</v>
      </c>
      <c r="M79" s="62" t="s">
        <v>1787</v>
      </c>
      <c r="N79" s="162"/>
      <c r="O79" s="92"/>
      <c r="P79" s="92"/>
      <c r="Q79" s="92">
        <v>4000</v>
      </c>
      <c r="R79" s="53" t="s">
        <v>417</v>
      </c>
      <c r="S79" s="94">
        <v>89000</v>
      </c>
      <c r="T79" s="61">
        <f t="shared" si="10"/>
        <v>356000</v>
      </c>
    </row>
    <row r="80" spans="1:20" s="63" customFormat="1" ht="13.5" customHeight="1" x14ac:dyDescent="0.25">
      <c r="A80" s="65" t="s">
        <v>1992</v>
      </c>
      <c r="B80" s="57" t="s">
        <v>1530</v>
      </c>
      <c r="C80" s="57" t="s">
        <v>491</v>
      </c>
      <c r="D80" s="93" t="s">
        <v>226</v>
      </c>
      <c r="E80" s="56" t="s">
        <v>567</v>
      </c>
      <c r="F80" s="92">
        <v>20000</v>
      </c>
      <c r="G80" s="65">
        <v>800</v>
      </c>
      <c r="H80" s="65" t="s">
        <v>493</v>
      </c>
      <c r="I80" s="65" t="s">
        <v>404</v>
      </c>
      <c r="J80" s="55">
        <v>46015</v>
      </c>
      <c r="K80" s="385" t="s">
        <v>2072</v>
      </c>
      <c r="L80" s="248">
        <v>89103976857</v>
      </c>
      <c r="M80" s="62" t="s">
        <v>2071</v>
      </c>
      <c r="N80" s="162"/>
      <c r="O80" s="92">
        <v>20000</v>
      </c>
      <c r="P80" s="92"/>
      <c r="Q80" s="92"/>
      <c r="R80" s="53" t="s">
        <v>417</v>
      </c>
      <c r="S80" s="94">
        <v>44500</v>
      </c>
      <c r="T80" s="61">
        <f t="shared" si="10"/>
        <v>890000</v>
      </c>
    </row>
    <row r="81" spans="1:20" s="63" customFormat="1" x14ac:dyDescent="0.25">
      <c r="A81" s="65" t="s">
        <v>311</v>
      </c>
      <c r="B81" s="57" t="s">
        <v>2059</v>
      </c>
      <c r="C81" s="57" t="s">
        <v>1084</v>
      </c>
      <c r="D81" s="93" t="s">
        <v>157</v>
      </c>
      <c r="E81" s="189" t="s">
        <v>2058</v>
      </c>
      <c r="F81" s="92">
        <v>2400</v>
      </c>
      <c r="G81" s="65">
        <v>12</v>
      </c>
      <c r="H81" s="65" t="s">
        <v>1988</v>
      </c>
      <c r="I81" s="65" t="s">
        <v>404</v>
      </c>
      <c r="J81" s="372">
        <v>46015</v>
      </c>
      <c r="K81" s="99" t="s">
        <v>2073</v>
      </c>
      <c r="L81" s="185">
        <v>89129296888</v>
      </c>
      <c r="M81" s="53" t="s">
        <v>1796</v>
      </c>
      <c r="N81" s="212"/>
      <c r="O81" s="57"/>
      <c r="P81" s="57"/>
      <c r="Q81" s="92">
        <v>2400</v>
      </c>
      <c r="R81" s="53" t="s">
        <v>417</v>
      </c>
      <c r="S81" s="94">
        <v>85500</v>
      </c>
      <c r="T81" s="61">
        <f t="shared" si="10"/>
        <v>205200</v>
      </c>
    </row>
    <row r="82" spans="1:20" s="63" customFormat="1" x14ac:dyDescent="0.25">
      <c r="A82" s="65" t="s">
        <v>311</v>
      </c>
      <c r="B82" s="57" t="s">
        <v>2059</v>
      </c>
      <c r="C82" s="57" t="s">
        <v>1084</v>
      </c>
      <c r="D82" s="93" t="s">
        <v>157</v>
      </c>
      <c r="E82" s="189" t="s">
        <v>2050</v>
      </c>
      <c r="F82" s="92">
        <v>7200</v>
      </c>
      <c r="G82" s="65">
        <v>36</v>
      </c>
      <c r="H82" s="65" t="s">
        <v>1988</v>
      </c>
      <c r="I82" s="65" t="s">
        <v>404</v>
      </c>
      <c r="J82" s="372">
        <v>46015</v>
      </c>
      <c r="K82" s="99" t="s">
        <v>2073</v>
      </c>
      <c r="L82" s="185">
        <v>89129296888</v>
      </c>
      <c r="M82" s="53" t="s">
        <v>1796</v>
      </c>
      <c r="N82" s="212"/>
      <c r="O82" s="57"/>
      <c r="P82" s="57"/>
      <c r="Q82" s="92">
        <v>7200</v>
      </c>
      <c r="R82" s="53" t="s">
        <v>417</v>
      </c>
      <c r="S82" s="94">
        <v>85500</v>
      </c>
      <c r="T82" s="61">
        <f t="shared" si="10"/>
        <v>615600</v>
      </c>
    </row>
    <row r="83" spans="1:20" s="63" customFormat="1" x14ac:dyDescent="0.25">
      <c r="A83" s="65" t="s">
        <v>311</v>
      </c>
      <c r="B83" s="57" t="s">
        <v>2059</v>
      </c>
      <c r="C83" s="57" t="s">
        <v>1084</v>
      </c>
      <c r="D83" s="93" t="s">
        <v>157</v>
      </c>
      <c r="E83" s="189" t="s">
        <v>2066</v>
      </c>
      <c r="F83" s="92">
        <v>6800</v>
      </c>
      <c r="G83" s="65">
        <v>34</v>
      </c>
      <c r="H83" s="65" t="s">
        <v>1988</v>
      </c>
      <c r="I83" s="65" t="s">
        <v>404</v>
      </c>
      <c r="J83" s="372">
        <v>46015</v>
      </c>
      <c r="K83" s="99" t="s">
        <v>2073</v>
      </c>
      <c r="L83" s="185">
        <v>89129296888</v>
      </c>
      <c r="M83" s="53" t="s">
        <v>1796</v>
      </c>
      <c r="N83" s="212"/>
      <c r="O83" s="57"/>
      <c r="P83" s="57"/>
      <c r="Q83" s="92">
        <v>6800</v>
      </c>
      <c r="R83" s="53" t="s">
        <v>417</v>
      </c>
      <c r="S83" s="94">
        <v>85500</v>
      </c>
      <c r="T83" s="61">
        <f t="shared" si="10"/>
        <v>581400</v>
      </c>
    </row>
    <row r="84" spans="1:20" s="63" customFormat="1" x14ac:dyDescent="0.25">
      <c r="A84" s="65" t="s">
        <v>311</v>
      </c>
      <c r="B84" s="57" t="s">
        <v>2059</v>
      </c>
      <c r="C84" s="57" t="s">
        <v>1084</v>
      </c>
      <c r="D84" s="93" t="s">
        <v>157</v>
      </c>
      <c r="E84" s="189" t="s">
        <v>2067</v>
      </c>
      <c r="F84" s="92">
        <v>800</v>
      </c>
      <c r="G84" s="65">
        <v>4</v>
      </c>
      <c r="H84" s="65" t="s">
        <v>1988</v>
      </c>
      <c r="I84" s="65" t="s">
        <v>404</v>
      </c>
      <c r="J84" s="372">
        <v>46015</v>
      </c>
      <c r="K84" s="99" t="s">
        <v>2073</v>
      </c>
      <c r="L84" s="185">
        <v>89129296888</v>
      </c>
      <c r="M84" s="53" t="s">
        <v>1796</v>
      </c>
      <c r="N84" s="212"/>
      <c r="O84" s="57"/>
      <c r="P84" s="57"/>
      <c r="Q84" s="92">
        <v>800</v>
      </c>
      <c r="R84" s="53" t="s">
        <v>417</v>
      </c>
      <c r="S84" s="94">
        <v>85500</v>
      </c>
      <c r="T84" s="61">
        <f t="shared" ref="T84:T89" si="11">S84*F84/1000</f>
        <v>68400</v>
      </c>
    </row>
    <row r="85" spans="1:20" s="63" customFormat="1" ht="13.5" customHeight="1" x14ac:dyDescent="0.25">
      <c r="A85" s="65" t="s">
        <v>408</v>
      </c>
      <c r="B85" s="57" t="s">
        <v>1449</v>
      </c>
      <c r="C85" s="57" t="s">
        <v>507</v>
      </c>
      <c r="D85" s="10" t="s">
        <v>237</v>
      </c>
      <c r="E85" s="56" t="s">
        <v>1466</v>
      </c>
      <c r="F85" s="57">
        <v>20000</v>
      </c>
      <c r="G85" s="65">
        <v>800</v>
      </c>
      <c r="H85" s="65" t="s">
        <v>165</v>
      </c>
      <c r="I85" s="55" t="s">
        <v>404</v>
      </c>
      <c r="J85" s="55">
        <v>46020</v>
      </c>
      <c r="K85" s="53" t="s">
        <v>1892</v>
      </c>
      <c r="L85" s="207">
        <v>89116825992</v>
      </c>
      <c r="M85" s="53" t="s">
        <v>414</v>
      </c>
      <c r="N85" s="212"/>
      <c r="O85" s="65">
        <v>20000</v>
      </c>
      <c r="P85" s="57"/>
      <c r="Q85" s="57"/>
      <c r="R85" s="53" t="s">
        <v>417</v>
      </c>
      <c r="S85" s="94">
        <v>41500</v>
      </c>
      <c r="T85" s="61">
        <f t="shared" si="11"/>
        <v>830000</v>
      </c>
    </row>
    <row r="86" spans="1:20" s="63" customFormat="1" ht="13.5" customHeight="1" x14ac:dyDescent="0.25">
      <c r="A86" s="65" t="s">
        <v>408</v>
      </c>
      <c r="B86" s="57" t="s">
        <v>1449</v>
      </c>
      <c r="C86" s="57" t="s">
        <v>507</v>
      </c>
      <c r="D86" s="10" t="s">
        <v>237</v>
      </c>
      <c r="E86" s="56" t="s">
        <v>1424</v>
      </c>
      <c r="F86" s="57">
        <v>1000</v>
      </c>
      <c r="G86" s="65">
        <v>40</v>
      </c>
      <c r="H86" s="65" t="s">
        <v>165</v>
      </c>
      <c r="I86" s="55" t="s">
        <v>404</v>
      </c>
      <c r="J86" s="55">
        <v>46020</v>
      </c>
      <c r="K86" s="53" t="s">
        <v>1892</v>
      </c>
      <c r="L86" s="207">
        <v>89116825992</v>
      </c>
      <c r="M86" s="53" t="s">
        <v>414</v>
      </c>
      <c r="N86" s="212"/>
      <c r="O86" s="65">
        <v>1000</v>
      </c>
      <c r="P86" s="57"/>
      <c r="Q86" s="57"/>
      <c r="R86" s="53" t="s">
        <v>417</v>
      </c>
      <c r="S86" s="94">
        <v>41500</v>
      </c>
      <c r="T86" s="61">
        <f t="shared" si="11"/>
        <v>41500</v>
      </c>
    </row>
    <row r="87" spans="1:20" s="63" customFormat="1" ht="13.5" customHeight="1" x14ac:dyDescent="0.25">
      <c r="A87" s="65" t="s">
        <v>418</v>
      </c>
      <c r="B87" s="57" t="s">
        <v>763</v>
      </c>
      <c r="C87" s="57" t="s">
        <v>491</v>
      </c>
      <c r="D87" s="93" t="s">
        <v>194</v>
      </c>
      <c r="E87" s="56" t="s">
        <v>1744</v>
      </c>
      <c r="F87" s="92">
        <v>5600</v>
      </c>
      <c r="G87" s="65">
        <v>28</v>
      </c>
      <c r="H87" s="65" t="s">
        <v>165</v>
      </c>
      <c r="I87" s="55" t="s">
        <v>404</v>
      </c>
      <c r="J87" s="55">
        <v>46021</v>
      </c>
      <c r="K87" s="386" t="s">
        <v>1966</v>
      </c>
      <c r="L87" s="248">
        <v>89212974613</v>
      </c>
      <c r="M87" s="62" t="s">
        <v>518</v>
      </c>
      <c r="N87" s="162"/>
      <c r="O87" s="92"/>
      <c r="P87" s="92"/>
      <c r="Q87" s="92">
        <v>5600</v>
      </c>
      <c r="R87" s="53" t="s">
        <v>417</v>
      </c>
      <c r="S87" s="94">
        <v>105000</v>
      </c>
      <c r="T87" s="61">
        <f t="shared" si="11"/>
        <v>588000</v>
      </c>
    </row>
    <row r="88" spans="1:20" s="63" customFormat="1" ht="13.5" customHeight="1" x14ac:dyDescent="0.25">
      <c r="A88" s="65" t="s">
        <v>418</v>
      </c>
      <c r="B88" s="57" t="s">
        <v>751</v>
      </c>
      <c r="C88" s="57" t="s">
        <v>491</v>
      </c>
      <c r="D88" s="93" t="s">
        <v>290</v>
      </c>
      <c r="E88" s="56" t="s">
        <v>2050</v>
      </c>
      <c r="F88" s="92">
        <v>4000</v>
      </c>
      <c r="G88" s="65">
        <v>20</v>
      </c>
      <c r="H88" s="65" t="s">
        <v>165</v>
      </c>
      <c r="I88" s="65" t="s">
        <v>404</v>
      </c>
      <c r="J88" s="55">
        <v>46021</v>
      </c>
      <c r="K88" s="382" t="s">
        <v>1966</v>
      </c>
      <c r="L88" s="248">
        <v>89212974613</v>
      </c>
      <c r="M88" s="62" t="s">
        <v>518</v>
      </c>
      <c r="N88" s="162"/>
      <c r="O88" s="92"/>
      <c r="P88" s="92"/>
      <c r="Q88" s="92">
        <v>4000</v>
      </c>
      <c r="R88" s="53" t="s">
        <v>417</v>
      </c>
      <c r="S88" s="94">
        <v>127000</v>
      </c>
      <c r="T88" s="61">
        <f t="shared" si="11"/>
        <v>508000</v>
      </c>
    </row>
    <row r="89" spans="1:20" s="63" customFormat="1" ht="13.5" customHeight="1" x14ac:dyDescent="0.25">
      <c r="A89" s="65" t="s">
        <v>418</v>
      </c>
      <c r="B89" s="57" t="s">
        <v>594</v>
      </c>
      <c r="C89" s="57" t="s">
        <v>2075</v>
      </c>
      <c r="D89" s="93" t="s">
        <v>322</v>
      </c>
      <c r="E89" s="56" t="s">
        <v>2074</v>
      </c>
      <c r="F89" s="92">
        <v>5000</v>
      </c>
      <c r="G89" s="65">
        <v>25</v>
      </c>
      <c r="H89" s="65" t="s">
        <v>2076</v>
      </c>
      <c r="I89" s="65" t="s">
        <v>404</v>
      </c>
      <c r="J89" s="55">
        <v>46021</v>
      </c>
      <c r="K89" s="321" t="s">
        <v>1966</v>
      </c>
      <c r="L89" s="248">
        <v>89212974613</v>
      </c>
      <c r="M89" s="62" t="s">
        <v>518</v>
      </c>
      <c r="N89" s="162"/>
      <c r="O89" s="92"/>
      <c r="P89" s="92"/>
      <c r="Q89" s="57">
        <v>5000</v>
      </c>
      <c r="R89" s="53" t="s">
        <v>417</v>
      </c>
      <c r="S89" s="94">
        <v>280000</v>
      </c>
      <c r="T89" s="61">
        <f t="shared" si="11"/>
        <v>1400000</v>
      </c>
    </row>
    <row r="90" spans="1:20" s="63" customFormat="1" ht="13.5" customHeight="1" x14ac:dyDescent="0.25">
      <c r="A90" s="65" t="s">
        <v>418</v>
      </c>
      <c r="B90" s="57" t="s">
        <v>1450</v>
      </c>
      <c r="C90" s="57" t="s">
        <v>507</v>
      </c>
      <c r="D90" s="10" t="s">
        <v>237</v>
      </c>
      <c r="E90" s="56" t="s">
        <v>1467</v>
      </c>
      <c r="F90" s="57">
        <v>20000</v>
      </c>
      <c r="G90" s="65">
        <v>800</v>
      </c>
      <c r="H90" s="65" t="s">
        <v>165</v>
      </c>
      <c r="I90" s="55" t="s">
        <v>404</v>
      </c>
      <c r="J90" s="55">
        <v>46021</v>
      </c>
      <c r="K90" s="53" t="s">
        <v>1916</v>
      </c>
      <c r="L90" s="207">
        <v>89216004800</v>
      </c>
      <c r="M90" s="53" t="s">
        <v>811</v>
      </c>
      <c r="N90" s="212"/>
      <c r="O90" s="57">
        <v>20000</v>
      </c>
      <c r="P90" s="57"/>
      <c r="Q90" s="57"/>
      <c r="R90" s="53" t="s">
        <v>417</v>
      </c>
      <c r="S90" s="94">
        <v>41500</v>
      </c>
      <c r="T90" s="61">
        <f>S90*F90/1000</f>
        <v>830000</v>
      </c>
    </row>
    <row r="91" spans="1:20" s="63" customFormat="1" ht="13.5" customHeight="1" x14ac:dyDescent="0.25">
      <c r="A91" s="65" t="s">
        <v>2077</v>
      </c>
      <c r="B91" s="57" t="s">
        <v>2078</v>
      </c>
      <c r="C91" s="57" t="s">
        <v>2079</v>
      </c>
      <c r="D91" s="93" t="s">
        <v>223</v>
      </c>
      <c r="E91" s="56"/>
      <c r="F91" s="57">
        <v>6</v>
      </c>
      <c r="G91" s="65"/>
      <c r="H91" s="65"/>
      <c r="I91" s="55" t="s">
        <v>404</v>
      </c>
      <c r="J91" s="55">
        <v>46020</v>
      </c>
      <c r="K91" s="53"/>
      <c r="L91" s="207"/>
      <c r="M91" s="53"/>
      <c r="N91" s="212"/>
      <c r="O91" s="57"/>
      <c r="P91" s="57">
        <v>6</v>
      </c>
      <c r="Q91" s="57"/>
      <c r="R91" s="53" t="s">
        <v>417</v>
      </c>
      <c r="S91" s="94">
        <v>250000</v>
      </c>
      <c r="T91" s="61">
        <f>S91*F91/1000</f>
        <v>1500</v>
      </c>
    </row>
    <row r="92" spans="1:20" ht="21" customHeight="1" x14ac:dyDescent="0.3">
      <c r="A92" s="342"/>
      <c r="B92" s="343"/>
      <c r="C92" s="343"/>
      <c r="D92" s="344"/>
      <c r="E92" s="345"/>
      <c r="F92" s="343"/>
      <c r="G92" s="342"/>
      <c r="H92" s="342"/>
      <c r="I92" s="342"/>
      <c r="J92" s="346"/>
      <c r="K92" s="342"/>
      <c r="L92" s="347"/>
      <c r="M92" s="343"/>
      <c r="N92" s="343"/>
      <c r="O92" s="343"/>
      <c r="P92" s="343"/>
      <c r="Q92" s="343"/>
      <c r="R92" s="343"/>
      <c r="S92" s="348"/>
      <c r="T92" s="348">
        <f>SUM(T4:T91)</f>
        <v>69039477</v>
      </c>
    </row>
    <row r="93" spans="1:20" ht="21" customHeight="1" x14ac:dyDescent="0.3">
      <c r="A93" s="159" t="s">
        <v>15</v>
      </c>
      <c r="B93" s="101">
        <f>SUM($F$4:$F$92)/1000</f>
        <v>675.17499999999995</v>
      </c>
      <c r="C93" s="54" t="s">
        <v>14</v>
      </c>
    </row>
    <row r="94" spans="1:20" ht="23.25" customHeight="1" x14ac:dyDescent="0.3">
      <c r="A94" s="110" t="s">
        <v>16</v>
      </c>
      <c r="B94" s="102">
        <f>$B$95+$B$96+$B$97</f>
        <v>675.17499999999995</v>
      </c>
      <c r="C94" s="1" t="s">
        <v>14</v>
      </c>
      <c r="E94" s="358"/>
      <c r="F94" s="154" t="s">
        <v>321</v>
      </c>
      <c r="G94" s="154"/>
    </row>
    <row r="95" spans="1:20" ht="23.25" customHeight="1" x14ac:dyDescent="0.3">
      <c r="A95" s="111" t="s">
        <v>17</v>
      </c>
      <c r="B95" s="100">
        <f>SUM(O4:O92)/1000</f>
        <v>230.625</v>
      </c>
      <c r="C95" s="2" t="s">
        <v>14</v>
      </c>
      <c r="D95" s="184"/>
      <c r="E95" s="188"/>
      <c r="F95" s="154" t="s">
        <v>319</v>
      </c>
      <c r="G95" s="154"/>
    </row>
    <row r="96" spans="1:20" ht="23.25" customHeight="1" x14ac:dyDescent="0.3">
      <c r="A96" s="111" t="s">
        <v>153</v>
      </c>
      <c r="B96" s="100">
        <f>SUM(P4:P92)/1000</f>
        <v>99.506</v>
      </c>
      <c r="C96" s="2" t="s">
        <v>14</v>
      </c>
      <c r="E96" s="177"/>
      <c r="F96" s="154" t="s">
        <v>318</v>
      </c>
      <c r="G96" s="154"/>
    </row>
    <row r="97" spans="1:6" ht="23.25" customHeight="1" x14ac:dyDescent="0.3">
      <c r="A97" s="111" t="s">
        <v>24</v>
      </c>
      <c r="B97" s="100">
        <f>SUM(Q4:Q92)/1000</f>
        <v>345.04399999999998</v>
      </c>
      <c r="C97" s="2" t="s">
        <v>14</v>
      </c>
      <c r="E97" s="178"/>
      <c r="F97" s="154" t="s">
        <v>325</v>
      </c>
    </row>
    <row r="98" spans="1:6" ht="23.25" customHeight="1" thickBot="1" x14ac:dyDescent="0.35">
      <c r="A98" s="112" t="s">
        <v>20</v>
      </c>
      <c r="B98" s="104">
        <f>$B$93-$B$94</f>
        <v>0</v>
      </c>
      <c r="C98" s="3" t="s">
        <v>14</v>
      </c>
      <c r="E98" s="286"/>
      <c r="F98" s="154" t="s">
        <v>1351</v>
      </c>
    </row>
  </sheetData>
  <sheetProtection formatCells="0" formatColumns="0" formatRows="0" insertColumns="0" insertRows="0" insertHyperlinks="0" deleteColumns="0" deleteRows="0" sort="0" autoFilter="0" pivotTables="0"/>
  <autoFilter ref="O1:O98" xr:uid="{00000000-0009-0000-0000-000000000000}"/>
  <mergeCells count="13">
    <mergeCell ref="F2:G2"/>
    <mergeCell ref="A2:A3"/>
    <mergeCell ref="B2:B3"/>
    <mergeCell ref="C2:C3"/>
    <mergeCell ref="D2:D3"/>
    <mergeCell ref="E2:E3"/>
    <mergeCell ref="S2:S3"/>
    <mergeCell ref="H2:H3"/>
    <mergeCell ref="I2:I3"/>
    <mergeCell ref="J2:J3"/>
    <mergeCell ref="K2:M2"/>
    <mergeCell ref="O2:Q2"/>
    <mergeCell ref="R2:R3"/>
  </mergeCells>
  <phoneticPr fontId="119" type="noConversion"/>
  <pageMargins left="0.7" right="0.7" top="0.75" bottom="0.75" header="0.3" footer="0.3"/>
  <pageSetup paperSize="9" scale="37" orientation="landscape" r:id="rId1"/>
  <colBreaks count="1" manualBreakCount="1">
    <brk id="1" max="87" man="1"/>
  </colBreaks>
  <ignoredErrors>
    <ignoredError sqref="L7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справочник!$E$2:$E$173</xm:f>
          </x14:formula1>
          <xm:sqref>D92</xm:sqref>
        </x14:dataValidation>
        <x14:dataValidation type="list" allowBlank="1" showInputMessage="1" showErrorMessage="1" xr:uid="{00000000-0002-0000-0000-000001000000}">
          <x14:formula1>
            <xm:f>справочник!$E$2:$E$178</xm:f>
          </x14:formula1>
          <xm:sqref>D1:D3 D92:D1048576</xm:sqref>
        </x14:dataValidation>
        <x14:dataValidation type="list" allowBlank="1" showInputMessage="1" showErrorMessage="1" xr:uid="{00000000-0002-0000-0000-000002000000}">
          <x14:formula1>
            <xm:f>справочник!$E$2:$E$190</xm:f>
          </x14:formula1>
          <xm:sqref>D4:D91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40"/>
  <sheetViews>
    <sheetView zoomScale="70" zoomScaleNormal="70" zoomScaleSheetLayoutView="70" workbookViewId="0">
      <pane ySplit="3" topLeftCell="A4" activePane="bottomLeft" state="frozen"/>
      <selection pane="bottomLeft" activeCell="H5" sqref="H5"/>
    </sheetView>
  </sheetViews>
  <sheetFormatPr defaultRowHeight="15" x14ac:dyDescent="0.25"/>
  <cols>
    <col min="1" max="1" width="18" style="113" customWidth="1"/>
    <col min="2" max="2" width="15.140625" customWidth="1"/>
    <col min="3" max="3" width="17" customWidth="1"/>
    <col min="4" max="4" width="41" customWidth="1"/>
    <col min="5" max="5" width="15.5703125" style="174" customWidth="1"/>
    <col min="6" max="6" width="13" bestFit="1" customWidth="1"/>
    <col min="7" max="7" width="19.140625" customWidth="1"/>
    <col min="8" max="8" width="19.5703125" customWidth="1"/>
    <col min="9" max="9" width="24.28515625" customWidth="1"/>
    <col min="10" max="10" width="20.28515625" customWidth="1"/>
    <col min="11" max="11" width="25.140625" customWidth="1"/>
    <col min="12" max="12" width="24.7109375" customWidth="1"/>
    <col min="13" max="13" width="32.140625" customWidth="1"/>
    <col min="14" max="14" width="18.42578125" style="140" customWidth="1"/>
    <col min="15" max="16" width="8.85546875" customWidth="1"/>
    <col min="17" max="17" width="8" customWidth="1"/>
    <col min="18" max="18" width="10.85546875" customWidth="1"/>
    <col min="19" max="19" width="13.85546875" customWidth="1"/>
    <col min="20" max="20" width="17.28515625" customWidth="1"/>
    <col min="21" max="21" width="15.42578125" customWidth="1"/>
  </cols>
  <sheetData>
    <row r="1" spans="1:20" s="59" customFormat="1" ht="17.25" x14ac:dyDescent="0.3">
      <c r="A1" s="109"/>
      <c r="B1" s="58" t="s">
        <v>152</v>
      </c>
      <c r="C1" s="66">
        <v>45962</v>
      </c>
      <c r="D1" s="58"/>
      <c r="E1" s="173"/>
      <c r="F1" s="58"/>
      <c r="H1" s="58"/>
      <c r="I1" s="58"/>
      <c r="J1" s="58"/>
      <c r="K1" s="60"/>
      <c r="L1" s="60"/>
      <c r="M1" s="60"/>
      <c r="N1" s="106"/>
      <c r="O1" s="60"/>
      <c r="P1" s="60"/>
      <c r="Q1" s="60"/>
    </row>
    <row r="2" spans="1:20" ht="25.5" customHeight="1" x14ac:dyDescent="0.25">
      <c r="A2" s="404" t="s">
        <v>159</v>
      </c>
      <c r="B2" s="406" t="s">
        <v>18</v>
      </c>
      <c r="C2" s="408" t="s">
        <v>156</v>
      </c>
      <c r="D2" s="410" t="s">
        <v>4</v>
      </c>
      <c r="E2" s="412" t="s">
        <v>5</v>
      </c>
      <c r="F2" s="402" t="s">
        <v>0</v>
      </c>
      <c r="G2" s="403"/>
      <c r="H2" s="388" t="s">
        <v>2</v>
      </c>
      <c r="I2" s="390" t="s">
        <v>3</v>
      </c>
      <c r="J2" s="392" t="s">
        <v>6</v>
      </c>
      <c r="K2" s="394" t="s">
        <v>7</v>
      </c>
      <c r="L2" s="395"/>
      <c r="M2" s="396"/>
      <c r="N2" s="107" t="s">
        <v>9</v>
      </c>
      <c r="O2" s="397" t="s">
        <v>12</v>
      </c>
      <c r="P2" s="398"/>
      <c r="Q2" s="399"/>
      <c r="R2" s="400" t="s">
        <v>151</v>
      </c>
      <c r="S2" s="387" t="s">
        <v>161</v>
      </c>
      <c r="T2" s="95"/>
    </row>
    <row r="3" spans="1:20" x14ac:dyDescent="0.25">
      <c r="A3" s="405"/>
      <c r="B3" s="407"/>
      <c r="C3" s="409"/>
      <c r="D3" s="411"/>
      <c r="E3" s="413"/>
      <c r="F3" s="149" t="s">
        <v>1</v>
      </c>
      <c r="G3" s="149" t="s">
        <v>155</v>
      </c>
      <c r="H3" s="389"/>
      <c r="I3" s="391"/>
      <c r="J3" s="393"/>
      <c r="K3" s="341" t="s">
        <v>8</v>
      </c>
      <c r="L3" s="341" t="s">
        <v>21</v>
      </c>
      <c r="M3" s="341" t="s">
        <v>10</v>
      </c>
      <c r="N3" s="150" t="s">
        <v>1038</v>
      </c>
      <c r="O3" s="151" t="s">
        <v>13</v>
      </c>
      <c r="P3" s="151" t="s">
        <v>154</v>
      </c>
      <c r="Q3" s="152" t="s">
        <v>23</v>
      </c>
      <c r="R3" s="401"/>
      <c r="S3" s="387"/>
      <c r="T3" s="153" t="s">
        <v>162</v>
      </c>
    </row>
    <row r="4" spans="1:20" s="184" customFormat="1" x14ac:dyDescent="0.25">
      <c r="A4" s="328"/>
      <c r="B4" s="329"/>
      <c r="C4" s="329"/>
      <c r="D4" s="329"/>
      <c r="E4" s="330"/>
      <c r="F4" s="331"/>
      <c r="G4" s="331"/>
      <c r="H4" s="329"/>
      <c r="I4" s="329"/>
      <c r="J4" s="328"/>
      <c r="K4" s="331"/>
      <c r="L4" s="331"/>
      <c r="M4" s="331"/>
      <c r="N4" s="332"/>
      <c r="O4" s="331"/>
      <c r="P4" s="331"/>
      <c r="Q4" s="333"/>
      <c r="R4" s="334"/>
      <c r="S4" s="335"/>
      <c r="T4" s="336"/>
    </row>
    <row r="5" spans="1:20" s="63" customFormat="1" ht="13.5" customHeight="1" x14ac:dyDescent="0.25">
      <c r="A5" s="65" t="s">
        <v>316</v>
      </c>
      <c r="B5" s="57" t="s">
        <v>1901</v>
      </c>
      <c r="C5" s="57" t="s">
        <v>491</v>
      </c>
      <c r="D5" s="93" t="s">
        <v>226</v>
      </c>
      <c r="E5" s="56" t="s">
        <v>567</v>
      </c>
      <c r="F5" s="92">
        <v>6000</v>
      </c>
      <c r="G5" s="65">
        <v>240</v>
      </c>
      <c r="H5" s="65" t="s">
        <v>782</v>
      </c>
      <c r="I5" s="65" t="s">
        <v>404</v>
      </c>
      <c r="J5" s="55">
        <v>45962</v>
      </c>
      <c r="K5" s="353" t="s">
        <v>1907</v>
      </c>
      <c r="L5" s="248">
        <v>89174032153</v>
      </c>
      <c r="M5" s="62" t="s">
        <v>1906</v>
      </c>
      <c r="N5" s="162"/>
      <c r="O5" s="92">
        <v>6000</v>
      </c>
      <c r="P5" s="92"/>
      <c r="Q5" s="364"/>
      <c r="R5" s="53" t="s">
        <v>417</v>
      </c>
      <c r="S5" s="94">
        <v>44500</v>
      </c>
      <c r="T5" s="61">
        <f t="shared" ref="T5:T9" si="0">S5*F5/1000</f>
        <v>267000</v>
      </c>
    </row>
    <row r="6" spans="1:20" s="63" customFormat="1" ht="13.5" customHeight="1" x14ac:dyDescent="0.25">
      <c r="A6" s="65" t="s">
        <v>316</v>
      </c>
      <c r="B6" s="57" t="s">
        <v>1901</v>
      </c>
      <c r="C6" s="57" t="s">
        <v>491</v>
      </c>
      <c r="D6" s="93" t="s">
        <v>217</v>
      </c>
      <c r="E6" s="56" t="s">
        <v>1902</v>
      </c>
      <c r="F6" s="92">
        <v>2000</v>
      </c>
      <c r="G6" s="65">
        <v>80</v>
      </c>
      <c r="H6" s="65" t="s">
        <v>782</v>
      </c>
      <c r="I6" s="65" t="s">
        <v>404</v>
      </c>
      <c r="J6" s="55">
        <v>45962</v>
      </c>
      <c r="K6" s="353" t="s">
        <v>1907</v>
      </c>
      <c r="L6" s="248">
        <v>89174032153</v>
      </c>
      <c r="M6" s="62" t="s">
        <v>1906</v>
      </c>
      <c r="N6" s="162"/>
      <c r="O6" s="92"/>
      <c r="P6" s="92">
        <v>2000</v>
      </c>
      <c r="Q6" s="365"/>
      <c r="R6" s="53" t="s">
        <v>417</v>
      </c>
      <c r="S6" s="94">
        <v>70000</v>
      </c>
      <c r="T6" s="61">
        <f t="shared" si="0"/>
        <v>140000</v>
      </c>
    </row>
    <row r="7" spans="1:20" s="63" customFormat="1" ht="13.5" customHeight="1" x14ac:dyDescent="0.25">
      <c r="A7" s="65" t="s">
        <v>316</v>
      </c>
      <c r="B7" s="57" t="s">
        <v>1901</v>
      </c>
      <c r="C7" s="57" t="s">
        <v>491</v>
      </c>
      <c r="D7" s="93" t="s">
        <v>236</v>
      </c>
      <c r="E7" s="56" t="s">
        <v>1903</v>
      </c>
      <c r="F7" s="92">
        <v>3000</v>
      </c>
      <c r="G7" s="65">
        <v>150</v>
      </c>
      <c r="H7" s="65" t="s">
        <v>782</v>
      </c>
      <c r="I7" s="65" t="s">
        <v>404</v>
      </c>
      <c r="J7" s="55">
        <v>45962</v>
      </c>
      <c r="K7" s="353" t="s">
        <v>1907</v>
      </c>
      <c r="L7" s="248">
        <v>89174032153</v>
      </c>
      <c r="M7" s="62" t="s">
        <v>1906</v>
      </c>
      <c r="N7" s="162"/>
      <c r="O7" s="92"/>
      <c r="P7" s="92">
        <v>3000</v>
      </c>
      <c r="Q7" s="365"/>
      <c r="R7" s="53" t="s">
        <v>417</v>
      </c>
      <c r="S7" s="94">
        <v>270000</v>
      </c>
      <c r="T7" s="61">
        <f t="shared" si="0"/>
        <v>810000</v>
      </c>
    </row>
    <row r="8" spans="1:20" s="63" customFormat="1" ht="13.5" customHeight="1" x14ac:dyDescent="0.25">
      <c r="A8" s="65" t="s">
        <v>316</v>
      </c>
      <c r="B8" s="57" t="s">
        <v>1901</v>
      </c>
      <c r="C8" s="57" t="s">
        <v>491</v>
      </c>
      <c r="D8" s="93" t="s">
        <v>268</v>
      </c>
      <c r="E8" s="56" t="s">
        <v>1904</v>
      </c>
      <c r="F8" s="92">
        <v>2160</v>
      </c>
      <c r="G8" s="65">
        <v>12</v>
      </c>
      <c r="H8" s="65" t="s">
        <v>782</v>
      </c>
      <c r="I8" s="65" t="s">
        <v>404</v>
      </c>
      <c r="J8" s="55">
        <v>45962</v>
      </c>
      <c r="K8" s="353" t="s">
        <v>1907</v>
      </c>
      <c r="L8" s="248">
        <v>89174032153</v>
      </c>
      <c r="M8" s="62" t="s">
        <v>1906</v>
      </c>
      <c r="N8" s="162"/>
      <c r="O8" s="92"/>
      <c r="P8" s="92"/>
      <c r="Q8" s="365">
        <v>2160</v>
      </c>
      <c r="R8" s="53" t="s">
        <v>417</v>
      </c>
      <c r="S8" s="94">
        <v>310000</v>
      </c>
      <c r="T8" s="61">
        <f t="shared" si="0"/>
        <v>669600</v>
      </c>
    </row>
    <row r="9" spans="1:20" s="63" customFormat="1" ht="13.5" customHeight="1" x14ac:dyDescent="0.25">
      <c r="A9" s="65" t="s">
        <v>316</v>
      </c>
      <c r="B9" s="57" t="s">
        <v>1901</v>
      </c>
      <c r="C9" s="57" t="s">
        <v>491</v>
      </c>
      <c r="D9" s="93" t="s">
        <v>309</v>
      </c>
      <c r="E9" s="56" t="s">
        <v>1905</v>
      </c>
      <c r="F9" s="92">
        <v>6400</v>
      </c>
      <c r="G9" s="65">
        <v>32</v>
      </c>
      <c r="H9" s="65" t="s">
        <v>782</v>
      </c>
      <c r="I9" s="65" t="s">
        <v>404</v>
      </c>
      <c r="J9" s="55">
        <v>45962</v>
      </c>
      <c r="K9" s="353" t="s">
        <v>1907</v>
      </c>
      <c r="L9" s="248">
        <v>89174032153</v>
      </c>
      <c r="M9" s="62" t="s">
        <v>1906</v>
      </c>
      <c r="N9" s="162"/>
      <c r="O9" s="92"/>
      <c r="P9" s="92"/>
      <c r="Q9" s="365">
        <v>6400</v>
      </c>
      <c r="R9" s="53" t="s">
        <v>417</v>
      </c>
      <c r="S9" s="94">
        <v>135000</v>
      </c>
      <c r="T9" s="61">
        <f t="shared" si="0"/>
        <v>864000</v>
      </c>
    </row>
    <row r="10" spans="1:20" s="63" customFormat="1" ht="13.5" customHeight="1" x14ac:dyDescent="0.25">
      <c r="A10" s="65" t="s">
        <v>509</v>
      </c>
      <c r="B10" s="57" t="s">
        <v>1908</v>
      </c>
      <c r="C10" s="57" t="s">
        <v>1837</v>
      </c>
      <c r="D10" s="93" t="s">
        <v>226</v>
      </c>
      <c r="E10" s="56" t="s">
        <v>1075</v>
      </c>
      <c r="F10" s="92">
        <v>4000</v>
      </c>
      <c r="G10" s="65">
        <v>160</v>
      </c>
      <c r="H10" s="65" t="s">
        <v>452</v>
      </c>
      <c r="I10" s="65" t="s">
        <v>404</v>
      </c>
      <c r="J10" s="55">
        <v>45966</v>
      </c>
      <c r="K10" s="352" t="s">
        <v>1916</v>
      </c>
      <c r="L10" s="248">
        <v>89216004800</v>
      </c>
      <c r="M10" s="62" t="s">
        <v>1283</v>
      </c>
      <c r="N10" s="162"/>
      <c r="O10" s="92">
        <v>4000</v>
      </c>
      <c r="P10" s="92"/>
      <c r="Q10" s="364"/>
      <c r="R10" s="53" t="s">
        <v>417</v>
      </c>
      <c r="S10" s="94">
        <v>44500</v>
      </c>
      <c r="T10" s="61">
        <f>S10*F10/1000</f>
        <v>178000</v>
      </c>
    </row>
    <row r="11" spans="1:20" s="63" customFormat="1" ht="13.5" customHeight="1" x14ac:dyDescent="0.25">
      <c r="A11" s="65" t="s">
        <v>509</v>
      </c>
      <c r="B11" s="57" t="s">
        <v>1908</v>
      </c>
      <c r="C11" s="57" t="s">
        <v>1837</v>
      </c>
      <c r="D11" s="93" t="s">
        <v>194</v>
      </c>
      <c r="E11" s="56" t="s">
        <v>1212</v>
      </c>
      <c r="F11" s="92">
        <v>16000</v>
      </c>
      <c r="G11" s="65">
        <v>80</v>
      </c>
      <c r="H11" s="65" t="s">
        <v>452</v>
      </c>
      <c r="I11" s="65" t="s">
        <v>404</v>
      </c>
      <c r="J11" s="55">
        <v>45966</v>
      </c>
      <c r="K11" s="352" t="s">
        <v>1916</v>
      </c>
      <c r="L11" s="248">
        <v>89216004800</v>
      </c>
      <c r="M11" s="62" t="s">
        <v>1283</v>
      </c>
      <c r="N11" s="162"/>
      <c r="O11" s="92"/>
      <c r="P11" s="92"/>
      <c r="Q11" s="365">
        <v>16000</v>
      </c>
      <c r="R11" s="53" t="s">
        <v>417</v>
      </c>
      <c r="S11" s="94">
        <v>105000</v>
      </c>
      <c r="T11" s="61">
        <f>S11*F11/1000</f>
        <v>1680000</v>
      </c>
    </row>
    <row r="12" spans="1:20" s="63" customFormat="1" ht="13.5" customHeight="1" x14ac:dyDescent="0.25">
      <c r="A12" s="65" t="s">
        <v>316</v>
      </c>
      <c r="B12" s="57" t="s">
        <v>1583</v>
      </c>
      <c r="C12" s="57" t="s">
        <v>730</v>
      </c>
      <c r="D12" s="10" t="s">
        <v>267</v>
      </c>
      <c r="E12" s="56" t="s">
        <v>1876</v>
      </c>
      <c r="F12" s="57">
        <v>17600</v>
      </c>
      <c r="G12" s="65">
        <v>88</v>
      </c>
      <c r="H12" s="65" t="s">
        <v>732</v>
      </c>
      <c r="I12" s="65" t="s">
        <v>404</v>
      </c>
      <c r="J12" s="55">
        <v>45966</v>
      </c>
      <c r="K12" s="355" t="s">
        <v>1914</v>
      </c>
      <c r="L12" s="355" t="s">
        <v>1915</v>
      </c>
      <c r="M12" s="53" t="s">
        <v>1913</v>
      </c>
      <c r="N12" s="212"/>
      <c r="O12" s="57"/>
      <c r="P12" s="57"/>
      <c r="Q12" s="364">
        <v>17600</v>
      </c>
      <c r="R12" s="53" t="s">
        <v>417</v>
      </c>
      <c r="S12" s="94">
        <v>369000</v>
      </c>
      <c r="T12" s="61">
        <f t="shared" ref="T12:T33" si="1">S12*F12/1000</f>
        <v>6494400</v>
      </c>
    </row>
    <row r="13" spans="1:20" s="63" customFormat="1" ht="13.5" customHeight="1" x14ac:dyDescent="0.25">
      <c r="A13" s="65" t="s">
        <v>790</v>
      </c>
      <c r="B13" s="57" t="s">
        <v>1863</v>
      </c>
      <c r="C13" s="57" t="s">
        <v>788</v>
      </c>
      <c r="D13" s="93" t="s">
        <v>157</v>
      </c>
      <c r="E13" s="189" t="s">
        <v>1575</v>
      </c>
      <c r="F13" s="92">
        <v>3200</v>
      </c>
      <c r="G13" s="65">
        <v>16</v>
      </c>
      <c r="H13" s="65" t="s">
        <v>789</v>
      </c>
      <c r="I13" s="65" t="s">
        <v>404</v>
      </c>
      <c r="J13" s="55">
        <v>45971</v>
      </c>
      <c r="K13" s="165" t="s">
        <v>1921</v>
      </c>
      <c r="L13" s="166" t="s">
        <v>1920</v>
      </c>
      <c r="M13" s="53" t="s">
        <v>883</v>
      </c>
      <c r="N13" s="199"/>
      <c r="O13" s="92"/>
      <c r="P13" s="57"/>
      <c r="Q13" s="365">
        <v>3200</v>
      </c>
      <c r="R13" s="53" t="s">
        <v>417</v>
      </c>
      <c r="S13" s="94">
        <v>82000</v>
      </c>
      <c r="T13" s="61">
        <f t="shared" si="1"/>
        <v>262400</v>
      </c>
    </row>
    <row r="14" spans="1:20" s="63" customFormat="1" ht="13.5" customHeight="1" x14ac:dyDescent="0.25">
      <c r="A14" s="65" t="s">
        <v>790</v>
      </c>
      <c r="B14" s="57" t="s">
        <v>1863</v>
      </c>
      <c r="C14" s="57" t="s">
        <v>788</v>
      </c>
      <c r="D14" s="93" t="s">
        <v>157</v>
      </c>
      <c r="E14" s="189" t="s">
        <v>1576</v>
      </c>
      <c r="F14" s="92">
        <v>6400</v>
      </c>
      <c r="G14" s="65">
        <v>32</v>
      </c>
      <c r="H14" s="65" t="s">
        <v>789</v>
      </c>
      <c r="I14" s="65" t="s">
        <v>404</v>
      </c>
      <c r="J14" s="55">
        <v>45971</v>
      </c>
      <c r="K14" s="165" t="s">
        <v>1921</v>
      </c>
      <c r="L14" s="166" t="s">
        <v>1920</v>
      </c>
      <c r="M14" s="53" t="s">
        <v>883</v>
      </c>
      <c r="N14" s="199"/>
      <c r="O14" s="92"/>
      <c r="P14" s="57"/>
      <c r="Q14" s="365">
        <v>6400</v>
      </c>
      <c r="R14" s="53" t="s">
        <v>417</v>
      </c>
      <c r="S14" s="94">
        <v>82000</v>
      </c>
      <c r="T14" s="61">
        <f t="shared" si="1"/>
        <v>524800</v>
      </c>
    </row>
    <row r="15" spans="1:20" s="63" customFormat="1" ht="13.5" customHeight="1" x14ac:dyDescent="0.25">
      <c r="A15" s="65" t="s">
        <v>790</v>
      </c>
      <c r="B15" s="57" t="s">
        <v>1863</v>
      </c>
      <c r="C15" s="57" t="s">
        <v>788</v>
      </c>
      <c r="D15" s="93" t="s">
        <v>157</v>
      </c>
      <c r="E15" s="189" t="s">
        <v>1870</v>
      </c>
      <c r="F15" s="92">
        <v>6800</v>
      </c>
      <c r="G15" s="65">
        <v>34</v>
      </c>
      <c r="H15" s="65" t="s">
        <v>789</v>
      </c>
      <c r="I15" s="65" t="s">
        <v>404</v>
      </c>
      <c r="J15" s="55">
        <v>45971</v>
      </c>
      <c r="K15" s="165" t="s">
        <v>1921</v>
      </c>
      <c r="L15" s="166" t="s">
        <v>1920</v>
      </c>
      <c r="M15" s="53" t="s">
        <v>883</v>
      </c>
      <c r="N15" s="199"/>
      <c r="O15" s="92"/>
      <c r="P15" s="57"/>
      <c r="Q15" s="365">
        <v>6800</v>
      </c>
      <c r="R15" s="53" t="s">
        <v>417</v>
      </c>
      <c r="S15" s="94">
        <v>82000</v>
      </c>
      <c r="T15" s="61">
        <f t="shared" si="1"/>
        <v>557600</v>
      </c>
    </row>
    <row r="16" spans="1:20" s="63" customFormat="1" ht="13.5" customHeight="1" x14ac:dyDescent="0.25">
      <c r="A16" s="65" t="s">
        <v>790</v>
      </c>
      <c r="B16" s="57" t="s">
        <v>1863</v>
      </c>
      <c r="C16" s="57" t="s">
        <v>788</v>
      </c>
      <c r="D16" s="93" t="s">
        <v>157</v>
      </c>
      <c r="E16" s="189" t="s">
        <v>1628</v>
      </c>
      <c r="F16" s="92">
        <v>400</v>
      </c>
      <c r="G16" s="65">
        <v>2</v>
      </c>
      <c r="H16" s="65" t="s">
        <v>789</v>
      </c>
      <c r="I16" s="65" t="s">
        <v>404</v>
      </c>
      <c r="J16" s="55">
        <v>45971</v>
      </c>
      <c r="K16" s="165" t="s">
        <v>1921</v>
      </c>
      <c r="L16" s="166" t="s">
        <v>1920</v>
      </c>
      <c r="M16" s="53" t="s">
        <v>883</v>
      </c>
      <c r="N16" s="199"/>
      <c r="O16" s="92"/>
      <c r="P16" s="57"/>
      <c r="Q16" s="365">
        <v>400</v>
      </c>
      <c r="R16" s="53" t="s">
        <v>417</v>
      </c>
      <c r="S16" s="94">
        <v>82000</v>
      </c>
      <c r="T16" s="61">
        <f t="shared" si="1"/>
        <v>32800</v>
      </c>
    </row>
    <row r="17" spans="1:20" s="63" customFormat="1" ht="13.5" customHeight="1" x14ac:dyDescent="0.25">
      <c r="A17" s="65" t="s">
        <v>790</v>
      </c>
      <c r="B17" s="57" t="s">
        <v>1863</v>
      </c>
      <c r="C17" s="57" t="s">
        <v>788</v>
      </c>
      <c r="D17" s="93" t="s">
        <v>157</v>
      </c>
      <c r="E17" s="189" t="s">
        <v>1867</v>
      </c>
      <c r="F17" s="92">
        <v>600</v>
      </c>
      <c r="G17" s="65">
        <v>3</v>
      </c>
      <c r="H17" s="65" t="s">
        <v>789</v>
      </c>
      <c r="I17" s="65" t="s">
        <v>404</v>
      </c>
      <c r="J17" s="55">
        <v>45971</v>
      </c>
      <c r="K17" s="165" t="s">
        <v>1921</v>
      </c>
      <c r="L17" s="166" t="s">
        <v>1920</v>
      </c>
      <c r="M17" s="53" t="s">
        <v>883</v>
      </c>
      <c r="N17" s="199"/>
      <c r="O17" s="92"/>
      <c r="P17" s="57"/>
      <c r="Q17" s="365">
        <v>600</v>
      </c>
      <c r="R17" s="53" t="s">
        <v>417</v>
      </c>
      <c r="S17" s="94">
        <v>82000</v>
      </c>
      <c r="T17" s="61">
        <f t="shared" si="1"/>
        <v>49200</v>
      </c>
    </row>
    <row r="18" spans="1:20" s="63" customFormat="1" ht="13.5" customHeight="1" x14ac:dyDescent="0.25">
      <c r="A18" s="65" t="s">
        <v>790</v>
      </c>
      <c r="B18" s="57" t="s">
        <v>1863</v>
      </c>
      <c r="C18" s="57" t="s">
        <v>788</v>
      </c>
      <c r="D18" s="93" t="s">
        <v>157</v>
      </c>
      <c r="E18" s="189" t="s">
        <v>1871</v>
      </c>
      <c r="F18" s="92">
        <v>200</v>
      </c>
      <c r="G18" s="65">
        <v>1</v>
      </c>
      <c r="H18" s="65" t="s">
        <v>789</v>
      </c>
      <c r="I18" s="65" t="s">
        <v>404</v>
      </c>
      <c r="J18" s="55">
        <v>45971</v>
      </c>
      <c r="K18" s="165" t="s">
        <v>1921</v>
      </c>
      <c r="L18" s="166" t="s">
        <v>1920</v>
      </c>
      <c r="M18" s="53" t="s">
        <v>883</v>
      </c>
      <c r="N18" s="199"/>
      <c r="O18" s="92"/>
      <c r="P18" s="57"/>
      <c r="Q18" s="365">
        <v>200</v>
      </c>
      <c r="R18" s="53" t="s">
        <v>417</v>
      </c>
      <c r="S18" s="94">
        <v>82000</v>
      </c>
      <c r="T18" s="61">
        <f t="shared" si="1"/>
        <v>16400</v>
      </c>
    </row>
    <row r="19" spans="1:20" s="63" customFormat="1" ht="13.5" customHeight="1" x14ac:dyDescent="0.25">
      <c r="A19" s="65" t="s">
        <v>408</v>
      </c>
      <c r="B19" s="57" t="s">
        <v>1918</v>
      </c>
      <c r="C19" s="57" t="s">
        <v>1837</v>
      </c>
      <c r="D19" s="93" t="s">
        <v>226</v>
      </c>
      <c r="E19" s="56" t="s">
        <v>1075</v>
      </c>
      <c r="F19" s="92">
        <v>20000</v>
      </c>
      <c r="G19" s="65">
        <v>800</v>
      </c>
      <c r="H19" s="65" t="s">
        <v>165</v>
      </c>
      <c r="I19" s="65" t="s">
        <v>404</v>
      </c>
      <c r="J19" s="55">
        <v>45971</v>
      </c>
      <c r="K19" s="354" t="s">
        <v>1919</v>
      </c>
      <c r="L19" s="248">
        <v>89216700606</v>
      </c>
      <c r="M19" s="62" t="s">
        <v>898</v>
      </c>
      <c r="N19" s="162"/>
      <c r="O19" s="92">
        <v>20000</v>
      </c>
      <c r="P19" s="92"/>
      <c r="Q19" s="364"/>
      <c r="R19" s="53" t="s">
        <v>417</v>
      </c>
      <c r="S19" s="94">
        <v>44500</v>
      </c>
      <c r="T19" s="61">
        <f t="shared" si="1"/>
        <v>890000</v>
      </c>
    </row>
    <row r="20" spans="1:20" s="63" customFormat="1" ht="13.5" customHeight="1" x14ac:dyDescent="0.25">
      <c r="A20" s="65" t="s">
        <v>421</v>
      </c>
      <c r="B20" s="57" t="s">
        <v>1918</v>
      </c>
      <c r="C20" s="57" t="s">
        <v>1837</v>
      </c>
      <c r="D20" s="93" t="s">
        <v>194</v>
      </c>
      <c r="E20" s="56" t="s">
        <v>1212</v>
      </c>
      <c r="F20" s="92">
        <v>17600</v>
      </c>
      <c r="G20" s="65">
        <v>88</v>
      </c>
      <c r="H20" s="65" t="s">
        <v>165</v>
      </c>
      <c r="I20" s="65" t="s">
        <v>404</v>
      </c>
      <c r="J20" s="55">
        <v>45974</v>
      </c>
      <c r="K20" s="356" t="s">
        <v>1925</v>
      </c>
      <c r="L20" s="248">
        <v>89995402889</v>
      </c>
      <c r="M20" s="62" t="s">
        <v>1356</v>
      </c>
      <c r="N20" s="162"/>
      <c r="O20" s="92"/>
      <c r="P20" s="92"/>
      <c r="Q20" s="365">
        <v>17600</v>
      </c>
      <c r="R20" s="53" t="s">
        <v>417</v>
      </c>
      <c r="S20" s="94">
        <v>105000</v>
      </c>
      <c r="T20" s="61">
        <f t="shared" ref="T20" si="2">S20*F20/1000</f>
        <v>1848000</v>
      </c>
    </row>
    <row r="21" spans="1:20" s="63" customFormat="1" ht="13.5" customHeight="1" x14ac:dyDescent="0.25">
      <c r="A21" s="65" t="s">
        <v>421</v>
      </c>
      <c r="B21" s="57" t="s">
        <v>1922</v>
      </c>
      <c r="C21" s="57" t="s">
        <v>1837</v>
      </c>
      <c r="D21" s="93" t="s">
        <v>226</v>
      </c>
      <c r="E21" s="56" t="s">
        <v>1075</v>
      </c>
      <c r="F21" s="92">
        <v>20000</v>
      </c>
      <c r="G21" s="65">
        <v>800</v>
      </c>
      <c r="H21" s="65" t="s">
        <v>165</v>
      </c>
      <c r="I21" s="65" t="s">
        <v>404</v>
      </c>
      <c r="J21" s="55">
        <v>45975</v>
      </c>
      <c r="K21" s="357" t="s">
        <v>1926</v>
      </c>
      <c r="L21" s="248">
        <v>89199519633</v>
      </c>
      <c r="M21" s="62" t="s">
        <v>1358</v>
      </c>
      <c r="N21" s="162"/>
      <c r="O21" s="92">
        <v>20000</v>
      </c>
      <c r="P21" s="92"/>
      <c r="Q21" s="364"/>
      <c r="R21" s="53" t="s">
        <v>417</v>
      </c>
      <c r="S21" s="94">
        <v>44500</v>
      </c>
      <c r="T21" s="61">
        <f>S21*F21/1000</f>
        <v>890000</v>
      </c>
    </row>
    <row r="22" spans="1:20" s="63" customFormat="1" ht="13.5" customHeight="1" x14ac:dyDescent="0.25">
      <c r="A22" s="65" t="s">
        <v>1927</v>
      </c>
      <c r="B22" s="57" t="s">
        <v>1864</v>
      </c>
      <c r="C22" s="57" t="s">
        <v>491</v>
      </c>
      <c r="D22" s="93" t="s">
        <v>226</v>
      </c>
      <c r="E22" s="56" t="s">
        <v>567</v>
      </c>
      <c r="F22" s="92">
        <v>13000</v>
      </c>
      <c r="G22" s="65">
        <v>520</v>
      </c>
      <c r="H22" s="65" t="s">
        <v>452</v>
      </c>
      <c r="I22" s="65" t="s">
        <v>404</v>
      </c>
      <c r="J22" s="55">
        <v>45974</v>
      </c>
      <c r="K22" s="359" t="s">
        <v>1929</v>
      </c>
      <c r="L22" s="302">
        <v>89206754537</v>
      </c>
      <c r="M22" s="62" t="s">
        <v>1928</v>
      </c>
      <c r="N22" s="162"/>
      <c r="O22" s="92">
        <v>13000</v>
      </c>
      <c r="P22" s="92"/>
      <c r="Q22" s="364"/>
      <c r="R22" s="53" t="s">
        <v>417</v>
      </c>
      <c r="S22" s="94">
        <v>44500</v>
      </c>
      <c r="T22" s="61">
        <f t="shared" si="1"/>
        <v>578500</v>
      </c>
    </row>
    <row r="23" spans="1:20" s="63" customFormat="1" ht="13.5" customHeight="1" x14ac:dyDescent="0.25">
      <c r="A23" s="65" t="s">
        <v>1927</v>
      </c>
      <c r="B23" s="57" t="s">
        <v>1864</v>
      </c>
      <c r="C23" s="57" t="s">
        <v>491</v>
      </c>
      <c r="D23" s="93" t="s">
        <v>223</v>
      </c>
      <c r="E23" s="56" t="s">
        <v>1624</v>
      </c>
      <c r="F23" s="92">
        <v>7000</v>
      </c>
      <c r="G23" s="65">
        <v>280</v>
      </c>
      <c r="H23" s="65" t="s">
        <v>452</v>
      </c>
      <c r="I23" s="65" t="s">
        <v>404</v>
      </c>
      <c r="J23" s="55">
        <v>45974</v>
      </c>
      <c r="K23" s="359" t="s">
        <v>1929</v>
      </c>
      <c r="L23" s="302">
        <v>89206754537</v>
      </c>
      <c r="M23" s="62" t="s">
        <v>1928</v>
      </c>
      <c r="N23" s="162"/>
      <c r="O23" s="92"/>
      <c r="P23" s="92">
        <v>7000</v>
      </c>
      <c r="Q23" s="364"/>
      <c r="R23" s="53" t="s">
        <v>417</v>
      </c>
      <c r="S23" s="94">
        <v>250000</v>
      </c>
      <c r="T23" s="61">
        <f t="shared" si="1"/>
        <v>1750000</v>
      </c>
    </row>
    <row r="24" spans="1:20" s="63" customFormat="1" ht="13.5" customHeight="1" x14ac:dyDescent="0.25">
      <c r="A24" s="65" t="s">
        <v>408</v>
      </c>
      <c r="B24" s="57" t="s">
        <v>1923</v>
      </c>
      <c r="C24" s="57" t="s">
        <v>1837</v>
      </c>
      <c r="D24" s="93" t="s">
        <v>226</v>
      </c>
      <c r="E24" s="56" t="s">
        <v>1075</v>
      </c>
      <c r="F24" s="92">
        <v>20000</v>
      </c>
      <c r="G24" s="65">
        <v>800</v>
      </c>
      <c r="H24" s="65" t="s">
        <v>165</v>
      </c>
      <c r="I24" s="65" t="s">
        <v>404</v>
      </c>
      <c r="J24" s="55">
        <v>45975</v>
      </c>
      <c r="K24" s="360" t="s">
        <v>1892</v>
      </c>
      <c r="L24" s="302">
        <v>89116825992</v>
      </c>
      <c r="M24" s="62" t="s">
        <v>414</v>
      </c>
      <c r="N24" s="162"/>
      <c r="O24" s="92">
        <v>20000</v>
      </c>
      <c r="P24" s="92"/>
      <c r="Q24" s="364"/>
      <c r="R24" s="53" t="s">
        <v>417</v>
      </c>
      <c r="S24" s="94">
        <v>44500</v>
      </c>
      <c r="T24" s="61">
        <f t="shared" si="1"/>
        <v>890000</v>
      </c>
    </row>
    <row r="25" spans="1:20" s="63" customFormat="1" ht="13.5" customHeight="1" x14ac:dyDescent="0.25">
      <c r="A25" s="65" t="s">
        <v>1160</v>
      </c>
      <c r="B25" s="57" t="s">
        <v>1942</v>
      </c>
      <c r="C25" s="57" t="s">
        <v>1943</v>
      </c>
      <c r="D25" s="10" t="s">
        <v>1963</v>
      </c>
      <c r="E25" s="56" t="s">
        <v>1944</v>
      </c>
      <c r="F25" s="57">
        <v>22.7</v>
      </c>
      <c r="G25" s="65">
        <v>1</v>
      </c>
      <c r="H25" s="65" t="s">
        <v>560</v>
      </c>
      <c r="I25" s="55" t="s">
        <v>404</v>
      </c>
      <c r="J25" s="296">
        <v>45981</v>
      </c>
      <c r="K25" s="361" t="s">
        <v>1160</v>
      </c>
      <c r="L25" s="207" t="s">
        <v>1945</v>
      </c>
      <c r="M25" s="53"/>
      <c r="N25" s="310"/>
      <c r="O25" s="57"/>
      <c r="P25" s="57">
        <v>22.7</v>
      </c>
      <c r="Q25" s="364"/>
      <c r="R25" s="53" t="s">
        <v>417</v>
      </c>
      <c r="S25" s="94">
        <v>316000.08</v>
      </c>
      <c r="T25" s="61">
        <f t="shared" si="1"/>
        <v>7173.2018160000007</v>
      </c>
    </row>
    <row r="26" spans="1:20" s="63" customFormat="1" ht="13.5" customHeight="1" x14ac:dyDescent="0.25">
      <c r="A26" s="65" t="s">
        <v>790</v>
      </c>
      <c r="B26" s="57" t="s">
        <v>1933</v>
      </c>
      <c r="C26" s="57" t="s">
        <v>788</v>
      </c>
      <c r="D26" s="93" t="s">
        <v>157</v>
      </c>
      <c r="E26" s="189" t="s">
        <v>1871</v>
      </c>
      <c r="F26" s="92">
        <v>4000</v>
      </c>
      <c r="G26" s="65">
        <v>20</v>
      </c>
      <c r="H26" s="65" t="s">
        <v>789</v>
      </c>
      <c r="I26" s="65" t="s">
        <v>404</v>
      </c>
      <c r="J26" s="55">
        <v>45982</v>
      </c>
      <c r="K26" s="165" t="s">
        <v>1941</v>
      </c>
      <c r="L26" s="166">
        <v>89773804045</v>
      </c>
      <c r="M26" s="53" t="s">
        <v>1940</v>
      </c>
      <c r="N26" s="199"/>
      <c r="O26" s="92"/>
      <c r="P26" s="57"/>
      <c r="Q26" s="365">
        <v>4000</v>
      </c>
      <c r="R26" s="53" t="s">
        <v>417</v>
      </c>
      <c r="S26" s="94">
        <v>82000</v>
      </c>
      <c r="T26" s="61">
        <f t="shared" si="1"/>
        <v>328000</v>
      </c>
    </row>
    <row r="27" spans="1:20" s="63" customFormat="1" ht="13.5" customHeight="1" x14ac:dyDescent="0.25">
      <c r="A27" s="65" t="s">
        <v>790</v>
      </c>
      <c r="B27" s="57" t="s">
        <v>1933</v>
      </c>
      <c r="C27" s="57" t="s">
        <v>788</v>
      </c>
      <c r="D27" s="93" t="s">
        <v>157</v>
      </c>
      <c r="E27" s="189" t="s">
        <v>1934</v>
      </c>
      <c r="F27" s="92">
        <v>7200</v>
      </c>
      <c r="G27" s="65">
        <v>36</v>
      </c>
      <c r="H27" s="65" t="s">
        <v>789</v>
      </c>
      <c r="I27" s="65" t="s">
        <v>404</v>
      </c>
      <c r="J27" s="55">
        <v>45982</v>
      </c>
      <c r="K27" s="165" t="s">
        <v>1941</v>
      </c>
      <c r="L27" s="166">
        <v>89773804045</v>
      </c>
      <c r="M27" s="53" t="s">
        <v>1940</v>
      </c>
      <c r="N27" s="199"/>
      <c r="O27" s="92"/>
      <c r="P27" s="57"/>
      <c r="Q27" s="365">
        <v>7200</v>
      </c>
      <c r="R27" s="53" t="s">
        <v>417</v>
      </c>
      <c r="S27" s="94">
        <v>82000</v>
      </c>
      <c r="T27" s="61">
        <f t="shared" si="1"/>
        <v>590400</v>
      </c>
    </row>
    <row r="28" spans="1:20" s="63" customFormat="1" ht="13.5" customHeight="1" x14ac:dyDescent="0.25">
      <c r="A28" s="65" t="s">
        <v>790</v>
      </c>
      <c r="B28" s="57" t="s">
        <v>1933</v>
      </c>
      <c r="C28" s="57" t="s">
        <v>788</v>
      </c>
      <c r="D28" s="93" t="s">
        <v>157</v>
      </c>
      <c r="E28" s="189" t="s">
        <v>1894</v>
      </c>
      <c r="F28" s="92">
        <v>6400</v>
      </c>
      <c r="G28" s="65">
        <v>32</v>
      </c>
      <c r="H28" s="65" t="s">
        <v>789</v>
      </c>
      <c r="I28" s="65" t="s">
        <v>404</v>
      </c>
      <c r="J28" s="55">
        <v>45982</v>
      </c>
      <c r="K28" s="165" t="s">
        <v>1941</v>
      </c>
      <c r="L28" s="166">
        <v>89773804045</v>
      </c>
      <c r="M28" s="53" t="s">
        <v>1940</v>
      </c>
      <c r="N28" s="199"/>
      <c r="O28" s="92"/>
      <c r="P28" s="57"/>
      <c r="Q28" s="365">
        <v>6400</v>
      </c>
      <c r="R28" s="53" t="s">
        <v>417</v>
      </c>
      <c r="S28" s="94">
        <v>82000</v>
      </c>
      <c r="T28" s="61">
        <f t="shared" si="1"/>
        <v>524800</v>
      </c>
    </row>
    <row r="29" spans="1:20" s="63" customFormat="1" ht="13.5" customHeight="1" x14ac:dyDescent="0.25">
      <c r="A29" s="65" t="s">
        <v>448</v>
      </c>
      <c r="B29" s="57" t="s">
        <v>1946</v>
      </c>
      <c r="C29" s="57" t="s">
        <v>1324</v>
      </c>
      <c r="D29" s="93" t="s">
        <v>168</v>
      </c>
      <c r="E29" s="56" t="s">
        <v>1253</v>
      </c>
      <c r="F29" s="92">
        <v>3200</v>
      </c>
      <c r="G29" s="65">
        <v>16</v>
      </c>
      <c r="H29" s="65" t="s">
        <v>392</v>
      </c>
      <c r="I29" s="65" t="s">
        <v>404</v>
      </c>
      <c r="J29" s="296">
        <v>45982</v>
      </c>
      <c r="K29" s="362" t="s">
        <v>1952</v>
      </c>
      <c r="L29" s="207">
        <v>89312303316</v>
      </c>
      <c r="M29" s="53" t="s">
        <v>1953</v>
      </c>
      <c r="N29" s="310"/>
      <c r="O29" s="57"/>
      <c r="P29" s="57"/>
      <c r="Q29" s="365">
        <v>3200</v>
      </c>
      <c r="R29" s="53" t="s">
        <v>417</v>
      </c>
      <c r="S29" s="94">
        <v>89900</v>
      </c>
      <c r="T29" s="61">
        <f t="shared" si="1"/>
        <v>287680</v>
      </c>
    </row>
    <row r="30" spans="1:20" s="63" customFormat="1" ht="13.5" customHeight="1" x14ac:dyDescent="0.25">
      <c r="A30" s="65" t="s">
        <v>448</v>
      </c>
      <c r="B30" s="57" t="s">
        <v>1946</v>
      </c>
      <c r="C30" s="57" t="s">
        <v>1324</v>
      </c>
      <c r="D30" s="93" t="s">
        <v>375</v>
      </c>
      <c r="E30" s="56" t="s">
        <v>1947</v>
      </c>
      <c r="F30" s="92">
        <v>3360</v>
      </c>
      <c r="G30" s="65">
        <v>16</v>
      </c>
      <c r="H30" s="65" t="s">
        <v>392</v>
      </c>
      <c r="I30" s="65" t="s">
        <v>404</v>
      </c>
      <c r="J30" s="296">
        <v>45982</v>
      </c>
      <c r="K30" s="362" t="s">
        <v>1952</v>
      </c>
      <c r="L30" s="207">
        <v>89312303316</v>
      </c>
      <c r="M30" s="53" t="s">
        <v>1953</v>
      </c>
      <c r="N30" s="310"/>
      <c r="O30" s="57"/>
      <c r="P30" s="57"/>
      <c r="Q30" s="365">
        <v>3360</v>
      </c>
      <c r="R30" s="53" t="s">
        <v>417</v>
      </c>
      <c r="S30" s="94">
        <v>89900</v>
      </c>
      <c r="T30" s="61">
        <f t="shared" si="1"/>
        <v>302064</v>
      </c>
    </row>
    <row r="31" spans="1:20" s="63" customFormat="1" ht="13.5" customHeight="1" x14ac:dyDescent="0.25">
      <c r="A31" s="65" t="s">
        <v>1955</v>
      </c>
      <c r="B31" s="57" t="s">
        <v>1948</v>
      </c>
      <c r="C31" s="57" t="s">
        <v>1837</v>
      </c>
      <c r="D31" s="93" t="s">
        <v>226</v>
      </c>
      <c r="E31" s="56" t="s">
        <v>1075</v>
      </c>
      <c r="F31" s="92">
        <v>20000</v>
      </c>
      <c r="G31" s="65">
        <v>800</v>
      </c>
      <c r="H31" s="65" t="s">
        <v>773</v>
      </c>
      <c r="I31" s="65" t="s">
        <v>404</v>
      </c>
      <c r="J31" s="55">
        <v>45986</v>
      </c>
      <c r="K31" s="363" t="s">
        <v>1956</v>
      </c>
      <c r="L31" s="248">
        <v>89195966929</v>
      </c>
      <c r="M31" s="62" t="s">
        <v>1569</v>
      </c>
      <c r="N31" s="162"/>
      <c r="O31" s="92">
        <v>20000</v>
      </c>
      <c r="P31" s="92"/>
      <c r="Q31" s="364"/>
      <c r="R31" s="53" t="s">
        <v>417</v>
      </c>
      <c r="S31" s="94">
        <v>44500</v>
      </c>
      <c r="T31" s="61">
        <f t="shared" si="1"/>
        <v>890000</v>
      </c>
    </row>
    <row r="32" spans="1:20" s="63" customFormat="1" ht="13.5" customHeight="1" x14ac:dyDescent="0.25">
      <c r="A32" s="65" t="s">
        <v>408</v>
      </c>
      <c r="B32" s="57" t="s">
        <v>1949</v>
      </c>
      <c r="C32" s="57" t="s">
        <v>1837</v>
      </c>
      <c r="D32" s="93" t="s">
        <v>226</v>
      </c>
      <c r="E32" s="56" t="s">
        <v>1075</v>
      </c>
      <c r="F32" s="92">
        <v>20000</v>
      </c>
      <c r="G32" s="65">
        <v>800</v>
      </c>
      <c r="H32" s="65" t="s">
        <v>773</v>
      </c>
      <c r="I32" s="65" t="s">
        <v>404</v>
      </c>
      <c r="J32" s="55">
        <v>45986</v>
      </c>
      <c r="K32" s="363" t="s">
        <v>1919</v>
      </c>
      <c r="L32" s="248">
        <v>89216700606</v>
      </c>
      <c r="M32" s="62" t="s">
        <v>898</v>
      </c>
      <c r="N32" s="162"/>
      <c r="O32" s="92">
        <v>20000</v>
      </c>
      <c r="P32" s="92"/>
      <c r="Q32" s="364"/>
      <c r="R32" s="53" t="s">
        <v>417</v>
      </c>
      <c r="S32" s="94">
        <v>44500</v>
      </c>
      <c r="T32" s="61">
        <f t="shared" si="1"/>
        <v>890000</v>
      </c>
    </row>
    <row r="33" spans="1:20" s="63" customFormat="1" ht="13.5" customHeight="1" x14ac:dyDescent="0.25">
      <c r="A33" s="65" t="s">
        <v>1959</v>
      </c>
      <c r="B33" s="57" t="s">
        <v>1950</v>
      </c>
      <c r="C33" s="57" t="s">
        <v>1837</v>
      </c>
      <c r="D33" s="93" t="s">
        <v>194</v>
      </c>
      <c r="E33" s="56" t="s">
        <v>1212</v>
      </c>
      <c r="F33" s="92">
        <v>17600</v>
      </c>
      <c r="G33" s="65">
        <v>88</v>
      </c>
      <c r="H33" s="65" t="s">
        <v>773</v>
      </c>
      <c r="I33" s="65" t="s">
        <v>404</v>
      </c>
      <c r="J33" s="55">
        <v>45989</v>
      </c>
      <c r="K33" s="366" t="s">
        <v>1958</v>
      </c>
      <c r="L33" s="248">
        <v>89115800204</v>
      </c>
      <c r="M33" s="62" t="s">
        <v>1202</v>
      </c>
      <c r="N33" s="162"/>
      <c r="O33" s="92"/>
      <c r="P33" s="92"/>
      <c r="Q33" s="365">
        <v>17600</v>
      </c>
      <c r="R33" s="53" t="s">
        <v>417</v>
      </c>
      <c r="S33" s="94">
        <v>105000</v>
      </c>
      <c r="T33" s="61">
        <f t="shared" si="1"/>
        <v>1848000</v>
      </c>
    </row>
    <row r="34" spans="1:20" ht="21" customHeight="1" x14ac:dyDescent="0.3">
      <c r="A34" s="342"/>
      <c r="B34" s="343"/>
      <c r="C34" s="343"/>
      <c r="D34" s="344"/>
      <c r="E34" s="345"/>
      <c r="F34" s="343"/>
      <c r="G34" s="342"/>
      <c r="H34" s="342"/>
      <c r="I34" s="342"/>
      <c r="J34" s="346"/>
      <c r="K34" s="342"/>
      <c r="L34" s="347"/>
      <c r="M34" s="343"/>
      <c r="N34" s="343"/>
      <c r="O34" s="343"/>
      <c r="P34" s="343"/>
      <c r="Q34" s="343"/>
      <c r="R34" s="343"/>
      <c r="S34" s="348"/>
      <c r="T34" s="348">
        <f>SUM(T5:T33)</f>
        <v>25060817.201816</v>
      </c>
    </row>
    <row r="35" spans="1:20" ht="21" customHeight="1" x14ac:dyDescent="0.3">
      <c r="A35" s="159" t="s">
        <v>15</v>
      </c>
      <c r="B35" s="101">
        <f>SUM($F$5:$F$34)/1000</f>
        <v>254.14270000000002</v>
      </c>
      <c r="C35" s="54" t="s">
        <v>14</v>
      </c>
    </row>
    <row r="36" spans="1:20" ht="23.25" customHeight="1" x14ac:dyDescent="0.3">
      <c r="A36" s="110" t="s">
        <v>16</v>
      </c>
      <c r="B36" s="102">
        <f>$B$37+$B$38+$B$39</f>
        <v>254.14269999999999</v>
      </c>
      <c r="C36" s="1" t="s">
        <v>14</v>
      </c>
      <c r="E36" s="358"/>
      <c r="F36" s="154" t="s">
        <v>321</v>
      </c>
      <c r="G36" s="154"/>
    </row>
    <row r="37" spans="1:20" ht="23.25" customHeight="1" x14ac:dyDescent="0.3">
      <c r="A37" s="111" t="s">
        <v>17</v>
      </c>
      <c r="B37" s="100">
        <f>SUM(O5:O34)/1000</f>
        <v>123</v>
      </c>
      <c r="C37" s="2" t="s">
        <v>14</v>
      </c>
      <c r="D37" s="184"/>
      <c r="E37" s="188"/>
      <c r="F37" s="154" t="s">
        <v>319</v>
      </c>
      <c r="G37" s="154"/>
    </row>
    <row r="38" spans="1:20" ht="23.25" customHeight="1" x14ac:dyDescent="0.3">
      <c r="A38" s="111" t="s">
        <v>153</v>
      </c>
      <c r="B38" s="100">
        <f>SUM(P5:P34)/1000</f>
        <v>12.0227</v>
      </c>
      <c r="C38" s="2" t="s">
        <v>14</v>
      </c>
      <c r="E38" s="177"/>
      <c r="F38" s="154" t="s">
        <v>318</v>
      </c>
      <c r="G38" s="154"/>
    </row>
    <row r="39" spans="1:20" ht="23.25" customHeight="1" x14ac:dyDescent="0.3">
      <c r="A39" s="111" t="s">
        <v>24</v>
      </c>
      <c r="B39" s="100">
        <f>SUM(Q5:Q34)/1000</f>
        <v>119.12</v>
      </c>
      <c r="C39" s="2" t="s">
        <v>14</v>
      </c>
      <c r="E39" s="178"/>
      <c r="F39" s="154" t="s">
        <v>325</v>
      </c>
    </row>
    <row r="40" spans="1:20" ht="23.25" customHeight="1" thickBot="1" x14ac:dyDescent="0.35">
      <c r="A40" s="112" t="s">
        <v>20</v>
      </c>
      <c r="B40" s="104">
        <f>$B$35-$B$36</f>
        <v>0</v>
      </c>
      <c r="C40" s="3" t="s">
        <v>14</v>
      </c>
      <c r="E40" s="286"/>
      <c r="F40" s="154" t="s">
        <v>1351</v>
      </c>
    </row>
  </sheetData>
  <sheetProtection formatCells="0" formatColumns="0" formatRows="0" insertColumns="0" insertRows="0" insertHyperlinks="0" deleteColumns="0" deleteRows="0" sort="0" autoFilter="0" pivotTables="0"/>
  <autoFilter ref="D1:D40" xr:uid="{00000000-0009-0000-0000-000001000000}"/>
  <mergeCells count="13">
    <mergeCell ref="S2:S3"/>
    <mergeCell ref="H2:H3"/>
    <mergeCell ref="I2:I3"/>
    <mergeCell ref="J2:J3"/>
    <mergeCell ref="K2:M2"/>
    <mergeCell ref="O2:Q2"/>
    <mergeCell ref="R2:R3"/>
    <mergeCell ref="F2:G2"/>
    <mergeCell ref="A2:A3"/>
    <mergeCell ref="B2:B3"/>
    <mergeCell ref="C2:C3"/>
    <mergeCell ref="D2:D3"/>
    <mergeCell ref="E2:E3"/>
  </mergeCells>
  <phoneticPr fontId="119" type="noConversion"/>
  <dataValidations count="2">
    <dataValidation type="list" allowBlank="1" showInputMessage="1" showErrorMessage="1" sqref="D19:D28 D32:D34" xr:uid="{00000000-0002-0000-0100-000000000000}">
      <formula1>$E$2:$E$68</formula1>
    </dataValidation>
    <dataValidation type="list" allowBlank="1" showInputMessage="1" showErrorMessage="1" sqref="D26:D28" xr:uid="{00000000-0002-0000-0100-000001000000}">
      <formula1>$E$2:$E$72</formula1>
    </dataValidation>
  </dataValidations>
  <pageMargins left="0.7" right="0.7" top="0.75" bottom="0.75" header="0.3" footer="0.3"/>
  <pageSetup paperSize="9" scale="37" orientation="landscape" r:id="rId1"/>
  <colBreaks count="1" manualBreakCount="1">
    <brk id="1" max="87" man="1"/>
  </col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2000000}">
          <x14:formula1>
            <xm:f>справочник!$E$2:$E$173</xm:f>
          </x14:formula1>
          <xm:sqref>D5:D12</xm:sqref>
        </x14:dataValidation>
        <x14:dataValidation type="list" allowBlank="1" showInputMessage="1" showErrorMessage="1" xr:uid="{00000000-0002-0000-0100-000003000000}">
          <x14:formula1>
            <xm:f>справочник!$E$2:$E$177</xm:f>
          </x14:formula1>
          <xm:sqref>D13:D18</xm:sqref>
        </x14:dataValidation>
        <x14:dataValidation type="list" allowBlank="1" showInputMessage="1" showErrorMessage="1" xr:uid="{00000000-0002-0000-0100-000004000000}">
          <x14:formula1>
            <xm:f>справочник!$E$2:$E$178</xm:f>
          </x14:formula1>
          <xm:sqref>D1:D1048576</xm:sqref>
        </x14:dataValidation>
        <x14:dataValidation type="list" allowBlank="1" showInputMessage="1" showErrorMessage="1" xr:uid="{00000000-0002-0000-0100-000005000000}">
          <x14:formula1>
            <xm:f>справочник!$E$2:$E$179</xm:f>
          </x14:formula1>
          <xm:sqref>D31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U76"/>
  <sheetViews>
    <sheetView zoomScale="72" zoomScaleNormal="72" zoomScaleSheetLayoutView="70" workbookViewId="0">
      <pane ySplit="3" topLeftCell="A4" activePane="bottomLeft" state="frozen"/>
      <selection pane="bottomLeft" activeCell="H5" sqref="H5"/>
    </sheetView>
  </sheetViews>
  <sheetFormatPr defaultRowHeight="15" x14ac:dyDescent="0.25"/>
  <cols>
    <col min="1" max="1" width="20" style="113" customWidth="1"/>
    <col min="2" max="2" width="15.140625" customWidth="1"/>
    <col min="3" max="3" width="17" customWidth="1"/>
    <col min="4" max="4" width="41" customWidth="1"/>
    <col min="5" max="5" width="15.5703125" style="174" customWidth="1"/>
    <col min="6" max="6" width="13" bestFit="1" customWidth="1"/>
    <col min="7" max="7" width="19.140625" customWidth="1"/>
    <col min="8" max="8" width="19.5703125" customWidth="1"/>
    <col min="9" max="9" width="24.28515625" customWidth="1"/>
    <col min="10" max="10" width="18.42578125" customWidth="1"/>
    <col min="11" max="11" width="25.140625" customWidth="1"/>
    <col min="12" max="12" width="24.7109375" customWidth="1"/>
    <col min="13" max="13" width="32.140625" customWidth="1"/>
    <col min="14" max="14" width="18.42578125" style="140" customWidth="1"/>
    <col min="15" max="16" width="8.85546875" customWidth="1"/>
    <col min="17" max="17" width="8" customWidth="1"/>
    <col min="18" max="18" width="10.85546875" customWidth="1"/>
    <col min="19" max="19" width="13.85546875" customWidth="1"/>
    <col min="20" max="20" width="17.28515625" customWidth="1"/>
    <col min="21" max="21" width="15.42578125" customWidth="1"/>
  </cols>
  <sheetData>
    <row r="1" spans="1:20" s="59" customFormat="1" ht="17.25" x14ac:dyDescent="0.3">
      <c r="A1" s="109"/>
      <c r="B1" s="58" t="s">
        <v>152</v>
      </c>
      <c r="C1" s="66">
        <v>45931</v>
      </c>
      <c r="D1" s="58"/>
      <c r="E1" s="173"/>
      <c r="F1" s="58"/>
      <c r="H1" s="58"/>
      <c r="I1" s="58"/>
      <c r="J1" s="58"/>
      <c r="K1" s="60"/>
      <c r="L1" s="60"/>
      <c r="M1" s="60"/>
      <c r="N1" s="106"/>
      <c r="O1" s="60"/>
      <c r="P1" s="60"/>
      <c r="Q1" s="60"/>
    </row>
    <row r="2" spans="1:20" ht="25.5" customHeight="1" x14ac:dyDescent="0.25">
      <c r="A2" s="404" t="s">
        <v>159</v>
      </c>
      <c r="B2" s="406" t="s">
        <v>18</v>
      </c>
      <c r="C2" s="408" t="s">
        <v>156</v>
      </c>
      <c r="D2" s="410" t="s">
        <v>4</v>
      </c>
      <c r="E2" s="412" t="s">
        <v>5</v>
      </c>
      <c r="F2" s="402" t="s">
        <v>0</v>
      </c>
      <c r="G2" s="403"/>
      <c r="H2" s="388" t="s">
        <v>2</v>
      </c>
      <c r="I2" s="390" t="s">
        <v>3</v>
      </c>
      <c r="J2" s="392" t="s">
        <v>6</v>
      </c>
      <c r="K2" s="394" t="s">
        <v>7</v>
      </c>
      <c r="L2" s="395"/>
      <c r="M2" s="396"/>
      <c r="N2" s="107" t="s">
        <v>9</v>
      </c>
      <c r="O2" s="397" t="s">
        <v>12</v>
      </c>
      <c r="P2" s="398"/>
      <c r="Q2" s="399"/>
      <c r="R2" s="400" t="s">
        <v>151</v>
      </c>
      <c r="S2" s="387" t="s">
        <v>161</v>
      </c>
      <c r="T2" s="95"/>
    </row>
    <row r="3" spans="1:20" x14ac:dyDescent="0.25">
      <c r="A3" s="405"/>
      <c r="B3" s="407"/>
      <c r="C3" s="409"/>
      <c r="D3" s="411"/>
      <c r="E3" s="413"/>
      <c r="F3" s="149" t="s">
        <v>1</v>
      </c>
      <c r="G3" s="149" t="s">
        <v>155</v>
      </c>
      <c r="H3" s="389"/>
      <c r="I3" s="391"/>
      <c r="J3" s="393"/>
      <c r="K3" s="303" t="s">
        <v>8</v>
      </c>
      <c r="L3" s="303" t="s">
        <v>21</v>
      </c>
      <c r="M3" s="303" t="s">
        <v>10</v>
      </c>
      <c r="N3" s="150" t="s">
        <v>1038</v>
      </c>
      <c r="O3" s="151" t="s">
        <v>13</v>
      </c>
      <c r="P3" s="151" t="s">
        <v>154</v>
      </c>
      <c r="Q3" s="152" t="s">
        <v>23</v>
      </c>
      <c r="R3" s="401"/>
      <c r="S3" s="387"/>
      <c r="T3" s="153" t="s">
        <v>162</v>
      </c>
    </row>
    <row r="4" spans="1:20" s="184" customFormat="1" x14ac:dyDescent="0.25">
      <c r="A4" s="328"/>
      <c r="B4" s="329"/>
      <c r="C4" s="329"/>
      <c r="D4" s="329"/>
      <c r="E4" s="330"/>
      <c r="F4" s="331"/>
      <c r="G4" s="331"/>
      <c r="H4" s="329"/>
      <c r="I4" s="329"/>
      <c r="J4" s="328"/>
      <c r="K4" s="331"/>
      <c r="L4" s="331"/>
      <c r="M4" s="331"/>
      <c r="N4" s="332"/>
      <c r="O4" s="331"/>
      <c r="P4" s="331"/>
      <c r="Q4" s="333"/>
      <c r="R4" s="334"/>
      <c r="S4" s="335"/>
      <c r="T4" s="336"/>
    </row>
    <row r="5" spans="1:20" s="63" customFormat="1" ht="13.5" customHeight="1" x14ac:dyDescent="0.25">
      <c r="A5" s="65" t="s">
        <v>1797</v>
      </c>
      <c r="B5" s="57" t="s">
        <v>1720</v>
      </c>
      <c r="C5" s="57" t="s">
        <v>491</v>
      </c>
      <c r="D5" s="93" t="s">
        <v>226</v>
      </c>
      <c r="E5" s="56" t="s">
        <v>567</v>
      </c>
      <c r="F5" s="92">
        <v>20000</v>
      </c>
      <c r="G5" s="65">
        <v>800</v>
      </c>
      <c r="H5" s="65" t="s">
        <v>452</v>
      </c>
      <c r="I5" s="65" t="s">
        <v>1263</v>
      </c>
      <c r="J5" s="55">
        <v>45931</v>
      </c>
      <c r="K5" s="317" t="s">
        <v>1795</v>
      </c>
      <c r="L5" s="248">
        <v>89829645340</v>
      </c>
      <c r="M5" s="62" t="s">
        <v>1796</v>
      </c>
      <c r="N5" s="162"/>
      <c r="O5" s="92">
        <v>20000</v>
      </c>
      <c r="P5" s="92"/>
      <c r="Q5" s="57"/>
      <c r="R5" s="53" t="s">
        <v>417</v>
      </c>
      <c r="S5" s="94">
        <v>44500</v>
      </c>
      <c r="T5" s="61">
        <f t="shared" ref="T5:T21" si="0" xml:space="preserve"> S5*(F5/1000)</f>
        <v>890000</v>
      </c>
    </row>
    <row r="6" spans="1:20" s="63" customFormat="1" ht="13.5" customHeight="1" x14ac:dyDescent="0.25">
      <c r="A6" s="65" t="s">
        <v>281</v>
      </c>
      <c r="B6" s="57" t="s">
        <v>1748</v>
      </c>
      <c r="C6" s="57" t="s">
        <v>1405</v>
      </c>
      <c r="D6" s="93" t="s">
        <v>189</v>
      </c>
      <c r="E6" s="56" t="s">
        <v>1749</v>
      </c>
      <c r="F6" s="92">
        <f t="shared" ref="F6:F11" si="1">G6*180</f>
        <v>3600</v>
      </c>
      <c r="G6" s="92">
        <v>20</v>
      </c>
      <c r="H6" s="65" t="s">
        <v>281</v>
      </c>
      <c r="I6" s="65" t="s">
        <v>1263</v>
      </c>
      <c r="J6" s="55">
        <v>45931</v>
      </c>
      <c r="K6" s="304" t="s">
        <v>1794</v>
      </c>
      <c r="L6" s="248">
        <v>89062807497</v>
      </c>
      <c r="M6" s="62" t="s">
        <v>1792</v>
      </c>
      <c r="N6" s="162"/>
      <c r="O6" s="92"/>
      <c r="P6" s="57"/>
      <c r="Q6" s="57">
        <v>3600</v>
      </c>
      <c r="R6" s="53" t="s">
        <v>417</v>
      </c>
      <c r="S6" s="94">
        <v>127500</v>
      </c>
      <c r="T6" s="61">
        <f t="shared" si="0"/>
        <v>459000</v>
      </c>
    </row>
    <row r="7" spans="1:20" s="63" customFormat="1" ht="13.5" customHeight="1" x14ac:dyDescent="0.25">
      <c r="A7" s="65" t="s">
        <v>281</v>
      </c>
      <c r="B7" s="57" t="s">
        <v>1748</v>
      </c>
      <c r="C7" s="57" t="s">
        <v>1405</v>
      </c>
      <c r="D7" s="93" t="s">
        <v>189</v>
      </c>
      <c r="E7" s="56" t="s">
        <v>1750</v>
      </c>
      <c r="F7" s="92">
        <f t="shared" si="1"/>
        <v>10800</v>
      </c>
      <c r="G7" s="92">
        <v>60</v>
      </c>
      <c r="H7" s="65" t="s">
        <v>281</v>
      </c>
      <c r="I7" s="65" t="s">
        <v>1263</v>
      </c>
      <c r="J7" s="55">
        <v>45931</v>
      </c>
      <c r="K7" s="304" t="s">
        <v>1794</v>
      </c>
      <c r="L7" s="248">
        <v>89062807497</v>
      </c>
      <c r="M7" s="62" t="s">
        <v>1792</v>
      </c>
      <c r="N7" s="162"/>
      <c r="O7" s="92"/>
      <c r="P7" s="57"/>
      <c r="Q7" s="57">
        <v>10800</v>
      </c>
      <c r="R7" s="53" t="s">
        <v>417</v>
      </c>
      <c r="S7" s="94">
        <v>127500</v>
      </c>
      <c r="T7" s="61">
        <f t="shared" si="0"/>
        <v>1377000</v>
      </c>
    </row>
    <row r="8" spans="1:20" s="63" customFormat="1" ht="13.5" customHeight="1" x14ac:dyDescent="0.25">
      <c r="A8" s="65" t="s">
        <v>281</v>
      </c>
      <c r="B8" s="57" t="s">
        <v>1748</v>
      </c>
      <c r="C8" s="57" t="s">
        <v>1405</v>
      </c>
      <c r="D8" s="93" t="s">
        <v>183</v>
      </c>
      <c r="E8" s="56" t="s">
        <v>1754</v>
      </c>
      <c r="F8" s="92">
        <f t="shared" ref="F8" si="2">G8*180</f>
        <v>14400</v>
      </c>
      <c r="G8" s="92">
        <v>80</v>
      </c>
      <c r="H8" s="65" t="s">
        <v>281</v>
      </c>
      <c r="I8" s="65" t="s">
        <v>1263</v>
      </c>
      <c r="J8" s="55">
        <v>45931</v>
      </c>
      <c r="K8" s="304" t="s">
        <v>1793</v>
      </c>
      <c r="L8" s="248">
        <v>89092943651</v>
      </c>
      <c r="M8" s="62" t="s">
        <v>1897</v>
      </c>
      <c r="N8" s="162"/>
      <c r="O8" s="92"/>
      <c r="P8" s="57"/>
      <c r="Q8" s="57">
        <v>14400</v>
      </c>
      <c r="R8" s="53" t="s">
        <v>417</v>
      </c>
      <c r="S8" s="94">
        <v>146500</v>
      </c>
      <c r="T8" s="61">
        <f t="shared" ref="T8:T9" si="3" xml:space="preserve"> S8*(F8/1000)</f>
        <v>2109600</v>
      </c>
    </row>
    <row r="9" spans="1:20" s="63" customFormat="1" ht="13.5" customHeight="1" x14ac:dyDescent="0.25">
      <c r="A9" s="65" t="s">
        <v>1799</v>
      </c>
      <c r="B9" s="57" t="s">
        <v>1798</v>
      </c>
      <c r="C9" s="57" t="s">
        <v>401</v>
      </c>
      <c r="D9" s="93" t="s">
        <v>244</v>
      </c>
      <c r="E9" s="56" t="s">
        <v>1800</v>
      </c>
      <c r="F9" s="92">
        <v>14000</v>
      </c>
      <c r="G9" s="92">
        <v>1000</v>
      </c>
      <c r="H9" s="65" t="s">
        <v>1801</v>
      </c>
      <c r="I9" s="65" t="s">
        <v>1263</v>
      </c>
      <c r="J9" s="55">
        <v>45933</v>
      </c>
      <c r="K9" s="318" t="s">
        <v>1825</v>
      </c>
      <c r="L9" s="248">
        <v>89648370244</v>
      </c>
      <c r="M9" s="62" t="s">
        <v>1824</v>
      </c>
      <c r="N9" s="162"/>
      <c r="O9" s="92"/>
      <c r="P9" s="57">
        <f>F9</f>
        <v>14000</v>
      </c>
      <c r="Q9" s="57"/>
      <c r="R9" s="53" t="s">
        <v>417</v>
      </c>
      <c r="S9" s="94">
        <v>317000</v>
      </c>
      <c r="T9" s="61">
        <f t="shared" si="3"/>
        <v>4438000</v>
      </c>
    </row>
    <row r="10" spans="1:20" s="63" customFormat="1" ht="13.5" customHeight="1" x14ac:dyDescent="0.25">
      <c r="A10" s="65" t="s">
        <v>281</v>
      </c>
      <c r="B10" s="57" t="s">
        <v>1748</v>
      </c>
      <c r="C10" s="57" t="s">
        <v>1405</v>
      </c>
      <c r="D10" s="93" t="s">
        <v>189</v>
      </c>
      <c r="E10" s="56" t="s">
        <v>1750</v>
      </c>
      <c r="F10" s="92">
        <f t="shared" si="1"/>
        <v>7200</v>
      </c>
      <c r="G10" s="92">
        <v>40</v>
      </c>
      <c r="H10" s="65" t="s">
        <v>281</v>
      </c>
      <c r="I10" s="65" t="s">
        <v>1263</v>
      </c>
      <c r="J10" s="55">
        <v>45933</v>
      </c>
      <c r="K10" s="319" t="s">
        <v>1814</v>
      </c>
      <c r="L10" s="248">
        <v>89098291001</v>
      </c>
      <c r="M10" s="62" t="s">
        <v>1827</v>
      </c>
      <c r="N10" s="162"/>
      <c r="O10" s="92"/>
      <c r="P10" s="57"/>
      <c r="Q10" s="57">
        <f>F10</f>
        <v>7200</v>
      </c>
      <c r="R10" s="53" t="s">
        <v>417</v>
      </c>
      <c r="S10" s="94">
        <v>127500</v>
      </c>
      <c r="T10" s="61">
        <f t="shared" si="0"/>
        <v>918000</v>
      </c>
    </row>
    <row r="11" spans="1:20" s="63" customFormat="1" ht="13.5" customHeight="1" x14ac:dyDescent="0.25">
      <c r="A11" s="65" t="s">
        <v>281</v>
      </c>
      <c r="B11" s="57" t="s">
        <v>1748</v>
      </c>
      <c r="C11" s="57" t="s">
        <v>1405</v>
      </c>
      <c r="D11" s="93" t="s">
        <v>189</v>
      </c>
      <c r="E11" s="56" t="s">
        <v>1751</v>
      </c>
      <c r="F11" s="92">
        <f t="shared" si="1"/>
        <v>7200</v>
      </c>
      <c r="G11" s="92">
        <v>40</v>
      </c>
      <c r="H11" s="65" t="s">
        <v>281</v>
      </c>
      <c r="I11" s="65" t="s">
        <v>1263</v>
      </c>
      <c r="J11" s="55">
        <v>45933</v>
      </c>
      <c r="K11" s="319" t="s">
        <v>1814</v>
      </c>
      <c r="L11" s="248">
        <v>89098291001</v>
      </c>
      <c r="M11" s="62" t="s">
        <v>1827</v>
      </c>
      <c r="N11" s="162"/>
      <c r="O11" s="92"/>
      <c r="P11" s="57"/>
      <c r="Q11" s="57">
        <f>F11</f>
        <v>7200</v>
      </c>
      <c r="R11" s="53" t="s">
        <v>417</v>
      </c>
      <c r="S11" s="94">
        <v>127500</v>
      </c>
      <c r="T11" s="61">
        <f t="shared" si="0"/>
        <v>918000</v>
      </c>
    </row>
    <row r="12" spans="1:20" s="63" customFormat="1" ht="13.5" customHeight="1" x14ac:dyDescent="0.25">
      <c r="A12" s="65" t="s">
        <v>997</v>
      </c>
      <c r="B12" s="57" t="s">
        <v>1726</v>
      </c>
      <c r="C12" s="57" t="s">
        <v>451</v>
      </c>
      <c r="D12" s="93" t="s">
        <v>222</v>
      </c>
      <c r="E12" s="56" t="s">
        <v>1075</v>
      </c>
      <c r="F12" s="92">
        <v>20000</v>
      </c>
      <c r="G12" s="65">
        <v>800</v>
      </c>
      <c r="H12" s="65" t="s">
        <v>165</v>
      </c>
      <c r="I12" s="65" t="s">
        <v>1263</v>
      </c>
      <c r="J12" s="55">
        <v>45933</v>
      </c>
      <c r="K12" s="320" t="s">
        <v>1816</v>
      </c>
      <c r="L12" s="248">
        <v>89080063420</v>
      </c>
      <c r="M12" s="62" t="s">
        <v>1817</v>
      </c>
      <c r="N12" s="162"/>
      <c r="O12" s="92">
        <f>F12</f>
        <v>20000</v>
      </c>
      <c r="P12" s="57"/>
      <c r="Q12" s="92"/>
      <c r="R12" s="53" t="s">
        <v>417</v>
      </c>
      <c r="S12" s="94">
        <v>44500</v>
      </c>
      <c r="T12" s="61">
        <f t="shared" ref="T12:T16" si="4" xml:space="preserve"> S12*(F12/1000)</f>
        <v>890000</v>
      </c>
    </row>
    <row r="13" spans="1:20" s="63" customFormat="1" ht="13.5" customHeight="1" x14ac:dyDescent="0.25">
      <c r="A13" s="65" t="s">
        <v>997</v>
      </c>
      <c r="B13" s="57" t="s">
        <v>1745</v>
      </c>
      <c r="C13" s="57" t="s">
        <v>491</v>
      </c>
      <c r="D13" s="93" t="s">
        <v>226</v>
      </c>
      <c r="E13" s="56" t="s">
        <v>1140</v>
      </c>
      <c r="F13" s="92">
        <v>4000</v>
      </c>
      <c r="G13" s="65">
        <v>160</v>
      </c>
      <c r="H13" s="65" t="s">
        <v>452</v>
      </c>
      <c r="I13" s="65" t="s">
        <v>1263</v>
      </c>
      <c r="J13" s="55">
        <v>45933</v>
      </c>
      <c r="K13" s="321" t="s">
        <v>1828</v>
      </c>
      <c r="L13" s="248">
        <v>89125770562</v>
      </c>
      <c r="M13" s="62" t="s">
        <v>1815</v>
      </c>
      <c r="N13" s="162"/>
      <c r="O13" s="92">
        <f>F13</f>
        <v>4000</v>
      </c>
      <c r="P13" s="92"/>
      <c r="Q13" s="57"/>
      <c r="R13" s="53" t="s">
        <v>417</v>
      </c>
      <c r="S13" s="94">
        <v>44500</v>
      </c>
      <c r="T13" s="61">
        <f t="shared" si="4"/>
        <v>178000</v>
      </c>
    </row>
    <row r="14" spans="1:20" s="63" customFormat="1" ht="13.5" customHeight="1" x14ac:dyDescent="0.25">
      <c r="A14" s="65" t="s">
        <v>997</v>
      </c>
      <c r="B14" s="57" t="s">
        <v>1745</v>
      </c>
      <c r="C14" s="57" t="s">
        <v>491</v>
      </c>
      <c r="D14" s="93" t="s">
        <v>223</v>
      </c>
      <c r="E14" s="56" t="s">
        <v>1624</v>
      </c>
      <c r="F14" s="92">
        <v>15000</v>
      </c>
      <c r="G14" s="65">
        <v>600</v>
      </c>
      <c r="H14" s="65" t="s">
        <v>452</v>
      </c>
      <c r="I14" s="65" t="s">
        <v>1263</v>
      </c>
      <c r="J14" s="55">
        <v>45933</v>
      </c>
      <c r="K14" s="321" t="s">
        <v>1828</v>
      </c>
      <c r="L14" s="248">
        <v>89125770562</v>
      </c>
      <c r="M14" s="62" t="s">
        <v>1815</v>
      </c>
      <c r="N14" s="162"/>
      <c r="O14" s="92"/>
      <c r="P14" s="92">
        <f>F14</f>
        <v>15000</v>
      </c>
      <c r="Q14" s="57"/>
      <c r="R14" s="53" t="s">
        <v>417</v>
      </c>
      <c r="S14" s="94">
        <v>250000</v>
      </c>
      <c r="T14" s="61">
        <f t="shared" si="4"/>
        <v>3750000</v>
      </c>
    </row>
    <row r="15" spans="1:20" s="63" customFormat="1" ht="13.5" customHeight="1" x14ac:dyDescent="0.25">
      <c r="A15" s="65" t="s">
        <v>997</v>
      </c>
      <c r="B15" s="57" t="s">
        <v>1745</v>
      </c>
      <c r="C15" s="57" t="s">
        <v>491</v>
      </c>
      <c r="D15" s="93" t="s">
        <v>194</v>
      </c>
      <c r="E15" s="56" t="s">
        <v>1744</v>
      </c>
      <c r="F15" s="92">
        <v>1600</v>
      </c>
      <c r="G15" s="65">
        <v>8</v>
      </c>
      <c r="H15" s="65" t="s">
        <v>452</v>
      </c>
      <c r="I15" s="65" t="s">
        <v>1263</v>
      </c>
      <c r="J15" s="55">
        <v>45933</v>
      </c>
      <c r="K15" s="321" t="s">
        <v>1828</v>
      </c>
      <c r="L15" s="248">
        <v>89125770562</v>
      </c>
      <c r="M15" s="62" t="s">
        <v>1815</v>
      </c>
      <c r="N15" s="162"/>
      <c r="O15" s="92"/>
      <c r="P15" s="92"/>
      <c r="Q15" s="57">
        <f>F15</f>
        <v>1600</v>
      </c>
      <c r="R15" s="53" t="s">
        <v>417</v>
      </c>
      <c r="S15" s="94">
        <v>105000</v>
      </c>
      <c r="T15" s="61">
        <f t="shared" si="4"/>
        <v>168000</v>
      </c>
    </row>
    <row r="16" spans="1:20" s="63" customFormat="1" ht="13.5" customHeight="1" x14ac:dyDescent="0.25">
      <c r="A16" s="65" t="s">
        <v>1821</v>
      </c>
      <c r="B16" s="57" t="s">
        <v>594</v>
      </c>
      <c r="C16" s="57" t="s">
        <v>698</v>
      </c>
      <c r="D16" s="93" t="s">
        <v>333</v>
      </c>
      <c r="E16" s="56"/>
      <c r="F16" s="92">
        <v>20000</v>
      </c>
      <c r="G16" s="65">
        <v>20</v>
      </c>
      <c r="H16" s="65" t="s">
        <v>701</v>
      </c>
      <c r="I16" s="65" t="s">
        <v>1263</v>
      </c>
      <c r="J16" s="55">
        <v>45933</v>
      </c>
      <c r="K16" s="322" t="s">
        <v>1823</v>
      </c>
      <c r="L16" s="248">
        <v>89115800204</v>
      </c>
      <c r="M16" s="62" t="s">
        <v>1822</v>
      </c>
      <c r="N16" s="162"/>
      <c r="O16" s="92"/>
      <c r="P16" s="92">
        <v>20000</v>
      </c>
      <c r="Q16" s="57"/>
      <c r="R16" s="53" t="s">
        <v>417</v>
      </c>
      <c r="S16" s="94">
        <v>39000</v>
      </c>
      <c r="T16" s="61">
        <f t="shared" si="4"/>
        <v>780000</v>
      </c>
    </row>
    <row r="17" spans="1:20" s="63" customFormat="1" ht="13.5" customHeight="1" x14ac:dyDescent="0.25">
      <c r="A17" s="65" t="s">
        <v>281</v>
      </c>
      <c r="B17" s="57" t="s">
        <v>1748</v>
      </c>
      <c r="C17" s="57" t="s">
        <v>1405</v>
      </c>
      <c r="D17" s="93" t="s">
        <v>183</v>
      </c>
      <c r="E17" s="56" t="s">
        <v>1755</v>
      </c>
      <c r="F17" s="92">
        <f>G17*180</f>
        <v>14400</v>
      </c>
      <c r="G17" s="92">
        <v>80</v>
      </c>
      <c r="H17" s="65" t="s">
        <v>281</v>
      </c>
      <c r="I17" s="65" t="s">
        <v>1263</v>
      </c>
      <c r="J17" s="55">
        <v>45936</v>
      </c>
      <c r="K17" s="311" t="s">
        <v>1830</v>
      </c>
      <c r="L17" s="248">
        <v>89128871037</v>
      </c>
      <c r="M17" s="62" t="s">
        <v>1829</v>
      </c>
      <c r="N17" s="162"/>
      <c r="O17" s="92"/>
      <c r="P17" s="57"/>
      <c r="Q17" s="57">
        <v>14400</v>
      </c>
      <c r="R17" s="53" t="s">
        <v>417</v>
      </c>
      <c r="S17" s="94">
        <v>146500</v>
      </c>
      <c r="T17" s="61">
        <f xml:space="preserve"> S17*(F17/1000)</f>
        <v>2109600</v>
      </c>
    </row>
    <row r="18" spans="1:20" s="63" customFormat="1" ht="13.5" customHeight="1" x14ac:dyDescent="0.25">
      <c r="A18" s="65" t="s">
        <v>997</v>
      </c>
      <c r="B18" s="57" t="s">
        <v>1721</v>
      </c>
      <c r="C18" s="57" t="s">
        <v>491</v>
      </c>
      <c r="D18" s="93" t="s">
        <v>226</v>
      </c>
      <c r="E18" s="56" t="s">
        <v>567</v>
      </c>
      <c r="F18" s="92">
        <v>20000</v>
      </c>
      <c r="G18" s="65">
        <v>800</v>
      </c>
      <c r="H18" s="65" t="s">
        <v>452</v>
      </c>
      <c r="I18" s="65" t="s">
        <v>1263</v>
      </c>
      <c r="J18" s="55">
        <v>45936</v>
      </c>
      <c r="K18" s="320" t="s">
        <v>1818</v>
      </c>
      <c r="L18" s="248">
        <v>89822215272</v>
      </c>
      <c r="M18" s="62" t="s">
        <v>1503</v>
      </c>
      <c r="N18" s="162"/>
      <c r="O18" s="92">
        <f>F18</f>
        <v>20000</v>
      </c>
      <c r="P18" s="92"/>
      <c r="Q18" s="57"/>
      <c r="R18" s="53" t="s">
        <v>417</v>
      </c>
      <c r="S18" s="94">
        <v>44500</v>
      </c>
      <c r="T18" s="61">
        <f t="shared" si="0"/>
        <v>890000</v>
      </c>
    </row>
    <row r="19" spans="1:20" s="63" customFormat="1" ht="13.5" customHeight="1" x14ac:dyDescent="0.25">
      <c r="A19" s="65" t="s">
        <v>1442</v>
      </c>
      <c r="B19" s="57" t="s">
        <v>1722</v>
      </c>
      <c r="C19" s="57" t="s">
        <v>491</v>
      </c>
      <c r="D19" s="93" t="s">
        <v>226</v>
      </c>
      <c r="E19" s="56" t="s">
        <v>567</v>
      </c>
      <c r="F19" s="92">
        <v>20000</v>
      </c>
      <c r="G19" s="65">
        <v>800</v>
      </c>
      <c r="H19" s="65" t="s">
        <v>452</v>
      </c>
      <c r="I19" s="65" t="s">
        <v>1263</v>
      </c>
      <c r="J19" s="55">
        <v>45936</v>
      </c>
      <c r="K19" s="98" t="s">
        <v>1302</v>
      </c>
      <c r="L19" s="108">
        <v>89125754867</v>
      </c>
      <c r="M19" s="98" t="s">
        <v>1826</v>
      </c>
      <c r="N19" s="162"/>
      <c r="O19" s="92">
        <f>F19</f>
        <v>20000</v>
      </c>
      <c r="P19" s="92"/>
      <c r="Q19" s="57"/>
      <c r="R19" s="53" t="s">
        <v>417</v>
      </c>
      <c r="S19" s="94">
        <v>44500</v>
      </c>
      <c r="T19" s="61">
        <f t="shared" si="0"/>
        <v>890000</v>
      </c>
    </row>
    <row r="20" spans="1:20" s="63" customFormat="1" ht="13.5" customHeight="1" x14ac:dyDescent="0.25">
      <c r="A20" s="65" t="s">
        <v>418</v>
      </c>
      <c r="B20" s="57" t="s">
        <v>1802</v>
      </c>
      <c r="C20" s="57" t="s">
        <v>491</v>
      </c>
      <c r="D20" s="93" t="s">
        <v>226</v>
      </c>
      <c r="E20" s="56" t="s">
        <v>567</v>
      </c>
      <c r="F20" s="92">
        <v>20000</v>
      </c>
      <c r="G20" s="65">
        <v>800</v>
      </c>
      <c r="H20" s="65" t="s">
        <v>452</v>
      </c>
      <c r="I20" s="65" t="s">
        <v>1263</v>
      </c>
      <c r="J20" s="55">
        <v>45937</v>
      </c>
      <c r="K20" s="309" t="s">
        <v>1144</v>
      </c>
      <c r="L20" s="108">
        <v>89115713730</v>
      </c>
      <c r="M20" s="98" t="s">
        <v>1508</v>
      </c>
      <c r="N20" s="162"/>
      <c r="O20" s="92">
        <f>F20</f>
        <v>20000</v>
      </c>
      <c r="P20" s="92"/>
      <c r="Q20" s="57"/>
      <c r="R20" s="53" t="s">
        <v>417</v>
      </c>
      <c r="S20" s="94">
        <v>44500</v>
      </c>
      <c r="T20" s="61">
        <f t="shared" si="0"/>
        <v>890000</v>
      </c>
    </row>
    <row r="21" spans="1:20" s="63" customFormat="1" ht="13.5" customHeight="1" x14ac:dyDescent="0.25">
      <c r="A21" s="65" t="s">
        <v>1850</v>
      </c>
      <c r="B21" s="57" t="s">
        <v>1836</v>
      </c>
      <c r="C21" s="57" t="s">
        <v>1837</v>
      </c>
      <c r="D21" s="93" t="s">
        <v>226</v>
      </c>
      <c r="E21" s="56" t="s">
        <v>1075</v>
      </c>
      <c r="F21" s="92">
        <v>20000</v>
      </c>
      <c r="G21" s="65">
        <v>800</v>
      </c>
      <c r="H21" s="65" t="s">
        <v>165</v>
      </c>
      <c r="I21" s="65" t="s">
        <v>1851</v>
      </c>
      <c r="J21" s="55">
        <v>45937</v>
      </c>
      <c r="K21" s="309" t="s">
        <v>1823</v>
      </c>
      <c r="L21" s="108">
        <v>89115800204</v>
      </c>
      <c r="M21" s="98" t="s">
        <v>1822</v>
      </c>
      <c r="N21" s="162"/>
      <c r="O21" s="92">
        <f>F21</f>
        <v>20000</v>
      </c>
      <c r="P21" s="92"/>
      <c r="Q21" s="57"/>
      <c r="R21" s="53" t="s">
        <v>417</v>
      </c>
      <c r="S21" s="94">
        <v>44500</v>
      </c>
      <c r="T21" s="61">
        <f t="shared" si="0"/>
        <v>890000</v>
      </c>
    </row>
    <row r="22" spans="1:20" s="63" customFormat="1" ht="13.5" customHeight="1" x14ac:dyDescent="0.25">
      <c r="A22" s="65" t="s">
        <v>281</v>
      </c>
      <c r="B22" s="57" t="s">
        <v>1748</v>
      </c>
      <c r="C22" s="57" t="s">
        <v>1405</v>
      </c>
      <c r="D22" s="93" t="s">
        <v>189</v>
      </c>
      <c r="E22" s="56" t="s">
        <v>1751</v>
      </c>
      <c r="F22" s="92">
        <f>G22*180</f>
        <v>10800</v>
      </c>
      <c r="G22" s="92">
        <v>60</v>
      </c>
      <c r="H22" s="65" t="s">
        <v>281</v>
      </c>
      <c r="I22" s="65" t="s">
        <v>1263</v>
      </c>
      <c r="J22" s="55">
        <v>45937</v>
      </c>
      <c r="K22" s="311" t="s">
        <v>1831</v>
      </c>
      <c r="L22" s="248">
        <v>89086044720</v>
      </c>
      <c r="M22" s="62" t="s">
        <v>1832</v>
      </c>
      <c r="N22" s="162"/>
      <c r="O22" s="92"/>
      <c r="P22" s="57"/>
      <c r="Q22" s="57">
        <v>10800</v>
      </c>
      <c r="R22" s="53" t="s">
        <v>417</v>
      </c>
      <c r="S22" s="94">
        <v>127500</v>
      </c>
      <c r="T22" s="61">
        <f xml:space="preserve"> S22*(F22/1000)</f>
        <v>1377000</v>
      </c>
    </row>
    <row r="23" spans="1:20" s="63" customFormat="1" ht="13.5" customHeight="1" x14ac:dyDescent="0.25">
      <c r="A23" s="65" t="s">
        <v>281</v>
      </c>
      <c r="B23" s="57" t="s">
        <v>1748</v>
      </c>
      <c r="C23" s="57" t="s">
        <v>1405</v>
      </c>
      <c r="D23" s="93" t="s">
        <v>189</v>
      </c>
      <c r="E23" s="56" t="s">
        <v>1752</v>
      </c>
      <c r="F23" s="92">
        <f>G23*180</f>
        <v>3600</v>
      </c>
      <c r="G23" s="92">
        <v>20</v>
      </c>
      <c r="H23" s="65" t="s">
        <v>281</v>
      </c>
      <c r="I23" s="65" t="s">
        <v>1263</v>
      </c>
      <c r="J23" s="55">
        <v>45937</v>
      </c>
      <c r="K23" s="311" t="s">
        <v>1831</v>
      </c>
      <c r="L23" s="248">
        <v>89086044720</v>
      </c>
      <c r="M23" s="62" t="s">
        <v>1832</v>
      </c>
      <c r="N23" s="162"/>
      <c r="O23" s="92"/>
      <c r="P23" s="57"/>
      <c r="Q23" s="57">
        <v>3600</v>
      </c>
      <c r="R23" s="53" t="s">
        <v>417</v>
      </c>
      <c r="S23" s="94">
        <v>127500</v>
      </c>
      <c r="T23" s="61">
        <f xml:space="preserve"> S23*(F23/1000)</f>
        <v>459000</v>
      </c>
    </row>
    <row r="24" spans="1:20" s="63" customFormat="1" ht="13.5" customHeight="1" x14ac:dyDescent="0.25">
      <c r="A24" s="65" t="s">
        <v>281</v>
      </c>
      <c r="B24" s="57" t="s">
        <v>1748</v>
      </c>
      <c r="C24" s="57" t="s">
        <v>1405</v>
      </c>
      <c r="D24" s="93" t="s">
        <v>189</v>
      </c>
      <c r="E24" s="56" t="s">
        <v>1752</v>
      </c>
      <c r="F24" s="92">
        <f>G24*180</f>
        <v>10800</v>
      </c>
      <c r="G24" s="92">
        <v>60</v>
      </c>
      <c r="H24" s="65" t="s">
        <v>281</v>
      </c>
      <c r="I24" s="65" t="s">
        <v>1263</v>
      </c>
      <c r="J24" s="55">
        <v>45937</v>
      </c>
      <c r="K24" s="323" t="s">
        <v>1834</v>
      </c>
      <c r="L24" s="248">
        <v>89189908365</v>
      </c>
      <c r="M24" s="62" t="s">
        <v>1835</v>
      </c>
      <c r="N24" s="162"/>
      <c r="O24" s="92"/>
      <c r="P24" s="57"/>
      <c r="Q24" s="57">
        <f t="shared" ref="Q24:Q29" si="5">F24</f>
        <v>10800</v>
      </c>
      <c r="R24" s="53" t="s">
        <v>417</v>
      </c>
      <c r="S24" s="94">
        <v>127500</v>
      </c>
      <c r="T24" s="61">
        <f xml:space="preserve"> S24*(F24/1000)</f>
        <v>1377000</v>
      </c>
    </row>
    <row r="25" spans="1:20" s="63" customFormat="1" ht="13.5" customHeight="1" x14ac:dyDescent="0.25">
      <c r="A25" s="65" t="s">
        <v>281</v>
      </c>
      <c r="B25" s="57" t="s">
        <v>1748</v>
      </c>
      <c r="C25" s="57" t="s">
        <v>1405</v>
      </c>
      <c r="D25" s="93" t="s">
        <v>183</v>
      </c>
      <c r="E25" s="56" t="s">
        <v>1755</v>
      </c>
      <c r="F25" s="92">
        <f>G25*180</f>
        <v>3600</v>
      </c>
      <c r="G25" s="92">
        <v>20</v>
      </c>
      <c r="H25" s="65" t="s">
        <v>281</v>
      </c>
      <c r="I25" s="65" t="s">
        <v>1263</v>
      </c>
      <c r="J25" s="55">
        <v>45937</v>
      </c>
      <c r="K25" s="323" t="s">
        <v>1834</v>
      </c>
      <c r="L25" s="248">
        <v>89189908365</v>
      </c>
      <c r="M25" s="62" t="s">
        <v>1835</v>
      </c>
      <c r="N25" s="162"/>
      <c r="O25" s="92"/>
      <c r="P25" s="57"/>
      <c r="Q25" s="57">
        <f t="shared" si="5"/>
        <v>3600</v>
      </c>
      <c r="R25" s="53" t="s">
        <v>417</v>
      </c>
      <c r="S25" s="94">
        <v>146500</v>
      </c>
      <c r="T25" s="61">
        <f xml:space="preserve"> S25*(F25/1000)</f>
        <v>527400</v>
      </c>
    </row>
    <row r="26" spans="1:20" s="63" customFormat="1" ht="13.5" customHeight="1" x14ac:dyDescent="0.25">
      <c r="A26" s="65" t="s">
        <v>418</v>
      </c>
      <c r="B26" s="57" t="s">
        <v>1819</v>
      </c>
      <c r="C26" s="57" t="s">
        <v>730</v>
      </c>
      <c r="D26" s="10" t="s">
        <v>1426</v>
      </c>
      <c r="E26" s="56" t="s">
        <v>1803</v>
      </c>
      <c r="F26" s="57">
        <v>18964</v>
      </c>
      <c r="G26" s="65">
        <v>88</v>
      </c>
      <c r="H26" s="65" t="s">
        <v>500</v>
      </c>
      <c r="I26" s="65" t="s">
        <v>1263</v>
      </c>
      <c r="J26" s="55">
        <v>45938</v>
      </c>
      <c r="K26" s="324" t="s">
        <v>587</v>
      </c>
      <c r="L26" s="248">
        <v>89212974613</v>
      </c>
      <c r="M26" s="62" t="s">
        <v>1833</v>
      </c>
      <c r="N26" s="162"/>
      <c r="O26" s="92"/>
      <c r="P26" s="92"/>
      <c r="Q26" s="57">
        <f t="shared" si="5"/>
        <v>18964</v>
      </c>
      <c r="R26" s="53" t="s">
        <v>417</v>
      </c>
      <c r="S26" s="94">
        <v>93000</v>
      </c>
      <c r="T26" s="61">
        <f t="shared" ref="T26" si="6" xml:space="preserve"> S26*(F26/1000)</f>
        <v>1763651.9999999998</v>
      </c>
    </row>
    <row r="27" spans="1:20" s="63" customFormat="1" ht="13.5" customHeight="1" x14ac:dyDescent="0.25">
      <c r="A27" s="65" t="s">
        <v>1286</v>
      </c>
      <c r="B27" s="57" t="s">
        <v>1838</v>
      </c>
      <c r="C27" s="57" t="s">
        <v>1839</v>
      </c>
      <c r="D27" s="10" t="s">
        <v>168</v>
      </c>
      <c r="E27" s="56" t="s">
        <v>1803</v>
      </c>
      <c r="F27" s="57">
        <v>2400</v>
      </c>
      <c r="G27" s="65">
        <v>12</v>
      </c>
      <c r="H27" s="65" t="s">
        <v>1840</v>
      </c>
      <c r="I27" s="65" t="s">
        <v>1263</v>
      </c>
      <c r="J27" s="55">
        <v>45938</v>
      </c>
      <c r="K27" s="312" t="s">
        <v>1842</v>
      </c>
      <c r="L27" s="248">
        <v>89003337955</v>
      </c>
      <c r="M27" s="62" t="s">
        <v>1841</v>
      </c>
      <c r="N27" s="162"/>
      <c r="O27" s="92"/>
      <c r="P27" s="92"/>
      <c r="Q27" s="57">
        <f t="shared" si="5"/>
        <v>2400</v>
      </c>
      <c r="R27" s="53" t="s">
        <v>417</v>
      </c>
      <c r="S27" s="94">
        <v>111000</v>
      </c>
      <c r="T27" s="61">
        <f>S27*F27/1000</f>
        <v>266400</v>
      </c>
    </row>
    <row r="28" spans="1:20" s="63" customFormat="1" ht="13.5" customHeight="1" x14ac:dyDescent="0.25">
      <c r="A28" s="65" t="s">
        <v>1286</v>
      </c>
      <c r="B28" s="57" t="s">
        <v>1805</v>
      </c>
      <c r="C28" s="57" t="s">
        <v>164</v>
      </c>
      <c r="D28" s="93" t="s">
        <v>304</v>
      </c>
      <c r="E28" s="167" t="s">
        <v>1803</v>
      </c>
      <c r="F28" s="92">
        <f>44*175</f>
        <v>7700</v>
      </c>
      <c r="G28" s="65">
        <v>44</v>
      </c>
      <c r="H28" s="65" t="s">
        <v>166</v>
      </c>
      <c r="I28" s="65" t="s">
        <v>1263</v>
      </c>
      <c r="J28" s="55">
        <v>45939</v>
      </c>
      <c r="K28" s="326" t="s">
        <v>1852</v>
      </c>
      <c r="L28" s="248">
        <v>89878985273</v>
      </c>
      <c r="M28" s="62" t="s">
        <v>1853</v>
      </c>
      <c r="N28" s="262"/>
      <c r="O28" s="92"/>
      <c r="P28" s="92"/>
      <c r="Q28" s="57">
        <f t="shared" si="5"/>
        <v>7700</v>
      </c>
      <c r="R28" s="168" t="s">
        <v>417</v>
      </c>
      <c r="S28" s="94">
        <v>255000</v>
      </c>
      <c r="T28" s="61">
        <f>S28*F28/1000</f>
        <v>1963500</v>
      </c>
    </row>
    <row r="29" spans="1:20" s="63" customFormat="1" ht="13.5" customHeight="1" x14ac:dyDescent="0.25">
      <c r="A29" s="65" t="s">
        <v>1286</v>
      </c>
      <c r="B29" s="57" t="s">
        <v>1805</v>
      </c>
      <c r="C29" s="57" t="s">
        <v>164</v>
      </c>
      <c r="D29" s="93" t="s">
        <v>304</v>
      </c>
      <c r="E29" s="167" t="s">
        <v>1806</v>
      </c>
      <c r="F29" s="92">
        <v>7700</v>
      </c>
      <c r="G29" s="65">
        <v>44</v>
      </c>
      <c r="H29" s="65" t="s">
        <v>166</v>
      </c>
      <c r="I29" s="65" t="s">
        <v>1263</v>
      </c>
      <c r="J29" s="55">
        <v>45939</v>
      </c>
      <c r="K29" s="327" t="s">
        <v>1852</v>
      </c>
      <c r="L29" s="248">
        <v>89878985273</v>
      </c>
      <c r="M29" s="62" t="s">
        <v>1853</v>
      </c>
      <c r="N29" s="262"/>
      <c r="O29" s="92"/>
      <c r="P29" s="92"/>
      <c r="Q29" s="57">
        <f t="shared" si="5"/>
        <v>7700</v>
      </c>
      <c r="R29" s="168" t="s">
        <v>417</v>
      </c>
      <c r="S29" s="94">
        <v>255000</v>
      </c>
      <c r="T29" s="61">
        <f>S29*F29/1000</f>
        <v>1963500</v>
      </c>
    </row>
    <row r="30" spans="1:20" s="63" customFormat="1" ht="13.5" customHeight="1" x14ac:dyDescent="0.25">
      <c r="A30" s="65" t="s">
        <v>1854</v>
      </c>
      <c r="B30" s="57" t="s">
        <v>1843</v>
      </c>
      <c r="C30" s="57" t="s">
        <v>1837</v>
      </c>
      <c r="D30" s="93" t="s">
        <v>223</v>
      </c>
      <c r="E30" s="56" t="s">
        <v>1847</v>
      </c>
      <c r="F30" s="92">
        <v>10000</v>
      </c>
      <c r="G30" s="65">
        <v>400</v>
      </c>
      <c r="H30" s="65" t="s">
        <v>165</v>
      </c>
      <c r="I30" s="65" t="s">
        <v>1263</v>
      </c>
      <c r="J30" s="55">
        <v>45940</v>
      </c>
      <c r="K30" s="313" t="s">
        <v>1855</v>
      </c>
      <c r="L30" s="248">
        <v>89051761114</v>
      </c>
      <c r="M30" s="62" t="s">
        <v>1856</v>
      </c>
      <c r="N30" s="162"/>
      <c r="O30" s="92"/>
      <c r="P30" s="92">
        <f>F30</f>
        <v>10000</v>
      </c>
      <c r="Q30" s="57"/>
      <c r="R30" s="53" t="s">
        <v>417</v>
      </c>
      <c r="S30" s="94">
        <v>250000</v>
      </c>
      <c r="T30" s="61">
        <f>S30*F30/1000</f>
        <v>2500000</v>
      </c>
    </row>
    <row r="31" spans="1:20" s="63" customFormat="1" ht="13.5" customHeight="1" x14ac:dyDescent="0.25">
      <c r="A31" s="65" t="s">
        <v>1854</v>
      </c>
      <c r="B31" s="57" t="s">
        <v>1843</v>
      </c>
      <c r="C31" s="57" t="s">
        <v>1837</v>
      </c>
      <c r="D31" s="93" t="s">
        <v>226</v>
      </c>
      <c r="E31" s="56" t="s">
        <v>1075</v>
      </c>
      <c r="F31" s="92">
        <v>10000</v>
      </c>
      <c r="G31" s="65">
        <v>400</v>
      </c>
      <c r="H31" s="65" t="s">
        <v>165</v>
      </c>
      <c r="I31" s="65" t="s">
        <v>1263</v>
      </c>
      <c r="J31" s="55">
        <v>45940</v>
      </c>
      <c r="K31" s="313" t="s">
        <v>1855</v>
      </c>
      <c r="L31" s="248">
        <v>89051761114</v>
      </c>
      <c r="M31" s="62" t="s">
        <v>1856</v>
      </c>
      <c r="N31" s="162"/>
      <c r="O31" s="92">
        <f>F31</f>
        <v>10000</v>
      </c>
      <c r="P31" s="92"/>
      <c r="Q31" s="57"/>
      <c r="R31" s="53" t="s">
        <v>417</v>
      </c>
      <c r="S31" s="94">
        <v>44500</v>
      </c>
      <c r="T31" s="61">
        <f>S31*F31/1000</f>
        <v>445000</v>
      </c>
    </row>
    <row r="32" spans="1:20" s="63" customFormat="1" ht="13.5" customHeight="1" x14ac:dyDescent="0.25">
      <c r="A32" s="65" t="s">
        <v>1286</v>
      </c>
      <c r="B32" s="57" t="s">
        <v>1849</v>
      </c>
      <c r="C32" s="57" t="s">
        <v>1837</v>
      </c>
      <c r="D32" s="93" t="s">
        <v>226</v>
      </c>
      <c r="E32" s="56" t="s">
        <v>1075</v>
      </c>
      <c r="F32" s="92">
        <v>15000</v>
      </c>
      <c r="G32" s="65">
        <v>600</v>
      </c>
      <c r="H32" s="65" t="s">
        <v>452</v>
      </c>
      <c r="I32" s="65" t="s">
        <v>1263</v>
      </c>
      <c r="J32" s="55">
        <v>45940</v>
      </c>
      <c r="K32" s="325" t="s">
        <v>1857</v>
      </c>
      <c r="L32" s="248">
        <v>89325440767</v>
      </c>
      <c r="M32" s="62" t="s">
        <v>1858</v>
      </c>
      <c r="N32" s="162"/>
      <c r="O32" s="92">
        <f>F32</f>
        <v>15000</v>
      </c>
      <c r="P32" s="92"/>
      <c r="Q32" s="57"/>
      <c r="R32" s="53" t="s">
        <v>417</v>
      </c>
      <c r="S32" s="94">
        <v>44500</v>
      </c>
      <c r="T32" s="61">
        <f t="shared" ref="T32:T47" si="7">S32*F32/1000</f>
        <v>667500</v>
      </c>
    </row>
    <row r="33" spans="1:125" s="63" customFormat="1" ht="13.5" customHeight="1" x14ac:dyDescent="0.25">
      <c r="A33" s="65" t="s">
        <v>1286</v>
      </c>
      <c r="B33" s="57" t="s">
        <v>1849</v>
      </c>
      <c r="C33" s="57" t="s">
        <v>1837</v>
      </c>
      <c r="D33" s="93" t="s">
        <v>194</v>
      </c>
      <c r="E33" s="56" t="s">
        <v>1212</v>
      </c>
      <c r="F33" s="92">
        <v>5600</v>
      </c>
      <c r="G33" s="65">
        <v>28</v>
      </c>
      <c r="H33" s="65" t="s">
        <v>452</v>
      </c>
      <c r="I33" s="65" t="s">
        <v>1263</v>
      </c>
      <c r="J33" s="55">
        <v>45940</v>
      </c>
      <c r="K33" s="325" t="s">
        <v>1857</v>
      </c>
      <c r="L33" s="248">
        <v>89325440767</v>
      </c>
      <c r="M33" s="62" t="s">
        <v>1858</v>
      </c>
      <c r="N33" s="162"/>
      <c r="O33" s="92"/>
      <c r="P33" s="92"/>
      <c r="Q33" s="57">
        <f>F33</f>
        <v>5600</v>
      </c>
      <c r="R33" s="53" t="s">
        <v>417</v>
      </c>
      <c r="S33" s="94">
        <v>105000</v>
      </c>
      <c r="T33" s="61">
        <f t="shared" si="7"/>
        <v>588000</v>
      </c>
    </row>
    <row r="34" spans="1:125" s="63" customFormat="1" ht="13.5" customHeight="1" x14ac:dyDescent="0.25">
      <c r="A34" s="65" t="s">
        <v>1735</v>
      </c>
      <c r="B34" s="57" t="s">
        <v>1738</v>
      </c>
      <c r="C34" s="57" t="s">
        <v>164</v>
      </c>
      <c r="D34" s="10" t="s">
        <v>306</v>
      </c>
      <c r="E34" s="167" t="s">
        <v>1759</v>
      </c>
      <c r="F34" s="57">
        <v>4375</v>
      </c>
      <c r="G34" s="65">
        <v>175</v>
      </c>
      <c r="H34" s="65" t="s">
        <v>166</v>
      </c>
      <c r="I34" s="55" t="s">
        <v>1263</v>
      </c>
      <c r="J34" s="55">
        <v>45943</v>
      </c>
      <c r="K34" s="53"/>
      <c r="L34" s="207"/>
      <c r="M34" s="53"/>
      <c r="N34" s="290" t="s">
        <v>1859</v>
      </c>
      <c r="O34" s="57">
        <v>4375</v>
      </c>
      <c r="P34" s="57"/>
      <c r="Q34" s="57"/>
      <c r="R34" s="168" t="s">
        <v>417</v>
      </c>
      <c r="S34" s="94">
        <v>41000</v>
      </c>
      <c r="T34" s="61">
        <f t="shared" si="7"/>
        <v>179375</v>
      </c>
    </row>
    <row r="35" spans="1:125" s="63" customFormat="1" ht="13.5" customHeight="1" x14ac:dyDescent="0.25">
      <c r="A35" s="65" t="s">
        <v>1735</v>
      </c>
      <c r="B35" s="57" t="s">
        <v>1738</v>
      </c>
      <c r="C35" s="57" t="s">
        <v>164</v>
      </c>
      <c r="D35" s="10" t="s">
        <v>306</v>
      </c>
      <c r="E35" s="167" t="s">
        <v>1760</v>
      </c>
      <c r="F35" s="57">
        <v>4375</v>
      </c>
      <c r="G35" s="65">
        <v>175</v>
      </c>
      <c r="H35" s="65" t="s">
        <v>166</v>
      </c>
      <c r="I35" s="55" t="s">
        <v>1263</v>
      </c>
      <c r="J35" s="55">
        <v>45943</v>
      </c>
      <c r="K35" s="53"/>
      <c r="L35" s="207"/>
      <c r="M35" s="53"/>
      <c r="N35" s="290" t="s">
        <v>1859</v>
      </c>
      <c r="O35" s="57">
        <v>4375</v>
      </c>
      <c r="P35" s="57"/>
      <c r="Q35" s="57"/>
      <c r="R35" s="168" t="s">
        <v>417</v>
      </c>
      <c r="S35" s="94">
        <v>41000</v>
      </c>
      <c r="T35" s="61">
        <f t="shared" si="7"/>
        <v>179375</v>
      </c>
    </row>
    <row r="36" spans="1:125" s="63" customFormat="1" ht="13.5" customHeight="1" x14ac:dyDescent="0.25">
      <c r="A36" s="65" t="s">
        <v>1735</v>
      </c>
      <c r="B36" s="57" t="s">
        <v>1738</v>
      </c>
      <c r="C36" s="57" t="s">
        <v>164</v>
      </c>
      <c r="D36" s="10" t="s">
        <v>306</v>
      </c>
      <c r="E36" s="167" t="s">
        <v>1761</v>
      </c>
      <c r="F36" s="57">
        <v>4375</v>
      </c>
      <c r="G36" s="65">
        <v>175</v>
      </c>
      <c r="H36" s="65" t="s">
        <v>166</v>
      </c>
      <c r="I36" s="55" t="s">
        <v>1263</v>
      </c>
      <c r="J36" s="55">
        <v>45943</v>
      </c>
      <c r="K36" s="53"/>
      <c r="L36" s="207"/>
      <c r="M36" s="53"/>
      <c r="N36" s="290" t="s">
        <v>1859</v>
      </c>
      <c r="O36" s="57">
        <v>4375</v>
      </c>
      <c r="P36" s="57"/>
      <c r="Q36" s="57"/>
      <c r="R36" s="168" t="s">
        <v>417</v>
      </c>
      <c r="S36" s="94">
        <v>41000</v>
      </c>
      <c r="T36" s="61">
        <f t="shared" si="7"/>
        <v>179375</v>
      </c>
    </row>
    <row r="37" spans="1:125" s="63" customFormat="1" ht="13.5" customHeight="1" x14ac:dyDescent="0.25">
      <c r="A37" s="65" t="s">
        <v>1735</v>
      </c>
      <c r="B37" s="57" t="s">
        <v>1738</v>
      </c>
      <c r="C37" s="57" t="s">
        <v>164</v>
      </c>
      <c r="D37" s="10" t="s">
        <v>306</v>
      </c>
      <c r="E37" s="167" t="s">
        <v>1762</v>
      </c>
      <c r="F37" s="57">
        <v>4375</v>
      </c>
      <c r="G37" s="65">
        <v>175</v>
      </c>
      <c r="H37" s="65" t="s">
        <v>166</v>
      </c>
      <c r="I37" s="55" t="s">
        <v>1263</v>
      </c>
      <c r="J37" s="55">
        <v>45943</v>
      </c>
      <c r="K37" s="53"/>
      <c r="L37" s="207"/>
      <c r="M37" s="53"/>
      <c r="N37" s="290" t="s">
        <v>1859</v>
      </c>
      <c r="O37" s="57">
        <v>4375</v>
      </c>
      <c r="P37" s="57"/>
      <c r="Q37" s="57"/>
      <c r="R37" s="168" t="s">
        <v>417</v>
      </c>
      <c r="S37" s="94">
        <v>41000</v>
      </c>
      <c r="T37" s="61">
        <f t="shared" si="7"/>
        <v>179375</v>
      </c>
    </row>
    <row r="38" spans="1:125" s="63" customFormat="1" ht="13.5" customHeight="1" x14ac:dyDescent="0.25">
      <c r="A38" s="65" t="s">
        <v>1735</v>
      </c>
      <c r="B38" s="57" t="s">
        <v>1740</v>
      </c>
      <c r="C38" s="57" t="s">
        <v>164</v>
      </c>
      <c r="D38" s="10" t="s">
        <v>306</v>
      </c>
      <c r="E38" s="167" t="s">
        <v>1763</v>
      </c>
      <c r="F38" s="57">
        <v>4375</v>
      </c>
      <c r="G38" s="65">
        <v>175</v>
      </c>
      <c r="H38" s="65" t="s">
        <v>166</v>
      </c>
      <c r="I38" s="55" t="s">
        <v>1263</v>
      </c>
      <c r="J38" s="55">
        <v>45943</v>
      </c>
      <c r="K38" s="53"/>
      <c r="L38" s="207"/>
      <c r="M38" s="53"/>
      <c r="N38" s="290" t="s">
        <v>1860</v>
      </c>
      <c r="O38" s="57">
        <v>4375</v>
      </c>
      <c r="P38" s="57"/>
      <c r="Q38" s="57"/>
      <c r="R38" s="168" t="s">
        <v>417</v>
      </c>
      <c r="S38" s="94">
        <v>41000</v>
      </c>
      <c r="T38" s="61">
        <f t="shared" si="7"/>
        <v>179375</v>
      </c>
    </row>
    <row r="39" spans="1:125" s="63" customFormat="1" ht="13.5" customHeight="1" x14ac:dyDescent="0.25">
      <c r="A39" s="65" t="s">
        <v>1735</v>
      </c>
      <c r="B39" s="57" t="s">
        <v>1740</v>
      </c>
      <c r="C39" s="57" t="s">
        <v>164</v>
      </c>
      <c r="D39" s="10" t="s">
        <v>306</v>
      </c>
      <c r="E39" s="167" t="s">
        <v>1764</v>
      </c>
      <c r="F39" s="57">
        <v>4375</v>
      </c>
      <c r="G39" s="65">
        <v>175</v>
      </c>
      <c r="H39" s="65" t="s">
        <v>166</v>
      </c>
      <c r="I39" s="55" t="s">
        <v>1263</v>
      </c>
      <c r="J39" s="55">
        <v>45943</v>
      </c>
      <c r="K39" s="53"/>
      <c r="L39" s="207"/>
      <c r="M39" s="53"/>
      <c r="N39" s="290" t="s">
        <v>1860</v>
      </c>
      <c r="O39" s="57">
        <v>4375</v>
      </c>
      <c r="P39" s="57"/>
      <c r="Q39" s="57"/>
      <c r="R39" s="168" t="s">
        <v>417</v>
      </c>
      <c r="S39" s="94">
        <v>41000</v>
      </c>
      <c r="T39" s="61">
        <f t="shared" si="7"/>
        <v>179375</v>
      </c>
    </row>
    <row r="40" spans="1:125" s="63" customFormat="1" ht="13.5" customHeight="1" x14ac:dyDescent="0.25">
      <c r="A40" s="65" t="s">
        <v>1735</v>
      </c>
      <c r="B40" s="57" t="s">
        <v>1740</v>
      </c>
      <c r="C40" s="57" t="s">
        <v>164</v>
      </c>
      <c r="D40" s="10" t="s">
        <v>306</v>
      </c>
      <c r="E40" s="167" t="s">
        <v>1765</v>
      </c>
      <c r="F40" s="57">
        <v>4375</v>
      </c>
      <c r="G40" s="65">
        <v>175</v>
      </c>
      <c r="H40" s="65" t="s">
        <v>166</v>
      </c>
      <c r="I40" s="55" t="s">
        <v>1263</v>
      </c>
      <c r="J40" s="55">
        <v>45943</v>
      </c>
      <c r="K40" s="53"/>
      <c r="L40" s="207"/>
      <c r="M40" s="53"/>
      <c r="N40" s="290" t="s">
        <v>1860</v>
      </c>
      <c r="O40" s="57">
        <v>4375</v>
      </c>
      <c r="P40" s="57"/>
      <c r="Q40" s="57"/>
      <c r="R40" s="168" t="s">
        <v>417</v>
      </c>
      <c r="S40" s="94">
        <v>41000</v>
      </c>
      <c r="T40" s="61">
        <f t="shared" si="7"/>
        <v>179375</v>
      </c>
    </row>
    <row r="41" spans="1:125" s="63" customFormat="1" ht="13.5" customHeight="1" x14ac:dyDescent="0.25">
      <c r="A41" s="65" t="s">
        <v>1735</v>
      </c>
      <c r="B41" s="57" t="s">
        <v>1740</v>
      </c>
      <c r="C41" s="57" t="s">
        <v>164</v>
      </c>
      <c r="D41" s="10" t="s">
        <v>306</v>
      </c>
      <c r="E41" s="167" t="s">
        <v>1766</v>
      </c>
      <c r="F41" s="57">
        <v>4375</v>
      </c>
      <c r="G41" s="65">
        <v>175</v>
      </c>
      <c r="H41" s="65" t="s">
        <v>166</v>
      </c>
      <c r="I41" s="55" t="s">
        <v>1263</v>
      </c>
      <c r="J41" s="55">
        <v>45943</v>
      </c>
      <c r="K41" s="53"/>
      <c r="L41" s="207"/>
      <c r="M41" s="53"/>
      <c r="N41" s="290" t="s">
        <v>1860</v>
      </c>
      <c r="O41" s="57">
        <v>4375</v>
      </c>
      <c r="P41" s="57"/>
      <c r="Q41" s="57"/>
      <c r="R41" s="168" t="s">
        <v>417</v>
      </c>
      <c r="S41" s="94">
        <v>41000</v>
      </c>
      <c r="T41" s="61">
        <f t="shared" si="7"/>
        <v>179375</v>
      </c>
    </row>
    <row r="42" spans="1:125" s="63" customFormat="1" ht="13.5" customHeight="1" x14ac:dyDescent="0.25">
      <c r="A42" s="65" t="s">
        <v>1807</v>
      </c>
      <c r="B42" s="57" t="s">
        <v>1808</v>
      </c>
      <c r="C42" s="57" t="s">
        <v>164</v>
      </c>
      <c r="D42" s="10" t="s">
        <v>195</v>
      </c>
      <c r="E42" s="167" t="s">
        <v>1804</v>
      </c>
      <c r="F42" s="288">
        <v>7400</v>
      </c>
      <c r="G42" s="65">
        <v>40</v>
      </c>
      <c r="H42" s="65" t="s">
        <v>166</v>
      </c>
      <c r="I42" s="55" t="s">
        <v>1263</v>
      </c>
      <c r="J42" s="337">
        <v>45947</v>
      </c>
      <c r="K42" s="338"/>
      <c r="L42" s="207"/>
      <c r="M42" s="53"/>
      <c r="N42" s="290" t="s">
        <v>1874</v>
      </c>
      <c r="O42" s="57"/>
      <c r="P42" s="57"/>
      <c r="Q42" s="288">
        <v>7400</v>
      </c>
      <c r="R42" s="168" t="s">
        <v>417</v>
      </c>
      <c r="S42" s="94">
        <v>125000</v>
      </c>
      <c r="T42" s="61">
        <f t="shared" si="7"/>
        <v>925000</v>
      </c>
    </row>
    <row r="43" spans="1:125" s="63" customFormat="1" ht="13.5" customHeight="1" x14ac:dyDescent="0.25">
      <c r="A43" s="65" t="s">
        <v>1807</v>
      </c>
      <c r="B43" s="57" t="s">
        <v>1808</v>
      </c>
      <c r="C43" s="57" t="s">
        <v>164</v>
      </c>
      <c r="D43" s="10" t="s">
        <v>195</v>
      </c>
      <c r="E43" s="167" t="s">
        <v>1809</v>
      </c>
      <c r="F43" s="288">
        <v>7400</v>
      </c>
      <c r="G43" s="65">
        <v>40</v>
      </c>
      <c r="H43" s="65" t="s">
        <v>166</v>
      </c>
      <c r="I43" s="55" t="s">
        <v>1263</v>
      </c>
      <c r="J43" s="337">
        <v>45947</v>
      </c>
      <c r="K43" s="338"/>
      <c r="L43" s="207"/>
      <c r="M43" s="53"/>
      <c r="N43" s="290" t="s">
        <v>1874</v>
      </c>
      <c r="O43" s="57"/>
      <c r="P43" s="57"/>
      <c r="Q43" s="288">
        <v>7400</v>
      </c>
      <c r="R43" s="168" t="s">
        <v>417</v>
      </c>
      <c r="S43" s="94">
        <v>125000</v>
      </c>
      <c r="T43" s="61">
        <f t="shared" si="7"/>
        <v>925000</v>
      </c>
    </row>
    <row r="44" spans="1:125" s="63" customFormat="1" ht="13.5" customHeight="1" x14ac:dyDescent="0.25">
      <c r="A44" s="65" t="s">
        <v>1807</v>
      </c>
      <c r="B44" s="57" t="s">
        <v>1808</v>
      </c>
      <c r="C44" s="57" t="s">
        <v>164</v>
      </c>
      <c r="D44" s="10" t="s">
        <v>195</v>
      </c>
      <c r="E44" s="167" t="s">
        <v>1810</v>
      </c>
      <c r="F44" s="288">
        <v>7400</v>
      </c>
      <c r="G44" s="65">
        <v>40</v>
      </c>
      <c r="H44" s="65" t="s">
        <v>166</v>
      </c>
      <c r="I44" s="55" t="s">
        <v>1263</v>
      </c>
      <c r="J44" s="337">
        <v>45947</v>
      </c>
      <c r="K44" s="338"/>
      <c r="L44" s="207"/>
      <c r="M44" s="53"/>
      <c r="N44" s="290" t="s">
        <v>1873</v>
      </c>
      <c r="O44" s="57"/>
      <c r="P44" s="57"/>
      <c r="Q44" s="288">
        <v>7400</v>
      </c>
      <c r="R44" s="168" t="s">
        <v>417</v>
      </c>
      <c r="S44" s="94">
        <v>125000</v>
      </c>
      <c r="T44" s="61">
        <f t="shared" si="7"/>
        <v>925000</v>
      </c>
    </row>
    <row r="45" spans="1:125" s="63" customFormat="1" ht="13.5" customHeight="1" x14ac:dyDescent="0.25">
      <c r="A45" s="65" t="s">
        <v>1807</v>
      </c>
      <c r="B45" s="57" t="s">
        <v>1808</v>
      </c>
      <c r="C45" s="57" t="s">
        <v>164</v>
      </c>
      <c r="D45" s="10" t="s">
        <v>195</v>
      </c>
      <c r="E45" s="167" t="s">
        <v>1811</v>
      </c>
      <c r="F45" s="288">
        <v>7400</v>
      </c>
      <c r="G45" s="65">
        <v>40</v>
      </c>
      <c r="H45" s="65" t="s">
        <v>166</v>
      </c>
      <c r="I45" s="55" t="s">
        <v>1263</v>
      </c>
      <c r="J45" s="337">
        <v>45947</v>
      </c>
      <c r="K45" s="338"/>
      <c r="L45" s="207"/>
      <c r="M45" s="53"/>
      <c r="N45" s="290" t="s">
        <v>1873</v>
      </c>
      <c r="O45" s="57"/>
      <c r="P45" s="57"/>
      <c r="Q45" s="288">
        <v>7400</v>
      </c>
      <c r="R45" s="168" t="s">
        <v>417</v>
      </c>
      <c r="S45" s="94">
        <v>125000</v>
      </c>
      <c r="T45" s="61">
        <f t="shared" si="7"/>
        <v>925000</v>
      </c>
    </row>
    <row r="46" spans="1:125" s="63" customFormat="1" ht="13.5" customHeight="1" x14ac:dyDescent="0.25">
      <c r="A46" s="65" t="s">
        <v>1807</v>
      </c>
      <c r="B46" s="57" t="s">
        <v>1808</v>
      </c>
      <c r="C46" s="57" t="s">
        <v>164</v>
      </c>
      <c r="D46" s="10" t="s">
        <v>195</v>
      </c>
      <c r="E46" s="167" t="s">
        <v>1812</v>
      </c>
      <c r="F46" s="288">
        <v>7400</v>
      </c>
      <c r="G46" s="65">
        <v>40</v>
      </c>
      <c r="H46" s="65" t="s">
        <v>166</v>
      </c>
      <c r="I46" s="55" t="s">
        <v>1263</v>
      </c>
      <c r="J46" s="337">
        <v>45947</v>
      </c>
      <c r="K46" s="338"/>
      <c r="L46" s="207"/>
      <c r="M46" s="53"/>
      <c r="N46" s="290" t="s">
        <v>1872</v>
      </c>
      <c r="O46" s="57"/>
      <c r="P46" s="57"/>
      <c r="Q46" s="288">
        <v>7400</v>
      </c>
      <c r="R46" s="168" t="s">
        <v>417</v>
      </c>
      <c r="S46" s="94">
        <v>125000</v>
      </c>
      <c r="T46" s="61">
        <f t="shared" si="7"/>
        <v>925000</v>
      </c>
    </row>
    <row r="47" spans="1:125" s="63" customFormat="1" ht="13.5" customHeight="1" x14ac:dyDescent="0.25">
      <c r="A47" s="65" t="s">
        <v>1807</v>
      </c>
      <c r="B47" s="57" t="s">
        <v>1808</v>
      </c>
      <c r="C47" s="57" t="s">
        <v>164</v>
      </c>
      <c r="D47" s="10" t="s">
        <v>195</v>
      </c>
      <c r="E47" s="167" t="s">
        <v>1813</v>
      </c>
      <c r="F47" s="288">
        <v>7400</v>
      </c>
      <c r="G47" s="65">
        <v>40</v>
      </c>
      <c r="H47" s="65" t="s">
        <v>166</v>
      </c>
      <c r="I47" s="55" t="s">
        <v>1263</v>
      </c>
      <c r="J47" s="337">
        <v>45947</v>
      </c>
      <c r="K47" s="338"/>
      <c r="L47" s="207"/>
      <c r="M47" s="53"/>
      <c r="N47" s="290" t="s">
        <v>1872</v>
      </c>
      <c r="O47" s="57"/>
      <c r="P47" s="57"/>
      <c r="Q47" s="288">
        <v>7400</v>
      </c>
      <c r="R47" s="168" t="s">
        <v>417</v>
      </c>
      <c r="S47" s="94">
        <v>125000</v>
      </c>
      <c r="T47" s="61">
        <f t="shared" si="7"/>
        <v>925000</v>
      </c>
    </row>
    <row r="48" spans="1:125" s="241" customFormat="1" ht="13.5" customHeight="1" x14ac:dyDescent="0.25">
      <c r="A48" s="65" t="s">
        <v>997</v>
      </c>
      <c r="B48" s="57" t="s">
        <v>1844</v>
      </c>
      <c r="C48" s="57" t="s">
        <v>1837</v>
      </c>
      <c r="D48" s="93" t="s">
        <v>226</v>
      </c>
      <c r="E48" s="56" t="s">
        <v>1075</v>
      </c>
      <c r="F48" s="92">
        <v>20000</v>
      </c>
      <c r="G48" s="65">
        <v>800</v>
      </c>
      <c r="H48" s="65" t="s">
        <v>165</v>
      </c>
      <c r="I48" s="65" t="s">
        <v>1263</v>
      </c>
      <c r="J48" s="55">
        <v>45950</v>
      </c>
      <c r="K48" s="339" t="s">
        <v>1816</v>
      </c>
      <c r="L48" s="248">
        <v>89080063420</v>
      </c>
      <c r="M48" s="62" t="s">
        <v>1132</v>
      </c>
      <c r="N48" s="162"/>
      <c r="O48" s="92">
        <v>20000</v>
      </c>
      <c r="P48" s="92"/>
      <c r="Q48" s="57"/>
      <c r="R48" s="53" t="s">
        <v>417</v>
      </c>
      <c r="S48" s="94">
        <v>44500</v>
      </c>
      <c r="T48" s="61">
        <f>S48*F48/1000</f>
        <v>890000</v>
      </c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3"/>
      <c r="BK48" s="63"/>
      <c r="BL48" s="63"/>
      <c r="BM48" s="63"/>
      <c r="BN48" s="63"/>
      <c r="BO48" s="63"/>
      <c r="BP48" s="63"/>
      <c r="BQ48" s="63"/>
      <c r="BR48" s="63"/>
      <c r="BS48" s="63"/>
      <c r="BT48" s="63"/>
      <c r="BU48" s="63"/>
      <c r="BV48" s="63"/>
      <c r="BW48" s="63"/>
      <c r="BX48" s="63"/>
      <c r="BY48" s="63"/>
      <c r="BZ48" s="63"/>
      <c r="CA48" s="63"/>
      <c r="CB48" s="63"/>
      <c r="CC48" s="63"/>
      <c r="CD48" s="63"/>
      <c r="CE48" s="63"/>
      <c r="CF48" s="63"/>
      <c r="CG48" s="63"/>
      <c r="CH48" s="63"/>
      <c r="CI48" s="63"/>
      <c r="CJ48" s="63"/>
      <c r="CK48" s="63"/>
      <c r="CL48" s="63"/>
      <c r="CM48" s="63"/>
      <c r="CN48" s="63"/>
      <c r="CO48" s="63"/>
      <c r="CP48" s="63"/>
      <c r="CQ48" s="63"/>
      <c r="CR48" s="63"/>
      <c r="CS48" s="63"/>
      <c r="CT48" s="63"/>
      <c r="CU48" s="63"/>
      <c r="CV48" s="63"/>
      <c r="CW48" s="63"/>
      <c r="CX48" s="63"/>
      <c r="CY48" s="63"/>
      <c r="CZ48" s="63"/>
      <c r="DA48" s="63"/>
      <c r="DB48" s="63"/>
      <c r="DC48" s="63"/>
      <c r="DD48" s="63"/>
      <c r="DE48" s="63"/>
      <c r="DF48" s="63"/>
      <c r="DG48" s="63"/>
      <c r="DH48" s="63"/>
      <c r="DI48" s="63"/>
      <c r="DJ48" s="63"/>
      <c r="DK48" s="63"/>
      <c r="DL48" s="63"/>
      <c r="DM48" s="63"/>
      <c r="DN48" s="63"/>
      <c r="DO48" s="63"/>
      <c r="DP48" s="63"/>
      <c r="DQ48" s="63"/>
      <c r="DR48" s="63"/>
      <c r="DS48" s="63"/>
      <c r="DT48" s="63"/>
      <c r="DU48" s="63"/>
    </row>
    <row r="49" spans="1:125" s="241" customFormat="1" ht="13.5" customHeight="1" x14ac:dyDescent="0.25">
      <c r="A49" s="65" t="s">
        <v>997</v>
      </c>
      <c r="B49" s="57" t="s">
        <v>1848</v>
      </c>
      <c r="C49" s="57" t="s">
        <v>1837</v>
      </c>
      <c r="D49" s="93" t="s">
        <v>194</v>
      </c>
      <c r="E49" s="56" t="s">
        <v>1212</v>
      </c>
      <c r="F49" s="92">
        <v>17600</v>
      </c>
      <c r="G49" s="65">
        <v>88</v>
      </c>
      <c r="H49" s="65" t="s">
        <v>165</v>
      </c>
      <c r="I49" s="65" t="s">
        <v>1263</v>
      </c>
      <c r="J49" s="55">
        <v>45950</v>
      </c>
      <c r="K49" s="339" t="s">
        <v>1828</v>
      </c>
      <c r="L49" s="248">
        <v>89125770562</v>
      </c>
      <c r="M49" s="62" t="s">
        <v>1391</v>
      </c>
      <c r="N49" s="162"/>
      <c r="O49" s="92"/>
      <c r="P49" s="92"/>
      <c r="Q49" s="92">
        <v>17600</v>
      </c>
      <c r="R49" s="53" t="s">
        <v>417</v>
      </c>
      <c r="S49" s="94">
        <v>105000</v>
      </c>
      <c r="T49" s="61">
        <f>S49*F49/1000</f>
        <v>1848000</v>
      </c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  <c r="BI49" s="63"/>
      <c r="BJ49" s="63"/>
      <c r="BK49" s="63"/>
      <c r="BL49" s="63"/>
      <c r="BM49" s="63"/>
      <c r="BN49" s="63"/>
      <c r="BO49" s="63"/>
      <c r="BP49" s="63"/>
      <c r="BQ49" s="63"/>
      <c r="BR49" s="63"/>
      <c r="BS49" s="63"/>
      <c r="BT49" s="63"/>
      <c r="BU49" s="63"/>
      <c r="BV49" s="63"/>
      <c r="BW49" s="63"/>
      <c r="BX49" s="63"/>
      <c r="BY49" s="63"/>
      <c r="BZ49" s="63"/>
      <c r="CA49" s="63"/>
      <c r="CB49" s="63"/>
      <c r="CC49" s="63"/>
      <c r="CD49" s="63"/>
      <c r="CE49" s="63"/>
      <c r="CF49" s="63"/>
      <c r="CG49" s="63"/>
      <c r="CH49" s="63"/>
      <c r="CI49" s="63"/>
      <c r="CJ49" s="63"/>
      <c r="CK49" s="63"/>
      <c r="CL49" s="63"/>
      <c r="CM49" s="63"/>
      <c r="CN49" s="63"/>
      <c r="CO49" s="63"/>
      <c r="CP49" s="63"/>
      <c r="CQ49" s="63"/>
      <c r="CR49" s="63"/>
      <c r="CS49" s="63"/>
      <c r="CT49" s="63"/>
      <c r="CU49" s="63"/>
      <c r="CV49" s="63"/>
      <c r="CW49" s="63"/>
      <c r="CX49" s="63"/>
      <c r="CY49" s="63"/>
      <c r="CZ49" s="63"/>
      <c r="DA49" s="63"/>
      <c r="DB49" s="63"/>
      <c r="DC49" s="63"/>
      <c r="DD49" s="63"/>
      <c r="DE49" s="63"/>
      <c r="DF49" s="63"/>
      <c r="DG49" s="63"/>
      <c r="DH49" s="63"/>
      <c r="DI49" s="63"/>
      <c r="DJ49" s="63"/>
      <c r="DK49" s="63"/>
      <c r="DL49" s="63"/>
      <c r="DM49" s="63"/>
      <c r="DN49" s="63"/>
      <c r="DO49" s="63"/>
      <c r="DP49" s="63"/>
      <c r="DQ49" s="63"/>
      <c r="DR49" s="63"/>
      <c r="DS49" s="63"/>
      <c r="DT49" s="63"/>
      <c r="DU49" s="63"/>
    </row>
    <row r="50" spans="1:125" s="63" customFormat="1" ht="13.5" customHeight="1" x14ac:dyDescent="0.25">
      <c r="A50" s="65" t="s">
        <v>311</v>
      </c>
      <c r="B50" s="57" t="s">
        <v>1865</v>
      </c>
      <c r="C50" s="57" t="s">
        <v>491</v>
      </c>
      <c r="D50" s="93" t="s">
        <v>226</v>
      </c>
      <c r="E50" s="56" t="s">
        <v>567</v>
      </c>
      <c r="F50" s="92">
        <v>12000</v>
      </c>
      <c r="G50" s="65">
        <v>480</v>
      </c>
      <c r="H50" s="65" t="s">
        <v>452</v>
      </c>
      <c r="I50" s="65" t="s">
        <v>1263</v>
      </c>
      <c r="J50" s="55">
        <v>45951</v>
      </c>
      <c r="K50" s="340" t="s">
        <v>1882</v>
      </c>
      <c r="L50" s="248">
        <v>89516118070</v>
      </c>
      <c r="M50" s="62" t="s">
        <v>1883</v>
      </c>
      <c r="N50" s="162"/>
      <c r="O50" s="92">
        <v>12000</v>
      </c>
      <c r="P50" s="92"/>
      <c r="Q50" s="57"/>
      <c r="R50" s="53" t="s">
        <v>417</v>
      </c>
      <c r="S50" s="94">
        <v>44500</v>
      </c>
      <c r="T50" s="61">
        <f t="shared" ref="T50:T52" si="8">S50*F50/1000</f>
        <v>534000</v>
      </c>
    </row>
    <row r="51" spans="1:125" s="63" customFormat="1" ht="13.5" customHeight="1" x14ac:dyDescent="0.25">
      <c r="A51" s="65" t="s">
        <v>311</v>
      </c>
      <c r="B51" s="57" t="s">
        <v>1865</v>
      </c>
      <c r="C51" s="57" t="s">
        <v>491</v>
      </c>
      <c r="D51" s="93" t="s">
        <v>194</v>
      </c>
      <c r="E51" s="56" t="s">
        <v>1744</v>
      </c>
      <c r="F51" s="92">
        <v>8000</v>
      </c>
      <c r="G51" s="65">
        <v>40</v>
      </c>
      <c r="H51" s="65" t="s">
        <v>452</v>
      </c>
      <c r="I51" s="65" t="s">
        <v>1263</v>
      </c>
      <c r="J51" s="55">
        <v>45951</v>
      </c>
      <c r="K51" s="340" t="s">
        <v>1882</v>
      </c>
      <c r="L51" s="248">
        <v>89516118070</v>
      </c>
      <c r="M51" s="62" t="s">
        <v>1883</v>
      </c>
      <c r="N51" s="162"/>
      <c r="O51" s="92"/>
      <c r="P51" s="92"/>
      <c r="Q51" s="92">
        <v>8000</v>
      </c>
      <c r="R51" s="53" t="s">
        <v>417</v>
      </c>
      <c r="S51" s="94">
        <v>105000</v>
      </c>
      <c r="T51" s="61">
        <f t="shared" si="8"/>
        <v>840000</v>
      </c>
    </row>
    <row r="52" spans="1:125" s="63" customFormat="1" ht="13.5" customHeight="1" x14ac:dyDescent="0.25">
      <c r="A52" s="65" t="s">
        <v>311</v>
      </c>
      <c r="B52" s="57" t="s">
        <v>1845</v>
      </c>
      <c r="C52" s="57" t="s">
        <v>1837</v>
      </c>
      <c r="D52" s="93" t="s">
        <v>226</v>
      </c>
      <c r="E52" s="56" t="s">
        <v>1075</v>
      </c>
      <c r="F52" s="92">
        <v>20000</v>
      </c>
      <c r="G52" s="65">
        <v>800</v>
      </c>
      <c r="H52" s="65" t="s">
        <v>165</v>
      </c>
      <c r="I52" s="65" t="s">
        <v>1263</v>
      </c>
      <c r="J52" s="55">
        <v>45951</v>
      </c>
      <c r="K52" s="340" t="s">
        <v>1886</v>
      </c>
      <c r="L52" s="248" t="s">
        <v>1885</v>
      </c>
      <c r="M52" s="62" t="s">
        <v>1884</v>
      </c>
      <c r="N52" s="162"/>
      <c r="O52" s="92">
        <v>20000</v>
      </c>
      <c r="P52" s="92"/>
      <c r="Q52" s="57"/>
      <c r="R52" s="53" t="s">
        <v>417</v>
      </c>
      <c r="S52" s="94">
        <v>44500</v>
      </c>
      <c r="T52" s="61">
        <f t="shared" si="8"/>
        <v>890000</v>
      </c>
    </row>
    <row r="53" spans="1:125" s="63" customFormat="1" ht="13.5" customHeight="1" x14ac:dyDescent="0.25">
      <c r="A53" s="65" t="s">
        <v>1877</v>
      </c>
      <c r="B53" s="57" t="s">
        <v>1878</v>
      </c>
      <c r="C53" s="57" t="s">
        <v>1879</v>
      </c>
      <c r="D53" s="93" t="s">
        <v>168</v>
      </c>
      <c r="E53" s="56" t="s">
        <v>1526</v>
      </c>
      <c r="F53" s="92">
        <v>200</v>
      </c>
      <c r="G53" s="65">
        <v>1</v>
      </c>
      <c r="H53" s="65" t="s">
        <v>1881</v>
      </c>
      <c r="I53" s="65" t="s">
        <v>1263</v>
      </c>
      <c r="J53" s="55">
        <v>45951</v>
      </c>
      <c r="K53" s="340" t="s">
        <v>623</v>
      </c>
      <c r="L53" s="248" t="s">
        <v>1887</v>
      </c>
      <c r="M53" s="62"/>
      <c r="N53" s="162"/>
      <c r="O53" s="92"/>
      <c r="P53" s="92"/>
      <c r="Q53" s="92">
        <v>200</v>
      </c>
      <c r="R53" s="53" t="s">
        <v>417</v>
      </c>
      <c r="S53" s="94">
        <v>97000</v>
      </c>
      <c r="T53" s="61">
        <f>S53*F53/1000</f>
        <v>19400</v>
      </c>
    </row>
    <row r="54" spans="1:125" s="63" customFormat="1" ht="13.5" customHeight="1" x14ac:dyDescent="0.25">
      <c r="A54" s="65" t="s">
        <v>1877</v>
      </c>
      <c r="B54" s="57" t="s">
        <v>1878</v>
      </c>
      <c r="C54" s="57" t="s">
        <v>1879</v>
      </c>
      <c r="D54" s="93" t="s">
        <v>157</v>
      </c>
      <c r="E54" s="56" t="s">
        <v>1880</v>
      </c>
      <c r="F54" s="92">
        <v>200</v>
      </c>
      <c r="G54" s="65">
        <v>1</v>
      </c>
      <c r="H54" s="65" t="s">
        <v>1881</v>
      </c>
      <c r="I54" s="65" t="s">
        <v>1263</v>
      </c>
      <c r="J54" s="55">
        <v>45951</v>
      </c>
      <c r="K54" s="340" t="s">
        <v>623</v>
      </c>
      <c r="L54" s="248" t="s">
        <v>1887</v>
      </c>
      <c r="M54" s="62"/>
      <c r="N54" s="162"/>
      <c r="O54" s="92"/>
      <c r="P54" s="92"/>
      <c r="Q54" s="92">
        <v>200</v>
      </c>
      <c r="R54" s="53" t="s">
        <v>417</v>
      </c>
      <c r="S54" s="94">
        <v>85000</v>
      </c>
      <c r="T54" s="61">
        <f>S54*F54/1000</f>
        <v>17000</v>
      </c>
    </row>
    <row r="55" spans="1:125" s="63" customFormat="1" ht="13.5" customHeight="1" x14ac:dyDescent="0.25">
      <c r="A55" s="65" t="s">
        <v>1877</v>
      </c>
      <c r="B55" s="57" t="s">
        <v>1878</v>
      </c>
      <c r="C55" s="57" t="s">
        <v>1879</v>
      </c>
      <c r="D55" s="93" t="s">
        <v>263</v>
      </c>
      <c r="E55" s="56" t="s">
        <v>1880</v>
      </c>
      <c r="F55" s="92">
        <v>200</v>
      </c>
      <c r="G55" s="65">
        <v>1</v>
      </c>
      <c r="H55" s="65" t="s">
        <v>1881</v>
      </c>
      <c r="I55" s="65" t="s">
        <v>1263</v>
      </c>
      <c r="J55" s="55">
        <v>45951</v>
      </c>
      <c r="K55" s="340" t="s">
        <v>623</v>
      </c>
      <c r="L55" s="248" t="s">
        <v>1887</v>
      </c>
      <c r="M55" s="62"/>
      <c r="N55" s="162"/>
      <c r="O55" s="92"/>
      <c r="P55" s="92"/>
      <c r="Q55" s="92">
        <v>200</v>
      </c>
      <c r="R55" s="53" t="s">
        <v>417</v>
      </c>
      <c r="S55" s="94">
        <v>230000</v>
      </c>
      <c r="T55" s="61">
        <f>S55*F55/1000</f>
        <v>46000</v>
      </c>
    </row>
    <row r="56" spans="1:125" s="63" customFormat="1" ht="13.5" customHeight="1" x14ac:dyDescent="0.25">
      <c r="A56" s="65" t="s">
        <v>790</v>
      </c>
      <c r="B56" s="57" t="s">
        <v>1592</v>
      </c>
      <c r="C56" s="57" t="s">
        <v>788</v>
      </c>
      <c r="D56" s="93" t="s">
        <v>1574</v>
      </c>
      <c r="E56" s="189" t="s">
        <v>1861</v>
      </c>
      <c r="F56" s="92">
        <v>20000</v>
      </c>
      <c r="G56" s="65">
        <v>800</v>
      </c>
      <c r="H56" s="65" t="s">
        <v>789</v>
      </c>
      <c r="I56" s="65" t="s">
        <v>1263</v>
      </c>
      <c r="J56" s="55">
        <v>45952</v>
      </c>
      <c r="K56" s="165" t="s">
        <v>1889</v>
      </c>
      <c r="L56" s="166" t="s">
        <v>1888</v>
      </c>
      <c r="M56" s="53" t="s">
        <v>610</v>
      </c>
      <c r="N56" s="199"/>
      <c r="O56" s="92">
        <v>20000</v>
      </c>
      <c r="P56" s="57"/>
      <c r="Q56" s="57"/>
      <c r="R56" s="53" t="s">
        <v>417</v>
      </c>
      <c r="S56" s="94">
        <v>45500</v>
      </c>
      <c r="T56" s="61">
        <f t="shared" ref="T56:T68" si="9">S56*F56/1000</f>
        <v>910000</v>
      </c>
    </row>
    <row r="57" spans="1:125" s="63" customFormat="1" ht="13.5" customHeight="1" x14ac:dyDescent="0.25">
      <c r="A57" s="65" t="s">
        <v>1273</v>
      </c>
      <c r="B57" s="57" t="s">
        <v>1820</v>
      </c>
      <c r="C57" s="57" t="s">
        <v>730</v>
      </c>
      <c r="D57" s="10" t="s">
        <v>1426</v>
      </c>
      <c r="E57" s="56" t="s">
        <v>1804</v>
      </c>
      <c r="F57" s="57">
        <v>18964</v>
      </c>
      <c r="G57" s="65">
        <v>88</v>
      </c>
      <c r="H57" s="65" t="s">
        <v>500</v>
      </c>
      <c r="I57" s="65" t="s">
        <v>1263</v>
      </c>
      <c r="J57" s="55">
        <v>45954</v>
      </c>
      <c r="K57" s="349" t="s">
        <v>1892</v>
      </c>
      <c r="L57" s="248">
        <v>89116825992</v>
      </c>
      <c r="M57" s="62" t="s">
        <v>414</v>
      </c>
      <c r="N57" s="162"/>
      <c r="O57" s="92"/>
      <c r="P57" s="92"/>
      <c r="Q57" s="57">
        <v>18964</v>
      </c>
      <c r="R57" s="53" t="s">
        <v>417</v>
      </c>
      <c r="S57" s="94">
        <v>93000</v>
      </c>
      <c r="T57" s="61">
        <f t="shared" si="9"/>
        <v>1763652</v>
      </c>
    </row>
    <row r="58" spans="1:125" s="63" customFormat="1" ht="13.5" customHeight="1" x14ac:dyDescent="0.25">
      <c r="A58" s="65" t="s">
        <v>790</v>
      </c>
      <c r="B58" s="57" t="s">
        <v>1862</v>
      </c>
      <c r="C58" s="57" t="s">
        <v>788</v>
      </c>
      <c r="D58" s="93" t="s">
        <v>157</v>
      </c>
      <c r="E58" s="189" t="s">
        <v>1868</v>
      </c>
      <c r="F58" s="92">
        <v>7000</v>
      </c>
      <c r="G58" s="65">
        <v>35</v>
      </c>
      <c r="H58" s="65" t="s">
        <v>789</v>
      </c>
      <c r="I58" s="65" t="s">
        <v>1263</v>
      </c>
      <c r="J58" s="55">
        <v>45954</v>
      </c>
      <c r="K58" s="165" t="s">
        <v>1891</v>
      </c>
      <c r="L58" s="166" t="s">
        <v>1890</v>
      </c>
      <c r="M58" s="53" t="s">
        <v>1315</v>
      </c>
      <c r="N58" s="199"/>
      <c r="O58" s="92"/>
      <c r="P58" s="57"/>
      <c r="Q58" s="92">
        <v>7000</v>
      </c>
      <c r="R58" s="53" t="s">
        <v>417</v>
      </c>
      <c r="S58" s="94">
        <v>82000</v>
      </c>
      <c r="T58" s="61">
        <f t="shared" si="9"/>
        <v>574000</v>
      </c>
    </row>
    <row r="59" spans="1:125" s="63" customFormat="1" ht="13.5" customHeight="1" x14ac:dyDescent="0.25">
      <c r="A59" s="65" t="s">
        <v>790</v>
      </c>
      <c r="B59" s="57" t="s">
        <v>1862</v>
      </c>
      <c r="C59" s="57" t="s">
        <v>788</v>
      </c>
      <c r="D59" s="93" t="s">
        <v>157</v>
      </c>
      <c r="E59" s="189" t="s">
        <v>1869</v>
      </c>
      <c r="F59" s="92">
        <v>6400</v>
      </c>
      <c r="G59" s="65">
        <v>32</v>
      </c>
      <c r="H59" s="65" t="s">
        <v>789</v>
      </c>
      <c r="I59" s="65" t="s">
        <v>1263</v>
      </c>
      <c r="J59" s="55">
        <v>45954</v>
      </c>
      <c r="K59" s="165" t="s">
        <v>1891</v>
      </c>
      <c r="L59" s="166" t="s">
        <v>1890</v>
      </c>
      <c r="M59" s="53" t="s">
        <v>1315</v>
      </c>
      <c r="N59" s="199"/>
      <c r="O59" s="92"/>
      <c r="P59" s="57"/>
      <c r="Q59" s="92">
        <v>6400</v>
      </c>
      <c r="R59" s="53" t="s">
        <v>417</v>
      </c>
      <c r="S59" s="94">
        <v>82000</v>
      </c>
      <c r="T59" s="61">
        <f t="shared" si="9"/>
        <v>524800</v>
      </c>
    </row>
    <row r="60" spans="1:125" s="63" customFormat="1" ht="13.5" customHeight="1" x14ac:dyDescent="0.25">
      <c r="A60" s="65" t="s">
        <v>790</v>
      </c>
      <c r="B60" s="57" t="s">
        <v>1862</v>
      </c>
      <c r="C60" s="57" t="s">
        <v>788</v>
      </c>
      <c r="D60" s="93" t="s">
        <v>157</v>
      </c>
      <c r="E60" s="189" t="s">
        <v>1575</v>
      </c>
      <c r="F60" s="92">
        <v>3600</v>
      </c>
      <c r="G60" s="65">
        <v>18</v>
      </c>
      <c r="H60" s="65" t="s">
        <v>789</v>
      </c>
      <c r="I60" s="65" t="s">
        <v>1263</v>
      </c>
      <c r="J60" s="55">
        <v>45954</v>
      </c>
      <c r="K60" s="165" t="s">
        <v>1891</v>
      </c>
      <c r="L60" s="166" t="s">
        <v>1890</v>
      </c>
      <c r="M60" s="53" t="s">
        <v>1315</v>
      </c>
      <c r="N60" s="199"/>
      <c r="O60" s="92"/>
      <c r="P60" s="57"/>
      <c r="Q60" s="92">
        <v>3600</v>
      </c>
      <c r="R60" s="53" t="s">
        <v>417</v>
      </c>
      <c r="S60" s="94">
        <v>82000</v>
      </c>
      <c r="T60" s="61">
        <f t="shared" si="9"/>
        <v>295200</v>
      </c>
    </row>
    <row r="61" spans="1:125" s="63" customFormat="1" ht="13.5" customHeight="1" x14ac:dyDescent="0.25">
      <c r="A61" s="65" t="s">
        <v>790</v>
      </c>
      <c r="B61" s="57" t="s">
        <v>1862</v>
      </c>
      <c r="C61" s="57" t="s">
        <v>788</v>
      </c>
      <c r="D61" s="93" t="s">
        <v>157</v>
      </c>
      <c r="E61" s="189" t="s">
        <v>1576</v>
      </c>
      <c r="F61" s="92">
        <v>600</v>
      </c>
      <c r="G61" s="65">
        <v>3</v>
      </c>
      <c r="H61" s="65" t="s">
        <v>789</v>
      </c>
      <c r="I61" s="65" t="s">
        <v>1263</v>
      </c>
      <c r="J61" s="55">
        <v>45954</v>
      </c>
      <c r="K61" s="165" t="s">
        <v>1891</v>
      </c>
      <c r="L61" s="166" t="s">
        <v>1890</v>
      </c>
      <c r="M61" s="53" t="s">
        <v>1315</v>
      </c>
      <c r="N61" s="199"/>
      <c r="O61" s="92"/>
      <c r="P61" s="57"/>
      <c r="Q61" s="92">
        <v>600</v>
      </c>
      <c r="R61" s="53" t="s">
        <v>417</v>
      </c>
      <c r="S61" s="94">
        <v>82000</v>
      </c>
      <c r="T61" s="61">
        <f t="shared" si="9"/>
        <v>49200</v>
      </c>
    </row>
    <row r="62" spans="1:125" s="63" customFormat="1" ht="13.5" customHeight="1" x14ac:dyDescent="0.25">
      <c r="A62" s="65" t="s">
        <v>1475</v>
      </c>
      <c r="B62" s="57" t="s">
        <v>1866</v>
      </c>
      <c r="C62" s="57" t="s">
        <v>491</v>
      </c>
      <c r="D62" s="93" t="s">
        <v>226</v>
      </c>
      <c r="E62" s="56" t="s">
        <v>567</v>
      </c>
      <c r="F62" s="92">
        <v>8000</v>
      </c>
      <c r="G62" s="65">
        <v>320</v>
      </c>
      <c r="H62" s="65" t="s">
        <v>452</v>
      </c>
      <c r="I62" s="65" t="s">
        <v>1263</v>
      </c>
      <c r="J62" s="55">
        <v>45957</v>
      </c>
      <c r="K62" s="350" t="s">
        <v>1896</v>
      </c>
      <c r="L62" s="248">
        <v>89125754867</v>
      </c>
      <c r="M62" s="62" t="s">
        <v>1441</v>
      </c>
      <c r="N62" s="162"/>
      <c r="O62" s="92">
        <v>8000</v>
      </c>
      <c r="P62" s="92"/>
      <c r="Q62" s="57"/>
      <c r="R62" s="53" t="s">
        <v>417</v>
      </c>
      <c r="S62" s="94">
        <v>44500</v>
      </c>
      <c r="T62" s="61">
        <f t="shared" si="9"/>
        <v>356000</v>
      </c>
    </row>
    <row r="63" spans="1:125" s="63" customFormat="1" ht="13.5" customHeight="1" x14ac:dyDescent="0.25">
      <c r="A63" s="65" t="s">
        <v>1475</v>
      </c>
      <c r="B63" s="57" t="s">
        <v>1866</v>
      </c>
      <c r="C63" s="57" t="s">
        <v>491</v>
      </c>
      <c r="D63" s="93" t="s">
        <v>223</v>
      </c>
      <c r="E63" s="56" t="s">
        <v>1624</v>
      </c>
      <c r="F63" s="92">
        <v>12000</v>
      </c>
      <c r="G63" s="65">
        <v>480</v>
      </c>
      <c r="H63" s="65" t="s">
        <v>452</v>
      </c>
      <c r="I63" s="65" t="s">
        <v>1263</v>
      </c>
      <c r="J63" s="55">
        <v>45957</v>
      </c>
      <c r="K63" s="350" t="s">
        <v>1896</v>
      </c>
      <c r="L63" s="248">
        <v>89125754867</v>
      </c>
      <c r="M63" s="62" t="s">
        <v>1441</v>
      </c>
      <c r="N63" s="162"/>
      <c r="O63" s="92"/>
      <c r="P63" s="92">
        <v>12000</v>
      </c>
      <c r="Q63" s="57"/>
      <c r="R63" s="53" t="s">
        <v>417</v>
      </c>
      <c r="S63" s="94">
        <v>250000</v>
      </c>
      <c r="T63" s="61">
        <f t="shared" si="9"/>
        <v>3000000</v>
      </c>
    </row>
    <row r="64" spans="1:125" s="63" customFormat="1" ht="13.5" customHeight="1" x14ac:dyDescent="0.25">
      <c r="A64" s="65" t="s">
        <v>1090</v>
      </c>
      <c r="B64" s="57" t="s">
        <v>1846</v>
      </c>
      <c r="C64" s="57" t="s">
        <v>1837</v>
      </c>
      <c r="D64" s="93" t="s">
        <v>226</v>
      </c>
      <c r="E64" s="56" t="s">
        <v>1075</v>
      </c>
      <c r="F64" s="92">
        <v>20000</v>
      </c>
      <c r="G64" s="65">
        <v>800</v>
      </c>
      <c r="H64" s="65" t="s">
        <v>165</v>
      </c>
      <c r="I64" s="65" t="s">
        <v>1263</v>
      </c>
      <c r="J64" s="55">
        <v>45958</v>
      </c>
      <c r="K64" s="309" t="s">
        <v>1823</v>
      </c>
      <c r="L64" s="108">
        <v>89115800204</v>
      </c>
      <c r="M64" s="98" t="s">
        <v>1822</v>
      </c>
      <c r="N64" s="162"/>
      <c r="O64" s="92">
        <v>20000</v>
      </c>
      <c r="P64" s="92"/>
      <c r="Q64" s="57"/>
      <c r="R64" s="53" t="s">
        <v>417</v>
      </c>
      <c r="S64" s="94">
        <v>44500</v>
      </c>
      <c r="T64" s="61">
        <f t="shared" si="9"/>
        <v>890000</v>
      </c>
    </row>
    <row r="65" spans="1:20" s="63" customFormat="1" ht="13.5" customHeight="1" x14ac:dyDescent="0.25">
      <c r="A65" s="65" t="s">
        <v>1909</v>
      </c>
      <c r="B65" s="57" t="s">
        <v>1910</v>
      </c>
      <c r="C65" s="57" t="s">
        <v>1898</v>
      </c>
      <c r="D65" s="10" t="s">
        <v>1895</v>
      </c>
      <c r="E65" s="56" t="s">
        <v>1899</v>
      </c>
      <c r="F65" s="57">
        <v>120</v>
      </c>
      <c r="G65" s="65">
        <v>4</v>
      </c>
      <c r="H65" s="65" t="s">
        <v>1911</v>
      </c>
      <c r="I65" s="65" t="s">
        <v>1263</v>
      </c>
      <c r="J65" s="55">
        <v>45959</v>
      </c>
      <c r="K65" s="53" t="s">
        <v>1160</v>
      </c>
      <c r="L65" s="351" t="s">
        <v>1912</v>
      </c>
      <c r="M65" s="53"/>
      <c r="N65" s="212"/>
      <c r="O65" s="57"/>
      <c r="P65" s="57"/>
      <c r="Q65" s="92">
        <v>120</v>
      </c>
      <c r="R65" s="53" t="s">
        <v>417</v>
      </c>
      <c r="S65" s="94">
        <v>199000</v>
      </c>
      <c r="T65" s="61">
        <f>S65*F65/1000</f>
        <v>23880</v>
      </c>
    </row>
    <row r="66" spans="1:20" s="63" customFormat="1" ht="13.5" customHeight="1" x14ac:dyDescent="0.25">
      <c r="A66" s="65" t="s">
        <v>790</v>
      </c>
      <c r="B66" s="57" t="s">
        <v>1592</v>
      </c>
      <c r="C66" s="57" t="s">
        <v>788</v>
      </c>
      <c r="D66" s="93" t="s">
        <v>1574</v>
      </c>
      <c r="E66" s="189" t="s">
        <v>1812</v>
      </c>
      <c r="F66" s="92">
        <v>11000</v>
      </c>
      <c r="G66" s="65">
        <v>440</v>
      </c>
      <c r="H66" s="65" t="s">
        <v>789</v>
      </c>
      <c r="I66" s="65" t="s">
        <v>1263</v>
      </c>
      <c r="J66" s="55">
        <v>45960</v>
      </c>
      <c r="K66" s="165" t="s">
        <v>1900</v>
      </c>
      <c r="L66" s="166" t="s">
        <v>792</v>
      </c>
      <c r="M66" s="53" t="s">
        <v>793</v>
      </c>
      <c r="N66" s="199"/>
      <c r="O66" s="92">
        <v>11000</v>
      </c>
      <c r="P66" s="57"/>
      <c r="Q66" s="57"/>
      <c r="R66" s="53" t="s">
        <v>417</v>
      </c>
      <c r="S66" s="94">
        <v>45500</v>
      </c>
      <c r="T66" s="61">
        <f t="shared" si="9"/>
        <v>500500</v>
      </c>
    </row>
    <row r="67" spans="1:20" s="63" customFormat="1" ht="13.5" customHeight="1" x14ac:dyDescent="0.25">
      <c r="A67" s="65" t="s">
        <v>790</v>
      </c>
      <c r="B67" s="57" t="s">
        <v>1623</v>
      </c>
      <c r="C67" s="57" t="s">
        <v>788</v>
      </c>
      <c r="D67" s="93" t="s">
        <v>157</v>
      </c>
      <c r="E67" s="189" t="s">
        <v>1628</v>
      </c>
      <c r="F67" s="92">
        <v>6400</v>
      </c>
      <c r="G67" s="65">
        <v>32</v>
      </c>
      <c r="H67" s="65" t="s">
        <v>789</v>
      </c>
      <c r="I67" s="65" t="s">
        <v>1263</v>
      </c>
      <c r="J67" s="55">
        <v>45960</v>
      </c>
      <c r="K67" s="165" t="s">
        <v>1900</v>
      </c>
      <c r="L67" s="166" t="s">
        <v>792</v>
      </c>
      <c r="M67" s="53" t="s">
        <v>793</v>
      </c>
      <c r="N67" s="199"/>
      <c r="O67" s="92"/>
      <c r="P67" s="57"/>
      <c r="Q67" s="92">
        <v>6400</v>
      </c>
      <c r="R67" s="53" t="s">
        <v>417</v>
      </c>
      <c r="S67" s="94">
        <v>82000</v>
      </c>
      <c r="T67" s="61">
        <f t="shared" si="9"/>
        <v>524800</v>
      </c>
    </row>
    <row r="68" spans="1:20" s="63" customFormat="1" ht="13.5" customHeight="1" x14ac:dyDescent="0.25">
      <c r="A68" s="65" t="s">
        <v>790</v>
      </c>
      <c r="B68" s="57" t="s">
        <v>1623</v>
      </c>
      <c r="C68" s="57" t="s">
        <v>788</v>
      </c>
      <c r="D68" s="93" t="s">
        <v>157</v>
      </c>
      <c r="E68" s="189" t="s">
        <v>1867</v>
      </c>
      <c r="F68" s="92">
        <v>2400</v>
      </c>
      <c r="G68" s="65">
        <v>12</v>
      </c>
      <c r="H68" s="65" t="s">
        <v>789</v>
      </c>
      <c r="I68" s="65" t="s">
        <v>1263</v>
      </c>
      <c r="J68" s="55">
        <v>45960</v>
      </c>
      <c r="K68" s="165" t="s">
        <v>1900</v>
      </c>
      <c r="L68" s="166" t="s">
        <v>792</v>
      </c>
      <c r="M68" s="53" t="s">
        <v>793</v>
      </c>
      <c r="N68" s="199"/>
      <c r="O68" s="92"/>
      <c r="P68" s="57"/>
      <c r="Q68" s="92">
        <v>2400</v>
      </c>
      <c r="R68" s="53" t="s">
        <v>417</v>
      </c>
      <c r="S68" s="94">
        <v>82000</v>
      </c>
      <c r="T68" s="61">
        <f t="shared" si="9"/>
        <v>196800</v>
      </c>
    </row>
    <row r="69" spans="1:20" s="63" customFormat="1" ht="13.5" customHeight="1" x14ac:dyDescent="0.25">
      <c r="A69" s="65" t="s">
        <v>418</v>
      </c>
      <c r="B69" s="57" t="s">
        <v>1582</v>
      </c>
      <c r="C69" s="57" t="s">
        <v>730</v>
      </c>
      <c r="D69" s="10" t="s">
        <v>267</v>
      </c>
      <c r="E69" s="56" t="s">
        <v>1875</v>
      </c>
      <c r="F69" s="57">
        <v>17600</v>
      </c>
      <c r="G69" s="65">
        <v>88</v>
      </c>
      <c r="H69" s="65" t="s">
        <v>732</v>
      </c>
      <c r="I69" s="65" t="s">
        <v>1263</v>
      </c>
      <c r="J69" s="55">
        <v>45961</v>
      </c>
      <c r="K69" s="309" t="s">
        <v>1144</v>
      </c>
      <c r="L69" s="108">
        <v>89115713730</v>
      </c>
      <c r="M69" s="98" t="s">
        <v>1508</v>
      </c>
      <c r="N69" s="212"/>
      <c r="O69" s="57"/>
      <c r="P69" s="57"/>
      <c r="Q69" s="92">
        <v>17600</v>
      </c>
      <c r="R69" s="53" t="s">
        <v>417</v>
      </c>
      <c r="S69" s="94">
        <v>369000</v>
      </c>
      <c r="T69" s="61">
        <f t="shared" ref="T69" si="10" xml:space="preserve"> S69*(F69/1000)</f>
        <v>6494400.0000000009</v>
      </c>
    </row>
    <row r="70" spans="1:20" ht="21" customHeight="1" x14ac:dyDescent="0.3">
      <c r="A70" s="342"/>
      <c r="B70" s="343"/>
      <c r="C70" s="343"/>
      <c r="D70" s="344"/>
      <c r="E70" s="345"/>
      <c r="F70" s="343"/>
      <c r="G70" s="342"/>
      <c r="H70" s="342"/>
      <c r="I70" s="342"/>
      <c r="J70" s="346"/>
      <c r="K70" s="342"/>
      <c r="L70" s="347"/>
      <c r="M70" s="343"/>
      <c r="N70" s="343"/>
      <c r="O70" s="343"/>
      <c r="P70" s="343"/>
      <c r="Q70" s="343"/>
      <c r="R70" s="343"/>
      <c r="S70" s="348"/>
      <c r="T70" s="348">
        <f>SUM(T5:T69)</f>
        <v>64615784</v>
      </c>
    </row>
    <row r="71" spans="1:20" ht="21" customHeight="1" x14ac:dyDescent="0.3">
      <c r="A71" s="159" t="s">
        <v>15</v>
      </c>
      <c r="B71" s="101">
        <f>SUM($F$5:$F$70)/1000</f>
        <v>630.048</v>
      </c>
      <c r="C71" s="54" t="s">
        <v>14</v>
      </c>
    </row>
    <row r="72" spans="1:20" ht="23.25" customHeight="1" x14ac:dyDescent="0.3">
      <c r="A72" s="110" t="s">
        <v>16</v>
      </c>
      <c r="B72" s="102">
        <f>$B$73+$B$74+$B$75</f>
        <v>630.048</v>
      </c>
      <c r="C72" s="1" t="s">
        <v>14</v>
      </c>
      <c r="E72" s="175"/>
      <c r="F72" s="154" t="s">
        <v>321</v>
      </c>
      <c r="G72" s="154"/>
    </row>
    <row r="73" spans="1:20" ht="23.25" customHeight="1" x14ac:dyDescent="0.3">
      <c r="A73" s="111" t="s">
        <v>17</v>
      </c>
      <c r="B73" s="100">
        <f>SUM(O5:O70)/1000</f>
        <v>295</v>
      </c>
      <c r="C73" s="2" t="s">
        <v>14</v>
      </c>
      <c r="D73" s="184"/>
      <c r="E73" s="188"/>
      <c r="F73" s="154" t="s">
        <v>319</v>
      </c>
      <c r="G73" s="154"/>
    </row>
    <row r="74" spans="1:20" ht="23.25" customHeight="1" x14ac:dyDescent="0.3">
      <c r="A74" s="111" t="s">
        <v>153</v>
      </c>
      <c r="B74" s="100">
        <f>SUM(P5:P70)/1000</f>
        <v>71</v>
      </c>
      <c r="C74" s="2" t="s">
        <v>14</v>
      </c>
      <c r="E74" s="177"/>
      <c r="F74" s="154" t="s">
        <v>318</v>
      </c>
      <c r="G74" s="154"/>
    </row>
    <row r="75" spans="1:20" ht="23.25" customHeight="1" x14ac:dyDescent="0.3">
      <c r="A75" s="111" t="s">
        <v>24</v>
      </c>
      <c r="B75" s="100">
        <f>SUM(Q5:Q70)/1000</f>
        <v>264.048</v>
      </c>
      <c r="C75" s="2" t="s">
        <v>14</v>
      </c>
      <c r="E75" s="178"/>
      <c r="F75" s="154" t="s">
        <v>325</v>
      </c>
    </row>
    <row r="76" spans="1:20" ht="23.25" customHeight="1" thickBot="1" x14ac:dyDescent="0.35">
      <c r="A76" s="112" t="s">
        <v>20</v>
      </c>
      <c r="B76" s="104">
        <f>$B$71-$B$72</f>
        <v>0</v>
      </c>
      <c r="C76" s="3" t="s">
        <v>14</v>
      </c>
      <c r="E76" s="286"/>
      <c r="F76" s="154" t="s">
        <v>1351</v>
      </c>
    </row>
  </sheetData>
  <sheetProtection formatCells="0" formatColumns="0" formatRows="0" insertColumns="0" insertRows="0" insertHyperlinks="0" deleteColumns="0" deleteRows="0" sort="0" autoFilter="0" pivotTables="0"/>
  <autoFilter ref="D1:D76" xr:uid="{00000000-0009-0000-0000-000002000000}"/>
  <mergeCells count="13">
    <mergeCell ref="S2:S3"/>
    <mergeCell ref="H2:H3"/>
    <mergeCell ref="I2:I3"/>
    <mergeCell ref="J2:J3"/>
    <mergeCell ref="K2:M2"/>
    <mergeCell ref="O2:Q2"/>
    <mergeCell ref="R2:R3"/>
    <mergeCell ref="F2:G2"/>
    <mergeCell ref="A2:A3"/>
    <mergeCell ref="B2:B3"/>
    <mergeCell ref="C2:C3"/>
    <mergeCell ref="D2:D3"/>
    <mergeCell ref="E2:E3"/>
  </mergeCells>
  <phoneticPr fontId="119" type="noConversion"/>
  <dataValidations count="3">
    <dataValidation type="list" allowBlank="1" showInputMessage="1" showErrorMessage="1" sqref="D26:D33 D69:D70 D42:D47 D50:D51 D63 D57:D59 D61" xr:uid="{00000000-0002-0000-0200-000000000000}">
      <formula1>$E$2:$E$172</formula1>
    </dataValidation>
    <dataValidation type="list" allowBlank="1" showInputMessage="1" showErrorMessage="1" sqref="D66:D68 D58:D61" xr:uid="{00000000-0002-0000-0200-000001000000}">
      <formula1>$E$2:$E$176</formula1>
    </dataValidation>
    <dataValidation type="list" allowBlank="1" showInputMessage="1" showErrorMessage="1" sqref="D66:D1048576" xr:uid="{00000000-0002-0000-0200-000002000000}">
      <formula1>$E$2:$E$177</formula1>
    </dataValidation>
  </dataValidations>
  <pageMargins left="0.7" right="0.7" top="0.75" bottom="0.75" header="0.3" footer="0.3"/>
  <pageSetup paperSize="9" scale="37" orientation="landscape" r:id="rId1"/>
  <colBreaks count="1" manualBreakCount="1">
    <brk id="1" max="87" man="1"/>
  </colBreak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3000000}">
          <x14:formula1>
            <xm:f>справочник!$E$2:$E$173</xm:f>
          </x14:formula1>
          <xm:sqref>D12</xm:sqref>
        </x14:dataValidation>
        <x14:dataValidation type="list" allowBlank="1" showInputMessage="1" showErrorMessage="1" xr:uid="{00000000-0002-0000-0200-000004000000}">
          <x14:formula1>
            <xm:f>справочник!$E$2:$E$177</xm:f>
          </x14:formula1>
          <xm:sqref>D56</xm:sqref>
        </x14:dataValidation>
        <x14:dataValidation type="list" allowBlank="1" showInputMessage="1" showErrorMessage="1" xr:uid="{00000000-0002-0000-0200-000005000000}">
          <x14:formula1>
            <xm:f>справочник!$E$2:$E$178</xm:f>
          </x14:formula1>
          <xm:sqref>D1:D64</xm:sqref>
        </x14:dataValidation>
        <x14:dataValidation type="list" allowBlank="1" showInputMessage="1" showErrorMessage="1" xr:uid="{00000000-0002-0000-0200-000006000000}">
          <x14:formula1>
            <xm:f>справочник!$E$1:$E$179</xm:f>
          </x14:formula1>
          <xm:sqref>D65</xm:sqref>
        </x14:dataValidation>
        <x14:dataValidation type="list" allowBlank="1" showInputMessage="1" showErrorMessage="1" xr:uid="{00000000-0002-0000-0200-000007000000}">
          <x14:formula1>
            <xm:f>справочник!$E$2:$E$179</xm:f>
          </x14:formula1>
          <xm:sqref>D60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N89"/>
  <sheetViews>
    <sheetView tabSelected="1" zoomScale="70" zoomScaleNormal="70" zoomScaleSheetLayoutView="70" workbookViewId="0">
      <pane ySplit="3" topLeftCell="A25" activePane="bottomLeft" state="frozen"/>
      <selection pane="bottomLeft" activeCell="E43" sqref="E43"/>
    </sheetView>
  </sheetViews>
  <sheetFormatPr defaultRowHeight="15" x14ac:dyDescent="0.25"/>
  <cols>
    <col min="1" max="1" width="18" style="113" customWidth="1"/>
    <col min="2" max="2" width="15.140625" customWidth="1"/>
    <col min="3" max="3" width="17" customWidth="1"/>
    <col min="4" max="4" width="41" customWidth="1"/>
    <col min="5" max="5" width="15.5703125" style="174" customWidth="1"/>
    <col min="6" max="6" width="13" bestFit="1" customWidth="1"/>
    <col min="7" max="7" width="19.140625" customWidth="1"/>
    <col min="8" max="8" width="19.5703125" customWidth="1"/>
    <col min="9" max="9" width="23" customWidth="1"/>
    <col min="10" max="10" width="23.28515625" customWidth="1"/>
    <col min="11" max="11" width="30.140625" customWidth="1"/>
    <col min="12" max="12" width="27.7109375" customWidth="1"/>
    <col min="13" max="13" width="29" customWidth="1"/>
    <col min="14" max="14" width="18.42578125" style="140" customWidth="1"/>
    <col min="15" max="16" width="8.85546875" customWidth="1"/>
    <col min="17" max="17" width="8" customWidth="1"/>
    <col min="18" max="18" width="10.85546875" customWidth="1"/>
    <col min="19" max="19" width="13.85546875" customWidth="1"/>
    <col min="20" max="20" width="17.28515625" customWidth="1"/>
    <col min="21" max="21" width="15.42578125" customWidth="1"/>
  </cols>
  <sheetData>
    <row r="1" spans="1:196" s="59" customFormat="1" ht="17.25" x14ac:dyDescent="0.3">
      <c r="A1" s="109"/>
      <c r="B1" s="58" t="s">
        <v>152</v>
      </c>
      <c r="C1" s="66">
        <v>45901</v>
      </c>
      <c r="D1" s="58"/>
      <c r="E1" s="173"/>
      <c r="F1" s="58"/>
      <c r="H1" s="58"/>
      <c r="I1" s="58"/>
      <c r="J1" s="58"/>
      <c r="K1" s="60"/>
      <c r="L1" s="60"/>
      <c r="M1" s="60"/>
      <c r="N1" s="106"/>
      <c r="O1" s="60"/>
      <c r="P1" s="60"/>
      <c r="Q1" s="60"/>
    </row>
    <row r="2" spans="1:196" ht="25.5" customHeight="1" x14ac:dyDescent="0.25">
      <c r="A2" s="404" t="s">
        <v>159</v>
      </c>
      <c r="B2" s="406" t="s">
        <v>18</v>
      </c>
      <c r="C2" s="408" t="s">
        <v>156</v>
      </c>
      <c r="D2" s="410" t="s">
        <v>4</v>
      </c>
      <c r="E2" s="412" t="s">
        <v>5</v>
      </c>
      <c r="F2" s="402" t="s">
        <v>0</v>
      </c>
      <c r="G2" s="403"/>
      <c r="H2" s="388" t="s">
        <v>2</v>
      </c>
      <c r="I2" s="390" t="s">
        <v>3</v>
      </c>
      <c r="J2" s="392" t="s">
        <v>6</v>
      </c>
      <c r="K2" s="394" t="s">
        <v>7</v>
      </c>
      <c r="L2" s="395"/>
      <c r="M2" s="396"/>
      <c r="N2" s="107" t="s">
        <v>9</v>
      </c>
      <c r="O2" s="397" t="s">
        <v>12</v>
      </c>
      <c r="P2" s="398"/>
      <c r="Q2" s="399"/>
      <c r="R2" s="400" t="s">
        <v>151</v>
      </c>
      <c r="S2" s="387" t="s">
        <v>161</v>
      </c>
      <c r="T2" s="95"/>
    </row>
    <row r="3" spans="1:196" x14ac:dyDescent="0.25">
      <c r="A3" s="405"/>
      <c r="B3" s="407"/>
      <c r="C3" s="409"/>
      <c r="D3" s="411"/>
      <c r="E3" s="413"/>
      <c r="F3" s="149" t="s">
        <v>1</v>
      </c>
      <c r="G3" s="149" t="s">
        <v>155</v>
      </c>
      <c r="H3" s="389"/>
      <c r="I3" s="391"/>
      <c r="J3" s="393"/>
      <c r="K3" s="287" t="s">
        <v>8</v>
      </c>
      <c r="L3" s="287" t="s">
        <v>21</v>
      </c>
      <c r="M3" s="287" t="s">
        <v>10</v>
      </c>
      <c r="N3" s="150" t="s">
        <v>1038</v>
      </c>
      <c r="O3" s="151" t="s">
        <v>13</v>
      </c>
      <c r="P3" s="151" t="s">
        <v>154</v>
      </c>
      <c r="Q3" s="152" t="s">
        <v>23</v>
      </c>
      <c r="R3" s="401"/>
      <c r="S3" s="387"/>
      <c r="T3" s="153" t="s">
        <v>162</v>
      </c>
    </row>
    <row r="4" spans="1:196" x14ac:dyDescent="0.25">
      <c r="A4" s="200"/>
      <c r="B4" s="305"/>
      <c r="C4" s="242"/>
      <c r="D4" s="143"/>
      <c r="E4" s="144"/>
      <c r="F4" s="145"/>
      <c r="G4" s="142"/>
      <c r="H4" s="142"/>
      <c r="I4" s="142"/>
      <c r="J4" s="146"/>
      <c r="K4" s="306"/>
      <c r="L4" s="307"/>
      <c r="M4" s="308"/>
      <c r="N4" s="155"/>
      <c r="O4" s="156"/>
      <c r="P4" s="156"/>
      <c r="Q4" s="157"/>
      <c r="R4" s="141"/>
      <c r="S4" s="275"/>
      <c r="T4" s="158"/>
    </row>
    <row r="5" spans="1:196" s="63" customFormat="1" ht="13.5" customHeight="1" x14ac:dyDescent="0.25">
      <c r="A5" s="65" t="s">
        <v>1670</v>
      </c>
      <c r="B5" s="57" t="s">
        <v>1618</v>
      </c>
      <c r="C5" s="57" t="s">
        <v>164</v>
      </c>
      <c r="D5" s="10" t="s">
        <v>306</v>
      </c>
      <c r="E5" s="167" t="s">
        <v>1605</v>
      </c>
      <c r="F5" s="57">
        <v>1750</v>
      </c>
      <c r="G5" s="65">
        <v>70</v>
      </c>
      <c r="H5" s="65" t="s">
        <v>165</v>
      </c>
      <c r="I5" s="55" t="s">
        <v>1263</v>
      </c>
      <c r="J5" s="55">
        <v>45901</v>
      </c>
      <c r="K5" s="53" t="s">
        <v>587</v>
      </c>
      <c r="L5" s="207">
        <v>89212974613</v>
      </c>
      <c r="M5" s="53" t="s">
        <v>518</v>
      </c>
      <c r="N5" s="271"/>
      <c r="O5" s="57">
        <v>1750</v>
      </c>
      <c r="P5" s="57"/>
      <c r="Q5" s="57"/>
      <c r="R5" s="168" t="s">
        <v>417</v>
      </c>
      <c r="S5" s="94">
        <v>41000</v>
      </c>
      <c r="T5" s="61">
        <f t="shared" ref="T5:T28" si="0" xml:space="preserve"> S5*(F5/1000)</f>
        <v>71750</v>
      </c>
    </row>
    <row r="6" spans="1:196" s="63" customFormat="1" ht="13.5" customHeight="1" x14ac:dyDescent="0.25">
      <c r="A6" s="65" t="s">
        <v>1670</v>
      </c>
      <c r="B6" s="57" t="s">
        <v>1618</v>
      </c>
      <c r="C6" s="57" t="s">
        <v>164</v>
      </c>
      <c r="D6" s="10" t="s">
        <v>306</v>
      </c>
      <c r="E6" s="167" t="s">
        <v>1606</v>
      </c>
      <c r="F6" s="57">
        <v>4375</v>
      </c>
      <c r="G6" s="65">
        <v>175</v>
      </c>
      <c r="H6" s="65" t="s">
        <v>165</v>
      </c>
      <c r="I6" s="55" t="s">
        <v>1263</v>
      </c>
      <c r="J6" s="55">
        <v>45901</v>
      </c>
      <c r="K6" s="53" t="s">
        <v>587</v>
      </c>
      <c r="L6" s="207">
        <v>89212974613</v>
      </c>
      <c r="M6" s="53" t="s">
        <v>518</v>
      </c>
      <c r="N6" s="271"/>
      <c r="O6" s="57">
        <v>4375</v>
      </c>
      <c r="P6" s="57"/>
      <c r="Q6" s="57"/>
      <c r="R6" s="168" t="s">
        <v>417</v>
      </c>
      <c r="S6" s="94">
        <v>41000</v>
      </c>
      <c r="T6" s="61">
        <f t="shared" si="0"/>
        <v>179375</v>
      </c>
    </row>
    <row r="7" spans="1:196" s="63" customFormat="1" ht="13.5" customHeight="1" x14ac:dyDescent="0.25">
      <c r="A7" s="65" t="s">
        <v>1670</v>
      </c>
      <c r="B7" s="57" t="s">
        <v>1618</v>
      </c>
      <c r="C7" s="57" t="s">
        <v>164</v>
      </c>
      <c r="D7" s="10" t="s">
        <v>306</v>
      </c>
      <c r="E7" s="167" t="s">
        <v>1607</v>
      </c>
      <c r="F7" s="57">
        <v>4375</v>
      </c>
      <c r="G7" s="65">
        <v>175</v>
      </c>
      <c r="H7" s="65" t="s">
        <v>165</v>
      </c>
      <c r="I7" s="55" t="s">
        <v>1263</v>
      </c>
      <c r="J7" s="55">
        <v>45901</v>
      </c>
      <c r="K7" s="53" t="s">
        <v>587</v>
      </c>
      <c r="L7" s="207">
        <v>89212974613</v>
      </c>
      <c r="M7" s="53" t="s">
        <v>518</v>
      </c>
      <c r="N7" s="271"/>
      <c r="O7" s="57">
        <v>4375</v>
      </c>
      <c r="P7" s="57"/>
      <c r="Q7" s="57"/>
      <c r="R7" s="168" t="s">
        <v>417</v>
      </c>
      <c r="S7" s="94">
        <v>41000</v>
      </c>
      <c r="T7" s="61">
        <f t="shared" si="0"/>
        <v>179375</v>
      </c>
    </row>
    <row r="8" spans="1:196" s="63" customFormat="1" ht="13.5" customHeight="1" x14ac:dyDescent="0.25">
      <c r="A8" s="65" t="s">
        <v>1670</v>
      </c>
      <c r="B8" s="57" t="s">
        <v>1618</v>
      </c>
      <c r="C8" s="57" t="s">
        <v>164</v>
      </c>
      <c r="D8" s="10" t="s">
        <v>306</v>
      </c>
      <c r="E8" s="167" t="s">
        <v>1608</v>
      </c>
      <c r="F8" s="57">
        <v>4375</v>
      </c>
      <c r="G8" s="65">
        <v>175</v>
      </c>
      <c r="H8" s="65" t="s">
        <v>165</v>
      </c>
      <c r="I8" s="55" t="s">
        <v>1263</v>
      </c>
      <c r="J8" s="55">
        <v>45901</v>
      </c>
      <c r="K8" s="53" t="s">
        <v>587</v>
      </c>
      <c r="L8" s="207">
        <v>89212974613</v>
      </c>
      <c r="M8" s="53" t="s">
        <v>518</v>
      </c>
      <c r="N8" s="271"/>
      <c r="O8" s="57">
        <v>4375</v>
      </c>
      <c r="P8" s="57"/>
      <c r="Q8" s="57"/>
      <c r="R8" s="168" t="s">
        <v>417</v>
      </c>
      <c r="S8" s="94">
        <v>41000</v>
      </c>
      <c r="T8" s="61">
        <f t="shared" si="0"/>
        <v>179375</v>
      </c>
    </row>
    <row r="9" spans="1:196" s="63" customFormat="1" ht="13.5" customHeight="1" x14ac:dyDescent="0.25">
      <c r="A9" s="65" t="s">
        <v>1670</v>
      </c>
      <c r="B9" s="57" t="s">
        <v>1618</v>
      </c>
      <c r="C9" s="57" t="s">
        <v>164</v>
      </c>
      <c r="D9" s="10" t="s">
        <v>306</v>
      </c>
      <c r="E9" s="167" t="s">
        <v>1609</v>
      </c>
      <c r="F9" s="57">
        <v>4375</v>
      </c>
      <c r="G9" s="65">
        <v>175</v>
      </c>
      <c r="H9" s="65" t="s">
        <v>165</v>
      </c>
      <c r="I9" s="55" t="s">
        <v>1263</v>
      </c>
      <c r="J9" s="55">
        <v>45901</v>
      </c>
      <c r="K9" s="53" t="s">
        <v>587</v>
      </c>
      <c r="L9" s="207">
        <v>89212974613</v>
      </c>
      <c r="M9" s="53" t="s">
        <v>518</v>
      </c>
      <c r="N9" s="271"/>
      <c r="O9" s="57">
        <v>4375</v>
      </c>
      <c r="P9" s="57"/>
      <c r="Q9" s="57"/>
      <c r="R9" s="168" t="s">
        <v>417</v>
      </c>
      <c r="S9" s="94">
        <v>41000</v>
      </c>
      <c r="T9" s="61">
        <f t="shared" si="0"/>
        <v>179375</v>
      </c>
    </row>
    <row r="10" spans="1:196" s="63" customFormat="1" ht="13.5" customHeight="1" x14ac:dyDescent="0.25">
      <c r="A10" s="65" t="s">
        <v>1670</v>
      </c>
      <c r="B10" s="57" t="s">
        <v>1618</v>
      </c>
      <c r="C10" s="57" t="s">
        <v>164</v>
      </c>
      <c r="D10" s="10" t="s">
        <v>306</v>
      </c>
      <c r="E10" s="167" t="s">
        <v>1610</v>
      </c>
      <c r="F10" s="57">
        <v>1750</v>
      </c>
      <c r="G10" s="65">
        <v>70</v>
      </c>
      <c r="H10" s="65" t="s">
        <v>165</v>
      </c>
      <c r="I10" s="55" t="s">
        <v>1263</v>
      </c>
      <c r="J10" s="55">
        <v>45901</v>
      </c>
      <c r="K10" s="53" t="s">
        <v>587</v>
      </c>
      <c r="L10" s="207">
        <v>89212974613</v>
      </c>
      <c r="M10" s="53" t="s">
        <v>518</v>
      </c>
      <c r="N10" s="271"/>
      <c r="O10" s="57">
        <v>1750</v>
      </c>
      <c r="P10" s="57"/>
      <c r="Q10" s="57"/>
      <c r="R10" s="168" t="s">
        <v>417</v>
      </c>
      <c r="S10" s="94">
        <v>41000</v>
      </c>
      <c r="T10" s="61">
        <f t="shared" si="0"/>
        <v>71750</v>
      </c>
    </row>
    <row r="11" spans="1:196" s="63" customFormat="1" ht="13.5" customHeight="1" x14ac:dyDescent="0.25">
      <c r="A11" s="65" t="s">
        <v>311</v>
      </c>
      <c r="B11" s="57" t="s">
        <v>1578</v>
      </c>
      <c r="C11" s="57" t="s">
        <v>730</v>
      </c>
      <c r="D11" s="10" t="s">
        <v>267</v>
      </c>
      <c r="E11" s="56" t="s">
        <v>1648</v>
      </c>
      <c r="F11" s="57">
        <v>17600</v>
      </c>
      <c r="G11" s="65">
        <v>88</v>
      </c>
      <c r="H11" s="65" t="s">
        <v>732</v>
      </c>
      <c r="I11" s="65" t="s">
        <v>1263</v>
      </c>
      <c r="J11" s="55">
        <v>45901</v>
      </c>
      <c r="K11" s="53" t="s">
        <v>1658</v>
      </c>
      <c r="L11" s="289">
        <v>89200569667</v>
      </c>
      <c r="M11" s="53" t="s">
        <v>1657</v>
      </c>
      <c r="N11" s="212"/>
      <c r="O11" s="57"/>
      <c r="P11" s="57"/>
      <c r="Q11" s="57">
        <v>17600</v>
      </c>
      <c r="R11" s="53" t="s">
        <v>417</v>
      </c>
      <c r="S11" s="94">
        <v>369000</v>
      </c>
      <c r="T11" s="61">
        <f t="shared" si="0"/>
        <v>6494400.0000000009</v>
      </c>
    </row>
    <row r="12" spans="1:196" s="63" customFormat="1" ht="13.5" customHeight="1" x14ac:dyDescent="0.25">
      <c r="A12" s="65" t="s">
        <v>311</v>
      </c>
      <c r="B12" s="57" t="s">
        <v>1580</v>
      </c>
      <c r="C12" s="57" t="s">
        <v>730</v>
      </c>
      <c r="D12" s="10" t="s">
        <v>267</v>
      </c>
      <c r="E12" s="56" t="s">
        <v>1649</v>
      </c>
      <c r="F12" s="57">
        <v>17600</v>
      </c>
      <c r="G12" s="65">
        <v>88</v>
      </c>
      <c r="H12" s="65" t="s">
        <v>732</v>
      </c>
      <c r="I12" s="65" t="s">
        <v>1263</v>
      </c>
      <c r="J12" s="55">
        <v>45902</v>
      </c>
      <c r="K12" s="53" t="s">
        <v>1663</v>
      </c>
      <c r="L12" s="62">
        <v>89211459714</v>
      </c>
      <c r="M12" s="53" t="s">
        <v>1662</v>
      </c>
      <c r="N12" s="212"/>
      <c r="O12" s="57"/>
      <c r="P12" s="57"/>
      <c r="Q12" s="57">
        <v>17600</v>
      </c>
      <c r="R12" s="53" t="s">
        <v>417</v>
      </c>
      <c r="S12" s="94">
        <v>369000</v>
      </c>
      <c r="T12" s="61">
        <f t="shared" si="0"/>
        <v>6494400.0000000009</v>
      </c>
    </row>
    <row r="13" spans="1:196" s="63" customFormat="1" ht="13.5" customHeight="1" x14ac:dyDescent="0.25">
      <c r="A13" s="65" t="s">
        <v>316</v>
      </c>
      <c r="B13" s="57" t="s">
        <v>1619</v>
      </c>
      <c r="C13" s="57" t="s">
        <v>164</v>
      </c>
      <c r="D13" s="10" t="s">
        <v>306</v>
      </c>
      <c r="E13" s="167" t="s">
        <v>1610</v>
      </c>
      <c r="F13" s="57">
        <v>2625</v>
      </c>
      <c r="G13" s="65">
        <v>105</v>
      </c>
      <c r="H13" s="65" t="s">
        <v>165</v>
      </c>
      <c r="I13" s="55" t="s">
        <v>1263</v>
      </c>
      <c r="J13" s="55">
        <v>45902</v>
      </c>
      <c r="K13" s="53" t="s">
        <v>1661</v>
      </c>
      <c r="L13" s="207">
        <v>89162954327</v>
      </c>
      <c r="M13" s="53" t="s">
        <v>1660</v>
      </c>
      <c r="N13" s="271"/>
      <c r="O13" s="57">
        <v>2625</v>
      </c>
      <c r="P13" s="57"/>
      <c r="Q13" s="57"/>
      <c r="R13" s="168" t="s">
        <v>417</v>
      </c>
      <c r="S13" s="94">
        <v>41000</v>
      </c>
      <c r="T13" s="61">
        <f t="shared" si="0"/>
        <v>107625</v>
      </c>
    </row>
    <row r="14" spans="1:196" s="63" customFormat="1" ht="13.5" customHeight="1" x14ac:dyDescent="0.25">
      <c r="A14" s="65" t="s">
        <v>316</v>
      </c>
      <c r="B14" s="57" t="s">
        <v>1619</v>
      </c>
      <c r="C14" s="57" t="s">
        <v>164</v>
      </c>
      <c r="D14" s="10" t="s">
        <v>306</v>
      </c>
      <c r="E14" s="167" t="s">
        <v>1611</v>
      </c>
      <c r="F14" s="57">
        <v>4375</v>
      </c>
      <c r="G14" s="65">
        <v>175</v>
      </c>
      <c r="H14" s="65" t="s">
        <v>165</v>
      </c>
      <c r="I14" s="55" t="s">
        <v>1263</v>
      </c>
      <c r="J14" s="55">
        <v>45902</v>
      </c>
      <c r="K14" s="53" t="s">
        <v>1661</v>
      </c>
      <c r="L14" s="207">
        <v>89162954327</v>
      </c>
      <c r="M14" s="53" t="s">
        <v>1660</v>
      </c>
      <c r="N14" s="271"/>
      <c r="O14" s="57">
        <v>4375</v>
      </c>
      <c r="P14" s="57"/>
      <c r="Q14" s="57"/>
      <c r="R14" s="168" t="s">
        <v>417</v>
      </c>
      <c r="S14" s="94">
        <v>41000</v>
      </c>
      <c r="T14" s="61">
        <f t="shared" si="0"/>
        <v>179375</v>
      </c>
    </row>
    <row r="15" spans="1:196" x14ac:dyDescent="0.25">
      <c r="A15" s="65" t="s">
        <v>316</v>
      </c>
      <c r="B15" s="57" t="s">
        <v>1619</v>
      </c>
      <c r="C15" s="57" t="s">
        <v>164</v>
      </c>
      <c r="D15" s="10" t="s">
        <v>306</v>
      </c>
      <c r="E15" s="167" t="s">
        <v>1612</v>
      </c>
      <c r="F15" s="57">
        <v>4375</v>
      </c>
      <c r="G15" s="65">
        <v>175</v>
      </c>
      <c r="H15" s="65" t="s">
        <v>165</v>
      </c>
      <c r="I15" s="55" t="s">
        <v>1263</v>
      </c>
      <c r="J15" s="55">
        <v>45902</v>
      </c>
      <c r="K15" s="53" t="s">
        <v>1661</v>
      </c>
      <c r="L15" s="207">
        <v>89162954327</v>
      </c>
      <c r="M15" s="53" t="s">
        <v>1660</v>
      </c>
      <c r="N15" s="271"/>
      <c r="O15" s="57">
        <v>4375</v>
      </c>
      <c r="P15" s="57"/>
      <c r="Q15" s="57"/>
      <c r="R15" s="168" t="s">
        <v>417</v>
      </c>
      <c r="S15" s="94">
        <v>41000</v>
      </c>
      <c r="T15" s="61">
        <f t="shared" si="0"/>
        <v>179375</v>
      </c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63"/>
      <c r="CA15" s="63"/>
      <c r="CB15" s="63"/>
      <c r="CC15" s="63"/>
      <c r="CD15" s="63"/>
      <c r="CE15" s="63"/>
      <c r="CF15" s="63"/>
      <c r="CG15" s="63"/>
      <c r="CH15" s="63"/>
      <c r="CI15" s="63"/>
      <c r="CJ15" s="63"/>
      <c r="CK15" s="63"/>
      <c r="CL15" s="63"/>
      <c r="CM15" s="63"/>
      <c r="CN15" s="63"/>
      <c r="CO15" s="63"/>
      <c r="CP15" s="63"/>
      <c r="CQ15" s="63"/>
      <c r="CR15" s="63"/>
      <c r="CS15" s="63"/>
      <c r="CT15" s="63"/>
      <c r="CU15" s="63"/>
      <c r="CV15" s="63"/>
      <c r="CW15" s="63"/>
      <c r="CX15" s="63"/>
      <c r="CY15" s="63"/>
      <c r="CZ15" s="63"/>
      <c r="DA15" s="63"/>
      <c r="DB15" s="63"/>
      <c r="DC15" s="63"/>
      <c r="DD15" s="63"/>
      <c r="DE15" s="63"/>
      <c r="DF15" s="63"/>
      <c r="DG15" s="63"/>
      <c r="DH15" s="63"/>
      <c r="DI15" s="63"/>
      <c r="DJ15" s="63"/>
      <c r="DK15" s="63"/>
      <c r="DL15" s="63"/>
      <c r="DM15" s="63"/>
      <c r="DN15" s="63"/>
      <c r="DO15" s="63"/>
      <c r="DP15" s="63"/>
      <c r="DQ15" s="63"/>
      <c r="DR15" s="63"/>
      <c r="DS15" s="63"/>
      <c r="DT15" s="63"/>
      <c r="DU15" s="63"/>
      <c r="DV15" s="63"/>
      <c r="DW15" s="63"/>
      <c r="DX15" s="63"/>
      <c r="DY15" s="63"/>
      <c r="DZ15" s="63"/>
      <c r="EA15" s="63"/>
      <c r="EB15" s="63"/>
      <c r="EC15" s="63"/>
      <c r="ED15" s="63"/>
      <c r="EE15" s="63"/>
      <c r="EF15" s="63"/>
      <c r="EG15" s="63"/>
      <c r="EH15" s="63"/>
      <c r="EI15" s="63"/>
      <c r="EJ15" s="63"/>
      <c r="EK15" s="63"/>
      <c r="EL15" s="63"/>
      <c r="EM15" s="63"/>
      <c r="EN15" s="63"/>
      <c r="EO15" s="63"/>
      <c r="EP15" s="63"/>
      <c r="EQ15" s="63"/>
      <c r="ER15" s="63"/>
      <c r="ES15" s="63"/>
      <c r="ET15" s="63"/>
      <c r="EU15" s="63"/>
      <c r="EV15" s="63"/>
      <c r="EW15" s="63"/>
      <c r="EX15" s="63"/>
      <c r="EY15" s="63"/>
      <c r="EZ15" s="63"/>
      <c r="FA15" s="63"/>
      <c r="FB15" s="63"/>
      <c r="FC15" s="63"/>
      <c r="FD15" s="63"/>
      <c r="FE15" s="63"/>
      <c r="FF15" s="63"/>
      <c r="FG15" s="63"/>
      <c r="FH15" s="63"/>
      <c r="FI15" s="63"/>
      <c r="FJ15" s="63"/>
      <c r="FK15" s="63"/>
      <c r="FL15" s="63"/>
      <c r="FM15" s="63"/>
      <c r="FN15" s="63"/>
      <c r="FO15" s="63"/>
      <c r="FP15" s="63"/>
      <c r="FQ15" s="63"/>
      <c r="FR15" s="63"/>
      <c r="FS15" s="63"/>
      <c r="FT15" s="63"/>
      <c r="FU15" s="63"/>
      <c r="FV15" s="63"/>
      <c r="FW15" s="63"/>
      <c r="FX15" s="63"/>
      <c r="FY15" s="63"/>
      <c r="FZ15" s="63"/>
      <c r="GA15" s="63"/>
      <c r="GB15" s="63"/>
      <c r="GC15" s="63"/>
      <c r="GD15" s="63"/>
      <c r="GE15" s="63"/>
      <c r="GF15" s="63"/>
      <c r="GG15" s="63"/>
      <c r="GH15" s="63"/>
      <c r="GI15" s="63"/>
      <c r="GJ15" s="63"/>
      <c r="GK15" s="63"/>
      <c r="GL15" s="63"/>
      <c r="GM15" s="63"/>
      <c r="GN15" s="63"/>
    </row>
    <row r="16" spans="1:196" x14ac:dyDescent="0.25">
      <c r="A16" s="65" t="s">
        <v>316</v>
      </c>
      <c r="B16" s="57" t="s">
        <v>1619</v>
      </c>
      <c r="C16" s="57" t="s">
        <v>164</v>
      </c>
      <c r="D16" s="10" t="s">
        <v>306</v>
      </c>
      <c r="E16" s="167" t="s">
        <v>1613</v>
      </c>
      <c r="F16" s="57">
        <v>4375</v>
      </c>
      <c r="G16" s="65">
        <v>175</v>
      </c>
      <c r="H16" s="65" t="s">
        <v>165</v>
      </c>
      <c r="I16" s="55" t="s">
        <v>1263</v>
      </c>
      <c r="J16" s="55">
        <v>45902</v>
      </c>
      <c r="K16" s="53" t="s">
        <v>1661</v>
      </c>
      <c r="L16" s="207">
        <v>89162954327</v>
      </c>
      <c r="M16" s="53" t="s">
        <v>1660</v>
      </c>
      <c r="N16" s="271"/>
      <c r="O16" s="57">
        <v>4375</v>
      </c>
      <c r="P16" s="57"/>
      <c r="Q16" s="57"/>
      <c r="R16" s="168" t="s">
        <v>417</v>
      </c>
      <c r="S16" s="94">
        <v>41000</v>
      </c>
      <c r="T16" s="61">
        <f t="shared" si="0"/>
        <v>179375</v>
      </c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63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63"/>
      <c r="CL16" s="63"/>
      <c r="CM16" s="63"/>
      <c r="CN16" s="63"/>
      <c r="CO16" s="63"/>
      <c r="CP16" s="63"/>
      <c r="CQ16" s="63"/>
      <c r="CR16" s="63"/>
      <c r="CS16" s="63"/>
      <c r="CT16" s="63"/>
      <c r="CU16" s="63"/>
      <c r="CV16" s="63"/>
      <c r="CW16" s="63"/>
      <c r="CX16" s="63"/>
      <c r="CY16" s="63"/>
      <c r="CZ16" s="63"/>
      <c r="DA16" s="63"/>
      <c r="DB16" s="63"/>
      <c r="DC16" s="63"/>
      <c r="DD16" s="63"/>
      <c r="DE16" s="63"/>
      <c r="DF16" s="63"/>
      <c r="DG16" s="63"/>
      <c r="DH16" s="63"/>
      <c r="DI16" s="63"/>
      <c r="DJ16" s="63"/>
      <c r="DK16" s="63"/>
      <c r="DL16" s="63"/>
      <c r="DM16" s="63"/>
      <c r="DN16" s="63"/>
      <c r="DO16" s="63"/>
      <c r="DP16" s="63"/>
      <c r="DQ16" s="63"/>
      <c r="DR16" s="63"/>
      <c r="DS16" s="63"/>
      <c r="DT16" s="63"/>
      <c r="DU16" s="63"/>
      <c r="DV16" s="63"/>
      <c r="DW16" s="63"/>
      <c r="DX16" s="63"/>
      <c r="DY16" s="63"/>
      <c r="DZ16" s="63"/>
      <c r="EA16" s="63"/>
      <c r="EB16" s="63"/>
      <c r="EC16" s="63"/>
      <c r="ED16" s="63"/>
      <c r="EE16" s="63"/>
      <c r="EF16" s="63"/>
      <c r="EG16" s="63"/>
      <c r="EH16" s="63"/>
      <c r="EI16" s="63"/>
      <c r="EJ16" s="63"/>
      <c r="EK16" s="63"/>
      <c r="EL16" s="63"/>
      <c r="EM16" s="63"/>
      <c r="EN16" s="63"/>
      <c r="EO16" s="63"/>
      <c r="EP16" s="63"/>
      <c r="EQ16" s="63"/>
      <c r="ER16" s="63"/>
      <c r="ES16" s="63"/>
      <c r="ET16" s="63"/>
      <c r="EU16" s="63"/>
      <c r="EV16" s="63"/>
      <c r="EW16" s="63"/>
      <c r="EX16" s="63"/>
      <c r="EY16" s="63"/>
      <c r="EZ16" s="63"/>
      <c r="FA16" s="63"/>
      <c r="FB16" s="63"/>
      <c r="FC16" s="63"/>
      <c r="FD16" s="63"/>
      <c r="FE16" s="63"/>
      <c r="FF16" s="63"/>
      <c r="FG16" s="63"/>
      <c r="FH16" s="63"/>
      <c r="FI16" s="63"/>
      <c r="FJ16" s="63"/>
      <c r="FK16" s="63"/>
      <c r="FL16" s="63"/>
      <c r="FM16" s="63"/>
      <c r="FN16" s="63"/>
      <c r="FO16" s="63"/>
      <c r="FP16" s="63"/>
      <c r="FQ16" s="63"/>
      <c r="FR16" s="63"/>
      <c r="FS16" s="63"/>
      <c r="FT16" s="63"/>
      <c r="FU16" s="63"/>
      <c r="FV16" s="63"/>
      <c r="FW16" s="63"/>
      <c r="FX16" s="63"/>
      <c r="FY16" s="63"/>
      <c r="FZ16" s="63"/>
      <c r="GA16" s="63"/>
      <c r="GB16" s="63"/>
      <c r="GC16" s="63"/>
      <c r="GD16" s="63"/>
      <c r="GE16" s="63"/>
      <c r="GF16" s="63"/>
      <c r="GG16" s="63"/>
      <c r="GH16" s="63"/>
      <c r="GI16" s="63"/>
      <c r="GJ16" s="63"/>
      <c r="GK16" s="63"/>
      <c r="GL16" s="63"/>
      <c r="GM16" s="63"/>
      <c r="GN16" s="63"/>
    </row>
    <row r="17" spans="1:196" x14ac:dyDescent="0.25">
      <c r="A17" s="65" t="s">
        <v>316</v>
      </c>
      <c r="B17" s="57" t="s">
        <v>1619</v>
      </c>
      <c r="C17" s="57" t="s">
        <v>164</v>
      </c>
      <c r="D17" s="10" t="s">
        <v>306</v>
      </c>
      <c r="E17" s="167" t="s">
        <v>1614</v>
      </c>
      <c r="F17" s="57">
        <v>4375</v>
      </c>
      <c r="G17" s="65">
        <v>175</v>
      </c>
      <c r="H17" s="65" t="s">
        <v>165</v>
      </c>
      <c r="I17" s="55" t="s">
        <v>1263</v>
      </c>
      <c r="J17" s="55">
        <v>45902</v>
      </c>
      <c r="K17" s="53" t="s">
        <v>1661</v>
      </c>
      <c r="L17" s="207">
        <v>89162954327</v>
      </c>
      <c r="M17" s="53" t="s">
        <v>1660</v>
      </c>
      <c r="N17" s="271"/>
      <c r="O17" s="57">
        <v>4375</v>
      </c>
      <c r="P17" s="57"/>
      <c r="Q17" s="57"/>
      <c r="R17" s="168" t="s">
        <v>417</v>
      </c>
      <c r="S17" s="94">
        <v>41000</v>
      </c>
      <c r="T17" s="61">
        <f t="shared" si="0"/>
        <v>179375</v>
      </c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3"/>
      <c r="CH17" s="63"/>
      <c r="CI17" s="63"/>
      <c r="CJ17" s="63"/>
      <c r="CK17" s="63"/>
      <c r="CL17" s="63"/>
      <c r="CM17" s="63"/>
      <c r="CN17" s="63"/>
      <c r="CO17" s="63"/>
      <c r="CP17" s="63"/>
      <c r="CQ17" s="63"/>
      <c r="CR17" s="63"/>
      <c r="CS17" s="63"/>
      <c r="CT17" s="63"/>
      <c r="CU17" s="63"/>
      <c r="CV17" s="63"/>
      <c r="CW17" s="63"/>
      <c r="CX17" s="63"/>
      <c r="CY17" s="63"/>
      <c r="CZ17" s="63"/>
      <c r="DA17" s="63"/>
      <c r="DB17" s="63"/>
      <c r="DC17" s="63"/>
      <c r="DD17" s="63"/>
      <c r="DE17" s="63"/>
      <c r="DF17" s="63"/>
      <c r="DG17" s="63"/>
      <c r="DH17" s="63"/>
      <c r="DI17" s="63"/>
      <c r="DJ17" s="63"/>
      <c r="DK17" s="63"/>
      <c r="DL17" s="63"/>
      <c r="DM17" s="63"/>
      <c r="DN17" s="63"/>
      <c r="DO17" s="63"/>
      <c r="DP17" s="63"/>
      <c r="DQ17" s="63"/>
      <c r="DR17" s="63"/>
      <c r="DS17" s="63"/>
      <c r="DT17" s="63"/>
      <c r="DU17" s="63"/>
      <c r="DV17" s="63"/>
      <c r="DW17" s="63"/>
      <c r="DX17" s="63"/>
      <c r="DY17" s="63"/>
      <c r="DZ17" s="63"/>
      <c r="EA17" s="63"/>
      <c r="EB17" s="63"/>
      <c r="EC17" s="63"/>
      <c r="ED17" s="63"/>
      <c r="EE17" s="63"/>
      <c r="EF17" s="63"/>
      <c r="EG17" s="63"/>
      <c r="EH17" s="63"/>
      <c r="EI17" s="63"/>
      <c r="EJ17" s="63"/>
      <c r="EK17" s="63"/>
      <c r="EL17" s="63"/>
      <c r="EM17" s="63"/>
      <c r="EN17" s="63"/>
      <c r="EO17" s="63"/>
      <c r="EP17" s="63"/>
      <c r="EQ17" s="63"/>
      <c r="ER17" s="63"/>
      <c r="ES17" s="63"/>
      <c r="ET17" s="63"/>
      <c r="EU17" s="63"/>
      <c r="EV17" s="63"/>
      <c r="EW17" s="63"/>
      <c r="EX17" s="63"/>
      <c r="EY17" s="63"/>
      <c r="EZ17" s="63"/>
      <c r="FA17" s="63"/>
      <c r="FB17" s="63"/>
      <c r="FC17" s="63"/>
      <c r="FD17" s="63"/>
      <c r="FE17" s="63"/>
      <c r="FF17" s="63"/>
      <c r="FG17" s="63"/>
      <c r="FH17" s="63"/>
      <c r="FI17" s="63"/>
      <c r="FJ17" s="63"/>
      <c r="FK17" s="63"/>
      <c r="FL17" s="63"/>
      <c r="FM17" s="63"/>
      <c r="FN17" s="63"/>
      <c r="FO17" s="63"/>
      <c r="FP17" s="63"/>
      <c r="FQ17" s="63"/>
      <c r="FR17" s="63"/>
      <c r="FS17" s="63"/>
      <c r="FT17" s="63"/>
      <c r="FU17" s="63"/>
      <c r="FV17" s="63"/>
      <c r="FW17" s="63"/>
      <c r="FX17" s="63"/>
      <c r="FY17" s="63"/>
      <c r="FZ17" s="63"/>
      <c r="GA17" s="63"/>
      <c r="GB17" s="63"/>
      <c r="GC17" s="63"/>
      <c r="GD17" s="63"/>
      <c r="GE17" s="63"/>
      <c r="GF17" s="63"/>
      <c r="GG17" s="63"/>
      <c r="GH17" s="63"/>
      <c r="GI17" s="63"/>
      <c r="GJ17" s="63"/>
      <c r="GK17" s="63"/>
      <c r="GL17" s="63"/>
      <c r="GM17" s="63"/>
      <c r="GN17" s="63"/>
    </row>
    <row r="18" spans="1:196" x14ac:dyDescent="0.25">
      <c r="A18" s="65" t="s">
        <v>316</v>
      </c>
      <c r="B18" s="57" t="s">
        <v>1619</v>
      </c>
      <c r="C18" s="57" t="s">
        <v>164</v>
      </c>
      <c r="D18" s="10" t="s">
        <v>306</v>
      </c>
      <c r="E18" s="167" t="s">
        <v>1615</v>
      </c>
      <c r="F18" s="57">
        <v>875</v>
      </c>
      <c r="G18" s="65">
        <v>35</v>
      </c>
      <c r="H18" s="65" t="s">
        <v>165</v>
      </c>
      <c r="I18" s="55" t="s">
        <v>1263</v>
      </c>
      <c r="J18" s="55">
        <v>45902</v>
      </c>
      <c r="K18" s="53" t="s">
        <v>1661</v>
      </c>
      <c r="L18" s="207">
        <v>89162954327</v>
      </c>
      <c r="M18" s="53" t="s">
        <v>1660</v>
      </c>
      <c r="N18" s="271"/>
      <c r="O18" s="57">
        <v>875</v>
      </c>
      <c r="P18" s="57"/>
      <c r="Q18" s="57"/>
      <c r="R18" s="168" t="s">
        <v>417</v>
      </c>
      <c r="S18" s="94">
        <v>41000</v>
      </c>
      <c r="T18" s="61">
        <f t="shared" si="0"/>
        <v>35875</v>
      </c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3"/>
      <c r="CH18" s="63"/>
      <c r="CI18" s="63"/>
      <c r="CJ18" s="63"/>
      <c r="CK18" s="63"/>
      <c r="CL18" s="63"/>
      <c r="CM18" s="63"/>
      <c r="CN18" s="63"/>
      <c r="CO18" s="63"/>
      <c r="CP18" s="63"/>
      <c r="CQ18" s="63"/>
      <c r="CR18" s="63"/>
      <c r="CS18" s="63"/>
      <c r="CT18" s="63"/>
      <c r="CU18" s="63"/>
      <c r="CV18" s="63"/>
      <c r="CW18" s="63"/>
      <c r="CX18" s="63"/>
      <c r="CY18" s="63"/>
      <c r="CZ18" s="63"/>
      <c r="DA18" s="63"/>
      <c r="DB18" s="63"/>
      <c r="DC18" s="63"/>
      <c r="DD18" s="63"/>
      <c r="DE18" s="63"/>
      <c r="DF18" s="63"/>
      <c r="DG18" s="63"/>
      <c r="DH18" s="63"/>
      <c r="DI18" s="63"/>
      <c r="DJ18" s="63"/>
      <c r="DK18" s="63"/>
      <c r="DL18" s="63"/>
      <c r="DM18" s="63"/>
      <c r="DN18" s="63"/>
      <c r="DO18" s="63"/>
      <c r="DP18" s="63"/>
      <c r="DQ18" s="63"/>
      <c r="DR18" s="63"/>
      <c r="DS18" s="63"/>
      <c r="DT18" s="63"/>
      <c r="DU18" s="63"/>
      <c r="DV18" s="63"/>
      <c r="DW18" s="63"/>
      <c r="DX18" s="63"/>
      <c r="DY18" s="63"/>
      <c r="DZ18" s="63"/>
      <c r="EA18" s="63"/>
      <c r="EB18" s="63"/>
      <c r="EC18" s="63"/>
      <c r="ED18" s="63"/>
      <c r="EE18" s="63"/>
      <c r="EF18" s="63"/>
      <c r="EG18" s="63"/>
      <c r="EH18" s="63"/>
      <c r="EI18" s="63"/>
      <c r="EJ18" s="63"/>
      <c r="EK18" s="63"/>
      <c r="EL18" s="63"/>
      <c r="EM18" s="63"/>
      <c r="EN18" s="63"/>
      <c r="EO18" s="63"/>
      <c r="EP18" s="63"/>
      <c r="EQ18" s="63"/>
      <c r="ER18" s="63"/>
      <c r="ES18" s="63"/>
      <c r="ET18" s="63"/>
      <c r="EU18" s="63"/>
      <c r="EV18" s="63"/>
      <c r="EW18" s="63"/>
      <c r="EX18" s="63"/>
      <c r="EY18" s="63"/>
      <c r="EZ18" s="63"/>
      <c r="FA18" s="63"/>
      <c r="FB18" s="63"/>
      <c r="FC18" s="63"/>
      <c r="FD18" s="63"/>
      <c r="FE18" s="63"/>
      <c r="FF18" s="63"/>
      <c r="FG18" s="63"/>
      <c r="FH18" s="63"/>
      <c r="FI18" s="63"/>
      <c r="FJ18" s="63"/>
      <c r="FK18" s="63"/>
      <c r="FL18" s="63"/>
      <c r="FM18" s="63"/>
      <c r="FN18" s="63"/>
      <c r="FO18" s="63"/>
      <c r="FP18" s="63"/>
      <c r="FQ18" s="63"/>
      <c r="FR18" s="63"/>
      <c r="FS18" s="63"/>
      <c r="FT18" s="63"/>
      <c r="FU18" s="63"/>
      <c r="FV18" s="63"/>
      <c r="FW18" s="63"/>
      <c r="FX18" s="63"/>
      <c r="FY18" s="63"/>
      <c r="FZ18" s="63"/>
      <c r="GA18" s="63"/>
      <c r="GB18" s="63"/>
      <c r="GC18" s="63"/>
      <c r="GD18" s="63"/>
      <c r="GE18" s="63"/>
      <c r="GF18" s="63"/>
      <c r="GG18" s="63"/>
      <c r="GH18" s="63"/>
      <c r="GI18" s="63"/>
      <c r="GJ18" s="63"/>
      <c r="GK18" s="63"/>
      <c r="GL18" s="63"/>
      <c r="GM18" s="63"/>
      <c r="GN18" s="63"/>
    </row>
    <row r="19" spans="1:196" s="63" customFormat="1" ht="13.5" customHeight="1" x14ac:dyDescent="0.25">
      <c r="A19" s="65" t="s">
        <v>997</v>
      </c>
      <c r="B19" s="57" t="s">
        <v>1625</v>
      </c>
      <c r="C19" s="57" t="s">
        <v>730</v>
      </c>
      <c r="D19" s="10" t="s">
        <v>1426</v>
      </c>
      <c r="E19" s="56" t="s">
        <v>1624</v>
      </c>
      <c r="F19" s="57">
        <v>18964</v>
      </c>
      <c r="G19" s="65">
        <v>88</v>
      </c>
      <c r="H19" s="65" t="s">
        <v>500</v>
      </c>
      <c r="I19" s="65" t="s">
        <v>1263</v>
      </c>
      <c r="J19" s="55">
        <v>45902</v>
      </c>
      <c r="K19" s="53" t="s">
        <v>1066</v>
      </c>
      <c r="L19" s="207">
        <v>89080063420</v>
      </c>
      <c r="M19" s="53" t="s">
        <v>1132</v>
      </c>
      <c r="N19" s="212"/>
      <c r="O19" s="53"/>
      <c r="P19" s="57"/>
      <c r="Q19" s="57">
        <v>18964</v>
      </c>
      <c r="R19" s="53" t="s">
        <v>417</v>
      </c>
      <c r="S19" s="94">
        <v>89000</v>
      </c>
      <c r="T19" s="61">
        <f t="shared" si="0"/>
        <v>1687795.9999999998</v>
      </c>
    </row>
    <row r="20" spans="1:196" s="63" customFormat="1" ht="13.5" customHeight="1" x14ac:dyDescent="0.25">
      <c r="A20" s="65" t="s">
        <v>311</v>
      </c>
      <c r="B20" s="57" t="s">
        <v>1620</v>
      </c>
      <c r="C20" s="57" t="s">
        <v>164</v>
      </c>
      <c r="D20" s="10" t="s">
        <v>232</v>
      </c>
      <c r="E20" s="167" t="s">
        <v>1659</v>
      </c>
      <c r="F20" s="57">
        <v>17500</v>
      </c>
      <c r="G20" s="65">
        <v>700</v>
      </c>
      <c r="H20" s="65" t="s">
        <v>165</v>
      </c>
      <c r="I20" s="55" t="s">
        <v>1263</v>
      </c>
      <c r="J20" s="55">
        <v>45905</v>
      </c>
      <c r="K20" s="53" t="s">
        <v>1672</v>
      </c>
      <c r="L20" s="207">
        <v>89220214604</v>
      </c>
      <c r="M20" s="53" t="s">
        <v>1671</v>
      </c>
      <c r="N20" s="271"/>
      <c r="O20" s="57"/>
      <c r="P20" s="57">
        <v>17500</v>
      </c>
      <c r="Q20" s="57"/>
      <c r="R20" s="168" t="s">
        <v>417</v>
      </c>
      <c r="S20" s="94">
        <v>265000</v>
      </c>
      <c r="T20" s="61">
        <f t="shared" si="0"/>
        <v>4637500</v>
      </c>
    </row>
    <row r="21" spans="1:196" x14ac:dyDescent="0.25">
      <c r="A21" s="65" t="s">
        <v>311</v>
      </c>
      <c r="B21" s="57" t="s">
        <v>1620</v>
      </c>
      <c r="C21" s="57" t="s">
        <v>164</v>
      </c>
      <c r="D21" s="10" t="s">
        <v>306</v>
      </c>
      <c r="E21" s="167" t="s">
        <v>1615</v>
      </c>
      <c r="F21" s="57">
        <v>3500</v>
      </c>
      <c r="G21" s="65">
        <v>140</v>
      </c>
      <c r="H21" s="65" t="s">
        <v>165</v>
      </c>
      <c r="I21" s="55" t="s">
        <v>1263</v>
      </c>
      <c r="J21" s="55">
        <v>45905</v>
      </c>
      <c r="K21" s="53" t="s">
        <v>1672</v>
      </c>
      <c r="L21" s="207">
        <v>89220214604</v>
      </c>
      <c r="M21" s="53" t="s">
        <v>1671</v>
      </c>
      <c r="N21" s="271"/>
      <c r="O21" s="57">
        <v>3500</v>
      </c>
      <c r="P21" s="57"/>
      <c r="Q21" s="57"/>
      <c r="R21" s="168" t="s">
        <v>417</v>
      </c>
      <c r="S21" s="94">
        <v>41000</v>
      </c>
      <c r="T21" s="61">
        <f t="shared" si="0"/>
        <v>143500</v>
      </c>
    </row>
    <row r="22" spans="1:196" s="63" customFormat="1" ht="13.5" customHeight="1" x14ac:dyDescent="0.25">
      <c r="A22" s="65" t="s">
        <v>311</v>
      </c>
      <c r="B22" s="57" t="s">
        <v>1516</v>
      </c>
      <c r="C22" s="57" t="s">
        <v>451</v>
      </c>
      <c r="D22" s="93" t="s">
        <v>194</v>
      </c>
      <c r="E22" s="56" t="s">
        <v>1212</v>
      </c>
      <c r="F22" s="92">
        <v>4000</v>
      </c>
      <c r="G22" s="65">
        <v>20</v>
      </c>
      <c r="H22" s="65" t="s">
        <v>165</v>
      </c>
      <c r="I22" s="65" t="s">
        <v>1263</v>
      </c>
      <c r="J22" s="55">
        <v>45905</v>
      </c>
      <c r="K22" s="291" t="s">
        <v>1678</v>
      </c>
      <c r="L22" s="248">
        <v>89123368550</v>
      </c>
      <c r="M22" s="62" t="s">
        <v>1677</v>
      </c>
      <c r="N22" s="162"/>
      <c r="O22" s="92"/>
      <c r="P22" s="57"/>
      <c r="Q22" s="92">
        <v>4000</v>
      </c>
      <c r="R22" s="53" t="s">
        <v>417</v>
      </c>
      <c r="S22" s="94">
        <v>105000</v>
      </c>
      <c r="T22" s="61">
        <f t="shared" ref="T22:T24" si="1" xml:space="preserve"> S22*(F22/1000)</f>
        <v>420000</v>
      </c>
    </row>
    <row r="23" spans="1:196" s="63" customFormat="1" ht="13.5" customHeight="1" x14ac:dyDescent="0.25">
      <c r="A23" s="65" t="s">
        <v>311</v>
      </c>
      <c r="B23" s="57" t="s">
        <v>1516</v>
      </c>
      <c r="C23" s="57" t="s">
        <v>451</v>
      </c>
      <c r="D23" s="93" t="s">
        <v>223</v>
      </c>
      <c r="E23" s="56" t="s">
        <v>453</v>
      </c>
      <c r="F23" s="92">
        <v>8000</v>
      </c>
      <c r="G23" s="65">
        <v>320</v>
      </c>
      <c r="H23" s="65" t="s">
        <v>165</v>
      </c>
      <c r="I23" s="65" t="s">
        <v>1263</v>
      </c>
      <c r="J23" s="55">
        <v>45905</v>
      </c>
      <c r="K23" s="291" t="s">
        <v>1678</v>
      </c>
      <c r="L23" s="248">
        <v>89123368550</v>
      </c>
      <c r="M23" s="62" t="s">
        <v>1677</v>
      </c>
      <c r="N23" s="162"/>
      <c r="O23" s="92"/>
      <c r="P23" s="92">
        <v>8000</v>
      </c>
      <c r="Q23" s="92"/>
      <c r="R23" s="53" t="s">
        <v>417</v>
      </c>
      <c r="S23" s="94">
        <v>250000</v>
      </c>
      <c r="T23" s="61">
        <f t="shared" si="1"/>
        <v>2000000</v>
      </c>
    </row>
    <row r="24" spans="1:196" s="63" customFormat="1" ht="13.5" customHeight="1" x14ac:dyDescent="0.25">
      <c r="A24" s="65" t="s">
        <v>311</v>
      </c>
      <c r="B24" s="57" t="s">
        <v>1516</v>
      </c>
      <c r="C24" s="57" t="s">
        <v>451</v>
      </c>
      <c r="D24" s="93" t="s">
        <v>222</v>
      </c>
      <c r="E24" s="56" t="s">
        <v>1075</v>
      </c>
      <c r="F24" s="92">
        <v>8000</v>
      </c>
      <c r="G24" s="65">
        <v>320</v>
      </c>
      <c r="H24" s="65" t="s">
        <v>165</v>
      </c>
      <c r="I24" s="65" t="s">
        <v>1263</v>
      </c>
      <c r="J24" s="55">
        <v>45905</v>
      </c>
      <c r="K24" s="291" t="s">
        <v>1678</v>
      </c>
      <c r="L24" s="248">
        <v>89123368550</v>
      </c>
      <c r="M24" s="62" t="s">
        <v>1677</v>
      </c>
      <c r="N24" s="162"/>
      <c r="O24" s="92">
        <v>8000</v>
      </c>
      <c r="P24" s="57"/>
      <c r="Q24" s="92"/>
      <c r="R24" s="53" t="s">
        <v>417</v>
      </c>
      <c r="S24" s="94">
        <v>43500</v>
      </c>
      <c r="T24" s="61">
        <f t="shared" si="1"/>
        <v>348000</v>
      </c>
    </row>
    <row r="25" spans="1:196" s="63" customFormat="1" ht="13.5" customHeight="1" x14ac:dyDescent="0.25">
      <c r="A25" s="65" t="s">
        <v>316</v>
      </c>
      <c r="B25" s="57" t="s">
        <v>1419</v>
      </c>
      <c r="C25" s="57" t="s">
        <v>451</v>
      </c>
      <c r="D25" s="93" t="s">
        <v>222</v>
      </c>
      <c r="E25" s="56" t="s">
        <v>1075</v>
      </c>
      <c r="F25" s="92">
        <v>20000</v>
      </c>
      <c r="G25" s="65">
        <v>800</v>
      </c>
      <c r="H25" s="65" t="s">
        <v>165</v>
      </c>
      <c r="I25" s="65" t="s">
        <v>1263</v>
      </c>
      <c r="J25" s="55">
        <v>45908</v>
      </c>
      <c r="K25" s="292" t="s">
        <v>1679</v>
      </c>
      <c r="L25" s="248">
        <v>89220464746</v>
      </c>
      <c r="M25" s="62" t="s">
        <v>1237</v>
      </c>
      <c r="N25" s="162"/>
      <c r="O25" s="65">
        <v>20000</v>
      </c>
      <c r="P25" s="57"/>
      <c r="Q25" s="57"/>
      <c r="R25" s="53" t="s">
        <v>417</v>
      </c>
      <c r="S25" s="94">
        <v>43500</v>
      </c>
      <c r="T25" s="61">
        <f t="shared" si="0"/>
        <v>870000</v>
      </c>
    </row>
    <row r="26" spans="1:196" s="63" customFormat="1" ht="13.5" customHeight="1" x14ac:dyDescent="0.25">
      <c r="A26" s="65" t="s">
        <v>311</v>
      </c>
      <c r="B26" s="57" t="s">
        <v>1685</v>
      </c>
      <c r="C26" s="57" t="s">
        <v>451</v>
      </c>
      <c r="D26" s="93" t="s">
        <v>222</v>
      </c>
      <c r="E26" s="56" t="s">
        <v>1075</v>
      </c>
      <c r="F26" s="92">
        <v>20000</v>
      </c>
      <c r="G26" s="65">
        <v>800</v>
      </c>
      <c r="H26" s="65" t="s">
        <v>165</v>
      </c>
      <c r="I26" s="65" t="s">
        <v>1263</v>
      </c>
      <c r="J26" s="55">
        <v>45908</v>
      </c>
      <c r="K26" s="293" t="s">
        <v>1690</v>
      </c>
      <c r="L26" s="248">
        <v>89198650586</v>
      </c>
      <c r="M26" s="62" t="s">
        <v>1691</v>
      </c>
      <c r="N26" s="162"/>
      <c r="O26" s="92">
        <v>20000</v>
      </c>
      <c r="P26" s="57"/>
      <c r="Q26" s="57"/>
      <c r="R26" s="53" t="s">
        <v>417</v>
      </c>
      <c r="S26" s="94">
        <v>43500</v>
      </c>
      <c r="T26" s="61">
        <f t="shared" si="0"/>
        <v>870000</v>
      </c>
    </row>
    <row r="27" spans="1:196" s="63" customFormat="1" ht="13.5" customHeight="1" x14ac:dyDescent="0.25">
      <c r="A27" s="65" t="s">
        <v>316</v>
      </c>
      <c r="B27" s="57" t="s">
        <v>1518</v>
      </c>
      <c r="C27" s="57" t="s">
        <v>451</v>
      </c>
      <c r="D27" s="93" t="s">
        <v>194</v>
      </c>
      <c r="E27" s="56" t="s">
        <v>1212</v>
      </c>
      <c r="F27" s="92">
        <v>12000</v>
      </c>
      <c r="G27" s="65">
        <v>60</v>
      </c>
      <c r="H27" s="65" t="s">
        <v>471</v>
      </c>
      <c r="I27" s="65" t="s">
        <v>1263</v>
      </c>
      <c r="J27" s="55">
        <v>45908</v>
      </c>
      <c r="K27" s="293" t="s">
        <v>1693</v>
      </c>
      <c r="L27" s="248">
        <v>89374798860</v>
      </c>
      <c r="M27" s="62" t="s">
        <v>1692</v>
      </c>
      <c r="N27" s="162"/>
      <c r="O27" s="92"/>
      <c r="P27" s="57"/>
      <c r="Q27" s="92">
        <v>12000</v>
      </c>
      <c r="R27" s="53" t="s">
        <v>417</v>
      </c>
      <c r="S27" s="94">
        <v>105000</v>
      </c>
      <c r="T27" s="61">
        <f t="shared" si="0"/>
        <v>1260000</v>
      </c>
    </row>
    <row r="28" spans="1:196" s="63" customFormat="1" ht="13.5" customHeight="1" x14ac:dyDescent="0.25">
      <c r="A28" s="65" t="s">
        <v>316</v>
      </c>
      <c r="B28" s="295" t="s">
        <v>1518</v>
      </c>
      <c r="C28" s="57" t="s">
        <v>451</v>
      </c>
      <c r="D28" s="93" t="s">
        <v>252</v>
      </c>
      <c r="E28" s="56" t="s">
        <v>1163</v>
      </c>
      <c r="F28" s="92">
        <v>8000</v>
      </c>
      <c r="G28" s="65">
        <v>400</v>
      </c>
      <c r="H28" s="65" t="s">
        <v>471</v>
      </c>
      <c r="I28" s="65" t="s">
        <v>1263</v>
      </c>
      <c r="J28" s="55">
        <v>45908</v>
      </c>
      <c r="K28" s="293" t="s">
        <v>1693</v>
      </c>
      <c r="L28" s="248">
        <v>89374798860</v>
      </c>
      <c r="M28" s="62" t="s">
        <v>1692</v>
      </c>
      <c r="N28" s="162"/>
      <c r="O28" s="92"/>
      <c r="P28" s="92">
        <v>8000</v>
      </c>
      <c r="Q28" s="92"/>
      <c r="R28" s="53" t="s">
        <v>417</v>
      </c>
      <c r="S28" s="94">
        <v>87000</v>
      </c>
      <c r="T28" s="61">
        <f t="shared" si="0"/>
        <v>696000</v>
      </c>
    </row>
    <row r="29" spans="1:196" s="63" customFormat="1" ht="13.5" customHeight="1" x14ac:dyDescent="0.25">
      <c r="A29" s="65" t="s">
        <v>418</v>
      </c>
      <c r="B29" s="57" t="s">
        <v>1686</v>
      </c>
      <c r="C29" s="57" t="s">
        <v>451</v>
      </c>
      <c r="D29" s="93" t="s">
        <v>222</v>
      </c>
      <c r="E29" s="56" t="s">
        <v>1075</v>
      </c>
      <c r="F29" s="92">
        <v>20000</v>
      </c>
      <c r="G29" s="65">
        <v>800</v>
      </c>
      <c r="H29" s="65" t="s">
        <v>165</v>
      </c>
      <c r="I29" s="65" t="s">
        <v>1263</v>
      </c>
      <c r="J29" s="55">
        <v>45909</v>
      </c>
      <c r="K29" s="292" t="s">
        <v>1144</v>
      </c>
      <c r="L29" s="248">
        <v>89115713730</v>
      </c>
      <c r="M29" s="62" t="s">
        <v>419</v>
      </c>
      <c r="N29" s="162"/>
      <c r="O29" s="92">
        <v>20000</v>
      </c>
      <c r="P29" s="57"/>
      <c r="Q29" s="57"/>
      <c r="R29" s="53" t="s">
        <v>417</v>
      </c>
      <c r="S29" s="94">
        <v>43500</v>
      </c>
      <c r="T29" s="61">
        <f t="shared" ref="T29:T32" si="2" xml:space="preserve"> S29*(F29/1000)</f>
        <v>870000</v>
      </c>
    </row>
    <row r="30" spans="1:196" s="63" customFormat="1" ht="13.5" customHeight="1" x14ac:dyDescent="0.25">
      <c r="A30" s="65" t="s">
        <v>408</v>
      </c>
      <c r="B30" s="57" t="s">
        <v>1687</v>
      </c>
      <c r="C30" s="57" t="s">
        <v>451</v>
      </c>
      <c r="D30" s="93" t="s">
        <v>222</v>
      </c>
      <c r="E30" s="56" t="s">
        <v>1075</v>
      </c>
      <c r="F30" s="92">
        <v>20000</v>
      </c>
      <c r="G30" s="65">
        <v>800</v>
      </c>
      <c r="H30" s="65" t="s">
        <v>165</v>
      </c>
      <c r="I30" s="65" t="s">
        <v>1263</v>
      </c>
      <c r="J30" s="55">
        <v>45909</v>
      </c>
      <c r="K30" s="294" t="s">
        <v>1712</v>
      </c>
      <c r="L30" s="248" t="s">
        <v>1713</v>
      </c>
      <c r="M30" s="62" t="s">
        <v>1711</v>
      </c>
      <c r="N30" s="162"/>
      <c r="O30" s="92">
        <v>20000</v>
      </c>
      <c r="P30" s="57"/>
      <c r="Q30" s="57"/>
      <c r="R30" s="53" t="s">
        <v>417</v>
      </c>
      <c r="S30" s="94">
        <v>43500</v>
      </c>
      <c r="T30" s="61">
        <f t="shared" si="2"/>
        <v>870000</v>
      </c>
    </row>
    <row r="31" spans="1:196" s="63" customFormat="1" ht="13.5" customHeight="1" x14ac:dyDescent="0.25">
      <c r="A31" s="65" t="s">
        <v>316</v>
      </c>
      <c r="B31" s="57" t="s">
        <v>1684</v>
      </c>
      <c r="C31" s="57" t="s">
        <v>451</v>
      </c>
      <c r="D31" s="93" t="s">
        <v>222</v>
      </c>
      <c r="E31" s="56" t="s">
        <v>1075</v>
      </c>
      <c r="F31" s="92">
        <v>11000</v>
      </c>
      <c r="G31" s="65">
        <v>440</v>
      </c>
      <c r="H31" s="65" t="s">
        <v>1683</v>
      </c>
      <c r="I31" s="65" t="s">
        <v>1263</v>
      </c>
      <c r="J31" s="55">
        <v>45909</v>
      </c>
      <c r="K31" s="292" t="s">
        <v>1688</v>
      </c>
      <c r="L31" s="248">
        <v>89234704019</v>
      </c>
      <c r="M31" s="62" t="s">
        <v>1689</v>
      </c>
      <c r="N31" s="162"/>
      <c r="O31" s="92">
        <v>11000</v>
      </c>
      <c r="P31" s="57"/>
      <c r="Q31" s="92"/>
      <c r="R31" s="53" t="s">
        <v>417</v>
      </c>
      <c r="S31" s="94">
        <v>43500</v>
      </c>
      <c r="T31" s="61">
        <f t="shared" si="2"/>
        <v>478500</v>
      </c>
    </row>
    <row r="32" spans="1:196" s="63" customFormat="1" ht="13.5" customHeight="1" x14ac:dyDescent="0.25">
      <c r="A32" s="65" t="s">
        <v>316</v>
      </c>
      <c r="B32" s="57" t="s">
        <v>1684</v>
      </c>
      <c r="C32" s="57" t="s">
        <v>451</v>
      </c>
      <c r="D32" s="93" t="s">
        <v>194</v>
      </c>
      <c r="E32" s="56" t="s">
        <v>1212</v>
      </c>
      <c r="F32" s="92">
        <v>8000</v>
      </c>
      <c r="G32" s="65">
        <v>40</v>
      </c>
      <c r="H32" s="65" t="s">
        <v>1683</v>
      </c>
      <c r="I32" s="65" t="s">
        <v>1263</v>
      </c>
      <c r="J32" s="55">
        <v>45909</v>
      </c>
      <c r="K32" s="292" t="s">
        <v>1688</v>
      </c>
      <c r="L32" s="248">
        <v>89234704019</v>
      </c>
      <c r="M32" s="62" t="s">
        <v>1689</v>
      </c>
      <c r="N32" s="162"/>
      <c r="O32" s="92"/>
      <c r="P32" s="57"/>
      <c r="Q32" s="92">
        <v>8000</v>
      </c>
      <c r="R32" s="53" t="s">
        <v>417</v>
      </c>
      <c r="S32" s="94">
        <v>105000</v>
      </c>
      <c r="T32" s="61">
        <f t="shared" si="2"/>
        <v>840000</v>
      </c>
    </row>
    <row r="33" spans="1:20" s="63" customFormat="1" ht="13.5" customHeight="1" x14ac:dyDescent="0.25">
      <c r="A33" s="65" t="s">
        <v>297</v>
      </c>
      <c r="B33" s="57" t="s">
        <v>1664</v>
      </c>
      <c r="C33" s="57" t="s">
        <v>630</v>
      </c>
      <c r="D33" s="93" t="s">
        <v>1574</v>
      </c>
      <c r="E33" s="56" t="s">
        <v>1650</v>
      </c>
      <c r="F33" s="92">
        <v>17500</v>
      </c>
      <c r="G33" s="65">
        <v>700</v>
      </c>
      <c r="H33" s="65" t="s">
        <v>631</v>
      </c>
      <c r="I33" s="65" t="s">
        <v>1263</v>
      </c>
      <c r="J33" s="55">
        <v>45909</v>
      </c>
      <c r="K33" s="99"/>
      <c r="L33" s="105"/>
      <c r="M33" s="62" t="s">
        <v>1675</v>
      </c>
      <c r="N33" s="162" t="s">
        <v>1673</v>
      </c>
      <c r="O33" s="92">
        <v>17500</v>
      </c>
      <c r="P33" s="57"/>
      <c r="Q33" s="53"/>
      <c r="R33" s="53" t="s">
        <v>417</v>
      </c>
      <c r="S33" s="94">
        <v>39000</v>
      </c>
      <c r="T33" s="61">
        <f t="shared" ref="T33:T81" si="3" xml:space="preserve"> S33*(F33/1000)</f>
        <v>682500</v>
      </c>
    </row>
    <row r="34" spans="1:20" s="63" customFormat="1" ht="13.5" customHeight="1" x14ac:dyDescent="0.25">
      <c r="A34" s="65" t="s">
        <v>297</v>
      </c>
      <c r="B34" s="57" t="s">
        <v>1665</v>
      </c>
      <c r="C34" s="57" t="s">
        <v>630</v>
      </c>
      <c r="D34" s="93" t="s">
        <v>1574</v>
      </c>
      <c r="E34" s="56" t="s">
        <v>1649</v>
      </c>
      <c r="F34" s="92">
        <v>17500</v>
      </c>
      <c r="G34" s="65">
        <v>700</v>
      </c>
      <c r="H34" s="65" t="s">
        <v>631</v>
      </c>
      <c r="I34" s="65" t="s">
        <v>1263</v>
      </c>
      <c r="J34" s="55">
        <v>45909</v>
      </c>
      <c r="K34" s="99"/>
      <c r="L34" s="105"/>
      <c r="M34" s="62" t="s">
        <v>1676</v>
      </c>
      <c r="N34" s="162" t="s">
        <v>1674</v>
      </c>
      <c r="O34" s="92">
        <v>17500</v>
      </c>
      <c r="P34" s="57"/>
      <c r="Q34" s="53"/>
      <c r="R34" s="53" t="s">
        <v>417</v>
      </c>
      <c r="S34" s="94">
        <v>39000</v>
      </c>
      <c r="T34" s="61">
        <f t="shared" si="3"/>
        <v>682500</v>
      </c>
    </row>
    <row r="35" spans="1:20" x14ac:dyDescent="0.25">
      <c r="A35" s="65" t="s">
        <v>1668</v>
      </c>
      <c r="B35" s="57" t="s">
        <v>1669</v>
      </c>
      <c r="C35" s="57" t="s">
        <v>164</v>
      </c>
      <c r="D35" s="10" t="s">
        <v>195</v>
      </c>
      <c r="E35" s="167" t="s">
        <v>1667</v>
      </c>
      <c r="F35" s="57">
        <v>14800</v>
      </c>
      <c r="G35" s="65">
        <v>80</v>
      </c>
      <c r="H35" s="65" t="s">
        <v>166</v>
      </c>
      <c r="I35" s="55" t="s">
        <v>1263</v>
      </c>
      <c r="J35" s="296">
        <v>45910</v>
      </c>
      <c r="K35" s="297" t="s">
        <v>1696</v>
      </c>
      <c r="L35" s="207">
        <v>89212430941</v>
      </c>
      <c r="M35" s="53" t="s">
        <v>1695</v>
      </c>
      <c r="N35" s="290" t="s">
        <v>1697</v>
      </c>
      <c r="O35" s="57"/>
      <c r="P35" s="57"/>
      <c r="Q35" s="57">
        <v>14800</v>
      </c>
      <c r="R35" s="168" t="s">
        <v>417</v>
      </c>
      <c r="S35" s="94">
        <v>125000</v>
      </c>
      <c r="T35" s="61">
        <f t="shared" si="3"/>
        <v>1850000</v>
      </c>
    </row>
    <row r="36" spans="1:20" s="63" customFormat="1" ht="13.5" customHeight="1" x14ac:dyDescent="0.25">
      <c r="A36" s="65" t="s">
        <v>311</v>
      </c>
      <c r="B36" s="57" t="s">
        <v>1517</v>
      </c>
      <c r="C36" s="57" t="s">
        <v>451</v>
      </c>
      <c r="D36" s="93" t="s">
        <v>223</v>
      </c>
      <c r="E36" s="56" t="s">
        <v>453</v>
      </c>
      <c r="F36" s="92">
        <v>8000</v>
      </c>
      <c r="G36" s="65">
        <v>320</v>
      </c>
      <c r="H36" s="65" t="s">
        <v>165</v>
      </c>
      <c r="I36" s="65" t="s">
        <v>1263</v>
      </c>
      <c r="J36" s="55">
        <v>45911</v>
      </c>
      <c r="K36" s="248" t="s">
        <v>1699</v>
      </c>
      <c r="L36" s="248">
        <v>89226266773</v>
      </c>
      <c r="M36" s="62" t="s">
        <v>1698</v>
      </c>
      <c r="N36" s="162"/>
      <c r="O36" s="92"/>
      <c r="P36" s="92">
        <v>8000</v>
      </c>
      <c r="Q36" s="92"/>
      <c r="R36" s="53" t="s">
        <v>417</v>
      </c>
      <c r="S36" s="94">
        <v>250000</v>
      </c>
      <c r="T36" s="61">
        <f t="shared" si="3"/>
        <v>2000000</v>
      </c>
    </row>
    <row r="37" spans="1:20" s="63" customFormat="1" ht="13.5" customHeight="1" x14ac:dyDescent="0.25">
      <c r="A37" s="65" t="s">
        <v>311</v>
      </c>
      <c r="B37" s="57" t="s">
        <v>1517</v>
      </c>
      <c r="C37" s="57" t="s">
        <v>451</v>
      </c>
      <c r="D37" s="93" t="s">
        <v>222</v>
      </c>
      <c r="E37" s="56" t="s">
        <v>1075</v>
      </c>
      <c r="F37" s="92">
        <v>2000</v>
      </c>
      <c r="G37" s="65">
        <v>80</v>
      </c>
      <c r="H37" s="65" t="s">
        <v>165</v>
      </c>
      <c r="I37" s="65" t="s">
        <v>1263</v>
      </c>
      <c r="J37" s="55">
        <v>45911</v>
      </c>
      <c r="K37" s="248" t="s">
        <v>1699</v>
      </c>
      <c r="L37" s="248">
        <v>89226266773</v>
      </c>
      <c r="M37" s="62" t="s">
        <v>1698</v>
      </c>
      <c r="N37" s="162"/>
      <c r="O37" s="92">
        <v>2000</v>
      </c>
      <c r="P37" s="92"/>
      <c r="Q37" s="92"/>
      <c r="R37" s="53" t="s">
        <v>417</v>
      </c>
      <c r="S37" s="94">
        <v>43500</v>
      </c>
      <c r="T37" s="61">
        <f t="shared" si="3"/>
        <v>87000</v>
      </c>
    </row>
    <row r="38" spans="1:20" s="63" customFormat="1" ht="13.5" customHeight="1" x14ac:dyDescent="0.25">
      <c r="A38" s="65" t="s">
        <v>311</v>
      </c>
      <c r="B38" s="57" t="s">
        <v>1694</v>
      </c>
      <c r="C38" s="57" t="s">
        <v>451</v>
      </c>
      <c r="D38" s="93" t="s">
        <v>223</v>
      </c>
      <c r="E38" s="56" t="s">
        <v>453</v>
      </c>
      <c r="F38" s="92">
        <v>10000</v>
      </c>
      <c r="G38" s="65">
        <v>400</v>
      </c>
      <c r="H38" s="65" t="s">
        <v>165</v>
      </c>
      <c r="I38" s="65" t="s">
        <v>1263</v>
      </c>
      <c r="J38" s="55">
        <v>45911</v>
      </c>
      <c r="K38" s="248" t="s">
        <v>1699</v>
      </c>
      <c r="L38" s="248">
        <v>89226266773</v>
      </c>
      <c r="M38" s="62" t="s">
        <v>1698</v>
      </c>
      <c r="N38" s="162"/>
      <c r="O38" s="92"/>
      <c r="P38" s="92">
        <v>10000</v>
      </c>
      <c r="Q38" s="92"/>
      <c r="R38" s="53" t="s">
        <v>417</v>
      </c>
      <c r="S38" s="94">
        <v>250000</v>
      </c>
      <c r="T38" s="61">
        <f t="shared" si="3"/>
        <v>2500000</v>
      </c>
    </row>
    <row r="39" spans="1:20" s="63" customFormat="1" ht="13.5" customHeight="1" x14ac:dyDescent="0.25">
      <c r="A39" s="65" t="s">
        <v>418</v>
      </c>
      <c r="B39" s="57" t="s">
        <v>1651</v>
      </c>
      <c r="C39" s="57" t="s">
        <v>558</v>
      </c>
      <c r="D39" s="93" t="s">
        <v>226</v>
      </c>
      <c r="E39" s="56" t="s">
        <v>1656</v>
      </c>
      <c r="F39" s="92">
        <v>21000</v>
      </c>
      <c r="G39" s="65">
        <v>840</v>
      </c>
      <c r="H39" s="65" t="s">
        <v>1459</v>
      </c>
      <c r="I39" s="65" t="s">
        <v>1263</v>
      </c>
      <c r="J39" s="55">
        <v>45912</v>
      </c>
      <c r="K39" s="108" t="s">
        <v>812</v>
      </c>
      <c r="L39" s="108">
        <v>89216004800</v>
      </c>
      <c r="M39" s="98" t="s">
        <v>811</v>
      </c>
      <c r="N39" s="162"/>
      <c r="O39" s="92">
        <v>21000</v>
      </c>
      <c r="P39" s="92"/>
      <c r="Q39" s="92"/>
      <c r="R39" s="53" t="s">
        <v>417</v>
      </c>
      <c r="S39" s="94">
        <v>45000</v>
      </c>
      <c r="T39" s="61">
        <f t="shared" si="3"/>
        <v>945000</v>
      </c>
    </row>
    <row r="40" spans="1:20" s="63" customFormat="1" ht="13.5" customHeight="1" x14ac:dyDescent="0.25">
      <c r="A40" s="65" t="s">
        <v>311</v>
      </c>
      <c r="B40" s="57" t="s">
        <v>1652</v>
      </c>
      <c r="C40" s="57" t="s">
        <v>558</v>
      </c>
      <c r="D40" s="93" t="s">
        <v>226</v>
      </c>
      <c r="E40" s="56" t="s">
        <v>1656</v>
      </c>
      <c r="F40" s="92">
        <v>21000</v>
      </c>
      <c r="G40" s="65">
        <v>840</v>
      </c>
      <c r="H40" s="65" t="s">
        <v>1459</v>
      </c>
      <c r="I40" s="65" t="s">
        <v>1263</v>
      </c>
      <c r="J40" s="55">
        <v>45912</v>
      </c>
      <c r="K40" s="108" t="s">
        <v>1701</v>
      </c>
      <c r="L40" s="298" t="s">
        <v>1723</v>
      </c>
      <c r="M40" s="98" t="s">
        <v>1700</v>
      </c>
      <c r="N40" s="162"/>
      <c r="O40" s="92">
        <v>21000</v>
      </c>
      <c r="P40" s="92"/>
      <c r="Q40" s="92"/>
      <c r="R40" s="53" t="s">
        <v>417</v>
      </c>
      <c r="S40" s="94">
        <v>45000</v>
      </c>
      <c r="T40" s="61">
        <f t="shared" si="3"/>
        <v>945000</v>
      </c>
    </row>
    <row r="41" spans="1:20" s="63" customFormat="1" ht="13.5" customHeight="1" x14ac:dyDescent="0.25">
      <c r="A41" s="65" t="s">
        <v>1090</v>
      </c>
      <c r="B41" s="57" t="s">
        <v>1653</v>
      </c>
      <c r="C41" s="57" t="s">
        <v>558</v>
      </c>
      <c r="D41" s="93" t="s">
        <v>226</v>
      </c>
      <c r="E41" s="56" t="s">
        <v>1656</v>
      </c>
      <c r="F41" s="92">
        <v>21000</v>
      </c>
      <c r="G41" s="65">
        <v>840</v>
      </c>
      <c r="H41" s="65" t="s">
        <v>1459</v>
      </c>
      <c r="I41" s="65" t="s">
        <v>1263</v>
      </c>
      <c r="J41" s="55">
        <v>45915</v>
      </c>
      <c r="K41" s="98" t="s">
        <v>694</v>
      </c>
      <c r="L41" s="108" t="s">
        <v>695</v>
      </c>
      <c r="M41" s="98" t="s">
        <v>1202</v>
      </c>
      <c r="N41" s="299"/>
      <c r="O41" s="92">
        <v>21000</v>
      </c>
      <c r="P41" s="92"/>
      <c r="Q41" s="92"/>
      <c r="R41" s="53" t="s">
        <v>417</v>
      </c>
      <c r="S41" s="94">
        <v>45000</v>
      </c>
      <c r="T41" s="61">
        <f t="shared" si="3"/>
        <v>945000</v>
      </c>
    </row>
    <row r="42" spans="1:20" s="63" customFormat="1" ht="13.5" customHeight="1" x14ac:dyDescent="0.25">
      <c r="A42" s="65" t="s">
        <v>311</v>
      </c>
      <c r="B42" s="57" t="s">
        <v>1654</v>
      </c>
      <c r="C42" s="57" t="s">
        <v>558</v>
      </c>
      <c r="D42" s="93" t="s">
        <v>226</v>
      </c>
      <c r="E42" s="56" t="s">
        <v>1656</v>
      </c>
      <c r="F42" s="92">
        <v>21000</v>
      </c>
      <c r="G42" s="65">
        <v>840</v>
      </c>
      <c r="H42" s="65" t="s">
        <v>1459</v>
      </c>
      <c r="I42" s="65" t="s">
        <v>1263</v>
      </c>
      <c r="J42" s="55">
        <v>45916</v>
      </c>
      <c r="K42" s="108" t="s">
        <v>1717</v>
      </c>
      <c r="L42" s="108">
        <v>89158592905</v>
      </c>
      <c r="M42" s="98" t="s">
        <v>1716</v>
      </c>
      <c r="N42" s="162"/>
      <c r="O42" s="92">
        <v>21000</v>
      </c>
      <c r="P42" s="92"/>
      <c r="Q42" s="92"/>
      <c r="R42" s="53" t="s">
        <v>417</v>
      </c>
      <c r="S42" s="94">
        <v>45000</v>
      </c>
      <c r="T42" s="61">
        <f t="shared" si="3"/>
        <v>945000</v>
      </c>
    </row>
    <row r="43" spans="1:20" s="63" customFormat="1" ht="13.5" customHeight="1" x14ac:dyDescent="0.25">
      <c r="A43" s="65" t="s">
        <v>311</v>
      </c>
      <c r="B43" s="57" t="s">
        <v>1655</v>
      </c>
      <c r="C43" s="57" t="s">
        <v>558</v>
      </c>
      <c r="D43" s="93" t="s">
        <v>226</v>
      </c>
      <c r="E43" s="56" t="s">
        <v>1656</v>
      </c>
      <c r="F43" s="92">
        <v>21000</v>
      </c>
      <c r="G43" s="65">
        <v>840</v>
      </c>
      <c r="H43" s="65" t="s">
        <v>1459</v>
      </c>
      <c r="I43" s="65" t="s">
        <v>1263</v>
      </c>
      <c r="J43" s="55">
        <v>45917</v>
      </c>
      <c r="K43" s="108" t="s">
        <v>1715</v>
      </c>
      <c r="L43" s="108">
        <v>89107273787</v>
      </c>
      <c r="M43" s="98" t="s">
        <v>1714</v>
      </c>
      <c r="N43" s="162"/>
      <c r="O43" s="92">
        <v>21000</v>
      </c>
      <c r="P43" s="92"/>
      <c r="Q43" s="92"/>
      <c r="R43" s="53" t="s">
        <v>417</v>
      </c>
      <c r="S43" s="94">
        <v>45000</v>
      </c>
      <c r="T43" s="61">
        <f t="shared" si="3"/>
        <v>945000</v>
      </c>
    </row>
    <row r="44" spans="1:20" s="63" customFormat="1" ht="13.5" customHeight="1" x14ac:dyDescent="0.25">
      <c r="A44" s="65" t="s">
        <v>418</v>
      </c>
      <c r="B44" s="57" t="s">
        <v>1718</v>
      </c>
      <c r="C44" s="57" t="s">
        <v>491</v>
      </c>
      <c r="D44" s="93" t="s">
        <v>226</v>
      </c>
      <c r="E44" s="56" t="s">
        <v>1140</v>
      </c>
      <c r="F44" s="92">
        <v>7000</v>
      </c>
      <c r="G44" s="65">
        <v>280</v>
      </c>
      <c r="H44" s="65" t="s">
        <v>452</v>
      </c>
      <c r="I44" s="65" t="s">
        <v>1263</v>
      </c>
      <c r="J44" s="55">
        <v>45923</v>
      </c>
      <c r="K44" s="300" t="s">
        <v>1144</v>
      </c>
      <c r="L44" s="248">
        <v>89115713730</v>
      </c>
      <c r="M44" s="62" t="s">
        <v>419</v>
      </c>
      <c r="N44" s="162"/>
      <c r="O44" s="92">
        <v>7000</v>
      </c>
      <c r="P44" s="92"/>
      <c r="Q44" s="57"/>
      <c r="R44" s="53" t="s">
        <v>417</v>
      </c>
      <c r="S44" s="94">
        <v>44500</v>
      </c>
      <c r="T44" s="61">
        <f xml:space="preserve"> S44*(F44/1000)</f>
        <v>311500</v>
      </c>
    </row>
    <row r="45" spans="1:20" s="63" customFormat="1" ht="13.5" customHeight="1" x14ac:dyDescent="0.25">
      <c r="A45" s="65" t="s">
        <v>418</v>
      </c>
      <c r="B45" s="57" t="s">
        <v>1718</v>
      </c>
      <c r="C45" s="57" t="s">
        <v>491</v>
      </c>
      <c r="D45" s="93" t="s">
        <v>223</v>
      </c>
      <c r="E45" s="56" t="s">
        <v>1624</v>
      </c>
      <c r="F45" s="92">
        <v>8000</v>
      </c>
      <c r="G45" s="65">
        <v>320</v>
      </c>
      <c r="H45" s="65" t="s">
        <v>452</v>
      </c>
      <c r="I45" s="65" t="s">
        <v>1263</v>
      </c>
      <c r="J45" s="55">
        <v>45923</v>
      </c>
      <c r="K45" s="300" t="s">
        <v>1144</v>
      </c>
      <c r="L45" s="248">
        <v>89115713730</v>
      </c>
      <c r="M45" s="62" t="s">
        <v>419</v>
      </c>
      <c r="N45" s="162"/>
      <c r="O45" s="92"/>
      <c r="P45" s="92">
        <v>8000</v>
      </c>
      <c r="Q45" s="57"/>
      <c r="R45" s="53" t="s">
        <v>417</v>
      </c>
      <c r="S45" s="94">
        <v>250000</v>
      </c>
      <c r="T45" s="61">
        <f xml:space="preserve"> S45*(F45/1000)</f>
        <v>2000000</v>
      </c>
    </row>
    <row r="46" spans="1:20" s="63" customFormat="1" ht="13.5" customHeight="1" x14ac:dyDescent="0.25">
      <c r="A46" s="65" t="s">
        <v>418</v>
      </c>
      <c r="B46" s="57" t="s">
        <v>1718</v>
      </c>
      <c r="C46" s="57" t="s">
        <v>491</v>
      </c>
      <c r="D46" s="93" t="s">
        <v>194</v>
      </c>
      <c r="E46" s="56" t="s">
        <v>1719</v>
      </c>
      <c r="F46" s="92">
        <v>5600</v>
      </c>
      <c r="G46" s="65">
        <v>28</v>
      </c>
      <c r="H46" s="65" t="s">
        <v>452</v>
      </c>
      <c r="I46" s="65" t="s">
        <v>1263</v>
      </c>
      <c r="J46" s="55">
        <v>45923</v>
      </c>
      <c r="K46" s="300" t="s">
        <v>1144</v>
      </c>
      <c r="L46" s="248">
        <v>89115713730</v>
      </c>
      <c r="M46" s="62" t="s">
        <v>419</v>
      </c>
      <c r="N46" s="162"/>
      <c r="O46" s="92"/>
      <c r="P46" s="92"/>
      <c r="Q46" s="57">
        <v>5600</v>
      </c>
      <c r="R46" s="53" t="s">
        <v>417</v>
      </c>
      <c r="S46" s="94">
        <v>105000</v>
      </c>
      <c r="T46" s="61">
        <f xml:space="preserve"> S46*(F46/1000)</f>
        <v>588000</v>
      </c>
    </row>
    <row r="47" spans="1:20" s="63" customFormat="1" ht="13.5" customHeight="1" x14ac:dyDescent="0.25">
      <c r="A47" s="65" t="s">
        <v>1371</v>
      </c>
      <c r="B47" s="57" t="s">
        <v>1702</v>
      </c>
      <c r="C47" s="57" t="s">
        <v>164</v>
      </c>
      <c r="D47" s="10" t="s">
        <v>306</v>
      </c>
      <c r="E47" s="167" t="s">
        <v>1703</v>
      </c>
      <c r="F47" s="57">
        <v>4375</v>
      </c>
      <c r="G47" s="65">
        <v>175</v>
      </c>
      <c r="H47" s="65" t="s">
        <v>165</v>
      </c>
      <c r="I47" s="55" t="s">
        <v>1263</v>
      </c>
      <c r="J47" s="55">
        <v>45924</v>
      </c>
      <c r="K47" s="53"/>
      <c r="L47" s="207"/>
      <c r="M47" s="53"/>
      <c r="N47" s="290" t="s">
        <v>1743</v>
      </c>
      <c r="O47" s="57">
        <v>4375</v>
      </c>
      <c r="P47" s="57"/>
      <c r="Q47" s="57"/>
      <c r="R47" s="168" t="s">
        <v>417</v>
      </c>
      <c r="S47" s="94">
        <v>41000</v>
      </c>
      <c r="T47" s="61">
        <f t="shared" ref="T47" si="4" xml:space="preserve"> S47*(F47/1000)</f>
        <v>179375</v>
      </c>
    </row>
    <row r="48" spans="1:20" s="63" customFormat="1" ht="13.5" customHeight="1" x14ac:dyDescent="0.25">
      <c r="A48" s="65" t="s">
        <v>1371</v>
      </c>
      <c r="B48" s="57" t="s">
        <v>1702</v>
      </c>
      <c r="C48" s="57" t="s">
        <v>164</v>
      </c>
      <c r="D48" s="10" t="s">
        <v>306</v>
      </c>
      <c r="E48" s="167" t="s">
        <v>1704</v>
      </c>
      <c r="F48" s="57">
        <v>4375</v>
      </c>
      <c r="G48" s="65">
        <v>175</v>
      </c>
      <c r="H48" s="65" t="s">
        <v>165</v>
      </c>
      <c r="I48" s="55" t="s">
        <v>1263</v>
      </c>
      <c r="J48" s="55">
        <v>45924</v>
      </c>
      <c r="K48" s="53"/>
      <c r="L48" s="207"/>
      <c r="M48" s="53"/>
      <c r="N48" s="290" t="s">
        <v>1743</v>
      </c>
      <c r="O48" s="57">
        <v>4375</v>
      </c>
      <c r="P48" s="57"/>
      <c r="Q48" s="57"/>
      <c r="R48" s="168" t="s">
        <v>417</v>
      </c>
      <c r="S48" s="94">
        <v>41000</v>
      </c>
      <c r="T48" s="61">
        <f t="shared" si="3"/>
        <v>179375</v>
      </c>
    </row>
    <row r="49" spans="1:20" s="63" customFormat="1" ht="13.5" customHeight="1" x14ac:dyDescent="0.25">
      <c r="A49" s="65" t="s">
        <v>1371</v>
      </c>
      <c r="B49" s="57" t="s">
        <v>1702</v>
      </c>
      <c r="C49" s="57" t="s">
        <v>164</v>
      </c>
      <c r="D49" s="10" t="s">
        <v>306</v>
      </c>
      <c r="E49" s="167" t="s">
        <v>1705</v>
      </c>
      <c r="F49" s="57">
        <v>4375</v>
      </c>
      <c r="G49" s="65">
        <v>175</v>
      </c>
      <c r="H49" s="65" t="s">
        <v>165</v>
      </c>
      <c r="I49" s="55" t="s">
        <v>1263</v>
      </c>
      <c r="J49" s="55">
        <v>45924</v>
      </c>
      <c r="K49" s="53"/>
      <c r="L49" s="207"/>
      <c r="M49" s="53"/>
      <c r="N49" s="290" t="s">
        <v>1743</v>
      </c>
      <c r="O49" s="57">
        <v>4375</v>
      </c>
      <c r="P49" s="57"/>
      <c r="Q49" s="57"/>
      <c r="R49" s="168" t="s">
        <v>417</v>
      </c>
      <c r="S49" s="94">
        <v>41000</v>
      </c>
      <c r="T49" s="61">
        <f t="shared" si="3"/>
        <v>179375</v>
      </c>
    </row>
    <row r="50" spans="1:20" s="63" customFormat="1" ht="13.5" customHeight="1" x14ac:dyDescent="0.25">
      <c r="A50" s="65" t="s">
        <v>1371</v>
      </c>
      <c r="B50" s="57" t="s">
        <v>1702</v>
      </c>
      <c r="C50" s="57" t="s">
        <v>164</v>
      </c>
      <c r="D50" s="10" t="s">
        <v>306</v>
      </c>
      <c r="E50" s="167" t="s">
        <v>1706</v>
      </c>
      <c r="F50" s="57">
        <v>4375</v>
      </c>
      <c r="G50" s="65">
        <v>175</v>
      </c>
      <c r="H50" s="65" t="s">
        <v>165</v>
      </c>
      <c r="I50" s="55" t="s">
        <v>1263</v>
      </c>
      <c r="J50" s="55">
        <v>45924</v>
      </c>
      <c r="K50" s="53"/>
      <c r="L50" s="207"/>
      <c r="M50" s="53"/>
      <c r="N50" s="290" t="s">
        <v>1743</v>
      </c>
      <c r="O50" s="57">
        <v>4375</v>
      </c>
      <c r="P50" s="57"/>
      <c r="Q50" s="57"/>
      <c r="R50" s="168" t="s">
        <v>417</v>
      </c>
      <c r="S50" s="94">
        <v>41000</v>
      </c>
      <c r="T50" s="61">
        <f t="shared" si="3"/>
        <v>179375</v>
      </c>
    </row>
    <row r="51" spans="1:20" s="63" customFormat="1" ht="13.5" customHeight="1" x14ac:dyDescent="0.25">
      <c r="A51" s="65" t="s">
        <v>1371</v>
      </c>
      <c r="B51" s="57" t="s">
        <v>1739</v>
      </c>
      <c r="C51" s="57" t="s">
        <v>164</v>
      </c>
      <c r="D51" s="10" t="s">
        <v>306</v>
      </c>
      <c r="E51" s="167" t="s">
        <v>1707</v>
      </c>
      <c r="F51" s="57">
        <v>4375</v>
      </c>
      <c r="G51" s="65">
        <v>175</v>
      </c>
      <c r="H51" s="65" t="s">
        <v>165</v>
      </c>
      <c r="I51" s="55" t="s">
        <v>1263</v>
      </c>
      <c r="J51" s="55">
        <v>45924</v>
      </c>
      <c r="K51" s="53"/>
      <c r="L51" s="207"/>
      <c r="M51" s="53"/>
      <c r="N51" s="290" t="s">
        <v>1742</v>
      </c>
      <c r="O51" s="57">
        <v>4375</v>
      </c>
      <c r="P51" s="57"/>
      <c r="Q51" s="57"/>
      <c r="R51" s="168" t="s">
        <v>417</v>
      </c>
      <c r="S51" s="94">
        <v>41000</v>
      </c>
      <c r="T51" s="61">
        <f t="shared" si="3"/>
        <v>179375</v>
      </c>
    </row>
    <row r="52" spans="1:20" s="63" customFormat="1" ht="13.5" customHeight="1" x14ac:dyDescent="0.25">
      <c r="A52" s="65" t="s">
        <v>1371</v>
      </c>
      <c r="B52" s="57" t="s">
        <v>1739</v>
      </c>
      <c r="C52" s="57" t="s">
        <v>164</v>
      </c>
      <c r="D52" s="10" t="s">
        <v>306</v>
      </c>
      <c r="E52" s="167" t="s">
        <v>1708</v>
      </c>
      <c r="F52" s="57">
        <v>4375</v>
      </c>
      <c r="G52" s="65">
        <v>175</v>
      </c>
      <c r="H52" s="65" t="s">
        <v>165</v>
      </c>
      <c r="I52" s="55" t="s">
        <v>1263</v>
      </c>
      <c r="J52" s="55">
        <v>45924</v>
      </c>
      <c r="K52" s="53"/>
      <c r="L52" s="207"/>
      <c r="M52" s="53"/>
      <c r="N52" s="290" t="s">
        <v>1742</v>
      </c>
      <c r="O52" s="57">
        <v>4375</v>
      </c>
      <c r="P52" s="57"/>
      <c r="Q52" s="57"/>
      <c r="R52" s="168" t="s">
        <v>417</v>
      </c>
      <c r="S52" s="94">
        <v>41000</v>
      </c>
      <c r="T52" s="61">
        <f t="shared" si="3"/>
        <v>179375</v>
      </c>
    </row>
    <row r="53" spans="1:20" s="63" customFormat="1" ht="13.5" customHeight="1" x14ac:dyDescent="0.25">
      <c r="A53" s="65" t="s">
        <v>1371</v>
      </c>
      <c r="B53" s="57" t="s">
        <v>1739</v>
      </c>
      <c r="C53" s="57" t="s">
        <v>164</v>
      </c>
      <c r="D53" s="10" t="s">
        <v>306</v>
      </c>
      <c r="E53" s="167" t="s">
        <v>1709</v>
      </c>
      <c r="F53" s="57">
        <v>4375</v>
      </c>
      <c r="G53" s="65">
        <v>175</v>
      </c>
      <c r="H53" s="65" t="s">
        <v>165</v>
      </c>
      <c r="I53" s="55" t="s">
        <v>1263</v>
      </c>
      <c r="J53" s="55">
        <v>45924</v>
      </c>
      <c r="K53" s="53"/>
      <c r="L53" s="207"/>
      <c r="M53" s="53"/>
      <c r="N53" s="290" t="s">
        <v>1742</v>
      </c>
      <c r="O53" s="57">
        <v>4375</v>
      </c>
      <c r="P53" s="57"/>
      <c r="Q53" s="57"/>
      <c r="R53" s="168" t="s">
        <v>417</v>
      </c>
      <c r="S53" s="94">
        <v>41000</v>
      </c>
      <c r="T53" s="61">
        <f t="shared" si="3"/>
        <v>179375</v>
      </c>
    </row>
    <row r="54" spans="1:20" s="63" customFormat="1" ht="13.5" customHeight="1" x14ac:dyDescent="0.25">
      <c r="A54" s="65" t="s">
        <v>1371</v>
      </c>
      <c r="B54" s="57" t="s">
        <v>1739</v>
      </c>
      <c r="C54" s="57" t="s">
        <v>164</v>
      </c>
      <c r="D54" s="10" t="s">
        <v>306</v>
      </c>
      <c r="E54" s="167" t="s">
        <v>1710</v>
      </c>
      <c r="F54" s="57">
        <v>4375</v>
      </c>
      <c r="G54" s="65">
        <v>175</v>
      </c>
      <c r="H54" s="65" t="s">
        <v>165</v>
      </c>
      <c r="I54" s="55" t="s">
        <v>1263</v>
      </c>
      <c r="J54" s="55">
        <v>45924</v>
      </c>
      <c r="K54" s="53"/>
      <c r="L54" s="207"/>
      <c r="M54" s="53"/>
      <c r="N54" s="290" t="s">
        <v>1742</v>
      </c>
      <c r="O54" s="57">
        <v>4375</v>
      </c>
      <c r="P54" s="57"/>
      <c r="Q54" s="57"/>
      <c r="R54" s="168" t="s">
        <v>417</v>
      </c>
      <c r="S54" s="94">
        <v>41000</v>
      </c>
      <c r="T54" s="61">
        <f t="shared" si="3"/>
        <v>179375</v>
      </c>
    </row>
    <row r="55" spans="1:20" s="63" customFormat="1" ht="13.5" customHeight="1" x14ac:dyDescent="0.25">
      <c r="A55" s="65" t="s">
        <v>316</v>
      </c>
      <c r="B55" s="57" t="s">
        <v>1733</v>
      </c>
      <c r="C55" s="57" t="s">
        <v>491</v>
      </c>
      <c r="D55" s="93" t="s">
        <v>226</v>
      </c>
      <c r="E55" s="56" t="s">
        <v>1422</v>
      </c>
      <c r="F55" s="92">
        <v>18000</v>
      </c>
      <c r="G55" s="65">
        <v>720</v>
      </c>
      <c r="H55" s="65" t="s">
        <v>493</v>
      </c>
      <c r="I55" s="65" t="s">
        <v>1263</v>
      </c>
      <c r="J55" s="55">
        <v>45924</v>
      </c>
      <c r="K55" s="301" t="s">
        <v>1747</v>
      </c>
      <c r="L55" s="302">
        <v>89172785703</v>
      </c>
      <c r="M55" s="62" t="s">
        <v>1746</v>
      </c>
      <c r="N55" s="162"/>
      <c r="O55" s="92">
        <v>18000</v>
      </c>
      <c r="P55" s="92"/>
      <c r="Q55" s="57"/>
      <c r="R55" s="53" t="s">
        <v>417</v>
      </c>
      <c r="S55" s="94">
        <v>44500</v>
      </c>
      <c r="T55" s="61">
        <f t="shared" si="3"/>
        <v>801000</v>
      </c>
    </row>
    <row r="56" spans="1:20" s="63" customFormat="1" ht="13.5" customHeight="1" x14ac:dyDescent="0.25">
      <c r="A56" s="65" t="s">
        <v>316</v>
      </c>
      <c r="B56" s="57" t="s">
        <v>1733</v>
      </c>
      <c r="C56" s="57" t="s">
        <v>491</v>
      </c>
      <c r="D56" s="93" t="s">
        <v>223</v>
      </c>
      <c r="E56" s="56" t="s">
        <v>1624</v>
      </c>
      <c r="F56" s="92">
        <v>1000</v>
      </c>
      <c r="G56" s="65">
        <v>40</v>
      </c>
      <c r="H56" s="65" t="s">
        <v>493</v>
      </c>
      <c r="I56" s="65" t="s">
        <v>1263</v>
      </c>
      <c r="J56" s="55">
        <v>45924</v>
      </c>
      <c r="K56" s="301" t="s">
        <v>1747</v>
      </c>
      <c r="L56" s="302">
        <v>89172785703</v>
      </c>
      <c r="M56" s="62" t="s">
        <v>1746</v>
      </c>
      <c r="N56" s="162"/>
      <c r="O56" s="92"/>
      <c r="P56" s="92">
        <v>1000</v>
      </c>
      <c r="Q56" s="57"/>
      <c r="R56" s="53" t="s">
        <v>417</v>
      </c>
      <c r="S56" s="94">
        <v>250000</v>
      </c>
      <c r="T56" s="61">
        <f t="shared" si="3"/>
        <v>250000</v>
      </c>
    </row>
    <row r="57" spans="1:20" s="63" customFormat="1" ht="13.5" customHeight="1" x14ac:dyDescent="0.25">
      <c r="A57" s="65" t="s">
        <v>316</v>
      </c>
      <c r="B57" s="57" t="s">
        <v>1733</v>
      </c>
      <c r="C57" s="57" t="s">
        <v>491</v>
      </c>
      <c r="D57" s="93" t="s">
        <v>168</v>
      </c>
      <c r="E57" s="56" t="s">
        <v>1734</v>
      </c>
      <c r="F57" s="92">
        <v>1600</v>
      </c>
      <c r="G57" s="65">
        <v>8</v>
      </c>
      <c r="H57" s="65" t="s">
        <v>493</v>
      </c>
      <c r="I57" s="65" t="s">
        <v>1263</v>
      </c>
      <c r="J57" s="55">
        <v>45924</v>
      </c>
      <c r="K57" s="301" t="s">
        <v>1747</v>
      </c>
      <c r="L57" s="302">
        <v>89172785703</v>
      </c>
      <c r="M57" s="62" t="s">
        <v>1746</v>
      </c>
      <c r="N57" s="162"/>
      <c r="O57" s="92"/>
      <c r="P57" s="92"/>
      <c r="Q57" s="57">
        <v>1600</v>
      </c>
      <c r="R57" s="53" t="s">
        <v>417</v>
      </c>
      <c r="S57" s="94">
        <v>89000</v>
      </c>
      <c r="T57" s="61">
        <f t="shared" si="3"/>
        <v>142400</v>
      </c>
    </row>
    <row r="58" spans="1:20" s="63" customFormat="1" ht="13.5" customHeight="1" x14ac:dyDescent="0.25">
      <c r="A58" s="65" t="s">
        <v>421</v>
      </c>
      <c r="B58" s="57" t="s">
        <v>1777</v>
      </c>
      <c r="C58" s="57" t="s">
        <v>164</v>
      </c>
      <c r="D58" s="10" t="s">
        <v>306</v>
      </c>
      <c r="E58" s="167" t="s">
        <v>1703</v>
      </c>
      <c r="F58" s="57">
        <v>7000</v>
      </c>
      <c r="G58" s="65">
        <v>280</v>
      </c>
      <c r="H58" s="65" t="s">
        <v>1459</v>
      </c>
      <c r="I58" s="55" t="s">
        <v>1263</v>
      </c>
      <c r="J58" s="55">
        <v>45925</v>
      </c>
      <c r="K58" s="53" t="s">
        <v>1782</v>
      </c>
      <c r="L58" s="207">
        <v>89127082511</v>
      </c>
      <c r="M58" s="53" t="s">
        <v>1781</v>
      </c>
      <c r="N58" s="271"/>
      <c r="O58" s="57">
        <v>7000</v>
      </c>
      <c r="P58" s="57"/>
      <c r="Q58" s="57"/>
      <c r="R58" s="168" t="s">
        <v>417</v>
      </c>
      <c r="S58" s="94">
        <v>41000</v>
      </c>
      <c r="T58" s="61">
        <f t="shared" ref="T58:T65" si="5" xml:space="preserve"> S58*(F58/1000)</f>
        <v>287000</v>
      </c>
    </row>
    <row r="59" spans="1:20" s="63" customFormat="1" ht="13.5" customHeight="1" x14ac:dyDescent="0.25">
      <c r="A59" s="65" t="s">
        <v>421</v>
      </c>
      <c r="B59" s="57" t="s">
        <v>1777</v>
      </c>
      <c r="C59" s="57" t="s">
        <v>164</v>
      </c>
      <c r="D59" s="10" t="s">
        <v>306</v>
      </c>
      <c r="E59" s="167" t="s">
        <v>1704</v>
      </c>
      <c r="F59" s="57">
        <v>4375</v>
      </c>
      <c r="G59" s="65">
        <v>175</v>
      </c>
      <c r="H59" s="65" t="s">
        <v>1459</v>
      </c>
      <c r="I59" s="55" t="s">
        <v>1263</v>
      </c>
      <c r="J59" s="55">
        <v>45925</v>
      </c>
      <c r="K59" s="53" t="s">
        <v>1782</v>
      </c>
      <c r="L59" s="207">
        <v>89127082511</v>
      </c>
      <c r="M59" s="53" t="s">
        <v>1781</v>
      </c>
      <c r="N59" s="271"/>
      <c r="O59" s="57">
        <v>4375</v>
      </c>
      <c r="P59" s="57"/>
      <c r="Q59" s="57"/>
      <c r="R59" s="168" t="s">
        <v>417</v>
      </c>
      <c r="S59" s="94">
        <v>41000</v>
      </c>
      <c r="T59" s="61">
        <f t="shared" si="5"/>
        <v>179375</v>
      </c>
    </row>
    <row r="60" spans="1:20" s="63" customFormat="1" ht="13.5" customHeight="1" x14ac:dyDescent="0.25">
      <c r="A60" s="65" t="s">
        <v>421</v>
      </c>
      <c r="B60" s="57" t="s">
        <v>1777</v>
      </c>
      <c r="C60" s="57" t="s">
        <v>164</v>
      </c>
      <c r="D60" s="10" t="s">
        <v>306</v>
      </c>
      <c r="E60" s="167" t="s">
        <v>1705</v>
      </c>
      <c r="F60" s="57">
        <v>4375</v>
      </c>
      <c r="G60" s="65">
        <v>175</v>
      </c>
      <c r="H60" s="65" t="s">
        <v>1459</v>
      </c>
      <c r="I60" s="55" t="s">
        <v>1263</v>
      </c>
      <c r="J60" s="55">
        <v>45925</v>
      </c>
      <c r="K60" s="53" t="s">
        <v>1782</v>
      </c>
      <c r="L60" s="207">
        <v>89127082511</v>
      </c>
      <c r="M60" s="53" t="s">
        <v>1781</v>
      </c>
      <c r="N60" s="271"/>
      <c r="O60" s="57">
        <v>4375</v>
      </c>
      <c r="P60" s="57"/>
      <c r="Q60" s="57"/>
      <c r="R60" s="168" t="s">
        <v>417</v>
      </c>
      <c r="S60" s="94">
        <v>41000</v>
      </c>
      <c r="T60" s="61">
        <f t="shared" si="5"/>
        <v>179375</v>
      </c>
    </row>
    <row r="61" spans="1:20" s="63" customFormat="1" ht="13.5" customHeight="1" x14ac:dyDescent="0.25">
      <c r="A61" s="65" t="s">
        <v>421</v>
      </c>
      <c r="B61" s="57" t="s">
        <v>1777</v>
      </c>
      <c r="C61" s="57" t="s">
        <v>164</v>
      </c>
      <c r="D61" s="10" t="s">
        <v>306</v>
      </c>
      <c r="E61" s="167" t="s">
        <v>1706</v>
      </c>
      <c r="F61" s="57">
        <v>4375</v>
      </c>
      <c r="G61" s="65">
        <v>175</v>
      </c>
      <c r="H61" s="65" t="s">
        <v>1459</v>
      </c>
      <c r="I61" s="55" t="s">
        <v>1263</v>
      </c>
      <c r="J61" s="55">
        <v>45925</v>
      </c>
      <c r="K61" s="53" t="s">
        <v>1782</v>
      </c>
      <c r="L61" s="207">
        <v>89127082511</v>
      </c>
      <c r="M61" s="53" t="s">
        <v>1781</v>
      </c>
      <c r="N61" s="271"/>
      <c r="O61" s="57">
        <v>4375</v>
      </c>
      <c r="P61" s="57"/>
      <c r="Q61" s="57"/>
      <c r="R61" s="168" t="s">
        <v>417</v>
      </c>
      <c r="S61" s="94">
        <v>41000</v>
      </c>
      <c r="T61" s="61">
        <f t="shared" si="5"/>
        <v>179375</v>
      </c>
    </row>
    <row r="62" spans="1:20" s="63" customFormat="1" ht="13.5" customHeight="1" x14ac:dyDescent="0.25">
      <c r="A62" s="65" t="s">
        <v>311</v>
      </c>
      <c r="B62" s="57" t="s">
        <v>1780</v>
      </c>
      <c r="C62" s="57" t="s">
        <v>164</v>
      </c>
      <c r="D62" s="10" t="s">
        <v>306</v>
      </c>
      <c r="E62" s="167" t="s">
        <v>1707</v>
      </c>
      <c r="F62" s="57">
        <v>7000</v>
      </c>
      <c r="G62" s="65">
        <v>280</v>
      </c>
      <c r="H62" s="65" t="s">
        <v>1459</v>
      </c>
      <c r="I62" s="55" t="s">
        <v>1263</v>
      </c>
      <c r="J62" s="55">
        <v>45925</v>
      </c>
      <c r="K62" s="53" t="s">
        <v>1072</v>
      </c>
      <c r="L62" s="207">
        <v>89115513455</v>
      </c>
      <c r="M62" s="53" t="s">
        <v>1071</v>
      </c>
      <c r="N62" s="271"/>
      <c r="O62" s="57">
        <v>7000</v>
      </c>
      <c r="P62" s="57"/>
      <c r="Q62" s="57"/>
      <c r="R62" s="168" t="s">
        <v>417</v>
      </c>
      <c r="S62" s="94">
        <v>41000</v>
      </c>
      <c r="T62" s="61">
        <f t="shared" si="5"/>
        <v>287000</v>
      </c>
    </row>
    <row r="63" spans="1:20" s="63" customFormat="1" ht="13.5" customHeight="1" x14ac:dyDescent="0.25">
      <c r="A63" s="65" t="s">
        <v>311</v>
      </c>
      <c r="B63" s="57" t="s">
        <v>1780</v>
      </c>
      <c r="C63" s="57" t="s">
        <v>164</v>
      </c>
      <c r="D63" s="10" t="s">
        <v>306</v>
      </c>
      <c r="E63" s="167" t="s">
        <v>1708</v>
      </c>
      <c r="F63" s="57">
        <v>4375</v>
      </c>
      <c r="G63" s="65">
        <v>175</v>
      </c>
      <c r="H63" s="65" t="s">
        <v>1459</v>
      </c>
      <c r="I63" s="55" t="s">
        <v>1263</v>
      </c>
      <c r="J63" s="55">
        <v>45925</v>
      </c>
      <c r="K63" s="53" t="s">
        <v>1072</v>
      </c>
      <c r="L63" s="207">
        <v>89115513455</v>
      </c>
      <c r="M63" s="53" t="s">
        <v>1071</v>
      </c>
      <c r="N63" s="271"/>
      <c r="O63" s="57">
        <v>4375</v>
      </c>
      <c r="P63" s="57"/>
      <c r="Q63" s="57"/>
      <c r="R63" s="168" t="s">
        <v>417</v>
      </c>
      <c r="S63" s="94">
        <v>41000</v>
      </c>
      <c r="T63" s="61">
        <f t="shared" si="5"/>
        <v>179375</v>
      </c>
    </row>
    <row r="64" spans="1:20" s="63" customFormat="1" ht="13.5" customHeight="1" x14ac:dyDescent="0.25">
      <c r="A64" s="65" t="s">
        <v>311</v>
      </c>
      <c r="B64" s="57" t="s">
        <v>1780</v>
      </c>
      <c r="C64" s="57" t="s">
        <v>164</v>
      </c>
      <c r="D64" s="10" t="s">
        <v>306</v>
      </c>
      <c r="E64" s="167" t="s">
        <v>1709</v>
      </c>
      <c r="F64" s="57">
        <v>4375</v>
      </c>
      <c r="G64" s="65">
        <v>175</v>
      </c>
      <c r="H64" s="65" t="s">
        <v>1459</v>
      </c>
      <c r="I64" s="55" t="s">
        <v>1263</v>
      </c>
      <c r="J64" s="55">
        <v>45925</v>
      </c>
      <c r="K64" s="53" t="s">
        <v>1072</v>
      </c>
      <c r="L64" s="207">
        <v>89115513455</v>
      </c>
      <c r="M64" s="53" t="s">
        <v>1071</v>
      </c>
      <c r="N64" s="271"/>
      <c r="O64" s="57">
        <v>4375</v>
      </c>
      <c r="P64" s="57"/>
      <c r="Q64" s="57"/>
      <c r="R64" s="168" t="s">
        <v>417</v>
      </c>
      <c r="S64" s="94">
        <v>41000</v>
      </c>
      <c r="T64" s="61">
        <f t="shared" si="5"/>
        <v>179375</v>
      </c>
    </row>
    <row r="65" spans="1:20" s="63" customFormat="1" ht="13.5" customHeight="1" x14ac:dyDescent="0.25">
      <c r="A65" s="65" t="s">
        <v>311</v>
      </c>
      <c r="B65" s="57" t="s">
        <v>1780</v>
      </c>
      <c r="C65" s="57" t="s">
        <v>164</v>
      </c>
      <c r="D65" s="10" t="s">
        <v>306</v>
      </c>
      <c r="E65" s="167" t="s">
        <v>1710</v>
      </c>
      <c r="F65" s="57">
        <v>4375</v>
      </c>
      <c r="G65" s="65">
        <v>175</v>
      </c>
      <c r="H65" s="65" t="s">
        <v>1459</v>
      </c>
      <c r="I65" s="55" t="s">
        <v>1263</v>
      </c>
      <c r="J65" s="55">
        <v>45925</v>
      </c>
      <c r="K65" s="53" t="s">
        <v>1072</v>
      </c>
      <c r="L65" s="207">
        <v>89115513455</v>
      </c>
      <c r="M65" s="53" t="s">
        <v>1071</v>
      </c>
      <c r="N65" s="271"/>
      <c r="O65" s="57">
        <v>4375</v>
      </c>
      <c r="P65" s="57"/>
      <c r="Q65" s="57"/>
      <c r="R65" s="168" t="s">
        <v>417</v>
      </c>
      <c r="S65" s="94">
        <v>41000</v>
      </c>
      <c r="T65" s="61">
        <f t="shared" si="5"/>
        <v>179375</v>
      </c>
    </row>
    <row r="66" spans="1:20" s="63" customFormat="1" ht="13.5" customHeight="1" x14ac:dyDescent="0.25">
      <c r="A66" s="65" t="s">
        <v>297</v>
      </c>
      <c r="B66" s="57" t="s">
        <v>1666</v>
      </c>
      <c r="C66" s="57" t="s">
        <v>630</v>
      </c>
      <c r="D66" s="93" t="s">
        <v>1574</v>
      </c>
      <c r="E66" s="56" t="s">
        <v>1667</v>
      </c>
      <c r="F66" s="92">
        <v>17500</v>
      </c>
      <c r="G66" s="65">
        <v>700</v>
      </c>
      <c r="H66" s="65" t="s">
        <v>631</v>
      </c>
      <c r="I66" s="65" t="s">
        <v>1263</v>
      </c>
      <c r="J66" s="55">
        <v>45925</v>
      </c>
      <c r="K66" s="99"/>
      <c r="L66" s="105"/>
      <c r="M66" s="62" t="s">
        <v>1737</v>
      </c>
      <c r="N66" s="162" t="s">
        <v>1736</v>
      </c>
      <c r="O66" s="92">
        <v>17500</v>
      </c>
      <c r="P66" s="57"/>
      <c r="Q66" s="53"/>
      <c r="R66" s="53" t="s">
        <v>417</v>
      </c>
      <c r="S66" s="94">
        <v>39000</v>
      </c>
      <c r="T66" s="61">
        <f t="shared" ref="T66:T74" si="6" xml:space="preserve"> S66*(F66/1000)</f>
        <v>682500</v>
      </c>
    </row>
    <row r="67" spans="1:20" s="63" customFormat="1" ht="13.5" customHeight="1" x14ac:dyDescent="0.25">
      <c r="A67" s="65" t="s">
        <v>1735</v>
      </c>
      <c r="B67" s="57" t="s">
        <v>1731</v>
      </c>
      <c r="C67" s="57" t="s">
        <v>164</v>
      </c>
      <c r="D67" s="10" t="s">
        <v>1732</v>
      </c>
      <c r="E67" s="167" t="s">
        <v>1727</v>
      </c>
      <c r="F67" s="57">
        <v>4375</v>
      </c>
      <c r="G67" s="65">
        <v>175</v>
      </c>
      <c r="H67" s="65" t="s">
        <v>754</v>
      </c>
      <c r="I67" s="55" t="s">
        <v>1263</v>
      </c>
      <c r="J67" s="55">
        <v>45926</v>
      </c>
      <c r="K67" s="53" t="s">
        <v>1784</v>
      </c>
      <c r="L67" s="207">
        <v>89116806638</v>
      </c>
      <c r="M67" s="53" t="s">
        <v>573</v>
      </c>
      <c r="N67" s="290" t="s">
        <v>1783</v>
      </c>
      <c r="O67" s="57">
        <v>4375</v>
      </c>
      <c r="P67" s="57"/>
      <c r="Q67" s="57"/>
      <c r="R67" s="168" t="s">
        <v>417</v>
      </c>
      <c r="S67" s="94">
        <v>41000</v>
      </c>
      <c r="T67" s="61">
        <f t="shared" si="6"/>
        <v>179375</v>
      </c>
    </row>
    <row r="68" spans="1:20" s="63" customFormat="1" ht="13.5" customHeight="1" x14ac:dyDescent="0.25">
      <c r="A68" s="65" t="s">
        <v>1735</v>
      </c>
      <c r="B68" s="57" t="s">
        <v>1731</v>
      </c>
      <c r="C68" s="57" t="s">
        <v>164</v>
      </c>
      <c r="D68" s="10" t="s">
        <v>1732</v>
      </c>
      <c r="E68" s="167" t="s">
        <v>1728</v>
      </c>
      <c r="F68" s="57">
        <v>4375</v>
      </c>
      <c r="G68" s="65">
        <v>175</v>
      </c>
      <c r="H68" s="65" t="s">
        <v>754</v>
      </c>
      <c r="I68" s="55" t="s">
        <v>1263</v>
      </c>
      <c r="J68" s="55">
        <v>45926</v>
      </c>
      <c r="K68" s="53" t="s">
        <v>1784</v>
      </c>
      <c r="L68" s="207">
        <v>89116806638</v>
      </c>
      <c r="M68" s="53" t="s">
        <v>573</v>
      </c>
      <c r="N68" s="290" t="s">
        <v>1783</v>
      </c>
      <c r="O68" s="57">
        <v>4375</v>
      </c>
      <c r="P68" s="57"/>
      <c r="Q68" s="57"/>
      <c r="R68" s="168" t="s">
        <v>417</v>
      </c>
      <c r="S68" s="94">
        <v>41000</v>
      </c>
      <c r="T68" s="61">
        <f t="shared" si="6"/>
        <v>179375</v>
      </c>
    </row>
    <row r="69" spans="1:20" s="63" customFormat="1" ht="13.5" customHeight="1" x14ac:dyDescent="0.25">
      <c r="A69" s="65" t="s">
        <v>1735</v>
      </c>
      <c r="B69" s="57" t="s">
        <v>1731</v>
      </c>
      <c r="C69" s="57" t="s">
        <v>164</v>
      </c>
      <c r="D69" s="10" t="s">
        <v>1732</v>
      </c>
      <c r="E69" s="167" t="s">
        <v>1729</v>
      </c>
      <c r="F69" s="57">
        <v>4375</v>
      </c>
      <c r="G69" s="65">
        <v>175</v>
      </c>
      <c r="H69" s="65" t="s">
        <v>754</v>
      </c>
      <c r="I69" s="55" t="s">
        <v>1263</v>
      </c>
      <c r="J69" s="55">
        <v>45926</v>
      </c>
      <c r="K69" s="53" t="s">
        <v>1784</v>
      </c>
      <c r="L69" s="207">
        <v>89116806638</v>
      </c>
      <c r="M69" s="53" t="s">
        <v>573</v>
      </c>
      <c r="N69" s="290" t="s">
        <v>1783</v>
      </c>
      <c r="O69" s="57">
        <v>4375</v>
      </c>
      <c r="P69" s="57"/>
      <c r="Q69" s="57"/>
      <c r="R69" s="168" t="s">
        <v>417</v>
      </c>
      <c r="S69" s="94">
        <v>41000</v>
      </c>
      <c r="T69" s="61">
        <f t="shared" si="6"/>
        <v>179375</v>
      </c>
    </row>
    <row r="70" spans="1:20" s="63" customFormat="1" ht="13.5" customHeight="1" x14ac:dyDescent="0.25">
      <c r="A70" s="65" t="s">
        <v>1735</v>
      </c>
      <c r="B70" s="57" t="s">
        <v>1731</v>
      </c>
      <c r="C70" s="57" t="s">
        <v>164</v>
      </c>
      <c r="D70" s="10" t="s">
        <v>1732</v>
      </c>
      <c r="E70" s="167" t="s">
        <v>1730</v>
      </c>
      <c r="F70" s="57">
        <v>4375</v>
      </c>
      <c r="G70" s="65">
        <v>175</v>
      </c>
      <c r="H70" s="65" t="s">
        <v>754</v>
      </c>
      <c r="I70" s="55" t="s">
        <v>1263</v>
      </c>
      <c r="J70" s="55">
        <v>45926</v>
      </c>
      <c r="K70" s="53" t="s">
        <v>1784</v>
      </c>
      <c r="L70" s="207">
        <v>89116806638</v>
      </c>
      <c r="M70" s="53" t="s">
        <v>573</v>
      </c>
      <c r="N70" s="290" t="s">
        <v>1783</v>
      </c>
      <c r="O70" s="57">
        <v>4375</v>
      </c>
      <c r="P70" s="57"/>
      <c r="Q70" s="57"/>
      <c r="R70" s="168" t="s">
        <v>417</v>
      </c>
      <c r="S70" s="94">
        <v>41000</v>
      </c>
      <c r="T70" s="61">
        <f t="shared" si="6"/>
        <v>179375</v>
      </c>
    </row>
    <row r="71" spans="1:20" s="63" customFormat="1" ht="13.5" customHeight="1" x14ac:dyDescent="0.25">
      <c r="A71" s="65" t="s">
        <v>418</v>
      </c>
      <c r="B71" s="57" t="s">
        <v>1779</v>
      </c>
      <c r="C71" s="57" t="s">
        <v>164</v>
      </c>
      <c r="D71" s="10" t="s">
        <v>306</v>
      </c>
      <c r="E71" s="167" t="s">
        <v>1767</v>
      </c>
      <c r="F71" s="57">
        <v>5250</v>
      </c>
      <c r="G71" s="65">
        <v>210</v>
      </c>
      <c r="H71" s="65" t="s">
        <v>1459</v>
      </c>
      <c r="I71" s="55" t="s">
        <v>1263</v>
      </c>
      <c r="J71" s="55">
        <v>45926</v>
      </c>
      <c r="K71" s="53" t="s">
        <v>812</v>
      </c>
      <c r="L71" s="207">
        <v>89216004800</v>
      </c>
      <c r="M71" s="53" t="s">
        <v>811</v>
      </c>
      <c r="N71" s="271"/>
      <c r="O71" s="57">
        <v>5250</v>
      </c>
      <c r="P71" s="57"/>
      <c r="Q71" s="57"/>
      <c r="R71" s="168" t="s">
        <v>417</v>
      </c>
      <c r="S71" s="94">
        <v>41000</v>
      </c>
      <c r="T71" s="61">
        <f t="shared" si="6"/>
        <v>215250</v>
      </c>
    </row>
    <row r="72" spans="1:20" s="63" customFormat="1" ht="13.5" customHeight="1" x14ac:dyDescent="0.25">
      <c r="A72" s="65" t="s">
        <v>418</v>
      </c>
      <c r="B72" s="57" t="s">
        <v>1779</v>
      </c>
      <c r="C72" s="57" t="s">
        <v>164</v>
      </c>
      <c r="D72" s="10" t="s">
        <v>306</v>
      </c>
      <c r="E72" s="167" t="s">
        <v>1768</v>
      </c>
      <c r="F72" s="57">
        <v>5250</v>
      </c>
      <c r="G72" s="65">
        <v>210</v>
      </c>
      <c r="H72" s="65" t="s">
        <v>1459</v>
      </c>
      <c r="I72" s="55" t="s">
        <v>1263</v>
      </c>
      <c r="J72" s="55">
        <v>45926</v>
      </c>
      <c r="K72" s="53" t="s">
        <v>812</v>
      </c>
      <c r="L72" s="207">
        <v>89216004800</v>
      </c>
      <c r="M72" s="53" t="s">
        <v>811</v>
      </c>
      <c r="N72" s="271"/>
      <c r="O72" s="57">
        <v>5250</v>
      </c>
      <c r="P72" s="57"/>
      <c r="Q72" s="57"/>
      <c r="R72" s="168" t="s">
        <v>417</v>
      </c>
      <c r="S72" s="94">
        <v>41000</v>
      </c>
      <c r="T72" s="61">
        <f t="shared" si="6"/>
        <v>215250</v>
      </c>
    </row>
    <row r="73" spans="1:20" s="63" customFormat="1" ht="13.5" customHeight="1" x14ac:dyDescent="0.25">
      <c r="A73" s="65" t="s">
        <v>418</v>
      </c>
      <c r="B73" s="57" t="s">
        <v>1779</v>
      </c>
      <c r="C73" s="57" t="s">
        <v>164</v>
      </c>
      <c r="D73" s="10" t="s">
        <v>306</v>
      </c>
      <c r="E73" s="167" t="s">
        <v>1769</v>
      </c>
      <c r="F73" s="57">
        <v>5250</v>
      </c>
      <c r="G73" s="65">
        <v>210</v>
      </c>
      <c r="H73" s="65" t="s">
        <v>1459</v>
      </c>
      <c r="I73" s="55" t="s">
        <v>1263</v>
      </c>
      <c r="J73" s="55">
        <v>45926</v>
      </c>
      <c r="K73" s="53" t="s">
        <v>812</v>
      </c>
      <c r="L73" s="207">
        <v>89216004800</v>
      </c>
      <c r="M73" s="53" t="s">
        <v>811</v>
      </c>
      <c r="N73" s="271"/>
      <c r="O73" s="57">
        <v>5250</v>
      </c>
      <c r="P73" s="57"/>
      <c r="Q73" s="57"/>
      <c r="R73" s="168" t="s">
        <v>417</v>
      </c>
      <c r="S73" s="94">
        <v>41000</v>
      </c>
      <c r="T73" s="61">
        <f t="shared" si="6"/>
        <v>215250</v>
      </c>
    </row>
    <row r="74" spans="1:20" s="63" customFormat="1" ht="13.5" customHeight="1" x14ac:dyDescent="0.25">
      <c r="A74" s="65" t="s">
        <v>418</v>
      </c>
      <c r="B74" s="57" t="s">
        <v>1779</v>
      </c>
      <c r="C74" s="57" t="s">
        <v>164</v>
      </c>
      <c r="D74" s="10" t="s">
        <v>306</v>
      </c>
      <c r="E74" s="167" t="s">
        <v>1770</v>
      </c>
      <c r="F74" s="57">
        <v>4375</v>
      </c>
      <c r="G74" s="65">
        <v>175</v>
      </c>
      <c r="H74" s="65" t="s">
        <v>1459</v>
      </c>
      <c r="I74" s="55" t="s">
        <v>1263</v>
      </c>
      <c r="J74" s="55">
        <v>45926</v>
      </c>
      <c r="K74" s="53" t="s">
        <v>812</v>
      </c>
      <c r="L74" s="207">
        <v>89216004800</v>
      </c>
      <c r="M74" s="53" t="s">
        <v>811</v>
      </c>
      <c r="N74" s="271"/>
      <c r="O74" s="57">
        <v>4375</v>
      </c>
      <c r="P74" s="57"/>
      <c r="Q74" s="57"/>
      <c r="R74" s="168" t="s">
        <v>417</v>
      </c>
      <c r="S74" s="94">
        <v>41000</v>
      </c>
      <c r="T74" s="61">
        <f t="shared" si="6"/>
        <v>179375</v>
      </c>
    </row>
    <row r="75" spans="1:20" s="63" customFormat="1" ht="13.5" customHeight="1" x14ac:dyDescent="0.25">
      <c r="A75" s="65" t="s">
        <v>311</v>
      </c>
      <c r="B75" s="57" t="s">
        <v>1581</v>
      </c>
      <c r="C75" s="57" t="s">
        <v>730</v>
      </c>
      <c r="D75" s="10" t="s">
        <v>267</v>
      </c>
      <c r="E75" s="56" t="s">
        <v>1741</v>
      </c>
      <c r="F75" s="57">
        <v>17600</v>
      </c>
      <c r="G75" s="65">
        <v>88</v>
      </c>
      <c r="H75" s="65" t="s">
        <v>732</v>
      </c>
      <c r="I75" s="65" t="s">
        <v>1263</v>
      </c>
      <c r="J75" s="55">
        <v>45926</v>
      </c>
      <c r="K75" s="53" t="s">
        <v>1776</v>
      </c>
      <c r="L75" s="263">
        <v>89697258551</v>
      </c>
      <c r="M75" s="53" t="s">
        <v>1775</v>
      </c>
      <c r="N75" s="212"/>
      <c r="O75" s="57"/>
      <c r="P75" s="57"/>
      <c r="Q75" s="57">
        <v>17600</v>
      </c>
      <c r="R75" s="53" t="s">
        <v>417</v>
      </c>
      <c r="S75" s="94">
        <v>369000</v>
      </c>
      <c r="T75" s="61">
        <f t="shared" si="3"/>
        <v>6494400.0000000009</v>
      </c>
    </row>
    <row r="76" spans="1:20" s="63" customFormat="1" ht="13.5" customHeight="1" x14ac:dyDescent="0.25">
      <c r="A76" s="65" t="s">
        <v>316</v>
      </c>
      <c r="B76" s="57" t="s">
        <v>1778</v>
      </c>
      <c r="C76" s="57" t="s">
        <v>164</v>
      </c>
      <c r="D76" s="10" t="s">
        <v>306</v>
      </c>
      <c r="E76" s="167" t="s">
        <v>1771</v>
      </c>
      <c r="F76" s="57">
        <v>5250</v>
      </c>
      <c r="G76" s="65">
        <v>210</v>
      </c>
      <c r="H76" s="65" t="s">
        <v>1459</v>
      </c>
      <c r="I76" s="55" t="s">
        <v>1263</v>
      </c>
      <c r="J76" s="55">
        <v>45926</v>
      </c>
      <c r="K76" s="53" t="s">
        <v>1786</v>
      </c>
      <c r="L76" s="207">
        <v>89378737561</v>
      </c>
      <c r="M76" s="53" t="s">
        <v>1785</v>
      </c>
      <c r="N76" s="271"/>
      <c r="O76" s="57">
        <v>5250</v>
      </c>
      <c r="P76" s="57"/>
      <c r="Q76" s="57"/>
      <c r="R76" s="168" t="s">
        <v>417</v>
      </c>
      <c r="S76" s="94">
        <v>41000</v>
      </c>
      <c r="T76" s="61">
        <f t="shared" ref="T76:T79" si="7" xml:space="preserve"> S76*(F76/1000)</f>
        <v>215250</v>
      </c>
    </row>
    <row r="77" spans="1:20" s="63" customFormat="1" ht="13.5" customHeight="1" x14ac:dyDescent="0.25">
      <c r="A77" s="65" t="s">
        <v>316</v>
      </c>
      <c r="B77" s="57" t="s">
        <v>1778</v>
      </c>
      <c r="C77" s="57" t="s">
        <v>164</v>
      </c>
      <c r="D77" s="10" t="s">
        <v>306</v>
      </c>
      <c r="E77" s="167" t="s">
        <v>1772</v>
      </c>
      <c r="F77" s="57">
        <v>5250</v>
      </c>
      <c r="G77" s="65">
        <v>210</v>
      </c>
      <c r="H77" s="65" t="s">
        <v>1459</v>
      </c>
      <c r="I77" s="55" t="s">
        <v>1263</v>
      </c>
      <c r="J77" s="55">
        <v>45926</v>
      </c>
      <c r="K77" s="53" t="s">
        <v>1786</v>
      </c>
      <c r="L77" s="207">
        <v>89378737561</v>
      </c>
      <c r="M77" s="53" t="s">
        <v>1785</v>
      </c>
      <c r="N77" s="271"/>
      <c r="O77" s="57">
        <v>5250</v>
      </c>
      <c r="P77" s="57"/>
      <c r="Q77" s="57"/>
      <c r="R77" s="168" t="s">
        <v>417</v>
      </c>
      <c r="S77" s="94">
        <v>41000</v>
      </c>
      <c r="T77" s="61">
        <f t="shared" si="7"/>
        <v>215250</v>
      </c>
    </row>
    <row r="78" spans="1:20" s="63" customFormat="1" ht="13.5" customHeight="1" x14ac:dyDescent="0.25">
      <c r="A78" s="65" t="s">
        <v>316</v>
      </c>
      <c r="B78" s="57" t="s">
        <v>1778</v>
      </c>
      <c r="C78" s="57" t="s">
        <v>164</v>
      </c>
      <c r="D78" s="10" t="s">
        <v>306</v>
      </c>
      <c r="E78" s="167" t="s">
        <v>1773</v>
      </c>
      <c r="F78" s="57">
        <v>5250</v>
      </c>
      <c r="G78" s="65">
        <v>210</v>
      </c>
      <c r="H78" s="65" t="s">
        <v>1459</v>
      </c>
      <c r="I78" s="55" t="s">
        <v>1263</v>
      </c>
      <c r="J78" s="55">
        <v>45926</v>
      </c>
      <c r="K78" s="53" t="s">
        <v>1786</v>
      </c>
      <c r="L78" s="207">
        <v>89378737561</v>
      </c>
      <c r="M78" s="53" t="s">
        <v>1785</v>
      </c>
      <c r="N78" s="271"/>
      <c r="O78" s="57">
        <v>5250</v>
      </c>
      <c r="P78" s="57"/>
      <c r="Q78" s="57"/>
      <c r="R78" s="168" t="s">
        <v>417</v>
      </c>
      <c r="S78" s="94">
        <v>41000</v>
      </c>
      <c r="T78" s="61">
        <f t="shared" si="7"/>
        <v>215250</v>
      </c>
    </row>
    <row r="79" spans="1:20" s="63" customFormat="1" ht="13.5" customHeight="1" x14ac:dyDescent="0.25">
      <c r="A79" s="65" t="s">
        <v>316</v>
      </c>
      <c r="B79" s="57" t="s">
        <v>1778</v>
      </c>
      <c r="C79" s="57" t="s">
        <v>164</v>
      </c>
      <c r="D79" s="10" t="s">
        <v>306</v>
      </c>
      <c r="E79" s="167" t="s">
        <v>1774</v>
      </c>
      <c r="F79" s="57">
        <v>4375</v>
      </c>
      <c r="G79" s="65">
        <v>175</v>
      </c>
      <c r="H79" s="65" t="s">
        <v>1459</v>
      </c>
      <c r="I79" s="55" t="s">
        <v>1263</v>
      </c>
      <c r="J79" s="55">
        <v>45926</v>
      </c>
      <c r="K79" s="53" t="s">
        <v>1786</v>
      </c>
      <c r="L79" s="207">
        <v>89378737561</v>
      </c>
      <c r="M79" s="53" t="s">
        <v>1785</v>
      </c>
      <c r="N79" s="271"/>
      <c r="O79" s="57">
        <v>4375</v>
      </c>
      <c r="P79" s="57"/>
      <c r="Q79" s="57"/>
      <c r="R79" s="168" t="s">
        <v>417</v>
      </c>
      <c r="S79" s="94">
        <v>41000</v>
      </c>
      <c r="T79" s="61">
        <f t="shared" si="7"/>
        <v>179375</v>
      </c>
    </row>
    <row r="80" spans="1:20" s="63" customFormat="1" ht="13.5" customHeight="1" x14ac:dyDescent="0.25">
      <c r="A80" s="65" t="s">
        <v>448</v>
      </c>
      <c r="B80" s="57" t="s">
        <v>1748</v>
      </c>
      <c r="C80" s="57" t="s">
        <v>1405</v>
      </c>
      <c r="D80" s="93" t="s">
        <v>189</v>
      </c>
      <c r="E80" s="56" t="s">
        <v>1749</v>
      </c>
      <c r="F80" s="92">
        <f>G80*180</f>
        <v>14400</v>
      </c>
      <c r="G80" s="92">
        <v>80</v>
      </c>
      <c r="H80" s="65" t="s">
        <v>281</v>
      </c>
      <c r="I80" s="65" t="s">
        <v>1263</v>
      </c>
      <c r="J80" s="55">
        <v>45929</v>
      </c>
      <c r="K80" s="314" t="s">
        <v>1756</v>
      </c>
      <c r="L80" s="248" t="s">
        <v>1757</v>
      </c>
      <c r="M80" s="62" t="s">
        <v>1758</v>
      </c>
      <c r="N80" s="162"/>
      <c r="O80" s="92"/>
      <c r="P80" s="57"/>
      <c r="Q80" s="57">
        <v>14400</v>
      </c>
      <c r="R80" s="53" t="s">
        <v>417</v>
      </c>
      <c r="S80" s="94">
        <v>127500</v>
      </c>
      <c r="T80" s="61">
        <f t="shared" si="3"/>
        <v>1836000</v>
      </c>
    </row>
    <row r="81" spans="1:20" s="63" customFormat="1" ht="13.5" customHeight="1" x14ac:dyDescent="0.25">
      <c r="A81" s="65" t="s">
        <v>448</v>
      </c>
      <c r="B81" s="57" t="s">
        <v>1748</v>
      </c>
      <c r="C81" s="57" t="s">
        <v>1405</v>
      </c>
      <c r="D81" s="93" t="s">
        <v>183</v>
      </c>
      <c r="E81" s="56" t="s">
        <v>1753</v>
      </c>
      <c r="F81" s="92">
        <f>G81*180</f>
        <v>14400</v>
      </c>
      <c r="G81" s="92">
        <v>80</v>
      </c>
      <c r="H81" s="65" t="s">
        <v>281</v>
      </c>
      <c r="I81" s="65" t="s">
        <v>1263</v>
      </c>
      <c r="J81" s="55">
        <v>45929</v>
      </c>
      <c r="K81" s="304" t="s">
        <v>1790</v>
      </c>
      <c r="L81" s="248" t="s">
        <v>1791</v>
      </c>
      <c r="M81" s="62" t="s">
        <v>1789</v>
      </c>
      <c r="N81" s="162"/>
      <c r="O81" s="92"/>
      <c r="P81" s="57"/>
      <c r="Q81" s="57">
        <v>14400</v>
      </c>
      <c r="R81" s="53" t="s">
        <v>417</v>
      </c>
      <c r="S81" s="94">
        <v>146500</v>
      </c>
      <c r="T81" s="61">
        <f t="shared" si="3"/>
        <v>2109600</v>
      </c>
    </row>
    <row r="82" spans="1:20" s="63" customFormat="1" ht="13.5" customHeight="1" x14ac:dyDescent="0.25">
      <c r="A82" s="65" t="s">
        <v>316</v>
      </c>
      <c r="B82" s="295" t="s">
        <v>1725</v>
      </c>
      <c r="C82" s="57" t="s">
        <v>451</v>
      </c>
      <c r="D82" s="93" t="s">
        <v>252</v>
      </c>
      <c r="E82" s="56" t="s">
        <v>1724</v>
      </c>
      <c r="F82" s="92">
        <v>14000</v>
      </c>
      <c r="G82" s="65">
        <v>700</v>
      </c>
      <c r="H82" s="65" t="s">
        <v>471</v>
      </c>
      <c r="I82" s="65" t="s">
        <v>1263</v>
      </c>
      <c r="J82" s="55">
        <v>45929</v>
      </c>
      <c r="K82" s="315" t="s">
        <v>1788</v>
      </c>
      <c r="L82" s="248">
        <v>89991645883</v>
      </c>
      <c r="M82" s="62" t="s">
        <v>1787</v>
      </c>
      <c r="N82" s="162"/>
      <c r="O82" s="92"/>
      <c r="P82" s="92">
        <v>14000</v>
      </c>
      <c r="Q82" s="92"/>
      <c r="R82" s="53" t="s">
        <v>417</v>
      </c>
      <c r="S82" s="94">
        <v>87000</v>
      </c>
      <c r="T82" s="61">
        <f xml:space="preserve"> S82*(F82/1000)</f>
        <v>1218000</v>
      </c>
    </row>
    <row r="83" spans="1:20" s="63" customFormat="1" ht="13.5" customHeight="1" x14ac:dyDescent="0.25">
      <c r="A83" s="65" t="s">
        <v>316</v>
      </c>
      <c r="B83" s="295" t="s">
        <v>1725</v>
      </c>
      <c r="C83" s="57" t="s">
        <v>451</v>
      </c>
      <c r="D83" s="93" t="s">
        <v>194</v>
      </c>
      <c r="E83" s="56" t="s">
        <v>1212</v>
      </c>
      <c r="F83" s="92">
        <v>6400</v>
      </c>
      <c r="G83" s="65">
        <v>32</v>
      </c>
      <c r="H83" s="65" t="s">
        <v>471</v>
      </c>
      <c r="I83" s="65" t="s">
        <v>1263</v>
      </c>
      <c r="J83" s="55">
        <v>45929</v>
      </c>
      <c r="K83" s="316" t="s">
        <v>1788</v>
      </c>
      <c r="L83" s="248">
        <v>89991645883</v>
      </c>
      <c r="M83" s="62" t="s">
        <v>1787</v>
      </c>
      <c r="N83" s="139"/>
      <c r="O83" s="92"/>
      <c r="P83" s="57"/>
      <c r="Q83" s="92">
        <v>6400</v>
      </c>
      <c r="R83" s="53" t="s">
        <v>417</v>
      </c>
      <c r="S83" s="94">
        <v>105000</v>
      </c>
      <c r="T83" s="61">
        <f xml:space="preserve"> S83*(F83/1000)</f>
        <v>672000</v>
      </c>
    </row>
    <row r="84" spans="1:20" ht="21" customHeight="1" x14ac:dyDescent="0.3">
      <c r="A84" s="159" t="s">
        <v>15</v>
      </c>
      <c r="B84" s="101">
        <f>SUM($F$5:$F$83)/1000</f>
        <v>689.46400000000006</v>
      </c>
      <c r="C84" s="54" t="s">
        <v>14</v>
      </c>
      <c r="T84" s="348">
        <f>SUM(T5:T83)</f>
        <v>65787496</v>
      </c>
    </row>
    <row r="85" spans="1:20" ht="21" customHeight="1" x14ac:dyDescent="0.3">
      <c r="A85" s="110" t="s">
        <v>16</v>
      </c>
      <c r="B85" s="102">
        <f>$B$86+$B$87+$B$88</f>
        <v>689.46399999999994</v>
      </c>
      <c r="C85" s="1" t="s">
        <v>14</v>
      </c>
      <c r="E85" s="175"/>
      <c r="F85" s="154" t="s">
        <v>321</v>
      </c>
      <c r="G85" s="154"/>
    </row>
    <row r="86" spans="1:20" ht="21" customHeight="1" x14ac:dyDescent="0.3">
      <c r="A86" s="111" t="s">
        <v>17</v>
      </c>
      <c r="B86" s="100">
        <f>SUM(O5:O83)/1000</f>
        <v>462</v>
      </c>
      <c r="C86" s="2" t="s">
        <v>14</v>
      </c>
      <c r="D86" s="184"/>
      <c r="E86" s="188"/>
      <c r="F86" s="154" t="s">
        <v>319</v>
      </c>
      <c r="G86" s="154"/>
    </row>
    <row r="87" spans="1:20" ht="21" customHeight="1" x14ac:dyDescent="0.3">
      <c r="A87" s="111" t="s">
        <v>153</v>
      </c>
      <c r="B87" s="100">
        <f>SUM(P5:P83)/1000</f>
        <v>74.5</v>
      </c>
      <c r="C87" s="2" t="s">
        <v>14</v>
      </c>
      <c r="E87" s="177"/>
      <c r="F87" s="154" t="s">
        <v>318</v>
      </c>
      <c r="G87" s="154"/>
    </row>
    <row r="88" spans="1:20" ht="21" customHeight="1" x14ac:dyDescent="0.3">
      <c r="A88" s="111" t="s">
        <v>24</v>
      </c>
      <c r="B88" s="100">
        <f>SUM(Q5:Q83)/1000</f>
        <v>152.964</v>
      </c>
      <c r="C88" s="2" t="s">
        <v>14</v>
      </c>
      <c r="E88" s="178"/>
      <c r="F88" s="154" t="s">
        <v>325</v>
      </c>
    </row>
    <row r="89" spans="1:20" ht="23.25" customHeight="1" thickBot="1" x14ac:dyDescent="0.35">
      <c r="A89" s="112" t="s">
        <v>20</v>
      </c>
      <c r="B89" s="104">
        <f>$B$84-$B$85</f>
        <v>0</v>
      </c>
      <c r="C89" s="3" t="s">
        <v>14</v>
      </c>
      <c r="E89" s="286"/>
      <c r="F89" s="154" t="s">
        <v>1351</v>
      </c>
    </row>
  </sheetData>
  <sheetProtection formatCells="0" formatColumns="0" formatRows="0" insertColumns="0" insertRows="0" insertHyperlinks="0" deleteColumns="0" deleteRows="0" sort="0" autoFilter="0" pivotTables="0"/>
  <autoFilter ref="D1:D89" xr:uid="{00000000-0009-0000-0000-000003000000}"/>
  <mergeCells count="13">
    <mergeCell ref="F2:G2"/>
    <mergeCell ref="A2:A3"/>
    <mergeCell ref="B2:B3"/>
    <mergeCell ref="C2:C3"/>
    <mergeCell ref="D2:D3"/>
    <mergeCell ref="E2:E3"/>
    <mergeCell ref="S2:S3"/>
    <mergeCell ref="H2:H3"/>
    <mergeCell ref="I2:I3"/>
    <mergeCell ref="J2:J3"/>
    <mergeCell ref="K2:M2"/>
    <mergeCell ref="O2:Q2"/>
    <mergeCell ref="R2:R3"/>
  </mergeCells>
  <phoneticPr fontId="119" type="noConversion"/>
  <dataValidations count="1">
    <dataValidation type="list" allowBlank="1" showInputMessage="1" showErrorMessage="1" sqref="D25:D43 D4 D11:D17 D19:D21 D82:D83" xr:uid="{00000000-0002-0000-0300-000000000000}">
      <formula1>$E$2:$E$172</formula1>
    </dataValidation>
  </dataValidations>
  <pageMargins left="0.7" right="0.7" top="0.75" bottom="0.75" header="0.3" footer="0.3"/>
  <pageSetup paperSize="9" scale="37" orientation="landscape" r:id="rId1"/>
  <colBreaks count="1" manualBreakCount="1">
    <brk id="1" max="87" man="1"/>
  </col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1000000}">
          <x14:formula1>
            <xm:f>справочник!$E$2:$E$173</xm:f>
          </x14:formula1>
          <xm:sqref>D66</xm:sqref>
        </x14:dataValidation>
        <x14:dataValidation type="list" allowBlank="1" showInputMessage="1" showErrorMessage="1" xr:uid="{00000000-0002-0000-0300-000002000000}">
          <x14:formula1>
            <xm:f>справочник!$E$2:$E$178</xm:f>
          </x14:formula1>
          <xm:sqref>D1:D1048576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65"/>
  <sheetViews>
    <sheetView topLeftCell="B1" zoomScale="69" zoomScaleNormal="69" zoomScaleSheetLayoutView="70" workbookViewId="0">
      <pane ySplit="3" topLeftCell="A4" activePane="bottomLeft" state="frozen"/>
      <selection pane="bottomLeft" activeCell="C5" sqref="C5"/>
    </sheetView>
  </sheetViews>
  <sheetFormatPr defaultRowHeight="15" x14ac:dyDescent="0.25"/>
  <cols>
    <col min="1" max="1" width="18" style="113" customWidth="1"/>
    <col min="2" max="2" width="15.140625" customWidth="1"/>
    <col min="3" max="3" width="17" customWidth="1"/>
    <col min="4" max="4" width="50.140625" customWidth="1"/>
    <col min="5" max="5" width="15.5703125" style="174" customWidth="1"/>
    <col min="6" max="6" width="13" bestFit="1" customWidth="1"/>
    <col min="7" max="7" width="19.140625" customWidth="1"/>
    <col min="8" max="8" width="19.5703125" customWidth="1"/>
    <col min="9" max="9" width="23" customWidth="1"/>
    <col min="10" max="10" width="21.42578125" customWidth="1"/>
    <col min="11" max="11" width="26.7109375" customWidth="1"/>
    <col min="12" max="12" width="24.85546875" customWidth="1"/>
    <col min="13" max="13" width="26.85546875" customWidth="1"/>
    <col min="14" max="14" width="18.42578125" style="140" customWidth="1"/>
    <col min="15" max="15" width="9.85546875" customWidth="1"/>
    <col min="16" max="16" width="10.42578125" customWidth="1"/>
    <col min="17" max="17" width="10.28515625" customWidth="1"/>
    <col min="18" max="18" width="10.85546875" customWidth="1"/>
    <col min="19" max="19" width="13.85546875" customWidth="1"/>
    <col min="20" max="20" width="17.28515625" customWidth="1"/>
    <col min="21" max="21" width="15.42578125" customWidth="1"/>
  </cols>
  <sheetData>
    <row r="1" spans="1:20" s="59" customFormat="1" ht="17.25" x14ac:dyDescent="0.3">
      <c r="A1" s="109"/>
      <c r="B1" s="58" t="s">
        <v>152</v>
      </c>
      <c r="C1" s="66">
        <v>45870</v>
      </c>
      <c r="D1" s="58"/>
      <c r="E1" s="173"/>
      <c r="F1" s="58"/>
      <c r="H1" s="58"/>
      <c r="I1" s="58"/>
      <c r="J1" s="58"/>
      <c r="K1" s="60"/>
      <c r="L1" s="60"/>
      <c r="M1" s="60"/>
      <c r="N1" s="106"/>
      <c r="O1" s="60"/>
      <c r="P1" s="60"/>
      <c r="Q1" s="60"/>
    </row>
    <row r="2" spans="1:20" ht="25.5" customHeight="1" x14ac:dyDescent="0.25">
      <c r="A2" s="404" t="s">
        <v>159</v>
      </c>
      <c r="B2" s="406" t="s">
        <v>18</v>
      </c>
      <c r="C2" s="408" t="s">
        <v>156</v>
      </c>
      <c r="D2" s="410" t="s">
        <v>4</v>
      </c>
      <c r="E2" s="412" t="s">
        <v>5</v>
      </c>
      <c r="F2" s="402" t="s">
        <v>0</v>
      </c>
      <c r="G2" s="403"/>
      <c r="H2" s="388" t="s">
        <v>2</v>
      </c>
      <c r="I2" s="390" t="s">
        <v>3</v>
      </c>
      <c r="J2" s="392" t="s">
        <v>6</v>
      </c>
      <c r="K2" s="394" t="s">
        <v>7</v>
      </c>
      <c r="L2" s="395"/>
      <c r="M2" s="396"/>
      <c r="N2" s="107" t="s">
        <v>9</v>
      </c>
      <c r="O2" s="397" t="s">
        <v>12</v>
      </c>
      <c r="P2" s="398"/>
      <c r="Q2" s="399"/>
      <c r="R2" s="400" t="s">
        <v>151</v>
      </c>
      <c r="S2" s="387" t="s">
        <v>161</v>
      </c>
      <c r="T2" s="95"/>
    </row>
    <row r="3" spans="1:20" x14ac:dyDescent="0.25">
      <c r="A3" s="405"/>
      <c r="B3" s="407"/>
      <c r="C3" s="409"/>
      <c r="D3" s="411"/>
      <c r="E3" s="413"/>
      <c r="F3" s="149" t="s">
        <v>1</v>
      </c>
      <c r="G3" s="149" t="s">
        <v>155</v>
      </c>
      <c r="H3" s="389"/>
      <c r="I3" s="391"/>
      <c r="J3" s="393"/>
      <c r="K3" s="272" t="s">
        <v>8</v>
      </c>
      <c r="L3" s="272" t="s">
        <v>21</v>
      </c>
      <c r="M3" s="272" t="s">
        <v>10</v>
      </c>
      <c r="N3" s="150" t="s">
        <v>1038</v>
      </c>
      <c r="O3" s="151" t="s">
        <v>13</v>
      </c>
      <c r="P3" s="151" t="s">
        <v>154</v>
      </c>
      <c r="Q3" s="152" t="s">
        <v>23</v>
      </c>
      <c r="R3" s="401"/>
      <c r="S3" s="387"/>
      <c r="T3" s="153" t="s">
        <v>162</v>
      </c>
    </row>
    <row r="4" spans="1:20" s="138" customFormat="1" x14ac:dyDescent="0.25">
      <c r="A4" s="200"/>
      <c r="B4" s="273"/>
      <c r="C4" s="273"/>
      <c r="D4" s="273"/>
      <c r="E4" s="274"/>
      <c r="F4" s="156"/>
      <c r="G4" s="156"/>
      <c r="H4" s="273"/>
      <c r="I4" s="273"/>
      <c r="J4" s="200"/>
      <c r="K4" s="156"/>
      <c r="L4" s="156"/>
      <c r="M4" s="156"/>
      <c r="N4" s="155"/>
      <c r="O4" s="156"/>
      <c r="P4" s="156"/>
      <c r="Q4" s="157"/>
      <c r="R4" s="141"/>
      <c r="S4" s="275"/>
      <c r="T4" s="158"/>
    </row>
    <row r="5" spans="1:20" s="63" customFormat="1" ht="13.5" customHeight="1" x14ac:dyDescent="0.25">
      <c r="A5" s="65" t="s">
        <v>790</v>
      </c>
      <c r="B5" s="57" t="s">
        <v>1465</v>
      </c>
      <c r="C5" s="57" t="s">
        <v>788</v>
      </c>
      <c r="D5" s="93" t="s">
        <v>212</v>
      </c>
      <c r="E5" s="189" t="s">
        <v>1466</v>
      </c>
      <c r="F5" s="92">
        <v>20000</v>
      </c>
      <c r="G5" s="65">
        <v>800</v>
      </c>
      <c r="H5" s="65" t="s">
        <v>789</v>
      </c>
      <c r="I5" s="65" t="s">
        <v>1263</v>
      </c>
      <c r="J5" s="55">
        <v>45870</v>
      </c>
      <c r="K5" s="53" t="s">
        <v>884</v>
      </c>
      <c r="L5" s="166" t="s">
        <v>1563</v>
      </c>
      <c r="M5" s="53" t="s">
        <v>883</v>
      </c>
      <c r="N5" s="199"/>
      <c r="O5" s="92">
        <v>20000</v>
      </c>
      <c r="P5" s="57"/>
      <c r="Q5" s="57"/>
      <c r="R5" s="53" t="s">
        <v>417</v>
      </c>
      <c r="S5" s="94">
        <v>45000</v>
      </c>
      <c r="T5" s="61">
        <f t="shared" ref="T5:T36" si="0" xml:space="preserve"> S5*(F5/1000)</f>
        <v>900000</v>
      </c>
    </row>
    <row r="6" spans="1:20" s="63" customFormat="1" ht="13.5" customHeight="1" x14ac:dyDescent="0.25">
      <c r="A6" s="65" t="s">
        <v>311</v>
      </c>
      <c r="B6" s="57" t="s">
        <v>1386</v>
      </c>
      <c r="C6" s="57" t="s">
        <v>164</v>
      </c>
      <c r="D6" s="10" t="s">
        <v>306</v>
      </c>
      <c r="E6" s="167" t="s">
        <v>1366</v>
      </c>
      <c r="F6" s="57">
        <v>20125</v>
      </c>
      <c r="G6" s="65">
        <v>805</v>
      </c>
      <c r="H6" s="65" t="s">
        <v>165</v>
      </c>
      <c r="I6" s="55" t="s">
        <v>1263</v>
      </c>
      <c r="J6" s="55">
        <v>45870</v>
      </c>
      <c r="K6" s="53" t="s">
        <v>1236</v>
      </c>
      <c r="L6" s="207">
        <v>89220464746</v>
      </c>
      <c r="M6" s="53" t="s">
        <v>1237</v>
      </c>
      <c r="N6" s="271"/>
      <c r="O6" s="57">
        <v>20125</v>
      </c>
      <c r="P6" s="57"/>
      <c r="Q6" s="57"/>
      <c r="R6" s="168" t="s">
        <v>417</v>
      </c>
      <c r="S6" s="94">
        <v>41000</v>
      </c>
      <c r="T6" s="61">
        <f t="shared" si="0"/>
        <v>825125</v>
      </c>
    </row>
    <row r="7" spans="1:20" s="63" customFormat="1" ht="13.5" customHeight="1" x14ac:dyDescent="0.25">
      <c r="A7" s="65" t="s">
        <v>408</v>
      </c>
      <c r="B7" s="57" t="s">
        <v>1398</v>
      </c>
      <c r="C7" s="57" t="s">
        <v>164</v>
      </c>
      <c r="D7" s="10" t="s">
        <v>306</v>
      </c>
      <c r="E7" s="167" t="s">
        <v>1400</v>
      </c>
      <c r="F7" s="57">
        <v>20125</v>
      </c>
      <c r="G7" s="65">
        <v>805</v>
      </c>
      <c r="H7" s="65" t="s">
        <v>165</v>
      </c>
      <c r="I7" s="55" t="s">
        <v>1263</v>
      </c>
      <c r="J7" s="55">
        <v>45870</v>
      </c>
      <c r="K7" s="53" t="s">
        <v>975</v>
      </c>
      <c r="L7" s="207">
        <v>89116825992</v>
      </c>
      <c r="M7" s="53" t="s">
        <v>414</v>
      </c>
      <c r="N7" s="271"/>
      <c r="O7" s="57">
        <v>20125</v>
      </c>
      <c r="P7" s="57"/>
      <c r="Q7" s="57"/>
      <c r="R7" s="168" t="s">
        <v>417</v>
      </c>
      <c r="S7" s="94">
        <v>41000</v>
      </c>
      <c r="T7" s="61">
        <f t="shared" si="0"/>
        <v>825125</v>
      </c>
    </row>
    <row r="8" spans="1:20" s="63" customFormat="1" ht="13.5" customHeight="1" x14ac:dyDescent="0.25">
      <c r="A8" s="65" t="s">
        <v>316</v>
      </c>
      <c r="B8" s="57" t="s">
        <v>1519</v>
      </c>
      <c r="C8" s="57" t="s">
        <v>558</v>
      </c>
      <c r="D8" s="93" t="s">
        <v>1574</v>
      </c>
      <c r="E8" s="56" t="s">
        <v>1520</v>
      </c>
      <c r="F8" s="92">
        <v>20000</v>
      </c>
      <c r="G8" s="65">
        <v>800</v>
      </c>
      <c r="H8" s="65" t="s">
        <v>1051</v>
      </c>
      <c r="I8" s="65" t="s">
        <v>1263</v>
      </c>
      <c r="J8" s="55">
        <v>45870</v>
      </c>
      <c r="K8" s="108" t="s">
        <v>1566</v>
      </c>
      <c r="L8" s="108">
        <v>89601818667</v>
      </c>
      <c r="M8" s="98" t="s">
        <v>1567</v>
      </c>
      <c r="N8" s="162"/>
      <c r="O8" s="92">
        <v>20000</v>
      </c>
      <c r="P8" s="92"/>
      <c r="Q8" s="92"/>
      <c r="R8" s="53" t="s">
        <v>417</v>
      </c>
      <c r="S8" s="94">
        <v>45000</v>
      </c>
      <c r="T8" s="61">
        <f t="shared" si="0"/>
        <v>900000</v>
      </c>
    </row>
    <row r="9" spans="1:20" s="63" customFormat="1" ht="13.5" customHeight="1" x14ac:dyDescent="0.25">
      <c r="A9" s="65" t="s">
        <v>997</v>
      </c>
      <c r="B9" s="57" t="s">
        <v>1434</v>
      </c>
      <c r="C9" s="57" t="s">
        <v>164</v>
      </c>
      <c r="D9" s="10" t="s">
        <v>306</v>
      </c>
      <c r="E9" s="167" t="s">
        <v>1443</v>
      </c>
      <c r="F9" s="57">
        <v>20125</v>
      </c>
      <c r="G9" s="65">
        <v>805</v>
      </c>
      <c r="H9" s="65" t="s">
        <v>165</v>
      </c>
      <c r="I9" s="55" t="s">
        <v>1263</v>
      </c>
      <c r="J9" s="55">
        <v>45873</v>
      </c>
      <c r="K9" s="207" t="s">
        <v>1395</v>
      </c>
      <c r="L9" s="279">
        <v>89195697888</v>
      </c>
      <c r="M9" s="53" t="s">
        <v>1568</v>
      </c>
      <c r="N9" s="271"/>
      <c r="O9" s="57">
        <v>20125</v>
      </c>
      <c r="P9" s="57"/>
      <c r="Q9" s="57"/>
      <c r="R9" s="168" t="s">
        <v>417</v>
      </c>
      <c r="S9" s="94">
        <v>41000</v>
      </c>
      <c r="T9" s="61">
        <f t="shared" si="0"/>
        <v>825125</v>
      </c>
    </row>
    <row r="10" spans="1:20" s="63" customFormat="1" ht="13.5" customHeight="1" x14ac:dyDescent="0.25">
      <c r="A10" s="65" t="s">
        <v>1442</v>
      </c>
      <c r="B10" s="57" t="s">
        <v>1435</v>
      </c>
      <c r="C10" s="57" t="s">
        <v>164</v>
      </c>
      <c r="D10" s="10" t="s">
        <v>306</v>
      </c>
      <c r="E10" s="167" t="s">
        <v>1424</v>
      </c>
      <c r="F10" s="57">
        <v>20125</v>
      </c>
      <c r="G10" s="65">
        <v>805</v>
      </c>
      <c r="H10" s="65" t="s">
        <v>165</v>
      </c>
      <c r="I10" s="55" t="s">
        <v>1263</v>
      </c>
      <c r="J10" s="55">
        <v>45873</v>
      </c>
      <c r="K10" s="53" t="s">
        <v>1205</v>
      </c>
      <c r="L10" s="207">
        <v>89195966929</v>
      </c>
      <c r="M10" s="53" t="s">
        <v>1569</v>
      </c>
      <c r="N10" s="271"/>
      <c r="O10" s="57">
        <v>20125</v>
      </c>
      <c r="P10" s="57"/>
      <c r="Q10" s="57"/>
      <c r="R10" s="168" t="s">
        <v>417</v>
      </c>
      <c r="S10" s="94">
        <v>41000</v>
      </c>
      <c r="T10" s="61">
        <f t="shared" si="0"/>
        <v>825125</v>
      </c>
    </row>
    <row r="11" spans="1:20" s="63" customFormat="1" ht="13.5" customHeight="1" x14ac:dyDescent="0.25">
      <c r="A11" s="65" t="s">
        <v>790</v>
      </c>
      <c r="B11" s="57" t="s">
        <v>1572</v>
      </c>
      <c r="C11" s="57" t="s">
        <v>788</v>
      </c>
      <c r="D11" s="93" t="s">
        <v>212</v>
      </c>
      <c r="E11" s="189" t="s">
        <v>1482</v>
      </c>
      <c r="F11" s="92">
        <v>20000</v>
      </c>
      <c r="G11" s="65">
        <v>800</v>
      </c>
      <c r="H11" s="65" t="s">
        <v>789</v>
      </c>
      <c r="I11" s="65" t="s">
        <v>1263</v>
      </c>
      <c r="J11" s="55">
        <v>45874</v>
      </c>
      <c r="K11" s="165" t="s">
        <v>1432</v>
      </c>
      <c r="L11" s="166" t="s">
        <v>1571</v>
      </c>
      <c r="M11" s="53" t="s">
        <v>1570</v>
      </c>
      <c r="N11" s="199"/>
      <c r="O11" s="92">
        <v>20000</v>
      </c>
      <c r="P11" s="57"/>
      <c r="Q11" s="57"/>
      <c r="R11" s="53" t="s">
        <v>417</v>
      </c>
      <c r="S11" s="94">
        <v>45000</v>
      </c>
      <c r="T11" s="61">
        <f t="shared" si="0"/>
        <v>900000</v>
      </c>
    </row>
    <row r="12" spans="1:20" s="63" customFormat="1" ht="13.5" customHeight="1" x14ac:dyDescent="0.25">
      <c r="A12" s="65" t="s">
        <v>297</v>
      </c>
      <c r="B12" s="57" t="s">
        <v>1534</v>
      </c>
      <c r="C12" s="57" t="s">
        <v>164</v>
      </c>
      <c r="D12" s="10" t="s">
        <v>306</v>
      </c>
      <c r="E12" s="167" t="s">
        <v>1541</v>
      </c>
      <c r="F12" s="57">
        <v>4375</v>
      </c>
      <c r="G12" s="65">
        <v>175</v>
      </c>
      <c r="H12" s="65" t="s">
        <v>166</v>
      </c>
      <c r="I12" s="55" t="s">
        <v>1263</v>
      </c>
      <c r="J12" s="55">
        <v>45876</v>
      </c>
      <c r="K12" s="53"/>
      <c r="L12" s="207"/>
      <c r="M12" s="53"/>
      <c r="N12" s="271" t="s">
        <v>1587</v>
      </c>
      <c r="O12" s="57">
        <v>4375</v>
      </c>
      <c r="P12" s="57"/>
      <c r="Q12" s="57"/>
      <c r="R12" s="168" t="s">
        <v>417</v>
      </c>
      <c r="S12" s="94">
        <v>41000</v>
      </c>
      <c r="T12" s="61">
        <f t="shared" si="0"/>
        <v>179375</v>
      </c>
    </row>
    <row r="13" spans="1:20" s="63" customFormat="1" ht="13.5" customHeight="1" x14ac:dyDescent="0.25">
      <c r="A13" s="65" t="s">
        <v>297</v>
      </c>
      <c r="B13" s="57" t="s">
        <v>1534</v>
      </c>
      <c r="C13" s="57" t="s">
        <v>164</v>
      </c>
      <c r="D13" s="10" t="s">
        <v>306</v>
      </c>
      <c r="E13" s="167" t="s">
        <v>1542</v>
      </c>
      <c r="F13" s="57">
        <v>4375</v>
      </c>
      <c r="G13" s="65">
        <v>175</v>
      </c>
      <c r="H13" s="65" t="s">
        <v>166</v>
      </c>
      <c r="I13" s="55" t="s">
        <v>1263</v>
      </c>
      <c r="J13" s="55">
        <v>45876</v>
      </c>
      <c r="K13" s="53"/>
      <c r="L13" s="207"/>
      <c r="M13" s="53"/>
      <c r="N13" s="271" t="s">
        <v>1587</v>
      </c>
      <c r="O13" s="57">
        <v>4375</v>
      </c>
      <c r="P13" s="57"/>
      <c r="Q13" s="57"/>
      <c r="R13" s="168" t="s">
        <v>417</v>
      </c>
      <c r="S13" s="94">
        <v>41000</v>
      </c>
      <c r="T13" s="61">
        <f t="shared" si="0"/>
        <v>179375</v>
      </c>
    </row>
    <row r="14" spans="1:20" s="63" customFormat="1" ht="13.5" customHeight="1" x14ac:dyDescent="0.25">
      <c r="A14" s="65" t="s">
        <v>297</v>
      </c>
      <c r="B14" s="57" t="s">
        <v>1534</v>
      </c>
      <c r="C14" s="57" t="s">
        <v>164</v>
      </c>
      <c r="D14" s="10" t="s">
        <v>306</v>
      </c>
      <c r="E14" s="167" t="s">
        <v>1543</v>
      </c>
      <c r="F14" s="57">
        <v>4375</v>
      </c>
      <c r="G14" s="65">
        <v>175</v>
      </c>
      <c r="H14" s="65" t="s">
        <v>166</v>
      </c>
      <c r="I14" s="55" t="s">
        <v>1263</v>
      </c>
      <c r="J14" s="55">
        <v>45876</v>
      </c>
      <c r="K14" s="53"/>
      <c r="L14" s="207"/>
      <c r="M14" s="53"/>
      <c r="N14" s="271" t="s">
        <v>1587</v>
      </c>
      <c r="O14" s="57">
        <v>4375</v>
      </c>
      <c r="P14" s="57"/>
      <c r="Q14" s="57"/>
      <c r="R14" s="168" t="s">
        <v>417</v>
      </c>
      <c r="S14" s="94">
        <v>41000</v>
      </c>
      <c r="T14" s="61">
        <f t="shared" si="0"/>
        <v>179375</v>
      </c>
    </row>
    <row r="15" spans="1:20" s="63" customFormat="1" ht="13.5" customHeight="1" x14ac:dyDescent="0.25">
      <c r="A15" s="65" t="s">
        <v>297</v>
      </c>
      <c r="B15" s="57" t="s">
        <v>1534</v>
      </c>
      <c r="C15" s="57" t="s">
        <v>164</v>
      </c>
      <c r="D15" s="10" t="s">
        <v>306</v>
      </c>
      <c r="E15" s="167" t="s">
        <v>1544</v>
      </c>
      <c r="F15" s="57">
        <v>4375</v>
      </c>
      <c r="G15" s="65">
        <v>175</v>
      </c>
      <c r="H15" s="65" t="s">
        <v>166</v>
      </c>
      <c r="I15" s="55" t="s">
        <v>1263</v>
      </c>
      <c r="J15" s="55">
        <v>45876</v>
      </c>
      <c r="K15" s="53"/>
      <c r="L15" s="207"/>
      <c r="M15" s="53"/>
      <c r="N15" s="271" t="s">
        <v>1587</v>
      </c>
      <c r="O15" s="57">
        <v>4375</v>
      </c>
      <c r="P15" s="57"/>
      <c r="Q15" s="57"/>
      <c r="R15" s="168" t="s">
        <v>417</v>
      </c>
      <c r="S15" s="94">
        <v>41000</v>
      </c>
      <c r="T15" s="61">
        <f t="shared" si="0"/>
        <v>179375</v>
      </c>
    </row>
    <row r="16" spans="1:20" s="63" customFormat="1" ht="13.5" customHeight="1" x14ac:dyDescent="0.25">
      <c r="A16" s="65" t="s">
        <v>297</v>
      </c>
      <c r="B16" s="57" t="s">
        <v>1535</v>
      </c>
      <c r="C16" s="57" t="s">
        <v>164</v>
      </c>
      <c r="D16" s="10" t="s">
        <v>306</v>
      </c>
      <c r="E16" s="167" t="s">
        <v>1547</v>
      </c>
      <c r="F16" s="57">
        <v>4375</v>
      </c>
      <c r="G16" s="65">
        <v>175</v>
      </c>
      <c r="H16" s="65" t="s">
        <v>166</v>
      </c>
      <c r="I16" s="55" t="s">
        <v>1263</v>
      </c>
      <c r="J16" s="55">
        <v>45876</v>
      </c>
      <c r="K16" s="53"/>
      <c r="L16" s="207"/>
      <c r="M16" s="53"/>
      <c r="N16" s="271" t="s">
        <v>1588</v>
      </c>
      <c r="O16" s="57">
        <v>4375</v>
      </c>
      <c r="P16" s="57"/>
      <c r="Q16" s="57"/>
      <c r="R16" s="168" t="s">
        <v>417</v>
      </c>
      <c r="S16" s="94">
        <v>41000</v>
      </c>
      <c r="T16" s="61">
        <f t="shared" si="0"/>
        <v>179375</v>
      </c>
    </row>
    <row r="17" spans="1:20" s="63" customFormat="1" ht="13.5" customHeight="1" x14ac:dyDescent="0.25">
      <c r="A17" s="65" t="s">
        <v>297</v>
      </c>
      <c r="B17" s="57" t="s">
        <v>1535</v>
      </c>
      <c r="C17" s="57" t="s">
        <v>164</v>
      </c>
      <c r="D17" s="10" t="s">
        <v>306</v>
      </c>
      <c r="E17" s="167" t="s">
        <v>1548</v>
      </c>
      <c r="F17" s="57">
        <v>4375</v>
      </c>
      <c r="G17" s="65">
        <v>175</v>
      </c>
      <c r="H17" s="65" t="s">
        <v>166</v>
      </c>
      <c r="I17" s="55" t="s">
        <v>1263</v>
      </c>
      <c r="J17" s="55">
        <v>45876</v>
      </c>
      <c r="K17" s="53"/>
      <c r="L17" s="207"/>
      <c r="M17" s="53"/>
      <c r="N17" s="271" t="s">
        <v>1588</v>
      </c>
      <c r="O17" s="57">
        <v>4375</v>
      </c>
      <c r="P17" s="57"/>
      <c r="Q17" s="57"/>
      <c r="R17" s="168" t="s">
        <v>417</v>
      </c>
      <c r="S17" s="94">
        <v>41000</v>
      </c>
      <c r="T17" s="61">
        <f t="shared" si="0"/>
        <v>179375</v>
      </c>
    </row>
    <row r="18" spans="1:20" s="63" customFormat="1" ht="13.5" customHeight="1" x14ac:dyDescent="0.25">
      <c r="A18" s="65" t="s">
        <v>297</v>
      </c>
      <c r="B18" s="57" t="s">
        <v>1535</v>
      </c>
      <c r="C18" s="57" t="s">
        <v>164</v>
      </c>
      <c r="D18" s="10" t="s">
        <v>306</v>
      </c>
      <c r="E18" s="167" t="s">
        <v>1549</v>
      </c>
      <c r="F18" s="57">
        <v>4375</v>
      </c>
      <c r="G18" s="65">
        <v>175</v>
      </c>
      <c r="H18" s="65" t="s">
        <v>166</v>
      </c>
      <c r="I18" s="55" t="s">
        <v>1263</v>
      </c>
      <c r="J18" s="55">
        <v>45876</v>
      </c>
      <c r="K18" s="53"/>
      <c r="L18" s="207"/>
      <c r="M18" s="53"/>
      <c r="N18" s="271" t="s">
        <v>1588</v>
      </c>
      <c r="O18" s="57">
        <v>4375</v>
      </c>
      <c r="P18" s="57"/>
      <c r="Q18" s="57"/>
      <c r="R18" s="168" t="s">
        <v>417</v>
      </c>
      <c r="S18" s="94">
        <v>41000</v>
      </c>
      <c r="T18" s="61">
        <f t="shared" si="0"/>
        <v>179375</v>
      </c>
    </row>
    <row r="19" spans="1:20" s="63" customFormat="1" ht="13.5" customHeight="1" x14ac:dyDescent="0.25">
      <c r="A19" s="65" t="s">
        <v>297</v>
      </c>
      <c r="B19" s="57" t="s">
        <v>1535</v>
      </c>
      <c r="C19" s="57" t="s">
        <v>164</v>
      </c>
      <c r="D19" s="10" t="s">
        <v>306</v>
      </c>
      <c r="E19" s="167" t="s">
        <v>1550</v>
      </c>
      <c r="F19" s="57">
        <v>4375</v>
      </c>
      <c r="G19" s="65">
        <v>175</v>
      </c>
      <c r="H19" s="65" t="s">
        <v>166</v>
      </c>
      <c r="I19" s="55" t="s">
        <v>1263</v>
      </c>
      <c r="J19" s="55">
        <v>45876</v>
      </c>
      <c r="K19" s="53"/>
      <c r="L19" s="207"/>
      <c r="M19" s="53"/>
      <c r="N19" s="271" t="s">
        <v>1588</v>
      </c>
      <c r="O19" s="57">
        <v>4375</v>
      </c>
      <c r="P19" s="57"/>
      <c r="Q19" s="57"/>
      <c r="R19" s="168" t="s">
        <v>417</v>
      </c>
      <c r="S19" s="94">
        <v>41000</v>
      </c>
      <c r="T19" s="61">
        <f t="shared" si="0"/>
        <v>179375</v>
      </c>
    </row>
    <row r="20" spans="1:20" s="63" customFormat="1" ht="13.5" customHeight="1" x14ac:dyDescent="0.25">
      <c r="A20" s="65" t="s">
        <v>790</v>
      </c>
      <c r="B20" s="57" t="s">
        <v>1546</v>
      </c>
      <c r="C20" s="57" t="s">
        <v>788</v>
      </c>
      <c r="D20" s="93" t="s">
        <v>157</v>
      </c>
      <c r="E20" s="189" t="s">
        <v>1589</v>
      </c>
      <c r="F20" s="92">
        <v>17600</v>
      </c>
      <c r="G20" s="65">
        <v>88</v>
      </c>
      <c r="H20" s="65" t="s">
        <v>789</v>
      </c>
      <c r="I20" s="65" t="s">
        <v>1263</v>
      </c>
      <c r="J20" s="55">
        <v>45880</v>
      </c>
      <c r="K20" s="62" t="s">
        <v>1593</v>
      </c>
      <c r="L20" s="166" t="s">
        <v>1353</v>
      </c>
      <c r="M20" s="53" t="s">
        <v>1591</v>
      </c>
      <c r="N20" s="199"/>
      <c r="O20" s="92"/>
      <c r="P20" s="57"/>
      <c r="Q20" s="92">
        <v>17600</v>
      </c>
      <c r="R20" s="53" t="s">
        <v>417</v>
      </c>
      <c r="S20" s="94">
        <v>81500</v>
      </c>
      <c r="T20" s="61">
        <f t="shared" si="0"/>
        <v>1434400</v>
      </c>
    </row>
    <row r="21" spans="1:20" s="63" customFormat="1" ht="13.5" customHeight="1" x14ac:dyDescent="0.25">
      <c r="A21" s="65" t="s">
        <v>790</v>
      </c>
      <c r="B21" s="57" t="s">
        <v>1545</v>
      </c>
      <c r="C21" s="57" t="s">
        <v>788</v>
      </c>
      <c r="D21" s="93" t="s">
        <v>157</v>
      </c>
      <c r="E21" s="189" t="s">
        <v>1406</v>
      </c>
      <c r="F21" s="92">
        <v>17600</v>
      </c>
      <c r="G21" s="65">
        <v>88</v>
      </c>
      <c r="H21" s="65" t="s">
        <v>789</v>
      </c>
      <c r="I21" s="65" t="s">
        <v>1263</v>
      </c>
      <c r="J21" s="55">
        <v>45880</v>
      </c>
      <c r="K21" s="53" t="s">
        <v>611</v>
      </c>
      <c r="L21" s="166" t="s">
        <v>1590</v>
      </c>
      <c r="M21" s="53" t="s">
        <v>610</v>
      </c>
      <c r="N21" s="199"/>
      <c r="O21" s="92"/>
      <c r="P21" s="57"/>
      <c r="Q21" s="92">
        <v>17600</v>
      </c>
      <c r="R21" s="53" t="s">
        <v>417</v>
      </c>
      <c r="S21" s="94">
        <v>81500</v>
      </c>
      <c r="T21" s="61">
        <f t="shared" si="0"/>
        <v>1434400</v>
      </c>
    </row>
    <row r="22" spans="1:20" s="63" customFormat="1" ht="13.5" customHeight="1" x14ac:dyDescent="0.25">
      <c r="A22" s="65" t="s">
        <v>281</v>
      </c>
      <c r="B22" s="57" t="s">
        <v>594</v>
      </c>
      <c r="C22" s="57" t="s">
        <v>1444</v>
      </c>
      <c r="D22" s="10" t="s">
        <v>194</v>
      </c>
      <c r="E22" s="56" t="s">
        <v>1575</v>
      </c>
      <c r="F22" s="57">
        <v>6000</v>
      </c>
      <c r="G22" s="65">
        <v>30</v>
      </c>
      <c r="H22" s="65" t="s">
        <v>281</v>
      </c>
      <c r="I22" s="55" t="s">
        <v>1263</v>
      </c>
      <c r="J22" s="55">
        <v>45881</v>
      </c>
      <c r="K22" s="53" t="s">
        <v>1595</v>
      </c>
      <c r="L22" s="207">
        <v>89771324621</v>
      </c>
      <c r="M22" s="53" t="s">
        <v>1594</v>
      </c>
      <c r="N22" s="212"/>
      <c r="O22" s="53"/>
      <c r="P22" s="57"/>
      <c r="Q22" s="57">
        <v>6000</v>
      </c>
      <c r="R22" s="53" t="s">
        <v>417</v>
      </c>
      <c r="S22" s="94">
        <v>170000</v>
      </c>
      <c r="T22" s="61">
        <f t="shared" si="0"/>
        <v>1020000</v>
      </c>
    </row>
    <row r="23" spans="1:20" s="63" customFormat="1" ht="13.5" customHeight="1" x14ac:dyDescent="0.25">
      <c r="A23" s="65" t="s">
        <v>297</v>
      </c>
      <c r="B23" s="57" t="s">
        <v>1539</v>
      </c>
      <c r="C23" s="57" t="s">
        <v>164</v>
      </c>
      <c r="D23" s="10" t="s">
        <v>324</v>
      </c>
      <c r="E23" s="167" t="s">
        <v>1540</v>
      </c>
      <c r="F23" s="57">
        <v>9500</v>
      </c>
      <c r="G23" s="65">
        <v>10</v>
      </c>
      <c r="H23" s="65" t="s">
        <v>1374</v>
      </c>
      <c r="I23" s="55" t="s">
        <v>1263</v>
      </c>
      <c r="J23" s="55">
        <v>45883</v>
      </c>
      <c r="K23" s="53" t="s">
        <v>1626</v>
      </c>
      <c r="L23" s="207"/>
      <c r="M23" s="53"/>
      <c r="N23" s="262" t="s">
        <v>1621</v>
      </c>
      <c r="O23" s="53"/>
      <c r="P23" s="57"/>
      <c r="Q23" s="57">
        <v>9500</v>
      </c>
      <c r="R23" s="280" t="s">
        <v>417</v>
      </c>
      <c r="S23" s="94">
        <v>790348.39</v>
      </c>
      <c r="T23" s="61">
        <f t="shared" si="0"/>
        <v>7508309.7050000001</v>
      </c>
    </row>
    <row r="24" spans="1:20" s="63" customFormat="1" ht="13.5" customHeight="1" x14ac:dyDescent="0.25">
      <c r="A24" s="65" t="s">
        <v>297</v>
      </c>
      <c r="B24" s="57" t="s">
        <v>1539</v>
      </c>
      <c r="C24" s="57" t="s">
        <v>164</v>
      </c>
      <c r="D24" s="10" t="s">
        <v>324</v>
      </c>
      <c r="E24" s="167" t="s">
        <v>1540</v>
      </c>
      <c r="F24" s="57">
        <v>9500</v>
      </c>
      <c r="G24" s="65">
        <v>10</v>
      </c>
      <c r="H24" s="65" t="s">
        <v>1374</v>
      </c>
      <c r="I24" s="55" t="s">
        <v>1263</v>
      </c>
      <c r="J24" s="55">
        <v>45883</v>
      </c>
      <c r="K24" s="53" t="s">
        <v>1626</v>
      </c>
      <c r="L24" s="207"/>
      <c r="M24" s="53"/>
      <c r="N24" s="262" t="s">
        <v>1622</v>
      </c>
      <c r="O24" s="53"/>
      <c r="P24" s="57"/>
      <c r="Q24" s="57">
        <v>9500</v>
      </c>
      <c r="R24" s="280" t="s">
        <v>417</v>
      </c>
      <c r="S24" s="94">
        <v>790348.39</v>
      </c>
      <c r="T24" s="61">
        <f t="shared" si="0"/>
        <v>7508309.7050000001</v>
      </c>
    </row>
    <row r="25" spans="1:20" s="63" customFormat="1" ht="13.5" customHeight="1" x14ac:dyDescent="0.25">
      <c r="A25" s="65" t="s">
        <v>1627</v>
      </c>
      <c r="B25" s="53" t="s">
        <v>1530</v>
      </c>
      <c r="C25" s="57" t="s">
        <v>1324</v>
      </c>
      <c r="D25" s="93" t="s">
        <v>168</v>
      </c>
      <c r="E25" s="56" t="s">
        <v>1253</v>
      </c>
      <c r="F25" s="92">
        <v>6400</v>
      </c>
      <c r="G25" s="65">
        <v>32</v>
      </c>
      <c r="H25" s="65" t="s">
        <v>392</v>
      </c>
      <c r="I25" s="65" t="s">
        <v>1263</v>
      </c>
      <c r="J25" s="55">
        <v>45887</v>
      </c>
      <c r="K25" s="53" t="s">
        <v>1144</v>
      </c>
      <c r="L25" s="207">
        <v>89115713730</v>
      </c>
      <c r="M25" s="53" t="s">
        <v>419</v>
      </c>
      <c r="N25" s="162"/>
      <c r="O25" s="92"/>
      <c r="P25" s="57"/>
      <c r="Q25" s="57">
        <f>F25</f>
        <v>6400</v>
      </c>
      <c r="R25" s="53" t="s">
        <v>417</v>
      </c>
      <c r="S25" s="94">
        <v>89900</v>
      </c>
      <c r="T25" s="61">
        <f t="shared" si="0"/>
        <v>575360</v>
      </c>
    </row>
    <row r="26" spans="1:20" s="63" customFormat="1" ht="13.5" customHeight="1" x14ac:dyDescent="0.25">
      <c r="A26" s="65" t="s">
        <v>1627</v>
      </c>
      <c r="B26" s="53" t="s">
        <v>1530</v>
      </c>
      <c r="C26" s="57" t="s">
        <v>1324</v>
      </c>
      <c r="D26" s="93" t="s">
        <v>218</v>
      </c>
      <c r="E26" s="56" t="s">
        <v>1531</v>
      </c>
      <c r="F26" s="92">
        <v>13620</v>
      </c>
      <c r="G26" s="65">
        <v>600</v>
      </c>
      <c r="H26" s="65" t="s">
        <v>392</v>
      </c>
      <c r="I26" s="65" t="s">
        <v>1263</v>
      </c>
      <c r="J26" s="55">
        <v>45887</v>
      </c>
      <c r="K26" s="53" t="s">
        <v>1144</v>
      </c>
      <c r="L26" s="207">
        <v>89115713730</v>
      </c>
      <c r="M26" s="53" t="s">
        <v>419</v>
      </c>
      <c r="N26" s="162"/>
      <c r="O26" s="92">
        <f>F26</f>
        <v>13620</v>
      </c>
      <c r="P26" s="57"/>
      <c r="Q26" s="57"/>
      <c r="R26" s="53" t="s">
        <v>417</v>
      </c>
      <c r="S26" s="94">
        <v>45800</v>
      </c>
      <c r="T26" s="61">
        <f t="shared" si="0"/>
        <v>623796</v>
      </c>
    </row>
    <row r="27" spans="1:20" s="63" customFormat="1" ht="13.5" customHeight="1" x14ac:dyDescent="0.25">
      <c r="A27" s="65" t="s">
        <v>316</v>
      </c>
      <c r="B27" s="57" t="s">
        <v>1577</v>
      </c>
      <c r="C27" s="57" t="s">
        <v>730</v>
      </c>
      <c r="D27" s="10" t="s">
        <v>267</v>
      </c>
      <c r="E27" s="56" t="s">
        <v>1576</v>
      </c>
      <c r="F27" s="57">
        <v>17600</v>
      </c>
      <c r="G27" s="65">
        <v>88</v>
      </c>
      <c r="H27" s="65" t="s">
        <v>732</v>
      </c>
      <c r="I27" s="65" t="s">
        <v>1263</v>
      </c>
      <c r="J27" s="55">
        <v>45888</v>
      </c>
      <c r="K27" s="53" t="s">
        <v>1630</v>
      </c>
      <c r="L27" s="263">
        <v>89375266623</v>
      </c>
      <c r="M27" s="53" t="s">
        <v>1629</v>
      </c>
      <c r="N27" s="212"/>
      <c r="O27" s="57"/>
      <c r="P27" s="57"/>
      <c r="Q27" s="57">
        <v>17600</v>
      </c>
      <c r="R27" s="53" t="s">
        <v>417</v>
      </c>
      <c r="S27" s="94">
        <v>369000</v>
      </c>
      <c r="T27" s="61">
        <f t="shared" si="0"/>
        <v>6494400.0000000009</v>
      </c>
    </row>
    <row r="28" spans="1:20" s="63" customFormat="1" ht="13.5" customHeight="1" x14ac:dyDescent="0.25">
      <c r="A28" s="65" t="s">
        <v>311</v>
      </c>
      <c r="B28" s="57" t="s">
        <v>1579</v>
      </c>
      <c r="C28" s="57" t="s">
        <v>730</v>
      </c>
      <c r="D28" s="10" t="s">
        <v>267</v>
      </c>
      <c r="E28" s="56" t="s">
        <v>1628</v>
      </c>
      <c r="F28" s="57">
        <v>17600</v>
      </c>
      <c r="G28" s="65">
        <v>88</v>
      </c>
      <c r="H28" s="65" t="s">
        <v>732</v>
      </c>
      <c r="I28" s="65" t="s">
        <v>1263</v>
      </c>
      <c r="J28" s="55">
        <v>45889</v>
      </c>
      <c r="K28" s="53" t="s">
        <v>1633</v>
      </c>
      <c r="L28" s="281" t="s">
        <v>1632</v>
      </c>
      <c r="M28" s="53" t="s">
        <v>1631</v>
      </c>
      <c r="N28" s="212"/>
      <c r="O28" s="57"/>
      <c r="P28" s="57"/>
      <c r="Q28" s="288">
        <v>17600</v>
      </c>
      <c r="R28" s="53" t="s">
        <v>417</v>
      </c>
      <c r="S28" s="94">
        <v>369000</v>
      </c>
      <c r="T28" s="61">
        <f t="shared" si="0"/>
        <v>6494400.0000000009</v>
      </c>
    </row>
    <row r="29" spans="1:20" s="63" customFormat="1" ht="13.5" customHeight="1" x14ac:dyDescent="0.25">
      <c r="A29" s="65" t="s">
        <v>408</v>
      </c>
      <c r="B29" s="57" t="s">
        <v>1616</v>
      </c>
      <c r="C29" s="57" t="s">
        <v>164</v>
      </c>
      <c r="D29" s="10" t="s">
        <v>306</v>
      </c>
      <c r="E29" s="167" t="s">
        <v>1596</v>
      </c>
      <c r="F29" s="57">
        <v>4375</v>
      </c>
      <c r="G29" s="65">
        <v>175</v>
      </c>
      <c r="H29" s="65" t="s">
        <v>165</v>
      </c>
      <c r="I29" s="55" t="s">
        <v>1263</v>
      </c>
      <c r="J29" s="55">
        <v>45889</v>
      </c>
      <c r="K29" s="199" t="s">
        <v>975</v>
      </c>
      <c r="L29" s="207">
        <v>89116825992</v>
      </c>
      <c r="M29" s="53" t="s">
        <v>414</v>
      </c>
      <c r="N29" s="271"/>
      <c r="O29" s="57">
        <v>4375</v>
      </c>
      <c r="P29" s="57"/>
      <c r="Q29" s="57"/>
      <c r="R29" s="168" t="s">
        <v>417</v>
      </c>
      <c r="S29" s="94">
        <v>41000</v>
      </c>
      <c r="T29" s="61">
        <f t="shared" si="0"/>
        <v>179375</v>
      </c>
    </row>
    <row r="30" spans="1:20" s="63" customFormat="1" ht="13.5" customHeight="1" x14ac:dyDescent="0.25">
      <c r="A30" s="65" t="s">
        <v>408</v>
      </c>
      <c r="B30" s="57" t="s">
        <v>1616</v>
      </c>
      <c r="C30" s="57" t="s">
        <v>164</v>
      </c>
      <c r="D30" s="10" t="s">
        <v>306</v>
      </c>
      <c r="E30" s="167" t="s">
        <v>1597</v>
      </c>
      <c r="F30" s="57">
        <v>4375</v>
      </c>
      <c r="G30" s="65">
        <v>175</v>
      </c>
      <c r="H30" s="65" t="s">
        <v>165</v>
      </c>
      <c r="I30" s="55" t="s">
        <v>1263</v>
      </c>
      <c r="J30" s="55">
        <v>45889</v>
      </c>
      <c r="K30" s="199" t="s">
        <v>975</v>
      </c>
      <c r="L30" s="207">
        <v>89116825992</v>
      </c>
      <c r="M30" s="53" t="s">
        <v>414</v>
      </c>
      <c r="N30" s="271"/>
      <c r="O30" s="57">
        <v>4375</v>
      </c>
      <c r="P30" s="57"/>
      <c r="Q30" s="57"/>
      <c r="R30" s="168" t="s">
        <v>417</v>
      </c>
      <c r="S30" s="94">
        <v>41000</v>
      </c>
      <c r="T30" s="61">
        <f t="shared" si="0"/>
        <v>179375</v>
      </c>
    </row>
    <row r="31" spans="1:20" s="63" customFormat="1" ht="13.5" customHeight="1" x14ac:dyDescent="0.25">
      <c r="A31" s="65" t="s">
        <v>408</v>
      </c>
      <c r="B31" s="57" t="s">
        <v>1616</v>
      </c>
      <c r="C31" s="57" t="s">
        <v>164</v>
      </c>
      <c r="D31" s="10" t="s">
        <v>306</v>
      </c>
      <c r="E31" s="167" t="s">
        <v>1598</v>
      </c>
      <c r="F31" s="57">
        <v>4375</v>
      </c>
      <c r="G31" s="65">
        <v>175</v>
      </c>
      <c r="H31" s="65" t="s">
        <v>165</v>
      </c>
      <c r="I31" s="55" t="s">
        <v>1263</v>
      </c>
      <c r="J31" s="55">
        <v>45889</v>
      </c>
      <c r="K31" s="199" t="s">
        <v>975</v>
      </c>
      <c r="L31" s="207">
        <v>89116825992</v>
      </c>
      <c r="M31" s="53" t="s">
        <v>414</v>
      </c>
      <c r="N31" s="271"/>
      <c r="O31" s="57">
        <v>4375</v>
      </c>
      <c r="P31" s="57"/>
      <c r="Q31" s="57"/>
      <c r="R31" s="168" t="s">
        <v>417</v>
      </c>
      <c r="S31" s="94">
        <v>41000</v>
      </c>
      <c r="T31" s="61">
        <f t="shared" si="0"/>
        <v>179375</v>
      </c>
    </row>
    <row r="32" spans="1:20" s="63" customFormat="1" ht="13.5" customHeight="1" x14ac:dyDescent="0.25">
      <c r="A32" s="65" t="s">
        <v>408</v>
      </c>
      <c r="B32" s="57" t="s">
        <v>1616</v>
      </c>
      <c r="C32" s="57" t="s">
        <v>164</v>
      </c>
      <c r="D32" s="10" t="s">
        <v>306</v>
      </c>
      <c r="E32" s="167" t="s">
        <v>1599</v>
      </c>
      <c r="F32" s="57">
        <v>4375</v>
      </c>
      <c r="G32" s="65">
        <v>175</v>
      </c>
      <c r="H32" s="65" t="s">
        <v>165</v>
      </c>
      <c r="I32" s="55" t="s">
        <v>1263</v>
      </c>
      <c r="J32" s="55">
        <v>45889</v>
      </c>
      <c r="K32" s="199" t="s">
        <v>975</v>
      </c>
      <c r="L32" s="207">
        <v>89116825992</v>
      </c>
      <c r="M32" s="53" t="s">
        <v>414</v>
      </c>
      <c r="N32" s="271"/>
      <c r="O32" s="57">
        <v>4375</v>
      </c>
      <c r="P32" s="57"/>
      <c r="Q32" s="57"/>
      <c r="R32" s="168" t="s">
        <v>417</v>
      </c>
      <c r="S32" s="94">
        <v>41000</v>
      </c>
      <c r="T32" s="61">
        <f t="shared" si="0"/>
        <v>179375</v>
      </c>
    </row>
    <row r="33" spans="1:20" s="63" customFormat="1" ht="13.5" customHeight="1" x14ac:dyDescent="0.25">
      <c r="A33" s="65" t="s">
        <v>408</v>
      </c>
      <c r="B33" s="57" t="s">
        <v>1616</v>
      </c>
      <c r="C33" s="57" t="s">
        <v>164</v>
      </c>
      <c r="D33" s="10" t="s">
        <v>306</v>
      </c>
      <c r="E33" s="167" t="s">
        <v>1600</v>
      </c>
      <c r="F33" s="57">
        <v>3500</v>
      </c>
      <c r="G33" s="65">
        <v>140</v>
      </c>
      <c r="H33" s="65" t="s">
        <v>165</v>
      </c>
      <c r="I33" s="55" t="s">
        <v>1263</v>
      </c>
      <c r="J33" s="55">
        <v>45889</v>
      </c>
      <c r="K33" s="199" t="s">
        <v>975</v>
      </c>
      <c r="L33" s="207">
        <v>89116825992</v>
      </c>
      <c r="M33" s="53" t="s">
        <v>414</v>
      </c>
      <c r="N33" s="271"/>
      <c r="O33" s="57">
        <v>3500</v>
      </c>
      <c r="P33" s="57"/>
      <c r="Q33" s="57"/>
      <c r="R33" s="168" t="s">
        <v>417</v>
      </c>
      <c r="S33" s="94">
        <v>41000</v>
      </c>
      <c r="T33" s="61">
        <f t="shared" si="0"/>
        <v>143500</v>
      </c>
    </row>
    <row r="34" spans="1:20" s="63" customFormat="1" ht="13.5" customHeight="1" x14ac:dyDescent="0.25">
      <c r="A34" s="65" t="s">
        <v>316</v>
      </c>
      <c r="B34" s="57" t="s">
        <v>1585</v>
      </c>
      <c r="C34" s="57" t="s">
        <v>558</v>
      </c>
      <c r="D34" s="93" t="s">
        <v>226</v>
      </c>
      <c r="E34" s="56" t="s">
        <v>1584</v>
      </c>
      <c r="F34" s="92">
        <v>20000</v>
      </c>
      <c r="G34" s="65">
        <v>800</v>
      </c>
      <c r="H34" s="65" t="s">
        <v>1459</v>
      </c>
      <c r="I34" s="65" t="s">
        <v>1263</v>
      </c>
      <c r="J34" s="55">
        <v>45889</v>
      </c>
      <c r="K34" s="108" t="s">
        <v>1634</v>
      </c>
      <c r="L34" s="108">
        <v>89824419561</v>
      </c>
      <c r="M34" s="98" t="s">
        <v>1635</v>
      </c>
      <c r="N34" s="162"/>
      <c r="O34" s="92">
        <v>20000</v>
      </c>
      <c r="P34" s="92"/>
      <c r="Q34" s="92"/>
      <c r="R34" s="53" t="s">
        <v>417</v>
      </c>
      <c r="S34" s="94">
        <v>45000</v>
      </c>
      <c r="T34" s="61">
        <f t="shared" si="0"/>
        <v>900000</v>
      </c>
    </row>
    <row r="35" spans="1:20" s="63" customFormat="1" ht="13.5" customHeight="1" x14ac:dyDescent="0.25">
      <c r="A35" s="65" t="s">
        <v>316</v>
      </c>
      <c r="B35" s="57" t="s">
        <v>1586</v>
      </c>
      <c r="C35" s="57" t="s">
        <v>558</v>
      </c>
      <c r="D35" s="93" t="s">
        <v>226</v>
      </c>
      <c r="E35" s="56" t="s">
        <v>1584</v>
      </c>
      <c r="F35" s="92">
        <v>20000</v>
      </c>
      <c r="G35" s="65">
        <v>800</v>
      </c>
      <c r="H35" s="65" t="s">
        <v>1459</v>
      </c>
      <c r="I35" s="65" t="s">
        <v>1263</v>
      </c>
      <c r="J35" s="55">
        <v>45889</v>
      </c>
      <c r="K35" s="108" t="s">
        <v>1637</v>
      </c>
      <c r="L35" s="108">
        <v>89995590766</v>
      </c>
      <c r="M35" s="98" t="s">
        <v>1636</v>
      </c>
      <c r="N35" s="162"/>
      <c r="O35" s="92">
        <v>20000</v>
      </c>
      <c r="P35" s="92"/>
      <c r="Q35" s="92"/>
      <c r="R35" s="53" t="s">
        <v>417</v>
      </c>
      <c r="S35" s="94">
        <v>45000</v>
      </c>
      <c r="T35" s="61">
        <f t="shared" si="0"/>
        <v>900000</v>
      </c>
    </row>
    <row r="36" spans="1:20" s="63" customFormat="1" ht="13.5" customHeight="1" x14ac:dyDescent="0.25">
      <c r="A36" s="65" t="s">
        <v>997</v>
      </c>
      <c r="B36" s="57" t="s">
        <v>1623</v>
      </c>
      <c r="C36" s="57" t="s">
        <v>491</v>
      </c>
      <c r="D36" s="93" t="s">
        <v>226</v>
      </c>
      <c r="E36" s="56" t="s">
        <v>567</v>
      </c>
      <c r="F36" s="92">
        <v>20000</v>
      </c>
      <c r="G36" s="65">
        <v>800</v>
      </c>
      <c r="H36" s="65" t="s">
        <v>452</v>
      </c>
      <c r="I36" s="65" t="s">
        <v>1263</v>
      </c>
      <c r="J36" s="55">
        <v>45890</v>
      </c>
      <c r="K36" s="282" t="s">
        <v>1638</v>
      </c>
      <c r="L36" s="248">
        <v>89125770562</v>
      </c>
      <c r="M36" s="62" t="s">
        <v>1207</v>
      </c>
      <c r="N36" s="162"/>
      <c r="O36" s="92">
        <v>20000</v>
      </c>
      <c r="P36" s="57"/>
      <c r="Q36" s="57"/>
      <c r="R36" s="53" t="s">
        <v>417</v>
      </c>
      <c r="S36" s="94">
        <v>43500</v>
      </c>
      <c r="T36" s="61">
        <f t="shared" si="0"/>
        <v>870000</v>
      </c>
    </row>
    <row r="37" spans="1:20" s="63" customFormat="1" ht="13.5" customHeight="1" x14ac:dyDescent="0.25">
      <c r="A37" s="65" t="s">
        <v>297</v>
      </c>
      <c r="B37" s="57" t="s">
        <v>1573</v>
      </c>
      <c r="C37" s="57" t="s">
        <v>164</v>
      </c>
      <c r="D37" s="10" t="s">
        <v>232</v>
      </c>
      <c r="E37" s="167" t="s">
        <v>1575</v>
      </c>
      <c r="F37" s="57">
        <v>8750</v>
      </c>
      <c r="G37" s="65">
        <v>350</v>
      </c>
      <c r="H37" s="65" t="s">
        <v>166</v>
      </c>
      <c r="I37" s="55" t="s">
        <v>1263</v>
      </c>
      <c r="J37" s="55">
        <v>45890</v>
      </c>
      <c r="K37" s="53"/>
      <c r="L37" s="207"/>
      <c r="M37" s="53"/>
      <c r="N37" s="271" t="s">
        <v>1641</v>
      </c>
      <c r="O37" s="57">
        <v>8750</v>
      </c>
      <c r="P37" s="57"/>
      <c r="Q37" s="57"/>
      <c r="R37" s="168" t="s">
        <v>417</v>
      </c>
      <c r="S37" s="94">
        <v>265000</v>
      </c>
      <c r="T37" s="61">
        <f t="shared" ref="T37:T59" si="1" xml:space="preserve"> S37*(F37/1000)</f>
        <v>2318750</v>
      </c>
    </row>
    <row r="38" spans="1:20" s="63" customFormat="1" ht="13.5" customHeight="1" x14ac:dyDescent="0.25">
      <c r="A38" s="65" t="s">
        <v>297</v>
      </c>
      <c r="B38" s="57" t="s">
        <v>1536</v>
      </c>
      <c r="C38" s="57" t="s">
        <v>164</v>
      </c>
      <c r="D38" s="10" t="s">
        <v>306</v>
      </c>
      <c r="E38" s="167" t="s">
        <v>1553</v>
      </c>
      <c r="F38" s="57">
        <v>4375</v>
      </c>
      <c r="G38" s="65">
        <v>175</v>
      </c>
      <c r="H38" s="65" t="s">
        <v>166</v>
      </c>
      <c r="I38" s="55" t="s">
        <v>1263</v>
      </c>
      <c r="J38" s="55">
        <v>45890</v>
      </c>
      <c r="K38" s="53"/>
      <c r="L38" s="207"/>
      <c r="M38" s="53"/>
      <c r="N38" s="271" t="s">
        <v>1641</v>
      </c>
      <c r="O38" s="57">
        <v>4375</v>
      </c>
      <c r="P38" s="57"/>
      <c r="Q38" s="57"/>
      <c r="R38" s="168" t="s">
        <v>417</v>
      </c>
      <c r="S38" s="94">
        <v>41000</v>
      </c>
      <c r="T38" s="61">
        <f t="shared" si="1"/>
        <v>179375</v>
      </c>
    </row>
    <row r="39" spans="1:20" s="63" customFormat="1" ht="13.5" customHeight="1" x14ac:dyDescent="0.25">
      <c r="A39" s="65" t="s">
        <v>297</v>
      </c>
      <c r="B39" s="57" t="s">
        <v>1536</v>
      </c>
      <c r="C39" s="57" t="s">
        <v>164</v>
      </c>
      <c r="D39" s="10" t="s">
        <v>306</v>
      </c>
      <c r="E39" s="167" t="s">
        <v>1554</v>
      </c>
      <c r="F39" s="57">
        <v>4375</v>
      </c>
      <c r="G39" s="65">
        <v>175</v>
      </c>
      <c r="H39" s="65" t="s">
        <v>166</v>
      </c>
      <c r="I39" s="55" t="s">
        <v>1263</v>
      </c>
      <c r="J39" s="55">
        <v>45890</v>
      </c>
      <c r="K39" s="53"/>
      <c r="L39" s="207"/>
      <c r="M39" s="53"/>
      <c r="N39" s="271" t="s">
        <v>1641</v>
      </c>
      <c r="O39" s="57">
        <v>4375</v>
      </c>
      <c r="P39" s="57"/>
      <c r="Q39" s="57"/>
      <c r="R39" s="168" t="s">
        <v>417</v>
      </c>
      <c r="S39" s="94">
        <v>41000</v>
      </c>
      <c r="T39" s="61">
        <f t="shared" si="1"/>
        <v>179375</v>
      </c>
    </row>
    <row r="40" spans="1:20" s="63" customFormat="1" ht="13.5" customHeight="1" x14ac:dyDescent="0.25">
      <c r="A40" s="65" t="s">
        <v>297</v>
      </c>
      <c r="B40" s="57" t="s">
        <v>1573</v>
      </c>
      <c r="C40" s="57" t="s">
        <v>164</v>
      </c>
      <c r="D40" s="10" t="s">
        <v>232</v>
      </c>
      <c r="E40" s="167" t="s">
        <v>1575</v>
      </c>
      <c r="F40" s="57">
        <v>8750</v>
      </c>
      <c r="G40" s="65">
        <v>350</v>
      </c>
      <c r="H40" s="65" t="s">
        <v>166</v>
      </c>
      <c r="I40" s="55" t="s">
        <v>1263</v>
      </c>
      <c r="J40" s="55">
        <v>45890</v>
      </c>
      <c r="K40" s="53"/>
      <c r="L40" s="207"/>
      <c r="M40" s="53"/>
      <c r="N40" s="271" t="s">
        <v>1640</v>
      </c>
      <c r="O40" s="57">
        <v>8750</v>
      </c>
      <c r="P40" s="57"/>
      <c r="Q40" s="57"/>
      <c r="R40" s="168" t="s">
        <v>417</v>
      </c>
      <c r="S40" s="94">
        <v>265000</v>
      </c>
      <c r="T40" s="61">
        <f t="shared" si="1"/>
        <v>2318750</v>
      </c>
    </row>
    <row r="41" spans="1:20" s="63" customFormat="1" ht="13.5" customHeight="1" x14ac:dyDescent="0.25">
      <c r="A41" s="65" t="s">
        <v>297</v>
      </c>
      <c r="B41" s="57" t="s">
        <v>1536</v>
      </c>
      <c r="C41" s="57" t="s">
        <v>164</v>
      </c>
      <c r="D41" s="10" t="s">
        <v>306</v>
      </c>
      <c r="E41" s="167" t="s">
        <v>1551</v>
      </c>
      <c r="F41" s="57">
        <v>4375</v>
      </c>
      <c r="G41" s="65">
        <v>175</v>
      </c>
      <c r="H41" s="65" t="s">
        <v>166</v>
      </c>
      <c r="I41" s="55" t="s">
        <v>1263</v>
      </c>
      <c r="J41" s="55">
        <v>45890</v>
      </c>
      <c r="K41" s="53"/>
      <c r="L41" s="207"/>
      <c r="M41" s="53"/>
      <c r="N41" s="271" t="s">
        <v>1640</v>
      </c>
      <c r="O41" s="57">
        <v>4375</v>
      </c>
      <c r="P41" s="57"/>
      <c r="Q41" s="57"/>
      <c r="R41" s="168" t="s">
        <v>417</v>
      </c>
      <c r="S41" s="94">
        <v>41000</v>
      </c>
      <c r="T41" s="61">
        <f t="shared" si="1"/>
        <v>179375</v>
      </c>
    </row>
    <row r="42" spans="1:20" s="63" customFormat="1" ht="13.5" customHeight="1" x14ac:dyDescent="0.25">
      <c r="A42" s="65" t="s">
        <v>297</v>
      </c>
      <c r="B42" s="57" t="s">
        <v>1536</v>
      </c>
      <c r="C42" s="57" t="s">
        <v>164</v>
      </c>
      <c r="D42" s="10" t="s">
        <v>306</v>
      </c>
      <c r="E42" s="167" t="s">
        <v>1552</v>
      </c>
      <c r="F42" s="57">
        <v>4375</v>
      </c>
      <c r="G42" s="65">
        <v>175</v>
      </c>
      <c r="H42" s="65" t="s">
        <v>166</v>
      </c>
      <c r="I42" s="55" t="s">
        <v>1263</v>
      </c>
      <c r="J42" s="55">
        <v>45890</v>
      </c>
      <c r="K42" s="53"/>
      <c r="L42" s="207"/>
      <c r="M42" s="53"/>
      <c r="N42" s="271" t="s">
        <v>1640</v>
      </c>
      <c r="O42" s="57">
        <v>4375</v>
      </c>
      <c r="P42" s="57"/>
      <c r="Q42" s="57"/>
      <c r="R42" s="168" t="s">
        <v>417</v>
      </c>
      <c r="S42" s="94">
        <v>41000</v>
      </c>
      <c r="T42" s="61">
        <f t="shared" si="1"/>
        <v>179375</v>
      </c>
    </row>
    <row r="43" spans="1:20" s="63" customFormat="1" ht="13.5" customHeight="1" x14ac:dyDescent="0.25">
      <c r="A43" s="65" t="s">
        <v>997</v>
      </c>
      <c r="B43" s="57" t="s">
        <v>1623</v>
      </c>
      <c r="C43" s="57" t="s">
        <v>491</v>
      </c>
      <c r="D43" s="93" t="s">
        <v>223</v>
      </c>
      <c r="E43" s="56" t="s">
        <v>1624</v>
      </c>
      <c r="F43" s="92">
        <v>20000</v>
      </c>
      <c r="G43" s="65">
        <v>800</v>
      </c>
      <c r="H43" s="65" t="s">
        <v>452</v>
      </c>
      <c r="I43" s="65" t="s">
        <v>1263</v>
      </c>
      <c r="J43" s="55">
        <v>45891</v>
      </c>
      <c r="K43" s="283" t="s">
        <v>1066</v>
      </c>
      <c r="L43" s="248">
        <v>89080063420</v>
      </c>
      <c r="M43" s="62" t="s">
        <v>1132</v>
      </c>
      <c r="N43" s="162"/>
      <c r="O43" s="92"/>
      <c r="P43" s="92">
        <v>20000</v>
      </c>
      <c r="Q43" s="57"/>
      <c r="R43" s="53" t="s">
        <v>417</v>
      </c>
      <c r="S43" s="94">
        <v>250000</v>
      </c>
      <c r="T43" s="61">
        <f t="shared" si="1"/>
        <v>5000000</v>
      </c>
    </row>
    <row r="44" spans="1:20" s="63" customFormat="1" ht="13.5" customHeight="1" x14ac:dyDescent="0.25">
      <c r="A44" s="65" t="s">
        <v>281</v>
      </c>
      <c r="B44" s="57" t="s">
        <v>1639</v>
      </c>
      <c r="C44" s="57" t="s">
        <v>676</v>
      </c>
      <c r="D44" s="93" t="s">
        <v>995</v>
      </c>
      <c r="E44" s="56" t="s">
        <v>1624</v>
      </c>
      <c r="F44" s="92">
        <v>1000</v>
      </c>
      <c r="G44" s="65">
        <v>5</v>
      </c>
      <c r="H44" s="65" t="s">
        <v>281</v>
      </c>
      <c r="I44" s="65" t="s">
        <v>1263</v>
      </c>
      <c r="J44" s="55">
        <v>45891</v>
      </c>
      <c r="K44" s="284" t="s">
        <v>1645</v>
      </c>
      <c r="L44" s="248">
        <v>89611889688</v>
      </c>
      <c r="M44" s="62" t="s">
        <v>1644</v>
      </c>
      <c r="N44" s="162"/>
      <c r="O44" s="92"/>
      <c r="P44" s="57"/>
      <c r="Q44" s="92">
        <v>1000</v>
      </c>
      <c r="R44" s="53" t="s">
        <v>417</v>
      </c>
      <c r="S44" s="94">
        <v>330000</v>
      </c>
      <c r="T44" s="61">
        <f t="shared" si="1"/>
        <v>330000</v>
      </c>
    </row>
    <row r="45" spans="1:20" s="63" customFormat="1" ht="13.5" customHeight="1" x14ac:dyDescent="0.25">
      <c r="A45" s="65" t="s">
        <v>311</v>
      </c>
      <c r="B45" s="57" t="s">
        <v>1592</v>
      </c>
      <c r="C45" s="57" t="s">
        <v>491</v>
      </c>
      <c r="D45" s="93" t="s">
        <v>212</v>
      </c>
      <c r="E45" s="56" t="s">
        <v>1422</v>
      </c>
      <c r="F45" s="92">
        <v>20000</v>
      </c>
      <c r="G45" s="65">
        <v>800</v>
      </c>
      <c r="H45" s="65" t="s">
        <v>493</v>
      </c>
      <c r="I45" s="65" t="s">
        <v>1263</v>
      </c>
      <c r="J45" s="55">
        <v>45894</v>
      </c>
      <c r="K45" s="285" t="s">
        <v>1643</v>
      </c>
      <c r="L45" s="248">
        <v>89211439016</v>
      </c>
      <c r="M45" s="62" t="s">
        <v>1642</v>
      </c>
      <c r="N45" s="162"/>
      <c r="O45" s="92">
        <v>20000</v>
      </c>
      <c r="P45" s="92"/>
      <c r="Q45" s="57"/>
      <c r="R45" s="53" t="s">
        <v>417</v>
      </c>
      <c r="S45" s="94">
        <v>43500</v>
      </c>
      <c r="T45" s="61">
        <f t="shared" si="1"/>
        <v>870000</v>
      </c>
    </row>
    <row r="46" spans="1:20" s="63" customFormat="1" ht="13.5" customHeight="1" x14ac:dyDescent="0.25">
      <c r="A46" s="65" t="s">
        <v>1090</v>
      </c>
      <c r="B46" s="57" t="s">
        <v>1617</v>
      </c>
      <c r="C46" s="57" t="s">
        <v>164</v>
      </c>
      <c r="D46" s="10" t="s">
        <v>306</v>
      </c>
      <c r="E46" s="167" t="s">
        <v>1600</v>
      </c>
      <c r="F46" s="57">
        <v>875</v>
      </c>
      <c r="G46" s="65">
        <v>35</v>
      </c>
      <c r="H46" s="65" t="s">
        <v>165</v>
      </c>
      <c r="I46" s="55" t="s">
        <v>1263</v>
      </c>
      <c r="J46" s="55">
        <v>45896</v>
      </c>
      <c r="K46" s="98" t="s">
        <v>694</v>
      </c>
      <c r="L46" s="108" t="s">
        <v>695</v>
      </c>
      <c r="M46" s="98" t="s">
        <v>1202</v>
      </c>
      <c r="N46" s="271"/>
      <c r="O46" s="57">
        <v>875</v>
      </c>
      <c r="P46" s="57"/>
      <c r="Q46" s="57"/>
      <c r="R46" s="168" t="s">
        <v>417</v>
      </c>
      <c r="S46" s="94">
        <v>41000</v>
      </c>
      <c r="T46" s="61">
        <f t="shared" si="1"/>
        <v>35875</v>
      </c>
    </row>
    <row r="47" spans="1:20" s="63" customFormat="1" ht="13.5" customHeight="1" x14ac:dyDescent="0.25">
      <c r="A47" s="65" t="s">
        <v>1090</v>
      </c>
      <c r="B47" s="57" t="s">
        <v>1617</v>
      </c>
      <c r="C47" s="57" t="s">
        <v>164</v>
      </c>
      <c r="D47" s="10" t="s">
        <v>306</v>
      </c>
      <c r="E47" s="167" t="s">
        <v>1601</v>
      </c>
      <c r="F47" s="57">
        <v>4375</v>
      </c>
      <c r="G47" s="65">
        <v>175</v>
      </c>
      <c r="H47" s="65" t="s">
        <v>165</v>
      </c>
      <c r="I47" s="55" t="s">
        <v>1263</v>
      </c>
      <c r="J47" s="55">
        <v>45896</v>
      </c>
      <c r="K47" s="98" t="s">
        <v>694</v>
      </c>
      <c r="L47" s="108" t="s">
        <v>695</v>
      </c>
      <c r="M47" s="98" t="s">
        <v>1202</v>
      </c>
      <c r="N47" s="271"/>
      <c r="O47" s="57">
        <v>4375</v>
      </c>
      <c r="P47" s="57"/>
      <c r="Q47" s="57"/>
      <c r="R47" s="168" t="s">
        <v>417</v>
      </c>
      <c r="S47" s="94">
        <v>41000</v>
      </c>
      <c r="T47" s="61">
        <f t="shared" si="1"/>
        <v>179375</v>
      </c>
    </row>
    <row r="48" spans="1:20" s="63" customFormat="1" ht="13.5" customHeight="1" x14ac:dyDescent="0.25">
      <c r="A48" s="65" t="s">
        <v>1090</v>
      </c>
      <c r="B48" s="57" t="s">
        <v>1617</v>
      </c>
      <c r="C48" s="57" t="s">
        <v>164</v>
      </c>
      <c r="D48" s="10" t="s">
        <v>306</v>
      </c>
      <c r="E48" s="167" t="s">
        <v>1602</v>
      </c>
      <c r="F48" s="57">
        <v>4375</v>
      </c>
      <c r="G48" s="65">
        <v>175</v>
      </c>
      <c r="H48" s="65" t="s">
        <v>165</v>
      </c>
      <c r="I48" s="55" t="s">
        <v>1263</v>
      </c>
      <c r="J48" s="55">
        <v>45896</v>
      </c>
      <c r="K48" s="98" t="s">
        <v>694</v>
      </c>
      <c r="L48" s="108" t="s">
        <v>695</v>
      </c>
      <c r="M48" s="98" t="s">
        <v>1202</v>
      </c>
      <c r="N48" s="271"/>
      <c r="O48" s="57">
        <v>4375</v>
      </c>
      <c r="P48" s="57"/>
      <c r="Q48" s="57"/>
      <c r="R48" s="168" t="s">
        <v>417</v>
      </c>
      <c r="S48" s="94">
        <v>41000</v>
      </c>
      <c r="T48" s="61">
        <f t="shared" si="1"/>
        <v>179375</v>
      </c>
    </row>
    <row r="49" spans="1:21" s="63" customFormat="1" ht="13.5" customHeight="1" x14ac:dyDescent="0.25">
      <c r="A49" s="65" t="s">
        <v>1090</v>
      </c>
      <c r="B49" s="57" t="s">
        <v>1617</v>
      </c>
      <c r="C49" s="57" t="s">
        <v>164</v>
      </c>
      <c r="D49" s="10" t="s">
        <v>306</v>
      </c>
      <c r="E49" s="167" t="s">
        <v>1603</v>
      </c>
      <c r="F49" s="57">
        <v>4375</v>
      </c>
      <c r="G49" s="65">
        <v>175</v>
      </c>
      <c r="H49" s="65" t="s">
        <v>165</v>
      </c>
      <c r="I49" s="55" t="s">
        <v>1263</v>
      </c>
      <c r="J49" s="55">
        <v>45896</v>
      </c>
      <c r="K49" s="98" t="s">
        <v>694</v>
      </c>
      <c r="L49" s="108" t="s">
        <v>695</v>
      </c>
      <c r="M49" s="98" t="s">
        <v>1202</v>
      </c>
      <c r="N49" s="271"/>
      <c r="O49" s="57">
        <v>4375</v>
      </c>
      <c r="P49" s="57"/>
      <c r="Q49" s="57"/>
      <c r="R49" s="168" t="s">
        <v>417</v>
      </c>
      <c r="S49" s="94">
        <v>41000</v>
      </c>
      <c r="T49" s="61">
        <f t="shared" si="1"/>
        <v>179375</v>
      </c>
    </row>
    <row r="50" spans="1:21" s="63" customFormat="1" ht="13.5" customHeight="1" x14ac:dyDescent="0.25">
      <c r="A50" s="65" t="s">
        <v>1090</v>
      </c>
      <c r="B50" s="57" t="s">
        <v>1618</v>
      </c>
      <c r="C50" s="57" t="s">
        <v>164</v>
      </c>
      <c r="D50" s="10" t="s">
        <v>306</v>
      </c>
      <c r="E50" s="167" t="s">
        <v>1604</v>
      </c>
      <c r="F50" s="57">
        <v>4375</v>
      </c>
      <c r="G50" s="65">
        <v>175</v>
      </c>
      <c r="H50" s="65" t="s">
        <v>165</v>
      </c>
      <c r="I50" s="55" t="s">
        <v>1263</v>
      </c>
      <c r="J50" s="55">
        <v>45896</v>
      </c>
      <c r="K50" s="98" t="s">
        <v>694</v>
      </c>
      <c r="L50" s="108" t="s">
        <v>695</v>
      </c>
      <c r="M50" s="98" t="s">
        <v>1202</v>
      </c>
      <c r="N50" s="271"/>
      <c r="O50" s="57">
        <v>4375</v>
      </c>
      <c r="P50" s="57"/>
      <c r="Q50" s="57"/>
      <c r="R50" s="168" t="s">
        <v>417</v>
      </c>
      <c r="S50" s="94">
        <v>41000</v>
      </c>
      <c r="T50" s="61">
        <f t="shared" si="1"/>
        <v>179375</v>
      </c>
    </row>
    <row r="51" spans="1:21" s="63" customFormat="1" ht="13.5" customHeight="1" x14ac:dyDescent="0.25">
      <c r="A51" s="65" t="s">
        <v>1090</v>
      </c>
      <c r="B51" s="57" t="s">
        <v>1618</v>
      </c>
      <c r="C51" s="57" t="s">
        <v>164</v>
      </c>
      <c r="D51" s="10" t="s">
        <v>306</v>
      </c>
      <c r="E51" s="167" t="s">
        <v>1605</v>
      </c>
      <c r="F51" s="57">
        <v>2625</v>
      </c>
      <c r="G51" s="65">
        <v>105</v>
      </c>
      <c r="H51" s="65" t="s">
        <v>165</v>
      </c>
      <c r="I51" s="55" t="s">
        <v>1263</v>
      </c>
      <c r="J51" s="55">
        <v>45896</v>
      </c>
      <c r="K51" s="98" t="s">
        <v>694</v>
      </c>
      <c r="L51" s="108" t="s">
        <v>695</v>
      </c>
      <c r="M51" s="98" t="s">
        <v>1202</v>
      </c>
      <c r="N51" s="271"/>
      <c r="O51" s="57">
        <v>2625</v>
      </c>
      <c r="P51" s="57"/>
      <c r="Q51" s="57"/>
      <c r="R51" s="168" t="s">
        <v>417</v>
      </c>
      <c r="S51" s="94">
        <v>41000</v>
      </c>
      <c r="T51" s="61">
        <f t="shared" si="1"/>
        <v>107625</v>
      </c>
    </row>
    <row r="52" spans="1:21" s="63" customFormat="1" ht="13.5" customHeight="1" x14ac:dyDescent="0.25">
      <c r="A52" s="65" t="s">
        <v>297</v>
      </c>
      <c r="B52" s="57" t="s">
        <v>1537</v>
      </c>
      <c r="C52" s="57" t="s">
        <v>164</v>
      </c>
      <c r="D52" s="10" t="s">
        <v>306</v>
      </c>
      <c r="E52" s="167" t="s">
        <v>1555</v>
      </c>
      <c r="F52" s="57">
        <v>4375</v>
      </c>
      <c r="G52" s="65">
        <v>175</v>
      </c>
      <c r="H52" s="65" t="s">
        <v>165</v>
      </c>
      <c r="I52" s="55" t="s">
        <v>1263</v>
      </c>
      <c r="J52" s="55">
        <v>45897</v>
      </c>
      <c r="K52" s="53"/>
      <c r="L52" s="207"/>
      <c r="M52" s="53"/>
      <c r="N52" s="271" t="s">
        <v>1647</v>
      </c>
      <c r="O52" s="57">
        <v>4375</v>
      </c>
      <c r="P52" s="57"/>
      <c r="Q52" s="57"/>
      <c r="R52" s="168" t="s">
        <v>417</v>
      </c>
      <c r="S52" s="94">
        <v>41000</v>
      </c>
      <c r="T52" s="61">
        <f t="shared" si="1"/>
        <v>179375</v>
      </c>
    </row>
    <row r="53" spans="1:21" s="63" customFormat="1" ht="13.5" customHeight="1" x14ac:dyDescent="0.25">
      <c r="A53" s="65" t="s">
        <v>297</v>
      </c>
      <c r="B53" s="57" t="s">
        <v>1537</v>
      </c>
      <c r="C53" s="57" t="s">
        <v>164</v>
      </c>
      <c r="D53" s="10" t="s">
        <v>306</v>
      </c>
      <c r="E53" s="167" t="s">
        <v>1556</v>
      </c>
      <c r="F53" s="57">
        <v>4375</v>
      </c>
      <c r="G53" s="65">
        <v>175</v>
      </c>
      <c r="H53" s="65" t="s">
        <v>165</v>
      </c>
      <c r="I53" s="55" t="s">
        <v>1263</v>
      </c>
      <c r="J53" s="55">
        <v>45897</v>
      </c>
      <c r="K53" s="53"/>
      <c r="L53" s="207"/>
      <c r="M53" s="53"/>
      <c r="N53" s="271" t="s">
        <v>1647</v>
      </c>
      <c r="O53" s="57">
        <v>4375</v>
      </c>
      <c r="P53" s="57"/>
      <c r="Q53" s="57"/>
      <c r="R53" s="168" t="s">
        <v>417</v>
      </c>
      <c r="S53" s="94">
        <v>41000</v>
      </c>
      <c r="T53" s="61">
        <f t="shared" si="1"/>
        <v>179375</v>
      </c>
    </row>
    <row r="54" spans="1:21" s="63" customFormat="1" ht="13.5" customHeight="1" x14ac:dyDescent="0.25">
      <c r="A54" s="65" t="s">
        <v>297</v>
      </c>
      <c r="B54" s="57" t="s">
        <v>1537</v>
      </c>
      <c r="C54" s="57" t="s">
        <v>164</v>
      </c>
      <c r="D54" s="10" t="s">
        <v>306</v>
      </c>
      <c r="E54" s="167" t="s">
        <v>1557</v>
      </c>
      <c r="F54" s="57">
        <v>4375</v>
      </c>
      <c r="G54" s="65">
        <v>175</v>
      </c>
      <c r="H54" s="65" t="s">
        <v>165</v>
      </c>
      <c r="I54" s="55" t="s">
        <v>1263</v>
      </c>
      <c r="J54" s="55">
        <v>45897</v>
      </c>
      <c r="K54" s="53"/>
      <c r="L54" s="207"/>
      <c r="M54" s="53"/>
      <c r="N54" s="271" t="s">
        <v>1647</v>
      </c>
      <c r="O54" s="57">
        <v>4375</v>
      </c>
      <c r="P54" s="57"/>
      <c r="Q54" s="57"/>
      <c r="R54" s="168" t="s">
        <v>417</v>
      </c>
      <c r="S54" s="94">
        <v>41000</v>
      </c>
      <c r="T54" s="61">
        <f t="shared" si="1"/>
        <v>179375</v>
      </c>
    </row>
    <row r="55" spans="1:21" s="63" customFormat="1" ht="13.5" customHeight="1" x14ac:dyDescent="0.25">
      <c r="A55" s="65" t="s">
        <v>297</v>
      </c>
      <c r="B55" s="57" t="s">
        <v>1537</v>
      </c>
      <c r="C55" s="57" t="s">
        <v>164</v>
      </c>
      <c r="D55" s="10" t="s">
        <v>306</v>
      </c>
      <c r="E55" s="167" t="s">
        <v>1558</v>
      </c>
      <c r="F55" s="57">
        <v>4375</v>
      </c>
      <c r="G55" s="65">
        <v>175</v>
      </c>
      <c r="H55" s="65" t="s">
        <v>165</v>
      </c>
      <c r="I55" s="55" t="s">
        <v>1263</v>
      </c>
      <c r="J55" s="55">
        <v>45897</v>
      </c>
      <c r="K55" s="53"/>
      <c r="L55" s="207"/>
      <c r="M55" s="53"/>
      <c r="N55" s="271" t="s">
        <v>1647</v>
      </c>
      <c r="O55" s="57">
        <v>4375</v>
      </c>
      <c r="P55" s="57"/>
      <c r="Q55" s="57"/>
      <c r="R55" s="168" t="s">
        <v>417</v>
      </c>
      <c r="S55" s="94">
        <v>41000</v>
      </c>
      <c r="T55" s="61">
        <f t="shared" si="1"/>
        <v>179375</v>
      </c>
    </row>
    <row r="56" spans="1:21" x14ac:dyDescent="0.25">
      <c r="A56" s="65" t="s">
        <v>297</v>
      </c>
      <c r="B56" s="57" t="s">
        <v>1538</v>
      </c>
      <c r="C56" s="57" t="s">
        <v>164</v>
      </c>
      <c r="D56" s="10" t="s">
        <v>306</v>
      </c>
      <c r="E56" s="167" t="s">
        <v>1559</v>
      </c>
      <c r="F56" s="57">
        <v>4375</v>
      </c>
      <c r="G56" s="65">
        <v>175</v>
      </c>
      <c r="H56" s="65" t="s">
        <v>165</v>
      </c>
      <c r="I56" s="55" t="s">
        <v>1263</v>
      </c>
      <c r="J56" s="55">
        <v>45897</v>
      </c>
      <c r="K56" s="53"/>
      <c r="L56" s="207"/>
      <c r="M56" s="53"/>
      <c r="N56" s="271" t="s">
        <v>1646</v>
      </c>
      <c r="O56" s="57">
        <v>4375</v>
      </c>
      <c r="P56" s="57"/>
      <c r="Q56" s="57"/>
      <c r="R56" s="168" t="s">
        <v>417</v>
      </c>
      <c r="S56" s="94">
        <v>41000</v>
      </c>
      <c r="T56" s="61">
        <f t="shared" si="1"/>
        <v>179375</v>
      </c>
      <c r="U56" s="63"/>
    </row>
    <row r="57" spans="1:21" x14ac:dyDescent="0.25">
      <c r="A57" s="65" t="s">
        <v>297</v>
      </c>
      <c r="B57" s="57" t="s">
        <v>1538</v>
      </c>
      <c r="C57" s="57" t="s">
        <v>164</v>
      </c>
      <c r="D57" s="10" t="s">
        <v>306</v>
      </c>
      <c r="E57" s="167" t="s">
        <v>1560</v>
      </c>
      <c r="F57" s="57">
        <v>4375</v>
      </c>
      <c r="G57" s="65">
        <v>175</v>
      </c>
      <c r="H57" s="65" t="s">
        <v>165</v>
      </c>
      <c r="I57" s="55" t="s">
        <v>1263</v>
      </c>
      <c r="J57" s="55">
        <v>45897</v>
      </c>
      <c r="K57" s="53"/>
      <c r="L57" s="207"/>
      <c r="M57" s="53"/>
      <c r="N57" s="271" t="s">
        <v>1646</v>
      </c>
      <c r="O57" s="57">
        <v>4375</v>
      </c>
      <c r="P57" s="57"/>
      <c r="Q57" s="57"/>
      <c r="R57" s="168" t="s">
        <v>417</v>
      </c>
      <c r="S57" s="94">
        <v>41000</v>
      </c>
      <c r="T57" s="61">
        <f t="shared" si="1"/>
        <v>179375</v>
      </c>
      <c r="U57" s="63"/>
    </row>
    <row r="58" spans="1:21" x14ac:dyDescent="0.25">
      <c r="A58" s="65" t="s">
        <v>297</v>
      </c>
      <c r="B58" s="57" t="s">
        <v>1538</v>
      </c>
      <c r="C58" s="57" t="s">
        <v>164</v>
      </c>
      <c r="D58" s="10" t="s">
        <v>306</v>
      </c>
      <c r="E58" s="167" t="s">
        <v>1561</v>
      </c>
      <c r="F58" s="57">
        <v>4375</v>
      </c>
      <c r="G58" s="65">
        <v>175</v>
      </c>
      <c r="H58" s="65" t="s">
        <v>165</v>
      </c>
      <c r="I58" s="55" t="s">
        <v>1263</v>
      </c>
      <c r="J58" s="55">
        <v>45897</v>
      </c>
      <c r="K58" s="53"/>
      <c r="L58" s="207"/>
      <c r="M58" s="53"/>
      <c r="N58" s="271" t="s">
        <v>1646</v>
      </c>
      <c r="O58" s="57">
        <v>4375</v>
      </c>
      <c r="P58" s="57"/>
      <c r="Q58" s="57"/>
      <c r="R58" s="168" t="s">
        <v>417</v>
      </c>
      <c r="S58" s="94">
        <v>41000</v>
      </c>
      <c r="T58" s="61">
        <f t="shared" si="1"/>
        <v>179375</v>
      </c>
      <c r="U58" s="63"/>
    </row>
    <row r="59" spans="1:21" x14ac:dyDescent="0.25">
      <c r="A59" s="65" t="s">
        <v>297</v>
      </c>
      <c r="B59" s="57" t="s">
        <v>1538</v>
      </c>
      <c r="C59" s="57" t="s">
        <v>164</v>
      </c>
      <c r="D59" s="10" t="s">
        <v>306</v>
      </c>
      <c r="E59" s="167" t="s">
        <v>1562</v>
      </c>
      <c r="F59" s="57">
        <v>4375</v>
      </c>
      <c r="G59" s="65">
        <v>175</v>
      </c>
      <c r="H59" s="65" t="s">
        <v>165</v>
      </c>
      <c r="I59" s="55" t="s">
        <v>1263</v>
      </c>
      <c r="J59" s="55">
        <v>45897</v>
      </c>
      <c r="K59" s="53"/>
      <c r="L59" s="207"/>
      <c r="M59" s="53"/>
      <c r="N59" s="271" t="s">
        <v>1646</v>
      </c>
      <c r="O59" s="57">
        <v>4375</v>
      </c>
      <c r="P59" s="57"/>
      <c r="Q59" s="57"/>
      <c r="R59" s="168" t="s">
        <v>417</v>
      </c>
      <c r="S59" s="94">
        <v>41000</v>
      </c>
      <c r="T59" s="61">
        <f t="shared" si="1"/>
        <v>179375</v>
      </c>
      <c r="U59" s="63"/>
    </row>
    <row r="60" spans="1:21" ht="21" customHeight="1" x14ac:dyDescent="0.3">
      <c r="A60" s="159" t="s">
        <v>15</v>
      </c>
      <c r="B60" s="101">
        <f>SUM($F$5:$F$59)/1000</f>
        <v>503.92</v>
      </c>
      <c r="C60" s="54" t="s">
        <v>14</v>
      </c>
      <c r="T60" s="348">
        <f>SUM(T5:T59)</f>
        <v>57910875.409999996</v>
      </c>
    </row>
    <row r="61" spans="1:21" ht="21" customHeight="1" x14ac:dyDescent="0.3">
      <c r="A61" s="110" t="s">
        <v>16</v>
      </c>
      <c r="B61" s="102">
        <f>$B$62+$B$63+$B$64</f>
        <v>503.92</v>
      </c>
      <c r="C61" s="1" t="s">
        <v>14</v>
      </c>
      <c r="E61" s="175"/>
      <c r="F61" s="154" t="s">
        <v>321</v>
      </c>
      <c r="G61" s="154"/>
    </row>
    <row r="62" spans="1:21" ht="21" customHeight="1" x14ac:dyDescent="0.3">
      <c r="A62" s="111" t="s">
        <v>17</v>
      </c>
      <c r="B62" s="100">
        <f>SUM(O5:O59)/1000</f>
        <v>381.12</v>
      </c>
      <c r="C62" s="2" t="s">
        <v>14</v>
      </c>
      <c r="D62" s="184"/>
      <c r="E62" s="188"/>
      <c r="F62" s="154" t="s">
        <v>319</v>
      </c>
      <c r="G62" s="154"/>
    </row>
    <row r="63" spans="1:21" ht="21" customHeight="1" x14ac:dyDescent="0.3">
      <c r="A63" s="111" t="s">
        <v>153</v>
      </c>
      <c r="B63" s="100">
        <f>SUM(P5:P59)/1000</f>
        <v>20</v>
      </c>
      <c r="C63" s="2" t="s">
        <v>14</v>
      </c>
      <c r="E63" s="177"/>
      <c r="F63" s="154" t="s">
        <v>318</v>
      </c>
      <c r="G63" s="154"/>
    </row>
    <row r="64" spans="1:21" ht="21" customHeight="1" x14ac:dyDescent="0.3">
      <c r="A64" s="111" t="s">
        <v>24</v>
      </c>
      <c r="B64" s="100">
        <f>SUM(Q5:Q59)/1000</f>
        <v>102.8</v>
      </c>
      <c r="C64" s="2" t="s">
        <v>14</v>
      </c>
      <c r="E64" s="178"/>
      <c r="F64" s="154" t="s">
        <v>325</v>
      </c>
    </row>
    <row r="65" spans="1:6" ht="23.25" customHeight="1" thickBot="1" x14ac:dyDescent="0.35">
      <c r="A65" s="112" t="s">
        <v>20</v>
      </c>
      <c r="B65" s="104">
        <f>$B$60-$B$61</f>
        <v>0</v>
      </c>
      <c r="C65" s="3" t="s">
        <v>14</v>
      </c>
      <c r="E65" s="286"/>
      <c r="F65" s="154" t="s">
        <v>1351</v>
      </c>
    </row>
  </sheetData>
  <sheetProtection formatCells="0" formatColumns="0" formatRows="0" insertColumns="0" insertRows="0" insertHyperlinks="0" deleteColumns="0" deleteRows="0" sort="0" autoFilter="0" pivotTables="0"/>
  <autoFilter ref="D1:D65" xr:uid="{00000000-0009-0000-0000-000004000000}"/>
  <mergeCells count="13">
    <mergeCell ref="F2:G2"/>
    <mergeCell ref="A2:A3"/>
    <mergeCell ref="B2:B3"/>
    <mergeCell ref="C2:C3"/>
    <mergeCell ref="D2:D3"/>
    <mergeCell ref="E2:E3"/>
    <mergeCell ref="S2:S3"/>
    <mergeCell ref="H2:H3"/>
    <mergeCell ref="I2:I3"/>
    <mergeCell ref="J2:J3"/>
    <mergeCell ref="K2:M2"/>
    <mergeCell ref="O2:Q2"/>
    <mergeCell ref="R2:R3"/>
  </mergeCells>
  <phoneticPr fontId="119" type="noConversion"/>
  <dataValidations count="2">
    <dataValidation type="list" allowBlank="1" showInputMessage="1" showErrorMessage="1" sqref="D20:D21 D11 D5" xr:uid="{00000000-0002-0000-0400-000000000000}">
      <formula1>$E$2:$E$176</formula1>
    </dataValidation>
    <dataValidation type="list" allowBlank="1" showInputMessage="1" showErrorMessage="1" sqref="D34:D35" xr:uid="{00000000-0002-0000-0400-000001000000}">
      <formula1>$E$2:$E$172</formula1>
    </dataValidation>
  </dataValidations>
  <pageMargins left="0.7" right="0.7" top="0.75" bottom="0.75" header="0.3" footer="0.3"/>
  <pageSetup paperSize="9" scale="37" orientation="landscape" r:id="rId1"/>
  <colBreaks count="1" manualBreakCount="1">
    <brk id="1" max="87" man="1"/>
  </col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2000000}">
          <x14:formula1>
            <xm:f>справочник!$E$2:$E$177</xm:f>
          </x14:formula1>
          <xm:sqref>D23:D24</xm:sqref>
        </x14:dataValidation>
        <x14:dataValidation type="list" allowBlank="1" showInputMessage="1" showErrorMessage="1" xr:uid="{00000000-0002-0000-0400-000003000000}">
          <x14:formula1>
            <xm:f>справочник!$E$2:$E$173</xm:f>
          </x14:formula1>
          <xm:sqref>D8</xm:sqref>
        </x14:dataValidation>
        <x14:dataValidation type="list" allowBlank="1" showInputMessage="1" showErrorMessage="1" xr:uid="{00000000-0002-0000-0400-000004000000}">
          <x14:formula1>
            <xm:f>справочник!$E$2:$E$178</xm:f>
          </x14:formula1>
          <xm:sqref>D1:D1048576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25"/>
  <sheetViews>
    <sheetView zoomScale="70" zoomScaleNormal="70" zoomScaleSheetLayoutView="70" workbookViewId="0">
      <pane ySplit="3" topLeftCell="A4" activePane="bottomLeft" state="frozen"/>
      <selection pane="bottomLeft" activeCell="T20" sqref="T20"/>
    </sheetView>
  </sheetViews>
  <sheetFormatPr defaultRowHeight="15" x14ac:dyDescent="0.25"/>
  <cols>
    <col min="1" max="1" width="18" style="113" customWidth="1"/>
    <col min="2" max="2" width="15.140625" customWidth="1"/>
    <col min="3" max="3" width="17" customWidth="1"/>
    <col min="4" max="4" width="50.140625" customWidth="1"/>
    <col min="5" max="5" width="15.5703125" style="174" customWidth="1"/>
    <col min="6" max="6" width="13" bestFit="1" customWidth="1"/>
    <col min="7" max="7" width="19.140625" customWidth="1"/>
    <col min="8" max="8" width="19.5703125" customWidth="1"/>
    <col min="9" max="9" width="23" customWidth="1"/>
    <col min="10" max="10" width="18" customWidth="1"/>
    <col min="11" max="11" width="26.7109375" customWidth="1"/>
    <col min="12" max="12" width="24.85546875" customWidth="1"/>
    <col min="13" max="13" width="26.85546875" customWidth="1"/>
    <col min="14" max="14" width="18.42578125" style="140" customWidth="1"/>
    <col min="15" max="15" width="9.85546875" customWidth="1"/>
    <col min="16" max="16" width="10.42578125" customWidth="1"/>
    <col min="17" max="17" width="10.28515625" customWidth="1"/>
    <col min="18" max="18" width="7.5703125" customWidth="1"/>
    <col min="19" max="19" width="13.85546875" customWidth="1"/>
    <col min="20" max="20" width="17.28515625" customWidth="1"/>
    <col min="21" max="21" width="15.42578125" customWidth="1"/>
  </cols>
  <sheetData>
    <row r="1" spans="1:20" s="59" customFormat="1" ht="17.25" x14ac:dyDescent="0.3">
      <c r="A1" s="109"/>
      <c r="B1" s="58" t="s">
        <v>152</v>
      </c>
      <c r="C1" s="66">
        <v>45839</v>
      </c>
      <c r="D1" s="58"/>
      <c r="E1" s="173"/>
      <c r="F1" s="58"/>
      <c r="H1" s="58"/>
      <c r="I1" s="58"/>
      <c r="J1" s="58"/>
      <c r="K1" s="60"/>
      <c r="L1" s="60"/>
      <c r="M1" s="60"/>
      <c r="N1" s="106"/>
      <c r="O1" s="60"/>
      <c r="P1" s="60"/>
      <c r="Q1" s="60"/>
    </row>
    <row r="2" spans="1:20" ht="25.5" customHeight="1" x14ac:dyDescent="0.25">
      <c r="A2" s="404" t="s">
        <v>159</v>
      </c>
      <c r="B2" s="406" t="s">
        <v>18</v>
      </c>
      <c r="C2" s="408" t="s">
        <v>156</v>
      </c>
      <c r="D2" s="410" t="s">
        <v>4</v>
      </c>
      <c r="E2" s="412" t="s">
        <v>5</v>
      </c>
      <c r="F2" s="402" t="s">
        <v>0</v>
      </c>
      <c r="G2" s="403"/>
      <c r="H2" s="388" t="s">
        <v>2</v>
      </c>
      <c r="I2" s="390" t="s">
        <v>3</v>
      </c>
      <c r="J2" s="392" t="s">
        <v>6</v>
      </c>
      <c r="K2" s="394" t="s">
        <v>7</v>
      </c>
      <c r="L2" s="395"/>
      <c r="M2" s="396"/>
      <c r="N2" s="107" t="s">
        <v>9</v>
      </c>
      <c r="O2" s="397" t="s">
        <v>12</v>
      </c>
      <c r="P2" s="398"/>
      <c r="Q2" s="399"/>
      <c r="R2" s="400" t="s">
        <v>151</v>
      </c>
      <c r="S2" s="387" t="s">
        <v>161</v>
      </c>
      <c r="T2" s="95"/>
    </row>
    <row r="3" spans="1:20" x14ac:dyDescent="0.25">
      <c r="A3" s="405"/>
      <c r="B3" s="407"/>
      <c r="C3" s="409"/>
      <c r="D3" s="411"/>
      <c r="E3" s="413"/>
      <c r="F3" s="149" t="s">
        <v>1</v>
      </c>
      <c r="G3" s="149" t="s">
        <v>155</v>
      </c>
      <c r="H3" s="389"/>
      <c r="I3" s="391"/>
      <c r="J3" s="393"/>
      <c r="K3" s="265" t="s">
        <v>8</v>
      </c>
      <c r="L3" s="265" t="s">
        <v>21</v>
      </c>
      <c r="M3" s="265" t="s">
        <v>10</v>
      </c>
      <c r="N3" s="150" t="s">
        <v>1038</v>
      </c>
      <c r="O3" s="151" t="s">
        <v>13</v>
      </c>
      <c r="P3" s="151" t="s">
        <v>154</v>
      </c>
      <c r="Q3" s="152" t="s">
        <v>23</v>
      </c>
      <c r="R3" s="401"/>
      <c r="S3" s="387"/>
      <c r="T3" s="153" t="s">
        <v>162</v>
      </c>
    </row>
    <row r="4" spans="1:20" s="138" customFormat="1" ht="13.5" customHeight="1" x14ac:dyDescent="0.25">
      <c r="A4" s="200"/>
      <c r="B4" s="249"/>
      <c r="C4" s="242"/>
      <c r="D4" s="143"/>
      <c r="E4" s="144"/>
      <c r="F4" s="145"/>
      <c r="G4" s="142"/>
      <c r="H4" s="142"/>
      <c r="I4" s="142"/>
      <c r="J4" s="146"/>
      <c r="K4" s="147"/>
      <c r="L4" s="243"/>
      <c r="M4" s="147"/>
      <c r="N4" s="155"/>
      <c r="O4" s="156"/>
      <c r="P4" s="156"/>
      <c r="Q4" s="157"/>
      <c r="R4" s="141"/>
      <c r="T4" s="256"/>
    </row>
    <row r="5" spans="1:20" s="63" customFormat="1" ht="13.5" customHeight="1" x14ac:dyDescent="0.25">
      <c r="A5" s="65" t="s">
        <v>1505</v>
      </c>
      <c r="B5" s="57" t="s">
        <v>1495</v>
      </c>
      <c r="C5" s="57" t="s">
        <v>730</v>
      </c>
      <c r="D5" s="10" t="s">
        <v>1426</v>
      </c>
      <c r="E5" s="56" t="s">
        <v>1496</v>
      </c>
      <c r="F5" s="57">
        <v>18964</v>
      </c>
      <c r="G5" s="65">
        <v>88</v>
      </c>
      <c r="H5" s="65" t="s">
        <v>500</v>
      </c>
      <c r="I5" s="55" t="s">
        <v>1263</v>
      </c>
      <c r="J5" s="55">
        <v>45847</v>
      </c>
      <c r="K5" s="53" t="s">
        <v>1504</v>
      </c>
      <c r="L5" s="207">
        <v>89822215272</v>
      </c>
      <c r="M5" s="53" t="s">
        <v>1503</v>
      </c>
      <c r="N5" s="212"/>
      <c r="O5" s="53"/>
      <c r="P5" s="57"/>
      <c r="Q5" s="57">
        <f>F5</f>
        <v>18964</v>
      </c>
      <c r="R5" s="53" t="s">
        <v>417</v>
      </c>
      <c r="S5" s="94">
        <v>89000</v>
      </c>
      <c r="T5" s="61">
        <f xml:space="preserve"> S5*(F5/1000)</f>
        <v>1687795.9999999998</v>
      </c>
    </row>
    <row r="6" spans="1:20" s="63" customFormat="1" ht="13.5" customHeight="1" x14ac:dyDescent="0.25">
      <c r="A6" s="65" t="s">
        <v>1524</v>
      </c>
      <c r="B6" s="57" t="s">
        <v>1446</v>
      </c>
      <c r="C6" s="57" t="s">
        <v>558</v>
      </c>
      <c r="D6" s="93" t="s">
        <v>172</v>
      </c>
      <c r="E6" s="56" t="s">
        <v>1497</v>
      </c>
      <c r="F6" s="92">
        <v>3200</v>
      </c>
      <c r="G6" s="65">
        <v>16</v>
      </c>
      <c r="H6" s="65" t="s">
        <v>560</v>
      </c>
      <c r="I6" s="65" t="s">
        <v>1263</v>
      </c>
      <c r="J6" s="55">
        <v>45848</v>
      </c>
      <c r="K6" s="108" t="s">
        <v>1507</v>
      </c>
      <c r="L6" s="108">
        <v>79170959670</v>
      </c>
      <c r="M6" s="98" t="s">
        <v>1506</v>
      </c>
      <c r="N6" s="162"/>
      <c r="O6" s="92"/>
      <c r="P6" s="92"/>
      <c r="Q6" s="57">
        <f t="shared" ref="Q6:Q7" si="0">F6</f>
        <v>3200</v>
      </c>
      <c r="R6" s="53" t="s">
        <v>417</v>
      </c>
      <c r="S6" s="94">
        <v>167500</v>
      </c>
      <c r="T6" s="61">
        <f t="shared" ref="T6:T18" si="1" xml:space="preserve"> S6*(F6/1000)</f>
        <v>536000</v>
      </c>
    </row>
    <row r="7" spans="1:20" s="63" customFormat="1" ht="13.5" customHeight="1" x14ac:dyDescent="0.25">
      <c r="A7" s="65" t="s">
        <v>1524</v>
      </c>
      <c r="B7" s="57" t="s">
        <v>1446</v>
      </c>
      <c r="C7" s="57" t="s">
        <v>558</v>
      </c>
      <c r="D7" s="93" t="s">
        <v>309</v>
      </c>
      <c r="E7" s="56" t="s">
        <v>1500</v>
      </c>
      <c r="F7" s="92">
        <v>14400</v>
      </c>
      <c r="G7" s="65">
        <v>72</v>
      </c>
      <c r="H7" s="65" t="s">
        <v>560</v>
      </c>
      <c r="I7" s="65" t="s">
        <v>1263</v>
      </c>
      <c r="J7" s="55">
        <v>45848</v>
      </c>
      <c r="K7" s="108" t="s">
        <v>1507</v>
      </c>
      <c r="L7" s="164">
        <v>79170959670</v>
      </c>
      <c r="M7" s="98" t="s">
        <v>1506</v>
      </c>
      <c r="N7" s="162"/>
      <c r="O7" s="92"/>
      <c r="P7" s="92"/>
      <c r="Q7" s="57">
        <f t="shared" si="0"/>
        <v>14400</v>
      </c>
      <c r="R7" s="53" t="s">
        <v>417</v>
      </c>
      <c r="S7" s="94">
        <v>128000</v>
      </c>
      <c r="T7" s="61">
        <f t="shared" si="1"/>
        <v>1843200</v>
      </c>
    </row>
    <row r="8" spans="1:20" s="63" customFormat="1" ht="13.5" customHeight="1" x14ac:dyDescent="0.25">
      <c r="A8" s="65" t="s">
        <v>418</v>
      </c>
      <c r="B8" s="57" t="s">
        <v>1463</v>
      </c>
      <c r="C8" s="57" t="s">
        <v>451</v>
      </c>
      <c r="D8" s="93" t="s">
        <v>222</v>
      </c>
      <c r="E8" s="56" t="s">
        <v>1075</v>
      </c>
      <c r="F8" s="92">
        <v>10000</v>
      </c>
      <c r="G8" s="65">
        <v>400</v>
      </c>
      <c r="H8" s="65" t="s">
        <v>452</v>
      </c>
      <c r="I8" s="65" t="s">
        <v>1263</v>
      </c>
      <c r="J8" s="55">
        <v>45849</v>
      </c>
      <c r="K8" s="269" t="s">
        <v>1144</v>
      </c>
      <c r="L8" s="248">
        <v>89115713730</v>
      </c>
      <c r="M8" s="62" t="s">
        <v>1508</v>
      </c>
      <c r="N8" s="162"/>
      <c r="O8" s="92">
        <f>F8</f>
        <v>10000</v>
      </c>
      <c r="P8" s="57"/>
      <c r="Q8" s="57"/>
      <c r="R8" s="53" t="s">
        <v>417</v>
      </c>
      <c r="S8" s="94">
        <v>43500</v>
      </c>
      <c r="T8" s="61">
        <f t="shared" si="1"/>
        <v>435000</v>
      </c>
    </row>
    <row r="9" spans="1:20" s="63" customFormat="1" ht="13.5" customHeight="1" x14ac:dyDescent="0.25">
      <c r="A9" s="65" t="s">
        <v>418</v>
      </c>
      <c r="B9" s="57" t="s">
        <v>1463</v>
      </c>
      <c r="C9" s="57" t="s">
        <v>451</v>
      </c>
      <c r="D9" s="93" t="s">
        <v>223</v>
      </c>
      <c r="E9" s="56" t="s">
        <v>453</v>
      </c>
      <c r="F9" s="92">
        <v>10000</v>
      </c>
      <c r="G9" s="65">
        <v>400</v>
      </c>
      <c r="H9" s="65" t="s">
        <v>452</v>
      </c>
      <c r="I9" s="65" t="s">
        <v>1263</v>
      </c>
      <c r="J9" s="55">
        <v>45849</v>
      </c>
      <c r="K9" s="269" t="s">
        <v>1144</v>
      </c>
      <c r="L9" s="248">
        <v>89115713730</v>
      </c>
      <c r="M9" s="62" t="s">
        <v>1508</v>
      </c>
      <c r="N9" s="162"/>
      <c r="O9" s="92"/>
      <c r="P9" s="57">
        <f>F9</f>
        <v>10000</v>
      </c>
      <c r="Q9" s="57"/>
      <c r="R9" s="53" t="s">
        <v>417</v>
      </c>
      <c r="S9" s="94">
        <v>250000</v>
      </c>
      <c r="T9" s="61">
        <f t="shared" si="1"/>
        <v>2500000</v>
      </c>
    </row>
    <row r="10" spans="1:20" s="63" customFormat="1" ht="13.5" customHeight="1" x14ac:dyDescent="0.25">
      <c r="A10" s="65" t="s">
        <v>1509</v>
      </c>
      <c r="B10" s="57" t="s">
        <v>1510</v>
      </c>
      <c r="C10" s="57" t="s">
        <v>1511</v>
      </c>
      <c r="D10" s="93" t="s">
        <v>246</v>
      </c>
      <c r="E10" s="56" t="s">
        <v>1512</v>
      </c>
      <c r="F10" s="92">
        <v>500</v>
      </c>
      <c r="G10" s="65">
        <v>20</v>
      </c>
      <c r="H10" s="65" t="s">
        <v>1513</v>
      </c>
      <c r="I10" s="65" t="s">
        <v>1263</v>
      </c>
      <c r="J10" s="55">
        <v>45852</v>
      </c>
      <c r="K10" s="270">
        <v>55334659</v>
      </c>
      <c r="L10" s="248"/>
      <c r="M10" s="62" t="s">
        <v>623</v>
      </c>
      <c r="N10" s="162"/>
      <c r="O10" s="92"/>
      <c r="P10" s="57"/>
      <c r="Q10" s="57">
        <f>F10</f>
        <v>500</v>
      </c>
      <c r="R10" s="53" t="s">
        <v>417</v>
      </c>
      <c r="S10" s="94">
        <v>110000</v>
      </c>
      <c r="T10" s="61">
        <f t="shared" si="1"/>
        <v>55000</v>
      </c>
    </row>
    <row r="11" spans="1:20" s="63" customFormat="1" ht="13.5" customHeight="1" x14ac:dyDescent="0.25">
      <c r="A11" s="65" t="s">
        <v>1509</v>
      </c>
      <c r="B11" s="57" t="s">
        <v>1510</v>
      </c>
      <c r="C11" s="57" t="s">
        <v>1511</v>
      </c>
      <c r="D11" s="93" t="s">
        <v>167</v>
      </c>
      <c r="E11" s="56" t="s">
        <v>1514</v>
      </c>
      <c r="F11" s="92">
        <v>600</v>
      </c>
      <c r="G11" s="65">
        <v>3</v>
      </c>
      <c r="H11" s="65" t="s">
        <v>1513</v>
      </c>
      <c r="I11" s="65" t="s">
        <v>1263</v>
      </c>
      <c r="J11" s="55">
        <v>45852</v>
      </c>
      <c r="K11" s="270">
        <v>55334659</v>
      </c>
      <c r="L11" s="248"/>
      <c r="M11" s="62" t="s">
        <v>623</v>
      </c>
      <c r="N11" s="162"/>
      <c r="O11" s="92"/>
      <c r="P11" s="57"/>
      <c r="Q11" s="57">
        <f>F11</f>
        <v>600</v>
      </c>
      <c r="R11" s="53" t="s">
        <v>417</v>
      </c>
      <c r="S11" s="94">
        <v>89000</v>
      </c>
      <c r="T11" s="61">
        <f t="shared" si="1"/>
        <v>53400</v>
      </c>
    </row>
    <row r="12" spans="1:20" s="63" customFormat="1" ht="13.5" customHeight="1" x14ac:dyDescent="0.25">
      <c r="A12" s="65" t="s">
        <v>281</v>
      </c>
      <c r="B12" s="57" t="s">
        <v>1525</v>
      </c>
      <c r="C12" s="57" t="s">
        <v>1480</v>
      </c>
      <c r="D12" s="10" t="s">
        <v>168</v>
      </c>
      <c r="E12" s="56" t="s">
        <v>1526</v>
      </c>
      <c r="F12" s="57">
        <v>800</v>
      </c>
      <c r="G12" s="65">
        <v>4</v>
      </c>
      <c r="H12" s="65" t="s">
        <v>1114</v>
      </c>
      <c r="I12" s="65" t="s">
        <v>1263</v>
      </c>
      <c r="J12" s="55">
        <v>45860</v>
      </c>
      <c r="K12" s="205" t="s">
        <v>1528</v>
      </c>
      <c r="L12" s="207">
        <v>89966264435</v>
      </c>
      <c r="M12" s="53" t="s">
        <v>1527</v>
      </c>
      <c r="N12" s="212"/>
      <c r="O12" s="53"/>
      <c r="P12" s="57"/>
      <c r="Q12" s="57">
        <v>800</v>
      </c>
      <c r="R12" s="53" t="s">
        <v>417</v>
      </c>
      <c r="S12" s="94">
        <v>111000</v>
      </c>
      <c r="T12" s="61">
        <f t="shared" si="1"/>
        <v>88800</v>
      </c>
    </row>
    <row r="13" spans="1:20" s="63" customFormat="1" ht="13.5" customHeight="1" x14ac:dyDescent="0.25">
      <c r="A13" s="65" t="s">
        <v>1529</v>
      </c>
      <c r="B13" s="57" t="s">
        <v>1515</v>
      </c>
      <c r="C13" s="57" t="s">
        <v>451</v>
      </c>
      <c r="D13" s="93" t="s">
        <v>194</v>
      </c>
      <c r="E13" s="56" t="s">
        <v>1212</v>
      </c>
      <c r="F13" s="92">
        <v>5600</v>
      </c>
      <c r="G13" s="65">
        <v>28</v>
      </c>
      <c r="H13" s="65" t="s">
        <v>452</v>
      </c>
      <c r="I13" s="65" t="s">
        <v>1263</v>
      </c>
      <c r="J13" s="55">
        <v>45863</v>
      </c>
      <c r="K13" s="98" t="s">
        <v>694</v>
      </c>
      <c r="L13" s="108" t="s">
        <v>695</v>
      </c>
      <c r="M13" s="98" t="s">
        <v>1202</v>
      </c>
      <c r="N13" s="162"/>
      <c r="O13" s="92"/>
      <c r="P13" s="57"/>
      <c r="Q13" s="92">
        <v>5600</v>
      </c>
      <c r="R13" s="53" t="s">
        <v>417</v>
      </c>
      <c r="S13" s="94">
        <v>105000</v>
      </c>
      <c r="T13" s="61">
        <f t="shared" si="1"/>
        <v>588000</v>
      </c>
    </row>
    <row r="14" spans="1:20" s="63" customFormat="1" ht="13.5" customHeight="1" x14ac:dyDescent="0.25">
      <c r="A14" s="65" t="s">
        <v>1529</v>
      </c>
      <c r="B14" s="57" t="s">
        <v>1515</v>
      </c>
      <c r="C14" s="57" t="s">
        <v>451</v>
      </c>
      <c r="D14" s="93" t="s">
        <v>223</v>
      </c>
      <c r="E14" s="56" t="s">
        <v>453</v>
      </c>
      <c r="F14" s="92">
        <v>14000</v>
      </c>
      <c r="G14" s="65">
        <v>560</v>
      </c>
      <c r="H14" s="65" t="s">
        <v>452</v>
      </c>
      <c r="I14" s="65" t="s">
        <v>1263</v>
      </c>
      <c r="J14" s="55">
        <v>45863</v>
      </c>
      <c r="K14" s="98" t="s">
        <v>694</v>
      </c>
      <c r="L14" s="108" t="s">
        <v>695</v>
      </c>
      <c r="M14" s="98" t="s">
        <v>1202</v>
      </c>
      <c r="N14" s="162"/>
      <c r="O14" s="92"/>
      <c r="P14" s="92">
        <v>14000</v>
      </c>
      <c r="Q14" s="92"/>
      <c r="R14" s="53" t="s">
        <v>417</v>
      </c>
      <c r="S14" s="94">
        <v>250000</v>
      </c>
      <c r="T14" s="61">
        <f t="shared" si="1"/>
        <v>3500000</v>
      </c>
    </row>
    <row r="15" spans="1:20" s="63" customFormat="1" ht="13.5" customHeight="1" x14ac:dyDescent="0.25">
      <c r="A15" s="65" t="s">
        <v>418</v>
      </c>
      <c r="B15" s="57" t="s">
        <v>1521</v>
      </c>
      <c r="C15" s="57" t="s">
        <v>1522</v>
      </c>
      <c r="D15" s="10" t="s">
        <v>214</v>
      </c>
      <c r="E15" s="56" t="s">
        <v>1523</v>
      </c>
      <c r="F15" s="57">
        <v>20000</v>
      </c>
      <c r="G15" s="65">
        <v>800</v>
      </c>
      <c r="H15" s="65" t="s">
        <v>1459</v>
      </c>
      <c r="I15" s="55" t="s">
        <v>1263</v>
      </c>
      <c r="J15" s="55">
        <v>45866</v>
      </c>
      <c r="K15" s="53" t="s">
        <v>587</v>
      </c>
      <c r="L15" s="207">
        <v>89212974613</v>
      </c>
      <c r="M15" s="53" t="s">
        <v>518</v>
      </c>
      <c r="N15" s="212"/>
      <c r="O15" s="57">
        <v>20000</v>
      </c>
      <c r="P15" s="57"/>
      <c r="Q15" s="57"/>
      <c r="R15" s="53" t="s">
        <v>417</v>
      </c>
      <c r="S15" s="94">
        <v>43000</v>
      </c>
      <c r="T15" s="61">
        <f t="shared" si="1"/>
        <v>860000</v>
      </c>
    </row>
    <row r="16" spans="1:20" s="63" customFormat="1" ht="13.5" customHeight="1" x14ac:dyDescent="0.25">
      <c r="A16" s="65" t="s">
        <v>790</v>
      </c>
      <c r="B16" s="57" t="s">
        <v>1458</v>
      </c>
      <c r="C16" s="57" t="s">
        <v>788</v>
      </c>
      <c r="D16" s="93" t="s">
        <v>212</v>
      </c>
      <c r="E16" s="189" t="s">
        <v>1290</v>
      </c>
      <c r="F16" s="92">
        <v>20000</v>
      </c>
      <c r="G16" s="65">
        <v>800</v>
      </c>
      <c r="H16" s="65" t="s">
        <v>789</v>
      </c>
      <c r="I16" s="65" t="s">
        <v>1263</v>
      </c>
      <c r="J16" s="55">
        <v>45866</v>
      </c>
      <c r="K16" s="199" t="s">
        <v>1316</v>
      </c>
      <c r="L16" s="185" t="s">
        <v>1533</v>
      </c>
      <c r="M16" s="53" t="s">
        <v>1532</v>
      </c>
      <c r="N16" s="199"/>
      <c r="O16" s="92">
        <v>20000</v>
      </c>
      <c r="P16" s="57"/>
      <c r="Q16" s="57"/>
      <c r="R16" s="53" t="s">
        <v>417</v>
      </c>
      <c r="S16" s="94">
        <v>45000</v>
      </c>
      <c r="T16" s="61">
        <f t="shared" si="1"/>
        <v>900000</v>
      </c>
    </row>
    <row r="17" spans="1:20" s="63" customFormat="1" ht="13.5" customHeight="1" x14ac:dyDescent="0.25">
      <c r="A17" s="65" t="s">
        <v>418</v>
      </c>
      <c r="B17" s="57" t="s">
        <v>1433</v>
      </c>
      <c r="C17" s="57" t="s">
        <v>164</v>
      </c>
      <c r="D17" s="10" t="s">
        <v>306</v>
      </c>
      <c r="E17" s="167" t="s">
        <v>1422</v>
      </c>
      <c r="F17" s="57">
        <v>20125</v>
      </c>
      <c r="G17" s="65">
        <v>805</v>
      </c>
      <c r="H17" s="65" t="s">
        <v>165</v>
      </c>
      <c r="I17" s="55" t="s">
        <v>1263</v>
      </c>
      <c r="J17" s="55">
        <v>45869</v>
      </c>
      <c r="K17" s="53" t="s">
        <v>1144</v>
      </c>
      <c r="L17" s="207">
        <v>89115713730</v>
      </c>
      <c r="M17" s="53" t="s">
        <v>419</v>
      </c>
      <c r="N17" s="271"/>
      <c r="O17" s="57">
        <v>20125</v>
      </c>
      <c r="P17" s="57"/>
      <c r="Q17" s="57"/>
      <c r="R17" s="168" t="s">
        <v>417</v>
      </c>
      <c r="S17" s="94">
        <v>41000</v>
      </c>
      <c r="T17" s="61">
        <f t="shared" si="1"/>
        <v>825125</v>
      </c>
    </row>
    <row r="18" spans="1:20" s="63" customFormat="1" ht="13.5" customHeight="1" x14ac:dyDescent="0.25">
      <c r="A18" s="65" t="s">
        <v>311</v>
      </c>
      <c r="B18" s="57" t="s">
        <v>1399</v>
      </c>
      <c r="C18" s="57" t="s">
        <v>164</v>
      </c>
      <c r="D18" s="10" t="s">
        <v>306</v>
      </c>
      <c r="E18" s="167" t="s">
        <v>1401</v>
      </c>
      <c r="F18" s="57">
        <v>20125</v>
      </c>
      <c r="G18" s="65">
        <v>805</v>
      </c>
      <c r="H18" s="65" t="s">
        <v>165</v>
      </c>
      <c r="I18" s="55" t="s">
        <v>1263</v>
      </c>
      <c r="J18" s="55">
        <v>45869</v>
      </c>
      <c r="K18" s="53" t="s">
        <v>1565</v>
      </c>
      <c r="L18" s="207">
        <v>89038775411</v>
      </c>
      <c r="M18" s="53" t="s">
        <v>1564</v>
      </c>
      <c r="N18" s="271"/>
      <c r="O18" s="57">
        <v>20125</v>
      </c>
      <c r="P18" s="57"/>
      <c r="Q18" s="57"/>
      <c r="R18" s="168" t="s">
        <v>417</v>
      </c>
      <c r="S18" s="94">
        <v>41000</v>
      </c>
      <c r="T18" s="61">
        <f t="shared" si="1"/>
        <v>825125</v>
      </c>
    </row>
    <row r="19" spans="1:20" ht="18.75" x14ac:dyDescent="0.3">
      <c r="A19" s="65"/>
      <c r="B19" s="57"/>
      <c r="C19" s="57"/>
      <c r="D19" s="10"/>
      <c r="E19" s="56"/>
      <c r="F19" s="57"/>
      <c r="G19" s="65"/>
      <c r="H19" s="65"/>
      <c r="I19" s="65"/>
      <c r="J19" s="55"/>
      <c r="K19" s="99"/>
      <c r="L19" s="105"/>
      <c r="M19" s="62"/>
      <c r="N19" s="257"/>
      <c r="O19" s="53"/>
      <c r="P19" s="53"/>
      <c r="Q19" s="57"/>
      <c r="R19" s="53"/>
      <c r="S19" s="94"/>
      <c r="T19" s="348">
        <f>SUM(T5:T18)</f>
        <v>14697446</v>
      </c>
    </row>
    <row r="20" spans="1:20" ht="21" customHeight="1" x14ac:dyDescent="0.3">
      <c r="A20" s="159" t="s">
        <v>15</v>
      </c>
      <c r="B20" s="101">
        <f>SUM($F$4:$F$19)/1000</f>
        <v>158.31399999999999</v>
      </c>
      <c r="C20" s="54" t="s">
        <v>14</v>
      </c>
    </row>
    <row r="21" spans="1:20" ht="21" customHeight="1" x14ac:dyDescent="0.3">
      <c r="A21" s="110" t="s">
        <v>16</v>
      </c>
      <c r="B21" s="102">
        <f>$B$22+$B$23+$B$24</f>
        <v>158.31399999999999</v>
      </c>
      <c r="C21" s="1" t="s">
        <v>14</v>
      </c>
      <c r="E21" s="175"/>
      <c r="F21" s="154" t="s">
        <v>321</v>
      </c>
      <c r="G21" s="154"/>
    </row>
    <row r="22" spans="1:20" ht="21" customHeight="1" x14ac:dyDescent="0.3">
      <c r="A22" s="111" t="s">
        <v>17</v>
      </c>
      <c r="B22" s="100">
        <f>SUM(O5:O19)/1000</f>
        <v>90.25</v>
      </c>
      <c r="C22" s="2" t="s">
        <v>14</v>
      </c>
      <c r="D22" s="184"/>
      <c r="E22" s="188"/>
      <c r="F22" s="154" t="s">
        <v>319</v>
      </c>
      <c r="G22" s="154"/>
    </row>
    <row r="23" spans="1:20" ht="21" customHeight="1" x14ac:dyDescent="0.3">
      <c r="A23" s="111" t="s">
        <v>153</v>
      </c>
      <c r="B23" s="100">
        <f>SUM(P5:P19)/1000</f>
        <v>24</v>
      </c>
      <c r="C23" s="2" t="s">
        <v>14</v>
      </c>
      <c r="E23" s="177"/>
      <c r="F23" s="154" t="s">
        <v>318</v>
      </c>
      <c r="G23" s="154"/>
    </row>
    <row r="24" spans="1:20" ht="21" customHeight="1" x14ac:dyDescent="0.3">
      <c r="A24" s="111" t="s">
        <v>24</v>
      </c>
      <c r="B24" s="100">
        <f>SUM(Q5:Q19)/1000</f>
        <v>44.064</v>
      </c>
      <c r="C24" s="2" t="s">
        <v>14</v>
      </c>
      <c r="E24" s="178"/>
      <c r="F24" s="154" t="s">
        <v>325</v>
      </c>
    </row>
    <row r="25" spans="1:20" ht="23.25" customHeight="1" thickBot="1" x14ac:dyDescent="0.35">
      <c r="A25" s="112" t="s">
        <v>20</v>
      </c>
      <c r="B25" s="104">
        <f>$B$20-$B$21</f>
        <v>0</v>
      </c>
      <c r="C25" s="3" t="s">
        <v>14</v>
      </c>
      <c r="E25" s="250"/>
      <c r="F25" s="154" t="s">
        <v>1351</v>
      </c>
    </row>
  </sheetData>
  <sheetProtection formatCells="0" formatColumns="0" formatRows="0" insertColumns="0" insertRows="0" insertHyperlinks="0" deleteColumns="0" deleteRows="0" sort="0" autoFilter="0" pivotTables="0"/>
  <autoFilter ref="D1:D25" xr:uid="{00000000-0009-0000-0000-000005000000}"/>
  <mergeCells count="13">
    <mergeCell ref="F2:G2"/>
    <mergeCell ref="A2:A3"/>
    <mergeCell ref="B2:B3"/>
    <mergeCell ref="C2:C3"/>
    <mergeCell ref="D2:D3"/>
    <mergeCell ref="E2:E3"/>
    <mergeCell ref="S2:S3"/>
    <mergeCell ref="H2:H3"/>
    <mergeCell ref="I2:I3"/>
    <mergeCell ref="J2:J3"/>
    <mergeCell ref="K2:M2"/>
    <mergeCell ref="O2:Q2"/>
    <mergeCell ref="R2:R3"/>
  </mergeCells>
  <phoneticPr fontId="119" type="noConversion"/>
  <dataValidations count="1">
    <dataValidation type="list" allowBlank="1" showInputMessage="1" showErrorMessage="1" sqref="D7" xr:uid="{00000000-0002-0000-0500-000000000000}">
      <formula1>$E$2:$E$176</formula1>
    </dataValidation>
  </dataValidations>
  <pageMargins left="0.7" right="0.7" top="0.75" bottom="0.75" header="0.3" footer="0.3"/>
  <pageSetup paperSize="9" scale="37" orientation="landscape" r:id="rId1"/>
  <colBreaks count="1" manualBreakCount="1">
    <brk id="1" max="87" man="1"/>
  </col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1000000}">
          <x14:formula1>
            <xm:f>справочник!$E$2:$E$173</xm:f>
          </x14:formula1>
          <xm:sqref>D6</xm:sqref>
        </x14:dataValidation>
        <x14:dataValidation type="list" allowBlank="1" showInputMessage="1" showErrorMessage="1" xr:uid="{00000000-0002-0000-0500-000002000000}">
          <x14:formula1>
            <xm:f>справочник!$E$2:$E$177</xm:f>
          </x14:formula1>
          <xm:sqref>D16</xm:sqref>
        </x14:dataValidation>
        <x14:dataValidation type="list" allowBlank="1" showInputMessage="1" showErrorMessage="1" xr:uid="{00000000-0002-0000-0500-000003000000}">
          <x14:formula1>
            <xm:f>справочник!$E$2:$E$178</xm:f>
          </x14:formula1>
          <xm:sqref>D1:D1048576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58"/>
  <sheetViews>
    <sheetView zoomScale="70" zoomScaleNormal="70" zoomScaleSheetLayoutView="70" workbookViewId="0">
      <pane ySplit="3" topLeftCell="A4" activePane="bottomLeft" state="frozen"/>
      <selection pane="bottomLeft" activeCell="M45" sqref="M45"/>
    </sheetView>
  </sheetViews>
  <sheetFormatPr defaultRowHeight="15" x14ac:dyDescent="0.25"/>
  <cols>
    <col min="1" max="1" width="18" style="113" customWidth="1"/>
    <col min="2" max="2" width="15.140625" customWidth="1"/>
    <col min="3" max="3" width="19.7109375" customWidth="1"/>
    <col min="4" max="4" width="56.7109375" customWidth="1"/>
    <col min="5" max="5" width="15.5703125" style="174" customWidth="1"/>
    <col min="6" max="6" width="13" bestFit="1" customWidth="1"/>
    <col min="7" max="7" width="19.140625" customWidth="1"/>
    <col min="8" max="8" width="19.5703125" customWidth="1"/>
    <col min="9" max="9" width="23" customWidth="1"/>
    <col min="10" max="10" width="18" customWidth="1"/>
    <col min="11" max="11" width="26.7109375" customWidth="1"/>
    <col min="12" max="12" width="24.85546875" customWidth="1"/>
    <col min="13" max="13" width="26.85546875" customWidth="1"/>
    <col min="14" max="14" width="21.7109375" style="140" customWidth="1"/>
    <col min="15" max="15" width="9.85546875" customWidth="1"/>
    <col min="16" max="16" width="10.42578125" customWidth="1"/>
    <col min="17" max="17" width="10.28515625" customWidth="1"/>
    <col min="18" max="18" width="7.5703125" customWidth="1"/>
    <col min="19" max="19" width="13.85546875" customWidth="1"/>
    <col min="20" max="20" width="17.28515625" customWidth="1"/>
    <col min="21" max="21" width="15.42578125" customWidth="1"/>
  </cols>
  <sheetData>
    <row r="1" spans="1:20" s="59" customFormat="1" ht="17.25" x14ac:dyDescent="0.3">
      <c r="A1" s="109"/>
      <c r="B1" s="58" t="s">
        <v>152</v>
      </c>
      <c r="C1" s="66">
        <v>45809</v>
      </c>
      <c r="D1" s="58"/>
      <c r="E1" s="173"/>
      <c r="F1" s="58"/>
      <c r="H1" s="58"/>
      <c r="I1" s="58"/>
      <c r="J1" s="58"/>
      <c r="K1" s="60"/>
      <c r="L1" s="60"/>
      <c r="M1" s="60"/>
      <c r="N1" s="106"/>
      <c r="O1" s="60"/>
      <c r="P1" s="60"/>
      <c r="Q1" s="60"/>
    </row>
    <row r="2" spans="1:20" ht="25.5" customHeight="1" x14ac:dyDescent="0.25">
      <c r="A2" s="404" t="s">
        <v>159</v>
      </c>
      <c r="B2" s="406" t="s">
        <v>18</v>
      </c>
      <c r="C2" s="408" t="s">
        <v>156</v>
      </c>
      <c r="D2" s="410" t="s">
        <v>4</v>
      </c>
      <c r="E2" s="412" t="s">
        <v>5</v>
      </c>
      <c r="F2" s="402" t="s">
        <v>0</v>
      </c>
      <c r="G2" s="403"/>
      <c r="H2" s="388" t="s">
        <v>2</v>
      </c>
      <c r="I2" s="390" t="s">
        <v>3</v>
      </c>
      <c r="J2" s="392" t="s">
        <v>6</v>
      </c>
      <c r="K2" s="394" t="s">
        <v>7</v>
      </c>
      <c r="L2" s="395"/>
      <c r="M2" s="396"/>
      <c r="N2" s="107" t="s">
        <v>9</v>
      </c>
      <c r="O2" s="397" t="s">
        <v>12</v>
      </c>
      <c r="P2" s="398"/>
      <c r="Q2" s="399"/>
      <c r="R2" s="400" t="s">
        <v>151</v>
      </c>
      <c r="S2" s="387" t="s">
        <v>161</v>
      </c>
      <c r="T2" s="95"/>
    </row>
    <row r="3" spans="1:20" x14ac:dyDescent="0.25">
      <c r="A3" s="405"/>
      <c r="B3" s="407"/>
      <c r="C3" s="409"/>
      <c r="D3" s="411"/>
      <c r="E3" s="413"/>
      <c r="F3" s="149" t="s">
        <v>1</v>
      </c>
      <c r="G3" s="149" t="s">
        <v>155</v>
      </c>
      <c r="H3" s="389"/>
      <c r="I3" s="391"/>
      <c r="J3" s="393"/>
      <c r="K3" s="255" t="s">
        <v>8</v>
      </c>
      <c r="L3" s="255" t="s">
        <v>21</v>
      </c>
      <c r="M3" s="255" t="s">
        <v>10</v>
      </c>
      <c r="N3" s="150" t="s">
        <v>1038</v>
      </c>
      <c r="O3" s="151" t="s">
        <v>13</v>
      </c>
      <c r="P3" s="151" t="s">
        <v>154</v>
      </c>
      <c r="Q3" s="152" t="s">
        <v>23</v>
      </c>
      <c r="R3" s="401"/>
      <c r="S3" s="387"/>
      <c r="T3" s="153" t="s">
        <v>162</v>
      </c>
    </row>
    <row r="4" spans="1:20" s="63" customFormat="1" ht="13.5" customHeight="1" x14ac:dyDescent="0.25">
      <c r="A4" s="65" t="s">
        <v>1090</v>
      </c>
      <c r="B4" s="57" t="s">
        <v>1317</v>
      </c>
      <c r="C4" s="57" t="s">
        <v>451</v>
      </c>
      <c r="D4" s="93" t="s">
        <v>222</v>
      </c>
      <c r="E4" s="56" t="s">
        <v>1075</v>
      </c>
      <c r="F4" s="92">
        <v>20000</v>
      </c>
      <c r="G4" s="65">
        <v>800</v>
      </c>
      <c r="H4" s="65" t="s">
        <v>471</v>
      </c>
      <c r="I4" s="65" t="s">
        <v>404</v>
      </c>
      <c r="J4" s="55">
        <v>45810</v>
      </c>
      <c r="K4" s="98" t="s">
        <v>694</v>
      </c>
      <c r="L4" s="108" t="s">
        <v>695</v>
      </c>
      <c r="M4" s="98" t="s">
        <v>1202</v>
      </c>
      <c r="N4" s="162"/>
      <c r="O4" s="92">
        <v>20000</v>
      </c>
      <c r="P4" s="92"/>
      <c r="Q4" s="92"/>
      <c r="R4" s="53" t="s">
        <v>417</v>
      </c>
      <c r="S4" s="94">
        <v>43500</v>
      </c>
      <c r="T4" s="61">
        <f t="shared" ref="T4:T35" si="0" xml:space="preserve"> S4*(F4/1000)</f>
        <v>870000</v>
      </c>
    </row>
    <row r="5" spans="1:20" s="63" customFormat="1" ht="13.5" customHeight="1" x14ac:dyDescent="0.25">
      <c r="A5" s="65" t="s">
        <v>1376</v>
      </c>
      <c r="B5" s="57" t="s">
        <v>1267</v>
      </c>
      <c r="C5" s="57" t="s">
        <v>164</v>
      </c>
      <c r="D5" s="10" t="s">
        <v>306</v>
      </c>
      <c r="E5" s="167" t="s">
        <v>1265</v>
      </c>
      <c r="F5" s="57">
        <v>17500</v>
      </c>
      <c r="G5" s="65">
        <v>700</v>
      </c>
      <c r="H5" s="65" t="s">
        <v>903</v>
      </c>
      <c r="I5" s="65" t="s">
        <v>404</v>
      </c>
      <c r="J5" s="55">
        <v>45810</v>
      </c>
      <c r="K5" s="53" t="s">
        <v>1395</v>
      </c>
      <c r="L5" s="207">
        <v>89195697888</v>
      </c>
      <c r="M5" s="53" t="s">
        <v>1394</v>
      </c>
      <c r="N5" s="244" t="s">
        <v>1428</v>
      </c>
      <c r="O5" s="57">
        <v>17500</v>
      </c>
      <c r="P5" s="57"/>
      <c r="Q5" s="92"/>
      <c r="R5" s="168" t="s">
        <v>417</v>
      </c>
      <c r="S5" s="94">
        <v>41000</v>
      </c>
      <c r="T5" s="61">
        <f t="shared" si="0"/>
        <v>717500</v>
      </c>
    </row>
    <row r="6" spans="1:20" s="63" customFormat="1" ht="13.5" customHeight="1" x14ac:dyDescent="0.25">
      <c r="A6" s="65" t="s">
        <v>1376</v>
      </c>
      <c r="B6" s="57" t="s">
        <v>1233</v>
      </c>
      <c r="C6" s="57" t="s">
        <v>730</v>
      </c>
      <c r="D6" s="10" t="s">
        <v>1256</v>
      </c>
      <c r="E6" s="56" t="s">
        <v>1234</v>
      </c>
      <c r="F6" s="57">
        <v>3600</v>
      </c>
      <c r="G6" s="65">
        <v>18</v>
      </c>
      <c r="H6" s="65" t="s">
        <v>500</v>
      </c>
      <c r="I6" s="65" t="s">
        <v>404</v>
      </c>
      <c r="J6" s="55">
        <v>45810</v>
      </c>
      <c r="K6" s="53" t="s">
        <v>1395</v>
      </c>
      <c r="L6" s="207">
        <v>89195697888</v>
      </c>
      <c r="M6" s="53" t="s">
        <v>1394</v>
      </c>
      <c r="N6" s="212"/>
      <c r="O6" s="53"/>
      <c r="P6" s="57"/>
      <c r="Q6" s="57">
        <v>3600</v>
      </c>
      <c r="R6" s="53" t="s">
        <v>417</v>
      </c>
      <c r="S6" s="94">
        <v>598000</v>
      </c>
      <c r="T6" s="61">
        <f t="shared" si="0"/>
        <v>2152800</v>
      </c>
    </row>
    <row r="7" spans="1:20" s="63" customFormat="1" ht="13.5" customHeight="1" x14ac:dyDescent="0.25">
      <c r="A7" s="65" t="s">
        <v>997</v>
      </c>
      <c r="B7" s="57" t="s">
        <v>1379</v>
      </c>
      <c r="C7" s="57" t="s">
        <v>432</v>
      </c>
      <c r="D7" s="10" t="s">
        <v>300</v>
      </c>
      <c r="E7" s="56" t="s">
        <v>1366</v>
      </c>
      <c r="F7" s="57">
        <v>17600</v>
      </c>
      <c r="G7" s="65">
        <v>88</v>
      </c>
      <c r="H7" s="65" t="s">
        <v>450</v>
      </c>
      <c r="I7" s="65" t="s">
        <v>404</v>
      </c>
      <c r="J7" s="55">
        <v>45810</v>
      </c>
      <c r="K7" s="53" t="s">
        <v>1392</v>
      </c>
      <c r="L7" s="207">
        <v>89125770562</v>
      </c>
      <c r="M7" s="53" t="s">
        <v>1391</v>
      </c>
      <c r="N7" s="212"/>
      <c r="O7" s="53"/>
      <c r="P7" s="57"/>
      <c r="Q7" s="57">
        <v>17600</v>
      </c>
      <c r="R7" s="53" t="s">
        <v>417</v>
      </c>
      <c r="S7" s="94">
        <v>242000</v>
      </c>
      <c r="T7" s="61">
        <f t="shared" si="0"/>
        <v>4259200</v>
      </c>
    </row>
    <row r="8" spans="1:20" s="63" customFormat="1" ht="13.5" customHeight="1" x14ac:dyDescent="0.25">
      <c r="A8" s="65" t="s">
        <v>997</v>
      </c>
      <c r="B8" s="57" t="s">
        <v>1370</v>
      </c>
      <c r="C8" s="57" t="s">
        <v>451</v>
      </c>
      <c r="D8" s="93" t="s">
        <v>222</v>
      </c>
      <c r="E8" s="56" t="s">
        <v>1075</v>
      </c>
      <c r="F8" s="92">
        <v>20000</v>
      </c>
      <c r="G8" s="65">
        <v>800</v>
      </c>
      <c r="H8" s="65" t="s">
        <v>452</v>
      </c>
      <c r="I8" s="65" t="s">
        <v>404</v>
      </c>
      <c r="J8" s="55">
        <v>45811</v>
      </c>
      <c r="K8" s="248" t="s">
        <v>1393</v>
      </c>
      <c r="L8" s="248">
        <v>89080063420</v>
      </c>
      <c r="M8" s="62" t="s">
        <v>1132</v>
      </c>
      <c r="N8" s="162"/>
      <c r="O8" s="92">
        <v>20000</v>
      </c>
      <c r="P8" s="57"/>
      <c r="Q8" s="53"/>
      <c r="R8" s="53" t="s">
        <v>417</v>
      </c>
      <c r="S8" s="94">
        <v>43500</v>
      </c>
      <c r="T8" s="61">
        <f t="shared" si="0"/>
        <v>870000</v>
      </c>
    </row>
    <row r="9" spans="1:20" s="63" customFormat="1" ht="13.5" customHeight="1" x14ac:dyDescent="0.25">
      <c r="A9" s="65" t="s">
        <v>1371</v>
      </c>
      <c r="B9" s="57" t="s">
        <v>1320</v>
      </c>
      <c r="C9" s="57" t="s">
        <v>164</v>
      </c>
      <c r="D9" s="10" t="s">
        <v>306</v>
      </c>
      <c r="E9" s="167" t="s">
        <v>1345</v>
      </c>
      <c r="F9" s="57">
        <v>17500</v>
      </c>
      <c r="G9" s="65">
        <v>700</v>
      </c>
      <c r="H9" s="65" t="s">
        <v>166</v>
      </c>
      <c r="I9" s="65" t="s">
        <v>404</v>
      </c>
      <c r="J9" s="55">
        <v>45812</v>
      </c>
      <c r="K9" s="99" t="s">
        <v>603</v>
      </c>
      <c r="L9" s="105">
        <v>89095563417</v>
      </c>
      <c r="M9" s="62" t="s">
        <v>602</v>
      </c>
      <c r="N9" s="245" t="s">
        <v>1418</v>
      </c>
      <c r="O9" s="57">
        <v>17500</v>
      </c>
      <c r="P9" s="57"/>
      <c r="Q9" s="92"/>
      <c r="R9" s="168" t="s">
        <v>417</v>
      </c>
      <c r="S9" s="94">
        <v>41000</v>
      </c>
      <c r="T9" s="61">
        <f t="shared" si="0"/>
        <v>717500</v>
      </c>
    </row>
    <row r="10" spans="1:20" s="63" customFormat="1" ht="13.5" customHeight="1" x14ac:dyDescent="0.25">
      <c r="A10" s="65" t="s">
        <v>1371</v>
      </c>
      <c r="B10" s="57" t="s">
        <v>1320</v>
      </c>
      <c r="C10" s="57" t="s">
        <v>164</v>
      </c>
      <c r="D10" s="10" t="s">
        <v>306</v>
      </c>
      <c r="E10" s="167" t="s">
        <v>1339</v>
      </c>
      <c r="F10" s="57">
        <v>17500</v>
      </c>
      <c r="G10" s="65">
        <v>700</v>
      </c>
      <c r="H10" s="65" t="s">
        <v>166</v>
      </c>
      <c r="I10" s="65" t="s">
        <v>404</v>
      </c>
      <c r="J10" s="55">
        <v>45812</v>
      </c>
      <c r="K10" s="99" t="s">
        <v>603</v>
      </c>
      <c r="L10" s="105">
        <v>89095563417</v>
      </c>
      <c r="M10" s="62" t="s">
        <v>602</v>
      </c>
      <c r="N10" s="245" t="s">
        <v>1417</v>
      </c>
      <c r="O10" s="57">
        <v>17500</v>
      </c>
      <c r="P10" s="57"/>
      <c r="Q10" s="92"/>
      <c r="R10" s="168" t="s">
        <v>417</v>
      </c>
      <c r="S10" s="94">
        <v>41000</v>
      </c>
      <c r="T10" s="61">
        <f t="shared" si="0"/>
        <v>717500</v>
      </c>
    </row>
    <row r="11" spans="1:20" s="63" customFormat="1" ht="13.5" customHeight="1" x14ac:dyDescent="0.25">
      <c r="A11" s="65"/>
      <c r="B11" s="57" t="s">
        <v>1017</v>
      </c>
      <c r="C11" s="57" t="s">
        <v>1405</v>
      </c>
      <c r="D11" s="10" t="s">
        <v>1396</v>
      </c>
      <c r="E11" s="56" t="s">
        <v>1406</v>
      </c>
      <c r="F11" s="57">
        <v>14400</v>
      </c>
      <c r="G11" s="65">
        <v>80</v>
      </c>
      <c r="H11" s="65" t="s">
        <v>1407</v>
      </c>
      <c r="I11" s="65" t="s">
        <v>404</v>
      </c>
      <c r="J11" s="55">
        <v>45812</v>
      </c>
      <c r="K11" s="205" t="s">
        <v>1412</v>
      </c>
      <c r="L11" s="207">
        <v>89054480721</v>
      </c>
      <c r="M11" s="53" t="s">
        <v>1411</v>
      </c>
      <c r="N11" s="212"/>
      <c r="O11" s="53"/>
      <c r="P11" s="57"/>
      <c r="Q11" s="57">
        <v>14400</v>
      </c>
      <c r="R11" s="53" t="s">
        <v>417</v>
      </c>
      <c r="S11" s="94">
        <v>125000</v>
      </c>
      <c r="T11" s="61">
        <f t="shared" si="0"/>
        <v>1800000</v>
      </c>
    </row>
    <row r="12" spans="1:20" s="63" customFormat="1" ht="13.5" customHeight="1" x14ac:dyDescent="0.25">
      <c r="A12" s="65"/>
      <c r="B12" s="57" t="s">
        <v>1017</v>
      </c>
      <c r="C12" s="57" t="s">
        <v>1405</v>
      </c>
      <c r="D12" s="10" t="s">
        <v>1396</v>
      </c>
      <c r="E12" s="56" t="s">
        <v>1406</v>
      </c>
      <c r="F12" s="57">
        <v>3600</v>
      </c>
      <c r="G12" s="65">
        <v>20</v>
      </c>
      <c r="H12" s="65" t="s">
        <v>1407</v>
      </c>
      <c r="I12" s="65" t="s">
        <v>404</v>
      </c>
      <c r="J12" s="55">
        <v>45812</v>
      </c>
      <c r="K12" s="205" t="s">
        <v>1416</v>
      </c>
      <c r="L12" s="207">
        <v>89608886573</v>
      </c>
      <c r="M12" s="53" t="s">
        <v>1415</v>
      </c>
      <c r="N12" s="212"/>
      <c r="O12" s="53"/>
      <c r="P12" s="57"/>
      <c r="Q12" s="57">
        <v>3600</v>
      </c>
      <c r="R12" s="53" t="s">
        <v>417</v>
      </c>
      <c r="S12" s="94">
        <v>125000</v>
      </c>
      <c r="T12" s="61">
        <f t="shared" si="0"/>
        <v>450000</v>
      </c>
    </row>
    <row r="13" spans="1:20" s="63" customFormat="1" ht="13.5" customHeight="1" x14ac:dyDescent="0.25">
      <c r="A13" s="65"/>
      <c r="B13" s="57" t="s">
        <v>1017</v>
      </c>
      <c r="C13" s="57" t="s">
        <v>1405</v>
      </c>
      <c r="D13" s="10" t="s">
        <v>1396</v>
      </c>
      <c r="E13" s="56" t="s">
        <v>1328</v>
      </c>
      <c r="F13" s="57">
        <v>7200</v>
      </c>
      <c r="G13" s="65">
        <v>40</v>
      </c>
      <c r="H13" s="65" t="s">
        <v>1407</v>
      </c>
      <c r="I13" s="65" t="s">
        <v>404</v>
      </c>
      <c r="J13" s="55">
        <v>45812</v>
      </c>
      <c r="K13" s="205" t="s">
        <v>1416</v>
      </c>
      <c r="L13" s="207">
        <v>89608886573</v>
      </c>
      <c r="M13" s="53" t="s">
        <v>1415</v>
      </c>
      <c r="N13" s="212"/>
      <c r="O13" s="53"/>
      <c r="P13" s="57"/>
      <c r="Q13" s="57">
        <v>7200</v>
      </c>
      <c r="R13" s="53" t="s">
        <v>417</v>
      </c>
      <c r="S13" s="94">
        <v>125000</v>
      </c>
      <c r="T13" s="61">
        <f t="shared" si="0"/>
        <v>900000</v>
      </c>
    </row>
    <row r="14" spans="1:20" s="63" customFormat="1" ht="13.5" customHeight="1" x14ac:dyDescent="0.25">
      <c r="A14" s="65"/>
      <c r="B14" s="57" t="s">
        <v>1017</v>
      </c>
      <c r="C14" s="57" t="s">
        <v>1405</v>
      </c>
      <c r="D14" s="10" t="s">
        <v>305</v>
      </c>
      <c r="E14" s="56" t="s">
        <v>1319</v>
      </c>
      <c r="F14" s="57">
        <v>3600</v>
      </c>
      <c r="G14" s="65">
        <v>20</v>
      </c>
      <c r="H14" s="65" t="s">
        <v>1407</v>
      </c>
      <c r="I14" s="65" t="s">
        <v>404</v>
      </c>
      <c r="J14" s="55">
        <v>45812</v>
      </c>
      <c r="K14" s="205" t="s">
        <v>1416</v>
      </c>
      <c r="L14" s="207">
        <v>89608886573</v>
      </c>
      <c r="M14" s="53" t="s">
        <v>1415</v>
      </c>
      <c r="N14" s="212"/>
      <c r="O14" s="53"/>
      <c r="P14" s="57"/>
      <c r="Q14" s="57">
        <v>3600</v>
      </c>
      <c r="R14" s="53" t="s">
        <v>417</v>
      </c>
      <c r="S14" s="94">
        <v>141000</v>
      </c>
      <c r="T14" s="61">
        <f t="shared" si="0"/>
        <v>507600</v>
      </c>
    </row>
    <row r="15" spans="1:20" s="63" customFormat="1" ht="13.5" customHeight="1" x14ac:dyDescent="0.25">
      <c r="A15" s="65"/>
      <c r="B15" s="57" t="s">
        <v>1017</v>
      </c>
      <c r="C15" s="57" t="s">
        <v>1405</v>
      </c>
      <c r="D15" s="10" t="s">
        <v>305</v>
      </c>
      <c r="E15" s="56" t="s">
        <v>1319</v>
      </c>
      <c r="F15" s="57">
        <v>14400</v>
      </c>
      <c r="G15" s="65">
        <v>80</v>
      </c>
      <c r="H15" s="65" t="s">
        <v>1407</v>
      </c>
      <c r="I15" s="65" t="s">
        <v>404</v>
      </c>
      <c r="J15" s="55">
        <v>45812</v>
      </c>
      <c r="K15" s="205" t="s">
        <v>1414</v>
      </c>
      <c r="L15" s="207">
        <v>89602134306</v>
      </c>
      <c r="M15" s="53" t="s">
        <v>1413</v>
      </c>
      <c r="N15" s="212"/>
      <c r="O15" s="53"/>
      <c r="P15" s="57"/>
      <c r="Q15" s="57">
        <v>14400</v>
      </c>
      <c r="R15" s="53" t="s">
        <v>417</v>
      </c>
      <c r="S15" s="94">
        <v>141000</v>
      </c>
      <c r="T15" s="61">
        <f t="shared" si="0"/>
        <v>2030400</v>
      </c>
    </row>
    <row r="16" spans="1:20" s="63" customFormat="1" ht="13.5" customHeight="1" x14ac:dyDescent="0.25">
      <c r="A16" s="65"/>
      <c r="B16" s="57" t="s">
        <v>1017</v>
      </c>
      <c r="C16" s="57" t="s">
        <v>1405</v>
      </c>
      <c r="D16" s="10" t="s">
        <v>1396</v>
      </c>
      <c r="E16" s="56" t="s">
        <v>1328</v>
      </c>
      <c r="F16" s="57">
        <v>10800</v>
      </c>
      <c r="G16" s="65">
        <v>60</v>
      </c>
      <c r="H16" s="65" t="s">
        <v>1407</v>
      </c>
      <c r="I16" s="65" t="s">
        <v>404</v>
      </c>
      <c r="J16" s="55">
        <v>45813</v>
      </c>
      <c r="K16" s="53" t="s">
        <v>1408</v>
      </c>
      <c r="L16" s="207" t="s">
        <v>1409</v>
      </c>
      <c r="M16" s="53" t="s">
        <v>1410</v>
      </c>
      <c r="N16" s="212"/>
      <c r="O16" s="53"/>
      <c r="P16" s="57"/>
      <c r="Q16" s="92">
        <v>10800</v>
      </c>
      <c r="R16" s="53" t="s">
        <v>417</v>
      </c>
      <c r="S16" s="94">
        <v>125000</v>
      </c>
      <c r="T16" s="61">
        <f t="shared" si="0"/>
        <v>1350000</v>
      </c>
    </row>
    <row r="17" spans="1:20" s="63" customFormat="1" ht="13.5" customHeight="1" x14ac:dyDescent="0.25">
      <c r="A17" s="65"/>
      <c r="B17" s="57" t="s">
        <v>1017</v>
      </c>
      <c r="C17" s="57" t="s">
        <v>1405</v>
      </c>
      <c r="D17" s="10" t="s">
        <v>1396</v>
      </c>
      <c r="E17" s="56" t="s">
        <v>1345</v>
      </c>
      <c r="F17" s="57">
        <v>3600</v>
      </c>
      <c r="G17" s="65">
        <v>20</v>
      </c>
      <c r="H17" s="65" t="s">
        <v>1407</v>
      </c>
      <c r="I17" s="65" t="s">
        <v>404</v>
      </c>
      <c r="J17" s="55">
        <v>45813</v>
      </c>
      <c r="K17" s="53" t="s">
        <v>1408</v>
      </c>
      <c r="L17" s="207" t="s">
        <v>1409</v>
      </c>
      <c r="M17" s="53" t="s">
        <v>1410</v>
      </c>
      <c r="N17" s="212"/>
      <c r="O17" s="53"/>
      <c r="P17" s="57"/>
      <c r="Q17" s="92">
        <v>3600</v>
      </c>
      <c r="R17" s="53" t="s">
        <v>417</v>
      </c>
      <c r="S17" s="94">
        <v>125000</v>
      </c>
      <c r="T17" s="61">
        <f t="shared" si="0"/>
        <v>450000</v>
      </c>
    </row>
    <row r="18" spans="1:20" s="63" customFormat="1" ht="13.5" customHeight="1" x14ac:dyDescent="0.25">
      <c r="A18" s="65"/>
      <c r="B18" s="57" t="s">
        <v>1017</v>
      </c>
      <c r="C18" s="57" t="s">
        <v>1405</v>
      </c>
      <c r="D18" s="10" t="s">
        <v>1396</v>
      </c>
      <c r="E18" s="56" t="s">
        <v>1345</v>
      </c>
      <c r="F18" s="57">
        <v>14400</v>
      </c>
      <c r="G18" s="65">
        <v>80</v>
      </c>
      <c r="H18" s="65" t="s">
        <v>1407</v>
      </c>
      <c r="I18" s="65" t="s">
        <v>404</v>
      </c>
      <c r="J18" s="55">
        <v>45814</v>
      </c>
      <c r="K18" s="53" t="s">
        <v>1455</v>
      </c>
      <c r="L18" s="207"/>
      <c r="M18" s="53" t="s">
        <v>1456</v>
      </c>
      <c r="N18" s="212"/>
      <c r="O18" s="53"/>
      <c r="P18" s="57"/>
      <c r="Q18" s="92">
        <v>14400</v>
      </c>
      <c r="R18" s="53" t="s">
        <v>417</v>
      </c>
      <c r="S18" s="94">
        <v>125000</v>
      </c>
      <c r="T18" s="61">
        <f t="shared" si="0"/>
        <v>1800000</v>
      </c>
    </row>
    <row r="19" spans="1:20" s="63" customFormat="1" ht="13.5" customHeight="1" x14ac:dyDescent="0.25">
      <c r="A19" s="65" t="s">
        <v>311</v>
      </c>
      <c r="B19" s="57" t="s">
        <v>1383</v>
      </c>
      <c r="C19" s="57" t="s">
        <v>451</v>
      </c>
      <c r="D19" s="93" t="s">
        <v>222</v>
      </c>
      <c r="E19" s="56" t="s">
        <v>1075</v>
      </c>
      <c r="F19" s="92">
        <v>14000</v>
      </c>
      <c r="G19" s="65">
        <v>560</v>
      </c>
      <c r="H19" s="65" t="s">
        <v>165</v>
      </c>
      <c r="I19" s="65" t="s">
        <v>404</v>
      </c>
      <c r="J19" s="55">
        <v>45814</v>
      </c>
      <c r="K19" s="260" t="s">
        <v>578</v>
      </c>
      <c r="L19" s="248">
        <v>89805365880</v>
      </c>
      <c r="M19" s="62" t="s">
        <v>1427</v>
      </c>
      <c r="N19" s="162"/>
      <c r="O19" s="92">
        <v>14000</v>
      </c>
      <c r="P19" s="57"/>
      <c r="Q19" s="53"/>
      <c r="R19" s="53" t="s">
        <v>417</v>
      </c>
      <c r="S19" s="94">
        <v>43500</v>
      </c>
      <c r="T19" s="61">
        <f t="shared" si="0"/>
        <v>609000</v>
      </c>
    </row>
    <row r="20" spans="1:20" s="63" customFormat="1" ht="13.5" customHeight="1" x14ac:dyDescent="0.25">
      <c r="A20" s="65" t="s">
        <v>311</v>
      </c>
      <c r="B20" s="57" t="s">
        <v>1383</v>
      </c>
      <c r="C20" s="57" t="s">
        <v>451</v>
      </c>
      <c r="D20" s="93" t="s">
        <v>202</v>
      </c>
      <c r="E20" s="56" t="s">
        <v>1384</v>
      </c>
      <c r="F20" s="92">
        <v>400</v>
      </c>
      <c r="G20" s="65">
        <v>2</v>
      </c>
      <c r="H20" s="65" t="s">
        <v>165</v>
      </c>
      <c r="I20" s="65" t="s">
        <v>404</v>
      </c>
      <c r="J20" s="55">
        <v>45814</v>
      </c>
      <c r="K20" s="260" t="s">
        <v>578</v>
      </c>
      <c r="L20" s="248">
        <v>89805365880</v>
      </c>
      <c r="M20" s="62" t="s">
        <v>1427</v>
      </c>
      <c r="N20" s="162"/>
      <c r="O20" s="92"/>
      <c r="P20" s="57"/>
      <c r="Q20" s="92">
        <v>400</v>
      </c>
      <c r="R20" s="53" t="s">
        <v>417</v>
      </c>
      <c r="S20" s="94">
        <v>95000</v>
      </c>
      <c r="T20" s="61">
        <f t="shared" si="0"/>
        <v>38000</v>
      </c>
    </row>
    <row r="21" spans="1:20" s="63" customFormat="1" ht="13.5" customHeight="1" x14ac:dyDescent="0.25">
      <c r="A21" s="65" t="s">
        <v>311</v>
      </c>
      <c r="B21" s="57" t="s">
        <v>1383</v>
      </c>
      <c r="C21" s="57" t="s">
        <v>451</v>
      </c>
      <c r="D21" s="93" t="s">
        <v>1258</v>
      </c>
      <c r="E21" s="56" t="s">
        <v>1294</v>
      </c>
      <c r="F21" s="92">
        <v>530</v>
      </c>
      <c r="G21" s="65">
        <v>53</v>
      </c>
      <c r="H21" s="65" t="s">
        <v>165</v>
      </c>
      <c r="I21" s="65" t="s">
        <v>404</v>
      </c>
      <c r="J21" s="55">
        <v>45814</v>
      </c>
      <c r="K21" s="260" t="s">
        <v>578</v>
      </c>
      <c r="L21" s="248">
        <v>89805365880</v>
      </c>
      <c r="M21" s="62" t="s">
        <v>1427</v>
      </c>
      <c r="N21" s="162"/>
      <c r="O21" s="92"/>
      <c r="P21" s="92">
        <v>530</v>
      </c>
      <c r="Q21" s="53"/>
      <c r="R21" s="53" t="s">
        <v>417</v>
      </c>
      <c r="S21" s="94">
        <v>275000</v>
      </c>
      <c r="T21" s="61">
        <f t="shared" si="0"/>
        <v>145750</v>
      </c>
    </row>
    <row r="22" spans="1:20" s="63" customFormat="1" ht="13.5" customHeight="1" x14ac:dyDescent="0.25">
      <c r="A22" s="65" t="s">
        <v>311</v>
      </c>
      <c r="B22" s="57" t="s">
        <v>1383</v>
      </c>
      <c r="C22" s="57" t="s">
        <v>451</v>
      </c>
      <c r="D22" s="93" t="s">
        <v>1259</v>
      </c>
      <c r="E22" s="56" t="s">
        <v>1292</v>
      </c>
      <c r="F22" s="92">
        <v>2260</v>
      </c>
      <c r="G22" s="65">
        <v>226</v>
      </c>
      <c r="H22" s="65" t="s">
        <v>165</v>
      </c>
      <c r="I22" s="65" t="s">
        <v>404</v>
      </c>
      <c r="J22" s="55">
        <v>45814</v>
      </c>
      <c r="K22" s="260" t="s">
        <v>578</v>
      </c>
      <c r="L22" s="248">
        <v>89805365880</v>
      </c>
      <c r="M22" s="62" t="s">
        <v>1427</v>
      </c>
      <c r="N22" s="162"/>
      <c r="O22" s="92"/>
      <c r="P22" s="92">
        <v>2260</v>
      </c>
      <c r="Q22" s="53"/>
      <c r="R22" s="53" t="s">
        <v>417</v>
      </c>
      <c r="S22" s="94">
        <v>275000</v>
      </c>
      <c r="T22" s="61">
        <f t="shared" si="0"/>
        <v>621499.99999999988</v>
      </c>
    </row>
    <row r="23" spans="1:20" s="63" customFormat="1" ht="13.5" customHeight="1" x14ac:dyDescent="0.25">
      <c r="A23" s="65" t="s">
        <v>311</v>
      </c>
      <c r="B23" s="57" t="s">
        <v>1383</v>
      </c>
      <c r="C23" s="57" t="s">
        <v>451</v>
      </c>
      <c r="D23" s="93" t="s">
        <v>1260</v>
      </c>
      <c r="E23" s="56" t="s">
        <v>1319</v>
      </c>
      <c r="F23" s="92">
        <v>850</v>
      </c>
      <c r="G23" s="65">
        <v>85</v>
      </c>
      <c r="H23" s="65" t="s">
        <v>165</v>
      </c>
      <c r="I23" s="65" t="s">
        <v>404</v>
      </c>
      <c r="J23" s="55">
        <v>45814</v>
      </c>
      <c r="K23" s="260" t="s">
        <v>578</v>
      </c>
      <c r="L23" s="248">
        <v>89805365880</v>
      </c>
      <c r="M23" s="62" t="s">
        <v>1427</v>
      </c>
      <c r="N23" s="162"/>
      <c r="O23" s="92"/>
      <c r="P23" s="92">
        <v>850</v>
      </c>
      <c r="Q23" s="53"/>
      <c r="R23" s="53" t="s">
        <v>417</v>
      </c>
      <c r="S23" s="94">
        <v>275000</v>
      </c>
      <c r="T23" s="61">
        <f t="shared" si="0"/>
        <v>233750</v>
      </c>
    </row>
    <row r="24" spans="1:20" s="63" customFormat="1" ht="13.5" customHeight="1" x14ac:dyDescent="0.25">
      <c r="A24" s="65" t="s">
        <v>311</v>
      </c>
      <c r="B24" s="57" t="s">
        <v>1383</v>
      </c>
      <c r="C24" s="57" t="s">
        <v>451</v>
      </c>
      <c r="D24" s="93" t="s">
        <v>1261</v>
      </c>
      <c r="E24" s="56" t="s">
        <v>1368</v>
      </c>
      <c r="F24" s="92">
        <v>590</v>
      </c>
      <c r="G24" s="65">
        <v>59</v>
      </c>
      <c r="H24" s="65" t="s">
        <v>165</v>
      </c>
      <c r="I24" s="65" t="s">
        <v>404</v>
      </c>
      <c r="J24" s="55">
        <v>45814</v>
      </c>
      <c r="K24" s="260" t="s">
        <v>578</v>
      </c>
      <c r="L24" s="248">
        <v>89805365880</v>
      </c>
      <c r="M24" s="62" t="s">
        <v>1427</v>
      </c>
      <c r="N24" s="162"/>
      <c r="O24" s="92"/>
      <c r="P24" s="92">
        <v>590</v>
      </c>
      <c r="Q24" s="53"/>
      <c r="R24" s="53" t="s">
        <v>417</v>
      </c>
      <c r="S24" s="94">
        <v>275000</v>
      </c>
      <c r="T24" s="61">
        <f t="shared" si="0"/>
        <v>162250</v>
      </c>
    </row>
    <row r="25" spans="1:20" s="63" customFormat="1" x14ac:dyDescent="0.25">
      <c r="A25" s="65" t="s">
        <v>790</v>
      </c>
      <c r="B25" s="57" t="s">
        <v>1404</v>
      </c>
      <c r="C25" s="57" t="s">
        <v>788</v>
      </c>
      <c r="D25" s="93" t="s">
        <v>157</v>
      </c>
      <c r="E25" s="189" t="s">
        <v>1337</v>
      </c>
      <c r="F25" s="92">
        <v>17600</v>
      </c>
      <c r="G25" s="65">
        <v>88</v>
      </c>
      <c r="H25" s="65" t="s">
        <v>789</v>
      </c>
      <c r="I25" s="65" t="s">
        <v>404</v>
      </c>
      <c r="J25" s="55">
        <v>45818</v>
      </c>
      <c r="K25" s="53" t="s">
        <v>1432</v>
      </c>
      <c r="L25" s="166" t="s">
        <v>1431</v>
      </c>
      <c r="M25" s="53" t="s">
        <v>1430</v>
      </c>
      <c r="N25" s="199"/>
      <c r="O25" s="92"/>
      <c r="P25" s="57"/>
      <c r="Q25" s="92">
        <v>17600</v>
      </c>
      <c r="R25" s="53" t="s">
        <v>417</v>
      </c>
      <c r="S25" s="94">
        <v>81500</v>
      </c>
      <c r="T25" s="61">
        <f t="shared" si="0"/>
        <v>1434400</v>
      </c>
    </row>
    <row r="26" spans="1:20" s="63" customFormat="1" ht="13.5" customHeight="1" x14ac:dyDescent="0.25">
      <c r="A26" s="65" t="s">
        <v>418</v>
      </c>
      <c r="B26" s="57" t="s">
        <v>1429</v>
      </c>
      <c r="C26" s="57" t="s">
        <v>164</v>
      </c>
      <c r="D26" s="10" t="s">
        <v>1437</v>
      </c>
      <c r="E26" s="261" t="s">
        <v>1384</v>
      </c>
      <c r="F26" s="92">
        <v>16720</v>
      </c>
      <c r="G26" s="65">
        <v>88</v>
      </c>
      <c r="H26" s="65" t="s">
        <v>165</v>
      </c>
      <c r="I26" s="65" t="s">
        <v>404</v>
      </c>
      <c r="J26" s="55">
        <v>45818</v>
      </c>
      <c r="K26" s="62" t="s">
        <v>1144</v>
      </c>
      <c r="L26" s="166">
        <v>89115713730</v>
      </c>
      <c r="M26" s="53" t="s">
        <v>419</v>
      </c>
      <c r="N26" s="244"/>
      <c r="O26" s="53"/>
      <c r="P26" s="57"/>
      <c r="Q26" s="92">
        <v>16720</v>
      </c>
      <c r="R26" s="168" t="s">
        <v>417</v>
      </c>
      <c r="S26" s="94">
        <v>155000</v>
      </c>
      <c r="T26" s="61">
        <f t="shared" si="0"/>
        <v>2591600</v>
      </c>
    </row>
    <row r="27" spans="1:20" s="63" customFormat="1" ht="13.5" customHeight="1" x14ac:dyDescent="0.25">
      <c r="A27" s="65" t="s">
        <v>408</v>
      </c>
      <c r="B27" s="57" t="s">
        <v>1423</v>
      </c>
      <c r="C27" s="57" t="s">
        <v>730</v>
      </c>
      <c r="D27" s="10" t="s">
        <v>1426</v>
      </c>
      <c r="E27" s="56" t="s">
        <v>1424</v>
      </c>
      <c r="F27" s="57">
        <v>18964</v>
      </c>
      <c r="G27" s="65">
        <v>88</v>
      </c>
      <c r="H27" s="65" t="s">
        <v>500</v>
      </c>
      <c r="I27" s="65" t="s">
        <v>404</v>
      </c>
      <c r="J27" s="55">
        <v>45818</v>
      </c>
      <c r="K27" s="53" t="s">
        <v>900</v>
      </c>
      <c r="L27" s="207">
        <v>89216700606</v>
      </c>
      <c r="M27" s="53" t="s">
        <v>898</v>
      </c>
      <c r="N27" s="212"/>
      <c r="O27" s="53"/>
      <c r="P27" s="57"/>
      <c r="Q27" s="57">
        <v>18964</v>
      </c>
      <c r="R27" s="53" t="s">
        <v>417</v>
      </c>
      <c r="S27" s="94">
        <v>89000</v>
      </c>
      <c r="T27" s="61">
        <f t="shared" si="0"/>
        <v>1687795.9999999998</v>
      </c>
    </row>
    <row r="28" spans="1:20" s="63" customFormat="1" ht="13.5" customHeight="1" x14ac:dyDescent="0.25">
      <c r="A28" s="65" t="s">
        <v>311</v>
      </c>
      <c r="B28" s="57" t="s">
        <v>1420</v>
      </c>
      <c r="C28" s="57" t="s">
        <v>1421</v>
      </c>
      <c r="D28" s="10" t="s">
        <v>212</v>
      </c>
      <c r="E28" s="56" t="s">
        <v>1422</v>
      </c>
      <c r="F28" s="57">
        <v>20000</v>
      </c>
      <c r="G28" s="65">
        <v>800</v>
      </c>
      <c r="H28" s="65" t="s">
        <v>493</v>
      </c>
      <c r="I28" s="65" t="s">
        <v>404</v>
      </c>
      <c r="J28" s="55">
        <v>45819</v>
      </c>
      <c r="K28" s="53" t="s">
        <v>1439</v>
      </c>
      <c r="L28" s="207">
        <v>89050064545</v>
      </c>
      <c r="M28" s="53" t="s">
        <v>1438</v>
      </c>
      <c r="N28" s="212"/>
      <c r="O28" s="57">
        <v>20000</v>
      </c>
      <c r="P28" s="57"/>
      <c r="Q28" s="92"/>
      <c r="R28" s="53" t="s">
        <v>417</v>
      </c>
      <c r="S28" s="94">
        <v>43500</v>
      </c>
      <c r="T28" s="61">
        <f t="shared" si="0"/>
        <v>870000</v>
      </c>
    </row>
    <row r="29" spans="1:20" s="63" customFormat="1" ht="13.5" customHeight="1" x14ac:dyDescent="0.25">
      <c r="A29" s="65" t="s">
        <v>1442</v>
      </c>
      <c r="B29" s="57" t="s">
        <v>1423</v>
      </c>
      <c r="C29" s="57" t="s">
        <v>730</v>
      </c>
      <c r="D29" s="10" t="s">
        <v>1426</v>
      </c>
      <c r="E29" s="56" t="s">
        <v>1425</v>
      </c>
      <c r="F29" s="57">
        <v>18964</v>
      </c>
      <c r="G29" s="65">
        <v>88</v>
      </c>
      <c r="H29" s="65" t="s">
        <v>500</v>
      </c>
      <c r="I29" s="65" t="s">
        <v>404</v>
      </c>
      <c r="J29" s="55">
        <v>45819</v>
      </c>
      <c r="K29" s="53" t="s">
        <v>1302</v>
      </c>
      <c r="L29" s="207">
        <v>89125754867</v>
      </c>
      <c r="M29" s="53" t="s">
        <v>1441</v>
      </c>
      <c r="N29" s="212"/>
      <c r="O29" s="53"/>
      <c r="P29" s="57"/>
      <c r="Q29" s="57">
        <v>18964</v>
      </c>
      <c r="R29" s="53" t="s">
        <v>417</v>
      </c>
      <c r="S29" s="94">
        <v>89000</v>
      </c>
      <c r="T29" s="61">
        <f t="shared" si="0"/>
        <v>1687795.9999999998</v>
      </c>
    </row>
    <row r="30" spans="1:20" s="63" customFormat="1" ht="13.5" customHeight="1" x14ac:dyDescent="0.25">
      <c r="A30" s="65" t="s">
        <v>1371</v>
      </c>
      <c r="B30" s="57" t="s">
        <v>1291</v>
      </c>
      <c r="C30" s="57" t="s">
        <v>164</v>
      </c>
      <c r="D30" s="10" t="s">
        <v>306</v>
      </c>
      <c r="E30" s="167" t="s">
        <v>1294</v>
      </c>
      <c r="F30" s="57">
        <v>17500</v>
      </c>
      <c r="G30" s="65">
        <v>700</v>
      </c>
      <c r="H30" s="65" t="s">
        <v>631</v>
      </c>
      <c r="I30" s="65" t="s">
        <v>404</v>
      </c>
      <c r="J30" s="55">
        <v>45819</v>
      </c>
      <c r="K30" s="99" t="s">
        <v>572</v>
      </c>
      <c r="L30" s="105">
        <v>89115583359</v>
      </c>
      <c r="M30" s="62" t="s">
        <v>571</v>
      </c>
      <c r="N30" s="262" t="s">
        <v>1451</v>
      </c>
      <c r="O30" s="57">
        <v>17500</v>
      </c>
      <c r="P30" s="57"/>
      <c r="Q30" s="92"/>
      <c r="R30" s="168" t="s">
        <v>417</v>
      </c>
      <c r="S30" s="94">
        <v>41000</v>
      </c>
      <c r="T30" s="61">
        <f t="shared" si="0"/>
        <v>717500</v>
      </c>
    </row>
    <row r="31" spans="1:20" s="63" customFormat="1" ht="13.5" customHeight="1" x14ac:dyDescent="0.25">
      <c r="A31" s="65" t="s">
        <v>1371</v>
      </c>
      <c r="B31" s="57" t="s">
        <v>1440</v>
      </c>
      <c r="C31" s="57" t="s">
        <v>164</v>
      </c>
      <c r="D31" s="10" t="s">
        <v>306</v>
      </c>
      <c r="E31" s="167" t="s">
        <v>1402</v>
      </c>
      <c r="F31" s="57">
        <v>17500</v>
      </c>
      <c r="G31" s="65">
        <v>700</v>
      </c>
      <c r="H31" s="65" t="s">
        <v>166</v>
      </c>
      <c r="I31" s="65" t="s">
        <v>404</v>
      </c>
      <c r="J31" s="55">
        <v>45819</v>
      </c>
      <c r="K31" s="53" t="s">
        <v>1452</v>
      </c>
      <c r="L31" s="166">
        <v>89116806638</v>
      </c>
      <c r="M31" s="53" t="s">
        <v>573</v>
      </c>
      <c r="N31" s="262" t="s">
        <v>1453</v>
      </c>
      <c r="O31" s="57">
        <v>17500</v>
      </c>
      <c r="P31" s="57"/>
      <c r="Q31" s="92"/>
      <c r="R31" s="168" t="s">
        <v>417</v>
      </c>
      <c r="S31" s="94">
        <v>41000</v>
      </c>
      <c r="T31" s="61">
        <f t="shared" si="0"/>
        <v>717500</v>
      </c>
    </row>
    <row r="32" spans="1:20" s="63" customFormat="1" ht="13.5" customHeight="1" x14ac:dyDescent="0.25">
      <c r="A32" s="65" t="s">
        <v>1371</v>
      </c>
      <c r="B32" s="57" t="s">
        <v>1440</v>
      </c>
      <c r="C32" s="57" t="s">
        <v>164</v>
      </c>
      <c r="D32" s="10" t="s">
        <v>306</v>
      </c>
      <c r="E32" s="167" t="s">
        <v>1403</v>
      </c>
      <c r="F32" s="57">
        <v>17500</v>
      </c>
      <c r="G32" s="65">
        <v>700</v>
      </c>
      <c r="H32" s="65" t="s">
        <v>166</v>
      </c>
      <c r="I32" s="65" t="s">
        <v>404</v>
      </c>
      <c r="J32" s="55">
        <v>45819</v>
      </c>
      <c r="K32" s="99" t="s">
        <v>572</v>
      </c>
      <c r="L32" s="105">
        <v>89115583359</v>
      </c>
      <c r="M32" s="62" t="s">
        <v>571</v>
      </c>
      <c r="N32" s="262" t="s">
        <v>1454</v>
      </c>
      <c r="O32" s="57">
        <v>17500</v>
      </c>
      <c r="P32" s="57"/>
      <c r="Q32" s="92"/>
      <c r="R32" s="168" t="s">
        <v>417</v>
      </c>
      <c r="S32" s="94">
        <v>41000</v>
      </c>
      <c r="T32" s="61">
        <f t="shared" si="0"/>
        <v>717500</v>
      </c>
    </row>
    <row r="33" spans="1:20" s="63" customFormat="1" ht="13.5" customHeight="1" x14ac:dyDescent="0.25">
      <c r="A33" s="65" t="s">
        <v>311</v>
      </c>
      <c r="B33" s="57" t="s">
        <v>1472</v>
      </c>
      <c r="C33" s="57" t="s">
        <v>1444</v>
      </c>
      <c r="D33" s="93" t="s">
        <v>274</v>
      </c>
      <c r="E33" s="189" t="s">
        <v>1031</v>
      </c>
      <c r="F33" s="92">
        <v>16800</v>
      </c>
      <c r="G33" s="65">
        <v>84</v>
      </c>
      <c r="H33" s="65" t="s">
        <v>1032</v>
      </c>
      <c r="I33" s="65" t="s">
        <v>404</v>
      </c>
      <c r="J33" s="55">
        <v>45825</v>
      </c>
      <c r="K33" s="53" t="s">
        <v>1471</v>
      </c>
      <c r="L33" s="166">
        <v>89803845575</v>
      </c>
      <c r="M33" s="53" t="s">
        <v>1470</v>
      </c>
      <c r="N33" s="212"/>
      <c r="O33" s="53"/>
      <c r="P33" s="57"/>
      <c r="Q33" s="92">
        <v>16800</v>
      </c>
      <c r="R33" s="53" t="s">
        <v>417</v>
      </c>
      <c r="S33" s="94">
        <v>197000</v>
      </c>
      <c r="T33" s="61">
        <f t="shared" si="0"/>
        <v>3309600</v>
      </c>
    </row>
    <row r="34" spans="1:20" s="63" customFormat="1" ht="13.5" customHeight="1" x14ac:dyDescent="0.25">
      <c r="A34" s="65" t="s">
        <v>281</v>
      </c>
      <c r="B34" s="57" t="s">
        <v>629</v>
      </c>
      <c r="C34" s="57" t="s">
        <v>294</v>
      </c>
      <c r="D34" s="10" t="s">
        <v>289</v>
      </c>
      <c r="E34" s="56" t="s">
        <v>1445</v>
      </c>
      <c r="F34" s="57">
        <v>1500</v>
      </c>
      <c r="G34" s="65">
        <v>75</v>
      </c>
      <c r="H34" s="65" t="s">
        <v>281</v>
      </c>
      <c r="I34" s="65" t="s">
        <v>404</v>
      </c>
      <c r="J34" s="55">
        <v>45825</v>
      </c>
      <c r="K34" s="205" t="s">
        <v>1474</v>
      </c>
      <c r="L34" s="207">
        <v>89284445976</v>
      </c>
      <c r="M34" s="53" t="s">
        <v>1473</v>
      </c>
      <c r="N34" s="212"/>
      <c r="O34" s="57"/>
      <c r="P34" s="57"/>
      <c r="Q34" s="92">
        <v>1500</v>
      </c>
      <c r="R34" s="53" t="s">
        <v>417</v>
      </c>
      <c r="S34" s="94">
        <v>106885</v>
      </c>
      <c r="T34" s="61">
        <f t="shared" si="0"/>
        <v>160327.5</v>
      </c>
    </row>
    <row r="35" spans="1:20" s="63" customFormat="1" ht="13.5" customHeight="1" x14ac:dyDescent="0.25">
      <c r="A35" s="65" t="s">
        <v>1475</v>
      </c>
      <c r="B35" s="57" t="s">
        <v>1461</v>
      </c>
      <c r="C35" s="57" t="s">
        <v>558</v>
      </c>
      <c r="D35" s="93" t="s">
        <v>226</v>
      </c>
      <c r="E35" s="56" t="s">
        <v>1460</v>
      </c>
      <c r="F35" s="92">
        <v>21000</v>
      </c>
      <c r="G35" s="65">
        <v>840</v>
      </c>
      <c r="H35" s="65" t="s">
        <v>1459</v>
      </c>
      <c r="I35" s="65" t="s">
        <v>404</v>
      </c>
      <c r="J35" s="55">
        <v>45826</v>
      </c>
      <c r="K35" s="98" t="s">
        <v>1205</v>
      </c>
      <c r="L35" s="108">
        <v>89924293811</v>
      </c>
      <c r="M35" s="98" t="s">
        <v>1476</v>
      </c>
      <c r="N35" s="162"/>
      <c r="O35" s="92">
        <v>21000</v>
      </c>
      <c r="P35" s="57"/>
      <c r="Q35" s="53"/>
      <c r="R35" s="53" t="s">
        <v>417</v>
      </c>
      <c r="S35" s="94">
        <v>42500</v>
      </c>
      <c r="T35" s="61">
        <f t="shared" si="0"/>
        <v>892500</v>
      </c>
    </row>
    <row r="36" spans="1:20" s="63" customFormat="1" ht="13.5" customHeight="1" x14ac:dyDescent="0.25">
      <c r="A36" s="65" t="s">
        <v>418</v>
      </c>
      <c r="B36" s="57" t="s">
        <v>1462</v>
      </c>
      <c r="C36" s="57" t="s">
        <v>558</v>
      </c>
      <c r="D36" s="93" t="s">
        <v>226</v>
      </c>
      <c r="E36" s="56" t="s">
        <v>1460</v>
      </c>
      <c r="F36" s="92">
        <v>21000</v>
      </c>
      <c r="G36" s="65">
        <v>840</v>
      </c>
      <c r="H36" s="65" t="s">
        <v>1459</v>
      </c>
      <c r="I36" s="65" t="s">
        <v>404</v>
      </c>
      <c r="J36" s="55">
        <v>45827</v>
      </c>
      <c r="K36" s="98" t="s">
        <v>812</v>
      </c>
      <c r="L36" s="108">
        <v>89216004800</v>
      </c>
      <c r="M36" s="98" t="s">
        <v>1283</v>
      </c>
      <c r="N36" s="162"/>
      <c r="O36" s="92">
        <v>21000</v>
      </c>
      <c r="P36" s="57"/>
      <c r="Q36" s="53"/>
      <c r="R36" s="53" t="s">
        <v>417</v>
      </c>
      <c r="S36" s="94">
        <v>42500</v>
      </c>
      <c r="T36" s="61">
        <f t="shared" ref="T36:T52" si="1" xml:space="preserve"> S36*(F36/1000)</f>
        <v>892500</v>
      </c>
    </row>
    <row r="37" spans="1:20" s="63" customFormat="1" ht="13.5" customHeight="1" x14ac:dyDescent="0.25">
      <c r="A37" s="65" t="s">
        <v>311</v>
      </c>
      <c r="B37" s="57" t="s">
        <v>1468</v>
      </c>
      <c r="C37" s="57" t="s">
        <v>730</v>
      </c>
      <c r="D37" s="10" t="s">
        <v>267</v>
      </c>
      <c r="E37" s="56" t="s">
        <v>1469</v>
      </c>
      <c r="F37" s="57">
        <v>17600</v>
      </c>
      <c r="G37" s="65">
        <v>88</v>
      </c>
      <c r="H37" s="65" t="s">
        <v>732</v>
      </c>
      <c r="I37" s="65" t="s">
        <v>404</v>
      </c>
      <c r="J37" s="55">
        <v>45827</v>
      </c>
      <c r="K37" s="53" t="s">
        <v>1478</v>
      </c>
      <c r="L37" s="263">
        <v>89814356493</v>
      </c>
      <c r="M37" s="53" t="s">
        <v>1477</v>
      </c>
      <c r="N37" s="212"/>
      <c r="O37" s="57"/>
      <c r="P37" s="57"/>
      <c r="Q37" s="92">
        <v>17600</v>
      </c>
      <c r="R37" s="53" t="s">
        <v>417</v>
      </c>
      <c r="S37" s="94">
        <v>369000</v>
      </c>
      <c r="T37" s="61">
        <f t="shared" si="1"/>
        <v>6494400.0000000009</v>
      </c>
    </row>
    <row r="38" spans="1:20" s="63" customFormat="1" ht="13.5" customHeight="1" x14ac:dyDescent="0.25">
      <c r="A38" s="65" t="s">
        <v>281</v>
      </c>
      <c r="B38" s="57" t="s">
        <v>1479</v>
      </c>
      <c r="C38" s="57" t="s">
        <v>1480</v>
      </c>
      <c r="D38" s="10" t="s">
        <v>168</v>
      </c>
      <c r="E38" s="56" t="s">
        <v>1481</v>
      </c>
      <c r="F38" s="57">
        <v>1600</v>
      </c>
      <c r="G38" s="65">
        <v>8</v>
      </c>
      <c r="H38" s="65" t="s">
        <v>281</v>
      </c>
      <c r="I38" s="65" t="s">
        <v>404</v>
      </c>
      <c r="J38" s="55">
        <v>45828</v>
      </c>
      <c r="K38" s="205" t="s">
        <v>1483</v>
      </c>
      <c r="L38" s="207">
        <v>89536949021</v>
      </c>
      <c r="M38" s="53" t="s">
        <v>1484</v>
      </c>
      <c r="N38" s="212"/>
      <c r="O38" s="53"/>
      <c r="P38" s="57"/>
      <c r="Q38" s="57">
        <v>1600</v>
      </c>
      <c r="R38" s="53" t="s">
        <v>417</v>
      </c>
      <c r="S38" s="94">
        <v>111000</v>
      </c>
      <c r="T38" s="61">
        <f t="shared" si="1"/>
        <v>177600</v>
      </c>
    </row>
    <row r="39" spans="1:20" s="63" customFormat="1" ht="13.5" customHeight="1" x14ac:dyDescent="0.25">
      <c r="A39" s="65" t="s">
        <v>316</v>
      </c>
      <c r="B39" s="57" t="s">
        <v>1485</v>
      </c>
      <c r="C39" s="57" t="s">
        <v>1486</v>
      </c>
      <c r="D39" s="10" t="s">
        <v>198</v>
      </c>
      <c r="E39" s="56" t="s">
        <v>1490</v>
      </c>
      <c r="F39" s="57">
        <v>10400</v>
      </c>
      <c r="G39" s="65">
        <v>52</v>
      </c>
      <c r="H39" s="65" t="s">
        <v>1487</v>
      </c>
      <c r="I39" s="65" t="s">
        <v>404</v>
      </c>
      <c r="J39" s="55">
        <v>45832</v>
      </c>
      <c r="K39" s="205" t="s">
        <v>1488</v>
      </c>
      <c r="L39" s="207">
        <v>89922202804</v>
      </c>
      <c r="M39" s="53" t="s">
        <v>1489</v>
      </c>
      <c r="N39" s="212"/>
      <c r="O39" s="53"/>
      <c r="P39" s="57"/>
      <c r="Q39" s="57">
        <v>10400</v>
      </c>
      <c r="R39" s="53" t="s">
        <v>417</v>
      </c>
      <c r="S39" s="94">
        <v>81500</v>
      </c>
      <c r="T39" s="61">
        <f t="shared" si="1"/>
        <v>847600</v>
      </c>
    </row>
    <row r="40" spans="1:20" s="63" customFormat="1" ht="13.5" customHeight="1" x14ac:dyDescent="0.25">
      <c r="A40" s="65" t="s">
        <v>281</v>
      </c>
      <c r="B40" s="57" t="s">
        <v>697</v>
      </c>
      <c r="C40" s="57" t="s">
        <v>1491</v>
      </c>
      <c r="D40" s="10" t="s">
        <v>157</v>
      </c>
      <c r="E40" s="56" t="s">
        <v>1292</v>
      </c>
      <c r="F40" s="57">
        <v>1200</v>
      </c>
      <c r="G40" s="65">
        <v>6</v>
      </c>
      <c r="H40" s="65" t="s">
        <v>281</v>
      </c>
      <c r="I40" s="65" t="s">
        <v>404</v>
      </c>
      <c r="J40" s="55">
        <v>45833</v>
      </c>
      <c r="K40" s="205" t="s">
        <v>1492</v>
      </c>
      <c r="M40" s="207" t="s">
        <v>1493</v>
      </c>
      <c r="N40" s="212"/>
      <c r="O40" s="53"/>
      <c r="P40" s="57"/>
      <c r="Q40" s="57">
        <v>1200</v>
      </c>
      <c r="R40" s="53" t="s">
        <v>417</v>
      </c>
      <c r="S40" s="94">
        <v>83000</v>
      </c>
      <c r="T40" s="61">
        <f t="shared" si="1"/>
        <v>99600</v>
      </c>
    </row>
    <row r="41" spans="1:20" s="63" customFormat="1" ht="13.5" customHeight="1" x14ac:dyDescent="0.25">
      <c r="A41" s="65" t="s">
        <v>281</v>
      </c>
      <c r="B41" s="57" t="s">
        <v>697</v>
      </c>
      <c r="C41" s="57" t="s">
        <v>1491</v>
      </c>
      <c r="D41" s="10" t="s">
        <v>168</v>
      </c>
      <c r="E41" s="56" t="s">
        <v>1348</v>
      </c>
      <c r="F41" s="57">
        <v>1200</v>
      </c>
      <c r="G41" s="65">
        <v>6</v>
      </c>
      <c r="H41" s="65" t="s">
        <v>281</v>
      </c>
      <c r="I41" s="65" t="s">
        <v>404</v>
      </c>
      <c r="J41" s="55">
        <v>45833</v>
      </c>
      <c r="K41" s="205" t="s">
        <v>1492</v>
      </c>
      <c r="L41" s="207"/>
      <c r="M41" s="207" t="s">
        <v>1493</v>
      </c>
      <c r="N41" s="212"/>
      <c r="O41" s="53"/>
      <c r="P41" s="57"/>
      <c r="Q41" s="57">
        <v>1200</v>
      </c>
      <c r="R41" s="53" t="s">
        <v>417</v>
      </c>
      <c r="S41" s="94">
        <v>95000</v>
      </c>
      <c r="T41" s="61">
        <f t="shared" si="1"/>
        <v>114000</v>
      </c>
    </row>
    <row r="42" spans="1:20" s="63" customFormat="1" ht="13.5" customHeight="1" x14ac:dyDescent="0.25">
      <c r="A42" s="65" t="s">
        <v>311</v>
      </c>
      <c r="B42" s="57" t="s">
        <v>1464</v>
      </c>
      <c r="C42" s="57" t="s">
        <v>451</v>
      </c>
      <c r="D42" s="93" t="s">
        <v>223</v>
      </c>
      <c r="E42" s="56" t="s">
        <v>453</v>
      </c>
      <c r="F42" s="92">
        <v>3000</v>
      </c>
      <c r="G42" s="65">
        <v>120</v>
      </c>
      <c r="H42" s="65" t="s">
        <v>165</v>
      </c>
      <c r="I42" s="65" t="s">
        <v>404</v>
      </c>
      <c r="J42" s="55">
        <v>45833</v>
      </c>
      <c r="K42" s="264" t="s">
        <v>1109</v>
      </c>
      <c r="L42" s="248">
        <v>89995113877</v>
      </c>
      <c r="M42" s="62" t="s">
        <v>1287</v>
      </c>
      <c r="N42" s="162"/>
      <c r="O42" s="92"/>
      <c r="P42" s="92">
        <v>3000</v>
      </c>
      <c r="Q42" s="53"/>
      <c r="R42" s="53" t="s">
        <v>417</v>
      </c>
      <c r="S42" s="94">
        <v>250000</v>
      </c>
      <c r="T42" s="61">
        <f t="shared" si="1"/>
        <v>750000</v>
      </c>
    </row>
    <row r="43" spans="1:20" s="63" customFormat="1" ht="13.5" customHeight="1" x14ac:dyDescent="0.25">
      <c r="A43" s="65" t="s">
        <v>311</v>
      </c>
      <c r="B43" s="57" t="s">
        <v>1464</v>
      </c>
      <c r="C43" s="57" t="s">
        <v>451</v>
      </c>
      <c r="D43" s="93" t="s">
        <v>222</v>
      </c>
      <c r="E43" s="56" t="s">
        <v>1075</v>
      </c>
      <c r="F43" s="92">
        <v>17000</v>
      </c>
      <c r="G43" s="65">
        <v>680</v>
      </c>
      <c r="H43" s="65" t="s">
        <v>165</v>
      </c>
      <c r="I43" s="65" t="s">
        <v>404</v>
      </c>
      <c r="J43" s="55">
        <v>45833</v>
      </c>
      <c r="K43" s="264" t="s">
        <v>1109</v>
      </c>
      <c r="L43" s="248">
        <v>89995113877</v>
      </c>
      <c r="M43" s="62" t="s">
        <v>1287</v>
      </c>
      <c r="N43" s="162"/>
      <c r="O43" s="92">
        <v>17000</v>
      </c>
      <c r="P43" s="57"/>
      <c r="Q43" s="53"/>
      <c r="R43" s="53" t="s">
        <v>417</v>
      </c>
      <c r="S43" s="94">
        <v>43500</v>
      </c>
      <c r="T43" s="61">
        <f t="shared" si="1"/>
        <v>739500</v>
      </c>
    </row>
    <row r="44" spans="1:20" s="63" customFormat="1" ht="13.5" customHeight="1" x14ac:dyDescent="0.25">
      <c r="A44" s="65" t="s">
        <v>421</v>
      </c>
      <c r="B44" s="57" t="s">
        <v>1446</v>
      </c>
      <c r="C44" s="57" t="s">
        <v>507</v>
      </c>
      <c r="D44" s="10" t="s">
        <v>295</v>
      </c>
      <c r="E44" s="56" t="s">
        <v>1422</v>
      </c>
      <c r="F44" s="57">
        <v>3040</v>
      </c>
      <c r="G44" s="65">
        <v>16</v>
      </c>
      <c r="H44" s="65" t="s">
        <v>165</v>
      </c>
      <c r="I44" s="55" t="s">
        <v>404</v>
      </c>
      <c r="J44" s="55">
        <v>45834</v>
      </c>
      <c r="K44" s="53" t="s">
        <v>1494</v>
      </c>
      <c r="L44" s="207">
        <v>89174847838</v>
      </c>
      <c r="M44" s="53" t="s">
        <v>1502</v>
      </c>
      <c r="N44" s="212"/>
      <c r="O44" s="53"/>
      <c r="P44" s="57"/>
      <c r="Q44" s="57">
        <v>3040</v>
      </c>
      <c r="R44" s="168" t="s">
        <v>417</v>
      </c>
      <c r="S44" s="94">
        <v>339000</v>
      </c>
      <c r="T44" s="61">
        <f t="shared" si="1"/>
        <v>1030560</v>
      </c>
    </row>
    <row r="45" spans="1:20" s="63" customFormat="1" ht="13.5" customHeight="1" x14ac:dyDescent="0.25">
      <c r="A45" s="65" t="s">
        <v>421</v>
      </c>
      <c r="B45" s="57" t="s">
        <v>1447</v>
      </c>
      <c r="C45" s="57" t="s">
        <v>507</v>
      </c>
      <c r="D45" s="10" t="s">
        <v>237</v>
      </c>
      <c r="E45" s="56" t="s">
        <v>1424</v>
      </c>
      <c r="F45" s="57">
        <v>18000</v>
      </c>
      <c r="G45" s="65">
        <v>720</v>
      </c>
      <c r="H45" s="65" t="s">
        <v>165</v>
      </c>
      <c r="I45" s="55" t="s">
        <v>404</v>
      </c>
      <c r="J45" s="55">
        <v>45834</v>
      </c>
      <c r="K45" s="53" t="s">
        <v>1494</v>
      </c>
      <c r="L45" s="207">
        <v>89174847838</v>
      </c>
      <c r="M45" s="53" t="s">
        <v>1502</v>
      </c>
      <c r="N45" s="212"/>
      <c r="O45" s="57">
        <v>18000</v>
      </c>
      <c r="P45" s="57"/>
      <c r="Q45" s="92"/>
      <c r="R45" s="168" t="s">
        <v>417</v>
      </c>
      <c r="S45" s="94">
        <v>41500</v>
      </c>
      <c r="T45" s="61">
        <f t="shared" si="1"/>
        <v>747000</v>
      </c>
    </row>
    <row r="46" spans="1:20" s="63" customFormat="1" ht="13.5" customHeight="1" x14ac:dyDescent="0.25">
      <c r="A46" s="65" t="s">
        <v>311</v>
      </c>
      <c r="B46" s="57" t="s">
        <v>1457</v>
      </c>
      <c r="C46" s="57" t="s">
        <v>451</v>
      </c>
      <c r="D46" s="93" t="s">
        <v>194</v>
      </c>
      <c r="E46" s="56" t="s">
        <v>473</v>
      </c>
      <c r="F46" s="92">
        <v>3200</v>
      </c>
      <c r="G46" s="65">
        <v>16</v>
      </c>
      <c r="H46" s="65" t="s">
        <v>471</v>
      </c>
      <c r="I46" s="65" t="s">
        <v>404</v>
      </c>
      <c r="J46" s="55">
        <v>45834</v>
      </c>
      <c r="K46" s="266" t="s">
        <v>1498</v>
      </c>
      <c r="L46" s="248">
        <v>89192826075</v>
      </c>
      <c r="M46" s="62" t="s">
        <v>1499</v>
      </c>
      <c r="N46" s="162"/>
      <c r="O46" s="92"/>
      <c r="P46" s="57"/>
      <c r="Q46" s="92">
        <v>3200</v>
      </c>
      <c r="R46" s="53" t="s">
        <v>417</v>
      </c>
      <c r="S46" s="94">
        <v>105000</v>
      </c>
      <c r="T46" s="61">
        <f t="shared" si="1"/>
        <v>336000</v>
      </c>
    </row>
    <row r="47" spans="1:20" s="63" customFormat="1" ht="13.5" customHeight="1" x14ac:dyDescent="0.25">
      <c r="A47" s="65" t="s">
        <v>311</v>
      </c>
      <c r="B47" s="57" t="s">
        <v>1457</v>
      </c>
      <c r="C47" s="57" t="s">
        <v>451</v>
      </c>
      <c r="D47" s="93" t="s">
        <v>282</v>
      </c>
      <c r="E47" s="56" t="s">
        <v>1187</v>
      </c>
      <c r="F47" s="92">
        <v>3040</v>
      </c>
      <c r="G47" s="65">
        <v>16</v>
      </c>
      <c r="H47" s="65" t="s">
        <v>471</v>
      </c>
      <c r="I47" s="65" t="s">
        <v>404</v>
      </c>
      <c r="J47" s="55">
        <v>45834</v>
      </c>
      <c r="K47" s="266" t="s">
        <v>1498</v>
      </c>
      <c r="L47" s="248">
        <v>89192826075</v>
      </c>
      <c r="M47" s="62" t="s">
        <v>1499</v>
      </c>
      <c r="N47" s="162"/>
      <c r="O47" s="92"/>
      <c r="P47" s="57"/>
      <c r="Q47" s="92">
        <v>3040</v>
      </c>
      <c r="R47" s="53" t="s">
        <v>417</v>
      </c>
      <c r="S47" s="94">
        <v>235000</v>
      </c>
      <c r="T47" s="61">
        <f t="shared" si="1"/>
        <v>714400</v>
      </c>
    </row>
    <row r="48" spans="1:20" s="63" customFormat="1" ht="13.5" customHeight="1" x14ac:dyDescent="0.25">
      <c r="A48" s="65" t="s">
        <v>311</v>
      </c>
      <c r="B48" s="57" t="s">
        <v>1457</v>
      </c>
      <c r="C48" s="57" t="s">
        <v>451</v>
      </c>
      <c r="D48" s="93" t="s">
        <v>252</v>
      </c>
      <c r="E48" s="56" t="s">
        <v>1163</v>
      </c>
      <c r="F48" s="92">
        <v>4000</v>
      </c>
      <c r="G48" s="65">
        <v>200</v>
      </c>
      <c r="H48" s="65" t="s">
        <v>471</v>
      </c>
      <c r="I48" s="65" t="s">
        <v>404</v>
      </c>
      <c r="J48" s="55">
        <v>45834</v>
      </c>
      <c r="K48" s="266" t="s">
        <v>1498</v>
      </c>
      <c r="L48" s="248">
        <v>89192826075</v>
      </c>
      <c r="M48" s="62" t="s">
        <v>1499</v>
      </c>
      <c r="N48" s="162"/>
      <c r="O48" s="92"/>
      <c r="P48" s="92">
        <v>4000</v>
      </c>
      <c r="Q48" s="53"/>
      <c r="R48" s="53" t="s">
        <v>417</v>
      </c>
      <c r="S48" s="94">
        <v>87000</v>
      </c>
      <c r="T48" s="61">
        <f t="shared" si="1"/>
        <v>348000</v>
      </c>
    </row>
    <row r="49" spans="1:20" s="63" customFormat="1" ht="13.5" customHeight="1" x14ac:dyDescent="0.25">
      <c r="A49" s="65" t="s">
        <v>311</v>
      </c>
      <c r="B49" s="57" t="s">
        <v>1457</v>
      </c>
      <c r="C49" s="57" t="s">
        <v>451</v>
      </c>
      <c r="D49" s="93" t="s">
        <v>157</v>
      </c>
      <c r="E49" s="56" t="s">
        <v>1186</v>
      </c>
      <c r="F49" s="92">
        <v>4000</v>
      </c>
      <c r="G49" s="65">
        <v>20</v>
      </c>
      <c r="H49" s="65" t="s">
        <v>471</v>
      </c>
      <c r="I49" s="65" t="s">
        <v>404</v>
      </c>
      <c r="J49" s="55">
        <v>45834</v>
      </c>
      <c r="K49" s="266" t="s">
        <v>1498</v>
      </c>
      <c r="L49" s="248">
        <v>89192826075</v>
      </c>
      <c r="M49" s="62" t="s">
        <v>1499</v>
      </c>
      <c r="N49" s="162"/>
      <c r="O49" s="92"/>
      <c r="P49" s="57"/>
      <c r="Q49" s="92">
        <v>4000</v>
      </c>
      <c r="R49" s="53" t="s">
        <v>417</v>
      </c>
      <c r="S49" s="94">
        <v>81500</v>
      </c>
      <c r="T49" s="61">
        <f t="shared" si="1"/>
        <v>326000</v>
      </c>
    </row>
    <row r="50" spans="1:20" s="63" customFormat="1" ht="13.5" customHeight="1" x14ac:dyDescent="0.25">
      <c r="A50" s="65" t="s">
        <v>311</v>
      </c>
      <c r="B50" s="57" t="s">
        <v>1457</v>
      </c>
      <c r="C50" s="57" t="s">
        <v>451</v>
      </c>
      <c r="D50" s="93" t="s">
        <v>168</v>
      </c>
      <c r="E50" s="56" t="s">
        <v>1182</v>
      </c>
      <c r="F50" s="92">
        <v>4000</v>
      </c>
      <c r="G50" s="65">
        <v>20</v>
      </c>
      <c r="H50" s="65" t="s">
        <v>471</v>
      </c>
      <c r="I50" s="65" t="s">
        <v>404</v>
      </c>
      <c r="J50" s="55">
        <v>45834</v>
      </c>
      <c r="K50" s="266" t="s">
        <v>1498</v>
      </c>
      <c r="L50" s="248">
        <v>89192826075</v>
      </c>
      <c r="M50" s="62" t="s">
        <v>1499</v>
      </c>
      <c r="N50" s="162"/>
      <c r="O50" s="92"/>
      <c r="P50" s="57"/>
      <c r="Q50" s="92">
        <v>4000</v>
      </c>
      <c r="R50" s="53" t="s">
        <v>417</v>
      </c>
      <c r="S50" s="94">
        <v>89000</v>
      </c>
      <c r="T50" s="61">
        <f t="shared" si="1"/>
        <v>356000</v>
      </c>
    </row>
    <row r="51" spans="1:20" s="63" customFormat="1" ht="13.5" customHeight="1" x14ac:dyDescent="0.25">
      <c r="A51" s="65" t="s">
        <v>316</v>
      </c>
      <c r="B51" s="57" t="s">
        <v>1463</v>
      </c>
      <c r="C51" s="57" t="s">
        <v>451</v>
      </c>
      <c r="D51" s="93" t="s">
        <v>222</v>
      </c>
      <c r="E51" s="56" t="s">
        <v>1075</v>
      </c>
      <c r="F51" s="92">
        <v>15000</v>
      </c>
      <c r="G51" s="65">
        <v>600</v>
      </c>
      <c r="H51" s="65" t="s">
        <v>452</v>
      </c>
      <c r="I51" s="65" t="s">
        <v>988</v>
      </c>
      <c r="J51" s="55">
        <v>45838</v>
      </c>
      <c r="K51" s="267" t="s">
        <v>608</v>
      </c>
      <c r="L51" s="248">
        <v>89823027534</v>
      </c>
      <c r="M51" s="62" t="s">
        <v>1501</v>
      </c>
      <c r="N51" s="162"/>
      <c r="O51" s="92">
        <v>15000</v>
      </c>
      <c r="P51" s="57"/>
      <c r="Q51" s="53"/>
      <c r="R51" s="53" t="s">
        <v>417</v>
      </c>
      <c r="S51" s="94">
        <v>43500</v>
      </c>
      <c r="T51" s="61">
        <f t="shared" si="1"/>
        <v>652500</v>
      </c>
    </row>
    <row r="52" spans="1:20" s="63" customFormat="1" ht="13.5" customHeight="1" x14ac:dyDescent="0.25">
      <c r="A52" s="65" t="s">
        <v>316</v>
      </c>
      <c r="B52" s="57" t="s">
        <v>1463</v>
      </c>
      <c r="C52" s="57" t="s">
        <v>451</v>
      </c>
      <c r="D52" s="93" t="s">
        <v>223</v>
      </c>
      <c r="E52" s="56" t="s">
        <v>453</v>
      </c>
      <c r="F52" s="92">
        <v>5000</v>
      </c>
      <c r="G52" s="65">
        <v>200</v>
      </c>
      <c r="H52" s="65" t="s">
        <v>452</v>
      </c>
      <c r="I52" s="65" t="s">
        <v>988</v>
      </c>
      <c r="J52" s="55">
        <v>45838</v>
      </c>
      <c r="K52" s="268" t="s">
        <v>608</v>
      </c>
      <c r="L52" s="248">
        <v>89823027534</v>
      </c>
      <c r="M52" s="62" t="s">
        <v>1501</v>
      </c>
      <c r="N52" s="139"/>
      <c r="O52" s="92"/>
      <c r="P52" s="57">
        <v>5000</v>
      </c>
      <c r="Q52" s="53"/>
      <c r="R52" s="53" t="s">
        <v>417</v>
      </c>
      <c r="S52" s="94">
        <v>250000</v>
      </c>
      <c r="T52" s="61">
        <f t="shared" si="1"/>
        <v>1250000</v>
      </c>
    </row>
    <row r="53" spans="1:20" ht="20.25" customHeight="1" thickBot="1" x14ac:dyDescent="0.35">
      <c r="A53" s="159" t="s">
        <v>15</v>
      </c>
      <c r="B53" s="101">
        <f>SUM($F$4:$F$52)/1000</f>
        <v>520.65800000000002</v>
      </c>
      <c r="C53" s="54" t="s">
        <v>14</v>
      </c>
      <c r="S53" s="235"/>
      <c r="T53" s="235">
        <f>SUM(T4:T52)</f>
        <v>52064929.5</v>
      </c>
    </row>
    <row r="54" spans="1:20" ht="33" customHeight="1" x14ac:dyDescent="0.3">
      <c r="A54" s="110" t="s">
        <v>16</v>
      </c>
      <c r="B54" s="102">
        <f>$B$55+$B$56+$B$57</f>
        <v>520.65800000000002</v>
      </c>
      <c r="C54" s="1" t="s">
        <v>14</v>
      </c>
      <c r="E54" s="175"/>
      <c r="F54" s="154" t="s">
        <v>321</v>
      </c>
      <c r="G54" s="154"/>
    </row>
    <row r="55" spans="1:20" ht="18.75" x14ac:dyDescent="0.3">
      <c r="A55" s="111" t="s">
        <v>17</v>
      </c>
      <c r="B55" s="100">
        <f>SUM($O$4:$O$113)/1000</f>
        <v>271</v>
      </c>
      <c r="C55" s="2" t="s">
        <v>14</v>
      </c>
      <c r="D55" s="184"/>
      <c r="E55" s="188"/>
      <c r="F55" s="154" t="s">
        <v>319</v>
      </c>
      <c r="G55" s="154"/>
    </row>
    <row r="56" spans="1:20" ht="18.75" x14ac:dyDescent="0.3">
      <c r="A56" s="111" t="s">
        <v>153</v>
      </c>
      <c r="B56" s="100">
        <f>SUM($P$4:$P$113)/1000</f>
        <v>16.23</v>
      </c>
      <c r="C56" s="2" t="s">
        <v>14</v>
      </c>
      <c r="E56" s="177"/>
      <c r="F56" s="154" t="s">
        <v>318</v>
      </c>
      <c r="G56" s="154"/>
    </row>
    <row r="57" spans="1:20" ht="18.75" x14ac:dyDescent="0.3">
      <c r="A57" s="111" t="s">
        <v>24</v>
      </c>
      <c r="B57" s="103">
        <f>SUM($Q$5:$Q$113)/1000</f>
        <v>233.428</v>
      </c>
      <c r="C57" s="2" t="s">
        <v>14</v>
      </c>
      <c r="E57" s="178"/>
      <c r="F57" s="154" t="s">
        <v>325</v>
      </c>
    </row>
    <row r="58" spans="1:20" ht="30.75" thickBot="1" x14ac:dyDescent="0.35">
      <c r="A58" s="112" t="s">
        <v>20</v>
      </c>
      <c r="B58" s="104">
        <f>$B$53-$B$54</f>
        <v>0</v>
      </c>
      <c r="C58" s="3" t="s">
        <v>14</v>
      </c>
      <c r="E58" s="250"/>
      <c r="F58" s="154" t="s">
        <v>1351</v>
      </c>
    </row>
  </sheetData>
  <sheetProtection formatCells="0" formatColumns="0" formatRows="0" insertColumns="0" insertRows="0" insertHyperlinks="0" deleteColumns="0" deleteRows="0" sort="0" autoFilter="0" pivotTables="0"/>
  <autoFilter ref="D1:D58" xr:uid="{00000000-0009-0000-0000-000006000000}"/>
  <mergeCells count="13">
    <mergeCell ref="F2:G2"/>
    <mergeCell ref="A2:A3"/>
    <mergeCell ref="B2:B3"/>
    <mergeCell ref="C2:C3"/>
    <mergeCell ref="D2:D3"/>
    <mergeCell ref="E2:E3"/>
    <mergeCell ref="S2:S3"/>
    <mergeCell ref="H2:H3"/>
    <mergeCell ref="I2:I3"/>
    <mergeCell ref="J2:J3"/>
    <mergeCell ref="K2:M2"/>
    <mergeCell ref="O2:Q2"/>
    <mergeCell ref="R2:R3"/>
  </mergeCells>
  <phoneticPr fontId="119" type="noConversion"/>
  <pageMargins left="0.7" right="0.7" top="0.75" bottom="0.75" header="0.3" footer="0.3"/>
  <pageSetup paperSize="9" scale="37" orientation="landscape" r:id="rId1"/>
  <colBreaks count="1" manualBreakCount="1">
    <brk id="1" max="87" man="1"/>
  </col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справочник!$E$2:$E$173</xm:f>
          </x14:formula1>
          <xm:sqref>D35:D36</xm:sqref>
        </x14:dataValidation>
        <x14:dataValidation type="list" allowBlank="1" showInputMessage="1" showErrorMessage="1" xr:uid="{00000000-0002-0000-0600-000001000000}">
          <x14:formula1>
            <xm:f>справочник!$E$2:$E$178</xm:f>
          </x14:formula1>
          <xm:sqref>D1:D1048576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CR53"/>
  <sheetViews>
    <sheetView zoomScale="70" zoomScaleNormal="70" zoomScaleSheetLayoutView="70" workbookViewId="0">
      <pane ySplit="3" topLeftCell="A4" activePane="bottomLeft" state="frozen"/>
      <selection pane="bottomLeft" activeCell="M46" sqref="M46"/>
    </sheetView>
  </sheetViews>
  <sheetFormatPr defaultRowHeight="15" x14ac:dyDescent="0.25"/>
  <cols>
    <col min="1" max="1" width="16.5703125" style="113" customWidth="1"/>
    <col min="2" max="2" width="16.7109375" customWidth="1"/>
    <col min="3" max="3" width="17" customWidth="1"/>
    <col min="4" max="4" width="56.7109375" customWidth="1"/>
    <col min="5" max="5" width="15.5703125" style="174" customWidth="1"/>
    <col min="6" max="6" width="13" bestFit="1" customWidth="1"/>
    <col min="7" max="7" width="19.140625" customWidth="1"/>
    <col min="8" max="8" width="19.5703125" customWidth="1"/>
    <col min="9" max="9" width="23" customWidth="1"/>
    <col min="10" max="10" width="18" customWidth="1"/>
    <col min="11" max="11" width="23" customWidth="1"/>
    <col min="12" max="12" width="24.85546875" customWidth="1"/>
    <col min="13" max="13" width="26.85546875" customWidth="1"/>
    <col min="14" max="14" width="23.7109375" style="140" customWidth="1"/>
    <col min="15" max="15" width="9.85546875" customWidth="1"/>
    <col min="16" max="16" width="10.42578125" customWidth="1"/>
    <col min="17" max="17" width="10.28515625" customWidth="1"/>
    <col min="18" max="18" width="7.5703125" customWidth="1"/>
    <col min="19" max="19" width="13.85546875" customWidth="1"/>
    <col min="20" max="20" width="17.28515625" customWidth="1"/>
    <col min="21" max="21" width="15.42578125" customWidth="1"/>
  </cols>
  <sheetData>
    <row r="1" spans="1:20" s="59" customFormat="1" ht="17.25" x14ac:dyDescent="0.3">
      <c r="A1" s="109"/>
      <c r="B1" s="58" t="s">
        <v>152</v>
      </c>
      <c r="C1" s="66">
        <v>45778</v>
      </c>
      <c r="D1" s="58"/>
      <c r="E1" s="173"/>
      <c r="F1" s="58"/>
      <c r="H1" s="58"/>
      <c r="I1" s="58"/>
      <c r="J1" s="58"/>
      <c r="K1" s="60"/>
      <c r="L1" s="60"/>
      <c r="M1" s="60"/>
      <c r="N1" s="106"/>
      <c r="O1" s="60"/>
      <c r="P1" s="60"/>
      <c r="Q1" s="60"/>
    </row>
    <row r="2" spans="1:20" ht="25.5" customHeight="1" x14ac:dyDescent="0.25">
      <c r="A2" s="404" t="s">
        <v>159</v>
      </c>
      <c r="B2" s="406" t="s">
        <v>18</v>
      </c>
      <c r="C2" s="408" t="s">
        <v>156</v>
      </c>
      <c r="D2" s="410" t="s">
        <v>4</v>
      </c>
      <c r="E2" s="412" t="s">
        <v>5</v>
      </c>
      <c r="F2" s="402" t="s">
        <v>0</v>
      </c>
      <c r="G2" s="403"/>
      <c r="H2" s="388" t="s">
        <v>2</v>
      </c>
      <c r="I2" s="390" t="s">
        <v>3</v>
      </c>
      <c r="J2" s="392" t="s">
        <v>6</v>
      </c>
      <c r="K2" s="394" t="s">
        <v>7</v>
      </c>
      <c r="L2" s="395"/>
      <c r="M2" s="396"/>
      <c r="N2" s="107" t="s">
        <v>9</v>
      </c>
      <c r="O2" s="397" t="s">
        <v>12</v>
      </c>
      <c r="P2" s="398"/>
      <c r="Q2" s="399"/>
      <c r="R2" s="400" t="s">
        <v>151</v>
      </c>
      <c r="S2" s="387" t="s">
        <v>161</v>
      </c>
      <c r="T2" s="95"/>
    </row>
    <row r="3" spans="1:20" x14ac:dyDescent="0.25">
      <c r="A3" s="405"/>
      <c r="B3" s="407"/>
      <c r="C3" s="409"/>
      <c r="D3" s="411"/>
      <c r="E3" s="413"/>
      <c r="F3" s="149" t="s">
        <v>1</v>
      </c>
      <c r="G3" s="149" t="s">
        <v>155</v>
      </c>
      <c r="H3" s="389"/>
      <c r="I3" s="391"/>
      <c r="J3" s="393"/>
      <c r="K3" s="239" t="s">
        <v>8</v>
      </c>
      <c r="L3" s="239" t="s">
        <v>21</v>
      </c>
      <c r="M3" s="239" t="s">
        <v>10</v>
      </c>
      <c r="N3" s="150" t="s">
        <v>1038</v>
      </c>
      <c r="O3" s="151" t="s">
        <v>13</v>
      </c>
      <c r="P3" s="151" t="s">
        <v>154</v>
      </c>
      <c r="Q3" s="152" t="s">
        <v>23</v>
      </c>
      <c r="R3" s="401"/>
      <c r="S3" s="387"/>
      <c r="T3" s="153" t="s">
        <v>162</v>
      </c>
    </row>
    <row r="4" spans="1:20" s="138" customFormat="1" x14ac:dyDescent="0.25">
      <c r="A4" s="200"/>
      <c r="B4" s="249"/>
      <c r="C4" s="242"/>
      <c r="D4" s="143"/>
      <c r="E4" s="144"/>
      <c r="F4" s="145"/>
      <c r="G4" s="142"/>
      <c r="H4" s="142"/>
      <c r="I4" s="142"/>
      <c r="J4" s="146"/>
      <c r="K4" s="147"/>
      <c r="L4" s="243"/>
      <c r="M4" s="147"/>
      <c r="N4" s="155"/>
      <c r="O4" s="156"/>
      <c r="P4" s="156"/>
      <c r="Q4" s="157"/>
      <c r="R4" s="141"/>
      <c r="T4" s="158"/>
    </row>
    <row r="5" spans="1:20" s="63" customFormat="1" ht="13.5" customHeight="1" x14ac:dyDescent="0.25">
      <c r="A5" s="65" t="s">
        <v>509</v>
      </c>
      <c r="B5" s="57" t="s">
        <v>1246</v>
      </c>
      <c r="C5" s="57" t="s">
        <v>164</v>
      </c>
      <c r="D5" s="10" t="s">
        <v>306</v>
      </c>
      <c r="E5" s="167" t="s">
        <v>1247</v>
      </c>
      <c r="F5" s="57">
        <v>20125</v>
      </c>
      <c r="G5" s="65">
        <v>805</v>
      </c>
      <c r="H5" s="65" t="s">
        <v>165</v>
      </c>
      <c r="I5" s="65" t="s">
        <v>1263</v>
      </c>
      <c r="J5" s="55">
        <v>45782</v>
      </c>
      <c r="K5" s="53" t="s">
        <v>1144</v>
      </c>
      <c r="L5" s="207" t="s">
        <v>1254</v>
      </c>
      <c r="M5" s="53" t="s">
        <v>1143</v>
      </c>
      <c r="N5" s="245"/>
      <c r="O5" s="57">
        <f>F5</f>
        <v>20125</v>
      </c>
      <c r="P5" s="53"/>
      <c r="Q5" s="53"/>
      <c r="R5" s="168" t="s">
        <v>417</v>
      </c>
      <c r="S5" s="94">
        <v>41000</v>
      </c>
      <c r="T5" s="61">
        <f t="shared" ref="T5" si="0" xml:space="preserve"> S5*(F5/1000)</f>
        <v>825125</v>
      </c>
    </row>
    <row r="6" spans="1:20" s="63" customFormat="1" ht="13.5" customHeight="1" x14ac:dyDescent="0.25">
      <c r="A6" s="65" t="s">
        <v>408</v>
      </c>
      <c r="B6" s="57" t="s">
        <v>1252</v>
      </c>
      <c r="C6" s="57" t="s">
        <v>507</v>
      </c>
      <c r="D6" s="93" t="s">
        <v>237</v>
      </c>
      <c r="E6" s="189" t="s">
        <v>1262</v>
      </c>
      <c r="F6" s="92">
        <v>20000</v>
      </c>
      <c r="G6" s="65">
        <v>800</v>
      </c>
      <c r="H6" s="65" t="s">
        <v>1188</v>
      </c>
      <c r="I6" s="55" t="s">
        <v>1263</v>
      </c>
      <c r="J6" s="55">
        <v>45782</v>
      </c>
      <c r="K6" s="53" t="s">
        <v>975</v>
      </c>
      <c r="L6" s="207">
        <v>89116825992</v>
      </c>
      <c r="M6" s="53" t="s">
        <v>414</v>
      </c>
      <c r="N6" s="139"/>
      <c r="O6" s="57">
        <f>F6</f>
        <v>20000</v>
      </c>
      <c r="P6" s="57"/>
      <c r="Q6" s="53"/>
      <c r="R6" s="168" t="s">
        <v>417</v>
      </c>
      <c r="S6" s="94">
        <v>41500</v>
      </c>
      <c r="T6" s="61">
        <f xml:space="preserve"> S6*(F6/1000)</f>
        <v>830000</v>
      </c>
    </row>
    <row r="7" spans="1:20" s="64" customFormat="1" ht="13.5" customHeight="1" x14ac:dyDescent="0.25">
      <c r="A7" s="65" t="s">
        <v>311</v>
      </c>
      <c r="B7" s="57" t="s">
        <v>1264</v>
      </c>
      <c r="C7" s="57" t="s">
        <v>507</v>
      </c>
      <c r="D7" s="93" t="s">
        <v>237</v>
      </c>
      <c r="E7" s="189" t="s">
        <v>1253</v>
      </c>
      <c r="F7" s="92">
        <v>20000</v>
      </c>
      <c r="G7" s="65">
        <v>800</v>
      </c>
      <c r="H7" s="65" t="s">
        <v>1188</v>
      </c>
      <c r="I7" s="55" t="s">
        <v>1263</v>
      </c>
      <c r="J7" s="55">
        <v>45783</v>
      </c>
      <c r="K7" s="53" t="s">
        <v>704</v>
      </c>
      <c r="L7" s="207">
        <v>89021984502</v>
      </c>
      <c r="M7" s="53" t="s">
        <v>296</v>
      </c>
      <c r="N7" s="212"/>
      <c r="O7" s="57">
        <f t="shared" ref="O7:O10" si="1">F7</f>
        <v>20000</v>
      </c>
      <c r="P7" s="57"/>
      <c r="Q7" s="92"/>
      <c r="R7" s="168" t="s">
        <v>417</v>
      </c>
      <c r="S7" s="94">
        <v>41500</v>
      </c>
      <c r="T7" s="61">
        <f t="shared" ref="T7:T12" si="2" xml:space="preserve"> S7*(F7/1000)</f>
        <v>830000</v>
      </c>
    </row>
    <row r="8" spans="1:20" s="241" customFormat="1" ht="13.5" customHeight="1" x14ac:dyDescent="0.25">
      <c r="A8" s="65" t="s">
        <v>646</v>
      </c>
      <c r="B8" s="57" t="s">
        <v>1272</v>
      </c>
      <c r="C8" s="57" t="s">
        <v>164</v>
      </c>
      <c r="D8" s="10" t="s">
        <v>306</v>
      </c>
      <c r="E8" s="167" t="s">
        <v>1271</v>
      </c>
      <c r="F8" s="57">
        <v>20125</v>
      </c>
      <c r="G8" s="65">
        <v>805</v>
      </c>
      <c r="H8" s="65" t="s">
        <v>165</v>
      </c>
      <c r="I8" s="65" t="s">
        <v>1263</v>
      </c>
      <c r="J8" s="55">
        <v>45783</v>
      </c>
      <c r="K8" s="98" t="s">
        <v>1304</v>
      </c>
      <c r="L8" s="105">
        <v>89173996659</v>
      </c>
      <c r="M8" s="98" t="s">
        <v>1311</v>
      </c>
      <c r="N8" s="163"/>
      <c r="O8" s="57">
        <f t="shared" si="1"/>
        <v>20125</v>
      </c>
      <c r="P8" s="57"/>
      <c r="Q8" s="53"/>
      <c r="R8" s="246" t="s">
        <v>417</v>
      </c>
      <c r="S8" s="94">
        <v>41000</v>
      </c>
      <c r="T8" s="61">
        <f xml:space="preserve"> S8*(F8/1000)</f>
        <v>825125</v>
      </c>
    </row>
    <row r="9" spans="1:20" s="64" customFormat="1" ht="13.5" customHeight="1" x14ac:dyDescent="0.25">
      <c r="A9" s="65" t="s">
        <v>311</v>
      </c>
      <c r="B9" s="57" t="s">
        <v>1269</v>
      </c>
      <c r="C9" s="57" t="s">
        <v>507</v>
      </c>
      <c r="D9" s="93" t="s">
        <v>237</v>
      </c>
      <c r="E9" s="189" t="s">
        <v>1257</v>
      </c>
      <c r="F9" s="92">
        <v>20000</v>
      </c>
      <c r="G9" s="65">
        <v>800</v>
      </c>
      <c r="H9" s="65" t="s">
        <v>1188</v>
      </c>
      <c r="I9" s="55" t="s">
        <v>1263</v>
      </c>
      <c r="J9" s="55">
        <v>45784</v>
      </c>
      <c r="K9" s="53" t="s">
        <v>1303</v>
      </c>
      <c r="L9" s="62">
        <v>89615923892</v>
      </c>
      <c r="M9" s="53" t="s">
        <v>1282</v>
      </c>
      <c r="N9" s="212"/>
      <c r="O9" s="57">
        <f t="shared" si="1"/>
        <v>20000</v>
      </c>
      <c r="P9" s="57"/>
      <c r="Q9" s="92"/>
      <c r="R9" s="246" t="s">
        <v>417</v>
      </c>
      <c r="S9" s="94">
        <v>41500</v>
      </c>
      <c r="T9" s="61">
        <f t="shared" si="2"/>
        <v>830000</v>
      </c>
    </row>
    <row r="10" spans="1:20" s="63" customFormat="1" ht="13.5" customHeight="1" x14ac:dyDescent="0.25">
      <c r="A10" s="65" t="s">
        <v>509</v>
      </c>
      <c r="B10" s="57" t="s">
        <v>1180</v>
      </c>
      <c r="C10" s="57" t="s">
        <v>451</v>
      </c>
      <c r="D10" s="93" t="s">
        <v>222</v>
      </c>
      <c r="E10" s="56" t="s">
        <v>1075</v>
      </c>
      <c r="F10" s="92">
        <v>20000</v>
      </c>
      <c r="G10" s="65">
        <v>800</v>
      </c>
      <c r="H10" s="65" t="s">
        <v>165</v>
      </c>
      <c r="I10" s="65" t="s">
        <v>1263</v>
      </c>
      <c r="J10" s="55">
        <v>45784</v>
      </c>
      <c r="K10" s="98" t="s">
        <v>812</v>
      </c>
      <c r="L10" s="105">
        <v>89216004800</v>
      </c>
      <c r="M10" s="98" t="s">
        <v>1283</v>
      </c>
      <c r="N10" s="162"/>
      <c r="O10" s="57">
        <f t="shared" si="1"/>
        <v>20000</v>
      </c>
      <c r="P10" s="57"/>
      <c r="Q10" s="53"/>
      <c r="R10" s="53" t="s">
        <v>417</v>
      </c>
      <c r="S10" s="94">
        <v>43500</v>
      </c>
      <c r="T10" s="61">
        <f t="shared" si="2"/>
        <v>870000</v>
      </c>
    </row>
    <row r="11" spans="1:20" s="64" customFormat="1" ht="13.5" customHeight="1" x14ac:dyDescent="0.25">
      <c r="A11" s="65" t="s">
        <v>1286</v>
      </c>
      <c r="B11" s="57" t="s">
        <v>1270</v>
      </c>
      <c r="C11" s="57" t="s">
        <v>507</v>
      </c>
      <c r="D11" s="93" t="s">
        <v>237</v>
      </c>
      <c r="E11" s="189" t="s">
        <v>1265</v>
      </c>
      <c r="F11" s="92">
        <v>20000</v>
      </c>
      <c r="G11" s="65">
        <v>800</v>
      </c>
      <c r="H11" s="65" t="s">
        <v>1188</v>
      </c>
      <c r="I11" s="65" t="s">
        <v>1263</v>
      </c>
      <c r="J11" s="55">
        <v>45789</v>
      </c>
      <c r="K11" s="98" t="s">
        <v>1279</v>
      </c>
      <c r="L11" s="207">
        <v>89049773510</v>
      </c>
      <c r="M11" s="53" t="s">
        <v>1281</v>
      </c>
      <c r="N11" s="212"/>
      <c r="O11" s="92">
        <v>20000</v>
      </c>
      <c r="P11" s="57"/>
      <c r="Q11" s="92"/>
      <c r="R11" s="168"/>
      <c r="S11" s="94">
        <v>41500</v>
      </c>
      <c r="T11" s="61">
        <f xml:space="preserve"> S11*(F11/1000)</f>
        <v>830000</v>
      </c>
    </row>
    <row r="12" spans="1:20" s="63" customFormat="1" ht="13.5" customHeight="1" x14ac:dyDescent="0.25">
      <c r="A12" s="65" t="s">
        <v>646</v>
      </c>
      <c r="B12" s="57" t="s">
        <v>1181</v>
      </c>
      <c r="C12" s="57" t="s">
        <v>451</v>
      </c>
      <c r="D12" s="93" t="s">
        <v>222</v>
      </c>
      <c r="E12" s="56" t="s">
        <v>1075</v>
      </c>
      <c r="F12" s="92">
        <v>20000</v>
      </c>
      <c r="G12" s="65">
        <v>800</v>
      </c>
      <c r="H12" s="65" t="s">
        <v>165</v>
      </c>
      <c r="I12" s="65" t="s">
        <v>1263</v>
      </c>
      <c r="J12" s="55">
        <v>45789</v>
      </c>
      <c r="K12" s="247" t="s">
        <v>1288</v>
      </c>
      <c r="L12" s="248">
        <v>89995113877</v>
      </c>
      <c r="M12" s="62" t="s">
        <v>1287</v>
      </c>
      <c r="N12" s="162"/>
      <c r="O12" s="92">
        <v>20000</v>
      </c>
      <c r="P12" s="57"/>
      <c r="Q12" s="53"/>
      <c r="R12" s="53" t="s">
        <v>417</v>
      </c>
      <c r="S12" s="94">
        <v>43500</v>
      </c>
      <c r="T12" s="61">
        <f t="shared" si="2"/>
        <v>870000</v>
      </c>
    </row>
    <row r="13" spans="1:20" s="241" customFormat="1" ht="13.5" customHeight="1" x14ac:dyDescent="0.25">
      <c r="A13" s="65" t="s">
        <v>1280</v>
      </c>
      <c r="B13" s="57" t="s">
        <v>1276</v>
      </c>
      <c r="C13" s="57" t="s">
        <v>164</v>
      </c>
      <c r="D13" s="10" t="s">
        <v>306</v>
      </c>
      <c r="E13" s="167" t="s">
        <v>1277</v>
      </c>
      <c r="F13" s="57">
        <v>20125</v>
      </c>
      <c r="G13" s="65">
        <v>805</v>
      </c>
      <c r="H13" s="65" t="s">
        <v>165</v>
      </c>
      <c r="I13" s="65" t="s">
        <v>1263</v>
      </c>
      <c r="J13" s="55">
        <v>45789</v>
      </c>
      <c r="K13" s="53" t="s">
        <v>1302</v>
      </c>
      <c r="L13" s="166">
        <v>89125754867</v>
      </c>
      <c r="M13" s="53" t="s">
        <v>1285</v>
      </c>
      <c r="N13" s="244"/>
      <c r="O13" s="57">
        <v>20125</v>
      </c>
      <c r="P13" s="57"/>
      <c r="Q13" s="92"/>
      <c r="R13" s="168" t="s">
        <v>417</v>
      </c>
      <c r="S13" s="94">
        <v>41000</v>
      </c>
      <c r="T13" s="61">
        <f xml:space="preserve"> S13*(F13/1000)</f>
        <v>825125</v>
      </c>
    </row>
    <row r="14" spans="1:20" s="64" customFormat="1" ht="13.5" customHeight="1" x14ac:dyDescent="0.25">
      <c r="A14" s="65" t="s">
        <v>1206</v>
      </c>
      <c r="B14" s="57" t="s">
        <v>1278</v>
      </c>
      <c r="C14" s="57" t="s">
        <v>507</v>
      </c>
      <c r="D14" s="93" t="s">
        <v>237</v>
      </c>
      <c r="E14" s="189" t="s">
        <v>1277</v>
      </c>
      <c r="F14" s="92">
        <v>20000</v>
      </c>
      <c r="G14" s="65">
        <v>800</v>
      </c>
      <c r="H14" s="65" t="s">
        <v>1188</v>
      </c>
      <c r="I14" s="65" t="s">
        <v>1263</v>
      </c>
      <c r="J14" s="55">
        <v>45789</v>
      </c>
      <c r="K14" s="53" t="s">
        <v>1066</v>
      </c>
      <c r="L14" s="166">
        <v>89080063420</v>
      </c>
      <c r="M14" s="53" t="s">
        <v>1132</v>
      </c>
      <c r="N14" s="212"/>
      <c r="O14" s="92">
        <v>20000</v>
      </c>
      <c r="P14" s="57"/>
      <c r="Q14" s="92"/>
      <c r="R14" s="168" t="s">
        <v>417</v>
      </c>
      <c r="S14" s="94">
        <v>41500</v>
      </c>
      <c r="T14" s="61">
        <f xml:space="preserve"> S14*(F14/1000)</f>
        <v>830000</v>
      </c>
    </row>
    <row r="15" spans="1:20" s="64" customFormat="1" ht="13.5" customHeight="1" x14ac:dyDescent="0.25">
      <c r="A15" s="65" t="s">
        <v>489</v>
      </c>
      <c r="B15" s="57" t="s">
        <v>1289</v>
      </c>
      <c r="C15" s="57" t="s">
        <v>507</v>
      </c>
      <c r="D15" s="93" t="s">
        <v>237</v>
      </c>
      <c r="E15" s="189" t="s">
        <v>1290</v>
      </c>
      <c r="F15" s="92">
        <v>20000</v>
      </c>
      <c r="G15" s="65">
        <v>800</v>
      </c>
      <c r="H15" s="65" t="s">
        <v>1188</v>
      </c>
      <c r="I15" s="65" t="s">
        <v>1263</v>
      </c>
      <c r="J15" s="55">
        <v>45790</v>
      </c>
      <c r="K15" s="53" t="s">
        <v>1301</v>
      </c>
      <c r="L15" s="166">
        <v>89376575368</v>
      </c>
      <c r="M15" s="53" t="s">
        <v>1300</v>
      </c>
      <c r="N15" s="212"/>
      <c r="O15" s="92">
        <v>20000</v>
      </c>
      <c r="P15" s="57"/>
      <c r="Q15" s="92"/>
      <c r="R15" s="168" t="s">
        <v>417</v>
      </c>
      <c r="S15" s="94">
        <v>41500</v>
      </c>
      <c r="T15" s="61">
        <f t="shared" ref="T15" si="3" xml:space="preserve"> S15*(F15/1000)</f>
        <v>830000</v>
      </c>
    </row>
    <row r="16" spans="1:20" s="64" customFormat="1" ht="13.5" customHeight="1" x14ac:dyDescent="0.25">
      <c r="A16" s="65" t="s">
        <v>489</v>
      </c>
      <c r="B16" s="57" t="s">
        <v>1293</v>
      </c>
      <c r="C16" s="57" t="s">
        <v>507</v>
      </c>
      <c r="D16" s="93" t="s">
        <v>237</v>
      </c>
      <c r="E16" s="189" t="s">
        <v>1292</v>
      </c>
      <c r="F16" s="92">
        <v>20000</v>
      </c>
      <c r="G16" s="65">
        <v>800</v>
      </c>
      <c r="H16" s="65" t="s">
        <v>1188</v>
      </c>
      <c r="I16" s="65" t="s">
        <v>1263</v>
      </c>
      <c r="J16" s="55">
        <v>45790</v>
      </c>
      <c r="K16" s="53" t="s">
        <v>1306</v>
      </c>
      <c r="L16" s="166">
        <v>89182638560</v>
      </c>
      <c r="M16" s="53" t="s">
        <v>1305</v>
      </c>
      <c r="N16" s="212"/>
      <c r="O16" s="92">
        <v>20000</v>
      </c>
      <c r="P16" s="57"/>
      <c r="Q16" s="92"/>
      <c r="R16" s="168" t="s">
        <v>417</v>
      </c>
      <c r="S16" s="94">
        <v>41500</v>
      </c>
      <c r="T16" s="61">
        <f t="shared" ref="T16" si="4" xml:space="preserve"> S16*(F16/1000)</f>
        <v>830000</v>
      </c>
    </row>
    <row r="17" spans="1:96" s="241" customFormat="1" ht="13.5" customHeight="1" x14ac:dyDescent="0.25">
      <c r="A17" s="65" t="s">
        <v>1273</v>
      </c>
      <c r="B17" s="57" t="s">
        <v>1274</v>
      </c>
      <c r="C17" s="57" t="s">
        <v>164</v>
      </c>
      <c r="D17" s="10" t="s">
        <v>306</v>
      </c>
      <c r="E17" s="167" t="s">
        <v>1275</v>
      </c>
      <c r="F17" s="57">
        <v>20125</v>
      </c>
      <c r="G17" s="65">
        <v>805</v>
      </c>
      <c r="H17" s="65" t="s">
        <v>165</v>
      </c>
      <c r="I17" s="65" t="s">
        <v>1263</v>
      </c>
      <c r="J17" s="55">
        <v>45790</v>
      </c>
      <c r="K17" s="53" t="s">
        <v>900</v>
      </c>
      <c r="L17" s="166">
        <v>89216700606</v>
      </c>
      <c r="M17" s="53" t="s">
        <v>1284</v>
      </c>
      <c r="N17" s="244"/>
      <c r="O17" s="57">
        <v>20125</v>
      </c>
      <c r="P17" s="57"/>
      <c r="Q17" s="92"/>
      <c r="R17" s="168" t="s">
        <v>417</v>
      </c>
      <c r="S17" s="94">
        <v>41000</v>
      </c>
      <c r="T17" s="61">
        <f t="shared" ref="T17:T21" si="5" xml:space="preserve"> S17*(F17/1000)</f>
        <v>825125</v>
      </c>
    </row>
    <row r="18" spans="1:96" s="63" customFormat="1" ht="13.5" customHeight="1" x14ac:dyDescent="0.25">
      <c r="A18" s="65" t="s">
        <v>790</v>
      </c>
      <c r="B18" s="57" t="s">
        <v>1310</v>
      </c>
      <c r="C18" s="57" t="s">
        <v>788</v>
      </c>
      <c r="D18" s="93" t="s">
        <v>212</v>
      </c>
      <c r="E18" s="189" t="s">
        <v>1290</v>
      </c>
      <c r="F18" s="92">
        <v>20000</v>
      </c>
      <c r="G18" s="65">
        <v>800</v>
      </c>
      <c r="H18" s="65" t="s">
        <v>789</v>
      </c>
      <c r="I18" s="65" t="s">
        <v>1263</v>
      </c>
      <c r="J18" s="55">
        <v>45793</v>
      </c>
      <c r="K18" s="53" t="s">
        <v>1011</v>
      </c>
      <c r="L18" s="166" t="s">
        <v>1313</v>
      </c>
      <c r="M18" s="53" t="s">
        <v>793</v>
      </c>
      <c r="N18" s="199"/>
      <c r="O18" s="92">
        <v>20000</v>
      </c>
      <c r="P18" s="57"/>
      <c r="Q18" s="92"/>
      <c r="R18" s="53" t="s">
        <v>417</v>
      </c>
      <c r="S18" s="94">
        <v>45000</v>
      </c>
      <c r="T18" s="61">
        <f xml:space="preserve"> S18*(F18/1000)</f>
        <v>900000</v>
      </c>
    </row>
    <row r="19" spans="1:96" s="63" customFormat="1" ht="13.5" customHeight="1" x14ac:dyDescent="0.25">
      <c r="A19" s="65" t="s">
        <v>311</v>
      </c>
      <c r="B19" s="57" t="s">
        <v>1309</v>
      </c>
      <c r="C19" s="57" t="s">
        <v>451</v>
      </c>
      <c r="D19" s="93" t="s">
        <v>223</v>
      </c>
      <c r="E19" s="56" t="s">
        <v>453</v>
      </c>
      <c r="F19" s="92">
        <v>12000</v>
      </c>
      <c r="G19" s="65">
        <v>480</v>
      </c>
      <c r="H19" s="65" t="s">
        <v>165</v>
      </c>
      <c r="I19" s="65" t="s">
        <v>1263</v>
      </c>
      <c r="J19" s="55">
        <v>45793</v>
      </c>
      <c r="K19" s="53" t="s">
        <v>1322</v>
      </c>
      <c r="L19" s="207">
        <v>89824607289</v>
      </c>
      <c r="M19" s="53" t="s">
        <v>1321</v>
      </c>
      <c r="N19" s="162"/>
      <c r="O19" s="92"/>
      <c r="P19" s="92">
        <v>12000</v>
      </c>
      <c r="Q19" s="92"/>
      <c r="R19" s="53" t="s">
        <v>417</v>
      </c>
      <c r="S19" s="94">
        <v>250000</v>
      </c>
      <c r="T19" s="61">
        <f t="shared" si="5"/>
        <v>3000000</v>
      </c>
    </row>
    <row r="20" spans="1:96" s="63" customFormat="1" ht="13.5" customHeight="1" x14ac:dyDescent="0.25">
      <c r="A20" s="65" t="s">
        <v>311</v>
      </c>
      <c r="B20" s="57" t="s">
        <v>1309</v>
      </c>
      <c r="C20" s="57" t="s">
        <v>451</v>
      </c>
      <c r="D20" s="93" t="s">
        <v>222</v>
      </c>
      <c r="E20" s="56" t="s">
        <v>1075</v>
      </c>
      <c r="F20" s="92">
        <v>8000</v>
      </c>
      <c r="G20" s="65">
        <v>320</v>
      </c>
      <c r="H20" s="65" t="s">
        <v>165</v>
      </c>
      <c r="I20" s="65" t="s">
        <v>1263</v>
      </c>
      <c r="J20" s="55">
        <v>45793</v>
      </c>
      <c r="K20" s="53" t="s">
        <v>1322</v>
      </c>
      <c r="L20" s="207">
        <v>89824607289</v>
      </c>
      <c r="M20" s="53" t="s">
        <v>1321</v>
      </c>
      <c r="N20" s="162"/>
      <c r="O20" s="92">
        <v>8000</v>
      </c>
      <c r="P20" s="92"/>
      <c r="Q20" s="92"/>
      <c r="R20" s="53" t="s">
        <v>417</v>
      </c>
      <c r="S20" s="94">
        <v>43500</v>
      </c>
      <c r="T20" s="61">
        <f t="shared" si="5"/>
        <v>348000</v>
      </c>
    </row>
    <row r="21" spans="1:96" s="63" customFormat="1" ht="13.5" customHeight="1" x14ac:dyDescent="0.25">
      <c r="A21" s="65" t="s">
        <v>1090</v>
      </c>
      <c r="B21" s="57" t="s">
        <v>1323</v>
      </c>
      <c r="C21" s="57" t="s">
        <v>1324</v>
      </c>
      <c r="D21" s="93" t="s">
        <v>168</v>
      </c>
      <c r="E21" s="56" t="s">
        <v>1253</v>
      </c>
      <c r="F21" s="57">
        <v>6400</v>
      </c>
      <c r="G21" s="65">
        <v>32</v>
      </c>
      <c r="H21" s="65" t="s">
        <v>392</v>
      </c>
      <c r="I21" s="65" t="s">
        <v>1263</v>
      </c>
      <c r="J21" s="55">
        <v>45796</v>
      </c>
      <c r="K21" s="98" t="s">
        <v>1325</v>
      </c>
      <c r="L21" s="105">
        <v>89116753297</v>
      </c>
      <c r="M21" s="98" t="s">
        <v>1093</v>
      </c>
      <c r="N21" s="162"/>
      <c r="O21" s="92"/>
      <c r="P21" s="57"/>
      <c r="Q21" s="57">
        <v>6400</v>
      </c>
      <c r="R21" s="53" t="s">
        <v>417</v>
      </c>
      <c r="S21" s="94">
        <v>89900</v>
      </c>
      <c r="T21" s="61">
        <f t="shared" si="5"/>
        <v>575360</v>
      </c>
    </row>
    <row r="22" spans="1:96" s="63" customFormat="1" ht="13.5" customHeight="1" x14ac:dyDescent="0.25">
      <c r="A22" s="65" t="s">
        <v>1329</v>
      </c>
      <c r="B22" s="57" t="s">
        <v>1309</v>
      </c>
      <c r="C22" s="57" t="s">
        <v>451</v>
      </c>
      <c r="D22" s="93" t="s">
        <v>194</v>
      </c>
      <c r="E22" s="56" t="s">
        <v>473</v>
      </c>
      <c r="F22" s="92">
        <v>17600</v>
      </c>
      <c r="G22" s="65">
        <v>88</v>
      </c>
      <c r="H22" s="65" t="s">
        <v>165</v>
      </c>
      <c r="I22" s="65" t="s">
        <v>1263</v>
      </c>
      <c r="J22" s="55">
        <v>45796</v>
      </c>
      <c r="K22" s="53" t="s">
        <v>996</v>
      </c>
      <c r="L22" s="207">
        <v>89125770562</v>
      </c>
      <c r="M22" s="53" t="s">
        <v>1207</v>
      </c>
      <c r="N22" s="162"/>
      <c r="O22" s="92"/>
      <c r="P22" s="92"/>
      <c r="Q22" s="92">
        <v>17600</v>
      </c>
      <c r="R22" s="53" t="s">
        <v>417</v>
      </c>
      <c r="S22" s="94">
        <v>105000</v>
      </c>
      <c r="T22" s="61">
        <f xml:space="preserve"> S22*(F22/1000)</f>
        <v>1848000.0000000002</v>
      </c>
    </row>
    <row r="23" spans="1:96" s="64" customFormat="1" ht="13.5" customHeight="1" x14ac:dyDescent="0.25">
      <c r="A23" s="65" t="s">
        <v>646</v>
      </c>
      <c r="B23" s="57" t="s">
        <v>1318</v>
      </c>
      <c r="C23" s="57" t="s">
        <v>507</v>
      </c>
      <c r="D23" s="93" t="s">
        <v>237</v>
      </c>
      <c r="E23" s="189" t="s">
        <v>1319</v>
      </c>
      <c r="F23" s="92">
        <v>20000</v>
      </c>
      <c r="G23" s="65">
        <v>800</v>
      </c>
      <c r="H23" s="65" t="s">
        <v>1188</v>
      </c>
      <c r="I23" s="65" t="s">
        <v>1263</v>
      </c>
      <c r="J23" s="55">
        <v>45796</v>
      </c>
      <c r="K23" s="53" t="s">
        <v>609</v>
      </c>
      <c r="L23" s="166">
        <v>89009155546</v>
      </c>
      <c r="M23" s="53" t="s">
        <v>1330</v>
      </c>
      <c r="N23" s="212"/>
      <c r="O23" s="92">
        <v>20000</v>
      </c>
      <c r="P23" s="57"/>
      <c r="Q23" s="92"/>
      <c r="R23" s="168" t="s">
        <v>417</v>
      </c>
      <c r="S23" s="94">
        <v>41500</v>
      </c>
      <c r="T23" s="61">
        <f t="shared" ref="T23:T27" si="6" xml:space="preserve"> S23*(F23/1000)</f>
        <v>830000</v>
      </c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63"/>
      <c r="BX23" s="63"/>
      <c r="BY23" s="63"/>
      <c r="BZ23" s="63"/>
      <c r="CA23" s="63"/>
      <c r="CB23" s="63"/>
      <c r="CC23" s="63"/>
      <c r="CD23" s="63"/>
      <c r="CE23" s="63"/>
      <c r="CF23" s="63"/>
      <c r="CG23" s="63"/>
      <c r="CH23" s="63"/>
      <c r="CI23" s="63"/>
      <c r="CJ23" s="63"/>
      <c r="CK23" s="63"/>
      <c r="CL23" s="63"/>
      <c r="CM23" s="63"/>
      <c r="CN23" s="63"/>
      <c r="CO23" s="63"/>
      <c r="CP23" s="63"/>
      <c r="CQ23" s="63"/>
      <c r="CR23" s="63"/>
    </row>
    <row r="24" spans="1:96" s="63" customFormat="1" ht="13.5" customHeight="1" x14ac:dyDescent="0.25">
      <c r="A24" s="65" t="s">
        <v>790</v>
      </c>
      <c r="B24" s="57" t="s">
        <v>1312</v>
      </c>
      <c r="C24" s="57" t="s">
        <v>788</v>
      </c>
      <c r="D24" s="93" t="s">
        <v>157</v>
      </c>
      <c r="E24" s="254">
        <v>200125</v>
      </c>
      <c r="F24" s="92">
        <v>17600</v>
      </c>
      <c r="G24" s="65">
        <v>88</v>
      </c>
      <c r="H24" s="65" t="s">
        <v>789</v>
      </c>
      <c r="I24" s="65" t="s">
        <v>1263</v>
      </c>
      <c r="J24" s="55">
        <v>45796</v>
      </c>
      <c r="K24" s="53" t="s">
        <v>1316</v>
      </c>
      <c r="L24" s="166" t="s">
        <v>1314</v>
      </c>
      <c r="M24" s="53" t="s">
        <v>1315</v>
      </c>
      <c r="N24" s="199"/>
      <c r="O24" s="92"/>
      <c r="P24" s="57"/>
      <c r="Q24" s="92">
        <v>17600</v>
      </c>
      <c r="R24" s="53" t="s">
        <v>417</v>
      </c>
      <c r="S24" s="94">
        <v>81500</v>
      </c>
      <c r="T24" s="61">
        <f t="shared" si="6"/>
        <v>1434400</v>
      </c>
    </row>
    <row r="25" spans="1:96" s="63" customFormat="1" ht="13.5" customHeight="1" x14ac:dyDescent="0.25">
      <c r="A25" s="65" t="s">
        <v>311</v>
      </c>
      <c r="B25" s="57" t="s">
        <v>1333</v>
      </c>
      <c r="C25" s="57" t="s">
        <v>164</v>
      </c>
      <c r="D25" s="10" t="s">
        <v>306</v>
      </c>
      <c r="E25" s="167" t="s">
        <v>1326</v>
      </c>
      <c r="F25" s="57">
        <v>20125</v>
      </c>
      <c r="G25" s="65">
        <v>805</v>
      </c>
      <c r="H25" s="65" t="s">
        <v>165</v>
      </c>
      <c r="I25" s="55" t="s">
        <v>1263</v>
      </c>
      <c r="J25" s="55">
        <v>45796</v>
      </c>
      <c r="K25" s="53" t="s">
        <v>1332</v>
      </c>
      <c r="L25" s="207">
        <v>89125895413</v>
      </c>
      <c r="M25" s="53" t="s">
        <v>1331</v>
      </c>
      <c r="N25" s="244"/>
      <c r="O25" s="57">
        <v>20125</v>
      </c>
      <c r="P25" s="57"/>
      <c r="Q25" s="92"/>
      <c r="R25" s="168" t="s">
        <v>417</v>
      </c>
      <c r="S25" s="94">
        <v>41000</v>
      </c>
      <c r="T25" s="61">
        <f t="shared" si="6"/>
        <v>825125</v>
      </c>
    </row>
    <row r="26" spans="1:96" s="64" customFormat="1" ht="13.5" customHeight="1" x14ac:dyDescent="0.25">
      <c r="A26" s="65" t="s">
        <v>509</v>
      </c>
      <c r="B26" s="57" t="s">
        <v>1327</v>
      </c>
      <c r="C26" s="57" t="s">
        <v>507</v>
      </c>
      <c r="D26" s="93" t="s">
        <v>237</v>
      </c>
      <c r="E26" s="189" t="s">
        <v>1328</v>
      </c>
      <c r="F26" s="92">
        <v>20000</v>
      </c>
      <c r="G26" s="65">
        <v>800</v>
      </c>
      <c r="H26" s="65" t="s">
        <v>1188</v>
      </c>
      <c r="I26" s="65" t="s">
        <v>1263</v>
      </c>
      <c r="J26" s="55">
        <v>45798</v>
      </c>
      <c r="K26" s="53" t="s">
        <v>1144</v>
      </c>
      <c r="L26" s="166">
        <v>89115713730</v>
      </c>
      <c r="M26" s="53" t="s">
        <v>419</v>
      </c>
      <c r="N26" s="212"/>
      <c r="O26" s="92">
        <v>20000</v>
      </c>
      <c r="P26" s="57"/>
      <c r="Q26" s="92"/>
      <c r="R26" s="168" t="s">
        <v>417</v>
      </c>
      <c r="S26" s="94">
        <v>41500</v>
      </c>
      <c r="T26" s="61">
        <f t="shared" si="6"/>
        <v>830000</v>
      </c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F26" s="63"/>
      <c r="CG26" s="63"/>
      <c r="CH26" s="63"/>
      <c r="CI26" s="63"/>
      <c r="CJ26" s="63"/>
      <c r="CK26" s="63"/>
      <c r="CL26" s="63"/>
      <c r="CM26" s="63"/>
      <c r="CN26" s="63"/>
      <c r="CO26" s="63"/>
      <c r="CP26" s="63"/>
      <c r="CQ26" s="63"/>
      <c r="CR26" s="63"/>
    </row>
    <row r="27" spans="1:96" s="63" customFormat="1" ht="13.5" customHeight="1" x14ac:dyDescent="0.25">
      <c r="A27" s="65" t="s">
        <v>421</v>
      </c>
      <c r="B27" s="57" t="s">
        <v>1334</v>
      </c>
      <c r="C27" s="57" t="s">
        <v>164</v>
      </c>
      <c r="D27" s="10" t="s">
        <v>306</v>
      </c>
      <c r="E27" s="167" t="s">
        <v>1319</v>
      </c>
      <c r="F27" s="57">
        <v>20125</v>
      </c>
      <c r="G27" s="65">
        <v>805</v>
      </c>
      <c r="H27" s="65" t="s">
        <v>165</v>
      </c>
      <c r="I27" s="55" t="s">
        <v>1263</v>
      </c>
      <c r="J27" s="55">
        <v>45799</v>
      </c>
      <c r="K27" s="53" t="s">
        <v>1341</v>
      </c>
      <c r="L27" s="207">
        <v>89129859057</v>
      </c>
      <c r="M27" s="53" t="s">
        <v>1340</v>
      </c>
      <c r="N27" s="244"/>
      <c r="O27" s="57">
        <v>20125</v>
      </c>
      <c r="P27" s="57"/>
      <c r="Q27" s="92"/>
      <c r="R27" s="168" t="s">
        <v>417</v>
      </c>
      <c r="S27" s="94">
        <v>41000</v>
      </c>
      <c r="T27" s="61">
        <f t="shared" si="6"/>
        <v>825125</v>
      </c>
    </row>
    <row r="28" spans="1:96" s="63" customFormat="1" ht="13.5" customHeight="1" x14ac:dyDescent="0.25">
      <c r="A28" s="65" t="s">
        <v>489</v>
      </c>
      <c r="B28" s="57" t="s">
        <v>1344</v>
      </c>
      <c r="C28" s="57" t="s">
        <v>451</v>
      </c>
      <c r="D28" s="93" t="s">
        <v>222</v>
      </c>
      <c r="E28" s="56" t="s">
        <v>1075</v>
      </c>
      <c r="F28" s="92">
        <v>20000</v>
      </c>
      <c r="G28" s="65">
        <v>800</v>
      </c>
      <c r="H28" s="65" t="s">
        <v>165</v>
      </c>
      <c r="I28" s="65" t="s">
        <v>1263</v>
      </c>
      <c r="J28" s="55">
        <v>45799</v>
      </c>
      <c r="K28" s="251" t="s">
        <v>1343</v>
      </c>
      <c r="L28" s="248">
        <v>89129456970</v>
      </c>
      <c r="M28" s="62" t="s">
        <v>1342</v>
      </c>
      <c r="N28" s="162"/>
      <c r="O28" s="92">
        <v>20000</v>
      </c>
      <c r="P28" s="57"/>
      <c r="Q28" s="53"/>
      <c r="R28" s="53" t="s">
        <v>417</v>
      </c>
      <c r="S28" s="94">
        <v>43500</v>
      </c>
      <c r="T28" s="61">
        <f t="shared" ref="T28" si="7" xml:space="preserve"> S28*(F28/1000)</f>
        <v>870000</v>
      </c>
    </row>
    <row r="29" spans="1:96" s="63" customFormat="1" ht="13.5" customHeight="1" x14ac:dyDescent="0.25">
      <c r="A29" s="65" t="s">
        <v>790</v>
      </c>
      <c r="B29" s="57" t="s">
        <v>1335</v>
      </c>
      <c r="C29" s="57" t="s">
        <v>788</v>
      </c>
      <c r="D29" s="93" t="s">
        <v>157</v>
      </c>
      <c r="E29" s="189" t="s">
        <v>822</v>
      </c>
      <c r="F29" s="92">
        <v>17600</v>
      </c>
      <c r="G29" s="65">
        <v>88</v>
      </c>
      <c r="H29" s="65" t="s">
        <v>789</v>
      </c>
      <c r="I29" s="65" t="s">
        <v>1263</v>
      </c>
      <c r="J29" s="55">
        <v>45800</v>
      </c>
      <c r="K29" s="166" t="s">
        <v>1352</v>
      </c>
      <c r="L29" s="166" t="s">
        <v>1353</v>
      </c>
      <c r="M29" s="53" t="s">
        <v>1008</v>
      </c>
      <c r="N29" s="199"/>
      <c r="O29" s="92"/>
      <c r="P29" s="57"/>
      <c r="Q29" s="92">
        <v>17600</v>
      </c>
      <c r="R29" s="53" t="s">
        <v>417</v>
      </c>
      <c r="S29" s="94">
        <v>81500</v>
      </c>
      <c r="T29" s="61">
        <f t="shared" ref="T29" si="8" xml:space="preserve"> S29*(F29/1000)</f>
        <v>1434400</v>
      </c>
    </row>
    <row r="30" spans="1:96" s="64" customFormat="1" ht="13.5" customHeight="1" x14ac:dyDescent="0.25">
      <c r="A30" s="65" t="s">
        <v>509</v>
      </c>
      <c r="B30" s="57" t="s">
        <v>1338</v>
      </c>
      <c r="C30" s="57" t="s">
        <v>507</v>
      </c>
      <c r="D30" s="93" t="s">
        <v>237</v>
      </c>
      <c r="E30" s="189" t="s">
        <v>1339</v>
      </c>
      <c r="F30" s="92">
        <v>20000</v>
      </c>
      <c r="G30" s="65">
        <v>800</v>
      </c>
      <c r="H30" s="65" t="s">
        <v>1188</v>
      </c>
      <c r="I30" s="65" t="s">
        <v>1263</v>
      </c>
      <c r="J30" s="55">
        <v>45800</v>
      </c>
      <c r="K30" s="53" t="s">
        <v>587</v>
      </c>
      <c r="L30" s="207">
        <v>89212974613</v>
      </c>
      <c r="M30" s="53" t="s">
        <v>518</v>
      </c>
      <c r="N30" s="212"/>
      <c r="O30" s="92">
        <v>20000</v>
      </c>
      <c r="P30" s="57"/>
      <c r="Q30" s="92"/>
      <c r="R30" s="168" t="s">
        <v>417</v>
      </c>
      <c r="S30" s="94">
        <v>41500</v>
      </c>
      <c r="T30" s="61">
        <f t="shared" ref="T30" si="9" xml:space="preserve"> S30*(F30/1000)</f>
        <v>830000</v>
      </c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  <c r="CF30" s="63"/>
      <c r="CG30" s="63"/>
      <c r="CH30" s="63"/>
      <c r="CI30" s="63"/>
      <c r="CJ30" s="63"/>
      <c r="CK30" s="63"/>
      <c r="CL30" s="63"/>
      <c r="CM30" s="63"/>
      <c r="CN30" s="63"/>
      <c r="CO30" s="63"/>
      <c r="CP30" s="63"/>
      <c r="CQ30" s="63"/>
      <c r="CR30" s="63"/>
    </row>
    <row r="31" spans="1:96" s="63" customFormat="1" ht="13.5" customHeight="1" x14ac:dyDescent="0.25">
      <c r="A31" s="65" t="s">
        <v>1090</v>
      </c>
      <c r="B31" s="57" t="s">
        <v>1317</v>
      </c>
      <c r="C31" s="57" t="s">
        <v>451</v>
      </c>
      <c r="D31" s="93" t="s">
        <v>194</v>
      </c>
      <c r="E31" s="56" t="s">
        <v>473</v>
      </c>
      <c r="F31" s="92">
        <v>17600</v>
      </c>
      <c r="G31" s="65">
        <v>88</v>
      </c>
      <c r="H31" s="65" t="s">
        <v>471</v>
      </c>
      <c r="I31" s="65" t="s">
        <v>1263</v>
      </c>
      <c r="J31" s="55">
        <v>45800</v>
      </c>
      <c r="K31" s="98" t="s">
        <v>694</v>
      </c>
      <c r="L31" s="108" t="s">
        <v>695</v>
      </c>
      <c r="M31" s="98" t="s">
        <v>1202</v>
      </c>
      <c r="N31" s="162"/>
      <c r="O31" s="92"/>
      <c r="P31" s="92"/>
      <c r="Q31" s="92">
        <v>17600</v>
      </c>
      <c r="R31" s="53" t="s">
        <v>417</v>
      </c>
      <c r="S31" s="94">
        <v>105000</v>
      </c>
      <c r="T31" s="61">
        <f xml:space="preserve"> S31*(F31/1000)</f>
        <v>1848000.0000000002</v>
      </c>
    </row>
    <row r="32" spans="1:96" s="63" customFormat="1" ht="13.5" customHeight="1" x14ac:dyDescent="0.25">
      <c r="A32" s="65" t="s">
        <v>311</v>
      </c>
      <c r="B32" s="57" t="s">
        <v>1346</v>
      </c>
      <c r="C32" s="57" t="s">
        <v>164</v>
      </c>
      <c r="D32" s="10" t="s">
        <v>306</v>
      </c>
      <c r="E32" s="167" t="s">
        <v>1328</v>
      </c>
      <c r="F32" s="57">
        <v>20125</v>
      </c>
      <c r="G32" s="65">
        <v>805</v>
      </c>
      <c r="H32" s="65" t="s">
        <v>165</v>
      </c>
      <c r="I32" s="55" t="s">
        <v>1263</v>
      </c>
      <c r="J32" s="55">
        <v>45800</v>
      </c>
      <c r="K32" s="53" t="s">
        <v>1350</v>
      </c>
      <c r="L32" s="207">
        <v>89883062182</v>
      </c>
      <c r="M32" s="53" t="s">
        <v>1349</v>
      </c>
      <c r="N32" s="244"/>
      <c r="O32" s="57">
        <v>20125</v>
      </c>
      <c r="P32" s="57"/>
      <c r="Q32" s="92"/>
      <c r="R32" s="168" t="s">
        <v>417</v>
      </c>
      <c r="S32" s="94">
        <v>41000</v>
      </c>
      <c r="T32" s="61">
        <f t="shared" ref="T32" si="10" xml:space="preserve"> S32*(F32/1000)</f>
        <v>825125</v>
      </c>
    </row>
    <row r="33" spans="1:96" s="63" customFormat="1" ht="13.5" customHeight="1" x14ac:dyDescent="0.25">
      <c r="A33" s="65" t="s">
        <v>421</v>
      </c>
      <c r="B33" s="57" t="s">
        <v>1308</v>
      </c>
      <c r="C33" s="57" t="s">
        <v>451</v>
      </c>
      <c r="D33" s="93" t="s">
        <v>223</v>
      </c>
      <c r="E33" s="56" t="s">
        <v>453</v>
      </c>
      <c r="F33" s="92">
        <v>10000</v>
      </c>
      <c r="G33" s="65">
        <v>400</v>
      </c>
      <c r="H33" s="65" t="s">
        <v>452</v>
      </c>
      <c r="I33" s="65" t="s">
        <v>1263</v>
      </c>
      <c r="J33" s="55">
        <v>45803</v>
      </c>
      <c r="K33" s="53" t="s">
        <v>1357</v>
      </c>
      <c r="L33" s="207">
        <v>89995402889</v>
      </c>
      <c r="M33" s="53" t="s">
        <v>1356</v>
      </c>
      <c r="N33" s="162"/>
      <c r="O33" s="92"/>
      <c r="P33" s="92">
        <v>10000</v>
      </c>
      <c r="Q33" s="92"/>
      <c r="R33" s="53" t="s">
        <v>417</v>
      </c>
      <c r="S33" s="94">
        <v>250000</v>
      </c>
      <c r="T33" s="61">
        <f xml:space="preserve"> S33*(F33/1000)</f>
        <v>2500000</v>
      </c>
    </row>
    <row r="34" spans="1:96" s="63" customFormat="1" ht="13.5" customHeight="1" x14ac:dyDescent="0.25">
      <c r="A34" s="65" t="s">
        <v>421</v>
      </c>
      <c r="B34" s="57" t="s">
        <v>1308</v>
      </c>
      <c r="C34" s="57" t="s">
        <v>451</v>
      </c>
      <c r="D34" s="93" t="s">
        <v>194</v>
      </c>
      <c r="E34" s="56" t="s">
        <v>473</v>
      </c>
      <c r="F34" s="92">
        <v>9600</v>
      </c>
      <c r="G34" s="65">
        <v>48</v>
      </c>
      <c r="H34" s="65" t="s">
        <v>452</v>
      </c>
      <c r="I34" s="65" t="s">
        <v>1263</v>
      </c>
      <c r="J34" s="55">
        <v>45803</v>
      </c>
      <c r="K34" s="53" t="s">
        <v>1357</v>
      </c>
      <c r="L34" s="207">
        <v>89995402889</v>
      </c>
      <c r="M34" s="53" t="s">
        <v>1356</v>
      </c>
      <c r="N34" s="162"/>
      <c r="O34" s="92"/>
      <c r="P34" s="92"/>
      <c r="Q34" s="92">
        <v>9600</v>
      </c>
      <c r="R34" s="53" t="s">
        <v>417</v>
      </c>
      <c r="S34" s="94">
        <v>105000</v>
      </c>
      <c r="T34" s="61">
        <f xml:space="preserve"> S34*(F34/1000)</f>
        <v>1008000</v>
      </c>
    </row>
    <row r="35" spans="1:96" s="63" customFormat="1" ht="13.5" customHeight="1" x14ac:dyDescent="0.25">
      <c r="A35" s="65" t="s">
        <v>421</v>
      </c>
      <c r="B35" s="57" t="s">
        <v>1369</v>
      </c>
      <c r="C35" s="57" t="s">
        <v>451</v>
      </c>
      <c r="D35" s="93" t="s">
        <v>222</v>
      </c>
      <c r="E35" s="56" t="s">
        <v>1075</v>
      </c>
      <c r="F35" s="92">
        <v>20000</v>
      </c>
      <c r="G35" s="65">
        <v>800</v>
      </c>
      <c r="H35" s="65" t="s">
        <v>452</v>
      </c>
      <c r="I35" s="65" t="s">
        <v>1263</v>
      </c>
      <c r="J35" s="55">
        <v>45803</v>
      </c>
      <c r="K35" s="252" t="s">
        <v>1359</v>
      </c>
      <c r="L35" s="248">
        <v>89199519633</v>
      </c>
      <c r="M35" s="62" t="s">
        <v>1358</v>
      </c>
      <c r="N35" s="162"/>
      <c r="O35" s="92">
        <v>20000</v>
      </c>
      <c r="P35" s="57"/>
      <c r="Q35" s="53"/>
      <c r="R35" s="53" t="s">
        <v>417</v>
      </c>
      <c r="S35" s="94">
        <v>43500</v>
      </c>
      <c r="T35" s="61">
        <f t="shared" ref="T35" si="11" xml:space="preserve"> S35*(F35/1000)</f>
        <v>870000</v>
      </c>
    </row>
    <row r="36" spans="1:96" s="63" customFormat="1" ht="13.5" customHeight="1" x14ac:dyDescent="0.25">
      <c r="A36" s="65" t="s">
        <v>421</v>
      </c>
      <c r="B36" s="57" t="s">
        <v>1307</v>
      </c>
      <c r="C36" s="57" t="s">
        <v>730</v>
      </c>
      <c r="D36" s="93" t="s">
        <v>267</v>
      </c>
      <c r="E36" s="189" t="s">
        <v>1290</v>
      </c>
      <c r="F36" s="92">
        <v>17600</v>
      </c>
      <c r="G36" s="65">
        <v>88</v>
      </c>
      <c r="H36" s="65" t="s">
        <v>732</v>
      </c>
      <c r="I36" s="65" t="s">
        <v>1263</v>
      </c>
      <c r="J36" s="55">
        <v>45803</v>
      </c>
      <c r="K36" s="53" t="s">
        <v>1363</v>
      </c>
      <c r="L36" s="166">
        <v>89217202287</v>
      </c>
      <c r="M36" s="53" t="s">
        <v>1364</v>
      </c>
      <c r="N36" s="212"/>
      <c r="O36" s="53"/>
      <c r="P36" s="57"/>
      <c r="Q36" s="92">
        <v>17600</v>
      </c>
      <c r="R36" s="53" t="s">
        <v>417</v>
      </c>
      <c r="S36" s="94">
        <v>369000</v>
      </c>
      <c r="T36" s="61">
        <f xml:space="preserve"> S36*(F36/1000)</f>
        <v>6494400.0000000009</v>
      </c>
    </row>
    <row r="37" spans="1:96" s="63" customFormat="1" ht="13.5" customHeight="1" x14ac:dyDescent="0.25">
      <c r="A37" s="65" t="s">
        <v>421</v>
      </c>
      <c r="B37" s="57" t="s">
        <v>1347</v>
      </c>
      <c r="C37" s="57" t="s">
        <v>164</v>
      </c>
      <c r="D37" s="10" t="s">
        <v>306</v>
      </c>
      <c r="E37" s="167" t="s">
        <v>1348</v>
      </c>
      <c r="F37" s="57">
        <v>20125</v>
      </c>
      <c r="G37" s="65">
        <v>805</v>
      </c>
      <c r="H37" s="65" t="s">
        <v>165</v>
      </c>
      <c r="I37" s="55" t="s">
        <v>1263</v>
      </c>
      <c r="J37" s="55">
        <v>45804</v>
      </c>
      <c r="K37" s="53" t="s">
        <v>1361</v>
      </c>
      <c r="L37" s="207">
        <v>89221082355</v>
      </c>
      <c r="M37" s="53" t="s">
        <v>1362</v>
      </c>
      <c r="N37" s="244"/>
      <c r="O37" s="57">
        <v>20125</v>
      </c>
      <c r="P37" s="57"/>
      <c r="Q37" s="92"/>
      <c r="R37" s="168" t="s">
        <v>417</v>
      </c>
      <c r="S37" s="94">
        <v>41000</v>
      </c>
      <c r="T37" s="61">
        <f xml:space="preserve"> S37*(F37/1000)</f>
        <v>825125</v>
      </c>
    </row>
    <row r="38" spans="1:96" s="63" customFormat="1" ht="13.5" customHeight="1" x14ac:dyDescent="0.25">
      <c r="A38" s="253" t="s">
        <v>421</v>
      </c>
      <c r="B38" s="92" t="s">
        <v>1209</v>
      </c>
      <c r="C38" s="92" t="s">
        <v>507</v>
      </c>
      <c r="D38" s="93" t="s">
        <v>314</v>
      </c>
      <c r="E38" s="189" t="s">
        <v>1328</v>
      </c>
      <c r="F38" s="92">
        <v>8800</v>
      </c>
      <c r="G38" s="93">
        <v>44</v>
      </c>
      <c r="H38" s="65" t="s">
        <v>1188</v>
      </c>
      <c r="I38" s="65" t="s">
        <v>1263</v>
      </c>
      <c r="J38" s="55">
        <v>45803</v>
      </c>
      <c r="K38" s="99" t="s">
        <v>1096</v>
      </c>
      <c r="L38" s="105">
        <v>89222151396</v>
      </c>
      <c r="M38" s="62" t="s">
        <v>1095</v>
      </c>
      <c r="N38" s="205"/>
      <c r="O38" s="92"/>
      <c r="P38" s="92"/>
      <c r="Q38" s="92">
        <v>8800</v>
      </c>
      <c r="R38" s="168" t="s">
        <v>417</v>
      </c>
      <c r="S38" s="94">
        <v>85000</v>
      </c>
      <c r="T38" s="61">
        <f t="shared" ref="T38:T45" si="12" xml:space="preserve"> S38*(F38/1000)</f>
        <v>748000.00000000012</v>
      </c>
    </row>
    <row r="39" spans="1:96" s="63" customFormat="1" ht="13.5" customHeight="1" x14ac:dyDescent="0.25">
      <c r="A39" s="253" t="s">
        <v>421</v>
      </c>
      <c r="B39" s="92" t="s">
        <v>1209</v>
      </c>
      <c r="C39" s="92" t="s">
        <v>507</v>
      </c>
      <c r="D39" s="93" t="s">
        <v>314</v>
      </c>
      <c r="E39" s="189" t="s">
        <v>1345</v>
      </c>
      <c r="F39" s="92">
        <v>8800</v>
      </c>
      <c r="G39" s="93">
        <v>44</v>
      </c>
      <c r="H39" s="65" t="s">
        <v>1188</v>
      </c>
      <c r="I39" s="65" t="s">
        <v>1263</v>
      </c>
      <c r="J39" s="55">
        <v>45803</v>
      </c>
      <c r="K39" s="99" t="s">
        <v>1096</v>
      </c>
      <c r="L39" s="105">
        <v>89222151396</v>
      </c>
      <c r="M39" s="62" t="s">
        <v>1095</v>
      </c>
      <c r="N39" s="205"/>
      <c r="O39" s="92"/>
      <c r="P39" s="92"/>
      <c r="Q39" s="92">
        <v>8800</v>
      </c>
      <c r="R39" s="168" t="s">
        <v>417</v>
      </c>
      <c r="S39" s="94">
        <v>85000</v>
      </c>
      <c r="T39" s="61">
        <f t="shared" si="12"/>
        <v>748000.00000000012</v>
      </c>
    </row>
    <row r="40" spans="1:96" s="63" customFormat="1" ht="13.5" customHeight="1" x14ac:dyDescent="0.25">
      <c r="A40" s="65" t="s">
        <v>1371</v>
      </c>
      <c r="B40" s="57" t="s">
        <v>1372</v>
      </c>
      <c r="C40" s="57" t="s">
        <v>164</v>
      </c>
      <c r="D40" s="10" t="s">
        <v>324</v>
      </c>
      <c r="E40" s="56" t="s">
        <v>1373</v>
      </c>
      <c r="F40" s="57">
        <v>9500</v>
      </c>
      <c r="G40" s="65">
        <v>10</v>
      </c>
      <c r="H40" s="65" t="s">
        <v>1374</v>
      </c>
      <c r="I40" s="55" t="s">
        <v>1263</v>
      </c>
      <c r="J40" s="55">
        <v>45804</v>
      </c>
      <c r="K40" s="53"/>
      <c r="L40" s="207"/>
      <c r="M40" s="53"/>
      <c r="N40" s="163" t="s">
        <v>1389</v>
      </c>
      <c r="O40" s="53"/>
      <c r="P40" s="57"/>
      <c r="Q40" s="57">
        <v>9500</v>
      </c>
      <c r="R40" s="248" t="s">
        <v>417</v>
      </c>
      <c r="S40" s="94">
        <v>713900</v>
      </c>
      <c r="T40" s="61">
        <f xml:space="preserve"> S40*(F40/1000)</f>
        <v>6782050</v>
      </c>
    </row>
    <row r="41" spans="1:96" s="63" customFormat="1" ht="13.5" customHeight="1" x14ac:dyDescent="0.25">
      <c r="A41" s="65" t="s">
        <v>1371</v>
      </c>
      <c r="B41" s="57" t="s">
        <v>1372</v>
      </c>
      <c r="C41" s="57" t="s">
        <v>164</v>
      </c>
      <c r="D41" s="10" t="s">
        <v>324</v>
      </c>
      <c r="E41" s="56" t="s">
        <v>1373</v>
      </c>
      <c r="F41" s="57">
        <v>9500</v>
      </c>
      <c r="G41" s="65">
        <v>10</v>
      </c>
      <c r="H41" s="65" t="s">
        <v>1374</v>
      </c>
      <c r="I41" s="55" t="s">
        <v>1263</v>
      </c>
      <c r="J41" s="55">
        <v>45804</v>
      </c>
      <c r="K41" s="53"/>
      <c r="L41" s="207"/>
      <c r="M41" s="53"/>
      <c r="N41" s="163" t="s">
        <v>1390</v>
      </c>
      <c r="O41" s="53"/>
      <c r="P41" s="57"/>
      <c r="Q41" s="57">
        <v>9500</v>
      </c>
      <c r="R41" s="248" t="s">
        <v>417</v>
      </c>
      <c r="S41" s="94">
        <v>713900</v>
      </c>
      <c r="T41" s="61">
        <f xml:space="preserve"> S41*(F41/1000)</f>
        <v>6782050</v>
      </c>
    </row>
    <row r="42" spans="1:96" s="63" customFormat="1" ht="13.5" customHeight="1" x14ac:dyDescent="0.25">
      <c r="A42" s="65" t="s">
        <v>421</v>
      </c>
      <c r="B42" s="57" t="s">
        <v>1268</v>
      </c>
      <c r="C42" s="57" t="s">
        <v>164</v>
      </c>
      <c r="D42" s="10" t="s">
        <v>306</v>
      </c>
      <c r="E42" s="167" t="s">
        <v>1266</v>
      </c>
      <c r="F42" s="57">
        <v>20125</v>
      </c>
      <c r="G42" s="65">
        <v>805</v>
      </c>
      <c r="H42" s="65" t="s">
        <v>166</v>
      </c>
      <c r="I42" s="55" t="s">
        <v>1263</v>
      </c>
      <c r="J42" s="55">
        <v>45804</v>
      </c>
      <c r="K42" s="53" t="s">
        <v>1355</v>
      </c>
      <c r="L42" s="207">
        <v>89676377429</v>
      </c>
      <c r="M42" s="53" t="s">
        <v>1354</v>
      </c>
      <c r="N42" s="244"/>
      <c r="O42" s="57">
        <v>20125</v>
      </c>
      <c r="P42" s="57"/>
      <c r="Q42" s="92"/>
      <c r="R42" s="168" t="s">
        <v>417</v>
      </c>
      <c r="S42" s="94">
        <v>41000</v>
      </c>
      <c r="T42" s="61">
        <f t="shared" si="12"/>
        <v>825125</v>
      </c>
    </row>
    <row r="43" spans="1:96" s="63" customFormat="1" ht="13.5" customHeight="1" x14ac:dyDescent="0.25">
      <c r="A43" s="65" t="s">
        <v>297</v>
      </c>
      <c r="B43" s="57" t="s">
        <v>629</v>
      </c>
      <c r="C43" s="57" t="s">
        <v>630</v>
      </c>
      <c r="D43" s="93" t="s">
        <v>194</v>
      </c>
      <c r="E43" s="56" t="s">
        <v>1212</v>
      </c>
      <c r="F43" s="92">
        <v>16000</v>
      </c>
      <c r="G43" s="65">
        <v>80</v>
      </c>
      <c r="H43" s="65" t="s">
        <v>631</v>
      </c>
      <c r="I43" s="65" t="s">
        <v>1263</v>
      </c>
      <c r="J43" s="55">
        <v>45805</v>
      </c>
      <c r="K43" s="99" t="s">
        <v>572</v>
      </c>
      <c r="L43" s="105">
        <v>89115583359</v>
      </c>
      <c r="M43" s="62" t="s">
        <v>571</v>
      </c>
      <c r="N43" s="162" t="s">
        <v>1385</v>
      </c>
      <c r="O43" s="92"/>
      <c r="P43" s="57"/>
      <c r="Q43" s="92">
        <v>16000</v>
      </c>
      <c r="R43" s="53" t="s">
        <v>417</v>
      </c>
      <c r="S43" s="94">
        <v>105000</v>
      </c>
      <c r="T43" s="61">
        <f xml:space="preserve"> S43*(F43/1000)</f>
        <v>1680000</v>
      </c>
    </row>
    <row r="44" spans="1:96" s="63" customFormat="1" ht="13.5" customHeight="1" x14ac:dyDescent="0.25">
      <c r="A44" s="65" t="s">
        <v>790</v>
      </c>
      <c r="B44" s="57" t="s">
        <v>1336</v>
      </c>
      <c r="C44" s="57" t="s">
        <v>788</v>
      </c>
      <c r="D44" s="93" t="s">
        <v>157</v>
      </c>
      <c r="E44" s="189" t="s">
        <v>951</v>
      </c>
      <c r="F44" s="92">
        <v>17600</v>
      </c>
      <c r="G44" s="65">
        <v>88</v>
      </c>
      <c r="H44" s="65" t="s">
        <v>789</v>
      </c>
      <c r="I44" s="65" t="s">
        <v>1263</v>
      </c>
      <c r="J44" s="55">
        <v>45805</v>
      </c>
      <c r="K44" s="53" t="s">
        <v>1360</v>
      </c>
      <c r="L44" s="166" t="s">
        <v>885</v>
      </c>
      <c r="M44" s="53" t="s">
        <v>1063</v>
      </c>
      <c r="N44" s="199"/>
      <c r="O44" s="92"/>
      <c r="P44" s="57"/>
      <c r="Q44" s="92">
        <v>17600</v>
      </c>
      <c r="R44" s="53" t="s">
        <v>417</v>
      </c>
      <c r="S44" s="94">
        <v>81500</v>
      </c>
      <c r="T44" s="61">
        <f t="shared" si="12"/>
        <v>1434400</v>
      </c>
    </row>
    <row r="45" spans="1:96" s="64" customFormat="1" ht="13.5" customHeight="1" x14ac:dyDescent="0.25">
      <c r="A45" s="65" t="s">
        <v>311</v>
      </c>
      <c r="B45" s="57" t="s">
        <v>1365</v>
      </c>
      <c r="C45" s="57" t="s">
        <v>507</v>
      </c>
      <c r="D45" s="93" t="s">
        <v>237</v>
      </c>
      <c r="E45" s="189" t="s">
        <v>1366</v>
      </c>
      <c r="F45" s="92">
        <v>20000</v>
      </c>
      <c r="G45" s="65">
        <v>800</v>
      </c>
      <c r="H45" s="65" t="s">
        <v>1188</v>
      </c>
      <c r="I45" s="65" t="s">
        <v>1263</v>
      </c>
      <c r="J45" s="55">
        <v>45805</v>
      </c>
      <c r="K45" s="53" t="s">
        <v>1378</v>
      </c>
      <c r="L45" s="207">
        <v>89109924368</v>
      </c>
      <c r="M45" s="53" t="s">
        <v>1377</v>
      </c>
      <c r="N45" s="212"/>
      <c r="O45" s="92">
        <v>20000</v>
      </c>
      <c r="P45" s="57"/>
      <c r="Q45" s="92"/>
      <c r="R45" s="168" t="s">
        <v>417</v>
      </c>
      <c r="S45" s="94">
        <v>41500</v>
      </c>
      <c r="T45" s="61">
        <f t="shared" si="12"/>
        <v>830000</v>
      </c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  <c r="BI45" s="63"/>
      <c r="BJ45" s="63"/>
      <c r="BK45" s="63"/>
      <c r="BL45" s="63"/>
      <c r="BM45" s="63"/>
      <c r="BN45" s="63"/>
      <c r="BO45" s="63"/>
      <c r="BP45" s="63"/>
      <c r="BQ45" s="63"/>
      <c r="BR45" s="63"/>
      <c r="BS45" s="63"/>
      <c r="BT45" s="63"/>
      <c r="BU45" s="63"/>
      <c r="BV45" s="63"/>
      <c r="BW45" s="63"/>
      <c r="BX45" s="63"/>
      <c r="BY45" s="63"/>
      <c r="BZ45" s="63"/>
      <c r="CA45" s="63"/>
      <c r="CB45" s="63"/>
      <c r="CC45" s="63"/>
      <c r="CD45" s="63"/>
      <c r="CE45" s="63"/>
      <c r="CF45" s="63"/>
      <c r="CG45" s="63"/>
      <c r="CH45" s="63"/>
      <c r="CI45" s="63"/>
      <c r="CJ45" s="63"/>
      <c r="CK45" s="63"/>
      <c r="CL45" s="63"/>
      <c r="CM45" s="63"/>
      <c r="CN45" s="63"/>
      <c r="CO45" s="63"/>
      <c r="CP45" s="63"/>
      <c r="CQ45" s="63"/>
      <c r="CR45" s="63"/>
    </row>
    <row r="46" spans="1:96" s="63" customFormat="1" ht="13.5" customHeight="1" x14ac:dyDescent="0.25">
      <c r="A46" s="65" t="s">
        <v>316</v>
      </c>
      <c r="B46" s="57" t="s">
        <v>1382</v>
      </c>
      <c r="C46" s="57" t="s">
        <v>451</v>
      </c>
      <c r="D46" s="93" t="s">
        <v>222</v>
      </c>
      <c r="E46" s="56" t="s">
        <v>1075</v>
      </c>
      <c r="F46" s="92">
        <v>20000</v>
      </c>
      <c r="G46" s="65">
        <v>800</v>
      </c>
      <c r="H46" s="65" t="s">
        <v>165</v>
      </c>
      <c r="I46" s="65" t="s">
        <v>1263</v>
      </c>
      <c r="J46" s="55">
        <v>45806</v>
      </c>
      <c r="K46" s="258" t="s">
        <v>1381</v>
      </c>
      <c r="L46" s="248">
        <v>89643781970</v>
      </c>
      <c r="M46" s="62" t="s">
        <v>1380</v>
      </c>
      <c r="N46" s="162"/>
      <c r="O46" s="92">
        <v>20000</v>
      </c>
      <c r="P46" s="57"/>
      <c r="Q46" s="53"/>
      <c r="R46" s="53" t="s">
        <v>417</v>
      </c>
      <c r="S46" s="94">
        <v>43500</v>
      </c>
      <c r="T46" s="61">
        <f xml:space="preserve"> S46*(F46/1000)</f>
        <v>870000</v>
      </c>
    </row>
    <row r="47" spans="1:96" s="63" customFormat="1" ht="13.5" customHeight="1" x14ac:dyDescent="0.25">
      <c r="A47" s="65" t="s">
        <v>1375</v>
      </c>
      <c r="B47" s="57" t="s">
        <v>1367</v>
      </c>
      <c r="C47" s="57" t="s">
        <v>164</v>
      </c>
      <c r="D47" s="10" t="s">
        <v>306</v>
      </c>
      <c r="E47" s="167" t="s">
        <v>1368</v>
      </c>
      <c r="F47" s="57">
        <v>20125</v>
      </c>
      <c r="G47" s="65">
        <v>805</v>
      </c>
      <c r="H47" s="65" t="s">
        <v>165</v>
      </c>
      <c r="I47" s="65" t="s">
        <v>1263</v>
      </c>
      <c r="J47" s="55">
        <v>45806</v>
      </c>
      <c r="K47" s="53" t="s">
        <v>1387</v>
      </c>
      <c r="L47" s="207">
        <v>89197101726</v>
      </c>
      <c r="M47" s="53" t="s">
        <v>1388</v>
      </c>
      <c r="N47" s="259"/>
      <c r="O47" s="57">
        <v>20125</v>
      </c>
      <c r="P47" s="57"/>
      <c r="Q47" s="92"/>
      <c r="R47" s="168" t="s">
        <v>417</v>
      </c>
      <c r="S47" s="94">
        <v>41000</v>
      </c>
      <c r="T47" s="61">
        <f t="shared" ref="T47" si="13" xml:space="preserve"> S47*(F47/1000)</f>
        <v>825125</v>
      </c>
    </row>
    <row r="48" spans="1:96" ht="30.75" thickBot="1" x14ac:dyDescent="0.35">
      <c r="A48" s="159" t="s">
        <v>15</v>
      </c>
      <c r="B48" s="101">
        <f>SUM($F$5:$F$108)/1000</f>
        <v>745.45</v>
      </c>
      <c r="C48" s="54" t="s">
        <v>14</v>
      </c>
      <c r="S48" s="235"/>
      <c r="T48" s="235">
        <f>SUM(T5:T47)</f>
        <v>61296310</v>
      </c>
    </row>
    <row r="49" spans="1:7" ht="18" customHeight="1" x14ac:dyDescent="0.3">
      <c r="A49" s="110" t="s">
        <v>16</v>
      </c>
      <c r="B49" s="102">
        <f>$B$50+$B$51+$B$52</f>
        <v>745.45</v>
      </c>
      <c r="C49" s="1" t="s">
        <v>14</v>
      </c>
      <c r="E49" s="175"/>
      <c r="F49" s="154" t="s">
        <v>321</v>
      </c>
      <c r="G49" s="154"/>
    </row>
    <row r="50" spans="1:7" ht="18.75" x14ac:dyDescent="0.3">
      <c r="A50" s="111" t="s">
        <v>17</v>
      </c>
      <c r="B50" s="100">
        <f>SUM($O$5:$O$108)/1000</f>
        <v>549.25</v>
      </c>
      <c r="C50" s="2" t="s">
        <v>14</v>
      </c>
      <c r="D50" s="184"/>
      <c r="E50" s="188"/>
      <c r="F50" s="154" t="s">
        <v>319</v>
      </c>
      <c r="G50" s="154"/>
    </row>
    <row r="51" spans="1:7" ht="18.75" x14ac:dyDescent="0.3">
      <c r="A51" s="111" t="s">
        <v>153</v>
      </c>
      <c r="B51" s="100">
        <f>SUM($P$5:$P$108)/1000</f>
        <v>22</v>
      </c>
      <c r="C51" s="2" t="s">
        <v>14</v>
      </c>
      <c r="E51" s="177"/>
      <c r="F51" s="154" t="s">
        <v>318</v>
      </c>
      <c r="G51" s="154"/>
    </row>
    <row r="52" spans="1:7" ht="20.25" customHeight="1" x14ac:dyDescent="0.3">
      <c r="A52" s="111" t="s">
        <v>24</v>
      </c>
      <c r="B52" s="103">
        <f>SUM($Q$5:$Q$108)/1000</f>
        <v>174.2</v>
      </c>
      <c r="C52" s="2" t="s">
        <v>14</v>
      </c>
      <c r="E52" s="178"/>
      <c r="F52" s="154" t="s">
        <v>325</v>
      </c>
    </row>
    <row r="53" spans="1:7" ht="30" customHeight="1" thickBot="1" x14ac:dyDescent="0.35">
      <c r="A53" s="112" t="s">
        <v>20</v>
      </c>
      <c r="B53" s="104">
        <f>$B$48-$B$49</f>
        <v>0</v>
      </c>
      <c r="C53" s="3" t="s">
        <v>14</v>
      </c>
      <c r="E53" s="250"/>
      <c r="F53" s="154" t="s">
        <v>1351</v>
      </c>
    </row>
  </sheetData>
  <sheetProtection formatCells="0" formatColumns="0" formatRows="0" insertColumns="0" insertRows="0" insertHyperlinks="0" deleteColumns="0" deleteRows="0" sort="0" autoFilter="0" pivotTables="0"/>
  <autoFilter ref="D1:D53" xr:uid="{00000000-0009-0000-0000-000007000000}"/>
  <mergeCells count="13">
    <mergeCell ref="S2:S3"/>
    <mergeCell ref="H2:H3"/>
    <mergeCell ref="I2:I3"/>
    <mergeCell ref="J2:J3"/>
    <mergeCell ref="K2:M2"/>
    <mergeCell ref="O2:Q2"/>
    <mergeCell ref="R2:R3"/>
    <mergeCell ref="F2:G2"/>
    <mergeCell ref="A2:A3"/>
    <mergeCell ref="B2:B3"/>
    <mergeCell ref="C2:C3"/>
    <mergeCell ref="D2:D3"/>
    <mergeCell ref="E2:E3"/>
  </mergeCells>
  <phoneticPr fontId="119" type="noConversion"/>
  <dataValidations count="2">
    <dataValidation type="list" allowBlank="1" showInputMessage="1" showErrorMessage="1" sqref="D48" xr:uid="{00000000-0002-0000-0700-000000000000}">
      <formula1>$E$48:$E$64</formula1>
    </dataValidation>
    <dataValidation type="list" allowBlank="1" showInputMessage="1" showErrorMessage="1" sqref="D4" xr:uid="{00000000-0002-0000-0700-000001000000}">
      <formula1>$E$2:$E$119</formula1>
    </dataValidation>
  </dataValidations>
  <pageMargins left="0.7" right="0.7" top="0.75" bottom="0.75" header="0.3" footer="0.3"/>
  <pageSetup paperSize="9" scale="37" orientation="landscape" r:id="rId1"/>
  <colBreaks count="1" manualBreakCount="1">
    <brk id="1" max="87" man="1"/>
  </col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2000000}">
          <x14:formula1>
            <xm:f>справочник!$E$2:$E$174</xm:f>
          </x14:formula1>
          <xm:sqref>D61</xm:sqref>
        </x14:dataValidation>
        <x14:dataValidation type="list" allowBlank="1" showInputMessage="1" showErrorMessage="1" xr:uid="{00000000-0002-0000-0700-000003000000}">
          <x14:formula1>
            <xm:f>справочник!$E$2:$E$177</xm:f>
          </x14:formula1>
          <xm:sqref>D5:D47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72"/>
  <sheetViews>
    <sheetView zoomScale="70" zoomScaleNormal="70" zoomScaleSheetLayoutView="70" workbookViewId="0">
      <pane ySplit="3" topLeftCell="A4" activePane="bottomLeft" state="frozen"/>
      <selection pane="bottomLeft" activeCell="C20" sqref="C20:S21"/>
    </sheetView>
  </sheetViews>
  <sheetFormatPr defaultRowHeight="15" x14ac:dyDescent="0.25"/>
  <cols>
    <col min="1" max="1" width="16.5703125" style="113" customWidth="1"/>
    <col min="2" max="2" width="23.28515625" customWidth="1"/>
    <col min="3" max="3" width="17.7109375" customWidth="1"/>
    <col min="4" max="4" width="43" customWidth="1"/>
    <col min="5" max="5" width="17.5703125" style="174" customWidth="1"/>
    <col min="6" max="6" width="13" bestFit="1" customWidth="1"/>
    <col min="7" max="7" width="19.140625" customWidth="1"/>
    <col min="8" max="8" width="19.5703125" customWidth="1"/>
    <col min="9" max="9" width="23" customWidth="1"/>
    <col min="10" max="10" width="18" customWidth="1"/>
    <col min="11" max="11" width="23" customWidth="1"/>
    <col min="12" max="12" width="24.85546875" customWidth="1"/>
    <col min="13" max="13" width="26.85546875" customWidth="1"/>
    <col min="14" max="14" width="26.42578125" style="140" customWidth="1"/>
    <col min="15" max="15" width="9.85546875" customWidth="1"/>
    <col min="16" max="16" width="10.42578125" customWidth="1"/>
    <col min="17" max="17" width="10.28515625" customWidth="1"/>
    <col min="18" max="18" width="7.5703125" customWidth="1"/>
    <col min="19" max="19" width="13.85546875" customWidth="1"/>
    <col min="20" max="20" width="17.28515625" customWidth="1"/>
    <col min="21" max="21" width="15.42578125" customWidth="1"/>
  </cols>
  <sheetData>
    <row r="1" spans="1:20" s="59" customFormat="1" ht="17.25" x14ac:dyDescent="0.3">
      <c r="A1" s="109"/>
      <c r="B1" s="58" t="s">
        <v>152</v>
      </c>
      <c r="C1" s="66">
        <v>45748</v>
      </c>
      <c r="D1" s="58"/>
      <c r="E1" s="173"/>
      <c r="F1" s="58"/>
      <c r="H1" s="58"/>
      <c r="I1" s="58"/>
      <c r="J1" s="58"/>
      <c r="K1" s="60"/>
      <c r="L1" s="60"/>
      <c r="M1" s="60"/>
      <c r="N1" s="106"/>
      <c r="O1" s="60"/>
      <c r="P1" s="60"/>
      <c r="Q1" s="60"/>
    </row>
    <row r="2" spans="1:20" ht="25.5" customHeight="1" x14ac:dyDescent="0.25">
      <c r="A2" s="404" t="s">
        <v>159</v>
      </c>
      <c r="B2" s="406" t="s">
        <v>18</v>
      </c>
      <c r="C2" s="408" t="s">
        <v>156</v>
      </c>
      <c r="D2" s="410" t="s">
        <v>4</v>
      </c>
      <c r="E2" s="412" t="s">
        <v>5</v>
      </c>
      <c r="F2" s="402" t="s">
        <v>0</v>
      </c>
      <c r="G2" s="403"/>
      <c r="H2" s="388" t="s">
        <v>2</v>
      </c>
      <c r="I2" s="390" t="s">
        <v>3</v>
      </c>
      <c r="J2" s="392" t="s">
        <v>6</v>
      </c>
      <c r="K2" s="394" t="s">
        <v>7</v>
      </c>
      <c r="L2" s="395"/>
      <c r="M2" s="396"/>
      <c r="N2" s="107" t="s">
        <v>9</v>
      </c>
      <c r="O2" s="397" t="s">
        <v>12</v>
      </c>
      <c r="P2" s="398"/>
      <c r="Q2" s="399"/>
      <c r="R2" s="400" t="s">
        <v>151</v>
      </c>
      <c r="S2" s="387" t="s">
        <v>161</v>
      </c>
      <c r="T2" s="95"/>
    </row>
    <row r="3" spans="1:20" x14ac:dyDescent="0.25">
      <c r="A3" s="405"/>
      <c r="B3" s="407"/>
      <c r="C3" s="409"/>
      <c r="D3" s="411"/>
      <c r="E3" s="413"/>
      <c r="F3" s="149" t="s">
        <v>1</v>
      </c>
      <c r="G3" s="149" t="s">
        <v>155</v>
      </c>
      <c r="H3" s="389"/>
      <c r="I3" s="391"/>
      <c r="J3" s="393"/>
      <c r="K3" s="233" t="s">
        <v>8</v>
      </c>
      <c r="L3" s="233" t="s">
        <v>21</v>
      </c>
      <c r="M3" s="233" t="s">
        <v>10</v>
      </c>
      <c r="N3" s="150" t="s">
        <v>1038</v>
      </c>
      <c r="O3" s="151" t="s">
        <v>13</v>
      </c>
      <c r="P3" s="151" t="s">
        <v>154</v>
      </c>
      <c r="Q3" s="152" t="s">
        <v>23</v>
      </c>
      <c r="R3" s="401"/>
      <c r="S3" s="387"/>
      <c r="T3" s="153" t="s">
        <v>162</v>
      </c>
    </row>
    <row r="4" spans="1:20" s="63" customFormat="1" ht="13.5" customHeight="1" x14ac:dyDescent="0.25">
      <c r="A4" s="65" t="s">
        <v>1039</v>
      </c>
      <c r="B4" s="57" t="s">
        <v>867</v>
      </c>
      <c r="C4" s="57" t="s">
        <v>164</v>
      </c>
      <c r="D4" s="10" t="s">
        <v>866</v>
      </c>
      <c r="E4" s="167" t="s">
        <v>822</v>
      </c>
      <c r="F4" s="57">
        <v>7400</v>
      </c>
      <c r="G4" s="65">
        <v>40</v>
      </c>
      <c r="H4" s="65" t="s">
        <v>631</v>
      </c>
      <c r="I4" s="65" t="s">
        <v>1114</v>
      </c>
      <c r="J4" s="55">
        <v>45748</v>
      </c>
      <c r="K4" s="99" t="s">
        <v>572</v>
      </c>
      <c r="L4" s="105">
        <v>89115583359</v>
      </c>
      <c r="M4" s="62" t="s">
        <v>571</v>
      </c>
      <c r="N4" s="179" t="s">
        <v>1113</v>
      </c>
      <c r="O4" s="53"/>
      <c r="P4" s="53"/>
      <c r="Q4" s="57">
        <v>7400</v>
      </c>
      <c r="R4" s="168" t="s">
        <v>417</v>
      </c>
      <c r="S4" s="94">
        <v>125000</v>
      </c>
      <c r="T4" s="61">
        <f xml:space="preserve"> S4*(F4/1000)</f>
        <v>925000</v>
      </c>
    </row>
    <row r="5" spans="1:20" s="63" customFormat="1" ht="13.5" customHeight="1" x14ac:dyDescent="0.25">
      <c r="A5" s="65" t="s">
        <v>1039</v>
      </c>
      <c r="B5" s="57" t="s">
        <v>867</v>
      </c>
      <c r="C5" s="57" t="s">
        <v>164</v>
      </c>
      <c r="D5" s="10" t="s">
        <v>866</v>
      </c>
      <c r="E5" s="167" t="s">
        <v>877</v>
      </c>
      <c r="F5" s="57">
        <v>7400</v>
      </c>
      <c r="G5" s="65">
        <v>40</v>
      </c>
      <c r="H5" s="65" t="s">
        <v>631</v>
      </c>
      <c r="I5" s="65" t="s">
        <v>1114</v>
      </c>
      <c r="J5" s="55">
        <v>45748</v>
      </c>
      <c r="K5" s="99" t="s">
        <v>572</v>
      </c>
      <c r="L5" s="105">
        <v>89115583359</v>
      </c>
      <c r="M5" s="62" t="s">
        <v>571</v>
      </c>
      <c r="N5" s="179" t="s">
        <v>1113</v>
      </c>
      <c r="O5" s="53"/>
      <c r="P5" s="53"/>
      <c r="Q5" s="57">
        <v>7400</v>
      </c>
      <c r="R5" s="168" t="s">
        <v>417</v>
      </c>
      <c r="S5" s="94">
        <v>125000</v>
      </c>
      <c r="T5" s="61">
        <f t="shared" ref="T5:T13" si="0" xml:space="preserve"> S5*(F5/1000)</f>
        <v>925000</v>
      </c>
    </row>
    <row r="6" spans="1:20" s="63" customFormat="1" ht="13.5" customHeight="1" x14ac:dyDescent="0.25">
      <c r="A6" s="65" t="s">
        <v>311</v>
      </c>
      <c r="B6" s="57" t="s">
        <v>1103</v>
      </c>
      <c r="C6" s="57" t="s">
        <v>507</v>
      </c>
      <c r="D6" s="93" t="s">
        <v>237</v>
      </c>
      <c r="E6" s="189" t="s">
        <v>1104</v>
      </c>
      <c r="F6" s="92">
        <v>20000</v>
      </c>
      <c r="G6" s="65">
        <v>800</v>
      </c>
      <c r="H6" s="65" t="s">
        <v>165</v>
      </c>
      <c r="I6" s="65" t="s">
        <v>1114</v>
      </c>
      <c r="J6" s="55">
        <v>45749</v>
      </c>
      <c r="K6" s="53" t="s">
        <v>1109</v>
      </c>
      <c r="L6" s="207">
        <v>89995113877</v>
      </c>
      <c r="M6" s="53" t="s">
        <v>1108</v>
      </c>
      <c r="N6" s="139"/>
      <c r="O6" s="92">
        <v>20000</v>
      </c>
      <c r="P6" s="57"/>
      <c r="Q6" s="53"/>
      <c r="R6" s="168" t="s">
        <v>417</v>
      </c>
      <c r="S6" s="94">
        <v>41500</v>
      </c>
      <c r="T6" s="61">
        <f xml:space="preserve"> S6*(F6/1000)</f>
        <v>830000</v>
      </c>
    </row>
    <row r="7" spans="1:20" s="63" customFormat="1" ht="13.5" customHeight="1" x14ac:dyDescent="0.25">
      <c r="A7" s="65" t="s">
        <v>1094</v>
      </c>
      <c r="B7" s="57" t="s">
        <v>1078</v>
      </c>
      <c r="C7" s="57" t="s">
        <v>164</v>
      </c>
      <c r="D7" s="10" t="s">
        <v>306</v>
      </c>
      <c r="E7" s="167" t="s">
        <v>1076</v>
      </c>
      <c r="F7" s="57">
        <v>20125</v>
      </c>
      <c r="G7" s="65">
        <v>805</v>
      </c>
      <c r="H7" s="65" t="s">
        <v>165</v>
      </c>
      <c r="I7" s="65" t="s">
        <v>1114</v>
      </c>
      <c r="J7" s="55">
        <v>45749</v>
      </c>
      <c r="K7" s="99" t="s">
        <v>1107</v>
      </c>
      <c r="L7" s="105">
        <v>89193878020</v>
      </c>
      <c r="M7" s="62" t="s">
        <v>1106</v>
      </c>
      <c r="N7" s="179"/>
      <c r="O7" s="57">
        <v>20125</v>
      </c>
      <c r="P7" s="53"/>
      <c r="Q7" s="53"/>
      <c r="R7" s="168" t="s">
        <v>417</v>
      </c>
      <c r="S7" s="94">
        <v>41000</v>
      </c>
      <c r="T7" s="61">
        <f t="shared" si="0"/>
        <v>825125</v>
      </c>
    </row>
    <row r="8" spans="1:20" s="63" customFormat="1" ht="13.5" customHeight="1" x14ac:dyDescent="0.25">
      <c r="A8" s="65" t="s">
        <v>316</v>
      </c>
      <c r="B8" s="57" t="s">
        <v>1054</v>
      </c>
      <c r="C8" s="57" t="s">
        <v>507</v>
      </c>
      <c r="D8" s="93" t="s">
        <v>237</v>
      </c>
      <c r="E8" s="189" t="s">
        <v>992</v>
      </c>
      <c r="F8" s="92">
        <v>21000</v>
      </c>
      <c r="G8" s="65">
        <v>840</v>
      </c>
      <c r="H8" s="65" t="s">
        <v>166</v>
      </c>
      <c r="I8" s="65" t="s">
        <v>1114</v>
      </c>
      <c r="J8" s="55">
        <v>45750</v>
      </c>
      <c r="K8" s="53" t="s">
        <v>1117</v>
      </c>
      <c r="L8" s="207">
        <v>89649685516</v>
      </c>
      <c r="M8" s="53" t="s">
        <v>1116</v>
      </c>
      <c r="N8" s="139"/>
      <c r="O8" s="92">
        <v>21000</v>
      </c>
      <c r="P8" s="57"/>
      <c r="Q8" s="53"/>
      <c r="R8" s="168" t="s">
        <v>417</v>
      </c>
      <c r="S8" s="94">
        <v>41500</v>
      </c>
      <c r="T8" s="61">
        <f xml:space="preserve"> S8*(F8/1000)</f>
        <v>871500</v>
      </c>
    </row>
    <row r="9" spans="1:20" s="63" customFormat="1" ht="13.5" customHeight="1" x14ac:dyDescent="0.25">
      <c r="A9" s="65" t="s">
        <v>311</v>
      </c>
      <c r="B9" s="57" t="s">
        <v>1111</v>
      </c>
      <c r="C9" s="57" t="s">
        <v>451</v>
      </c>
      <c r="D9" s="93" t="s">
        <v>194</v>
      </c>
      <c r="E9" s="189" t="s">
        <v>473</v>
      </c>
      <c r="F9" s="92">
        <v>17600</v>
      </c>
      <c r="G9" s="65">
        <v>88</v>
      </c>
      <c r="H9" s="65" t="s">
        <v>165</v>
      </c>
      <c r="I9" s="65" t="s">
        <v>1114</v>
      </c>
      <c r="J9" s="55">
        <v>45751</v>
      </c>
      <c r="K9" s="53" t="s">
        <v>609</v>
      </c>
      <c r="L9" s="166">
        <v>89009189331</v>
      </c>
      <c r="M9" s="53" t="s">
        <v>488</v>
      </c>
      <c r="N9" s="212"/>
      <c r="O9" s="53"/>
      <c r="P9" s="57"/>
      <c r="Q9" s="92">
        <v>17600</v>
      </c>
      <c r="R9" s="53" t="s">
        <v>417</v>
      </c>
      <c r="S9" s="94">
        <v>105000</v>
      </c>
      <c r="T9" s="61">
        <f t="shared" si="0"/>
        <v>1848000.0000000002</v>
      </c>
    </row>
    <row r="10" spans="1:20" s="63" customFormat="1" ht="13.5" customHeight="1" x14ac:dyDescent="0.25">
      <c r="A10" s="65" t="s">
        <v>316</v>
      </c>
      <c r="B10" s="57" t="s">
        <v>1054</v>
      </c>
      <c r="C10" s="57" t="s">
        <v>558</v>
      </c>
      <c r="D10" s="93" t="s">
        <v>222</v>
      </c>
      <c r="E10" s="56" t="s">
        <v>1112</v>
      </c>
      <c r="F10" s="92">
        <v>8000</v>
      </c>
      <c r="G10" s="65">
        <v>320</v>
      </c>
      <c r="H10" s="65" t="s">
        <v>560</v>
      </c>
      <c r="I10" s="65" t="s">
        <v>1114</v>
      </c>
      <c r="J10" s="55">
        <v>45751</v>
      </c>
      <c r="K10" s="108" t="s">
        <v>1119</v>
      </c>
      <c r="L10" s="108">
        <v>89045375452</v>
      </c>
      <c r="M10" s="98" t="s">
        <v>1118</v>
      </c>
      <c r="N10" s="162"/>
      <c r="O10" s="92">
        <v>8000</v>
      </c>
      <c r="P10" s="92"/>
      <c r="Q10" s="92"/>
      <c r="R10" s="53" t="s">
        <v>417</v>
      </c>
      <c r="S10" s="94">
        <v>42500</v>
      </c>
      <c r="T10" s="61">
        <f t="shared" si="0"/>
        <v>340000</v>
      </c>
    </row>
    <row r="11" spans="1:20" s="63" customFormat="1" ht="13.5" customHeight="1" x14ac:dyDescent="0.25">
      <c r="A11" s="65" t="s">
        <v>448</v>
      </c>
      <c r="B11" s="57" t="s">
        <v>1054</v>
      </c>
      <c r="C11" s="57" t="s">
        <v>558</v>
      </c>
      <c r="D11" s="93" t="s">
        <v>212</v>
      </c>
      <c r="E11" s="56" t="s">
        <v>1120</v>
      </c>
      <c r="F11" s="92">
        <v>10000</v>
      </c>
      <c r="G11" s="65">
        <v>400</v>
      </c>
      <c r="H11" s="65" t="s">
        <v>560</v>
      </c>
      <c r="I11" s="65" t="s">
        <v>1114</v>
      </c>
      <c r="J11" s="55">
        <v>45751</v>
      </c>
      <c r="K11" s="108" t="s">
        <v>1119</v>
      </c>
      <c r="L11" s="108">
        <v>89045375452</v>
      </c>
      <c r="M11" s="98" t="s">
        <v>1118</v>
      </c>
      <c r="N11" s="162"/>
      <c r="O11" s="92">
        <v>10000</v>
      </c>
      <c r="P11" s="92"/>
      <c r="Q11" s="92"/>
      <c r="R11" s="53" t="s">
        <v>417</v>
      </c>
      <c r="S11" s="94">
        <v>42500</v>
      </c>
      <c r="T11" s="61">
        <f t="shared" si="0"/>
        <v>425000</v>
      </c>
    </row>
    <row r="12" spans="1:20" s="63" customFormat="1" ht="13.5" customHeight="1" x14ac:dyDescent="0.25">
      <c r="A12" s="65" t="s">
        <v>448</v>
      </c>
      <c r="B12" s="57" t="s">
        <v>1054</v>
      </c>
      <c r="C12" s="57" t="s">
        <v>558</v>
      </c>
      <c r="D12" s="93" t="s">
        <v>172</v>
      </c>
      <c r="E12" s="56" t="s">
        <v>1052</v>
      </c>
      <c r="F12" s="92">
        <v>2400</v>
      </c>
      <c r="G12" s="65">
        <v>12</v>
      </c>
      <c r="H12" s="65" t="s">
        <v>560</v>
      </c>
      <c r="I12" s="65" t="s">
        <v>1114</v>
      </c>
      <c r="J12" s="55">
        <v>45751</v>
      </c>
      <c r="K12" s="108" t="s">
        <v>1119</v>
      </c>
      <c r="L12" s="108">
        <v>89045375452</v>
      </c>
      <c r="M12" s="98" t="s">
        <v>1118</v>
      </c>
      <c r="N12" s="162"/>
      <c r="O12" s="92"/>
      <c r="P12" s="92"/>
      <c r="Q12" s="92">
        <v>2400</v>
      </c>
      <c r="R12" s="53" t="s">
        <v>417</v>
      </c>
      <c r="S12" s="94">
        <v>167500</v>
      </c>
      <c r="T12" s="61">
        <f t="shared" si="0"/>
        <v>402000</v>
      </c>
    </row>
    <row r="13" spans="1:20" s="63" customFormat="1" ht="13.5" customHeight="1" x14ac:dyDescent="0.25">
      <c r="A13" s="65" t="s">
        <v>1125</v>
      </c>
      <c r="B13" s="57" t="s">
        <v>1122</v>
      </c>
      <c r="C13" s="57" t="s">
        <v>451</v>
      </c>
      <c r="D13" s="93" t="s">
        <v>222</v>
      </c>
      <c r="E13" s="56" t="s">
        <v>1075</v>
      </c>
      <c r="F13" s="92">
        <v>20000</v>
      </c>
      <c r="G13" s="65">
        <v>800</v>
      </c>
      <c r="H13" s="65" t="s">
        <v>165</v>
      </c>
      <c r="I13" s="65" t="s">
        <v>1114</v>
      </c>
      <c r="J13" s="55">
        <v>45755</v>
      </c>
      <c r="K13" s="98" t="s">
        <v>996</v>
      </c>
      <c r="L13" s="108">
        <v>89080026590</v>
      </c>
      <c r="M13" s="98" t="s">
        <v>428</v>
      </c>
      <c r="N13" s="162"/>
      <c r="O13" s="92">
        <v>20000</v>
      </c>
      <c r="P13" s="57"/>
      <c r="Q13" s="53"/>
      <c r="R13" s="53" t="s">
        <v>417</v>
      </c>
      <c r="S13" s="94">
        <v>43500</v>
      </c>
      <c r="T13" s="61">
        <f t="shared" si="0"/>
        <v>870000</v>
      </c>
    </row>
    <row r="14" spans="1:20" s="63" customFormat="1" ht="13.5" customHeight="1" x14ac:dyDescent="0.25">
      <c r="A14" s="65" t="s">
        <v>418</v>
      </c>
      <c r="B14" s="57" t="s">
        <v>1123</v>
      </c>
      <c r="C14" s="57" t="s">
        <v>507</v>
      </c>
      <c r="D14" s="93" t="s">
        <v>237</v>
      </c>
      <c r="E14" s="189" t="s">
        <v>1124</v>
      </c>
      <c r="F14" s="92">
        <v>20000</v>
      </c>
      <c r="G14" s="65">
        <v>800</v>
      </c>
      <c r="H14" s="65" t="s">
        <v>165</v>
      </c>
      <c r="I14" s="65" t="s">
        <v>1114</v>
      </c>
      <c r="J14" s="55">
        <v>45755</v>
      </c>
      <c r="K14" s="53" t="s">
        <v>587</v>
      </c>
      <c r="L14" s="207">
        <v>89212974613</v>
      </c>
      <c r="M14" s="53" t="s">
        <v>518</v>
      </c>
      <c r="N14" s="139"/>
      <c r="O14" s="92">
        <v>20000</v>
      </c>
      <c r="P14" s="57"/>
      <c r="Q14" s="53"/>
      <c r="R14" s="168" t="s">
        <v>417</v>
      </c>
      <c r="S14" s="94">
        <v>41500</v>
      </c>
      <c r="T14" s="61">
        <f xml:space="preserve"> S14*(F14/1000)</f>
        <v>830000</v>
      </c>
    </row>
    <row r="15" spans="1:20" s="63" customFormat="1" ht="13.5" customHeight="1" x14ac:dyDescent="0.25">
      <c r="A15" s="65" t="s">
        <v>865</v>
      </c>
      <c r="B15" s="57" t="s">
        <v>1115</v>
      </c>
      <c r="C15" s="57" t="s">
        <v>164</v>
      </c>
      <c r="D15" s="10" t="s">
        <v>304</v>
      </c>
      <c r="E15" s="167" t="s">
        <v>993</v>
      </c>
      <c r="F15" s="57">
        <v>9100</v>
      </c>
      <c r="G15" s="65">
        <v>52</v>
      </c>
      <c r="H15" s="65" t="s">
        <v>166</v>
      </c>
      <c r="I15" s="65" t="s">
        <v>1114</v>
      </c>
      <c r="J15" s="55">
        <v>45756</v>
      </c>
      <c r="K15" s="99" t="s">
        <v>1131</v>
      </c>
      <c r="L15" s="105">
        <v>89095563417</v>
      </c>
      <c r="M15" s="62" t="s">
        <v>602</v>
      </c>
      <c r="N15" s="179" t="s">
        <v>1134</v>
      </c>
      <c r="O15" s="53"/>
      <c r="P15" s="53"/>
      <c r="Q15" s="57">
        <v>9100</v>
      </c>
      <c r="R15" s="168" t="s">
        <v>417</v>
      </c>
      <c r="S15" s="94">
        <v>255000</v>
      </c>
      <c r="T15" s="61">
        <f xml:space="preserve"> S15*(F15/1000)</f>
        <v>2320500</v>
      </c>
    </row>
    <row r="16" spans="1:20" s="63" customFormat="1" ht="13.5" customHeight="1" x14ac:dyDescent="0.25">
      <c r="A16" s="65" t="s">
        <v>865</v>
      </c>
      <c r="B16" s="57" t="s">
        <v>1115</v>
      </c>
      <c r="C16" s="57" t="s">
        <v>164</v>
      </c>
      <c r="D16" s="10" t="s">
        <v>304</v>
      </c>
      <c r="E16" s="167" t="s">
        <v>1076</v>
      </c>
      <c r="F16" s="57">
        <v>4900</v>
      </c>
      <c r="G16" s="65">
        <v>28</v>
      </c>
      <c r="H16" s="65" t="s">
        <v>166</v>
      </c>
      <c r="I16" s="65" t="s">
        <v>1114</v>
      </c>
      <c r="J16" s="55">
        <v>45756</v>
      </c>
      <c r="K16" s="99" t="s">
        <v>1131</v>
      </c>
      <c r="L16" s="105">
        <v>89095563417</v>
      </c>
      <c r="M16" s="62" t="s">
        <v>602</v>
      </c>
      <c r="N16" s="179" t="s">
        <v>1134</v>
      </c>
      <c r="O16" s="53"/>
      <c r="P16" s="53"/>
      <c r="Q16" s="57">
        <v>4900</v>
      </c>
      <c r="R16" s="168" t="s">
        <v>417</v>
      </c>
      <c r="S16" s="94">
        <v>255000</v>
      </c>
      <c r="T16" s="61">
        <f xml:space="preserve"> S16*(F16/1000)</f>
        <v>1249500</v>
      </c>
    </row>
    <row r="17" spans="1:20" s="63" customFormat="1" ht="13.5" customHeight="1" x14ac:dyDescent="0.25">
      <c r="A17" s="65" t="s">
        <v>865</v>
      </c>
      <c r="B17" s="57" t="s">
        <v>1115</v>
      </c>
      <c r="C17" s="57" t="s">
        <v>164</v>
      </c>
      <c r="D17" s="10" t="s">
        <v>304</v>
      </c>
      <c r="E17" s="167" t="s">
        <v>1005</v>
      </c>
      <c r="F17" s="57">
        <v>9100</v>
      </c>
      <c r="G17" s="65">
        <v>52</v>
      </c>
      <c r="H17" s="65" t="s">
        <v>166</v>
      </c>
      <c r="I17" s="65" t="s">
        <v>1114</v>
      </c>
      <c r="J17" s="55">
        <v>45756</v>
      </c>
      <c r="K17" s="99" t="s">
        <v>1131</v>
      </c>
      <c r="L17" s="105">
        <v>89095563417</v>
      </c>
      <c r="M17" s="62" t="s">
        <v>602</v>
      </c>
      <c r="N17" s="179" t="s">
        <v>1135</v>
      </c>
      <c r="O17" s="53"/>
      <c r="P17" s="53"/>
      <c r="Q17" s="57">
        <v>9100</v>
      </c>
      <c r="R17" s="168" t="s">
        <v>417</v>
      </c>
      <c r="S17" s="94">
        <v>255000</v>
      </c>
      <c r="T17" s="61">
        <f xml:space="preserve"> S17*(F17/1000)</f>
        <v>2320500</v>
      </c>
    </row>
    <row r="18" spans="1:20" s="63" customFormat="1" ht="13.5" customHeight="1" x14ac:dyDescent="0.25">
      <c r="A18" s="65" t="s">
        <v>865</v>
      </c>
      <c r="B18" s="57" t="s">
        <v>1115</v>
      </c>
      <c r="C18" s="57" t="s">
        <v>164</v>
      </c>
      <c r="D18" s="10" t="s">
        <v>304</v>
      </c>
      <c r="E18" s="167" t="s">
        <v>1076</v>
      </c>
      <c r="F18" s="57">
        <v>4900</v>
      </c>
      <c r="G18" s="65">
        <v>28</v>
      </c>
      <c r="H18" s="65" t="s">
        <v>166</v>
      </c>
      <c r="I18" s="65" t="s">
        <v>1114</v>
      </c>
      <c r="J18" s="55">
        <v>45756</v>
      </c>
      <c r="K18" s="99" t="s">
        <v>1131</v>
      </c>
      <c r="L18" s="105">
        <v>89095563417</v>
      </c>
      <c r="M18" s="62" t="s">
        <v>602</v>
      </c>
      <c r="N18" s="179" t="s">
        <v>1135</v>
      </c>
      <c r="O18" s="53"/>
      <c r="P18" s="53"/>
      <c r="Q18" s="57">
        <v>4900</v>
      </c>
      <c r="R18" s="168" t="s">
        <v>417</v>
      </c>
      <c r="S18" s="94">
        <v>255000</v>
      </c>
      <c r="T18" s="61">
        <f xml:space="preserve"> S18*(F18/1000)</f>
        <v>1249500</v>
      </c>
    </row>
    <row r="19" spans="1:20" s="63" customFormat="1" ht="13.5" customHeight="1" x14ac:dyDescent="0.25">
      <c r="A19" s="65" t="s">
        <v>1125</v>
      </c>
      <c r="B19" s="57" t="s">
        <v>1129</v>
      </c>
      <c r="C19" s="57" t="s">
        <v>507</v>
      </c>
      <c r="D19" s="93" t="s">
        <v>237</v>
      </c>
      <c r="E19" s="189" t="s">
        <v>1029</v>
      </c>
      <c r="F19" s="92">
        <v>20000</v>
      </c>
      <c r="G19" s="65">
        <v>800</v>
      </c>
      <c r="H19" s="65" t="s">
        <v>1130</v>
      </c>
      <c r="I19" s="65" t="s">
        <v>1114</v>
      </c>
      <c r="J19" s="55">
        <v>45756</v>
      </c>
      <c r="K19" s="53" t="s">
        <v>1066</v>
      </c>
      <c r="L19" s="207">
        <v>89080063420</v>
      </c>
      <c r="M19" s="53" t="s">
        <v>1132</v>
      </c>
      <c r="N19" s="139"/>
      <c r="O19" s="92">
        <v>20000</v>
      </c>
      <c r="P19" s="57"/>
      <c r="Q19" s="53"/>
      <c r="R19" s="168" t="s">
        <v>417</v>
      </c>
      <c r="S19" s="94">
        <v>41500</v>
      </c>
      <c r="T19" s="61">
        <f t="shared" ref="T19:T21" si="1" xml:space="preserve"> S19*(F19/1000)</f>
        <v>830000</v>
      </c>
    </row>
    <row r="20" spans="1:20" s="63" customFormat="1" ht="13.5" customHeight="1" x14ac:dyDescent="0.25">
      <c r="A20" s="65" t="s">
        <v>316</v>
      </c>
      <c r="B20" s="57" t="s">
        <v>1083</v>
      </c>
      <c r="C20" s="57" t="s">
        <v>1084</v>
      </c>
      <c r="D20" s="93" t="s">
        <v>157</v>
      </c>
      <c r="E20" s="189" t="s">
        <v>1085</v>
      </c>
      <c r="F20" s="92">
        <v>10000</v>
      </c>
      <c r="G20" s="65">
        <v>50</v>
      </c>
      <c r="H20" s="65" t="s">
        <v>1133</v>
      </c>
      <c r="I20" s="65" t="s">
        <v>1114</v>
      </c>
      <c r="J20" s="55">
        <v>45756</v>
      </c>
      <c r="K20" s="53" t="s">
        <v>1127</v>
      </c>
      <c r="L20" s="185">
        <v>89194817347</v>
      </c>
      <c r="M20" s="53" t="s">
        <v>1126</v>
      </c>
      <c r="N20" s="212"/>
      <c r="O20" s="53"/>
      <c r="P20" s="57"/>
      <c r="Q20" s="92">
        <v>10000</v>
      </c>
      <c r="R20" s="53" t="s">
        <v>417</v>
      </c>
      <c r="S20" s="94">
        <v>85500</v>
      </c>
      <c r="T20" s="61">
        <f t="shared" si="1"/>
        <v>855000</v>
      </c>
    </row>
    <row r="21" spans="1:20" s="63" customFormat="1" ht="13.5" customHeight="1" x14ac:dyDescent="0.25">
      <c r="A21" s="65" t="s">
        <v>316</v>
      </c>
      <c r="B21" s="57" t="s">
        <v>1083</v>
      </c>
      <c r="C21" s="57" t="s">
        <v>1084</v>
      </c>
      <c r="D21" s="93" t="s">
        <v>168</v>
      </c>
      <c r="E21" s="189" t="s">
        <v>1087</v>
      </c>
      <c r="F21" s="92">
        <v>10000</v>
      </c>
      <c r="G21" s="65">
        <v>50</v>
      </c>
      <c r="H21" s="65" t="s">
        <v>1133</v>
      </c>
      <c r="I21" s="65" t="s">
        <v>1114</v>
      </c>
      <c r="J21" s="55">
        <v>45756</v>
      </c>
      <c r="K21" s="53" t="s">
        <v>1127</v>
      </c>
      <c r="L21" s="185">
        <v>89194817347</v>
      </c>
      <c r="M21" s="53" t="s">
        <v>1126</v>
      </c>
      <c r="N21" s="212"/>
      <c r="O21" s="53"/>
      <c r="P21" s="57"/>
      <c r="Q21" s="92">
        <v>10000</v>
      </c>
      <c r="R21" s="53" t="s">
        <v>417</v>
      </c>
      <c r="S21" s="94">
        <v>85500</v>
      </c>
      <c r="T21" s="61">
        <f t="shared" si="1"/>
        <v>855000</v>
      </c>
    </row>
    <row r="22" spans="1:20" s="63" customFormat="1" ht="13.5" customHeight="1" x14ac:dyDescent="0.25">
      <c r="A22" s="65" t="s">
        <v>303</v>
      </c>
      <c r="B22" s="57" t="s">
        <v>1047</v>
      </c>
      <c r="C22" s="57" t="s">
        <v>164</v>
      </c>
      <c r="D22" s="10" t="s">
        <v>306</v>
      </c>
      <c r="E22" s="232">
        <v>210325</v>
      </c>
      <c r="F22" s="57">
        <v>17500</v>
      </c>
      <c r="G22" s="65">
        <v>700</v>
      </c>
      <c r="H22" s="65" t="s">
        <v>1046</v>
      </c>
      <c r="I22" s="65" t="s">
        <v>1114</v>
      </c>
      <c r="J22" s="55">
        <v>45757</v>
      </c>
      <c r="K22" s="99" t="s">
        <v>572</v>
      </c>
      <c r="L22" s="105">
        <v>89115583359</v>
      </c>
      <c r="M22" s="62" t="s">
        <v>571</v>
      </c>
      <c r="N22" s="179" t="s">
        <v>1147</v>
      </c>
      <c r="O22" s="57">
        <v>17500</v>
      </c>
      <c r="P22" s="53"/>
      <c r="Q22" s="53"/>
      <c r="R22" s="168" t="s">
        <v>417</v>
      </c>
      <c r="S22" s="94">
        <v>41000</v>
      </c>
      <c r="T22" s="61">
        <f xml:space="preserve"> S22*(F22/1000)</f>
        <v>717500</v>
      </c>
    </row>
    <row r="23" spans="1:20" s="63" customFormat="1" ht="13.5" customHeight="1" x14ac:dyDescent="0.25">
      <c r="A23" s="65" t="s">
        <v>1157</v>
      </c>
      <c r="B23" s="57" t="s">
        <v>1158</v>
      </c>
      <c r="C23" s="57" t="s">
        <v>1159</v>
      </c>
      <c r="D23" s="10" t="s">
        <v>230</v>
      </c>
      <c r="E23" s="57">
        <v>110325</v>
      </c>
      <c r="F23" s="57">
        <v>25</v>
      </c>
      <c r="G23" s="65">
        <v>1</v>
      </c>
      <c r="H23" s="65" t="s">
        <v>281</v>
      </c>
      <c r="I23" s="65" t="s">
        <v>1114</v>
      </c>
      <c r="J23" s="55">
        <v>45757</v>
      </c>
      <c r="K23" s="99" t="s">
        <v>1160</v>
      </c>
      <c r="L23" s="105"/>
      <c r="M23" s="62"/>
      <c r="N23" s="237"/>
      <c r="O23" s="57"/>
      <c r="P23" s="53">
        <v>25</v>
      </c>
      <c r="Q23" s="53"/>
      <c r="R23" s="53" t="s">
        <v>417</v>
      </c>
      <c r="S23" s="94">
        <v>250000</v>
      </c>
      <c r="T23" s="61">
        <f xml:space="preserve"> S23*(F23/1000)</f>
        <v>6250</v>
      </c>
    </row>
    <row r="24" spans="1:20" s="63" customFormat="1" ht="13.5" customHeight="1" x14ac:dyDescent="0.25">
      <c r="A24" s="65" t="s">
        <v>311</v>
      </c>
      <c r="B24" s="57" t="s">
        <v>1145</v>
      </c>
      <c r="C24" s="57" t="s">
        <v>451</v>
      </c>
      <c r="D24" s="93" t="s">
        <v>222</v>
      </c>
      <c r="E24" s="56" t="s">
        <v>473</v>
      </c>
      <c r="F24" s="92">
        <v>20000</v>
      </c>
      <c r="G24" s="65">
        <v>800</v>
      </c>
      <c r="H24" s="65" t="s">
        <v>773</v>
      </c>
      <c r="I24" s="65" t="s">
        <v>1114</v>
      </c>
      <c r="J24" s="55">
        <v>45758</v>
      </c>
      <c r="K24" s="98" t="s">
        <v>1136</v>
      </c>
      <c r="L24" s="105" t="s">
        <v>1137</v>
      </c>
      <c r="M24" s="98" t="s">
        <v>1138</v>
      </c>
      <c r="N24" s="162"/>
      <c r="O24" s="92">
        <v>20000</v>
      </c>
      <c r="P24" s="57"/>
      <c r="Q24" s="53"/>
      <c r="R24" s="53" t="s">
        <v>417</v>
      </c>
      <c r="S24" s="94">
        <v>43500</v>
      </c>
      <c r="T24" s="61">
        <f xml:space="preserve"> S24*(F24/1000)</f>
        <v>870000</v>
      </c>
    </row>
    <row r="25" spans="1:20" s="63" customFormat="1" ht="13.5" customHeight="1" x14ac:dyDescent="0.25">
      <c r="A25" s="65" t="s">
        <v>1154</v>
      </c>
      <c r="B25" s="57" t="s">
        <v>1110</v>
      </c>
      <c r="C25" s="57" t="s">
        <v>630</v>
      </c>
      <c r="D25" s="93" t="s">
        <v>212</v>
      </c>
      <c r="E25" s="56" t="s">
        <v>1128</v>
      </c>
      <c r="F25" s="92">
        <v>17500</v>
      </c>
      <c r="G25" s="65">
        <v>700</v>
      </c>
      <c r="H25" s="65" t="s">
        <v>631</v>
      </c>
      <c r="I25" s="65" t="s">
        <v>1114</v>
      </c>
      <c r="J25" s="55">
        <v>45758</v>
      </c>
      <c r="K25" s="99" t="s">
        <v>572</v>
      </c>
      <c r="L25" s="105">
        <v>89115583359</v>
      </c>
      <c r="M25" s="62" t="s">
        <v>571</v>
      </c>
      <c r="N25" s="162" t="s">
        <v>1155</v>
      </c>
      <c r="O25" s="92">
        <v>17500</v>
      </c>
      <c r="P25" s="57"/>
      <c r="Q25" s="53"/>
      <c r="R25" s="53" t="s">
        <v>417</v>
      </c>
      <c r="S25" s="94">
        <v>39000</v>
      </c>
      <c r="T25" s="61">
        <f xml:space="preserve"> S25*(F25/1000)</f>
        <v>682500</v>
      </c>
    </row>
    <row r="26" spans="1:20" s="63" customFormat="1" ht="13.5" customHeight="1" x14ac:dyDescent="0.25">
      <c r="A26" s="65" t="s">
        <v>865</v>
      </c>
      <c r="B26" s="57" t="s">
        <v>1148</v>
      </c>
      <c r="C26" s="57" t="s">
        <v>1149</v>
      </c>
      <c r="D26" s="93" t="s">
        <v>168</v>
      </c>
      <c r="E26" s="189" t="s">
        <v>983</v>
      </c>
      <c r="F26" s="92">
        <v>17600</v>
      </c>
      <c r="G26" s="65">
        <v>88</v>
      </c>
      <c r="H26" s="65" t="s">
        <v>1019</v>
      </c>
      <c r="I26" s="65" t="s">
        <v>1114</v>
      </c>
      <c r="J26" s="55">
        <v>45758</v>
      </c>
      <c r="K26" s="53" t="s">
        <v>1150</v>
      </c>
      <c r="L26" s="166"/>
      <c r="M26" s="53" t="s">
        <v>1151</v>
      </c>
      <c r="N26" s="212"/>
      <c r="O26" s="53"/>
      <c r="P26" s="57"/>
      <c r="Q26" s="92">
        <v>17600</v>
      </c>
      <c r="R26" s="53" t="s">
        <v>417</v>
      </c>
      <c r="S26" s="94">
        <v>81900</v>
      </c>
      <c r="T26" s="61">
        <f t="shared" ref="T26:T35" si="2" xml:space="preserve"> S26*(F26/1000)</f>
        <v>1441440</v>
      </c>
    </row>
    <row r="27" spans="1:20" s="63" customFormat="1" ht="13.5" customHeight="1" x14ac:dyDescent="0.25">
      <c r="A27" s="65" t="s">
        <v>865</v>
      </c>
      <c r="B27" s="57" t="s">
        <v>1148</v>
      </c>
      <c r="C27" s="57" t="s">
        <v>1149</v>
      </c>
      <c r="D27" s="93" t="s">
        <v>168</v>
      </c>
      <c r="E27" s="189" t="s">
        <v>731</v>
      </c>
      <c r="F27" s="92">
        <v>17600</v>
      </c>
      <c r="G27" s="65">
        <v>88</v>
      </c>
      <c r="H27" s="65" t="s">
        <v>1019</v>
      </c>
      <c r="I27" s="238" t="s">
        <v>1114</v>
      </c>
      <c r="J27" s="55">
        <v>45758</v>
      </c>
      <c r="K27" s="53" t="s">
        <v>1152</v>
      </c>
      <c r="L27" s="166"/>
      <c r="M27" s="53" t="s">
        <v>1153</v>
      </c>
      <c r="N27" s="212"/>
      <c r="O27" s="53"/>
      <c r="P27" s="57"/>
      <c r="Q27" s="92">
        <v>17600</v>
      </c>
      <c r="R27" s="53" t="s">
        <v>417</v>
      </c>
      <c r="S27" s="94">
        <v>81900</v>
      </c>
      <c r="T27" s="61">
        <f t="shared" si="2"/>
        <v>1441440</v>
      </c>
    </row>
    <row r="28" spans="1:20" s="63" customFormat="1" ht="13.5" customHeight="1" x14ac:dyDescent="0.25">
      <c r="A28" s="65" t="s">
        <v>418</v>
      </c>
      <c r="B28" s="57" t="s">
        <v>1139</v>
      </c>
      <c r="C28" s="57" t="s">
        <v>507</v>
      </c>
      <c r="D28" s="93" t="s">
        <v>237</v>
      </c>
      <c r="E28" s="189" t="s">
        <v>1140</v>
      </c>
      <c r="F28" s="92">
        <v>20000</v>
      </c>
      <c r="G28" s="65">
        <v>800</v>
      </c>
      <c r="H28" s="65" t="s">
        <v>1130</v>
      </c>
      <c r="I28" s="65" t="s">
        <v>1114</v>
      </c>
      <c r="J28" s="55">
        <v>45758</v>
      </c>
      <c r="K28" s="53" t="s">
        <v>1144</v>
      </c>
      <c r="L28" s="207">
        <v>89115713730</v>
      </c>
      <c r="M28" s="53" t="s">
        <v>1143</v>
      </c>
      <c r="N28" s="139"/>
      <c r="O28" s="92">
        <v>20000</v>
      </c>
      <c r="P28" s="57"/>
      <c r="Q28" s="53"/>
      <c r="R28" s="168" t="s">
        <v>417</v>
      </c>
      <c r="S28" s="94">
        <v>41500</v>
      </c>
      <c r="T28" s="61">
        <f t="shared" si="2"/>
        <v>830000</v>
      </c>
    </row>
    <row r="29" spans="1:20" s="63" customFormat="1" ht="13.5" customHeight="1" x14ac:dyDescent="0.25">
      <c r="A29" s="65" t="s">
        <v>408</v>
      </c>
      <c r="B29" s="57" t="s">
        <v>1146</v>
      </c>
      <c r="C29" s="57" t="s">
        <v>507</v>
      </c>
      <c r="D29" s="93" t="s">
        <v>237</v>
      </c>
      <c r="E29" s="189" t="s">
        <v>1141</v>
      </c>
      <c r="F29" s="92">
        <v>20000</v>
      </c>
      <c r="G29" s="65">
        <v>800</v>
      </c>
      <c r="H29" s="65" t="s">
        <v>1130</v>
      </c>
      <c r="I29" s="65" t="s">
        <v>1114</v>
      </c>
      <c r="J29" s="55">
        <v>45761</v>
      </c>
      <c r="K29" s="53" t="s">
        <v>975</v>
      </c>
      <c r="L29" s="207">
        <v>89116825992</v>
      </c>
      <c r="M29" s="53" t="s">
        <v>414</v>
      </c>
      <c r="N29" s="139"/>
      <c r="O29" s="92">
        <v>20000</v>
      </c>
      <c r="P29" s="57"/>
      <c r="Q29" s="53"/>
      <c r="R29" s="168" t="s">
        <v>417</v>
      </c>
      <c r="S29" s="94">
        <v>41500</v>
      </c>
      <c r="T29" s="61">
        <f t="shared" si="2"/>
        <v>830000</v>
      </c>
    </row>
    <row r="30" spans="1:20" s="63" customFormat="1" ht="13.5" customHeight="1" x14ac:dyDescent="0.25">
      <c r="A30" s="65" t="s">
        <v>865</v>
      </c>
      <c r="B30" s="57" t="s">
        <v>1165</v>
      </c>
      <c r="C30" s="57" t="s">
        <v>1149</v>
      </c>
      <c r="D30" s="93" t="s">
        <v>241</v>
      </c>
      <c r="E30" s="189" t="s">
        <v>1141</v>
      </c>
      <c r="F30" s="92">
        <v>20000</v>
      </c>
      <c r="G30" s="65">
        <v>800</v>
      </c>
      <c r="H30" s="65" t="s">
        <v>1019</v>
      </c>
      <c r="I30" s="65" t="s">
        <v>1114</v>
      </c>
      <c r="J30" s="55">
        <v>45762</v>
      </c>
      <c r="K30" s="53" t="s">
        <v>1167</v>
      </c>
      <c r="L30" s="166"/>
      <c r="M30" s="53" t="s">
        <v>1166</v>
      </c>
      <c r="N30" s="212"/>
      <c r="O30" s="92">
        <v>20000</v>
      </c>
      <c r="P30" s="57"/>
      <c r="Q30" s="92"/>
      <c r="R30" s="53" t="s">
        <v>417</v>
      </c>
      <c r="S30" s="94">
        <v>38000</v>
      </c>
      <c r="T30" s="61">
        <f t="shared" ref="T30:T32" si="3" xml:space="preserve"> S30*(F30/1000)</f>
        <v>760000</v>
      </c>
    </row>
    <row r="31" spans="1:20" s="63" customFormat="1" ht="13.5" customHeight="1" x14ac:dyDescent="0.25">
      <c r="A31" s="65" t="s">
        <v>865</v>
      </c>
      <c r="B31" s="57" t="s">
        <v>1165</v>
      </c>
      <c r="C31" s="57" t="s">
        <v>1149</v>
      </c>
      <c r="D31" s="93" t="s">
        <v>241</v>
      </c>
      <c r="E31" s="189" t="s">
        <v>1172</v>
      </c>
      <c r="F31" s="92">
        <v>20000</v>
      </c>
      <c r="G31" s="65">
        <v>800</v>
      </c>
      <c r="H31" s="65" t="s">
        <v>1019</v>
      </c>
      <c r="I31" s="65" t="s">
        <v>1114</v>
      </c>
      <c r="J31" s="55">
        <v>45762</v>
      </c>
      <c r="K31" s="53" t="s">
        <v>1171</v>
      </c>
      <c r="L31" s="166"/>
      <c r="M31" s="53" t="s">
        <v>1170</v>
      </c>
      <c r="N31" s="212"/>
      <c r="O31" s="92">
        <v>20000</v>
      </c>
      <c r="P31" s="57"/>
      <c r="Q31" s="92"/>
      <c r="R31" s="53" t="s">
        <v>417</v>
      </c>
      <c r="S31" s="94">
        <v>38000</v>
      </c>
      <c r="T31" s="61">
        <f t="shared" si="3"/>
        <v>760000</v>
      </c>
    </row>
    <row r="32" spans="1:20" s="63" customFormat="1" ht="13.5" customHeight="1" x14ac:dyDescent="0.25">
      <c r="A32" s="65" t="s">
        <v>865</v>
      </c>
      <c r="B32" s="57" t="s">
        <v>1164</v>
      </c>
      <c r="C32" s="57" t="s">
        <v>1149</v>
      </c>
      <c r="D32" s="93" t="s">
        <v>1016</v>
      </c>
      <c r="E32" s="189" t="s">
        <v>1140</v>
      </c>
      <c r="F32" s="92">
        <v>20000</v>
      </c>
      <c r="G32" s="65">
        <v>1000</v>
      </c>
      <c r="H32" s="65" t="s">
        <v>1019</v>
      </c>
      <c r="I32" s="65" t="s">
        <v>1114</v>
      </c>
      <c r="J32" s="55">
        <v>45762</v>
      </c>
      <c r="K32" s="53" t="s">
        <v>1169</v>
      </c>
      <c r="L32" s="166"/>
      <c r="M32" s="53" t="s">
        <v>1168</v>
      </c>
      <c r="N32" s="212"/>
      <c r="O32" s="53"/>
      <c r="P32" s="92">
        <v>20000</v>
      </c>
      <c r="Q32" s="92"/>
      <c r="R32" s="53" t="s">
        <v>417</v>
      </c>
      <c r="S32" s="94">
        <v>245000</v>
      </c>
      <c r="T32" s="61">
        <f t="shared" si="3"/>
        <v>4900000</v>
      </c>
    </row>
    <row r="33" spans="1:20" s="63" customFormat="1" ht="13.5" customHeight="1" x14ac:dyDescent="0.25">
      <c r="A33" s="65" t="s">
        <v>311</v>
      </c>
      <c r="B33" s="57" t="s">
        <v>1161</v>
      </c>
      <c r="C33" s="57" t="s">
        <v>451</v>
      </c>
      <c r="D33" s="93" t="s">
        <v>222</v>
      </c>
      <c r="E33" s="56" t="s">
        <v>464</v>
      </c>
      <c r="F33" s="92">
        <v>20000</v>
      </c>
      <c r="G33" s="65">
        <v>800</v>
      </c>
      <c r="H33" s="65" t="s">
        <v>773</v>
      </c>
      <c r="I33" s="65" t="s">
        <v>1114</v>
      </c>
      <c r="J33" s="55">
        <v>45762</v>
      </c>
      <c r="K33" s="98" t="s">
        <v>1174</v>
      </c>
      <c r="L33" s="105">
        <v>89109501313</v>
      </c>
      <c r="M33" s="98" t="s">
        <v>1173</v>
      </c>
      <c r="N33" s="162"/>
      <c r="O33" s="92">
        <v>20000</v>
      </c>
      <c r="P33" s="57"/>
      <c r="Q33" s="53"/>
      <c r="R33" s="53" t="s">
        <v>417</v>
      </c>
      <c r="S33" s="94">
        <v>43500</v>
      </c>
      <c r="T33" s="61">
        <f t="shared" si="2"/>
        <v>870000</v>
      </c>
    </row>
    <row r="34" spans="1:20" s="63" customFormat="1" ht="13.5" customHeight="1" x14ac:dyDescent="0.25">
      <c r="A34" s="65" t="s">
        <v>311</v>
      </c>
      <c r="B34" s="57" t="s">
        <v>1194</v>
      </c>
      <c r="C34" s="57" t="s">
        <v>558</v>
      </c>
      <c r="D34" s="93" t="s">
        <v>222</v>
      </c>
      <c r="E34" s="56" t="s">
        <v>1177</v>
      </c>
      <c r="F34" s="92">
        <v>20000</v>
      </c>
      <c r="G34" s="65">
        <v>800</v>
      </c>
      <c r="H34" s="65" t="s">
        <v>560</v>
      </c>
      <c r="I34" s="65" t="s">
        <v>1114</v>
      </c>
      <c r="J34" s="55">
        <v>45763</v>
      </c>
      <c r="K34" s="98" t="s">
        <v>1176</v>
      </c>
      <c r="L34" s="108">
        <v>89505821657</v>
      </c>
      <c r="M34" s="98" t="s">
        <v>1175</v>
      </c>
      <c r="N34" s="162"/>
      <c r="O34" s="92">
        <v>20000</v>
      </c>
      <c r="P34" s="57"/>
      <c r="Q34" s="53"/>
      <c r="R34" s="53" t="s">
        <v>417</v>
      </c>
      <c r="S34" s="94">
        <v>42500</v>
      </c>
      <c r="T34" s="61">
        <f t="shared" si="2"/>
        <v>850000</v>
      </c>
    </row>
    <row r="35" spans="1:20" s="63" customFormat="1" ht="13.5" customHeight="1" x14ac:dyDescent="0.25">
      <c r="A35" s="65" t="s">
        <v>1154</v>
      </c>
      <c r="B35" s="57" t="s">
        <v>629</v>
      </c>
      <c r="C35" s="57" t="s">
        <v>630</v>
      </c>
      <c r="D35" s="93" t="s">
        <v>263</v>
      </c>
      <c r="E35" s="56" t="s">
        <v>1029</v>
      </c>
      <c r="F35" s="92">
        <v>16000</v>
      </c>
      <c r="G35" s="65">
        <v>80</v>
      </c>
      <c r="H35" s="65" t="s">
        <v>631</v>
      </c>
      <c r="I35" s="65" t="s">
        <v>1114</v>
      </c>
      <c r="J35" s="55">
        <v>45764</v>
      </c>
      <c r="K35" s="98" t="s">
        <v>675</v>
      </c>
      <c r="L35" s="108">
        <v>89815516137</v>
      </c>
      <c r="M35" s="98" t="s">
        <v>674</v>
      </c>
      <c r="N35" s="162" t="s">
        <v>1195</v>
      </c>
      <c r="O35" s="92"/>
      <c r="P35" s="57"/>
      <c r="Q35" s="92">
        <v>16000</v>
      </c>
      <c r="R35" s="53" t="s">
        <v>417</v>
      </c>
      <c r="S35" s="94">
        <v>230000</v>
      </c>
      <c r="T35" s="61">
        <f t="shared" si="2"/>
        <v>3680000</v>
      </c>
    </row>
    <row r="36" spans="1:20" s="63" customFormat="1" ht="13.5" customHeight="1" x14ac:dyDescent="0.25">
      <c r="A36" s="65" t="s">
        <v>317</v>
      </c>
      <c r="B36" s="57" t="s">
        <v>1178</v>
      </c>
      <c r="C36" s="57" t="s">
        <v>451</v>
      </c>
      <c r="D36" s="93" t="s">
        <v>223</v>
      </c>
      <c r="E36" s="56" t="s">
        <v>453</v>
      </c>
      <c r="F36" s="92">
        <v>7000</v>
      </c>
      <c r="G36" s="65">
        <v>280</v>
      </c>
      <c r="H36" s="65" t="s">
        <v>165</v>
      </c>
      <c r="I36" s="65" t="s">
        <v>1114</v>
      </c>
      <c r="J36" s="55">
        <v>45765</v>
      </c>
      <c r="K36" s="53" t="s">
        <v>210</v>
      </c>
      <c r="L36" s="207">
        <v>89991681050</v>
      </c>
      <c r="M36" s="53" t="s">
        <v>388</v>
      </c>
      <c r="N36" s="162"/>
      <c r="O36" s="92"/>
      <c r="P36" s="92"/>
      <c r="Q36" s="92">
        <v>7000</v>
      </c>
      <c r="R36" s="53" t="s">
        <v>417</v>
      </c>
      <c r="S36" s="94">
        <v>250000</v>
      </c>
      <c r="T36" s="61">
        <f t="shared" ref="T36:T37" si="4" xml:space="preserve"> S36*(F36/1000)</f>
        <v>1750000</v>
      </c>
    </row>
    <row r="37" spans="1:20" s="63" customFormat="1" ht="13.5" customHeight="1" x14ac:dyDescent="0.25">
      <c r="A37" s="65" t="s">
        <v>317</v>
      </c>
      <c r="B37" s="57" t="s">
        <v>1178</v>
      </c>
      <c r="C37" s="57" t="s">
        <v>451</v>
      </c>
      <c r="D37" s="93" t="s">
        <v>222</v>
      </c>
      <c r="E37" s="56" t="s">
        <v>1075</v>
      </c>
      <c r="F37" s="92">
        <v>13000</v>
      </c>
      <c r="G37" s="65">
        <v>520</v>
      </c>
      <c r="H37" s="65" t="s">
        <v>165</v>
      </c>
      <c r="I37" s="65" t="s">
        <v>1114</v>
      </c>
      <c r="J37" s="55">
        <v>45765</v>
      </c>
      <c r="K37" s="53" t="s">
        <v>210</v>
      </c>
      <c r="L37" s="207">
        <v>89991681050</v>
      </c>
      <c r="M37" s="53" t="s">
        <v>388</v>
      </c>
      <c r="N37" s="162"/>
      <c r="O37" s="92">
        <v>13000</v>
      </c>
      <c r="P37" s="57"/>
      <c r="Q37" s="53"/>
      <c r="R37" s="53" t="s">
        <v>417</v>
      </c>
      <c r="S37" s="94">
        <v>43500</v>
      </c>
      <c r="T37" s="61">
        <f t="shared" si="4"/>
        <v>565500</v>
      </c>
    </row>
    <row r="38" spans="1:20" s="63" customFormat="1" ht="13.5" customHeight="1" x14ac:dyDescent="0.25">
      <c r="A38" s="65" t="s">
        <v>317</v>
      </c>
      <c r="B38" s="57" t="s">
        <v>1183</v>
      </c>
      <c r="C38" s="57" t="s">
        <v>507</v>
      </c>
      <c r="D38" s="93" t="s">
        <v>237</v>
      </c>
      <c r="E38" s="189" t="s">
        <v>1182</v>
      </c>
      <c r="F38" s="92">
        <v>20000</v>
      </c>
      <c r="G38" s="65">
        <v>800</v>
      </c>
      <c r="H38" s="65" t="s">
        <v>1188</v>
      </c>
      <c r="I38" s="65" t="s">
        <v>1114</v>
      </c>
      <c r="J38" s="55">
        <v>45765</v>
      </c>
      <c r="K38" s="53" t="s">
        <v>209</v>
      </c>
      <c r="L38" s="207">
        <v>89116853405</v>
      </c>
      <c r="M38" s="53" t="s">
        <v>286</v>
      </c>
      <c r="N38" s="139"/>
      <c r="O38" s="92">
        <v>20000</v>
      </c>
      <c r="P38" s="57"/>
      <c r="Q38" s="53"/>
      <c r="R38" s="168" t="s">
        <v>417</v>
      </c>
      <c r="S38" s="94">
        <v>41500</v>
      </c>
      <c r="T38" s="61">
        <f t="shared" ref="T38" si="5" xml:space="preserve"> S38*(F38/1000)</f>
        <v>830000</v>
      </c>
    </row>
    <row r="39" spans="1:20" s="63" customFormat="1" ht="13.5" customHeight="1" x14ac:dyDescent="0.25">
      <c r="A39" s="65" t="s">
        <v>316</v>
      </c>
      <c r="B39" s="57" t="s">
        <v>1189</v>
      </c>
      <c r="C39" s="57" t="s">
        <v>507</v>
      </c>
      <c r="D39" s="93" t="s">
        <v>237</v>
      </c>
      <c r="E39" s="189" t="s">
        <v>1190</v>
      </c>
      <c r="F39" s="92">
        <v>20000</v>
      </c>
      <c r="G39" s="65">
        <v>800</v>
      </c>
      <c r="H39" s="65" t="s">
        <v>1188</v>
      </c>
      <c r="I39" s="65" t="s">
        <v>1114</v>
      </c>
      <c r="J39" s="55">
        <v>45765</v>
      </c>
      <c r="K39" s="53" t="s">
        <v>1197</v>
      </c>
      <c r="L39" s="207" t="s">
        <v>1199</v>
      </c>
      <c r="M39" s="53" t="s">
        <v>1198</v>
      </c>
      <c r="N39" s="139"/>
      <c r="O39" s="92">
        <v>20000</v>
      </c>
      <c r="P39" s="57"/>
      <c r="Q39" s="53"/>
      <c r="R39" s="168" t="s">
        <v>417</v>
      </c>
      <c r="S39" s="94">
        <v>41500</v>
      </c>
      <c r="T39" s="61">
        <f t="shared" ref="T39" si="6" xml:space="preserve"> S39*(F39/1000)</f>
        <v>830000</v>
      </c>
    </row>
    <row r="40" spans="1:20" s="63" customFormat="1" ht="13.5" customHeight="1" x14ac:dyDescent="0.25">
      <c r="A40" s="65" t="s">
        <v>316</v>
      </c>
      <c r="B40" s="57" t="s">
        <v>1184</v>
      </c>
      <c r="C40" s="57" t="s">
        <v>451</v>
      </c>
      <c r="D40" s="93" t="s">
        <v>168</v>
      </c>
      <c r="E40" s="56" t="s">
        <v>1182</v>
      </c>
      <c r="F40" s="92">
        <v>2400</v>
      </c>
      <c r="G40" s="65">
        <v>12</v>
      </c>
      <c r="H40" s="65" t="s">
        <v>471</v>
      </c>
      <c r="I40" s="65" t="s">
        <v>1114</v>
      </c>
      <c r="J40" s="55">
        <v>45765</v>
      </c>
      <c r="K40" s="53" t="s">
        <v>1200</v>
      </c>
      <c r="L40" s="207">
        <v>89093140410</v>
      </c>
      <c r="M40" s="53" t="s">
        <v>1196</v>
      </c>
      <c r="N40" s="162"/>
      <c r="O40" s="92"/>
      <c r="P40" s="92"/>
      <c r="Q40" s="92">
        <v>2400</v>
      </c>
      <c r="R40" s="53" t="s">
        <v>417</v>
      </c>
      <c r="S40" s="94">
        <v>89000</v>
      </c>
      <c r="T40" s="61">
        <f xml:space="preserve"> S40*(F40/1000)</f>
        <v>213600</v>
      </c>
    </row>
    <row r="41" spans="1:20" s="63" customFormat="1" ht="13.5" customHeight="1" x14ac:dyDescent="0.25">
      <c r="A41" s="65" t="s">
        <v>316</v>
      </c>
      <c r="B41" s="57" t="s">
        <v>1184</v>
      </c>
      <c r="C41" s="57" t="s">
        <v>451</v>
      </c>
      <c r="D41" s="93" t="s">
        <v>194</v>
      </c>
      <c r="E41" s="56" t="s">
        <v>473</v>
      </c>
      <c r="F41" s="92">
        <v>15200</v>
      </c>
      <c r="G41" s="65">
        <v>76</v>
      </c>
      <c r="H41" s="65" t="s">
        <v>471</v>
      </c>
      <c r="I41" s="65" t="s">
        <v>1114</v>
      </c>
      <c r="J41" s="55">
        <v>45765</v>
      </c>
      <c r="K41" s="53" t="s">
        <v>1200</v>
      </c>
      <c r="L41" s="207">
        <v>89093140410</v>
      </c>
      <c r="M41" s="53" t="s">
        <v>1196</v>
      </c>
      <c r="N41" s="162"/>
      <c r="O41" s="92"/>
      <c r="P41" s="92"/>
      <c r="Q41" s="92">
        <v>15200</v>
      </c>
      <c r="R41" s="53" t="s">
        <v>417</v>
      </c>
      <c r="S41" s="94">
        <v>105000</v>
      </c>
      <c r="T41" s="61">
        <f xml:space="preserve"> S41*(F41/1000)</f>
        <v>1596000</v>
      </c>
    </row>
    <row r="42" spans="1:20" s="63" customFormat="1" ht="13.5" customHeight="1" x14ac:dyDescent="0.25">
      <c r="A42" s="65" t="s">
        <v>1203</v>
      </c>
      <c r="B42" s="57" t="s">
        <v>629</v>
      </c>
      <c r="C42" s="57" t="s">
        <v>630</v>
      </c>
      <c r="D42" s="93" t="s">
        <v>194</v>
      </c>
      <c r="E42" s="56" t="s">
        <v>1142</v>
      </c>
      <c r="F42" s="92">
        <v>16000</v>
      </c>
      <c r="G42" s="65">
        <v>80</v>
      </c>
      <c r="H42" s="65" t="s">
        <v>631</v>
      </c>
      <c r="I42" s="65" t="s">
        <v>1114</v>
      </c>
      <c r="J42" s="55">
        <v>45768</v>
      </c>
      <c r="K42" s="98" t="s">
        <v>694</v>
      </c>
      <c r="L42" s="108" t="s">
        <v>695</v>
      </c>
      <c r="M42" s="98" t="s">
        <v>1202</v>
      </c>
      <c r="N42" s="162"/>
      <c r="O42" s="92"/>
      <c r="P42" s="57"/>
      <c r="Q42" s="92">
        <v>16000</v>
      </c>
      <c r="R42" s="53" t="s">
        <v>417</v>
      </c>
      <c r="S42" s="94">
        <v>105000</v>
      </c>
      <c r="T42" s="61">
        <f xml:space="preserve"> S42*(F42/1000)</f>
        <v>1680000</v>
      </c>
    </row>
    <row r="43" spans="1:20" s="63" customFormat="1" ht="13.5" customHeight="1" x14ac:dyDescent="0.25">
      <c r="A43" s="65" t="s">
        <v>1295</v>
      </c>
      <c r="B43" s="57" t="s">
        <v>1296</v>
      </c>
      <c r="C43" s="57" t="s">
        <v>1297</v>
      </c>
      <c r="D43" s="93" t="s">
        <v>236</v>
      </c>
      <c r="E43" s="56"/>
      <c r="F43" s="92">
        <v>20</v>
      </c>
      <c r="G43" s="65">
        <v>1</v>
      </c>
      <c r="H43" s="65" t="s">
        <v>1298</v>
      </c>
      <c r="I43" s="65" t="s">
        <v>1114</v>
      </c>
      <c r="J43" s="55">
        <v>45768</v>
      </c>
      <c r="K43" s="98" t="s">
        <v>1299</v>
      </c>
      <c r="L43" s="108"/>
      <c r="M43" s="98"/>
      <c r="N43" s="162"/>
      <c r="O43" s="92"/>
      <c r="P43" s="57">
        <v>20</v>
      </c>
      <c r="Q43" s="92"/>
      <c r="R43" s="53" t="s">
        <v>417</v>
      </c>
      <c r="S43" s="94">
        <v>295000</v>
      </c>
      <c r="T43" s="61">
        <f xml:space="preserve"> S43*(F43/1000)</f>
        <v>5900</v>
      </c>
    </row>
    <row r="44" spans="1:20" s="63" customFormat="1" ht="13.5" customHeight="1" x14ac:dyDescent="0.25">
      <c r="A44" s="65" t="s">
        <v>1206</v>
      </c>
      <c r="B44" s="57" t="s">
        <v>1191</v>
      </c>
      <c r="C44" s="57" t="s">
        <v>164</v>
      </c>
      <c r="D44" s="10" t="s">
        <v>306</v>
      </c>
      <c r="E44" s="167" t="s">
        <v>1192</v>
      </c>
      <c r="F44" s="57">
        <v>20125</v>
      </c>
      <c r="G44" s="65">
        <v>805</v>
      </c>
      <c r="H44" s="65" t="s">
        <v>165</v>
      </c>
      <c r="I44" s="65" t="s">
        <v>1114</v>
      </c>
      <c r="J44" s="55">
        <v>45769</v>
      </c>
      <c r="K44" s="99" t="s">
        <v>996</v>
      </c>
      <c r="L44" s="105">
        <v>89125770562</v>
      </c>
      <c r="M44" s="62" t="s">
        <v>1207</v>
      </c>
      <c r="N44" s="179"/>
      <c r="O44" s="57">
        <v>20125</v>
      </c>
      <c r="P44" s="53"/>
      <c r="Q44" s="53"/>
      <c r="R44" s="168" t="s">
        <v>417</v>
      </c>
      <c r="S44" s="94">
        <v>41000</v>
      </c>
      <c r="T44" s="61">
        <f t="shared" ref="T44" si="7" xml:space="preserve"> S44*(F44/1000)</f>
        <v>825125</v>
      </c>
    </row>
    <row r="45" spans="1:20" s="63" customFormat="1" ht="13.5" customHeight="1" x14ac:dyDescent="0.25">
      <c r="A45" s="65" t="s">
        <v>1206</v>
      </c>
      <c r="B45" s="57" t="s">
        <v>1208</v>
      </c>
      <c r="C45" s="57" t="s">
        <v>164</v>
      </c>
      <c r="D45" s="10" t="s">
        <v>306</v>
      </c>
      <c r="E45" s="167" t="s">
        <v>1193</v>
      </c>
      <c r="F45" s="57">
        <v>20125</v>
      </c>
      <c r="G45" s="65">
        <v>805</v>
      </c>
      <c r="H45" s="65" t="s">
        <v>165</v>
      </c>
      <c r="I45" s="65" t="s">
        <v>1114</v>
      </c>
      <c r="J45" s="55">
        <v>45769</v>
      </c>
      <c r="K45" s="53" t="s">
        <v>1066</v>
      </c>
      <c r="L45" s="207">
        <v>89080063420</v>
      </c>
      <c r="M45" s="53" t="s">
        <v>1132</v>
      </c>
      <c r="N45" s="179"/>
      <c r="O45" s="57">
        <v>20125</v>
      </c>
      <c r="P45" s="53"/>
      <c r="Q45" s="53"/>
      <c r="R45" s="168" t="s">
        <v>417</v>
      </c>
      <c r="S45" s="94">
        <v>41000</v>
      </c>
      <c r="T45" s="61">
        <f t="shared" ref="T45" si="8" xml:space="preserve"> S45*(F45/1000)</f>
        <v>825125</v>
      </c>
    </row>
    <row r="46" spans="1:20" s="63" customFormat="1" ht="13.5" customHeight="1" x14ac:dyDescent="0.25">
      <c r="A46" s="65" t="s">
        <v>316</v>
      </c>
      <c r="B46" s="57" t="s">
        <v>1201</v>
      </c>
      <c r="C46" s="57" t="s">
        <v>507</v>
      </c>
      <c r="D46" s="93" t="s">
        <v>237</v>
      </c>
      <c r="E46" s="189" t="s">
        <v>1186</v>
      </c>
      <c r="F46" s="92">
        <v>20000</v>
      </c>
      <c r="G46" s="65">
        <v>800</v>
      </c>
      <c r="H46" s="65" t="s">
        <v>1188</v>
      </c>
      <c r="I46" s="65" t="s">
        <v>1114</v>
      </c>
      <c r="J46" s="55">
        <v>45769</v>
      </c>
      <c r="K46" s="53" t="s">
        <v>1205</v>
      </c>
      <c r="L46" s="207">
        <v>89129793183</v>
      </c>
      <c r="M46" s="53" t="s">
        <v>1204</v>
      </c>
      <c r="N46" s="139"/>
      <c r="O46" s="92">
        <v>20000</v>
      </c>
      <c r="P46" s="57"/>
      <c r="Q46" s="53"/>
      <c r="R46" s="168" t="s">
        <v>417</v>
      </c>
      <c r="S46" s="94">
        <v>41500</v>
      </c>
      <c r="T46" s="61">
        <f t="shared" ref="T46" si="9" xml:space="preserve"> S46*(F46/1000)</f>
        <v>830000</v>
      </c>
    </row>
    <row r="47" spans="1:20" s="63" customFormat="1" ht="13.5" customHeight="1" x14ac:dyDescent="0.25">
      <c r="A47" s="65" t="s">
        <v>421</v>
      </c>
      <c r="B47" s="57" t="s">
        <v>1209</v>
      </c>
      <c r="C47" s="57" t="s">
        <v>558</v>
      </c>
      <c r="D47" s="93" t="s">
        <v>212</v>
      </c>
      <c r="E47" s="56" t="s">
        <v>1210</v>
      </c>
      <c r="F47" s="92">
        <v>20000</v>
      </c>
      <c r="G47" s="65">
        <v>800</v>
      </c>
      <c r="H47" s="65" t="s">
        <v>1051</v>
      </c>
      <c r="I47" s="65" t="s">
        <v>404</v>
      </c>
      <c r="J47" s="55">
        <v>45770</v>
      </c>
      <c r="K47" s="108" t="s">
        <v>1215</v>
      </c>
      <c r="L47" s="108">
        <v>89850087542</v>
      </c>
      <c r="M47" s="98" t="s">
        <v>1216</v>
      </c>
      <c r="N47" s="162"/>
      <c r="O47" s="92">
        <v>20000</v>
      </c>
      <c r="P47" s="92"/>
      <c r="Q47" s="92"/>
      <c r="R47" s="53" t="s">
        <v>417</v>
      </c>
      <c r="S47" s="94">
        <v>42500</v>
      </c>
      <c r="T47" s="61">
        <f t="shared" ref="T47:T65" si="10" xml:space="preserve"> S47*(F47/1000)</f>
        <v>850000</v>
      </c>
    </row>
    <row r="48" spans="1:20" s="63" customFormat="1" ht="13.5" customHeight="1" x14ac:dyDescent="0.25">
      <c r="A48" s="65" t="s">
        <v>311</v>
      </c>
      <c r="B48" s="57" t="s">
        <v>1185</v>
      </c>
      <c r="C48" s="57" t="s">
        <v>451</v>
      </c>
      <c r="D48" s="93" t="s">
        <v>1156</v>
      </c>
      <c r="E48" s="56" t="s">
        <v>1163</v>
      </c>
      <c r="F48" s="92">
        <v>4000</v>
      </c>
      <c r="G48" s="65">
        <v>200</v>
      </c>
      <c r="H48" s="65" t="s">
        <v>471</v>
      </c>
      <c r="I48" s="65" t="s">
        <v>1114</v>
      </c>
      <c r="J48" s="55">
        <v>45771</v>
      </c>
      <c r="K48" s="53" t="s">
        <v>1218</v>
      </c>
      <c r="L48" s="207">
        <v>89603687618</v>
      </c>
      <c r="M48" s="53" t="s">
        <v>1217</v>
      </c>
      <c r="N48" s="162"/>
      <c r="O48" s="92"/>
      <c r="P48" s="92">
        <v>4000</v>
      </c>
      <c r="Q48" s="92"/>
      <c r="R48" s="53" t="s">
        <v>417</v>
      </c>
      <c r="S48" s="94">
        <v>87000</v>
      </c>
      <c r="T48" s="61">
        <f t="shared" si="10"/>
        <v>348000</v>
      </c>
    </row>
    <row r="49" spans="1:20" s="63" customFormat="1" ht="13.5" customHeight="1" x14ac:dyDescent="0.25">
      <c r="A49" s="65" t="s">
        <v>311</v>
      </c>
      <c r="B49" s="57" t="s">
        <v>1185</v>
      </c>
      <c r="C49" s="57" t="s">
        <v>451</v>
      </c>
      <c r="D49" s="93" t="s">
        <v>168</v>
      </c>
      <c r="E49" s="56" t="s">
        <v>1182</v>
      </c>
      <c r="F49" s="92">
        <v>1600</v>
      </c>
      <c r="G49" s="65">
        <v>8</v>
      </c>
      <c r="H49" s="65" t="s">
        <v>471</v>
      </c>
      <c r="I49" s="65" t="s">
        <v>1114</v>
      </c>
      <c r="J49" s="55">
        <v>45771</v>
      </c>
      <c r="K49" s="53" t="s">
        <v>1218</v>
      </c>
      <c r="L49" s="207">
        <v>89603687618</v>
      </c>
      <c r="M49" s="53" t="s">
        <v>1217</v>
      </c>
      <c r="N49" s="162"/>
      <c r="O49" s="92"/>
      <c r="P49" s="92"/>
      <c r="Q49" s="92">
        <v>1600</v>
      </c>
      <c r="R49" s="53" t="s">
        <v>417</v>
      </c>
      <c r="S49" s="94">
        <v>89000</v>
      </c>
      <c r="T49" s="61">
        <f t="shared" si="10"/>
        <v>142400</v>
      </c>
    </row>
    <row r="50" spans="1:20" s="63" customFormat="1" ht="13.5" customHeight="1" x14ac:dyDescent="0.25">
      <c r="A50" s="65" t="s">
        <v>311</v>
      </c>
      <c r="B50" s="57" t="s">
        <v>1185</v>
      </c>
      <c r="C50" s="57" t="s">
        <v>451</v>
      </c>
      <c r="D50" s="93" t="s">
        <v>157</v>
      </c>
      <c r="E50" s="56" t="s">
        <v>1186</v>
      </c>
      <c r="F50" s="92">
        <v>4000</v>
      </c>
      <c r="G50" s="65">
        <v>20</v>
      </c>
      <c r="H50" s="65" t="s">
        <v>471</v>
      </c>
      <c r="I50" s="65" t="s">
        <v>1114</v>
      </c>
      <c r="J50" s="55">
        <v>45771</v>
      </c>
      <c r="K50" s="53" t="s">
        <v>1218</v>
      </c>
      <c r="L50" s="207">
        <v>89603687618</v>
      </c>
      <c r="M50" s="53" t="s">
        <v>1217</v>
      </c>
      <c r="N50" s="162"/>
      <c r="O50" s="92"/>
      <c r="P50" s="92"/>
      <c r="Q50" s="92">
        <v>4000</v>
      </c>
      <c r="R50" s="53" t="s">
        <v>417</v>
      </c>
      <c r="S50" s="94">
        <v>81500</v>
      </c>
      <c r="T50" s="61">
        <f t="shared" si="10"/>
        <v>326000</v>
      </c>
    </row>
    <row r="51" spans="1:20" s="63" customFormat="1" ht="13.5" customHeight="1" x14ac:dyDescent="0.25">
      <c r="A51" s="65" t="s">
        <v>311</v>
      </c>
      <c r="B51" s="57" t="s">
        <v>1185</v>
      </c>
      <c r="C51" s="57" t="s">
        <v>451</v>
      </c>
      <c r="D51" s="93" t="s">
        <v>282</v>
      </c>
      <c r="E51" s="56" t="s">
        <v>1187</v>
      </c>
      <c r="F51" s="92">
        <v>7600</v>
      </c>
      <c r="G51" s="65">
        <v>40</v>
      </c>
      <c r="H51" s="65" t="s">
        <v>471</v>
      </c>
      <c r="I51" s="65" t="s">
        <v>1114</v>
      </c>
      <c r="J51" s="55">
        <v>45771</v>
      </c>
      <c r="K51" s="53" t="s">
        <v>1218</v>
      </c>
      <c r="L51" s="207">
        <v>89603687618</v>
      </c>
      <c r="M51" s="53" t="s">
        <v>1217</v>
      </c>
      <c r="N51" s="162"/>
      <c r="O51" s="92"/>
      <c r="P51" s="92"/>
      <c r="Q51" s="92">
        <v>7600</v>
      </c>
      <c r="R51" s="53" t="s">
        <v>417</v>
      </c>
      <c r="S51" s="94">
        <v>235000</v>
      </c>
      <c r="T51" s="61">
        <f t="shared" si="10"/>
        <v>1786000</v>
      </c>
    </row>
    <row r="52" spans="1:20" s="63" customFormat="1" ht="13.5" customHeight="1" x14ac:dyDescent="0.25">
      <c r="A52" s="65" t="s">
        <v>495</v>
      </c>
      <c r="B52" s="57" t="s">
        <v>1220</v>
      </c>
      <c r="C52" s="57" t="s">
        <v>164</v>
      </c>
      <c r="D52" s="10" t="s">
        <v>995</v>
      </c>
      <c r="E52" s="232">
        <v>240425</v>
      </c>
      <c r="F52" s="57">
        <v>6000</v>
      </c>
      <c r="G52" s="65">
        <v>30</v>
      </c>
      <c r="H52" s="65" t="s">
        <v>434</v>
      </c>
      <c r="I52" s="55" t="s">
        <v>1114</v>
      </c>
      <c r="J52" s="55">
        <v>45772</v>
      </c>
      <c r="K52" s="99" t="s">
        <v>1221</v>
      </c>
      <c r="L52" s="105">
        <v>89290497387</v>
      </c>
      <c r="M52" s="62" t="s">
        <v>1222</v>
      </c>
      <c r="N52" s="237"/>
      <c r="O52" s="57"/>
      <c r="P52" s="53"/>
      <c r="Q52" s="57">
        <v>6000</v>
      </c>
      <c r="R52" s="168" t="s">
        <v>417</v>
      </c>
      <c r="S52" s="94">
        <v>680000</v>
      </c>
      <c r="T52" s="61">
        <f t="shared" si="10"/>
        <v>4080000</v>
      </c>
    </row>
    <row r="53" spans="1:20" s="63" customFormat="1" ht="13.5" customHeight="1" x14ac:dyDescent="0.25">
      <c r="A53" s="65" t="s">
        <v>495</v>
      </c>
      <c r="B53" s="57" t="s">
        <v>1226</v>
      </c>
      <c r="C53" s="57" t="s">
        <v>164</v>
      </c>
      <c r="D53" s="10" t="s">
        <v>995</v>
      </c>
      <c r="E53" s="232">
        <v>240425</v>
      </c>
      <c r="F53" s="57">
        <v>5200</v>
      </c>
      <c r="G53" s="65">
        <v>26</v>
      </c>
      <c r="H53" s="65" t="s">
        <v>434</v>
      </c>
      <c r="I53" s="55" t="s">
        <v>1114</v>
      </c>
      <c r="J53" s="55">
        <v>45772</v>
      </c>
      <c r="K53" s="99" t="s">
        <v>1221</v>
      </c>
      <c r="L53" s="105">
        <v>89290497387</v>
      </c>
      <c r="M53" s="62" t="s">
        <v>1222</v>
      </c>
      <c r="N53" s="237"/>
      <c r="O53" s="57"/>
      <c r="P53" s="53"/>
      <c r="Q53" s="57">
        <v>5200</v>
      </c>
      <c r="R53" s="168" t="s">
        <v>417</v>
      </c>
      <c r="S53" s="94">
        <v>680000</v>
      </c>
      <c r="T53" s="61">
        <f t="shared" ref="T53" si="11" xml:space="preserve"> S53*(F53/1000)</f>
        <v>3536000</v>
      </c>
    </row>
    <row r="54" spans="1:20" s="63" customFormat="1" ht="13.5" customHeight="1" x14ac:dyDescent="0.25">
      <c r="A54" s="65" t="s">
        <v>316</v>
      </c>
      <c r="B54" s="57" t="s">
        <v>1211</v>
      </c>
      <c r="C54" s="57" t="s">
        <v>507</v>
      </c>
      <c r="D54" s="93" t="s">
        <v>237</v>
      </c>
      <c r="E54" s="189" t="s">
        <v>1163</v>
      </c>
      <c r="F54" s="92">
        <v>20000</v>
      </c>
      <c r="G54" s="65">
        <v>800</v>
      </c>
      <c r="H54" s="65" t="s">
        <v>1188</v>
      </c>
      <c r="I54" s="55" t="s">
        <v>1114</v>
      </c>
      <c r="J54" s="55">
        <v>45772</v>
      </c>
      <c r="K54" s="53" t="s">
        <v>786</v>
      </c>
      <c r="L54" s="207">
        <v>89049773510</v>
      </c>
      <c r="M54" s="53" t="s">
        <v>787</v>
      </c>
      <c r="N54" s="139"/>
      <c r="O54" s="92">
        <v>20000</v>
      </c>
      <c r="P54" s="57"/>
      <c r="Q54" s="53"/>
      <c r="R54" s="168" t="s">
        <v>417</v>
      </c>
      <c r="S54" s="94">
        <v>41500</v>
      </c>
      <c r="T54" s="61">
        <f t="shared" si="10"/>
        <v>830000</v>
      </c>
    </row>
    <row r="55" spans="1:20" s="63" customFormat="1" ht="13.5" customHeight="1" x14ac:dyDescent="0.25">
      <c r="A55" s="65" t="s">
        <v>418</v>
      </c>
      <c r="B55" s="57" t="s">
        <v>1213</v>
      </c>
      <c r="C55" s="57" t="s">
        <v>507</v>
      </c>
      <c r="D55" s="93" t="s">
        <v>237</v>
      </c>
      <c r="E55" s="189" t="s">
        <v>1214</v>
      </c>
      <c r="F55" s="92">
        <v>20000</v>
      </c>
      <c r="G55" s="65">
        <v>800</v>
      </c>
      <c r="H55" s="65" t="s">
        <v>1188</v>
      </c>
      <c r="I55" s="55" t="s">
        <v>1114</v>
      </c>
      <c r="J55" s="55">
        <v>45775</v>
      </c>
      <c r="K55" s="53" t="s">
        <v>587</v>
      </c>
      <c r="L55" s="207">
        <v>89212974613</v>
      </c>
      <c r="M55" s="53" t="s">
        <v>518</v>
      </c>
      <c r="N55" s="139"/>
      <c r="O55" s="92">
        <v>20000</v>
      </c>
      <c r="P55" s="57"/>
      <c r="Q55" s="53"/>
      <c r="R55" s="168" t="s">
        <v>417</v>
      </c>
      <c r="S55" s="94">
        <v>41500</v>
      </c>
      <c r="T55" s="61">
        <f t="shared" si="10"/>
        <v>830000</v>
      </c>
    </row>
    <row r="56" spans="1:20" s="63" customFormat="1" ht="13.5" customHeight="1" x14ac:dyDescent="0.25">
      <c r="A56" s="65" t="s">
        <v>421</v>
      </c>
      <c r="B56" s="57" t="s">
        <v>1219</v>
      </c>
      <c r="C56" s="57" t="s">
        <v>507</v>
      </c>
      <c r="D56" s="93" t="s">
        <v>237</v>
      </c>
      <c r="E56" s="189" t="s">
        <v>1223</v>
      </c>
      <c r="F56" s="92">
        <v>20000</v>
      </c>
      <c r="G56" s="65">
        <v>800</v>
      </c>
      <c r="H56" s="65" t="s">
        <v>1188</v>
      </c>
      <c r="I56" s="55" t="s">
        <v>1114</v>
      </c>
      <c r="J56" s="55">
        <v>45775</v>
      </c>
      <c r="K56" s="53" t="s">
        <v>1096</v>
      </c>
      <c r="L56" s="207">
        <v>89222151396</v>
      </c>
      <c r="M56" s="53" t="s">
        <v>1095</v>
      </c>
      <c r="N56" s="139"/>
      <c r="O56" s="92">
        <v>20000</v>
      </c>
      <c r="P56" s="57"/>
      <c r="Q56" s="53"/>
      <c r="R56" s="168" t="s">
        <v>417</v>
      </c>
      <c r="S56" s="94">
        <v>41500</v>
      </c>
      <c r="T56" s="61">
        <f t="shared" si="10"/>
        <v>830000</v>
      </c>
    </row>
    <row r="57" spans="1:20" s="63" customFormat="1" ht="13.5" customHeight="1" x14ac:dyDescent="0.25">
      <c r="A57" s="65" t="s">
        <v>421</v>
      </c>
      <c r="B57" s="57" t="s">
        <v>1162</v>
      </c>
      <c r="C57" s="57" t="s">
        <v>451</v>
      </c>
      <c r="D57" s="93" t="s">
        <v>223</v>
      </c>
      <c r="E57" s="56" t="s">
        <v>453</v>
      </c>
      <c r="F57" s="92">
        <v>10000</v>
      </c>
      <c r="G57" s="65">
        <v>400</v>
      </c>
      <c r="H57" s="65" t="s">
        <v>773</v>
      </c>
      <c r="I57" s="55" t="s">
        <v>1114</v>
      </c>
      <c r="J57" s="55">
        <v>45775</v>
      </c>
      <c r="K57" s="53" t="s">
        <v>1229</v>
      </c>
      <c r="L57" s="207">
        <v>89226070745</v>
      </c>
      <c r="M57" s="53" t="s">
        <v>1230</v>
      </c>
      <c r="N57" s="162"/>
      <c r="O57" s="92"/>
      <c r="P57" s="92">
        <v>10000</v>
      </c>
      <c r="Q57" s="53"/>
      <c r="R57" s="53" t="s">
        <v>417</v>
      </c>
      <c r="S57" s="94">
        <v>250000</v>
      </c>
      <c r="T57" s="61">
        <f t="shared" si="10"/>
        <v>2500000</v>
      </c>
    </row>
    <row r="58" spans="1:20" s="63" customFormat="1" ht="13.5" customHeight="1" x14ac:dyDescent="0.25">
      <c r="A58" s="65" t="s">
        <v>421</v>
      </c>
      <c r="B58" s="57" t="s">
        <v>1162</v>
      </c>
      <c r="C58" s="57" t="s">
        <v>451</v>
      </c>
      <c r="D58" s="93" t="s">
        <v>222</v>
      </c>
      <c r="E58" s="56" t="s">
        <v>464</v>
      </c>
      <c r="F58" s="92">
        <v>10000</v>
      </c>
      <c r="G58" s="65">
        <v>400</v>
      </c>
      <c r="H58" s="65" t="s">
        <v>773</v>
      </c>
      <c r="I58" s="55" t="s">
        <v>1114</v>
      </c>
      <c r="J58" s="55">
        <v>45775</v>
      </c>
      <c r="K58" s="53" t="s">
        <v>1229</v>
      </c>
      <c r="L58" s="207">
        <v>89226070745</v>
      </c>
      <c r="M58" s="53" t="s">
        <v>1230</v>
      </c>
      <c r="N58" s="162"/>
      <c r="O58" s="92">
        <v>10000</v>
      </c>
      <c r="P58" s="57"/>
      <c r="Q58" s="53"/>
      <c r="R58" s="53" t="s">
        <v>417</v>
      </c>
      <c r="S58" s="94">
        <v>43500</v>
      </c>
      <c r="T58" s="61">
        <f t="shared" si="10"/>
        <v>435000</v>
      </c>
    </row>
    <row r="59" spans="1:20" s="63" customFormat="1" ht="13.5" customHeight="1" x14ac:dyDescent="0.25">
      <c r="A59" s="65" t="s">
        <v>1094</v>
      </c>
      <c r="B59" s="57" t="s">
        <v>1225</v>
      </c>
      <c r="C59" s="57" t="s">
        <v>164</v>
      </c>
      <c r="D59" s="10" t="s">
        <v>306</v>
      </c>
      <c r="E59" s="167" t="s">
        <v>1235</v>
      </c>
      <c r="F59" s="57">
        <v>20125</v>
      </c>
      <c r="G59" s="65">
        <v>805</v>
      </c>
      <c r="H59" s="65" t="s">
        <v>165</v>
      </c>
      <c r="I59" s="55" t="s">
        <v>1114</v>
      </c>
      <c r="J59" s="55">
        <v>45776</v>
      </c>
      <c r="K59" s="53" t="s">
        <v>1236</v>
      </c>
      <c r="L59" s="207">
        <v>89220464746</v>
      </c>
      <c r="M59" s="53" t="s">
        <v>1237</v>
      </c>
      <c r="N59" s="237"/>
      <c r="O59" s="57">
        <v>20125</v>
      </c>
      <c r="P59" s="53"/>
      <c r="Q59" s="53"/>
      <c r="R59" s="168" t="s">
        <v>417</v>
      </c>
      <c r="S59" s="94">
        <v>41000</v>
      </c>
      <c r="T59" s="61">
        <f t="shared" si="10"/>
        <v>825125</v>
      </c>
    </row>
    <row r="60" spans="1:20" s="63" customFormat="1" ht="13.5" customHeight="1" x14ac:dyDescent="0.25">
      <c r="A60" s="65" t="s">
        <v>489</v>
      </c>
      <c r="B60" s="57" t="s">
        <v>1227</v>
      </c>
      <c r="C60" s="57" t="s">
        <v>164</v>
      </c>
      <c r="D60" s="10" t="s">
        <v>306</v>
      </c>
      <c r="E60" s="167" t="s">
        <v>1228</v>
      </c>
      <c r="F60" s="57">
        <v>20125</v>
      </c>
      <c r="G60" s="65">
        <v>805</v>
      </c>
      <c r="H60" s="65" t="s">
        <v>165</v>
      </c>
      <c r="I60" s="55" t="s">
        <v>1114</v>
      </c>
      <c r="J60" s="55">
        <v>45776</v>
      </c>
      <c r="K60" s="53" t="s">
        <v>1197</v>
      </c>
      <c r="L60" s="207" t="s">
        <v>1199</v>
      </c>
      <c r="M60" s="53" t="s">
        <v>1198</v>
      </c>
      <c r="N60" s="237"/>
      <c r="O60" s="57">
        <v>20125</v>
      </c>
      <c r="P60" s="53"/>
      <c r="Q60" s="53"/>
      <c r="R60" s="168" t="s">
        <v>417</v>
      </c>
      <c r="S60" s="94">
        <v>41000</v>
      </c>
      <c r="T60" s="61">
        <f t="shared" si="10"/>
        <v>825125</v>
      </c>
    </row>
    <row r="61" spans="1:20" s="63" customFormat="1" ht="13.5" customHeight="1" x14ac:dyDescent="0.25">
      <c r="A61" s="65" t="s">
        <v>421</v>
      </c>
      <c r="B61" s="57" t="s">
        <v>1224</v>
      </c>
      <c r="C61" s="57" t="s">
        <v>507</v>
      </c>
      <c r="D61" s="93" t="s">
        <v>237</v>
      </c>
      <c r="E61" s="189" t="s">
        <v>1192</v>
      </c>
      <c r="F61" s="92">
        <v>20000</v>
      </c>
      <c r="G61" s="65">
        <v>800</v>
      </c>
      <c r="H61" s="65" t="s">
        <v>1188</v>
      </c>
      <c r="I61" s="55" t="s">
        <v>1114</v>
      </c>
      <c r="J61" s="55">
        <v>45776</v>
      </c>
      <c r="K61" s="53" t="s">
        <v>1242</v>
      </c>
      <c r="L61" s="207">
        <v>89872508769</v>
      </c>
      <c r="M61" s="53" t="s">
        <v>1241</v>
      </c>
      <c r="N61" s="139"/>
      <c r="O61" s="92">
        <v>20000</v>
      </c>
      <c r="P61" s="57"/>
      <c r="Q61" s="53"/>
      <c r="R61" s="168" t="s">
        <v>417</v>
      </c>
      <c r="S61" s="94">
        <v>41500</v>
      </c>
      <c r="T61" s="61">
        <f t="shared" si="10"/>
        <v>830000</v>
      </c>
    </row>
    <row r="62" spans="1:20" s="63" customFormat="1" ht="13.5" customHeight="1" x14ac:dyDescent="0.25">
      <c r="A62" s="65" t="s">
        <v>495</v>
      </c>
      <c r="B62" s="57" t="s">
        <v>1232</v>
      </c>
      <c r="C62" s="57" t="s">
        <v>507</v>
      </c>
      <c r="D62" s="93" t="s">
        <v>237</v>
      </c>
      <c r="E62" s="189" t="s">
        <v>1231</v>
      </c>
      <c r="F62" s="92">
        <v>20000</v>
      </c>
      <c r="G62" s="65">
        <v>800</v>
      </c>
      <c r="H62" s="65" t="s">
        <v>1188</v>
      </c>
      <c r="I62" s="55" t="s">
        <v>1114</v>
      </c>
      <c r="J62" s="55">
        <v>45777</v>
      </c>
      <c r="K62" s="53" t="s">
        <v>1249</v>
      </c>
      <c r="L62" s="207">
        <v>89107671697</v>
      </c>
      <c r="M62" s="53" t="s">
        <v>1248</v>
      </c>
      <c r="N62" s="139"/>
      <c r="O62" s="92">
        <v>20000</v>
      </c>
      <c r="P62" s="57"/>
      <c r="Q62" s="53"/>
      <c r="R62" s="168" t="s">
        <v>417</v>
      </c>
      <c r="S62" s="94">
        <v>41500</v>
      </c>
      <c r="T62" s="61">
        <f xml:space="preserve"> S62*(F62/1000)</f>
        <v>830000</v>
      </c>
    </row>
    <row r="63" spans="1:20" s="63" customFormat="1" ht="13.5" customHeight="1" x14ac:dyDescent="0.25">
      <c r="A63" s="65" t="s">
        <v>316</v>
      </c>
      <c r="B63" s="57" t="s">
        <v>1179</v>
      </c>
      <c r="C63" s="57" t="s">
        <v>451</v>
      </c>
      <c r="D63" s="93" t="s">
        <v>222</v>
      </c>
      <c r="E63" s="56" t="s">
        <v>1075</v>
      </c>
      <c r="F63" s="92">
        <v>20000</v>
      </c>
      <c r="G63" s="65">
        <v>800</v>
      </c>
      <c r="H63" s="65" t="s">
        <v>165</v>
      </c>
      <c r="I63" s="65" t="s">
        <v>1114</v>
      </c>
      <c r="J63" s="55">
        <v>45777</v>
      </c>
      <c r="K63" s="98" t="s">
        <v>1244</v>
      </c>
      <c r="L63" s="105">
        <v>89082685786</v>
      </c>
      <c r="M63" s="98" t="s">
        <v>1245</v>
      </c>
      <c r="N63" s="162"/>
      <c r="O63" s="92">
        <f>F63</f>
        <v>20000</v>
      </c>
      <c r="P63" s="57"/>
      <c r="Q63" s="53"/>
      <c r="R63" s="53" t="s">
        <v>417</v>
      </c>
      <c r="S63" s="94">
        <v>43500</v>
      </c>
      <c r="T63" s="61">
        <f t="shared" si="10"/>
        <v>870000</v>
      </c>
    </row>
    <row r="64" spans="1:20" s="63" customFormat="1" ht="13.5" customHeight="1" x14ac:dyDescent="0.25">
      <c r="A64" s="65" t="s">
        <v>421</v>
      </c>
      <c r="B64" s="57" t="s">
        <v>1240</v>
      </c>
      <c r="C64" s="57" t="s">
        <v>964</v>
      </c>
      <c r="D64" s="93" t="s">
        <v>1255</v>
      </c>
      <c r="E64" s="189" t="s">
        <v>1243</v>
      </c>
      <c r="F64" s="92">
        <v>20000</v>
      </c>
      <c r="G64" s="65">
        <v>20</v>
      </c>
      <c r="H64" s="65" t="s">
        <v>966</v>
      </c>
      <c r="I64" s="65" t="s">
        <v>1114</v>
      </c>
      <c r="J64" s="55">
        <v>45777</v>
      </c>
      <c r="K64" s="53" t="s">
        <v>1238</v>
      </c>
      <c r="L64" s="207">
        <v>89872890644</v>
      </c>
      <c r="M64" s="53" t="s">
        <v>1239</v>
      </c>
      <c r="N64" s="212"/>
      <c r="O64" s="53"/>
      <c r="P64" s="57"/>
      <c r="Q64" s="92">
        <f>F64</f>
        <v>20000</v>
      </c>
      <c r="R64" s="53" t="s">
        <v>417</v>
      </c>
      <c r="S64" s="94">
        <v>89000</v>
      </c>
      <c r="T64" s="61">
        <f t="shared" si="10"/>
        <v>1780000</v>
      </c>
    </row>
    <row r="65" spans="1:20" s="63" customFormat="1" ht="13.5" customHeight="1" x14ac:dyDescent="0.25">
      <c r="A65" s="65" t="s">
        <v>311</v>
      </c>
      <c r="B65" s="57" t="s">
        <v>1043</v>
      </c>
      <c r="C65" s="57" t="s">
        <v>507</v>
      </c>
      <c r="D65" s="93" t="s">
        <v>237</v>
      </c>
      <c r="E65" s="189" t="s">
        <v>1223</v>
      </c>
      <c r="F65" s="92">
        <v>16000</v>
      </c>
      <c r="G65" s="65">
        <v>640</v>
      </c>
      <c r="H65" s="65" t="s">
        <v>1188</v>
      </c>
      <c r="I65" s="55" t="s">
        <v>1114</v>
      </c>
      <c r="J65" s="55">
        <v>45777</v>
      </c>
      <c r="K65" s="53" t="s">
        <v>1251</v>
      </c>
      <c r="L65" s="207">
        <v>89124843347</v>
      </c>
      <c r="M65" s="53" t="s">
        <v>1250</v>
      </c>
      <c r="N65" s="139"/>
      <c r="O65" s="92">
        <f>F65</f>
        <v>16000</v>
      </c>
      <c r="P65" s="57"/>
      <c r="Q65" s="53"/>
      <c r="R65" s="168" t="s">
        <v>417</v>
      </c>
      <c r="S65" s="94">
        <v>41500</v>
      </c>
      <c r="T65" s="61">
        <f t="shared" si="10"/>
        <v>664000</v>
      </c>
    </row>
    <row r="66" spans="1:20" s="63" customFormat="1" ht="13.5" customHeight="1" x14ac:dyDescent="0.25">
      <c r="A66" s="65" t="s">
        <v>311</v>
      </c>
      <c r="B66" s="57" t="s">
        <v>1043</v>
      </c>
      <c r="C66" s="57" t="s">
        <v>507</v>
      </c>
      <c r="D66" s="93" t="s">
        <v>295</v>
      </c>
      <c r="E66" s="189" t="s">
        <v>1212</v>
      </c>
      <c r="F66" s="92">
        <v>4560</v>
      </c>
      <c r="G66" s="65">
        <v>24</v>
      </c>
      <c r="H66" s="65" t="s">
        <v>1188</v>
      </c>
      <c r="I66" s="55" t="s">
        <v>1114</v>
      </c>
      <c r="J66" s="55">
        <v>45777</v>
      </c>
      <c r="K66" s="53" t="s">
        <v>1251</v>
      </c>
      <c r="L66" s="207">
        <v>89124843347</v>
      </c>
      <c r="M66" s="53" t="s">
        <v>1250</v>
      </c>
      <c r="N66" s="139"/>
      <c r="O66" s="92"/>
      <c r="P66" s="57"/>
      <c r="Q66" s="53">
        <f>F66</f>
        <v>4560</v>
      </c>
      <c r="R66" s="168" t="s">
        <v>417</v>
      </c>
      <c r="S66" s="94">
        <v>339000</v>
      </c>
      <c r="T66" s="61">
        <f xml:space="preserve"> S66*(F66/1000)</f>
        <v>1545839.9999999998</v>
      </c>
    </row>
    <row r="67" spans="1:20" ht="30.75" thickBot="1" x14ac:dyDescent="0.35">
      <c r="A67" s="159" t="s">
        <v>15</v>
      </c>
      <c r="B67" s="101">
        <f>SUM($F$4:$F$127)/1000</f>
        <v>891.23</v>
      </c>
      <c r="C67" s="54" t="s">
        <v>14</v>
      </c>
      <c r="S67" s="235"/>
      <c r="T67" s="235">
        <f>SUM(T4:T66)</f>
        <v>72025495</v>
      </c>
    </row>
    <row r="68" spans="1:20" ht="30.6" customHeight="1" x14ac:dyDescent="0.3">
      <c r="A68" s="110" t="s">
        <v>16</v>
      </c>
      <c r="B68" s="102">
        <f>$B$69+$B$70+$B$71</f>
        <v>891.23</v>
      </c>
      <c r="C68" s="1" t="s">
        <v>14</v>
      </c>
      <c r="E68" s="175"/>
      <c r="F68" s="154" t="s">
        <v>321</v>
      </c>
      <c r="G68" s="154"/>
    </row>
    <row r="69" spans="1:20" ht="18.75" x14ac:dyDescent="0.3">
      <c r="A69" s="111" t="s">
        <v>17</v>
      </c>
      <c r="B69" s="100">
        <f>SUM($O$4:$O$127)/1000</f>
        <v>633.625</v>
      </c>
      <c r="C69" s="2" t="s">
        <v>14</v>
      </c>
      <c r="D69" s="184"/>
      <c r="E69" s="188"/>
      <c r="F69" s="154" t="s">
        <v>319</v>
      </c>
      <c r="G69" s="154"/>
    </row>
    <row r="70" spans="1:20" ht="18.75" x14ac:dyDescent="0.3">
      <c r="A70" s="111" t="s">
        <v>153</v>
      </c>
      <c r="B70" s="100">
        <f>SUM($P$4:$P$127)/1000</f>
        <v>34.045000000000002</v>
      </c>
      <c r="C70" s="2" t="s">
        <v>14</v>
      </c>
      <c r="E70" s="177"/>
      <c r="F70" s="154" t="s">
        <v>318</v>
      </c>
      <c r="G70" s="154"/>
    </row>
    <row r="71" spans="1:20" ht="20.25" customHeight="1" x14ac:dyDescent="0.3">
      <c r="A71" s="111" t="s">
        <v>24</v>
      </c>
      <c r="B71" s="103">
        <f>SUM($Q$4:$Q$127)/1000</f>
        <v>223.56</v>
      </c>
      <c r="C71" s="2" t="s">
        <v>14</v>
      </c>
      <c r="E71" s="178"/>
      <c r="F71" s="154" t="s">
        <v>325</v>
      </c>
    </row>
    <row r="72" spans="1:20" ht="34.5" customHeight="1" thickBot="1" x14ac:dyDescent="0.35">
      <c r="A72" s="112" t="s">
        <v>20</v>
      </c>
      <c r="B72" s="104">
        <f>$B$67-$B$68</f>
        <v>0</v>
      </c>
      <c r="C72" s="3" t="s">
        <v>14</v>
      </c>
    </row>
  </sheetData>
  <sheetProtection formatCells="0" formatColumns="0" formatRows="0" insertColumns="0" insertRows="0" insertHyperlinks="0" deleteColumns="0" deleteRows="0" sort="0" autoFilter="0" pivotTables="0"/>
  <autoFilter ref="D1:D72" xr:uid="{00000000-0009-0000-0000-000008000000}"/>
  <mergeCells count="13">
    <mergeCell ref="S2:S3"/>
    <mergeCell ref="H2:H3"/>
    <mergeCell ref="I2:I3"/>
    <mergeCell ref="J2:J3"/>
    <mergeCell ref="K2:M2"/>
    <mergeCell ref="O2:Q2"/>
    <mergeCell ref="R2:R3"/>
    <mergeCell ref="F2:G2"/>
    <mergeCell ref="A2:A3"/>
    <mergeCell ref="B2:B3"/>
    <mergeCell ref="C2:C3"/>
    <mergeCell ref="D2:D3"/>
    <mergeCell ref="E2:E3"/>
  </mergeCells>
  <phoneticPr fontId="119" type="noConversion"/>
  <dataValidations count="2">
    <dataValidation type="list" allowBlank="1" showInputMessage="1" showErrorMessage="1" sqref="D67" xr:uid="{00000000-0002-0000-0800-000000000000}">
      <formula1>$E$67:$E$83</formula1>
    </dataValidation>
    <dataValidation type="list" allowBlank="1" showInputMessage="1" showErrorMessage="1" sqref="D54:D66" xr:uid="{00000000-0002-0000-0800-000001000000}">
      <formula1>$E$2:$E$133</formula1>
    </dataValidation>
  </dataValidations>
  <pageMargins left="0.7" right="0.7" top="0.75" bottom="0.75" header="0.3" footer="0.3"/>
  <pageSetup paperSize="9" scale="37" orientation="landscape" r:id="rId1"/>
  <colBreaks count="1" manualBreakCount="1">
    <brk id="1" max="87" man="1"/>
  </col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800-000002000000}">
          <x14:formula1>
            <xm:f>справочник!$E$2:$E$174</xm:f>
          </x14:formula1>
          <xm:sqref>D80</xm:sqref>
        </x14:dataValidation>
        <x14:dataValidation type="list" allowBlank="1" showInputMessage="1" showErrorMessage="1" xr:uid="{00000000-0002-0000-0800-000003000000}">
          <x14:formula1>
            <xm:f>справочник!$E$2:$E$173</xm:f>
          </x14:formula1>
          <xm:sqref>D4:D51</xm:sqref>
        </x14:dataValidation>
        <x14:dataValidation type="list" allowBlank="1" showInputMessage="1" showErrorMessage="1" xr:uid="{00000000-0002-0000-0800-000004000000}">
          <x14:formula1>
            <xm:f>справочник!$E$2:$E$176</xm:f>
          </x14:formula1>
          <xm:sqref>D52:D53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92"/>
  <sheetViews>
    <sheetView zoomScale="70" zoomScaleNormal="70" zoomScaleSheetLayoutView="70" workbookViewId="0">
      <pane ySplit="3" topLeftCell="A49" activePane="bottomLeft" state="frozen"/>
      <selection pane="bottomLeft" activeCell="B71" sqref="B71:S71"/>
    </sheetView>
  </sheetViews>
  <sheetFormatPr defaultRowHeight="15" x14ac:dyDescent="0.25"/>
  <cols>
    <col min="1" max="1" width="16.5703125" style="113" customWidth="1"/>
    <col min="2" max="2" width="23.28515625" customWidth="1"/>
    <col min="3" max="3" width="17.7109375" customWidth="1"/>
    <col min="4" max="4" width="43" customWidth="1"/>
    <col min="5" max="5" width="17.5703125" style="174" customWidth="1"/>
    <col min="6" max="6" width="13" bestFit="1" customWidth="1"/>
    <col min="7" max="7" width="19.140625" customWidth="1"/>
    <col min="8" max="8" width="19.5703125" customWidth="1"/>
    <col min="9" max="9" width="23" customWidth="1"/>
    <col min="10" max="10" width="16.42578125" customWidth="1"/>
    <col min="11" max="11" width="23" customWidth="1"/>
    <col min="12" max="12" width="26.7109375" customWidth="1"/>
    <col min="13" max="13" width="26.85546875" customWidth="1"/>
    <col min="14" max="14" width="26.42578125" style="140" customWidth="1"/>
    <col min="15" max="15" width="9.85546875" customWidth="1"/>
    <col min="16" max="16" width="10.42578125" customWidth="1"/>
    <col min="17" max="17" width="10.28515625" customWidth="1"/>
    <col min="18" max="18" width="7.5703125" customWidth="1"/>
    <col min="19" max="19" width="13.85546875" customWidth="1"/>
    <col min="20" max="20" width="17.28515625" customWidth="1"/>
    <col min="21" max="21" width="15.42578125" customWidth="1"/>
  </cols>
  <sheetData>
    <row r="1" spans="1:20" s="59" customFormat="1" ht="17.25" x14ac:dyDescent="0.3">
      <c r="A1" s="109"/>
      <c r="B1" s="58" t="s">
        <v>152</v>
      </c>
      <c r="C1" s="66">
        <v>45717</v>
      </c>
      <c r="D1" s="58"/>
      <c r="E1" s="173"/>
      <c r="F1" s="58"/>
      <c r="H1" s="58"/>
      <c r="I1" s="58"/>
      <c r="J1" s="58"/>
      <c r="K1" s="60"/>
      <c r="L1" s="60"/>
      <c r="M1" s="60"/>
      <c r="N1" s="106"/>
      <c r="O1" s="60"/>
      <c r="P1" s="60"/>
      <c r="Q1" s="60"/>
    </row>
    <row r="2" spans="1:20" ht="25.5" customHeight="1" x14ac:dyDescent="0.25">
      <c r="A2" s="404" t="s">
        <v>159</v>
      </c>
      <c r="B2" s="406" t="s">
        <v>18</v>
      </c>
      <c r="C2" s="408" t="s">
        <v>156</v>
      </c>
      <c r="D2" s="410" t="s">
        <v>4</v>
      </c>
      <c r="E2" s="412" t="s">
        <v>5</v>
      </c>
      <c r="F2" s="402" t="s">
        <v>0</v>
      </c>
      <c r="G2" s="403"/>
      <c r="H2" s="388" t="s">
        <v>2</v>
      </c>
      <c r="I2" s="390" t="s">
        <v>3</v>
      </c>
      <c r="J2" s="392" t="s">
        <v>6</v>
      </c>
      <c r="K2" s="394" t="s">
        <v>7</v>
      </c>
      <c r="L2" s="395"/>
      <c r="M2" s="396"/>
      <c r="N2" s="107" t="s">
        <v>9</v>
      </c>
      <c r="O2" s="397" t="s">
        <v>12</v>
      </c>
      <c r="P2" s="398"/>
      <c r="Q2" s="399"/>
      <c r="R2" s="400" t="s">
        <v>151</v>
      </c>
      <c r="S2" s="387" t="s">
        <v>161</v>
      </c>
      <c r="T2" s="95"/>
    </row>
    <row r="3" spans="1:20" x14ac:dyDescent="0.25">
      <c r="A3" s="405"/>
      <c r="B3" s="407"/>
      <c r="C3" s="409"/>
      <c r="D3" s="411"/>
      <c r="E3" s="413"/>
      <c r="F3" s="149" t="s">
        <v>1</v>
      </c>
      <c r="G3" s="149" t="s">
        <v>155</v>
      </c>
      <c r="H3" s="389"/>
      <c r="I3" s="391"/>
      <c r="J3" s="393"/>
      <c r="K3" s="201" t="s">
        <v>8</v>
      </c>
      <c r="L3" s="201" t="s">
        <v>21</v>
      </c>
      <c r="M3" s="201" t="s">
        <v>10</v>
      </c>
      <c r="N3" s="150" t="s">
        <v>1038</v>
      </c>
      <c r="O3" s="151" t="s">
        <v>13</v>
      </c>
      <c r="P3" s="151" t="s">
        <v>154</v>
      </c>
      <c r="Q3" s="152" t="s">
        <v>23</v>
      </c>
      <c r="R3" s="401"/>
      <c r="S3" s="387"/>
      <c r="T3" s="153" t="s">
        <v>162</v>
      </c>
    </row>
    <row r="4" spans="1:20" s="138" customFormat="1" x14ac:dyDescent="0.25">
      <c r="A4" s="200"/>
      <c r="B4" s="145"/>
      <c r="C4" s="145"/>
      <c r="D4" s="143"/>
      <c r="E4" s="144"/>
      <c r="F4" s="145"/>
      <c r="G4" s="142"/>
      <c r="H4" s="142"/>
      <c r="I4" s="142"/>
      <c r="J4" s="146"/>
      <c r="K4" s="147"/>
      <c r="L4" s="210"/>
      <c r="M4" s="147"/>
      <c r="N4" s="155"/>
      <c r="O4" s="156"/>
      <c r="P4" s="156"/>
      <c r="Q4" s="157"/>
      <c r="R4" s="141"/>
      <c r="T4" s="158"/>
    </row>
    <row r="5" spans="1:20" s="63" customFormat="1" ht="13.5" customHeight="1" x14ac:dyDescent="0.25">
      <c r="A5" s="65" t="s">
        <v>311</v>
      </c>
      <c r="B5" s="57" t="s">
        <v>860</v>
      </c>
      <c r="C5" s="57" t="s">
        <v>507</v>
      </c>
      <c r="D5" s="93" t="s">
        <v>237</v>
      </c>
      <c r="E5" s="56" t="s">
        <v>861</v>
      </c>
      <c r="F5" s="92">
        <v>20000</v>
      </c>
      <c r="G5" s="65">
        <v>800</v>
      </c>
      <c r="H5" s="65" t="s">
        <v>165</v>
      </c>
      <c r="I5" s="65" t="s">
        <v>404</v>
      </c>
      <c r="J5" s="55">
        <v>45719</v>
      </c>
      <c r="K5" s="53" t="s">
        <v>900</v>
      </c>
      <c r="L5" s="207" t="s">
        <v>899</v>
      </c>
      <c r="M5" s="53" t="s">
        <v>898</v>
      </c>
      <c r="N5" s="139"/>
      <c r="O5" s="92">
        <v>20000</v>
      </c>
      <c r="P5" s="57"/>
      <c r="Q5" s="53"/>
      <c r="R5" s="168" t="s">
        <v>417</v>
      </c>
      <c r="S5" s="94">
        <v>41500</v>
      </c>
      <c r="T5" s="61">
        <f t="shared" ref="T5:T9" si="0" xml:space="preserve"> S5*(F5/1000)</f>
        <v>830000</v>
      </c>
    </row>
    <row r="6" spans="1:20" s="63" customFormat="1" ht="13.5" customHeight="1" x14ac:dyDescent="0.25">
      <c r="A6" s="65" t="s">
        <v>311</v>
      </c>
      <c r="B6" s="92" t="s">
        <v>842</v>
      </c>
      <c r="C6" s="92" t="s">
        <v>284</v>
      </c>
      <c r="D6" s="93" t="s">
        <v>223</v>
      </c>
      <c r="E6" s="56" t="s">
        <v>839</v>
      </c>
      <c r="F6" s="92">
        <v>5000</v>
      </c>
      <c r="G6" s="65">
        <v>200</v>
      </c>
      <c r="H6" s="65" t="s">
        <v>323</v>
      </c>
      <c r="I6" s="65" t="s">
        <v>404</v>
      </c>
      <c r="J6" s="55">
        <v>45719</v>
      </c>
      <c r="K6" s="208" t="s">
        <v>918</v>
      </c>
      <c r="L6" s="197">
        <v>89375809478</v>
      </c>
      <c r="M6" s="209" t="s">
        <v>917</v>
      </c>
      <c r="N6" s="53" t="s">
        <v>888</v>
      </c>
      <c r="O6" s="92"/>
      <c r="P6" s="92">
        <v>5000</v>
      </c>
      <c r="Q6" s="57"/>
      <c r="R6" s="53" t="s">
        <v>417</v>
      </c>
      <c r="S6" s="94">
        <v>252500</v>
      </c>
      <c r="T6" s="61">
        <f t="shared" si="0"/>
        <v>1262500</v>
      </c>
    </row>
    <row r="7" spans="1:20" s="63" customFormat="1" ht="13.5" customHeight="1" x14ac:dyDescent="0.25">
      <c r="A7" s="65" t="s">
        <v>311</v>
      </c>
      <c r="B7" s="92" t="s">
        <v>842</v>
      </c>
      <c r="C7" s="92" t="s">
        <v>284</v>
      </c>
      <c r="D7" s="93" t="s">
        <v>223</v>
      </c>
      <c r="E7" s="56" t="s">
        <v>840</v>
      </c>
      <c r="F7" s="92">
        <v>5000</v>
      </c>
      <c r="G7" s="65">
        <v>200</v>
      </c>
      <c r="H7" s="65" t="s">
        <v>323</v>
      </c>
      <c r="I7" s="65" t="s">
        <v>404</v>
      </c>
      <c r="J7" s="55">
        <v>45719</v>
      </c>
      <c r="K7" s="208" t="s">
        <v>918</v>
      </c>
      <c r="L7" s="197">
        <v>89375809478</v>
      </c>
      <c r="M7" s="211" t="s">
        <v>917</v>
      </c>
      <c r="N7" s="53" t="s">
        <v>889</v>
      </c>
      <c r="O7" s="92"/>
      <c r="P7" s="92">
        <v>5000</v>
      </c>
      <c r="Q7" s="57"/>
      <c r="R7" s="53" t="s">
        <v>417</v>
      </c>
      <c r="S7" s="94">
        <v>252500</v>
      </c>
      <c r="T7" s="61">
        <f t="shared" si="0"/>
        <v>1262500</v>
      </c>
    </row>
    <row r="8" spans="1:20" s="63" customFormat="1" ht="13.5" customHeight="1" x14ac:dyDescent="0.25">
      <c r="A8" s="65" t="s">
        <v>311</v>
      </c>
      <c r="B8" s="92" t="s">
        <v>842</v>
      </c>
      <c r="C8" s="92" t="s">
        <v>284</v>
      </c>
      <c r="D8" s="93" t="s">
        <v>223</v>
      </c>
      <c r="E8" s="56" t="s">
        <v>841</v>
      </c>
      <c r="F8" s="92">
        <v>5000</v>
      </c>
      <c r="G8" s="65">
        <v>200</v>
      </c>
      <c r="H8" s="65" t="s">
        <v>323</v>
      </c>
      <c r="I8" s="65" t="s">
        <v>404</v>
      </c>
      <c r="J8" s="55">
        <v>45719</v>
      </c>
      <c r="K8" s="208" t="s">
        <v>918</v>
      </c>
      <c r="L8" s="197">
        <v>89375809478</v>
      </c>
      <c r="M8" s="209" t="s">
        <v>917</v>
      </c>
      <c r="N8" s="53" t="s">
        <v>890</v>
      </c>
      <c r="O8" s="92"/>
      <c r="P8" s="92">
        <v>5000</v>
      </c>
      <c r="Q8" s="57"/>
      <c r="R8" s="53" t="s">
        <v>417</v>
      </c>
      <c r="S8" s="94">
        <v>252500</v>
      </c>
      <c r="T8" s="61">
        <f t="shared" si="0"/>
        <v>1262500</v>
      </c>
    </row>
    <row r="9" spans="1:20" s="63" customFormat="1" ht="13.5" customHeight="1" x14ac:dyDescent="0.25">
      <c r="A9" s="65" t="s">
        <v>311</v>
      </c>
      <c r="B9" s="92" t="s">
        <v>842</v>
      </c>
      <c r="C9" s="92" t="s">
        <v>284</v>
      </c>
      <c r="D9" s="93" t="s">
        <v>223</v>
      </c>
      <c r="E9" s="56" t="s">
        <v>862</v>
      </c>
      <c r="F9" s="92">
        <v>5000</v>
      </c>
      <c r="G9" s="65">
        <v>200</v>
      </c>
      <c r="H9" s="65" t="s">
        <v>323</v>
      </c>
      <c r="I9" s="65" t="s">
        <v>404</v>
      </c>
      <c r="J9" s="55">
        <v>45719</v>
      </c>
      <c r="K9" s="208" t="s">
        <v>918</v>
      </c>
      <c r="L9" s="197">
        <v>89375809478</v>
      </c>
      <c r="M9" s="209" t="s">
        <v>917</v>
      </c>
      <c r="N9" s="53" t="s">
        <v>891</v>
      </c>
      <c r="O9" s="92"/>
      <c r="P9" s="92">
        <v>5000</v>
      </c>
      <c r="Q9" s="57"/>
      <c r="R9" s="53" t="s">
        <v>417</v>
      </c>
      <c r="S9" s="94">
        <v>252500</v>
      </c>
      <c r="T9" s="61">
        <f t="shared" si="0"/>
        <v>1262500</v>
      </c>
    </row>
    <row r="10" spans="1:20" s="63" customFormat="1" ht="13.5" customHeight="1" x14ac:dyDescent="0.25">
      <c r="A10" s="65" t="s">
        <v>865</v>
      </c>
      <c r="B10" s="57" t="s">
        <v>901</v>
      </c>
      <c r="C10" s="57" t="s">
        <v>164</v>
      </c>
      <c r="D10" s="10" t="s">
        <v>283</v>
      </c>
      <c r="E10" s="167" t="s">
        <v>902</v>
      </c>
      <c r="F10" s="57">
        <v>4440</v>
      </c>
      <c r="G10" s="65">
        <v>24</v>
      </c>
      <c r="H10" s="65" t="s">
        <v>903</v>
      </c>
      <c r="I10" s="55" t="s">
        <v>404</v>
      </c>
      <c r="J10" s="55">
        <v>45720</v>
      </c>
      <c r="K10" s="99" t="s">
        <v>922</v>
      </c>
      <c r="L10" s="105">
        <v>89624231916</v>
      </c>
      <c r="M10" s="62" t="s">
        <v>921</v>
      </c>
      <c r="N10" s="179"/>
      <c r="O10" s="53"/>
      <c r="P10" s="53"/>
      <c r="Q10" s="57">
        <v>4440</v>
      </c>
      <c r="R10" s="168" t="s">
        <v>417</v>
      </c>
      <c r="S10" s="94">
        <v>369500</v>
      </c>
      <c r="T10" s="61">
        <f xml:space="preserve"> S10*(F10/1000)</f>
        <v>1640580.0000000002</v>
      </c>
    </row>
    <row r="11" spans="1:20" s="63" customFormat="1" ht="13.5" customHeight="1" x14ac:dyDescent="0.25">
      <c r="A11" s="65" t="s">
        <v>311</v>
      </c>
      <c r="B11" s="57" t="s">
        <v>697</v>
      </c>
      <c r="C11" s="57" t="s">
        <v>796</v>
      </c>
      <c r="D11" s="93" t="s">
        <v>293</v>
      </c>
      <c r="E11" s="56" t="s">
        <v>822</v>
      </c>
      <c r="F11" s="92">
        <v>15840</v>
      </c>
      <c r="G11" s="65">
        <v>88</v>
      </c>
      <c r="H11" s="65" t="s">
        <v>165</v>
      </c>
      <c r="I11" s="65" t="s">
        <v>404</v>
      </c>
      <c r="J11" s="55">
        <v>45720</v>
      </c>
      <c r="K11" s="98" t="s">
        <v>920</v>
      </c>
      <c r="L11" s="108">
        <v>89092465972</v>
      </c>
      <c r="M11" s="98" t="s">
        <v>919</v>
      </c>
      <c r="N11" s="162"/>
      <c r="O11" s="92"/>
      <c r="P11" s="57"/>
      <c r="Q11" s="92">
        <v>15840</v>
      </c>
      <c r="R11" s="53" t="s">
        <v>417</v>
      </c>
      <c r="S11" s="94">
        <v>335000</v>
      </c>
      <c r="T11" s="61">
        <f xml:space="preserve"> S11*(F11/1000)</f>
        <v>5306400</v>
      </c>
    </row>
    <row r="12" spans="1:20" s="63" customFormat="1" ht="13.5" customHeight="1" x14ac:dyDescent="0.25">
      <c r="A12" s="65" t="s">
        <v>303</v>
      </c>
      <c r="B12" s="57" t="s">
        <v>878</v>
      </c>
      <c r="C12" s="57" t="s">
        <v>164</v>
      </c>
      <c r="D12" s="10" t="s">
        <v>306</v>
      </c>
      <c r="E12" s="167" t="s">
        <v>861</v>
      </c>
      <c r="F12" s="57">
        <v>17500</v>
      </c>
      <c r="G12" s="65">
        <v>700</v>
      </c>
      <c r="H12" s="65" t="s">
        <v>166</v>
      </c>
      <c r="I12" s="55" t="s">
        <v>404</v>
      </c>
      <c r="J12" s="55">
        <v>45720</v>
      </c>
      <c r="K12" s="99" t="s">
        <v>572</v>
      </c>
      <c r="L12" s="105">
        <v>89115583359</v>
      </c>
      <c r="M12" s="62" t="s">
        <v>571</v>
      </c>
      <c r="N12" s="179" t="s">
        <v>932</v>
      </c>
      <c r="O12" s="57">
        <v>17500</v>
      </c>
      <c r="P12" s="53"/>
      <c r="Q12" s="53"/>
      <c r="R12" s="168" t="s">
        <v>417</v>
      </c>
      <c r="S12" s="94">
        <v>48500</v>
      </c>
      <c r="T12" s="61">
        <f xml:space="preserve"> S12*(F12/1000)</f>
        <v>848750</v>
      </c>
    </row>
    <row r="13" spans="1:20" s="63" customFormat="1" ht="13.5" customHeight="1" x14ac:dyDescent="0.25">
      <c r="A13" s="65" t="s">
        <v>303</v>
      </c>
      <c r="B13" s="57" t="s">
        <v>904</v>
      </c>
      <c r="C13" s="57" t="s">
        <v>164</v>
      </c>
      <c r="D13" s="10" t="s">
        <v>306</v>
      </c>
      <c r="E13" s="167" t="s">
        <v>902</v>
      </c>
      <c r="F13" s="57">
        <v>17500</v>
      </c>
      <c r="G13" s="65">
        <v>700</v>
      </c>
      <c r="H13" s="65" t="s">
        <v>166</v>
      </c>
      <c r="I13" s="55" t="s">
        <v>404</v>
      </c>
      <c r="J13" s="55">
        <v>45720</v>
      </c>
      <c r="K13" s="99" t="s">
        <v>572</v>
      </c>
      <c r="L13" s="105">
        <v>89115583359</v>
      </c>
      <c r="M13" s="62" t="s">
        <v>571</v>
      </c>
      <c r="N13" s="179" t="s">
        <v>929</v>
      </c>
      <c r="O13" s="57">
        <v>17500</v>
      </c>
      <c r="P13" s="53"/>
      <c r="Q13" s="53"/>
      <c r="R13" s="168" t="s">
        <v>417</v>
      </c>
      <c r="S13" s="94">
        <v>48500</v>
      </c>
      <c r="T13" s="61">
        <f xml:space="preserve"> S13*(F13/1000)</f>
        <v>848750</v>
      </c>
    </row>
    <row r="14" spans="1:20" s="63" customFormat="1" ht="13.5" customHeight="1" x14ac:dyDescent="0.25">
      <c r="A14" s="65" t="s">
        <v>303</v>
      </c>
      <c r="B14" s="57" t="s">
        <v>905</v>
      </c>
      <c r="C14" s="57" t="s">
        <v>164</v>
      </c>
      <c r="D14" s="10" t="s">
        <v>306</v>
      </c>
      <c r="E14" s="167" t="s">
        <v>837</v>
      </c>
      <c r="F14" s="57">
        <v>17500</v>
      </c>
      <c r="G14" s="65">
        <v>700</v>
      </c>
      <c r="H14" s="65" t="s">
        <v>166</v>
      </c>
      <c r="I14" s="55" t="s">
        <v>404</v>
      </c>
      <c r="J14" s="55">
        <v>45720</v>
      </c>
      <c r="K14" s="99" t="s">
        <v>603</v>
      </c>
      <c r="L14" s="105">
        <v>89095563417</v>
      </c>
      <c r="M14" s="62" t="s">
        <v>602</v>
      </c>
      <c r="N14" s="179" t="s">
        <v>931</v>
      </c>
      <c r="O14" s="57">
        <v>17500</v>
      </c>
      <c r="P14" s="53"/>
      <c r="Q14" s="53"/>
      <c r="R14" s="168" t="s">
        <v>417</v>
      </c>
      <c r="S14" s="94">
        <v>48500</v>
      </c>
      <c r="T14" s="61">
        <f xml:space="preserve"> S14*(F14/1000)</f>
        <v>848750</v>
      </c>
    </row>
    <row r="15" spans="1:20" s="63" customFormat="1" ht="13.5" customHeight="1" x14ac:dyDescent="0.25">
      <c r="A15" s="65" t="s">
        <v>303</v>
      </c>
      <c r="B15" s="57" t="s">
        <v>907</v>
      </c>
      <c r="C15" s="57" t="s">
        <v>164</v>
      </c>
      <c r="D15" s="10" t="s">
        <v>306</v>
      </c>
      <c r="E15" s="167" t="s">
        <v>877</v>
      </c>
      <c r="F15" s="57">
        <v>17500</v>
      </c>
      <c r="G15" s="65">
        <v>700</v>
      </c>
      <c r="H15" s="65" t="s">
        <v>166</v>
      </c>
      <c r="I15" s="55" t="s">
        <v>404</v>
      </c>
      <c r="J15" s="55">
        <v>45720</v>
      </c>
      <c r="K15" s="99" t="s">
        <v>603</v>
      </c>
      <c r="L15" s="105">
        <v>89095563417</v>
      </c>
      <c r="M15" s="62" t="s">
        <v>602</v>
      </c>
      <c r="N15" s="179" t="s">
        <v>928</v>
      </c>
      <c r="O15" s="57">
        <v>17500</v>
      </c>
      <c r="P15" s="53"/>
      <c r="Q15" s="53"/>
      <c r="R15" s="168" t="s">
        <v>417</v>
      </c>
      <c r="S15" s="94">
        <v>48500</v>
      </c>
      <c r="T15" s="61">
        <f t="shared" ref="T15:T31" si="1" xml:space="preserve"> S15*(F15/1000)</f>
        <v>848750</v>
      </c>
    </row>
    <row r="16" spans="1:20" s="63" customFormat="1" ht="13.5" customHeight="1" x14ac:dyDescent="0.25">
      <c r="A16" s="65" t="s">
        <v>303</v>
      </c>
      <c r="B16" s="57" t="s">
        <v>909</v>
      </c>
      <c r="C16" s="57" t="s">
        <v>164</v>
      </c>
      <c r="D16" s="10" t="s">
        <v>306</v>
      </c>
      <c r="E16" s="167" t="s">
        <v>910</v>
      </c>
      <c r="F16" s="57">
        <v>17500</v>
      </c>
      <c r="G16" s="65">
        <v>700</v>
      </c>
      <c r="H16" s="65" t="s">
        <v>166</v>
      </c>
      <c r="I16" s="55" t="s">
        <v>404</v>
      </c>
      <c r="J16" s="55">
        <v>45720</v>
      </c>
      <c r="K16" s="99" t="s">
        <v>603</v>
      </c>
      <c r="L16" s="105">
        <v>89095563417</v>
      </c>
      <c r="M16" s="62" t="s">
        <v>602</v>
      </c>
      <c r="N16" s="179" t="s">
        <v>933</v>
      </c>
      <c r="O16" s="57">
        <v>17500</v>
      </c>
      <c r="P16" s="53"/>
      <c r="Q16" s="53"/>
      <c r="R16" s="168" t="s">
        <v>417</v>
      </c>
      <c r="S16" s="94">
        <v>48500</v>
      </c>
      <c r="T16" s="61">
        <f xml:space="preserve"> S16*(F16/1000)</f>
        <v>848750</v>
      </c>
    </row>
    <row r="17" spans="1:20" s="63" customFormat="1" ht="13.5" customHeight="1" x14ac:dyDescent="0.25">
      <c r="A17" s="65" t="s">
        <v>303</v>
      </c>
      <c r="B17" s="57" t="s">
        <v>908</v>
      </c>
      <c r="C17" s="57" t="s">
        <v>164</v>
      </c>
      <c r="D17" s="10" t="s">
        <v>306</v>
      </c>
      <c r="E17" s="167" t="s">
        <v>906</v>
      </c>
      <c r="F17" s="57">
        <v>17500</v>
      </c>
      <c r="G17" s="65">
        <v>700</v>
      </c>
      <c r="H17" s="65" t="s">
        <v>166</v>
      </c>
      <c r="I17" s="55" t="s">
        <v>404</v>
      </c>
      <c r="J17" s="55">
        <v>45720</v>
      </c>
      <c r="K17" s="99" t="s">
        <v>603</v>
      </c>
      <c r="L17" s="105">
        <v>89095563417</v>
      </c>
      <c r="M17" s="62" t="s">
        <v>602</v>
      </c>
      <c r="N17" s="179" t="s">
        <v>930</v>
      </c>
      <c r="O17" s="57">
        <v>17500</v>
      </c>
      <c r="P17" s="53"/>
      <c r="Q17" s="53"/>
      <c r="R17" s="168" t="s">
        <v>417</v>
      </c>
      <c r="S17" s="94">
        <v>48500</v>
      </c>
      <c r="T17" s="61">
        <f t="shared" si="1"/>
        <v>848750</v>
      </c>
    </row>
    <row r="18" spans="1:20" s="63" customFormat="1" ht="13.5" customHeight="1" x14ac:dyDescent="0.25">
      <c r="A18" s="65" t="s">
        <v>303</v>
      </c>
      <c r="B18" s="57" t="s">
        <v>911</v>
      </c>
      <c r="C18" s="57" t="s">
        <v>164</v>
      </c>
      <c r="D18" s="10" t="s">
        <v>306</v>
      </c>
      <c r="E18" s="167" t="s">
        <v>912</v>
      </c>
      <c r="F18" s="57">
        <v>17500</v>
      </c>
      <c r="G18" s="65">
        <v>700</v>
      </c>
      <c r="H18" s="65" t="s">
        <v>166</v>
      </c>
      <c r="I18" s="55" t="s">
        <v>404</v>
      </c>
      <c r="J18" s="55">
        <v>45721</v>
      </c>
      <c r="K18" s="99" t="s">
        <v>572</v>
      </c>
      <c r="L18" s="105">
        <v>89115583359</v>
      </c>
      <c r="M18" s="62" t="s">
        <v>571</v>
      </c>
      <c r="N18" s="179" t="s">
        <v>938</v>
      </c>
      <c r="O18" s="57">
        <v>17500</v>
      </c>
      <c r="P18" s="53"/>
      <c r="Q18" s="53"/>
      <c r="R18" s="168" t="s">
        <v>417</v>
      </c>
      <c r="S18" s="94">
        <v>48500</v>
      </c>
      <c r="T18" s="61">
        <f t="shared" si="1"/>
        <v>848750</v>
      </c>
    </row>
    <row r="19" spans="1:20" s="63" customFormat="1" ht="13.5" customHeight="1" x14ac:dyDescent="0.25">
      <c r="A19" s="65" t="s">
        <v>303</v>
      </c>
      <c r="B19" s="57" t="s">
        <v>913</v>
      </c>
      <c r="C19" s="57" t="s">
        <v>164</v>
      </c>
      <c r="D19" s="10" t="s">
        <v>306</v>
      </c>
      <c r="E19" s="167" t="s">
        <v>914</v>
      </c>
      <c r="F19" s="57">
        <v>17500</v>
      </c>
      <c r="G19" s="65">
        <v>700</v>
      </c>
      <c r="H19" s="65" t="s">
        <v>166</v>
      </c>
      <c r="I19" s="55" t="s">
        <v>404</v>
      </c>
      <c r="J19" s="55">
        <v>45721</v>
      </c>
      <c r="K19" s="99" t="s">
        <v>572</v>
      </c>
      <c r="L19" s="105">
        <v>89115583359</v>
      </c>
      <c r="M19" s="62" t="s">
        <v>571</v>
      </c>
      <c r="N19" s="179" t="s">
        <v>939</v>
      </c>
      <c r="O19" s="57">
        <v>17500</v>
      </c>
      <c r="P19" s="53"/>
      <c r="Q19" s="53"/>
      <c r="R19" s="168" t="s">
        <v>417</v>
      </c>
      <c r="S19" s="94">
        <v>48500</v>
      </c>
      <c r="T19" s="61">
        <f t="shared" si="1"/>
        <v>848750</v>
      </c>
    </row>
    <row r="20" spans="1:20" s="63" customFormat="1" ht="13.5" customHeight="1" x14ac:dyDescent="0.25">
      <c r="A20" s="65" t="s">
        <v>303</v>
      </c>
      <c r="B20" s="57" t="s">
        <v>915</v>
      </c>
      <c r="C20" s="57" t="s">
        <v>164</v>
      </c>
      <c r="D20" s="10" t="s">
        <v>306</v>
      </c>
      <c r="E20" s="167" t="s">
        <v>916</v>
      </c>
      <c r="F20" s="57">
        <v>17500</v>
      </c>
      <c r="G20" s="65">
        <v>700</v>
      </c>
      <c r="H20" s="65" t="s">
        <v>166</v>
      </c>
      <c r="I20" s="55" t="s">
        <v>404</v>
      </c>
      <c r="J20" s="55">
        <v>45722</v>
      </c>
      <c r="K20" s="99" t="s">
        <v>572</v>
      </c>
      <c r="L20" s="105">
        <v>89115583359</v>
      </c>
      <c r="M20" s="62" t="s">
        <v>571</v>
      </c>
      <c r="N20" s="179" t="s">
        <v>945</v>
      </c>
      <c r="O20" s="57">
        <v>17500</v>
      </c>
      <c r="P20" s="53"/>
      <c r="Q20" s="53"/>
      <c r="R20" s="168" t="s">
        <v>417</v>
      </c>
      <c r="S20" s="94">
        <v>48500</v>
      </c>
      <c r="T20" s="61">
        <f t="shared" si="1"/>
        <v>848750</v>
      </c>
    </row>
    <row r="21" spans="1:20" s="63" customFormat="1" ht="13.5" customHeight="1" x14ac:dyDescent="0.25">
      <c r="A21" s="65" t="s">
        <v>303</v>
      </c>
      <c r="B21" s="57" t="s">
        <v>923</v>
      </c>
      <c r="C21" s="57" t="s">
        <v>164</v>
      </c>
      <c r="D21" s="10" t="s">
        <v>306</v>
      </c>
      <c r="E21" s="167" t="s">
        <v>925</v>
      </c>
      <c r="F21" s="57">
        <v>17500</v>
      </c>
      <c r="G21" s="65">
        <v>700</v>
      </c>
      <c r="H21" s="65" t="s">
        <v>166</v>
      </c>
      <c r="I21" s="55" t="s">
        <v>404</v>
      </c>
      <c r="J21" s="55">
        <v>45722</v>
      </c>
      <c r="K21" s="99" t="s">
        <v>572</v>
      </c>
      <c r="L21" s="105">
        <v>89115583359</v>
      </c>
      <c r="M21" s="62" t="s">
        <v>571</v>
      </c>
      <c r="N21" s="179" t="s">
        <v>947</v>
      </c>
      <c r="O21" s="57">
        <v>17500</v>
      </c>
      <c r="P21" s="53"/>
      <c r="Q21" s="53"/>
      <c r="R21" s="168" t="s">
        <v>417</v>
      </c>
      <c r="S21" s="94">
        <v>48500</v>
      </c>
      <c r="T21" s="61">
        <f t="shared" si="1"/>
        <v>848750</v>
      </c>
    </row>
    <row r="22" spans="1:20" s="63" customFormat="1" ht="13.5" customHeight="1" x14ac:dyDescent="0.25">
      <c r="A22" s="65" t="s">
        <v>303</v>
      </c>
      <c r="B22" s="57" t="s">
        <v>924</v>
      </c>
      <c r="C22" s="57" t="s">
        <v>164</v>
      </c>
      <c r="D22" s="10" t="s">
        <v>306</v>
      </c>
      <c r="E22" s="167" t="s">
        <v>926</v>
      </c>
      <c r="F22" s="57">
        <v>17500</v>
      </c>
      <c r="G22" s="65">
        <v>700</v>
      </c>
      <c r="H22" s="65" t="s">
        <v>166</v>
      </c>
      <c r="I22" s="55" t="s">
        <v>404</v>
      </c>
      <c r="J22" s="55">
        <v>45722</v>
      </c>
      <c r="K22" s="99" t="s">
        <v>572</v>
      </c>
      <c r="L22" s="105">
        <v>89115583359</v>
      </c>
      <c r="M22" s="62" t="s">
        <v>571</v>
      </c>
      <c r="N22" s="179" t="s">
        <v>946</v>
      </c>
      <c r="O22" s="57">
        <v>17500</v>
      </c>
      <c r="P22" s="53"/>
      <c r="Q22" s="53"/>
      <c r="R22" s="168" t="s">
        <v>417</v>
      </c>
      <c r="S22" s="94">
        <v>48500</v>
      </c>
      <c r="T22" s="61">
        <f t="shared" si="1"/>
        <v>848750</v>
      </c>
    </row>
    <row r="23" spans="1:20" s="63" customFormat="1" ht="13.5" customHeight="1" x14ac:dyDescent="0.25">
      <c r="A23" s="65" t="s">
        <v>311</v>
      </c>
      <c r="B23" s="92" t="s">
        <v>936</v>
      </c>
      <c r="C23" s="92" t="s">
        <v>284</v>
      </c>
      <c r="D23" s="93" t="s">
        <v>214</v>
      </c>
      <c r="E23" s="56" t="s">
        <v>937</v>
      </c>
      <c r="F23" s="92">
        <v>20000</v>
      </c>
      <c r="G23" s="65">
        <v>800</v>
      </c>
      <c r="H23" s="65" t="s">
        <v>392</v>
      </c>
      <c r="I23" s="65" t="s">
        <v>404</v>
      </c>
      <c r="J23" s="55">
        <v>45723</v>
      </c>
      <c r="K23" s="98" t="s">
        <v>941</v>
      </c>
      <c r="L23" s="164" t="s">
        <v>959</v>
      </c>
      <c r="M23" s="98" t="s">
        <v>940</v>
      </c>
      <c r="N23" s="139"/>
      <c r="O23" s="92">
        <v>20000</v>
      </c>
      <c r="P23" s="57"/>
      <c r="Q23" s="92"/>
      <c r="R23" s="53" t="s">
        <v>417</v>
      </c>
      <c r="S23" s="94">
        <v>41000</v>
      </c>
      <c r="T23" s="61">
        <f t="shared" si="1"/>
        <v>820000</v>
      </c>
    </row>
    <row r="24" spans="1:20" s="63" customFormat="1" ht="13.5" customHeight="1" x14ac:dyDescent="0.25">
      <c r="A24" s="65" t="s">
        <v>316</v>
      </c>
      <c r="B24" s="92" t="s">
        <v>936</v>
      </c>
      <c r="C24" s="92" t="s">
        <v>558</v>
      </c>
      <c r="D24" s="93" t="s">
        <v>212</v>
      </c>
      <c r="E24" s="56" t="s">
        <v>942</v>
      </c>
      <c r="F24" s="92">
        <v>20000</v>
      </c>
      <c r="G24" s="65">
        <v>800</v>
      </c>
      <c r="H24" s="65" t="s">
        <v>493</v>
      </c>
      <c r="I24" s="65" t="s">
        <v>404</v>
      </c>
      <c r="J24" s="55">
        <v>45726</v>
      </c>
      <c r="K24" s="98" t="s">
        <v>948</v>
      </c>
      <c r="L24" s="108" t="s">
        <v>950</v>
      </c>
      <c r="M24" s="98" t="s">
        <v>949</v>
      </c>
      <c r="N24" s="139"/>
      <c r="O24" s="92">
        <v>20000</v>
      </c>
      <c r="P24" s="57"/>
      <c r="Q24" s="92"/>
      <c r="R24" s="53" t="s">
        <v>417</v>
      </c>
      <c r="S24" s="94">
        <v>41000</v>
      </c>
      <c r="T24" s="61">
        <f t="shared" si="1"/>
        <v>820000</v>
      </c>
    </row>
    <row r="25" spans="1:20" s="63" customFormat="1" ht="13.5" customHeight="1" x14ac:dyDescent="0.25">
      <c r="A25" s="65" t="s">
        <v>316</v>
      </c>
      <c r="B25" s="57" t="s">
        <v>952</v>
      </c>
      <c r="C25" s="57" t="s">
        <v>507</v>
      </c>
      <c r="D25" s="93" t="s">
        <v>237</v>
      </c>
      <c r="E25" s="56" t="s">
        <v>902</v>
      </c>
      <c r="F25" s="92">
        <v>20000</v>
      </c>
      <c r="G25" s="65">
        <v>800</v>
      </c>
      <c r="H25" s="65" t="s">
        <v>165</v>
      </c>
      <c r="I25" s="65" t="s">
        <v>404</v>
      </c>
      <c r="J25" s="55">
        <v>45726</v>
      </c>
      <c r="K25" s="53" t="s">
        <v>967</v>
      </c>
      <c r="L25" s="207">
        <v>89514572539</v>
      </c>
      <c r="M25" s="53" t="s">
        <v>968</v>
      </c>
      <c r="N25" s="139"/>
      <c r="O25" s="92">
        <v>20000</v>
      </c>
      <c r="P25" s="57"/>
      <c r="Q25" s="53"/>
      <c r="R25" s="168" t="s">
        <v>417</v>
      </c>
      <c r="S25" s="94">
        <v>41500</v>
      </c>
      <c r="T25" s="61">
        <f xml:space="preserve"> S25*(F25/1000)</f>
        <v>830000</v>
      </c>
    </row>
    <row r="26" spans="1:20" s="63" customFormat="1" ht="13.5" customHeight="1" x14ac:dyDescent="0.25">
      <c r="A26" s="65" t="s">
        <v>311</v>
      </c>
      <c r="B26" s="92" t="s">
        <v>864</v>
      </c>
      <c r="C26" s="92" t="s">
        <v>284</v>
      </c>
      <c r="D26" s="93" t="s">
        <v>223</v>
      </c>
      <c r="E26" s="56" t="s">
        <v>863</v>
      </c>
      <c r="F26" s="92">
        <v>5000</v>
      </c>
      <c r="G26" s="65">
        <v>200</v>
      </c>
      <c r="H26" s="65" t="s">
        <v>323</v>
      </c>
      <c r="I26" s="65" t="s">
        <v>404</v>
      </c>
      <c r="J26" s="55">
        <v>45727</v>
      </c>
      <c r="K26" s="213" t="s">
        <v>974</v>
      </c>
      <c r="L26" s="197">
        <v>89196836667</v>
      </c>
      <c r="M26" s="215" t="s">
        <v>973</v>
      </c>
      <c r="N26" s="53" t="s">
        <v>955</v>
      </c>
      <c r="O26" s="92"/>
      <c r="P26" s="92">
        <v>5000</v>
      </c>
      <c r="Q26" s="57"/>
      <c r="R26" s="53" t="s">
        <v>417</v>
      </c>
      <c r="S26" s="94">
        <v>252500</v>
      </c>
      <c r="T26" s="61">
        <f t="shared" si="1"/>
        <v>1262500</v>
      </c>
    </row>
    <row r="27" spans="1:20" s="63" customFormat="1" ht="13.5" customHeight="1" x14ac:dyDescent="0.25">
      <c r="A27" s="65" t="s">
        <v>311</v>
      </c>
      <c r="B27" s="92" t="s">
        <v>864</v>
      </c>
      <c r="C27" s="92" t="s">
        <v>284</v>
      </c>
      <c r="D27" s="93" t="s">
        <v>223</v>
      </c>
      <c r="E27" s="56" t="s">
        <v>934</v>
      </c>
      <c r="F27" s="92">
        <v>5000</v>
      </c>
      <c r="G27" s="65">
        <v>200</v>
      </c>
      <c r="H27" s="65" t="s">
        <v>323</v>
      </c>
      <c r="I27" s="65" t="s">
        <v>404</v>
      </c>
      <c r="J27" s="55">
        <v>45727</v>
      </c>
      <c r="K27" s="213" t="s">
        <v>974</v>
      </c>
      <c r="L27" s="197">
        <v>89196836667</v>
      </c>
      <c r="M27" s="215" t="s">
        <v>973</v>
      </c>
      <c r="N27" s="53" t="s">
        <v>956</v>
      </c>
      <c r="O27" s="92"/>
      <c r="P27" s="92">
        <v>5000</v>
      </c>
      <c r="Q27" s="57"/>
      <c r="R27" s="53" t="s">
        <v>417</v>
      </c>
      <c r="S27" s="94">
        <v>252500</v>
      </c>
      <c r="T27" s="61">
        <f t="shared" si="1"/>
        <v>1262500</v>
      </c>
    </row>
    <row r="28" spans="1:20" s="63" customFormat="1" ht="13.5" customHeight="1" x14ac:dyDescent="0.25">
      <c r="A28" s="65" t="s">
        <v>311</v>
      </c>
      <c r="B28" s="92" t="s">
        <v>864</v>
      </c>
      <c r="C28" s="92" t="s">
        <v>284</v>
      </c>
      <c r="D28" s="93" t="s">
        <v>223</v>
      </c>
      <c r="E28" s="56" t="s">
        <v>935</v>
      </c>
      <c r="F28" s="92">
        <v>5000</v>
      </c>
      <c r="G28" s="65">
        <v>200</v>
      </c>
      <c r="H28" s="65" t="s">
        <v>323</v>
      </c>
      <c r="I28" s="65" t="s">
        <v>404</v>
      </c>
      <c r="J28" s="55">
        <v>45727</v>
      </c>
      <c r="K28" s="213" t="s">
        <v>974</v>
      </c>
      <c r="L28" s="197">
        <v>89196836667</v>
      </c>
      <c r="M28" s="216" t="s">
        <v>973</v>
      </c>
      <c r="N28" s="53" t="s">
        <v>957</v>
      </c>
      <c r="O28" s="92"/>
      <c r="P28" s="92">
        <v>5000</v>
      </c>
      <c r="Q28" s="57"/>
      <c r="R28" s="53" t="s">
        <v>417</v>
      </c>
      <c r="S28" s="94">
        <v>252500</v>
      </c>
      <c r="T28" s="61">
        <f t="shared" si="1"/>
        <v>1262500</v>
      </c>
    </row>
    <row r="29" spans="1:20" s="63" customFormat="1" ht="13.5" customHeight="1" x14ac:dyDescent="0.25">
      <c r="A29" s="65" t="s">
        <v>311</v>
      </c>
      <c r="B29" s="92" t="s">
        <v>864</v>
      </c>
      <c r="C29" s="92" t="s">
        <v>284</v>
      </c>
      <c r="D29" s="93" t="s">
        <v>223</v>
      </c>
      <c r="E29" s="56" t="s">
        <v>943</v>
      </c>
      <c r="F29" s="92">
        <v>5000</v>
      </c>
      <c r="G29" s="65">
        <v>200</v>
      </c>
      <c r="H29" s="65" t="s">
        <v>323</v>
      </c>
      <c r="I29" s="65" t="s">
        <v>404</v>
      </c>
      <c r="J29" s="55">
        <v>45727</v>
      </c>
      <c r="K29" s="213" t="s">
        <v>974</v>
      </c>
      <c r="L29" s="197">
        <v>89196836667</v>
      </c>
      <c r="M29" s="215" t="s">
        <v>973</v>
      </c>
      <c r="N29" s="53" t="s">
        <v>958</v>
      </c>
      <c r="O29" s="92"/>
      <c r="P29" s="92">
        <v>5000</v>
      </c>
      <c r="Q29" s="57"/>
      <c r="R29" s="53" t="s">
        <v>417</v>
      </c>
      <c r="S29" s="94">
        <v>252500</v>
      </c>
      <c r="T29" s="61">
        <f t="shared" si="1"/>
        <v>1262500</v>
      </c>
    </row>
    <row r="30" spans="1:20" s="63" customFormat="1" ht="13.5" customHeight="1" x14ac:dyDescent="0.25">
      <c r="A30" s="65" t="s">
        <v>316</v>
      </c>
      <c r="B30" s="57" t="s">
        <v>953</v>
      </c>
      <c r="C30" s="57" t="s">
        <v>451</v>
      </c>
      <c r="D30" s="93" t="s">
        <v>222</v>
      </c>
      <c r="E30" s="56" t="s">
        <v>464</v>
      </c>
      <c r="F30" s="92">
        <v>20000</v>
      </c>
      <c r="G30" s="65">
        <v>800</v>
      </c>
      <c r="H30" s="65" t="s">
        <v>165</v>
      </c>
      <c r="I30" s="65" t="s">
        <v>404</v>
      </c>
      <c r="J30" s="55">
        <v>45727</v>
      </c>
      <c r="K30" s="98" t="s">
        <v>972</v>
      </c>
      <c r="L30" s="108">
        <v>89602929242</v>
      </c>
      <c r="M30" s="98" t="s">
        <v>971</v>
      </c>
      <c r="N30" s="162"/>
      <c r="O30" s="92">
        <v>20000</v>
      </c>
      <c r="P30" s="57"/>
      <c r="Q30" s="53"/>
      <c r="R30" s="53" t="s">
        <v>417</v>
      </c>
      <c r="S30" s="94">
        <v>43500</v>
      </c>
      <c r="T30" s="61">
        <f t="shared" si="1"/>
        <v>870000</v>
      </c>
    </row>
    <row r="31" spans="1:20" s="63" customFormat="1" ht="13.5" customHeight="1" x14ac:dyDescent="0.25">
      <c r="A31" s="65" t="s">
        <v>316</v>
      </c>
      <c r="B31" s="92" t="s">
        <v>835</v>
      </c>
      <c r="C31" s="92" t="s">
        <v>964</v>
      </c>
      <c r="D31" s="93" t="s">
        <v>223</v>
      </c>
      <c r="E31" s="56" t="s">
        <v>965</v>
      </c>
      <c r="F31" s="92">
        <v>10000</v>
      </c>
      <c r="G31" s="65">
        <v>400</v>
      </c>
      <c r="H31" s="65" t="s">
        <v>966</v>
      </c>
      <c r="I31" s="65" t="s">
        <v>404</v>
      </c>
      <c r="J31" s="55">
        <v>45727</v>
      </c>
      <c r="K31" s="213" t="s">
        <v>969</v>
      </c>
      <c r="L31" s="197">
        <v>89991695115</v>
      </c>
      <c r="M31" s="214" t="s">
        <v>970</v>
      </c>
      <c r="N31" s="205"/>
      <c r="O31" s="92"/>
      <c r="P31" s="92">
        <v>10000</v>
      </c>
      <c r="Q31" s="57"/>
      <c r="R31" s="53" t="s">
        <v>417</v>
      </c>
      <c r="S31" s="94">
        <v>255000</v>
      </c>
      <c r="T31" s="61">
        <f t="shared" si="1"/>
        <v>2550000</v>
      </c>
    </row>
    <row r="32" spans="1:20" s="63" customFormat="1" ht="13.5" customHeight="1" x14ac:dyDescent="0.25">
      <c r="A32" s="65" t="s">
        <v>408</v>
      </c>
      <c r="B32" s="57" t="s">
        <v>927</v>
      </c>
      <c r="C32" s="57" t="s">
        <v>451</v>
      </c>
      <c r="D32" s="93" t="s">
        <v>223</v>
      </c>
      <c r="E32" s="56" t="s">
        <v>453</v>
      </c>
      <c r="F32" s="92">
        <v>20000</v>
      </c>
      <c r="G32" s="65">
        <v>800</v>
      </c>
      <c r="H32" s="65" t="s">
        <v>165</v>
      </c>
      <c r="I32" s="65" t="s">
        <v>404</v>
      </c>
      <c r="J32" s="55">
        <v>45728</v>
      </c>
      <c r="K32" s="98" t="s">
        <v>975</v>
      </c>
      <c r="L32" s="108">
        <v>89116825992</v>
      </c>
      <c r="M32" s="108" t="s">
        <v>414</v>
      </c>
      <c r="N32" s="162"/>
      <c r="O32" s="92"/>
      <c r="P32" s="92">
        <v>20000</v>
      </c>
      <c r="Q32" s="53"/>
      <c r="R32" s="53" t="s">
        <v>417</v>
      </c>
      <c r="S32" s="94">
        <v>250000</v>
      </c>
      <c r="T32" s="61">
        <f t="shared" ref="T32:T72" si="2" xml:space="preserve"> S32*(F32/1000)</f>
        <v>5000000</v>
      </c>
    </row>
    <row r="33" spans="1:20" s="63" customFormat="1" ht="13.5" customHeight="1" x14ac:dyDescent="0.25">
      <c r="A33" s="65" t="s">
        <v>311</v>
      </c>
      <c r="B33" s="57" t="s">
        <v>954</v>
      </c>
      <c r="C33" s="57" t="s">
        <v>507</v>
      </c>
      <c r="D33" s="93" t="s">
        <v>237</v>
      </c>
      <c r="E33" s="56" t="s">
        <v>906</v>
      </c>
      <c r="F33" s="92">
        <v>20000</v>
      </c>
      <c r="G33" s="65">
        <v>800</v>
      </c>
      <c r="H33" s="65" t="s">
        <v>165</v>
      </c>
      <c r="I33" s="65" t="s">
        <v>404</v>
      </c>
      <c r="J33" s="55">
        <v>45729</v>
      </c>
      <c r="K33" s="53" t="s">
        <v>990</v>
      </c>
      <c r="L33" s="207">
        <v>89115708558</v>
      </c>
      <c r="M33" s="53" t="s">
        <v>989</v>
      </c>
      <c r="N33" s="139"/>
      <c r="O33" s="92">
        <v>20000</v>
      </c>
      <c r="P33" s="57"/>
      <c r="Q33" s="53"/>
      <c r="R33" s="53" t="s">
        <v>417</v>
      </c>
      <c r="S33" s="94">
        <v>41500</v>
      </c>
      <c r="T33" s="61">
        <f t="shared" si="2"/>
        <v>830000</v>
      </c>
    </row>
    <row r="34" spans="1:20" s="63" customFormat="1" ht="13.5" customHeight="1" x14ac:dyDescent="0.25">
      <c r="A34" s="65" t="s">
        <v>297</v>
      </c>
      <c r="B34" s="92" t="s">
        <v>733</v>
      </c>
      <c r="C34" s="92" t="s">
        <v>507</v>
      </c>
      <c r="D34" s="93" t="s">
        <v>314</v>
      </c>
      <c r="E34" s="189" t="s">
        <v>951</v>
      </c>
      <c r="F34" s="92">
        <v>16000</v>
      </c>
      <c r="G34" s="93">
        <v>80</v>
      </c>
      <c r="H34" s="93" t="s">
        <v>166</v>
      </c>
      <c r="I34" s="65" t="s">
        <v>404</v>
      </c>
      <c r="J34" s="55">
        <v>45730</v>
      </c>
      <c r="K34" s="99" t="s">
        <v>603</v>
      </c>
      <c r="L34" s="105">
        <v>89095563417</v>
      </c>
      <c r="M34" s="62" t="s">
        <v>602</v>
      </c>
      <c r="N34" s="205" t="s">
        <v>999</v>
      </c>
      <c r="O34" s="92"/>
      <c r="P34" s="92"/>
      <c r="Q34" s="92">
        <v>16000</v>
      </c>
      <c r="R34" s="168" t="s">
        <v>417</v>
      </c>
      <c r="S34" s="94">
        <v>85000</v>
      </c>
      <c r="T34" s="61">
        <f t="shared" si="2"/>
        <v>1360000</v>
      </c>
    </row>
    <row r="35" spans="1:20" s="63" customFormat="1" ht="13.5" customHeight="1" x14ac:dyDescent="0.25">
      <c r="A35" s="65" t="s">
        <v>297</v>
      </c>
      <c r="B35" s="92" t="s">
        <v>733</v>
      </c>
      <c r="C35" s="92" t="s">
        <v>507</v>
      </c>
      <c r="D35" s="93" t="s">
        <v>314</v>
      </c>
      <c r="E35" s="189" t="s">
        <v>942</v>
      </c>
      <c r="F35" s="92">
        <v>16000</v>
      </c>
      <c r="G35" s="93">
        <v>80</v>
      </c>
      <c r="H35" s="93" t="s">
        <v>166</v>
      </c>
      <c r="I35" s="65" t="s">
        <v>404</v>
      </c>
      <c r="J35" s="55">
        <v>45730</v>
      </c>
      <c r="K35" s="99" t="s">
        <v>806</v>
      </c>
      <c r="L35" s="105">
        <v>89095563418</v>
      </c>
      <c r="M35" s="62" t="s">
        <v>602</v>
      </c>
      <c r="N35" s="205" t="s">
        <v>1000</v>
      </c>
      <c r="O35" s="92"/>
      <c r="P35" s="92"/>
      <c r="Q35" s="92">
        <v>16000</v>
      </c>
      <c r="R35" s="168" t="s">
        <v>417</v>
      </c>
      <c r="S35" s="94">
        <v>85000</v>
      </c>
      <c r="T35" s="61">
        <f t="shared" si="2"/>
        <v>1360000</v>
      </c>
    </row>
    <row r="36" spans="1:20" s="63" customFormat="1" ht="13.5" customHeight="1" x14ac:dyDescent="0.25">
      <c r="A36" s="65" t="s">
        <v>696</v>
      </c>
      <c r="B36" s="92" t="s">
        <v>944</v>
      </c>
      <c r="C36" s="92" t="s">
        <v>284</v>
      </c>
      <c r="D36" s="93" t="s">
        <v>223</v>
      </c>
      <c r="E36" s="56" t="s">
        <v>960</v>
      </c>
      <c r="F36" s="92">
        <v>5000</v>
      </c>
      <c r="G36" s="65">
        <v>200</v>
      </c>
      <c r="H36" s="65" t="s">
        <v>323</v>
      </c>
      <c r="I36" s="65" t="s">
        <v>404</v>
      </c>
      <c r="J36" s="55">
        <v>45730</v>
      </c>
      <c r="K36" s="196" t="s">
        <v>694</v>
      </c>
      <c r="L36" s="197" t="s">
        <v>695</v>
      </c>
      <c r="M36" s="197" t="s">
        <v>693</v>
      </c>
      <c r="N36" s="53" t="s">
        <v>976</v>
      </c>
      <c r="O36" s="92"/>
      <c r="P36" s="92">
        <v>5000</v>
      </c>
      <c r="Q36" s="57"/>
      <c r="R36" s="53" t="s">
        <v>417</v>
      </c>
      <c r="S36" s="94">
        <v>252500</v>
      </c>
      <c r="T36" s="61">
        <f t="shared" si="2"/>
        <v>1262500</v>
      </c>
    </row>
    <row r="37" spans="1:20" s="63" customFormat="1" ht="13.5" customHeight="1" x14ac:dyDescent="0.25">
      <c r="A37" s="65" t="s">
        <v>696</v>
      </c>
      <c r="B37" s="92" t="s">
        <v>944</v>
      </c>
      <c r="C37" s="92" t="s">
        <v>284</v>
      </c>
      <c r="D37" s="93" t="s">
        <v>223</v>
      </c>
      <c r="E37" s="56" t="s">
        <v>961</v>
      </c>
      <c r="F37" s="92">
        <v>5000</v>
      </c>
      <c r="G37" s="65">
        <v>200</v>
      </c>
      <c r="H37" s="65" t="s">
        <v>323</v>
      </c>
      <c r="I37" s="65" t="s">
        <v>404</v>
      </c>
      <c r="J37" s="55">
        <v>45730</v>
      </c>
      <c r="K37" s="196" t="s">
        <v>694</v>
      </c>
      <c r="L37" s="197" t="s">
        <v>695</v>
      </c>
      <c r="M37" s="197" t="s">
        <v>693</v>
      </c>
      <c r="N37" s="53" t="s">
        <v>977</v>
      </c>
      <c r="O37" s="92"/>
      <c r="P37" s="92">
        <v>5000</v>
      </c>
      <c r="Q37" s="57"/>
      <c r="R37" s="53" t="s">
        <v>417</v>
      </c>
      <c r="S37" s="94">
        <v>252500</v>
      </c>
      <c r="T37" s="61">
        <f t="shared" si="2"/>
        <v>1262500</v>
      </c>
    </row>
    <row r="38" spans="1:20" s="63" customFormat="1" ht="13.5" customHeight="1" x14ac:dyDescent="0.25">
      <c r="A38" s="65" t="s">
        <v>696</v>
      </c>
      <c r="B38" s="92" t="s">
        <v>944</v>
      </c>
      <c r="C38" s="92" t="s">
        <v>284</v>
      </c>
      <c r="D38" s="93" t="s">
        <v>223</v>
      </c>
      <c r="E38" s="56" t="s">
        <v>962</v>
      </c>
      <c r="F38" s="92">
        <v>5000</v>
      </c>
      <c r="G38" s="65">
        <v>200</v>
      </c>
      <c r="H38" s="65" t="s">
        <v>323</v>
      </c>
      <c r="I38" s="65" t="s">
        <v>404</v>
      </c>
      <c r="J38" s="55">
        <v>45730</v>
      </c>
      <c r="K38" s="196" t="s">
        <v>694</v>
      </c>
      <c r="L38" s="197" t="s">
        <v>695</v>
      </c>
      <c r="M38" s="197" t="s">
        <v>693</v>
      </c>
      <c r="N38" s="53" t="s">
        <v>978</v>
      </c>
      <c r="O38" s="92"/>
      <c r="P38" s="92">
        <v>5000</v>
      </c>
      <c r="Q38" s="57"/>
      <c r="R38" s="53" t="s">
        <v>417</v>
      </c>
      <c r="S38" s="94">
        <v>252500</v>
      </c>
      <c r="T38" s="61">
        <f t="shared" si="2"/>
        <v>1262500</v>
      </c>
    </row>
    <row r="39" spans="1:20" s="63" customFormat="1" ht="13.5" customHeight="1" x14ac:dyDescent="0.25">
      <c r="A39" s="65" t="s">
        <v>696</v>
      </c>
      <c r="B39" s="92" t="s">
        <v>944</v>
      </c>
      <c r="C39" s="92" t="s">
        <v>284</v>
      </c>
      <c r="D39" s="93" t="s">
        <v>223</v>
      </c>
      <c r="E39" s="56" t="s">
        <v>963</v>
      </c>
      <c r="F39" s="92">
        <v>5000</v>
      </c>
      <c r="G39" s="65">
        <v>200</v>
      </c>
      <c r="H39" s="65" t="s">
        <v>323</v>
      </c>
      <c r="I39" s="65" t="s">
        <v>404</v>
      </c>
      <c r="J39" s="55">
        <v>45730</v>
      </c>
      <c r="K39" s="196" t="s">
        <v>694</v>
      </c>
      <c r="L39" s="197" t="s">
        <v>695</v>
      </c>
      <c r="M39" s="197" t="s">
        <v>693</v>
      </c>
      <c r="N39" s="53" t="s">
        <v>979</v>
      </c>
      <c r="O39" s="92"/>
      <c r="P39" s="92">
        <v>5000</v>
      </c>
      <c r="Q39" s="57"/>
      <c r="R39" s="53" t="s">
        <v>417</v>
      </c>
      <c r="S39" s="94">
        <v>252500</v>
      </c>
      <c r="T39" s="61">
        <f t="shared" si="2"/>
        <v>1262500</v>
      </c>
    </row>
    <row r="40" spans="1:20" s="63" customFormat="1" ht="13.5" customHeight="1" x14ac:dyDescent="0.25">
      <c r="A40" s="65" t="s">
        <v>997</v>
      </c>
      <c r="B40" s="57" t="s">
        <v>844</v>
      </c>
      <c r="C40" s="57" t="s">
        <v>451</v>
      </c>
      <c r="D40" s="93" t="s">
        <v>222</v>
      </c>
      <c r="E40" s="56" t="s">
        <v>473</v>
      </c>
      <c r="F40" s="92">
        <v>20000</v>
      </c>
      <c r="G40" s="65">
        <v>800</v>
      </c>
      <c r="H40" s="65" t="s">
        <v>773</v>
      </c>
      <c r="I40" s="65" t="s">
        <v>404</v>
      </c>
      <c r="J40" s="55">
        <v>45730</v>
      </c>
      <c r="K40" s="98" t="s">
        <v>996</v>
      </c>
      <c r="L40" s="108">
        <v>89080026590</v>
      </c>
      <c r="M40" s="98" t="s">
        <v>428</v>
      </c>
      <c r="N40" s="162"/>
      <c r="O40" s="92">
        <v>20000</v>
      </c>
      <c r="P40" s="57"/>
      <c r="Q40" s="53"/>
      <c r="R40" s="53" t="s">
        <v>417</v>
      </c>
      <c r="S40" s="94">
        <v>43500</v>
      </c>
      <c r="T40" s="61">
        <f xml:space="preserve"> S40*(F40/1000)</f>
        <v>870000</v>
      </c>
    </row>
    <row r="41" spans="1:20" s="63" customFormat="1" ht="13.5" customHeight="1" x14ac:dyDescent="0.25">
      <c r="A41" s="219" t="s">
        <v>495</v>
      </c>
      <c r="B41" s="220" t="s">
        <v>981</v>
      </c>
      <c r="C41" s="220" t="s">
        <v>980</v>
      </c>
      <c r="D41" s="221" t="s">
        <v>615</v>
      </c>
      <c r="E41" s="222" t="s">
        <v>797</v>
      </c>
      <c r="F41" s="92">
        <v>4000</v>
      </c>
      <c r="G41" s="219">
        <v>160</v>
      </c>
      <c r="H41" s="219" t="s">
        <v>998</v>
      </c>
      <c r="I41" s="219" t="s">
        <v>404</v>
      </c>
      <c r="J41" s="223">
        <v>45730</v>
      </c>
      <c r="K41" s="224" t="s">
        <v>987</v>
      </c>
      <c r="L41" s="225" t="s">
        <v>986</v>
      </c>
      <c r="M41" s="226" t="s">
        <v>985</v>
      </c>
      <c r="N41" s="227"/>
      <c r="O41" s="220"/>
      <c r="P41" s="220">
        <v>4000</v>
      </c>
      <c r="Q41" s="228"/>
      <c r="R41" s="229" t="s">
        <v>417</v>
      </c>
      <c r="S41" s="230">
        <v>196000</v>
      </c>
      <c r="T41" s="61">
        <f t="shared" si="2"/>
        <v>784000</v>
      </c>
    </row>
    <row r="42" spans="1:20" s="63" customFormat="1" ht="13.5" customHeight="1" x14ac:dyDescent="0.25">
      <c r="A42" s="219" t="s">
        <v>495</v>
      </c>
      <c r="B42" s="220" t="s">
        <v>981</v>
      </c>
      <c r="C42" s="220" t="s">
        <v>980</v>
      </c>
      <c r="D42" s="221" t="s">
        <v>614</v>
      </c>
      <c r="E42" s="222" t="s">
        <v>984</v>
      </c>
      <c r="F42" s="92">
        <v>4000</v>
      </c>
      <c r="G42" s="219">
        <v>160</v>
      </c>
      <c r="H42" s="219" t="s">
        <v>998</v>
      </c>
      <c r="I42" s="219" t="s">
        <v>404</v>
      </c>
      <c r="J42" s="223">
        <v>45730</v>
      </c>
      <c r="K42" s="231" t="s">
        <v>987</v>
      </c>
      <c r="L42" s="225" t="s">
        <v>986</v>
      </c>
      <c r="M42" s="225" t="s">
        <v>985</v>
      </c>
      <c r="N42" s="227"/>
      <c r="O42" s="220"/>
      <c r="P42" s="220">
        <v>4000</v>
      </c>
      <c r="Q42" s="228"/>
      <c r="R42" s="229" t="s">
        <v>417</v>
      </c>
      <c r="S42" s="230">
        <v>196000</v>
      </c>
      <c r="T42" s="61">
        <f t="shared" si="2"/>
        <v>784000</v>
      </c>
    </row>
    <row r="43" spans="1:20" s="63" customFormat="1" ht="13.5" customHeight="1" x14ac:dyDescent="0.25">
      <c r="A43" s="219" t="s">
        <v>495</v>
      </c>
      <c r="B43" s="220" t="s">
        <v>981</v>
      </c>
      <c r="C43" s="220" t="s">
        <v>980</v>
      </c>
      <c r="D43" s="221" t="s">
        <v>613</v>
      </c>
      <c r="E43" s="222" t="s">
        <v>983</v>
      </c>
      <c r="F43" s="92">
        <v>4000</v>
      </c>
      <c r="G43" s="219">
        <v>160</v>
      </c>
      <c r="H43" s="219" t="s">
        <v>998</v>
      </c>
      <c r="I43" s="219" t="s">
        <v>404</v>
      </c>
      <c r="J43" s="223">
        <v>45730</v>
      </c>
      <c r="K43" s="231" t="s">
        <v>987</v>
      </c>
      <c r="L43" s="225" t="s">
        <v>986</v>
      </c>
      <c r="M43" s="225" t="s">
        <v>985</v>
      </c>
      <c r="N43" s="227"/>
      <c r="O43" s="220"/>
      <c r="P43" s="220">
        <v>4000</v>
      </c>
      <c r="Q43" s="228"/>
      <c r="R43" s="229" t="s">
        <v>417</v>
      </c>
      <c r="S43" s="230">
        <v>196000</v>
      </c>
      <c r="T43" s="61">
        <f t="shared" si="2"/>
        <v>784000</v>
      </c>
    </row>
    <row r="44" spans="1:20" s="63" customFormat="1" ht="13.5" customHeight="1" x14ac:dyDescent="0.25">
      <c r="A44" s="219" t="s">
        <v>495</v>
      </c>
      <c r="B44" s="220" t="s">
        <v>981</v>
      </c>
      <c r="C44" s="220" t="s">
        <v>980</v>
      </c>
      <c r="D44" s="221" t="s">
        <v>994</v>
      </c>
      <c r="E44" s="222" t="s">
        <v>982</v>
      </c>
      <c r="F44" s="92">
        <v>3610</v>
      </c>
      <c r="G44" s="219">
        <v>19</v>
      </c>
      <c r="H44" s="219" t="s">
        <v>998</v>
      </c>
      <c r="I44" s="219" t="s">
        <v>404</v>
      </c>
      <c r="J44" s="223">
        <v>45730</v>
      </c>
      <c r="K44" s="231" t="s">
        <v>987</v>
      </c>
      <c r="L44" s="225" t="s">
        <v>986</v>
      </c>
      <c r="M44" s="225" t="s">
        <v>985</v>
      </c>
      <c r="N44" s="227"/>
      <c r="O44" s="220"/>
      <c r="P44" s="220"/>
      <c r="Q44" s="220">
        <v>3610</v>
      </c>
      <c r="R44" s="229" t="s">
        <v>417</v>
      </c>
      <c r="S44" s="230">
        <v>80000</v>
      </c>
      <c r="T44" s="61">
        <f t="shared" si="2"/>
        <v>288800</v>
      </c>
    </row>
    <row r="45" spans="1:20" s="63" customFormat="1" ht="13.5" customHeight="1" x14ac:dyDescent="0.25">
      <c r="A45" s="65" t="s">
        <v>489</v>
      </c>
      <c r="B45" s="57" t="s">
        <v>1002</v>
      </c>
      <c r="C45" s="57" t="s">
        <v>451</v>
      </c>
      <c r="D45" s="93" t="s">
        <v>226</v>
      </c>
      <c r="E45" s="56" t="s">
        <v>567</v>
      </c>
      <c r="F45" s="92">
        <v>20000</v>
      </c>
      <c r="G45" s="65">
        <v>800</v>
      </c>
      <c r="H45" s="65" t="s">
        <v>773</v>
      </c>
      <c r="I45" s="65" t="s">
        <v>404</v>
      </c>
      <c r="J45" s="55">
        <v>45733</v>
      </c>
      <c r="K45" s="98" t="s">
        <v>550</v>
      </c>
      <c r="L45" s="217">
        <v>89512528377</v>
      </c>
      <c r="M45" s="98" t="s">
        <v>604</v>
      </c>
      <c r="N45" s="162"/>
      <c r="O45" s="92">
        <v>20000</v>
      </c>
      <c r="P45" s="57"/>
      <c r="Q45" s="53"/>
      <c r="R45" s="53" t="s">
        <v>417</v>
      </c>
      <c r="S45" s="94">
        <v>43500</v>
      </c>
      <c r="T45" s="61">
        <f xml:space="preserve"> S45*(F45/1000)</f>
        <v>870000</v>
      </c>
    </row>
    <row r="46" spans="1:20" s="63" customFormat="1" ht="13.5" customHeight="1" x14ac:dyDescent="0.25">
      <c r="A46" s="65" t="s">
        <v>790</v>
      </c>
      <c r="B46" s="57" t="s">
        <v>791</v>
      </c>
      <c r="C46" s="57" t="s">
        <v>788</v>
      </c>
      <c r="D46" s="93" t="s">
        <v>212</v>
      </c>
      <c r="E46" s="189" t="s">
        <v>992</v>
      </c>
      <c r="F46" s="92">
        <v>20000</v>
      </c>
      <c r="G46" s="65">
        <v>800</v>
      </c>
      <c r="H46" s="65" t="s">
        <v>789</v>
      </c>
      <c r="I46" s="65" t="s">
        <v>404</v>
      </c>
      <c r="J46" s="55">
        <v>45733</v>
      </c>
      <c r="K46" s="53" t="s">
        <v>1009</v>
      </c>
      <c r="L46" s="166" t="s">
        <v>1010</v>
      </c>
      <c r="M46" s="53" t="s">
        <v>1008</v>
      </c>
      <c r="N46" s="199"/>
      <c r="O46" s="92">
        <v>20000</v>
      </c>
      <c r="P46" s="57"/>
      <c r="Q46" s="92"/>
      <c r="R46" s="53" t="s">
        <v>417</v>
      </c>
      <c r="S46" s="94">
        <v>45000</v>
      </c>
      <c r="T46" s="61">
        <f t="shared" si="2"/>
        <v>900000</v>
      </c>
    </row>
    <row r="47" spans="1:20" s="63" customFormat="1" ht="13.5" customHeight="1" x14ac:dyDescent="0.25">
      <c r="A47" s="65" t="s">
        <v>311</v>
      </c>
      <c r="B47" s="57" t="s">
        <v>1074</v>
      </c>
      <c r="C47" s="57" t="s">
        <v>451</v>
      </c>
      <c r="D47" s="93" t="s">
        <v>222</v>
      </c>
      <c r="E47" s="56" t="s">
        <v>464</v>
      </c>
      <c r="F47" s="92">
        <v>20000</v>
      </c>
      <c r="G47" s="65">
        <v>800</v>
      </c>
      <c r="H47" s="65" t="s">
        <v>165</v>
      </c>
      <c r="I47" s="65" t="s">
        <v>404</v>
      </c>
      <c r="J47" s="55">
        <v>45733</v>
      </c>
      <c r="K47" s="98" t="s">
        <v>1004</v>
      </c>
      <c r="L47" s="105">
        <v>89116824216</v>
      </c>
      <c r="M47" s="98" t="s">
        <v>1003</v>
      </c>
      <c r="N47" s="162"/>
      <c r="O47" s="92">
        <v>20000</v>
      </c>
      <c r="P47" s="57"/>
      <c r="Q47" s="53"/>
      <c r="R47" s="53" t="s">
        <v>417</v>
      </c>
      <c r="S47" s="94">
        <v>43500</v>
      </c>
      <c r="T47" s="61">
        <f t="shared" si="2"/>
        <v>870000</v>
      </c>
    </row>
    <row r="48" spans="1:20" s="63" customFormat="1" ht="13.5" customHeight="1" x14ac:dyDescent="0.25">
      <c r="A48" s="65" t="s">
        <v>790</v>
      </c>
      <c r="B48" s="57" t="s">
        <v>830</v>
      </c>
      <c r="C48" s="57" t="s">
        <v>788</v>
      </c>
      <c r="D48" s="93" t="s">
        <v>212</v>
      </c>
      <c r="E48" s="189" t="s">
        <v>1005</v>
      </c>
      <c r="F48" s="92">
        <v>20000</v>
      </c>
      <c r="G48" s="65">
        <v>800</v>
      </c>
      <c r="H48" s="65" t="s">
        <v>789</v>
      </c>
      <c r="I48" s="65" t="s">
        <v>404</v>
      </c>
      <c r="J48" s="55">
        <v>45734</v>
      </c>
      <c r="K48" s="53" t="s">
        <v>1011</v>
      </c>
      <c r="L48" s="166" t="s">
        <v>792</v>
      </c>
      <c r="M48" s="53" t="s">
        <v>793</v>
      </c>
      <c r="N48" s="199"/>
      <c r="O48" s="92">
        <v>20000</v>
      </c>
      <c r="P48" s="57"/>
      <c r="Q48" s="92"/>
      <c r="R48" s="53" t="s">
        <v>417</v>
      </c>
      <c r="S48" s="94">
        <v>45000</v>
      </c>
      <c r="T48" s="61">
        <f xml:space="preserve"> S48*(F48/1000)</f>
        <v>900000</v>
      </c>
    </row>
    <row r="49" spans="1:20" s="63" customFormat="1" ht="13.5" customHeight="1" x14ac:dyDescent="0.25">
      <c r="A49" s="65" t="s">
        <v>311</v>
      </c>
      <c r="B49" s="57" t="s">
        <v>1001</v>
      </c>
      <c r="C49" s="57" t="s">
        <v>507</v>
      </c>
      <c r="D49" s="93" t="s">
        <v>237</v>
      </c>
      <c r="E49" s="189" t="s">
        <v>937</v>
      </c>
      <c r="F49" s="92">
        <v>20000</v>
      </c>
      <c r="G49" s="65">
        <v>800</v>
      </c>
      <c r="H49" s="65" t="s">
        <v>165</v>
      </c>
      <c r="I49" s="65" t="s">
        <v>404</v>
      </c>
      <c r="J49" s="55">
        <v>45734</v>
      </c>
      <c r="K49" s="53" t="s">
        <v>609</v>
      </c>
      <c r="L49" s="207">
        <v>89009189331</v>
      </c>
      <c r="M49" s="53" t="s">
        <v>745</v>
      </c>
      <c r="N49" s="139"/>
      <c r="O49" s="92">
        <v>20000</v>
      </c>
      <c r="P49" s="57"/>
      <c r="Q49" s="53"/>
      <c r="R49" s="168" t="s">
        <v>417</v>
      </c>
      <c r="S49" s="94">
        <v>41500</v>
      </c>
      <c r="T49" s="61">
        <f t="shared" si="2"/>
        <v>830000</v>
      </c>
    </row>
    <row r="50" spans="1:20" s="63" customFormat="1" ht="13.5" customHeight="1" x14ac:dyDescent="0.25">
      <c r="A50" s="65" t="s">
        <v>418</v>
      </c>
      <c r="B50" s="57" t="s">
        <v>1006</v>
      </c>
      <c r="C50" s="57" t="s">
        <v>451</v>
      </c>
      <c r="D50" s="93" t="s">
        <v>222</v>
      </c>
      <c r="E50" s="56" t="s">
        <v>464</v>
      </c>
      <c r="F50" s="92">
        <v>20000</v>
      </c>
      <c r="G50" s="65">
        <v>800</v>
      </c>
      <c r="H50" s="65" t="s">
        <v>165</v>
      </c>
      <c r="I50" s="65" t="s">
        <v>404</v>
      </c>
      <c r="J50" s="55">
        <v>45735</v>
      </c>
      <c r="K50" s="98" t="s">
        <v>587</v>
      </c>
      <c r="L50" s="105">
        <v>89212974613</v>
      </c>
      <c r="M50" s="98" t="s">
        <v>518</v>
      </c>
      <c r="N50" s="162"/>
      <c r="O50" s="92">
        <v>20000</v>
      </c>
      <c r="P50" s="57"/>
      <c r="Q50" s="53"/>
      <c r="R50" s="53" t="s">
        <v>417</v>
      </c>
      <c r="S50" s="94">
        <v>43500</v>
      </c>
      <c r="T50" s="61">
        <f t="shared" si="2"/>
        <v>870000</v>
      </c>
    </row>
    <row r="51" spans="1:20" s="63" customFormat="1" ht="13.5" customHeight="1" x14ac:dyDescent="0.25">
      <c r="A51" s="65" t="s">
        <v>421</v>
      </c>
      <c r="B51" s="57" t="s">
        <v>1007</v>
      </c>
      <c r="C51" s="57" t="s">
        <v>507</v>
      </c>
      <c r="D51" s="93" t="s">
        <v>237</v>
      </c>
      <c r="E51" s="189" t="s">
        <v>982</v>
      </c>
      <c r="F51" s="92">
        <v>20000</v>
      </c>
      <c r="G51" s="65">
        <v>800</v>
      </c>
      <c r="H51" s="65" t="s">
        <v>165</v>
      </c>
      <c r="I51" s="65" t="s">
        <v>404</v>
      </c>
      <c r="J51" s="55">
        <v>45735</v>
      </c>
      <c r="K51" s="53" t="s">
        <v>1015</v>
      </c>
      <c r="L51" s="207">
        <v>89137225673</v>
      </c>
      <c r="M51" s="53" t="s">
        <v>1014</v>
      </c>
      <c r="N51" s="139"/>
      <c r="O51" s="92">
        <v>20000</v>
      </c>
      <c r="P51" s="57"/>
      <c r="Q51" s="53"/>
      <c r="R51" s="168" t="s">
        <v>417</v>
      </c>
      <c r="S51" s="94">
        <v>41500</v>
      </c>
      <c r="T51" s="61">
        <f t="shared" si="2"/>
        <v>830000</v>
      </c>
    </row>
    <row r="52" spans="1:20" s="63" customFormat="1" x14ac:dyDescent="0.25">
      <c r="A52" s="65" t="s">
        <v>281</v>
      </c>
      <c r="B52" s="57" t="s">
        <v>753</v>
      </c>
      <c r="C52" s="57" t="s">
        <v>164</v>
      </c>
      <c r="D52" s="10" t="s">
        <v>232</v>
      </c>
      <c r="E52" s="167" t="s">
        <v>731</v>
      </c>
      <c r="F52" s="57">
        <v>3000</v>
      </c>
      <c r="G52" s="65">
        <v>120</v>
      </c>
      <c r="H52" s="65" t="s">
        <v>754</v>
      </c>
      <c r="I52" s="65" t="s">
        <v>404</v>
      </c>
      <c r="J52" s="55">
        <v>45735</v>
      </c>
      <c r="K52" s="99" t="s">
        <v>1012</v>
      </c>
      <c r="L52" s="105">
        <v>89128264591</v>
      </c>
      <c r="M52" s="62" t="s">
        <v>1013</v>
      </c>
      <c r="N52" s="218" t="s">
        <v>281</v>
      </c>
      <c r="O52" s="53"/>
      <c r="P52" s="57">
        <v>3000</v>
      </c>
      <c r="Q52" s="53"/>
      <c r="R52" s="168" t="s">
        <v>417</v>
      </c>
      <c r="S52" s="94">
        <v>265000</v>
      </c>
      <c r="T52" s="61">
        <f t="shared" si="2"/>
        <v>795000</v>
      </c>
    </row>
    <row r="53" spans="1:20" s="63" customFormat="1" x14ac:dyDescent="0.25">
      <c r="A53" s="65" t="s">
        <v>281</v>
      </c>
      <c r="B53" s="57" t="s">
        <v>753</v>
      </c>
      <c r="C53" s="57" t="s">
        <v>164</v>
      </c>
      <c r="D53" s="10" t="s">
        <v>299</v>
      </c>
      <c r="E53" s="167" t="s">
        <v>329</v>
      </c>
      <c r="F53" s="57">
        <v>3200</v>
      </c>
      <c r="G53" s="65">
        <v>16</v>
      </c>
      <c r="H53" s="65" t="s">
        <v>754</v>
      </c>
      <c r="I53" s="65" t="s">
        <v>404</v>
      </c>
      <c r="J53" s="55">
        <v>45735</v>
      </c>
      <c r="K53" s="99" t="s">
        <v>1012</v>
      </c>
      <c r="L53" s="105">
        <v>89128264591</v>
      </c>
      <c r="M53" s="62" t="s">
        <v>1013</v>
      </c>
      <c r="N53" s="218" t="s">
        <v>281</v>
      </c>
      <c r="O53" s="53"/>
      <c r="P53" s="53"/>
      <c r="Q53" s="57">
        <v>3200</v>
      </c>
      <c r="R53" s="168" t="s">
        <v>417</v>
      </c>
      <c r="S53" s="94">
        <v>79000</v>
      </c>
      <c r="T53" s="61">
        <f t="shared" si="2"/>
        <v>252800</v>
      </c>
    </row>
    <row r="54" spans="1:20" s="63" customFormat="1" ht="13.5" customHeight="1" x14ac:dyDescent="0.25">
      <c r="A54" s="65" t="s">
        <v>281</v>
      </c>
      <c r="B54" s="57" t="s">
        <v>886</v>
      </c>
      <c r="C54" s="57" t="s">
        <v>676</v>
      </c>
      <c r="D54" s="93" t="s">
        <v>995</v>
      </c>
      <c r="E54" s="56" t="s">
        <v>992</v>
      </c>
      <c r="F54" s="92">
        <v>1000</v>
      </c>
      <c r="G54" s="65">
        <v>5</v>
      </c>
      <c r="H54" s="65" t="s">
        <v>281</v>
      </c>
      <c r="I54" s="65" t="s">
        <v>404</v>
      </c>
      <c r="J54" s="55">
        <v>45737</v>
      </c>
      <c r="K54" s="165" t="s">
        <v>1037</v>
      </c>
      <c r="L54" s="164" t="s">
        <v>1036</v>
      </c>
      <c r="M54" s="98" t="s">
        <v>1035</v>
      </c>
      <c r="N54" s="139"/>
      <c r="O54" s="92"/>
      <c r="P54" s="92"/>
      <c r="Q54" s="92">
        <v>1000</v>
      </c>
      <c r="R54" s="53" t="s">
        <v>417</v>
      </c>
      <c r="S54" s="94">
        <v>330000</v>
      </c>
      <c r="T54" s="61">
        <f xml:space="preserve"> S54*(F54/1000)</f>
        <v>330000</v>
      </c>
    </row>
    <row r="55" spans="1:20" s="63" customFormat="1" ht="13.5" customHeight="1" x14ac:dyDescent="0.25">
      <c r="A55" s="65" t="s">
        <v>865</v>
      </c>
      <c r="B55" s="57" t="s">
        <v>991</v>
      </c>
      <c r="C55" s="57" t="s">
        <v>164</v>
      </c>
      <c r="D55" s="10" t="s">
        <v>866</v>
      </c>
      <c r="E55" s="167" t="s">
        <v>992</v>
      </c>
      <c r="F55" s="57">
        <v>14800</v>
      </c>
      <c r="G55" s="65">
        <v>80</v>
      </c>
      <c r="H55" s="65" t="s">
        <v>166</v>
      </c>
      <c r="I55" s="65" t="s">
        <v>404</v>
      </c>
      <c r="J55" s="55">
        <v>45737</v>
      </c>
      <c r="K55" s="99" t="s">
        <v>572</v>
      </c>
      <c r="L55" s="105">
        <v>89115583359</v>
      </c>
      <c r="M55" s="62" t="s">
        <v>571</v>
      </c>
      <c r="N55" s="179" t="s">
        <v>1049</v>
      </c>
      <c r="O55" s="53"/>
      <c r="P55" s="53"/>
      <c r="Q55" s="57">
        <v>14800</v>
      </c>
      <c r="R55" s="168" t="s">
        <v>417</v>
      </c>
      <c r="S55" s="94">
        <v>125000</v>
      </c>
      <c r="T55" s="61">
        <f t="shared" si="2"/>
        <v>1850000</v>
      </c>
    </row>
    <row r="56" spans="1:20" s="63" customFormat="1" ht="13.5" customHeight="1" x14ac:dyDescent="0.25">
      <c r="A56" s="65" t="s">
        <v>865</v>
      </c>
      <c r="B56" s="57" t="s">
        <v>991</v>
      </c>
      <c r="C56" s="57" t="s">
        <v>164</v>
      </c>
      <c r="D56" s="10" t="s">
        <v>304</v>
      </c>
      <c r="E56" s="167" t="s">
        <v>993</v>
      </c>
      <c r="F56" s="57">
        <v>7000</v>
      </c>
      <c r="G56" s="65">
        <v>40</v>
      </c>
      <c r="H56" s="65" t="s">
        <v>166</v>
      </c>
      <c r="I56" s="65" t="s">
        <v>404</v>
      </c>
      <c r="J56" s="55">
        <v>45737</v>
      </c>
      <c r="K56" s="99" t="s">
        <v>572</v>
      </c>
      <c r="L56" s="105">
        <v>89115583359</v>
      </c>
      <c r="M56" s="62" t="s">
        <v>571</v>
      </c>
      <c r="N56" s="179" t="s">
        <v>1050</v>
      </c>
      <c r="O56" s="53"/>
      <c r="P56" s="53"/>
      <c r="Q56" s="57">
        <v>7000</v>
      </c>
      <c r="R56" s="168" t="s">
        <v>417</v>
      </c>
      <c r="S56" s="94">
        <v>255000</v>
      </c>
      <c r="T56" s="61">
        <f t="shared" si="2"/>
        <v>1785000</v>
      </c>
    </row>
    <row r="57" spans="1:20" s="63" customFormat="1" ht="13.5" customHeight="1" x14ac:dyDescent="0.25">
      <c r="A57" s="65" t="s">
        <v>865</v>
      </c>
      <c r="B57" s="57" t="s">
        <v>991</v>
      </c>
      <c r="C57" s="57" t="s">
        <v>164</v>
      </c>
      <c r="D57" s="10" t="s">
        <v>304</v>
      </c>
      <c r="E57" s="167" t="s">
        <v>1005</v>
      </c>
      <c r="F57" s="57">
        <v>7000</v>
      </c>
      <c r="G57" s="65">
        <v>40</v>
      </c>
      <c r="H57" s="65" t="s">
        <v>166</v>
      </c>
      <c r="I57" s="65" t="s">
        <v>404</v>
      </c>
      <c r="J57" s="55">
        <v>45737</v>
      </c>
      <c r="K57" s="99" t="s">
        <v>572</v>
      </c>
      <c r="L57" s="105">
        <v>89115583359</v>
      </c>
      <c r="M57" s="62" t="s">
        <v>571</v>
      </c>
      <c r="N57" s="179" t="s">
        <v>1050</v>
      </c>
      <c r="O57" s="53"/>
      <c r="P57" s="53"/>
      <c r="Q57" s="57">
        <v>7000</v>
      </c>
      <c r="R57" s="168" t="s">
        <v>417</v>
      </c>
      <c r="S57" s="94">
        <v>255000</v>
      </c>
      <c r="T57" s="61">
        <f t="shared" si="2"/>
        <v>1785000</v>
      </c>
    </row>
    <row r="58" spans="1:20" s="63" customFormat="1" ht="13.5" customHeight="1" x14ac:dyDescent="0.25">
      <c r="A58" s="65" t="s">
        <v>646</v>
      </c>
      <c r="B58" s="57" t="s">
        <v>1062</v>
      </c>
      <c r="C58" s="57" t="s">
        <v>730</v>
      </c>
      <c r="D58" s="93" t="s">
        <v>267</v>
      </c>
      <c r="E58" s="56" t="s">
        <v>731</v>
      </c>
      <c r="F58" s="92">
        <v>17600</v>
      </c>
      <c r="G58" s="65">
        <v>88</v>
      </c>
      <c r="H58" s="65" t="s">
        <v>732</v>
      </c>
      <c r="I58" s="65" t="s">
        <v>404</v>
      </c>
      <c r="J58" s="55">
        <v>45740</v>
      </c>
      <c r="K58" s="98" t="s">
        <v>1061</v>
      </c>
      <c r="L58" s="108">
        <v>79216942187</v>
      </c>
      <c r="M58" s="98" t="s">
        <v>1060</v>
      </c>
      <c r="N58" s="162"/>
      <c r="O58" s="92"/>
      <c r="P58" s="57"/>
      <c r="Q58" s="92">
        <v>17600</v>
      </c>
      <c r="R58" s="53" t="s">
        <v>417</v>
      </c>
      <c r="S58" s="94">
        <v>369000</v>
      </c>
      <c r="T58" s="61">
        <f xml:space="preserve"> S58*(F58/1000)</f>
        <v>6494400.0000000009</v>
      </c>
    </row>
    <row r="59" spans="1:20" s="63" customFormat="1" ht="13.5" customHeight="1" x14ac:dyDescent="0.25">
      <c r="A59" s="65" t="s">
        <v>448</v>
      </c>
      <c r="B59" s="57" t="s">
        <v>1017</v>
      </c>
      <c r="C59" s="57" t="s">
        <v>1018</v>
      </c>
      <c r="D59" s="93" t="s">
        <v>375</v>
      </c>
      <c r="E59" s="56" t="s">
        <v>906</v>
      </c>
      <c r="F59" s="92">
        <v>18480</v>
      </c>
      <c r="G59" s="65">
        <v>88</v>
      </c>
      <c r="H59" s="65" t="s">
        <v>1019</v>
      </c>
      <c r="I59" s="65" t="s">
        <v>404</v>
      </c>
      <c r="J59" s="55">
        <v>45740</v>
      </c>
      <c r="K59" s="98" t="s">
        <v>1021</v>
      </c>
      <c r="L59" s="108" t="s">
        <v>1028</v>
      </c>
      <c r="M59" s="98" t="s">
        <v>1020</v>
      </c>
      <c r="N59" s="162"/>
      <c r="O59" s="92"/>
      <c r="P59" s="57"/>
      <c r="Q59" s="92">
        <v>18480</v>
      </c>
      <c r="R59" s="53" t="s">
        <v>417</v>
      </c>
      <c r="S59" s="94">
        <v>85000</v>
      </c>
      <c r="T59" s="61">
        <f t="shared" si="2"/>
        <v>1570800</v>
      </c>
    </row>
    <row r="60" spans="1:20" s="63" customFormat="1" ht="13.5" customHeight="1" x14ac:dyDescent="0.25">
      <c r="A60" s="65" t="s">
        <v>448</v>
      </c>
      <c r="B60" s="57" t="s">
        <v>1017</v>
      </c>
      <c r="C60" s="57" t="s">
        <v>1018</v>
      </c>
      <c r="D60" s="93" t="s">
        <v>375</v>
      </c>
      <c r="E60" s="56" t="s">
        <v>912</v>
      </c>
      <c r="F60" s="92">
        <v>18480</v>
      </c>
      <c r="G60" s="65">
        <v>88</v>
      </c>
      <c r="H60" s="65" t="s">
        <v>1019</v>
      </c>
      <c r="I60" s="65" t="s">
        <v>404</v>
      </c>
      <c r="J60" s="55">
        <v>45740</v>
      </c>
      <c r="K60" s="98" t="s">
        <v>1023</v>
      </c>
      <c r="L60" s="108" t="s">
        <v>1028</v>
      </c>
      <c r="M60" s="98" t="s">
        <v>1022</v>
      </c>
      <c r="N60" s="162"/>
      <c r="O60" s="92"/>
      <c r="P60" s="57"/>
      <c r="Q60" s="92">
        <v>18480</v>
      </c>
      <c r="R60" s="53" t="s">
        <v>417</v>
      </c>
      <c r="S60" s="94">
        <v>85000</v>
      </c>
      <c r="T60" s="61">
        <f t="shared" si="2"/>
        <v>1570800</v>
      </c>
    </row>
    <row r="61" spans="1:20" s="63" customFormat="1" ht="13.5" customHeight="1" x14ac:dyDescent="0.25">
      <c r="A61" s="65" t="s">
        <v>448</v>
      </c>
      <c r="B61" s="57" t="s">
        <v>1017</v>
      </c>
      <c r="C61" s="57" t="s">
        <v>1018</v>
      </c>
      <c r="D61" s="93" t="s">
        <v>1016</v>
      </c>
      <c r="E61" s="56" t="s">
        <v>942</v>
      </c>
      <c r="F61" s="92">
        <v>20000</v>
      </c>
      <c r="G61" s="65">
        <v>1000</v>
      </c>
      <c r="H61" s="65" t="s">
        <v>1019</v>
      </c>
      <c r="I61" s="65" t="s">
        <v>404</v>
      </c>
      <c r="J61" s="55">
        <v>45740</v>
      </c>
      <c r="K61" s="98" t="s">
        <v>1024</v>
      </c>
      <c r="L61" s="108" t="s">
        <v>1028</v>
      </c>
      <c r="M61" s="98" t="s">
        <v>1025</v>
      </c>
      <c r="N61" s="162"/>
      <c r="O61" s="92"/>
      <c r="P61" s="92">
        <v>20000</v>
      </c>
      <c r="Q61" s="53"/>
      <c r="R61" s="53" t="s">
        <v>417</v>
      </c>
      <c r="S61" s="94">
        <v>253000</v>
      </c>
      <c r="T61" s="61">
        <f t="shared" si="2"/>
        <v>5060000</v>
      </c>
    </row>
    <row r="62" spans="1:20" s="63" customFormat="1" ht="13.5" customHeight="1" x14ac:dyDescent="0.25">
      <c r="A62" s="65" t="s">
        <v>448</v>
      </c>
      <c r="B62" s="57" t="s">
        <v>1017</v>
      </c>
      <c r="C62" s="57" t="s">
        <v>1018</v>
      </c>
      <c r="D62" s="93" t="s">
        <v>239</v>
      </c>
      <c r="E62" s="56" t="s">
        <v>982</v>
      </c>
      <c r="F62" s="92">
        <v>20000</v>
      </c>
      <c r="G62" s="65">
        <v>800</v>
      </c>
      <c r="H62" s="65" t="s">
        <v>1019</v>
      </c>
      <c r="I62" s="65" t="s">
        <v>404</v>
      </c>
      <c r="J62" s="55">
        <v>45740</v>
      </c>
      <c r="K62" s="98" t="s">
        <v>1027</v>
      </c>
      <c r="L62" s="108" t="s">
        <v>1028</v>
      </c>
      <c r="M62" s="98" t="s">
        <v>1026</v>
      </c>
      <c r="N62" s="162"/>
      <c r="O62" s="92">
        <v>20000</v>
      </c>
      <c r="P62" s="57"/>
      <c r="Q62" s="53"/>
      <c r="R62" s="53" t="s">
        <v>417</v>
      </c>
      <c r="S62" s="94">
        <v>45000</v>
      </c>
      <c r="T62" s="61">
        <f t="shared" si="2"/>
        <v>900000</v>
      </c>
    </row>
    <row r="63" spans="1:20" s="63" customFormat="1" ht="13.5" customHeight="1" x14ac:dyDescent="0.25">
      <c r="A63" s="65" t="s">
        <v>408</v>
      </c>
      <c r="B63" s="57" t="s">
        <v>1034</v>
      </c>
      <c r="C63" s="57" t="s">
        <v>451</v>
      </c>
      <c r="D63" s="93" t="s">
        <v>223</v>
      </c>
      <c r="E63" s="56" t="s">
        <v>453</v>
      </c>
      <c r="F63" s="92">
        <v>12000</v>
      </c>
      <c r="G63" s="65">
        <v>480</v>
      </c>
      <c r="H63" s="65" t="s">
        <v>773</v>
      </c>
      <c r="I63" s="65" t="s">
        <v>404</v>
      </c>
      <c r="J63" s="55">
        <v>45741</v>
      </c>
      <c r="K63" s="53" t="s">
        <v>900</v>
      </c>
      <c r="L63" s="207">
        <v>89216700606</v>
      </c>
      <c r="M63" s="53" t="s">
        <v>898</v>
      </c>
      <c r="N63" s="162"/>
      <c r="O63" s="92"/>
      <c r="P63" s="92">
        <v>12000</v>
      </c>
      <c r="Q63" s="53"/>
      <c r="R63" s="53" t="s">
        <v>417</v>
      </c>
      <c r="S63" s="94">
        <v>250000</v>
      </c>
      <c r="T63" s="61">
        <f t="shared" si="2"/>
        <v>3000000</v>
      </c>
    </row>
    <row r="64" spans="1:20" s="63" customFormat="1" ht="13.5" customHeight="1" x14ac:dyDescent="0.25">
      <c r="A64" s="65" t="s">
        <v>408</v>
      </c>
      <c r="B64" s="57" t="s">
        <v>1034</v>
      </c>
      <c r="C64" s="57" t="s">
        <v>451</v>
      </c>
      <c r="D64" s="93" t="s">
        <v>194</v>
      </c>
      <c r="E64" s="56" t="s">
        <v>473</v>
      </c>
      <c r="F64" s="92">
        <v>6400</v>
      </c>
      <c r="G64" s="65">
        <v>32</v>
      </c>
      <c r="H64" s="65" t="s">
        <v>773</v>
      </c>
      <c r="I64" s="65" t="s">
        <v>404</v>
      </c>
      <c r="J64" s="55">
        <v>45741</v>
      </c>
      <c r="K64" s="53" t="s">
        <v>900</v>
      </c>
      <c r="L64" s="207" t="s">
        <v>899</v>
      </c>
      <c r="M64" s="53" t="s">
        <v>898</v>
      </c>
      <c r="N64" s="162"/>
      <c r="O64" s="92"/>
      <c r="P64" s="57"/>
      <c r="Q64" s="92">
        <v>6400</v>
      </c>
      <c r="R64" s="53" t="s">
        <v>417</v>
      </c>
      <c r="S64" s="94">
        <v>105000</v>
      </c>
      <c r="T64" s="61">
        <f t="shared" si="2"/>
        <v>672000</v>
      </c>
    </row>
    <row r="65" spans="1:20" s="63" customFormat="1" ht="13.5" customHeight="1" x14ac:dyDescent="0.25">
      <c r="A65" s="65" t="s">
        <v>316</v>
      </c>
      <c r="B65" s="57" t="s">
        <v>1030</v>
      </c>
      <c r="C65" s="57" t="s">
        <v>964</v>
      </c>
      <c r="D65" s="93" t="s">
        <v>223</v>
      </c>
      <c r="E65" s="189" t="s">
        <v>1040</v>
      </c>
      <c r="F65" s="92">
        <v>10000</v>
      </c>
      <c r="G65" s="65">
        <v>400</v>
      </c>
      <c r="H65" s="65" t="s">
        <v>966</v>
      </c>
      <c r="I65" s="65" t="s">
        <v>404</v>
      </c>
      <c r="J65" s="55">
        <v>45741</v>
      </c>
      <c r="K65" s="53" t="s">
        <v>1058</v>
      </c>
      <c r="L65" s="166">
        <v>89038779901</v>
      </c>
      <c r="M65" s="53" t="s">
        <v>1059</v>
      </c>
      <c r="N65" s="212"/>
      <c r="O65" s="53"/>
      <c r="P65" s="92">
        <v>10000</v>
      </c>
      <c r="Q65" s="92"/>
      <c r="R65" s="53" t="s">
        <v>417</v>
      </c>
      <c r="S65" s="94">
        <v>255000</v>
      </c>
      <c r="T65" s="61">
        <f t="shared" si="2"/>
        <v>2550000</v>
      </c>
    </row>
    <row r="66" spans="1:20" s="63" customFormat="1" ht="13.5" customHeight="1" x14ac:dyDescent="0.25">
      <c r="A66" s="65" t="s">
        <v>316</v>
      </c>
      <c r="B66" s="57" t="s">
        <v>1030</v>
      </c>
      <c r="C66" s="57" t="s">
        <v>964</v>
      </c>
      <c r="D66" s="93" t="s">
        <v>168</v>
      </c>
      <c r="E66" s="189" t="s">
        <v>797</v>
      </c>
      <c r="F66" s="92">
        <v>4800</v>
      </c>
      <c r="G66" s="65">
        <v>24</v>
      </c>
      <c r="H66" s="65" t="s">
        <v>966</v>
      </c>
      <c r="I66" s="65" t="s">
        <v>404</v>
      </c>
      <c r="J66" s="55">
        <v>45741</v>
      </c>
      <c r="K66" s="53" t="s">
        <v>1058</v>
      </c>
      <c r="L66" s="166">
        <v>89038779901</v>
      </c>
      <c r="M66" s="53" t="s">
        <v>1059</v>
      </c>
      <c r="N66" s="212"/>
      <c r="O66" s="53"/>
      <c r="P66" s="57"/>
      <c r="Q66" s="92">
        <v>4800</v>
      </c>
      <c r="R66" s="53" t="s">
        <v>417</v>
      </c>
      <c r="S66" s="94">
        <v>89500</v>
      </c>
      <c r="T66" s="61">
        <f t="shared" si="2"/>
        <v>429600</v>
      </c>
    </row>
    <row r="67" spans="1:20" s="63" customFormat="1" ht="13.5" customHeight="1" x14ac:dyDescent="0.25">
      <c r="A67" s="65" t="s">
        <v>316</v>
      </c>
      <c r="B67" s="57" t="s">
        <v>1030</v>
      </c>
      <c r="C67" s="57" t="s">
        <v>964</v>
      </c>
      <c r="D67" s="93" t="s">
        <v>168</v>
      </c>
      <c r="E67" s="189" t="s">
        <v>992</v>
      </c>
      <c r="F67" s="92">
        <v>4800</v>
      </c>
      <c r="G67" s="65">
        <v>24</v>
      </c>
      <c r="H67" s="65" t="s">
        <v>966</v>
      </c>
      <c r="I67" s="65" t="s">
        <v>404</v>
      </c>
      <c r="J67" s="55">
        <v>45741</v>
      </c>
      <c r="K67" s="53" t="s">
        <v>1058</v>
      </c>
      <c r="L67" s="166">
        <v>89038779901</v>
      </c>
      <c r="M67" s="53" t="s">
        <v>1059</v>
      </c>
      <c r="N67" s="212"/>
      <c r="O67" s="53"/>
      <c r="P67" s="57"/>
      <c r="Q67" s="92">
        <v>4800</v>
      </c>
      <c r="R67" s="53" t="s">
        <v>417</v>
      </c>
      <c r="S67" s="94">
        <v>89500</v>
      </c>
      <c r="T67" s="61">
        <f t="shared" si="2"/>
        <v>429600</v>
      </c>
    </row>
    <row r="68" spans="1:20" s="63" customFormat="1" ht="13.5" customHeight="1" x14ac:dyDescent="0.25">
      <c r="A68" s="65" t="s">
        <v>997</v>
      </c>
      <c r="B68" s="57" t="s">
        <v>1055</v>
      </c>
      <c r="C68" s="57" t="s">
        <v>507</v>
      </c>
      <c r="D68" s="93" t="s">
        <v>237</v>
      </c>
      <c r="E68" s="189" t="s">
        <v>1056</v>
      </c>
      <c r="F68" s="92">
        <v>20000</v>
      </c>
      <c r="G68" s="65">
        <v>800</v>
      </c>
      <c r="H68" s="65" t="s">
        <v>165</v>
      </c>
      <c r="I68" s="65" t="s">
        <v>404</v>
      </c>
      <c r="J68" s="55">
        <v>45741</v>
      </c>
      <c r="K68" s="53" t="s">
        <v>1066</v>
      </c>
      <c r="L68" s="207">
        <v>89080663420</v>
      </c>
      <c r="M68" s="53" t="s">
        <v>1065</v>
      </c>
      <c r="N68" s="139"/>
      <c r="O68" s="92">
        <v>20000</v>
      </c>
      <c r="P68" s="57"/>
      <c r="Q68" s="53"/>
      <c r="R68" s="168" t="s">
        <v>417</v>
      </c>
      <c r="S68" s="94">
        <v>41500</v>
      </c>
      <c r="T68" s="61">
        <f xml:space="preserve"> S68*(F68/1000)</f>
        <v>830000</v>
      </c>
    </row>
    <row r="69" spans="1:20" s="63" customFormat="1" ht="13.5" customHeight="1" x14ac:dyDescent="0.25">
      <c r="A69" s="65" t="s">
        <v>790</v>
      </c>
      <c r="B69" s="57" t="s">
        <v>1048</v>
      </c>
      <c r="C69" s="57" t="s">
        <v>451</v>
      </c>
      <c r="D69" s="93" t="s">
        <v>226</v>
      </c>
      <c r="E69" s="56" t="s">
        <v>464</v>
      </c>
      <c r="F69" s="92">
        <v>20000</v>
      </c>
      <c r="G69" s="65">
        <v>800</v>
      </c>
      <c r="H69" s="65" t="s">
        <v>596</v>
      </c>
      <c r="I69" s="65" t="s">
        <v>404</v>
      </c>
      <c r="J69" s="55">
        <v>45741</v>
      </c>
      <c r="K69" s="98" t="s">
        <v>1064</v>
      </c>
      <c r="L69" s="105" t="s">
        <v>885</v>
      </c>
      <c r="M69" s="98" t="s">
        <v>1063</v>
      </c>
      <c r="N69" s="162"/>
      <c r="O69" s="92">
        <v>20000</v>
      </c>
      <c r="P69" s="57"/>
      <c r="Q69" s="53"/>
      <c r="R69" s="53" t="s">
        <v>417</v>
      </c>
      <c r="S69" s="94">
        <v>43500</v>
      </c>
      <c r="T69" s="61">
        <f xml:space="preserve"> S69*(F69/1000)</f>
        <v>870000</v>
      </c>
    </row>
    <row r="70" spans="1:20" s="63" customFormat="1" ht="13.5" customHeight="1" x14ac:dyDescent="0.25">
      <c r="A70" s="65" t="s">
        <v>311</v>
      </c>
      <c r="B70" s="57" t="s">
        <v>1041</v>
      </c>
      <c r="C70" s="57" t="s">
        <v>558</v>
      </c>
      <c r="D70" s="93" t="s">
        <v>1079</v>
      </c>
      <c r="E70" s="56" t="s">
        <v>1042</v>
      </c>
      <c r="F70" s="92">
        <v>2160</v>
      </c>
      <c r="G70" s="65">
        <v>120</v>
      </c>
      <c r="H70" s="65" t="s">
        <v>1051</v>
      </c>
      <c r="I70" s="65" t="s">
        <v>404</v>
      </c>
      <c r="J70" s="55">
        <v>45741</v>
      </c>
      <c r="K70" s="108" t="s">
        <v>1068</v>
      </c>
      <c r="L70" s="164" t="s">
        <v>1069</v>
      </c>
      <c r="M70" s="98" t="s">
        <v>1067</v>
      </c>
      <c r="N70" s="162"/>
      <c r="O70" s="92"/>
      <c r="P70" s="92">
        <v>2160</v>
      </c>
      <c r="Q70" s="53"/>
      <c r="R70" s="53" t="s">
        <v>417</v>
      </c>
      <c r="S70" s="94">
        <v>220000</v>
      </c>
      <c r="T70" s="61">
        <f t="shared" si="2"/>
        <v>475200.00000000006</v>
      </c>
    </row>
    <row r="71" spans="1:20" s="63" customFormat="1" ht="13.5" customHeight="1" x14ac:dyDescent="0.25">
      <c r="A71" s="65" t="s">
        <v>311</v>
      </c>
      <c r="B71" s="57" t="s">
        <v>1041</v>
      </c>
      <c r="C71" s="57" t="s">
        <v>558</v>
      </c>
      <c r="D71" s="93" t="s">
        <v>309</v>
      </c>
      <c r="E71" s="56" t="s">
        <v>1042</v>
      </c>
      <c r="F71" s="92">
        <v>12000</v>
      </c>
      <c r="G71" s="65">
        <v>60</v>
      </c>
      <c r="H71" s="65" t="s">
        <v>1051</v>
      </c>
      <c r="I71" s="65" t="s">
        <v>404</v>
      </c>
      <c r="J71" s="55">
        <v>45741</v>
      </c>
      <c r="K71" s="108" t="s">
        <v>1068</v>
      </c>
      <c r="L71" s="164" t="s">
        <v>1069</v>
      </c>
      <c r="M71" s="98" t="s">
        <v>1067</v>
      </c>
      <c r="N71" s="162"/>
      <c r="O71" s="92"/>
      <c r="P71" s="92"/>
      <c r="Q71" s="92">
        <v>12000</v>
      </c>
      <c r="R71" s="53" t="s">
        <v>417</v>
      </c>
      <c r="S71" s="94">
        <v>128000</v>
      </c>
      <c r="T71" s="61">
        <f t="shared" si="2"/>
        <v>1536000</v>
      </c>
    </row>
    <row r="72" spans="1:20" s="63" customFormat="1" ht="13.5" customHeight="1" x14ac:dyDescent="0.25">
      <c r="A72" s="65" t="s">
        <v>311</v>
      </c>
      <c r="B72" s="57" t="s">
        <v>1041</v>
      </c>
      <c r="C72" s="57" t="s">
        <v>558</v>
      </c>
      <c r="D72" s="93" t="s">
        <v>172</v>
      </c>
      <c r="E72" s="56" t="s">
        <v>1052</v>
      </c>
      <c r="F72" s="92">
        <v>3200</v>
      </c>
      <c r="G72" s="65">
        <v>16</v>
      </c>
      <c r="H72" s="65" t="s">
        <v>1051</v>
      </c>
      <c r="I72" s="65" t="s">
        <v>404</v>
      </c>
      <c r="J72" s="55">
        <v>45741</v>
      </c>
      <c r="K72" s="108" t="s">
        <v>1068</v>
      </c>
      <c r="L72" s="164" t="s">
        <v>1069</v>
      </c>
      <c r="M72" s="98" t="s">
        <v>1067</v>
      </c>
      <c r="N72" s="162"/>
      <c r="O72" s="92"/>
      <c r="P72" s="92"/>
      <c r="Q72" s="92">
        <v>3200</v>
      </c>
      <c r="R72" s="53" t="s">
        <v>417</v>
      </c>
      <c r="S72" s="94">
        <v>167500</v>
      </c>
      <c r="T72" s="61">
        <f t="shared" si="2"/>
        <v>536000</v>
      </c>
    </row>
    <row r="73" spans="1:20" s="63" customFormat="1" ht="13.5" customHeight="1" x14ac:dyDescent="0.25">
      <c r="A73" s="65" t="s">
        <v>421</v>
      </c>
      <c r="B73" s="57" t="s">
        <v>927</v>
      </c>
      <c r="C73" s="57" t="s">
        <v>451</v>
      </c>
      <c r="D73" s="93" t="s">
        <v>194</v>
      </c>
      <c r="E73" s="56" t="s">
        <v>473</v>
      </c>
      <c r="F73" s="92">
        <v>6400</v>
      </c>
      <c r="G73" s="65">
        <v>32</v>
      </c>
      <c r="H73" s="65" t="s">
        <v>165</v>
      </c>
      <c r="I73" s="65" t="s">
        <v>404</v>
      </c>
      <c r="J73" s="55">
        <v>45742</v>
      </c>
      <c r="K73" s="98" t="s">
        <v>1080</v>
      </c>
      <c r="L73" s="108">
        <v>89822700453</v>
      </c>
      <c r="M73" s="98" t="s">
        <v>549</v>
      </c>
      <c r="N73" s="162"/>
      <c r="O73" s="92"/>
      <c r="P73" s="57"/>
      <c r="Q73" s="92">
        <v>6400</v>
      </c>
      <c r="R73" s="53" t="s">
        <v>417</v>
      </c>
      <c r="S73" s="94">
        <v>105000</v>
      </c>
      <c r="T73" s="61">
        <f xml:space="preserve"> S73*(F73/1000)</f>
        <v>672000</v>
      </c>
    </row>
    <row r="74" spans="1:20" s="63" customFormat="1" ht="13.5" customHeight="1" x14ac:dyDescent="0.25">
      <c r="A74" s="65" t="s">
        <v>421</v>
      </c>
      <c r="B74" s="57" t="s">
        <v>1121</v>
      </c>
      <c r="C74" s="57" t="s">
        <v>451</v>
      </c>
      <c r="D74" s="93" t="s">
        <v>222</v>
      </c>
      <c r="E74" s="56" t="s">
        <v>1075</v>
      </c>
      <c r="F74" s="92">
        <v>12000</v>
      </c>
      <c r="G74" s="65">
        <v>480</v>
      </c>
      <c r="H74" s="65" t="s">
        <v>165</v>
      </c>
      <c r="I74" s="65" t="s">
        <v>404</v>
      </c>
      <c r="J74" s="55">
        <v>45742</v>
      </c>
      <c r="K74" s="98" t="s">
        <v>1080</v>
      </c>
      <c r="L74" s="108">
        <v>89822700453</v>
      </c>
      <c r="M74" s="98" t="s">
        <v>549</v>
      </c>
      <c r="N74" s="162"/>
      <c r="O74" s="57">
        <v>12000</v>
      </c>
      <c r="P74" s="57"/>
      <c r="Q74" s="53"/>
      <c r="R74" s="53" t="s">
        <v>417</v>
      </c>
      <c r="S74" s="94">
        <v>43500</v>
      </c>
      <c r="T74" s="61">
        <f xml:space="preserve"> S74*(F74/1000)</f>
        <v>522000</v>
      </c>
    </row>
    <row r="75" spans="1:20" s="63" customFormat="1" ht="13.5" customHeight="1" x14ac:dyDescent="0.25">
      <c r="A75" s="65" t="s">
        <v>311</v>
      </c>
      <c r="B75" s="57" t="s">
        <v>1043</v>
      </c>
      <c r="C75" s="57" t="s">
        <v>558</v>
      </c>
      <c r="D75" s="93" t="s">
        <v>1079</v>
      </c>
      <c r="E75" s="56" t="s">
        <v>1042</v>
      </c>
      <c r="F75" s="92">
        <v>2160</v>
      </c>
      <c r="G75" s="65">
        <v>120</v>
      </c>
      <c r="H75" s="65" t="s">
        <v>560</v>
      </c>
      <c r="I75" s="65" t="s">
        <v>404</v>
      </c>
      <c r="J75" s="55">
        <v>45742</v>
      </c>
      <c r="K75" s="108" t="s">
        <v>1082</v>
      </c>
      <c r="L75" s="108">
        <v>89211878515</v>
      </c>
      <c r="M75" s="98" t="s">
        <v>1081</v>
      </c>
      <c r="N75" s="162"/>
      <c r="O75" s="92"/>
      <c r="P75" s="92">
        <v>2160</v>
      </c>
      <c r="Q75" s="53"/>
      <c r="R75" s="53" t="s">
        <v>417</v>
      </c>
      <c r="S75" s="94">
        <v>220000</v>
      </c>
      <c r="T75" s="61">
        <f xml:space="preserve"> S75*(F75/1000)</f>
        <v>475200.00000000006</v>
      </c>
    </row>
    <row r="76" spans="1:20" s="63" customFormat="1" ht="13.5" customHeight="1" x14ac:dyDescent="0.25">
      <c r="A76" s="65" t="s">
        <v>311</v>
      </c>
      <c r="B76" s="57" t="s">
        <v>1043</v>
      </c>
      <c r="C76" s="57" t="s">
        <v>558</v>
      </c>
      <c r="D76" s="93" t="s">
        <v>309</v>
      </c>
      <c r="E76" s="56" t="s">
        <v>1053</v>
      </c>
      <c r="F76" s="92">
        <v>12800</v>
      </c>
      <c r="G76" s="65">
        <v>64</v>
      </c>
      <c r="H76" s="65" t="s">
        <v>560</v>
      </c>
      <c r="I76" s="65" t="s">
        <v>404</v>
      </c>
      <c r="J76" s="55">
        <v>45742</v>
      </c>
      <c r="K76" s="108" t="s">
        <v>1082</v>
      </c>
      <c r="L76" s="108">
        <v>89211878515</v>
      </c>
      <c r="M76" s="98" t="s">
        <v>1081</v>
      </c>
      <c r="N76" s="162"/>
      <c r="O76" s="92"/>
      <c r="P76" s="92"/>
      <c r="Q76" s="92">
        <v>12800</v>
      </c>
      <c r="R76" s="53" t="s">
        <v>417</v>
      </c>
      <c r="S76" s="94">
        <v>128000</v>
      </c>
      <c r="T76" s="61">
        <f xml:space="preserve"> S76*(F76/1000)</f>
        <v>1638400</v>
      </c>
    </row>
    <row r="77" spans="1:20" s="63" customFormat="1" ht="13.5" customHeight="1" x14ac:dyDescent="0.25">
      <c r="A77" s="65" t="s">
        <v>311</v>
      </c>
      <c r="B77" s="57" t="s">
        <v>1043</v>
      </c>
      <c r="C77" s="57" t="s">
        <v>558</v>
      </c>
      <c r="D77" s="93" t="s">
        <v>172</v>
      </c>
      <c r="E77" s="56" t="s">
        <v>1052</v>
      </c>
      <c r="F77" s="92">
        <v>2400</v>
      </c>
      <c r="G77" s="65">
        <v>12</v>
      </c>
      <c r="H77" s="65" t="s">
        <v>560</v>
      </c>
      <c r="I77" s="65" t="s">
        <v>404</v>
      </c>
      <c r="J77" s="55">
        <v>45742</v>
      </c>
      <c r="K77" s="108" t="s">
        <v>1082</v>
      </c>
      <c r="L77" s="108">
        <v>89211878515</v>
      </c>
      <c r="M77" s="98" t="s">
        <v>1081</v>
      </c>
      <c r="N77" s="162"/>
      <c r="O77" s="92"/>
      <c r="P77" s="92"/>
      <c r="Q77" s="92">
        <v>2400</v>
      </c>
      <c r="R77" s="53" t="s">
        <v>417</v>
      </c>
      <c r="S77" s="94">
        <v>167500</v>
      </c>
      <c r="T77" s="61">
        <f xml:space="preserve"> S77*(F77/1000)</f>
        <v>402000</v>
      </c>
    </row>
    <row r="78" spans="1:20" s="63" customFormat="1" ht="13.5" customHeight="1" x14ac:dyDescent="0.25">
      <c r="A78" s="65" t="s">
        <v>311</v>
      </c>
      <c r="B78" s="57" t="s">
        <v>1057</v>
      </c>
      <c r="C78" s="57" t="s">
        <v>507</v>
      </c>
      <c r="D78" s="93" t="s">
        <v>237</v>
      </c>
      <c r="E78" s="189" t="s">
        <v>993</v>
      </c>
      <c r="F78" s="92">
        <v>20000</v>
      </c>
      <c r="G78" s="65">
        <v>800</v>
      </c>
      <c r="H78" s="65" t="s">
        <v>165</v>
      </c>
      <c r="I78" s="65" t="s">
        <v>404</v>
      </c>
      <c r="J78" s="55">
        <v>45742</v>
      </c>
      <c r="K78" s="53" t="s">
        <v>1072</v>
      </c>
      <c r="L78" s="207">
        <v>89115513455</v>
      </c>
      <c r="M78" s="53" t="s">
        <v>1071</v>
      </c>
      <c r="N78" s="139"/>
      <c r="O78" s="92">
        <v>20000</v>
      </c>
      <c r="P78" s="57"/>
      <c r="Q78" s="53"/>
      <c r="R78" s="168" t="s">
        <v>417</v>
      </c>
      <c r="S78" s="94">
        <v>41500</v>
      </c>
      <c r="T78" s="61">
        <f t="shared" ref="T78:T82" si="3" xml:space="preserve"> S78*(F78/1000)</f>
        <v>830000</v>
      </c>
    </row>
    <row r="79" spans="1:20" s="63" customFormat="1" ht="13.5" customHeight="1" x14ac:dyDescent="0.25">
      <c r="A79" s="65" t="s">
        <v>1090</v>
      </c>
      <c r="B79" s="57" t="s">
        <v>1070</v>
      </c>
      <c r="C79" s="57" t="s">
        <v>164</v>
      </c>
      <c r="D79" s="10" t="s">
        <v>306</v>
      </c>
      <c r="E79" s="232">
        <v>210325</v>
      </c>
      <c r="F79" s="57">
        <v>10500</v>
      </c>
      <c r="G79" s="65">
        <v>420</v>
      </c>
      <c r="H79" s="65" t="s">
        <v>701</v>
      </c>
      <c r="I79" s="65" t="s">
        <v>404</v>
      </c>
      <c r="J79" s="55">
        <v>45743</v>
      </c>
      <c r="K79" s="199" t="s">
        <v>1099</v>
      </c>
      <c r="L79" s="105">
        <v>89600137798</v>
      </c>
      <c r="M79" s="62" t="s">
        <v>1093</v>
      </c>
      <c r="N79" s="179"/>
      <c r="O79" s="57">
        <v>10500</v>
      </c>
      <c r="P79" s="53"/>
      <c r="Q79" s="53"/>
      <c r="R79" s="168" t="s">
        <v>417</v>
      </c>
      <c r="S79" s="94">
        <v>41000</v>
      </c>
      <c r="T79" s="61">
        <f xml:space="preserve"> S79*(F79/1000)</f>
        <v>430500</v>
      </c>
    </row>
    <row r="80" spans="1:20" s="63" customFormat="1" ht="13.5" customHeight="1" x14ac:dyDescent="0.25">
      <c r="A80" s="65" t="s">
        <v>311</v>
      </c>
      <c r="B80" s="57" t="s">
        <v>1073</v>
      </c>
      <c r="C80" s="57" t="s">
        <v>164</v>
      </c>
      <c r="D80" s="10" t="s">
        <v>995</v>
      </c>
      <c r="E80" s="232">
        <v>260325</v>
      </c>
      <c r="F80" s="57">
        <v>6000</v>
      </c>
      <c r="G80" s="65">
        <v>30</v>
      </c>
      <c r="H80" s="65" t="s">
        <v>434</v>
      </c>
      <c r="I80" s="65" t="s">
        <v>404</v>
      </c>
      <c r="J80" s="55">
        <v>45743</v>
      </c>
      <c r="K80" s="99" t="s">
        <v>1092</v>
      </c>
      <c r="L80" s="105">
        <v>89039732777</v>
      </c>
      <c r="M80" s="62" t="s">
        <v>1091</v>
      </c>
      <c r="N80" s="179"/>
      <c r="O80" s="57"/>
      <c r="P80" s="53"/>
      <c r="Q80" s="57">
        <v>6000</v>
      </c>
      <c r="R80" s="168" t="s">
        <v>417</v>
      </c>
      <c r="S80" s="94">
        <v>680000</v>
      </c>
      <c r="T80" s="61">
        <f xml:space="preserve"> S80*(F80/1000)</f>
        <v>4080000</v>
      </c>
    </row>
    <row r="81" spans="1:20" s="63" customFormat="1" ht="13.5" customHeight="1" x14ac:dyDescent="0.25">
      <c r="A81" s="65" t="s">
        <v>1094</v>
      </c>
      <c r="B81" s="57" t="s">
        <v>1077</v>
      </c>
      <c r="C81" s="57" t="s">
        <v>164</v>
      </c>
      <c r="D81" s="10" t="s">
        <v>306</v>
      </c>
      <c r="E81" s="232">
        <v>200325</v>
      </c>
      <c r="F81" s="57">
        <v>20125</v>
      </c>
      <c r="G81" s="65">
        <v>805</v>
      </c>
      <c r="H81" s="65" t="s">
        <v>165</v>
      </c>
      <c r="I81" s="65" t="s">
        <v>404</v>
      </c>
      <c r="J81" s="55">
        <v>45744</v>
      </c>
      <c r="K81" s="199" t="s">
        <v>1096</v>
      </c>
      <c r="L81" s="105">
        <v>89222151396</v>
      </c>
      <c r="M81" s="62" t="s">
        <v>1095</v>
      </c>
      <c r="N81" s="179"/>
      <c r="O81" s="57">
        <v>20125</v>
      </c>
      <c r="P81" s="53"/>
      <c r="Q81" s="53"/>
      <c r="R81" s="168"/>
      <c r="S81" s="94">
        <v>41000</v>
      </c>
      <c r="T81" s="61">
        <f xml:space="preserve"> S81*(F81/1000)</f>
        <v>825125</v>
      </c>
    </row>
    <row r="82" spans="1:20" s="63" customFormat="1" ht="13.5" customHeight="1" x14ac:dyDescent="0.25">
      <c r="A82" s="65" t="s">
        <v>311</v>
      </c>
      <c r="B82" s="92" t="s">
        <v>1086</v>
      </c>
      <c r="C82" s="92" t="s">
        <v>284</v>
      </c>
      <c r="D82" s="93" t="s">
        <v>214</v>
      </c>
      <c r="E82" s="56" t="s">
        <v>1087</v>
      </c>
      <c r="F82" s="92">
        <v>20000</v>
      </c>
      <c r="G82" s="65">
        <v>800</v>
      </c>
      <c r="H82" s="65" t="s">
        <v>392</v>
      </c>
      <c r="I82" s="65" t="s">
        <v>404</v>
      </c>
      <c r="J82" s="55">
        <v>45744</v>
      </c>
      <c r="K82" s="98" t="s">
        <v>1089</v>
      </c>
      <c r="L82" s="164">
        <v>89502587842</v>
      </c>
      <c r="M82" s="98" t="s">
        <v>1088</v>
      </c>
      <c r="N82" s="139"/>
      <c r="O82" s="92">
        <v>20000</v>
      </c>
      <c r="P82" s="57"/>
      <c r="Q82" s="92"/>
      <c r="R82" s="53" t="s">
        <v>417</v>
      </c>
      <c r="S82" s="94">
        <v>41000</v>
      </c>
      <c r="T82" s="61">
        <f t="shared" si="3"/>
        <v>820000</v>
      </c>
    </row>
    <row r="83" spans="1:20" s="63" customFormat="1" ht="13.5" customHeight="1" x14ac:dyDescent="0.25">
      <c r="A83" s="65" t="s">
        <v>303</v>
      </c>
      <c r="B83" s="57" t="s">
        <v>1044</v>
      </c>
      <c r="C83" s="57" t="s">
        <v>164</v>
      </c>
      <c r="D83" s="10" t="s">
        <v>328</v>
      </c>
      <c r="E83" s="232">
        <v>200325</v>
      </c>
      <c r="F83" s="57">
        <v>15876</v>
      </c>
      <c r="G83" s="65">
        <v>700</v>
      </c>
      <c r="H83" s="65" t="s">
        <v>1045</v>
      </c>
      <c r="I83" s="65" t="s">
        <v>404</v>
      </c>
      <c r="J83" s="55">
        <v>45747</v>
      </c>
      <c r="K83" s="99" t="s">
        <v>572</v>
      </c>
      <c r="L83" s="105">
        <v>89115583359</v>
      </c>
      <c r="M83" s="62" t="s">
        <v>571</v>
      </c>
      <c r="N83" s="179" t="s">
        <v>1105</v>
      </c>
      <c r="O83" s="57">
        <v>15876</v>
      </c>
      <c r="P83" s="53"/>
      <c r="Q83" s="53"/>
      <c r="R83" s="168" t="s">
        <v>417</v>
      </c>
      <c r="S83" s="94">
        <v>41000</v>
      </c>
      <c r="T83" s="61">
        <f xml:space="preserve"> S83*(F83/1000)</f>
        <v>650916</v>
      </c>
    </row>
    <row r="84" spans="1:20" s="63" customFormat="1" ht="13.5" customHeight="1" x14ac:dyDescent="0.25">
      <c r="A84" s="65" t="s">
        <v>509</v>
      </c>
      <c r="B84" s="57" t="s">
        <v>1097</v>
      </c>
      <c r="C84" s="57" t="s">
        <v>730</v>
      </c>
      <c r="D84" s="93" t="s">
        <v>267</v>
      </c>
      <c r="E84" s="56" t="s">
        <v>1102</v>
      </c>
      <c r="F84" s="92">
        <v>17600</v>
      </c>
      <c r="G84" s="65">
        <v>88</v>
      </c>
      <c r="H84" s="65" t="s">
        <v>732</v>
      </c>
      <c r="I84" s="65" t="s">
        <v>404</v>
      </c>
      <c r="J84" s="55">
        <v>45747</v>
      </c>
      <c r="K84" s="98" t="s">
        <v>812</v>
      </c>
      <c r="L84" s="108">
        <v>89532615578</v>
      </c>
      <c r="M84" s="98" t="s">
        <v>811</v>
      </c>
      <c r="N84" s="162"/>
      <c r="O84" s="92"/>
      <c r="P84" s="57"/>
      <c r="Q84" s="92">
        <v>17600</v>
      </c>
      <c r="R84" s="53" t="s">
        <v>417</v>
      </c>
      <c r="S84" s="94">
        <v>369000</v>
      </c>
      <c r="T84" s="61">
        <f xml:space="preserve"> S84*(F84/1000)</f>
        <v>6494400.0000000009</v>
      </c>
    </row>
    <row r="85" spans="1:20" s="63" customFormat="1" ht="13.5" customHeight="1" thickBot="1" x14ac:dyDescent="0.3">
      <c r="A85" s="65" t="s">
        <v>311</v>
      </c>
      <c r="B85" s="92" t="s">
        <v>1098</v>
      </c>
      <c r="C85" s="92" t="s">
        <v>284</v>
      </c>
      <c r="D85" s="93" t="s">
        <v>214</v>
      </c>
      <c r="E85" s="56" t="s">
        <v>1087</v>
      </c>
      <c r="F85" s="92">
        <v>20000</v>
      </c>
      <c r="G85" s="65">
        <v>800</v>
      </c>
      <c r="H85" s="65" t="s">
        <v>392</v>
      </c>
      <c r="I85" s="65" t="s">
        <v>404</v>
      </c>
      <c r="J85" s="55">
        <v>45747</v>
      </c>
      <c r="K85" s="98" t="s">
        <v>1101</v>
      </c>
      <c r="L85" s="164">
        <v>89120273440</v>
      </c>
      <c r="M85" s="98" t="s">
        <v>1100</v>
      </c>
      <c r="N85" s="139"/>
      <c r="O85" s="92">
        <v>20000</v>
      </c>
      <c r="P85" s="57"/>
      <c r="Q85" s="92"/>
      <c r="R85" s="53" t="s">
        <v>417</v>
      </c>
      <c r="S85" s="94">
        <v>41000</v>
      </c>
      <c r="T85" s="61">
        <f t="shared" ref="T85" si="4" xml:space="preserve"> S85*(F85/1000)</f>
        <v>820000</v>
      </c>
    </row>
    <row r="86" spans="1:20" ht="30.75" thickBot="1" x14ac:dyDescent="0.35">
      <c r="A86" s="159" t="s">
        <v>15</v>
      </c>
      <c r="B86" s="101">
        <f>SUM($F$5:$F$146)/1000</f>
        <v>1022.171</v>
      </c>
      <c r="C86" s="54" t="s">
        <v>14</v>
      </c>
      <c r="S86" s="234"/>
      <c r="T86" s="234">
        <f>SUM(T5:T85)</f>
        <v>108666771</v>
      </c>
    </row>
    <row r="87" spans="1:20" ht="30" x14ac:dyDescent="0.3">
      <c r="A87" s="110" t="s">
        <v>16</v>
      </c>
      <c r="B87" s="102">
        <f>$B$88+$B$89+$B$90</f>
        <v>1022.1709999999999</v>
      </c>
      <c r="C87" s="1" t="s">
        <v>14</v>
      </c>
      <c r="E87" s="175"/>
      <c r="F87" s="154" t="s">
        <v>321</v>
      </c>
      <c r="G87" s="154"/>
    </row>
    <row r="88" spans="1:20" ht="18.75" x14ac:dyDescent="0.3">
      <c r="A88" s="111" t="s">
        <v>17</v>
      </c>
      <c r="B88" s="100">
        <f>SUM($O$5:$O$146)/1000</f>
        <v>651.00099999999998</v>
      </c>
      <c r="C88" s="2" t="s">
        <v>14</v>
      </c>
      <c r="D88" s="184"/>
      <c r="E88" s="188"/>
      <c r="F88" s="154" t="s">
        <v>319</v>
      </c>
      <c r="G88" s="154"/>
    </row>
    <row r="89" spans="1:20" ht="18.75" x14ac:dyDescent="0.3">
      <c r="A89" s="111" t="s">
        <v>153</v>
      </c>
      <c r="B89" s="100">
        <f>SUM($P$5:$P$146)/1000</f>
        <v>151.32</v>
      </c>
      <c r="C89" s="2" t="s">
        <v>14</v>
      </c>
      <c r="E89" s="177"/>
      <c r="F89" s="154" t="s">
        <v>318</v>
      </c>
      <c r="G89" s="154"/>
    </row>
    <row r="90" spans="1:20" ht="30" x14ac:dyDescent="0.3">
      <c r="A90" s="111" t="s">
        <v>24</v>
      </c>
      <c r="B90" s="103">
        <f>SUM($Q$5:$Q$146)/1000</f>
        <v>219.85</v>
      </c>
      <c r="C90" s="2" t="s">
        <v>14</v>
      </c>
      <c r="E90" s="178"/>
      <c r="F90" s="154" t="s">
        <v>325</v>
      </c>
    </row>
    <row r="91" spans="1:20" ht="29.25" customHeight="1" thickBot="1" x14ac:dyDescent="0.35">
      <c r="A91" s="112" t="s">
        <v>20</v>
      </c>
      <c r="B91" s="104">
        <f>$B$86-$B$87</f>
        <v>0</v>
      </c>
      <c r="C91" s="3" t="s">
        <v>14</v>
      </c>
    </row>
    <row r="92" spans="1:20" x14ac:dyDescent="0.25">
      <c r="F92" s="138"/>
    </row>
  </sheetData>
  <sheetProtection formatCells="0" formatColumns="0" formatRows="0" insertColumns="0" insertRows="0" insertHyperlinks="0" deleteColumns="0" deleteRows="0" sort="0" autoFilter="0" pivotTables="0"/>
  <autoFilter ref="D1:D91" xr:uid="{00000000-0009-0000-0000-000009000000}"/>
  <mergeCells count="13">
    <mergeCell ref="S2:S3"/>
    <mergeCell ref="R2:R3"/>
    <mergeCell ref="A2:A3"/>
    <mergeCell ref="B2:B3"/>
    <mergeCell ref="C2:C3"/>
    <mergeCell ref="D2:D3"/>
    <mergeCell ref="E2:E3"/>
    <mergeCell ref="F2:G2"/>
    <mergeCell ref="H2:H3"/>
    <mergeCell ref="I2:I3"/>
    <mergeCell ref="J2:J3"/>
    <mergeCell ref="K2:M2"/>
    <mergeCell ref="O2:Q2"/>
  </mergeCells>
  <phoneticPr fontId="119" type="noConversion"/>
  <dataValidations count="2">
    <dataValidation type="list" allowBlank="1" showInputMessage="1" showErrorMessage="1" sqref="D86" xr:uid="{00000000-0002-0000-0900-000000000000}">
      <formula1>$E$86:$E$102</formula1>
    </dataValidation>
    <dataValidation type="list" allowBlank="1" showInputMessage="1" showErrorMessage="1" sqref="D4" xr:uid="{00000000-0002-0000-0900-000001000000}">
      <formula1>$E$2:$E$129</formula1>
    </dataValidation>
  </dataValidations>
  <pageMargins left="0.7" right="0.7" top="0.75" bottom="0.75" header="0.3" footer="0.3"/>
  <pageSetup paperSize="9" scale="31" orientation="landscape" r:id="rId1"/>
  <colBreaks count="1" manualBreakCount="1">
    <brk id="1" max="87" man="1"/>
  </col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900-000002000000}">
          <x14:formula1>
            <xm:f>справочник!$E$2:$E$174</xm:f>
          </x14:formula1>
          <xm:sqref>D99</xm:sqref>
        </x14:dataValidation>
        <x14:dataValidation type="list" allowBlank="1" showInputMessage="1" showErrorMessage="1" xr:uid="{00000000-0002-0000-0900-000003000000}">
          <x14:formula1>
            <xm:f>справочник!$E$2:$E$177</xm:f>
          </x14:formula1>
          <xm:sqref>D5:D85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T105"/>
  <sheetViews>
    <sheetView zoomScale="70" zoomScaleNormal="70" zoomScaleSheetLayoutView="70" workbookViewId="0">
      <pane ySplit="3" topLeftCell="A62" activePane="bottomLeft" state="frozen"/>
      <selection pane="bottomLeft" activeCell="D72" sqref="D72"/>
    </sheetView>
  </sheetViews>
  <sheetFormatPr defaultRowHeight="15" x14ac:dyDescent="0.25"/>
  <cols>
    <col min="1" max="1" width="20" style="113" customWidth="1"/>
    <col min="2" max="2" width="18" customWidth="1"/>
    <col min="3" max="3" width="17.7109375" customWidth="1"/>
    <col min="4" max="4" width="43" customWidth="1"/>
    <col min="5" max="5" width="17.5703125" style="174" customWidth="1"/>
    <col min="6" max="6" width="13" bestFit="1" customWidth="1"/>
    <col min="7" max="7" width="20.42578125" customWidth="1"/>
    <col min="8" max="8" width="19.5703125" customWidth="1"/>
    <col min="9" max="9" width="21.7109375" customWidth="1"/>
    <col min="10" max="10" width="16.42578125" customWidth="1"/>
    <col min="11" max="11" width="25.7109375" customWidth="1"/>
    <col min="12" max="12" width="27.140625" bestFit="1" customWidth="1"/>
    <col min="13" max="13" width="23.5703125" customWidth="1"/>
    <col min="14" max="14" width="26.42578125" style="140" customWidth="1"/>
    <col min="15" max="15" width="9.85546875" customWidth="1"/>
    <col min="16" max="16" width="10.42578125" customWidth="1"/>
    <col min="17" max="17" width="10.28515625" customWidth="1"/>
    <col min="18" max="18" width="7.5703125" customWidth="1"/>
    <col min="19" max="19" width="21.140625" customWidth="1"/>
    <col min="20" max="20" width="17.28515625" customWidth="1"/>
    <col min="21" max="21" width="15.42578125" customWidth="1"/>
  </cols>
  <sheetData>
    <row r="1" spans="1:20" s="59" customFormat="1" ht="17.25" x14ac:dyDescent="0.3">
      <c r="A1" s="109"/>
      <c r="B1" s="58" t="s">
        <v>152</v>
      </c>
      <c r="C1" s="66">
        <v>45689</v>
      </c>
      <c r="D1" s="58"/>
      <c r="E1" s="173"/>
      <c r="F1" s="58"/>
      <c r="H1" s="58"/>
      <c r="I1" s="58"/>
      <c r="J1" s="58"/>
      <c r="K1" s="60"/>
      <c r="L1" s="60"/>
      <c r="M1" s="60"/>
      <c r="N1" s="106"/>
      <c r="O1" s="60"/>
      <c r="P1" s="60"/>
      <c r="Q1" s="60"/>
    </row>
    <row r="2" spans="1:20" ht="25.5" customHeight="1" x14ac:dyDescent="0.25">
      <c r="A2" s="404" t="s">
        <v>159</v>
      </c>
      <c r="B2" s="406" t="s">
        <v>18</v>
      </c>
      <c r="C2" s="408" t="s">
        <v>156</v>
      </c>
      <c r="D2" s="410" t="s">
        <v>4</v>
      </c>
      <c r="E2" s="412" t="s">
        <v>5</v>
      </c>
      <c r="F2" s="402" t="s">
        <v>0</v>
      </c>
      <c r="G2" s="403"/>
      <c r="H2" s="388" t="s">
        <v>2</v>
      </c>
      <c r="I2" s="390" t="s">
        <v>3</v>
      </c>
      <c r="J2" s="392" t="s">
        <v>6</v>
      </c>
      <c r="K2" s="394" t="s">
        <v>7</v>
      </c>
      <c r="L2" s="395"/>
      <c r="M2" s="396"/>
      <c r="N2" s="107" t="s">
        <v>9</v>
      </c>
      <c r="O2" s="397" t="s">
        <v>12</v>
      </c>
      <c r="P2" s="398"/>
      <c r="Q2" s="399"/>
      <c r="R2" s="400" t="s">
        <v>151</v>
      </c>
      <c r="S2" s="64"/>
      <c r="T2" s="95"/>
    </row>
    <row r="3" spans="1:20" x14ac:dyDescent="0.25">
      <c r="A3" s="405"/>
      <c r="B3" s="407"/>
      <c r="C3" s="409"/>
      <c r="D3" s="411"/>
      <c r="E3" s="413"/>
      <c r="F3" s="149" t="s">
        <v>1</v>
      </c>
      <c r="G3" s="149" t="s">
        <v>155</v>
      </c>
      <c r="H3" s="389"/>
      <c r="I3" s="391"/>
      <c r="J3" s="393"/>
      <c r="K3" s="180" t="s">
        <v>8</v>
      </c>
      <c r="L3" s="180" t="s">
        <v>21</v>
      </c>
      <c r="M3" s="180" t="s">
        <v>10</v>
      </c>
      <c r="N3" s="150" t="s">
        <v>11</v>
      </c>
      <c r="O3" s="151" t="s">
        <v>13</v>
      </c>
      <c r="P3" s="151" t="s">
        <v>154</v>
      </c>
      <c r="Q3" s="152" t="s">
        <v>23</v>
      </c>
      <c r="R3" s="401"/>
      <c r="S3" s="64" t="s">
        <v>161</v>
      </c>
      <c r="T3" s="153" t="s">
        <v>162</v>
      </c>
    </row>
    <row r="4" spans="1:20" s="63" customFormat="1" ht="13.5" customHeight="1" x14ac:dyDescent="0.25">
      <c r="A4" s="65" t="s">
        <v>303</v>
      </c>
      <c r="B4" s="57" t="s">
        <v>360</v>
      </c>
      <c r="C4" s="57" t="s">
        <v>164</v>
      </c>
      <c r="D4" s="10" t="s">
        <v>306</v>
      </c>
      <c r="E4" s="167" t="s">
        <v>348</v>
      </c>
      <c r="F4" s="57">
        <v>17500</v>
      </c>
      <c r="G4" s="65">
        <v>700</v>
      </c>
      <c r="H4" s="65" t="s">
        <v>166</v>
      </c>
      <c r="I4" s="65" t="s">
        <v>404</v>
      </c>
      <c r="J4" s="55">
        <v>45691</v>
      </c>
      <c r="K4" s="99" t="s">
        <v>572</v>
      </c>
      <c r="L4" s="105">
        <v>89115583359</v>
      </c>
      <c r="M4" s="62" t="s">
        <v>571</v>
      </c>
      <c r="N4" s="179" t="s">
        <v>661</v>
      </c>
      <c r="O4" s="57">
        <v>17500</v>
      </c>
      <c r="P4" s="53"/>
      <c r="Q4" s="53"/>
      <c r="R4" s="168" t="s">
        <v>417</v>
      </c>
      <c r="S4" s="94">
        <v>48500</v>
      </c>
      <c r="T4" s="61">
        <f t="shared" ref="T4:T7" si="0" xml:space="preserve"> S4*(F4/1000)</f>
        <v>848750</v>
      </c>
    </row>
    <row r="5" spans="1:20" s="63" customFormat="1" ht="13.5" customHeight="1" x14ac:dyDescent="0.25">
      <c r="A5" s="65" t="s">
        <v>303</v>
      </c>
      <c r="B5" s="57" t="s">
        <v>361</v>
      </c>
      <c r="C5" s="57" t="s">
        <v>164</v>
      </c>
      <c r="D5" s="10" t="s">
        <v>306</v>
      </c>
      <c r="E5" s="167" t="s">
        <v>349</v>
      </c>
      <c r="F5" s="57">
        <v>17500</v>
      </c>
      <c r="G5" s="65">
        <v>700</v>
      </c>
      <c r="H5" s="65" t="s">
        <v>166</v>
      </c>
      <c r="I5" s="65" t="s">
        <v>404</v>
      </c>
      <c r="J5" s="55">
        <v>45691</v>
      </c>
      <c r="K5" s="99" t="s">
        <v>572</v>
      </c>
      <c r="L5" s="105">
        <v>89115583359</v>
      </c>
      <c r="M5" s="62" t="s">
        <v>571</v>
      </c>
      <c r="N5" s="179" t="s">
        <v>662</v>
      </c>
      <c r="O5" s="57">
        <v>17500</v>
      </c>
      <c r="P5" s="53"/>
      <c r="Q5" s="53"/>
      <c r="R5" s="168" t="s">
        <v>417</v>
      </c>
      <c r="S5" s="94">
        <v>48500</v>
      </c>
      <c r="T5" s="61">
        <f t="shared" si="0"/>
        <v>848750</v>
      </c>
    </row>
    <row r="6" spans="1:20" s="63" customFormat="1" ht="13.5" customHeight="1" x14ac:dyDescent="0.25">
      <c r="A6" s="65" t="s">
        <v>303</v>
      </c>
      <c r="B6" s="57" t="s">
        <v>364</v>
      </c>
      <c r="C6" s="57" t="s">
        <v>164</v>
      </c>
      <c r="D6" s="10" t="s">
        <v>306</v>
      </c>
      <c r="E6" s="167" t="s">
        <v>362</v>
      </c>
      <c r="F6" s="57">
        <v>17500</v>
      </c>
      <c r="G6" s="65">
        <v>700</v>
      </c>
      <c r="H6" s="65" t="s">
        <v>166</v>
      </c>
      <c r="I6" s="65" t="s">
        <v>404</v>
      </c>
      <c r="J6" s="55">
        <v>45691</v>
      </c>
      <c r="K6" s="99" t="s">
        <v>603</v>
      </c>
      <c r="L6" s="105">
        <v>89095563417</v>
      </c>
      <c r="M6" s="62" t="s">
        <v>602</v>
      </c>
      <c r="N6" s="179" t="s">
        <v>663</v>
      </c>
      <c r="O6" s="57">
        <v>17500</v>
      </c>
      <c r="P6" s="53"/>
      <c r="Q6" s="53"/>
      <c r="R6" s="168" t="s">
        <v>417</v>
      </c>
      <c r="S6" s="94">
        <v>48500</v>
      </c>
      <c r="T6" s="61">
        <f t="shared" si="0"/>
        <v>848750</v>
      </c>
    </row>
    <row r="7" spans="1:20" s="63" customFormat="1" ht="13.5" customHeight="1" x14ac:dyDescent="0.25">
      <c r="A7" s="65" t="s">
        <v>303</v>
      </c>
      <c r="B7" s="57" t="s">
        <v>365</v>
      </c>
      <c r="C7" s="57" t="s">
        <v>164</v>
      </c>
      <c r="D7" s="10" t="s">
        <v>306</v>
      </c>
      <c r="E7" s="167" t="s">
        <v>363</v>
      </c>
      <c r="F7" s="57">
        <v>17500</v>
      </c>
      <c r="G7" s="65">
        <v>700</v>
      </c>
      <c r="H7" s="65" t="s">
        <v>166</v>
      </c>
      <c r="I7" s="65" t="s">
        <v>404</v>
      </c>
      <c r="J7" s="55">
        <v>45691</v>
      </c>
      <c r="K7" s="99" t="s">
        <v>603</v>
      </c>
      <c r="L7" s="105">
        <v>89095563417</v>
      </c>
      <c r="M7" s="62" t="s">
        <v>602</v>
      </c>
      <c r="N7" s="179" t="s">
        <v>664</v>
      </c>
      <c r="O7" s="57">
        <v>17500</v>
      </c>
      <c r="P7" s="53"/>
      <c r="Q7" s="53"/>
      <c r="R7" s="168" t="s">
        <v>417</v>
      </c>
      <c r="S7" s="94">
        <v>48500</v>
      </c>
      <c r="T7" s="61">
        <f t="shared" si="0"/>
        <v>848750</v>
      </c>
    </row>
    <row r="8" spans="1:20" s="63" customFormat="1" ht="13.5" customHeight="1" x14ac:dyDescent="0.25">
      <c r="A8" s="65" t="s">
        <v>303</v>
      </c>
      <c r="B8" s="57" t="s">
        <v>366</v>
      </c>
      <c r="C8" s="57" t="s">
        <v>164</v>
      </c>
      <c r="D8" s="10" t="s">
        <v>306</v>
      </c>
      <c r="E8" s="167" t="s">
        <v>367</v>
      </c>
      <c r="F8" s="57">
        <v>17500</v>
      </c>
      <c r="G8" s="65">
        <v>700</v>
      </c>
      <c r="H8" s="65" t="s">
        <v>166</v>
      </c>
      <c r="I8" s="65" t="s">
        <v>404</v>
      </c>
      <c r="J8" s="55">
        <v>45693</v>
      </c>
      <c r="K8" s="99" t="s">
        <v>675</v>
      </c>
      <c r="L8" s="105">
        <v>89815516137</v>
      </c>
      <c r="M8" s="62" t="s">
        <v>674</v>
      </c>
      <c r="N8" s="179" t="s">
        <v>679</v>
      </c>
      <c r="O8" s="57">
        <v>17500</v>
      </c>
      <c r="P8" s="53"/>
      <c r="Q8" s="53"/>
      <c r="R8" s="168" t="s">
        <v>417</v>
      </c>
      <c r="S8" s="94">
        <v>48500</v>
      </c>
      <c r="T8" s="61">
        <f xml:space="preserve"> S8*(F8/1000)</f>
        <v>848750</v>
      </c>
    </row>
    <row r="9" spans="1:20" s="63" customFormat="1" ht="13.5" customHeight="1" x14ac:dyDescent="0.25">
      <c r="A9" s="65" t="s">
        <v>303</v>
      </c>
      <c r="B9" s="57" t="s">
        <v>368</v>
      </c>
      <c r="C9" s="57" t="s">
        <v>164</v>
      </c>
      <c r="D9" s="10" t="s">
        <v>306</v>
      </c>
      <c r="E9" s="167" t="s">
        <v>369</v>
      </c>
      <c r="F9" s="57">
        <v>17500</v>
      </c>
      <c r="G9" s="65">
        <v>700</v>
      </c>
      <c r="H9" s="65" t="s">
        <v>166</v>
      </c>
      <c r="I9" s="65" t="s">
        <v>404</v>
      </c>
      <c r="J9" s="55">
        <v>45693</v>
      </c>
      <c r="K9" s="99" t="s">
        <v>675</v>
      </c>
      <c r="L9" s="105">
        <v>89815516137</v>
      </c>
      <c r="M9" s="62" t="s">
        <v>674</v>
      </c>
      <c r="N9" s="179" t="s">
        <v>680</v>
      </c>
      <c r="O9" s="57">
        <v>17500</v>
      </c>
      <c r="P9" s="53"/>
      <c r="Q9" s="53"/>
      <c r="R9" s="168" t="s">
        <v>417</v>
      </c>
      <c r="S9" s="94">
        <v>48500</v>
      </c>
      <c r="T9" s="61">
        <f xml:space="preserve"> S9*(F9/1000)</f>
        <v>848750</v>
      </c>
    </row>
    <row r="10" spans="1:20" s="63" customFormat="1" ht="13.5" customHeight="1" x14ac:dyDescent="0.25">
      <c r="A10" s="65" t="s">
        <v>303</v>
      </c>
      <c r="B10" s="57" t="s">
        <v>370</v>
      </c>
      <c r="C10" s="57" t="s">
        <v>164</v>
      </c>
      <c r="D10" s="10" t="s">
        <v>306</v>
      </c>
      <c r="E10" s="167" t="s">
        <v>371</v>
      </c>
      <c r="F10" s="57">
        <v>17500</v>
      </c>
      <c r="G10" s="65">
        <v>700</v>
      </c>
      <c r="H10" s="65" t="s">
        <v>166</v>
      </c>
      <c r="I10" s="65" t="s">
        <v>404</v>
      </c>
      <c r="J10" s="55">
        <v>45693</v>
      </c>
      <c r="K10" s="99" t="s">
        <v>572</v>
      </c>
      <c r="L10" s="105">
        <v>89115583359</v>
      </c>
      <c r="M10" s="62" t="s">
        <v>571</v>
      </c>
      <c r="N10" s="179" t="s">
        <v>681</v>
      </c>
      <c r="O10" s="57">
        <v>17500</v>
      </c>
      <c r="P10" s="53"/>
      <c r="Q10" s="53"/>
      <c r="R10" s="168" t="s">
        <v>417</v>
      </c>
      <c r="S10" s="94">
        <v>48500</v>
      </c>
      <c r="T10" s="61">
        <f xml:space="preserve"> S10*(F10/1000)</f>
        <v>848750</v>
      </c>
    </row>
    <row r="11" spans="1:20" s="63" customFormat="1" ht="13.5" customHeight="1" x14ac:dyDescent="0.25">
      <c r="A11" s="65" t="s">
        <v>303</v>
      </c>
      <c r="B11" s="57" t="s">
        <v>378</v>
      </c>
      <c r="C11" s="57" t="s">
        <v>164</v>
      </c>
      <c r="D11" s="10" t="s">
        <v>306</v>
      </c>
      <c r="E11" s="167" t="s">
        <v>377</v>
      </c>
      <c r="F11" s="57">
        <v>17500</v>
      </c>
      <c r="G11" s="65">
        <v>700</v>
      </c>
      <c r="H11" s="65" t="s">
        <v>166</v>
      </c>
      <c r="I11" s="65" t="s">
        <v>404</v>
      </c>
      <c r="J11" s="55">
        <v>45693</v>
      </c>
      <c r="K11" s="99" t="s">
        <v>572</v>
      </c>
      <c r="L11" s="105">
        <v>89115583359</v>
      </c>
      <c r="M11" s="62" t="s">
        <v>571</v>
      </c>
      <c r="N11" s="179" t="s">
        <v>682</v>
      </c>
      <c r="O11" s="57">
        <v>17500</v>
      </c>
      <c r="P11" s="53"/>
      <c r="Q11" s="53"/>
      <c r="R11" s="168" t="s">
        <v>417</v>
      </c>
      <c r="S11" s="94">
        <v>48500</v>
      </c>
      <c r="T11" s="61">
        <f xml:space="preserve"> S11*(F11/1000)</f>
        <v>848750</v>
      </c>
    </row>
    <row r="12" spans="1:20" s="63" customFormat="1" ht="13.5" customHeight="1" x14ac:dyDescent="0.25">
      <c r="A12" s="65" t="s">
        <v>281</v>
      </c>
      <c r="B12" s="57" t="s">
        <v>697</v>
      </c>
      <c r="C12" s="57" t="s">
        <v>698</v>
      </c>
      <c r="D12" s="93" t="s">
        <v>333</v>
      </c>
      <c r="E12" s="56" t="s">
        <v>709</v>
      </c>
      <c r="F12" s="92">
        <v>7000</v>
      </c>
      <c r="G12" s="65">
        <v>280</v>
      </c>
      <c r="H12" s="65" t="s">
        <v>701</v>
      </c>
      <c r="I12" s="65" t="s">
        <v>404</v>
      </c>
      <c r="J12" s="55">
        <v>45694</v>
      </c>
      <c r="K12" s="98" t="s">
        <v>700</v>
      </c>
      <c r="L12" s="108"/>
      <c r="M12" s="98" t="s">
        <v>699</v>
      </c>
      <c r="N12" s="162"/>
      <c r="O12" s="92"/>
      <c r="P12" s="57">
        <v>7000</v>
      </c>
      <c r="Q12" s="53"/>
      <c r="R12" s="53" t="s">
        <v>417</v>
      </c>
      <c r="S12" s="94">
        <v>35000</v>
      </c>
      <c r="T12" s="61">
        <f t="shared" ref="T12:T48" si="1" xml:space="preserve"> S12*(F12/1000)</f>
        <v>245000</v>
      </c>
    </row>
    <row r="13" spans="1:20" s="63" customFormat="1" ht="13.5" customHeight="1" x14ac:dyDescent="0.25">
      <c r="A13" s="65" t="s">
        <v>303</v>
      </c>
      <c r="B13" s="57" t="s">
        <v>381</v>
      </c>
      <c r="C13" s="57" t="s">
        <v>164</v>
      </c>
      <c r="D13" s="10" t="s">
        <v>306</v>
      </c>
      <c r="E13" s="167" t="s">
        <v>376</v>
      </c>
      <c r="F13" s="57">
        <v>17500</v>
      </c>
      <c r="G13" s="65">
        <v>700</v>
      </c>
      <c r="H13" s="65" t="s">
        <v>166</v>
      </c>
      <c r="I13" s="65" t="s">
        <v>404</v>
      </c>
      <c r="J13" s="55">
        <v>45694</v>
      </c>
      <c r="K13" s="99" t="s">
        <v>675</v>
      </c>
      <c r="L13" s="105">
        <v>89815516137</v>
      </c>
      <c r="M13" s="62" t="s">
        <v>674</v>
      </c>
      <c r="N13" s="179" t="s">
        <v>702</v>
      </c>
      <c r="O13" s="57">
        <v>17500</v>
      </c>
      <c r="P13" s="53"/>
      <c r="Q13" s="53"/>
      <c r="R13" s="168" t="s">
        <v>417</v>
      </c>
      <c r="S13" s="94">
        <v>48500</v>
      </c>
      <c r="T13" s="61">
        <f t="shared" si="1"/>
        <v>848750</v>
      </c>
    </row>
    <row r="14" spans="1:20" s="63" customFormat="1" ht="13.5" customHeight="1" x14ac:dyDescent="0.25">
      <c r="A14" s="65" t="s">
        <v>303</v>
      </c>
      <c r="B14" s="57" t="s">
        <v>350</v>
      </c>
      <c r="C14" s="57" t="s">
        <v>164</v>
      </c>
      <c r="D14" s="10" t="s">
        <v>302</v>
      </c>
      <c r="E14" s="167" t="s">
        <v>351</v>
      </c>
      <c r="F14" s="57">
        <v>17500</v>
      </c>
      <c r="G14" s="65">
        <v>700</v>
      </c>
      <c r="H14" s="65" t="s">
        <v>166</v>
      </c>
      <c r="I14" s="65" t="s">
        <v>404</v>
      </c>
      <c r="J14" s="55">
        <v>45694</v>
      </c>
      <c r="K14" s="99" t="s">
        <v>675</v>
      </c>
      <c r="L14" s="105">
        <v>89815516137</v>
      </c>
      <c r="M14" s="62" t="s">
        <v>674</v>
      </c>
      <c r="N14" s="179" t="s">
        <v>703</v>
      </c>
      <c r="O14" s="57">
        <v>17500</v>
      </c>
      <c r="P14" s="53"/>
      <c r="Q14" s="53"/>
      <c r="R14" s="168" t="s">
        <v>417</v>
      </c>
      <c r="S14" s="94">
        <v>48500</v>
      </c>
      <c r="T14" s="61">
        <f t="shared" si="1"/>
        <v>848750</v>
      </c>
    </row>
    <row r="15" spans="1:20" s="63" customFormat="1" ht="13.5" customHeight="1" x14ac:dyDescent="0.25">
      <c r="A15" s="65" t="s">
        <v>696</v>
      </c>
      <c r="B15" s="92" t="s">
        <v>708</v>
      </c>
      <c r="C15" s="92" t="s">
        <v>284</v>
      </c>
      <c r="D15" s="93" t="s">
        <v>223</v>
      </c>
      <c r="E15" s="56" t="s">
        <v>669</v>
      </c>
      <c r="F15" s="92">
        <v>5000</v>
      </c>
      <c r="G15" s="65">
        <v>200</v>
      </c>
      <c r="H15" s="65" t="s">
        <v>323</v>
      </c>
      <c r="I15" s="65" t="s">
        <v>404</v>
      </c>
      <c r="J15" s="55">
        <v>45698</v>
      </c>
      <c r="K15" s="98" t="s">
        <v>694</v>
      </c>
      <c r="L15" s="108" t="s">
        <v>695</v>
      </c>
      <c r="M15" s="98" t="s">
        <v>693</v>
      </c>
      <c r="N15" s="53" t="s">
        <v>689</v>
      </c>
      <c r="O15" s="92"/>
      <c r="P15" s="92">
        <v>5000</v>
      </c>
      <c r="Q15" s="57"/>
      <c r="R15" s="53" t="s">
        <v>417</v>
      </c>
      <c r="S15" s="94">
        <v>252500</v>
      </c>
      <c r="T15" s="61">
        <f t="shared" si="1"/>
        <v>1262500</v>
      </c>
    </row>
    <row r="16" spans="1:20" s="63" customFormat="1" ht="13.5" customHeight="1" x14ac:dyDescent="0.25">
      <c r="A16" s="65" t="s">
        <v>696</v>
      </c>
      <c r="B16" s="92" t="s">
        <v>708</v>
      </c>
      <c r="C16" s="92" t="s">
        <v>284</v>
      </c>
      <c r="D16" s="93" t="s">
        <v>223</v>
      </c>
      <c r="E16" s="56" t="s">
        <v>670</v>
      </c>
      <c r="F16" s="92">
        <v>5000</v>
      </c>
      <c r="G16" s="65">
        <v>200</v>
      </c>
      <c r="H16" s="65" t="s">
        <v>323</v>
      </c>
      <c r="I16" s="65" t="s">
        <v>404</v>
      </c>
      <c r="J16" s="55">
        <v>45698</v>
      </c>
      <c r="K16" s="98" t="s">
        <v>694</v>
      </c>
      <c r="L16" s="108" t="s">
        <v>695</v>
      </c>
      <c r="M16" s="98" t="s">
        <v>693</v>
      </c>
      <c r="N16" s="53" t="s">
        <v>690</v>
      </c>
      <c r="O16" s="92"/>
      <c r="P16" s="92">
        <v>5000</v>
      </c>
      <c r="Q16" s="57"/>
      <c r="R16" s="53" t="s">
        <v>417</v>
      </c>
      <c r="S16" s="94">
        <v>252500</v>
      </c>
      <c r="T16" s="61">
        <f t="shared" si="1"/>
        <v>1262500</v>
      </c>
    </row>
    <row r="17" spans="1:20" s="63" customFormat="1" ht="13.5" customHeight="1" x14ac:dyDescent="0.25">
      <c r="A17" s="65" t="s">
        <v>696</v>
      </c>
      <c r="B17" s="92" t="s">
        <v>708</v>
      </c>
      <c r="C17" s="92" t="s">
        <v>284</v>
      </c>
      <c r="D17" s="93" t="s">
        <v>223</v>
      </c>
      <c r="E17" s="56" t="s">
        <v>671</v>
      </c>
      <c r="F17" s="92">
        <v>5000</v>
      </c>
      <c r="G17" s="65">
        <v>200</v>
      </c>
      <c r="H17" s="65" t="s">
        <v>323</v>
      </c>
      <c r="I17" s="65" t="s">
        <v>404</v>
      </c>
      <c r="J17" s="55">
        <v>45698</v>
      </c>
      <c r="K17" s="98" t="s">
        <v>694</v>
      </c>
      <c r="L17" s="108" t="s">
        <v>695</v>
      </c>
      <c r="M17" s="98" t="s">
        <v>693</v>
      </c>
      <c r="N17" s="53" t="s">
        <v>691</v>
      </c>
      <c r="O17" s="92"/>
      <c r="P17" s="92">
        <v>5000</v>
      </c>
      <c r="Q17" s="57"/>
      <c r="R17" s="53" t="s">
        <v>417</v>
      </c>
      <c r="S17" s="94">
        <v>252500</v>
      </c>
      <c r="T17" s="61">
        <f t="shared" si="1"/>
        <v>1262500</v>
      </c>
    </row>
    <row r="18" spans="1:20" s="63" customFormat="1" ht="13.5" customHeight="1" x14ac:dyDescent="0.25">
      <c r="A18" s="65" t="s">
        <v>696</v>
      </c>
      <c r="B18" s="92" t="s">
        <v>708</v>
      </c>
      <c r="C18" s="92" t="s">
        <v>284</v>
      </c>
      <c r="D18" s="93" t="s">
        <v>223</v>
      </c>
      <c r="E18" s="56" t="s">
        <v>672</v>
      </c>
      <c r="F18" s="92">
        <v>5000</v>
      </c>
      <c r="G18" s="65">
        <v>200</v>
      </c>
      <c r="H18" s="65" t="s">
        <v>323</v>
      </c>
      <c r="I18" s="65" t="s">
        <v>404</v>
      </c>
      <c r="J18" s="55">
        <v>45698</v>
      </c>
      <c r="K18" s="98" t="s">
        <v>694</v>
      </c>
      <c r="L18" s="108" t="s">
        <v>695</v>
      </c>
      <c r="M18" s="98" t="s">
        <v>693</v>
      </c>
      <c r="N18" s="53" t="s">
        <v>692</v>
      </c>
      <c r="O18" s="92"/>
      <c r="P18" s="92">
        <v>5000</v>
      </c>
      <c r="Q18" s="57"/>
      <c r="R18" s="53" t="s">
        <v>417</v>
      </c>
      <c r="S18" s="94">
        <v>252500</v>
      </c>
      <c r="T18" s="61">
        <f t="shared" si="1"/>
        <v>1262500</v>
      </c>
    </row>
    <row r="19" spans="1:20" s="63" customFormat="1" ht="13.5" customHeight="1" x14ac:dyDescent="0.25">
      <c r="A19" s="65" t="s">
        <v>303</v>
      </c>
      <c r="B19" s="57" t="s">
        <v>598</v>
      </c>
      <c r="C19" s="57" t="s">
        <v>164</v>
      </c>
      <c r="D19" s="10" t="s">
        <v>306</v>
      </c>
      <c r="E19" s="167" t="s">
        <v>600</v>
      </c>
      <c r="F19" s="57">
        <v>17500</v>
      </c>
      <c r="G19" s="65">
        <v>700</v>
      </c>
      <c r="H19" s="65" t="s">
        <v>166</v>
      </c>
      <c r="I19" s="65" t="s">
        <v>404</v>
      </c>
      <c r="J19" s="55">
        <v>45698</v>
      </c>
      <c r="K19" s="99" t="s">
        <v>572</v>
      </c>
      <c r="L19" s="105">
        <v>89115583359</v>
      </c>
      <c r="M19" s="62" t="s">
        <v>571</v>
      </c>
      <c r="N19" s="186" t="s">
        <v>711</v>
      </c>
      <c r="O19" s="57">
        <v>17500</v>
      </c>
      <c r="P19" s="53"/>
      <c r="Q19" s="53"/>
      <c r="R19" s="168" t="s">
        <v>417</v>
      </c>
      <c r="S19" s="94">
        <v>48500</v>
      </c>
      <c r="T19" s="61">
        <f t="shared" si="1"/>
        <v>848750</v>
      </c>
    </row>
    <row r="20" spans="1:20" s="63" customFormat="1" ht="13.5" customHeight="1" x14ac:dyDescent="0.25">
      <c r="A20" s="65" t="s">
        <v>303</v>
      </c>
      <c r="B20" s="57" t="s">
        <v>599</v>
      </c>
      <c r="C20" s="57" t="s">
        <v>164</v>
      </c>
      <c r="D20" s="10" t="s">
        <v>306</v>
      </c>
      <c r="E20" s="167" t="s">
        <v>601</v>
      </c>
      <c r="F20" s="57">
        <v>17500</v>
      </c>
      <c r="G20" s="65">
        <v>700</v>
      </c>
      <c r="H20" s="65" t="s">
        <v>166</v>
      </c>
      <c r="I20" s="65" t="s">
        <v>404</v>
      </c>
      <c r="J20" s="55">
        <v>45698</v>
      </c>
      <c r="K20" s="99" t="s">
        <v>572</v>
      </c>
      <c r="L20" s="105">
        <v>89115583359</v>
      </c>
      <c r="M20" s="62" t="s">
        <v>571</v>
      </c>
      <c r="N20" s="179" t="s">
        <v>710</v>
      </c>
      <c r="O20" s="57">
        <v>17500</v>
      </c>
      <c r="P20" s="53"/>
      <c r="Q20" s="53"/>
      <c r="R20" s="168" t="s">
        <v>417</v>
      </c>
      <c r="S20" s="94">
        <v>48500</v>
      </c>
      <c r="T20" s="61">
        <f t="shared" si="1"/>
        <v>848750</v>
      </c>
    </row>
    <row r="21" spans="1:20" s="63" customFormat="1" ht="13.5" customHeight="1" x14ac:dyDescent="0.25">
      <c r="A21" s="65" t="s">
        <v>303</v>
      </c>
      <c r="B21" s="57" t="s">
        <v>618</v>
      </c>
      <c r="C21" s="57" t="s">
        <v>164</v>
      </c>
      <c r="D21" s="10" t="s">
        <v>306</v>
      </c>
      <c r="E21" s="167" t="s">
        <v>619</v>
      </c>
      <c r="F21" s="57">
        <v>17500</v>
      </c>
      <c r="G21" s="65">
        <v>700</v>
      </c>
      <c r="H21" s="65" t="s">
        <v>166</v>
      </c>
      <c r="I21" s="65" t="s">
        <v>404</v>
      </c>
      <c r="J21" s="55">
        <v>45698</v>
      </c>
      <c r="K21" s="99" t="s">
        <v>572</v>
      </c>
      <c r="L21" s="105">
        <v>89115583359</v>
      </c>
      <c r="M21" s="62" t="s">
        <v>571</v>
      </c>
      <c r="N21" s="179" t="s">
        <v>712</v>
      </c>
      <c r="O21" s="57">
        <v>17500</v>
      </c>
      <c r="P21" s="53"/>
      <c r="Q21" s="53"/>
      <c r="R21" s="168" t="s">
        <v>417</v>
      </c>
      <c r="S21" s="94">
        <v>48500</v>
      </c>
      <c r="T21" s="61">
        <f t="shared" si="1"/>
        <v>848750</v>
      </c>
    </row>
    <row r="22" spans="1:20" s="63" customFormat="1" ht="13.5" customHeight="1" x14ac:dyDescent="0.25">
      <c r="A22" s="65" t="s">
        <v>303</v>
      </c>
      <c r="B22" s="57" t="s">
        <v>530</v>
      </c>
      <c r="C22" s="57" t="s">
        <v>164</v>
      </c>
      <c r="D22" s="10" t="s">
        <v>232</v>
      </c>
      <c r="E22" s="167" t="s">
        <v>473</v>
      </c>
      <c r="F22" s="57">
        <v>5000</v>
      </c>
      <c r="G22" s="65">
        <v>200</v>
      </c>
      <c r="H22" s="65" t="s">
        <v>531</v>
      </c>
      <c r="I22" s="65" t="s">
        <v>404</v>
      </c>
      <c r="J22" s="55">
        <v>45698</v>
      </c>
      <c r="K22" s="99" t="s">
        <v>572</v>
      </c>
      <c r="L22" s="105">
        <v>89115583359</v>
      </c>
      <c r="M22" s="62" t="s">
        <v>571</v>
      </c>
      <c r="N22" s="179" t="s">
        <v>719</v>
      </c>
      <c r="O22" s="53"/>
      <c r="P22" s="57">
        <v>5000</v>
      </c>
      <c r="Q22" s="53"/>
      <c r="R22" s="168" t="s">
        <v>417</v>
      </c>
      <c r="S22" s="94">
        <v>269500</v>
      </c>
      <c r="T22" s="61">
        <f t="shared" si="1"/>
        <v>1347500</v>
      </c>
    </row>
    <row r="23" spans="1:20" s="63" customFormat="1" ht="13.5" customHeight="1" x14ac:dyDescent="0.25">
      <c r="A23" s="65" t="s">
        <v>303</v>
      </c>
      <c r="B23" s="57" t="s">
        <v>548</v>
      </c>
      <c r="C23" s="57" t="s">
        <v>164</v>
      </c>
      <c r="D23" s="10" t="s">
        <v>283</v>
      </c>
      <c r="E23" s="167" t="s">
        <v>473</v>
      </c>
      <c r="F23" s="57">
        <v>7400</v>
      </c>
      <c r="G23" s="65">
        <v>40</v>
      </c>
      <c r="H23" s="65" t="s">
        <v>166</v>
      </c>
      <c r="I23" s="65" t="s">
        <v>404</v>
      </c>
      <c r="J23" s="55">
        <v>45698</v>
      </c>
      <c r="K23" s="99" t="s">
        <v>572</v>
      </c>
      <c r="L23" s="105">
        <v>89115583359</v>
      </c>
      <c r="M23" s="62" t="s">
        <v>571</v>
      </c>
      <c r="N23" s="179" t="s">
        <v>719</v>
      </c>
      <c r="O23" s="53"/>
      <c r="P23" s="53"/>
      <c r="Q23" s="57">
        <v>7400</v>
      </c>
      <c r="R23" s="168" t="s">
        <v>417</v>
      </c>
      <c r="S23" s="94">
        <v>369500</v>
      </c>
      <c r="T23" s="61">
        <f t="shared" si="1"/>
        <v>2734300</v>
      </c>
    </row>
    <row r="24" spans="1:20" s="63" customFormat="1" ht="13.5" customHeight="1" x14ac:dyDescent="0.25">
      <c r="A24" s="65" t="s">
        <v>311</v>
      </c>
      <c r="B24" s="92" t="s">
        <v>666</v>
      </c>
      <c r="C24" s="92" t="s">
        <v>284</v>
      </c>
      <c r="D24" s="93" t="s">
        <v>214</v>
      </c>
      <c r="E24" s="56" t="s">
        <v>707</v>
      </c>
      <c r="F24" s="92">
        <v>20000</v>
      </c>
      <c r="G24" s="65">
        <v>800</v>
      </c>
      <c r="H24" s="65" t="s">
        <v>392</v>
      </c>
      <c r="I24" s="65" t="s">
        <v>404</v>
      </c>
      <c r="J24" s="55">
        <v>45699</v>
      </c>
      <c r="K24" s="98" t="s">
        <v>704</v>
      </c>
      <c r="L24" s="108">
        <v>89021984502</v>
      </c>
      <c r="M24" s="98" t="s">
        <v>606</v>
      </c>
      <c r="N24" s="139"/>
      <c r="O24" s="92">
        <v>20000</v>
      </c>
      <c r="P24" s="57"/>
      <c r="Q24" s="92"/>
      <c r="R24" s="53" t="s">
        <v>417</v>
      </c>
      <c r="S24" s="94">
        <v>41000</v>
      </c>
      <c r="T24" s="61">
        <f t="shared" si="1"/>
        <v>820000</v>
      </c>
    </row>
    <row r="25" spans="1:20" s="63" customFormat="1" ht="13.5" customHeight="1" x14ac:dyDescent="0.25">
      <c r="A25" s="65" t="s">
        <v>316</v>
      </c>
      <c r="B25" s="92" t="s">
        <v>667</v>
      </c>
      <c r="C25" s="92" t="s">
        <v>284</v>
      </c>
      <c r="D25" s="93" t="s">
        <v>214</v>
      </c>
      <c r="E25" s="56" t="s">
        <v>707</v>
      </c>
      <c r="F25" s="92">
        <v>20000</v>
      </c>
      <c r="G25" s="65">
        <v>800</v>
      </c>
      <c r="H25" s="65" t="s">
        <v>392</v>
      </c>
      <c r="I25" s="65" t="s">
        <v>404</v>
      </c>
      <c r="J25" s="55">
        <v>45699</v>
      </c>
      <c r="K25" s="98" t="s">
        <v>706</v>
      </c>
      <c r="L25" s="108">
        <v>89194902137</v>
      </c>
      <c r="M25" s="98" t="s">
        <v>705</v>
      </c>
      <c r="N25" s="139"/>
      <c r="O25" s="92">
        <v>20000</v>
      </c>
      <c r="P25" s="57"/>
      <c r="Q25" s="92"/>
      <c r="R25" s="53" t="s">
        <v>417</v>
      </c>
      <c r="S25" s="94">
        <v>41000</v>
      </c>
      <c r="T25" s="61">
        <f t="shared" si="1"/>
        <v>820000</v>
      </c>
    </row>
    <row r="26" spans="1:20" s="63" customFormat="1" ht="13.5" customHeight="1" x14ac:dyDescent="0.25">
      <c r="A26" s="65" t="s">
        <v>311</v>
      </c>
      <c r="B26" s="92" t="s">
        <v>717</v>
      </c>
      <c r="C26" s="92" t="s">
        <v>284</v>
      </c>
      <c r="D26" s="93" t="s">
        <v>223</v>
      </c>
      <c r="E26" s="56" t="s">
        <v>673</v>
      </c>
      <c r="F26" s="92">
        <v>5000</v>
      </c>
      <c r="G26" s="65">
        <v>200</v>
      </c>
      <c r="H26" s="65" t="s">
        <v>323</v>
      </c>
      <c r="I26" s="65" t="s">
        <v>404</v>
      </c>
      <c r="J26" s="55">
        <v>45699</v>
      </c>
      <c r="K26" s="98" t="s">
        <v>725</v>
      </c>
      <c r="L26" s="108">
        <v>89631376080</v>
      </c>
      <c r="M26" s="98" t="s">
        <v>724</v>
      </c>
      <c r="N26" s="53" t="s">
        <v>720</v>
      </c>
      <c r="O26" s="92"/>
      <c r="P26" s="92">
        <v>5000</v>
      </c>
      <c r="Q26" s="57"/>
      <c r="R26" s="53" t="s">
        <v>417</v>
      </c>
      <c r="S26" s="94">
        <v>252500</v>
      </c>
      <c r="T26" s="61">
        <f t="shared" si="1"/>
        <v>1262500</v>
      </c>
    </row>
    <row r="27" spans="1:20" s="63" customFormat="1" ht="13.5" customHeight="1" x14ac:dyDescent="0.25">
      <c r="A27" s="65" t="s">
        <v>311</v>
      </c>
      <c r="B27" s="92" t="s">
        <v>717</v>
      </c>
      <c r="C27" s="92" t="s">
        <v>284</v>
      </c>
      <c r="D27" s="93" t="s">
        <v>223</v>
      </c>
      <c r="E27" s="56" t="s">
        <v>684</v>
      </c>
      <c r="F27" s="92">
        <v>5000</v>
      </c>
      <c r="G27" s="65">
        <v>200</v>
      </c>
      <c r="H27" s="65" t="s">
        <v>323</v>
      </c>
      <c r="I27" s="65" t="s">
        <v>404</v>
      </c>
      <c r="J27" s="55">
        <v>45699</v>
      </c>
      <c r="K27" s="98" t="s">
        <v>725</v>
      </c>
      <c r="L27" s="108">
        <v>89631376080</v>
      </c>
      <c r="M27" s="98" t="s">
        <v>724</v>
      </c>
      <c r="N27" s="53" t="s">
        <v>721</v>
      </c>
      <c r="O27" s="92"/>
      <c r="P27" s="92">
        <v>5000</v>
      </c>
      <c r="Q27" s="57"/>
      <c r="R27" s="53" t="s">
        <v>417</v>
      </c>
      <c r="S27" s="94">
        <v>252500</v>
      </c>
      <c r="T27" s="61">
        <f t="shared" si="1"/>
        <v>1262500</v>
      </c>
    </row>
    <row r="28" spans="1:20" s="63" customFormat="1" ht="13.5" customHeight="1" x14ac:dyDescent="0.25">
      <c r="A28" s="65" t="s">
        <v>311</v>
      </c>
      <c r="B28" s="92" t="s">
        <v>717</v>
      </c>
      <c r="C28" s="92" t="s">
        <v>284</v>
      </c>
      <c r="D28" s="93" t="s">
        <v>223</v>
      </c>
      <c r="E28" s="56" t="s">
        <v>685</v>
      </c>
      <c r="F28" s="92">
        <v>5000</v>
      </c>
      <c r="G28" s="65">
        <v>200</v>
      </c>
      <c r="H28" s="65" t="s">
        <v>323</v>
      </c>
      <c r="I28" s="65" t="s">
        <v>404</v>
      </c>
      <c r="J28" s="55">
        <v>45699</v>
      </c>
      <c r="K28" s="98" t="s">
        <v>725</v>
      </c>
      <c r="L28" s="108">
        <v>89631376080</v>
      </c>
      <c r="M28" s="98" t="s">
        <v>724</v>
      </c>
      <c r="N28" s="53" t="s">
        <v>722</v>
      </c>
      <c r="O28" s="92"/>
      <c r="P28" s="92">
        <v>5000</v>
      </c>
      <c r="Q28" s="57"/>
      <c r="R28" s="53" t="s">
        <v>417</v>
      </c>
      <c r="S28" s="94">
        <v>252500</v>
      </c>
      <c r="T28" s="61">
        <f t="shared" si="1"/>
        <v>1262500</v>
      </c>
    </row>
    <row r="29" spans="1:20" s="63" customFormat="1" ht="13.5" customHeight="1" x14ac:dyDescent="0.25">
      <c r="A29" s="65" t="s">
        <v>311</v>
      </c>
      <c r="B29" s="92" t="s">
        <v>717</v>
      </c>
      <c r="C29" s="92" t="s">
        <v>284</v>
      </c>
      <c r="D29" s="93" t="s">
        <v>223</v>
      </c>
      <c r="E29" s="56" t="s">
        <v>686</v>
      </c>
      <c r="F29" s="92">
        <v>5000</v>
      </c>
      <c r="G29" s="65">
        <v>200</v>
      </c>
      <c r="H29" s="65" t="s">
        <v>323</v>
      </c>
      <c r="I29" s="65" t="s">
        <v>404</v>
      </c>
      <c r="J29" s="55">
        <v>45699</v>
      </c>
      <c r="K29" s="98" t="s">
        <v>725</v>
      </c>
      <c r="L29" s="108">
        <v>89631376080</v>
      </c>
      <c r="M29" s="98" t="s">
        <v>724</v>
      </c>
      <c r="N29" s="53" t="s">
        <v>723</v>
      </c>
      <c r="O29" s="92"/>
      <c r="P29" s="92">
        <v>5000</v>
      </c>
      <c r="Q29" s="57"/>
      <c r="R29" s="53" t="s">
        <v>417</v>
      </c>
      <c r="S29" s="94">
        <v>252500</v>
      </c>
      <c r="T29" s="61">
        <f t="shared" si="1"/>
        <v>1262500</v>
      </c>
    </row>
    <row r="30" spans="1:20" s="63" customFormat="1" ht="13.5" customHeight="1" x14ac:dyDescent="0.25">
      <c r="A30" s="65" t="s">
        <v>311</v>
      </c>
      <c r="B30" s="92" t="s">
        <v>655</v>
      </c>
      <c r="C30" s="92" t="s">
        <v>401</v>
      </c>
      <c r="D30" s="93" t="s">
        <v>231</v>
      </c>
      <c r="E30" s="56" t="s">
        <v>654</v>
      </c>
      <c r="F30" s="92">
        <v>19862.5</v>
      </c>
      <c r="G30" s="65">
        <v>875</v>
      </c>
      <c r="H30" s="65" t="s">
        <v>434</v>
      </c>
      <c r="I30" s="55" t="s">
        <v>404</v>
      </c>
      <c r="J30" s="55">
        <v>45699</v>
      </c>
      <c r="K30" s="98" t="s">
        <v>727</v>
      </c>
      <c r="L30" s="108">
        <v>89178227925</v>
      </c>
      <c r="M30" s="98" t="s">
        <v>726</v>
      </c>
      <c r="N30" s="139"/>
      <c r="O30" s="92">
        <v>19862.5</v>
      </c>
      <c r="P30" s="57"/>
      <c r="Q30" s="92"/>
      <c r="R30" s="53" t="s">
        <v>417</v>
      </c>
      <c r="S30" s="94">
        <v>36000</v>
      </c>
      <c r="T30" s="61">
        <f t="shared" si="1"/>
        <v>715050</v>
      </c>
    </row>
    <row r="31" spans="1:20" s="63" customFormat="1" ht="13.5" customHeight="1" x14ac:dyDescent="0.25">
      <c r="A31" s="65" t="s">
        <v>316</v>
      </c>
      <c r="B31" s="92" t="s">
        <v>656</v>
      </c>
      <c r="C31" s="92" t="s">
        <v>401</v>
      </c>
      <c r="D31" s="93" t="s">
        <v>231</v>
      </c>
      <c r="E31" s="56" t="s">
        <v>657</v>
      </c>
      <c r="F31" s="92">
        <v>19862.5</v>
      </c>
      <c r="G31" s="65">
        <v>875</v>
      </c>
      <c r="H31" s="65" t="s">
        <v>434</v>
      </c>
      <c r="I31" s="55" t="s">
        <v>404</v>
      </c>
      <c r="J31" s="55">
        <v>45699</v>
      </c>
      <c r="K31" s="98" t="s">
        <v>729</v>
      </c>
      <c r="L31" s="108">
        <v>89065140001</v>
      </c>
      <c r="M31" s="98" t="s">
        <v>728</v>
      </c>
      <c r="N31" s="187"/>
      <c r="O31" s="92">
        <v>19862.5</v>
      </c>
      <c r="P31" s="57"/>
      <c r="Q31" s="92"/>
      <c r="R31" s="53" t="s">
        <v>417</v>
      </c>
      <c r="S31" s="94">
        <v>36000</v>
      </c>
      <c r="T31" s="61">
        <f t="shared" si="1"/>
        <v>715050</v>
      </c>
    </row>
    <row r="32" spans="1:20" s="63" customFormat="1" ht="13.5" customHeight="1" x14ac:dyDescent="0.25">
      <c r="A32" s="65" t="s">
        <v>303</v>
      </c>
      <c r="B32" s="57" t="s">
        <v>647</v>
      </c>
      <c r="C32" s="57" t="s">
        <v>164</v>
      </c>
      <c r="D32" s="10" t="s">
        <v>306</v>
      </c>
      <c r="E32" s="167" t="s">
        <v>648</v>
      </c>
      <c r="F32" s="57">
        <v>17500</v>
      </c>
      <c r="G32" s="65">
        <v>700</v>
      </c>
      <c r="H32" s="65" t="s">
        <v>166</v>
      </c>
      <c r="I32" s="65" t="s">
        <v>404</v>
      </c>
      <c r="J32" s="55">
        <v>45700</v>
      </c>
      <c r="K32" s="99" t="s">
        <v>603</v>
      </c>
      <c r="L32" s="105">
        <v>89095563417</v>
      </c>
      <c r="M32" s="62" t="s">
        <v>602</v>
      </c>
      <c r="N32" s="179" t="s">
        <v>744</v>
      </c>
      <c r="O32" s="57">
        <v>17500</v>
      </c>
      <c r="P32" s="53"/>
      <c r="Q32" s="53"/>
      <c r="R32" s="53" t="s">
        <v>417</v>
      </c>
      <c r="S32" s="94">
        <v>48500</v>
      </c>
      <c r="T32" s="61">
        <f t="shared" si="1"/>
        <v>848750</v>
      </c>
    </row>
    <row r="33" spans="1:20" s="63" customFormat="1" ht="13.5" customHeight="1" x14ac:dyDescent="0.25">
      <c r="A33" s="65" t="s">
        <v>303</v>
      </c>
      <c r="B33" s="57" t="s">
        <v>653</v>
      </c>
      <c r="C33" s="57" t="s">
        <v>164</v>
      </c>
      <c r="D33" s="10" t="s">
        <v>306</v>
      </c>
      <c r="E33" s="167" t="s">
        <v>651</v>
      </c>
      <c r="F33" s="57">
        <v>17500</v>
      </c>
      <c r="G33" s="65">
        <v>700</v>
      </c>
      <c r="H33" s="65" t="s">
        <v>166</v>
      </c>
      <c r="I33" s="65" t="s">
        <v>404</v>
      </c>
      <c r="J33" s="55">
        <v>45700</v>
      </c>
      <c r="K33" s="99" t="s">
        <v>572</v>
      </c>
      <c r="L33" s="105">
        <v>89115583359</v>
      </c>
      <c r="M33" s="62" t="s">
        <v>571</v>
      </c>
      <c r="N33" s="179" t="s">
        <v>743</v>
      </c>
      <c r="O33" s="57">
        <v>17500</v>
      </c>
      <c r="P33" s="53"/>
      <c r="Q33" s="53"/>
      <c r="R33" s="53" t="s">
        <v>417</v>
      </c>
      <c r="S33" s="94">
        <v>48500</v>
      </c>
      <c r="T33" s="61">
        <f t="shared" si="1"/>
        <v>848750</v>
      </c>
    </row>
    <row r="34" spans="1:20" s="63" customFormat="1" ht="13.5" customHeight="1" x14ac:dyDescent="0.25">
      <c r="A34" s="65" t="s">
        <v>489</v>
      </c>
      <c r="B34" s="92" t="s">
        <v>718</v>
      </c>
      <c r="C34" s="92" t="s">
        <v>284</v>
      </c>
      <c r="D34" s="93" t="s">
        <v>223</v>
      </c>
      <c r="E34" s="56" t="s">
        <v>687</v>
      </c>
      <c r="F34" s="92">
        <v>5000</v>
      </c>
      <c r="G34" s="65">
        <v>200</v>
      </c>
      <c r="H34" s="65" t="s">
        <v>323</v>
      </c>
      <c r="I34" s="65" t="s">
        <v>404</v>
      </c>
      <c r="J34" s="55">
        <v>45701</v>
      </c>
      <c r="K34" s="98" t="s">
        <v>749</v>
      </c>
      <c r="L34" s="108">
        <v>89641977024</v>
      </c>
      <c r="M34" s="98" t="s">
        <v>748</v>
      </c>
      <c r="N34" s="53" t="s">
        <v>739</v>
      </c>
      <c r="O34" s="92"/>
      <c r="P34" s="92">
        <v>5000</v>
      </c>
      <c r="Q34" s="57"/>
      <c r="R34" s="53" t="s">
        <v>417</v>
      </c>
      <c r="S34" s="94">
        <v>252500</v>
      </c>
      <c r="T34" s="61">
        <f t="shared" si="1"/>
        <v>1262500</v>
      </c>
    </row>
    <row r="35" spans="1:20" s="63" customFormat="1" ht="13.5" customHeight="1" x14ac:dyDescent="0.25">
      <c r="A35" s="65" t="s">
        <v>489</v>
      </c>
      <c r="B35" s="92" t="s">
        <v>718</v>
      </c>
      <c r="C35" s="92" t="s">
        <v>284</v>
      </c>
      <c r="D35" s="93" t="s">
        <v>223</v>
      </c>
      <c r="E35" s="56" t="s">
        <v>688</v>
      </c>
      <c r="F35" s="92">
        <v>5000</v>
      </c>
      <c r="G35" s="65">
        <v>200</v>
      </c>
      <c r="H35" s="65" t="s">
        <v>323</v>
      </c>
      <c r="I35" s="65" t="s">
        <v>404</v>
      </c>
      <c r="J35" s="55">
        <v>45701</v>
      </c>
      <c r="K35" s="98" t="s">
        <v>749</v>
      </c>
      <c r="L35" s="108">
        <v>89641977024</v>
      </c>
      <c r="M35" s="98" t="s">
        <v>748</v>
      </c>
      <c r="N35" s="53" t="s">
        <v>740</v>
      </c>
      <c r="O35" s="92"/>
      <c r="P35" s="92">
        <v>5000</v>
      </c>
      <c r="Q35" s="57"/>
      <c r="R35" s="53" t="s">
        <v>417</v>
      </c>
      <c r="S35" s="94">
        <v>252500</v>
      </c>
      <c r="T35" s="61">
        <f t="shared" si="1"/>
        <v>1262500</v>
      </c>
    </row>
    <row r="36" spans="1:20" s="63" customFormat="1" ht="13.5" customHeight="1" x14ac:dyDescent="0.25">
      <c r="A36" s="65" t="s">
        <v>489</v>
      </c>
      <c r="B36" s="92" t="s">
        <v>718</v>
      </c>
      <c r="C36" s="92" t="s">
        <v>284</v>
      </c>
      <c r="D36" s="93" t="s">
        <v>223</v>
      </c>
      <c r="E36" s="56" t="s">
        <v>713</v>
      </c>
      <c r="F36" s="92">
        <v>5000</v>
      </c>
      <c r="G36" s="65">
        <v>200</v>
      </c>
      <c r="H36" s="65" t="s">
        <v>323</v>
      </c>
      <c r="I36" s="65" t="s">
        <v>404</v>
      </c>
      <c r="J36" s="55">
        <v>45701</v>
      </c>
      <c r="K36" s="98" t="s">
        <v>749</v>
      </c>
      <c r="L36" s="108">
        <v>89641977024</v>
      </c>
      <c r="M36" s="98" t="s">
        <v>748</v>
      </c>
      <c r="N36" s="53" t="s">
        <v>741</v>
      </c>
      <c r="O36" s="92"/>
      <c r="P36" s="92">
        <v>5000</v>
      </c>
      <c r="Q36" s="57"/>
      <c r="R36" s="53" t="s">
        <v>417</v>
      </c>
      <c r="S36" s="94">
        <v>252500</v>
      </c>
      <c r="T36" s="61">
        <f t="shared" si="1"/>
        <v>1262500</v>
      </c>
    </row>
    <row r="37" spans="1:20" s="63" customFormat="1" ht="13.5" customHeight="1" x14ac:dyDescent="0.25">
      <c r="A37" s="65" t="s">
        <v>489</v>
      </c>
      <c r="B37" s="92" t="s">
        <v>718</v>
      </c>
      <c r="C37" s="92" t="s">
        <v>284</v>
      </c>
      <c r="D37" s="93" t="s">
        <v>223</v>
      </c>
      <c r="E37" s="56" t="s">
        <v>714</v>
      </c>
      <c r="F37" s="92">
        <v>5000</v>
      </c>
      <c r="G37" s="65">
        <v>200</v>
      </c>
      <c r="H37" s="65" t="s">
        <v>323</v>
      </c>
      <c r="I37" s="65" t="s">
        <v>404</v>
      </c>
      <c r="J37" s="55">
        <v>45701</v>
      </c>
      <c r="K37" s="98" t="s">
        <v>749</v>
      </c>
      <c r="L37" s="108">
        <v>89641977024</v>
      </c>
      <c r="M37" s="98" t="s">
        <v>748</v>
      </c>
      <c r="N37" s="53" t="s">
        <v>742</v>
      </c>
      <c r="O37" s="92"/>
      <c r="P37" s="92">
        <v>5000</v>
      </c>
      <c r="Q37" s="57"/>
      <c r="R37" s="53" t="s">
        <v>417</v>
      </c>
      <c r="S37" s="94">
        <v>252500</v>
      </c>
      <c r="T37" s="61">
        <f t="shared" si="1"/>
        <v>1262500</v>
      </c>
    </row>
    <row r="38" spans="1:20" s="63" customFormat="1" ht="13.5" customHeight="1" x14ac:dyDescent="0.25">
      <c r="A38" s="65" t="s">
        <v>311</v>
      </c>
      <c r="B38" s="57" t="s">
        <v>746</v>
      </c>
      <c r="C38" s="57" t="s">
        <v>507</v>
      </c>
      <c r="D38" s="93" t="s">
        <v>237</v>
      </c>
      <c r="E38" s="56" t="s">
        <v>755</v>
      </c>
      <c r="F38" s="92">
        <v>20000</v>
      </c>
      <c r="G38" s="65">
        <v>800</v>
      </c>
      <c r="H38" s="65" t="s">
        <v>165</v>
      </c>
      <c r="I38" s="65" t="s">
        <v>404</v>
      </c>
      <c r="J38" s="55">
        <v>45701</v>
      </c>
      <c r="K38" s="53" t="s">
        <v>756</v>
      </c>
      <c r="L38" s="62">
        <v>89991636398</v>
      </c>
      <c r="M38" s="53" t="s">
        <v>750</v>
      </c>
      <c r="N38" s="139"/>
      <c r="O38" s="92">
        <v>20000</v>
      </c>
      <c r="P38" s="57"/>
      <c r="Q38" s="53"/>
      <c r="R38" s="53" t="s">
        <v>417</v>
      </c>
      <c r="S38" s="94">
        <v>41500</v>
      </c>
      <c r="T38" s="61">
        <f t="shared" si="1"/>
        <v>830000</v>
      </c>
    </row>
    <row r="39" spans="1:20" s="63" customFormat="1" ht="13.5" customHeight="1" x14ac:dyDescent="0.25">
      <c r="A39" s="65" t="s">
        <v>303</v>
      </c>
      <c r="B39" s="57" t="s">
        <v>379</v>
      </c>
      <c r="C39" s="57" t="s">
        <v>164</v>
      </c>
      <c r="D39" s="93" t="s">
        <v>195</v>
      </c>
      <c r="E39" s="167" t="s">
        <v>380</v>
      </c>
      <c r="F39" s="92">
        <v>14800</v>
      </c>
      <c r="G39" s="65">
        <v>80</v>
      </c>
      <c r="H39" s="65" t="s">
        <v>166</v>
      </c>
      <c r="I39" s="65" t="s">
        <v>404</v>
      </c>
      <c r="J39" s="55">
        <v>45702</v>
      </c>
      <c r="K39" s="99" t="s">
        <v>572</v>
      </c>
      <c r="L39" s="105">
        <v>89115583359</v>
      </c>
      <c r="M39" s="62" t="s">
        <v>571</v>
      </c>
      <c r="N39" s="187" t="s">
        <v>768</v>
      </c>
      <c r="O39" s="92"/>
      <c r="P39" s="57"/>
      <c r="Q39" s="92">
        <v>14800</v>
      </c>
      <c r="R39" s="168" t="s">
        <v>417</v>
      </c>
      <c r="S39" s="94">
        <v>125000</v>
      </c>
      <c r="T39" s="61">
        <f t="shared" si="1"/>
        <v>1850000</v>
      </c>
    </row>
    <row r="40" spans="1:20" s="63" customFormat="1" ht="13.5" customHeight="1" x14ac:dyDescent="0.25">
      <c r="A40" s="65" t="s">
        <v>303</v>
      </c>
      <c r="B40" s="57" t="s">
        <v>652</v>
      </c>
      <c r="C40" s="57" t="s">
        <v>164</v>
      </c>
      <c r="D40" s="93" t="s">
        <v>195</v>
      </c>
      <c r="E40" s="167" t="s">
        <v>382</v>
      </c>
      <c r="F40" s="92">
        <v>14800</v>
      </c>
      <c r="G40" s="65">
        <v>80</v>
      </c>
      <c r="H40" s="65" t="s">
        <v>166</v>
      </c>
      <c r="I40" s="65" t="s">
        <v>404</v>
      </c>
      <c r="J40" s="55">
        <v>45702</v>
      </c>
      <c r="K40" s="99" t="s">
        <v>572</v>
      </c>
      <c r="L40" s="105">
        <v>89115583359</v>
      </c>
      <c r="M40" s="62" t="s">
        <v>571</v>
      </c>
      <c r="N40" s="187" t="s">
        <v>769</v>
      </c>
      <c r="O40" s="92"/>
      <c r="P40" s="57"/>
      <c r="Q40" s="92">
        <v>14800</v>
      </c>
      <c r="R40" s="168" t="s">
        <v>417</v>
      </c>
      <c r="S40" s="94">
        <v>125000</v>
      </c>
      <c r="T40" s="61">
        <f t="shared" si="1"/>
        <v>1850000</v>
      </c>
    </row>
    <row r="41" spans="1:20" s="63" customFormat="1" ht="13.5" customHeight="1" x14ac:dyDescent="0.25">
      <c r="A41" s="65" t="s">
        <v>303</v>
      </c>
      <c r="B41" s="57" t="s">
        <v>668</v>
      </c>
      <c r="C41" s="57" t="s">
        <v>164</v>
      </c>
      <c r="D41" s="93" t="s">
        <v>195</v>
      </c>
      <c r="E41" s="167" t="s">
        <v>377</v>
      </c>
      <c r="F41" s="92">
        <v>14800</v>
      </c>
      <c r="G41" s="65">
        <v>80</v>
      </c>
      <c r="H41" s="65" t="s">
        <v>166</v>
      </c>
      <c r="I41" s="65" t="s">
        <v>404</v>
      </c>
      <c r="J41" s="55">
        <v>45702</v>
      </c>
      <c r="K41" s="99" t="s">
        <v>603</v>
      </c>
      <c r="L41" s="105">
        <v>89095563417</v>
      </c>
      <c r="M41" s="62" t="s">
        <v>602</v>
      </c>
      <c r="N41" s="187" t="s">
        <v>770</v>
      </c>
      <c r="O41" s="92"/>
      <c r="P41" s="57"/>
      <c r="Q41" s="92">
        <v>14800</v>
      </c>
      <c r="R41" s="168" t="s">
        <v>417</v>
      </c>
      <c r="S41" s="94">
        <v>125000</v>
      </c>
      <c r="T41" s="61">
        <f t="shared" si="1"/>
        <v>1850000</v>
      </c>
    </row>
    <row r="42" spans="1:20" s="63" customFormat="1" ht="13.5" customHeight="1" x14ac:dyDescent="0.25">
      <c r="A42" s="65" t="s">
        <v>303</v>
      </c>
      <c r="B42" s="57" t="s">
        <v>683</v>
      </c>
      <c r="C42" s="57" t="s">
        <v>164</v>
      </c>
      <c r="D42" s="93" t="s">
        <v>195</v>
      </c>
      <c r="E42" s="167" t="s">
        <v>648</v>
      </c>
      <c r="F42" s="92">
        <v>14800</v>
      </c>
      <c r="G42" s="65">
        <v>80</v>
      </c>
      <c r="H42" s="65" t="s">
        <v>166</v>
      </c>
      <c r="I42" s="65" t="s">
        <v>404</v>
      </c>
      <c r="J42" s="55">
        <v>45702</v>
      </c>
      <c r="K42" s="99" t="s">
        <v>603</v>
      </c>
      <c r="L42" s="105">
        <v>89095563417</v>
      </c>
      <c r="M42" s="62" t="s">
        <v>602</v>
      </c>
      <c r="N42" s="187" t="s">
        <v>771</v>
      </c>
      <c r="O42" s="92"/>
      <c r="P42" s="57"/>
      <c r="Q42" s="92">
        <v>14800</v>
      </c>
      <c r="R42" s="168" t="s">
        <v>417</v>
      </c>
      <c r="S42" s="94">
        <v>125000</v>
      </c>
      <c r="T42" s="61">
        <f t="shared" si="1"/>
        <v>1850000</v>
      </c>
    </row>
    <row r="43" spans="1:20" s="63" customFormat="1" ht="13.5" customHeight="1" x14ac:dyDescent="0.25">
      <c r="A43" s="65" t="s">
        <v>311</v>
      </c>
      <c r="B43" s="57" t="s">
        <v>747</v>
      </c>
      <c r="C43" s="57" t="s">
        <v>507</v>
      </c>
      <c r="D43" s="93" t="s">
        <v>237</v>
      </c>
      <c r="E43" s="56" t="s">
        <v>755</v>
      </c>
      <c r="F43" s="92">
        <v>20000</v>
      </c>
      <c r="G43" s="65">
        <v>800</v>
      </c>
      <c r="H43" s="65" t="s">
        <v>165</v>
      </c>
      <c r="I43" s="65" t="s">
        <v>404</v>
      </c>
      <c r="J43" s="55">
        <v>45702</v>
      </c>
      <c r="K43" s="98" t="s">
        <v>609</v>
      </c>
      <c r="L43" s="108">
        <v>89009189331</v>
      </c>
      <c r="M43" s="98" t="s">
        <v>745</v>
      </c>
      <c r="N43" s="162"/>
      <c r="O43" s="92">
        <v>20000</v>
      </c>
      <c r="P43" s="57"/>
      <c r="Q43" s="53"/>
      <c r="R43" s="53" t="s">
        <v>417</v>
      </c>
      <c r="S43" s="94">
        <v>41500</v>
      </c>
      <c r="T43" s="61">
        <f t="shared" si="1"/>
        <v>830000</v>
      </c>
    </row>
    <row r="44" spans="1:20" s="63" customFormat="1" ht="13.5" customHeight="1" x14ac:dyDescent="0.25">
      <c r="A44" s="65" t="s">
        <v>646</v>
      </c>
      <c r="B44" s="92" t="s">
        <v>715</v>
      </c>
      <c r="C44" s="92" t="s">
        <v>284</v>
      </c>
      <c r="D44" s="93" t="s">
        <v>223</v>
      </c>
      <c r="E44" s="56" t="s">
        <v>716</v>
      </c>
      <c r="F44" s="92">
        <v>5000</v>
      </c>
      <c r="G44" s="65">
        <v>200</v>
      </c>
      <c r="H44" s="65" t="s">
        <v>323</v>
      </c>
      <c r="I44" s="65" t="s">
        <v>404</v>
      </c>
      <c r="J44" s="55">
        <v>45702</v>
      </c>
      <c r="K44" s="53" t="s">
        <v>766</v>
      </c>
      <c r="L44" s="62">
        <v>89583933065</v>
      </c>
      <c r="M44" s="62" t="s">
        <v>765</v>
      </c>
      <c r="N44" s="53" t="s">
        <v>757</v>
      </c>
      <c r="O44" s="92"/>
      <c r="P44" s="92">
        <v>5000</v>
      </c>
      <c r="Q44" s="57"/>
      <c r="R44" s="53" t="s">
        <v>417</v>
      </c>
      <c r="S44" s="94">
        <v>252500</v>
      </c>
      <c r="T44" s="61">
        <f t="shared" si="1"/>
        <v>1262500</v>
      </c>
    </row>
    <row r="45" spans="1:20" s="63" customFormat="1" ht="13.5" customHeight="1" x14ac:dyDescent="0.25">
      <c r="A45" s="65" t="s">
        <v>646</v>
      </c>
      <c r="B45" s="92" t="s">
        <v>715</v>
      </c>
      <c r="C45" s="92" t="s">
        <v>284</v>
      </c>
      <c r="D45" s="93" t="s">
        <v>223</v>
      </c>
      <c r="E45" s="56" t="s">
        <v>735</v>
      </c>
      <c r="F45" s="92">
        <v>5000</v>
      </c>
      <c r="G45" s="65">
        <v>200</v>
      </c>
      <c r="H45" s="65" t="s">
        <v>323</v>
      </c>
      <c r="I45" s="65" t="s">
        <v>404</v>
      </c>
      <c r="J45" s="55">
        <v>45702</v>
      </c>
      <c r="K45" s="53" t="s">
        <v>766</v>
      </c>
      <c r="L45" s="62">
        <v>89583933065</v>
      </c>
      <c r="M45" s="62" t="s">
        <v>765</v>
      </c>
      <c r="N45" s="53" t="s">
        <v>758</v>
      </c>
      <c r="O45" s="92"/>
      <c r="P45" s="92">
        <v>5000</v>
      </c>
      <c r="Q45" s="57"/>
      <c r="R45" s="53" t="s">
        <v>417</v>
      </c>
      <c r="S45" s="94">
        <v>252500</v>
      </c>
      <c r="T45" s="61">
        <f t="shared" si="1"/>
        <v>1262500</v>
      </c>
    </row>
    <row r="46" spans="1:20" s="63" customFormat="1" ht="13.5" customHeight="1" x14ac:dyDescent="0.25">
      <c r="A46" s="65" t="s">
        <v>646</v>
      </c>
      <c r="B46" s="92" t="s">
        <v>715</v>
      </c>
      <c r="C46" s="92" t="s">
        <v>284</v>
      </c>
      <c r="D46" s="93" t="s">
        <v>223</v>
      </c>
      <c r="E46" s="56" t="s">
        <v>736</v>
      </c>
      <c r="F46" s="92">
        <v>5000</v>
      </c>
      <c r="G46" s="65">
        <v>200</v>
      </c>
      <c r="H46" s="65" t="s">
        <v>323</v>
      </c>
      <c r="I46" s="65" t="s">
        <v>404</v>
      </c>
      <c r="J46" s="55">
        <v>45702</v>
      </c>
      <c r="K46" s="196" t="s">
        <v>766</v>
      </c>
      <c r="L46" s="197">
        <v>89583933065</v>
      </c>
      <c r="M46" s="197" t="s">
        <v>765</v>
      </c>
      <c r="N46" s="53" t="s">
        <v>759</v>
      </c>
      <c r="O46" s="92"/>
      <c r="P46" s="92">
        <v>5000</v>
      </c>
      <c r="Q46" s="57"/>
      <c r="R46" s="53" t="s">
        <v>417</v>
      </c>
      <c r="S46" s="94">
        <v>252500</v>
      </c>
      <c r="T46" s="61">
        <f t="shared" si="1"/>
        <v>1262500</v>
      </c>
    </row>
    <row r="47" spans="1:20" s="63" customFormat="1" ht="13.5" customHeight="1" x14ac:dyDescent="0.25">
      <c r="A47" s="65" t="s">
        <v>646</v>
      </c>
      <c r="B47" s="92" t="s">
        <v>715</v>
      </c>
      <c r="C47" s="92" t="s">
        <v>284</v>
      </c>
      <c r="D47" s="93" t="s">
        <v>223</v>
      </c>
      <c r="E47" s="56" t="s">
        <v>737</v>
      </c>
      <c r="F47" s="92">
        <v>5000</v>
      </c>
      <c r="G47" s="65">
        <v>200</v>
      </c>
      <c r="H47" s="65" t="s">
        <v>323</v>
      </c>
      <c r="I47" s="65" t="s">
        <v>404</v>
      </c>
      <c r="J47" s="55">
        <v>45702</v>
      </c>
      <c r="K47" s="196" t="s">
        <v>766</v>
      </c>
      <c r="L47" s="197">
        <v>89583933065</v>
      </c>
      <c r="M47" s="197" t="s">
        <v>765</v>
      </c>
      <c r="N47" s="53" t="s">
        <v>760</v>
      </c>
      <c r="O47" s="92"/>
      <c r="P47" s="92">
        <v>5000</v>
      </c>
      <c r="Q47" s="57"/>
      <c r="R47" s="53" t="s">
        <v>417</v>
      </c>
      <c r="S47" s="94">
        <v>252500</v>
      </c>
      <c r="T47" s="61">
        <f t="shared" si="1"/>
        <v>1262500</v>
      </c>
    </row>
    <row r="48" spans="1:20" s="63" customFormat="1" ht="13.5" customHeight="1" x14ac:dyDescent="0.25">
      <c r="A48" s="93" t="s">
        <v>311</v>
      </c>
      <c r="B48" s="92" t="s">
        <v>751</v>
      </c>
      <c r="C48" s="92" t="s">
        <v>507</v>
      </c>
      <c r="D48" s="93" t="s">
        <v>314</v>
      </c>
      <c r="E48" s="189" t="s">
        <v>752</v>
      </c>
      <c r="F48" s="92">
        <v>17600</v>
      </c>
      <c r="G48" s="93">
        <v>88</v>
      </c>
      <c r="H48" s="93" t="s">
        <v>165</v>
      </c>
      <c r="I48" s="93" t="s">
        <v>404</v>
      </c>
      <c r="J48" s="190">
        <v>45705</v>
      </c>
      <c r="K48" s="191" t="s">
        <v>767</v>
      </c>
      <c r="L48" s="192">
        <v>89021980813</v>
      </c>
      <c r="M48" s="191" t="s">
        <v>415</v>
      </c>
      <c r="N48" s="193"/>
      <c r="O48" s="92"/>
      <c r="P48" s="92"/>
      <c r="Q48" s="92">
        <v>17600</v>
      </c>
      <c r="R48" s="194" t="s">
        <v>417</v>
      </c>
      <c r="S48" s="195">
        <v>85000</v>
      </c>
      <c r="T48" s="61">
        <f t="shared" si="1"/>
        <v>1496000.0000000002</v>
      </c>
    </row>
    <row r="49" spans="1:20" s="63" customFormat="1" ht="13.5" customHeight="1" x14ac:dyDescent="0.25">
      <c r="A49" s="65" t="s">
        <v>448</v>
      </c>
      <c r="B49" s="57" t="s">
        <v>781</v>
      </c>
      <c r="C49" s="57" t="s">
        <v>451</v>
      </c>
      <c r="D49" s="93" t="s">
        <v>222</v>
      </c>
      <c r="E49" s="56" t="s">
        <v>464</v>
      </c>
      <c r="F49" s="92">
        <v>20000</v>
      </c>
      <c r="G49" s="65">
        <v>800</v>
      </c>
      <c r="H49" s="65" t="s">
        <v>782</v>
      </c>
      <c r="I49" s="65" t="s">
        <v>404</v>
      </c>
      <c r="J49" s="55">
        <v>45706</v>
      </c>
      <c r="K49" s="98" t="s">
        <v>786</v>
      </c>
      <c r="L49" s="108">
        <v>89049773510</v>
      </c>
      <c r="M49" s="98" t="s">
        <v>787</v>
      </c>
      <c r="N49" s="162"/>
      <c r="O49" s="92">
        <v>20000</v>
      </c>
      <c r="P49" s="57"/>
      <c r="Q49" s="53"/>
      <c r="R49" s="53" t="s">
        <v>417</v>
      </c>
      <c r="S49" s="94">
        <v>43500</v>
      </c>
      <c r="T49" s="61">
        <f t="shared" ref="T49:T62" si="2" xml:space="preserve"> S49*(F49/1000)</f>
        <v>870000</v>
      </c>
    </row>
    <row r="50" spans="1:20" s="63" customFormat="1" ht="13.5" customHeight="1" x14ac:dyDescent="0.25">
      <c r="A50" s="65" t="s">
        <v>303</v>
      </c>
      <c r="B50" s="57" t="s">
        <v>658</v>
      </c>
      <c r="C50" s="57" t="s">
        <v>164</v>
      </c>
      <c r="D50" s="10" t="s">
        <v>306</v>
      </c>
      <c r="E50" s="167" t="s">
        <v>654</v>
      </c>
      <c r="F50" s="57">
        <v>17500</v>
      </c>
      <c r="G50" s="65">
        <v>700</v>
      </c>
      <c r="H50" s="65" t="s">
        <v>166</v>
      </c>
      <c r="I50" s="65" t="s">
        <v>404</v>
      </c>
      <c r="J50" s="55">
        <v>45707</v>
      </c>
      <c r="K50" s="99" t="s">
        <v>572</v>
      </c>
      <c r="L50" s="105">
        <v>89115583359</v>
      </c>
      <c r="M50" s="62" t="s">
        <v>571</v>
      </c>
      <c r="N50" s="179" t="s">
        <v>803</v>
      </c>
      <c r="O50" s="57">
        <v>17500</v>
      </c>
      <c r="P50" s="53"/>
      <c r="Q50" s="53"/>
      <c r="R50" s="168" t="s">
        <v>417</v>
      </c>
      <c r="S50" s="94">
        <v>48500</v>
      </c>
      <c r="T50" s="61">
        <f t="shared" si="2"/>
        <v>848750</v>
      </c>
    </row>
    <row r="51" spans="1:20" s="63" customFormat="1" ht="13.5" customHeight="1" x14ac:dyDescent="0.25">
      <c r="A51" s="65" t="s">
        <v>303</v>
      </c>
      <c r="B51" s="57" t="s">
        <v>659</v>
      </c>
      <c r="C51" s="57" t="s">
        <v>164</v>
      </c>
      <c r="D51" s="10" t="s">
        <v>306</v>
      </c>
      <c r="E51" s="167" t="s">
        <v>657</v>
      </c>
      <c r="F51" s="57">
        <v>17500</v>
      </c>
      <c r="G51" s="65">
        <v>700</v>
      </c>
      <c r="H51" s="65" t="s">
        <v>166</v>
      </c>
      <c r="I51" s="65" t="s">
        <v>404</v>
      </c>
      <c r="J51" s="55">
        <v>45707</v>
      </c>
      <c r="K51" s="99" t="s">
        <v>572</v>
      </c>
      <c r="L51" s="105">
        <v>89115583359</v>
      </c>
      <c r="M51" s="62" t="s">
        <v>571</v>
      </c>
      <c r="N51" s="179" t="s">
        <v>802</v>
      </c>
      <c r="O51" s="57">
        <v>17500</v>
      </c>
      <c r="P51" s="53"/>
      <c r="Q51" s="53"/>
      <c r="R51" s="168" t="s">
        <v>417</v>
      </c>
      <c r="S51" s="94">
        <v>48500</v>
      </c>
      <c r="T51" s="61">
        <f t="shared" si="2"/>
        <v>848750</v>
      </c>
    </row>
    <row r="52" spans="1:20" s="63" customFormat="1" ht="13.5" customHeight="1" x14ac:dyDescent="0.25">
      <c r="A52" s="65" t="s">
        <v>303</v>
      </c>
      <c r="B52" s="57" t="s">
        <v>660</v>
      </c>
      <c r="C52" s="57" t="s">
        <v>164</v>
      </c>
      <c r="D52" s="10" t="s">
        <v>306</v>
      </c>
      <c r="E52" s="167" t="s">
        <v>665</v>
      </c>
      <c r="F52" s="57">
        <v>17500</v>
      </c>
      <c r="G52" s="65">
        <v>700</v>
      </c>
      <c r="H52" s="65" t="s">
        <v>166</v>
      </c>
      <c r="I52" s="65" t="s">
        <v>404</v>
      </c>
      <c r="J52" s="55">
        <v>45708</v>
      </c>
      <c r="K52" s="99" t="s">
        <v>603</v>
      </c>
      <c r="L52" s="105">
        <v>89095563417</v>
      </c>
      <c r="M52" s="62" t="s">
        <v>602</v>
      </c>
      <c r="N52" s="179" t="s">
        <v>807</v>
      </c>
      <c r="O52" s="57">
        <v>17500</v>
      </c>
      <c r="P52" s="53"/>
      <c r="Q52" s="53"/>
      <c r="R52" s="168" t="s">
        <v>417</v>
      </c>
      <c r="S52" s="94">
        <v>48500</v>
      </c>
      <c r="T52" s="61">
        <f xml:space="preserve"> S52*(F52/1000)</f>
        <v>848750</v>
      </c>
    </row>
    <row r="53" spans="1:20" s="63" customFormat="1" ht="13.5" customHeight="1" x14ac:dyDescent="0.25">
      <c r="A53" s="65" t="s">
        <v>303</v>
      </c>
      <c r="B53" s="57" t="s">
        <v>331</v>
      </c>
      <c r="C53" s="57" t="s">
        <v>164</v>
      </c>
      <c r="D53" s="10" t="s">
        <v>306</v>
      </c>
      <c r="E53" s="167" t="s">
        <v>329</v>
      </c>
      <c r="F53" s="57">
        <v>17500</v>
      </c>
      <c r="G53" s="65">
        <v>700</v>
      </c>
      <c r="H53" s="65" t="s">
        <v>166</v>
      </c>
      <c r="I53" s="65" t="s">
        <v>404</v>
      </c>
      <c r="J53" s="55">
        <v>45708</v>
      </c>
      <c r="K53" s="99" t="s">
        <v>806</v>
      </c>
      <c r="L53" s="105">
        <v>89095563418</v>
      </c>
      <c r="M53" s="62" t="s">
        <v>602</v>
      </c>
      <c r="N53" s="179" t="s">
        <v>808</v>
      </c>
      <c r="O53" s="57">
        <v>17500</v>
      </c>
      <c r="P53" s="53"/>
      <c r="Q53" s="53"/>
      <c r="R53" s="168" t="s">
        <v>417</v>
      </c>
      <c r="S53" s="94">
        <v>48500</v>
      </c>
      <c r="T53" s="61">
        <f xml:space="preserve"> S53*(F53/1000)</f>
        <v>848750</v>
      </c>
    </row>
    <row r="54" spans="1:20" s="63" customFormat="1" ht="13.5" customHeight="1" x14ac:dyDescent="0.25">
      <c r="A54" s="65" t="s">
        <v>790</v>
      </c>
      <c r="B54" s="57" t="s">
        <v>791</v>
      </c>
      <c r="C54" s="57" t="s">
        <v>788</v>
      </c>
      <c r="D54" s="93" t="s">
        <v>157</v>
      </c>
      <c r="E54" s="189" t="s">
        <v>795</v>
      </c>
      <c r="F54" s="92">
        <v>7200</v>
      </c>
      <c r="G54" s="65">
        <v>36</v>
      </c>
      <c r="H54" s="65" t="s">
        <v>789</v>
      </c>
      <c r="I54" s="65" t="s">
        <v>404</v>
      </c>
      <c r="J54" s="55">
        <v>45709</v>
      </c>
      <c r="K54" s="53" t="s">
        <v>794</v>
      </c>
      <c r="L54" s="166" t="s">
        <v>792</v>
      </c>
      <c r="M54" s="53" t="s">
        <v>793</v>
      </c>
      <c r="N54" s="199"/>
      <c r="O54" s="53"/>
      <c r="P54" s="57"/>
      <c r="Q54" s="92">
        <v>7200</v>
      </c>
      <c r="R54" s="53" t="s">
        <v>417</v>
      </c>
      <c r="S54" s="94">
        <v>81500</v>
      </c>
      <c r="T54" s="61">
        <f xml:space="preserve"> S54*(F54/1000)</f>
        <v>586800</v>
      </c>
    </row>
    <row r="55" spans="1:20" s="63" customFormat="1" ht="13.5" customHeight="1" x14ac:dyDescent="0.25">
      <c r="A55" s="65" t="s">
        <v>790</v>
      </c>
      <c r="B55" s="57" t="s">
        <v>791</v>
      </c>
      <c r="C55" s="57" t="s">
        <v>788</v>
      </c>
      <c r="D55" s="93" t="s">
        <v>157</v>
      </c>
      <c r="E55" s="189" t="s">
        <v>804</v>
      </c>
      <c r="F55" s="92">
        <v>6800</v>
      </c>
      <c r="G55" s="65">
        <v>34</v>
      </c>
      <c r="H55" s="65" t="s">
        <v>789</v>
      </c>
      <c r="I55" s="65" t="s">
        <v>404</v>
      </c>
      <c r="J55" s="55">
        <v>45709</v>
      </c>
      <c r="K55" s="53" t="s">
        <v>794</v>
      </c>
      <c r="L55" s="166" t="s">
        <v>792</v>
      </c>
      <c r="M55" s="53" t="s">
        <v>793</v>
      </c>
      <c r="N55" s="199"/>
      <c r="O55" s="53"/>
      <c r="P55" s="57"/>
      <c r="Q55" s="92">
        <v>6800</v>
      </c>
      <c r="R55" s="53" t="s">
        <v>417</v>
      </c>
      <c r="S55" s="94">
        <v>81500</v>
      </c>
      <c r="T55" s="61">
        <f t="shared" ref="T55:T57" si="3" xml:space="preserve"> S55*(F55/1000)</f>
        <v>554200</v>
      </c>
    </row>
    <row r="56" spans="1:20" s="63" customFormat="1" ht="13.5" customHeight="1" x14ac:dyDescent="0.25">
      <c r="A56" s="65" t="s">
        <v>790</v>
      </c>
      <c r="B56" s="57" t="s">
        <v>791</v>
      </c>
      <c r="C56" s="57" t="s">
        <v>788</v>
      </c>
      <c r="D56" s="93" t="s">
        <v>157</v>
      </c>
      <c r="E56" s="189" t="s">
        <v>805</v>
      </c>
      <c r="F56" s="92">
        <v>400</v>
      </c>
      <c r="G56" s="65">
        <v>2</v>
      </c>
      <c r="H56" s="65" t="s">
        <v>789</v>
      </c>
      <c r="I56" s="65" t="s">
        <v>404</v>
      </c>
      <c r="J56" s="55">
        <v>45709</v>
      </c>
      <c r="K56" s="53" t="s">
        <v>794</v>
      </c>
      <c r="L56" s="166" t="s">
        <v>792</v>
      </c>
      <c r="M56" s="53" t="s">
        <v>793</v>
      </c>
      <c r="N56" s="199"/>
      <c r="O56" s="53"/>
      <c r="P56" s="57"/>
      <c r="Q56" s="92">
        <v>400</v>
      </c>
      <c r="R56" s="53" t="s">
        <v>417</v>
      </c>
      <c r="S56" s="94">
        <v>81500</v>
      </c>
      <c r="T56" s="61">
        <f t="shared" ref="T56" si="4" xml:space="preserve"> S56*(F56/1000)</f>
        <v>32600</v>
      </c>
    </row>
    <row r="57" spans="1:20" s="63" customFormat="1" ht="13.5" customHeight="1" x14ac:dyDescent="0.25">
      <c r="A57" s="65" t="s">
        <v>790</v>
      </c>
      <c r="B57" s="57" t="s">
        <v>791</v>
      </c>
      <c r="C57" s="57" t="s">
        <v>788</v>
      </c>
      <c r="D57" s="93" t="s">
        <v>157</v>
      </c>
      <c r="E57" s="189" t="s">
        <v>339</v>
      </c>
      <c r="F57" s="92">
        <v>3200</v>
      </c>
      <c r="G57" s="65">
        <v>16</v>
      </c>
      <c r="H57" s="65" t="s">
        <v>789</v>
      </c>
      <c r="I57" s="65" t="s">
        <v>404</v>
      </c>
      <c r="J57" s="55">
        <v>45709</v>
      </c>
      <c r="K57" s="53" t="s">
        <v>794</v>
      </c>
      <c r="L57" s="166" t="s">
        <v>792</v>
      </c>
      <c r="M57" s="53" t="s">
        <v>793</v>
      </c>
      <c r="N57" s="199"/>
      <c r="O57" s="53"/>
      <c r="P57" s="57"/>
      <c r="Q57" s="92">
        <v>3200</v>
      </c>
      <c r="R57" s="53" t="s">
        <v>417</v>
      </c>
      <c r="S57" s="94">
        <v>81500</v>
      </c>
      <c r="T57" s="61">
        <f t="shared" si="3"/>
        <v>260800</v>
      </c>
    </row>
    <row r="58" spans="1:20" s="63" customFormat="1" ht="13.5" customHeight="1" x14ac:dyDescent="0.25">
      <c r="A58" s="65" t="s">
        <v>418</v>
      </c>
      <c r="B58" s="57" t="s">
        <v>733</v>
      </c>
      <c r="C58" s="57" t="s">
        <v>558</v>
      </c>
      <c r="D58" s="93" t="s">
        <v>234</v>
      </c>
      <c r="E58" s="56" t="s">
        <v>734</v>
      </c>
      <c r="F58" s="92">
        <v>2160</v>
      </c>
      <c r="G58" s="65">
        <v>120</v>
      </c>
      <c r="H58" s="65" t="s">
        <v>560</v>
      </c>
      <c r="I58" s="65" t="s">
        <v>404</v>
      </c>
      <c r="J58" s="55">
        <v>45709</v>
      </c>
      <c r="K58" s="108" t="s">
        <v>812</v>
      </c>
      <c r="L58" s="108">
        <v>89532615578</v>
      </c>
      <c r="M58" s="98" t="s">
        <v>811</v>
      </c>
      <c r="N58" s="162"/>
      <c r="O58" s="92"/>
      <c r="P58" s="92">
        <v>2160</v>
      </c>
      <c r="Q58" s="53"/>
      <c r="R58" s="53" t="s">
        <v>417</v>
      </c>
      <c r="S58" s="94">
        <v>220000</v>
      </c>
      <c r="T58" s="61">
        <f xml:space="preserve"> S58*(F58/1000)</f>
        <v>475200.00000000006</v>
      </c>
    </row>
    <row r="59" spans="1:20" s="63" customFormat="1" ht="13.5" customHeight="1" x14ac:dyDescent="0.25">
      <c r="A59" s="65" t="s">
        <v>418</v>
      </c>
      <c r="B59" s="57" t="s">
        <v>733</v>
      </c>
      <c r="C59" s="57" t="s">
        <v>558</v>
      </c>
      <c r="D59" s="93" t="s">
        <v>172</v>
      </c>
      <c r="E59" s="56" t="s">
        <v>776</v>
      </c>
      <c r="F59" s="92">
        <v>2400</v>
      </c>
      <c r="G59" s="65">
        <v>12</v>
      </c>
      <c r="H59" s="65" t="s">
        <v>560</v>
      </c>
      <c r="I59" s="65" t="s">
        <v>404</v>
      </c>
      <c r="J59" s="55">
        <v>45709</v>
      </c>
      <c r="K59" s="108" t="s">
        <v>812</v>
      </c>
      <c r="L59" s="108">
        <v>89532615578</v>
      </c>
      <c r="M59" s="98" t="s">
        <v>811</v>
      </c>
      <c r="N59" s="162"/>
      <c r="O59" s="92"/>
      <c r="P59" s="57"/>
      <c r="Q59" s="92">
        <v>2400</v>
      </c>
      <c r="R59" s="53" t="s">
        <v>417</v>
      </c>
      <c r="S59" s="94">
        <v>167500</v>
      </c>
      <c r="T59" s="61">
        <f xml:space="preserve"> S59*(F59/1000)</f>
        <v>402000</v>
      </c>
    </row>
    <row r="60" spans="1:20" s="63" customFormat="1" ht="13.5" customHeight="1" x14ac:dyDescent="0.25">
      <c r="A60" s="65" t="s">
        <v>418</v>
      </c>
      <c r="B60" s="57" t="s">
        <v>733</v>
      </c>
      <c r="C60" s="57" t="s">
        <v>558</v>
      </c>
      <c r="D60" s="93" t="s">
        <v>309</v>
      </c>
      <c r="E60" s="56" t="s">
        <v>775</v>
      </c>
      <c r="F60" s="92">
        <v>12800</v>
      </c>
      <c r="G60" s="65">
        <v>64</v>
      </c>
      <c r="H60" s="65" t="s">
        <v>560</v>
      </c>
      <c r="I60" s="65" t="s">
        <v>404</v>
      </c>
      <c r="J60" s="55">
        <v>45709</v>
      </c>
      <c r="K60" s="108" t="s">
        <v>812</v>
      </c>
      <c r="L60" s="108">
        <v>89532615578</v>
      </c>
      <c r="M60" s="98" t="s">
        <v>811</v>
      </c>
      <c r="N60" s="162"/>
      <c r="O60" s="92"/>
      <c r="P60" s="57"/>
      <c r="Q60" s="92">
        <v>12800</v>
      </c>
      <c r="R60" s="53" t="s">
        <v>417</v>
      </c>
      <c r="S60" s="94">
        <v>128000</v>
      </c>
      <c r="T60" s="61">
        <f xml:space="preserve"> S60*(F60/1000)</f>
        <v>1638400</v>
      </c>
    </row>
    <row r="61" spans="1:20" s="63" customFormat="1" ht="13.5" customHeight="1" x14ac:dyDescent="0.25">
      <c r="A61" s="93" t="s">
        <v>297</v>
      </c>
      <c r="B61" s="92" t="s">
        <v>763</v>
      </c>
      <c r="C61" s="92" t="s">
        <v>507</v>
      </c>
      <c r="D61" s="93" t="s">
        <v>314</v>
      </c>
      <c r="E61" s="189" t="s">
        <v>764</v>
      </c>
      <c r="F61" s="92">
        <v>16000</v>
      </c>
      <c r="G61" s="93">
        <v>80</v>
      </c>
      <c r="H61" s="93" t="s">
        <v>166</v>
      </c>
      <c r="I61" s="93" t="s">
        <v>404</v>
      </c>
      <c r="J61" s="190">
        <v>45709</v>
      </c>
      <c r="K61" s="191" t="s">
        <v>572</v>
      </c>
      <c r="L61" s="192">
        <v>89115583359</v>
      </c>
      <c r="M61" s="191" t="s">
        <v>571</v>
      </c>
      <c r="N61" s="193" t="s">
        <v>814</v>
      </c>
      <c r="O61" s="92"/>
      <c r="P61" s="92"/>
      <c r="Q61" s="92">
        <v>16000</v>
      </c>
      <c r="R61" s="194" t="s">
        <v>417</v>
      </c>
      <c r="S61" s="195">
        <v>85000</v>
      </c>
      <c r="T61" s="61">
        <f t="shared" si="2"/>
        <v>1360000</v>
      </c>
    </row>
    <row r="62" spans="1:20" s="63" customFormat="1" ht="13.5" customHeight="1" x14ac:dyDescent="0.25">
      <c r="A62" s="93" t="s">
        <v>297</v>
      </c>
      <c r="B62" s="92" t="s">
        <v>763</v>
      </c>
      <c r="C62" s="92" t="s">
        <v>507</v>
      </c>
      <c r="D62" s="93" t="s">
        <v>237</v>
      </c>
      <c r="E62" s="189" t="s">
        <v>780</v>
      </c>
      <c r="F62" s="92">
        <v>17500</v>
      </c>
      <c r="G62" s="93">
        <v>700</v>
      </c>
      <c r="H62" s="93" t="s">
        <v>166</v>
      </c>
      <c r="I62" s="93" t="s">
        <v>404</v>
      </c>
      <c r="J62" s="190">
        <v>45709</v>
      </c>
      <c r="K62" s="191" t="s">
        <v>572</v>
      </c>
      <c r="L62" s="192">
        <v>89115583359</v>
      </c>
      <c r="M62" s="191" t="s">
        <v>571</v>
      </c>
      <c r="N62" s="193" t="s">
        <v>815</v>
      </c>
      <c r="O62" s="92">
        <v>17500</v>
      </c>
      <c r="P62" s="92"/>
      <c r="Q62" s="194"/>
      <c r="R62" s="194" t="s">
        <v>417</v>
      </c>
      <c r="S62" s="195">
        <v>41500</v>
      </c>
      <c r="T62" s="61">
        <f t="shared" si="2"/>
        <v>726250</v>
      </c>
    </row>
    <row r="63" spans="1:20" s="63" customFormat="1" ht="13.5" customHeight="1" x14ac:dyDescent="0.25">
      <c r="A63" s="65" t="s">
        <v>281</v>
      </c>
      <c r="B63" s="57" t="s">
        <v>821</v>
      </c>
      <c r="C63" s="57" t="s">
        <v>294</v>
      </c>
      <c r="D63" s="93" t="s">
        <v>289</v>
      </c>
      <c r="E63" s="56" t="s">
        <v>772</v>
      </c>
      <c r="F63" s="92">
        <v>2100</v>
      </c>
      <c r="G63" s="65">
        <v>105</v>
      </c>
      <c r="H63" s="65" t="s">
        <v>281</v>
      </c>
      <c r="I63" s="65" t="s">
        <v>404</v>
      </c>
      <c r="J63" s="55">
        <v>45712</v>
      </c>
      <c r="K63" s="98" t="s">
        <v>819</v>
      </c>
      <c r="L63" s="108">
        <v>89022652558</v>
      </c>
      <c r="M63" s="98" t="s">
        <v>820</v>
      </c>
      <c r="N63" s="65" t="s">
        <v>281</v>
      </c>
      <c r="O63" s="92"/>
      <c r="P63" s="57"/>
      <c r="Q63" s="92">
        <v>2100</v>
      </c>
      <c r="R63" s="53" t="s">
        <v>417</v>
      </c>
      <c r="S63" s="94">
        <v>106300</v>
      </c>
      <c r="T63" s="61">
        <f xml:space="preserve"> S63*(F63/1000)</f>
        <v>223230</v>
      </c>
    </row>
    <row r="64" spans="1:20" s="63" customFormat="1" ht="13.5" customHeight="1" x14ac:dyDescent="0.25">
      <c r="A64" s="65" t="s">
        <v>418</v>
      </c>
      <c r="B64" s="57" t="s">
        <v>816</v>
      </c>
      <c r="C64" s="57" t="s">
        <v>507</v>
      </c>
      <c r="D64" s="93" t="s">
        <v>237</v>
      </c>
      <c r="E64" s="56" t="s">
        <v>801</v>
      </c>
      <c r="F64" s="92">
        <v>20000</v>
      </c>
      <c r="G64" s="65">
        <v>800</v>
      </c>
      <c r="H64" s="65" t="s">
        <v>165</v>
      </c>
      <c r="I64" s="65" t="s">
        <v>404</v>
      </c>
      <c r="J64" s="55">
        <v>45712</v>
      </c>
      <c r="K64" s="53" t="s">
        <v>818</v>
      </c>
      <c r="L64" s="62">
        <v>89212974613</v>
      </c>
      <c r="M64" s="53" t="s">
        <v>817</v>
      </c>
      <c r="N64" s="139"/>
      <c r="O64" s="92">
        <v>20000</v>
      </c>
      <c r="P64" s="57"/>
      <c r="Q64" s="53"/>
      <c r="R64" s="53" t="s">
        <v>417</v>
      </c>
      <c r="S64" s="94">
        <v>41500</v>
      </c>
      <c r="T64" s="61">
        <f t="shared" ref="T64:T99" si="5" xml:space="preserve"> S64*(F64/1000)</f>
        <v>830000</v>
      </c>
    </row>
    <row r="65" spans="1:20" s="63" customFormat="1" ht="13.5" customHeight="1" x14ac:dyDescent="0.25">
      <c r="A65" s="65" t="s">
        <v>418</v>
      </c>
      <c r="B65" s="57" t="s">
        <v>557</v>
      </c>
      <c r="C65" s="57" t="s">
        <v>507</v>
      </c>
      <c r="D65" s="93" t="s">
        <v>295</v>
      </c>
      <c r="E65" s="56" t="s">
        <v>780</v>
      </c>
      <c r="F65" s="92">
        <v>760</v>
      </c>
      <c r="G65" s="65">
        <v>4</v>
      </c>
      <c r="H65" s="65" t="s">
        <v>165</v>
      </c>
      <c r="I65" s="65" t="s">
        <v>404</v>
      </c>
      <c r="J65" s="55">
        <v>45712</v>
      </c>
      <c r="K65" s="53" t="s">
        <v>818</v>
      </c>
      <c r="L65" s="62">
        <v>89212974613</v>
      </c>
      <c r="M65" s="53" t="s">
        <v>817</v>
      </c>
      <c r="N65" s="139"/>
      <c r="O65" s="92"/>
      <c r="P65" s="57"/>
      <c r="Q65" s="92">
        <v>760</v>
      </c>
      <c r="R65" s="53" t="s">
        <v>417</v>
      </c>
      <c r="S65" s="94">
        <v>339000</v>
      </c>
      <c r="T65" s="61">
        <f t="shared" si="5"/>
        <v>257640</v>
      </c>
    </row>
    <row r="66" spans="1:20" s="63" customFormat="1" ht="13.5" customHeight="1" x14ac:dyDescent="0.25">
      <c r="A66" s="65" t="s">
        <v>311</v>
      </c>
      <c r="B66" s="57" t="s">
        <v>846</v>
      </c>
      <c r="C66" s="57" t="s">
        <v>796</v>
      </c>
      <c r="D66" s="93" t="s">
        <v>243</v>
      </c>
      <c r="E66" s="56" t="s">
        <v>764</v>
      </c>
      <c r="F66" s="92">
        <v>20000</v>
      </c>
      <c r="G66" s="65">
        <v>800</v>
      </c>
      <c r="H66" s="65" t="s">
        <v>845</v>
      </c>
      <c r="I66" s="65" t="s">
        <v>404</v>
      </c>
      <c r="J66" s="55">
        <v>45713</v>
      </c>
      <c r="K66" s="98" t="s">
        <v>849</v>
      </c>
      <c r="L66" s="108">
        <v>89605074164</v>
      </c>
      <c r="M66" s="98" t="s">
        <v>848</v>
      </c>
      <c r="N66" s="162"/>
      <c r="O66" s="92">
        <v>20000</v>
      </c>
      <c r="P66" s="57"/>
      <c r="Q66" s="53"/>
      <c r="R66" s="53" t="s">
        <v>417</v>
      </c>
      <c r="S66" s="94">
        <v>38000</v>
      </c>
      <c r="T66" s="61">
        <f xml:space="preserve"> S66*(F66/1000)</f>
        <v>760000</v>
      </c>
    </row>
    <row r="67" spans="1:20" s="63" customFormat="1" ht="13.5" customHeight="1" x14ac:dyDescent="0.25">
      <c r="A67" s="65" t="s">
        <v>311</v>
      </c>
      <c r="B67" s="57" t="s">
        <v>774</v>
      </c>
      <c r="C67" s="57" t="s">
        <v>451</v>
      </c>
      <c r="D67" s="93" t="s">
        <v>194</v>
      </c>
      <c r="E67" s="56" t="s">
        <v>473</v>
      </c>
      <c r="F67" s="92">
        <v>1600</v>
      </c>
      <c r="G67" s="65">
        <v>8</v>
      </c>
      <c r="H67" s="65" t="s">
        <v>773</v>
      </c>
      <c r="I67" s="65" t="s">
        <v>404</v>
      </c>
      <c r="J67" s="55">
        <v>45714</v>
      </c>
      <c r="K67" s="98" t="s">
        <v>856</v>
      </c>
      <c r="L67" s="108">
        <v>89194999925</v>
      </c>
      <c r="M67" s="98" t="s">
        <v>855</v>
      </c>
      <c r="N67" s="162"/>
      <c r="O67" s="92"/>
      <c r="P67" s="57"/>
      <c r="Q67" s="92">
        <v>1600</v>
      </c>
      <c r="R67" s="53" t="s">
        <v>417</v>
      </c>
      <c r="S67" s="94">
        <v>105000</v>
      </c>
      <c r="T67" s="61">
        <f t="shared" ref="T67:T69" si="6" xml:space="preserve"> S67*(F67/1000)</f>
        <v>168000</v>
      </c>
    </row>
    <row r="68" spans="1:20" s="63" customFormat="1" ht="13.5" customHeight="1" x14ac:dyDescent="0.25">
      <c r="A68" s="65" t="s">
        <v>311</v>
      </c>
      <c r="B68" s="57" t="s">
        <v>774</v>
      </c>
      <c r="C68" s="57" t="s">
        <v>451</v>
      </c>
      <c r="D68" s="93" t="s">
        <v>223</v>
      </c>
      <c r="E68" s="56" t="s">
        <v>453</v>
      </c>
      <c r="F68" s="92">
        <v>10000</v>
      </c>
      <c r="G68" s="65">
        <v>400</v>
      </c>
      <c r="H68" s="65" t="s">
        <v>773</v>
      </c>
      <c r="I68" s="65" t="s">
        <v>404</v>
      </c>
      <c r="J68" s="55">
        <v>45714</v>
      </c>
      <c r="K68" s="98" t="s">
        <v>856</v>
      </c>
      <c r="L68" s="108">
        <v>89194999925</v>
      </c>
      <c r="M68" s="98" t="s">
        <v>855</v>
      </c>
      <c r="N68" s="162"/>
      <c r="O68" s="92"/>
      <c r="P68" s="92">
        <v>10000</v>
      </c>
      <c r="Q68" s="53"/>
      <c r="R68" s="53" t="s">
        <v>417</v>
      </c>
      <c r="S68" s="94">
        <v>250000</v>
      </c>
      <c r="T68" s="61">
        <f t="shared" si="6"/>
        <v>2500000</v>
      </c>
    </row>
    <row r="69" spans="1:20" s="63" customFormat="1" ht="13.5" customHeight="1" x14ac:dyDescent="0.25">
      <c r="A69" s="65" t="s">
        <v>311</v>
      </c>
      <c r="B69" s="57" t="s">
        <v>809</v>
      </c>
      <c r="C69" s="57" t="s">
        <v>432</v>
      </c>
      <c r="D69" s="93" t="s">
        <v>300</v>
      </c>
      <c r="E69" s="56" t="s">
        <v>801</v>
      </c>
      <c r="F69" s="92">
        <v>6400</v>
      </c>
      <c r="G69" s="65">
        <v>32</v>
      </c>
      <c r="H69" s="65" t="s">
        <v>450</v>
      </c>
      <c r="I69" s="65" t="s">
        <v>404</v>
      </c>
      <c r="J69" s="55">
        <v>45714</v>
      </c>
      <c r="K69" s="98" t="s">
        <v>856</v>
      </c>
      <c r="L69" s="108">
        <v>89194999925</v>
      </c>
      <c r="M69" s="98" t="s">
        <v>855</v>
      </c>
      <c r="N69" s="162"/>
      <c r="O69" s="92"/>
      <c r="P69" s="92"/>
      <c r="Q69" s="92">
        <v>6400</v>
      </c>
      <c r="R69" s="53" t="s">
        <v>417</v>
      </c>
      <c r="S69" s="94">
        <v>242000</v>
      </c>
      <c r="T69" s="61">
        <f t="shared" si="6"/>
        <v>1548800</v>
      </c>
    </row>
    <row r="70" spans="1:20" s="63" customFormat="1" ht="13.5" customHeight="1" x14ac:dyDescent="0.25">
      <c r="A70" s="65" t="s">
        <v>311</v>
      </c>
      <c r="B70" s="57" t="s">
        <v>843</v>
      </c>
      <c r="C70" s="57" t="s">
        <v>451</v>
      </c>
      <c r="D70" s="93" t="s">
        <v>222</v>
      </c>
      <c r="E70" s="56" t="s">
        <v>473</v>
      </c>
      <c r="F70" s="92">
        <v>20000</v>
      </c>
      <c r="G70" s="65">
        <v>800</v>
      </c>
      <c r="H70" s="65" t="s">
        <v>773</v>
      </c>
      <c r="I70" s="65" t="s">
        <v>404</v>
      </c>
      <c r="J70" s="55">
        <v>45714</v>
      </c>
      <c r="K70" s="98" t="s">
        <v>854</v>
      </c>
      <c r="L70" s="108">
        <v>89116737092</v>
      </c>
      <c r="M70" s="98" t="s">
        <v>853</v>
      </c>
      <c r="N70" s="162"/>
      <c r="O70" s="92">
        <v>20000</v>
      </c>
      <c r="P70" s="57"/>
      <c r="Q70" s="53"/>
      <c r="R70" s="53" t="s">
        <v>417</v>
      </c>
      <c r="S70" s="94">
        <v>43500</v>
      </c>
      <c r="T70" s="61">
        <f t="shared" si="5"/>
        <v>870000</v>
      </c>
    </row>
    <row r="71" spans="1:20" s="63" customFormat="1" ht="13.5" customHeight="1" x14ac:dyDescent="0.25">
      <c r="A71" s="65" t="s">
        <v>311</v>
      </c>
      <c r="B71" s="57" t="s">
        <v>847</v>
      </c>
      <c r="C71" s="57" t="s">
        <v>796</v>
      </c>
      <c r="D71" s="93" t="s">
        <v>243</v>
      </c>
      <c r="E71" s="56" t="s">
        <v>801</v>
      </c>
      <c r="F71" s="92">
        <v>20000</v>
      </c>
      <c r="G71" s="65">
        <v>800</v>
      </c>
      <c r="H71" s="65" t="s">
        <v>845</v>
      </c>
      <c r="I71" s="65" t="s">
        <v>404</v>
      </c>
      <c r="J71" s="55">
        <v>45714</v>
      </c>
      <c r="K71" s="98" t="s">
        <v>609</v>
      </c>
      <c r="L71" s="108">
        <v>89009189331</v>
      </c>
      <c r="M71" s="98" t="s">
        <v>745</v>
      </c>
      <c r="N71" s="162"/>
      <c r="O71" s="92">
        <v>20000</v>
      </c>
      <c r="P71" s="57"/>
      <c r="Q71" s="53"/>
      <c r="R71" s="53" t="s">
        <v>417</v>
      </c>
      <c r="S71" s="94">
        <v>38000</v>
      </c>
      <c r="T71" s="61">
        <f t="shared" si="5"/>
        <v>760000</v>
      </c>
    </row>
    <row r="72" spans="1:20" s="63" customFormat="1" ht="13.5" customHeight="1" x14ac:dyDescent="0.25">
      <c r="A72" s="65" t="s">
        <v>281</v>
      </c>
      <c r="B72" s="57" t="s">
        <v>835</v>
      </c>
      <c r="C72" s="57" t="s">
        <v>836</v>
      </c>
      <c r="D72" s="93" t="s">
        <v>252</v>
      </c>
      <c r="E72" s="56" t="s">
        <v>837</v>
      </c>
      <c r="F72" s="92">
        <v>6000</v>
      </c>
      <c r="G72" s="65">
        <v>300</v>
      </c>
      <c r="H72" s="65" t="s">
        <v>281</v>
      </c>
      <c r="I72" s="65" t="s">
        <v>404</v>
      </c>
      <c r="J72" s="55">
        <v>45714</v>
      </c>
      <c r="K72" s="98" t="s">
        <v>869</v>
      </c>
      <c r="L72" s="108">
        <v>8614500532</v>
      </c>
      <c r="M72" s="98" t="s">
        <v>868</v>
      </c>
      <c r="N72" s="162"/>
      <c r="O72" s="92"/>
      <c r="P72" s="92">
        <v>6000</v>
      </c>
      <c r="Q72" s="53"/>
      <c r="R72" s="53"/>
      <c r="S72" s="94">
        <v>87000</v>
      </c>
      <c r="T72" s="61">
        <f t="shared" si="5"/>
        <v>522000</v>
      </c>
    </row>
    <row r="73" spans="1:20" s="63" customFormat="1" ht="13.5" customHeight="1" x14ac:dyDescent="0.25">
      <c r="A73" s="65" t="s">
        <v>489</v>
      </c>
      <c r="B73" s="92" t="s">
        <v>762</v>
      </c>
      <c r="C73" s="92" t="s">
        <v>284</v>
      </c>
      <c r="D73" s="93" t="s">
        <v>223</v>
      </c>
      <c r="E73" s="56" t="s">
        <v>738</v>
      </c>
      <c r="F73" s="92">
        <v>5000</v>
      </c>
      <c r="G73" s="65">
        <v>200</v>
      </c>
      <c r="H73" s="65" t="s">
        <v>323</v>
      </c>
      <c r="I73" s="65" t="s">
        <v>404</v>
      </c>
      <c r="J73" s="55">
        <v>45714</v>
      </c>
      <c r="K73" s="202" t="s">
        <v>858</v>
      </c>
      <c r="L73" s="203">
        <v>89028048148</v>
      </c>
      <c r="M73" s="204" t="s">
        <v>857</v>
      </c>
      <c r="N73" s="53" t="s">
        <v>761</v>
      </c>
      <c r="O73" s="92"/>
      <c r="P73" s="92">
        <v>5000</v>
      </c>
      <c r="Q73" s="57"/>
      <c r="R73" s="53" t="s">
        <v>417</v>
      </c>
      <c r="S73" s="94">
        <v>252500</v>
      </c>
      <c r="T73" s="61">
        <f t="shared" si="5"/>
        <v>1262500</v>
      </c>
    </row>
    <row r="74" spans="1:20" s="63" customFormat="1" ht="13.5" customHeight="1" x14ac:dyDescent="0.25">
      <c r="A74" s="65" t="s">
        <v>489</v>
      </c>
      <c r="B74" s="92" t="s">
        <v>762</v>
      </c>
      <c r="C74" s="92" t="s">
        <v>284</v>
      </c>
      <c r="D74" s="93" t="s">
        <v>223</v>
      </c>
      <c r="E74" s="56" t="s">
        <v>798</v>
      </c>
      <c r="F74" s="92">
        <v>5000</v>
      </c>
      <c r="G74" s="65">
        <v>200</v>
      </c>
      <c r="H74" s="65" t="s">
        <v>323</v>
      </c>
      <c r="I74" s="65" t="s">
        <v>404</v>
      </c>
      <c r="J74" s="55">
        <v>45714</v>
      </c>
      <c r="K74" s="202" t="s">
        <v>858</v>
      </c>
      <c r="L74" s="203">
        <v>89028048148</v>
      </c>
      <c r="M74" s="204" t="s">
        <v>857</v>
      </c>
      <c r="N74" s="53" t="s">
        <v>850</v>
      </c>
      <c r="O74" s="92"/>
      <c r="P74" s="92">
        <v>5000</v>
      </c>
      <c r="Q74" s="57"/>
      <c r="R74" s="53" t="s">
        <v>417</v>
      </c>
      <c r="S74" s="94">
        <v>252500</v>
      </c>
      <c r="T74" s="61">
        <f t="shared" si="5"/>
        <v>1262500</v>
      </c>
    </row>
    <row r="75" spans="1:20" s="63" customFormat="1" ht="13.5" customHeight="1" x14ac:dyDescent="0.25">
      <c r="A75" s="65" t="s">
        <v>489</v>
      </c>
      <c r="B75" s="92" t="s">
        <v>762</v>
      </c>
      <c r="C75" s="92" t="s">
        <v>284</v>
      </c>
      <c r="D75" s="93" t="s">
        <v>223</v>
      </c>
      <c r="E75" s="56" t="s">
        <v>799</v>
      </c>
      <c r="F75" s="92">
        <v>5000</v>
      </c>
      <c r="G75" s="65">
        <v>200</v>
      </c>
      <c r="H75" s="65" t="s">
        <v>323</v>
      </c>
      <c r="I75" s="65" t="s">
        <v>404</v>
      </c>
      <c r="J75" s="55">
        <v>45714</v>
      </c>
      <c r="K75" s="202" t="s">
        <v>858</v>
      </c>
      <c r="L75" s="203">
        <v>89028048148</v>
      </c>
      <c r="M75" s="204" t="s">
        <v>857</v>
      </c>
      <c r="N75" s="53" t="s">
        <v>851</v>
      </c>
      <c r="O75" s="92"/>
      <c r="P75" s="92">
        <v>5000</v>
      </c>
      <c r="Q75" s="57"/>
      <c r="R75" s="53" t="s">
        <v>417</v>
      </c>
      <c r="S75" s="94">
        <v>252500</v>
      </c>
      <c r="T75" s="61">
        <f t="shared" si="5"/>
        <v>1262500</v>
      </c>
    </row>
    <row r="76" spans="1:20" s="63" customFormat="1" ht="13.5" customHeight="1" x14ac:dyDescent="0.25">
      <c r="A76" s="65" t="s">
        <v>489</v>
      </c>
      <c r="B76" s="92" t="s">
        <v>762</v>
      </c>
      <c r="C76" s="92" t="s">
        <v>284</v>
      </c>
      <c r="D76" s="93" t="s">
        <v>223</v>
      </c>
      <c r="E76" s="56" t="s">
        <v>823</v>
      </c>
      <c r="F76" s="92">
        <v>5000</v>
      </c>
      <c r="G76" s="65">
        <v>200</v>
      </c>
      <c r="H76" s="65" t="s">
        <v>323</v>
      </c>
      <c r="I76" s="65" t="s">
        <v>404</v>
      </c>
      <c r="J76" s="55">
        <v>45714</v>
      </c>
      <c r="K76" s="202" t="s">
        <v>858</v>
      </c>
      <c r="L76" s="203">
        <v>89028048148</v>
      </c>
      <c r="M76" s="204" t="s">
        <v>857</v>
      </c>
      <c r="N76" s="53" t="s">
        <v>852</v>
      </c>
      <c r="O76" s="92"/>
      <c r="P76" s="92">
        <v>5000</v>
      </c>
      <c r="Q76" s="57"/>
      <c r="R76" s="53" t="s">
        <v>417</v>
      </c>
      <c r="S76" s="94">
        <v>252500</v>
      </c>
      <c r="T76" s="61">
        <f t="shared" si="5"/>
        <v>1262500</v>
      </c>
    </row>
    <row r="77" spans="1:20" s="63" customFormat="1" ht="13.5" customHeight="1" x14ac:dyDescent="0.25">
      <c r="A77" s="65" t="s">
        <v>303</v>
      </c>
      <c r="B77" s="57" t="s">
        <v>777</v>
      </c>
      <c r="C77" s="57" t="s">
        <v>164</v>
      </c>
      <c r="D77" s="10" t="s">
        <v>306</v>
      </c>
      <c r="E77" s="167" t="s">
        <v>707</v>
      </c>
      <c r="F77" s="57">
        <v>17500</v>
      </c>
      <c r="G77" s="65">
        <v>700</v>
      </c>
      <c r="H77" s="65" t="s">
        <v>166</v>
      </c>
      <c r="I77" s="65" t="s">
        <v>404</v>
      </c>
      <c r="J77" s="55">
        <v>45715</v>
      </c>
      <c r="K77" s="99" t="s">
        <v>572</v>
      </c>
      <c r="L77" s="105">
        <v>89115583359</v>
      </c>
      <c r="M77" s="62" t="s">
        <v>571</v>
      </c>
      <c r="N77" s="179" t="s">
        <v>882</v>
      </c>
      <c r="O77" s="57">
        <v>17500</v>
      </c>
      <c r="P77" s="53"/>
      <c r="Q77" s="53"/>
      <c r="R77" s="168" t="s">
        <v>417</v>
      </c>
      <c r="S77" s="94">
        <v>48500</v>
      </c>
      <c r="T77" s="61">
        <f xml:space="preserve"> S77*(F77/1000)</f>
        <v>848750</v>
      </c>
    </row>
    <row r="78" spans="1:20" s="63" customFormat="1" ht="13.5" customHeight="1" x14ac:dyDescent="0.25">
      <c r="A78" s="65" t="s">
        <v>303</v>
      </c>
      <c r="B78" s="57" t="s">
        <v>778</v>
      </c>
      <c r="C78" s="57" t="s">
        <v>164</v>
      </c>
      <c r="D78" s="10" t="s">
        <v>306</v>
      </c>
      <c r="E78" s="167" t="s">
        <v>779</v>
      </c>
      <c r="F78" s="57">
        <v>17500</v>
      </c>
      <c r="G78" s="65">
        <v>700</v>
      </c>
      <c r="H78" s="65" t="s">
        <v>166</v>
      </c>
      <c r="I78" s="65" t="s">
        <v>404</v>
      </c>
      <c r="J78" s="55">
        <v>45715</v>
      </c>
      <c r="K78" s="99" t="s">
        <v>572</v>
      </c>
      <c r="L78" s="105">
        <v>89115583359</v>
      </c>
      <c r="M78" s="62" t="s">
        <v>571</v>
      </c>
      <c r="N78" s="179" t="s">
        <v>881</v>
      </c>
      <c r="O78" s="57">
        <v>17500</v>
      </c>
      <c r="P78" s="53"/>
      <c r="Q78" s="53"/>
      <c r="R78" s="168" t="s">
        <v>417</v>
      </c>
      <c r="S78" s="94">
        <v>48500</v>
      </c>
      <c r="T78" s="61">
        <f xml:space="preserve"> S78*(F78/1000)</f>
        <v>848750</v>
      </c>
    </row>
    <row r="79" spans="1:20" s="63" customFormat="1" ht="13.5" customHeight="1" x14ac:dyDescent="0.25">
      <c r="A79" s="65" t="s">
        <v>303</v>
      </c>
      <c r="B79" s="57" t="s">
        <v>784</v>
      </c>
      <c r="C79" s="57" t="s">
        <v>164</v>
      </c>
      <c r="D79" s="10" t="s">
        <v>306</v>
      </c>
      <c r="E79" s="167" t="s">
        <v>783</v>
      </c>
      <c r="F79" s="57">
        <v>17500</v>
      </c>
      <c r="G79" s="65">
        <v>700</v>
      </c>
      <c r="H79" s="65" t="s">
        <v>166</v>
      </c>
      <c r="I79" s="65" t="s">
        <v>404</v>
      </c>
      <c r="J79" s="55">
        <v>45715</v>
      </c>
      <c r="K79" s="99" t="s">
        <v>603</v>
      </c>
      <c r="L79" s="105">
        <v>89095563417</v>
      </c>
      <c r="M79" s="62" t="s">
        <v>602</v>
      </c>
      <c r="N79" s="179" t="s">
        <v>880</v>
      </c>
      <c r="O79" s="57">
        <v>17500</v>
      </c>
      <c r="P79" s="53"/>
      <c r="Q79" s="53"/>
      <c r="R79" s="168" t="s">
        <v>417</v>
      </c>
      <c r="S79" s="94">
        <v>48500</v>
      </c>
      <c r="T79" s="61">
        <f xml:space="preserve"> S79*(F79/1000)</f>
        <v>848750</v>
      </c>
    </row>
    <row r="80" spans="1:20" s="63" customFormat="1" ht="13.5" customHeight="1" x14ac:dyDescent="0.25">
      <c r="A80" s="65" t="s">
        <v>303</v>
      </c>
      <c r="B80" s="57" t="s">
        <v>785</v>
      </c>
      <c r="C80" s="57" t="s">
        <v>164</v>
      </c>
      <c r="D80" s="10" t="s">
        <v>306</v>
      </c>
      <c r="E80" s="167" t="s">
        <v>764</v>
      </c>
      <c r="F80" s="57">
        <v>17500</v>
      </c>
      <c r="G80" s="65">
        <v>700</v>
      </c>
      <c r="H80" s="65" t="s">
        <v>166</v>
      </c>
      <c r="I80" s="65" t="s">
        <v>404</v>
      </c>
      <c r="J80" s="55">
        <v>45715</v>
      </c>
      <c r="K80" s="99" t="s">
        <v>603</v>
      </c>
      <c r="L80" s="105">
        <v>89095563417</v>
      </c>
      <c r="M80" s="62" t="s">
        <v>602</v>
      </c>
      <c r="N80" s="179" t="s">
        <v>879</v>
      </c>
      <c r="O80" s="57">
        <v>17500</v>
      </c>
      <c r="P80" s="53"/>
      <c r="Q80" s="53"/>
      <c r="R80" s="168" t="s">
        <v>417</v>
      </c>
      <c r="S80" s="94">
        <v>48500</v>
      </c>
      <c r="T80" s="61">
        <f xml:space="preserve"> S80*(F80/1000)</f>
        <v>848750</v>
      </c>
    </row>
    <row r="81" spans="1:20" s="63" customFormat="1" ht="13.5" customHeight="1" x14ac:dyDescent="0.25">
      <c r="A81" s="65" t="s">
        <v>316</v>
      </c>
      <c r="B81" s="57" t="s">
        <v>594</v>
      </c>
      <c r="C81" s="57" t="s">
        <v>796</v>
      </c>
      <c r="D81" s="93" t="s">
        <v>293</v>
      </c>
      <c r="E81" s="56" t="s">
        <v>797</v>
      </c>
      <c r="F81" s="92">
        <v>15840</v>
      </c>
      <c r="G81" s="65">
        <v>88</v>
      </c>
      <c r="H81" s="65" t="s">
        <v>887</v>
      </c>
      <c r="I81" s="65" t="s">
        <v>404</v>
      </c>
      <c r="J81" s="55">
        <v>45716</v>
      </c>
      <c r="K81" s="98" t="s">
        <v>875</v>
      </c>
      <c r="L81" s="108" t="s">
        <v>876</v>
      </c>
      <c r="M81" s="98" t="s">
        <v>874</v>
      </c>
      <c r="N81" s="162"/>
      <c r="O81" s="92"/>
      <c r="P81" s="57"/>
      <c r="Q81" s="92">
        <v>15840</v>
      </c>
      <c r="R81" s="53" t="s">
        <v>417</v>
      </c>
      <c r="S81" s="94">
        <v>335000</v>
      </c>
      <c r="T81" s="61">
        <f t="shared" si="5"/>
        <v>5306400</v>
      </c>
    </row>
    <row r="82" spans="1:20" s="63" customFormat="1" ht="13.5" customHeight="1" x14ac:dyDescent="0.25">
      <c r="A82" s="65" t="s">
        <v>790</v>
      </c>
      <c r="B82" s="57" t="s">
        <v>830</v>
      </c>
      <c r="C82" s="57" t="s">
        <v>788</v>
      </c>
      <c r="D82" s="93" t="s">
        <v>157</v>
      </c>
      <c r="E82" s="189" t="s">
        <v>805</v>
      </c>
      <c r="F82" s="92">
        <v>200</v>
      </c>
      <c r="G82" s="65">
        <v>1</v>
      </c>
      <c r="H82" s="65" t="s">
        <v>789</v>
      </c>
      <c r="I82" s="65" t="s">
        <v>404</v>
      </c>
      <c r="J82" s="55">
        <v>45716</v>
      </c>
      <c r="K82" s="166" t="s">
        <v>884</v>
      </c>
      <c r="L82" s="166" t="s">
        <v>885</v>
      </c>
      <c r="M82" s="53" t="s">
        <v>883</v>
      </c>
      <c r="N82" s="199"/>
      <c r="O82" s="53"/>
      <c r="P82" s="57"/>
      <c r="Q82" s="92">
        <v>200</v>
      </c>
      <c r="R82" s="53" t="s">
        <v>417</v>
      </c>
      <c r="S82" s="94">
        <v>81500</v>
      </c>
      <c r="T82" s="61">
        <f t="shared" si="5"/>
        <v>16300</v>
      </c>
    </row>
    <row r="83" spans="1:20" s="63" customFormat="1" ht="13.5" customHeight="1" x14ac:dyDescent="0.25">
      <c r="A83" s="65" t="s">
        <v>790</v>
      </c>
      <c r="B83" s="57" t="s">
        <v>830</v>
      </c>
      <c r="C83" s="57" t="s">
        <v>788</v>
      </c>
      <c r="D83" s="93" t="s">
        <v>157</v>
      </c>
      <c r="E83" s="189" t="s">
        <v>831</v>
      </c>
      <c r="F83" s="92">
        <v>400</v>
      </c>
      <c r="G83" s="65">
        <v>2</v>
      </c>
      <c r="H83" s="65" t="s">
        <v>789</v>
      </c>
      <c r="I83" s="65" t="s">
        <v>404</v>
      </c>
      <c r="J83" s="55">
        <v>45716</v>
      </c>
      <c r="K83" s="166" t="s">
        <v>884</v>
      </c>
      <c r="L83" s="166" t="s">
        <v>885</v>
      </c>
      <c r="M83" s="53" t="s">
        <v>883</v>
      </c>
      <c r="N83" s="199"/>
      <c r="O83" s="53"/>
      <c r="P83" s="57"/>
      <c r="Q83" s="92">
        <v>400</v>
      </c>
      <c r="R83" s="53" t="s">
        <v>417</v>
      </c>
      <c r="S83" s="94">
        <v>81500</v>
      </c>
      <c r="T83" s="61">
        <f t="shared" si="5"/>
        <v>32600</v>
      </c>
    </row>
    <row r="84" spans="1:20" s="63" customFormat="1" ht="13.5" customHeight="1" x14ac:dyDescent="0.25">
      <c r="A84" s="65" t="s">
        <v>790</v>
      </c>
      <c r="B84" s="57" t="s">
        <v>830</v>
      </c>
      <c r="C84" s="57" t="s">
        <v>788</v>
      </c>
      <c r="D84" s="93" t="s">
        <v>157</v>
      </c>
      <c r="E84" s="189" t="s">
        <v>832</v>
      </c>
      <c r="F84" s="92">
        <v>7000</v>
      </c>
      <c r="G84" s="65">
        <v>35</v>
      </c>
      <c r="H84" s="65" t="s">
        <v>789</v>
      </c>
      <c r="I84" s="65" t="s">
        <v>404</v>
      </c>
      <c r="J84" s="55">
        <v>45716</v>
      </c>
      <c r="K84" s="166" t="s">
        <v>884</v>
      </c>
      <c r="L84" s="166" t="s">
        <v>885</v>
      </c>
      <c r="M84" s="53" t="s">
        <v>883</v>
      </c>
      <c r="N84" s="199"/>
      <c r="O84" s="53"/>
      <c r="P84" s="57"/>
      <c r="Q84" s="92">
        <v>7000</v>
      </c>
      <c r="R84" s="53" t="s">
        <v>417</v>
      </c>
      <c r="S84" s="94">
        <v>81500</v>
      </c>
      <c r="T84" s="61">
        <f t="shared" si="5"/>
        <v>570500</v>
      </c>
    </row>
    <row r="85" spans="1:20" s="63" customFormat="1" ht="13.5" customHeight="1" x14ac:dyDescent="0.25">
      <c r="A85" s="65" t="s">
        <v>790</v>
      </c>
      <c r="B85" s="57" t="s">
        <v>830</v>
      </c>
      <c r="C85" s="57" t="s">
        <v>788</v>
      </c>
      <c r="D85" s="93" t="s">
        <v>157</v>
      </c>
      <c r="E85" s="189" t="s">
        <v>833</v>
      </c>
      <c r="F85" s="92">
        <v>6800</v>
      </c>
      <c r="G85" s="65">
        <v>34</v>
      </c>
      <c r="H85" s="65" t="s">
        <v>789</v>
      </c>
      <c r="I85" s="65" t="s">
        <v>404</v>
      </c>
      <c r="J85" s="55">
        <v>45716</v>
      </c>
      <c r="K85" s="166" t="s">
        <v>884</v>
      </c>
      <c r="L85" s="166" t="s">
        <v>885</v>
      </c>
      <c r="M85" s="53" t="s">
        <v>883</v>
      </c>
      <c r="N85" s="199"/>
      <c r="O85" s="53"/>
      <c r="P85" s="57"/>
      <c r="Q85" s="92">
        <v>6800</v>
      </c>
      <c r="R85" s="53" t="s">
        <v>417</v>
      </c>
      <c r="S85" s="94">
        <v>81500</v>
      </c>
      <c r="T85" s="61">
        <f t="shared" si="5"/>
        <v>554200</v>
      </c>
    </row>
    <row r="86" spans="1:20" s="63" customFormat="1" ht="13.5" customHeight="1" x14ac:dyDescent="0.25">
      <c r="A86" s="65" t="s">
        <v>790</v>
      </c>
      <c r="B86" s="57" t="s">
        <v>830</v>
      </c>
      <c r="C86" s="57" t="s">
        <v>788</v>
      </c>
      <c r="D86" s="93" t="s">
        <v>157</v>
      </c>
      <c r="E86" s="189" t="s">
        <v>329</v>
      </c>
      <c r="F86" s="92">
        <v>2000</v>
      </c>
      <c r="G86" s="65">
        <v>10</v>
      </c>
      <c r="H86" s="65" t="s">
        <v>789</v>
      </c>
      <c r="I86" s="65" t="s">
        <v>404</v>
      </c>
      <c r="J86" s="55">
        <v>45716</v>
      </c>
      <c r="K86" s="166" t="s">
        <v>884</v>
      </c>
      <c r="L86" s="166" t="s">
        <v>885</v>
      </c>
      <c r="M86" s="53" t="s">
        <v>883</v>
      </c>
      <c r="N86" s="199"/>
      <c r="O86" s="53"/>
      <c r="P86" s="57"/>
      <c r="Q86" s="92">
        <v>2000</v>
      </c>
      <c r="R86" s="53" t="s">
        <v>417</v>
      </c>
      <c r="S86" s="94">
        <v>81500</v>
      </c>
      <c r="T86" s="61">
        <f t="shared" si="5"/>
        <v>163000</v>
      </c>
    </row>
    <row r="87" spans="1:20" s="63" customFormat="1" ht="13.5" customHeight="1" x14ac:dyDescent="0.25">
      <c r="A87" s="65" t="s">
        <v>790</v>
      </c>
      <c r="B87" s="57" t="s">
        <v>830</v>
      </c>
      <c r="C87" s="57" t="s">
        <v>788</v>
      </c>
      <c r="D87" s="93" t="s">
        <v>157</v>
      </c>
      <c r="E87" s="189" t="s">
        <v>330</v>
      </c>
      <c r="F87" s="92">
        <v>600</v>
      </c>
      <c r="G87" s="65">
        <v>3</v>
      </c>
      <c r="H87" s="65" t="s">
        <v>789</v>
      </c>
      <c r="I87" s="65" t="s">
        <v>404</v>
      </c>
      <c r="J87" s="55">
        <v>45716</v>
      </c>
      <c r="K87" s="166" t="s">
        <v>884</v>
      </c>
      <c r="L87" s="166" t="s">
        <v>885</v>
      </c>
      <c r="M87" s="53" t="s">
        <v>883</v>
      </c>
      <c r="N87" s="199"/>
      <c r="O87" s="53"/>
      <c r="P87" s="57"/>
      <c r="Q87" s="92">
        <v>600</v>
      </c>
      <c r="R87" s="53" t="s">
        <v>417</v>
      </c>
      <c r="S87" s="94">
        <v>81500</v>
      </c>
      <c r="T87" s="61">
        <f t="shared" si="5"/>
        <v>48900</v>
      </c>
    </row>
    <row r="88" spans="1:20" s="63" customFormat="1" ht="13.5" customHeight="1" x14ac:dyDescent="0.25">
      <c r="A88" s="65" t="s">
        <v>790</v>
      </c>
      <c r="B88" s="57" t="s">
        <v>830</v>
      </c>
      <c r="C88" s="57" t="s">
        <v>788</v>
      </c>
      <c r="D88" s="93" t="s">
        <v>157</v>
      </c>
      <c r="E88" s="189" t="s">
        <v>834</v>
      </c>
      <c r="F88" s="92">
        <v>600</v>
      </c>
      <c r="G88" s="65">
        <v>3</v>
      </c>
      <c r="H88" s="65" t="s">
        <v>789</v>
      </c>
      <c r="I88" s="65" t="s">
        <v>404</v>
      </c>
      <c r="J88" s="55">
        <v>45716</v>
      </c>
      <c r="K88" s="166" t="s">
        <v>884</v>
      </c>
      <c r="L88" s="166" t="s">
        <v>885</v>
      </c>
      <c r="M88" s="53" t="s">
        <v>883</v>
      </c>
      <c r="N88" s="199"/>
      <c r="O88" s="53"/>
      <c r="P88" s="57"/>
      <c r="Q88" s="92">
        <v>600</v>
      </c>
      <c r="R88" s="53" t="s">
        <v>417</v>
      </c>
      <c r="S88" s="94">
        <v>81500</v>
      </c>
      <c r="T88" s="61">
        <f t="shared" si="5"/>
        <v>48900</v>
      </c>
    </row>
    <row r="89" spans="1:20" s="63" customFormat="1" ht="13.5" customHeight="1" x14ac:dyDescent="0.25">
      <c r="A89" s="65" t="s">
        <v>303</v>
      </c>
      <c r="B89" s="57" t="s">
        <v>800</v>
      </c>
      <c r="C89" s="57" t="s">
        <v>164</v>
      </c>
      <c r="D89" s="10" t="s">
        <v>306</v>
      </c>
      <c r="E89" s="167" t="s">
        <v>801</v>
      </c>
      <c r="F89" s="57">
        <v>17500</v>
      </c>
      <c r="G89" s="65">
        <v>700</v>
      </c>
      <c r="H89" s="65" t="s">
        <v>166</v>
      </c>
      <c r="I89" s="65" t="s">
        <v>404</v>
      </c>
      <c r="J89" s="55">
        <v>45716</v>
      </c>
      <c r="K89" s="99" t="s">
        <v>572</v>
      </c>
      <c r="L89" s="105">
        <v>89115583359</v>
      </c>
      <c r="M89" s="62" t="s">
        <v>571</v>
      </c>
      <c r="N89" s="179" t="s">
        <v>894</v>
      </c>
      <c r="O89" s="57">
        <v>17500</v>
      </c>
      <c r="P89" s="53"/>
      <c r="Q89" s="53"/>
      <c r="R89" s="168" t="s">
        <v>417</v>
      </c>
      <c r="S89" s="94">
        <v>48500</v>
      </c>
      <c r="T89" s="61">
        <f t="shared" si="5"/>
        <v>848750</v>
      </c>
    </row>
    <row r="90" spans="1:20" s="63" customFormat="1" ht="13.5" customHeight="1" x14ac:dyDescent="0.25">
      <c r="A90" s="65" t="s">
        <v>303</v>
      </c>
      <c r="B90" s="57" t="s">
        <v>813</v>
      </c>
      <c r="C90" s="57" t="s">
        <v>164</v>
      </c>
      <c r="D90" s="10" t="s">
        <v>306</v>
      </c>
      <c r="E90" s="167" t="s">
        <v>780</v>
      </c>
      <c r="F90" s="57">
        <v>17500</v>
      </c>
      <c r="G90" s="65">
        <v>700</v>
      </c>
      <c r="H90" s="65" t="s">
        <v>166</v>
      </c>
      <c r="I90" s="65" t="s">
        <v>404</v>
      </c>
      <c r="J90" s="55">
        <v>45716</v>
      </c>
      <c r="K90" s="99" t="s">
        <v>572</v>
      </c>
      <c r="L90" s="105">
        <v>89115583359</v>
      </c>
      <c r="M90" s="62" t="s">
        <v>571</v>
      </c>
      <c r="N90" s="179" t="s">
        <v>895</v>
      </c>
      <c r="O90" s="57">
        <v>17500</v>
      </c>
      <c r="P90" s="53"/>
      <c r="Q90" s="53"/>
      <c r="R90" s="168" t="s">
        <v>417</v>
      </c>
      <c r="S90" s="94">
        <v>48500</v>
      </c>
      <c r="T90" s="61">
        <f t="shared" si="5"/>
        <v>848750</v>
      </c>
    </row>
    <row r="91" spans="1:20" s="63" customFormat="1" ht="13.5" customHeight="1" x14ac:dyDescent="0.25">
      <c r="A91" s="65" t="s">
        <v>303</v>
      </c>
      <c r="B91" s="57" t="s">
        <v>828</v>
      </c>
      <c r="C91" s="57" t="s">
        <v>164</v>
      </c>
      <c r="D91" s="10" t="s">
        <v>306</v>
      </c>
      <c r="E91" s="167" t="s">
        <v>829</v>
      </c>
      <c r="F91" s="57">
        <v>17500</v>
      </c>
      <c r="G91" s="65">
        <v>700</v>
      </c>
      <c r="H91" s="65" t="s">
        <v>166</v>
      </c>
      <c r="I91" s="65" t="s">
        <v>404</v>
      </c>
      <c r="J91" s="55">
        <v>45716</v>
      </c>
      <c r="K91" s="99" t="s">
        <v>603</v>
      </c>
      <c r="L91" s="105">
        <v>89095563417</v>
      </c>
      <c r="M91" s="62" t="s">
        <v>602</v>
      </c>
      <c r="N91" s="179" t="s">
        <v>896</v>
      </c>
      <c r="O91" s="57">
        <v>17500</v>
      </c>
      <c r="P91" s="53"/>
      <c r="Q91" s="53"/>
      <c r="R91" s="168" t="s">
        <v>417</v>
      </c>
      <c r="S91" s="94">
        <v>48500</v>
      </c>
      <c r="T91" s="61">
        <f t="shared" si="5"/>
        <v>848750</v>
      </c>
    </row>
    <row r="92" spans="1:20" s="63" customFormat="1" ht="13.5" customHeight="1" x14ac:dyDescent="0.25">
      <c r="A92" s="65" t="s">
        <v>303</v>
      </c>
      <c r="B92" s="57" t="s">
        <v>859</v>
      </c>
      <c r="C92" s="57" t="s">
        <v>164</v>
      </c>
      <c r="D92" s="10" t="s">
        <v>306</v>
      </c>
      <c r="E92" s="167" t="s">
        <v>822</v>
      </c>
      <c r="F92" s="57">
        <v>17500</v>
      </c>
      <c r="G92" s="65">
        <v>700</v>
      </c>
      <c r="H92" s="65" t="s">
        <v>166</v>
      </c>
      <c r="I92" s="65" t="s">
        <v>404</v>
      </c>
      <c r="J92" s="55">
        <v>45716</v>
      </c>
      <c r="K92" s="99" t="s">
        <v>603</v>
      </c>
      <c r="L92" s="105">
        <v>89095563417</v>
      </c>
      <c r="M92" s="62" t="s">
        <v>602</v>
      </c>
      <c r="N92" s="179" t="s">
        <v>897</v>
      </c>
      <c r="O92" s="57">
        <v>17500</v>
      </c>
      <c r="P92" s="53"/>
      <c r="Q92" s="53"/>
      <c r="R92" s="168" t="s">
        <v>417</v>
      </c>
      <c r="S92" s="94">
        <v>48500</v>
      </c>
      <c r="T92" s="61">
        <f t="shared" si="5"/>
        <v>848750</v>
      </c>
    </row>
    <row r="93" spans="1:20" s="63" customFormat="1" ht="13.5" customHeight="1" x14ac:dyDescent="0.25">
      <c r="A93" s="65" t="s">
        <v>696</v>
      </c>
      <c r="B93" s="92" t="s">
        <v>827</v>
      </c>
      <c r="C93" s="92" t="s">
        <v>284</v>
      </c>
      <c r="D93" s="93" t="s">
        <v>223</v>
      </c>
      <c r="E93" s="56" t="s">
        <v>824</v>
      </c>
      <c r="F93" s="92">
        <v>5000</v>
      </c>
      <c r="G93" s="65">
        <v>200</v>
      </c>
      <c r="H93" s="65" t="s">
        <v>323</v>
      </c>
      <c r="I93" s="65" t="s">
        <v>404</v>
      </c>
      <c r="J93" s="55">
        <v>45716</v>
      </c>
      <c r="K93" s="206" t="s">
        <v>694</v>
      </c>
      <c r="L93" s="203" t="s">
        <v>695</v>
      </c>
      <c r="M93" s="203" t="s">
        <v>693</v>
      </c>
      <c r="N93" s="53" t="s">
        <v>870</v>
      </c>
      <c r="O93" s="92"/>
      <c r="P93" s="92">
        <v>5000</v>
      </c>
      <c r="Q93" s="57"/>
      <c r="R93" s="53" t="s">
        <v>417</v>
      </c>
      <c r="S93" s="94">
        <v>252500</v>
      </c>
      <c r="T93" s="61">
        <f t="shared" si="5"/>
        <v>1262500</v>
      </c>
    </row>
    <row r="94" spans="1:20" s="63" customFormat="1" ht="13.5" customHeight="1" x14ac:dyDescent="0.25">
      <c r="A94" s="65" t="s">
        <v>696</v>
      </c>
      <c r="B94" s="92" t="s">
        <v>827</v>
      </c>
      <c r="C94" s="92" t="s">
        <v>284</v>
      </c>
      <c r="D94" s="93" t="s">
        <v>223</v>
      </c>
      <c r="E94" s="56" t="s">
        <v>825</v>
      </c>
      <c r="F94" s="92">
        <v>5000</v>
      </c>
      <c r="G94" s="65">
        <v>200</v>
      </c>
      <c r="H94" s="65" t="s">
        <v>323</v>
      </c>
      <c r="I94" s="65" t="s">
        <v>404</v>
      </c>
      <c r="J94" s="55">
        <v>45716</v>
      </c>
      <c r="K94" s="206" t="s">
        <v>694</v>
      </c>
      <c r="L94" s="203" t="s">
        <v>695</v>
      </c>
      <c r="M94" s="203" t="s">
        <v>693</v>
      </c>
      <c r="N94" s="53" t="s">
        <v>871</v>
      </c>
      <c r="O94" s="92"/>
      <c r="P94" s="92">
        <v>5000</v>
      </c>
      <c r="Q94" s="57"/>
      <c r="R94" s="53" t="s">
        <v>417</v>
      </c>
      <c r="S94" s="94">
        <v>252500</v>
      </c>
      <c r="T94" s="61">
        <f t="shared" si="5"/>
        <v>1262500</v>
      </c>
    </row>
    <row r="95" spans="1:20" s="63" customFormat="1" ht="13.5" customHeight="1" x14ac:dyDescent="0.25">
      <c r="A95" s="65" t="s">
        <v>696</v>
      </c>
      <c r="B95" s="92" t="s">
        <v>827</v>
      </c>
      <c r="C95" s="92" t="s">
        <v>284</v>
      </c>
      <c r="D95" s="93" t="s">
        <v>223</v>
      </c>
      <c r="E95" s="56" t="s">
        <v>826</v>
      </c>
      <c r="F95" s="92">
        <v>5000</v>
      </c>
      <c r="G95" s="65">
        <v>200</v>
      </c>
      <c r="H95" s="65" t="s">
        <v>323</v>
      </c>
      <c r="I95" s="65" t="s">
        <v>404</v>
      </c>
      <c r="J95" s="55">
        <v>45716</v>
      </c>
      <c r="K95" s="206" t="s">
        <v>694</v>
      </c>
      <c r="L95" s="203" t="s">
        <v>695</v>
      </c>
      <c r="M95" s="203" t="s">
        <v>693</v>
      </c>
      <c r="N95" s="53" t="s">
        <v>872</v>
      </c>
      <c r="O95" s="92"/>
      <c r="P95" s="92">
        <v>5000</v>
      </c>
      <c r="Q95" s="57"/>
      <c r="R95" s="53" t="s">
        <v>417</v>
      </c>
      <c r="S95" s="94">
        <v>252500</v>
      </c>
      <c r="T95" s="61">
        <f t="shared" si="5"/>
        <v>1262500</v>
      </c>
    </row>
    <row r="96" spans="1:20" s="63" customFormat="1" ht="13.5" customHeight="1" x14ac:dyDescent="0.25">
      <c r="A96" s="65" t="s">
        <v>696</v>
      </c>
      <c r="B96" s="92" t="s">
        <v>827</v>
      </c>
      <c r="C96" s="92" t="s">
        <v>284</v>
      </c>
      <c r="D96" s="93" t="s">
        <v>223</v>
      </c>
      <c r="E96" s="56" t="s">
        <v>838</v>
      </c>
      <c r="F96" s="92">
        <v>5000</v>
      </c>
      <c r="G96" s="65">
        <v>200</v>
      </c>
      <c r="H96" s="65" t="s">
        <v>323</v>
      </c>
      <c r="I96" s="65" t="s">
        <v>404</v>
      </c>
      <c r="J96" s="55">
        <v>45716</v>
      </c>
      <c r="K96" s="206" t="s">
        <v>694</v>
      </c>
      <c r="L96" s="203" t="s">
        <v>695</v>
      </c>
      <c r="M96" s="203" t="s">
        <v>693</v>
      </c>
      <c r="N96" s="53" t="s">
        <v>873</v>
      </c>
      <c r="O96" s="92"/>
      <c r="P96" s="92">
        <v>5000</v>
      </c>
      <c r="Q96" s="57"/>
      <c r="R96" s="53" t="s">
        <v>417</v>
      </c>
      <c r="S96" s="94">
        <v>252500</v>
      </c>
      <c r="T96" s="61">
        <f t="shared" si="5"/>
        <v>1262500</v>
      </c>
    </row>
    <row r="97" spans="1:20" s="63" customFormat="1" ht="13.5" customHeight="1" x14ac:dyDescent="0.25">
      <c r="A97" s="65" t="s">
        <v>281</v>
      </c>
      <c r="B97" s="57" t="s">
        <v>886</v>
      </c>
      <c r="C97" s="57" t="s">
        <v>676</v>
      </c>
      <c r="D97" s="93" t="s">
        <v>223</v>
      </c>
      <c r="E97" s="56" t="s">
        <v>677</v>
      </c>
      <c r="F97" s="92">
        <v>2000</v>
      </c>
      <c r="G97" s="65">
        <v>80</v>
      </c>
      <c r="H97" s="65" t="s">
        <v>281</v>
      </c>
      <c r="I97" s="65" t="s">
        <v>404</v>
      </c>
      <c r="J97" s="55">
        <v>45716</v>
      </c>
      <c r="K97" s="98" t="s">
        <v>893</v>
      </c>
      <c r="L97" s="108">
        <v>89220628000</v>
      </c>
      <c r="M97" s="98" t="s">
        <v>892</v>
      </c>
      <c r="N97" s="162"/>
      <c r="O97" s="92"/>
      <c r="P97" s="92">
        <v>2000</v>
      </c>
      <c r="Q97" s="53"/>
      <c r="R97" s="53" t="s">
        <v>417</v>
      </c>
      <c r="S97" s="94">
        <v>255000</v>
      </c>
      <c r="T97" s="61">
        <f t="shared" si="5"/>
        <v>510000</v>
      </c>
    </row>
    <row r="98" spans="1:20" s="63" customFormat="1" ht="13.5" customHeight="1" x14ac:dyDescent="0.25">
      <c r="A98" s="65" t="s">
        <v>281</v>
      </c>
      <c r="B98" s="57" t="s">
        <v>886</v>
      </c>
      <c r="C98" s="57" t="s">
        <v>676</v>
      </c>
      <c r="D98" s="93" t="s">
        <v>252</v>
      </c>
      <c r="E98" s="56" t="s">
        <v>678</v>
      </c>
      <c r="F98" s="92">
        <v>800</v>
      </c>
      <c r="G98" s="65">
        <v>40</v>
      </c>
      <c r="H98" s="65" t="s">
        <v>281</v>
      </c>
      <c r="I98" s="65" t="s">
        <v>404</v>
      </c>
      <c r="J98" s="55">
        <v>45716</v>
      </c>
      <c r="K98" s="98" t="s">
        <v>893</v>
      </c>
      <c r="L98" s="108">
        <v>89220628000</v>
      </c>
      <c r="M98" s="98" t="s">
        <v>892</v>
      </c>
      <c r="N98" s="139"/>
      <c r="O98" s="92"/>
      <c r="P98" s="92">
        <v>800</v>
      </c>
      <c r="Q98" s="53"/>
      <c r="R98" s="53" t="s">
        <v>417</v>
      </c>
      <c r="S98" s="94">
        <v>87000</v>
      </c>
      <c r="T98" s="61">
        <f t="shared" si="5"/>
        <v>69600</v>
      </c>
    </row>
    <row r="99" spans="1:20" s="63" customFormat="1" ht="13.5" customHeight="1" x14ac:dyDescent="0.25">
      <c r="A99" s="65" t="s">
        <v>281</v>
      </c>
      <c r="B99" s="57" t="s">
        <v>886</v>
      </c>
      <c r="C99" s="57" t="s">
        <v>676</v>
      </c>
      <c r="D99" s="93" t="s">
        <v>810</v>
      </c>
      <c r="E99" s="56" t="s">
        <v>801</v>
      </c>
      <c r="F99" s="92">
        <v>3600</v>
      </c>
      <c r="G99" s="65">
        <v>18</v>
      </c>
      <c r="H99" s="65" t="s">
        <v>281</v>
      </c>
      <c r="I99" s="65" t="s">
        <v>404</v>
      </c>
      <c r="J99" s="55">
        <v>45716</v>
      </c>
      <c r="K99" s="98" t="s">
        <v>893</v>
      </c>
      <c r="L99" s="108">
        <v>89220628000</v>
      </c>
      <c r="M99" s="98" t="s">
        <v>892</v>
      </c>
      <c r="N99" s="139"/>
      <c r="O99" s="92"/>
      <c r="P99" s="57"/>
      <c r="Q99" s="92">
        <v>3600</v>
      </c>
      <c r="R99" s="53" t="s">
        <v>417</v>
      </c>
      <c r="S99" s="94">
        <v>455000</v>
      </c>
      <c r="T99" s="61">
        <f t="shared" si="5"/>
        <v>1638000</v>
      </c>
    </row>
    <row r="100" spans="1:20" ht="18.75" x14ac:dyDescent="0.3">
      <c r="A100" s="159" t="s">
        <v>15</v>
      </c>
      <c r="B100" s="101">
        <f>SUM($F$4:$F$160)/1000</f>
        <v>1043.585</v>
      </c>
      <c r="C100" s="54" t="s">
        <v>14</v>
      </c>
      <c r="S100" s="160"/>
      <c r="T100" s="236">
        <f>SUM(T4:T99)</f>
        <v>95473470</v>
      </c>
    </row>
    <row r="101" spans="1:20" ht="18.75" x14ac:dyDescent="0.3">
      <c r="A101" s="110" t="s">
        <v>16</v>
      </c>
      <c r="B101" s="102">
        <f>$B$102+$B$103+$B$104</f>
        <v>1043.585</v>
      </c>
      <c r="C101" s="1" t="s">
        <v>14</v>
      </c>
      <c r="E101" s="175"/>
      <c r="F101" s="154" t="s">
        <v>321</v>
      </c>
      <c r="G101" s="154"/>
    </row>
    <row r="102" spans="1:20" ht="18.75" x14ac:dyDescent="0.3">
      <c r="A102" s="111" t="s">
        <v>17</v>
      </c>
      <c r="B102" s="100">
        <f>SUM($O$4:$O$160)/1000</f>
        <v>709.72500000000002</v>
      </c>
      <c r="C102" s="2" t="s">
        <v>14</v>
      </c>
      <c r="D102" s="184"/>
      <c r="E102" s="188"/>
      <c r="F102" s="154" t="s">
        <v>319</v>
      </c>
      <c r="G102" s="154"/>
    </row>
    <row r="103" spans="1:20" ht="18.75" x14ac:dyDescent="0.3">
      <c r="A103" s="111" t="s">
        <v>153</v>
      </c>
      <c r="B103" s="100">
        <f>SUM($P$4:$P$160)/1000</f>
        <v>152.96</v>
      </c>
      <c r="C103" s="2" t="s">
        <v>14</v>
      </c>
      <c r="E103" s="177"/>
      <c r="F103" s="154" t="s">
        <v>318</v>
      </c>
      <c r="G103" s="154"/>
    </row>
    <row r="104" spans="1:20" ht="18.75" x14ac:dyDescent="0.3">
      <c r="A104" s="111" t="s">
        <v>24</v>
      </c>
      <c r="B104" s="103">
        <f>SUM($Q$4:$Q$160)/1000</f>
        <v>180.9</v>
      </c>
      <c r="C104" s="2" t="s">
        <v>14</v>
      </c>
      <c r="E104" s="178"/>
      <c r="F104" s="154" t="s">
        <v>325</v>
      </c>
    </row>
    <row r="105" spans="1:20" ht="19.5" thickBot="1" x14ac:dyDescent="0.35">
      <c r="A105" s="112" t="s">
        <v>20</v>
      </c>
      <c r="B105" s="104">
        <f>$B$100-$B$101</f>
        <v>0</v>
      </c>
      <c r="C105" s="3" t="s">
        <v>14</v>
      </c>
    </row>
  </sheetData>
  <sheetProtection formatCells="0" formatColumns="0" formatRows="0" insertColumns="0" insertRows="0" insertHyperlinks="0" deleteColumns="0" deleteRows="0" sort="0" autoFilter="0" pivotTables="0"/>
  <autoFilter ref="D1:D105" xr:uid="{00000000-0009-0000-0000-00000A000000}"/>
  <mergeCells count="12">
    <mergeCell ref="R2:R3"/>
    <mergeCell ref="A2:A3"/>
    <mergeCell ref="B2:B3"/>
    <mergeCell ref="C2:C3"/>
    <mergeCell ref="D2:D3"/>
    <mergeCell ref="E2:E3"/>
    <mergeCell ref="F2:G2"/>
    <mergeCell ref="H2:H3"/>
    <mergeCell ref="I2:I3"/>
    <mergeCell ref="J2:J3"/>
    <mergeCell ref="K2:M2"/>
    <mergeCell ref="O2:Q2"/>
  </mergeCells>
  <phoneticPr fontId="119" type="noConversion"/>
  <dataValidations count="1">
    <dataValidation type="list" allowBlank="1" showInputMessage="1" showErrorMessage="1" sqref="D100" xr:uid="{00000000-0002-0000-0A00-000000000000}">
      <formula1>$E$100:$E$116</formula1>
    </dataValidation>
  </dataValidations>
  <pageMargins left="0.7" right="0.7" top="0.75" bottom="0.75" header="0.3" footer="0.3"/>
  <pageSetup paperSize="9" scale="23" orientation="landscape" r:id="rId1"/>
  <colBreaks count="1" manualBreakCount="1">
    <brk id="1" max="87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1000000}">
          <x14:formula1>
            <xm:f>справочник!$E$2:$E$172</xm:f>
          </x14:formula1>
          <xm:sqref>D4:D99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T96"/>
  <sheetViews>
    <sheetView zoomScale="70" zoomScaleNormal="70" zoomScaleSheetLayoutView="70" workbookViewId="0">
      <pane ySplit="3" topLeftCell="A61" activePane="bottomLeft" state="frozen"/>
      <selection pane="bottomLeft" activeCell="A5" sqref="A5"/>
    </sheetView>
  </sheetViews>
  <sheetFormatPr defaultRowHeight="15" x14ac:dyDescent="0.25"/>
  <cols>
    <col min="1" max="1" width="18" style="113" customWidth="1"/>
    <col min="2" max="2" width="25.42578125" customWidth="1"/>
    <col min="3" max="3" width="19.7109375" bestFit="1" customWidth="1"/>
    <col min="4" max="4" width="39" bestFit="1" customWidth="1"/>
    <col min="5" max="5" width="17.5703125" style="174" customWidth="1"/>
    <col min="6" max="6" width="13" bestFit="1" customWidth="1"/>
    <col min="7" max="7" width="15.7109375" customWidth="1"/>
    <col min="8" max="8" width="20" bestFit="1" customWidth="1"/>
    <col min="9" max="9" width="17.42578125" bestFit="1" customWidth="1"/>
    <col min="10" max="10" width="16.42578125" customWidth="1"/>
    <col min="11" max="11" width="25.7109375" customWidth="1"/>
    <col min="12" max="12" width="27.140625" bestFit="1" customWidth="1"/>
    <col min="13" max="13" width="23.5703125" customWidth="1"/>
    <col min="14" max="14" width="26.42578125" style="140" customWidth="1"/>
    <col min="15" max="15" width="9.85546875" customWidth="1"/>
    <col min="16" max="16" width="10.42578125" customWidth="1"/>
    <col min="17" max="17" width="10.28515625" customWidth="1"/>
    <col min="18" max="18" width="7.5703125" customWidth="1"/>
    <col min="19" max="19" width="21.140625" customWidth="1"/>
    <col min="20" max="20" width="17.28515625" customWidth="1"/>
    <col min="21" max="21" width="15.42578125" customWidth="1"/>
  </cols>
  <sheetData>
    <row r="1" spans="1:20" s="59" customFormat="1" ht="17.25" x14ac:dyDescent="0.3">
      <c r="A1" s="109"/>
      <c r="B1" s="58"/>
      <c r="C1" s="66">
        <v>45658</v>
      </c>
      <c r="D1" s="58"/>
      <c r="E1" s="173"/>
      <c r="F1" s="58"/>
      <c r="H1" s="58"/>
      <c r="I1" s="58"/>
      <c r="J1" s="58"/>
      <c r="K1" s="60"/>
      <c r="L1" s="60"/>
      <c r="M1" s="60"/>
      <c r="N1" s="106"/>
      <c r="O1" s="60"/>
      <c r="P1" s="60"/>
      <c r="Q1" s="60"/>
    </row>
    <row r="2" spans="1:20" ht="25.5" customHeight="1" x14ac:dyDescent="0.25">
      <c r="A2" s="404" t="s">
        <v>159</v>
      </c>
      <c r="B2" s="406" t="s">
        <v>18</v>
      </c>
      <c r="C2" s="408" t="s">
        <v>156</v>
      </c>
      <c r="D2" s="410" t="s">
        <v>4</v>
      </c>
      <c r="E2" s="412" t="s">
        <v>5</v>
      </c>
      <c r="F2" s="402" t="s">
        <v>0</v>
      </c>
      <c r="G2" s="403"/>
      <c r="H2" s="388" t="s">
        <v>2</v>
      </c>
      <c r="I2" s="390" t="s">
        <v>3</v>
      </c>
      <c r="J2" s="392" t="s">
        <v>6</v>
      </c>
      <c r="K2" s="394" t="s">
        <v>7</v>
      </c>
      <c r="L2" s="395"/>
      <c r="M2" s="396"/>
      <c r="N2" s="107" t="s">
        <v>9</v>
      </c>
      <c r="O2" s="397" t="s">
        <v>12</v>
      </c>
      <c r="P2" s="398"/>
      <c r="Q2" s="399"/>
      <c r="R2" s="400" t="s">
        <v>151</v>
      </c>
      <c r="S2" s="64"/>
      <c r="T2" s="95"/>
    </row>
    <row r="3" spans="1:20" x14ac:dyDescent="0.25">
      <c r="A3" s="405"/>
      <c r="B3" s="407"/>
      <c r="C3" s="409"/>
      <c r="D3" s="411"/>
      <c r="E3" s="413"/>
      <c r="F3" s="149" t="s">
        <v>1</v>
      </c>
      <c r="G3" s="149" t="s">
        <v>155</v>
      </c>
      <c r="H3" s="389"/>
      <c r="I3" s="391"/>
      <c r="J3" s="393"/>
      <c r="K3" s="161" t="s">
        <v>8</v>
      </c>
      <c r="L3" s="161" t="s">
        <v>21</v>
      </c>
      <c r="M3" s="161" t="s">
        <v>10</v>
      </c>
      <c r="N3" s="150" t="s">
        <v>11</v>
      </c>
      <c r="O3" s="151" t="s">
        <v>13</v>
      </c>
      <c r="P3" s="151" t="s">
        <v>154</v>
      </c>
      <c r="Q3" s="152" t="s">
        <v>23</v>
      </c>
      <c r="R3" s="401"/>
      <c r="S3" s="64" t="s">
        <v>161</v>
      </c>
      <c r="T3" s="153" t="s">
        <v>162</v>
      </c>
    </row>
    <row r="4" spans="1:20" s="138" customFormat="1" x14ac:dyDescent="0.25">
      <c r="A4" s="142"/>
      <c r="B4" s="145"/>
      <c r="C4" s="145"/>
      <c r="D4" s="143"/>
      <c r="E4" s="144"/>
      <c r="F4" s="145"/>
      <c r="G4" s="142"/>
      <c r="H4" s="142"/>
      <c r="I4" s="142"/>
      <c r="J4" s="146"/>
      <c r="K4" s="147"/>
      <c r="L4" s="148"/>
      <c r="M4" s="147"/>
      <c r="N4" s="155"/>
      <c r="O4" s="156"/>
      <c r="P4" s="156"/>
      <c r="Q4" s="157"/>
      <c r="R4" s="141"/>
      <c r="T4" s="158"/>
    </row>
    <row r="5" spans="1:20" s="63" customFormat="1" ht="13.5" customHeight="1" x14ac:dyDescent="0.25">
      <c r="A5" s="65" t="s">
        <v>317</v>
      </c>
      <c r="B5" s="92" t="s">
        <v>405</v>
      </c>
      <c r="C5" s="92" t="s">
        <v>287</v>
      </c>
      <c r="D5" s="93" t="s">
        <v>383</v>
      </c>
      <c r="E5" s="56" t="s">
        <v>382</v>
      </c>
      <c r="F5" s="92">
        <v>21000</v>
      </c>
      <c r="G5" s="65">
        <v>840</v>
      </c>
      <c r="H5" s="65" t="s">
        <v>165</v>
      </c>
      <c r="I5" s="65" t="s">
        <v>404</v>
      </c>
      <c r="J5" s="55">
        <v>45663</v>
      </c>
      <c r="K5" s="98" t="s">
        <v>386</v>
      </c>
      <c r="L5" s="108">
        <v>89214819561</v>
      </c>
      <c r="M5" s="98" t="s">
        <v>387</v>
      </c>
      <c r="N5" s="139"/>
      <c r="O5" s="92">
        <v>21000</v>
      </c>
      <c r="P5" s="57"/>
      <c r="Q5" s="92"/>
      <c r="R5" s="53" t="s">
        <v>417</v>
      </c>
      <c r="S5" s="94">
        <v>37000</v>
      </c>
      <c r="T5" s="61">
        <f t="shared" ref="T5:T10" si="0" xml:space="preserve"> S5*(F5/1000)</f>
        <v>777000</v>
      </c>
    </row>
    <row r="6" spans="1:20" s="63" customFormat="1" ht="13.5" customHeight="1" x14ac:dyDescent="0.25">
      <c r="A6" s="65" t="s">
        <v>316</v>
      </c>
      <c r="B6" s="92" t="s">
        <v>391</v>
      </c>
      <c r="C6" s="92" t="s">
        <v>284</v>
      </c>
      <c r="D6" s="93" t="s">
        <v>222</v>
      </c>
      <c r="E6" s="56" t="s">
        <v>338</v>
      </c>
      <c r="F6" s="92">
        <v>20000</v>
      </c>
      <c r="G6" s="65">
        <v>800</v>
      </c>
      <c r="H6" s="65" t="s">
        <v>392</v>
      </c>
      <c r="I6" s="65" t="s">
        <v>404</v>
      </c>
      <c r="J6" s="55">
        <v>45663</v>
      </c>
      <c r="K6" s="98" t="s">
        <v>396</v>
      </c>
      <c r="L6" s="108">
        <v>89197184611</v>
      </c>
      <c r="M6" s="98" t="s">
        <v>395</v>
      </c>
      <c r="N6" s="139"/>
      <c r="O6" s="92">
        <v>20000</v>
      </c>
      <c r="P6" s="57"/>
      <c r="Q6" s="92"/>
      <c r="R6" s="53" t="s">
        <v>417</v>
      </c>
      <c r="S6" s="94">
        <v>38000</v>
      </c>
      <c r="T6" s="61">
        <f t="shared" si="0"/>
        <v>760000</v>
      </c>
    </row>
    <row r="7" spans="1:20" s="63" customFormat="1" ht="13.5" customHeight="1" x14ac:dyDescent="0.25">
      <c r="A7" s="65" t="s">
        <v>317</v>
      </c>
      <c r="B7" s="92" t="s">
        <v>406</v>
      </c>
      <c r="C7" s="92" t="s">
        <v>287</v>
      </c>
      <c r="D7" s="93" t="s">
        <v>383</v>
      </c>
      <c r="E7" s="56" t="s">
        <v>382</v>
      </c>
      <c r="F7" s="92">
        <v>21000</v>
      </c>
      <c r="G7" s="65">
        <v>840</v>
      </c>
      <c r="H7" s="65" t="s">
        <v>165</v>
      </c>
      <c r="I7" s="65" t="s">
        <v>404</v>
      </c>
      <c r="J7" s="55">
        <v>45666</v>
      </c>
      <c r="K7" s="98" t="s">
        <v>210</v>
      </c>
      <c r="L7" s="108">
        <v>89991681050</v>
      </c>
      <c r="M7" s="98" t="s">
        <v>388</v>
      </c>
      <c r="N7" s="139"/>
      <c r="O7" s="92">
        <v>21000</v>
      </c>
      <c r="P7" s="57"/>
      <c r="Q7" s="92"/>
      <c r="R7" s="53" t="s">
        <v>417</v>
      </c>
      <c r="S7" s="94">
        <v>37000</v>
      </c>
      <c r="T7" s="61">
        <f t="shared" si="0"/>
        <v>777000</v>
      </c>
    </row>
    <row r="8" spans="1:20" s="63" customFormat="1" ht="13.5" customHeight="1" x14ac:dyDescent="0.25">
      <c r="A8" s="65" t="s">
        <v>316</v>
      </c>
      <c r="B8" s="92" t="s">
        <v>393</v>
      </c>
      <c r="C8" s="92" t="s">
        <v>284</v>
      </c>
      <c r="D8" s="93" t="s">
        <v>222</v>
      </c>
      <c r="E8" s="56" t="s">
        <v>330</v>
      </c>
      <c r="F8" s="92">
        <v>20000</v>
      </c>
      <c r="G8" s="65">
        <v>800</v>
      </c>
      <c r="H8" s="65" t="s">
        <v>392</v>
      </c>
      <c r="I8" s="65" t="s">
        <v>404</v>
      </c>
      <c r="J8" s="55">
        <v>45666</v>
      </c>
      <c r="K8" s="98" t="s">
        <v>398</v>
      </c>
      <c r="L8" s="108">
        <v>89194541663</v>
      </c>
      <c r="M8" s="98" t="s">
        <v>397</v>
      </c>
      <c r="N8" s="139"/>
      <c r="O8" s="92">
        <v>20000</v>
      </c>
      <c r="P8" s="57"/>
      <c r="Q8" s="92"/>
      <c r="R8" s="53" t="s">
        <v>417</v>
      </c>
      <c r="S8" s="94">
        <v>38000</v>
      </c>
      <c r="T8" s="61">
        <f t="shared" ref="T8" si="1" xml:space="preserve"> S8*(F8/1000)</f>
        <v>760000</v>
      </c>
    </row>
    <row r="9" spans="1:20" s="63" customFormat="1" ht="13.5" customHeight="1" x14ac:dyDescent="0.25">
      <c r="A9" s="65" t="s">
        <v>317</v>
      </c>
      <c r="B9" s="92" t="s">
        <v>407</v>
      </c>
      <c r="C9" s="92" t="s">
        <v>287</v>
      </c>
      <c r="D9" s="93" t="s">
        <v>383</v>
      </c>
      <c r="E9" s="56" t="s">
        <v>382</v>
      </c>
      <c r="F9" s="92">
        <v>21000</v>
      </c>
      <c r="G9" s="65">
        <v>840</v>
      </c>
      <c r="H9" s="65" t="s">
        <v>165</v>
      </c>
      <c r="I9" s="65" t="s">
        <v>404</v>
      </c>
      <c r="J9" s="55">
        <v>45667</v>
      </c>
      <c r="K9" s="98" t="s">
        <v>209</v>
      </c>
      <c r="L9" s="108">
        <v>89116853405</v>
      </c>
      <c r="M9" s="98" t="s">
        <v>286</v>
      </c>
      <c r="N9" s="139"/>
      <c r="O9" s="92">
        <v>21000</v>
      </c>
      <c r="P9" s="57"/>
      <c r="Q9" s="92"/>
      <c r="R9" s="53" t="s">
        <v>417</v>
      </c>
      <c r="S9" s="94">
        <v>37000</v>
      </c>
      <c r="T9" s="61">
        <f t="shared" si="0"/>
        <v>777000</v>
      </c>
    </row>
    <row r="10" spans="1:20" s="63" customFormat="1" ht="13.5" customHeight="1" x14ac:dyDescent="0.25">
      <c r="A10" s="65" t="s">
        <v>311</v>
      </c>
      <c r="B10" s="92" t="s">
        <v>394</v>
      </c>
      <c r="C10" s="92" t="s">
        <v>284</v>
      </c>
      <c r="D10" s="93" t="s">
        <v>222</v>
      </c>
      <c r="E10" s="56" t="s">
        <v>320</v>
      </c>
      <c r="F10" s="92">
        <v>20000</v>
      </c>
      <c r="G10" s="65">
        <v>800</v>
      </c>
      <c r="H10" s="65" t="s">
        <v>392</v>
      </c>
      <c r="I10" s="65" t="s">
        <v>404</v>
      </c>
      <c r="J10" s="55">
        <v>45667</v>
      </c>
      <c r="K10" s="98" t="s">
        <v>327</v>
      </c>
      <c r="L10" s="108">
        <v>89021984502</v>
      </c>
      <c r="M10" s="98" t="s">
        <v>296</v>
      </c>
      <c r="N10" s="139"/>
      <c r="O10" s="92">
        <v>20000</v>
      </c>
      <c r="P10" s="57"/>
      <c r="Q10" s="92"/>
      <c r="R10" s="53" t="s">
        <v>417</v>
      </c>
      <c r="S10" s="94">
        <v>38000</v>
      </c>
      <c r="T10" s="61">
        <f t="shared" si="0"/>
        <v>760000</v>
      </c>
    </row>
    <row r="11" spans="1:20" s="63" customFormat="1" ht="13.5" customHeight="1" x14ac:dyDescent="0.25">
      <c r="A11" s="65" t="s">
        <v>408</v>
      </c>
      <c r="B11" s="92" t="s">
        <v>409</v>
      </c>
      <c r="C11" s="92" t="s">
        <v>287</v>
      </c>
      <c r="D11" s="93" t="s">
        <v>383</v>
      </c>
      <c r="E11" s="56" t="s">
        <v>410</v>
      </c>
      <c r="F11" s="92">
        <v>21000</v>
      </c>
      <c r="G11" s="65">
        <v>840</v>
      </c>
      <c r="H11" s="65" t="s">
        <v>165</v>
      </c>
      <c r="I11" s="65" t="s">
        <v>404</v>
      </c>
      <c r="J11" s="55">
        <v>45670</v>
      </c>
      <c r="K11" s="98" t="s">
        <v>412</v>
      </c>
      <c r="L11" s="108">
        <v>89216700606</v>
      </c>
      <c r="M11" s="98" t="s">
        <v>411</v>
      </c>
      <c r="N11" s="139"/>
      <c r="O11" s="92">
        <v>21000</v>
      </c>
      <c r="P11" s="57"/>
      <c r="Q11" s="92"/>
      <c r="R11" s="53" t="s">
        <v>417</v>
      </c>
      <c r="S11" s="94">
        <v>37000</v>
      </c>
      <c r="T11" s="61">
        <f t="shared" ref="T11:T12" si="2" xml:space="preserve"> S11*(F11/1000)</f>
        <v>777000</v>
      </c>
    </row>
    <row r="12" spans="1:20" s="63" customFormat="1" ht="13.5" customHeight="1" x14ac:dyDescent="0.25">
      <c r="A12" s="65" t="s">
        <v>408</v>
      </c>
      <c r="B12" s="92" t="s">
        <v>400</v>
      </c>
      <c r="C12" s="92" t="s">
        <v>401</v>
      </c>
      <c r="D12" s="93" t="s">
        <v>231</v>
      </c>
      <c r="E12" s="56" t="s">
        <v>402</v>
      </c>
      <c r="F12" s="92">
        <v>19862.5</v>
      </c>
      <c r="G12" s="65">
        <v>875</v>
      </c>
      <c r="H12" s="65" t="s">
        <v>165</v>
      </c>
      <c r="I12" s="55" t="s">
        <v>404</v>
      </c>
      <c r="J12" s="55">
        <v>45670</v>
      </c>
      <c r="K12" s="98" t="s">
        <v>423</v>
      </c>
      <c r="L12" s="164" t="s">
        <v>413</v>
      </c>
      <c r="M12" s="98" t="s">
        <v>414</v>
      </c>
      <c r="N12" s="139"/>
      <c r="O12" s="92">
        <v>19862.5</v>
      </c>
      <c r="P12" s="57"/>
      <c r="Q12" s="92"/>
      <c r="R12" s="53" t="s">
        <v>417</v>
      </c>
      <c r="S12" s="94">
        <v>36000</v>
      </c>
      <c r="T12" s="61">
        <f t="shared" si="2"/>
        <v>715050</v>
      </c>
    </row>
    <row r="13" spans="1:20" s="63" customFormat="1" ht="13.5" customHeight="1" x14ac:dyDescent="0.25">
      <c r="A13" s="65" t="s">
        <v>311</v>
      </c>
      <c r="B13" s="92" t="s">
        <v>400</v>
      </c>
      <c r="C13" s="92" t="s">
        <v>401</v>
      </c>
      <c r="D13" s="93" t="s">
        <v>231</v>
      </c>
      <c r="E13" s="56" t="s">
        <v>402</v>
      </c>
      <c r="F13" s="92">
        <v>19862.5</v>
      </c>
      <c r="G13" s="65">
        <v>875</v>
      </c>
      <c r="H13" s="65" t="s">
        <v>165</v>
      </c>
      <c r="I13" s="55" t="s">
        <v>404</v>
      </c>
      <c r="J13" s="55">
        <v>45670</v>
      </c>
      <c r="K13" s="98" t="s">
        <v>424</v>
      </c>
      <c r="L13" s="108">
        <v>89021980813</v>
      </c>
      <c r="M13" s="98" t="s">
        <v>415</v>
      </c>
      <c r="N13" s="139"/>
      <c r="O13" s="92">
        <v>19862.5</v>
      </c>
      <c r="P13" s="57"/>
      <c r="Q13" s="92"/>
      <c r="R13" s="53" t="s">
        <v>417</v>
      </c>
      <c r="S13" s="94">
        <v>36000</v>
      </c>
      <c r="T13" s="61">
        <f xml:space="preserve"> S13*(F13/1000)</f>
        <v>715050</v>
      </c>
    </row>
    <row r="14" spans="1:20" s="63" customFormat="1" ht="13.5" customHeight="1" x14ac:dyDescent="0.25">
      <c r="A14" s="65" t="s">
        <v>418</v>
      </c>
      <c r="B14" s="92" t="s">
        <v>400</v>
      </c>
      <c r="C14" s="92" t="s">
        <v>401</v>
      </c>
      <c r="D14" s="93" t="s">
        <v>231</v>
      </c>
      <c r="E14" s="56" t="s">
        <v>403</v>
      </c>
      <c r="F14" s="92">
        <v>19862.5</v>
      </c>
      <c r="G14" s="65">
        <v>875</v>
      </c>
      <c r="H14" s="65" t="s">
        <v>165</v>
      </c>
      <c r="I14" s="55" t="s">
        <v>404</v>
      </c>
      <c r="J14" s="55">
        <v>45670</v>
      </c>
      <c r="K14" s="98" t="s">
        <v>425</v>
      </c>
      <c r="L14" s="108">
        <v>89210836303</v>
      </c>
      <c r="M14" s="98" t="s">
        <v>416</v>
      </c>
      <c r="N14" s="139"/>
      <c r="O14" s="92">
        <v>19862.5</v>
      </c>
      <c r="P14" s="57"/>
      <c r="Q14" s="92"/>
      <c r="R14" s="53" t="s">
        <v>417</v>
      </c>
      <c r="S14" s="94">
        <v>36000</v>
      </c>
      <c r="T14" s="61">
        <f xml:space="preserve"> S14*(F14/1000)</f>
        <v>715050</v>
      </c>
    </row>
    <row r="15" spans="1:20" s="63" customFormat="1" ht="13.5" customHeight="1" x14ac:dyDescent="0.25">
      <c r="A15" s="65" t="s">
        <v>418</v>
      </c>
      <c r="B15" s="92" t="s">
        <v>400</v>
      </c>
      <c r="C15" s="92" t="s">
        <v>401</v>
      </c>
      <c r="D15" s="93" t="s">
        <v>231</v>
      </c>
      <c r="E15" s="56" t="s">
        <v>403</v>
      </c>
      <c r="F15" s="92">
        <v>19862.5</v>
      </c>
      <c r="G15" s="65">
        <v>875</v>
      </c>
      <c r="H15" s="65" t="s">
        <v>165</v>
      </c>
      <c r="I15" s="55" t="s">
        <v>404</v>
      </c>
      <c r="J15" s="55">
        <v>45670</v>
      </c>
      <c r="K15" s="98" t="s">
        <v>426</v>
      </c>
      <c r="L15" s="108">
        <v>89115713730</v>
      </c>
      <c r="M15" s="98" t="s">
        <v>419</v>
      </c>
      <c r="N15" s="139"/>
      <c r="O15" s="92">
        <v>19862.5</v>
      </c>
      <c r="P15" s="57"/>
      <c r="Q15" s="92"/>
      <c r="R15" s="53" t="s">
        <v>417</v>
      </c>
      <c r="S15" s="94">
        <v>36000</v>
      </c>
      <c r="T15" s="61">
        <f xml:space="preserve"> S15*(F15/1000)</f>
        <v>715050</v>
      </c>
    </row>
    <row r="16" spans="1:20" s="63" customFormat="1" ht="13.5" customHeight="1" x14ac:dyDescent="0.25">
      <c r="A16" s="65" t="s">
        <v>389</v>
      </c>
      <c r="B16" s="92" t="s">
        <v>285</v>
      </c>
      <c r="C16" s="92" t="s">
        <v>294</v>
      </c>
      <c r="D16" s="93" t="s">
        <v>385</v>
      </c>
      <c r="E16" s="56" t="s">
        <v>390</v>
      </c>
      <c r="F16" s="92">
        <f>G16*28</f>
        <v>18816</v>
      </c>
      <c r="G16" s="65">
        <v>672</v>
      </c>
      <c r="H16" s="65" t="s">
        <v>281</v>
      </c>
      <c r="I16" s="65" t="s">
        <v>404</v>
      </c>
      <c r="J16" s="55">
        <v>45670</v>
      </c>
      <c r="K16" s="98" t="s">
        <v>422</v>
      </c>
      <c r="L16" s="108">
        <v>89009148991</v>
      </c>
      <c r="M16" s="98" t="s">
        <v>515</v>
      </c>
      <c r="N16" s="139" t="s">
        <v>429</v>
      </c>
      <c r="O16" s="92"/>
      <c r="P16" s="57"/>
      <c r="Q16" s="92">
        <v>18816</v>
      </c>
      <c r="R16" s="53" t="s">
        <v>417</v>
      </c>
      <c r="S16" s="94">
        <v>95000</v>
      </c>
      <c r="T16" s="61">
        <f t="shared" ref="T16:T20" si="3" xml:space="preserve"> S16*(F16/1000)</f>
        <v>1787520</v>
      </c>
    </row>
    <row r="17" spans="1:20" s="63" customFormat="1" ht="13.5" customHeight="1" x14ac:dyDescent="0.25">
      <c r="A17" s="65" t="s">
        <v>421</v>
      </c>
      <c r="B17" s="92" t="s">
        <v>420</v>
      </c>
      <c r="C17" s="92" t="s">
        <v>287</v>
      </c>
      <c r="D17" s="93" t="s">
        <v>383</v>
      </c>
      <c r="E17" s="56" t="s">
        <v>410</v>
      </c>
      <c r="F17" s="92">
        <v>21000</v>
      </c>
      <c r="G17" s="65">
        <v>840</v>
      </c>
      <c r="H17" s="65" t="s">
        <v>165</v>
      </c>
      <c r="I17" s="65" t="s">
        <v>404</v>
      </c>
      <c r="J17" s="55">
        <v>45671</v>
      </c>
      <c r="K17" s="98" t="s">
        <v>427</v>
      </c>
      <c r="L17" s="108">
        <v>89080026590</v>
      </c>
      <c r="M17" s="98" t="s">
        <v>428</v>
      </c>
      <c r="N17" s="139"/>
      <c r="O17" s="92">
        <v>21000</v>
      </c>
      <c r="P17" s="57"/>
      <c r="Q17" s="92"/>
      <c r="R17" s="53" t="s">
        <v>417</v>
      </c>
      <c r="S17" s="94">
        <v>37000</v>
      </c>
      <c r="T17" s="61">
        <f t="shared" si="3"/>
        <v>777000</v>
      </c>
    </row>
    <row r="18" spans="1:20" s="63" customFormat="1" ht="13.5" customHeight="1" x14ac:dyDescent="0.25">
      <c r="A18" s="65" t="s">
        <v>389</v>
      </c>
      <c r="B18" s="92" t="s">
        <v>437</v>
      </c>
      <c r="C18" s="92" t="s">
        <v>287</v>
      </c>
      <c r="D18" s="93" t="s">
        <v>168</v>
      </c>
      <c r="E18" s="56" t="s">
        <v>372</v>
      </c>
      <c r="F18" s="92">
        <v>8800</v>
      </c>
      <c r="G18" s="65">
        <v>44</v>
      </c>
      <c r="H18" s="65" t="s">
        <v>281</v>
      </c>
      <c r="I18" s="65" t="s">
        <v>404</v>
      </c>
      <c r="J18" s="55">
        <v>45671</v>
      </c>
      <c r="K18" s="98" t="s">
        <v>436</v>
      </c>
      <c r="L18" s="108">
        <v>89228819733</v>
      </c>
      <c r="M18" s="98" t="s">
        <v>435</v>
      </c>
      <c r="N18" s="139" t="s">
        <v>429</v>
      </c>
      <c r="O18" s="92"/>
      <c r="P18" s="57"/>
      <c r="Q18" s="92">
        <v>8800</v>
      </c>
      <c r="R18" s="53" t="s">
        <v>417</v>
      </c>
      <c r="S18" s="94">
        <v>95000</v>
      </c>
      <c r="T18" s="61">
        <f t="shared" si="3"/>
        <v>836000.00000000012</v>
      </c>
    </row>
    <row r="19" spans="1:20" s="63" customFormat="1" ht="13.5" customHeight="1" x14ac:dyDescent="0.25">
      <c r="A19" s="65" t="s">
        <v>389</v>
      </c>
      <c r="B19" s="92" t="s">
        <v>437</v>
      </c>
      <c r="C19" s="92" t="s">
        <v>287</v>
      </c>
      <c r="D19" s="93" t="s">
        <v>168</v>
      </c>
      <c r="E19" s="56" t="s">
        <v>373</v>
      </c>
      <c r="F19" s="92">
        <v>8400</v>
      </c>
      <c r="G19" s="65">
        <v>42</v>
      </c>
      <c r="H19" s="65" t="s">
        <v>281</v>
      </c>
      <c r="I19" s="65" t="s">
        <v>404</v>
      </c>
      <c r="J19" s="55">
        <v>45671</v>
      </c>
      <c r="K19" s="98" t="s">
        <v>436</v>
      </c>
      <c r="L19" s="108">
        <v>89228819733</v>
      </c>
      <c r="M19" s="98" t="s">
        <v>435</v>
      </c>
      <c r="N19" s="139" t="s">
        <v>429</v>
      </c>
      <c r="O19" s="92"/>
      <c r="P19" s="57"/>
      <c r="Q19" s="92">
        <v>8400</v>
      </c>
      <c r="R19" s="53" t="s">
        <v>417</v>
      </c>
      <c r="S19" s="94">
        <v>95000</v>
      </c>
      <c r="T19" s="61">
        <f t="shared" si="3"/>
        <v>798000</v>
      </c>
    </row>
    <row r="20" spans="1:20" s="63" customFormat="1" ht="13.5" customHeight="1" x14ac:dyDescent="0.25">
      <c r="A20" s="65" t="s">
        <v>389</v>
      </c>
      <c r="B20" s="92" t="s">
        <v>437</v>
      </c>
      <c r="C20" s="92" t="s">
        <v>287</v>
      </c>
      <c r="D20" s="93" t="s">
        <v>168</v>
      </c>
      <c r="E20" s="56" t="s">
        <v>430</v>
      </c>
      <c r="F20" s="92">
        <v>400</v>
      </c>
      <c r="G20" s="65">
        <v>2</v>
      </c>
      <c r="H20" s="65" t="s">
        <v>281</v>
      </c>
      <c r="I20" s="65" t="s">
        <v>404</v>
      </c>
      <c r="J20" s="55">
        <v>45671</v>
      </c>
      <c r="K20" s="98" t="s">
        <v>436</v>
      </c>
      <c r="L20" s="108">
        <v>89228819733</v>
      </c>
      <c r="M20" s="98" t="s">
        <v>435</v>
      </c>
      <c r="N20" s="139" t="s">
        <v>429</v>
      </c>
      <c r="O20" s="92"/>
      <c r="P20" s="57"/>
      <c r="Q20" s="92">
        <v>400</v>
      </c>
      <c r="R20" s="53" t="s">
        <v>417</v>
      </c>
      <c r="S20" s="94">
        <v>95000</v>
      </c>
      <c r="T20" s="61">
        <f t="shared" si="3"/>
        <v>38000</v>
      </c>
    </row>
    <row r="21" spans="1:20" s="63" customFormat="1" ht="13.5" customHeight="1" x14ac:dyDescent="0.25">
      <c r="A21" s="65" t="s">
        <v>316</v>
      </c>
      <c r="B21" s="92" t="s">
        <v>457</v>
      </c>
      <c r="C21" s="92" t="s">
        <v>284</v>
      </c>
      <c r="D21" s="93" t="s">
        <v>223</v>
      </c>
      <c r="E21" s="56" t="s">
        <v>399</v>
      </c>
      <c r="F21" s="92">
        <v>5000</v>
      </c>
      <c r="G21" s="65">
        <v>200</v>
      </c>
      <c r="H21" s="65" t="s">
        <v>323</v>
      </c>
      <c r="I21" s="65" t="s">
        <v>404</v>
      </c>
      <c r="J21" s="55">
        <v>45672</v>
      </c>
      <c r="K21" s="98" t="s">
        <v>439</v>
      </c>
      <c r="L21" s="108">
        <v>89827159970</v>
      </c>
      <c r="M21" s="98" t="s">
        <v>438</v>
      </c>
      <c r="N21" s="53" t="s">
        <v>445</v>
      </c>
      <c r="O21" s="92"/>
      <c r="P21" s="92">
        <v>5000</v>
      </c>
      <c r="Q21" s="57"/>
      <c r="R21" s="53" t="s">
        <v>417</v>
      </c>
      <c r="S21" s="94">
        <v>250000</v>
      </c>
      <c r="T21" s="61">
        <f t="shared" ref="T21:T31" si="4" xml:space="preserve"> S21*(F21/1000)</f>
        <v>1250000</v>
      </c>
    </row>
    <row r="22" spans="1:20" s="63" customFormat="1" ht="13.5" customHeight="1" x14ac:dyDescent="0.25">
      <c r="A22" s="65" t="s">
        <v>316</v>
      </c>
      <c r="B22" s="92" t="s">
        <v>457</v>
      </c>
      <c r="C22" s="92" t="s">
        <v>284</v>
      </c>
      <c r="D22" s="93" t="s">
        <v>223</v>
      </c>
      <c r="E22" s="56" t="s">
        <v>440</v>
      </c>
      <c r="F22" s="92">
        <v>5000</v>
      </c>
      <c r="G22" s="65">
        <v>200</v>
      </c>
      <c r="H22" s="65" t="s">
        <v>323</v>
      </c>
      <c r="I22" s="65" t="s">
        <v>404</v>
      </c>
      <c r="J22" s="55">
        <v>45672</v>
      </c>
      <c r="K22" s="98" t="s">
        <v>439</v>
      </c>
      <c r="L22" s="108">
        <v>89827159970</v>
      </c>
      <c r="M22" s="98" t="s">
        <v>438</v>
      </c>
      <c r="N22" s="53" t="s">
        <v>446</v>
      </c>
      <c r="O22" s="92"/>
      <c r="P22" s="92">
        <v>5000</v>
      </c>
      <c r="Q22" s="57"/>
      <c r="R22" s="53" t="s">
        <v>417</v>
      </c>
      <c r="S22" s="94">
        <v>250000</v>
      </c>
      <c r="T22" s="61">
        <f t="shared" si="4"/>
        <v>1250000</v>
      </c>
    </row>
    <row r="23" spans="1:20" s="63" customFormat="1" ht="13.5" customHeight="1" x14ac:dyDescent="0.25">
      <c r="A23" s="65" t="s">
        <v>316</v>
      </c>
      <c r="B23" s="92" t="s">
        <v>457</v>
      </c>
      <c r="C23" s="92" t="s">
        <v>284</v>
      </c>
      <c r="D23" s="93" t="s">
        <v>223</v>
      </c>
      <c r="E23" s="56" t="s">
        <v>441</v>
      </c>
      <c r="F23" s="92">
        <v>5000</v>
      </c>
      <c r="G23" s="65">
        <v>200</v>
      </c>
      <c r="H23" s="65" t="s">
        <v>323</v>
      </c>
      <c r="I23" s="65" t="s">
        <v>404</v>
      </c>
      <c r="J23" s="55">
        <v>45672</v>
      </c>
      <c r="K23" s="98" t="s">
        <v>439</v>
      </c>
      <c r="L23" s="108">
        <v>89827159970</v>
      </c>
      <c r="M23" s="98" t="s">
        <v>438</v>
      </c>
      <c r="N23" s="53" t="s">
        <v>447</v>
      </c>
      <c r="O23" s="92"/>
      <c r="P23" s="92">
        <v>5000</v>
      </c>
      <c r="Q23" s="57"/>
      <c r="R23" s="53" t="s">
        <v>417</v>
      </c>
      <c r="S23" s="94">
        <v>250000</v>
      </c>
      <c r="T23" s="61">
        <f t="shared" si="4"/>
        <v>1250000</v>
      </c>
    </row>
    <row r="24" spans="1:20" s="63" customFormat="1" ht="13.5" customHeight="1" x14ac:dyDescent="0.25">
      <c r="A24" s="65" t="s">
        <v>316</v>
      </c>
      <c r="B24" s="92" t="s">
        <v>457</v>
      </c>
      <c r="C24" s="92" t="s">
        <v>284</v>
      </c>
      <c r="D24" s="93" t="s">
        <v>223</v>
      </c>
      <c r="E24" s="56" t="s">
        <v>442</v>
      </c>
      <c r="F24" s="92">
        <v>5000</v>
      </c>
      <c r="G24" s="65">
        <v>200</v>
      </c>
      <c r="H24" s="65" t="s">
        <v>323</v>
      </c>
      <c r="I24" s="65" t="s">
        <v>404</v>
      </c>
      <c r="J24" s="55">
        <v>45672</v>
      </c>
      <c r="K24" s="98" t="s">
        <v>439</v>
      </c>
      <c r="L24" s="108">
        <v>89827159970</v>
      </c>
      <c r="M24" s="98" t="s">
        <v>438</v>
      </c>
      <c r="N24" s="53" t="s">
        <v>460</v>
      </c>
      <c r="O24" s="92"/>
      <c r="P24" s="92">
        <v>5000</v>
      </c>
      <c r="Q24" s="57"/>
      <c r="R24" s="53" t="s">
        <v>417</v>
      </c>
      <c r="S24" s="94">
        <v>250000</v>
      </c>
      <c r="T24" s="61">
        <f t="shared" si="4"/>
        <v>1250000</v>
      </c>
    </row>
    <row r="25" spans="1:20" s="63" customFormat="1" ht="13.5" customHeight="1" x14ac:dyDescent="0.25">
      <c r="A25" s="65" t="s">
        <v>421</v>
      </c>
      <c r="B25" s="57" t="s">
        <v>431</v>
      </c>
      <c r="C25" s="57" t="s">
        <v>432</v>
      </c>
      <c r="D25" s="93" t="s">
        <v>174</v>
      </c>
      <c r="E25" s="56" t="s">
        <v>433</v>
      </c>
      <c r="F25" s="92">
        <v>17600</v>
      </c>
      <c r="G25" s="65">
        <v>88</v>
      </c>
      <c r="H25" s="65" t="s">
        <v>434</v>
      </c>
      <c r="I25" s="65" t="s">
        <v>404</v>
      </c>
      <c r="J25" s="55">
        <v>45673</v>
      </c>
      <c r="K25" s="98" t="s">
        <v>444</v>
      </c>
      <c r="L25" s="108">
        <v>89195886579</v>
      </c>
      <c r="M25" s="98" t="s">
        <v>443</v>
      </c>
      <c r="N25" s="162"/>
      <c r="O25" s="92"/>
      <c r="P25" s="57"/>
      <c r="Q25" s="92">
        <v>17600</v>
      </c>
      <c r="R25" s="53" t="s">
        <v>417</v>
      </c>
      <c r="S25" s="94">
        <v>178000</v>
      </c>
      <c r="T25" s="61">
        <f xml:space="preserve"> S25*(F25/1000)</f>
        <v>3132800.0000000005</v>
      </c>
    </row>
    <row r="26" spans="1:20" s="63" customFormat="1" ht="13.5" customHeight="1" x14ac:dyDescent="0.25">
      <c r="A26" s="65" t="s">
        <v>317</v>
      </c>
      <c r="B26" s="57" t="s">
        <v>449</v>
      </c>
      <c r="C26" s="57" t="s">
        <v>432</v>
      </c>
      <c r="D26" s="93" t="s">
        <v>300</v>
      </c>
      <c r="E26" s="56" t="s">
        <v>433</v>
      </c>
      <c r="F26" s="92">
        <v>17600</v>
      </c>
      <c r="G26" s="65">
        <v>88</v>
      </c>
      <c r="H26" s="65" t="s">
        <v>450</v>
      </c>
      <c r="I26" s="65" t="s">
        <v>404</v>
      </c>
      <c r="J26" s="55">
        <v>45673</v>
      </c>
      <c r="K26" s="98" t="s">
        <v>461</v>
      </c>
      <c r="L26" s="108">
        <v>89969215918</v>
      </c>
      <c r="M26" s="98" t="s">
        <v>462</v>
      </c>
      <c r="N26" s="162"/>
      <c r="O26" s="92"/>
      <c r="P26" s="92"/>
      <c r="Q26" s="92">
        <v>17600</v>
      </c>
      <c r="R26" s="53" t="s">
        <v>417</v>
      </c>
      <c r="S26" s="94">
        <v>242000</v>
      </c>
      <c r="T26" s="61">
        <f t="shared" si="4"/>
        <v>4259200</v>
      </c>
    </row>
    <row r="27" spans="1:20" s="63" customFormat="1" ht="13.5" customHeight="1" x14ac:dyDescent="0.25">
      <c r="A27" s="65" t="s">
        <v>316</v>
      </c>
      <c r="B27" s="92" t="s">
        <v>458</v>
      </c>
      <c r="C27" s="92" t="s">
        <v>284</v>
      </c>
      <c r="D27" s="93" t="s">
        <v>223</v>
      </c>
      <c r="E27" s="56" t="s">
        <v>454</v>
      </c>
      <c r="F27" s="92">
        <v>5000</v>
      </c>
      <c r="G27" s="65">
        <v>200</v>
      </c>
      <c r="H27" s="65" t="s">
        <v>323</v>
      </c>
      <c r="I27" s="65" t="s">
        <v>404</v>
      </c>
      <c r="J27" s="55">
        <v>45674</v>
      </c>
      <c r="K27" s="98" t="s">
        <v>481</v>
      </c>
      <c r="L27" s="108">
        <v>89600094157</v>
      </c>
      <c r="M27" s="98" t="s">
        <v>480</v>
      </c>
      <c r="N27" s="53" t="s">
        <v>482</v>
      </c>
      <c r="O27" s="92"/>
      <c r="P27" s="92">
        <v>5000</v>
      </c>
      <c r="Q27" s="57"/>
      <c r="R27" s="53" t="s">
        <v>417</v>
      </c>
      <c r="S27" s="94">
        <v>250000</v>
      </c>
      <c r="T27" s="61">
        <f t="shared" ref="T27" si="5" xml:space="preserve"> S27*(F27/1000)</f>
        <v>1250000</v>
      </c>
    </row>
    <row r="28" spans="1:20" s="63" customFormat="1" ht="13.5" customHeight="1" x14ac:dyDescent="0.25">
      <c r="A28" s="65" t="s">
        <v>316</v>
      </c>
      <c r="B28" s="92" t="s">
        <v>458</v>
      </c>
      <c r="C28" s="92" t="s">
        <v>284</v>
      </c>
      <c r="D28" s="93" t="s">
        <v>223</v>
      </c>
      <c r="E28" s="56" t="s">
        <v>455</v>
      </c>
      <c r="F28" s="92">
        <v>5000</v>
      </c>
      <c r="G28" s="65">
        <v>200</v>
      </c>
      <c r="H28" s="65" t="s">
        <v>323</v>
      </c>
      <c r="I28" s="65" t="s">
        <v>404</v>
      </c>
      <c r="J28" s="55">
        <v>45674</v>
      </c>
      <c r="K28" s="98" t="s">
        <v>481</v>
      </c>
      <c r="L28" s="108">
        <v>89600094157</v>
      </c>
      <c r="M28" s="98" t="s">
        <v>480</v>
      </c>
      <c r="N28" s="165" t="s">
        <v>483</v>
      </c>
      <c r="O28" s="92"/>
      <c r="P28" s="92">
        <v>5000</v>
      </c>
      <c r="Q28" s="57"/>
      <c r="R28" s="53" t="s">
        <v>417</v>
      </c>
      <c r="S28" s="94">
        <v>250000</v>
      </c>
      <c r="T28" s="61">
        <f t="shared" ref="T28" si="6" xml:space="preserve"> S28*(F28/1000)</f>
        <v>1250000</v>
      </c>
    </row>
    <row r="29" spans="1:20" s="63" customFormat="1" ht="13.5" customHeight="1" x14ac:dyDescent="0.25">
      <c r="A29" s="65" t="s">
        <v>316</v>
      </c>
      <c r="B29" s="92" t="s">
        <v>458</v>
      </c>
      <c r="C29" s="92" t="s">
        <v>284</v>
      </c>
      <c r="D29" s="93" t="s">
        <v>223</v>
      </c>
      <c r="E29" s="56" t="s">
        <v>456</v>
      </c>
      <c r="F29" s="92">
        <v>5000</v>
      </c>
      <c r="G29" s="65">
        <v>200</v>
      </c>
      <c r="H29" s="65" t="s">
        <v>323</v>
      </c>
      <c r="I29" s="65" t="s">
        <v>404</v>
      </c>
      <c r="J29" s="55">
        <v>45674</v>
      </c>
      <c r="K29" s="98" t="s">
        <v>481</v>
      </c>
      <c r="L29" s="108">
        <v>89600094157</v>
      </c>
      <c r="M29" s="98" t="s">
        <v>480</v>
      </c>
      <c r="N29" s="53" t="s">
        <v>484</v>
      </c>
      <c r="O29" s="92"/>
      <c r="P29" s="92">
        <v>5000</v>
      </c>
      <c r="Q29" s="57"/>
      <c r="R29" s="53" t="s">
        <v>417</v>
      </c>
      <c r="S29" s="94">
        <v>250000</v>
      </c>
      <c r="T29" s="61">
        <f t="shared" ref="T29" si="7" xml:space="preserve"> S29*(F29/1000)</f>
        <v>1250000</v>
      </c>
    </row>
    <row r="30" spans="1:20" s="63" customFormat="1" ht="13.5" customHeight="1" x14ac:dyDescent="0.25">
      <c r="A30" s="65" t="s">
        <v>316</v>
      </c>
      <c r="B30" s="92" t="s">
        <v>458</v>
      </c>
      <c r="C30" s="92" t="s">
        <v>284</v>
      </c>
      <c r="D30" s="93" t="s">
        <v>223</v>
      </c>
      <c r="E30" s="56" t="s">
        <v>463</v>
      </c>
      <c r="F30" s="92">
        <v>5000</v>
      </c>
      <c r="G30" s="65">
        <v>200</v>
      </c>
      <c r="H30" s="65" t="s">
        <v>323</v>
      </c>
      <c r="I30" s="65" t="s">
        <v>404</v>
      </c>
      <c r="J30" s="55">
        <v>45674</v>
      </c>
      <c r="K30" s="98" t="s">
        <v>481</v>
      </c>
      <c r="L30" s="108">
        <v>89600094157</v>
      </c>
      <c r="M30" s="98" t="s">
        <v>480</v>
      </c>
      <c r="N30" s="53" t="s">
        <v>485</v>
      </c>
      <c r="O30" s="92"/>
      <c r="P30" s="92">
        <v>5000</v>
      </c>
      <c r="Q30" s="57"/>
      <c r="R30" s="53" t="s">
        <v>417</v>
      </c>
      <c r="S30" s="94">
        <v>250000</v>
      </c>
      <c r="T30" s="61">
        <f t="shared" ref="T30" si="8" xml:space="preserve"> S30*(F30/1000)</f>
        <v>1250000</v>
      </c>
    </row>
    <row r="31" spans="1:20" s="63" customFormat="1" ht="13.5" customHeight="1" x14ac:dyDescent="0.25">
      <c r="A31" s="65" t="s">
        <v>311</v>
      </c>
      <c r="B31" s="92" t="s">
        <v>465</v>
      </c>
      <c r="C31" s="92" t="s">
        <v>486</v>
      </c>
      <c r="D31" s="93" t="s">
        <v>223</v>
      </c>
      <c r="E31" s="56" t="s">
        <v>453</v>
      </c>
      <c r="F31" s="92">
        <v>10000</v>
      </c>
      <c r="G31" s="65">
        <v>400</v>
      </c>
      <c r="H31" s="65" t="s">
        <v>165</v>
      </c>
      <c r="I31" s="65" t="s">
        <v>404</v>
      </c>
      <c r="J31" s="55">
        <v>45674</v>
      </c>
      <c r="K31" s="53" t="s">
        <v>487</v>
      </c>
      <c r="L31" s="166">
        <v>89009189331</v>
      </c>
      <c r="M31" s="53" t="s">
        <v>488</v>
      </c>
      <c r="N31" s="55"/>
      <c r="O31" s="92"/>
      <c r="P31" s="92">
        <v>10000</v>
      </c>
      <c r="Q31" s="92"/>
      <c r="R31" s="53" t="s">
        <v>417</v>
      </c>
      <c r="S31" s="94">
        <v>250000</v>
      </c>
      <c r="T31" s="61">
        <f t="shared" si="4"/>
        <v>2500000</v>
      </c>
    </row>
    <row r="32" spans="1:20" s="63" customFormat="1" ht="13.5" customHeight="1" x14ac:dyDescent="0.25">
      <c r="A32" s="65" t="s">
        <v>311</v>
      </c>
      <c r="B32" s="92" t="s">
        <v>465</v>
      </c>
      <c r="C32" s="92" t="s">
        <v>451</v>
      </c>
      <c r="D32" s="93" t="s">
        <v>222</v>
      </c>
      <c r="E32" s="56" t="s">
        <v>464</v>
      </c>
      <c r="F32" s="92">
        <v>10000</v>
      </c>
      <c r="G32" s="65">
        <v>400</v>
      </c>
      <c r="H32" s="65" t="s">
        <v>165</v>
      </c>
      <c r="I32" s="65" t="s">
        <v>404</v>
      </c>
      <c r="J32" s="55">
        <v>45674</v>
      </c>
      <c r="K32" s="53" t="s">
        <v>487</v>
      </c>
      <c r="L32" s="166">
        <v>89009189331</v>
      </c>
      <c r="M32" s="53" t="s">
        <v>488</v>
      </c>
      <c r="N32" s="55"/>
      <c r="O32" s="92">
        <v>10000</v>
      </c>
      <c r="P32" s="57"/>
      <c r="Q32" s="92"/>
      <c r="R32" s="53" t="s">
        <v>417</v>
      </c>
      <c r="S32" s="94">
        <v>43500</v>
      </c>
      <c r="T32" s="61">
        <f t="shared" ref="T32:T38" si="9" xml:space="preserve"> S32*(F32/1000)</f>
        <v>435000</v>
      </c>
    </row>
    <row r="33" spans="1:20" s="63" customFormat="1" ht="13.5" customHeight="1" x14ac:dyDescent="0.25">
      <c r="A33" s="65" t="s">
        <v>489</v>
      </c>
      <c r="B33" s="57" t="s">
        <v>490</v>
      </c>
      <c r="C33" s="57" t="s">
        <v>491</v>
      </c>
      <c r="D33" s="93" t="s">
        <v>222</v>
      </c>
      <c r="E33" s="56" t="s">
        <v>492</v>
      </c>
      <c r="F33" s="92">
        <v>20000</v>
      </c>
      <c r="G33" s="65">
        <v>800</v>
      </c>
      <c r="H33" s="65" t="s">
        <v>493</v>
      </c>
      <c r="I33" s="65" t="s">
        <v>404</v>
      </c>
      <c r="J33" s="55">
        <v>45674</v>
      </c>
      <c r="K33" s="98" t="s">
        <v>496</v>
      </c>
      <c r="L33" s="108">
        <v>89586459891</v>
      </c>
      <c r="M33" s="98" t="s">
        <v>494</v>
      </c>
      <c r="N33" s="162"/>
      <c r="O33" s="92">
        <v>20000</v>
      </c>
      <c r="P33" s="57"/>
      <c r="Q33" s="53"/>
      <c r="R33" s="53" t="s">
        <v>417</v>
      </c>
      <c r="S33" s="94">
        <v>43500</v>
      </c>
      <c r="T33" s="61">
        <f t="shared" si="9"/>
        <v>870000</v>
      </c>
    </row>
    <row r="34" spans="1:20" s="63" customFormat="1" ht="13.5" customHeight="1" x14ac:dyDescent="0.25">
      <c r="A34" s="65" t="s">
        <v>509</v>
      </c>
      <c r="B34" s="92" t="s">
        <v>516</v>
      </c>
      <c r="C34" s="92" t="s">
        <v>507</v>
      </c>
      <c r="D34" s="93" t="s">
        <v>237</v>
      </c>
      <c r="E34" s="56" t="s">
        <v>382</v>
      </c>
      <c r="F34" s="92">
        <v>20000</v>
      </c>
      <c r="G34" s="65">
        <v>800</v>
      </c>
      <c r="H34" s="65" t="s">
        <v>508</v>
      </c>
      <c r="I34" s="65" t="s">
        <v>404</v>
      </c>
      <c r="J34" s="55">
        <v>45678</v>
      </c>
      <c r="K34" s="53" t="s">
        <v>587</v>
      </c>
      <c r="L34" s="166">
        <v>89212974613</v>
      </c>
      <c r="M34" s="53" t="s">
        <v>518</v>
      </c>
      <c r="N34" s="139"/>
      <c r="O34" s="92">
        <v>20000</v>
      </c>
      <c r="P34" s="92"/>
      <c r="Q34" s="53"/>
      <c r="R34" s="53" t="s">
        <v>417</v>
      </c>
      <c r="S34" s="94">
        <v>41500</v>
      </c>
      <c r="T34" s="61">
        <f xml:space="preserve"> S34*(F34/1000)</f>
        <v>830000</v>
      </c>
    </row>
    <row r="35" spans="1:20" s="63" customFormat="1" ht="13.5" customHeight="1" x14ac:dyDescent="0.25">
      <c r="A35" s="65" t="s">
        <v>495</v>
      </c>
      <c r="B35" s="92" t="s">
        <v>476</v>
      </c>
      <c r="C35" s="92" t="s">
        <v>284</v>
      </c>
      <c r="D35" s="93" t="s">
        <v>223</v>
      </c>
      <c r="E35" s="56" t="s">
        <v>475</v>
      </c>
      <c r="F35" s="92">
        <v>5000</v>
      </c>
      <c r="G35" s="65">
        <v>200</v>
      </c>
      <c r="H35" s="65" t="s">
        <v>323</v>
      </c>
      <c r="I35" s="65" t="s">
        <v>404</v>
      </c>
      <c r="J35" s="55">
        <v>45678</v>
      </c>
      <c r="K35" s="98" t="s">
        <v>499</v>
      </c>
      <c r="L35" s="108" t="s">
        <v>498</v>
      </c>
      <c r="M35" s="98" t="s">
        <v>497</v>
      </c>
      <c r="N35" s="165" t="s">
        <v>519</v>
      </c>
      <c r="O35" s="92"/>
      <c r="P35" s="92">
        <v>5000</v>
      </c>
      <c r="Q35" s="57"/>
      <c r="R35" s="53" t="s">
        <v>417</v>
      </c>
      <c r="S35" s="94">
        <v>250000</v>
      </c>
      <c r="T35" s="61">
        <f t="shared" si="9"/>
        <v>1250000</v>
      </c>
    </row>
    <row r="36" spans="1:20" s="63" customFormat="1" ht="13.5" customHeight="1" x14ac:dyDescent="0.25">
      <c r="A36" s="65" t="s">
        <v>495</v>
      </c>
      <c r="B36" s="92" t="s">
        <v>476</v>
      </c>
      <c r="C36" s="92" t="s">
        <v>284</v>
      </c>
      <c r="D36" s="93" t="s">
        <v>223</v>
      </c>
      <c r="E36" s="56" t="s">
        <v>477</v>
      </c>
      <c r="F36" s="92">
        <v>5000</v>
      </c>
      <c r="G36" s="65">
        <v>200</v>
      </c>
      <c r="H36" s="65" t="s">
        <v>323</v>
      </c>
      <c r="I36" s="65" t="s">
        <v>404</v>
      </c>
      <c r="J36" s="55">
        <v>45678</v>
      </c>
      <c r="K36" s="98" t="s">
        <v>499</v>
      </c>
      <c r="L36" s="108" t="s">
        <v>498</v>
      </c>
      <c r="M36" s="98" t="s">
        <v>497</v>
      </c>
      <c r="N36" s="165" t="s">
        <v>520</v>
      </c>
      <c r="O36" s="92"/>
      <c r="P36" s="92">
        <v>5000</v>
      </c>
      <c r="Q36" s="57"/>
      <c r="R36" s="53" t="s">
        <v>417</v>
      </c>
      <c r="S36" s="94">
        <v>250000</v>
      </c>
      <c r="T36" s="61">
        <f t="shared" si="9"/>
        <v>1250000</v>
      </c>
    </row>
    <row r="37" spans="1:20" s="63" customFormat="1" ht="13.5" customHeight="1" x14ac:dyDescent="0.25">
      <c r="A37" s="65" t="s">
        <v>495</v>
      </c>
      <c r="B37" s="92" t="s">
        <v>476</v>
      </c>
      <c r="C37" s="92" t="s">
        <v>284</v>
      </c>
      <c r="D37" s="93" t="s">
        <v>223</v>
      </c>
      <c r="E37" s="56" t="s">
        <v>478</v>
      </c>
      <c r="F37" s="92">
        <v>5000</v>
      </c>
      <c r="G37" s="65">
        <v>200</v>
      </c>
      <c r="H37" s="65" t="s">
        <v>323</v>
      </c>
      <c r="I37" s="65" t="s">
        <v>404</v>
      </c>
      <c r="J37" s="55">
        <v>45678</v>
      </c>
      <c r="K37" s="98" t="s">
        <v>499</v>
      </c>
      <c r="L37" s="108" t="s">
        <v>498</v>
      </c>
      <c r="M37" s="98" t="s">
        <v>497</v>
      </c>
      <c r="N37" s="165" t="s">
        <v>521</v>
      </c>
      <c r="O37" s="92"/>
      <c r="P37" s="92">
        <v>5000</v>
      </c>
      <c r="Q37" s="57"/>
      <c r="R37" s="53" t="s">
        <v>417</v>
      </c>
      <c r="S37" s="94">
        <v>250000</v>
      </c>
      <c r="T37" s="61">
        <f t="shared" si="9"/>
        <v>1250000</v>
      </c>
    </row>
    <row r="38" spans="1:20" s="63" customFormat="1" ht="13.5" customHeight="1" x14ac:dyDescent="0.25">
      <c r="A38" s="65" t="s">
        <v>495</v>
      </c>
      <c r="B38" s="92" t="s">
        <v>476</v>
      </c>
      <c r="C38" s="92" t="s">
        <v>284</v>
      </c>
      <c r="D38" s="93" t="s">
        <v>223</v>
      </c>
      <c r="E38" s="56" t="s">
        <v>505</v>
      </c>
      <c r="F38" s="92">
        <v>5000</v>
      </c>
      <c r="G38" s="65">
        <v>200</v>
      </c>
      <c r="H38" s="65" t="s">
        <v>323</v>
      </c>
      <c r="I38" s="65" t="s">
        <v>404</v>
      </c>
      <c r="J38" s="55">
        <v>45678</v>
      </c>
      <c r="K38" s="98" t="s">
        <v>499</v>
      </c>
      <c r="L38" s="108" t="s">
        <v>498</v>
      </c>
      <c r="M38" s="98" t="s">
        <v>497</v>
      </c>
      <c r="N38" s="53" t="s">
        <v>522</v>
      </c>
      <c r="O38" s="92"/>
      <c r="P38" s="92">
        <v>5000</v>
      </c>
      <c r="Q38" s="57"/>
      <c r="R38" s="53" t="s">
        <v>417</v>
      </c>
      <c r="S38" s="94">
        <v>250000</v>
      </c>
      <c r="T38" s="61">
        <f t="shared" si="9"/>
        <v>1250000</v>
      </c>
    </row>
    <row r="39" spans="1:20" s="63" customFormat="1" ht="13.5" customHeight="1" x14ac:dyDescent="0.25">
      <c r="A39" s="65" t="s">
        <v>489</v>
      </c>
      <c r="B39" s="92" t="s">
        <v>517</v>
      </c>
      <c r="C39" s="92" t="s">
        <v>507</v>
      </c>
      <c r="D39" s="93" t="s">
        <v>237</v>
      </c>
      <c r="E39" s="56" t="s">
        <v>377</v>
      </c>
      <c r="F39" s="92">
        <v>20000</v>
      </c>
      <c r="G39" s="65">
        <v>800</v>
      </c>
      <c r="H39" s="65" t="s">
        <v>508</v>
      </c>
      <c r="I39" s="65" t="s">
        <v>404</v>
      </c>
      <c r="J39" s="55">
        <v>45679</v>
      </c>
      <c r="K39" s="169" t="s">
        <v>547</v>
      </c>
      <c r="L39" s="166">
        <v>89870328804</v>
      </c>
      <c r="M39" s="53" t="s">
        <v>546</v>
      </c>
      <c r="N39" s="139"/>
      <c r="O39" s="92">
        <v>20000</v>
      </c>
      <c r="P39" s="92"/>
      <c r="Q39" s="53"/>
      <c r="R39" s="53" t="s">
        <v>417</v>
      </c>
      <c r="S39" s="94">
        <v>41500</v>
      </c>
      <c r="T39" s="61">
        <f xml:space="preserve"> S39*(F39/1000)</f>
        <v>830000</v>
      </c>
    </row>
    <row r="40" spans="1:20" s="63" customFormat="1" ht="13.5" customHeight="1" x14ac:dyDescent="0.25">
      <c r="A40" s="65" t="s">
        <v>316</v>
      </c>
      <c r="B40" s="92" t="s">
        <v>502</v>
      </c>
      <c r="C40" s="92" t="s">
        <v>284</v>
      </c>
      <c r="D40" s="93" t="s">
        <v>223</v>
      </c>
      <c r="E40" s="56" t="s">
        <v>479</v>
      </c>
      <c r="F40" s="92">
        <v>5000</v>
      </c>
      <c r="G40" s="65">
        <v>200</v>
      </c>
      <c r="H40" s="65" t="s">
        <v>323</v>
      </c>
      <c r="I40" s="65" t="s">
        <v>404</v>
      </c>
      <c r="J40" s="55">
        <v>45679</v>
      </c>
      <c r="K40" s="98" t="s">
        <v>528</v>
      </c>
      <c r="L40" s="108">
        <v>89828372567</v>
      </c>
      <c r="M40" s="98" t="s">
        <v>527</v>
      </c>
      <c r="N40" s="53" t="s">
        <v>523</v>
      </c>
      <c r="O40" s="92"/>
      <c r="P40" s="92">
        <v>5000</v>
      </c>
      <c r="Q40" s="57"/>
      <c r="R40" s="53" t="s">
        <v>417</v>
      </c>
      <c r="S40" s="94">
        <v>250000</v>
      </c>
      <c r="T40" s="61">
        <f t="shared" ref="T40:T63" si="10" xml:space="preserve"> S40*(F40/1000)</f>
        <v>1250000</v>
      </c>
    </row>
    <row r="41" spans="1:20" s="63" customFormat="1" ht="13.5" customHeight="1" x14ac:dyDescent="0.25">
      <c r="A41" s="65" t="s">
        <v>316</v>
      </c>
      <c r="B41" s="92" t="s">
        <v>502</v>
      </c>
      <c r="C41" s="92" t="s">
        <v>284</v>
      </c>
      <c r="D41" s="93" t="s">
        <v>223</v>
      </c>
      <c r="E41" s="56" t="s">
        <v>503</v>
      </c>
      <c r="F41" s="92">
        <v>5000</v>
      </c>
      <c r="G41" s="65">
        <v>200</v>
      </c>
      <c r="H41" s="65" t="s">
        <v>323</v>
      </c>
      <c r="I41" s="65" t="s">
        <v>404</v>
      </c>
      <c r="J41" s="55">
        <v>45679</v>
      </c>
      <c r="K41" s="98" t="s">
        <v>528</v>
      </c>
      <c r="L41" s="108">
        <v>89828372567</v>
      </c>
      <c r="M41" s="98" t="s">
        <v>527</v>
      </c>
      <c r="N41" s="53" t="s">
        <v>524</v>
      </c>
      <c r="O41" s="92"/>
      <c r="P41" s="92">
        <v>5000</v>
      </c>
      <c r="Q41" s="57"/>
      <c r="R41" s="53" t="s">
        <v>417</v>
      </c>
      <c r="S41" s="94">
        <v>250000</v>
      </c>
      <c r="T41" s="61">
        <f t="shared" si="10"/>
        <v>1250000</v>
      </c>
    </row>
    <row r="42" spans="1:20" s="63" customFormat="1" ht="13.5" customHeight="1" x14ac:dyDescent="0.25">
      <c r="A42" s="65" t="s">
        <v>316</v>
      </c>
      <c r="B42" s="92" t="s">
        <v>502</v>
      </c>
      <c r="C42" s="92" t="s">
        <v>284</v>
      </c>
      <c r="D42" s="93" t="s">
        <v>223</v>
      </c>
      <c r="E42" s="56" t="s">
        <v>504</v>
      </c>
      <c r="F42" s="92">
        <v>5000</v>
      </c>
      <c r="G42" s="65">
        <v>200</v>
      </c>
      <c r="H42" s="65" t="s">
        <v>323</v>
      </c>
      <c r="I42" s="65" t="s">
        <v>404</v>
      </c>
      <c r="J42" s="55">
        <v>45679</v>
      </c>
      <c r="K42" s="98" t="s">
        <v>528</v>
      </c>
      <c r="L42" s="108">
        <v>89828372567</v>
      </c>
      <c r="M42" s="98" t="s">
        <v>527</v>
      </c>
      <c r="N42" s="53" t="s">
        <v>525</v>
      </c>
      <c r="O42" s="92"/>
      <c r="P42" s="92">
        <v>5000</v>
      </c>
      <c r="Q42" s="57"/>
      <c r="R42" s="53" t="s">
        <v>417</v>
      </c>
      <c r="S42" s="94">
        <v>250000</v>
      </c>
      <c r="T42" s="61">
        <f t="shared" si="10"/>
        <v>1250000</v>
      </c>
    </row>
    <row r="43" spans="1:20" s="63" customFormat="1" ht="13.5" customHeight="1" x14ac:dyDescent="0.25">
      <c r="A43" s="65" t="s">
        <v>316</v>
      </c>
      <c r="B43" s="92" t="s">
        <v>502</v>
      </c>
      <c r="C43" s="92" t="s">
        <v>284</v>
      </c>
      <c r="D43" s="93" t="s">
        <v>223</v>
      </c>
      <c r="E43" s="56" t="s">
        <v>506</v>
      </c>
      <c r="F43" s="92">
        <v>5000</v>
      </c>
      <c r="G43" s="65">
        <v>200</v>
      </c>
      <c r="H43" s="65" t="s">
        <v>323</v>
      </c>
      <c r="I43" s="65" t="s">
        <v>404</v>
      </c>
      <c r="J43" s="55">
        <v>45679</v>
      </c>
      <c r="K43" s="98" t="s">
        <v>528</v>
      </c>
      <c r="L43" s="108">
        <v>89828372567</v>
      </c>
      <c r="M43" s="98" t="s">
        <v>527</v>
      </c>
      <c r="N43" s="53" t="s">
        <v>526</v>
      </c>
      <c r="O43" s="92"/>
      <c r="P43" s="92">
        <v>5000</v>
      </c>
      <c r="Q43" s="57"/>
      <c r="R43" s="53" t="s">
        <v>417</v>
      </c>
      <c r="S43" s="94">
        <v>250000</v>
      </c>
      <c r="T43" s="61">
        <f t="shared" si="10"/>
        <v>1250000</v>
      </c>
    </row>
    <row r="44" spans="1:20" s="63" customFormat="1" ht="13.5" customHeight="1" x14ac:dyDescent="0.25">
      <c r="A44" s="65" t="s">
        <v>489</v>
      </c>
      <c r="B44" s="92" t="s">
        <v>468</v>
      </c>
      <c r="C44" s="92" t="s">
        <v>451</v>
      </c>
      <c r="D44" s="93" t="s">
        <v>223</v>
      </c>
      <c r="E44" s="56" t="s">
        <v>453</v>
      </c>
      <c r="F44" s="92">
        <v>17000</v>
      </c>
      <c r="G44" s="65">
        <v>680</v>
      </c>
      <c r="H44" s="65" t="s">
        <v>452</v>
      </c>
      <c r="I44" s="171" t="s">
        <v>404</v>
      </c>
      <c r="J44" s="55">
        <v>45680</v>
      </c>
      <c r="K44" s="53" t="s">
        <v>550</v>
      </c>
      <c r="L44" s="166">
        <v>89822700453</v>
      </c>
      <c r="M44" s="53" t="s">
        <v>549</v>
      </c>
      <c r="N44" s="55"/>
      <c r="O44" s="92"/>
      <c r="P44" s="92">
        <v>17000</v>
      </c>
      <c r="Q44" s="92"/>
      <c r="R44" s="53" t="s">
        <v>417</v>
      </c>
      <c r="S44" s="94">
        <v>250000</v>
      </c>
      <c r="T44" s="61">
        <f t="shared" si="10"/>
        <v>4250000</v>
      </c>
    </row>
    <row r="45" spans="1:20" s="63" customFormat="1" ht="13.5" customHeight="1" x14ac:dyDescent="0.25">
      <c r="A45" s="65" t="s">
        <v>489</v>
      </c>
      <c r="B45" s="92" t="s">
        <v>468</v>
      </c>
      <c r="C45" s="92" t="s">
        <v>451</v>
      </c>
      <c r="D45" s="93" t="s">
        <v>222</v>
      </c>
      <c r="E45" s="56" t="s">
        <v>473</v>
      </c>
      <c r="F45" s="92">
        <v>3000</v>
      </c>
      <c r="G45" s="65">
        <v>120</v>
      </c>
      <c r="H45" s="65" t="s">
        <v>452</v>
      </c>
      <c r="I45" s="171" t="s">
        <v>404</v>
      </c>
      <c r="J45" s="55">
        <v>45680</v>
      </c>
      <c r="K45" s="53" t="s">
        <v>550</v>
      </c>
      <c r="L45" s="166">
        <v>89822700453</v>
      </c>
      <c r="M45" s="53" t="s">
        <v>549</v>
      </c>
      <c r="N45" s="55"/>
      <c r="O45" s="92">
        <v>3000</v>
      </c>
      <c r="P45" s="57"/>
      <c r="Q45" s="92"/>
      <c r="R45" s="53" t="s">
        <v>417</v>
      </c>
      <c r="S45" s="94">
        <v>43500</v>
      </c>
      <c r="T45" s="61">
        <f t="shared" si="10"/>
        <v>130500</v>
      </c>
    </row>
    <row r="46" spans="1:20" s="63" customFormat="1" ht="13.5" customHeight="1" x14ac:dyDescent="0.25">
      <c r="A46" s="65" t="s">
        <v>489</v>
      </c>
      <c r="B46" s="92" t="s">
        <v>469</v>
      </c>
      <c r="C46" s="92" t="s">
        <v>451</v>
      </c>
      <c r="D46" s="93" t="s">
        <v>222</v>
      </c>
      <c r="E46" s="56" t="s">
        <v>473</v>
      </c>
      <c r="F46" s="92">
        <v>20000</v>
      </c>
      <c r="G46" s="65">
        <v>800</v>
      </c>
      <c r="H46" s="65" t="s">
        <v>452</v>
      </c>
      <c r="I46" s="171" t="s">
        <v>404</v>
      </c>
      <c r="J46" s="55">
        <v>45680</v>
      </c>
      <c r="K46" s="53" t="s">
        <v>552</v>
      </c>
      <c r="L46" s="166">
        <v>89024744843</v>
      </c>
      <c r="M46" s="53" t="s">
        <v>551</v>
      </c>
      <c r="N46" s="55"/>
      <c r="O46" s="92">
        <v>20000</v>
      </c>
      <c r="P46" s="57"/>
      <c r="Q46" s="92"/>
      <c r="R46" s="53" t="s">
        <v>417</v>
      </c>
      <c r="S46" s="94">
        <v>43500</v>
      </c>
      <c r="T46" s="61">
        <f t="shared" si="10"/>
        <v>870000</v>
      </c>
    </row>
    <row r="47" spans="1:20" s="63" customFormat="1" ht="13.5" customHeight="1" x14ac:dyDescent="0.25">
      <c r="A47" s="65" t="s">
        <v>489</v>
      </c>
      <c r="B47" s="92" t="s">
        <v>459</v>
      </c>
      <c r="C47" s="92" t="s">
        <v>287</v>
      </c>
      <c r="D47" s="93" t="s">
        <v>383</v>
      </c>
      <c r="E47" s="56" t="s">
        <v>410</v>
      </c>
      <c r="F47" s="92">
        <v>21000</v>
      </c>
      <c r="G47" s="65">
        <v>840</v>
      </c>
      <c r="H47" s="65" t="s">
        <v>165</v>
      </c>
      <c r="I47" s="65" t="s">
        <v>404</v>
      </c>
      <c r="J47" s="55">
        <v>45680</v>
      </c>
      <c r="K47" s="170" t="s">
        <v>563</v>
      </c>
      <c r="L47" s="108">
        <v>89824417172</v>
      </c>
      <c r="M47" s="98" t="s">
        <v>562</v>
      </c>
      <c r="N47" s="139"/>
      <c r="O47" s="92">
        <v>21000</v>
      </c>
      <c r="P47" s="57"/>
      <c r="Q47" s="92"/>
      <c r="R47" s="53" t="s">
        <v>417</v>
      </c>
      <c r="S47" s="94">
        <v>37000</v>
      </c>
      <c r="T47" s="61">
        <f t="shared" si="10"/>
        <v>777000</v>
      </c>
    </row>
    <row r="48" spans="1:20" s="63" customFormat="1" ht="13.5" customHeight="1" x14ac:dyDescent="0.25">
      <c r="A48" s="65" t="s">
        <v>448</v>
      </c>
      <c r="B48" s="92" t="s">
        <v>510</v>
      </c>
      <c r="C48" s="92" t="s">
        <v>284</v>
      </c>
      <c r="D48" s="93" t="s">
        <v>223</v>
      </c>
      <c r="E48" s="56" t="s">
        <v>511</v>
      </c>
      <c r="F48" s="92">
        <v>5000</v>
      </c>
      <c r="G48" s="65">
        <v>200</v>
      </c>
      <c r="H48" s="65" t="s">
        <v>323</v>
      </c>
      <c r="I48" s="65" t="s">
        <v>404</v>
      </c>
      <c r="J48" s="55">
        <v>45681</v>
      </c>
      <c r="K48" s="98" t="s">
        <v>564</v>
      </c>
      <c r="L48" s="108">
        <v>89878642241</v>
      </c>
      <c r="M48" s="98" t="s">
        <v>565</v>
      </c>
      <c r="N48" s="165" t="s">
        <v>542</v>
      </c>
      <c r="O48" s="92"/>
      <c r="P48" s="92">
        <v>5000</v>
      </c>
      <c r="Q48" s="57"/>
      <c r="R48" s="53" t="s">
        <v>417</v>
      </c>
      <c r="S48" s="94">
        <v>250000</v>
      </c>
      <c r="T48" s="61">
        <f t="shared" si="10"/>
        <v>1250000</v>
      </c>
    </row>
    <row r="49" spans="1:20" s="63" customFormat="1" ht="13.5" customHeight="1" x14ac:dyDescent="0.25">
      <c r="A49" s="65" t="s">
        <v>448</v>
      </c>
      <c r="B49" s="92" t="s">
        <v>510</v>
      </c>
      <c r="C49" s="92" t="s">
        <v>284</v>
      </c>
      <c r="D49" s="93" t="s">
        <v>223</v>
      </c>
      <c r="E49" s="56" t="s">
        <v>513</v>
      </c>
      <c r="F49" s="92">
        <v>5000</v>
      </c>
      <c r="G49" s="65">
        <v>200</v>
      </c>
      <c r="H49" s="65" t="s">
        <v>323</v>
      </c>
      <c r="I49" s="65" t="s">
        <v>404</v>
      </c>
      <c r="J49" s="55">
        <v>45681</v>
      </c>
      <c r="K49" s="98" t="s">
        <v>564</v>
      </c>
      <c r="L49" s="108">
        <v>89878642241</v>
      </c>
      <c r="M49" s="98" t="s">
        <v>565</v>
      </c>
      <c r="N49" s="53" t="s">
        <v>543</v>
      </c>
      <c r="O49" s="92"/>
      <c r="P49" s="92">
        <v>5000</v>
      </c>
      <c r="Q49" s="57"/>
      <c r="R49" s="53" t="s">
        <v>417</v>
      </c>
      <c r="S49" s="94">
        <v>250000</v>
      </c>
      <c r="T49" s="61">
        <f t="shared" si="10"/>
        <v>1250000</v>
      </c>
    </row>
    <row r="50" spans="1:20" s="63" customFormat="1" ht="13.5" customHeight="1" x14ac:dyDescent="0.25">
      <c r="A50" s="65" t="s">
        <v>448</v>
      </c>
      <c r="B50" s="92" t="s">
        <v>510</v>
      </c>
      <c r="C50" s="92" t="s">
        <v>284</v>
      </c>
      <c r="D50" s="93" t="s">
        <v>223</v>
      </c>
      <c r="E50" s="56" t="s">
        <v>514</v>
      </c>
      <c r="F50" s="92">
        <v>5000</v>
      </c>
      <c r="G50" s="65">
        <v>200</v>
      </c>
      <c r="H50" s="65" t="s">
        <v>323</v>
      </c>
      <c r="I50" s="65" t="s">
        <v>404</v>
      </c>
      <c r="J50" s="55">
        <v>45681</v>
      </c>
      <c r="K50" s="98" t="s">
        <v>564</v>
      </c>
      <c r="L50" s="108">
        <v>89878642241</v>
      </c>
      <c r="M50" s="98" t="s">
        <v>565</v>
      </c>
      <c r="N50" s="53" t="s">
        <v>544</v>
      </c>
      <c r="O50" s="92"/>
      <c r="P50" s="92">
        <v>5000</v>
      </c>
      <c r="Q50" s="57"/>
      <c r="R50" s="53" t="s">
        <v>417</v>
      </c>
      <c r="S50" s="94">
        <v>250000</v>
      </c>
      <c r="T50" s="61">
        <f t="shared" si="10"/>
        <v>1250000</v>
      </c>
    </row>
    <row r="51" spans="1:20" s="63" customFormat="1" ht="13.5" customHeight="1" x14ac:dyDescent="0.25">
      <c r="A51" s="65" t="s">
        <v>448</v>
      </c>
      <c r="B51" s="92" t="s">
        <v>510</v>
      </c>
      <c r="C51" s="92" t="s">
        <v>284</v>
      </c>
      <c r="D51" s="93" t="s">
        <v>223</v>
      </c>
      <c r="E51" s="56" t="s">
        <v>533</v>
      </c>
      <c r="F51" s="92">
        <v>5000</v>
      </c>
      <c r="G51" s="65">
        <v>200</v>
      </c>
      <c r="H51" s="65" t="s">
        <v>323</v>
      </c>
      <c r="I51" s="65" t="s">
        <v>404</v>
      </c>
      <c r="J51" s="55">
        <v>45681</v>
      </c>
      <c r="K51" s="98" t="s">
        <v>564</v>
      </c>
      <c r="L51" s="108">
        <v>89878642241</v>
      </c>
      <c r="M51" s="98" t="s">
        <v>565</v>
      </c>
      <c r="N51" s="53" t="s">
        <v>545</v>
      </c>
      <c r="O51" s="92"/>
      <c r="P51" s="92">
        <v>5000</v>
      </c>
      <c r="Q51" s="57"/>
      <c r="R51" s="53" t="s">
        <v>417</v>
      </c>
      <c r="S51" s="94">
        <v>250000</v>
      </c>
      <c r="T51" s="61">
        <f t="shared" si="10"/>
        <v>1250000</v>
      </c>
    </row>
    <row r="52" spans="1:20" s="63" customFormat="1" ht="13.5" customHeight="1" x14ac:dyDescent="0.25">
      <c r="A52" s="65" t="s">
        <v>303</v>
      </c>
      <c r="B52" s="57" t="s">
        <v>344</v>
      </c>
      <c r="C52" s="57" t="s">
        <v>164</v>
      </c>
      <c r="D52" s="93" t="s">
        <v>195</v>
      </c>
      <c r="E52" s="167" t="s">
        <v>329</v>
      </c>
      <c r="F52" s="92">
        <v>7400</v>
      </c>
      <c r="G52" s="65">
        <v>40</v>
      </c>
      <c r="H52" s="65" t="s">
        <v>166</v>
      </c>
      <c r="I52" s="65" t="s">
        <v>404</v>
      </c>
      <c r="J52" s="55">
        <v>45682</v>
      </c>
      <c r="K52" s="99" t="s">
        <v>572</v>
      </c>
      <c r="L52" s="108">
        <v>89115583359</v>
      </c>
      <c r="M52" s="98" t="s">
        <v>571</v>
      </c>
      <c r="N52" s="172" t="s">
        <v>588</v>
      </c>
      <c r="O52" s="92"/>
      <c r="P52" s="57"/>
      <c r="Q52" s="92">
        <v>7400</v>
      </c>
      <c r="R52" s="168" t="s">
        <v>417</v>
      </c>
      <c r="S52" s="94">
        <v>125000</v>
      </c>
      <c r="T52" s="61">
        <f t="shared" si="10"/>
        <v>925000</v>
      </c>
    </row>
    <row r="53" spans="1:20" s="63" customFormat="1" ht="13.5" customHeight="1" x14ac:dyDescent="0.25">
      <c r="A53" s="65" t="s">
        <v>303</v>
      </c>
      <c r="B53" s="57" t="s">
        <v>344</v>
      </c>
      <c r="C53" s="57" t="s">
        <v>164</v>
      </c>
      <c r="D53" s="93" t="s">
        <v>195</v>
      </c>
      <c r="E53" s="167" t="s">
        <v>330</v>
      </c>
      <c r="F53" s="92">
        <v>7400</v>
      </c>
      <c r="G53" s="65">
        <v>40</v>
      </c>
      <c r="H53" s="65" t="s">
        <v>166</v>
      </c>
      <c r="I53" s="65" t="s">
        <v>404</v>
      </c>
      <c r="J53" s="55">
        <v>45682</v>
      </c>
      <c r="K53" s="99" t="s">
        <v>572</v>
      </c>
      <c r="L53" s="108">
        <v>89115583359</v>
      </c>
      <c r="M53" s="98" t="s">
        <v>571</v>
      </c>
      <c r="N53" s="172" t="s">
        <v>588</v>
      </c>
      <c r="O53" s="92"/>
      <c r="P53" s="57"/>
      <c r="Q53" s="92">
        <v>7400</v>
      </c>
      <c r="R53" s="168" t="s">
        <v>417</v>
      </c>
      <c r="S53" s="94">
        <v>125000</v>
      </c>
      <c r="T53" s="61">
        <f t="shared" si="10"/>
        <v>925000</v>
      </c>
    </row>
    <row r="54" spans="1:20" s="63" customFormat="1" ht="13.5" customHeight="1" x14ac:dyDescent="0.25">
      <c r="A54" s="65" t="s">
        <v>303</v>
      </c>
      <c r="B54" s="57" t="s">
        <v>345</v>
      </c>
      <c r="C54" s="57" t="s">
        <v>164</v>
      </c>
      <c r="D54" s="93" t="s">
        <v>195</v>
      </c>
      <c r="E54" s="167" t="s">
        <v>332</v>
      </c>
      <c r="F54" s="92">
        <v>7400</v>
      </c>
      <c r="G54" s="65">
        <v>40</v>
      </c>
      <c r="H54" s="65" t="s">
        <v>166</v>
      </c>
      <c r="I54" s="65" t="s">
        <v>404</v>
      </c>
      <c r="J54" s="55">
        <v>45682</v>
      </c>
      <c r="K54" s="99" t="s">
        <v>572</v>
      </c>
      <c r="L54" s="108">
        <v>89115583359</v>
      </c>
      <c r="M54" s="98" t="s">
        <v>571</v>
      </c>
      <c r="N54" s="172" t="s">
        <v>589</v>
      </c>
      <c r="O54" s="92"/>
      <c r="P54" s="57"/>
      <c r="Q54" s="92">
        <v>7400</v>
      </c>
      <c r="R54" s="168" t="s">
        <v>417</v>
      </c>
      <c r="S54" s="94">
        <v>125000</v>
      </c>
      <c r="T54" s="61">
        <f t="shared" si="10"/>
        <v>925000</v>
      </c>
    </row>
    <row r="55" spans="1:20" s="63" customFormat="1" ht="13.5" customHeight="1" x14ac:dyDescent="0.25">
      <c r="A55" s="65" t="s">
        <v>303</v>
      </c>
      <c r="B55" s="57" t="s">
        <v>345</v>
      </c>
      <c r="C55" s="57" t="s">
        <v>164</v>
      </c>
      <c r="D55" s="93" t="s">
        <v>195</v>
      </c>
      <c r="E55" s="167" t="s">
        <v>334</v>
      </c>
      <c r="F55" s="92">
        <v>7400</v>
      </c>
      <c r="G55" s="65">
        <v>40</v>
      </c>
      <c r="H55" s="65" t="s">
        <v>166</v>
      </c>
      <c r="I55" s="65" t="s">
        <v>404</v>
      </c>
      <c r="J55" s="55">
        <v>45682</v>
      </c>
      <c r="K55" s="99" t="s">
        <v>572</v>
      </c>
      <c r="L55" s="108">
        <v>89115583359</v>
      </c>
      <c r="M55" s="98" t="s">
        <v>571</v>
      </c>
      <c r="N55" s="172" t="s">
        <v>589</v>
      </c>
      <c r="O55" s="92"/>
      <c r="P55" s="57"/>
      <c r="Q55" s="92">
        <v>7400</v>
      </c>
      <c r="R55" s="168" t="s">
        <v>417</v>
      </c>
      <c r="S55" s="94">
        <v>125000</v>
      </c>
      <c r="T55" s="61">
        <f t="shared" si="10"/>
        <v>925000</v>
      </c>
    </row>
    <row r="56" spans="1:20" s="63" customFormat="1" ht="13.5" customHeight="1" x14ac:dyDescent="0.25">
      <c r="A56" s="65" t="s">
        <v>303</v>
      </c>
      <c r="B56" s="57" t="s">
        <v>346</v>
      </c>
      <c r="C56" s="57" t="s">
        <v>164</v>
      </c>
      <c r="D56" s="93" t="s">
        <v>195</v>
      </c>
      <c r="E56" s="167" t="s">
        <v>335</v>
      </c>
      <c r="F56" s="92">
        <v>7215</v>
      </c>
      <c r="G56" s="65">
        <v>39</v>
      </c>
      <c r="H56" s="65" t="s">
        <v>166</v>
      </c>
      <c r="I56" s="65" t="s">
        <v>404</v>
      </c>
      <c r="J56" s="55">
        <v>45682</v>
      </c>
      <c r="K56" s="98" t="s">
        <v>574</v>
      </c>
      <c r="L56" s="108">
        <v>89116806638</v>
      </c>
      <c r="M56" s="98" t="s">
        <v>573</v>
      </c>
      <c r="N56" s="172" t="s">
        <v>590</v>
      </c>
      <c r="O56" s="92"/>
      <c r="P56" s="57"/>
      <c r="Q56" s="92">
        <v>7215</v>
      </c>
      <c r="R56" s="168" t="s">
        <v>417</v>
      </c>
      <c r="S56" s="94">
        <v>125000</v>
      </c>
      <c r="T56" s="61">
        <f t="shared" si="10"/>
        <v>901875</v>
      </c>
    </row>
    <row r="57" spans="1:20" s="63" customFormat="1" ht="13.5" customHeight="1" x14ac:dyDescent="0.25">
      <c r="A57" s="65" t="s">
        <v>303</v>
      </c>
      <c r="B57" s="57" t="s">
        <v>346</v>
      </c>
      <c r="C57" s="57" t="s">
        <v>164</v>
      </c>
      <c r="D57" s="93" t="s">
        <v>195</v>
      </c>
      <c r="E57" s="167" t="s">
        <v>336</v>
      </c>
      <c r="F57" s="92">
        <v>7585</v>
      </c>
      <c r="G57" s="65">
        <v>41</v>
      </c>
      <c r="H57" s="65" t="s">
        <v>166</v>
      </c>
      <c r="I57" s="65" t="s">
        <v>404</v>
      </c>
      <c r="J57" s="55">
        <v>45682</v>
      </c>
      <c r="K57" s="98" t="s">
        <v>574</v>
      </c>
      <c r="L57" s="108">
        <v>89116806638</v>
      </c>
      <c r="M57" s="98" t="s">
        <v>573</v>
      </c>
      <c r="N57" s="172" t="s">
        <v>590</v>
      </c>
      <c r="O57" s="92"/>
      <c r="P57" s="57"/>
      <c r="Q57" s="92">
        <v>7585</v>
      </c>
      <c r="R57" s="168" t="s">
        <v>417</v>
      </c>
      <c r="S57" s="94">
        <v>125000</v>
      </c>
      <c r="T57" s="61">
        <f t="shared" si="10"/>
        <v>948125</v>
      </c>
    </row>
    <row r="58" spans="1:20" s="63" customFormat="1" ht="13.5" customHeight="1" x14ac:dyDescent="0.25">
      <c r="A58" s="65" t="s">
        <v>303</v>
      </c>
      <c r="B58" s="57" t="s">
        <v>374</v>
      </c>
      <c r="C58" s="57" t="s">
        <v>164</v>
      </c>
      <c r="D58" s="93" t="s">
        <v>195</v>
      </c>
      <c r="E58" s="167" t="s">
        <v>372</v>
      </c>
      <c r="F58" s="92">
        <v>14800</v>
      </c>
      <c r="G58" s="65">
        <v>80</v>
      </c>
      <c r="H58" s="65" t="s">
        <v>166</v>
      </c>
      <c r="I58" s="65" t="s">
        <v>404</v>
      </c>
      <c r="J58" s="55">
        <v>45682</v>
      </c>
      <c r="K58" s="98" t="s">
        <v>574</v>
      </c>
      <c r="L58" s="108">
        <v>89116806638</v>
      </c>
      <c r="M58" s="98" t="s">
        <v>573</v>
      </c>
      <c r="N58" s="163" t="s">
        <v>591</v>
      </c>
      <c r="O58" s="92"/>
      <c r="P58" s="57"/>
      <c r="Q58" s="92">
        <v>14800</v>
      </c>
      <c r="R58" s="168" t="s">
        <v>417</v>
      </c>
      <c r="S58" s="94">
        <v>125000</v>
      </c>
      <c r="T58" s="61">
        <f t="shared" si="10"/>
        <v>1850000</v>
      </c>
    </row>
    <row r="59" spans="1:20" s="63" customFormat="1" ht="13.5" customHeight="1" x14ac:dyDescent="0.25">
      <c r="A59" s="65" t="s">
        <v>495</v>
      </c>
      <c r="B59" s="57" t="s">
        <v>557</v>
      </c>
      <c r="C59" s="57" t="s">
        <v>558</v>
      </c>
      <c r="D59" s="93" t="s">
        <v>226</v>
      </c>
      <c r="E59" s="56" t="s">
        <v>559</v>
      </c>
      <c r="F59" s="92">
        <v>20000</v>
      </c>
      <c r="G59" s="65">
        <v>800</v>
      </c>
      <c r="H59" s="65" t="s">
        <v>493</v>
      </c>
      <c r="I59" s="65" t="s">
        <v>404</v>
      </c>
      <c r="J59" s="55">
        <v>45682</v>
      </c>
      <c r="K59" s="98" t="s">
        <v>576</v>
      </c>
      <c r="L59" s="108">
        <v>89607405606</v>
      </c>
      <c r="M59" s="98" t="s">
        <v>575</v>
      </c>
      <c r="N59" s="162"/>
      <c r="O59" s="92">
        <v>20000</v>
      </c>
      <c r="P59" s="57"/>
      <c r="Q59" s="53"/>
      <c r="R59" s="53" t="s">
        <v>417</v>
      </c>
      <c r="S59" s="94">
        <v>41000</v>
      </c>
      <c r="T59" s="61">
        <f t="shared" si="10"/>
        <v>820000</v>
      </c>
    </row>
    <row r="60" spans="1:20" s="63" customFormat="1" ht="13.5" customHeight="1" x14ac:dyDescent="0.25">
      <c r="A60" s="65" t="s">
        <v>570</v>
      </c>
      <c r="B60" s="57" t="s">
        <v>566</v>
      </c>
      <c r="C60" s="57" t="s">
        <v>491</v>
      </c>
      <c r="D60" s="93" t="s">
        <v>222</v>
      </c>
      <c r="E60" s="56" t="s">
        <v>567</v>
      </c>
      <c r="F60" s="92">
        <v>20000</v>
      </c>
      <c r="G60" s="65">
        <v>800</v>
      </c>
      <c r="H60" s="65" t="s">
        <v>493</v>
      </c>
      <c r="I60" s="65" t="s">
        <v>404</v>
      </c>
      <c r="J60" s="55">
        <v>45682</v>
      </c>
      <c r="K60" s="98" t="s">
        <v>578</v>
      </c>
      <c r="L60" s="108">
        <v>89038542116</v>
      </c>
      <c r="M60" s="98" t="s">
        <v>577</v>
      </c>
      <c r="N60" s="162"/>
      <c r="O60" s="92">
        <v>20000</v>
      </c>
      <c r="P60" s="57"/>
      <c r="Q60" s="53"/>
      <c r="R60" s="53" t="s">
        <v>417</v>
      </c>
      <c r="S60" s="94">
        <v>43500</v>
      </c>
      <c r="T60" s="61">
        <f t="shared" si="10"/>
        <v>870000</v>
      </c>
    </row>
    <row r="61" spans="1:20" s="63" customFormat="1" ht="13.5" customHeight="1" x14ac:dyDescent="0.25">
      <c r="A61" s="65" t="s">
        <v>316</v>
      </c>
      <c r="B61" s="57" t="s">
        <v>501</v>
      </c>
      <c r="C61" s="57" t="s">
        <v>432</v>
      </c>
      <c r="D61" s="93" t="s">
        <v>174</v>
      </c>
      <c r="E61" s="56" t="s">
        <v>467</v>
      </c>
      <c r="F61" s="92">
        <v>17600</v>
      </c>
      <c r="G61" s="65">
        <v>88</v>
      </c>
      <c r="H61" s="65" t="s">
        <v>500</v>
      </c>
      <c r="I61" s="171" t="s">
        <v>404</v>
      </c>
      <c r="J61" s="55">
        <v>45684</v>
      </c>
      <c r="K61" s="98" t="s">
        <v>581</v>
      </c>
      <c r="L61" s="108" t="s">
        <v>580</v>
      </c>
      <c r="M61" s="98" t="s">
        <v>579</v>
      </c>
      <c r="N61" s="162"/>
      <c r="O61" s="92"/>
      <c r="P61" s="57"/>
      <c r="Q61" s="92">
        <v>17600</v>
      </c>
      <c r="R61" s="53" t="s">
        <v>417</v>
      </c>
      <c r="S61" s="94">
        <v>178000</v>
      </c>
      <c r="T61" s="61">
        <f t="shared" si="10"/>
        <v>3132800.0000000005</v>
      </c>
    </row>
    <row r="62" spans="1:20" s="63" customFormat="1" ht="13.5" customHeight="1" x14ac:dyDescent="0.25">
      <c r="A62" s="65" t="s">
        <v>316</v>
      </c>
      <c r="B62" s="57" t="s">
        <v>586</v>
      </c>
      <c r="C62" s="57" t="s">
        <v>558</v>
      </c>
      <c r="D62" s="93" t="s">
        <v>309</v>
      </c>
      <c r="E62" s="56" t="s">
        <v>561</v>
      </c>
      <c r="F62" s="92">
        <v>17600</v>
      </c>
      <c r="G62" s="65">
        <v>88</v>
      </c>
      <c r="H62" s="65" t="s">
        <v>560</v>
      </c>
      <c r="I62" s="65" t="s">
        <v>404</v>
      </c>
      <c r="J62" s="55">
        <v>45684</v>
      </c>
      <c r="K62" s="98" t="s">
        <v>585</v>
      </c>
      <c r="L62" s="108">
        <v>89212468604</v>
      </c>
      <c r="M62" s="98" t="s">
        <v>584</v>
      </c>
      <c r="N62" s="162"/>
      <c r="O62" s="92"/>
      <c r="P62" s="57"/>
      <c r="Q62" s="92">
        <v>17600</v>
      </c>
      <c r="R62" s="53" t="s">
        <v>417</v>
      </c>
      <c r="S62" s="94">
        <v>125500</v>
      </c>
      <c r="T62" s="61">
        <f xml:space="preserve"> S62*(F62/1000)</f>
        <v>2208800</v>
      </c>
    </row>
    <row r="63" spans="1:20" s="63" customFormat="1" ht="13.5" customHeight="1" x14ac:dyDescent="0.25">
      <c r="A63" s="65" t="s">
        <v>316</v>
      </c>
      <c r="B63" s="92" t="s">
        <v>532</v>
      </c>
      <c r="C63" s="92" t="s">
        <v>284</v>
      </c>
      <c r="D63" s="93" t="s">
        <v>223</v>
      </c>
      <c r="E63" s="56" t="s">
        <v>512</v>
      </c>
      <c r="F63" s="92">
        <v>5000</v>
      </c>
      <c r="G63" s="65">
        <v>200</v>
      </c>
      <c r="H63" s="65" t="s">
        <v>323</v>
      </c>
      <c r="I63" s="65" t="s">
        <v>404</v>
      </c>
      <c r="J63" s="55">
        <v>45684</v>
      </c>
      <c r="K63" s="98" t="s">
        <v>582</v>
      </c>
      <c r="L63" s="108">
        <v>89878883412</v>
      </c>
      <c r="M63" s="98" t="s">
        <v>583</v>
      </c>
      <c r="N63" s="53" t="s">
        <v>553</v>
      </c>
      <c r="O63" s="92"/>
      <c r="P63" s="92">
        <v>5000</v>
      </c>
      <c r="Q63" s="57"/>
      <c r="R63" s="53" t="s">
        <v>417</v>
      </c>
      <c r="S63" s="94">
        <v>250000</v>
      </c>
      <c r="T63" s="61">
        <f t="shared" si="10"/>
        <v>1250000</v>
      </c>
    </row>
    <row r="64" spans="1:20" s="63" customFormat="1" ht="13.5" customHeight="1" x14ac:dyDescent="0.25">
      <c r="A64" s="65" t="s">
        <v>316</v>
      </c>
      <c r="B64" s="92" t="s">
        <v>532</v>
      </c>
      <c r="C64" s="92" t="s">
        <v>284</v>
      </c>
      <c r="D64" s="93" t="s">
        <v>223</v>
      </c>
      <c r="E64" s="56" t="s">
        <v>534</v>
      </c>
      <c r="F64" s="92">
        <v>5000</v>
      </c>
      <c r="G64" s="65">
        <v>200</v>
      </c>
      <c r="H64" s="65" t="s">
        <v>323</v>
      </c>
      <c r="I64" s="65" t="s">
        <v>404</v>
      </c>
      <c r="J64" s="55">
        <v>45684</v>
      </c>
      <c r="K64" s="98" t="s">
        <v>582</v>
      </c>
      <c r="L64" s="108">
        <v>89878883412</v>
      </c>
      <c r="M64" s="98" t="s">
        <v>583</v>
      </c>
      <c r="N64" s="53" t="s">
        <v>554</v>
      </c>
      <c r="O64" s="92"/>
      <c r="P64" s="92">
        <v>5000</v>
      </c>
      <c r="Q64" s="57"/>
      <c r="R64" s="53" t="s">
        <v>417</v>
      </c>
      <c r="S64" s="94">
        <v>250000</v>
      </c>
      <c r="T64" s="61">
        <f xml:space="preserve"> S64*(F64/1000)</f>
        <v>1250000</v>
      </c>
    </row>
    <row r="65" spans="1:20" s="63" customFormat="1" ht="13.5" customHeight="1" x14ac:dyDescent="0.25">
      <c r="A65" s="65" t="s">
        <v>316</v>
      </c>
      <c r="B65" s="92" t="s">
        <v>532</v>
      </c>
      <c r="C65" s="92" t="s">
        <v>284</v>
      </c>
      <c r="D65" s="93" t="s">
        <v>223</v>
      </c>
      <c r="E65" s="56" t="s">
        <v>535</v>
      </c>
      <c r="F65" s="92">
        <v>5000</v>
      </c>
      <c r="G65" s="65">
        <v>200</v>
      </c>
      <c r="H65" s="65" t="s">
        <v>323</v>
      </c>
      <c r="I65" s="65" t="s">
        <v>404</v>
      </c>
      <c r="J65" s="55">
        <v>45684</v>
      </c>
      <c r="K65" s="98" t="s">
        <v>582</v>
      </c>
      <c r="L65" s="108">
        <v>89878883412</v>
      </c>
      <c r="M65" s="98" t="s">
        <v>583</v>
      </c>
      <c r="N65" s="53" t="s">
        <v>555</v>
      </c>
      <c r="O65" s="92"/>
      <c r="P65" s="92">
        <v>5000</v>
      </c>
      <c r="Q65" s="57"/>
      <c r="R65" s="53" t="s">
        <v>417</v>
      </c>
      <c r="S65" s="94">
        <v>250000</v>
      </c>
      <c r="T65" s="61">
        <f xml:space="preserve"> S65*(F65/1000)</f>
        <v>1250000</v>
      </c>
    </row>
    <row r="66" spans="1:20" s="63" customFormat="1" ht="13.5" customHeight="1" x14ac:dyDescent="0.25">
      <c r="A66" s="65" t="s">
        <v>316</v>
      </c>
      <c r="B66" s="92" t="s">
        <v>532</v>
      </c>
      <c r="C66" s="92" t="s">
        <v>284</v>
      </c>
      <c r="D66" s="93" t="s">
        <v>223</v>
      </c>
      <c r="E66" s="56" t="s">
        <v>536</v>
      </c>
      <c r="F66" s="92">
        <v>5000</v>
      </c>
      <c r="G66" s="65">
        <v>200</v>
      </c>
      <c r="H66" s="65" t="s">
        <v>323</v>
      </c>
      <c r="I66" s="65" t="s">
        <v>404</v>
      </c>
      <c r="J66" s="55">
        <v>45684</v>
      </c>
      <c r="K66" s="98" t="s">
        <v>582</v>
      </c>
      <c r="L66" s="108">
        <v>89878883412</v>
      </c>
      <c r="M66" s="98" t="s">
        <v>583</v>
      </c>
      <c r="N66" s="53" t="s">
        <v>556</v>
      </c>
      <c r="O66" s="92"/>
      <c r="P66" s="92">
        <v>5000</v>
      </c>
      <c r="Q66" s="57"/>
      <c r="R66" s="53" t="s">
        <v>417</v>
      </c>
      <c r="S66" s="94">
        <v>250000</v>
      </c>
      <c r="T66" s="61">
        <f xml:space="preserve"> S66*(F66/1000)</f>
        <v>1250000</v>
      </c>
    </row>
    <row r="67" spans="1:20" s="63" customFormat="1" ht="13.5" customHeight="1" x14ac:dyDescent="0.25">
      <c r="A67" s="65" t="s">
        <v>495</v>
      </c>
      <c r="B67" s="92" t="s">
        <v>529</v>
      </c>
      <c r="C67" s="92" t="s">
        <v>451</v>
      </c>
      <c r="D67" s="93" t="s">
        <v>168</v>
      </c>
      <c r="E67" s="56">
        <v>160125</v>
      </c>
      <c r="F67" s="92">
        <v>17600</v>
      </c>
      <c r="G67" s="65">
        <v>88</v>
      </c>
      <c r="H67" s="65" t="s">
        <v>165</v>
      </c>
      <c r="I67" s="65" t="s">
        <v>404</v>
      </c>
      <c r="J67" s="55">
        <v>45685</v>
      </c>
      <c r="K67" s="53" t="s">
        <v>593</v>
      </c>
      <c r="L67" s="166">
        <v>89123472606</v>
      </c>
      <c r="M67" s="53" t="s">
        <v>592</v>
      </c>
      <c r="N67" s="55"/>
      <c r="O67" s="92"/>
      <c r="P67" s="57"/>
      <c r="Q67" s="92">
        <v>17600</v>
      </c>
      <c r="R67" s="53" t="s">
        <v>417</v>
      </c>
      <c r="S67" s="94">
        <v>89000</v>
      </c>
      <c r="T67" s="61">
        <f t="shared" ref="T67:T88" si="11" xml:space="preserve"> S67*(F67/1000)</f>
        <v>1566400.0000000002</v>
      </c>
    </row>
    <row r="68" spans="1:20" s="63" customFormat="1" ht="13.5" customHeight="1" x14ac:dyDescent="0.25">
      <c r="A68" s="65" t="s">
        <v>311</v>
      </c>
      <c r="B68" s="92" t="s">
        <v>470</v>
      </c>
      <c r="C68" s="92" t="s">
        <v>451</v>
      </c>
      <c r="D68" s="93" t="s">
        <v>222</v>
      </c>
      <c r="E68" s="56" t="s">
        <v>473</v>
      </c>
      <c r="F68" s="92">
        <v>20000</v>
      </c>
      <c r="G68" s="65">
        <v>800</v>
      </c>
      <c r="H68" s="65" t="s">
        <v>452</v>
      </c>
      <c r="I68" s="65" t="s">
        <v>404</v>
      </c>
      <c r="J68" s="55">
        <v>45685</v>
      </c>
      <c r="K68" s="53" t="s">
        <v>607</v>
      </c>
      <c r="L68" s="185" t="s">
        <v>605</v>
      </c>
      <c r="M68" s="53" t="s">
        <v>606</v>
      </c>
      <c r="N68" s="55"/>
      <c r="O68" s="92">
        <v>20000</v>
      </c>
      <c r="P68" s="57"/>
      <c r="Q68" s="92"/>
      <c r="R68" s="53" t="s">
        <v>417</v>
      </c>
      <c r="S68" s="94">
        <v>43500</v>
      </c>
      <c r="T68" s="61">
        <f t="shared" si="11"/>
        <v>870000</v>
      </c>
    </row>
    <row r="69" spans="1:20" s="63" customFormat="1" ht="13.5" customHeight="1" x14ac:dyDescent="0.25">
      <c r="A69" s="65" t="s">
        <v>316</v>
      </c>
      <c r="B69" s="92" t="s">
        <v>472</v>
      </c>
      <c r="C69" s="92" t="s">
        <v>474</v>
      </c>
      <c r="D69" s="93" t="s">
        <v>222</v>
      </c>
      <c r="E69" s="56" t="s">
        <v>464</v>
      </c>
      <c r="F69" s="92">
        <v>15000</v>
      </c>
      <c r="G69" s="65">
        <v>600</v>
      </c>
      <c r="H69" s="65" t="s">
        <v>471</v>
      </c>
      <c r="I69" s="65" t="s">
        <v>404</v>
      </c>
      <c r="J69" s="55">
        <v>45685</v>
      </c>
      <c r="K69" s="53" t="s">
        <v>608</v>
      </c>
      <c r="L69" s="166">
        <v>89512528377</v>
      </c>
      <c r="M69" s="53" t="s">
        <v>604</v>
      </c>
      <c r="N69" s="55"/>
      <c r="O69" s="92">
        <v>15000</v>
      </c>
      <c r="P69" s="57"/>
      <c r="Q69" s="92"/>
      <c r="R69" s="53" t="s">
        <v>417</v>
      </c>
      <c r="S69" s="94">
        <v>43500</v>
      </c>
      <c r="T69" s="61">
        <f t="shared" si="11"/>
        <v>652500</v>
      </c>
    </row>
    <row r="70" spans="1:20" s="63" customFormat="1" ht="13.5" customHeight="1" x14ac:dyDescent="0.25">
      <c r="A70" s="65" t="s">
        <v>316</v>
      </c>
      <c r="B70" s="92" t="s">
        <v>472</v>
      </c>
      <c r="C70" s="92" t="s">
        <v>451</v>
      </c>
      <c r="D70" s="93" t="s">
        <v>194</v>
      </c>
      <c r="E70" s="56" t="s">
        <v>473</v>
      </c>
      <c r="F70" s="92">
        <v>4800</v>
      </c>
      <c r="G70" s="65">
        <v>24</v>
      </c>
      <c r="H70" s="65" t="s">
        <v>471</v>
      </c>
      <c r="I70" s="65" t="s">
        <v>404</v>
      </c>
      <c r="J70" s="55">
        <v>45685</v>
      </c>
      <c r="K70" s="53" t="s">
        <v>608</v>
      </c>
      <c r="L70" s="166">
        <v>89512528377</v>
      </c>
      <c r="M70" s="53" t="s">
        <v>604</v>
      </c>
      <c r="N70" s="162"/>
      <c r="O70" s="92"/>
      <c r="P70" s="57"/>
      <c r="Q70" s="92">
        <v>4800</v>
      </c>
      <c r="R70" s="53" t="s">
        <v>417</v>
      </c>
      <c r="S70" s="94">
        <v>105000</v>
      </c>
      <c r="T70" s="61">
        <f t="shared" si="11"/>
        <v>504000</v>
      </c>
    </row>
    <row r="71" spans="1:20" s="63" customFormat="1" ht="13.5" customHeight="1" x14ac:dyDescent="0.25">
      <c r="A71" s="65" t="s">
        <v>303</v>
      </c>
      <c r="B71" s="57" t="s">
        <v>352</v>
      </c>
      <c r="C71" s="57" t="s">
        <v>164</v>
      </c>
      <c r="D71" s="10" t="s">
        <v>306</v>
      </c>
      <c r="E71" s="167" t="s">
        <v>337</v>
      </c>
      <c r="F71" s="57">
        <v>17500</v>
      </c>
      <c r="G71" s="65">
        <v>700</v>
      </c>
      <c r="H71" s="65" t="s">
        <v>166</v>
      </c>
      <c r="I71" s="65" t="s">
        <v>404</v>
      </c>
      <c r="J71" s="55">
        <v>45685</v>
      </c>
      <c r="K71" s="99" t="s">
        <v>572</v>
      </c>
      <c r="L71" s="105">
        <v>89115583359</v>
      </c>
      <c r="M71" s="62" t="s">
        <v>571</v>
      </c>
      <c r="N71" s="179" t="s">
        <v>626</v>
      </c>
      <c r="O71" s="57">
        <v>17500</v>
      </c>
      <c r="P71" s="53"/>
      <c r="Q71" s="53"/>
      <c r="R71" s="168" t="s">
        <v>417</v>
      </c>
      <c r="S71" s="94">
        <v>48500</v>
      </c>
      <c r="T71" s="61">
        <f t="shared" si="11"/>
        <v>848750</v>
      </c>
    </row>
    <row r="72" spans="1:20" s="63" customFormat="1" ht="13.5" customHeight="1" x14ac:dyDescent="0.25">
      <c r="A72" s="65" t="s">
        <v>303</v>
      </c>
      <c r="B72" s="57" t="s">
        <v>353</v>
      </c>
      <c r="C72" s="57" t="s">
        <v>164</v>
      </c>
      <c r="D72" s="10" t="s">
        <v>306</v>
      </c>
      <c r="E72" s="167" t="s">
        <v>338</v>
      </c>
      <c r="F72" s="57">
        <v>17500</v>
      </c>
      <c r="G72" s="65">
        <v>700</v>
      </c>
      <c r="H72" s="65" t="s">
        <v>166</v>
      </c>
      <c r="I72" s="65" t="s">
        <v>404</v>
      </c>
      <c r="J72" s="55">
        <v>45685</v>
      </c>
      <c r="K72" s="99" t="s">
        <v>572</v>
      </c>
      <c r="L72" s="105">
        <v>89115583359</v>
      </c>
      <c r="M72" s="62" t="s">
        <v>571</v>
      </c>
      <c r="N72" s="179" t="s">
        <v>625</v>
      </c>
      <c r="O72" s="57">
        <v>17500</v>
      </c>
      <c r="P72" s="53"/>
      <c r="Q72" s="53"/>
      <c r="R72" s="168" t="s">
        <v>417</v>
      </c>
      <c r="S72" s="94">
        <v>48500</v>
      </c>
      <c r="T72" s="61">
        <f t="shared" si="11"/>
        <v>848750</v>
      </c>
    </row>
    <row r="73" spans="1:20" s="63" customFormat="1" ht="13.5" customHeight="1" x14ac:dyDescent="0.25">
      <c r="A73" s="65" t="s">
        <v>303</v>
      </c>
      <c r="B73" s="57" t="s">
        <v>354</v>
      </c>
      <c r="C73" s="57" t="s">
        <v>164</v>
      </c>
      <c r="D73" s="10" t="s">
        <v>306</v>
      </c>
      <c r="E73" s="167" t="s">
        <v>339</v>
      </c>
      <c r="F73" s="57">
        <v>17500</v>
      </c>
      <c r="G73" s="65">
        <v>700</v>
      </c>
      <c r="H73" s="65" t="s">
        <v>166</v>
      </c>
      <c r="I73" s="65" t="s">
        <v>404</v>
      </c>
      <c r="J73" s="55">
        <v>45685</v>
      </c>
      <c r="K73" s="99" t="s">
        <v>603</v>
      </c>
      <c r="L73" s="105">
        <v>89095563417</v>
      </c>
      <c r="M73" s="62" t="s">
        <v>602</v>
      </c>
      <c r="N73" s="179" t="s">
        <v>627</v>
      </c>
      <c r="O73" s="57">
        <v>17500</v>
      </c>
      <c r="P73" s="53"/>
      <c r="Q73" s="53"/>
      <c r="R73" s="168" t="s">
        <v>417</v>
      </c>
      <c r="S73" s="94">
        <v>48500</v>
      </c>
      <c r="T73" s="61">
        <f t="shared" si="11"/>
        <v>848750</v>
      </c>
    </row>
    <row r="74" spans="1:20" s="63" customFormat="1" ht="13.5" customHeight="1" x14ac:dyDescent="0.25">
      <c r="A74" s="65" t="s">
        <v>303</v>
      </c>
      <c r="B74" s="57" t="s">
        <v>355</v>
      </c>
      <c r="C74" s="57" t="s">
        <v>164</v>
      </c>
      <c r="D74" s="10" t="s">
        <v>306</v>
      </c>
      <c r="E74" s="167" t="s">
        <v>340</v>
      </c>
      <c r="F74" s="57">
        <v>17500</v>
      </c>
      <c r="G74" s="65">
        <v>700</v>
      </c>
      <c r="H74" s="65" t="s">
        <v>166</v>
      </c>
      <c r="I74" s="65" t="s">
        <v>404</v>
      </c>
      <c r="J74" s="55">
        <v>45685</v>
      </c>
      <c r="K74" s="99" t="s">
        <v>603</v>
      </c>
      <c r="L74" s="105">
        <v>89095563417</v>
      </c>
      <c r="M74" s="62" t="s">
        <v>602</v>
      </c>
      <c r="N74" s="179" t="s">
        <v>628</v>
      </c>
      <c r="O74" s="57">
        <v>17500</v>
      </c>
      <c r="P74" s="53"/>
      <c r="Q74" s="53"/>
      <c r="R74" s="168" t="s">
        <v>417</v>
      </c>
      <c r="S74" s="94">
        <v>48500</v>
      </c>
      <c r="T74" s="61">
        <f t="shared" si="11"/>
        <v>848750</v>
      </c>
    </row>
    <row r="75" spans="1:20" s="63" customFormat="1" ht="13.5" customHeight="1" x14ac:dyDescent="0.25">
      <c r="A75" s="65" t="s">
        <v>311</v>
      </c>
      <c r="B75" s="92" t="s">
        <v>466</v>
      </c>
      <c r="C75" s="92" t="s">
        <v>474</v>
      </c>
      <c r="D75" s="93" t="s">
        <v>222</v>
      </c>
      <c r="E75" s="56" t="s">
        <v>464</v>
      </c>
      <c r="F75" s="92">
        <v>15000</v>
      </c>
      <c r="G75" s="65">
        <v>600</v>
      </c>
      <c r="H75" s="65" t="s">
        <v>165</v>
      </c>
      <c r="I75" s="171" t="s">
        <v>404</v>
      </c>
      <c r="J75" s="55">
        <v>45686</v>
      </c>
      <c r="K75" s="53" t="s">
        <v>609</v>
      </c>
      <c r="L75" s="166">
        <v>89009189331</v>
      </c>
      <c r="M75" s="53" t="s">
        <v>488</v>
      </c>
      <c r="N75" s="55"/>
      <c r="O75" s="92">
        <v>15000</v>
      </c>
      <c r="P75" s="57"/>
      <c r="Q75" s="92"/>
      <c r="R75" s="53" t="s">
        <v>417</v>
      </c>
      <c r="S75" s="94">
        <v>43500</v>
      </c>
      <c r="T75" s="61">
        <f t="shared" si="11"/>
        <v>652500</v>
      </c>
    </row>
    <row r="76" spans="1:20" s="63" customFormat="1" ht="13.5" customHeight="1" x14ac:dyDescent="0.25">
      <c r="A76" s="65" t="s">
        <v>311</v>
      </c>
      <c r="B76" s="92" t="s">
        <v>466</v>
      </c>
      <c r="C76" s="92" t="s">
        <v>451</v>
      </c>
      <c r="D76" s="93" t="s">
        <v>194</v>
      </c>
      <c r="E76" s="56" t="s">
        <v>473</v>
      </c>
      <c r="F76" s="92">
        <v>4000</v>
      </c>
      <c r="G76" s="65">
        <v>20</v>
      </c>
      <c r="H76" s="65" t="s">
        <v>165</v>
      </c>
      <c r="I76" s="171" t="s">
        <v>404</v>
      </c>
      <c r="J76" s="55">
        <v>45686</v>
      </c>
      <c r="K76" s="53" t="s">
        <v>609</v>
      </c>
      <c r="L76" s="166">
        <v>89009189331</v>
      </c>
      <c r="M76" s="53" t="s">
        <v>488</v>
      </c>
      <c r="N76" s="162"/>
      <c r="O76" s="92"/>
      <c r="P76" s="57"/>
      <c r="Q76" s="92">
        <v>4000</v>
      </c>
      <c r="R76" s="53" t="s">
        <v>417</v>
      </c>
      <c r="S76" s="94">
        <v>105000</v>
      </c>
      <c r="T76" s="61">
        <f t="shared" si="11"/>
        <v>420000</v>
      </c>
    </row>
    <row r="77" spans="1:20" s="63" customFormat="1" ht="13.5" customHeight="1" x14ac:dyDescent="0.25">
      <c r="A77" s="65" t="s">
        <v>303</v>
      </c>
      <c r="B77" s="57" t="s">
        <v>356</v>
      </c>
      <c r="C77" s="57" t="s">
        <v>164</v>
      </c>
      <c r="D77" s="10" t="s">
        <v>306</v>
      </c>
      <c r="E77" s="167" t="s">
        <v>341</v>
      </c>
      <c r="F77" s="57">
        <v>17500</v>
      </c>
      <c r="G77" s="65">
        <v>700</v>
      </c>
      <c r="H77" s="65" t="s">
        <v>166</v>
      </c>
      <c r="I77" s="65" t="s">
        <v>404</v>
      </c>
      <c r="J77" s="55">
        <v>45686</v>
      </c>
      <c r="K77" s="99" t="s">
        <v>572</v>
      </c>
      <c r="L77" s="105">
        <v>89115583359</v>
      </c>
      <c r="M77" s="62" t="s">
        <v>571</v>
      </c>
      <c r="N77" s="181" t="s">
        <v>637</v>
      </c>
      <c r="O77" s="57">
        <v>17500</v>
      </c>
      <c r="P77" s="53"/>
      <c r="Q77" s="53"/>
      <c r="R77" s="168" t="s">
        <v>417</v>
      </c>
      <c r="S77" s="94">
        <v>48500</v>
      </c>
      <c r="T77" s="61">
        <f t="shared" si="11"/>
        <v>848750</v>
      </c>
    </row>
    <row r="78" spans="1:20" s="63" customFormat="1" ht="13.5" customHeight="1" x14ac:dyDescent="0.25">
      <c r="A78" s="65" t="s">
        <v>303</v>
      </c>
      <c r="B78" s="57" t="s">
        <v>357</v>
      </c>
      <c r="C78" s="57" t="s">
        <v>164</v>
      </c>
      <c r="D78" s="10" t="s">
        <v>306</v>
      </c>
      <c r="E78" s="167" t="s">
        <v>342</v>
      </c>
      <c r="F78" s="57">
        <v>17500</v>
      </c>
      <c r="G78" s="65">
        <v>700</v>
      </c>
      <c r="H78" s="65" t="s">
        <v>166</v>
      </c>
      <c r="I78" s="65" t="s">
        <v>404</v>
      </c>
      <c r="J78" s="55">
        <v>45686</v>
      </c>
      <c r="K78" s="99" t="s">
        <v>572</v>
      </c>
      <c r="L78" s="105">
        <v>89115583359</v>
      </c>
      <c r="M78" s="62" t="s">
        <v>571</v>
      </c>
      <c r="N78" s="181" t="s">
        <v>641</v>
      </c>
      <c r="O78" s="57">
        <v>17500</v>
      </c>
      <c r="P78" s="53"/>
      <c r="Q78" s="53"/>
      <c r="R78" s="168" t="s">
        <v>417</v>
      </c>
      <c r="S78" s="94">
        <v>48500</v>
      </c>
      <c r="T78" s="61">
        <f t="shared" si="11"/>
        <v>848750</v>
      </c>
    </row>
    <row r="79" spans="1:20" s="63" customFormat="1" ht="13.5" customHeight="1" x14ac:dyDescent="0.25">
      <c r="A79" s="65" t="s">
        <v>303</v>
      </c>
      <c r="B79" s="57" t="s">
        <v>358</v>
      </c>
      <c r="C79" s="57" t="s">
        <v>164</v>
      </c>
      <c r="D79" s="10" t="s">
        <v>306</v>
      </c>
      <c r="E79" s="167" t="s">
        <v>343</v>
      </c>
      <c r="F79" s="57">
        <v>17500</v>
      </c>
      <c r="G79" s="65">
        <v>700</v>
      </c>
      <c r="H79" s="65" t="s">
        <v>166</v>
      </c>
      <c r="I79" s="65" t="s">
        <v>404</v>
      </c>
      <c r="J79" s="55">
        <v>45686</v>
      </c>
      <c r="K79" s="99" t="s">
        <v>603</v>
      </c>
      <c r="L79" s="105">
        <v>89095563417</v>
      </c>
      <c r="M79" s="62" t="s">
        <v>602</v>
      </c>
      <c r="N79" s="181" t="s">
        <v>642</v>
      </c>
      <c r="O79" s="57">
        <v>17500</v>
      </c>
      <c r="P79" s="53"/>
      <c r="Q79" s="53"/>
      <c r="R79" s="168" t="s">
        <v>417</v>
      </c>
      <c r="S79" s="94">
        <v>48500</v>
      </c>
      <c r="T79" s="61">
        <f t="shared" si="11"/>
        <v>848750</v>
      </c>
    </row>
    <row r="80" spans="1:20" s="63" customFormat="1" ht="13.5" customHeight="1" x14ac:dyDescent="0.25">
      <c r="A80" s="65" t="s">
        <v>303</v>
      </c>
      <c r="B80" s="57" t="s">
        <v>359</v>
      </c>
      <c r="C80" s="57" t="s">
        <v>164</v>
      </c>
      <c r="D80" s="10" t="s">
        <v>306</v>
      </c>
      <c r="E80" s="167" t="s">
        <v>347</v>
      </c>
      <c r="F80" s="57">
        <v>17500</v>
      </c>
      <c r="G80" s="65">
        <v>700</v>
      </c>
      <c r="H80" s="65" t="s">
        <v>166</v>
      </c>
      <c r="I80" s="65" t="s">
        <v>404</v>
      </c>
      <c r="J80" s="55">
        <v>45686</v>
      </c>
      <c r="K80" s="99" t="s">
        <v>603</v>
      </c>
      <c r="L80" s="105">
        <v>89095563417</v>
      </c>
      <c r="M80" s="62" t="s">
        <v>602</v>
      </c>
      <c r="N80" s="181" t="s">
        <v>643</v>
      </c>
      <c r="O80" s="57">
        <v>17500</v>
      </c>
      <c r="P80" s="53"/>
      <c r="Q80" s="53"/>
      <c r="R80" s="168" t="s">
        <v>417</v>
      </c>
      <c r="S80" s="94">
        <v>48500</v>
      </c>
      <c r="T80" s="61">
        <f t="shared" si="11"/>
        <v>848750</v>
      </c>
    </row>
    <row r="81" spans="1:20" s="63" customFormat="1" ht="13.5" customHeight="1" x14ac:dyDescent="0.25">
      <c r="A81" s="65" t="s">
        <v>489</v>
      </c>
      <c r="B81" s="57" t="s">
        <v>568</v>
      </c>
      <c r="C81" s="57" t="s">
        <v>491</v>
      </c>
      <c r="D81" s="93" t="s">
        <v>226</v>
      </c>
      <c r="E81" s="56" t="s">
        <v>567</v>
      </c>
      <c r="F81" s="92">
        <v>20000</v>
      </c>
      <c r="G81" s="65">
        <v>800</v>
      </c>
      <c r="H81" s="65" t="s">
        <v>493</v>
      </c>
      <c r="I81" s="65" t="s">
        <v>404</v>
      </c>
      <c r="J81" s="55">
        <v>45687</v>
      </c>
      <c r="K81" s="98" t="s">
        <v>640</v>
      </c>
      <c r="L81" s="108">
        <v>89292371206</v>
      </c>
      <c r="M81" s="98" t="s">
        <v>638</v>
      </c>
      <c r="N81" s="162"/>
      <c r="O81" s="92">
        <v>20000</v>
      </c>
      <c r="P81" s="57"/>
      <c r="Q81" s="53"/>
      <c r="R81" s="53" t="s">
        <v>417</v>
      </c>
      <c r="S81" s="94">
        <v>43500</v>
      </c>
      <c r="T81" s="61">
        <f xml:space="preserve"> S81*(F81/1000)</f>
        <v>870000</v>
      </c>
    </row>
    <row r="82" spans="1:20" s="63" customFormat="1" ht="13.5" customHeight="1" x14ac:dyDescent="0.25">
      <c r="A82" s="65" t="s">
        <v>623</v>
      </c>
      <c r="B82" s="57" t="s">
        <v>616</v>
      </c>
      <c r="C82" s="57" t="s">
        <v>617</v>
      </c>
      <c r="D82" s="93" t="s">
        <v>615</v>
      </c>
      <c r="E82" s="56" t="s">
        <v>621</v>
      </c>
      <c r="F82" s="92">
        <v>25</v>
      </c>
      <c r="G82" s="65">
        <v>1</v>
      </c>
      <c r="H82" s="65" t="s">
        <v>650</v>
      </c>
      <c r="I82" s="65" t="s">
        <v>404</v>
      </c>
      <c r="J82" s="55">
        <v>45687</v>
      </c>
      <c r="K82" s="65" t="s">
        <v>624</v>
      </c>
      <c r="L82" s="108" t="s">
        <v>649</v>
      </c>
      <c r="M82" s="98"/>
      <c r="N82" s="162"/>
      <c r="O82" s="92"/>
      <c r="P82" s="92">
        <v>25</v>
      </c>
      <c r="Q82" s="53"/>
      <c r="R82" s="53" t="s">
        <v>417</v>
      </c>
      <c r="S82" s="94">
        <v>205000</v>
      </c>
      <c r="T82" s="61">
        <f t="shared" si="11"/>
        <v>5125</v>
      </c>
    </row>
    <row r="83" spans="1:20" s="63" customFormat="1" ht="13.5" customHeight="1" x14ac:dyDescent="0.25">
      <c r="A83" s="65" t="s">
        <v>623</v>
      </c>
      <c r="B83" s="57" t="s">
        <v>616</v>
      </c>
      <c r="C83" s="57" t="s">
        <v>617</v>
      </c>
      <c r="D83" s="93" t="s">
        <v>614</v>
      </c>
      <c r="E83" s="56" t="s">
        <v>620</v>
      </c>
      <c r="F83" s="92">
        <v>25</v>
      </c>
      <c r="G83" s="65">
        <v>1</v>
      </c>
      <c r="H83" s="65" t="s">
        <v>650</v>
      </c>
      <c r="I83" s="65" t="s">
        <v>404</v>
      </c>
      <c r="J83" s="55">
        <v>45687</v>
      </c>
      <c r="K83" s="65" t="s">
        <v>624</v>
      </c>
      <c r="L83" s="108" t="s">
        <v>649</v>
      </c>
      <c r="M83" s="98"/>
      <c r="N83" s="162"/>
      <c r="O83" s="92"/>
      <c r="P83" s="92">
        <v>25</v>
      </c>
      <c r="Q83" s="53"/>
      <c r="R83" s="53" t="s">
        <v>417</v>
      </c>
      <c r="S83" s="94">
        <v>205000</v>
      </c>
      <c r="T83" s="61">
        <f t="shared" si="11"/>
        <v>5125</v>
      </c>
    </row>
    <row r="84" spans="1:20" s="63" customFormat="1" ht="13.5" customHeight="1" x14ac:dyDescent="0.25">
      <c r="A84" s="65" t="s">
        <v>623</v>
      </c>
      <c r="B84" s="57" t="s">
        <v>616</v>
      </c>
      <c r="C84" s="57" t="s">
        <v>617</v>
      </c>
      <c r="D84" s="93" t="s">
        <v>613</v>
      </c>
      <c r="E84" s="56" t="s">
        <v>622</v>
      </c>
      <c r="F84" s="92">
        <v>25</v>
      </c>
      <c r="G84" s="65">
        <v>1</v>
      </c>
      <c r="H84" s="65" t="s">
        <v>650</v>
      </c>
      <c r="I84" s="65" t="s">
        <v>404</v>
      </c>
      <c r="J84" s="55">
        <v>45687</v>
      </c>
      <c r="K84" s="65" t="s">
        <v>624</v>
      </c>
      <c r="L84" s="108" t="s">
        <v>649</v>
      </c>
      <c r="M84" s="98"/>
      <c r="N84" s="162"/>
      <c r="O84" s="92"/>
      <c r="P84" s="92">
        <v>25</v>
      </c>
      <c r="Q84" s="53"/>
      <c r="R84" s="53" t="s">
        <v>417</v>
      </c>
      <c r="S84" s="94">
        <v>205000</v>
      </c>
      <c r="T84" s="61">
        <f t="shared" si="11"/>
        <v>5125</v>
      </c>
    </row>
    <row r="85" spans="1:20" s="63" customFormat="1" ht="13.5" customHeight="1" x14ac:dyDescent="0.25">
      <c r="A85" s="65" t="s">
        <v>489</v>
      </c>
      <c r="B85" s="92" t="s">
        <v>537</v>
      </c>
      <c r="C85" s="92" t="s">
        <v>284</v>
      </c>
      <c r="D85" s="93" t="s">
        <v>223</v>
      </c>
      <c r="E85" s="56" t="s">
        <v>538</v>
      </c>
      <c r="F85" s="92">
        <v>5000</v>
      </c>
      <c r="G85" s="65">
        <v>200</v>
      </c>
      <c r="H85" s="65" t="s">
        <v>323</v>
      </c>
      <c r="I85" s="65" t="s">
        <v>404</v>
      </c>
      <c r="J85" s="55">
        <v>45687</v>
      </c>
      <c r="K85" s="98" t="s">
        <v>639</v>
      </c>
      <c r="L85" s="108">
        <v>89203375766</v>
      </c>
      <c r="M85" s="98" t="s">
        <v>636</v>
      </c>
      <c r="N85" s="165" t="s">
        <v>632</v>
      </c>
      <c r="O85" s="92"/>
      <c r="P85" s="92">
        <v>5000</v>
      </c>
      <c r="Q85" s="57"/>
      <c r="R85" s="53" t="s">
        <v>417</v>
      </c>
      <c r="S85" s="94">
        <v>250000</v>
      </c>
      <c r="T85" s="61">
        <f t="shared" si="11"/>
        <v>1250000</v>
      </c>
    </row>
    <row r="86" spans="1:20" s="63" customFormat="1" ht="13.5" customHeight="1" x14ac:dyDescent="0.25">
      <c r="A86" s="65" t="s">
        <v>489</v>
      </c>
      <c r="B86" s="92" t="s">
        <v>537</v>
      </c>
      <c r="C86" s="92" t="s">
        <v>284</v>
      </c>
      <c r="D86" s="93" t="s">
        <v>223</v>
      </c>
      <c r="E86" s="56" t="s">
        <v>539</v>
      </c>
      <c r="F86" s="92">
        <v>5000</v>
      </c>
      <c r="G86" s="65">
        <v>200</v>
      </c>
      <c r="H86" s="65" t="s">
        <v>323</v>
      </c>
      <c r="I86" s="65" t="s">
        <v>404</v>
      </c>
      <c r="J86" s="55">
        <v>45687</v>
      </c>
      <c r="K86" s="98" t="s">
        <v>639</v>
      </c>
      <c r="L86" s="108">
        <v>89203375766</v>
      </c>
      <c r="M86" s="98" t="s">
        <v>636</v>
      </c>
      <c r="N86" s="53" t="s">
        <v>633</v>
      </c>
      <c r="O86" s="92"/>
      <c r="P86" s="92">
        <v>5000</v>
      </c>
      <c r="Q86" s="57"/>
      <c r="R86" s="53" t="s">
        <v>417</v>
      </c>
      <c r="S86" s="94">
        <v>250000</v>
      </c>
      <c r="T86" s="61">
        <f t="shared" si="11"/>
        <v>1250000</v>
      </c>
    </row>
    <row r="87" spans="1:20" s="63" customFormat="1" ht="13.5" customHeight="1" x14ac:dyDescent="0.25">
      <c r="A87" s="65" t="s">
        <v>489</v>
      </c>
      <c r="B87" s="92" t="s">
        <v>537</v>
      </c>
      <c r="C87" s="92" t="s">
        <v>284</v>
      </c>
      <c r="D87" s="93" t="s">
        <v>223</v>
      </c>
      <c r="E87" s="56" t="s">
        <v>540</v>
      </c>
      <c r="F87" s="92">
        <v>5000</v>
      </c>
      <c r="G87" s="65">
        <v>200</v>
      </c>
      <c r="H87" s="65" t="s">
        <v>323</v>
      </c>
      <c r="I87" s="65" t="s">
        <v>404</v>
      </c>
      <c r="J87" s="55">
        <v>45687</v>
      </c>
      <c r="K87" s="98" t="s">
        <v>639</v>
      </c>
      <c r="L87" s="108">
        <v>89203375766</v>
      </c>
      <c r="M87" s="98" t="s">
        <v>636</v>
      </c>
      <c r="N87" s="53" t="s">
        <v>634</v>
      </c>
      <c r="O87" s="92"/>
      <c r="P87" s="92">
        <v>5000</v>
      </c>
      <c r="Q87" s="57"/>
      <c r="R87" s="53" t="s">
        <v>417</v>
      </c>
      <c r="S87" s="94">
        <v>250000</v>
      </c>
      <c r="T87" s="61">
        <f t="shared" si="11"/>
        <v>1250000</v>
      </c>
    </row>
    <row r="88" spans="1:20" s="63" customFormat="1" ht="13.5" customHeight="1" x14ac:dyDescent="0.25">
      <c r="A88" s="65" t="s">
        <v>489</v>
      </c>
      <c r="B88" s="92" t="s">
        <v>537</v>
      </c>
      <c r="C88" s="92" t="s">
        <v>284</v>
      </c>
      <c r="D88" s="93" t="s">
        <v>223</v>
      </c>
      <c r="E88" s="56" t="s">
        <v>541</v>
      </c>
      <c r="F88" s="92">
        <v>5000</v>
      </c>
      <c r="G88" s="65">
        <v>200</v>
      </c>
      <c r="H88" s="65" t="s">
        <v>323</v>
      </c>
      <c r="I88" s="65" t="s">
        <v>404</v>
      </c>
      <c r="J88" s="55">
        <v>45687</v>
      </c>
      <c r="K88" s="98" t="s">
        <v>639</v>
      </c>
      <c r="L88" s="108">
        <v>89203375766</v>
      </c>
      <c r="M88" s="98" t="s">
        <v>636</v>
      </c>
      <c r="N88" s="53" t="s">
        <v>635</v>
      </c>
      <c r="O88" s="92"/>
      <c r="P88" s="92">
        <v>5000</v>
      </c>
      <c r="Q88" s="57"/>
      <c r="R88" s="53" t="s">
        <v>417</v>
      </c>
      <c r="S88" s="94">
        <v>250000</v>
      </c>
      <c r="T88" s="61">
        <f t="shared" si="11"/>
        <v>1250000</v>
      </c>
    </row>
    <row r="89" spans="1:20" s="63" customFormat="1" ht="13.5" customHeight="1" x14ac:dyDescent="0.25">
      <c r="A89" s="65" t="s">
        <v>646</v>
      </c>
      <c r="B89" s="57" t="s">
        <v>569</v>
      </c>
      <c r="C89" s="57" t="s">
        <v>491</v>
      </c>
      <c r="D89" s="93" t="s">
        <v>226</v>
      </c>
      <c r="E89" s="56" t="s">
        <v>567</v>
      </c>
      <c r="F89" s="92">
        <v>20000</v>
      </c>
      <c r="G89" s="65">
        <v>800</v>
      </c>
      <c r="H89" s="65" t="s">
        <v>493</v>
      </c>
      <c r="I89" s="65" t="s">
        <v>404</v>
      </c>
      <c r="J89" s="55">
        <v>45688</v>
      </c>
      <c r="K89" s="98" t="s">
        <v>645</v>
      </c>
      <c r="L89" s="108">
        <v>89509133979</v>
      </c>
      <c r="M89" s="98" t="s">
        <v>644</v>
      </c>
      <c r="N89" s="139"/>
      <c r="O89" s="92">
        <v>20000</v>
      </c>
      <c r="P89" s="57"/>
      <c r="Q89" s="53"/>
      <c r="R89" s="53" t="s">
        <v>417</v>
      </c>
      <c r="S89" s="94">
        <v>43500</v>
      </c>
      <c r="T89" s="61">
        <f t="shared" ref="T89:T90" si="12" xml:space="preserve"> S89*(F89/1000)</f>
        <v>870000</v>
      </c>
    </row>
    <row r="90" spans="1:20" s="63" customFormat="1" ht="13.5" customHeight="1" x14ac:dyDescent="0.25">
      <c r="A90" s="65" t="s">
        <v>597</v>
      </c>
      <c r="B90" s="57" t="s">
        <v>594</v>
      </c>
      <c r="C90" s="57" t="s">
        <v>595</v>
      </c>
      <c r="D90" s="93" t="s">
        <v>222</v>
      </c>
      <c r="E90" s="56" t="s">
        <v>464</v>
      </c>
      <c r="F90" s="92">
        <v>20000</v>
      </c>
      <c r="G90" s="65">
        <v>800</v>
      </c>
      <c r="H90" s="65" t="s">
        <v>596</v>
      </c>
      <c r="I90" s="65" t="s">
        <v>404</v>
      </c>
      <c r="J90" s="55">
        <v>45688</v>
      </c>
      <c r="K90" s="98" t="s">
        <v>611</v>
      </c>
      <c r="L90" s="108" t="s">
        <v>612</v>
      </c>
      <c r="M90" s="98" t="s">
        <v>610</v>
      </c>
      <c r="N90" s="139"/>
      <c r="O90" s="92">
        <v>20000</v>
      </c>
      <c r="P90" s="57"/>
      <c r="Q90" s="53"/>
      <c r="R90" s="53" t="s">
        <v>417</v>
      </c>
      <c r="S90" s="94">
        <v>43500</v>
      </c>
      <c r="T90" s="61">
        <f t="shared" si="12"/>
        <v>870000</v>
      </c>
    </row>
    <row r="91" spans="1:20" ht="18.75" x14ac:dyDescent="0.3">
      <c r="A91" s="159" t="s">
        <v>15</v>
      </c>
      <c r="B91" s="101">
        <f>SUM($F$5:$F$90)/1000</f>
        <v>1007.941</v>
      </c>
      <c r="C91" s="54" t="s">
        <v>14</v>
      </c>
      <c r="S91" s="160"/>
      <c r="T91" s="236">
        <f>SUM(T5:T90)</f>
        <v>94881595</v>
      </c>
    </row>
    <row r="92" spans="1:20" ht="18.75" x14ac:dyDescent="0.3">
      <c r="A92" s="110" t="s">
        <v>16</v>
      </c>
      <c r="B92" s="102">
        <f>$B$93+$B$94+$B$95</f>
        <v>1007.941</v>
      </c>
      <c r="C92" s="1" t="s">
        <v>14</v>
      </c>
      <c r="E92" s="175"/>
      <c r="F92" s="154" t="s">
        <v>321</v>
      </c>
      <c r="G92" s="154"/>
    </row>
    <row r="93" spans="1:20" ht="18.75" x14ac:dyDescent="0.3">
      <c r="A93" s="111" t="s">
        <v>17</v>
      </c>
      <c r="B93" s="100">
        <f>SUM($O$5:$O$90)/1000</f>
        <v>648.45000000000005</v>
      </c>
      <c r="C93" s="2" t="s">
        <v>14</v>
      </c>
      <c r="E93" s="176"/>
      <c r="F93" s="154" t="s">
        <v>319</v>
      </c>
      <c r="G93" s="154"/>
    </row>
    <row r="94" spans="1:20" ht="18.75" x14ac:dyDescent="0.3">
      <c r="A94" s="111" t="s">
        <v>153</v>
      </c>
      <c r="B94" s="100">
        <f>SUM($P$5:$P$90)/1000</f>
        <v>167.07499999999999</v>
      </c>
      <c r="C94" s="2" t="s">
        <v>14</v>
      </c>
      <c r="E94" s="177"/>
      <c r="F94" s="154" t="s">
        <v>318</v>
      </c>
      <c r="G94" s="154"/>
    </row>
    <row r="95" spans="1:20" ht="18.75" x14ac:dyDescent="0.3">
      <c r="A95" s="111" t="s">
        <v>24</v>
      </c>
      <c r="B95" s="103">
        <f>SUM($Q$5:$Q$90)/1000</f>
        <v>192.416</v>
      </c>
      <c r="C95" s="2" t="s">
        <v>14</v>
      </c>
      <c r="E95" s="178"/>
      <c r="F95" s="154" t="s">
        <v>325</v>
      </c>
    </row>
    <row r="96" spans="1:20" ht="30.75" thickBot="1" x14ac:dyDescent="0.35">
      <c r="A96" s="112" t="s">
        <v>20</v>
      </c>
      <c r="B96" s="104">
        <f>$B$91-$B$92</f>
        <v>0</v>
      </c>
      <c r="C96" s="3" t="s">
        <v>14</v>
      </c>
    </row>
  </sheetData>
  <sheetProtection formatCells="0" formatColumns="0" formatRows="0" insertColumns="0" insertRows="0" insertHyperlinks="0" deleteColumns="0" deleteRows="0" sort="0" autoFilter="0" pivotTables="0"/>
  <autoFilter ref="D1:D96" xr:uid="{00000000-0009-0000-0000-00000B000000}"/>
  <mergeCells count="12">
    <mergeCell ref="R2:R3"/>
    <mergeCell ref="A2:A3"/>
    <mergeCell ref="B2:B3"/>
    <mergeCell ref="C2:C3"/>
    <mergeCell ref="D2:D3"/>
    <mergeCell ref="E2:E3"/>
    <mergeCell ref="F2:G2"/>
    <mergeCell ref="H2:H3"/>
    <mergeCell ref="I2:I3"/>
    <mergeCell ref="J2:J3"/>
    <mergeCell ref="K2:M2"/>
    <mergeCell ref="O2:Q2"/>
  </mergeCells>
  <phoneticPr fontId="119" type="noConversion"/>
  <dataValidations count="3">
    <dataValidation type="list" allowBlank="1" showInputMessage="1" showErrorMessage="1" sqref="D91" xr:uid="{00000000-0002-0000-0B00-000000000000}">
      <formula1>$E$91:$E$107</formula1>
    </dataValidation>
    <dataValidation type="list" allowBlank="1" showInputMessage="1" showErrorMessage="1" sqref="D32:D75 D77:D90" xr:uid="{00000000-0002-0000-0B00-000001000000}">
      <formula1>$E$2:$E$159</formula1>
    </dataValidation>
    <dataValidation type="list" allowBlank="1" showInputMessage="1" showErrorMessage="1" sqref="D32 D90 D77:D88 D61:D75 D48:D59 D34:D46 D21:D30" xr:uid="{00000000-0002-0000-0B00-000002000000}">
      <formula1>$E$2:$E$160</formula1>
    </dataValidation>
  </dataValidations>
  <pageMargins left="0.7" right="0.7" top="0.75" bottom="0.75" header="0.3" footer="0.3"/>
  <pageSetup paperSize="9" scale="23" orientation="landscape" r:id="rId1"/>
  <colBreaks count="1" manualBreakCount="1">
    <brk id="1" max="87" man="1"/>
  </colBreaks>
  <ignoredErrors>
    <ignoredError sqref="E76 E82:E83 E70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B00-000003000000}">
          <x14:formula1>
            <xm:f>'D:\YandexDisk\ЗАКАЗЫ общая\[ЗАКАЗЫ 2024.xlsx]справочник'!#REF!</xm:f>
          </x14:formula1>
          <xm:sqref>D31 D76 D44:D46 D68:D70 D34 D39</xm:sqref>
        </x14:dataValidation>
        <x14:dataValidation type="list" allowBlank="1" showInputMessage="1" showErrorMessage="1" xr:uid="{00000000-0002-0000-0B00-000004000000}">
          <x14:formula1>
            <xm:f>справочник!$E$2:$E$173</xm:f>
          </x14:formula1>
          <xm:sqref>D5:D30</xm:sqref>
        </x14:dataValidation>
        <x14:dataValidation type="list" allowBlank="1" showInputMessage="1" showErrorMessage="1" xr:uid="{00000000-0002-0000-0B00-000005000000}">
          <x14:formula1>
            <xm:f>справочник!$E$2:$E$174</xm:f>
          </x14:formula1>
          <xm:sqref>D4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8">
    <tabColor theme="5" tint="0.39997558519241921"/>
  </sheetPr>
  <dimension ref="A1:H180"/>
  <sheetViews>
    <sheetView topLeftCell="A64" workbookViewId="0">
      <selection activeCell="E95" sqref="E95"/>
    </sheetView>
  </sheetViews>
  <sheetFormatPr defaultRowHeight="15" x14ac:dyDescent="0.25"/>
  <cols>
    <col min="1" max="1" width="17.42578125" style="13" customWidth="1"/>
    <col min="2" max="2" width="19.140625" style="13" bestFit="1" customWidth="1"/>
    <col min="3" max="3" width="18.28515625" style="13" customWidth="1"/>
    <col min="5" max="5" width="60.85546875" bestFit="1" customWidth="1"/>
  </cols>
  <sheetData>
    <row r="1" spans="1:6" ht="15.75" x14ac:dyDescent="0.25">
      <c r="E1" s="114" t="s">
        <v>211</v>
      </c>
    </row>
    <row r="2" spans="1:6" ht="15.75" x14ac:dyDescent="0.25">
      <c r="A2" s="13" t="s">
        <v>80</v>
      </c>
      <c r="B2" s="13" t="s">
        <v>81</v>
      </c>
      <c r="C2" s="13" t="s">
        <v>82</v>
      </c>
      <c r="E2" s="116" t="s">
        <v>212</v>
      </c>
    </row>
    <row r="3" spans="1:6" ht="15.75" x14ac:dyDescent="0.25">
      <c r="E3" s="116" t="s">
        <v>1574</v>
      </c>
    </row>
    <row r="4" spans="1:6" ht="15.75" x14ac:dyDescent="0.25">
      <c r="A4" s="6" t="s">
        <v>109</v>
      </c>
      <c r="B4" s="6" t="s">
        <v>74</v>
      </c>
      <c r="C4" s="11">
        <v>89626347052</v>
      </c>
      <c r="E4" s="116" t="s">
        <v>214</v>
      </c>
      <c r="F4" s="115"/>
    </row>
    <row r="5" spans="1:6" ht="15" customHeight="1" x14ac:dyDescent="0.25">
      <c r="A5" s="17" t="s">
        <v>123</v>
      </c>
      <c r="B5" s="14" t="s">
        <v>44</v>
      </c>
      <c r="C5" s="4"/>
      <c r="E5" s="116" t="s">
        <v>216</v>
      </c>
      <c r="F5" s="117"/>
    </row>
    <row r="6" spans="1:6" ht="15" customHeight="1" x14ac:dyDescent="0.25">
      <c r="A6" s="17"/>
      <c r="B6" s="14"/>
      <c r="C6" s="57"/>
      <c r="E6" s="116" t="s">
        <v>218</v>
      </c>
      <c r="F6" s="117"/>
    </row>
    <row r="7" spans="1:6" ht="15" customHeight="1" x14ac:dyDescent="0.25">
      <c r="A7" s="6" t="s">
        <v>124</v>
      </c>
      <c r="B7" s="6" t="s">
        <v>53</v>
      </c>
      <c r="C7" s="6">
        <v>89611891048</v>
      </c>
      <c r="E7" s="116" t="s">
        <v>220</v>
      </c>
      <c r="F7" s="117"/>
    </row>
    <row r="8" spans="1:6" ht="15" customHeight="1" x14ac:dyDescent="0.25">
      <c r="A8" s="6" t="s">
        <v>121</v>
      </c>
      <c r="B8" s="6" t="s">
        <v>100</v>
      </c>
      <c r="C8" s="6">
        <v>89822583038</v>
      </c>
      <c r="E8" s="116" t="s">
        <v>222</v>
      </c>
      <c r="F8" s="117"/>
    </row>
    <row r="9" spans="1:6" ht="15" customHeight="1" x14ac:dyDescent="0.25">
      <c r="A9" s="6"/>
      <c r="B9" s="6"/>
      <c r="C9" s="6"/>
      <c r="E9" s="116" t="s">
        <v>224</v>
      </c>
      <c r="F9" s="117"/>
    </row>
    <row r="10" spans="1:6" ht="15" customHeight="1" x14ac:dyDescent="0.25">
      <c r="A10" s="6" t="s">
        <v>93</v>
      </c>
      <c r="B10" s="6" t="s">
        <v>45</v>
      </c>
      <c r="C10" s="6">
        <v>89126876877</v>
      </c>
      <c r="E10" s="116" t="s">
        <v>226</v>
      </c>
      <c r="F10" s="117"/>
    </row>
    <row r="11" spans="1:6" ht="15" customHeight="1" x14ac:dyDescent="0.25">
      <c r="A11" s="6" t="s">
        <v>122</v>
      </c>
      <c r="B11" s="6" t="s">
        <v>59</v>
      </c>
      <c r="C11" s="6">
        <v>89279885591</v>
      </c>
      <c r="E11" s="116" t="s">
        <v>228</v>
      </c>
      <c r="F11" s="117"/>
    </row>
    <row r="12" spans="1:6" ht="15" customHeight="1" x14ac:dyDescent="0.25">
      <c r="A12" s="14" t="s">
        <v>85</v>
      </c>
      <c r="B12" s="14" t="s">
        <v>42</v>
      </c>
      <c r="C12" s="14">
        <v>89172998065</v>
      </c>
      <c r="E12" s="116" t="s">
        <v>328</v>
      </c>
      <c r="F12" s="117"/>
    </row>
    <row r="13" spans="1:6" ht="15" customHeight="1" x14ac:dyDescent="0.25">
      <c r="A13" s="14"/>
      <c r="B13" s="14"/>
      <c r="C13" s="14"/>
      <c r="E13" s="116" t="s">
        <v>1732</v>
      </c>
      <c r="F13" s="117"/>
    </row>
    <row r="14" spans="1:6" ht="15" customHeight="1" x14ac:dyDescent="0.25">
      <c r="A14" s="14"/>
      <c r="B14" s="14"/>
      <c r="C14" s="14"/>
      <c r="E14" s="116" t="s">
        <v>302</v>
      </c>
      <c r="F14" s="117"/>
    </row>
    <row r="15" spans="1:6" ht="15" customHeight="1" x14ac:dyDescent="0.25">
      <c r="A15" s="14"/>
      <c r="B15" s="14"/>
      <c r="C15" s="14"/>
      <c r="E15" s="116" t="s">
        <v>306</v>
      </c>
      <c r="F15" s="117"/>
    </row>
    <row r="16" spans="1:6" ht="15" customHeight="1" x14ac:dyDescent="0.25">
      <c r="A16" s="6" t="s">
        <v>94</v>
      </c>
      <c r="B16" s="6" t="s">
        <v>46</v>
      </c>
      <c r="C16" s="9">
        <v>89126661600</v>
      </c>
      <c r="E16" s="116" t="s">
        <v>231</v>
      </c>
      <c r="F16" s="117"/>
    </row>
    <row r="17" spans="1:8" ht="15" customHeight="1" x14ac:dyDescent="0.25">
      <c r="A17" s="8" t="s">
        <v>25</v>
      </c>
      <c r="B17" s="7" t="s">
        <v>26</v>
      </c>
      <c r="C17" s="5">
        <v>89824504395</v>
      </c>
      <c r="E17" s="116" t="s">
        <v>233</v>
      </c>
      <c r="F17" s="117"/>
      <c r="H17" s="13"/>
    </row>
    <row r="18" spans="1:8" ht="15" customHeight="1" x14ac:dyDescent="0.25">
      <c r="A18" s="6" t="s">
        <v>92</v>
      </c>
      <c r="B18" s="6" t="s">
        <v>40</v>
      </c>
      <c r="C18" s="6">
        <v>89194660828</v>
      </c>
      <c r="E18" s="116" t="s">
        <v>235</v>
      </c>
      <c r="F18" s="117"/>
    </row>
    <row r="19" spans="1:8" ht="15" customHeight="1" x14ac:dyDescent="0.25">
      <c r="A19" s="65"/>
      <c r="B19" s="65"/>
      <c r="C19" s="65"/>
      <c r="E19" s="116" t="s">
        <v>237</v>
      </c>
      <c r="F19" s="117"/>
    </row>
    <row r="20" spans="1:8" ht="15" customHeight="1" x14ac:dyDescent="0.25">
      <c r="A20" s="6" t="s">
        <v>66</v>
      </c>
      <c r="B20" s="6" t="s">
        <v>65</v>
      </c>
      <c r="C20" s="11">
        <v>89012010372</v>
      </c>
      <c r="E20" s="116" t="s">
        <v>239</v>
      </c>
      <c r="F20" s="117"/>
    </row>
    <row r="21" spans="1:8" ht="15" customHeight="1" x14ac:dyDescent="0.25">
      <c r="A21" s="6" t="s">
        <v>72</v>
      </c>
      <c r="B21" s="6" t="s">
        <v>70</v>
      </c>
      <c r="C21" s="11"/>
      <c r="E21" s="116" t="s">
        <v>241</v>
      </c>
      <c r="F21" s="117"/>
    </row>
    <row r="22" spans="1:8" ht="15" customHeight="1" x14ac:dyDescent="0.25">
      <c r="A22" s="6" t="s">
        <v>111</v>
      </c>
      <c r="B22" s="6" t="s">
        <v>77</v>
      </c>
      <c r="C22" s="11"/>
      <c r="E22" s="116" t="s">
        <v>243</v>
      </c>
      <c r="F22" s="117"/>
    </row>
    <row r="23" spans="1:8" ht="15" customHeight="1" x14ac:dyDescent="0.25">
      <c r="A23" s="6"/>
      <c r="B23" s="6"/>
      <c r="C23" s="11"/>
      <c r="E23" s="116" t="s">
        <v>245</v>
      </c>
      <c r="F23" s="117"/>
    </row>
    <row r="24" spans="1:8" ht="15" customHeight="1" x14ac:dyDescent="0.25">
      <c r="A24" s="6"/>
      <c r="B24" s="6"/>
      <c r="C24" s="11"/>
      <c r="E24" s="116" t="s">
        <v>247</v>
      </c>
      <c r="F24" s="117"/>
    </row>
    <row r="25" spans="1:8" ht="15" customHeight="1" x14ac:dyDescent="0.25">
      <c r="A25" s="6"/>
      <c r="B25" s="6"/>
      <c r="C25" s="11"/>
      <c r="E25" s="116" t="s">
        <v>248</v>
      </c>
      <c r="F25" s="117"/>
    </row>
    <row r="26" spans="1:8" ht="15" customHeight="1" x14ac:dyDescent="0.25">
      <c r="A26" s="6"/>
      <c r="B26" s="6"/>
      <c r="C26" s="11"/>
      <c r="E26" s="116" t="s">
        <v>249</v>
      </c>
      <c r="F26" s="117"/>
    </row>
    <row r="27" spans="1:8" ht="15" customHeight="1" x14ac:dyDescent="0.25">
      <c r="A27" s="6" t="s">
        <v>125</v>
      </c>
      <c r="B27" s="6" t="s">
        <v>52</v>
      </c>
      <c r="C27" s="6">
        <v>89128724099</v>
      </c>
      <c r="E27" s="116" t="s">
        <v>250</v>
      </c>
      <c r="F27" s="117"/>
    </row>
    <row r="28" spans="1:8" ht="15" customHeight="1" x14ac:dyDescent="0.25">
      <c r="A28" s="6" t="s">
        <v>90</v>
      </c>
      <c r="B28" s="6" t="s">
        <v>37</v>
      </c>
      <c r="C28" s="4">
        <v>89536879872</v>
      </c>
      <c r="E28" s="116" t="s">
        <v>251</v>
      </c>
      <c r="F28" s="117"/>
    </row>
    <row r="29" spans="1:8" ht="15" customHeight="1" x14ac:dyDescent="0.25">
      <c r="A29" s="6" t="s">
        <v>96</v>
      </c>
      <c r="B29" s="12" t="s">
        <v>49</v>
      </c>
      <c r="C29" s="6">
        <v>89107215115</v>
      </c>
      <c r="E29" s="116" t="s">
        <v>383</v>
      </c>
      <c r="F29" s="117"/>
    </row>
    <row r="30" spans="1:8" ht="15" customHeight="1" x14ac:dyDescent="0.25">
      <c r="A30" s="6" t="s">
        <v>126</v>
      </c>
      <c r="B30" s="12" t="s">
        <v>62</v>
      </c>
      <c r="C30" s="11">
        <v>89107215115</v>
      </c>
      <c r="E30" s="116" t="s">
        <v>333</v>
      </c>
      <c r="F30" s="117"/>
    </row>
    <row r="31" spans="1:8" ht="15" customHeight="1" x14ac:dyDescent="0.25">
      <c r="A31" s="18" t="s">
        <v>101</v>
      </c>
      <c r="B31" s="6" t="s">
        <v>54</v>
      </c>
      <c r="C31" s="6">
        <v>89278017746</v>
      </c>
      <c r="E31" s="116"/>
      <c r="F31" s="117"/>
    </row>
    <row r="32" spans="1:8" ht="15" customHeight="1" x14ac:dyDescent="0.25">
      <c r="A32" s="12" t="s">
        <v>128</v>
      </c>
      <c r="B32" s="12" t="s">
        <v>47</v>
      </c>
      <c r="C32" s="12">
        <v>89093602509</v>
      </c>
      <c r="E32" s="116"/>
      <c r="F32" s="117"/>
    </row>
    <row r="33" spans="1:6" ht="15" customHeight="1" x14ac:dyDescent="0.25">
      <c r="A33" s="14" t="s">
        <v>84</v>
      </c>
      <c r="B33" s="14" t="s">
        <v>43</v>
      </c>
      <c r="C33" s="14">
        <v>89156522978</v>
      </c>
      <c r="E33" s="116" t="s">
        <v>213</v>
      </c>
      <c r="F33" s="117"/>
    </row>
    <row r="34" spans="1:6" ht="15" customHeight="1" x14ac:dyDescent="0.25">
      <c r="A34" s="14"/>
      <c r="B34" s="14"/>
      <c r="C34" s="14"/>
      <c r="E34" s="116" t="s">
        <v>215</v>
      </c>
      <c r="F34" s="117"/>
    </row>
    <row r="35" spans="1:6" ht="15" customHeight="1" x14ac:dyDescent="0.25">
      <c r="A35" s="14"/>
      <c r="B35" s="14"/>
      <c r="C35" s="14"/>
      <c r="E35" s="116" t="s">
        <v>384</v>
      </c>
      <c r="F35" s="117"/>
    </row>
    <row r="36" spans="1:6" ht="15" customHeight="1" x14ac:dyDescent="0.25">
      <c r="A36" s="6" t="s">
        <v>28</v>
      </c>
      <c r="B36" s="6" t="s">
        <v>29</v>
      </c>
      <c r="C36" s="6">
        <v>89194653759</v>
      </c>
      <c r="E36" s="116" t="s">
        <v>217</v>
      </c>
      <c r="F36" s="117"/>
    </row>
    <row r="37" spans="1:6" ht="15" customHeight="1" x14ac:dyDescent="0.25">
      <c r="A37" s="6"/>
      <c r="B37" s="6"/>
      <c r="C37" s="6"/>
      <c r="E37" s="116" t="s">
        <v>219</v>
      </c>
      <c r="F37" s="117"/>
    </row>
    <row r="38" spans="1:6" ht="15" customHeight="1" x14ac:dyDescent="0.25">
      <c r="A38" s="6" t="s">
        <v>107</v>
      </c>
      <c r="B38" s="6" t="s">
        <v>71</v>
      </c>
      <c r="C38" s="14" t="s">
        <v>118</v>
      </c>
      <c r="E38" s="116" t="s">
        <v>221</v>
      </c>
      <c r="F38" s="117"/>
    </row>
    <row r="39" spans="1:6" ht="15" customHeight="1" x14ac:dyDescent="0.25">
      <c r="A39" s="65"/>
      <c r="B39" s="65"/>
      <c r="C39" s="14"/>
      <c r="E39" s="116" t="s">
        <v>1016</v>
      </c>
      <c r="F39" s="117"/>
    </row>
    <row r="40" spans="1:6" ht="15" customHeight="1" x14ac:dyDescent="0.25">
      <c r="A40" s="6" t="s">
        <v>114</v>
      </c>
      <c r="B40" s="6" t="s">
        <v>79</v>
      </c>
      <c r="C40" s="15">
        <v>89053743019</v>
      </c>
      <c r="E40" s="116" t="s">
        <v>223</v>
      </c>
      <c r="F40" s="117"/>
    </row>
    <row r="41" spans="1:6" ht="15" customHeight="1" x14ac:dyDescent="0.25">
      <c r="A41" s="6" t="s">
        <v>63</v>
      </c>
      <c r="B41" s="6" t="s">
        <v>67</v>
      </c>
      <c r="C41" s="11">
        <v>89632743668</v>
      </c>
      <c r="E41" s="116" t="s">
        <v>225</v>
      </c>
      <c r="F41" s="117"/>
    </row>
    <row r="42" spans="1:6" ht="15" customHeight="1" x14ac:dyDescent="0.25">
      <c r="A42" s="6" t="s">
        <v>97</v>
      </c>
      <c r="B42" s="6" t="s">
        <v>50</v>
      </c>
      <c r="C42" s="6">
        <v>89536720630</v>
      </c>
      <c r="E42" s="116" t="s">
        <v>227</v>
      </c>
      <c r="F42" s="117"/>
    </row>
    <row r="43" spans="1:6" ht="15" customHeight="1" x14ac:dyDescent="0.25">
      <c r="A43" s="6" t="s">
        <v>108</v>
      </c>
      <c r="B43" s="6" t="s">
        <v>73</v>
      </c>
      <c r="C43" s="11">
        <v>89033399868</v>
      </c>
      <c r="E43" s="116" t="s">
        <v>229</v>
      </c>
      <c r="F43" s="117"/>
    </row>
    <row r="44" spans="1:6" ht="15" customHeight="1" x14ac:dyDescent="0.25">
      <c r="A44" s="6" t="s">
        <v>110</v>
      </c>
      <c r="B44" s="6" t="s">
        <v>75</v>
      </c>
      <c r="C44" s="14" t="s">
        <v>119</v>
      </c>
      <c r="E44" s="116" t="s">
        <v>230</v>
      </c>
      <c r="F44" s="117"/>
    </row>
    <row r="45" spans="1:6" ht="15" customHeight="1" x14ac:dyDescent="0.25">
      <c r="A45" s="65"/>
      <c r="B45" s="65"/>
      <c r="C45" s="14"/>
      <c r="E45" s="116" t="s">
        <v>288</v>
      </c>
      <c r="F45" s="117"/>
    </row>
    <row r="46" spans="1:6" ht="15" customHeight="1" x14ac:dyDescent="0.25">
      <c r="A46" s="65"/>
      <c r="B46" s="65"/>
      <c r="C46" s="14"/>
      <c r="E46" s="116" t="s">
        <v>232</v>
      </c>
      <c r="F46" s="117"/>
    </row>
    <row r="47" spans="1:6" ht="15" customHeight="1" x14ac:dyDescent="0.25">
      <c r="A47" s="65"/>
      <c r="B47" s="65"/>
      <c r="C47" s="14"/>
      <c r="E47" s="116" t="s">
        <v>2008</v>
      </c>
      <c r="F47" s="117"/>
    </row>
    <row r="48" spans="1:6" ht="15" customHeight="1" x14ac:dyDescent="0.25">
      <c r="A48" s="65"/>
      <c r="B48" s="65"/>
      <c r="C48" s="14"/>
      <c r="E48" s="118" t="s">
        <v>234</v>
      </c>
      <c r="F48" s="117"/>
    </row>
    <row r="49" spans="1:6" ht="15" customHeight="1" x14ac:dyDescent="0.25">
      <c r="A49" s="65"/>
      <c r="B49" s="65"/>
      <c r="C49" s="14"/>
      <c r="E49" s="118" t="s">
        <v>1079</v>
      </c>
      <c r="F49" s="117"/>
    </row>
    <row r="50" spans="1:6" ht="15" customHeight="1" x14ac:dyDescent="0.25">
      <c r="A50" s="65"/>
      <c r="B50" s="65"/>
      <c r="C50" s="14"/>
      <c r="E50" s="118" t="s">
        <v>236</v>
      </c>
      <c r="F50" s="117"/>
    </row>
    <row r="51" spans="1:6" ht="15" customHeight="1" x14ac:dyDescent="0.25">
      <c r="A51" s="65"/>
      <c r="B51" s="65"/>
      <c r="C51" s="14"/>
      <c r="E51" s="118" t="s">
        <v>1963</v>
      </c>
      <c r="F51" s="117"/>
    </row>
    <row r="52" spans="1:6" ht="15" customHeight="1" x14ac:dyDescent="0.25">
      <c r="A52" s="6" t="s">
        <v>1962</v>
      </c>
      <c r="B52" s="6" t="s">
        <v>38</v>
      </c>
      <c r="C52" s="6">
        <v>89221219379</v>
      </c>
      <c r="E52" s="118" t="s">
        <v>238</v>
      </c>
      <c r="F52" s="117"/>
    </row>
    <row r="53" spans="1:6" ht="15" customHeight="1" x14ac:dyDescent="0.25">
      <c r="A53" s="6" t="s">
        <v>36</v>
      </c>
      <c r="B53" s="6" t="s">
        <v>35</v>
      </c>
      <c r="C53" s="6">
        <v>89676349833</v>
      </c>
      <c r="E53" s="118" t="s">
        <v>240</v>
      </c>
      <c r="F53" s="117"/>
    </row>
    <row r="54" spans="1:6" ht="15" customHeight="1" x14ac:dyDescent="0.25">
      <c r="A54" s="6" t="s">
        <v>69</v>
      </c>
      <c r="B54" s="6" t="s">
        <v>68</v>
      </c>
      <c r="C54" s="11">
        <v>89115091687</v>
      </c>
      <c r="E54" s="118" t="s">
        <v>242</v>
      </c>
      <c r="F54" s="117"/>
    </row>
    <row r="55" spans="1:6" ht="15" customHeight="1" x14ac:dyDescent="0.25">
      <c r="A55" s="65"/>
      <c r="B55" s="65"/>
      <c r="C55" s="11"/>
      <c r="E55" s="119" t="s">
        <v>244</v>
      </c>
      <c r="F55" s="117"/>
    </row>
    <row r="56" spans="1:6" ht="15" customHeight="1" x14ac:dyDescent="0.25">
      <c r="A56" s="65"/>
      <c r="B56" s="65"/>
      <c r="C56" s="11"/>
      <c r="E56" s="116" t="s">
        <v>246</v>
      </c>
      <c r="F56" s="117"/>
    </row>
    <row r="57" spans="1:6" ht="15" customHeight="1" x14ac:dyDescent="0.25">
      <c r="A57" s="65"/>
      <c r="B57" s="65"/>
      <c r="C57" s="11"/>
      <c r="E57" s="116" t="s">
        <v>252</v>
      </c>
      <c r="F57" s="117"/>
    </row>
    <row r="58" spans="1:6" ht="15" customHeight="1" x14ac:dyDescent="0.25">
      <c r="A58" s="65"/>
      <c r="B58" s="65"/>
      <c r="C58" s="11"/>
      <c r="E58" s="116" t="s">
        <v>1156</v>
      </c>
      <c r="F58" s="117"/>
    </row>
    <row r="59" spans="1:6" ht="15" customHeight="1" x14ac:dyDescent="0.25">
      <c r="A59" s="6" t="s">
        <v>89</v>
      </c>
      <c r="B59" s="6" t="s">
        <v>39</v>
      </c>
      <c r="C59" s="6" t="s">
        <v>91</v>
      </c>
      <c r="E59" s="116" t="s">
        <v>253</v>
      </c>
      <c r="F59" s="117"/>
    </row>
    <row r="60" spans="1:6" ht="15" customHeight="1" x14ac:dyDescent="0.25">
      <c r="A60" s="14" t="s">
        <v>83</v>
      </c>
      <c r="B60" s="14" t="s">
        <v>41</v>
      </c>
      <c r="C60" s="14">
        <v>89128288445</v>
      </c>
      <c r="E60" s="116" t="s">
        <v>254</v>
      </c>
      <c r="F60" s="117"/>
    </row>
    <row r="61" spans="1:6" ht="15" customHeight="1" x14ac:dyDescent="0.25">
      <c r="A61" s="14"/>
      <c r="B61" s="14"/>
      <c r="C61" s="14"/>
      <c r="E61" s="119" t="s">
        <v>255</v>
      </c>
      <c r="F61" s="117"/>
    </row>
    <row r="62" spans="1:6" ht="15" customHeight="1" x14ac:dyDescent="0.25">
      <c r="A62" s="14"/>
      <c r="B62" s="14"/>
      <c r="C62" s="14"/>
      <c r="E62" s="119" t="s">
        <v>291</v>
      </c>
      <c r="F62" s="117"/>
    </row>
    <row r="63" spans="1:6" ht="15" customHeight="1" x14ac:dyDescent="0.25">
      <c r="A63" s="14"/>
      <c r="B63" s="14"/>
      <c r="C63" s="14"/>
      <c r="E63" s="119" t="s">
        <v>292</v>
      </c>
      <c r="F63" s="117"/>
    </row>
    <row r="64" spans="1:6" ht="15" customHeight="1" x14ac:dyDescent="0.25">
      <c r="A64" s="6" t="s">
        <v>98</v>
      </c>
      <c r="B64" s="6" t="s">
        <v>57</v>
      </c>
      <c r="C64" s="6">
        <v>89211322060</v>
      </c>
      <c r="E64" s="119" t="s">
        <v>615</v>
      </c>
      <c r="F64" s="117"/>
    </row>
    <row r="65" spans="1:6" ht="15" customHeight="1" x14ac:dyDescent="0.25">
      <c r="A65" s="65"/>
      <c r="B65" s="65"/>
      <c r="C65" s="65"/>
      <c r="E65" s="119" t="s">
        <v>614</v>
      </c>
      <c r="F65" s="117"/>
    </row>
    <row r="66" spans="1:6" ht="15" customHeight="1" x14ac:dyDescent="0.25">
      <c r="A66" s="65"/>
      <c r="B66" s="65"/>
      <c r="C66" s="65"/>
      <c r="E66" s="119" t="s">
        <v>613</v>
      </c>
      <c r="F66" s="117"/>
    </row>
    <row r="67" spans="1:6" ht="15" customHeight="1" x14ac:dyDescent="0.25">
      <c r="A67" s="65"/>
      <c r="B67" s="65"/>
      <c r="C67" s="65"/>
      <c r="F67" s="117"/>
    </row>
    <row r="68" spans="1:6" ht="15" customHeight="1" x14ac:dyDescent="0.25">
      <c r="A68" s="6" t="s">
        <v>55</v>
      </c>
      <c r="B68" s="6" t="s">
        <v>56</v>
      </c>
      <c r="C68" s="6">
        <v>89221937415</v>
      </c>
      <c r="E68" s="116" t="s">
        <v>160</v>
      </c>
      <c r="F68" s="117"/>
    </row>
    <row r="69" spans="1:6" ht="15" customHeight="1" x14ac:dyDescent="0.25">
      <c r="A69" s="14" t="s">
        <v>33</v>
      </c>
      <c r="B69" s="14" t="s">
        <v>34</v>
      </c>
      <c r="C69" s="14">
        <v>89824528695</v>
      </c>
      <c r="E69" s="119" t="s">
        <v>308</v>
      </c>
      <c r="F69" s="117"/>
    </row>
    <row r="70" spans="1:6" ht="15" customHeight="1" x14ac:dyDescent="0.25">
      <c r="A70" s="6" t="s">
        <v>105</v>
      </c>
      <c r="B70" s="6" t="s">
        <v>51</v>
      </c>
      <c r="C70" s="6">
        <v>89292379910</v>
      </c>
      <c r="E70" s="119" t="s">
        <v>198</v>
      </c>
      <c r="F70" s="117"/>
    </row>
    <row r="71" spans="1:6" ht="15" customHeight="1" x14ac:dyDescent="0.25">
      <c r="A71" s="6" t="s">
        <v>87</v>
      </c>
      <c r="B71" s="6" t="s">
        <v>30</v>
      </c>
      <c r="C71" s="6">
        <v>79096232390</v>
      </c>
      <c r="E71" s="119" t="s">
        <v>207</v>
      </c>
      <c r="F71" s="117"/>
    </row>
    <row r="72" spans="1:6" ht="15" customHeight="1" x14ac:dyDescent="0.25">
      <c r="A72" s="6" t="s">
        <v>88</v>
      </c>
      <c r="B72" s="6" t="s">
        <v>31</v>
      </c>
      <c r="C72" s="6">
        <v>89102494949</v>
      </c>
      <c r="E72" s="116" t="s">
        <v>179</v>
      </c>
      <c r="F72" s="117"/>
    </row>
    <row r="73" spans="1:6" ht="15" customHeight="1" x14ac:dyDescent="0.25">
      <c r="A73" s="6" t="s">
        <v>106</v>
      </c>
      <c r="B73" s="6" t="s">
        <v>64</v>
      </c>
      <c r="C73" s="14" t="s">
        <v>117</v>
      </c>
      <c r="E73" s="116" t="s">
        <v>158</v>
      </c>
      <c r="F73" s="117"/>
    </row>
    <row r="74" spans="1:6" ht="15" customHeight="1" x14ac:dyDescent="0.25">
      <c r="A74" s="6"/>
      <c r="B74" s="6"/>
      <c r="C74" s="14"/>
      <c r="E74" s="116" t="s">
        <v>157</v>
      </c>
      <c r="F74" s="117"/>
    </row>
    <row r="75" spans="1:6" ht="15" customHeight="1" x14ac:dyDescent="0.25">
      <c r="A75" s="65"/>
      <c r="B75" s="65"/>
      <c r="C75" s="14"/>
      <c r="E75" s="116" t="s">
        <v>299</v>
      </c>
      <c r="F75" s="117"/>
    </row>
    <row r="76" spans="1:6" ht="15" customHeight="1" x14ac:dyDescent="0.25">
      <c r="A76" s="65"/>
      <c r="B76" s="65"/>
      <c r="C76" s="14"/>
      <c r="E76" s="116" t="s">
        <v>994</v>
      </c>
      <c r="F76" s="117"/>
    </row>
    <row r="77" spans="1:6" ht="15" customHeight="1" x14ac:dyDescent="0.25">
      <c r="A77" s="6"/>
      <c r="B77" s="6"/>
      <c r="C77" s="14"/>
      <c r="E77" s="116" t="s">
        <v>202</v>
      </c>
      <c r="F77" s="117"/>
    </row>
    <row r="78" spans="1:6" ht="15" customHeight="1" x14ac:dyDescent="0.25">
      <c r="A78" s="6" t="s">
        <v>115</v>
      </c>
      <c r="B78" s="6" t="s">
        <v>116</v>
      </c>
      <c r="C78" s="16">
        <v>89053743966</v>
      </c>
      <c r="E78" s="116" t="s">
        <v>187</v>
      </c>
      <c r="F78" s="117"/>
    </row>
    <row r="79" spans="1:6" ht="15" customHeight="1" x14ac:dyDescent="0.25">
      <c r="A79" s="14" t="s">
        <v>103</v>
      </c>
      <c r="B79" s="17" t="s">
        <v>129</v>
      </c>
      <c r="C79" s="11">
        <v>79047988895</v>
      </c>
      <c r="E79" s="116" t="s">
        <v>188</v>
      </c>
      <c r="F79" s="117"/>
    </row>
    <row r="80" spans="1:6" ht="15" customHeight="1" x14ac:dyDescent="0.25">
      <c r="A80" s="6" t="s">
        <v>104</v>
      </c>
      <c r="B80" s="6" t="s">
        <v>61</v>
      </c>
      <c r="C80" s="11">
        <v>89501689423</v>
      </c>
      <c r="E80" s="116" t="s">
        <v>256</v>
      </c>
      <c r="F80" s="117"/>
    </row>
    <row r="81" spans="1:6" ht="15" customHeight="1" x14ac:dyDescent="0.25">
      <c r="A81" s="6" t="s">
        <v>86</v>
      </c>
      <c r="B81" s="6" t="s">
        <v>32</v>
      </c>
      <c r="C81" s="6">
        <v>79375721271</v>
      </c>
      <c r="E81" s="116" t="s">
        <v>199</v>
      </c>
      <c r="F81" s="117"/>
    </row>
    <row r="82" spans="1:6" ht="15" customHeight="1" x14ac:dyDescent="0.25">
      <c r="A82" s="6" t="s">
        <v>112</v>
      </c>
      <c r="B82" s="6" t="s">
        <v>76</v>
      </c>
      <c r="C82" s="15" t="s">
        <v>120</v>
      </c>
      <c r="E82" s="116" t="s">
        <v>206</v>
      </c>
      <c r="F82" s="117"/>
    </row>
    <row r="83" spans="1:6" ht="15" customHeight="1" x14ac:dyDescent="0.25">
      <c r="A83" s="6" t="s">
        <v>113</v>
      </c>
      <c r="B83" s="6" t="s">
        <v>78</v>
      </c>
      <c r="C83" s="16">
        <v>89120559741</v>
      </c>
      <c r="E83" s="116" t="s">
        <v>178</v>
      </c>
      <c r="F83" s="117"/>
    </row>
    <row r="84" spans="1:6" ht="15" customHeight="1" x14ac:dyDescent="0.25">
      <c r="A84" s="65"/>
      <c r="B84" s="65"/>
      <c r="C84" s="16"/>
      <c r="E84" s="116" t="s">
        <v>167</v>
      </c>
      <c r="F84" s="117"/>
    </row>
    <row r="85" spans="1:6" ht="15" customHeight="1" x14ac:dyDescent="0.25">
      <c r="A85" s="6" t="s">
        <v>102</v>
      </c>
      <c r="B85" s="6" t="s">
        <v>60</v>
      </c>
      <c r="C85" s="6">
        <v>89065103353</v>
      </c>
      <c r="E85" s="116" t="s">
        <v>168</v>
      </c>
      <c r="F85" s="117"/>
    </row>
    <row r="86" spans="1:6" ht="15" customHeight="1" x14ac:dyDescent="0.25">
      <c r="A86" s="65"/>
      <c r="B86" s="65"/>
      <c r="C86" s="65"/>
      <c r="E86" s="116" t="s">
        <v>1426</v>
      </c>
      <c r="F86" s="117"/>
    </row>
    <row r="87" spans="1:6" ht="15" customHeight="1" x14ac:dyDescent="0.25">
      <c r="A87" s="65"/>
      <c r="B87" s="65"/>
      <c r="C87" s="65"/>
      <c r="E87" s="116" t="s">
        <v>1255</v>
      </c>
      <c r="F87" s="117"/>
    </row>
    <row r="88" spans="1:6" ht="15" customHeight="1" x14ac:dyDescent="0.25">
      <c r="A88" s="65"/>
      <c r="B88" s="65"/>
      <c r="C88" s="65"/>
      <c r="E88" s="116" t="s">
        <v>314</v>
      </c>
      <c r="F88" s="117"/>
    </row>
    <row r="89" spans="1:6" ht="15" customHeight="1" x14ac:dyDescent="0.25">
      <c r="A89" s="6" t="s">
        <v>99</v>
      </c>
      <c r="B89" s="6" t="s">
        <v>127</v>
      </c>
      <c r="C89" s="6" t="s">
        <v>58</v>
      </c>
      <c r="E89" s="116" t="s">
        <v>375</v>
      </c>
      <c r="F89" s="117"/>
    </row>
    <row r="90" spans="1:6" ht="15" customHeight="1" x14ac:dyDescent="0.25">
      <c r="A90" s="6" t="s">
        <v>95</v>
      </c>
      <c r="B90" s="6" t="s">
        <v>48</v>
      </c>
      <c r="C90" s="6">
        <v>89806514693</v>
      </c>
      <c r="E90" s="116" t="s">
        <v>257</v>
      </c>
      <c r="F90" s="117"/>
    </row>
    <row r="91" spans="1:6" ht="15" customHeight="1" x14ac:dyDescent="0.25">
      <c r="A91" s="97"/>
      <c r="B91" s="97"/>
      <c r="C91" s="97"/>
      <c r="E91" s="116" t="s">
        <v>1396</v>
      </c>
      <c r="F91" s="117"/>
    </row>
    <row r="92" spans="1:6" ht="15" customHeight="1" x14ac:dyDescent="0.25">
      <c r="A92" s="97"/>
      <c r="B92" s="97"/>
      <c r="C92" s="97"/>
      <c r="E92" s="116" t="s">
        <v>189</v>
      </c>
      <c r="F92" s="117"/>
    </row>
    <row r="93" spans="1:6" ht="15" customHeight="1" x14ac:dyDescent="0.25">
      <c r="A93" s="97"/>
      <c r="B93" s="97"/>
      <c r="C93" s="97"/>
      <c r="E93" s="116" t="s">
        <v>190</v>
      </c>
      <c r="F93" s="117"/>
    </row>
    <row r="94" spans="1:6" ht="15" customHeight="1" x14ac:dyDescent="0.25">
      <c r="A94" s="97"/>
      <c r="B94" s="97"/>
      <c r="C94" s="97"/>
      <c r="E94" s="116" t="s">
        <v>191</v>
      </c>
      <c r="F94" s="117"/>
    </row>
    <row r="95" spans="1:6" ht="15" customHeight="1" x14ac:dyDescent="0.25">
      <c r="E95" s="116" t="s">
        <v>309</v>
      </c>
      <c r="F95" s="117"/>
    </row>
    <row r="96" spans="1:6" ht="15" customHeight="1" x14ac:dyDescent="0.25">
      <c r="E96" s="116" t="s">
        <v>192</v>
      </c>
      <c r="F96" s="117"/>
    </row>
    <row r="97" spans="5:6" ht="15" customHeight="1" x14ac:dyDescent="0.25">
      <c r="E97" s="116" t="s">
        <v>186</v>
      </c>
      <c r="F97" s="117"/>
    </row>
    <row r="98" spans="5:6" ht="15" customHeight="1" x14ac:dyDescent="0.25">
      <c r="E98" s="116" t="s">
        <v>205</v>
      </c>
      <c r="F98" s="121"/>
    </row>
    <row r="99" spans="5:6" ht="15" customHeight="1" x14ac:dyDescent="0.25">
      <c r="E99" s="116" t="s">
        <v>173</v>
      </c>
      <c r="F99" s="123"/>
    </row>
    <row r="100" spans="5:6" ht="15" customHeight="1" x14ac:dyDescent="0.25">
      <c r="E100" s="116" t="s">
        <v>182</v>
      </c>
      <c r="F100" s="123"/>
    </row>
    <row r="101" spans="5:6" ht="15" customHeight="1" x14ac:dyDescent="0.25">
      <c r="E101" s="116" t="s">
        <v>298</v>
      </c>
      <c r="F101" s="123"/>
    </row>
    <row r="102" spans="5:6" ht="15" customHeight="1" x14ac:dyDescent="0.25">
      <c r="E102" s="116" t="s">
        <v>312</v>
      </c>
    </row>
    <row r="103" spans="5:6" ht="15" customHeight="1" x14ac:dyDescent="0.25">
      <c r="E103" s="116" t="s">
        <v>1397</v>
      </c>
    </row>
    <row r="104" spans="5:6" ht="15" customHeight="1" x14ac:dyDescent="0.25">
      <c r="E104" s="118" t="s">
        <v>1437</v>
      </c>
    </row>
    <row r="105" spans="5:6" ht="15" customHeight="1" x14ac:dyDescent="0.25">
      <c r="E105" s="116" t="s">
        <v>258</v>
      </c>
    </row>
    <row r="106" spans="5:6" ht="15" customHeight="1" x14ac:dyDescent="0.25">
      <c r="E106" s="116" t="s">
        <v>259</v>
      </c>
    </row>
    <row r="107" spans="5:6" ht="15" customHeight="1" x14ac:dyDescent="0.25">
      <c r="E107" s="116" t="s">
        <v>282</v>
      </c>
    </row>
    <row r="108" spans="5:6" ht="15" customHeight="1" x14ac:dyDescent="0.25">
      <c r="E108" s="116" t="s">
        <v>289</v>
      </c>
    </row>
    <row r="109" spans="5:6" ht="15" customHeight="1" x14ac:dyDescent="0.25">
      <c r="E109" s="116" t="s">
        <v>315</v>
      </c>
    </row>
    <row r="110" spans="5:6" ht="15" customHeight="1" x14ac:dyDescent="0.25">
      <c r="E110" s="116" t="s">
        <v>385</v>
      </c>
    </row>
    <row r="111" spans="5:6" ht="15" customHeight="1" x14ac:dyDescent="0.25">
      <c r="E111" s="116" t="s">
        <v>193</v>
      </c>
    </row>
    <row r="112" spans="5:6" ht="15" customHeight="1" x14ac:dyDescent="0.25">
      <c r="E112" s="116" t="s">
        <v>194</v>
      </c>
    </row>
    <row r="113" spans="5:5" ht="15" customHeight="1" x14ac:dyDescent="0.25">
      <c r="E113" s="116" t="s">
        <v>169</v>
      </c>
    </row>
    <row r="114" spans="5:5" ht="15" customHeight="1" x14ac:dyDescent="0.25">
      <c r="E114" s="116" t="s">
        <v>170</v>
      </c>
    </row>
    <row r="115" spans="5:5" ht="15" customHeight="1" x14ac:dyDescent="0.25">
      <c r="E115" s="116" t="s">
        <v>195</v>
      </c>
    </row>
    <row r="116" spans="5:5" ht="15" customHeight="1" x14ac:dyDescent="0.25">
      <c r="E116" s="116" t="s">
        <v>196</v>
      </c>
    </row>
    <row r="117" spans="5:5" ht="15" customHeight="1" x14ac:dyDescent="0.25">
      <c r="E117" s="116" t="s">
        <v>866</v>
      </c>
    </row>
    <row r="118" spans="5:5" ht="15" customHeight="1" x14ac:dyDescent="0.25">
      <c r="E118" s="116" t="s">
        <v>260</v>
      </c>
    </row>
    <row r="119" spans="5:5" ht="15" customHeight="1" x14ac:dyDescent="0.25">
      <c r="E119" s="116" t="s">
        <v>261</v>
      </c>
    </row>
    <row r="120" spans="5:5" ht="15" customHeight="1" x14ac:dyDescent="0.25">
      <c r="E120" s="116" t="s">
        <v>180</v>
      </c>
    </row>
    <row r="121" spans="5:5" ht="15" customHeight="1" x14ac:dyDescent="0.25">
      <c r="E121" s="116" t="s">
        <v>262</v>
      </c>
    </row>
    <row r="122" spans="5:5" ht="15" customHeight="1" x14ac:dyDescent="0.25">
      <c r="E122" s="116" t="s">
        <v>263</v>
      </c>
    </row>
    <row r="123" spans="5:5" ht="15" customHeight="1" x14ac:dyDescent="0.25">
      <c r="E123" s="116" t="s">
        <v>208</v>
      </c>
    </row>
    <row r="124" spans="5:5" ht="15" customHeight="1" x14ac:dyDescent="0.25">
      <c r="E124" s="116" t="s">
        <v>264</v>
      </c>
    </row>
    <row r="125" spans="5:5" ht="15" customHeight="1" x14ac:dyDescent="0.25">
      <c r="E125" s="116" t="s">
        <v>185</v>
      </c>
    </row>
    <row r="126" spans="5:5" ht="15" customHeight="1" x14ac:dyDescent="0.25">
      <c r="E126" s="116" t="s">
        <v>203</v>
      </c>
    </row>
    <row r="127" spans="5:5" ht="15" customHeight="1" x14ac:dyDescent="0.25">
      <c r="E127" s="116" t="s">
        <v>304</v>
      </c>
    </row>
    <row r="128" spans="5:5" ht="15" customHeight="1" x14ac:dyDescent="0.25">
      <c r="E128" s="116" t="s">
        <v>310</v>
      </c>
    </row>
    <row r="129" spans="5:5" ht="15" customHeight="1" x14ac:dyDescent="0.25">
      <c r="E129" s="116" t="s">
        <v>1256</v>
      </c>
    </row>
    <row r="130" spans="5:5" ht="15" customHeight="1" x14ac:dyDescent="0.25">
      <c r="E130" s="116" t="s">
        <v>265</v>
      </c>
    </row>
    <row r="131" spans="5:5" ht="15" customHeight="1" x14ac:dyDescent="0.25">
      <c r="E131" s="116" t="s">
        <v>326</v>
      </c>
    </row>
    <row r="132" spans="5:5" ht="15" customHeight="1" x14ac:dyDescent="0.25">
      <c r="E132" s="116" t="s">
        <v>280</v>
      </c>
    </row>
    <row r="133" spans="5:5" ht="15" customHeight="1" x14ac:dyDescent="0.25">
      <c r="E133" s="116" t="s">
        <v>283</v>
      </c>
    </row>
    <row r="134" spans="5:5" ht="15" customHeight="1" x14ac:dyDescent="0.25">
      <c r="E134" s="120" t="s">
        <v>266</v>
      </c>
    </row>
    <row r="135" spans="5:5" ht="15" customHeight="1" x14ac:dyDescent="0.25">
      <c r="E135" s="120" t="s">
        <v>267</v>
      </c>
    </row>
    <row r="136" spans="5:5" ht="15" customHeight="1" x14ac:dyDescent="0.25">
      <c r="E136" s="120" t="s">
        <v>163</v>
      </c>
    </row>
    <row r="137" spans="5:5" ht="15" customHeight="1" x14ac:dyDescent="0.25">
      <c r="E137" s="120" t="s">
        <v>183</v>
      </c>
    </row>
    <row r="138" spans="5:5" ht="15" customHeight="1" x14ac:dyDescent="0.25">
      <c r="E138" s="120" t="s">
        <v>305</v>
      </c>
    </row>
    <row r="139" spans="5:5" ht="15" customHeight="1" x14ac:dyDescent="0.25">
      <c r="E139" s="122" t="s">
        <v>171</v>
      </c>
    </row>
    <row r="140" spans="5:5" ht="15" customHeight="1" x14ac:dyDescent="0.25">
      <c r="E140" s="116" t="s">
        <v>172</v>
      </c>
    </row>
    <row r="141" spans="5:5" ht="15" customHeight="1" x14ac:dyDescent="0.25">
      <c r="E141" s="118" t="s">
        <v>174</v>
      </c>
    </row>
    <row r="142" spans="5:5" ht="15" customHeight="1" x14ac:dyDescent="0.25">
      <c r="E142" s="118" t="s">
        <v>184</v>
      </c>
    </row>
    <row r="143" spans="5:5" ht="15" customHeight="1" x14ac:dyDescent="0.25">
      <c r="E143" s="118" t="s">
        <v>268</v>
      </c>
    </row>
    <row r="144" spans="5:5" ht="15" customHeight="1" x14ac:dyDescent="0.25">
      <c r="E144" s="118" t="s">
        <v>278</v>
      </c>
    </row>
    <row r="145" spans="5:5" ht="15" customHeight="1" x14ac:dyDescent="0.25">
      <c r="E145" s="118" t="s">
        <v>295</v>
      </c>
    </row>
    <row r="146" spans="5:5" ht="15" customHeight="1" x14ac:dyDescent="0.25">
      <c r="E146" s="118" t="s">
        <v>269</v>
      </c>
    </row>
    <row r="147" spans="5:5" ht="15" customHeight="1" x14ac:dyDescent="0.25">
      <c r="E147" s="118" t="s">
        <v>279</v>
      </c>
    </row>
    <row r="148" spans="5:5" ht="15" customHeight="1" x14ac:dyDescent="0.25">
      <c r="E148" s="118" t="s">
        <v>197</v>
      </c>
    </row>
    <row r="149" spans="5:5" ht="15" customHeight="1" x14ac:dyDescent="0.25">
      <c r="E149" s="118" t="s">
        <v>293</v>
      </c>
    </row>
    <row r="150" spans="5:5" ht="15" customHeight="1" x14ac:dyDescent="0.25">
      <c r="E150" s="118" t="s">
        <v>181</v>
      </c>
    </row>
    <row r="151" spans="5:5" ht="15" customHeight="1" x14ac:dyDescent="0.25">
      <c r="E151" s="118" t="s">
        <v>270</v>
      </c>
    </row>
    <row r="152" spans="5:5" ht="15" customHeight="1" x14ac:dyDescent="0.25">
      <c r="E152" s="118" t="s">
        <v>271</v>
      </c>
    </row>
    <row r="153" spans="5:5" ht="15" customHeight="1" x14ac:dyDescent="0.25">
      <c r="E153" s="118" t="s">
        <v>276</v>
      </c>
    </row>
    <row r="154" spans="5:5" ht="15.75" x14ac:dyDescent="0.25">
      <c r="E154" s="118" t="s">
        <v>272</v>
      </c>
    </row>
    <row r="155" spans="5:5" ht="15.75" x14ac:dyDescent="0.25">
      <c r="E155" s="118" t="s">
        <v>277</v>
      </c>
    </row>
    <row r="156" spans="5:5" ht="15.75" x14ac:dyDescent="0.25">
      <c r="E156" s="118" t="s">
        <v>273</v>
      </c>
    </row>
    <row r="157" spans="5:5" ht="15.75" x14ac:dyDescent="0.25">
      <c r="E157" s="118" t="s">
        <v>274</v>
      </c>
    </row>
    <row r="158" spans="5:5" ht="15.6" customHeight="1" x14ac:dyDescent="0.25">
      <c r="E158" s="118" t="s">
        <v>313</v>
      </c>
    </row>
    <row r="159" spans="5:5" ht="15.75" x14ac:dyDescent="0.25">
      <c r="E159" s="119" t="s">
        <v>200</v>
      </c>
    </row>
    <row r="160" spans="5:5" ht="15.75" x14ac:dyDescent="0.25">
      <c r="E160" s="124" t="s">
        <v>275</v>
      </c>
    </row>
    <row r="161" spans="5:5" ht="15.75" x14ac:dyDescent="0.25">
      <c r="E161" s="124" t="s">
        <v>204</v>
      </c>
    </row>
    <row r="162" spans="5:5" ht="15.75" x14ac:dyDescent="0.25">
      <c r="E162" s="124" t="s">
        <v>290</v>
      </c>
    </row>
    <row r="163" spans="5:5" ht="15.75" x14ac:dyDescent="0.25">
      <c r="E163" s="124" t="s">
        <v>177</v>
      </c>
    </row>
    <row r="164" spans="5:5" ht="15.75" x14ac:dyDescent="0.25">
      <c r="E164" s="119" t="s">
        <v>175</v>
      </c>
    </row>
    <row r="165" spans="5:5" ht="15.75" x14ac:dyDescent="0.25">
      <c r="E165" s="118" t="s">
        <v>176</v>
      </c>
    </row>
    <row r="166" spans="5:5" ht="15.75" x14ac:dyDescent="0.25">
      <c r="E166" s="119" t="s">
        <v>201</v>
      </c>
    </row>
    <row r="167" spans="5:5" ht="15.75" x14ac:dyDescent="0.25">
      <c r="E167" s="119" t="s">
        <v>300</v>
      </c>
    </row>
    <row r="168" spans="5:5" ht="15.75" x14ac:dyDescent="0.25">
      <c r="E168" s="119" t="s">
        <v>301</v>
      </c>
    </row>
    <row r="169" spans="5:5" ht="15.75" x14ac:dyDescent="0.25">
      <c r="E169" s="119" t="s">
        <v>307</v>
      </c>
    </row>
    <row r="170" spans="5:5" ht="15.75" x14ac:dyDescent="0.25">
      <c r="E170" s="119" t="s">
        <v>324</v>
      </c>
    </row>
    <row r="171" spans="5:5" ht="15.75" x14ac:dyDescent="0.25">
      <c r="E171" s="119" t="s">
        <v>322</v>
      </c>
    </row>
    <row r="172" spans="5:5" x14ac:dyDescent="0.25">
      <c r="E172" s="198" t="s">
        <v>810</v>
      </c>
    </row>
    <row r="173" spans="5:5" x14ac:dyDescent="0.25">
      <c r="E173" s="198" t="s">
        <v>995</v>
      </c>
    </row>
    <row r="174" spans="5:5" x14ac:dyDescent="0.25">
      <c r="E174" s="240" t="s">
        <v>1258</v>
      </c>
    </row>
    <row r="175" spans="5:5" x14ac:dyDescent="0.25">
      <c r="E175" s="240" t="s">
        <v>1259</v>
      </c>
    </row>
    <row r="176" spans="5:5" x14ac:dyDescent="0.25">
      <c r="E176" s="240" t="s">
        <v>1260</v>
      </c>
    </row>
    <row r="177" spans="5:5" x14ac:dyDescent="0.25">
      <c r="E177" s="240" t="s">
        <v>1261</v>
      </c>
    </row>
    <row r="178" spans="5:5" x14ac:dyDescent="0.25">
      <c r="E178" s="198" t="s">
        <v>1436</v>
      </c>
    </row>
    <row r="179" spans="5:5" x14ac:dyDescent="0.25">
      <c r="E179" s="198" t="s">
        <v>1895</v>
      </c>
    </row>
    <row r="180" spans="5:5" x14ac:dyDescent="0.25">
      <c r="E180" s="198" t="s">
        <v>2028</v>
      </c>
    </row>
  </sheetData>
  <sortState xmlns:xlrd2="http://schemas.microsoft.com/office/spreadsheetml/2017/richdata2" ref="A4:C54">
    <sortCondition ref="B4:B54"/>
  </sortState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9"/>
  <dimension ref="B1:AI26"/>
  <sheetViews>
    <sheetView zoomScale="80" zoomScaleNormal="80" workbookViewId="0">
      <selection activeCell="D3" sqref="D3"/>
    </sheetView>
  </sheetViews>
  <sheetFormatPr defaultRowHeight="15" x14ac:dyDescent="0.25"/>
  <cols>
    <col min="1" max="1" width="1.28515625" customWidth="1"/>
    <col min="2" max="2" width="26.85546875" customWidth="1"/>
    <col min="3" max="3" width="6.140625" customWidth="1"/>
    <col min="4" max="34" width="6" customWidth="1"/>
    <col min="35" max="35" width="6.140625" customWidth="1"/>
  </cols>
  <sheetData>
    <row r="1" spans="2:35" ht="15.75" thickBot="1" x14ac:dyDescent="0.3">
      <c r="D1" s="21">
        <v>43617</v>
      </c>
      <c r="E1" s="21">
        <v>43618</v>
      </c>
      <c r="F1" s="21">
        <v>43619</v>
      </c>
      <c r="G1" s="21">
        <v>43620</v>
      </c>
      <c r="H1" s="21">
        <v>43621</v>
      </c>
      <c r="I1" s="21">
        <v>43622</v>
      </c>
      <c r="J1" s="21">
        <v>43623</v>
      </c>
      <c r="K1" s="21">
        <v>43624</v>
      </c>
      <c r="L1" s="21">
        <v>43625</v>
      </c>
      <c r="M1" s="21">
        <v>43626</v>
      </c>
      <c r="N1" s="21">
        <v>43627</v>
      </c>
      <c r="O1" s="21">
        <v>43628</v>
      </c>
      <c r="P1" s="21">
        <v>43629</v>
      </c>
      <c r="Q1" s="21">
        <v>43630</v>
      </c>
      <c r="R1" s="21">
        <v>43631</v>
      </c>
      <c r="S1" s="21">
        <v>43632</v>
      </c>
      <c r="T1" s="21">
        <v>43633</v>
      </c>
      <c r="U1" s="21">
        <v>43634</v>
      </c>
      <c r="V1" s="21">
        <v>43635</v>
      </c>
      <c r="W1" s="21">
        <v>43636</v>
      </c>
      <c r="X1" s="21">
        <v>43637</v>
      </c>
      <c r="Y1" s="21">
        <v>43638</v>
      </c>
      <c r="Z1" s="21">
        <v>43639</v>
      </c>
      <c r="AA1" s="21">
        <v>43640</v>
      </c>
      <c r="AB1" s="21">
        <v>43641</v>
      </c>
      <c r="AC1" s="21">
        <v>43642</v>
      </c>
      <c r="AD1" s="21">
        <v>43643</v>
      </c>
      <c r="AE1" s="21">
        <v>43644</v>
      </c>
      <c r="AF1" s="21">
        <v>43645</v>
      </c>
      <c r="AG1" s="21">
        <v>43646</v>
      </c>
      <c r="AH1" s="21" t="s">
        <v>150</v>
      </c>
      <c r="AI1" s="22"/>
    </row>
    <row r="2" spans="2:35" ht="16.5" thickBot="1" x14ac:dyDescent="0.3">
      <c r="D2" s="44">
        <v>1</v>
      </c>
      <c r="E2" s="45">
        <v>2</v>
      </c>
      <c r="F2" s="44">
        <v>3</v>
      </c>
      <c r="G2" s="45">
        <v>4</v>
      </c>
      <c r="H2" s="44">
        <v>5</v>
      </c>
      <c r="I2" s="46">
        <v>6</v>
      </c>
      <c r="J2" s="47">
        <v>7</v>
      </c>
      <c r="K2" s="46">
        <v>8</v>
      </c>
      <c r="L2" s="44">
        <v>9</v>
      </c>
      <c r="M2" s="45">
        <v>10</v>
      </c>
      <c r="N2" s="44">
        <v>11</v>
      </c>
      <c r="O2" s="45">
        <v>12</v>
      </c>
      <c r="P2" s="47">
        <v>13</v>
      </c>
      <c r="Q2" s="46">
        <v>14</v>
      </c>
      <c r="R2" s="47">
        <v>15</v>
      </c>
      <c r="S2" s="46">
        <v>16</v>
      </c>
      <c r="T2" s="47">
        <v>17</v>
      </c>
      <c r="U2" s="45">
        <v>18</v>
      </c>
      <c r="V2" s="44">
        <v>19</v>
      </c>
      <c r="W2" s="46">
        <v>20</v>
      </c>
      <c r="X2" s="47">
        <v>21</v>
      </c>
      <c r="Y2" s="46">
        <v>22</v>
      </c>
      <c r="Z2" s="47">
        <v>23</v>
      </c>
      <c r="AA2" s="46">
        <v>24</v>
      </c>
      <c r="AB2" s="44">
        <v>25</v>
      </c>
      <c r="AC2" s="45">
        <v>26</v>
      </c>
      <c r="AD2" s="47">
        <v>27</v>
      </c>
      <c r="AE2" s="46">
        <v>28</v>
      </c>
      <c r="AF2" s="47">
        <v>29</v>
      </c>
      <c r="AG2" s="46">
        <v>30</v>
      </c>
      <c r="AH2" s="47">
        <v>31</v>
      </c>
      <c r="AI2" s="22"/>
    </row>
    <row r="3" spans="2:35" ht="15.75" x14ac:dyDescent="0.25">
      <c r="B3" s="34" t="s">
        <v>130</v>
      </c>
      <c r="C3" s="23">
        <v>22.68</v>
      </c>
      <c r="D3" s="40" t="e">
        <f>SUMIFS(#REF!,#REF!,$B3,#REF!,D$1)</f>
        <v>#REF!</v>
      </c>
      <c r="E3" s="40" t="e">
        <f>SUMIFS(#REF!,#REF!,$B3,#REF!,E$1)</f>
        <v>#REF!</v>
      </c>
      <c r="F3" s="40" t="e">
        <f>SUMIFS(#REF!,#REF!,$B3,#REF!,F$1)</f>
        <v>#REF!</v>
      </c>
      <c r="G3" s="40" t="e">
        <f>SUMIFS(#REF!,#REF!,$B3,#REF!,G$1)</f>
        <v>#REF!</v>
      </c>
      <c r="H3" s="40" t="e">
        <f>SUMIFS(#REF!,#REF!,$B3,#REF!,H$1)</f>
        <v>#REF!</v>
      </c>
      <c r="I3" s="40" t="e">
        <f>SUMIFS(#REF!,#REF!,$B3,#REF!,I$1)</f>
        <v>#REF!</v>
      </c>
      <c r="J3" s="40" t="e">
        <f>SUMIFS(#REF!,#REF!,$B3,#REF!,J$1)</f>
        <v>#REF!</v>
      </c>
      <c r="K3" s="40" t="e">
        <f>SUMIFS(#REF!,#REF!,$B3,#REF!,K$1)</f>
        <v>#REF!</v>
      </c>
      <c r="L3" s="40" t="e">
        <f>SUMIFS(#REF!,#REF!,$B3,#REF!,L$1)</f>
        <v>#REF!</v>
      </c>
      <c r="M3" s="40" t="e">
        <f>SUMIFS(#REF!,#REF!,$B3,#REF!,M$1)</f>
        <v>#REF!</v>
      </c>
      <c r="N3" s="40" t="e">
        <f>SUMIFS(#REF!,#REF!,$B3,#REF!,N$1)</f>
        <v>#REF!</v>
      </c>
      <c r="O3" s="40" t="e">
        <f>SUMIFS(#REF!,#REF!,$B3,#REF!,O$1)</f>
        <v>#REF!</v>
      </c>
      <c r="P3" s="40" t="e">
        <f>SUMIFS(#REF!,#REF!,$B3,#REF!,P$1)</f>
        <v>#REF!</v>
      </c>
      <c r="Q3" s="40" t="e">
        <f>SUMIFS(#REF!,#REF!,$B3,#REF!,Q$1)</f>
        <v>#REF!</v>
      </c>
      <c r="R3" s="40" t="e">
        <f>SUMIFS(#REF!,#REF!,$B3,#REF!,R$1)</f>
        <v>#REF!</v>
      </c>
      <c r="S3" s="40" t="e">
        <f>SUMIFS(#REF!,#REF!,$B3,#REF!,S$1)</f>
        <v>#REF!</v>
      </c>
      <c r="T3" s="40" t="e">
        <f>SUMIFS(#REF!,#REF!,$B3,#REF!,T$1)</f>
        <v>#REF!</v>
      </c>
      <c r="U3" s="40" t="e">
        <f>SUMIFS(#REF!,#REF!,$B3,#REF!,U$1)</f>
        <v>#REF!</v>
      </c>
      <c r="V3" s="40" t="e">
        <f>SUMIFS(#REF!,#REF!,$B3,#REF!,V$1)</f>
        <v>#REF!</v>
      </c>
      <c r="W3" s="40" t="e">
        <f>SUMIFS(#REF!,#REF!,$B3,#REF!,W$1)</f>
        <v>#REF!</v>
      </c>
      <c r="X3" s="40" t="e">
        <f>SUMIFS(#REF!,#REF!,$B3,#REF!,X$1)</f>
        <v>#REF!</v>
      </c>
      <c r="Y3" s="40" t="e">
        <f>SUMIFS(#REF!,#REF!,$B3,#REF!,Y$1)</f>
        <v>#REF!</v>
      </c>
      <c r="Z3" s="40" t="e">
        <f>SUMIFS(#REF!,#REF!,$B3,#REF!,Z$1)</f>
        <v>#REF!</v>
      </c>
      <c r="AA3" s="40" t="e">
        <f>SUMIFS(#REF!,#REF!,$B3,#REF!,AA$1)</f>
        <v>#REF!</v>
      </c>
      <c r="AB3" s="40" t="e">
        <f>SUMIFS(#REF!,#REF!,$B3,#REF!,AB$1)</f>
        <v>#REF!</v>
      </c>
      <c r="AC3" s="40" t="e">
        <f>SUMIFS(#REF!,#REF!,$B3,#REF!,AC$1)</f>
        <v>#REF!</v>
      </c>
      <c r="AD3" s="40" t="e">
        <f>SUMIFS(#REF!,#REF!,$B3,#REF!,AD$1)</f>
        <v>#REF!</v>
      </c>
      <c r="AE3" s="40" t="e">
        <f>SUMIFS(#REF!,#REF!,$B3,#REF!,AE$1)</f>
        <v>#REF!</v>
      </c>
      <c r="AF3" s="40" t="e">
        <f>SUMIFS(#REF!,#REF!,$B3,#REF!,AF$1)</f>
        <v>#REF!</v>
      </c>
      <c r="AG3" s="40" t="e">
        <f>SUMIFS(#REF!,#REF!,$B3,#REF!,AG$1)</f>
        <v>#REF!</v>
      </c>
      <c r="AH3" s="40" t="e">
        <f>SUMIFS(#REF!,#REF!,$B3,#REF!,AH$1)</f>
        <v>#REF!</v>
      </c>
      <c r="AI3" s="48" t="e">
        <f t="shared" ref="AI3:AI10" si="0">SUM(D3:AH3)</f>
        <v>#REF!</v>
      </c>
    </row>
    <row r="4" spans="2:35" ht="15.75" x14ac:dyDescent="0.25">
      <c r="B4" s="35" t="s">
        <v>131</v>
      </c>
      <c r="C4" s="24">
        <v>25</v>
      </c>
      <c r="D4" s="19" t="e">
        <f>SUMIFS(#REF!,#REF!,$B4,#REF!,D$1)</f>
        <v>#REF!</v>
      </c>
      <c r="E4" s="19" t="e">
        <f>SUMIFS(#REF!,#REF!,$B4,#REF!,E$1)</f>
        <v>#REF!</v>
      </c>
      <c r="F4" s="19" t="e">
        <f>SUMIFS(#REF!,#REF!,$B4,#REF!,F$1)</f>
        <v>#REF!</v>
      </c>
      <c r="G4" s="19" t="e">
        <f>SUMIFS(#REF!,#REF!,$B4,#REF!,G$1)</f>
        <v>#REF!</v>
      </c>
      <c r="H4" s="19" t="e">
        <f>SUMIFS(#REF!,#REF!,$B4,#REF!,H$1)</f>
        <v>#REF!</v>
      </c>
      <c r="I4" s="19" t="e">
        <f>SUMIFS(#REF!,#REF!,$B4,#REF!,I$1)</f>
        <v>#REF!</v>
      </c>
      <c r="J4" s="19" t="e">
        <f>SUMIFS(#REF!,#REF!,$B4,#REF!,J$1)</f>
        <v>#REF!</v>
      </c>
      <c r="K4" s="19" t="e">
        <f>SUMIFS(#REF!,#REF!,$B4,#REF!,K$1)</f>
        <v>#REF!</v>
      </c>
      <c r="L4" s="19" t="e">
        <f>SUMIFS(#REF!,#REF!,$B4,#REF!,L$1)</f>
        <v>#REF!</v>
      </c>
      <c r="M4" s="19" t="e">
        <f>SUMIFS(#REF!,#REF!,$B4,#REF!,M$1)</f>
        <v>#REF!</v>
      </c>
      <c r="N4" s="19" t="e">
        <f>SUMIFS(#REF!,#REF!,$B4,#REF!,N$1)</f>
        <v>#REF!</v>
      </c>
      <c r="O4" s="19" t="e">
        <f>SUMIFS(#REF!,#REF!,$B4,#REF!,O$1)</f>
        <v>#REF!</v>
      </c>
      <c r="P4" s="19" t="e">
        <f>SUMIFS(#REF!,#REF!,$B4,#REF!,P$1)</f>
        <v>#REF!</v>
      </c>
      <c r="Q4" s="19" t="e">
        <f>SUMIFS(#REF!,#REF!,$B4,#REF!,Q$1)</f>
        <v>#REF!</v>
      </c>
      <c r="R4" s="19" t="e">
        <f>SUMIFS(#REF!,#REF!,$B4,#REF!,R$1)</f>
        <v>#REF!</v>
      </c>
      <c r="S4" s="19" t="e">
        <f>SUMIFS(#REF!,#REF!,$B4,#REF!,S$1)</f>
        <v>#REF!</v>
      </c>
      <c r="T4" s="19" t="e">
        <f>SUMIFS(#REF!,#REF!,$B4,#REF!,T$1)</f>
        <v>#REF!</v>
      </c>
      <c r="U4" s="19" t="e">
        <f>SUMIFS(#REF!,#REF!,$B4,#REF!,U$1)</f>
        <v>#REF!</v>
      </c>
      <c r="V4" s="19" t="e">
        <f>SUMIFS(#REF!,#REF!,$B4,#REF!,V$1)</f>
        <v>#REF!</v>
      </c>
      <c r="W4" s="19" t="e">
        <f>SUMIFS(#REF!,#REF!,$B4,#REF!,W$1)</f>
        <v>#REF!</v>
      </c>
      <c r="X4" s="19" t="e">
        <f>SUMIFS(#REF!,#REF!,$B4,#REF!,X$1)</f>
        <v>#REF!</v>
      </c>
      <c r="Y4" s="19" t="e">
        <f>SUMIFS(#REF!,#REF!,$B4,#REF!,Y$1)</f>
        <v>#REF!</v>
      </c>
      <c r="Z4" s="19" t="e">
        <f>SUMIFS(#REF!,#REF!,$B4,#REF!,Z$1)</f>
        <v>#REF!</v>
      </c>
      <c r="AA4" s="19" t="e">
        <f>SUMIFS(#REF!,#REF!,$B4,#REF!,AA$1)</f>
        <v>#REF!</v>
      </c>
      <c r="AB4" s="19" t="e">
        <f>SUMIFS(#REF!,#REF!,$B4,#REF!,AB$1)</f>
        <v>#REF!</v>
      </c>
      <c r="AC4" s="19" t="e">
        <f>SUMIFS(#REF!,#REF!,$B4,#REF!,AC$1)</f>
        <v>#REF!</v>
      </c>
      <c r="AD4" s="19" t="e">
        <f>SUMIFS(#REF!,#REF!,$B4,#REF!,AD$1)</f>
        <v>#REF!</v>
      </c>
      <c r="AE4" s="19" t="e">
        <f>SUMIFS(#REF!,#REF!,$B4,#REF!,AE$1)</f>
        <v>#REF!</v>
      </c>
      <c r="AF4" s="19" t="e">
        <f>SUMIFS(#REF!,#REF!,$B4,#REF!,AF$1)</f>
        <v>#REF!</v>
      </c>
      <c r="AG4" s="19" t="e">
        <f>SUMIFS(#REF!,#REF!,$B4,#REF!,AG$1)</f>
        <v>#REF!</v>
      </c>
      <c r="AH4" s="19" t="e">
        <f>SUMIFS(#REF!,#REF!,$B4,#REF!,AH$1)</f>
        <v>#REF!</v>
      </c>
      <c r="AI4" s="20" t="e">
        <f t="shared" si="0"/>
        <v>#REF!</v>
      </c>
    </row>
    <row r="5" spans="2:35" ht="15.75" x14ac:dyDescent="0.25">
      <c r="B5" s="35" t="s">
        <v>132</v>
      </c>
      <c r="C5" s="24">
        <v>25</v>
      </c>
      <c r="D5" s="19" t="e">
        <f>SUMIFS(#REF!,#REF!,$B5,#REF!,D$1)</f>
        <v>#REF!</v>
      </c>
      <c r="E5" s="19" t="e">
        <f>SUMIFS(#REF!,#REF!,$B5,#REF!,E$1)</f>
        <v>#REF!</v>
      </c>
      <c r="F5" s="19" t="e">
        <f>SUMIFS(#REF!,#REF!,$B5,#REF!,F$1)</f>
        <v>#REF!</v>
      </c>
      <c r="G5" s="19" t="e">
        <f>SUMIFS(#REF!,#REF!,$B5,#REF!,G$1)</f>
        <v>#REF!</v>
      </c>
      <c r="H5" s="19" t="e">
        <f>SUMIFS(#REF!,#REF!,$B5,#REF!,H$1)</f>
        <v>#REF!</v>
      </c>
      <c r="I5" s="19" t="e">
        <f>SUMIFS(#REF!,#REF!,$B5,#REF!,I$1)</f>
        <v>#REF!</v>
      </c>
      <c r="J5" s="19" t="e">
        <f>SUMIFS(#REF!,#REF!,$B5,#REF!,J$1)</f>
        <v>#REF!</v>
      </c>
      <c r="K5" s="19" t="e">
        <f>SUMIFS(#REF!,#REF!,$B5,#REF!,K$1)</f>
        <v>#REF!</v>
      </c>
      <c r="L5" s="19" t="e">
        <f>SUMIFS(#REF!,#REF!,$B5,#REF!,L$1)</f>
        <v>#REF!</v>
      </c>
      <c r="M5" s="19" t="e">
        <f>SUMIFS(#REF!,#REF!,$B5,#REF!,M$1)</f>
        <v>#REF!</v>
      </c>
      <c r="N5" s="19" t="e">
        <f>SUMIFS(#REF!,#REF!,$B5,#REF!,N$1)</f>
        <v>#REF!</v>
      </c>
      <c r="O5" s="19" t="e">
        <f>SUMIFS(#REF!,#REF!,$B5,#REF!,O$1)</f>
        <v>#REF!</v>
      </c>
      <c r="P5" s="19" t="e">
        <f>SUMIFS(#REF!,#REF!,$B5,#REF!,P$1)</f>
        <v>#REF!</v>
      </c>
      <c r="Q5" s="19" t="e">
        <f>SUMIFS(#REF!,#REF!,$B5,#REF!,Q$1)</f>
        <v>#REF!</v>
      </c>
      <c r="R5" s="19" t="e">
        <f>SUMIFS(#REF!,#REF!,$B5,#REF!,R$1)</f>
        <v>#REF!</v>
      </c>
      <c r="S5" s="19" t="e">
        <f>SUMIFS(#REF!,#REF!,$B5,#REF!,S$1)</f>
        <v>#REF!</v>
      </c>
      <c r="T5" s="19" t="e">
        <f>SUMIFS(#REF!,#REF!,$B5,#REF!,T$1)</f>
        <v>#REF!</v>
      </c>
      <c r="U5" s="19" t="e">
        <f>SUMIFS(#REF!,#REF!,$B5,#REF!,U$1)</f>
        <v>#REF!</v>
      </c>
      <c r="V5" s="19" t="e">
        <f>SUMIFS(#REF!,#REF!,$B5,#REF!,V$1)</f>
        <v>#REF!</v>
      </c>
      <c r="W5" s="19" t="e">
        <f>SUMIFS(#REF!,#REF!,$B5,#REF!,W$1)</f>
        <v>#REF!</v>
      </c>
      <c r="X5" s="19" t="e">
        <f>SUMIFS(#REF!,#REF!,$B5,#REF!,X$1)</f>
        <v>#REF!</v>
      </c>
      <c r="Y5" s="19" t="e">
        <f>SUMIFS(#REF!,#REF!,$B5,#REF!,Y$1)</f>
        <v>#REF!</v>
      </c>
      <c r="Z5" s="19" t="e">
        <f>SUMIFS(#REF!,#REF!,$B5,#REF!,Z$1)</f>
        <v>#REF!</v>
      </c>
      <c r="AA5" s="19" t="e">
        <f>SUMIFS(#REF!,#REF!,$B5,#REF!,AA$1)</f>
        <v>#REF!</v>
      </c>
      <c r="AB5" s="19" t="e">
        <f>SUMIFS(#REF!,#REF!,$B5,#REF!,AB$1)</f>
        <v>#REF!</v>
      </c>
      <c r="AC5" s="19" t="e">
        <f>SUMIFS(#REF!,#REF!,$B5,#REF!,AC$1)</f>
        <v>#REF!</v>
      </c>
      <c r="AD5" s="19" t="e">
        <f>SUMIFS(#REF!,#REF!,$B5,#REF!,AD$1)</f>
        <v>#REF!</v>
      </c>
      <c r="AE5" s="19" t="e">
        <f>SUMIFS(#REF!,#REF!,$B5,#REF!,AE$1)</f>
        <v>#REF!</v>
      </c>
      <c r="AF5" s="19" t="e">
        <f>SUMIFS(#REF!,#REF!,$B5,#REF!,AF$1)</f>
        <v>#REF!</v>
      </c>
      <c r="AG5" s="19" t="e">
        <f>SUMIFS(#REF!,#REF!,$B5,#REF!,AG$1)</f>
        <v>#REF!</v>
      </c>
      <c r="AH5" s="19" t="e">
        <f>SUMIFS(#REF!,#REF!,$B5,#REF!,AH$1)</f>
        <v>#REF!</v>
      </c>
      <c r="AI5" s="20" t="e">
        <f t="shared" si="0"/>
        <v>#REF!</v>
      </c>
    </row>
    <row r="6" spans="2:35" ht="15.75" x14ac:dyDescent="0.25">
      <c r="B6" s="35" t="s">
        <v>133</v>
      </c>
      <c r="C6" s="24">
        <v>22.7</v>
      </c>
      <c r="D6" s="19" t="e">
        <f>SUMIFS(#REF!,#REF!,$B6,#REF!,D$1)</f>
        <v>#REF!</v>
      </c>
      <c r="E6" s="19" t="e">
        <f>SUMIFS(#REF!,#REF!,$B6,#REF!,E$1)</f>
        <v>#REF!</v>
      </c>
      <c r="F6" s="19" t="e">
        <f>SUMIFS(#REF!,#REF!,$B6,#REF!,F$1)</f>
        <v>#REF!</v>
      </c>
      <c r="G6" s="19" t="e">
        <f>SUMIFS(#REF!,#REF!,$B6,#REF!,G$1)</f>
        <v>#REF!</v>
      </c>
      <c r="H6" s="19" t="e">
        <f>SUMIFS(#REF!,#REF!,$B6,#REF!,H$1)</f>
        <v>#REF!</v>
      </c>
      <c r="I6" s="19" t="e">
        <f>SUMIFS(#REF!,#REF!,$B6,#REF!,I$1)</f>
        <v>#REF!</v>
      </c>
      <c r="J6" s="19" t="e">
        <f>SUMIFS(#REF!,#REF!,$B6,#REF!,J$1)</f>
        <v>#REF!</v>
      </c>
      <c r="K6" s="19" t="e">
        <f>SUMIFS(#REF!,#REF!,$B6,#REF!,K$1)</f>
        <v>#REF!</v>
      </c>
      <c r="L6" s="19" t="e">
        <f>SUMIFS(#REF!,#REF!,$B6,#REF!,L$1)</f>
        <v>#REF!</v>
      </c>
      <c r="M6" s="19" t="e">
        <f>SUMIFS(#REF!,#REF!,$B6,#REF!,M$1)</f>
        <v>#REF!</v>
      </c>
      <c r="N6" s="19" t="e">
        <f>SUMIFS(#REF!,#REF!,$B6,#REF!,N$1)</f>
        <v>#REF!</v>
      </c>
      <c r="O6" s="19" t="e">
        <f>SUMIFS(#REF!,#REF!,$B6,#REF!,O$1)</f>
        <v>#REF!</v>
      </c>
      <c r="P6" s="19" t="e">
        <f>SUMIFS(#REF!,#REF!,$B6,#REF!,P$1)</f>
        <v>#REF!</v>
      </c>
      <c r="Q6" s="19" t="e">
        <f>SUMIFS(#REF!,#REF!,$B6,#REF!,Q$1)</f>
        <v>#REF!</v>
      </c>
      <c r="R6" s="19" t="e">
        <f>SUMIFS(#REF!,#REF!,$B6,#REF!,R$1)</f>
        <v>#REF!</v>
      </c>
      <c r="S6" s="19" t="e">
        <f>SUMIFS(#REF!,#REF!,$B6,#REF!,S$1)</f>
        <v>#REF!</v>
      </c>
      <c r="T6" s="19" t="e">
        <f>SUMIFS(#REF!,#REF!,$B6,#REF!,T$1)</f>
        <v>#REF!</v>
      </c>
      <c r="U6" s="19" t="e">
        <f>SUMIFS(#REF!,#REF!,$B6,#REF!,U$1)</f>
        <v>#REF!</v>
      </c>
      <c r="V6" s="19" t="e">
        <f>SUMIFS(#REF!,#REF!,$B6,#REF!,V$1)</f>
        <v>#REF!</v>
      </c>
      <c r="W6" s="19" t="e">
        <f>SUMIFS(#REF!,#REF!,$B6,#REF!,W$1)</f>
        <v>#REF!</v>
      </c>
      <c r="X6" s="19" t="e">
        <f>SUMIFS(#REF!,#REF!,$B6,#REF!,X$1)</f>
        <v>#REF!</v>
      </c>
      <c r="Y6" s="19" t="e">
        <f>SUMIFS(#REF!,#REF!,$B6,#REF!,Y$1)</f>
        <v>#REF!</v>
      </c>
      <c r="Z6" s="19" t="e">
        <f>SUMIFS(#REF!,#REF!,$B6,#REF!,Z$1)</f>
        <v>#REF!</v>
      </c>
      <c r="AA6" s="19" t="e">
        <f>SUMIFS(#REF!,#REF!,$B6,#REF!,AA$1)</f>
        <v>#REF!</v>
      </c>
      <c r="AB6" s="19" t="e">
        <f>SUMIFS(#REF!,#REF!,$B6,#REF!,AB$1)</f>
        <v>#REF!</v>
      </c>
      <c r="AC6" s="19" t="e">
        <f>SUMIFS(#REF!,#REF!,$B6,#REF!,AC$1)</f>
        <v>#REF!</v>
      </c>
      <c r="AD6" s="19" t="e">
        <f>SUMIFS(#REF!,#REF!,$B6,#REF!,AD$1)</f>
        <v>#REF!</v>
      </c>
      <c r="AE6" s="19" t="e">
        <f>SUMIFS(#REF!,#REF!,$B6,#REF!,AE$1)</f>
        <v>#REF!</v>
      </c>
      <c r="AF6" s="19" t="e">
        <f>SUMIFS(#REF!,#REF!,$B6,#REF!,AF$1)</f>
        <v>#REF!</v>
      </c>
      <c r="AG6" s="19" t="e">
        <f>SUMIFS(#REF!,#REF!,$B6,#REF!,AG$1)</f>
        <v>#REF!</v>
      </c>
      <c r="AH6" s="19" t="e">
        <f>SUMIFS(#REF!,#REF!,$B6,#REF!,AH$1)</f>
        <v>#REF!</v>
      </c>
      <c r="AI6" s="20" t="e">
        <f>SUM(D6:AH6)</f>
        <v>#REF!</v>
      </c>
    </row>
    <row r="7" spans="2:35" ht="15.75" x14ac:dyDescent="0.25">
      <c r="B7" s="35" t="s">
        <v>134</v>
      </c>
      <c r="C7" s="24">
        <v>22.7</v>
      </c>
      <c r="D7" s="19" t="e">
        <f>SUMIFS(#REF!,#REF!,$B7,#REF!,D$1)</f>
        <v>#REF!</v>
      </c>
      <c r="E7" s="19" t="e">
        <f>SUMIFS(#REF!,#REF!,$B7,#REF!,E$1)</f>
        <v>#REF!</v>
      </c>
      <c r="F7" s="19" t="e">
        <f>SUMIFS(#REF!,#REF!,$B7,#REF!,F$1)</f>
        <v>#REF!</v>
      </c>
      <c r="G7" s="19" t="e">
        <f>SUMIFS(#REF!,#REF!,$B7,#REF!,G$1)</f>
        <v>#REF!</v>
      </c>
      <c r="H7" s="19" t="e">
        <f>SUMIFS(#REF!,#REF!,$B7,#REF!,H$1)</f>
        <v>#REF!</v>
      </c>
      <c r="I7" s="19" t="e">
        <f>SUMIFS(#REF!,#REF!,$B7,#REF!,I$1)</f>
        <v>#REF!</v>
      </c>
      <c r="J7" s="19" t="e">
        <f>SUMIFS(#REF!,#REF!,$B7,#REF!,J$1)</f>
        <v>#REF!</v>
      </c>
      <c r="K7" s="19" t="e">
        <f>SUMIFS(#REF!,#REF!,$B7,#REF!,K$1)</f>
        <v>#REF!</v>
      </c>
      <c r="L7" s="19" t="e">
        <f>SUMIFS(#REF!,#REF!,$B7,#REF!,L$1)</f>
        <v>#REF!</v>
      </c>
      <c r="M7" s="19" t="e">
        <f>SUMIFS(#REF!,#REF!,$B7,#REF!,M$1)</f>
        <v>#REF!</v>
      </c>
      <c r="N7" s="19" t="e">
        <f>SUMIFS(#REF!,#REF!,$B7,#REF!,N$1)</f>
        <v>#REF!</v>
      </c>
      <c r="O7" s="19" t="e">
        <f>SUMIFS(#REF!,#REF!,$B7,#REF!,O$1)</f>
        <v>#REF!</v>
      </c>
      <c r="P7" s="19" t="e">
        <f>SUMIFS(#REF!,#REF!,$B7,#REF!,P$1)</f>
        <v>#REF!</v>
      </c>
      <c r="Q7" s="19" t="e">
        <f>SUMIFS(#REF!,#REF!,$B7,#REF!,Q$1)</f>
        <v>#REF!</v>
      </c>
      <c r="R7" s="19" t="e">
        <f>SUMIFS(#REF!,#REF!,$B7,#REF!,R$1)</f>
        <v>#REF!</v>
      </c>
      <c r="S7" s="19" t="e">
        <f>SUMIFS(#REF!,#REF!,$B7,#REF!,S$1)</f>
        <v>#REF!</v>
      </c>
      <c r="T7" s="19" t="e">
        <f>SUMIFS(#REF!,#REF!,$B7,#REF!,T$1)</f>
        <v>#REF!</v>
      </c>
      <c r="U7" s="19" t="e">
        <f>SUMIFS(#REF!,#REF!,$B7,#REF!,U$1)</f>
        <v>#REF!</v>
      </c>
      <c r="V7" s="19" t="e">
        <f>SUMIFS(#REF!,#REF!,$B7,#REF!,V$1)</f>
        <v>#REF!</v>
      </c>
      <c r="W7" s="19" t="e">
        <f>SUMIFS(#REF!,#REF!,$B7,#REF!,W$1)</f>
        <v>#REF!</v>
      </c>
      <c r="X7" s="19" t="e">
        <f>SUMIFS(#REF!,#REF!,$B7,#REF!,X$1)</f>
        <v>#REF!</v>
      </c>
      <c r="Y7" s="19" t="e">
        <f>SUMIFS(#REF!,#REF!,$B7,#REF!,Y$1)</f>
        <v>#REF!</v>
      </c>
      <c r="Z7" s="19" t="e">
        <f>SUMIFS(#REF!,#REF!,$B7,#REF!,Z$1)</f>
        <v>#REF!</v>
      </c>
      <c r="AA7" s="19" t="e">
        <f>SUMIFS(#REF!,#REF!,$B7,#REF!,AA$1)</f>
        <v>#REF!</v>
      </c>
      <c r="AB7" s="19" t="e">
        <f>SUMIFS(#REF!,#REF!,$B7,#REF!,AB$1)</f>
        <v>#REF!</v>
      </c>
      <c r="AC7" s="19" t="e">
        <f>SUMIFS(#REF!,#REF!,$B7,#REF!,AC$1)</f>
        <v>#REF!</v>
      </c>
      <c r="AD7" s="19" t="e">
        <f>SUMIFS(#REF!,#REF!,$B7,#REF!,AD$1)</f>
        <v>#REF!</v>
      </c>
      <c r="AE7" s="19" t="e">
        <f>SUMIFS(#REF!,#REF!,$B7,#REF!,AE$1)</f>
        <v>#REF!</v>
      </c>
      <c r="AF7" s="19" t="e">
        <f>SUMIFS(#REF!,#REF!,$B7,#REF!,AF$1)</f>
        <v>#REF!</v>
      </c>
      <c r="AG7" s="19" t="e">
        <f>SUMIFS(#REF!,#REF!,$B7,#REF!,AG$1)</f>
        <v>#REF!</v>
      </c>
      <c r="AH7" s="19" t="e">
        <f>SUMIFS(#REF!,#REF!,$B7,#REF!,AH$1)</f>
        <v>#REF!</v>
      </c>
      <c r="AI7" s="20" t="e">
        <f t="shared" si="0"/>
        <v>#REF!</v>
      </c>
    </row>
    <row r="8" spans="2:35" ht="15.75" x14ac:dyDescent="0.25">
      <c r="B8" s="36" t="s">
        <v>19</v>
      </c>
      <c r="C8" s="24">
        <v>22.7</v>
      </c>
      <c r="D8" s="19" t="e">
        <f>SUMIFS(#REF!,#REF!,$B8,#REF!,D$1)</f>
        <v>#REF!</v>
      </c>
      <c r="E8" s="19" t="e">
        <f>SUMIFS(#REF!,#REF!,$B8,#REF!,E$1)</f>
        <v>#REF!</v>
      </c>
      <c r="F8" s="19" t="e">
        <f>SUMIFS(#REF!,#REF!,$B8,#REF!,F$1)</f>
        <v>#REF!</v>
      </c>
      <c r="G8" s="19" t="e">
        <f>SUMIFS(#REF!,#REF!,$B8,#REF!,G$1)</f>
        <v>#REF!</v>
      </c>
      <c r="H8" s="19" t="e">
        <f>SUMIFS(#REF!,#REF!,$B8,#REF!,H$1)</f>
        <v>#REF!</v>
      </c>
      <c r="I8" s="19" t="e">
        <f>SUMIFS(#REF!,#REF!,$B8,#REF!,I$1)</f>
        <v>#REF!</v>
      </c>
      <c r="J8" s="19" t="e">
        <f>SUMIFS(#REF!,#REF!,$B8,#REF!,J$1)</f>
        <v>#REF!</v>
      </c>
      <c r="K8" s="19" t="e">
        <f>SUMIFS(#REF!,#REF!,$B8,#REF!,K$1)</f>
        <v>#REF!</v>
      </c>
      <c r="L8" s="19" t="e">
        <f>SUMIFS(#REF!,#REF!,$B8,#REF!,L$1)</f>
        <v>#REF!</v>
      </c>
      <c r="M8" s="19" t="e">
        <f>SUMIFS(#REF!,#REF!,$B8,#REF!,M$1)</f>
        <v>#REF!</v>
      </c>
      <c r="N8" s="19" t="e">
        <f>SUMIFS(#REF!,#REF!,$B8,#REF!,N$1)</f>
        <v>#REF!</v>
      </c>
      <c r="O8" s="19" t="e">
        <f>SUMIFS(#REF!,#REF!,$B8,#REF!,O$1)</f>
        <v>#REF!</v>
      </c>
      <c r="P8" s="19" t="e">
        <f>SUMIFS(#REF!,#REF!,$B8,#REF!,P$1)</f>
        <v>#REF!</v>
      </c>
      <c r="Q8" s="19" t="e">
        <f>SUMIFS(#REF!,#REF!,$B8,#REF!,Q$1)</f>
        <v>#REF!</v>
      </c>
      <c r="R8" s="19" t="e">
        <f>SUMIFS(#REF!,#REF!,$B8,#REF!,R$1)</f>
        <v>#REF!</v>
      </c>
      <c r="S8" s="19" t="e">
        <f>SUMIFS(#REF!,#REF!,$B8,#REF!,S$1)</f>
        <v>#REF!</v>
      </c>
      <c r="T8" s="19" t="e">
        <f>SUMIFS(#REF!,#REF!,$B8,#REF!,T$1)</f>
        <v>#REF!</v>
      </c>
      <c r="U8" s="19" t="e">
        <f>SUMIFS(#REF!,#REF!,$B8,#REF!,U$1)</f>
        <v>#REF!</v>
      </c>
      <c r="V8" s="19" t="e">
        <f>SUMIFS(#REF!,#REF!,$B8,#REF!,V$1)</f>
        <v>#REF!</v>
      </c>
      <c r="W8" s="19" t="e">
        <f>SUMIFS(#REF!,#REF!,$B8,#REF!,W$1)</f>
        <v>#REF!</v>
      </c>
      <c r="X8" s="19" t="e">
        <f>SUMIFS(#REF!,#REF!,$B8,#REF!,X$1)</f>
        <v>#REF!</v>
      </c>
      <c r="Y8" s="19" t="e">
        <f>SUMIFS(#REF!,#REF!,$B8,#REF!,Y$1)</f>
        <v>#REF!</v>
      </c>
      <c r="Z8" s="19" t="e">
        <f>SUMIFS(#REF!,#REF!,$B8,#REF!,Z$1)</f>
        <v>#REF!</v>
      </c>
      <c r="AA8" s="19" t="e">
        <f>SUMIFS(#REF!,#REF!,$B8,#REF!,AA$1)</f>
        <v>#REF!</v>
      </c>
      <c r="AB8" s="19" t="e">
        <f>SUMIFS(#REF!,#REF!,$B8,#REF!,AB$1)</f>
        <v>#REF!</v>
      </c>
      <c r="AC8" s="19" t="e">
        <f>SUMIFS(#REF!,#REF!,$B8,#REF!,AC$1)</f>
        <v>#REF!</v>
      </c>
      <c r="AD8" s="19" t="e">
        <f>SUMIFS(#REF!,#REF!,$B8,#REF!,AD$1)</f>
        <v>#REF!</v>
      </c>
      <c r="AE8" s="19" t="e">
        <f>SUMIFS(#REF!,#REF!,$B8,#REF!,AE$1)</f>
        <v>#REF!</v>
      </c>
      <c r="AF8" s="19" t="e">
        <f>SUMIFS(#REF!,#REF!,$B8,#REF!,AF$1)</f>
        <v>#REF!</v>
      </c>
      <c r="AG8" s="19" t="e">
        <f>SUMIFS(#REF!,#REF!,$B8,#REF!,AG$1)</f>
        <v>#REF!</v>
      </c>
      <c r="AH8" s="19" t="e">
        <f>SUMIFS(#REF!,#REF!,$B8,#REF!,AH$1)</f>
        <v>#REF!</v>
      </c>
      <c r="AI8" s="20" t="e">
        <f>SUM(D8:AH8)</f>
        <v>#REF!</v>
      </c>
    </row>
    <row r="9" spans="2:35" ht="15.75" x14ac:dyDescent="0.25">
      <c r="B9" s="35" t="s">
        <v>135</v>
      </c>
      <c r="C9" s="24">
        <v>25</v>
      </c>
      <c r="D9" s="19" t="e">
        <f>SUMIFS(#REF!,#REF!,$B9,#REF!,D$1)</f>
        <v>#REF!</v>
      </c>
      <c r="E9" s="19" t="e">
        <f>SUMIFS(#REF!,#REF!,$B9,#REF!,E$1)</f>
        <v>#REF!</v>
      </c>
      <c r="F9" s="19" t="e">
        <f>SUMIFS(#REF!,#REF!,$B9,#REF!,F$1)</f>
        <v>#REF!</v>
      </c>
      <c r="G9" s="19" t="e">
        <f>SUMIFS(#REF!,#REF!,$B9,#REF!,G$1)</f>
        <v>#REF!</v>
      </c>
      <c r="H9" s="19" t="e">
        <f>SUMIFS(#REF!,#REF!,$B9,#REF!,H$1)</f>
        <v>#REF!</v>
      </c>
      <c r="I9" s="19" t="e">
        <f>SUMIFS(#REF!,#REF!,$B9,#REF!,I$1)</f>
        <v>#REF!</v>
      </c>
      <c r="J9" s="19" t="e">
        <f>SUMIFS(#REF!,#REF!,$B9,#REF!,J$1)</f>
        <v>#REF!</v>
      </c>
      <c r="K9" s="19" t="e">
        <f>SUMIFS(#REF!,#REF!,$B9,#REF!,K$1)</f>
        <v>#REF!</v>
      </c>
      <c r="L9" s="19" t="e">
        <f>SUMIFS(#REF!,#REF!,$B9,#REF!,L$1)</f>
        <v>#REF!</v>
      </c>
      <c r="M9" s="19" t="e">
        <f>SUMIFS(#REF!,#REF!,$B9,#REF!,M$1)</f>
        <v>#REF!</v>
      </c>
      <c r="N9" s="19" t="e">
        <f>SUMIFS(#REF!,#REF!,$B9,#REF!,N$1)</f>
        <v>#REF!</v>
      </c>
      <c r="O9" s="19" t="e">
        <f>SUMIFS(#REF!,#REF!,$B9,#REF!,O$1)</f>
        <v>#REF!</v>
      </c>
      <c r="P9" s="19" t="e">
        <f>SUMIFS(#REF!,#REF!,$B9,#REF!,P$1)</f>
        <v>#REF!</v>
      </c>
      <c r="Q9" s="19" t="e">
        <f>SUMIFS(#REF!,#REF!,$B9,#REF!,Q$1)</f>
        <v>#REF!</v>
      </c>
      <c r="R9" s="19" t="e">
        <f>SUMIFS(#REF!,#REF!,$B9,#REF!,R$1)</f>
        <v>#REF!</v>
      </c>
      <c r="S9" s="19" t="e">
        <f>SUMIFS(#REF!,#REF!,$B9,#REF!,S$1)</f>
        <v>#REF!</v>
      </c>
      <c r="T9" s="19" t="e">
        <f>SUMIFS(#REF!,#REF!,$B9,#REF!,T$1)</f>
        <v>#REF!</v>
      </c>
      <c r="U9" s="19" t="e">
        <f>SUMIFS(#REF!,#REF!,$B9,#REF!,U$1)</f>
        <v>#REF!</v>
      </c>
      <c r="V9" s="19" t="e">
        <f>SUMIFS(#REF!,#REF!,$B9,#REF!,V$1)</f>
        <v>#REF!</v>
      </c>
      <c r="W9" s="19" t="e">
        <f>SUMIFS(#REF!,#REF!,$B9,#REF!,W$1)</f>
        <v>#REF!</v>
      </c>
      <c r="X9" s="19" t="e">
        <f>SUMIFS(#REF!,#REF!,$B9,#REF!,X$1)</f>
        <v>#REF!</v>
      </c>
      <c r="Y9" s="19" t="e">
        <f>SUMIFS(#REF!,#REF!,$B9,#REF!,Y$1)</f>
        <v>#REF!</v>
      </c>
      <c r="Z9" s="19" t="e">
        <f>SUMIFS(#REF!,#REF!,$B9,#REF!,Z$1)</f>
        <v>#REF!</v>
      </c>
      <c r="AA9" s="19" t="e">
        <f>SUMIFS(#REF!,#REF!,$B9,#REF!,AA$1)</f>
        <v>#REF!</v>
      </c>
      <c r="AB9" s="19" t="e">
        <f>SUMIFS(#REF!,#REF!,$B9,#REF!,AB$1)</f>
        <v>#REF!</v>
      </c>
      <c r="AC9" s="19" t="e">
        <f>SUMIFS(#REF!,#REF!,$B9,#REF!,AC$1)</f>
        <v>#REF!</v>
      </c>
      <c r="AD9" s="19" t="e">
        <f>SUMIFS(#REF!,#REF!,$B9,#REF!,AD$1)</f>
        <v>#REF!</v>
      </c>
      <c r="AE9" s="19" t="e">
        <f>SUMIFS(#REF!,#REF!,$B9,#REF!,AE$1)</f>
        <v>#REF!</v>
      </c>
      <c r="AF9" s="19" t="e">
        <f>SUMIFS(#REF!,#REF!,$B9,#REF!,AF$1)</f>
        <v>#REF!</v>
      </c>
      <c r="AG9" s="19" t="e">
        <f>SUMIFS(#REF!,#REF!,$B9,#REF!,AG$1)</f>
        <v>#REF!</v>
      </c>
      <c r="AH9" s="19" t="e">
        <f>SUMIFS(#REF!,#REF!,$B9,#REF!,AH$1)</f>
        <v>#REF!</v>
      </c>
      <c r="AI9" s="20" t="e">
        <f t="shared" si="0"/>
        <v>#REF!</v>
      </c>
    </row>
    <row r="10" spans="2:35" ht="16.5" thickBot="1" x14ac:dyDescent="0.3">
      <c r="B10" s="49" t="s">
        <v>136</v>
      </c>
      <c r="C10" s="50">
        <v>22.7</v>
      </c>
      <c r="D10" s="51" t="e">
        <f>SUMIFS(#REF!,#REF!,$B10,#REF!,D$1)</f>
        <v>#REF!</v>
      </c>
      <c r="E10" s="51" t="e">
        <f>SUMIFS(#REF!,#REF!,$B10,#REF!,E$1)</f>
        <v>#REF!</v>
      </c>
      <c r="F10" s="51" t="e">
        <f>SUMIFS(#REF!,#REF!,$B10,#REF!,F$1)</f>
        <v>#REF!</v>
      </c>
      <c r="G10" s="51" t="e">
        <f>SUMIFS(#REF!,#REF!,$B10,#REF!,G$1)</f>
        <v>#REF!</v>
      </c>
      <c r="H10" s="51" t="e">
        <f>SUMIFS(#REF!,#REF!,$B10,#REF!,H$1)</f>
        <v>#REF!</v>
      </c>
      <c r="I10" s="51" t="e">
        <f>SUMIFS(#REF!,#REF!,$B10,#REF!,I$1)</f>
        <v>#REF!</v>
      </c>
      <c r="J10" s="51" t="e">
        <f>SUMIFS(#REF!,#REF!,$B10,#REF!,J$1)</f>
        <v>#REF!</v>
      </c>
      <c r="K10" s="51" t="e">
        <f>SUMIFS(#REF!,#REF!,$B10,#REF!,K$1)</f>
        <v>#REF!</v>
      </c>
      <c r="L10" s="51" t="e">
        <f>SUMIFS(#REF!,#REF!,$B10,#REF!,L$1)</f>
        <v>#REF!</v>
      </c>
      <c r="M10" s="51" t="e">
        <f>SUMIFS(#REF!,#REF!,$B10,#REF!,M$1)</f>
        <v>#REF!</v>
      </c>
      <c r="N10" s="51" t="e">
        <f>SUMIFS(#REF!,#REF!,$B10,#REF!,N$1)</f>
        <v>#REF!</v>
      </c>
      <c r="O10" s="51" t="e">
        <f>SUMIFS(#REF!,#REF!,$B10,#REF!,O$1)</f>
        <v>#REF!</v>
      </c>
      <c r="P10" s="51" t="e">
        <f>SUMIFS(#REF!,#REF!,$B10,#REF!,P$1)</f>
        <v>#REF!</v>
      </c>
      <c r="Q10" s="51" t="e">
        <f>SUMIFS(#REF!,#REF!,$B10,#REF!,Q$1)</f>
        <v>#REF!</v>
      </c>
      <c r="R10" s="51" t="e">
        <f>SUMIFS(#REF!,#REF!,$B10,#REF!,R$1)</f>
        <v>#REF!</v>
      </c>
      <c r="S10" s="51" t="e">
        <f>SUMIFS(#REF!,#REF!,$B10,#REF!,S$1)</f>
        <v>#REF!</v>
      </c>
      <c r="T10" s="51" t="e">
        <f>SUMIFS(#REF!,#REF!,$B10,#REF!,T$1)</f>
        <v>#REF!</v>
      </c>
      <c r="U10" s="51" t="e">
        <f>SUMIFS(#REF!,#REF!,$B10,#REF!,U$1)</f>
        <v>#REF!</v>
      </c>
      <c r="V10" s="51" t="e">
        <f>SUMIFS(#REF!,#REF!,$B10,#REF!,V$1)</f>
        <v>#REF!</v>
      </c>
      <c r="W10" s="51" t="e">
        <f>SUMIFS(#REF!,#REF!,$B10,#REF!,W$1)</f>
        <v>#REF!</v>
      </c>
      <c r="X10" s="51" t="e">
        <f>SUMIFS(#REF!,#REF!,$B10,#REF!,X$1)</f>
        <v>#REF!</v>
      </c>
      <c r="Y10" s="51" t="e">
        <f>SUMIFS(#REF!,#REF!,$B10,#REF!,Y$1)</f>
        <v>#REF!</v>
      </c>
      <c r="Z10" s="51" t="e">
        <f>SUMIFS(#REF!,#REF!,$B10,#REF!,Z$1)</f>
        <v>#REF!</v>
      </c>
      <c r="AA10" s="51" t="e">
        <f>SUMIFS(#REF!,#REF!,$B10,#REF!,AA$1)</f>
        <v>#REF!</v>
      </c>
      <c r="AB10" s="51" t="e">
        <f>SUMIFS(#REF!,#REF!,$B10,#REF!,AB$1)</f>
        <v>#REF!</v>
      </c>
      <c r="AC10" s="51" t="e">
        <f>SUMIFS(#REF!,#REF!,$B10,#REF!,AC$1)</f>
        <v>#REF!</v>
      </c>
      <c r="AD10" s="51" t="e">
        <f>SUMIFS(#REF!,#REF!,$B10,#REF!,AD$1)</f>
        <v>#REF!</v>
      </c>
      <c r="AE10" s="51" t="e">
        <f>SUMIFS(#REF!,#REF!,$B10,#REF!,AE$1)</f>
        <v>#REF!</v>
      </c>
      <c r="AF10" s="51" t="e">
        <f>SUMIFS(#REF!,#REF!,$B10,#REF!,AF$1)</f>
        <v>#REF!</v>
      </c>
      <c r="AG10" s="51" t="e">
        <f>SUMIFS(#REF!,#REF!,$B10,#REF!,AG$1)</f>
        <v>#REF!</v>
      </c>
      <c r="AH10" s="51" t="e">
        <f>SUMIFS(#REF!,#REF!,$B10,#REF!,AH$1)</f>
        <v>#REF!</v>
      </c>
      <c r="AI10" s="52" t="e">
        <f t="shared" si="0"/>
        <v>#REF!</v>
      </c>
    </row>
    <row r="11" spans="2:35" ht="15.75" thickBot="1" x14ac:dyDescent="0.3"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</row>
    <row r="12" spans="2:35" ht="15.75" x14ac:dyDescent="0.25">
      <c r="B12" s="38" t="s">
        <v>27</v>
      </c>
      <c r="C12" s="39">
        <v>20</v>
      </c>
      <c r="D12" s="40" t="e">
        <f>SUMIFS(#REF!,#REF!,$B12,#REF!,D$1)</f>
        <v>#REF!</v>
      </c>
      <c r="E12" s="40" t="e">
        <f>SUMIFS(#REF!,#REF!,$B12,#REF!,E$1)</f>
        <v>#REF!</v>
      </c>
      <c r="F12" s="40" t="e">
        <f>SUMIFS(#REF!,#REF!,$B12,#REF!,F$1)</f>
        <v>#REF!</v>
      </c>
      <c r="G12" s="40" t="e">
        <f>SUMIFS(#REF!,#REF!,$B12,#REF!,G$1)</f>
        <v>#REF!</v>
      </c>
      <c r="H12" s="40" t="e">
        <f>SUMIFS(#REF!,#REF!,$B12,#REF!,H$1)</f>
        <v>#REF!</v>
      </c>
      <c r="I12" s="40" t="e">
        <f>SUMIFS(#REF!,#REF!,$B12,#REF!,I$1)</f>
        <v>#REF!</v>
      </c>
      <c r="J12" s="40" t="e">
        <f>SUMIFS(#REF!,#REF!,$B12,#REF!,J$1)</f>
        <v>#REF!</v>
      </c>
      <c r="K12" s="40" t="e">
        <f>SUMIFS(#REF!,#REF!,$B12,#REF!,K$1)</f>
        <v>#REF!</v>
      </c>
      <c r="L12" s="40" t="e">
        <f>SUMIFS(#REF!,#REF!,$B12,#REF!,L$1)</f>
        <v>#REF!</v>
      </c>
      <c r="M12" s="40" t="e">
        <f>SUMIFS(#REF!,#REF!,$B12,#REF!,M$1)</f>
        <v>#REF!</v>
      </c>
      <c r="N12" s="40" t="e">
        <f>SUMIFS(#REF!,#REF!,$B12,#REF!,N$1)</f>
        <v>#REF!</v>
      </c>
      <c r="O12" s="40" t="e">
        <f>SUMIFS(#REF!,#REF!,$B12,#REF!,O$1)</f>
        <v>#REF!</v>
      </c>
      <c r="P12" s="40" t="e">
        <f>SUMIFS(#REF!,#REF!,$B12,#REF!,P$1)</f>
        <v>#REF!</v>
      </c>
      <c r="Q12" s="40" t="e">
        <f>SUMIFS(#REF!,#REF!,$B12,#REF!,Q$1)</f>
        <v>#REF!</v>
      </c>
      <c r="R12" s="40" t="e">
        <f>SUMIFS(#REF!,#REF!,$B12,#REF!,R$1)</f>
        <v>#REF!</v>
      </c>
      <c r="S12" s="40" t="e">
        <f>SUMIFS(#REF!,#REF!,$B12,#REF!,S$1)</f>
        <v>#REF!</v>
      </c>
      <c r="T12" s="40" t="e">
        <f>SUMIFS(#REF!,#REF!,$B12,#REF!,T$1)</f>
        <v>#REF!</v>
      </c>
      <c r="U12" s="40" t="e">
        <f>SUMIFS(#REF!,#REF!,$B12,#REF!,U$1)</f>
        <v>#REF!</v>
      </c>
      <c r="V12" s="40" t="e">
        <f>SUMIFS(#REF!,#REF!,$B12,#REF!,V$1)</f>
        <v>#REF!</v>
      </c>
      <c r="W12" s="40" t="e">
        <f>SUMIFS(#REF!,#REF!,$B12,#REF!,W$1)</f>
        <v>#REF!</v>
      </c>
      <c r="X12" s="40" t="e">
        <f>SUMIFS(#REF!,#REF!,$B12,#REF!,X$1)</f>
        <v>#REF!</v>
      </c>
      <c r="Y12" s="40" t="e">
        <f>SUMIFS(#REF!,#REF!,$B12,#REF!,Y$1)</f>
        <v>#REF!</v>
      </c>
      <c r="Z12" s="40" t="e">
        <f>SUMIFS(#REF!,#REF!,$B12,#REF!,Z$1)</f>
        <v>#REF!</v>
      </c>
      <c r="AA12" s="40" t="e">
        <f>SUMIFS(#REF!,#REF!,$B12,#REF!,AA$1)</f>
        <v>#REF!</v>
      </c>
      <c r="AB12" s="40" t="e">
        <f>SUMIFS(#REF!,#REF!,$B12,#REF!,AB$1)</f>
        <v>#REF!</v>
      </c>
      <c r="AC12" s="40" t="e">
        <f>SUMIFS(#REF!,#REF!,$B12,#REF!,AC$1)</f>
        <v>#REF!</v>
      </c>
      <c r="AD12" s="40" t="e">
        <f>SUMIFS(#REF!,#REF!,$B12,#REF!,AD$1)</f>
        <v>#REF!</v>
      </c>
      <c r="AE12" s="40" t="e">
        <f>SUMIFS(#REF!,#REF!,$B12,#REF!,AE$1)</f>
        <v>#REF!</v>
      </c>
      <c r="AF12" s="40" t="e">
        <f>SUMIFS(#REF!,#REF!,$B12,#REF!,AF$1)</f>
        <v>#REF!</v>
      </c>
      <c r="AG12" s="40" t="e">
        <f>SUMIFS(#REF!,#REF!,$B12,#REF!,AG$1)</f>
        <v>#REF!</v>
      </c>
      <c r="AH12" s="40" t="e">
        <f>SUMIFS(#REF!,#REF!,$B12,#REF!,AH$1)</f>
        <v>#REF!</v>
      </c>
      <c r="AI12" s="41" t="e">
        <f t="shared" ref="AI12:AI26" si="1">SUM(D12:AH12)</f>
        <v>#REF!</v>
      </c>
    </row>
    <row r="13" spans="2:35" ht="15.75" x14ac:dyDescent="0.25">
      <c r="B13" s="27" t="s">
        <v>22</v>
      </c>
      <c r="C13" s="28">
        <v>20</v>
      </c>
      <c r="D13" s="19" t="e">
        <f>SUMIFS(#REF!,#REF!,$B13,#REF!,D$1)</f>
        <v>#REF!</v>
      </c>
      <c r="E13" s="19" t="e">
        <f>SUMIFS(#REF!,#REF!,$B13,#REF!,E$1)</f>
        <v>#REF!</v>
      </c>
      <c r="F13" s="19" t="e">
        <f>SUMIFS(#REF!,#REF!,$B13,#REF!,F$1)</f>
        <v>#REF!</v>
      </c>
      <c r="G13" s="19" t="e">
        <f>SUMIFS(#REF!,#REF!,$B13,#REF!,G$1)</f>
        <v>#REF!</v>
      </c>
      <c r="H13" s="19" t="e">
        <f>SUMIFS(#REF!,#REF!,$B13,#REF!,H$1)</f>
        <v>#REF!</v>
      </c>
      <c r="I13" s="19" t="e">
        <f>SUMIFS(#REF!,#REF!,$B13,#REF!,I$1)</f>
        <v>#REF!</v>
      </c>
      <c r="J13" s="19" t="e">
        <f>SUMIFS(#REF!,#REF!,$B13,#REF!,J$1)</f>
        <v>#REF!</v>
      </c>
      <c r="K13" s="19" t="e">
        <f>SUMIFS(#REF!,#REF!,$B13,#REF!,K$1)</f>
        <v>#REF!</v>
      </c>
      <c r="L13" s="19" t="e">
        <f>SUMIFS(#REF!,#REF!,$B13,#REF!,L$1)</f>
        <v>#REF!</v>
      </c>
      <c r="M13" s="19" t="e">
        <f>SUMIFS(#REF!,#REF!,$B13,#REF!,M$1)</f>
        <v>#REF!</v>
      </c>
      <c r="N13" s="19" t="e">
        <f>SUMIFS(#REF!,#REF!,$B13,#REF!,N$1)</f>
        <v>#REF!</v>
      </c>
      <c r="O13" s="19" t="e">
        <f>SUMIFS(#REF!,#REF!,$B13,#REF!,O$1)</f>
        <v>#REF!</v>
      </c>
      <c r="P13" s="19" t="e">
        <f>SUMIFS(#REF!,#REF!,$B13,#REF!,P$1)</f>
        <v>#REF!</v>
      </c>
      <c r="Q13" s="19" t="e">
        <f>SUMIFS(#REF!,#REF!,$B13,#REF!,Q$1)</f>
        <v>#REF!</v>
      </c>
      <c r="R13" s="19" t="e">
        <f>SUMIFS(#REF!,#REF!,$B13,#REF!,R$1)</f>
        <v>#REF!</v>
      </c>
      <c r="S13" s="19" t="e">
        <f>SUMIFS(#REF!,#REF!,$B13,#REF!,S$1)</f>
        <v>#REF!</v>
      </c>
      <c r="T13" s="19" t="e">
        <f>SUMIFS(#REF!,#REF!,$B13,#REF!,T$1)</f>
        <v>#REF!</v>
      </c>
      <c r="U13" s="19" t="e">
        <f>SUMIFS(#REF!,#REF!,$B13,#REF!,U$1)</f>
        <v>#REF!</v>
      </c>
      <c r="V13" s="19" t="e">
        <f>SUMIFS(#REF!,#REF!,$B13,#REF!,V$1)</f>
        <v>#REF!</v>
      </c>
      <c r="W13" s="19" t="e">
        <f>SUMIFS(#REF!,#REF!,$B13,#REF!,W$1)</f>
        <v>#REF!</v>
      </c>
      <c r="X13" s="19" t="e">
        <f>SUMIFS(#REF!,#REF!,$B13,#REF!,X$1)</f>
        <v>#REF!</v>
      </c>
      <c r="Y13" s="19" t="e">
        <f>SUMIFS(#REF!,#REF!,$B13,#REF!,Y$1)</f>
        <v>#REF!</v>
      </c>
      <c r="Z13" s="19" t="e">
        <f>SUMIFS(#REF!,#REF!,$B13,#REF!,Z$1)</f>
        <v>#REF!</v>
      </c>
      <c r="AA13" s="19" t="e">
        <f>SUMIFS(#REF!,#REF!,$B13,#REF!,AA$1)</f>
        <v>#REF!</v>
      </c>
      <c r="AB13" s="19" t="e">
        <f>SUMIFS(#REF!,#REF!,$B13,#REF!,AB$1)</f>
        <v>#REF!</v>
      </c>
      <c r="AC13" s="19" t="e">
        <f>SUMIFS(#REF!,#REF!,$B13,#REF!,AC$1)</f>
        <v>#REF!</v>
      </c>
      <c r="AD13" s="19" t="e">
        <f>SUMIFS(#REF!,#REF!,$B13,#REF!,AD$1)</f>
        <v>#REF!</v>
      </c>
      <c r="AE13" s="19" t="e">
        <f>SUMIFS(#REF!,#REF!,$B13,#REF!,AE$1)</f>
        <v>#REF!</v>
      </c>
      <c r="AF13" s="19" t="e">
        <f>SUMIFS(#REF!,#REF!,$B13,#REF!,AF$1)</f>
        <v>#REF!</v>
      </c>
      <c r="AG13" s="19" t="e">
        <f>SUMIFS(#REF!,#REF!,$B13,#REF!,AG$1)</f>
        <v>#REF!</v>
      </c>
      <c r="AH13" s="19" t="e">
        <f>SUMIFS(#REF!,#REF!,$B13,#REF!,AH$1)</f>
        <v>#REF!</v>
      </c>
      <c r="AI13" s="25" t="e">
        <f t="shared" si="1"/>
        <v>#REF!</v>
      </c>
    </row>
    <row r="14" spans="2:35" ht="15.75" x14ac:dyDescent="0.25">
      <c r="B14" s="29" t="s">
        <v>137</v>
      </c>
      <c r="C14" s="28">
        <v>20</v>
      </c>
      <c r="D14" s="19" t="e">
        <f>SUMIFS(#REF!,#REF!,$B14,#REF!,D$1)</f>
        <v>#REF!</v>
      </c>
      <c r="E14" s="19" t="e">
        <f>SUMIFS(#REF!,#REF!,$B14,#REF!,E$1)</f>
        <v>#REF!</v>
      </c>
      <c r="F14" s="19" t="e">
        <f>SUMIFS(#REF!,#REF!,$B14,#REF!,F$1)</f>
        <v>#REF!</v>
      </c>
      <c r="G14" s="19" t="e">
        <f>SUMIFS(#REF!,#REF!,$B14,#REF!,G$1)</f>
        <v>#REF!</v>
      </c>
      <c r="H14" s="19" t="e">
        <f>SUMIFS(#REF!,#REF!,$B14,#REF!,H$1)</f>
        <v>#REF!</v>
      </c>
      <c r="I14" s="19" t="e">
        <f>SUMIFS(#REF!,#REF!,$B14,#REF!,I$1)</f>
        <v>#REF!</v>
      </c>
      <c r="J14" s="19" t="e">
        <f>SUMIFS(#REF!,#REF!,$B14,#REF!,J$1)</f>
        <v>#REF!</v>
      </c>
      <c r="K14" s="19" t="e">
        <f>SUMIFS(#REF!,#REF!,$B14,#REF!,K$1)</f>
        <v>#REF!</v>
      </c>
      <c r="L14" s="19" t="e">
        <f>SUMIFS(#REF!,#REF!,$B14,#REF!,L$1)</f>
        <v>#REF!</v>
      </c>
      <c r="M14" s="19" t="e">
        <f>SUMIFS(#REF!,#REF!,$B14,#REF!,M$1)</f>
        <v>#REF!</v>
      </c>
      <c r="N14" s="19" t="e">
        <f>SUMIFS(#REF!,#REF!,$B14,#REF!,N$1)</f>
        <v>#REF!</v>
      </c>
      <c r="O14" s="19" t="e">
        <f>SUMIFS(#REF!,#REF!,$B14,#REF!,O$1)</f>
        <v>#REF!</v>
      </c>
      <c r="P14" s="19" t="e">
        <f>SUMIFS(#REF!,#REF!,$B14,#REF!,P$1)</f>
        <v>#REF!</v>
      </c>
      <c r="Q14" s="19" t="e">
        <f>SUMIFS(#REF!,#REF!,$B14,#REF!,Q$1)</f>
        <v>#REF!</v>
      </c>
      <c r="R14" s="19" t="e">
        <f>SUMIFS(#REF!,#REF!,$B14,#REF!,R$1)</f>
        <v>#REF!</v>
      </c>
      <c r="S14" s="19" t="e">
        <f>SUMIFS(#REF!,#REF!,$B14,#REF!,S$1)</f>
        <v>#REF!</v>
      </c>
      <c r="T14" s="19" t="e">
        <f>SUMIFS(#REF!,#REF!,$B14,#REF!,T$1)</f>
        <v>#REF!</v>
      </c>
      <c r="U14" s="19" t="e">
        <f>SUMIFS(#REF!,#REF!,$B14,#REF!,U$1)</f>
        <v>#REF!</v>
      </c>
      <c r="V14" s="19" t="e">
        <f>SUMIFS(#REF!,#REF!,$B14,#REF!,V$1)</f>
        <v>#REF!</v>
      </c>
      <c r="W14" s="19" t="e">
        <f>SUMIFS(#REF!,#REF!,$B14,#REF!,W$1)</f>
        <v>#REF!</v>
      </c>
      <c r="X14" s="19" t="e">
        <f>SUMIFS(#REF!,#REF!,$B14,#REF!,X$1)</f>
        <v>#REF!</v>
      </c>
      <c r="Y14" s="19" t="e">
        <f>SUMIFS(#REF!,#REF!,$B14,#REF!,Y$1)</f>
        <v>#REF!</v>
      </c>
      <c r="Z14" s="19" t="e">
        <f>SUMIFS(#REF!,#REF!,$B14,#REF!,Z$1)</f>
        <v>#REF!</v>
      </c>
      <c r="AA14" s="19" t="e">
        <f>SUMIFS(#REF!,#REF!,$B14,#REF!,AA$1)</f>
        <v>#REF!</v>
      </c>
      <c r="AB14" s="19" t="e">
        <f>SUMIFS(#REF!,#REF!,$B14,#REF!,AB$1)</f>
        <v>#REF!</v>
      </c>
      <c r="AC14" s="19" t="e">
        <f>SUMIFS(#REF!,#REF!,$B14,#REF!,AC$1)</f>
        <v>#REF!</v>
      </c>
      <c r="AD14" s="19" t="e">
        <f>SUMIFS(#REF!,#REF!,$B14,#REF!,AD$1)</f>
        <v>#REF!</v>
      </c>
      <c r="AE14" s="19" t="e">
        <f>SUMIFS(#REF!,#REF!,$B14,#REF!,AE$1)</f>
        <v>#REF!</v>
      </c>
      <c r="AF14" s="19" t="e">
        <f>SUMIFS(#REF!,#REF!,$B14,#REF!,AF$1)</f>
        <v>#REF!</v>
      </c>
      <c r="AG14" s="19" t="e">
        <f>SUMIFS(#REF!,#REF!,$B14,#REF!,AG$1)</f>
        <v>#REF!</v>
      </c>
      <c r="AH14" s="19" t="e">
        <f>SUMIFS(#REF!,#REF!,$B14,#REF!,AH$1)</f>
        <v>#REF!</v>
      </c>
      <c r="AI14" s="25" t="e">
        <f t="shared" si="1"/>
        <v>#REF!</v>
      </c>
    </row>
    <row r="15" spans="2:35" ht="15.75" x14ac:dyDescent="0.25">
      <c r="B15" s="29" t="s">
        <v>138</v>
      </c>
      <c r="C15" s="28">
        <v>20</v>
      </c>
      <c r="D15" s="19" t="e">
        <f>SUMIFS(#REF!,#REF!,$B15,#REF!,D$1)</f>
        <v>#REF!</v>
      </c>
      <c r="E15" s="19" t="e">
        <f>SUMIFS(#REF!,#REF!,$B15,#REF!,E$1)</f>
        <v>#REF!</v>
      </c>
      <c r="F15" s="19" t="e">
        <f>SUMIFS(#REF!,#REF!,$B15,#REF!,F$1)</f>
        <v>#REF!</v>
      </c>
      <c r="G15" s="19" t="e">
        <f>SUMIFS(#REF!,#REF!,$B15,#REF!,G$1)</f>
        <v>#REF!</v>
      </c>
      <c r="H15" s="19" t="e">
        <f>SUMIFS(#REF!,#REF!,$B15,#REF!,H$1)</f>
        <v>#REF!</v>
      </c>
      <c r="I15" s="19" t="e">
        <f>SUMIFS(#REF!,#REF!,$B15,#REF!,I$1)</f>
        <v>#REF!</v>
      </c>
      <c r="J15" s="19" t="e">
        <f>SUMIFS(#REF!,#REF!,$B15,#REF!,J$1)</f>
        <v>#REF!</v>
      </c>
      <c r="K15" s="19" t="e">
        <f>SUMIFS(#REF!,#REF!,$B15,#REF!,K$1)</f>
        <v>#REF!</v>
      </c>
      <c r="L15" s="19" t="e">
        <f>SUMIFS(#REF!,#REF!,$B15,#REF!,L$1)</f>
        <v>#REF!</v>
      </c>
      <c r="M15" s="19" t="e">
        <f>SUMIFS(#REF!,#REF!,$B15,#REF!,M$1)</f>
        <v>#REF!</v>
      </c>
      <c r="N15" s="19" t="e">
        <f>SUMIFS(#REF!,#REF!,$B15,#REF!,N$1)</f>
        <v>#REF!</v>
      </c>
      <c r="O15" s="19" t="e">
        <f>SUMIFS(#REF!,#REF!,$B15,#REF!,O$1)</f>
        <v>#REF!</v>
      </c>
      <c r="P15" s="19" t="e">
        <f>SUMIFS(#REF!,#REF!,$B15,#REF!,P$1)</f>
        <v>#REF!</v>
      </c>
      <c r="Q15" s="19" t="e">
        <f>SUMIFS(#REF!,#REF!,$B15,#REF!,Q$1)</f>
        <v>#REF!</v>
      </c>
      <c r="R15" s="19" t="e">
        <f>SUMIFS(#REF!,#REF!,$B15,#REF!,R$1)</f>
        <v>#REF!</v>
      </c>
      <c r="S15" s="19" t="e">
        <f>SUMIFS(#REF!,#REF!,$B15,#REF!,S$1)</f>
        <v>#REF!</v>
      </c>
      <c r="T15" s="19" t="e">
        <f>SUMIFS(#REF!,#REF!,$B15,#REF!,T$1)</f>
        <v>#REF!</v>
      </c>
      <c r="U15" s="19" t="e">
        <f>SUMIFS(#REF!,#REF!,$B15,#REF!,U$1)</f>
        <v>#REF!</v>
      </c>
      <c r="V15" s="19" t="e">
        <f>SUMIFS(#REF!,#REF!,$B15,#REF!,V$1)</f>
        <v>#REF!</v>
      </c>
      <c r="W15" s="19" t="e">
        <f>SUMIFS(#REF!,#REF!,$B15,#REF!,W$1)</f>
        <v>#REF!</v>
      </c>
      <c r="X15" s="19" t="e">
        <f>SUMIFS(#REF!,#REF!,$B15,#REF!,X$1)</f>
        <v>#REF!</v>
      </c>
      <c r="Y15" s="19" t="e">
        <f>SUMIFS(#REF!,#REF!,$B15,#REF!,Y$1)</f>
        <v>#REF!</v>
      </c>
      <c r="Z15" s="19" t="e">
        <f>SUMIFS(#REF!,#REF!,$B15,#REF!,Z$1)</f>
        <v>#REF!</v>
      </c>
      <c r="AA15" s="19" t="e">
        <f>SUMIFS(#REF!,#REF!,$B15,#REF!,AA$1)</f>
        <v>#REF!</v>
      </c>
      <c r="AB15" s="19" t="e">
        <f>SUMIFS(#REF!,#REF!,$B15,#REF!,AB$1)</f>
        <v>#REF!</v>
      </c>
      <c r="AC15" s="19" t="e">
        <f>SUMIFS(#REF!,#REF!,$B15,#REF!,AC$1)</f>
        <v>#REF!</v>
      </c>
      <c r="AD15" s="19" t="e">
        <f>SUMIFS(#REF!,#REF!,$B15,#REF!,AD$1)</f>
        <v>#REF!</v>
      </c>
      <c r="AE15" s="19" t="e">
        <f>SUMIFS(#REF!,#REF!,$B15,#REF!,AE$1)</f>
        <v>#REF!</v>
      </c>
      <c r="AF15" s="19" t="e">
        <f>SUMIFS(#REF!,#REF!,$B15,#REF!,AF$1)</f>
        <v>#REF!</v>
      </c>
      <c r="AG15" s="19" t="e">
        <f>SUMIFS(#REF!,#REF!,$B15,#REF!,AG$1)</f>
        <v>#REF!</v>
      </c>
      <c r="AH15" s="19" t="e">
        <f>SUMIFS(#REF!,#REF!,$B15,#REF!,AH$1)</f>
        <v>#REF!</v>
      </c>
      <c r="AI15" s="25" t="e">
        <f t="shared" si="1"/>
        <v>#REF!</v>
      </c>
    </row>
    <row r="16" spans="2:35" ht="25.5" x14ac:dyDescent="0.25">
      <c r="B16" s="29" t="s">
        <v>139</v>
      </c>
      <c r="C16" s="28">
        <v>50</v>
      </c>
      <c r="D16" s="19" t="e">
        <f>SUMIFS(#REF!,#REF!,$B16,#REF!,D$1)</f>
        <v>#REF!</v>
      </c>
      <c r="E16" s="19" t="e">
        <f>SUMIFS(#REF!,#REF!,$B16,#REF!,E$1)</f>
        <v>#REF!</v>
      </c>
      <c r="F16" s="19" t="e">
        <f>SUMIFS(#REF!,#REF!,$B16,#REF!,F$1)</f>
        <v>#REF!</v>
      </c>
      <c r="G16" s="19" t="e">
        <f>SUMIFS(#REF!,#REF!,$B16,#REF!,G$1)</f>
        <v>#REF!</v>
      </c>
      <c r="H16" s="19" t="e">
        <f>SUMIFS(#REF!,#REF!,$B16,#REF!,H$1)</f>
        <v>#REF!</v>
      </c>
      <c r="I16" s="19" t="e">
        <f>SUMIFS(#REF!,#REF!,$B16,#REF!,I$1)</f>
        <v>#REF!</v>
      </c>
      <c r="J16" s="19" t="e">
        <f>SUMIFS(#REF!,#REF!,$B16,#REF!,J$1)</f>
        <v>#REF!</v>
      </c>
      <c r="K16" s="19" t="e">
        <f>SUMIFS(#REF!,#REF!,$B16,#REF!,K$1)</f>
        <v>#REF!</v>
      </c>
      <c r="L16" s="19" t="e">
        <f>SUMIFS(#REF!,#REF!,$B16,#REF!,L$1)</f>
        <v>#REF!</v>
      </c>
      <c r="M16" s="19" t="e">
        <f>SUMIFS(#REF!,#REF!,$B16,#REF!,M$1)</f>
        <v>#REF!</v>
      </c>
      <c r="N16" s="19" t="e">
        <f>SUMIFS(#REF!,#REF!,$B16,#REF!,N$1)</f>
        <v>#REF!</v>
      </c>
      <c r="O16" s="19" t="e">
        <f>SUMIFS(#REF!,#REF!,$B16,#REF!,O$1)</f>
        <v>#REF!</v>
      </c>
      <c r="P16" s="19" t="e">
        <f>SUMIFS(#REF!,#REF!,$B16,#REF!,P$1)</f>
        <v>#REF!</v>
      </c>
      <c r="Q16" s="19" t="e">
        <f>SUMIFS(#REF!,#REF!,$B16,#REF!,Q$1)</f>
        <v>#REF!</v>
      </c>
      <c r="R16" s="19" t="e">
        <f>SUMIFS(#REF!,#REF!,$B16,#REF!,R$1)</f>
        <v>#REF!</v>
      </c>
      <c r="S16" s="19" t="e">
        <f>SUMIFS(#REF!,#REF!,$B16,#REF!,S$1)</f>
        <v>#REF!</v>
      </c>
      <c r="T16" s="19" t="e">
        <f>SUMIFS(#REF!,#REF!,$B16,#REF!,T$1)</f>
        <v>#REF!</v>
      </c>
      <c r="U16" s="19" t="e">
        <f>SUMIFS(#REF!,#REF!,$B16,#REF!,U$1)</f>
        <v>#REF!</v>
      </c>
      <c r="V16" s="19" t="e">
        <f>SUMIFS(#REF!,#REF!,$B16,#REF!,V$1)</f>
        <v>#REF!</v>
      </c>
      <c r="W16" s="19" t="e">
        <f>SUMIFS(#REF!,#REF!,$B16,#REF!,W$1)</f>
        <v>#REF!</v>
      </c>
      <c r="X16" s="19" t="e">
        <f>SUMIFS(#REF!,#REF!,$B16,#REF!,X$1)</f>
        <v>#REF!</v>
      </c>
      <c r="Y16" s="19" t="e">
        <f>SUMIFS(#REF!,#REF!,$B16,#REF!,Y$1)</f>
        <v>#REF!</v>
      </c>
      <c r="Z16" s="19" t="e">
        <f>SUMIFS(#REF!,#REF!,$B16,#REF!,Z$1)</f>
        <v>#REF!</v>
      </c>
      <c r="AA16" s="19" t="e">
        <f>SUMIFS(#REF!,#REF!,$B16,#REF!,AA$1)</f>
        <v>#REF!</v>
      </c>
      <c r="AB16" s="19" t="e">
        <f>SUMIFS(#REF!,#REF!,$B16,#REF!,AB$1)</f>
        <v>#REF!</v>
      </c>
      <c r="AC16" s="19" t="e">
        <f>SUMIFS(#REF!,#REF!,$B16,#REF!,AC$1)</f>
        <v>#REF!</v>
      </c>
      <c r="AD16" s="19" t="e">
        <f>SUMIFS(#REF!,#REF!,$B16,#REF!,AD$1)</f>
        <v>#REF!</v>
      </c>
      <c r="AE16" s="19" t="e">
        <f>SUMIFS(#REF!,#REF!,$B16,#REF!,AE$1)</f>
        <v>#REF!</v>
      </c>
      <c r="AF16" s="19" t="e">
        <f>SUMIFS(#REF!,#REF!,$B16,#REF!,AF$1)</f>
        <v>#REF!</v>
      </c>
      <c r="AG16" s="19" t="e">
        <f>SUMIFS(#REF!,#REF!,$B16,#REF!,AG$1)</f>
        <v>#REF!</v>
      </c>
      <c r="AH16" s="19" t="e">
        <f>SUMIFS(#REF!,#REF!,$B16,#REF!,AH$1)</f>
        <v>#REF!</v>
      </c>
      <c r="AI16" s="25" t="e">
        <f t="shared" si="1"/>
        <v>#REF!</v>
      </c>
    </row>
    <row r="17" spans="2:35" ht="15.75" x14ac:dyDescent="0.25">
      <c r="B17" s="30" t="s">
        <v>140</v>
      </c>
      <c r="C17" s="31">
        <v>200</v>
      </c>
      <c r="D17" s="19" t="e">
        <f>SUMIFS(#REF!,#REF!,$B17,#REF!,D$1)</f>
        <v>#REF!</v>
      </c>
      <c r="E17" s="19" t="e">
        <f>SUMIFS(#REF!,#REF!,$B17,#REF!,E$1)</f>
        <v>#REF!</v>
      </c>
      <c r="F17" s="19" t="e">
        <f>SUMIFS(#REF!,#REF!,$B17,#REF!,F$1)</f>
        <v>#REF!</v>
      </c>
      <c r="G17" s="19" t="e">
        <f>SUMIFS(#REF!,#REF!,$B17,#REF!,G$1)</f>
        <v>#REF!</v>
      </c>
      <c r="H17" s="19" t="e">
        <f>SUMIFS(#REF!,#REF!,$B17,#REF!,H$1)</f>
        <v>#REF!</v>
      </c>
      <c r="I17" s="19" t="e">
        <f>SUMIFS(#REF!,#REF!,$B17,#REF!,I$1)</f>
        <v>#REF!</v>
      </c>
      <c r="J17" s="19" t="e">
        <f>SUMIFS(#REF!,#REF!,$B17,#REF!,J$1)</f>
        <v>#REF!</v>
      </c>
      <c r="K17" s="19" t="e">
        <f>SUMIFS(#REF!,#REF!,$B17,#REF!,K$1)</f>
        <v>#REF!</v>
      </c>
      <c r="L17" s="19" t="e">
        <f>SUMIFS(#REF!,#REF!,$B17,#REF!,L$1)</f>
        <v>#REF!</v>
      </c>
      <c r="M17" s="19" t="e">
        <f>SUMIFS(#REF!,#REF!,$B17,#REF!,M$1)</f>
        <v>#REF!</v>
      </c>
      <c r="N17" s="19" t="e">
        <f>SUMIFS(#REF!,#REF!,$B17,#REF!,N$1)</f>
        <v>#REF!</v>
      </c>
      <c r="O17" s="19" t="e">
        <f>SUMIFS(#REF!,#REF!,$B17,#REF!,O$1)</f>
        <v>#REF!</v>
      </c>
      <c r="P17" s="19" t="e">
        <f>SUMIFS(#REF!,#REF!,$B17,#REF!,P$1)</f>
        <v>#REF!</v>
      </c>
      <c r="Q17" s="19" t="e">
        <f>SUMIFS(#REF!,#REF!,$B17,#REF!,Q$1)</f>
        <v>#REF!</v>
      </c>
      <c r="R17" s="19" t="e">
        <f>SUMIFS(#REF!,#REF!,$B17,#REF!,R$1)</f>
        <v>#REF!</v>
      </c>
      <c r="S17" s="19" t="e">
        <f>SUMIFS(#REF!,#REF!,$B17,#REF!,S$1)</f>
        <v>#REF!</v>
      </c>
      <c r="T17" s="19" t="e">
        <f>SUMIFS(#REF!,#REF!,$B17,#REF!,T$1)</f>
        <v>#REF!</v>
      </c>
      <c r="U17" s="19" t="e">
        <f>SUMIFS(#REF!,#REF!,$B17,#REF!,U$1)</f>
        <v>#REF!</v>
      </c>
      <c r="V17" s="19" t="e">
        <f>SUMIFS(#REF!,#REF!,$B17,#REF!,V$1)</f>
        <v>#REF!</v>
      </c>
      <c r="W17" s="19" t="e">
        <f>SUMIFS(#REF!,#REF!,$B17,#REF!,W$1)</f>
        <v>#REF!</v>
      </c>
      <c r="X17" s="19" t="e">
        <f>SUMIFS(#REF!,#REF!,$B17,#REF!,X$1)</f>
        <v>#REF!</v>
      </c>
      <c r="Y17" s="19" t="e">
        <f>SUMIFS(#REF!,#REF!,$B17,#REF!,Y$1)</f>
        <v>#REF!</v>
      </c>
      <c r="Z17" s="19" t="e">
        <f>SUMIFS(#REF!,#REF!,$B17,#REF!,Z$1)</f>
        <v>#REF!</v>
      </c>
      <c r="AA17" s="19" t="e">
        <f>SUMIFS(#REF!,#REF!,$B17,#REF!,AA$1)</f>
        <v>#REF!</v>
      </c>
      <c r="AB17" s="19" t="e">
        <f>SUMIFS(#REF!,#REF!,$B17,#REF!,AB$1)</f>
        <v>#REF!</v>
      </c>
      <c r="AC17" s="19" t="e">
        <f>SUMIFS(#REF!,#REF!,$B17,#REF!,AC$1)</f>
        <v>#REF!</v>
      </c>
      <c r="AD17" s="19" t="e">
        <f>SUMIFS(#REF!,#REF!,$B17,#REF!,AD$1)</f>
        <v>#REF!</v>
      </c>
      <c r="AE17" s="19" t="e">
        <f>SUMIFS(#REF!,#REF!,$B17,#REF!,AE$1)</f>
        <v>#REF!</v>
      </c>
      <c r="AF17" s="19" t="e">
        <f>SUMIFS(#REF!,#REF!,$B17,#REF!,AF$1)</f>
        <v>#REF!</v>
      </c>
      <c r="AG17" s="19" t="e">
        <f>SUMIFS(#REF!,#REF!,$B17,#REF!,AG$1)</f>
        <v>#REF!</v>
      </c>
      <c r="AH17" s="19" t="e">
        <f>SUMIFS(#REF!,#REF!,$B17,#REF!,AH$1)</f>
        <v>#REF!</v>
      </c>
      <c r="AI17" s="25" t="e">
        <f t="shared" si="1"/>
        <v>#REF!</v>
      </c>
    </row>
    <row r="18" spans="2:35" ht="25.5" x14ac:dyDescent="0.25">
      <c r="B18" s="29" t="s">
        <v>141</v>
      </c>
      <c r="C18" s="31">
        <v>200</v>
      </c>
      <c r="D18" s="19" t="e">
        <f>SUMIFS(#REF!,#REF!,$B18,#REF!,D$1)</f>
        <v>#REF!</v>
      </c>
      <c r="E18" s="19" t="e">
        <f>SUMIFS(#REF!,#REF!,$B18,#REF!,E$1)</f>
        <v>#REF!</v>
      </c>
      <c r="F18" s="19" t="e">
        <f>SUMIFS(#REF!,#REF!,$B18,#REF!,F$1)</f>
        <v>#REF!</v>
      </c>
      <c r="G18" s="19" t="e">
        <f>SUMIFS(#REF!,#REF!,$B18,#REF!,G$1)</f>
        <v>#REF!</v>
      </c>
      <c r="H18" s="19" t="e">
        <f>SUMIFS(#REF!,#REF!,$B18,#REF!,H$1)</f>
        <v>#REF!</v>
      </c>
      <c r="I18" s="19" t="e">
        <f>SUMIFS(#REF!,#REF!,$B18,#REF!,I$1)</f>
        <v>#REF!</v>
      </c>
      <c r="J18" s="19" t="e">
        <f>SUMIFS(#REF!,#REF!,$B18,#REF!,J$1)</f>
        <v>#REF!</v>
      </c>
      <c r="K18" s="19" t="e">
        <f>SUMIFS(#REF!,#REF!,$B18,#REF!,K$1)</f>
        <v>#REF!</v>
      </c>
      <c r="L18" s="19" t="e">
        <f>SUMIFS(#REF!,#REF!,$B18,#REF!,L$1)</f>
        <v>#REF!</v>
      </c>
      <c r="M18" s="19" t="e">
        <f>SUMIFS(#REF!,#REF!,$B18,#REF!,M$1)</f>
        <v>#REF!</v>
      </c>
      <c r="N18" s="19" t="e">
        <f>SUMIFS(#REF!,#REF!,$B18,#REF!,N$1)</f>
        <v>#REF!</v>
      </c>
      <c r="O18" s="19" t="e">
        <f>SUMIFS(#REF!,#REF!,$B18,#REF!,O$1)</f>
        <v>#REF!</v>
      </c>
      <c r="P18" s="19" t="e">
        <f>SUMIFS(#REF!,#REF!,$B18,#REF!,P$1)</f>
        <v>#REF!</v>
      </c>
      <c r="Q18" s="19" t="e">
        <f>SUMIFS(#REF!,#REF!,$B18,#REF!,Q$1)</f>
        <v>#REF!</v>
      </c>
      <c r="R18" s="19" t="e">
        <f>SUMIFS(#REF!,#REF!,$B18,#REF!,R$1)</f>
        <v>#REF!</v>
      </c>
      <c r="S18" s="19" t="e">
        <f>SUMIFS(#REF!,#REF!,$B18,#REF!,S$1)</f>
        <v>#REF!</v>
      </c>
      <c r="T18" s="19" t="e">
        <f>SUMIFS(#REF!,#REF!,$B18,#REF!,T$1)</f>
        <v>#REF!</v>
      </c>
      <c r="U18" s="19" t="e">
        <f>SUMIFS(#REF!,#REF!,$B18,#REF!,U$1)</f>
        <v>#REF!</v>
      </c>
      <c r="V18" s="19" t="e">
        <f>SUMIFS(#REF!,#REF!,$B18,#REF!,V$1)</f>
        <v>#REF!</v>
      </c>
      <c r="W18" s="19" t="e">
        <f>SUMIFS(#REF!,#REF!,$B18,#REF!,W$1)</f>
        <v>#REF!</v>
      </c>
      <c r="X18" s="19" t="e">
        <f>SUMIFS(#REF!,#REF!,$B18,#REF!,X$1)</f>
        <v>#REF!</v>
      </c>
      <c r="Y18" s="19" t="e">
        <f>SUMIFS(#REF!,#REF!,$B18,#REF!,Y$1)</f>
        <v>#REF!</v>
      </c>
      <c r="Z18" s="19" t="e">
        <f>SUMIFS(#REF!,#REF!,$B18,#REF!,Z$1)</f>
        <v>#REF!</v>
      </c>
      <c r="AA18" s="19" t="e">
        <f>SUMIFS(#REF!,#REF!,$B18,#REF!,AA$1)</f>
        <v>#REF!</v>
      </c>
      <c r="AB18" s="19" t="e">
        <f>SUMIFS(#REF!,#REF!,$B18,#REF!,AB$1)</f>
        <v>#REF!</v>
      </c>
      <c r="AC18" s="19" t="e">
        <f>SUMIFS(#REF!,#REF!,$B18,#REF!,AC$1)</f>
        <v>#REF!</v>
      </c>
      <c r="AD18" s="19" t="e">
        <f>SUMIFS(#REF!,#REF!,$B18,#REF!,AD$1)</f>
        <v>#REF!</v>
      </c>
      <c r="AE18" s="19" t="e">
        <f>SUMIFS(#REF!,#REF!,$B18,#REF!,AE$1)</f>
        <v>#REF!</v>
      </c>
      <c r="AF18" s="19" t="e">
        <f>SUMIFS(#REF!,#REF!,$B18,#REF!,AF$1)</f>
        <v>#REF!</v>
      </c>
      <c r="AG18" s="19" t="e">
        <f>SUMIFS(#REF!,#REF!,$B18,#REF!,AG$1)</f>
        <v>#REF!</v>
      </c>
      <c r="AH18" s="19" t="e">
        <f>SUMIFS(#REF!,#REF!,$B18,#REF!,AH$1)</f>
        <v>#REF!</v>
      </c>
      <c r="AI18" s="25" t="e">
        <f t="shared" si="1"/>
        <v>#REF!</v>
      </c>
    </row>
    <row r="19" spans="2:35" ht="25.5" x14ac:dyDescent="0.25">
      <c r="B19" s="32" t="s">
        <v>142</v>
      </c>
      <c r="C19" s="31">
        <v>96</v>
      </c>
      <c r="D19" s="19" t="e">
        <f>SUMIFS(#REF!,#REF!,$B19,#REF!,D$1)</f>
        <v>#REF!</v>
      </c>
      <c r="E19" s="19" t="e">
        <f>SUMIFS(#REF!,#REF!,$B19,#REF!,E$1)</f>
        <v>#REF!</v>
      </c>
      <c r="F19" s="19" t="e">
        <f>SUMIFS(#REF!,#REF!,$B19,#REF!,F$1)</f>
        <v>#REF!</v>
      </c>
      <c r="G19" s="19" t="e">
        <f>SUMIFS(#REF!,#REF!,$B19,#REF!,G$1)</f>
        <v>#REF!</v>
      </c>
      <c r="H19" s="19" t="e">
        <f>SUMIFS(#REF!,#REF!,$B19,#REF!,H$1)</f>
        <v>#REF!</v>
      </c>
      <c r="I19" s="19" t="e">
        <f>SUMIFS(#REF!,#REF!,$B19,#REF!,I$1)</f>
        <v>#REF!</v>
      </c>
      <c r="J19" s="19" t="e">
        <f>SUMIFS(#REF!,#REF!,$B19,#REF!,J$1)</f>
        <v>#REF!</v>
      </c>
      <c r="K19" s="19" t="e">
        <f>SUMIFS(#REF!,#REF!,$B19,#REF!,K$1)</f>
        <v>#REF!</v>
      </c>
      <c r="L19" s="19" t="e">
        <f>SUMIFS(#REF!,#REF!,$B19,#REF!,L$1)</f>
        <v>#REF!</v>
      </c>
      <c r="M19" s="19" t="e">
        <f>SUMIFS(#REF!,#REF!,$B19,#REF!,M$1)</f>
        <v>#REF!</v>
      </c>
      <c r="N19" s="19" t="e">
        <f>SUMIFS(#REF!,#REF!,$B19,#REF!,N$1)</f>
        <v>#REF!</v>
      </c>
      <c r="O19" s="19" t="e">
        <f>SUMIFS(#REF!,#REF!,$B19,#REF!,O$1)</f>
        <v>#REF!</v>
      </c>
      <c r="P19" s="19" t="e">
        <f>SUMIFS(#REF!,#REF!,$B19,#REF!,P$1)</f>
        <v>#REF!</v>
      </c>
      <c r="Q19" s="19" t="e">
        <f>SUMIFS(#REF!,#REF!,$B19,#REF!,Q$1)</f>
        <v>#REF!</v>
      </c>
      <c r="R19" s="19" t="e">
        <f>SUMIFS(#REF!,#REF!,$B19,#REF!,R$1)</f>
        <v>#REF!</v>
      </c>
      <c r="S19" s="19" t="e">
        <f>SUMIFS(#REF!,#REF!,$B19,#REF!,S$1)</f>
        <v>#REF!</v>
      </c>
      <c r="T19" s="19" t="e">
        <f>SUMIFS(#REF!,#REF!,$B19,#REF!,T$1)</f>
        <v>#REF!</v>
      </c>
      <c r="U19" s="19" t="e">
        <f>SUMIFS(#REF!,#REF!,$B19,#REF!,U$1)</f>
        <v>#REF!</v>
      </c>
      <c r="V19" s="19" t="e">
        <f>SUMIFS(#REF!,#REF!,$B19,#REF!,V$1)</f>
        <v>#REF!</v>
      </c>
      <c r="W19" s="19" t="e">
        <f>SUMIFS(#REF!,#REF!,$B19,#REF!,W$1)</f>
        <v>#REF!</v>
      </c>
      <c r="X19" s="19" t="e">
        <f>SUMIFS(#REF!,#REF!,$B19,#REF!,X$1)</f>
        <v>#REF!</v>
      </c>
      <c r="Y19" s="19" t="e">
        <f>SUMIFS(#REF!,#REF!,$B19,#REF!,Y$1)</f>
        <v>#REF!</v>
      </c>
      <c r="Z19" s="19" t="e">
        <f>SUMIFS(#REF!,#REF!,$B19,#REF!,Z$1)</f>
        <v>#REF!</v>
      </c>
      <c r="AA19" s="19" t="e">
        <f>SUMIFS(#REF!,#REF!,$B19,#REF!,AA$1)</f>
        <v>#REF!</v>
      </c>
      <c r="AB19" s="19" t="e">
        <f>SUMIFS(#REF!,#REF!,$B19,#REF!,AB$1)</f>
        <v>#REF!</v>
      </c>
      <c r="AC19" s="19" t="e">
        <f>SUMIFS(#REF!,#REF!,$B19,#REF!,AC$1)</f>
        <v>#REF!</v>
      </c>
      <c r="AD19" s="19" t="e">
        <f>SUMIFS(#REF!,#REF!,$B19,#REF!,AD$1)</f>
        <v>#REF!</v>
      </c>
      <c r="AE19" s="19" t="e">
        <f>SUMIFS(#REF!,#REF!,$B19,#REF!,AE$1)</f>
        <v>#REF!</v>
      </c>
      <c r="AF19" s="19" t="e">
        <f>SUMIFS(#REF!,#REF!,$B19,#REF!,AF$1)</f>
        <v>#REF!</v>
      </c>
      <c r="AG19" s="19" t="e">
        <f>SUMIFS(#REF!,#REF!,$B19,#REF!,AG$1)</f>
        <v>#REF!</v>
      </c>
      <c r="AH19" s="19" t="e">
        <f>SUMIFS(#REF!,#REF!,$B19,#REF!,AH$1)</f>
        <v>#REF!</v>
      </c>
      <c r="AI19" s="25" t="e">
        <f t="shared" si="1"/>
        <v>#REF!</v>
      </c>
    </row>
    <row r="20" spans="2:35" ht="25.5" x14ac:dyDescent="0.25">
      <c r="B20" s="32" t="s">
        <v>143</v>
      </c>
      <c r="C20" s="31">
        <v>200</v>
      </c>
      <c r="D20" s="19" t="e">
        <f>SUMIFS(#REF!,#REF!,$B20,#REF!,D$1)</f>
        <v>#REF!</v>
      </c>
      <c r="E20" s="19" t="e">
        <f>SUMIFS(#REF!,#REF!,$B20,#REF!,E$1)</f>
        <v>#REF!</v>
      </c>
      <c r="F20" s="19" t="e">
        <f>SUMIFS(#REF!,#REF!,$B20,#REF!,F$1)</f>
        <v>#REF!</v>
      </c>
      <c r="G20" s="19" t="e">
        <f>SUMIFS(#REF!,#REF!,$B20,#REF!,G$1)</f>
        <v>#REF!</v>
      </c>
      <c r="H20" s="19" t="e">
        <f>SUMIFS(#REF!,#REF!,$B20,#REF!,H$1)</f>
        <v>#REF!</v>
      </c>
      <c r="I20" s="19" t="e">
        <f>SUMIFS(#REF!,#REF!,$B20,#REF!,I$1)</f>
        <v>#REF!</v>
      </c>
      <c r="J20" s="19" t="e">
        <f>SUMIFS(#REF!,#REF!,$B20,#REF!,J$1)</f>
        <v>#REF!</v>
      </c>
      <c r="K20" s="19" t="e">
        <f>SUMIFS(#REF!,#REF!,$B20,#REF!,K$1)</f>
        <v>#REF!</v>
      </c>
      <c r="L20" s="19" t="e">
        <f>SUMIFS(#REF!,#REF!,$B20,#REF!,L$1)</f>
        <v>#REF!</v>
      </c>
      <c r="M20" s="19" t="e">
        <f>SUMIFS(#REF!,#REF!,$B20,#REF!,M$1)</f>
        <v>#REF!</v>
      </c>
      <c r="N20" s="19" t="e">
        <f>SUMIFS(#REF!,#REF!,$B20,#REF!,N$1)</f>
        <v>#REF!</v>
      </c>
      <c r="O20" s="19" t="e">
        <f>SUMIFS(#REF!,#REF!,$B20,#REF!,O$1)</f>
        <v>#REF!</v>
      </c>
      <c r="P20" s="19" t="e">
        <f>SUMIFS(#REF!,#REF!,$B20,#REF!,P$1)</f>
        <v>#REF!</v>
      </c>
      <c r="Q20" s="19" t="e">
        <f>SUMIFS(#REF!,#REF!,$B20,#REF!,Q$1)</f>
        <v>#REF!</v>
      </c>
      <c r="R20" s="19" t="e">
        <f>SUMIFS(#REF!,#REF!,$B20,#REF!,R$1)</f>
        <v>#REF!</v>
      </c>
      <c r="S20" s="19" t="e">
        <f>SUMIFS(#REF!,#REF!,$B20,#REF!,S$1)</f>
        <v>#REF!</v>
      </c>
      <c r="T20" s="19" t="e">
        <f>SUMIFS(#REF!,#REF!,$B20,#REF!,T$1)</f>
        <v>#REF!</v>
      </c>
      <c r="U20" s="19" t="e">
        <f>SUMIFS(#REF!,#REF!,$B20,#REF!,U$1)</f>
        <v>#REF!</v>
      </c>
      <c r="V20" s="19" t="e">
        <f>SUMIFS(#REF!,#REF!,$B20,#REF!,V$1)</f>
        <v>#REF!</v>
      </c>
      <c r="W20" s="19" t="e">
        <f>SUMIFS(#REF!,#REF!,$B20,#REF!,W$1)</f>
        <v>#REF!</v>
      </c>
      <c r="X20" s="19" t="e">
        <f>SUMIFS(#REF!,#REF!,$B20,#REF!,X$1)</f>
        <v>#REF!</v>
      </c>
      <c r="Y20" s="19" t="e">
        <f>SUMIFS(#REF!,#REF!,$B20,#REF!,Y$1)</f>
        <v>#REF!</v>
      </c>
      <c r="Z20" s="19" t="e">
        <f>SUMIFS(#REF!,#REF!,$B20,#REF!,Z$1)</f>
        <v>#REF!</v>
      </c>
      <c r="AA20" s="19" t="e">
        <f>SUMIFS(#REF!,#REF!,$B20,#REF!,AA$1)</f>
        <v>#REF!</v>
      </c>
      <c r="AB20" s="19" t="e">
        <f>SUMIFS(#REF!,#REF!,$B20,#REF!,AB$1)</f>
        <v>#REF!</v>
      </c>
      <c r="AC20" s="19" t="e">
        <f>SUMIFS(#REF!,#REF!,$B20,#REF!,AC$1)</f>
        <v>#REF!</v>
      </c>
      <c r="AD20" s="19" t="e">
        <f>SUMIFS(#REF!,#REF!,$B20,#REF!,AD$1)</f>
        <v>#REF!</v>
      </c>
      <c r="AE20" s="19" t="e">
        <f>SUMIFS(#REF!,#REF!,$B20,#REF!,AE$1)</f>
        <v>#REF!</v>
      </c>
      <c r="AF20" s="19" t="e">
        <f>SUMIFS(#REF!,#REF!,$B20,#REF!,AF$1)</f>
        <v>#REF!</v>
      </c>
      <c r="AG20" s="19" t="e">
        <f>SUMIFS(#REF!,#REF!,$B20,#REF!,AG$1)</f>
        <v>#REF!</v>
      </c>
      <c r="AH20" s="19" t="e">
        <f>SUMIFS(#REF!,#REF!,$B20,#REF!,AH$1)</f>
        <v>#REF!</v>
      </c>
      <c r="AI20" s="25" t="e">
        <f t="shared" si="1"/>
        <v>#REF!</v>
      </c>
    </row>
    <row r="21" spans="2:35" ht="25.5" x14ac:dyDescent="0.25">
      <c r="B21" s="32" t="s">
        <v>144</v>
      </c>
      <c r="C21" s="31">
        <v>90</v>
      </c>
      <c r="D21" s="19" t="e">
        <f>SUMIFS(#REF!,#REF!,$B21,#REF!,D$1)</f>
        <v>#REF!</v>
      </c>
      <c r="E21" s="19" t="e">
        <f>SUMIFS(#REF!,#REF!,$B21,#REF!,E$1)</f>
        <v>#REF!</v>
      </c>
      <c r="F21" s="19" t="e">
        <f>SUMIFS(#REF!,#REF!,$B21,#REF!,F$1)</f>
        <v>#REF!</v>
      </c>
      <c r="G21" s="19" t="e">
        <f>SUMIFS(#REF!,#REF!,$B21,#REF!,G$1)</f>
        <v>#REF!</v>
      </c>
      <c r="H21" s="19" t="e">
        <f>SUMIFS(#REF!,#REF!,$B21,#REF!,H$1)</f>
        <v>#REF!</v>
      </c>
      <c r="I21" s="19" t="e">
        <f>SUMIFS(#REF!,#REF!,$B21,#REF!,I$1)</f>
        <v>#REF!</v>
      </c>
      <c r="J21" s="19" t="e">
        <f>SUMIFS(#REF!,#REF!,$B21,#REF!,J$1)</f>
        <v>#REF!</v>
      </c>
      <c r="K21" s="19" t="e">
        <f>SUMIFS(#REF!,#REF!,$B21,#REF!,K$1)</f>
        <v>#REF!</v>
      </c>
      <c r="L21" s="19" t="e">
        <f>SUMIFS(#REF!,#REF!,$B21,#REF!,L$1)</f>
        <v>#REF!</v>
      </c>
      <c r="M21" s="19" t="e">
        <f>SUMIFS(#REF!,#REF!,$B21,#REF!,M$1)</f>
        <v>#REF!</v>
      </c>
      <c r="N21" s="19" t="e">
        <f>SUMIFS(#REF!,#REF!,$B21,#REF!,N$1)</f>
        <v>#REF!</v>
      </c>
      <c r="O21" s="19" t="e">
        <f>SUMIFS(#REF!,#REF!,$B21,#REF!,O$1)</f>
        <v>#REF!</v>
      </c>
      <c r="P21" s="19" t="e">
        <f>SUMIFS(#REF!,#REF!,$B21,#REF!,P$1)</f>
        <v>#REF!</v>
      </c>
      <c r="Q21" s="19" t="e">
        <f>SUMIFS(#REF!,#REF!,$B21,#REF!,Q$1)</f>
        <v>#REF!</v>
      </c>
      <c r="R21" s="19" t="e">
        <f>SUMIFS(#REF!,#REF!,$B21,#REF!,R$1)</f>
        <v>#REF!</v>
      </c>
      <c r="S21" s="19" t="e">
        <f>SUMIFS(#REF!,#REF!,$B21,#REF!,S$1)</f>
        <v>#REF!</v>
      </c>
      <c r="T21" s="19" t="e">
        <f>SUMIFS(#REF!,#REF!,$B21,#REF!,T$1)</f>
        <v>#REF!</v>
      </c>
      <c r="U21" s="19" t="e">
        <f>SUMIFS(#REF!,#REF!,$B21,#REF!,U$1)</f>
        <v>#REF!</v>
      </c>
      <c r="V21" s="19" t="e">
        <f>SUMIFS(#REF!,#REF!,$B21,#REF!,V$1)</f>
        <v>#REF!</v>
      </c>
      <c r="W21" s="19" t="e">
        <f>SUMIFS(#REF!,#REF!,$B21,#REF!,W$1)</f>
        <v>#REF!</v>
      </c>
      <c r="X21" s="19" t="e">
        <f>SUMIFS(#REF!,#REF!,$B21,#REF!,X$1)</f>
        <v>#REF!</v>
      </c>
      <c r="Y21" s="19" t="e">
        <f>SUMIFS(#REF!,#REF!,$B21,#REF!,Y$1)</f>
        <v>#REF!</v>
      </c>
      <c r="Z21" s="19" t="e">
        <f>SUMIFS(#REF!,#REF!,$B21,#REF!,Z$1)</f>
        <v>#REF!</v>
      </c>
      <c r="AA21" s="19" t="e">
        <f>SUMIFS(#REF!,#REF!,$B21,#REF!,AA$1)</f>
        <v>#REF!</v>
      </c>
      <c r="AB21" s="19" t="e">
        <f>SUMIFS(#REF!,#REF!,$B21,#REF!,AB$1)</f>
        <v>#REF!</v>
      </c>
      <c r="AC21" s="19" t="e">
        <f>SUMIFS(#REF!,#REF!,$B21,#REF!,AC$1)</f>
        <v>#REF!</v>
      </c>
      <c r="AD21" s="19" t="e">
        <f>SUMIFS(#REF!,#REF!,$B21,#REF!,AD$1)</f>
        <v>#REF!</v>
      </c>
      <c r="AE21" s="19" t="e">
        <f>SUMIFS(#REF!,#REF!,$B21,#REF!,AE$1)</f>
        <v>#REF!</v>
      </c>
      <c r="AF21" s="19" t="e">
        <f>SUMIFS(#REF!,#REF!,$B21,#REF!,AF$1)</f>
        <v>#REF!</v>
      </c>
      <c r="AG21" s="19" t="e">
        <f>SUMIFS(#REF!,#REF!,$B21,#REF!,AG$1)</f>
        <v>#REF!</v>
      </c>
      <c r="AH21" s="19" t="e">
        <f>SUMIFS(#REF!,#REF!,$B21,#REF!,AH$1)</f>
        <v>#REF!</v>
      </c>
      <c r="AI21" s="25" t="e">
        <f t="shared" si="1"/>
        <v>#REF!</v>
      </c>
    </row>
    <row r="22" spans="2:35" ht="15.75" x14ac:dyDescent="0.25">
      <c r="B22" s="33" t="s">
        <v>145</v>
      </c>
      <c r="C22" s="31">
        <v>25</v>
      </c>
      <c r="D22" s="19" t="e">
        <f>SUMIFS(#REF!,#REF!,$B22,#REF!,D$1)</f>
        <v>#REF!</v>
      </c>
      <c r="E22" s="19" t="e">
        <f>SUMIFS(#REF!,#REF!,$B22,#REF!,E$1)</f>
        <v>#REF!</v>
      </c>
      <c r="F22" s="19" t="e">
        <f>SUMIFS(#REF!,#REF!,$B22,#REF!,F$1)</f>
        <v>#REF!</v>
      </c>
      <c r="G22" s="19" t="e">
        <f>SUMIFS(#REF!,#REF!,$B22,#REF!,G$1)</f>
        <v>#REF!</v>
      </c>
      <c r="H22" s="19" t="e">
        <f>SUMIFS(#REF!,#REF!,$B22,#REF!,H$1)</f>
        <v>#REF!</v>
      </c>
      <c r="I22" s="19" t="e">
        <f>SUMIFS(#REF!,#REF!,$B22,#REF!,I$1)</f>
        <v>#REF!</v>
      </c>
      <c r="J22" s="19" t="e">
        <f>SUMIFS(#REF!,#REF!,$B22,#REF!,J$1)</f>
        <v>#REF!</v>
      </c>
      <c r="K22" s="19" t="e">
        <f>SUMIFS(#REF!,#REF!,$B22,#REF!,K$1)</f>
        <v>#REF!</v>
      </c>
      <c r="L22" s="19" t="e">
        <f>SUMIFS(#REF!,#REF!,$B22,#REF!,L$1)</f>
        <v>#REF!</v>
      </c>
      <c r="M22" s="19" t="e">
        <f>SUMIFS(#REF!,#REF!,$B22,#REF!,M$1)</f>
        <v>#REF!</v>
      </c>
      <c r="N22" s="19" t="e">
        <f>SUMIFS(#REF!,#REF!,$B22,#REF!,N$1)</f>
        <v>#REF!</v>
      </c>
      <c r="O22" s="19" t="e">
        <f>SUMIFS(#REF!,#REF!,$B22,#REF!,O$1)</f>
        <v>#REF!</v>
      </c>
      <c r="P22" s="19" t="e">
        <f>SUMIFS(#REF!,#REF!,$B22,#REF!,P$1)</f>
        <v>#REF!</v>
      </c>
      <c r="Q22" s="19" t="e">
        <f>SUMIFS(#REF!,#REF!,$B22,#REF!,Q$1)</f>
        <v>#REF!</v>
      </c>
      <c r="R22" s="19" t="e">
        <f>SUMIFS(#REF!,#REF!,$B22,#REF!,R$1)</f>
        <v>#REF!</v>
      </c>
      <c r="S22" s="19" t="e">
        <f>SUMIFS(#REF!,#REF!,$B22,#REF!,S$1)</f>
        <v>#REF!</v>
      </c>
      <c r="T22" s="19" t="e">
        <f>SUMIFS(#REF!,#REF!,$B22,#REF!,T$1)</f>
        <v>#REF!</v>
      </c>
      <c r="U22" s="19" t="e">
        <f>SUMIFS(#REF!,#REF!,$B22,#REF!,U$1)</f>
        <v>#REF!</v>
      </c>
      <c r="V22" s="19" t="e">
        <f>SUMIFS(#REF!,#REF!,$B22,#REF!,V$1)</f>
        <v>#REF!</v>
      </c>
      <c r="W22" s="19" t="e">
        <f>SUMIFS(#REF!,#REF!,$B22,#REF!,W$1)</f>
        <v>#REF!</v>
      </c>
      <c r="X22" s="19" t="e">
        <f>SUMIFS(#REF!,#REF!,$B22,#REF!,X$1)</f>
        <v>#REF!</v>
      </c>
      <c r="Y22" s="19" t="e">
        <f>SUMIFS(#REF!,#REF!,$B22,#REF!,Y$1)</f>
        <v>#REF!</v>
      </c>
      <c r="Z22" s="19" t="e">
        <f>SUMIFS(#REF!,#REF!,$B22,#REF!,Z$1)</f>
        <v>#REF!</v>
      </c>
      <c r="AA22" s="19" t="e">
        <f>SUMIFS(#REF!,#REF!,$B22,#REF!,AA$1)</f>
        <v>#REF!</v>
      </c>
      <c r="AB22" s="19" t="e">
        <f>SUMIFS(#REF!,#REF!,$B22,#REF!,AB$1)</f>
        <v>#REF!</v>
      </c>
      <c r="AC22" s="19" t="e">
        <f>SUMIFS(#REF!,#REF!,$B22,#REF!,AC$1)</f>
        <v>#REF!</v>
      </c>
      <c r="AD22" s="19" t="e">
        <f>SUMIFS(#REF!,#REF!,$B22,#REF!,AD$1)</f>
        <v>#REF!</v>
      </c>
      <c r="AE22" s="19" t="e">
        <f>SUMIFS(#REF!,#REF!,$B22,#REF!,AE$1)</f>
        <v>#REF!</v>
      </c>
      <c r="AF22" s="19" t="e">
        <f>SUMIFS(#REF!,#REF!,$B22,#REF!,AF$1)</f>
        <v>#REF!</v>
      </c>
      <c r="AG22" s="19" t="e">
        <f>SUMIFS(#REF!,#REF!,$B22,#REF!,AG$1)</f>
        <v>#REF!</v>
      </c>
      <c r="AH22" s="19" t="e">
        <f>SUMIFS(#REF!,#REF!,$B22,#REF!,AH$1)</f>
        <v>#REF!</v>
      </c>
      <c r="AI22" s="25" t="e">
        <f t="shared" si="1"/>
        <v>#REF!</v>
      </c>
    </row>
    <row r="23" spans="2:35" ht="15.75" x14ac:dyDescent="0.25">
      <c r="B23" s="33" t="s">
        <v>146</v>
      </c>
      <c r="C23" s="31">
        <v>200</v>
      </c>
      <c r="D23" s="19" t="e">
        <f>SUMIFS(#REF!,#REF!,$B23,#REF!,D$1)</f>
        <v>#REF!</v>
      </c>
      <c r="E23" s="19" t="e">
        <f>SUMIFS(#REF!,#REF!,$B23,#REF!,E$1)</f>
        <v>#REF!</v>
      </c>
      <c r="F23" s="19" t="e">
        <f>SUMIFS(#REF!,#REF!,$B23,#REF!,F$1)</f>
        <v>#REF!</v>
      </c>
      <c r="G23" s="19" t="e">
        <f>SUMIFS(#REF!,#REF!,$B23,#REF!,G$1)</f>
        <v>#REF!</v>
      </c>
      <c r="H23" s="19" t="e">
        <f>SUMIFS(#REF!,#REF!,$B23,#REF!,H$1)</f>
        <v>#REF!</v>
      </c>
      <c r="I23" s="19" t="e">
        <f>SUMIFS(#REF!,#REF!,$B23,#REF!,I$1)</f>
        <v>#REF!</v>
      </c>
      <c r="J23" s="19" t="e">
        <f>SUMIFS(#REF!,#REF!,$B23,#REF!,J$1)</f>
        <v>#REF!</v>
      </c>
      <c r="K23" s="19" t="e">
        <f>SUMIFS(#REF!,#REF!,$B23,#REF!,K$1)</f>
        <v>#REF!</v>
      </c>
      <c r="L23" s="19" t="e">
        <f>SUMIFS(#REF!,#REF!,$B23,#REF!,L$1)</f>
        <v>#REF!</v>
      </c>
      <c r="M23" s="19" t="e">
        <f>SUMIFS(#REF!,#REF!,$B23,#REF!,M$1)</f>
        <v>#REF!</v>
      </c>
      <c r="N23" s="19" t="e">
        <f>SUMIFS(#REF!,#REF!,$B23,#REF!,N$1)</f>
        <v>#REF!</v>
      </c>
      <c r="O23" s="19" t="e">
        <f>SUMIFS(#REF!,#REF!,$B23,#REF!,O$1)</f>
        <v>#REF!</v>
      </c>
      <c r="P23" s="19" t="e">
        <f>SUMIFS(#REF!,#REF!,$B23,#REF!,P$1)</f>
        <v>#REF!</v>
      </c>
      <c r="Q23" s="19" t="e">
        <f>SUMIFS(#REF!,#REF!,$B23,#REF!,Q$1)</f>
        <v>#REF!</v>
      </c>
      <c r="R23" s="19" t="e">
        <f>SUMIFS(#REF!,#REF!,$B23,#REF!,R$1)</f>
        <v>#REF!</v>
      </c>
      <c r="S23" s="19" t="e">
        <f>SUMIFS(#REF!,#REF!,$B23,#REF!,S$1)</f>
        <v>#REF!</v>
      </c>
      <c r="T23" s="19" t="e">
        <f>SUMIFS(#REF!,#REF!,$B23,#REF!,T$1)</f>
        <v>#REF!</v>
      </c>
      <c r="U23" s="19" t="e">
        <f>SUMIFS(#REF!,#REF!,$B23,#REF!,U$1)</f>
        <v>#REF!</v>
      </c>
      <c r="V23" s="19" t="e">
        <f>SUMIFS(#REF!,#REF!,$B23,#REF!,V$1)</f>
        <v>#REF!</v>
      </c>
      <c r="W23" s="19" t="e">
        <f>SUMIFS(#REF!,#REF!,$B23,#REF!,W$1)</f>
        <v>#REF!</v>
      </c>
      <c r="X23" s="19" t="e">
        <f>SUMIFS(#REF!,#REF!,$B23,#REF!,X$1)</f>
        <v>#REF!</v>
      </c>
      <c r="Y23" s="19" t="e">
        <f>SUMIFS(#REF!,#REF!,$B23,#REF!,Y$1)</f>
        <v>#REF!</v>
      </c>
      <c r="Z23" s="19" t="e">
        <f>SUMIFS(#REF!,#REF!,$B23,#REF!,Z$1)</f>
        <v>#REF!</v>
      </c>
      <c r="AA23" s="19" t="e">
        <f>SUMIFS(#REF!,#REF!,$B23,#REF!,AA$1)</f>
        <v>#REF!</v>
      </c>
      <c r="AB23" s="19" t="e">
        <f>SUMIFS(#REF!,#REF!,$B23,#REF!,AB$1)</f>
        <v>#REF!</v>
      </c>
      <c r="AC23" s="19" t="e">
        <f>SUMIFS(#REF!,#REF!,$B23,#REF!,AC$1)</f>
        <v>#REF!</v>
      </c>
      <c r="AD23" s="19" t="e">
        <f>SUMIFS(#REF!,#REF!,$B23,#REF!,AD$1)</f>
        <v>#REF!</v>
      </c>
      <c r="AE23" s="19" t="e">
        <f>SUMIFS(#REF!,#REF!,$B23,#REF!,AE$1)</f>
        <v>#REF!</v>
      </c>
      <c r="AF23" s="19" t="e">
        <f>SUMIFS(#REF!,#REF!,$B23,#REF!,AF$1)</f>
        <v>#REF!</v>
      </c>
      <c r="AG23" s="19" t="e">
        <f>SUMIFS(#REF!,#REF!,$B23,#REF!,AG$1)</f>
        <v>#REF!</v>
      </c>
      <c r="AH23" s="19" t="e">
        <f>SUMIFS(#REF!,#REF!,$B23,#REF!,AH$1)</f>
        <v>#REF!</v>
      </c>
      <c r="AI23" s="25" t="e">
        <f t="shared" si="1"/>
        <v>#REF!</v>
      </c>
    </row>
    <row r="24" spans="2:35" ht="15.75" x14ac:dyDescent="0.25">
      <c r="B24" s="33" t="s">
        <v>147</v>
      </c>
      <c r="C24" s="31">
        <v>200</v>
      </c>
      <c r="D24" s="19" t="e">
        <f>SUMIFS(#REF!,#REF!,$B24,#REF!,D$1)</f>
        <v>#REF!</v>
      </c>
      <c r="E24" s="19" t="e">
        <f>SUMIFS(#REF!,#REF!,$B24,#REF!,E$1)</f>
        <v>#REF!</v>
      </c>
      <c r="F24" s="19" t="e">
        <f>SUMIFS(#REF!,#REF!,$B24,#REF!,F$1)</f>
        <v>#REF!</v>
      </c>
      <c r="G24" s="19" t="e">
        <f>SUMIFS(#REF!,#REF!,$B24,#REF!,G$1)</f>
        <v>#REF!</v>
      </c>
      <c r="H24" s="19" t="e">
        <f>SUMIFS(#REF!,#REF!,$B24,#REF!,H$1)</f>
        <v>#REF!</v>
      </c>
      <c r="I24" s="19" t="e">
        <f>SUMIFS(#REF!,#REF!,$B24,#REF!,I$1)</f>
        <v>#REF!</v>
      </c>
      <c r="J24" s="19" t="e">
        <f>SUMIFS(#REF!,#REF!,$B24,#REF!,J$1)</f>
        <v>#REF!</v>
      </c>
      <c r="K24" s="19" t="e">
        <f>SUMIFS(#REF!,#REF!,$B24,#REF!,K$1)</f>
        <v>#REF!</v>
      </c>
      <c r="L24" s="19" t="e">
        <f>SUMIFS(#REF!,#REF!,$B24,#REF!,L$1)</f>
        <v>#REF!</v>
      </c>
      <c r="M24" s="19" t="e">
        <f>SUMIFS(#REF!,#REF!,$B24,#REF!,M$1)</f>
        <v>#REF!</v>
      </c>
      <c r="N24" s="19" t="e">
        <f>SUMIFS(#REF!,#REF!,$B24,#REF!,N$1)</f>
        <v>#REF!</v>
      </c>
      <c r="O24" s="19" t="e">
        <f>SUMIFS(#REF!,#REF!,$B24,#REF!,O$1)</f>
        <v>#REF!</v>
      </c>
      <c r="P24" s="19" t="e">
        <f>SUMIFS(#REF!,#REF!,$B24,#REF!,P$1)</f>
        <v>#REF!</v>
      </c>
      <c r="Q24" s="19" t="e">
        <f>SUMIFS(#REF!,#REF!,$B24,#REF!,Q$1)</f>
        <v>#REF!</v>
      </c>
      <c r="R24" s="19" t="e">
        <f>SUMIFS(#REF!,#REF!,$B24,#REF!,R$1)</f>
        <v>#REF!</v>
      </c>
      <c r="S24" s="19" t="e">
        <f>SUMIFS(#REF!,#REF!,$B24,#REF!,S$1)</f>
        <v>#REF!</v>
      </c>
      <c r="T24" s="19" t="e">
        <f>SUMIFS(#REF!,#REF!,$B24,#REF!,T$1)</f>
        <v>#REF!</v>
      </c>
      <c r="U24" s="19" t="e">
        <f>SUMIFS(#REF!,#REF!,$B24,#REF!,U$1)</f>
        <v>#REF!</v>
      </c>
      <c r="V24" s="19" t="e">
        <f>SUMIFS(#REF!,#REF!,$B24,#REF!,V$1)</f>
        <v>#REF!</v>
      </c>
      <c r="W24" s="19" t="e">
        <f>SUMIFS(#REF!,#REF!,$B24,#REF!,W$1)</f>
        <v>#REF!</v>
      </c>
      <c r="X24" s="19" t="e">
        <f>SUMIFS(#REF!,#REF!,$B24,#REF!,X$1)</f>
        <v>#REF!</v>
      </c>
      <c r="Y24" s="19" t="e">
        <f>SUMIFS(#REF!,#REF!,$B24,#REF!,Y$1)</f>
        <v>#REF!</v>
      </c>
      <c r="Z24" s="19" t="e">
        <f>SUMIFS(#REF!,#REF!,$B24,#REF!,Z$1)</f>
        <v>#REF!</v>
      </c>
      <c r="AA24" s="19" t="e">
        <f>SUMIFS(#REF!,#REF!,$B24,#REF!,AA$1)</f>
        <v>#REF!</v>
      </c>
      <c r="AB24" s="19" t="e">
        <f>SUMIFS(#REF!,#REF!,$B24,#REF!,AB$1)</f>
        <v>#REF!</v>
      </c>
      <c r="AC24" s="19" t="e">
        <f>SUMIFS(#REF!,#REF!,$B24,#REF!,AC$1)</f>
        <v>#REF!</v>
      </c>
      <c r="AD24" s="19" t="e">
        <f>SUMIFS(#REF!,#REF!,$B24,#REF!,AD$1)</f>
        <v>#REF!</v>
      </c>
      <c r="AE24" s="19" t="e">
        <f>SUMIFS(#REF!,#REF!,$B24,#REF!,AE$1)</f>
        <v>#REF!</v>
      </c>
      <c r="AF24" s="19" t="e">
        <f>SUMIFS(#REF!,#REF!,$B24,#REF!,AF$1)</f>
        <v>#REF!</v>
      </c>
      <c r="AG24" s="19" t="e">
        <f>SUMIFS(#REF!,#REF!,$B24,#REF!,AG$1)</f>
        <v>#REF!</v>
      </c>
      <c r="AH24" s="19" t="e">
        <f>SUMIFS(#REF!,#REF!,$B24,#REF!,AH$1)</f>
        <v>#REF!</v>
      </c>
      <c r="AI24" s="25" t="e">
        <f t="shared" si="1"/>
        <v>#REF!</v>
      </c>
    </row>
    <row r="25" spans="2:35" ht="15.75" x14ac:dyDescent="0.25">
      <c r="B25" s="33" t="s">
        <v>148</v>
      </c>
      <c r="C25" s="31">
        <v>200</v>
      </c>
      <c r="D25" s="19" t="e">
        <f>SUMIFS(#REF!,#REF!,$B25,#REF!,D$1)</f>
        <v>#REF!</v>
      </c>
      <c r="E25" s="19" t="e">
        <f>SUMIFS(#REF!,#REF!,$B25,#REF!,E$1)</f>
        <v>#REF!</v>
      </c>
      <c r="F25" s="19" t="e">
        <f>SUMIFS(#REF!,#REF!,$B25,#REF!,F$1)</f>
        <v>#REF!</v>
      </c>
      <c r="G25" s="19" t="e">
        <f>SUMIFS(#REF!,#REF!,$B25,#REF!,G$1)</f>
        <v>#REF!</v>
      </c>
      <c r="H25" s="19" t="e">
        <f>SUMIFS(#REF!,#REF!,$B25,#REF!,H$1)</f>
        <v>#REF!</v>
      </c>
      <c r="I25" s="19" t="e">
        <f>SUMIFS(#REF!,#REF!,$B25,#REF!,I$1)</f>
        <v>#REF!</v>
      </c>
      <c r="J25" s="19" t="e">
        <f>SUMIFS(#REF!,#REF!,$B25,#REF!,J$1)</f>
        <v>#REF!</v>
      </c>
      <c r="K25" s="19" t="e">
        <f>SUMIFS(#REF!,#REF!,$B25,#REF!,K$1)</f>
        <v>#REF!</v>
      </c>
      <c r="L25" s="19" t="e">
        <f>SUMIFS(#REF!,#REF!,$B25,#REF!,L$1)</f>
        <v>#REF!</v>
      </c>
      <c r="M25" s="19" t="e">
        <f>SUMIFS(#REF!,#REF!,$B25,#REF!,M$1)</f>
        <v>#REF!</v>
      </c>
      <c r="N25" s="19" t="e">
        <f>SUMIFS(#REF!,#REF!,$B25,#REF!,N$1)</f>
        <v>#REF!</v>
      </c>
      <c r="O25" s="19" t="e">
        <f>SUMIFS(#REF!,#REF!,$B25,#REF!,O$1)</f>
        <v>#REF!</v>
      </c>
      <c r="P25" s="19" t="e">
        <f>SUMIFS(#REF!,#REF!,$B25,#REF!,P$1)</f>
        <v>#REF!</v>
      </c>
      <c r="Q25" s="19" t="e">
        <f>SUMIFS(#REF!,#REF!,$B25,#REF!,Q$1)</f>
        <v>#REF!</v>
      </c>
      <c r="R25" s="19" t="e">
        <f>SUMIFS(#REF!,#REF!,$B25,#REF!,R$1)</f>
        <v>#REF!</v>
      </c>
      <c r="S25" s="19" t="e">
        <f>SUMIFS(#REF!,#REF!,$B25,#REF!,S$1)</f>
        <v>#REF!</v>
      </c>
      <c r="T25" s="19" t="e">
        <f>SUMIFS(#REF!,#REF!,$B25,#REF!,T$1)</f>
        <v>#REF!</v>
      </c>
      <c r="U25" s="19" t="e">
        <f>SUMIFS(#REF!,#REF!,$B25,#REF!,U$1)</f>
        <v>#REF!</v>
      </c>
      <c r="V25" s="19" t="e">
        <f>SUMIFS(#REF!,#REF!,$B25,#REF!,V$1)</f>
        <v>#REF!</v>
      </c>
      <c r="W25" s="19" t="e">
        <f>SUMIFS(#REF!,#REF!,$B25,#REF!,W$1)</f>
        <v>#REF!</v>
      </c>
      <c r="X25" s="19" t="e">
        <f>SUMIFS(#REF!,#REF!,$B25,#REF!,X$1)</f>
        <v>#REF!</v>
      </c>
      <c r="Y25" s="19" t="e">
        <f>SUMIFS(#REF!,#REF!,$B25,#REF!,Y$1)</f>
        <v>#REF!</v>
      </c>
      <c r="Z25" s="19" t="e">
        <f>SUMIFS(#REF!,#REF!,$B25,#REF!,Z$1)</f>
        <v>#REF!</v>
      </c>
      <c r="AA25" s="19" t="e">
        <f>SUMIFS(#REF!,#REF!,$B25,#REF!,AA$1)</f>
        <v>#REF!</v>
      </c>
      <c r="AB25" s="19" t="e">
        <f>SUMIFS(#REF!,#REF!,$B25,#REF!,AB$1)</f>
        <v>#REF!</v>
      </c>
      <c r="AC25" s="19" t="e">
        <f>SUMIFS(#REF!,#REF!,$B25,#REF!,AC$1)</f>
        <v>#REF!</v>
      </c>
      <c r="AD25" s="19" t="e">
        <f>SUMIFS(#REF!,#REF!,$B25,#REF!,AD$1)</f>
        <v>#REF!</v>
      </c>
      <c r="AE25" s="19" t="e">
        <f>SUMIFS(#REF!,#REF!,$B25,#REF!,AE$1)</f>
        <v>#REF!</v>
      </c>
      <c r="AF25" s="19" t="e">
        <f>SUMIFS(#REF!,#REF!,$B25,#REF!,AF$1)</f>
        <v>#REF!</v>
      </c>
      <c r="AG25" s="19" t="e">
        <f>SUMIFS(#REF!,#REF!,$B25,#REF!,AG$1)</f>
        <v>#REF!</v>
      </c>
      <c r="AH25" s="19" t="e">
        <f>SUMIFS(#REF!,#REF!,$B25,#REF!,AH$1)</f>
        <v>#REF!</v>
      </c>
      <c r="AI25" s="25" t="e">
        <f t="shared" si="1"/>
        <v>#REF!</v>
      </c>
    </row>
    <row r="26" spans="2:35" ht="16.5" thickBot="1" x14ac:dyDescent="0.3">
      <c r="B26" s="42" t="s">
        <v>149</v>
      </c>
      <c r="C26" s="43">
        <v>20</v>
      </c>
      <c r="D26" s="19" t="e">
        <f>SUMIFS(#REF!,#REF!,$B26,#REF!,D$1)</f>
        <v>#REF!</v>
      </c>
      <c r="E26" s="19" t="e">
        <f>SUMIFS(#REF!,#REF!,$B26,#REF!,E$1)</f>
        <v>#REF!</v>
      </c>
      <c r="F26" s="19" t="e">
        <f>SUMIFS(#REF!,#REF!,$B26,#REF!,F$1)</f>
        <v>#REF!</v>
      </c>
      <c r="G26" s="19" t="e">
        <f>SUMIFS(#REF!,#REF!,$B26,#REF!,G$1)</f>
        <v>#REF!</v>
      </c>
      <c r="H26" s="19" t="e">
        <f>SUMIFS(#REF!,#REF!,$B26,#REF!,H$1)</f>
        <v>#REF!</v>
      </c>
      <c r="I26" s="19" t="e">
        <f>SUMIFS(#REF!,#REF!,$B26,#REF!,I$1)</f>
        <v>#REF!</v>
      </c>
      <c r="J26" s="19" t="e">
        <f>SUMIFS(#REF!,#REF!,$B26,#REF!,J$1)</f>
        <v>#REF!</v>
      </c>
      <c r="K26" s="19" t="e">
        <f>SUMIFS(#REF!,#REF!,$B26,#REF!,K$1)</f>
        <v>#REF!</v>
      </c>
      <c r="L26" s="19" t="e">
        <f>SUMIFS(#REF!,#REF!,$B26,#REF!,L$1)</f>
        <v>#REF!</v>
      </c>
      <c r="M26" s="19" t="e">
        <f>SUMIFS(#REF!,#REF!,$B26,#REF!,M$1)</f>
        <v>#REF!</v>
      </c>
      <c r="N26" s="19" t="e">
        <f>SUMIFS(#REF!,#REF!,$B26,#REF!,N$1)</f>
        <v>#REF!</v>
      </c>
      <c r="O26" s="19" t="e">
        <f>SUMIFS(#REF!,#REF!,$B26,#REF!,O$1)</f>
        <v>#REF!</v>
      </c>
      <c r="P26" s="19" t="e">
        <f>SUMIFS(#REF!,#REF!,$B26,#REF!,P$1)</f>
        <v>#REF!</v>
      </c>
      <c r="Q26" s="19" t="e">
        <f>SUMIFS(#REF!,#REF!,$B26,#REF!,Q$1)</f>
        <v>#REF!</v>
      </c>
      <c r="R26" s="19" t="e">
        <f>SUMIFS(#REF!,#REF!,$B26,#REF!,R$1)</f>
        <v>#REF!</v>
      </c>
      <c r="S26" s="19" t="e">
        <f>SUMIFS(#REF!,#REF!,$B26,#REF!,S$1)</f>
        <v>#REF!</v>
      </c>
      <c r="T26" s="19" t="e">
        <f>SUMIFS(#REF!,#REF!,$B26,#REF!,T$1)</f>
        <v>#REF!</v>
      </c>
      <c r="U26" s="19" t="e">
        <f>SUMIFS(#REF!,#REF!,$B26,#REF!,U$1)</f>
        <v>#REF!</v>
      </c>
      <c r="V26" s="19" t="e">
        <f>SUMIFS(#REF!,#REF!,$B26,#REF!,V$1)</f>
        <v>#REF!</v>
      </c>
      <c r="W26" s="19" t="e">
        <f>SUMIFS(#REF!,#REF!,$B26,#REF!,W$1)</f>
        <v>#REF!</v>
      </c>
      <c r="X26" s="19" t="e">
        <f>SUMIFS(#REF!,#REF!,$B26,#REF!,X$1)</f>
        <v>#REF!</v>
      </c>
      <c r="Y26" s="19" t="e">
        <f>SUMIFS(#REF!,#REF!,$B26,#REF!,Y$1)</f>
        <v>#REF!</v>
      </c>
      <c r="Z26" s="19" t="e">
        <f>SUMIFS(#REF!,#REF!,$B26,#REF!,Z$1)</f>
        <v>#REF!</v>
      </c>
      <c r="AA26" s="19" t="e">
        <f>SUMIFS(#REF!,#REF!,$B26,#REF!,AA$1)</f>
        <v>#REF!</v>
      </c>
      <c r="AB26" s="19" t="e">
        <f>SUMIFS(#REF!,#REF!,$B26,#REF!,AB$1)</f>
        <v>#REF!</v>
      </c>
      <c r="AC26" s="19" t="e">
        <f>SUMIFS(#REF!,#REF!,$B26,#REF!,AC$1)</f>
        <v>#REF!</v>
      </c>
      <c r="AD26" s="19" t="e">
        <f>SUMIFS(#REF!,#REF!,$B26,#REF!,AD$1)</f>
        <v>#REF!</v>
      </c>
      <c r="AE26" s="19" t="e">
        <f>SUMIFS(#REF!,#REF!,$B26,#REF!,AE$1)</f>
        <v>#REF!</v>
      </c>
      <c r="AF26" s="19" t="e">
        <f>SUMIFS(#REF!,#REF!,$B26,#REF!,AF$1)</f>
        <v>#REF!</v>
      </c>
      <c r="AG26" s="19" t="e">
        <f>SUMIFS(#REF!,#REF!,$B26,#REF!,AG$1)</f>
        <v>#REF!</v>
      </c>
      <c r="AH26" s="19" t="e">
        <f>SUMIFS(#REF!,#REF!,$B26,#REF!,AH$1)</f>
        <v>#REF!</v>
      </c>
      <c r="AI26" s="26" t="e">
        <f t="shared" si="1"/>
        <v>#REF!</v>
      </c>
    </row>
  </sheetData>
  <dataValidations count="1">
    <dataValidation type="list" allowBlank="1" showInputMessage="1" showErrorMessage="1" sqref="B3:B10" xr:uid="{00000000-0002-0000-0D00-000000000000}">
      <formula1>$E$4:$E$37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1000000}">
          <x14:formula1>
            <xm:f>справочник!$E$2:$E$42</xm:f>
          </x14:formula1>
          <xm:sqref>B12:B26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10"/>
  <dimension ref="B1:AI26"/>
  <sheetViews>
    <sheetView topLeftCell="A25" zoomScale="80" zoomScaleNormal="80" workbookViewId="0">
      <selection activeCell="B28" sqref="B28:AJ54"/>
    </sheetView>
  </sheetViews>
  <sheetFormatPr defaultRowHeight="15" x14ac:dyDescent="0.25"/>
  <cols>
    <col min="1" max="1" width="1.28515625" customWidth="1"/>
    <col min="2" max="2" width="26.85546875" customWidth="1"/>
    <col min="3" max="3" width="6.140625" customWidth="1"/>
    <col min="4" max="34" width="6" customWidth="1"/>
    <col min="35" max="35" width="6.140625" customWidth="1"/>
  </cols>
  <sheetData>
    <row r="1" spans="2:35" ht="15.75" thickBot="1" x14ac:dyDescent="0.3">
      <c r="D1" s="21">
        <v>43586</v>
      </c>
      <c r="E1" s="21">
        <v>43587</v>
      </c>
      <c r="F1" s="21">
        <v>43588</v>
      </c>
      <c r="G1" s="21">
        <v>43589</v>
      </c>
      <c r="H1" s="21">
        <v>43590</v>
      </c>
      <c r="I1" s="21">
        <v>43591</v>
      </c>
      <c r="J1" s="21">
        <v>43592</v>
      </c>
      <c r="K1" s="21">
        <v>43593</v>
      </c>
      <c r="L1" s="21">
        <v>43594</v>
      </c>
      <c r="M1" s="21">
        <v>43595</v>
      </c>
      <c r="N1" s="21">
        <v>43596</v>
      </c>
      <c r="O1" s="21">
        <v>43597</v>
      </c>
      <c r="P1" s="21">
        <v>43598</v>
      </c>
      <c r="Q1" s="21">
        <v>43599</v>
      </c>
      <c r="R1" s="21">
        <v>43600</v>
      </c>
      <c r="S1" s="21">
        <v>43601</v>
      </c>
      <c r="T1" s="21">
        <v>43602</v>
      </c>
      <c r="U1" s="21">
        <v>43603</v>
      </c>
      <c r="V1" s="21">
        <v>43604</v>
      </c>
      <c r="W1" s="21">
        <v>43605</v>
      </c>
      <c r="X1" s="21">
        <v>43606</v>
      </c>
      <c r="Y1" s="21">
        <v>43607</v>
      </c>
      <c r="Z1" s="21">
        <v>43608</v>
      </c>
      <c r="AA1" s="21">
        <v>43609</v>
      </c>
      <c r="AB1" s="21">
        <v>43610</v>
      </c>
      <c r="AC1" s="21">
        <v>43611</v>
      </c>
      <c r="AD1" s="21">
        <v>43612</v>
      </c>
      <c r="AE1" s="21">
        <v>43613</v>
      </c>
      <c r="AF1" s="21">
        <v>43614</v>
      </c>
      <c r="AG1" s="21">
        <v>43615</v>
      </c>
      <c r="AH1" s="21">
        <v>43616</v>
      </c>
      <c r="AI1" s="22"/>
    </row>
    <row r="2" spans="2:35" ht="16.5" thickBot="1" x14ac:dyDescent="0.3">
      <c r="D2" s="44">
        <v>1</v>
      </c>
      <c r="E2" s="45">
        <v>2</v>
      </c>
      <c r="F2" s="44">
        <v>3</v>
      </c>
      <c r="G2" s="45">
        <v>4</v>
      </c>
      <c r="H2" s="44">
        <v>5</v>
      </c>
      <c r="I2" s="46">
        <v>6</v>
      </c>
      <c r="J2" s="47">
        <v>7</v>
      </c>
      <c r="K2" s="46">
        <v>8</v>
      </c>
      <c r="L2" s="44">
        <v>9</v>
      </c>
      <c r="M2" s="45">
        <v>10</v>
      </c>
      <c r="N2" s="44">
        <v>11</v>
      </c>
      <c r="O2" s="45">
        <v>12</v>
      </c>
      <c r="P2" s="47">
        <v>13</v>
      </c>
      <c r="Q2" s="46">
        <v>14</v>
      </c>
      <c r="R2" s="47">
        <v>15</v>
      </c>
      <c r="S2" s="46">
        <v>16</v>
      </c>
      <c r="T2" s="47">
        <v>17</v>
      </c>
      <c r="U2" s="45">
        <v>18</v>
      </c>
      <c r="V2" s="44">
        <v>19</v>
      </c>
      <c r="W2" s="46">
        <v>20</v>
      </c>
      <c r="X2" s="47">
        <v>21</v>
      </c>
      <c r="Y2" s="46">
        <v>22</v>
      </c>
      <c r="Z2" s="47">
        <v>23</v>
      </c>
      <c r="AA2" s="46">
        <v>24</v>
      </c>
      <c r="AB2" s="44">
        <v>25</v>
      </c>
      <c r="AC2" s="45">
        <v>26</v>
      </c>
      <c r="AD2" s="47">
        <v>27</v>
      </c>
      <c r="AE2" s="46">
        <v>28</v>
      </c>
      <c r="AF2" s="47">
        <v>29</v>
      </c>
      <c r="AG2" s="46">
        <v>30</v>
      </c>
      <c r="AH2" s="47">
        <v>31</v>
      </c>
      <c r="AI2" s="22"/>
    </row>
    <row r="3" spans="2:35" ht="15.75" x14ac:dyDescent="0.25">
      <c r="B3" s="34" t="s">
        <v>130</v>
      </c>
      <c r="C3" s="23">
        <v>22.68</v>
      </c>
      <c r="D3" s="40" t="e">
        <f>SUMIFS(#REF!,#REF!,$B3,#REF!,D$1)</f>
        <v>#REF!</v>
      </c>
      <c r="E3" s="40" t="e">
        <f>SUMIFS(#REF!,#REF!,$B3,#REF!,E$1)</f>
        <v>#REF!</v>
      </c>
      <c r="F3" s="40" t="e">
        <f>SUMIFS(#REF!,#REF!,$B3,#REF!,F$1)</f>
        <v>#REF!</v>
      </c>
      <c r="G3" s="40" t="e">
        <f>SUMIFS(#REF!,#REF!,$B3,#REF!,G$1)</f>
        <v>#REF!</v>
      </c>
      <c r="H3" s="40" t="e">
        <f>SUMIFS(#REF!,#REF!,$B3,#REF!,H$1)</f>
        <v>#REF!</v>
      </c>
      <c r="I3" s="40" t="e">
        <f>SUMIFS(#REF!,#REF!,$B3,#REF!,I$1)</f>
        <v>#REF!</v>
      </c>
      <c r="J3" s="40" t="e">
        <f>SUMIFS(#REF!,#REF!,$B3,#REF!,J$1)</f>
        <v>#REF!</v>
      </c>
      <c r="K3" s="40" t="e">
        <f>SUMIFS(#REF!,#REF!,$B3,#REF!,K$1)</f>
        <v>#REF!</v>
      </c>
      <c r="L3" s="40" t="e">
        <f>SUMIFS(#REF!,#REF!,$B3,#REF!,L$1)</f>
        <v>#REF!</v>
      </c>
      <c r="M3" s="40" t="e">
        <f>SUMIFS(#REF!,#REF!,$B3,#REF!,M$1)</f>
        <v>#REF!</v>
      </c>
      <c r="N3" s="40" t="e">
        <f>SUMIFS(#REF!,#REF!,$B3,#REF!,N$1)</f>
        <v>#REF!</v>
      </c>
      <c r="O3" s="40" t="e">
        <f>SUMIFS(#REF!,#REF!,$B3,#REF!,O$1)</f>
        <v>#REF!</v>
      </c>
      <c r="P3" s="40" t="e">
        <f>SUMIFS(#REF!,#REF!,$B3,#REF!,P$1)</f>
        <v>#REF!</v>
      </c>
      <c r="Q3" s="40" t="e">
        <f>SUMIFS(#REF!,#REF!,$B3,#REF!,Q$1)</f>
        <v>#REF!</v>
      </c>
      <c r="R3" s="40" t="e">
        <f>SUMIFS(#REF!,#REF!,$B3,#REF!,R$1)</f>
        <v>#REF!</v>
      </c>
      <c r="S3" s="40" t="e">
        <f>SUMIFS(#REF!,#REF!,$B3,#REF!,S$1)</f>
        <v>#REF!</v>
      </c>
      <c r="T3" s="40" t="e">
        <f>SUMIFS(#REF!,#REF!,$B3,#REF!,T$1)</f>
        <v>#REF!</v>
      </c>
      <c r="U3" s="40" t="e">
        <f>SUMIFS(#REF!,#REF!,$B3,#REF!,U$1)</f>
        <v>#REF!</v>
      </c>
      <c r="V3" s="40" t="e">
        <f>SUMIFS(#REF!,#REF!,$B3,#REF!,V$1)</f>
        <v>#REF!</v>
      </c>
      <c r="W3" s="40" t="e">
        <f>SUMIFS(#REF!,#REF!,$B3,#REF!,W$1)</f>
        <v>#REF!</v>
      </c>
      <c r="X3" s="40" t="e">
        <f>SUMIFS(#REF!,#REF!,$B3,#REF!,X$1)</f>
        <v>#REF!</v>
      </c>
      <c r="Y3" s="40" t="e">
        <f>SUMIFS(#REF!,#REF!,$B3,#REF!,Y$1)</f>
        <v>#REF!</v>
      </c>
      <c r="Z3" s="40" t="e">
        <f>SUMIFS(#REF!,#REF!,$B3,#REF!,Z$1)</f>
        <v>#REF!</v>
      </c>
      <c r="AA3" s="40" t="e">
        <f>SUMIFS(#REF!,#REF!,$B3,#REF!,AA$1)</f>
        <v>#REF!</v>
      </c>
      <c r="AB3" s="40" t="e">
        <f>SUMIFS(#REF!,#REF!,$B3,#REF!,AB$1)</f>
        <v>#REF!</v>
      </c>
      <c r="AC3" s="40" t="e">
        <f>SUMIFS(#REF!,#REF!,$B3,#REF!,AC$1)</f>
        <v>#REF!</v>
      </c>
      <c r="AD3" s="40" t="e">
        <f>SUMIFS(#REF!,#REF!,$B3,#REF!,AD$1)</f>
        <v>#REF!</v>
      </c>
      <c r="AE3" s="40" t="e">
        <f>SUMIFS(#REF!,#REF!,$B3,#REF!,AE$1)</f>
        <v>#REF!</v>
      </c>
      <c r="AF3" s="40" t="e">
        <f>SUMIFS(#REF!,#REF!,$B3,#REF!,AF$1)</f>
        <v>#REF!</v>
      </c>
      <c r="AG3" s="40" t="e">
        <f>SUMIFS(#REF!,#REF!,$B3,#REF!,AG$1)</f>
        <v>#REF!</v>
      </c>
      <c r="AH3" s="40" t="e">
        <f>SUMIFS(#REF!,#REF!,$B3,#REF!,AH$1)</f>
        <v>#REF!</v>
      </c>
      <c r="AI3" s="48" t="e">
        <f>SUM(D3:AH3)</f>
        <v>#REF!</v>
      </c>
    </row>
    <row r="4" spans="2:35" ht="15.75" x14ac:dyDescent="0.25">
      <c r="B4" s="35" t="s">
        <v>131</v>
      </c>
      <c r="C4" s="24">
        <v>25</v>
      </c>
      <c r="D4" s="19" t="e">
        <f>SUMIFS(#REF!,#REF!,$B4,#REF!,D$1)</f>
        <v>#REF!</v>
      </c>
      <c r="E4" s="19" t="e">
        <f>SUMIFS(#REF!,#REF!,$B4,#REF!,E$1)</f>
        <v>#REF!</v>
      </c>
      <c r="F4" s="19" t="e">
        <f>SUMIFS(#REF!,#REF!,$B4,#REF!,F$1)</f>
        <v>#REF!</v>
      </c>
      <c r="G4" s="19" t="e">
        <f>SUMIFS(#REF!,#REF!,$B4,#REF!,G$1)</f>
        <v>#REF!</v>
      </c>
      <c r="H4" s="19" t="e">
        <f>SUMIFS(#REF!,#REF!,$B4,#REF!,H$1)</f>
        <v>#REF!</v>
      </c>
      <c r="I4" s="19" t="e">
        <f>SUMIFS(#REF!,#REF!,$B4,#REF!,I$1)</f>
        <v>#REF!</v>
      </c>
      <c r="J4" s="19" t="e">
        <f>SUMIFS(#REF!,#REF!,$B4,#REF!,J$1)</f>
        <v>#REF!</v>
      </c>
      <c r="K4" s="19" t="e">
        <f>SUMIFS(#REF!,#REF!,$B4,#REF!,K$1)</f>
        <v>#REF!</v>
      </c>
      <c r="L4" s="19" t="e">
        <f>SUMIFS(#REF!,#REF!,$B4,#REF!,L$1)</f>
        <v>#REF!</v>
      </c>
      <c r="M4" s="19" t="e">
        <f>SUMIFS(#REF!,#REF!,$B4,#REF!,M$1)</f>
        <v>#REF!</v>
      </c>
      <c r="N4" s="19" t="e">
        <f>SUMIFS(#REF!,#REF!,$B4,#REF!,N$1)</f>
        <v>#REF!</v>
      </c>
      <c r="O4" s="19" t="e">
        <f>SUMIFS(#REF!,#REF!,$B4,#REF!,O$1)</f>
        <v>#REF!</v>
      </c>
      <c r="P4" s="19" t="e">
        <f>SUMIFS(#REF!,#REF!,$B4,#REF!,P$1)</f>
        <v>#REF!</v>
      </c>
      <c r="Q4" s="19" t="e">
        <f>SUMIFS(#REF!,#REF!,$B4,#REF!,Q$1)</f>
        <v>#REF!</v>
      </c>
      <c r="R4" s="19" t="e">
        <f>SUMIFS(#REF!,#REF!,$B4,#REF!,R$1)</f>
        <v>#REF!</v>
      </c>
      <c r="S4" s="19" t="e">
        <f>SUMIFS(#REF!,#REF!,$B4,#REF!,S$1)</f>
        <v>#REF!</v>
      </c>
      <c r="T4" s="19" t="e">
        <f>SUMIFS(#REF!,#REF!,$B4,#REF!,T$1)</f>
        <v>#REF!</v>
      </c>
      <c r="U4" s="19" t="e">
        <f>SUMIFS(#REF!,#REF!,$B4,#REF!,U$1)</f>
        <v>#REF!</v>
      </c>
      <c r="V4" s="19" t="e">
        <f>SUMIFS(#REF!,#REF!,$B4,#REF!,V$1)</f>
        <v>#REF!</v>
      </c>
      <c r="W4" s="19" t="e">
        <f>SUMIFS(#REF!,#REF!,$B4,#REF!,W$1)</f>
        <v>#REF!</v>
      </c>
      <c r="X4" s="19" t="e">
        <f>SUMIFS(#REF!,#REF!,$B4,#REF!,X$1)</f>
        <v>#REF!</v>
      </c>
      <c r="Y4" s="19" t="e">
        <f>SUMIFS(#REF!,#REF!,$B4,#REF!,Y$1)</f>
        <v>#REF!</v>
      </c>
      <c r="Z4" s="19" t="e">
        <f>SUMIFS(#REF!,#REF!,$B4,#REF!,Z$1)</f>
        <v>#REF!</v>
      </c>
      <c r="AA4" s="19" t="e">
        <f>SUMIFS(#REF!,#REF!,$B4,#REF!,AA$1)</f>
        <v>#REF!</v>
      </c>
      <c r="AB4" s="19" t="e">
        <f>SUMIFS(#REF!,#REF!,$B4,#REF!,AB$1)</f>
        <v>#REF!</v>
      </c>
      <c r="AC4" s="19" t="e">
        <f>SUMIFS(#REF!,#REF!,$B4,#REF!,AC$1)</f>
        <v>#REF!</v>
      </c>
      <c r="AD4" s="19" t="e">
        <f>SUMIFS(#REF!,#REF!,$B4,#REF!,AD$1)</f>
        <v>#REF!</v>
      </c>
      <c r="AE4" s="19" t="e">
        <f>SUMIFS(#REF!,#REF!,$B4,#REF!,AE$1)</f>
        <v>#REF!</v>
      </c>
      <c r="AF4" s="19" t="e">
        <f>SUMIFS(#REF!,#REF!,$B4,#REF!,AF$1)</f>
        <v>#REF!</v>
      </c>
      <c r="AG4" s="19" t="e">
        <f>SUMIFS(#REF!,#REF!,$B4,#REF!,AG$1)</f>
        <v>#REF!</v>
      </c>
      <c r="AH4" s="19" t="e">
        <f>SUMIFS(#REF!,#REF!,$B4,#REF!,AH$1)</f>
        <v>#REF!</v>
      </c>
      <c r="AI4" s="20" t="e">
        <f t="shared" ref="AI4:AI10" si="0">SUM(D4:AH4)</f>
        <v>#REF!</v>
      </c>
    </row>
    <row r="5" spans="2:35" ht="15.75" x14ac:dyDescent="0.25">
      <c r="B5" s="35" t="s">
        <v>132</v>
      </c>
      <c r="C5" s="24">
        <v>25</v>
      </c>
      <c r="D5" s="19" t="e">
        <f>SUMIFS(#REF!,#REF!,$B5,#REF!,D$1)</f>
        <v>#REF!</v>
      </c>
      <c r="E5" s="19" t="e">
        <f>SUMIFS(#REF!,#REF!,$B5,#REF!,E$1)</f>
        <v>#REF!</v>
      </c>
      <c r="F5" s="19" t="e">
        <f>SUMIFS(#REF!,#REF!,$B5,#REF!,F$1)</f>
        <v>#REF!</v>
      </c>
      <c r="G5" s="19" t="e">
        <f>SUMIFS(#REF!,#REF!,$B5,#REF!,G$1)</f>
        <v>#REF!</v>
      </c>
      <c r="H5" s="19" t="e">
        <f>SUMIFS(#REF!,#REF!,$B5,#REF!,H$1)</f>
        <v>#REF!</v>
      </c>
      <c r="I5" s="19" t="e">
        <f>SUMIFS(#REF!,#REF!,$B5,#REF!,I$1)</f>
        <v>#REF!</v>
      </c>
      <c r="J5" s="19" t="e">
        <f>SUMIFS(#REF!,#REF!,$B5,#REF!,J$1)</f>
        <v>#REF!</v>
      </c>
      <c r="K5" s="19" t="e">
        <f>SUMIFS(#REF!,#REF!,$B5,#REF!,K$1)</f>
        <v>#REF!</v>
      </c>
      <c r="L5" s="19" t="e">
        <f>SUMIFS(#REF!,#REF!,$B5,#REF!,L$1)</f>
        <v>#REF!</v>
      </c>
      <c r="M5" s="19" t="e">
        <f>SUMIFS(#REF!,#REF!,$B5,#REF!,M$1)</f>
        <v>#REF!</v>
      </c>
      <c r="N5" s="19" t="e">
        <f>SUMIFS(#REF!,#REF!,$B5,#REF!,N$1)</f>
        <v>#REF!</v>
      </c>
      <c r="O5" s="19" t="e">
        <f>SUMIFS(#REF!,#REF!,$B5,#REF!,O$1)</f>
        <v>#REF!</v>
      </c>
      <c r="P5" s="19" t="e">
        <f>SUMIFS(#REF!,#REF!,$B5,#REF!,P$1)</f>
        <v>#REF!</v>
      </c>
      <c r="Q5" s="19" t="e">
        <f>SUMIFS(#REF!,#REF!,$B5,#REF!,Q$1)</f>
        <v>#REF!</v>
      </c>
      <c r="R5" s="19" t="e">
        <f>SUMIFS(#REF!,#REF!,$B5,#REF!,R$1)</f>
        <v>#REF!</v>
      </c>
      <c r="S5" s="19" t="e">
        <f>SUMIFS(#REF!,#REF!,$B5,#REF!,S$1)</f>
        <v>#REF!</v>
      </c>
      <c r="T5" s="19" t="e">
        <f>SUMIFS(#REF!,#REF!,$B5,#REF!,T$1)</f>
        <v>#REF!</v>
      </c>
      <c r="U5" s="19" t="e">
        <f>SUMIFS(#REF!,#REF!,$B5,#REF!,U$1)</f>
        <v>#REF!</v>
      </c>
      <c r="V5" s="19" t="e">
        <f>SUMIFS(#REF!,#REF!,$B5,#REF!,V$1)</f>
        <v>#REF!</v>
      </c>
      <c r="W5" s="19" t="e">
        <f>SUMIFS(#REF!,#REF!,$B5,#REF!,W$1)</f>
        <v>#REF!</v>
      </c>
      <c r="X5" s="19" t="e">
        <f>SUMIFS(#REF!,#REF!,$B5,#REF!,X$1)</f>
        <v>#REF!</v>
      </c>
      <c r="Y5" s="19" t="e">
        <f>SUMIFS(#REF!,#REF!,$B5,#REF!,Y$1)</f>
        <v>#REF!</v>
      </c>
      <c r="Z5" s="19" t="e">
        <f>SUMIFS(#REF!,#REF!,$B5,#REF!,Z$1)</f>
        <v>#REF!</v>
      </c>
      <c r="AA5" s="19" t="e">
        <f>SUMIFS(#REF!,#REF!,$B5,#REF!,AA$1)</f>
        <v>#REF!</v>
      </c>
      <c r="AB5" s="19" t="e">
        <f>SUMIFS(#REF!,#REF!,$B5,#REF!,AB$1)</f>
        <v>#REF!</v>
      </c>
      <c r="AC5" s="19" t="e">
        <f>SUMIFS(#REF!,#REF!,$B5,#REF!,AC$1)</f>
        <v>#REF!</v>
      </c>
      <c r="AD5" s="19" t="e">
        <f>SUMIFS(#REF!,#REF!,$B5,#REF!,AD$1)</f>
        <v>#REF!</v>
      </c>
      <c r="AE5" s="19" t="e">
        <f>SUMIFS(#REF!,#REF!,$B5,#REF!,AE$1)</f>
        <v>#REF!</v>
      </c>
      <c r="AF5" s="19" t="e">
        <f>SUMIFS(#REF!,#REF!,$B5,#REF!,AF$1)</f>
        <v>#REF!</v>
      </c>
      <c r="AG5" s="19" t="e">
        <f>SUMIFS(#REF!,#REF!,$B5,#REF!,AG$1)</f>
        <v>#REF!</v>
      </c>
      <c r="AH5" s="19" t="e">
        <f>SUMIFS(#REF!,#REF!,$B5,#REF!,AH$1)</f>
        <v>#REF!</v>
      </c>
      <c r="AI5" s="20" t="e">
        <f t="shared" si="0"/>
        <v>#REF!</v>
      </c>
    </row>
    <row r="6" spans="2:35" ht="15.75" x14ac:dyDescent="0.25">
      <c r="B6" s="35" t="s">
        <v>133</v>
      </c>
      <c r="C6" s="24">
        <v>22.7</v>
      </c>
      <c r="D6" s="19" t="e">
        <f>SUMIFS(#REF!,#REF!,$B6,#REF!,D$1)</f>
        <v>#REF!</v>
      </c>
      <c r="E6" s="19" t="e">
        <f>SUMIFS(#REF!,#REF!,$B6,#REF!,E$1)</f>
        <v>#REF!</v>
      </c>
      <c r="F6" s="19" t="e">
        <f>SUMIFS(#REF!,#REF!,$B6,#REF!,F$1)</f>
        <v>#REF!</v>
      </c>
      <c r="G6" s="19" t="e">
        <f>SUMIFS(#REF!,#REF!,$B6,#REF!,G$1)</f>
        <v>#REF!</v>
      </c>
      <c r="H6" s="19" t="e">
        <f>SUMIFS(#REF!,#REF!,$B6,#REF!,H$1)</f>
        <v>#REF!</v>
      </c>
      <c r="I6" s="19" t="e">
        <f>SUMIFS(#REF!,#REF!,$B6,#REF!,I$1)</f>
        <v>#REF!</v>
      </c>
      <c r="J6" s="19" t="e">
        <f>SUMIFS(#REF!,#REF!,$B6,#REF!,J$1)</f>
        <v>#REF!</v>
      </c>
      <c r="K6" s="19" t="e">
        <f>SUMIFS(#REF!,#REF!,$B6,#REF!,K$1)</f>
        <v>#REF!</v>
      </c>
      <c r="L6" s="19" t="e">
        <f>SUMIFS(#REF!,#REF!,$B6,#REF!,L$1)</f>
        <v>#REF!</v>
      </c>
      <c r="M6" s="19" t="e">
        <f>SUMIFS(#REF!,#REF!,$B6,#REF!,M$1)</f>
        <v>#REF!</v>
      </c>
      <c r="N6" s="19" t="e">
        <f>SUMIFS(#REF!,#REF!,$B6,#REF!,N$1)</f>
        <v>#REF!</v>
      </c>
      <c r="O6" s="19" t="e">
        <f>SUMIFS(#REF!,#REF!,$B6,#REF!,O$1)</f>
        <v>#REF!</v>
      </c>
      <c r="P6" s="19" t="e">
        <f>SUMIFS(#REF!,#REF!,$B6,#REF!,P$1)</f>
        <v>#REF!</v>
      </c>
      <c r="Q6" s="19" t="e">
        <f>SUMIFS(#REF!,#REF!,$B6,#REF!,Q$1)</f>
        <v>#REF!</v>
      </c>
      <c r="R6" s="19" t="e">
        <f>SUMIFS(#REF!,#REF!,$B6,#REF!,R$1)</f>
        <v>#REF!</v>
      </c>
      <c r="S6" s="19" t="e">
        <f>SUMIFS(#REF!,#REF!,$B6,#REF!,S$1)</f>
        <v>#REF!</v>
      </c>
      <c r="T6" s="19" t="e">
        <f>SUMIFS(#REF!,#REF!,$B6,#REF!,T$1)</f>
        <v>#REF!</v>
      </c>
      <c r="U6" s="19" t="e">
        <f>SUMIFS(#REF!,#REF!,$B6,#REF!,U$1)</f>
        <v>#REF!</v>
      </c>
      <c r="V6" s="19" t="e">
        <f>SUMIFS(#REF!,#REF!,$B6,#REF!,V$1)</f>
        <v>#REF!</v>
      </c>
      <c r="W6" s="19" t="e">
        <f>SUMIFS(#REF!,#REF!,$B6,#REF!,W$1)</f>
        <v>#REF!</v>
      </c>
      <c r="X6" s="19" t="e">
        <f>SUMIFS(#REF!,#REF!,$B6,#REF!,X$1)</f>
        <v>#REF!</v>
      </c>
      <c r="Y6" s="19" t="e">
        <f>SUMIFS(#REF!,#REF!,$B6,#REF!,Y$1)</f>
        <v>#REF!</v>
      </c>
      <c r="Z6" s="19" t="e">
        <f>SUMIFS(#REF!,#REF!,$B6,#REF!,Z$1)</f>
        <v>#REF!</v>
      </c>
      <c r="AA6" s="19" t="e">
        <f>SUMIFS(#REF!,#REF!,$B6,#REF!,AA$1)</f>
        <v>#REF!</v>
      </c>
      <c r="AB6" s="19" t="e">
        <f>SUMIFS(#REF!,#REF!,$B6,#REF!,AB$1)</f>
        <v>#REF!</v>
      </c>
      <c r="AC6" s="19" t="e">
        <f>SUMIFS(#REF!,#REF!,$B6,#REF!,AC$1)</f>
        <v>#REF!</v>
      </c>
      <c r="AD6" s="19" t="e">
        <f>SUMIFS(#REF!,#REF!,$B6,#REF!,AD$1)</f>
        <v>#REF!</v>
      </c>
      <c r="AE6" s="19" t="e">
        <f>SUMIFS(#REF!,#REF!,$B6,#REF!,AE$1)</f>
        <v>#REF!</v>
      </c>
      <c r="AF6" s="19" t="e">
        <f>SUMIFS(#REF!,#REF!,$B6,#REF!,AF$1)</f>
        <v>#REF!</v>
      </c>
      <c r="AG6" s="19" t="e">
        <f>SUMIFS(#REF!,#REF!,$B6,#REF!,AG$1)</f>
        <v>#REF!</v>
      </c>
      <c r="AH6" s="19" t="e">
        <f>SUMIFS(#REF!,#REF!,$B6,#REF!,AH$1)</f>
        <v>#REF!</v>
      </c>
      <c r="AI6" s="20" t="e">
        <f>SUM(D6:AH6)</f>
        <v>#REF!</v>
      </c>
    </row>
    <row r="7" spans="2:35" ht="15.75" x14ac:dyDescent="0.25">
      <c r="B7" s="35" t="s">
        <v>134</v>
      </c>
      <c r="C7" s="24">
        <v>22.7</v>
      </c>
      <c r="D7" s="19" t="e">
        <f>SUMIFS(#REF!,#REF!,$B7,#REF!,D$1)</f>
        <v>#REF!</v>
      </c>
      <c r="E7" s="19" t="e">
        <f>SUMIFS(#REF!,#REF!,$B7,#REF!,E$1)</f>
        <v>#REF!</v>
      </c>
      <c r="F7" s="19" t="e">
        <f>SUMIFS(#REF!,#REF!,$B7,#REF!,F$1)</f>
        <v>#REF!</v>
      </c>
      <c r="G7" s="19" t="e">
        <f>SUMIFS(#REF!,#REF!,$B7,#REF!,G$1)</f>
        <v>#REF!</v>
      </c>
      <c r="H7" s="19" t="e">
        <f>SUMIFS(#REF!,#REF!,$B7,#REF!,H$1)</f>
        <v>#REF!</v>
      </c>
      <c r="I7" s="19" t="e">
        <f>SUMIFS(#REF!,#REF!,$B7,#REF!,I$1)</f>
        <v>#REF!</v>
      </c>
      <c r="J7" s="19" t="e">
        <f>SUMIFS(#REF!,#REF!,$B7,#REF!,J$1)</f>
        <v>#REF!</v>
      </c>
      <c r="K7" s="19" t="e">
        <f>SUMIFS(#REF!,#REF!,$B7,#REF!,K$1)</f>
        <v>#REF!</v>
      </c>
      <c r="L7" s="19" t="e">
        <f>SUMIFS(#REF!,#REF!,$B7,#REF!,L$1)</f>
        <v>#REF!</v>
      </c>
      <c r="M7" s="19" t="e">
        <f>SUMIFS(#REF!,#REF!,$B7,#REF!,M$1)</f>
        <v>#REF!</v>
      </c>
      <c r="N7" s="19" t="e">
        <f>SUMIFS(#REF!,#REF!,$B7,#REF!,N$1)</f>
        <v>#REF!</v>
      </c>
      <c r="O7" s="19" t="e">
        <f>SUMIFS(#REF!,#REF!,$B7,#REF!,O$1)</f>
        <v>#REF!</v>
      </c>
      <c r="P7" s="19" t="e">
        <f>SUMIFS(#REF!,#REF!,$B7,#REF!,P$1)</f>
        <v>#REF!</v>
      </c>
      <c r="Q7" s="19" t="e">
        <f>SUMIFS(#REF!,#REF!,$B7,#REF!,Q$1)</f>
        <v>#REF!</v>
      </c>
      <c r="R7" s="19" t="e">
        <f>SUMIFS(#REF!,#REF!,$B7,#REF!,R$1)</f>
        <v>#REF!</v>
      </c>
      <c r="S7" s="19" t="e">
        <f>SUMIFS(#REF!,#REF!,$B7,#REF!,S$1)</f>
        <v>#REF!</v>
      </c>
      <c r="T7" s="19" t="e">
        <f>SUMIFS(#REF!,#REF!,$B7,#REF!,T$1)</f>
        <v>#REF!</v>
      </c>
      <c r="U7" s="19" t="e">
        <f>SUMIFS(#REF!,#REF!,$B7,#REF!,U$1)</f>
        <v>#REF!</v>
      </c>
      <c r="V7" s="19" t="e">
        <f>SUMIFS(#REF!,#REF!,$B7,#REF!,V$1)</f>
        <v>#REF!</v>
      </c>
      <c r="W7" s="19" t="e">
        <f>SUMIFS(#REF!,#REF!,$B7,#REF!,W$1)</f>
        <v>#REF!</v>
      </c>
      <c r="X7" s="19" t="e">
        <f>SUMIFS(#REF!,#REF!,$B7,#REF!,X$1)</f>
        <v>#REF!</v>
      </c>
      <c r="Y7" s="19" t="e">
        <f>SUMIFS(#REF!,#REF!,$B7,#REF!,Y$1)</f>
        <v>#REF!</v>
      </c>
      <c r="Z7" s="19" t="e">
        <f>SUMIFS(#REF!,#REF!,$B7,#REF!,Z$1)</f>
        <v>#REF!</v>
      </c>
      <c r="AA7" s="19" t="e">
        <f>SUMIFS(#REF!,#REF!,$B7,#REF!,AA$1)</f>
        <v>#REF!</v>
      </c>
      <c r="AB7" s="19" t="e">
        <f>SUMIFS(#REF!,#REF!,$B7,#REF!,AB$1)</f>
        <v>#REF!</v>
      </c>
      <c r="AC7" s="19" t="e">
        <f>SUMIFS(#REF!,#REF!,$B7,#REF!,AC$1)</f>
        <v>#REF!</v>
      </c>
      <c r="AD7" s="19" t="e">
        <f>SUMIFS(#REF!,#REF!,$B7,#REF!,AD$1)</f>
        <v>#REF!</v>
      </c>
      <c r="AE7" s="19" t="e">
        <f>SUMIFS(#REF!,#REF!,$B7,#REF!,AE$1)</f>
        <v>#REF!</v>
      </c>
      <c r="AF7" s="19" t="e">
        <f>SUMIFS(#REF!,#REF!,$B7,#REF!,AF$1)</f>
        <v>#REF!</v>
      </c>
      <c r="AG7" s="19" t="e">
        <f>SUMIFS(#REF!,#REF!,$B7,#REF!,AG$1)</f>
        <v>#REF!</v>
      </c>
      <c r="AH7" s="19" t="e">
        <f>SUMIFS(#REF!,#REF!,$B7,#REF!,AH$1)</f>
        <v>#REF!</v>
      </c>
      <c r="AI7" s="20" t="e">
        <f t="shared" si="0"/>
        <v>#REF!</v>
      </c>
    </row>
    <row r="8" spans="2:35" ht="15.75" x14ac:dyDescent="0.25">
      <c r="B8" s="36" t="s">
        <v>19</v>
      </c>
      <c r="C8" s="24">
        <v>22.7</v>
      </c>
      <c r="D8" s="19" t="e">
        <f>SUMIFS(#REF!,#REF!,$B8,#REF!,D$1)</f>
        <v>#REF!</v>
      </c>
      <c r="E8" s="19" t="e">
        <f>SUMIFS(#REF!,#REF!,$B8,#REF!,E$1)</f>
        <v>#REF!</v>
      </c>
      <c r="F8" s="19" t="e">
        <f>SUMIFS(#REF!,#REF!,$B8,#REF!,F$1)</f>
        <v>#REF!</v>
      </c>
      <c r="G8" s="19" t="e">
        <f>SUMIFS(#REF!,#REF!,$B8,#REF!,G$1)</f>
        <v>#REF!</v>
      </c>
      <c r="H8" s="19" t="e">
        <f>SUMIFS(#REF!,#REF!,$B8,#REF!,H$1)</f>
        <v>#REF!</v>
      </c>
      <c r="I8" s="19" t="e">
        <f>SUMIFS(#REF!,#REF!,$B8,#REF!,I$1)</f>
        <v>#REF!</v>
      </c>
      <c r="J8" s="19" t="e">
        <f>SUMIFS(#REF!,#REF!,$B8,#REF!,J$1)</f>
        <v>#REF!</v>
      </c>
      <c r="K8" s="19" t="e">
        <f>SUMIFS(#REF!,#REF!,$B8,#REF!,K$1)</f>
        <v>#REF!</v>
      </c>
      <c r="L8" s="19" t="e">
        <f>SUMIFS(#REF!,#REF!,$B8,#REF!,L$1)</f>
        <v>#REF!</v>
      </c>
      <c r="M8" s="19" t="e">
        <f>SUMIFS(#REF!,#REF!,$B8,#REF!,M$1)</f>
        <v>#REF!</v>
      </c>
      <c r="N8" s="19" t="e">
        <f>SUMIFS(#REF!,#REF!,$B8,#REF!,N$1)</f>
        <v>#REF!</v>
      </c>
      <c r="O8" s="19" t="e">
        <f>SUMIFS(#REF!,#REF!,$B8,#REF!,O$1)</f>
        <v>#REF!</v>
      </c>
      <c r="P8" s="19" t="e">
        <f>SUMIFS(#REF!,#REF!,$B8,#REF!,P$1)</f>
        <v>#REF!</v>
      </c>
      <c r="Q8" s="19" t="e">
        <f>SUMIFS(#REF!,#REF!,$B8,#REF!,Q$1)</f>
        <v>#REF!</v>
      </c>
      <c r="R8" s="19" t="e">
        <f>SUMIFS(#REF!,#REF!,$B8,#REF!,R$1)</f>
        <v>#REF!</v>
      </c>
      <c r="S8" s="19" t="e">
        <f>SUMIFS(#REF!,#REF!,$B8,#REF!,S$1)</f>
        <v>#REF!</v>
      </c>
      <c r="T8" s="19" t="e">
        <f>SUMIFS(#REF!,#REF!,$B8,#REF!,T$1)</f>
        <v>#REF!</v>
      </c>
      <c r="U8" s="19" t="e">
        <f>SUMIFS(#REF!,#REF!,$B8,#REF!,U$1)</f>
        <v>#REF!</v>
      </c>
      <c r="V8" s="19" t="e">
        <f>SUMIFS(#REF!,#REF!,$B8,#REF!,V$1)</f>
        <v>#REF!</v>
      </c>
      <c r="W8" s="19" t="e">
        <f>SUMIFS(#REF!,#REF!,$B8,#REF!,W$1)</f>
        <v>#REF!</v>
      </c>
      <c r="X8" s="19" t="e">
        <f>SUMIFS(#REF!,#REF!,$B8,#REF!,X$1)</f>
        <v>#REF!</v>
      </c>
      <c r="Y8" s="19" t="e">
        <f>SUMIFS(#REF!,#REF!,$B8,#REF!,Y$1)</f>
        <v>#REF!</v>
      </c>
      <c r="Z8" s="19" t="e">
        <f>SUMIFS(#REF!,#REF!,$B8,#REF!,Z$1)</f>
        <v>#REF!</v>
      </c>
      <c r="AA8" s="19" t="e">
        <f>SUMIFS(#REF!,#REF!,$B8,#REF!,AA$1)</f>
        <v>#REF!</v>
      </c>
      <c r="AB8" s="19" t="e">
        <f>SUMIFS(#REF!,#REF!,$B8,#REF!,AB$1)</f>
        <v>#REF!</v>
      </c>
      <c r="AC8" s="19" t="e">
        <f>SUMIFS(#REF!,#REF!,$B8,#REF!,AC$1)</f>
        <v>#REF!</v>
      </c>
      <c r="AD8" s="19" t="e">
        <f>SUMIFS(#REF!,#REF!,$B8,#REF!,AD$1)</f>
        <v>#REF!</v>
      </c>
      <c r="AE8" s="19" t="e">
        <f>SUMIFS(#REF!,#REF!,$B8,#REF!,AE$1)</f>
        <v>#REF!</v>
      </c>
      <c r="AF8" s="19" t="e">
        <f>SUMIFS(#REF!,#REF!,$B8,#REF!,AF$1)</f>
        <v>#REF!</v>
      </c>
      <c r="AG8" s="19" t="e">
        <f>SUMIFS(#REF!,#REF!,$B8,#REF!,AG$1)</f>
        <v>#REF!</v>
      </c>
      <c r="AH8" s="19" t="e">
        <f>SUMIFS(#REF!,#REF!,$B8,#REF!,AH$1)</f>
        <v>#REF!</v>
      </c>
      <c r="AI8" s="20" t="e">
        <f>SUM(D8:AH8)</f>
        <v>#REF!</v>
      </c>
    </row>
    <row r="9" spans="2:35" ht="15.75" x14ac:dyDescent="0.25">
      <c r="B9" s="35" t="s">
        <v>135</v>
      </c>
      <c r="C9" s="24">
        <v>25</v>
      </c>
      <c r="D9" s="19" t="e">
        <f>SUMIFS(#REF!,#REF!,$B9,#REF!,D$1)</f>
        <v>#REF!</v>
      </c>
      <c r="E9" s="19" t="e">
        <f>SUMIFS(#REF!,#REF!,$B9,#REF!,E$1)</f>
        <v>#REF!</v>
      </c>
      <c r="F9" s="19" t="e">
        <f>SUMIFS(#REF!,#REF!,$B9,#REF!,F$1)</f>
        <v>#REF!</v>
      </c>
      <c r="G9" s="19" t="e">
        <f>SUMIFS(#REF!,#REF!,$B9,#REF!,G$1)</f>
        <v>#REF!</v>
      </c>
      <c r="H9" s="19" t="e">
        <f>SUMIFS(#REF!,#REF!,$B9,#REF!,H$1)</f>
        <v>#REF!</v>
      </c>
      <c r="I9" s="19" t="e">
        <f>SUMIFS(#REF!,#REF!,$B9,#REF!,I$1)</f>
        <v>#REF!</v>
      </c>
      <c r="J9" s="19" t="e">
        <f>SUMIFS(#REF!,#REF!,$B9,#REF!,J$1)</f>
        <v>#REF!</v>
      </c>
      <c r="K9" s="19" t="e">
        <f>SUMIFS(#REF!,#REF!,$B9,#REF!,K$1)</f>
        <v>#REF!</v>
      </c>
      <c r="L9" s="19" t="e">
        <f>SUMIFS(#REF!,#REF!,$B9,#REF!,L$1)</f>
        <v>#REF!</v>
      </c>
      <c r="M9" s="19" t="e">
        <f>SUMIFS(#REF!,#REF!,$B9,#REF!,M$1)</f>
        <v>#REF!</v>
      </c>
      <c r="N9" s="19" t="e">
        <f>SUMIFS(#REF!,#REF!,$B9,#REF!,N$1)</f>
        <v>#REF!</v>
      </c>
      <c r="O9" s="19" t="e">
        <f>SUMIFS(#REF!,#REF!,$B9,#REF!,O$1)</f>
        <v>#REF!</v>
      </c>
      <c r="P9" s="19" t="e">
        <f>SUMIFS(#REF!,#REF!,$B9,#REF!,P$1)</f>
        <v>#REF!</v>
      </c>
      <c r="Q9" s="19" t="e">
        <f>SUMIFS(#REF!,#REF!,$B9,#REF!,Q$1)</f>
        <v>#REF!</v>
      </c>
      <c r="R9" s="19" t="e">
        <f>SUMIFS(#REF!,#REF!,$B9,#REF!,R$1)</f>
        <v>#REF!</v>
      </c>
      <c r="S9" s="19" t="e">
        <f>SUMIFS(#REF!,#REF!,$B9,#REF!,S$1)</f>
        <v>#REF!</v>
      </c>
      <c r="T9" s="19" t="e">
        <f>SUMIFS(#REF!,#REF!,$B9,#REF!,T$1)</f>
        <v>#REF!</v>
      </c>
      <c r="U9" s="19" t="e">
        <f>SUMIFS(#REF!,#REF!,$B9,#REF!,U$1)</f>
        <v>#REF!</v>
      </c>
      <c r="V9" s="19" t="e">
        <f>SUMIFS(#REF!,#REF!,$B9,#REF!,V$1)</f>
        <v>#REF!</v>
      </c>
      <c r="W9" s="19" t="e">
        <f>SUMIFS(#REF!,#REF!,$B9,#REF!,W$1)</f>
        <v>#REF!</v>
      </c>
      <c r="X9" s="19" t="e">
        <f>SUMIFS(#REF!,#REF!,$B9,#REF!,X$1)</f>
        <v>#REF!</v>
      </c>
      <c r="Y9" s="19" t="e">
        <f>SUMIFS(#REF!,#REF!,$B9,#REF!,Y$1)</f>
        <v>#REF!</v>
      </c>
      <c r="Z9" s="19" t="e">
        <f>SUMIFS(#REF!,#REF!,$B9,#REF!,Z$1)</f>
        <v>#REF!</v>
      </c>
      <c r="AA9" s="19" t="e">
        <f>SUMIFS(#REF!,#REF!,$B9,#REF!,AA$1)</f>
        <v>#REF!</v>
      </c>
      <c r="AB9" s="19" t="e">
        <f>SUMIFS(#REF!,#REF!,$B9,#REF!,AB$1)</f>
        <v>#REF!</v>
      </c>
      <c r="AC9" s="19" t="e">
        <f>SUMIFS(#REF!,#REF!,$B9,#REF!,AC$1)</f>
        <v>#REF!</v>
      </c>
      <c r="AD9" s="19" t="e">
        <f>SUMIFS(#REF!,#REF!,$B9,#REF!,AD$1)</f>
        <v>#REF!</v>
      </c>
      <c r="AE9" s="19" t="e">
        <f>SUMIFS(#REF!,#REF!,$B9,#REF!,AE$1)</f>
        <v>#REF!</v>
      </c>
      <c r="AF9" s="19" t="e">
        <f>SUMIFS(#REF!,#REF!,$B9,#REF!,AF$1)</f>
        <v>#REF!</v>
      </c>
      <c r="AG9" s="19" t="e">
        <f>SUMIFS(#REF!,#REF!,$B9,#REF!,AG$1)</f>
        <v>#REF!</v>
      </c>
      <c r="AH9" s="19" t="e">
        <f>SUMIFS(#REF!,#REF!,$B9,#REF!,AH$1)</f>
        <v>#REF!</v>
      </c>
      <c r="AI9" s="20" t="e">
        <f t="shared" si="0"/>
        <v>#REF!</v>
      </c>
    </row>
    <row r="10" spans="2:35" ht="16.5" thickBot="1" x14ac:dyDescent="0.3">
      <c r="B10" s="49" t="s">
        <v>136</v>
      </c>
      <c r="C10" s="50">
        <v>22.7</v>
      </c>
      <c r="D10" s="51" t="e">
        <f>SUMIFS(#REF!,#REF!,$B10,#REF!,D$1)</f>
        <v>#REF!</v>
      </c>
      <c r="E10" s="51" t="e">
        <f>SUMIFS(#REF!,#REF!,$B10,#REF!,E$1)</f>
        <v>#REF!</v>
      </c>
      <c r="F10" s="51" t="e">
        <f>SUMIFS(#REF!,#REF!,$B10,#REF!,F$1)</f>
        <v>#REF!</v>
      </c>
      <c r="G10" s="51" t="e">
        <f>SUMIFS(#REF!,#REF!,$B10,#REF!,G$1)</f>
        <v>#REF!</v>
      </c>
      <c r="H10" s="51" t="e">
        <f>SUMIFS(#REF!,#REF!,$B10,#REF!,H$1)</f>
        <v>#REF!</v>
      </c>
      <c r="I10" s="51" t="e">
        <f>SUMIFS(#REF!,#REF!,$B10,#REF!,I$1)</f>
        <v>#REF!</v>
      </c>
      <c r="J10" s="51" t="e">
        <f>SUMIFS(#REF!,#REF!,$B10,#REF!,J$1)</f>
        <v>#REF!</v>
      </c>
      <c r="K10" s="51" t="e">
        <f>SUMIFS(#REF!,#REF!,$B10,#REF!,K$1)</f>
        <v>#REF!</v>
      </c>
      <c r="L10" s="51" t="e">
        <f>SUMIFS(#REF!,#REF!,$B10,#REF!,L$1)</f>
        <v>#REF!</v>
      </c>
      <c r="M10" s="51" t="e">
        <f>SUMIFS(#REF!,#REF!,$B10,#REF!,M$1)</f>
        <v>#REF!</v>
      </c>
      <c r="N10" s="51" t="e">
        <f>SUMIFS(#REF!,#REF!,$B10,#REF!,N$1)</f>
        <v>#REF!</v>
      </c>
      <c r="O10" s="51" t="e">
        <f>SUMIFS(#REF!,#REF!,$B10,#REF!,O$1)</f>
        <v>#REF!</v>
      </c>
      <c r="P10" s="51" t="e">
        <f>SUMIFS(#REF!,#REF!,$B10,#REF!,P$1)</f>
        <v>#REF!</v>
      </c>
      <c r="Q10" s="51" t="e">
        <f>SUMIFS(#REF!,#REF!,$B10,#REF!,Q$1)</f>
        <v>#REF!</v>
      </c>
      <c r="R10" s="51" t="e">
        <f>SUMIFS(#REF!,#REF!,$B10,#REF!,R$1)</f>
        <v>#REF!</v>
      </c>
      <c r="S10" s="51" t="e">
        <f>SUMIFS(#REF!,#REF!,$B10,#REF!,S$1)</f>
        <v>#REF!</v>
      </c>
      <c r="T10" s="51" t="e">
        <f>SUMIFS(#REF!,#REF!,$B10,#REF!,T$1)</f>
        <v>#REF!</v>
      </c>
      <c r="U10" s="51" t="e">
        <f>SUMIFS(#REF!,#REF!,$B10,#REF!,U$1)</f>
        <v>#REF!</v>
      </c>
      <c r="V10" s="51" t="e">
        <f>SUMIFS(#REF!,#REF!,$B10,#REF!,V$1)</f>
        <v>#REF!</v>
      </c>
      <c r="W10" s="51" t="e">
        <f>SUMIFS(#REF!,#REF!,$B10,#REF!,W$1)</f>
        <v>#REF!</v>
      </c>
      <c r="X10" s="51" t="e">
        <f>SUMIFS(#REF!,#REF!,$B10,#REF!,X$1)</f>
        <v>#REF!</v>
      </c>
      <c r="Y10" s="51" t="e">
        <f>SUMIFS(#REF!,#REF!,$B10,#REF!,Y$1)</f>
        <v>#REF!</v>
      </c>
      <c r="Z10" s="51" t="e">
        <f>SUMIFS(#REF!,#REF!,$B10,#REF!,Z$1)</f>
        <v>#REF!</v>
      </c>
      <c r="AA10" s="51" t="e">
        <f>SUMIFS(#REF!,#REF!,$B10,#REF!,AA$1)</f>
        <v>#REF!</v>
      </c>
      <c r="AB10" s="51" t="e">
        <f>SUMIFS(#REF!,#REF!,$B10,#REF!,AB$1)</f>
        <v>#REF!</v>
      </c>
      <c r="AC10" s="51" t="e">
        <f>SUMIFS(#REF!,#REF!,$B10,#REF!,AC$1)</f>
        <v>#REF!</v>
      </c>
      <c r="AD10" s="51" t="e">
        <f>SUMIFS(#REF!,#REF!,$B10,#REF!,AD$1)</f>
        <v>#REF!</v>
      </c>
      <c r="AE10" s="51" t="e">
        <f>SUMIFS(#REF!,#REF!,$B10,#REF!,AE$1)</f>
        <v>#REF!</v>
      </c>
      <c r="AF10" s="51" t="e">
        <f>SUMIFS(#REF!,#REF!,$B10,#REF!,AF$1)</f>
        <v>#REF!</v>
      </c>
      <c r="AG10" s="51" t="e">
        <f>SUMIFS(#REF!,#REF!,$B10,#REF!,AG$1)</f>
        <v>#REF!</v>
      </c>
      <c r="AH10" s="51" t="e">
        <f>SUMIFS(#REF!,#REF!,$B10,#REF!,AH$1)</f>
        <v>#REF!</v>
      </c>
      <c r="AI10" s="52" t="e">
        <f t="shared" si="0"/>
        <v>#REF!</v>
      </c>
    </row>
    <row r="11" spans="2:35" ht="15.75" thickBot="1" x14ac:dyDescent="0.3"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</row>
    <row r="12" spans="2:35" ht="15.75" x14ac:dyDescent="0.25">
      <c r="B12" s="38" t="s">
        <v>27</v>
      </c>
      <c r="C12" s="39">
        <v>20</v>
      </c>
      <c r="D12" s="40" t="e">
        <f>SUMIFS(#REF!,#REF!,$B12,#REF!,D$1)</f>
        <v>#REF!</v>
      </c>
      <c r="E12" s="40" t="e">
        <f>SUMIFS(#REF!,#REF!,$B12,#REF!,E$1)</f>
        <v>#REF!</v>
      </c>
      <c r="F12" s="40" t="e">
        <f>SUMIFS(#REF!,#REF!,$B12,#REF!,F$1)</f>
        <v>#REF!</v>
      </c>
      <c r="G12" s="40" t="e">
        <f>SUMIFS(#REF!,#REF!,$B12,#REF!,G$1)</f>
        <v>#REF!</v>
      </c>
      <c r="H12" s="40" t="e">
        <f>SUMIFS(#REF!,#REF!,$B12,#REF!,H$1)</f>
        <v>#REF!</v>
      </c>
      <c r="I12" s="40" t="e">
        <f>SUMIFS(#REF!,#REF!,$B12,#REF!,I$1)</f>
        <v>#REF!</v>
      </c>
      <c r="J12" s="40" t="e">
        <f>SUMIFS(#REF!,#REF!,$B12,#REF!,J$1)</f>
        <v>#REF!</v>
      </c>
      <c r="K12" s="40" t="e">
        <f>SUMIFS(#REF!,#REF!,$B12,#REF!,K$1)</f>
        <v>#REF!</v>
      </c>
      <c r="L12" s="40" t="e">
        <f>SUMIFS(#REF!,#REF!,$B12,#REF!,L$1)</f>
        <v>#REF!</v>
      </c>
      <c r="M12" s="40" t="e">
        <f>SUMIFS(#REF!,#REF!,$B12,#REF!,M$1)</f>
        <v>#REF!</v>
      </c>
      <c r="N12" s="40" t="e">
        <f>SUMIFS(#REF!,#REF!,$B12,#REF!,N$1)</f>
        <v>#REF!</v>
      </c>
      <c r="O12" s="40" t="e">
        <f>SUMIFS(#REF!,#REF!,$B12,#REF!,O$1)</f>
        <v>#REF!</v>
      </c>
      <c r="P12" s="40" t="e">
        <f>SUMIFS(#REF!,#REF!,$B12,#REF!,P$1)</f>
        <v>#REF!</v>
      </c>
      <c r="Q12" s="40" t="e">
        <f>SUMIFS(#REF!,#REF!,$B12,#REF!,Q$1)</f>
        <v>#REF!</v>
      </c>
      <c r="R12" s="40" t="e">
        <f>SUMIFS(#REF!,#REF!,$B12,#REF!,R$1)</f>
        <v>#REF!</v>
      </c>
      <c r="S12" s="40" t="e">
        <f>SUMIFS(#REF!,#REF!,$B12,#REF!,S$1)</f>
        <v>#REF!</v>
      </c>
      <c r="T12" s="40" t="e">
        <f>SUMIFS(#REF!,#REF!,$B12,#REF!,T$1)</f>
        <v>#REF!</v>
      </c>
      <c r="U12" s="40" t="e">
        <f>SUMIFS(#REF!,#REF!,$B12,#REF!,U$1)</f>
        <v>#REF!</v>
      </c>
      <c r="V12" s="40" t="e">
        <f>SUMIFS(#REF!,#REF!,$B12,#REF!,V$1)</f>
        <v>#REF!</v>
      </c>
      <c r="W12" s="40" t="e">
        <f>SUMIFS(#REF!,#REF!,$B12,#REF!,W$1)</f>
        <v>#REF!</v>
      </c>
      <c r="X12" s="40" t="e">
        <f>SUMIFS(#REF!,#REF!,$B12,#REF!,X$1)</f>
        <v>#REF!</v>
      </c>
      <c r="Y12" s="40" t="e">
        <f>SUMIFS(#REF!,#REF!,$B12,#REF!,Y$1)</f>
        <v>#REF!</v>
      </c>
      <c r="Z12" s="40" t="e">
        <f>SUMIFS(#REF!,#REF!,$B12,#REF!,Z$1)</f>
        <v>#REF!</v>
      </c>
      <c r="AA12" s="40" t="e">
        <f>SUMIFS(#REF!,#REF!,$B12,#REF!,AA$1)</f>
        <v>#REF!</v>
      </c>
      <c r="AB12" s="40" t="e">
        <f>SUMIFS(#REF!,#REF!,$B12,#REF!,AB$1)</f>
        <v>#REF!</v>
      </c>
      <c r="AC12" s="40" t="e">
        <f>SUMIFS(#REF!,#REF!,$B12,#REF!,AC$1)</f>
        <v>#REF!</v>
      </c>
      <c r="AD12" s="40" t="e">
        <f>SUMIFS(#REF!,#REF!,$B12,#REF!,AD$1)</f>
        <v>#REF!</v>
      </c>
      <c r="AE12" s="40" t="e">
        <f>SUMIFS(#REF!,#REF!,$B12,#REF!,AE$1)</f>
        <v>#REF!</v>
      </c>
      <c r="AF12" s="40" t="e">
        <f>SUMIFS(#REF!,#REF!,$B12,#REF!,AF$1)</f>
        <v>#REF!</v>
      </c>
      <c r="AG12" s="40" t="e">
        <f>SUMIFS(#REF!,#REF!,$B12,#REF!,AG$1)</f>
        <v>#REF!</v>
      </c>
      <c r="AH12" s="40" t="e">
        <f>SUMIFS(#REF!,#REF!,$B12,#REF!,AH$1)</f>
        <v>#REF!</v>
      </c>
      <c r="AI12" s="41" t="e">
        <f>SUM(D12:AH12)</f>
        <v>#REF!</v>
      </c>
    </row>
    <row r="13" spans="2:35" ht="15.75" x14ac:dyDescent="0.25">
      <c r="B13" s="27" t="s">
        <v>22</v>
      </c>
      <c r="C13" s="28">
        <v>20</v>
      </c>
      <c r="D13" s="19" t="e">
        <f>SUMIFS(#REF!,#REF!,$B13,#REF!,D$1)</f>
        <v>#REF!</v>
      </c>
      <c r="E13" s="19" t="e">
        <f>SUMIFS(#REF!,#REF!,$B13,#REF!,E$1)</f>
        <v>#REF!</v>
      </c>
      <c r="F13" s="19" t="e">
        <f>SUMIFS(#REF!,#REF!,$B13,#REF!,F$1)</f>
        <v>#REF!</v>
      </c>
      <c r="G13" s="19" t="e">
        <f>SUMIFS(#REF!,#REF!,$B13,#REF!,G$1)</f>
        <v>#REF!</v>
      </c>
      <c r="H13" s="19" t="e">
        <f>SUMIFS(#REF!,#REF!,$B13,#REF!,H$1)</f>
        <v>#REF!</v>
      </c>
      <c r="I13" s="19" t="e">
        <f>SUMIFS(#REF!,#REF!,$B13,#REF!,I$1)</f>
        <v>#REF!</v>
      </c>
      <c r="J13" s="19" t="e">
        <f>SUMIFS(#REF!,#REF!,$B13,#REF!,J$1)</f>
        <v>#REF!</v>
      </c>
      <c r="K13" s="19" t="e">
        <f>SUMIFS(#REF!,#REF!,$B13,#REF!,K$1)</f>
        <v>#REF!</v>
      </c>
      <c r="L13" s="19" t="e">
        <f>SUMIFS(#REF!,#REF!,$B13,#REF!,L$1)</f>
        <v>#REF!</v>
      </c>
      <c r="M13" s="19" t="e">
        <f>SUMIFS(#REF!,#REF!,$B13,#REF!,M$1)</f>
        <v>#REF!</v>
      </c>
      <c r="N13" s="19" t="e">
        <f>SUMIFS(#REF!,#REF!,$B13,#REF!,N$1)</f>
        <v>#REF!</v>
      </c>
      <c r="O13" s="19" t="e">
        <f>SUMIFS(#REF!,#REF!,$B13,#REF!,O$1)</f>
        <v>#REF!</v>
      </c>
      <c r="P13" s="19" t="e">
        <f>SUMIFS(#REF!,#REF!,$B13,#REF!,P$1)</f>
        <v>#REF!</v>
      </c>
      <c r="Q13" s="19" t="e">
        <f>SUMIFS(#REF!,#REF!,$B13,#REF!,Q$1)</f>
        <v>#REF!</v>
      </c>
      <c r="R13" s="19" t="e">
        <f>SUMIFS(#REF!,#REF!,$B13,#REF!,R$1)</f>
        <v>#REF!</v>
      </c>
      <c r="S13" s="19" t="e">
        <f>SUMIFS(#REF!,#REF!,$B13,#REF!,S$1)</f>
        <v>#REF!</v>
      </c>
      <c r="T13" s="19" t="e">
        <f>SUMIFS(#REF!,#REF!,$B13,#REF!,T$1)</f>
        <v>#REF!</v>
      </c>
      <c r="U13" s="19" t="e">
        <f>SUMIFS(#REF!,#REF!,$B13,#REF!,U$1)</f>
        <v>#REF!</v>
      </c>
      <c r="V13" s="19" t="e">
        <f>SUMIFS(#REF!,#REF!,$B13,#REF!,V$1)</f>
        <v>#REF!</v>
      </c>
      <c r="W13" s="19" t="e">
        <f>SUMIFS(#REF!,#REF!,$B13,#REF!,W$1)</f>
        <v>#REF!</v>
      </c>
      <c r="X13" s="19" t="e">
        <f>SUMIFS(#REF!,#REF!,$B13,#REF!,X$1)</f>
        <v>#REF!</v>
      </c>
      <c r="Y13" s="19" t="e">
        <f>SUMIFS(#REF!,#REF!,$B13,#REF!,Y$1)</f>
        <v>#REF!</v>
      </c>
      <c r="Z13" s="19" t="e">
        <f>SUMIFS(#REF!,#REF!,$B13,#REF!,Z$1)</f>
        <v>#REF!</v>
      </c>
      <c r="AA13" s="19" t="e">
        <f>SUMIFS(#REF!,#REF!,$B13,#REF!,AA$1)</f>
        <v>#REF!</v>
      </c>
      <c r="AB13" s="19" t="e">
        <f>SUMIFS(#REF!,#REF!,$B13,#REF!,AB$1)</f>
        <v>#REF!</v>
      </c>
      <c r="AC13" s="19" t="e">
        <f>SUMIFS(#REF!,#REF!,$B13,#REF!,AC$1)</f>
        <v>#REF!</v>
      </c>
      <c r="AD13" s="19" t="e">
        <f>SUMIFS(#REF!,#REF!,$B13,#REF!,AD$1)</f>
        <v>#REF!</v>
      </c>
      <c r="AE13" s="19" t="e">
        <f>SUMIFS(#REF!,#REF!,$B13,#REF!,AE$1)</f>
        <v>#REF!</v>
      </c>
      <c r="AF13" s="19" t="e">
        <f>SUMIFS(#REF!,#REF!,$B13,#REF!,AF$1)</f>
        <v>#REF!</v>
      </c>
      <c r="AG13" s="19" t="e">
        <f>SUMIFS(#REF!,#REF!,$B13,#REF!,AG$1)</f>
        <v>#REF!</v>
      </c>
      <c r="AH13" s="19" t="e">
        <f>SUMIFS(#REF!,#REF!,$B13,#REF!,AH$1)</f>
        <v>#REF!</v>
      </c>
      <c r="AI13" s="25" t="e">
        <f t="shared" ref="AI13:AI26" si="1">SUM(D13:AH13)</f>
        <v>#REF!</v>
      </c>
    </row>
    <row r="14" spans="2:35" ht="15.75" x14ac:dyDescent="0.25">
      <c r="B14" s="29" t="s">
        <v>137</v>
      </c>
      <c r="C14" s="28">
        <v>20</v>
      </c>
      <c r="D14" s="19" t="e">
        <f>SUMIFS(#REF!,#REF!,$B14,#REF!,D$1)</f>
        <v>#REF!</v>
      </c>
      <c r="E14" s="19" t="e">
        <f>SUMIFS(#REF!,#REF!,$B14,#REF!,E$1)</f>
        <v>#REF!</v>
      </c>
      <c r="F14" s="19" t="e">
        <f>SUMIFS(#REF!,#REF!,$B14,#REF!,F$1)</f>
        <v>#REF!</v>
      </c>
      <c r="G14" s="19" t="e">
        <f>SUMIFS(#REF!,#REF!,$B14,#REF!,G$1)</f>
        <v>#REF!</v>
      </c>
      <c r="H14" s="19" t="e">
        <f>SUMIFS(#REF!,#REF!,$B14,#REF!,H$1)</f>
        <v>#REF!</v>
      </c>
      <c r="I14" s="19" t="e">
        <f>SUMIFS(#REF!,#REF!,$B14,#REF!,I$1)</f>
        <v>#REF!</v>
      </c>
      <c r="J14" s="19" t="e">
        <f>SUMIFS(#REF!,#REF!,$B14,#REF!,J$1)</f>
        <v>#REF!</v>
      </c>
      <c r="K14" s="19" t="e">
        <f>SUMIFS(#REF!,#REF!,$B14,#REF!,K$1)</f>
        <v>#REF!</v>
      </c>
      <c r="L14" s="19" t="e">
        <f>SUMIFS(#REF!,#REF!,$B14,#REF!,L$1)</f>
        <v>#REF!</v>
      </c>
      <c r="M14" s="19" t="e">
        <f>SUMIFS(#REF!,#REF!,$B14,#REF!,M$1)</f>
        <v>#REF!</v>
      </c>
      <c r="N14" s="19" t="e">
        <f>SUMIFS(#REF!,#REF!,$B14,#REF!,N$1)</f>
        <v>#REF!</v>
      </c>
      <c r="O14" s="19" t="e">
        <f>SUMIFS(#REF!,#REF!,$B14,#REF!,O$1)</f>
        <v>#REF!</v>
      </c>
      <c r="P14" s="19" t="e">
        <f>SUMIFS(#REF!,#REF!,$B14,#REF!,P$1)</f>
        <v>#REF!</v>
      </c>
      <c r="Q14" s="19" t="e">
        <f>SUMIFS(#REF!,#REF!,$B14,#REF!,Q$1)</f>
        <v>#REF!</v>
      </c>
      <c r="R14" s="19" t="e">
        <f>SUMIFS(#REF!,#REF!,$B14,#REF!,R$1)</f>
        <v>#REF!</v>
      </c>
      <c r="S14" s="19" t="e">
        <f>SUMIFS(#REF!,#REF!,$B14,#REF!,S$1)</f>
        <v>#REF!</v>
      </c>
      <c r="T14" s="19" t="e">
        <f>SUMIFS(#REF!,#REF!,$B14,#REF!,T$1)</f>
        <v>#REF!</v>
      </c>
      <c r="U14" s="19" t="e">
        <f>SUMIFS(#REF!,#REF!,$B14,#REF!,U$1)</f>
        <v>#REF!</v>
      </c>
      <c r="V14" s="19" t="e">
        <f>SUMIFS(#REF!,#REF!,$B14,#REF!,V$1)</f>
        <v>#REF!</v>
      </c>
      <c r="W14" s="19" t="e">
        <f>SUMIFS(#REF!,#REF!,$B14,#REF!,W$1)</f>
        <v>#REF!</v>
      </c>
      <c r="X14" s="19" t="e">
        <f>SUMIFS(#REF!,#REF!,$B14,#REF!,X$1)</f>
        <v>#REF!</v>
      </c>
      <c r="Y14" s="19" t="e">
        <f>SUMIFS(#REF!,#REF!,$B14,#REF!,Y$1)</f>
        <v>#REF!</v>
      </c>
      <c r="Z14" s="19" t="e">
        <f>SUMIFS(#REF!,#REF!,$B14,#REF!,Z$1)</f>
        <v>#REF!</v>
      </c>
      <c r="AA14" s="19" t="e">
        <f>SUMIFS(#REF!,#REF!,$B14,#REF!,AA$1)</f>
        <v>#REF!</v>
      </c>
      <c r="AB14" s="19" t="e">
        <f>SUMIFS(#REF!,#REF!,$B14,#REF!,AB$1)</f>
        <v>#REF!</v>
      </c>
      <c r="AC14" s="19" t="e">
        <f>SUMIFS(#REF!,#REF!,$B14,#REF!,AC$1)</f>
        <v>#REF!</v>
      </c>
      <c r="AD14" s="19" t="e">
        <f>SUMIFS(#REF!,#REF!,$B14,#REF!,AD$1)</f>
        <v>#REF!</v>
      </c>
      <c r="AE14" s="19" t="e">
        <f>SUMIFS(#REF!,#REF!,$B14,#REF!,AE$1)</f>
        <v>#REF!</v>
      </c>
      <c r="AF14" s="19" t="e">
        <f>SUMIFS(#REF!,#REF!,$B14,#REF!,AF$1)</f>
        <v>#REF!</v>
      </c>
      <c r="AG14" s="19" t="e">
        <f>SUMIFS(#REF!,#REF!,$B14,#REF!,AG$1)</f>
        <v>#REF!</v>
      </c>
      <c r="AH14" s="19" t="e">
        <f>SUMIFS(#REF!,#REF!,$B14,#REF!,AH$1)</f>
        <v>#REF!</v>
      </c>
      <c r="AI14" s="25" t="e">
        <f t="shared" si="1"/>
        <v>#REF!</v>
      </c>
    </row>
    <row r="15" spans="2:35" ht="15.75" x14ac:dyDescent="0.25">
      <c r="B15" s="29" t="s">
        <v>138</v>
      </c>
      <c r="C15" s="28">
        <v>20</v>
      </c>
      <c r="D15" s="19" t="e">
        <f>SUMIFS(#REF!,#REF!,$B15,#REF!,D$1)</f>
        <v>#REF!</v>
      </c>
      <c r="E15" s="19" t="e">
        <f>SUMIFS(#REF!,#REF!,$B15,#REF!,E$1)</f>
        <v>#REF!</v>
      </c>
      <c r="F15" s="19" t="e">
        <f>SUMIFS(#REF!,#REF!,$B15,#REF!,F$1)</f>
        <v>#REF!</v>
      </c>
      <c r="G15" s="19" t="e">
        <f>SUMIFS(#REF!,#REF!,$B15,#REF!,G$1)</f>
        <v>#REF!</v>
      </c>
      <c r="H15" s="19" t="e">
        <f>SUMIFS(#REF!,#REF!,$B15,#REF!,H$1)</f>
        <v>#REF!</v>
      </c>
      <c r="I15" s="19" t="e">
        <f>SUMIFS(#REF!,#REF!,$B15,#REF!,I$1)</f>
        <v>#REF!</v>
      </c>
      <c r="J15" s="19" t="e">
        <f>SUMIFS(#REF!,#REF!,$B15,#REF!,J$1)</f>
        <v>#REF!</v>
      </c>
      <c r="K15" s="19" t="e">
        <f>SUMIFS(#REF!,#REF!,$B15,#REF!,K$1)</f>
        <v>#REF!</v>
      </c>
      <c r="L15" s="19" t="e">
        <f>SUMIFS(#REF!,#REF!,$B15,#REF!,L$1)</f>
        <v>#REF!</v>
      </c>
      <c r="M15" s="19" t="e">
        <f>SUMIFS(#REF!,#REF!,$B15,#REF!,M$1)</f>
        <v>#REF!</v>
      </c>
      <c r="N15" s="19" t="e">
        <f>SUMIFS(#REF!,#REF!,$B15,#REF!,N$1)</f>
        <v>#REF!</v>
      </c>
      <c r="O15" s="19" t="e">
        <f>SUMIFS(#REF!,#REF!,$B15,#REF!,O$1)</f>
        <v>#REF!</v>
      </c>
      <c r="P15" s="19" t="e">
        <f>SUMIFS(#REF!,#REF!,$B15,#REF!,P$1)</f>
        <v>#REF!</v>
      </c>
      <c r="Q15" s="19" t="e">
        <f>SUMIFS(#REF!,#REF!,$B15,#REF!,Q$1)</f>
        <v>#REF!</v>
      </c>
      <c r="R15" s="19" t="e">
        <f>SUMIFS(#REF!,#REF!,$B15,#REF!,R$1)</f>
        <v>#REF!</v>
      </c>
      <c r="S15" s="19" t="e">
        <f>SUMIFS(#REF!,#REF!,$B15,#REF!,S$1)</f>
        <v>#REF!</v>
      </c>
      <c r="T15" s="19" t="e">
        <f>SUMIFS(#REF!,#REF!,$B15,#REF!,T$1)</f>
        <v>#REF!</v>
      </c>
      <c r="U15" s="19" t="e">
        <f>SUMIFS(#REF!,#REF!,$B15,#REF!,U$1)</f>
        <v>#REF!</v>
      </c>
      <c r="V15" s="19" t="e">
        <f>SUMIFS(#REF!,#REF!,$B15,#REF!,V$1)</f>
        <v>#REF!</v>
      </c>
      <c r="W15" s="19" t="e">
        <f>SUMIFS(#REF!,#REF!,$B15,#REF!,W$1)</f>
        <v>#REF!</v>
      </c>
      <c r="X15" s="19" t="e">
        <f>SUMIFS(#REF!,#REF!,$B15,#REF!,X$1)</f>
        <v>#REF!</v>
      </c>
      <c r="Y15" s="19" t="e">
        <f>SUMIFS(#REF!,#REF!,$B15,#REF!,Y$1)</f>
        <v>#REF!</v>
      </c>
      <c r="Z15" s="19" t="e">
        <f>SUMIFS(#REF!,#REF!,$B15,#REF!,Z$1)</f>
        <v>#REF!</v>
      </c>
      <c r="AA15" s="19" t="e">
        <f>SUMIFS(#REF!,#REF!,$B15,#REF!,AA$1)</f>
        <v>#REF!</v>
      </c>
      <c r="AB15" s="19" t="e">
        <f>SUMIFS(#REF!,#REF!,$B15,#REF!,AB$1)</f>
        <v>#REF!</v>
      </c>
      <c r="AC15" s="19" t="e">
        <f>SUMIFS(#REF!,#REF!,$B15,#REF!,AC$1)</f>
        <v>#REF!</v>
      </c>
      <c r="AD15" s="19" t="e">
        <f>SUMIFS(#REF!,#REF!,$B15,#REF!,AD$1)</f>
        <v>#REF!</v>
      </c>
      <c r="AE15" s="19" t="e">
        <f>SUMIFS(#REF!,#REF!,$B15,#REF!,AE$1)</f>
        <v>#REF!</v>
      </c>
      <c r="AF15" s="19" t="e">
        <f>SUMIFS(#REF!,#REF!,$B15,#REF!,AF$1)</f>
        <v>#REF!</v>
      </c>
      <c r="AG15" s="19" t="e">
        <f>SUMIFS(#REF!,#REF!,$B15,#REF!,AG$1)</f>
        <v>#REF!</v>
      </c>
      <c r="AH15" s="19" t="e">
        <f>SUMIFS(#REF!,#REF!,$B15,#REF!,AH$1)</f>
        <v>#REF!</v>
      </c>
      <c r="AI15" s="25" t="e">
        <f t="shared" si="1"/>
        <v>#REF!</v>
      </c>
    </row>
    <row r="16" spans="2:35" ht="25.5" x14ac:dyDescent="0.25">
      <c r="B16" s="29" t="s">
        <v>139</v>
      </c>
      <c r="C16" s="28">
        <v>50</v>
      </c>
      <c r="D16" s="19" t="e">
        <f>SUMIFS(#REF!,#REF!,$B16,#REF!,D$1)</f>
        <v>#REF!</v>
      </c>
      <c r="E16" s="19" t="e">
        <f>SUMIFS(#REF!,#REF!,$B16,#REF!,E$1)</f>
        <v>#REF!</v>
      </c>
      <c r="F16" s="19" t="e">
        <f>SUMIFS(#REF!,#REF!,$B16,#REF!,F$1)</f>
        <v>#REF!</v>
      </c>
      <c r="G16" s="19" t="e">
        <f>SUMIFS(#REF!,#REF!,$B16,#REF!,G$1)</f>
        <v>#REF!</v>
      </c>
      <c r="H16" s="19" t="e">
        <f>SUMIFS(#REF!,#REF!,$B16,#REF!,H$1)</f>
        <v>#REF!</v>
      </c>
      <c r="I16" s="19" t="e">
        <f>SUMIFS(#REF!,#REF!,$B16,#REF!,I$1)</f>
        <v>#REF!</v>
      </c>
      <c r="J16" s="19" t="e">
        <f>SUMIFS(#REF!,#REF!,$B16,#REF!,J$1)</f>
        <v>#REF!</v>
      </c>
      <c r="K16" s="19" t="e">
        <f>SUMIFS(#REF!,#REF!,$B16,#REF!,K$1)</f>
        <v>#REF!</v>
      </c>
      <c r="L16" s="19" t="e">
        <f>SUMIFS(#REF!,#REF!,$B16,#REF!,L$1)</f>
        <v>#REF!</v>
      </c>
      <c r="M16" s="19" t="e">
        <f>SUMIFS(#REF!,#REF!,$B16,#REF!,M$1)</f>
        <v>#REF!</v>
      </c>
      <c r="N16" s="19" t="e">
        <f>SUMIFS(#REF!,#REF!,$B16,#REF!,N$1)</f>
        <v>#REF!</v>
      </c>
      <c r="O16" s="19" t="e">
        <f>SUMIFS(#REF!,#REF!,$B16,#REF!,O$1)</f>
        <v>#REF!</v>
      </c>
      <c r="P16" s="19" t="e">
        <f>SUMIFS(#REF!,#REF!,$B16,#REF!,P$1)</f>
        <v>#REF!</v>
      </c>
      <c r="Q16" s="19" t="e">
        <f>SUMIFS(#REF!,#REF!,$B16,#REF!,Q$1)</f>
        <v>#REF!</v>
      </c>
      <c r="R16" s="19" t="e">
        <f>SUMIFS(#REF!,#REF!,$B16,#REF!,R$1)</f>
        <v>#REF!</v>
      </c>
      <c r="S16" s="19" t="e">
        <f>SUMIFS(#REF!,#REF!,$B16,#REF!,S$1)</f>
        <v>#REF!</v>
      </c>
      <c r="T16" s="19" t="e">
        <f>SUMIFS(#REF!,#REF!,$B16,#REF!,T$1)</f>
        <v>#REF!</v>
      </c>
      <c r="U16" s="19" t="e">
        <f>SUMIFS(#REF!,#REF!,$B16,#REF!,U$1)</f>
        <v>#REF!</v>
      </c>
      <c r="V16" s="19" t="e">
        <f>SUMIFS(#REF!,#REF!,$B16,#REF!,V$1)</f>
        <v>#REF!</v>
      </c>
      <c r="W16" s="19" t="e">
        <f>SUMIFS(#REF!,#REF!,$B16,#REF!,W$1)</f>
        <v>#REF!</v>
      </c>
      <c r="X16" s="19" t="e">
        <f>SUMIFS(#REF!,#REF!,$B16,#REF!,X$1)</f>
        <v>#REF!</v>
      </c>
      <c r="Y16" s="19" t="e">
        <f>SUMIFS(#REF!,#REF!,$B16,#REF!,Y$1)</f>
        <v>#REF!</v>
      </c>
      <c r="Z16" s="19" t="e">
        <f>SUMIFS(#REF!,#REF!,$B16,#REF!,Z$1)</f>
        <v>#REF!</v>
      </c>
      <c r="AA16" s="19" t="e">
        <f>SUMIFS(#REF!,#REF!,$B16,#REF!,AA$1)</f>
        <v>#REF!</v>
      </c>
      <c r="AB16" s="19" t="e">
        <f>SUMIFS(#REF!,#REF!,$B16,#REF!,AB$1)</f>
        <v>#REF!</v>
      </c>
      <c r="AC16" s="19" t="e">
        <f>SUMIFS(#REF!,#REF!,$B16,#REF!,AC$1)</f>
        <v>#REF!</v>
      </c>
      <c r="AD16" s="19" t="e">
        <f>SUMIFS(#REF!,#REF!,$B16,#REF!,AD$1)</f>
        <v>#REF!</v>
      </c>
      <c r="AE16" s="19" t="e">
        <f>SUMIFS(#REF!,#REF!,$B16,#REF!,AE$1)</f>
        <v>#REF!</v>
      </c>
      <c r="AF16" s="19" t="e">
        <f>SUMIFS(#REF!,#REF!,$B16,#REF!,AF$1)</f>
        <v>#REF!</v>
      </c>
      <c r="AG16" s="19" t="e">
        <f>SUMIFS(#REF!,#REF!,$B16,#REF!,AG$1)</f>
        <v>#REF!</v>
      </c>
      <c r="AH16" s="19" t="e">
        <f>SUMIFS(#REF!,#REF!,$B16,#REF!,AH$1)</f>
        <v>#REF!</v>
      </c>
      <c r="AI16" s="25" t="e">
        <f t="shared" si="1"/>
        <v>#REF!</v>
      </c>
    </row>
    <row r="17" spans="2:35" ht="15.75" x14ac:dyDescent="0.25">
      <c r="B17" s="30" t="s">
        <v>140</v>
      </c>
      <c r="C17" s="31">
        <v>200</v>
      </c>
      <c r="D17" s="19" t="e">
        <f>SUMIFS(#REF!,#REF!,$B17,#REF!,D$1)</f>
        <v>#REF!</v>
      </c>
      <c r="E17" s="19" t="e">
        <f>SUMIFS(#REF!,#REF!,$B17,#REF!,E$1)</f>
        <v>#REF!</v>
      </c>
      <c r="F17" s="19" t="e">
        <f>SUMIFS(#REF!,#REF!,$B17,#REF!,F$1)</f>
        <v>#REF!</v>
      </c>
      <c r="G17" s="19" t="e">
        <f>SUMIFS(#REF!,#REF!,$B17,#REF!,G$1)</f>
        <v>#REF!</v>
      </c>
      <c r="H17" s="19" t="e">
        <f>SUMIFS(#REF!,#REF!,$B17,#REF!,H$1)</f>
        <v>#REF!</v>
      </c>
      <c r="I17" s="19" t="e">
        <f>SUMIFS(#REF!,#REF!,$B17,#REF!,I$1)</f>
        <v>#REF!</v>
      </c>
      <c r="J17" s="19" t="e">
        <f>SUMIFS(#REF!,#REF!,$B17,#REF!,J$1)</f>
        <v>#REF!</v>
      </c>
      <c r="K17" s="19" t="e">
        <f>SUMIFS(#REF!,#REF!,$B17,#REF!,K$1)</f>
        <v>#REF!</v>
      </c>
      <c r="L17" s="19" t="e">
        <f>SUMIFS(#REF!,#REF!,$B17,#REF!,L$1)</f>
        <v>#REF!</v>
      </c>
      <c r="M17" s="19" t="e">
        <f>SUMIFS(#REF!,#REF!,$B17,#REF!,M$1)</f>
        <v>#REF!</v>
      </c>
      <c r="N17" s="19" t="e">
        <f>SUMIFS(#REF!,#REF!,$B17,#REF!,N$1)</f>
        <v>#REF!</v>
      </c>
      <c r="O17" s="19" t="e">
        <f>SUMIFS(#REF!,#REF!,$B17,#REF!,O$1)</f>
        <v>#REF!</v>
      </c>
      <c r="P17" s="19" t="e">
        <f>SUMIFS(#REF!,#REF!,$B17,#REF!,P$1)</f>
        <v>#REF!</v>
      </c>
      <c r="Q17" s="19" t="e">
        <f>SUMIFS(#REF!,#REF!,$B17,#REF!,Q$1)</f>
        <v>#REF!</v>
      </c>
      <c r="R17" s="19" t="e">
        <f>SUMIFS(#REF!,#REF!,$B17,#REF!,R$1)</f>
        <v>#REF!</v>
      </c>
      <c r="S17" s="19" t="e">
        <f>SUMIFS(#REF!,#REF!,$B17,#REF!,S$1)</f>
        <v>#REF!</v>
      </c>
      <c r="T17" s="19" t="e">
        <f>SUMIFS(#REF!,#REF!,$B17,#REF!,T$1)</f>
        <v>#REF!</v>
      </c>
      <c r="U17" s="19" t="e">
        <f>SUMIFS(#REF!,#REF!,$B17,#REF!,U$1)</f>
        <v>#REF!</v>
      </c>
      <c r="V17" s="19" t="e">
        <f>SUMIFS(#REF!,#REF!,$B17,#REF!,V$1)</f>
        <v>#REF!</v>
      </c>
      <c r="W17" s="19" t="e">
        <f>SUMIFS(#REF!,#REF!,$B17,#REF!,W$1)</f>
        <v>#REF!</v>
      </c>
      <c r="X17" s="19" t="e">
        <f>SUMIFS(#REF!,#REF!,$B17,#REF!,X$1)</f>
        <v>#REF!</v>
      </c>
      <c r="Y17" s="19" t="e">
        <f>SUMIFS(#REF!,#REF!,$B17,#REF!,Y$1)</f>
        <v>#REF!</v>
      </c>
      <c r="Z17" s="19" t="e">
        <f>SUMIFS(#REF!,#REF!,$B17,#REF!,Z$1)</f>
        <v>#REF!</v>
      </c>
      <c r="AA17" s="19" t="e">
        <f>SUMIFS(#REF!,#REF!,$B17,#REF!,AA$1)</f>
        <v>#REF!</v>
      </c>
      <c r="AB17" s="19" t="e">
        <f>SUMIFS(#REF!,#REF!,$B17,#REF!,AB$1)</f>
        <v>#REF!</v>
      </c>
      <c r="AC17" s="19" t="e">
        <f>SUMIFS(#REF!,#REF!,$B17,#REF!,AC$1)</f>
        <v>#REF!</v>
      </c>
      <c r="AD17" s="19" t="e">
        <f>SUMIFS(#REF!,#REF!,$B17,#REF!,AD$1)</f>
        <v>#REF!</v>
      </c>
      <c r="AE17" s="19" t="e">
        <f>SUMIFS(#REF!,#REF!,$B17,#REF!,AE$1)</f>
        <v>#REF!</v>
      </c>
      <c r="AF17" s="19" t="e">
        <f>SUMIFS(#REF!,#REF!,$B17,#REF!,AF$1)</f>
        <v>#REF!</v>
      </c>
      <c r="AG17" s="19" t="e">
        <f>SUMIFS(#REF!,#REF!,$B17,#REF!,AG$1)</f>
        <v>#REF!</v>
      </c>
      <c r="AH17" s="19" t="e">
        <f>SUMIFS(#REF!,#REF!,$B17,#REF!,AH$1)</f>
        <v>#REF!</v>
      </c>
      <c r="AI17" s="25" t="e">
        <f t="shared" si="1"/>
        <v>#REF!</v>
      </c>
    </row>
    <row r="18" spans="2:35" ht="25.5" x14ac:dyDescent="0.25">
      <c r="B18" s="29" t="s">
        <v>141</v>
      </c>
      <c r="C18" s="31">
        <v>200</v>
      </c>
      <c r="D18" s="19" t="e">
        <f>SUMIFS(#REF!,#REF!,$B18,#REF!,D$1)</f>
        <v>#REF!</v>
      </c>
      <c r="E18" s="19" t="e">
        <f>SUMIFS(#REF!,#REF!,$B18,#REF!,E$1)</f>
        <v>#REF!</v>
      </c>
      <c r="F18" s="19" t="e">
        <f>SUMIFS(#REF!,#REF!,$B18,#REF!,F$1)</f>
        <v>#REF!</v>
      </c>
      <c r="G18" s="19" t="e">
        <f>SUMIFS(#REF!,#REF!,$B18,#REF!,G$1)</f>
        <v>#REF!</v>
      </c>
      <c r="H18" s="19" t="e">
        <f>SUMIFS(#REF!,#REF!,$B18,#REF!,H$1)</f>
        <v>#REF!</v>
      </c>
      <c r="I18" s="19" t="e">
        <f>SUMIFS(#REF!,#REF!,$B18,#REF!,I$1)</f>
        <v>#REF!</v>
      </c>
      <c r="J18" s="19" t="e">
        <f>SUMIFS(#REF!,#REF!,$B18,#REF!,J$1)</f>
        <v>#REF!</v>
      </c>
      <c r="K18" s="19" t="e">
        <f>SUMIFS(#REF!,#REF!,$B18,#REF!,K$1)</f>
        <v>#REF!</v>
      </c>
      <c r="L18" s="19" t="e">
        <f>SUMIFS(#REF!,#REF!,$B18,#REF!,L$1)</f>
        <v>#REF!</v>
      </c>
      <c r="M18" s="19" t="e">
        <f>SUMIFS(#REF!,#REF!,$B18,#REF!,M$1)</f>
        <v>#REF!</v>
      </c>
      <c r="N18" s="19" t="e">
        <f>SUMIFS(#REF!,#REF!,$B18,#REF!,N$1)</f>
        <v>#REF!</v>
      </c>
      <c r="O18" s="19" t="e">
        <f>SUMIFS(#REF!,#REF!,$B18,#REF!,O$1)</f>
        <v>#REF!</v>
      </c>
      <c r="P18" s="19" t="e">
        <f>SUMIFS(#REF!,#REF!,$B18,#REF!,P$1)</f>
        <v>#REF!</v>
      </c>
      <c r="Q18" s="19" t="e">
        <f>SUMIFS(#REF!,#REF!,$B18,#REF!,Q$1)</f>
        <v>#REF!</v>
      </c>
      <c r="R18" s="19" t="e">
        <f>SUMIFS(#REF!,#REF!,$B18,#REF!,R$1)</f>
        <v>#REF!</v>
      </c>
      <c r="S18" s="19" t="e">
        <f>SUMIFS(#REF!,#REF!,$B18,#REF!,S$1)</f>
        <v>#REF!</v>
      </c>
      <c r="T18" s="19" t="e">
        <f>SUMIFS(#REF!,#REF!,$B18,#REF!,T$1)</f>
        <v>#REF!</v>
      </c>
      <c r="U18" s="19" t="e">
        <f>SUMIFS(#REF!,#REF!,$B18,#REF!,U$1)</f>
        <v>#REF!</v>
      </c>
      <c r="V18" s="19" t="e">
        <f>SUMIFS(#REF!,#REF!,$B18,#REF!,V$1)</f>
        <v>#REF!</v>
      </c>
      <c r="W18" s="19" t="e">
        <f>SUMIFS(#REF!,#REF!,$B18,#REF!,W$1)</f>
        <v>#REF!</v>
      </c>
      <c r="X18" s="19" t="e">
        <f>SUMIFS(#REF!,#REF!,$B18,#REF!,X$1)</f>
        <v>#REF!</v>
      </c>
      <c r="Y18" s="19" t="e">
        <f>SUMIFS(#REF!,#REF!,$B18,#REF!,Y$1)</f>
        <v>#REF!</v>
      </c>
      <c r="Z18" s="19" t="e">
        <f>SUMIFS(#REF!,#REF!,$B18,#REF!,Z$1)</f>
        <v>#REF!</v>
      </c>
      <c r="AA18" s="19" t="e">
        <f>SUMIFS(#REF!,#REF!,$B18,#REF!,AA$1)</f>
        <v>#REF!</v>
      </c>
      <c r="AB18" s="19" t="e">
        <f>SUMIFS(#REF!,#REF!,$B18,#REF!,AB$1)</f>
        <v>#REF!</v>
      </c>
      <c r="AC18" s="19" t="e">
        <f>SUMIFS(#REF!,#REF!,$B18,#REF!,AC$1)</f>
        <v>#REF!</v>
      </c>
      <c r="AD18" s="19" t="e">
        <f>SUMIFS(#REF!,#REF!,$B18,#REF!,AD$1)</f>
        <v>#REF!</v>
      </c>
      <c r="AE18" s="19" t="e">
        <f>SUMIFS(#REF!,#REF!,$B18,#REF!,AE$1)</f>
        <v>#REF!</v>
      </c>
      <c r="AF18" s="19" t="e">
        <f>SUMIFS(#REF!,#REF!,$B18,#REF!,AF$1)</f>
        <v>#REF!</v>
      </c>
      <c r="AG18" s="19" t="e">
        <f>SUMIFS(#REF!,#REF!,$B18,#REF!,AG$1)</f>
        <v>#REF!</v>
      </c>
      <c r="AH18" s="19" t="e">
        <f>SUMIFS(#REF!,#REF!,$B18,#REF!,AH$1)</f>
        <v>#REF!</v>
      </c>
      <c r="AI18" s="25" t="e">
        <f t="shared" si="1"/>
        <v>#REF!</v>
      </c>
    </row>
    <row r="19" spans="2:35" ht="25.5" x14ac:dyDescent="0.25">
      <c r="B19" s="32" t="s">
        <v>142</v>
      </c>
      <c r="C19" s="31">
        <v>96</v>
      </c>
      <c r="D19" s="19" t="e">
        <f>SUMIFS(#REF!,#REF!,$B19,#REF!,D$1)</f>
        <v>#REF!</v>
      </c>
      <c r="E19" s="19" t="e">
        <f>SUMIFS(#REF!,#REF!,$B19,#REF!,E$1)</f>
        <v>#REF!</v>
      </c>
      <c r="F19" s="19" t="e">
        <f>SUMIFS(#REF!,#REF!,$B19,#REF!,F$1)</f>
        <v>#REF!</v>
      </c>
      <c r="G19" s="19" t="e">
        <f>SUMIFS(#REF!,#REF!,$B19,#REF!,G$1)</f>
        <v>#REF!</v>
      </c>
      <c r="H19" s="19" t="e">
        <f>SUMIFS(#REF!,#REF!,$B19,#REF!,H$1)</f>
        <v>#REF!</v>
      </c>
      <c r="I19" s="19" t="e">
        <f>SUMIFS(#REF!,#REF!,$B19,#REF!,I$1)</f>
        <v>#REF!</v>
      </c>
      <c r="J19" s="19" t="e">
        <f>SUMIFS(#REF!,#REF!,$B19,#REF!,J$1)</f>
        <v>#REF!</v>
      </c>
      <c r="K19" s="19" t="e">
        <f>SUMIFS(#REF!,#REF!,$B19,#REF!,K$1)</f>
        <v>#REF!</v>
      </c>
      <c r="L19" s="19" t="e">
        <f>SUMIFS(#REF!,#REF!,$B19,#REF!,L$1)</f>
        <v>#REF!</v>
      </c>
      <c r="M19" s="19" t="e">
        <f>SUMIFS(#REF!,#REF!,$B19,#REF!,M$1)</f>
        <v>#REF!</v>
      </c>
      <c r="N19" s="19" t="e">
        <f>SUMIFS(#REF!,#REF!,$B19,#REF!,N$1)</f>
        <v>#REF!</v>
      </c>
      <c r="O19" s="19" t="e">
        <f>SUMIFS(#REF!,#REF!,$B19,#REF!,O$1)</f>
        <v>#REF!</v>
      </c>
      <c r="P19" s="19" t="e">
        <f>SUMIFS(#REF!,#REF!,$B19,#REF!,P$1)</f>
        <v>#REF!</v>
      </c>
      <c r="Q19" s="19" t="e">
        <f>SUMIFS(#REF!,#REF!,$B19,#REF!,Q$1)</f>
        <v>#REF!</v>
      </c>
      <c r="R19" s="19" t="e">
        <f>SUMIFS(#REF!,#REF!,$B19,#REF!,R$1)</f>
        <v>#REF!</v>
      </c>
      <c r="S19" s="19" t="e">
        <f>SUMIFS(#REF!,#REF!,$B19,#REF!,S$1)</f>
        <v>#REF!</v>
      </c>
      <c r="T19" s="19" t="e">
        <f>SUMIFS(#REF!,#REF!,$B19,#REF!,T$1)</f>
        <v>#REF!</v>
      </c>
      <c r="U19" s="19" t="e">
        <f>SUMIFS(#REF!,#REF!,$B19,#REF!,U$1)</f>
        <v>#REF!</v>
      </c>
      <c r="V19" s="19" t="e">
        <f>SUMIFS(#REF!,#REF!,$B19,#REF!,V$1)</f>
        <v>#REF!</v>
      </c>
      <c r="W19" s="19" t="e">
        <f>SUMIFS(#REF!,#REF!,$B19,#REF!,W$1)</f>
        <v>#REF!</v>
      </c>
      <c r="X19" s="19" t="e">
        <f>SUMIFS(#REF!,#REF!,$B19,#REF!,X$1)</f>
        <v>#REF!</v>
      </c>
      <c r="Y19" s="19" t="e">
        <f>SUMIFS(#REF!,#REF!,$B19,#REF!,Y$1)</f>
        <v>#REF!</v>
      </c>
      <c r="Z19" s="19" t="e">
        <f>SUMIFS(#REF!,#REF!,$B19,#REF!,Z$1)</f>
        <v>#REF!</v>
      </c>
      <c r="AA19" s="19" t="e">
        <f>SUMIFS(#REF!,#REF!,$B19,#REF!,AA$1)</f>
        <v>#REF!</v>
      </c>
      <c r="AB19" s="19" t="e">
        <f>SUMIFS(#REF!,#REF!,$B19,#REF!,AB$1)</f>
        <v>#REF!</v>
      </c>
      <c r="AC19" s="19" t="e">
        <f>SUMIFS(#REF!,#REF!,$B19,#REF!,AC$1)</f>
        <v>#REF!</v>
      </c>
      <c r="AD19" s="19" t="e">
        <f>SUMIFS(#REF!,#REF!,$B19,#REF!,AD$1)</f>
        <v>#REF!</v>
      </c>
      <c r="AE19" s="19" t="e">
        <f>SUMIFS(#REF!,#REF!,$B19,#REF!,AE$1)</f>
        <v>#REF!</v>
      </c>
      <c r="AF19" s="19" t="e">
        <f>SUMIFS(#REF!,#REF!,$B19,#REF!,AF$1)</f>
        <v>#REF!</v>
      </c>
      <c r="AG19" s="19" t="e">
        <f>SUMIFS(#REF!,#REF!,$B19,#REF!,AG$1)</f>
        <v>#REF!</v>
      </c>
      <c r="AH19" s="19" t="e">
        <f>SUMIFS(#REF!,#REF!,$B19,#REF!,AH$1)</f>
        <v>#REF!</v>
      </c>
      <c r="AI19" s="25" t="e">
        <f t="shared" si="1"/>
        <v>#REF!</v>
      </c>
    </row>
    <row r="20" spans="2:35" ht="25.5" x14ac:dyDescent="0.25">
      <c r="B20" s="32" t="s">
        <v>143</v>
      </c>
      <c r="C20" s="31">
        <v>200</v>
      </c>
      <c r="D20" s="19" t="e">
        <f>SUMIFS(#REF!,#REF!,$B20,#REF!,D$1)</f>
        <v>#REF!</v>
      </c>
      <c r="E20" s="19" t="e">
        <f>SUMIFS(#REF!,#REF!,$B20,#REF!,E$1)</f>
        <v>#REF!</v>
      </c>
      <c r="F20" s="19" t="e">
        <f>SUMIFS(#REF!,#REF!,$B20,#REF!,F$1)</f>
        <v>#REF!</v>
      </c>
      <c r="G20" s="19" t="e">
        <f>SUMIFS(#REF!,#REF!,$B20,#REF!,G$1)</f>
        <v>#REF!</v>
      </c>
      <c r="H20" s="19" t="e">
        <f>SUMIFS(#REF!,#REF!,$B20,#REF!,H$1)</f>
        <v>#REF!</v>
      </c>
      <c r="I20" s="19" t="e">
        <f>SUMIFS(#REF!,#REF!,$B20,#REF!,I$1)</f>
        <v>#REF!</v>
      </c>
      <c r="J20" s="19" t="e">
        <f>SUMIFS(#REF!,#REF!,$B20,#REF!,J$1)</f>
        <v>#REF!</v>
      </c>
      <c r="K20" s="19" t="e">
        <f>SUMIFS(#REF!,#REF!,$B20,#REF!,K$1)</f>
        <v>#REF!</v>
      </c>
      <c r="L20" s="19" t="e">
        <f>SUMIFS(#REF!,#REF!,$B20,#REF!,L$1)</f>
        <v>#REF!</v>
      </c>
      <c r="M20" s="19" t="e">
        <f>SUMIFS(#REF!,#REF!,$B20,#REF!,M$1)</f>
        <v>#REF!</v>
      </c>
      <c r="N20" s="19" t="e">
        <f>SUMIFS(#REF!,#REF!,$B20,#REF!,N$1)</f>
        <v>#REF!</v>
      </c>
      <c r="O20" s="19" t="e">
        <f>SUMIFS(#REF!,#REF!,$B20,#REF!,O$1)</f>
        <v>#REF!</v>
      </c>
      <c r="P20" s="19" t="e">
        <f>SUMIFS(#REF!,#REF!,$B20,#REF!,P$1)</f>
        <v>#REF!</v>
      </c>
      <c r="Q20" s="19" t="e">
        <f>SUMIFS(#REF!,#REF!,$B20,#REF!,Q$1)</f>
        <v>#REF!</v>
      </c>
      <c r="R20" s="19" t="e">
        <f>SUMIFS(#REF!,#REF!,$B20,#REF!,R$1)</f>
        <v>#REF!</v>
      </c>
      <c r="S20" s="19" t="e">
        <f>SUMIFS(#REF!,#REF!,$B20,#REF!,S$1)</f>
        <v>#REF!</v>
      </c>
      <c r="T20" s="19" t="e">
        <f>SUMIFS(#REF!,#REF!,$B20,#REF!,T$1)</f>
        <v>#REF!</v>
      </c>
      <c r="U20" s="19" t="e">
        <f>SUMIFS(#REF!,#REF!,$B20,#REF!,U$1)</f>
        <v>#REF!</v>
      </c>
      <c r="V20" s="19" t="e">
        <f>SUMIFS(#REF!,#REF!,$B20,#REF!,V$1)</f>
        <v>#REF!</v>
      </c>
      <c r="W20" s="19" t="e">
        <f>SUMIFS(#REF!,#REF!,$B20,#REF!,W$1)</f>
        <v>#REF!</v>
      </c>
      <c r="X20" s="19" t="e">
        <f>SUMIFS(#REF!,#REF!,$B20,#REF!,X$1)</f>
        <v>#REF!</v>
      </c>
      <c r="Y20" s="19" t="e">
        <f>SUMIFS(#REF!,#REF!,$B20,#REF!,Y$1)</f>
        <v>#REF!</v>
      </c>
      <c r="Z20" s="19" t="e">
        <f>SUMIFS(#REF!,#REF!,$B20,#REF!,Z$1)</f>
        <v>#REF!</v>
      </c>
      <c r="AA20" s="19" t="e">
        <f>SUMIFS(#REF!,#REF!,$B20,#REF!,AA$1)</f>
        <v>#REF!</v>
      </c>
      <c r="AB20" s="19" t="e">
        <f>SUMIFS(#REF!,#REF!,$B20,#REF!,AB$1)</f>
        <v>#REF!</v>
      </c>
      <c r="AC20" s="19" t="e">
        <f>SUMIFS(#REF!,#REF!,$B20,#REF!,AC$1)</f>
        <v>#REF!</v>
      </c>
      <c r="AD20" s="19" t="e">
        <f>SUMIFS(#REF!,#REF!,$B20,#REF!,AD$1)</f>
        <v>#REF!</v>
      </c>
      <c r="AE20" s="19" t="e">
        <f>SUMIFS(#REF!,#REF!,$B20,#REF!,AE$1)</f>
        <v>#REF!</v>
      </c>
      <c r="AF20" s="19" t="e">
        <f>SUMIFS(#REF!,#REF!,$B20,#REF!,AF$1)</f>
        <v>#REF!</v>
      </c>
      <c r="AG20" s="19" t="e">
        <f>SUMIFS(#REF!,#REF!,$B20,#REF!,AG$1)</f>
        <v>#REF!</v>
      </c>
      <c r="AH20" s="19" t="e">
        <f>SUMIFS(#REF!,#REF!,$B20,#REF!,AH$1)</f>
        <v>#REF!</v>
      </c>
      <c r="AI20" s="25" t="e">
        <f t="shared" si="1"/>
        <v>#REF!</v>
      </c>
    </row>
    <row r="21" spans="2:35" ht="25.5" x14ac:dyDescent="0.25">
      <c r="B21" s="32" t="s">
        <v>144</v>
      </c>
      <c r="C21" s="31">
        <v>90</v>
      </c>
      <c r="D21" s="19" t="e">
        <f>SUMIFS(#REF!,#REF!,$B21,#REF!,D$1)</f>
        <v>#REF!</v>
      </c>
      <c r="E21" s="19" t="e">
        <f>SUMIFS(#REF!,#REF!,$B21,#REF!,E$1)</f>
        <v>#REF!</v>
      </c>
      <c r="F21" s="19" t="e">
        <f>SUMIFS(#REF!,#REF!,$B21,#REF!,F$1)</f>
        <v>#REF!</v>
      </c>
      <c r="G21" s="19" t="e">
        <f>SUMIFS(#REF!,#REF!,$B21,#REF!,G$1)</f>
        <v>#REF!</v>
      </c>
      <c r="H21" s="19" t="e">
        <f>SUMIFS(#REF!,#REF!,$B21,#REF!,H$1)</f>
        <v>#REF!</v>
      </c>
      <c r="I21" s="19" t="e">
        <f>SUMIFS(#REF!,#REF!,$B21,#REF!,I$1)</f>
        <v>#REF!</v>
      </c>
      <c r="J21" s="19" t="e">
        <f>SUMIFS(#REF!,#REF!,$B21,#REF!,J$1)</f>
        <v>#REF!</v>
      </c>
      <c r="K21" s="19" t="e">
        <f>SUMIFS(#REF!,#REF!,$B21,#REF!,K$1)</f>
        <v>#REF!</v>
      </c>
      <c r="L21" s="19" t="e">
        <f>SUMIFS(#REF!,#REF!,$B21,#REF!,L$1)</f>
        <v>#REF!</v>
      </c>
      <c r="M21" s="19" t="e">
        <f>SUMIFS(#REF!,#REF!,$B21,#REF!,M$1)</f>
        <v>#REF!</v>
      </c>
      <c r="N21" s="19" t="e">
        <f>SUMIFS(#REF!,#REF!,$B21,#REF!,N$1)</f>
        <v>#REF!</v>
      </c>
      <c r="O21" s="19" t="e">
        <f>SUMIFS(#REF!,#REF!,$B21,#REF!,O$1)</f>
        <v>#REF!</v>
      </c>
      <c r="P21" s="19" t="e">
        <f>SUMIFS(#REF!,#REF!,$B21,#REF!,P$1)</f>
        <v>#REF!</v>
      </c>
      <c r="Q21" s="19" t="e">
        <f>SUMIFS(#REF!,#REF!,$B21,#REF!,Q$1)</f>
        <v>#REF!</v>
      </c>
      <c r="R21" s="19" t="e">
        <f>SUMIFS(#REF!,#REF!,$B21,#REF!,R$1)</f>
        <v>#REF!</v>
      </c>
      <c r="S21" s="19" t="e">
        <f>SUMIFS(#REF!,#REF!,$B21,#REF!,S$1)</f>
        <v>#REF!</v>
      </c>
      <c r="T21" s="19" t="e">
        <f>SUMIFS(#REF!,#REF!,$B21,#REF!,T$1)</f>
        <v>#REF!</v>
      </c>
      <c r="U21" s="19" t="e">
        <f>SUMIFS(#REF!,#REF!,$B21,#REF!,U$1)</f>
        <v>#REF!</v>
      </c>
      <c r="V21" s="19" t="e">
        <f>SUMIFS(#REF!,#REF!,$B21,#REF!,V$1)</f>
        <v>#REF!</v>
      </c>
      <c r="W21" s="19" t="e">
        <f>SUMIFS(#REF!,#REF!,$B21,#REF!,W$1)</f>
        <v>#REF!</v>
      </c>
      <c r="X21" s="19" t="e">
        <f>SUMIFS(#REF!,#REF!,$B21,#REF!,X$1)</f>
        <v>#REF!</v>
      </c>
      <c r="Y21" s="19" t="e">
        <f>SUMIFS(#REF!,#REF!,$B21,#REF!,Y$1)</f>
        <v>#REF!</v>
      </c>
      <c r="Z21" s="19" t="e">
        <f>SUMIFS(#REF!,#REF!,$B21,#REF!,Z$1)</f>
        <v>#REF!</v>
      </c>
      <c r="AA21" s="19" t="e">
        <f>SUMIFS(#REF!,#REF!,$B21,#REF!,AA$1)</f>
        <v>#REF!</v>
      </c>
      <c r="AB21" s="19" t="e">
        <f>SUMIFS(#REF!,#REF!,$B21,#REF!,AB$1)</f>
        <v>#REF!</v>
      </c>
      <c r="AC21" s="19" t="e">
        <f>SUMIFS(#REF!,#REF!,$B21,#REF!,AC$1)</f>
        <v>#REF!</v>
      </c>
      <c r="AD21" s="19" t="e">
        <f>SUMIFS(#REF!,#REF!,$B21,#REF!,AD$1)</f>
        <v>#REF!</v>
      </c>
      <c r="AE21" s="19" t="e">
        <f>SUMIFS(#REF!,#REF!,$B21,#REF!,AE$1)</f>
        <v>#REF!</v>
      </c>
      <c r="AF21" s="19" t="e">
        <f>SUMIFS(#REF!,#REF!,$B21,#REF!,AF$1)</f>
        <v>#REF!</v>
      </c>
      <c r="AG21" s="19" t="e">
        <f>SUMIFS(#REF!,#REF!,$B21,#REF!,AG$1)</f>
        <v>#REF!</v>
      </c>
      <c r="AH21" s="19" t="e">
        <f>SUMIFS(#REF!,#REF!,$B21,#REF!,AH$1)</f>
        <v>#REF!</v>
      </c>
      <c r="AI21" s="25" t="e">
        <f t="shared" si="1"/>
        <v>#REF!</v>
      </c>
    </row>
    <row r="22" spans="2:35" ht="15.75" x14ac:dyDescent="0.25">
      <c r="B22" s="33" t="s">
        <v>145</v>
      </c>
      <c r="C22" s="31">
        <v>25</v>
      </c>
      <c r="D22" s="19" t="e">
        <f>SUMIFS(#REF!,#REF!,$B22,#REF!,D$1)</f>
        <v>#REF!</v>
      </c>
      <c r="E22" s="19" t="e">
        <f>SUMIFS(#REF!,#REF!,$B22,#REF!,E$1)</f>
        <v>#REF!</v>
      </c>
      <c r="F22" s="19" t="e">
        <f>SUMIFS(#REF!,#REF!,$B22,#REF!,F$1)</f>
        <v>#REF!</v>
      </c>
      <c r="G22" s="19" t="e">
        <f>SUMIFS(#REF!,#REF!,$B22,#REF!,G$1)</f>
        <v>#REF!</v>
      </c>
      <c r="H22" s="19" t="e">
        <f>SUMIFS(#REF!,#REF!,$B22,#REF!,H$1)</f>
        <v>#REF!</v>
      </c>
      <c r="I22" s="19" t="e">
        <f>SUMIFS(#REF!,#REF!,$B22,#REF!,I$1)</f>
        <v>#REF!</v>
      </c>
      <c r="J22" s="19" t="e">
        <f>SUMIFS(#REF!,#REF!,$B22,#REF!,J$1)</f>
        <v>#REF!</v>
      </c>
      <c r="K22" s="19" t="e">
        <f>SUMIFS(#REF!,#REF!,$B22,#REF!,K$1)</f>
        <v>#REF!</v>
      </c>
      <c r="L22" s="19" t="e">
        <f>SUMIFS(#REF!,#REF!,$B22,#REF!,L$1)</f>
        <v>#REF!</v>
      </c>
      <c r="M22" s="19" t="e">
        <f>SUMIFS(#REF!,#REF!,$B22,#REF!,M$1)</f>
        <v>#REF!</v>
      </c>
      <c r="N22" s="19" t="e">
        <f>SUMIFS(#REF!,#REF!,$B22,#REF!,N$1)</f>
        <v>#REF!</v>
      </c>
      <c r="O22" s="19" t="e">
        <f>SUMIFS(#REF!,#REF!,$B22,#REF!,O$1)</f>
        <v>#REF!</v>
      </c>
      <c r="P22" s="19" t="e">
        <f>SUMIFS(#REF!,#REF!,$B22,#REF!,P$1)</f>
        <v>#REF!</v>
      </c>
      <c r="Q22" s="19" t="e">
        <f>SUMIFS(#REF!,#REF!,$B22,#REF!,Q$1)</f>
        <v>#REF!</v>
      </c>
      <c r="R22" s="19" t="e">
        <f>SUMIFS(#REF!,#REF!,$B22,#REF!,R$1)</f>
        <v>#REF!</v>
      </c>
      <c r="S22" s="19" t="e">
        <f>SUMIFS(#REF!,#REF!,$B22,#REF!,S$1)</f>
        <v>#REF!</v>
      </c>
      <c r="T22" s="19" t="e">
        <f>SUMIFS(#REF!,#REF!,$B22,#REF!,T$1)</f>
        <v>#REF!</v>
      </c>
      <c r="U22" s="19" t="e">
        <f>SUMIFS(#REF!,#REF!,$B22,#REF!,U$1)</f>
        <v>#REF!</v>
      </c>
      <c r="V22" s="19" t="e">
        <f>SUMIFS(#REF!,#REF!,$B22,#REF!,V$1)</f>
        <v>#REF!</v>
      </c>
      <c r="W22" s="19" t="e">
        <f>SUMIFS(#REF!,#REF!,$B22,#REF!,W$1)</f>
        <v>#REF!</v>
      </c>
      <c r="X22" s="19" t="e">
        <f>SUMIFS(#REF!,#REF!,$B22,#REF!,X$1)</f>
        <v>#REF!</v>
      </c>
      <c r="Y22" s="19" t="e">
        <f>SUMIFS(#REF!,#REF!,$B22,#REF!,Y$1)</f>
        <v>#REF!</v>
      </c>
      <c r="Z22" s="19" t="e">
        <f>SUMIFS(#REF!,#REF!,$B22,#REF!,Z$1)</f>
        <v>#REF!</v>
      </c>
      <c r="AA22" s="19" t="e">
        <f>SUMIFS(#REF!,#REF!,$B22,#REF!,AA$1)</f>
        <v>#REF!</v>
      </c>
      <c r="AB22" s="19" t="e">
        <f>SUMIFS(#REF!,#REF!,$B22,#REF!,AB$1)</f>
        <v>#REF!</v>
      </c>
      <c r="AC22" s="19" t="e">
        <f>SUMIFS(#REF!,#REF!,$B22,#REF!,AC$1)</f>
        <v>#REF!</v>
      </c>
      <c r="AD22" s="19" t="e">
        <f>SUMIFS(#REF!,#REF!,$B22,#REF!,AD$1)</f>
        <v>#REF!</v>
      </c>
      <c r="AE22" s="19" t="e">
        <f>SUMIFS(#REF!,#REF!,$B22,#REF!,AE$1)</f>
        <v>#REF!</v>
      </c>
      <c r="AF22" s="19" t="e">
        <f>SUMIFS(#REF!,#REF!,$B22,#REF!,AF$1)</f>
        <v>#REF!</v>
      </c>
      <c r="AG22" s="19" t="e">
        <f>SUMIFS(#REF!,#REF!,$B22,#REF!,AG$1)</f>
        <v>#REF!</v>
      </c>
      <c r="AH22" s="19" t="e">
        <f>SUMIFS(#REF!,#REF!,$B22,#REF!,AH$1)</f>
        <v>#REF!</v>
      </c>
      <c r="AI22" s="25" t="e">
        <f t="shared" si="1"/>
        <v>#REF!</v>
      </c>
    </row>
    <row r="23" spans="2:35" ht="15.75" x14ac:dyDescent="0.25">
      <c r="B23" s="33" t="s">
        <v>146</v>
      </c>
      <c r="C23" s="31">
        <v>200</v>
      </c>
      <c r="D23" s="19" t="e">
        <f>SUMIFS(#REF!,#REF!,$B23,#REF!,D$1)</f>
        <v>#REF!</v>
      </c>
      <c r="E23" s="19" t="e">
        <f>SUMIFS(#REF!,#REF!,$B23,#REF!,E$1)</f>
        <v>#REF!</v>
      </c>
      <c r="F23" s="19" t="e">
        <f>SUMIFS(#REF!,#REF!,$B23,#REF!,F$1)</f>
        <v>#REF!</v>
      </c>
      <c r="G23" s="19" t="e">
        <f>SUMIFS(#REF!,#REF!,$B23,#REF!,G$1)</f>
        <v>#REF!</v>
      </c>
      <c r="H23" s="19" t="e">
        <f>SUMIFS(#REF!,#REF!,$B23,#REF!,H$1)</f>
        <v>#REF!</v>
      </c>
      <c r="I23" s="19" t="e">
        <f>SUMIFS(#REF!,#REF!,$B23,#REF!,I$1)</f>
        <v>#REF!</v>
      </c>
      <c r="J23" s="19" t="e">
        <f>SUMIFS(#REF!,#REF!,$B23,#REF!,J$1)</f>
        <v>#REF!</v>
      </c>
      <c r="K23" s="19" t="e">
        <f>SUMIFS(#REF!,#REF!,$B23,#REF!,K$1)</f>
        <v>#REF!</v>
      </c>
      <c r="L23" s="19" t="e">
        <f>SUMIFS(#REF!,#REF!,$B23,#REF!,L$1)</f>
        <v>#REF!</v>
      </c>
      <c r="M23" s="19" t="e">
        <f>SUMIFS(#REF!,#REF!,$B23,#REF!,M$1)</f>
        <v>#REF!</v>
      </c>
      <c r="N23" s="19" t="e">
        <f>SUMIFS(#REF!,#REF!,$B23,#REF!,N$1)</f>
        <v>#REF!</v>
      </c>
      <c r="O23" s="19" t="e">
        <f>SUMIFS(#REF!,#REF!,$B23,#REF!,O$1)</f>
        <v>#REF!</v>
      </c>
      <c r="P23" s="19" t="e">
        <f>SUMIFS(#REF!,#REF!,$B23,#REF!,P$1)</f>
        <v>#REF!</v>
      </c>
      <c r="Q23" s="19" t="e">
        <f>SUMIFS(#REF!,#REF!,$B23,#REF!,Q$1)</f>
        <v>#REF!</v>
      </c>
      <c r="R23" s="19" t="e">
        <f>SUMIFS(#REF!,#REF!,$B23,#REF!,R$1)</f>
        <v>#REF!</v>
      </c>
      <c r="S23" s="19" t="e">
        <f>SUMIFS(#REF!,#REF!,$B23,#REF!,S$1)</f>
        <v>#REF!</v>
      </c>
      <c r="T23" s="19" t="e">
        <f>SUMIFS(#REF!,#REF!,$B23,#REF!,T$1)</f>
        <v>#REF!</v>
      </c>
      <c r="U23" s="19" t="e">
        <f>SUMIFS(#REF!,#REF!,$B23,#REF!,U$1)</f>
        <v>#REF!</v>
      </c>
      <c r="V23" s="19" t="e">
        <f>SUMIFS(#REF!,#REF!,$B23,#REF!,V$1)</f>
        <v>#REF!</v>
      </c>
      <c r="W23" s="19" t="e">
        <f>SUMIFS(#REF!,#REF!,$B23,#REF!,W$1)</f>
        <v>#REF!</v>
      </c>
      <c r="X23" s="19" t="e">
        <f>SUMIFS(#REF!,#REF!,$B23,#REF!,X$1)</f>
        <v>#REF!</v>
      </c>
      <c r="Y23" s="19" t="e">
        <f>SUMIFS(#REF!,#REF!,$B23,#REF!,Y$1)</f>
        <v>#REF!</v>
      </c>
      <c r="Z23" s="19" t="e">
        <f>SUMIFS(#REF!,#REF!,$B23,#REF!,Z$1)</f>
        <v>#REF!</v>
      </c>
      <c r="AA23" s="19" t="e">
        <f>SUMIFS(#REF!,#REF!,$B23,#REF!,AA$1)</f>
        <v>#REF!</v>
      </c>
      <c r="AB23" s="19" t="e">
        <f>SUMIFS(#REF!,#REF!,$B23,#REF!,AB$1)</f>
        <v>#REF!</v>
      </c>
      <c r="AC23" s="19" t="e">
        <f>SUMIFS(#REF!,#REF!,$B23,#REF!,AC$1)</f>
        <v>#REF!</v>
      </c>
      <c r="AD23" s="19" t="e">
        <f>SUMIFS(#REF!,#REF!,$B23,#REF!,AD$1)</f>
        <v>#REF!</v>
      </c>
      <c r="AE23" s="19" t="e">
        <f>SUMIFS(#REF!,#REF!,$B23,#REF!,AE$1)</f>
        <v>#REF!</v>
      </c>
      <c r="AF23" s="19" t="e">
        <f>SUMIFS(#REF!,#REF!,$B23,#REF!,AF$1)</f>
        <v>#REF!</v>
      </c>
      <c r="AG23" s="19" t="e">
        <f>SUMIFS(#REF!,#REF!,$B23,#REF!,AG$1)</f>
        <v>#REF!</v>
      </c>
      <c r="AH23" s="19" t="e">
        <f>SUMIFS(#REF!,#REF!,$B23,#REF!,AH$1)</f>
        <v>#REF!</v>
      </c>
      <c r="AI23" s="25" t="e">
        <f t="shared" si="1"/>
        <v>#REF!</v>
      </c>
    </row>
    <row r="24" spans="2:35" ht="15.75" x14ac:dyDescent="0.25">
      <c r="B24" s="33" t="s">
        <v>147</v>
      </c>
      <c r="C24" s="31">
        <v>200</v>
      </c>
      <c r="D24" s="19" t="e">
        <f>SUMIFS(#REF!,#REF!,$B24,#REF!,D$1)</f>
        <v>#REF!</v>
      </c>
      <c r="E24" s="19" t="e">
        <f>SUMIFS(#REF!,#REF!,$B24,#REF!,E$1)</f>
        <v>#REF!</v>
      </c>
      <c r="F24" s="19" t="e">
        <f>SUMIFS(#REF!,#REF!,$B24,#REF!,F$1)</f>
        <v>#REF!</v>
      </c>
      <c r="G24" s="19" t="e">
        <f>SUMIFS(#REF!,#REF!,$B24,#REF!,G$1)</f>
        <v>#REF!</v>
      </c>
      <c r="H24" s="19" t="e">
        <f>SUMIFS(#REF!,#REF!,$B24,#REF!,H$1)</f>
        <v>#REF!</v>
      </c>
      <c r="I24" s="19" t="e">
        <f>SUMIFS(#REF!,#REF!,$B24,#REF!,I$1)</f>
        <v>#REF!</v>
      </c>
      <c r="J24" s="19" t="e">
        <f>SUMIFS(#REF!,#REF!,$B24,#REF!,J$1)</f>
        <v>#REF!</v>
      </c>
      <c r="K24" s="19" t="e">
        <f>SUMIFS(#REF!,#REF!,$B24,#REF!,K$1)</f>
        <v>#REF!</v>
      </c>
      <c r="L24" s="19" t="e">
        <f>SUMIFS(#REF!,#REF!,$B24,#REF!,L$1)</f>
        <v>#REF!</v>
      </c>
      <c r="M24" s="19" t="e">
        <f>SUMIFS(#REF!,#REF!,$B24,#REF!,M$1)</f>
        <v>#REF!</v>
      </c>
      <c r="N24" s="19" t="e">
        <f>SUMIFS(#REF!,#REF!,$B24,#REF!,N$1)</f>
        <v>#REF!</v>
      </c>
      <c r="O24" s="19" t="e">
        <f>SUMIFS(#REF!,#REF!,$B24,#REF!,O$1)</f>
        <v>#REF!</v>
      </c>
      <c r="P24" s="19" t="e">
        <f>SUMIFS(#REF!,#REF!,$B24,#REF!,P$1)</f>
        <v>#REF!</v>
      </c>
      <c r="Q24" s="19" t="e">
        <f>SUMIFS(#REF!,#REF!,$B24,#REF!,Q$1)</f>
        <v>#REF!</v>
      </c>
      <c r="R24" s="19" t="e">
        <f>SUMIFS(#REF!,#REF!,$B24,#REF!,R$1)</f>
        <v>#REF!</v>
      </c>
      <c r="S24" s="19" t="e">
        <f>SUMIFS(#REF!,#REF!,$B24,#REF!,S$1)</f>
        <v>#REF!</v>
      </c>
      <c r="T24" s="19" t="e">
        <f>SUMIFS(#REF!,#REF!,$B24,#REF!,T$1)</f>
        <v>#REF!</v>
      </c>
      <c r="U24" s="19" t="e">
        <f>SUMIFS(#REF!,#REF!,$B24,#REF!,U$1)</f>
        <v>#REF!</v>
      </c>
      <c r="V24" s="19" t="e">
        <f>SUMIFS(#REF!,#REF!,$B24,#REF!,V$1)</f>
        <v>#REF!</v>
      </c>
      <c r="W24" s="19" t="e">
        <f>SUMIFS(#REF!,#REF!,$B24,#REF!,W$1)</f>
        <v>#REF!</v>
      </c>
      <c r="X24" s="19" t="e">
        <f>SUMIFS(#REF!,#REF!,$B24,#REF!,X$1)</f>
        <v>#REF!</v>
      </c>
      <c r="Y24" s="19" t="e">
        <f>SUMIFS(#REF!,#REF!,$B24,#REF!,Y$1)</f>
        <v>#REF!</v>
      </c>
      <c r="Z24" s="19" t="e">
        <f>SUMIFS(#REF!,#REF!,$B24,#REF!,Z$1)</f>
        <v>#REF!</v>
      </c>
      <c r="AA24" s="19" t="e">
        <f>SUMIFS(#REF!,#REF!,$B24,#REF!,AA$1)</f>
        <v>#REF!</v>
      </c>
      <c r="AB24" s="19" t="e">
        <f>SUMIFS(#REF!,#REF!,$B24,#REF!,AB$1)</f>
        <v>#REF!</v>
      </c>
      <c r="AC24" s="19" t="e">
        <f>SUMIFS(#REF!,#REF!,$B24,#REF!,AC$1)</f>
        <v>#REF!</v>
      </c>
      <c r="AD24" s="19" t="e">
        <f>SUMIFS(#REF!,#REF!,$B24,#REF!,AD$1)</f>
        <v>#REF!</v>
      </c>
      <c r="AE24" s="19" t="e">
        <f>SUMIFS(#REF!,#REF!,$B24,#REF!,AE$1)</f>
        <v>#REF!</v>
      </c>
      <c r="AF24" s="19" t="e">
        <f>SUMIFS(#REF!,#REF!,$B24,#REF!,AF$1)</f>
        <v>#REF!</v>
      </c>
      <c r="AG24" s="19" t="e">
        <f>SUMIFS(#REF!,#REF!,$B24,#REF!,AG$1)</f>
        <v>#REF!</v>
      </c>
      <c r="AH24" s="19" t="e">
        <f>SUMIFS(#REF!,#REF!,$B24,#REF!,AH$1)</f>
        <v>#REF!</v>
      </c>
      <c r="AI24" s="25" t="e">
        <f t="shared" si="1"/>
        <v>#REF!</v>
      </c>
    </row>
    <row r="25" spans="2:35" ht="15.75" x14ac:dyDescent="0.25">
      <c r="B25" s="33" t="s">
        <v>148</v>
      </c>
      <c r="C25" s="31">
        <v>200</v>
      </c>
      <c r="D25" s="19" t="e">
        <f>SUMIFS(#REF!,#REF!,$B25,#REF!,D$1)</f>
        <v>#REF!</v>
      </c>
      <c r="E25" s="19" t="e">
        <f>SUMIFS(#REF!,#REF!,$B25,#REF!,E$1)</f>
        <v>#REF!</v>
      </c>
      <c r="F25" s="19" t="e">
        <f>SUMIFS(#REF!,#REF!,$B25,#REF!,F$1)</f>
        <v>#REF!</v>
      </c>
      <c r="G25" s="19" t="e">
        <f>SUMIFS(#REF!,#REF!,$B25,#REF!,G$1)</f>
        <v>#REF!</v>
      </c>
      <c r="H25" s="19" t="e">
        <f>SUMIFS(#REF!,#REF!,$B25,#REF!,H$1)</f>
        <v>#REF!</v>
      </c>
      <c r="I25" s="19" t="e">
        <f>SUMIFS(#REF!,#REF!,$B25,#REF!,I$1)</f>
        <v>#REF!</v>
      </c>
      <c r="J25" s="19" t="e">
        <f>SUMIFS(#REF!,#REF!,$B25,#REF!,J$1)</f>
        <v>#REF!</v>
      </c>
      <c r="K25" s="19" t="e">
        <f>SUMIFS(#REF!,#REF!,$B25,#REF!,K$1)</f>
        <v>#REF!</v>
      </c>
      <c r="L25" s="19" t="e">
        <f>SUMIFS(#REF!,#REF!,$B25,#REF!,L$1)</f>
        <v>#REF!</v>
      </c>
      <c r="M25" s="19" t="e">
        <f>SUMIFS(#REF!,#REF!,$B25,#REF!,M$1)</f>
        <v>#REF!</v>
      </c>
      <c r="N25" s="19" t="e">
        <f>SUMIFS(#REF!,#REF!,$B25,#REF!,N$1)</f>
        <v>#REF!</v>
      </c>
      <c r="O25" s="19" t="e">
        <f>SUMIFS(#REF!,#REF!,$B25,#REF!,O$1)</f>
        <v>#REF!</v>
      </c>
      <c r="P25" s="19" t="e">
        <f>SUMIFS(#REF!,#REF!,$B25,#REF!,P$1)</f>
        <v>#REF!</v>
      </c>
      <c r="Q25" s="19" t="e">
        <f>SUMIFS(#REF!,#REF!,$B25,#REF!,Q$1)</f>
        <v>#REF!</v>
      </c>
      <c r="R25" s="19" t="e">
        <f>SUMIFS(#REF!,#REF!,$B25,#REF!,R$1)</f>
        <v>#REF!</v>
      </c>
      <c r="S25" s="19" t="e">
        <f>SUMIFS(#REF!,#REF!,$B25,#REF!,S$1)</f>
        <v>#REF!</v>
      </c>
      <c r="T25" s="19" t="e">
        <f>SUMIFS(#REF!,#REF!,$B25,#REF!,T$1)</f>
        <v>#REF!</v>
      </c>
      <c r="U25" s="19" t="e">
        <f>SUMIFS(#REF!,#REF!,$B25,#REF!,U$1)</f>
        <v>#REF!</v>
      </c>
      <c r="V25" s="19" t="e">
        <f>SUMIFS(#REF!,#REF!,$B25,#REF!,V$1)</f>
        <v>#REF!</v>
      </c>
      <c r="W25" s="19" t="e">
        <f>SUMIFS(#REF!,#REF!,$B25,#REF!,W$1)</f>
        <v>#REF!</v>
      </c>
      <c r="X25" s="19" t="e">
        <f>SUMIFS(#REF!,#REF!,$B25,#REF!,X$1)</f>
        <v>#REF!</v>
      </c>
      <c r="Y25" s="19" t="e">
        <f>SUMIFS(#REF!,#REF!,$B25,#REF!,Y$1)</f>
        <v>#REF!</v>
      </c>
      <c r="Z25" s="19" t="e">
        <f>SUMIFS(#REF!,#REF!,$B25,#REF!,Z$1)</f>
        <v>#REF!</v>
      </c>
      <c r="AA25" s="19" t="e">
        <f>SUMIFS(#REF!,#REF!,$B25,#REF!,AA$1)</f>
        <v>#REF!</v>
      </c>
      <c r="AB25" s="19" t="e">
        <f>SUMIFS(#REF!,#REF!,$B25,#REF!,AB$1)</f>
        <v>#REF!</v>
      </c>
      <c r="AC25" s="19" t="e">
        <f>SUMIFS(#REF!,#REF!,$B25,#REF!,AC$1)</f>
        <v>#REF!</v>
      </c>
      <c r="AD25" s="19" t="e">
        <f>SUMIFS(#REF!,#REF!,$B25,#REF!,AD$1)</f>
        <v>#REF!</v>
      </c>
      <c r="AE25" s="19" t="e">
        <f>SUMIFS(#REF!,#REF!,$B25,#REF!,AE$1)</f>
        <v>#REF!</v>
      </c>
      <c r="AF25" s="19" t="e">
        <f>SUMIFS(#REF!,#REF!,$B25,#REF!,AF$1)</f>
        <v>#REF!</v>
      </c>
      <c r="AG25" s="19" t="e">
        <f>SUMIFS(#REF!,#REF!,$B25,#REF!,AG$1)</f>
        <v>#REF!</v>
      </c>
      <c r="AH25" s="19" t="e">
        <f>SUMIFS(#REF!,#REF!,$B25,#REF!,AH$1)</f>
        <v>#REF!</v>
      </c>
      <c r="AI25" s="25" t="e">
        <f t="shared" si="1"/>
        <v>#REF!</v>
      </c>
    </row>
    <row r="26" spans="2:35" ht="16.5" thickBot="1" x14ac:dyDescent="0.3">
      <c r="B26" s="42" t="s">
        <v>149</v>
      </c>
      <c r="C26" s="43">
        <v>20</v>
      </c>
      <c r="D26" s="19" t="e">
        <f>SUMIFS(#REF!,#REF!,$B26,#REF!,D$1)</f>
        <v>#REF!</v>
      </c>
      <c r="E26" s="19" t="e">
        <f>SUMIFS(#REF!,#REF!,$B26,#REF!,E$1)</f>
        <v>#REF!</v>
      </c>
      <c r="F26" s="19" t="e">
        <f>SUMIFS(#REF!,#REF!,$B26,#REF!,F$1)</f>
        <v>#REF!</v>
      </c>
      <c r="G26" s="19" t="e">
        <f>SUMIFS(#REF!,#REF!,$B26,#REF!,G$1)</f>
        <v>#REF!</v>
      </c>
      <c r="H26" s="19" t="e">
        <f>SUMIFS(#REF!,#REF!,$B26,#REF!,H$1)</f>
        <v>#REF!</v>
      </c>
      <c r="I26" s="19" t="e">
        <f>SUMIFS(#REF!,#REF!,$B26,#REF!,I$1)</f>
        <v>#REF!</v>
      </c>
      <c r="J26" s="19" t="e">
        <f>SUMIFS(#REF!,#REF!,$B26,#REF!,J$1)</f>
        <v>#REF!</v>
      </c>
      <c r="K26" s="19" t="e">
        <f>SUMIFS(#REF!,#REF!,$B26,#REF!,K$1)</f>
        <v>#REF!</v>
      </c>
      <c r="L26" s="19" t="e">
        <f>SUMIFS(#REF!,#REF!,$B26,#REF!,L$1)</f>
        <v>#REF!</v>
      </c>
      <c r="M26" s="19" t="e">
        <f>SUMIFS(#REF!,#REF!,$B26,#REF!,M$1)</f>
        <v>#REF!</v>
      </c>
      <c r="N26" s="19" t="e">
        <f>SUMIFS(#REF!,#REF!,$B26,#REF!,N$1)</f>
        <v>#REF!</v>
      </c>
      <c r="O26" s="19" t="e">
        <f>SUMIFS(#REF!,#REF!,$B26,#REF!,O$1)</f>
        <v>#REF!</v>
      </c>
      <c r="P26" s="19" t="e">
        <f>SUMIFS(#REF!,#REF!,$B26,#REF!,P$1)</f>
        <v>#REF!</v>
      </c>
      <c r="Q26" s="19" t="e">
        <f>SUMIFS(#REF!,#REF!,$B26,#REF!,Q$1)</f>
        <v>#REF!</v>
      </c>
      <c r="R26" s="19" t="e">
        <f>SUMIFS(#REF!,#REF!,$B26,#REF!,R$1)</f>
        <v>#REF!</v>
      </c>
      <c r="S26" s="19" t="e">
        <f>SUMIFS(#REF!,#REF!,$B26,#REF!,S$1)</f>
        <v>#REF!</v>
      </c>
      <c r="T26" s="19" t="e">
        <f>SUMIFS(#REF!,#REF!,$B26,#REF!,T$1)</f>
        <v>#REF!</v>
      </c>
      <c r="U26" s="19" t="e">
        <f>SUMIFS(#REF!,#REF!,$B26,#REF!,U$1)</f>
        <v>#REF!</v>
      </c>
      <c r="V26" s="19" t="e">
        <f>SUMIFS(#REF!,#REF!,$B26,#REF!,V$1)</f>
        <v>#REF!</v>
      </c>
      <c r="W26" s="19" t="e">
        <f>SUMIFS(#REF!,#REF!,$B26,#REF!,W$1)</f>
        <v>#REF!</v>
      </c>
      <c r="X26" s="19" t="e">
        <f>SUMIFS(#REF!,#REF!,$B26,#REF!,X$1)</f>
        <v>#REF!</v>
      </c>
      <c r="Y26" s="19" t="e">
        <f>SUMIFS(#REF!,#REF!,$B26,#REF!,Y$1)</f>
        <v>#REF!</v>
      </c>
      <c r="Z26" s="19" t="e">
        <f>SUMIFS(#REF!,#REF!,$B26,#REF!,Z$1)</f>
        <v>#REF!</v>
      </c>
      <c r="AA26" s="19" t="e">
        <f>SUMIFS(#REF!,#REF!,$B26,#REF!,AA$1)</f>
        <v>#REF!</v>
      </c>
      <c r="AB26" s="19" t="e">
        <f>SUMIFS(#REF!,#REF!,$B26,#REF!,AB$1)</f>
        <v>#REF!</v>
      </c>
      <c r="AC26" s="19" t="e">
        <f>SUMIFS(#REF!,#REF!,$B26,#REF!,AC$1)</f>
        <v>#REF!</v>
      </c>
      <c r="AD26" s="19" t="e">
        <f>SUMIFS(#REF!,#REF!,$B26,#REF!,AD$1)</f>
        <v>#REF!</v>
      </c>
      <c r="AE26" s="19" t="e">
        <f>SUMIFS(#REF!,#REF!,$B26,#REF!,AE$1)</f>
        <v>#REF!</v>
      </c>
      <c r="AF26" s="19" t="e">
        <f>SUMIFS(#REF!,#REF!,$B26,#REF!,AF$1)</f>
        <v>#REF!</v>
      </c>
      <c r="AG26" s="19" t="e">
        <f>SUMIFS(#REF!,#REF!,$B26,#REF!,AG$1)</f>
        <v>#REF!</v>
      </c>
      <c r="AH26" s="19" t="e">
        <f>SUMIFS(#REF!,#REF!,$B26,#REF!,AH$1)</f>
        <v>#REF!</v>
      </c>
      <c r="AI26" s="26" t="e">
        <f t="shared" si="1"/>
        <v>#REF!</v>
      </c>
    </row>
  </sheetData>
  <dataValidations count="1">
    <dataValidation type="list" allowBlank="1" showInputMessage="1" showErrorMessage="1" sqref="B3:B10" xr:uid="{00000000-0002-0000-0E00-000000000000}">
      <formula1>$E$4:$E$37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1000000}">
          <x14:formula1>
            <xm:f>справочник!$E$2:$E$42</xm:f>
          </x14:formula1>
          <xm:sqref>B12:B26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AI237"/>
  <sheetViews>
    <sheetView showZeros="0" topLeftCell="A145" zoomScale="70" zoomScaleNormal="70" workbookViewId="0">
      <selection activeCell="Z184" sqref="Z184"/>
    </sheetView>
  </sheetViews>
  <sheetFormatPr defaultRowHeight="15" x14ac:dyDescent="0.25"/>
  <cols>
    <col min="1" max="1" width="2.140625" customWidth="1"/>
    <col min="2" max="2" width="53.5703125" customWidth="1"/>
    <col min="4" max="34" width="6.7109375" customWidth="1"/>
  </cols>
  <sheetData>
    <row r="1" spans="2:35" ht="15" customHeight="1" thickBot="1" x14ac:dyDescent="0.3">
      <c r="B1" s="67">
        <v>45992</v>
      </c>
      <c r="C1" s="68"/>
      <c r="D1" s="69">
        <f>B1</f>
        <v>45992</v>
      </c>
      <c r="E1" s="69">
        <f>D1+1</f>
        <v>45993</v>
      </c>
      <c r="F1" s="69">
        <f t="shared" ref="F1:AH1" si="0">E1+1</f>
        <v>45994</v>
      </c>
      <c r="G1" s="69">
        <f t="shared" si="0"/>
        <v>45995</v>
      </c>
      <c r="H1" s="69">
        <f t="shared" si="0"/>
        <v>45996</v>
      </c>
      <c r="I1" s="69">
        <f t="shared" si="0"/>
        <v>45997</v>
      </c>
      <c r="J1" s="69">
        <f t="shared" si="0"/>
        <v>45998</v>
      </c>
      <c r="K1" s="69">
        <f t="shared" si="0"/>
        <v>45999</v>
      </c>
      <c r="L1" s="69">
        <f t="shared" si="0"/>
        <v>46000</v>
      </c>
      <c r="M1" s="69">
        <f t="shared" si="0"/>
        <v>46001</v>
      </c>
      <c r="N1" s="69">
        <f t="shared" si="0"/>
        <v>46002</v>
      </c>
      <c r="O1" s="69">
        <f t="shared" si="0"/>
        <v>46003</v>
      </c>
      <c r="P1" s="69">
        <f t="shared" si="0"/>
        <v>46004</v>
      </c>
      <c r="Q1" s="69">
        <f t="shared" si="0"/>
        <v>46005</v>
      </c>
      <c r="R1" s="69">
        <f t="shared" si="0"/>
        <v>46006</v>
      </c>
      <c r="S1" s="69">
        <f t="shared" si="0"/>
        <v>46007</v>
      </c>
      <c r="T1" s="69">
        <f t="shared" si="0"/>
        <v>46008</v>
      </c>
      <c r="U1" s="69">
        <f t="shared" si="0"/>
        <v>46009</v>
      </c>
      <c r="V1" s="69">
        <f t="shared" si="0"/>
        <v>46010</v>
      </c>
      <c r="W1" s="69">
        <f t="shared" si="0"/>
        <v>46011</v>
      </c>
      <c r="X1" s="69">
        <f t="shared" si="0"/>
        <v>46012</v>
      </c>
      <c r="Y1" s="69">
        <f t="shared" si="0"/>
        <v>46013</v>
      </c>
      <c r="Z1" s="69">
        <f t="shared" si="0"/>
        <v>46014</v>
      </c>
      <c r="AA1" s="69">
        <f t="shared" si="0"/>
        <v>46015</v>
      </c>
      <c r="AB1" s="69">
        <f t="shared" si="0"/>
        <v>46016</v>
      </c>
      <c r="AC1" s="69">
        <f t="shared" si="0"/>
        <v>46017</v>
      </c>
      <c r="AD1" s="69">
        <f t="shared" si="0"/>
        <v>46018</v>
      </c>
      <c r="AE1" s="69">
        <f t="shared" si="0"/>
        <v>46019</v>
      </c>
      <c r="AF1" s="69">
        <f t="shared" si="0"/>
        <v>46020</v>
      </c>
      <c r="AG1" s="69">
        <f t="shared" si="0"/>
        <v>46021</v>
      </c>
      <c r="AH1" s="69">
        <f t="shared" si="0"/>
        <v>46022</v>
      </c>
      <c r="AI1" s="70"/>
    </row>
    <row r="2" spans="2:35" ht="15" customHeight="1" thickBot="1" x14ac:dyDescent="0.3">
      <c r="B2" s="71"/>
      <c r="C2" s="68"/>
      <c r="D2" s="72">
        <v>1</v>
      </c>
      <c r="E2" s="73">
        <v>2</v>
      </c>
      <c r="F2" s="73">
        <v>3</v>
      </c>
      <c r="G2" s="73">
        <v>4</v>
      </c>
      <c r="H2" s="73">
        <v>5</v>
      </c>
      <c r="I2" s="73">
        <v>6</v>
      </c>
      <c r="J2" s="73">
        <v>7</v>
      </c>
      <c r="K2" s="73">
        <v>8</v>
      </c>
      <c r="L2" s="73">
        <v>9</v>
      </c>
      <c r="M2" s="73">
        <v>10</v>
      </c>
      <c r="N2" s="73">
        <v>11</v>
      </c>
      <c r="O2" s="73">
        <v>12</v>
      </c>
      <c r="P2" s="73">
        <v>13</v>
      </c>
      <c r="Q2" s="73">
        <v>14</v>
      </c>
      <c r="R2" s="73">
        <v>15</v>
      </c>
      <c r="S2" s="73">
        <v>16</v>
      </c>
      <c r="T2" s="73">
        <v>17</v>
      </c>
      <c r="U2" s="73">
        <v>18</v>
      </c>
      <c r="V2" s="73">
        <v>19</v>
      </c>
      <c r="W2" s="73">
        <v>20</v>
      </c>
      <c r="X2" s="73">
        <v>21</v>
      </c>
      <c r="Y2" s="73">
        <v>22</v>
      </c>
      <c r="Z2" s="73">
        <v>23</v>
      </c>
      <c r="AA2" s="73">
        <v>24</v>
      </c>
      <c r="AB2" s="73">
        <v>25</v>
      </c>
      <c r="AC2" s="73">
        <v>26</v>
      </c>
      <c r="AD2" s="73">
        <v>27</v>
      </c>
      <c r="AE2" s="73">
        <v>28</v>
      </c>
      <c r="AF2" s="73">
        <v>29</v>
      </c>
      <c r="AG2" s="73">
        <v>30</v>
      </c>
      <c r="AH2" s="73">
        <v>31</v>
      </c>
      <c r="AI2" s="70"/>
    </row>
    <row r="3" spans="2:35" ht="15" customHeight="1" x14ac:dyDescent="0.25">
      <c r="B3" s="74" t="s">
        <v>212</v>
      </c>
      <c r="C3" s="75">
        <v>25</v>
      </c>
      <c r="D3" s="76">
        <f>SUMIFS('декабрь 2025'!$G$2:$G$2730,'декабрь 2025'!$D$2:$D$2730,$B3,'декабрь 2025'!$J$2:$J$2730,D$1)</f>
        <v>0</v>
      </c>
      <c r="E3" s="76">
        <f>SUMIFS('декабрь 2025'!$G$2:$G$2730,'декабрь 2025'!$D$2:$D$2730,$B3,'декабрь 2025'!$J$2:$J$2730,E$1)</f>
        <v>0</v>
      </c>
      <c r="F3" s="76">
        <f>SUMIFS('декабрь 2025'!$G$2:$G$2730,'декабрь 2025'!$D$2:$D$2730,$B3,'декабрь 2025'!$J$2:$J$2730,F$1)</f>
        <v>0</v>
      </c>
      <c r="G3" s="76">
        <f>SUMIFS('декабрь 2025'!$G$2:$G$2730,'декабрь 2025'!$D$2:$D$2730,$B3,'декабрь 2025'!$J$2:$J$2730,G$1)</f>
        <v>0</v>
      </c>
      <c r="H3" s="76">
        <f>SUMIFS('декабрь 2025'!$G$2:$G$2730,'декабрь 2025'!$D$2:$D$2730,$B3,'декабрь 2025'!$J$2:$J$2730,H$1)</f>
        <v>0</v>
      </c>
      <c r="I3" s="76">
        <f>SUMIFS('декабрь 2025'!$G$2:$G$2730,'декабрь 2025'!$D$2:$D$2730,$B3,'декабрь 2025'!$J$2:$J$2730,I$1)</f>
        <v>0</v>
      </c>
      <c r="J3" s="76">
        <f>SUMIFS('декабрь 2025'!$G$2:$G$2730,'декабрь 2025'!$D$2:$D$2730,$B3,'декабрь 2025'!$J$2:$J$2730,J$1)</f>
        <v>0</v>
      </c>
      <c r="K3" s="76">
        <f>SUMIFS('декабрь 2025'!$G$2:$G$2730,'декабрь 2025'!$D$2:$D$2730,$B3,'декабрь 2025'!$J$2:$J$2730,K$1)</f>
        <v>0</v>
      </c>
      <c r="L3" s="76">
        <f>SUMIFS('декабрь 2025'!$G$2:$G$2730,'декабрь 2025'!$D$2:$D$2730,$B3,'декабрь 2025'!$J$2:$J$2730,L$1)</f>
        <v>0</v>
      </c>
      <c r="M3" s="76">
        <f>SUMIFS('декабрь 2025'!$G$2:$G$2730,'декабрь 2025'!$D$2:$D$2730,$B3,'декабрь 2025'!$J$2:$J$2730,M$1)</f>
        <v>0</v>
      </c>
      <c r="N3" s="76">
        <f>SUMIFS('декабрь 2025'!$G$2:$G$2730,'декабрь 2025'!$D$2:$D$2730,$B3,'декабрь 2025'!$J$2:$J$2730,N$1)</f>
        <v>0</v>
      </c>
      <c r="O3" s="76">
        <f>SUMIFS('декабрь 2025'!$G$2:$G$2730,'декабрь 2025'!$D$2:$D$2730,$B3,'декабрь 2025'!$J$2:$J$2730,O$1)</f>
        <v>0</v>
      </c>
      <c r="P3" s="76">
        <f>SUMIFS('декабрь 2025'!$G$2:$G$2730,'декабрь 2025'!$D$2:$D$2730,$B3,'декабрь 2025'!$J$2:$J$2730,P$1)</f>
        <v>0</v>
      </c>
      <c r="Q3" s="76">
        <f>SUMIFS('декабрь 2025'!$G$2:$G$2730,'декабрь 2025'!$D$2:$D$2730,$B3,'декабрь 2025'!$J$2:$J$2730,Q$1)</f>
        <v>0</v>
      </c>
      <c r="R3" s="76">
        <f>SUMIFS('декабрь 2025'!$G$2:$G$2730,'декабрь 2025'!$D$2:$D$2730,$B3,'декабрь 2025'!$J$2:$J$2730,R$1)</f>
        <v>0</v>
      </c>
      <c r="S3" s="76">
        <f>SUMIFS('декабрь 2025'!$G$2:$G$2730,'декабрь 2025'!$D$2:$D$2730,$B3,'декабрь 2025'!$J$2:$J$2730,S$1)</f>
        <v>0</v>
      </c>
      <c r="T3" s="76">
        <f>SUMIFS('декабрь 2025'!$G$2:$G$2730,'декабрь 2025'!$D$2:$D$2730,$B3,'декабрь 2025'!$J$2:$J$2730,T$1)</f>
        <v>0</v>
      </c>
      <c r="U3" s="76">
        <f>SUMIFS('декабрь 2025'!$G$2:$G$2730,'декабрь 2025'!$D$2:$D$2730,$B3,'декабрь 2025'!$J$2:$J$2730,U$1)</f>
        <v>0</v>
      </c>
      <c r="V3" s="76">
        <f>SUMIFS('декабрь 2025'!$G$2:$G$2730,'декабрь 2025'!$D$2:$D$2730,$B3,'декабрь 2025'!$J$2:$J$2730,V$1)</f>
        <v>0</v>
      </c>
      <c r="W3" s="76">
        <f>SUMIFS('декабрь 2025'!$G$2:$G$2730,'декабрь 2025'!$D$2:$D$2730,$B3,'декабрь 2025'!$J$2:$J$2730,W$1)</f>
        <v>0</v>
      </c>
      <c r="X3" s="76">
        <f>SUMIFS('декабрь 2025'!$G$2:$G$2730,'декабрь 2025'!$D$2:$D$2730,$B3,'декабрь 2025'!$J$2:$J$2730,X$1)</f>
        <v>0</v>
      </c>
      <c r="Y3" s="76">
        <f>SUMIFS('декабрь 2025'!$G$2:$G$2730,'декабрь 2025'!$D$2:$D$2730,$B3,'декабрь 2025'!$J$2:$J$2730,Y$1)</f>
        <v>0</v>
      </c>
      <c r="Z3" s="76">
        <f>SUMIFS('декабрь 2025'!$G$2:$G$2730,'декабрь 2025'!$D$2:$D$2730,$B3,'декабрь 2025'!$J$2:$J$2730,Z$1)</f>
        <v>0</v>
      </c>
      <c r="AA3" s="76">
        <f>SUMIFS('декабрь 2025'!$G$2:$G$2730,'декабрь 2025'!$D$2:$D$2730,$B3,'декабрь 2025'!$J$2:$J$2730,AA$1)</f>
        <v>0</v>
      </c>
      <c r="AB3" s="76">
        <f>SUMIFS('декабрь 2025'!$G$2:$G$2730,'декабрь 2025'!$D$2:$D$2730,$B3,'декабрь 2025'!$J$2:$J$2730,AB$1)</f>
        <v>0</v>
      </c>
      <c r="AC3" s="76">
        <f>SUMIFS('декабрь 2025'!$G$2:$G$2730,'декабрь 2025'!$D$2:$D$2730,$B3,'декабрь 2025'!$J$2:$J$2730,AC$1)</f>
        <v>0</v>
      </c>
      <c r="AD3" s="76">
        <f>SUMIFS('декабрь 2025'!$G$2:$G$2730,'декабрь 2025'!$D$2:$D$2730,$B3,'декабрь 2025'!$J$2:$J$2730,AD$1)</f>
        <v>0</v>
      </c>
      <c r="AE3" s="76">
        <f>SUMIFS('декабрь 2025'!$G$2:$G$2730,'декабрь 2025'!$D$2:$D$2730,$B3,'декабрь 2025'!$J$2:$J$2730,AE$1)</f>
        <v>0</v>
      </c>
      <c r="AF3" s="76">
        <f>SUMIFS('декабрь 2025'!$G$2:$G$2730,'декабрь 2025'!$D$2:$D$2730,$B3,'декабрь 2025'!$J$2:$J$2730,AF$1)</f>
        <v>0</v>
      </c>
      <c r="AG3" s="76">
        <f>SUMIFS('декабрь 2025'!$G$2:$G$2730,'декабрь 2025'!$D$2:$D$2730,$B3,'декабрь 2025'!$J$2:$J$2730,AG$1)</f>
        <v>0</v>
      </c>
      <c r="AH3" s="76">
        <f>SUMIFS('декабрь 2025'!$G$2:$G$2730,'декабрь 2025'!$D$2:$D$2730,$B3,'декабрь 2025'!$J$2:$J$2730,AH$1)</f>
        <v>0</v>
      </c>
      <c r="AI3" s="48">
        <f t="shared" ref="AI3:AI166" si="1">SUM(D3:AH3)</f>
        <v>0</v>
      </c>
    </row>
    <row r="4" spans="2:35" ht="15" customHeight="1" x14ac:dyDescent="0.25">
      <c r="B4" s="276" t="s">
        <v>1574</v>
      </c>
      <c r="C4" s="277">
        <v>25</v>
      </c>
      <c r="D4" s="76">
        <f>SUMIFS('декабрь 2025'!$G$2:$G$2730,'декабрь 2025'!$D$2:$D$2730,$B4,'декабрь 2025'!$J$2:$J$2730,D$1)</f>
        <v>0</v>
      </c>
      <c r="E4" s="76">
        <f>SUMIFS('декабрь 2025'!$G$2:$G$2730,'декабрь 2025'!$D$2:$D$2730,$B4,'декабрь 2025'!$J$2:$J$2730,E$1)</f>
        <v>0</v>
      </c>
      <c r="F4" s="76">
        <f>SUMIFS('декабрь 2025'!$G$2:$G$2730,'декабрь 2025'!$D$2:$D$2730,$B4,'декабрь 2025'!$J$2:$J$2730,F$1)</f>
        <v>0</v>
      </c>
      <c r="G4" s="76">
        <f>SUMIFS('декабрь 2025'!$G$2:$G$2730,'декабрь 2025'!$D$2:$D$2730,$B4,'декабрь 2025'!$J$2:$J$2730,G$1)</f>
        <v>0</v>
      </c>
      <c r="H4" s="76">
        <f>SUMIFS('декабрь 2025'!$G$2:$G$2730,'декабрь 2025'!$D$2:$D$2730,$B4,'декабрь 2025'!$J$2:$J$2730,H$1)</f>
        <v>0</v>
      </c>
      <c r="I4" s="76">
        <f>SUMIFS('декабрь 2025'!$G$2:$G$2730,'декабрь 2025'!$D$2:$D$2730,$B4,'декабрь 2025'!$J$2:$J$2730,I$1)</f>
        <v>0</v>
      </c>
      <c r="J4" s="76">
        <f>SUMIFS('декабрь 2025'!$G$2:$G$2730,'декабрь 2025'!$D$2:$D$2730,$B4,'декабрь 2025'!$J$2:$J$2730,J$1)</f>
        <v>0</v>
      </c>
      <c r="K4" s="76">
        <f>SUMIFS('декабрь 2025'!$G$2:$G$2730,'декабрь 2025'!$D$2:$D$2730,$B4,'декабрь 2025'!$J$2:$J$2730,K$1)</f>
        <v>0</v>
      </c>
      <c r="L4" s="76">
        <f>SUMIFS('декабрь 2025'!$G$2:$G$2730,'декабрь 2025'!$D$2:$D$2730,$B4,'декабрь 2025'!$J$2:$J$2730,L$1)</f>
        <v>0</v>
      </c>
      <c r="M4" s="76">
        <f>SUMIFS('декабрь 2025'!$G$2:$G$2730,'декабрь 2025'!$D$2:$D$2730,$B4,'декабрь 2025'!$J$2:$J$2730,M$1)</f>
        <v>0</v>
      </c>
      <c r="N4" s="76">
        <f>SUMIFS('декабрь 2025'!$G$2:$G$2730,'декабрь 2025'!$D$2:$D$2730,$B4,'декабрь 2025'!$J$2:$J$2730,N$1)</f>
        <v>0</v>
      </c>
      <c r="O4" s="76">
        <f>SUMIFS('декабрь 2025'!$G$2:$G$2730,'декабрь 2025'!$D$2:$D$2730,$B4,'декабрь 2025'!$J$2:$J$2730,O$1)</f>
        <v>0</v>
      </c>
      <c r="P4" s="76">
        <f>SUMIFS('декабрь 2025'!$G$2:$G$2730,'декабрь 2025'!$D$2:$D$2730,$B4,'декабрь 2025'!$J$2:$J$2730,P$1)</f>
        <v>0</v>
      </c>
      <c r="Q4" s="76">
        <f>SUMIFS('декабрь 2025'!$G$2:$G$2730,'декабрь 2025'!$D$2:$D$2730,$B4,'декабрь 2025'!$J$2:$J$2730,Q$1)</f>
        <v>0</v>
      </c>
      <c r="R4" s="76">
        <f>SUMIFS('декабрь 2025'!$G$2:$G$2730,'декабрь 2025'!$D$2:$D$2730,$B4,'декабрь 2025'!$J$2:$J$2730,R$1)</f>
        <v>0</v>
      </c>
      <c r="S4" s="76">
        <f>SUMIFS('декабрь 2025'!$G$2:$G$2730,'декабрь 2025'!$D$2:$D$2730,$B4,'декабрь 2025'!$J$2:$J$2730,S$1)</f>
        <v>0</v>
      </c>
      <c r="T4" s="76">
        <f>SUMIFS('декабрь 2025'!$G$2:$G$2730,'декабрь 2025'!$D$2:$D$2730,$B4,'декабрь 2025'!$J$2:$J$2730,T$1)</f>
        <v>0</v>
      </c>
      <c r="U4" s="76">
        <f>SUMIFS('декабрь 2025'!$G$2:$G$2730,'декабрь 2025'!$D$2:$D$2730,$B4,'декабрь 2025'!$J$2:$J$2730,U$1)</f>
        <v>0</v>
      </c>
      <c r="V4" s="76">
        <f>SUMIFS('декабрь 2025'!$G$2:$G$2730,'декабрь 2025'!$D$2:$D$2730,$B4,'декабрь 2025'!$J$2:$J$2730,V$1)</f>
        <v>0</v>
      </c>
      <c r="W4" s="76">
        <f>SUMIFS('декабрь 2025'!$G$2:$G$2730,'декабрь 2025'!$D$2:$D$2730,$B4,'декабрь 2025'!$J$2:$J$2730,W$1)</f>
        <v>0</v>
      </c>
      <c r="X4" s="76">
        <f>SUMIFS('декабрь 2025'!$G$2:$G$2730,'декабрь 2025'!$D$2:$D$2730,$B4,'декабрь 2025'!$J$2:$J$2730,X$1)</f>
        <v>0</v>
      </c>
      <c r="Y4" s="76">
        <f>SUMIFS('декабрь 2025'!$G$2:$G$2730,'декабрь 2025'!$D$2:$D$2730,$B4,'декабрь 2025'!$J$2:$J$2730,Y$1)</f>
        <v>0</v>
      </c>
      <c r="Z4" s="76">
        <f>SUMIFS('декабрь 2025'!$G$2:$G$2730,'декабрь 2025'!$D$2:$D$2730,$B4,'декабрь 2025'!$J$2:$J$2730,Z$1)</f>
        <v>0</v>
      </c>
      <c r="AA4" s="76">
        <f>SUMIFS('декабрь 2025'!$G$2:$G$2730,'декабрь 2025'!$D$2:$D$2730,$B4,'декабрь 2025'!$J$2:$J$2730,AA$1)</f>
        <v>0</v>
      </c>
      <c r="AB4" s="76">
        <f>SUMIFS('декабрь 2025'!$G$2:$G$2730,'декабрь 2025'!$D$2:$D$2730,$B4,'декабрь 2025'!$J$2:$J$2730,AB$1)</f>
        <v>0</v>
      </c>
      <c r="AC4" s="76">
        <f>SUMIFS('декабрь 2025'!$G$2:$G$2730,'декабрь 2025'!$D$2:$D$2730,$B4,'декабрь 2025'!$J$2:$J$2730,AC$1)</f>
        <v>0</v>
      </c>
      <c r="AD4" s="76">
        <f>SUMIFS('декабрь 2025'!$G$2:$G$2730,'декабрь 2025'!$D$2:$D$2730,$B4,'декабрь 2025'!$J$2:$J$2730,AD$1)</f>
        <v>0</v>
      </c>
      <c r="AE4" s="76">
        <f>SUMIFS('декабрь 2025'!$G$2:$G$2730,'декабрь 2025'!$D$2:$D$2730,$B4,'декабрь 2025'!$J$2:$J$2730,AE$1)</f>
        <v>0</v>
      </c>
      <c r="AF4" s="76">
        <f>SUMIFS('декабрь 2025'!$G$2:$G$2730,'декабрь 2025'!$D$2:$D$2730,$B4,'декабрь 2025'!$J$2:$J$2730,AF$1)</f>
        <v>0</v>
      </c>
      <c r="AG4" s="76">
        <f>SUMIFS('декабрь 2025'!$G$2:$G$2730,'декабрь 2025'!$D$2:$D$2730,$B4,'декабрь 2025'!$J$2:$J$2730,AG$1)</f>
        <v>0</v>
      </c>
      <c r="AH4" s="76">
        <f>SUMIFS('декабрь 2025'!$G$2:$G$2730,'декабрь 2025'!$D$2:$D$2730,$B4,'декабрь 2025'!$J$2:$J$2730,AH$1)</f>
        <v>0</v>
      </c>
      <c r="AI4" s="278">
        <f t="shared" si="1"/>
        <v>0</v>
      </c>
    </row>
    <row r="5" spans="2:35" ht="15" customHeight="1" x14ac:dyDescent="0.25">
      <c r="B5" s="77" t="s">
        <v>214</v>
      </c>
      <c r="C5" s="78">
        <v>25</v>
      </c>
      <c r="D5" s="76">
        <f>SUMIFS('декабрь 2025'!$G$2:$G$2730,'декабрь 2025'!$D$2:$D$2730,$B5,'декабрь 2025'!$J$2:$J$2730,D$1)</f>
        <v>0</v>
      </c>
      <c r="E5" s="76">
        <f>SUMIFS('декабрь 2025'!$G$2:$G$2730,'декабрь 2025'!$D$2:$D$2730,$B5,'декабрь 2025'!$J$2:$J$2730,E$1)</f>
        <v>0</v>
      </c>
      <c r="F5" s="76">
        <f>SUMIFS('декабрь 2025'!$G$2:$G$2730,'декабрь 2025'!$D$2:$D$2730,$B5,'декабрь 2025'!$J$2:$J$2730,F$1)</f>
        <v>0</v>
      </c>
      <c r="G5" s="76">
        <f>SUMIFS('декабрь 2025'!$G$2:$G$2730,'декабрь 2025'!$D$2:$D$2730,$B5,'декабрь 2025'!$J$2:$J$2730,G$1)</f>
        <v>0</v>
      </c>
      <c r="H5" s="76">
        <f>SUMIFS('декабрь 2025'!$G$2:$G$2730,'декабрь 2025'!$D$2:$D$2730,$B5,'декабрь 2025'!$J$2:$J$2730,H$1)</f>
        <v>0</v>
      </c>
      <c r="I5" s="76">
        <f>SUMIFS('декабрь 2025'!$G$2:$G$2730,'декабрь 2025'!$D$2:$D$2730,$B5,'декабрь 2025'!$J$2:$J$2730,I$1)</f>
        <v>0</v>
      </c>
      <c r="J5" s="76">
        <f>SUMIFS('декабрь 2025'!$G$2:$G$2730,'декабрь 2025'!$D$2:$D$2730,$B5,'декабрь 2025'!$J$2:$J$2730,J$1)</f>
        <v>0</v>
      </c>
      <c r="K5" s="76">
        <f>SUMIFS('декабрь 2025'!$G$2:$G$2730,'декабрь 2025'!$D$2:$D$2730,$B5,'декабрь 2025'!$J$2:$J$2730,K$1)</f>
        <v>0</v>
      </c>
      <c r="L5" s="76">
        <f>SUMIFS('декабрь 2025'!$G$2:$G$2730,'декабрь 2025'!$D$2:$D$2730,$B5,'декабрь 2025'!$J$2:$J$2730,L$1)</f>
        <v>0</v>
      </c>
      <c r="M5" s="76">
        <f>SUMIFS('декабрь 2025'!$G$2:$G$2730,'декабрь 2025'!$D$2:$D$2730,$B5,'декабрь 2025'!$J$2:$J$2730,M$1)</f>
        <v>0</v>
      </c>
      <c r="N5" s="76">
        <f>SUMIFS('декабрь 2025'!$G$2:$G$2730,'декабрь 2025'!$D$2:$D$2730,$B5,'декабрь 2025'!$J$2:$J$2730,N$1)</f>
        <v>0</v>
      </c>
      <c r="O5" s="76">
        <f>SUMIFS('декабрь 2025'!$G$2:$G$2730,'декабрь 2025'!$D$2:$D$2730,$B5,'декабрь 2025'!$J$2:$J$2730,O$1)</f>
        <v>0</v>
      </c>
      <c r="P5" s="76">
        <f>SUMIFS('декабрь 2025'!$G$2:$G$2730,'декабрь 2025'!$D$2:$D$2730,$B5,'декабрь 2025'!$J$2:$J$2730,P$1)</f>
        <v>0</v>
      </c>
      <c r="Q5" s="76">
        <f>SUMIFS('декабрь 2025'!$G$2:$G$2730,'декабрь 2025'!$D$2:$D$2730,$B5,'декабрь 2025'!$J$2:$J$2730,Q$1)</f>
        <v>0</v>
      </c>
      <c r="R5" s="76">
        <f>SUMIFS('декабрь 2025'!$G$2:$G$2730,'декабрь 2025'!$D$2:$D$2730,$B5,'декабрь 2025'!$J$2:$J$2730,R$1)</f>
        <v>0</v>
      </c>
      <c r="S5" s="76">
        <f>SUMIFS('декабрь 2025'!$G$2:$G$2730,'декабрь 2025'!$D$2:$D$2730,$B5,'декабрь 2025'!$J$2:$J$2730,S$1)</f>
        <v>0</v>
      </c>
      <c r="T5" s="76">
        <f>SUMIFS('декабрь 2025'!$G$2:$G$2730,'декабрь 2025'!$D$2:$D$2730,$B5,'декабрь 2025'!$J$2:$J$2730,T$1)</f>
        <v>0</v>
      </c>
      <c r="U5" s="76">
        <f>SUMIFS('декабрь 2025'!$G$2:$G$2730,'декабрь 2025'!$D$2:$D$2730,$B5,'декабрь 2025'!$J$2:$J$2730,U$1)</f>
        <v>0</v>
      </c>
      <c r="V5" s="76">
        <f>SUMIFS('декабрь 2025'!$G$2:$G$2730,'декабрь 2025'!$D$2:$D$2730,$B5,'декабрь 2025'!$J$2:$J$2730,V$1)</f>
        <v>0</v>
      </c>
      <c r="W5" s="76">
        <f>SUMIFS('декабрь 2025'!$G$2:$G$2730,'декабрь 2025'!$D$2:$D$2730,$B5,'декабрь 2025'!$J$2:$J$2730,W$1)</f>
        <v>0</v>
      </c>
      <c r="X5" s="76">
        <f>SUMIFS('декабрь 2025'!$G$2:$G$2730,'декабрь 2025'!$D$2:$D$2730,$B5,'декабрь 2025'!$J$2:$J$2730,X$1)</f>
        <v>0</v>
      </c>
      <c r="Y5" s="76">
        <f>SUMIFS('декабрь 2025'!$G$2:$G$2730,'декабрь 2025'!$D$2:$D$2730,$B5,'декабрь 2025'!$J$2:$J$2730,Y$1)</f>
        <v>0</v>
      </c>
      <c r="Z5" s="76">
        <f>SUMIFS('декабрь 2025'!$G$2:$G$2730,'декабрь 2025'!$D$2:$D$2730,$B5,'декабрь 2025'!$J$2:$J$2730,Z$1)</f>
        <v>0</v>
      </c>
      <c r="AA5" s="76">
        <f>SUMIFS('декабрь 2025'!$G$2:$G$2730,'декабрь 2025'!$D$2:$D$2730,$B5,'декабрь 2025'!$J$2:$J$2730,AA$1)</f>
        <v>0</v>
      </c>
      <c r="AB5" s="76">
        <f>SUMIFS('декабрь 2025'!$G$2:$G$2730,'декабрь 2025'!$D$2:$D$2730,$B5,'декабрь 2025'!$J$2:$J$2730,AB$1)</f>
        <v>0</v>
      </c>
      <c r="AC5" s="76">
        <f>SUMIFS('декабрь 2025'!$G$2:$G$2730,'декабрь 2025'!$D$2:$D$2730,$B5,'декабрь 2025'!$J$2:$J$2730,AC$1)</f>
        <v>0</v>
      </c>
      <c r="AD5" s="76">
        <f>SUMIFS('декабрь 2025'!$G$2:$G$2730,'декабрь 2025'!$D$2:$D$2730,$B5,'декабрь 2025'!$J$2:$J$2730,AD$1)</f>
        <v>0</v>
      </c>
      <c r="AE5" s="76">
        <f>SUMIFS('декабрь 2025'!$G$2:$G$2730,'декабрь 2025'!$D$2:$D$2730,$B5,'декабрь 2025'!$J$2:$J$2730,AE$1)</f>
        <v>0</v>
      </c>
      <c r="AF5" s="76">
        <f>SUMIFS('декабрь 2025'!$G$2:$G$2730,'декабрь 2025'!$D$2:$D$2730,$B5,'декабрь 2025'!$J$2:$J$2730,AF$1)</f>
        <v>0</v>
      </c>
      <c r="AG5" s="76">
        <f>SUMIFS('декабрь 2025'!$G$2:$G$2730,'декабрь 2025'!$D$2:$D$2730,$B5,'декабрь 2025'!$J$2:$J$2730,AG$1)</f>
        <v>0</v>
      </c>
      <c r="AH5" s="76">
        <f>SUMIFS('декабрь 2025'!$G$2:$G$2730,'декабрь 2025'!$D$2:$D$2730,$B5,'декабрь 2025'!$J$2:$J$2730,AH$1)</f>
        <v>0</v>
      </c>
      <c r="AI5" s="20">
        <f t="shared" si="1"/>
        <v>0</v>
      </c>
    </row>
    <row r="6" spans="2:35" ht="15" customHeight="1" x14ac:dyDescent="0.25">
      <c r="B6" s="77" t="s">
        <v>216</v>
      </c>
      <c r="C6" s="78">
        <v>25</v>
      </c>
      <c r="D6" s="76">
        <f>SUMIFS('декабрь 2025'!$G$2:$G$2730,'декабрь 2025'!$D$2:$D$2730,$B6,'декабрь 2025'!$J$2:$J$2730,D$1)</f>
        <v>0</v>
      </c>
      <c r="E6" s="76">
        <f>SUMIFS('декабрь 2025'!$G$2:$G$2730,'декабрь 2025'!$D$2:$D$2730,$B6,'декабрь 2025'!$J$2:$J$2730,E$1)</f>
        <v>0</v>
      </c>
      <c r="F6" s="76">
        <f>SUMIFS('декабрь 2025'!$G$2:$G$2730,'декабрь 2025'!$D$2:$D$2730,$B6,'декабрь 2025'!$J$2:$J$2730,F$1)</f>
        <v>0</v>
      </c>
      <c r="G6" s="76">
        <f>SUMIFS('декабрь 2025'!$G$2:$G$2730,'декабрь 2025'!$D$2:$D$2730,$B6,'декабрь 2025'!$J$2:$J$2730,G$1)</f>
        <v>0</v>
      </c>
      <c r="H6" s="76">
        <f>SUMIFS('декабрь 2025'!$G$2:$G$2730,'декабрь 2025'!$D$2:$D$2730,$B6,'декабрь 2025'!$J$2:$J$2730,H$1)</f>
        <v>0</v>
      </c>
      <c r="I6" s="76">
        <f>SUMIFS('декабрь 2025'!$G$2:$G$2730,'декабрь 2025'!$D$2:$D$2730,$B6,'декабрь 2025'!$J$2:$J$2730,I$1)</f>
        <v>0</v>
      </c>
      <c r="J6" s="76">
        <f>SUMIFS('декабрь 2025'!$G$2:$G$2730,'декабрь 2025'!$D$2:$D$2730,$B6,'декабрь 2025'!$J$2:$J$2730,J$1)</f>
        <v>0</v>
      </c>
      <c r="K6" s="76">
        <f>SUMIFS('декабрь 2025'!$G$2:$G$2730,'декабрь 2025'!$D$2:$D$2730,$B6,'декабрь 2025'!$J$2:$J$2730,K$1)</f>
        <v>0</v>
      </c>
      <c r="L6" s="76">
        <f>SUMIFS('декабрь 2025'!$G$2:$G$2730,'декабрь 2025'!$D$2:$D$2730,$B6,'декабрь 2025'!$J$2:$J$2730,L$1)</f>
        <v>0</v>
      </c>
      <c r="M6" s="76">
        <f>SUMIFS('декабрь 2025'!$G$2:$G$2730,'декабрь 2025'!$D$2:$D$2730,$B6,'декабрь 2025'!$J$2:$J$2730,M$1)</f>
        <v>0</v>
      </c>
      <c r="N6" s="76">
        <f>SUMIFS('декабрь 2025'!$G$2:$G$2730,'декабрь 2025'!$D$2:$D$2730,$B6,'декабрь 2025'!$J$2:$J$2730,N$1)</f>
        <v>0</v>
      </c>
      <c r="O6" s="76">
        <f>SUMIFS('декабрь 2025'!$G$2:$G$2730,'декабрь 2025'!$D$2:$D$2730,$B6,'декабрь 2025'!$J$2:$J$2730,O$1)</f>
        <v>0</v>
      </c>
      <c r="P6" s="76">
        <f>SUMIFS('декабрь 2025'!$G$2:$G$2730,'декабрь 2025'!$D$2:$D$2730,$B6,'декабрь 2025'!$J$2:$J$2730,P$1)</f>
        <v>0</v>
      </c>
      <c r="Q6" s="76">
        <f>SUMIFS('декабрь 2025'!$G$2:$G$2730,'декабрь 2025'!$D$2:$D$2730,$B6,'декабрь 2025'!$J$2:$J$2730,Q$1)</f>
        <v>0</v>
      </c>
      <c r="R6" s="76">
        <f>SUMIFS('декабрь 2025'!$G$2:$G$2730,'декабрь 2025'!$D$2:$D$2730,$B6,'декабрь 2025'!$J$2:$J$2730,R$1)</f>
        <v>0</v>
      </c>
      <c r="S6" s="76">
        <f>SUMIFS('декабрь 2025'!$G$2:$G$2730,'декабрь 2025'!$D$2:$D$2730,$B6,'декабрь 2025'!$J$2:$J$2730,S$1)</f>
        <v>0</v>
      </c>
      <c r="T6" s="76">
        <f>SUMIFS('декабрь 2025'!$G$2:$G$2730,'декабрь 2025'!$D$2:$D$2730,$B6,'декабрь 2025'!$J$2:$J$2730,T$1)</f>
        <v>0</v>
      </c>
      <c r="U6" s="76">
        <f>SUMIFS('декабрь 2025'!$G$2:$G$2730,'декабрь 2025'!$D$2:$D$2730,$B6,'декабрь 2025'!$J$2:$J$2730,U$1)</f>
        <v>0</v>
      </c>
      <c r="V6" s="76">
        <f>SUMIFS('декабрь 2025'!$G$2:$G$2730,'декабрь 2025'!$D$2:$D$2730,$B6,'декабрь 2025'!$J$2:$J$2730,V$1)</f>
        <v>0</v>
      </c>
      <c r="W6" s="76">
        <f>SUMIFS('декабрь 2025'!$G$2:$G$2730,'декабрь 2025'!$D$2:$D$2730,$B6,'декабрь 2025'!$J$2:$J$2730,W$1)</f>
        <v>0</v>
      </c>
      <c r="X6" s="76">
        <f>SUMIFS('декабрь 2025'!$G$2:$G$2730,'декабрь 2025'!$D$2:$D$2730,$B6,'декабрь 2025'!$J$2:$J$2730,X$1)</f>
        <v>0</v>
      </c>
      <c r="Y6" s="76">
        <f>SUMIFS('декабрь 2025'!$G$2:$G$2730,'декабрь 2025'!$D$2:$D$2730,$B6,'декабрь 2025'!$J$2:$J$2730,Y$1)</f>
        <v>0</v>
      </c>
      <c r="Z6" s="76">
        <f>SUMIFS('декабрь 2025'!$G$2:$G$2730,'декабрь 2025'!$D$2:$D$2730,$B6,'декабрь 2025'!$J$2:$J$2730,Z$1)</f>
        <v>0</v>
      </c>
      <c r="AA6" s="76">
        <f>SUMIFS('декабрь 2025'!$G$2:$G$2730,'декабрь 2025'!$D$2:$D$2730,$B6,'декабрь 2025'!$J$2:$J$2730,AA$1)</f>
        <v>0</v>
      </c>
      <c r="AB6" s="76">
        <f>SUMIFS('декабрь 2025'!$G$2:$G$2730,'декабрь 2025'!$D$2:$D$2730,$B6,'декабрь 2025'!$J$2:$J$2730,AB$1)</f>
        <v>0</v>
      </c>
      <c r="AC6" s="76">
        <f>SUMIFS('декабрь 2025'!$G$2:$G$2730,'декабрь 2025'!$D$2:$D$2730,$B6,'декабрь 2025'!$J$2:$J$2730,AC$1)</f>
        <v>0</v>
      </c>
      <c r="AD6" s="76">
        <f>SUMIFS('декабрь 2025'!$G$2:$G$2730,'декабрь 2025'!$D$2:$D$2730,$B6,'декабрь 2025'!$J$2:$J$2730,AD$1)</f>
        <v>0</v>
      </c>
      <c r="AE6" s="76">
        <f>SUMIFS('декабрь 2025'!$G$2:$G$2730,'декабрь 2025'!$D$2:$D$2730,$B6,'декабрь 2025'!$J$2:$J$2730,AE$1)</f>
        <v>0</v>
      </c>
      <c r="AF6" s="76">
        <f>SUMIFS('декабрь 2025'!$G$2:$G$2730,'декабрь 2025'!$D$2:$D$2730,$B6,'декабрь 2025'!$J$2:$J$2730,AF$1)</f>
        <v>0</v>
      </c>
      <c r="AG6" s="76">
        <f>SUMIFS('декабрь 2025'!$G$2:$G$2730,'декабрь 2025'!$D$2:$D$2730,$B6,'декабрь 2025'!$J$2:$J$2730,AG$1)</f>
        <v>0</v>
      </c>
      <c r="AH6" s="76">
        <f>SUMIFS('декабрь 2025'!$G$2:$G$2730,'декабрь 2025'!$D$2:$D$2730,$B6,'декабрь 2025'!$J$2:$J$2730,AH$1)</f>
        <v>0</v>
      </c>
      <c r="AI6" s="20">
        <f t="shared" si="1"/>
        <v>0</v>
      </c>
    </row>
    <row r="7" spans="2:35" ht="15" customHeight="1" x14ac:dyDescent="0.25">
      <c r="B7" s="77" t="s">
        <v>218</v>
      </c>
      <c r="C7" s="78">
        <v>22.7</v>
      </c>
      <c r="D7" s="76">
        <f>SUMIFS('декабрь 2025'!$G$2:$G$2730,'декабрь 2025'!$D$2:$D$2730,$B7,'декабрь 2025'!$J$2:$J$2730,D$1)</f>
        <v>0</v>
      </c>
      <c r="E7" s="76">
        <f>SUMIFS('декабрь 2025'!$G$2:$G$2730,'декабрь 2025'!$D$2:$D$2730,$B7,'декабрь 2025'!$J$2:$J$2730,E$1)</f>
        <v>0</v>
      </c>
      <c r="F7" s="76">
        <f>SUMIFS('декабрь 2025'!$G$2:$G$2730,'декабрь 2025'!$D$2:$D$2730,$B7,'декабрь 2025'!$J$2:$J$2730,F$1)</f>
        <v>0</v>
      </c>
      <c r="G7" s="76">
        <f>SUMIFS('декабрь 2025'!$G$2:$G$2730,'декабрь 2025'!$D$2:$D$2730,$B7,'декабрь 2025'!$J$2:$J$2730,G$1)</f>
        <v>0</v>
      </c>
      <c r="H7" s="76">
        <f>SUMIFS('декабрь 2025'!$G$2:$G$2730,'декабрь 2025'!$D$2:$D$2730,$B7,'декабрь 2025'!$J$2:$J$2730,H$1)</f>
        <v>0</v>
      </c>
      <c r="I7" s="76">
        <f>SUMIFS('декабрь 2025'!$G$2:$G$2730,'декабрь 2025'!$D$2:$D$2730,$B7,'декабрь 2025'!$J$2:$J$2730,I$1)</f>
        <v>0</v>
      </c>
      <c r="J7" s="76">
        <f>SUMIFS('декабрь 2025'!$G$2:$G$2730,'декабрь 2025'!$D$2:$D$2730,$B7,'декабрь 2025'!$J$2:$J$2730,J$1)</f>
        <v>0</v>
      </c>
      <c r="K7" s="76">
        <f>SUMIFS('декабрь 2025'!$G$2:$G$2730,'декабрь 2025'!$D$2:$D$2730,$B7,'декабрь 2025'!$J$2:$J$2730,K$1)</f>
        <v>0</v>
      </c>
      <c r="L7" s="76">
        <f>SUMIFS('декабрь 2025'!$G$2:$G$2730,'декабрь 2025'!$D$2:$D$2730,$B7,'декабрь 2025'!$J$2:$J$2730,L$1)</f>
        <v>0</v>
      </c>
      <c r="M7" s="76">
        <f>SUMIFS('декабрь 2025'!$G$2:$G$2730,'декабрь 2025'!$D$2:$D$2730,$B7,'декабрь 2025'!$J$2:$J$2730,M$1)</f>
        <v>0</v>
      </c>
      <c r="N7" s="76">
        <f>SUMIFS('декабрь 2025'!$G$2:$G$2730,'декабрь 2025'!$D$2:$D$2730,$B7,'декабрь 2025'!$J$2:$J$2730,N$1)</f>
        <v>0</v>
      </c>
      <c r="O7" s="76">
        <f>SUMIFS('декабрь 2025'!$G$2:$G$2730,'декабрь 2025'!$D$2:$D$2730,$B7,'декабрь 2025'!$J$2:$J$2730,O$1)</f>
        <v>0</v>
      </c>
      <c r="P7" s="76">
        <f>SUMIFS('декабрь 2025'!$G$2:$G$2730,'декабрь 2025'!$D$2:$D$2730,$B7,'декабрь 2025'!$J$2:$J$2730,P$1)</f>
        <v>0</v>
      </c>
      <c r="Q7" s="76">
        <f>SUMIFS('декабрь 2025'!$G$2:$G$2730,'декабрь 2025'!$D$2:$D$2730,$B7,'декабрь 2025'!$J$2:$J$2730,Q$1)</f>
        <v>0</v>
      </c>
      <c r="R7" s="76">
        <f>SUMIFS('декабрь 2025'!$G$2:$G$2730,'декабрь 2025'!$D$2:$D$2730,$B7,'декабрь 2025'!$J$2:$J$2730,R$1)</f>
        <v>0</v>
      </c>
      <c r="S7" s="76">
        <f>SUMIFS('декабрь 2025'!$G$2:$G$2730,'декабрь 2025'!$D$2:$D$2730,$B7,'декабрь 2025'!$J$2:$J$2730,S$1)</f>
        <v>0</v>
      </c>
      <c r="T7" s="76">
        <f>SUMIFS('декабрь 2025'!$G$2:$G$2730,'декабрь 2025'!$D$2:$D$2730,$B7,'декабрь 2025'!$J$2:$J$2730,T$1)</f>
        <v>0</v>
      </c>
      <c r="U7" s="76">
        <f>SUMIFS('декабрь 2025'!$G$2:$G$2730,'декабрь 2025'!$D$2:$D$2730,$B7,'декабрь 2025'!$J$2:$J$2730,U$1)</f>
        <v>0</v>
      </c>
      <c r="V7" s="76">
        <f>SUMIFS('декабрь 2025'!$G$2:$G$2730,'декабрь 2025'!$D$2:$D$2730,$B7,'декабрь 2025'!$J$2:$J$2730,V$1)</f>
        <v>0</v>
      </c>
      <c r="W7" s="76">
        <f>SUMIFS('декабрь 2025'!$G$2:$G$2730,'декабрь 2025'!$D$2:$D$2730,$B7,'декабрь 2025'!$J$2:$J$2730,W$1)</f>
        <v>0</v>
      </c>
      <c r="X7" s="76">
        <f>SUMIFS('декабрь 2025'!$G$2:$G$2730,'декабрь 2025'!$D$2:$D$2730,$B7,'декабрь 2025'!$J$2:$J$2730,X$1)</f>
        <v>0</v>
      </c>
      <c r="Y7" s="76">
        <f>SUMIFS('декабрь 2025'!$G$2:$G$2730,'декабрь 2025'!$D$2:$D$2730,$B7,'декабрь 2025'!$J$2:$J$2730,Y$1)</f>
        <v>0</v>
      </c>
      <c r="Z7" s="76">
        <f>SUMIFS('декабрь 2025'!$G$2:$G$2730,'декабрь 2025'!$D$2:$D$2730,$B7,'декабрь 2025'!$J$2:$J$2730,Z$1)</f>
        <v>0</v>
      </c>
      <c r="AA7" s="76">
        <f>SUMIFS('декабрь 2025'!$G$2:$G$2730,'декабрь 2025'!$D$2:$D$2730,$B7,'декабрь 2025'!$J$2:$J$2730,AA$1)</f>
        <v>0</v>
      </c>
      <c r="AB7" s="76">
        <f>SUMIFS('декабрь 2025'!$G$2:$G$2730,'декабрь 2025'!$D$2:$D$2730,$B7,'декабрь 2025'!$J$2:$J$2730,AB$1)</f>
        <v>0</v>
      </c>
      <c r="AC7" s="76">
        <f>SUMIFS('декабрь 2025'!$G$2:$G$2730,'декабрь 2025'!$D$2:$D$2730,$B7,'декабрь 2025'!$J$2:$J$2730,AC$1)</f>
        <v>0</v>
      </c>
      <c r="AD7" s="76">
        <f>SUMIFS('декабрь 2025'!$G$2:$G$2730,'декабрь 2025'!$D$2:$D$2730,$B7,'декабрь 2025'!$J$2:$J$2730,AD$1)</f>
        <v>0</v>
      </c>
      <c r="AE7" s="76">
        <f>SUMIFS('декабрь 2025'!$G$2:$G$2730,'декабрь 2025'!$D$2:$D$2730,$B7,'декабрь 2025'!$J$2:$J$2730,AE$1)</f>
        <v>0</v>
      </c>
      <c r="AF7" s="76">
        <f>SUMIFS('декабрь 2025'!$G$2:$G$2730,'декабрь 2025'!$D$2:$D$2730,$B7,'декабрь 2025'!$J$2:$J$2730,AF$1)</f>
        <v>0</v>
      </c>
      <c r="AG7" s="76">
        <f>SUMIFS('декабрь 2025'!$G$2:$G$2730,'декабрь 2025'!$D$2:$D$2730,$B7,'декабрь 2025'!$J$2:$J$2730,AG$1)</f>
        <v>0</v>
      </c>
      <c r="AH7" s="76">
        <f>SUMIFS('декабрь 2025'!$G$2:$G$2730,'декабрь 2025'!$D$2:$D$2730,$B7,'декабрь 2025'!$J$2:$J$2730,AH$1)</f>
        <v>0</v>
      </c>
      <c r="AI7" s="20">
        <f t="shared" si="1"/>
        <v>0</v>
      </c>
    </row>
    <row r="8" spans="2:35" ht="15" customHeight="1" x14ac:dyDescent="0.25">
      <c r="B8" s="77" t="s">
        <v>220</v>
      </c>
      <c r="C8" s="78">
        <v>22.7</v>
      </c>
      <c r="D8" s="76">
        <f>SUMIFS('декабрь 2025'!$G$2:$G$2730,'декабрь 2025'!$D$2:$D$2730,$B8,'декабрь 2025'!$J$2:$J$2730,D$1)</f>
        <v>0</v>
      </c>
      <c r="E8" s="76">
        <f>SUMIFS('декабрь 2025'!$G$2:$G$2730,'декабрь 2025'!$D$2:$D$2730,$B8,'декабрь 2025'!$J$2:$J$2730,E$1)</f>
        <v>0</v>
      </c>
      <c r="F8" s="76">
        <f>SUMIFS('декабрь 2025'!$G$2:$G$2730,'декабрь 2025'!$D$2:$D$2730,$B8,'декабрь 2025'!$J$2:$J$2730,F$1)</f>
        <v>0</v>
      </c>
      <c r="G8" s="76">
        <f>SUMIFS('декабрь 2025'!$G$2:$G$2730,'декабрь 2025'!$D$2:$D$2730,$B8,'декабрь 2025'!$J$2:$J$2730,G$1)</f>
        <v>0</v>
      </c>
      <c r="H8" s="76">
        <f>SUMIFS('декабрь 2025'!$G$2:$G$2730,'декабрь 2025'!$D$2:$D$2730,$B8,'декабрь 2025'!$J$2:$J$2730,H$1)</f>
        <v>0</v>
      </c>
      <c r="I8" s="76">
        <f>SUMIFS('декабрь 2025'!$G$2:$G$2730,'декабрь 2025'!$D$2:$D$2730,$B8,'декабрь 2025'!$J$2:$J$2730,I$1)</f>
        <v>0</v>
      </c>
      <c r="J8" s="76">
        <f>SUMIFS('декабрь 2025'!$G$2:$G$2730,'декабрь 2025'!$D$2:$D$2730,$B8,'декабрь 2025'!$J$2:$J$2730,J$1)</f>
        <v>0</v>
      </c>
      <c r="K8" s="76">
        <f>SUMIFS('декабрь 2025'!$G$2:$G$2730,'декабрь 2025'!$D$2:$D$2730,$B8,'декабрь 2025'!$J$2:$J$2730,K$1)</f>
        <v>0</v>
      </c>
      <c r="L8" s="76">
        <f>SUMIFS('декабрь 2025'!$G$2:$G$2730,'декабрь 2025'!$D$2:$D$2730,$B8,'декабрь 2025'!$J$2:$J$2730,L$1)</f>
        <v>0</v>
      </c>
      <c r="M8" s="76">
        <f>SUMIFS('декабрь 2025'!$G$2:$G$2730,'декабрь 2025'!$D$2:$D$2730,$B8,'декабрь 2025'!$J$2:$J$2730,M$1)</f>
        <v>0</v>
      </c>
      <c r="N8" s="76">
        <f>SUMIFS('декабрь 2025'!$G$2:$G$2730,'декабрь 2025'!$D$2:$D$2730,$B8,'декабрь 2025'!$J$2:$J$2730,N$1)</f>
        <v>0</v>
      </c>
      <c r="O8" s="76">
        <f>SUMIFS('декабрь 2025'!$G$2:$G$2730,'декабрь 2025'!$D$2:$D$2730,$B8,'декабрь 2025'!$J$2:$J$2730,O$1)</f>
        <v>0</v>
      </c>
      <c r="P8" s="76">
        <f>SUMIFS('декабрь 2025'!$G$2:$G$2730,'декабрь 2025'!$D$2:$D$2730,$B8,'декабрь 2025'!$J$2:$J$2730,P$1)</f>
        <v>0</v>
      </c>
      <c r="Q8" s="76">
        <f>SUMIFS('декабрь 2025'!$G$2:$G$2730,'декабрь 2025'!$D$2:$D$2730,$B8,'декабрь 2025'!$J$2:$J$2730,Q$1)</f>
        <v>0</v>
      </c>
      <c r="R8" s="76">
        <f>SUMIFS('декабрь 2025'!$G$2:$G$2730,'декабрь 2025'!$D$2:$D$2730,$B8,'декабрь 2025'!$J$2:$J$2730,R$1)</f>
        <v>0</v>
      </c>
      <c r="S8" s="76">
        <f>SUMIFS('декабрь 2025'!$G$2:$G$2730,'декабрь 2025'!$D$2:$D$2730,$B8,'декабрь 2025'!$J$2:$J$2730,S$1)</f>
        <v>0</v>
      </c>
      <c r="T8" s="76">
        <f>SUMIFS('декабрь 2025'!$G$2:$G$2730,'декабрь 2025'!$D$2:$D$2730,$B8,'декабрь 2025'!$J$2:$J$2730,T$1)</f>
        <v>0</v>
      </c>
      <c r="U8" s="76">
        <f>SUMIFS('декабрь 2025'!$G$2:$G$2730,'декабрь 2025'!$D$2:$D$2730,$B8,'декабрь 2025'!$J$2:$J$2730,U$1)</f>
        <v>0</v>
      </c>
      <c r="V8" s="76">
        <f>SUMIFS('декабрь 2025'!$G$2:$G$2730,'декабрь 2025'!$D$2:$D$2730,$B8,'декабрь 2025'!$J$2:$J$2730,V$1)</f>
        <v>0</v>
      </c>
      <c r="W8" s="76">
        <f>SUMIFS('декабрь 2025'!$G$2:$G$2730,'декабрь 2025'!$D$2:$D$2730,$B8,'декабрь 2025'!$J$2:$J$2730,W$1)</f>
        <v>0</v>
      </c>
      <c r="X8" s="76">
        <f>SUMIFS('декабрь 2025'!$G$2:$G$2730,'декабрь 2025'!$D$2:$D$2730,$B8,'декабрь 2025'!$J$2:$J$2730,X$1)</f>
        <v>0</v>
      </c>
      <c r="Y8" s="76">
        <f>SUMIFS('декабрь 2025'!$G$2:$G$2730,'декабрь 2025'!$D$2:$D$2730,$B8,'декабрь 2025'!$J$2:$J$2730,Y$1)</f>
        <v>0</v>
      </c>
      <c r="Z8" s="76">
        <f>SUMIFS('декабрь 2025'!$G$2:$G$2730,'декабрь 2025'!$D$2:$D$2730,$B8,'декабрь 2025'!$J$2:$J$2730,Z$1)</f>
        <v>0</v>
      </c>
      <c r="AA8" s="76">
        <f>SUMIFS('декабрь 2025'!$G$2:$G$2730,'декабрь 2025'!$D$2:$D$2730,$B8,'декабрь 2025'!$J$2:$J$2730,AA$1)</f>
        <v>0</v>
      </c>
      <c r="AB8" s="76">
        <f>SUMIFS('декабрь 2025'!$G$2:$G$2730,'декабрь 2025'!$D$2:$D$2730,$B8,'декабрь 2025'!$J$2:$J$2730,AB$1)</f>
        <v>0</v>
      </c>
      <c r="AC8" s="76">
        <f>SUMIFS('декабрь 2025'!$G$2:$G$2730,'декабрь 2025'!$D$2:$D$2730,$B8,'декабрь 2025'!$J$2:$J$2730,AC$1)</f>
        <v>0</v>
      </c>
      <c r="AD8" s="76">
        <f>SUMIFS('декабрь 2025'!$G$2:$G$2730,'декабрь 2025'!$D$2:$D$2730,$B8,'декабрь 2025'!$J$2:$J$2730,AD$1)</f>
        <v>0</v>
      </c>
      <c r="AE8" s="76">
        <f>SUMIFS('декабрь 2025'!$G$2:$G$2730,'декабрь 2025'!$D$2:$D$2730,$B8,'декабрь 2025'!$J$2:$J$2730,AE$1)</f>
        <v>0</v>
      </c>
      <c r="AF8" s="76">
        <f>SUMIFS('декабрь 2025'!$G$2:$G$2730,'декабрь 2025'!$D$2:$D$2730,$B8,'декабрь 2025'!$J$2:$J$2730,AF$1)</f>
        <v>0</v>
      </c>
      <c r="AG8" s="76">
        <f>SUMIFS('декабрь 2025'!$G$2:$G$2730,'декабрь 2025'!$D$2:$D$2730,$B8,'декабрь 2025'!$J$2:$J$2730,AG$1)</f>
        <v>0</v>
      </c>
      <c r="AH8" s="76">
        <f>SUMIFS('декабрь 2025'!$G$2:$G$2730,'декабрь 2025'!$D$2:$D$2730,$B8,'декабрь 2025'!$J$2:$J$2730,AH$1)</f>
        <v>0</v>
      </c>
      <c r="AI8" s="20">
        <f t="shared" si="1"/>
        <v>0</v>
      </c>
    </row>
    <row r="9" spans="2:35" ht="15" customHeight="1" x14ac:dyDescent="0.25">
      <c r="B9" s="79" t="s">
        <v>222</v>
      </c>
      <c r="C9" s="78">
        <v>25</v>
      </c>
      <c r="D9" s="76">
        <f>SUMIFS('декабрь 2025'!$G$2:$G$2730,'декабрь 2025'!$D$2:$D$2730,$B9,'декабрь 2025'!$J$2:$J$2730,D$1)</f>
        <v>0</v>
      </c>
      <c r="E9" s="76">
        <f>SUMIFS('декабрь 2025'!$G$2:$G$2730,'декабрь 2025'!$D$2:$D$2730,$B9,'декабрь 2025'!$J$2:$J$2730,E$1)</f>
        <v>0</v>
      </c>
      <c r="F9" s="76">
        <f>SUMIFS('декабрь 2025'!$G$2:$G$2730,'декабрь 2025'!$D$2:$D$2730,$B9,'декабрь 2025'!$J$2:$J$2730,F$1)</f>
        <v>0</v>
      </c>
      <c r="G9" s="76">
        <f>SUMIFS('декабрь 2025'!$G$2:$G$2730,'декабрь 2025'!$D$2:$D$2730,$B9,'декабрь 2025'!$J$2:$J$2730,G$1)</f>
        <v>0</v>
      </c>
      <c r="H9" s="76">
        <f>SUMIFS('декабрь 2025'!$G$2:$G$2730,'декабрь 2025'!$D$2:$D$2730,$B9,'декабрь 2025'!$J$2:$J$2730,H$1)</f>
        <v>0</v>
      </c>
      <c r="I9" s="76">
        <f>SUMIFS('декабрь 2025'!$G$2:$G$2730,'декабрь 2025'!$D$2:$D$2730,$B9,'декабрь 2025'!$J$2:$J$2730,I$1)</f>
        <v>0</v>
      </c>
      <c r="J9" s="76">
        <f>SUMIFS('декабрь 2025'!$G$2:$G$2730,'декабрь 2025'!$D$2:$D$2730,$B9,'декабрь 2025'!$J$2:$J$2730,J$1)</f>
        <v>0</v>
      </c>
      <c r="K9" s="76">
        <f>SUMIFS('декабрь 2025'!$G$2:$G$2730,'декабрь 2025'!$D$2:$D$2730,$B9,'декабрь 2025'!$J$2:$J$2730,K$1)</f>
        <v>0</v>
      </c>
      <c r="L9" s="76">
        <f>SUMIFS('декабрь 2025'!$G$2:$G$2730,'декабрь 2025'!$D$2:$D$2730,$B9,'декабрь 2025'!$J$2:$J$2730,L$1)</f>
        <v>0</v>
      </c>
      <c r="M9" s="76">
        <f>SUMIFS('декабрь 2025'!$G$2:$G$2730,'декабрь 2025'!$D$2:$D$2730,$B9,'декабрь 2025'!$J$2:$J$2730,M$1)</f>
        <v>0</v>
      </c>
      <c r="N9" s="76">
        <f>SUMIFS('декабрь 2025'!$G$2:$G$2730,'декабрь 2025'!$D$2:$D$2730,$B9,'декабрь 2025'!$J$2:$J$2730,N$1)</f>
        <v>0</v>
      </c>
      <c r="O9" s="76">
        <f>SUMIFS('декабрь 2025'!$G$2:$G$2730,'декабрь 2025'!$D$2:$D$2730,$B9,'декабрь 2025'!$J$2:$J$2730,O$1)</f>
        <v>0</v>
      </c>
      <c r="P9" s="76">
        <f>SUMIFS('декабрь 2025'!$G$2:$G$2730,'декабрь 2025'!$D$2:$D$2730,$B9,'декабрь 2025'!$J$2:$J$2730,P$1)</f>
        <v>0</v>
      </c>
      <c r="Q9" s="76">
        <f>SUMIFS('декабрь 2025'!$G$2:$G$2730,'декабрь 2025'!$D$2:$D$2730,$B9,'декабрь 2025'!$J$2:$J$2730,Q$1)</f>
        <v>0</v>
      </c>
      <c r="R9" s="76">
        <f>SUMIFS('декабрь 2025'!$G$2:$G$2730,'декабрь 2025'!$D$2:$D$2730,$B9,'декабрь 2025'!$J$2:$J$2730,R$1)</f>
        <v>0</v>
      </c>
      <c r="S9" s="76">
        <f>SUMIFS('декабрь 2025'!$G$2:$G$2730,'декабрь 2025'!$D$2:$D$2730,$B9,'декабрь 2025'!$J$2:$J$2730,S$1)</f>
        <v>0</v>
      </c>
      <c r="T9" s="76">
        <f>SUMIFS('декабрь 2025'!$G$2:$G$2730,'декабрь 2025'!$D$2:$D$2730,$B9,'декабрь 2025'!$J$2:$J$2730,T$1)</f>
        <v>0</v>
      </c>
      <c r="U9" s="76">
        <f>SUMIFS('декабрь 2025'!$G$2:$G$2730,'декабрь 2025'!$D$2:$D$2730,$B9,'декабрь 2025'!$J$2:$J$2730,U$1)</f>
        <v>0</v>
      </c>
      <c r="V9" s="76">
        <f>SUMIFS('декабрь 2025'!$G$2:$G$2730,'декабрь 2025'!$D$2:$D$2730,$B9,'декабрь 2025'!$J$2:$J$2730,V$1)</f>
        <v>0</v>
      </c>
      <c r="W9" s="76">
        <f>SUMIFS('декабрь 2025'!$G$2:$G$2730,'декабрь 2025'!$D$2:$D$2730,$B9,'декабрь 2025'!$J$2:$J$2730,W$1)</f>
        <v>0</v>
      </c>
      <c r="X9" s="76">
        <f>SUMIFS('декабрь 2025'!$G$2:$G$2730,'декабрь 2025'!$D$2:$D$2730,$B9,'декабрь 2025'!$J$2:$J$2730,X$1)</f>
        <v>0</v>
      </c>
      <c r="Y9" s="76">
        <f>SUMIFS('декабрь 2025'!$G$2:$G$2730,'декабрь 2025'!$D$2:$D$2730,$B9,'декабрь 2025'!$J$2:$J$2730,Y$1)</f>
        <v>0</v>
      </c>
      <c r="Z9" s="76">
        <f>SUMIFS('декабрь 2025'!$G$2:$G$2730,'декабрь 2025'!$D$2:$D$2730,$B9,'декабрь 2025'!$J$2:$J$2730,Z$1)</f>
        <v>0</v>
      </c>
      <c r="AA9" s="76">
        <f>SUMIFS('декабрь 2025'!$G$2:$G$2730,'декабрь 2025'!$D$2:$D$2730,$B9,'декабрь 2025'!$J$2:$J$2730,AA$1)</f>
        <v>0</v>
      </c>
      <c r="AB9" s="76">
        <f>SUMIFS('декабрь 2025'!$G$2:$G$2730,'декабрь 2025'!$D$2:$D$2730,$B9,'декабрь 2025'!$J$2:$J$2730,AB$1)</f>
        <v>0</v>
      </c>
      <c r="AC9" s="76">
        <f>SUMIFS('декабрь 2025'!$G$2:$G$2730,'декабрь 2025'!$D$2:$D$2730,$B9,'декабрь 2025'!$J$2:$J$2730,AC$1)</f>
        <v>0</v>
      </c>
      <c r="AD9" s="76">
        <f>SUMIFS('декабрь 2025'!$G$2:$G$2730,'декабрь 2025'!$D$2:$D$2730,$B9,'декабрь 2025'!$J$2:$J$2730,AD$1)</f>
        <v>0</v>
      </c>
      <c r="AE9" s="76">
        <f>SUMIFS('декабрь 2025'!$G$2:$G$2730,'декабрь 2025'!$D$2:$D$2730,$B9,'декабрь 2025'!$J$2:$J$2730,AE$1)</f>
        <v>0</v>
      </c>
      <c r="AF9" s="76">
        <f>SUMIFS('декабрь 2025'!$G$2:$G$2730,'декабрь 2025'!$D$2:$D$2730,$B9,'декабрь 2025'!$J$2:$J$2730,AF$1)</f>
        <v>0</v>
      </c>
      <c r="AG9" s="76">
        <f>SUMIFS('декабрь 2025'!$G$2:$G$2730,'декабрь 2025'!$D$2:$D$2730,$B9,'декабрь 2025'!$J$2:$J$2730,AG$1)</f>
        <v>0</v>
      </c>
      <c r="AH9" s="76">
        <f>SUMIFS('декабрь 2025'!$G$2:$G$2730,'декабрь 2025'!$D$2:$D$2730,$B9,'декабрь 2025'!$J$2:$J$2730,AH$1)</f>
        <v>0</v>
      </c>
      <c r="AI9" s="20">
        <f t="shared" si="1"/>
        <v>0</v>
      </c>
    </row>
    <row r="10" spans="2:35" ht="15" customHeight="1" x14ac:dyDescent="0.25">
      <c r="B10" s="77" t="s">
        <v>224</v>
      </c>
      <c r="C10" s="78">
        <v>25</v>
      </c>
      <c r="D10" s="76">
        <f>SUMIFS('декабрь 2025'!$G$2:$G$2730,'декабрь 2025'!$D$2:$D$2730,$B10,'декабрь 2025'!$J$2:$J$2730,D$1)</f>
        <v>0</v>
      </c>
      <c r="E10" s="76">
        <f>SUMIFS('декабрь 2025'!$G$2:$G$2730,'декабрь 2025'!$D$2:$D$2730,$B10,'декабрь 2025'!$J$2:$J$2730,E$1)</f>
        <v>0</v>
      </c>
      <c r="F10" s="76">
        <f>SUMIFS('декабрь 2025'!$G$2:$G$2730,'декабрь 2025'!$D$2:$D$2730,$B10,'декабрь 2025'!$J$2:$J$2730,F$1)</f>
        <v>0</v>
      </c>
      <c r="G10" s="76">
        <f>SUMIFS('декабрь 2025'!$G$2:$G$2730,'декабрь 2025'!$D$2:$D$2730,$B10,'декабрь 2025'!$J$2:$J$2730,G$1)</f>
        <v>0</v>
      </c>
      <c r="H10" s="76">
        <f>SUMIFS('декабрь 2025'!$G$2:$G$2730,'декабрь 2025'!$D$2:$D$2730,$B10,'декабрь 2025'!$J$2:$J$2730,H$1)</f>
        <v>0</v>
      </c>
      <c r="I10" s="76">
        <f>SUMIFS('декабрь 2025'!$G$2:$G$2730,'декабрь 2025'!$D$2:$D$2730,$B10,'декабрь 2025'!$J$2:$J$2730,I$1)</f>
        <v>0</v>
      </c>
      <c r="J10" s="76">
        <f>SUMIFS('декабрь 2025'!$G$2:$G$2730,'декабрь 2025'!$D$2:$D$2730,$B10,'декабрь 2025'!$J$2:$J$2730,J$1)</f>
        <v>0</v>
      </c>
      <c r="K10" s="76">
        <f>SUMIFS('декабрь 2025'!$G$2:$G$2730,'декабрь 2025'!$D$2:$D$2730,$B10,'декабрь 2025'!$J$2:$J$2730,K$1)</f>
        <v>0</v>
      </c>
      <c r="L10" s="76">
        <f>SUMIFS('декабрь 2025'!$G$2:$G$2730,'декабрь 2025'!$D$2:$D$2730,$B10,'декабрь 2025'!$J$2:$J$2730,L$1)</f>
        <v>0</v>
      </c>
      <c r="M10" s="76">
        <f>SUMIFS('декабрь 2025'!$G$2:$G$2730,'декабрь 2025'!$D$2:$D$2730,$B10,'декабрь 2025'!$J$2:$J$2730,M$1)</f>
        <v>0</v>
      </c>
      <c r="N10" s="76">
        <f>SUMIFS('декабрь 2025'!$G$2:$G$2730,'декабрь 2025'!$D$2:$D$2730,$B10,'декабрь 2025'!$J$2:$J$2730,N$1)</f>
        <v>0</v>
      </c>
      <c r="O10" s="76">
        <f>SUMIFS('декабрь 2025'!$G$2:$G$2730,'декабрь 2025'!$D$2:$D$2730,$B10,'декабрь 2025'!$J$2:$J$2730,O$1)</f>
        <v>0</v>
      </c>
      <c r="P10" s="76">
        <f>SUMIFS('декабрь 2025'!$G$2:$G$2730,'декабрь 2025'!$D$2:$D$2730,$B10,'декабрь 2025'!$J$2:$J$2730,P$1)</f>
        <v>0</v>
      </c>
      <c r="Q10" s="76">
        <f>SUMIFS('декабрь 2025'!$G$2:$G$2730,'декабрь 2025'!$D$2:$D$2730,$B10,'декабрь 2025'!$J$2:$J$2730,Q$1)</f>
        <v>0</v>
      </c>
      <c r="R10" s="76">
        <f>SUMIFS('декабрь 2025'!$G$2:$G$2730,'декабрь 2025'!$D$2:$D$2730,$B10,'декабрь 2025'!$J$2:$J$2730,R$1)</f>
        <v>0</v>
      </c>
      <c r="S10" s="76">
        <f>SUMIFS('декабрь 2025'!$G$2:$G$2730,'декабрь 2025'!$D$2:$D$2730,$B10,'декабрь 2025'!$J$2:$J$2730,S$1)</f>
        <v>0</v>
      </c>
      <c r="T10" s="76">
        <f>SUMIFS('декабрь 2025'!$G$2:$G$2730,'декабрь 2025'!$D$2:$D$2730,$B10,'декабрь 2025'!$J$2:$J$2730,T$1)</f>
        <v>0</v>
      </c>
      <c r="U10" s="76">
        <f>SUMIFS('декабрь 2025'!$G$2:$G$2730,'декабрь 2025'!$D$2:$D$2730,$B10,'декабрь 2025'!$J$2:$J$2730,U$1)</f>
        <v>0</v>
      </c>
      <c r="V10" s="76">
        <f>SUMIFS('декабрь 2025'!$G$2:$G$2730,'декабрь 2025'!$D$2:$D$2730,$B10,'декабрь 2025'!$J$2:$J$2730,V$1)</f>
        <v>0</v>
      </c>
      <c r="W10" s="76">
        <f>SUMIFS('декабрь 2025'!$G$2:$G$2730,'декабрь 2025'!$D$2:$D$2730,$B10,'декабрь 2025'!$J$2:$J$2730,W$1)</f>
        <v>0</v>
      </c>
      <c r="X10" s="76">
        <f>SUMIFS('декабрь 2025'!$G$2:$G$2730,'декабрь 2025'!$D$2:$D$2730,$B10,'декабрь 2025'!$J$2:$J$2730,X$1)</f>
        <v>0</v>
      </c>
      <c r="Y10" s="76">
        <f>SUMIFS('декабрь 2025'!$G$2:$G$2730,'декабрь 2025'!$D$2:$D$2730,$B10,'декабрь 2025'!$J$2:$J$2730,Y$1)</f>
        <v>0</v>
      </c>
      <c r="Z10" s="76">
        <f>SUMIFS('декабрь 2025'!$G$2:$G$2730,'декабрь 2025'!$D$2:$D$2730,$B10,'декабрь 2025'!$J$2:$J$2730,Z$1)</f>
        <v>0</v>
      </c>
      <c r="AA10" s="76">
        <f>SUMIFS('декабрь 2025'!$G$2:$G$2730,'декабрь 2025'!$D$2:$D$2730,$B10,'декабрь 2025'!$J$2:$J$2730,AA$1)</f>
        <v>0</v>
      </c>
      <c r="AB10" s="76">
        <f>SUMIFS('декабрь 2025'!$G$2:$G$2730,'декабрь 2025'!$D$2:$D$2730,$B10,'декабрь 2025'!$J$2:$J$2730,AB$1)</f>
        <v>0</v>
      </c>
      <c r="AC10" s="76">
        <f>SUMIFS('декабрь 2025'!$G$2:$G$2730,'декабрь 2025'!$D$2:$D$2730,$B10,'декабрь 2025'!$J$2:$J$2730,AC$1)</f>
        <v>0</v>
      </c>
      <c r="AD10" s="76">
        <f>SUMIFS('декабрь 2025'!$G$2:$G$2730,'декабрь 2025'!$D$2:$D$2730,$B10,'декабрь 2025'!$J$2:$J$2730,AD$1)</f>
        <v>0</v>
      </c>
      <c r="AE10" s="76">
        <f>SUMIFS('декабрь 2025'!$G$2:$G$2730,'декабрь 2025'!$D$2:$D$2730,$B10,'декабрь 2025'!$J$2:$J$2730,AE$1)</f>
        <v>0</v>
      </c>
      <c r="AF10" s="76">
        <f>SUMIFS('декабрь 2025'!$G$2:$G$2730,'декабрь 2025'!$D$2:$D$2730,$B10,'декабрь 2025'!$J$2:$J$2730,AF$1)</f>
        <v>0</v>
      </c>
      <c r="AG10" s="76">
        <f>SUMIFS('декабрь 2025'!$G$2:$G$2730,'декабрь 2025'!$D$2:$D$2730,$B10,'декабрь 2025'!$J$2:$J$2730,AG$1)</f>
        <v>0</v>
      </c>
      <c r="AH10" s="76">
        <f>SUMIFS('декабрь 2025'!$G$2:$G$2730,'декабрь 2025'!$D$2:$D$2730,$B10,'декабрь 2025'!$J$2:$J$2730,AH$1)</f>
        <v>0</v>
      </c>
      <c r="AI10" s="20">
        <f t="shared" si="1"/>
        <v>0</v>
      </c>
    </row>
    <row r="11" spans="2:35" ht="15" customHeight="1" x14ac:dyDescent="0.25">
      <c r="B11" s="77" t="s">
        <v>226</v>
      </c>
      <c r="C11" s="78">
        <v>25</v>
      </c>
      <c r="D11" s="76">
        <f>SUMIFS('декабрь 2025'!$G$2:$G$2730,'декабрь 2025'!$D$2:$D$2730,$B11,'декабрь 2025'!$J$2:$J$2730,D$1)</f>
        <v>0</v>
      </c>
      <c r="E11" s="76">
        <f>SUMIFS('декабрь 2025'!$G$2:$G$2730,'декабрь 2025'!$D$2:$D$2730,$B11,'декабрь 2025'!$J$2:$J$2730,E$1)</f>
        <v>0</v>
      </c>
      <c r="F11" s="76">
        <f>SUMIFS('декабрь 2025'!$G$2:$G$2730,'декабрь 2025'!$D$2:$D$2730,$B11,'декабрь 2025'!$J$2:$J$2730,F$1)</f>
        <v>0</v>
      </c>
      <c r="G11" s="76">
        <f>SUMIFS('декабрь 2025'!$G$2:$G$2730,'декабрь 2025'!$D$2:$D$2730,$B11,'декабрь 2025'!$J$2:$J$2730,G$1)</f>
        <v>0</v>
      </c>
      <c r="H11" s="76">
        <f>SUMIFS('декабрь 2025'!$G$2:$G$2730,'декабрь 2025'!$D$2:$D$2730,$B11,'декабрь 2025'!$J$2:$J$2730,H$1)</f>
        <v>720</v>
      </c>
      <c r="I11" s="76">
        <f>SUMIFS('декабрь 2025'!$G$2:$G$2730,'декабрь 2025'!$D$2:$D$2730,$B11,'декабрь 2025'!$J$2:$J$2730,I$1)</f>
        <v>0</v>
      </c>
      <c r="J11" s="76">
        <f>SUMIFS('декабрь 2025'!$G$2:$G$2730,'декабрь 2025'!$D$2:$D$2730,$B11,'декабрь 2025'!$J$2:$J$2730,J$1)</f>
        <v>0</v>
      </c>
      <c r="K11" s="76">
        <f>SUMIFS('декабрь 2025'!$G$2:$G$2730,'декабрь 2025'!$D$2:$D$2730,$B11,'декабрь 2025'!$J$2:$J$2730,K$1)</f>
        <v>80</v>
      </c>
      <c r="L11" s="76">
        <f>SUMIFS('декабрь 2025'!$G$2:$G$2730,'декабрь 2025'!$D$2:$D$2730,$B11,'декабрь 2025'!$J$2:$J$2730,L$1)</f>
        <v>480</v>
      </c>
      <c r="M11" s="76">
        <f>SUMIFS('декабрь 2025'!$G$2:$G$2730,'декабрь 2025'!$D$2:$D$2730,$B11,'декабрь 2025'!$J$2:$J$2730,M$1)</f>
        <v>0</v>
      </c>
      <c r="N11" s="76">
        <f>SUMIFS('декабрь 2025'!$G$2:$G$2730,'декабрь 2025'!$D$2:$D$2730,$B11,'декабрь 2025'!$J$2:$J$2730,N$1)</f>
        <v>800</v>
      </c>
      <c r="O11" s="76">
        <f>SUMIFS('декабрь 2025'!$G$2:$G$2730,'декабрь 2025'!$D$2:$D$2730,$B11,'декабрь 2025'!$J$2:$J$2730,O$1)</f>
        <v>800</v>
      </c>
      <c r="P11" s="76">
        <f>SUMIFS('декабрь 2025'!$G$2:$G$2730,'декабрь 2025'!$D$2:$D$2730,$B11,'декабрь 2025'!$J$2:$J$2730,P$1)</f>
        <v>0</v>
      </c>
      <c r="Q11" s="76">
        <f>SUMIFS('декабрь 2025'!$G$2:$G$2730,'декабрь 2025'!$D$2:$D$2730,$B11,'декабрь 2025'!$J$2:$J$2730,Q$1)</f>
        <v>0</v>
      </c>
      <c r="R11" s="76">
        <f>SUMIFS('декабрь 2025'!$G$2:$G$2730,'декабрь 2025'!$D$2:$D$2730,$B11,'декабрь 2025'!$J$2:$J$2730,R$1)</f>
        <v>0</v>
      </c>
      <c r="S11" s="76">
        <f>SUMIFS('декабрь 2025'!$G$2:$G$2730,'декабрь 2025'!$D$2:$D$2730,$B11,'декабрь 2025'!$J$2:$J$2730,S$1)</f>
        <v>720</v>
      </c>
      <c r="T11" s="76">
        <f>SUMIFS('декабрь 2025'!$G$2:$G$2730,'декабрь 2025'!$D$2:$D$2730,$B11,'декабрь 2025'!$J$2:$J$2730,T$1)</f>
        <v>0</v>
      </c>
      <c r="U11" s="76">
        <f>SUMIFS('декабрь 2025'!$G$2:$G$2730,'декабрь 2025'!$D$2:$D$2730,$B11,'декабрь 2025'!$J$2:$J$2730,U$1)</f>
        <v>800</v>
      </c>
      <c r="V11" s="76">
        <f>SUMIFS('декабрь 2025'!$G$2:$G$2730,'декабрь 2025'!$D$2:$D$2730,$B11,'декабрь 2025'!$J$2:$J$2730,V$1)</f>
        <v>0</v>
      </c>
      <c r="W11" s="76">
        <f>SUMIFS('декабрь 2025'!$G$2:$G$2730,'декабрь 2025'!$D$2:$D$2730,$B11,'декабрь 2025'!$J$2:$J$2730,W$1)</f>
        <v>0</v>
      </c>
      <c r="X11" s="76">
        <f>SUMIFS('декабрь 2025'!$G$2:$G$2730,'декабрь 2025'!$D$2:$D$2730,$B11,'декабрь 2025'!$J$2:$J$2730,X$1)</f>
        <v>0</v>
      </c>
      <c r="Y11" s="76">
        <f>SUMIFS('декабрь 2025'!$G$2:$G$2730,'декабрь 2025'!$D$2:$D$2730,$B11,'декабрь 2025'!$J$2:$J$2730,Y$1)</f>
        <v>800</v>
      </c>
      <c r="Z11" s="76">
        <f>SUMIFS('декабрь 2025'!$G$2:$G$2730,'декабрь 2025'!$D$2:$D$2730,$B11,'декабрь 2025'!$J$2:$J$2730,Z$1)</f>
        <v>640</v>
      </c>
      <c r="AA11" s="76">
        <f>SUMIFS('декабрь 2025'!$G$2:$G$2730,'декабрь 2025'!$D$2:$D$2730,$B11,'декабрь 2025'!$J$2:$J$2730,AA$1)</f>
        <v>800</v>
      </c>
      <c r="AB11" s="76">
        <f>SUMIFS('декабрь 2025'!$G$2:$G$2730,'декабрь 2025'!$D$2:$D$2730,$B11,'декабрь 2025'!$J$2:$J$2730,AB$1)</f>
        <v>0</v>
      </c>
      <c r="AC11" s="76">
        <f>SUMIFS('декабрь 2025'!$G$2:$G$2730,'декабрь 2025'!$D$2:$D$2730,$B11,'декабрь 2025'!$J$2:$J$2730,AC$1)</f>
        <v>0</v>
      </c>
      <c r="AD11" s="76">
        <f>SUMIFS('декабрь 2025'!$G$2:$G$2730,'декабрь 2025'!$D$2:$D$2730,$B11,'декабрь 2025'!$J$2:$J$2730,AD$1)</f>
        <v>0</v>
      </c>
      <c r="AE11" s="76">
        <f>SUMIFS('декабрь 2025'!$G$2:$G$2730,'декабрь 2025'!$D$2:$D$2730,$B11,'декабрь 2025'!$J$2:$J$2730,AE$1)</f>
        <v>0</v>
      </c>
      <c r="AF11" s="76">
        <f>SUMIFS('декабрь 2025'!$G$2:$G$2730,'декабрь 2025'!$D$2:$D$2730,$B11,'декабрь 2025'!$J$2:$J$2730,AF$1)</f>
        <v>0</v>
      </c>
      <c r="AG11" s="76">
        <f>SUMIFS('декабрь 2025'!$G$2:$G$2730,'декабрь 2025'!$D$2:$D$2730,$B11,'декабрь 2025'!$J$2:$J$2730,AG$1)</f>
        <v>0</v>
      </c>
      <c r="AH11" s="76">
        <f>SUMIFS('декабрь 2025'!$G$2:$G$2730,'декабрь 2025'!$D$2:$D$2730,$B11,'декабрь 2025'!$J$2:$J$2730,AH$1)</f>
        <v>0</v>
      </c>
      <c r="AI11" s="20">
        <f t="shared" si="1"/>
        <v>6640</v>
      </c>
    </row>
    <row r="12" spans="2:35" ht="15" customHeight="1" x14ac:dyDescent="0.25">
      <c r="B12" s="80" t="s">
        <v>228</v>
      </c>
      <c r="C12" s="81">
        <v>22.68</v>
      </c>
      <c r="D12" s="76">
        <f>SUMIFS('декабрь 2025'!$G$2:$G$2730,'декабрь 2025'!$D$2:$D$2730,$B12,'декабрь 2025'!$J$2:$J$2730,D$1)</f>
        <v>0</v>
      </c>
      <c r="E12" s="76">
        <f>SUMIFS('декабрь 2025'!$G$2:$G$2730,'декабрь 2025'!$D$2:$D$2730,$B12,'декабрь 2025'!$J$2:$J$2730,E$1)</f>
        <v>0</v>
      </c>
      <c r="F12" s="76">
        <f>SUMIFS('декабрь 2025'!$G$2:$G$2730,'декабрь 2025'!$D$2:$D$2730,$B12,'декабрь 2025'!$J$2:$J$2730,F$1)</f>
        <v>0</v>
      </c>
      <c r="G12" s="76">
        <f>SUMIFS('декабрь 2025'!$G$2:$G$2730,'декабрь 2025'!$D$2:$D$2730,$B12,'декабрь 2025'!$J$2:$J$2730,G$1)</f>
        <v>0</v>
      </c>
      <c r="H12" s="76">
        <f>SUMIFS('декабрь 2025'!$G$2:$G$2730,'декабрь 2025'!$D$2:$D$2730,$B12,'декабрь 2025'!$J$2:$J$2730,H$1)</f>
        <v>0</v>
      </c>
      <c r="I12" s="76">
        <f>SUMIFS('декабрь 2025'!$G$2:$G$2730,'декабрь 2025'!$D$2:$D$2730,$B12,'декабрь 2025'!$J$2:$J$2730,I$1)</f>
        <v>0</v>
      </c>
      <c r="J12" s="76">
        <f>SUMIFS('декабрь 2025'!$G$2:$G$2730,'декабрь 2025'!$D$2:$D$2730,$B12,'декабрь 2025'!$J$2:$J$2730,J$1)</f>
        <v>0</v>
      </c>
      <c r="K12" s="76">
        <f>SUMIFS('декабрь 2025'!$G$2:$G$2730,'декабрь 2025'!$D$2:$D$2730,$B12,'декабрь 2025'!$J$2:$J$2730,K$1)</f>
        <v>0</v>
      </c>
      <c r="L12" s="76">
        <f>SUMIFS('декабрь 2025'!$G$2:$G$2730,'декабрь 2025'!$D$2:$D$2730,$B12,'декабрь 2025'!$J$2:$J$2730,L$1)</f>
        <v>0</v>
      </c>
      <c r="M12" s="76">
        <f>SUMIFS('декабрь 2025'!$G$2:$G$2730,'декабрь 2025'!$D$2:$D$2730,$B12,'декабрь 2025'!$J$2:$J$2730,M$1)</f>
        <v>0</v>
      </c>
      <c r="N12" s="76">
        <f>SUMIFS('декабрь 2025'!$G$2:$G$2730,'декабрь 2025'!$D$2:$D$2730,$B12,'декабрь 2025'!$J$2:$J$2730,N$1)</f>
        <v>0</v>
      </c>
      <c r="O12" s="76">
        <f>SUMIFS('декабрь 2025'!$G$2:$G$2730,'декабрь 2025'!$D$2:$D$2730,$B12,'декабрь 2025'!$J$2:$J$2730,O$1)</f>
        <v>0</v>
      </c>
      <c r="P12" s="76">
        <f>SUMIFS('декабрь 2025'!$G$2:$G$2730,'декабрь 2025'!$D$2:$D$2730,$B12,'декабрь 2025'!$J$2:$J$2730,P$1)</f>
        <v>0</v>
      </c>
      <c r="Q12" s="76">
        <f>SUMIFS('декабрь 2025'!$G$2:$G$2730,'декабрь 2025'!$D$2:$D$2730,$B12,'декабрь 2025'!$J$2:$J$2730,Q$1)</f>
        <v>0</v>
      </c>
      <c r="R12" s="76">
        <f>SUMIFS('декабрь 2025'!$G$2:$G$2730,'декабрь 2025'!$D$2:$D$2730,$B12,'декабрь 2025'!$J$2:$J$2730,R$1)</f>
        <v>0</v>
      </c>
      <c r="S12" s="76">
        <f>SUMIFS('декабрь 2025'!$G$2:$G$2730,'декабрь 2025'!$D$2:$D$2730,$B12,'декабрь 2025'!$J$2:$J$2730,S$1)</f>
        <v>0</v>
      </c>
      <c r="T12" s="76">
        <f>SUMIFS('декабрь 2025'!$G$2:$G$2730,'декабрь 2025'!$D$2:$D$2730,$B12,'декабрь 2025'!$J$2:$J$2730,T$1)</f>
        <v>0</v>
      </c>
      <c r="U12" s="76">
        <f>SUMIFS('декабрь 2025'!$G$2:$G$2730,'декабрь 2025'!$D$2:$D$2730,$B12,'декабрь 2025'!$J$2:$J$2730,U$1)</f>
        <v>0</v>
      </c>
      <c r="V12" s="76">
        <f>SUMIFS('декабрь 2025'!$G$2:$G$2730,'декабрь 2025'!$D$2:$D$2730,$B12,'декабрь 2025'!$J$2:$J$2730,V$1)</f>
        <v>0</v>
      </c>
      <c r="W12" s="76">
        <f>SUMIFS('декабрь 2025'!$G$2:$G$2730,'декабрь 2025'!$D$2:$D$2730,$B12,'декабрь 2025'!$J$2:$J$2730,W$1)</f>
        <v>0</v>
      </c>
      <c r="X12" s="76">
        <f>SUMIFS('декабрь 2025'!$G$2:$G$2730,'декабрь 2025'!$D$2:$D$2730,$B12,'декабрь 2025'!$J$2:$J$2730,X$1)</f>
        <v>0</v>
      </c>
      <c r="Y12" s="76">
        <f>SUMIFS('декабрь 2025'!$G$2:$G$2730,'декабрь 2025'!$D$2:$D$2730,$B12,'декабрь 2025'!$J$2:$J$2730,Y$1)</f>
        <v>0</v>
      </c>
      <c r="Z12" s="76">
        <f>SUMIFS('декабрь 2025'!$G$2:$G$2730,'декабрь 2025'!$D$2:$D$2730,$B12,'декабрь 2025'!$J$2:$J$2730,Z$1)</f>
        <v>0</v>
      </c>
      <c r="AA12" s="76">
        <f>SUMIFS('декабрь 2025'!$G$2:$G$2730,'декабрь 2025'!$D$2:$D$2730,$B12,'декабрь 2025'!$J$2:$J$2730,AA$1)</f>
        <v>0</v>
      </c>
      <c r="AB12" s="76">
        <f>SUMIFS('декабрь 2025'!$G$2:$G$2730,'декабрь 2025'!$D$2:$D$2730,$B12,'декабрь 2025'!$J$2:$J$2730,AB$1)</f>
        <v>0</v>
      </c>
      <c r="AC12" s="76">
        <f>SUMIFS('декабрь 2025'!$G$2:$G$2730,'декабрь 2025'!$D$2:$D$2730,$B12,'декабрь 2025'!$J$2:$J$2730,AC$1)</f>
        <v>0</v>
      </c>
      <c r="AD12" s="76">
        <f>SUMIFS('декабрь 2025'!$G$2:$G$2730,'декабрь 2025'!$D$2:$D$2730,$B12,'декабрь 2025'!$J$2:$J$2730,AD$1)</f>
        <v>0</v>
      </c>
      <c r="AE12" s="76">
        <f>SUMIFS('декабрь 2025'!$G$2:$G$2730,'декабрь 2025'!$D$2:$D$2730,$B12,'декабрь 2025'!$J$2:$J$2730,AE$1)</f>
        <v>0</v>
      </c>
      <c r="AF12" s="76">
        <f>SUMIFS('декабрь 2025'!$G$2:$G$2730,'декабрь 2025'!$D$2:$D$2730,$B12,'декабрь 2025'!$J$2:$J$2730,AF$1)</f>
        <v>0</v>
      </c>
      <c r="AG12" s="76">
        <f>SUMIFS('декабрь 2025'!$G$2:$G$2730,'декабрь 2025'!$D$2:$D$2730,$B12,'декабрь 2025'!$J$2:$J$2730,AG$1)</f>
        <v>0</v>
      </c>
      <c r="AH12" s="76">
        <f>SUMIFS('декабрь 2025'!$G$2:$G$2730,'декабрь 2025'!$D$2:$D$2730,$B12,'декабрь 2025'!$J$2:$J$2730,AH$1)</f>
        <v>0</v>
      </c>
      <c r="AI12" s="20">
        <f t="shared" si="1"/>
        <v>0</v>
      </c>
    </row>
    <row r="13" spans="2:35" ht="15" customHeight="1" x14ac:dyDescent="0.25">
      <c r="B13" s="80" t="s">
        <v>328</v>
      </c>
      <c r="C13" s="81">
        <v>22.7</v>
      </c>
      <c r="D13" s="76">
        <f>SUMIFS('декабрь 2025'!$G$2:$G$2730,'декабрь 2025'!$D$2:$D$2730,$B13,'декабрь 2025'!$J$2:$J$2730,D$1)</f>
        <v>0</v>
      </c>
      <c r="E13" s="76">
        <f>SUMIFS('декабрь 2025'!$G$2:$G$2730,'декабрь 2025'!$D$2:$D$2730,$B13,'декабрь 2025'!$J$2:$J$2730,E$1)</f>
        <v>0</v>
      </c>
      <c r="F13" s="76">
        <f>SUMIFS('декабрь 2025'!$G$2:$G$2730,'декабрь 2025'!$D$2:$D$2730,$B13,'декабрь 2025'!$J$2:$J$2730,F$1)</f>
        <v>0</v>
      </c>
      <c r="G13" s="76">
        <f>SUMIFS('декабрь 2025'!$G$2:$G$2730,'декабрь 2025'!$D$2:$D$2730,$B13,'декабрь 2025'!$J$2:$J$2730,G$1)</f>
        <v>0</v>
      </c>
      <c r="H13" s="76">
        <f>SUMIFS('декабрь 2025'!$G$2:$G$2730,'декабрь 2025'!$D$2:$D$2730,$B13,'декабрь 2025'!$J$2:$J$2730,H$1)</f>
        <v>0</v>
      </c>
      <c r="I13" s="76">
        <f>SUMIFS('декабрь 2025'!$G$2:$G$2730,'декабрь 2025'!$D$2:$D$2730,$B13,'декабрь 2025'!$J$2:$J$2730,I$1)</f>
        <v>0</v>
      </c>
      <c r="J13" s="76">
        <f>SUMIFS('декабрь 2025'!$G$2:$G$2730,'декабрь 2025'!$D$2:$D$2730,$B13,'декабрь 2025'!$J$2:$J$2730,J$1)</f>
        <v>0</v>
      </c>
      <c r="K13" s="76">
        <f>SUMIFS('декабрь 2025'!$G$2:$G$2730,'декабрь 2025'!$D$2:$D$2730,$B13,'декабрь 2025'!$J$2:$J$2730,K$1)</f>
        <v>0</v>
      </c>
      <c r="L13" s="76">
        <f>SUMIFS('декабрь 2025'!$G$2:$G$2730,'декабрь 2025'!$D$2:$D$2730,$B13,'декабрь 2025'!$J$2:$J$2730,L$1)</f>
        <v>0</v>
      </c>
      <c r="M13" s="76">
        <f>SUMIFS('декабрь 2025'!$G$2:$G$2730,'декабрь 2025'!$D$2:$D$2730,$B13,'декабрь 2025'!$J$2:$J$2730,M$1)</f>
        <v>0</v>
      </c>
      <c r="N13" s="76">
        <f>SUMIFS('декабрь 2025'!$G$2:$G$2730,'декабрь 2025'!$D$2:$D$2730,$B13,'декабрь 2025'!$J$2:$J$2730,N$1)</f>
        <v>0</v>
      </c>
      <c r="O13" s="76">
        <f>SUMIFS('декабрь 2025'!$G$2:$G$2730,'декабрь 2025'!$D$2:$D$2730,$B13,'декабрь 2025'!$J$2:$J$2730,O$1)</f>
        <v>0</v>
      </c>
      <c r="P13" s="76">
        <f>SUMIFS('декабрь 2025'!$G$2:$G$2730,'декабрь 2025'!$D$2:$D$2730,$B13,'декабрь 2025'!$J$2:$J$2730,P$1)</f>
        <v>0</v>
      </c>
      <c r="Q13" s="76">
        <f>SUMIFS('декабрь 2025'!$G$2:$G$2730,'декабрь 2025'!$D$2:$D$2730,$B13,'декабрь 2025'!$J$2:$J$2730,Q$1)</f>
        <v>0</v>
      </c>
      <c r="R13" s="76">
        <f>SUMIFS('декабрь 2025'!$G$2:$G$2730,'декабрь 2025'!$D$2:$D$2730,$B13,'декабрь 2025'!$J$2:$J$2730,R$1)</f>
        <v>0</v>
      </c>
      <c r="S13" s="76">
        <f>SUMIFS('декабрь 2025'!$G$2:$G$2730,'декабрь 2025'!$D$2:$D$2730,$B13,'декабрь 2025'!$J$2:$J$2730,S$1)</f>
        <v>0</v>
      </c>
      <c r="T13" s="76">
        <f>SUMIFS('декабрь 2025'!$G$2:$G$2730,'декабрь 2025'!$D$2:$D$2730,$B13,'декабрь 2025'!$J$2:$J$2730,T$1)</f>
        <v>0</v>
      </c>
      <c r="U13" s="76">
        <f>SUMIFS('декабрь 2025'!$G$2:$G$2730,'декабрь 2025'!$D$2:$D$2730,$B13,'декабрь 2025'!$J$2:$J$2730,U$1)</f>
        <v>0</v>
      </c>
      <c r="V13" s="76">
        <f>SUMIFS('декабрь 2025'!$G$2:$G$2730,'декабрь 2025'!$D$2:$D$2730,$B13,'декабрь 2025'!$J$2:$J$2730,V$1)</f>
        <v>0</v>
      </c>
      <c r="W13" s="76">
        <f>SUMIFS('декабрь 2025'!$G$2:$G$2730,'декабрь 2025'!$D$2:$D$2730,$B13,'декабрь 2025'!$J$2:$J$2730,W$1)</f>
        <v>0</v>
      </c>
      <c r="X13" s="76">
        <f>SUMIFS('декабрь 2025'!$G$2:$G$2730,'декабрь 2025'!$D$2:$D$2730,$B13,'декабрь 2025'!$J$2:$J$2730,X$1)</f>
        <v>0</v>
      </c>
      <c r="Y13" s="76">
        <f>SUMIFS('декабрь 2025'!$G$2:$G$2730,'декабрь 2025'!$D$2:$D$2730,$B13,'декабрь 2025'!$J$2:$J$2730,Y$1)</f>
        <v>0</v>
      </c>
      <c r="Z13" s="76">
        <f>SUMIFS('декабрь 2025'!$G$2:$G$2730,'декабрь 2025'!$D$2:$D$2730,$B13,'декабрь 2025'!$J$2:$J$2730,Z$1)</f>
        <v>0</v>
      </c>
      <c r="AA13" s="76">
        <f>SUMIFS('декабрь 2025'!$G$2:$G$2730,'декабрь 2025'!$D$2:$D$2730,$B13,'декабрь 2025'!$J$2:$J$2730,AA$1)</f>
        <v>0</v>
      </c>
      <c r="AB13" s="76">
        <f>SUMIFS('декабрь 2025'!$G$2:$G$2730,'декабрь 2025'!$D$2:$D$2730,$B13,'декабрь 2025'!$J$2:$J$2730,AB$1)</f>
        <v>0</v>
      </c>
      <c r="AC13" s="76">
        <f>SUMIFS('декабрь 2025'!$G$2:$G$2730,'декабрь 2025'!$D$2:$D$2730,$B13,'декабрь 2025'!$J$2:$J$2730,AC$1)</f>
        <v>0</v>
      </c>
      <c r="AD13" s="76">
        <f>SUMIFS('декабрь 2025'!$G$2:$G$2730,'декабрь 2025'!$D$2:$D$2730,$B13,'декабрь 2025'!$J$2:$J$2730,AD$1)</f>
        <v>0</v>
      </c>
      <c r="AE13" s="76">
        <f>SUMIFS('декабрь 2025'!$G$2:$G$2730,'декабрь 2025'!$D$2:$D$2730,$B13,'декабрь 2025'!$J$2:$J$2730,AE$1)</f>
        <v>0</v>
      </c>
      <c r="AF13" s="76">
        <f>SUMIFS('декабрь 2025'!$G$2:$G$2730,'декабрь 2025'!$D$2:$D$2730,$B13,'декабрь 2025'!$J$2:$J$2730,AF$1)</f>
        <v>0</v>
      </c>
      <c r="AG13" s="76">
        <f>SUMIFS('декабрь 2025'!$G$2:$G$2730,'декабрь 2025'!$D$2:$D$2730,$B13,'декабрь 2025'!$J$2:$J$2730,AG$1)</f>
        <v>0</v>
      </c>
      <c r="AH13" s="76">
        <f>SUMIFS('декабрь 2025'!$G$2:$G$2730,'декабрь 2025'!$D$2:$D$2730,$B13,'декабрь 2025'!$J$2:$J$2730,AH$1)</f>
        <v>0</v>
      </c>
      <c r="AI13" s="20">
        <f t="shared" si="1"/>
        <v>0</v>
      </c>
    </row>
    <row r="14" spans="2:35" ht="15" customHeight="1" x14ac:dyDescent="0.25">
      <c r="B14" s="80" t="s">
        <v>1732</v>
      </c>
      <c r="C14" s="81">
        <v>25</v>
      </c>
      <c r="D14" s="76">
        <f>SUMIFS('декабрь 2025'!$G$2:$G$2730,'декабрь 2025'!$D$2:$D$2730,$B14,'декабрь 2025'!$J$2:$J$2730,D$1)</f>
        <v>0</v>
      </c>
      <c r="E14" s="76">
        <f>SUMIFS('декабрь 2025'!$G$2:$G$2730,'декабрь 2025'!$D$2:$D$2730,$B14,'декабрь 2025'!$J$2:$J$2730,E$1)</f>
        <v>0</v>
      </c>
      <c r="F14" s="76">
        <f>SUMIFS('декабрь 2025'!$G$2:$G$2730,'декабрь 2025'!$D$2:$D$2730,$B14,'декабрь 2025'!$J$2:$J$2730,F$1)</f>
        <v>0</v>
      </c>
      <c r="G14" s="76">
        <f>SUMIFS('декабрь 2025'!$G$2:$G$2730,'декабрь 2025'!$D$2:$D$2730,$B14,'декабрь 2025'!$J$2:$J$2730,G$1)</f>
        <v>0</v>
      </c>
      <c r="H14" s="76">
        <f>SUMIFS('декабрь 2025'!$G$2:$G$2730,'декабрь 2025'!$D$2:$D$2730,$B14,'декабрь 2025'!$J$2:$J$2730,H$1)</f>
        <v>0</v>
      </c>
      <c r="I14" s="76">
        <f>SUMIFS('декабрь 2025'!$G$2:$G$2730,'декабрь 2025'!$D$2:$D$2730,$B14,'декабрь 2025'!$J$2:$J$2730,I$1)</f>
        <v>0</v>
      </c>
      <c r="J14" s="76">
        <f>SUMIFS('декабрь 2025'!$G$2:$G$2730,'декабрь 2025'!$D$2:$D$2730,$B14,'декабрь 2025'!$J$2:$J$2730,J$1)</f>
        <v>0</v>
      </c>
      <c r="K14" s="76">
        <f>SUMIFS('декабрь 2025'!$G$2:$G$2730,'декабрь 2025'!$D$2:$D$2730,$B14,'декабрь 2025'!$J$2:$J$2730,K$1)</f>
        <v>0</v>
      </c>
      <c r="L14" s="76">
        <f>SUMIFS('декабрь 2025'!$G$2:$G$2730,'декабрь 2025'!$D$2:$D$2730,$B14,'декабрь 2025'!$J$2:$J$2730,L$1)</f>
        <v>0</v>
      </c>
      <c r="M14" s="76">
        <f>SUMIFS('декабрь 2025'!$G$2:$G$2730,'декабрь 2025'!$D$2:$D$2730,$B14,'декабрь 2025'!$J$2:$J$2730,M$1)</f>
        <v>0</v>
      </c>
      <c r="N14" s="76">
        <f>SUMIFS('декабрь 2025'!$G$2:$G$2730,'декабрь 2025'!$D$2:$D$2730,$B14,'декабрь 2025'!$J$2:$J$2730,N$1)</f>
        <v>0</v>
      </c>
      <c r="O14" s="76">
        <f>SUMIFS('декабрь 2025'!$G$2:$G$2730,'декабрь 2025'!$D$2:$D$2730,$B14,'декабрь 2025'!$J$2:$J$2730,O$1)</f>
        <v>0</v>
      </c>
      <c r="P14" s="76">
        <f>SUMIFS('декабрь 2025'!$G$2:$G$2730,'декабрь 2025'!$D$2:$D$2730,$B14,'декабрь 2025'!$J$2:$J$2730,P$1)</f>
        <v>0</v>
      </c>
      <c r="Q14" s="76">
        <f>SUMIFS('декабрь 2025'!$G$2:$G$2730,'декабрь 2025'!$D$2:$D$2730,$B14,'декабрь 2025'!$J$2:$J$2730,Q$1)</f>
        <v>0</v>
      </c>
      <c r="R14" s="76">
        <f>SUMIFS('декабрь 2025'!$G$2:$G$2730,'декабрь 2025'!$D$2:$D$2730,$B14,'декабрь 2025'!$J$2:$J$2730,R$1)</f>
        <v>0</v>
      </c>
      <c r="S14" s="76">
        <f>SUMIFS('декабрь 2025'!$G$2:$G$2730,'декабрь 2025'!$D$2:$D$2730,$B14,'декабрь 2025'!$J$2:$J$2730,S$1)</f>
        <v>0</v>
      </c>
      <c r="T14" s="76">
        <f>SUMIFS('декабрь 2025'!$G$2:$G$2730,'декабрь 2025'!$D$2:$D$2730,$B14,'декабрь 2025'!$J$2:$J$2730,T$1)</f>
        <v>0</v>
      </c>
      <c r="U14" s="76">
        <f>SUMIFS('декабрь 2025'!$G$2:$G$2730,'декабрь 2025'!$D$2:$D$2730,$B14,'декабрь 2025'!$J$2:$J$2730,U$1)</f>
        <v>0</v>
      </c>
      <c r="V14" s="76">
        <f>SUMIFS('декабрь 2025'!$G$2:$G$2730,'декабрь 2025'!$D$2:$D$2730,$B14,'декабрь 2025'!$J$2:$J$2730,V$1)</f>
        <v>0</v>
      </c>
      <c r="W14" s="76">
        <f>SUMIFS('декабрь 2025'!$G$2:$G$2730,'декабрь 2025'!$D$2:$D$2730,$B14,'декабрь 2025'!$J$2:$J$2730,W$1)</f>
        <v>0</v>
      </c>
      <c r="X14" s="76">
        <f>SUMIFS('декабрь 2025'!$G$2:$G$2730,'декабрь 2025'!$D$2:$D$2730,$B14,'декабрь 2025'!$J$2:$J$2730,X$1)</f>
        <v>0</v>
      </c>
      <c r="Y14" s="76">
        <f>SUMIFS('декабрь 2025'!$G$2:$G$2730,'декабрь 2025'!$D$2:$D$2730,$B14,'декабрь 2025'!$J$2:$J$2730,Y$1)</f>
        <v>0</v>
      </c>
      <c r="Z14" s="76">
        <f>SUMIFS('декабрь 2025'!$G$2:$G$2730,'декабрь 2025'!$D$2:$D$2730,$B14,'декабрь 2025'!$J$2:$J$2730,Z$1)</f>
        <v>0</v>
      </c>
      <c r="AA14" s="76">
        <f>SUMIFS('декабрь 2025'!$G$2:$G$2730,'декабрь 2025'!$D$2:$D$2730,$B14,'декабрь 2025'!$J$2:$J$2730,AA$1)</f>
        <v>0</v>
      </c>
      <c r="AB14" s="76">
        <f>SUMIFS('декабрь 2025'!$G$2:$G$2730,'декабрь 2025'!$D$2:$D$2730,$B14,'декабрь 2025'!$J$2:$J$2730,AB$1)</f>
        <v>0</v>
      </c>
      <c r="AC14" s="76">
        <f>SUMIFS('декабрь 2025'!$G$2:$G$2730,'декабрь 2025'!$D$2:$D$2730,$B14,'декабрь 2025'!$J$2:$J$2730,AC$1)</f>
        <v>0</v>
      </c>
      <c r="AD14" s="76">
        <f>SUMIFS('декабрь 2025'!$G$2:$G$2730,'декабрь 2025'!$D$2:$D$2730,$B14,'декабрь 2025'!$J$2:$J$2730,AD$1)</f>
        <v>0</v>
      </c>
      <c r="AE14" s="76">
        <f>SUMIFS('декабрь 2025'!$G$2:$G$2730,'декабрь 2025'!$D$2:$D$2730,$B14,'декабрь 2025'!$J$2:$J$2730,AE$1)</f>
        <v>0</v>
      </c>
      <c r="AF14" s="76">
        <f>SUMIFS('декабрь 2025'!$G$2:$G$2730,'декабрь 2025'!$D$2:$D$2730,$B14,'декабрь 2025'!$J$2:$J$2730,AF$1)</f>
        <v>0</v>
      </c>
      <c r="AG14" s="76">
        <f>SUMIFS('декабрь 2025'!$G$2:$G$2730,'декабрь 2025'!$D$2:$D$2730,$B14,'декабрь 2025'!$J$2:$J$2730,AG$1)</f>
        <v>0</v>
      </c>
      <c r="AH14" s="76">
        <f>SUMIFS('декабрь 2025'!$G$2:$G$2730,'декабрь 2025'!$D$2:$D$2730,$B14,'декабрь 2025'!$J$2:$J$2730,AH$1)</f>
        <v>0</v>
      </c>
      <c r="AI14" s="20">
        <f t="shared" si="1"/>
        <v>0</v>
      </c>
    </row>
    <row r="15" spans="2:35" ht="15" customHeight="1" x14ac:dyDescent="0.25">
      <c r="B15" s="80" t="s">
        <v>302</v>
      </c>
      <c r="C15" s="81">
        <v>25</v>
      </c>
      <c r="D15" s="76">
        <f>SUMIFS('декабрь 2025'!$G$2:$G$2730,'декабрь 2025'!$D$2:$D$2730,$B15,'декабрь 2025'!$J$2:$J$2730,D$1)</f>
        <v>0</v>
      </c>
      <c r="E15" s="76">
        <f>SUMIFS('декабрь 2025'!$G$2:$G$2730,'декабрь 2025'!$D$2:$D$2730,$B15,'декабрь 2025'!$J$2:$J$2730,E$1)</f>
        <v>0</v>
      </c>
      <c r="F15" s="76">
        <f>SUMIFS('декабрь 2025'!$G$2:$G$2730,'декабрь 2025'!$D$2:$D$2730,$B15,'декабрь 2025'!$J$2:$J$2730,F$1)</f>
        <v>0</v>
      </c>
      <c r="G15" s="76">
        <f>SUMIFS('декабрь 2025'!$G$2:$G$2730,'декабрь 2025'!$D$2:$D$2730,$B15,'декабрь 2025'!$J$2:$J$2730,G$1)</f>
        <v>0</v>
      </c>
      <c r="H15" s="76">
        <f>SUMIFS('декабрь 2025'!$G$2:$G$2730,'декабрь 2025'!$D$2:$D$2730,$B15,'декабрь 2025'!$J$2:$J$2730,H$1)</f>
        <v>0</v>
      </c>
      <c r="I15" s="76">
        <f>SUMIFS('декабрь 2025'!$G$2:$G$2730,'декабрь 2025'!$D$2:$D$2730,$B15,'декабрь 2025'!$J$2:$J$2730,I$1)</f>
        <v>0</v>
      </c>
      <c r="J15" s="76">
        <f>SUMIFS('декабрь 2025'!$G$2:$G$2730,'декабрь 2025'!$D$2:$D$2730,$B15,'декабрь 2025'!$J$2:$J$2730,J$1)</f>
        <v>0</v>
      </c>
      <c r="K15" s="76">
        <f>SUMIFS('декабрь 2025'!$G$2:$G$2730,'декабрь 2025'!$D$2:$D$2730,$B15,'декабрь 2025'!$J$2:$J$2730,K$1)</f>
        <v>0</v>
      </c>
      <c r="L15" s="76">
        <f>SUMIFS('декабрь 2025'!$G$2:$G$2730,'декабрь 2025'!$D$2:$D$2730,$B15,'декабрь 2025'!$J$2:$J$2730,L$1)</f>
        <v>0</v>
      </c>
      <c r="M15" s="76">
        <f>SUMIFS('декабрь 2025'!$G$2:$G$2730,'декабрь 2025'!$D$2:$D$2730,$B15,'декабрь 2025'!$J$2:$J$2730,M$1)</f>
        <v>0</v>
      </c>
      <c r="N15" s="76">
        <f>SUMIFS('декабрь 2025'!$G$2:$G$2730,'декабрь 2025'!$D$2:$D$2730,$B15,'декабрь 2025'!$J$2:$J$2730,N$1)</f>
        <v>0</v>
      </c>
      <c r="O15" s="76">
        <f>SUMIFS('декабрь 2025'!$G$2:$G$2730,'декабрь 2025'!$D$2:$D$2730,$B15,'декабрь 2025'!$J$2:$J$2730,O$1)</f>
        <v>0</v>
      </c>
      <c r="P15" s="76">
        <f>SUMIFS('декабрь 2025'!$G$2:$G$2730,'декабрь 2025'!$D$2:$D$2730,$B15,'декабрь 2025'!$J$2:$J$2730,P$1)</f>
        <v>0</v>
      </c>
      <c r="Q15" s="76">
        <f>SUMIFS('декабрь 2025'!$G$2:$G$2730,'декабрь 2025'!$D$2:$D$2730,$B15,'декабрь 2025'!$J$2:$J$2730,Q$1)</f>
        <v>0</v>
      </c>
      <c r="R15" s="76">
        <f>SUMIFS('декабрь 2025'!$G$2:$G$2730,'декабрь 2025'!$D$2:$D$2730,$B15,'декабрь 2025'!$J$2:$J$2730,R$1)</f>
        <v>0</v>
      </c>
      <c r="S15" s="76">
        <f>SUMIFS('декабрь 2025'!$G$2:$G$2730,'декабрь 2025'!$D$2:$D$2730,$B15,'декабрь 2025'!$J$2:$J$2730,S$1)</f>
        <v>0</v>
      </c>
      <c r="T15" s="76">
        <f>SUMIFS('декабрь 2025'!$G$2:$G$2730,'декабрь 2025'!$D$2:$D$2730,$B15,'декабрь 2025'!$J$2:$J$2730,T$1)</f>
        <v>0</v>
      </c>
      <c r="U15" s="76">
        <f>SUMIFS('декабрь 2025'!$G$2:$G$2730,'декабрь 2025'!$D$2:$D$2730,$B15,'декабрь 2025'!$J$2:$J$2730,U$1)</f>
        <v>0</v>
      </c>
      <c r="V15" s="76">
        <f>SUMIFS('декабрь 2025'!$G$2:$G$2730,'декабрь 2025'!$D$2:$D$2730,$B15,'декабрь 2025'!$J$2:$J$2730,V$1)</f>
        <v>0</v>
      </c>
      <c r="W15" s="76">
        <f>SUMIFS('декабрь 2025'!$G$2:$G$2730,'декабрь 2025'!$D$2:$D$2730,$B15,'декабрь 2025'!$J$2:$J$2730,W$1)</f>
        <v>0</v>
      </c>
      <c r="X15" s="76">
        <f>SUMIFS('декабрь 2025'!$G$2:$G$2730,'декабрь 2025'!$D$2:$D$2730,$B15,'декабрь 2025'!$J$2:$J$2730,X$1)</f>
        <v>0</v>
      </c>
      <c r="Y15" s="76">
        <f>SUMIFS('декабрь 2025'!$G$2:$G$2730,'декабрь 2025'!$D$2:$D$2730,$B15,'декабрь 2025'!$J$2:$J$2730,Y$1)</f>
        <v>0</v>
      </c>
      <c r="Z15" s="76">
        <f>SUMIFS('декабрь 2025'!$G$2:$G$2730,'декабрь 2025'!$D$2:$D$2730,$B15,'декабрь 2025'!$J$2:$J$2730,Z$1)</f>
        <v>0</v>
      </c>
      <c r="AA15" s="76">
        <f>SUMIFS('декабрь 2025'!$G$2:$G$2730,'декабрь 2025'!$D$2:$D$2730,$B15,'декабрь 2025'!$J$2:$J$2730,AA$1)</f>
        <v>0</v>
      </c>
      <c r="AB15" s="76">
        <f>SUMIFS('декабрь 2025'!$G$2:$G$2730,'декабрь 2025'!$D$2:$D$2730,$B15,'декабрь 2025'!$J$2:$J$2730,AB$1)</f>
        <v>0</v>
      </c>
      <c r="AC15" s="76">
        <f>SUMIFS('декабрь 2025'!$G$2:$G$2730,'декабрь 2025'!$D$2:$D$2730,$B15,'декабрь 2025'!$J$2:$J$2730,AC$1)</f>
        <v>0</v>
      </c>
      <c r="AD15" s="76">
        <f>SUMIFS('декабрь 2025'!$G$2:$G$2730,'декабрь 2025'!$D$2:$D$2730,$B15,'декабрь 2025'!$J$2:$J$2730,AD$1)</f>
        <v>0</v>
      </c>
      <c r="AE15" s="76">
        <f>SUMIFS('декабрь 2025'!$G$2:$G$2730,'декабрь 2025'!$D$2:$D$2730,$B15,'декабрь 2025'!$J$2:$J$2730,AE$1)</f>
        <v>0</v>
      </c>
      <c r="AF15" s="76">
        <f>SUMIFS('декабрь 2025'!$G$2:$G$2730,'декабрь 2025'!$D$2:$D$2730,$B15,'декабрь 2025'!$J$2:$J$2730,AF$1)</f>
        <v>0</v>
      </c>
      <c r="AG15" s="76">
        <f>SUMIFS('декабрь 2025'!$G$2:$G$2730,'декабрь 2025'!$D$2:$D$2730,$B15,'декабрь 2025'!$J$2:$J$2730,AG$1)</f>
        <v>0</v>
      </c>
      <c r="AH15" s="76">
        <f>SUMIFS('декабрь 2025'!$G$2:$G$2730,'декабрь 2025'!$D$2:$D$2730,$B15,'декабрь 2025'!$J$2:$J$2730,AH$1)</f>
        <v>0</v>
      </c>
      <c r="AI15" s="20">
        <f t="shared" si="1"/>
        <v>0</v>
      </c>
    </row>
    <row r="16" spans="2:35" ht="15" customHeight="1" x14ac:dyDescent="0.25">
      <c r="B16" s="80" t="s">
        <v>306</v>
      </c>
      <c r="C16" s="81">
        <v>25</v>
      </c>
      <c r="D16" s="76">
        <f>SUMIFS('декабрь 2025'!$G$2:$G$2730,'декабрь 2025'!$D$2:$D$2730,$B16,'декабрь 2025'!$J$2:$J$2730,D$1)</f>
        <v>0</v>
      </c>
      <c r="E16" s="76">
        <f>SUMIFS('декабрь 2025'!$G$2:$G$2730,'декабрь 2025'!$D$2:$D$2730,$B16,'декабрь 2025'!$J$2:$J$2730,E$1)</f>
        <v>0</v>
      </c>
      <c r="F16" s="76">
        <f>SUMIFS('декабрь 2025'!$G$2:$G$2730,'декабрь 2025'!$D$2:$D$2730,$B16,'декабрь 2025'!$J$2:$J$2730,F$1)</f>
        <v>0</v>
      </c>
      <c r="G16" s="76">
        <f>SUMIFS('декабрь 2025'!$G$2:$G$2730,'декабрь 2025'!$D$2:$D$2730,$B16,'декабрь 2025'!$J$2:$J$2730,G$1)</f>
        <v>0</v>
      </c>
      <c r="H16" s="76">
        <f>SUMIFS('декабрь 2025'!$G$2:$G$2730,'декабрь 2025'!$D$2:$D$2730,$B16,'декабрь 2025'!$J$2:$J$2730,H$1)</f>
        <v>0</v>
      </c>
      <c r="I16" s="76">
        <f>SUMIFS('декабрь 2025'!$G$2:$G$2730,'декабрь 2025'!$D$2:$D$2730,$B16,'декабрь 2025'!$J$2:$J$2730,I$1)</f>
        <v>0</v>
      </c>
      <c r="J16" s="76">
        <f>SUMIFS('декабрь 2025'!$G$2:$G$2730,'декабрь 2025'!$D$2:$D$2730,$B16,'декабрь 2025'!$J$2:$J$2730,J$1)</f>
        <v>0</v>
      </c>
      <c r="K16" s="76">
        <f>SUMIFS('декабрь 2025'!$G$2:$G$2730,'декабрь 2025'!$D$2:$D$2730,$B16,'декабрь 2025'!$J$2:$J$2730,K$1)</f>
        <v>0</v>
      </c>
      <c r="L16" s="76">
        <f>SUMIFS('декабрь 2025'!$G$2:$G$2730,'декабрь 2025'!$D$2:$D$2730,$B16,'декабрь 2025'!$J$2:$J$2730,L$1)</f>
        <v>0</v>
      </c>
      <c r="M16" s="76">
        <f>SUMIFS('декабрь 2025'!$G$2:$G$2730,'декабрь 2025'!$D$2:$D$2730,$B16,'декабрь 2025'!$J$2:$J$2730,M$1)</f>
        <v>0</v>
      </c>
      <c r="N16" s="76">
        <f>SUMIFS('декабрь 2025'!$G$2:$G$2730,'декабрь 2025'!$D$2:$D$2730,$B16,'декабрь 2025'!$J$2:$J$2730,N$1)</f>
        <v>0</v>
      </c>
      <c r="O16" s="76">
        <f>SUMIFS('декабрь 2025'!$G$2:$G$2730,'декабрь 2025'!$D$2:$D$2730,$B16,'декабрь 2025'!$J$2:$J$2730,O$1)</f>
        <v>0</v>
      </c>
      <c r="P16" s="76">
        <f>SUMIFS('декабрь 2025'!$G$2:$G$2730,'декабрь 2025'!$D$2:$D$2730,$B16,'декабрь 2025'!$J$2:$J$2730,P$1)</f>
        <v>0</v>
      </c>
      <c r="Q16" s="76">
        <f>SUMIFS('декабрь 2025'!$G$2:$G$2730,'декабрь 2025'!$D$2:$D$2730,$B16,'декабрь 2025'!$J$2:$J$2730,Q$1)</f>
        <v>0</v>
      </c>
      <c r="R16" s="76">
        <f>SUMIFS('декабрь 2025'!$G$2:$G$2730,'декабрь 2025'!$D$2:$D$2730,$B16,'декабрь 2025'!$J$2:$J$2730,R$1)</f>
        <v>0</v>
      </c>
      <c r="S16" s="76">
        <f>SUMIFS('декабрь 2025'!$G$2:$G$2730,'декабрь 2025'!$D$2:$D$2730,$B16,'декабрь 2025'!$J$2:$J$2730,S$1)</f>
        <v>0</v>
      </c>
      <c r="T16" s="76">
        <f>SUMIFS('декабрь 2025'!$G$2:$G$2730,'декабрь 2025'!$D$2:$D$2730,$B16,'декабрь 2025'!$J$2:$J$2730,T$1)</f>
        <v>105</v>
      </c>
      <c r="U16" s="76">
        <f>SUMIFS('декабрь 2025'!$G$2:$G$2730,'декабрь 2025'!$D$2:$D$2730,$B16,'декабрь 2025'!$J$2:$J$2730,U$1)</f>
        <v>0</v>
      </c>
      <c r="V16" s="76">
        <f>SUMIFS('декабрь 2025'!$G$2:$G$2730,'декабрь 2025'!$D$2:$D$2730,$B16,'декабрь 2025'!$J$2:$J$2730,V$1)</f>
        <v>0</v>
      </c>
      <c r="W16" s="76">
        <f>SUMIFS('декабрь 2025'!$G$2:$G$2730,'декабрь 2025'!$D$2:$D$2730,$B16,'декабрь 2025'!$J$2:$J$2730,W$1)</f>
        <v>0</v>
      </c>
      <c r="X16" s="76">
        <f>SUMIFS('декабрь 2025'!$G$2:$G$2730,'декабрь 2025'!$D$2:$D$2730,$B16,'декабрь 2025'!$J$2:$J$2730,X$1)</f>
        <v>0</v>
      </c>
      <c r="Y16" s="76">
        <f>SUMIFS('декабрь 2025'!$G$2:$G$2730,'декабрь 2025'!$D$2:$D$2730,$B16,'декабрь 2025'!$J$2:$J$2730,Y$1)</f>
        <v>0</v>
      </c>
      <c r="Z16" s="76">
        <f>SUMIFS('декабрь 2025'!$G$2:$G$2730,'декабрь 2025'!$D$2:$D$2730,$B16,'декабрь 2025'!$J$2:$J$2730,Z$1)</f>
        <v>0</v>
      </c>
      <c r="AA16" s="76">
        <f>SUMIFS('декабрь 2025'!$G$2:$G$2730,'декабрь 2025'!$D$2:$D$2730,$B16,'декабрь 2025'!$J$2:$J$2730,AA$1)</f>
        <v>0</v>
      </c>
      <c r="AB16" s="76">
        <f>SUMIFS('декабрь 2025'!$G$2:$G$2730,'декабрь 2025'!$D$2:$D$2730,$B16,'декабрь 2025'!$J$2:$J$2730,AB$1)</f>
        <v>0</v>
      </c>
      <c r="AC16" s="76">
        <f>SUMIFS('декабрь 2025'!$G$2:$G$2730,'декабрь 2025'!$D$2:$D$2730,$B16,'декабрь 2025'!$J$2:$J$2730,AC$1)</f>
        <v>0</v>
      </c>
      <c r="AD16" s="76">
        <f>SUMIFS('декабрь 2025'!$G$2:$G$2730,'декабрь 2025'!$D$2:$D$2730,$B16,'декабрь 2025'!$J$2:$J$2730,AD$1)</f>
        <v>0</v>
      </c>
      <c r="AE16" s="76">
        <f>SUMIFS('декабрь 2025'!$G$2:$G$2730,'декабрь 2025'!$D$2:$D$2730,$B16,'декабрь 2025'!$J$2:$J$2730,AE$1)</f>
        <v>0</v>
      </c>
      <c r="AF16" s="76">
        <f>SUMIFS('декабрь 2025'!$G$2:$G$2730,'декабрь 2025'!$D$2:$D$2730,$B16,'декабрь 2025'!$J$2:$J$2730,AF$1)</f>
        <v>0</v>
      </c>
      <c r="AG16" s="76">
        <f>SUMIFS('декабрь 2025'!$G$2:$G$2730,'декабрь 2025'!$D$2:$D$2730,$B16,'декабрь 2025'!$J$2:$J$2730,AG$1)</f>
        <v>0</v>
      </c>
      <c r="AH16" s="76">
        <f>SUMIFS('декабрь 2025'!$G$2:$G$2730,'декабрь 2025'!$D$2:$D$2730,$B16,'декабрь 2025'!$J$2:$J$2730,AH$1)</f>
        <v>0</v>
      </c>
      <c r="AI16" s="20">
        <f t="shared" si="1"/>
        <v>105</v>
      </c>
    </row>
    <row r="17" spans="2:35" ht="15" customHeight="1" x14ac:dyDescent="0.25">
      <c r="B17" s="80" t="s">
        <v>231</v>
      </c>
      <c r="C17" s="81">
        <v>22.7</v>
      </c>
      <c r="D17" s="76">
        <f>SUMIFS('декабрь 2025'!$G$2:$G$2730,'декабрь 2025'!$D$2:$D$2730,$B17,'декабрь 2025'!$J$2:$J$2730,D$1)</f>
        <v>0</v>
      </c>
      <c r="E17" s="76">
        <f>SUMIFS('декабрь 2025'!$G$2:$G$2730,'декабрь 2025'!$D$2:$D$2730,$B17,'декабрь 2025'!$J$2:$J$2730,E$1)</f>
        <v>0</v>
      </c>
      <c r="F17" s="76">
        <f>SUMIFS('декабрь 2025'!$G$2:$G$2730,'декабрь 2025'!$D$2:$D$2730,$B17,'декабрь 2025'!$J$2:$J$2730,F$1)</f>
        <v>0</v>
      </c>
      <c r="G17" s="76">
        <f>SUMIFS('декабрь 2025'!$G$2:$G$2730,'декабрь 2025'!$D$2:$D$2730,$B17,'декабрь 2025'!$J$2:$J$2730,G$1)</f>
        <v>0</v>
      </c>
      <c r="H17" s="76">
        <f>SUMIFS('декабрь 2025'!$G$2:$G$2730,'декабрь 2025'!$D$2:$D$2730,$B17,'декабрь 2025'!$J$2:$J$2730,H$1)</f>
        <v>0</v>
      </c>
      <c r="I17" s="76">
        <f>SUMIFS('декабрь 2025'!$G$2:$G$2730,'декабрь 2025'!$D$2:$D$2730,$B17,'декабрь 2025'!$J$2:$J$2730,I$1)</f>
        <v>0</v>
      </c>
      <c r="J17" s="76">
        <f>SUMIFS('декабрь 2025'!$G$2:$G$2730,'декабрь 2025'!$D$2:$D$2730,$B17,'декабрь 2025'!$J$2:$J$2730,J$1)</f>
        <v>0</v>
      </c>
      <c r="K17" s="76">
        <f>SUMIFS('декабрь 2025'!$G$2:$G$2730,'декабрь 2025'!$D$2:$D$2730,$B17,'декабрь 2025'!$J$2:$J$2730,K$1)</f>
        <v>0</v>
      </c>
      <c r="L17" s="76">
        <f>SUMIFS('декабрь 2025'!$G$2:$G$2730,'декабрь 2025'!$D$2:$D$2730,$B17,'декабрь 2025'!$J$2:$J$2730,L$1)</f>
        <v>0</v>
      </c>
      <c r="M17" s="76">
        <f>SUMIFS('декабрь 2025'!$G$2:$G$2730,'декабрь 2025'!$D$2:$D$2730,$B17,'декабрь 2025'!$J$2:$J$2730,M$1)</f>
        <v>0</v>
      </c>
      <c r="N17" s="76">
        <f>SUMIFS('декабрь 2025'!$G$2:$G$2730,'декабрь 2025'!$D$2:$D$2730,$B17,'декабрь 2025'!$J$2:$J$2730,N$1)</f>
        <v>0</v>
      </c>
      <c r="O17" s="76">
        <f>SUMIFS('декабрь 2025'!$G$2:$G$2730,'декабрь 2025'!$D$2:$D$2730,$B17,'декабрь 2025'!$J$2:$J$2730,O$1)</f>
        <v>0</v>
      </c>
      <c r="P17" s="76">
        <f>SUMIFS('декабрь 2025'!$G$2:$G$2730,'декабрь 2025'!$D$2:$D$2730,$B17,'декабрь 2025'!$J$2:$J$2730,P$1)</f>
        <v>0</v>
      </c>
      <c r="Q17" s="76">
        <f>SUMIFS('декабрь 2025'!$G$2:$G$2730,'декабрь 2025'!$D$2:$D$2730,$B17,'декабрь 2025'!$J$2:$J$2730,Q$1)</f>
        <v>0</v>
      </c>
      <c r="R17" s="76">
        <f>SUMIFS('декабрь 2025'!$G$2:$G$2730,'декабрь 2025'!$D$2:$D$2730,$B17,'декабрь 2025'!$J$2:$J$2730,R$1)</f>
        <v>0</v>
      </c>
      <c r="S17" s="76">
        <f>SUMIFS('декабрь 2025'!$G$2:$G$2730,'декабрь 2025'!$D$2:$D$2730,$B17,'декабрь 2025'!$J$2:$J$2730,S$1)</f>
        <v>0</v>
      </c>
      <c r="T17" s="76">
        <f>SUMIFS('декабрь 2025'!$G$2:$G$2730,'декабрь 2025'!$D$2:$D$2730,$B17,'декабрь 2025'!$J$2:$J$2730,T$1)</f>
        <v>0</v>
      </c>
      <c r="U17" s="76">
        <f>SUMIFS('декабрь 2025'!$G$2:$G$2730,'декабрь 2025'!$D$2:$D$2730,$B17,'декабрь 2025'!$J$2:$J$2730,U$1)</f>
        <v>0</v>
      </c>
      <c r="V17" s="76">
        <f>SUMIFS('декабрь 2025'!$G$2:$G$2730,'декабрь 2025'!$D$2:$D$2730,$B17,'декабрь 2025'!$J$2:$J$2730,V$1)</f>
        <v>0</v>
      </c>
      <c r="W17" s="76">
        <f>SUMIFS('декабрь 2025'!$G$2:$G$2730,'декабрь 2025'!$D$2:$D$2730,$B17,'декабрь 2025'!$J$2:$J$2730,W$1)</f>
        <v>0</v>
      </c>
      <c r="X17" s="76">
        <f>SUMIFS('декабрь 2025'!$G$2:$G$2730,'декабрь 2025'!$D$2:$D$2730,$B17,'декабрь 2025'!$J$2:$J$2730,X$1)</f>
        <v>0</v>
      </c>
      <c r="Y17" s="76">
        <f>SUMIFS('декабрь 2025'!$G$2:$G$2730,'декабрь 2025'!$D$2:$D$2730,$B17,'декабрь 2025'!$J$2:$J$2730,Y$1)</f>
        <v>0</v>
      </c>
      <c r="Z17" s="76">
        <f>SUMIFS('декабрь 2025'!$G$2:$G$2730,'декабрь 2025'!$D$2:$D$2730,$B17,'декабрь 2025'!$J$2:$J$2730,Z$1)</f>
        <v>0</v>
      </c>
      <c r="AA17" s="76">
        <f>SUMIFS('декабрь 2025'!$G$2:$G$2730,'декабрь 2025'!$D$2:$D$2730,$B17,'декабрь 2025'!$J$2:$J$2730,AA$1)</f>
        <v>0</v>
      </c>
      <c r="AB17" s="76">
        <f>SUMIFS('декабрь 2025'!$G$2:$G$2730,'декабрь 2025'!$D$2:$D$2730,$B17,'декабрь 2025'!$J$2:$J$2730,AB$1)</f>
        <v>0</v>
      </c>
      <c r="AC17" s="76">
        <f>SUMIFS('декабрь 2025'!$G$2:$G$2730,'декабрь 2025'!$D$2:$D$2730,$B17,'декабрь 2025'!$J$2:$J$2730,AC$1)</f>
        <v>0</v>
      </c>
      <c r="AD17" s="76">
        <f>SUMIFS('декабрь 2025'!$G$2:$G$2730,'декабрь 2025'!$D$2:$D$2730,$B17,'декабрь 2025'!$J$2:$J$2730,AD$1)</f>
        <v>0</v>
      </c>
      <c r="AE17" s="76">
        <f>SUMIFS('декабрь 2025'!$G$2:$G$2730,'декабрь 2025'!$D$2:$D$2730,$B17,'декабрь 2025'!$J$2:$J$2730,AE$1)</f>
        <v>0</v>
      </c>
      <c r="AF17" s="76">
        <f>SUMIFS('декабрь 2025'!$G$2:$G$2730,'декабрь 2025'!$D$2:$D$2730,$B17,'декабрь 2025'!$J$2:$J$2730,AF$1)</f>
        <v>0</v>
      </c>
      <c r="AG17" s="76">
        <f>SUMIFS('декабрь 2025'!$G$2:$G$2730,'декабрь 2025'!$D$2:$D$2730,$B17,'декабрь 2025'!$J$2:$J$2730,AG$1)</f>
        <v>0</v>
      </c>
      <c r="AH17" s="76">
        <f>SUMIFS('декабрь 2025'!$G$2:$G$2730,'декабрь 2025'!$D$2:$D$2730,$B17,'декабрь 2025'!$J$2:$J$2730,AH$1)</f>
        <v>0</v>
      </c>
      <c r="AI17" s="20">
        <f t="shared" si="1"/>
        <v>0</v>
      </c>
    </row>
    <row r="18" spans="2:35" ht="15" customHeight="1" x14ac:dyDescent="0.25">
      <c r="B18" s="77" t="s">
        <v>233</v>
      </c>
      <c r="C18" s="78">
        <v>22.7</v>
      </c>
      <c r="D18" s="76">
        <f>SUMIFS('декабрь 2025'!$G$2:$G$2730,'декабрь 2025'!$D$2:$D$2730,$B18,'декабрь 2025'!$J$2:$J$2730,D$1)</f>
        <v>0</v>
      </c>
      <c r="E18" s="76">
        <f>SUMIFS('декабрь 2025'!$G$2:$G$2730,'декабрь 2025'!$D$2:$D$2730,$B18,'декабрь 2025'!$J$2:$J$2730,E$1)</f>
        <v>0</v>
      </c>
      <c r="F18" s="76">
        <f>SUMIFS('декабрь 2025'!$G$2:$G$2730,'декабрь 2025'!$D$2:$D$2730,$B18,'декабрь 2025'!$J$2:$J$2730,F$1)</f>
        <v>0</v>
      </c>
      <c r="G18" s="76">
        <f>SUMIFS('декабрь 2025'!$G$2:$G$2730,'декабрь 2025'!$D$2:$D$2730,$B18,'декабрь 2025'!$J$2:$J$2730,G$1)</f>
        <v>0</v>
      </c>
      <c r="H18" s="76">
        <f>SUMIFS('декабрь 2025'!$G$2:$G$2730,'декабрь 2025'!$D$2:$D$2730,$B18,'декабрь 2025'!$J$2:$J$2730,H$1)</f>
        <v>0</v>
      </c>
      <c r="I18" s="76">
        <f>SUMIFS('декабрь 2025'!$G$2:$G$2730,'декабрь 2025'!$D$2:$D$2730,$B18,'декабрь 2025'!$J$2:$J$2730,I$1)</f>
        <v>0</v>
      </c>
      <c r="J18" s="76">
        <f>SUMIFS('декабрь 2025'!$G$2:$G$2730,'декабрь 2025'!$D$2:$D$2730,$B18,'декабрь 2025'!$J$2:$J$2730,J$1)</f>
        <v>0</v>
      </c>
      <c r="K18" s="76">
        <f>SUMIFS('декабрь 2025'!$G$2:$G$2730,'декабрь 2025'!$D$2:$D$2730,$B18,'декабрь 2025'!$J$2:$J$2730,K$1)</f>
        <v>0</v>
      </c>
      <c r="L18" s="76">
        <f>SUMIFS('декабрь 2025'!$G$2:$G$2730,'декабрь 2025'!$D$2:$D$2730,$B18,'декабрь 2025'!$J$2:$J$2730,L$1)</f>
        <v>0</v>
      </c>
      <c r="M18" s="76">
        <f>SUMIFS('декабрь 2025'!$G$2:$G$2730,'декабрь 2025'!$D$2:$D$2730,$B18,'декабрь 2025'!$J$2:$J$2730,M$1)</f>
        <v>0</v>
      </c>
      <c r="N18" s="76">
        <f>SUMIFS('декабрь 2025'!$G$2:$G$2730,'декабрь 2025'!$D$2:$D$2730,$B18,'декабрь 2025'!$J$2:$J$2730,N$1)</f>
        <v>0</v>
      </c>
      <c r="O18" s="76">
        <f>SUMIFS('декабрь 2025'!$G$2:$G$2730,'декабрь 2025'!$D$2:$D$2730,$B18,'декабрь 2025'!$J$2:$J$2730,O$1)</f>
        <v>0</v>
      </c>
      <c r="P18" s="76">
        <f>SUMIFS('декабрь 2025'!$G$2:$G$2730,'декабрь 2025'!$D$2:$D$2730,$B18,'декабрь 2025'!$J$2:$J$2730,P$1)</f>
        <v>0</v>
      </c>
      <c r="Q18" s="76">
        <f>SUMIFS('декабрь 2025'!$G$2:$G$2730,'декабрь 2025'!$D$2:$D$2730,$B18,'декабрь 2025'!$J$2:$J$2730,Q$1)</f>
        <v>0</v>
      </c>
      <c r="R18" s="76">
        <f>SUMIFS('декабрь 2025'!$G$2:$G$2730,'декабрь 2025'!$D$2:$D$2730,$B18,'декабрь 2025'!$J$2:$J$2730,R$1)</f>
        <v>0</v>
      </c>
      <c r="S18" s="76">
        <f>SUMIFS('декабрь 2025'!$G$2:$G$2730,'декабрь 2025'!$D$2:$D$2730,$B18,'декабрь 2025'!$J$2:$J$2730,S$1)</f>
        <v>0</v>
      </c>
      <c r="T18" s="76">
        <f>SUMIFS('декабрь 2025'!$G$2:$G$2730,'декабрь 2025'!$D$2:$D$2730,$B18,'декабрь 2025'!$J$2:$J$2730,T$1)</f>
        <v>0</v>
      </c>
      <c r="U18" s="76">
        <f>SUMIFS('декабрь 2025'!$G$2:$G$2730,'декабрь 2025'!$D$2:$D$2730,$B18,'декабрь 2025'!$J$2:$J$2730,U$1)</f>
        <v>0</v>
      </c>
      <c r="V18" s="76">
        <f>SUMIFS('декабрь 2025'!$G$2:$G$2730,'декабрь 2025'!$D$2:$D$2730,$B18,'декабрь 2025'!$J$2:$J$2730,V$1)</f>
        <v>0</v>
      </c>
      <c r="W18" s="76">
        <f>SUMIFS('декабрь 2025'!$G$2:$G$2730,'декабрь 2025'!$D$2:$D$2730,$B18,'декабрь 2025'!$J$2:$J$2730,W$1)</f>
        <v>0</v>
      </c>
      <c r="X18" s="76">
        <f>SUMIFS('декабрь 2025'!$G$2:$G$2730,'декабрь 2025'!$D$2:$D$2730,$B18,'декабрь 2025'!$J$2:$J$2730,X$1)</f>
        <v>0</v>
      </c>
      <c r="Y18" s="76">
        <f>SUMIFS('декабрь 2025'!$G$2:$G$2730,'декабрь 2025'!$D$2:$D$2730,$B18,'декабрь 2025'!$J$2:$J$2730,Y$1)</f>
        <v>0</v>
      </c>
      <c r="Z18" s="76">
        <f>SUMIFS('декабрь 2025'!$G$2:$G$2730,'декабрь 2025'!$D$2:$D$2730,$B18,'декабрь 2025'!$J$2:$J$2730,Z$1)</f>
        <v>0</v>
      </c>
      <c r="AA18" s="76">
        <f>SUMIFS('декабрь 2025'!$G$2:$G$2730,'декабрь 2025'!$D$2:$D$2730,$B18,'декабрь 2025'!$J$2:$J$2730,AA$1)</f>
        <v>0</v>
      </c>
      <c r="AB18" s="76">
        <f>SUMIFS('декабрь 2025'!$G$2:$G$2730,'декабрь 2025'!$D$2:$D$2730,$B18,'декабрь 2025'!$J$2:$J$2730,AB$1)</f>
        <v>0</v>
      </c>
      <c r="AC18" s="76">
        <f>SUMIFS('декабрь 2025'!$G$2:$G$2730,'декабрь 2025'!$D$2:$D$2730,$B18,'декабрь 2025'!$J$2:$J$2730,AC$1)</f>
        <v>0</v>
      </c>
      <c r="AD18" s="76">
        <f>SUMIFS('декабрь 2025'!$G$2:$G$2730,'декабрь 2025'!$D$2:$D$2730,$B18,'декабрь 2025'!$J$2:$J$2730,AD$1)</f>
        <v>0</v>
      </c>
      <c r="AE18" s="76">
        <f>SUMIFS('декабрь 2025'!$G$2:$G$2730,'декабрь 2025'!$D$2:$D$2730,$B18,'декабрь 2025'!$J$2:$J$2730,AE$1)</f>
        <v>0</v>
      </c>
      <c r="AF18" s="76">
        <f>SUMIFS('декабрь 2025'!$G$2:$G$2730,'декабрь 2025'!$D$2:$D$2730,$B18,'декабрь 2025'!$J$2:$J$2730,AF$1)</f>
        <v>0</v>
      </c>
      <c r="AG18" s="76">
        <f>SUMIFS('декабрь 2025'!$G$2:$G$2730,'декабрь 2025'!$D$2:$D$2730,$B18,'декабрь 2025'!$J$2:$J$2730,AG$1)</f>
        <v>0</v>
      </c>
      <c r="AH18" s="76">
        <f>SUMIFS('декабрь 2025'!$G$2:$G$2730,'декабрь 2025'!$D$2:$D$2730,$B18,'декабрь 2025'!$J$2:$J$2730,AH$1)</f>
        <v>0</v>
      </c>
      <c r="AI18" s="20">
        <f t="shared" si="1"/>
        <v>0</v>
      </c>
    </row>
    <row r="19" spans="2:35" ht="15" customHeight="1" x14ac:dyDescent="0.25">
      <c r="B19" s="80" t="s">
        <v>235</v>
      </c>
      <c r="C19" s="81">
        <v>22.7</v>
      </c>
      <c r="D19" s="76">
        <f>SUMIFS('декабрь 2025'!$G$2:$G$2730,'декабрь 2025'!$D$2:$D$2730,$B19,'декабрь 2025'!$J$2:$J$2730,D$1)</f>
        <v>0</v>
      </c>
      <c r="E19" s="76">
        <f>SUMIFS('декабрь 2025'!$G$2:$G$2730,'декабрь 2025'!$D$2:$D$2730,$B19,'декабрь 2025'!$J$2:$J$2730,E$1)</f>
        <v>0</v>
      </c>
      <c r="F19" s="76">
        <f>SUMIFS('декабрь 2025'!$G$2:$G$2730,'декабрь 2025'!$D$2:$D$2730,$B19,'декабрь 2025'!$J$2:$J$2730,F$1)</f>
        <v>0</v>
      </c>
      <c r="G19" s="76">
        <f>SUMIFS('декабрь 2025'!$G$2:$G$2730,'декабрь 2025'!$D$2:$D$2730,$B19,'декабрь 2025'!$J$2:$J$2730,G$1)</f>
        <v>0</v>
      </c>
      <c r="H19" s="76">
        <f>SUMIFS('декабрь 2025'!$G$2:$G$2730,'декабрь 2025'!$D$2:$D$2730,$B19,'декабрь 2025'!$J$2:$J$2730,H$1)</f>
        <v>0</v>
      </c>
      <c r="I19" s="76">
        <f>SUMIFS('декабрь 2025'!$G$2:$G$2730,'декабрь 2025'!$D$2:$D$2730,$B19,'декабрь 2025'!$J$2:$J$2730,I$1)</f>
        <v>0</v>
      </c>
      <c r="J19" s="76">
        <f>SUMIFS('декабрь 2025'!$G$2:$G$2730,'декабрь 2025'!$D$2:$D$2730,$B19,'декабрь 2025'!$J$2:$J$2730,J$1)</f>
        <v>0</v>
      </c>
      <c r="K19" s="76">
        <f>SUMIFS('декабрь 2025'!$G$2:$G$2730,'декабрь 2025'!$D$2:$D$2730,$B19,'декабрь 2025'!$J$2:$J$2730,K$1)</f>
        <v>0</v>
      </c>
      <c r="L19" s="76">
        <f>SUMIFS('декабрь 2025'!$G$2:$G$2730,'декабрь 2025'!$D$2:$D$2730,$B19,'декабрь 2025'!$J$2:$J$2730,L$1)</f>
        <v>0</v>
      </c>
      <c r="M19" s="76">
        <f>SUMIFS('декабрь 2025'!$G$2:$G$2730,'декабрь 2025'!$D$2:$D$2730,$B19,'декабрь 2025'!$J$2:$J$2730,M$1)</f>
        <v>0</v>
      </c>
      <c r="N19" s="76">
        <f>SUMIFS('декабрь 2025'!$G$2:$G$2730,'декабрь 2025'!$D$2:$D$2730,$B19,'декабрь 2025'!$J$2:$J$2730,N$1)</f>
        <v>0</v>
      </c>
      <c r="O19" s="76">
        <f>SUMIFS('декабрь 2025'!$G$2:$G$2730,'декабрь 2025'!$D$2:$D$2730,$B19,'декабрь 2025'!$J$2:$J$2730,O$1)</f>
        <v>0</v>
      </c>
      <c r="P19" s="76">
        <f>SUMIFS('декабрь 2025'!$G$2:$G$2730,'декабрь 2025'!$D$2:$D$2730,$B19,'декабрь 2025'!$J$2:$J$2730,P$1)</f>
        <v>0</v>
      </c>
      <c r="Q19" s="76">
        <f>SUMIFS('декабрь 2025'!$G$2:$G$2730,'декабрь 2025'!$D$2:$D$2730,$B19,'декабрь 2025'!$J$2:$J$2730,Q$1)</f>
        <v>0</v>
      </c>
      <c r="R19" s="76">
        <f>SUMIFS('декабрь 2025'!$G$2:$G$2730,'декабрь 2025'!$D$2:$D$2730,$B19,'декабрь 2025'!$J$2:$J$2730,R$1)</f>
        <v>0</v>
      </c>
      <c r="S19" s="76">
        <f>SUMIFS('декабрь 2025'!$G$2:$G$2730,'декабрь 2025'!$D$2:$D$2730,$B19,'декабрь 2025'!$J$2:$J$2730,S$1)</f>
        <v>0</v>
      </c>
      <c r="T19" s="76">
        <f>SUMIFS('декабрь 2025'!$G$2:$G$2730,'декабрь 2025'!$D$2:$D$2730,$B19,'декабрь 2025'!$J$2:$J$2730,T$1)</f>
        <v>0</v>
      </c>
      <c r="U19" s="76">
        <f>SUMIFS('декабрь 2025'!$G$2:$G$2730,'декабрь 2025'!$D$2:$D$2730,$B19,'декабрь 2025'!$J$2:$J$2730,U$1)</f>
        <v>0</v>
      </c>
      <c r="V19" s="76">
        <f>SUMIFS('декабрь 2025'!$G$2:$G$2730,'декабрь 2025'!$D$2:$D$2730,$B19,'декабрь 2025'!$J$2:$J$2730,V$1)</f>
        <v>0</v>
      </c>
      <c r="W19" s="76">
        <f>SUMIFS('декабрь 2025'!$G$2:$G$2730,'декабрь 2025'!$D$2:$D$2730,$B19,'декабрь 2025'!$J$2:$J$2730,W$1)</f>
        <v>0</v>
      </c>
      <c r="X19" s="76">
        <f>SUMIFS('декабрь 2025'!$G$2:$G$2730,'декабрь 2025'!$D$2:$D$2730,$B19,'декабрь 2025'!$J$2:$J$2730,X$1)</f>
        <v>0</v>
      </c>
      <c r="Y19" s="76">
        <f>SUMIFS('декабрь 2025'!$G$2:$G$2730,'декабрь 2025'!$D$2:$D$2730,$B19,'декабрь 2025'!$J$2:$J$2730,Y$1)</f>
        <v>0</v>
      </c>
      <c r="Z19" s="76">
        <f>SUMIFS('декабрь 2025'!$G$2:$G$2730,'декабрь 2025'!$D$2:$D$2730,$B19,'декабрь 2025'!$J$2:$J$2730,Z$1)</f>
        <v>0</v>
      </c>
      <c r="AA19" s="76">
        <f>SUMIFS('декабрь 2025'!$G$2:$G$2730,'декабрь 2025'!$D$2:$D$2730,$B19,'декабрь 2025'!$J$2:$J$2730,AA$1)</f>
        <v>0</v>
      </c>
      <c r="AB19" s="76">
        <f>SUMIFS('декабрь 2025'!$G$2:$G$2730,'декабрь 2025'!$D$2:$D$2730,$B19,'декабрь 2025'!$J$2:$J$2730,AB$1)</f>
        <v>0</v>
      </c>
      <c r="AC19" s="76">
        <f>SUMIFS('декабрь 2025'!$G$2:$G$2730,'декабрь 2025'!$D$2:$D$2730,$B19,'декабрь 2025'!$J$2:$J$2730,AC$1)</f>
        <v>0</v>
      </c>
      <c r="AD19" s="76">
        <f>SUMIFS('декабрь 2025'!$G$2:$G$2730,'декабрь 2025'!$D$2:$D$2730,$B19,'декабрь 2025'!$J$2:$J$2730,AD$1)</f>
        <v>0</v>
      </c>
      <c r="AE19" s="76">
        <f>SUMIFS('декабрь 2025'!$G$2:$G$2730,'декабрь 2025'!$D$2:$D$2730,$B19,'декабрь 2025'!$J$2:$J$2730,AE$1)</f>
        <v>0</v>
      </c>
      <c r="AF19" s="76">
        <f>SUMIFS('декабрь 2025'!$G$2:$G$2730,'декабрь 2025'!$D$2:$D$2730,$B19,'декабрь 2025'!$J$2:$J$2730,AF$1)</f>
        <v>0</v>
      </c>
      <c r="AG19" s="76">
        <f>SUMIFS('декабрь 2025'!$G$2:$G$2730,'декабрь 2025'!$D$2:$D$2730,$B19,'декабрь 2025'!$J$2:$J$2730,AG$1)</f>
        <v>0</v>
      </c>
      <c r="AH19" s="76">
        <f>SUMIFS('декабрь 2025'!$G$2:$G$2730,'декабрь 2025'!$D$2:$D$2730,$B19,'декабрь 2025'!$J$2:$J$2730,AH$1)</f>
        <v>0</v>
      </c>
      <c r="AI19" s="20">
        <f t="shared" si="1"/>
        <v>0</v>
      </c>
    </row>
    <row r="20" spans="2:35" ht="15" customHeight="1" x14ac:dyDescent="0.25">
      <c r="B20" s="80" t="s">
        <v>237</v>
      </c>
      <c r="C20" s="81">
        <v>25</v>
      </c>
      <c r="D20" s="76">
        <f>SUMIFS('декабрь 2025'!$G$2:$G$2730,'декабрь 2025'!$D$2:$D$2730,$B20,'декабрь 2025'!$J$2:$J$2730,D$1)</f>
        <v>0</v>
      </c>
      <c r="E20" s="76">
        <f>SUMIFS('декабрь 2025'!$G$2:$G$2730,'декабрь 2025'!$D$2:$D$2730,$B20,'декабрь 2025'!$J$2:$J$2730,E$1)</f>
        <v>840</v>
      </c>
      <c r="F20" s="76">
        <f>SUMIFS('декабрь 2025'!$G$2:$G$2730,'декабрь 2025'!$D$2:$D$2730,$B20,'декабрь 2025'!$J$2:$J$2730,F$1)</f>
        <v>0</v>
      </c>
      <c r="G20" s="76">
        <f>SUMIFS('декабрь 2025'!$G$2:$G$2730,'декабрь 2025'!$D$2:$D$2730,$B20,'декабрь 2025'!$J$2:$J$2730,G$1)</f>
        <v>0</v>
      </c>
      <c r="H20" s="76">
        <f>SUMIFS('декабрь 2025'!$G$2:$G$2730,'декабрь 2025'!$D$2:$D$2730,$B20,'декабрь 2025'!$J$2:$J$2730,H$1)</f>
        <v>0</v>
      </c>
      <c r="I20" s="76">
        <f>SUMIFS('декабрь 2025'!$G$2:$G$2730,'декабрь 2025'!$D$2:$D$2730,$B20,'декабрь 2025'!$J$2:$J$2730,I$1)</f>
        <v>0</v>
      </c>
      <c r="J20" s="76">
        <f>SUMIFS('декабрь 2025'!$G$2:$G$2730,'декабрь 2025'!$D$2:$D$2730,$B20,'декабрь 2025'!$J$2:$J$2730,J$1)</f>
        <v>0</v>
      </c>
      <c r="K20" s="76">
        <f>SUMIFS('декабрь 2025'!$G$2:$G$2730,'декабрь 2025'!$D$2:$D$2730,$B20,'декабрь 2025'!$J$2:$J$2730,K$1)</f>
        <v>0</v>
      </c>
      <c r="L20" s="76">
        <f>SUMIFS('декабрь 2025'!$G$2:$G$2730,'декабрь 2025'!$D$2:$D$2730,$B20,'декабрь 2025'!$J$2:$J$2730,L$1)</f>
        <v>0</v>
      </c>
      <c r="M20" s="76">
        <f>SUMIFS('декабрь 2025'!$G$2:$G$2730,'декабрь 2025'!$D$2:$D$2730,$B20,'декабрь 2025'!$J$2:$J$2730,M$1)</f>
        <v>0</v>
      </c>
      <c r="N20" s="76">
        <f>SUMIFS('декабрь 2025'!$G$2:$G$2730,'декабрь 2025'!$D$2:$D$2730,$B20,'декабрь 2025'!$J$2:$J$2730,N$1)</f>
        <v>0</v>
      </c>
      <c r="O20" s="76">
        <f>SUMIFS('декабрь 2025'!$G$2:$G$2730,'декабрь 2025'!$D$2:$D$2730,$B20,'декабрь 2025'!$J$2:$J$2730,O$1)</f>
        <v>0</v>
      </c>
      <c r="P20" s="76">
        <f>SUMIFS('декабрь 2025'!$G$2:$G$2730,'декабрь 2025'!$D$2:$D$2730,$B20,'декабрь 2025'!$J$2:$J$2730,P$1)</f>
        <v>0</v>
      </c>
      <c r="Q20" s="76">
        <f>SUMIFS('декабрь 2025'!$G$2:$G$2730,'декабрь 2025'!$D$2:$D$2730,$B20,'декабрь 2025'!$J$2:$J$2730,Q$1)</f>
        <v>0</v>
      </c>
      <c r="R20" s="76">
        <f>SUMIFS('декабрь 2025'!$G$2:$G$2730,'декабрь 2025'!$D$2:$D$2730,$B20,'декабрь 2025'!$J$2:$J$2730,R$1)</f>
        <v>0</v>
      </c>
      <c r="S20" s="76">
        <f>SUMIFS('декабрь 2025'!$G$2:$G$2730,'декабрь 2025'!$D$2:$D$2730,$B20,'декабрь 2025'!$J$2:$J$2730,S$1)</f>
        <v>0</v>
      </c>
      <c r="T20" s="76">
        <f>SUMIFS('декабрь 2025'!$G$2:$G$2730,'декабрь 2025'!$D$2:$D$2730,$B20,'декабрь 2025'!$J$2:$J$2730,T$1)</f>
        <v>0</v>
      </c>
      <c r="U20" s="76">
        <f>SUMIFS('декабрь 2025'!$G$2:$G$2730,'декабрь 2025'!$D$2:$D$2730,$B20,'декабрь 2025'!$J$2:$J$2730,U$1)</f>
        <v>0</v>
      </c>
      <c r="V20" s="76">
        <f>SUMIFS('декабрь 2025'!$G$2:$G$2730,'декабрь 2025'!$D$2:$D$2730,$B20,'декабрь 2025'!$J$2:$J$2730,V$1)</f>
        <v>0</v>
      </c>
      <c r="W20" s="76">
        <f>SUMIFS('декабрь 2025'!$G$2:$G$2730,'декабрь 2025'!$D$2:$D$2730,$B20,'декабрь 2025'!$J$2:$J$2730,W$1)</f>
        <v>0</v>
      </c>
      <c r="X20" s="76">
        <f>SUMIFS('декабрь 2025'!$G$2:$G$2730,'декабрь 2025'!$D$2:$D$2730,$B20,'декабрь 2025'!$J$2:$J$2730,X$1)</f>
        <v>0</v>
      </c>
      <c r="Y20" s="76">
        <f>SUMIFS('декабрь 2025'!$G$2:$G$2730,'декабрь 2025'!$D$2:$D$2730,$B20,'декабрь 2025'!$J$2:$J$2730,Y$1)</f>
        <v>0</v>
      </c>
      <c r="Z20" s="76">
        <f>SUMIFS('декабрь 2025'!$G$2:$G$2730,'декабрь 2025'!$D$2:$D$2730,$B20,'декабрь 2025'!$J$2:$J$2730,Z$1)</f>
        <v>0</v>
      </c>
      <c r="AA20" s="76">
        <f>SUMIFS('декабрь 2025'!$G$2:$G$2730,'декабрь 2025'!$D$2:$D$2730,$B20,'декабрь 2025'!$J$2:$J$2730,AA$1)</f>
        <v>0</v>
      </c>
      <c r="AB20" s="76">
        <f>SUMIFS('декабрь 2025'!$G$2:$G$2730,'декабрь 2025'!$D$2:$D$2730,$B20,'декабрь 2025'!$J$2:$J$2730,AB$1)</f>
        <v>0</v>
      </c>
      <c r="AC20" s="76">
        <f>SUMIFS('декабрь 2025'!$G$2:$G$2730,'декабрь 2025'!$D$2:$D$2730,$B20,'декабрь 2025'!$J$2:$J$2730,AC$1)</f>
        <v>0</v>
      </c>
      <c r="AD20" s="76">
        <f>SUMIFS('декабрь 2025'!$G$2:$G$2730,'декабрь 2025'!$D$2:$D$2730,$B20,'декабрь 2025'!$J$2:$J$2730,AD$1)</f>
        <v>0</v>
      </c>
      <c r="AE20" s="76">
        <f>SUMIFS('декабрь 2025'!$G$2:$G$2730,'декабрь 2025'!$D$2:$D$2730,$B20,'декабрь 2025'!$J$2:$J$2730,AE$1)</f>
        <v>0</v>
      </c>
      <c r="AF20" s="76">
        <f>SUMIFS('декабрь 2025'!$G$2:$G$2730,'декабрь 2025'!$D$2:$D$2730,$B20,'декабрь 2025'!$J$2:$J$2730,AF$1)</f>
        <v>840</v>
      </c>
      <c r="AG20" s="76">
        <f>SUMIFS('декабрь 2025'!$G$2:$G$2730,'декабрь 2025'!$D$2:$D$2730,$B20,'декабрь 2025'!$J$2:$J$2730,AG$1)</f>
        <v>800</v>
      </c>
      <c r="AH20" s="76">
        <f>SUMIFS('декабрь 2025'!$G$2:$G$2730,'декабрь 2025'!$D$2:$D$2730,$B20,'декабрь 2025'!$J$2:$J$2730,AH$1)</f>
        <v>0</v>
      </c>
      <c r="AI20" s="20">
        <f t="shared" si="1"/>
        <v>2480</v>
      </c>
    </row>
    <row r="21" spans="2:35" ht="15" customHeight="1" x14ac:dyDescent="0.25">
      <c r="B21" s="77" t="s">
        <v>239</v>
      </c>
      <c r="C21" s="78">
        <v>25</v>
      </c>
      <c r="D21" s="76">
        <f>SUMIFS('декабрь 2025'!$G$2:$G$2730,'декабрь 2025'!$D$2:$D$2730,$B21,'декабрь 2025'!$J$2:$J$2730,D$1)</f>
        <v>0</v>
      </c>
      <c r="E21" s="76">
        <f>SUMIFS('декабрь 2025'!$G$2:$G$2730,'декабрь 2025'!$D$2:$D$2730,$B21,'декабрь 2025'!$J$2:$J$2730,E$1)</f>
        <v>0</v>
      </c>
      <c r="F21" s="76">
        <f>SUMIFS('декабрь 2025'!$G$2:$G$2730,'декабрь 2025'!$D$2:$D$2730,$B21,'декабрь 2025'!$J$2:$J$2730,F$1)</f>
        <v>0</v>
      </c>
      <c r="G21" s="76">
        <f>SUMIFS('декабрь 2025'!$G$2:$G$2730,'декабрь 2025'!$D$2:$D$2730,$B21,'декабрь 2025'!$J$2:$J$2730,G$1)</f>
        <v>0</v>
      </c>
      <c r="H21" s="76">
        <f>SUMIFS('декабрь 2025'!$G$2:$G$2730,'декабрь 2025'!$D$2:$D$2730,$B21,'декабрь 2025'!$J$2:$J$2730,H$1)</f>
        <v>0</v>
      </c>
      <c r="I21" s="76">
        <f>SUMIFS('декабрь 2025'!$G$2:$G$2730,'декабрь 2025'!$D$2:$D$2730,$B21,'декабрь 2025'!$J$2:$J$2730,I$1)</f>
        <v>0</v>
      </c>
      <c r="J21" s="76">
        <f>SUMIFS('декабрь 2025'!$G$2:$G$2730,'декабрь 2025'!$D$2:$D$2730,$B21,'декабрь 2025'!$J$2:$J$2730,J$1)</f>
        <v>0</v>
      </c>
      <c r="K21" s="76">
        <f>SUMIFS('декабрь 2025'!$G$2:$G$2730,'декабрь 2025'!$D$2:$D$2730,$B21,'декабрь 2025'!$J$2:$J$2730,K$1)</f>
        <v>0</v>
      </c>
      <c r="L21" s="76">
        <f>SUMIFS('декабрь 2025'!$G$2:$G$2730,'декабрь 2025'!$D$2:$D$2730,$B21,'декабрь 2025'!$J$2:$J$2730,L$1)</f>
        <v>0</v>
      </c>
      <c r="M21" s="76">
        <f>SUMIFS('декабрь 2025'!$G$2:$G$2730,'декабрь 2025'!$D$2:$D$2730,$B21,'декабрь 2025'!$J$2:$J$2730,M$1)</f>
        <v>0</v>
      </c>
      <c r="N21" s="76">
        <f>SUMIFS('декабрь 2025'!$G$2:$G$2730,'декабрь 2025'!$D$2:$D$2730,$B21,'декабрь 2025'!$J$2:$J$2730,N$1)</f>
        <v>0</v>
      </c>
      <c r="O21" s="76">
        <f>SUMIFS('декабрь 2025'!$G$2:$G$2730,'декабрь 2025'!$D$2:$D$2730,$B21,'декабрь 2025'!$J$2:$J$2730,O$1)</f>
        <v>0</v>
      </c>
      <c r="P21" s="76">
        <f>SUMIFS('декабрь 2025'!$G$2:$G$2730,'декабрь 2025'!$D$2:$D$2730,$B21,'декабрь 2025'!$J$2:$J$2730,P$1)</f>
        <v>0</v>
      </c>
      <c r="Q21" s="76">
        <f>SUMIFS('декабрь 2025'!$G$2:$G$2730,'декабрь 2025'!$D$2:$D$2730,$B21,'декабрь 2025'!$J$2:$J$2730,Q$1)</f>
        <v>0</v>
      </c>
      <c r="R21" s="76">
        <f>SUMIFS('декабрь 2025'!$G$2:$G$2730,'декабрь 2025'!$D$2:$D$2730,$B21,'декабрь 2025'!$J$2:$J$2730,R$1)</f>
        <v>0</v>
      </c>
      <c r="S21" s="76">
        <f>SUMIFS('декабрь 2025'!$G$2:$G$2730,'декабрь 2025'!$D$2:$D$2730,$B21,'декабрь 2025'!$J$2:$J$2730,S$1)</f>
        <v>0</v>
      </c>
      <c r="T21" s="76">
        <f>SUMIFS('декабрь 2025'!$G$2:$G$2730,'декабрь 2025'!$D$2:$D$2730,$B21,'декабрь 2025'!$J$2:$J$2730,T$1)</f>
        <v>0</v>
      </c>
      <c r="U21" s="76">
        <f>SUMIFS('декабрь 2025'!$G$2:$G$2730,'декабрь 2025'!$D$2:$D$2730,$B21,'декабрь 2025'!$J$2:$J$2730,U$1)</f>
        <v>0</v>
      </c>
      <c r="V21" s="76">
        <f>SUMIFS('декабрь 2025'!$G$2:$G$2730,'декабрь 2025'!$D$2:$D$2730,$B21,'декабрь 2025'!$J$2:$J$2730,V$1)</f>
        <v>0</v>
      </c>
      <c r="W21" s="76">
        <f>SUMIFS('декабрь 2025'!$G$2:$G$2730,'декабрь 2025'!$D$2:$D$2730,$B21,'декабрь 2025'!$J$2:$J$2730,W$1)</f>
        <v>0</v>
      </c>
      <c r="X21" s="76">
        <f>SUMIFS('декабрь 2025'!$G$2:$G$2730,'декабрь 2025'!$D$2:$D$2730,$B21,'декабрь 2025'!$J$2:$J$2730,X$1)</f>
        <v>0</v>
      </c>
      <c r="Y21" s="76">
        <f>SUMIFS('декабрь 2025'!$G$2:$G$2730,'декабрь 2025'!$D$2:$D$2730,$B21,'декабрь 2025'!$J$2:$J$2730,Y$1)</f>
        <v>0</v>
      </c>
      <c r="Z21" s="76">
        <f>SUMIFS('декабрь 2025'!$G$2:$G$2730,'декабрь 2025'!$D$2:$D$2730,$B21,'декабрь 2025'!$J$2:$J$2730,Z$1)</f>
        <v>0</v>
      </c>
      <c r="AA21" s="76">
        <f>SUMIFS('декабрь 2025'!$G$2:$G$2730,'декабрь 2025'!$D$2:$D$2730,$B21,'декабрь 2025'!$J$2:$J$2730,AA$1)</f>
        <v>0</v>
      </c>
      <c r="AB21" s="76">
        <f>SUMIFS('декабрь 2025'!$G$2:$G$2730,'декабрь 2025'!$D$2:$D$2730,$B21,'декабрь 2025'!$J$2:$J$2730,AB$1)</f>
        <v>0</v>
      </c>
      <c r="AC21" s="76">
        <f>SUMIFS('декабрь 2025'!$G$2:$G$2730,'декабрь 2025'!$D$2:$D$2730,$B21,'декабрь 2025'!$J$2:$J$2730,AC$1)</f>
        <v>0</v>
      </c>
      <c r="AD21" s="76">
        <f>SUMIFS('декабрь 2025'!$G$2:$G$2730,'декабрь 2025'!$D$2:$D$2730,$B21,'декабрь 2025'!$J$2:$J$2730,AD$1)</f>
        <v>0</v>
      </c>
      <c r="AE21" s="76">
        <f>SUMIFS('декабрь 2025'!$G$2:$G$2730,'декабрь 2025'!$D$2:$D$2730,$B21,'декабрь 2025'!$J$2:$J$2730,AE$1)</f>
        <v>0</v>
      </c>
      <c r="AF21" s="76">
        <f>SUMIFS('декабрь 2025'!$G$2:$G$2730,'декабрь 2025'!$D$2:$D$2730,$B21,'декабрь 2025'!$J$2:$J$2730,AF$1)</f>
        <v>0</v>
      </c>
      <c r="AG21" s="76">
        <f>SUMIFS('декабрь 2025'!$G$2:$G$2730,'декабрь 2025'!$D$2:$D$2730,$B21,'декабрь 2025'!$J$2:$J$2730,AG$1)</f>
        <v>0</v>
      </c>
      <c r="AH21" s="76">
        <f>SUMIFS('декабрь 2025'!$G$2:$G$2730,'декабрь 2025'!$D$2:$D$2730,$B21,'декабрь 2025'!$J$2:$J$2730,AH$1)</f>
        <v>0</v>
      </c>
      <c r="AI21" s="20">
        <f t="shared" si="1"/>
        <v>0</v>
      </c>
    </row>
    <row r="22" spans="2:35" ht="15" customHeight="1" x14ac:dyDescent="0.25">
      <c r="B22" s="77" t="s">
        <v>241</v>
      </c>
      <c r="C22" s="78">
        <v>25</v>
      </c>
      <c r="D22" s="76">
        <f>SUMIFS('декабрь 2025'!$G$2:$G$2730,'декабрь 2025'!$D$2:$D$2730,$B22,'декабрь 2025'!$J$2:$J$2730,D$1)</f>
        <v>0</v>
      </c>
      <c r="E22" s="76">
        <f>SUMIFS('декабрь 2025'!$G$2:$G$2730,'декабрь 2025'!$D$2:$D$2730,$B22,'декабрь 2025'!$J$2:$J$2730,E$1)</f>
        <v>0</v>
      </c>
      <c r="F22" s="76">
        <f>SUMIFS('декабрь 2025'!$G$2:$G$2730,'декабрь 2025'!$D$2:$D$2730,$B22,'декабрь 2025'!$J$2:$J$2730,F$1)</f>
        <v>0</v>
      </c>
      <c r="G22" s="76">
        <f>SUMIFS('декабрь 2025'!$G$2:$G$2730,'декабрь 2025'!$D$2:$D$2730,$B22,'декабрь 2025'!$J$2:$J$2730,G$1)</f>
        <v>0</v>
      </c>
      <c r="H22" s="76">
        <f>SUMIFS('декабрь 2025'!$G$2:$G$2730,'декабрь 2025'!$D$2:$D$2730,$B22,'декабрь 2025'!$J$2:$J$2730,H$1)</f>
        <v>0</v>
      </c>
      <c r="I22" s="76">
        <f>SUMIFS('декабрь 2025'!$G$2:$G$2730,'декабрь 2025'!$D$2:$D$2730,$B22,'декабрь 2025'!$J$2:$J$2730,I$1)</f>
        <v>0</v>
      </c>
      <c r="J22" s="76">
        <f>SUMIFS('декабрь 2025'!$G$2:$G$2730,'декабрь 2025'!$D$2:$D$2730,$B22,'декабрь 2025'!$J$2:$J$2730,J$1)</f>
        <v>0</v>
      </c>
      <c r="K22" s="76">
        <f>SUMIFS('декабрь 2025'!$G$2:$G$2730,'декабрь 2025'!$D$2:$D$2730,$B22,'декабрь 2025'!$J$2:$J$2730,K$1)</f>
        <v>0</v>
      </c>
      <c r="L22" s="76">
        <f>SUMIFS('декабрь 2025'!$G$2:$G$2730,'декабрь 2025'!$D$2:$D$2730,$B22,'декабрь 2025'!$J$2:$J$2730,L$1)</f>
        <v>0</v>
      </c>
      <c r="M22" s="76">
        <f>SUMIFS('декабрь 2025'!$G$2:$G$2730,'декабрь 2025'!$D$2:$D$2730,$B22,'декабрь 2025'!$J$2:$J$2730,M$1)</f>
        <v>0</v>
      </c>
      <c r="N22" s="76">
        <f>SUMIFS('декабрь 2025'!$G$2:$G$2730,'декабрь 2025'!$D$2:$D$2730,$B22,'декабрь 2025'!$J$2:$J$2730,N$1)</f>
        <v>0</v>
      </c>
      <c r="O22" s="76">
        <f>SUMIFS('декабрь 2025'!$G$2:$G$2730,'декабрь 2025'!$D$2:$D$2730,$B22,'декабрь 2025'!$J$2:$J$2730,O$1)</f>
        <v>0</v>
      </c>
      <c r="P22" s="76">
        <f>SUMIFS('декабрь 2025'!$G$2:$G$2730,'декабрь 2025'!$D$2:$D$2730,$B22,'декабрь 2025'!$J$2:$J$2730,P$1)</f>
        <v>0</v>
      </c>
      <c r="Q22" s="76">
        <f>SUMIFS('декабрь 2025'!$G$2:$G$2730,'декабрь 2025'!$D$2:$D$2730,$B22,'декабрь 2025'!$J$2:$J$2730,Q$1)</f>
        <v>0</v>
      </c>
      <c r="R22" s="76">
        <f>SUMIFS('декабрь 2025'!$G$2:$G$2730,'декабрь 2025'!$D$2:$D$2730,$B22,'декабрь 2025'!$J$2:$J$2730,R$1)</f>
        <v>0</v>
      </c>
      <c r="S22" s="76">
        <f>SUMIFS('декабрь 2025'!$G$2:$G$2730,'декабрь 2025'!$D$2:$D$2730,$B22,'декабрь 2025'!$J$2:$J$2730,S$1)</f>
        <v>0</v>
      </c>
      <c r="T22" s="76">
        <f>SUMIFS('декабрь 2025'!$G$2:$G$2730,'декабрь 2025'!$D$2:$D$2730,$B22,'декабрь 2025'!$J$2:$J$2730,T$1)</f>
        <v>0</v>
      </c>
      <c r="U22" s="76">
        <f>SUMIFS('декабрь 2025'!$G$2:$G$2730,'декабрь 2025'!$D$2:$D$2730,$B22,'декабрь 2025'!$J$2:$J$2730,U$1)</f>
        <v>0</v>
      </c>
      <c r="V22" s="76">
        <f>SUMIFS('декабрь 2025'!$G$2:$G$2730,'декабрь 2025'!$D$2:$D$2730,$B22,'декабрь 2025'!$J$2:$J$2730,V$1)</f>
        <v>0</v>
      </c>
      <c r="W22" s="76">
        <f>SUMIFS('декабрь 2025'!$G$2:$G$2730,'декабрь 2025'!$D$2:$D$2730,$B22,'декабрь 2025'!$J$2:$J$2730,W$1)</f>
        <v>0</v>
      </c>
      <c r="X22" s="76">
        <f>SUMIFS('декабрь 2025'!$G$2:$G$2730,'декабрь 2025'!$D$2:$D$2730,$B22,'декабрь 2025'!$J$2:$J$2730,X$1)</f>
        <v>0</v>
      </c>
      <c r="Y22" s="76">
        <f>SUMIFS('декабрь 2025'!$G$2:$G$2730,'декабрь 2025'!$D$2:$D$2730,$B22,'декабрь 2025'!$J$2:$J$2730,Y$1)</f>
        <v>0</v>
      </c>
      <c r="Z22" s="76">
        <f>SUMIFS('декабрь 2025'!$G$2:$G$2730,'декабрь 2025'!$D$2:$D$2730,$B22,'декабрь 2025'!$J$2:$J$2730,Z$1)</f>
        <v>0</v>
      </c>
      <c r="AA22" s="76">
        <f>SUMIFS('декабрь 2025'!$G$2:$G$2730,'декабрь 2025'!$D$2:$D$2730,$B22,'декабрь 2025'!$J$2:$J$2730,AA$1)</f>
        <v>0</v>
      </c>
      <c r="AB22" s="76">
        <f>SUMIFS('декабрь 2025'!$G$2:$G$2730,'декабрь 2025'!$D$2:$D$2730,$B22,'декабрь 2025'!$J$2:$J$2730,AB$1)</f>
        <v>0</v>
      </c>
      <c r="AC22" s="76">
        <f>SUMIFS('декабрь 2025'!$G$2:$G$2730,'декабрь 2025'!$D$2:$D$2730,$B22,'декабрь 2025'!$J$2:$J$2730,AC$1)</f>
        <v>0</v>
      </c>
      <c r="AD22" s="76">
        <f>SUMIFS('декабрь 2025'!$G$2:$G$2730,'декабрь 2025'!$D$2:$D$2730,$B22,'декабрь 2025'!$J$2:$J$2730,AD$1)</f>
        <v>0</v>
      </c>
      <c r="AE22" s="76">
        <f>SUMIFS('декабрь 2025'!$G$2:$G$2730,'декабрь 2025'!$D$2:$D$2730,$B22,'декабрь 2025'!$J$2:$J$2730,AE$1)</f>
        <v>0</v>
      </c>
      <c r="AF22" s="76">
        <f>SUMIFS('декабрь 2025'!$G$2:$G$2730,'декабрь 2025'!$D$2:$D$2730,$B22,'декабрь 2025'!$J$2:$J$2730,AF$1)</f>
        <v>0</v>
      </c>
      <c r="AG22" s="76">
        <f>SUMIFS('декабрь 2025'!$G$2:$G$2730,'декабрь 2025'!$D$2:$D$2730,$B22,'декабрь 2025'!$J$2:$J$2730,AG$1)</f>
        <v>0</v>
      </c>
      <c r="AH22" s="76">
        <f>SUMIFS('декабрь 2025'!$G$2:$G$2730,'декабрь 2025'!$D$2:$D$2730,$B22,'декабрь 2025'!$J$2:$J$2730,AH$1)</f>
        <v>0</v>
      </c>
      <c r="AI22" s="20">
        <f t="shared" si="1"/>
        <v>0</v>
      </c>
    </row>
    <row r="23" spans="2:35" ht="15" customHeight="1" x14ac:dyDescent="0.25">
      <c r="B23" s="77" t="s">
        <v>243</v>
      </c>
      <c r="C23" s="78">
        <v>25</v>
      </c>
      <c r="D23" s="76">
        <f>SUMIFS('декабрь 2025'!$G$2:$G$2730,'декабрь 2025'!$D$2:$D$2730,$B23,'декабрь 2025'!$J$2:$J$2730,D$1)</f>
        <v>0</v>
      </c>
      <c r="E23" s="76">
        <f>SUMIFS('декабрь 2025'!$G$2:$G$2730,'декабрь 2025'!$D$2:$D$2730,$B23,'декабрь 2025'!$J$2:$J$2730,E$1)</f>
        <v>0</v>
      </c>
      <c r="F23" s="76">
        <f>SUMIFS('декабрь 2025'!$G$2:$G$2730,'декабрь 2025'!$D$2:$D$2730,$B23,'декабрь 2025'!$J$2:$J$2730,F$1)</f>
        <v>0</v>
      </c>
      <c r="G23" s="76">
        <f>SUMIFS('декабрь 2025'!$G$2:$G$2730,'декабрь 2025'!$D$2:$D$2730,$B23,'декабрь 2025'!$J$2:$J$2730,G$1)</f>
        <v>0</v>
      </c>
      <c r="H23" s="76">
        <f>SUMIFS('декабрь 2025'!$G$2:$G$2730,'декабрь 2025'!$D$2:$D$2730,$B23,'декабрь 2025'!$J$2:$J$2730,H$1)</f>
        <v>0</v>
      </c>
      <c r="I23" s="76">
        <f>SUMIFS('декабрь 2025'!$G$2:$G$2730,'декабрь 2025'!$D$2:$D$2730,$B23,'декабрь 2025'!$J$2:$J$2730,I$1)</f>
        <v>0</v>
      </c>
      <c r="J23" s="76">
        <f>SUMIFS('декабрь 2025'!$G$2:$G$2730,'декабрь 2025'!$D$2:$D$2730,$B23,'декабрь 2025'!$J$2:$J$2730,J$1)</f>
        <v>0</v>
      </c>
      <c r="K23" s="76">
        <f>SUMIFS('декабрь 2025'!$G$2:$G$2730,'декабрь 2025'!$D$2:$D$2730,$B23,'декабрь 2025'!$J$2:$J$2730,K$1)</f>
        <v>0</v>
      </c>
      <c r="L23" s="76">
        <f>SUMIFS('декабрь 2025'!$G$2:$G$2730,'декабрь 2025'!$D$2:$D$2730,$B23,'декабрь 2025'!$J$2:$J$2730,L$1)</f>
        <v>0</v>
      </c>
      <c r="M23" s="76">
        <f>SUMIFS('декабрь 2025'!$G$2:$G$2730,'декабрь 2025'!$D$2:$D$2730,$B23,'декабрь 2025'!$J$2:$J$2730,M$1)</f>
        <v>0</v>
      </c>
      <c r="N23" s="76">
        <f>SUMIFS('декабрь 2025'!$G$2:$G$2730,'декабрь 2025'!$D$2:$D$2730,$B23,'декабрь 2025'!$J$2:$J$2730,N$1)</f>
        <v>0</v>
      </c>
      <c r="O23" s="76">
        <f>SUMIFS('декабрь 2025'!$G$2:$G$2730,'декабрь 2025'!$D$2:$D$2730,$B23,'декабрь 2025'!$J$2:$J$2730,O$1)</f>
        <v>0</v>
      </c>
      <c r="P23" s="76">
        <f>SUMIFS('декабрь 2025'!$G$2:$G$2730,'декабрь 2025'!$D$2:$D$2730,$B23,'декабрь 2025'!$J$2:$J$2730,P$1)</f>
        <v>0</v>
      </c>
      <c r="Q23" s="76">
        <f>SUMIFS('декабрь 2025'!$G$2:$G$2730,'декабрь 2025'!$D$2:$D$2730,$B23,'декабрь 2025'!$J$2:$J$2730,Q$1)</f>
        <v>0</v>
      </c>
      <c r="R23" s="76">
        <f>SUMIFS('декабрь 2025'!$G$2:$G$2730,'декабрь 2025'!$D$2:$D$2730,$B23,'декабрь 2025'!$J$2:$J$2730,R$1)</f>
        <v>0</v>
      </c>
      <c r="S23" s="76">
        <f>SUMIFS('декабрь 2025'!$G$2:$G$2730,'декабрь 2025'!$D$2:$D$2730,$B23,'декабрь 2025'!$J$2:$J$2730,S$1)</f>
        <v>0</v>
      </c>
      <c r="T23" s="76">
        <f>SUMIFS('декабрь 2025'!$G$2:$G$2730,'декабрь 2025'!$D$2:$D$2730,$B23,'декабрь 2025'!$J$2:$J$2730,T$1)</f>
        <v>0</v>
      </c>
      <c r="U23" s="76">
        <f>SUMIFS('декабрь 2025'!$G$2:$G$2730,'декабрь 2025'!$D$2:$D$2730,$B23,'декабрь 2025'!$J$2:$J$2730,U$1)</f>
        <v>0</v>
      </c>
      <c r="V23" s="76">
        <f>SUMIFS('декабрь 2025'!$G$2:$G$2730,'декабрь 2025'!$D$2:$D$2730,$B23,'декабрь 2025'!$J$2:$J$2730,V$1)</f>
        <v>0</v>
      </c>
      <c r="W23" s="76">
        <f>SUMIFS('декабрь 2025'!$G$2:$G$2730,'декабрь 2025'!$D$2:$D$2730,$B23,'декабрь 2025'!$J$2:$J$2730,W$1)</f>
        <v>0</v>
      </c>
      <c r="X23" s="76">
        <f>SUMIFS('декабрь 2025'!$G$2:$G$2730,'декабрь 2025'!$D$2:$D$2730,$B23,'декабрь 2025'!$J$2:$J$2730,X$1)</f>
        <v>0</v>
      </c>
      <c r="Y23" s="76">
        <f>SUMIFS('декабрь 2025'!$G$2:$G$2730,'декабрь 2025'!$D$2:$D$2730,$B23,'декабрь 2025'!$J$2:$J$2730,Y$1)</f>
        <v>0</v>
      </c>
      <c r="Z23" s="76">
        <f>SUMIFS('декабрь 2025'!$G$2:$G$2730,'декабрь 2025'!$D$2:$D$2730,$B23,'декабрь 2025'!$J$2:$J$2730,Z$1)</f>
        <v>0</v>
      </c>
      <c r="AA23" s="76">
        <f>SUMIFS('декабрь 2025'!$G$2:$G$2730,'декабрь 2025'!$D$2:$D$2730,$B23,'декабрь 2025'!$J$2:$J$2730,AA$1)</f>
        <v>0</v>
      </c>
      <c r="AB23" s="76">
        <f>SUMIFS('декабрь 2025'!$G$2:$G$2730,'декабрь 2025'!$D$2:$D$2730,$B23,'декабрь 2025'!$J$2:$J$2730,AB$1)</f>
        <v>0</v>
      </c>
      <c r="AC23" s="76">
        <f>SUMIFS('декабрь 2025'!$G$2:$G$2730,'декабрь 2025'!$D$2:$D$2730,$B23,'декабрь 2025'!$J$2:$J$2730,AC$1)</f>
        <v>0</v>
      </c>
      <c r="AD23" s="76">
        <f>SUMIFS('декабрь 2025'!$G$2:$G$2730,'декабрь 2025'!$D$2:$D$2730,$B23,'декабрь 2025'!$J$2:$J$2730,AD$1)</f>
        <v>0</v>
      </c>
      <c r="AE23" s="76">
        <f>SUMIFS('декабрь 2025'!$G$2:$G$2730,'декабрь 2025'!$D$2:$D$2730,$B23,'декабрь 2025'!$J$2:$J$2730,AE$1)</f>
        <v>0</v>
      </c>
      <c r="AF23" s="76">
        <f>SUMIFS('декабрь 2025'!$G$2:$G$2730,'декабрь 2025'!$D$2:$D$2730,$B23,'декабрь 2025'!$J$2:$J$2730,AF$1)</f>
        <v>0</v>
      </c>
      <c r="AG23" s="76">
        <f>SUMIFS('декабрь 2025'!$G$2:$G$2730,'декабрь 2025'!$D$2:$D$2730,$B23,'декабрь 2025'!$J$2:$J$2730,AG$1)</f>
        <v>0</v>
      </c>
      <c r="AH23" s="76">
        <f>SUMIFS('декабрь 2025'!$G$2:$G$2730,'декабрь 2025'!$D$2:$D$2730,$B23,'декабрь 2025'!$J$2:$J$2730,AH$1)</f>
        <v>0</v>
      </c>
      <c r="AI23" s="20">
        <f t="shared" si="1"/>
        <v>0</v>
      </c>
    </row>
    <row r="24" spans="2:35" ht="15" customHeight="1" x14ac:dyDescent="0.25">
      <c r="B24" s="77" t="s">
        <v>245</v>
      </c>
      <c r="C24" s="78">
        <v>25</v>
      </c>
      <c r="D24" s="76">
        <f>SUMIFS('декабрь 2025'!$G$2:$G$2730,'декабрь 2025'!$D$2:$D$2730,$B24,'декабрь 2025'!$J$2:$J$2730,D$1)</f>
        <v>0</v>
      </c>
      <c r="E24" s="76">
        <f>SUMIFS('декабрь 2025'!$G$2:$G$2730,'декабрь 2025'!$D$2:$D$2730,$B24,'декабрь 2025'!$J$2:$J$2730,E$1)</f>
        <v>0</v>
      </c>
      <c r="F24" s="76">
        <f>SUMIFS('декабрь 2025'!$G$2:$G$2730,'декабрь 2025'!$D$2:$D$2730,$B24,'декабрь 2025'!$J$2:$J$2730,F$1)</f>
        <v>0</v>
      </c>
      <c r="G24" s="76">
        <f>SUMIFS('декабрь 2025'!$G$2:$G$2730,'декабрь 2025'!$D$2:$D$2730,$B24,'декабрь 2025'!$J$2:$J$2730,G$1)</f>
        <v>0</v>
      </c>
      <c r="H24" s="76">
        <f>SUMIFS('декабрь 2025'!$G$2:$G$2730,'декабрь 2025'!$D$2:$D$2730,$B24,'декабрь 2025'!$J$2:$J$2730,H$1)</f>
        <v>0</v>
      </c>
      <c r="I24" s="76">
        <f>SUMIFS('декабрь 2025'!$G$2:$G$2730,'декабрь 2025'!$D$2:$D$2730,$B24,'декабрь 2025'!$J$2:$J$2730,I$1)</f>
        <v>0</v>
      </c>
      <c r="J24" s="76">
        <f>SUMIFS('декабрь 2025'!$G$2:$G$2730,'декабрь 2025'!$D$2:$D$2730,$B24,'декабрь 2025'!$J$2:$J$2730,J$1)</f>
        <v>0</v>
      </c>
      <c r="K24" s="76">
        <f>SUMIFS('декабрь 2025'!$G$2:$G$2730,'декабрь 2025'!$D$2:$D$2730,$B24,'декабрь 2025'!$J$2:$J$2730,K$1)</f>
        <v>0</v>
      </c>
      <c r="L24" s="76">
        <f>SUMIFS('декабрь 2025'!$G$2:$G$2730,'декабрь 2025'!$D$2:$D$2730,$B24,'декабрь 2025'!$J$2:$J$2730,L$1)</f>
        <v>0</v>
      </c>
      <c r="M24" s="76">
        <f>SUMIFS('декабрь 2025'!$G$2:$G$2730,'декабрь 2025'!$D$2:$D$2730,$B24,'декабрь 2025'!$J$2:$J$2730,M$1)</f>
        <v>0</v>
      </c>
      <c r="N24" s="76">
        <f>SUMIFS('декабрь 2025'!$G$2:$G$2730,'декабрь 2025'!$D$2:$D$2730,$B24,'декабрь 2025'!$J$2:$J$2730,N$1)</f>
        <v>0</v>
      </c>
      <c r="O24" s="76">
        <f>SUMIFS('декабрь 2025'!$G$2:$G$2730,'декабрь 2025'!$D$2:$D$2730,$B24,'декабрь 2025'!$J$2:$J$2730,O$1)</f>
        <v>0</v>
      </c>
      <c r="P24" s="76">
        <f>SUMIFS('декабрь 2025'!$G$2:$G$2730,'декабрь 2025'!$D$2:$D$2730,$B24,'декабрь 2025'!$J$2:$J$2730,P$1)</f>
        <v>0</v>
      </c>
      <c r="Q24" s="76">
        <f>SUMIFS('декабрь 2025'!$G$2:$G$2730,'декабрь 2025'!$D$2:$D$2730,$B24,'декабрь 2025'!$J$2:$J$2730,Q$1)</f>
        <v>0</v>
      </c>
      <c r="R24" s="76">
        <f>SUMIFS('декабрь 2025'!$G$2:$G$2730,'декабрь 2025'!$D$2:$D$2730,$B24,'декабрь 2025'!$J$2:$J$2730,R$1)</f>
        <v>0</v>
      </c>
      <c r="S24" s="76">
        <f>SUMIFS('декабрь 2025'!$G$2:$G$2730,'декабрь 2025'!$D$2:$D$2730,$B24,'декабрь 2025'!$J$2:$J$2730,S$1)</f>
        <v>0</v>
      </c>
      <c r="T24" s="76">
        <f>SUMIFS('декабрь 2025'!$G$2:$G$2730,'декабрь 2025'!$D$2:$D$2730,$B24,'декабрь 2025'!$J$2:$J$2730,T$1)</f>
        <v>0</v>
      </c>
      <c r="U24" s="76">
        <f>SUMIFS('декабрь 2025'!$G$2:$G$2730,'декабрь 2025'!$D$2:$D$2730,$B24,'декабрь 2025'!$J$2:$J$2730,U$1)</f>
        <v>0</v>
      </c>
      <c r="V24" s="76">
        <f>SUMIFS('декабрь 2025'!$G$2:$G$2730,'декабрь 2025'!$D$2:$D$2730,$B24,'декабрь 2025'!$J$2:$J$2730,V$1)</f>
        <v>0</v>
      </c>
      <c r="W24" s="76">
        <f>SUMIFS('декабрь 2025'!$G$2:$G$2730,'декабрь 2025'!$D$2:$D$2730,$B24,'декабрь 2025'!$J$2:$J$2730,W$1)</f>
        <v>0</v>
      </c>
      <c r="X24" s="76">
        <f>SUMIFS('декабрь 2025'!$G$2:$G$2730,'декабрь 2025'!$D$2:$D$2730,$B24,'декабрь 2025'!$J$2:$J$2730,X$1)</f>
        <v>0</v>
      </c>
      <c r="Y24" s="76">
        <f>SUMIFS('декабрь 2025'!$G$2:$G$2730,'декабрь 2025'!$D$2:$D$2730,$B24,'декабрь 2025'!$J$2:$J$2730,Y$1)</f>
        <v>0</v>
      </c>
      <c r="Z24" s="76">
        <f>SUMIFS('декабрь 2025'!$G$2:$G$2730,'декабрь 2025'!$D$2:$D$2730,$B24,'декабрь 2025'!$J$2:$J$2730,Z$1)</f>
        <v>0</v>
      </c>
      <c r="AA24" s="76">
        <f>SUMIFS('декабрь 2025'!$G$2:$G$2730,'декабрь 2025'!$D$2:$D$2730,$B24,'декабрь 2025'!$J$2:$J$2730,AA$1)</f>
        <v>0</v>
      </c>
      <c r="AB24" s="76">
        <f>SUMIFS('декабрь 2025'!$G$2:$G$2730,'декабрь 2025'!$D$2:$D$2730,$B24,'декабрь 2025'!$J$2:$J$2730,AB$1)</f>
        <v>0</v>
      </c>
      <c r="AC24" s="76">
        <f>SUMIFS('декабрь 2025'!$G$2:$G$2730,'декабрь 2025'!$D$2:$D$2730,$B24,'декабрь 2025'!$J$2:$J$2730,AC$1)</f>
        <v>0</v>
      </c>
      <c r="AD24" s="76">
        <f>SUMIFS('декабрь 2025'!$G$2:$G$2730,'декабрь 2025'!$D$2:$D$2730,$B24,'декабрь 2025'!$J$2:$J$2730,AD$1)</f>
        <v>0</v>
      </c>
      <c r="AE24" s="76">
        <f>SUMIFS('декабрь 2025'!$G$2:$G$2730,'декабрь 2025'!$D$2:$D$2730,$B24,'декабрь 2025'!$J$2:$J$2730,AE$1)</f>
        <v>0</v>
      </c>
      <c r="AF24" s="76">
        <f>SUMIFS('декабрь 2025'!$G$2:$G$2730,'декабрь 2025'!$D$2:$D$2730,$B24,'декабрь 2025'!$J$2:$J$2730,AF$1)</f>
        <v>0</v>
      </c>
      <c r="AG24" s="76">
        <f>SUMIFS('декабрь 2025'!$G$2:$G$2730,'декабрь 2025'!$D$2:$D$2730,$B24,'декабрь 2025'!$J$2:$J$2730,AG$1)</f>
        <v>0</v>
      </c>
      <c r="AH24" s="76">
        <f>SUMIFS('декабрь 2025'!$G$2:$G$2730,'декабрь 2025'!$D$2:$D$2730,$B24,'декабрь 2025'!$J$2:$J$2730,AH$1)</f>
        <v>0</v>
      </c>
      <c r="AI24" s="20">
        <f t="shared" si="1"/>
        <v>0</v>
      </c>
    </row>
    <row r="25" spans="2:35" ht="15" customHeight="1" x14ac:dyDescent="0.25">
      <c r="B25" s="80" t="s">
        <v>247</v>
      </c>
      <c r="C25" s="96">
        <v>25</v>
      </c>
      <c r="D25" s="76">
        <f>SUMIFS('декабрь 2025'!$G$2:$G$2730,'декабрь 2025'!$D$2:$D$2730,$B25,'декабрь 2025'!$J$2:$J$2730,D$1)</f>
        <v>0</v>
      </c>
      <c r="E25" s="76">
        <f>SUMIFS('декабрь 2025'!$G$2:$G$2730,'декабрь 2025'!$D$2:$D$2730,$B25,'декабрь 2025'!$J$2:$J$2730,E$1)</f>
        <v>0</v>
      </c>
      <c r="F25" s="76">
        <f>SUMIFS('декабрь 2025'!$G$2:$G$2730,'декабрь 2025'!$D$2:$D$2730,$B25,'декабрь 2025'!$J$2:$J$2730,F$1)</f>
        <v>0</v>
      </c>
      <c r="G25" s="76">
        <f>SUMIFS('декабрь 2025'!$G$2:$G$2730,'декабрь 2025'!$D$2:$D$2730,$B25,'декабрь 2025'!$J$2:$J$2730,G$1)</f>
        <v>0</v>
      </c>
      <c r="H25" s="76">
        <f>SUMIFS('декабрь 2025'!$G$2:$G$2730,'декабрь 2025'!$D$2:$D$2730,$B25,'декабрь 2025'!$J$2:$J$2730,H$1)</f>
        <v>0</v>
      </c>
      <c r="I25" s="76">
        <f>SUMIFS('декабрь 2025'!$G$2:$G$2730,'декабрь 2025'!$D$2:$D$2730,$B25,'декабрь 2025'!$J$2:$J$2730,I$1)</f>
        <v>0</v>
      </c>
      <c r="J25" s="76">
        <f>SUMIFS('декабрь 2025'!$G$2:$G$2730,'декабрь 2025'!$D$2:$D$2730,$B25,'декабрь 2025'!$J$2:$J$2730,J$1)</f>
        <v>0</v>
      </c>
      <c r="K25" s="76">
        <f>SUMIFS('декабрь 2025'!$G$2:$G$2730,'декабрь 2025'!$D$2:$D$2730,$B25,'декабрь 2025'!$J$2:$J$2730,K$1)</f>
        <v>0</v>
      </c>
      <c r="L25" s="76">
        <f>SUMIFS('декабрь 2025'!$G$2:$G$2730,'декабрь 2025'!$D$2:$D$2730,$B25,'декабрь 2025'!$J$2:$J$2730,L$1)</f>
        <v>0</v>
      </c>
      <c r="M25" s="76">
        <f>SUMIFS('декабрь 2025'!$G$2:$G$2730,'декабрь 2025'!$D$2:$D$2730,$B25,'декабрь 2025'!$J$2:$J$2730,M$1)</f>
        <v>0</v>
      </c>
      <c r="N25" s="76">
        <f>SUMIFS('декабрь 2025'!$G$2:$G$2730,'декабрь 2025'!$D$2:$D$2730,$B25,'декабрь 2025'!$J$2:$J$2730,N$1)</f>
        <v>0</v>
      </c>
      <c r="O25" s="76">
        <f>SUMIFS('декабрь 2025'!$G$2:$G$2730,'декабрь 2025'!$D$2:$D$2730,$B25,'декабрь 2025'!$J$2:$J$2730,O$1)</f>
        <v>0</v>
      </c>
      <c r="P25" s="76">
        <f>SUMIFS('декабрь 2025'!$G$2:$G$2730,'декабрь 2025'!$D$2:$D$2730,$B25,'декабрь 2025'!$J$2:$J$2730,P$1)</f>
        <v>0</v>
      </c>
      <c r="Q25" s="76">
        <f>SUMIFS('декабрь 2025'!$G$2:$G$2730,'декабрь 2025'!$D$2:$D$2730,$B25,'декабрь 2025'!$J$2:$J$2730,Q$1)</f>
        <v>0</v>
      </c>
      <c r="R25" s="76">
        <f>SUMIFS('декабрь 2025'!$G$2:$G$2730,'декабрь 2025'!$D$2:$D$2730,$B25,'декабрь 2025'!$J$2:$J$2730,R$1)</f>
        <v>0</v>
      </c>
      <c r="S25" s="76">
        <f>SUMIFS('декабрь 2025'!$G$2:$G$2730,'декабрь 2025'!$D$2:$D$2730,$B25,'декабрь 2025'!$J$2:$J$2730,S$1)</f>
        <v>0</v>
      </c>
      <c r="T25" s="76">
        <f>SUMIFS('декабрь 2025'!$G$2:$G$2730,'декабрь 2025'!$D$2:$D$2730,$B25,'декабрь 2025'!$J$2:$J$2730,T$1)</f>
        <v>0</v>
      </c>
      <c r="U25" s="76">
        <f>SUMIFS('декабрь 2025'!$G$2:$G$2730,'декабрь 2025'!$D$2:$D$2730,$B25,'декабрь 2025'!$J$2:$J$2730,U$1)</f>
        <v>0</v>
      </c>
      <c r="V25" s="76">
        <f>SUMIFS('декабрь 2025'!$G$2:$G$2730,'декабрь 2025'!$D$2:$D$2730,$B25,'декабрь 2025'!$J$2:$J$2730,V$1)</f>
        <v>0</v>
      </c>
      <c r="W25" s="76">
        <f>SUMIFS('декабрь 2025'!$G$2:$G$2730,'декабрь 2025'!$D$2:$D$2730,$B25,'декабрь 2025'!$J$2:$J$2730,W$1)</f>
        <v>0</v>
      </c>
      <c r="X25" s="76">
        <f>SUMIFS('декабрь 2025'!$G$2:$G$2730,'декабрь 2025'!$D$2:$D$2730,$B25,'декабрь 2025'!$J$2:$J$2730,X$1)</f>
        <v>0</v>
      </c>
      <c r="Y25" s="76">
        <f>SUMIFS('декабрь 2025'!$G$2:$G$2730,'декабрь 2025'!$D$2:$D$2730,$B25,'декабрь 2025'!$J$2:$J$2730,Y$1)</f>
        <v>0</v>
      </c>
      <c r="Z25" s="76">
        <f>SUMIFS('декабрь 2025'!$G$2:$G$2730,'декабрь 2025'!$D$2:$D$2730,$B25,'декабрь 2025'!$J$2:$J$2730,Z$1)</f>
        <v>0</v>
      </c>
      <c r="AA25" s="76">
        <f>SUMIFS('декабрь 2025'!$G$2:$G$2730,'декабрь 2025'!$D$2:$D$2730,$B25,'декабрь 2025'!$J$2:$J$2730,AA$1)</f>
        <v>0</v>
      </c>
      <c r="AB25" s="76">
        <f>SUMIFS('декабрь 2025'!$G$2:$G$2730,'декабрь 2025'!$D$2:$D$2730,$B25,'декабрь 2025'!$J$2:$J$2730,AB$1)</f>
        <v>0</v>
      </c>
      <c r="AC25" s="76">
        <f>SUMIFS('декабрь 2025'!$G$2:$G$2730,'декабрь 2025'!$D$2:$D$2730,$B25,'декабрь 2025'!$J$2:$J$2730,AC$1)</f>
        <v>0</v>
      </c>
      <c r="AD25" s="76">
        <f>SUMIFS('декабрь 2025'!$G$2:$G$2730,'декабрь 2025'!$D$2:$D$2730,$B25,'декабрь 2025'!$J$2:$J$2730,AD$1)</f>
        <v>0</v>
      </c>
      <c r="AE25" s="76">
        <f>SUMIFS('декабрь 2025'!$G$2:$G$2730,'декабрь 2025'!$D$2:$D$2730,$B25,'декабрь 2025'!$J$2:$J$2730,AE$1)</f>
        <v>0</v>
      </c>
      <c r="AF25" s="76">
        <f>SUMIFS('декабрь 2025'!$G$2:$G$2730,'декабрь 2025'!$D$2:$D$2730,$B25,'декабрь 2025'!$J$2:$J$2730,AF$1)</f>
        <v>0</v>
      </c>
      <c r="AG25" s="76">
        <f>SUMIFS('декабрь 2025'!$G$2:$G$2730,'декабрь 2025'!$D$2:$D$2730,$B25,'декабрь 2025'!$J$2:$J$2730,AG$1)</f>
        <v>0</v>
      </c>
      <c r="AH25" s="76">
        <f>SUMIFS('декабрь 2025'!$G$2:$G$2730,'декабрь 2025'!$D$2:$D$2730,$B25,'декабрь 2025'!$J$2:$J$2730,AH$1)</f>
        <v>0</v>
      </c>
      <c r="AI25" s="20">
        <f t="shared" si="1"/>
        <v>0</v>
      </c>
    </row>
    <row r="26" spans="2:35" ht="15" customHeight="1" x14ac:dyDescent="0.25">
      <c r="B26" s="80" t="s">
        <v>248</v>
      </c>
      <c r="C26" s="78">
        <v>25</v>
      </c>
      <c r="D26" s="76">
        <f>SUMIFS('декабрь 2025'!$G$2:$G$2730,'декабрь 2025'!$D$2:$D$2730,$B26,'декабрь 2025'!$J$2:$J$2730,D$1)</f>
        <v>0</v>
      </c>
      <c r="E26" s="76">
        <f>SUMIFS('декабрь 2025'!$G$2:$G$2730,'декабрь 2025'!$D$2:$D$2730,$B26,'декабрь 2025'!$J$2:$J$2730,E$1)</f>
        <v>0</v>
      </c>
      <c r="F26" s="76">
        <f>SUMIFS('декабрь 2025'!$G$2:$G$2730,'декабрь 2025'!$D$2:$D$2730,$B26,'декабрь 2025'!$J$2:$J$2730,F$1)</f>
        <v>0</v>
      </c>
      <c r="G26" s="76">
        <f>SUMIFS('декабрь 2025'!$G$2:$G$2730,'декабрь 2025'!$D$2:$D$2730,$B26,'декабрь 2025'!$J$2:$J$2730,G$1)</f>
        <v>0</v>
      </c>
      <c r="H26" s="76">
        <f>SUMIFS('декабрь 2025'!$G$2:$G$2730,'декабрь 2025'!$D$2:$D$2730,$B26,'декабрь 2025'!$J$2:$J$2730,H$1)</f>
        <v>0</v>
      </c>
      <c r="I26" s="76">
        <f>SUMIFS('декабрь 2025'!$G$2:$G$2730,'декабрь 2025'!$D$2:$D$2730,$B26,'декабрь 2025'!$J$2:$J$2730,I$1)</f>
        <v>0</v>
      </c>
      <c r="J26" s="76">
        <f>SUMIFS('декабрь 2025'!$G$2:$G$2730,'декабрь 2025'!$D$2:$D$2730,$B26,'декабрь 2025'!$J$2:$J$2730,J$1)</f>
        <v>0</v>
      </c>
      <c r="K26" s="76">
        <f>SUMIFS('декабрь 2025'!$G$2:$G$2730,'декабрь 2025'!$D$2:$D$2730,$B26,'декабрь 2025'!$J$2:$J$2730,K$1)</f>
        <v>0</v>
      </c>
      <c r="L26" s="76">
        <f>SUMIFS('декабрь 2025'!$G$2:$G$2730,'декабрь 2025'!$D$2:$D$2730,$B26,'декабрь 2025'!$J$2:$J$2730,L$1)</f>
        <v>0</v>
      </c>
      <c r="M26" s="76">
        <f>SUMIFS('декабрь 2025'!$G$2:$G$2730,'декабрь 2025'!$D$2:$D$2730,$B26,'декабрь 2025'!$J$2:$J$2730,M$1)</f>
        <v>0</v>
      </c>
      <c r="N26" s="76">
        <f>SUMIFS('декабрь 2025'!$G$2:$G$2730,'декабрь 2025'!$D$2:$D$2730,$B26,'декабрь 2025'!$J$2:$J$2730,N$1)</f>
        <v>0</v>
      </c>
      <c r="O26" s="76">
        <f>SUMIFS('декабрь 2025'!$G$2:$G$2730,'декабрь 2025'!$D$2:$D$2730,$B26,'декабрь 2025'!$J$2:$J$2730,O$1)</f>
        <v>0</v>
      </c>
      <c r="P26" s="76">
        <f>SUMIFS('декабрь 2025'!$G$2:$G$2730,'декабрь 2025'!$D$2:$D$2730,$B26,'декабрь 2025'!$J$2:$J$2730,P$1)</f>
        <v>0</v>
      </c>
      <c r="Q26" s="76">
        <f>SUMIFS('декабрь 2025'!$G$2:$G$2730,'декабрь 2025'!$D$2:$D$2730,$B26,'декабрь 2025'!$J$2:$J$2730,Q$1)</f>
        <v>0</v>
      </c>
      <c r="R26" s="76">
        <f>SUMIFS('декабрь 2025'!$G$2:$G$2730,'декабрь 2025'!$D$2:$D$2730,$B26,'декабрь 2025'!$J$2:$J$2730,R$1)</f>
        <v>0</v>
      </c>
      <c r="S26" s="76">
        <f>SUMIFS('декабрь 2025'!$G$2:$G$2730,'декабрь 2025'!$D$2:$D$2730,$B26,'декабрь 2025'!$J$2:$J$2730,S$1)</f>
        <v>0</v>
      </c>
      <c r="T26" s="76">
        <f>SUMIFS('декабрь 2025'!$G$2:$G$2730,'декабрь 2025'!$D$2:$D$2730,$B26,'декабрь 2025'!$J$2:$J$2730,T$1)</f>
        <v>0</v>
      </c>
      <c r="U26" s="76">
        <f>SUMIFS('декабрь 2025'!$G$2:$G$2730,'декабрь 2025'!$D$2:$D$2730,$B26,'декабрь 2025'!$J$2:$J$2730,U$1)</f>
        <v>0</v>
      </c>
      <c r="V26" s="76">
        <f>SUMIFS('декабрь 2025'!$G$2:$G$2730,'декабрь 2025'!$D$2:$D$2730,$B26,'декабрь 2025'!$J$2:$J$2730,V$1)</f>
        <v>0</v>
      </c>
      <c r="W26" s="76">
        <f>SUMIFS('декабрь 2025'!$G$2:$G$2730,'декабрь 2025'!$D$2:$D$2730,$B26,'декабрь 2025'!$J$2:$J$2730,W$1)</f>
        <v>0</v>
      </c>
      <c r="X26" s="76">
        <f>SUMIFS('декабрь 2025'!$G$2:$G$2730,'декабрь 2025'!$D$2:$D$2730,$B26,'декабрь 2025'!$J$2:$J$2730,X$1)</f>
        <v>0</v>
      </c>
      <c r="Y26" s="76">
        <f>SUMIFS('декабрь 2025'!$G$2:$G$2730,'декабрь 2025'!$D$2:$D$2730,$B26,'декабрь 2025'!$J$2:$J$2730,Y$1)</f>
        <v>0</v>
      </c>
      <c r="Z26" s="76">
        <f>SUMIFS('декабрь 2025'!$G$2:$G$2730,'декабрь 2025'!$D$2:$D$2730,$B26,'декабрь 2025'!$J$2:$J$2730,Z$1)</f>
        <v>0</v>
      </c>
      <c r="AA26" s="76">
        <f>SUMIFS('декабрь 2025'!$G$2:$G$2730,'декабрь 2025'!$D$2:$D$2730,$B26,'декабрь 2025'!$J$2:$J$2730,AA$1)</f>
        <v>0</v>
      </c>
      <c r="AB26" s="76">
        <f>SUMIFS('декабрь 2025'!$G$2:$G$2730,'декабрь 2025'!$D$2:$D$2730,$B26,'декабрь 2025'!$J$2:$J$2730,AB$1)</f>
        <v>0</v>
      </c>
      <c r="AC26" s="76">
        <f>SUMIFS('декабрь 2025'!$G$2:$G$2730,'декабрь 2025'!$D$2:$D$2730,$B26,'декабрь 2025'!$J$2:$J$2730,AC$1)</f>
        <v>0</v>
      </c>
      <c r="AD26" s="76">
        <f>SUMIFS('декабрь 2025'!$G$2:$G$2730,'декабрь 2025'!$D$2:$D$2730,$B26,'декабрь 2025'!$J$2:$J$2730,AD$1)</f>
        <v>0</v>
      </c>
      <c r="AE26" s="76">
        <f>SUMIFS('декабрь 2025'!$G$2:$G$2730,'декабрь 2025'!$D$2:$D$2730,$B26,'декабрь 2025'!$J$2:$J$2730,AE$1)</f>
        <v>0</v>
      </c>
      <c r="AF26" s="76">
        <f>SUMIFS('декабрь 2025'!$G$2:$G$2730,'декабрь 2025'!$D$2:$D$2730,$B26,'декабрь 2025'!$J$2:$J$2730,AF$1)</f>
        <v>0</v>
      </c>
      <c r="AG26" s="76">
        <f>SUMIFS('декабрь 2025'!$G$2:$G$2730,'декабрь 2025'!$D$2:$D$2730,$B26,'декабрь 2025'!$J$2:$J$2730,AG$1)</f>
        <v>0</v>
      </c>
      <c r="AH26" s="76">
        <f>SUMIFS('декабрь 2025'!$G$2:$G$2730,'декабрь 2025'!$D$2:$D$2730,$B26,'декабрь 2025'!$J$2:$J$2730,AH$1)</f>
        <v>0</v>
      </c>
      <c r="AI26" s="20">
        <f t="shared" si="1"/>
        <v>0</v>
      </c>
    </row>
    <row r="27" spans="2:35" ht="15" customHeight="1" x14ac:dyDescent="0.25">
      <c r="B27" s="80" t="s">
        <v>249</v>
      </c>
      <c r="C27" s="78">
        <v>25</v>
      </c>
      <c r="D27" s="76">
        <f>SUMIFS('декабрь 2025'!$G$2:$G$2730,'декабрь 2025'!$D$2:$D$2730,$B27,'декабрь 2025'!$J$2:$J$2730,D$1)</f>
        <v>0</v>
      </c>
      <c r="E27" s="76">
        <f>SUMIFS('декабрь 2025'!$G$2:$G$2730,'декабрь 2025'!$D$2:$D$2730,$B27,'декабрь 2025'!$J$2:$J$2730,E$1)</f>
        <v>0</v>
      </c>
      <c r="F27" s="76">
        <f>SUMIFS('декабрь 2025'!$G$2:$G$2730,'декабрь 2025'!$D$2:$D$2730,$B27,'декабрь 2025'!$J$2:$J$2730,F$1)</f>
        <v>0</v>
      </c>
      <c r="G27" s="76">
        <f>SUMIFS('декабрь 2025'!$G$2:$G$2730,'декабрь 2025'!$D$2:$D$2730,$B27,'декабрь 2025'!$J$2:$J$2730,G$1)</f>
        <v>0</v>
      </c>
      <c r="H27" s="76">
        <f>SUMIFS('декабрь 2025'!$G$2:$G$2730,'декабрь 2025'!$D$2:$D$2730,$B27,'декабрь 2025'!$J$2:$J$2730,H$1)</f>
        <v>0</v>
      </c>
      <c r="I27" s="76">
        <f>SUMIFS('декабрь 2025'!$G$2:$G$2730,'декабрь 2025'!$D$2:$D$2730,$B27,'декабрь 2025'!$J$2:$J$2730,I$1)</f>
        <v>0</v>
      </c>
      <c r="J27" s="76">
        <f>SUMIFS('декабрь 2025'!$G$2:$G$2730,'декабрь 2025'!$D$2:$D$2730,$B27,'декабрь 2025'!$J$2:$J$2730,J$1)</f>
        <v>0</v>
      </c>
      <c r="K27" s="76">
        <f>SUMIFS('декабрь 2025'!$G$2:$G$2730,'декабрь 2025'!$D$2:$D$2730,$B27,'декабрь 2025'!$J$2:$J$2730,K$1)</f>
        <v>0</v>
      </c>
      <c r="L27" s="76">
        <f>SUMIFS('декабрь 2025'!$G$2:$G$2730,'декабрь 2025'!$D$2:$D$2730,$B27,'декабрь 2025'!$J$2:$J$2730,L$1)</f>
        <v>0</v>
      </c>
      <c r="M27" s="76">
        <f>SUMIFS('декабрь 2025'!$G$2:$G$2730,'декабрь 2025'!$D$2:$D$2730,$B27,'декабрь 2025'!$J$2:$J$2730,M$1)</f>
        <v>0</v>
      </c>
      <c r="N27" s="76">
        <f>SUMIFS('декабрь 2025'!$G$2:$G$2730,'декабрь 2025'!$D$2:$D$2730,$B27,'декабрь 2025'!$J$2:$J$2730,N$1)</f>
        <v>0</v>
      </c>
      <c r="O27" s="76">
        <f>SUMIFS('декабрь 2025'!$G$2:$G$2730,'декабрь 2025'!$D$2:$D$2730,$B27,'декабрь 2025'!$J$2:$J$2730,O$1)</f>
        <v>0</v>
      </c>
      <c r="P27" s="76">
        <f>SUMIFS('декабрь 2025'!$G$2:$G$2730,'декабрь 2025'!$D$2:$D$2730,$B27,'декабрь 2025'!$J$2:$J$2730,P$1)</f>
        <v>0</v>
      </c>
      <c r="Q27" s="76">
        <f>SUMIFS('декабрь 2025'!$G$2:$G$2730,'декабрь 2025'!$D$2:$D$2730,$B27,'декабрь 2025'!$J$2:$J$2730,Q$1)</f>
        <v>0</v>
      </c>
      <c r="R27" s="76">
        <f>SUMIFS('декабрь 2025'!$G$2:$G$2730,'декабрь 2025'!$D$2:$D$2730,$B27,'декабрь 2025'!$J$2:$J$2730,R$1)</f>
        <v>0</v>
      </c>
      <c r="S27" s="76">
        <f>SUMIFS('декабрь 2025'!$G$2:$G$2730,'декабрь 2025'!$D$2:$D$2730,$B27,'декабрь 2025'!$J$2:$J$2730,S$1)</f>
        <v>0</v>
      </c>
      <c r="T27" s="76">
        <f>SUMIFS('декабрь 2025'!$G$2:$G$2730,'декабрь 2025'!$D$2:$D$2730,$B27,'декабрь 2025'!$J$2:$J$2730,T$1)</f>
        <v>0</v>
      </c>
      <c r="U27" s="76">
        <f>SUMIFS('декабрь 2025'!$G$2:$G$2730,'декабрь 2025'!$D$2:$D$2730,$B27,'декабрь 2025'!$J$2:$J$2730,U$1)</f>
        <v>0</v>
      </c>
      <c r="V27" s="76">
        <f>SUMIFS('декабрь 2025'!$G$2:$G$2730,'декабрь 2025'!$D$2:$D$2730,$B27,'декабрь 2025'!$J$2:$J$2730,V$1)</f>
        <v>0</v>
      </c>
      <c r="W27" s="76">
        <f>SUMIFS('декабрь 2025'!$G$2:$G$2730,'декабрь 2025'!$D$2:$D$2730,$B27,'декабрь 2025'!$J$2:$J$2730,W$1)</f>
        <v>0</v>
      </c>
      <c r="X27" s="76">
        <f>SUMIFS('декабрь 2025'!$G$2:$G$2730,'декабрь 2025'!$D$2:$D$2730,$B27,'декабрь 2025'!$J$2:$J$2730,X$1)</f>
        <v>0</v>
      </c>
      <c r="Y27" s="76">
        <f>SUMIFS('декабрь 2025'!$G$2:$G$2730,'декабрь 2025'!$D$2:$D$2730,$B27,'декабрь 2025'!$J$2:$J$2730,Y$1)</f>
        <v>0</v>
      </c>
      <c r="Z27" s="76">
        <f>SUMIFS('декабрь 2025'!$G$2:$G$2730,'декабрь 2025'!$D$2:$D$2730,$B27,'декабрь 2025'!$J$2:$J$2730,Z$1)</f>
        <v>0</v>
      </c>
      <c r="AA27" s="76">
        <f>SUMIFS('декабрь 2025'!$G$2:$G$2730,'декабрь 2025'!$D$2:$D$2730,$B27,'декабрь 2025'!$J$2:$J$2730,AA$1)</f>
        <v>0</v>
      </c>
      <c r="AB27" s="76">
        <f>SUMIFS('декабрь 2025'!$G$2:$G$2730,'декабрь 2025'!$D$2:$D$2730,$B27,'декабрь 2025'!$J$2:$J$2730,AB$1)</f>
        <v>0</v>
      </c>
      <c r="AC27" s="76">
        <f>SUMIFS('декабрь 2025'!$G$2:$G$2730,'декабрь 2025'!$D$2:$D$2730,$B27,'декабрь 2025'!$J$2:$J$2730,AC$1)</f>
        <v>0</v>
      </c>
      <c r="AD27" s="76">
        <f>SUMIFS('декабрь 2025'!$G$2:$G$2730,'декабрь 2025'!$D$2:$D$2730,$B27,'декабрь 2025'!$J$2:$J$2730,AD$1)</f>
        <v>0</v>
      </c>
      <c r="AE27" s="76">
        <f>SUMIFS('декабрь 2025'!$G$2:$G$2730,'декабрь 2025'!$D$2:$D$2730,$B27,'декабрь 2025'!$J$2:$J$2730,AE$1)</f>
        <v>0</v>
      </c>
      <c r="AF27" s="76">
        <f>SUMIFS('декабрь 2025'!$G$2:$G$2730,'декабрь 2025'!$D$2:$D$2730,$B27,'декабрь 2025'!$J$2:$J$2730,AF$1)</f>
        <v>0</v>
      </c>
      <c r="AG27" s="76">
        <f>SUMIFS('декабрь 2025'!$G$2:$G$2730,'декабрь 2025'!$D$2:$D$2730,$B27,'декабрь 2025'!$J$2:$J$2730,AG$1)</f>
        <v>0</v>
      </c>
      <c r="AH27" s="76">
        <f>SUMIFS('декабрь 2025'!$G$2:$G$2730,'декабрь 2025'!$D$2:$D$2730,$B27,'декабрь 2025'!$J$2:$J$2730,AH$1)</f>
        <v>0</v>
      </c>
      <c r="AI27" s="20">
        <f t="shared" si="1"/>
        <v>0</v>
      </c>
    </row>
    <row r="28" spans="2:35" ht="15" customHeight="1" x14ac:dyDescent="0.25">
      <c r="B28" s="80" t="s">
        <v>250</v>
      </c>
      <c r="C28" s="78">
        <v>25</v>
      </c>
      <c r="D28" s="76">
        <f>SUMIFS('декабрь 2025'!$G$2:$G$2730,'декабрь 2025'!$D$2:$D$2730,$B28,'декабрь 2025'!$J$2:$J$2730,D$1)</f>
        <v>0</v>
      </c>
      <c r="E28" s="76">
        <f>SUMIFS('декабрь 2025'!$G$2:$G$2730,'декабрь 2025'!$D$2:$D$2730,$B28,'декабрь 2025'!$J$2:$J$2730,E$1)</f>
        <v>0</v>
      </c>
      <c r="F28" s="76">
        <f>SUMIFS('декабрь 2025'!$G$2:$G$2730,'декабрь 2025'!$D$2:$D$2730,$B28,'декабрь 2025'!$J$2:$J$2730,F$1)</f>
        <v>0</v>
      </c>
      <c r="G28" s="76">
        <f>SUMIFS('декабрь 2025'!$G$2:$G$2730,'декабрь 2025'!$D$2:$D$2730,$B28,'декабрь 2025'!$J$2:$J$2730,G$1)</f>
        <v>0</v>
      </c>
      <c r="H28" s="76">
        <f>SUMIFS('декабрь 2025'!$G$2:$G$2730,'декабрь 2025'!$D$2:$D$2730,$B28,'декабрь 2025'!$J$2:$J$2730,H$1)</f>
        <v>0</v>
      </c>
      <c r="I28" s="76">
        <f>SUMIFS('декабрь 2025'!$G$2:$G$2730,'декабрь 2025'!$D$2:$D$2730,$B28,'декабрь 2025'!$J$2:$J$2730,I$1)</f>
        <v>0</v>
      </c>
      <c r="J28" s="76">
        <f>SUMIFS('декабрь 2025'!$G$2:$G$2730,'декабрь 2025'!$D$2:$D$2730,$B28,'декабрь 2025'!$J$2:$J$2730,J$1)</f>
        <v>0</v>
      </c>
      <c r="K28" s="76">
        <f>SUMIFS('декабрь 2025'!$G$2:$G$2730,'декабрь 2025'!$D$2:$D$2730,$B28,'декабрь 2025'!$J$2:$J$2730,K$1)</f>
        <v>0</v>
      </c>
      <c r="L28" s="76">
        <f>SUMIFS('декабрь 2025'!$G$2:$G$2730,'декабрь 2025'!$D$2:$D$2730,$B28,'декабрь 2025'!$J$2:$J$2730,L$1)</f>
        <v>0</v>
      </c>
      <c r="M28" s="76">
        <f>SUMIFS('декабрь 2025'!$G$2:$G$2730,'декабрь 2025'!$D$2:$D$2730,$B28,'декабрь 2025'!$J$2:$J$2730,M$1)</f>
        <v>0</v>
      </c>
      <c r="N28" s="76">
        <f>SUMIFS('декабрь 2025'!$G$2:$G$2730,'декабрь 2025'!$D$2:$D$2730,$B28,'декабрь 2025'!$J$2:$J$2730,N$1)</f>
        <v>0</v>
      </c>
      <c r="O28" s="76">
        <f>SUMIFS('декабрь 2025'!$G$2:$G$2730,'декабрь 2025'!$D$2:$D$2730,$B28,'декабрь 2025'!$J$2:$J$2730,O$1)</f>
        <v>0</v>
      </c>
      <c r="P28" s="76">
        <f>SUMIFS('декабрь 2025'!$G$2:$G$2730,'декабрь 2025'!$D$2:$D$2730,$B28,'декабрь 2025'!$J$2:$J$2730,P$1)</f>
        <v>0</v>
      </c>
      <c r="Q28" s="76">
        <f>SUMIFS('декабрь 2025'!$G$2:$G$2730,'декабрь 2025'!$D$2:$D$2730,$B28,'декабрь 2025'!$J$2:$J$2730,Q$1)</f>
        <v>0</v>
      </c>
      <c r="R28" s="76">
        <f>SUMIFS('декабрь 2025'!$G$2:$G$2730,'декабрь 2025'!$D$2:$D$2730,$B28,'декабрь 2025'!$J$2:$J$2730,R$1)</f>
        <v>0</v>
      </c>
      <c r="S28" s="76">
        <f>SUMIFS('декабрь 2025'!$G$2:$G$2730,'декабрь 2025'!$D$2:$D$2730,$B28,'декабрь 2025'!$J$2:$J$2730,S$1)</f>
        <v>0</v>
      </c>
      <c r="T28" s="76">
        <f>SUMIFS('декабрь 2025'!$G$2:$G$2730,'декабрь 2025'!$D$2:$D$2730,$B28,'декабрь 2025'!$J$2:$J$2730,T$1)</f>
        <v>0</v>
      </c>
      <c r="U28" s="76">
        <f>SUMIFS('декабрь 2025'!$G$2:$G$2730,'декабрь 2025'!$D$2:$D$2730,$B28,'декабрь 2025'!$J$2:$J$2730,U$1)</f>
        <v>0</v>
      </c>
      <c r="V28" s="76">
        <f>SUMIFS('декабрь 2025'!$G$2:$G$2730,'декабрь 2025'!$D$2:$D$2730,$B28,'декабрь 2025'!$J$2:$J$2730,V$1)</f>
        <v>0</v>
      </c>
      <c r="W28" s="76">
        <f>SUMIFS('декабрь 2025'!$G$2:$G$2730,'декабрь 2025'!$D$2:$D$2730,$B28,'декабрь 2025'!$J$2:$J$2730,W$1)</f>
        <v>0</v>
      </c>
      <c r="X28" s="76">
        <f>SUMIFS('декабрь 2025'!$G$2:$G$2730,'декабрь 2025'!$D$2:$D$2730,$B28,'декабрь 2025'!$J$2:$J$2730,X$1)</f>
        <v>0</v>
      </c>
      <c r="Y28" s="76">
        <f>SUMIFS('декабрь 2025'!$G$2:$G$2730,'декабрь 2025'!$D$2:$D$2730,$B28,'декабрь 2025'!$J$2:$J$2730,Y$1)</f>
        <v>0</v>
      </c>
      <c r="Z28" s="76">
        <f>SUMIFS('декабрь 2025'!$G$2:$G$2730,'декабрь 2025'!$D$2:$D$2730,$B28,'декабрь 2025'!$J$2:$J$2730,Z$1)</f>
        <v>0</v>
      </c>
      <c r="AA28" s="76">
        <f>SUMIFS('декабрь 2025'!$G$2:$G$2730,'декабрь 2025'!$D$2:$D$2730,$B28,'декабрь 2025'!$J$2:$J$2730,AA$1)</f>
        <v>0</v>
      </c>
      <c r="AB28" s="76">
        <f>SUMIFS('декабрь 2025'!$G$2:$G$2730,'декабрь 2025'!$D$2:$D$2730,$B28,'декабрь 2025'!$J$2:$J$2730,AB$1)</f>
        <v>0</v>
      </c>
      <c r="AC28" s="76">
        <f>SUMIFS('декабрь 2025'!$G$2:$G$2730,'декабрь 2025'!$D$2:$D$2730,$B28,'декабрь 2025'!$J$2:$J$2730,AC$1)</f>
        <v>0</v>
      </c>
      <c r="AD28" s="76">
        <f>SUMIFS('декабрь 2025'!$G$2:$G$2730,'декабрь 2025'!$D$2:$D$2730,$B28,'декабрь 2025'!$J$2:$J$2730,AD$1)</f>
        <v>0</v>
      </c>
      <c r="AE28" s="76">
        <f>SUMIFS('декабрь 2025'!$G$2:$G$2730,'декабрь 2025'!$D$2:$D$2730,$B28,'декабрь 2025'!$J$2:$J$2730,AE$1)</f>
        <v>0</v>
      </c>
      <c r="AF28" s="76">
        <f>SUMIFS('декабрь 2025'!$G$2:$G$2730,'декабрь 2025'!$D$2:$D$2730,$B28,'декабрь 2025'!$J$2:$J$2730,AF$1)</f>
        <v>0</v>
      </c>
      <c r="AG28" s="76">
        <f>SUMIFS('декабрь 2025'!$G$2:$G$2730,'декабрь 2025'!$D$2:$D$2730,$B28,'декабрь 2025'!$J$2:$J$2730,AG$1)</f>
        <v>0</v>
      </c>
      <c r="AH28" s="76">
        <f>SUMIFS('декабрь 2025'!$G$2:$G$2730,'декабрь 2025'!$D$2:$D$2730,$B28,'декабрь 2025'!$J$2:$J$2730,AH$1)</f>
        <v>0</v>
      </c>
      <c r="AI28" s="20">
        <f t="shared" si="1"/>
        <v>0</v>
      </c>
    </row>
    <row r="29" spans="2:35" ht="15" customHeight="1" x14ac:dyDescent="0.25">
      <c r="B29" s="80" t="s">
        <v>251</v>
      </c>
      <c r="C29" s="78">
        <v>25</v>
      </c>
      <c r="D29" s="76">
        <f>SUMIFS('декабрь 2025'!$G$2:$G$2730,'декабрь 2025'!$D$2:$D$2730,$B29,'декабрь 2025'!$J$2:$J$2730,D$1)</f>
        <v>0</v>
      </c>
      <c r="E29" s="76">
        <f>SUMIFS('декабрь 2025'!$G$2:$G$2730,'декабрь 2025'!$D$2:$D$2730,$B29,'декабрь 2025'!$J$2:$J$2730,E$1)</f>
        <v>0</v>
      </c>
      <c r="F29" s="76">
        <f>SUMIFS('декабрь 2025'!$G$2:$G$2730,'декабрь 2025'!$D$2:$D$2730,$B29,'декабрь 2025'!$J$2:$J$2730,F$1)</f>
        <v>0</v>
      </c>
      <c r="G29" s="76">
        <f>SUMIFS('декабрь 2025'!$G$2:$G$2730,'декабрь 2025'!$D$2:$D$2730,$B29,'декабрь 2025'!$J$2:$J$2730,G$1)</f>
        <v>0</v>
      </c>
      <c r="H29" s="76">
        <f>SUMIFS('декабрь 2025'!$G$2:$G$2730,'декабрь 2025'!$D$2:$D$2730,$B29,'декабрь 2025'!$J$2:$J$2730,H$1)</f>
        <v>0</v>
      </c>
      <c r="I29" s="76">
        <f>SUMIFS('декабрь 2025'!$G$2:$G$2730,'декабрь 2025'!$D$2:$D$2730,$B29,'декабрь 2025'!$J$2:$J$2730,I$1)</f>
        <v>0</v>
      </c>
      <c r="J29" s="76">
        <f>SUMIFS('декабрь 2025'!$G$2:$G$2730,'декабрь 2025'!$D$2:$D$2730,$B29,'декабрь 2025'!$J$2:$J$2730,J$1)</f>
        <v>0</v>
      </c>
      <c r="K29" s="76">
        <f>SUMIFS('декабрь 2025'!$G$2:$G$2730,'декабрь 2025'!$D$2:$D$2730,$B29,'декабрь 2025'!$J$2:$J$2730,K$1)</f>
        <v>0</v>
      </c>
      <c r="L29" s="76">
        <f>SUMIFS('декабрь 2025'!$G$2:$G$2730,'декабрь 2025'!$D$2:$D$2730,$B29,'декабрь 2025'!$J$2:$J$2730,L$1)</f>
        <v>0</v>
      </c>
      <c r="M29" s="76">
        <f>SUMIFS('декабрь 2025'!$G$2:$G$2730,'декабрь 2025'!$D$2:$D$2730,$B29,'декабрь 2025'!$J$2:$J$2730,M$1)</f>
        <v>0</v>
      </c>
      <c r="N29" s="76">
        <f>SUMIFS('декабрь 2025'!$G$2:$G$2730,'декабрь 2025'!$D$2:$D$2730,$B29,'декабрь 2025'!$J$2:$J$2730,N$1)</f>
        <v>0</v>
      </c>
      <c r="O29" s="76">
        <f>SUMIFS('декабрь 2025'!$G$2:$G$2730,'декабрь 2025'!$D$2:$D$2730,$B29,'декабрь 2025'!$J$2:$J$2730,O$1)</f>
        <v>0</v>
      </c>
      <c r="P29" s="76">
        <f>SUMIFS('декабрь 2025'!$G$2:$G$2730,'декабрь 2025'!$D$2:$D$2730,$B29,'декабрь 2025'!$J$2:$J$2730,P$1)</f>
        <v>0</v>
      </c>
      <c r="Q29" s="76">
        <f>SUMIFS('декабрь 2025'!$G$2:$G$2730,'декабрь 2025'!$D$2:$D$2730,$B29,'декабрь 2025'!$J$2:$J$2730,Q$1)</f>
        <v>0</v>
      </c>
      <c r="R29" s="76">
        <f>SUMIFS('декабрь 2025'!$G$2:$G$2730,'декабрь 2025'!$D$2:$D$2730,$B29,'декабрь 2025'!$J$2:$J$2730,R$1)</f>
        <v>0</v>
      </c>
      <c r="S29" s="76">
        <f>SUMIFS('декабрь 2025'!$G$2:$G$2730,'декабрь 2025'!$D$2:$D$2730,$B29,'декабрь 2025'!$J$2:$J$2730,S$1)</f>
        <v>0</v>
      </c>
      <c r="T29" s="76">
        <f>SUMIFS('декабрь 2025'!$G$2:$G$2730,'декабрь 2025'!$D$2:$D$2730,$B29,'декабрь 2025'!$J$2:$J$2730,T$1)</f>
        <v>0</v>
      </c>
      <c r="U29" s="76">
        <f>SUMIFS('декабрь 2025'!$G$2:$G$2730,'декабрь 2025'!$D$2:$D$2730,$B29,'декабрь 2025'!$J$2:$J$2730,U$1)</f>
        <v>0</v>
      </c>
      <c r="V29" s="76">
        <f>SUMIFS('декабрь 2025'!$G$2:$G$2730,'декабрь 2025'!$D$2:$D$2730,$B29,'декабрь 2025'!$J$2:$J$2730,V$1)</f>
        <v>0</v>
      </c>
      <c r="W29" s="76">
        <f>SUMIFS('декабрь 2025'!$G$2:$G$2730,'декабрь 2025'!$D$2:$D$2730,$B29,'декабрь 2025'!$J$2:$J$2730,W$1)</f>
        <v>0</v>
      </c>
      <c r="X29" s="76">
        <f>SUMIFS('декабрь 2025'!$G$2:$G$2730,'декабрь 2025'!$D$2:$D$2730,$B29,'декабрь 2025'!$J$2:$J$2730,X$1)</f>
        <v>0</v>
      </c>
      <c r="Y29" s="76">
        <f>SUMIFS('декабрь 2025'!$G$2:$G$2730,'декабрь 2025'!$D$2:$D$2730,$B29,'декабрь 2025'!$J$2:$J$2730,Y$1)</f>
        <v>0</v>
      </c>
      <c r="Z29" s="76">
        <f>SUMIFS('декабрь 2025'!$G$2:$G$2730,'декабрь 2025'!$D$2:$D$2730,$B29,'декабрь 2025'!$J$2:$J$2730,Z$1)</f>
        <v>0</v>
      </c>
      <c r="AA29" s="76">
        <f>SUMIFS('декабрь 2025'!$G$2:$G$2730,'декабрь 2025'!$D$2:$D$2730,$B29,'декабрь 2025'!$J$2:$J$2730,AA$1)</f>
        <v>0</v>
      </c>
      <c r="AB29" s="76">
        <f>SUMIFS('декабрь 2025'!$G$2:$G$2730,'декабрь 2025'!$D$2:$D$2730,$B29,'декабрь 2025'!$J$2:$J$2730,AB$1)</f>
        <v>0</v>
      </c>
      <c r="AC29" s="76">
        <f>SUMIFS('декабрь 2025'!$G$2:$G$2730,'декабрь 2025'!$D$2:$D$2730,$B29,'декабрь 2025'!$J$2:$J$2730,AC$1)</f>
        <v>0</v>
      </c>
      <c r="AD29" s="76">
        <f>SUMIFS('декабрь 2025'!$G$2:$G$2730,'декабрь 2025'!$D$2:$D$2730,$B29,'декабрь 2025'!$J$2:$J$2730,AD$1)</f>
        <v>0</v>
      </c>
      <c r="AE29" s="76">
        <f>SUMIFS('декабрь 2025'!$G$2:$G$2730,'декабрь 2025'!$D$2:$D$2730,$B29,'декабрь 2025'!$J$2:$J$2730,AE$1)</f>
        <v>0</v>
      </c>
      <c r="AF29" s="76">
        <f>SUMIFS('декабрь 2025'!$G$2:$G$2730,'декабрь 2025'!$D$2:$D$2730,$B29,'декабрь 2025'!$J$2:$J$2730,AF$1)</f>
        <v>0</v>
      </c>
      <c r="AG29" s="76">
        <f>SUMIFS('декабрь 2025'!$G$2:$G$2730,'декабрь 2025'!$D$2:$D$2730,$B29,'декабрь 2025'!$J$2:$J$2730,AG$1)</f>
        <v>0</v>
      </c>
      <c r="AH29" s="76">
        <f>SUMIFS('декабрь 2025'!$G$2:$G$2730,'декабрь 2025'!$D$2:$D$2730,$B29,'декабрь 2025'!$J$2:$J$2730,AH$1)</f>
        <v>0</v>
      </c>
      <c r="AI29" s="20">
        <f t="shared" si="1"/>
        <v>0</v>
      </c>
    </row>
    <row r="30" spans="2:35" ht="15" customHeight="1" x14ac:dyDescent="0.25">
      <c r="B30" s="80" t="s">
        <v>383</v>
      </c>
      <c r="C30" s="78">
        <v>25</v>
      </c>
      <c r="D30" s="76">
        <f>SUMIFS('декабрь 2025'!$G$2:$G$2730,'декабрь 2025'!$D$2:$D$2730,$B30,'декабрь 2025'!$J$2:$J$2730,D$1)</f>
        <v>0</v>
      </c>
      <c r="E30" s="76">
        <f>SUMIFS('декабрь 2025'!$G$2:$G$2730,'декабрь 2025'!$D$2:$D$2730,$B30,'декабрь 2025'!$J$2:$J$2730,E$1)</f>
        <v>0</v>
      </c>
      <c r="F30" s="76">
        <f>SUMIFS('декабрь 2025'!$G$2:$G$2730,'декабрь 2025'!$D$2:$D$2730,$B30,'декабрь 2025'!$J$2:$J$2730,F$1)</f>
        <v>0</v>
      </c>
      <c r="G30" s="76">
        <f>SUMIFS('декабрь 2025'!$G$2:$G$2730,'декабрь 2025'!$D$2:$D$2730,$B30,'декабрь 2025'!$J$2:$J$2730,G$1)</f>
        <v>0</v>
      </c>
      <c r="H30" s="76">
        <f>SUMIFS('декабрь 2025'!$G$2:$G$2730,'декабрь 2025'!$D$2:$D$2730,$B30,'декабрь 2025'!$J$2:$J$2730,H$1)</f>
        <v>0</v>
      </c>
      <c r="I30" s="76">
        <f>SUMIFS('декабрь 2025'!$G$2:$G$2730,'декабрь 2025'!$D$2:$D$2730,$B30,'декабрь 2025'!$J$2:$J$2730,I$1)</f>
        <v>0</v>
      </c>
      <c r="J30" s="76">
        <f>SUMIFS('декабрь 2025'!$G$2:$G$2730,'декабрь 2025'!$D$2:$D$2730,$B30,'декабрь 2025'!$J$2:$J$2730,J$1)</f>
        <v>0</v>
      </c>
      <c r="K30" s="76">
        <f>SUMIFS('декабрь 2025'!$G$2:$G$2730,'декабрь 2025'!$D$2:$D$2730,$B30,'декабрь 2025'!$J$2:$J$2730,K$1)</f>
        <v>0</v>
      </c>
      <c r="L30" s="76">
        <f>SUMIFS('декабрь 2025'!$G$2:$G$2730,'декабрь 2025'!$D$2:$D$2730,$B30,'декабрь 2025'!$J$2:$J$2730,L$1)</f>
        <v>0</v>
      </c>
      <c r="M30" s="76">
        <f>SUMIFS('декабрь 2025'!$G$2:$G$2730,'декабрь 2025'!$D$2:$D$2730,$B30,'декабрь 2025'!$J$2:$J$2730,M$1)</f>
        <v>0</v>
      </c>
      <c r="N30" s="76">
        <f>SUMIFS('декабрь 2025'!$G$2:$G$2730,'декабрь 2025'!$D$2:$D$2730,$B30,'декабрь 2025'!$J$2:$J$2730,N$1)</f>
        <v>0</v>
      </c>
      <c r="O30" s="76">
        <f>SUMIFS('декабрь 2025'!$G$2:$G$2730,'декабрь 2025'!$D$2:$D$2730,$B30,'декабрь 2025'!$J$2:$J$2730,O$1)</f>
        <v>0</v>
      </c>
      <c r="P30" s="76">
        <f>SUMIFS('декабрь 2025'!$G$2:$G$2730,'декабрь 2025'!$D$2:$D$2730,$B30,'декабрь 2025'!$J$2:$J$2730,P$1)</f>
        <v>0</v>
      </c>
      <c r="Q30" s="76">
        <f>SUMIFS('декабрь 2025'!$G$2:$G$2730,'декабрь 2025'!$D$2:$D$2730,$B30,'декабрь 2025'!$J$2:$J$2730,Q$1)</f>
        <v>0</v>
      </c>
      <c r="R30" s="76">
        <f>SUMIFS('декабрь 2025'!$G$2:$G$2730,'декабрь 2025'!$D$2:$D$2730,$B30,'декабрь 2025'!$J$2:$J$2730,R$1)</f>
        <v>0</v>
      </c>
      <c r="S30" s="76">
        <f>SUMIFS('декабрь 2025'!$G$2:$G$2730,'декабрь 2025'!$D$2:$D$2730,$B30,'декабрь 2025'!$J$2:$J$2730,S$1)</f>
        <v>0</v>
      </c>
      <c r="T30" s="76">
        <f>SUMIFS('декабрь 2025'!$G$2:$G$2730,'декабрь 2025'!$D$2:$D$2730,$B30,'декабрь 2025'!$J$2:$J$2730,T$1)</f>
        <v>0</v>
      </c>
      <c r="U30" s="76">
        <f>SUMIFS('декабрь 2025'!$G$2:$G$2730,'декабрь 2025'!$D$2:$D$2730,$B30,'декабрь 2025'!$J$2:$J$2730,U$1)</f>
        <v>0</v>
      </c>
      <c r="V30" s="76">
        <f>SUMIFS('декабрь 2025'!$G$2:$G$2730,'декабрь 2025'!$D$2:$D$2730,$B30,'декабрь 2025'!$J$2:$J$2730,V$1)</f>
        <v>0</v>
      </c>
      <c r="W30" s="76">
        <f>SUMIFS('декабрь 2025'!$G$2:$G$2730,'декабрь 2025'!$D$2:$D$2730,$B30,'декабрь 2025'!$J$2:$J$2730,W$1)</f>
        <v>0</v>
      </c>
      <c r="X30" s="76">
        <f>SUMIFS('декабрь 2025'!$G$2:$G$2730,'декабрь 2025'!$D$2:$D$2730,$B30,'декабрь 2025'!$J$2:$J$2730,X$1)</f>
        <v>0</v>
      </c>
      <c r="Y30" s="76">
        <f>SUMIFS('декабрь 2025'!$G$2:$G$2730,'декабрь 2025'!$D$2:$D$2730,$B30,'декабрь 2025'!$J$2:$J$2730,Y$1)</f>
        <v>0</v>
      </c>
      <c r="Z30" s="76">
        <f>SUMIFS('декабрь 2025'!$G$2:$G$2730,'декабрь 2025'!$D$2:$D$2730,$B30,'декабрь 2025'!$J$2:$J$2730,Z$1)</f>
        <v>0</v>
      </c>
      <c r="AA30" s="76">
        <f>SUMIFS('декабрь 2025'!$G$2:$G$2730,'декабрь 2025'!$D$2:$D$2730,$B30,'декабрь 2025'!$J$2:$J$2730,AA$1)</f>
        <v>0</v>
      </c>
      <c r="AB30" s="76">
        <f>SUMIFS('декабрь 2025'!$G$2:$G$2730,'декабрь 2025'!$D$2:$D$2730,$B30,'декабрь 2025'!$J$2:$J$2730,AB$1)</f>
        <v>0</v>
      </c>
      <c r="AC30" s="76">
        <f>SUMIFS('декабрь 2025'!$G$2:$G$2730,'декабрь 2025'!$D$2:$D$2730,$B30,'декабрь 2025'!$J$2:$J$2730,AC$1)</f>
        <v>0</v>
      </c>
      <c r="AD30" s="76">
        <f>SUMIFS('декабрь 2025'!$G$2:$G$2730,'декабрь 2025'!$D$2:$D$2730,$B30,'декабрь 2025'!$J$2:$J$2730,AD$1)</f>
        <v>0</v>
      </c>
      <c r="AE30" s="76">
        <f>SUMIFS('декабрь 2025'!$G$2:$G$2730,'декабрь 2025'!$D$2:$D$2730,$B30,'декабрь 2025'!$J$2:$J$2730,AE$1)</f>
        <v>0</v>
      </c>
      <c r="AF30" s="76">
        <f>SUMIFS('декабрь 2025'!$G$2:$G$2730,'декабрь 2025'!$D$2:$D$2730,$B30,'декабрь 2025'!$J$2:$J$2730,AF$1)</f>
        <v>0</v>
      </c>
      <c r="AG30" s="76">
        <f>SUMIFS('декабрь 2025'!$G$2:$G$2730,'декабрь 2025'!$D$2:$D$2730,$B30,'декабрь 2025'!$J$2:$J$2730,AG$1)</f>
        <v>0</v>
      </c>
      <c r="AH30" s="76">
        <f>SUMIFS('декабрь 2025'!$G$2:$G$2730,'декабрь 2025'!$D$2:$D$2730,$B30,'декабрь 2025'!$J$2:$J$2730,AH$1)</f>
        <v>0</v>
      </c>
      <c r="AI30" s="20">
        <f t="shared" si="1"/>
        <v>0</v>
      </c>
    </row>
    <row r="31" spans="2:35" ht="15" customHeight="1" x14ac:dyDescent="0.25">
      <c r="B31" s="80"/>
      <c r="C31" s="78"/>
      <c r="D31" s="76">
        <f>SUMIFS('декабрь 2025'!$G$2:$G$2730,'декабрь 2025'!$D$2:$D$2730,$B31,'декабрь 2025'!$J$2:$J$2730,D$1)</f>
        <v>0</v>
      </c>
      <c r="E31" s="76">
        <f>SUMIFS('декабрь 2025'!$G$2:$G$2730,'декабрь 2025'!$D$2:$D$2730,$B31,'декабрь 2025'!$J$2:$J$2730,E$1)</f>
        <v>0</v>
      </c>
      <c r="F31" s="76">
        <f>SUMIFS('декабрь 2025'!$G$2:$G$2730,'декабрь 2025'!$D$2:$D$2730,$B31,'декабрь 2025'!$J$2:$J$2730,F$1)</f>
        <v>0</v>
      </c>
      <c r="G31" s="76">
        <f>SUMIFS('декабрь 2025'!$G$2:$G$2730,'декабрь 2025'!$D$2:$D$2730,$B31,'декабрь 2025'!$J$2:$J$2730,G$1)</f>
        <v>0</v>
      </c>
      <c r="H31" s="76">
        <f>SUMIFS('декабрь 2025'!$G$2:$G$2730,'декабрь 2025'!$D$2:$D$2730,$B31,'декабрь 2025'!$J$2:$J$2730,H$1)</f>
        <v>0</v>
      </c>
      <c r="I31" s="76">
        <f>SUMIFS('декабрь 2025'!$G$2:$G$2730,'декабрь 2025'!$D$2:$D$2730,$B31,'декабрь 2025'!$J$2:$J$2730,I$1)</f>
        <v>0</v>
      </c>
      <c r="J31" s="76">
        <f>SUMIFS('декабрь 2025'!$G$2:$G$2730,'декабрь 2025'!$D$2:$D$2730,$B31,'декабрь 2025'!$J$2:$J$2730,J$1)</f>
        <v>0</v>
      </c>
      <c r="K31" s="76">
        <f>SUMIFS('декабрь 2025'!$G$2:$G$2730,'декабрь 2025'!$D$2:$D$2730,$B31,'декабрь 2025'!$J$2:$J$2730,K$1)</f>
        <v>0</v>
      </c>
      <c r="L31" s="76">
        <f>SUMIFS('декабрь 2025'!$G$2:$G$2730,'декабрь 2025'!$D$2:$D$2730,$B31,'декабрь 2025'!$J$2:$J$2730,L$1)</f>
        <v>0</v>
      </c>
      <c r="M31" s="76">
        <f>SUMIFS('декабрь 2025'!$G$2:$G$2730,'декабрь 2025'!$D$2:$D$2730,$B31,'декабрь 2025'!$J$2:$J$2730,M$1)</f>
        <v>0</v>
      </c>
      <c r="N31" s="76">
        <f>SUMIFS('декабрь 2025'!$G$2:$G$2730,'декабрь 2025'!$D$2:$D$2730,$B31,'декабрь 2025'!$J$2:$J$2730,N$1)</f>
        <v>0</v>
      </c>
      <c r="O31" s="76">
        <f>SUMIFS('декабрь 2025'!$G$2:$G$2730,'декабрь 2025'!$D$2:$D$2730,$B31,'декабрь 2025'!$J$2:$J$2730,O$1)</f>
        <v>0</v>
      </c>
      <c r="P31" s="76">
        <f>SUMIFS('декабрь 2025'!$G$2:$G$2730,'декабрь 2025'!$D$2:$D$2730,$B31,'декабрь 2025'!$J$2:$J$2730,P$1)</f>
        <v>0</v>
      </c>
      <c r="Q31" s="76">
        <f>SUMIFS('декабрь 2025'!$G$2:$G$2730,'декабрь 2025'!$D$2:$D$2730,$B31,'декабрь 2025'!$J$2:$J$2730,Q$1)</f>
        <v>0</v>
      </c>
      <c r="R31" s="76">
        <f>SUMIFS('декабрь 2025'!$G$2:$G$2730,'декабрь 2025'!$D$2:$D$2730,$B31,'декабрь 2025'!$J$2:$J$2730,R$1)</f>
        <v>0</v>
      </c>
      <c r="S31" s="76">
        <f>SUMIFS('декабрь 2025'!$G$2:$G$2730,'декабрь 2025'!$D$2:$D$2730,$B31,'декабрь 2025'!$J$2:$J$2730,S$1)</f>
        <v>0</v>
      </c>
      <c r="T31" s="76">
        <f>SUMIFS('декабрь 2025'!$G$2:$G$2730,'декабрь 2025'!$D$2:$D$2730,$B31,'декабрь 2025'!$J$2:$J$2730,T$1)</f>
        <v>0</v>
      </c>
      <c r="U31" s="76">
        <f>SUMIFS('декабрь 2025'!$G$2:$G$2730,'декабрь 2025'!$D$2:$D$2730,$B31,'декабрь 2025'!$J$2:$J$2730,U$1)</f>
        <v>0</v>
      </c>
      <c r="V31" s="76">
        <f>SUMIFS('декабрь 2025'!$G$2:$G$2730,'декабрь 2025'!$D$2:$D$2730,$B31,'декабрь 2025'!$J$2:$J$2730,V$1)</f>
        <v>0</v>
      </c>
      <c r="W31" s="76">
        <f>SUMIFS('декабрь 2025'!$G$2:$G$2730,'декабрь 2025'!$D$2:$D$2730,$B31,'декабрь 2025'!$J$2:$J$2730,W$1)</f>
        <v>0</v>
      </c>
      <c r="X31" s="76">
        <f>SUMIFS('декабрь 2025'!$G$2:$G$2730,'декабрь 2025'!$D$2:$D$2730,$B31,'декабрь 2025'!$J$2:$J$2730,X$1)</f>
        <v>0</v>
      </c>
      <c r="Y31" s="76">
        <f>SUMIFS('декабрь 2025'!$G$2:$G$2730,'декабрь 2025'!$D$2:$D$2730,$B31,'декабрь 2025'!$J$2:$J$2730,Y$1)</f>
        <v>0</v>
      </c>
      <c r="Z31" s="76">
        <f>SUMIFS('декабрь 2025'!$G$2:$G$2730,'декабрь 2025'!$D$2:$D$2730,$B31,'декабрь 2025'!$J$2:$J$2730,Z$1)</f>
        <v>0</v>
      </c>
      <c r="AA31" s="76">
        <f>SUMIFS('декабрь 2025'!$G$2:$G$2730,'декабрь 2025'!$D$2:$D$2730,$B31,'декабрь 2025'!$J$2:$J$2730,AA$1)</f>
        <v>0</v>
      </c>
      <c r="AB31" s="76">
        <f>SUMIFS('декабрь 2025'!$G$2:$G$2730,'декабрь 2025'!$D$2:$D$2730,$B31,'декабрь 2025'!$J$2:$J$2730,AB$1)</f>
        <v>0</v>
      </c>
      <c r="AC31" s="76">
        <f>SUMIFS('декабрь 2025'!$G$2:$G$2730,'декабрь 2025'!$D$2:$D$2730,$B31,'декабрь 2025'!$J$2:$J$2730,AC$1)</f>
        <v>0</v>
      </c>
      <c r="AD31" s="76">
        <f>SUMIFS('декабрь 2025'!$G$2:$G$2730,'декабрь 2025'!$D$2:$D$2730,$B31,'декабрь 2025'!$J$2:$J$2730,AD$1)</f>
        <v>0</v>
      </c>
      <c r="AE31" s="76">
        <f>SUMIFS('декабрь 2025'!$G$2:$G$2730,'декабрь 2025'!$D$2:$D$2730,$B31,'декабрь 2025'!$J$2:$J$2730,AE$1)</f>
        <v>0</v>
      </c>
      <c r="AF31" s="76">
        <f>SUMIFS('декабрь 2025'!$G$2:$G$2730,'декабрь 2025'!$D$2:$D$2730,$B31,'декабрь 2025'!$J$2:$J$2730,AF$1)</f>
        <v>0</v>
      </c>
      <c r="AG31" s="76">
        <f>SUMIFS('декабрь 2025'!$G$2:$G$2730,'декабрь 2025'!$D$2:$D$2730,$B31,'декабрь 2025'!$J$2:$J$2730,AG$1)</f>
        <v>0</v>
      </c>
      <c r="AH31" s="76">
        <f>SUMIFS('декабрь 2025'!$G$2:$G$2730,'декабрь 2025'!$D$2:$D$2730,$B31,'декабрь 2025'!$J$2:$J$2730,AH$1)</f>
        <v>0</v>
      </c>
      <c r="AI31" s="20">
        <f t="shared" si="1"/>
        <v>0</v>
      </c>
    </row>
    <row r="32" spans="2:35" ht="15" customHeight="1" x14ac:dyDescent="0.25">
      <c r="B32" s="80"/>
      <c r="C32" s="78"/>
      <c r="D32" s="76">
        <f>SUMIFS('декабрь 2025'!$G$2:$G$2730,'декабрь 2025'!$D$2:$D$2730,$B32,'декабрь 2025'!$J$2:$J$2730,D$1)</f>
        <v>0</v>
      </c>
      <c r="E32" s="76">
        <f>SUMIFS('декабрь 2025'!$G$2:$G$2730,'декабрь 2025'!$D$2:$D$2730,$B32,'декабрь 2025'!$J$2:$J$2730,E$1)</f>
        <v>0</v>
      </c>
      <c r="F32" s="76">
        <f>SUMIFS('декабрь 2025'!$G$2:$G$2730,'декабрь 2025'!$D$2:$D$2730,$B32,'декабрь 2025'!$J$2:$J$2730,F$1)</f>
        <v>0</v>
      </c>
      <c r="G32" s="76">
        <f>SUMIFS('декабрь 2025'!$G$2:$G$2730,'декабрь 2025'!$D$2:$D$2730,$B32,'декабрь 2025'!$J$2:$J$2730,G$1)</f>
        <v>0</v>
      </c>
      <c r="H32" s="76">
        <f>SUMIFS('декабрь 2025'!$G$2:$G$2730,'декабрь 2025'!$D$2:$D$2730,$B32,'декабрь 2025'!$J$2:$J$2730,H$1)</f>
        <v>0</v>
      </c>
      <c r="I32" s="76">
        <f>SUMIFS('декабрь 2025'!$G$2:$G$2730,'декабрь 2025'!$D$2:$D$2730,$B32,'декабрь 2025'!$J$2:$J$2730,I$1)</f>
        <v>0</v>
      </c>
      <c r="J32" s="76">
        <f>SUMIFS('декабрь 2025'!$G$2:$G$2730,'декабрь 2025'!$D$2:$D$2730,$B32,'декабрь 2025'!$J$2:$J$2730,J$1)</f>
        <v>0</v>
      </c>
      <c r="K32" s="76">
        <f>SUMIFS('декабрь 2025'!$G$2:$G$2730,'декабрь 2025'!$D$2:$D$2730,$B32,'декабрь 2025'!$J$2:$J$2730,K$1)</f>
        <v>0</v>
      </c>
      <c r="L32" s="76">
        <f>SUMIFS('декабрь 2025'!$G$2:$G$2730,'декабрь 2025'!$D$2:$D$2730,$B32,'декабрь 2025'!$J$2:$J$2730,L$1)</f>
        <v>0</v>
      </c>
      <c r="M32" s="76">
        <f>SUMIFS('декабрь 2025'!$G$2:$G$2730,'декабрь 2025'!$D$2:$D$2730,$B32,'декабрь 2025'!$J$2:$J$2730,M$1)</f>
        <v>0</v>
      </c>
      <c r="N32" s="76">
        <f>SUMIFS('декабрь 2025'!$G$2:$G$2730,'декабрь 2025'!$D$2:$D$2730,$B32,'декабрь 2025'!$J$2:$J$2730,N$1)</f>
        <v>0</v>
      </c>
      <c r="O32" s="76">
        <f>SUMIFS('декабрь 2025'!$G$2:$G$2730,'декабрь 2025'!$D$2:$D$2730,$B32,'декабрь 2025'!$J$2:$J$2730,O$1)</f>
        <v>0</v>
      </c>
      <c r="P32" s="76">
        <f>SUMIFS('декабрь 2025'!$G$2:$G$2730,'декабрь 2025'!$D$2:$D$2730,$B32,'декабрь 2025'!$J$2:$J$2730,P$1)</f>
        <v>0</v>
      </c>
      <c r="Q32" s="76">
        <f>SUMIFS('декабрь 2025'!$G$2:$G$2730,'декабрь 2025'!$D$2:$D$2730,$B32,'декабрь 2025'!$J$2:$J$2730,Q$1)</f>
        <v>0</v>
      </c>
      <c r="R32" s="76">
        <f>SUMIFS('декабрь 2025'!$G$2:$G$2730,'декабрь 2025'!$D$2:$D$2730,$B32,'декабрь 2025'!$J$2:$J$2730,R$1)</f>
        <v>0</v>
      </c>
      <c r="S32" s="76">
        <f>SUMIFS('декабрь 2025'!$G$2:$G$2730,'декабрь 2025'!$D$2:$D$2730,$B32,'декабрь 2025'!$J$2:$J$2730,S$1)</f>
        <v>0</v>
      </c>
      <c r="T32" s="76">
        <f>SUMIFS('декабрь 2025'!$G$2:$G$2730,'декабрь 2025'!$D$2:$D$2730,$B32,'декабрь 2025'!$J$2:$J$2730,T$1)</f>
        <v>0</v>
      </c>
      <c r="U32" s="76">
        <f>SUMIFS('декабрь 2025'!$G$2:$G$2730,'декабрь 2025'!$D$2:$D$2730,$B32,'декабрь 2025'!$J$2:$J$2730,U$1)</f>
        <v>0</v>
      </c>
      <c r="V32" s="76">
        <f>SUMIFS('декабрь 2025'!$G$2:$G$2730,'декабрь 2025'!$D$2:$D$2730,$B32,'декабрь 2025'!$J$2:$J$2730,V$1)</f>
        <v>0</v>
      </c>
      <c r="W32" s="76">
        <f>SUMIFS('декабрь 2025'!$G$2:$G$2730,'декабрь 2025'!$D$2:$D$2730,$B32,'декабрь 2025'!$J$2:$J$2730,W$1)</f>
        <v>0</v>
      </c>
      <c r="X32" s="76">
        <f>SUMIFS('декабрь 2025'!$G$2:$G$2730,'декабрь 2025'!$D$2:$D$2730,$B32,'декабрь 2025'!$J$2:$J$2730,X$1)</f>
        <v>0</v>
      </c>
      <c r="Y32" s="76">
        <f>SUMIFS('декабрь 2025'!$G$2:$G$2730,'декабрь 2025'!$D$2:$D$2730,$B32,'декабрь 2025'!$J$2:$J$2730,Y$1)</f>
        <v>0</v>
      </c>
      <c r="Z32" s="76">
        <f>SUMIFS('декабрь 2025'!$G$2:$G$2730,'декабрь 2025'!$D$2:$D$2730,$B32,'декабрь 2025'!$J$2:$J$2730,Z$1)</f>
        <v>0</v>
      </c>
      <c r="AA32" s="76">
        <f>SUMIFS('декабрь 2025'!$G$2:$G$2730,'декабрь 2025'!$D$2:$D$2730,$B32,'декабрь 2025'!$J$2:$J$2730,AA$1)</f>
        <v>0</v>
      </c>
      <c r="AB32" s="76">
        <f>SUMIFS('декабрь 2025'!$G$2:$G$2730,'декабрь 2025'!$D$2:$D$2730,$B32,'декабрь 2025'!$J$2:$J$2730,AB$1)</f>
        <v>0</v>
      </c>
      <c r="AC32" s="76">
        <f>SUMIFS('декабрь 2025'!$G$2:$G$2730,'декабрь 2025'!$D$2:$D$2730,$B32,'декабрь 2025'!$J$2:$J$2730,AC$1)</f>
        <v>0</v>
      </c>
      <c r="AD32" s="76">
        <f>SUMIFS('декабрь 2025'!$G$2:$G$2730,'декабрь 2025'!$D$2:$D$2730,$B32,'декабрь 2025'!$J$2:$J$2730,AD$1)</f>
        <v>0</v>
      </c>
      <c r="AE32" s="76">
        <f>SUMIFS('декабрь 2025'!$G$2:$G$2730,'декабрь 2025'!$D$2:$D$2730,$B32,'декабрь 2025'!$J$2:$J$2730,AE$1)</f>
        <v>0</v>
      </c>
      <c r="AF32" s="76">
        <f>SUMIFS('декабрь 2025'!$G$2:$G$2730,'декабрь 2025'!$D$2:$D$2730,$B32,'декабрь 2025'!$J$2:$J$2730,AF$1)</f>
        <v>0</v>
      </c>
      <c r="AG32" s="76">
        <f>SUMIFS('декабрь 2025'!$G$2:$G$2730,'декабрь 2025'!$D$2:$D$2730,$B32,'декабрь 2025'!$J$2:$J$2730,AG$1)</f>
        <v>0</v>
      </c>
      <c r="AH32" s="76">
        <f>SUMIFS('декабрь 2025'!$G$2:$G$2730,'декабрь 2025'!$D$2:$D$2730,$B32,'декабрь 2025'!$J$2:$J$2730,AH$1)</f>
        <v>0</v>
      </c>
      <c r="AI32" s="20">
        <f t="shared" si="1"/>
        <v>0</v>
      </c>
    </row>
    <row r="33" spans="2:35" ht="15" customHeight="1" x14ac:dyDescent="0.25">
      <c r="B33" s="80"/>
      <c r="C33" s="78"/>
      <c r="D33" s="76">
        <f>SUMIFS('декабрь 2025'!$G$2:$G$2730,'декабрь 2025'!$D$2:$D$2730,$B33,'декабрь 2025'!$J$2:$J$2730,D$1)</f>
        <v>0</v>
      </c>
      <c r="E33" s="76">
        <f>SUMIFS('декабрь 2025'!$G$2:$G$2730,'декабрь 2025'!$D$2:$D$2730,$B33,'декабрь 2025'!$J$2:$J$2730,E$1)</f>
        <v>0</v>
      </c>
      <c r="F33" s="76">
        <f>SUMIFS('декабрь 2025'!$G$2:$G$2730,'декабрь 2025'!$D$2:$D$2730,$B33,'декабрь 2025'!$J$2:$J$2730,F$1)</f>
        <v>0</v>
      </c>
      <c r="G33" s="76">
        <f>SUMIFS('декабрь 2025'!$G$2:$G$2730,'декабрь 2025'!$D$2:$D$2730,$B33,'декабрь 2025'!$J$2:$J$2730,G$1)</f>
        <v>0</v>
      </c>
      <c r="H33" s="76">
        <f>SUMIFS('декабрь 2025'!$G$2:$G$2730,'декабрь 2025'!$D$2:$D$2730,$B33,'декабрь 2025'!$J$2:$J$2730,H$1)</f>
        <v>0</v>
      </c>
      <c r="I33" s="76">
        <f>SUMIFS('декабрь 2025'!$G$2:$G$2730,'декабрь 2025'!$D$2:$D$2730,$B33,'декабрь 2025'!$J$2:$J$2730,I$1)</f>
        <v>0</v>
      </c>
      <c r="J33" s="76">
        <f>SUMIFS('декабрь 2025'!$G$2:$G$2730,'декабрь 2025'!$D$2:$D$2730,$B33,'декабрь 2025'!$J$2:$J$2730,J$1)</f>
        <v>0</v>
      </c>
      <c r="K33" s="76">
        <f>SUMIFS('декабрь 2025'!$G$2:$G$2730,'декабрь 2025'!$D$2:$D$2730,$B33,'декабрь 2025'!$J$2:$J$2730,K$1)</f>
        <v>0</v>
      </c>
      <c r="L33" s="76">
        <f>SUMIFS('декабрь 2025'!$G$2:$G$2730,'декабрь 2025'!$D$2:$D$2730,$B33,'декабрь 2025'!$J$2:$J$2730,L$1)</f>
        <v>0</v>
      </c>
      <c r="M33" s="76">
        <f>SUMIFS('декабрь 2025'!$G$2:$G$2730,'декабрь 2025'!$D$2:$D$2730,$B33,'декабрь 2025'!$J$2:$J$2730,M$1)</f>
        <v>0</v>
      </c>
      <c r="N33" s="76">
        <f>SUMIFS('декабрь 2025'!$G$2:$G$2730,'декабрь 2025'!$D$2:$D$2730,$B33,'декабрь 2025'!$J$2:$J$2730,N$1)</f>
        <v>0</v>
      </c>
      <c r="O33" s="76">
        <f>SUMIFS('декабрь 2025'!$G$2:$G$2730,'декабрь 2025'!$D$2:$D$2730,$B33,'декабрь 2025'!$J$2:$J$2730,O$1)</f>
        <v>0</v>
      </c>
      <c r="P33" s="76">
        <f>SUMIFS('декабрь 2025'!$G$2:$G$2730,'декабрь 2025'!$D$2:$D$2730,$B33,'декабрь 2025'!$J$2:$J$2730,P$1)</f>
        <v>0</v>
      </c>
      <c r="Q33" s="76">
        <f>SUMIFS('декабрь 2025'!$G$2:$G$2730,'декабрь 2025'!$D$2:$D$2730,$B33,'декабрь 2025'!$J$2:$J$2730,Q$1)</f>
        <v>0</v>
      </c>
      <c r="R33" s="76">
        <f>SUMIFS('декабрь 2025'!$G$2:$G$2730,'декабрь 2025'!$D$2:$D$2730,$B33,'декабрь 2025'!$J$2:$J$2730,R$1)</f>
        <v>0</v>
      </c>
      <c r="S33" s="76">
        <f>SUMIFS('декабрь 2025'!$G$2:$G$2730,'декабрь 2025'!$D$2:$D$2730,$B33,'декабрь 2025'!$J$2:$J$2730,S$1)</f>
        <v>0</v>
      </c>
      <c r="T33" s="76">
        <f>SUMIFS('декабрь 2025'!$G$2:$G$2730,'декабрь 2025'!$D$2:$D$2730,$B33,'декабрь 2025'!$J$2:$J$2730,T$1)</f>
        <v>0</v>
      </c>
      <c r="U33" s="76">
        <f>SUMIFS('декабрь 2025'!$G$2:$G$2730,'декабрь 2025'!$D$2:$D$2730,$B33,'декабрь 2025'!$J$2:$J$2730,U$1)</f>
        <v>0</v>
      </c>
      <c r="V33" s="76">
        <f>SUMIFS('декабрь 2025'!$G$2:$G$2730,'декабрь 2025'!$D$2:$D$2730,$B33,'декабрь 2025'!$J$2:$J$2730,V$1)</f>
        <v>0</v>
      </c>
      <c r="W33" s="76">
        <f>SUMIFS('декабрь 2025'!$G$2:$G$2730,'декабрь 2025'!$D$2:$D$2730,$B33,'декабрь 2025'!$J$2:$J$2730,W$1)</f>
        <v>0</v>
      </c>
      <c r="X33" s="76">
        <f>SUMIFS('декабрь 2025'!$G$2:$G$2730,'декабрь 2025'!$D$2:$D$2730,$B33,'декабрь 2025'!$J$2:$J$2730,X$1)</f>
        <v>0</v>
      </c>
      <c r="Y33" s="76">
        <f>SUMIFS('декабрь 2025'!$G$2:$G$2730,'декабрь 2025'!$D$2:$D$2730,$B33,'декабрь 2025'!$J$2:$J$2730,Y$1)</f>
        <v>0</v>
      </c>
      <c r="Z33" s="76">
        <f>SUMIFS('декабрь 2025'!$G$2:$G$2730,'декабрь 2025'!$D$2:$D$2730,$B33,'декабрь 2025'!$J$2:$J$2730,Z$1)</f>
        <v>0</v>
      </c>
      <c r="AA33" s="76">
        <f>SUMIFS('декабрь 2025'!$G$2:$G$2730,'декабрь 2025'!$D$2:$D$2730,$B33,'декабрь 2025'!$J$2:$J$2730,AA$1)</f>
        <v>0</v>
      </c>
      <c r="AB33" s="76">
        <f>SUMIFS('декабрь 2025'!$G$2:$G$2730,'декабрь 2025'!$D$2:$D$2730,$B33,'декабрь 2025'!$J$2:$J$2730,AB$1)</f>
        <v>0</v>
      </c>
      <c r="AC33" s="76">
        <f>SUMIFS('декабрь 2025'!$G$2:$G$2730,'декабрь 2025'!$D$2:$D$2730,$B33,'декабрь 2025'!$J$2:$J$2730,AC$1)</f>
        <v>0</v>
      </c>
      <c r="AD33" s="76">
        <f>SUMIFS('декабрь 2025'!$G$2:$G$2730,'декабрь 2025'!$D$2:$D$2730,$B33,'декабрь 2025'!$J$2:$J$2730,AD$1)</f>
        <v>0</v>
      </c>
      <c r="AE33" s="76">
        <f>SUMIFS('декабрь 2025'!$G$2:$G$2730,'декабрь 2025'!$D$2:$D$2730,$B33,'декабрь 2025'!$J$2:$J$2730,AE$1)</f>
        <v>0</v>
      </c>
      <c r="AF33" s="76">
        <f>SUMIFS('декабрь 2025'!$G$2:$G$2730,'декабрь 2025'!$D$2:$D$2730,$B33,'декабрь 2025'!$J$2:$J$2730,AF$1)</f>
        <v>0</v>
      </c>
      <c r="AG33" s="76">
        <f>SUMIFS('декабрь 2025'!$G$2:$G$2730,'декабрь 2025'!$D$2:$D$2730,$B33,'декабрь 2025'!$J$2:$J$2730,AG$1)</f>
        <v>0</v>
      </c>
      <c r="AH33" s="76">
        <f>SUMIFS('декабрь 2025'!$G$2:$G$2730,'декабрь 2025'!$D$2:$D$2730,$B33,'декабрь 2025'!$J$2:$J$2730,AH$1)</f>
        <v>0</v>
      </c>
      <c r="AI33" s="20">
        <f t="shared" si="1"/>
        <v>0</v>
      </c>
    </row>
    <row r="34" spans="2:35" ht="15" customHeight="1" x14ac:dyDescent="0.25">
      <c r="B34" s="80"/>
      <c r="C34" s="78"/>
      <c r="D34" s="76">
        <f>SUMIFS('декабрь 2025'!$G$2:$G$2730,'декабрь 2025'!$D$2:$D$2730,$B34,'декабрь 2025'!$J$2:$J$2730,D$1)</f>
        <v>0</v>
      </c>
      <c r="E34" s="76">
        <f>SUMIFS('декабрь 2025'!$G$2:$G$2730,'декабрь 2025'!$D$2:$D$2730,$B34,'декабрь 2025'!$J$2:$J$2730,E$1)</f>
        <v>0</v>
      </c>
      <c r="F34" s="76">
        <f>SUMIFS('декабрь 2025'!$G$2:$G$2730,'декабрь 2025'!$D$2:$D$2730,$B34,'декабрь 2025'!$J$2:$J$2730,F$1)</f>
        <v>0</v>
      </c>
      <c r="G34" s="76">
        <f>SUMIFS('декабрь 2025'!$G$2:$G$2730,'декабрь 2025'!$D$2:$D$2730,$B34,'декабрь 2025'!$J$2:$J$2730,G$1)</f>
        <v>0</v>
      </c>
      <c r="H34" s="76">
        <f>SUMIFS('декабрь 2025'!$G$2:$G$2730,'декабрь 2025'!$D$2:$D$2730,$B34,'декабрь 2025'!$J$2:$J$2730,H$1)</f>
        <v>0</v>
      </c>
      <c r="I34" s="76">
        <f>SUMIFS('декабрь 2025'!$G$2:$G$2730,'декабрь 2025'!$D$2:$D$2730,$B34,'декабрь 2025'!$J$2:$J$2730,I$1)</f>
        <v>0</v>
      </c>
      <c r="J34" s="76">
        <f>SUMIFS('декабрь 2025'!$G$2:$G$2730,'декабрь 2025'!$D$2:$D$2730,$B34,'декабрь 2025'!$J$2:$J$2730,J$1)</f>
        <v>0</v>
      </c>
      <c r="K34" s="76">
        <f>SUMIFS('декабрь 2025'!$G$2:$G$2730,'декабрь 2025'!$D$2:$D$2730,$B34,'декабрь 2025'!$J$2:$J$2730,K$1)</f>
        <v>0</v>
      </c>
      <c r="L34" s="76">
        <f>SUMIFS('декабрь 2025'!$G$2:$G$2730,'декабрь 2025'!$D$2:$D$2730,$B34,'декабрь 2025'!$J$2:$J$2730,L$1)</f>
        <v>0</v>
      </c>
      <c r="M34" s="76">
        <f>SUMIFS('декабрь 2025'!$G$2:$G$2730,'декабрь 2025'!$D$2:$D$2730,$B34,'декабрь 2025'!$J$2:$J$2730,M$1)</f>
        <v>0</v>
      </c>
      <c r="N34" s="76">
        <f>SUMIFS('декабрь 2025'!$G$2:$G$2730,'декабрь 2025'!$D$2:$D$2730,$B34,'декабрь 2025'!$J$2:$J$2730,N$1)</f>
        <v>0</v>
      </c>
      <c r="O34" s="76">
        <f>SUMIFS('декабрь 2025'!$G$2:$G$2730,'декабрь 2025'!$D$2:$D$2730,$B34,'декабрь 2025'!$J$2:$J$2730,O$1)</f>
        <v>0</v>
      </c>
      <c r="P34" s="76">
        <f>SUMIFS('декабрь 2025'!$G$2:$G$2730,'декабрь 2025'!$D$2:$D$2730,$B34,'декабрь 2025'!$J$2:$J$2730,P$1)</f>
        <v>0</v>
      </c>
      <c r="Q34" s="76">
        <f>SUMIFS('декабрь 2025'!$G$2:$G$2730,'декабрь 2025'!$D$2:$D$2730,$B34,'декабрь 2025'!$J$2:$J$2730,Q$1)</f>
        <v>0</v>
      </c>
      <c r="R34" s="76">
        <f>SUMIFS('декабрь 2025'!$G$2:$G$2730,'декабрь 2025'!$D$2:$D$2730,$B34,'декабрь 2025'!$J$2:$J$2730,R$1)</f>
        <v>0</v>
      </c>
      <c r="S34" s="76">
        <f>SUMIFS('декабрь 2025'!$G$2:$G$2730,'декабрь 2025'!$D$2:$D$2730,$B34,'декабрь 2025'!$J$2:$J$2730,S$1)</f>
        <v>0</v>
      </c>
      <c r="T34" s="76">
        <f>SUMIFS('декабрь 2025'!$G$2:$G$2730,'декабрь 2025'!$D$2:$D$2730,$B34,'декабрь 2025'!$J$2:$J$2730,T$1)</f>
        <v>0</v>
      </c>
      <c r="U34" s="76">
        <f>SUMIFS('декабрь 2025'!$G$2:$G$2730,'декабрь 2025'!$D$2:$D$2730,$B34,'декабрь 2025'!$J$2:$J$2730,U$1)</f>
        <v>0</v>
      </c>
      <c r="V34" s="76">
        <f>SUMIFS('декабрь 2025'!$G$2:$G$2730,'декабрь 2025'!$D$2:$D$2730,$B34,'декабрь 2025'!$J$2:$J$2730,V$1)</f>
        <v>0</v>
      </c>
      <c r="W34" s="76">
        <f>SUMIFS('декабрь 2025'!$G$2:$G$2730,'декабрь 2025'!$D$2:$D$2730,$B34,'декабрь 2025'!$J$2:$J$2730,W$1)</f>
        <v>0</v>
      </c>
      <c r="X34" s="76">
        <f>SUMIFS('декабрь 2025'!$G$2:$G$2730,'декабрь 2025'!$D$2:$D$2730,$B34,'декабрь 2025'!$J$2:$J$2730,X$1)</f>
        <v>0</v>
      </c>
      <c r="Y34" s="76">
        <f>SUMIFS('декабрь 2025'!$G$2:$G$2730,'декабрь 2025'!$D$2:$D$2730,$B34,'декабрь 2025'!$J$2:$J$2730,Y$1)</f>
        <v>0</v>
      </c>
      <c r="Z34" s="76">
        <f>SUMIFS('декабрь 2025'!$G$2:$G$2730,'декабрь 2025'!$D$2:$D$2730,$B34,'декабрь 2025'!$J$2:$J$2730,Z$1)</f>
        <v>0</v>
      </c>
      <c r="AA34" s="76">
        <f>SUMIFS('декабрь 2025'!$G$2:$G$2730,'декабрь 2025'!$D$2:$D$2730,$B34,'декабрь 2025'!$J$2:$J$2730,AA$1)</f>
        <v>0</v>
      </c>
      <c r="AB34" s="76">
        <f>SUMIFS('декабрь 2025'!$G$2:$G$2730,'декабрь 2025'!$D$2:$D$2730,$B34,'декабрь 2025'!$J$2:$J$2730,AB$1)</f>
        <v>0</v>
      </c>
      <c r="AC34" s="76">
        <f>SUMIFS('декабрь 2025'!$G$2:$G$2730,'декабрь 2025'!$D$2:$D$2730,$B34,'декабрь 2025'!$J$2:$J$2730,AC$1)</f>
        <v>0</v>
      </c>
      <c r="AD34" s="76">
        <f>SUMIFS('декабрь 2025'!$G$2:$G$2730,'декабрь 2025'!$D$2:$D$2730,$B34,'декабрь 2025'!$J$2:$J$2730,AD$1)</f>
        <v>0</v>
      </c>
      <c r="AE34" s="76">
        <f>SUMIFS('декабрь 2025'!$G$2:$G$2730,'декабрь 2025'!$D$2:$D$2730,$B34,'декабрь 2025'!$J$2:$J$2730,AE$1)</f>
        <v>0</v>
      </c>
      <c r="AF34" s="76">
        <f>SUMIFS('декабрь 2025'!$G$2:$G$2730,'декабрь 2025'!$D$2:$D$2730,$B34,'декабрь 2025'!$J$2:$J$2730,AF$1)</f>
        <v>0</v>
      </c>
      <c r="AG34" s="76">
        <f>SUMIFS('декабрь 2025'!$G$2:$G$2730,'декабрь 2025'!$D$2:$D$2730,$B34,'декабрь 2025'!$J$2:$J$2730,AG$1)</f>
        <v>0</v>
      </c>
      <c r="AH34" s="76">
        <f>SUMIFS('декабрь 2025'!$G$2:$G$2730,'декабрь 2025'!$D$2:$D$2730,$B34,'декабрь 2025'!$J$2:$J$2730,AH$1)</f>
        <v>0</v>
      </c>
      <c r="AI34" s="20">
        <f t="shared" si="1"/>
        <v>0</v>
      </c>
    </row>
    <row r="35" spans="2:35" ht="15" customHeight="1" x14ac:dyDescent="0.25">
      <c r="B35" s="125" t="s">
        <v>213</v>
      </c>
      <c r="C35" s="126">
        <v>25</v>
      </c>
      <c r="D35" s="182">
        <f>SUMIFS('декабрь 2025'!$G$2:$G$2730,'декабрь 2025'!$D$2:$D$2730,$B35,'декабрь 2025'!$J$2:$J$2730,D$1)</f>
        <v>0</v>
      </c>
      <c r="E35" s="182">
        <f>SUMIFS('декабрь 2025'!$G$2:$G$2730,'декабрь 2025'!$D$2:$D$2730,$B35,'декабрь 2025'!$J$2:$J$2730,E$1)</f>
        <v>0</v>
      </c>
      <c r="F35" s="182">
        <f>SUMIFS('декабрь 2025'!$G$2:$G$2730,'декабрь 2025'!$D$2:$D$2730,$B35,'декабрь 2025'!$J$2:$J$2730,F$1)</f>
        <v>0</v>
      </c>
      <c r="G35" s="182">
        <f>SUMIFS('декабрь 2025'!$G$2:$G$2730,'декабрь 2025'!$D$2:$D$2730,$B35,'декабрь 2025'!$J$2:$J$2730,G$1)</f>
        <v>0</v>
      </c>
      <c r="H35" s="182">
        <f>SUMIFS('декабрь 2025'!$G$2:$G$2730,'декабрь 2025'!$D$2:$D$2730,$B35,'декабрь 2025'!$J$2:$J$2730,H$1)</f>
        <v>0</v>
      </c>
      <c r="I35" s="182">
        <f>SUMIFS('декабрь 2025'!$G$2:$G$2730,'декабрь 2025'!$D$2:$D$2730,$B35,'декабрь 2025'!$J$2:$J$2730,I$1)</f>
        <v>0</v>
      </c>
      <c r="J35" s="182">
        <f>SUMIFS('декабрь 2025'!$G$2:$G$2730,'декабрь 2025'!$D$2:$D$2730,$B35,'декабрь 2025'!$J$2:$J$2730,J$1)</f>
        <v>0</v>
      </c>
      <c r="K35" s="182">
        <f>SUMIFS('декабрь 2025'!$G$2:$G$2730,'декабрь 2025'!$D$2:$D$2730,$B35,'декабрь 2025'!$J$2:$J$2730,K$1)</f>
        <v>0</v>
      </c>
      <c r="L35" s="182">
        <f>SUMIFS('декабрь 2025'!$G$2:$G$2730,'декабрь 2025'!$D$2:$D$2730,$B35,'декабрь 2025'!$J$2:$J$2730,L$1)</f>
        <v>0</v>
      </c>
      <c r="M35" s="182">
        <f>SUMIFS('декабрь 2025'!$G$2:$G$2730,'декабрь 2025'!$D$2:$D$2730,$B35,'декабрь 2025'!$J$2:$J$2730,M$1)</f>
        <v>0</v>
      </c>
      <c r="N35" s="182">
        <f>SUMIFS('декабрь 2025'!$G$2:$G$2730,'декабрь 2025'!$D$2:$D$2730,$B35,'декабрь 2025'!$J$2:$J$2730,N$1)</f>
        <v>0</v>
      </c>
      <c r="O35" s="182">
        <f>SUMIFS('декабрь 2025'!$G$2:$G$2730,'декабрь 2025'!$D$2:$D$2730,$B35,'декабрь 2025'!$J$2:$J$2730,O$1)</f>
        <v>0</v>
      </c>
      <c r="P35" s="182">
        <f>SUMIFS('декабрь 2025'!$G$2:$G$2730,'декабрь 2025'!$D$2:$D$2730,$B35,'декабрь 2025'!$J$2:$J$2730,P$1)</f>
        <v>0</v>
      </c>
      <c r="Q35" s="182">
        <f>SUMIFS('декабрь 2025'!$G$2:$G$2730,'декабрь 2025'!$D$2:$D$2730,$B35,'декабрь 2025'!$J$2:$J$2730,Q$1)</f>
        <v>0</v>
      </c>
      <c r="R35" s="182">
        <f>SUMIFS('декабрь 2025'!$G$2:$G$2730,'декабрь 2025'!$D$2:$D$2730,$B35,'декабрь 2025'!$J$2:$J$2730,R$1)</f>
        <v>0</v>
      </c>
      <c r="S35" s="182">
        <f>SUMIFS('декабрь 2025'!$G$2:$G$2730,'декабрь 2025'!$D$2:$D$2730,$B35,'декабрь 2025'!$J$2:$J$2730,S$1)</f>
        <v>0</v>
      </c>
      <c r="T35" s="182">
        <f>SUMIFS('декабрь 2025'!$G$2:$G$2730,'декабрь 2025'!$D$2:$D$2730,$B35,'декабрь 2025'!$J$2:$J$2730,T$1)</f>
        <v>0</v>
      </c>
      <c r="U35" s="182">
        <f>SUMIFS('декабрь 2025'!$G$2:$G$2730,'декабрь 2025'!$D$2:$D$2730,$B35,'декабрь 2025'!$J$2:$J$2730,U$1)</f>
        <v>0</v>
      </c>
      <c r="V35" s="182">
        <f>SUMIFS('декабрь 2025'!$G$2:$G$2730,'декабрь 2025'!$D$2:$D$2730,$B35,'декабрь 2025'!$J$2:$J$2730,V$1)</f>
        <v>0</v>
      </c>
      <c r="W35" s="182">
        <f>SUMIFS('декабрь 2025'!$G$2:$G$2730,'декабрь 2025'!$D$2:$D$2730,$B35,'декабрь 2025'!$J$2:$J$2730,W$1)</f>
        <v>0</v>
      </c>
      <c r="X35" s="182">
        <f>SUMIFS('декабрь 2025'!$G$2:$G$2730,'декабрь 2025'!$D$2:$D$2730,$B35,'декабрь 2025'!$J$2:$J$2730,X$1)</f>
        <v>0</v>
      </c>
      <c r="Y35" s="182">
        <f>SUMIFS('декабрь 2025'!$G$2:$G$2730,'декабрь 2025'!$D$2:$D$2730,$B35,'декабрь 2025'!$J$2:$J$2730,Y$1)</f>
        <v>0</v>
      </c>
      <c r="Z35" s="182">
        <f>SUMIFS('декабрь 2025'!$G$2:$G$2730,'декабрь 2025'!$D$2:$D$2730,$B35,'декабрь 2025'!$J$2:$J$2730,Z$1)</f>
        <v>0</v>
      </c>
      <c r="AA35" s="182">
        <f>SUMIFS('декабрь 2025'!$G$2:$G$2730,'декабрь 2025'!$D$2:$D$2730,$B35,'декабрь 2025'!$J$2:$J$2730,AA$1)</f>
        <v>0</v>
      </c>
      <c r="AB35" s="182">
        <f>SUMIFS('декабрь 2025'!$G$2:$G$2730,'декабрь 2025'!$D$2:$D$2730,$B35,'декабрь 2025'!$J$2:$J$2730,AB$1)</f>
        <v>0</v>
      </c>
      <c r="AC35" s="182">
        <f>SUMIFS('декабрь 2025'!$G$2:$G$2730,'декабрь 2025'!$D$2:$D$2730,$B35,'декабрь 2025'!$J$2:$J$2730,AC$1)</f>
        <v>0</v>
      </c>
      <c r="AD35" s="182">
        <f>SUMIFS('декабрь 2025'!$G$2:$G$2730,'декабрь 2025'!$D$2:$D$2730,$B35,'декабрь 2025'!$J$2:$J$2730,AD$1)</f>
        <v>0</v>
      </c>
      <c r="AE35" s="182">
        <f>SUMIFS('декабрь 2025'!$G$2:$G$2730,'декабрь 2025'!$D$2:$D$2730,$B35,'декабрь 2025'!$J$2:$J$2730,AE$1)</f>
        <v>0</v>
      </c>
      <c r="AF35" s="182">
        <f>SUMIFS('декабрь 2025'!$G$2:$G$2730,'декабрь 2025'!$D$2:$D$2730,$B35,'декабрь 2025'!$J$2:$J$2730,AF$1)</f>
        <v>0</v>
      </c>
      <c r="AG35" s="182">
        <f>SUMIFS('декабрь 2025'!$G$2:$G$2730,'декабрь 2025'!$D$2:$D$2730,$B35,'декабрь 2025'!$J$2:$J$2730,AG$1)</f>
        <v>0</v>
      </c>
      <c r="AH35" s="182">
        <f>SUMIFS('декабрь 2025'!$G$2:$G$2730,'декабрь 2025'!$D$2:$D$2730,$B35,'декабрь 2025'!$J$2:$J$2730,AH$1)</f>
        <v>0</v>
      </c>
      <c r="AI35" s="20">
        <f t="shared" si="1"/>
        <v>0</v>
      </c>
    </row>
    <row r="36" spans="2:35" ht="15" customHeight="1" x14ac:dyDescent="0.25">
      <c r="B36" s="127" t="s">
        <v>215</v>
      </c>
      <c r="C36" s="126">
        <v>25</v>
      </c>
      <c r="D36" s="182">
        <f>SUMIFS('декабрь 2025'!$G$2:$G$2730,'декабрь 2025'!$D$2:$D$2730,$B36,'декабрь 2025'!$J$2:$J$2730,D$1)</f>
        <v>0</v>
      </c>
      <c r="E36" s="182">
        <f>SUMIFS('декабрь 2025'!$G$2:$G$2730,'декабрь 2025'!$D$2:$D$2730,$B36,'декабрь 2025'!$J$2:$J$2730,E$1)</f>
        <v>0</v>
      </c>
      <c r="F36" s="182">
        <f>SUMIFS('декабрь 2025'!$G$2:$G$2730,'декабрь 2025'!$D$2:$D$2730,$B36,'декабрь 2025'!$J$2:$J$2730,F$1)</f>
        <v>0</v>
      </c>
      <c r="G36" s="182">
        <f>SUMIFS('декабрь 2025'!$G$2:$G$2730,'декабрь 2025'!$D$2:$D$2730,$B36,'декабрь 2025'!$J$2:$J$2730,G$1)</f>
        <v>0</v>
      </c>
      <c r="H36" s="182">
        <f>SUMIFS('декабрь 2025'!$G$2:$G$2730,'декабрь 2025'!$D$2:$D$2730,$B36,'декабрь 2025'!$J$2:$J$2730,H$1)</f>
        <v>0</v>
      </c>
      <c r="I36" s="182">
        <f>SUMIFS('декабрь 2025'!$G$2:$G$2730,'декабрь 2025'!$D$2:$D$2730,$B36,'декабрь 2025'!$J$2:$J$2730,I$1)</f>
        <v>0</v>
      </c>
      <c r="J36" s="182">
        <f>SUMIFS('декабрь 2025'!$G$2:$G$2730,'декабрь 2025'!$D$2:$D$2730,$B36,'декабрь 2025'!$J$2:$J$2730,J$1)</f>
        <v>0</v>
      </c>
      <c r="K36" s="182">
        <f>SUMIFS('декабрь 2025'!$G$2:$G$2730,'декабрь 2025'!$D$2:$D$2730,$B36,'декабрь 2025'!$J$2:$J$2730,K$1)</f>
        <v>0</v>
      </c>
      <c r="L36" s="182">
        <f>SUMIFS('декабрь 2025'!$G$2:$G$2730,'декабрь 2025'!$D$2:$D$2730,$B36,'декабрь 2025'!$J$2:$J$2730,L$1)</f>
        <v>0</v>
      </c>
      <c r="M36" s="182">
        <f>SUMIFS('декабрь 2025'!$G$2:$G$2730,'декабрь 2025'!$D$2:$D$2730,$B36,'декабрь 2025'!$J$2:$J$2730,M$1)</f>
        <v>0</v>
      </c>
      <c r="N36" s="182">
        <f>SUMIFS('декабрь 2025'!$G$2:$G$2730,'декабрь 2025'!$D$2:$D$2730,$B36,'декабрь 2025'!$J$2:$J$2730,N$1)</f>
        <v>0</v>
      </c>
      <c r="O36" s="182">
        <f>SUMIFS('декабрь 2025'!$G$2:$G$2730,'декабрь 2025'!$D$2:$D$2730,$B36,'декабрь 2025'!$J$2:$J$2730,O$1)</f>
        <v>0</v>
      </c>
      <c r="P36" s="182">
        <f>SUMIFS('декабрь 2025'!$G$2:$G$2730,'декабрь 2025'!$D$2:$D$2730,$B36,'декабрь 2025'!$J$2:$J$2730,P$1)</f>
        <v>0</v>
      </c>
      <c r="Q36" s="182">
        <f>SUMIFS('декабрь 2025'!$G$2:$G$2730,'декабрь 2025'!$D$2:$D$2730,$B36,'декабрь 2025'!$J$2:$J$2730,Q$1)</f>
        <v>0</v>
      </c>
      <c r="R36" s="182">
        <f>SUMIFS('декабрь 2025'!$G$2:$G$2730,'декабрь 2025'!$D$2:$D$2730,$B36,'декабрь 2025'!$J$2:$J$2730,R$1)</f>
        <v>0</v>
      </c>
      <c r="S36" s="182">
        <f>SUMIFS('декабрь 2025'!$G$2:$G$2730,'декабрь 2025'!$D$2:$D$2730,$B36,'декабрь 2025'!$J$2:$J$2730,S$1)</f>
        <v>0</v>
      </c>
      <c r="T36" s="182">
        <f>SUMIFS('декабрь 2025'!$G$2:$G$2730,'декабрь 2025'!$D$2:$D$2730,$B36,'декабрь 2025'!$J$2:$J$2730,T$1)</f>
        <v>0</v>
      </c>
      <c r="U36" s="182">
        <f>SUMIFS('декабрь 2025'!$G$2:$G$2730,'декабрь 2025'!$D$2:$D$2730,$B36,'декабрь 2025'!$J$2:$J$2730,U$1)</f>
        <v>0</v>
      </c>
      <c r="V36" s="182">
        <f>SUMIFS('декабрь 2025'!$G$2:$G$2730,'декабрь 2025'!$D$2:$D$2730,$B36,'декабрь 2025'!$J$2:$J$2730,V$1)</f>
        <v>0</v>
      </c>
      <c r="W36" s="182">
        <f>SUMIFS('декабрь 2025'!$G$2:$G$2730,'декабрь 2025'!$D$2:$D$2730,$B36,'декабрь 2025'!$J$2:$J$2730,W$1)</f>
        <v>0</v>
      </c>
      <c r="X36" s="182">
        <f>SUMIFS('декабрь 2025'!$G$2:$G$2730,'декабрь 2025'!$D$2:$D$2730,$B36,'декабрь 2025'!$J$2:$J$2730,X$1)</f>
        <v>0</v>
      </c>
      <c r="Y36" s="182">
        <f>SUMIFS('декабрь 2025'!$G$2:$G$2730,'декабрь 2025'!$D$2:$D$2730,$B36,'декабрь 2025'!$J$2:$J$2730,Y$1)</f>
        <v>0</v>
      </c>
      <c r="Z36" s="182">
        <f>SUMIFS('декабрь 2025'!$G$2:$G$2730,'декабрь 2025'!$D$2:$D$2730,$B36,'декабрь 2025'!$J$2:$J$2730,Z$1)</f>
        <v>0</v>
      </c>
      <c r="AA36" s="182">
        <f>SUMIFS('декабрь 2025'!$G$2:$G$2730,'декабрь 2025'!$D$2:$D$2730,$B36,'декабрь 2025'!$J$2:$J$2730,AA$1)</f>
        <v>0</v>
      </c>
      <c r="AB36" s="182">
        <f>SUMIFS('декабрь 2025'!$G$2:$G$2730,'декабрь 2025'!$D$2:$D$2730,$B36,'декабрь 2025'!$J$2:$J$2730,AB$1)</f>
        <v>0</v>
      </c>
      <c r="AC36" s="182">
        <f>SUMIFS('декабрь 2025'!$G$2:$G$2730,'декабрь 2025'!$D$2:$D$2730,$B36,'декабрь 2025'!$J$2:$J$2730,AC$1)</f>
        <v>0</v>
      </c>
      <c r="AD36" s="182">
        <f>SUMIFS('декабрь 2025'!$G$2:$G$2730,'декабрь 2025'!$D$2:$D$2730,$B36,'декабрь 2025'!$J$2:$J$2730,AD$1)</f>
        <v>0</v>
      </c>
      <c r="AE36" s="182">
        <f>SUMIFS('декабрь 2025'!$G$2:$G$2730,'декабрь 2025'!$D$2:$D$2730,$B36,'декабрь 2025'!$J$2:$J$2730,AE$1)</f>
        <v>0</v>
      </c>
      <c r="AF36" s="182">
        <f>SUMIFS('декабрь 2025'!$G$2:$G$2730,'декабрь 2025'!$D$2:$D$2730,$B36,'декабрь 2025'!$J$2:$J$2730,AF$1)</f>
        <v>0</v>
      </c>
      <c r="AG36" s="182">
        <f>SUMIFS('декабрь 2025'!$G$2:$G$2730,'декабрь 2025'!$D$2:$D$2730,$B36,'декабрь 2025'!$J$2:$J$2730,AG$1)</f>
        <v>0</v>
      </c>
      <c r="AH36" s="182">
        <f>SUMIFS('декабрь 2025'!$G$2:$G$2730,'декабрь 2025'!$D$2:$D$2730,$B36,'декабрь 2025'!$J$2:$J$2730,AH$1)</f>
        <v>0</v>
      </c>
      <c r="AI36" s="20">
        <f t="shared" si="1"/>
        <v>0</v>
      </c>
    </row>
    <row r="37" spans="2:35" ht="15" customHeight="1" x14ac:dyDescent="0.25">
      <c r="B37" s="128" t="s">
        <v>384</v>
      </c>
      <c r="C37" s="126">
        <v>25</v>
      </c>
      <c r="D37" s="182">
        <f>SUMIFS('декабрь 2025'!$G$2:$G$2730,'декабрь 2025'!$D$2:$D$2730,$B37,'декабрь 2025'!$J$2:$J$2730,D$1)</f>
        <v>0</v>
      </c>
      <c r="E37" s="182">
        <f>SUMIFS('декабрь 2025'!$G$2:$G$2730,'декабрь 2025'!$D$2:$D$2730,$B37,'декабрь 2025'!$J$2:$J$2730,E$1)</f>
        <v>0</v>
      </c>
      <c r="F37" s="182">
        <f>SUMIFS('декабрь 2025'!$G$2:$G$2730,'декабрь 2025'!$D$2:$D$2730,$B37,'декабрь 2025'!$J$2:$J$2730,F$1)</f>
        <v>0</v>
      </c>
      <c r="G37" s="182">
        <f>SUMIFS('декабрь 2025'!$G$2:$G$2730,'декабрь 2025'!$D$2:$D$2730,$B37,'декабрь 2025'!$J$2:$J$2730,G$1)</f>
        <v>0</v>
      </c>
      <c r="H37" s="182">
        <f>SUMIFS('декабрь 2025'!$G$2:$G$2730,'декабрь 2025'!$D$2:$D$2730,$B37,'декабрь 2025'!$J$2:$J$2730,H$1)</f>
        <v>0</v>
      </c>
      <c r="I37" s="182">
        <f>SUMIFS('декабрь 2025'!$G$2:$G$2730,'декабрь 2025'!$D$2:$D$2730,$B37,'декабрь 2025'!$J$2:$J$2730,I$1)</f>
        <v>0</v>
      </c>
      <c r="J37" s="182">
        <f>SUMIFS('декабрь 2025'!$G$2:$G$2730,'декабрь 2025'!$D$2:$D$2730,$B37,'декабрь 2025'!$J$2:$J$2730,J$1)</f>
        <v>0</v>
      </c>
      <c r="K37" s="182">
        <f>SUMIFS('декабрь 2025'!$G$2:$G$2730,'декабрь 2025'!$D$2:$D$2730,$B37,'декабрь 2025'!$J$2:$J$2730,K$1)</f>
        <v>0</v>
      </c>
      <c r="L37" s="182">
        <f>SUMIFS('декабрь 2025'!$G$2:$G$2730,'декабрь 2025'!$D$2:$D$2730,$B37,'декабрь 2025'!$J$2:$J$2730,L$1)</f>
        <v>0</v>
      </c>
      <c r="M37" s="182">
        <f>SUMIFS('декабрь 2025'!$G$2:$G$2730,'декабрь 2025'!$D$2:$D$2730,$B37,'декабрь 2025'!$J$2:$J$2730,M$1)</f>
        <v>0</v>
      </c>
      <c r="N37" s="182">
        <f>SUMIFS('декабрь 2025'!$G$2:$G$2730,'декабрь 2025'!$D$2:$D$2730,$B37,'декабрь 2025'!$J$2:$J$2730,N$1)</f>
        <v>0</v>
      </c>
      <c r="O37" s="182">
        <f>SUMIFS('декабрь 2025'!$G$2:$G$2730,'декабрь 2025'!$D$2:$D$2730,$B37,'декабрь 2025'!$J$2:$J$2730,O$1)</f>
        <v>0</v>
      </c>
      <c r="P37" s="182">
        <f>SUMIFS('декабрь 2025'!$G$2:$G$2730,'декабрь 2025'!$D$2:$D$2730,$B37,'декабрь 2025'!$J$2:$J$2730,P$1)</f>
        <v>0</v>
      </c>
      <c r="Q37" s="182">
        <f>SUMIFS('декабрь 2025'!$G$2:$G$2730,'декабрь 2025'!$D$2:$D$2730,$B37,'декабрь 2025'!$J$2:$J$2730,Q$1)</f>
        <v>0</v>
      </c>
      <c r="R37" s="182">
        <f>SUMIFS('декабрь 2025'!$G$2:$G$2730,'декабрь 2025'!$D$2:$D$2730,$B37,'декабрь 2025'!$J$2:$J$2730,R$1)</f>
        <v>0</v>
      </c>
      <c r="S37" s="182">
        <f>SUMIFS('декабрь 2025'!$G$2:$G$2730,'декабрь 2025'!$D$2:$D$2730,$B37,'декабрь 2025'!$J$2:$J$2730,S$1)</f>
        <v>0</v>
      </c>
      <c r="T37" s="182">
        <f>SUMIFS('декабрь 2025'!$G$2:$G$2730,'декабрь 2025'!$D$2:$D$2730,$B37,'декабрь 2025'!$J$2:$J$2730,T$1)</f>
        <v>0</v>
      </c>
      <c r="U37" s="182">
        <f>SUMIFS('декабрь 2025'!$G$2:$G$2730,'декабрь 2025'!$D$2:$D$2730,$B37,'декабрь 2025'!$J$2:$J$2730,U$1)</f>
        <v>0</v>
      </c>
      <c r="V37" s="182">
        <f>SUMIFS('декабрь 2025'!$G$2:$G$2730,'декабрь 2025'!$D$2:$D$2730,$B37,'декабрь 2025'!$J$2:$J$2730,V$1)</f>
        <v>0</v>
      </c>
      <c r="W37" s="182">
        <f>SUMIFS('декабрь 2025'!$G$2:$G$2730,'декабрь 2025'!$D$2:$D$2730,$B37,'декабрь 2025'!$J$2:$J$2730,W$1)</f>
        <v>0</v>
      </c>
      <c r="X37" s="182">
        <f>SUMIFS('декабрь 2025'!$G$2:$G$2730,'декабрь 2025'!$D$2:$D$2730,$B37,'декабрь 2025'!$J$2:$J$2730,X$1)</f>
        <v>0</v>
      </c>
      <c r="Y37" s="182">
        <f>SUMIFS('декабрь 2025'!$G$2:$G$2730,'декабрь 2025'!$D$2:$D$2730,$B37,'декабрь 2025'!$J$2:$J$2730,Y$1)</f>
        <v>0</v>
      </c>
      <c r="Z37" s="182">
        <f>SUMIFS('декабрь 2025'!$G$2:$G$2730,'декабрь 2025'!$D$2:$D$2730,$B37,'декабрь 2025'!$J$2:$J$2730,Z$1)</f>
        <v>0</v>
      </c>
      <c r="AA37" s="182">
        <f>SUMIFS('декабрь 2025'!$G$2:$G$2730,'декабрь 2025'!$D$2:$D$2730,$B37,'декабрь 2025'!$J$2:$J$2730,AA$1)</f>
        <v>0</v>
      </c>
      <c r="AB37" s="182">
        <f>SUMIFS('декабрь 2025'!$G$2:$G$2730,'декабрь 2025'!$D$2:$D$2730,$B37,'декабрь 2025'!$J$2:$J$2730,AB$1)</f>
        <v>0</v>
      </c>
      <c r="AC37" s="182">
        <f>SUMIFS('декабрь 2025'!$G$2:$G$2730,'декабрь 2025'!$D$2:$D$2730,$B37,'декабрь 2025'!$J$2:$J$2730,AC$1)</f>
        <v>0</v>
      </c>
      <c r="AD37" s="182">
        <f>SUMIFS('декабрь 2025'!$G$2:$G$2730,'декабрь 2025'!$D$2:$D$2730,$B37,'декабрь 2025'!$J$2:$J$2730,AD$1)</f>
        <v>0</v>
      </c>
      <c r="AE37" s="182">
        <f>SUMIFS('декабрь 2025'!$G$2:$G$2730,'декабрь 2025'!$D$2:$D$2730,$B37,'декабрь 2025'!$J$2:$J$2730,AE$1)</f>
        <v>0</v>
      </c>
      <c r="AF37" s="182">
        <f>SUMIFS('декабрь 2025'!$G$2:$G$2730,'декабрь 2025'!$D$2:$D$2730,$B37,'декабрь 2025'!$J$2:$J$2730,AF$1)</f>
        <v>0</v>
      </c>
      <c r="AG37" s="182">
        <f>SUMIFS('декабрь 2025'!$G$2:$G$2730,'декабрь 2025'!$D$2:$D$2730,$B37,'декабрь 2025'!$J$2:$J$2730,AG$1)</f>
        <v>0</v>
      </c>
      <c r="AH37" s="182">
        <f>SUMIFS('декабрь 2025'!$G$2:$G$2730,'декабрь 2025'!$D$2:$D$2730,$B37,'декабрь 2025'!$J$2:$J$2730,AH$1)</f>
        <v>0</v>
      </c>
      <c r="AI37" s="20">
        <f t="shared" si="1"/>
        <v>0</v>
      </c>
    </row>
    <row r="38" spans="2:35" ht="15" customHeight="1" x14ac:dyDescent="0.25">
      <c r="B38" s="128" t="s">
        <v>217</v>
      </c>
      <c r="C38" s="126">
        <v>25</v>
      </c>
      <c r="D38" s="182">
        <f>SUMIFS('декабрь 2025'!$G$2:$G$2730,'декабрь 2025'!$D$2:$D$2730,$B38,'декабрь 2025'!$J$2:$J$2730,D$1)</f>
        <v>0</v>
      </c>
      <c r="E38" s="182">
        <f>SUMIFS('декабрь 2025'!$G$2:$G$2730,'декабрь 2025'!$D$2:$D$2730,$B38,'декабрь 2025'!$J$2:$J$2730,E$1)</f>
        <v>0</v>
      </c>
      <c r="F38" s="182">
        <f>SUMIFS('декабрь 2025'!$G$2:$G$2730,'декабрь 2025'!$D$2:$D$2730,$B38,'декабрь 2025'!$J$2:$J$2730,F$1)</f>
        <v>0</v>
      </c>
      <c r="G38" s="182">
        <f>SUMIFS('декабрь 2025'!$G$2:$G$2730,'декабрь 2025'!$D$2:$D$2730,$B38,'декабрь 2025'!$J$2:$J$2730,G$1)</f>
        <v>0</v>
      </c>
      <c r="H38" s="182">
        <f>SUMIFS('декабрь 2025'!$G$2:$G$2730,'декабрь 2025'!$D$2:$D$2730,$B38,'декабрь 2025'!$J$2:$J$2730,H$1)</f>
        <v>0</v>
      </c>
      <c r="I38" s="182">
        <f>SUMIFS('декабрь 2025'!$G$2:$G$2730,'декабрь 2025'!$D$2:$D$2730,$B38,'декабрь 2025'!$J$2:$J$2730,I$1)</f>
        <v>0</v>
      </c>
      <c r="J38" s="182">
        <f>SUMIFS('декабрь 2025'!$G$2:$G$2730,'декабрь 2025'!$D$2:$D$2730,$B38,'декабрь 2025'!$J$2:$J$2730,J$1)</f>
        <v>0</v>
      </c>
      <c r="K38" s="182">
        <f>SUMIFS('декабрь 2025'!$G$2:$G$2730,'декабрь 2025'!$D$2:$D$2730,$B38,'декабрь 2025'!$J$2:$J$2730,K$1)</f>
        <v>0</v>
      </c>
      <c r="L38" s="182">
        <f>SUMIFS('декабрь 2025'!$G$2:$G$2730,'декабрь 2025'!$D$2:$D$2730,$B38,'декабрь 2025'!$J$2:$J$2730,L$1)</f>
        <v>0</v>
      </c>
      <c r="M38" s="182">
        <f>SUMIFS('декабрь 2025'!$G$2:$G$2730,'декабрь 2025'!$D$2:$D$2730,$B38,'декабрь 2025'!$J$2:$J$2730,M$1)</f>
        <v>0</v>
      </c>
      <c r="N38" s="182">
        <f>SUMIFS('декабрь 2025'!$G$2:$G$2730,'декабрь 2025'!$D$2:$D$2730,$B38,'декабрь 2025'!$J$2:$J$2730,N$1)</f>
        <v>0</v>
      </c>
      <c r="O38" s="182">
        <f>SUMIFS('декабрь 2025'!$G$2:$G$2730,'декабрь 2025'!$D$2:$D$2730,$B38,'декабрь 2025'!$J$2:$J$2730,O$1)</f>
        <v>0</v>
      </c>
      <c r="P38" s="182">
        <f>SUMIFS('декабрь 2025'!$G$2:$G$2730,'декабрь 2025'!$D$2:$D$2730,$B38,'декабрь 2025'!$J$2:$J$2730,P$1)</f>
        <v>0</v>
      </c>
      <c r="Q38" s="182">
        <f>SUMIFS('декабрь 2025'!$G$2:$G$2730,'декабрь 2025'!$D$2:$D$2730,$B38,'декабрь 2025'!$J$2:$J$2730,Q$1)</f>
        <v>0</v>
      </c>
      <c r="R38" s="182">
        <f>SUMIFS('декабрь 2025'!$G$2:$G$2730,'декабрь 2025'!$D$2:$D$2730,$B38,'декабрь 2025'!$J$2:$J$2730,R$1)</f>
        <v>0</v>
      </c>
      <c r="S38" s="182">
        <f>SUMIFS('декабрь 2025'!$G$2:$G$2730,'декабрь 2025'!$D$2:$D$2730,$B38,'декабрь 2025'!$J$2:$J$2730,S$1)</f>
        <v>0</v>
      </c>
      <c r="T38" s="182">
        <f>SUMIFS('декабрь 2025'!$G$2:$G$2730,'декабрь 2025'!$D$2:$D$2730,$B38,'декабрь 2025'!$J$2:$J$2730,T$1)</f>
        <v>0</v>
      </c>
      <c r="U38" s="182">
        <f>SUMIFS('декабрь 2025'!$G$2:$G$2730,'декабрь 2025'!$D$2:$D$2730,$B38,'декабрь 2025'!$J$2:$J$2730,U$1)</f>
        <v>0</v>
      </c>
      <c r="V38" s="182">
        <f>SUMIFS('декабрь 2025'!$G$2:$G$2730,'декабрь 2025'!$D$2:$D$2730,$B38,'декабрь 2025'!$J$2:$J$2730,V$1)</f>
        <v>0</v>
      </c>
      <c r="W38" s="182">
        <f>SUMIFS('декабрь 2025'!$G$2:$G$2730,'декабрь 2025'!$D$2:$D$2730,$B38,'декабрь 2025'!$J$2:$J$2730,W$1)</f>
        <v>0</v>
      </c>
      <c r="X38" s="182">
        <f>SUMIFS('декабрь 2025'!$G$2:$G$2730,'декабрь 2025'!$D$2:$D$2730,$B38,'декабрь 2025'!$J$2:$J$2730,X$1)</f>
        <v>0</v>
      </c>
      <c r="Y38" s="182">
        <f>SUMIFS('декабрь 2025'!$G$2:$G$2730,'декабрь 2025'!$D$2:$D$2730,$B38,'декабрь 2025'!$J$2:$J$2730,Y$1)</f>
        <v>0</v>
      </c>
      <c r="Z38" s="182">
        <f>SUMIFS('декабрь 2025'!$G$2:$G$2730,'декабрь 2025'!$D$2:$D$2730,$B38,'декабрь 2025'!$J$2:$J$2730,Z$1)</f>
        <v>160</v>
      </c>
      <c r="AA38" s="182">
        <f>SUMIFS('декабрь 2025'!$G$2:$G$2730,'декабрь 2025'!$D$2:$D$2730,$B38,'декабрь 2025'!$J$2:$J$2730,AA$1)</f>
        <v>0</v>
      </c>
      <c r="AB38" s="182">
        <f>SUMIFS('декабрь 2025'!$G$2:$G$2730,'декабрь 2025'!$D$2:$D$2730,$B38,'декабрь 2025'!$J$2:$J$2730,AB$1)</f>
        <v>0</v>
      </c>
      <c r="AC38" s="182">
        <f>SUMIFS('декабрь 2025'!$G$2:$G$2730,'декабрь 2025'!$D$2:$D$2730,$B38,'декабрь 2025'!$J$2:$J$2730,AC$1)</f>
        <v>0</v>
      </c>
      <c r="AD38" s="182">
        <f>SUMIFS('декабрь 2025'!$G$2:$G$2730,'декабрь 2025'!$D$2:$D$2730,$B38,'декабрь 2025'!$J$2:$J$2730,AD$1)</f>
        <v>0</v>
      </c>
      <c r="AE38" s="182">
        <f>SUMIFS('декабрь 2025'!$G$2:$G$2730,'декабрь 2025'!$D$2:$D$2730,$B38,'декабрь 2025'!$J$2:$J$2730,AE$1)</f>
        <v>0</v>
      </c>
      <c r="AF38" s="182">
        <f>SUMIFS('декабрь 2025'!$G$2:$G$2730,'декабрь 2025'!$D$2:$D$2730,$B38,'декабрь 2025'!$J$2:$J$2730,AF$1)</f>
        <v>0</v>
      </c>
      <c r="AG38" s="182">
        <f>SUMIFS('декабрь 2025'!$G$2:$G$2730,'декабрь 2025'!$D$2:$D$2730,$B38,'декабрь 2025'!$J$2:$J$2730,AG$1)</f>
        <v>0</v>
      </c>
      <c r="AH38" s="182">
        <f>SUMIFS('декабрь 2025'!$G$2:$G$2730,'декабрь 2025'!$D$2:$D$2730,$B38,'декабрь 2025'!$J$2:$J$2730,AH$1)</f>
        <v>0</v>
      </c>
      <c r="AI38" s="20">
        <f t="shared" si="1"/>
        <v>160</v>
      </c>
    </row>
    <row r="39" spans="2:35" ht="15" customHeight="1" x14ac:dyDescent="0.25">
      <c r="B39" s="129" t="s">
        <v>219</v>
      </c>
      <c r="C39" s="130">
        <v>25</v>
      </c>
      <c r="D39" s="182">
        <f>SUMIFS('декабрь 2025'!$G$2:$G$2730,'декабрь 2025'!$D$2:$D$2730,$B39,'декабрь 2025'!$J$2:$J$2730,D$1)</f>
        <v>0</v>
      </c>
      <c r="E39" s="182">
        <f>SUMIFS('декабрь 2025'!$G$2:$G$2730,'декабрь 2025'!$D$2:$D$2730,$B39,'декабрь 2025'!$J$2:$J$2730,E$1)</f>
        <v>0</v>
      </c>
      <c r="F39" s="182">
        <f>SUMIFS('декабрь 2025'!$G$2:$G$2730,'декабрь 2025'!$D$2:$D$2730,$B39,'декабрь 2025'!$J$2:$J$2730,F$1)</f>
        <v>0</v>
      </c>
      <c r="G39" s="182">
        <f>SUMIFS('декабрь 2025'!$G$2:$G$2730,'декабрь 2025'!$D$2:$D$2730,$B39,'декабрь 2025'!$J$2:$J$2730,G$1)</f>
        <v>0</v>
      </c>
      <c r="H39" s="182">
        <f>SUMIFS('декабрь 2025'!$G$2:$G$2730,'декабрь 2025'!$D$2:$D$2730,$B39,'декабрь 2025'!$J$2:$J$2730,H$1)</f>
        <v>0</v>
      </c>
      <c r="I39" s="182">
        <f>SUMIFS('декабрь 2025'!$G$2:$G$2730,'декабрь 2025'!$D$2:$D$2730,$B39,'декабрь 2025'!$J$2:$J$2730,I$1)</f>
        <v>0</v>
      </c>
      <c r="J39" s="182">
        <f>SUMIFS('декабрь 2025'!$G$2:$G$2730,'декабрь 2025'!$D$2:$D$2730,$B39,'декабрь 2025'!$J$2:$J$2730,J$1)</f>
        <v>0</v>
      </c>
      <c r="K39" s="182">
        <f>SUMIFS('декабрь 2025'!$G$2:$G$2730,'декабрь 2025'!$D$2:$D$2730,$B39,'декабрь 2025'!$J$2:$J$2730,K$1)</f>
        <v>0</v>
      </c>
      <c r="L39" s="182">
        <f>SUMIFS('декабрь 2025'!$G$2:$G$2730,'декабрь 2025'!$D$2:$D$2730,$B39,'декабрь 2025'!$J$2:$J$2730,L$1)</f>
        <v>0</v>
      </c>
      <c r="M39" s="182">
        <f>SUMIFS('декабрь 2025'!$G$2:$G$2730,'декабрь 2025'!$D$2:$D$2730,$B39,'декабрь 2025'!$J$2:$J$2730,M$1)</f>
        <v>0</v>
      </c>
      <c r="N39" s="182">
        <f>SUMIFS('декабрь 2025'!$G$2:$G$2730,'декабрь 2025'!$D$2:$D$2730,$B39,'декабрь 2025'!$J$2:$J$2730,N$1)</f>
        <v>0</v>
      </c>
      <c r="O39" s="182">
        <f>SUMIFS('декабрь 2025'!$G$2:$G$2730,'декабрь 2025'!$D$2:$D$2730,$B39,'декабрь 2025'!$J$2:$J$2730,O$1)</f>
        <v>0</v>
      </c>
      <c r="P39" s="182">
        <f>SUMIFS('декабрь 2025'!$G$2:$G$2730,'декабрь 2025'!$D$2:$D$2730,$B39,'декабрь 2025'!$J$2:$J$2730,P$1)</f>
        <v>0</v>
      </c>
      <c r="Q39" s="182">
        <f>SUMIFS('декабрь 2025'!$G$2:$G$2730,'декабрь 2025'!$D$2:$D$2730,$B39,'декабрь 2025'!$J$2:$J$2730,Q$1)</f>
        <v>0</v>
      </c>
      <c r="R39" s="182">
        <f>SUMIFS('декабрь 2025'!$G$2:$G$2730,'декабрь 2025'!$D$2:$D$2730,$B39,'декабрь 2025'!$J$2:$J$2730,R$1)</f>
        <v>0</v>
      </c>
      <c r="S39" s="182">
        <f>SUMIFS('декабрь 2025'!$G$2:$G$2730,'декабрь 2025'!$D$2:$D$2730,$B39,'декабрь 2025'!$J$2:$J$2730,S$1)</f>
        <v>0</v>
      </c>
      <c r="T39" s="182">
        <f>SUMIFS('декабрь 2025'!$G$2:$G$2730,'декабрь 2025'!$D$2:$D$2730,$B39,'декабрь 2025'!$J$2:$J$2730,T$1)</f>
        <v>0</v>
      </c>
      <c r="U39" s="182">
        <f>SUMIFS('декабрь 2025'!$G$2:$G$2730,'декабрь 2025'!$D$2:$D$2730,$B39,'декабрь 2025'!$J$2:$J$2730,U$1)</f>
        <v>0</v>
      </c>
      <c r="V39" s="182">
        <f>SUMIFS('декабрь 2025'!$G$2:$G$2730,'декабрь 2025'!$D$2:$D$2730,$B39,'декабрь 2025'!$J$2:$J$2730,V$1)</f>
        <v>0</v>
      </c>
      <c r="W39" s="182">
        <f>SUMIFS('декабрь 2025'!$G$2:$G$2730,'декабрь 2025'!$D$2:$D$2730,$B39,'декабрь 2025'!$J$2:$J$2730,W$1)</f>
        <v>0</v>
      </c>
      <c r="X39" s="182">
        <f>SUMIFS('декабрь 2025'!$G$2:$G$2730,'декабрь 2025'!$D$2:$D$2730,$B39,'декабрь 2025'!$J$2:$J$2730,X$1)</f>
        <v>0</v>
      </c>
      <c r="Y39" s="182">
        <f>SUMIFS('декабрь 2025'!$G$2:$G$2730,'декабрь 2025'!$D$2:$D$2730,$B39,'декабрь 2025'!$J$2:$J$2730,Y$1)</f>
        <v>0</v>
      </c>
      <c r="Z39" s="182">
        <f>SUMIFS('декабрь 2025'!$G$2:$G$2730,'декабрь 2025'!$D$2:$D$2730,$B39,'декабрь 2025'!$J$2:$J$2730,Z$1)</f>
        <v>0</v>
      </c>
      <c r="AA39" s="182">
        <f>SUMIFS('декабрь 2025'!$G$2:$G$2730,'декабрь 2025'!$D$2:$D$2730,$B39,'декабрь 2025'!$J$2:$J$2730,AA$1)</f>
        <v>0</v>
      </c>
      <c r="AB39" s="182">
        <f>SUMIFS('декабрь 2025'!$G$2:$G$2730,'декабрь 2025'!$D$2:$D$2730,$B39,'декабрь 2025'!$J$2:$J$2730,AB$1)</f>
        <v>0</v>
      </c>
      <c r="AC39" s="182">
        <f>SUMIFS('декабрь 2025'!$G$2:$G$2730,'декабрь 2025'!$D$2:$D$2730,$B39,'декабрь 2025'!$J$2:$J$2730,AC$1)</f>
        <v>0</v>
      </c>
      <c r="AD39" s="182">
        <f>SUMIFS('декабрь 2025'!$G$2:$G$2730,'декабрь 2025'!$D$2:$D$2730,$B39,'декабрь 2025'!$J$2:$J$2730,AD$1)</f>
        <v>0</v>
      </c>
      <c r="AE39" s="182">
        <f>SUMIFS('декабрь 2025'!$G$2:$G$2730,'декабрь 2025'!$D$2:$D$2730,$B39,'декабрь 2025'!$J$2:$J$2730,AE$1)</f>
        <v>0</v>
      </c>
      <c r="AF39" s="182">
        <f>SUMIFS('декабрь 2025'!$G$2:$G$2730,'декабрь 2025'!$D$2:$D$2730,$B39,'декабрь 2025'!$J$2:$J$2730,AF$1)</f>
        <v>0</v>
      </c>
      <c r="AG39" s="182">
        <f>SUMIFS('декабрь 2025'!$G$2:$G$2730,'декабрь 2025'!$D$2:$D$2730,$B39,'декабрь 2025'!$J$2:$J$2730,AG$1)</f>
        <v>0</v>
      </c>
      <c r="AH39" s="182">
        <f>SUMIFS('декабрь 2025'!$G$2:$G$2730,'декабрь 2025'!$D$2:$D$2730,$B39,'декабрь 2025'!$J$2:$J$2730,AH$1)</f>
        <v>0</v>
      </c>
      <c r="AI39" s="20">
        <f t="shared" si="1"/>
        <v>0</v>
      </c>
    </row>
    <row r="40" spans="2:35" ht="15" customHeight="1" x14ac:dyDescent="0.25">
      <c r="B40" s="131" t="s">
        <v>221</v>
      </c>
      <c r="C40" s="132">
        <v>22.68</v>
      </c>
      <c r="D40" s="182">
        <f>SUMIFS('декабрь 2025'!$G$2:$G$2730,'декабрь 2025'!$D$2:$D$2730,$B40,'декабрь 2025'!$J$2:$J$2730,D$1)</f>
        <v>0</v>
      </c>
      <c r="E40" s="182">
        <f>SUMIFS('декабрь 2025'!$G$2:$G$2730,'декабрь 2025'!$D$2:$D$2730,$B40,'декабрь 2025'!$J$2:$J$2730,E$1)</f>
        <v>0</v>
      </c>
      <c r="F40" s="182">
        <f>SUMIFS('декабрь 2025'!$G$2:$G$2730,'декабрь 2025'!$D$2:$D$2730,$B40,'декабрь 2025'!$J$2:$J$2730,F$1)</f>
        <v>0</v>
      </c>
      <c r="G40" s="182">
        <f>SUMIFS('декабрь 2025'!$G$2:$G$2730,'декабрь 2025'!$D$2:$D$2730,$B40,'декабрь 2025'!$J$2:$J$2730,G$1)</f>
        <v>0</v>
      </c>
      <c r="H40" s="182">
        <f>SUMIFS('декабрь 2025'!$G$2:$G$2730,'декабрь 2025'!$D$2:$D$2730,$B40,'декабрь 2025'!$J$2:$J$2730,H$1)</f>
        <v>0</v>
      </c>
      <c r="I40" s="182">
        <f>SUMIFS('декабрь 2025'!$G$2:$G$2730,'декабрь 2025'!$D$2:$D$2730,$B40,'декабрь 2025'!$J$2:$J$2730,I$1)</f>
        <v>0</v>
      </c>
      <c r="J40" s="182">
        <f>SUMIFS('декабрь 2025'!$G$2:$G$2730,'декабрь 2025'!$D$2:$D$2730,$B40,'декабрь 2025'!$J$2:$J$2730,J$1)</f>
        <v>0</v>
      </c>
      <c r="K40" s="182">
        <f>SUMIFS('декабрь 2025'!$G$2:$G$2730,'декабрь 2025'!$D$2:$D$2730,$B40,'декабрь 2025'!$J$2:$J$2730,K$1)</f>
        <v>0</v>
      </c>
      <c r="L40" s="182">
        <f>SUMIFS('декабрь 2025'!$G$2:$G$2730,'декабрь 2025'!$D$2:$D$2730,$B40,'декабрь 2025'!$J$2:$J$2730,L$1)</f>
        <v>0</v>
      </c>
      <c r="M40" s="182">
        <f>SUMIFS('декабрь 2025'!$G$2:$G$2730,'декабрь 2025'!$D$2:$D$2730,$B40,'декабрь 2025'!$J$2:$J$2730,M$1)</f>
        <v>0</v>
      </c>
      <c r="N40" s="182">
        <f>SUMIFS('декабрь 2025'!$G$2:$G$2730,'декабрь 2025'!$D$2:$D$2730,$B40,'декабрь 2025'!$J$2:$J$2730,N$1)</f>
        <v>0</v>
      </c>
      <c r="O40" s="182">
        <f>SUMIFS('декабрь 2025'!$G$2:$G$2730,'декабрь 2025'!$D$2:$D$2730,$B40,'декабрь 2025'!$J$2:$J$2730,O$1)</f>
        <v>0</v>
      </c>
      <c r="P40" s="182">
        <f>SUMIFS('декабрь 2025'!$G$2:$G$2730,'декабрь 2025'!$D$2:$D$2730,$B40,'декабрь 2025'!$J$2:$J$2730,P$1)</f>
        <v>0</v>
      </c>
      <c r="Q40" s="182">
        <f>SUMIFS('декабрь 2025'!$G$2:$G$2730,'декабрь 2025'!$D$2:$D$2730,$B40,'декабрь 2025'!$J$2:$J$2730,Q$1)</f>
        <v>0</v>
      </c>
      <c r="R40" s="182">
        <f>SUMIFS('декабрь 2025'!$G$2:$G$2730,'декабрь 2025'!$D$2:$D$2730,$B40,'декабрь 2025'!$J$2:$J$2730,R$1)</f>
        <v>0</v>
      </c>
      <c r="S40" s="182">
        <f>SUMIFS('декабрь 2025'!$G$2:$G$2730,'декабрь 2025'!$D$2:$D$2730,$B40,'декабрь 2025'!$J$2:$J$2730,S$1)</f>
        <v>0</v>
      </c>
      <c r="T40" s="182">
        <f>SUMIFS('декабрь 2025'!$G$2:$G$2730,'декабрь 2025'!$D$2:$D$2730,$B40,'декабрь 2025'!$J$2:$J$2730,T$1)</f>
        <v>0</v>
      </c>
      <c r="U40" s="182">
        <f>SUMIFS('декабрь 2025'!$G$2:$G$2730,'декабрь 2025'!$D$2:$D$2730,$B40,'декабрь 2025'!$J$2:$J$2730,U$1)</f>
        <v>0</v>
      </c>
      <c r="V40" s="182">
        <f>SUMIFS('декабрь 2025'!$G$2:$G$2730,'декабрь 2025'!$D$2:$D$2730,$B40,'декабрь 2025'!$J$2:$J$2730,V$1)</f>
        <v>0</v>
      </c>
      <c r="W40" s="182">
        <f>SUMIFS('декабрь 2025'!$G$2:$G$2730,'декабрь 2025'!$D$2:$D$2730,$B40,'декабрь 2025'!$J$2:$J$2730,W$1)</f>
        <v>0</v>
      </c>
      <c r="X40" s="182">
        <f>SUMIFS('декабрь 2025'!$G$2:$G$2730,'декабрь 2025'!$D$2:$D$2730,$B40,'декабрь 2025'!$J$2:$J$2730,X$1)</f>
        <v>0</v>
      </c>
      <c r="Y40" s="182">
        <f>SUMIFS('декабрь 2025'!$G$2:$G$2730,'декабрь 2025'!$D$2:$D$2730,$B40,'декабрь 2025'!$J$2:$J$2730,Y$1)</f>
        <v>0</v>
      </c>
      <c r="Z40" s="182">
        <f>SUMIFS('декабрь 2025'!$G$2:$G$2730,'декабрь 2025'!$D$2:$D$2730,$B40,'декабрь 2025'!$J$2:$J$2730,Z$1)</f>
        <v>0</v>
      </c>
      <c r="AA40" s="182">
        <f>SUMIFS('декабрь 2025'!$G$2:$G$2730,'декабрь 2025'!$D$2:$D$2730,$B40,'декабрь 2025'!$J$2:$J$2730,AA$1)</f>
        <v>0</v>
      </c>
      <c r="AB40" s="182">
        <f>SUMIFS('декабрь 2025'!$G$2:$G$2730,'декабрь 2025'!$D$2:$D$2730,$B40,'декабрь 2025'!$J$2:$J$2730,AB$1)</f>
        <v>0</v>
      </c>
      <c r="AC40" s="182">
        <f>SUMIFS('декабрь 2025'!$G$2:$G$2730,'декабрь 2025'!$D$2:$D$2730,$B40,'декабрь 2025'!$J$2:$J$2730,AC$1)</f>
        <v>0</v>
      </c>
      <c r="AD40" s="182">
        <f>SUMIFS('декабрь 2025'!$G$2:$G$2730,'декабрь 2025'!$D$2:$D$2730,$B40,'декабрь 2025'!$J$2:$J$2730,AD$1)</f>
        <v>0</v>
      </c>
      <c r="AE40" s="182">
        <f>SUMIFS('декабрь 2025'!$G$2:$G$2730,'декабрь 2025'!$D$2:$D$2730,$B40,'декабрь 2025'!$J$2:$J$2730,AE$1)</f>
        <v>0</v>
      </c>
      <c r="AF40" s="182">
        <f>SUMIFS('декабрь 2025'!$G$2:$G$2730,'декабрь 2025'!$D$2:$D$2730,$B40,'декабрь 2025'!$J$2:$J$2730,AF$1)</f>
        <v>0</v>
      </c>
      <c r="AG40" s="182">
        <f>SUMIFS('декабрь 2025'!$G$2:$G$2730,'декабрь 2025'!$D$2:$D$2730,$B40,'декабрь 2025'!$J$2:$J$2730,AG$1)</f>
        <v>0</v>
      </c>
      <c r="AH40" s="182">
        <f>SUMIFS('декабрь 2025'!$G$2:$G$2730,'декабрь 2025'!$D$2:$D$2730,$B40,'декабрь 2025'!$J$2:$J$2730,AH$1)</f>
        <v>0</v>
      </c>
      <c r="AI40" s="20">
        <f t="shared" si="1"/>
        <v>0</v>
      </c>
    </row>
    <row r="41" spans="2:35" ht="15" customHeight="1" x14ac:dyDescent="0.25">
      <c r="B41" s="131" t="s">
        <v>1016</v>
      </c>
      <c r="C41" s="133">
        <v>20</v>
      </c>
      <c r="D41" s="182">
        <f>SUMIFS('декабрь 2025'!$G$2:$G$2730,'декабрь 2025'!$D$2:$D$2730,$B41,'декабрь 2025'!$J$2:$J$2730,D$1)</f>
        <v>0</v>
      </c>
      <c r="E41" s="182">
        <f>SUMIFS('декабрь 2025'!$G$2:$G$2730,'декабрь 2025'!$D$2:$D$2730,$B41,'декабрь 2025'!$J$2:$J$2730,E$1)</f>
        <v>0</v>
      </c>
      <c r="F41" s="182">
        <f>SUMIFS('декабрь 2025'!$G$2:$G$2730,'декабрь 2025'!$D$2:$D$2730,$B41,'декабрь 2025'!$J$2:$J$2730,F$1)</f>
        <v>0</v>
      </c>
      <c r="G41" s="182">
        <f>SUMIFS('декабрь 2025'!$G$2:$G$2730,'декабрь 2025'!$D$2:$D$2730,$B41,'декабрь 2025'!$J$2:$J$2730,G$1)</f>
        <v>0</v>
      </c>
      <c r="H41" s="182">
        <f>SUMIFS('декабрь 2025'!$G$2:$G$2730,'декабрь 2025'!$D$2:$D$2730,$B41,'декабрь 2025'!$J$2:$J$2730,H$1)</f>
        <v>0</v>
      </c>
      <c r="I41" s="182">
        <f>SUMIFS('декабрь 2025'!$G$2:$G$2730,'декабрь 2025'!$D$2:$D$2730,$B41,'декабрь 2025'!$J$2:$J$2730,I$1)</f>
        <v>0</v>
      </c>
      <c r="J41" s="182">
        <f>SUMIFS('декабрь 2025'!$G$2:$G$2730,'декабрь 2025'!$D$2:$D$2730,$B41,'декабрь 2025'!$J$2:$J$2730,J$1)</f>
        <v>0</v>
      </c>
      <c r="K41" s="182">
        <f>SUMIFS('декабрь 2025'!$G$2:$G$2730,'декабрь 2025'!$D$2:$D$2730,$B41,'декабрь 2025'!$J$2:$J$2730,K$1)</f>
        <v>0</v>
      </c>
      <c r="L41" s="182">
        <f>SUMIFS('декабрь 2025'!$G$2:$G$2730,'декабрь 2025'!$D$2:$D$2730,$B41,'декабрь 2025'!$J$2:$J$2730,L$1)</f>
        <v>0</v>
      </c>
      <c r="M41" s="182">
        <f>SUMIFS('декабрь 2025'!$G$2:$G$2730,'декабрь 2025'!$D$2:$D$2730,$B41,'декабрь 2025'!$J$2:$J$2730,M$1)</f>
        <v>0</v>
      </c>
      <c r="N41" s="182">
        <f>SUMIFS('декабрь 2025'!$G$2:$G$2730,'декабрь 2025'!$D$2:$D$2730,$B41,'декабрь 2025'!$J$2:$J$2730,N$1)</f>
        <v>0</v>
      </c>
      <c r="O41" s="182">
        <f>SUMIFS('декабрь 2025'!$G$2:$G$2730,'декабрь 2025'!$D$2:$D$2730,$B41,'декабрь 2025'!$J$2:$J$2730,O$1)</f>
        <v>0</v>
      </c>
      <c r="P41" s="182">
        <f>SUMIFS('декабрь 2025'!$G$2:$G$2730,'декабрь 2025'!$D$2:$D$2730,$B41,'декабрь 2025'!$J$2:$J$2730,P$1)</f>
        <v>0</v>
      </c>
      <c r="Q41" s="182">
        <f>SUMIFS('декабрь 2025'!$G$2:$G$2730,'декабрь 2025'!$D$2:$D$2730,$B41,'декабрь 2025'!$J$2:$J$2730,Q$1)</f>
        <v>0</v>
      </c>
      <c r="R41" s="182">
        <f>SUMIFS('декабрь 2025'!$G$2:$G$2730,'декабрь 2025'!$D$2:$D$2730,$B41,'декабрь 2025'!$J$2:$J$2730,R$1)</f>
        <v>0</v>
      </c>
      <c r="S41" s="182">
        <f>SUMIFS('декабрь 2025'!$G$2:$G$2730,'декабрь 2025'!$D$2:$D$2730,$B41,'декабрь 2025'!$J$2:$J$2730,S$1)</f>
        <v>0</v>
      </c>
      <c r="T41" s="182">
        <f>SUMIFS('декабрь 2025'!$G$2:$G$2730,'декабрь 2025'!$D$2:$D$2730,$B41,'декабрь 2025'!$J$2:$J$2730,T$1)</f>
        <v>0</v>
      </c>
      <c r="U41" s="182">
        <f>SUMIFS('декабрь 2025'!$G$2:$G$2730,'декабрь 2025'!$D$2:$D$2730,$B41,'декабрь 2025'!$J$2:$J$2730,U$1)</f>
        <v>0</v>
      </c>
      <c r="V41" s="182">
        <f>SUMIFS('декабрь 2025'!$G$2:$G$2730,'декабрь 2025'!$D$2:$D$2730,$B41,'декабрь 2025'!$J$2:$J$2730,V$1)</f>
        <v>0</v>
      </c>
      <c r="W41" s="182">
        <f>SUMIFS('декабрь 2025'!$G$2:$G$2730,'декабрь 2025'!$D$2:$D$2730,$B41,'декабрь 2025'!$J$2:$J$2730,W$1)</f>
        <v>0</v>
      </c>
      <c r="X41" s="182">
        <f>SUMIFS('декабрь 2025'!$G$2:$G$2730,'декабрь 2025'!$D$2:$D$2730,$B41,'декабрь 2025'!$J$2:$J$2730,X$1)</f>
        <v>0</v>
      </c>
      <c r="Y41" s="182">
        <f>SUMIFS('декабрь 2025'!$G$2:$G$2730,'декабрь 2025'!$D$2:$D$2730,$B41,'декабрь 2025'!$J$2:$J$2730,Y$1)</f>
        <v>0</v>
      </c>
      <c r="Z41" s="182">
        <f>SUMIFS('декабрь 2025'!$G$2:$G$2730,'декабрь 2025'!$D$2:$D$2730,$B41,'декабрь 2025'!$J$2:$J$2730,Z$1)</f>
        <v>0</v>
      </c>
      <c r="AA41" s="182">
        <f>SUMIFS('декабрь 2025'!$G$2:$G$2730,'декабрь 2025'!$D$2:$D$2730,$B41,'декабрь 2025'!$J$2:$J$2730,AA$1)</f>
        <v>0</v>
      </c>
      <c r="AB41" s="182">
        <f>SUMIFS('декабрь 2025'!$G$2:$G$2730,'декабрь 2025'!$D$2:$D$2730,$B41,'декабрь 2025'!$J$2:$J$2730,AB$1)</f>
        <v>0</v>
      </c>
      <c r="AC41" s="182">
        <f>SUMIFS('декабрь 2025'!$G$2:$G$2730,'декабрь 2025'!$D$2:$D$2730,$B41,'декабрь 2025'!$J$2:$J$2730,AC$1)</f>
        <v>0</v>
      </c>
      <c r="AD41" s="182">
        <f>SUMIFS('декабрь 2025'!$G$2:$G$2730,'декабрь 2025'!$D$2:$D$2730,$B41,'декабрь 2025'!$J$2:$J$2730,AD$1)</f>
        <v>0</v>
      </c>
      <c r="AE41" s="182">
        <f>SUMIFS('декабрь 2025'!$G$2:$G$2730,'декабрь 2025'!$D$2:$D$2730,$B41,'декабрь 2025'!$J$2:$J$2730,AE$1)</f>
        <v>0</v>
      </c>
      <c r="AF41" s="182">
        <f>SUMIFS('декабрь 2025'!$G$2:$G$2730,'декабрь 2025'!$D$2:$D$2730,$B41,'декабрь 2025'!$J$2:$J$2730,AF$1)</f>
        <v>0</v>
      </c>
      <c r="AG41" s="182">
        <f>SUMIFS('декабрь 2025'!$G$2:$G$2730,'декабрь 2025'!$D$2:$D$2730,$B41,'декабрь 2025'!$J$2:$J$2730,AG$1)</f>
        <v>0</v>
      </c>
      <c r="AH41" s="182">
        <f>SUMIFS('декабрь 2025'!$G$2:$G$2730,'декабрь 2025'!$D$2:$D$2730,$B41,'декабрь 2025'!$J$2:$J$2730,AH$1)</f>
        <v>0</v>
      </c>
      <c r="AI41" s="20">
        <f t="shared" si="1"/>
        <v>0</v>
      </c>
    </row>
    <row r="42" spans="2:35" ht="15" customHeight="1" x14ac:dyDescent="0.25">
      <c r="B42" s="131" t="s">
        <v>223</v>
      </c>
      <c r="C42" s="133">
        <v>25</v>
      </c>
      <c r="D42" s="182">
        <f>SUMIFS('декабрь 2025'!$G$2:$G$2730,'декабрь 2025'!$D$2:$D$2730,$B42,'декабрь 2025'!$J$2:$J$2730,D$1)</f>
        <v>0</v>
      </c>
      <c r="E42" s="182">
        <f>SUMIFS('декабрь 2025'!$G$2:$G$2730,'декабрь 2025'!$D$2:$D$2730,$B42,'декабрь 2025'!$J$2:$J$2730,E$1)</f>
        <v>800</v>
      </c>
      <c r="F42" s="182">
        <f>SUMIFS('декабрь 2025'!$G$2:$G$2730,'декабрь 2025'!$D$2:$D$2730,$B42,'декабрь 2025'!$J$2:$J$2730,F$1)</f>
        <v>0</v>
      </c>
      <c r="G42" s="182">
        <f>SUMIFS('декабрь 2025'!$G$2:$G$2730,'декабрь 2025'!$D$2:$D$2730,$B42,'декабрь 2025'!$J$2:$J$2730,G$1)</f>
        <v>0</v>
      </c>
      <c r="H42" s="182">
        <f>SUMIFS('декабрь 2025'!$G$2:$G$2730,'декабрь 2025'!$D$2:$D$2730,$B42,'декабрь 2025'!$J$2:$J$2730,H$1)</f>
        <v>80</v>
      </c>
      <c r="I42" s="182">
        <f>SUMIFS('декабрь 2025'!$G$2:$G$2730,'декабрь 2025'!$D$2:$D$2730,$B42,'декабрь 2025'!$J$2:$J$2730,I$1)</f>
        <v>0</v>
      </c>
      <c r="J42" s="182">
        <f>SUMIFS('декабрь 2025'!$G$2:$G$2730,'декабрь 2025'!$D$2:$D$2730,$B42,'декабрь 2025'!$J$2:$J$2730,J$1)</f>
        <v>0</v>
      </c>
      <c r="K42" s="182">
        <f>SUMIFS('декабрь 2025'!$G$2:$G$2730,'декабрь 2025'!$D$2:$D$2730,$B42,'декабрь 2025'!$J$2:$J$2730,K$1)</f>
        <v>720</v>
      </c>
      <c r="L42" s="182">
        <f>SUMIFS('декабрь 2025'!$G$2:$G$2730,'декабрь 2025'!$D$2:$D$2730,$B42,'декабрь 2025'!$J$2:$J$2730,L$1)</f>
        <v>0</v>
      </c>
      <c r="M42" s="182">
        <f>SUMIFS('декабрь 2025'!$G$2:$G$2730,'декабрь 2025'!$D$2:$D$2730,$B42,'декабрь 2025'!$J$2:$J$2730,M$1)</f>
        <v>0</v>
      </c>
      <c r="N42" s="182">
        <f>SUMIFS('декабрь 2025'!$G$2:$G$2730,'декабрь 2025'!$D$2:$D$2730,$B42,'декабрь 2025'!$J$2:$J$2730,N$1)</f>
        <v>0</v>
      </c>
      <c r="O42" s="182">
        <f>SUMIFS('декабрь 2025'!$G$2:$G$2730,'декабрь 2025'!$D$2:$D$2730,$B42,'декабрь 2025'!$J$2:$J$2730,O$1)</f>
        <v>0</v>
      </c>
      <c r="P42" s="182">
        <f>SUMIFS('декабрь 2025'!$G$2:$G$2730,'декабрь 2025'!$D$2:$D$2730,$B42,'декабрь 2025'!$J$2:$J$2730,P$1)</f>
        <v>0</v>
      </c>
      <c r="Q42" s="182">
        <f>SUMIFS('декабрь 2025'!$G$2:$G$2730,'декабрь 2025'!$D$2:$D$2730,$B42,'декабрь 2025'!$J$2:$J$2730,Q$1)</f>
        <v>0</v>
      </c>
      <c r="R42" s="182">
        <f>SUMIFS('декабрь 2025'!$G$2:$G$2730,'декабрь 2025'!$D$2:$D$2730,$B42,'декабрь 2025'!$J$2:$J$2730,R$1)</f>
        <v>0</v>
      </c>
      <c r="S42" s="182">
        <f>SUMIFS('декабрь 2025'!$G$2:$G$2730,'декабрь 2025'!$D$2:$D$2730,$B42,'декабрь 2025'!$J$2:$J$2730,S$1)</f>
        <v>880</v>
      </c>
      <c r="T42" s="182">
        <f>SUMIFS('декабрь 2025'!$G$2:$G$2730,'декабрь 2025'!$D$2:$D$2730,$B42,'декабрь 2025'!$J$2:$J$2730,T$1)</f>
        <v>0</v>
      </c>
      <c r="U42" s="182">
        <f>SUMIFS('декабрь 2025'!$G$2:$G$2730,'декабрь 2025'!$D$2:$D$2730,$B42,'декабрь 2025'!$J$2:$J$2730,U$1)</f>
        <v>0</v>
      </c>
      <c r="V42" s="182">
        <f>SUMIFS('декабрь 2025'!$G$2:$G$2730,'декабрь 2025'!$D$2:$D$2730,$B42,'декабрь 2025'!$J$2:$J$2730,V$1)</f>
        <v>0</v>
      </c>
      <c r="W42" s="182">
        <f>SUMIFS('декабрь 2025'!$G$2:$G$2730,'декабрь 2025'!$D$2:$D$2730,$B42,'декабрь 2025'!$J$2:$J$2730,W$1)</f>
        <v>0</v>
      </c>
      <c r="X42" s="182">
        <f>SUMIFS('декабрь 2025'!$G$2:$G$2730,'декабрь 2025'!$D$2:$D$2730,$B42,'декабрь 2025'!$J$2:$J$2730,X$1)</f>
        <v>0</v>
      </c>
      <c r="Y42" s="182">
        <f>SUMIFS('декабрь 2025'!$G$2:$G$2730,'декабрь 2025'!$D$2:$D$2730,$B42,'декабрь 2025'!$J$2:$J$2730,Y$1)</f>
        <v>0</v>
      </c>
      <c r="Z42" s="182">
        <f>SUMIFS('декабрь 2025'!$G$2:$G$2730,'декабрь 2025'!$D$2:$D$2730,$B42,'декабрь 2025'!$J$2:$J$2730,Z$1)</f>
        <v>0</v>
      </c>
      <c r="AA42" s="182">
        <f>SUMIFS('декабрь 2025'!$G$2:$G$2730,'декабрь 2025'!$D$2:$D$2730,$B42,'декабрь 2025'!$J$2:$J$2730,AA$1)</f>
        <v>0</v>
      </c>
      <c r="AB42" s="182">
        <f>SUMIFS('декабрь 2025'!$G$2:$G$2730,'декабрь 2025'!$D$2:$D$2730,$B42,'декабрь 2025'!$J$2:$J$2730,AB$1)</f>
        <v>0</v>
      </c>
      <c r="AC42" s="182">
        <f>SUMIFS('декабрь 2025'!$G$2:$G$2730,'декабрь 2025'!$D$2:$D$2730,$B42,'декабрь 2025'!$J$2:$J$2730,AC$1)</f>
        <v>0</v>
      </c>
      <c r="AD42" s="182">
        <f>SUMIFS('декабрь 2025'!$G$2:$G$2730,'декабрь 2025'!$D$2:$D$2730,$B42,'декабрь 2025'!$J$2:$J$2730,AD$1)</f>
        <v>0</v>
      </c>
      <c r="AE42" s="182">
        <f>SUMIFS('декабрь 2025'!$G$2:$G$2730,'декабрь 2025'!$D$2:$D$2730,$B42,'декабрь 2025'!$J$2:$J$2730,AE$1)</f>
        <v>0</v>
      </c>
      <c r="AF42" s="182">
        <f>SUMIFS('декабрь 2025'!$G$2:$G$2730,'декабрь 2025'!$D$2:$D$2730,$B42,'декабрь 2025'!$J$2:$J$2730,AF$1)</f>
        <v>0</v>
      </c>
      <c r="AG42" s="182">
        <f>SUMIFS('декабрь 2025'!$G$2:$G$2730,'декабрь 2025'!$D$2:$D$2730,$B42,'декабрь 2025'!$J$2:$J$2730,AG$1)</f>
        <v>0</v>
      </c>
      <c r="AH42" s="182">
        <f>SUMIFS('декабрь 2025'!$G$2:$G$2730,'декабрь 2025'!$D$2:$D$2730,$B42,'декабрь 2025'!$J$2:$J$2730,AH$1)</f>
        <v>0</v>
      </c>
      <c r="AI42" s="20">
        <f t="shared" si="1"/>
        <v>2480</v>
      </c>
    </row>
    <row r="43" spans="2:35" ht="15" customHeight="1" x14ac:dyDescent="0.25">
      <c r="B43" s="131" t="s">
        <v>225</v>
      </c>
      <c r="C43" s="134">
        <v>25</v>
      </c>
      <c r="D43" s="182">
        <f>SUMIFS('декабрь 2025'!$G$2:$G$2730,'декабрь 2025'!$D$2:$D$2730,$B43,'декабрь 2025'!$J$2:$J$2730,D$1)</f>
        <v>0</v>
      </c>
      <c r="E43" s="182">
        <f>SUMIFS('декабрь 2025'!$G$2:$G$2730,'декабрь 2025'!$D$2:$D$2730,$B43,'декабрь 2025'!$J$2:$J$2730,E$1)</f>
        <v>0</v>
      </c>
      <c r="F43" s="182">
        <f>SUMIFS('декабрь 2025'!$G$2:$G$2730,'декабрь 2025'!$D$2:$D$2730,$B43,'декабрь 2025'!$J$2:$J$2730,F$1)</f>
        <v>0</v>
      </c>
      <c r="G43" s="182">
        <f>SUMIFS('декабрь 2025'!$G$2:$G$2730,'декабрь 2025'!$D$2:$D$2730,$B43,'декабрь 2025'!$J$2:$J$2730,G$1)</f>
        <v>0</v>
      </c>
      <c r="H43" s="182">
        <f>SUMIFS('декабрь 2025'!$G$2:$G$2730,'декабрь 2025'!$D$2:$D$2730,$B43,'декабрь 2025'!$J$2:$J$2730,H$1)</f>
        <v>0</v>
      </c>
      <c r="I43" s="182">
        <f>SUMIFS('декабрь 2025'!$G$2:$G$2730,'декабрь 2025'!$D$2:$D$2730,$B43,'декабрь 2025'!$J$2:$J$2730,I$1)</f>
        <v>0</v>
      </c>
      <c r="J43" s="182">
        <f>SUMIFS('декабрь 2025'!$G$2:$G$2730,'декабрь 2025'!$D$2:$D$2730,$B43,'декабрь 2025'!$J$2:$J$2730,J$1)</f>
        <v>0</v>
      </c>
      <c r="K43" s="182">
        <f>SUMIFS('декабрь 2025'!$G$2:$G$2730,'декабрь 2025'!$D$2:$D$2730,$B43,'декабрь 2025'!$J$2:$J$2730,K$1)</f>
        <v>0</v>
      </c>
      <c r="L43" s="182">
        <f>SUMIFS('декабрь 2025'!$G$2:$G$2730,'декабрь 2025'!$D$2:$D$2730,$B43,'декабрь 2025'!$J$2:$J$2730,L$1)</f>
        <v>0</v>
      </c>
      <c r="M43" s="182">
        <f>SUMIFS('декабрь 2025'!$G$2:$G$2730,'декабрь 2025'!$D$2:$D$2730,$B43,'декабрь 2025'!$J$2:$J$2730,M$1)</f>
        <v>0</v>
      </c>
      <c r="N43" s="182">
        <f>SUMIFS('декабрь 2025'!$G$2:$G$2730,'декабрь 2025'!$D$2:$D$2730,$B43,'декабрь 2025'!$J$2:$J$2730,N$1)</f>
        <v>0</v>
      </c>
      <c r="O43" s="182">
        <f>SUMIFS('декабрь 2025'!$G$2:$G$2730,'декабрь 2025'!$D$2:$D$2730,$B43,'декабрь 2025'!$J$2:$J$2730,O$1)</f>
        <v>0</v>
      </c>
      <c r="P43" s="182">
        <f>SUMIFS('декабрь 2025'!$G$2:$G$2730,'декабрь 2025'!$D$2:$D$2730,$B43,'декабрь 2025'!$J$2:$J$2730,P$1)</f>
        <v>0</v>
      </c>
      <c r="Q43" s="182">
        <f>SUMIFS('декабрь 2025'!$G$2:$G$2730,'декабрь 2025'!$D$2:$D$2730,$B43,'декабрь 2025'!$J$2:$J$2730,Q$1)</f>
        <v>0</v>
      </c>
      <c r="R43" s="182">
        <f>SUMIFS('декабрь 2025'!$G$2:$G$2730,'декабрь 2025'!$D$2:$D$2730,$B43,'декабрь 2025'!$J$2:$J$2730,R$1)</f>
        <v>0</v>
      </c>
      <c r="S43" s="182">
        <f>SUMIFS('декабрь 2025'!$G$2:$G$2730,'декабрь 2025'!$D$2:$D$2730,$B43,'декабрь 2025'!$J$2:$J$2730,S$1)</f>
        <v>0</v>
      </c>
      <c r="T43" s="182">
        <f>SUMIFS('декабрь 2025'!$G$2:$G$2730,'декабрь 2025'!$D$2:$D$2730,$B43,'декабрь 2025'!$J$2:$J$2730,T$1)</f>
        <v>0</v>
      </c>
      <c r="U43" s="182">
        <f>SUMIFS('декабрь 2025'!$G$2:$G$2730,'декабрь 2025'!$D$2:$D$2730,$B43,'декабрь 2025'!$J$2:$J$2730,U$1)</f>
        <v>0</v>
      </c>
      <c r="V43" s="182">
        <f>SUMIFS('декабрь 2025'!$G$2:$G$2730,'декабрь 2025'!$D$2:$D$2730,$B43,'декабрь 2025'!$J$2:$J$2730,V$1)</f>
        <v>0</v>
      </c>
      <c r="W43" s="182">
        <f>SUMIFS('декабрь 2025'!$G$2:$G$2730,'декабрь 2025'!$D$2:$D$2730,$B43,'декабрь 2025'!$J$2:$J$2730,W$1)</f>
        <v>0</v>
      </c>
      <c r="X43" s="182">
        <f>SUMIFS('декабрь 2025'!$G$2:$G$2730,'декабрь 2025'!$D$2:$D$2730,$B43,'декабрь 2025'!$J$2:$J$2730,X$1)</f>
        <v>0</v>
      </c>
      <c r="Y43" s="182">
        <f>SUMIFS('декабрь 2025'!$G$2:$G$2730,'декабрь 2025'!$D$2:$D$2730,$B43,'декабрь 2025'!$J$2:$J$2730,Y$1)</f>
        <v>0</v>
      </c>
      <c r="Z43" s="182">
        <f>SUMIFS('декабрь 2025'!$G$2:$G$2730,'декабрь 2025'!$D$2:$D$2730,$B43,'декабрь 2025'!$J$2:$J$2730,Z$1)</f>
        <v>0</v>
      </c>
      <c r="AA43" s="182">
        <f>SUMIFS('декабрь 2025'!$G$2:$G$2730,'декабрь 2025'!$D$2:$D$2730,$B43,'декабрь 2025'!$J$2:$J$2730,AA$1)</f>
        <v>0</v>
      </c>
      <c r="AB43" s="182">
        <f>SUMIFS('декабрь 2025'!$G$2:$G$2730,'декабрь 2025'!$D$2:$D$2730,$B43,'декабрь 2025'!$J$2:$J$2730,AB$1)</f>
        <v>0</v>
      </c>
      <c r="AC43" s="182">
        <f>SUMIFS('декабрь 2025'!$G$2:$G$2730,'декабрь 2025'!$D$2:$D$2730,$B43,'декабрь 2025'!$J$2:$J$2730,AC$1)</f>
        <v>0</v>
      </c>
      <c r="AD43" s="182">
        <f>SUMIFS('декабрь 2025'!$G$2:$G$2730,'декабрь 2025'!$D$2:$D$2730,$B43,'декабрь 2025'!$J$2:$J$2730,AD$1)</f>
        <v>0</v>
      </c>
      <c r="AE43" s="182">
        <f>SUMIFS('декабрь 2025'!$G$2:$G$2730,'декабрь 2025'!$D$2:$D$2730,$B43,'декабрь 2025'!$J$2:$J$2730,AE$1)</f>
        <v>0</v>
      </c>
      <c r="AF43" s="182">
        <f>SUMIFS('декабрь 2025'!$G$2:$G$2730,'декабрь 2025'!$D$2:$D$2730,$B43,'декабрь 2025'!$J$2:$J$2730,AF$1)</f>
        <v>0</v>
      </c>
      <c r="AG43" s="182">
        <f>SUMIFS('декабрь 2025'!$G$2:$G$2730,'декабрь 2025'!$D$2:$D$2730,$B43,'декабрь 2025'!$J$2:$J$2730,AG$1)</f>
        <v>0</v>
      </c>
      <c r="AH43" s="182">
        <f>SUMIFS('декабрь 2025'!$G$2:$G$2730,'декабрь 2025'!$D$2:$D$2730,$B43,'декабрь 2025'!$J$2:$J$2730,AH$1)</f>
        <v>0</v>
      </c>
      <c r="AI43" s="20">
        <f t="shared" si="1"/>
        <v>0</v>
      </c>
    </row>
    <row r="44" spans="2:35" ht="15" customHeight="1" x14ac:dyDescent="0.25">
      <c r="B44" s="131" t="s">
        <v>227</v>
      </c>
      <c r="C44" s="130">
        <v>22.68</v>
      </c>
      <c r="D44" s="182">
        <f>SUMIFS('декабрь 2025'!$G$2:$G$2730,'декабрь 2025'!$D$2:$D$2730,$B44,'декабрь 2025'!$J$2:$J$2730,D$1)</f>
        <v>0</v>
      </c>
      <c r="E44" s="182">
        <f>SUMIFS('декабрь 2025'!$G$2:$G$2730,'декабрь 2025'!$D$2:$D$2730,$B44,'декабрь 2025'!$J$2:$J$2730,E$1)</f>
        <v>0</v>
      </c>
      <c r="F44" s="182">
        <f>SUMIFS('декабрь 2025'!$G$2:$G$2730,'декабрь 2025'!$D$2:$D$2730,$B44,'декабрь 2025'!$J$2:$J$2730,F$1)</f>
        <v>0</v>
      </c>
      <c r="G44" s="182">
        <f>SUMIFS('декабрь 2025'!$G$2:$G$2730,'декабрь 2025'!$D$2:$D$2730,$B44,'декабрь 2025'!$J$2:$J$2730,G$1)</f>
        <v>0</v>
      </c>
      <c r="H44" s="182">
        <f>SUMIFS('декабрь 2025'!$G$2:$G$2730,'декабрь 2025'!$D$2:$D$2730,$B44,'декабрь 2025'!$J$2:$J$2730,H$1)</f>
        <v>0</v>
      </c>
      <c r="I44" s="182">
        <f>SUMIFS('декабрь 2025'!$G$2:$G$2730,'декабрь 2025'!$D$2:$D$2730,$B44,'декабрь 2025'!$J$2:$J$2730,I$1)</f>
        <v>0</v>
      </c>
      <c r="J44" s="182">
        <f>SUMIFS('декабрь 2025'!$G$2:$G$2730,'декабрь 2025'!$D$2:$D$2730,$B44,'декабрь 2025'!$J$2:$J$2730,J$1)</f>
        <v>0</v>
      </c>
      <c r="K44" s="182">
        <f>SUMIFS('декабрь 2025'!$G$2:$G$2730,'декабрь 2025'!$D$2:$D$2730,$B44,'декабрь 2025'!$J$2:$J$2730,K$1)</f>
        <v>0</v>
      </c>
      <c r="L44" s="182">
        <f>SUMIFS('декабрь 2025'!$G$2:$G$2730,'декабрь 2025'!$D$2:$D$2730,$B44,'декабрь 2025'!$J$2:$J$2730,L$1)</f>
        <v>0</v>
      </c>
      <c r="M44" s="182">
        <f>SUMIFS('декабрь 2025'!$G$2:$G$2730,'декабрь 2025'!$D$2:$D$2730,$B44,'декабрь 2025'!$J$2:$J$2730,M$1)</f>
        <v>0</v>
      </c>
      <c r="N44" s="182">
        <f>SUMIFS('декабрь 2025'!$G$2:$G$2730,'декабрь 2025'!$D$2:$D$2730,$B44,'декабрь 2025'!$J$2:$J$2730,N$1)</f>
        <v>0</v>
      </c>
      <c r="O44" s="182">
        <f>SUMIFS('декабрь 2025'!$G$2:$G$2730,'декабрь 2025'!$D$2:$D$2730,$B44,'декабрь 2025'!$J$2:$J$2730,O$1)</f>
        <v>0</v>
      </c>
      <c r="P44" s="182">
        <f>SUMIFS('декабрь 2025'!$G$2:$G$2730,'декабрь 2025'!$D$2:$D$2730,$B44,'декабрь 2025'!$J$2:$J$2730,P$1)</f>
        <v>0</v>
      </c>
      <c r="Q44" s="182">
        <f>SUMIFS('декабрь 2025'!$G$2:$G$2730,'декабрь 2025'!$D$2:$D$2730,$B44,'декабрь 2025'!$J$2:$J$2730,Q$1)</f>
        <v>0</v>
      </c>
      <c r="R44" s="182">
        <f>SUMIFS('декабрь 2025'!$G$2:$G$2730,'декабрь 2025'!$D$2:$D$2730,$B44,'декабрь 2025'!$J$2:$J$2730,R$1)</f>
        <v>0</v>
      </c>
      <c r="S44" s="182">
        <f>SUMIFS('декабрь 2025'!$G$2:$G$2730,'декабрь 2025'!$D$2:$D$2730,$B44,'декабрь 2025'!$J$2:$J$2730,S$1)</f>
        <v>0</v>
      </c>
      <c r="T44" s="182">
        <f>SUMIFS('декабрь 2025'!$G$2:$G$2730,'декабрь 2025'!$D$2:$D$2730,$B44,'декабрь 2025'!$J$2:$J$2730,T$1)</f>
        <v>0</v>
      </c>
      <c r="U44" s="182">
        <f>SUMIFS('декабрь 2025'!$G$2:$G$2730,'декабрь 2025'!$D$2:$D$2730,$B44,'декабрь 2025'!$J$2:$J$2730,U$1)</f>
        <v>0</v>
      </c>
      <c r="V44" s="182">
        <f>SUMIFS('декабрь 2025'!$G$2:$G$2730,'декабрь 2025'!$D$2:$D$2730,$B44,'декабрь 2025'!$J$2:$J$2730,V$1)</f>
        <v>0</v>
      </c>
      <c r="W44" s="182">
        <f>SUMIFS('декабрь 2025'!$G$2:$G$2730,'декабрь 2025'!$D$2:$D$2730,$B44,'декабрь 2025'!$J$2:$J$2730,W$1)</f>
        <v>0</v>
      </c>
      <c r="X44" s="182">
        <f>SUMIFS('декабрь 2025'!$G$2:$G$2730,'декабрь 2025'!$D$2:$D$2730,$B44,'декабрь 2025'!$J$2:$J$2730,X$1)</f>
        <v>0</v>
      </c>
      <c r="Y44" s="182">
        <f>SUMIFS('декабрь 2025'!$G$2:$G$2730,'декабрь 2025'!$D$2:$D$2730,$B44,'декабрь 2025'!$J$2:$J$2730,Y$1)</f>
        <v>0</v>
      </c>
      <c r="Z44" s="182">
        <f>SUMIFS('декабрь 2025'!$G$2:$G$2730,'декабрь 2025'!$D$2:$D$2730,$B44,'декабрь 2025'!$J$2:$J$2730,Z$1)</f>
        <v>0</v>
      </c>
      <c r="AA44" s="182">
        <f>SUMIFS('декабрь 2025'!$G$2:$G$2730,'декабрь 2025'!$D$2:$D$2730,$B44,'декабрь 2025'!$J$2:$J$2730,AA$1)</f>
        <v>0</v>
      </c>
      <c r="AB44" s="182">
        <f>SUMIFS('декабрь 2025'!$G$2:$G$2730,'декабрь 2025'!$D$2:$D$2730,$B44,'декабрь 2025'!$J$2:$J$2730,AB$1)</f>
        <v>0</v>
      </c>
      <c r="AC44" s="182">
        <f>SUMIFS('декабрь 2025'!$G$2:$G$2730,'декабрь 2025'!$D$2:$D$2730,$B44,'декабрь 2025'!$J$2:$J$2730,AC$1)</f>
        <v>0</v>
      </c>
      <c r="AD44" s="182">
        <f>SUMIFS('декабрь 2025'!$G$2:$G$2730,'декабрь 2025'!$D$2:$D$2730,$B44,'декабрь 2025'!$J$2:$J$2730,AD$1)</f>
        <v>0</v>
      </c>
      <c r="AE44" s="182">
        <f>SUMIFS('декабрь 2025'!$G$2:$G$2730,'декабрь 2025'!$D$2:$D$2730,$B44,'декабрь 2025'!$J$2:$J$2730,AE$1)</f>
        <v>0</v>
      </c>
      <c r="AF44" s="182">
        <f>SUMIFS('декабрь 2025'!$G$2:$G$2730,'декабрь 2025'!$D$2:$D$2730,$B44,'декабрь 2025'!$J$2:$J$2730,AF$1)</f>
        <v>0</v>
      </c>
      <c r="AG44" s="182">
        <f>SUMIFS('декабрь 2025'!$G$2:$G$2730,'декабрь 2025'!$D$2:$D$2730,$B44,'декабрь 2025'!$J$2:$J$2730,AG$1)</f>
        <v>0</v>
      </c>
      <c r="AH44" s="182">
        <f>SUMIFS('декабрь 2025'!$G$2:$G$2730,'декабрь 2025'!$D$2:$D$2730,$B44,'декабрь 2025'!$J$2:$J$2730,AH$1)</f>
        <v>0</v>
      </c>
      <c r="AI44" s="20">
        <f t="shared" si="1"/>
        <v>0</v>
      </c>
    </row>
    <row r="45" spans="2:35" ht="15" customHeight="1" x14ac:dyDescent="0.25">
      <c r="B45" s="135" t="s">
        <v>229</v>
      </c>
      <c r="C45" s="132">
        <v>25</v>
      </c>
      <c r="D45" s="182">
        <f>SUMIFS('декабрь 2025'!$G$2:$G$2730,'декабрь 2025'!$D$2:$D$2730,$B45,'декабрь 2025'!$J$2:$J$2730,D$1)</f>
        <v>0</v>
      </c>
      <c r="E45" s="182">
        <f>SUMIFS('декабрь 2025'!$G$2:$G$2730,'декабрь 2025'!$D$2:$D$2730,$B45,'декабрь 2025'!$J$2:$J$2730,E$1)</f>
        <v>0</v>
      </c>
      <c r="F45" s="182">
        <f>SUMIFS('декабрь 2025'!$G$2:$G$2730,'декабрь 2025'!$D$2:$D$2730,$B45,'декабрь 2025'!$J$2:$J$2730,F$1)</f>
        <v>0</v>
      </c>
      <c r="G45" s="182">
        <f>SUMIFS('декабрь 2025'!$G$2:$G$2730,'декабрь 2025'!$D$2:$D$2730,$B45,'декабрь 2025'!$J$2:$J$2730,G$1)</f>
        <v>0</v>
      </c>
      <c r="H45" s="182">
        <f>SUMIFS('декабрь 2025'!$G$2:$G$2730,'декабрь 2025'!$D$2:$D$2730,$B45,'декабрь 2025'!$J$2:$J$2730,H$1)</f>
        <v>0</v>
      </c>
      <c r="I45" s="182">
        <f>SUMIFS('декабрь 2025'!$G$2:$G$2730,'декабрь 2025'!$D$2:$D$2730,$B45,'декабрь 2025'!$J$2:$J$2730,I$1)</f>
        <v>0</v>
      </c>
      <c r="J45" s="182">
        <f>SUMIFS('декабрь 2025'!$G$2:$G$2730,'декабрь 2025'!$D$2:$D$2730,$B45,'декабрь 2025'!$J$2:$J$2730,J$1)</f>
        <v>0</v>
      </c>
      <c r="K45" s="182">
        <f>SUMIFS('декабрь 2025'!$G$2:$G$2730,'декабрь 2025'!$D$2:$D$2730,$B45,'декабрь 2025'!$J$2:$J$2730,K$1)</f>
        <v>0</v>
      </c>
      <c r="L45" s="182">
        <f>SUMIFS('декабрь 2025'!$G$2:$G$2730,'декабрь 2025'!$D$2:$D$2730,$B45,'декабрь 2025'!$J$2:$J$2730,L$1)</f>
        <v>0</v>
      </c>
      <c r="M45" s="182">
        <f>SUMIFS('декабрь 2025'!$G$2:$G$2730,'декабрь 2025'!$D$2:$D$2730,$B45,'декабрь 2025'!$J$2:$J$2730,M$1)</f>
        <v>0</v>
      </c>
      <c r="N45" s="182">
        <f>SUMIFS('декабрь 2025'!$G$2:$G$2730,'декабрь 2025'!$D$2:$D$2730,$B45,'декабрь 2025'!$J$2:$J$2730,N$1)</f>
        <v>0</v>
      </c>
      <c r="O45" s="182">
        <f>SUMIFS('декабрь 2025'!$G$2:$G$2730,'декабрь 2025'!$D$2:$D$2730,$B45,'декабрь 2025'!$J$2:$J$2730,O$1)</f>
        <v>0</v>
      </c>
      <c r="P45" s="182">
        <f>SUMIFS('декабрь 2025'!$G$2:$G$2730,'декабрь 2025'!$D$2:$D$2730,$B45,'декабрь 2025'!$J$2:$J$2730,P$1)</f>
        <v>0</v>
      </c>
      <c r="Q45" s="182">
        <f>SUMIFS('декабрь 2025'!$G$2:$G$2730,'декабрь 2025'!$D$2:$D$2730,$B45,'декабрь 2025'!$J$2:$J$2730,Q$1)</f>
        <v>0</v>
      </c>
      <c r="R45" s="182">
        <f>SUMIFS('декабрь 2025'!$G$2:$G$2730,'декабрь 2025'!$D$2:$D$2730,$B45,'декабрь 2025'!$J$2:$J$2730,R$1)</f>
        <v>0</v>
      </c>
      <c r="S45" s="182">
        <f>SUMIFS('декабрь 2025'!$G$2:$G$2730,'декабрь 2025'!$D$2:$D$2730,$B45,'декабрь 2025'!$J$2:$J$2730,S$1)</f>
        <v>0</v>
      </c>
      <c r="T45" s="182">
        <f>SUMIFS('декабрь 2025'!$G$2:$G$2730,'декабрь 2025'!$D$2:$D$2730,$B45,'декабрь 2025'!$J$2:$J$2730,T$1)</f>
        <v>0</v>
      </c>
      <c r="U45" s="182">
        <f>SUMIFS('декабрь 2025'!$G$2:$G$2730,'декабрь 2025'!$D$2:$D$2730,$B45,'декабрь 2025'!$J$2:$J$2730,U$1)</f>
        <v>0</v>
      </c>
      <c r="V45" s="182">
        <f>SUMIFS('декабрь 2025'!$G$2:$G$2730,'декабрь 2025'!$D$2:$D$2730,$B45,'декабрь 2025'!$J$2:$J$2730,V$1)</f>
        <v>0</v>
      </c>
      <c r="W45" s="182">
        <f>SUMIFS('декабрь 2025'!$G$2:$G$2730,'декабрь 2025'!$D$2:$D$2730,$B45,'декабрь 2025'!$J$2:$J$2730,W$1)</f>
        <v>0</v>
      </c>
      <c r="X45" s="182">
        <f>SUMIFS('декабрь 2025'!$G$2:$G$2730,'декабрь 2025'!$D$2:$D$2730,$B45,'декабрь 2025'!$J$2:$J$2730,X$1)</f>
        <v>0</v>
      </c>
      <c r="Y45" s="182">
        <f>SUMIFS('декабрь 2025'!$G$2:$G$2730,'декабрь 2025'!$D$2:$D$2730,$B45,'декабрь 2025'!$J$2:$J$2730,Y$1)</f>
        <v>0</v>
      </c>
      <c r="Z45" s="182">
        <f>SUMIFS('декабрь 2025'!$G$2:$G$2730,'декабрь 2025'!$D$2:$D$2730,$B45,'декабрь 2025'!$J$2:$J$2730,Z$1)</f>
        <v>0</v>
      </c>
      <c r="AA45" s="182">
        <f>SUMIFS('декабрь 2025'!$G$2:$G$2730,'декабрь 2025'!$D$2:$D$2730,$B45,'декабрь 2025'!$J$2:$J$2730,AA$1)</f>
        <v>0</v>
      </c>
      <c r="AB45" s="182">
        <f>SUMIFS('декабрь 2025'!$G$2:$G$2730,'декабрь 2025'!$D$2:$D$2730,$B45,'декабрь 2025'!$J$2:$J$2730,AB$1)</f>
        <v>0</v>
      </c>
      <c r="AC45" s="182">
        <f>SUMIFS('декабрь 2025'!$G$2:$G$2730,'декабрь 2025'!$D$2:$D$2730,$B45,'декабрь 2025'!$J$2:$J$2730,AC$1)</f>
        <v>0</v>
      </c>
      <c r="AD45" s="182">
        <f>SUMIFS('декабрь 2025'!$G$2:$G$2730,'декабрь 2025'!$D$2:$D$2730,$B45,'декабрь 2025'!$J$2:$J$2730,AD$1)</f>
        <v>0</v>
      </c>
      <c r="AE45" s="182">
        <f>SUMIFS('декабрь 2025'!$G$2:$G$2730,'декабрь 2025'!$D$2:$D$2730,$B45,'декабрь 2025'!$J$2:$J$2730,AE$1)</f>
        <v>0</v>
      </c>
      <c r="AF45" s="182">
        <f>SUMIFS('декабрь 2025'!$G$2:$G$2730,'декабрь 2025'!$D$2:$D$2730,$B45,'декабрь 2025'!$J$2:$J$2730,AF$1)</f>
        <v>0</v>
      </c>
      <c r="AG45" s="182">
        <f>SUMIFS('декабрь 2025'!$G$2:$G$2730,'декабрь 2025'!$D$2:$D$2730,$B45,'декабрь 2025'!$J$2:$J$2730,AG$1)</f>
        <v>0</v>
      </c>
      <c r="AH45" s="182">
        <f>SUMIFS('декабрь 2025'!$G$2:$G$2730,'декабрь 2025'!$D$2:$D$2730,$B45,'декабрь 2025'!$J$2:$J$2730,AH$1)</f>
        <v>0</v>
      </c>
      <c r="AI45" s="20">
        <f t="shared" si="1"/>
        <v>0</v>
      </c>
    </row>
    <row r="46" spans="2:35" ht="15" customHeight="1" x14ac:dyDescent="0.25">
      <c r="B46" s="131" t="s">
        <v>230</v>
      </c>
      <c r="C46" s="134">
        <v>25</v>
      </c>
      <c r="D46" s="182">
        <f>SUMIFS('декабрь 2025'!$G$2:$G$2730,'декабрь 2025'!$D$2:$D$2730,$B46,'декабрь 2025'!$J$2:$J$2730,D$1)</f>
        <v>0</v>
      </c>
      <c r="E46" s="182">
        <f>SUMIFS('декабрь 2025'!$G$2:$G$2730,'декабрь 2025'!$D$2:$D$2730,$B46,'декабрь 2025'!$J$2:$J$2730,E$1)</f>
        <v>0</v>
      </c>
      <c r="F46" s="182">
        <f>SUMIFS('декабрь 2025'!$G$2:$G$2730,'декабрь 2025'!$D$2:$D$2730,$B46,'декабрь 2025'!$J$2:$J$2730,F$1)</f>
        <v>0</v>
      </c>
      <c r="G46" s="182">
        <f>SUMIFS('декабрь 2025'!$G$2:$G$2730,'декабрь 2025'!$D$2:$D$2730,$B46,'декабрь 2025'!$J$2:$J$2730,G$1)</f>
        <v>0</v>
      </c>
      <c r="H46" s="182">
        <f>SUMIFS('декабрь 2025'!$G$2:$G$2730,'декабрь 2025'!$D$2:$D$2730,$B46,'декабрь 2025'!$J$2:$J$2730,H$1)</f>
        <v>0</v>
      </c>
      <c r="I46" s="182">
        <f>SUMIFS('декабрь 2025'!$G$2:$G$2730,'декабрь 2025'!$D$2:$D$2730,$B46,'декабрь 2025'!$J$2:$J$2730,I$1)</f>
        <v>0</v>
      </c>
      <c r="J46" s="182">
        <f>SUMIFS('декабрь 2025'!$G$2:$G$2730,'декабрь 2025'!$D$2:$D$2730,$B46,'декабрь 2025'!$J$2:$J$2730,J$1)</f>
        <v>0</v>
      </c>
      <c r="K46" s="182">
        <f>SUMIFS('декабрь 2025'!$G$2:$G$2730,'декабрь 2025'!$D$2:$D$2730,$B46,'декабрь 2025'!$J$2:$J$2730,K$1)</f>
        <v>0</v>
      </c>
      <c r="L46" s="182">
        <f>SUMIFS('декабрь 2025'!$G$2:$G$2730,'декабрь 2025'!$D$2:$D$2730,$B46,'декабрь 2025'!$J$2:$J$2730,L$1)</f>
        <v>80</v>
      </c>
      <c r="M46" s="182">
        <f>SUMIFS('декабрь 2025'!$G$2:$G$2730,'декабрь 2025'!$D$2:$D$2730,$B46,'декабрь 2025'!$J$2:$J$2730,M$1)</f>
        <v>0</v>
      </c>
      <c r="N46" s="182">
        <f>SUMIFS('декабрь 2025'!$G$2:$G$2730,'декабрь 2025'!$D$2:$D$2730,$B46,'декабрь 2025'!$J$2:$J$2730,N$1)</f>
        <v>0</v>
      </c>
      <c r="O46" s="182">
        <f>SUMIFS('декабрь 2025'!$G$2:$G$2730,'декабрь 2025'!$D$2:$D$2730,$B46,'декабрь 2025'!$J$2:$J$2730,O$1)</f>
        <v>0</v>
      </c>
      <c r="P46" s="182">
        <f>SUMIFS('декабрь 2025'!$G$2:$G$2730,'декабрь 2025'!$D$2:$D$2730,$B46,'декабрь 2025'!$J$2:$J$2730,P$1)</f>
        <v>0</v>
      </c>
      <c r="Q46" s="182">
        <f>SUMIFS('декабрь 2025'!$G$2:$G$2730,'декабрь 2025'!$D$2:$D$2730,$B46,'декабрь 2025'!$J$2:$J$2730,Q$1)</f>
        <v>0</v>
      </c>
      <c r="R46" s="182">
        <f>SUMIFS('декабрь 2025'!$G$2:$G$2730,'декабрь 2025'!$D$2:$D$2730,$B46,'декабрь 2025'!$J$2:$J$2730,R$1)</f>
        <v>0</v>
      </c>
      <c r="S46" s="182">
        <f>SUMIFS('декабрь 2025'!$G$2:$G$2730,'декабрь 2025'!$D$2:$D$2730,$B46,'декабрь 2025'!$J$2:$J$2730,S$1)</f>
        <v>0</v>
      </c>
      <c r="T46" s="182">
        <f>SUMIFS('декабрь 2025'!$G$2:$G$2730,'декабрь 2025'!$D$2:$D$2730,$B46,'декабрь 2025'!$J$2:$J$2730,T$1)</f>
        <v>0</v>
      </c>
      <c r="U46" s="182">
        <f>SUMIFS('декабрь 2025'!$G$2:$G$2730,'декабрь 2025'!$D$2:$D$2730,$B46,'декабрь 2025'!$J$2:$J$2730,U$1)</f>
        <v>0</v>
      </c>
      <c r="V46" s="182">
        <f>SUMIFS('декабрь 2025'!$G$2:$G$2730,'декабрь 2025'!$D$2:$D$2730,$B46,'декабрь 2025'!$J$2:$J$2730,V$1)</f>
        <v>40</v>
      </c>
      <c r="W46" s="182">
        <f>SUMIFS('декабрь 2025'!$G$2:$G$2730,'декабрь 2025'!$D$2:$D$2730,$B46,'декабрь 2025'!$J$2:$J$2730,W$1)</f>
        <v>0</v>
      </c>
      <c r="X46" s="182">
        <f>SUMIFS('декабрь 2025'!$G$2:$G$2730,'декабрь 2025'!$D$2:$D$2730,$B46,'декабрь 2025'!$J$2:$J$2730,X$1)</f>
        <v>0</v>
      </c>
      <c r="Y46" s="182">
        <f>SUMIFS('декабрь 2025'!$G$2:$G$2730,'декабрь 2025'!$D$2:$D$2730,$B46,'декабрь 2025'!$J$2:$J$2730,Y$1)</f>
        <v>0</v>
      </c>
      <c r="Z46" s="182">
        <f>SUMIFS('декабрь 2025'!$G$2:$G$2730,'декабрь 2025'!$D$2:$D$2730,$B46,'декабрь 2025'!$J$2:$J$2730,Z$1)</f>
        <v>0</v>
      </c>
      <c r="AA46" s="182">
        <f>SUMIFS('декабрь 2025'!$G$2:$G$2730,'декабрь 2025'!$D$2:$D$2730,$B46,'декабрь 2025'!$J$2:$J$2730,AA$1)</f>
        <v>0</v>
      </c>
      <c r="AB46" s="182">
        <f>SUMIFS('декабрь 2025'!$G$2:$G$2730,'декабрь 2025'!$D$2:$D$2730,$B46,'декабрь 2025'!$J$2:$J$2730,AB$1)</f>
        <v>0</v>
      </c>
      <c r="AC46" s="182">
        <f>SUMIFS('декабрь 2025'!$G$2:$G$2730,'декабрь 2025'!$D$2:$D$2730,$B46,'декабрь 2025'!$J$2:$J$2730,AC$1)</f>
        <v>0</v>
      </c>
      <c r="AD46" s="182">
        <f>SUMIFS('декабрь 2025'!$G$2:$G$2730,'декабрь 2025'!$D$2:$D$2730,$B46,'декабрь 2025'!$J$2:$J$2730,AD$1)</f>
        <v>0</v>
      </c>
      <c r="AE46" s="182">
        <f>SUMIFS('декабрь 2025'!$G$2:$G$2730,'декабрь 2025'!$D$2:$D$2730,$B46,'декабрь 2025'!$J$2:$J$2730,AE$1)</f>
        <v>0</v>
      </c>
      <c r="AF46" s="182">
        <f>SUMIFS('декабрь 2025'!$G$2:$G$2730,'декабрь 2025'!$D$2:$D$2730,$B46,'декабрь 2025'!$J$2:$J$2730,AF$1)</f>
        <v>0</v>
      </c>
      <c r="AG46" s="182">
        <f>SUMIFS('декабрь 2025'!$G$2:$G$2730,'декабрь 2025'!$D$2:$D$2730,$B46,'декабрь 2025'!$J$2:$J$2730,AG$1)</f>
        <v>0</v>
      </c>
      <c r="AH46" s="182">
        <f>SUMIFS('декабрь 2025'!$G$2:$G$2730,'декабрь 2025'!$D$2:$D$2730,$B46,'декабрь 2025'!$J$2:$J$2730,AH$1)</f>
        <v>0</v>
      </c>
      <c r="AI46" s="20">
        <f t="shared" si="1"/>
        <v>120</v>
      </c>
    </row>
    <row r="47" spans="2:35" ht="15" customHeight="1" x14ac:dyDescent="0.25">
      <c r="B47" s="135" t="s">
        <v>288</v>
      </c>
      <c r="C47" s="137">
        <v>25</v>
      </c>
      <c r="D47" s="182">
        <f>SUMIFS('декабрь 2025'!$G$2:$G$2730,'декабрь 2025'!$D$2:$D$2730,$B47,'декабрь 2025'!$J$2:$J$2730,D$1)</f>
        <v>0</v>
      </c>
      <c r="E47" s="182">
        <f>SUMIFS('декабрь 2025'!$G$2:$G$2730,'декабрь 2025'!$D$2:$D$2730,$B47,'декабрь 2025'!$J$2:$J$2730,E$1)</f>
        <v>0</v>
      </c>
      <c r="F47" s="182">
        <f>SUMIFS('декабрь 2025'!$G$2:$G$2730,'декабрь 2025'!$D$2:$D$2730,$B47,'декабрь 2025'!$J$2:$J$2730,F$1)</f>
        <v>0</v>
      </c>
      <c r="G47" s="182">
        <f>SUMIFS('декабрь 2025'!$G$2:$G$2730,'декабрь 2025'!$D$2:$D$2730,$B47,'декабрь 2025'!$J$2:$J$2730,G$1)</f>
        <v>0</v>
      </c>
      <c r="H47" s="182">
        <f>SUMIFS('декабрь 2025'!$G$2:$G$2730,'декабрь 2025'!$D$2:$D$2730,$B47,'декабрь 2025'!$J$2:$J$2730,H$1)</f>
        <v>0</v>
      </c>
      <c r="I47" s="182">
        <f>SUMIFS('декабрь 2025'!$G$2:$G$2730,'декабрь 2025'!$D$2:$D$2730,$B47,'декабрь 2025'!$J$2:$J$2730,I$1)</f>
        <v>0</v>
      </c>
      <c r="J47" s="182">
        <f>SUMIFS('декабрь 2025'!$G$2:$G$2730,'декабрь 2025'!$D$2:$D$2730,$B47,'декабрь 2025'!$J$2:$J$2730,J$1)</f>
        <v>0</v>
      </c>
      <c r="K47" s="182">
        <f>SUMIFS('декабрь 2025'!$G$2:$G$2730,'декабрь 2025'!$D$2:$D$2730,$B47,'декабрь 2025'!$J$2:$J$2730,K$1)</f>
        <v>0</v>
      </c>
      <c r="L47" s="182">
        <f>SUMIFS('декабрь 2025'!$G$2:$G$2730,'декабрь 2025'!$D$2:$D$2730,$B47,'декабрь 2025'!$J$2:$J$2730,L$1)</f>
        <v>0</v>
      </c>
      <c r="M47" s="182">
        <f>SUMIFS('декабрь 2025'!$G$2:$G$2730,'декабрь 2025'!$D$2:$D$2730,$B47,'декабрь 2025'!$J$2:$J$2730,M$1)</f>
        <v>0</v>
      </c>
      <c r="N47" s="182">
        <f>SUMIFS('декабрь 2025'!$G$2:$G$2730,'декабрь 2025'!$D$2:$D$2730,$B47,'декабрь 2025'!$J$2:$J$2730,N$1)</f>
        <v>0</v>
      </c>
      <c r="O47" s="182">
        <f>SUMIFS('декабрь 2025'!$G$2:$G$2730,'декабрь 2025'!$D$2:$D$2730,$B47,'декабрь 2025'!$J$2:$J$2730,O$1)</f>
        <v>0</v>
      </c>
      <c r="P47" s="182">
        <f>SUMIFS('декабрь 2025'!$G$2:$G$2730,'декабрь 2025'!$D$2:$D$2730,$B47,'декабрь 2025'!$J$2:$J$2730,P$1)</f>
        <v>0</v>
      </c>
      <c r="Q47" s="182">
        <f>SUMIFS('декабрь 2025'!$G$2:$G$2730,'декабрь 2025'!$D$2:$D$2730,$B47,'декабрь 2025'!$J$2:$J$2730,Q$1)</f>
        <v>0</v>
      </c>
      <c r="R47" s="182">
        <f>SUMIFS('декабрь 2025'!$G$2:$G$2730,'декабрь 2025'!$D$2:$D$2730,$B47,'декабрь 2025'!$J$2:$J$2730,R$1)</f>
        <v>0</v>
      </c>
      <c r="S47" s="182">
        <f>SUMIFS('декабрь 2025'!$G$2:$G$2730,'декабрь 2025'!$D$2:$D$2730,$B47,'декабрь 2025'!$J$2:$J$2730,S$1)</f>
        <v>0</v>
      </c>
      <c r="T47" s="182">
        <f>SUMIFS('декабрь 2025'!$G$2:$G$2730,'декабрь 2025'!$D$2:$D$2730,$B47,'декабрь 2025'!$J$2:$J$2730,T$1)</f>
        <v>0</v>
      </c>
      <c r="U47" s="182">
        <f>SUMIFS('декабрь 2025'!$G$2:$G$2730,'декабрь 2025'!$D$2:$D$2730,$B47,'декабрь 2025'!$J$2:$J$2730,U$1)</f>
        <v>0</v>
      </c>
      <c r="V47" s="182">
        <f>SUMIFS('декабрь 2025'!$G$2:$G$2730,'декабрь 2025'!$D$2:$D$2730,$B47,'декабрь 2025'!$J$2:$J$2730,V$1)</f>
        <v>0</v>
      </c>
      <c r="W47" s="182">
        <f>SUMIFS('декабрь 2025'!$G$2:$G$2730,'декабрь 2025'!$D$2:$D$2730,$B47,'декабрь 2025'!$J$2:$J$2730,W$1)</f>
        <v>0</v>
      </c>
      <c r="X47" s="182">
        <f>SUMIFS('декабрь 2025'!$G$2:$G$2730,'декабрь 2025'!$D$2:$D$2730,$B47,'декабрь 2025'!$J$2:$J$2730,X$1)</f>
        <v>0</v>
      </c>
      <c r="Y47" s="182">
        <f>SUMIFS('декабрь 2025'!$G$2:$G$2730,'декабрь 2025'!$D$2:$D$2730,$B47,'декабрь 2025'!$J$2:$J$2730,Y$1)</f>
        <v>0</v>
      </c>
      <c r="Z47" s="182">
        <f>SUMIFS('декабрь 2025'!$G$2:$G$2730,'декабрь 2025'!$D$2:$D$2730,$B47,'декабрь 2025'!$J$2:$J$2730,Z$1)</f>
        <v>0</v>
      </c>
      <c r="AA47" s="182">
        <f>SUMIFS('декабрь 2025'!$G$2:$G$2730,'декабрь 2025'!$D$2:$D$2730,$B47,'декабрь 2025'!$J$2:$J$2730,AA$1)</f>
        <v>0</v>
      </c>
      <c r="AB47" s="182">
        <f>SUMIFS('декабрь 2025'!$G$2:$G$2730,'декабрь 2025'!$D$2:$D$2730,$B47,'декабрь 2025'!$J$2:$J$2730,AB$1)</f>
        <v>0</v>
      </c>
      <c r="AC47" s="182">
        <f>SUMIFS('декабрь 2025'!$G$2:$G$2730,'декабрь 2025'!$D$2:$D$2730,$B47,'декабрь 2025'!$J$2:$J$2730,AC$1)</f>
        <v>0</v>
      </c>
      <c r="AD47" s="182">
        <f>SUMIFS('декабрь 2025'!$G$2:$G$2730,'декабрь 2025'!$D$2:$D$2730,$B47,'декабрь 2025'!$J$2:$J$2730,AD$1)</f>
        <v>0</v>
      </c>
      <c r="AE47" s="182">
        <f>SUMIFS('декабрь 2025'!$G$2:$G$2730,'декабрь 2025'!$D$2:$D$2730,$B47,'декабрь 2025'!$J$2:$J$2730,AE$1)</f>
        <v>0</v>
      </c>
      <c r="AF47" s="182">
        <f>SUMIFS('декабрь 2025'!$G$2:$G$2730,'декабрь 2025'!$D$2:$D$2730,$B47,'декабрь 2025'!$J$2:$J$2730,AF$1)</f>
        <v>0</v>
      </c>
      <c r="AG47" s="182">
        <f>SUMIFS('декабрь 2025'!$G$2:$G$2730,'декабрь 2025'!$D$2:$D$2730,$B47,'декабрь 2025'!$J$2:$J$2730,AG$1)</f>
        <v>0</v>
      </c>
      <c r="AH47" s="182">
        <f>SUMIFS('декабрь 2025'!$G$2:$G$2730,'декабрь 2025'!$D$2:$D$2730,$B47,'декабрь 2025'!$J$2:$J$2730,AH$1)</f>
        <v>0</v>
      </c>
      <c r="AI47" s="20">
        <f t="shared" si="1"/>
        <v>0</v>
      </c>
    </row>
    <row r="48" spans="2:35" ht="15" customHeight="1" x14ac:dyDescent="0.25">
      <c r="B48" s="135" t="s">
        <v>2008</v>
      </c>
      <c r="C48" s="132">
        <v>25</v>
      </c>
      <c r="D48" s="182">
        <f>SUMIFS('декабрь 2025'!$G$2:$G$2730,'декабрь 2025'!$D$2:$D$2730,$B48,'декабрь 2025'!$J$2:$J$2730,D$1)</f>
        <v>0</v>
      </c>
      <c r="E48" s="182">
        <f>SUMIFS('декабрь 2025'!$G$2:$G$2730,'декабрь 2025'!$D$2:$D$2730,$B48,'декабрь 2025'!$J$2:$J$2730,E$1)</f>
        <v>0</v>
      </c>
      <c r="F48" s="182">
        <f>SUMIFS('декабрь 2025'!$G$2:$G$2730,'декабрь 2025'!$D$2:$D$2730,$B48,'декабрь 2025'!$J$2:$J$2730,F$1)</f>
        <v>0</v>
      </c>
      <c r="G48" s="182">
        <f>SUMIFS('декабрь 2025'!$G$2:$G$2730,'декабрь 2025'!$D$2:$D$2730,$B48,'декабрь 2025'!$J$2:$J$2730,G$1)</f>
        <v>0</v>
      </c>
      <c r="H48" s="182">
        <f>SUMIFS('декабрь 2025'!$G$2:$G$2730,'декабрь 2025'!$D$2:$D$2730,$B48,'декабрь 2025'!$J$2:$J$2730,H$1)</f>
        <v>0</v>
      </c>
      <c r="I48" s="182">
        <f>SUMIFS('декабрь 2025'!$G$2:$G$2730,'декабрь 2025'!$D$2:$D$2730,$B48,'декабрь 2025'!$J$2:$J$2730,I$1)</f>
        <v>0</v>
      </c>
      <c r="J48" s="182">
        <f>SUMIFS('декабрь 2025'!$G$2:$G$2730,'декабрь 2025'!$D$2:$D$2730,$B48,'декабрь 2025'!$J$2:$J$2730,J$1)</f>
        <v>0</v>
      </c>
      <c r="K48" s="182">
        <f>SUMIFS('декабрь 2025'!$G$2:$G$2730,'декабрь 2025'!$D$2:$D$2730,$B48,'декабрь 2025'!$J$2:$J$2730,K$1)</f>
        <v>0</v>
      </c>
      <c r="L48" s="182">
        <f>SUMIFS('декабрь 2025'!$G$2:$G$2730,'декабрь 2025'!$D$2:$D$2730,$B48,'декабрь 2025'!$J$2:$J$2730,L$1)</f>
        <v>0</v>
      </c>
      <c r="M48" s="182">
        <f>SUMIFS('декабрь 2025'!$G$2:$G$2730,'декабрь 2025'!$D$2:$D$2730,$B48,'декабрь 2025'!$J$2:$J$2730,M$1)</f>
        <v>0</v>
      </c>
      <c r="N48" s="182">
        <f>SUMIFS('декабрь 2025'!$G$2:$G$2730,'декабрь 2025'!$D$2:$D$2730,$B48,'декабрь 2025'!$J$2:$J$2730,N$1)</f>
        <v>0</v>
      </c>
      <c r="O48" s="182">
        <f>SUMIFS('декабрь 2025'!$G$2:$G$2730,'декабрь 2025'!$D$2:$D$2730,$B48,'декабрь 2025'!$J$2:$J$2730,O$1)</f>
        <v>0</v>
      </c>
      <c r="P48" s="182">
        <f>SUMIFS('декабрь 2025'!$G$2:$G$2730,'декабрь 2025'!$D$2:$D$2730,$B48,'декабрь 2025'!$J$2:$J$2730,P$1)</f>
        <v>0</v>
      </c>
      <c r="Q48" s="182">
        <f>SUMIFS('декабрь 2025'!$G$2:$G$2730,'декабрь 2025'!$D$2:$D$2730,$B48,'декабрь 2025'!$J$2:$J$2730,Q$1)</f>
        <v>0</v>
      </c>
      <c r="R48" s="182">
        <f>SUMIFS('декабрь 2025'!$G$2:$G$2730,'декабрь 2025'!$D$2:$D$2730,$B48,'декабрь 2025'!$J$2:$J$2730,R$1)</f>
        <v>0</v>
      </c>
      <c r="S48" s="182">
        <f>SUMIFS('декабрь 2025'!$G$2:$G$2730,'декабрь 2025'!$D$2:$D$2730,$B48,'декабрь 2025'!$J$2:$J$2730,S$1)</f>
        <v>0</v>
      </c>
      <c r="T48" s="182">
        <f>SUMIFS('декабрь 2025'!$G$2:$G$2730,'декабрь 2025'!$D$2:$D$2730,$B48,'декабрь 2025'!$J$2:$J$2730,T$1)</f>
        <v>700</v>
      </c>
      <c r="U48" s="182">
        <f>SUMIFS('декабрь 2025'!$G$2:$G$2730,'декабрь 2025'!$D$2:$D$2730,$B48,'декабрь 2025'!$J$2:$J$2730,U$1)</f>
        <v>0</v>
      </c>
      <c r="V48" s="182">
        <f>SUMIFS('декабрь 2025'!$G$2:$G$2730,'декабрь 2025'!$D$2:$D$2730,$B48,'декабрь 2025'!$J$2:$J$2730,V$1)</f>
        <v>0</v>
      </c>
      <c r="W48" s="182">
        <f>SUMIFS('декабрь 2025'!$G$2:$G$2730,'декабрь 2025'!$D$2:$D$2730,$B48,'декабрь 2025'!$J$2:$J$2730,W$1)</f>
        <v>0</v>
      </c>
      <c r="X48" s="182">
        <f>SUMIFS('декабрь 2025'!$G$2:$G$2730,'декабрь 2025'!$D$2:$D$2730,$B48,'декабрь 2025'!$J$2:$J$2730,X$1)</f>
        <v>0</v>
      </c>
      <c r="Y48" s="182">
        <f>SUMIFS('декабрь 2025'!$G$2:$G$2730,'декабрь 2025'!$D$2:$D$2730,$B48,'декабрь 2025'!$J$2:$J$2730,Y$1)</f>
        <v>0</v>
      </c>
      <c r="Z48" s="182">
        <f>SUMIFS('декабрь 2025'!$G$2:$G$2730,'декабрь 2025'!$D$2:$D$2730,$B48,'декабрь 2025'!$J$2:$J$2730,Z$1)</f>
        <v>0</v>
      </c>
      <c r="AA48" s="182">
        <f>SUMIFS('декабрь 2025'!$G$2:$G$2730,'декабрь 2025'!$D$2:$D$2730,$B48,'декабрь 2025'!$J$2:$J$2730,AA$1)</f>
        <v>0</v>
      </c>
      <c r="AB48" s="182">
        <f>SUMIFS('декабрь 2025'!$G$2:$G$2730,'декабрь 2025'!$D$2:$D$2730,$B48,'декабрь 2025'!$J$2:$J$2730,AB$1)</f>
        <v>0</v>
      </c>
      <c r="AC48" s="182">
        <f>SUMIFS('декабрь 2025'!$G$2:$G$2730,'декабрь 2025'!$D$2:$D$2730,$B48,'декабрь 2025'!$J$2:$J$2730,AC$1)</f>
        <v>0</v>
      </c>
      <c r="AD48" s="182">
        <f>SUMIFS('декабрь 2025'!$G$2:$G$2730,'декабрь 2025'!$D$2:$D$2730,$B48,'декабрь 2025'!$J$2:$J$2730,AD$1)</f>
        <v>0</v>
      </c>
      <c r="AE48" s="182">
        <f>SUMIFS('декабрь 2025'!$G$2:$G$2730,'декабрь 2025'!$D$2:$D$2730,$B48,'декабрь 2025'!$J$2:$J$2730,AE$1)</f>
        <v>0</v>
      </c>
      <c r="AF48" s="182">
        <f>SUMIFS('декабрь 2025'!$G$2:$G$2730,'декабрь 2025'!$D$2:$D$2730,$B48,'декабрь 2025'!$J$2:$J$2730,AF$1)</f>
        <v>0</v>
      </c>
      <c r="AG48" s="182">
        <f>SUMIFS('декабрь 2025'!$G$2:$G$2730,'декабрь 2025'!$D$2:$D$2730,$B48,'декабрь 2025'!$J$2:$J$2730,AG$1)</f>
        <v>0</v>
      </c>
      <c r="AH48" s="182">
        <f>SUMIFS('декабрь 2025'!$G$2:$G$2730,'декабрь 2025'!$D$2:$D$2730,$B48,'декабрь 2025'!$J$2:$J$2730,AH$1)</f>
        <v>0</v>
      </c>
      <c r="AI48" s="20">
        <f t="shared" si="1"/>
        <v>700</v>
      </c>
    </row>
    <row r="49" spans="2:35" ht="15" customHeight="1" x14ac:dyDescent="0.25">
      <c r="B49" s="135" t="s">
        <v>234</v>
      </c>
      <c r="C49" s="132">
        <v>18</v>
      </c>
      <c r="D49" s="182">
        <f>SUMIFS('декабрь 2025'!$G$2:$G$2730,'декабрь 2025'!$D$2:$D$2730,$B49,'декабрь 2025'!$J$2:$J$2730,D$1)</f>
        <v>0</v>
      </c>
      <c r="E49" s="182">
        <f>SUMIFS('декабрь 2025'!$G$2:$G$2730,'декабрь 2025'!$D$2:$D$2730,$B49,'декабрь 2025'!$J$2:$J$2730,E$1)</f>
        <v>0</v>
      </c>
      <c r="F49" s="182">
        <f>SUMIFS('декабрь 2025'!$G$2:$G$2730,'декабрь 2025'!$D$2:$D$2730,$B49,'декабрь 2025'!$J$2:$J$2730,F$1)</f>
        <v>0</v>
      </c>
      <c r="G49" s="182">
        <f>SUMIFS('декабрь 2025'!$G$2:$G$2730,'декабрь 2025'!$D$2:$D$2730,$B49,'декабрь 2025'!$J$2:$J$2730,G$1)</f>
        <v>0</v>
      </c>
      <c r="H49" s="182">
        <f>SUMIFS('декабрь 2025'!$G$2:$G$2730,'декабрь 2025'!$D$2:$D$2730,$B49,'декабрь 2025'!$J$2:$J$2730,H$1)</f>
        <v>0</v>
      </c>
      <c r="I49" s="182">
        <f>SUMIFS('декабрь 2025'!$G$2:$G$2730,'декабрь 2025'!$D$2:$D$2730,$B49,'декабрь 2025'!$J$2:$J$2730,I$1)</f>
        <v>0</v>
      </c>
      <c r="J49" s="182">
        <f>SUMIFS('декабрь 2025'!$G$2:$G$2730,'декабрь 2025'!$D$2:$D$2730,$B49,'декабрь 2025'!$J$2:$J$2730,J$1)</f>
        <v>0</v>
      </c>
      <c r="K49" s="182">
        <f>SUMIFS('декабрь 2025'!$G$2:$G$2730,'декабрь 2025'!$D$2:$D$2730,$B49,'декабрь 2025'!$J$2:$J$2730,K$1)</f>
        <v>0</v>
      </c>
      <c r="L49" s="182">
        <f>SUMIFS('декабрь 2025'!$G$2:$G$2730,'декабрь 2025'!$D$2:$D$2730,$B49,'декабрь 2025'!$J$2:$J$2730,L$1)</f>
        <v>0</v>
      </c>
      <c r="M49" s="182">
        <f>SUMIFS('декабрь 2025'!$G$2:$G$2730,'декабрь 2025'!$D$2:$D$2730,$B49,'декабрь 2025'!$J$2:$J$2730,M$1)</f>
        <v>0</v>
      </c>
      <c r="N49" s="182">
        <f>SUMIFS('декабрь 2025'!$G$2:$G$2730,'декабрь 2025'!$D$2:$D$2730,$B49,'декабрь 2025'!$J$2:$J$2730,N$1)</f>
        <v>0</v>
      </c>
      <c r="O49" s="182">
        <f>SUMIFS('декабрь 2025'!$G$2:$G$2730,'декабрь 2025'!$D$2:$D$2730,$B49,'декабрь 2025'!$J$2:$J$2730,O$1)</f>
        <v>0</v>
      </c>
      <c r="P49" s="182">
        <f>SUMIFS('декабрь 2025'!$G$2:$G$2730,'декабрь 2025'!$D$2:$D$2730,$B49,'декабрь 2025'!$J$2:$J$2730,P$1)</f>
        <v>0</v>
      </c>
      <c r="Q49" s="182">
        <f>SUMIFS('декабрь 2025'!$G$2:$G$2730,'декабрь 2025'!$D$2:$D$2730,$B49,'декабрь 2025'!$J$2:$J$2730,Q$1)</f>
        <v>0</v>
      </c>
      <c r="R49" s="182">
        <f>SUMIFS('декабрь 2025'!$G$2:$G$2730,'декабрь 2025'!$D$2:$D$2730,$B49,'декабрь 2025'!$J$2:$J$2730,R$1)</f>
        <v>0</v>
      </c>
      <c r="S49" s="182">
        <f>SUMIFS('декабрь 2025'!$G$2:$G$2730,'декабрь 2025'!$D$2:$D$2730,$B49,'декабрь 2025'!$J$2:$J$2730,S$1)</f>
        <v>0</v>
      </c>
      <c r="T49" s="182">
        <f>SUMIFS('декабрь 2025'!$G$2:$G$2730,'декабрь 2025'!$D$2:$D$2730,$B49,'декабрь 2025'!$J$2:$J$2730,T$1)</f>
        <v>0</v>
      </c>
      <c r="U49" s="182">
        <f>SUMIFS('декабрь 2025'!$G$2:$G$2730,'декабрь 2025'!$D$2:$D$2730,$B49,'декабрь 2025'!$J$2:$J$2730,U$1)</f>
        <v>0</v>
      </c>
      <c r="V49" s="182">
        <f>SUMIFS('декабрь 2025'!$G$2:$G$2730,'декабрь 2025'!$D$2:$D$2730,$B49,'декабрь 2025'!$J$2:$J$2730,V$1)</f>
        <v>0</v>
      </c>
      <c r="W49" s="182">
        <f>SUMIFS('декабрь 2025'!$G$2:$G$2730,'декабрь 2025'!$D$2:$D$2730,$B49,'декабрь 2025'!$J$2:$J$2730,W$1)</f>
        <v>0</v>
      </c>
      <c r="X49" s="182">
        <f>SUMIFS('декабрь 2025'!$G$2:$G$2730,'декабрь 2025'!$D$2:$D$2730,$B49,'декабрь 2025'!$J$2:$J$2730,X$1)</f>
        <v>0</v>
      </c>
      <c r="Y49" s="182">
        <f>SUMIFS('декабрь 2025'!$G$2:$G$2730,'декабрь 2025'!$D$2:$D$2730,$B49,'декабрь 2025'!$J$2:$J$2730,Y$1)</f>
        <v>0</v>
      </c>
      <c r="Z49" s="182">
        <f>SUMIFS('декабрь 2025'!$G$2:$G$2730,'декабрь 2025'!$D$2:$D$2730,$B49,'декабрь 2025'!$J$2:$J$2730,Z$1)</f>
        <v>0</v>
      </c>
      <c r="AA49" s="182">
        <f>SUMIFS('декабрь 2025'!$G$2:$G$2730,'декабрь 2025'!$D$2:$D$2730,$B49,'декабрь 2025'!$J$2:$J$2730,AA$1)</f>
        <v>0</v>
      </c>
      <c r="AB49" s="182">
        <f>SUMIFS('декабрь 2025'!$G$2:$G$2730,'декабрь 2025'!$D$2:$D$2730,$B49,'декабрь 2025'!$J$2:$J$2730,AB$1)</f>
        <v>0</v>
      </c>
      <c r="AC49" s="182">
        <f>SUMIFS('декабрь 2025'!$G$2:$G$2730,'декабрь 2025'!$D$2:$D$2730,$B49,'декабрь 2025'!$J$2:$J$2730,AC$1)</f>
        <v>0</v>
      </c>
      <c r="AD49" s="182">
        <f>SUMIFS('декабрь 2025'!$G$2:$G$2730,'декабрь 2025'!$D$2:$D$2730,$B49,'декабрь 2025'!$J$2:$J$2730,AD$1)</f>
        <v>0</v>
      </c>
      <c r="AE49" s="182">
        <f>SUMIFS('декабрь 2025'!$G$2:$G$2730,'декабрь 2025'!$D$2:$D$2730,$B49,'декабрь 2025'!$J$2:$J$2730,AE$1)</f>
        <v>0</v>
      </c>
      <c r="AF49" s="182">
        <f>SUMIFS('декабрь 2025'!$G$2:$G$2730,'декабрь 2025'!$D$2:$D$2730,$B49,'декабрь 2025'!$J$2:$J$2730,AF$1)</f>
        <v>0</v>
      </c>
      <c r="AG49" s="182">
        <f>SUMIFS('декабрь 2025'!$G$2:$G$2730,'декабрь 2025'!$D$2:$D$2730,$B49,'декабрь 2025'!$J$2:$J$2730,AG$1)</f>
        <v>0</v>
      </c>
      <c r="AH49" s="182">
        <f>SUMIFS('декабрь 2025'!$G$2:$G$2730,'декабрь 2025'!$D$2:$D$2730,$B49,'декабрь 2025'!$J$2:$J$2730,AH$1)</f>
        <v>0</v>
      </c>
      <c r="AI49" s="20">
        <f t="shared" si="1"/>
        <v>0</v>
      </c>
    </row>
    <row r="50" spans="2:35" ht="15" customHeight="1" x14ac:dyDescent="0.25">
      <c r="B50" s="135" t="s">
        <v>1079</v>
      </c>
      <c r="C50" s="132">
        <v>18</v>
      </c>
      <c r="D50" s="182">
        <f>SUMIFS('декабрь 2025'!$G$2:$G$2730,'декабрь 2025'!$D$2:$D$2730,$B50,'декабрь 2025'!$J$2:$J$2730,D$1)</f>
        <v>0</v>
      </c>
      <c r="E50" s="182">
        <f>SUMIFS('декабрь 2025'!$G$2:$G$2730,'декабрь 2025'!$D$2:$D$2730,$B50,'декабрь 2025'!$J$2:$J$2730,E$1)</f>
        <v>0</v>
      </c>
      <c r="F50" s="182">
        <f>SUMIFS('декабрь 2025'!$G$2:$G$2730,'декабрь 2025'!$D$2:$D$2730,$B50,'декабрь 2025'!$J$2:$J$2730,F$1)</f>
        <v>0</v>
      </c>
      <c r="G50" s="182">
        <f>SUMIFS('декабрь 2025'!$G$2:$G$2730,'декабрь 2025'!$D$2:$D$2730,$B50,'декабрь 2025'!$J$2:$J$2730,G$1)</f>
        <v>0</v>
      </c>
      <c r="H50" s="182">
        <f>SUMIFS('декабрь 2025'!$G$2:$G$2730,'декабрь 2025'!$D$2:$D$2730,$B50,'декабрь 2025'!$J$2:$J$2730,H$1)</f>
        <v>0</v>
      </c>
      <c r="I50" s="182">
        <f>SUMIFS('декабрь 2025'!$G$2:$G$2730,'декабрь 2025'!$D$2:$D$2730,$B50,'декабрь 2025'!$J$2:$J$2730,I$1)</f>
        <v>0</v>
      </c>
      <c r="J50" s="182">
        <f>SUMIFS('декабрь 2025'!$G$2:$G$2730,'декабрь 2025'!$D$2:$D$2730,$B50,'декабрь 2025'!$J$2:$J$2730,J$1)</f>
        <v>0</v>
      </c>
      <c r="K50" s="182">
        <f>SUMIFS('декабрь 2025'!$G$2:$G$2730,'декабрь 2025'!$D$2:$D$2730,$B50,'декабрь 2025'!$J$2:$J$2730,K$1)</f>
        <v>0</v>
      </c>
      <c r="L50" s="182">
        <f>SUMIFS('декабрь 2025'!$G$2:$G$2730,'декабрь 2025'!$D$2:$D$2730,$B50,'декабрь 2025'!$J$2:$J$2730,L$1)</f>
        <v>0</v>
      </c>
      <c r="M50" s="182">
        <f>SUMIFS('декабрь 2025'!$G$2:$G$2730,'декабрь 2025'!$D$2:$D$2730,$B50,'декабрь 2025'!$J$2:$J$2730,M$1)</f>
        <v>0</v>
      </c>
      <c r="N50" s="182">
        <f>SUMIFS('декабрь 2025'!$G$2:$G$2730,'декабрь 2025'!$D$2:$D$2730,$B50,'декабрь 2025'!$J$2:$J$2730,N$1)</f>
        <v>0</v>
      </c>
      <c r="O50" s="182">
        <f>SUMIFS('декабрь 2025'!$G$2:$G$2730,'декабрь 2025'!$D$2:$D$2730,$B50,'декабрь 2025'!$J$2:$J$2730,O$1)</f>
        <v>0</v>
      </c>
      <c r="P50" s="182">
        <f>SUMIFS('декабрь 2025'!$G$2:$G$2730,'декабрь 2025'!$D$2:$D$2730,$B50,'декабрь 2025'!$J$2:$J$2730,P$1)</f>
        <v>0</v>
      </c>
      <c r="Q50" s="182">
        <f>SUMIFS('декабрь 2025'!$G$2:$G$2730,'декабрь 2025'!$D$2:$D$2730,$B50,'декабрь 2025'!$J$2:$J$2730,Q$1)</f>
        <v>0</v>
      </c>
      <c r="R50" s="182">
        <f>SUMIFS('декабрь 2025'!$G$2:$G$2730,'декабрь 2025'!$D$2:$D$2730,$B50,'декабрь 2025'!$J$2:$J$2730,R$1)</f>
        <v>0</v>
      </c>
      <c r="S50" s="182">
        <f>SUMIFS('декабрь 2025'!$G$2:$G$2730,'декабрь 2025'!$D$2:$D$2730,$B50,'декабрь 2025'!$J$2:$J$2730,S$1)</f>
        <v>0</v>
      </c>
      <c r="T50" s="182">
        <f>SUMIFS('декабрь 2025'!$G$2:$G$2730,'декабрь 2025'!$D$2:$D$2730,$B50,'декабрь 2025'!$J$2:$J$2730,T$1)</f>
        <v>0</v>
      </c>
      <c r="U50" s="182">
        <f>SUMIFS('декабрь 2025'!$G$2:$G$2730,'декабрь 2025'!$D$2:$D$2730,$B50,'декабрь 2025'!$J$2:$J$2730,U$1)</f>
        <v>0</v>
      </c>
      <c r="V50" s="182">
        <f>SUMIFS('декабрь 2025'!$G$2:$G$2730,'декабрь 2025'!$D$2:$D$2730,$B50,'декабрь 2025'!$J$2:$J$2730,V$1)</f>
        <v>0</v>
      </c>
      <c r="W50" s="182">
        <f>SUMIFS('декабрь 2025'!$G$2:$G$2730,'декабрь 2025'!$D$2:$D$2730,$B50,'декабрь 2025'!$J$2:$J$2730,W$1)</f>
        <v>0</v>
      </c>
      <c r="X50" s="182">
        <f>SUMIFS('декабрь 2025'!$G$2:$G$2730,'декабрь 2025'!$D$2:$D$2730,$B50,'декабрь 2025'!$J$2:$J$2730,X$1)</f>
        <v>0</v>
      </c>
      <c r="Y50" s="182">
        <f>SUMIFS('декабрь 2025'!$G$2:$G$2730,'декабрь 2025'!$D$2:$D$2730,$B50,'декабрь 2025'!$J$2:$J$2730,Y$1)</f>
        <v>0</v>
      </c>
      <c r="Z50" s="182">
        <f>SUMIFS('декабрь 2025'!$G$2:$G$2730,'декабрь 2025'!$D$2:$D$2730,$B50,'декабрь 2025'!$J$2:$J$2730,Z$1)</f>
        <v>0</v>
      </c>
      <c r="AA50" s="182">
        <f>SUMIFS('декабрь 2025'!$G$2:$G$2730,'декабрь 2025'!$D$2:$D$2730,$B50,'декабрь 2025'!$J$2:$J$2730,AA$1)</f>
        <v>0</v>
      </c>
      <c r="AB50" s="182">
        <f>SUMIFS('декабрь 2025'!$G$2:$G$2730,'декабрь 2025'!$D$2:$D$2730,$B50,'декабрь 2025'!$J$2:$J$2730,AB$1)</f>
        <v>0</v>
      </c>
      <c r="AC50" s="182">
        <f>SUMIFS('декабрь 2025'!$G$2:$G$2730,'декабрь 2025'!$D$2:$D$2730,$B50,'декабрь 2025'!$J$2:$J$2730,AC$1)</f>
        <v>0</v>
      </c>
      <c r="AD50" s="182">
        <f>SUMIFS('декабрь 2025'!$G$2:$G$2730,'декабрь 2025'!$D$2:$D$2730,$B50,'декабрь 2025'!$J$2:$J$2730,AD$1)</f>
        <v>0</v>
      </c>
      <c r="AE50" s="182">
        <f>SUMIFS('декабрь 2025'!$G$2:$G$2730,'декабрь 2025'!$D$2:$D$2730,$B50,'декабрь 2025'!$J$2:$J$2730,AE$1)</f>
        <v>0</v>
      </c>
      <c r="AF50" s="182">
        <f>SUMIFS('декабрь 2025'!$G$2:$G$2730,'декабрь 2025'!$D$2:$D$2730,$B50,'декабрь 2025'!$J$2:$J$2730,AF$1)</f>
        <v>0</v>
      </c>
      <c r="AG50" s="182">
        <f>SUMIFS('декабрь 2025'!$G$2:$G$2730,'декабрь 2025'!$D$2:$D$2730,$B50,'декабрь 2025'!$J$2:$J$2730,AG$1)</f>
        <v>0</v>
      </c>
      <c r="AH50" s="182">
        <f>SUMIFS('декабрь 2025'!$G$2:$G$2730,'декабрь 2025'!$D$2:$D$2730,$B50,'декабрь 2025'!$J$2:$J$2730,AH$1)</f>
        <v>0</v>
      </c>
      <c r="AI50" s="20">
        <f t="shared" si="1"/>
        <v>0</v>
      </c>
    </row>
    <row r="51" spans="2:35" ht="15" customHeight="1" x14ac:dyDescent="0.25">
      <c r="B51" s="135" t="s">
        <v>236</v>
      </c>
      <c r="C51" s="132">
        <v>20</v>
      </c>
      <c r="D51" s="182">
        <f>SUMIFS('декабрь 2025'!$G$2:$G$2730,'декабрь 2025'!$D$2:$D$2730,$B51,'декабрь 2025'!$J$2:$J$2730,D$1)</f>
        <v>0</v>
      </c>
      <c r="E51" s="182">
        <f>SUMIFS('декабрь 2025'!$G$2:$G$2730,'декабрь 2025'!$D$2:$D$2730,$B51,'декабрь 2025'!$J$2:$J$2730,E$1)</f>
        <v>0</v>
      </c>
      <c r="F51" s="182">
        <f>SUMIFS('декабрь 2025'!$G$2:$G$2730,'декабрь 2025'!$D$2:$D$2730,$B51,'декабрь 2025'!$J$2:$J$2730,F$1)</f>
        <v>0</v>
      </c>
      <c r="G51" s="182">
        <f>SUMIFS('декабрь 2025'!$G$2:$G$2730,'декабрь 2025'!$D$2:$D$2730,$B51,'декабрь 2025'!$J$2:$J$2730,G$1)</f>
        <v>0</v>
      </c>
      <c r="H51" s="182">
        <f>SUMIFS('декабрь 2025'!$G$2:$G$2730,'декабрь 2025'!$D$2:$D$2730,$B51,'декабрь 2025'!$J$2:$J$2730,H$1)</f>
        <v>0</v>
      </c>
      <c r="I51" s="182">
        <f>SUMIFS('декабрь 2025'!$G$2:$G$2730,'декабрь 2025'!$D$2:$D$2730,$B51,'декабрь 2025'!$J$2:$J$2730,I$1)</f>
        <v>0</v>
      </c>
      <c r="J51" s="182">
        <f>SUMIFS('декабрь 2025'!$G$2:$G$2730,'декабрь 2025'!$D$2:$D$2730,$B51,'декабрь 2025'!$J$2:$J$2730,J$1)</f>
        <v>0</v>
      </c>
      <c r="K51" s="182">
        <f>SUMIFS('декабрь 2025'!$G$2:$G$2730,'декабрь 2025'!$D$2:$D$2730,$B51,'декабрь 2025'!$J$2:$J$2730,K$1)</f>
        <v>0</v>
      </c>
      <c r="L51" s="182">
        <f>SUMIFS('декабрь 2025'!$G$2:$G$2730,'декабрь 2025'!$D$2:$D$2730,$B51,'декабрь 2025'!$J$2:$J$2730,L$1)</f>
        <v>0</v>
      </c>
      <c r="M51" s="182">
        <f>SUMIFS('декабрь 2025'!$G$2:$G$2730,'декабрь 2025'!$D$2:$D$2730,$B51,'декабрь 2025'!$J$2:$J$2730,M$1)</f>
        <v>0</v>
      </c>
      <c r="N51" s="182">
        <f>SUMIFS('декабрь 2025'!$G$2:$G$2730,'декабрь 2025'!$D$2:$D$2730,$B51,'декабрь 2025'!$J$2:$J$2730,N$1)</f>
        <v>0</v>
      </c>
      <c r="O51" s="182">
        <f>SUMIFS('декабрь 2025'!$G$2:$G$2730,'декабрь 2025'!$D$2:$D$2730,$B51,'декабрь 2025'!$J$2:$J$2730,O$1)</f>
        <v>0</v>
      </c>
      <c r="P51" s="182">
        <f>SUMIFS('декабрь 2025'!$G$2:$G$2730,'декабрь 2025'!$D$2:$D$2730,$B51,'декабрь 2025'!$J$2:$J$2730,P$1)</f>
        <v>0</v>
      </c>
      <c r="Q51" s="182">
        <f>SUMIFS('декабрь 2025'!$G$2:$G$2730,'декабрь 2025'!$D$2:$D$2730,$B51,'декабрь 2025'!$J$2:$J$2730,Q$1)</f>
        <v>0</v>
      </c>
      <c r="R51" s="182">
        <f>SUMIFS('декабрь 2025'!$G$2:$G$2730,'декабрь 2025'!$D$2:$D$2730,$B51,'декабрь 2025'!$J$2:$J$2730,R$1)</f>
        <v>0</v>
      </c>
      <c r="S51" s="182">
        <f>SUMIFS('декабрь 2025'!$G$2:$G$2730,'декабрь 2025'!$D$2:$D$2730,$B51,'декабрь 2025'!$J$2:$J$2730,S$1)</f>
        <v>0</v>
      </c>
      <c r="T51" s="182">
        <f>SUMIFS('декабрь 2025'!$G$2:$G$2730,'декабрь 2025'!$D$2:$D$2730,$B51,'декабрь 2025'!$J$2:$J$2730,T$1)</f>
        <v>0</v>
      </c>
      <c r="U51" s="182">
        <f>SUMIFS('декабрь 2025'!$G$2:$G$2730,'декабрь 2025'!$D$2:$D$2730,$B51,'декабрь 2025'!$J$2:$J$2730,U$1)</f>
        <v>0</v>
      </c>
      <c r="V51" s="182">
        <f>SUMIFS('декабрь 2025'!$G$2:$G$2730,'декабрь 2025'!$D$2:$D$2730,$B51,'декабрь 2025'!$J$2:$J$2730,V$1)</f>
        <v>0</v>
      </c>
      <c r="W51" s="182">
        <f>SUMIFS('декабрь 2025'!$G$2:$G$2730,'декабрь 2025'!$D$2:$D$2730,$B51,'декабрь 2025'!$J$2:$J$2730,W$1)</f>
        <v>0</v>
      </c>
      <c r="X51" s="182">
        <f>SUMIFS('декабрь 2025'!$G$2:$G$2730,'декабрь 2025'!$D$2:$D$2730,$B51,'декабрь 2025'!$J$2:$J$2730,X$1)</f>
        <v>0</v>
      </c>
      <c r="Y51" s="182">
        <f>SUMIFS('декабрь 2025'!$G$2:$G$2730,'декабрь 2025'!$D$2:$D$2730,$B51,'декабрь 2025'!$J$2:$J$2730,Y$1)</f>
        <v>0</v>
      </c>
      <c r="Z51" s="182">
        <f>SUMIFS('декабрь 2025'!$G$2:$G$2730,'декабрь 2025'!$D$2:$D$2730,$B51,'декабрь 2025'!$J$2:$J$2730,Z$1)</f>
        <v>250</v>
      </c>
      <c r="AA51" s="182">
        <f>SUMIFS('декабрь 2025'!$G$2:$G$2730,'декабрь 2025'!$D$2:$D$2730,$B51,'декабрь 2025'!$J$2:$J$2730,AA$1)</f>
        <v>0</v>
      </c>
      <c r="AB51" s="182">
        <f>SUMIFS('декабрь 2025'!$G$2:$G$2730,'декабрь 2025'!$D$2:$D$2730,$B51,'декабрь 2025'!$J$2:$J$2730,AB$1)</f>
        <v>0</v>
      </c>
      <c r="AC51" s="182">
        <f>SUMIFS('декабрь 2025'!$G$2:$G$2730,'декабрь 2025'!$D$2:$D$2730,$B51,'декабрь 2025'!$J$2:$J$2730,AC$1)</f>
        <v>0</v>
      </c>
      <c r="AD51" s="182">
        <f>SUMIFS('декабрь 2025'!$G$2:$G$2730,'декабрь 2025'!$D$2:$D$2730,$B51,'декабрь 2025'!$J$2:$J$2730,AD$1)</f>
        <v>0</v>
      </c>
      <c r="AE51" s="182">
        <f>SUMIFS('декабрь 2025'!$G$2:$G$2730,'декабрь 2025'!$D$2:$D$2730,$B51,'декабрь 2025'!$J$2:$J$2730,AE$1)</f>
        <v>0</v>
      </c>
      <c r="AF51" s="182">
        <f>SUMIFS('декабрь 2025'!$G$2:$G$2730,'декабрь 2025'!$D$2:$D$2730,$B51,'декабрь 2025'!$J$2:$J$2730,AF$1)</f>
        <v>0</v>
      </c>
      <c r="AG51" s="182">
        <f>SUMIFS('декабрь 2025'!$G$2:$G$2730,'декабрь 2025'!$D$2:$D$2730,$B51,'декабрь 2025'!$J$2:$J$2730,AG$1)</f>
        <v>0</v>
      </c>
      <c r="AH51" s="182">
        <f>SUMIFS('декабрь 2025'!$G$2:$G$2730,'декабрь 2025'!$D$2:$D$2730,$B51,'декабрь 2025'!$J$2:$J$2730,AH$1)</f>
        <v>0</v>
      </c>
      <c r="AI51" s="20">
        <f t="shared" si="1"/>
        <v>250</v>
      </c>
    </row>
    <row r="52" spans="2:35" ht="15" customHeight="1" x14ac:dyDescent="0.25">
      <c r="B52" s="135" t="s">
        <v>1963</v>
      </c>
      <c r="C52" s="132">
        <v>22.7</v>
      </c>
      <c r="D52" s="182">
        <f>SUMIFS('декабрь 2025'!$G$2:$G$2730,'декабрь 2025'!$D$2:$D$2730,$B52,'декабрь 2025'!$J$2:$J$2730,D$1)</f>
        <v>0</v>
      </c>
      <c r="E52" s="182">
        <f>SUMIFS('декабрь 2025'!$G$2:$G$2730,'декабрь 2025'!$D$2:$D$2730,$B52,'декабрь 2025'!$J$2:$J$2730,E$1)</f>
        <v>0</v>
      </c>
      <c r="F52" s="182">
        <f>SUMIFS('декабрь 2025'!$G$2:$G$2730,'декабрь 2025'!$D$2:$D$2730,$B52,'декабрь 2025'!$J$2:$J$2730,F$1)</f>
        <v>0</v>
      </c>
      <c r="G52" s="182">
        <f>SUMIFS('декабрь 2025'!$G$2:$G$2730,'декабрь 2025'!$D$2:$D$2730,$B52,'декабрь 2025'!$J$2:$J$2730,G$1)</f>
        <v>0</v>
      </c>
      <c r="H52" s="182">
        <f>SUMIFS('декабрь 2025'!$G$2:$G$2730,'декабрь 2025'!$D$2:$D$2730,$B52,'декабрь 2025'!$J$2:$J$2730,H$1)</f>
        <v>0</v>
      </c>
      <c r="I52" s="182">
        <f>SUMIFS('декабрь 2025'!$G$2:$G$2730,'декабрь 2025'!$D$2:$D$2730,$B52,'декабрь 2025'!$J$2:$J$2730,I$1)</f>
        <v>0</v>
      </c>
      <c r="J52" s="182">
        <f>SUMIFS('декабрь 2025'!$G$2:$G$2730,'декабрь 2025'!$D$2:$D$2730,$B52,'декабрь 2025'!$J$2:$J$2730,J$1)</f>
        <v>0</v>
      </c>
      <c r="K52" s="182">
        <f>SUMIFS('декабрь 2025'!$G$2:$G$2730,'декабрь 2025'!$D$2:$D$2730,$B52,'декабрь 2025'!$J$2:$J$2730,K$1)</f>
        <v>0</v>
      </c>
      <c r="L52" s="182">
        <f>SUMIFS('декабрь 2025'!$G$2:$G$2730,'декабрь 2025'!$D$2:$D$2730,$B52,'декабрь 2025'!$J$2:$J$2730,L$1)</f>
        <v>0</v>
      </c>
      <c r="M52" s="182">
        <f>SUMIFS('декабрь 2025'!$G$2:$G$2730,'декабрь 2025'!$D$2:$D$2730,$B52,'декабрь 2025'!$J$2:$J$2730,M$1)</f>
        <v>0</v>
      </c>
      <c r="N52" s="182">
        <f>SUMIFS('декабрь 2025'!$G$2:$G$2730,'декабрь 2025'!$D$2:$D$2730,$B52,'декабрь 2025'!$J$2:$J$2730,N$1)</f>
        <v>0</v>
      </c>
      <c r="O52" s="182">
        <f>SUMIFS('декабрь 2025'!$G$2:$G$2730,'декабрь 2025'!$D$2:$D$2730,$B52,'декабрь 2025'!$J$2:$J$2730,O$1)</f>
        <v>0</v>
      </c>
      <c r="P52" s="182">
        <f>SUMIFS('декабрь 2025'!$G$2:$G$2730,'декабрь 2025'!$D$2:$D$2730,$B52,'декабрь 2025'!$J$2:$J$2730,P$1)</f>
        <v>0</v>
      </c>
      <c r="Q52" s="182">
        <f>SUMIFS('декабрь 2025'!$G$2:$G$2730,'декабрь 2025'!$D$2:$D$2730,$B52,'декабрь 2025'!$J$2:$J$2730,Q$1)</f>
        <v>0</v>
      </c>
      <c r="R52" s="182">
        <f>SUMIFS('декабрь 2025'!$G$2:$G$2730,'декабрь 2025'!$D$2:$D$2730,$B52,'декабрь 2025'!$J$2:$J$2730,R$1)</f>
        <v>0</v>
      </c>
      <c r="S52" s="182">
        <f>SUMIFS('декабрь 2025'!$G$2:$G$2730,'декабрь 2025'!$D$2:$D$2730,$B52,'декабрь 2025'!$J$2:$J$2730,S$1)</f>
        <v>0</v>
      </c>
      <c r="T52" s="182">
        <f>SUMIFS('декабрь 2025'!$G$2:$G$2730,'декабрь 2025'!$D$2:$D$2730,$B52,'декабрь 2025'!$J$2:$J$2730,T$1)</f>
        <v>0</v>
      </c>
      <c r="U52" s="182">
        <f>SUMIFS('декабрь 2025'!$G$2:$G$2730,'декабрь 2025'!$D$2:$D$2730,$B52,'декабрь 2025'!$J$2:$J$2730,U$1)</f>
        <v>0</v>
      </c>
      <c r="V52" s="182">
        <f>SUMIFS('декабрь 2025'!$G$2:$G$2730,'декабрь 2025'!$D$2:$D$2730,$B52,'декабрь 2025'!$J$2:$J$2730,V$1)</f>
        <v>0</v>
      </c>
      <c r="W52" s="182">
        <f>SUMIFS('декабрь 2025'!$G$2:$G$2730,'декабрь 2025'!$D$2:$D$2730,$B52,'декабрь 2025'!$J$2:$J$2730,W$1)</f>
        <v>0</v>
      </c>
      <c r="X52" s="182">
        <f>SUMIFS('декабрь 2025'!$G$2:$G$2730,'декабрь 2025'!$D$2:$D$2730,$B52,'декабрь 2025'!$J$2:$J$2730,X$1)</f>
        <v>0</v>
      </c>
      <c r="Y52" s="182">
        <f>SUMIFS('декабрь 2025'!$G$2:$G$2730,'декабрь 2025'!$D$2:$D$2730,$B52,'декабрь 2025'!$J$2:$J$2730,Y$1)</f>
        <v>0</v>
      </c>
      <c r="Z52" s="182">
        <f>SUMIFS('декабрь 2025'!$G$2:$G$2730,'декабрь 2025'!$D$2:$D$2730,$B52,'декабрь 2025'!$J$2:$J$2730,Z$1)</f>
        <v>0</v>
      </c>
      <c r="AA52" s="182">
        <f>SUMIFS('декабрь 2025'!$G$2:$G$2730,'декабрь 2025'!$D$2:$D$2730,$B52,'декабрь 2025'!$J$2:$J$2730,AA$1)</f>
        <v>0</v>
      </c>
      <c r="AB52" s="182">
        <f>SUMIFS('декабрь 2025'!$G$2:$G$2730,'декабрь 2025'!$D$2:$D$2730,$B52,'декабрь 2025'!$J$2:$J$2730,AB$1)</f>
        <v>0</v>
      </c>
      <c r="AC52" s="182">
        <f>SUMIFS('декабрь 2025'!$G$2:$G$2730,'декабрь 2025'!$D$2:$D$2730,$B52,'декабрь 2025'!$J$2:$J$2730,AC$1)</f>
        <v>0</v>
      </c>
      <c r="AD52" s="182">
        <f>SUMIFS('декабрь 2025'!$G$2:$G$2730,'декабрь 2025'!$D$2:$D$2730,$B52,'декабрь 2025'!$J$2:$J$2730,AD$1)</f>
        <v>0</v>
      </c>
      <c r="AE52" s="182">
        <f>SUMIFS('декабрь 2025'!$G$2:$G$2730,'декабрь 2025'!$D$2:$D$2730,$B52,'декабрь 2025'!$J$2:$J$2730,AE$1)</f>
        <v>0</v>
      </c>
      <c r="AF52" s="182">
        <f>SUMIFS('декабрь 2025'!$G$2:$G$2730,'декабрь 2025'!$D$2:$D$2730,$B52,'декабрь 2025'!$J$2:$J$2730,AF$1)</f>
        <v>0</v>
      </c>
      <c r="AG52" s="182">
        <f>SUMIFS('декабрь 2025'!$G$2:$G$2730,'декабрь 2025'!$D$2:$D$2730,$B52,'декабрь 2025'!$J$2:$J$2730,AG$1)</f>
        <v>0</v>
      </c>
      <c r="AH52" s="182">
        <f>SUMIFS('декабрь 2025'!$G$2:$G$2730,'декабрь 2025'!$D$2:$D$2730,$B52,'декабрь 2025'!$J$2:$J$2730,AH$1)</f>
        <v>0</v>
      </c>
      <c r="AI52" s="20"/>
    </row>
    <row r="53" spans="2:35" ht="15" customHeight="1" x14ac:dyDescent="0.25">
      <c r="B53" s="131" t="s">
        <v>238</v>
      </c>
      <c r="C53" s="134">
        <v>20</v>
      </c>
      <c r="D53" s="182">
        <f>SUMIFS('декабрь 2025'!$G$2:$G$2730,'декабрь 2025'!$D$2:$D$2730,$B53,'декабрь 2025'!$J$2:$J$2730,D$1)</f>
        <v>0</v>
      </c>
      <c r="E53" s="182">
        <f>SUMIFS('декабрь 2025'!$G$2:$G$2730,'декабрь 2025'!$D$2:$D$2730,$B53,'декабрь 2025'!$J$2:$J$2730,E$1)</f>
        <v>0</v>
      </c>
      <c r="F53" s="182">
        <f>SUMIFS('декабрь 2025'!$G$2:$G$2730,'декабрь 2025'!$D$2:$D$2730,$B53,'декабрь 2025'!$J$2:$J$2730,F$1)</f>
        <v>0</v>
      </c>
      <c r="G53" s="182">
        <f>SUMIFS('декабрь 2025'!$G$2:$G$2730,'декабрь 2025'!$D$2:$D$2730,$B53,'декабрь 2025'!$J$2:$J$2730,G$1)</f>
        <v>0</v>
      </c>
      <c r="H53" s="182">
        <f>SUMIFS('декабрь 2025'!$G$2:$G$2730,'декабрь 2025'!$D$2:$D$2730,$B53,'декабрь 2025'!$J$2:$J$2730,H$1)</f>
        <v>0</v>
      </c>
      <c r="I53" s="182">
        <f>SUMIFS('декабрь 2025'!$G$2:$G$2730,'декабрь 2025'!$D$2:$D$2730,$B53,'декабрь 2025'!$J$2:$J$2730,I$1)</f>
        <v>0</v>
      </c>
      <c r="J53" s="182">
        <f>SUMIFS('декабрь 2025'!$G$2:$G$2730,'декабрь 2025'!$D$2:$D$2730,$B53,'декабрь 2025'!$J$2:$J$2730,J$1)</f>
        <v>0</v>
      </c>
      <c r="K53" s="182">
        <f>SUMIFS('декабрь 2025'!$G$2:$G$2730,'декабрь 2025'!$D$2:$D$2730,$B53,'декабрь 2025'!$J$2:$J$2730,K$1)</f>
        <v>0</v>
      </c>
      <c r="L53" s="182">
        <f>SUMIFS('декабрь 2025'!$G$2:$G$2730,'декабрь 2025'!$D$2:$D$2730,$B53,'декабрь 2025'!$J$2:$J$2730,L$1)</f>
        <v>0</v>
      </c>
      <c r="M53" s="182">
        <f>SUMIFS('декабрь 2025'!$G$2:$G$2730,'декабрь 2025'!$D$2:$D$2730,$B53,'декабрь 2025'!$J$2:$J$2730,M$1)</f>
        <v>0</v>
      </c>
      <c r="N53" s="182">
        <f>SUMIFS('декабрь 2025'!$G$2:$G$2730,'декабрь 2025'!$D$2:$D$2730,$B53,'декабрь 2025'!$J$2:$J$2730,N$1)</f>
        <v>0</v>
      </c>
      <c r="O53" s="182">
        <f>SUMIFS('декабрь 2025'!$G$2:$G$2730,'декабрь 2025'!$D$2:$D$2730,$B53,'декабрь 2025'!$J$2:$J$2730,O$1)</f>
        <v>0</v>
      </c>
      <c r="P53" s="182">
        <f>SUMIFS('декабрь 2025'!$G$2:$G$2730,'декабрь 2025'!$D$2:$D$2730,$B53,'декабрь 2025'!$J$2:$J$2730,P$1)</f>
        <v>0</v>
      </c>
      <c r="Q53" s="182">
        <f>SUMIFS('декабрь 2025'!$G$2:$G$2730,'декабрь 2025'!$D$2:$D$2730,$B53,'декабрь 2025'!$J$2:$J$2730,Q$1)</f>
        <v>0</v>
      </c>
      <c r="R53" s="182">
        <f>SUMIFS('декабрь 2025'!$G$2:$G$2730,'декабрь 2025'!$D$2:$D$2730,$B53,'декабрь 2025'!$J$2:$J$2730,R$1)</f>
        <v>0</v>
      </c>
      <c r="S53" s="182">
        <f>SUMIFS('декабрь 2025'!$G$2:$G$2730,'декабрь 2025'!$D$2:$D$2730,$B53,'декабрь 2025'!$J$2:$J$2730,S$1)</f>
        <v>0</v>
      </c>
      <c r="T53" s="182">
        <f>SUMIFS('декабрь 2025'!$G$2:$G$2730,'декабрь 2025'!$D$2:$D$2730,$B53,'декабрь 2025'!$J$2:$J$2730,T$1)</f>
        <v>0</v>
      </c>
      <c r="U53" s="182">
        <f>SUMIFS('декабрь 2025'!$G$2:$G$2730,'декабрь 2025'!$D$2:$D$2730,$B53,'декабрь 2025'!$J$2:$J$2730,U$1)</f>
        <v>0</v>
      </c>
      <c r="V53" s="182">
        <f>SUMIFS('декабрь 2025'!$G$2:$G$2730,'декабрь 2025'!$D$2:$D$2730,$B53,'декабрь 2025'!$J$2:$J$2730,V$1)</f>
        <v>0</v>
      </c>
      <c r="W53" s="182">
        <f>SUMIFS('декабрь 2025'!$G$2:$G$2730,'декабрь 2025'!$D$2:$D$2730,$B53,'декабрь 2025'!$J$2:$J$2730,W$1)</f>
        <v>0</v>
      </c>
      <c r="X53" s="182">
        <f>SUMIFS('декабрь 2025'!$G$2:$G$2730,'декабрь 2025'!$D$2:$D$2730,$B53,'декабрь 2025'!$J$2:$J$2730,X$1)</f>
        <v>0</v>
      </c>
      <c r="Y53" s="182">
        <f>SUMIFS('декабрь 2025'!$G$2:$G$2730,'декабрь 2025'!$D$2:$D$2730,$B53,'декабрь 2025'!$J$2:$J$2730,Y$1)</f>
        <v>0</v>
      </c>
      <c r="Z53" s="182">
        <f>SUMIFS('декабрь 2025'!$G$2:$G$2730,'декабрь 2025'!$D$2:$D$2730,$B53,'декабрь 2025'!$J$2:$J$2730,Z$1)</f>
        <v>0</v>
      </c>
      <c r="AA53" s="182">
        <f>SUMIFS('декабрь 2025'!$G$2:$G$2730,'декабрь 2025'!$D$2:$D$2730,$B53,'декабрь 2025'!$J$2:$J$2730,AA$1)</f>
        <v>0</v>
      </c>
      <c r="AB53" s="182">
        <f>SUMIFS('декабрь 2025'!$G$2:$G$2730,'декабрь 2025'!$D$2:$D$2730,$B53,'декабрь 2025'!$J$2:$J$2730,AB$1)</f>
        <v>0</v>
      </c>
      <c r="AC53" s="182">
        <f>SUMIFS('декабрь 2025'!$G$2:$G$2730,'декабрь 2025'!$D$2:$D$2730,$B53,'декабрь 2025'!$J$2:$J$2730,AC$1)</f>
        <v>0</v>
      </c>
      <c r="AD53" s="182">
        <f>SUMIFS('декабрь 2025'!$G$2:$G$2730,'декабрь 2025'!$D$2:$D$2730,$B53,'декабрь 2025'!$J$2:$J$2730,AD$1)</f>
        <v>0</v>
      </c>
      <c r="AE53" s="182">
        <f>SUMIFS('декабрь 2025'!$G$2:$G$2730,'декабрь 2025'!$D$2:$D$2730,$B53,'декабрь 2025'!$J$2:$J$2730,AE$1)</f>
        <v>0</v>
      </c>
      <c r="AF53" s="182">
        <f>SUMIFS('декабрь 2025'!$G$2:$G$2730,'декабрь 2025'!$D$2:$D$2730,$B53,'декабрь 2025'!$J$2:$J$2730,AF$1)</f>
        <v>0</v>
      </c>
      <c r="AG53" s="182">
        <f>SUMIFS('декабрь 2025'!$G$2:$G$2730,'декабрь 2025'!$D$2:$D$2730,$B53,'декабрь 2025'!$J$2:$J$2730,AG$1)</f>
        <v>0</v>
      </c>
      <c r="AH53" s="182">
        <f>SUMIFS('декабрь 2025'!$G$2:$G$2730,'декабрь 2025'!$D$2:$D$2730,$B53,'декабрь 2025'!$J$2:$J$2730,AH$1)</f>
        <v>0</v>
      </c>
      <c r="AI53" s="20">
        <f t="shared" si="1"/>
        <v>0</v>
      </c>
    </row>
    <row r="54" spans="2:35" ht="15" customHeight="1" x14ac:dyDescent="0.25">
      <c r="B54" s="131" t="s">
        <v>240</v>
      </c>
      <c r="C54" s="130">
        <v>20</v>
      </c>
      <c r="D54" s="182">
        <f>SUMIFS('декабрь 2025'!$G$2:$G$2730,'декабрь 2025'!$D$2:$D$2730,$B54,'декабрь 2025'!$J$2:$J$2730,D$1)</f>
        <v>0</v>
      </c>
      <c r="E54" s="182">
        <f>SUMIFS('декабрь 2025'!$G$2:$G$2730,'декабрь 2025'!$D$2:$D$2730,$B54,'декабрь 2025'!$J$2:$J$2730,E$1)</f>
        <v>0</v>
      </c>
      <c r="F54" s="182">
        <f>SUMIFS('декабрь 2025'!$G$2:$G$2730,'декабрь 2025'!$D$2:$D$2730,$B54,'декабрь 2025'!$J$2:$J$2730,F$1)</f>
        <v>0</v>
      </c>
      <c r="G54" s="182">
        <f>SUMIFS('декабрь 2025'!$G$2:$G$2730,'декабрь 2025'!$D$2:$D$2730,$B54,'декабрь 2025'!$J$2:$J$2730,G$1)</f>
        <v>0</v>
      </c>
      <c r="H54" s="182">
        <f>SUMIFS('декабрь 2025'!$G$2:$G$2730,'декабрь 2025'!$D$2:$D$2730,$B54,'декабрь 2025'!$J$2:$J$2730,H$1)</f>
        <v>0</v>
      </c>
      <c r="I54" s="182">
        <f>SUMIFS('декабрь 2025'!$G$2:$G$2730,'декабрь 2025'!$D$2:$D$2730,$B54,'декабрь 2025'!$J$2:$J$2730,I$1)</f>
        <v>0</v>
      </c>
      <c r="J54" s="182">
        <f>SUMIFS('декабрь 2025'!$G$2:$G$2730,'декабрь 2025'!$D$2:$D$2730,$B54,'декабрь 2025'!$J$2:$J$2730,J$1)</f>
        <v>0</v>
      </c>
      <c r="K54" s="182">
        <f>SUMIFS('декабрь 2025'!$G$2:$G$2730,'декабрь 2025'!$D$2:$D$2730,$B54,'декабрь 2025'!$J$2:$J$2730,K$1)</f>
        <v>0</v>
      </c>
      <c r="L54" s="182">
        <f>SUMIFS('декабрь 2025'!$G$2:$G$2730,'декабрь 2025'!$D$2:$D$2730,$B54,'декабрь 2025'!$J$2:$J$2730,L$1)</f>
        <v>0</v>
      </c>
      <c r="M54" s="182">
        <f>SUMIFS('декабрь 2025'!$G$2:$G$2730,'декабрь 2025'!$D$2:$D$2730,$B54,'декабрь 2025'!$J$2:$J$2730,M$1)</f>
        <v>0</v>
      </c>
      <c r="N54" s="182">
        <f>SUMIFS('декабрь 2025'!$G$2:$G$2730,'декабрь 2025'!$D$2:$D$2730,$B54,'декабрь 2025'!$J$2:$J$2730,N$1)</f>
        <v>0</v>
      </c>
      <c r="O54" s="182">
        <f>SUMIFS('декабрь 2025'!$G$2:$G$2730,'декабрь 2025'!$D$2:$D$2730,$B54,'декабрь 2025'!$J$2:$J$2730,O$1)</f>
        <v>0</v>
      </c>
      <c r="P54" s="182">
        <f>SUMIFS('декабрь 2025'!$G$2:$G$2730,'декабрь 2025'!$D$2:$D$2730,$B54,'декабрь 2025'!$J$2:$J$2730,P$1)</f>
        <v>0</v>
      </c>
      <c r="Q54" s="182">
        <f>SUMIFS('декабрь 2025'!$G$2:$G$2730,'декабрь 2025'!$D$2:$D$2730,$B54,'декабрь 2025'!$J$2:$J$2730,Q$1)</f>
        <v>0</v>
      </c>
      <c r="R54" s="182">
        <f>SUMIFS('декабрь 2025'!$G$2:$G$2730,'декабрь 2025'!$D$2:$D$2730,$B54,'декабрь 2025'!$J$2:$J$2730,R$1)</f>
        <v>0</v>
      </c>
      <c r="S54" s="182">
        <f>SUMIFS('декабрь 2025'!$G$2:$G$2730,'декабрь 2025'!$D$2:$D$2730,$B54,'декабрь 2025'!$J$2:$J$2730,S$1)</f>
        <v>0</v>
      </c>
      <c r="T54" s="182">
        <f>SUMIFS('декабрь 2025'!$G$2:$G$2730,'декабрь 2025'!$D$2:$D$2730,$B54,'декабрь 2025'!$J$2:$J$2730,T$1)</f>
        <v>0</v>
      </c>
      <c r="U54" s="182">
        <f>SUMIFS('декабрь 2025'!$G$2:$G$2730,'декабрь 2025'!$D$2:$D$2730,$B54,'декабрь 2025'!$J$2:$J$2730,U$1)</f>
        <v>0</v>
      </c>
      <c r="V54" s="182">
        <f>SUMIFS('декабрь 2025'!$G$2:$G$2730,'декабрь 2025'!$D$2:$D$2730,$B54,'декабрь 2025'!$J$2:$J$2730,V$1)</f>
        <v>0</v>
      </c>
      <c r="W54" s="182">
        <f>SUMIFS('декабрь 2025'!$G$2:$G$2730,'декабрь 2025'!$D$2:$D$2730,$B54,'декабрь 2025'!$J$2:$J$2730,W$1)</f>
        <v>0</v>
      </c>
      <c r="X54" s="182">
        <f>SUMIFS('декабрь 2025'!$G$2:$G$2730,'декабрь 2025'!$D$2:$D$2730,$B54,'декабрь 2025'!$J$2:$J$2730,X$1)</f>
        <v>0</v>
      </c>
      <c r="Y54" s="182">
        <f>SUMIFS('декабрь 2025'!$G$2:$G$2730,'декабрь 2025'!$D$2:$D$2730,$B54,'декабрь 2025'!$J$2:$J$2730,Y$1)</f>
        <v>0</v>
      </c>
      <c r="Z54" s="182">
        <f>SUMIFS('декабрь 2025'!$G$2:$G$2730,'декабрь 2025'!$D$2:$D$2730,$B54,'декабрь 2025'!$J$2:$J$2730,Z$1)</f>
        <v>0</v>
      </c>
      <c r="AA54" s="182">
        <f>SUMIFS('декабрь 2025'!$G$2:$G$2730,'декабрь 2025'!$D$2:$D$2730,$B54,'декабрь 2025'!$J$2:$J$2730,AA$1)</f>
        <v>0</v>
      </c>
      <c r="AB54" s="182">
        <f>SUMIFS('декабрь 2025'!$G$2:$G$2730,'декабрь 2025'!$D$2:$D$2730,$B54,'декабрь 2025'!$J$2:$J$2730,AB$1)</f>
        <v>0</v>
      </c>
      <c r="AC54" s="182">
        <f>SUMIFS('декабрь 2025'!$G$2:$G$2730,'декабрь 2025'!$D$2:$D$2730,$B54,'декабрь 2025'!$J$2:$J$2730,AC$1)</f>
        <v>0</v>
      </c>
      <c r="AD54" s="182">
        <f>SUMIFS('декабрь 2025'!$G$2:$G$2730,'декабрь 2025'!$D$2:$D$2730,$B54,'декабрь 2025'!$J$2:$J$2730,AD$1)</f>
        <v>0</v>
      </c>
      <c r="AE54" s="182">
        <f>SUMIFS('декабрь 2025'!$G$2:$G$2730,'декабрь 2025'!$D$2:$D$2730,$B54,'декабрь 2025'!$J$2:$J$2730,AE$1)</f>
        <v>0</v>
      </c>
      <c r="AF54" s="182">
        <f>SUMIFS('декабрь 2025'!$G$2:$G$2730,'декабрь 2025'!$D$2:$D$2730,$B54,'декабрь 2025'!$J$2:$J$2730,AF$1)</f>
        <v>0</v>
      </c>
      <c r="AG54" s="182">
        <f>SUMIFS('декабрь 2025'!$G$2:$G$2730,'декабрь 2025'!$D$2:$D$2730,$B54,'декабрь 2025'!$J$2:$J$2730,AG$1)</f>
        <v>0</v>
      </c>
      <c r="AH54" s="182">
        <f>SUMIFS('декабрь 2025'!$G$2:$G$2730,'декабрь 2025'!$D$2:$D$2730,$B54,'декабрь 2025'!$J$2:$J$2730,AH$1)</f>
        <v>0</v>
      </c>
      <c r="AI54" s="20">
        <f t="shared" si="1"/>
        <v>0</v>
      </c>
    </row>
    <row r="55" spans="2:35" ht="15" customHeight="1" x14ac:dyDescent="0.25">
      <c r="B55" s="131" t="s">
        <v>242</v>
      </c>
      <c r="C55" s="132">
        <v>20</v>
      </c>
      <c r="D55" s="182">
        <f>SUMIFS('декабрь 2025'!$G$2:$G$2730,'декабрь 2025'!$D$2:$D$2730,$B55,'декабрь 2025'!$J$2:$J$2730,D$1)</f>
        <v>0</v>
      </c>
      <c r="E55" s="182">
        <f>SUMIFS('декабрь 2025'!$G$2:$G$2730,'декабрь 2025'!$D$2:$D$2730,$B55,'декабрь 2025'!$J$2:$J$2730,E$1)</f>
        <v>0</v>
      </c>
      <c r="F55" s="182">
        <f>SUMIFS('декабрь 2025'!$G$2:$G$2730,'декабрь 2025'!$D$2:$D$2730,$B55,'декабрь 2025'!$J$2:$J$2730,F$1)</f>
        <v>0</v>
      </c>
      <c r="G55" s="182">
        <f>SUMIFS('декабрь 2025'!$G$2:$G$2730,'декабрь 2025'!$D$2:$D$2730,$B55,'декабрь 2025'!$J$2:$J$2730,G$1)</f>
        <v>0</v>
      </c>
      <c r="H55" s="182">
        <f>SUMIFS('декабрь 2025'!$G$2:$G$2730,'декабрь 2025'!$D$2:$D$2730,$B55,'декабрь 2025'!$J$2:$J$2730,H$1)</f>
        <v>0</v>
      </c>
      <c r="I55" s="182">
        <f>SUMIFS('декабрь 2025'!$G$2:$G$2730,'декабрь 2025'!$D$2:$D$2730,$B55,'декабрь 2025'!$J$2:$J$2730,I$1)</f>
        <v>0</v>
      </c>
      <c r="J55" s="182">
        <f>SUMIFS('декабрь 2025'!$G$2:$G$2730,'декабрь 2025'!$D$2:$D$2730,$B55,'декабрь 2025'!$J$2:$J$2730,J$1)</f>
        <v>0</v>
      </c>
      <c r="K55" s="182">
        <f>SUMIFS('декабрь 2025'!$G$2:$G$2730,'декабрь 2025'!$D$2:$D$2730,$B55,'декабрь 2025'!$J$2:$J$2730,K$1)</f>
        <v>0</v>
      </c>
      <c r="L55" s="182">
        <f>SUMIFS('декабрь 2025'!$G$2:$G$2730,'декабрь 2025'!$D$2:$D$2730,$B55,'декабрь 2025'!$J$2:$J$2730,L$1)</f>
        <v>0</v>
      </c>
      <c r="M55" s="182">
        <f>SUMIFS('декабрь 2025'!$G$2:$G$2730,'декабрь 2025'!$D$2:$D$2730,$B55,'декабрь 2025'!$J$2:$J$2730,M$1)</f>
        <v>0</v>
      </c>
      <c r="N55" s="182">
        <f>SUMIFS('декабрь 2025'!$G$2:$G$2730,'декабрь 2025'!$D$2:$D$2730,$B55,'декабрь 2025'!$J$2:$J$2730,N$1)</f>
        <v>0</v>
      </c>
      <c r="O55" s="182">
        <f>SUMIFS('декабрь 2025'!$G$2:$G$2730,'декабрь 2025'!$D$2:$D$2730,$B55,'декабрь 2025'!$J$2:$J$2730,O$1)</f>
        <v>0</v>
      </c>
      <c r="P55" s="182">
        <f>SUMIFS('декабрь 2025'!$G$2:$G$2730,'декабрь 2025'!$D$2:$D$2730,$B55,'декабрь 2025'!$J$2:$J$2730,P$1)</f>
        <v>0</v>
      </c>
      <c r="Q55" s="182">
        <f>SUMIFS('декабрь 2025'!$G$2:$G$2730,'декабрь 2025'!$D$2:$D$2730,$B55,'декабрь 2025'!$J$2:$J$2730,Q$1)</f>
        <v>0</v>
      </c>
      <c r="R55" s="182">
        <f>SUMIFS('декабрь 2025'!$G$2:$G$2730,'декабрь 2025'!$D$2:$D$2730,$B55,'декабрь 2025'!$J$2:$J$2730,R$1)</f>
        <v>0</v>
      </c>
      <c r="S55" s="182">
        <f>SUMIFS('декабрь 2025'!$G$2:$G$2730,'декабрь 2025'!$D$2:$D$2730,$B55,'декабрь 2025'!$J$2:$J$2730,S$1)</f>
        <v>0</v>
      </c>
      <c r="T55" s="182">
        <f>SUMIFS('декабрь 2025'!$G$2:$G$2730,'декабрь 2025'!$D$2:$D$2730,$B55,'декабрь 2025'!$J$2:$J$2730,T$1)</f>
        <v>0</v>
      </c>
      <c r="U55" s="182">
        <f>SUMIFS('декабрь 2025'!$G$2:$G$2730,'декабрь 2025'!$D$2:$D$2730,$B55,'декабрь 2025'!$J$2:$J$2730,U$1)</f>
        <v>0</v>
      </c>
      <c r="V55" s="182">
        <f>SUMIFS('декабрь 2025'!$G$2:$G$2730,'декабрь 2025'!$D$2:$D$2730,$B55,'декабрь 2025'!$J$2:$J$2730,V$1)</f>
        <v>0</v>
      </c>
      <c r="W55" s="182">
        <f>SUMIFS('декабрь 2025'!$G$2:$G$2730,'декабрь 2025'!$D$2:$D$2730,$B55,'декабрь 2025'!$J$2:$J$2730,W$1)</f>
        <v>0</v>
      </c>
      <c r="X55" s="182">
        <f>SUMIFS('декабрь 2025'!$G$2:$G$2730,'декабрь 2025'!$D$2:$D$2730,$B55,'декабрь 2025'!$J$2:$J$2730,X$1)</f>
        <v>0</v>
      </c>
      <c r="Y55" s="182">
        <f>SUMIFS('декабрь 2025'!$G$2:$G$2730,'декабрь 2025'!$D$2:$D$2730,$B55,'декабрь 2025'!$J$2:$J$2730,Y$1)</f>
        <v>0</v>
      </c>
      <c r="Z55" s="182">
        <f>SUMIFS('декабрь 2025'!$G$2:$G$2730,'декабрь 2025'!$D$2:$D$2730,$B55,'декабрь 2025'!$J$2:$J$2730,Z$1)</f>
        <v>0</v>
      </c>
      <c r="AA55" s="182">
        <f>SUMIFS('декабрь 2025'!$G$2:$G$2730,'декабрь 2025'!$D$2:$D$2730,$B55,'декабрь 2025'!$J$2:$J$2730,AA$1)</f>
        <v>0</v>
      </c>
      <c r="AB55" s="182">
        <f>SUMIFS('декабрь 2025'!$G$2:$G$2730,'декабрь 2025'!$D$2:$D$2730,$B55,'декабрь 2025'!$J$2:$J$2730,AB$1)</f>
        <v>0</v>
      </c>
      <c r="AC55" s="182">
        <f>SUMIFS('декабрь 2025'!$G$2:$G$2730,'декабрь 2025'!$D$2:$D$2730,$B55,'декабрь 2025'!$J$2:$J$2730,AC$1)</f>
        <v>0</v>
      </c>
      <c r="AD55" s="182">
        <f>SUMIFS('декабрь 2025'!$G$2:$G$2730,'декабрь 2025'!$D$2:$D$2730,$B55,'декабрь 2025'!$J$2:$J$2730,AD$1)</f>
        <v>0</v>
      </c>
      <c r="AE55" s="182">
        <f>SUMIFS('декабрь 2025'!$G$2:$G$2730,'декабрь 2025'!$D$2:$D$2730,$B55,'декабрь 2025'!$J$2:$J$2730,AE$1)</f>
        <v>0</v>
      </c>
      <c r="AF55" s="182">
        <f>SUMIFS('декабрь 2025'!$G$2:$G$2730,'декабрь 2025'!$D$2:$D$2730,$B55,'декабрь 2025'!$J$2:$J$2730,AF$1)</f>
        <v>0</v>
      </c>
      <c r="AG55" s="182">
        <f>SUMIFS('декабрь 2025'!$G$2:$G$2730,'декабрь 2025'!$D$2:$D$2730,$B55,'декабрь 2025'!$J$2:$J$2730,AG$1)</f>
        <v>0</v>
      </c>
      <c r="AH55" s="182">
        <f>SUMIFS('декабрь 2025'!$G$2:$G$2730,'декабрь 2025'!$D$2:$D$2730,$B55,'декабрь 2025'!$J$2:$J$2730,AH$1)</f>
        <v>0</v>
      </c>
      <c r="AI55" s="20">
        <f t="shared" si="1"/>
        <v>0</v>
      </c>
    </row>
    <row r="56" spans="2:35" ht="15" customHeight="1" x14ac:dyDescent="0.25">
      <c r="B56" s="131" t="s">
        <v>244</v>
      </c>
      <c r="C56" s="132">
        <v>14</v>
      </c>
      <c r="D56" s="182">
        <f>SUMIFS('декабрь 2025'!$G$2:$G$2730,'декабрь 2025'!$D$2:$D$2730,$B56,'декабрь 2025'!$J$2:$J$2730,D$1)</f>
        <v>0</v>
      </c>
      <c r="E56" s="182">
        <f>SUMIFS('декабрь 2025'!$G$2:$G$2730,'декабрь 2025'!$D$2:$D$2730,$B56,'декабрь 2025'!$J$2:$J$2730,E$1)</f>
        <v>0</v>
      </c>
      <c r="F56" s="182">
        <f>SUMIFS('декабрь 2025'!$G$2:$G$2730,'декабрь 2025'!$D$2:$D$2730,$B56,'декабрь 2025'!$J$2:$J$2730,F$1)</f>
        <v>0</v>
      </c>
      <c r="G56" s="182">
        <f>SUMIFS('декабрь 2025'!$G$2:$G$2730,'декабрь 2025'!$D$2:$D$2730,$B56,'декабрь 2025'!$J$2:$J$2730,G$1)</f>
        <v>0</v>
      </c>
      <c r="H56" s="182">
        <f>SUMIFS('декабрь 2025'!$G$2:$G$2730,'декабрь 2025'!$D$2:$D$2730,$B56,'декабрь 2025'!$J$2:$J$2730,H$1)</f>
        <v>0</v>
      </c>
      <c r="I56" s="182">
        <f>SUMIFS('декабрь 2025'!$G$2:$G$2730,'декабрь 2025'!$D$2:$D$2730,$B56,'декабрь 2025'!$J$2:$J$2730,I$1)</f>
        <v>0</v>
      </c>
      <c r="J56" s="182">
        <f>SUMIFS('декабрь 2025'!$G$2:$G$2730,'декабрь 2025'!$D$2:$D$2730,$B56,'декабрь 2025'!$J$2:$J$2730,J$1)</f>
        <v>0</v>
      </c>
      <c r="K56" s="182">
        <f>SUMIFS('декабрь 2025'!$G$2:$G$2730,'декабрь 2025'!$D$2:$D$2730,$B56,'декабрь 2025'!$J$2:$J$2730,K$1)</f>
        <v>0</v>
      </c>
      <c r="L56" s="182">
        <f>SUMIFS('декабрь 2025'!$G$2:$G$2730,'декабрь 2025'!$D$2:$D$2730,$B56,'декабрь 2025'!$J$2:$J$2730,L$1)</f>
        <v>0</v>
      </c>
      <c r="M56" s="182">
        <f>SUMIFS('декабрь 2025'!$G$2:$G$2730,'декабрь 2025'!$D$2:$D$2730,$B56,'декабрь 2025'!$J$2:$J$2730,M$1)</f>
        <v>0</v>
      </c>
      <c r="N56" s="182">
        <f>SUMIFS('декабрь 2025'!$G$2:$G$2730,'декабрь 2025'!$D$2:$D$2730,$B56,'декабрь 2025'!$J$2:$J$2730,N$1)</f>
        <v>0</v>
      </c>
      <c r="O56" s="182">
        <f>SUMIFS('декабрь 2025'!$G$2:$G$2730,'декабрь 2025'!$D$2:$D$2730,$B56,'декабрь 2025'!$J$2:$J$2730,O$1)</f>
        <v>0</v>
      </c>
      <c r="P56" s="182">
        <f>SUMIFS('декабрь 2025'!$G$2:$G$2730,'декабрь 2025'!$D$2:$D$2730,$B56,'декабрь 2025'!$J$2:$J$2730,P$1)</f>
        <v>0</v>
      </c>
      <c r="Q56" s="182">
        <f>SUMIFS('декабрь 2025'!$G$2:$G$2730,'декабрь 2025'!$D$2:$D$2730,$B56,'декабрь 2025'!$J$2:$J$2730,Q$1)</f>
        <v>0</v>
      </c>
      <c r="R56" s="182">
        <f>SUMIFS('декабрь 2025'!$G$2:$G$2730,'декабрь 2025'!$D$2:$D$2730,$B56,'декабрь 2025'!$J$2:$J$2730,R$1)</f>
        <v>0</v>
      </c>
      <c r="S56" s="182">
        <f>SUMIFS('декабрь 2025'!$G$2:$G$2730,'декабрь 2025'!$D$2:$D$2730,$B56,'декабрь 2025'!$J$2:$J$2730,S$1)</f>
        <v>0</v>
      </c>
      <c r="T56" s="182">
        <f>SUMIFS('декабрь 2025'!$G$2:$G$2730,'декабрь 2025'!$D$2:$D$2730,$B56,'декабрь 2025'!$J$2:$J$2730,T$1)</f>
        <v>0</v>
      </c>
      <c r="U56" s="182">
        <f>SUMIFS('декабрь 2025'!$G$2:$G$2730,'декабрь 2025'!$D$2:$D$2730,$B56,'декабрь 2025'!$J$2:$J$2730,U$1)</f>
        <v>0</v>
      </c>
      <c r="V56" s="182">
        <f>SUMIFS('декабрь 2025'!$G$2:$G$2730,'декабрь 2025'!$D$2:$D$2730,$B56,'декабрь 2025'!$J$2:$J$2730,V$1)</f>
        <v>0</v>
      </c>
      <c r="W56" s="182">
        <f>SUMIFS('декабрь 2025'!$G$2:$G$2730,'декабрь 2025'!$D$2:$D$2730,$B56,'декабрь 2025'!$J$2:$J$2730,W$1)</f>
        <v>0</v>
      </c>
      <c r="X56" s="182">
        <f>SUMIFS('декабрь 2025'!$G$2:$G$2730,'декабрь 2025'!$D$2:$D$2730,$B56,'декабрь 2025'!$J$2:$J$2730,X$1)</f>
        <v>0</v>
      </c>
      <c r="Y56" s="182">
        <f>SUMIFS('декабрь 2025'!$G$2:$G$2730,'декабрь 2025'!$D$2:$D$2730,$B56,'декабрь 2025'!$J$2:$J$2730,Y$1)</f>
        <v>0</v>
      </c>
      <c r="Z56" s="182">
        <f>SUMIFS('декабрь 2025'!$G$2:$G$2730,'декабрь 2025'!$D$2:$D$2730,$B56,'декабрь 2025'!$J$2:$J$2730,Z$1)</f>
        <v>0</v>
      </c>
      <c r="AA56" s="182">
        <f>SUMIFS('декабрь 2025'!$G$2:$G$2730,'декабрь 2025'!$D$2:$D$2730,$B56,'декабрь 2025'!$J$2:$J$2730,AA$1)</f>
        <v>0</v>
      </c>
      <c r="AB56" s="182">
        <f>SUMIFS('декабрь 2025'!$G$2:$G$2730,'декабрь 2025'!$D$2:$D$2730,$B56,'декабрь 2025'!$J$2:$J$2730,AB$1)</f>
        <v>0</v>
      </c>
      <c r="AC56" s="182">
        <f>SUMIFS('декабрь 2025'!$G$2:$G$2730,'декабрь 2025'!$D$2:$D$2730,$B56,'декабрь 2025'!$J$2:$J$2730,AC$1)</f>
        <v>0</v>
      </c>
      <c r="AD56" s="182">
        <f>SUMIFS('декабрь 2025'!$G$2:$G$2730,'декабрь 2025'!$D$2:$D$2730,$B56,'декабрь 2025'!$J$2:$J$2730,AD$1)</f>
        <v>0</v>
      </c>
      <c r="AE56" s="182">
        <f>SUMIFS('декабрь 2025'!$G$2:$G$2730,'декабрь 2025'!$D$2:$D$2730,$B56,'декабрь 2025'!$J$2:$J$2730,AE$1)</f>
        <v>0</v>
      </c>
      <c r="AF56" s="182">
        <f>SUMIFS('декабрь 2025'!$G$2:$G$2730,'декабрь 2025'!$D$2:$D$2730,$B56,'декабрь 2025'!$J$2:$J$2730,AF$1)</f>
        <v>0</v>
      </c>
      <c r="AG56" s="182">
        <f>SUMIFS('декабрь 2025'!$G$2:$G$2730,'декабрь 2025'!$D$2:$D$2730,$B56,'декабрь 2025'!$J$2:$J$2730,AG$1)</f>
        <v>0</v>
      </c>
      <c r="AH56" s="182">
        <f>SUMIFS('декабрь 2025'!$G$2:$G$2730,'декабрь 2025'!$D$2:$D$2730,$B56,'декабрь 2025'!$J$2:$J$2730,AH$1)</f>
        <v>0</v>
      </c>
      <c r="AI56" s="20">
        <f t="shared" si="1"/>
        <v>0</v>
      </c>
    </row>
    <row r="57" spans="2:35" ht="15" customHeight="1" x14ac:dyDescent="0.25">
      <c r="B57" s="131" t="s">
        <v>246</v>
      </c>
      <c r="C57" s="132">
        <v>25</v>
      </c>
      <c r="D57" s="182">
        <f>SUMIFS('декабрь 2025'!$G$2:$G$2730,'декабрь 2025'!$D$2:$D$2730,$B57,'декабрь 2025'!$J$2:$J$2730,D$1)</f>
        <v>0</v>
      </c>
      <c r="E57" s="182">
        <f>SUMIFS('декабрь 2025'!$G$2:$G$2730,'декабрь 2025'!$D$2:$D$2730,$B57,'декабрь 2025'!$J$2:$J$2730,E$1)</f>
        <v>0</v>
      </c>
      <c r="F57" s="182">
        <f>SUMIFS('декабрь 2025'!$G$2:$G$2730,'декабрь 2025'!$D$2:$D$2730,$B57,'декабрь 2025'!$J$2:$J$2730,F$1)</f>
        <v>0</v>
      </c>
      <c r="G57" s="182">
        <f>SUMIFS('декабрь 2025'!$G$2:$G$2730,'декабрь 2025'!$D$2:$D$2730,$B57,'декабрь 2025'!$J$2:$J$2730,G$1)</f>
        <v>0</v>
      </c>
      <c r="H57" s="182">
        <f>SUMIFS('декабрь 2025'!$G$2:$G$2730,'декабрь 2025'!$D$2:$D$2730,$B57,'декабрь 2025'!$J$2:$J$2730,H$1)</f>
        <v>0</v>
      </c>
      <c r="I57" s="182">
        <f>SUMIFS('декабрь 2025'!$G$2:$G$2730,'декабрь 2025'!$D$2:$D$2730,$B57,'декабрь 2025'!$J$2:$J$2730,I$1)</f>
        <v>0</v>
      </c>
      <c r="J57" s="182">
        <f>SUMIFS('декабрь 2025'!$G$2:$G$2730,'декабрь 2025'!$D$2:$D$2730,$B57,'декабрь 2025'!$J$2:$J$2730,J$1)</f>
        <v>0</v>
      </c>
      <c r="K57" s="182">
        <f>SUMIFS('декабрь 2025'!$G$2:$G$2730,'декабрь 2025'!$D$2:$D$2730,$B57,'декабрь 2025'!$J$2:$J$2730,K$1)</f>
        <v>0</v>
      </c>
      <c r="L57" s="182">
        <f>SUMIFS('декабрь 2025'!$G$2:$G$2730,'декабрь 2025'!$D$2:$D$2730,$B57,'декабрь 2025'!$J$2:$J$2730,L$1)</f>
        <v>0</v>
      </c>
      <c r="M57" s="182">
        <f>SUMIFS('декабрь 2025'!$G$2:$G$2730,'декабрь 2025'!$D$2:$D$2730,$B57,'декабрь 2025'!$J$2:$J$2730,M$1)</f>
        <v>0</v>
      </c>
      <c r="N57" s="182">
        <f>SUMIFS('декабрь 2025'!$G$2:$G$2730,'декабрь 2025'!$D$2:$D$2730,$B57,'декабрь 2025'!$J$2:$J$2730,N$1)</f>
        <v>0</v>
      </c>
      <c r="O57" s="182">
        <f>SUMIFS('декабрь 2025'!$G$2:$G$2730,'декабрь 2025'!$D$2:$D$2730,$B57,'декабрь 2025'!$J$2:$J$2730,O$1)</f>
        <v>0</v>
      </c>
      <c r="P57" s="182">
        <f>SUMIFS('декабрь 2025'!$G$2:$G$2730,'декабрь 2025'!$D$2:$D$2730,$B57,'декабрь 2025'!$J$2:$J$2730,P$1)</f>
        <v>0</v>
      </c>
      <c r="Q57" s="182">
        <f>SUMIFS('декабрь 2025'!$G$2:$G$2730,'декабрь 2025'!$D$2:$D$2730,$B57,'декабрь 2025'!$J$2:$J$2730,Q$1)</f>
        <v>0</v>
      </c>
      <c r="R57" s="182">
        <f>SUMIFS('декабрь 2025'!$G$2:$G$2730,'декабрь 2025'!$D$2:$D$2730,$B57,'декабрь 2025'!$J$2:$J$2730,R$1)</f>
        <v>0</v>
      </c>
      <c r="S57" s="182">
        <f>SUMIFS('декабрь 2025'!$G$2:$G$2730,'декабрь 2025'!$D$2:$D$2730,$B57,'декабрь 2025'!$J$2:$J$2730,S$1)</f>
        <v>0</v>
      </c>
      <c r="T57" s="182">
        <f>SUMIFS('декабрь 2025'!$G$2:$G$2730,'декабрь 2025'!$D$2:$D$2730,$B57,'декабрь 2025'!$J$2:$J$2730,T$1)</f>
        <v>0</v>
      </c>
      <c r="U57" s="182">
        <f>SUMIFS('декабрь 2025'!$G$2:$G$2730,'декабрь 2025'!$D$2:$D$2730,$B57,'декабрь 2025'!$J$2:$J$2730,U$1)</f>
        <v>0</v>
      </c>
      <c r="V57" s="182">
        <f>SUMIFS('декабрь 2025'!$G$2:$G$2730,'декабрь 2025'!$D$2:$D$2730,$B57,'декабрь 2025'!$J$2:$J$2730,V$1)</f>
        <v>0</v>
      </c>
      <c r="W57" s="182">
        <f>SUMIFS('декабрь 2025'!$G$2:$G$2730,'декабрь 2025'!$D$2:$D$2730,$B57,'декабрь 2025'!$J$2:$J$2730,W$1)</f>
        <v>0</v>
      </c>
      <c r="X57" s="182">
        <f>SUMIFS('декабрь 2025'!$G$2:$G$2730,'декабрь 2025'!$D$2:$D$2730,$B57,'декабрь 2025'!$J$2:$J$2730,X$1)</f>
        <v>0</v>
      </c>
      <c r="Y57" s="182">
        <f>SUMIFS('декабрь 2025'!$G$2:$G$2730,'декабрь 2025'!$D$2:$D$2730,$B57,'декабрь 2025'!$J$2:$J$2730,Y$1)</f>
        <v>0</v>
      </c>
      <c r="Z57" s="182">
        <f>SUMIFS('декабрь 2025'!$G$2:$G$2730,'декабрь 2025'!$D$2:$D$2730,$B57,'декабрь 2025'!$J$2:$J$2730,Z$1)</f>
        <v>0</v>
      </c>
      <c r="AA57" s="182">
        <f>SUMIFS('декабрь 2025'!$G$2:$G$2730,'декабрь 2025'!$D$2:$D$2730,$B57,'декабрь 2025'!$J$2:$J$2730,AA$1)</f>
        <v>0</v>
      </c>
      <c r="AB57" s="182">
        <f>SUMIFS('декабрь 2025'!$G$2:$G$2730,'декабрь 2025'!$D$2:$D$2730,$B57,'декабрь 2025'!$J$2:$J$2730,AB$1)</f>
        <v>0</v>
      </c>
      <c r="AC57" s="182">
        <f>SUMIFS('декабрь 2025'!$G$2:$G$2730,'декабрь 2025'!$D$2:$D$2730,$B57,'декабрь 2025'!$J$2:$J$2730,AC$1)</f>
        <v>0</v>
      </c>
      <c r="AD57" s="182">
        <f>SUMIFS('декабрь 2025'!$G$2:$G$2730,'декабрь 2025'!$D$2:$D$2730,$B57,'декабрь 2025'!$J$2:$J$2730,AD$1)</f>
        <v>0</v>
      </c>
      <c r="AE57" s="182">
        <f>SUMIFS('декабрь 2025'!$G$2:$G$2730,'декабрь 2025'!$D$2:$D$2730,$B57,'декабрь 2025'!$J$2:$J$2730,AE$1)</f>
        <v>0</v>
      </c>
      <c r="AF57" s="182">
        <f>SUMIFS('декабрь 2025'!$G$2:$G$2730,'декабрь 2025'!$D$2:$D$2730,$B57,'декабрь 2025'!$J$2:$J$2730,AF$1)</f>
        <v>0</v>
      </c>
      <c r="AG57" s="182">
        <f>SUMIFS('декабрь 2025'!$G$2:$G$2730,'декабрь 2025'!$D$2:$D$2730,$B57,'декабрь 2025'!$J$2:$J$2730,AG$1)</f>
        <v>0</v>
      </c>
      <c r="AH57" s="182">
        <f>SUMIFS('декабрь 2025'!$G$2:$G$2730,'декабрь 2025'!$D$2:$D$2730,$B57,'декабрь 2025'!$J$2:$J$2730,AH$1)</f>
        <v>0</v>
      </c>
      <c r="AI57" s="20">
        <f t="shared" si="1"/>
        <v>0</v>
      </c>
    </row>
    <row r="58" spans="2:35" ht="15" customHeight="1" x14ac:dyDescent="0.25">
      <c r="B58" s="131" t="s">
        <v>252</v>
      </c>
      <c r="C58" s="132">
        <v>20</v>
      </c>
      <c r="D58" s="182">
        <f>SUMIFS('декабрь 2025'!$G$2:$G$2730,'декабрь 2025'!$D$2:$D$2730,$B58,'декабрь 2025'!$J$2:$J$2730,D$1)</f>
        <v>0</v>
      </c>
      <c r="E58" s="182">
        <f>SUMIFS('декабрь 2025'!$G$2:$G$2730,'декабрь 2025'!$D$2:$D$2730,$B58,'декабрь 2025'!$J$2:$J$2730,E$1)</f>
        <v>0</v>
      </c>
      <c r="F58" s="182">
        <f>SUMIFS('декабрь 2025'!$G$2:$G$2730,'декабрь 2025'!$D$2:$D$2730,$B58,'декабрь 2025'!$J$2:$J$2730,F$1)</f>
        <v>0</v>
      </c>
      <c r="G58" s="182">
        <f>SUMIFS('декабрь 2025'!$G$2:$G$2730,'декабрь 2025'!$D$2:$D$2730,$B58,'декабрь 2025'!$J$2:$J$2730,G$1)</f>
        <v>0</v>
      </c>
      <c r="H58" s="182">
        <f>SUMIFS('декабрь 2025'!$G$2:$G$2730,'декабрь 2025'!$D$2:$D$2730,$B58,'декабрь 2025'!$J$2:$J$2730,H$1)</f>
        <v>0</v>
      </c>
      <c r="I58" s="182">
        <f>SUMIFS('декабрь 2025'!$G$2:$G$2730,'декабрь 2025'!$D$2:$D$2730,$B58,'декабрь 2025'!$J$2:$J$2730,I$1)</f>
        <v>0</v>
      </c>
      <c r="J58" s="182">
        <f>SUMIFS('декабрь 2025'!$G$2:$G$2730,'декабрь 2025'!$D$2:$D$2730,$B58,'декабрь 2025'!$J$2:$J$2730,J$1)</f>
        <v>0</v>
      </c>
      <c r="K58" s="182">
        <f>SUMIFS('декабрь 2025'!$G$2:$G$2730,'декабрь 2025'!$D$2:$D$2730,$B58,'декабрь 2025'!$J$2:$J$2730,K$1)</f>
        <v>0</v>
      </c>
      <c r="L58" s="182">
        <f>SUMIFS('декабрь 2025'!$G$2:$G$2730,'декабрь 2025'!$D$2:$D$2730,$B58,'декабрь 2025'!$J$2:$J$2730,L$1)</f>
        <v>0</v>
      </c>
      <c r="M58" s="182">
        <f>SUMIFS('декабрь 2025'!$G$2:$G$2730,'декабрь 2025'!$D$2:$D$2730,$B58,'декабрь 2025'!$J$2:$J$2730,M$1)</f>
        <v>0</v>
      </c>
      <c r="N58" s="182">
        <f>SUMIFS('декабрь 2025'!$G$2:$G$2730,'декабрь 2025'!$D$2:$D$2730,$B58,'декабрь 2025'!$J$2:$J$2730,N$1)</f>
        <v>0</v>
      </c>
      <c r="O58" s="182">
        <f>SUMIFS('декабрь 2025'!$G$2:$G$2730,'декабрь 2025'!$D$2:$D$2730,$B58,'декабрь 2025'!$J$2:$J$2730,O$1)</f>
        <v>0</v>
      </c>
      <c r="P58" s="182">
        <f>SUMIFS('декабрь 2025'!$G$2:$G$2730,'декабрь 2025'!$D$2:$D$2730,$B58,'декабрь 2025'!$J$2:$J$2730,P$1)</f>
        <v>0</v>
      </c>
      <c r="Q58" s="182">
        <f>SUMIFS('декабрь 2025'!$G$2:$G$2730,'декабрь 2025'!$D$2:$D$2730,$B58,'декабрь 2025'!$J$2:$J$2730,Q$1)</f>
        <v>0</v>
      </c>
      <c r="R58" s="182">
        <f>SUMIFS('декабрь 2025'!$G$2:$G$2730,'декабрь 2025'!$D$2:$D$2730,$B58,'декабрь 2025'!$J$2:$J$2730,R$1)</f>
        <v>0</v>
      </c>
      <c r="S58" s="182">
        <f>SUMIFS('декабрь 2025'!$G$2:$G$2730,'декабрь 2025'!$D$2:$D$2730,$B58,'декабрь 2025'!$J$2:$J$2730,S$1)</f>
        <v>0</v>
      </c>
      <c r="T58" s="182">
        <f>SUMIFS('декабрь 2025'!$G$2:$G$2730,'декабрь 2025'!$D$2:$D$2730,$B58,'декабрь 2025'!$J$2:$J$2730,T$1)</f>
        <v>0</v>
      </c>
      <c r="U58" s="182">
        <f>SUMIFS('декабрь 2025'!$G$2:$G$2730,'декабрь 2025'!$D$2:$D$2730,$B58,'декабрь 2025'!$J$2:$J$2730,U$1)</f>
        <v>0</v>
      </c>
      <c r="V58" s="182">
        <f>SUMIFS('декабрь 2025'!$G$2:$G$2730,'декабрь 2025'!$D$2:$D$2730,$B58,'декабрь 2025'!$J$2:$J$2730,V$1)</f>
        <v>400</v>
      </c>
      <c r="W58" s="182">
        <f>SUMIFS('декабрь 2025'!$G$2:$G$2730,'декабрь 2025'!$D$2:$D$2730,$B58,'декабрь 2025'!$J$2:$J$2730,W$1)</f>
        <v>0</v>
      </c>
      <c r="X58" s="182">
        <f>SUMIFS('декабрь 2025'!$G$2:$G$2730,'декабрь 2025'!$D$2:$D$2730,$B58,'декабрь 2025'!$J$2:$J$2730,X$1)</f>
        <v>0</v>
      </c>
      <c r="Y58" s="182">
        <f>SUMIFS('декабрь 2025'!$G$2:$G$2730,'декабрь 2025'!$D$2:$D$2730,$B58,'декабрь 2025'!$J$2:$J$2730,Y$1)</f>
        <v>0</v>
      </c>
      <c r="Z58" s="182">
        <f>SUMIFS('декабрь 2025'!$G$2:$G$2730,'декабрь 2025'!$D$2:$D$2730,$B58,'декабрь 2025'!$J$2:$J$2730,Z$1)</f>
        <v>0</v>
      </c>
      <c r="AA58" s="182">
        <f>SUMIFS('декабрь 2025'!$G$2:$G$2730,'декабрь 2025'!$D$2:$D$2730,$B58,'декабрь 2025'!$J$2:$J$2730,AA$1)</f>
        <v>0</v>
      </c>
      <c r="AB58" s="182">
        <f>SUMIFS('декабрь 2025'!$G$2:$G$2730,'декабрь 2025'!$D$2:$D$2730,$B58,'декабрь 2025'!$J$2:$J$2730,AB$1)</f>
        <v>0</v>
      </c>
      <c r="AC58" s="182">
        <f>SUMIFS('декабрь 2025'!$G$2:$G$2730,'декабрь 2025'!$D$2:$D$2730,$B58,'декабрь 2025'!$J$2:$J$2730,AC$1)</f>
        <v>0</v>
      </c>
      <c r="AD58" s="182">
        <f>SUMIFS('декабрь 2025'!$G$2:$G$2730,'декабрь 2025'!$D$2:$D$2730,$B58,'декабрь 2025'!$J$2:$J$2730,AD$1)</f>
        <v>0</v>
      </c>
      <c r="AE58" s="182">
        <f>SUMIFS('декабрь 2025'!$G$2:$G$2730,'декабрь 2025'!$D$2:$D$2730,$B58,'декабрь 2025'!$J$2:$J$2730,AE$1)</f>
        <v>0</v>
      </c>
      <c r="AF58" s="182">
        <f>SUMIFS('декабрь 2025'!$G$2:$G$2730,'декабрь 2025'!$D$2:$D$2730,$B58,'декабрь 2025'!$J$2:$J$2730,AF$1)</f>
        <v>0</v>
      </c>
      <c r="AG58" s="182">
        <f>SUMIFS('декабрь 2025'!$G$2:$G$2730,'декабрь 2025'!$D$2:$D$2730,$B58,'декабрь 2025'!$J$2:$J$2730,AG$1)</f>
        <v>0</v>
      </c>
      <c r="AH58" s="182">
        <f>SUMIFS('декабрь 2025'!$G$2:$G$2730,'декабрь 2025'!$D$2:$D$2730,$B58,'декабрь 2025'!$J$2:$J$2730,AH$1)</f>
        <v>0</v>
      </c>
      <c r="AI58" s="20">
        <f t="shared" si="1"/>
        <v>400</v>
      </c>
    </row>
    <row r="59" spans="2:35" ht="15" customHeight="1" x14ac:dyDescent="0.25">
      <c r="B59" s="131" t="s">
        <v>1156</v>
      </c>
      <c r="C59" s="132">
        <v>20</v>
      </c>
      <c r="D59" s="182">
        <f>SUMIFS('декабрь 2025'!$G$2:$G$2730,'декабрь 2025'!$D$2:$D$2730,$B59,'декабрь 2025'!$J$2:$J$2730,D$1)</f>
        <v>0</v>
      </c>
      <c r="E59" s="182">
        <f>SUMIFS('декабрь 2025'!$G$2:$G$2730,'декабрь 2025'!$D$2:$D$2730,$B59,'декабрь 2025'!$J$2:$J$2730,E$1)</f>
        <v>0</v>
      </c>
      <c r="F59" s="182">
        <f>SUMIFS('декабрь 2025'!$G$2:$G$2730,'декабрь 2025'!$D$2:$D$2730,$B59,'декабрь 2025'!$J$2:$J$2730,F$1)</f>
        <v>0</v>
      </c>
      <c r="G59" s="182">
        <f>SUMIFS('декабрь 2025'!$G$2:$G$2730,'декабрь 2025'!$D$2:$D$2730,$B59,'декабрь 2025'!$J$2:$J$2730,G$1)</f>
        <v>0</v>
      </c>
      <c r="H59" s="182">
        <f>SUMIFS('декабрь 2025'!$G$2:$G$2730,'декабрь 2025'!$D$2:$D$2730,$B59,'декабрь 2025'!$J$2:$J$2730,H$1)</f>
        <v>0</v>
      </c>
      <c r="I59" s="182">
        <f>SUMIFS('декабрь 2025'!$G$2:$G$2730,'декабрь 2025'!$D$2:$D$2730,$B59,'декабрь 2025'!$J$2:$J$2730,I$1)</f>
        <v>0</v>
      </c>
      <c r="J59" s="182">
        <f>SUMIFS('декабрь 2025'!$G$2:$G$2730,'декабрь 2025'!$D$2:$D$2730,$B59,'декабрь 2025'!$J$2:$J$2730,J$1)</f>
        <v>0</v>
      </c>
      <c r="K59" s="182">
        <f>SUMIFS('декабрь 2025'!$G$2:$G$2730,'декабрь 2025'!$D$2:$D$2730,$B59,'декабрь 2025'!$J$2:$J$2730,K$1)</f>
        <v>0</v>
      </c>
      <c r="L59" s="182">
        <f>SUMIFS('декабрь 2025'!$G$2:$G$2730,'декабрь 2025'!$D$2:$D$2730,$B59,'декабрь 2025'!$J$2:$J$2730,L$1)</f>
        <v>0</v>
      </c>
      <c r="M59" s="182">
        <f>SUMIFS('декабрь 2025'!$G$2:$G$2730,'декабрь 2025'!$D$2:$D$2730,$B59,'декабрь 2025'!$J$2:$J$2730,M$1)</f>
        <v>0</v>
      </c>
      <c r="N59" s="182">
        <f>SUMIFS('декабрь 2025'!$G$2:$G$2730,'декабрь 2025'!$D$2:$D$2730,$B59,'декабрь 2025'!$J$2:$J$2730,N$1)</f>
        <v>0</v>
      </c>
      <c r="O59" s="182">
        <f>SUMIFS('декабрь 2025'!$G$2:$G$2730,'декабрь 2025'!$D$2:$D$2730,$B59,'декабрь 2025'!$J$2:$J$2730,O$1)</f>
        <v>0</v>
      </c>
      <c r="P59" s="182">
        <f>SUMIFS('декабрь 2025'!$G$2:$G$2730,'декабрь 2025'!$D$2:$D$2730,$B59,'декабрь 2025'!$J$2:$J$2730,P$1)</f>
        <v>0</v>
      </c>
      <c r="Q59" s="182">
        <f>SUMIFS('декабрь 2025'!$G$2:$G$2730,'декабрь 2025'!$D$2:$D$2730,$B59,'декабрь 2025'!$J$2:$J$2730,Q$1)</f>
        <v>0</v>
      </c>
      <c r="R59" s="182">
        <f>SUMIFS('декабрь 2025'!$G$2:$G$2730,'декабрь 2025'!$D$2:$D$2730,$B59,'декабрь 2025'!$J$2:$J$2730,R$1)</f>
        <v>0</v>
      </c>
      <c r="S59" s="182">
        <f>SUMIFS('декабрь 2025'!$G$2:$G$2730,'декабрь 2025'!$D$2:$D$2730,$B59,'декабрь 2025'!$J$2:$J$2730,S$1)</f>
        <v>0</v>
      </c>
      <c r="T59" s="182">
        <f>SUMIFS('декабрь 2025'!$G$2:$G$2730,'декабрь 2025'!$D$2:$D$2730,$B59,'декабрь 2025'!$J$2:$J$2730,T$1)</f>
        <v>0</v>
      </c>
      <c r="U59" s="182">
        <f>SUMIFS('декабрь 2025'!$G$2:$G$2730,'декабрь 2025'!$D$2:$D$2730,$B59,'декабрь 2025'!$J$2:$J$2730,U$1)</f>
        <v>0</v>
      </c>
      <c r="V59" s="182">
        <f>SUMIFS('декабрь 2025'!$G$2:$G$2730,'декабрь 2025'!$D$2:$D$2730,$B59,'декабрь 2025'!$J$2:$J$2730,V$1)</f>
        <v>0</v>
      </c>
      <c r="W59" s="182">
        <f>SUMIFS('декабрь 2025'!$G$2:$G$2730,'декабрь 2025'!$D$2:$D$2730,$B59,'декабрь 2025'!$J$2:$J$2730,W$1)</f>
        <v>0</v>
      </c>
      <c r="X59" s="182">
        <f>SUMIFS('декабрь 2025'!$G$2:$G$2730,'декабрь 2025'!$D$2:$D$2730,$B59,'декабрь 2025'!$J$2:$J$2730,X$1)</f>
        <v>0</v>
      </c>
      <c r="Y59" s="182">
        <f>SUMIFS('декабрь 2025'!$G$2:$G$2730,'декабрь 2025'!$D$2:$D$2730,$B59,'декабрь 2025'!$J$2:$J$2730,Y$1)</f>
        <v>0</v>
      </c>
      <c r="Z59" s="182">
        <f>SUMIFS('декабрь 2025'!$G$2:$G$2730,'декабрь 2025'!$D$2:$D$2730,$B59,'декабрь 2025'!$J$2:$J$2730,Z$1)</f>
        <v>0</v>
      </c>
      <c r="AA59" s="182">
        <f>SUMIFS('декабрь 2025'!$G$2:$G$2730,'декабрь 2025'!$D$2:$D$2730,$B59,'декабрь 2025'!$J$2:$J$2730,AA$1)</f>
        <v>0</v>
      </c>
      <c r="AB59" s="182">
        <f>SUMIFS('декабрь 2025'!$G$2:$G$2730,'декабрь 2025'!$D$2:$D$2730,$B59,'декабрь 2025'!$J$2:$J$2730,AB$1)</f>
        <v>0</v>
      </c>
      <c r="AC59" s="182">
        <f>SUMIFS('декабрь 2025'!$G$2:$G$2730,'декабрь 2025'!$D$2:$D$2730,$B59,'декабрь 2025'!$J$2:$J$2730,AC$1)</f>
        <v>0</v>
      </c>
      <c r="AD59" s="182">
        <f>SUMIFS('декабрь 2025'!$G$2:$G$2730,'декабрь 2025'!$D$2:$D$2730,$B59,'декабрь 2025'!$J$2:$J$2730,AD$1)</f>
        <v>0</v>
      </c>
      <c r="AE59" s="182">
        <f>SUMIFS('декабрь 2025'!$G$2:$G$2730,'декабрь 2025'!$D$2:$D$2730,$B59,'декабрь 2025'!$J$2:$J$2730,AE$1)</f>
        <v>0</v>
      </c>
      <c r="AF59" s="182">
        <f>SUMIFS('декабрь 2025'!$G$2:$G$2730,'декабрь 2025'!$D$2:$D$2730,$B59,'декабрь 2025'!$J$2:$J$2730,AF$1)</f>
        <v>0</v>
      </c>
      <c r="AG59" s="182">
        <f>SUMIFS('декабрь 2025'!$G$2:$G$2730,'декабрь 2025'!$D$2:$D$2730,$B59,'декабрь 2025'!$J$2:$J$2730,AG$1)</f>
        <v>0</v>
      </c>
      <c r="AH59" s="182">
        <f>SUMIFS('декабрь 2025'!$G$2:$G$2730,'декабрь 2025'!$D$2:$D$2730,$B59,'декабрь 2025'!$J$2:$J$2730,AH$1)</f>
        <v>0</v>
      </c>
      <c r="AI59" s="20">
        <f t="shared" si="1"/>
        <v>0</v>
      </c>
    </row>
    <row r="60" spans="2:35" ht="15" customHeight="1" x14ac:dyDescent="0.25">
      <c r="B60" s="127" t="s">
        <v>253</v>
      </c>
      <c r="C60" s="132">
        <v>20</v>
      </c>
      <c r="D60" s="182">
        <f>SUMIFS('декабрь 2025'!$G$2:$G$2730,'декабрь 2025'!$D$2:$D$2730,$B60,'декабрь 2025'!$J$2:$J$2730,D$1)</f>
        <v>0</v>
      </c>
      <c r="E60" s="182">
        <f>SUMIFS('декабрь 2025'!$G$2:$G$2730,'декабрь 2025'!$D$2:$D$2730,$B60,'декабрь 2025'!$J$2:$J$2730,E$1)</f>
        <v>0</v>
      </c>
      <c r="F60" s="182">
        <f>SUMIFS('декабрь 2025'!$G$2:$G$2730,'декабрь 2025'!$D$2:$D$2730,$B60,'декабрь 2025'!$J$2:$J$2730,F$1)</f>
        <v>0</v>
      </c>
      <c r="G60" s="182">
        <f>SUMIFS('декабрь 2025'!$G$2:$G$2730,'декабрь 2025'!$D$2:$D$2730,$B60,'декабрь 2025'!$J$2:$J$2730,G$1)</f>
        <v>0</v>
      </c>
      <c r="H60" s="182">
        <f>SUMIFS('декабрь 2025'!$G$2:$G$2730,'декабрь 2025'!$D$2:$D$2730,$B60,'декабрь 2025'!$J$2:$J$2730,H$1)</f>
        <v>0</v>
      </c>
      <c r="I60" s="182">
        <f>SUMIFS('декабрь 2025'!$G$2:$G$2730,'декабрь 2025'!$D$2:$D$2730,$B60,'декабрь 2025'!$J$2:$J$2730,I$1)</f>
        <v>0</v>
      </c>
      <c r="J60" s="182">
        <f>SUMIFS('декабрь 2025'!$G$2:$G$2730,'декабрь 2025'!$D$2:$D$2730,$B60,'декабрь 2025'!$J$2:$J$2730,J$1)</f>
        <v>0</v>
      </c>
      <c r="K60" s="182">
        <f>SUMIFS('декабрь 2025'!$G$2:$G$2730,'декабрь 2025'!$D$2:$D$2730,$B60,'декабрь 2025'!$J$2:$J$2730,K$1)</f>
        <v>0</v>
      </c>
      <c r="L60" s="182">
        <f>SUMIFS('декабрь 2025'!$G$2:$G$2730,'декабрь 2025'!$D$2:$D$2730,$B60,'декабрь 2025'!$J$2:$J$2730,L$1)</f>
        <v>0</v>
      </c>
      <c r="M60" s="182">
        <f>SUMIFS('декабрь 2025'!$G$2:$G$2730,'декабрь 2025'!$D$2:$D$2730,$B60,'декабрь 2025'!$J$2:$J$2730,M$1)</f>
        <v>0</v>
      </c>
      <c r="N60" s="182">
        <f>SUMIFS('декабрь 2025'!$G$2:$G$2730,'декабрь 2025'!$D$2:$D$2730,$B60,'декабрь 2025'!$J$2:$J$2730,N$1)</f>
        <v>0</v>
      </c>
      <c r="O60" s="182">
        <f>SUMIFS('декабрь 2025'!$G$2:$G$2730,'декабрь 2025'!$D$2:$D$2730,$B60,'декабрь 2025'!$J$2:$J$2730,O$1)</f>
        <v>0</v>
      </c>
      <c r="P60" s="182">
        <f>SUMIFS('декабрь 2025'!$G$2:$G$2730,'декабрь 2025'!$D$2:$D$2730,$B60,'декабрь 2025'!$J$2:$J$2730,P$1)</f>
        <v>0</v>
      </c>
      <c r="Q60" s="182">
        <f>SUMIFS('декабрь 2025'!$G$2:$G$2730,'декабрь 2025'!$D$2:$D$2730,$B60,'декабрь 2025'!$J$2:$J$2730,Q$1)</f>
        <v>0</v>
      </c>
      <c r="R60" s="182">
        <f>SUMIFS('декабрь 2025'!$G$2:$G$2730,'декабрь 2025'!$D$2:$D$2730,$B60,'декабрь 2025'!$J$2:$J$2730,R$1)</f>
        <v>0</v>
      </c>
      <c r="S60" s="182">
        <f>SUMIFS('декабрь 2025'!$G$2:$G$2730,'декабрь 2025'!$D$2:$D$2730,$B60,'декабрь 2025'!$J$2:$J$2730,S$1)</f>
        <v>0</v>
      </c>
      <c r="T60" s="182">
        <f>SUMIFS('декабрь 2025'!$G$2:$G$2730,'декабрь 2025'!$D$2:$D$2730,$B60,'декабрь 2025'!$J$2:$J$2730,T$1)</f>
        <v>0</v>
      </c>
      <c r="U60" s="182">
        <f>SUMIFS('декабрь 2025'!$G$2:$G$2730,'декабрь 2025'!$D$2:$D$2730,$B60,'декабрь 2025'!$J$2:$J$2730,U$1)</f>
        <v>0</v>
      </c>
      <c r="V60" s="182">
        <f>SUMIFS('декабрь 2025'!$G$2:$G$2730,'декабрь 2025'!$D$2:$D$2730,$B60,'декабрь 2025'!$J$2:$J$2730,V$1)</f>
        <v>0</v>
      </c>
      <c r="W60" s="182">
        <f>SUMIFS('декабрь 2025'!$G$2:$G$2730,'декабрь 2025'!$D$2:$D$2730,$B60,'декабрь 2025'!$J$2:$J$2730,W$1)</f>
        <v>0</v>
      </c>
      <c r="X60" s="182">
        <f>SUMIFS('декабрь 2025'!$G$2:$G$2730,'декабрь 2025'!$D$2:$D$2730,$B60,'декабрь 2025'!$J$2:$J$2730,X$1)</f>
        <v>0</v>
      </c>
      <c r="Y60" s="182">
        <f>SUMIFS('декабрь 2025'!$G$2:$G$2730,'декабрь 2025'!$D$2:$D$2730,$B60,'декабрь 2025'!$J$2:$J$2730,Y$1)</f>
        <v>0</v>
      </c>
      <c r="Z60" s="182">
        <f>SUMIFS('декабрь 2025'!$G$2:$G$2730,'декабрь 2025'!$D$2:$D$2730,$B60,'декабрь 2025'!$J$2:$J$2730,Z$1)</f>
        <v>0</v>
      </c>
      <c r="AA60" s="182">
        <f>SUMIFS('декабрь 2025'!$G$2:$G$2730,'декабрь 2025'!$D$2:$D$2730,$B60,'декабрь 2025'!$J$2:$J$2730,AA$1)</f>
        <v>0</v>
      </c>
      <c r="AB60" s="182">
        <f>SUMIFS('декабрь 2025'!$G$2:$G$2730,'декабрь 2025'!$D$2:$D$2730,$B60,'декабрь 2025'!$J$2:$J$2730,AB$1)</f>
        <v>0</v>
      </c>
      <c r="AC60" s="182">
        <f>SUMIFS('декабрь 2025'!$G$2:$G$2730,'декабрь 2025'!$D$2:$D$2730,$B60,'декабрь 2025'!$J$2:$J$2730,AC$1)</f>
        <v>0</v>
      </c>
      <c r="AD60" s="182">
        <f>SUMIFS('декабрь 2025'!$G$2:$G$2730,'декабрь 2025'!$D$2:$D$2730,$B60,'декабрь 2025'!$J$2:$J$2730,AD$1)</f>
        <v>0</v>
      </c>
      <c r="AE60" s="182">
        <f>SUMIFS('декабрь 2025'!$G$2:$G$2730,'декабрь 2025'!$D$2:$D$2730,$B60,'декабрь 2025'!$J$2:$J$2730,AE$1)</f>
        <v>0</v>
      </c>
      <c r="AF60" s="182">
        <f>SUMIFS('декабрь 2025'!$G$2:$G$2730,'декабрь 2025'!$D$2:$D$2730,$B60,'декабрь 2025'!$J$2:$J$2730,AF$1)</f>
        <v>0</v>
      </c>
      <c r="AG60" s="182">
        <f>SUMIFS('декабрь 2025'!$G$2:$G$2730,'декабрь 2025'!$D$2:$D$2730,$B60,'декабрь 2025'!$J$2:$J$2730,AG$1)</f>
        <v>0</v>
      </c>
      <c r="AH60" s="182">
        <f>SUMIFS('декабрь 2025'!$G$2:$G$2730,'декабрь 2025'!$D$2:$D$2730,$B60,'декабрь 2025'!$J$2:$J$2730,AH$1)</f>
        <v>0</v>
      </c>
      <c r="AI60" s="20">
        <f t="shared" si="1"/>
        <v>0</v>
      </c>
    </row>
    <row r="61" spans="2:35" ht="15" customHeight="1" x14ac:dyDescent="0.25">
      <c r="B61" s="131" t="s">
        <v>254</v>
      </c>
      <c r="C61" s="132">
        <v>20</v>
      </c>
      <c r="D61" s="182">
        <f>SUMIFS('декабрь 2025'!$G$2:$G$2730,'декабрь 2025'!$D$2:$D$2730,$B61,'декабрь 2025'!$J$2:$J$2730,D$1)</f>
        <v>0</v>
      </c>
      <c r="E61" s="182">
        <f>SUMIFS('декабрь 2025'!$G$2:$G$2730,'декабрь 2025'!$D$2:$D$2730,$B61,'декабрь 2025'!$J$2:$J$2730,E$1)</f>
        <v>0</v>
      </c>
      <c r="F61" s="182">
        <f>SUMIFS('декабрь 2025'!$G$2:$G$2730,'декабрь 2025'!$D$2:$D$2730,$B61,'декабрь 2025'!$J$2:$J$2730,F$1)</f>
        <v>0</v>
      </c>
      <c r="G61" s="182">
        <f>SUMIFS('декабрь 2025'!$G$2:$G$2730,'декабрь 2025'!$D$2:$D$2730,$B61,'декабрь 2025'!$J$2:$J$2730,G$1)</f>
        <v>0</v>
      </c>
      <c r="H61" s="182">
        <f>SUMIFS('декабрь 2025'!$G$2:$G$2730,'декабрь 2025'!$D$2:$D$2730,$B61,'декабрь 2025'!$J$2:$J$2730,H$1)</f>
        <v>0</v>
      </c>
      <c r="I61" s="182">
        <f>SUMIFS('декабрь 2025'!$G$2:$G$2730,'декабрь 2025'!$D$2:$D$2730,$B61,'декабрь 2025'!$J$2:$J$2730,I$1)</f>
        <v>0</v>
      </c>
      <c r="J61" s="182">
        <f>SUMIFS('декабрь 2025'!$G$2:$G$2730,'декабрь 2025'!$D$2:$D$2730,$B61,'декабрь 2025'!$J$2:$J$2730,J$1)</f>
        <v>0</v>
      </c>
      <c r="K61" s="182">
        <f>SUMIFS('декабрь 2025'!$G$2:$G$2730,'декабрь 2025'!$D$2:$D$2730,$B61,'декабрь 2025'!$J$2:$J$2730,K$1)</f>
        <v>0</v>
      </c>
      <c r="L61" s="182">
        <f>SUMIFS('декабрь 2025'!$G$2:$G$2730,'декабрь 2025'!$D$2:$D$2730,$B61,'декабрь 2025'!$J$2:$J$2730,L$1)</f>
        <v>0</v>
      </c>
      <c r="M61" s="182">
        <f>SUMIFS('декабрь 2025'!$G$2:$G$2730,'декабрь 2025'!$D$2:$D$2730,$B61,'декабрь 2025'!$J$2:$J$2730,M$1)</f>
        <v>0</v>
      </c>
      <c r="N61" s="182">
        <f>SUMIFS('декабрь 2025'!$G$2:$G$2730,'декабрь 2025'!$D$2:$D$2730,$B61,'декабрь 2025'!$J$2:$J$2730,N$1)</f>
        <v>0</v>
      </c>
      <c r="O61" s="182">
        <f>SUMIFS('декабрь 2025'!$G$2:$G$2730,'декабрь 2025'!$D$2:$D$2730,$B61,'декабрь 2025'!$J$2:$J$2730,O$1)</f>
        <v>0</v>
      </c>
      <c r="P61" s="182">
        <f>SUMIFS('декабрь 2025'!$G$2:$G$2730,'декабрь 2025'!$D$2:$D$2730,$B61,'декабрь 2025'!$J$2:$J$2730,P$1)</f>
        <v>0</v>
      </c>
      <c r="Q61" s="182">
        <f>SUMIFS('декабрь 2025'!$G$2:$G$2730,'декабрь 2025'!$D$2:$D$2730,$B61,'декабрь 2025'!$J$2:$J$2730,Q$1)</f>
        <v>0</v>
      </c>
      <c r="R61" s="182">
        <f>SUMIFS('декабрь 2025'!$G$2:$G$2730,'декабрь 2025'!$D$2:$D$2730,$B61,'декабрь 2025'!$J$2:$J$2730,R$1)</f>
        <v>0</v>
      </c>
      <c r="S61" s="182">
        <f>SUMIFS('декабрь 2025'!$G$2:$G$2730,'декабрь 2025'!$D$2:$D$2730,$B61,'декабрь 2025'!$J$2:$J$2730,S$1)</f>
        <v>0</v>
      </c>
      <c r="T61" s="182">
        <f>SUMIFS('декабрь 2025'!$G$2:$G$2730,'декабрь 2025'!$D$2:$D$2730,$B61,'декабрь 2025'!$J$2:$J$2730,T$1)</f>
        <v>0</v>
      </c>
      <c r="U61" s="182">
        <f>SUMIFS('декабрь 2025'!$G$2:$G$2730,'декабрь 2025'!$D$2:$D$2730,$B61,'декабрь 2025'!$J$2:$J$2730,U$1)</f>
        <v>0</v>
      </c>
      <c r="V61" s="182">
        <f>SUMIFS('декабрь 2025'!$G$2:$G$2730,'декабрь 2025'!$D$2:$D$2730,$B61,'декабрь 2025'!$J$2:$J$2730,V$1)</f>
        <v>0</v>
      </c>
      <c r="W61" s="182">
        <f>SUMIFS('декабрь 2025'!$G$2:$G$2730,'декабрь 2025'!$D$2:$D$2730,$B61,'декабрь 2025'!$J$2:$J$2730,W$1)</f>
        <v>0</v>
      </c>
      <c r="X61" s="182">
        <f>SUMIFS('декабрь 2025'!$G$2:$G$2730,'декабрь 2025'!$D$2:$D$2730,$B61,'декабрь 2025'!$J$2:$J$2730,X$1)</f>
        <v>0</v>
      </c>
      <c r="Y61" s="182">
        <f>SUMIFS('декабрь 2025'!$G$2:$G$2730,'декабрь 2025'!$D$2:$D$2730,$B61,'декабрь 2025'!$J$2:$J$2730,Y$1)</f>
        <v>0</v>
      </c>
      <c r="Z61" s="182">
        <f>SUMIFS('декабрь 2025'!$G$2:$G$2730,'декабрь 2025'!$D$2:$D$2730,$B61,'декабрь 2025'!$J$2:$J$2730,Z$1)</f>
        <v>0</v>
      </c>
      <c r="AA61" s="182">
        <f>SUMIFS('декабрь 2025'!$G$2:$G$2730,'декабрь 2025'!$D$2:$D$2730,$B61,'декабрь 2025'!$J$2:$J$2730,AA$1)</f>
        <v>0</v>
      </c>
      <c r="AB61" s="182">
        <f>SUMIFS('декабрь 2025'!$G$2:$G$2730,'декабрь 2025'!$D$2:$D$2730,$B61,'декабрь 2025'!$J$2:$J$2730,AB$1)</f>
        <v>0</v>
      </c>
      <c r="AC61" s="182">
        <f>SUMIFS('декабрь 2025'!$G$2:$G$2730,'декабрь 2025'!$D$2:$D$2730,$B61,'декабрь 2025'!$J$2:$J$2730,AC$1)</f>
        <v>0</v>
      </c>
      <c r="AD61" s="182">
        <f>SUMIFS('декабрь 2025'!$G$2:$G$2730,'декабрь 2025'!$D$2:$D$2730,$B61,'декабрь 2025'!$J$2:$J$2730,AD$1)</f>
        <v>0</v>
      </c>
      <c r="AE61" s="182">
        <f>SUMIFS('декабрь 2025'!$G$2:$G$2730,'декабрь 2025'!$D$2:$D$2730,$B61,'декабрь 2025'!$J$2:$J$2730,AE$1)</f>
        <v>0</v>
      </c>
      <c r="AF61" s="182">
        <f>SUMIFS('декабрь 2025'!$G$2:$G$2730,'декабрь 2025'!$D$2:$D$2730,$B61,'декабрь 2025'!$J$2:$J$2730,AF$1)</f>
        <v>0</v>
      </c>
      <c r="AG61" s="182">
        <f>SUMIFS('декабрь 2025'!$G$2:$G$2730,'декабрь 2025'!$D$2:$D$2730,$B61,'декабрь 2025'!$J$2:$J$2730,AG$1)</f>
        <v>0</v>
      </c>
      <c r="AH61" s="182">
        <f>SUMIFS('декабрь 2025'!$G$2:$G$2730,'декабрь 2025'!$D$2:$D$2730,$B61,'декабрь 2025'!$J$2:$J$2730,AH$1)</f>
        <v>0</v>
      </c>
      <c r="AI61" s="20">
        <f t="shared" si="1"/>
        <v>0</v>
      </c>
    </row>
    <row r="62" spans="2:35" ht="15" customHeight="1" x14ac:dyDescent="0.25">
      <c r="B62" s="131" t="s">
        <v>255</v>
      </c>
      <c r="C62" s="132">
        <v>20</v>
      </c>
      <c r="D62" s="182">
        <f>SUMIFS('декабрь 2025'!$G$2:$G$2730,'декабрь 2025'!$D$2:$D$2730,$B62,'декабрь 2025'!$J$2:$J$2730,D$1)</f>
        <v>0</v>
      </c>
      <c r="E62" s="182">
        <f>SUMIFS('декабрь 2025'!$G$2:$G$2730,'декабрь 2025'!$D$2:$D$2730,$B62,'декабрь 2025'!$J$2:$J$2730,E$1)</f>
        <v>0</v>
      </c>
      <c r="F62" s="182">
        <f>SUMIFS('декабрь 2025'!$G$2:$G$2730,'декабрь 2025'!$D$2:$D$2730,$B62,'декабрь 2025'!$J$2:$J$2730,F$1)</f>
        <v>0</v>
      </c>
      <c r="G62" s="182">
        <f>SUMIFS('декабрь 2025'!$G$2:$G$2730,'декабрь 2025'!$D$2:$D$2730,$B62,'декабрь 2025'!$J$2:$J$2730,G$1)</f>
        <v>0</v>
      </c>
      <c r="H62" s="182">
        <f>SUMIFS('декабрь 2025'!$G$2:$G$2730,'декабрь 2025'!$D$2:$D$2730,$B62,'декабрь 2025'!$J$2:$J$2730,H$1)</f>
        <v>0</v>
      </c>
      <c r="I62" s="182">
        <f>SUMIFS('декабрь 2025'!$G$2:$G$2730,'декабрь 2025'!$D$2:$D$2730,$B62,'декабрь 2025'!$J$2:$J$2730,I$1)</f>
        <v>0</v>
      </c>
      <c r="J62" s="182">
        <f>SUMIFS('декабрь 2025'!$G$2:$G$2730,'декабрь 2025'!$D$2:$D$2730,$B62,'декабрь 2025'!$J$2:$J$2730,J$1)</f>
        <v>0</v>
      </c>
      <c r="K62" s="182">
        <f>SUMIFS('декабрь 2025'!$G$2:$G$2730,'декабрь 2025'!$D$2:$D$2730,$B62,'декабрь 2025'!$J$2:$J$2730,K$1)</f>
        <v>0</v>
      </c>
      <c r="L62" s="182">
        <f>SUMIFS('декабрь 2025'!$G$2:$G$2730,'декабрь 2025'!$D$2:$D$2730,$B62,'декабрь 2025'!$J$2:$J$2730,L$1)</f>
        <v>0</v>
      </c>
      <c r="M62" s="182">
        <f>SUMIFS('декабрь 2025'!$G$2:$G$2730,'декабрь 2025'!$D$2:$D$2730,$B62,'декабрь 2025'!$J$2:$J$2730,M$1)</f>
        <v>0</v>
      </c>
      <c r="N62" s="182">
        <f>SUMIFS('декабрь 2025'!$G$2:$G$2730,'декабрь 2025'!$D$2:$D$2730,$B62,'декабрь 2025'!$J$2:$J$2730,N$1)</f>
        <v>0</v>
      </c>
      <c r="O62" s="182">
        <f>SUMIFS('декабрь 2025'!$G$2:$G$2730,'декабрь 2025'!$D$2:$D$2730,$B62,'декабрь 2025'!$J$2:$J$2730,O$1)</f>
        <v>0</v>
      </c>
      <c r="P62" s="182">
        <f>SUMIFS('декабрь 2025'!$G$2:$G$2730,'декабрь 2025'!$D$2:$D$2730,$B62,'декабрь 2025'!$J$2:$J$2730,P$1)</f>
        <v>0</v>
      </c>
      <c r="Q62" s="182">
        <f>SUMIFS('декабрь 2025'!$G$2:$G$2730,'декабрь 2025'!$D$2:$D$2730,$B62,'декабрь 2025'!$J$2:$J$2730,Q$1)</f>
        <v>0</v>
      </c>
      <c r="R62" s="182">
        <f>SUMIFS('декабрь 2025'!$G$2:$G$2730,'декабрь 2025'!$D$2:$D$2730,$B62,'декабрь 2025'!$J$2:$J$2730,R$1)</f>
        <v>0</v>
      </c>
      <c r="S62" s="182">
        <f>SUMIFS('декабрь 2025'!$G$2:$G$2730,'декабрь 2025'!$D$2:$D$2730,$B62,'декабрь 2025'!$J$2:$J$2730,S$1)</f>
        <v>0</v>
      </c>
      <c r="T62" s="182">
        <f>SUMIFS('декабрь 2025'!$G$2:$G$2730,'декабрь 2025'!$D$2:$D$2730,$B62,'декабрь 2025'!$J$2:$J$2730,T$1)</f>
        <v>0</v>
      </c>
      <c r="U62" s="182">
        <f>SUMIFS('декабрь 2025'!$G$2:$G$2730,'декабрь 2025'!$D$2:$D$2730,$B62,'декабрь 2025'!$J$2:$J$2730,U$1)</f>
        <v>0</v>
      </c>
      <c r="V62" s="182">
        <f>SUMIFS('декабрь 2025'!$G$2:$G$2730,'декабрь 2025'!$D$2:$D$2730,$B62,'декабрь 2025'!$J$2:$J$2730,V$1)</f>
        <v>0</v>
      </c>
      <c r="W62" s="182">
        <f>SUMIFS('декабрь 2025'!$G$2:$G$2730,'декабрь 2025'!$D$2:$D$2730,$B62,'декабрь 2025'!$J$2:$J$2730,W$1)</f>
        <v>0</v>
      </c>
      <c r="X62" s="182">
        <f>SUMIFS('декабрь 2025'!$G$2:$G$2730,'декабрь 2025'!$D$2:$D$2730,$B62,'декабрь 2025'!$J$2:$J$2730,X$1)</f>
        <v>0</v>
      </c>
      <c r="Y62" s="182">
        <f>SUMIFS('декабрь 2025'!$G$2:$G$2730,'декабрь 2025'!$D$2:$D$2730,$B62,'декабрь 2025'!$J$2:$J$2730,Y$1)</f>
        <v>0</v>
      </c>
      <c r="Z62" s="182">
        <f>SUMIFS('декабрь 2025'!$G$2:$G$2730,'декабрь 2025'!$D$2:$D$2730,$B62,'декабрь 2025'!$J$2:$J$2730,Z$1)</f>
        <v>0</v>
      </c>
      <c r="AA62" s="182">
        <f>SUMIFS('декабрь 2025'!$G$2:$G$2730,'декабрь 2025'!$D$2:$D$2730,$B62,'декабрь 2025'!$J$2:$J$2730,AA$1)</f>
        <v>0</v>
      </c>
      <c r="AB62" s="182">
        <f>SUMIFS('декабрь 2025'!$G$2:$G$2730,'декабрь 2025'!$D$2:$D$2730,$B62,'декабрь 2025'!$J$2:$J$2730,AB$1)</f>
        <v>0</v>
      </c>
      <c r="AC62" s="182">
        <f>SUMIFS('декабрь 2025'!$G$2:$G$2730,'декабрь 2025'!$D$2:$D$2730,$B62,'декабрь 2025'!$J$2:$J$2730,AC$1)</f>
        <v>0</v>
      </c>
      <c r="AD62" s="182">
        <f>SUMIFS('декабрь 2025'!$G$2:$G$2730,'декабрь 2025'!$D$2:$D$2730,$B62,'декабрь 2025'!$J$2:$J$2730,AD$1)</f>
        <v>0</v>
      </c>
      <c r="AE62" s="182">
        <f>SUMIFS('декабрь 2025'!$G$2:$G$2730,'декабрь 2025'!$D$2:$D$2730,$B62,'декабрь 2025'!$J$2:$J$2730,AE$1)</f>
        <v>0</v>
      </c>
      <c r="AF62" s="182">
        <f>SUMIFS('декабрь 2025'!$G$2:$G$2730,'декабрь 2025'!$D$2:$D$2730,$B62,'декабрь 2025'!$J$2:$J$2730,AF$1)</f>
        <v>0</v>
      </c>
      <c r="AG62" s="182">
        <f>SUMIFS('декабрь 2025'!$G$2:$G$2730,'декабрь 2025'!$D$2:$D$2730,$B62,'декабрь 2025'!$J$2:$J$2730,AG$1)</f>
        <v>0</v>
      </c>
      <c r="AH62" s="182">
        <f>SUMIFS('декабрь 2025'!$G$2:$G$2730,'декабрь 2025'!$D$2:$D$2730,$B62,'декабрь 2025'!$J$2:$J$2730,AH$1)</f>
        <v>0</v>
      </c>
      <c r="AI62" s="20">
        <f t="shared" si="1"/>
        <v>0</v>
      </c>
    </row>
    <row r="63" spans="2:35" ht="15.75" x14ac:dyDescent="0.25">
      <c r="B63" s="131" t="s">
        <v>1258</v>
      </c>
      <c r="C63" s="132">
        <v>10</v>
      </c>
      <c r="D63" s="182">
        <f>SUMIFS('декабрь 2025'!$G$2:$G$2730,'декабрь 2025'!$D$2:$D$2730,$B63,'декабрь 2025'!$J$2:$J$2730,D$1)</f>
        <v>0</v>
      </c>
      <c r="E63" s="182">
        <f>SUMIFS('декабрь 2025'!$G$2:$G$2730,'декабрь 2025'!$D$2:$D$2730,$B63,'декабрь 2025'!$J$2:$J$2730,E$1)</f>
        <v>0</v>
      </c>
      <c r="F63" s="182">
        <f>SUMIFS('декабрь 2025'!$G$2:$G$2730,'декабрь 2025'!$D$2:$D$2730,$B63,'декабрь 2025'!$J$2:$J$2730,F$1)</f>
        <v>0</v>
      </c>
      <c r="G63" s="182">
        <f>SUMIFS('декабрь 2025'!$G$2:$G$2730,'декабрь 2025'!$D$2:$D$2730,$B63,'декабрь 2025'!$J$2:$J$2730,G$1)</f>
        <v>0</v>
      </c>
      <c r="H63" s="182">
        <f>SUMIFS('декабрь 2025'!$G$2:$G$2730,'декабрь 2025'!$D$2:$D$2730,$B63,'декабрь 2025'!$J$2:$J$2730,H$1)</f>
        <v>0</v>
      </c>
      <c r="I63" s="182">
        <f>SUMIFS('декабрь 2025'!$G$2:$G$2730,'декабрь 2025'!$D$2:$D$2730,$B63,'декабрь 2025'!$J$2:$J$2730,I$1)</f>
        <v>0</v>
      </c>
      <c r="J63" s="182">
        <f>SUMIFS('декабрь 2025'!$G$2:$G$2730,'декабрь 2025'!$D$2:$D$2730,$B63,'декабрь 2025'!$J$2:$J$2730,J$1)</f>
        <v>0</v>
      </c>
      <c r="K63" s="182">
        <f>SUMIFS('декабрь 2025'!$G$2:$G$2730,'декабрь 2025'!$D$2:$D$2730,$B63,'декабрь 2025'!$J$2:$J$2730,K$1)</f>
        <v>0</v>
      </c>
      <c r="L63" s="182">
        <f>SUMIFS('декабрь 2025'!$G$2:$G$2730,'декабрь 2025'!$D$2:$D$2730,$B63,'декабрь 2025'!$J$2:$J$2730,L$1)</f>
        <v>0</v>
      </c>
      <c r="M63" s="182">
        <f>SUMIFS('декабрь 2025'!$G$2:$G$2730,'декабрь 2025'!$D$2:$D$2730,$B63,'декабрь 2025'!$J$2:$J$2730,M$1)</f>
        <v>0</v>
      </c>
      <c r="N63" s="182">
        <f>SUMIFS('декабрь 2025'!$G$2:$G$2730,'декабрь 2025'!$D$2:$D$2730,$B63,'декабрь 2025'!$J$2:$J$2730,N$1)</f>
        <v>0</v>
      </c>
      <c r="O63" s="182">
        <f>SUMIFS('декабрь 2025'!$G$2:$G$2730,'декабрь 2025'!$D$2:$D$2730,$B63,'декабрь 2025'!$J$2:$J$2730,O$1)</f>
        <v>0</v>
      </c>
      <c r="P63" s="182">
        <f>SUMIFS('декабрь 2025'!$G$2:$G$2730,'декабрь 2025'!$D$2:$D$2730,$B63,'декабрь 2025'!$J$2:$J$2730,P$1)</f>
        <v>0</v>
      </c>
      <c r="Q63" s="182">
        <f>SUMIFS('декабрь 2025'!$G$2:$G$2730,'декабрь 2025'!$D$2:$D$2730,$B63,'декабрь 2025'!$J$2:$J$2730,Q$1)</f>
        <v>0</v>
      </c>
      <c r="R63" s="182">
        <f>SUMIFS('декабрь 2025'!$G$2:$G$2730,'декабрь 2025'!$D$2:$D$2730,$B63,'декабрь 2025'!$J$2:$J$2730,R$1)</f>
        <v>0</v>
      </c>
      <c r="S63" s="182">
        <f>SUMIFS('декабрь 2025'!$G$2:$G$2730,'декабрь 2025'!$D$2:$D$2730,$B63,'декабрь 2025'!$J$2:$J$2730,S$1)</f>
        <v>0</v>
      </c>
      <c r="T63" s="182">
        <f>SUMIFS('декабрь 2025'!$G$2:$G$2730,'декабрь 2025'!$D$2:$D$2730,$B63,'декабрь 2025'!$J$2:$J$2730,T$1)</f>
        <v>0</v>
      </c>
      <c r="U63" s="182">
        <f>SUMIFS('декабрь 2025'!$G$2:$G$2730,'декабрь 2025'!$D$2:$D$2730,$B63,'декабрь 2025'!$J$2:$J$2730,U$1)</f>
        <v>0</v>
      </c>
      <c r="V63" s="182">
        <f>SUMIFS('декабрь 2025'!$G$2:$G$2730,'декабрь 2025'!$D$2:$D$2730,$B63,'декабрь 2025'!$J$2:$J$2730,V$1)</f>
        <v>0</v>
      </c>
      <c r="W63" s="182">
        <f>SUMIFS('декабрь 2025'!$G$2:$G$2730,'декабрь 2025'!$D$2:$D$2730,$B63,'декабрь 2025'!$J$2:$J$2730,W$1)</f>
        <v>0</v>
      </c>
      <c r="X63" s="182">
        <f>SUMIFS('декабрь 2025'!$G$2:$G$2730,'декабрь 2025'!$D$2:$D$2730,$B63,'декабрь 2025'!$J$2:$J$2730,X$1)</f>
        <v>0</v>
      </c>
      <c r="Y63" s="182">
        <f>SUMIFS('декабрь 2025'!$G$2:$G$2730,'декабрь 2025'!$D$2:$D$2730,$B63,'декабрь 2025'!$J$2:$J$2730,Y$1)</f>
        <v>0</v>
      </c>
      <c r="Z63" s="182">
        <f>SUMIFS('декабрь 2025'!$G$2:$G$2730,'декабрь 2025'!$D$2:$D$2730,$B63,'декабрь 2025'!$J$2:$J$2730,Z$1)</f>
        <v>0</v>
      </c>
      <c r="AA63" s="182">
        <f>SUMIFS('декабрь 2025'!$G$2:$G$2730,'декабрь 2025'!$D$2:$D$2730,$B63,'декабрь 2025'!$J$2:$J$2730,AA$1)</f>
        <v>0</v>
      </c>
      <c r="AB63" s="182">
        <f>SUMIFS('декабрь 2025'!$G$2:$G$2730,'декабрь 2025'!$D$2:$D$2730,$B63,'декабрь 2025'!$J$2:$J$2730,AB$1)</f>
        <v>0</v>
      </c>
      <c r="AC63" s="182">
        <f>SUMIFS('декабрь 2025'!$G$2:$G$2730,'декабрь 2025'!$D$2:$D$2730,$B63,'декабрь 2025'!$J$2:$J$2730,AC$1)</f>
        <v>0</v>
      </c>
      <c r="AD63" s="182">
        <f>SUMIFS('декабрь 2025'!$G$2:$G$2730,'декабрь 2025'!$D$2:$D$2730,$B63,'декабрь 2025'!$J$2:$J$2730,AD$1)</f>
        <v>0</v>
      </c>
      <c r="AE63" s="182">
        <f>SUMIFS('декабрь 2025'!$G$2:$G$2730,'декабрь 2025'!$D$2:$D$2730,$B63,'декабрь 2025'!$J$2:$J$2730,AE$1)</f>
        <v>0</v>
      </c>
      <c r="AF63" s="182">
        <f>SUMIFS('декабрь 2025'!$G$2:$G$2730,'декабрь 2025'!$D$2:$D$2730,$B63,'декабрь 2025'!$J$2:$J$2730,AF$1)</f>
        <v>0</v>
      </c>
      <c r="AG63" s="182">
        <f>SUMIFS('декабрь 2025'!$G$2:$G$2730,'декабрь 2025'!$D$2:$D$2730,$B63,'декабрь 2025'!$J$2:$J$2730,AG$1)</f>
        <v>0</v>
      </c>
      <c r="AH63" s="182">
        <f>SUMIFS('декабрь 2025'!$G$2:$G$2730,'декабрь 2025'!$D$2:$D$2730,$B63,'декабрь 2025'!$J$2:$J$2730,AH$1)</f>
        <v>0</v>
      </c>
      <c r="AI63" s="20">
        <f t="shared" si="1"/>
        <v>0</v>
      </c>
    </row>
    <row r="64" spans="2:35" ht="15" customHeight="1" x14ac:dyDescent="0.25">
      <c r="B64" s="131" t="s">
        <v>1259</v>
      </c>
      <c r="C64" s="132">
        <v>10</v>
      </c>
      <c r="D64" s="182">
        <f>SUMIFS('декабрь 2025'!$G$2:$G$2730,'декабрь 2025'!$D$2:$D$2730,$B64,'декабрь 2025'!$J$2:$J$2730,D$1)</f>
        <v>0</v>
      </c>
      <c r="E64" s="182">
        <f>SUMIFS('декабрь 2025'!$G$2:$G$2730,'декабрь 2025'!$D$2:$D$2730,$B64,'декабрь 2025'!$J$2:$J$2730,E$1)</f>
        <v>0</v>
      </c>
      <c r="F64" s="182">
        <f>SUMIFS('декабрь 2025'!$G$2:$G$2730,'декабрь 2025'!$D$2:$D$2730,$B64,'декабрь 2025'!$J$2:$J$2730,F$1)</f>
        <v>0</v>
      </c>
      <c r="G64" s="182">
        <f>SUMIFS('декабрь 2025'!$G$2:$G$2730,'декабрь 2025'!$D$2:$D$2730,$B64,'декабрь 2025'!$J$2:$J$2730,G$1)</f>
        <v>0</v>
      </c>
      <c r="H64" s="182">
        <f>SUMIFS('декабрь 2025'!$G$2:$G$2730,'декабрь 2025'!$D$2:$D$2730,$B64,'декабрь 2025'!$J$2:$J$2730,H$1)</f>
        <v>0</v>
      </c>
      <c r="I64" s="182">
        <f>SUMIFS('декабрь 2025'!$G$2:$G$2730,'декабрь 2025'!$D$2:$D$2730,$B64,'декабрь 2025'!$J$2:$J$2730,I$1)</f>
        <v>0</v>
      </c>
      <c r="J64" s="182">
        <f>SUMIFS('декабрь 2025'!$G$2:$G$2730,'декабрь 2025'!$D$2:$D$2730,$B64,'декабрь 2025'!$J$2:$J$2730,J$1)</f>
        <v>0</v>
      </c>
      <c r="K64" s="182">
        <f>SUMIFS('декабрь 2025'!$G$2:$G$2730,'декабрь 2025'!$D$2:$D$2730,$B64,'декабрь 2025'!$J$2:$J$2730,K$1)</f>
        <v>0</v>
      </c>
      <c r="L64" s="182">
        <f>SUMIFS('декабрь 2025'!$G$2:$G$2730,'декабрь 2025'!$D$2:$D$2730,$B64,'декабрь 2025'!$J$2:$J$2730,L$1)</f>
        <v>0</v>
      </c>
      <c r="M64" s="182">
        <f>SUMIFS('декабрь 2025'!$G$2:$G$2730,'декабрь 2025'!$D$2:$D$2730,$B64,'декабрь 2025'!$J$2:$J$2730,M$1)</f>
        <v>0</v>
      </c>
      <c r="N64" s="182">
        <f>SUMIFS('декабрь 2025'!$G$2:$G$2730,'декабрь 2025'!$D$2:$D$2730,$B64,'декабрь 2025'!$J$2:$J$2730,N$1)</f>
        <v>0</v>
      </c>
      <c r="O64" s="182">
        <f>SUMIFS('декабрь 2025'!$G$2:$G$2730,'декабрь 2025'!$D$2:$D$2730,$B64,'декабрь 2025'!$J$2:$J$2730,O$1)</f>
        <v>0</v>
      </c>
      <c r="P64" s="182">
        <f>SUMIFS('декабрь 2025'!$G$2:$G$2730,'декабрь 2025'!$D$2:$D$2730,$B64,'декабрь 2025'!$J$2:$J$2730,P$1)</f>
        <v>0</v>
      </c>
      <c r="Q64" s="182">
        <f>SUMIFS('декабрь 2025'!$G$2:$G$2730,'декабрь 2025'!$D$2:$D$2730,$B64,'декабрь 2025'!$J$2:$J$2730,Q$1)</f>
        <v>0</v>
      </c>
      <c r="R64" s="182">
        <f>SUMIFS('декабрь 2025'!$G$2:$G$2730,'декабрь 2025'!$D$2:$D$2730,$B64,'декабрь 2025'!$J$2:$J$2730,R$1)</f>
        <v>0</v>
      </c>
      <c r="S64" s="182">
        <f>SUMIFS('декабрь 2025'!$G$2:$G$2730,'декабрь 2025'!$D$2:$D$2730,$B64,'декабрь 2025'!$J$2:$J$2730,S$1)</f>
        <v>0</v>
      </c>
      <c r="T64" s="182">
        <f>SUMIFS('декабрь 2025'!$G$2:$G$2730,'декабрь 2025'!$D$2:$D$2730,$B64,'декабрь 2025'!$J$2:$J$2730,T$1)</f>
        <v>0</v>
      </c>
      <c r="U64" s="182">
        <f>SUMIFS('декабрь 2025'!$G$2:$G$2730,'декабрь 2025'!$D$2:$D$2730,$B64,'декабрь 2025'!$J$2:$J$2730,U$1)</f>
        <v>0</v>
      </c>
      <c r="V64" s="182">
        <f>SUMIFS('декабрь 2025'!$G$2:$G$2730,'декабрь 2025'!$D$2:$D$2730,$B64,'декабрь 2025'!$J$2:$J$2730,V$1)</f>
        <v>0</v>
      </c>
      <c r="W64" s="182">
        <f>SUMIFS('декабрь 2025'!$G$2:$G$2730,'декабрь 2025'!$D$2:$D$2730,$B64,'декабрь 2025'!$J$2:$J$2730,W$1)</f>
        <v>0</v>
      </c>
      <c r="X64" s="182">
        <f>SUMIFS('декабрь 2025'!$G$2:$G$2730,'декабрь 2025'!$D$2:$D$2730,$B64,'декабрь 2025'!$J$2:$J$2730,X$1)</f>
        <v>0</v>
      </c>
      <c r="Y64" s="182">
        <f>SUMIFS('декабрь 2025'!$G$2:$G$2730,'декабрь 2025'!$D$2:$D$2730,$B64,'декабрь 2025'!$J$2:$J$2730,Y$1)</f>
        <v>0</v>
      </c>
      <c r="Z64" s="182">
        <f>SUMIFS('декабрь 2025'!$G$2:$G$2730,'декабрь 2025'!$D$2:$D$2730,$B64,'декабрь 2025'!$J$2:$J$2730,Z$1)</f>
        <v>0</v>
      </c>
      <c r="AA64" s="182">
        <f>SUMIFS('декабрь 2025'!$G$2:$G$2730,'декабрь 2025'!$D$2:$D$2730,$B64,'декабрь 2025'!$J$2:$J$2730,AA$1)</f>
        <v>0</v>
      </c>
      <c r="AB64" s="182">
        <f>SUMIFS('декабрь 2025'!$G$2:$G$2730,'декабрь 2025'!$D$2:$D$2730,$B64,'декабрь 2025'!$J$2:$J$2730,AB$1)</f>
        <v>0</v>
      </c>
      <c r="AC64" s="182">
        <f>SUMIFS('декабрь 2025'!$G$2:$G$2730,'декабрь 2025'!$D$2:$D$2730,$B64,'декабрь 2025'!$J$2:$J$2730,AC$1)</f>
        <v>0</v>
      </c>
      <c r="AD64" s="182">
        <f>SUMIFS('декабрь 2025'!$G$2:$G$2730,'декабрь 2025'!$D$2:$D$2730,$B64,'декабрь 2025'!$J$2:$J$2730,AD$1)</f>
        <v>0</v>
      </c>
      <c r="AE64" s="182">
        <f>SUMIFS('декабрь 2025'!$G$2:$G$2730,'декабрь 2025'!$D$2:$D$2730,$B64,'декабрь 2025'!$J$2:$J$2730,AE$1)</f>
        <v>0</v>
      </c>
      <c r="AF64" s="182">
        <f>SUMIFS('декабрь 2025'!$G$2:$G$2730,'декабрь 2025'!$D$2:$D$2730,$B64,'декабрь 2025'!$J$2:$J$2730,AF$1)</f>
        <v>0</v>
      </c>
      <c r="AG64" s="182">
        <f>SUMIFS('декабрь 2025'!$G$2:$G$2730,'декабрь 2025'!$D$2:$D$2730,$B64,'декабрь 2025'!$J$2:$J$2730,AG$1)</f>
        <v>0</v>
      </c>
      <c r="AH64" s="182">
        <f>SUMIFS('декабрь 2025'!$G$2:$G$2730,'декабрь 2025'!$D$2:$D$2730,$B64,'декабрь 2025'!$J$2:$J$2730,AH$1)</f>
        <v>0</v>
      </c>
      <c r="AI64" s="20">
        <f t="shared" si="1"/>
        <v>0</v>
      </c>
    </row>
    <row r="65" spans="2:35" ht="15" customHeight="1" x14ac:dyDescent="0.25">
      <c r="B65" s="136" t="s">
        <v>1260</v>
      </c>
      <c r="C65" s="132">
        <v>10</v>
      </c>
      <c r="D65" s="182">
        <f>SUMIFS('декабрь 2025'!$G$2:$G$2730,'декабрь 2025'!$D$2:$D$2730,$B65,'декабрь 2025'!$J$2:$J$2730,D$1)</f>
        <v>0</v>
      </c>
      <c r="E65" s="182">
        <f>SUMIFS('декабрь 2025'!$G$2:$G$2730,'декабрь 2025'!$D$2:$D$2730,$B65,'декабрь 2025'!$J$2:$J$2730,E$1)</f>
        <v>0</v>
      </c>
      <c r="F65" s="182">
        <f>SUMIFS('декабрь 2025'!$G$2:$G$2730,'декабрь 2025'!$D$2:$D$2730,$B65,'декабрь 2025'!$J$2:$J$2730,F$1)</f>
        <v>0</v>
      </c>
      <c r="G65" s="182">
        <f>SUMIFS('декабрь 2025'!$G$2:$G$2730,'декабрь 2025'!$D$2:$D$2730,$B65,'декабрь 2025'!$J$2:$J$2730,G$1)</f>
        <v>0</v>
      </c>
      <c r="H65" s="182">
        <f>SUMIFS('декабрь 2025'!$G$2:$G$2730,'декабрь 2025'!$D$2:$D$2730,$B65,'декабрь 2025'!$J$2:$J$2730,H$1)</f>
        <v>0</v>
      </c>
      <c r="I65" s="182">
        <f>SUMIFS('декабрь 2025'!$G$2:$G$2730,'декабрь 2025'!$D$2:$D$2730,$B65,'декабрь 2025'!$J$2:$J$2730,I$1)</f>
        <v>0</v>
      </c>
      <c r="J65" s="182">
        <f>SUMIFS('декабрь 2025'!$G$2:$G$2730,'декабрь 2025'!$D$2:$D$2730,$B65,'декабрь 2025'!$J$2:$J$2730,J$1)</f>
        <v>0</v>
      </c>
      <c r="K65" s="182">
        <f>SUMIFS('декабрь 2025'!$G$2:$G$2730,'декабрь 2025'!$D$2:$D$2730,$B65,'декабрь 2025'!$J$2:$J$2730,K$1)</f>
        <v>0</v>
      </c>
      <c r="L65" s="182">
        <f>SUMIFS('декабрь 2025'!$G$2:$G$2730,'декабрь 2025'!$D$2:$D$2730,$B65,'декабрь 2025'!$J$2:$J$2730,L$1)</f>
        <v>0</v>
      </c>
      <c r="M65" s="182">
        <f>SUMIFS('декабрь 2025'!$G$2:$G$2730,'декабрь 2025'!$D$2:$D$2730,$B65,'декабрь 2025'!$J$2:$J$2730,M$1)</f>
        <v>0</v>
      </c>
      <c r="N65" s="182">
        <f>SUMIFS('декабрь 2025'!$G$2:$G$2730,'декабрь 2025'!$D$2:$D$2730,$B65,'декабрь 2025'!$J$2:$J$2730,N$1)</f>
        <v>0</v>
      </c>
      <c r="O65" s="182">
        <f>SUMIFS('декабрь 2025'!$G$2:$G$2730,'декабрь 2025'!$D$2:$D$2730,$B65,'декабрь 2025'!$J$2:$J$2730,O$1)</f>
        <v>0</v>
      </c>
      <c r="P65" s="182">
        <f>SUMIFS('декабрь 2025'!$G$2:$G$2730,'декабрь 2025'!$D$2:$D$2730,$B65,'декабрь 2025'!$J$2:$J$2730,P$1)</f>
        <v>0</v>
      </c>
      <c r="Q65" s="182">
        <f>SUMIFS('декабрь 2025'!$G$2:$G$2730,'декабрь 2025'!$D$2:$D$2730,$B65,'декабрь 2025'!$J$2:$J$2730,Q$1)</f>
        <v>0</v>
      </c>
      <c r="R65" s="182">
        <f>SUMIFS('декабрь 2025'!$G$2:$G$2730,'декабрь 2025'!$D$2:$D$2730,$B65,'декабрь 2025'!$J$2:$J$2730,R$1)</f>
        <v>0</v>
      </c>
      <c r="S65" s="182">
        <f>SUMIFS('декабрь 2025'!$G$2:$G$2730,'декабрь 2025'!$D$2:$D$2730,$B65,'декабрь 2025'!$J$2:$J$2730,S$1)</f>
        <v>0</v>
      </c>
      <c r="T65" s="182">
        <f>SUMIFS('декабрь 2025'!$G$2:$G$2730,'декабрь 2025'!$D$2:$D$2730,$B65,'декабрь 2025'!$J$2:$J$2730,T$1)</f>
        <v>0</v>
      </c>
      <c r="U65" s="182">
        <f>SUMIFS('декабрь 2025'!$G$2:$G$2730,'декабрь 2025'!$D$2:$D$2730,$B65,'декабрь 2025'!$J$2:$J$2730,U$1)</f>
        <v>0</v>
      </c>
      <c r="V65" s="182">
        <f>SUMIFS('декабрь 2025'!$G$2:$G$2730,'декабрь 2025'!$D$2:$D$2730,$B65,'декабрь 2025'!$J$2:$J$2730,V$1)</f>
        <v>0</v>
      </c>
      <c r="W65" s="182">
        <f>SUMIFS('декабрь 2025'!$G$2:$G$2730,'декабрь 2025'!$D$2:$D$2730,$B65,'декабрь 2025'!$J$2:$J$2730,W$1)</f>
        <v>0</v>
      </c>
      <c r="X65" s="182">
        <f>SUMIFS('декабрь 2025'!$G$2:$G$2730,'декабрь 2025'!$D$2:$D$2730,$B65,'декабрь 2025'!$J$2:$J$2730,X$1)</f>
        <v>0</v>
      </c>
      <c r="Y65" s="182">
        <f>SUMIFS('декабрь 2025'!$G$2:$G$2730,'декабрь 2025'!$D$2:$D$2730,$B65,'декабрь 2025'!$J$2:$J$2730,Y$1)</f>
        <v>0</v>
      </c>
      <c r="Z65" s="182">
        <f>SUMIFS('декабрь 2025'!$G$2:$G$2730,'декабрь 2025'!$D$2:$D$2730,$B65,'декабрь 2025'!$J$2:$J$2730,Z$1)</f>
        <v>0</v>
      </c>
      <c r="AA65" s="182">
        <f>SUMIFS('декабрь 2025'!$G$2:$G$2730,'декабрь 2025'!$D$2:$D$2730,$B65,'декабрь 2025'!$J$2:$J$2730,AA$1)</f>
        <v>0</v>
      </c>
      <c r="AB65" s="182">
        <f>SUMIFS('декабрь 2025'!$G$2:$G$2730,'декабрь 2025'!$D$2:$D$2730,$B65,'декабрь 2025'!$J$2:$J$2730,AB$1)</f>
        <v>0</v>
      </c>
      <c r="AC65" s="182">
        <f>SUMIFS('декабрь 2025'!$G$2:$G$2730,'декабрь 2025'!$D$2:$D$2730,$B65,'декабрь 2025'!$J$2:$J$2730,AC$1)</f>
        <v>0</v>
      </c>
      <c r="AD65" s="182">
        <f>SUMIFS('декабрь 2025'!$G$2:$G$2730,'декабрь 2025'!$D$2:$D$2730,$B65,'декабрь 2025'!$J$2:$J$2730,AD$1)</f>
        <v>0</v>
      </c>
      <c r="AE65" s="182">
        <f>SUMIFS('декабрь 2025'!$G$2:$G$2730,'декабрь 2025'!$D$2:$D$2730,$B65,'декабрь 2025'!$J$2:$J$2730,AE$1)</f>
        <v>0</v>
      </c>
      <c r="AF65" s="182">
        <f>SUMIFS('декабрь 2025'!$G$2:$G$2730,'декабрь 2025'!$D$2:$D$2730,$B65,'декабрь 2025'!$J$2:$J$2730,AF$1)</f>
        <v>0</v>
      </c>
      <c r="AG65" s="182">
        <f>SUMIFS('декабрь 2025'!$G$2:$G$2730,'декабрь 2025'!$D$2:$D$2730,$B65,'декабрь 2025'!$J$2:$J$2730,AG$1)</f>
        <v>0</v>
      </c>
      <c r="AH65" s="182">
        <f>SUMIFS('декабрь 2025'!$G$2:$G$2730,'декабрь 2025'!$D$2:$D$2730,$B65,'декабрь 2025'!$J$2:$J$2730,AH$1)</f>
        <v>0</v>
      </c>
      <c r="AI65" s="20">
        <f t="shared" si="1"/>
        <v>0</v>
      </c>
    </row>
    <row r="66" spans="2:35" ht="15" customHeight="1" x14ac:dyDescent="0.25">
      <c r="B66" s="136" t="s">
        <v>1261</v>
      </c>
      <c r="C66" s="132">
        <v>10</v>
      </c>
      <c r="D66" s="182">
        <f>SUMIFS('декабрь 2025'!$G$2:$G$2730,'декабрь 2025'!$D$2:$D$2730,$B66,'декабрь 2025'!$J$2:$J$2730,D$1)</f>
        <v>0</v>
      </c>
      <c r="E66" s="182">
        <f>SUMIFS('декабрь 2025'!$G$2:$G$2730,'декабрь 2025'!$D$2:$D$2730,$B66,'декабрь 2025'!$J$2:$J$2730,E$1)</f>
        <v>0</v>
      </c>
      <c r="F66" s="182">
        <f>SUMIFS('декабрь 2025'!$G$2:$G$2730,'декабрь 2025'!$D$2:$D$2730,$B66,'декабрь 2025'!$J$2:$J$2730,F$1)</f>
        <v>0</v>
      </c>
      <c r="G66" s="182">
        <f>SUMIFS('декабрь 2025'!$G$2:$G$2730,'декабрь 2025'!$D$2:$D$2730,$B66,'декабрь 2025'!$J$2:$J$2730,G$1)</f>
        <v>0</v>
      </c>
      <c r="H66" s="182">
        <f>SUMIFS('декабрь 2025'!$G$2:$G$2730,'декабрь 2025'!$D$2:$D$2730,$B66,'декабрь 2025'!$J$2:$J$2730,H$1)</f>
        <v>0</v>
      </c>
      <c r="I66" s="182">
        <f>SUMIFS('декабрь 2025'!$G$2:$G$2730,'декабрь 2025'!$D$2:$D$2730,$B66,'декабрь 2025'!$J$2:$J$2730,I$1)</f>
        <v>0</v>
      </c>
      <c r="J66" s="182">
        <f>SUMIFS('декабрь 2025'!$G$2:$G$2730,'декабрь 2025'!$D$2:$D$2730,$B66,'декабрь 2025'!$J$2:$J$2730,J$1)</f>
        <v>0</v>
      </c>
      <c r="K66" s="182">
        <f>SUMIFS('декабрь 2025'!$G$2:$G$2730,'декабрь 2025'!$D$2:$D$2730,$B66,'декабрь 2025'!$J$2:$J$2730,K$1)</f>
        <v>0</v>
      </c>
      <c r="L66" s="182">
        <f>SUMIFS('декабрь 2025'!$G$2:$G$2730,'декабрь 2025'!$D$2:$D$2730,$B66,'декабрь 2025'!$J$2:$J$2730,L$1)</f>
        <v>0</v>
      </c>
      <c r="M66" s="182">
        <f>SUMIFS('декабрь 2025'!$G$2:$G$2730,'декабрь 2025'!$D$2:$D$2730,$B66,'декабрь 2025'!$J$2:$J$2730,M$1)</f>
        <v>0</v>
      </c>
      <c r="N66" s="182">
        <f>SUMIFS('декабрь 2025'!$G$2:$G$2730,'декабрь 2025'!$D$2:$D$2730,$B66,'декабрь 2025'!$J$2:$J$2730,N$1)</f>
        <v>0</v>
      </c>
      <c r="O66" s="182">
        <f>SUMIFS('декабрь 2025'!$G$2:$G$2730,'декабрь 2025'!$D$2:$D$2730,$B66,'декабрь 2025'!$J$2:$J$2730,O$1)</f>
        <v>0</v>
      </c>
      <c r="P66" s="182">
        <f>SUMIFS('декабрь 2025'!$G$2:$G$2730,'декабрь 2025'!$D$2:$D$2730,$B66,'декабрь 2025'!$J$2:$J$2730,P$1)</f>
        <v>0</v>
      </c>
      <c r="Q66" s="182">
        <f>SUMIFS('декабрь 2025'!$G$2:$G$2730,'декабрь 2025'!$D$2:$D$2730,$B66,'декабрь 2025'!$J$2:$J$2730,Q$1)</f>
        <v>0</v>
      </c>
      <c r="R66" s="182">
        <f>SUMIFS('декабрь 2025'!$G$2:$G$2730,'декабрь 2025'!$D$2:$D$2730,$B66,'декабрь 2025'!$J$2:$J$2730,R$1)</f>
        <v>0</v>
      </c>
      <c r="S66" s="182">
        <f>SUMIFS('декабрь 2025'!$G$2:$G$2730,'декабрь 2025'!$D$2:$D$2730,$B66,'декабрь 2025'!$J$2:$J$2730,S$1)</f>
        <v>0</v>
      </c>
      <c r="T66" s="182">
        <f>SUMIFS('декабрь 2025'!$G$2:$G$2730,'декабрь 2025'!$D$2:$D$2730,$B66,'декабрь 2025'!$J$2:$J$2730,T$1)</f>
        <v>0</v>
      </c>
      <c r="U66" s="182">
        <f>SUMIFS('декабрь 2025'!$G$2:$G$2730,'декабрь 2025'!$D$2:$D$2730,$B66,'декабрь 2025'!$J$2:$J$2730,U$1)</f>
        <v>0</v>
      </c>
      <c r="V66" s="182">
        <f>SUMIFS('декабрь 2025'!$G$2:$G$2730,'декабрь 2025'!$D$2:$D$2730,$B66,'декабрь 2025'!$J$2:$J$2730,V$1)</f>
        <v>0</v>
      </c>
      <c r="W66" s="182">
        <f>SUMIFS('декабрь 2025'!$G$2:$G$2730,'декабрь 2025'!$D$2:$D$2730,$B66,'декабрь 2025'!$J$2:$J$2730,W$1)</f>
        <v>0</v>
      </c>
      <c r="X66" s="182">
        <f>SUMIFS('декабрь 2025'!$G$2:$G$2730,'декабрь 2025'!$D$2:$D$2730,$B66,'декабрь 2025'!$J$2:$J$2730,X$1)</f>
        <v>0</v>
      </c>
      <c r="Y66" s="182">
        <f>SUMIFS('декабрь 2025'!$G$2:$G$2730,'декабрь 2025'!$D$2:$D$2730,$B66,'декабрь 2025'!$J$2:$J$2730,Y$1)</f>
        <v>0</v>
      </c>
      <c r="Z66" s="182">
        <f>SUMIFS('декабрь 2025'!$G$2:$G$2730,'декабрь 2025'!$D$2:$D$2730,$B66,'декабрь 2025'!$J$2:$J$2730,Z$1)</f>
        <v>0</v>
      </c>
      <c r="AA66" s="182">
        <f>SUMIFS('декабрь 2025'!$G$2:$G$2730,'декабрь 2025'!$D$2:$D$2730,$B66,'декабрь 2025'!$J$2:$J$2730,AA$1)</f>
        <v>0</v>
      </c>
      <c r="AB66" s="182">
        <f>SUMIFS('декабрь 2025'!$G$2:$G$2730,'декабрь 2025'!$D$2:$D$2730,$B66,'декабрь 2025'!$J$2:$J$2730,AB$1)</f>
        <v>0</v>
      </c>
      <c r="AC66" s="182">
        <f>SUMIFS('декабрь 2025'!$G$2:$G$2730,'декабрь 2025'!$D$2:$D$2730,$B66,'декабрь 2025'!$J$2:$J$2730,AC$1)</f>
        <v>0</v>
      </c>
      <c r="AD66" s="182">
        <f>SUMIFS('декабрь 2025'!$G$2:$G$2730,'декабрь 2025'!$D$2:$D$2730,$B66,'декабрь 2025'!$J$2:$J$2730,AD$1)</f>
        <v>0</v>
      </c>
      <c r="AE66" s="182">
        <f>SUMIFS('декабрь 2025'!$G$2:$G$2730,'декабрь 2025'!$D$2:$D$2730,$B66,'декабрь 2025'!$J$2:$J$2730,AE$1)</f>
        <v>0</v>
      </c>
      <c r="AF66" s="182">
        <f>SUMIFS('декабрь 2025'!$G$2:$G$2730,'декабрь 2025'!$D$2:$D$2730,$B66,'декабрь 2025'!$J$2:$J$2730,AF$1)</f>
        <v>0</v>
      </c>
      <c r="AG66" s="182">
        <f>SUMIFS('декабрь 2025'!$G$2:$G$2730,'декабрь 2025'!$D$2:$D$2730,$B66,'декабрь 2025'!$J$2:$J$2730,AG$1)</f>
        <v>0</v>
      </c>
      <c r="AH66" s="182">
        <f>SUMIFS('декабрь 2025'!$G$2:$G$2730,'декабрь 2025'!$D$2:$D$2730,$B66,'декабрь 2025'!$J$2:$J$2730,AH$1)</f>
        <v>0</v>
      </c>
      <c r="AI66" s="20">
        <f t="shared" si="1"/>
        <v>0</v>
      </c>
    </row>
    <row r="67" spans="2:35" ht="15" customHeight="1" x14ac:dyDescent="0.25">
      <c r="B67" s="136"/>
      <c r="C67" s="132"/>
      <c r="D67" s="182">
        <f>SUMIFS('декабрь 2025'!$G$2:$G$2730,'декабрь 2025'!$D$2:$D$2730,$B67,'декабрь 2025'!$J$2:$J$2730,D$1)</f>
        <v>0</v>
      </c>
      <c r="E67" s="182">
        <f>SUMIFS('декабрь 2025'!$G$2:$G$2730,'декабрь 2025'!$D$2:$D$2730,$B67,'декабрь 2025'!$J$2:$J$2730,E$1)</f>
        <v>0</v>
      </c>
      <c r="F67" s="182">
        <f>SUMIFS('декабрь 2025'!$G$2:$G$2730,'декабрь 2025'!$D$2:$D$2730,$B67,'декабрь 2025'!$J$2:$J$2730,F$1)</f>
        <v>0</v>
      </c>
      <c r="G67" s="182">
        <f>SUMIFS('декабрь 2025'!$G$2:$G$2730,'декабрь 2025'!$D$2:$D$2730,$B67,'декабрь 2025'!$J$2:$J$2730,G$1)</f>
        <v>0</v>
      </c>
      <c r="H67" s="182">
        <f>SUMIFS('декабрь 2025'!$G$2:$G$2730,'декабрь 2025'!$D$2:$D$2730,$B67,'декабрь 2025'!$J$2:$J$2730,H$1)</f>
        <v>0</v>
      </c>
      <c r="I67" s="182">
        <f>SUMIFS('декабрь 2025'!$G$2:$G$2730,'декабрь 2025'!$D$2:$D$2730,$B67,'декабрь 2025'!$J$2:$J$2730,I$1)</f>
        <v>0</v>
      </c>
      <c r="J67" s="182">
        <f>SUMIFS('декабрь 2025'!$G$2:$G$2730,'декабрь 2025'!$D$2:$D$2730,$B67,'декабрь 2025'!$J$2:$J$2730,J$1)</f>
        <v>0</v>
      </c>
      <c r="K67" s="182">
        <f>SUMIFS('декабрь 2025'!$G$2:$G$2730,'декабрь 2025'!$D$2:$D$2730,$B67,'декабрь 2025'!$J$2:$J$2730,K$1)</f>
        <v>0</v>
      </c>
      <c r="L67" s="182">
        <f>SUMIFS('декабрь 2025'!$G$2:$G$2730,'декабрь 2025'!$D$2:$D$2730,$B67,'декабрь 2025'!$J$2:$J$2730,L$1)</f>
        <v>0</v>
      </c>
      <c r="M67" s="182">
        <f>SUMIFS('декабрь 2025'!$G$2:$G$2730,'декабрь 2025'!$D$2:$D$2730,$B67,'декабрь 2025'!$J$2:$J$2730,M$1)</f>
        <v>0</v>
      </c>
      <c r="N67" s="182">
        <f>SUMIFS('декабрь 2025'!$G$2:$G$2730,'декабрь 2025'!$D$2:$D$2730,$B67,'декабрь 2025'!$J$2:$J$2730,N$1)</f>
        <v>0</v>
      </c>
      <c r="O67" s="182">
        <f>SUMIFS('декабрь 2025'!$G$2:$G$2730,'декабрь 2025'!$D$2:$D$2730,$B67,'декабрь 2025'!$J$2:$J$2730,O$1)</f>
        <v>0</v>
      </c>
      <c r="P67" s="182">
        <f>SUMIFS('декабрь 2025'!$G$2:$G$2730,'декабрь 2025'!$D$2:$D$2730,$B67,'декабрь 2025'!$J$2:$J$2730,P$1)</f>
        <v>0</v>
      </c>
      <c r="Q67" s="182">
        <f>SUMIFS('декабрь 2025'!$G$2:$G$2730,'декабрь 2025'!$D$2:$D$2730,$B67,'декабрь 2025'!$J$2:$J$2730,Q$1)</f>
        <v>0</v>
      </c>
      <c r="R67" s="182">
        <f>SUMIFS('декабрь 2025'!$G$2:$G$2730,'декабрь 2025'!$D$2:$D$2730,$B67,'декабрь 2025'!$J$2:$J$2730,R$1)</f>
        <v>0</v>
      </c>
      <c r="S67" s="182">
        <f>SUMIFS('декабрь 2025'!$G$2:$G$2730,'декабрь 2025'!$D$2:$D$2730,$B67,'декабрь 2025'!$J$2:$J$2730,S$1)</f>
        <v>0</v>
      </c>
      <c r="T67" s="182">
        <f>SUMIFS('декабрь 2025'!$G$2:$G$2730,'декабрь 2025'!$D$2:$D$2730,$B67,'декабрь 2025'!$J$2:$J$2730,T$1)</f>
        <v>0</v>
      </c>
      <c r="U67" s="182">
        <f>SUMIFS('декабрь 2025'!$G$2:$G$2730,'декабрь 2025'!$D$2:$D$2730,$B67,'декабрь 2025'!$J$2:$J$2730,U$1)</f>
        <v>0</v>
      </c>
      <c r="V67" s="182">
        <f>SUMIFS('декабрь 2025'!$G$2:$G$2730,'декабрь 2025'!$D$2:$D$2730,$B67,'декабрь 2025'!$J$2:$J$2730,V$1)</f>
        <v>0</v>
      </c>
      <c r="W67" s="182">
        <f>SUMIFS('декабрь 2025'!$G$2:$G$2730,'декабрь 2025'!$D$2:$D$2730,$B67,'декабрь 2025'!$J$2:$J$2730,W$1)</f>
        <v>0</v>
      </c>
      <c r="X67" s="182">
        <f>SUMIFS('декабрь 2025'!$G$2:$G$2730,'декабрь 2025'!$D$2:$D$2730,$B67,'декабрь 2025'!$J$2:$J$2730,X$1)</f>
        <v>0</v>
      </c>
      <c r="Y67" s="182">
        <f>SUMIFS('декабрь 2025'!$G$2:$G$2730,'декабрь 2025'!$D$2:$D$2730,$B67,'декабрь 2025'!$J$2:$J$2730,Y$1)</f>
        <v>0</v>
      </c>
      <c r="Z67" s="182">
        <f>SUMIFS('декабрь 2025'!$G$2:$G$2730,'декабрь 2025'!$D$2:$D$2730,$B67,'декабрь 2025'!$J$2:$J$2730,Z$1)</f>
        <v>0</v>
      </c>
      <c r="AA67" s="182">
        <f>SUMIFS('декабрь 2025'!$G$2:$G$2730,'декабрь 2025'!$D$2:$D$2730,$B67,'декабрь 2025'!$J$2:$J$2730,AA$1)</f>
        <v>0</v>
      </c>
      <c r="AB67" s="182">
        <f>SUMIFS('декабрь 2025'!$G$2:$G$2730,'декабрь 2025'!$D$2:$D$2730,$B67,'декабрь 2025'!$J$2:$J$2730,AB$1)</f>
        <v>0</v>
      </c>
      <c r="AC67" s="182">
        <f>SUMIFS('декабрь 2025'!$G$2:$G$2730,'декабрь 2025'!$D$2:$D$2730,$B67,'декабрь 2025'!$J$2:$J$2730,AC$1)</f>
        <v>0</v>
      </c>
      <c r="AD67" s="182">
        <f>SUMIFS('декабрь 2025'!$G$2:$G$2730,'декабрь 2025'!$D$2:$D$2730,$B67,'декабрь 2025'!$J$2:$J$2730,AD$1)</f>
        <v>0</v>
      </c>
      <c r="AE67" s="182">
        <f>SUMIFS('декабрь 2025'!$G$2:$G$2730,'декабрь 2025'!$D$2:$D$2730,$B67,'декабрь 2025'!$J$2:$J$2730,AE$1)</f>
        <v>0</v>
      </c>
      <c r="AF67" s="182">
        <f>SUMIFS('декабрь 2025'!$G$2:$G$2730,'декабрь 2025'!$D$2:$D$2730,$B67,'декабрь 2025'!$J$2:$J$2730,AF$1)</f>
        <v>0</v>
      </c>
      <c r="AG67" s="182">
        <f>SUMIFS('декабрь 2025'!$G$2:$G$2730,'декабрь 2025'!$D$2:$D$2730,$B67,'декабрь 2025'!$J$2:$J$2730,AG$1)</f>
        <v>0</v>
      </c>
      <c r="AH67" s="182">
        <f>SUMIFS('декабрь 2025'!$G$2:$G$2730,'декабрь 2025'!$D$2:$D$2730,$B67,'декабрь 2025'!$J$2:$J$2730,AH$1)</f>
        <v>0</v>
      </c>
      <c r="AI67" s="20">
        <f t="shared" si="1"/>
        <v>0</v>
      </c>
    </row>
    <row r="68" spans="2:35" ht="15" customHeight="1" x14ac:dyDescent="0.25">
      <c r="B68" s="87" t="s">
        <v>160</v>
      </c>
      <c r="C68" s="86">
        <v>200</v>
      </c>
      <c r="D68" s="183">
        <f>SUMIFS('декабрь 2025'!$G$2:$G$2730,'декабрь 2025'!$D$2:$D$2730,$B68,'декабрь 2025'!$J$2:$J$2730,D$1)</f>
        <v>0</v>
      </c>
      <c r="E68" s="183">
        <f>SUMIFS('декабрь 2025'!$G$2:$G$2730,'декабрь 2025'!$D$2:$D$2730,$B68,'декабрь 2025'!$J$2:$J$2730,E$1)</f>
        <v>0</v>
      </c>
      <c r="F68" s="183">
        <f>SUMIFS('декабрь 2025'!$G$2:$G$2730,'декабрь 2025'!$D$2:$D$2730,$B68,'декабрь 2025'!$J$2:$J$2730,F$1)</f>
        <v>0</v>
      </c>
      <c r="G68" s="183">
        <f>SUMIFS('декабрь 2025'!$G$2:$G$2730,'декабрь 2025'!$D$2:$D$2730,$B68,'декабрь 2025'!$J$2:$J$2730,G$1)</f>
        <v>0</v>
      </c>
      <c r="H68" s="183">
        <f>SUMIFS('декабрь 2025'!$G$2:$G$2730,'декабрь 2025'!$D$2:$D$2730,$B68,'декабрь 2025'!$J$2:$J$2730,H$1)</f>
        <v>0</v>
      </c>
      <c r="I68" s="183">
        <f>SUMIFS('декабрь 2025'!$G$2:$G$2730,'декабрь 2025'!$D$2:$D$2730,$B68,'декабрь 2025'!$J$2:$J$2730,I$1)</f>
        <v>0</v>
      </c>
      <c r="J68" s="183">
        <f>SUMIFS('декабрь 2025'!$G$2:$G$2730,'декабрь 2025'!$D$2:$D$2730,$B68,'декабрь 2025'!$J$2:$J$2730,J$1)</f>
        <v>0</v>
      </c>
      <c r="K68" s="183">
        <f>SUMIFS('декабрь 2025'!$G$2:$G$2730,'декабрь 2025'!$D$2:$D$2730,$B68,'декабрь 2025'!$J$2:$J$2730,K$1)</f>
        <v>0</v>
      </c>
      <c r="L68" s="183">
        <f>SUMIFS('декабрь 2025'!$G$2:$G$2730,'декабрь 2025'!$D$2:$D$2730,$B68,'декабрь 2025'!$J$2:$J$2730,L$1)</f>
        <v>0</v>
      </c>
      <c r="M68" s="183">
        <f>SUMIFS('декабрь 2025'!$G$2:$G$2730,'декабрь 2025'!$D$2:$D$2730,$B68,'декабрь 2025'!$J$2:$J$2730,M$1)</f>
        <v>0</v>
      </c>
      <c r="N68" s="183">
        <f>SUMIFS('декабрь 2025'!$G$2:$G$2730,'декабрь 2025'!$D$2:$D$2730,$B68,'декабрь 2025'!$J$2:$J$2730,N$1)</f>
        <v>0</v>
      </c>
      <c r="O68" s="183">
        <f>SUMIFS('декабрь 2025'!$G$2:$G$2730,'декабрь 2025'!$D$2:$D$2730,$B68,'декабрь 2025'!$J$2:$J$2730,O$1)</f>
        <v>0</v>
      </c>
      <c r="P68" s="183">
        <f>SUMIFS('декабрь 2025'!$G$2:$G$2730,'декабрь 2025'!$D$2:$D$2730,$B68,'декабрь 2025'!$J$2:$J$2730,P$1)</f>
        <v>0</v>
      </c>
      <c r="Q68" s="183">
        <f>SUMIFS('декабрь 2025'!$G$2:$G$2730,'декабрь 2025'!$D$2:$D$2730,$B68,'декабрь 2025'!$J$2:$J$2730,Q$1)</f>
        <v>0</v>
      </c>
      <c r="R68" s="183">
        <f>SUMIFS('декабрь 2025'!$G$2:$G$2730,'декабрь 2025'!$D$2:$D$2730,$B68,'декабрь 2025'!$J$2:$J$2730,R$1)</f>
        <v>0</v>
      </c>
      <c r="S68" s="183">
        <f>SUMIFS('декабрь 2025'!$G$2:$G$2730,'декабрь 2025'!$D$2:$D$2730,$B68,'декабрь 2025'!$J$2:$J$2730,S$1)</f>
        <v>0</v>
      </c>
      <c r="T68" s="183">
        <f>SUMIFS('декабрь 2025'!$G$2:$G$2730,'декабрь 2025'!$D$2:$D$2730,$B68,'декабрь 2025'!$J$2:$J$2730,T$1)</f>
        <v>0</v>
      </c>
      <c r="U68" s="183">
        <f>SUMIFS('декабрь 2025'!$G$2:$G$2730,'декабрь 2025'!$D$2:$D$2730,$B68,'декабрь 2025'!$J$2:$J$2730,U$1)</f>
        <v>0</v>
      </c>
      <c r="V68" s="183">
        <f>SUMIFS('декабрь 2025'!$G$2:$G$2730,'декабрь 2025'!$D$2:$D$2730,$B68,'декабрь 2025'!$J$2:$J$2730,V$1)</f>
        <v>0</v>
      </c>
      <c r="W68" s="183">
        <f>SUMIFS('декабрь 2025'!$G$2:$G$2730,'декабрь 2025'!$D$2:$D$2730,$B68,'декабрь 2025'!$J$2:$J$2730,W$1)</f>
        <v>0</v>
      </c>
      <c r="X68" s="183">
        <f>SUMIFS('декабрь 2025'!$G$2:$G$2730,'декабрь 2025'!$D$2:$D$2730,$B68,'декабрь 2025'!$J$2:$J$2730,X$1)</f>
        <v>0</v>
      </c>
      <c r="Y68" s="183">
        <f>SUMIFS('декабрь 2025'!$G$2:$G$2730,'декабрь 2025'!$D$2:$D$2730,$B68,'декабрь 2025'!$J$2:$J$2730,Y$1)</f>
        <v>0</v>
      </c>
      <c r="Z68" s="183">
        <f>SUMIFS('декабрь 2025'!$G$2:$G$2730,'декабрь 2025'!$D$2:$D$2730,$B68,'декабрь 2025'!$J$2:$J$2730,Z$1)</f>
        <v>0</v>
      </c>
      <c r="AA68" s="183">
        <f>SUMIFS('декабрь 2025'!$G$2:$G$2730,'декабрь 2025'!$D$2:$D$2730,$B68,'декабрь 2025'!$J$2:$J$2730,AA$1)</f>
        <v>0</v>
      </c>
      <c r="AB68" s="183">
        <f>SUMIFS('декабрь 2025'!$G$2:$G$2730,'декабрь 2025'!$D$2:$D$2730,$B68,'декабрь 2025'!$J$2:$J$2730,AB$1)</f>
        <v>0</v>
      </c>
      <c r="AC68" s="183">
        <f>SUMIFS('декабрь 2025'!$G$2:$G$2730,'декабрь 2025'!$D$2:$D$2730,$B68,'декабрь 2025'!$J$2:$J$2730,AC$1)</f>
        <v>0</v>
      </c>
      <c r="AD68" s="183">
        <f>SUMIFS('декабрь 2025'!$G$2:$G$2730,'декабрь 2025'!$D$2:$D$2730,$B68,'декабрь 2025'!$J$2:$J$2730,AD$1)</f>
        <v>0</v>
      </c>
      <c r="AE68" s="183">
        <f>SUMIFS('декабрь 2025'!$G$2:$G$2730,'декабрь 2025'!$D$2:$D$2730,$B68,'декабрь 2025'!$J$2:$J$2730,AE$1)</f>
        <v>0</v>
      </c>
      <c r="AF68" s="183">
        <f>SUMIFS('декабрь 2025'!$G$2:$G$2730,'декабрь 2025'!$D$2:$D$2730,$B68,'декабрь 2025'!$J$2:$J$2730,AF$1)</f>
        <v>0</v>
      </c>
      <c r="AG68" s="183">
        <f>SUMIFS('декабрь 2025'!$G$2:$G$2730,'декабрь 2025'!$D$2:$D$2730,$B68,'декабрь 2025'!$J$2:$J$2730,AG$1)</f>
        <v>0</v>
      </c>
      <c r="AH68" s="183">
        <f>SUMIFS('декабрь 2025'!$G$2:$G$2730,'декабрь 2025'!$D$2:$D$2730,$B68,'декабрь 2025'!$J$2:$J$2730,AH$1)</f>
        <v>0</v>
      </c>
      <c r="AI68" s="20">
        <f t="shared" si="1"/>
        <v>0</v>
      </c>
    </row>
    <row r="69" spans="2:35" ht="15" customHeight="1" x14ac:dyDescent="0.25">
      <c r="B69" s="87" t="s">
        <v>308</v>
      </c>
      <c r="C69" s="86">
        <v>50</v>
      </c>
      <c r="D69" s="183">
        <f>SUMIFS('декабрь 2025'!$G$2:$G$2730,'декабрь 2025'!$D$2:$D$2730,$B69,'декабрь 2025'!$J$2:$J$2730,D$1)</f>
        <v>0</v>
      </c>
      <c r="E69" s="183">
        <f>SUMIFS('декабрь 2025'!$G$2:$G$2730,'декабрь 2025'!$D$2:$D$2730,$B69,'декабрь 2025'!$J$2:$J$2730,E$1)</f>
        <v>0</v>
      </c>
      <c r="F69" s="183">
        <f>SUMIFS('декабрь 2025'!$G$2:$G$2730,'декабрь 2025'!$D$2:$D$2730,$B69,'декабрь 2025'!$J$2:$J$2730,F$1)</f>
        <v>0</v>
      </c>
      <c r="G69" s="183">
        <f>SUMIFS('декабрь 2025'!$G$2:$G$2730,'декабрь 2025'!$D$2:$D$2730,$B69,'декабрь 2025'!$J$2:$J$2730,G$1)</f>
        <v>0</v>
      </c>
      <c r="H69" s="183">
        <f>SUMIFS('декабрь 2025'!$G$2:$G$2730,'декабрь 2025'!$D$2:$D$2730,$B69,'декабрь 2025'!$J$2:$J$2730,H$1)</f>
        <v>0</v>
      </c>
      <c r="I69" s="183">
        <f>SUMIFS('декабрь 2025'!$G$2:$G$2730,'декабрь 2025'!$D$2:$D$2730,$B69,'декабрь 2025'!$J$2:$J$2730,I$1)</f>
        <v>0</v>
      </c>
      <c r="J69" s="183">
        <f>SUMIFS('декабрь 2025'!$G$2:$G$2730,'декабрь 2025'!$D$2:$D$2730,$B69,'декабрь 2025'!$J$2:$J$2730,J$1)</f>
        <v>0</v>
      </c>
      <c r="K69" s="183">
        <f>SUMIFS('декабрь 2025'!$G$2:$G$2730,'декабрь 2025'!$D$2:$D$2730,$B69,'декабрь 2025'!$J$2:$J$2730,K$1)</f>
        <v>0</v>
      </c>
      <c r="L69" s="183">
        <f>SUMIFS('декабрь 2025'!$G$2:$G$2730,'декабрь 2025'!$D$2:$D$2730,$B69,'декабрь 2025'!$J$2:$J$2730,L$1)</f>
        <v>0</v>
      </c>
      <c r="M69" s="183">
        <f>SUMIFS('декабрь 2025'!$G$2:$G$2730,'декабрь 2025'!$D$2:$D$2730,$B69,'декабрь 2025'!$J$2:$J$2730,M$1)</f>
        <v>0</v>
      </c>
      <c r="N69" s="183">
        <f>SUMIFS('декабрь 2025'!$G$2:$G$2730,'декабрь 2025'!$D$2:$D$2730,$B69,'декабрь 2025'!$J$2:$J$2730,N$1)</f>
        <v>0</v>
      </c>
      <c r="O69" s="183">
        <f>SUMIFS('декабрь 2025'!$G$2:$G$2730,'декабрь 2025'!$D$2:$D$2730,$B69,'декабрь 2025'!$J$2:$J$2730,O$1)</f>
        <v>0</v>
      </c>
      <c r="P69" s="183">
        <f>SUMIFS('декабрь 2025'!$G$2:$G$2730,'декабрь 2025'!$D$2:$D$2730,$B69,'декабрь 2025'!$J$2:$J$2730,P$1)</f>
        <v>0</v>
      </c>
      <c r="Q69" s="183">
        <f>SUMIFS('декабрь 2025'!$G$2:$G$2730,'декабрь 2025'!$D$2:$D$2730,$B69,'декабрь 2025'!$J$2:$J$2730,Q$1)</f>
        <v>0</v>
      </c>
      <c r="R69" s="183">
        <f>SUMIFS('декабрь 2025'!$G$2:$G$2730,'декабрь 2025'!$D$2:$D$2730,$B69,'декабрь 2025'!$J$2:$J$2730,R$1)</f>
        <v>0</v>
      </c>
      <c r="S69" s="183">
        <f>SUMIFS('декабрь 2025'!$G$2:$G$2730,'декабрь 2025'!$D$2:$D$2730,$B69,'декабрь 2025'!$J$2:$J$2730,S$1)</f>
        <v>0</v>
      </c>
      <c r="T69" s="183">
        <f>SUMIFS('декабрь 2025'!$G$2:$G$2730,'декабрь 2025'!$D$2:$D$2730,$B69,'декабрь 2025'!$J$2:$J$2730,T$1)</f>
        <v>0</v>
      </c>
      <c r="U69" s="183">
        <f>SUMIFS('декабрь 2025'!$G$2:$G$2730,'декабрь 2025'!$D$2:$D$2730,$B69,'декабрь 2025'!$J$2:$J$2730,U$1)</f>
        <v>0</v>
      </c>
      <c r="V69" s="183">
        <f>SUMIFS('декабрь 2025'!$G$2:$G$2730,'декабрь 2025'!$D$2:$D$2730,$B69,'декабрь 2025'!$J$2:$J$2730,V$1)</f>
        <v>0</v>
      </c>
      <c r="W69" s="183">
        <f>SUMIFS('декабрь 2025'!$G$2:$G$2730,'декабрь 2025'!$D$2:$D$2730,$B69,'декабрь 2025'!$J$2:$J$2730,W$1)</f>
        <v>0</v>
      </c>
      <c r="X69" s="183">
        <f>SUMIFS('декабрь 2025'!$G$2:$G$2730,'декабрь 2025'!$D$2:$D$2730,$B69,'декабрь 2025'!$J$2:$J$2730,X$1)</f>
        <v>0</v>
      </c>
      <c r="Y69" s="183">
        <f>SUMIFS('декабрь 2025'!$G$2:$G$2730,'декабрь 2025'!$D$2:$D$2730,$B69,'декабрь 2025'!$J$2:$J$2730,Y$1)</f>
        <v>0</v>
      </c>
      <c r="Z69" s="183">
        <f>SUMIFS('декабрь 2025'!$G$2:$G$2730,'декабрь 2025'!$D$2:$D$2730,$B69,'декабрь 2025'!$J$2:$J$2730,Z$1)</f>
        <v>0</v>
      </c>
      <c r="AA69" s="183">
        <f>SUMIFS('декабрь 2025'!$G$2:$G$2730,'декабрь 2025'!$D$2:$D$2730,$B69,'декабрь 2025'!$J$2:$J$2730,AA$1)</f>
        <v>0</v>
      </c>
      <c r="AB69" s="183">
        <f>SUMIFS('декабрь 2025'!$G$2:$G$2730,'декабрь 2025'!$D$2:$D$2730,$B69,'декабрь 2025'!$J$2:$J$2730,AB$1)</f>
        <v>0</v>
      </c>
      <c r="AC69" s="183">
        <f>SUMIFS('декабрь 2025'!$G$2:$G$2730,'декабрь 2025'!$D$2:$D$2730,$B69,'декабрь 2025'!$J$2:$J$2730,AC$1)</f>
        <v>0</v>
      </c>
      <c r="AD69" s="183">
        <f>SUMIFS('декабрь 2025'!$G$2:$G$2730,'декабрь 2025'!$D$2:$D$2730,$B69,'декабрь 2025'!$J$2:$J$2730,AD$1)</f>
        <v>0</v>
      </c>
      <c r="AE69" s="183">
        <f>SUMIFS('декабрь 2025'!$G$2:$G$2730,'декабрь 2025'!$D$2:$D$2730,$B69,'декабрь 2025'!$J$2:$J$2730,AE$1)</f>
        <v>0</v>
      </c>
      <c r="AF69" s="183">
        <f>SUMIFS('декабрь 2025'!$G$2:$G$2730,'декабрь 2025'!$D$2:$D$2730,$B69,'декабрь 2025'!$J$2:$J$2730,AF$1)</f>
        <v>0</v>
      </c>
      <c r="AG69" s="183">
        <f>SUMIFS('декабрь 2025'!$G$2:$G$2730,'декабрь 2025'!$D$2:$D$2730,$B69,'декабрь 2025'!$J$2:$J$2730,AG$1)</f>
        <v>0</v>
      </c>
      <c r="AH69" s="183">
        <f>SUMIFS('декабрь 2025'!$G$2:$G$2730,'декабрь 2025'!$D$2:$D$2730,$B69,'декабрь 2025'!$J$2:$J$2730,AH$1)</f>
        <v>0</v>
      </c>
      <c r="AI69" s="20">
        <f t="shared" si="1"/>
        <v>0</v>
      </c>
    </row>
    <row r="70" spans="2:35" ht="15" customHeight="1" x14ac:dyDescent="0.25">
      <c r="B70" s="88" t="s">
        <v>198</v>
      </c>
      <c r="C70" s="86">
        <v>200</v>
      </c>
      <c r="D70" s="183">
        <f>SUMIFS('декабрь 2025'!$G$2:$G$2730,'декабрь 2025'!$D$2:$D$2730,$B70,'декабрь 2025'!$J$2:$J$2730,D$1)</f>
        <v>0</v>
      </c>
      <c r="E70" s="183">
        <f>SUMIFS('декабрь 2025'!$G$2:$G$2730,'декабрь 2025'!$D$2:$D$2730,$B70,'декабрь 2025'!$J$2:$J$2730,E$1)</f>
        <v>0</v>
      </c>
      <c r="F70" s="183">
        <f>SUMIFS('декабрь 2025'!$G$2:$G$2730,'декабрь 2025'!$D$2:$D$2730,$B70,'декабрь 2025'!$J$2:$J$2730,F$1)</f>
        <v>0</v>
      </c>
      <c r="G70" s="183">
        <f>SUMIFS('декабрь 2025'!$G$2:$G$2730,'декабрь 2025'!$D$2:$D$2730,$B70,'декабрь 2025'!$J$2:$J$2730,G$1)</f>
        <v>0</v>
      </c>
      <c r="H70" s="183">
        <f>SUMIFS('декабрь 2025'!$G$2:$G$2730,'декабрь 2025'!$D$2:$D$2730,$B70,'декабрь 2025'!$J$2:$J$2730,H$1)</f>
        <v>0</v>
      </c>
      <c r="I70" s="183">
        <f>SUMIFS('декабрь 2025'!$G$2:$G$2730,'декабрь 2025'!$D$2:$D$2730,$B70,'декабрь 2025'!$J$2:$J$2730,I$1)</f>
        <v>0</v>
      </c>
      <c r="J70" s="183">
        <f>SUMIFS('декабрь 2025'!$G$2:$G$2730,'декабрь 2025'!$D$2:$D$2730,$B70,'декабрь 2025'!$J$2:$J$2730,J$1)</f>
        <v>0</v>
      </c>
      <c r="K70" s="183">
        <f>SUMIFS('декабрь 2025'!$G$2:$G$2730,'декабрь 2025'!$D$2:$D$2730,$B70,'декабрь 2025'!$J$2:$J$2730,K$1)</f>
        <v>0</v>
      </c>
      <c r="L70" s="183">
        <f>SUMIFS('декабрь 2025'!$G$2:$G$2730,'декабрь 2025'!$D$2:$D$2730,$B70,'декабрь 2025'!$J$2:$J$2730,L$1)</f>
        <v>0</v>
      </c>
      <c r="M70" s="183">
        <f>SUMIFS('декабрь 2025'!$G$2:$G$2730,'декабрь 2025'!$D$2:$D$2730,$B70,'декабрь 2025'!$J$2:$J$2730,M$1)</f>
        <v>0</v>
      </c>
      <c r="N70" s="183">
        <f>SUMIFS('декабрь 2025'!$G$2:$G$2730,'декабрь 2025'!$D$2:$D$2730,$B70,'декабрь 2025'!$J$2:$J$2730,N$1)</f>
        <v>0</v>
      </c>
      <c r="O70" s="183">
        <f>SUMIFS('декабрь 2025'!$G$2:$G$2730,'декабрь 2025'!$D$2:$D$2730,$B70,'декабрь 2025'!$J$2:$J$2730,O$1)</f>
        <v>0</v>
      </c>
      <c r="P70" s="183">
        <f>SUMIFS('декабрь 2025'!$G$2:$G$2730,'декабрь 2025'!$D$2:$D$2730,$B70,'декабрь 2025'!$J$2:$J$2730,P$1)</f>
        <v>0</v>
      </c>
      <c r="Q70" s="183">
        <f>SUMIFS('декабрь 2025'!$G$2:$G$2730,'декабрь 2025'!$D$2:$D$2730,$B70,'декабрь 2025'!$J$2:$J$2730,Q$1)</f>
        <v>0</v>
      </c>
      <c r="R70" s="183">
        <f>SUMIFS('декабрь 2025'!$G$2:$G$2730,'декабрь 2025'!$D$2:$D$2730,$B70,'декабрь 2025'!$J$2:$J$2730,R$1)</f>
        <v>0</v>
      </c>
      <c r="S70" s="183">
        <f>SUMIFS('декабрь 2025'!$G$2:$G$2730,'декабрь 2025'!$D$2:$D$2730,$B70,'декабрь 2025'!$J$2:$J$2730,S$1)</f>
        <v>0</v>
      </c>
      <c r="T70" s="183">
        <f>SUMIFS('декабрь 2025'!$G$2:$G$2730,'декабрь 2025'!$D$2:$D$2730,$B70,'декабрь 2025'!$J$2:$J$2730,T$1)</f>
        <v>0</v>
      </c>
      <c r="U70" s="183">
        <f>SUMIFS('декабрь 2025'!$G$2:$G$2730,'декабрь 2025'!$D$2:$D$2730,$B70,'декабрь 2025'!$J$2:$J$2730,U$1)</f>
        <v>0</v>
      </c>
      <c r="V70" s="183">
        <f>SUMIFS('декабрь 2025'!$G$2:$G$2730,'декабрь 2025'!$D$2:$D$2730,$B70,'декабрь 2025'!$J$2:$J$2730,V$1)</f>
        <v>0</v>
      </c>
      <c r="W70" s="183">
        <f>SUMIFS('декабрь 2025'!$G$2:$G$2730,'декабрь 2025'!$D$2:$D$2730,$B70,'декабрь 2025'!$J$2:$J$2730,W$1)</f>
        <v>0</v>
      </c>
      <c r="X70" s="183">
        <f>SUMIFS('декабрь 2025'!$G$2:$G$2730,'декабрь 2025'!$D$2:$D$2730,$B70,'декабрь 2025'!$J$2:$J$2730,X$1)</f>
        <v>0</v>
      </c>
      <c r="Y70" s="183">
        <f>SUMIFS('декабрь 2025'!$G$2:$G$2730,'декабрь 2025'!$D$2:$D$2730,$B70,'декабрь 2025'!$J$2:$J$2730,Y$1)</f>
        <v>0</v>
      </c>
      <c r="Z70" s="183">
        <f>SUMIFS('декабрь 2025'!$G$2:$G$2730,'декабрь 2025'!$D$2:$D$2730,$B70,'декабрь 2025'!$J$2:$J$2730,Z$1)</f>
        <v>0</v>
      </c>
      <c r="AA70" s="183">
        <f>SUMIFS('декабрь 2025'!$G$2:$G$2730,'декабрь 2025'!$D$2:$D$2730,$B70,'декабрь 2025'!$J$2:$J$2730,AA$1)</f>
        <v>0</v>
      </c>
      <c r="AB70" s="183">
        <f>SUMIFS('декабрь 2025'!$G$2:$G$2730,'декабрь 2025'!$D$2:$D$2730,$B70,'декабрь 2025'!$J$2:$J$2730,AB$1)</f>
        <v>0</v>
      </c>
      <c r="AC70" s="183">
        <f>SUMIFS('декабрь 2025'!$G$2:$G$2730,'декабрь 2025'!$D$2:$D$2730,$B70,'декабрь 2025'!$J$2:$J$2730,AC$1)</f>
        <v>0</v>
      </c>
      <c r="AD70" s="183">
        <f>SUMIFS('декабрь 2025'!$G$2:$G$2730,'декабрь 2025'!$D$2:$D$2730,$B70,'декабрь 2025'!$J$2:$J$2730,AD$1)</f>
        <v>0</v>
      </c>
      <c r="AE70" s="183">
        <f>SUMIFS('декабрь 2025'!$G$2:$G$2730,'декабрь 2025'!$D$2:$D$2730,$B70,'декабрь 2025'!$J$2:$J$2730,AE$1)</f>
        <v>0</v>
      </c>
      <c r="AF70" s="183">
        <f>SUMIFS('декабрь 2025'!$G$2:$G$2730,'декабрь 2025'!$D$2:$D$2730,$B70,'декабрь 2025'!$J$2:$J$2730,AF$1)</f>
        <v>0</v>
      </c>
      <c r="AG70" s="183">
        <f>SUMIFS('декабрь 2025'!$G$2:$G$2730,'декабрь 2025'!$D$2:$D$2730,$B70,'декабрь 2025'!$J$2:$J$2730,AG$1)</f>
        <v>0</v>
      </c>
      <c r="AH70" s="183">
        <f>SUMIFS('декабрь 2025'!$G$2:$G$2730,'декабрь 2025'!$D$2:$D$2730,$B70,'декабрь 2025'!$J$2:$J$2730,AH$1)</f>
        <v>0</v>
      </c>
      <c r="AI70" s="20">
        <f t="shared" si="1"/>
        <v>0</v>
      </c>
    </row>
    <row r="71" spans="2:35" ht="15" customHeight="1" x14ac:dyDescent="0.25">
      <c r="B71" s="88" t="s">
        <v>207</v>
      </c>
      <c r="C71" s="86">
        <v>25</v>
      </c>
      <c r="D71" s="183">
        <f>SUMIFS('декабрь 2025'!$G$2:$G$2730,'декабрь 2025'!$D$2:$D$2730,$B71,'декабрь 2025'!$J$2:$J$2730,D$1)</f>
        <v>0</v>
      </c>
      <c r="E71" s="183">
        <f>SUMIFS('декабрь 2025'!$G$2:$G$2730,'декабрь 2025'!$D$2:$D$2730,$B71,'декабрь 2025'!$J$2:$J$2730,E$1)</f>
        <v>0</v>
      </c>
      <c r="F71" s="183">
        <f>SUMIFS('декабрь 2025'!$G$2:$G$2730,'декабрь 2025'!$D$2:$D$2730,$B71,'декабрь 2025'!$J$2:$J$2730,F$1)</f>
        <v>0</v>
      </c>
      <c r="G71" s="183">
        <f>SUMIFS('декабрь 2025'!$G$2:$G$2730,'декабрь 2025'!$D$2:$D$2730,$B71,'декабрь 2025'!$J$2:$J$2730,G$1)</f>
        <v>0</v>
      </c>
      <c r="H71" s="183">
        <f>SUMIFS('декабрь 2025'!$G$2:$G$2730,'декабрь 2025'!$D$2:$D$2730,$B71,'декабрь 2025'!$J$2:$J$2730,H$1)</f>
        <v>0</v>
      </c>
      <c r="I71" s="183">
        <f>SUMIFS('декабрь 2025'!$G$2:$G$2730,'декабрь 2025'!$D$2:$D$2730,$B71,'декабрь 2025'!$J$2:$J$2730,I$1)</f>
        <v>0</v>
      </c>
      <c r="J71" s="183">
        <f>SUMIFS('декабрь 2025'!$G$2:$G$2730,'декабрь 2025'!$D$2:$D$2730,$B71,'декабрь 2025'!$J$2:$J$2730,J$1)</f>
        <v>0</v>
      </c>
      <c r="K71" s="183">
        <f>SUMIFS('декабрь 2025'!$G$2:$G$2730,'декабрь 2025'!$D$2:$D$2730,$B71,'декабрь 2025'!$J$2:$J$2730,K$1)</f>
        <v>0</v>
      </c>
      <c r="L71" s="183">
        <f>SUMIFS('декабрь 2025'!$G$2:$G$2730,'декабрь 2025'!$D$2:$D$2730,$B71,'декабрь 2025'!$J$2:$J$2730,L$1)</f>
        <v>0</v>
      </c>
      <c r="M71" s="183">
        <f>SUMIFS('декабрь 2025'!$G$2:$G$2730,'декабрь 2025'!$D$2:$D$2730,$B71,'декабрь 2025'!$J$2:$J$2730,M$1)</f>
        <v>0</v>
      </c>
      <c r="N71" s="183">
        <f>SUMIFS('декабрь 2025'!$G$2:$G$2730,'декабрь 2025'!$D$2:$D$2730,$B71,'декабрь 2025'!$J$2:$J$2730,N$1)</f>
        <v>0</v>
      </c>
      <c r="O71" s="183">
        <f>SUMIFS('декабрь 2025'!$G$2:$G$2730,'декабрь 2025'!$D$2:$D$2730,$B71,'декабрь 2025'!$J$2:$J$2730,O$1)</f>
        <v>0</v>
      </c>
      <c r="P71" s="183">
        <f>SUMIFS('декабрь 2025'!$G$2:$G$2730,'декабрь 2025'!$D$2:$D$2730,$B71,'декабрь 2025'!$J$2:$J$2730,P$1)</f>
        <v>0</v>
      </c>
      <c r="Q71" s="183">
        <f>SUMIFS('декабрь 2025'!$G$2:$G$2730,'декабрь 2025'!$D$2:$D$2730,$B71,'декабрь 2025'!$J$2:$J$2730,Q$1)</f>
        <v>0</v>
      </c>
      <c r="R71" s="183">
        <f>SUMIFS('декабрь 2025'!$G$2:$G$2730,'декабрь 2025'!$D$2:$D$2730,$B71,'декабрь 2025'!$J$2:$J$2730,R$1)</f>
        <v>0</v>
      </c>
      <c r="S71" s="183">
        <f>SUMIFS('декабрь 2025'!$G$2:$G$2730,'декабрь 2025'!$D$2:$D$2730,$B71,'декабрь 2025'!$J$2:$J$2730,S$1)</f>
        <v>0</v>
      </c>
      <c r="T71" s="183">
        <f>SUMIFS('декабрь 2025'!$G$2:$G$2730,'декабрь 2025'!$D$2:$D$2730,$B71,'декабрь 2025'!$J$2:$J$2730,T$1)</f>
        <v>0</v>
      </c>
      <c r="U71" s="183">
        <f>SUMIFS('декабрь 2025'!$G$2:$G$2730,'декабрь 2025'!$D$2:$D$2730,$B71,'декабрь 2025'!$J$2:$J$2730,U$1)</f>
        <v>0</v>
      </c>
      <c r="V71" s="183">
        <f>SUMIFS('декабрь 2025'!$G$2:$G$2730,'декабрь 2025'!$D$2:$D$2730,$B71,'декабрь 2025'!$J$2:$J$2730,V$1)</f>
        <v>0</v>
      </c>
      <c r="W71" s="183">
        <f>SUMIFS('декабрь 2025'!$G$2:$G$2730,'декабрь 2025'!$D$2:$D$2730,$B71,'декабрь 2025'!$J$2:$J$2730,W$1)</f>
        <v>0</v>
      </c>
      <c r="X71" s="183">
        <f>SUMIFS('декабрь 2025'!$G$2:$G$2730,'декабрь 2025'!$D$2:$D$2730,$B71,'декабрь 2025'!$J$2:$J$2730,X$1)</f>
        <v>0</v>
      </c>
      <c r="Y71" s="183">
        <f>SUMIFS('декабрь 2025'!$G$2:$G$2730,'декабрь 2025'!$D$2:$D$2730,$B71,'декабрь 2025'!$J$2:$J$2730,Y$1)</f>
        <v>0</v>
      </c>
      <c r="Z71" s="183">
        <f>SUMIFS('декабрь 2025'!$G$2:$G$2730,'декабрь 2025'!$D$2:$D$2730,$B71,'декабрь 2025'!$J$2:$J$2730,Z$1)</f>
        <v>0</v>
      </c>
      <c r="AA71" s="183">
        <f>SUMIFS('декабрь 2025'!$G$2:$G$2730,'декабрь 2025'!$D$2:$D$2730,$B71,'декабрь 2025'!$J$2:$J$2730,AA$1)</f>
        <v>0</v>
      </c>
      <c r="AB71" s="183">
        <f>SUMIFS('декабрь 2025'!$G$2:$G$2730,'декабрь 2025'!$D$2:$D$2730,$B71,'декабрь 2025'!$J$2:$J$2730,AB$1)</f>
        <v>0</v>
      </c>
      <c r="AC71" s="183">
        <f>SUMIFS('декабрь 2025'!$G$2:$G$2730,'декабрь 2025'!$D$2:$D$2730,$B71,'декабрь 2025'!$J$2:$J$2730,AC$1)</f>
        <v>0</v>
      </c>
      <c r="AD71" s="183">
        <f>SUMIFS('декабрь 2025'!$G$2:$G$2730,'декабрь 2025'!$D$2:$D$2730,$B71,'декабрь 2025'!$J$2:$J$2730,AD$1)</f>
        <v>0</v>
      </c>
      <c r="AE71" s="183">
        <f>SUMIFS('декабрь 2025'!$G$2:$G$2730,'декабрь 2025'!$D$2:$D$2730,$B71,'декабрь 2025'!$J$2:$J$2730,AE$1)</f>
        <v>0</v>
      </c>
      <c r="AF71" s="183">
        <f>SUMIFS('декабрь 2025'!$G$2:$G$2730,'декабрь 2025'!$D$2:$D$2730,$B71,'декабрь 2025'!$J$2:$J$2730,AF$1)</f>
        <v>0</v>
      </c>
      <c r="AG71" s="183">
        <f>SUMIFS('декабрь 2025'!$G$2:$G$2730,'декабрь 2025'!$D$2:$D$2730,$B71,'декабрь 2025'!$J$2:$J$2730,AG$1)</f>
        <v>0</v>
      </c>
      <c r="AH71" s="183">
        <f>SUMIFS('декабрь 2025'!$G$2:$G$2730,'декабрь 2025'!$D$2:$D$2730,$B71,'декабрь 2025'!$J$2:$J$2730,AH$1)</f>
        <v>0</v>
      </c>
      <c r="AI71" s="20">
        <f t="shared" si="1"/>
        <v>0</v>
      </c>
    </row>
    <row r="72" spans="2:35" ht="15" customHeight="1" x14ac:dyDescent="0.25">
      <c r="B72" s="88" t="s">
        <v>179</v>
      </c>
      <c r="C72" s="86">
        <v>50</v>
      </c>
      <c r="D72" s="183">
        <f>SUMIFS('декабрь 2025'!$G$2:$G$2730,'декабрь 2025'!$D$2:$D$2730,$B72,'декабрь 2025'!$J$2:$J$2730,D$1)</f>
        <v>0</v>
      </c>
      <c r="E72" s="183">
        <f>SUMIFS('декабрь 2025'!$G$2:$G$2730,'декабрь 2025'!$D$2:$D$2730,$B72,'декабрь 2025'!$J$2:$J$2730,E$1)</f>
        <v>0</v>
      </c>
      <c r="F72" s="183">
        <f>SUMIFS('декабрь 2025'!$G$2:$G$2730,'декабрь 2025'!$D$2:$D$2730,$B72,'декабрь 2025'!$J$2:$J$2730,F$1)</f>
        <v>0</v>
      </c>
      <c r="G72" s="183">
        <f>SUMIFS('декабрь 2025'!$G$2:$G$2730,'декабрь 2025'!$D$2:$D$2730,$B72,'декабрь 2025'!$J$2:$J$2730,G$1)</f>
        <v>0</v>
      </c>
      <c r="H72" s="183">
        <f>SUMIFS('декабрь 2025'!$G$2:$G$2730,'декабрь 2025'!$D$2:$D$2730,$B72,'декабрь 2025'!$J$2:$J$2730,H$1)</f>
        <v>0</v>
      </c>
      <c r="I72" s="183">
        <f>SUMIFS('декабрь 2025'!$G$2:$G$2730,'декабрь 2025'!$D$2:$D$2730,$B72,'декабрь 2025'!$J$2:$J$2730,I$1)</f>
        <v>0</v>
      </c>
      <c r="J72" s="183">
        <f>SUMIFS('декабрь 2025'!$G$2:$G$2730,'декабрь 2025'!$D$2:$D$2730,$B72,'декабрь 2025'!$J$2:$J$2730,J$1)</f>
        <v>0</v>
      </c>
      <c r="K72" s="183">
        <f>SUMIFS('декабрь 2025'!$G$2:$G$2730,'декабрь 2025'!$D$2:$D$2730,$B72,'декабрь 2025'!$J$2:$J$2730,K$1)</f>
        <v>0</v>
      </c>
      <c r="L72" s="183">
        <f>SUMIFS('декабрь 2025'!$G$2:$G$2730,'декабрь 2025'!$D$2:$D$2730,$B72,'декабрь 2025'!$J$2:$J$2730,L$1)</f>
        <v>0</v>
      </c>
      <c r="M72" s="183">
        <f>SUMIFS('декабрь 2025'!$G$2:$G$2730,'декабрь 2025'!$D$2:$D$2730,$B72,'декабрь 2025'!$J$2:$J$2730,M$1)</f>
        <v>0</v>
      </c>
      <c r="N72" s="183">
        <f>SUMIFS('декабрь 2025'!$G$2:$G$2730,'декабрь 2025'!$D$2:$D$2730,$B72,'декабрь 2025'!$J$2:$J$2730,N$1)</f>
        <v>0</v>
      </c>
      <c r="O72" s="183">
        <f>SUMIFS('декабрь 2025'!$G$2:$G$2730,'декабрь 2025'!$D$2:$D$2730,$B72,'декабрь 2025'!$J$2:$J$2730,O$1)</f>
        <v>0</v>
      </c>
      <c r="P72" s="183">
        <f>SUMIFS('декабрь 2025'!$G$2:$G$2730,'декабрь 2025'!$D$2:$D$2730,$B72,'декабрь 2025'!$J$2:$J$2730,P$1)</f>
        <v>0</v>
      </c>
      <c r="Q72" s="183">
        <f>SUMIFS('декабрь 2025'!$G$2:$G$2730,'декабрь 2025'!$D$2:$D$2730,$B72,'декабрь 2025'!$J$2:$J$2730,Q$1)</f>
        <v>0</v>
      </c>
      <c r="R72" s="183">
        <f>SUMIFS('декабрь 2025'!$G$2:$G$2730,'декабрь 2025'!$D$2:$D$2730,$B72,'декабрь 2025'!$J$2:$J$2730,R$1)</f>
        <v>0</v>
      </c>
      <c r="S72" s="183">
        <f>SUMIFS('декабрь 2025'!$G$2:$G$2730,'декабрь 2025'!$D$2:$D$2730,$B72,'декабрь 2025'!$J$2:$J$2730,S$1)</f>
        <v>0</v>
      </c>
      <c r="T72" s="183">
        <f>SUMIFS('декабрь 2025'!$G$2:$G$2730,'декабрь 2025'!$D$2:$D$2730,$B72,'декабрь 2025'!$J$2:$J$2730,T$1)</f>
        <v>0</v>
      </c>
      <c r="U72" s="183">
        <f>SUMIFS('декабрь 2025'!$G$2:$G$2730,'декабрь 2025'!$D$2:$D$2730,$B72,'декабрь 2025'!$J$2:$J$2730,U$1)</f>
        <v>0</v>
      </c>
      <c r="V72" s="183">
        <f>SUMIFS('декабрь 2025'!$G$2:$G$2730,'декабрь 2025'!$D$2:$D$2730,$B72,'декабрь 2025'!$J$2:$J$2730,V$1)</f>
        <v>0</v>
      </c>
      <c r="W72" s="183">
        <f>SUMIFS('декабрь 2025'!$G$2:$G$2730,'декабрь 2025'!$D$2:$D$2730,$B72,'декабрь 2025'!$J$2:$J$2730,W$1)</f>
        <v>0</v>
      </c>
      <c r="X72" s="183">
        <f>SUMIFS('декабрь 2025'!$G$2:$G$2730,'декабрь 2025'!$D$2:$D$2730,$B72,'декабрь 2025'!$J$2:$J$2730,X$1)</f>
        <v>0</v>
      </c>
      <c r="Y72" s="183">
        <f>SUMIFS('декабрь 2025'!$G$2:$G$2730,'декабрь 2025'!$D$2:$D$2730,$B72,'декабрь 2025'!$J$2:$J$2730,Y$1)</f>
        <v>0</v>
      </c>
      <c r="Z72" s="183">
        <f>SUMIFS('декабрь 2025'!$G$2:$G$2730,'декабрь 2025'!$D$2:$D$2730,$B72,'декабрь 2025'!$J$2:$J$2730,Z$1)</f>
        <v>0</v>
      </c>
      <c r="AA72" s="183">
        <f>SUMIFS('декабрь 2025'!$G$2:$G$2730,'декабрь 2025'!$D$2:$D$2730,$B72,'декабрь 2025'!$J$2:$J$2730,AA$1)</f>
        <v>0</v>
      </c>
      <c r="AB72" s="183">
        <f>SUMIFS('декабрь 2025'!$G$2:$G$2730,'декабрь 2025'!$D$2:$D$2730,$B72,'декабрь 2025'!$J$2:$J$2730,AB$1)</f>
        <v>0</v>
      </c>
      <c r="AC72" s="183">
        <f>SUMIFS('декабрь 2025'!$G$2:$G$2730,'декабрь 2025'!$D$2:$D$2730,$B72,'декабрь 2025'!$J$2:$J$2730,AC$1)</f>
        <v>0</v>
      </c>
      <c r="AD72" s="183">
        <f>SUMIFS('декабрь 2025'!$G$2:$G$2730,'декабрь 2025'!$D$2:$D$2730,$B72,'декабрь 2025'!$J$2:$J$2730,AD$1)</f>
        <v>0</v>
      </c>
      <c r="AE72" s="183">
        <f>SUMIFS('декабрь 2025'!$G$2:$G$2730,'декабрь 2025'!$D$2:$D$2730,$B72,'декабрь 2025'!$J$2:$J$2730,AE$1)</f>
        <v>0</v>
      </c>
      <c r="AF72" s="183">
        <f>SUMIFS('декабрь 2025'!$G$2:$G$2730,'декабрь 2025'!$D$2:$D$2730,$B72,'декабрь 2025'!$J$2:$J$2730,AF$1)</f>
        <v>0</v>
      </c>
      <c r="AG72" s="183">
        <f>SUMIFS('декабрь 2025'!$G$2:$G$2730,'декабрь 2025'!$D$2:$D$2730,$B72,'декабрь 2025'!$J$2:$J$2730,AG$1)</f>
        <v>0</v>
      </c>
      <c r="AH72" s="183">
        <f>SUMIFS('декабрь 2025'!$G$2:$G$2730,'декабрь 2025'!$D$2:$D$2730,$B72,'декабрь 2025'!$J$2:$J$2730,AH$1)</f>
        <v>0</v>
      </c>
      <c r="AI72" s="20">
        <f t="shared" si="1"/>
        <v>0</v>
      </c>
    </row>
    <row r="73" spans="2:35" ht="15.75" x14ac:dyDescent="0.25">
      <c r="B73" s="84" t="s">
        <v>158</v>
      </c>
      <c r="C73" s="83">
        <v>200</v>
      </c>
      <c r="D73" s="183">
        <f>SUMIFS('декабрь 2025'!$G$2:$G$2730,'декабрь 2025'!$D$2:$D$2730,$B73,'декабрь 2025'!$J$2:$J$2730,D$1)</f>
        <v>0</v>
      </c>
      <c r="E73" s="183">
        <f>SUMIFS('декабрь 2025'!$G$2:$G$2730,'декабрь 2025'!$D$2:$D$2730,$B73,'декабрь 2025'!$J$2:$J$2730,E$1)</f>
        <v>0</v>
      </c>
      <c r="F73" s="183">
        <f>SUMIFS('декабрь 2025'!$G$2:$G$2730,'декабрь 2025'!$D$2:$D$2730,$B73,'декабрь 2025'!$J$2:$J$2730,F$1)</f>
        <v>0</v>
      </c>
      <c r="G73" s="183">
        <f>SUMIFS('декабрь 2025'!$G$2:$G$2730,'декабрь 2025'!$D$2:$D$2730,$B73,'декабрь 2025'!$J$2:$J$2730,G$1)</f>
        <v>0</v>
      </c>
      <c r="H73" s="183">
        <f>SUMIFS('декабрь 2025'!$G$2:$G$2730,'декабрь 2025'!$D$2:$D$2730,$B73,'декабрь 2025'!$J$2:$J$2730,H$1)</f>
        <v>0</v>
      </c>
      <c r="I73" s="183">
        <f>SUMIFS('декабрь 2025'!$G$2:$G$2730,'декабрь 2025'!$D$2:$D$2730,$B73,'декабрь 2025'!$J$2:$J$2730,I$1)</f>
        <v>0</v>
      </c>
      <c r="J73" s="183">
        <f>SUMIFS('декабрь 2025'!$G$2:$G$2730,'декабрь 2025'!$D$2:$D$2730,$B73,'декабрь 2025'!$J$2:$J$2730,J$1)</f>
        <v>0</v>
      </c>
      <c r="K73" s="183">
        <f>SUMIFS('декабрь 2025'!$G$2:$G$2730,'декабрь 2025'!$D$2:$D$2730,$B73,'декабрь 2025'!$J$2:$J$2730,K$1)</f>
        <v>0</v>
      </c>
      <c r="L73" s="183">
        <f>SUMIFS('декабрь 2025'!$G$2:$G$2730,'декабрь 2025'!$D$2:$D$2730,$B73,'декабрь 2025'!$J$2:$J$2730,L$1)</f>
        <v>0</v>
      </c>
      <c r="M73" s="183">
        <f>SUMIFS('декабрь 2025'!$G$2:$G$2730,'декабрь 2025'!$D$2:$D$2730,$B73,'декабрь 2025'!$J$2:$J$2730,M$1)</f>
        <v>0</v>
      </c>
      <c r="N73" s="183">
        <f>SUMIFS('декабрь 2025'!$G$2:$G$2730,'декабрь 2025'!$D$2:$D$2730,$B73,'декабрь 2025'!$J$2:$J$2730,N$1)</f>
        <v>0</v>
      </c>
      <c r="O73" s="183">
        <f>SUMIFS('декабрь 2025'!$G$2:$G$2730,'декабрь 2025'!$D$2:$D$2730,$B73,'декабрь 2025'!$J$2:$J$2730,O$1)</f>
        <v>0</v>
      </c>
      <c r="P73" s="183">
        <f>SUMIFS('декабрь 2025'!$G$2:$G$2730,'декабрь 2025'!$D$2:$D$2730,$B73,'декабрь 2025'!$J$2:$J$2730,P$1)</f>
        <v>0</v>
      </c>
      <c r="Q73" s="183">
        <f>SUMIFS('декабрь 2025'!$G$2:$G$2730,'декабрь 2025'!$D$2:$D$2730,$B73,'декабрь 2025'!$J$2:$J$2730,Q$1)</f>
        <v>0</v>
      </c>
      <c r="R73" s="183">
        <f>SUMIFS('декабрь 2025'!$G$2:$G$2730,'декабрь 2025'!$D$2:$D$2730,$B73,'декабрь 2025'!$J$2:$J$2730,R$1)</f>
        <v>0</v>
      </c>
      <c r="S73" s="183">
        <f>SUMIFS('декабрь 2025'!$G$2:$G$2730,'декабрь 2025'!$D$2:$D$2730,$B73,'декабрь 2025'!$J$2:$J$2730,S$1)</f>
        <v>0</v>
      </c>
      <c r="T73" s="183">
        <f>SUMIFS('декабрь 2025'!$G$2:$G$2730,'декабрь 2025'!$D$2:$D$2730,$B73,'декабрь 2025'!$J$2:$J$2730,T$1)</f>
        <v>0</v>
      </c>
      <c r="U73" s="183">
        <f>SUMIFS('декабрь 2025'!$G$2:$G$2730,'декабрь 2025'!$D$2:$D$2730,$B73,'декабрь 2025'!$J$2:$J$2730,U$1)</f>
        <v>0</v>
      </c>
      <c r="V73" s="183">
        <f>SUMIFS('декабрь 2025'!$G$2:$G$2730,'декабрь 2025'!$D$2:$D$2730,$B73,'декабрь 2025'!$J$2:$J$2730,V$1)</f>
        <v>0</v>
      </c>
      <c r="W73" s="183">
        <f>SUMIFS('декабрь 2025'!$G$2:$G$2730,'декабрь 2025'!$D$2:$D$2730,$B73,'декабрь 2025'!$J$2:$J$2730,W$1)</f>
        <v>0</v>
      </c>
      <c r="X73" s="183">
        <f>SUMIFS('декабрь 2025'!$G$2:$G$2730,'декабрь 2025'!$D$2:$D$2730,$B73,'декабрь 2025'!$J$2:$J$2730,X$1)</f>
        <v>0</v>
      </c>
      <c r="Y73" s="183">
        <f>SUMIFS('декабрь 2025'!$G$2:$G$2730,'декабрь 2025'!$D$2:$D$2730,$B73,'декабрь 2025'!$J$2:$J$2730,Y$1)</f>
        <v>0</v>
      </c>
      <c r="Z73" s="183">
        <f>SUMIFS('декабрь 2025'!$G$2:$G$2730,'декабрь 2025'!$D$2:$D$2730,$B73,'декабрь 2025'!$J$2:$J$2730,Z$1)</f>
        <v>0</v>
      </c>
      <c r="AA73" s="183">
        <f>SUMIFS('декабрь 2025'!$G$2:$G$2730,'декабрь 2025'!$D$2:$D$2730,$B73,'декабрь 2025'!$J$2:$J$2730,AA$1)</f>
        <v>0</v>
      </c>
      <c r="AB73" s="183">
        <f>SUMIFS('декабрь 2025'!$G$2:$G$2730,'декабрь 2025'!$D$2:$D$2730,$B73,'декабрь 2025'!$J$2:$J$2730,AB$1)</f>
        <v>0</v>
      </c>
      <c r="AC73" s="183">
        <f>SUMIFS('декабрь 2025'!$G$2:$G$2730,'декабрь 2025'!$D$2:$D$2730,$B73,'декабрь 2025'!$J$2:$J$2730,AC$1)</f>
        <v>0</v>
      </c>
      <c r="AD73" s="183">
        <f>SUMIFS('декабрь 2025'!$G$2:$G$2730,'декабрь 2025'!$D$2:$D$2730,$B73,'декабрь 2025'!$J$2:$J$2730,AD$1)</f>
        <v>0</v>
      </c>
      <c r="AE73" s="183">
        <f>SUMIFS('декабрь 2025'!$G$2:$G$2730,'декабрь 2025'!$D$2:$D$2730,$B73,'декабрь 2025'!$J$2:$J$2730,AE$1)</f>
        <v>0</v>
      </c>
      <c r="AF73" s="183">
        <f>SUMIFS('декабрь 2025'!$G$2:$G$2730,'декабрь 2025'!$D$2:$D$2730,$B73,'декабрь 2025'!$J$2:$J$2730,AF$1)</f>
        <v>0</v>
      </c>
      <c r="AG73" s="183">
        <f>SUMIFS('декабрь 2025'!$G$2:$G$2730,'декабрь 2025'!$D$2:$D$2730,$B73,'декабрь 2025'!$J$2:$J$2730,AG$1)</f>
        <v>0</v>
      </c>
      <c r="AH73" s="183">
        <f>SUMIFS('декабрь 2025'!$G$2:$G$2730,'декабрь 2025'!$D$2:$D$2730,$B73,'декабрь 2025'!$J$2:$J$2730,AH$1)</f>
        <v>0</v>
      </c>
      <c r="AI73" s="20">
        <f t="shared" si="1"/>
        <v>0</v>
      </c>
    </row>
    <row r="74" spans="2:35" ht="15.75" x14ac:dyDescent="0.25">
      <c r="B74" s="88" t="s">
        <v>157</v>
      </c>
      <c r="C74" s="86">
        <v>200</v>
      </c>
      <c r="D74" s="183">
        <f>SUMIFS('декабрь 2025'!$G$2:$G$2730,'декабрь 2025'!$D$2:$D$2730,$B74,'декабрь 2025'!$J$2:$J$2730,D$1)</f>
        <v>88</v>
      </c>
      <c r="E74" s="183">
        <f>SUMIFS('декабрь 2025'!$G$2:$G$2730,'декабрь 2025'!$D$2:$D$2730,$B74,'декабрь 2025'!$J$2:$J$2730,E$1)</f>
        <v>0</v>
      </c>
      <c r="F74" s="183">
        <f>SUMIFS('декабрь 2025'!$G$2:$G$2730,'декабрь 2025'!$D$2:$D$2730,$B74,'декабрь 2025'!$J$2:$J$2730,F$1)</f>
        <v>0</v>
      </c>
      <c r="G74" s="183">
        <f>SUMIFS('декабрь 2025'!$G$2:$G$2730,'декабрь 2025'!$D$2:$D$2730,$B74,'декабрь 2025'!$J$2:$J$2730,G$1)</f>
        <v>0</v>
      </c>
      <c r="H74" s="183">
        <f>SUMIFS('декабрь 2025'!$G$2:$G$2730,'декабрь 2025'!$D$2:$D$2730,$B74,'декабрь 2025'!$J$2:$J$2730,H$1)</f>
        <v>0</v>
      </c>
      <c r="I74" s="183">
        <f>SUMIFS('декабрь 2025'!$G$2:$G$2730,'декабрь 2025'!$D$2:$D$2730,$B74,'декабрь 2025'!$J$2:$J$2730,I$1)</f>
        <v>0</v>
      </c>
      <c r="J74" s="183">
        <f>SUMIFS('декабрь 2025'!$G$2:$G$2730,'декабрь 2025'!$D$2:$D$2730,$B74,'декабрь 2025'!$J$2:$J$2730,J$1)</f>
        <v>0</v>
      </c>
      <c r="K74" s="183">
        <f>SUMIFS('декабрь 2025'!$G$2:$G$2730,'декабрь 2025'!$D$2:$D$2730,$B74,'декабрь 2025'!$J$2:$J$2730,K$1)</f>
        <v>0</v>
      </c>
      <c r="L74" s="183">
        <f>SUMIFS('декабрь 2025'!$G$2:$G$2730,'декабрь 2025'!$D$2:$D$2730,$B74,'декабрь 2025'!$J$2:$J$2730,L$1)</f>
        <v>88</v>
      </c>
      <c r="M74" s="183">
        <f>SUMIFS('декабрь 2025'!$G$2:$G$2730,'декабрь 2025'!$D$2:$D$2730,$B74,'декабрь 2025'!$J$2:$J$2730,M$1)</f>
        <v>176</v>
      </c>
      <c r="N74" s="183">
        <f>SUMIFS('декабрь 2025'!$G$2:$G$2730,'декабрь 2025'!$D$2:$D$2730,$B74,'декабрь 2025'!$J$2:$J$2730,N$1)</f>
        <v>0</v>
      </c>
      <c r="O74" s="183">
        <f>SUMIFS('декабрь 2025'!$G$2:$G$2730,'декабрь 2025'!$D$2:$D$2730,$B74,'декабрь 2025'!$J$2:$J$2730,O$1)</f>
        <v>0</v>
      </c>
      <c r="P74" s="183">
        <f>SUMIFS('декабрь 2025'!$G$2:$G$2730,'декабрь 2025'!$D$2:$D$2730,$B74,'декабрь 2025'!$J$2:$J$2730,P$1)</f>
        <v>0</v>
      </c>
      <c r="Q74" s="183">
        <f>SUMIFS('декабрь 2025'!$G$2:$G$2730,'декабрь 2025'!$D$2:$D$2730,$B74,'декабрь 2025'!$J$2:$J$2730,Q$1)</f>
        <v>0</v>
      </c>
      <c r="R74" s="183">
        <f>SUMIFS('декабрь 2025'!$G$2:$G$2730,'декабрь 2025'!$D$2:$D$2730,$B74,'декабрь 2025'!$J$2:$J$2730,R$1)</f>
        <v>0</v>
      </c>
      <c r="S74" s="183">
        <f>SUMIFS('декабрь 2025'!$G$2:$G$2730,'декабрь 2025'!$D$2:$D$2730,$B74,'декабрь 2025'!$J$2:$J$2730,S$1)</f>
        <v>176</v>
      </c>
      <c r="T74" s="183">
        <f>SUMIFS('декабрь 2025'!$G$2:$G$2730,'декабрь 2025'!$D$2:$D$2730,$B74,'декабрь 2025'!$J$2:$J$2730,T$1)</f>
        <v>14</v>
      </c>
      <c r="U74" s="183">
        <f>SUMIFS('декабрь 2025'!$G$2:$G$2730,'декабрь 2025'!$D$2:$D$2730,$B74,'декабрь 2025'!$J$2:$J$2730,U$1)</f>
        <v>88</v>
      </c>
      <c r="V74" s="183">
        <f>SUMIFS('декабрь 2025'!$G$2:$G$2730,'декабрь 2025'!$D$2:$D$2730,$B74,'декабрь 2025'!$J$2:$J$2730,V$1)</f>
        <v>176</v>
      </c>
      <c r="W74" s="183">
        <f>SUMIFS('декабрь 2025'!$G$2:$G$2730,'декабрь 2025'!$D$2:$D$2730,$B74,'декабрь 2025'!$J$2:$J$2730,W$1)</f>
        <v>0</v>
      </c>
      <c r="X74" s="183">
        <f>SUMIFS('декабрь 2025'!$G$2:$G$2730,'декабрь 2025'!$D$2:$D$2730,$B74,'декабрь 2025'!$J$2:$J$2730,X$1)</f>
        <v>0</v>
      </c>
      <c r="Y74" s="183">
        <f>SUMIFS('декабрь 2025'!$G$2:$G$2730,'декабрь 2025'!$D$2:$D$2730,$B74,'декабрь 2025'!$J$2:$J$2730,Y$1)</f>
        <v>0</v>
      </c>
      <c r="Z74" s="183">
        <f>SUMIFS('декабрь 2025'!$G$2:$G$2730,'декабрь 2025'!$D$2:$D$2730,$B74,'декабрь 2025'!$J$2:$J$2730,Z$1)</f>
        <v>0</v>
      </c>
      <c r="AA74" s="183">
        <f>SUMIFS('декабрь 2025'!$G$2:$G$2730,'декабрь 2025'!$D$2:$D$2730,$B74,'декабрь 2025'!$J$2:$J$2730,AA$1)</f>
        <v>86</v>
      </c>
      <c r="AB74" s="183">
        <f>SUMIFS('декабрь 2025'!$G$2:$G$2730,'декабрь 2025'!$D$2:$D$2730,$B74,'декабрь 2025'!$J$2:$J$2730,AB$1)</f>
        <v>0</v>
      </c>
      <c r="AC74" s="183">
        <f>SUMIFS('декабрь 2025'!$G$2:$G$2730,'декабрь 2025'!$D$2:$D$2730,$B74,'декабрь 2025'!$J$2:$J$2730,AC$1)</f>
        <v>0</v>
      </c>
      <c r="AD74" s="183">
        <f>SUMIFS('декабрь 2025'!$G$2:$G$2730,'декабрь 2025'!$D$2:$D$2730,$B74,'декабрь 2025'!$J$2:$J$2730,AD$1)</f>
        <v>0</v>
      </c>
      <c r="AE74" s="183">
        <f>SUMIFS('декабрь 2025'!$G$2:$G$2730,'декабрь 2025'!$D$2:$D$2730,$B74,'декабрь 2025'!$J$2:$J$2730,AE$1)</f>
        <v>0</v>
      </c>
      <c r="AF74" s="183">
        <f>SUMIFS('декабрь 2025'!$G$2:$G$2730,'декабрь 2025'!$D$2:$D$2730,$B74,'декабрь 2025'!$J$2:$J$2730,AF$1)</f>
        <v>0</v>
      </c>
      <c r="AG74" s="183">
        <f>SUMIFS('декабрь 2025'!$G$2:$G$2730,'декабрь 2025'!$D$2:$D$2730,$B74,'декабрь 2025'!$J$2:$J$2730,AG$1)</f>
        <v>0</v>
      </c>
      <c r="AH74" s="183">
        <f>SUMIFS('декабрь 2025'!$G$2:$G$2730,'декабрь 2025'!$D$2:$D$2730,$B74,'декабрь 2025'!$J$2:$J$2730,AH$1)</f>
        <v>0</v>
      </c>
      <c r="AI74" s="20">
        <f t="shared" si="1"/>
        <v>892</v>
      </c>
    </row>
    <row r="75" spans="2:35" ht="15.75" x14ac:dyDescent="0.25">
      <c r="B75" s="88" t="s">
        <v>299</v>
      </c>
      <c r="C75" s="86">
        <v>200</v>
      </c>
      <c r="D75" s="183">
        <f>SUMIFS('декабрь 2025'!$G$2:$G$2730,'декабрь 2025'!$D$2:$D$2730,$B75,'декабрь 2025'!$J$2:$J$2730,D$1)</f>
        <v>0</v>
      </c>
      <c r="E75" s="183">
        <f>SUMIFS('декабрь 2025'!$G$2:$G$2730,'декабрь 2025'!$D$2:$D$2730,$B75,'декабрь 2025'!$J$2:$J$2730,E$1)</f>
        <v>0</v>
      </c>
      <c r="F75" s="183">
        <f>SUMIFS('декабрь 2025'!$G$2:$G$2730,'декабрь 2025'!$D$2:$D$2730,$B75,'декабрь 2025'!$J$2:$J$2730,F$1)</f>
        <v>0</v>
      </c>
      <c r="G75" s="183">
        <f>SUMIFS('декабрь 2025'!$G$2:$G$2730,'декабрь 2025'!$D$2:$D$2730,$B75,'декабрь 2025'!$J$2:$J$2730,G$1)</f>
        <v>0</v>
      </c>
      <c r="H75" s="183">
        <f>SUMIFS('декабрь 2025'!$G$2:$G$2730,'декабрь 2025'!$D$2:$D$2730,$B75,'декабрь 2025'!$J$2:$J$2730,H$1)</f>
        <v>0</v>
      </c>
      <c r="I75" s="183">
        <f>SUMIFS('декабрь 2025'!$G$2:$G$2730,'декабрь 2025'!$D$2:$D$2730,$B75,'декабрь 2025'!$J$2:$J$2730,I$1)</f>
        <v>0</v>
      </c>
      <c r="J75" s="183">
        <f>SUMIFS('декабрь 2025'!$G$2:$G$2730,'декабрь 2025'!$D$2:$D$2730,$B75,'декабрь 2025'!$J$2:$J$2730,J$1)</f>
        <v>0</v>
      </c>
      <c r="K75" s="183">
        <f>SUMIFS('декабрь 2025'!$G$2:$G$2730,'декабрь 2025'!$D$2:$D$2730,$B75,'декабрь 2025'!$J$2:$J$2730,K$1)</f>
        <v>0</v>
      </c>
      <c r="L75" s="183">
        <f>SUMIFS('декабрь 2025'!$G$2:$G$2730,'декабрь 2025'!$D$2:$D$2730,$B75,'декабрь 2025'!$J$2:$J$2730,L$1)</f>
        <v>0</v>
      </c>
      <c r="M75" s="183">
        <f>SUMIFS('декабрь 2025'!$G$2:$G$2730,'декабрь 2025'!$D$2:$D$2730,$B75,'декабрь 2025'!$J$2:$J$2730,M$1)</f>
        <v>0</v>
      </c>
      <c r="N75" s="183">
        <f>SUMIFS('декабрь 2025'!$G$2:$G$2730,'декабрь 2025'!$D$2:$D$2730,$B75,'декабрь 2025'!$J$2:$J$2730,N$1)</f>
        <v>0</v>
      </c>
      <c r="O75" s="183">
        <f>SUMIFS('декабрь 2025'!$G$2:$G$2730,'декабрь 2025'!$D$2:$D$2730,$B75,'декабрь 2025'!$J$2:$J$2730,O$1)</f>
        <v>0</v>
      </c>
      <c r="P75" s="183">
        <f>SUMIFS('декабрь 2025'!$G$2:$G$2730,'декабрь 2025'!$D$2:$D$2730,$B75,'декабрь 2025'!$J$2:$J$2730,P$1)</f>
        <v>0</v>
      </c>
      <c r="Q75" s="183">
        <f>SUMIFS('декабрь 2025'!$G$2:$G$2730,'декабрь 2025'!$D$2:$D$2730,$B75,'декабрь 2025'!$J$2:$J$2730,Q$1)</f>
        <v>0</v>
      </c>
      <c r="R75" s="183">
        <f>SUMIFS('декабрь 2025'!$G$2:$G$2730,'декабрь 2025'!$D$2:$D$2730,$B75,'декабрь 2025'!$J$2:$J$2730,R$1)</f>
        <v>0</v>
      </c>
      <c r="S75" s="183">
        <f>SUMIFS('декабрь 2025'!$G$2:$G$2730,'декабрь 2025'!$D$2:$D$2730,$B75,'декабрь 2025'!$J$2:$J$2730,S$1)</f>
        <v>0</v>
      </c>
      <c r="T75" s="183">
        <f>SUMIFS('декабрь 2025'!$G$2:$G$2730,'декабрь 2025'!$D$2:$D$2730,$B75,'декабрь 2025'!$J$2:$J$2730,T$1)</f>
        <v>0</v>
      </c>
      <c r="U75" s="183">
        <f>SUMIFS('декабрь 2025'!$G$2:$G$2730,'декабрь 2025'!$D$2:$D$2730,$B75,'декабрь 2025'!$J$2:$J$2730,U$1)</f>
        <v>0</v>
      </c>
      <c r="V75" s="183">
        <f>SUMIFS('декабрь 2025'!$G$2:$G$2730,'декабрь 2025'!$D$2:$D$2730,$B75,'декабрь 2025'!$J$2:$J$2730,V$1)</f>
        <v>0</v>
      </c>
      <c r="W75" s="183">
        <f>SUMIFS('декабрь 2025'!$G$2:$G$2730,'декабрь 2025'!$D$2:$D$2730,$B75,'декабрь 2025'!$J$2:$J$2730,W$1)</f>
        <v>0</v>
      </c>
      <c r="X75" s="183">
        <f>SUMIFS('декабрь 2025'!$G$2:$G$2730,'декабрь 2025'!$D$2:$D$2730,$B75,'декабрь 2025'!$J$2:$J$2730,X$1)</f>
        <v>0</v>
      </c>
      <c r="Y75" s="183">
        <f>SUMIFS('декабрь 2025'!$G$2:$G$2730,'декабрь 2025'!$D$2:$D$2730,$B75,'декабрь 2025'!$J$2:$J$2730,Y$1)</f>
        <v>0</v>
      </c>
      <c r="Z75" s="183">
        <f>SUMIFS('декабрь 2025'!$G$2:$G$2730,'декабрь 2025'!$D$2:$D$2730,$B75,'декабрь 2025'!$J$2:$J$2730,Z$1)</f>
        <v>0</v>
      </c>
      <c r="AA75" s="183">
        <f>SUMIFS('декабрь 2025'!$G$2:$G$2730,'декабрь 2025'!$D$2:$D$2730,$B75,'декабрь 2025'!$J$2:$J$2730,AA$1)</f>
        <v>0</v>
      </c>
      <c r="AB75" s="183">
        <f>SUMIFS('декабрь 2025'!$G$2:$G$2730,'декабрь 2025'!$D$2:$D$2730,$B75,'декабрь 2025'!$J$2:$J$2730,AB$1)</f>
        <v>0</v>
      </c>
      <c r="AC75" s="183">
        <f>SUMIFS('декабрь 2025'!$G$2:$G$2730,'декабрь 2025'!$D$2:$D$2730,$B75,'декабрь 2025'!$J$2:$J$2730,AC$1)</f>
        <v>0</v>
      </c>
      <c r="AD75" s="183">
        <f>SUMIFS('декабрь 2025'!$G$2:$G$2730,'декабрь 2025'!$D$2:$D$2730,$B75,'декабрь 2025'!$J$2:$J$2730,AD$1)</f>
        <v>0</v>
      </c>
      <c r="AE75" s="183">
        <f>SUMIFS('декабрь 2025'!$G$2:$G$2730,'декабрь 2025'!$D$2:$D$2730,$B75,'декабрь 2025'!$J$2:$J$2730,AE$1)</f>
        <v>0</v>
      </c>
      <c r="AF75" s="183">
        <f>SUMIFS('декабрь 2025'!$G$2:$G$2730,'декабрь 2025'!$D$2:$D$2730,$B75,'декабрь 2025'!$J$2:$J$2730,AF$1)</f>
        <v>0</v>
      </c>
      <c r="AG75" s="183">
        <f>SUMIFS('декабрь 2025'!$G$2:$G$2730,'декабрь 2025'!$D$2:$D$2730,$B75,'декабрь 2025'!$J$2:$J$2730,AG$1)</f>
        <v>0</v>
      </c>
      <c r="AH75" s="183">
        <f>SUMIFS('декабрь 2025'!$G$2:$G$2730,'декабрь 2025'!$D$2:$D$2730,$B75,'декабрь 2025'!$J$2:$J$2730,AH$1)</f>
        <v>0</v>
      </c>
      <c r="AI75" s="20">
        <f t="shared" si="1"/>
        <v>0</v>
      </c>
    </row>
    <row r="76" spans="2:35" ht="15.75" x14ac:dyDescent="0.25">
      <c r="B76" s="88" t="s">
        <v>994</v>
      </c>
      <c r="C76" s="86">
        <v>190</v>
      </c>
      <c r="D76" s="183">
        <f>SUMIFS('декабрь 2025'!$G$2:$G$2730,'декабрь 2025'!$D$2:$D$2730,$B76,'декабрь 2025'!$J$2:$J$2730,D$1)</f>
        <v>0</v>
      </c>
      <c r="E76" s="183">
        <f>SUMIFS('декабрь 2025'!$G$2:$G$2730,'декабрь 2025'!$D$2:$D$2730,$B76,'декабрь 2025'!$J$2:$J$2730,E$1)</f>
        <v>0</v>
      </c>
      <c r="F76" s="183">
        <f>SUMIFS('декабрь 2025'!$G$2:$G$2730,'декабрь 2025'!$D$2:$D$2730,$B76,'декабрь 2025'!$J$2:$J$2730,F$1)</f>
        <v>0</v>
      </c>
      <c r="G76" s="183">
        <f>SUMIFS('декабрь 2025'!$G$2:$G$2730,'декабрь 2025'!$D$2:$D$2730,$B76,'декабрь 2025'!$J$2:$J$2730,G$1)</f>
        <v>0</v>
      </c>
      <c r="H76" s="183">
        <f>SUMIFS('декабрь 2025'!$G$2:$G$2730,'декабрь 2025'!$D$2:$D$2730,$B76,'декабрь 2025'!$J$2:$J$2730,H$1)</f>
        <v>0</v>
      </c>
      <c r="I76" s="183">
        <f>SUMIFS('декабрь 2025'!$G$2:$G$2730,'декабрь 2025'!$D$2:$D$2730,$B76,'декабрь 2025'!$J$2:$J$2730,I$1)</f>
        <v>0</v>
      </c>
      <c r="J76" s="183">
        <f>SUMIFS('декабрь 2025'!$G$2:$G$2730,'декабрь 2025'!$D$2:$D$2730,$B76,'декабрь 2025'!$J$2:$J$2730,J$1)</f>
        <v>0</v>
      </c>
      <c r="K76" s="183">
        <f>SUMIFS('декабрь 2025'!$G$2:$G$2730,'декабрь 2025'!$D$2:$D$2730,$B76,'декабрь 2025'!$J$2:$J$2730,K$1)</f>
        <v>0</v>
      </c>
      <c r="L76" s="183">
        <f>SUMIFS('декабрь 2025'!$G$2:$G$2730,'декабрь 2025'!$D$2:$D$2730,$B76,'декабрь 2025'!$J$2:$J$2730,L$1)</f>
        <v>0</v>
      </c>
      <c r="M76" s="183">
        <f>SUMIFS('декабрь 2025'!$G$2:$G$2730,'декабрь 2025'!$D$2:$D$2730,$B76,'декабрь 2025'!$J$2:$J$2730,M$1)</f>
        <v>0</v>
      </c>
      <c r="N76" s="183">
        <f>SUMIFS('декабрь 2025'!$G$2:$G$2730,'декабрь 2025'!$D$2:$D$2730,$B76,'декабрь 2025'!$J$2:$J$2730,N$1)</f>
        <v>0</v>
      </c>
      <c r="O76" s="183">
        <f>SUMIFS('декабрь 2025'!$G$2:$G$2730,'декабрь 2025'!$D$2:$D$2730,$B76,'декабрь 2025'!$J$2:$J$2730,O$1)</f>
        <v>0</v>
      </c>
      <c r="P76" s="183">
        <f>SUMIFS('декабрь 2025'!$G$2:$G$2730,'декабрь 2025'!$D$2:$D$2730,$B76,'декабрь 2025'!$J$2:$J$2730,P$1)</f>
        <v>0</v>
      </c>
      <c r="Q76" s="183">
        <f>SUMIFS('декабрь 2025'!$G$2:$G$2730,'декабрь 2025'!$D$2:$D$2730,$B76,'декабрь 2025'!$J$2:$J$2730,Q$1)</f>
        <v>0</v>
      </c>
      <c r="R76" s="183">
        <f>SUMIFS('декабрь 2025'!$G$2:$G$2730,'декабрь 2025'!$D$2:$D$2730,$B76,'декабрь 2025'!$J$2:$J$2730,R$1)</f>
        <v>0</v>
      </c>
      <c r="S76" s="183">
        <f>SUMIFS('декабрь 2025'!$G$2:$G$2730,'декабрь 2025'!$D$2:$D$2730,$B76,'декабрь 2025'!$J$2:$J$2730,S$1)</f>
        <v>0</v>
      </c>
      <c r="T76" s="183">
        <f>SUMIFS('декабрь 2025'!$G$2:$G$2730,'декабрь 2025'!$D$2:$D$2730,$B76,'декабрь 2025'!$J$2:$J$2730,T$1)</f>
        <v>0</v>
      </c>
      <c r="U76" s="183">
        <f>SUMIFS('декабрь 2025'!$G$2:$G$2730,'декабрь 2025'!$D$2:$D$2730,$B76,'декабрь 2025'!$J$2:$J$2730,U$1)</f>
        <v>0</v>
      </c>
      <c r="V76" s="183">
        <f>SUMIFS('декабрь 2025'!$G$2:$G$2730,'декабрь 2025'!$D$2:$D$2730,$B76,'декабрь 2025'!$J$2:$J$2730,V$1)</f>
        <v>0</v>
      </c>
      <c r="W76" s="183">
        <f>SUMIFS('декабрь 2025'!$G$2:$G$2730,'декабрь 2025'!$D$2:$D$2730,$B76,'декабрь 2025'!$J$2:$J$2730,W$1)</f>
        <v>0</v>
      </c>
      <c r="X76" s="183">
        <f>SUMIFS('декабрь 2025'!$G$2:$G$2730,'декабрь 2025'!$D$2:$D$2730,$B76,'декабрь 2025'!$J$2:$J$2730,X$1)</f>
        <v>0</v>
      </c>
      <c r="Y76" s="183">
        <f>SUMIFS('декабрь 2025'!$G$2:$G$2730,'декабрь 2025'!$D$2:$D$2730,$B76,'декабрь 2025'!$J$2:$J$2730,Y$1)</f>
        <v>0</v>
      </c>
      <c r="Z76" s="183">
        <f>SUMIFS('декабрь 2025'!$G$2:$G$2730,'декабрь 2025'!$D$2:$D$2730,$B76,'декабрь 2025'!$J$2:$J$2730,Z$1)</f>
        <v>0</v>
      </c>
      <c r="AA76" s="183">
        <f>SUMIFS('декабрь 2025'!$G$2:$G$2730,'декабрь 2025'!$D$2:$D$2730,$B76,'декабрь 2025'!$J$2:$J$2730,AA$1)</f>
        <v>0</v>
      </c>
      <c r="AB76" s="183">
        <f>SUMIFS('декабрь 2025'!$G$2:$G$2730,'декабрь 2025'!$D$2:$D$2730,$B76,'декабрь 2025'!$J$2:$J$2730,AB$1)</f>
        <v>0</v>
      </c>
      <c r="AC76" s="183">
        <f>SUMIFS('декабрь 2025'!$G$2:$G$2730,'декабрь 2025'!$D$2:$D$2730,$B76,'декабрь 2025'!$J$2:$J$2730,AC$1)</f>
        <v>0</v>
      </c>
      <c r="AD76" s="183">
        <f>SUMIFS('декабрь 2025'!$G$2:$G$2730,'декабрь 2025'!$D$2:$D$2730,$B76,'декабрь 2025'!$J$2:$J$2730,AD$1)</f>
        <v>0</v>
      </c>
      <c r="AE76" s="183">
        <f>SUMIFS('декабрь 2025'!$G$2:$G$2730,'декабрь 2025'!$D$2:$D$2730,$B76,'декабрь 2025'!$J$2:$J$2730,AE$1)</f>
        <v>0</v>
      </c>
      <c r="AF76" s="183">
        <f>SUMIFS('декабрь 2025'!$G$2:$G$2730,'декабрь 2025'!$D$2:$D$2730,$B76,'декабрь 2025'!$J$2:$J$2730,AF$1)</f>
        <v>0</v>
      </c>
      <c r="AG76" s="183">
        <f>SUMIFS('декабрь 2025'!$G$2:$G$2730,'декабрь 2025'!$D$2:$D$2730,$B76,'декабрь 2025'!$J$2:$J$2730,AG$1)</f>
        <v>0</v>
      </c>
      <c r="AH76" s="183">
        <f>SUMIFS('декабрь 2025'!$G$2:$G$2730,'декабрь 2025'!$D$2:$D$2730,$B76,'декабрь 2025'!$J$2:$J$2730,AH$1)</f>
        <v>0</v>
      </c>
      <c r="AI76" s="20">
        <f t="shared" si="1"/>
        <v>0</v>
      </c>
    </row>
    <row r="77" spans="2:35" ht="15" customHeight="1" x14ac:dyDescent="0.25">
      <c r="B77" s="88" t="s">
        <v>202</v>
      </c>
      <c r="C77" s="86">
        <v>200</v>
      </c>
      <c r="D77" s="183">
        <f>SUMIFS('декабрь 2025'!$G$2:$G$2730,'декабрь 2025'!$D$2:$D$2730,$B77,'декабрь 2025'!$J$2:$J$2730,D$1)</f>
        <v>0</v>
      </c>
      <c r="E77" s="183">
        <f>SUMIFS('декабрь 2025'!$G$2:$G$2730,'декабрь 2025'!$D$2:$D$2730,$B77,'декабрь 2025'!$J$2:$J$2730,E$1)</f>
        <v>0</v>
      </c>
      <c r="F77" s="183">
        <f>SUMIFS('декабрь 2025'!$G$2:$G$2730,'декабрь 2025'!$D$2:$D$2730,$B77,'декабрь 2025'!$J$2:$J$2730,F$1)</f>
        <v>0</v>
      </c>
      <c r="G77" s="183">
        <f>SUMIFS('декабрь 2025'!$G$2:$G$2730,'декабрь 2025'!$D$2:$D$2730,$B77,'декабрь 2025'!$J$2:$J$2730,G$1)</f>
        <v>0</v>
      </c>
      <c r="H77" s="183">
        <f>SUMIFS('декабрь 2025'!$G$2:$G$2730,'декабрь 2025'!$D$2:$D$2730,$B77,'декабрь 2025'!$J$2:$J$2730,H$1)</f>
        <v>0</v>
      </c>
      <c r="I77" s="183">
        <f>SUMIFS('декабрь 2025'!$G$2:$G$2730,'декабрь 2025'!$D$2:$D$2730,$B77,'декабрь 2025'!$J$2:$J$2730,I$1)</f>
        <v>0</v>
      </c>
      <c r="J77" s="183">
        <f>SUMIFS('декабрь 2025'!$G$2:$G$2730,'декабрь 2025'!$D$2:$D$2730,$B77,'декабрь 2025'!$J$2:$J$2730,J$1)</f>
        <v>0</v>
      </c>
      <c r="K77" s="183">
        <f>SUMIFS('декабрь 2025'!$G$2:$G$2730,'декабрь 2025'!$D$2:$D$2730,$B77,'декабрь 2025'!$J$2:$J$2730,K$1)</f>
        <v>0</v>
      </c>
      <c r="L77" s="183">
        <f>SUMIFS('декабрь 2025'!$G$2:$G$2730,'декабрь 2025'!$D$2:$D$2730,$B77,'декабрь 2025'!$J$2:$J$2730,L$1)</f>
        <v>0</v>
      </c>
      <c r="M77" s="183">
        <f>SUMIFS('декабрь 2025'!$G$2:$G$2730,'декабрь 2025'!$D$2:$D$2730,$B77,'декабрь 2025'!$J$2:$J$2730,M$1)</f>
        <v>0</v>
      </c>
      <c r="N77" s="183">
        <f>SUMIFS('декабрь 2025'!$G$2:$G$2730,'декабрь 2025'!$D$2:$D$2730,$B77,'декабрь 2025'!$J$2:$J$2730,N$1)</f>
        <v>0</v>
      </c>
      <c r="O77" s="183">
        <f>SUMIFS('декабрь 2025'!$G$2:$G$2730,'декабрь 2025'!$D$2:$D$2730,$B77,'декабрь 2025'!$J$2:$J$2730,O$1)</f>
        <v>0</v>
      </c>
      <c r="P77" s="183">
        <f>SUMIFS('декабрь 2025'!$G$2:$G$2730,'декабрь 2025'!$D$2:$D$2730,$B77,'декабрь 2025'!$J$2:$J$2730,P$1)</f>
        <v>0</v>
      </c>
      <c r="Q77" s="183">
        <f>SUMIFS('декабрь 2025'!$G$2:$G$2730,'декабрь 2025'!$D$2:$D$2730,$B77,'декабрь 2025'!$J$2:$J$2730,Q$1)</f>
        <v>0</v>
      </c>
      <c r="R77" s="183">
        <f>SUMIFS('декабрь 2025'!$G$2:$G$2730,'декабрь 2025'!$D$2:$D$2730,$B77,'декабрь 2025'!$J$2:$J$2730,R$1)</f>
        <v>0</v>
      </c>
      <c r="S77" s="183">
        <f>SUMIFS('декабрь 2025'!$G$2:$G$2730,'декабрь 2025'!$D$2:$D$2730,$B77,'декабрь 2025'!$J$2:$J$2730,S$1)</f>
        <v>0</v>
      </c>
      <c r="T77" s="183">
        <f>SUMIFS('декабрь 2025'!$G$2:$G$2730,'декабрь 2025'!$D$2:$D$2730,$B77,'декабрь 2025'!$J$2:$J$2730,T$1)</f>
        <v>0</v>
      </c>
      <c r="U77" s="183">
        <f>SUMIFS('декабрь 2025'!$G$2:$G$2730,'декабрь 2025'!$D$2:$D$2730,$B77,'декабрь 2025'!$J$2:$J$2730,U$1)</f>
        <v>0</v>
      </c>
      <c r="V77" s="183">
        <f>SUMIFS('декабрь 2025'!$G$2:$G$2730,'декабрь 2025'!$D$2:$D$2730,$B77,'декабрь 2025'!$J$2:$J$2730,V$1)</f>
        <v>0</v>
      </c>
      <c r="W77" s="183">
        <f>SUMIFS('декабрь 2025'!$G$2:$G$2730,'декабрь 2025'!$D$2:$D$2730,$B77,'декабрь 2025'!$J$2:$J$2730,W$1)</f>
        <v>0</v>
      </c>
      <c r="X77" s="183">
        <f>SUMIFS('декабрь 2025'!$G$2:$G$2730,'декабрь 2025'!$D$2:$D$2730,$B77,'декабрь 2025'!$J$2:$J$2730,X$1)</f>
        <v>0</v>
      </c>
      <c r="Y77" s="183">
        <f>SUMIFS('декабрь 2025'!$G$2:$G$2730,'декабрь 2025'!$D$2:$D$2730,$B77,'декабрь 2025'!$J$2:$J$2730,Y$1)</f>
        <v>0</v>
      </c>
      <c r="Z77" s="183">
        <f>SUMIFS('декабрь 2025'!$G$2:$G$2730,'декабрь 2025'!$D$2:$D$2730,$B77,'декабрь 2025'!$J$2:$J$2730,Z$1)</f>
        <v>0</v>
      </c>
      <c r="AA77" s="183">
        <f>SUMIFS('декабрь 2025'!$G$2:$G$2730,'декабрь 2025'!$D$2:$D$2730,$B77,'декабрь 2025'!$J$2:$J$2730,AA$1)</f>
        <v>0</v>
      </c>
      <c r="AB77" s="183">
        <f>SUMIFS('декабрь 2025'!$G$2:$G$2730,'декабрь 2025'!$D$2:$D$2730,$B77,'декабрь 2025'!$J$2:$J$2730,AB$1)</f>
        <v>0</v>
      </c>
      <c r="AC77" s="183">
        <f>SUMIFS('декабрь 2025'!$G$2:$G$2730,'декабрь 2025'!$D$2:$D$2730,$B77,'декабрь 2025'!$J$2:$J$2730,AC$1)</f>
        <v>0</v>
      </c>
      <c r="AD77" s="183">
        <f>SUMIFS('декабрь 2025'!$G$2:$G$2730,'декабрь 2025'!$D$2:$D$2730,$B77,'декабрь 2025'!$J$2:$J$2730,AD$1)</f>
        <v>0</v>
      </c>
      <c r="AE77" s="183">
        <f>SUMIFS('декабрь 2025'!$G$2:$G$2730,'декабрь 2025'!$D$2:$D$2730,$B77,'декабрь 2025'!$J$2:$J$2730,AE$1)</f>
        <v>0</v>
      </c>
      <c r="AF77" s="183">
        <f>SUMIFS('декабрь 2025'!$G$2:$G$2730,'декабрь 2025'!$D$2:$D$2730,$B77,'декабрь 2025'!$J$2:$J$2730,AF$1)</f>
        <v>0</v>
      </c>
      <c r="AG77" s="183">
        <f>SUMIFS('декабрь 2025'!$G$2:$G$2730,'декабрь 2025'!$D$2:$D$2730,$B77,'декабрь 2025'!$J$2:$J$2730,AG$1)</f>
        <v>0</v>
      </c>
      <c r="AH77" s="183">
        <f>SUMIFS('декабрь 2025'!$G$2:$G$2730,'декабрь 2025'!$D$2:$D$2730,$B77,'декабрь 2025'!$J$2:$J$2730,AH$1)</f>
        <v>0</v>
      </c>
      <c r="AI77" s="20">
        <f t="shared" si="1"/>
        <v>0</v>
      </c>
    </row>
    <row r="78" spans="2:35" ht="15" customHeight="1" x14ac:dyDescent="0.25">
      <c r="B78" s="88" t="s">
        <v>187</v>
      </c>
      <c r="C78" s="86">
        <v>200</v>
      </c>
      <c r="D78" s="183">
        <f>SUMIFS('декабрь 2025'!$G$2:$G$2730,'декабрь 2025'!$D$2:$D$2730,$B78,'декабрь 2025'!$J$2:$J$2730,D$1)</f>
        <v>0</v>
      </c>
      <c r="E78" s="183">
        <f>SUMIFS('декабрь 2025'!$G$2:$G$2730,'декабрь 2025'!$D$2:$D$2730,$B78,'декабрь 2025'!$J$2:$J$2730,E$1)</f>
        <v>0</v>
      </c>
      <c r="F78" s="183">
        <f>SUMIFS('декабрь 2025'!$G$2:$G$2730,'декабрь 2025'!$D$2:$D$2730,$B78,'декабрь 2025'!$J$2:$J$2730,F$1)</f>
        <v>0</v>
      </c>
      <c r="G78" s="183">
        <f>SUMIFS('декабрь 2025'!$G$2:$G$2730,'декабрь 2025'!$D$2:$D$2730,$B78,'декабрь 2025'!$J$2:$J$2730,G$1)</f>
        <v>0</v>
      </c>
      <c r="H78" s="183">
        <f>SUMIFS('декабрь 2025'!$G$2:$G$2730,'декабрь 2025'!$D$2:$D$2730,$B78,'декабрь 2025'!$J$2:$J$2730,H$1)</f>
        <v>0</v>
      </c>
      <c r="I78" s="183">
        <f>SUMIFS('декабрь 2025'!$G$2:$G$2730,'декабрь 2025'!$D$2:$D$2730,$B78,'декабрь 2025'!$J$2:$J$2730,I$1)</f>
        <v>0</v>
      </c>
      <c r="J78" s="183">
        <f>SUMIFS('декабрь 2025'!$G$2:$G$2730,'декабрь 2025'!$D$2:$D$2730,$B78,'декабрь 2025'!$J$2:$J$2730,J$1)</f>
        <v>0</v>
      </c>
      <c r="K78" s="183">
        <f>SUMIFS('декабрь 2025'!$G$2:$G$2730,'декабрь 2025'!$D$2:$D$2730,$B78,'декабрь 2025'!$J$2:$J$2730,K$1)</f>
        <v>0</v>
      </c>
      <c r="L78" s="183">
        <f>SUMIFS('декабрь 2025'!$G$2:$G$2730,'декабрь 2025'!$D$2:$D$2730,$B78,'декабрь 2025'!$J$2:$J$2730,L$1)</f>
        <v>0</v>
      </c>
      <c r="M78" s="183">
        <f>SUMIFS('декабрь 2025'!$G$2:$G$2730,'декабрь 2025'!$D$2:$D$2730,$B78,'декабрь 2025'!$J$2:$J$2730,M$1)</f>
        <v>0</v>
      </c>
      <c r="N78" s="183">
        <f>SUMIFS('декабрь 2025'!$G$2:$G$2730,'декабрь 2025'!$D$2:$D$2730,$B78,'декабрь 2025'!$J$2:$J$2730,N$1)</f>
        <v>0</v>
      </c>
      <c r="O78" s="183">
        <f>SUMIFS('декабрь 2025'!$G$2:$G$2730,'декабрь 2025'!$D$2:$D$2730,$B78,'декабрь 2025'!$J$2:$J$2730,O$1)</f>
        <v>0</v>
      </c>
      <c r="P78" s="183">
        <f>SUMIFS('декабрь 2025'!$G$2:$G$2730,'декабрь 2025'!$D$2:$D$2730,$B78,'декабрь 2025'!$J$2:$J$2730,P$1)</f>
        <v>0</v>
      </c>
      <c r="Q78" s="183">
        <f>SUMIFS('декабрь 2025'!$G$2:$G$2730,'декабрь 2025'!$D$2:$D$2730,$B78,'декабрь 2025'!$J$2:$J$2730,Q$1)</f>
        <v>0</v>
      </c>
      <c r="R78" s="183">
        <f>SUMIFS('декабрь 2025'!$G$2:$G$2730,'декабрь 2025'!$D$2:$D$2730,$B78,'декабрь 2025'!$J$2:$J$2730,R$1)</f>
        <v>0</v>
      </c>
      <c r="S78" s="183">
        <f>SUMIFS('декабрь 2025'!$G$2:$G$2730,'декабрь 2025'!$D$2:$D$2730,$B78,'декабрь 2025'!$J$2:$J$2730,S$1)</f>
        <v>0</v>
      </c>
      <c r="T78" s="183">
        <f>SUMIFS('декабрь 2025'!$G$2:$G$2730,'декабрь 2025'!$D$2:$D$2730,$B78,'декабрь 2025'!$J$2:$J$2730,T$1)</f>
        <v>0</v>
      </c>
      <c r="U78" s="183">
        <f>SUMIFS('декабрь 2025'!$G$2:$G$2730,'декабрь 2025'!$D$2:$D$2730,$B78,'декабрь 2025'!$J$2:$J$2730,U$1)</f>
        <v>0</v>
      </c>
      <c r="V78" s="183">
        <f>SUMIFS('декабрь 2025'!$G$2:$G$2730,'декабрь 2025'!$D$2:$D$2730,$B78,'декабрь 2025'!$J$2:$J$2730,V$1)</f>
        <v>0</v>
      </c>
      <c r="W78" s="183">
        <f>SUMIFS('декабрь 2025'!$G$2:$G$2730,'декабрь 2025'!$D$2:$D$2730,$B78,'декабрь 2025'!$J$2:$J$2730,W$1)</f>
        <v>0</v>
      </c>
      <c r="X78" s="183">
        <f>SUMIFS('декабрь 2025'!$G$2:$G$2730,'декабрь 2025'!$D$2:$D$2730,$B78,'декабрь 2025'!$J$2:$J$2730,X$1)</f>
        <v>0</v>
      </c>
      <c r="Y78" s="183">
        <f>SUMIFS('декабрь 2025'!$G$2:$G$2730,'декабрь 2025'!$D$2:$D$2730,$B78,'декабрь 2025'!$J$2:$J$2730,Y$1)</f>
        <v>0</v>
      </c>
      <c r="Z78" s="183">
        <f>SUMIFS('декабрь 2025'!$G$2:$G$2730,'декабрь 2025'!$D$2:$D$2730,$B78,'декабрь 2025'!$J$2:$J$2730,Z$1)</f>
        <v>0</v>
      </c>
      <c r="AA78" s="183">
        <f>SUMIFS('декабрь 2025'!$G$2:$G$2730,'декабрь 2025'!$D$2:$D$2730,$B78,'декабрь 2025'!$J$2:$J$2730,AA$1)</f>
        <v>0</v>
      </c>
      <c r="AB78" s="183">
        <f>SUMIFS('декабрь 2025'!$G$2:$G$2730,'декабрь 2025'!$D$2:$D$2730,$B78,'декабрь 2025'!$J$2:$J$2730,AB$1)</f>
        <v>0</v>
      </c>
      <c r="AC78" s="183">
        <f>SUMIFS('декабрь 2025'!$G$2:$G$2730,'декабрь 2025'!$D$2:$D$2730,$B78,'декабрь 2025'!$J$2:$J$2730,AC$1)</f>
        <v>0</v>
      </c>
      <c r="AD78" s="183">
        <f>SUMIFS('декабрь 2025'!$G$2:$G$2730,'декабрь 2025'!$D$2:$D$2730,$B78,'декабрь 2025'!$J$2:$J$2730,AD$1)</f>
        <v>0</v>
      </c>
      <c r="AE78" s="183">
        <f>SUMIFS('декабрь 2025'!$G$2:$G$2730,'декабрь 2025'!$D$2:$D$2730,$B78,'декабрь 2025'!$J$2:$J$2730,AE$1)</f>
        <v>0</v>
      </c>
      <c r="AF78" s="183">
        <f>SUMIFS('декабрь 2025'!$G$2:$G$2730,'декабрь 2025'!$D$2:$D$2730,$B78,'декабрь 2025'!$J$2:$J$2730,AF$1)</f>
        <v>0</v>
      </c>
      <c r="AG78" s="183">
        <f>SUMIFS('декабрь 2025'!$G$2:$G$2730,'декабрь 2025'!$D$2:$D$2730,$B78,'декабрь 2025'!$J$2:$J$2730,AG$1)</f>
        <v>0</v>
      </c>
      <c r="AH78" s="183">
        <f>SUMIFS('декабрь 2025'!$G$2:$G$2730,'декабрь 2025'!$D$2:$D$2730,$B78,'декабрь 2025'!$J$2:$J$2730,AH$1)</f>
        <v>0</v>
      </c>
      <c r="AI78" s="20">
        <f t="shared" si="1"/>
        <v>0</v>
      </c>
    </row>
    <row r="79" spans="2:35" ht="15" customHeight="1" x14ac:dyDescent="0.25">
      <c r="B79" s="88" t="s">
        <v>188</v>
      </c>
      <c r="C79" s="86">
        <v>200</v>
      </c>
      <c r="D79" s="183">
        <f>SUMIFS('декабрь 2025'!$G$2:$G$2730,'декабрь 2025'!$D$2:$D$2730,$B79,'декабрь 2025'!$J$2:$J$2730,D$1)</f>
        <v>0</v>
      </c>
      <c r="E79" s="183">
        <f>SUMIFS('декабрь 2025'!$G$2:$G$2730,'декабрь 2025'!$D$2:$D$2730,$B79,'декабрь 2025'!$J$2:$J$2730,E$1)</f>
        <v>0</v>
      </c>
      <c r="F79" s="183">
        <f>SUMIFS('декабрь 2025'!$G$2:$G$2730,'декабрь 2025'!$D$2:$D$2730,$B79,'декабрь 2025'!$J$2:$J$2730,F$1)</f>
        <v>0</v>
      </c>
      <c r="G79" s="183">
        <f>SUMIFS('декабрь 2025'!$G$2:$G$2730,'декабрь 2025'!$D$2:$D$2730,$B79,'декабрь 2025'!$J$2:$J$2730,G$1)</f>
        <v>0</v>
      </c>
      <c r="H79" s="183">
        <f>SUMIFS('декабрь 2025'!$G$2:$G$2730,'декабрь 2025'!$D$2:$D$2730,$B79,'декабрь 2025'!$J$2:$J$2730,H$1)</f>
        <v>0</v>
      </c>
      <c r="I79" s="183">
        <f>SUMIFS('декабрь 2025'!$G$2:$G$2730,'декабрь 2025'!$D$2:$D$2730,$B79,'декабрь 2025'!$J$2:$J$2730,I$1)</f>
        <v>0</v>
      </c>
      <c r="J79" s="183">
        <f>SUMIFS('декабрь 2025'!$G$2:$G$2730,'декабрь 2025'!$D$2:$D$2730,$B79,'декабрь 2025'!$J$2:$J$2730,J$1)</f>
        <v>0</v>
      </c>
      <c r="K79" s="183">
        <f>SUMIFS('декабрь 2025'!$G$2:$G$2730,'декабрь 2025'!$D$2:$D$2730,$B79,'декабрь 2025'!$J$2:$J$2730,K$1)</f>
        <v>0</v>
      </c>
      <c r="L79" s="183">
        <f>SUMIFS('декабрь 2025'!$G$2:$G$2730,'декабрь 2025'!$D$2:$D$2730,$B79,'декабрь 2025'!$J$2:$J$2730,L$1)</f>
        <v>0</v>
      </c>
      <c r="M79" s="183">
        <f>SUMIFS('декабрь 2025'!$G$2:$G$2730,'декабрь 2025'!$D$2:$D$2730,$B79,'декабрь 2025'!$J$2:$J$2730,M$1)</f>
        <v>0</v>
      </c>
      <c r="N79" s="183">
        <f>SUMIFS('декабрь 2025'!$G$2:$G$2730,'декабрь 2025'!$D$2:$D$2730,$B79,'декабрь 2025'!$J$2:$J$2730,N$1)</f>
        <v>0</v>
      </c>
      <c r="O79" s="183">
        <f>SUMIFS('декабрь 2025'!$G$2:$G$2730,'декабрь 2025'!$D$2:$D$2730,$B79,'декабрь 2025'!$J$2:$J$2730,O$1)</f>
        <v>0</v>
      </c>
      <c r="P79" s="183">
        <f>SUMIFS('декабрь 2025'!$G$2:$G$2730,'декабрь 2025'!$D$2:$D$2730,$B79,'декабрь 2025'!$J$2:$J$2730,P$1)</f>
        <v>0</v>
      </c>
      <c r="Q79" s="183">
        <f>SUMIFS('декабрь 2025'!$G$2:$G$2730,'декабрь 2025'!$D$2:$D$2730,$B79,'декабрь 2025'!$J$2:$J$2730,Q$1)</f>
        <v>0</v>
      </c>
      <c r="R79" s="183">
        <f>SUMIFS('декабрь 2025'!$G$2:$G$2730,'декабрь 2025'!$D$2:$D$2730,$B79,'декабрь 2025'!$J$2:$J$2730,R$1)</f>
        <v>0</v>
      </c>
      <c r="S79" s="183">
        <f>SUMIFS('декабрь 2025'!$G$2:$G$2730,'декабрь 2025'!$D$2:$D$2730,$B79,'декабрь 2025'!$J$2:$J$2730,S$1)</f>
        <v>0</v>
      </c>
      <c r="T79" s="183">
        <f>SUMIFS('декабрь 2025'!$G$2:$G$2730,'декабрь 2025'!$D$2:$D$2730,$B79,'декабрь 2025'!$J$2:$J$2730,T$1)</f>
        <v>0</v>
      </c>
      <c r="U79" s="183">
        <f>SUMIFS('декабрь 2025'!$G$2:$G$2730,'декабрь 2025'!$D$2:$D$2730,$B79,'декабрь 2025'!$J$2:$J$2730,U$1)</f>
        <v>0</v>
      </c>
      <c r="V79" s="183">
        <f>SUMIFS('декабрь 2025'!$G$2:$G$2730,'декабрь 2025'!$D$2:$D$2730,$B79,'декабрь 2025'!$J$2:$J$2730,V$1)</f>
        <v>0</v>
      </c>
      <c r="W79" s="183">
        <f>SUMIFS('декабрь 2025'!$G$2:$G$2730,'декабрь 2025'!$D$2:$D$2730,$B79,'декабрь 2025'!$J$2:$J$2730,W$1)</f>
        <v>0</v>
      </c>
      <c r="X79" s="183">
        <f>SUMIFS('декабрь 2025'!$G$2:$G$2730,'декабрь 2025'!$D$2:$D$2730,$B79,'декабрь 2025'!$J$2:$J$2730,X$1)</f>
        <v>0</v>
      </c>
      <c r="Y79" s="183">
        <f>SUMIFS('декабрь 2025'!$G$2:$G$2730,'декабрь 2025'!$D$2:$D$2730,$B79,'декабрь 2025'!$J$2:$J$2730,Y$1)</f>
        <v>0</v>
      </c>
      <c r="Z79" s="183">
        <f>SUMIFS('декабрь 2025'!$G$2:$G$2730,'декабрь 2025'!$D$2:$D$2730,$B79,'декабрь 2025'!$J$2:$J$2730,Z$1)</f>
        <v>0</v>
      </c>
      <c r="AA79" s="183">
        <f>SUMIFS('декабрь 2025'!$G$2:$G$2730,'декабрь 2025'!$D$2:$D$2730,$B79,'декабрь 2025'!$J$2:$J$2730,AA$1)</f>
        <v>0</v>
      </c>
      <c r="AB79" s="183">
        <f>SUMIFS('декабрь 2025'!$G$2:$G$2730,'декабрь 2025'!$D$2:$D$2730,$B79,'декабрь 2025'!$J$2:$J$2730,AB$1)</f>
        <v>0</v>
      </c>
      <c r="AC79" s="183">
        <f>SUMIFS('декабрь 2025'!$G$2:$G$2730,'декабрь 2025'!$D$2:$D$2730,$B79,'декабрь 2025'!$J$2:$J$2730,AC$1)</f>
        <v>0</v>
      </c>
      <c r="AD79" s="183">
        <f>SUMIFS('декабрь 2025'!$G$2:$G$2730,'декабрь 2025'!$D$2:$D$2730,$B79,'декабрь 2025'!$J$2:$J$2730,AD$1)</f>
        <v>0</v>
      </c>
      <c r="AE79" s="183">
        <f>SUMIFS('декабрь 2025'!$G$2:$G$2730,'декабрь 2025'!$D$2:$D$2730,$B79,'декабрь 2025'!$J$2:$J$2730,AE$1)</f>
        <v>0</v>
      </c>
      <c r="AF79" s="183">
        <f>SUMIFS('декабрь 2025'!$G$2:$G$2730,'декабрь 2025'!$D$2:$D$2730,$B79,'декабрь 2025'!$J$2:$J$2730,AF$1)</f>
        <v>0</v>
      </c>
      <c r="AG79" s="183">
        <f>SUMIFS('декабрь 2025'!$G$2:$G$2730,'декабрь 2025'!$D$2:$D$2730,$B79,'декабрь 2025'!$J$2:$J$2730,AG$1)</f>
        <v>0</v>
      </c>
      <c r="AH79" s="183">
        <f>SUMIFS('декабрь 2025'!$G$2:$G$2730,'декабрь 2025'!$D$2:$D$2730,$B79,'декабрь 2025'!$J$2:$J$2730,AH$1)</f>
        <v>0</v>
      </c>
      <c r="AI79" s="20">
        <f t="shared" si="1"/>
        <v>0</v>
      </c>
    </row>
    <row r="80" spans="2:35" ht="15" customHeight="1" x14ac:dyDescent="0.25">
      <c r="B80" s="88" t="s">
        <v>256</v>
      </c>
      <c r="C80" s="86">
        <v>190</v>
      </c>
      <c r="D80" s="183">
        <f>SUMIFS('декабрь 2025'!$G$2:$G$2730,'декабрь 2025'!$D$2:$D$2730,$B80,'декабрь 2025'!$J$2:$J$2730,D$1)</f>
        <v>0</v>
      </c>
      <c r="E80" s="183">
        <f>SUMIFS('декабрь 2025'!$G$2:$G$2730,'декабрь 2025'!$D$2:$D$2730,$B80,'декабрь 2025'!$J$2:$J$2730,E$1)</f>
        <v>0</v>
      </c>
      <c r="F80" s="183">
        <f>SUMIFS('декабрь 2025'!$G$2:$G$2730,'декабрь 2025'!$D$2:$D$2730,$B80,'декабрь 2025'!$J$2:$J$2730,F$1)</f>
        <v>0</v>
      </c>
      <c r="G80" s="183">
        <f>SUMIFS('декабрь 2025'!$G$2:$G$2730,'декабрь 2025'!$D$2:$D$2730,$B80,'декабрь 2025'!$J$2:$J$2730,G$1)</f>
        <v>0</v>
      </c>
      <c r="H80" s="183">
        <f>SUMIFS('декабрь 2025'!$G$2:$G$2730,'декабрь 2025'!$D$2:$D$2730,$B80,'декабрь 2025'!$J$2:$J$2730,H$1)</f>
        <v>0</v>
      </c>
      <c r="I80" s="183">
        <f>SUMIFS('декабрь 2025'!$G$2:$G$2730,'декабрь 2025'!$D$2:$D$2730,$B80,'декабрь 2025'!$J$2:$J$2730,I$1)</f>
        <v>0</v>
      </c>
      <c r="J80" s="183">
        <f>SUMIFS('декабрь 2025'!$G$2:$G$2730,'декабрь 2025'!$D$2:$D$2730,$B80,'декабрь 2025'!$J$2:$J$2730,J$1)</f>
        <v>0</v>
      </c>
      <c r="K80" s="183">
        <f>SUMIFS('декабрь 2025'!$G$2:$G$2730,'декабрь 2025'!$D$2:$D$2730,$B80,'декабрь 2025'!$J$2:$J$2730,K$1)</f>
        <v>0</v>
      </c>
      <c r="L80" s="183">
        <f>SUMIFS('декабрь 2025'!$G$2:$G$2730,'декабрь 2025'!$D$2:$D$2730,$B80,'декабрь 2025'!$J$2:$J$2730,L$1)</f>
        <v>0</v>
      </c>
      <c r="M80" s="183">
        <f>SUMIFS('декабрь 2025'!$G$2:$G$2730,'декабрь 2025'!$D$2:$D$2730,$B80,'декабрь 2025'!$J$2:$J$2730,M$1)</f>
        <v>0</v>
      </c>
      <c r="N80" s="183">
        <f>SUMIFS('декабрь 2025'!$G$2:$G$2730,'декабрь 2025'!$D$2:$D$2730,$B80,'декабрь 2025'!$J$2:$J$2730,N$1)</f>
        <v>0</v>
      </c>
      <c r="O80" s="183">
        <f>SUMIFS('декабрь 2025'!$G$2:$G$2730,'декабрь 2025'!$D$2:$D$2730,$B80,'декабрь 2025'!$J$2:$J$2730,O$1)</f>
        <v>0</v>
      </c>
      <c r="P80" s="183">
        <f>SUMIFS('декабрь 2025'!$G$2:$G$2730,'декабрь 2025'!$D$2:$D$2730,$B80,'декабрь 2025'!$J$2:$J$2730,P$1)</f>
        <v>0</v>
      </c>
      <c r="Q80" s="183">
        <f>SUMIFS('декабрь 2025'!$G$2:$G$2730,'декабрь 2025'!$D$2:$D$2730,$B80,'декабрь 2025'!$J$2:$J$2730,Q$1)</f>
        <v>0</v>
      </c>
      <c r="R80" s="183">
        <f>SUMIFS('декабрь 2025'!$G$2:$G$2730,'декабрь 2025'!$D$2:$D$2730,$B80,'декабрь 2025'!$J$2:$J$2730,R$1)</f>
        <v>0</v>
      </c>
      <c r="S80" s="183">
        <f>SUMIFS('декабрь 2025'!$G$2:$G$2730,'декабрь 2025'!$D$2:$D$2730,$B80,'декабрь 2025'!$J$2:$J$2730,S$1)</f>
        <v>0</v>
      </c>
      <c r="T80" s="183">
        <f>SUMIFS('декабрь 2025'!$G$2:$G$2730,'декабрь 2025'!$D$2:$D$2730,$B80,'декабрь 2025'!$J$2:$J$2730,T$1)</f>
        <v>0</v>
      </c>
      <c r="U80" s="183">
        <f>SUMIFS('декабрь 2025'!$G$2:$G$2730,'декабрь 2025'!$D$2:$D$2730,$B80,'декабрь 2025'!$J$2:$J$2730,U$1)</f>
        <v>0</v>
      </c>
      <c r="V80" s="183">
        <f>SUMIFS('декабрь 2025'!$G$2:$G$2730,'декабрь 2025'!$D$2:$D$2730,$B80,'декабрь 2025'!$J$2:$J$2730,V$1)</f>
        <v>0</v>
      </c>
      <c r="W80" s="183">
        <f>SUMIFS('декабрь 2025'!$G$2:$G$2730,'декабрь 2025'!$D$2:$D$2730,$B80,'декабрь 2025'!$J$2:$J$2730,W$1)</f>
        <v>0</v>
      </c>
      <c r="X80" s="183">
        <f>SUMIFS('декабрь 2025'!$G$2:$G$2730,'декабрь 2025'!$D$2:$D$2730,$B80,'декабрь 2025'!$J$2:$J$2730,X$1)</f>
        <v>0</v>
      </c>
      <c r="Y80" s="183">
        <f>SUMIFS('декабрь 2025'!$G$2:$G$2730,'декабрь 2025'!$D$2:$D$2730,$B80,'декабрь 2025'!$J$2:$J$2730,Y$1)</f>
        <v>0</v>
      </c>
      <c r="Z80" s="183">
        <f>SUMIFS('декабрь 2025'!$G$2:$G$2730,'декабрь 2025'!$D$2:$D$2730,$B80,'декабрь 2025'!$J$2:$J$2730,Z$1)</f>
        <v>0</v>
      </c>
      <c r="AA80" s="183">
        <f>SUMIFS('декабрь 2025'!$G$2:$G$2730,'декабрь 2025'!$D$2:$D$2730,$B80,'декабрь 2025'!$J$2:$J$2730,AA$1)</f>
        <v>0</v>
      </c>
      <c r="AB80" s="183">
        <f>SUMIFS('декабрь 2025'!$G$2:$G$2730,'декабрь 2025'!$D$2:$D$2730,$B80,'декабрь 2025'!$J$2:$J$2730,AB$1)</f>
        <v>0</v>
      </c>
      <c r="AC80" s="183">
        <f>SUMIFS('декабрь 2025'!$G$2:$G$2730,'декабрь 2025'!$D$2:$D$2730,$B80,'декабрь 2025'!$J$2:$J$2730,AC$1)</f>
        <v>0</v>
      </c>
      <c r="AD80" s="183">
        <f>SUMIFS('декабрь 2025'!$G$2:$G$2730,'декабрь 2025'!$D$2:$D$2730,$B80,'декабрь 2025'!$J$2:$J$2730,AD$1)</f>
        <v>0</v>
      </c>
      <c r="AE80" s="183">
        <f>SUMIFS('декабрь 2025'!$G$2:$G$2730,'декабрь 2025'!$D$2:$D$2730,$B80,'декабрь 2025'!$J$2:$J$2730,AE$1)</f>
        <v>0</v>
      </c>
      <c r="AF80" s="183">
        <f>SUMIFS('декабрь 2025'!$G$2:$G$2730,'декабрь 2025'!$D$2:$D$2730,$B80,'декабрь 2025'!$J$2:$J$2730,AF$1)</f>
        <v>0</v>
      </c>
      <c r="AG80" s="183">
        <f>SUMIFS('декабрь 2025'!$G$2:$G$2730,'декабрь 2025'!$D$2:$D$2730,$B80,'декабрь 2025'!$J$2:$J$2730,AG$1)</f>
        <v>0</v>
      </c>
      <c r="AH80" s="183">
        <f>SUMIFS('декабрь 2025'!$G$2:$G$2730,'декабрь 2025'!$D$2:$D$2730,$B80,'декабрь 2025'!$J$2:$J$2730,AH$1)</f>
        <v>0</v>
      </c>
      <c r="AI80" s="20">
        <f t="shared" si="1"/>
        <v>0</v>
      </c>
    </row>
    <row r="81" spans="2:35" ht="15" customHeight="1" x14ac:dyDescent="0.25">
      <c r="B81" s="88" t="s">
        <v>199</v>
      </c>
      <c r="C81" s="86">
        <v>200</v>
      </c>
      <c r="D81" s="183">
        <f>SUMIFS('декабрь 2025'!$G$2:$G$2730,'декабрь 2025'!$D$2:$D$2730,$B81,'декабрь 2025'!$J$2:$J$2730,D$1)</f>
        <v>0</v>
      </c>
      <c r="E81" s="183">
        <f>SUMIFS('декабрь 2025'!$G$2:$G$2730,'декабрь 2025'!$D$2:$D$2730,$B81,'декабрь 2025'!$J$2:$J$2730,E$1)</f>
        <v>0</v>
      </c>
      <c r="F81" s="183">
        <f>SUMIFS('декабрь 2025'!$G$2:$G$2730,'декабрь 2025'!$D$2:$D$2730,$B81,'декабрь 2025'!$J$2:$J$2730,F$1)</f>
        <v>0</v>
      </c>
      <c r="G81" s="183">
        <f>SUMIFS('декабрь 2025'!$G$2:$G$2730,'декабрь 2025'!$D$2:$D$2730,$B81,'декабрь 2025'!$J$2:$J$2730,G$1)</f>
        <v>0</v>
      </c>
      <c r="H81" s="183">
        <f>SUMIFS('декабрь 2025'!$G$2:$G$2730,'декабрь 2025'!$D$2:$D$2730,$B81,'декабрь 2025'!$J$2:$J$2730,H$1)</f>
        <v>0</v>
      </c>
      <c r="I81" s="183">
        <f>SUMIFS('декабрь 2025'!$G$2:$G$2730,'декабрь 2025'!$D$2:$D$2730,$B81,'декабрь 2025'!$J$2:$J$2730,I$1)</f>
        <v>0</v>
      </c>
      <c r="J81" s="183">
        <f>SUMIFS('декабрь 2025'!$G$2:$G$2730,'декабрь 2025'!$D$2:$D$2730,$B81,'декабрь 2025'!$J$2:$J$2730,J$1)</f>
        <v>0</v>
      </c>
      <c r="K81" s="183">
        <f>SUMIFS('декабрь 2025'!$G$2:$G$2730,'декабрь 2025'!$D$2:$D$2730,$B81,'декабрь 2025'!$J$2:$J$2730,K$1)</f>
        <v>0</v>
      </c>
      <c r="L81" s="183">
        <f>SUMIFS('декабрь 2025'!$G$2:$G$2730,'декабрь 2025'!$D$2:$D$2730,$B81,'декабрь 2025'!$J$2:$J$2730,L$1)</f>
        <v>0</v>
      </c>
      <c r="M81" s="183">
        <f>SUMIFS('декабрь 2025'!$G$2:$G$2730,'декабрь 2025'!$D$2:$D$2730,$B81,'декабрь 2025'!$J$2:$J$2730,M$1)</f>
        <v>0</v>
      </c>
      <c r="N81" s="183">
        <f>SUMIFS('декабрь 2025'!$G$2:$G$2730,'декабрь 2025'!$D$2:$D$2730,$B81,'декабрь 2025'!$J$2:$J$2730,N$1)</f>
        <v>0</v>
      </c>
      <c r="O81" s="183">
        <f>SUMIFS('декабрь 2025'!$G$2:$G$2730,'декабрь 2025'!$D$2:$D$2730,$B81,'декабрь 2025'!$J$2:$J$2730,O$1)</f>
        <v>0</v>
      </c>
      <c r="P81" s="183">
        <f>SUMIFS('декабрь 2025'!$G$2:$G$2730,'декабрь 2025'!$D$2:$D$2730,$B81,'декабрь 2025'!$J$2:$J$2730,P$1)</f>
        <v>0</v>
      </c>
      <c r="Q81" s="183">
        <f>SUMIFS('декабрь 2025'!$G$2:$G$2730,'декабрь 2025'!$D$2:$D$2730,$B81,'декабрь 2025'!$J$2:$J$2730,Q$1)</f>
        <v>0</v>
      </c>
      <c r="R81" s="183">
        <f>SUMIFS('декабрь 2025'!$G$2:$G$2730,'декабрь 2025'!$D$2:$D$2730,$B81,'декабрь 2025'!$J$2:$J$2730,R$1)</f>
        <v>0</v>
      </c>
      <c r="S81" s="183">
        <f>SUMIFS('декабрь 2025'!$G$2:$G$2730,'декабрь 2025'!$D$2:$D$2730,$B81,'декабрь 2025'!$J$2:$J$2730,S$1)</f>
        <v>0</v>
      </c>
      <c r="T81" s="183">
        <f>SUMIFS('декабрь 2025'!$G$2:$G$2730,'декабрь 2025'!$D$2:$D$2730,$B81,'декабрь 2025'!$J$2:$J$2730,T$1)</f>
        <v>0</v>
      </c>
      <c r="U81" s="183">
        <f>SUMIFS('декабрь 2025'!$G$2:$G$2730,'декабрь 2025'!$D$2:$D$2730,$B81,'декабрь 2025'!$J$2:$J$2730,U$1)</f>
        <v>0</v>
      </c>
      <c r="V81" s="183">
        <f>SUMIFS('декабрь 2025'!$G$2:$G$2730,'декабрь 2025'!$D$2:$D$2730,$B81,'декабрь 2025'!$J$2:$J$2730,V$1)</f>
        <v>0</v>
      </c>
      <c r="W81" s="183">
        <f>SUMIFS('декабрь 2025'!$G$2:$G$2730,'декабрь 2025'!$D$2:$D$2730,$B81,'декабрь 2025'!$J$2:$J$2730,W$1)</f>
        <v>0</v>
      </c>
      <c r="X81" s="183">
        <f>SUMIFS('декабрь 2025'!$G$2:$G$2730,'декабрь 2025'!$D$2:$D$2730,$B81,'декабрь 2025'!$J$2:$J$2730,X$1)</f>
        <v>0</v>
      </c>
      <c r="Y81" s="183">
        <f>SUMIFS('декабрь 2025'!$G$2:$G$2730,'декабрь 2025'!$D$2:$D$2730,$B81,'декабрь 2025'!$J$2:$J$2730,Y$1)</f>
        <v>0</v>
      </c>
      <c r="Z81" s="183">
        <f>SUMIFS('декабрь 2025'!$G$2:$G$2730,'декабрь 2025'!$D$2:$D$2730,$B81,'декабрь 2025'!$J$2:$J$2730,Z$1)</f>
        <v>0</v>
      </c>
      <c r="AA81" s="183">
        <f>SUMIFS('декабрь 2025'!$G$2:$G$2730,'декабрь 2025'!$D$2:$D$2730,$B81,'декабрь 2025'!$J$2:$J$2730,AA$1)</f>
        <v>0</v>
      </c>
      <c r="AB81" s="183">
        <f>SUMIFS('декабрь 2025'!$G$2:$G$2730,'декабрь 2025'!$D$2:$D$2730,$B81,'декабрь 2025'!$J$2:$J$2730,AB$1)</f>
        <v>0</v>
      </c>
      <c r="AC81" s="183">
        <f>SUMIFS('декабрь 2025'!$G$2:$G$2730,'декабрь 2025'!$D$2:$D$2730,$B81,'декабрь 2025'!$J$2:$J$2730,AC$1)</f>
        <v>0</v>
      </c>
      <c r="AD81" s="183">
        <f>SUMIFS('декабрь 2025'!$G$2:$G$2730,'декабрь 2025'!$D$2:$D$2730,$B81,'декабрь 2025'!$J$2:$J$2730,AD$1)</f>
        <v>0</v>
      </c>
      <c r="AE81" s="183">
        <f>SUMIFS('декабрь 2025'!$G$2:$G$2730,'декабрь 2025'!$D$2:$D$2730,$B81,'декабрь 2025'!$J$2:$J$2730,AE$1)</f>
        <v>0</v>
      </c>
      <c r="AF81" s="183">
        <f>SUMIFS('декабрь 2025'!$G$2:$G$2730,'декабрь 2025'!$D$2:$D$2730,$B81,'декабрь 2025'!$J$2:$J$2730,AF$1)</f>
        <v>0</v>
      </c>
      <c r="AG81" s="183">
        <f>SUMIFS('декабрь 2025'!$G$2:$G$2730,'декабрь 2025'!$D$2:$D$2730,$B81,'декабрь 2025'!$J$2:$J$2730,AG$1)</f>
        <v>0</v>
      </c>
      <c r="AH81" s="183">
        <f>SUMIFS('декабрь 2025'!$G$2:$G$2730,'декабрь 2025'!$D$2:$D$2730,$B81,'декабрь 2025'!$J$2:$J$2730,AH$1)</f>
        <v>0</v>
      </c>
      <c r="AI81" s="20">
        <f t="shared" si="1"/>
        <v>0</v>
      </c>
    </row>
    <row r="82" spans="2:35" ht="15" customHeight="1" x14ac:dyDescent="0.25">
      <c r="B82" s="88" t="s">
        <v>206</v>
      </c>
      <c r="C82" s="86">
        <v>25</v>
      </c>
      <c r="D82" s="183">
        <f>SUMIFS('декабрь 2025'!$G$2:$G$2730,'декабрь 2025'!$D$2:$D$2730,$B82,'декабрь 2025'!$J$2:$J$2730,D$1)</f>
        <v>0</v>
      </c>
      <c r="E82" s="183">
        <f>SUMIFS('декабрь 2025'!$G$2:$G$2730,'декабрь 2025'!$D$2:$D$2730,$B82,'декабрь 2025'!$J$2:$J$2730,E$1)</f>
        <v>0</v>
      </c>
      <c r="F82" s="183">
        <f>SUMIFS('декабрь 2025'!$G$2:$G$2730,'декабрь 2025'!$D$2:$D$2730,$B82,'декабрь 2025'!$J$2:$J$2730,F$1)</f>
        <v>0</v>
      </c>
      <c r="G82" s="183">
        <f>SUMIFS('декабрь 2025'!$G$2:$G$2730,'декабрь 2025'!$D$2:$D$2730,$B82,'декабрь 2025'!$J$2:$J$2730,G$1)</f>
        <v>0</v>
      </c>
      <c r="H82" s="183">
        <f>SUMIFS('декабрь 2025'!$G$2:$G$2730,'декабрь 2025'!$D$2:$D$2730,$B82,'декабрь 2025'!$J$2:$J$2730,H$1)</f>
        <v>0</v>
      </c>
      <c r="I82" s="183">
        <f>SUMIFS('декабрь 2025'!$G$2:$G$2730,'декабрь 2025'!$D$2:$D$2730,$B82,'декабрь 2025'!$J$2:$J$2730,I$1)</f>
        <v>0</v>
      </c>
      <c r="J82" s="183">
        <f>SUMIFS('декабрь 2025'!$G$2:$G$2730,'декабрь 2025'!$D$2:$D$2730,$B82,'декабрь 2025'!$J$2:$J$2730,J$1)</f>
        <v>0</v>
      </c>
      <c r="K82" s="183">
        <f>SUMIFS('декабрь 2025'!$G$2:$G$2730,'декабрь 2025'!$D$2:$D$2730,$B82,'декабрь 2025'!$J$2:$J$2730,K$1)</f>
        <v>0</v>
      </c>
      <c r="L82" s="183">
        <f>SUMIFS('декабрь 2025'!$G$2:$G$2730,'декабрь 2025'!$D$2:$D$2730,$B82,'декабрь 2025'!$J$2:$J$2730,L$1)</f>
        <v>0</v>
      </c>
      <c r="M82" s="183">
        <f>SUMIFS('декабрь 2025'!$G$2:$G$2730,'декабрь 2025'!$D$2:$D$2730,$B82,'декабрь 2025'!$J$2:$J$2730,M$1)</f>
        <v>0</v>
      </c>
      <c r="N82" s="183">
        <f>SUMIFS('декабрь 2025'!$G$2:$G$2730,'декабрь 2025'!$D$2:$D$2730,$B82,'декабрь 2025'!$J$2:$J$2730,N$1)</f>
        <v>0</v>
      </c>
      <c r="O82" s="183">
        <f>SUMIFS('декабрь 2025'!$G$2:$G$2730,'декабрь 2025'!$D$2:$D$2730,$B82,'декабрь 2025'!$J$2:$J$2730,O$1)</f>
        <v>0</v>
      </c>
      <c r="P82" s="183">
        <f>SUMIFS('декабрь 2025'!$G$2:$G$2730,'декабрь 2025'!$D$2:$D$2730,$B82,'декабрь 2025'!$J$2:$J$2730,P$1)</f>
        <v>0</v>
      </c>
      <c r="Q82" s="183">
        <f>SUMIFS('декабрь 2025'!$G$2:$G$2730,'декабрь 2025'!$D$2:$D$2730,$B82,'декабрь 2025'!$J$2:$J$2730,Q$1)</f>
        <v>0</v>
      </c>
      <c r="R82" s="183">
        <f>SUMIFS('декабрь 2025'!$G$2:$G$2730,'декабрь 2025'!$D$2:$D$2730,$B82,'декабрь 2025'!$J$2:$J$2730,R$1)</f>
        <v>0</v>
      </c>
      <c r="S82" s="183">
        <f>SUMIFS('декабрь 2025'!$G$2:$G$2730,'декабрь 2025'!$D$2:$D$2730,$B82,'декабрь 2025'!$J$2:$J$2730,S$1)</f>
        <v>0</v>
      </c>
      <c r="T82" s="183">
        <f>SUMIFS('декабрь 2025'!$G$2:$G$2730,'декабрь 2025'!$D$2:$D$2730,$B82,'декабрь 2025'!$J$2:$J$2730,T$1)</f>
        <v>0</v>
      </c>
      <c r="U82" s="183">
        <f>SUMIFS('декабрь 2025'!$G$2:$G$2730,'декабрь 2025'!$D$2:$D$2730,$B82,'декабрь 2025'!$J$2:$J$2730,U$1)</f>
        <v>0</v>
      </c>
      <c r="V82" s="183">
        <f>SUMIFS('декабрь 2025'!$G$2:$G$2730,'декабрь 2025'!$D$2:$D$2730,$B82,'декабрь 2025'!$J$2:$J$2730,V$1)</f>
        <v>0</v>
      </c>
      <c r="W82" s="183">
        <f>SUMIFS('декабрь 2025'!$G$2:$G$2730,'декабрь 2025'!$D$2:$D$2730,$B82,'декабрь 2025'!$J$2:$J$2730,W$1)</f>
        <v>0</v>
      </c>
      <c r="X82" s="183">
        <f>SUMIFS('декабрь 2025'!$G$2:$G$2730,'декабрь 2025'!$D$2:$D$2730,$B82,'декабрь 2025'!$J$2:$J$2730,X$1)</f>
        <v>0</v>
      </c>
      <c r="Y82" s="183">
        <f>SUMIFS('декабрь 2025'!$G$2:$G$2730,'декабрь 2025'!$D$2:$D$2730,$B82,'декабрь 2025'!$J$2:$J$2730,Y$1)</f>
        <v>0</v>
      </c>
      <c r="Z82" s="183">
        <f>SUMIFS('декабрь 2025'!$G$2:$G$2730,'декабрь 2025'!$D$2:$D$2730,$B82,'декабрь 2025'!$J$2:$J$2730,Z$1)</f>
        <v>0</v>
      </c>
      <c r="AA82" s="183">
        <f>SUMIFS('декабрь 2025'!$G$2:$G$2730,'декабрь 2025'!$D$2:$D$2730,$B82,'декабрь 2025'!$J$2:$J$2730,AA$1)</f>
        <v>0</v>
      </c>
      <c r="AB82" s="183">
        <f>SUMIFS('декабрь 2025'!$G$2:$G$2730,'декабрь 2025'!$D$2:$D$2730,$B82,'декабрь 2025'!$J$2:$J$2730,AB$1)</f>
        <v>0</v>
      </c>
      <c r="AC82" s="183">
        <f>SUMIFS('декабрь 2025'!$G$2:$G$2730,'декабрь 2025'!$D$2:$D$2730,$B82,'декабрь 2025'!$J$2:$J$2730,AC$1)</f>
        <v>0</v>
      </c>
      <c r="AD82" s="183">
        <f>SUMIFS('декабрь 2025'!$G$2:$G$2730,'декабрь 2025'!$D$2:$D$2730,$B82,'декабрь 2025'!$J$2:$J$2730,AD$1)</f>
        <v>0</v>
      </c>
      <c r="AE82" s="183">
        <f>SUMIFS('декабрь 2025'!$G$2:$G$2730,'декабрь 2025'!$D$2:$D$2730,$B82,'декабрь 2025'!$J$2:$J$2730,AE$1)</f>
        <v>0</v>
      </c>
      <c r="AF82" s="183">
        <f>SUMIFS('декабрь 2025'!$G$2:$G$2730,'декабрь 2025'!$D$2:$D$2730,$B82,'декабрь 2025'!$J$2:$J$2730,AF$1)</f>
        <v>0</v>
      </c>
      <c r="AG82" s="183">
        <f>SUMIFS('декабрь 2025'!$G$2:$G$2730,'декабрь 2025'!$D$2:$D$2730,$B82,'декабрь 2025'!$J$2:$J$2730,AG$1)</f>
        <v>0</v>
      </c>
      <c r="AH82" s="183">
        <f>SUMIFS('декабрь 2025'!$G$2:$G$2730,'декабрь 2025'!$D$2:$D$2730,$B82,'декабрь 2025'!$J$2:$J$2730,AH$1)</f>
        <v>0</v>
      </c>
      <c r="AI82" s="20">
        <f t="shared" si="1"/>
        <v>0</v>
      </c>
    </row>
    <row r="83" spans="2:35" ht="15" customHeight="1" x14ac:dyDescent="0.25">
      <c r="B83" s="88" t="s">
        <v>178</v>
      </c>
      <c r="C83" s="86">
        <v>50</v>
      </c>
      <c r="D83" s="183">
        <f>SUMIFS('декабрь 2025'!$G$2:$G$2730,'декабрь 2025'!$D$2:$D$2730,$B83,'декабрь 2025'!$J$2:$J$2730,D$1)</f>
        <v>0</v>
      </c>
      <c r="E83" s="183">
        <f>SUMIFS('декабрь 2025'!$G$2:$G$2730,'декабрь 2025'!$D$2:$D$2730,$B83,'декабрь 2025'!$J$2:$J$2730,E$1)</f>
        <v>0</v>
      </c>
      <c r="F83" s="183">
        <f>SUMIFS('декабрь 2025'!$G$2:$G$2730,'декабрь 2025'!$D$2:$D$2730,$B83,'декабрь 2025'!$J$2:$J$2730,F$1)</f>
        <v>0</v>
      </c>
      <c r="G83" s="183">
        <f>SUMIFS('декабрь 2025'!$G$2:$G$2730,'декабрь 2025'!$D$2:$D$2730,$B83,'декабрь 2025'!$J$2:$J$2730,G$1)</f>
        <v>0</v>
      </c>
      <c r="H83" s="183">
        <f>SUMIFS('декабрь 2025'!$G$2:$G$2730,'декабрь 2025'!$D$2:$D$2730,$B83,'декабрь 2025'!$J$2:$J$2730,H$1)</f>
        <v>0</v>
      </c>
      <c r="I83" s="183">
        <f>SUMIFS('декабрь 2025'!$G$2:$G$2730,'декабрь 2025'!$D$2:$D$2730,$B83,'декабрь 2025'!$J$2:$J$2730,I$1)</f>
        <v>0</v>
      </c>
      <c r="J83" s="183">
        <f>SUMIFS('декабрь 2025'!$G$2:$G$2730,'декабрь 2025'!$D$2:$D$2730,$B83,'декабрь 2025'!$J$2:$J$2730,J$1)</f>
        <v>0</v>
      </c>
      <c r="K83" s="183">
        <f>SUMIFS('декабрь 2025'!$G$2:$G$2730,'декабрь 2025'!$D$2:$D$2730,$B83,'декабрь 2025'!$J$2:$J$2730,K$1)</f>
        <v>0</v>
      </c>
      <c r="L83" s="183">
        <f>SUMIFS('декабрь 2025'!$G$2:$G$2730,'декабрь 2025'!$D$2:$D$2730,$B83,'декабрь 2025'!$J$2:$J$2730,L$1)</f>
        <v>0</v>
      </c>
      <c r="M83" s="183">
        <f>SUMIFS('декабрь 2025'!$G$2:$G$2730,'декабрь 2025'!$D$2:$D$2730,$B83,'декабрь 2025'!$J$2:$J$2730,M$1)</f>
        <v>0</v>
      </c>
      <c r="N83" s="183">
        <f>SUMIFS('декабрь 2025'!$G$2:$G$2730,'декабрь 2025'!$D$2:$D$2730,$B83,'декабрь 2025'!$J$2:$J$2730,N$1)</f>
        <v>0</v>
      </c>
      <c r="O83" s="183">
        <f>SUMIFS('декабрь 2025'!$G$2:$G$2730,'декабрь 2025'!$D$2:$D$2730,$B83,'декабрь 2025'!$J$2:$J$2730,O$1)</f>
        <v>0</v>
      </c>
      <c r="P83" s="183">
        <f>SUMIFS('декабрь 2025'!$G$2:$G$2730,'декабрь 2025'!$D$2:$D$2730,$B83,'декабрь 2025'!$J$2:$J$2730,P$1)</f>
        <v>0</v>
      </c>
      <c r="Q83" s="183">
        <f>SUMIFS('декабрь 2025'!$G$2:$G$2730,'декабрь 2025'!$D$2:$D$2730,$B83,'декабрь 2025'!$J$2:$J$2730,Q$1)</f>
        <v>0</v>
      </c>
      <c r="R83" s="183">
        <f>SUMIFS('декабрь 2025'!$G$2:$G$2730,'декабрь 2025'!$D$2:$D$2730,$B83,'декабрь 2025'!$J$2:$J$2730,R$1)</f>
        <v>0</v>
      </c>
      <c r="S83" s="183">
        <f>SUMIFS('декабрь 2025'!$G$2:$G$2730,'декабрь 2025'!$D$2:$D$2730,$B83,'декабрь 2025'!$J$2:$J$2730,S$1)</f>
        <v>0</v>
      </c>
      <c r="T83" s="183">
        <f>SUMIFS('декабрь 2025'!$G$2:$G$2730,'декабрь 2025'!$D$2:$D$2730,$B83,'декабрь 2025'!$J$2:$J$2730,T$1)</f>
        <v>0</v>
      </c>
      <c r="U83" s="183">
        <f>SUMIFS('декабрь 2025'!$G$2:$G$2730,'декабрь 2025'!$D$2:$D$2730,$B83,'декабрь 2025'!$J$2:$J$2730,U$1)</f>
        <v>0</v>
      </c>
      <c r="V83" s="183">
        <f>SUMIFS('декабрь 2025'!$G$2:$G$2730,'декабрь 2025'!$D$2:$D$2730,$B83,'декабрь 2025'!$J$2:$J$2730,V$1)</f>
        <v>0</v>
      </c>
      <c r="W83" s="183">
        <f>SUMIFS('декабрь 2025'!$G$2:$G$2730,'декабрь 2025'!$D$2:$D$2730,$B83,'декабрь 2025'!$J$2:$J$2730,W$1)</f>
        <v>0</v>
      </c>
      <c r="X83" s="183">
        <f>SUMIFS('декабрь 2025'!$G$2:$G$2730,'декабрь 2025'!$D$2:$D$2730,$B83,'декабрь 2025'!$J$2:$J$2730,X$1)</f>
        <v>0</v>
      </c>
      <c r="Y83" s="183">
        <f>SUMIFS('декабрь 2025'!$G$2:$G$2730,'декабрь 2025'!$D$2:$D$2730,$B83,'декабрь 2025'!$J$2:$J$2730,Y$1)</f>
        <v>0</v>
      </c>
      <c r="Z83" s="183">
        <f>SUMIFS('декабрь 2025'!$G$2:$G$2730,'декабрь 2025'!$D$2:$D$2730,$B83,'декабрь 2025'!$J$2:$J$2730,Z$1)</f>
        <v>0</v>
      </c>
      <c r="AA83" s="183">
        <f>SUMIFS('декабрь 2025'!$G$2:$G$2730,'декабрь 2025'!$D$2:$D$2730,$B83,'декабрь 2025'!$J$2:$J$2730,AA$1)</f>
        <v>0</v>
      </c>
      <c r="AB83" s="183">
        <f>SUMIFS('декабрь 2025'!$G$2:$G$2730,'декабрь 2025'!$D$2:$D$2730,$B83,'декабрь 2025'!$J$2:$J$2730,AB$1)</f>
        <v>0</v>
      </c>
      <c r="AC83" s="183">
        <f>SUMIFS('декабрь 2025'!$G$2:$G$2730,'декабрь 2025'!$D$2:$D$2730,$B83,'декабрь 2025'!$J$2:$J$2730,AC$1)</f>
        <v>0</v>
      </c>
      <c r="AD83" s="183">
        <f>SUMIFS('декабрь 2025'!$G$2:$G$2730,'декабрь 2025'!$D$2:$D$2730,$B83,'декабрь 2025'!$J$2:$J$2730,AD$1)</f>
        <v>0</v>
      </c>
      <c r="AE83" s="183">
        <f>SUMIFS('декабрь 2025'!$G$2:$G$2730,'декабрь 2025'!$D$2:$D$2730,$B83,'декабрь 2025'!$J$2:$J$2730,AE$1)</f>
        <v>0</v>
      </c>
      <c r="AF83" s="183">
        <f>SUMIFS('декабрь 2025'!$G$2:$G$2730,'декабрь 2025'!$D$2:$D$2730,$B83,'декабрь 2025'!$J$2:$J$2730,AF$1)</f>
        <v>0</v>
      </c>
      <c r="AG83" s="183">
        <f>SUMIFS('декабрь 2025'!$G$2:$G$2730,'декабрь 2025'!$D$2:$D$2730,$B83,'декабрь 2025'!$J$2:$J$2730,AG$1)</f>
        <v>0</v>
      </c>
      <c r="AH83" s="183">
        <f>SUMIFS('декабрь 2025'!$G$2:$G$2730,'декабрь 2025'!$D$2:$D$2730,$B83,'декабрь 2025'!$J$2:$J$2730,AH$1)</f>
        <v>0</v>
      </c>
      <c r="AI83" s="20">
        <f t="shared" si="1"/>
        <v>0</v>
      </c>
    </row>
    <row r="84" spans="2:35" ht="15" customHeight="1" x14ac:dyDescent="0.25">
      <c r="B84" s="88" t="s">
        <v>167</v>
      </c>
      <c r="C84" s="86">
        <v>200</v>
      </c>
      <c r="D84" s="183">
        <f>SUMIFS('декабрь 2025'!$G$2:$G$2730,'декабрь 2025'!$D$2:$D$2730,$B84,'декабрь 2025'!$J$2:$J$2730,D$1)</f>
        <v>0</v>
      </c>
      <c r="E84" s="183">
        <f>SUMIFS('декабрь 2025'!$G$2:$G$2730,'декабрь 2025'!$D$2:$D$2730,$B84,'декабрь 2025'!$J$2:$J$2730,E$1)</f>
        <v>0</v>
      </c>
      <c r="F84" s="183">
        <f>SUMIFS('декабрь 2025'!$G$2:$G$2730,'декабрь 2025'!$D$2:$D$2730,$B84,'декабрь 2025'!$J$2:$J$2730,F$1)</f>
        <v>0</v>
      </c>
      <c r="G84" s="183">
        <f>SUMIFS('декабрь 2025'!$G$2:$G$2730,'декабрь 2025'!$D$2:$D$2730,$B84,'декабрь 2025'!$J$2:$J$2730,G$1)</f>
        <v>0</v>
      </c>
      <c r="H84" s="183">
        <f>SUMIFS('декабрь 2025'!$G$2:$G$2730,'декабрь 2025'!$D$2:$D$2730,$B84,'декабрь 2025'!$J$2:$J$2730,H$1)</f>
        <v>0</v>
      </c>
      <c r="I84" s="183">
        <f>SUMIFS('декабрь 2025'!$G$2:$G$2730,'декабрь 2025'!$D$2:$D$2730,$B84,'декабрь 2025'!$J$2:$J$2730,I$1)</f>
        <v>0</v>
      </c>
      <c r="J84" s="183">
        <f>SUMIFS('декабрь 2025'!$G$2:$G$2730,'декабрь 2025'!$D$2:$D$2730,$B84,'декабрь 2025'!$J$2:$J$2730,J$1)</f>
        <v>0</v>
      </c>
      <c r="K84" s="183">
        <f>SUMIFS('декабрь 2025'!$G$2:$G$2730,'декабрь 2025'!$D$2:$D$2730,$B84,'декабрь 2025'!$J$2:$J$2730,K$1)</f>
        <v>0</v>
      </c>
      <c r="L84" s="183">
        <f>SUMIFS('декабрь 2025'!$G$2:$G$2730,'декабрь 2025'!$D$2:$D$2730,$B84,'декабрь 2025'!$J$2:$J$2730,L$1)</f>
        <v>0</v>
      </c>
      <c r="M84" s="183">
        <f>SUMIFS('декабрь 2025'!$G$2:$G$2730,'декабрь 2025'!$D$2:$D$2730,$B84,'декабрь 2025'!$J$2:$J$2730,M$1)</f>
        <v>0</v>
      </c>
      <c r="N84" s="183">
        <f>SUMIFS('декабрь 2025'!$G$2:$G$2730,'декабрь 2025'!$D$2:$D$2730,$B84,'декабрь 2025'!$J$2:$J$2730,N$1)</f>
        <v>0</v>
      </c>
      <c r="O84" s="183">
        <f>SUMIFS('декабрь 2025'!$G$2:$G$2730,'декабрь 2025'!$D$2:$D$2730,$B84,'декабрь 2025'!$J$2:$J$2730,O$1)</f>
        <v>0</v>
      </c>
      <c r="P84" s="183">
        <f>SUMIFS('декабрь 2025'!$G$2:$G$2730,'декабрь 2025'!$D$2:$D$2730,$B84,'декабрь 2025'!$J$2:$J$2730,P$1)</f>
        <v>0</v>
      </c>
      <c r="Q84" s="183">
        <f>SUMIFS('декабрь 2025'!$G$2:$G$2730,'декабрь 2025'!$D$2:$D$2730,$B84,'декабрь 2025'!$J$2:$J$2730,Q$1)</f>
        <v>0</v>
      </c>
      <c r="R84" s="183">
        <f>SUMIFS('декабрь 2025'!$G$2:$G$2730,'декабрь 2025'!$D$2:$D$2730,$B84,'декабрь 2025'!$J$2:$J$2730,R$1)</f>
        <v>0</v>
      </c>
      <c r="S84" s="183">
        <f>SUMIFS('декабрь 2025'!$G$2:$G$2730,'декабрь 2025'!$D$2:$D$2730,$B84,'декабрь 2025'!$J$2:$J$2730,S$1)</f>
        <v>0</v>
      </c>
      <c r="T84" s="183">
        <f>SUMIFS('декабрь 2025'!$G$2:$G$2730,'декабрь 2025'!$D$2:$D$2730,$B84,'декабрь 2025'!$J$2:$J$2730,T$1)</f>
        <v>0</v>
      </c>
      <c r="U84" s="183">
        <f>SUMIFS('декабрь 2025'!$G$2:$G$2730,'декабрь 2025'!$D$2:$D$2730,$B84,'декабрь 2025'!$J$2:$J$2730,U$1)</f>
        <v>0</v>
      </c>
      <c r="V84" s="183">
        <f>SUMIFS('декабрь 2025'!$G$2:$G$2730,'декабрь 2025'!$D$2:$D$2730,$B84,'декабрь 2025'!$J$2:$J$2730,V$1)</f>
        <v>0</v>
      </c>
      <c r="W84" s="183">
        <f>SUMIFS('декабрь 2025'!$G$2:$G$2730,'декабрь 2025'!$D$2:$D$2730,$B84,'декабрь 2025'!$J$2:$J$2730,W$1)</f>
        <v>0</v>
      </c>
      <c r="X84" s="183">
        <f>SUMIFS('декабрь 2025'!$G$2:$G$2730,'декабрь 2025'!$D$2:$D$2730,$B84,'декабрь 2025'!$J$2:$J$2730,X$1)</f>
        <v>0</v>
      </c>
      <c r="Y84" s="183">
        <f>SUMIFS('декабрь 2025'!$G$2:$G$2730,'декабрь 2025'!$D$2:$D$2730,$B84,'декабрь 2025'!$J$2:$J$2730,Y$1)</f>
        <v>0</v>
      </c>
      <c r="Z84" s="183">
        <f>SUMIFS('декабрь 2025'!$G$2:$G$2730,'декабрь 2025'!$D$2:$D$2730,$B84,'декабрь 2025'!$J$2:$J$2730,Z$1)</f>
        <v>0</v>
      </c>
      <c r="AA84" s="183">
        <f>SUMIFS('декабрь 2025'!$G$2:$G$2730,'декабрь 2025'!$D$2:$D$2730,$B84,'декабрь 2025'!$J$2:$J$2730,AA$1)</f>
        <v>0</v>
      </c>
      <c r="AB84" s="183">
        <f>SUMIFS('декабрь 2025'!$G$2:$G$2730,'декабрь 2025'!$D$2:$D$2730,$B84,'декабрь 2025'!$J$2:$J$2730,AB$1)</f>
        <v>0</v>
      </c>
      <c r="AC84" s="183">
        <f>SUMIFS('декабрь 2025'!$G$2:$G$2730,'декабрь 2025'!$D$2:$D$2730,$B84,'декабрь 2025'!$J$2:$J$2730,AC$1)</f>
        <v>0</v>
      </c>
      <c r="AD84" s="183">
        <f>SUMIFS('декабрь 2025'!$G$2:$G$2730,'декабрь 2025'!$D$2:$D$2730,$B84,'декабрь 2025'!$J$2:$J$2730,AD$1)</f>
        <v>0</v>
      </c>
      <c r="AE84" s="183">
        <f>SUMIFS('декабрь 2025'!$G$2:$G$2730,'декабрь 2025'!$D$2:$D$2730,$B84,'декабрь 2025'!$J$2:$J$2730,AE$1)</f>
        <v>0</v>
      </c>
      <c r="AF84" s="183">
        <f>SUMIFS('декабрь 2025'!$G$2:$G$2730,'декабрь 2025'!$D$2:$D$2730,$B84,'декабрь 2025'!$J$2:$J$2730,AF$1)</f>
        <v>0</v>
      </c>
      <c r="AG84" s="183">
        <f>SUMIFS('декабрь 2025'!$G$2:$G$2730,'декабрь 2025'!$D$2:$D$2730,$B84,'декабрь 2025'!$J$2:$J$2730,AG$1)</f>
        <v>0</v>
      </c>
      <c r="AH84" s="183">
        <f>SUMIFS('декабрь 2025'!$G$2:$G$2730,'декабрь 2025'!$D$2:$D$2730,$B84,'декабрь 2025'!$J$2:$J$2730,AH$1)</f>
        <v>0</v>
      </c>
      <c r="AI84" s="20">
        <f t="shared" si="1"/>
        <v>0</v>
      </c>
    </row>
    <row r="85" spans="2:35" ht="15" customHeight="1" x14ac:dyDescent="0.25">
      <c r="B85" s="88" t="s">
        <v>168</v>
      </c>
      <c r="C85" s="86">
        <v>200</v>
      </c>
      <c r="D85" s="183">
        <f>SUMIFS('декабрь 2025'!$G$2:$G$2730,'декабрь 2025'!$D$2:$D$2730,$B85,'декабрь 2025'!$J$2:$J$2730,D$1)</f>
        <v>8</v>
      </c>
      <c r="E85" s="183">
        <f>SUMIFS('декабрь 2025'!$G$2:$G$2730,'декабрь 2025'!$D$2:$D$2730,$B85,'декабрь 2025'!$J$2:$J$2730,E$1)</f>
        <v>0</v>
      </c>
      <c r="F85" s="183">
        <f>SUMIFS('декабрь 2025'!$G$2:$G$2730,'декабрь 2025'!$D$2:$D$2730,$B85,'декабрь 2025'!$J$2:$J$2730,F$1)</f>
        <v>0</v>
      </c>
      <c r="G85" s="183">
        <f>SUMIFS('декабрь 2025'!$G$2:$G$2730,'декабрь 2025'!$D$2:$D$2730,$B85,'декабрь 2025'!$J$2:$J$2730,G$1)</f>
        <v>0</v>
      </c>
      <c r="H85" s="183">
        <f>SUMIFS('декабрь 2025'!$G$2:$G$2730,'декабрь 2025'!$D$2:$D$2730,$B85,'декабрь 2025'!$J$2:$J$2730,H$1)</f>
        <v>0</v>
      </c>
      <c r="I85" s="183">
        <f>SUMIFS('декабрь 2025'!$G$2:$G$2730,'декабрь 2025'!$D$2:$D$2730,$B85,'декабрь 2025'!$J$2:$J$2730,I$1)</f>
        <v>0</v>
      </c>
      <c r="J85" s="183">
        <f>SUMIFS('декабрь 2025'!$G$2:$G$2730,'декабрь 2025'!$D$2:$D$2730,$B85,'декабрь 2025'!$J$2:$J$2730,J$1)</f>
        <v>0</v>
      </c>
      <c r="K85" s="183">
        <f>SUMIFS('декабрь 2025'!$G$2:$G$2730,'декабрь 2025'!$D$2:$D$2730,$B85,'декабрь 2025'!$J$2:$J$2730,K$1)</f>
        <v>0</v>
      </c>
      <c r="L85" s="183">
        <f>SUMIFS('декабрь 2025'!$G$2:$G$2730,'декабрь 2025'!$D$2:$D$2730,$B85,'декабрь 2025'!$J$2:$J$2730,L$1)</f>
        <v>0</v>
      </c>
      <c r="M85" s="183">
        <f>SUMIFS('декабрь 2025'!$G$2:$G$2730,'декабрь 2025'!$D$2:$D$2730,$B85,'декабрь 2025'!$J$2:$J$2730,M$1)</f>
        <v>176</v>
      </c>
      <c r="N85" s="183">
        <f>SUMIFS('декабрь 2025'!$G$2:$G$2730,'декабрь 2025'!$D$2:$D$2730,$B85,'декабрь 2025'!$J$2:$J$2730,N$1)</f>
        <v>0</v>
      </c>
      <c r="O85" s="183">
        <f>SUMIFS('декабрь 2025'!$G$2:$G$2730,'декабрь 2025'!$D$2:$D$2730,$B85,'декабрь 2025'!$J$2:$J$2730,O$1)</f>
        <v>0</v>
      </c>
      <c r="P85" s="183">
        <f>SUMIFS('декабрь 2025'!$G$2:$G$2730,'декабрь 2025'!$D$2:$D$2730,$B85,'декабрь 2025'!$J$2:$J$2730,P$1)</f>
        <v>0</v>
      </c>
      <c r="Q85" s="183">
        <f>SUMIFS('декабрь 2025'!$G$2:$G$2730,'декабрь 2025'!$D$2:$D$2730,$B85,'декабрь 2025'!$J$2:$J$2730,Q$1)</f>
        <v>0</v>
      </c>
      <c r="R85" s="183">
        <f>SUMIFS('декабрь 2025'!$G$2:$G$2730,'декабрь 2025'!$D$2:$D$2730,$B85,'декабрь 2025'!$J$2:$J$2730,R$1)</f>
        <v>0</v>
      </c>
      <c r="S85" s="183">
        <f>SUMIFS('декабрь 2025'!$G$2:$G$2730,'декабрь 2025'!$D$2:$D$2730,$B85,'декабрь 2025'!$J$2:$J$2730,S$1)</f>
        <v>0</v>
      </c>
      <c r="T85" s="183">
        <f>SUMIFS('декабрь 2025'!$G$2:$G$2730,'декабрь 2025'!$D$2:$D$2730,$B85,'декабрь 2025'!$J$2:$J$2730,T$1)</f>
        <v>74</v>
      </c>
      <c r="U85" s="183">
        <f>SUMIFS('декабрь 2025'!$G$2:$G$2730,'декабрь 2025'!$D$2:$D$2730,$B85,'декабрь 2025'!$J$2:$J$2730,U$1)</f>
        <v>0</v>
      </c>
      <c r="V85" s="183">
        <f>SUMIFS('декабрь 2025'!$G$2:$G$2730,'декабрь 2025'!$D$2:$D$2730,$B85,'декабрь 2025'!$J$2:$J$2730,V$1)</f>
        <v>20</v>
      </c>
      <c r="W85" s="183">
        <f>SUMIFS('декабрь 2025'!$G$2:$G$2730,'декабрь 2025'!$D$2:$D$2730,$B85,'декабрь 2025'!$J$2:$J$2730,W$1)</f>
        <v>0</v>
      </c>
      <c r="X85" s="183">
        <f>SUMIFS('декабрь 2025'!$G$2:$G$2730,'декабрь 2025'!$D$2:$D$2730,$B85,'декабрь 2025'!$J$2:$J$2730,X$1)</f>
        <v>0</v>
      </c>
      <c r="Y85" s="183">
        <f>SUMIFS('декабрь 2025'!$G$2:$G$2730,'декабрь 2025'!$D$2:$D$2730,$B85,'декабрь 2025'!$J$2:$J$2730,Y$1)</f>
        <v>0</v>
      </c>
      <c r="Z85" s="183">
        <f>SUMIFS('декабрь 2025'!$G$2:$G$2730,'декабрь 2025'!$D$2:$D$2730,$B85,'декабрь 2025'!$J$2:$J$2730,Z$1)</f>
        <v>20</v>
      </c>
      <c r="AA85" s="183">
        <f>SUMIFS('декабрь 2025'!$G$2:$G$2730,'декабрь 2025'!$D$2:$D$2730,$B85,'декабрь 2025'!$J$2:$J$2730,AA$1)</f>
        <v>0</v>
      </c>
      <c r="AB85" s="183">
        <f>SUMIFS('декабрь 2025'!$G$2:$G$2730,'декабрь 2025'!$D$2:$D$2730,$B85,'декабрь 2025'!$J$2:$J$2730,AB$1)</f>
        <v>0</v>
      </c>
      <c r="AC85" s="183">
        <f>SUMIFS('декабрь 2025'!$G$2:$G$2730,'декабрь 2025'!$D$2:$D$2730,$B85,'декабрь 2025'!$J$2:$J$2730,AC$1)</f>
        <v>0</v>
      </c>
      <c r="AD85" s="183">
        <f>SUMIFS('декабрь 2025'!$G$2:$G$2730,'декабрь 2025'!$D$2:$D$2730,$B85,'декабрь 2025'!$J$2:$J$2730,AD$1)</f>
        <v>0</v>
      </c>
      <c r="AE85" s="183">
        <f>SUMIFS('декабрь 2025'!$G$2:$G$2730,'декабрь 2025'!$D$2:$D$2730,$B85,'декабрь 2025'!$J$2:$J$2730,AE$1)</f>
        <v>0</v>
      </c>
      <c r="AF85" s="183">
        <f>SUMIFS('декабрь 2025'!$G$2:$G$2730,'декабрь 2025'!$D$2:$D$2730,$B85,'декабрь 2025'!$J$2:$J$2730,AF$1)</f>
        <v>0</v>
      </c>
      <c r="AG85" s="183">
        <f>SUMIFS('декабрь 2025'!$G$2:$G$2730,'декабрь 2025'!$D$2:$D$2730,$B85,'декабрь 2025'!$J$2:$J$2730,AG$1)</f>
        <v>0</v>
      </c>
      <c r="AH85" s="183">
        <f>SUMIFS('декабрь 2025'!$G$2:$G$2730,'декабрь 2025'!$D$2:$D$2730,$B85,'декабрь 2025'!$J$2:$J$2730,AH$1)</f>
        <v>0</v>
      </c>
      <c r="AI85" s="20">
        <f t="shared" si="1"/>
        <v>298</v>
      </c>
    </row>
    <row r="86" spans="2:35" ht="15" customHeight="1" x14ac:dyDescent="0.25">
      <c r="B86" s="88" t="s">
        <v>1426</v>
      </c>
      <c r="C86" s="86">
        <v>215.5</v>
      </c>
      <c r="D86" s="183">
        <f>SUMIFS('декабрь 2025'!$G$2:$G$2730,'декабрь 2025'!$D$2:$D$2730,$B86,'декабрь 2025'!$J$2:$J$2730,D$1)</f>
        <v>0</v>
      </c>
      <c r="E86" s="183">
        <f>SUMIFS('декабрь 2025'!$G$2:$G$2730,'декабрь 2025'!$D$2:$D$2730,$B86,'декабрь 2025'!$J$2:$J$2730,E$1)</f>
        <v>0</v>
      </c>
      <c r="F86" s="183">
        <f>SUMIFS('декабрь 2025'!$G$2:$G$2730,'декабрь 2025'!$D$2:$D$2730,$B86,'декабрь 2025'!$J$2:$J$2730,F$1)</f>
        <v>0</v>
      </c>
      <c r="G86" s="183">
        <f>SUMIFS('декабрь 2025'!$G$2:$G$2730,'декабрь 2025'!$D$2:$D$2730,$B86,'декабрь 2025'!$J$2:$J$2730,G$1)</f>
        <v>0</v>
      </c>
      <c r="H86" s="183">
        <f>SUMIFS('декабрь 2025'!$G$2:$G$2730,'декабрь 2025'!$D$2:$D$2730,$B86,'декабрь 2025'!$J$2:$J$2730,H$1)</f>
        <v>0</v>
      </c>
      <c r="I86" s="183">
        <f>SUMIFS('декабрь 2025'!$G$2:$G$2730,'декабрь 2025'!$D$2:$D$2730,$B86,'декабрь 2025'!$J$2:$J$2730,I$1)</f>
        <v>0</v>
      </c>
      <c r="J86" s="183">
        <f>SUMIFS('декабрь 2025'!$G$2:$G$2730,'декабрь 2025'!$D$2:$D$2730,$B86,'декабрь 2025'!$J$2:$J$2730,J$1)</f>
        <v>0</v>
      </c>
      <c r="K86" s="183">
        <f>SUMIFS('декабрь 2025'!$G$2:$G$2730,'декабрь 2025'!$D$2:$D$2730,$B86,'декабрь 2025'!$J$2:$J$2730,K$1)</f>
        <v>0</v>
      </c>
      <c r="L86" s="183">
        <f>SUMIFS('декабрь 2025'!$G$2:$G$2730,'декабрь 2025'!$D$2:$D$2730,$B86,'декабрь 2025'!$J$2:$J$2730,L$1)</f>
        <v>0</v>
      </c>
      <c r="M86" s="183">
        <f>SUMIFS('декабрь 2025'!$G$2:$G$2730,'декабрь 2025'!$D$2:$D$2730,$B86,'декабрь 2025'!$J$2:$J$2730,M$1)</f>
        <v>0</v>
      </c>
      <c r="N86" s="183">
        <f>SUMIFS('декабрь 2025'!$G$2:$G$2730,'декабрь 2025'!$D$2:$D$2730,$B86,'декабрь 2025'!$J$2:$J$2730,N$1)</f>
        <v>0</v>
      </c>
      <c r="O86" s="183">
        <f>SUMIFS('декабрь 2025'!$G$2:$G$2730,'декабрь 2025'!$D$2:$D$2730,$B86,'декабрь 2025'!$J$2:$J$2730,O$1)</f>
        <v>88</v>
      </c>
      <c r="P86" s="183">
        <f>SUMIFS('декабрь 2025'!$G$2:$G$2730,'декабрь 2025'!$D$2:$D$2730,$B86,'декабрь 2025'!$J$2:$J$2730,P$1)</f>
        <v>0</v>
      </c>
      <c r="Q86" s="183">
        <f>SUMIFS('декабрь 2025'!$G$2:$G$2730,'декабрь 2025'!$D$2:$D$2730,$B86,'декабрь 2025'!$J$2:$J$2730,Q$1)</f>
        <v>0</v>
      </c>
      <c r="R86" s="183">
        <f>SUMIFS('декабрь 2025'!$G$2:$G$2730,'декабрь 2025'!$D$2:$D$2730,$B86,'декабрь 2025'!$J$2:$J$2730,R$1)</f>
        <v>0</v>
      </c>
      <c r="S86" s="183">
        <f>SUMIFS('декабрь 2025'!$G$2:$G$2730,'декабрь 2025'!$D$2:$D$2730,$B86,'декабрь 2025'!$J$2:$J$2730,S$1)</f>
        <v>0</v>
      </c>
      <c r="T86" s="183">
        <f>SUMIFS('декабрь 2025'!$G$2:$G$2730,'декабрь 2025'!$D$2:$D$2730,$B86,'декабрь 2025'!$J$2:$J$2730,T$1)</f>
        <v>0</v>
      </c>
      <c r="U86" s="183">
        <f>SUMIFS('декабрь 2025'!$G$2:$G$2730,'декабрь 2025'!$D$2:$D$2730,$B86,'декабрь 2025'!$J$2:$J$2730,U$1)</f>
        <v>0</v>
      </c>
      <c r="V86" s="183">
        <f>SUMIFS('декабрь 2025'!$G$2:$G$2730,'декабрь 2025'!$D$2:$D$2730,$B86,'декабрь 2025'!$J$2:$J$2730,V$1)</f>
        <v>0</v>
      </c>
      <c r="W86" s="183">
        <f>SUMIFS('декабрь 2025'!$G$2:$G$2730,'декабрь 2025'!$D$2:$D$2730,$B86,'декабрь 2025'!$J$2:$J$2730,W$1)</f>
        <v>0</v>
      </c>
      <c r="X86" s="183">
        <f>SUMIFS('декабрь 2025'!$G$2:$G$2730,'декабрь 2025'!$D$2:$D$2730,$B86,'декабрь 2025'!$J$2:$J$2730,X$1)</f>
        <v>0</v>
      </c>
      <c r="Y86" s="183">
        <f>SUMIFS('декабрь 2025'!$G$2:$G$2730,'декабрь 2025'!$D$2:$D$2730,$B86,'декабрь 2025'!$J$2:$J$2730,Y$1)</f>
        <v>0</v>
      </c>
      <c r="Z86" s="183">
        <f>SUMIFS('декабрь 2025'!$G$2:$G$2730,'декабрь 2025'!$D$2:$D$2730,$B86,'декабрь 2025'!$J$2:$J$2730,Z$1)</f>
        <v>0</v>
      </c>
      <c r="AA86" s="183">
        <f>SUMIFS('декабрь 2025'!$G$2:$G$2730,'декабрь 2025'!$D$2:$D$2730,$B86,'декабрь 2025'!$J$2:$J$2730,AA$1)</f>
        <v>0</v>
      </c>
      <c r="AB86" s="183">
        <f>SUMIFS('декабрь 2025'!$G$2:$G$2730,'декабрь 2025'!$D$2:$D$2730,$B86,'декабрь 2025'!$J$2:$J$2730,AB$1)</f>
        <v>0</v>
      </c>
      <c r="AC86" s="183">
        <f>SUMIFS('декабрь 2025'!$G$2:$G$2730,'декабрь 2025'!$D$2:$D$2730,$B86,'декабрь 2025'!$J$2:$J$2730,AC$1)</f>
        <v>0</v>
      </c>
      <c r="AD86" s="183">
        <f>SUMIFS('декабрь 2025'!$G$2:$G$2730,'декабрь 2025'!$D$2:$D$2730,$B86,'декабрь 2025'!$J$2:$J$2730,AD$1)</f>
        <v>0</v>
      </c>
      <c r="AE86" s="183">
        <f>SUMIFS('декабрь 2025'!$G$2:$G$2730,'декабрь 2025'!$D$2:$D$2730,$B86,'декабрь 2025'!$J$2:$J$2730,AE$1)</f>
        <v>0</v>
      </c>
      <c r="AF86" s="183">
        <f>SUMIFS('декабрь 2025'!$G$2:$G$2730,'декабрь 2025'!$D$2:$D$2730,$B86,'декабрь 2025'!$J$2:$J$2730,AF$1)</f>
        <v>0</v>
      </c>
      <c r="AG86" s="183">
        <f>SUMIFS('декабрь 2025'!$G$2:$G$2730,'декабрь 2025'!$D$2:$D$2730,$B86,'декабрь 2025'!$J$2:$J$2730,AG$1)</f>
        <v>0</v>
      </c>
      <c r="AH86" s="183">
        <f>SUMIFS('декабрь 2025'!$G$2:$G$2730,'декабрь 2025'!$D$2:$D$2730,$B86,'декабрь 2025'!$J$2:$J$2730,AH$1)</f>
        <v>0</v>
      </c>
      <c r="AI86" s="20"/>
    </row>
    <row r="87" spans="2:35" ht="15" customHeight="1" x14ac:dyDescent="0.25">
      <c r="B87" s="88" t="s">
        <v>314</v>
      </c>
      <c r="C87" s="86">
        <v>200</v>
      </c>
      <c r="D87" s="183">
        <f>SUMIFS('декабрь 2025'!$G$2:$G$2730,'декабрь 2025'!$D$2:$D$2730,$B87,'декабрь 2025'!$J$2:$J$2730,D$1)</f>
        <v>0</v>
      </c>
      <c r="E87" s="183">
        <f>SUMIFS('декабрь 2025'!$G$2:$G$2730,'декабрь 2025'!$D$2:$D$2730,$B87,'декабрь 2025'!$J$2:$J$2730,E$1)</f>
        <v>0</v>
      </c>
      <c r="F87" s="183">
        <f>SUMIFS('декабрь 2025'!$G$2:$G$2730,'декабрь 2025'!$D$2:$D$2730,$B87,'декабрь 2025'!$J$2:$J$2730,F$1)</f>
        <v>0</v>
      </c>
      <c r="G87" s="183">
        <f>SUMIFS('декабрь 2025'!$G$2:$G$2730,'декабрь 2025'!$D$2:$D$2730,$B87,'декабрь 2025'!$J$2:$J$2730,G$1)</f>
        <v>0</v>
      </c>
      <c r="H87" s="183">
        <f>SUMIFS('декабрь 2025'!$G$2:$G$2730,'декабрь 2025'!$D$2:$D$2730,$B87,'декабрь 2025'!$J$2:$J$2730,H$1)</f>
        <v>0</v>
      </c>
      <c r="I87" s="183">
        <f>SUMIFS('декабрь 2025'!$G$2:$G$2730,'декабрь 2025'!$D$2:$D$2730,$B87,'декабрь 2025'!$J$2:$J$2730,I$1)</f>
        <v>0</v>
      </c>
      <c r="J87" s="183">
        <f>SUMIFS('декабрь 2025'!$G$2:$G$2730,'декабрь 2025'!$D$2:$D$2730,$B87,'декабрь 2025'!$J$2:$J$2730,J$1)</f>
        <v>0</v>
      </c>
      <c r="K87" s="183">
        <f>SUMIFS('декабрь 2025'!$G$2:$G$2730,'декабрь 2025'!$D$2:$D$2730,$B87,'декабрь 2025'!$J$2:$J$2730,K$1)</f>
        <v>0</v>
      </c>
      <c r="L87" s="183">
        <f>SUMIFS('декабрь 2025'!$G$2:$G$2730,'декабрь 2025'!$D$2:$D$2730,$B87,'декабрь 2025'!$J$2:$J$2730,L$1)</f>
        <v>0</v>
      </c>
      <c r="M87" s="183">
        <f>SUMIFS('декабрь 2025'!$G$2:$G$2730,'декабрь 2025'!$D$2:$D$2730,$B87,'декабрь 2025'!$J$2:$J$2730,M$1)</f>
        <v>0</v>
      </c>
      <c r="N87" s="183">
        <f>SUMIFS('декабрь 2025'!$G$2:$G$2730,'декабрь 2025'!$D$2:$D$2730,$B87,'декабрь 2025'!$J$2:$J$2730,N$1)</f>
        <v>0</v>
      </c>
      <c r="O87" s="183">
        <f>SUMIFS('декабрь 2025'!$G$2:$G$2730,'декабрь 2025'!$D$2:$D$2730,$B87,'декабрь 2025'!$J$2:$J$2730,O$1)</f>
        <v>0</v>
      </c>
      <c r="P87" s="183">
        <f>SUMIFS('декабрь 2025'!$G$2:$G$2730,'декабрь 2025'!$D$2:$D$2730,$B87,'декабрь 2025'!$J$2:$J$2730,P$1)</f>
        <v>0</v>
      </c>
      <c r="Q87" s="183">
        <f>SUMIFS('декабрь 2025'!$G$2:$G$2730,'декабрь 2025'!$D$2:$D$2730,$B87,'декабрь 2025'!$J$2:$J$2730,Q$1)</f>
        <v>0</v>
      </c>
      <c r="R87" s="183">
        <f>SUMIFS('декабрь 2025'!$G$2:$G$2730,'декабрь 2025'!$D$2:$D$2730,$B87,'декабрь 2025'!$J$2:$J$2730,R$1)</f>
        <v>0</v>
      </c>
      <c r="S87" s="183">
        <f>SUMIFS('декабрь 2025'!$G$2:$G$2730,'декабрь 2025'!$D$2:$D$2730,$B87,'декабрь 2025'!$J$2:$J$2730,S$1)</f>
        <v>0</v>
      </c>
      <c r="T87" s="183">
        <f>SUMIFS('декабрь 2025'!$G$2:$G$2730,'декабрь 2025'!$D$2:$D$2730,$B87,'декабрь 2025'!$J$2:$J$2730,T$1)</f>
        <v>0</v>
      </c>
      <c r="U87" s="183">
        <f>SUMIFS('декабрь 2025'!$G$2:$G$2730,'декабрь 2025'!$D$2:$D$2730,$B87,'декабрь 2025'!$J$2:$J$2730,U$1)</f>
        <v>0</v>
      </c>
      <c r="V87" s="183">
        <f>SUMIFS('декабрь 2025'!$G$2:$G$2730,'декабрь 2025'!$D$2:$D$2730,$B87,'декабрь 2025'!$J$2:$J$2730,V$1)</f>
        <v>0</v>
      </c>
      <c r="W87" s="183">
        <f>SUMIFS('декабрь 2025'!$G$2:$G$2730,'декабрь 2025'!$D$2:$D$2730,$B87,'декабрь 2025'!$J$2:$J$2730,W$1)</f>
        <v>0</v>
      </c>
      <c r="X87" s="183">
        <f>SUMIFS('декабрь 2025'!$G$2:$G$2730,'декабрь 2025'!$D$2:$D$2730,$B87,'декабрь 2025'!$J$2:$J$2730,X$1)</f>
        <v>0</v>
      </c>
      <c r="Y87" s="183">
        <f>SUMIFS('декабрь 2025'!$G$2:$G$2730,'декабрь 2025'!$D$2:$D$2730,$B87,'декабрь 2025'!$J$2:$J$2730,Y$1)</f>
        <v>0</v>
      </c>
      <c r="Z87" s="183">
        <f>SUMIFS('декабрь 2025'!$G$2:$G$2730,'декабрь 2025'!$D$2:$D$2730,$B87,'декабрь 2025'!$J$2:$J$2730,Z$1)</f>
        <v>0</v>
      </c>
      <c r="AA87" s="183">
        <f>SUMIFS('декабрь 2025'!$G$2:$G$2730,'декабрь 2025'!$D$2:$D$2730,$B87,'декабрь 2025'!$J$2:$J$2730,AA$1)</f>
        <v>0</v>
      </c>
      <c r="AB87" s="183">
        <f>SUMIFS('декабрь 2025'!$G$2:$G$2730,'декабрь 2025'!$D$2:$D$2730,$B87,'декабрь 2025'!$J$2:$J$2730,AB$1)</f>
        <v>0</v>
      </c>
      <c r="AC87" s="183">
        <f>SUMIFS('декабрь 2025'!$G$2:$G$2730,'декабрь 2025'!$D$2:$D$2730,$B87,'декабрь 2025'!$J$2:$J$2730,AC$1)</f>
        <v>0</v>
      </c>
      <c r="AD87" s="183">
        <f>SUMIFS('декабрь 2025'!$G$2:$G$2730,'декабрь 2025'!$D$2:$D$2730,$B87,'декабрь 2025'!$J$2:$J$2730,AD$1)</f>
        <v>0</v>
      </c>
      <c r="AE87" s="183">
        <f>SUMIFS('декабрь 2025'!$G$2:$G$2730,'декабрь 2025'!$D$2:$D$2730,$B87,'декабрь 2025'!$J$2:$J$2730,AE$1)</f>
        <v>0</v>
      </c>
      <c r="AF87" s="183">
        <f>SUMIFS('декабрь 2025'!$G$2:$G$2730,'декабрь 2025'!$D$2:$D$2730,$B87,'декабрь 2025'!$J$2:$J$2730,AF$1)</f>
        <v>0</v>
      </c>
      <c r="AG87" s="183">
        <f>SUMIFS('декабрь 2025'!$G$2:$G$2730,'декабрь 2025'!$D$2:$D$2730,$B87,'декабрь 2025'!$J$2:$J$2730,AG$1)</f>
        <v>0</v>
      </c>
      <c r="AH87" s="183">
        <f>SUMIFS('декабрь 2025'!$G$2:$G$2730,'декабрь 2025'!$D$2:$D$2730,$B87,'декабрь 2025'!$J$2:$J$2730,AH$1)</f>
        <v>0</v>
      </c>
      <c r="AI87" s="20">
        <f t="shared" si="1"/>
        <v>0</v>
      </c>
    </row>
    <row r="88" spans="2:35" ht="15" customHeight="1" x14ac:dyDescent="0.25">
      <c r="B88" s="88" t="s">
        <v>375</v>
      </c>
      <c r="C88" s="86">
        <v>210</v>
      </c>
      <c r="D88" s="183">
        <f>SUMIFS('декабрь 2025'!$G$2:$G$2730,'декабрь 2025'!$D$2:$D$2730,$B88,'декабрь 2025'!$J$2:$J$2730,D$1)</f>
        <v>0</v>
      </c>
      <c r="E88" s="183">
        <f>SUMIFS('декабрь 2025'!$G$2:$G$2730,'декабрь 2025'!$D$2:$D$2730,$B88,'декабрь 2025'!$J$2:$J$2730,E$1)</f>
        <v>0</v>
      </c>
      <c r="F88" s="183">
        <f>SUMIFS('декабрь 2025'!$G$2:$G$2730,'декабрь 2025'!$D$2:$D$2730,$B88,'декабрь 2025'!$J$2:$J$2730,F$1)</f>
        <v>0</v>
      </c>
      <c r="G88" s="183">
        <f>SUMIFS('декабрь 2025'!$G$2:$G$2730,'декабрь 2025'!$D$2:$D$2730,$B88,'декабрь 2025'!$J$2:$J$2730,G$1)</f>
        <v>0</v>
      </c>
      <c r="H88" s="183">
        <f>SUMIFS('декабрь 2025'!$G$2:$G$2730,'декабрь 2025'!$D$2:$D$2730,$B88,'декабрь 2025'!$J$2:$J$2730,H$1)</f>
        <v>0</v>
      </c>
      <c r="I88" s="183">
        <f>SUMIFS('декабрь 2025'!$G$2:$G$2730,'декабрь 2025'!$D$2:$D$2730,$B88,'декабрь 2025'!$J$2:$J$2730,I$1)</f>
        <v>0</v>
      </c>
      <c r="J88" s="183">
        <f>SUMIFS('декабрь 2025'!$G$2:$G$2730,'декабрь 2025'!$D$2:$D$2730,$B88,'декабрь 2025'!$J$2:$J$2730,J$1)</f>
        <v>0</v>
      </c>
      <c r="K88" s="183">
        <f>SUMIFS('декабрь 2025'!$G$2:$G$2730,'декабрь 2025'!$D$2:$D$2730,$B88,'декабрь 2025'!$J$2:$J$2730,K$1)</f>
        <v>0</v>
      </c>
      <c r="L88" s="183">
        <f>SUMIFS('декабрь 2025'!$G$2:$G$2730,'декабрь 2025'!$D$2:$D$2730,$B88,'декабрь 2025'!$J$2:$J$2730,L$1)</f>
        <v>0</v>
      </c>
      <c r="M88" s="183">
        <f>SUMIFS('декабрь 2025'!$G$2:$G$2730,'декабрь 2025'!$D$2:$D$2730,$B88,'декабрь 2025'!$J$2:$J$2730,M$1)</f>
        <v>0</v>
      </c>
      <c r="N88" s="183">
        <f>SUMIFS('декабрь 2025'!$G$2:$G$2730,'декабрь 2025'!$D$2:$D$2730,$B88,'декабрь 2025'!$J$2:$J$2730,N$1)</f>
        <v>0</v>
      </c>
      <c r="O88" s="183">
        <f>SUMIFS('декабрь 2025'!$G$2:$G$2730,'декабрь 2025'!$D$2:$D$2730,$B88,'декабрь 2025'!$J$2:$J$2730,O$1)</f>
        <v>0</v>
      </c>
      <c r="P88" s="183">
        <f>SUMIFS('декабрь 2025'!$G$2:$G$2730,'декабрь 2025'!$D$2:$D$2730,$B88,'декабрь 2025'!$J$2:$J$2730,P$1)</f>
        <v>0</v>
      </c>
      <c r="Q88" s="183">
        <f>SUMIFS('декабрь 2025'!$G$2:$G$2730,'декабрь 2025'!$D$2:$D$2730,$B88,'декабрь 2025'!$J$2:$J$2730,Q$1)</f>
        <v>0</v>
      </c>
      <c r="R88" s="183">
        <f>SUMIFS('декабрь 2025'!$G$2:$G$2730,'декабрь 2025'!$D$2:$D$2730,$B88,'декабрь 2025'!$J$2:$J$2730,R$1)</f>
        <v>0</v>
      </c>
      <c r="S88" s="183">
        <f>SUMIFS('декабрь 2025'!$G$2:$G$2730,'декабрь 2025'!$D$2:$D$2730,$B88,'декабрь 2025'!$J$2:$J$2730,S$1)</f>
        <v>0</v>
      </c>
      <c r="T88" s="183">
        <f>SUMIFS('декабрь 2025'!$G$2:$G$2730,'декабрь 2025'!$D$2:$D$2730,$B88,'декабрь 2025'!$J$2:$J$2730,T$1)</f>
        <v>0</v>
      </c>
      <c r="U88" s="183">
        <f>SUMIFS('декабрь 2025'!$G$2:$G$2730,'декабрь 2025'!$D$2:$D$2730,$B88,'декабрь 2025'!$J$2:$J$2730,U$1)</f>
        <v>0</v>
      </c>
      <c r="V88" s="183">
        <f>SUMIFS('декабрь 2025'!$G$2:$G$2730,'декабрь 2025'!$D$2:$D$2730,$B88,'декабрь 2025'!$J$2:$J$2730,V$1)</f>
        <v>0</v>
      </c>
      <c r="W88" s="183">
        <f>SUMIFS('декабрь 2025'!$G$2:$G$2730,'декабрь 2025'!$D$2:$D$2730,$B88,'декабрь 2025'!$J$2:$J$2730,W$1)</f>
        <v>0</v>
      </c>
      <c r="X88" s="183">
        <f>SUMIFS('декабрь 2025'!$G$2:$G$2730,'декабрь 2025'!$D$2:$D$2730,$B88,'декабрь 2025'!$J$2:$J$2730,X$1)</f>
        <v>0</v>
      </c>
      <c r="Y88" s="183">
        <f>SUMIFS('декабрь 2025'!$G$2:$G$2730,'декабрь 2025'!$D$2:$D$2730,$B88,'декабрь 2025'!$J$2:$J$2730,Y$1)</f>
        <v>0</v>
      </c>
      <c r="Z88" s="183">
        <f>SUMIFS('декабрь 2025'!$G$2:$G$2730,'декабрь 2025'!$D$2:$D$2730,$B88,'декабрь 2025'!$J$2:$J$2730,Z$1)</f>
        <v>0</v>
      </c>
      <c r="AA88" s="183">
        <f>SUMIFS('декабрь 2025'!$G$2:$G$2730,'декабрь 2025'!$D$2:$D$2730,$B88,'декабрь 2025'!$J$2:$J$2730,AA$1)</f>
        <v>0</v>
      </c>
      <c r="AB88" s="183">
        <f>SUMIFS('декабрь 2025'!$G$2:$G$2730,'декабрь 2025'!$D$2:$D$2730,$B88,'декабрь 2025'!$J$2:$J$2730,AB$1)</f>
        <v>0</v>
      </c>
      <c r="AC88" s="183">
        <f>SUMIFS('декабрь 2025'!$G$2:$G$2730,'декабрь 2025'!$D$2:$D$2730,$B88,'декабрь 2025'!$J$2:$J$2730,AC$1)</f>
        <v>0</v>
      </c>
      <c r="AD88" s="183">
        <f>SUMIFS('декабрь 2025'!$G$2:$G$2730,'декабрь 2025'!$D$2:$D$2730,$B88,'декабрь 2025'!$J$2:$J$2730,AD$1)</f>
        <v>0</v>
      </c>
      <c r="AE88" s="183">
        <f>SUMIFS('декабрь 2025'!$G$2:$G$2730,'декабрь 2025'!$D$2:$D$2730,$B88,'декабрь 2025'!$J$2:$J$2730,AE$1)</f>
        <v>0</v>
      </c>
      <c r="AF88" s="183">
        <f>SUMIFS('декабрь 2025'!$G$2:$G$2730,'декабрь 2025'!$D$2:$D$2730,$B88,'декабрь 2025'!$J$2:$J$2730,AF$1)</f>
        <v>0</v>
      </c>
      <c r="AG88" s="183">
        <f>SUMIFS('декабрь 2025'!$G$2:$G$2730,'декабрь 2025'!$D$2:$D$2730,$B88,'декабрь 2025'!$J$2:$J$2730,AG$1)</f>
        <v>0</v>
      </c>
      <c r="AH88" s="183">
        <f>SUMIFS('декабрь 2025'!$G$2:$G$2730,'декабрь 2025'!$D$2:$D$2730,$B88,'декабрь 2025'!$J$2:$J$2730,AH$1)</f>
        <v>0</v>
      </c>
      <c r="AI88" s="20">
        <f t="shared" si="1"/>
        <v>0</v>
      </c>
    </row>
    <row r="89" spans="2:35" ht="15" customHeight="1" x14ac:dyDescent="0.25">
      <c r="B89" s="88" t="s">
        <v>1255</v>
      </c>
      <c r="C89" s="86">
        <v>1000</v>
      </c>
      <c r="D89" s="183">
        <f>SUMIFS('декабрь 2025'!$G$2:$G$2730,'декабрь 2025'!$D$2:$D$2730,$B89,'декабрь 2025'!$J$2:$J$2730,D$1)</f>
        <v>0</v>
      </c>
      <c r="E89" s="183">
        <f>SUMIFS('декабрь 2025'!$G$2:$G$2730,'декабрь 2025'!$D$2:$D$2730,$B89,'декабрь 2025'!$J$2:$J$2730,E$1)</f>
        <v>0</v>
      </c>
      <c r="F89" s="183">
        <f>SUMIFS('декабрь 2025'!$G$2:$G$2730,'декабрь 2025'!$D$2:$D$2730,$B89,'декабрь 2025'!$J$2:$J$2730,F$1)</f>
        <v>0</v>
      </c>
      <c r="G89" s="183">
        <f>SUMIFS('декабрь 2025'!$G$2:$G$2730,'декабрь 2025'!$D$2:$D$2730,$B89,'декабрь 2025'!$J$2:$J$2730,G$1)</f>
        <v>0</v>
      </c>
      <c r="H89" s="183">
        <f>SUMIFS('декабрь 2025'!$G$2:$G$2730,'декабрь 2025'!$D$2:$D$2730,$B89,'декабрь 2025'!$J$2:$J$2730,H$1)</f>
        <v>0</v>
      </c>
      <c r="I89" s="183">
        <f>SUMIFS('декабрь 2025'!$G$2:$G$2730,'декабрь 2025'!$D$2:$D$2730,$B89,'декабрь 2025'!$J$2:$J$2730,I$1)</f>
        <v>0</v>
      </c>
      <c r="J89" s="183">
        <f>SUMIFS('декабрь 2025'!$G$2:$G$2730,'декабрь 2025'!$D$2:$D$2730,$B89,'декабрь 2025'!$J$2:$J$2730,J$1)</f>
        <v>0</v>
      </c>
      <c r="K89" s="183">
        <f>SUMIFS('декабрь 2025'!$G$2:$G$2730,'декабрь 2025'!$D$2:$D$2730,$B89,'декабрь 2025'!$J$2:$J$2730,K$1)</f>
        <v>0</v>
      </c>
      <c r="L89" s="183">
        <f>SUMIFS('декабрь 2025'!$G$2:$G$2730,'декабрь 2025'!$D$2:$D$2730,$B89,'декабрь 2025'!$J$2:$J$2730,L$1)</f>
        <v>0</v>
      </c>
      <c r="M89" s="183">
        <f>SUMIFS('декабрь 2025'!$G$2:$G$2730,'декабрь 2025'!$D$2:$D$2730,$B89,'декабрь 2025'!$J$2:$J$2730,M$1)</f>
        <v>0</v>
      </c>
      <c r="N89" s="183">
        <f>SUMIFS('декабрь 2025'!$G$2:$G$2730,'декабрь 2025'!$D$2:$D$2730,$B89,'декабрь 2025'!$J$2:$J$2730,N$1)</f>
        <v>0</v>
      </c>
      <c r="O89" s="183">
        <f>SUMIFS('декабрь 2025'!$G$2:$G$2730,'декабрь 2025'!$D$2:$D$2730,$B89,'декабрь 2025'!$J$2:$J$2730,O$1)</f>
        <v>0</v>
      </c>
      <c r="P89" s="183">
        <f>SUMIFS('декабрь 2025'!$G$2:$G$2730,'декабрь 2025'!$D$2:$D$2730,$B89,'декабрь 2025'!$J$2:$J$2730,P$1)</f>
        <v>0</v>
      </c>
      <c r="Q89" s="183">
        <f>SUMIFS('декабрь 2025'!$G$2:$G$2730,'декабрь 2025'!$D$2:$D$2730,$B89,'декабрь 2025'!$J$2:$J$2730,Q$1)</f>
        <v>0</v>
      </c>
      <c r="R89" s="183">
        <f>SUMIFS('декабрь 2025'!$G$2:$G$2730,'декабрь 2025'!$D$2:$D$2730,$B89,'декабрь 2025'!$J$2:$J$2730,R$1)</f>
        <v>0</v>
      </c>
      <c r="S89" s="183">
        <f>SUMIFS('декабрь 2025'!$G$2:$G$2730,'декабрь 2025'!$D$2:$D$2730,$B89,'декабрь 2025'!$J$2:$J$2730,S$1)</f>
        <v>0</v>
      </c>
      <c r="T89" s="183">
        <f>SUMIFS('декабрь 2025'!$G$2:$G$2730,'декабрь 2025'!$D$2:$D$2730,$B89,'декабрь 2025'!$J$2:$J$2730,T$1)</f>
        <v>0</v>
      </c>
      <c r="U89" s="183">
        <f>SUMIFS('декабрь 2025'!$G$2:$G$2730,'декабрь 2025'!$D$2:$D$2730,$B89,'декабрь 2025'!$J$2:$J$2730,U$1)</f>
        <v>0</v>
      </c>
      <c r="V89" s="183">
        <f>SUMIFS('декабрь 2025'!$G$2:$G$2730,'декабрь 2025'!$D$2:$D$2730,$B89,'декабрь 2025'!$J$2:$J$2730,V$1)</f>
        <v>0</v>
      </c>
      <c r="W89" s="183">
        <f>SUMIFS('декабрь 2025'!$G$2:$G$2730,'декабрь 2025'!$D$2:$D$2730,$B89,'декабрь 2025'!$J$2:$J$2730,W$1)</f>
        <v>0</v>
      </c>
      <c r="X89" s="183">
        <f>SUMIFS('декабрь 2025'!$G$2:$G$2730,'декабрь 2025'!$D$2:$D$2730,$B89,'декабрь 2025'!$J$2:$J$2730,X$1)</f>
        <v>0</v>
      </c>
      <c r="Y89" s="183">
        <f>SUMIFS('декабрь 2025'!$G$2:$G$2730,'декабрь 2025'!$D$2:$D$2730,$B89,'декабрь 2025'!$J$2:$J$2730,Y$1)</f>
        <v>0</v>
      </c>
      <c r="Z89" s="183">
        <f>SUMIFS('декабрь 2025'!$G$2:$G$2730,'декабрь 2025'!$D$2:$D$2730,$B89,'декабрь 2025'!$J$2:$J$2730,Z$1)</f>
        <v>0</v>
      </c>
      <c r="AA89" s="183">
        <f>SUMIFS('декабрь 2025'!$G$2:$G$2730,'декабрь 2025'!$D$2:$D$2730,$B89,'декабрь 2025'!$J$2:$J$2730,AA$1)</f>
        <v>0</v>
      </c>
      <c r="AB89" s="183">
        <f>SUMIFS('декабрь 2025'!$G$2:$G$2730,'декабрь 2025'!$D$2:$D$2730,$B89,'декабрь 2025'!$J$2:$J$2730,AB$1)</f>
        <v>0</v>
      </c>
      <c r="AC89" s="183">
        <f>SUMIFS('декабрь 2025'!$G$2:$G$2730,'декабрь 2025'!$D$2:$D$2730,$B89,'декабрь 2025'!$J$2:$J$2730,AC$1)</f>
        <v>0</v>
      </c>
      <c r="AD89" s="183">
        <f>SUMIFS('декабрь 2025'!$G$2:$G$2730,'декабрь 2025'!$D$2:$D$2730,$B89,'декабрь 2025'!$J$2:$J$2730,AD$1)</f>
        <v>0</v>
      </c>
      <c r="AE89" s="183">
        <f>SUMIFS('декабрь 2025'!$G$2:$G$2730,'декабрь 2025'!$D$2:$D$2730,$B89,'декабрь 2025'!$J$2:$J$2730,AE$1)</f>
        <v>0</v>
      </c>
      <c r="AF89" s="183">
        <f>SUMIFS('декабрь 2025'!$G$2:$G$2730,'декабрь 2025'!$D$2:$D$2730,$B89,'декабрь 2025'!$J$2:$J$2730,AF$1)</f>
        <v>0</v>
      </c>
      <c r="AG89" s="183">
        <f>SUMIFS('декабрь 2025'!$G$2:$G$2730,'декабрь 2025'!$D$2:$D$2730,$B89,'декабрь 2025'!$J$2:$J$2730,AG$1)</f>
        <v>0</v>
      </c>
      <c r="AH89" s="183">
        <f>SUMIFS('декабрь 2025'!$G$2:$G$2730,'декабрь 2025'!$D$2:$D$2730,$B89,'декабрь 2025'!$J$2:$J$2730,AH$1)</f>
        <v>0</v>
      </c>
      <c r="AI89" s="20">
        <f t="shared" si="1"/>
        <v>0</v>
      </c>
    </row>
    <row r="90" spans="2:35" ht="15" customHeight="1" x14ac:dyDescent="0.25">
      <c r="B90" s="88" t="s">
        <v>257</v>
      </c>
      <c r="C90" s="86">
        <v>190</v>
      </c>
      <c r="D90" s="183">
        <f>SUMIFS('декабрь 2025'!$G$2:$G$2730,'декабрь 2025'!$D$2:$D$2730,$B90,'декабрь 2025'!$J$2:$J$2730,D$1)</f>
        <v>0</v>
      </c>
      <c r="E90" s="183">
        <f>SUMIFS('декабрь 2025'!$G$2:$G$2730,'декабрь 2025'!$D$2:$D$2730,$B90,'декабрь 2025'!$J$2:$J$2730,E$1)</f>
        <v>0</v>
      </c>
      <c r="F90" s="183">
        <f>SUMIFS('декабрь 2025'!$G$2:$G$2730,'декабрь 2025'!$D$2:$D$2730,$B90,'декабрь 2025'!$J$2:$J$2730,F$1)</f>
        <v>0</v>
      </c>
      <c r="G90" s="183">
        <f>SUMIFS('декабрь 2025'!$G$2:$G$2730,'декабрь 2025'!$D$2:$D$2730,$B90,'декабрь 2025'!$J$2:$J$2730,G$1)</f>
        <v>0</v>
      </c>
      <c r="H90" s="183">
        <f>SUMIFS('декабрь 2025'!$G$2:$G$2730,'декабрь 2025'!$D$2:$D$2730,$B90,'декабрь 2025'!$J$2:$J$2730,H$1)</f>
        <v>0</v>
      </c>
      <c r="I90" s="183">
        <f>SUMIFS('декабрь 2025'!$G$2:$G$2730,'декабрь 2025'!$D$2:$D$2730,$B90,'декабрь 2025'!$J$2:$J$2730,I$1)</f>
        <v>0</v>
      </c>
      <c r="J90" s="183">
        <f>SUMIFS('декабрь 2025'!$G$2:$G$2730,'декабрь 2025'!$D$2:$D$2730,$B90,'декабрь 2025'!$J$2:$J$2730,J$1)</f>
        <v>0</v>
      </c>
      <c r="K90" s="183">
        <f>SUMIFS('декабрь 2025'!$G$2:$G$2730,'декабрь 2025'!$D$2:$D$2730,$B90,'декабрь 2025'!$J$2:$J$2730,K$1)</f>
        <v>0</v>
      </c>
      <c r="L90" s="183">
        <f>SUMIFS('декабрь 2025'!$G$2:$G$2730,'декабрь 2025'!$D$2:$D$2730,$B90,'декабрь 2025'!$J$2:$J$2730,L$1)</f>
        <v>0</v>
      </c>
      <c r="M90" s="183">
        <f>SUMIFS('декабрь 2025'!$G$2:$G$2730,'декабрь 2025'!$D$2:$D$2730,$B90,'декабрь 2025'!$J$2:$J$2730,M$1)</f>
        <v>0</v>
      </c>
      <c r="N90" s="183">
        <f>SUMIFS('декабрь 2025'!$G$2:$G$2730,'декабрь 2025'!$D$2:$D$2730,$B90,'декабрь 2025'!$J$2:$J$2730,N$1)</f>
        <v>0</v>
      </c>
      <c r="O90" s="183">
        <f>SUMIFS('декабрь 2025'!$G$2:$G$2730,'декабрь 2025'!$D$2:$D$2730,$B90,'декабрь 2025'!$J$2:$J$2730,O$1)</f>
        <v>0</v>
      </c>
      <c r="P90" s="183">
        <f>SUMIFS('декабрь 2025'!$G$2:$G$2730,'декабрь 2025'!$D$2:$D$2730,$B90,'декабрь 2025'!$J$2:$J$2730,P$1)</f>
        <v>0</v>
      </c>
      <c r="Q90" s="183">
        <f>SUMIFS('декабрь 2025'!$G$2:$G$2730,'декабрь 2025'!$D$2:$D$2730,$B90,'декабрь 2025'!$J$2:$J$2730,Q$1)</f>
        <v>0</v>
      </c>
      <c r="R90" s="183">
        <f>SUMIFS('декабрь 2025'!$G$2:$G$2730,'декабрь 2025'!$D$2:$D$2730,$B90,'декабрь 2025'!$J$2:$J$2730,R$1)</f>
        <v>0</v>
      </c>
      <c r="S90" s="183">
        <f>SUMIFS('декабрь 2025'!$G$2:$G$2730,'декабрь 2025'!$D$2:$D$2730,$B90,'декабрь 2025'!$J$2:$J$2730,S$1)</f>
        <v>0</v>
      </c>
      <c r="T90" s="183">
        <f>SUMIFS('декабрь 2025'!$G$2:$G$2730,'декабрь 2025'!$D$2:$D$2730,$B90,'декабрь 2025'!$J$2:$J$2730,T$1)</f>
        <v>0</v>
      </c>
      <c r="U90" s="183">
        <f>SUMIFS('декабрь 2025'!$G$2:$G$2730,'декабрь 2025'!$D$2:$D$2730,$B90,'декабрь 2025'!$J$2:$J$2730,U$1)</f>
        <v>0</v>
      </c>
      <c r="V90" s="183">
        <f>SUMIFS('декабрь 2025'!$G$2:$G$2730,'декабрь 2025'!$D$2:$D$2730,$B90,'декабрь 2025'!$J$2:$J$2730,V$1)</f>
        <v>0</v>
      </c>
      <c r="W90" s="183">
        <f>SUMIFS('декабрь 2025'!$G$2:$G$2730,'декабрь 2025'!$D$2:$D$2730,$B90,'декабрь 2025'!$J$2:$J$2730,W$1)</f>
        <v>0</v>
      </c>
      <c r="X90" s="183">
        <f>SUMIFS('декабрь 2025'!$G$2:$G$2730,'декабрь 2025'!$D$2:$D$2730,$B90,'декабрь 2025'!$J$2:$J$2730,X$1)</f>
        <v>0</v>
      </c>
      <c r="Y90" s="183">
        <f>SUMIFS('декабрь 2025'!$G$2:$G$2730,'декабрь 2025'!$D$2:$D$2730,$B90,'декабрь 2025'!$J$2:$J$2730,Y$1)</f>
        <v>0</v>
      </c>
      <c r="Z90" s="183">
        <f>SUMIFS('декабрь 2025'!$G$2:$G$2730,'декабрь 2025'!$D$2:$D$2730,$B90,'декабрь 2025'!$J$2:$J$2730,Z$1)</f>
        <v>0</v>
      </c>
      <c r="AA90" s="183">
        <f>SUMIFS('декабрь 2025'!$G$2:$G$2730,'декабрь 2025'!$D$2:$D$2730,$B90,'декабрь 2025'!$J$2:$J$2730,AA$1)</f>
        <v>0</v>
      </c>
      <c r="AB90" s="183">
        <f>SUMIFS('декабрь 2025'!$G$2:$G$2730,'декабрь 2025'!$D$2:$D$2730,$B90,'декабрь 2025'!$J$2:$J$2730,AB$1)</f>
        <v>0</v>
      </c>
      <c r="AC90" s="183">
        <f>SUMIFS('декабрь 2025'!$G$2:$G$2730,'декабрь 2025'!$D$2:$D$2730,$B90,'декабрь 2025'!$J$2:$J$2730,AC$1)</f>
        <v>0</v>
      </c>
      <c r="AD90" s="183">
        <f>SUMIFS('декабрь 2025'!$G$2:$G$2730,'декабрь 2025'!$D$2:$D$2730,$B90,'декабрь 2025'!$J$2:$J$2730,AD$1)</f>
        <v>0</v>
      </c>
      <c r="AE90" s="183">
        <f>SUMIFS('декабрь 2025'!$G$2:$G$2730,'декабрь 2025'!$D$2:$D$2730,$B90,'декабрь 2025'!$J$2:$J$2730,AE$1)</f>
        <v>0</v>
      </c>
      <c r="AF90" s="183">
        <f>SUMIFS('декабрь 2025'!$G$2:$G$2730,'декабрь 2025'!$D$2:$D$2730,$B90,'декабрь 2025'!$J$2:$J$2730,AF$1)</f>
        <v>0</v>
      </c>
      <c r="AG90" s="183">
        <f>SUMIFS('декабрь 2025'!$G$2:$G$2730,'декабрь 2025'!$D$2:$D$2730,$B90,'декабрь 2025'!$J$2:$J$2730,AG$1)</f>
        <v>0</v>
      </c>
      <c r="AH90" s="183">
        <f>SUMIFS('декабрь 2025'!$G$2:$G$2730,'декабрь 2025'!$D$2:$D$2730,$B90,'декабрь 2025'!$J$2:$J$2730,AH$1)</f>
        <v>0</v>
      </c>
      <c r="AI90" s="20">
        <f t="shared" si="1"/>
        <v>0</v>
      </c>
    </row>
    <row r="91" spans="2:35" ht="15" customHeight="1" x14ac:dyDescent="0.25">
      <c r="B91" s="84" t="s">
        <v>1396</v>
      </c>
      <c r="C91" s="86">
        <v>180</v>
      </c>
      <c r="D91" s="183">
        <f>SUMIFS('декабрь 2025'!$G$2:$G$2730,'декабрь 2025'!$D$2:$D$2730,$B91,'декабрь 2025'!$J$2:$J$2730,D$1)</f>
        <v>0</v>
      </c>
      <c r="E91" s="183">
        <f>SUMIFS('декабрь 2025'!$G$2:$G$2730,'декабрь 2025'!$D$2:$D$2730,$B91,'декабрь 2025'!$J$2:$J$2730,E$1)</f>
        <v>0</v>
      </c>
      <c r="F91" s="183">
        <f>SUMIFS('декабрь 2025'!$G$2:$G$2730,'декабрь 2025'!$D$2:$D$2730,$B91,'декабрь 2025'!$J$2:$J$2730,F$1)</f>
        <v>0</v>
      </c>
      <c r="G91" s="183">
        <f>SUMIFS('декабрь 2025'!$G$2:$G$2730,'декабрь 2025'!$D$2:$D$2730,$B91,'декабрь 2025'!$J$2:$J$2730,G$1)</f>
        <v>0</v>
      </c>
      <c r="H91" s="183">
        <f>SUMIFS('декабрь 2025'!$G$2:$G$2730,'декабрь 2025'!$D$2:$D$2730,$B91,'декабрь 2025'!$J$2:$J$2730,H$1)</f>
        <v>0</v>
      </c>
      <c r="I91" s="183">
        <f>SUMIFS('декабрь 2025'!$G$2:$G$2730,'декабрь 2025'!$D$2:$D$2730,$B91,'декабрь 2025'!$J$2:$J$2730,I$1)</f>
        <v>0</v>
      </c>
      <c r="J91" s="183">
        <f>SUMIFS('декабрь 2025'!$G$2:$G$2730,'декабрь 2025'!$D$2:$D$2730,$B91,'декабрь 2025'!$J$2:$J$2730,J$1)</f>
        <v>0</v>
      </c>
      <c r="K91" s="183">
        <f>SUMIFS('декабрь 2025'!$G$2:$G$2730,'декабрь 2025'!$D$2:$D$2730,$B91,'декабрь 2025'!$J$2:$J$2730,K$1)</f>
        <v>0</v>
      </c>
      <c r="L91" s="183">
        <f>SUMIFS('декабрь 2025'!$G$2:$G$2730,'декабрь 2025'!$D$2:$D$2730,$B91,'декабрь 2025'!$J$2:$J$2730,L$1)</f>
        <v>0</v>
      </c>
      <c r="M91" s="183">
        <f>SUMIFS('декабрь 2025'!$G$2:$G$2730,'декабрь 2025'!$D$2:$D$2730,$B91,'декабрь 2025'!$J$2:$J$2730,M$1)</f>
        <v>0</v>
      </c>
      <c r="N91" s="183">
        <f>SUMIFS('декабрь 2025'!$G$2:$G$2730,'декабрь 2025'!$D$2:$D$2730,$B91,'декабрь 2025'!$J$2:$J$2730,N$1)</f>
        <v>0</v>
      </c>
      <c r="O91" s="183">
        <f>SUMIFS('декабрь 2025'!$G$2:$G$2730,'декабрь 2025'!$D$2:$D$2730,$B91,'декабрь 2025'!$J$2:$J$2730,O$1)</f>
        <v>0</v>
      </c>
      <c r="P91" s="183">
        <f>SUMIFS('декабрь 2025'!$G$2:$G$2730,'декабрь 2025'!$D$2:$D$2730,$B91,'декабрь 2025'!$J$2:$J$2730,P$1)</f>
        <v>0</v>
      </c>
      <c r="Q91" s="183">
        <f>SUMIFS('декабрь 2025'!$G$2:$G$2730,'декабрь 2025'!$D$2:$D$2730,$B91,'декабрь 2025'!$J$2:$J$2730,Q$1)</f>
        <v>0</v>
      </c>
      <c r="R91" s="183">
        <f>SUMIFS('декабрь 2025'!$G$2:$G$2730,'декабрь 2025'!$D$2:$D$2730,$B91,'декабрь 2025'!$J$2:$J$2730,R$1)</f>
        <v>0</v>
      </c>
      <c r="S91" s="183">
        <f>SUMIFS('декабрь 2025'!$G$2:$G$2730,'декабрь 2025'!$D$2:$D$2730,$B91,'декабрь 2025'!$J$2:$J$2730,S$1)</f>
        <v>0</v>
      </c>
      <c r="T91" s="183">
        <f>SUMIFS('декабрь 2025'!$G$2:$G$2730,'декабрь 2025'!$D$2:$D$2730,$B91,'декабрь 2025'!$J$2:$J$2730,T$1)</f>
        <v>0</v>
      </c>
      <c r="U91" s="183">
        <f>SUMIFS('декабрь 2025'!$G$2:$G$2730,'декабрь 2025'!$D$2:$D$2730,$B91,'декабрь 2025'!$J$2:$J$2730,U$1)</f>
        <v>0</v>
      </c>
      <c r="V91" s="183">
        <f>SUMIFS('декабрь 2025'!$G$2:$G$2730,'декабрь 2025'!$D$2:$D$2730,$B91,'декабрь 2025'!$J$2:$J$2730,V$1)</f>
        <v>0</v>
      </c>
      <c r="W91" s="183">
        <f>SUMIFS('декабрь 2025'!$G$2:$G$2730,'декабрь 2025'!$D$2:$D$2730,$B91,'декабрь 2025'!$J$2:$J$2730,W$1)</f>
        <v>0</v>
      </c>
      <c r="X91" s="183">
        <f>SUMIFS('декабрь 2025'!$G$2:$G$2730,'декабрь 2025'!$D$2:$D$2730,$B91,'декабрь 2025'!$J$2:$J$2730,X$1)</f>
        <v>0</v>
      </c>
      <c r="Y91" s="183">
        <f>SUMIFS('декабрь 2025'!$G$2:$G$2730,'декабрь 2025'!$D$2:$D$2730,$B91,'декабрь 2025'!$J$2:$J$2730,Y$1)</f>
        <v>0</v>
      </c>
      <c r="Z91" s="183">
        <f>SUMIFS('декабрь 2025'!$G$2:$G$2730,'декабрь 2025'!$D$2:$D$2730,$B91,'декабрь 2025'!$J$2:$J$2730,Z$1)</f>
        <v>0</v>
      </c>
      <c r="AA91" s="183">
        <f>SUMIFS('декабрь 2025'!$G$2:$G$2730,'декабрь 2025'!$D$2:$D$2730,$B91,'декабрь 2025'!$J$2:$J$2730,AA$1)</f>
        <v>0</v>
      </c>
      <c r="AB91" s="183">
        <f>SUMIFS('декабрь 2025'!$G$2:$G$2730,'декабрь 2025'!$D$2:$D$2730,$B91,'декабрь 2025'!$J$2:$J$2730,AB$1)</f>
        <v>0</v>
      </c>
      <c r="AC91" s="183">
        <f>SUMIFS('декабрь 2025'!$G$2:$G$2730,'декабрь 2025'!$D$2:$D$2730,$B91,'декабрь 2025'!$J$2:$J$2730,AC$1)</f>
        <v>0</v>
      </c>
      <c r="AD91" s="183">
        <f>SUMIFS('декабрь 2025'!$G$2:$G$2730,'декабрь 2025'!$D$2:$D$2730,$B91,'декабрь 2025'!$J$2:$J$2730,AD$1)</f>
        <v>0</v>
      </c>
      <c r="AE91" s="183">
        <f>SUMIFS('декабрь 2025'!$G$2:$G$2730,'декабрь 2025'!$D$2:$D$2730,$B91,'декабрь 2025'!$J$2:$J$2730,AE$1)</f>
        <v>0</v>
      </c>
      <c r="AF91" s="183">
        <f>SUMIFS('декабрь 2025'!$G$2:$G$2730,'декабрь 2025'!$D$2:$D$2730,$B91,'декабрь 2025'!$J$2:$J$2730,AF$1)</f>
        <v>0</v>
      </c>
      <c r="AG91" s="183">
        <f>SUMIFS('декабрь 2025'!$G$2:$G$2730,'декабрь 2025'!$D$2:$D$2730,$B91,'декабрь 2025'!$J$2:$J$2730,AG$1)</f>
        <v>0</v>
      </c>
      <c r="AH91" s="183">
        <f>SUMIFS('декабрь 2025'!$G$2:$G$2730,'декабрь 2025'!$D$2:$D$2730,$B91,'декабрь 2025'!$J$2:$J$2730,AH$1)</f>
        <v>0</v>
      </c>
      <c r="AI91" s="20">
        <f t="shared" si="1"/>
        <v>0</v>
      </c>
    </row>
    <row r="92" spans="2:35" ht="15" customHeight="1" x14ac:dyDescent="0.25">
      <c r="B92" s="84" t="s">
        <v>189</v>
      </c>
      <c r="C92" s="83">
        <v>180</v>
      </c>
      <c r="D92" s="183">
        <f>SUMIFS('декабрь 2025'!$G$2:$G$2730,'декабрь 2025'!$D$2:$D$2730,$B92,'декабрь 2025'!$J$2:$J$2730,D$1)</f>
        <v>0</v>
      </c>
      <c r="E92" s="183">
        <f>SUMIFS('декабрь 2025'!$G$2:$G$2730,'декабрь 2025'!$D$2:$D$2730,$B92,'декабрь 2025'!$J$2:$J$2730,E$1)</f>
        <v>0</v>
      </c>
      <c r="F92" s="183">
        <f>SUMIFS('декабрь 2025'!$G$2:$G$2730,'декабрь 2025'!$D$2:$D$2730,$B92,'декабрь 2025'!$J$2:$J$2730,F$1)</f>
        <v>0</v>
      </c>
      <c r="G92" s="183">
        <f>SUMIFS('декабрь 2025'!$G$2:$G$2730,'декабрь 2025'!$D$2:$D$2730,$B92,'декабрь 2025'!$J$2:$J$2730,G$1)</f>
        <v>0</v>
      </c>
      <c r="H92" s="183">
        <f>SUMIFS('декабрь 2025'!$G$2:$G$2730,'декабрь 2025'!$D$2:$D$2730,$B92,'декабрь 2025'!$J$2:$J$2730,H$1)</f>
        <v>0</v>
      </c>
      <c r="I92" s="183">
        <f>SUMIFS('декабрь 2025'!$G$2:$G$2730,'декабрь 2025'!$D$2:$D$2730,$B92,'декабрь 2025'!$J$2:$J$2730,I$1)</f>
        <v>0</v>
      </c>
      <c r="J92" s="183">
        <f>SUMIFS('декабрь 2025'!$G$2:$G$2730,'декабрь 2025'!$D$2:$D$2730,$B92,'декабрь 2025'!$J$2:$J$2730,J$1)</f>
        <v>0</v>
      </c>
      <c r="K92" s="183">
        <f>SUMIFS('декабрь 2025'!$G$2:$G$2730,'декабрь 2025'!$D$2:$D$2730,$B92,'декабрь 2025'!$J$2:$J$2730,K$1)</f>
        <v>0</v>
      </c>
      <c r="L92" s="183">
        <f>SUMIFS('декабрь 2025'!$G$2:$G$2730,'декабрь 2025'!$D$2:$D$2730,$B92,'декабрь 2025'!$J$2:$J$2730,L$1)</f>
        <v>0</v>
      </c>
      <c r="M92" s="183">
        <f>SUMIFS('декабрь 2025'!$G$2:$G$2730,'декабрь 2025'!$D$2:$D$2730,$B92,'декабрь 2025'!$J$2:$J$2730,M$1)</f>
        <v>0</v>
      </c>
      <c r="N92" s="183">
        <f>SUMIFS('декабрь 2025'!$G$2:$G$2730,'декабрь 2025'!$D$2:$D$2730,$B92,'декабрь 2025'!$J$2:$J$2730,N$1)</f>
        <v>0</v>
      </c>
      <c r="O92" s="183">
        <f>SUMIFS('декабрь 2025'!$G$2:$G$2730,'декабрь 2025'!$D$2:$D$2730,$B92,'декабрь 2025'!$J$2:$J$2730,O$1)</f>
        <v>0</v>
      </c>
      <c r="P92" s="183">
        <f>SUMIFS('декабрь 2025'!$G$2:$G$2730,'декабрь 2025'!$D$2:$D$2730,$B92,'декабрь 2025'!$J$2:$J$2730,P$1)</f>
        <v>0</v>
      </c>
      <c r="Q92" s="183">
        <f>SUMIFS('декабрь 2025'!$G$2:$G$2730,'декабрь 2025'!$D$2:$D$2730,$B92,'декабрь 2025'!$J$2:$J$2730,Q$1)</f>
        <v>0</v>
      </c>
      <c r="R92" s="183">
        <f>SUMIFS('декабрь 2025'!$G$2:$G$2730,'декабрь 2025'!$D$2:$D$2730,$B92,'декабрь 2025'!$J$2:$J$2730,R$1)</f>
        <v>0</v>
      </c>
      <c r="S92" s="183">
        <f>SUMIFS('декабрь 2025'!$G$2:$G$2730,'декабрь 2025'!$D$2:$D$2730,$B92,'декабрь 2025'!$J$2:$J$2730,S$1)</f>
        <v>0</v>
      </c>
      <c r="T92" s="183">
        <f>SUMIFS('декабрь 2025'!$G$2:$G$2730,'декабрь 2025'!$D$2:$D$2730,$B92,'декабрь 2025'!$J$2:$J$2730,T$1)</f>
        <v>0</v>
      </c>
      <c r="U92" s="183">
        <f>SUMIFS('декабрь 2025'!$G$2:$G$2730,'декабрь 2025'!$D$2:$D$2730,$B92,'декабрь 2025'!$J$2:$J$2730,U$1)</f>
        <v>0</v>
      </c>
      <c r="V92" s="183">
        <f>SUMIFS('декабрь 2025'!$G$2:$G$2730,'декабрь 2025'!$D$2:$D$2730,$B92,'декабрь 2025'!$J$2:$J$2730,V$1)</f>
        <v>0</v>
      </c>
      <c r="W92" s="183">
        <f>SUMIFS('декабрь 2025'!$G$2:$G$2730,'декабрь 2025'!$D$2:$D$2730,$B92,'декабрь 2025'!$J$2:$J$2730,W$1)</f>
        <v>0</v>
      </c>
      <c r="X92" s="183">
        <f>SUMIFS('декабрь 2025'!$G$2:$G$2730,'декабрь 2025'!$D$2:$D$2730,$B92,'декабрь 2025'!$J$2:$J$2730,X$1)</f>
        <v>0</v>
      </c>
      <c r="Y92" s="183">
        <f>SUMIFS('декабрь 2025'!$G$2:$G$2730,'декабрь 2025'!$D$2:$D$2730,$B92,'декабрь 2025'!$J$2:$J$2730,Y$1)</f>
        <v>0</v>
      </c>
      <c r="Z92" s="183">
        <f>SUMIFS('декабрь 2025'!$G$2:$G$2730,'декабрь 2025'!$D$2:$D$2730,$B92,'декабрь 2025'!$J$2:$J$2730,Z$1)</f>
        <v>0</v>
      </c>
      <c r="AA92" s="183">
        <f>SUMIFS('декабрь 2025'!$G$2:$G$2730,'декабрь 2025'!$D$2:$D$2730,$B92,'декабрь 2025'!$J$2:$J$2730,AA$1)</f>
        <v>0</v>
      </c>
      <c r="AB92" s="183">
        <f>SUMIFS('декабрь 2025'!$G$2:$G$2730,'декабрь 2025'!$D$2:$D$2730,$B92,'декабрь 2025'!$J$2:$J$2730,AB$1)</f>
        <v>0</v>
      </c>
      <c r="AC92" s="183">
        <f>SUMIFS('декабрь 2025'!$G$2:$G$2730,'декабрь 2025'!$D$2:$D$2730,$B92,'декабрь 2025'!$J$2:$J$2730,AC$1)</f>
        <v>0</v>
      </c>
      <c r="AD92" s="183">
        <f>SUMIFS('декабрь 2025'!$G$2:$G$2730,'декабрь 2025'!$D$2:$D$2730,$B92,'декабрь 2025'!$J$2:$J$2730,AD$1)</f>
        <v>0</v>
      </c>
      <c r="AE92" s="183">
        <f>SUMIFS('декабрь 2025'!$G$2:$G$2730,'декабрь 2025'!$D$2:$D$2730,$B92,'декабрь 2025'!$J$2:$J$2730,AE$1)</f>
        <v>0</v>
      </c>
      <c r="AF92" s="183">
        <f>SUMIFS('декабрь 2025'!$G$2:$G$2730,'декабрь 2025'!$D$2:$D$2730,$B92,'декабрь 2025'!$J$2:$J$2730,AF$1)</f>
        <v>0</v>
      </c>
      <c r="AG92" s="183">
        <f>SUMIFS('декабрь 2025'!$G$2:$G$2730,'декабрь 2025'!$D$2:$D$2730,$B92,'декабрь 2025'!$J$2:$J$2730,AG$1)</f>
        <v>0</v>
      </c>
      <c r="AH92" s="183">
        <f>SUMIFS('декабрь 2025'!$G$2:$G$2730,'декабрь 2025'!$D$2:$D$2730,$B92,'декабрь 2025'!$J$2:$J$2730,AH$1)</f>
        <v>0</v>
      </c>
      <c r="AI92" s="20">
        <f t="shared" si="1"/>
        <v>0</v>
      </c>
    </row>
    <row r="93" spans="2:35" ht="15" customHeight="1" x14ac:dyDescent="0.25">
      <c r="B93" s="88" t="s">
        <v>190</v>
      </c>
      <c r="C93" s="86">
        <v>190</v>
      </c>
      <c r="D93" s="183">
        <f>SUMIFS('декабрь 2025'!$G$2:$G$2730,'декабрь 2025'!$D$2:$D$2730,$B93,'декабрь 2025'!$J$2:$J$2730,D$1)</f>
        <v>0</v>
      </c>
      <c r="E93" s="183">
        <f>SUMIFS('декабрь 2025'!$G$2:$G$2730,'декабрь 2025'!$D$2:$D$2730,$B93,'декабрь 2025'!$J$2:$J$2730,E$1)</f>
        <v>0</v>
      </c>
      <c r="F93" s="183">
        <f>SUMIFS('декабрь 2025'!$G$2:$G$2730,'декабрь 2025'!$D$2:$D$2730,$B93,'декабрь 2025'!$J$2:$J$2730,F$1)</f>
        <v>0</v>
      </c>
      <c r="G93" s="183">
        <f>SUMIFS('декабрь 2025'!$G$2:$G$2730,'декабрь 2025'!$D$2:$D$2730,$B93,'декабрь 2025'!$J$2:$J$2730,G$1)</f>
        <v>0</v>
      </c>
      <c r="H93" s="183">
        <f>SUMIFS('декабрь 2025'!$G$2:$G$2730,'декабрь 2025'!$D$2:$D$2730,$B93,'декабрь 2025'!$J$2:$J$2730,H$1)</f>
        <v>0</v>
      </c>
      <c r="I93" s="183">
        <f>SUMIFS('декабрь 2025'!$G$2:$G$2730,'декабрь 2025'!$D$2:$D$2730,$B93,'декабрь 2025'!$J$2:$J$2730,I$1)</f>
        <v>0</v>
      </c>
      <c r="J93" s="183">
        <f>SUMIFS('декабрь 2025'!$G$2:$G$2730,'декабрь 2025'!$D$2:$D$2730,$B93,'декабрь 2025'!$J$2:$J$2730,J$1)</f>
        <v>0</v>
      </c>
      <c r="K93" s="183">
        <f>SUMIFS('декабрь 2025'!$G$2:$G$2730,'декабрь 2025'!$D$2:$D$2730,$B93,'декабрь 2025'!$J$2:$J$2730,K$1)</f>
        <v>0</v>
      </c>
      <c r="L93" s="183">
        <f>SUMIFS('декабрь 2025'!$G$2:$G$2730,'декабрь 2025'!$D$2:$D$2730,$B93,'декабрь 2025'!$J$2:$J$2730,L$1)</f>
        <v>0</v>
      </c>
      <c r="M93" s="183">
        <f>SUMIFS('декабрь 2025'!$G$2:$G$2730,'декабрь 2025'!$D$2:$D$2730,$B93,'декабрь 2025'!$J$2:$J$2730,M$1)</f>
        <v>0</v>
      </c>
      <c r="N93" s="183">
        <f>SUMIFS('декабрь 2025'!$G$2:$G$2730,'декабрь 2025'!$D$2:$D$2730,$B93,'декабрь 2025'!$J$2:$J$2730,N$1)</f>
        <v>0</v>
      </c>
      <c r="O93" s="183">
        <f>SUMIFS('декабрь 2025'!$G$2:$G$2730,'декабрь 2025'!$D$2:$D$2730,$B93,'декабрь 2025'!$J$2:$J$2730,O$1)</f>
        <v>0</v>
      </c>
      <c r="P93" s="183">
        <f>SUMIFS('декабрь 2025'!$G$2:$G$2730,'декабрь 2025'!$D$2:$D$2730,$B93,'декабрь 2025'!$J$2:$J$2730,P$1)</f>
        <v>0</v>
      </c>
      <c r="Q93" s="183">
        <f>SUMIFS('декабрь 2025'!$G$2:$G$2730,'декабрь 2025'!$D$2:$D$2730,$B93,'декабрь 2025'!$J$2:$J$2730,Q$1)</f>
        <v>0</v>
      </c>
      <c r="R93" s="183">
        <f>SUMIFS('декабрь 2025'!$G$2:$G$2730,'декабрь 2025'!$D$2:$D$2730,$B93,'декабрь 2025'!$J$2:$J$2730,R$1)</f>
        <v>0</v>
      </c>
      <c r="S93" s="183">
        <f>SUMIFS('декабрь 2025'!$G$2:$G$2730,'декабрь 2025'!$D$2:$D$2730,$B93,'декабрь 2025'!$J$2:$J$2730,S$1)</f>
        <v>0</v>
      </c>
      <c r="T93" s="183">
        <f>SUMIFS('декабрь 2025'!$G$2:$G$2730,'декабрь 2025'!$D$2:$D$2730,$B93,'декабрь 2025'!$J$2:$J$2730,T$1)</f>
        <v>0</v>
      </c>
      <c r="U93" s="183">
        <f>SUMIFS('декабрь 2025'!$G$2:$G$2730,'декабрь 2025'!$D$2:$D$2730,$B93,'декабрь 2025'!$J$2:$J$2730,U$1)</f>
        <v>0</v>
      </c>
      <c r="V93" s="183">
        <f>SUMIFS('декабрь 2025'!$G$2:$G$2730,'декабрь 2025'!$D$2:$D$2730,$B93,'декабрь 2025'!$J$2:$J$2730,V$1)</f>
        <v>0</v>
      </c>
      <c r="W93" s="183">
        <f>SUMIFS('декабрь 2025'!$G$2:$G$2730,'декабрь 2025'!$D$2:$D$2730,$B93,'декабрь 2025'!$J$2:$J$2730,W$1)</f>
        <v>0</v>
      </c>
      <c r="X93" s="183">
        <f>SUMIFS('декабрь 2025'!$G$2:$G$2730,'декабрь 2025'!$D$2:$D$2730,$B93,'декабрь 2025'!$J$2:$J$2730,X$1)</f>
        <v>0</v>
      </c>
      <c r="Y93" s="183">
        <f>SUMIFS('декабрь 2025'!$G$2:$G$2730,'декабрь 2025'!$D$2:$D$2730,$B93,'декабрь 2025'!$J$2:$J$2730,Y$1)</f>
        <v>0</v>
      </c>
      <c r="Z93" s="183">
        <f>SUMIFS('декабрь 2025'!$G$2:$G$2730,'декабрь 2025'!$D$2:$D$2730,$B93,'декабрь 2025'!$J$2:$J$2730,Z$1)</f>
        <v>0</v>
      </c>
      <c r="AA93" s="183">
        <f>SUMIFS('декабрь 2025'!$G$2:$G$2730,'декабрь 2025'!$D$2:$D$2730,$B93,'декабрь 2025'!$J$2:$J$2730,AA$1)</f>
        <v>0</v>
      </c>
      <c r="AB93" s="183">
        <f>SUMIFS('декабрь 2025'!$G$2:$G$2730,'декабрь 2025'!$D$2:$D$2730,$B93,'декабрь 2025'!$J$2:$J$2730,AB$1)</f>
        <v>0</v>
      </c>
      <c r="AC93" s="183">
        <f>SUMIFS('декабрь 2025'!$G$2:$G$2730,'декабрь 2025'!$D$2:$D$2730,$B93,'декабрь 2025'!$J$2:$J$2730,AC$1)</f>
        <v>0</v>
      </c>
      <c r="AD93" s="183">
        <f>SUMIFS('декабрь 2025'!$G$2:$G$2730,'декабрь 2025'!$D$2:$D$2730,$B93,'декабрь 2025'!$J$2:$J$2730,AD$1)</f>
        <v>0</v>
      </c>
      <c r="AE93" s="183">
        <f>SUMIFS('декабрь 2025'!$G$2:$G$2730,'декабрь 2025'!$D$2:$D$2730,$B93,'декабрь 2025'!$J$2:$J$2730,AE$1)</f>
        <v>0</v>
      </c>
      <c r="AF93" s="183">
        <f>SUMIFS('декабрь 2025'!$G$2:$G$2730,'декабрь 2025'!$D$2:$D$2730,$B93,'декабрь 2025'!$J$2:$J$2730,AF$1)</f>
        <v>0</v>
      </c>
      <c r="AG93" s="183">
        <f>SUMIFS('декабрь 2025'!$G$2:$G$2730,'декабрь 2025'!$D$2:$D$2730,$B93,'декабрь 2025'!$J$2:$J$2730,AG$1)</f>
        <v>0</v>
      </c>
      <c r="AH93" s="183">
        <f>SUMIFS('декабрь 2025'!$G$2:$G$2730,'декабрь 2025'!$D$2:$D$2730,$B93,'декабрь 2025'!$J$2:$J$2730,AH$1)</f>
        <v>0</v>
      </c>
      <c r="AI93" s="20">
        <f t="shared" si="1"/>
        <v>0</v>
      </c>
    </row>
    <row r="94" spans="2:35" ht="15" customHeight="1" x14ac:dyDescent="0.25">
      <c r="B94" s="88" t="s">
        <v>191</v>
      </c>
      <c r="C94" s="86">
        <v>190</v>
      </c>
      <c r="D94" s="183">
        <f>SUMIFS('декабрь 2025'!$G$2:$G$2730,'декабрь 2025'!$D$2:$D$2730,$B94,'декабрь 2025'!$J$2:$J$2730,D$1)</f>
        <v>0</v>
      </c>
      <c r="E94" s="183">
        <f>SUMIFS('декабрь 2025'!$G$2:$G$2730,'декабрь 2025'!$D$2:$D$2730,$B94,'декабрь 2025'!$J$2:$J$2730,E$1)</f>
        <v>0</v>
      </c>
      <c r="F94" s="183">
        <f>SUMIFS('декабрь 2025'!$G$2:$G$2730,'декабрь 2025'!$D$2:$D$2730,$B94,'декабрь 2025'!$J$2:$J$2730,F$1)</f>
        <v>0</v>
      </c>
      <c r="G94" s="183">
        <f>SUMIFS('декабрь 2025'!$G$2:$G$2730,'декабрь 2025'!$D$2:$D$2730,$B94,'декабрь 2025'!$J$2:$J$2730,G$1)</f>
        <v>0</v>
      </c>
      <c r="H94" s="183">
        <f>SUMIFS('декабрь 2025'!$G$2:$G$2730,'декабрь 2025'!$D$2:$D$2730,$B94,'декабрь 2025'!$J$2:$J$2730,H$1)</f>
        <v>0</v>
      </c>
      <c r="I94" s="183">
        <f>SUMIFS('декабрь 2025'!$G$2:$G$2730,'декабрь 2025'!$D$2:$D$2730,$B94,'декабрь 2025'!$J$2:$J$2730,I$1)</f>
        <v>0</v>
      </c>
      <c r="J94" s="183">
        <f>SUMIFS('декабрь 2025'!$G$2:$G$2730,'декабрь 2025'!$D$2:$D$2730,$B94,'декабрь 2025'!$J$2:$J$2730,J$1)</f>
        <v>0</v>
      </c>
      <c r="K94" s="183">
        <f>SUMIFS('декабрь 2025'!$G$2:$G$2730,'декабрь 2025'!$D$2:$D$2730,$B94,'декабрь 2025'!$J$2:$J$2730,K$1)</f>
        <v>0</v>
      </c>
      <c r="L94" s="183">
        <f>SUMIFS('декабрь 2025'!$G$2:$G$2730,'декабрь 2025'!$D$2:$D$2730,$B94,'декабрь 2025'!$J$2:$J$2730,L$1)</f>
        <v>0</v>
      </c>
      <c r="M94" s="183">
        <f>SUMIFS('декабрь 2025'!$G$2:$G$2730,'декабрь 2025'!$D$2:$D$2730,$B94,'декабрь 2025'!$J$2:$J$2730,M$1)</f>
        <v>0</v>
      </c>
      <c r="N94" s="183">
        <f>SUMIFS('декабрь 2025'!$G$2:$G$2730,'декабрь 2025'!$D$2:$D$2730,$B94,'декабрь 2025'!$J$2:$J$2730,N$1)</f>
        <v>0</v>
      </c>
      <c r="O94" s="183">
        <f>SUMIFS('декабрь 2025'!$G$2:$G$2730,'декабрь 2025'!$D$2:$D$2730,$B94,'декабрь 2025'!$J$2:$J$2730,O$1)</f>
        <v>0</v>
      </c>
      <c r="P94" s="183">
        <f>SUMIFS('декабрь 2025'!$G$2:$G$2730,'декабрь 2025'!$D$2:$D$2730,$B94,'декабрь 2025'!$J$2:$J$2730,P$1)</f>
        <v>0</v>
      </c>
      <c r="Q94" s="183">
        <f>SUMIFS('декабрь 2025'!$G$2:$G$2730,'декабрь 2025'!$D$2:$D$2730,$B94,'декабрь 2025'!$J$2:$J$2730,Q$1)</f>
        <v>0</v>
      </c>
      <c r="R94" s="183">
        <f>SUMIFS('декабрь 2025'!$G$2:$G$2730,'декабрь 2025'!$D$2:$D$2730,$B94,'декабрь 2025'!$J$2:$J$2730,R$1)</f>
        <v>0</v>
      </c>
      <c r="S94" s="183">
        <f>SUMIFS('декабрь 2025'!$G$2:$G$2730,'декабрь 2025'!$D$2:$D$2730,$B94,'декабрь 2025'!$J$2:$J$2730,S$1)</f>
        <v>0</v>
      </c>
      <c r="T94" s="183">
        <f>SUMIFS('декабрь 2025'!$G$2:$G$2730,'декабрь 2025'!$D$2:$D$2730,$B94,'декабрь 2025'!$J$2:$J$2730,T$1)</f>
        <v>0</v>
      </c>
      <c r="U94" s="183">
        <f>SUMIFS('декабрь 2025'!$G$2:$G$2730,'декабрь 2025'!$D$2:$D$2730,$B94,'декабрь 2025'!$J$2:$J$2730,U$1)</f>
        <v>0</v>
      </c>
      <c r="V94" s="183">
        <f>SUMIFS('декабрь 2025'!$G$2:$G$2730,'декабрь 2025'!$D$2:$D$2730,$B94,'декабрь 2025'!$J$2:$J$2730,V$1)</f>
        <v>0</v>
      </c>
      <c r="W94" s="183">
        <f>SUMIFS('декабрь 2025'!$G$2:$G$2730,'декабрь 2025'!$D$2:$D$2730,$B94,'декабрь 2025'!$J$2:$J$2730,W$1)</f>
        <v>0</v>
      </c>
      <c r="X94" s="183">
        <f>SUMIFS('декабрь 2025'!$G$2:$G$2730,'декабрь 2025'!$D$2:$D$2730,$B94,'декабрь 2025'!$J$2:$J$2730,X$1)</f>
        <v>0</v>
      </c>
      <c r="Y94" s="183">
        <f>SUMIFS('декабрь 2025'!$G$2:$G$2730,'декабрь 2025'!$D$2:$D$2730,$B94,'декабрь 2025'!$J$2:$J$2730,Y$1)</f>
        <v>0</v>
      </c>
      <c r="Z94" s="183">
        <f>SUMIFS('декабрь 2025'!$G$2:$G$2730,'декабрь 2025'!$D$2:$D$2730,$B94,'декабрь 2025'!$J$2:$J$2730,Z$1)</f>
        <v>0</v>
      </c>
      <c r="AA94" s="183">
        <f>SUMIFS('декабрь 2025'!$G$2:$G$2730,'декабрь 2025'!$D$2:$D$2730,$B94,'декабрь 2025'!$J$2:$J$2730,AA$1)</f>
        <v>0</v>
      </c>
      <c r="AB94" s="183">
        <f>SUMIFS('декабрь 2025'!$G$2:$G$2730,'декабрь 2025'!$D$2:$D$2730,$B94,'декабрь 2025'!$J$2:$J$2730,AB$1)</f>
        <v>0</v>
      </c>
      <c r="AC94" s="183">
        <f>SUMIFS('декабрь 2025'!$G$2:$G$2730,'декабрь 2025'!$D$2:$D$2730,$B94,'декабрь 2025'!$J$2:$J$2730,AC$1)</f>
        <v>0</v>
      </c>
      <c r="AD94" s="183">
        <f>SUMIFS('декабрь 2025'!$G$2:$G$2730,'декабрь 2025'!$D$2:$D$2730,$B94,'декабрь 2025'!$J$2:$J$2730,AD$1)</f>
        <v>0</v>
      </c>
      <c r="AE94" s="183">
        <f>SUMIFS('декабрь 2025'!$G$2:$G$2730,'декабрь 2025'!$D$2:$D$2730,$B94,'декабрь 2025'!$J$2:$J$2730,AE$1)</f>
        <v>0</v>
      </c>
      <c r="AF94" s="183">
        <f>SUMIFS('декабрь 2025'!$G$2:$G$2730,'декабрь 2025'!$D$2:$D$2730,$B94,'декабрь 2025'!$J$2:$J$2730,AF$1)</f>
        <v>0</v>
      </c>
      <c r="AG94" s="183">
        <f>SUMIFS('декабрь 2025'!$G$2:$G$2730,'декабрь 2025'!$D$2:$D$2730,$B94,'декабрь 2025'!$J$2:$J$2730,AG$1)</f>
        <v>0</v>
      </c>
      <c r="AH94" s="183">
        <f>SUMIFS('декабрь 2025'!$G$2:$G$2730,'декабрь 2025'!$D$2:$D$2730,$B94,'декабрь 2025'!$J$2:$J$2730,AH$1)</f>
        <v>0</v>
      </c>
      <c r="AI94" s="20">
        <f t="shared" si="1"/>
        <v>0</v>
      </c>
    </row>
    <row r="95" spans="2:35" ht="15" customHeight="1" x14ac:dyDescent="0.25">
      <c r="B95" s="88" t="s">
        <v>309</v>
      </c>
      <c r="C95" s="86">
        <v>200</v>
      </c>
      <c r="D95" s="183">
        <f>SUMIFS('декабрь 2025'!$G$2:$G$2730,'декабрь 2025'!$D$2:$D$2730,$B95,'декабрь 2025'!$J$2:$J$2730,D$1)</f>
        <v>0</v>
      </c>
      <c r="E95" s="183">
        <f>SUMIFS('декабрь 2025'!$G$2:$G$2730,'декабрь 2025'!$D$2:$D$2730,$B95,'декабрь 2025'!$J$2:$J$2730,E$1)</f>
        <v>0</v>
      </c>
      <c r="F95" s="183">
        <f>SUMIFS('декабрь 2025'!$G$2:$G$2730,'декабрь 2025'!$D$2:$D$2730,$B95,'декабрь 2025'!$J$2:$J$2730,F$1)</f>
        <v>0</v>
      </c>
      <c r="G95" s="183">
        <f>SUMIFS('декабрь 2025'!$G$2:$G$2730,'декабрь 2025'!$D$2:$D$2730,$B95,'декабрь 2025'!$J$2:$J$2730,G$1)</f>
        <v>0</v>
      </c>
      <c r="H95" s="183">
        <f>SUMIFS('декабрь 2025'!$G$2:$G$2730,'декабрь 2025'!$D$2:$D$2730,$B95,'декабрь 2025'!$J$2:$J$2730,H$1)</f>
        <v>0</v>
      </c>
      <c r="I95" s="183">
        <f>SUMIFS('декабрь 2025'!$G$2:$G$2730,'декабрь 2025'!$D$2:$D$2730,$B95,'декабрь 2025'!$J$2:$J$2730,I$1)</f>
        <v>0</v>
      </c>
      <c r="J95" s="183">
        <f>SUMIFS('декабрь 2025'!$G$2:$G$2730,'декабрь 2025'!$D$2:$D$2730,$B95,'декабрь 2025'!$J$2:$J$2730,J$1)</f>
        <v>0</v>
      </c>
      <c r="K95" s="183">
        <f>SUMIFS('декабрь 2025'!$G$2:$G$2730,'декабрь 2025'!$D$2:$D$2730,$B95,'декабрь 2025'!$J$2:$J$2730,K$1)</f>
        <v>0</v>
      </c>
      <c r="L95" s="183">
        <f>SUMIFS('декабрь 2025'!$G$2:$G$2730,'декабрь 2025'!$D$2:$D$2730,$B95,'декабрь 2025'!$J$2:$J$2730,L$1)</f>
        <v>0</v>
      </c>
      <c r="M95" s="183">
        <f>SUMIFS('декабрь 2025'!$G$2:$G$2730,'декабрь 2025'!$D$2:$D$2730,$B95,'декабрь 2025'!$J$2:$J$2730,M$1)</f>
        <v>0</v>
      </c>
      <c r="N95" s="183">
        <f>SUMIFS('декабрь 2025'!$G$2:$G$2730,'декабрь 2025'!$D$2:$D$2730,$B95,'декабрь 2025'!$J$2:$J$2730,N$1)</f>
        <v>0</v>
      </c>
      <c r="O95" s="183">
        <f>SUMIFS('декабрь 2025'!$G$2:$G$2730,'декабрь 2025'!$D$2:$D$2730,$B95,'декабрь 2025'!$J$2:$J$2730,O$1)</f>
        <v>0</v>
      </c>
      <c r="P95" s="183">
        <f>SUMIFS('декабрь 2025'!$G$2:$G$2730,'декабрь 2025'!$D$2:$D$2730,$B95,'декабрь 2025'!$J$2:$J$2730,P$1)</f>
        <v>0</v>
      </c>
      <c r="Q95" s="183">
        <f>SUMIFS('декабрь 2025'!$G$2:$G$2730,'декабрь 2025'!$D$2:$D$2730,$B95,'декабрь 2025'!$J$2:$J$2730,Q$1)</f>
        <v>0</v>
      </c>
      <c r="R95" s="183">
        <f>SUMIFS('декабрь 2025'!$G$2:$G$2730,'декабрь 2025'!$D$2:$D$2730,$B95,'декабрь 2025'!$J$2:$J$2730,R$1)</f>
        <v>0</v>
      </c>
      <c r="S95" s="183">
        <f>SUMIFS('декабрь 2025'!$G$2:$G$2730,'декабрь 2025'!$D$2:$D$2730,$B95,'декабрь 2025'!$J$2:$J$2730,S$1)</f>
        <v>0</v>
      </c>
      <c r="T95" s="183">
        <f>SUMIFS('декабрь 2025'!$G$2:$G$2730,'декабрь 2025'!$D$2:$D$2730,$B95,'декабрь 2025'!$J$2:$J$2730,T$1)</f>
        <v>0</v>
      </c>
      <c r="U95" s="183">
        <f>SUMIFS('декабрь 2025'!$G$2:$G$2730,'декабрь 2025'!$D$2:$D$2730,$B95,'декабрь 2025'!$J$2:$J$2730,U$1)</f>
        <v>0</v>
      </c>
      <c r="V95" s="183">
        <f>SUMIFS('декабрь 2025'!$G$2:$G$2730,'декабрь 2025'!$D$2:$D$2730,$B95,'декабрь 2025'!$J$2:$J$2730,V$1)</f>
        <v>0</v>
      </c>
      <c r="W95" s="183">
        <f>SUMIFS('декабрь 2025'!$G$2:$G$2730,'декабрь 2025'!$D$2:$D$2730,$B95,'декабрь 2025'!$J$2:$J$2730,W$1)</f>
        <v>0</v>
      </c>
      <c r="X95" s="183">
        <f>SUMIFS('декабрь 2025'!$G$2:$G$2730,'декабрь 2025'!$D$2:$D$2730,$B95,'декабрь 2025'!$J$2:$J$2730,X$1)</f>
        <v>0</v>
      </c>
      <c r="Y95" s="183">
        <f>SUMIFS('декабрь 2025'!$G$2:$G$2730,'декабрь 2025'!$D$2:$D$2730,$B95,'декабрь 2025'!$J$2:$J$2730,Y$1)</f>
        <v>0</v>
      </c>
      <c r="Z95" s="183">
        <f>SUMIFS('декабрь 2025'!$G$2:$G$2730,'декабрь 2025'!$D$2:$D$2730,$B95,'декабрь 2025'!$J$2:$J$2730,Z$1)</f>
        <v>40</v>
      </c>
      <c r="AA95" s="183">
        <f>SUMIFS('декабрь 2025'!$G$2:$G$2730,'декабрь 2025'!$D$2:$D$2730,$B95,'декабрь 2025'!$J$2:$J$2730,AA$1)</f>
        <v>0</v>
      </c>
      <c r="AB95" s="183">
        <f>SUMIFS('декабрь 2025'!$G$2:$G$2730,'декабрь 2025'!$D$2:$D$2730,$B95,'декабрь 2025'!$J$2:$J$2730,AB$1)</f>
        <v>0</v>
      </c>
      <c r="AC95" s="183">
        <f>SUMIFS('декабрь 2025'!$G$2:$G$2730,'декабрь 2025'!$D$2:$D$2730,$B95,'декабрь 2025'!$J$2:$J$2730,AC$1)</f>
        <v>0</v>
      </c>
      <c r="AD95" s="183">
        <f>SUMIFS('декабрь 2025'!$G$2:$G$2730,'декабрь 2025'!$D$2:$D$2730,$B95,'декабрь 2025'!$J$2:$J$2730,AD$1)</f>
        <v>0</v>
      </c>
      <c r="AE95" s="183">
        <f>SUMIFS('декабрь 2025'!$G$2:$G$2730,'декабрь 2025'!$D$2:$D$2730,$B95,'декабрь 2025'!$J$2:$J$2730,AE$1)</f>
        <v>0</v>
      </c>
      <c r="AF95" s="183">
        <f>SUMIFS('декабрь 2025'!$G$2:$G$2730,'декабрь 2025'!$D$2:$D$2730,$B95,'декабрь 2025'!$J$2:$J$2730,AF$1)</f>
        <v>0</v>
      </c>
      <c r="AG95" s="183">
        <f>SUMIFS('декабрь 2025'!$G$2:$G$2730,'декабрь 2025'!$D$2:$D$2730,$B95,'декабрь 2025'!$J$2:$J$2730,AG$1)</f>
        <v>0</v>
      </c>
      <c r="AH95" s="183">
        <f>SUMIFS('декабрь 2025'!$G$2:$G$2730,'декабрь 2025'!$D$2:$D$2730,$B95,'декабрь 2025'!$J$2:$J$2730,AH$1)</f>
        <v>0</v>
      </c>
      <c r="AI95" s="20">
        <f t="shared" si="1"/>
        <v>40</v>
      </c>
    </row>
    <row r="96" spans="2:35" ht="15" customHeight="1" x14ac:dyDescent="0.25">
      <c r="B96" s="88" t="s">
        <v>192</v>
      </c>
      <c r="C96" s="86">
        <v>900</v>
      </c>
      <c r="D96" s="183">
        <f>SUMIFS('декабрь 2025'!$G$2:$G$2730,'декабрь 2025'!$D$2:$D$2730,$B96,'декабрь 2025'!$J$2:$J$2730,D$1)</f>
        <v>0</v>
      </c>
      <c r="E96" s="183">
        <f>SUMIFS('декабрь 2025'!$G$2:$G$2730,'декабрь 2025'!$D$2:$D$2730,$B96,'декабрь 2025'!$J$2:$J$2730,E$1)</f>
        <v>0</v>
      </c>
      <c r="F96" s="183">
        <f>SUMIFS('декабрь 2025'!$G$2:$G$2730,'декабрь 2025'!$D$2:$D$2730,$B96,'декабрь 2025'!$J$2:$J$2730,F$1)</f>
        <v>0</v>
      </c>
      <c r="G96" s="183">
        <f>SUMIFS('декабрь 2025'!$G$2:$G$2730,'декабрь 2025'!$D$2:$D$2730,$B96,'декабрь 2025'!$J$2:$J$2730,G$1)</f>
        <v>0</v>
      </c>
      <c r="H96" s="183">
        <f>SUMIFS('декабрь 2025'!$G$2:$G$2730,'декабрь 2025'!$D$2:$D$2730,$B96,'декабрь 2025'!$J$2:$J$2730,H$1)</f>
        <v>0</v>
      </c>
      <c r="I96" s="183">
        <f>SUMIFS('декабрь 2025'!$G$2:$G$2730,'декабрь 2025'!$D$2:$D$2730,$B96,'декабрь 2025'!$J$2:$J$2730,I$1)</f>
        <v>0</v>
      </c>
      <c r="J96" s="183">
        <f>SUMIFS('декабрь 2025'!$G$2:$G$2730,'декабрь 2025'!$D$2:$D$2730,$B96,'декабрь 2025'!$J$2:$J$2730,J$1)</f>
        <v>0</v>
      </c>
      <c r="K96" s="183">
        <f>SUMIFS('декабрь 2025'!$G$2:$G$2730,'декабрь 2025'!$D$2:$D$2730,$B96,'декабрь 2025'!$J$2:$J$2730,K$1)</f>
        <v>0</v>
      </c>
      <c r="L96" s="183">
        <f>SUMIFS('декабрь 2025'!$G$2:$G$2730,'декабрь 2025'!$D$2:$D$2730,$B96,'декабрь 2025'!$J$2:$J$2730,L$1)</f>
        <v>0</v>
      </c>
      <c r="M96" s="183">
        <f>SUMIFS('декабрь 2025'!$G$2:$G$2730,'декабрь 2025'!$D$2:$D$2730,$B96,'декабрь 2025'!$J$2:$J$2730,M$1)</f>
        <v>0</v>
      </c>
      <c r="N96" s="183">
        <f>SUMIFS('декабрь 2025'!$G$2:$G$2730,'декабрь 2025'!$D$2:$D$2730,$B96,'декабрь 2025'!$J$2:$J$2730,N$1)</f>
        <v>0</v>
      </c>
      <c r="O96" s="183">
        <f>SUMIFS('декабрь 2025'!$G$2:$G$2730,'декабрь 2025'!$D$2:$D$2730,$B96,'декабрь 2025'!$J$2:$J$2730,O$1)</f>
        <v>0</v>
      </c>
      <c r="P96" s="183">
        <f>SUMIFS('декабрь 2025'!$G$2:$G$2730,'декабрь 2025'!$D$2:$D$2730,$B96,'декабрь 2025'!$J$2:$J$2730,P$1)</f>
        <v>0</v>
      </c>
      <c r="Q96" s="183">
        <f>SUMIFS('декабрь 2025'!$G$2:$G$2730,'декабрь 2025'!$D$2:$D$2730,$B96,'декабрь 2025'!$J$2:$J$2730,Q$1)</f>
        <v>0</v>
      </c>
      <c r="R96" s="183">
        <f>SUMIFS('декабрь 2025'!$G$2:$G$2730,'декабрь 2025'!$D$2:$D$2730,$B96,'декабрь 2025'!$J$2:$J$2730,R$1)</f>
        <v>0</v>
      </c>
      <c r="S96" s="183">
        <f>SUMIFS('декабрь 2025'!$G$2:$G$2730,'декабрь 2025'!$D$2:$D$2730,$B96,'декабрь 2025'!$J$2:$J$2730,S$1)</f>
        <v>0</v>
      </c>
      <c r="T96" s="183">
        <f>SUMIFS('декабрь 2025'!$G$2:$G$2730,'декабрь 2025'!$D$2:$D$2730,$B96,'декабрь 2025'!$J$2:$J$2730,T$1)</f>
        <v>0</v>
      </c>
      <c r="U96" s="183">
        <f>SUMIFS('декабрь 2025'!$G$2:$G$2730,'декабрь 2025'!$D$2:$D$2730,$B96,'декабрь 2025'!$J$2:$J$2730,U$1)</f>
        <v>0</v>
      </c>
      <c r="V96" s="183">
        <f>SUMIFS('декабрь 2025'!$G$2:$G$2730,'декабрь 2025'!$D$2:$D$2730,$B96,'декабрь 2025'!$J$2:$J$2730,V$1)</f>
        <v>0</v>
      </c>
      <c r="W96" s="183">
        <f>SUMIFS('декабрь 2025'!$G$2:$G$2730,'декабрь 2025'!$D$2:$D$2730,$B96,'декабрь 2025'!$J$2:$J$2730,W$1)</f>
        <v>0</v>
      </c>
      <c r="X96" s="183">
        <f>SUMIFS('декабрь 2025'!$G$2:$G$2730,'декабрь 2025'!$D$2:$D$2730,$B96,'декабрь 2025'!$J$2:$J$2730,X$1)</f>
        <v>0</v>
      </c>
      <c r="Y96" s="183">
        <f>SUMIFS('декабрь 2025'!$G$2:$G$2730,'декабрь 2025'!$D$2:$D$2730,$B96,'декабрь 2025'!$J$2:$J$2730,Y$1)</f>
        <v>0</v>
      </c>
      <c r="Z96" s="183">
        <f>SUMIFS('декабрь 2025'!$G$2:$G$2730,'декабрь 2025'!$D$2:$D$2730,$B96,'декабрь 2025'!$J$2:$J$2730,Z$1)</f>
        <v>0</v>
      </c>
      <c r="AA96" s="183">
        <f>SUMIFS('декабрь 2025'!$G$2:$G$2730,'декабрь 2025'!$D$2:$D$2730,$B96,'декабрь 2025'!$J$2:$J$2730,AA$1)</f>
        <v>0</v>
      </c>
      <c r="AB96" s="183">
        <f>SUMIFS('декабрь 2025'!$G$2:$G$2730,'декабрь 2025'!$D$2:$D$2730,$B96,'декабрь 2025'!$J$2:$J$2730,AB$1)</f>
        <v>0</v>
      </c>
      <c r="AC96" s="183">
        <f>SUMIFS('декабрь 2025'!$G$2:$G$2730,'декабрь 2025'!$D$2:$D$2730,$B96,'декабрь 2025'!$J$2:$J$2730,AC$1)</f>
        <v>0</v>
      </c>
      <c r="AD96" s="183">
        <f>SUMIFS('декабрь 2025'!$G$2:$G$2730,'декабрь 2025'!$D$2:$D$2730,$B96,'декабрь 2025'!$J$2:$J$2730,AD$1)</f>
        <v>0</v>
      </c>
      <c r="AE96" s="183">
        <f>SUMIFS('декабрь 2025'!$G$2:$G$2730,'декабрь 2025'!$D$2:$D$2730,$B96,'декабрь 2025'!$J$2:$J$2730,AE$1)</f>
        <v>0</v>
      </c>
      <c r="AF96" s="183">
        <f>SUMIFS('декабрь 2025'!$G$2:$G$2730,'декабрь 2025'!$D$2:$D$2730,$B96,'декабрь 2025'!$J$2:$J$2730,AF$1)</f>
        <v>0</v>
      </c>
      <c r="AG96" s="183">
        <f>SUMIFS('декабрь 2025'!$G$2:$G$2730,'декабрь 2025'!$D$2:$D$2730,$B96,'декабрь 2025'!$J$2:$J$2730,AG$1)</f>
        <v>0</v>
      </c>
      <c r="AH96" s="183">
        <f>SUMIFS('декабрь 2025'!$G$2:$G$2730,'декабрь 2025'!$D$2:$D$2730,$B96,'декабрь 2025'!$J$2:$J$2730,AH$1)</f>
        <v>0</v>
      </c>
      <c r="AI96" s="20">
        <f t="shared" si="1"/>
        <v>0</v>
      </c>
    </row>
    <row r="97" spans="2:35" ht="15" customHeight="1" x14ac:dyDescent="0.25">
      <c r="B97" s="84" t="s">
        <v>186</v>
      </c>
      <c r="C97" s="83">
        <v>190</v>
      </c>
      <c r="D97" s="183">
        <f>SUMIFS('декабрь 2025'!$G$2:$G$2730,'декабрь 2025'!$D$2:$D$2730,$B97,'декабрь 2025'!$J$2:$J$2730,D$1)</f>
        <v>0</v>
      </c>
      <c r="E97" s="183">
        <f>SUMIFS('декабрь 2025'!$G$2:$G$2730,'декабрь 2025'!$D$2:$D$2730,$B97,'декабрь 2025'!$J$2:$J$2730,E$1)</f>
        <v>0</v>
      </c>
      <c r="F97" s="183">
        <f>SUMIFS('декабрь 2025'!$G$2:$G$2730,'декабрь 2025'!$D$2:$D$2730,$B97,'декабрь 2025'!$J$2:$J$2730,F$1)</f>
        <v>0</v>
      </c>
      <c r="G97" s="183">
        <f>SUMIFS('декабрь 2025'!$G$2:$G$2730,'декабрь 2025'!$D$2:$D$2730,$B97,'декабрь 2025'!$J$2:$J$2730,G$1)</f>
        <v>0</v>
      </c>
      <c r="H97" s="183">
        <f>SUMIFS('декабрь 2025'!$G$2:$G$2730,'декабрь 2025'!$D$2:$D$2730,$B97,'декабрь 2025'!$J$2:$J$2730,H$1)</f>
        <v>0</v>
      </c>
      <c r="I97" s="183">
        <f>SUMIFS('декабрь 2025'!$G$2:$G$2730,'декабрь 2025'!$D$2:$D$2730,$B97,'декабрь 2025'!$J$2:$J$2730,I$1)</f>
        <v>0</v>
      </c>
      <c r="J97" s="183">
        <f>SUMIFS('декабрь 2025'!$G$2:$G$2730,'декабрь 2025'!$D$2:$D$2730,$B97,'декабрь 2025'!$J$2:$J$2730,J$1)</f>
        <v>0</v>
      </c>
      <c r="K97" s="183">
        <f>SUMIFS('декабрь 2025'!$G$2:$G$2730,'декабрь 2025'!$D$2:$D$2730,$B97,'декабрь 2025'!$J$2:$J$2730,K$1)</f>
        <v>0</v>
      </c>
      <c r="L97" s="183">
        <f>SUMIFS('декабрь 2025'!$G$2:$G$2730,'декабрь 2025'!$D$2:$D$2730,$B97,'декабрь 2025'!$J$2:$J$2730,L$1)</f>
        <v>0</v>
      </c>
      <c r="M97" s="183">
        <f>SUMIFS('декабрь 2025'!$G$2:$G$2730,'декабрь 2025'!$D$2:$D$2730,$B97,'декабрь 2025'!$J$2:$J$2730,M$1)</f>
        <v>0</v>
      </c>
      <c r="N97" s="183">
        <f>SUMIFS('декабрь 2025'!$G$2:$G$2730,'декабрь 2025'!$D$2:$D$2730,$B97,'декабрь 2025'!$J$2:$J$2730,N$1)</f>
        <v>0</v>
      </c>
      <c r="O97" s="183">
        <f>SUMIFS('декабрь 2025'!$G$2:$G$2730,'декабрь 2025'!$D$2:$D$2730,$B97,'декабрь 2025'!$J$2:$J$2730,O$1)</f>
        <v>0</v>
      </c>
      <c r="P97" s="183">
        <f>SUMIFS('декабрь 2025'!$G$2:$G$2730,'декабрь 2025'!$D$2:$D$2730,$B97,'декабрь 2025'!$J$2:$J$2730,P$1)</f>
        <v>0</v>
      </c>
      <c r="Q97" s="183">
        <f>SUMIFS('декабрь 2025'!$G$2:$G$2730,'декабрь 2025'!$D$2:$D$2730,$B97,'декабрь 2025'!$J$2:$J$2730,Q$1)</f>
        <v>0</v>
      </c>
      <c r="R97" s="183">
        <f>SUMIFS('декабрь 2025'!$G$2:$G$2730,'декабрь 2025'!$D$2:$D$2730,$B97,'декабрь 2025'!$J$2:$J$2730,R$1)</f>
        <v>0</v>
      </c>
      <c r="S97" s="183">
        <f>SUMIFS('декабрь 2025'!$G$2:$G$2730,'декабрь 2025'!$D$2:$D$2730,$B97,'декабрь 2025'!$J$2:$J$2730,S$1)</f>
        <v>0</v>
      </c>
      <c r="T97" s="183">
        <f>SUMIFS('декабрь 2025'!$G$2:$G$2730,'декабрь 2025'!$D$2:$D$2730,$B97,'декабрь 2025'!$J$2:$J$2730,T$1)</f>
        <v>0</v>
      </c>
      <c r="U97" s="183">
        <f>SUMIFS('декабрь 2025'!$G$2:$G$2730,'декабрь 2025'!$D$2:$D$2730,$B97,'декабрь 2025'!$J$2:$J$2730,U$1)</f>
        <v>0</v>
      </c>
      <c r="V97" s="183">
        <f>SUMIFS('декабрь 2025'!$G$2:$G$2730,'декабрь 2025'!$D$2:$D$2730,$B97,'декабрь 2025'!$J$2:$J$2730,V$1)</f>
        <v>0</v>
      </c>
      <c r="W97" s="183">
        <f>SUMIFS('декабрь 2025'!$G$2:$G$2730,'декабрь 2025'!$D$2:$D$2730,$B97,'декабрь 2025'!$J$2:$J$2730,W$1)</f>
        <v>0</v>
      </c>
      <c r="X97" s="183">
        <f>SUMIFS('декабрь 2025'!$G$2:$G$2730,'декабрь 2025'!$D$2:$D$2730,$B97,'декабрь 2025'!$J$2:$J$2730,X$1)</f>
        <v>0</v>
      </c>
      <c r="Y97" s="183">
        <f>SUMIFS('декабрь 2025'!$G$2:$G$2730,'декабрь 2025'!$D$2:$D$2730,$B97,'декабрь 2025'!$J$2:$J$2730,Y$1)</f>
        <v>0</v>
      </c>
      <c r="Z97" s="183">
        <f>SUMIFS('декабрь 2025'!$G$2:$G$2730,'декабрь 2025'!$D$2:$D$2730,$B97,'декабрь 2025'!$J$2:$J$2730,Z$1)</f>
        <v>0</v>
      </c>
      <c r="AA97" s="183">
        <f>SUMIFS('декабрь 2025'!$G$2:$G$2730,'декабрь 2025'!$D$2:$D$2730,$B97,'декабрь 2025'!$J$2:$J$2730,AA$1)</f>
        <v>0</v>
      </c>
      <c r="AB97" s="183">
        <f>SUMIFS('декабрь 2025'!$G$2:$G$2730,'декабрь 2025'!$D$2:$D$2730,$B97,'декабрь 2025'!$J$2:$J$2730,AB$1)</f>
        <v>0</v>
      </c>
      <c r="AC97" s="183">
        <f>SUMIFS('декабрь 2025'!$G$2:$G$2730,'декабрь 2025'!$D$2:$D$2730,$B97,'декабрь 2025'!$J$2:$J$2730,AC$1)</f>
        <v>0</v>
      </c>
      <c r="AD97" s="183">
        <f>SUMIFS('декабрь 2025'!$G$2:$G$2730,'декабрь 2025'!$D$2:$D$2730,$B97,'декабрь 2025'!$J$2:$J$2730,AD$1)</f>
        <v>0</v>
      </c>
      <c r="AE97" s="183">
        <f>SUMIFS('декабрь 2025'!$G$2:$G$2730,'декабрь 2025'!$D$2:$D$2730,$B97,'декабрь 2025'!$J$2:$J$2730,AE$1)</f>
        <v>0</v>
      </c>
      <c r="AF97" s="183">
        <f>SUMIFS('декабрь 2025'!$G$2:$G$2730,'декабрь 2025'!$D$2:$D$2730,$B97,'декабрь 2025'!$J$2:$J$2730,AF$1)</f>
        <v>0</v>
      </c>
      <c r="AG97" s="183">
        <f>SUMIFS('декабрь 2025'!$G$2:$G$2730,'декабрь 2025'!$D$2:$D$2730,$B97,'декабрь 2025'!$J$2:$J$2730,AG$1)</f>
        <v>0</v>
      </c>
      <c r="AH97" s="183">
        <f>SUMIFS('декабрь 2025'!$G$2:$G$2730,'декабрь 2025'!$D$2:$D$2730,$B97,'декабрь 2025'!$J$2:$J$2730,AH$1)</f>
        <v>0</v>
      </c>
      <c r="AI97" s="20">
        <f t="shared" si="1"/>
        <v>0</v>
      </c>
    </row>
    <row r="98" spans="2:35" ht="15" customHeight="1" x14ac:dyDescent="0.25">
      <c r="B98" s="84" t="s">
        <v>205</v>
      </c>
      <c r="C98" s="83">
        <v>190</v>
      </c>
      <c r="D98" s="183">
        <f>SUMIFS('декабрь 2025'!$G$2:$G$2730,'декабрь 2025'!$D$2:$D$2730,$B98,'декабрь 2025'!$J$2:$J$2730,D$1)</f>
        <v>0</v>
      </c>
      <c r="E98" s="183">
        <f>SUMIFS('декабрь 2025'!$G$2:$G$2730,'декабрь 2025'!$D$2:$D$2730,$B98,'декабрь 2025'!$J$2:$J$2730,E$1)</f>
        <v>0</v>
      </c>
      <c r="F98" s="183">
        <f>SUMIFS('декабрь 2025'!$G$2:$G$2730,'декабрь 2025'!$D$2:$D$2730,$B98,'декабрь 2025'!$J$2:$J$2730,F$1)</f>
        <v>0</v>
      </c>
      <c r="G98" s="183">
        <f>SUMIFS('декабрь 2025'!$G$2:$G$2730,'декабрь 2025'!$D$2:$D$2730,$B98,'декабрь 2025'!$J$2:$J$2730,G$1)</f>
        <v>0</v>
      </c>
      <c r="H98" s="183">
        <f>SUMIFS('декабрь 2025'!$G$2:$G$2730,'декабрь 2025'!$D$2:$D$2730,$B98,'декабрь 2025'!$J$2:$J$2730,H$1)</f>
        <v>0</v>
      </c>
      <c r="I98" s="183">
        <f>SUMIFS('декабрь 2025'!$G$2:$G$2730,'декабрь 2025'!$D$2:$D$2730,$B98,'декабрь 2025'!$J$2:$J$2730,I$1)</f>
        <v>0</v>
      </c>
      <c r="J98" s="183">
        <f>SUMIFS('декабрь 2025'!$G$2:$G$2730,'декабрь 2025'!$D$2:$D$2730,$B98,'декабрь 2025'!$J$2:$J$2730,J$1)</f>
        <v>0</v>
      </c>
      <c r="K98" s="183">
        <f>SUMIFS('декабрь 2025'!$G$2:$G$2730,'декабрь 2025'!$D$2:$D$2730,$B98,'декабрь 2025'!$J$2:$J$2730,K$1)</f>
        <v>0</v>
      </c>
      <c r="L98" s="183">
        <f>SUMIFS('декабрь 2025'!$G$2:$G$2730,'декабрь 2025'!$D$2:$D$2730,$B98,'декабрь 2025'!$J$2:$J$2730,L$1)</f>
        <v>0</v>
      </c>
      <c r="M98" s="183">
        <f>SUMIFS('декабрь 2025'!$G$2:$G$2730,'декабрь 2025'!$D$2:$D$2730,$B98,'декабрь 2025'!$J$2:$J$2730,M$1)</f>
        <v>0</v>
      </c>
      <c r="N98" s="183">
        <f>SUMIFS('декабрь 2025'!$G$2:$G$2730,'декабрь 2025'!$D$2:$D$2730,$B98,'декабрь 2025'!$J$2:$J$2730,N$1)</f>
        <v>0</v>
      </c>
      <c r="O98" s="183">
        <f>SUMIFS('декабрь 2025'!$G$2:$G$2730,'декабрь 2025'!$D$2:$D$2730,$B98,'декабрь 2025'!$J$2:$J$2730,O$1)</f>
        <v>0</v>
      </c>
      <c r="P98" s="183">
        <f>SUMIFS('декабрь 2025'!$G$2:$G$2730,'декабрь 2025'!$D$2:$D$2730,$B98,'декабрь 2025'!$J$2:$J$2730,P$1)</f>
        <v>0</v>
      </c>
      <c r="Q98" s="183">
        <f>SUMIFS('декабрь 2025'!$G$2:$G$2730,'декабрь 2025'!$D$2:$D$2730,$B98,'декабрь 2025'!$J$2:$J$2730,Q$1)</f>
        <v>0</v>
      </c>
      <c r="R98" s="183">
        <f>SUMIFS('декабрь 2025'!$G$2:$G$2730,'декабрь 2025'!$D$2:$D$2730,$B98,'декабрь 2025'!$J$2:$J$2730,R$1)</f>
        <v>0</v>
      </c>
      <c r="S98" s="183">
        <f>SUMIFS('декабрь 2025'!$G$2:$G$2730,'декабрь 2025'!$D$2:$D$2730,$B98,'декабрь 2025'!$J$2:$J$2730,S$1)</f>
        <v>0</v>
      </c>
      <c r="T98" s="183">
        <f>SUMIFS('декабрь 2025'!$G$2:$G$2730,'декабрь 2025'!$D$2:$D$2730,$B98,'декабрь 2025'!$J$2:$J$2730,T$1)</f>
        <v>0</v>
      </c>
      <c r="U98" s="183">
        <f>SUMIFS('декабрь 2025'!$G$2:$G$2730,'декабрь 2025'!$D$2:$D$2730,$B98,'декабрь 2025'!$J$2:$J$2730,U$1)</f>
        <v>0</v>
      </c>
      <c r="V98" s="183">
        <f>SUMIFS('декабрь 2025'!$G$2:$G$2730,'декабрь 2025'!$D$2:$D$2730,$B98,'декабрь 2025'!$J$2:$J$2730,V$1)</f>
        <v>0</v>
      </c>
      <c r="W98" s="183">
        <f>SUMIFS('декабрь 2025'!$G$2:$G$2730,'декабрь 2025'!$D$2:$D$2730,$B98,'декабрь 2025'!$J$2:$J$2730,W$1)</f>
        <v>0</v>
      </c>
      <c r="X98" s="183">
        <f>SUMIFS('декабрь 2025'!$G$2:$G$2730,'декабрь 2025'!$D$2:$D$2730,$B98,'декабрь 2025'!$J$2:$J$2730,X$1)</f>
        <v>0</v>
      </c>
      <c r="Y98" s="183">
        <f>SUMIFS('декабрь 2025'!$G$2:$G$2730,'декабрь 2025'!$D$2:$D$2730,$B98,'декабрь 2025'!$J$2:$J$2730,Y$1)</f>
        <v>0</v>
      </c>
      <c r="Z98" s="183">
        <f>SUMIFS('декабрь 2025'!$G$2:$G$2730,'декабрь 2025'!$D$2:$D$2730,$B98,'декабрь 2025'!$J$2:$J$2730,Z$1)</f>
        <v>0</v>
      </c>
      <c r="AA98" s="183">
        <f>SUMIFS('декабрь 2025'!$G$2:$G$2730,'декабрь 2025'!$D$2:$D$2730,$B98,'декабрь 2025'!$J$2:$J$2730,AA$1)</f>
        <v>0</v>
      </c>
      <c r="AB98" s="183">
        <f>SUMIFS('декабрь 2025'!$G$2:$G$2730,'декабрь 2025'!$D$2:$D$2730,$B98,'декабрь 2025'!$J$2:$J$2730,AB$1)</f>
        <v>0</v>
      </c>
      <c r="AC98" s="183">
        <f>SUMIFS('декабрь 2025'!$G$2:$G$2730,'декабрь 2025'!$D$2:$D$2730,$B98,'декабрь 2025'!$J$2:$J$2730,AC$1)</f>
        <v>0</v>
      </c>
      <c r="AD98" s="183">
        <f>SUMIFS('декабрь 2025'!$G$2:$G$2730,'декабрь 2025'!$D$2:$D$2730,$B98,'декабрь 2025'!$J$2:$J$2730,AD$1)</f>
        <v>0</v>
      </c>
      <c r="AE98" s="183">
        <f>SUMIFS('декабрь 2025'!$G$2:$G$2730,'декабрь 2025'!$D$2:$D$2730,$B98,'декабрь 2025'!$J$2:$J$2730,AE$1)</f>
        <v>0</v>
      </c>
      <c r="AF98" s="183">
        <f>SUMIFS('декабрь 2025'!$G$2:$G$2730,'декабрь 2025'!$D$2:$D$2730,$B98,'декабрь 2025'!$J$2:$J$2730,AF$1)</f>
        <v>0</v>
      </c>
      <c r="AG98" s="183">
        <f>SUMIFS('декабрь 2025'!$G$2:$G$2730,'декабрь 2025'!$D$2:$D$2730,$B98,'декабрь 2025'!$J$2:$J$2730,AG$1)</f>
        <v>0</v>
      </c>
      <c r="AH98" s="183">
        <f>SUMIFS('декабрь 2025'!$G$2:$G$2730,'декабрь 2025'!$D$2:$D$2730,$B98,'декабрь 2025'!$J$2:$J$2730,AH$1)</f>
        <v>0</v>
      </c>
      <c r="AI98" s="20">
        <f t="shared" si="1"/>
        <v>0</v>
      </c>
    </row>
    <row r="99" spans="2:35" ht="15" customHeight="1" x14ac:dyDescent="0.25">
      <c r="B99" s="88" t="s">
        <v>173</v>
      </c>
      <c r="C99" s="83">
        <v>190</v>
      </c>
      <c r="D99" s="183">
        <f>SUMIFS('декабрь 2025'!$G$2:$G$2730,'декабрь 2025'!$D$2:$D$2730,$B99,'декабрь 2025'!$J$2:$J$2730,D$1)</f>
        <v>0</v>
      </c>
      <c r="E99" s="183">
        <f>SUMIFS('декабрь 2025'!$G$2:$G$2730,'декабрь 2025'!$D$2:$D$2730,$B99,'декабрь 2025'!$J$2:$J$2730,E$1)</f>
        <v>0</v>
      </c>
      <c r="F99" s="183">
        <f>SUMIFS('декабрь 2025'!$G$2:$G$2730,'декабрь 2025'!$D$2:$D$2730,$B99,'декабрь 2025'!$J$2:$J$2730,F$1)</f>
        <v>0</v>
      </c>
      <c r="G99" s="183">
        <f>SUMIFS('декабрь 2025'!$G$2:$G$2730,'декабрь 2025'!$D$2:$D$2730,$B99,'декабрь 2025'!$J$2:$J$2730,G$1)</f>
        <v>0</v>
      </c>
      <c r="H99" s="183">
        <f>SUMIFS('декабрь 2025'!$G$2:$G$2730,'декабрь 2025'!$D$2:$D$2730,$B99,'декабрь 2025'!$J$2:$J$2730,H$1)</f>
        <v>0</v>
      </c>
      <c r="I99" s="183">
        <f>SUMIFS('декабрь 2025'!$G$2:$G$2730,'декабрь 2025'!$D$2:$D$2730,$B99,'декабрь 2025'!$J$2:$J$2730,I$1)</f>
        <v>0</v>
      </c>
      <c r="J99" s="183">
        <f>SUMIFS('декабрь 2025'!$G$2:$G$2730,'декабрь 2025'!$D$2:$D$2730,$B99,'декабрь 2025'!$J$2:$J$2730,J$1)</f>
        <v>0</v>
      </c>
      <c r="K99" s="183">
        <f>SUMIFS('декабрь 2025'!$G$2:$G$2730,'декабрь 2025'!$D$2:$D$2730,$B99,'декабрь 2025'!$J$2:$J$2730,K$1)</f>
        <v>0</v>
      </c>
      <c r="L99" s="183">
        <f>SUMIFS('декабрь 2025'!$G$2:$G$2730,'декабрь 2025'!$D$2:$D$2730,$B99,'декабрь 2025'!$J$2:$J$2730,L$1)</f>
        <v>0</v>
      </c>
      <c r="M99" s="183">
        <f>SUMIFS('декабрь 2025'!$G$2:$G$2730,'декабрь 2025'!$D$2:$D$2730,$B99,'декабрь 2025'!$J$2:$J$2730,M$1)</f>
        <v>0</v>
      </c>
      <c r="N99" s="183">
        <f>SUMIFS('декабрь 2025'!$G$2:$G$2730,'декабрь 2025'!$D$2:$D$2730,$B99,'декабрь 2025'!$J$2:$J$2730,N$1)</f>
        <v>0</v>
      </c>
      <c r="O99" s="183">
        <f>SUMIFS('декабрь 2025'!$G$2:$G$2730,'декабрь 2025'!$D$2:$D$2730,$B99,'декабрь 2025'!$J$2:$J$2730,O$1)</f>
        <v>0</v>
      </c>
      <c r="P99" s="183">
        <f>SUMIFS('декабрь 2025'!$G$2:$G$2730,'декабрь 2025'!$D$2:$D$2730,$B99,'декабрь 2025'!$J$2:$J$2730,P$1)</f>
        <v>0</v>
      </c>
      <c r="Q99" s="183">
        <f>SUMIFS('декабрь 2025'!$G$2:$G$2730,'декабрь 2025'!$D$2:$D$2730,$B99,'декабрь 2025'!$J$2:$J$2730,Q$1)</f>
        <v>0</v>
      </c>
      <c r="R99" s="183">
        <f>SUMIFS('декабрь 2025'!$G$2:$G$2730,'декабрь 2025'!$D$2:$D$2730,$B99,'декабрь 2025'!$J$2:$J$2730,R$1)</f>
        <v>0</v>
      </c>
      <c r="S99" s="183">
        <f>SUMIFS('декабрь 2025'!$G$2:$G$2730,'декабрь 2025'!$D$2:$D$2730,$B99,'декабрь 2025'!$J$2:$J$2730,S$1)</f>
        <v>0</v>
      </c>
      <c r="T99" s="183">
        <f>SUMIFS('декабрь 2025'!$G$2:$G$2730,'декабрь 2025'!$D$2:$D$2730,$B99,'декабрь 2025'!$J$2:$J$2730,T$1)</f>
        <v>0</v>
      </c>
      <c r="U99" s="183">
        <f>SUMIFS('декабрь 2025'!$G$2:$G$2730,'декабрь 2025'!$D$2:$D$2730,$B99,'декабрь 2025'!$J$2:$J$2730,U$1)</f>
        <v>0</v>
      </c>
      <c r="V99" s="183">
        <f>SUMIFS('декабрь 2025'!$G$2:$G$2730,'декабрь 2025'!$D$2:$D$2730,$B99,'декабрь 2025'!$J$2:$J$2730,V$1)</f>
        <v>0</v>
      </c>
      <c r="W99" s="183">
        <f>SUMIFS('декабрь 2025'!$G$2:$G$2730,'декабрь 2025'!$D$2:$D$2730,$B99,'декабрь 2025'!$J$2:$J$2730,W$1)</f>
        <v>0</v>
      </c>
      <c r="X99" s="183">
        <f>SUMIFS('декабрь 2025'!$G$2:$G$2730,'декабрь 2025'!$D$2:$D$2730,$B99,'декабрь 2025'!$J$2:$J$2730,X$1)</f>
        <v>0</v>
      </c>
      <c r="Y99" s="183">
        <f>SUMIFS('декабрь 2025'!$G$2:$G$2730,'декабрь 2025'!$D$2:$D$2730,$B99,'декабрь 2025'!$J$2:$J$2730,Y$1)</f>
        <v>0</v>
      </c>
      <c r="Z99" s="183">
        <f>SUMIFS('декабрь 2025'!$G$2:$G$2730,'декабрь 2025'!$D$2:$D$2730,$B99,'декабрь 2025'!$J$2:$J$2730,Z$1)</f>
        <v>0</v>
      </c>
      <c r="AA99" s="183">
        <f>SUMIFS('декабрь 2025'!$G$2:$G$2730,'декабрь 2025'!$D$2:$D$2730,$B99,'декабрь 2025'!$J$2:$J$2730,AA$1)</f>
        <v>0</v>
      </c>
      <c r="AB99" s="183">
        <f>SUMIFS('декабрь 2025'!$G$2:$G$2730,'декабрь 2025'!$D$2:$D$2730,$B99,'декабрь 2025'!$J$2:$J$2730,AB$1)</f>
        <v>0</v>
      </c>
      <c r="AC99" s="183">
        <f>SUMIFS('декабрь 2025'!$G$2:$G$2730,'декабрь 2025'!$D$2:$D$2730,$B99,'декабрь 2025'!$J$2:$J$2730,AC$1)</f>
        <v>0</v>
      </c>
      <c r="AD99" s="183">
        <f>SUMIFS('декабрь 2025'!$G$2:$G$2730,'декабрь 2025'!$D$2:$D$2730,$B99,'декабрь 2025'!$J$2:$J$2730,AD$1)</f>
        <v>0</v>
      </c>
      <c r="AE99" s="183">
        <f>SUMIFS('декабрь 2025'!$G$2:$G$2730,'декабрь 2025'!$D$2:$D$2730,$B99,'декабрь 2025'!$J$2:$J$2730,AE$1)</f>
        <v>0</v>
      </c>
      <c r="AF99" s="183">
        <f>SUMIFS('декабрь 2025'!$G$2:$G$2730,'декабрь 2025'!$D$2:$D$2730,$B99,'декабрь 2025'!$J$2:$J$2730,AF$1)</f>
        <v>0</v>
      </c>
      <c r="AG99" s="183">
        <f>SUMIFS('декабрь 2025'!$G$2:$G$2730,'декабрь 2025'!$D$2:$D$2730,$B99,'декабрь 2025'!$J$2:$J$2730,AG$1)</f>
        <v>0</v>
      </c>
      <c r="AH99" s="183">
        <f>SUMIFS('декабрь 2025'!$G$2:$G$2730,'декабрь 2025'!$D$2:$D$2730,$B99,'декабрь 2025'!$J$2:$J$2730,AH$1)</f>
        <v>0</v>
      </c>
      <c r="AI99" s="20">
        <f t="shared" si="1"/>
        <v>0</v>
      </c>
    </row>
    <row r="100" spans="2:35" ht="15" customHeight="1" x14ac:dyDescent="0.25">
      <c r="B100" s="88" t="s">
        <v>182</v>
      </c>
      <c r="C100" s="86">
        <v>180</v>
      </c>
      <c r="D100" s="183">
        <f>SUMIFS('декабрь 2025'!$G$2:$G$2730,'декабрь 2025'!$D$2:$D$2730,$B100,'декабрь 2025'!$J$2:$J$2730,D$1)</f>
        <v>0</v>
      </c>
      <c r="E100" s="183">
        <f>SUMIFS('декабрь 2025'!$G$2:$G$2730,'декабрь 2025'!$D$2:$D$2730,$B100,'декабрь 2025'!$J$2:$J$2730,E$1)</f>
        <v>0</v>
      </c>
      <c r="F100" s="183">
        <f>SUMIFS('декабрь 2025'!$G$2:$G$2730,'декабрь 2025'!$D$2:$D$2730,$B100,'декабрь 2025'!$J$2:$J$2730,F$1)</f>
        <v>0</v>
      </c>
      <c r="G100" s="183">
        <f>SUMIFS('декабрь 2025'!$G$2:$G$2730,'декабрь 2025'!$D$2:$D$2730,$B100,'декабрь 2025'!$J$2:$J$2730,G$1)</f>
        <v>0</v>
      </c>
      <c r="H100" s="183">
        <f>SUMIFS('декабрь 2025'!$G$2:$G$2730,'декабрь 2025'!$D$2:$D$2730,$B100,'декабрь 2025'!$J$2:$J$2730,H$1)</f>
        <v>0</v>
      </c>
      <c r="I100" s="183">
        <f>SUMIFS('декабрь 2025'!$G$2:$G$2730,'декабрь 2025'!$D$2:$D$2730,$B100,'декабрь 2025'!$J$2:$J$2730,I$1)</f>
        <v>0</v>
      </c>
      <c r="J100" s="183">
        <f>SUMIFS('декабрь 2025'!$G$2:$G$2730,'декабрь 2025'!$D$2:$D$2730,$B100,'декабрь 2025'!$J$2:$J$2730,J$1)</f>
        <v>0</v>
      </c>
      <c r="K100" s="183">
        <f>SUMIFS('декабрь 2025'!$G$2:$G$2730,'декабрь 2025'!$D$2:$D$2730,$B100,'декабрь 2025'!$J$2:$J$2730,K$1)</f>
        <v>0</v>
      </c>
      <c r="L100" s="183">
        <f>SUMIFS('декабрь 2025'!$G$2:$G$2730,'декабрь 2025'!$D$2:$D$2730,$B100,'декабрь 2025'!$J$2:$J$2730,L$1)</f>
        <v>0</v>
      </c>
      <c r="M100" s="183">
        <f>SUMIFS('декабрь 2025'!$G$2:$G$2730,'декабрь 2025'!$D$2:$D$2730,$B100,'декабрь 2025'!$J$2:$J$2730,M$1)</f>
        <v>0</v>
      </c>
      <c r="N100" s="183">
        <f>SUMIFS('декабрь 2025'!$G$2:$G$2730,'декабрь 2025'!$D$2:$D$2730,$B100,'декабрь 2025'!$J$2:$J$2730,N$1)</f>
        <v>0</v>
      </c>
      <c r="O100" s="183">
        <f>SUMIFS('декабрь 2025'!$G$2:$G$2730,'декабрь 2025'!$D$2:$D$2730,$B100,'декабрь 2025'!$J$2:$J$2730,O$1)</f>
        <v>0</v>
      </c>
      <c r="P100" s="183">
        <f>SUMIFS('декабрь 2025'!$G$2:$G$2730,'декабрь 2025'!$D$2:$D$2730,$B100,'декабрь 2025'!$J$2:$J$2730,P$1)</f>
        <v>0</v>
      </c>
      <c r="Q100" s="183">
        <f>SUMIFS('декабрь 2025'!$G$2:$G$2730,'декабрь 2025'!$D$2:$D$2730,$B100,'декабрь 2025'!$J$2:$J$2730,Q$1)</f>
        <v>0</v>
      </c>
      <c r="R100" s="183">
        <f>SUMIFS('декабрь 2025'!$G$2:$G$2730,'декабрь 2025'!$D$2:$D$2730,$B100,'декабрь 2025'!$J$2:$J$2730,R$1)</f>
        <v>0</v>
      </c>
      <c r="S100" s="183">
        <f>SUMIFS('декабрь 2025'!$G$2:$G$2730,'декабрь 2025'!$D$2:$D$2730,$B100,'декабрь 2025'!$J$2:$J$2730,S$1)</f>
        <v>0</v>
      </c>
      <c r="T100" s="183">
        <f>SUMIFS('декабрь 2025'!$G$2:$G$2730,'декабрь 2025'!$D$2:$D$2730,$B100,'декабрь 2025'!$J$2:$J$2730,T$1)</f>
        <v>0</v>
      </c>
      <c r="U100" s="183">
        <f>SUMIFS('декабрь 2025'!$G$2:$G$2730,'декабрь 2025'!$D$2:$D$2730,$B100,'декабрь 2025'!$J$2:$J$2730,U$1)</f>
        <v>0</v>
      </c>
      <c r="V100" s="183">
        <f>SUMIFS('декабрь 2025'!$G$2:$G$2730,'декабрь 2025'!$D$2:$D$2730,$B100,'декабрь 2025'!$J$2:$J$2730,V$1)</f>
        <v>0</v>
      </c>
      <c r="W100" s="183">
        <f>SUMIFS('декабрь 2025'!$G$2:$G$2730,'декабрь 2025'!$D$2:$D$2730,$B100,'декабрь 2025'!$J$2:$J$2730,W$1)</f>
        <v>0</v>
      </c>
      <c r="X100" s="183">
        <f>SUMIFS('декабрь 2025'!$G$2:$G$2730,'декабрь 2025'!$D$2:$D$2730,$B100,'декабрь 2025'!$J$2:$J$2730,X$1)</f>
        <v>0</v>
      </c>
      <c r="Y100" s="183">
        <f>SUMIFS('декабрь 2025'!$G$2:$G$2730,'декабрь 2025'!$D$2:$D$2730,$B100,'декабрь 2025'!$J$2:$J$2730,Y$1)</f>
        <v>0</v>
      </c>
      <c r="Z100" s="183">
        <f>SUMIFS('декабрь 2025'!$G$2:$G$2730,'декабрь 2025'!$D$2:$D$2730,$B100,'декабрь 2025'!$J$2:$J$2730,Z$1)</f>
        <v>0</v>
      </c>
      <c r="AA100" s="183">
        <f>SUMIFS('декабрь 2025'!$G$2:$G$2730,'декабрь 2025'!$D$2:$D$2730,$B100,'декабрь 2025'!$J$2:$J$2730,AA$1)</f>
        <v>0</v>
      </c>
      <c r="AB100" s="183">
        <f>SUMIFS('декабрь 2025'!$G$2:$G$2730,'декабрь 2025'!$D$2:$D$2730,$B100,'декабрь 2025'!$J$2:$J$2730,AB$1)</f>
        <v>0</v>
      </c>
      <c r="AC100" s="183">
        <f>SUMIFS('декабрь 2025'!$G$2:$G$2730,'декабрь 2025'!$D$2:$D$2730,$B100,'декабрь 2025'!$J$2:$J$2730,AC$1)</f>
        <v>0</v>
      </c>
      <c r="AD100" s="183">
        <f>SUMIFS('декабрь 2025'!$G$2:$G$2730,'декабрь 2025'!$D$2:$D$2730,$B100,'декабрь 2025'!$J$2:$J$2730,AD$1)</f>
        <v>0</v>
      </c>
      <c r="AE100" s="183">
        <f>SUMIFS('декабрь 2025'!$G$2:$G$2730,'декабрь 2025'!$D$2:$D$2730,$B100,'декабрь 2025'!$J$2:$J$2730,AE$1)</f>
        <v>0</v>
      </c>
      <c r="AF100" s="183">
        <f>SUMIFS('декабрь 2025'!$G$2:$G$2730,'декабрь 2025'!$D$2:$D$2730,$B100,'декабрь 2025'!$J$2:$J$2730,AF$1)</f>
        <v>0</v>
      </c>
      <c r="AG100" s="183">
        <f>SUMIFS('декабрь 2025'!$G$2:$G$2730,'декабрь 2025'!$D$2:$D$2730,$B100,'декабрь 2025'!$J$2:$J$2730,AG$1)</f>
        <v>0</v>
      </c>
      <c r="AH100" s="183">
        <f>SUMIFS('декабрь 2025'!$G$2:$G$2730,'декабрь 2025'!$D$2:$D$2730,$B100,'декабрь 2025'!$J$2:$J$2730,AH$1)</f>
        <v>0</v>
      </c>
      <c r="AI100" s="20">
        <f t="shared" si="1"/>
        <v>0</v>
      </c>
    </row>
    <row r="101" spans="2:35" ht="15" customHeight="1" x14ac:dyDescent="0.25">
      <c r="B101" s="88" t="s">
        <v>298</v>
      </c>
      <c r="C101" s="86">
        <v>190</v>
      </c>
      <c r="D101" s="183">
        <f>SUMIFS('декабрь 2025'!$G$2:$G$2730,'декабрь 2025'!$D$2:$D$2730,$B101,'декабрь 2025'!$J$2:$J$2730,D$1)</f>
        <v>0</v>
      </c>
      <c r="E101" s="183">
        <f>SUMIFS('декабрь 2025'!$G$2:$G$2730,'декабрь 2025'!$D$2:$D$2730,$B101,'декабрь 2025'!$J$2:$J$2730,E$1)</f>
        <v>0</v>
      </c>
      <c r="F101" s="183">
        <f>SUMIFS('декабрь 2025'!$G$2:$G$2730,'декабрь 2025'!$D$2:$D$2730,$B101,'декабрь 2025'!$J$2:$J$2730,F$1)</f>
        <v>0</v>
      </c>
      <c r="G101" s="183">
        <f>SUMIFS('декабрь 2025'!$G$2:$G$2730,'декабрь 2025'!$D$2:$D$2730,$B101,'декабрь 2025'!$J$2:$J$2730,G$1)</f>
        <v>0</v>
      </c>
      <c r="H101" s="183">
        <f>SUMIFS('декабрь 2025'!$G$2:$G$2730,'декабрь 2025'!$D$2:$D$2730,$B101,'декабрь 2025'!$J$2:$J$2730,H$1)</f>
        <v>0</v>
      </c>
      <c r="I101" s="183">
        <f>SUMIFS('декабрь 2025'!$G$2:$G$2730,'декабрь 2025'!$D$2:$D$2730,$B101,'декабрь 2025'!$J$2:$J$2730,I$1)</f>
        <v>0</v>
      </c>
      <c r="J101" s="183">
        <f>SUMIFS('декабрь 2025'!$G$2:$G$2730,'декабрь 2025'!$D$2:$D$2730,$B101,'декабрь 2025'!$J$2:$J$2730,J$1)</f>
        <v>0</v>
      </c>
      <c r="K101" s="183">
        <f>SUMIFS('декабрь 2025'!$G$2:$G$2730,'декабрь 2025'!$D$2:$D$2730,$B101,'декабрь 2025'!$J$2:$J$2730,K$1)</f>
        <v>0</v>
      </c>
      <c r="L101" s="183">
        <f>SUMIFS('декабрь 2025'!$G$2:$G$2730,'декабрь 2025'!$D$2:$D$2730,$B101,'декабрь 2025'!$J$2:$J$2730,L$1)</f>
        <v>0</v>
      </c>
      <c r="M101" s="183">
        <f>SUMIFS('декабрь 2025'!$G$2:$G$2730,'декабрь 2025'!$D$2:$D$2730,$B101,'декабрь 2025'!$J$2:$J$2730,M$1)</f>
        <v>0</v>
      </c>
      <c r="N101" s="183">
        <f>SUMIFS('декабрь 2025'!$G$2:$G$2730,'декабрь 2025'!$D$2:$D$2730,$B101,'декабрь 2025'!$J$2:$J$2730,N$1)</f>
        <v>0</v>
      </c>
      <c r="O101" s="183">
        <f>SUMIFS('декабрь 2025'!$G$2:$G$2730,'декабрь 2025'!$D$2:$D$2730,$B101,'декабрь 2025'!$J$2:$J$2730,O$1)</f>
        <v>0</v>
      </c>
      <c r="P101" s="183">
        <f>SUMIFS('декабрь 2025'!$G$2:$G$2730,'декабрь 2025'!$D$2:$D$2730,$B101,'декабрь 2025'!$J$2:$J$2730,P$1)</f>
        <v>0</v>
      </c>
      <c r="Q101" s="183">
        <f>SUMIFS('декабрь 2025'!$G$2:$G$2730,'декабрь 2025'!$D$2:$D$2730,$B101,'декабрь 2025'!$J$2:$J$2730,Q$1)</f>
        <v>0</v>
      </c>
      <c r="R101" s="183">
        <f>SUMIFS('декабрь 2025'!$G$2:$G$2730,'декабрь 2025'!$D$2:$D$2730,$B101,'декабрь 2025'!$J$2:$J$2730,R$1)</f>
        <v>0</v>
      </c>
      <c r="S101" s="183">
        <f>SUMIFS('декабрь 2025'!$G$2:$G$2730,'декабрь 2025'!$D$2:$D$2730,$B101,'декабрь 2025'!$J$2:$J$2730,S$1)</f>
        <v>0</v>
      </c>
      <c r="T101" s="183">
        <f>SUMIFS('декабрь 2025'!$G$2:$G$2730,'декабрь 2025'!$D$2:$D$2730,$B101,'декабрь 2025'!$J$2:$J$2730,T$1)</f>
        <v>0</v>
      </c>
      <c r="U101" s="183">
        <f>SUMIFS('декабрь 2025'!$G$2:$G$2730,'декабрь 2025'!$D$2:$D$2730,$B101,'декабрь 2025'!$J$2:$J$2730,U$1)</f>
        <v>0</v>
      </c>
      <c r="V101" s="183">
        <f>SUMIFS('декабрь 2025'!$G$2:$G$2730,'декабрь 2025'!$D$2:$D$2730,$B101,'декабрь 2025'!$J$2:$J$2730,V$1)</f>
        <v>0</v>
      </c>
      <c r="W101" s="183">
        <f>SUMIFS('декабрь 2025'!$G$2:$G$2730,'декабрь 2025'!$D$2:$D$2730,$B101,'декабрь 2025'!$J$2:$J$2730,W$1)</f>
        <v>0</v>
      </c>
      <c r="X101" s="183">
        <f>SUMIFS('декабрь 2025'!$G$2:$G$2730,'декабрь 2025'!$D$2:$D$2730,$B101,'декабрь 2025'!$J$2:$J$2730,X$1)</f>
        <v>0</v>
      </c>
      <c r="Y101" s="183">
        <f>SUMIFS('декабрь 2025'!$G$2:$G$2730,'декабрь 2025'!$D$2:$D$2730,$B101,'декабрь 2025'!$J$2:$J$2730,Y$1)</f>
        <v>0</v>
      </c>
      <c r="Z101" s="183">
        <f>SUMIFS('декабрь 2025'!$G$2:$G$2730,'декабрь 2025'!$D$2:$D$2730,$B101,'декабрь 2025'!$J$2:$J$2730,Z$1)</f>
        <v>0</v>
      </c>
      <c r="AA101" s="183">
        <f>SUMIFS('декабрь 2025'!$G$2:$G$2730,'декабрь 2025'!$D$2:$D$2730,$B101,'декабрь 2025'!$J$2:$J$2730,AA$1)</f>
        <v>0</v>
      </c>
      <c r="AB101" s="183">
        <f>SUMIFS('декабрь 2025'!$G$2:$G$2730,'декабрь 2025'!$D$2:$D$2730,$B101,'декабрь 2025'!$J$2:$J$2730,AB$1)</f>
        <v>0</v>
      </c>
      <c r="AC101" s="183">
        <f>SUMIFS('декабрь 2025'!$G$2:$G$2730,'декабрь 2025'!$D$2:$D$2730,$B101,'декабрь 2025'!$J$2:$J$2730,AC$1)</f>
        <v>0</v>
      </c>
      <c r="AD101" s="183">
        <f>SUMIFS('декабрь 2025'!$G$2:$G$2730,'декабрь 2025'!$D$2:$D$2730,$B101,'декабрь 2025'!$J$2:$J$2730,AD$1)</f>
        <v>0</v>
      </c>
      <c r="AE101" s="183">
        <f>SUMIFS('декабрь 2025'!$G$2:$G$2730,'декабрь 2025'!$D$2:$D$2730,$B101,'декабрь 2025'!$J$2:$J$2730,AE$1)</f>
        <v>0</v>
      </c>
      <c r="AF101" s="183">
        <f>SUMIFS('декабрь 2025'!$G$2:$G$2730,'декабрь 2025'!$D$2:$D$2730,$B101,'декабрь 2025'!$J$2:$J$2730,AF$1)</f>
        <v>0</v>
      </c>
      <c r="AG101" s="183">
        <f>SUMIFS('декабрь 2025'!$G$2:$G$2730,'декабрь 2025'!$D$2:$D$2730,$B101,'декабрь 2025'!$J$2:$J$2730,AG$1)</f>
        <v>0</v>
      </c>
      <c r="AH101" s="183">
        <f>SUMIFS('декабрь 2025'!$G$2:$G$2730,'декабрь 2025'!$D$2:$D$2730,$B101,'декабрь 2025'!$J$2:$J$2730,AH$1)</f>
        <v>0</v>
      </c>
      <c r="AI101" s="20">
        <f t="shared" si="1"/>
        <v>0</v>
      </c>
    </row>
    <row r="102" spans="2:35" ht="15" customHeight="1" x14ac:dyDescent="0.25">
      <c r="B102" s="88" t="s">
        <v>312</v>
      </c>
      <c r="C102" s="86">
        <v>190</v>
      </c>
      <c r="D102" s="183">
        <f>SUMIFS('декабрь 2025'!$G$2:$G$2730,'декабрь 2025'!$D$2:$D$2730,$B102,'декабрь 2025'!$J$2:$J$2730,D$1)</f>
        <v>0</v>
      </c>
      <c r="E102" s="183">
        <f>SUMIFS('декабрь 2025'!$G$2:$G$2730,'декабрь 2025'!$D$2:$D$2730,$B102,'декабрь 2025'!$J$2:$J$2730,E$1)</f>
        <v>0</v>
      </c>
      <c r="F102" s="183">
        <f>SUMIFS('декабрь 2025'!$G$2:$G$2730,'декабрь 2025'!$D$2:$D$2730,$B102,'декабрь 2025'!$J$2:$J$2730,F$1)</f>
        <v>0</v>
      </c>
      <c r="G102" s="183">
        <f>SUMIFS('декабрь 2025'!$G$2:$G$2730,'декабрь 2025'!$D$2:$D$2730,$B102,'декабрь 2025'!$J$2:$J$2730,G$1)</f>
        <v>0</v>
      </c>
      <c r="H102" s="183">
        <f>SUMIFS('декабрь 2025'!$G$2:$G$2730,'декабрь 2025'!$D$2:$D$2730,$B102,'декабрь 2025'!$J$2:$J$2730,H$1)</f>
        <v>0</v>
      </c>
      <c r="I102" s="183">
        <f>SUMIFS('декабрь 2025'!$G$2:$G$2730,'декабрь 2025'!$D$2:$D$2730,$B102,'декабрь 2025'!$J$2:$J$2730,I$1)</f>
        <v>0</v>
      </c>
      <c r="J102" s="183">
        <f>SUMIFS('декабрь 2025'!$G$2:$G$2730,'декабрь 2025'!$D$2:$D$2730,$B102,'декабрь 2025'!$J$2:$J$2730,J$1)</f>
        <v>0</v>
      </c>
      <c r="K102" s="183">
        <f>SUMIFS('декабрь 2025'!$G$2:$G$2730,'декабрь 2025'!$D$2:$D$2730,$B102,'декабрь 2025'!$J$2:$J$2730,K$1)</f>
        <v>0</v>
      </c>
      <c r="L102" s="183">
        <f>SUMIFS('декабрь 2025'!$G$2:$G$2730,'декабрь 2025'!$D$2:$D$2730,$B102,'декабрь 2025'!$J$2:$J$2730,L$1)</f>
        <v>0</v>
      </c>
      <c r="M102" s="183">
        <f>SUMIFS('декабрь 2025'!$G$2:$G$2730,'декабрь 2025'!$D$2:$D$2730,$B102,'декабрь 2025'!$J$2:$J$2730,M$1)</f>
        <v>0</v>
      </c>
      <c r="N102" s="183">
        <f>SUMIFS('декабрь 2025'!$G$2:$G$2730,'декабрь 2025'!$D$2:$D$2730,$B102,'декабрь 2025'!$J$2:$J$2730,N$1)</f>
        <v>0</v>
      </c>
      <c r="O102" s="183">
        <f>SUMIFS('декабрь 2025'!$G$2:$G$2730,'декабрь 2025'!$D$2:$D$2730,$B102,'декабрь 2025'!$J$2:$J$2730,O$1)</f>
        <v>0</v>
      </c>
      <c r="P102" s="183">
        <f>SUMIFS('декабрь 2025'!$G$2:$G$2730,'декабрь 2025'!$D$2:$D$2730,$B102,'декабрь 2025'!$J$2:$J$2730,P$1)</f>
        <v>0</v>
      </c>
      <c r="Q102" s="183">
        <f>SUMIFS('декабрь 2025'!$G$2:$G$2730,'декабрь 2025'!$D$2:$D$2730,$B102,'декабрь 2025'!$J$2:$J$2730,Q$1)</f>
        <v>0</v>
      </c>
      <c r="R102" s="183">
        <f>SUMIFS('декабрь 2025'!$G$2:$G$2730,'декабрь 2025'!$D$2:$D$2730,$B102,'декабрь 2025'!$J$2:$J$2730,R$1)</f>
        <v>0</v>
      </c>
      <c r="S102" s="183">
        <f>SUMIFS('декабрь 2025'!$G$2:$G$2730,'декабрь 2025'!$D$2:$D$2730,$B102,'декабрь 2025'!$J$2:$J$2730,S$1)</f>
        <v>0</v>
      </c>
      <c r="T102" s="183">
        <f>SUMIFS('декабрь 2025'!$G$2:$G$2730,'декабрь 2025'!$D$2:$D$2730,$B102,'декабрь 2025'!$J$2:$J$2730,T$1)</f>
        <v>0</v>
      </c>
      <c r="U102" s="183">
        <f>SUMIFS('декабрь 2025'!$G$2:$G$2730,'декабрь 2025'!$D$2:$D$2730,$B102,'декабрь 2025'!$J$2:$J$2730,U$1)</f>
        <v>0</v>
      </c>
      <c r="V102" s="183">
        <f>SUMIFS('декабрь 2025'!$G$2:$G$2730,'декабрь 2025'!$D$2:$D$2730,$B102,'декабрь 2025'!$J$2:$J$2730,V$1)</f>
        <v>0</v>
      </c>
      <c r="W102" s="183">
        <f>SUMIFS('декабрь 2025'!$G$2:$G$2730,'декабрь 2025'!$D$2:$D$2730,$B102,'декабрь 2025'!$J$2:$J$2730,W$1)</f>
        <v>0</v>
      </c>
      <c r="X102" s="183">
        <f>SUMIFS('декабрь 2025'!$G$2:$G$2730,'декабрь 2025'!$D$2:$D$2730,$B102,'декабрь 2025'!$J$2:$J$2730,X$1)</f>
        <v>0</v>
      </c>
      <c r="Y102" s="183">
        <f>SUMIFS('декабрь 2025'!$G$2:$G$2730,'декабрь 2025'!$D$2:$D$2730,$B102,'декабрь 2025'!$J$2:$J$2730,Y$1)</f>
        <v>0</v>
      </c>
      <c r="Z102" s="183">
        <f>SUMIFS('декабрь 2025'!$G$2:$G$2730,'декабрь 2025'!$D$2:$D$2730,$B102,'декабрь 2025'!$J$2:$J$2730,Z$1)</f>
        <v>0</v>
      </c>
      <c r="AA102" s="183">
        <f>SUMIFS('декабрь 2025'!$G$2:$G$2730,'декабрь 2025'!$D$2:$D$2730,$B102,'декабрь 2025'!$J$2:$J$2730,AA$1)</f>
        <v>0</v>
      </c>
      <c r="AB102" s="183">
        <f>SUMIFS('декабрь 2025'!$G$2:$G$2730,'декабрь 2025'!$D$2:$D$2730,$B102,'декабрь 2025'!$J$2:$J$2730,AB$1)</f>
        <v>0</v>
      </c>
      <c r="AC102" s="183">
        <f>SUMIFS('декабрь 2025'!$G$2:$G$2730,'декабрь 2025'!$D$2:$D$2730,$B102,'декабрь 2025'!$J$2:$J$2730,AC$1)</f>
        <v>0</v>
      </c>
      <c r="AD102" s="183">
        <f>SUMIFS('декабрь 2025'!$G$2:$G$2730,'декабрь 2025'!$D$2:$D$2730,$B102,'декабрь 2025'!$J$2:$J$2730,AD$1)</f>
        <v>0</v>
      </c>
      <c r="AE102" s="183">
        <f>SUMIFS('декабрь 2025'!$G$2:$G$2730,'декабрь 2025'!$D$2:$D$2730,$B102,'декабрь 2025'!$J$2:$J$2730,AE$1)</f>
        <v>0</v>
      </c>
      <c r="AF102" s="183">
        <f>SUMIFS('декабрь 2025'!$G$2:$G$2730,'декабрь 2025'!$D$2:$D$2730,$B102,'декабрь 2025'!$J$2:$J$2730,AF$1)</f>
        <v>0</v>
      </c>
      <c r="AG102" s="183">
        <f>SUMIFS('декабрь 2025'!$G$2:$G$2730,'декабрь 2025'!$D$2:$D$2730,$B102,'декабрь 2025'!$J$2:$J$2730,AG$1)</f>
        <v>0</v>
      </c>
      <c r="AH102" s="183">
        <f>SUMIFS('декабрь 2025'!$G$2:$G$2730,'декабрь 2025'!$D$2:$D$2730,$B102,'декабрь 2025'!$J$2:$J$2730,AH$1)</f>
        <v>0</v>
      </c>
      <c r="AI102" s="20">
        <f t="shared" si="1"/>
        <v>0</v>
      </c>
    </row>
    <row r="103" spans="2:35" ht="15" customHeight="1" x14ac:dyDescent="0.25">
      <c r="B103" s="88" t="s">
        <v>1397</v>
      </c>
      <c r="C103" s="86">
        <v>200</v>
      </c>
      <c r="D103" s="183">
        <f>SUMIFS('декабрь 2025'!$G$2:$G$2730,'декабрь 2025'!$D$2:$D$2730,$B103,'декабрь 2025'!$J$2:$J$2730,D$1)</f>
        <v>0</v>
      </c>
      <c r="E103" s="183">
        <f>SUMIFS('декабрь 2025'!$G$2:$G$2730,'декабрь 2025'!$D$2:$D$2730,$B103,'декабрь 2025'!$J$2:$J$2730,E$1)</f>
        <v>0</v>
      </c>
      <c r="F103" s="183">
        <f>SUMIFS('декабрь 2025'!$G$2:$G$2730,'декабрь 2025'!$D$2:$D$2730,$B103,'декабрь 2025'!$J$2:$J$2730,F$1)</f>
        <v>0</v>
      </c>
      <c r="G103" s="183">
        <f>SUMIFS('декабрь 2025'!$G$2:$G$2730,'декабрь 2025'!$D$2:$D$2730,$B103,'декабрь 2025'!$J$2:$J$2730,G$1)</f>
        <v>0</v>
      </c>
      <c r="H103" s="183">
        <f>SUMIFS('декабрь 2025'!$G$2:$G$2730,'декабрь 2025'!$D$2:$D$2730,$B103,'декабрь 2025'!$J$2:$J$2730,H$1)</f>
        <v>0</v>
      </c>
      <c r="I103" s="183">
        <f>SUMIFS('декабрь 2025'!$G$2:$G$2730,'декабрь 2025'!$D$2:$D$2730,$B103,'декабрь 2025'!$J$2:$J$2730,I$1)</f>
        <v>0</v>
      </c>
      <c r="J103" s="183">
        <f>SUMIFS('декабрь 2025'!$G$2:$G$2730,'декабрь 2025'!$D$2:$D$2730,$B103,'декабрь 2025'!$J$2:$J$2730,J$1)</f>
        <v>0</v>
      </c>
      <c r="K103" s="183">
        <f>SUMIFS('декабрь 2025'!$G$2:$G$2730,'декабрь 2025'!$D$2:$D$2730,$B103,'декабрь 2025'!$J$2:$J$2730,K$1)</f>
        <v>0</v>
      </c>
      <c r="L103" s="183">
        <f>SUMIFS('декабрь 2025'!$G$2:$G$2730,'декабрь 2025'!$D$2:$D$2730,$B103,'декабрь 2025'!$J$2:$J$2730,L$1)</f>
        <v>0</v>
      </c>
      <c r="M103" s="183">
        <f>SUMIFS('декабрь 2025'!$G$2:$G$2730,'декабрь 2025'!$D$2:$D$2730,$B103,'декабрь 2025'!$J$2:$J$2730,M$1)</f>
        <v>0</v>
      </c>
      <c r="N103" s="183">
        <f>SUMIFS('декабрь 2025'!$G$2:$G$2730,'декабрь 2025'!$D$2:$D$2730,$B103,'декабрь 2025'!$J$2:$J$2730,N$1)</f>
        <v>0</v>
      </c>
      <c r="O103" s="183">
        <f>SUMIFS('декабрь 2025'!$G$2:$G$2730,'декабрь 2025'!$D$2:$D$2730,$B103,'декабрь 2025'!$J$2:$J$2730,O$1)</f>
        <v>0</v>
      </c>
      <c r="P103" s="183">
        <f>SUMIFS('декабрь 2025'!$G$2:$G$2730,'декабрь 2025'!$D$2:$D$2730,$B103,'декабрь 2025'!$J$2:$J$2730,P$1)</f>
        <v>0</v>
      </c>
      <c r="Q103" s="183">
        <f>SUMIFS('декабрь 2025'!$G$2:$G$2730,'декабрь 2025'!$D$2:$D$2730,$B103,'декабрь 2025'!$J$2:$J$2730,Q$1)</f>
        <v>0</v>
      </c>
      <c r="R103" s="183">
        <f>SUMIFS('декабрь 2025'!$G$2:$G$2730,'декабрь 2025'!$D$2:$D$2730,$B103,'декабрь 2025'!$J$2:$J$2730,R$1)</f>
        <v>0</v>
      </c>
      <c r="S103" s="183">
        <f>SUMIFS('декабрь 2025'!$G$2:$G$2730,'декабрь 2025'!$D$2:$D$2730,$B103,'декабрь 2025'!$J$2:$J$2730,S$1)</f>
        <v>0</v>
      </c>
      <c r="T103" s="183">
        <f>SUMIFS('декабрь 2025'!$G$2:$G$2730,'декабрь 2025'!$D$2:$D$2730,$B103,'декабрь 2025'!$J$2:$J$2730,T$1)</f>
        <v>0</v>
      </c>
      <c r="U103" s="183">
        <f>SUMIFS('декабрь 2025'!$G$2:$G$2730,'декабрь 2025'!$D$2:$D$2730,$B103,'декабрь 2025'!$J$2:$J$2730,U$1)</f>
        <v>0</v>
      </c>
      <c r="V103" s="183">
        <f>SUMIFS('декабрь 2025'!$G$2:$G$2730,'декабрь 2025'!$D$2:$D$2730,$B103,'декабрь 2025'!$J$2:$J$2730,V$1)</f>
        <v>0</v>
      </c>
      <c r="W103" s="183">
        <f>SUMIFS('декабрь 2025'!$G$2:$G$2730,'декабрь 2025'!$D$2:$D$2730,$B103,'декабрь 2025'!$J$2:$J$2730,W$1)</f>
        <v>0</v>
      </c>
      <c r="X103" s="183">
        <f>SUMIFS('декабрь 2025'!$G$2:$G$2730,'декабрь 2025'!$D$2:$D$2730,$B103,'декабрь 2025'!$J$2:$J$2730,X$1)</f>
        <v>0</v>
      </c>
      <c r="Y103" s="183">
        <f>SUMIFS('декабрь 2025'!$G$2:$G$2730,'декабрь 2025'!$D$2:$D$2730,$B103,'декабрь 2025'!$J$2:$J$2730,Y$1)</f>
        <v>0</v>
      </c>
      <c r="Z103" s="183">
        <f>SUMIFS('декабрь 2025'!$G$2:$G$2730,'декабрь 2025'!$D$2:$D$2730,$B103,'декабрь 2025'!$J$2:$J$2730,Z$1)</f>
        <v>0</v>
      </c>
      <c r="AA103" s="183">
        <f>SUMIFS('декабрь 2025'!$G$2:$G$2730,'декабрь 2025'!$D$2:$D$2730,$B103,'декабрь 2025'!$J$2:$J$2730,AA$1)</f>
        <v>0</v>
      </c>
      <c r="AB103" s="183">
        <f>SUMIFS('декабрь 2025'!$G$2:$G$2730,'декабрь 2025'!$D$2:$D$2730,$B103,'декабрь 2025'!$J$2:$J$2730,AB$1)</f>
        <v>0</v>
      </c>
      <c r="AC103" s="183">
        <f>SUMIFS('декабрь 2025'!$G$2:$G$2730,'декабрь 2025'!$D$2:$D$2730,$B103,'декабрь 2025'!$J$2:$J$2730,AC$1)</f>
        <v>0</v>
      </c>
      <c r="AD103" s="183">
        <f>SUMIFS('декабрь 2025'!$G$2:$G$2730,'декабрь 2025'!$D$2:$D$2730,$B103,'декабрь 2025'!$J$2:$J$2730,AD$1)</f>
        <v>0</v>
      </c>
      <c r="AE103" s="183">
        <f>SUMIFS('декабрь 2025'!$G$2:$G$2730,'декабрь 2025'!$D$2:$D$2730,$B103,'декабрь 2025'!$J$2:$J$2730,AE$1)</f>
        <v>0</v>
      </c>
      <c r="AF103" s="183">
        <f>SUMIFS('декабрь 2025'!$G$2:$G$2730,'декабрь 2025'!$D$2:$D$2730,$B103,'декабрь 2025'!$J$2:$J$2730,AF$1)</f>
        <v>0</v>
      </c>
      <c r="AG103" s="183">
        <f>SUMIFS('декабрь 2025'!$G$2:$G$2730,'декабрь 2025'!$D$2:$D$2730,$B103,'декабрь 2025'!$J$2:$J$2730,AG$1)</f>
        <v>0</v>
      </c>
      <c r="AH103" s="183">
        <f>SUMIFS('декабрь 2025'!$G$2:$G$2730,'декабрь 2025'!$D$2:$D$2730,$B103,'декабрь 2025'!$J$2:$J$2730,AH$1)</f>
        <v>0</v>
      </c>
      <c r="AI103" s="20">
        <f t="shared" si="1"/>
        <v>0</v>
      </c>
    </row>
    <row r="104" spans="2:35" ht="15" customHeight="1" x14ac:dyDescent="0.25">
      <c r="B104" s="88" t="s">
        <v>1437</v>
      </c>
      <c r="C104" s="86">
        <v>190</v>
      </c>
      <c r="D104" s="183">
        <f>SUMIFS('декабрь 2025'!$G$2:$G$2730,'декабрь 2025'!$D$2:$D$2730,$B104,'декабрь 2025'!$J$2:$J$2730,D$1)</f>
        <v>0</v>
      </c>
      <c r="E104" s="183">
        <f>SUMIFS('декабрь 2025'!$G$2:$G$2730,'декабрь 2025'!$D$2:$D$2730,$B104,'декабрь 2025'!$J$2:$J$2730,E$1)</f>
        <v>0</v>
      </c>
      <c r="F104" s="183">
        <f>SUMIFS('декабрь 2025'!$G$2:$G$2730,'декабрь 2025'!$D$2:$D$2730,$B104,'декабрь 2025'!$J$2:$J$2730,F$1)</f>
        <v>0</v>
      </c>
      <c r="G104" s="183">
        <f>SUMIFS('декабрь 2025'!$G$2:$G$2730,'декабрь 2025'!$D$2:$D$2730,$B104,'декабрь 2025'!$J$2:$J$2730,G$1)</f>
        <v>0</v>
      </c>
      <c r="H104" s="183">
        <f>SUMIFS('декабрь 2025'!$G$2:$G$2730,'декабрь 2025'!$D$2:$D$2730,$B104,'декабрь 2025'!$J$2:$J$2730,H$1)</f>
        <v>0</v>
      </c>
      <c r="I104" s="183">
        <f>SUMIFS('декабрь 2025'!$G$2:$G$2730,'декабрь 2025'!$D$2:$D$2730,$B104,'декабрь 2025'!$J$2:$J$2730,I$1)</f>
        <v>0</v>
      </c>
      <c r="J104" s="183">
        <f>SUMIFS('декабрь 2025'!$G$2:$G$2730,'декабрь 2025'!$D$2:$D$2730,$B104,'декабрь 2025'!$J$2:$J$2730,J$1)</f>
        <v>0</v>
      </c>
      <c r="K104" s="183">
        <f>SUMIFS('декабрь 2025'!$G$2:$G$2730,'декабрь 2025'!$D$2:$D$2730,$B104,'декабрь 2025'!$J$2:$J$2730,K$1)</f>
        <v>0</v>
      </c>
      <c r="L104" s="183">
        <f>SUMIFS('декабрь 2025'!$G$2:$G$2730,'декабрь 2025'!$D$2:$D$2730,$B104,'декабрь 2025'!$J$2:$J$2730,L$1)</f>
        <v>0</v>
      </c>
      <c r="M104" s="183">
        <f>SUMIFS('декабрь 2025'!$G$2:$G$2730,'декабрь 2025'!$D$2:$D$2730,$B104,'декабрь 2025'!$J$2:$J$2730,M$1)</f>
        <v>0</v>
      </c>
      <c r="N104" s="183">
        <f>SUMIFS('декабрь 2025'!$G$2:$G$2730,'декабрь 2025'!$D$2:$D$2730,$B104,'декабрь 2025'!$J$2:$J$2730,N$1)</f>
        <v>0</v>
      </c>
      <c r="O104" s="183">
        <f>SUMIFS('декабрь 2025'!$G$2:$G$2730,'декабрь 2025'!$D$2:$D$2730,$B104,'декабрь 2025'!$J$2:$J$2730,O$1)</f>
        <v>0</v>
      </c>
      <c r="P104" s="183">
        <f>SUMIFS('декабрь 2025'!$G$2:$G$2730,'декабрь 2025'!$D$2:$D$2730,$B104,'декабрь 2025'!$J$2:$J$2730,P$1)</f>
        <v>0</v>
      </c>
      <c r="Q104" s="183">
        <f>SUMIFS('декабрь 2025'!$G$2:$G$2730,'декабрь 2025'!$D$2:$D$2730,$B104,'декабрь 2025'!$J$2:$J$2730,Q$1)</f>
        <v>0</v>
      </c>
      <c r="R104" s="183">
        <f>SUMIFS('декабрь 2025'!$G$2:$G$2730,'декабрь 2025'!$D$2:$D$2730,$B104,'декабрь 2025'!$J$2:$J$2730,R$1)</f>
        <v>0</v>
      </c>
      <c r="S104" s="183">
        <f>SUMIFS('декабрь 2025'!$G$2:$G$2730,'декабрь 2025'!$D$2:$D$2730,$B104,'декабрь 2025'!$J$2:$J$2730,S$1)</f>
        <v>0</v>
      </c>
      <c r="T104" s="183">
        <f>SUMIFS('декабрь 2025'!$G$2:$G$2730,'декабрь 2025'!$D$2:$D$2730,$B104,'декабрь 2025'!$J$2:$J$2730,T$1)</f>
        <v>0</v>
      </c>
      <c r="U104" s="183">
        <f>SUMIFS('декабрь 2025'!$G$2:$G$2730,'декабрь 2025'!$D$2:$D$2730,$B104,'декабрь 2025'!$J$2:$J$2730,U$1)</f>
        <v>0</v>
      </c>
      <c r="V104" s="183">
        <f>SUMIFS('декабрь 2025'!$G$2:$G$2730,'декабрь 2025'!$D$2:$D$2730,$B104,'декабрь 2025'!$J$2:$J$2730,V$1)</f>
        <v>0</v>
      </c>
      <c r="W104" s="183">
        <f>SUMIFS('декабрь 2025'!$G$2:$G$2730,'декабрь 2025'!$D$2:$D$2730,$B104,'декабрь 2025'!$J$2:$J$2730,W$1)</f>
        <v>0</v>
      </c>
      <c r="X104" s="183">
        <f>SUMIFS('декабрь 2025'!$G$2:$G$2730,'декабрь 2025'!$D$2:$D$2730,$B104,'декабрь 2025'!$J$2:$J$2730,X$1)</f>
        <v>0</v>
      </c>
      <c r="Y104" s="183">
        <f>SUMIFS('декабрь 2025'!$G$2:$G$2730,'декабрь 2025'!$D$2:$D$2730,$B104,'декабрь 2025'!$J$2:$J$2730,Y$1)</f>
        <v>0</v>
      </c>
      <c r="Z104" s="183">
        <f>SUMIFS('декабрь 2025'!$G$2:$G$2730,'декабрь 2025'!$D$2:$D$2730,$B104,'декабрь 2025'!$J$2:$J$2730,Z$1)</f>
        <v>0</v>
      </c>
      <c r="AA104" s="183">
        <f>SUMIFS('декабрь 2025'!$G$2:$G$2730,'декабрь 2025'!$D$2:$D$2730,$B104,'декабрь 2025'!$J$2:$J$2730,AA$1)</f>
        <v>0</v>
      </c>
      <c r="AB104" s="183">
        <f>SUMIFS('декабрь 2025'!$G$2:$G$2730,'декабрь 2025'!$D$2:$D$2730,$B104,'декабрь 2025'!$J$2:$J$2730,AB$1)</f>
        <v>0</v>
      </c>
      <c r="AC104" s="183">
        <f>SUMIFS('декабрь 2025'!$G$2:$G$2730,'декабрь 2025'!$D$2:$D$2730,$B104,'декабрь 2025'!$J$2:$J$2730,AC$1)</f>
        <v>0</v>
      </c>
      <c r="AD104" s="183">
        <f>SUMIFS('декабрь 2025'!$G$2:$G$2730,'декабрь 2025'!$D$2:$D$2730,$B104,'декабрь 2025'!$J$2:$J$2730,AD$1)</f>
        <v>0</v>
      </c>
      <c r="AE104" s="183">
        <f>SUMIFS('декабрь 2025'!$G$2:$G$2730,'декабрь 2025'!$D$2:$D$2730,$B104,'декабрь 2025'!$J$2:$J$2730,AE$1)</f>
        <v>0</v>
      </c>
      <c r="AF104" s="183">
        <f>SUMIFS('декабрь 2025'!$G$2:$G$2730,'декабрь 2025'!$D$2:$D$2730,$B104,'декабрь 2025'!$J$2:$J$2730,AF$1)</f>
        <v>0</v>
      </c>
      <c r="AG104" s="183">
        <f>SUMIFS('декабрь 2025'!$G$2:$G$2730,'декабрь 2025'!$D$2:$D$2730,$B104,'декабрь 2025'!$J$2:$J$2730,AG$1)</f>
        <v>0</v>
      </c>
      <c r="AH104" s="183">
        <f>SUMIFS('декабрь 2025'!$G$2:$G$2730,'декабрь 2025'!$D$2:$D$2730,$B104,'декабрь 2025'!$J$2:$J$2730,AH$1)</f>
        <v>0</v>
      </c>
      <c r="AI104" s="20">
        <f t="shared" si="1"/>
        <v>0</v>
      </c>
    </row>
    <row r="105" spans="2:35" ht="15" customHeight="1" x14ac:dyDescent="0.25">
      <c r="B105" s="88" t="s">
        <v>282</v>
      </c>
      <c r="C105" s="86">
        <v>190</v>
      </c>
      <c r="D105" s="183">
        <f>SUMIFS('декабрь 2025'!$G$2:$G$2730,'декабрь 2025'!$D$2:$D$2730,$B105,'декабрь 2025'!$J$2:$J$2730,D$1)</f>
        <v>0</v>
      </c>
      <c r="E105" s="183">
        <f>SUMIFS('декабрь 2025'!$G$2:$G$2730,'декабрь 2025'!$D$2:$D$2730,$B105,'декабрь 2025'!$J$2:$J$2730,E$1)</f>
        <v>0</v>
      </c>
      <c r="F105" s="183">
        <f>SUMIFS('декабрь 2025'!$G$2:$G$2730,'декабрь 2025'!$D$2:$D$2730,$B105,'декабрь 2025'!$J$2:$J$2730,F$1)</f>
        <v>0</v>
      </c>
      <c r="G105" s="183">
        <f>SUMIFS('декабрь 2025'!$G$2:$G$2730,'декабрь 2025'!$D$2:$D$2730,$B105,'декабрь 2025'!$J$2:$J$2730,G$1)</f>
        <v>0</v>
      </c>
      <c r="H105" s="183">
        <f>SUMIFS('декабрь 2025'!$G$2:$G$2730,'декабрь 2025'!$D$2:$D$2730,$B105,'декабрь 2025'!$J$2:$J$2730,H$1)</f>
        <v>0</v>
      </c>
      <c r="I105" s="183">
        <f>SUMIFS('декабрь 2025'!$G$2:$G$2730,'декабрь 2025'!$D$2:$D$2730,$B105,'декабрь 2025'!$J$2:$J$2730,I$1)</f>
        <v>0</v>
      </c>
      <c r="J105" s="183">
        <f>SUMIFS('декабрь 2025'!$G$2:$G$2730,'декабрь 2025'!$D$2:$D$2730,$B105,'декабрь 2025'!$J$2:$J$2730,J$1)</f>
        <v>0</v>
      </c>
      <c r="K105" s="183">
        <f>SUMIFS('декабрь 2025'!$G$2:$G$2730,'декабрь 2025'!$D$2:$D$2730,$B105,'декабрь 2025'!$J$2:$J$2730,K$1)</f>
        <v>0</v>
      </c>
      <c r="L105" s="183">
        <f>SUMIFS('декабрь 2025'!$G$2:$G$2730,'декабрь 2025'!$D$2:$D$2730,$B105,'декабрь 2025'!$J$2:$J$2730,L$1)</f>
        <v>0</v>
      </c>
      <c r="M105" s="183">
        <f>SUMIFS('декабрь 2025'!$G$2:$G$2730,'декабрь 2025'!$D$2:$D$2730,$B105,'декабрь 2025'!$J$2:$J$2730,M$1)</f>
        <v>0</v>
      </c>
      <c r="N105" s="183">
        <f>SUMIFS('декабрь 2025'!$G$2:$G$2730,'декабрь 2025'!$D$2:$D$2730,$B105,'декабрь 2025'!$J$2:$J$2730,N$1)</f>
        <v>0</v>
      </c>
      <c r="O105" s="183">
        <f>SUMIFS('декабрь 2025'!$G$2:$G$2730,'декабрь 2025'!$D$2:$D$2730,$B105,'декабрь 2025'!$J$2:$J$2730,O$1)</f>
        <v>0</v>
      </c>
      <c r="P105" s="183">
        <f>SUMIFS('декабрь 2025'!$G$2:$G$2730,'декабрь 2025'!$D$2:$D$2730,$B105,'декабрь 2025'!$J$2:$J$2730,P$1)</f>
        <v>0</v>
      </c>
      <c r="Q105" s="183">
        <f>SUMIFS('декабрь 2025'!$G$2:$G$2730,'декабрь 2025'!$D$2:$D$2730,$B105,'декабрь 2025'!$J$2:$J$2730,Q$1)</f>
        <v>0</v>
      </c>
      <c r="R105" s="183">
        <f>SUMIFS('декабрь 2025'!$G$2:$G$2730,'декабрь 2025'!$D$2:$D$2730,$B105,'декабрь 2025'!$J$2:$J$2730,R$1)</f>
        <v>0</v>
      </c>
      <c r="S105" s="183">
        <f>SUMIFS('декабрь 2025'!$G$2:$G$2730,'декабрь 2025'!$D$2:$D$2730,$B105,'декабрь 2025'!$J$2:$J$2730,S$1)</f>
        <v>0</v>
      </c>
      <c r="T105" s="183">
        <f>SUMIFS('декабрь 2025'!$G$2:$G$2730,'декабрь 2025'!$D$2:$D$2730,$B105,'декабрь 2025'!$J$2:$J$2730,T$1)</f>
        <v>0</v>
      </c>
      <c r="U105" s="183">
        <f>SUMIFS('декабрь 2025'!$G$2:$G$2730,'декабрь 2025'!$D$2:$D$2730,$B105,'декабрь 2025'!$J$2:$J$2730,U$1)</f>
        <v>0</v>
      </c>
      <c r="V105" s="183">
        <f>SUMIFS('декабрь 2025'!$G$2:$G$2730,'декабрь 2025'!$D$2:$D$2730,$B105,'декабрь 2025'!$J$2:$J$2730,V$1)</f>
        <v>0</v>
      </c>
      <c r="W105" s="183">
        <f>SUMIFS('декабрь 2025'!$G$2:$G$2730,'декабрь 2025'!$D$2:$D$2730,$B105,'декабрь 2025'!$J$2:$J$2730,W$1)</f>
        <v>0</v>
      </c>
      <c r="X105" s="183">
        <f>SUMIFS('декабрь 2025'!$G$2:$G$2730,'декабрь 2025'!$D$2:$D$2730,$B105,'декабрь 2025'!$J$2:$J$2730,X$1)</f>
        <v>0</v>
      </c>
      <c r="Y105" s="183">
        <f>SUMIFS('декабрь 2025'!$G$2:$G$2730,'декабрь 2025'!$D$2:$D$2730,$B105,'декабрь 2025'!$J$2:$J$2730,Y$1)</f>
        <v>0</v>
      </c>
      <c r="Z105" s="183">
        <f>SUMIFS('декабрь 2025'!$G$2:$G$2730,'декабрь 2025'!$D$2:$D$2730,$B105,'декабрь 2025'!$J$2:$J$2730,Z$1)</f>
        <v>0</v>
      </c>
      <c r="AA105" s="183">
        <f>SUMIFS('декабрь 2025'!$G$2:$G$2730,'декабрь 2025'!$D$2:$D$2730,$B105,'декабрь 2025'!$J$2:$J$2730,AA$1)</f>
        <v>0</v>
      </c>
      <c r="AB105" s="183">
        <f>SUMIFS('декабрь 2025'!$G$2:$G$2730,'декабрь 2025'!$D$2:$D$2730,$B105,'декабрь 2025'!$J$2:$J$2730,AB$1)</f>
        <v>0</v>
      </c>
      <c r="AC105" s="183">
        <f>SUMIFS('декабрь 2025'!$G$2:$G$2730,'декабрь 2025'!$D$2:$D$2730,$B105,'декабрь 2025'!$J$2:$J$2730,AC$1)</f>
        <v>0</v>
      </c>
      <c r="AD105" s="183">
        <f>SUMIFS('декабрь 2025'!$G$2:$G$2730,'декабрь 2025'!$D$2:$D$2730,$B105,'декабрь 2025'!$J$2:$J$2730,AD$1)</f>
        <v>0</v>
      </c>
      <c r="AE105" s="183">
        <f>SUMIFS('декабрь 2025'!$G$2:$G$2730,'декабрь 2025'!$D$2:$D$2730,$B105,'декабрь 2025'!$J$2:$J$2730,AE$1)</f>
        <v>0</v>
      </c>
      <c r="AF105" s="183">
        <f>SUMIFS('декабрь 2025'!$G$2:$G$2730,'декабрь 2025'!$D$2:$D$2730,$B105,'декабрь 2025'!$J$2:$J$2730,AF$1)</f>
        <v>0</v>
      </c>
      <c r="AG105" s="183">
        <f>SUMIFS('декабрь 2025'!$G$2:$G$2730,'декабрь 2025'!$D$2:$D$2730,$B105,'декабрь 2025'!$J$2:$J$2730,AG$1)</f>
        <v>0</v>
      </c>
      <c r="AH105" s="183">
        <f>SUMIFS('декабрь 2025'!$G$2:$G$2730,'декабрь 2025'!$D$2:$D$2730,$B105,'декабрь 2025'!$J$2:$J$2730,AH$1)</f>
        <v>0</v>
      </c>
      <c r="AI105" s="20">
        <f t="shared" si="1"/>
        <v>0</v>
      </c>
    </row>
    <row r="106" spans="2:35" ht="15" customHeight="1" x14ac:dyDescent="0.25">
      <c r="B106" s="88" t="s">
        <v>258</v>
      </c>
      <c r="C106" s="86">
        <v>180</v>
      </c>
      <c r="D106" s="183">
        <f>SUMIFS('декабрь 2025'!$G$2:$G$2730,'декабрь 2025'!$D$2:$D$2730,$B106,'декабрь 2025'!$J$2:$J$2730,D$1)</f>
        <v>0</v>
      </c>
      <c r="E106" s="183">
        <f>SUMIFS('декабрь 2025'!$G$2:$G$2730,'декабрь 2025'!$D$2:$D$2730,$B106,'декабрь 2025'!$J$2:$J$2730,E$1)</f>
        <v>0</v>
      </c>
      <c r="F106" s="183">
        <f>SUMIFS('декабрь 2025'!$G$2:$G$2730,'декабрь 2025'!$D$2:$D$2730,$B106,'декабрь 2025'!$J$2:$J$2730,F$1)</f>
        <v>0</v>
      </c>
      <c r="G106" s="183">
        <f>SUMIFS('декабрь 2025'!$G$2:$G$2730,'декабрь 2025'!$D$2:$D$2730,$B106,'декабрь 2025'!$J$2:$J$2730,G$1)</f>
        <v>0</v>
      </c>
      <c r="H106" s="183">
        <f>SUMIFS('декабрь 2025'!$G$2:$G$2730,'декабрь 2025'!$D$2:$D$2730,$B106,'декабрь 2025'!$J$2:$J$2730,H$1)</f>
        <v>0</v>
      </c>
      <c r="I106" s="183">
        <f>SUMIFS('декабрь 2025'!$G$2:$G$2730,'декабрь 2025'!$D$2:$D$2730,$B106,'декабрь 2025'!$J$2:$J$2730,I$1)</f>
        <v>0</v>
      </c>
      <c r="J106" s="183">
        <f>SUMIFS('декабрь 2025'!$G$2:$G$2730,'декабрь 2025'!$D$2:$D$2730,$B106,'декабрь 2025'!$J$2:$J$2730,J$1)</f>
        <v>0</v>
      </c>
      <c r="K106" s="183">
        <f>SUMIFS('декабрь 2025'!$G$2:$G$2730,'декабрь 2025'!$D$2:$D$2730,$B106,'декабрь 2025'!$J$2:$J$2730,K$1)</f>
        <v>0</v>
      </c>
      <c r="L106" s="183">
        <f>SUMIFS('декабрь 2025'!$G$2:$G$2730,'декабрь 2025'!$D$2:$D$2730,$B106,'декабрь 2025'!$J$2:$J$2730,L$1)</f>
        <v>0</v>
      </c>
      <c r="M106" s="183">
        <f>SUMIFS('декабрь 2025'!$G$2:$G$2730,'декабрь 2025'!$D$2:$D$2730,$B106,'декабрь 2025'!$J$2:$J$2730,M$1)</f>
        <v>0</v>
      </c>
      <c r="N106" s="183">
        <f>SUMIFS('декабрь 2025'!$G$2:$G$2730,'декабрь 2025'!$D$2:$D$2730,$B106,'декабрь 2025'!$J$2:$J$2730,N$1)</f>
        <v>0</v>
      </c>
      <c r="O106" s="183">
        <f>SUMIFS('декабрь 2025'!$G$2:$G$2730,'декабрь 2025'!$D$2:$D$2730,$B106,'декабрь 2025'!$J$2:$J$2730,O$1)</f>
        <v>0</v>
      </c>
      <c r="P106" s="183">
        <f>SUMIFS('декабрь 2025'!$G$2:$G$2730,'декабрь 2025'!$D$2:$D$2730,$B106,'декабрь 2025'!$J$2:$J$2730,P$1)</f>
        <v>0</v>
      </c>
      <c r="Q106" s="183">
        <f>SUMIFS('декабрь 2025'!$G$2:$G$2730,'декабрь 2025'!$D$2:$D$2730,$B106,'декабрь 2025'!$J$2:$J$2730,Q$1)</f>
        <v>0</v>
      </c>
      <c r="R106" s="183">
        <f>SUMIFS('декабрь 2025'!$G$2:$G$2730,'декабрь 2025'!$D$2:$D$2730,$B106,'декабрь 2025'!$J$2:$J$2730,R$1)</f>
        <v>0</v>
      </c>
      <c r="S106" s="183">
        <f>SUMIFS('декабрь 2025'!$G$2:$G$2730,'декабрь 2025'!$D$2:$D$2730,$B106,'декабрь 2025'!$J$2:$J$2730,S$1)</f>
        <v>0</v>
      </c>
      <c r="T106" s="183">
        <f>SUMIFS('декабрь 2025'!$G$2:$G$2730,'декабрь 2025'!$D$2:$D$2730,$B106,'декабрь 2025'!$J$2:$J$2730,T$1)</f>
        <v>0</v>
      </c>
      <c r="U106" s="183">
        <f>SUMIFS('декабрь 2025'!$G$2:$G$2730,'декабрь 2025'!$D$2:$D$2730,$B106,'декабрь 2025'!$J$2:$J$2730,U$1)</f>
        <v>0</v>
      </c>
      <c r="V106" s="183">
        <f>SUMIFS('декабрь 2025'!$G$2:$G$2730,'декабрь 2025'!$D$2:$D$2730,$B106,'декабрь 2025'!$J$2:$J$2730,V$1)</f>
        <v>0</v>
      </c>
      <c r="W106" s="183">
        <f>SUMIFS('декабрь 2025'!$G$2:$G$2730,'декабрь 2025'!$D$2:$D$2730,$B106,'декабрь 2025'!$J$2:$J$2730,W$1)</f>
        <v>0</v>
      </c>
      <c r="X106" s="183">
        <f>SUMIFS('декабрь 2025'!$G$2:$G$2730,'декабрь 2025'!$D$2:$D$2730,$B106,'декабрь 2025'!$J$2:$J$2730,X$1)</f>
        <v>0</v>
      </c>
      <c r="Y106" s="183">
        <f>SUMIFS('декабрь 2025'!$G$2:$G$2730,'декабрь 2025'!$D$2:$D$2730,$B106,'декабрь 2025'!$J$2:$J$2730,Y$1)</f>
        <v>0</v>
      </c>
      <c r="Z106" s="183">
        <f>SUMIFS('декабрь 2025'!$G$2:$G$2730,'декабрь 2025'!$D$2:$D$2730,$B106,'декабрь 2025'!$J$2:$J$2730,Z$1)</f>
        <v>0</v>
      </c>
      <c r="AA106" s="183">
        <f>SUMIFS('декабрь 2025'!$G$2:$G$2730,'декабрь 2025'!$D$2:$D$2730,$B106,'декабрь 2025'!$J$2:$J$2730,AA$1)</f>
        <v>0</v>
      </c>
      <c r="AB106" s="183">
        <f>SUMIFS('декабрь 2025'!$G$2:$G$2730,'декабрь 2025'!$D$2:$D$2730,$B106,'декабрь 2025'!$J$2:$J$2730,AB$1)</f>
        <v>0</v>
      </c>
      <c r="AC106" s="183">
        <f>SUMIFS('декабрь 2025'!$G$2:$G$2730,'декабрь 2025'!$D$2:$D$2730,$B106,'декабрь 2025'!$J$2:$J$2730,AC$1)</f>
        <v>0</v>
      </c>
      <c r="AD106" s="183">
        <f>SUMIFS('декабрь 2025'!$G$2:$G$2730,'декабрь 2025'!$D$2:$D$2730,$B106,'декабрь 2025'!$J$2:$J$2730,AD$1)</f>
        <v>0</v>
      </c>
      <c r="AE106" s="183">
        <f>SUMIFS('декабрь 2025'!$G$2:$G$2730,'декабрь 2025'!$D$2:$D$2730,$B106,'декабрь 2025'!$J$2:$J$2730,AE$1)</f>
        <v>0</v>
      </c>
      <c r="AF106" s="183">
        <f>SUMIFS('декабрь 2025'!$G$2:$G$2730,'декабрь 2025'!$D$2:$D$2730,$B106,'декабрь 2025'!$J$2:$J$2730,AF$1)</f>
        <v>0</v>
      </c>
      <c r="AG106" s="183">
        <f>SUMIFS('декабрь 2025'!$G$2:$G$2730,'декабрь 2025'!$D$2:$D$2730,$B106,'декабрь 2025'!$J$2:$J$2730,AG$1)</f>
        <v>0</v>
      </c>
      <c r="AH106" s="183">
        <f>SUMIFS('декабрь 2025'!$G$2:$G$2730,'декабрь 2025'!$D$2:$D$2730,$B106,'декабрь 2025'!$J$2:$J$2730,AH$1)</f>
        <v>0</v>
      </c>
      <c r="AI106" s="20">
        <f t="shared" si="1"/>
        <v>0</v>
      </c>
    </row>
    <row r="107" spans="2:35" ht="15" customHeight="1" x14ac:dyDescent="0.25">
      <c r="B107" s="88" t="s">
        <v>259</v>
      </c>
      <c r="C107" s="86">
        <v>180</v>
      </c>
      <c r="D107" s="183">
        <f>SUMIFS('декабрь 2025'!$G$2:$G$2730,'декабрь 2025'!$D$2:$D$2730,$B107,'декабрь 2025'!$J$2:$J$2730,D$1)</f>
        <v>0</v>
      </c>
      <c r="E107" s="183">
        <f>SUMIFS('декабрь 2025'!$G$2:$G$2730,'декабрь 2025'!$D$2:$D$2730,$B107,'декабрь 2025'!$J$2:$J$2730,E$1)</f>
        <v>0</v>
      </c>
      <c r="F107" s="183">
        <f>SUMIFS('декабрь 2025'!$G$2:$G$2730,'декабрь 2025'!$D$2:$D$2730,$B107,'декабрь 2025'!$J$2:$J$2730,F$1)</f>
        <v>0</v>
      </c>
      <c r="G107" s="183">
        <f>SUMIFS('декабрь 2025'!$G$2:$G$2730,'декабрь 2025'!$D$2:$D$2730,$B107,'декабрь 2025'!$J$2:$J$2730,G$1)</f>
        <v>0</v>
      </c>
      <c r="H107" s="183">
        <f>SUMIFS('декабрь 2025'!$G$2:$G$2730,'декабрь 2025'!$D$2:$D$2730,$B107,'декабрь 2025'!$J$2:$J$2730,H$1)</f>
        <v>0</v>
      </c>
      <c r="I107" s="183">
        <f>SUMIFS('декабрь 2025'!$G$2:$G$2730,'декабрь 2025'!$D$2:$D$2730,$B107,'декабрь 2025'!$J$2:$J$2730,I$1)</f>
        <v>0</v>
      </c>
      <c r="J107" s="183">
        <f>SUMIFS('декабрь 2025'!$G$2:$G$2730,'декабрь 2025'!$D$2:$D$2730,$B107,'декабрь 2025'!$J$2:$J$2730,J$1)</f>
        <v>0</v>
      </c>
      <c r="K107" s="183">
        <f>SUMIFS('декабрь 2025'!$G$2:$G$2730,'декабрь 2025'!$D$2:$D$2730,$B107,'декабрь 2025'!$J$2:$J$2730,K$1)</f>
        <v>0</v>
      </c>
      <c r="L107" s="183">
        <f>SUMIFS('декабрь 2025'!$G$2:$G$2730,'декабрь 2025'!$D$2:$D$2730,$B107,'декабрь 2025'!$J$2:$J$2730,L$1)</f>
        <v>0</v>
      </c>
      <c r="M107" s="183">
        <f>SUMIFS('декабрь 2025'!$G$2:$G$2730,'декабрь 2025'!$D$2:$D$2730,$B107,'декабрь 2025'!$J$2:$J$2730,M$1)</f>
        <v>0</v>
      </c>
      <c r="N107" s="183">
        <f>SUMIFS('декабрь 2025'!$G$2:$G$2730,'декабрь 2025'!$D$2:$D$2730,$B107,'декабрь 2025'!$J$2:$J$2730,N$1)</f>
        <v>0</v>
      </c>
      <c r="O107" s="183">
        <f>SUMIFS('декабрь 2025'!$G$2:$G$2730,'декабрь 2025'!$D$2:$D$2730,$B107,'декабрь 2025'!$J$2:$J$2730,O$1)</f>
        <v>0</v>
      </c>
      <c r="P107" s="183">
        <f>SUMIFS('декабрь 2025'!$G$2:$G$2730,'декабрь 2025'!$D$2:$D$2730,$B107,'декабрь 2025'!$J$2:$J$2730,P$1)</f>
        <v>0</v>
      </c>
      <c r="Q107" s="183">
        <f>SUMIFS('декабрь 2025'!$G$2:$G$2730,'декабрь 2025'!$D$2:$D$2730,$B107,'декабрь 2025'!$J$2:$J$2730,Q$1)</f>
        <v>0</v>
      </c>
      <c r="R107" s="183">
        <f>SUMIFS('декабрь 2025'!$G$2:$G$2730,'декабрь 2025'!$D$2:$D$2730,$B107,'декабрь 2025'!$J$2:$J$2730,R$1)</f>
        <v>0</v>
      </c>
      <c r="S107" s="183">
        <f>SUMIFS('декабрь 2025'!$G$2:$G$2730,'декабрь 2025'!$D$2:$D$2730,$B107,'декабрь 2025'!$J$2:$J$2730,S$1)</f>
        <v>0</v>
      </c>
      <c r="T107" s="183">
        <f>SUMIFS('декабрь 2025'!$G$2:$G$2730,'декабрь 2025'!$D$2:$D$2730,$B107,'декабрь 2025'!$J$2:$J$2730,T$1)</f>
        <v>0</v>
      </c>
      <c r="U107" s="183">
        <f>SUMIFS('декабрь 2025'!$G$2:$G$2730,'декабрь 2025'!$D$2:$D$2730,$B107,'декабрь 2025'!$J$2:$J$2730,U$1)</f>
        <v>0</v>
      </c>
      <c r="V107" s="183">
        <f>SUMIFS('декабрь 2025'!$G$2:$G$2730,'декабрь 2025'!$D$2:$D$2730,$B107,'декабрь 2025'!$J$2:$J$2730,V$1)</f>
        <v>0</v>
      </c>
      <c r="W107" s="183">
        <f>SUMIFS('декабрь 2025'!$G$2:$G$2730,'декабрь 2025'!$D$2:$D$2730,$B107,'декабрь 2025'!$J$2:$J$2730,W$1)</f>
        <v>0</v>
      </c>
      <c r="X107" s="183">
        <f>SUMIFS('декабрь 2025'!$G$2:$G$2730,'декабрь 2025'!$D$2:$D$2730,$B107,'декабрь 2025'!$J$2:$J$2730,X$1)</f>
        <v>0</v>
      </c>
      <c r="Y107" s="183">
        <f>SUMIFS('декабрь 2025'!$G$2:$G$2730,'декабрь 2025'!$D$2:$D$2730,$B107,'декабрь 2025'!$J$2:$J$2730,Y$1)</f>
        <v>0</v>
      </c>
      <c r="Z107" s="183">
        <f>SUMIFS('декабрь 2025'!$G$2:$G$2730,'декабрь 2025'!$D$2:$D$2730,$B107,'декабрь 2025'!$J$2:$J$2730,Z$1)</f>
        <v>0</v>
      </c>
      <c r="AA107" s="183">
        <f>SUMIFS('декабрь 2025'!$G$2:$G$2730,'декабрь 2025'!$D$2:$D$2730,$B107,'декабрь 2025'!$J$2:$J$2730,AA$1)</f>
        <v>0</v>
      </c>
      <c r="AB107" s="183">
        <f>SUMIFS('декабрь 2025'!$G$2:$G$2730,'декабрь 2025'!$D$2:$D$2730,$B107,'декабрь 2025'!$J$2:$J$2730,AB$1)</f>
        <v>0</v>
      </c>
      <c r="AC107" s="183">
        <f>SUMIFS('декабрь 2025'!$G$2:$G$2730,'декабрь 2025'!$D$2:$D$2730,$B107,'декабрь 2025'!$J$2:$J$2730,AC$1)</f>
        <v>0</v>
      </c>
      <c r="AD107" s="183">
        <f>SUMIFS('декабрь 2025'!$G$2:$G$2730,'декабрь 2025'!$D$2:$D$2730,$B107,'декабрь 2025'!$J$2:$J$2730,AD$1)</f>
        <v>0</v>
      </c>
      <c r="AE107" s="183">
        <f>SUMIFS('декабрь 2025'!$G$2:$G$2730,'декабрь 2025'!$D$2:$D$2730,$B107,'декабрь 2025'!$J$2:$J$2730,AE$1)</f>
        <v>0</v>
      </c>
      <c r="AF107" s="183">
        <f>SUMIFS('декабрь 2025'!$G$2:$G$2730,'декабрь 2025'!$D$2:$D$2730,$B107,'декабрь 2025'!$J$2:$J$2730,AF$1)</f>
        <v>0</v>
      </c>
      <c r="AG107" s="183">
        <f>SUMIFS('декабрь 2025'!$G$2:$G$2730,'декабрь 2025'!$D$2:$D$2730,$B107,'декабрь 2025'!$J$2:$J$2730,AG$1)</f>
        <v>0</v>
      </c>
      <c r="AH107" s="183">
        <f>SUMIFS('декабрь 2025'!$G$2:$G$2730,'декабрь 2025'!$D$2:$D$2730,$B107,'декабрь 2025'!$J$2:$J$2730,AH$1)</f>
        <v>0</v>
      </c>
      <c r="AI107" s="20">
        <f t="shared" si="1"/>
        <v>0</v>
      </c>
    </row>
    <row r="108" spans="2:35" ht="15" customHeight="1" x14ac:dyDescent="0.25">
      <c r="B108" s="88" t="s">
        <v>289</v>
      </c>
      <c r="C108" s="86">
        <v>20</v>
      </c>
      <c r="D108" s="183">
        <f>SUMIFS('декабрь 2025'!$G$2:$G$2730,'декабрь 2025'!$D$2:$D$2730,$B108,'декабрь 2025'!$J$2:$J$2730,D$1)</f>
        <v>0</v>
      </c>
      <c r="E108" s="183">
        <f>SUMIFS('декабрь 2025'!$G$2:$G$2730,'декабрь 2025'!$D$2:$D$2730,$B108,'декабрь 2025'!$J$2:$J$2730,E$1)</f>
        <v>0</v>
      </c>
      <c r="F108" s="183">
        <f>SUMIFS('декабрь 2025'!$G$2:$G$2730,'декабрь 2025'!$D$2:$D$2730,$B108,'декабрь 2025'!$J$2:$J$2730,F$1)</f>
        <v>0</v>
      </c>
      <c r="G108" s="183">
        <f>SUMIFS('декабрь 2025'!$G$2:$G$2730,'декабрь 2025'!$D$2:$D$2730,$B108,'декабрь 2025'!$J$2:$J$2730,G$1)</f>
        <v>0</v>
      </c>
      <c r="H108" s="183">
        <f>SUMIFS('декабрь 2025'!$G$2:$G$2730,'декабрь 2025'!$D$2:$D$2730,$B108,'декабрь 2025'!$J$2:$J$2730,H$1)</f>
        <v>0</v>
      </c>
      <c r="I108" s="183">
        <f>SUMIFS('декабрь 2025'!$G$2:$G$2730,'декабрь 2025'!$D$2:$D$2730,$B108,'декабрь 2025'!$J$2:$J$2730,I$1)</f>
        <v>0</v>
      </c>
      <c r="J108" s="183">
        <f>SUMIFS('декабрь 2025'!$G$2:$G$2730,'декабрь 2025'!$D$2:$D$2730,$B108,'декабрь 2025'!$J$2:$J$2730,J$1)</f>
        <v>0</v>
      </c>
      <c r="K108" s="183">
        <f>SUMIFS('декабрь 2025'!$G$2:$G$2730,'декабрь 2025'!$D$2:$D$2730,$B108,'декабрь 2025'!$J$2:$J$2730,K$1)</f>
        <v>0</v>
      </c>
      <c r="L108" s="183">
        <f>SUMIFS('декабрь 2025'!$G$2:$G$2730,'декабрь 2025'!$D$2:$D$2730,$B108,'декабрь 2025'!$J$2:$J$2730,L$1)</f>
        <v>0</v>
      </c>
      <c r="M108" s="183">
        <f>SUMIFS('декабрь 2025'!$G$2:$G$2730,'декабрь 2025'!$D$2:$D$2730,$B108,'декабрь 2025'!$J$2:$J$2730,M$1)</f>
        <v>0</v>
      </c>
      <c r="N108" s="183">
        <f>SUMIFS('декабрь 2025'!$G$2:$G$2730,'декабрь 2025'!$D$2:$D$2730,$B108,'декабрь 2025'!$J$2:$J$2730,N$1)</f>
        <v>0</v>
      </c>
      <c r="O108" s="183">
        <f>SUMIFS('декабрь 2025'!$G$2:$G$2730,'декабрь 2025'!$D$2:$D$2730,$B108,'декабрь 2025'!$J$2:$J$2730,O$1)</f>
        <v>0</v>
      </c>
      <c r="P108" s="183">
        <f>SUMIFS('декабрь 2025'!$G$2:$G$2730,'декабрь 2025'!$D$2:$D$2730,$B108,'декабрь 2025'!$J$2:$J$2730,P$1)</f>
        <v>0</v>
      </c>
      <c r="Q108" s="183">
        <f>SUMIFS('декабрь 2025'!$G$2:$G$2730,'декабрь 2025'!$D$2:$D$2730,$B108,'декабрь 2025'!$J$2:$J$2730,Q$1)</f>
        <v>0</v>
      </c>
      <c r="R108" s="183">
        <f>SUMIFS('декабрь 2025'!$G$2:$G$2730,'декабрь 2025'!$D$2:$D$2730,$B108,'декабрь 2025'!$J$2:$J$2730,R$1)</f>
        <v>0</v>
      </c>
      <c r="S108" s="183">
        <f>SUMIFS('декабрь 2025'!$G$2:$G$2730,'декабрь 2025'!$D$2:$D$2730,$B108,'декабрь 2025'!$J$2:$J$2730,S$1)</f>
        <v>0</v>
      </c>
      <c r="T108" s="183">
        <f>SUMIFS('декабрь 2025'!$G$2:$G$2730,'декабрь 2025'!$D$2:$D$2730,$B108,'декабрь 2025'!$J$2:$J$2730,T$1)</f>
        <v>0</v>
      </c>
      <c r="U108" s="183">
        <f>SUMIFS('декабрь 2025'!$G$2:$G$2730,'декабрь 2025'!$D$2:$D$2730,$B108,'декабрь 2025'!$J$2:$J$2730,U$1)</f>
        <v>0</v>
      </c>
      <c r="V108" s="183">
        <f>SUMIFS('декабрь 2025'!$G$2:$G$2730,'декабрь 2025'!$D$2:$D$2730,$B108,'декабрь 2025'!$J$2:$J$2730,V$1)</f>
        <v>0</v>
      </c>
      <c r="W108" s="183">
        <f>SUMIFS('декабрь 2025'!$G$2:$G$2730,'декабрь 2025'!$D$2:$D$2730,$B108,'декабрь 2025'!$J$2:$J$2730,W$1)</f>
        <v>0</v>
      </c>
      <c r="X108" s="183">
        <f>SUMIFS('декабрь 2025'!$G$2:$G$2730,'декабрь 2025'!$D$2:$D$2730,$B108,'декабрь 2025'!$J$2:$J$2730,X$1)</f>
        <v>0</v>
      </c>
      <c r="Y108" s="183">
        <f>SUMIFS('декабрь 2025'!$G$2:$G$2730,'декабрь 2025'!$D$2:$D$2730,$B108,'декабрь 2025'!$J$2:$J$2730,Y$1)</f>
        <v>0</v>
      </c>
      <c r="Z108" s="183">
        <f>SUMIFS('декабрь 2025'!$G$2:$G$2730,'декабрь 2025'!$D$2:$D$2730,$B108,'декабрь 2025'!$J$2:$J$2730,Z$1)</f>
        <v>0</v>
      </c>
      <c r="AA108" s="183">
        <f>SUMIFS('декабрь 2025'!$G$2:$G$2730,'декабрь 2025'!$D$2:$D$2730,$B108,'декабрь 2025'!$J$2:$J$2730,AA$1)</f>
        <v>0</v>
      </c>
      <c r="AB108" s="183">
        <f>SUMIFS('декабрь 2025'!$G$2:$G$2730,'декабрь 2025'!$D$2:$D$2730,$B108,'декабрь 2025'!$J$2:$J$2730,AB$1)</f>
        <v>0</v>
      </c>
      <c r="AC108" s="183">
        <f>SUMIFS('декабрь 2025'!$G$2:$G$2730,'декабрь 2025'!$D$2:$D$2730,$B108,'декабрь 2025'!$J$2:$J$2730,AC$1)</f>
        <v>0</v>
      </c>
      <c r="AD108" s="183">
        <f>SUMIFS('декабрь 2025'!$G$2:$G$2730,'декабрь 2025'!$D$2:$D$2730,$B108,'декабрь 2025'!$J$2:$J$2730,AD$1)</f>
        <v>0</v>
      </c>
      <c r="AE108" s="183">
        <f>SUMIFS('декабрь 2025'!$G$2:$G$2730,'декабрь 2025'!$D$2:$D$2730,$B108,'декабрь 2025'!$J$2:$J$2730,AE$1)</f>
        <v>0</v>
      </c>
      <c r="AF108" s="183">
        <f>SUMIFS('декабрь 2025'!$G$2:$G$2730,'декабрь 2025'!$D$2:$D$2730,$B108,'декабрь 2025'!$J$2:$J$2730,AF$1)</f>
        <v>0</v>
      </c>
      <c r="AG108" s="183">
        <f>SUMIFS('декабрь 2025'!$G$2:$G$2730,'декабрь 2025'!$D$2:$D$2730,$B108,'декабрь 2025'!$J$2:$J$2730,AG$1)</f>
        <v>0</v>
      </c>
      <c r="AH108" s="183">
        <f>SUMIFS('декабрь 2025'!$G$2:$G$2730,'декабрь 2025'!$D$2:$D$2730,$B108,'декабрь 2025'!$J$2:$J$2730,AH$1)</f>
        <v>0</v>
      </c>
      <c r="AI108" s="20">
        <f t="shared" si="1"/>
        <v>0</v>
      </c>
    </row>
    <row r="109" spans="2:35" ht="15" customHeight="1" x14ac:dyDescent="0.25">
      <c r="B109" s="88" t="s">
        <v>315</v>
      </c>
      <c r="C109" s="86">
        <v>25</v>
      </c>
      <c r="D109" s="183">
        <f>SUMIFS('декабрь 2025'!$G$2:$G$2730,'декабрь 2025'!$D$2:$D$2730,$B109,'декабрь 2025'!$J$2:$J$2730,D$1)</f>
        <v>0</v>
      </c>
      <c r="E109" s="183">
        <f>SUMIFS('декабрь 2025'!$G$2:$G$2730,'декабрь 2025'!$D$2:$D$2730,$B109,'декабрь 2025'!$J$2:$J$2730,E$1)</f>
        <v>0</v>
      </c>
      <c r="F109" s="183">
        <f>SUMIFS('декабрь 2025'!$G$2:$G$2730,'декабрь 2025'!$D$2:$D$2730,$B109,'декабрь 2025'!$J$2:$J$2730,F$1)</f>
        <v>0</v>
      </c>
      <c r="G109" s="183">
        <f>SUMIFS('декабрь 2025'!$G$2:$G$2730,'декабрь 2025'!$D$2:$D$2730,$B109,'декабрь 2025'!$J$2:$J$2730,G$1)</f>
        <v>0</v>
      </c>
      <c r="H109" s="183">
        <f>SUMIFS('декабрь 2025'!$G$2:$G$2730,'декабрь 2025'!$D$2:$D$2730,$B109,'декабрь 2025'!$J$2:$J$2730,H$1)</f>
        <v>0</v>
      </c>
      <c r="I109" s="183">
        <f>SUMIFS('декабрь 2025'!$G$2:$G$2730,'декабрь 2025'!$D$2:$D$2730,$B109,'декабрь 2025'!$J$2:$J$2730,I$1)</f>
        <v>0</v>
      </c>
      <c r="J109" s="183">
        <f>SUMIFS('декабрь 2025'!$G$2:$G$2730,'декабрь 2025'!$D$2:$D$2730,$B109,'декабрь 2025'!$J$2:$J$2730,J$1)</f>
        <v>0</v>
      </c>
      <c r="K109" s="183">
        <f>SUMIFS('декабрь 2025'!$G$2:$G$2730,'декабрь 2025'!$D$2:$D$2730,$B109,'декабрь 2025'!$J$2:$J$2730,K$1)</f>
        <v>0</v>
      </c>
      <c r="L109" s="183">
        <f>SUMIFS('декабрь 2025'!$G$2:$G$2730,'декабрь 2025'!$D$2:$D$2730,$B109,'декабрь 2025'!$J$2:$J$2730,L$1)</f>
        <v>0</v>
      </c>
      <c r="M109" s="183">
        <f>SUMIFS('декабрь 2025'!$G$2:$G$2730,'декабрь 2025'!$D$2:$D$2730,$B109,'декабрь 2025'!$J$2:$J$2730,M$1)</f>
        <v>0</v>
      </c>
      <c r="N109" s="183">
        <f>SUMIFS('декабрь 2025'!$G$2:$G$2730,'декабрь 2025'!$D$2:$D$2730,$B109,'декабрь 2025'!$J$2:$J$2730,N$1)</f>
        <v>0</v>
      </c>
      <c r="O109" s="183">
        <f>SUMIFS('декабрь 2025'!$G$2:$G$2730,'декабрь 2025'!$D$2:$D$2730,$B109,'декабрь 2025'!$J$2:$J$2730,O$1)</f>
        <v>0</v>
      </c>
      <c r="P109" s="183">
        <f>SUMIFS('декабрь 2025'!$G$2:$G$2730,'декабрь 2025'!$D$2:$D$2730,$B109,'декабрь 2025'!$J$2:$J$2730,P$1)</f>
        <v>0</v>
      </c>
      <c r="Q109" s="183">
        <f>SUMIFS('декабрь 2025'!$G$2:$G$2730,'декабрь 2025'!$D$2:$D$2730,$B109,'декабрь 2025'!$J$2:$J$2730,Q$1)</f>
        <v>0</v>
      </c>
      <c r="R109" s="183">
        <f>SUMIFS('декабрь 2025'!$G$2:$G$2730,'декабрь 2025'!$D$2:$D$2730,$B109,'декабрь 2025'!$J$2:$J$2730,R$1)</f>
        <v>0</v>
      </c>
      <c r="S109" s="183">
        <f>SUMIFS('декабрь 2025'!$G$2:$G$2730,'декабрь 2025'!$D$2:$D$2730,$B109,'декабрь 2025'!$J$2:$J$2730,S$1)</f>
        <v>0</v>
      </c>
      <c r="T109" s="183">
        <f>SUMIFS('декабрь 2025'!$G$2:$G$2730,'декабрь 2025'!$D$2:$D$2730,$B109,'декабрь 2025'!$J$2:$J$2730,T$1)</f>
        <v>0</v>
      </c>
      <c r="U109" s="183">
        <f>SUMIFS('декабрь 2025'!$G$2:$G$2730,'декабрь 2025'!$D$2:$D$2730,$B109,'декабрь 2025'!$J$2:$J$2730,U$1)</f>
        <v>0</v>
      </c>
      <c r="V109" s="183">
        <f>SUMIFS('декабрь 2025'!$G$2:$G$2730,'декабрь 2025'!$D$2:$D$2730,$B109,'декабрь 2025'!$J$2:$J$2730,V$1)</f>
        <v>0</v>
      </c>
      <c r="W109" s="183">
        <f>SUMIFS('декабрь 2025'!$G$2:$G$2730,'декабрь 2025'!$D$2:$D$2730,$B109,'декабрь 2025'!$J$2:$J$2730,W$1)</f>
        <v>0</v>
      </c>
      <c r="X109" s="183">
        <f>SUMIFS('декабрь 2025'!$G$2:$G$2730,'декабрь 2025'!$D$2:$D$2730,$B109,'декабрь 2025'!$J$2:$J$2730,X$1)</f>
        <v>0</v>
      </c>
      <c r="Y109" s="183">
        <f>SUMIFS('декабрь 2025'!$G$2:$G$2730,'декабрь 2025'!$D$2:$D$2730,$B109,'декабрь 2025'!$J$2:$J$2730,Y$1)</f>
        <v>0</v>
      </c>
      <c r="Z109" s="183">
        <f>SUMIFS('декабрь 2025'!$G$2:$G$2730,'декабрь 2025'!$D$2:$D$2730,$B109,'декабрь 2025'!$J$2:$J$2730,Z$1)</f>
        <v>0</v>
      </c>
      <c r="AA109" s="183">
        <f>SUMIFS('декабрь 2025'!$G$2:$G$2730,'декабрь 2025'!$D$2:$D$2730,$B109,'декабрь 2025'!$J$2:$J$2730,AA$1)</f>
        <v>0</v>
      </c>
      <c r="AB109" s="183">
        <f>SUMIFS('декабрь 2025'!$G$2:$G$2730,'декабрь 2025'!$D$2:$D$2730,$B109,'декабрь 2025'!$J$2:$J$2730,AB$1)</f>
        <v>0</v>
      </c>
      <c r="AC109" s="183">
        <f>SUMIFS('декабрь 2025'!$G$2:$G$2730,'декабрь 2025'!$D$2:$D$2730,$B109,'декабрь 2025'!$J$2:$J$2730,AC$1)</f>
        <v>0</v>
      </c>
      <c r="AD109" s="183">
        <f>SUMIFS('декабрь 2025'!$G$2:$G$2730,'декабрь 2025'!$D$2:$D$2730,$B109,'декабрь 2025'!$J$2:$J$2730,AD$1)</f>
        <v>0</v>
      </c>
      <c r="AE109" s="183">
        <f>SUMIFS('декабрь 2025'!$G$2:$G$2730,'декабрь 2025'!$D$2:$D$2730,$B109,'декабрь 2025'!$J$2:$J$2730,AE$1)</f>
        <v>0</v>
      </c>
      <c r="AF109" s="183">
        <f>SUMIFS('декабрь 2025'!$G$2:$G$2730,'декабрь 2025'!$D$2:$D$2730,$B109,'декабрь 2025'!$J$2:$J$2730,AF$1)</f>
        <v>0</v>
      </c>
      <c r="AG109" s="183">
        <f>SUMIFS('декабрь 2025'!$G$2:$G$2730,'декабрь 2025'!$D$2:$D$2730,$B109,'декабрь 2025'!$J$2:$J$2730,AG$1)</f>
        <v>0</v>
      </c>
      <c r="AH109" s="183">
        <f>SUMIFS('декабрь 2025'!$G$2:$G$2730,'декабрь 2025'!$D$2:$D$2730,$B109,'декабрь 2025'!$J$2:$J$2730,AH$1)</f>
        <v>0</v>
      </c>
      <c r="AI109" s="20">
        <f t="shared" si="1"/>
        <v>0</v>
      </c>
    </row>
    <row r="110" spans="2:35" ht="15" customHeight="1" x14ac:dyDescent="0.25">
      <c r="B110" s="88" t="s">
        <v>385</v>
      </c>
      <c r="C110" s="86">
        <v>28</v>
      </c>
      <c r="D110" s="183">
        <f>SUMIFS('декабрь 2025'!$G$2:$G$2730,'декабрь 2025'!$D$2:$D$2730,$B110,'декабрь 2025'!$J$2:$J$2730,D$1)</f>
        <v>0</v>
      </c>
      <c r="E110" s="183">
        <f>SUMIFS('декабрь 2025'!$G$2:$G$2730,'декабрь 2025'!$D$2:$D$2730,$B110,'декабрь 2025'!$J$2:$J$2730,E$1)</f>
        <v>0</v>
      </c>
      <c r="F110" s="183">
        <f>SUMIFS('декабрь 2025'!$G$2:$G$2730,'декабрь 2025'!$D$2:$D$2730,$B110,'декабрь 2025'!$J$2:$J$2730,F$1)</f>
        <v>0</v>
      </c>
      <c r="G110" s="183">
        <f>SUMIFS('декабрь 2025'!$G$2:$G$2730,'декабрь 2025'!$D$2:$D$2730,$B110,'декабрь 2025'!$J$2:$J$2730,G$1)</f>
        <v>0</v>
      </c>
      <c r="H110" s="183">
        <f>SUMIFS('декабрь 2025'!$G$2:$G$2730,'декабрь 2025'!$D$2:$D$2730,$B110,'декабрь 2025'!$J$2:$J$2730,H$1)</f>
        <v>0</v>
      </c>
      <c r="I110" s="183">
        <f>SUMIFS('декабрь 2025'!$G$2:$G$2730,'декабрь 2025'!$D$2:$D$2730,$B110,'декабрь 2025'!$J$2:$J$2730,I$1)</f>
        <v>0</v>
      </c>
      <c r="J110" s="183">
        <f>SUMIFS('декабрь 2025'!$G$2:$G$2730,'декабрь 2025'!$D$2:$D$2730,$B110,'декабрь 2025'!$J$2:$J$2730,J$1)</f>
        <v>0</v>
      </c>
      <c r="K110" s="183">
        <f>SUMIFS('декабрь 2025'!$G$2:$G$2730,'декабрь 2025'!$D$2:$D$2730,$B110,'декабрь 2025'!$J$2:$J$2730,K$1)</f>
        <v>0</v>
      </c>
      <c r="L110" s="183">
        <f>SUMIFS('декабрь 2025'!$G$2:$G$2730,'декабрь 2025'!$D$2:$D$2730,$B110,'декабрь 2025'!$J$2:$J$2730,L$1)</f>
        <v>0</v>
      </c>
      <c r="M110" s="183">
        <f>SUMIFS('декабрь 2025'!$G$2:$G$2730,'декабрь 2025'!$D$2:$D$2730,$B110,'декабрь 2025'!$J$2:$J$2730,M$1)</f>
        <v>0</v>
      </c>
      <c r="N110" s="183">
        <f>SUMIFS('декабрь 2025'!$G$2:$G$2730,'декабрь 2025'!$D$2:$D$2730,$B110,'декабрь 2025'!$J$2:$J$2730,N$1)</f>
        <v>0</v>
      </c>
      <c r="O110" s="183">
        <f>SUMIFS('декабрь 2025'!$G$2:$G$2730,'декабрь 2025'!$D$2:$D$2730,$B110,'декабрь 2025'!$J$2:$J$2730,O$1)</f>
        <v>0</v>
      </c>
      <c r="P110" s="183">
        <f>SUMIFS('декабрь 2025'!$G$2:$G$2730,'декабрь 2025'!$D$2:$D$2730,$B110,'декабрь 2025'!$J$2:$J$2730,P$1)</f>
        <v>0</v>
      </c>
      <c r="Q110" s="183">
        <f>SUMIFS('декабрь 2025'!$G$2:$G$2730,'декабрь 2025'!$D$2:$D$2730,$B110,'декабрь 2025'!$J$2:$J$2730,Q$1)</f>
        <v>0</v>
      </c>
      <c r="R110" s="183">
        <f>SUMIFS('декабрь 2025'!$G$2:$G$2730,'декабрь 2025'!$D$2:$D$2730,$B110,'декабрь 2025'!$J$2:$J$2730,R$1)</f>
        <v>0</v>
      </c>
      <c r="S110" s="183">
        <f>SUMIFS('декабрь 2025'!$G$2:$G$2730,'декабрь 2025'!$D$2:$D$2730,$B110,'декабрь 2025'!$J$2:$J$2730,S$1)</f>
        <v>0</v>
      </c>
      <c r="T110" s="183">
        <f>SUMIFS('декабрь 2025'!$G$2:$G$2730,'декабрь 2025'!$D$2:$D$2730,$B110,'декабрь 2025'!$J$2:$J$2730,T$1)</f>
        <v>0</v>
      </c>
      <c r="U110" s="183">
        <f>SUMIFS('декабрь 2025'!$G$2:$G$2730,'декабрь 2025'!$D$2:$D$2730,$B110,'декабрь 2025'!$J$2:$J$2730,U$1)</f>
        <v>0</v>
      </c>
      <c r="V110" s="183">
        <f>SUMIFS('декабрь 2025'!$G$2:$G$2730,'декабрь 2025'!$D$2:$D$2730,$B110,'декабрь 2025'!$J$2:$J$2730,V$1)</f>
        <v>0</v>
      </c>
      <c r="W110" s="183">
        <f>SUMIFS('декабрь 2025'!$G$2:$G$2730,'декабрь 2025'!$D$2:$D$2730,$B110,'декабрь 2025'!$J$2:$J$2730,W$1)</f>
        <v>0</v>
      </c>
      <c r="X110" s="183">
        <f>SUMIFS('декабрь 2025'!$G$2:$G$2730,'декабрь 2025'!$D$2:$D$2730,$B110,'декабрь 2025'!$J$2:$J$2730,X$1)</f>
        <v>0</v>
      </c>
      <c r="Y110" s="183">
        <f>SUMIFS('декабрь 2025'!$G$2:$G$2730,'декабрь 2025'!$D$2:$D$2730,$B110,'декабрь 2025'!$J$2:$J$2730,Y$1)</f>
        <v>0</v>
      </c>
      <c r="Z110" s="183">
        <f>SUMIFS('декабрь 2025'!$G$2:$G$2730,'декабрь 2025'!$D$2:$D$2730,$B110,'декабрь 2025'!$J$2:$J$2730,Z$1)</f>
        <v>0</v>
      </c>
      <c r="AA110" s="183">
        <f>SUMIFS('декабрь 2025'!$G$2:$G$2730,'декабрь 2025'!$D$2:$D$2730,$B110,'декабрь 2025'!$J$2:$J$2730,AA$1)</f>
        <v>0</v>
      </c>
      <c r="AB110" s="183">
        <f>SUMIFS('декабрь 2025'!$G$2:$G$2730,'декабрь 2025'!$D$2:$D$2730,$B110,'декабрь 2025'!$J$2:$J$2730,AB$1)</f>
        <v>0</v>
      </c>
      <c r="AC110" s="183">
        <f>SUMIFS('декабрь 2025'!$G$2:$G$2730,'декабрь 2025'!$D$2:$D$2730,$B110,'декабрь 2025'!$J$2:$J$2730,AC$1)</f>
        <v>0</v>
      </c>
      <c r="AD110" s="183">
        <f>SUMIFS('декабрь 2025'!$G$2:$G$2730,'декабрь 2025'!$D$2:$D$2730,$B110,'декабрь 2025'!$J$2:$J$2730,AD$1)</f>
        <v>0</v>
      </c>
      <c r="AE110" s="183">
        <f>SUMIFS('декабрь 2025'!$G$2:$G$2730,'декабрь 2025'!$D$2:$D$2730,$B110,'декабрь 2025'!$J$2:$J$2730,AE$1)</f>
        <v>0</v>
      </c>
      <c r="AF110" s="183">
        <f>SUMIFS('декабрь 2025'!$G$2:$G$2730,'декабрь 2025'!$D$2:$D$2730,$B110,'декабрь 2025'!$J$2:$J$2730,AF$1)</f>
        <v>0</v>
      </c>
      <c r="AG110" s="183">
        <f>SUMIFS('декабрь 2025'!$G$2:$G$2730,'декабрь 2025'!$D$2:$D$2730,$B110,'декабрь 2025'!$J$2:$J$2730,AG$1)</f>
        <v>0</v>
      </c>
      <c r="AH110" s="183">
        <f>SUMIFS('декабрь 2025'!$G$2:$G$2730,'декабрь 2025'!$D$2:$D$2730,$B110,'декабрь 2025'!$J$2:$J$2730,AH$1)</f>
        <v>0</v>
      </c>
      <c r="AI110" s="20">
        <f t="shared" si="1"/>
        <v>0</v>
      </c>
    </row>
    <row r="111" spans="2:35" ht="15" customHeight="1" x14ac:dyDescent="0.25">
      <c r="B111" s="88" t="s">
        <v>193</v>
      </c>
      <c r="C111" s="86">
        <v>180</v>
      </c>
      <c r="D111" s="183">
        <f>SUMIFS('декабрь 2025'!$G$2:$G$2730,'декабрь 2025'!$D$2:$D$2730,$B111,'декабрь 2025'!$J$2:$J$2730,D$1)</f>
        <v>0</v>
      </c>
      <c r="E111" s="183">
        <f>SUMIFS('декабрь 2025'!$G$2:$G$2730,'декабрь 2025'!$D$2:$D$2730,$B111,'декабрь 2025'!$J$2:$J$2730,E$1)</f>
        <v>0</v>
      </c>
      <c r="F111" s="183">
        <f>SUMIFS('декабрь 2025'!$G$2:$G$2730,'декабрь 2025'!$D$2:$D$2730,$B111,'декабрь 2025'!$J$2:$J$2730,F$1)</f>
        <v>0</v>
      </c>
      <c r="G111" s="183">
        <f>SUMIFS('декабрь 2025'!$G$2:$G$2730,'декабрь 2025'!$D$2:$D$2730,$B111,'декабрь 2025'!$J$2:$J$2730,G$1)</f>
        <v>0</v>
      </c>
      <c r="H111" s="183">
        <f>SUMIFS('декабрь 2025'!$G$2:$G$2730,'декабрь 2025'!$D$2:$D$2730,$B111,'декабрь 2025'!$J$2:$J$2730,H$1)</f>
        <v>0</v>
      </c>
      <c r="I111" s="183">
        <f>SUMIFS('декабрь 2025'!$G$2:$G$2730,'декабрь 2025'!$D$2:$D$2730,$B111,'декабрь 2025'!$J$2:$J$2730,I$1)</f>
        <v>0</v>
      </c>
      <c r="J111" s="183">
        <f>SUMIFS('декабрь 2025'!$G$2:$G$2730,'декабрь 2025'!$D$2:$D$2730,$B111,'декабрь 2025'!$J$2:$J$2730,J$1)</f>
        <v>0</v>
      </c>
      <c r="K111" s="183">
        <f>SUMIFS('декабрь 2025'!$G$2:$G$2730,'декабрь 2025'!$D$2:$D$2730,$B111,'декабрь 2025'!$J$2:$J$2730,K$1)</f>
        <v>0</v>
      </c>
      <c r="L111" s="183">
        <f>SUMIFS('декабрь 2025'!$G$2:$G$2730,'декабрь 2025'!$D$2:$D$2730,$B111,'декабрь 2025'!$J$2:$J$2730,L$1)</f>
        <v>0</v>
      </c>
      <c r="M111" s="183">
        <f>SUMIFS('декабрь 2025'!$G$2:$G$2730,'декабрь 2025'!$D$2:$D$2730,$B111,'декабрь 2025'!$J$2:$J$2730,M$1)</f>
        <v>0</v>
      </c>
      <c r="N111" s="183">
        <f>SUMIFS('декабрь 2025'!$G$2:$G$2730,'декабрь 2025'!$D$2:$D$2730,$B111,'декабрь 2025'!$J$2:$J$2730,N$1)</f>
        <v>0</v>
      </c>
      <c r="O111" s="183">
        <f>SUMIFS('декабрь 2025'!$G$2:$G$2730,'декабрь 2025'!$D$2:$D$2730,$B111,'декабрь 2025'!$J$2:$J$2730,O$1)</f>
        <v>0</v>
      </c>
      <c r="P111" s="183">
        <f>SUMIFS('декабрь 2025'!$G$2:$G$2730,'декабрь 2025'!$D$2:$D$2730,$B111,'декабрь 2025'!$J$2:$J$2730,P$1)</f>
        <v>0</v>
      </c>
      <c r="Q111" s="183">
        <f>SUMIFS('декабрь 2025'!$G$2:$G$2730,'декабрь 2025'!$D$2:$D$2730,$B111,'декабрь 2025'!$J$2:$J$2730,Q$1)</f>
        <v>0</v>
      </c>
      <c r="R111" s="183">
        <f>SUMIFS('декабрь 2025'!$G$2:$G$2730,'декабрь 2025'!$D$2:$D$2730,$B111,'декабрь 2025'!$J$2:$J$2730,R$1)</f>
        <v>0</v>
      </c>
      <c r="S111" s="183">
        <f>SUMIFS('декабрь 2025'!$G$2:$G$2730,'декабрь 2025'!$D$2:$D$2730,$B111,'декабрь 2025'!$J$2:$J$2730,S$1)</f>
        <v>0</v>
      </c>
      <c r="T111" s="183">
        <f>SUMIFS('декабрь 2025'!$G$2:$G$2730,'декабрь 2025'!$D$2:$D$2730,$B111,'декабрь 2025'!$J$2:$J$2730,T$1)</f>
        <v>0</v>
      </c>
      <c r="U111" s="183">
        <f>SUMIFS('декабрь 2025'!$G$2:$G$2730,'декабрь 2025'!$D$2:$D$2730,$B111,'декабрь 2025'!$J$2:$J$2730,U$1)</f>
        <v>0</v>
      </c>
      <c r="V111" s="183">
        <f>SUMIFS('декабрь 2025'!$G$2:$G$2730,'декабрь 2025'!$D$2:$D$2730,$B111,'декабрь 2025'!$J$2:$J$2730,V$1)</f>
        <v>0</v>
      </c>
      <c r="W111" s="183">
        <f>SUMIFS('декабрь 2025'!$G$2:$G$2730,'декабрь 2025'!$D$2:$D$2730,$B111,'декабрь 2025'!$J$2:$J$2730,W$1)</f>
        <v>0</v>
      </c>
      <c r="X111" s="183">
        <f>SUMIFS('декабрь 2025'!$G$2:$G$2730,'декабрь 2025'!$D$2:$D$2730,$B111,'декабрь 2025'!$J$2:$J$2730,X$1)</f>
        <v>0</v>
      </c>
      <c r="Y111" s="183">
        <f>SUMIFS('декабрь 2025'!$G$2:$G$2730,'декабрь 2025'!$D$2:$D$2730,$B111,'декабрь 2025'!$J$2:$J$2730,Y$1)</f>
        <v>0</v>
      </c>
      <c r="Z111" s="183">
        <f>SUMIFS('декабрь 2025'!$G$2:$G$2730,'декабрь 2025'!$D$2:$D$2730,$B111,'декабрь 2025'!$J$2:$J$2730,Z$1)</f>
        <v>0</v>
      </c>
      <c r="AA111" s="183">
        <f>SUMIFS('декабрь 2025'!$G$2:$G$2730,'декабрь 2025'!$D$2:$D$2730,$B111,'декабрь 2025'!$J$2:$J$2730,AA$1)</f>
        <v>0</v>
      </c>
      <c r="AB111" s="183">
        <f>SUMIFS('декабрь 2025'!$G$2:$G$2730,'декабрь 2025'!$D$2:$D$2730,$B111,'декабрь 2025'!$J$2:$J$2730,AB$1)</f>
        <v>0</v>
      </c>
      <c r="AC111" s="183">
        <f>SUMIFS('декабрь 2025'!$G$2:$G$2730,'декабрь 2025'!$D$2:$D$2730,$B111,'декабрь 2025'!$J$2:$J$2730,AC$1)</f>
        <v>0</v>
      </c>
      <c r="AD111" s="183">
        <f>SUMIFS('декабрь 2025'!$G$2:$G$2730,'декабрь 2025'!$D$2:$D$2730,$B111,'декабрь 2025'!$J$2:$J$2730,AD$1)</f>
        <v>0</v>
      </c>
      <c r="AE111" s="183">
        <f>SUMIFS('декабрь 2025'!$G$2:$G$2730,'декабрь 2025'!$D$2:$D$2730,$B111,'декабрь 2025'!$J$2:$J$2730,AE$1)</f>
        <v>0</v>
      </c>
      <c r="AF111" s="183">
        <f>SUMIFS('декабрь 2025'!$G$2:$G$2730,'декабрь 2025'!$D$2:$D$2730,$B111,'декабрь 2025'!$J$2:$J$2730,AF$1)</f>
        <v>0</v>
      </c>
      <c r="AG111" s="183">
        <f>SUMIFS('декабрь 2025'!$G$2:$G$2730,'декабрь 2025'!$D$2:$D$2730,$B111,'декабрь 2025'!$J$2:$J$2730,AG$1)</f>
        <v>0</v>
      </c>
      <c r="AH111" s="183">
        <f>SUMIFS('декабрь 2025'!$G$2:$G$2730,'декабрь 2025'!$D$2:$D$2730,$B111,'декабрь 2025'!$J$2:$J$2730,AH$1)</f>
        <v>0</v>
      </c>
      <c r="AI111" s="20">
        <f t="shared" si="1"/>
        <v>0</v>
      </c>
    </row>
    <row r="112" spans="2:35" ht="15" customHeight="1" x14ac:dyDescent="0.25">
      <c r="B112" s="84" t="s">
        <v>194</v>
      </c>
      <c r="C112" s="83">
        <v>200</v>
      </c>
      <c r="D112" s="183">
        <f>SUMIFS('декабрь 2025'!$G$2:$G$2730,'декабрь 2025'!$D$2:$D$2730,$B112,'декабрь 2025'!$J$2:$J$2730,D$1)</f>
        <v>0</v>
      </c>
      <c r="E112" s="183">
        <f>SUMIFS('декабрь 2025'!$G$2:$G$2730,'декабрь 2025'!$D$2:$D$2730,$B112,'декабрь 2025'!$J$2:$J$2730,E$1)</f>
        <v>0</v>
      </c>
      <c r="F112" s="183">
        <f>SUMIFS('декабрь 2025'!$G$2:$G$2730,'декабрь 2025'!$D$2:$D$2730,$B112,'декабрь 2025'!$J$2:$J$2730,F$1)</f>
        <v>0</v>
      </c>
      <c r="G112" s="183">
        <f>SUMIFS('декабрь 2025'!$G$2:$G$2730,'декабрь 2025'!$D$2:$D$2730,$B112,'декабрь 2025'!$J$2:$J$2730,G$1)</f>
        <v>0</v>
      </c>
      <c r="H112" s="183">
        <f>SUMIFS('декабрь 2025'!$G$2:$G$2730,'декабрь 2025'!$D$2:$D$2730,$B112,'декабрь 2025'!$J$2:$J$2730,H$1)</f>
        <v>0</v>
      </c>
      <c r="I112" s="183">
        <f>SUMIFS('декабрь 2025'!$G$2:$G$2730,'декабрь 2025'!$D$2:$D$2730,$B112,'декабрь 2025'!$J$2:$J$2730,I$1)</f>
        <v>0</v>
      </c>
      <c r="J112" s="183">
        <f>SUMIFS('декабрь 2025'!$G$2:$G$2730,'декабрь 2025'!$D$2:$D$2730,$B112,'декабрь 2025'!$J$2:$J$2730,J$1)</f>
        <v>0</v>
      </c>
      <c r="K112" s="183">
        <f>SUMIFS('декабрь 2025'!$G$2:$G$2730,'декабрь 2025'!$D$2:$D$2730,$B112,'декабрь 2025'!$J$2:$J$2730,K$1)</f>
        <v>0</v>
      </c>
      <c r="L112" s="183">
        <f>SUMIFS('декабрь 2025'!$G$2:$G$2730,'декабрь 2025'!$D$2:$D$2730,$B112,'декабрь 2025'!$J$2:$J$2730,L$1)</f>
        <v>32</v>
      </c>
      <c r="M112" s="183">
        <f>SUMIFS('декабрь 2025'!$G$2:$G$2730,'декабрь 2025'!$D$2:$D$2730,$B112,'декабрь 2025'!$J$2:$J$2730,M$1)</f>
        <v>0</v>
      </c>
      <c r="N112" s="183">
        <f>SUMIFS('декабрь 2025'!$G$2:$G$2730,'декабрь 2025'!$D$2:$D$2730,$B112,'декабрь 2025'!$J$2:$J$2730,N$1)</f>
        <v>0</v>
      </c>
      <c r="O112" s="183">
        <f>SUMIFS('декабрь 2025'!$G$2:$G$2730,'декабрь 2025'!$D$2:$D$2730,$B112,'декабрь 2025'!$J$2:$J$2730,O$1)</f>
        <v>0</v>
      </c>
      <c r="P112" s="183">
        <f>SUMIFS('декабрь 2025'!$G$2:$G$2730,'декабрь 2025'!$D$2:$D$2730,$B112,'декабрь 2025'!$J$2:$J$2730,P$1)</f>
        <v>0</v>
      </c>
      <c r="Q112" s="183">
        <f>SUMIFS('декабрь 2025'!$G$2:$G$2730,'декабрь 2025'!$D$2:$D$2730,$B112,'декабрь 2025'!$J$2:$J$2730,Q$1)</f>
        <v>0</v>
      </c>
      <c r="R112" s="183">
        <f>SUMIFS('декабрь 2025'!$G$2:$G$2730,'декабрь 2025'!$D$2:$D$2730,$B112,'декабрь 2025'!$J$2:$J$2730,R$1)</f>
        <v>0</v>
      </c>
      <c r="S112" s="183">
        <f>SUMIFS('декабрь 2025'!$G$2:$G$2730,'декабрь 2025'!$D$2:$D$2730,$B112,'декабрь 2025'!$J$2:$J$2730,S$1)</f>
        <v>0</v>
      </c>
      <c r="T112" s="183">
        <f>SUMIFS('декабрь 2025'!$G$2:$G$2730,'декабрь 2025'!$D$2:$D$2730,$B112,'декабрь 2025'!$J$2:$J$2730,T$1)</f>
        <v>0</v>
      </c>
      <c r="U112" s="183">
        <f>SUMIFS('декабрь 2025'!$G$2:$G$2730,'декабрь 2025'!$D$2:$D$2730,$B112,'декабрь 2025'!$J$2:$J$2730,U$1)</f>
        <v>0</v>
      </c>
      <c r="V112" s="183">
        <f>SUMIFS('декабрь 2025'!$G$2:$G$2730,'декабрь 2025'!$D$2:$D$2730,$B112,'декабрь 2025'!$J$2:$J$2730,V$1)</f>
        <v>152</v>
      </c>
      <c r="W112" s="183">
        <f>SUMIFS('декабрь 2025'!$G$2:$G$2730,'декабрь 2025'!$D$2:$D$2730,$B112,'декабрь 2025'!$J$2:$J$2730,W$1)</f>
        <v>0</v>
      </c>
      <c r="X112" s="183">
        <f>SUMIFS('декабрь 2025'!$G$2:$G$2730,'декабрь 2025'!$D$2:$D$2730,$B112,'декабрь 2025'!$J$2:$J$2730,X$1)</f>
        <v>0</v>
      </c>
      <c r="Y112" s="183">
        <f>SUMIFS('декабрь 2025'!$G$2:$G$2730,'декабрь 2025'!$D$2:$D$2730,$B112,'декабрь 2025'!$J$2:$J$2730,Y$1)</f>
        <v>0</v>
      </c>
      <c r="Z112" s="183">
        <f>SUMIFS('декабрь 2025'!$G$2:$G$2730,'декабрь 2025'!$D$2:$D$2730,$B112,'декабрь 2025'!$J$2:$J$2730,Z$1)</f>
        <v>0</v>
      </c>
      <c r="AA112" s="183">
        <f>SUMIFS('декабрь 2025'!$G$2:$G$2730,'декабрь 2025'!$D$2:$D$2730,$B112,'декабрь 2025'!$J$2:$J$2730,AA$1)</f>
        <v>0</v>
      </c>
      <c r="AB112" s="183">
        <f>SUMIFS('декабрь 2025'!$G$2:$G$2730,'декабрь 2025'!$D$2:$D$2730,$B112,'декабрь 2025'!$J$2:$J$2730,AB$1)</f>
        <v>0</v>
      </c>
      <c r="AC112" s="183">
        <f>SUMIFS('декабрь 2025'!$G$2:$G$2730,'декабрь 2025'!$D$2:$D$2730,$B112,'декабрь 2025'!$J$2:$J$2730,AC$1)</f>
        <v>0</v>
      </c>
      <c r="AD112" s="183">
        <f>SUMIFS('декабрь 2025'!$G$2:$G$2730,'декабрь 2025'!$D$2:$D$2730,$B112,'декабрь 2025'!$J$2:$J$2730,AD$1)</f>
        <v>0</v>
      </c>
      <c r="AE112" s="183">
        <f>SUMIFS('декабрь 2025'!$G$2:$G$2730,'декабрь 2025'!$D$2:$D$2730,$B112,'декабрь 2025'!$J$2:$J$2730,AE$1)</f>
        <v>0</v>
      </c>
      <c r="AF112" s="183">
        <f>SUMIFS('декабрь 2025'!$G$2:$G$2730,'декабрь 2025'!$D$2:$D$2730,$B112,'декабрь 2025'!$J$2:$J$2730,AF$1)</f>
        <v>0</v>
      </c>
      <c r="AG112" s="183">
        <f>SUMIFS('декабрь 2025'!$G$2:$G$2730,'декабрь 2025'!$D$2:$D$2730,$B112,'декабрь 2025'!$J$2:$J$2730,AG$1)</f>
        <v>28</v>
      </c>
      <c r="AH112" s="183">
        <f>SUMIFS('декабрь 2025'!$G$2:$G$2730,'декабрь 2025'!$D$2:$D$2730,$B112,'декабрь 2025'!$J$2:$J$2730,AH$1)</f>
        <v>0</v>
      </c>
      <c r="AI112" s="20">
        <f t="shared" si="1"/>
        <v>212</v>
      </c>
    </row>
    <row r="113" spans="2:35" ht="15" customHeight="1" x14ac:dyDescent="0.25">
      <c r="B113" s="87" t="s">
        <v>169</v>
      </c>
      <c r="C113" s="86">
        <v>180</v>
      </c>
      <c r="D113" s="183">
        <f>SUMIFS('декабрь 2025'!$G$2:$G$2730,'декабрь 2025'!$D$2:$D$2730,$B113,'декабрь 2025'!$J$2:$J$2730,D$1)</f>
        <v>0</v>
      </c>
      <c r="E113" s="183">
        <f>SUMIFS('декабрь 2025'!$G$2:$G$2730,'декабрь 2025'!$D$2:$D$2730,$B113,'декабрь 2025'!$J$2:$J$2730,E$1)</f>
        <v>0</v>
      </c>
      <c r="F113" s="183">
        <f>SUMIFS('декабрь 2025'!$G$2:$G$2730,'декабрь 2025'!$D$2:$D$2730,$B113,'декабрь 2025'!$J$2:$J$2730,F$1)</f>
        <v>0</v>
      </c>
      <c r="G113" s="183">
        <f>SUMIFS('декабрь 2025'!$G$2:$G$2730,'декабрь 2025'!$D$2:$D$2730,$B113,'декабрь 2025'!$J$2:$J$2730,G$1)</f>
        <v>0</v>
      </c>
      <c r="H113" s="183">
        <f>SUMIFS('декабрь 2025'!$G$2:$G$2730,'декабрь 2025'!$D$2:$D$2730,$B113,'декабрь 2025'!$J$2:$J$2730,H$1)</f>
        <v>0</v>
      </c>
      <c r="I113" s="183">
        <f>SUMIFS('декабрь 2025'!$G$2:$G$2730,'декабрь 2025'!$D$2:$D$2730,$B113,'декабрь 2025'!$J$2:$J$2730,I$1)</f>
        <v>0</v>
      </c>
      <c r="J113" s="183">
        <f>SUMIFS('декабрь 2025'!$G$2:$G$2730,'декабрь 2025'!$D$2:$D$2730,$B113,'декабрь 2025'!$J$2:$J$2730,J$1)</f>
        <v>0</v>
      </c>
      <c r="K113" s="183">
        <f>SUMIFS('декабрь 2025'!$G$2:$G$2730,'декабрь 2025'!$D$2:$D$2730,$B113,'декабрь 2025'!$J$2:$J$2730,K$1)</f>
        <v>0</v>
      </c>
      <c r="L113" s="183">
        <f>SUMIFS('декабрь 2025'!$G$2:$G$2730,'декабрь 2025'!$D$2:$D$2730,$B113,'декабрь 2025'!$J$2:$J$2730,L$1)</f>
        <v>0</v>
      </c>
      <c r="M113" s="183">
        <f>SUMIFS('декабрь 2025'!$G$2:$G$2730,'декабрь 2025'!$D$2:$D$2730,$B113,'декабрь 2025'!$J$2:$J$2730,M$1)</f>
        <v>0</v>
      </c>
      <c r="N113" s="183">
        <f>SUMIFS('декабрь 2025'!$G$2:$G$2730,'декабрь 2025'!$D$2:$D$2730,$B113,'декабрь 2025'!$J$2:$J$2730,N$1)</f>
        <v>0</v>
      </c>
      <c r="O113" s="183">
        <f>SUMIFS('декабрь 2025'!$G$2:$G$2730,'декабрь 2025'!$D$2:$D$2730,$B113,'декабрь 2025'!$J$2:$J$2730,O$1)</f>
        <v>0</v>
      </c>
      <c r="P113" s="183">
        <f>SUMIFS('декабрь 2025'!$G$2:$G$2730,'декабрь 2025'!$D$2:$D$2730,$B113,'декабрь 2025'!$J$2:$J$2730,P$1)</f>
        <v>0</v>
      </c>
      <c r="Q113" s="183">
        <f>SUMIFS('декабрь 2025'!$G$2:$G$2730,'декабрь 2025'!$D$2:$D$2730,$B113,'декабрь 2025'!$J$2:$J$2730,Q$1)</f>
        <v>0</v>
      </c>
      <c r="R113" s="183">
        <f>SUMIFS('декабрь 2025'!$G$2:$G$2730,'декабрь 2025'!$D$2:$D$2730,$B113,'декабрь 2025'!$J$2:$J$2730,R$1)</f>
        <v>0</v>
      </c>
      <c r="S113" s="183">
        <f>SUMIFS('декабрь 2025'!$G$2:$G$2730,'декабрь 2025'!$D$2:$D$2730,$B113,'декабрь 2025'!$J$2:$J$2730,S$1)</f>
        <v>0</v>
      </c>
      <c r="T113" s="183">
        <f>SUMIFS('декабрь 2025'!$G$2:$G$2730,'декабрь 2025'!$D$2:$D$2730,$B113,'декабрь 2025'!$J$2:$J$2730,T$1)</f>
        <v>0</v>
      </c>
      <c r="U113" s="183">
        <f>SUMIFS('декабрь 2025'!$G$2:$G$2730,'декабрь 2025'!$D$2:$D$2730,$B113,'декабрь 2025'!$J$2:$J$2730,U$1)</f>
        <v>0</v>
      </c>
      <c r="V113" s="183">
        <f>SUMIFS('декабрь 2025'!$G$2:$G$2730,'декабрь 2025'!$D$2:$D$2730,$B113,'декабрь 2025'!$J$2:$J$2730,V$1)</f>
        <v>0</v>
      </c>
      <c r="W113" s="183">
        <f>SUMIFS('декабрь 2025'!$G$2:$G$2730,'декабрь 2025'!$D$2:$D$2730,$B113,'декабрь 2025'!$J$2:$J$2730,W$1)</f>
        <v>0</v>
      </c>
      <c r="X113" s="183">
        <f>SUMIFS('декабрь 2025'!$G$2:$G$2730,'декабрь 2025'!$D$2:$D$2730,$B113,'декабрь 2025'!$J$2:$J$2730,X$1)</f>
        <v>0</v>
      </c>
      <c r="Y113" s="183">
        <f>SUMIFS('декабрь 2025'!$G$2:$G$2730,'декабрь 2025'!$D$2:$D$2730,$B113,'декабрь 2025'!$J$2:$J$2730,Y$1)</f>
        <v>0</v>
      </c>
      <c r="Z113" s="183">
        <f>SUMIFS('декабрь 2025'!$G$2:$G$2730,'декабрь 2025'!$D$2:$D$2730,$B113,'декабрь 2025'!$J$2:$J$2730,Z$1)</f>
        <v>0</v>
      </c>
      <c r="AA113" s="183">
        <f>SUMIFS('декабрь 2025'!$G$2:$G$2730,'декабрь 2025'!$D$2:$D$2730,$B113,'декабрь 2025'!$J$2:$J$2730,AA$1)</f>
        <v>0</v>
      </c>
      <c r="AB113" s="183">
        <f>SUMIFS('декабрь 2025'!$G$2:$G$2730,'декабрь 2025'!$D$2:$D$2730,$B113,'декабрь 2025'!$J$2:$J$2730,AB$1)</f>
        <v>0</v>
      </c>
      <c r="AC113" s="183">
        <f>SUMIFS('декабрь 2025'!$G$2:$G$2730,'декабрь 2025'!$D$2:$D$2730,$B113,'декабрь 2025'!$J$2:$J$2730,AC$1)</f>
        <v>0</v>
      </c>
      <c r="AD113" s="183">
        <f>SUMIFS('декабрь 2025'!$G$2:$G$2730,'декабрь 2025'!$D$2:$D$2730,$B113,'декабрь 2025'!$J$2:$J$2730,AD$1)</f>
        <v>0</v>
      </c>
      <c r="AE113" s="183">
        <f>SUMIFS('декабрь 2025'!$G$2:$G$2730,'декабрь 2025'!$D$2:$D$2730,$B113,'декабрь 2025'!$J$2:$J$2730,AE$1)</f>
        <v>0</v>
      </c>
      <c r="AF113" s="183">
        <f>SUMIFS('декабрь 2025'!$G$2:$G$2730,'декабрь 2025'!$D$2:$D$2730,$B113,'декабрь 2025'!$J$2:$J$2730,AF$1)</f>
        <v>0</v>
      </c>
      <c r="AG113" s="183">
        <f>SUMIFS('декабрь 2025'!$G$2:$G$2730,'декабрь 2025'!$D$2:$D$2730,$B113,'декабрь 2025'!$J$2:$J$2730,AG$1)</f>
        <v>0</v>
      </c>
      <c r="AH113" s="183">
        <f>SUMIFS('декабрь 2025'!$G$2:$G$2730,'декабрь 2025'!$D$2:$D$2730,$B113,'декабрь 2025'!$J$2:$J$2730,AH$1)</f>
        <v>0</v>
      </c>
      <c r="AI113" s="20">
        <f t="shared" si="1"/>
        <v>0</v>
      </c>
    </row>
    <row r="114" spans="2:35" ht="15" customHeight="1" x14ac:dyDescent="0.25">
      <c r="B114" s="84" t="s">
        <v>170</v>
      </c>
      <c r="C114" s="86">
        <v>200</v>
      </c>
      <c r="D114" s="183">
        <f>SUMIFS('декабрь 2025'!$G$2:$G$2730,'декабрь 2025'!$D$2:$D$2730,$B114,'декабрь 2025'!$J$2:$J$2730,D$1)</f>
        <v>0</v>
      </c>
      <c r="E114" s="183">
        <f>SUMIFS('декабрь 2025'!$G$2:$G$2730,'декабрь 2025'!$D$2:$D$2730,$B114,'декабрь 2025'!$J$2:$J$2730,E$1)</f>
        <v>0</v>
      </c>
      <c r="F114" s="183">
        <f>SUMIFS('декабрь 2025'!$G$2:$G$2730,'декабрь 2025'!$D$2:$D$2730,$B114,'декабрь 2025'!$J$2:$J$2730,F$1)</f>
        <v>0</v>
      </c>
      <c r="G114" s="183">
        <f>SUMIFS('декабрь 2025'!$G$2:$G$2730,'декабрь 2025'!$D$2:$D$2730,$B114,'декабрь 2025'!$J$2:$J$2730,G$1)</f>
        <v>0</v>
      </c>
      <c r="H114" s="183">
        <f>SUMIFS('декабрь 2025'!$G$2:$G$2730,'декабрь 2025'!$D$2:$D$2730,$B114,'декабрь 2025'!$J$2:$J$2730,H$1)</f>
        <v>0</v>
      </c>
      <c r="I114" s="183">
        <f>SUMIFS('декабрь 2025'!$G$2:$G$2730,'декабрь 2025'!$D$2:$D$2730,$B114,'декабрь 2025'!$J$2:$J$2730,I$1)</f>
        <v>0</v>
      </c>
      <c r="J114" s="183">
        <f>SUMIFS('декабрь 2025'!$G$2:$G$2730,'декабрь 2025'!$D$2:$D$2730,$B114,'декабрь 2025'!$J$2:$J$2730,J$1)</f>
        <v>0</v>
      </c>
      <c r="K114" s="183">
        <f>SUMIFS('декабрь 2025'!$G$2:$G$2730,'декабрь 2025'!$D$2:$D$2730,$B114,'декабрь 2025'!$J$2:$J$2730,K$1)</f>
        <v>0</v>
      </c>
      <c r="L114" s="183">
        <f>SUMIFS('декабрь 2025'!$G$2:$G$2730,'декабрь 2025'!$D$2:$D$2730,$B114,'декабрь 2025'!$J$2:$J$2730,L$1)</f>
        <v>0</v>
      </c>
      <c r="M114" s="183">
        <f>SUMIFS('декабрь 2025'!$G$2:$G$2730,'декабрь 2025'!$D$2:$D$2730,$B114,'декабрь 2025'!$J$2:$J$2730,M$1)</f>
        <v>0</v>
      </c>
      <c r="N114" s="183">
        <f>SUMIFS('декабрь 2025'!$G$2:$G$2730,'декабрь 2025'!$D$2:$D$2730,$B114,'декабрь 2025'!$J$2:$J$2730,N$1)</f>
        <v>0</v>
      </c>
      <c r="O114" s="183">
        <f>SUMIFS('декабрь 2025'!$G$2:$G$2730,'декабрь 2025'!$D$2:$D$2730,$B114,'декабрь 2025'!$J$2:$J$2730,O$1)</f>
        <v>0</v>
      </c>
      <c r="P114" s="183">
        <f>SUMIFS('декабрь 2025'!$G$2:$G$2730,'декабрь 2025'!$D$2:$D$2730,$B114,'декабрь 2025'!$J$2:$J$2730,P$1)</f>
        <v>0</v>
      </c>
      <c r="Q114" s="183">
        <f>SUMIFS('декабрь 2025'!$G$2:$G$2730,'декабрь 2025'!$D$2:$D$2730,$B114,'декабрь 2025'!$J$2:$J$2730,Q$1)</f>
        <v>0</v>
      </c>
      <c r="R114" s="183">
        <f>SUMIFS('декабрь 2025'!$G$2:$G$2730,'декабрь 2025'!$D$2:$D$2730,$B114,'декабрь 2025'!$J$2:$J$2730,R$1)</f>
        <v>0</v>
      </c>
      <c r="S114" s="183">
        <f>SUMIFS('декабрь 2025'!$G$2:$G$2730,'декабрь 2025'!$D$2:$D$2730,$B114,'декабрь 2025'!$J$2:$J$2730,S$1)</f>
        <v>0</v>
      </c>
      <c r="T114" s="183">
        <f>SUMIFS('декабрь 2025'!$G$2:$G$2730,'декабрь 2025'!$D$2:$D$2730,$B114,'декабрь 2025'!$J$2:$J$2730,T$1)</f>
        <v>0</v>
      </c>
      <c r="U114" s="183">
        <f>SUMIFS('декабрь 2025'!$G$2:$G$2730,'декабрь 2025'!$D$2:$D$2730,$B114,'декабрь 2025'!$J$2:$J$2730,U$1)</f>
        <v>0</v>
      </c>
      <c r="V114" s="183">
        <f>SUMIFS('декабрь 2025'!$G$2:$G$2730,'декабрь 2025'!$D$2:$D$2730,$B114,'декабрь 2025'!$J$2:$J$2730,V$1)</f>
        <v>0</v>
      </c>
      <c r="W114" s="183">
        <f>SUMIFS('декабрь 2025'!$G$2:$G$2730,'декабрь 2025'!$D$2:$D$2730,$B114,'декабрь 2025'!$J$2:$J$2730,W$1)</f>
        <v>0</v>
      </c>
      <c r="X114" s="183">
        <f>SUMIFS('декабрь 2025'!$G$2:$G$2730,'декабрь 2025'!$D$2:$D$2730,$B114,'декабрь 2025'!$J$2:$J$2730,X$1)</f>
        <v>0</v>
      </c>
      <c r="Y114" s="183">
        <f>SUMIFS('декабрь 2025'!$G$2:$G$2730,'декабрь 2025'!$D$2:$D$2730,$B114,'декабрь 2025'!$J$2:$J$2730,Y$1)</f>
        <v>0</v>
      </c>
      <c r="Z114" s="183">
        <f>SUMIFS('декабрь 2025'!$G$2:$G$2730,'декабрь 2025'!$D$2:$D$2730,$B114,'декабрь 2025'!$J$2:$J$2730,Z$1)</f>
        <v>0</v>
      </c>
      <c r="AA114" s="183">
        <f>SUMIFS('декабрь 2025'!$G$2:$G$2730,'декабрь 2025'!$D$2:$D$2730,$B114,'декабрь 2025'!$J$2:$J$2730,AA$1)</f>
        <v>0</v>
      </c>
      <c r="AB114" s="183">
        <f>SUMIFS('декабрь 2025'!$G$2:$G$2730,'декабрь 2025'!$D$2:$D$2730,$B114,'декабрь 2025'!$J$2:$J$2730,AB$1)</f>
        <v>0</v>
      </c>
      <c r="AC114" s="183">
        <f>SUMIFS('декабрь 2025'!$G$2:$G$2730,'декабрь 2025'!$D$2:$D$2730,$B114,'декабрь 2025'!$J$2:$J$2730,AC$1)</f>
        <v>0</v>
      </c>
      <c r="AD114" s="183">
        <f>SUMIFS('декабрь 2025'!$G$2:$G$2730,'декабрь 2025'!$D$2:$D$2730,$B114,'декабрь 2025'!$J$2:$J$2730,AD$1)</f>
        <v>0</v>
      </c>
      <c r="AE114" s="183">
        <f>SUMIFS('декабрь 2025'!$G$2:$G$2730,'декабрь 2025'!$D$2:$D$2730,$B114,'декабрь 2025'!$J$2:$J$2730,AE$1)</f>
        <v>0</v>
      </c>
      <c r="AF114" s="183">
        <f>SUMIFS('декабрь 2025'!$G$2:$G$2730,'декабрь 2025'!$D$2:$D$2730,$B114,'декабрь 2025'!$J$2:$J$2730,AF$1)</f>
        <v>0</v>
      </c>
      <c r="AG114" s="183">
        <f>SUMIFS('декабрь 2025'!$G$2:$G$2730,'декабрь 2025'!$D$2:$D$2730,$B114,'декабрь 2025'!$J$2:$J$2730,AG$1)</f>
        <v>0</v>
      </c>
      <c r="AH114" s="183">
        <f>SUMIFS('декабрь 2025'!$G$2:$G$2730,'декабрь 2025'!$D$2:$D$2730,$B114,'декабрь 2025'!$J$2:$J$2730,AH$1)</f>
        <v>0</v>
      </c>
      <c r="AI114" s="20">
        <f t="shared" si="1"/>
        <v>0</v>
      </c>
    </row>
    <row r="115" spans="2:35" ht="15" customHeight="1" x14ac:dyDescent="0.25">
      <c r="B115" s="84" t="s">
        <v>195</v>
      </c>
      <c r="C115" s="83">
        <v>185</v>
      </c>
      <c r="D115" s="183">
        <f>SUMIFS('декабрь 2025'!$G$2:$G$2730,'декабрь 2025'!$D$2:$D$2730,$B115,'декабрь 2025'!$J$2:$J$2730,D$1)</f>
        <v>0</v>
      </c>
      <c r="E115" s="183">
        <f>SUMIFS('декабрь 2025'!$G$2:$G$2730,'декабрь 2025'!$D$2:$D$2730,$B115,'декабрь 2025'!$J$2:$J$2730,E$1)</f>
        <v>0</v>
      </c>
      <c r="F115" s="183">
        <f>SUMIFS('декабрь 2025'!$G$2:$G$2730,'декабрь 2025'!$D$2:$D$2730,$B115,'декабрь 2025'!$J$2:$J$2730,F$1)</f>
        <v>0</v>
      </c>
      <c r="G115" s="183">
        <f>SUMIFS('декабрь 2025'!$G$2:$G$2730,'декабрь 2025'!$D$2:$D$2730,$B115,'декабрь 2025'!$J$2:$J$2730,G$1)</f>
        <v>0</v>
      </c>
      <c r="H115" s="183">
        <f>SUMIFS('декабрь 2025'!$G$2:$G$2730,'декабрь 2025'!$D$2:$D$2730,$B115,'декабрь 2025'!$J$2:$J$2730,H$1)</f>
        <v>0</v>
      </c>
      <c r="I115" s="183">
        <f>SUMIFS('декабрь 2025'!$G$2:$G$2730,'декабрь 2025'!$D$2:$D$2730,$B115,'декабрь 2025'!$J$2:$J$2730,I$1)</f>
        <v>0</v>
      </c>
      <c r="J115" s="183">
        <f>SUMIFS('декабрь 2025'!$G$2:$G$2730,'декабрь 2025'!$D$2:$D$2730,$B115,'декабрь 2025'!$J$2:$J$2730,J$1)</f>
        <v>0</v>
      </c>
      <c r="K115" s="183">
        <f>SUMIFS('декабрь 2025'!$G$2:$G$2730,'декабрь 2025'!$D$2:$D$2730,$B115,'декабрь 2025'!$J$2:$J$2730,K$1)</f>
        <v>0</v>
      </c>
      <c r="L115" s="183">
        <f>SUMIFS('декабрь 2025'!$G$2:$G$2730,'декабрь 2025'!$D$2:$D$2730,$B115,'декабрь 2025'!$J$2:$J$2730,L$1)</f>
        <v>0</v>
      </c>
      <c r="M115" s="183">
        <f>SUMIFS('декабрь 2025'!$G$2:$G$2730,'декабрь 2025'!$D$2:$D$2730,$B115,'декабрь 2025'!$J$2:$J$2730,M$1)</f>
        <v>0</v>
      </c>
      <c r="N115" s="183">
        <f>SUMIFS('декабрь 2025'!$G$2:$G$2730,'декабрь 2025'!$D$2:$D$2730,$B115,'декабрь 2025'!$J$2:$J$2730,N$1)</f>
        <v>0</v>
      </c>
      <c r="O115" s="183">
        <f>SUMIFS('декабрь 2025'!$G$2:$G$2730,'декабрь 2025'!$D$2:$D$2730,$B115,'декабрь 2025'!$J$2:$J$2730,O$1)</f>
        <v>0</v>
      </c>
      <c r="P115" s="183">
        <f>SUMIFS('декабрь 2025'!$G$2:$G$2730,'декабрь 2025'!$D$2:$D$2730,$B115,'декабрь 2025'!$J$2:$J$2730,P$1)</f>
        <v>0</v>
      </c>
      <c r="Q115" s="183">
        <f>SUMIFS('декабрь 2025'!$G$2:$G$2730,'декабрь 2025'!$D$2:$D$2730,$B115,'декабрь 2025'!$J$2:$J$2730,Q$1)</f>
        <v>0</v>
      </c>
      <c r="R115" s="183">
        <f>SUMIFS('декабрь 2025'!$G$2:$G$2730,'декабрь 2025'!$D$2:$D$2730,$B115,'декабрь 2025'!$J$2:$J$2730,R$1)</f>
        <v>0</v>
      </c>
      <c r="S115" s="183">
        <f>SUMIFS('декабрь 2025'!$G$2:$G$2730,'декабрь 2025'!$D$2:$D$2730,$B115,'декабрь 2025'!$J$2:$J$2730,S$1)</f>
        <v>0</v>
      </c>
      <c r="T115" s="183">
        <f>SUMIFS('декабрь 2025'!$G$2:$G$2730,'декабрь 2025'!$D$2:$D$2730,$B115,'декабрь 2025'!$J$2:$J$2730,T$1)</f>
        <v>0</v>
      </c>
      <c r="U115" s="183">
        <f>SUMIFS('декабрь 2025'!$G$2:$G$2730,'декабрь 2025'!$D$2:$D$2730,$B115,'декабрь 2025'!$J$2:$J$2730,U$1)</f>
        <v>0</v>
      </c>
      <c r="V115" s="183">
        <f>SUMIFS('декабрь 2025'!$G$2:$G$2730,'декабрь 2025'!$D$2:$D$2730,$B115,'декабрь 2025'!$J$2:$J$2730,V$1)</f>
        <v>0</v>
      </c>
      <c r="W115" s="183">
        <f>SUMIFS('декабрь 2025'!$G$2:$G$2730,'декабрь 2025'!$D$2:$D$2730,$B115,'декабрь 2025'!$J$2:$J$2730,W$1)</f>
        <v>0</v>
      </c>
      <c r="X115" s="183">
        <f>SUMIFS('декабрь 2025'!$G$2:$G$2730,'декабрь 2025'!$D$2:$D$2730,$B115,'декабрь 2025'!$J$2:$J$2730,X$1)</f>
        <v>0</v>
      </c>
      <c r="Y115" s="183">
        <f>SUMIFS('декабрь 2025'!$G$2:$G$2730,'декабрь 2025'!$D$2:$D$2730,$B115,'декабрь 2025'!$J$2:$J$2730,Y$1)</f>
        <v>0</v>
      </c>
      <c r="Z115" s="183">
        <f>SUMIFS('декабрь 2025'!$G$2:$G$2730,'декабрь 2025'!$D$2:$D$2730,$B115,'декабрь 2025'!$J$2:$J$2730,Z$1)</f>
        <v>0</v>
      </c>
      <c r="AA115" s="183">
        <f>SUMIFS('декабрь 2025'!$G$2:$G$2730,'декабрь 2025'!$D$2:$D$2730,$B115,'декабрь 2025'!$J$2:$J$2730,AA$1)</f>
        <v>0</v>
      </c>
      <c r="AB115" s="183">
        <f>SUMIFS('декабрь 2025'!$G$2:$G$2730,'декабрь 2025'!$D$2:$D$2730,$B115,'декабрь 2025'!$J$2:$J$2730,AB$1)</f>
        <v>0</v>
      </c>
      <c r="AC115" s="183">
        <f>SUMIFS('декабрь 2025'!$G$2:$G$2730,'декабрь 2025'!$D$2:$D$2730,$B115,'декабрь 2025'!$J$2:$J$2730,AC$1)</f>
        <v>0</v>
      </c>
      <c r="AD115" s="183">
        <f>SUMIFS('декабрь 2025'!$G$2:$G$2730,'декабрь 2025'!$D$2:$D$2730,$B115,'декабрь 2025'!$J$2:$J$2730,AD$1)</f>
        <v>0</v>
      </c>
      <c r="AE115" s="183">
        <f>SUMIFS('декабрь 2025'!$G$2:$G$2730,'декабрь 2025'!$D$2:$D$2730,$B115,'декабрь 2025'!$J$2:$J$2730,AE$1)</f>
        <v>0</v>
      </c>
      <c r="AF115" s="183">
        <f>SUMIFS('декабрь 2025'!$G$2:$G$2730,'декабрь 2025'!$D$2:$D$2730,$B115,'декабрь 2025'!$J$2:$J$2730,AF$1)</f>
        <v>0</v>
      </c>
      <c r="AG115" s="183">
        <f>SUMIFS('декабрь 2025'!$G$2:$G$2730,'декабрь 2025'!$D$2:$D$2730,$B115,'декабрь 2025'!$J$2:$J$2730,AG$1)</f>
        <v>0</v>
      </c>
      <c r="AH115" s="183">
        <f>SUMIFS('декабрь 2025'!$G$2:$G$2730,'декабрь 2025'!$D$2:$D$2730,$B115,'декабрь 2025'!$J$2:$J$2730,AH$1)</f>
        <v>0</v>
      </c>
      <c r="AI115" s="20">
        <f t="shared" si="1"/>
        <v>0</v>
      </c>
    </row>
    <row r="116" spans="2:35" ht="15" customHeight="1" x14ac:dyDescent="0.25">
      <c r="B116" s="84" t="s">
        <v>196</v>
      </c>
      <c r="C116" s="83">
        <v>185</v>
      </c>
      <c r="D116" s="183">
        <f>SUMIFS('декабрь 2025'!$G$2:$G$2730,'декабрь 2025'!$D$2:$D$2730,$B116,'декабрь 2025'!$J$2:$J$2730,D$1)</f>
        <v>0</v>
      </c>
      <c r="E116" s="183">
        <f>SUMIFS('декабрь 2025'!$G$2:$G$2730,'декабрь 2025'!$D$2:$D$2730,$B116,'декабрь 2025'!$J$2:$J$2730,E$1)</f>
        <v>0</v>
      </c>
      <c r="F116" s="183">
        <f>SUMIFS('декабрь 2025'!$G$2:$G$2730,'декабрь 2025'!$D$2:$D$2730,$B116,'декабрь 2025'!$J$2:$J$2730,F$1)</f>
        <v>0</v>
      </c>
      <c r="G116" s="183">
        <f>SUMIFS('декабрь 2025'!$G$2:$G$2730,'декабрь 2025'!$D$2:$D$2730,$B116,'декабрь 2025'!$J$2:$J$2730,G$1)</f>
        <v>0</v>
      </c>
      <c r="H116" s="183">
        <f>SUMIFS('декабрь 2025'!$G$2:$G$2730,'декабрь 2025'!$D$2:$D$2730,$B116,'декабрь 2025'!$J$2:$J$2730,H$1)</f>
        <v>0</v>
      </c>
      <c r="I116" s="183">
        <f>SUMIFS('декабрь 2025'!$G$2:$G$2730,'декабрь 2025'!$D$2:$D$2730,$B116,'декабрь 2025'!$J$2:$J$2730,I$1)</f>
        <v>0</v>
      </c>
      <c r="J116" s="183">
        <f>SUMIFS('декабрь 2025'!$G$2:$G$2730,'декабрь 2025'!$D$2:$D$2730,$B116,'декабрь 2025'!$J$2:$J$2730,J$1)</f>
        <v>0</v>
      </c>
      <c r="K116" s="183">
        <f>SUMIFS('декабрь 2025'!$G$2:$G$2730,'декабрь 2025'!$D$2:$D$2730,$B116,'декабрь 2025'!$J$2:$J$2730,K$1)</f>
        <v>0</v>
      </c>
      <c r="L116" s="183">
        <f>SUMIFS('декабрь 2025'!$G$2:$G$2730,'декабрь 2025'!$D$2:$D$2730,$B116,'декабрь 2025'!$J$2:$J$2730,L$1)</f>
        <v>0</v>
      </c>
      <c r="M116" s="183">
        <f>SUMIFS('декабрь 2025'!$G$2:$G$2730,'декабрь 2025'!$D$2:$D$2730,$B116,'декабрь 2025'!$J$2:$J$2730,M$1)</f>
        <v>0</v>
      </c>
      <c r="N116" s="183">
        <f>SUMIFS('декабрь 2025'!$G$2:$G$2730,'декабрь 2025'!$D$2:$D$2730,$B116,'декабрь 2025'!$J$2:$J$2730,N$1)</f>
        <v>0</v>
      </c>
      <c r="O116" s="183">
        <f>SUMIFS('декабрь 2025'!$G$2:$G$2730,'декабрь 2025'!$D$2:$D$2730,$B116,'декабрь 2025'!$J$2:$J$2730,O$1)</f>
        <v>0</v>
      </c>
      <c r="P116" s="183">
        <f>SUMIFS('декабрь 2025'!$G$2:$G$2730,'декабрь 2025'!$D$2:$D$2730,$B116,'декабрь 2025'!$J$2:$J$2730,P$1)</f>
        <v>0</v>
      </c>
      <c r="Q116" s="183">
        <f>SUMIFS('декабрь 2025'!$G$2:$G$2730,'декабрь 2025'!$D$2:$D$2730,$B116,'декабрь 2025'!$J$2:$J$2730,Q$1)</f>
        <v>0</v>
      </c>
      <c r="R116" s="183">
        <f>SUMIFS('декабрь 2025'!$G$2:$G$2730,'декабрь 2025'!$D$2:$D$2730,$B116,'декабрь 2025'!$J$2:$J$2730,R$1)</f>
        <v>0</v>
      </c>
      <c r="S116" s="183">
        <f>SUMIFS('декабрь 2025'!$G$2:$G$2730,'декабрь 2025'!$D$2:$D$2730,$B116,'декабрь 2025'!$J$2:$J$2730,S$1)</f>
        <v>0</v>
      </c>
      <c r="T116" s="183">
        <f>SUMIFS('декабрь 2025'!$G$2:$G$2730,'декабрь 2025'!$D$2:$D$2730,$B116,'декабрь 2025'!$J$2:$J$2730,T$1)</f>
        <v>0</v>
      </c>
      <c r="U116" s="183">
        <f>SUMIFS('декабрь 2025'!$G$2:$G$2730,'декабрь 2025'!$D$2:$D$2730,$B116,'декабрь 2025'!$J$2:$J$2730,U$1)</f>
        <v>0</v>
      </c>
      <c r="V116" s="183">
        <f>SUMIFS('декабрь 2025'!$G$2:$G$2730,'декабрь 2025'!$D$2:$D$2730,$B116,'декабрь 2025'!$J$2:$J$2730,V$1)</f>
        <v>0</v>
      </c>
      <c r="W116" s="183">
        <f>SUMIFS('декабрь 2025'!$G$2:$G$2730,'декабрь 2025'!$D$2:$D$2730,$B116,'декабрь 2025'!$J$2:$J$2730,W$1)</f>
        <v>0</v>
      </c>
      <c r="X116" s="183">
        <f>SUMIFS('декабрь 2025'!$G$2:$G$2730,'декабрь 2025'!$D$2:$D$2730,$B116,'декабрь 2025'!$J$2:$J$2730,X$1)</f>
        <v>0</v>
      </c>
      <c r="Y116" s="183">
        <f>SUMIFS('декабрь 2025'!$G$2:$G$2730,'декабрь 2025'!$D$2:$D$2730,$B116,'декабрь 2025'!$J$2:$J$2730,Y$1)</f>
        <v>0</v>
      </c>
      <c r="Z116" s="183">
        <f>SUMIFS('декабрь 2025'!$G$2:$G$2730,'декабрь 2025'!$D$2:$D$2730,$B116,'декабрь 2025'!$J$2:$J$2730,Z$1)</f>
        <v>0</v>
      </c>
      <c r="AA116" s="183">
        <f>SUMIFS('декабрь 2025'!$G$2:$G$2730,'декабрь 2025'!$D$2:$D$2730,$B116,'декабрь 2025'!$J$2:$J$2730,AA$1)</f>
        <v>0</v>
      </c>
      <c r="AB116" s="183">
        <f>SUMIFS('декабрь 2025'!$G$2:$G$2730,'декабрь 2025'!$D$2:$D$2730,$B116,'декабрь 2025'!$J$2:$J$2730,AB$1)</f>
        <v>0</v>
      </c>
      <c r="AC116" s="183">
        <f>SUMIFS('декабрь 2025'!$G$2:$G$2730,'декабрь 2025'!$D$2:$D$2730,$B116,'декабрь 2025'!$J$2:$J$2730,AC$1)</f>
        <v>0</v>
      </c>
      <c r="AD116" s="183">
        <f>SUMIFS('декабрь 2025'!$G$2:$G$2730,'декабрь 2025'!$D$2:$D$2730,$B116,'декабрь 2025'!$J$2:$J$2730,AD$1)</f>
        <v>0</v>
      </c>
      <c r="AE116" s="183">
        <f>SUMIFS('декабрь 2025'!$G$2:$G$2730,'декабрь 2025'!$D$2:$D$2730,$B116,'декабрь 2025'!$J$2:$J$2730,AE$1)</f>
        <v>0</v>
      </c>
      <c r="AF116" s="183">
        <f>SUMIFS('декабрь 2025'!$G$2:$G$2730,'декабрь 2025'!$D$2:$D$2730,$B116,'декабрь 2025'!$J$2:$J$2730,AF$1)</f>
        <v>0</v>
      </c>
      <c r="AG116" s="183">
        <f>SUMIFS('декабрь 2025'!$G$2:$G$2730,'декабрь 2025'!$D$2:$D$2730,$B116,'декабрь 2025'!$J$2:$J$2730,AG$1)</f>
        <v>0</v>
      </c>
      <c r="AH116" s="183">
        <f>SUMIFS('декабрь 2025'!$G$2:$G$2730,'декабрь 2025'!$D$2:$D$2730,$B116,'декабрь 2025'!$J$2:$J$2730,AH$1)</f>
        <v>0</v>
      </c>
      <c r="AI116" s="20">
        <f t="shared" si="1"/>
        <v>0</v>
      </c>
    </row>
    <row r="117" spans="2:35" ht="15" customHeight="1" x14ac:dyDescent="0.25">
      <c r="B117" s="84" t="s">
        <v>260</v>
      </c>
      <c r="C117" s="83">
        <v>180</v>
      </c>
      <c r="D117" s="183">
        <f>SUMIFS('декабрь 2025'!$G$2:$G$2730,'декабрь 2025'!$D$2:$D$2730,$B117,'декабрь 2025'!$J$2:$J$2730,D$1)</f>
        <v>0</v>
      </c>
      <c r="E117" s="183">
        <f>SUMIFS('декабрь 2025'!$G$2:$G$2730,'декабрь 2025'!$D$2:$D$2730,$B117,'декабрь 2025'!$J$2:$J$2730,E$1)</f>
        <v>0</v>
      </c>
      <c r="F117" s="183">
        <f>SUMIFS('декабрь 2025'!$G$2:$G$2730,'декабрь 2025'!$D$2:$D$2730,$B117,'декабрь 2025'!$J$2:$J$2730,F$1)</f>
        <v>0</v>
      </c>
      <c r="G117" s="183">
        <f>SUMIFS('декабрь 2025'!$G$2:$G$2730,'декабрь 2025'!$D$2:$D$2730,$B117,'декабрь 2025'!$J$2:$J$2730,G$1)</f>
        <v>0</v>
      </c>
      <c r="H117" s="183">
        <f>SUMIFS('декабрь 2025'!$G$2:$G$2730,'декабрь 2025'!$D$2:$D$2730,$B117,'декабрь 2025'!$J$2:$J$2730,H$1)</f>
        <v>0</v>
      </c>
      <c r="I117" s="183">
        <f>SUMIFS('декабрь 2025'!$G$2:$G$2730,'декабрь 2025'!$D$2:$D$2730,$B117,'декабрь 2025'!$J$2:$J$2730,I$1)</f>
        <v>0</v>
      </c>
      <c r="J117" s="183">
        <f>SUMIFS('декабрь 2025'!$G$2:$G$2730,'декабрь 2025'!$D$2:$D$2730,$B117,'декабрь 2025'!$J$2:$J$2730,J$1)</f>
        <v>0</v>
      </c>
      <c r="K117" s="183">
        <f>SUMIFS('декабрь 2025'!$G$2:$G$2730,'декабрь 2025'!$D$2:$D$2730,$B117,'декабрь 2025'!$J$2:$J$2730,K$1)</f>
        <v>0</v>
      </c>
      <c r="L117" s="183">
        <f>SUMIFS('декабрь 2025'!$G$2:$G$2730,'декабрь 2025'!$D$2:$D$2730,$B117,'декабрь 2025'!$J$2:$J$2730,L$1)</f>
        <v>0</v>
      </c>
      <c r="M117" s="183">
        <f>SUMIFS('декабрь 2025'!$G$2:$G$2730,'декабрь 2025'!$D$2:$D$2730,$B117,'декабрь 2025'!$J$2:$J$2730,M$1)</f>
        <v>0</v>
      </c>
      <c r="N117" s="183">
        <f>SUMIFS('декабрь 2025'!$G$2:$G$2730,'декабрь 2025'!$D$2:$D$2730,$B117,'декабрь 2025'!$J$2:$J$2730,N$1)</f>
        <v>0</v>
      </c>
      <c r="O117" s="183">
        <f>SUMIFS('декабрь 2025'!$G$2:$G$2730,'декабрь 2025'!$D$2:$D$2730,$B117,'декабрь 2025'!$J$2:$J$2730,O$1)</f>
        <v>0</v>
      </c>
      <c r="P117" s="183">
        <f>SUMIFS('декабрь 2025'!$G$2:$G$2730,'декабрь 2025'!$D$2:$D$2730,$B117,'декабрь 2025'!$J$2:$J$2730,P$1)</f>
        <v>0</v>
      </c>
      <c r="Q117" s="183">
        <f>SUMIFS('декабрь 2025'!$G$2:$G$2730,'декабрь 2025'!$D$2:$D$2730,$B117,'декабрь 2025'!$J$2:$J$2730,Q$1)</f>
        <v>0</v>
      </c>
      <c r="R117" s="183">
        <f>SUMIFS('декабрь 2025'!$G$2:$G$2730,'декабрь 2025'!$D$2:$D$2730,$B117,'декабрь 2025'!$J$2:$J$2730,R$1)</f>
        <v>0</v>
      </c>
      <c r="S117" s="183">
        <f>SUMIFS('декабрь 2025'!$G$2:$G$2730,'декабрь 2025'!$D$2:$D$2730,$B117,'декабрь 2025'!$J$2:$J$2730,S$1)</f>
        <v>0</v>
      </c>
      <c r="T117" s="183">
        <f>SUMIFS('декабрь 2025'!$G$2:$G$2730,'декабрь 2025'!$D$2:$D$2730,$B117,'декабрь 2025'!$J$2:$J$2730,T$1)</f>
        <v>0</v>
      </c>
      <c r="U117" s="183">
        <f>SUMIFS('декабрь 2025'!$G$2:$G$2730,'декабрь 2025'!$D$2:$D$2730,$B117,'декабрь 2025'!$J$2:$J$2730,U$1)</f>
        <v>0</v>
      </c>
      <c r="V117" s="183">
        <f>SUMIFS('декабрь 2025'!$G$2:$G$2730,'декабрь 2025'!$D$2:$D$2730,$B117,'декабрь 2025'!$J$2:$J$2730,V$1)</f>
        <v>0</v>
      </c>
      <c r="W117" s="183">
        <f>SUMIFS('декабрь 2025'!$G$2:$G$2730,'декабрь 2025'!$D$2:$D$2730,$B117,'декабрь 2025'!$J$2:$J$2730,W$1)</f>
        <v>0</v>
      </c>
      <c r="X117" s="183">
        <f>SUMIFS('декабрь 2025'!$G$2:$G$2730,'декабрь 2025'!$D$2:$D$2730,$B117,'декабрь 2025'!$J$2:$J$2730,X$1)</f>
        <v>0</v>
      </c>
      <c r="Y117" s="183">
        <f>SUMIFS('декабрь 2025'!$G$2:$G$2730,'декабрь 2025'!$D$2:$D$2730,$B117,'декабрь 2025'!$J$2:$J$2730,Y$1)</f>
        <v>0</v>
      </c>
      <c r="Z117" s="183">
        <f>SUMIFS('декабрь 2025'!$G$2:$G$2730,'декабрь 2025'!$D$2:$D$2730,$B117,'декабрь 2025'!$J$2:$J$2730,Z$1)</f>
        <v>0</v>
      </c>
      <c r="AA117" s="183">
        <f>SUMIFS('декабрь 2025'!$G$2:$G$2730,'декабрь 2025'!$D$2:$D$2730,$B117,'декабрь 2025'!$J$2:$J$2730,AA$1)</f>
        <v>0</v>
      </c>
      <c r="AB117" s="183">
        <f>SUMIFS('декабрь 2025'!$G$2:$G$2730,'декабрь 2025'!$D$2:$D$2730,$B117,'декабрь 2025'!$J$2:$J$2730,AB$1)</f>
        <v>0</v>
      </c>
      <c r="AC117" s="183">
        <f>SUMIFS('декабрь 2025'!$G$2:$G$2730,'декабрь 2025'!$D$2:$D$2730,$B117,'декабрь 2025'!$J$2:$J$2730,AC$1)</f>
        <v>0</v>
      </c>
      <c r="AD117" s="183">
        <f>SUMIFS('декабрь 2025'!$G$2:$G$2730,'декабрь 2025'!$D$2:$D$2730,$B117,'декабрь 2025'!$J$2:$J$2730,AD$1)</f>
        <v>0</v>
      </c>
      <c r="AE117" s="183">
        <f>SUMIFS('декабрь 2025'!$G$2:$G$2730,'декабрь 2025'!$D$2:$D$2730,$B117,'декабрь 2025'!$J$2:$J$2730,AE$1)</f>
        <v>0</v>
      </c>
      <c r="AF117" s="183">
        <f>SUMIFS('декабрь 2025'!$G$2:$G$2730,'декабрь 2025'!$D$2:$D$2730,$B117,'декабрь 2025'!$J$2:$J$2730,AF$1)</f>
        <v>0</v>
      </c>
      <c r="AG117" s="183">
        <f>SUMIFS('декабрь 2025'!$G$2:$G$2730,'декабрь 2025'!$D$2:$D$2730,$B117,'декабрь 2025'!$J$2:$J$2730,AG$1)</f>
        <v>0</v>
      </c>
      <c r="AH117" s="183">
        <f>SUMIFS('декабрь 2025'!$G$2:$G$2730,'декабрь 2025'!$D$2:$D$2730,$B117,'декабрь 2025'!$J$2:$J$2730,AH$1)</f>
        <v>0</v>
      </c>
      <c r="AI117" s="20">
        <f t="shared" si="1"/>
        <v>0</v>
      </c>
    </row>
    <row r="118" spans="2:35" ht="15" customHeight="1" x14ac:dyDescent="0.25">
      <c r="B118" s="88" t="s">
        <v>261</v>
      </c>
      <c r="C118" s="86">
        <v>200</v>
      </c>
      <c r="D118" s="183">
        <f>SUMIFS('декабрь 2025'!$G$2:$G$2730,'декабрь 2025'!$D$2:$D$2730,$B118,'декабрь 2025'!$J$2:$J$2730,D$1)</f>
        <v>0</v>
      </c>
      <c r="E118" s="183">
        <f>SUMIFS('декабрь 2025'!$G$2:$G$2730,'декабрь 2025'!$D$2:$D$2730,$B118,'декабрь 2025'!$J$2:$J$2730,E$1)</f>
        <v>0</v>
      </c>
      <c r="F118" s="183">
        <f>SUMIFS('декабрь 2025'!$G$2:$G$2730,'декабрь 2025'!$D$2:$D$2730,$B118,'декабрь 2025'!$J$2:$J$2730,F$1)</f>
        <v>0</v>
      </c>
      <c r="G118" s="183">
        <f>SUMIFS('декабрь 2025'!$G$2:$G$2730,'декабрь 2025'!$D$2:$D$2730,$B118,'декабрь 2025'!$J$2:$J$2730,G$1)</f>
        <v>0</v>
      </c>
      <c r="H118" s="183">
        <f>SUMIFS('декабрь 2025'!$G$2:$G$2730,'декабрь 2025'!$D$2:$D$2730,$B118,'декабрь 2025'!$J$2:$J$2730,H$1)</f>
        <v>0</v>
      </c>
      <c r="I118" s="183">
        <f>SUMIFS('декабрь 2025'!$G$2:$G$2730,'декабрь 2025'!$D$2:$D$2730,$B118,'декабрь 2025'!$J$2:$J$2730,I$1)</f>
        <v>0</v>
      </c>
      <c r="J118" s="183">
        <f>SUMIFS('декабрь 2025'!$G$2:$G$2730,'декабрь 2025'!$D$2:$D$2730,$B118,'декабрь 2025'!$J$2:$J$2730,J$1)</f>
        <v>0</v>
      </c>
      <c r="K118" s="183">
        <f>SUMIFS('декабрь 2025'!$G$2:$G$2730,'декабрь 2025'!$D$2:$D$2730,$B118,'декабрь 2025'!$J$2:$J$2730,K$1)</f>
        <v>0</v>
      </c>
      <c r="L118" s="183">
        <f>SUMIFS('декабрь 2025'!$G$2:$G$2730,'декабрь 2025'!$D$2:$D$2730,$B118,'декабрь 2025'!$J$2:$J$2730,L$1)</f>
        <v>0</v>
      </c>
      <c r="M118" s="183">
        <f>SUMIFS('декабрь 2025'!$G$2:$G$2730,'декабрь 2025'!$D$2:$D$2730,$B118,'декабрь 2025'!$J$2:$J$2730,M$1)</f>
        <v>0</v>
      </c>
      <c r="N118" s="183">
        <f>SUMIFS('декабрь 2025'!$G$2:$G$2730,'декабрь 2025'!$D$2:$D$2730,$B118,'декабрь 2025'!$J$2:$J$2730,N$1)</f>
        <v>0</v>
      </c>
      <c r="O118" s="183">
        <f>SUMIFS('декабрь 2025'!$G$2:$G$2730,'декабрь 2025'!$D$2:$D$2730,$B118,'декабрь 2025'!$J$2:$J$2730,O$1)</f>
        <v>0</v>
      </c>
      <c r="P118" s="183">
        <f>SUMIFS('декабрь 2025'!$G$2:$G$2730,'декабрь 2025'!$D$2:$D$2730,$B118,'декабрь 2025'!$J$2:$J$2730,P$1)</f>
        <v>0</v>
      </c>
      <c r="Q118" s="183">
        <f>SUMIFS('декабрь 2025'!$G$2:$G$2730,'декабрь 2025'!$D$2:$D$2730,$B118,'декабрь 2025'!$J$2:$J$2730,Q$1)</f>
        <v>0</v>
      </c>
      <c r="R118" s="183">
        <f>SUMIFS('декабрь 2025'!$G$2:$G$2730,'декабрь 2025'!$D$2:$D$2730,$B118,'декабрь 2025'!$J$2:$J$2730,R$1)</f>
        <v>0</v>
      </c>
      <c r="S118" s="183">
        <f>SUMIFS('декабрь 2025'!$G$2:$G$2730,'декабрь 2025'!$D$2:$D$2730,$B118,'декабрь 2025'!$J$2:$J$2730,S$1)</f>
        <v>0</v>
      </c>
      <c r="T118" s="183">
        <f>SUMIFS('декабрь 2025'!$G$2:$G$2730,'декабрь 2025'!$D$2:$D$2730,$B118,'декабрь 2025'!$J$2:$J$2730,T$1)</f>
        <v>0</v>
      </c>
      <c r="U118" s="183">
        <f>SUMIFS('декабрь 2025'!$G$2:$G$2730,'декабрь 2025'!$D$2:$D$2730,$B118,'декабрь 2025'!$J$2:$J$2730,U$1)</f>
        <v>0</v>
      </c>
      <c r="V118" s="183">
        <f>SUMIFS('декабрь 2025'!$G$2:$G$2730,'декабрь 2025'!$D$2:$D$2730,$B118,'декабрь 2025'!$J$2:$J$2730,V$1)</f>
        <v>0</v>
      </c>
      <c r="W118" s="183">
        <f>SUMIFS('декабрь 2025'!$G$2:$G$2730,'декабрь 2025'!$D$2:$D$2730,$B118,'декабрь 2025'!$J$2:$J$2730,W$1)</f>
        <v>0</v>
      </c>
      <c r="X118" s="183">
        <f>SUMIFS('декабрь 2025'!$G$2:$G$2730,'декабрь 2025'!$D$2:$D$2730,$B118,'декабрь 2025'!$J$2:$J$2730,X$1)</f>
        <v>0</v>
      </c>
      <c r="Y118" s="183">
        <f>SUMIFS('декабрь 2025'!$G$2:$G$2730,'декабрь 2025'!$D$2:$D$2730,$B118,'декабрь 2025'!$J$2:$J$2730,Y$1)</f>
        <v>0</v>
      </c>
      <c r="Z118" s="183">
        <f>SUMIFS('декабрь 2025'!$G$2:$G$2730,'декабрь 2025'!$D$2:$D$2730,$B118,'декабрь 2025'!$J$2:$J$2730,Z$1)</f>
        <v>0</v>
      </c>
      <c r="AA118" s="183">
        <f>SUMIFS('декабрь 2025'!$G$2:$G$2730,'декабрь 2025'!$D$2:$D$2730,$B118,'декабрь 2025'!$J$2:$J$2730,AA$1)</f>
        <v>0</v>
      </c>
      <c r="AB118" s="183">
        <f>SUMIFS('декабрь 2025'!$G$2:$G$2730,'декабрь 2025'!$D$2:$D$2730,$B118,'декабрь 2025'!$J$2:$J$2730,AB$1)</f>
        <v>0</v>
      </c>
      <c r="AC118" s="183">
        <f>SUMIFS('декабрь 2025'!$G$2:$G$2730,'декабрь 2025'!$D$2:$D$2730,$B118,'декабрь 2025'!$J$2:$J$2730,AC$1)</f>
        <v>0</v>
      </c>
      <c r="AD118" s="183">
        <f>SUMIFS('декабрь 2025'!$G$2:$G$2730,'декабрь 2025'!$D$2:$D$2730,$B118,'декабрь 2025'!$J$2:$J$2730,AD$1)</f>
        <v>0</v>
      </c>
      <c r="AE118" s="183">
        <f>SUMIFS('декабрь 2025'!$G$2:$G$2730,'декабрь 2025'!$D$2:$D$2730,$B118,'декабрь 2025'!$J$2:$J$2730,AE$1)</f>
        <v>0</v>
      </c>
      <c r="AF118" s="183">
        <f>SUMIFS('декабрь 2025'!$G$2:$G$2730,'декабрь 2025'!$D$2:$D$2730,$B118,'декабрь 2025'!$J$2:$J$2730,AF$1)</f>
        <v>0</v>
      </c>
      <c r="AG118" s="183">
        <f>SUMIFS('декабрь 2025'!$G$2:$G$2730,'декабрь 2025'!$D$2:$D$2730,$B118,'декабрь 2025'!$J$2:$J$2730,AG$1)</f>
        <v>0</v>
      </c>
      <c r="AH118" s="183">
        <f>SUMIFS('декабрь 2025'!$G$2:$G$2730,'декабрь 2025'!$D$2:$D$2730,$B118,'декабрь 2025'!$J$2:$J$2730,AH$1)</f>
        <v>0</v>
      </c>
      <c r="AI118" s="20">
        <f t="shared" si="1"/>
        <v>0</v>
      </c>
    </row>
    <row r="119" spans="2:35" ht="15" customHeight="1" x14ac:dyDescent="0.25">
      <c r="B119" s="88" t="s">
        <v>180</v>
      </c>
      <c r="C119" s="86">
        <v>200</v>
      </c>
      <c r="D119" s="183">
        <f>SUMIFS('декабрь 2025'!$G$2:$G$2730,'декабрь 2025'!$D$2:$D$2730,$B119,'декабрь 2025'!$J$2:$J$2730,D$1)</f>
        <v>0</v>
      </c>
      <c r="E119" s="183">
        <f>SUMIFS('декабрь 2025'!$G$2:$G$2730,'декабрь 2025'!$D$2:$D$2730,$B119,'декабрь 2025'!$J$2:$J$2730,E$1)</f>
        <v>0</v>
      </c>
      <c r="F119" s="183">
        <f>SUMIFS('декабрь 2025'!$G$2:$G$2730,'декабрь 2025'!$D$2:$D$2730,$B119,'декабрь 2025'!$J$2:$J$2730,F$1)</f>
        <v>0</v>
      </c>
      <c r="G119" s="183">
        <f>SUMIFS('декабрь 2025'!$G$2:$G$2730,'декабрь 2025'!$D$2:$D$2730,$B119,'декабрь 2025'!$J$2:$J$2730,G$1)</f>
        <v>0</v>
      </c>
      <c r="H119" s="183">
        <f>SUMIFS('декабрь 2025'!$G$2:$G$2730,'декабрь 2025'!$D$2:$D$2730,$B119,'декабрь 2025'!$J$2:$J$2730,H$1)</f>
        <v>0</v>
      </c>
      <c r="I119" s="183">
        <f>SUMIFS('декабрь 2025'!$G$2:$G$2730,'декабрь 2025'!$D$2:$D$2730,$B119,'декабрь 2025'!$J$2:$J$2730,I$1)</f>
        <v>0</v>
      </c>
      <c r="J119" s="183">
        <f>SUMIFS('декабрь 2025'!$G$2:$G$2730,'декабрь 2025'!$D$2:$D$2730,$B119,'декабрь 2025'!$J$2:$J$2730,J$1)</f>
        <v>0</v>
      </c>
      <c r="K119" s="183">
        <f>SUMIFS('декабрь 2025'!$G$2:$G$2730,'декабрь 2025'!$D$2:$D$2730,$B119,'декабрь 2025'!$J$2:$J$2730,K$1)</f>
        <v>0</v>
      </c>
      <c r="L119" s="183">
        <f>SUMIFS('декабрь 2025'!$G$2:$G$2730,'декабрь 2025'!$D$2:$D$2730,$B119,'декабрь 2025'!$J$2:$J$2730,L$1)</f>
        <v>0</v>
      </c>
      <c r="M119" s="183">
        <f>SUMIFS('декабрь 2025'!$G$2:$G$2730,'декабрь 2025'!$D$2:$D$2730,$B119,'декабрь 2025'!$J$2:$J$2730,M$1)</f>
        <v>0</v>
      </c>
      <c r="N119" s="183">
        <f>SUMIFS('декабрь 2025'!$G$2:$G$2730,'декабрь 2025'!$D$2:$D$2730,$B119,'декабрь 2025'!$J$2:$J$2730,N$1)</f>
        <v>0</v>
      </c>
      <c r="O119" s="183">
        <f>SUMIFS('декабрь 2025'!$G$2:$G$2730,'декабрь 2025'!$D$2:$D$2730,$B119,'декабрь 2025'!$J$2:$J$2730,O$1)</f>
        <v>0</v>
      </c>
      <c r="P119" s="183">
        <f>SUMIFS('декабрь 2025'!$G$2:$G$2730,'декабрь 2025'!$D$2:$D$2730,$B119,'декабрь 2025'!$J$2:$J$2730,P$1)</f>
        <v>0</v>
      </c>
      <c r="Q119" s="183">
        <f>SUMIFS('декабрь 2025'!$G$2:$G$2730,'декабрь 2025'!$D$2:$D$2730,$B119,'декабрь 2025'!$J$2:$J$2730,Q$1)</f>
        <v>0</v>
      </c>
      <c r="R119" s="183">
        <f>SUMIFS('декабрь 2025'!$G$2:$G$2730,'декабрь 2025'!$D$2:$D$2730,$B119,'декабрь 2025'!$J$2:$J$2730,R$1)</f>
        <v>0</v>
      </c>
      <c r="S119" s="183">
        <f>SUMIFS('декабрь 2025'!$G$2:$G$2730,'декабрь 2025'!$D$2:$D$2730,$B119,'декабрь 2025'!$J$2:$J$2730,S$1)</f>
        <v>0</v>
      </c>
      <c r="T119" s="183">
        <f>SUMIFS('декабрь 2025'!$G$2:$G$2730,'декабрь 2025'!$D$2:$D$2730,$B119,'декабрь 2025'!$J$2:$J$2730,T$1)</f>
        <v>0</v>
      </c>
      <c r="U119" s="183">
        <f>SUMIFS('декабрь 2025'!$G$2:$G$2730,'декабрь 2025'!$D$2:$D$2730,$B119,'декабрь 2025'!$J$2:$J$2730,U$1)</f>
        <v>0</v>
      </c>
      <c r="V119" s="183">
        <f>SUMIFS('декабрь 2025'!$G$2:$G$2730,'декабрь 2025'!$D$2:$D$2730,$B119,'декабрь 2025'!$J$2:$J$2730,V$1)</f>
        <v>0</v>
      </c>
      <c r="W119" s="183">
        <f>SUMIFS('декабрь 2025'!$G$2:$G$2730,'декабрь 2025'!$D$2:$D$2730,$B119,'декабрь 2025'!$J$2:$J$2730,W$1)</f>
        <v>0</v>
      </c>
      <c r="X119" s="183">
        <f>SUMIFS('декабрь 2025'!$G$2:$G$2730,'декабрь 2025'!$D$2:$D$2730,$B119,'декабрь 2025'!$J$2:$J$2730,X$1)</f>
        <v>0</v>
      </c>
      <c r="Y119" s="183">
        <f>SUMIFS('декабрь 2025'!$G$2:$G$2730,'декабрь 2025'!$D$2:$D$2730,$B119,'декабрь 2025'!$J$2:$J$2730,Y$1)</f>
        <v>0</v>
      </c>
      <c r="Z119" s="183">
        <f>SUMIFS('декабрь 2025'!$G$2:$G$2730,'декабрь 2025'!$D$2:$D$2730,$B119,'декабрь 2025'!$J$2:$J$2730,Z$1)</f>
        <v>0</v>
      </c>
      <c r="AA119" s="183">
        <f>SUMIFS('декабрь 2025'!$G$2:$G$2730,'декабрь 2025'!$D$2:$D$2730,$B119,'декабрь 2025'!$J$2:$J$2730,AA$1)</f>
        <v>0</v>
      </c>
      <c r="AB119" s="183">
        <f>SUMIFS('декабрь 2025'!$G$2:$G$2730,'декабрь 2025'!$D$2:$D$2730,$B119,'декабрь 2025'!$J$2:$J$2730,AB$1)</f>
        <v>0</v>
      </c>
      <c r="AC119" s="183">
        <f>SUMIFS('декабрь 2025'!$G$2:$G$2730,'декабрь 2025'!$D$2:$D$2730,$B119,'декабрь 2025'!$J$2:$J$2730,AC$1)</f>
        <v>0</v>
      </c>
      <c r="AD119" s="183">
        <f>SUMIFS('декабрь 2025'!$G$2:$G$2730,'декабрь 2025'!$D$2:$D$2730,$B119,'декабрь 2025'!$J$2:$J$2730,AD$1)</f>
        <v>0</v>
      </c>
      <c r="AE119" s="183">
        <f>SUMIFS('декабрь 2025'!$G$2:$G$2730,'декабрь 2025'!$D$2:$D$2730,$B119,'декабрь 2025'!$J$2:$J$2730,AE$1)</f>
        <v>0</v>
      </c>
      <c r="AF119" s="183">
        <f>SUMIFS('декабрь 2025'!$G$2:$G$2730,'декабрь 2025'!$D$2:$D$2730,$B119,'декабрь 2025'!$J$2:$J$2730,AF$1)</f>
        <v>0</v>
      </c>
      <c r="AG119" s="183">
        <f>SUMIFS('декабрь 2025'!$G$2:$G$2730,'декабрь 2025'!$D$2:$D$2730,$B119,'декабрь 2025'!$J$2:$J$2730,AG$1)</f>
        <v>0</v>
      </c>
      <c r="AH119" s="183">
        <f>SUMIFS('декабрь 2025'!$G$2:$G$2730,'декабрь 2025'!$D$2:$D$2730,$B119,'декабрь 2025'!$J$2:$J$2730,AH$1)</f>
        <v>0</v>
      </c>
      <c r="AI119" s="20">
        <f t="shared" si="1"/>
        <v>0</v>
      </c>
    </row>
    <row r="120" spans="2:35" ht="15" customHeight="1" x14ac:dyDescent="0.25">
      <c r="B120" s="88" t="s">
        <v>262</v>
      </c>
      <c r="C120" s="86">
        <v>200</v>
      </c>
      <c r="D120" s="183">
        <f>SUMIFS('декабрь 2025'!$G$2:$G$2730,'декабрь 2025'!$D$2:$D$2730,$B120,'декабрь 2025'!$J$2:$J$2730,D$1)</f>
        <v>0</v>
      </c>
      <c r="E120" s="183">
        <f>SUMIFS('декабрь 2025'!$G$2:$G$2730,'декабрь 2025'!$D$2:$D$2730,$B120,'декабрь 2025'!$J$2:$J$2730,E$1)</f>
        <v>0</v>
      </c>
      <c r="F120" s="183">
        <f>SUMIFS('декабрь 2025'!$G$2:$G$2730,'декабрь 2025'!$D$2:$D$2730,$B120,'декабрь 2025'!$J$2:$J$2730,F$1)</f>
        <v>0</v>
      </c>
      <c r="G120" s="183">
        <f>SUMIFS('декабрь 2025'!$G$2:$G$2730,'декабрь 2025'!$D$2:$D$2730,$B120,'декабрь 2025'!$J$2:$J$2730,G$1)</f>
        <v>0</v>
      </c>
      <c r="H120" s="183">
        <f>SUMIFS('декабрь 2025'!$G$2:$G$2730,'декабрь 2025'!$D$2:$D$2730,$B120,'декабрь 2025'!$J$2:$J$2730,H$1)</f>
        <v>0</v>
      </c>
      <c r="I120" s="183">
        <f>SUMIFS('декабрь 2025'!$G$2:$G$2730,'декабрь 2025'!$D$2:$D$2730,$B120,'декабрь 2025'!$J$2:$J$2730,I$1)</f>
        <v>0</v>
      </c>
      <c r="J120" s="183">
        <f>SUMIFS('декабрь 2025'!$G$2:$G$2730,'декабрь 2025'!$D$2:$D$2730,$B120,'декабрь 2025'!$J$2:$J$2730,J$1)</f>
        <v>0</v>
      </c>
      <c r="K120" s="183">
        <f>SUMIFS('декабрь 2025'!$G$2:$G$2730,'декабрь 2025'!$D$2:$D$2730,$B120,'декабрь 2025'!$J$2:$J$2730,K$1)</f>
        <v>0</v>
      </c>
      <c r="L120" s="183">
        <f>SUMIFS('декабрь 2025'!$G$2:$G$2730,'декабрь 2025'!$D$2:$D$2730,$B120,'декабрь 2025'!$J$2:$J$2730,L$1)</f>
        <v>0</v>
      </c>
      <c r="M120" s="183">
        <f>SUMIFS('декабрь 2025'!$G$2:$G$2730,'декабрь 2025'!$D$2:$D$2730,$B120,'декабрь 2025'!$J$2:$J$2730,M$1)</f>
        <v>0</v>
      </c>
      <c r="N120" s="183">
        <f>SUMIFS('декабрь 2025'!$G$2:$G$2730,'декабрь 2025'!$D$2:$D$2730,$B120,'декабрь 2025'!$J$2:$J$2730,N$1)</f>
        <v>0</v>
      </c>
      <c r="O120" s="183">
        <f>SUMIFS('декабрь 2025'!$G$2:$G$2730,'декабрь 2025'!$D$2:$D$2730,$B120,'декабрь 2025'!$J$2:$J$2730,O$1)</f>
        <v>0</v>
      </c>
      <c r="P120" s="183">
        <f>SUMIFS('декабрь 2025'!$G$2:$G$2730,'декабрь 2025'!$D$2:$D$2730,$B120,'декабрь 2025'!$J$2:$J$2730,P$1)</f>
        <v>0</v>
      </c>
      <c r="Q120" s="183">
        <f>SUMIFS('декабрь 2025'!$G$2:$G$2730,'декабрь 2025'!$D$2:$D$2730,$B120,'декабрь 2025'!$J$2:$J$2730,Q$1)</f>
        <v>0</v>
      </c>
      <c r="R120" s="183">
        <f>SUMIFS('декабрь 2025'!$G$2:$G$2730,'декабрь 2025'!$D$2:$D$2730,$B120,'декабрь 2025'!$J$2:$J$2730,R$1)</f>
        <v>0</v>
      </c>
      <c r="S120" s="183">
        <f>SUMIFS('декабрь 2025'!$G$2:$G$2730,'декабрь 2025'!$D$2:$D$2730,$B120,'декабрь 2025'!$J$2:$J$2730,S$1)</f>
        <v>0</v>
      </c>
      <c r="T120" s="183">
        <f>SUMIFS('декабрь 2025'!$G$2:$G$2730,'декабрь 2025'!$D$2:$D$2730,$B120,'декабрь 2025'!$J$2:$J$2730,T$1)</f>
        <v>0</v>
      </c>
      <c r="U120" s="183">
        <f>SUMIFS('декабрь 2025'!$G$2:$G$2730,'декабрь 2025'!$D$2:$D$2730,$B120,'декабрь 2025'!$J$2:$J$2730,U$1)</f>
        <v>0</v>
      </c>
      <c r="V120" s="183">
        <f>SUMIFS('декабрь 2025'!$G$2:$G$2730,'декабрь 2025'!$D$2:$D$2730,$B120,'декабрь 2025'!$J$2:$J$2730,V$1)</f>
        <v>0</v>
      </c>
      <c r="W120" s="183">
        <f>SUMIFS('декабрь 2025'!$G$2:$G$2730,'декабрь 2025'!$D$2:$D$2730,$B120,'декабрь 2025'!$J$2:$J$2730,W$1)</f>
        <v>0</v>
      </c>
      <c r="X120" s="183">
        <f>SUMIFS('декабрь 2025'!$G$2:$G$2730,'декабрь 2025'!$D$2:$D$2730,$B120,'декабрь 2025'!$J$2:$J$2730,X$1)</f>
        <v>0</v>
      </c>
      <c r="Y120" s="183">
        <f>SUMIFS('декабрь 2025'!$G$2:$G$2730,'декабрь 2025'!$D$2:$D$2730,$B120,'декабрь 2025'!$J$2:$J$2730,Y$1)</f>
        <v>0</v>
      </c>
      <c r="Z120" s="183">
        <f>SUMIFS('декабрь 2025'!$G$2:$G$2730,'декабрь 2025'!$D$2:$D$2730,$B120,'декабрь 2025'!$J$2:$J$2730,Z$1)</f>
        <v>0</v>
      </c>
      <c r="AA120" s="183">
        <f>SUMIFS('декабрь 2025'!$G$2:$G$2730,'декабрь 2025'!$D$2:$D$2730,$B120,'декабрь 2025'!$J$2:$J$2730,AA$1)</f>
        <v>0</v>
      </c>
      <c r="AB120" s="183">
        <f>SUMIFS('декабрь 2025'!$G$2:$G$2730,'декабрь 2025'!$D$2:$D$2730,$B120,'декабрь 2025'!$J$2:$J$2730,AB$1)</f>
        <v>0</v>
      </c>
      <c r="AC120" s="183">
        <f>SUMIFS('декабрь 2025'!$G$2:$G$2730,'декабрь 2025'!$D$2:$D$2730,$B120,'декабрь 2025'!$J$2:$J$2730,AC$1)</f>
        <v>0</v>
      </c>
      <c r="AD120" s="183">
        <f>SUMIFS('декабрь 2025'!$G$2:$G$2730,'декабрь 2025'!$D$2:$D$2730,$B120,'декабрь 2025'!$J$2:$J$2730,AD$1)</f>
        <v>0</v>
      </c>
      <c r="AE120" s="183">
        <f>SUMIFS('декабрь 2025'!$G$2:$G$2730,'декабрь 2025'!$D$2:$D$2730,$B120,'декабрь 2025'!$J$2:$J$2730,AE$1)</f>
        <v>0</v>
      </c>
      <c r="AF120" s="183">
        <f>SUMIFS('декабрь 2025'!$G$2:$G$2730,'декабрь 2025'!$D$2:$D$2730,$B120,'декабрь 2025'!$J$2:$J$2730,AF$1)</f>
        <v>0</v>
      </c>
      <c r="AG120" s="183">
        <f>SUMIFS('декабрь 2025'!$G$2:$G$2730,'декабрь 2025'!$D$2:$D$2730,$B120,'декабрь 2025'!$J$2:$J$2730,AG$1)</f>
        <v>0</v>
      </c>
      <c r="AH120" s="183">
        <f>SUMIFS('декабрь 2025'!$G$2:$G$2730,'декабрь 2025'!$D$2:$D$2730,$B120,'декабрь 2025'!$J$2:$J$2730,AH$1)</f>
        <v>0</v>
      </c>
      <c r="AI120" s="20">
        <f t="shared" si="1"/>
        <v>0</v>
      </c>
    </row>
    <row r="121" spans="2:35" ht="15" customHeight="1" x14ac:dyDescent="0.25">
      <c r="B121" s="88" t="s">
        <v>263</v>
      </c>
      <c r="C121" s="86">
        <v>200</v>
      </c>
      <c r="D121" s="183">
        <f>SUMIFS('декабрь 2025'!$G$2:$G$2730,'декабрь 2025'!$D$2:$D$2730,$B121,'декабрь 2025'!$J$2:$J$2730,D$1)</f>
        <v>0</v>
      </c>
      <c r="E121" s="183">
        <f>SUMIFS('декабрь 2025'!$G$2:$G$2730,'декабрь 2025'!$D$2:$D$2730,$B121,'декабрь 2025'!$J$2:$J$2730,E$1)</f>
        <v>0</v>
      </c>
      <c r="F121" s="183">
        <f>SUMIFS('декабрь 2025'!$G$2:$G$2730,'декабрь 2025'!$D$2:$D$2730,$B121,'декабрь 2025'!$J$2:$J$2730,F$1)</f>
        <v>0</v>
      </c>
      <c r="G121" s="183">
        <f>SUMIFS('декабрь 2025'!$G$2:$G$2730,'декабрь 2025'!$D$2:$D$2730,$B121,'декабрь 2025'!$J$2:$J$2730,G$1)</f>
        <v>0</v>
      </c>
      <c r="H121" s="183">
        <f>SUMIFS('декабрь 2025'!$G$2:$G$2730,'декабрь 2025'!$D$2:$D$2730,$B121,'декабрь 2025'!$J$2:$J$2730,H$1)</f>
        <v>3</v>
      </c>
      <c r="I121" s="183">
        <f>SUMIFS('декабрь 2025'!$G$2:$G$2730,'декабрь 2025'!$D$2:$D$2730,$B121,'декабрь 2025'!$J$2:$J$2730,I$1)</f>
        <v>0</v>
      </c>
      <c r="J121" s="183">
        <f>SUMIFS('декабрь 2025'!$G$2:$G$2730,'декабрь 2025'!$D$2:$D$2730,$B121,'декабрь 2025'!$J$2:$J$2730,J$1)</f>
        <v>0</v>
      </c>
      <c r="K121" s="183">
        <f>SUMIFS('декабрь 2025'!$G$2:$G$2730,'декабрь 2025'!$D$2:$D$2730,$B121,'декабрь 2025'!$J$2:$J$2730,K$1)</f>
        <v>0</v>
      </c>
      <c r="L121" s="183">
        <f>SUMIFS('декабрь 2025'!$G$2:$G$2730,'декабрь 2025'!$D$2:$D$2730,$B121,'декабрь 2025'!$J$2:$J$2730,L$1)</f>
        <v>0</v>
      </c>
      <c r="M121" s="183">
        <f>SUMIFS('декабрь 2025'!$G$2:$G$2730,'декабрь 2025'!$D$2:$D$2730,$B121,'декабрь 2025'!$J$2:$J$2730,M$1)</f>
        <v>0</v>
      </c>
      <c r="N121" s="183">
        <f>SUMIFS('декабрь 2025'!$G$2:$G$2730,'декабрь 2025'!$D$2:$D$2730,$B121,'декабрь 2025'!$J$2:$J$2730,N$1)</f>
        <v>0</v>
      </c>
      <c r="O121" s="183">
        <f>SUMIFS('декабрь 2025'!$G$2:$G$2730,'декабрь 2025'!$D$2:$D$2730,$B121,'декабрь 2025'!$J$2:$J$2730,O$1)</f>
        <v>0</v>
      </c>
      <c r="P121" s="183">
        <f>SUMIFS('декабрь 2025'!$G$2:$G$2730,'декабрь 2025'!$D$2:$D$2730,$B121,'декабрь 2025'!$J$2:$J$2730,P$1)</f>
        <v>0</v>
      </c>
      <c r="Q121" s="183">
        <f>SUMIFS('декабрь 2025'!$G$2:$G$2730,'декабрь 2025'!$D$2:$D$2730,$B121,'декабрь 2025'!$J$2:$J$2730,Q$1)</f>
        <v>0</v>
      </c>
      <c r="R121" s="183">
        <f>SUMIFS('декабрь 2025'!$G$2:$G$2730,'декабрь 2025'!$D$2:$D$2730,$B121,'декабрь 2025'!$J$2:$J$2730,R$1)</f>
        <v>0</v>
      </c>
      <c r="S121" s="183">
        <f>SUMIFS('декабрь 2025'!$G$2:$G$2730,'декабрь 2025'!$D$2:$D$2730,$B121,'декабрь 2025'!$J$2:$J$2730,S$1)</f>
        <v>0</v>
      </c>
      <c r="T121" s="183">
        <f>SUMIFS('декабрь 2025'!$G$2:$G$2730,'декабрь 2025'!$D$2:$D$2730,$B121,'декабрь 2025'!$J$2:$J$2730,T$1)</f>
        <v>0</v>
      </c>
      <c r="U121" s="183">
        <f>SUMIFS('декабрь 2025'!$G$2:$G$2730,'декабрь 2025'!$D$2:$D$2730,$B121,'декабрь 2025'!$J$2:$J$2730,U$1)</f>
        <v>0</v>
      </c>
      <c r="V121" s="183">
        <f>SUMIFS('декабрь 2025'!$G$2:$G$2730,'декабрь 2025'!$D$2:$D$2730,$B121,'декабрь 2025'!$J$2:$J$2730,V$1)</f>
        <v>0</v>
      </c>
      <c r="W121" s="183">
        <f>SUMIFS('декабрь 2025'!$G$2:$G$2730,'декабрь 2025'!$D$2:$D$2730,$B121,'декабрь 2025'!$J$2:$J$2730,W$1)</f>
        <v>0</v>
      </c>
      <c r="X121" s="183">
        <f>SUMIFS('декабрь 2025'!$G$2:$G$2730,'декабрь 2025'!$D$2:$D$2730,$B121,'декабрь 2025'!$J$2:$J$2730,X$1)</f>
        <v>0</v>
      </c>
      <c r="Y121" s="183">
        <f>SUMIFS('декабрь 2025'!$G$2:$G$2730,'декабрь 2025'!$D$2:$D$2730,$B121,'декабрь 2025'!$J$2:$J$2730,Y$1)</f>
        <v>0</v>
      </c>
      <c r="Z121" s="183">
        <f>SUMIFS('декабрь 2025'!$G$2:$G$2730,'декабрь 2025'!$D$2:$D$2730,$B121,'декабрь 2025'!$J$2:$J$2730,Z$1)</f>
        <v>0</v>
      </c>
      <c r="AA121" s="183">
        <f>SUMIFS('декабрь 2025'!$G$2:$G$2730,'декабрь 2025'!$D$2:$D$2730,$B121,'декабрь 2025'!$J$2:$J$2730,AA$1)</f>
        <v>0</v>
      </c>
      <c r="AB121" s="183">
        <f>SUMIFS('декабрь 2025'!$G$2:$G$2730,'декабрь 2025'!$D$2:$D$2730,$B121,'декабрь 2025'!$J$2:$J$2730,AB$1)</f>
        <v>0</v>
      </c>
      <c r="AC121" s="183">
        <f>SUMIFS('декабрь 2025'!$G$2:$G$2730,'декабрь 2025'!$D$2:$D$2730,$B121,'декабрь 2025'!$J$2:$J$2730,AC$1)</f>
        <v>0</v>
      </c>
      <c r="AD121" s="183">
        <f>SUMIFS('декабрь 2025'!$G$2:$G$2730,'декабрь 2025'!$D$2:$D$2730,$B121,'декабрь 2025'!$J$2:$J$2730,AD$1)</f>
        <v>0</v>
      </c>
      <c r="AE121" s="183">
        <f>SUMIFS('декабрь 2025'!$G$2:$G$2730,'декабрь 2025'!$D$2:$D$2730,$B121,'декабрь 2025'!$J$2:$J$2730,AE$1)</f>
        <v>0</v>
      </c>
      <c r="AF121" s="183">
        <f>SUMIFS('декабрь 2025'!$G$2:$G$2730,'декабрь 2025'!$D$2:$D$2730,$B121,'декабрь 2025'!$J$2:$J$2730,AF$1)</f>
        <v>0</v>
      </c>
      <c r="AG121" s="183">
        <f>SUMIFS('декабрь 2025'!$G$2:$G$2730,'декабрь 2025'!$D$2:$D$2730,$B121,'декабрь 2025'!$J$2:$J$2730,AG$1)</f>
        <v>0</v>
      </c>
      <c r="AH121" s="183">
        <f>SUMIFS('декабрь 2025'!$G$2:$G$2730,'декабрь 2025'!$D$2:$D$2730,$B121,'декабрь 2025'!$J$2:$J$2730,AH$1)</f>
        <v>0</v>
      </c>
      <c r="AI121" s="20">
        <f t="shared" si="1"/>
        <v>3</v>
      </c>
    </row>
    <row r="122" spans="2:35" ht="15" customHeight="1" x14ac:dyDescent="0.25">
      <c r="B122" s="84" t="s">
        <v>208</v>
      </c>
      <c r="C122" s="83">
        <v>25</v>
      </c>
      <c r="D122" s="183">
        <f>SUMIFS('декабрь 2025'!$G$2:$G$2730,'декабрь 2025'!$D$2:$D$2730,$B122,'декабрь 2025'!$J$2:$J$2730,D$1)</f>
        <v>0</v>
      </c>
      <c r="E122" s="183">
        <f>SUMIFS('декабрь 2025'!$G$2:$G$2730,'декабрь 2025'!$D$2:$D$2730,$B122,'декабрь 2025'!$J$2:$J$2730,E$1)</f>
        <v>0</v>
      </c>
      <c r="F122" s="183">
        <f>SUMIFS('декабрь 2025'!$G$2:$G$2730,'декабрь 2025'!$D$2:$D$2730,$B122,'декабрь 2025'!$J$2:$J$2730,F$1)</f>
        <v>0</v>
      </c>
      <c r="G122" s="183">
        <f>SUMIFS('декабрь 2025'!$G$2:$G$2730,'декабрь 2025'!$D$2:$D$2730,$B122,'декабрь 2025'!$J$2:$J$2730,G$1)</f>
        <v>0</v>
      </c>
      <c r="H122" s="183">
        <f>SUMIFS('декабрь 2025'!$G$2:$G$2730,'декабрь 2025'!$D$2:$D$2730,$B122,'декабрь 2025'!$J$2:$J$2730,H$1)</f>
        <v>0</v>
      </c>
      <c r="I122" s="183">
        <f>SUMIFS('декабрь 2025'!$G$2:$G$2730,'декабрь 2025'!$D$2:$D$2730,$B122,'декабрь 2025'!$J$2:$J$2730,I$1)</f>
        <v>0</v>
      </c>
      <c r="J122" s="183">
        <f>SUMIFS('декабрь 2025'!$G$2:$G$2730,'декабрь 2025'!$D$2:$D$2730,$B122,'декабрь 2025'!$J$2:$J$2730,J$1)</f>
        <v>0</v>
      </c>
      <c r="K122" s="183">
        <f>SUMIFS('декабрь 2025'!$G$2:$G$2730,'декабрь 2025'!$D$2:$D$2730,$B122,'декабрь 2025'!$J$2:$J$2730,K$1)</f>
        <v>0</v>
      </c>
      <c r="L122" s="183">
        <f>SUMIFS('декабрь 2025'!$G$2:$G$2730,'декабрь 2025'!$D$2:$D$2730,$B122,'декабрь 2025'!$J$2:$J$2730,L$1)</f>
        <v>0</v>
      </c>
      <c r="M122" s="183">
        <f>SUMIFS('декабрь 2025'!$G$2:$G$2730,'декабрь 2025'!$D$2:$D$2730,$B122,'декабрь 2025'!$J$2:$J$2730,M$1)</f>
        <v>0</v>
      </c>
      <c r="N122" s="183">
        <f>SUMIFS('декабрь 2025'!$G$2:$G$2730,'декабрь 2025'!$D$2:$D$2730,$B122,'декабрь 2025'!$J$2:$J$2730,N$1)</f>
        <v>0</v>
      </c>
      <c r="O122" s="183">
        <f>SUMIFS('декабрь 2025'!$G$2:$G$2730,'декабрь 2025'!$D$2:$D$2730,$B122,'декабрь 2025'!$J$2:$J$2730,O$1)</f>
        <v>0</v>
      </c>
      <c r="P122" s="183">
        <f>SUMIFS('декабрь 2025'!$G$2:$G$2730,'декабрь 2025'!$D$2:$D$2730,$B122,'декабрь 2025'!$J$2:$J$2730,P$1)</f>
        <v>0</v>
      </c>
      <c r="Q122" s="183">
        <f>SUMIFS('декабрь 2025'!$G$2:$G$2730,'декабрь 2025'!$D$2:$D$2730,$B122,'декабрь 2025'!$J$2:$J$2730,Q$1)</f>
        <v>0</v>
      </c>
      <c r="R122" s="183">
        <f>SUMIFS('декабрь 2025'!$G$2:$G$2730,'декабрь 2025'!$D$2:$D$2730,$B122,'декабрь 2025'!$J$2:$J$2730,R$1)</f>
        <v>0</v>
      </c>
      <c r="S122" s="183">
        <f>SUMIFS('декабрь 2025'!$G$2:$G$2730,'декабрь 2025'!$D$2:$D$2730,$B122,'декабрь 2025'!$J$2:$J$2730,S$1)</f>
        <v>0</v>
      </c>
      <c r="T122" s="183">
        <f>SUMIFS('декабрь 2025'!$G$2:$G$2730,'декабрь 2025'!$D$2:$D$2730,$B122,'декабрь 2025'!$J$2:$J$2730,T$1)</f>
        <v>0</v>
      </c>
      <c r="U122" s="183">
        <f>SUMIFS('декабрь 2025'!$G$2:$G$2730,'декабрь 2025'!$D$2:$D$2730,$B122,'декабрь 2025'!$J$2:$J$2730,U$1)</f>
        <v>0</v>
      </c>
      <c r="V122" s="183">
        <f>SUMIFS('декабрь 2025'!$G$2:$G$2730,'декабрь 2025'!$D$2:$D$2730,$B122,'декабрь 2025'!$J$2:$J$2730,V$1)</f>
        <v>0</v>
      </c>
      <c r="W122" s="183">
        <f>SUMIFS('декабрь 2025'!$G$2:$G$2730,'декабрь 2025'!$D$2:$D$2730,$B122,'декабрь 2025'!$J$2:$J$2730,W$1)</f>
        <v>0</v>
      </c>
      <c r="X122" s="183">
        <f>SUMIFS('декабрь 2025'!$G$2:$G$2730,'декабрь 2025'!$D$2:$D$2730,$B122,'декабрь 2025'!$J$2:$J$2730,X$1)</f>
        <v>0</v>
      </c>
      <c r="Y122" s="183">
        <f>SUMIFS('декабрь 2025'!$G$2:$G$2730,'декабрь 2025'!$D$2:$D$2730,$B122,'декабрь 2025'!$J$2:$J$2730,Y$1)</f>
        <v>0</v>
      </c>
      <c r="Z122" s="183">
        <f>SUMIFS('декабрь 2025'!$G$2:$G$2730,'декабрь 2025'!$D$2:$D$2730,$B122,'декабрь 2025'!$J$2:$J$2730,Z$1)</f>
        <v>0</v>
      </c>
      <c r="AA122" s="183">
        <f>SUMIFS('декабрь 2025'!$G$2:$G$2730,'декабрь 2025'!$D$2:$D$2730,$B122,'декабрь 2025'!$J$2:$J$2730,AA$1)</f>
        <v>0</v>
      </c>
      <c r="AB122" s="183">
        <f>SUMIFS('декабрь 2025'!$G$2:$G$2730,'декабрь 2025'!$D$2:$D$2730,$B122,'декабрь 2025'!$J$2:$J$2730,AB$1)</f>
        <v>0</v>
      </c>
      <c r="AC122" s="183">
        <f>SUMIFS('декабрь 2025'!$G$2:$G$2730,'декабрь 2025'!$D$2:$D$2730,$B122,'декабрь 2025'!$J$2:$J$2730,AC$1)</f>
        <v>0</v>
      </c>
      <c r="AD122" s="183">
        <f>SUMIFS('декабрь 2025'!$G$2:$G$2730,'декабрь 2025'!$D$2:$D$2730,$B122,'декабрь 2025'!$J$2:$J$2730,AD$1)</f>
        <v>0</v>
      </c>
      <c r="AE122" s="183">
        <f>SUMIFS('декабрь 2025'!$G$2:$G$2730,'декабрь 2025'!$D$2:$D$2730,$B122,'декабрь 2025'!$J$2:$J$2730,AE$1)</f>
        <v>0</v>
      </c>
      <c r="AF122" s="183">
        <f>SUMIFS('декабрь 2025'!$G$2:$G$2730,'декабрь 2025'!$D$2:$D$2730,$B122,'декабрь 2025'!$J$2:$J$2730,AF$1)</f>
        <v>0</v>
      </c>
      <c r="AG122" s="183">
        <f>SUMIFS('декабрь 2025'!$G$2:$G$2730,'декабрь 2025'!$D$2:$D$2730,$B122,'декабрь 2025'!$J$2:$J$2730,AG$1)</f>
        <v>0</v>
      </c>
      <c r="AH122" s="183">
        <f>SUMIFS('декабрь 2025'!$G$2:$G$2730,'декабрь 2025'!$D$2:$D$2730,$B122,'декабрь 2025'!$J$2:$J$2730,AH$1)</f>
        <v>0</v>
      </c>
      <c r="AI122" s="20">
        <f t="shared" si="1"/>
        <v>0</v>
      </c>
    </row>
    <row r="123" spans="2:35" ht="15" customHeight="1" x14ac:dyDescent="0.25">
      <c r="B123" s="88" t="s">
        <v>264</v>
      </c>
      <c r="C123" s="86">
        <v>50</v>
      </c>
      <c r="D123" s="183">
        <f>SUMIFS('декабрь 2025'!$G$2:$G$2730,'декабрь 2025'!$D$2:$D$2730,$B123,'декабрь 2025'!$J$2:$J$2730,D$1)</f>
        <v>0</v>
      </c>
      <c r="E123" s="183">
        <f>SUMIFS('декабрь 2025'!$G$2:$G$2730,'декабрь 2025'!$D$2:$D$2730,$B123,'декабрь 2025'!$J$2:$J$2730,E$1)</f>
        <v>0</v>
      </c>
      <c r="F123" s="183">
        <f>SUMIFS('декабрь 2025'!$G$2:$G$2730,'декабрь 2025'!$D$2:$D$2730,$B123,'декабрь 2025'!$J$2:$J$2730,F$1)</f>
        <v>0</v>
      </c>
      <c r="G123" s="183">
        <f>SUMIFS('декабрь 2025'!$G$2:$G$2730,'декабрь 2025'!$D$2:$D$2730,$B123,'декабрь 2025'!$J$2:$J$2730,G$1)</f>
        <v>0</v>
      </c>
      <c r="H123" s="183">
        <f>SUMIFS('декабрь 2025'!$G$2:$G$2730,'декабрь 2025'!$D$2:$D$2730,$B123,'декабрь 2025'!$J$2:$J$2730,H$1)</f>
        <v>0</v>
      </c>
      <c r="I123" s="183">
        <f>SUMIFS('декабрь 2025'!$G$2:$G$2730,'декабрь 2025'!$D$2:$D$2730,$B123,'декабрь 2025'!$J$2:$J$2730,I$1)</f>
        <v>0</v>
      </c>
      <c r="J123" s="183">
        <f>SUMIFS('декабрь 2025'!$G$2:$G$2730,'декабрь 2025'!$D$2:$D$2730,$B123,'декабрь 2025'!$J$2:$J$2730,J$1)</f>
        <v>0</v>
      </c>
      <c r="K123" s="183">
        <f>SUMIFS('декабрь 2025'!$G$2:$G$2730,'декабрь 2025'!$D$2:$D$2730,$B123,'декабрь 2025'!$J$2:$J$2730,K$1)</f>
        <v>0</v>
      </c>
      <c r="L123" s="183">
        <f>SUMIFS('декабрь 2025'!$G$2:$G$2730,'декабрь 2025'!$D$2:$D$2730,$B123,'декабрь 2025'!$J$2:$J$2730,L$1)</f>
        <v>0</v>
      </c>
      <c r="M123" s="183">
        <f>SUMIFS('декабрь 2025'!$G$2:$G$2730,'декабрь 2025'!$D$2:$D$2730,$B123,'декабрь 2025'!$J$2:$J$2730,M$1)</f>
        <v>0</v>
      </c>
      <c r="N123" s="183">
        <f>SUMIFS('декабрь 2025'!$G$2:$G$2730,'декабрь 2025'!$D$2:$D$2730,$B123,'декабрь 2025'!$J$2:$J$2730,N$1)</f>
        <v>0</v>
      </c>
      <c r="O123" s="183">
        <f>SUMIFS('декабрь 2025'!$G$2:$G$2730,'декабрь 2025'!$D$2:$D$2730,$B123,'декабрь 2025'!$J$2:$J$2730,O$1)</f>
        <v>0</v>
      </c>
      <c r="P123" s="183">
        <f>SUMIFS('декабрь 2025'!$G$2:$G$2730,'декабрь 2025'!$D$2:$D$2730,$B123,'декабрь 2025'!$J$2:$J$2730,P$1)</f>
        <v>0</v>
      </c>
      <c r="Q123" s="183">
        <f>SUMIFS('декабрь 2025'!$G$2:$G$2730,'декабрь 2025'!$D$2:$D$2730,$B123,'декабрь 2025'!$J$2:$J$2730,Q$1)</f>
        <v>0</v>
      </c>
      <c r="R123" s="183">
        <f>SUMIFS('декабрь 2025'!$G$2:$G$2730,'декабрь 2025'!$D$2:$D$2730,$B123,'декабрь 2025'!$J$2:$J$2730,R$1)</f>
        <v>0</v>
      </c>
      <c r="S123" s="183">
        <f>SUMIFS('декабрь 2025'!$G$2:$G$2730,'декабрь 2025'!$D$2:$D$2730,$B123,'декабрь 2025'!$J$2:$J$2730,S$1)</f>
        <v>0</v>
      </c>
      <c r="T123" s="183">
        <f>SUMIFS('декабрь 2025'!$G$2:$G$2730,'декабрь 2025'!$D$2:$D$2730,$B123,'декабрь 2025'!$J$2:$J$2730,T$1)</f>
        <v>0</v>
      </c>
      <c r="U123" s="183">
        <f>SUMIFS('декабрь 2025'!$G$2:$G$2730,'декабрь 2025'!$D$2:$D$2730,$B123,'декабрь 2025'!$J$2:$J$2730,U$1)</f>
        <v>0</v>
      </c>
      <c r="V123" s="183">
        <f>SUMIFS('декабрь 2025'!$G$2:$G$2730,'декабрь 2025'!$D$2:$D$2730,$B123,'декабрь 2025'!$J$2:$J$2730,V$1)</f>
        <v>0</v>
      </c>
      <c r="W123" s="183">
        <f>SUMIFS('декабрь 2025'!$G$2:$G$2730,'декабрь 2025'!$D$2:$D$2730,$B123,'декабрь 2025'!$J$2:$J$2730,W$1)</f>
        <v>0</v>
      </c>
      <c r="X123" s="183">
        <f>SUMIFS('декабрь 2025'!$G$2:$G$2730,'декабрь 2025'!$D$2:$D$2730,$B123,'декабрь 2025'!$J$2:$J$2730,X$1)</f>
        <v>0</v>
      </c>
      <c r="Y123" s="183">
        <f>SUMIFS('декабрь 2025'!$G$2:$G$2730,'декабрь 2025'!$D$2:$D$2730,$B123,'декабрь 2025'!$J$2:$J$2730,Y$1)</f>
        <v>0</v>
      </c>
      <c r="Z123" s="183">
        <f>SUMIFS('декабрь 2025'!$G$2:$G$2730,'декабрь 2025'!$D$2:$D$2730,$B123,'декабрь 2025'!$J$2:$J$2730,Z$1)</f>
        <v>0</v>
      </c>
      <c r="AA123" s="183">
        <f>SUMIFS('декабрь 2025'!$G$2:$G$2730,'декабрь 2025'!$D$2:$D$2730,$B123,'декабрь 2025'!$J$2:$J$2730,AA$1)</f>
        <v>0</v>
      </c>
      <c r="AB123" s="183">
        <f>SUMIFS('декабрь 2025'!$G$2:$G$2730,'декабрь 2025'!$D$2:$D$2730,$B123,'декабрь 2025'!$J$2:$J$2730,AB$1)</f>
        <v>0</v>
      </c>
      <c r="AC123" s="183">
        <f>SUMIFS('декабрь 2025'!$G$2:$G$2730,'декабрь 2025'!$D$2:$D$2730,$B123,'декабрь 2025'!$J$2:$J$2730,AC$1)</f>
        <v>0</v>
      </c>
      <c r="AD123" s="183">
        <f>SUMIFS('декабрь 2025'!$G$2:$G$2730,'декабрь 2025'!$D$2:$D$2730,$B123,'декабрь 2025'!$J$2:$J$2730,AD$1)</f>
        <v>0</v>
      </c>
      <c r="AE123" s="183">
        <f>SUMIFS('декабрь 2025'!$G$2:$G$2730,'декабрь 2025'!$D$2:$D$2730,$B123,'декабрь 2025'!$J$2:$J$2730,AE$1)</f>
        <v>0</v>
      </c>
      <c r="AF123" s="183">
        <f>SUMIFS('декабрь 2025'!$G$2:$G$2730,'декабрь 2025'!$D$2:$D$2730,$B123,'декабрь 2025'!$J$2:$J$2730,AF$1)</f>
        <v>0</v>
      </c>
      <c r="AG123" s="183">
        <f>SUMIFS('декабрь 2025'!$G$2:$G$2730,'декабрь 2025'!$D$2:$D$2730,$B123,'декабрь 2025'!$J$2:$J$2730,AG$1)</f>
        <v>0</v>
      </c>
      <c r="AH123" s="183">
        <f>SUMIFS('декабрь 2025'!$G$2:$G$2730,'декабрь 2025'!$D$2:$D$2730,$B123,'декабрь 2025'!$J$2:$J$2730,AH$1)</f>
        <v>0</v>
      </c>
      <c r="AI123" s="20">
        <f t="shared" si="1"/>
        <v>0</v>
      </c>
    </row>
    <row r="124" spans="2:35" ht="15" customHeight="1" x14ac:dyDescent="0.25">
      <c r="B124" s="88" t="s">
        <v>185</v>
      </c>
      <c r="C124" s="86">
        <v>180</v>
      </c>
      <c r="D124" s="183">
        <f>SUMIFS('декабрь 2025'!$G$2:$G$2730,'декабрь 2025'!$D$2:$D$2730,$B124,'декабрь 2025'!$J$2:$J$2730,D$1)</f>
        <v>0</v>
      </c>
      <c r="E124" s="183">
        <f>SUMIFS('декабрь 2025'!$G$2:$G$2730,'декабрь 2025'!$D$2:$D$2730,$B124,'декабрь 2025'!$J$2:$J$2730,E$1)</f>
        <v>0</v>
      </c>
      <c r="F124" s="183">
        <f>SUMIFS('декабрь 2025'!$G$2:$G$2730,'декабрь 2025'!$D$2:$D$2730,$B124,'декабрь 2025'!$J$2:$J$2730,F$1)</f>
        <v>0</v>
      </c>
      <c r="G124" s="183">
        <f>SUMIFS('декабрь 2025'!$G$2:$G$2730,'декабрь 2025'!$D$2:$D$2730,$B124,'декабрь 2025'!$J$2:$J$2730,G$1)</f>
        <v>0</v>
      </c>
      <c r="H124" s="183">
        <f>SUMIFS('декабрь 2025'!$G$2:$G$2730,'декабрь 2025'!$D$2:$D$2730,$B124,'декабрь 2025'!$J$2:$J$2730,H$1)</f>
        <v>0</v>
      </c>
      <c r="I124" s="183">
        <f>SUMIFS('декабрь 2025'!$G$2:$G$2730,'декабрь 2025'!$D$2:$D$2730,$B124,'декабрь 2025'!$J$2:$J$2730,I$1)</f>
        <v>0</v>
      </c>
      <c r="J124" s="183">
        <f>SUMIFS('декабрь 2025'!$G$2:$G$2730,'декабрь 2025'!$D$2:$D$2730,$B124,'декабрь 2025'!$J$2:$J$2730,J$1)</f>
        <v>0</v>
      </c>
      <c r="K124" s="183">
        <f>SUMIFS('декабрь 2025'!$G$2:$G$2730,'декабрь 2025'!$D$2:$D$2730,$B124,'декабрь 2025'!$J$2:$J$2730,K$1)</f>
        <v>0</v>
      </c>
      <c r="L124" s="183">
        <f>SUMIFS('декабрь 2025'!$G$2:$G$2730,'декабрь 2025'!$D$2:$D$2730,$B124,'декабрь 2025'!$J$2:$J$2730,L$1)</f>
        <v>0</v>
      </c>
      <c r="M124" s="183">
        <f>SUMIFS('декабрь 2025'!$G$2:$G$2730,'декабрь 2025'!$D$2:$D$2730,$B124,'декабрь 2025'!$J$2:$J$2730,M$1)</f>
        <v>0</v>
      </c>
      <c r="N124" s="183">
        <f>SUMIFS('декабрь 2025'!$G$2:$G$2730,'декабрь 2025'!$D$2:$D$2730,$B124,'декабрь 2025'!$J$2:$J$2730,N$1)</f>
        <v>0</v>
      </c>
      <c r="O124" s="183">
        <f>SUMIFS('декабрь 2025'!$G$2:$G$2730,'декабрь 2025'!$D$2:$D$2730,$B124,'декабрь 2025'!$J$2:$J$2730,O$1)</f>
        <v>0</v>
      </c>
      <c r="P124" s="183">
        <f>SUMIFS('декабрь 2025'!$G$2:$G$2730,'декабрь 2025'!$D$2:$D$2730,$B124,'декабрь 2025'!$J$2:$J$2730,P$1)</f>
        <v>0</v>
      </c>
      <c r="Q124" s="183">
        <f>SUMIFS('декабрь 2025'!$G$2:$G$2730,'декабрь 2025'!$D$2:$D$2730,$B124,'декабрь 2025'!$J$2:$J$2730,Q$1)</f>
        <v>0</v>
      </c>
      <c r="R124" s="183">
        <f>SUMIFS('декабрь 2025'!$G$2:$G$2730,'декабрь 2025'!$D$2:$D$2730,$B124,'декабрь 2025'!$J$2:$J$2730,R$1)</f>
        <v>0</v>
      </c>
      <c r="S124" s="183">
        <f>SUMIFS('декабрь 2025'!$G$2:$G$2730,'декабрь 2025'!$D$2:$D$2730,$B124,'декабрь 2025'!$J$2:$J$2730,S$1)</f>
        <v>0</v>
      </c>
      <c r="T124" s="183">
        <f>SUMIFS('декабрь 2025'!$G$2:$G$2730,'декабрь 2025'!$D$2:$D$2730,$B124,'декабрь 2025'!$J$2:$J$2730,T$1)</f>
        <v>0</v>
      </c>
      <c r="U124" s="183">
        <f>SUMIFS('декабрь 2025'!$G$2:$G$2730,'декабрь 2025'!$D$2:$D$2730,$B124,'декабрь 2025'!$J$2:$J$2730,U$1)</f>
        <v>0</v>
      </c>
      <c r="V124" s="183">
        <f>SUMIFS('декабрь 2025'!$G$2:$G$2730,'декабрь 2025'!$D$2:$D$2730,$B124,'декабрь 2025'!$J$2:$J$2730,V$1)</f>
        <v>0</v>
      </c>
      <c r="W124" s="183">
        <f>SUMIFS('декабрь 2025'!$G$2:$G$2730,'декабрь 2025'!$D$2:$D$2730,$B124,'декабрь 2025'!$J$2:$J$2730,W$1)</f>
        <v>0</v>
      </c>
      <c r="X124" s="183">
        <f>SUMIFS('декабрь 2025'!$G$2:$G$2730,'декабрь 2025'!$D$2:$D$2730,$B124,'декабрь 2025'!$J$2:$J$2730,X$1)</f>
        <v>0</v>
      </c>
      <c r="Y124" s="183">
        <f>SUMIFS('декабрь 2025'!$G$2:$G$2730,'декабрь 2025'!$D$2:$D$2730,$B124,'декабрь 2025'!$J$2:$J$2730,Y$1)</f>
        <v>0</v>
      </c>
      <c r="Z124" s="183">
        <f>SUMIFS('декабрь 2025'!$G$2:$G$2730,'декабрь 2025'!$D$2:$D$2730,$B124,'декабрь 2025'!$J$2:$J$2730,Z$1)</f>
        <v>0</v>
      </c>
      <c r="AA124" s="183">
        <f>SUMIFS('декабрь 2025'!$G$2:$G$2730,'декабрь 2025'!$D$2:$D$2730,$B124,'декабрь 2025'!$J$2:$J$2730,AA$1)</f>
        <v>0</v>
      </c>
      <c r="AB124" s="183">
        <f>SUMIFS('декабрь 2025'!$G$2:$G$2730,'декабрь 2025'!$D$2:$D$2730,$B124,'декабрь 2025'!$J$2:$J$2730,AB$1)</f>
        <v>0</v>
      </c>
      <c r="AC124" s="183">
        <f>SUMIFS('декабрь 2025'!$G$2:$G$2730,'декабрь 2025'!$D$2:$D$2730,$B124,'декабрь 2025'!$J$2:$J$2730,AC$1)</f>
        <v>0</v>
      </c>
      <c r="AD124" s="183">
        <f>SUMIFS('декабрь 2025'!$G$2:$G$2730,'декабрь 2025'!$D$2:$D$2730,$B124,'декабрь 2025'!$J$2:$J$2730,AD$1)</f>
        <v>0</v>
      </c>
      <c r="AE124" s="183">
        <f>SUMIFS('декабрь 2025'!$G$2:$G$2730,'декабрь 2025'!$D$2:$D$2730,$B124,'декабрь 2025'!$J$2:$J$2730,AE$1)</f>
        <v>0</v>
      </c>
      <c r="AF124" s="183">
        <f>SUMIFS('декабрь 2025'!$G$2:$G$2730,'декабрь 2025'!$D$2:$D$2730,$B124,'декабрь 2025'!$J$2:$J$2730,AF$1)</f>
        <v>0</v>
      </c>
      <c r="AG124" s="183">
        <f>SUMIFS('декабрь 2025'!$G$2:$G$2730,'декабрь 2025'!$D$2:$D$2730,$B124,'декабрь 2025'!$J$2:$J$2730,AG$1)</f>
        <v>0</v>
      </c>
      <c r="AH124" s="183">
        <f>SUMIFS('декабрь 2025'!$G$2:$G$2730,'декабрь 2025'!$D$2:$D$2730,$B124,'декабрь 2025'!$J$2:$J$2730,AH$1)</f>
        <v>0</v>
      </c>
      <c r="AI124" s="20">
        <f t="shared" si="1"/>
        <v>0</v>
      </c>
    </row>
    <row r="125" spans="2:35" ht="15" customHeight="1" x14ac:dyDescent="0.25">
      <c r="B125" s="88" t="s">
        <v>203</v>
      </c>
      <c r="C125" s="86">
        <v>185</v>
      </c>
      <c r="D125" s="183">
        <f>SUMIFS('декабрь 2025'!$G$2:$G$2730,'декабрь 2025'!$D$2:$D$2730,$B125,'декабрь 2025'!$J$2:$J$2730,D$1)</f>
        <v>0</v>
      </c>
      <c r="E125" s="183">
        <f>SUMIFS('декабрь 2025'!$G$2:$G$2730,'декабрь 2025'!$D$2:$D$2730,$B125,'декабрь 2025'!$J$2:$J$2730,E$1)</f>
        <v>0</v>
      </c>
      <c r="F125" s="183">
        <f>SUMIFS('декабрь 2025'!$G$2:$G$2730,'декабрь 2025'!$D$2:$D$2730,$B125,'декабрь 2025'!$J$2:$J$2730,F$1)</f>
        <v>0</v>
      </c>
      <c r="G125" s="183">
        <f>SUMIFS('декабрь 2025'!$G$2:$G$2730,'декабрь 2025'!$D$2:$D$2730,$B125,'декабрь 2025'!$J$2:$J$2730,G$1)</f>
        <v>0</v>
      </c>
      <c r="H125" s="183">
        <f>SUMIFS('декабрь 2025'!$G$2:$G$2730,'декабрь 2025'!$D$2:$D$2730,$B125,'декабрь 2025'!$J$2:$J$2730,H$1)</f>
        <v>0</v>
      </c>
      <c r="I125" s="183">
        <f>SUMIFS('декабрь 2025'!$G$2:$G$2730,'декабрь 2025'!$D$2:$D$2730,$B125,'декабрь 2025'!$J$2:$J$2730,I$1)</f>
        <v>0</v>
      </c>
      <c r="J125" s="183">
        <f>SUMIFS('декабрь 2025'!$G$2:$G$2730,'декабрь 2025'!$D$2:$D$2730,$B125,'декабрь 2025'!$J$2:$J$2730,J$1)</f>
        <v>0</v>
      </c>
      <c r="K125" s="183">
        <f>SUMIFS('декабрь 2025'!$G$2:$G$2730,'декабрь 2025'!$D$2:$D$2730,$B125,'декабрь 2025'!$J$2:$J$2730,K$1)</f>
        <v>0</v>
      </c>
      <c r="L125" s="183">
        <f>SUMIFS('декабрь 2025'!$G$2:$G$2730,'декабрь 2025'!$D$2:$D$2730,$B125,'декабрь 2025'!$J$2:$J$2730,L$1)</f>
        <v>0</v>
      </c>
      <c r="M125" s="183">
        <f>SUMIFS('декабрь 2025'!$G$2:$G$2730,'декабрь 2025'!$D$2:$D$2730,$B125,'декабрь 2025'!$J$2:$J$2730,M$1)</f>
        <v>0</v>
      </c>
      <c r="N125" s="183">
        <f>SUMIFS('декабрь 2025'!$G$2:$G$2730,'декабрь 2025'!$D$2:$D$2730,$B125,'декабрь 2025'!$J$2:$J$2730,N$1)</f>
        <v>0</v>
      </c>
      <c r="O125" s="183">
        <f>SUMIFS('декабрь 2025'!$G$2:$G$2730,'декабрь 2025'!$D$2:$D$2730,$B125,'декабрь 2025'!$J$2:$J$2730,O$1)</f>
        <v>0</v>
      </c>
      <c r="P125" s="183">
        <f>SUMIFS('декабрь 2025'!$G$2:$G$2730,'декабрь 2025'!$D$2:$D$2730,$B125,'декабрь 2025'!$J$2:$J$2730,P$1)</f>
        <v>0</v>
      </c>
      <c r="Q125" s="183">
        <f>SUMIFS('декабрь 2025'!$G$2:$G$2730,'декабрь 2025'!$D$2:$D$2730,$B125,'декабрь 2025'!$J$2:$J$2730,Q$1)</f>
        <v>0</v>
      </c>
      <c r="R125" s="183">
        <f>SUMIFS('декабрь 2025'!$G$2:$G$2730,'декабрь 2025'!$D$2:$D$2730,$B125,'декабрь 2025'!$J$2:$J$2730,R$1)</f>
        <v>0</v>
      </c>
      <c r="S125" s="183">
        <f>SUMIFS('декабрь 2025'!$G$2:$G$2730,'декабрь 2025'!$D$2:$D$2730,$B125,'декабрь 2025'!$J$2:$J$2730,S$1)</f>
        <v>0</v>
      </c>
      <c r="T125" s="183">
        <f>SUMIFS('декабрь 2025'!$G$2:$G$2730,'декабрь 2025'!$D$2:$D$2730,$B125,'декабрь 2025'!$J$2:$J$2730,T$1)</f>
        <v>0</v>
      </c>
      <c r="U125" s="183">
        <f>SUMIFS('декабрь 2025'!$G$2:$G$2730,'декабрь 2025'!$D$2:$D$2730,$B125,'декабрь 2025'!$J$2:$J$2730,U$1)</f>
        <v>0</v>
      </c>
      <c r="V125" s="183">
        <f>SUMIFS('декабрь 2025'!$G$2:$G$2730,'декабрь 2025'!$D$2:$D$2730,$B125,'декабрь 2025'!$J$2:$J$2730,V$1)</f>
        <v>0</v>
      </c>
      <c r="W125" s="183">
        <f>SUMIFS('декабрь 2025'!$G$2:$G$2730,'декабрь 2025'!$D$2:$D$2730,$B125,'декабрь 2025'!$J$2:$J$2730,W$1)</f>
        <v>0</v>
      </c>
      <c r="X125" s="183">
        <f>SUMIFS('декабрь 2025'!$G$2:$G$2730,'декабрь 2025'!$D$2:$D$2730,$B125,'декабрь 2025'!$J$2:$J$2730,X$1)</f>
        <v>0</v>
      </c>
      <c r="Y125" s="183">
        <f>SUMIFS('декабрь 2025'!$G$2:$G$2730,'декабрь 2025'!$D$2:$D$2730,$B125,'декабрь 2025'!$J$2:$J$2730,Y$1)</f>
        <v>0</v>
      </c>
      <c r="Z125" s="183">
        <f>SUMIFS('декабрь 2025'!$G$2:$G$2730,'декабрь 2025'!$D$2:$D$2730,$B125,'декабрь 2025'!$J$2:$J$2730,Z$1)</f>
        <v>0</v>
      </c>
      <c r="AA125" s="183">
        <f>SUMIFS('декабрь 2025'!$G$2:$G$2730,'декабрь 2025'!$D$2:$D$2730,$B125,'декабрь 2025'!$J$2:$J$2730,AA$1)</f>
        <v>0</v>
      </c>
      <c r="AB125" s="183">
        <f>SUMIFS('декабрь 2025'!$G$2:$G$2730,'декабрь 2025'!$D$2:$D$2730,$B125,'декабрь 2025'!$J$2:$J$2730,AB$1)</f>
        <v>0</v>
      </c>
      <c r="AC125" s="183">
        <f>SUMIFS('декабрь 2025'!$G$2:$G$2730,'декабрь 2025'!$D$2:$D$2730,$B125,'декабрь 2025'!$J$2:$J$2730,AC$1)</f>
        <v>0</v>
      </c>
      <c r="AD125" s="183">
        <f>SUMIFS('декабрь 2025'!$G$2:$G$2730,'декабрь 2025'!$D$2:$D$2730,$B125,'декабрь 2025'!$J$2:$J$2730,AD$1)</f>
        <v>0</v>
      </c>
      <c r="AE125" s="183">
        <f>SUMIFS('декабрь 2025'!$G$2:$G$2730,'декабрь 2025'!$D$2:$D$2730,$B125,'декабрь 2025'!$J$2:$J$2730,AE$1)</f>
        <v>0</v>
      </c>
      <c r="AF125" s="183">
        <f>SUMIFS('декабрь 2025'!$G$2:$G$2730,'декабрь 2025'!$D$2:$D$2730,$B125,'декабрь 2025'!$J$2:$J$2730,AF$1)</f>
        <v>0</v>
      </c>
      <c r="AG125" s="183">
        <f>SUMIFS('декабрь 2025'!$G$2:$G$2730,'декабрь 2025'!$D$2:$D$2730,$B125,'декабрь 2025'!$J$2:$J$2730,AG$1)</f>
        <v>0</v>
      </c>
      <c r="AH125" s="183">
        <f>SUMIFS('декабрь 2025'!$G$2:$G$2730,'декабрь 2025'!$D$2:$D$2730,$B125,'декабрь 2025'!$J$2:$J$2730,AH$1)</f>
        <v>0</v>
      </c>
      <c r="AI125" s="20">
        <f t="shared" si="1"/>
        <v>0</v>
      </c>
    </row>
    <row r="126" spans="2:35" ht="15" customHeight="1" x14ac:dyDescent="0.25">
      <c r="B126" s="88" t="s">
        <v>304</v>
      </c>
      <c r="C126" s="86">
        <v>175</v>
      </c>
      <c r="D126" s="183">
        <f>SUMIFS('декабрь 2025'!$G$2:$G$2730,'декабрь 2025'!$D$2:$D$2730,$B126,'декабрь 2025'!$J$2:$J$2730,D$1)</f>
        <v>0</v>
      </c>
      <c r="E126" s="183">
        <f>SUMIFS('декабрь 2025'!$G$2:$G$2730,'декабрь 2025'!$D$2:$D$2730,$B126,'декабрь 2025'!$J$2:$J$2730,E$1)</f>
        <v>0</v>
      </c>
      <c r="F126" s="183">
        <f>SUMIFS('декабрь 2025'!$G$2:$G$2730,'декабрь 2025'!$D$2:$D$2730,$B126,'декабрь 2025'!$J$2:$J$2730,F$1)</f>
        <v>0</v>
      </c>
      <c r="G126" s="183">
        <f>SUMIFS('декабрь 2025'!$G$2:$G$2730,'декабрь 2025'!$D$2:$D$2730,$B126,'декабрь 2025'!$J$2:$J$2730,G$1)</f>
        <v>0</v>
      </c>
      <c r="H126" s="183">
        <f>SUMIFS('декабрь 2025'!$G$2:$G$2730,'декабрь 2025'!$D$2:$D$2730,$B126,'декабрь 2025'!$J$2:$J$2730,H$1)</f>
        <v>0</v>
      </c>
      <c r="I126" s="183">
        <f>SUMIFS('декабрь 2025'!$G$2:$G$2730,'декабрь 2025'!$D$2:$D$2730,$B126,'декабрь 2025'!$J$2:$J$2730,I$1)</f>
        <v>0</v>
      </c>
      <c r="J126" s="183">
        <f>SUMIFS('декабрь 2025'!$G$2:$G$2730,'декабрь 2025'!$D$2:$D$2730,$B126,'декабрь 2025'!$J$2:$J$2730,J$1)</f>
        <v>0</v>
      </c>
      <c r="K126" s="183">
        <f>SUMIFS('декабрь 2025'!$G$2:$G$2730,'декабрь 2025'!$D$2:$D$2730,$B126,'декабрь 2025'!$J$2:$J$2730,K$1)</f>
        <v>0</v>
      </c>
      <c r="L126" s="183">
        <f>SUMIFS('декабрь 2025'!$G$2:$G$2730,'декабрь 2025'!$D$2:$D$2730,$B126,'декабрь 2025'!$J$2:$J$2730,L$1)</f>
        <v>0</v>
      </c>
      <c r="M126" s="183">
        <f>SUMIFS('декабрь 2025'!$G$2:$G$2730,'декабрь 2025'!$D$2:$D$2730,$B126,'декабрь 2025'!$J$2:$J$2730,M$1)</f>
        <v>0</v>
      </c>
      <c r="N126" s="183">
        <f>SUMIFS('декабрь 2025'!$G$2:$G$2730,'декабрь 2025'!$D$2:$D$2730,$B126,'декабрь 2025'!$J$2:$J$2730,N$1)</f>
        <v>0</v>
      </c>
      <c r="O126" s="183">
        <f>SUMIFS('декабрь 2025'!$G$2:$G$2730,'декабрь 2025'!$D$2:$D$2730,$B126,'декабрь 2025'!$J$2:$J$2730,O$1)</f>
        <v>0</v>
      </c>
      <c r="P126" s="183">
        <f>SUMIFS('декабрь 2025'!$G$2:$G$2730,'декабрь 2025'!$D$2:$D$2730,$B126,'декабрь 2025'!$J$2:$J$2730,P$1)</f>
        <v>0</v>
      </c>
      <c r="Q126" s="183">
        <f>SUMIFS('декабрь 2025'!$G$2:$G$2730,'декабрь 2025'!$D$2:$D$2730,$B126,'декабрь 2025'!$J$2:$J$2730,Q$1)</f>
        <v>0</v>
      </c>
      <c r="R126" s="183">
        <f>SUMIFS('декабрь 2025'!$G$2:$G$2730,'декабрь 2025'!$D$2:$D$2730,$B126,'декабрь 2025'!$J$2:$J$2730,R$1)</f>
        <v>80</v>
      </c>
      <c r="S126" s="183">
        <f>SUMIFS('декабрь 2025'!$G$2:$G$2730,'декабрь 2025'!$D$2:$D$2730,$B126,'декабрь 2025'!$J$2:$J$2730,S$1)</f>
        <v>0</v>
      </c>
      <c r="T126" s="183">
        <f>SUMIFS('декабрь 2025'!$G$2:$G$2730,'декабрь 2025'!$D$2:$D$2730,$B126,'декабрь 2025'!$J$2:$J$2730,T$1)</f>
        <v>0</v>
      </c>
      <c r="U126" s="183">
        <f>SUMIFS('декабрь 2025'!$G$2:$G$2730,'декабрь 2025'!$D$2:$D$2730,$B126,'декабрь 2025'!$J$2:$J$2730,U$1)</f>
        <v>0</v>
      </c>
      <c r="V126" s="183">
        <f>SUMIFS('декабрь 2025'!$G$2:$G$2730,'декабрь 2025'!$D$2:$D$2730,$B126,'декабрь 2025'!$J$2:$J$2730,V$1)</f>
        <v>0</v>
      </c>
      <c r="W126" s="183">
        <f>SUMIFS('декабрь 2025'!$G$2:$G$2730,'декабрь 2025'!$D$2:$D$2730,$B126,'декабрь 2025'!$J$2:$J$2730,W$1)</f>
        <v>0</v>
      </c>
      <c r="X126" s="183">
        <f>SUMIFS('декабрь 2025'!$G$2:$G$2730,'декабрь 2025'!$D$2:$D$2730,$B126,'декабрь 2025'!$J$2:$J$2730,X$1)</f>
        <v>0</v>
      </c>
      <c r="Y126" s="183">
        <f>SUMIFS('декабрь 2025'!$G$2:$G$2730,'декабрь 2025'!$D$2:$D$2730,$B126,'декабрь 2025'!$J$2:$J$2730,Y$1)</f>
        <v>0</v>
      </c>
      <c r="Z126" s="183">
        <f>SUMIFS('декабрь 2025'!$G$2:$G$2730,'декабрь 2025'!$D$2:$D$2730,$B126,'декабрь 2025'!$J$2:$J$2730,Z$1)</f>
        <v>0</v>
      </c>
      <c r="AA126" s="183">
        <f>SUMIFS('декабрь 2025'!$G$2:$G$2730,'декабрь 2025'!$D$2:$D$2730,$B126,'декабрь 2025'!$J$2:$J$2730,AA$1)</f>
        <v>0</v>
      </c>
      <c r="AB126" s="183">
        <f>SUMIFS('декабрь 2025'!$G$2:$G$2730,'декабрь 2025'!$D$2:$D$2730,$B126,'декабрь 2025'!$J$2:$J$2730,AB$1)</f>
        <v>0</v>
      </c>
      <c r="AC126" s="183">
        <f>SUMIFS('декабрь 2025'!$G$2:$G$2730,'декабрь 2025'!$D$2:$D$2730,$B126,'декабрь 2025'!$J$2:$J$2730,AC$1)</f>
        <v>0</v>
      </c>
      <c r="AD126" s="183">
        <f>SUMIFS('декабрь 2025'!$G$2:$G$2730,'декабрь 2025'!$D$2:$D$2730,$B126,'декабрь 2025'!$J$2:$J$2730,AD$1)</f>
        <v>0</v>
      </c>
      <c r="AE126" s="183">
        <f>SUMIFS('декабрь 2025'!$G$2:$G$2730,'декабрь 2025'!$D$2:$D$2730,$B126,'декабрь 2025'!$J$2:$J$2730,AE$1)</f>
        <v>0</v>
      </c>
      <c r="AF126" s="183">
        <f>SUMIFS('декабрь 2025'!$G$2:$G$2730,'декабрь 2025'!$D$2:$D$2730,$B126,'декабрь 2025'!$J$2:$J$2730,AF$1)</f>
        <v>0</v>
      </c>
      <c r="AG126" s="183">
        <f>SUMIFS('декабрь 2025'!$G$2:$G$2730,'декабрь 2025'!$D$2:$D$2730,$B126,'декабрь 2025'!$J$2:$J$2730,AG$1)</f>
        <v>0</v>
      </c>
      <c r="AH126" s="183">
        <f>SUMIFS('декабрь 2025'!$G$2:$G$2730,'декабрь 2025'!$D$2:$D$2730,$B126,'декабрь 2025'!$J$2:$J$2730,AH$1)</f>
        <v>0</v>
      </c>
      <c r="AI126" s="20">
        <f t="shared" si="1"/>
        <v>80</v>
      </c>
    </row>
    <row r="127" spans="2:35" ht="15" customHeight="1" x14ac:dyDescent="0.25">
      <c r="B127" s="88" t="s">
        <v>310</v>
      </c>
      <c r="C127" s="86">
        <v>200</v>
      </c>
      <c r="D127" s="183">
        <f>SUMIFS('декабрь 2025'!$G$2:$G$2730,'декабрь 2025'!$D$2:$D$2730,$B127,'декабрь 2025'!$J$2:$J$2730,D$1)</f>
        <v>0</v>
      </c>
      <c r="E127" s="183">
        <f>SUMIFS('декабрь 2025'!$G$2:$G$2730,'декабрь 2025'!$D$2:$D$2730,$B127,'декабрь 2025'!$J$2:$J$2730,E$1)</f>
        <v>0</v>
      </c>
      <c r="F127" s="183">
        <f>SUMIFS('декабрь 2025'!$G$2:$G$2730,'декабрь 2025'!$D$2:$D$2730,$B127,'декабрь 2025'!$J$2:$J$2730,F$1)</f>
        <v>0</v>
      </c>
      <c r="G127" s="183">
        <f>SUMIFS('декабрь 2025'!$G$2:$G$2730,'декабрь 2025'!$D$2:$D$2730,$B127,'декабрь 2025'!$J$2:$J$2730,G$1)</f>
        <v>0</v>
      </c>
      <c r="H127" s="183">
        <f>SUMIFS('декабрь 2025'!$G$2:$G$2730,'декабрь 2025'!$D$2:$D$2730,$B127,'декабрь 2025'!$J$2:$J$2730,H$1)</f>
        <v>0</v>
      </c>
      <c r="I127" s="183">
        <f>SUMIFS('декабрь 2025'!$G$2:$G$2730,'декабрь 2025'!$D$2:$D$2730,$B127,'декабрь 2025'!$J$2:$J$2730,I$1)</f>
        <v>0</v>
      </c>
      <c r="J127" s="183">
        <f>SUMIFS('декабрь 2025'!$G$2:$G$2730,'декабрь 2025'!$D$2:$D$2730,$B127,'декабрь 2025'!$J$2:$J$2730,J$1)</f>
        <v>0</v>
      </c>
      <c r="K127" s="183">
        <f>SUMIFS('декабрь 2025'!$G$2:$G$2730,'декабрь 2025'!$D$2:$D$2730,$B127,'декабрь 2025'!$J$2:$J$2730,K$1)</f>
        <v>0</v>
      </c>
      <c r="L127" s="183">
        <f>SUMIFS('декабрь 2025'!$G$2:$G$2730,'декабрь 2025'!$D$2:$D$2730,$B127,'декабрь 2025'!$J$2:$J$2730,L$1)</f>
        <v>0</v>
      </c>
      <c r="M127" s="183">
        <f>SUMIFS('декабрь 2025'!$G$2:$G$2730,'декабрь 2025'!$D$2:$D$2730,$B127,'декабрь 2025'!$J$2:$J$2730,M$1)</f>
        <v>0</v>
      </c>
      <c r="N127" s="183">
        <f>SUMIFS('декабрь 2025'!$G$2:$G$2730,'декабрь 2025'!$D$2:$D$2730,$B127,'декабрь 2025'!$J$2:$J$2730,N$1)</f>
        <v>0</v>
      </c>
      <c r="O127" s="183">
        <f>SUMIFS('декабрь 2025'!$G$2:$G$2730,'декабрь 2025'!$D$2:$D$2730,$B127,'декабрь 2025'!$J$2:$J$2730,O$1)</f>
        <v>0</v>
      </c>
      <c r="P127" s="183">
        <f>SUMIFS('декабрь 2025'!$G$2:$G$2730,'декабрь 2025'!$D$2:$D$2730,$B127,'декабрь 2025'!$J$2:$J$2730,P$1)</f>
        <v>0</v>
      </c>
      <c r="Q127" s="183">
        <f>SUMIFS('декабрь 2025'!$G$2:$G$2730,'декабрь 2025'!$D$2:$D$2730,$B127,'декабрь 2025'!$J$2:$J$2730,Q$1)</f>
        <v>0</v>
      </c>
      <c r="R127" s="183">
        <f>SUMIFS('декабрь 2025'!$G$2:$G$2730,'декабрь 2025'!$D$2:$D$2730,$B127,'декабрь 2025'!$J$2:$J$2730,R$1)</f>
        <v>0</v>
      </c>
      <c r="S127" s="183">
        <f>SUMIFS('декабрь 2025'!$G$2:$G$2730,'декабрь 2025'!$D$2:$D$2730,$B127,'декабрь 2025'!$J$2:$J$2730,S$1)</f>
        <v>0</v>
      </c>
      <c r="T127" s="183">
        <f>SUMIFS('декабрь 2025'!$G$2:$G$2730,'декабрь 2025'!$D$2:$D$2730,$B127,'декабрь 2025'!$J$2:$J$2730,T$1)</f>
        <v>0</v>
      </c>
      <c r="U127" s="183">
        <f>SUMIFS('декабрь 2025'!$G$2:$G$2730,'декабрь 2025'!$D$2:$D$2730,$B127,'декабрь 2025'!$J$2:$J$2730,U$1)</f>
        <v>0</v>
      </c>
      <c r="V127" s="183">
        <f>SUMIFS('декабрь 2025'!$G$2:$G$2730,'декабрь 2025'!$D$2:$D$2730,$B127,'декабрь 2025'!$J$2:$J$2730,V$1)</f>
        <v>0</v>
      </c>
      <c r="W127" s="183">
        <f>SUMIFS('декабрь 2025'!$G$2:$G$2730,'декабрь 2025'!$D$2:$D$2730,$B127,'декабрь 2025'!$J$2:$J$2730,W$1)</f>
        <v>0</v>
      </c>
      <c r="X127" s="183">
        <f>SUMIFS('декабрь 2025'!$G$2:$G$2730,'декабрь 2025'!$D$2:$D$2730,$B127,'декабрь 2025'!$J$2:$J$2730,X$1)</f>
        <v>0</v>
      </c>
      <c r="Y127" s="183">
        <f>SUMIFS('декабрь 2025'!$G$2:$G$2730,'декабрь 2025'!$D$2:$D$2730,$B127,'декабрь 2025'!$J$2:$J$2730,Y$1)</f>
        <v>0</v>
      </c>
      <c r="Z127" s="183">
        <f>SUMIFS('декабрь 2025'!$G$2:$G$2730,'декабрь 2025'!$D$2:$D$2730,$B127,'декабрь 2025'!$J$2:$J$2730,Z$1)</f>
        <v>0</v>
      </c>
      <c r="AA127" s="183">
        <f>SUMIFS('декабрь 2025'!$G$2:$G$2730,'декабрь 2025'!$D$2:$D$2730,$B127,'декабрь 2025'!$J$2:$J$2730,AA$1)</f>
        <v>0</v>
      </c>
      <c r="AB127" s="183">
        <f>SUMIFS('декабрь 2025'!$G$2:$G$2730,'декабрь 2025'!$D$2:$D$2730,$B127,'декабрь 2025'!$J$2:$J$2730,AB$1)</f>
        <v>0</v>
      </c>
      <c r="AC127" s="183">
        <f>SUMIFS('декабрь 2025'!$G$2:$G$2730,'декабрь 2025'!$D$2:$D$2730,$B127,'декабрь 2025'!$J$2:$J$2730,AC$1)</f>
        <v>0</v>
      </c>
      <c r="AD127" s="183">
        <f>SUMIFS('декабрь 2025'!$G$2:$G$2730,'декабрь 2025'!$D$2:$D$2730,$B127,'декабрь 2025'!$J$2:$J$2730,AD$1)</f>
        <v>0</v>
      </c>
      <c r="AE127" s="183">
        <f>SUMIFS('декабрь 2025'!$G$2:$G$2730,'декабрь 2025'!$D$2:$D$2730,$B127,'декабрь 2025'!$J$2:$J$2730,AE$1)</f>
        <v>0</v>
      </c>
      <c r="AF127" s="183">
        <f>SUMIFS('декабрь 2025'!$G$2:$G$2730,'декабрь 2025'!$D$2:$D$2730,$B127,'декабрь 2025'!$J$2:$J$2730,AF$1)</f>
        <v>0</v>
      </c>
      <c r="AG127" s="183">
        <f>SUMIFS('декабрь 2025'!$G$2:$G$2730,'декабрь 2025'!$D$2:$D$2730,$B127,'декабрь 2025'!$J$2:$J$2730,AG$1)</f>
        <v>0</v>
      </c>
      <c r="AH127" s="183">
        <f>SUMIFS('декабрь 2025'!$G$2:$G$2730,'декабрь 2025'!$D$2:$D$2730,$B127,'декабрь 2025'!$J$2:$J$2730,AH$1)</f>
        <v>0</v>
      </c>
      <c r="AI127" s="20">
        <f t="shared" si="1"/>
        <v>0</v>
      </c>
    </row>
    <row r="128" spans="2:35" ht="15" customHeight="1" x14ac:dyDescent="0.25">
      <c r="B128" s="88" t="s">
        <v>1256</v>
      </c>
      <c r="C128" s="86">
        <v>200</v>
      </c>
      <c r="D128" s="183">
        <f>SUMIFS('декабрь 2025'!$G$2:$G$2730,'декабрь 2025'!$D$2:$D$2730,$B128,'декабрь 2025'!$J$2:$J$2730,D$1)</f>
        <v>0</v>
      </c>
      <c r="E128" s="183">
        <f>SUMIFS('декабрь 2025'!$G$2:$G$2730,'декабрь 2025'!$D$2:$D$2730,$B128,'декабрь 2025'!$J$2:$J$2730,E$1)</f>
        <v>0</v>
      </c>
      <c r="F128" s="183">
        <f>SUMIFS('декабрь 2025'!$G$2:$G$2730,'декабрь 2025'!$D$2:$D$2730,$B128,'декабрь 2025'!$J$2:$J$2730,F$1)</f>
        <v>0</v>
      </c>
      <c r="G128" s="183">
        <f>SUMIFS('декабрь 2025'!$G$2:$G$2730,'декабрь 2025'!$D$2:$D$2730,$B128,'декабрь 2025'!$J$2:$J$2730,G$1)</f>
        <v>0</v>
      </c>
      <c r="H128" s="183">
        <f>SUMIFS('декабрь 2025'!$G$2:$G$2730,'декабрь 2025'!$D$2:$D$2730,$B128,'декабрь 2025'!$J$2:$J$2730,H$1)</f>
        <v>0</v>
      </c>
      <c r="I128" s="183">
        <f>SUMIFS('декабрь 2025'!$G$2:$G$2730,'декабрь 2025'!$D$2:$D$2730,$B128,'декабрь 2025'!$J$2:$J$2730,I$1)</f>
        <v>0</v>
      </c>
      <c r="J128" s="183">
        <f>SUMIFS('декабрь 2025'!$G$2:$G$2730,'декабрь 2025'!$D$2:$D$2730,$B128,'декабрь 2025'!$J$2:$J$2730,J$1)</f>
        <v>0</v>
      </c>
      <c r="K128" s="183">
        <f>SUMIFS('декабрь 2025'!$G$2:$G$2730,'декабрь 2025'!$D$2:$D$2730,$B128,'декабрь 2025'!$J$2:$J$2730,K$1)</f>
        <v>0</v>
      </c>
      <c r="L128" s="183">
        <f>SUMIFS('декабрь 2025'!$G$2:$G$2730,'декабрь 2025'!$D$2:$D$2730,$B128,'декабрь 2025'!$J$2:$J$2730,L$1)</f>
        <v>0</v>
      </c>
      <c r="M128" s="183">
        <f>SUMIFS('декабрь 2025'!$G$2:$G$2730,'декабрь 2025'!$D$2:$D$2730,$B128,'декабрь 2025'!$J$2:$J$2730,M$1)</f>
        <v>0</v>
      </c>
      <c r="N128" s="183">
        <f>SUMIFS('декабрь 2025'!$G$2:$G$2730,'декабрь 2025'!$D$2:$D$2730,$B128,'декабрь 2025'!$J$2:$J$2730,N$1)</f>
        <v>0</v>
      </c>
      <c r="O128" s="183">
        <f>SUMIFS('декабрь 2025'!$G$2:$G$2730,'декабрь 2025'!$D$2:$D$2730,$B128,'декабрь 2025'!$J$2:$J$2730,O$1)</f>
        <v>0</v>
      </c>
      <c r="P128" s="183">
        <f>SUMIFS('декабрь 2025'!$G$2:$G$2730,'декабрь 2025'!$D$2:$D$2730,$B128,'декабрь 2025'!$J$2:$J$2730,P$1)</f>
        <v>0</v>
      </c>
      <c r="Q128" s="183">
        <f>SUMIFS('декабрь 2025'!$G$2:$G$2730,'декабрь 2025'!$D$2:$D$2730,$B128,'декабрь 2025'!$J$2:$J$2730,Q$1)</f>
        <v>0</v>
      </c>
      <c r="R128" s="183">
        <f>SUMIFS('декабрь 2025'!$G$2:$G$2730,'декабрь 2025'!$D$2:$D$2730,$B128,'декабрь 2025'!$J$2:$J$2730,R$1)</f>
        <v>0</v>
      </c>
      <c r="S128" s="183">
        <f>SUMIFS('декабрь 2025'!$G$2:$G$2730,'декабрь 2025'!$D$2:$D$2730,$B128,'декабрь 2025'!$J$2:$J$2730,S$1)</f>
        <v>0</v>
      </c>
      <c r="T128" s="183">
        <f>SUMIFS('декабрь 2025'!$G$2:$G$2730,'декабрь 2025'!$D$2:$D$2730,$B128,'декабрь 2025'!$J$2:$J$2730,T$1)</f>
        <v>0</v>
      </c>
      <c r="U128" s="183">
        <f>SUMIFS('декабрь 2025'!$G$2:$G$2730,'декабрь 2025'!$D$2:$D$2730,$B128,'декабрь 2025'!$J$2:$J$2730,U$1)</f>
        <v>0</v>
      </c>
      <c r="V128" s="183">
        <f>SUMIFS('декабрь 2025'!$G$2:$G$2730,'декабрь 2025'!$D$2:$D$2730,$B128,'декабрь 2025'!$J$2:$J$2730,V$1)</f>
        <v>0</v>
      </c>
      <c r="W128" s="183">
        <f>SUMIFS('декабрь 2025'!$G$2:$G$2730,'декабрь 2025'!$D$2:$D$2730,$B128,'декабрь 2025'!$J$2:$J$2730,W$1)</f>
        <v>0</v>
      </c>
      <c r="X128" s="183">
        <f>SUMIFS('декабрь 2025'!$G$2:$G$2730,'декабрь 2025'!$D$2:$D$2730,$B128,'декабрь 2025'!$J$2:$J$2730,X$1)</f>
        <v>0</v>
      </c>
      <c r="Y128" s="183">
        <f>SUMIFS('декабрь 2025'!$G$2:$G$2730,'декабрь 2025'!$D$2:$D$2730,$B128,'декабрь 2025'!$J$2:$J$2730,Y$1)</f>
        <v>0</v>
      </c>
      <c r="Z128" s="183">
        <f>SUMIFS('декабрь 2025'!$G$2:$G$2730,'декабрь 2025'!$D$2:$D$2730,$B128,'декабрь 2025'!$J$2:$J$2730,Z$1)</f>
        <v>0</v>
      </c>
      <c r="AA128" s="183">
        <f>SUMIFS('декабрь 2025'!$G$2:$G$2730,'декабрь 2025'!$D$2:$D$2730,$B128,'декабрь 2025'!$J$2:$J$2730,AA$1)</f>
        <v>0</v>
      </c>
      <c r="AB128" s="183">
        <f>SUMIFS('декабрь 2025'!$G$2:$G$2730,'декабрь 2025'!$D$2:$D$2730,$B128,'декабрь 2025'!$J$2:$J$2730,AB$1)</f>
        <v>0</v>
      </c>
      <c r="AC128" s="183">
        <f>SUMIFS('декабрь 2025'!$G$2:$G$2730,'декабрь 2025'!$D$2:$D$2730,$B128,'декабрь 2025'!$J$2:$J$2730,AC$1)</f>
        <v>0</v>
      </c>
      <c r="AD128" s="183">
        <f>SUMIFS('декабрь 2025'!$G$2:$G$2730,'декабрь 2025'!$D$2:$D$2730,$B128,'декабрь 2025'!$J$2:$J$2730,AD$1)</f>
        <v>0</v>
      </c>
      <c r="AE128" s="183">
        <f>SUMIFS('декабрь 2025'!$G$2:$G$2730,'декабрь 2025'!$D$2:$D$2730,$B128,'декабрь 2025'!$J$2:$J$2730,AE$1)</f>
        <v>0</v>
      </c>
      <c r="AF128" s="183">
        <f>SUMIFS('декабрь 2025'!$G$2:$G$2730,'декабрь 2025'!$D$2:$D$2730,$B128,'декабрь 2025'!$J$2:$J$2730,AF$1)</f>
        <v>0</v>
      </c>
      <c r="AG128" s="183">
        <f>SUMIFS('декабрь 2025'!$G$2:$G$2730,'декабрь 2025'!$D$2:$D$2730,$B128,'декабрь 2025'!$J$2:$J$2730,AG$1)</f>
        <v>0</v>
      </c>
      <c r="AH128" s="183">
        <f>SUMIFS('декабрь 2025'!$G$2:$G$2730,'декабрь 2025'!$D$2:$D$2730,$B128,'декабрь 2025'!$J$2:$J$2730,AH$1)</f>
        <v>0</v>
      </c>
      <c r="AI128" s="20">
        <f t="shared" si="1"/>
        <v>0</v>
      </c>
    </row>
    <row r="129" spans="2:35" ht="15" customHeight="1" x14ac:dyDescent="0.25">
      <c r="B129" s="88" t="s">
        <v>265</v>
      </c>
      <c r="C129" s="86">
        <v>180</v>
      </c>
      <c r="D129" s="183">
        <f>SUMIFS('декабрь 2025'!$G$2:$G$2730,'декабрь 2025'!$D$2:$D$2730,$B129,'декабрь 2025'!$J$2:$J$2730,D$1)</f>
        <v>0</v>
      </c>
      <c r="E129" s="183">
        <f>SUMIFS('декабрь 2025'!$G$2:$G$2730,'декабрь 2025'!$D$2:$D$2730,$B129,'декабрь 2025'!$J$2:$J$2730,E$1)</f>
        <v>0</v>
      </c>
      <c r="F129" s="183">
        <f>SUMIFS('декабрь 2025'!$G$2:$G$2730,'декабрь 2025'!$D$2:$D$2730,$B129,'декабрь 2025'!$J$2:$J$2730,F$1)</f>
        <v>0</v>
      </c>
      <c r="G129" s="183">
        <f>SUMIFS('декабрь 2025'!$G$2:$G$2730,'декабрь 2025'!$D$2:$D$2730,$B129,'декабрь 2025'!$J$2:$J$2730,G$1)</f>
        <v>0</v>
      </c>
      <c r="H129" s="183">
        <f>SUMIFS('декабрь 2025'!$G$2:$G$2730,'декабрь 2025'!$D$2:$D$2730,$B129,'декабрь 2025'!$J$2:$J$2730,H$1)</f>
        <v>0</v>
      </c>
      <c r="I129" s="183">
        <f>SUMIFS('декабрь 2025'!$G$2:$G$2730,'декабрь 2025'!$D$2:$D$2730,$B129,'декабрь 2025'!$J$2:$J$2730,I$1)</f>
        <v>0</v>
      </c>
      <c r="J129" s="183">
        <f>SUMIFS('декабрь 2025'!$G$2:$G$2730,'декабрь 2025'!$D$2:$D$2730,$B129,'декабрь 2025'!$J$2:$J$2730,J$1)</f>
        <v>0</v>
      </c>
      <c r="K129" s="183">
        <f>SUMIFS('декабрь 2025'!$G$2:$G$2730,'декабрь 2025'!$D$2:$D$2730,$B129,'декабрь 2025'!$J$2:$J$2730,K$1)</f>
        <v>0</v>
      </c>
      <c r="L129" s="183">
        <f>SUMIFS('декабрь 2025'!$G$2:$G$2730,'декабрь 2025'!$D$2:$D$2730,$B129,'декабрь 2025'!$J$2:$J$2730,L$1)</f>
        <v>0</v>
      </c>
      <c r="M129" s="183">
        <f>SUMIFS('декабрь 2025'!$G$2:$G$2730,'декабрь 2025'!$D$2:$D$2730,$B129,'декабрь 2025'!$J$2:$J$2730,M$1)</f>
        <v>0</v>
      </c>
      <c r="N129" s="183">
        <f>SUMIFS('декабрь 2025'!$G$2:$G$2730,'декабрь 2025'!$D$2:$D$2730,$B129,'декабрь 2025'!$J$2:$J$2730,N$1)</f>
        <v>0</v>
      </c>
      <c r="O129" s="183">
        <f>SUMIFS('декабрь 2025'!$G$2:$G$2730,'декабрь 2025'!$D$2:$D$2730,$B129,'декабрь 2025'!$J$2:$J$2730,O$1)</f>
        <v>0</v>
      </c>
      <c r="P129" s="183">
        <f>SUMIFS('декабрь 2025'!$G$2:$G$2730,'декабрь 2025'!$D$2:$D$2730,$B129,'декабрь 2025'!$J$2:$J$2730,P$1)</f>
        <v>0</v>
      </c>
      <c r="Q129" s="183">
        <f>SUMIFS('декабрь 2025'!$G$2:$G$2730,'декабрь 2025'!$D$2:$D$2730,$B129,'декабрь 2025'!$J$2:$J$2730,Q$1)</f>
        <v>0</v>
      </c>
      <c r="R129" s="183">
        <f>SUMIFS('декабрь 2025'!$G$2:$G$2730,'декабрь 2025'!$D$2:$D$2730,$B129,'декабрь 2025'!$J$2:$J$2730,R$1)</f>
        <v>0</v>
      </c>
      <c r="S129" s="183">
        <f>SUMIFS('декабрь 2025'!$G$2:$G$2730,'декабрь 2025'!$D$2:$D$2730,$B129,'декабрь 2025'!$J$2:$J$2730,S$1)</f>
        <v>0</v>
      </c>
      <c r="T129" s="183">
        <f>SUMIFS('декабрь 2025'!$G$2:$G$2730,'декабрь 2025'!$D$2:$D$2730,$B129,'декабрь 2025'!$J$2:$J$2730,T$1)</f>
        <v>0</v>
      </c>
      <c r="U129" s="183">
        <f>SUMIFS('декабрь 2025'!$G$2:$G$2730,'декабрь 2025'!$D$2:$D$2730,$B129,'декабрь 2025'!$J$2:$J$2730,U$1)</f>
        <v>0</v>
      </c>
      <c r="V129" s="183">
        <f>SUMIFS('декабрь 2025'!$G$2:$G$2730,'декабрь 2025'!$D$2:$D$2730,$B129,'декабрь 2025'!$J$2:$J$2730,V$1)</f>
        <v>0</v>
      </c>
      <c r="W129" s="183">
        <f>SUMIFS('декабрь 2025'!$G$2:$G$2730,'декабрь 2025'!$D$2:$D$2730,$B129,'декабрь 2025'!$J$2:$J$2730,W$1)</f>
        <v>0</v>
      </c>
      <c r="X129" s="183">
        <f>SUMIFS('декабрь 2025'!$G$2:$G$2730,'декабрь 2025'!$D$2:$D$2730,$B129,'декабрь 2025'!$J$2:$J$2730,X$1)</f>
        <v>0</v>
      </c>
      <c r="Y129" s="183">
        <f>SUMIFS('декабрь 2025'!$G$2:$G$2730,'декабрь 2025'!$D$2:$D$2730,$B129,'декабрь 2025'!$J$2:$J$2730,Y$1)</f>
        <v>0</v>
      </c>
      <c r="Z129" s="183">
        <f>SUMIFS('декабрь 2025'!$G$2:$G$2730,'декабрь 2025'!$D$2:$D$2730,$B129,'декабрь 2025'!$J$2:$J$2730,Z$1)</f>
        <v>0</v>
      </c>
      <c r="AA129" s="183">
        <f>SUMIFS('декабрь 2025'!$G$2:$G$2730,'декабрь 2025'!$D$2:$D$2730,$B129,'декабрь 2025'!$J$2:$J$2730,AA$1)</f>
        <v>0</v>
      </c>
      <c r="AB129" s="183">
        <f>SUMIFS('декабрь 2025'!$G$2:$G$2730,'декабрь 2025'!$D$2:$D$2730,$B129,'декабрь 2025'!$J$2:$J$2730,AB$1)</f>
        <v>0</v>
      </c>
      <c r="AC129" s="183">
        <f>SUMIFS('декабрь 2025'!$G$2:$G$2730,'декабрь 2025'!$D$2:$D$2730,$B129,'декабрь 2025'!$J$2:$J$2730,AC$1)</f>
        <v>0</v>
      </c>
      <c r="AD129" s="183">
        <f>SUMIFS('декабрь 2025'!$G$2:$G$2730,'декабрь 2025'!$D$2:$D$2730,$B129,'декабрь 2025'!$J$2:$J$2730,AD$1)</f>
        <v>0</v>
      </c>
      <c r="AE129" s="183">
        <f>SUMIFS('декабрь 2025'!$G$2:$G$2730,'декабрь 2025'!$D$2:$D$2730,$B129,'декабрь 2025'!$J$2:$J$2730,AE$1)</f>
        <v>0</v>
      </c>
      <c r="AF129" s="183">
        <f>SUMIFS('декабрь 2025'!$G$2:$G$2730,'декабрь 2025'!$D$2:$D$2730,$B129,'декабрь 2025'!$J$2:$J$2730,AF$1)</f>
        <v>0</v>
      </c>
      <c r="AG129" s="183">
        <f>SUMIFS('декабрь 2025'!$G$2:$G$2730,'декабрь 2025'!$D$2:$D$2730,$B129,'декабрь 2025'!$J$2:$J$2730,AG$1)</f>
        <v>0</v>
      </c>
      <c r="AH129" s="183">
        <f>SUMIFS('декабрь 2025'!$G$2:$G$2730,'декабрь 2025'!$D$2:$D$2730,$B129,'декабрь 2025'!$J$2:$J$2730,AH$1)</f>
        <v>0</v>
      </c>
      <c r="AI129" s="20">
        <f t="shared" si="1"/>
        <v>0</v>
      </c>
    </row>
    <row r="130" spans="2:35" ht="15" customHeight="1" x14ac:dyDescent="0.25">
      <c r="B130" s="88" t="s">
        <v>326</v>
      </c>
      <c r="C130" s="86">
        <v>200</v>
      </c>
      <c r="D130" s="183">
        <f>SUMIFS('декабрь 2025'!$G$2:$G$2730,'декабрь 2025'!$D$2:$D$2730,$B130,'декабрь 2025'!$J$2:$J$2730,D$1)</f>
        <v>0</v>
      </c>
      <c r="E130" s="183">
        <f>SUMIFS('декабрь 2025'!$G$2:$G$2730,'декабрь 2025'!$D$2:$D$2730,$B130,'декабрь 2025'!$J$2:$J$2730,E$1)</f>
        <v>0</v>
      </c>
      <c r="F130" s="183">
        <f>SUMIFS('декабрь 2025'!$G$2:$G$2730,'декабрь 2025'!$D$2:$D$2730,$B130,'декабрь 2025'!$J$2:$J$2730,F$1)</f>
        <v>0</v>
      </c>
      <c r="G130" s="183">
        <f>SUMIFS('декабрь 2025'!$G$2:$G$2730,'декабрь 2025'!$D$2:$D$2730,$B130,'декабрь 2025'!$J$2:$J$2730,G$1)</f>
        <v>0</v>
      </c>
      <c r="H130" s="183">
        <f>SUMIFS('декабрь 2025'!$G$2:$G$2730,'декабрь 2025'!$D$2:$D$2730,$B130,'декабрь 2025'!$J$2:$J$2730,H$1)</f>
        <v>0</v>
      </c>
      <c r="I130" s="183">
        <f>SUMIFS('декабрь 2025'!$G$2:$G$2730,'декабрь 2025'!$D$2:$D$2730,$B130,'декабрь 2025'!$J$2:$J$2730,I$1)</f>
        <v>0</v>
      </c>
      <c r="J130" s="183">
        <f>SUMIFS('декабрь 2025'!$G$2:$G$2730,'декабрь 2025'!$D$2:$D$2730,$B130,'декабрь 2025'!$J$2:$J$2730,J$1)</f>
        <v>0</v>
      </c>
      <c r="K130" s="183">
        <f>SUMIFS('декабрь 2025'!$G$2:$G$2730,'декабрь 2025'!$D$2:$D$2730,$B130,'декабрь 2025'!$J$2:$J$2730,K$1)</f>
        <v>0</v>
      </c>
      <c r="L130" s="183">
        <f>SUMIFS('декабрь 2025'!$G$2:$G$2730,'декабрь 2025'!$D$2:$D$2730,$B130,'декабрь 2025'!$J$2:$J$2730,L$1)</f>
        <v>0</v>
      </c>
      <c r="M130" s="183">
        <f>SUMIFS('декабрь 2025'!$G$2:$G$2730,'декабрь 2025'!$D$2:$D$2730,$B130,'декабрь 2025'!$J$2:$J$2730,M$1)</f>
        <v>0</v>
      </c>
      <c r="N130" s="183">
        <f>SUMIFS('декабрь 2025'!$G$2:$G$2730,'декабрь 2025'!$D$2:$D$2730,$B130,'декабрь 2025'!$J$2:$J$2730,N$1)</f>
        <v>0</v>
      </c>
      <c r="O130" s="183">
        <f>SUMIFS('декабрь 2025'!$G$2:$G$2730,'декабрь 2025'!$D$2:$D$2730,$B130,'декабрь 2025'!$J$2:$J$2730,O$1)</f>
        <v>0</v>
      </c>
      <c r="P130" s="183">
        <f>SUMIFS('декабрь 2025'!$G$2:$G$2730,'декабрь 2025'!$D$2:$D$2730,$B130,'декабрь 2025'!$J$2:$J$2730,P$1)</f>
        <v>0</v>
      </c>
      <c r="Q130" s="183">
        <f>SUMIFS('декабрь 2025'!$G$2:$G$2730,'декабрь 2025'!$D$2:$D$2730,$B130,'декабрь 2025'!$J$2:$J$2730,Q$1)</f>
        <v>0</v>
      </c>
      <c r="R130" s="183">
        <f>SUMIFS('декабрь 2025'!$G$2:$G$2730,'декабрь 2025'!$D$2:$D$2730,$B130,'декабрь 2025'!$J$2:$J$2730,R$1)</f>
        <v>0</v>
      </c>
      <c r="S130" s="183">
        <f>SUMIFS('декабрь 2025'!$G$2:$G$2730,'декабрь 2025'!$D$2:$D$2730,$B130,'декабрь 2025'!$J$2:$J$2730,S$1)</f>
        <v>0</v>
      </c>
      <c r="T130" s="183">
        <f>SUMIFS('декабрь 2025'!$G$2:$G$2730,'декабрь 2025'!$D$2:$D$2730,$B130,'декабрь 2025'!$J$2:$J$2730,T$1)</f>
        <v>0</v>
      </c>
      <c r="U130" s="183">
        <f>SUMIFS('декабрь 2025'!$G$2:$G$2730,'декабрь 2025'!$D$2:$D$2730,$B130,'декабрь 2025'!$J$2:$J$2730,U$1)</f>
        <v>0</v>
      </c>
      <c r="V130" s="183">
        <f>SUMIFS('декабрь 2025'!$G$2:$G$2730,'декабрь 2025'!$D$2:$D$2730,$B130,'декабрь 2025'!$J$2:$J$2730,V$1)</f>
        <v>0</v>
      </c>
      <c r="W130" s="183">
        <f>SUMIFS('декабрь 2025'!$G$2:$G$2730,'декабрь 2025'!$D$2:$D$2730,$B130,'декабрь 2025'!$J$2:$J$2730,W$1)</f>
        <v>0</v>
      </c>
      <c r="X130" s="183">
        <f>SUMIFS('декабрь 2025'!$G$2:$G$2730,'декабрь 2025'!$D$2:$D$2730,$B130,'декабрь 2025'!$J$2:$J$2730,X$1)</f>
        <v>0</v>
      </c>
      <c r="Y130" s="183">
        <f>SUMIFS('декабрь 2025'!$G$2:$G$2730,'декабрь 2025'!$D$2:$D$2730,$B130,'декабрь 2025'!$J$2:$J$2730,Y$1)</f>
        <v>0</v>
      </c>
      <c r="Z130" s="183">
        <f>SUMIFS('декабрь 2025'!$G$2:$G$2730,'декабрь 2025'!$D$2:$D$2730,$B130,'декабрь 2025'!$J$2:$J$2730,Z$1)</f>
        <v>0</v>
      </c>
      <c r="AA130" s="183">
        <f>SUMIFS('декабрь 2025'!$G$2:$G$2730,'декабрь 2025'!$D$2:$D$2730,$B130,'декабрь 2025'!$J$2:$J$2730,AA$1)</f>
        <v>0</v>
      </c>
      <c r="AB130" s="183">
        <f>SUMIFS('декабрь 2025'!$G$2:$G$2730,'декабрь 2025'!$D$2:$D$2730,$B130,'декабрь 2025'!$J$2:$J$2730,AB$1)</f>
        <v>0</v>
      </c>
      <c r="AC130" s="183">
        <f>SUMIFS('декабрь 2025'!$G$2:$G$2730,'декабрь 2025'!$D$2:$D$2730,$B130,'декабрь 2025'!$J$2:$J$2730,AC$1)</f>
        <v>0</v>
      </c>
      <c r="AD130" s="183">
        <f>SUMIFS('декабрь 2025'!$G$2:$G$2730,'декабрь 2025'!$D$2:$D$2730,$B130,'декабрь 2025'!$J$2:$J$2730,AD$1)</f>
        <v>0</v>
      </c>
      <c r="AE130" s="183">
        <f>SUMIFS('декабрь 2025'!$G$2:$G$2730,'декабрь 2025'!$D$2:$D$2730,$B130,'декабрь 2025'!$J$2:$J$2730,AE$1)</f>
        <v>0</v>
      </c>
      <c r="AF130" s="183">
        <f>SUMIFS('декабрь 2025'!$G$2:$G$2730,'декабрь 2025'!$D$2:$D$2730,$B130,'декабрь 2025'!$J$2:$J$2730,AF$1)</f>
        <v>0</v>
      </c>
      <c r="AG130" s="183">
        <f>SUMIFS('декабрь 2025'!$G$2:$G$2730,'декабрь 2025'!$D$2:$D$2730,$B130,'декабрь 2025'!$J$2:$J$2730,AG$1)</f>
        <v>0</v>
      </c>
      <c r="AH130" s="183">
        <f>SUMIFS('декабрь 2025'!$G$2:$G$2730,'декабрь 2025'!$D$2:$D$2730,$B130,'декабрь 2025'!$J$2:$J$2730,AH$1)</f>
        <v>0</v>
      </c>
      <c r="AI130" s="20">
        <f t="shared" si="1"/>
        <v>0</v>
      </c>
    </row>
    <row r="131" spans="2:35" ht="15" customHeight="1" x14ac:dyDescent="0.25">
      <c r="B131" s="88" t="s">
        <v>280</v>
      </c>
      <c r="C131" s="86">
        <v>185</v>
      </c>
      <c r="D131" s="183">
        <f>SUMIFS('декабрь 2025'!$G$2:$G$2730,'декабрь 2025'!$D$2:$D$2730,$B131,'декабрь 2025'!$J$2:$J$2730,D$1)</f>
        <v>0</v>
      </c>
      <c r="E131" s="183">
        <f>SUMIFS('декабрь 2025'!$G$2:$G$2730,'декабрь 2025'!$D$2:$D$2730,$B131,'декабрь 2025'!$J$2:$J$2730,E$1)</f>
        <v>0</v>
      </c>
      <c r="F131" s="183">
        <f>SUMIFS('декабрь 2025'!$G$2:$G$2730,'декабрь 2025'!$D$2:$D$2730,$B131,'декабрь 2025'!$J$2:$J$2730,F$1)</f>
        <v>0</v>
      </c>
      <c r="G131" s="183">
        <f>SUMIFS('декабрь 2025'!$G$2:$G$2730,'декабрь 2025'!$D$2:$D$2730,$B131,'декабрь 2025'!$J$2:$J$2730,G$1)</f>
        <v>0</v>
      </c>
      <c r="H131" s="183">
        <f>SUMIFS('декабрь 2025'!$G$2:$G$2730,'декабрь 2025'!$D$2:$D$2730,$B131,'декабрь 2025'!$J$2:$J$2730,H$1)</f>
        <v>0</v>
      </c>
      <c r="I131" s="183">
        <f>SUMIFS('декабрь 2025'!$G$2:$G$2730,'декабрь 2025'!$D$2:$D$2730,$B131,'декабрь 2025'!$J$2:$J$2730,I$1)</f>
        <v>0</v>
      </c>
      <c r="J131" s="183">
        <f>SUMIFS('декабрь 2025'!$G$2:$G$2730,'декабрь 2025'!$D$2:$D$2730,$B131,'декабрь 2025'!$J$2:$J$2730,J$1)</f>
        <v>0</v>
      </c>
      <c r="K131" s="183">
        <f>SUMIFS('декабрь 2025'!$G$2:$G$2730,'декабрь 2025'!$D$2:$D$2730,$B131,'декабрь 2025'!$J$2:$J$2730,K$1)</f>
        <v>0</v>
      </c>
      <c r="L131" s="183">
        <f>SUMIFS('декабрь 2025'!$G$2:$G$2730,'декабрь 2025'!$D$2:$D$2730,$B131,'декабрь 2025'!$J$2:$J$2730,L$1)</f>
        <v>0</v>
      </c>
      <c r="M131" s="183">
        <f>SUMIFS('декабрь 2025'!$G$2:$G$2730,'декабрь 2025'!$D$2:$D$2730,$B131,'декабрь 2025'!$J$2:$J$2730,M$1)</f>
        <v>0</v>
      </c>
      <c r="N131" s="183">
        <f>SUMIFS('декабрь 2025'!$G$2:$G$2730,'декабрь 2025'!$D$2:$D$2730,$B131,'декабрь 2025'!$J$2:$J$2730,N$1)</f>
        <v>0</v>
      </c>
      <c r="O131" s="183">
        <f>SUMIFS('декабрь 2025'!$G$2:$G$2730,'декабрь 2025'!$D$2:$D$2730,$B131,'декабрь 2025'!$J$2:$J$2730,O$1)</f>
        <v>0</v>
      </c>
      <c r="P131" s="183">
        <f>SUMIFS('декабрь 2025'!$G$2:$G$2730,'декабрь 2025'!$D$2:$D$2730,$B131,'декабрь 2025'!$J$2:$J$2730,P$1)</f>
        <v>0</v>
      </c>
      <c r="Q131" s="183">
        <f>SUMIFS('декабрь 2025'!$G$2:$G$2730,'декабрь 2025'!$D$2:$D$2730,$B131,'декабрь 2025'!$J$2:$J$2730,Q$1)</f>
        <v>0</v>
      </c>
      <c r="R131" s="183">
        <f>SUMIFS('декабрь 2025'!$G$2:$G$2730,'декабрь 2025'!$D$2:$D$2730,$B131,'декабрь 2025'!$J$2:$J$2730,R$1)</f>
        <v>0</v>
      </c>
      <c r="S131" s="183">
        <f>SUMIFS('декабрь 2025'!$G$2:$G$2730,'декабрь 2025'!$D$2:$D$2730,$B131,'декабрь 2025'!$J$2:$J$2730,S$1)</f>
        <v>0</v>
      </c>
      <c r="T131" s="183">
        <f>SUMIFS('декабрь 2025'!$G$2:$G$2730,'декабрь 2025'!$D$2:$D$2730,$B131,'декабрь 2025'!$J$2:$J$2730,T$1)</f>
        <v>0</v>
      </c>
      <c r="U131" s="183">
        <f>SUMIFS('декабрь 2025'!$G$2:$G$2730,'декабрь 2025'!$D$2:$D$2730,$B131,'декабрь 2025'!$J$2:$J$2730,U$1)</f>
        <v>0</v>
      </c>
      <c r="V131" s="183">
        <f>SUMIFS('декабрь 2025'!$G$2:$G$2730,'декабрь 2025'!$D$2:$D$2730,$B131,'декабрь 2025'!$J$2:$J$2730,V$1)</f>
        <v>0</v>
      </c>
      <c r="W131" s="183">
        <f>SUMIFS('декабрь 2025'!$G$2:$G$2730,'декабрь 2025'!$D$2:$D$2730,$B131,'декабрь 2025'!$J$2:$J$2730,W$1)</f>
        <v>0</v>
      </c>
      <c r="X131" s="183">
        <f>SUMIFS('декабрь 2025'!$G$2:$G$2730,'декабрь 2025'!$D$2:$D$2730,$B131,'декабрь 2025'!$J$2:$J$2730,X$1)</f>
        <v>0</v>
      </c>
      <c r="Y131" s="183">
        <f>SUMIFS('декабрь 2025'!$G$2:$G$2730,'декабрь 2025'!$D$2:$D$2730,$B131,'декабрь 2025'!$J$2:$J$2730,Y$1)</f>
        <v>0</v>
      </c>
      <c r="Z131" s="183">
        <f>SUMIFS('декабрь 2025'!$G$2:$G$2730,'декабрь 2025'!$D$2:$D$2730,$B131,'декабрь 2025'!$J$2:$J$2730,Z$1)</f>
        <v>0</v>
      </c>
      <c r="AA131" s="183">
        <f>SUMIFS('декабрь 2025'!$G$2:$G$2730,'декабрь 2025'!$D$2:$D$2730,$B131,'декабрь 2025'!$J$2:$J$2730,AA$1)</f>
        <v>0</v>
      </c>
      <c r="AB131" s="183">
        <f>SUMIFS('декабрь 2025'!$G$2:$G$2730,'декабрь 2025'!$D$2:$D$2730,$B131,'декабрь 2025'!$J$2:$J$2730,AB$1)</f>
        <v>0</v>
      </c>
      <c r="AC131" s="183">
        <f>SUMIFS('декабрь 2025'!$G$2:$G$2730,'декабрь 2025'!$D$2:$D$2730,$B131,'декабрь 2025'!$J$2:$J$2730,AC$1)</f>
        <v>0</v>
      </c>
      <c r="AD131" s="183">
        <f>SUMIFS('декабрь 2025'!$G$2:$G$2730,'декабрь 2025'!$D$2:$D$2730,$B131,'декабрь 2025'!$J$2:$J$2730,AD$1)</f>
        <v>0</v>
      </c>
      <c r="AE131" s="183">
        <f>SUMIFS('декабрь 2025'!$G$2:$G$2730,'декабрь 2025'!$D$2:$D$2730,$B131,'декабрь 2025'!$J$2:$J$2730,AE$1)</f>
        <v>0</v>
      </c>
      <c r="AF131" s="183">
        <f>SUMIFS('декабрь 2025'!$G$2:$G$2730,'декабрь 2025'!$D$2:$D$2730,$B131,'декабрь 2025'!$J$2:$J$2730,AF$1)</f>
        <v>0</v>
      </c>
      <c r="AG131" s="183">
        <f>SUMIFS('декабрь 2025'!$G$2:$G$2730,'декабрь 2025'!$D$2:$D$2730,$B131,'декабрь 2025'!$J$2:$J$2730,AG$1)</f>
        <v>0</v>
      </c>
      <c r="AH131" s="183">
        <f>SUMIFS('декабрь 2025'!$G$2:$G$2730,'декабрь 2025'!$D$2:$D$2730,$B131,'декабрь 2025'!$J$2:$J$2730,AH$1)</f>
        <v>0</v>
      </c>
      <c r="AI131" s="20">
        <f t="shared" si="1"/>
        <v>0</v>
      </c>
    </row>
    <row r="132" spans="2:35" ht="15" customHeight="1" x14ac:dyDescent="0.25">
      <c r="B132" s="88" t="s">
        <v>283</v>
      </c>
      <c r="C132" s="86">
        <v>185</v>
      </c>
      <c r="D132" s="183">
        <f>SUMIFS('декабрь 2025'!$G$2:$G$2730,'декабрь 2025'!$D$2:$D$2730,$B132,'декабрь 2025'!$J$2:$J$2730,D$1)</f>
        <v>0</v>
      </c>
      <c r="E132" s="183">
        <f>SUMIFS('декабрь 2025'!$G$2:$G$2730,'декабрь 2025'!$D$2:$D$2730,$B132,'декабрь 2025'!$J$2:$J$2730,E$1)</f>
        <v>0</v>
      </c>
      <c r="F132" s="183">
        <f>SUMIFS('декабрь 2025'!$G$2:$G$2730,'декабрь 2025'!$D$2:$D$2730,$B132,'декабрь 2025'!$J$2:$J$2730,F$1)</f>
        <v>0</v>
      </c>
      <c r="G132" s="183">
        <f>SUMIFS('декабрь 2025'!$G$2:$G$2730,'декабрь 2025'!$D$2:$D$2730,$B132,'декабрь 2025'!$J$2:$J$2730,G$1)</f>
        <v>0</v>
      </c>
      <c r="H132" s="183">
        <f>SUMIFS('декабрь 2025'!$G$2:$G$2730,'декабрь 2025'!$D$2:$D$2730,$B132,'декабрь 2025'!$J$2:$J$2730,H$1)</f>
        <v>0</v>
      </c>
      <c r="I132" s="183">
        <f>SUMIFS('декабрь 2025'!$G$2:$G$2730,'декабрь 2025'!$D$2:$D$2730,$B132,'декабрь 2025'!$J$2:$J$2730,I$1)</f>
        <v>0</v>
      </c>
      <c r="J132" s="183">
        <f>SUMIFS('декабрь 2025'!$G$2:$G$2730,'декабрь 2025'!$D$2:$D$2730,$B132,'декабрь 2025'!$J$2:$J$2730,J$1)</f>
        <v>0</v>
      </c>
      <c r="K132" s="183">
        <f>SUMIFS('декабрь 2025'!$G$2:$G$2730,'декабрь 2025'!$D$2:$D$2730,$B132,'декабрь 2025'!$J$2:$J$2730,K$1)</f>
        <v>0</v>
      </c>
      <c r="L132" s="183">
        <f>SUMIFS('декабрь 2025'!$G$2:$G$2730,'декабрь 2025'!$D$2:$D$2730,$B132,'декабрь 2025'!$J$2:$J$2730,L$1)</f>
        <v>0</v>
      </c>
      <c r="M132" s="183">
        <f>SUMIFS('декабрь 2025'!$G$2:$G$2730,'декабрь 2025'!$D$2:$D$2730,$B132,'декабрь 2025'!$J$2:$J$2730,M$1)</f>
        <v>0</v>
      </c>
      <c r="N132" s="183">
        <f>SUMIFS('декабрь 2025'!$G$2:$G$2730,'декабрь 2025'!$D$2:$D$2730,$B132,'декабрь 2025'!$J$2:$J$2730,N$1)</f>
        <v>0</v>
      </c>
      <c r="O132" s="183">
        <f>SUMIFS('декабрь 2025'!$G$2:$G$2730,'декабрь 2025'!$D$2:$D$2730,$B132,'декабрь 2025'!$J$2:$J$2730,O$1)</f>
        <v>0</v>
      </c>
      <c r="P132" s="183">
        <f>SUMIFS('декабрь 2025'!$G$2:$G$2730,'декабрь 2025'!$D$2:$D$2730,$B132,'декабрь 2025'!$J$2:$J$2730,P$1)</f>
        <v>0</v>
      </c>
      <c r="Q132" s="183">
        <f>SUMIFS('декабрь 2025'!$G$2:$G$2730,'декабрь 2025'!$D$2:$D$2730,$B132,'декабрь 2025'!$J$2:$J$2730,Q$1)</f>
        <v>0</v>
      </c>
      <c r="R132" s="183">
        <f>SUMIFS('декабрь 2025'!$G$2:$G$2730,'декабрь 2025'!$D$2:$D$2730,$B132,'декабрь 2025'!$J$2:$J$2730,R$1)</f>
        <v>0</v>
      </c>
      <c r="S132" s="183">
        <f>SUMIFS('декабрь 2025'!$G$2:$G$2730,'декабрь 2025'!$D$2:$D$2730,$B132,'декабрь 2025'!$J$2:$J$2730,S$1)</f>
        <v>0</v>
      </c>
      <c r="T132" s="183">
        <f>SUMIFS('декабрь 2025'!$G$2:$G$2730,'декабрь 2025'!$D$2:$D$2730,$B132,'декабрь 2025'!$J$2:$J$2730,T$1)</f>
        <v>0</v>
      </c>
      <c r="U132" s="183">
        <f>SUMIFS('декабрь 2025'!$G$2:$G$2730,'декабрь 2025'!$D$2:$D$2730,$B132,'декабрь 2025'!$J$2:$J$2730,U$1)</f>
        <v>0</v>
      </c>
      <c r="V132" s="183">
        <f>SUMIFS('декабрь 2025'!$G$2:$G$2730,'декабрь 2025'!$D$2:$D$2730,$B132,'декабрь 2025'!$J$2:$J$2730,V$1)</f>
        <v>0</v>
      </c>
      <c r="W132" s="183">
        <f>SUMIFS('декабрь 2025'!$G$2:$G$2730,'декабрь 2025'!$D$2:$D$2730,$B132,'декабрь 2025'!$J$2:$J$2730,W$1)</f>
        <v>0</v>
      </c>
      <c r="X132" s="183">
        <f>SUMIFS('декабрь 2025'!$G$2:$G$2730,'декабрь 2025'!$D$2:$D$2730,$B132,'декабрь 2025'!$J$2:$J$2730,X$1)</f>
        <v>0</v>
      </c>
      <c r="Y132" s="183">
        <f>SUMIFS('декабрь 2025'!$G$2:$G$2730,'декабрь 2025'!$D$2:$D$2730,$B132,'декабрь 2025'!$J$2:$J$2730,Y$1)</f>
        <v>0</v>
      </c>
      <c r="Z132" s="183">
        <f>SUMIFS('декабрь 2025'!$G$2:$G$2730,'декабрь 2025'!$D$2:$D$2730,$B132,'декабрь 2025'!$J$2:$J$2730,Z$1)</f>
        <v>0</v>
      </c>
      <c r="AA132" s="183">
        <f>SUMIFS('декабрь 2025'!$G$2:$G$2730,'декабрь 2025'!$D$2:$D$2730,$B132,'декабрь 2025'!$J$2:$J$2730,AA$1)</f>
        <v>0</v>
      </c>
      <c r="AB132" s="183">
        <f>SUMIFS('декабрь 2025'!$G$2:$G$2730,'декабрь 2025'!$D$2:$D$2730,$B132,'декабрь 2025'!$J$2:$J$2730,AB$1)</f>
        <v>0</v>
      </c>
      <c r="AC132" s="183">
        <f>SUMIFS('декабрь 2025'!$G$2:$G$2730,'декабрь 2025'!$D$2:$D$2730,$B132,'декабрь 2025'!$J$2:$J$2730,AC$1)</f>
        <v>0</v>
      </c>
      <c r="AD132" s="183">
        <f>SUMIFS('декабрь 2025'!$G$2:$G$2730,'декабрь 2025'!$D$2:$D$2730,$B132,'декабрь 2025'!$J$2:$J$2730,AD$1)</f>
        <v>0</v>
      </c>
      <c r="AE132" s="183">
        <f>SUMIFS('декабрь 2025'!$G$2:$G$2730,'декабрь 2025'!$D$2:$D$2730,$B132,'декабрь 2025'!$J$2:$J$2730,AE$1)</f>
        <v>0</v>
      </c>
      <c r="AF132" s="183">
        <f>SUMIFS('декабрь 2025'!$G$2:$G$2730,'декабрь 2025'!$D$2:$D$2730,$B132,'декабрь 2025'!$J$2:$J$2730,AF$1)</f>
        <v>0</v>
      </c>
      <c r="AG132" s="183">
        <f>SUMIFS('декабрь 2025'!$G$2:$G$2730,'декабрь 2025'!$D$2:$D$2730,$B132,'декабрь 2025'!$J$2:$J$2730,AG$1)</f>
        <v>0</v>
      </c>
      <c r="AH132" s="183">
        <f>SUMIFS('декабрь 2025'!$G$2:$G$2730,'декабрь 2025'!$D$2:$D$2730,$B132,'декабрь 2025'!$J$2:$J$2730,AH$1)</f>
        <v>0</v>
      </c>
      <c r="AI132" s="20">
        <f t="shared" si="1"/>
        <v>0</v>
      </c>
    </row>
    <row r="133" spans="2:35" ht="15" customHeight="1" x14ac:dyDescent="0.25">
      <c r="B133" s="88" t="s">
        <v>866</v>
      </c>
      <c r="C133" s="86">
        <v>185</v>
      </c>
      <c r="D133" s="183">
        <f>SUMIFS('декабрь 2025'!$G$2:$G$2730,'декабрь 2025'!$D$2:$D$2730,$B133,'декабрь 2025'!$J$2:$J$2730,D$1)</f>
        <v>0</v>
      </c>
      <c r="E133" s="183">
        <f>SUMIFS('декабрь 2025'!$G$2:$G$2730,'декабрь 2025'!$D$2:$D$2730,$B133,'декабрь 2025'!$J$2:$J$2730,E$1)</f>
        <v>0</v>
      </c>
      <c r="F133" s="183">
        <f>SUMIFS('декабрь 2025'!$G$2:$G$2730,'декабрь 2025'!$D$2:$D$2730,$B133,'декабрь 2025'!$J$2:$J$2730,F$1)</f>
        <v>0</v>
      </c>
      <c r="G133" s="183">
        <f>SUMIFS('декабрь 2025'!$G$2:$G$2730,'декабрь 2025'!$D$2:$D$2730,$B133,'декабрь 2025'!$J$2:$J$2730,G$1)</f>
        <v>0</v>
      </c>
      <c r="H133" s="183">
        <f>SUMIFS('декабрь 2025'!$G$2:$G$2730,'декабрь 2025'!$D$2:$D$2730,$B133,'декабрь 2025'!$J$2:$J$2730,H$1)</f>
        <v>0</v>
      </c>
      <c r="I133" s="183">
        <f>SUMIFS('декабрь 2025'!$G$2:$G$2730,'декабрь 2025'!$D$2:$D$2730,$B133,'декабрь 2025'!$J$2:$J$2730,I$1)</f>
        <v>0</v>
      </c>
      <c r="J133" s="183">
        <f>SUMIFS('декабрь 2025'!$G$2:$G$2730,'декабрь 2025'!$D$2:$D$2730,$B133,'декабрь 2025'!$J$2:$J$2730,J$1)</f>
        <v>0</v>
      </c>
      <c r="K133" s="183">
        <f>SUMIFS('декабрь 2025'!$G$2:$G$2730,'декабрь 2025'!$D$2:$D$2730,$B133,'декабрь 2025'!$J$2:$J$2730,K$1)</f>
        <v>0</v>
      </c>
      <c r="L133" s="183">
        <f>SUMIFS('декабрь 2025'!$G$2:$G$2730,'декабрь 2025'!$D$2:$D$2730,$B133,'декабрь 2025'!$J$2:$J$2730,L$1)</f>
        <v>0</v>
      </c>
      <c r="M133" s="183">
        <f>SUMIFS('декабрь 2025'!$G$2:$G$2730,'декабрь 2025'!$D$2:$D$2730,$B133,'декабрь 2025'!$J$2:$J$2730,M$1)</f>
        <v>0</v>
      </c>
      <c r="N133" s="183">
        <f>SUMIFS('декабрь 2025'!$G$2:$G$2730,'декабрь 2025'!$D$2:$D$2730,$B133,'декабрь 2025'!$J$2:$J$2730,N$1)</f>
        <v>0</v>
      </c>
      <c r="O133" s="183">
        <f>SUMIFS('декабрь 2025'!$G$2:$G$2730,'декабрь 2025'!$D$2:$D$2730,$B133,'декабрь 2025'!$J$2:$J$2730,O$1)</f>
        <v>0</v>
      </c>
      <c r="P133" s="183">
        <f>SUMIFS('декабрь 2025'!$G$2:$G$2730,'декабрь 2025'!$D$2:$D$2730,$B133,'декабрь 2025'!$J$2:$J$2730,P$1)</f>
        <v>0</v>
      </c>
      <c r="Q133" s="183">
        <f>SUMIFS('декабрь 2025'!$G$2:$G$2730,'декабрь 2025'!$D$2:$D$2730,$B133,'декабрь 2025'!$J$2:$J$2730,Q$1)</f>
        <v>0</v>
      </c>
      <c r="R133" s="183">
        <f>SUMIFS('декабрь 2025'!$G$2:$G$2730,'декабрь 2025'!$D$2:$D$2730,$B133,'декабрь 2025'!$J$2:$J$2730,R$1)</f>
        <v>0</v>
      </c>
      <c r="S133" s="183">
        <f>SUMIFS('декабрь 2025'!$G$2:$G$2730,'декабрь 2025'!$D$2:$D$2730,$B133,'декабрь 2025'!$J$2:$J$2730,S$1)</f>
        <v>0</v>
      </c>
      <c r="T133" s="183">
        <f>SUMIFS('декабрь 2025'!$G$2:$G$2730,'декабрь 2025'!$D$2:$D$2730,$B133,'декабрь 2025'!$J$2:$J$2730,T$1)</f>
        <v>0</v>
      </c>
      <c r="U133" s="183">
        <f>SUMIFS('декабрь 2025'!$G$2:$G$2730,'декабрь 2025'!$D$2:$D$2730,$B133,'декабрь 2025'!$J$2:$J$2730,U$1)</f>
        <v>0</v>
      </c>
      <c r="V133" s="183">
        <f>SUMIFS('декабрь 2025'!$G$2:$G$2730,'декабрь 2025'!$D$2:$D$2730,$B133,'декабрь 2025'!$J$2:$J$2730,V$1)</f>
        <v>0</v>
      </c>
      <c r="W133" s="183">
        <f>SUMIFS('декабрь 2025'!$G$2:$G$2730,'декабрь 2025'!$D$2:$D$2730,$B133,'декабрь 2025'!$J$2:$J$2730,W$1)</f>
        <v>0</v>
      </c>
      <c r="X133" s="183">
        <f>SUMIFS('декабрь 2025'!$G$2:$G$2730,'декабрь 2025'!$D$2:$D$2730,$B133,'декабрь 2025'!$J$2:$J$2730,X$1)</f>
        <v>0</v>
      </c>
      <c r="Y133" s="183">
        <f>SUMIFS('декабрь 2025'!$G$2:$G$2730,'декабрь 2025'!$D$2:$D$2730,$B133,'декабрь 2025'!$J$2:$J$2730,Y$1)</f>
        <v>0</v>
      </c>
      <c r="Z133" s="183">
        <f>SUMIFS('декабрь 2025'!$G$2:$G$2730,'декабрь 2025'!$D$2:$D$2730,$B133,'декабрь 2025'!$J$2:$J$2730,Z$1)</f>
        <v>0</v>
      </c>
      <c r="AA133" s="183">
        <f>SUMIFS('декабрь 2025'!$G$2:$G$2730,'декабрь 2025'!$D$2:$D$2730,$B133,'декабрь 2025'!$J$2:$J$2730,AA$1)</f>
        <v>0</v>
      </c>
      <c r="AB133" s="183">
        <f>SUMIFS('декабрь 2025'!$G$2:$G$2730,'декабрь 2025'!$D$2:$D$2730,$B133,'декабрь 2025'!$J$2:$J$2730,AB$1)</f>
        <v>0</v>
      </c>
      <c r="AC133" s="183">
        <f>SUMIFS('декабрь 2025'!$G$2:$G$2730,'декабрь 2025'!$D$2:$D$2730,$B133,'декабрь 2025'!$J$2:$J$2730,AC$1)</f>
        <v>0</v>
      </c>
      <c r="AD133" s="183">
        <f>SUMIFS('декабрь 2025'!$G$2:$G$2730,'декабрь 2025'!$D$2:$D$2730,$B133,'декабрь 2025'!$J$2:$J$2730,AD$1)</f>
        <v>0</v>
      </c>
      <c r="AE133" s="183">
        <f>SUMIFS('декабрь 2025'!$G$2:$G$2730,'декабрь 2025'!$D$2:$D$2730,$B133,'декабрь 2025'!$J$2:$J$2730,AE$1)</f>
        <v>0</v>
      </c>
      <c r="AF133" s="183">
        <f>SUMIFS('декабрь 2025'!$G$2:$G$2730,'декабрь 2025'!$D$2:$D$2730,$B133,'декабрь 2025'!$J$2:$J$2730,AF$1)</f>
        <v>0</v>
      </c>
      <c r="AG133" s="183">
        <f>SUMIFS('декабрь 2025'!$G$2:$G$2730,'декабрь 2025'!$D$2:$D$2730,$B133,'декабрь 2025'!$J$2:$J$2730,AG$1)</f>
        <v>0</v>
      </c>
      <c r="AH133" s="183">
        <f>SUMIFS('декабрь 2025'!$G$2:$G$2730,'декабрь 2025'!$D$2:$D$2730,$B133,'декабрь 2025'!$J$2:$J$2730,AH$1)</f>
        <v>0</v>
      </c>
      <c r="AI133" s="20">
        <f t="shared" si="1"/>
        <v>0</v>
      </c>
    </row>
    <row r="134" spans="2:35" ht="15" customHeight="1" x14ac:dyDescent="0.25">
      <c r="B134" s="88" t="s">
        <v>266</v>
      </c>
      <c r="C134" s="86">
        <v>180</v>
      </c>
      <c r="D134" s="183">
        <f>SUMIFS('декабрь 2025'!$G$2:$G$2730,'декабрь 2025'!$D$2:$D$2730,$B134,'декабрь 2025'!$J$2:$J$2730,D$1)</f>
        <v>0</v>
      </c>
      <c r="E134" s="183">
        <f>SUMIFS('декабрь 2025'!$G$2:$G$2730,'декабрь 2025'!$D$2:$D$2730,$B134,'декабрь 2025'!$J$2:$J$2730,E$1)</f>
        <v>0</v>
      </c>
      <c r="F134" s="183">
        <f>SUMIFS('декабрь 2025'!$G$2:$G$2730,'декабрь 2025'!$D$2:$D$2730,$B134,'декабрь 2025'!$J$2:$J$2730,F$1)</f>
        <v>0</v>
      </c>
      <c r="G134" s="183">
        <f>SUMIFS('декабрь 2025'!$G$2:$G$2730,'декабрь 2025'!$D$2:$D$2730,$B134,'декабрь 2025'!$J$2:$J$2730,G$1)</f>
        <v>0</v>
      </c>
      <c r="H134" s="183">
        <f>SUMIFS('декабрь 2025'!$G$2:$G$2730,'декабрь 2025'!$D$2:$D$2730,$B134,'декабрь 2025'!$J$2:$J$2730,H$1)</f>
        <v>0</v>
      </c>
      <c r="I134" s="183">
        <f>SUMIFS('декабрь 2025'!$G$2:$G$2730,'декабрь 2025'!$D$2:$D$2730,$B134,'декабрь 2025'!$J$2:$J$2730,I$1)</f>
        <v>0</v>
      </c>
      <c r="J134" s="183">
        <f>SUMIFS('декабрь 2025'!$G$2:$G$2730,'декабрь 2025'!$D$2:$D$2730,$B134,'декабрь 2025'!$J$2:$J$2730,J$1)</f>
        <v>0</v>
      </c>
      <c r="K134" s="183">
        <f>SUMIFS('декабрь 2025'!$G$2:$G$2730,'декабрь 2025'!$D$2:$D$2730,$B134,'декабрь 2025'!$J$2:$J$2730,K$1)</f>
        <v>0</v>
      </c>
      <c r="L134" s="183">
        <f>SUMIFS('декабрь 2025'!$G$2:$G$2730,'декабрь 2025'!$D$2:$D$2730,$B134,'декабрь 2025'!$J$2:$J$2730,L$1)</f>
        <v>0</v>
      </c>
      <c r="M134" s="183">
        <f>SUMIFS('декабрь 2025'!$G$2:$G$2730,'декабрь 2025'!$D$2:$D$2730,$B134,'декабрь 2025'!$J$2:$J$2730,M$1)</f>
        <v>0</v>
      </c>
      <c r="N134" s="183">
        <f>SUMIFS('декабрь 2025'!$G$2:$G$2730,'декабрь 2025'!$D$2:$D$2730,$B134,'декабрь 2025'!$J$2:$J$2730,N$1)</f>
        <v>0</v>
      </c>
      <c r="O134" s="183">
        <f>SUMIFS('декабрь 2025'!$G$2:$G$2730,'декабрь 2025'!$D$2:$D$2730,$B134,'декабрь 2025'!$J$2:$J$2730,O$1)</f>
        <v>0</v>
      </c>
      <c r="P134" s="183">
        <f>SUMIFS('декабрь 2025'!$G$2:$G$2730,'декабрь 2025'!$D$2:$D$2730,$B134,'декабрь 2025'!$J$2:$J$2730,P$1)</f>
        <v>0</v>
      </c>
      <c r="Q134" s="183">
        <f>SUMIFS('декабрь 2025'!$G$2:$G$2730,'декабрь 2025'!$D$2:$D$2730,$B134,'декабрь 2025'!$J$2:$J$2730,Q$1)</f>
        <v>0</v>
      </c>
      <c r="R134" s="183">
        <f>SUMIFS('декабрь 2025'!$G$2:$G$2730,'декабрь 2025'!$D$2:$D$2730,$B134,'декабрь 2025'!$J$2:$J$2730,R$1)</f>
        <v>0</v>
      </c>
      <c r="S134" s="183">
        <f>SUMIFS('декабрь 2025'!$G$2:$G$2730,'декабрь 2025'!$D$2:$D$2730,$B134,'декабрь 2025'!$J$2:$J$2730,S$1)</f>
        <v>0</v>
      </c>
      <c r="T134" s="183">
        <f>SUMIFS('декабрь 2025'!$G$2:$G$2730,'декабрь 2025'!$D$2:$D$2730,$B134,'декабрь 2025'!$J$2:$J$2730,T$1)</f>
        <v>0</v>
      </c>
      <c r="U134" s="183">
        <f>SUMIFS('декабрь 2025'!$G$2:$G$2730,'декабрь 2025'!$D$2:$D$2730,$B134,'декабрь 2025'!$J$2:$J$2730,U$1)</f>
        <v>0</v>
      </c>
      <c r="V134" s="183">
        <f>SUMIFS('декабрь 2025'!$G$2:$G$2730,'декабрь 2025'!$D$2:$D$2730,$B134,'декабрь 2025'!$J$2:$J$2730,V$1)</f>
        <v>0</v>
      </c>
      <c r="W134" s="183">
        <f>SUMIFS('декабрь 2025'!$G$2:$G$2730,'декабрь 2025'!$D$2:$D$2730,$B134,'декабрь 2025'!$J$2:$J$2730,W$1)</f>
        <v>0</v>
      </c>
      <c r="X134" s="183">
        <f>SUMIFS('декабрь 2025'!$G$2:$G$2730,'декабрь 2025'!$D$2:$D$2730,$B134,'декабрь 2025'!$J$2:$J$2730,X$1)</f>
        <v>0</v>
      </c>
      <c r="Y134" s="183">
        <f>SUMIFS('декабрь 2025'!$G$2:$G$2730,'декабрь 2025'!$D$2:$D$2730,$B134,'декабрь 2025'!$J$2:$J$2730,Y$1)</f>
        <v>0</v>
      </c>
      <c r="Z134" s="183">
        <f>SUMIFS('декабрь 2025'!$G$2:$G$2730,'декабрь 2025'!$D$2:$D$2730,$B134,'декабрь 2025'!$J$2:$J$2730,Z$1)</f>
        <v>0</v>
      </c>
      <c r="AA134" s="183">
        <f>SUMIFS('декабрь 2025'!$G$2:$G$2730,'декабрь 2025'!$D$2:$D$2730,$B134,'декабрь 2025'!$J$2:$J$2730,AA$1)</f>
        <v>0</v>
      </c>
      <c r="AB134" s="183">
        <f>SUMIFS('декабрь 2025'!$G$2:$G$2730,'декабрь 2025'!$D$2:$D$2730,$B134,'декабрь 2025'!$J$2:$J$2730,AB$1)</f>
        <v>0</v>
      </c>
      <c r="AC134" s="183">
        <f>SUMIFS('декабрь 2025'!$G$2:$G$2730,'декабрь 2025'!$D$2:$D$2730,$B134,'декабрь 2025'!$J$2:$J$2730,AC$1)</f>
        <v>0</v>
      </c>
      <c r="AD134" s="183">
        <f>SUMIFS('декабрь 2025'!$G$2:$G$2730,'декабрь 2025'!$D$2:$D$2730,$B134,'декабрь 2025'!$J$2:$J$2730,AD$1)</f>
        <v>0</v>
      </c>
      <c r="AE134" s="183">
        <f>SUMIFS('декабрь 2025'!$G$2:$G$2730,'декабрь 2025'!$D$2:$D$2730,$B134,'декабрь 2025'!$J$2:$J$2730,AE$1)</f>
        <v>0</v>
      </c>
      <c r="AF134" s="183">
        <f>SUMIFS('декабрь 2025'!$G$2:$G$2730,'декабрь 2025'!$D$2:$D$2730,$B134,'декабрь 2025'!$J$2:$J$2730,AF$1)</f>
        <v>0</v>
      </c>
      <c r="AG134" s="183">
        <f>SUMIFS('декабрь 2025'!$G$2:$G$2730,'декабрь 2025'!$D$2:$D$2730,$B134,'декабрь 2025'!$J$2:$J$2730,AG$1)</f>
        <v>0</v>
      </c>
      <c r="AH134" s="183">
        <f>SUMIFS('декабрь 2025'!$G$2:$G$2730,'декабрь 2025'!$D$2:$D$2730,$B134,'декабрь 2025'!$J$2:$J$2730,AH$1)</f>
        <v>0</v>
      </c>
      <c r="AI134" s="20">
        <f t="shared" si="1"/>
        <v>0</v>
      </c>
    </row>
    <row r="135" spans="2:35" ht="15" customHeight="1" x14ac:dyDescent="0.25">
      <c r="B135" s="88" t="s">
        <v>267</v>
      </c>
      <c r="C135" s="86">
        <v>200</v>
      </c>
      <c r="D135" s="183">
        <f>SUMIFS('декабрь 2025'!$G$2:$G$2730,'декабрь 2025'!$D$2:$D$2730,$B135,'декабрь 2025'!$J$2:$J$2730,D$1)</f>
        <v>0</v>
      </c>
      <c r="E135" s="183">
        <f>SUMIFS('декабрь 2025'!$G$2:$G$2730,'декабрь 2025'!$D$2:$D$2730,$B135,'декабрь 2025'!$J$2:$J$2730,E$1)</f>
        <v>0</v>
      </c>
      <c r="F135" s="183">
        <f>SUMIFS('декабрь 2025'!$G$2:$G$2730,'декабрь 2025'!$D$2:$D$2730,$B135,'декабрь 2025'!$J$2:$J$2730,F$1)</f>
        <v>0</v>
      </c>
      <c r="G135" s="183">
        <f>SUMIFS('декабрь 2025'!$G$2:$G$2730,'декабрь 2025'!$D$2:$D$2730,$B135,'декабрь 2025'!$J$2:$J$2730,G$1)</f>
        <v>0</v>
      </c>
      <c r="H135" s="183">
        <f>SUMIFS('декабрь 2025'!$G$2:$G$2730,'декабрь 2025'!$D$2:$D$2730,$B135,'декабрь 2025'!$J$2:$J$2730,H$1)</f>
        <v>0</v>
      </c>
      <c r="I135" s="183">
        <f>SUMIFS('декабрь 2025'!$G$2:$G$2730,'декабрь 2025'!$D$2:$D$2730,$B135,'декабрь 2025'!$J$2:$J$2730,I$1)</f>
        <v>0</v>
      </c>
      <c r="J135" s="183">
        <f>SUMIFS('декабрь 2025'!$G$2:$G$2730,'декабрь 2025'!$D$2:$D$2730,$B135,'декабрь 2025'!$J$2:$J$2730,J$1)</f>
        <v>0</v>
      </c>
      <c r="K135" s="183">
        <f>SUMIFS('декабрь 2025'!$G$2:$G$2730,'декабрь 2025'!$D$2:$D$2730,$B135,'декабрь 2025'!$J$2:$J$2730,K$1)</f>
        <v>0</v>
      </c>
      <c r="L135" s="183">
        <f>SUMIFS('декабрь 2025'!$G$2:$G$2730,'декабрь 2025'!$D$2:$D$2730,$B135,'декабрь 2025'!$J$2:$J$2730,L$1)</f>
        <v>0</v>
      </c>
      <c r="M135" s="183">
        <f>SUMIFS('декабрь 2025'!$G$2:$G$2730,'декабрь 2025'!$D$2:$D$2730,$B135,'декабрь 2025'!$J$2:$J$2730,M$1)</f>
        <v>0</v>
      </c>
      <c r="N135" s="183">
        <f>SUMIFS('декабрь 2025'!$G$2:$G$2730,'декабрь 2025'!$D$2:$D$2730,$B135,'декабрь 2025'!$J$2:$J$2730,N$1)</f>
        <v>0</v>
      </c>
      <c r="O135" s="183">
        <f>SUMIFS('декабрь 2025'!$G$2:$G$2730,'декабрь 2025'!$D$2:$D$2730,$B135,'декабрь 2025'!$J$2:$J$2730,O$1)</f>
        <v>0</v>
      </c>
      <c r="P135" s="183">
        <f>SUMIFS('декабрь 2025'!$G$2:$G$2730,'декабрь 2025'!$D$2:$D$2730,$B135,'декабрь 2025'!$J$2:$J$2730,P$1)</f>
        <v>0</v>
      </c>
      <c r="Q135" s="183">
        <f>SUMIFS('декабрь 2025'!$G$2:$G$2730,'декабрь 2025'!$D$2:$D$2730,$B135,'декабрь 2025'!$J$2:$J$2730,Q$1)</f>
        <v>0</v>
      </c>
      <c r="R135" s="183">
        <f>SUMIFS('декабрь 2025'!$G$2:$G$2730,'декабрь 2025'!$D$2:$D$2730,$B135,'декабрь 2025'!$J$2:$J$2730,R$1)</f>
        <v>0</v>
      </c>
      <c r="S135" s="183">
        <f>SUMIFS('декабрь 2025'!$G$2:$G$2730,'декабрь 2025'!$D$2:$D$2730,$B135,'декабрь 2025'!$J$2:$J$2730,S$1)</f>
        <v>0</v>
      </c>
      <c r="T135" s="183">
        <f>SUMIFS('декабрь 2025'!$G$2:$G$2730,'декабрь 2025'!$D$2:$D$2730,$B135,'декабрь 2025'!$J$2:$J$2730,T$1)</f>
        <v>0</v>
      </c>
      <c r="U135" s="183">
        <f>SUMIFS('декабрь 2025'!$G$2:$G$2730,'декабрь 2025'!$D$2:$D$2730,$B135,'декабрь 2025'!$J$2:$J$2730,U$1)</f>
        <v>0</v>
      </c>
      <c r="V135" s="183">
        <f>SUMIFS('декабрь 2025'!$G$2:$G$2730,'декабрь 2025'!$D$2:$D$2730,$B135,'декабрь 2025'!$J$2:$J$2730,V$1)</f>
        <v>0</v>
      </c>
      <c r="W135" s="183">
        <f>SUMIFS('декабрь 2025'!$G$2:$G$2730,'декабрь 2025'!$D$2:$D$2730,$B135,'декабрь 2025'!$J$2:$J$2730,W$1)</f>
        <v>0</v>
      </c>
      <c r="X135" s="183">
        <f>SUMIFS('декабрь 2025'!$G$2:$G$2730,'декабрь 2025'!$D$2:$D$2730,$B135,'декабрь 2025'!$J$2:$J$2730,X$1)</f>
        <v>0</v>
      </c>
      <c r="Y135" s="183">
        <f>SUMIFS('декабрь 2025'!$G$2:$G$2730,'декабрь 2025'!$D$2:$D$2730,$B135,'декабрь 2025'!$J$2:$J$2730,Y$1)</f>
        <v>0</v>
      </c>
      <c r="Z135" s="183">
        <f>SUMIFS('декабрь 2025'!$G$2:$G$2730,'декабрь 2025'!$D$2:$D$2730,$B135,'декабрь 2025'!$J$2:$J$2730,Z$1)</f>
        <v>0</v>
      </c>
      <c r="AA135" s="183">
        <f>SUMIFS('декабрь 2025'!$G$2:$G$2730,'декабрь 2025'!$D$2:$D$2730,$B135,'декабрь 2025'!$J$2:$J$2730,AA$1)</f>
        <v>0</v>
      </c>
      <c r="AB135" s="183">
        <f>SUMIFS('декабрь 2025'!$G$2:$G$2730,'декабрь 2025'!$D$2:$D$2730,$B135,'декабрь 2025'!$J$2:$J$2730,AB$1)</f>
        <v>0</v>
      </c>
      <c r="AC135" s="183">
        <f>SUMIFS('декабрь 2025'!$G$2:$G$2730,'декабрь 2025'!$D$2:$D$2730,$B135,'декабрь 2025'!$J$2:$J$2730,AC$1)</f>
        <v>0</v>
      </c>
      <c r="AD135" s="183">
        <f>SUMIFS('декабрь 2025'!$G$2:$G$2730,'декабрь 2025'!$D$2:$D$2730,$B135,'декабрь 2025'!$J$2:$J$2730,AD$1)</f>
        <v>0</v>
      </c>
      <c r="AE135" s="183">
        <f>SUMIFS('декабрь 2025'!$G$2:$G$2730,'декабрь 2025'!$D$2:$D$2730,$B135,'декабрь 2025'!$J$2:$J$2730,AE$1)</f>
        <v>0</v>
      </c>
      <c r="AF135" s="183">
        <f>SUMIFS('декабрь 2025'!$G$2:$G$2730,'декабрь 2025'!$D$2:$D$2730,$B135,'декабрь 2025'!$J$2:$J$2730,AF$1)</f>
        <v>0</v>
      </c>
      <c r="AG135" s="183">
        <f>SUMIFS('декабрь 2025'!$G$2:$G$2730,'декабрь 2025'!$D$2:$D$2730,$B135,'декабрь 2025'!$J$2:$J$2730,AG$1)</f>
        <v>0</v>
      </c>
      <c r="AH135" s="183">
        <f>SUMIFS('декабрь 2025'!$G$2:$G$2730,'декабрь 2025'!$D$2:$D$2730,$B135,'декабрь 2025'!$J$2:$J$2730,AH$1)</f>
        <v>0</v>
      </c>
      <c r="AI135" s="20">
        <f t="shared" si="1"/>
        <v>0</v>
      </c>
    </row>
    <row r="136" spans="2:35" ht="15" customHeight="1" x14ac:dyDescent="0.25">
      <c r="B136" s="84" t="s">
        <v>163</v>
      </c>
      <c r="C136" s="83">
        <v>950</v>
      </c>
      <c r="D136" s="183">
        <f>SUMIFS('декабрь 2025'!$G$2:$G$2730,'декабрь 2025'!$D$2:$D$2730,$B136,'декабрь 2025'!$J$2:$J$2730,D$1)</f>
        <v>0</v>
      </c>
      <c r="E136" s="183">
        <f>SUMIFS('декабрь 2025'!$G$2:$G$2730,'декабрь 2025'!$D$2:$D$2730,$B136,'декабрь 2025'!$J$2:$J$2730,E$1)</f>
        <v>0</v>
      </c>
      <c r="F136" s="183">
        <f>SUMIFS('декабрь 2025'!$G$2:$G$2730,'декабрь 2025'!$D$2:$D$2730,$B136,'декабрь 2025'!$J$2:$J$2730,F$1)</f>
        <v>0</v>
      </c>
      <c r="G136" s="183">
        <f>SUMIFS('декабрь 2025'!$G$2:$G$2730,'декабрь 2025'!$D$2:$D$2730,$B136,'декабрь 2025'!$J$2:$J$2730,G$1)</f>
        <v>0</v>
      </c>
      <c r="H136" s="183">
        <f>SUMIFS('декабрь 2025'!$G$2:$G$2730,'декабрь 2025'!$D$2:$D$2730,$B136,'декабрь 2025'!$J$2:$J$2730,H$1)</f>
        <v>0</v>
      </c>
      <c r="I136" s="183">
        <f>SUMIFS('декабрь 2025'!$G$2:$G$2730,'декабрь 2025'!$D$2:$D$2730,$B136,'декабрь 2025'!$J$2:$J$2730,I$1)</f>
        <v>0</v>
      </c>
      <c r="J136" s="183">
        <f>SUMIFS('декабрь 2025'!$G$2:$G$2730,'декабрь 2025'!$D$2:$D$2730,$B136,'декабрь 2025'!$J$2:$J$2730,J$1)</f>
        <v>0</v>
      </c>
      <c r="K136" s="183">
        <f>SUMIFS('декабрь 2025'!$G$2:$G$2730,'декабрь 2025'!$D$2:$D$2730,$B136,'декабрь 2025'!$J$2:$J$2730,K$1)</f>
        <v>0</v>
      </c>
      <c r="L136" s="183">
        <f>SUMIFS('декабрь 2025'!$G$2:$G$2730,'декабрь 2025'!$D$2:$D$2730,$B136,'декабрь 2025'!$J$2:$J$2730,L$1)</f>
        <v>0</v>
      </c>
      <c r="M136" s="183">
        <f>SUMIFS('декабрь 2025'!$G$2:$G$2730,'декабрь 2025'!$D$2:$D$2730,$B136,'декабрь 2025'!$J$2:$J$2730,M$1)</f>
        <v>0</v>
      </c>
      <c r="N136" s="183">
        <f>SUMIFS('декабрь 2025'!$G$2:$G$2730,'декабрь 2025'!$D$2:$D$2730,$B136,'декабрь 2025'!$J$2:$J$2730,N$1)</f>
        <v>0</v>
      </c>
      <c r="O136" s="183">
        <f>SUMIFS('декабрь 2025'!$G$2:$G$2730,'декабрь 2025'!$D$2:$D$2730,$B136,'декабрь 2025'!$J$2:$J$2730,O$1)</f>
        <v>0</v>
      </c>
      <c r="P136" s="183">
        <f>SUMIFS('декабрь 2025'!$G$2:$G$2730,'декабрь 2025'!$D$2:$D$2730,$B136,'декабрь 2025'!$J$2:$J$2730,P$1)</f>
        <v>0</v>
      </c>
      <c r="Q136" s="183">
        <f>SUMIFS('декабрь 2025'!$G$2:$G$2730,'декабрь 2025'!$D$2:$D$2730,$B136,'декабрь 2025'!$J$2:$J$2730,Q$1)</f>
        <v>0</v>
      </c>
      <c r="R136" s="183">
        <f>SUMIFS('декабрь 2025'!$G$2:$G$2730,'декабрь 2025'!$D$2:$D$2730,$B136,'декабрь 2025'!$J$2:$J$2730,R$1)</f>
        <v>0</v>
      </c>
      <c r="S136" s="183">
        <f>SUMIFS('декабрь 2025'!$G$2:$G$2730,'декабрь 2025'!$D$2:$D$2730,$B136,'декабрь 2025'!$J$2:$J$2730,S$1)</f>
        <v>0</v>
      </c>
      <c r="T136" s="183">
        <f>SUMIFS('декабрь 2025'!$G$2:$G$2730,'декабрь 2025'!$D$2:$D$2730,$B136,'декабрь 2025'!$J$2:$J$2730,T$1)</f>
        <v>0</v>
      </c>
      <c r="U136" s="183">
        <f>SUMIFS('декабрь 2025'!$G$2:$G$2730,'декабрь 2025'!$D$2:$D$2730,$B136,'декабрь 2025'!$J$2:$J$2730,U$1)</f>
        <v>0</v>
      </c>
      <c r="V136" s="183">
        <f>SUMIFS('декабрь 2025'!$G$2:$G$2730,'декабрь 2025'!$D$2:$D$2730,$B136,'декабрь 2025'!$J$2:$J$2730,V$1)</f>
        <v>0</v>
      </c>
      <c r="W136" s="183">
        <f>SUMIFS('декабрь 2025'!$G$2:$G$2730,'декабрь 2025'!$D$2:$D$2730,$B136,'декабрь 2025'!$J$2:$J$2730,W$1)</f>
        <v>0</v>
      </c>
      <c r="X136" s="183">
        <f>SUMIFS('декабрь 2025'!$G$2:$G$2730,'декабрь 2025'!$D$2:$D$2730,$B136,'декабрь 2025'!$J$2:$J$2730,X$1)</f>
        <v>0</v>
      </c>
      <c r="Y136" s="183">
        <f>SUMIFS('декабрь 2025'!$G$2:$G$2730,'декабрь 2025'!$D$2:$D$2730,$B136,'декабрь 2025'!$J$2:$J$2730,Y$1)</f>
        <v>0</v>
      </c>
      <c r="Z136" s="183">
        <f>SUMIFS('декабрь 2025'!$G$2:$G$2730,'декабрь 2025'!$D$2:$D$2730,$B136,'декабрь 2025'!$J$2:$J$2730,Z$1)</f>
        <v>0</v>
      </c>
      <c r="AA136" s="183">
        <f>SUMIFS('декабрь 2025'!$G$2:$G$2730,'декабрь 2025'!$D$2:$D$2730,$B136,'декабрь 2025'!$J$2:$J$2730,AA$1)</f>
        <v>0</v>
      </c>
      <c r="AB136" s="183">
        <f>SUMIFS('декабрь 2025'!$G$2:$G$2730,'декабрь 2025'!$D$2:$D$2730,$B136,'декабрь 2025'!$J$2:$J$2730,AB$1)</f>
        <v>0</v>
      </c>
      <c r="AC136" s="183">
        <f>SUMIFS('декабрь 2025'!$G$2:$G$2730,'декабрь 2025'!$D$2:$D$2730,$B136,'декабрь 2025'!$J$2:$J$2730,AC$1)</f>
        <v>0</v>
      </c>
      <c r="AD136" s="183">
        <f>SUMIFS('декабрь 2025'!$G$2:$G$2730,'декабрь 2025'!$D$2:$D$2730,$B136,'декабрь 2025'!$J$2:$J$2730,AD$1)</f>
        <v>0</v>
      </c>
      <c r="AE136" s="183">
        <f>SUMIFS('декабрь 2025'!$G$2:$G$2730,'декабрь 2025'!$D$2:$D$2730,$B136,'декабрь 2025'!$J$2:$J$2730,AE$1)</f>
        <v>0</v>
      </c>
      <c r="AF136" s="183">
        <f>SUMIFS('декабрь 2025'!$G$2:$G$2730,'декабрь 2025'!$D$2:$D$2730,$B136,'декабрь 2025'!$J$2:$J$2730,AF$1)</f>
        <v>0</v>
      </c>
      <c r="AG136" s="183">
        <f>SUMIFS('декабрь 2025'!$G$2:$G$2730,'декабрь 2025'!$D$2:$D$2730,$B136,'декабрь 2025'!$J$2:$J$2730,AG$1)</f>
        <v>0</v>
      </c>
      <c r="AH136" s="183">
        <f>SUMIFS('декабрь 2025'!$G$2:$G$2730,'декабрь 2025'!$D$2:$D$2730,$B136,'декабрь 2025'!$J$2:$J$2730,AH$1)</f>
        <v>0</v>
      </c>
      <c r="AI136" s="20">
        <f t="shared" si="1"/>
        <v>0</v>
      </c>
    </row>
    <row r="137" spans="2:35" ht="15" customHeight="1" x14ac:dyDescent="0.25">
      <c r="B137" s="84" t="s">
        <v>183</v>
      </c>
      <c r="C137" s="83">
        <v>180</v>
      </c>
      <c r="D137" s="183">
        <f>SUMIFS('декабрь 2025'!$G$2:$G$2730,'декабрь 2025'!$D$2:$D$2730,$B137,'декабрь 2025'!$J$2:$J$2730,D$1)</f>
        <v>0</v>
      </c>
      <c r="E137" s="183">
        <f>SUMIFS('декабрь 2025'!$G$2:$G$2730,'декабрь 2025'!$D$2:$D$2730,$B137,'декабрь 2025'!$J$2:$J$2730,E$1)</f>
        <v>0</v>
      </c>
      <c r="F137" s="183">
        <f>SUMIFS('декабрь 2025'!$G$2:$G$2730,'декабрь 2025'!$D$2:$D$2730,$B137,'декабрь 2025'!$J$2:$J$2730,F$1)</f>
        <v>0</v>
      </c>
      <c r="G137" s="183">
        <f>SUMIFS('декабрь 2025'!$G$2:$G$2730,'декабрь 2025'!$D$2:$D$2730,$B137,'декабрь 2025'!$J$2:$J$2730,G$1)</f>
        <v>0</v>
      </c>
      <c r="H137" s="183">
        <f>SUMIFS('декабрь 2025'!$G$2:$G$2730,'декабрь 2025'!$D$2:$D$2730,$B137,'декабрь 2025'!$J$2:$J$2730,H$1)</f>
        <v>0</v>
      </c>
      <c r="I137" s="183">
        <f>SUMIFS('декабрь 2025'!$G$2:$G$2730,'декабрь 2025'!$D$2:$D$2730,$B137,'декабрь 2025'!$J$2:$J$2730,I$1)</f>
        <v>0</v>
      </c>
      <c r="J137" s="183">
        <f>SUMIFS('декабрь 2025'!$G$2:$G$2730,'декабрь 2025'!$D$2:$D$2730,$B137,'декабрь 2025'!$J$2:$J$2730,J$1)</f>
        <v>0</v>
      </c>
      <c r="K137" s="183">
        <f>SUMIFS('декабрь 2025'!$G$2:$G$2730,'декабрь 2025'!$D$2:$D$2730,$B137,'декабрь 2025'!$J$2:$J$2730,K$1)</f>
        <v>0</v>
      </c>
      <c r="L137" s="183">
        <f>SUMIFS('декабрь 2025'!$G$2:$G$2730,'декабрь 2025'!$D$2:$D$2730,$B137,'декабрь 2025'!$J$2:$J$2730,L$1)</f>
        <v>0</v>
      </c>
      <c r="M137" s="183">
        <f>SUMIFS('декабрь 2025'!$G$2:$G$2730,'декабрь 2025'!$D$2:$D$2730,$B137,'декабрь 2025'!$J$2:$J$2730,M$1)</f>
        <v>0</v>
      </c>
      <c r="N137" s="183">
        <f>SUMIFS('декабрь 2025'!$G$2:$G$2730,'декабрь 2025'!$D$2:$D$2730,$B137,'декабрь 2025'!$J$2:$J$2730,N$1)</f>
        <v>0</v>
      </c>
      <c r="O137" s="183">
        <f>SUMIFS('декабрь 2025'!$G$2:$G$2730,'декабрь 2025'!$D$2:$D$2730,$B137,'декабрь 2025'!$J$2:$J$2730,O$1)</f>
        <v>0</v>
      </c>
      <c r="P137" s="183">
        <f>SUMIFS('декабрь 2025'!$G$2:$G$2730,'декабрь 2025'!$D$2:$D$2730,$B137,'декабрь 2025'!$J$2:$J$2730,P$1)</f>
        <v>0</v>
      </c>
      <c r="Q137" s="183">
        <f>SUMIFS('декабрь 2025'!$G$2:$G$2730,'декабрь 2025'!$D$2:$D$2730,$B137,'декабрь 2025'!$J$2:$J$2730,Q$1)</f>
        <v>0</v>
      </c>
      <c r="R137" s="183">
        <f>SUMIFS('декабрь 2025'!$G$2:$G$2730,'декабрь 2025'!$D$2:$D$2730,$B137,'декабрь 2025'!$J$2:$J$2730,R$1)</f>
        <v>0</v>
      </c>
      <c r="S137" s="183">
        <f>SUMIFS('декабрь 2025'!$G$2:$G$2730,'декабрь 2025'!$D$2:$D$2730,$B137,'декабрь 2025'!$J$2:$J$2730,S$1)</f>
        <v>0</v>
      </c>
      <c r="T137" s="183">
        <f>SUMIFS('декабрь 2025'!$G$2:$G$2730,'декабрь 2025'!$D$2:$D$2730,$B137,'декабрь 2025'!$J$2:$J$2730,T$1)</f>
        <v>0</v>
      </c>
      <c r="U137" s="183">
        <f>SUMIFS('декабрь 2025'!$G$2:$G$2730,'декабрь 2025'!$D$2:$D$2730,$B137,'декабрь 2025'!$J$2:$J$2730,U$1)</f>
        <v>0</v>
      </c>
      <c r="V137" s="183">
        <f>SUMIFS('декабрь 2025'!$G$2:$G$2730,'декабрь 2025'!$D$2:$D$2730,$B137,'декабрь 2025'!$J$2:$J$2730,V$1)</f>
        <v>0</v>
      </c>
      <c r="W137" s="183">
        <f>SUMIFS('декабрь 2025'!$G$2:$G$2730,'декабрь 2025'!$D$2:$D$2730,$B137,'декабрь 2025'!$J$2:$J$2730,W$1)</f>
        <v>0</v>
      </c>
      <c r="X137" s="183">
        <f>SUMIFS('декабрь 2025'!$G$2:$G$2730,'декабрь 2025'!$D$2:$D$2730,$B137,'декабрь 2025'!$J$2:$J$2730,X$1)</f>
        <v>0</v>
      </c>
      <c r="Y137" s="183">
        <f>SUMIFS('декабрь 2025'!$G$2:$G$2730,'декабрь 2025'!$D$2:$D$2730,$B137,'декабрь 2025'!$J$2:$J$2730,Y$1)</f>
        <v>0</v>
      </c>
      <c r="Z137" s="183">
        <f>SUMIFS('декабрь 2025'!$G$2:$G$2730,'декабрь 2025'!$D$2:$D$2730,$B137,'декабрь 2025'!$J$2:$J$2730,Z$1)</f>
        <v>0</v>
      </c>
      <c r="AA137" s="183">
        <f>SUMIFS('декабрь 2025'!$G$2:$G$2730,'декабрь 2025'!$D$2:$D$2730,$B137,'декабрь 2025'!$J$2:$J$2730,AA$1)</f>
        <v>0</v>
      </c>
      <c r="AB137" s="183">
        <f>SUMIFS('декабрь 2025'!$G$2:$G$2730,'декабрь 2025'!$D$2:$D$2730,$B137,'декабрь 2025'!$J$2:$J$2730,AB$1)</f>
        <v>0</v>
      </c>
      <c r="AC137" s="183">
        <f>SUMIFS('декабрь 2025'!$G$2:$G$2730,'декабрь 2025'!$D$2:$D$2730,$B137,'декабрь 2025'!$J$2:$J$2730,AC$1)</f>
        <v>0</v>
      </c>
      <c r="AD137" s="183">
        <f>SUMIFS('декабрь 2025'!$G$2:$G$2730,'декабрь 2025'!$D$2:$D$2730,$B137,'декабрь 2025'!$J$2:$J$2730,AD$1)</f>
        <v>0</v>
      </c>
      <c r="AE137" s="183">
        <f>SUMIFS('декабрь 2025'!$G$2:$G$2730,'декабрь 2025'!$D$2:$D$2730,$B137,'декабрь 2025'!$J$2:$J$2730,AE$1)</f>
        <v>0</v>
      </c>
      <c r="AF137" s="183">
        <f>SUMIFS('декабрь 2025'!$G$2:$G$2730,'декабрь 2025'!$D$2:$D$2730,$B137,'декабрь 2025'!$J$2:$J$2730,AF$1)</f>
        <v>0</v>
      </c>
      <c r="AG137" s="183">
        <f>SUMIFS('декабрь 2025'!$G$2:$G$2730,'декабрь 2025'!$D$2:$D$2730,$B137,'декабрь 2025'!$J$2:$J$2730,AG$1)</f>
        <v>0</v>
      </c>
      <c r="AH137" s="183">
        <f>SUMIFS('декабрь 2025'!$G$2:$G$2730,'декабрь 2025'!$D$2:$D$2730,$B137,'декабрь 2025'!$J$2:$J$2730,AH$1)</f>
        <v>0</v>
      </c>
      <c r="AI137" s="20">
        <f t="shared" si="1"/>
        <v>0</v>
      </c>
    </row>
    <row r="138" spans="2:35" ht="15" customHeight="1" x14ac:dyDescent="0.25">
      <c r="B138" s="84" t="s">
        <v>305</v>
      </c>
      <c r="C138" s="83">
        <v>180</v>
      </c>
      <c r="D138" s="183">
        <f>SUMIFS('декабрь 2025'!$G$2:$G$2730,'декабрь 2025'!$D$2:$D$2730,$B138,'декабрь 2025'!$J$2:$J$2730,D$1)</f>
        <v>0</v>
      </c>
      <c r="E138" s="183">
        <f>SUMIFS('декабрь 2025'!$G$2:$G$2730,'декабрь 2025'!$D$2:$D$2730,$B138,'декабрь 2025'!$J$2:$J$2730,E$1)</f>
        <v>0</v>
      </c>
      <c r="F138" s="183">
        <f>SUMIFS('декабрь 2025'!$G$2:$G$2730,'декабрь 2025'!$D$2:$D$2730,$B138,'декабрь 2025'!$J$2:$J$2730,F$1)</f>
        <v>0</v>
      </c>
      <c r="G138" s="183">
        <f>SUMIFS('декабрь 2025'!$G$2:$G$2730,'декабрь 2025'!$D$2:$D$2730,$B138,'декабрь 2025'!$J$2:$J$2730,G$1)</f>
        <v>0</v>
      </c>
      <c r="H138" s="183">
        <f>SUMIFS('декабрь 2025'!$G$2:$G$2730,'декабрь 2025'!$D$2:$D$2730,$B138,'декабрь 2025'!$J$2:$J$2730,H$1)</f>
        <v>0</v>
      </c>
      <c r="I138" s="183">
        <f>SUMIFS('декабрь 2025'!$G$2:$G$2730,'декабрь 2025'!$D$2:$D$2730,$B138,'декабрь 2025'!$J$2:$J$2730,I$1)</f>
        <v>0</v>
      </c>
      <c r="J138" s="183">
        <f>SUMIFS('декабрь 2025'!$G$2:$G$2730,'декабрь 2025'!$D$2:$D$2730,$B138,'декабрь 2025'!$J$2:$J$2730,J$1)</f>
        <v>0</v>
      </c>
      <c r="K138" s="183">
        <f>SUMIFS('декабрь 2025'!$G$2:$G$2730,'декабрь 2025'!$D$2:$D$2730,$B138,'декабрь 2025'!$J$2:$J$2730,K$1)</f>
        <v>0</v>
      </c>
      <c r="L138" s="183">
        <f>SUMIFS('декабрь 2025'!$G$2:$G$2730,'декабрь 2025'!$D$2:$D$2730,$B138,'декабрь 2025'!$J$2:$J$2730,L$1)</f>
        <v>0</v>
      </c>
      <c r="M138" s="183">
        <f>SUMIFS('декабрь 2025'!$G$2:$G$2730,'декабрь 2025'!$D$2:$D$2730,$B138,'декабрь 2025'!$J$2:$J$2730,M$1)</f>
        <v>0</v>
      </c>
      <c r="N138" s="183">
        <f>SUMIFS('декабрь 2025'!$G$2:$G$2730,'декабрь 2025'!$D$2:$D$2730,$B138,'декабрь 2025'!$J$2:$J$2730,N$1)</f>
        <v>0</v>
      </c>
      <c r="O138" s="183">
        <f>SUMIFS('декабрь 2025'!$G$2:$G$2730,'декабрь 2025'!$D$2:$D$2730,$B138,'декабрь 2025'!$J$2:$J$2730,O$1)</f>
        <v>0</v>
      </c>
      <c r="P138" s="183">
        <f>SUMIFS('декабрь 2025'!$G$2:$G$2730,'декабрь 2025'!$D$2:$D$2730,$B138,'декабрь 2025'!$J$2:$J$2730,P$1)</f>
        <v>0</v>
      </c>
      <c r="Q138" s="183">
        <f>SUMIFS('декабрь 2025'!$G$2:$G$2730,'декабрь 2025'!$D$2:$D$2730,$B138,'декабрь 2025'!$J$2:$J$2730,Q$1)</f>
        <v>0</v>
      </c>
      <c r="R138" s="183">
        <f>SUMIFS('декабрь 2025'!$G$2:$G$2730,'декабрь 2025'!$D$2:$D$2730,$B138,'декабрь 2025'!$J$2:$J$2730,R$1)</f>
        <v>0</v>
      </c>
      <c r="S138" s="183">
        <f>SUMIFS('декабрь 2025'!$G$2:$G$2730,'декабрь 2025'!$D$2:$D$2730,$B138,'декабрь 2025'!$J$2:$J$2730,S$1)</f>
        <v>0</v>
      </c>
      <c r="T138" s="183">
        <f>SUMIFS('декабрь 2025'!$G$2:$G$2730,'декабрь 2025'!$D$2:$D$2730,$B138,'декабрь 2025'!$J$2:$J$2730,T$1)</f>
        <v>0</v>
      </c>
      <c r="U138" s="183">
        <f>SUMIFS('декабрь 2025'!$G$2:$G$2730,'декабрь 2025'!$D$2:$D$2730,$B138,'декабрь 2025'!$J$2:$J$2730,U$1)</f>
        <v>0</v>
      </c>
      <c r="V138" s="183">
        <f>SUMIFS('декабрь 2025'!$G$2:$G$2730,'декабрь 2025'!$D$2:$D$2730,$B138,'декабрь 2025'!$J$2:$J$2730,V$1)</f>
        <v>0</v>
      </c>
      <c r="W138" s="183">
        <f>SUMIFS('декабрь 2025'!$G$2:$G$2730,'декабрь 2025'!$D$2:$D$2730,$B138,'декабрь 2025'!$J$2:$J$2730,W$1)</f>
        <v>0</v>
      </c>
      <c r="X138" s="183">
        <f>SUMIFS('декабрь 2025'!$G$2:$G$2730,'декабрь 2025'!$D$2:$D$2730,$B138,'декабрь 2025'!$J$2:$J$2730,X$1)</f>
        <v>0</v>
      </c>
      <c r="Y138" s="183">
        <f>SUMIFS('декабрь 2025'!$G$2:$G$2730,'декабрь 2025'!$D$2:$D$2730,$B138,'декабрь 2025'!$J$2:$J$2730,Y$1)</f>
        <v>0</v>
      </c>
      <c r="Z138" s="183">
        <f>SUMIFS('декабрь 2025'!$G$2:$G$2730,'декабрь 2025'!$D$2:$D$2730,$B138,'декабрь 2025'!$J$2:$J$2730,Z$1)</f>
        <v>0</v>
      </c>
      <c r="AA138" s="183">
        <f>SUMIFS('декабрь 2025'!$G$2:$G$2730,'декабрь 2025'!$D$2:$D$2730,$B138,'декабрь 2025'!$J$2:$J$2730,AA$1)</f>
        <v>0</v>
      </c>
      <c r="AB138" s="183">
        <f>SUMIFS('декабрь 2025'!$G$2:$G$2730,'декабрь 2025'!$D$2:$D$2730,$B138,'декабрь 2025'!$J$2:$J$2730,AB$1)</f>
        <v>0</v>
      </c>
      <c r="AC138" s="183">
        <f>SUMIFS('декабрь 2025'!$G$2:$G$2730,'декабрь 2025'!$D$2:$D$2730,$B138,'декабрь 2025'!$J$2:$J$2730,AC$1)</f>
        <v>0</v>
      </c>
      <c r="AD138" s="183">
        <f>SUMIFS('декабрь 2025'!$G$2:$G$2730,'декабрь 2025'!$D$2:$D$2730,$B138,'декабрь 2025'!$J$2:$J$2730,AD$1)</f>
        <v>0</v>
      </c>
      <c r="AE138" s="183">
        <f>SUMIFS('декабрь 2025'!$G$2:$G$2730,'декабрь 2025'!$D$2:$D$2730,$B138,'декабрь 2025'!$J$2:$J$2730,AE$1)</f>
        <v>0</v>
      </c>
      <c r="AF138" s="183">
        <f>SUMIFS('декабрь 2025'!$G$2:$G$2730,'декабрь 2025'!$D$2:$D$2730,$B138,'декабрь 2025'!$J$2:$J$2730,AF$1)</f>
        <v>0</v>
      </c>
      <c r="AG138" s="183">
        <f>SUMIFS('декабрь 2025'!$G$2:$G$2730,'декабрь 2025'!$D$2:$D$2730,$B138,'декабрь 2025'!$J$2:$J$2730,AG$1)</f>
        <v>0</v>
      </c>
      <c r="AH138" s="183">
        <f>SUMIFS('декабрь 2025'!$G$2:$G$2730,'декабрь 2025'!$D$2:$D$2730,$B138,'декабрь 2025'!$J$2:$J$2730,AH$1)</f>
        <v>0</v>
      </c>
      <c r="AI138" s="20"/>
    </row>
    <row r="139" spans="2:35" ht="15" customHeight="1" x14ac:dyDescent="0.25">
      <c r="B139" s="84" t="s">
        <v>171</v>
      </c>
      <c r="C139" s="83">
        <v>200</v>
      </c>
      <c r="D139" s="183">
        <f>SUMIFS('декабрь 2025'!$G$2:$G$2730,'декабрь 2025'!$D$2:$D$2730,$B139,'декабрь 2025'!$J$2:$J$2730,D$1)</f>
        <v>0</v>
      </c>
      <c r="E139" s="183">
        <f>SUMIFS('декабрь 2025'!$G$2:$G$2730,'декабрь 2025'!$D$2:$D$2730,$B139,'декабрь 2025'!$J$2:$J$2730,E$1)</f>
        <v>0</v>
      </c>
      <c r="F139" s="183">
        <f>SUMIFS('декабрь 2025'!$G$2:$G$2730,'декабрь 2025'!$D$2:$D$2730,$B139,'декабрь 2025'!$J$2:$J$2730,F$1)</f>
        <v>0</v>
      </c>
      <c r="G139" s="183">
        <f>SUMIFS('декабрь 2025'!$G$2:$G$2730,'декабрь 2025'!$D$2:$D$2730,$B139,'декабрь 2025'!$J$2:$J$2730,G$1)</f>
        <v>0</v>
      </c>
      <c r="H139" s="183">
        <f>SUMIFS('декабрь 2025'!$G$2:$G$2730,'декабрь 2025'!$D$2:$D$2730,$B139,'декабрь 2025'!$J$2:$J$2730,H$1)</f>
        <v>0</v>
      </c>
      <c r="I139" s="183">
        <f>SUMIFS('декабрь 2025'!$G$2:$G$2730,'декабрь 2025'!$D$2:$D$2730,$B139,'декабрь 2025'!$J$2:$J$2730,I$1)</f>
        <v>0</v>
      </c>
      <c r="J139" s="183">
        <f>SUMIFS('декабрь 2025'!$G$2:$G$2730,'декабрь 2025'!$D$2:$D$2730,$B139,'декабрь 2025'!$J$2:$J$2730,J$1)</f>
        <v>0</v>
      </c>
      <c r="K139" s="183">
        <f>SUMIFS('декабрь 2025'!$G$2:$G$2730,'декабрь 2025'!$D$2:$D$2730,$B139,'декабрь 2025'!$J$2:$J$2730,K$1)</f>
        <v>0</v>
      </c>
      <c r="L139" s="183">
        <f>SUMIFS('декабрь 2025'!$G$2:$G$2730,'декабрь 2025'!$D$2:$D$2730,$B139,'декабрь 2025'!$J$2:$J$2730,L$1)</f>
        <v>0</v>
      </c>
      <c r="M139" s="183">
        <f>SUMIFS('декабрь 2025'!$G$2:$G$2730,'декабрь 2025'!$D$2:$D$2730,$B139,'декабрь 2025'!$J$2:$J$2730,M$1)</f>
        <v>0</v>
      </c>
      <c r="N139" s="183">
        <f>SUMIFS('декабрь 2025'!$G$2:$G$2730,'декабрь 2025'!$D$2:$D$2730,$B139,'декабрь 2025'!$J$2:$J$2730,N$1)</f>
        <v>0</v>
      </c>
      <c r="O139" s="183">
        <f>SUMIFS('декабрь 2025'!$G$2:$G$2730,'декабрь 2025'!$D$2:$D$2730,$B139,'декабрь 2025'!$J$2:$J$2730,O$1)</f>
        <v>0</v>
      </c>
      <c r="P139" s="183">
        <f>SUMIFS('декабрь 2025'!$G$2:$G$2730,'декабрь 2025'!$D$2:$D$2730,$B139,'декабрь 2025'!$J$2:$J$2730,P$1)</f>
        <v>0</v>
      </c>
      <c r="Q139" s="183">
        <f>SUMIFS('декабрь 2025'!$G$2:$G$2730,'декабрь 2025'!$D$2:$D$2730,$B139,'декабрь 2025'!$J$2:$J$2730,Q$1)</f>
        <v>0</v>
      </c>
      <c r="R139" s="183">
        <f>SUMIFS('декабрь 2025'!$G$2:$G$2730,'декабрь 2025'!$D$2:$D$2730,$B139,'декабрь 2025'!$J$2:$J$2730,R$1)</f>
        <v>0</v>
      </c>
      <c r="S139" s="183">
        <f>SUMIFS('декабрь 2025'!$G$2:$G$2730,'декабрь 2025'!$D$2:$D$2730,$B139,'декабрь 2025'!$J$2:$J$2730,S$1)</f>
        <v>0</v>
      </c>
      <c r="T139" s="183">
        <f>SUMIFS('декабрь 2025'!$G$2:$G$2730,'декабрь 2025'!$D$2:$D$2730,$B139,'декабрь 2025'!$J$2:$J$2730,T$1)</f>
        <v>0</v>
      </c>
      <c r="U139" s="183">
        <f>SUMIFS('декабрь 2025'!$G$2:$G$2730,'декабрь 2025'!$D$2:$D$2730,$B139,'декабрь 2025'!$J$2:$J$2730,U$1)</f>
        <v>0</v>
      </c>
      <c r="V139" s="183">
        <f>SUMIFS('декабрь 2025'!$G$2:$G$2730,'декабрь 2025'!$D$2:$D$2730,$B139,'декабрь 2025'!$J$2:$J$2730,V$1)</f>
        <v>0</v>
      </c>
      <c r="W139" s="183">
        <f>SUMIFS('декабрь 2025'!$G$2:$G$2730,'декабрь 2025'!$D$2:$D$2730,$B139,'декабрь 2025'!$J$2:$J$2730,W$1)</f>
        <v>0</v>
      </c>
      <c r="X139" s="183">
        <f>SUMIFS('декабрь 2025'!$G$2:$G$2730,'декабрь 2025'!$D$2:$D$2730,$B139,'декабрь 2025'!$J$2:$J$2730,X$1)</f>
        <v>0</v>
      </c>
      <c r="Y139" s="183">
        <f>SUMIFS('декабрь 2025'!$G$2:$G$2730,'декабрь 2025'!$D$2:$D$2730,$B139,'декабрь 2025'!$J$2:$J$2730,Y$1)</f>
        <v>0</v>
      </c>
      <c r="Z139" s="183">
        <f>SUMIFS('декабрь 2025'!$G$2:$G$2730,'декабрь 2025'!$D$2:$D$2730,$B139,'декабрь 2025'!$J$2:$J$2730,Z$1)</f>
        <v>0</v>
      </c>
      <c r="AA139" s="183">
        <f>SUMIFS('декабрь 2025'!$G$2:$G$2730,'декабрь 2025'!$D$2:$D$2730,$B139,'декабрь 2025'!$J$2:$J$2730,AA$1)</f>
        <v>0</v>
      </c>
      <c r="AB139" s="183">
        <f>SUMIFS('декабрь 2025'!$G$2:$G$2730,'декабрь 2025'!$D$2:$D$2730,$B139,'декабрь 2025'!$J$2:$J$2730,AB$1)</f>
        <v>0</v>
      </c>
      <c r="AC139" s="183">
        <f>SUMIFS('декабрь 2025'!$G$2:$G$2730,'декабрь 2025'!$D$2:$D$2730,$B139,'декабрь 2025'!$J$2:$J$2730,AC$1)</f>
        <v>0</v>
      </c>
      <c r="AD139" s="183">
        <f>SUMIFS('декабрь 2025'!$G$2:$G$2730,'декабрь 2025'!$D$2:$D$2730,$B139,'декабрь 2025'!$J$2:$J$2730,AD$1)</f>
        <v>0</v>
      </c>
      <c r="AE139" s="183">
        <f>SUMIFS('декабрь 2025'!$G$2:$G$2730,'декабрь 2025'!$D$2:$D$2730,$B139,'декабрь 2025'!$J$2:$J$2730,AE$1)</f>
        <v>0</v>
      </c>
      <c r="AF139" s="183">
        <f>SUMIFS('декабрь 2025'!$G$2:$G$2730,'декабрь 2025'!$D$2:$D$2730,$B139,'декабрь 2025'!$J$2:$J$2730,AF$1)</f>
        <v>0</v>
      </c>
      <c r="AG139" s="183">
        <f>SUMIFS('декабрь 2025'!$G$2:$G$2730,'декабрь 2025'!$D$2:$D$2730,$B139,'декабрь 2025'!$J$2:$J$2730,AG$1)</f>
        <v>0</v>
      </c>
      <c r="AH139" s="183">
        <f>SUMIFS('декабрь 2025'!$G$2:$G$2730,'декабрь 2025'!$D$2:$D$2730,$B139,'декабрь 2025'!$J$2:$J$2730,AH$1)</f>
        <v>0</v>
      </c>
      <c r="AI139" s="20">
        <f t="shared" si="1"/>
        <v>0</v>
      </c>
    </row>
    <row r="140" spans="2:35" ht="15" customHeight="1" x14ac:dyDescent="0.25">
      <c r="B140" s="84" t="s">
        <v>172</v>
      </c>
      <c r="C140" s="83">
        <v>200</v>
      </c>
      <c r="D140" s="183">
        <f>SUMIFS('декабрь 2025'!$G$2:$G$2730,'декабрь 2025'!$D$2:$D$2730,$B140,'декабрь 2025'!$J$2:$J$2730,D$1)</f>
        <v>0</v>
      </c>
      <c r="E140" s="183">
        <f>SUMIFS('декабрь 2025'!$G$2:$G$2730,'декабрь 2025'!$D$2:$D$2730,$B140,'декабрь 2025'!$J$2:$J$2730,E$1)</f>
        <v>0</v>
      </c>
      <c r="F140" s="183">
        <f>SUMIFS('декабрь 2025'!$G$2:$G$2730,'декабрь 2025'!$D$2:$D$2730,$B140,'декабрь 2025'!$J$2:$J$2730,F$1)</f>
        <v>0</v>
      </c>
      <c r="G140" s="183">
        <f>SUMIFS('декабрь 2025'!$G$2:$G$2730,'декабрь 2025'!$D$2:$D$2730,$B140,'декабрь 2025'!$J$2:$J$2730,G$1)</f>
        <v>0</v>
      </c>
      <c r="H140" s="183">
        <f>SUMIFS('декабрь 2025'!$G$2:$G$2730,'декабрь 2025'!$D$2:$D$2730,$B140,'декабрь 2025'!$J$2:$J$2730,H$1)</f>
        <v>0</v>
      </c>
      <c r="I140" s="183">
        <f>SUMIFS('декабрь 2025'!$G$2:$G$2730,'декабрь 2025'!$D$2:$D$2730,$B140,'декабрь 2025'!$J$2:$J$2730,I$1)</f>
        <v>0</v>
      </c>
      <c r="J140" s="183">
        <f>SUMIFS('декабрь 2025'!$G$2:$G$2730,'декабрь 2025'!$D$2:$D$2730,$B140,'декабрь 2025'!$J$2:$J$2730,J$1)</f>
        <v>0</v>
      </c>
      <c r="K140" s="183">
        <f>SUMIFS('декабрь 2025'!$G$2:$G$2730,'декабрь 2025'!$D$2:$D$2730,$B140,'декабрь 2025'!$J$2:$J$2730,K$1)</f>
        <v>0</v>
      </c>
      <c r="L140" s="183">
        <f>SUMIFS('декабрь 2025'!$G$2:$G$2730,'декабрь 2025'!$D$2:$D$2730,$B140,'декабрь 2025'!$J$2:$J$2730,L$1)</f>
        <v>0</v>
      </c>
      <c r="M140" s="183">
        <f>SUMIFS('декабрь 2025'!$G$2:$G$2730,'декабрь 2025'!$D$2:$D$2730,$B140,'декабрь 2025'!$J$2:$J$2730,M$1)</f>
        <v>0</v>
      </c>
      <c r="N140" s="183">
        <f>SUMIFS('декабрь 2025'!$G$2:$G$2730,'декабрь 2025'!$D$2:$D$2730,$B140,'декабрь 2025'!$J$2:$J$2730,N$1)</f>
        <v>0</v>
      </c>
      <c r="O140" s="183">
        <f>SUMIFS('декабрь 2025'!$G$2:$G$2730,'декабрь 2025'!$D$2:$D$2730,$B140,'декабрь 2025'!$J$2:$J$2730,O$1)</f>
        <v>0</v>
      </c>
      <c r="P140" s="183">
        <f>SUMIFS('декабрь 2025'!$G$2:$G$2730,'декабрь 2025'!$D$2:$D$2730,$B140,'декабрь 2025'!$J$2:$J$2730,P$1)</f>
        <v>0</v>
      </c>
      <c r="Q140" s="183">
        <f>SUMIFS('декабрь 2025'!$G$2:$G$2730,'декабрь 2025'!$D$2:$D$2730,$B140,'декабрь 2025'!$J$2:$J$2730,Q$1)</f>
        <v>0</v>
      </c>
      <c r="R140" s="183">
        <f>SUMIFS('декабрь 2025'!$G$2:$G$2730,'декабрь 2025'!$D$2:$D$2730,$B140,'декабрь 2025'!$J$2:$J$2730,R$1)</f>
        <v>0</v>
      </c>
      <c r="S140" s="183">
        <f>SUMIFS('декабрь 2025'!$G$2:$G$2730,'декабрь 2025'!$D$2:$D$2730,$B140,'декабрь 2025'!$J$2:$J$2730,S$1)</f>
        <v>0</v>
      </c>
      <c r="T140" s="183">
        <f>SUMIFS('декабрь 2025'!$G$2:$G$2730,'декабрь 2025'!$D$2:$D$2730,$B140,'декабрь 2025'!$J$2:$J$2730,T$1)</f>
        <v>0</v>
      </c>
      <c r="U140" s="183">
        <f>SUMIFS('декабрь 2025'!$G$2:$G$2730,'декабрь 2025'!$D$2:$D$2730,$B140,'декабрь 2025'!$J$2:$J$2730,U$1)</f>
        <v>0</v>
      </c>
      <c r="V140" s="183">
        <f>SUMIFS('декабрь 2025'!$G$2:$G$2730,'декабрь 2025'!$D$2:$D$2730,$B140,'декабрь 2025'!$J$2:$J$2730,V$1)</f>
        <v>0</v>
      </c>
      <c r="W140" s="183">
        <f>SUMIFS('декабрь 2025'!$G$2:$G$2730,'декабрь 2025'!$D$2:$D$2730,$B140,'декабрь 2025'!$J$2:$J$2730,W$1)</f>
        <v>0</v>
      </c>
      <c r="X140" s="183">
        <f>SUMIFS('декабрь 2025'!$G$2:$G$2730,'декабрь 2025'!$D$2:$D$2730,$B140,'декабрь 2025'!$J$2:$J$2730,X$1)</f>
        <v>0</v>
      </c>
      <c r="Y140" s="183">
        <f>SUMIFS('декабрь 2025'!$G$2:$G$2730,'декабрь 2025'!$D$2:$D$2730,$B140,'декабрь 2025'!$J$2:$J$2730,Y$1)</f>
        <v>0</v>
      </c>
      <c r="Z140" s="183">
        <f>SUMIFS('декабрь 2025'!$G$2:$G$2730,'декабрь 2025'!$D$2:$D$2730,$B140,'декабрь 2025'!$J$2:$J$2730,Z$1)</f>
        <v>0</v>
      </c>
      <c r="AA140" s="183">
        <f>SUMIFS('декабрь 2025'!$G$2:$G$2730,'декабрь 2025'!$D$2:$D$2730,$B140,'декабрь 2025'!$J$2:$J$2730,AA$1)</f>
        <v>0</v>
      </c>
      <c r="AB140" s="183">
        <f>SUMIFS('декабрь 2025'!$G$2:$G$2730,'декабрь 2025'!$D$2:$D$2730,$B140,'декабрь 2025'!$J$2:$J$2730,AB$1)</f>
        <v>0</v>
      </c>
      <c r="AC140" s="183">
        <f>SUMIFS('декабрь 2025'!$G$2:$G$2730,'декабрь 2025'!$D$2:$D$2730,$B140,'декабрь 2025'!$J$2:$J$2730,AC$1)</f>
        <v>0</v>
      </c>
      <c r="AD140" s="183">
        <f>SUMIFS('декабрь 2025'!$G$2:$G$2730,'декабрь 2025'!$D$2:$D$2730,$B140,'декабрь 2025'!$J$2:$J$2730,AD$1)</f>
        <v>0</v>
      </c>
      <c r="AE140" s="183">
        <f>SUMIFS('декабрь 2025'!$G$2:$G$2730,'декабрь 2025'!$D$2:$D$2730,$B140,'декабрь 2025'!$J$2:$J$2730,AE$1)</f>
        <v>0</v>
      </c>
      <c r="AF140" s="183">
        <f>SUMIFS('декабрь 2025'!$G$2:$G$2730,'декабрь 2025'!$D$2:$D$2730,$B140,'декабрь 2025'!$J$2:$J$2730,AF$1)</f>
        <v>0</v>
      </c>
      <c r="AG140" s="183">
        <f>SUMIFS('декабрь 2025'!$G$2:$G$2730,'декабрь 2025'!$D$2:$D$2730,$B140,'декабрь 2025'!$J$2:$J$2730,AG$1)</f>
        <v>0</v>
      </c>
      <c r="AH140" s="183">
        <f>SUMIFS('декабрь 2025'!$G$2:$G$2730,'декабрь 2025'!$D$2:$D$2730,$B140,'декабрь 2025'!$J$2:$J$2730,AH$1)</f>
        <v>0</v>
      </c>
      <c r="AI140" s="20">
        <f t="shared" si="1"/>
        <v>0</v>
      </c>
    </row>
    <row r="141" spans="2:35" ht="15" customHeight="1" x14ac:dyDescent="0.25">
      <c r="B141" s="84" t="s">
        <v>174</v>
      </c>
      <c r="C141" s="83">
        <v>200</v>
      </c>
      <c r="D141" s="183">
        <f>SUMIFS('декабрь 2025'!$G$2:$G$2730,'декабрь 2025'!$D$2:$D$2730,$B141,'декабрь 2025'!$J$2:$J$2730,D$1)</f>
        <v>0</v>
      </c>
      <c r="E141" s="183">
        <f>SUMIFS('декабрь 2025'!$G$2:$G$2730,'декабрь 2025'!$D$2:$D$2730,$B141,'декабрь 2025'!$J$2:$J$2730,E$1)</f>
        <v>0</v>
      </c>
      <c r="F141" s="183">
        <f>SUMIFS('декабрь 2025'!$G$2:$G$2730,'декабрь 2025'!$D$2:$D$2730,$B141,'декабрь 2025'!$J$2:$J$2730,F$1)</f>
        <v>0</v>
      </c>
      <c r="G141" s="183">
        <f>SUMIFS('декабрь 2025'!$G$2:$G$2730,'декабрь 2025'!$D$2:$D$2730,$B141,'декабрь 2025'!$J$2:$J$2730,G$1)</f>
        <v>0</v>
      </c>
      <c r="H141" s="183">
        <f>SUMIFS('декабрь 2025'!$G$2:$G$2730,'декабрь 2025'!$D$2:$D$2730,$B141,'декабрь 2025'!$J$2:$J$2730,H$1)</f>
        <v>0</v>
      </c>
      <c r="I141" s="183">
        <f>SUMIFS('декабрь 2025'!$G$2:$G$2730,'декабрь 2025'!$D$2:$D$2730,$B141,'декабрь 2025'!$J$2:$J$2730,I$1)</f>
        <v>0</v>
      </c>
      <c r="J141" s="183">
        <f>SUMIFS('декабрь 2025'!$G$2:$G$2730,'декабрь 2025'!$D$2:$D$2730,$B141,'декабрь 2025'!$J$2:$J$2730,J$1)</f>
        <v>0</v>
      </c>
      <c r="K141" s="183">
        <f>SUMIFS('декабрь 2025'!$G$2:$G$2730,'декабрь 2025'!$D$2:$D$2730,$B141,'декабрь 2025'!$J$2:$J$2730,K$1)</f>
        <v>0</v>
      </c>
      <c r="L141" s="183">
        <f>SUMIFS('декабрь 2025'!$G$2:$G$2730,'декабрь 2025'!$D$2:$D$2730,$B141,'декабрь 2025'!$J$2:$J$2730,L$1)</f>
        <v>0</v>
      </c>
      <c r="M141" s="183">
        <f>SUMIFS('декабрь 2025'!$G$2:$G$2730,'декабрь 2025'!$D$2:$D$2730,$B141,'декабрь 2025'!$J$2:$J$2730,M$1)</f>
        <v>0</v>
      </c>
      <c r="N141" s="183">
        <f>SUMIFS('декабрь 2025'!$G$2:$G$2730,'декабрь 2025'!$D$2:$D$2730,$B141,'декабрь 2025'!$J$2:$J$2730,N$1)</f>
        <v>0</v>
      </c>
      <c r="O141" s="183">
        <f>SUMIFS('декабрь 2025'!$G$2:$G$2730,'декабрь 2025'!$D$2:$D$2730,$B141,'декабрь 2025'!$J$2:$J$2730,O$1)</f>
        <v>0</v>
      </c>
      <c r="P141" s="183">
        <f>SUMIFS('декабрь 2025'!$G$2:$G$2730,'декабрь 2025'!$D$2:$D$2730,$B141,'декабрь 2025'!$J$2:$J$2730,P$1)</f>
        <v>0</v>
      </c>
      <c r="Q141" s="183">
        <f>SUMIFS('декабрь 2025'!$G$2:$G$2730,'декабрь 2025'!$D$2:$D$2730,$B141,'декабрь 2025'!$J$2:$J$2730,Q$1)</f>
        <v>0</v>
      </c>
      <c r="R141" s="183">
        <f>SUMIFS('декабрь 2025'!$G$2:$G$2730,'декабрь 2025'!$D$2:$D$2730,$B141,'декабрь 2025'!$J$2:$J$2730,R$1)</f>
        <v>0</v>
      </c>
      <c r="S141" s="183">
        <f>SUMIFS('декабрь 2025'!$G$2:$G$2730,'декабрь 2025'!$D$2:$D$2730,$B141,'декабрь 2025'!$J$2:$J$2730,S$1)</f>
        <v>0</v>
      </c>
      <c r="T141" s="183">
        <f>SUMIFS('декабрь 2025'!$G$2:$G$2730,'декабрь 2025'!$D$2:$D$2730,$B141,'декабрь 2025'!$J$2:$J$2730,T$1)</f>
        <v>0</v>
      </c>
      <c r="U141" s="183">
        <f>SUMIFS('декабрь 2025'!$G$2:$G$2730,'декабрь 2025'!$D$2:$D$2730,$B141,'декабрь 2025'!$J$2:$J$2730,U$1)</f>
        <v>0</v>
      </c>
      <c r="V141" s="183">
        <f>SUMIFS('декабрь 2025'!$G$2:$G$2730,'декабрь 2025'!$D$2:$D$2730,$B141,'декабрь 2025'!$J$2:$J$2730,V$1)</f>
        <v>0</v>
      </c>
      <c r="W141" s="183">
        <f>SUMIFS('декабрь 2025'!$G$2:$G$2730,'декабрь 2025'!$D$2:$D$2730,$B141,'декабрь 2025'!$J$2:$J$2730,W$1)</f>
        <v>0</v>
      </c>
      <c r="X141" s="183">
        <f>SUMIFS('декабрь 2025'!$G$2:$G$2730,'декабрь 2025'!$D$2:$D$2730,$B141,'декабрь 2025'!$J$2:$J$2730,X$1)</f>
        <v>0</v>
      </c>
      <c r="Y141" s="183">
        <f>SUMIFS('декабрь 2025'!$G$2:$G$2730,'декабрь 2025'!$D$2:$D$2730,$B141,'декабрь 2025'!$J$2:$J$2730,Y$1)</f>
        <v>0</v>
      </c>
      <c r="Z141" s="183">
        <f>SUMIFS('декабрь 2025'!$G$2:$G$2730,'декабрь 2025'!$D$2:$D$2730,$B141,'декабрь 2025'!$J$2:$J$2730,Z$1)</f>
        <v>0</v>
      </c>
      <c r="AA141" s="183">
        <f>SUMIFS('декабрь 2025'!$G$2:$G$2730,'декабрь 2025'!$D$2:$D$2730,$B141,'декабрь 2025'!$J$2:$J$2730,AA$1)</f>
        <v>0</v>
      </c>
      <c r="AB141" s="183">
        <f>SUMIFS('декабрь 2025'!$G$2:$G$2730,'декабрь 2025'!$D$2:$D$2730,$B141,'декабрь 2025'!$J$2:$J$2730,AB$1)</f>
        <v>0</v>
      </c>
      <c r="AC141" s="183">
        <f>SUMIFS('декабрь 2025'!$G$2:$G$2730,'декабрь 2025'!$D$2:$D$2730,$B141,'декабрь 2025'!$J$2:$J$2730,AC$1)</f>
        <v>0</v>
      </c>
      <c r="AD141" s="183">
        <f>SUMIFS('декабрь 2025'!$G$2:$G$2730,'декабрь 2025'!$D$2:$D$2730,$B141,'декабрь 2025'!$J$2:$J$2730,AD$1)</f>
        <v>0</v>
      </c>
      <c r="AE141" s="183">
        <f>SUMIFS('декабрь 2025'!$G$2:$G$2730,'декабрь 2025'!$D$2:$D$2730,$B141,'декабрь 2025'!$J$2:$J$2730,AE$1)</f>
        <v>0</v>
      </c>
      <c r="AF141" s="183">
        <f>SUMIFS('декабрь 2025'!$G$2:$G$2730,'декабрь 2025'!$D$2:$D$2730,$B141,'декабрь 2025'!$J$2:$J$2730,AF$1)</f>
        <v>0</v>
      </c>
      <c r="AG141" s="183">
        <f>SUMIFS('декабрь 2025'!$G$2:$G$2730,'декабрь 2025'!$D$2:$D$2730,$B141,'декабрь 2025'!$J$2:$J$2730,AG$1)</f>
        <v>0</v>
      </c>
      <c r="AH141" s="183">
        <f>SUMIFS('декабрь 2025'!$G$2:$G$2730,'декабрь 2025'!$D$2:$D$2730,$B141,'декабрь 2025'!$J$2:$J$2730,AH$1)</f>
        <v>0</v>
      </c>
      <c r="AI141" s="20">
        <f t="shared" si="1"/>
        <v>0</v>
      </c>
    </row>
    <row r="142" spans="2:35" ht="15" customHeight="1" x14ac:dyDescent="0.25">
      <c r="B142" s="89" t="s">
        <v>184</v>
      </c>
      <c r="C142" s="90">
        <v>180</v>
      </c>
      <c r="D142" s="183">
        <f>SUMIFS('декабрь 2025'!$G$2:$G$2730,'декабрь 2025'!$D$2:$D$2730,$B142,'декабрь 2025'!$J$2:$J$2730,D$1)</f>
        <v>0</v>
      </c>
      <c r="E142" s="183">
        <f>SUMIFS('декабрь 2025'!$G$2:$G$2730,'декабрь 2025'!$D$2:$D$2730,$B142,'декабрь 2025'!$J$2:$J$2730,E$1)</f>
        <v>0</v>
      </c>
      <c r="F142" s="183">
        <f>SUMIFS('декабрь 2025'!$G$2:$G$2730,'декабрь 2025'!$D$2:$D$2730,$B142,'декабрь 2025'!$J$2:$J$2730,F$1)</f>
        <v>0</v>
      </c>
      <c r="G142" s="183">
        <f>SUMIFS('декабрь 2025'!$G$2:$G$2730,'декабрь 2025'!$D$2:$D$2730,$B142,'декабрь 2025'!$J$2:$J$2730,G$1)</f>
        <v>0</v>
      </c>
      <c r="H142" s="183">
        <f>SUMIFS('декабрь 2025'!$G$2:$G$2730,'декабрь 2025'!$D$2:$D$2730,$B142,'декабрь 2025'!$J$2:$J$2730,H$1)</f>
        <v>0</v>
      </c>
      <c r="I142" s="183">
        <f>SUMIFS('декабрь 2025'!$G$2:$G$2730,'декабрь 2025'!$D$2:$D$2730,$B142,'декабрь 2025'!$J$2:$J$2730,I$1)</f>
        <v>0</v>
      </c>
      <c r="J142" s="183">
        <f>SUMIFS('декабрь 2025'!$G$2:$G$2730,'декабрь 2025'!$D$2:$D$2730,$B142,'декабрь 2025'!$J$2:$J$2730,J$1)</f>
        <v>0</v>
      </c>
      <c r="K142" s="183">
        <f>SUMIFS('декабрь 2025'!$G$2:$G$2730,'декабрь 2025'!$D$2:$D$2730,$B142,'декабрь 2025'!$J$2:$J$2730,K$1)</f>
        <v>0</v>
      </c>
      <c r="L142" s="183">
        <f>SUMIFS('декабрь 2025'!$G$2:$G$2730,'декабрь 2025'!$D$2:$D$2730,$B142,'декабрь 2025'!$J$2:$J$2730,L$1)</f>
        <v>0</v>
      </c>
      <c r="M142" s="183">
        <f>SUMIFS('декабрь 2025'!$G$2:$G$2730,'декабрь 2025'!$D$2:$D$2730,$B142,'декабрь 2025'!$J$2:$J$2730,M$1)</f>
        <v>0</v>
      </c>
      <c r="N142" s="183">
        <f>SUMIFS('декабрь 2025'!$G$2:$G$2730,'декабрь 2025'!$D$2:$D$2730,$B142,'декабрь 2025'!$J$2:$J$2730,N$1)</f>
        <v>0</v>
      </c>
      <c r="O142" s="183">
        <f>SUMIFS('декабрь 2025'!$G$2:$G$2730,'декабрь 2025'!$D$2:$D$2730,$B142,'декабрь 2025'!$J$2:$J$2730,O$1)</f>
        <v>0</v>
      </c>
      <c r="P142" s="183">
        <f>SUMIFS('декабрь 2025'!$G$2:$G$2730,'декабрь 2025'!$D$2:$D$2730,$B142,'декабрь 2025'!$J$2:$J$2730,P$1)</f>
        <v>0</v>
      </c>
      <c r="Q142" s="183">
        <f>SUMIFS('декабрь 2025'!$G$2:$G$2730,'декабрь 2025'!$D$2:$D$2730,$B142,'декабрь 2025'!$J$2:$J$2730,Q$1)</f>
        <v>0</v>
      </c>
      <c r="R142" s="183">
        <f>SUMIFS('декабрь 2025'!$G$2:$G$2730,'декабрь 2025'!$D$2:$D$2730,$B142,'декабрь 2025'!$J$2:$J$2730,R$1)</f>
        <v>0</v>
      </c>
      <c r="S142" s="183">
        <f>SUMIFS('декабрь 2025'!$G$2:$G$2730,'декабрь 2025'!$D$2:$D$2730,$B142,'декабрь 2025'!$J$2:$J$2730,S$1)</f>
        <v>0</v>
      </c>
      <c r="T142" s="183">
        <f>SUMIFS('декабрь 2025'!$G$2:$G$2730,'декабрь 2025'!$D$2:$D$2730,$B142,'декабрь 2025'!$J$2:$J$2730,T$1)</f>
        <v>0</v>
      </c>
      <c r="U142" s="183">
        <f>SUMIFS('декабрь 2025'!$G$2:$G$2730,'декабрь 2025'!$D$2:$D$2730,$B142,'декабрь 2025'!$J$2:$J$2730,U$1)</f>
        <v>0</v>
      </c>
      <c r="V142" s="183">
        <f>SUMIFS('декабрь 2025'!$G$2:$G$2730,'декабрь 2025'!$D$2:$D$2730,$B142,'декабрь 2025'!$J$2:$J$2730,V$1)</f>
        <v>0</v>
      </c>
      <c r="W142" s="183">
        <f>SUMIFS('декабрь 2025'!$G$2:$G$2730,'декабрь 2025'!$D$2:$D$2730,$B142,'декабрь 2025'!$J$2:$J$2730,W$1)</f>
        <v>0</v>
      </c>
      <c r="X142" s="183">
        <f>SUMIFS('декабрь 2025'!$G$2:$G$2730,'декабрь 2025'!$D$2:$D$2730,$B142,'декабрь 2025'!$J$2:$J$2730,X$1)</f>
        <v>0</v>
      </c>
      <c r="Y142" s="183">
        <f>SUMIFS('декабрь 2025'!$G$2:$G$2730,'декабрь 2025'!$D$2:$D$2730,$B142,'декабрь 2025'!$J$2:$J$2730,Y$1)</f>
        <v>0</v>
      </c>
      <c r="Z142" s="183">
        <f>SUMIFS('декабрь 2025'!$G$2:$G$2730,'декабрь 2025'!$D$2:$D$2730,$B142,'декабрь 2025'!$J$2:$J$2730,Z$1)</f>
        <v>0</v>
      </c>
      <c r="AA142" s="183">
        <f>SUMIFS('декабрь 2025'!$G$2:$G$2730,'декабрь 2025'!$D$2:$D$2730,$B142,'декабрь 2025'!$J$2:$J$2730,AA$1)</f>
        <v>0</v>
      </c>
      <c r="AB142" s="183">
        <f>SUMIFS('декабрь 2025'!$G$2:$G$2730,'декабрь 2025'!$D$2:$D$2730,$B142,'декабрь 2025'!$J$2:$J$2730,AB$1)</f>
        <v>0</v>
      </c>
      <c r="AC142" s="183">
        <f>SUMIFS('декабрь 2025'!$G$2:$G$2730,'декабрь 2025'!$D$2:$D$2730,$B142,'декабрь 2025'!$J$2:$J$2730,AC$1)</f>
        <v>0</v>
      </c>
      <c r="AD142" s="183">
        <f>SUMIFS('декабрь 2025'!$G$2:$G$2730,'декабрь 2025'!$D$2:$D$2730,$B142,'декабрь 2025'!$J$2:$J$2730,AD$1)</f>
        <v>0</v>
      </c>
      <c r="AE142" s="183">
        <f>SUMIFS('декабрь 2025'!$G$2:$G$2730,'декабрь 2025'!$D$2:$D$2730,$B142,'декабрь 2025'!$J$2:$J$2730,AE$1)</f>
        <v>0</v>
      </c>
      <c r="AF142" s="183">
        <f>SUMIFS('декабрь 2025'!$G$2:$G$2730,'декабрь 2025'!$D$2:$D$2730,$B142,'декабрь 2025'!$J$2:$J$2730,AF$1)</f>
        <v>0</v>
      </c>
      <c r="AG142" s="183">
        <f>SUMIFS('декабрь 2025'!$G$2:$G$2730,'декабрь 2025'!$D$2:$D$2730,$B142,'декабрь 2025'!$J$2:$J$2730,AG$1)</f>
        <v>0</v>
      </c>
      <c r="AH142" s="183">
        <f>SUMIFS('декабрь 2025'!$G$2:$G$2730,'декабрь 2025'!$D$2:$D$2730,$B142,'декабрь 2025'!$J$2:$J$2730,AH$1)</f>
        <v>0</v>
      </c>
      <c r="AI142" s="20">
        <f t="shared" si="1"/>
        <v>0</v>
      </c>
    </row>
    <row r="143" spans="2:35" ht="15" customHeight="1" x14ac:dyDescent="0.25">
      <c r="B143" s="84" t="s">
        <v>268</v>
      </c>
      <c r="C143" s="86">
        <v>180</v>
      </c>
      <c r="D143" s="183">
        <f>SUMIFS('декабрь 2025'!$G$2:$G$2730,'декабрь 2025'!$D$2:$D$2730,$B143,'декабрь 2025'!$J$2:$J$2730,D$1)</f>
        <v>0</v>
      </c>
      <c r="E143" s="183">
        <f>SUMIFS('декабрь 2025'!$G$2:$G$2730,'декабрь 2025'!$D$2:$D$2730,$B143,'декабрь 2025'!$J$2:$J$2730,E$1)</f>
        <v>0</v>
      </c>
      <c r="F143" s="183">
        <f>SUMIFS('декабрь 2025'!$G$2:$G$2730,'декабрь 2025'!$D$2:$D$2730,$B143,'декабрь 2025'!$J$2:$J$2730,F$1)</f>
        <v>0</v>
      </c>
      <c r="G143" s="183">
        <f>SUMIFS('декабрь 2025'!$G$2:$G$2730,'декабрь 2025'!$D$2:$D$2730,$B143,'декабрь 2025'!$J$2:$J$2730,G$1)</f>
        <v>0</v>
      </c>
      <c r="H143" s="183">
        <f>SUMIFS('декабрь 2025'!$G$2:$G$2730,'декабрь 2025'!$D$2:$D$2730,$B143,'декабрь 2025'!$J$2:$J$2730,H$1)</f>
        <v>0</v>
      </c>
      <c r="I143" s="183">
        <f>SUMIFS('декабрь 2025'!$G$2:$G$2730,'декабрь 2025'!$D$2:$D$2730,$B143,'декабрь 2025'!$J$2:$J$2730,I$1)</f>
        <v>0</v>
      </c>
      <c r="J143" s="183">
        <f>SUMIFS('декабрь 2025'!$G$2:$G$2730,'декабрь 2025'!$D$2:$D$2730,$B143,'декабрь 2025'!$J$2:$J$2730,J$1)</f>
        <v>0</v>
      </c>
      <c r="K143" s="183">
        <f>SUMIFS('декабрь 2025'!$G$2:$G$2730,'декабрь 2025'!$D$2:$D$2730,$B143,'декабрь 2025'!$J$2:$J$2730,K$1)</f>
        <v>0</v>
      </c>
      <c r="L143" s="183">
        <f>SUMIFS('декабрь 2025'!$G$2:$G$2730,'декабрь 2025'!$D$2:$D$2730,$B143,'декабрь 2025'!$J$2:$J$2730,L$1)</f>
        <v>0</v>
      </c>
      <c r="M143" s="183">
        <f>SUMIFS('декабрь 2025'!$G$2:$G$2730,'декабрь 2025'!$D$2:$D$2730,$B143,'декабрь 2025'!$J$2:$J$2730,M$1)</f>
        <v>0</v>
      </c>
      <c r="N143" s="183">
        <f>SUMIFS('декабрь 2025'!$G$2:$G$2730,'декабрь 2025'!$D$2:$D$2730,$B143,'декабрь 2025'!$J$2:$J$2730,N$1)</f>
        <v>0</v>
      </c>
      <c r="O143" s="183">
        <f>SUMIFS('декабрь 2025'!$G$2:$G$2730,'декабрь 2025'!$D$2:$D$2730,$B143,'декабрь 2025'!$J$2:$J$2730,O$1)</f>
        <v>0</v>
      </c>
      <c r="P143" s="183">
        <f>SUMIFS('декабрь 2025'!$G$2:$G$2730,'декабрь 2025'!$D$2:$D$2730,$B143,'декабрь 2025'!$J$2:$J$2730,P$1)</f>
        <v>0</v>
      </c>
      <c r="Q143" s="183">
        <f>SUMIFS('декабрь 2025'!$G$2:$G$2730,'декабрь 2025'!$D$2:$D$2730,$B143,'декабрь 2025'!$J$2:$J$2730,Q$1)</f>
        <v>0</v>
      </c>
      <c r="R143" s="183">
        <f>SUMIFS('декабрь 2025'!$G$2:$G$2730,'декабрь 2025'!$D$2:$D$2730,$B143,'декабрь 2025'!$J$2:$J$2730,R$1)</f>
        <v>0</v>
      </c>
      <c r="S143" s="183">
        <f>SUMIFS('декабрь 2025'!$G$2:$G$2730,'декабрь 2025'!$D$2:$D$2730,$B143,'декабрь 2025'!$J$2:$J$2730,S$1)</f>
        <v>0</v>
      </c>
      <c r="T143" s="183">
        <f>SUMIFS('декабрь 2025'!$G$2:$G$2730,'декабрь 2025'!$D$2:$D$2730,$B143,'декабрь 2025'!$J$2:$J$2730,T$1)</f>
        <v>0</v>
      </c>
      <c r="U143" s="183">
        <f>SUMIFS('декабрь 2025'!$G$2:$G$2730,'декабрь 2025'!$D$2:$D$2730,$B143,'декабрь 2025'!$J$2:$J$2730,U$1)</f>
        <v>0</v>
      </c>
      <c r="V143" s="183">
        <f>SUMIFS('декабрь 2025'!$G$2:$G$2730,'декабрь 2025'!$D$2:$D$2730,$B143,'декабрь 2025'!$J$2:$J$2730,V$1)</f>
        <v>0</v>
      </c>
      <c r="W143" s="183">
        <f>SUMIFS('декабрь 2025'!$G$2:$G$2730,'декабрь 2025'!$D$2:$D$2730,$B143,'декабрь 2025'!$J$2:$J$2730,W$1)</f>
        <v>0</v>
      </c>
      <c r="X143" s="183">
        <f>SUMIFS('декабрь 2025'!$G$2:$G$2730,'декабрь 2025'!$D$2:$D$2730,$B143,'декабрь 2025'!$J$2:$J$2730,X$1)</f>
        <v>0</v>
      </c>
      <c r="Y143" s="183">
        <f>SUMIFS('декабрь 2025'!$G$2:$G$2730,'декабрь 2025'!$D$2:$D$2730,$B143,'декабрь 2025'!$J$2:$J$2730,Y$1)</f>
        <v>0</v>
      </c>
      <c r="Z143" s="183">
        <f>SUMIFS('декабрь 2025'!$G$2:$G$2730,'декабрь 2025'!$D$2:$D$2730,$B143,'декабрь 2025'!$J$2:$J$2730,Z$1)</f>
        <v>16</v>
      </c>
      <c r="AA143" s="183">
        <f>SUMIFS('декабрь 2025'!$G$2:$G$2730,'декабрь 2025'!$D$2:$D$2730,$B143,'декабрь 2025'!$J$2:$J$2730,AA$1)</f>
        <v>0</v>
      </c>
      <c r="AB143" s="183">
        <f>SUMIFS('декабрь 2025'!$G$2:$G$2730,'декабрь 2025'!$D$2:$D$2730,$B143,'декабрь 2025'!$J$2:$J$2730,AB$1)</f>
        <v>0</v>
      </c>
      <c r="AC143" s="183">
        <f>SUMIFS('декабрь 2025'!$G$2:$G$2730,'декабрь 2025'!$D$2:$D$2730,$B143,'декабрь 2025'!$J$2:$J$2730,AC$1)</f>
        <v>0</v>
      </c>
      <c r="AD143" s="183">
        <f>SUMIFS('декабрь 2025'!$G$2:$G$2730,'декабрь 2025'!$D$2:$D$2730,$B143,'декабрь 2025'!$J$2:$J$2730,AD$1)</f>
        <v>0</v>
      </c>
      <c r="AE143" s="183">
        <f>SUMIFS('декабрь 2025'!$G$2:$G$2730,'декабрь 2025'!$D$2:$D$2730,$B143,'декабрь 2025'!$J$2:$J$2730,AE$1)</f>
        <v>0</v>
      </c>
      <c r="AF143" s="183">
        <f>SUMIFS('декабрь 2025'!$G$2:$G$2730,'декабрь 2025'!$D$2:$D$2730,$B143,'декабрь 2025'!$J$2:$J$2730,AF$1)</f>
        <v>0</v>
      </c>
      <c r="AG143" s="183">
        <f>SUMIFS('декабрь 2025'!$G$2:$G$2730,'декабрь 2025'!$D$2:$D$2730,$B143,'декабрь 2025'!$J$2:$J$2730,AG$1)</f>
        <v>0</v>
      </c>
      <c r="AH143" s="183">
        <f>SUMIFS('декабрь 2025'!$G$2:$G$2730,'декабрь 2025'!$D$2:$D$2730,$B143,'декабрь 2025'!$J$2:$J$2730,AH$1)</f>
        <v>0</v>
      </c>
      <c r="AI143" s="20">
        <f t="shared" si="1"/>
        <v>16</v>
      </c>
    </row>
    <row r="144" spans="2:35" ht="15" customHeight="1" x14ac:dyDescent="0.25">
      <c r="B144" s="84" t="s">
        <v>278</v>
      </c>
      <c r="C144" s="86">
        <v>180</v>
      </c>
      <c r="D144" s="183">
        <f>SUMIFS('декабрь 2025'!$G$2:$G$2730,'декабрь 2025'!$D$2:$D$2730,$B144,'декабрь 2025'!$J$2:$J$2730,D$1)</f>
        <v>0</v>
      </c>
      <c r="E144" s="183">
        <f>SUMIFS('декабрь 2025'!$G$2:$G$2730,'декабрь 2025'!$D$2:$D$2730,$B144,'декабрь 2025'!$J$2:$J$2730,E$1)</f>
        <v>0</v>
      </c>
      <c r="F144" s="183">
        <f>SUMIFS('декабрь 2025'!$G$2:$G$2730,'декабрь 2025'!$D$2:$D$2730,$B144,'декабрь 2025'!$J$2:$J$2730,F$1)</f>
        <v>0</v>
      </c>
      <c r="G144" s="183">
        <f>SUMIFS('декабрь 2025'!$G$2:$G$2730,'декабрь 2025'!$D$2:$D$2730,$B144,'декабрь 2025'!$J$2:$J$2730,G$1)</f>
        <v>0</v>
      </c>
      <c r="H144" s="183">
        <f>SUMIFS('декабрь 2025'!$G$2:$G$2730,'декабрь 2025'!$D$2:$D$2730,$B144,'декабрь 2025'!$J$2:$J$2730,H$1)</f>
        <v>0</v>
      </c>
      <c r="I144" s="183">
        <f>SUMIFS('декабрь 2025'!$G$2:$G$2730,'декабрь 2025'!$D$2:$D$2730,$B144,'декабрь 2025'!$J$2:$J$2730,I$1)</f>
        <v>0</v>
      </c>
      <c r="J144" s="183">
        <f>SUMIFS('декабрь 2025'!$G$2:$G$2730,'декабрь 2025'!$D$2:$D$2730,$B144,'декабрь 2025'!$J$2:$J$2730,J$1)</f>
        <v>0</v>
      </c>
      <c r="K144" s="183">
        <f>SUMIFS('декабрь 2025'!$G$2:$G$2730,'декабрь 2025'!$D$2:$D$2730,$B144,'декабрь 2025'!$J$2:$J$2730,K$1)</f>
        <v>0</v>
      </c>
      <c r="L144" s="183">
        <f>SUMIFS('декабрь 2025'!$G$2:$G$2730,'декабрь 2025'!$D$2:$D$2730,$B144,'декабрь 2025'!$J$2:$J$2730,L$1)</f>
        <v>0</v>
      </c>
      <c r="M144" s="183">
        <f>SUMIFS('декабрь 2025'!$G$2:$G$2730,'декабрь 2025'!$D$2:$D$2730,$B144,'декабрь 2025'!$J$2:$J$2730,M$1)</f>
        <v>0</v>
      </c>
      <c r="N144" s="183">
        <f>SUMIFS('декабрь 2025'!$G$2:$G$2730,'декабрь 2025'!$D$2:$D$2730,$B144,'декабрь 2025'!$J$2:$J$2730,N$1)</f>
        <v>0</v>
      </c>
      <c r="O144" s="183">
        <f>SUMIFS('декабрь 2025'!$G$2:$G$2730,'декабрь 2025'!$D$2:$D$2730,$B144,'декабрь 2025'!$J$2:$J$2730,O$1)</f>
        <v>0</v>
      </c>
      <c r="P144" s="183">
        <f>SUMIFS('декабрь 2025'!$G$2:$G$2730,'декабрь 2025'!$D$2:$D$2730,$B144,'декабрь 2025'!$J$2:$J$2730,P$1)</f>
        <v>0</v>
      </c>
      <c r="Q144" s="183">
        <f>SUMIFS('декабрь 2025'!$G$2:$G$2730,'декабрь 2025'!$D$2:$D$2730,$B144,'декабрь 2025'!$J$2:$J$2730,Q$1)</f>
        <v>0</v>
      </c>
      <c r="R144" s="183">
        <f>SUMIFS('декабрь 2025'!$G$2:$G$2730,'декабрь 2025'!$D$2:$D$2730,$B144,'декабрь 2025'!$J$2:$J$2730,R$1)</f>
        <v>0</v>
      </c>
      <c r="S144" s="183">
        <f>SUMIFS('декабрь 2025'!$G$2:$G$2730,'декабрь 2025'!$D$2:$D$2730,$B144,'декабрь 2025'!$J$2:$J$2730,S$1)</f>
        <v>0</v>
      </c>
      <c r="T144" s="183">
        <f>SUMIFS('декабрь 2025'!$G$2:$G$2730,'декабрь 2025'!$D$2:$D$2730,$B144,'декабрь 2025'!$J$2:$J$2730,T$1)</f>
        <v>0</v>
      </c>
      <c r="U144" s="183">
        <f>SUMIFS('декабрь 2025'!$G$2:$G$2730,'декабрь 2025'!$D$2:$D$2730,$B144,'декабрь 2025'!$J$2:$J$2730,U$1)</f>
        <v>0</v>
      </c>
      <c r="V144" s="183">
        <f>SUMIFS('декабрь 2025'!$G$2:$G$2730,'декабрь 2025'!$D$2:$D$2730,$B144,'декабрь 2025'!$J$2:$J$2730,V$1)</f>
        <v>0</v>
      </c>
      <c r="W144" s="183">
        <f>SUMIFS('декабрь 2025'!$G$2:$G$2730,'декабрь 2025'!$D$2:$D$2730,$B144,'декабрь 2025'!$J$2:$J$2730,W$1)</f>
        <v>0</v>
      </c>
      <c r="X144" s="183">
        <f>SUMIFS('декабрь 2025'!$G$2:$G$2730,'декабрь 2025'!$D$2:$D$2730,$B144,'декабрь 2025'!$J$2:$J$2730,X$1)</f>
        <v>0</v>
      </c>
      <c r="Y144" s="183">
        <f>SUMIFS('декабрь 2025'!$G$2:$G$2730,'декабрь 2025'!$D$2:$D$2730,$B144,'декабрь 2025'!$J$2:$J$2730,Y$1)</f>
        <v>0</v>
      </c>
      <c r="Z144" s="183">
        <f>SUMIFS('декабрь 2025'!$G$2:$G$2730,'декабрь 2025'!$D$2:$D$2730,$B144,'декабрь 2025'!$J$2:$J$2730,Z$1)</f>
        <v>0</v>
      </c>
      <c r="AA144" s="183">
        <f>SUMIFS('декабрь 2025'!$G$2:$G$2730,'декабрь 2025'!$D$2:$D$2730,$B144,'декабрь 2025'!$J$2:$J$2730,AA$1)</f>
        <v>0</v>
      </c>
      <c r="AB144" s="183">
        <f>SUMIFS('декабрь 2025'!$G$2:$G$2730,'декабрь 2025'!$D$2:$D$2730,$B144,'декабрь 2025'!$J$2:$J$2730,AB$1)</f>
        <v>0</v>
      </c>
      <c r="AC144" s="183">
        <f>SUMIFS('декабрь 2025'!$G$2:$G$2730,'декабрь 2025'!$D$2:$D$2730,$B144,'декабрь 2025'!$J$2:$J$2730,AC$1)</f>
        <v>0</v>
      </c>
      <c r="AD144" s="183">
        <f>SUMIFS('декабрь 2025'!$G$2:$G$2730,'декабрь 2025'!$D$2:$D$2730,$B144,'декабрь 2025'!$J$2:$J$2730,AD$1)</f>
        <v>0</v>
      </c>
      <c r="AE144" s="183">
        <f>SUMIFS('декабрь 2025'!$G$2:$G$2730,'декабрь 2025'!$D$2:$D$2730,$B144,'декабрь 2025'!$J$2:$J$2730,AE$1)</f>
        <v>0</v>
      </c>
      <c r="AF144" s="183">
        <f>SUMIFS('декабрь 2025'!$G$2:$G$2730,'декабрь 2025'!$D$2:$D$2730,$B144,'декабрь 2025'!$J$2:$J$2730,AF$1)</f>
        <v>0</v>
      </c>
      <c r="AG144" s="183">
        <f>SUMIFS('декабрь 2025'!$G$2:$G$2730,'декабрь 2025'!$D$2:$D$2730,$B144,'декабрь 2025'!$J$2:$J$2730,AG$1)</f>
        <v>0</v>
      </c>
      <c r="AH144" s="183">
        <f>SUMIFS('декабрь 2025'!$G$2:$G$2730,'декабрь 2025'!$D$2:$D$2730,$B144,'декабрь 2025'!$J$2:$J$2730,AH$1)</f>
        <v>0</v>
      </c>
      <c r="AI144" s="20">
        <f t="shared" si="1"/>
        <v>0</v>
      </c>
    </row>
    <row r="145" spans="2:35" ht="15" customHeight="1" x14ac:dyDescent="0.25">
      <c r="B145" s="84" t="s">
        <v>295</v>
      </c>
      <c r="C145" s="86">
        <v>190</v>
      </c>
      <c r="D145" s="183">
        <f>SUMIFS('декабрь 2025'!$G$2:$G$2730,'декабрь 2025'!$D$2:$D$2730,$B145,'декабрь 2025'!$J$2:$J$2730,D$1)</f>
        <v>0</v>
      </c>
      <c r="E145" s="183">
        <f>SUMIFS('декабрь 2025'!$G$2:$G$2730,'декабрь 2025'!$D$2:$D$2730,$B145,'декабрь 2025'!$J$2:$J$2730,E$1)</f>
        <v>0</v>
      </c>
      <c r="F145" s="183">
        <f>SUMIFS('декабрь 2025'!$G$2:$G$2730,'декабрь 2025'!$D$2:$D$2730,$B145,'декабрь 2025'!$J$2:$J$2730,F$1)</f>
        <v>0</v>
      </c>
      <c r="G145" s="183">
        <f>SUMIFS('декабрь 2025'!$G$2:$G$2730,'декабрь 2025'!$D$2:$D$2730,$B145,'декабрь 2025'!$J$2:$J$2730,G$1)</f>
        <v>0</v>
      </c>
      <c r="H145" s="183">
        <f>SUMIFS('декабрь 2025'!$G$2:$G$2730,'декабрь 2025'!$D$2:$D$2730,$B145,'декабрь 2025'!$J$2:$J$2730,H$1)</f>
        <v>0</v>
      </c>
      <c r="I145" s="183">
        <f>SUMIFS('декабрь 2025'!$G$2:$G$2730,'декабрь 2025'!$D$2:$D$2730,$B145,'декабрь 2025'!$J$2:$J$2730,I$1)</f>
        <v>0</v>
      </c>
      <c r="J145" s="183">
        <f>SUMIFS('декабрь 2025'!$G$2:$G$2730,'декабрь 2025'!$D$2:$D$2730,$B145,'декабрь 2025'!$J$2:$J$2730,J$1)</f>
        <v>0</v>
      </c>
      <c r="K145" s="183">
        <f>SUMIFS('декабрь 2025'!$G$2:$G$2730,'декабрь 2025'!$D$2:$D$2730,$B145,'декабрь 2025'!$J$2:$J$2730,K$1)</f>
        <v>0</v>
      </c>
      <c r="L145" s="183">
        <f>SUMIFS('декабрь 2025'!$G$2:$G$2730,'декабрь 2025'!$D$2:$D$2730,$B145,'декабрь 2025'!$J$2:$J$2730,L$1)</f>
        <v>0</v>
      </c>
      <c r="M145" s="183">
        <f>SUMIFS('декабрь 2025'!$G$2:$G$2730,'декабрь 2025'!$D$2:$D$2730,$B145,'декабрь 2025'!$J$2:$J$2730,M$1)</f>
        <v>0</v>
      </c>
      <c r="N145" s="183">
        <f>SUMIFS('декабрь 2025'!$G$2:$G$2730,'декабрь 2025'!$D$2:$D$2730,$B145,'декабрь 2025'!$J$2:$J$2730,N$1)</f>
        <v>0</v>
      </c>
      <c r="O145" s="183">
        <f>SUMIFS('декабрь 2025'!$G$2:$G$2730,'декабрь 2025'!$D$2:$D$2730,$B145,'декабрь 2025'!$J$2:$J$2730,O$1)</f>
        <v>0</v>
      </c>
      <c r="P145" s="183">
        <f>SUMIFS('декабрь 2025'!$G$2:$G$2730,'декабрь 2025'!$D$2:$D$2730,$B145,'декабрь 2025'!$J$2:$J$2730,P$1)</f>
        <v>0</v>
      </c>
      <c r="Q145" s="183">
        <f>SUMIFS('декабрь 2025'!$G$2:$G$2730,'декабрь 2025'!$D$2:$D$2730,$B145,'декабрь 2025'!$J$2:$J$2730,Q$1)</f>
        <v>0</v>
      </c>
      <c r="R145" s="183">
        <f>SUMIFS('декабрь 2025'!$G$2:$G$2730,'декабрь 2025'!$D$2:$D$2730,$B145,'декабрь 2025'!$J$2:$J$2730,R$1)</f>
        <v>0</v>
      </c>
      <c r="S145" s="183">
        <f>SUMIFS('декабрь 2025'!$G$2:$G$2730,'декабрь 2025'!$D$2:$D$2730,$B145,'декабрь 2025'!$J$2:$J$2730,S$1)</f>
        <v>0</v>
      </c>
      <c r="T145" s="183">
        <f>SUMIFS('декабрь 2025'!$G$2:$G$2730,'декабрь 2025'!$D$2:$D$2730,$B145,'декабрь 2025'!$J$2:$J$2730,T$1)</f>
        <v>0</v>
      </c>
      <c r="U145" s="183">
        <f>SUMIFS('декабрь 2025'!$G$2:$G$2730,'декабрь 2025'!$D$2:$D$2730,$B145,'декабрь 2025'!$J$2:$J$2730,U$1)</f>
        <v>0</v>
      </c>
      <c r="V145" s="183">
        <f>SUMIFS('декабрь 2025'!$G$2:$G$2730,'декабрь 2025'!$D$2:$D$2730,$B145,'декабрь 2025'!$J$2:$J$2730,V$1)</f>
        <v>0</v>
      </c>
      <c r="W145" s="183">
        <f>SUMIFS('декабрь 2025'!$G$2:$G$2730,'декабрь 2025'!$D$2:$D$2730,$B145,'декабрь 2025'!$J$2:$J$2730,W$1)</f>
        <v>0</v>
      </c>
      <c r="X145" s="183">
        <f>SUMIFS('декабрь 2025'!$G$2:$G$2730,'декабрь 2025'!$D$2:$D$2730,$B145,'декабрь 2025'!$J$2:$J$2730,X$1)</f>
        <v>0</v>
      </c>
      <c r="Y145" s="183">
        <f>SUMIFS('декабрь 2025'!$G$2:$G$2730,'декабрь 2025'!$D$2:$D$2730,$B145,'декабрь 2025'!$J$2:$J$2730,Y$1)</f>
        <v>0</v>
      </c>
      <c r="Z145" s="183">
        <f>SUMIFS('декабрь 2025'!$G$2:$G$2730,'декабрь 2025'!$D$2:$D$2730,$B145,'декабрь 2025'!$J$2:$J$2730,Z$1)</f>
        <v>0</v>
      </c>
      <c r="AA145" s="183">
        <f>SUMIFS('декабрь 2025'!$G$2:$G$2730,'декабрь 2025'!$D$2:$D$2730,$B145,'декабрь 2025'!$J$2:$J$2730,AA$1)</f>
        <v>0</v>
      </c>
      <c r="AB145" s="183">
        <f>SUMIFS('декабрь 2025'!$G$2:$G$2730,'декабрь 2025'!$D$2:$D$2730,$B145,'декабрь 2025'!$J$2:$J$2730,AB$1)</f>
        <v>0</v>
      </c>
      <c r="AC145" s="183">
        <f>SUMIFS('декабрь 2025'!$G$2:$G$2730,'декабрь 2025'!$D$2:$D$2730,$B145,'декабрь 2025'!$J$2:$J$2730,AC$1)</f>
        <v>0</v>
      </c>
      <c r="AD145" s="183">
        <f>SUMIFS('декабрь 2025'!$G$2:$G$2730,'декабрь 2025'!$D$2:$D$2730,$B145,'декабрь 2025'!$J$2:$J$2730,AD$1)</f>
        <v>0</v>
      </c>
      <c r="AE145" s="183">
        <f>SUMIFS('декабрь 2025'!$G$2:$G$2730,'декабрь 2025'!$D$2:$D$2730,$B145,'декабрь 2025'!$J$2:$J$2730,AE$1)</f>
        <v>0</v>
      </c>
      <c r="AF145" s="183">
        <f>SUMIFS('декабрь 2025'!$G$2:$G$2730,'декабрь 2025'!$D$2:$D$2730,$B145,'декабрь 2025'!$J$2:$J$2730,AF$1)</f>
        <v>0</v>
      </c>
      <c r="AG145" s="183">
        <f>SUMIFS('декабрь 2025'!$G$2:$G$2730,'декабрь 2025'!$D$2:$D$2730,$B145,'декабрь 2025'!$J$2:$J$2730,AG$1)</f>
        <v>0</v>
      </c>
      <c r="AH145" s="183">
        <f>SUMIFS('декабрь 2025'!$G$2:$G$2730,'декабрь 2025'!$D$2:$D$2730,$B145,'декабрь 2025'!$J$2:$J$2730,AH$1)</f>
        <v>0</v>
      </c>
      <c r="AI145" s="20">
        <f t="shared" si="1"/>
        <v>0</v>
      </c>
    </row>
    <row r="146" spans="2:35" ht="15" customHeight="1" x14ac:dyDescent="0.25">
      <c r="B146" s="84" t="s">
        <v>269</v>
      </c>
      <c r="C146" s="86">
        <v>200</v>
      </c>
      <c r="D146" s="183">
        <f>SUMIFS('декабрь 2025'!$G$2:$G$2730,'декабрь 2025'!$D$2:$D$2730,$B146,'декабрь 2025'!$J$2:$J$2730,D$1)</f>
        <v>0</v>
      </c>
      <c r="E146" s="183">
        <f>SUMIFS('декабрь 2025'!$G$2:$G$2730,'декабрь 2025'!$D$2:$D$2730,$B146,'декабрь 2025'!$J$2:$J$2730,E$1)</f>
        <v>0</v>
      </c>
      <c r="F146" s="183">
        <f>SUMIFS('декабрь 2025'!$G$2:$G$2730,'декабрь 2025'!$D$2:$D$2730,$B146,'декабрь 2025'!$J$2:$J$2730,F$1)</f>
        <v>0</v>
      </c>
      <c r="G146" s="183">
        <f>SUMIFS('декабрь 2025'!$G$2:$G$2730,'декабрь 2025'!$D$2:$D$2730,$B146,'декабрь 2025'!$J$2:$J$2730,G$1)</f>
        <v>0</v>
      </c>
      <c r="H146" s="183">
        <f>SUMIFS('декабрь 2025'!$G$2:$G$2730,'декабрь 2025'!$D$2:$D$2730,$B146,'декабрь 2025'!$J$2:$J$2730,H$1)</f>
        <v>0</v>
      </c>
      <c r="I146" s="183">
        <f>SUMIFS('декабрь 2025'!$G$2:$G$2730,'декабрь 2025'!$D$2:$D$2730,$B146,'декабрь 2025'!$J$2:$J$2730,I$1)</f>
        <v>0</v>
      </c>
      <c r="J146" s="183">
        <f>SUMIFS('декабрь 2025'!$G$2:$G$2730,'декабрь 2025'!$D$2:$D$2730,$B146,'декабрь 2025'!$J$2:$J$2730,J$1)</f>
        <v>0</v>
      </c>
      <c r="K146" s="183">
        <f>SUMIFS('декабрь 2025'!$G$2:$G$2730,'декабрь 2025'!$D$2:$D$2730,$B146,'декабрь 2025'!$J$2:$J$2730,K$1)</f>
        <v>0</v>
      </c>
      <c r="L146" s="183">
        <f>SUMIFS('декабрь 2025'!$G$2:$G$2730,'декабрь 2025'!$D$2:$D$2730,$B146,'декабрь 2025'!$J$2:$J$2730,L$1)</f>
        <v>0</v>
      </c>
      <c r="M146" s="183">
        <f>SUMIFS('декабрь 2025'!$G$2:$G$2730,'декабрь 2025'!$D$2:$D$2730,$B146,'декабрь 2025'!$J$2:$J$2730,M$1)</f>
        <v>0</v>
      </c>
      <c r="N146" s="183">
        <f>SUMIFS('декабрь 2025'!$G$2:$G$2730,'декабрь 2025'!$D$2:$D$2730,$B146,'декабрь 2025'!$J$2:$J$2730,N$1)</f>
        <v>0</v>
      </c>
      <c r="O146" s="183">
        <f>SUMIFS('декабрь 2025'!$G$2:$G$2730,'декабрь 2025'!$D$2:$D$2730,$B146,'декабрь 2025'!$J$2:$J$2730,O$1)</f>
        <v>0</v>
      </c>
      <c r="P146" s="183">
        <f>SUMIFS('декабрь 2025'!$G$2:$G$2730,'декабрь 2025'!$D$2:$D$2730,$B146,'декабрь 2025'!$J$2:$J$2730,P$1)</f>
        <v>0</v>
      </c>
      <c r="Q146" s="183">
        <f>SUMIFS('декабрь 2025'!$G$2:$G$2730,'декабрь 2025'!$D$2:$D$2730,$B146,'декабрь 2025'!$J$2:$J$2730,Q$1)</f>
        <v>0</v>
      </c>
      <c r="R146" s="183">
        <f>SUMIFS('декабрь 2025'!$G$2:$G$2730,'декабрь 2025'!$D$2:$D$2730,$B146,'декабрь 2025'!$J$2:$J$2730,R$1)</f>
        <v>0</v>
      </c>
      <c r="S146" s="183">
        <f>SUMIFS('декабрь 2025'!$G$2:$G$2730,'декабрь 2025'!$D$2:$D$2730,$B146,'декабрь 2025'!$J$2:$J$2730,S$1)</f>
        <v>0</v>
      </c>
      <c r="T146" s="183">
        <f>SUMIFS('декабрь 2025'!$G$2:$G$2730,'декабрь 2025'!$D$2:$D$2730,$B146,'декабрь 2025'!$J$2:$J$2730,T$1)</f>
        <v>0</v>
      </c>
      <c r="U146" s="183">
        <f>SUMIFS('декабрь 2025'!$G$2:$G$2730,'декабрь 2025'!$D$2:$D$2730,$B146,'декабрь 2025'!$J$2:$J$2730,U$1)</f>
        <v>0</v>
      </c>
      <c r="V146" s="183">
        <f>SUMIFS('декабрь 2025'!$G$2:$G$2730,'декабрь 2025'!$D$2:$D$2730,$B146,'декабрь 2025'!$J$2:$J$2730,V$1)</f>
        <v>0</v>
      </c>
      <c r="W146" s="183">
        <f>SUMIFS('декабрь 2025'!$G$2:$G$2730,'декабрь 2025'!$D$2:$D$2730,$B146,'декабрь 2025'!$J$2:$J$2730,W$1)</f>
        <v>0</v>
      </c>
      <c r="X146" s="183">
        <f>SUMIFS('декабрь 2025'!$G$2:$G$2730,'декабрь 2025'!$D$2:$D$2730,$B146,'декабрь 2025'!$J$2:$J$2730,X$1)</f>
        <v>0</v>
      </c>
      <c r="Y146" s="183">
        <f>SUMIFS('декабрь 2025'!$G$2:$G$2730,'декабрь 2025'!$D$2:$D$2730,$B146,'декабрь 2025'!$J$2:$J$2730,Y$1)</f>
        <v>0</v>
      </c>
      <c r="Z146" s="183">
        <f>SUMIFS('декабрь 2025'!$G$2:$G$2730,'декабрь 2025'!$D$2:$D$2730,$B146,'декабрь 2025'!$J$2:$J$2730,Z$1)</f>
        <v>0</v>
      </c>
      <c r="AA146" s="183">
        <f>SUMIFS('декабрь 2025'!$G$2:$G$2730,'декабрь 2025'!$D$2:$D$2730,$B146,'декабрь 2025'!$J$2:$J$2730,AA$1)</f>
        <v>0</v>
      </c>
      <c r="AB146" s="183">
        <f>SUMIFS('декабрь 2025'!$G$2:$G$2730,'декабрь 2025'!$D$2:$D$2730,$B146,'декабрь 2025'!$J$2:$J$2730,AB$1)</f>
        <v>0</v>
      </c>
      <c r="AC146" s="183">
        <f>SUMIFS('декабрь 2025'!$G$2:$G$2730,'декабрь 2025'!$D$2:$D$2730,$B146,'декабрь 2025'!$J$2:$J$2730,AC$1)</f>
        <v>0</v>
      </c>
      <c r="AD146" s="183">
        <f>SUMIFS('декабрь 2025'!$G$2:$G$2730,'декабрь 2025'!$D$2:$D$2730,$B146,'декабрь 2025'!$J$2:$J$2730,AD$1)</f>
        <v>0</v>
      </c>
      <c r="AE146" s="183">
        <f>SUMIFS('декабрь 2025'!$G$2:$G$2730,'декабрь 2025'!$D$2:$D$2730,$B146,'декабрь 2025'!$J$2:$J$2730,AE$1)</f>
        <v>0</v>
      </c>
      <c r="AF146" s="183">
        <f>SUMIFS('декабрь 2025'!$G$2:$G$2730,'декабрь 2025'!$D$2:$D$2730,$B146,'декабрь 2025'!$J$2:$J$2730,AF$1)</f>
        <v>0</v>
      </c>
      <c r="AG146" s="183">
        <f>SUMIFS('декабрь 2025'!$G$2:$G$2730,'декабрь 2025'!$D$2:$D$2730,$B146,'декабрь 2025'!$J$2:$J$2730,AG$1)</f>
        <v>0</v>
      </c>
      <c r="AH146" s="183">
        <f>SUMIFS('декабрь 2025'!$G$2:$G$2730,'декабрь 2025'!$D$2:$D$2730,$B146,'декабрь 2025'!$J$2:$J$2730,AH$1)</f>
        <v>0</v>
      </c>
      <c r="AI146" s="20">
        <f t="shared" si="1"/>
        <v>0</v>
      </c>
    </row>
    <row r="147" spans="2:35" ht="15" customHeight="1" x14ac:dyDescent="0.25">
      <c r="B147" s="84" t="s">
        <v>279</v>
      </c>
      <c r="C147" s="86">
        <v>200</v>
      </c>
      <c r="D147" s="183">
        <f>SUMIFS('декабрь 2025'!$G$2:$G$2730,'декабрь 2025'!$D$2:$D$2730,$B147,'декабрь 2025'!$J$2:$J$2730,D$1)</f>
        <v>0</v>
      </c>
      <c r="E147" s="183">
        <f>SUMIFS('декабрь 2025'!$G$2:$G$2730,'декабрь 2025'!$D$2:$D$2730,$B147,'декабрь 2025'!$J$2:$J$2730,E$1)</f>
        <v>0</v>
      </c>
      <c r="F147" s="183">
        <f>SUMIFS('декабрь 2025'!$G$2:$G$2730,'декабрь 2025'!$D$2:$D$2730,$B147,'декабрь 2025'!$J$2:$J$2730,F$1)</f>
        <v>0</v>
      </c>
      <c r="G147" s="183">
        <f>SUMIFS('декабрь 2025'!$G$2:$G$2730,'декабрь 2025'!$D$2:$D$2730,$B147,'декабрь 2025'!$J$2:$J$2730,G$1)</f>
        <v>0</v>
      </c>
      <c r="H147" s="183">
        <f>SUMIFS('декабрь 2025'!$G$2:$G$2730,'декабрь 2025'!$D$2:$D$2730,$B147,'декабрь 2025'!$J$2:$J$2730,H$1)</f>
        <v>0</v>
      </c>
      <c r="I147" s="183">
        <f>SUMIFS('декабрь 2025'!$G$2:$G$2730,'декабрь 2025'!$D$2:$D$2730,$B147,'декабрь 2025'!$J$2:$J$2730,I$1)</f>
        <v>0</v>
      </c>
      <c r="J147" s="183">
        <f>SUMIFS('декабрь 2025'!$G$2:$G$2730,'декабрь 2025'!$D$2:$D$2730,$B147,'декабрь 2025'!$J$2:$J$2730,J$1)</f>
        <v>0</v>
      </c>
      <c r="K147" s="183">
        <f>SUMIFS('декабрь 2025'!$G$2:$G$2730,'декабрь 2025'!$D$2:$D$2730,$B147,'декабрь 2025'!$J$2:$J$2730,K$1)</f>
        <v>0</v>
      </c>
      <c r="L147" s="183">
        <f>SUMIFS('декабрь 2025'!$G$2:$G$2730,'декабрь 2025'!$D$2:$D$2730,$B147,'декабрь 2025'!$J$2:$J$2730,L$1)</f>
        <v>0</v>
      </c>
      <c r="M147" s="183">
        <f>SUMIFS('декабрь 2025'!$G$2:$G$2730,'декабрь 2025'!$D$2:$D$2730,$B147,'декабрь 2025'!$J$2:$J$2730,M$1)</f>
        <v>0</v>
      </c>
      <c r="N147" s="183">
        <f>SUMIFS('декабрь 2025'!$G$2:$G$2730,'декабрь 2025'!$D$2:$D$2730,$B147,'декабрь 2025'!$J$2:$J$2730,N$1)</f>
        <v>0</v>
      </c>
      <c r="O147" s="183">
        <f>SUMIFS('декабрь 2025'!$G$2:$G$2730,'декабрь 2025'!$D$2:$D$2730,$B147,'декабрь 2025'!$J$2:$J$2730,O$1)</f>
        <v>0</v>
      </c>
      <c r="P147" s="183">
        <f>SUMIFS('декабрь 2025'!$G$2:$G$2730,'декабрь 2025'!$D$2:$D$2730,$B147,'декабрь 2025'!$J$2:$J$2730,P$1)</f>
        <v>0</v>
      </c>
      <c r="Q147" s="183">
        <f>SUMIFS('декабрь 2025'!$G$2:$G$2730,'декабрь 2025'!$D$2:$D$2730,$B147,'декабрь 2025'!$J$2:$J$2730,Q$1)</f>
        <v>0</v>
      </c>
      <c r="R147" s="183">
        <f>SUMIFS('декабрь 2025'!$G$2:$G$2730,'декабрь 2025'!$D$2:$D$2730,$B147,'декабрь 2025'!$J$2:$J$2730,R$1)</f>
        <v>0</v>
      </c>
      <c r="S147" s="183">
        <f>SUMIFS('декабрь 2025'!$G$2:$G$2730,'декабрь 2025'!$D$2:$D$2730,$B147,'декабрь 2025'!$J$2:$J$2730,S$1)</f>
        <v>0</v>
      </c>
      <c r="T147" s="183">
        <f>SUMIFS('декабрь 2025'!$G$2:$G$2730,'декабрь 2025'!$D$2:$D$2730,$B147,'декабрь 2025'!$J$2:$J$2730,T$1)</f>
        <v>0</v>
      </c>
      <c r="U147" s="183">
        <f>SUMIFS('декабрь 2025'!$G$2:$G$2730,'декабрь 2025'!$D$2:$D$2730,$B147,'декабрь 2025'!$J$2:$J$2730,U$1)</f>
        <v>0</v>
      </c>
      <c r="V147" s="183">
        <f>SUMIFS('декабрь 2025'!$G$2:$G$2730,'декабрь 2025'!$D$2:$D$2730,$B147,'декабрь 2025'!$J$2:$J$2730,V$1)</f>
        <v>0</v>
      </c>
      <c r="W147" s="183">
        <f>SUMIFS('декабрь 2025'!$G$2:$G$2730,'декабрь 2025'!$D$2:$D$2730,$B147,'декабрь 2025'!$J$2:$J$2730,W$1)</f>
        <v>0</v>
      </c>
      <c r="X147" s="183">
        <f>SUMIFS('декабрь 2025'!$G$2:$G$2730,'декабрь 2025'!$D$2:$D$2730,$B147,'декабрь 2025'!$J$2:$J$2730,X$1)</f>
        <v>0</v>
      </c>
      <c r="Y147" s="183">
        <f>SUMIFS('декабрь 2025'!$G$2:$G$2730,'декабрь 2025'!$D$2:$D$2730,$B147,'декабрь 2025'!$J$2:$J$2730,Y$1)</f>
        <v>0</v>
      </c>
      <c r="Z147" s="183">
        <f>SUMIFS('декабрь 2025'!$G$2:$G$2730,'декабрь 2025'!$D$2:$D$2730,$B147,'декабрь 2025'!$J$2:$J$2730,Z$1)</f>
        <v>0</v>
      </c>
      <c r="AA147" s="183">
        <f>SUMIFS('декабрь 2025'!$G$2:$G$2730,'декабрь 2025'!$D$2:$D$2730,$B147,'декабрь 2025'!$J$2:$J$2730,AA$1)</f>
        <v>0</v>
      </c>
      <c r="AB147" s="183">
        <f>SUMIFS('декабрь 2025'!$G$2:$G$2730,'декабрь 2025'!$D$2:$D$2730,$B147,'декабрь 2025'!$J$2:$J$2730,AB$1)</f>
        <v>0</v>
      </c>
      <c r="AC147" s="183">
        <f>SUMIFS('декабрь 2025'!$G$2:$G$2730,'декабрь 2025'!$D$2:$D$2730,$B147,'декабрь 2025'!$J$2:$J$2730,AC$1)</f>
        <v>0</v>
      </c>
      <c r="AD147" s="183">
        <f>SUMIFS('декабрь 2025'!$G$2:$G$2730,'декабрь 2025'!$D$2:$D$2730,$B147,'декабрь 2025'!$J$2:$J$2730,AD$1)</f>
        <v>0</v>
      </c>
      <c r="AE147" s="183">
        <f>SUMIFS('декабрь 2025'!$G$2:$G$2730,'декабрь 2025'!$D$2:$D$2730,$B147,'декабрь 2025'!$J$2:$J$2730,AE$1)</f>
        <v>0</v>
      </c>
      <c r="AF147" s="183">
        <f>SUMIFS('декабрь 2025'!$G$2:$G$2730,'декабрь 2025'!$D$2:$D$2730,$B147,'декабрь 2025'!$J$2:$J$2730,AF$1)</f>
        <v>0</v>
      </c>
      <c r="AG147" s="183">
        <f>SUMIFS('декабрь 2025'!$G$2:$G$2730,'декабрь 2025'!$D$2:$D$2730,$B147,'декабрь 2025'!$J$2:$J$2730,AG$1)</f>
        <v>0</v>
      </c>
      <c r="AH147" s="183">
        <f>SUMIFS('декабрь 2025'!$G$2:$G$2730,'декабрь 2025'!$D$2:$D$2730,$B147,'декабрь 2025'!$J$2:$J$2730,AH$1)</f>
        <v>0</v>
      </c>
      <c r="AI147" s="20">
        <f t="shared" si="1"/>
        <v>0</v>
      </c>
    </row>
    <row r="148" spans="2:35" ht="15" customHeight="1" x14ac:dyDescent="0.25">
      <c r="B148" s="84" t="s">
        <v>197</v>
      </c>
      <c r="C148" s="86">
        <v>180</v>
      </c>
      <c r="D148" s="183">
        <f>SUMIFS('декабрь 2025'!$G$2:$G$2730,'декабрь 2025'!$D$2:$D$2730,$B148,'декабрь 2025'!$J$2:$J$2730,D$1)</f>
        <v>0</v>
      </c>
      <c r="E148" s="183">
        <f>SUMIFS('декабрь 2025'!$G$2:$G$2730,'декабрь 2025'!$D$2:$D$2730,$B148,'декабрь 2025'!$J$2:$J$2730,E$1)</f>
        <v>0</v>
      </c>
      <c r="F148" s="183">
        <f>SUMIFS('декабрь 2025'!$G$2:$G$2730,'декабрь 2025'!$D$2:$D$2730,$B148,'декабрь 2025'!$J$2:$J$2730,F$1)</f>
        <v>0</v>
      </c>
      <c r="G148" s="183">
        <f>SUMIFS('декабрь 2025'!$G$2:$G$2730,'декабрь 2025'!$D$2:$D$2730,$B148,'декабрь 2025'!$J$2:$J$2730,G$1)</f>
        <v>0</v>
      </c>
      <c r="H148" s="183">
        <f>SUMIFS('декабрь 2025'!$G$2:$G$2730,'декабрь 2025'!$D$2:$D$2730,$B148,'декабрь 2025'!$J$2:$J$2730,H$1)</f>
        <v>0</v>
      </c>
      <c r="I148" s="183">
        <f>SUMIFS('декабрь 2025'!$G$2:$G$2730,'декабрь 2025'!$D$2:$D$2730,$B148,'декабрь 2025'!$J$2:$J$2730,I$1)</f>
        <v>0</v>
      </c>
      <c r="J148" s="183">
        <f>SUMIFS('декабрь 2025'!$G$2:$G$2730,'декабрь 2025'!$D$2:$D$2730,$B148,'декабрь 2025'!$J$2:$J$2730,J$1)</f>
        <v>0</v>
      </c>
      <c r="K148" s="183">
        <f>SUMIFS('декабрь 2025'!$G$2:$G$2730,'декабрь 2025'!$D$2:$D$2730,$B148,'декабрь 2025'!$J$2:$J$2730,K$1)</f>
        <v>0</v>
      </c>
      <c r="L148" s="183">
        <f>SUMIFS('декабрь 2025'!$G$2:$G$2730,'декабрь 2025'!$D$2:$D$2730,$B148,'декабрь 2025'!$J$2:$J$2730,L$1)</f>
        <v>0</v>
      </c>
      <c r="M148" s="183">
        <f>SUMIFS('декабрь 2025'!$G$2:$G$2730,'декабрь 2025'!$D$2:$D$2730,$B148,'декабрь 2025'!$J$2:$J$2730,M$1)</f>
        <v>0</v>
      </c>
      <c r="N148" s="183">
        <f>SUMIFS('декабрь 2025'!$G$2:$G$2730,'декабрь 2025'!$D$2:$D$2730,$B148,'декабрь 2025'!$J$2:$J$2730,N$1)</f>
        <v>0</v>
      </c>
      <c r="O148" s="183">
        <f>SUMIFS('декабрь 2025'!$G$2:$G$2730,'декабрь 2025'!$D$2:$D$2730,$B148,'декабрь 2025'!$J$2:$J$2730,O$1)</f>
        <v>0</v>
      </c>
      <c r="P148" s="183">
        <f>SUMIFS('декабрь 2025'!$G$2:$G$2730,'декабрь 2025'!$D$2:$D$2730,$B148,'декабрь 2025'!$J$2:$J$2730,P$1)</f>
        <v>0</v>
      </c>
      <c r="Q148" s="183">
        <f>SUMIFS('декабрь 2025'!$G$2:$G$2730,'декабрь 2025'!$D$2:$D$2730,$B148,'декабрь 2025'!$J$2:$J$2730,Q$1)</f>
        <v>0</v>
      </c>
      <c r="R148" s="183">
        <f>SUMIFS('декабрь 2025'!$G$2:$G$2730,'декабрь 2025'!$D$2:$D$2730,$B148,'декабрь 2025'!$J$2:$J$2730,R$1)</f>
        <v>0</v>
      </c>
      <c r="S148" s="183">
        <f>SUMIFS('декабрь 2025'!$G$2:$G$2730,'декабрь 2025'!$D$2:$D$2730,$B148,'декабрь 2025'!$J$2:$J$2730,S$1)</f>
        <v>0</v>
      </c>
      <c r="T148" s="183">
        <f>SUMIFS('декабрь 2025'!$G$2:$G$2730,'декабрь 2025'!$D$2:$D$2730,$B148,'декабрь 2025'!$J$2:$J$2730,T$1)</f>
        <v>0</v>
      </c>
      <c r="U148" s="183">
        <f>SUMIFS('декабрь 2025'!$G$2:$G$2730,'декабрь 2025'!$D$2:$D$2730,$B148,'декабрь 2025'!$J$2:$J$2730,U$1)</f>
        <v>0</v>
      </c>
      <c r="V148" s="183">
        <f>SUMIFS('декабрь 2025'!$G$2:$G$2730,'декабрь 2025'!$D$2:$D$2730,$B148,'декабрь 2025'!$J$2:$J$2730,V$1)</f>
        <v>0</v>
      </c>
      <c r="W148" s="183">
        <f>SUMIFS('декабрь 2025'!$G$2:$G$2730,'декабрь 2025'!$D$2:$D$2730,$B148,'декабрь 2025'!$J$2:$J$2730,W$1)</f>
        <v>0</v>
      </c>
      <c r="X148" s="183">
        <f>SUMIFS('декабрь 2025'!$G$2:$G$2730,'декабрь 2025'!$D$2:$D$2730,$B148,'декабрь 2025'!$J$2:$J$2730,X$1)</f>
        <v>0</v>
      </c>
      <c r="Y148" s="183">
        <f>SUMIFS('декабрь 2025'!$G$2:$G$2730,'декабрь 2025'!$D$2:$D$2730,$B148,'декабрь 2025'!$J$2:$J$2730,Y$1)</f>
        <v>0</v>
      </c>
      <c r="Z148" s="183">
        <f>SUMIFS('декабрь 2025'!$G$2:$G$2730,'декабрь 2025'!$D$2:$D$2730,$B148,'декабрь 2025'!$J$2:$J$2730,Z$1)</f>
        <v>0</v>
      </c>
      <c r="AA148" s="183">
        <f>SUMIFS('декабрь 2025'!$G$2:$G$2730,'декабрь 2025'!$D$2:$D$2730,$B148,'декабрь 2025'!$J$2:$J$2730,AA$1)</f>
        <v>0</v>
      </c>
      <c r="AB148" s="183">
        <f>SUMIFS('декабрь 2025'!$G$2:$G$2730,'декабрь 2025'!$D$2:$D$2730,$B148,'декабрь 2025'!$J$2:$J$2730,AB$1)</f>
        <v>0</v>
      </c>
      <c r="AC148" s="183">
        <f>SUMIFS('декабрь 2025'!$G$2:$G$2730,'декабрь 2025'!$D$2:$D$2730,$B148,'декабрь 2025'!$J$2:$J$2730,AC$1)</f>
        <v>0</v>
      </c>
      <c r="AD148" s="183">
        <f>SUMIFS('декабрь 2025'!$G$2:$G$2730,'декабрь 2025'!$D$2:$D$2730,$B148,'декабрь 2025'!$J$2:$J$2730,AD$1)</f>
        <v>0</v>
      </c>
      <c r="AE148" s="183">
        <f>SUMIFS('декабрь 2025'!$G$2:$G$2730,'декабрь 2025'!$D$2:$D$2730,$B148,'декабрь 2025'!$J$2:$J$2730,AE$1)</f>
        <v>0</v>
      </c>
      <c r="AF148" s="183">
        <f>SUMIFS('декабрь 2025'!$G$2:$G$2730,'декабрь 2025'!$D$2:$D$2730,$B148,'декабрь 2025'!$J$2:$J$2730,AF$1)</f>
        <v>0</v>
      </c>
      <c r="AG148" s="183">
        <f>SUMIFS('декабрь 2025'!$G$2:$G$2730,'декабрь 2025'!$D$2:$D$2730,$B148,'декабрь 2025'!$J$2:$J$2730,AG$1)</f>
        <v>0</v>
      </c>
      <c r="AH148" s="183">
        <f>SUMIFS('декабрь 2025'!$G$2:$G$2730,'декабрь 2025'!$D$2:$D$2730,$B148,'декабрь 2025'!$J$2:$J$2730,AH$1)</f>
        <v>0</v>
      </c>
      <c r="AI148" s="20">
        <f t="shared" si="1"/>
        <v>0</v>
      </c>
    </row>
    <row r="149" spans="2:35" ht="15" customHeight="1" x14ac:dyDescent="0.25">
      <c r="B149" s="88" t="s">
        <v>293</v>
      </c>
      <c r="C149" s="86">
        <v>180</v>
      </c>
      <c r="D149" s="183">
        <f>SUMIFS('декабрь 2025'!$G$2:$G$2730,'декабрь 2025'!$D$2:$D$2730,$B149,'декабрь 2025'!$J$2:$J$2730,D$1)</f>
        <v>0</v>
      </c>
      <c r="E149" s="183">
        <f>SUMIFS('декабрь 2025'!$G$2:$G$2730,'декабрь 2025'!$D$2:$D$2730,$B149,'декабрь 2025'!$J$2:$J$2730,E$1)</f>
        <v>0</v>
      </c>
      <c r="F149" s="183">
        <f>SUMIFS('декабрь 2025'!$G$2:$G$2730,'декабрь 2025'!$D$2:$D$2730,$B149,'декабрь 2025'!$J$2:$J$2730,F$1)</f>
        <v>0</v>
      </c>
      <c r="G149" s="183">
        <f>SUMIFS('декабрь 2025'!$G$2:$G$2730,'декабрь 2025'!$D$2:$D$2730,$B149,'декабрь 2025'!$J$2:$J$2730,G$1)</f>
        <v>0</v>
      </c>
      <c r="H149" s="183">
        <f>SUMIFS('декабрь 2025'!$G$2:$G$2730,'декабрь 2025'!$D$2:$D$2730,$B149,'декабрь 2025'!$J$2:$J$2730,H$1)</f>
        <v>0</v>
      </c>
      <c r="I149" s="183">
        <f>SUMIFS('декабрь 2025'!$G$2:$G$2730,'декабрь 2025'!$D$2:$D$2730,$B149,'декабрь 2025'!$J$2:$J$2730,I$1)</f>
        <v>0</v>
      </c>
      <c r="J149" s="183">
        <f>SUMIFS('декабрь 2025'!$G$2:$G$2730,'декабрь 2025'!$D$2:$D$2730,$B149,'декабрь 2025'!$J$2:$J$2730,J$1)</f>
        <v>0</v>
      </c>
      <c r="K149" s="183">
        <f>SUMIFS('декабрь 2025'!$G$2:$G$2730,'декабрь 2025'!$D$2:$D$2730,$B149,'декабрь 2025'!$J$2:$J$2730,K$1)</f>
        <v>0</v>
      </c>
      <c r="L149" s="183">
        <f>SUMIFS('декабрь 2025'!$G$2:$G$2730,'декабрь 2025'!$D$2:$D$2730,$B149,'декабрь 2025'!$J$2:$J$2730,L$1)</f>
        <v>0</v>
      </c>
      <c r="M149" s="183">
        <f>SUMIFS('декабрь 2025'!$G$2:$G$2730,'декабрь 2025'!$D$2:$D$2730,$B149,'декабрь 2025'!$J$2:$J$2730,M$1)</f>
        <v>0</v>
      </c>
      <c r="N149" s="183">
        <f>SUMIFS('декабрь 2025'!$G$2:$G$2730,'декабрь 2025'!$D$2:$D$2730,$B149,'декабрь 2025'!$J$2:$J$2730,N$1)</f>
        <v>0</v>
      </c>
      <c r="O149" s="183">
        <f>SUMIFS('декабрь 2025'!$G$2:$G$2730,'декабрь 2025'!$D$2:$D$2730,$B149,'декабрь 2025'!$J$2:$J$2730,O$1)</f>
        <v>0</v>
      </c>
      <c r="P149" s="183">
        <f>SUMIFS('декабрь 2025'!$G$2:$G$2730,'декабрь 2025'!$D$2:$D$2730,$B149,'декабрь 2025'!$J$2:$J$2730,P$1)</f>
        <v>0</v>
      </c>
      <c r="Q149" s="183">
        <f>SUMIFS('декабрь 2025'!$G$2:$G$2730,'декабрь 2025'!$D$2:$D$2730,$B149,'декабрь 2025'!$J$2:$J$2730,Q$1)</f>
        <v>0</v>
      </c>
      <c r="R149" s="183">
        <f>SUMIFS('декабрь 2025'!$G$2:$G$2730,'декабрь 2025'!$D$2:$D$2730,$B149,'декабрь 2025'!$J$2:$J$2730,R$1)</f>
        <v>0</v>
      </c>
      <c r="S149" s="183">
        <f>SUMIFS('декабрь 2025'!$G$2:$G$2730,'декабрь 2025'!$D$2:$D$2730,$B149,'декабрь 2025'!$J$2:$J$2730,S$1)</f>
        <v>0</v>
      </c>
      <c r="T149" s="183">
        <f>SUMIFS('декабрь 2025'!$G$2:$G$2730,'декабрь 2025'!$D$2:$D$2730,$B149,'декабрь 2025'!$J$2:$J$2730,T$1)</f>
        <v>0</v>
      </c>
      <c r="U149" s="183">
        <f>SUMIFS('декабрь 2025'!$G$2:$G$2730,'декабрь 2025'!$D$2:$D$2730,$B149,'декабрь 2025'!$J$2:$J$2730,U$1)</f>
        <v>0</v>
      </c>
      <c r="V149" s="183">
        <f>SUMIFS('декабрь 2025'!$G$2:$G$2730,'декабрь 2025'!$D$2:$D$2730,$B149,'декабрь 2025'!$J$2:$J$2730,V$1)</f>
        <v>0</v>
      </c>
      <c r="W149" s="183">
        <f>SUMIFS('декабрь 2025'!$G$2:$G$2730,'декабрь 2025'!$D$2:$D$2730,$B149,'декабрь 2025'!$J$2:$J$2730,W$1)</f>
        <v>0</v>
      </c>
      <c r="X149" s="183">
        <f>SUMIFS('декабрь 2025'!$G$2:$G$2730,'декабрь 2025'!$D$2:$D$2730,$B149,'декабрь 2025'!$J$2:$J$2730,X$1)</f>
        <v>0</v>
      </c>
      <c r="Y149" s="183">
        <f>SUMIFS('декабрь 2025'!$G$2:$G$2730,'декабрь 2025'!$D$2:$D$2730,$B149,'декабрь 2025'!$J$2:$J$2730,Y$1)</f>
        <v>0</v>
      </c>
      <c r="Z149" s="183">
        <f>SUMIFS('декабрь 2025'!$G$2:$G$2730,'декабрь 2025'!$D$2:$D$2730,$B149,'декабрь 2025'!$J$2:$J$2730,Z$1)</f>
        <v>0</v>
      </c>
      <c r="AA149" s="183">
        <f>SUMIFS('декабрь 2025'!$G$2:$G$2730,'декабрь 2025'!$D$2:$D$2730,$B149,'декабрь 2025'!$J$2:$J$2730,AA$1)</f>
        <v>0</v>
      </c>
      <c r="AB149" s="183">
        <f>SUMIFS('декабрь 2025'!$G$2:$G$2730,'декабрь 2025'!$D$2:$D$2730,$B149,'декабрь 2025'!$J$2:$J$2730,AB$1)</f>
        <v>0</v>
      </c>
      <c r="AC149" s="183">
        <f>SUMIFS('декабрь 2025'!$G$2:$G$2730,'декабрь 2025'!$D$2:$D$2730,$B149,'декабрь 2025'!$J$2:$J$2730,AC$1)</f>
        <v>0</v>
      </c>
      <c r="AD149" s="183">
        <f>SUMIFS('декабрь 2025'!$G$2:$G$2730,'декабрь 2025'!$D$2:$D$2730,$B149,'декабрь 2025'!$J$2:$J$2730,AD$1)</f>
        <v>0</v>
      </c>
      <c r="AE149" s="183">
        <f>SUMIFS('декабрь 2025'!$G$2:$G$2730,'декабрь 2025'!$D$2:$D$2730,$B149,'декабрь 2025'!$J$2:$J$2730,AE$1)</f>
        <v>0</v>
      </c>
      <c r="AF149" s="183">
        <f>SUMIFS('декабрь 2025'!$G$2:$G$2730,'декабрь 2025'!$D$2:$D$2730,$B149,'декабрь 2025'!$J$2:$J$2730,AF$1)</f>
        <v>0</v>
      </c>
      <c r="AG149" s="183">
        <f>SUMIFS('декабрь 2025'!$G$2:$G$2730,'декабрь 2025'!$D$2:$D$2730,$B149,'декабрь 2025'!$J$2:$J$2730,AG$1)</f>
        <v>0</v>
      </c>
      <c r="AH149" s="183">
        <f>SUMIFS('декабрь 2025'!$G$2:$G$2730,'декабрь 2025'!$D$2:$D$2730,$B149,'декабрь 2025'!$J$2:$J$2730,AH$1)</f>
        <v>0</v>
      </c>
      <c r="AI149" s="20">
        <f t="shared" si="1"/>
        <v>0</v>
      </c>
    </row>
    <row r="150" spans="2:35" ht="15" customHeight="1" x14ac:dyDescent="0.25">
      <c r="B150" s="88" t="s">
        <v>181</v>
      </c>
      <c r="C150" s="86">
        <v>190</v>
      </c>
      <c r="D150" s="183">
        <f>SUMIFS('декабрь 2025'!$G$2:$G$2730,'декабрь 2025'!$D$2:$D$2730,$B150,'декабрь 2025'!$J$2:$J$2730,D$1)</f>
        <v>0</v>
      </c>
      <c r="E150" s="183">
        <f>SUMIFS('декабрь 2025'!$G$2:$G$2730,'декабрь 2025'!$D$2:$D$2730,$B150,'декабрь 2025'!$J$2:$J$2730,E$1)</f>
        <v>0</v>
      </c>
      <c r="F150" s="183">
        <f>SUMIFS('декабрь 2025'!$G$2:$G$2730,'декабрь 2025'!$D$2:$D$2730,$B150,'декабрь 2025'!$J$2:$J$2730,F$1)</f>
        <v>0</v>
      </c>
      <c r="G150" s="183">
        <f>SUMIFS('декабрь 2025'!$G$2:$G$2730,'декабрь 2025'!$D$2:$D$2730,$B150,'декабрь 2025'!$J$2:$J$2730,G$1)</f>
        <v>0</v>
      </c>
      <c r="H150" s="183">
        <f>SUMIFS('декабрь 2025'!$G$2:$G$2730,'декабрь 2025'!$D$2:$D$2730,$B150,'декабрь 2025'!$J$2:$J$2730,H$1)</f>
        <v>0</v>
      </c>
      <c r="I150" s="183">
        <f>SUMIFS('декабрь 2025'!$G$2:$G$2730,'декабрь 2025'!$D$2:$D$2730,$B150,'декабрь 2025'!$J$2:$J$2730,I$1)</f>
        <v>0</v>
      </c>
      <c r="J150" s="183">
        <f>SUMIFS('декабрь 2025'!$G$2:$G$2730,'декабрь 2025'!$D$2:$D$2730,$B150,'декабрь 2025'!$J$2:$J$2730,J$1)</f>
        <v>0</v>
      </c>
      <c r="K150" s="183">
        <f>SUMIFS('декабрь 2025'!$G$2:$G$2730,'декабрь 2025'!$D$2:$D$2730,$B150,'декабрь 2025'!$J$2:$J$2730,K$1)</f>
        <v>0</v>
      </c>
      <c r="L150" s="183">
        <f>SUMIFS('декабрь 2025'!$G$2:$G$2730,'декабрь 2025'!$D$2:$D$2730,$B150,'декабрь 2025'!$J$2:$J$2730,L$1)</f>
        <v>0</v>
      </c>
      <c r="M150" s="183">
        <f>SUMIFS('декабрь 2025'!$G$2:$G$2730,'декабрь 2025'!$D$2:$D$2730,$B150,'декабрь 2025'!$J$2:$J$2730,M$1)</f>
        <v>0</v>
      </c>
      <c r="N150" s="183">
        <f>SUMIFS('декабрь 2025'!$G$2:$G$2730,'декабрь 2025'!$D$2:$D$2730,$B150,'декабрь 2025'!$J$2:$J$2730,N$1)</f>
        <v>0</v>
      </c>
      <c r="O150" s="183">
        <f>SUMIFS('декабрь 2025'!$G$2:$G$2730,'декабрь 2025'!$D$2:$D$2730,$B150,'декабрь 2025'!$J$2:$J$2730,O$1)</f>
        <v>0</v>
      </c>
      <c r="P150" s="183">
        <f>SUMIFS('декабрь 2025'!$G$2:$G$2730,'декабрь 2025'!$D$2:$D$2730,$B150,'декабрь 2025'!$J$2:$J$2730,P$1)</f>
        <v>0</v>
      </c>
      <c r="Q150" s="183">
        <f>SUMIFS('декабрь 2025'!$G$2:$G$2730,'декабрь 2025'!$D$2:$D$2730,$B150,'декабрь 2025'!$J$2:$J$2730,Q$1)</f>
        <v>0</v>
      </c>
      <c r="R150" s="183">
        <f>SUMIFS('декабрь 2025'!$G$2:$G$2730,'декабрь 2025'!$D$2:$D$2730,$B150,'декабрь 2025'!$J$2:$J$2730,R$1)</f>
        <v>0</v>
      </c>
      <c r="S150" s="183">
        <f>SUMIFS('декабрь 2025'!$G$2:$G$2730,'декабрь 2025'!$D$2:$D$2730,$B150,'декабрь 2025'!$J$2:$J$2730,S$1)</f>
        <v>0</v>
      </c>
      <c r="T150" s="183">
        <f>SUMIFS('декабрь 2025'!$G$2:$G$2730,'декабрь 2025'!$D$2:$D$2730,$B150,'декабрь 2025'!$J$2:$J$2730,T$1)</f>
        <v>0</v>
      </c>
      <c r="U150" s="183">
        <f>SUMIFS('декабрь 2025'!$G$2:$G$2730,'декабрь 2025'!$D$2:$D$2730,$B150,'декабрь 2025'!$J$2:$J$2730,U$1)</f>
        <v>0</v>
      </c>
      <c r="V150" s="183">
        <f>SUMIFS('декабрь 2025'!$G$2:$G$2730,'декабрь 2025'!$D$2:$D$2730,$B150,'декабрь 2025'!$J$2:$J$2730,V$1)</f>
        <v>0</v>
      </c>
      <c r="W150" s="183">
        <f>SUMIFS('декабрь 2025'!$G$2:$G$2730,'декабрь 2025'!$D$2:$D$2730,$B150,'декабрь 2025'!$J$2:$J$2730,W$1)</f>
        <v>0</v>
      </c>
      <c r="X150" s="183">
        <f>SUMIFS('декабрь 2025'!$G$2:$G$2730,'декабрь 2025'!$D$2:$D$2730,$B150,'декабрь 2025'!$J$2:$J$2730,X$1)</f>
        <v>0</v>
      </c>
      <c r="Y150" s="183">
        <f>SUMIFS('декабрь 2025'!$G$2:$G$2730,'декабрь 2025'!$D$2:$D$2730,$B150,'декабрь 2025'!$J$2:$J$2730,Y$1)</f>
        <v>0</v>
      </c>
      <c r="Z150" s="183">
        <f>SUMIFS('декабрь 2025'!$G$2:$G$2730,'декабрь 2025'!$D$2:$D$2730,$B150,'декабрь 2025'!$J$2:$J$2730,Z$1)</f>
        <v>0</v>
      </c>
      <c r="AA150" s="183">
        <f>SUMIFS('декабрь 2025'!$G$2:$G$2730,'декабрь 2025'!$D$2:$D$2730,$B150,'декабрь 2025'!$J$2:$J$2730,AA$1)</f>
        <v>0</v>
      </c>
      <c r="AB150" s="183">
        <f>SUMIFS('декабрь 2025'!$G$2:$G$2730,'декабрь 2025'!$D$2:$D$2730,$B150,'декабрь 2025'!$J$2:$J$2730,AB$1)</f>
        <v>0</v>
      </c>
      <c r="AC150" s="183">
        <f>SUMIFS('декабрь 2025'!$G$2:$G$2730,'декабрь 2025'!$D$2:$D$2730,$B150,'декабрь 2025'!$J$2:$J$2730,AC$1)</f>
        <v>0</v>
      </c>
      <c r="AD150" s="183">
        <f>SUMIFS('декабрь 2025'!$G$2:$G$2730,'декабрь 2025'!$D$2:$D$2730,$B150,'декабрь 2025'!$J$2:$J$2730,AD$1)</f>
        <v>0</v>
      </c>
      <c r="AE150" s="183">
        <f>SUMIFS('декабрь 2025'!$G$2:$G$2730,'декабрь 2025'!$D$2:$D$2730,$B150,'декабрь 2025'!$J$2:$J$2730,AE$1)</f>
        <v>0</v>
      </c>
      <c r="AF150" s="183">
        <f>SUMIFS('декабрь 2025'!$G$2:$G$2730,'декабрь 2025'!$D$2:$D$2730,$B150,'декабрь 2025'!$J$2:$J$2730,AF$1)</f>
        <v>0</v>
      </c>
      <c r="AG150" s="183">
        <f>SUMIFS('декабрь 2025'!$G$2:$G$2730,'декабрь 2025'!$D$2:$D$2730,$B150,'декабрь 2025'!$J$2:$J$2730,AG$1)</f>
        <v>0</v>
      </c>
      <c r="AH150" s="183">
        <f>SUMIFS('декабрь 2025'!$G$2:$G$2730,'декабрь 2025'!$D$2:$D$2730,$B150,'декабрь 2025'!$J$2:$J$2730,AH$1)</f>
        <v>0</v>
      </c>
      <c r="AI150" s="20">
        <f t="shared" si="1"/>
        <v>0</v>
      </c>
    </row>
    <row r="151" spans="2:35" ht="15" customHeight="1" x14ac:dyDescent="0.25">
      <c r="B151" s="88" t="s">
        <v>270</v>
      </c>
      <c r="C151" s="86">
        <v>190</v>
      </c>
      <c r="D151" s="183">
        <f>SUMIFS('декабрь 2025'!$G$2:$G$2730,'декабрь 2025'!$D$2:$D$2730,$B151,'декабрь 2025'!$J$2:$J$2730,D$1)</f>
        <v>0</v>
      </c>
      <c r="E151" s="183">
        <f>SUMIFS('декабрь 2025'!$G$2:$G$2730,'декабрь 2025'!$D$2:$D$2730,$B151,'декабрь 2025'!$J$2:$J$2730,E$1)</f>
        <v>0</v>
      </c>
      <c r="F151" s="183">
        <f>SUMIFS('декабрь 2025'!$G$2:$G$2730,'декабрь 2025'!$D$2:$D$2730,$B151,'декабрь 2025'!$J$2:$J$2730,F$1)</f>
        <v>0</v>
      </c>
      <c r="G151" s="183">
        <f>SUMIFS('декабрь 2025'!$G$2:$G$2730,'декабрь 2025'!$D$2:$D$2730,$B151,'декабрь 2025'!$J$2:$J$2730,G$1)</f>
        <v>0</v>
      </c>
      <c r="H151" s="183">
        <f>SUMIFS('декабрь 2025'!$G$2:$G$2730,'декабрь 2025'!$D$2:$D$2730,$B151,'декабрь 2025'!$J$2:$J$2730,H$1)</f>
        <v>0</v>
      </c>
      <c r="I151" s="183">
        <f>SUMIFS('декабрь 2025'!$G$2:$G$2730,'декабрь 2025'!$D$2:$D$2730,$B151,'декабрь 2025'!$J$2:$J$2730,I$1)</f>
        <v>0</v>
      </c>
      <c r="J151" s="183">
        <f>SUMIFS('декабрь 2025'!$G$2:$G$2730,'декабрь 2025'!$D$2:$D$2730,$B151,'декабрь 2025'!$J$2:$J$2730,J$1)</f>
        <v>0</v>
      </c>
      <c r="K151" s="183">
        <f>SUMIFS('декабрь 2025'!$G$2:$G$2730,'декабрь 2025'!$D$2:$D$2730,$B151,'декабрь 2025'!$J$2:$J$2730,K$1)</f>
        <v>0</v>
      </c>
      <c r="L151" s="183">
        <f>SUMIFS('декабрь 2025'!$G$2:$G$2730,'декабрь 2025'!$D$2:$D$2730,$B151,'декабрь 2025'!$J$2:$J$2730,L$1)</f>
        <v>0</v>
      </c>
      <c r="M151" s="183">
        <f>SUMIFS('декабрь 2025'!$G$2:$G$2730,'декабрь 2025'!$D$2:$D$2730,$B151,'декабрь 2025'!$J$2:$J$2730,M$1)</f>
        <v>0</v>
      </c>
      <c r="N151" s="183">
        <f>SUMIFS('декабрь 2025'!$G$2:$G$2730,'декабрь 2025'!$D$2:$D$2730,$B151,'декабрь 2025'!$J$2:$J$2730,N$1)</f>
        <v>0</v>
      </c>
      <c r="O151" s="183">
        <f>SUMIFS('декабрь 2025'!$G$2:$G$2730,'декабрь 2025'!$D$2:$D$2730,$B151,'декабрь 2025'!$J$2:$J$2730,O$1)</f>
        <v>0</v>
      </c>
      <c r="P151" s="183">
        <f>SUMIFS('декабрь 2025'!$G$2:$G$2730,'декабрь 2025'!$D$2:$D$2730,$B151,'декабрь 2025'!$J$2:$J$2730,P$1)</f>
        <v>0</v>
      </c>
      <c r="Q151" s="183">
        <f>SUMIFS('декабрь 2025'!$G$2:$G$2730,'декабрь 2025'!$D$2:$D$2730,$B151,'декабрь 2025'!$J$2:$J$2730,Q$1)</f>
        <v>0</v>
      </c>
      <c r="R151" s="183">
        <f>SUMIFS('декабрь 2025'!$G$2:$G$2730,'декабрь 2025'!$D$2:$D$2730,$B151,'декабрь 2025'!$J$2:$J$2730,R$1)</f>
        <v>0</v>
      </c>
      <c r="S151" s="183">
        <f>SUMIFS('декабрь 2025'!$G$2:$G$2730,'декабрь 2025'!$D$2:$D$2730,$B151,'декабрь 2025'!$J$2:$J$2730,S$1)</f>
        <v>0</v>
      </c>
      <c r="T151" s="183">
        <f>SUMIFS('декабрь 2025'!$G$2:$G$2730,'декабрь 2025'!$D$2:$D$2730,$B151,'декабрь 2025'!$J$2:$J$2730,T$1)</f>
        <v>0</v>
      </c>
      <c r="U151" s="183">
        <f>SUMIFS('декабрь 2025'!$G$2:$G$2730,'декабрь 2025'!$D$2:$D$2730,$B151,'декабрь 2025'!$J$2:$J$2730,U$1)</f>
        <v>0</v>
      </c>
      <c r="V151" s="183">
        <f>SUMIFS('декабрь 2025'!$G$2:$G$2730,'декабрь 2025'!$D$2:$D$2730,$B151,'декабрь 2025'!$J$2:$J$2730,V$1)</f>
        <v>0</v>
      </c>
      <c r="W151" s="183">
        <f>SUMIFS('декабрь 2025'!$G$2:$G$2730,'декабрь 2025'!$D$2:$D$2730,$B151,'декабрь 2025'!$J$2:$J$2730,W$1)</f>
        <v>0</v>
      </c>
      <c r="X151" s="183">
        <f>SUMIFS('декабрь 2025'!$G$2:$G$2730,'декабрь 2025'!$D$2:$D$2730,$B151,'декабрь 2025'!$J$2:$J$2730,X$1)</f>
        <v>0</v>
      </c>
      <c r="Y151" s="183">
        <f>SUMIFS('декабрь 2025'!$G$2:$G$2730,'декабрь 2025'!$D$2:$D$2730,$B151,'декабрь 2025'!$J$2:$J$2730,Y$1)</f>
        <v>0</v>
      </c>
      <c r="Z151" s="183">
        <f>SUMIFS('декабрь 2025'!$G$2:$G$2730,'декабрь 2025'!$D$2:$D$2730,$B151,'декабрь 2025'!$J$2:$J$2730,Z$1)</f>
        <v>0</v>
      </c>
      <c r="AA151" s="183">
        <f>SUMIFS('декабрь 2025'!$G$2:$G$2730,'декабрь 2025'!$D$2:$D$2730,$B151,'декабрь 2025'!$J$2:$J$2730,AA$1)</f>
        <v>0</v>
      </c>
      <c r="AB151" s="183">
        <f>SUMIFS('декабрь 2025'!$G$2:$G$2730,'декабрь 2025'!$D$2:$D$2730,$B151,'декабрь 2025'!$J$2:$J$2730,AB$1)</f>
        <v>0</v>
      </c>
      <c r="AC151" s="183">
        <f>SUMIFS('декабрь 2025'!$G$2:$G$2730,'декабрь 2025'!$D$2:$D$2730,$B151,'декабрь 2025'!$J$2:$J$2730,AC$1)</f>
        <v>0</v>
      </c>
      <c r="AD151" s="183">
        <f>SUMIFS('декабрь 2025'!$G$2:$G$2730,'декабрь 2025'!$D$2:$D$2730,$B151,'декабрь 2025'!$J$2:$J$2730,AD$1)</f>
        <v>0</v>
      </c>
      <c r="AE151" s="183">
        <f>SUMIFS('декабрь 2025'!$G$2:$G$2730,'декабрь 2025'!$D$2:$D$2730,$B151,'декабрь 2025'!$J$2:$J$2730,AE$1)</f>
        <v>0</v>
      </c>
      <c r="AF151" s="183">
        <f>SUMIFS('декабрь 2025'!$G$2:$G$2730,'декабрь 2025'!$D$2:$D$2730,$B151,'декабрь 2025'!$J$2:$J$2730,AF$1)</f>
        <v>0</v>
      </c>
      <c r="AG151" s="183">
        <f>SUMIFS('декабрь 2025'!$G$2:$G$2730,'декабрь 2025'!$D$2:$D$2730,$B151,'декабрь 2025'!$J$2:$J$2730,AG$1)</f>
        <v>0</v>
      </c>
      <c r="AH151" s="183">
        <f>SUMIFS('декабрь 2025'!$G$2:$G$2730,'декабрь 2025'!$D$2:$D$2730,$B151,'декабрь 2025'!$J$2:$J$2730,AH$1)</f>
        <v>0</v>
      </c>
      <c r="AI151" s="20">
        <f t="shared" si="1"/>
        <v>0</v>
      </c>
    </row>
    <row r="152" spans="2:35" ht="16.899999999999999" customHeight="1" x14ac:dyDescent="0.25">
      <c r="B152" s="84" t="s">
        <v>271</v>
      </c>
      <c r="C152" s="83">
        <v>200</v>
      </c>
      <c r="D152" s="183">
        <f>SUMIFS('декабрь 2025'!$G$2:$G$2730,'декабрь 2025'!$D$2:$D$2730,$B152,'декабрь 2025'!$J$2:$J$2730,D$1)</f>
        <v>0</v>
      </c>
      <c r="E152" s="183">
        <f>SUMIFS('декабрь 2025'!$G$2:$G$2730,'декабрь 2025'!$D$2:$D$2730,$B152,'декабрь 2025'!$J$2:$J$2730,E$1)</f>
        <v>0</v>
      </c>
      <c r="F152" s="183">
        <f>SUMIFS('декабрь 2025'!$G$2:$G$2730,'декабрь 2025'!$D$2:$D$2730,$B152,'декабрь 2025'!$J$2:$J$2730,F$1)</f>
        <v>0</v>
      </c>
      <c r="G152" s="183">
        <f>SUMIFS('декабрь 2025'!$G$2:$G$2730,'декабрь 2025'!$D$2:$D$2730,$B152,'декабрь 2025'!$J$2:$J$2730,G$1)</f>
        <v>0</v>
      </c>
      <c r="H152" s="183">
        <f>SUMIFS('декабрь 2025'!$G$2:$G$2730,'декабрь 2025'!$D$2:$D$2730,$B152,'декабрь 2025'!$J$2:$J$2730,H$1)</f>
        <v>0</v>
      </c>
      <c r="I152" s="183">
        <f>SUMIFS('декабрь 2025'!$G$2:$G$2730,'декабрь 2025'!$D$2:$D$2730,$B152,'декабрь 2025'!$J$2:$J$2730,I$1)</f>
        <v>0</v>
      </c>
      <c r="J152" s="183">
        <f>SUMIFS('декабрь 2025'!$G$2:$G$2730,'декабрь 2025'!$D$2:$D$2730,$B152,'декабрь 2025'!$J$2:$J$2730,J$1)</f>
        <v>0</v>
      </c>
      <c r="K152" s="183">
        <f>SUMIFS('декабрь 2025'!$G$2:$G$2730,'декабрь 2025'!$D$2:$D$2730,$B152,'декабрь 2025'!$J$2:$J$2730,K$1)</f>
        <v>0</v>
      </c>
      <c r="L152" s="183">
        <f>SUMIFS('декабрь 2025'!$G$2:$G$2730,'декабрь 2025'!$D$2:$D$2730,$B152,'декабрь 2025'!$J$2:$J$2730,L$1)</f>
        <v>0</v>
      </c>
      <c r="M152" s="183">
        <f>SUMIFS('декабрь 2025'!$G$2:$G$2730,'декабрь 2025'!$D$2:$D$2730,$B152,'декабрь 2025'!$J$2:$J$2730,M$1)</f>
        <v>0</v>
      </c>
      <c r="N152" s="183">
        <f>SUMIFS('декабрь 2025'!$G$2:$G$2730,'декабрь 2025'!$D$2:$D$2730,$B152,'декабрь 2025'!$J$2:$J$2730,N$1)</f>
        <v>0</v>
      </c>
      <c r="O152" s="183">
        <f>SUMIFS('декабрь 2025'!$G$2:$G$2730,'декабрь 2025'!$D$2:$D$2730,$B152,'декабрь 2025'!$J$2:$J$2730,O$1)</f>
        <v>0</v>
      </c>
      <c r="P152" s="183">
        <f>SUMIFS('декабрь 2025'!$G$2:$G$2730,'декабрь 2025'!$D$2:$D$2730,$B152,'декабрь 2025'!$J$2:$J$2730,P$1)</f>
        <v>0</v>
      </c>
      <c r="Q152" s="183">
        <f>SUMIFS('декабрь 2025'!$G$2:$G$2730,'декабрь 2025'!$D$2:$D$2730,$B152,'декабрь 2025'!$J$2:$J$2730,Q$1)</f>
        <v>0</v>
      </c>
      <c r="R152" s="183">
        <f>SUMIFS('декабрь 2025'!$G$2:$G$2730,'декабрь 2025'!$D$2:$D$2730,$B152,'декабрь 2025'!$J$2:$J$2730,R$1)</f>
        <v>0</v>
      </c>
      <c r="S152" s="183">
        <f>SUMIFS('декабрь 2025'!$G$2:$G$2730,'декабрь 2025'!$D$2:$D$2730,$B152,'декабрь 2025'!$J$2:$J$2730,S$1)</f>
        <v>0</v>
      </c>
      <c r="T152" s="183">
        <f>SUMIFS('декабрь 2025'!$G$2:$G$2730,'декабрь 2025'!$D$2:$D$2730,$B152,'декабрь 2025'!$J$2:$J$2730,T$1)</f>
        <v>0</v>
      </c>
      <c r="U152" s="183">
        <f>SUMIFS('декабрь 2025'!$G$2:$G$2730,'декабрь 2025'!$D$2:$D$2730,$B152,'декабрь 2025'!$J$2:$J$2730,U$1)</f>
        <v>0</v>
      </c>
      <c r="V152" s="183">
        <f>SUMIFS('декабрь 2025'!$G$2:$G$2730,'декабрь 2025'!$D$2:$D$2730,$B152,'декабрь 2025'!$J$2:$J$2730,V$1)</f>
        <v>0</v>
      </c>
      <c r="W152" s="183">
        <f>SUMIFS('декабрь 2025'!$G$2:$G$2730,'декабрь 2025'!$D$2:$D$2730,$B152,'декабрь 2025'!$J$2:$J$2730,W$1)</f>
        <v>0</v>
      </c>
      <c r="X152" s="183">
        <f>SUMIFS('декабрь 2025'!$G$2:$G$2730,'декабрь 2025'!$D$2:$D$2730,$B152,'декабрь 2025'!$J$2:$J$2730,X$1)</f>
        <v>0</v>
      </c>
      <c r="Y152" s="183">
        <f>SUMIFS('декабрь 2025'!$G$2:$G$2730,'декабрь 2025'!$D$2:$D$2730,$B152,'декабрь 2025'!$J$2:$J$2730,Y$1)</f>
        <v>0</v>
      </c>
      <c r="Z152" s="183">
        <f>SUMIFS('декабрь 2025'!$G$2:$G$2730,'декабрь 2025'!$D$2:$D$2730,$B152,'декабрь 2025'!$J$2:$J$2730,Z$1)</f>
        <v>0</v>
      </c>
      <c r="AA152" s="183">
        <f>SUMIFS('декабрь 2025'!$G$2:$G$2730,'декабрь 2025'!$D$2:$D$2730,$B152,'декабрь 2025'!$J$2:$J$2730,AA$1)</f>
        <v>0</v>
      </c>
      <c r="AB152" s="183">
        <f>SUMIFS('декабрь 2025'!$G$2:$G$2730,'декабрь 2025'!$D$2:$D$2730,$B152,'декабрь 2025'!$J$2:$J$2730,AB$1)</f>
        <v>0</v>
      </c>
      <c r="AC152" s="183">
        <f>SUMIFS('декабрь 2025'!$G$2:$G$2730,'декабрь 2025'!$D$2:$D$2730,$B152,'декабрь 2025'!$J$2:$J$2730,AC$1)</f>
        <v>0</v>
      </c>
      <c r="AD152" s="183">
        <f>SUMIFS('декабрь 2025'!$G$2:$G$2730,'декабрь 2025'!$D$2:$D$2730,$B152,'декабрь 2025'!$J$2:$J$2730,AD$1)</f>
        <v>0</v>
      </c>
      <c r="AE152" s="183">
        <f>SUMIFS('декабрь 2025'!$G$2:$G$2730,'декабрь 2025'!$D$2:$D$2730,$B152,'декабрь 2025'!$J$2:$J$2730,AE$1)</f>
        <v>0</v>
      </c>
      <c r="AF152" s="183">
        <f>SUMIFS('декабрь 2025'!$G$2:$G$2730,'декабрь 2025'!$D$2:$D$2730,$B152,'декабрь 2025'!$J$2:$J$2730,AF$1)</f>
        <v>0</v>
      </c>
      <c r="AG152" s="183">
        <f>SUMIFS('декабрь 2025'!$G$2:$G$2730,'декабрь 2025'!$D$2:$D$2730,$B152,'декабрь 2025'!$J$2:$J$2730,AG$1)</f>
        <v>0</v>
      </c>
      <c r="AH152" s="183">
        <f>SUMIFS('декабрь 2025'!$G$2:$G$2730,'декабрь 2025'!$D$2:$D$2730,$B152,'декабрь 2025'!$J$2:$J$2730,AH$1)</f>
        <v>0</v>
      </c>
      <c r="AI152" s="20">
        <f t="shared" si="1"/>
        <v>0</v>
      </c>
    </row>
    <row r="153" spans="2:35" ht="16.899999999999999" customHeight="1" x14ac:dyDescent="0.25">
      <c r="B153" s="84" t="s">
        <v>276</v>
      </c>
      <c r="C153" s="83">
        <v>200</v>
      </c>
      <c r="D153" s="183">
        <f>SUMIFS('декабрь 2025'!$G$2:$G$2730,'декабрь 2025'!$D$2:$D$2730,$B153,'декабрь 2025'!$J$2:$J$2730,D$1)</f>
        <v>0</v>
      </c>
      <c r="E153" s="183">
        <f>SUMIFS('декабрь 2025'!$G$2:$G$2730,'декабрь 2025'!$D$2:$D$2730,$B153,'декабрь 2025'!$J$2:$J$2730,E$1)</f>
        <v>0</v>
      </c>
      <c r="F153" s="183">
        <f>SUMIFS('декабрь 2025'!$G$2:$G$2730,'декабрь 2025'!$D$2:$D$2730,$B153,'декабрь 2025'!$J$2:$J$2730,F$1)</f>
        <v>0</v>
      </c>
      <c r="G153" s="183">
        <f>SUMIFS('декабрь 2025'!$G$2:$G$2730,'декабрь 2025'!$D$2:$D$2730,$B153,'декабрь 2025'!$J$2:$J$2730,G$1)</f>
        <v>0</v>
      </c>
      <c r="H153" s="183">
        <f>SUMIFS('декабрь 2025'!$G$2:$G$2730,'декабрь 2025'!$D$2:$D$2730,$B153,'декабрь 2025'!$J$2:$J$2730,H$1)</f>
        <v>0</v>
      </c>
      <c r="I153" s="183">
        <f>SUMIFS('декабрь 2025'!$G$2:$G$2730,'декабрь 2025'!$D$2:$D$2730,$B153,'декабрь 2025'!$J$2:$J$2730,I$1)</f>
        <v>0</v>
      </c>
      <c r="J153" s="183">
        <f>SUMIFS('декабрь 2025'!$G$2:$G$2730,'декабрь 2025'!$D$2:$D$2730,$B153,'декабрь 2025'!$J$2:$J$2730,J$1)</f>
        <v>0</v>
      </c>
      <c r="K153" s="183">
        <f>SUMIFS('декабрь 2025'!$G$2:$G$2730,'декабрь 2025'!$D$2:$D$2730,$B153,'декабрь 2025'!$J$2:$J$2730,K$1)</f>
        <v>0</v>
      </c>
      <c r="L153" s="183">
        <f>SUMIFS('декабрь 2025'!$G$2:$G$2730,'декабрь 2025'!$D$2:$D$2730,$B153,'декабрь 2025'!$J$2:$J$2730,L$1)</f>
        <v>0</v>
      </c>
      <c r="M153" s="183">
        <f>SUMIFS('декабрь 2025'!$G$2:$G$2730,'декабрь 2025'!$D$2:$D$2730,$B153,'декабрь 2025'!$J$2:$J$2730,M$1)</f>
        <v>0</v>
      </c>
      <c r="N153" s="183">
        <f>SUMIFS('декабрь 2025'!$G$2:$G$2730,'декабрь 2025'!$D$2:$D$2730,$B153,'декабрь 2025'!$J$2:$J$2730,N$1)</f>
        <v>0</v>
      </c>
      <c r="O153" s="183">
        <f>SUMIFS('декабрь 2025'!$G$2:$G$2730,'декабрь 2025'!$D$2:$D$2730,$B153,'декабрь 2025'!$J$2:$J$2730,O$1)</f>
        <v>0</v>
      </c>
      <c r="P153" s="183">
        <f>SUMIFS('декабрь 2025'!$G$2:$G$2730,'декабрь 2025'!$D$2:$D$2730,$B153,'декабрь 2025'!$J$2:$J$2730,P$1)</f>
        <v>0</v>
      </c>
      <c r="Q153" s="183">
        <f>SUMIFS('декабрь 2025'!$G$2:$G$2730,'декабрь 2025'!$D$2:$D$2730,$B153,'декабрь 2025'!$J$2:$J$2730,Q$1)</f>
        <v>0</v>
      </c>
      <c r="R153" s="183">
        <f>SUMIFS('декабрь 2025'!$G$2:$G$2730,'декабрь 2025'!$D$2:$D$2730,$B153,'декабрь 2025'!$J$2:$J$2730,R$1)</f>
        <v>0</v>
      </c>
      <c r="S153" s="183">
        <f>SUMIFS('декабрь 2025'!$G$2:$G$2730,'декабрь 2025'!$D$2:$D$2730,$B153,'декабрь 2025'!$J$2:$J$2730,S$1)</f>
        <v>0</v>
      </c>
      <c r="T153" s="183">
        <f>SUMIFS('декабрь 2025'!$G$2:$G$2730,'декабрь 2025'!$D$2:$D$2730,$B153,'декабрь 2025'!$J$2:$J$2730,T$1)</f>
        <v>0</v>
      </c>
      <c r="U153" s="183">
        <f>SUMIFS('декабрь 2025'!$G$2:$G$2730,'декабрь 2025'!$D$2:$D$2730,$B153,'декабрь 2025'!$J$2:$J$2730,U$1)</f>
        <v>0</v>
      </c>
      <c r="V153" s="183">
        <f>SUMIFS('декабрь 2025'!$G$2:$G$2730,'декабрь 2025'!$D$2:$D$2730,$B153,'декабрь 2025'!$J$2:$J$2730,V$1)</f>
        <v>26</v>
      </c>
      <c r="W153" s="183">
        <f>SUMIFS('декабрь 2025'!$G$2:$G$2730,'декабрь 2025'!$D$2:$D$2730,$B153,'декабрь 2025'!$J$2:$J$2730,W$1)</f>
        <v>0</v>
      </c>
      <c r="X153" s="183">
        <f>SUMIFS('декабрь 2025'!$G$2:$G$2730,'декабрь 2025'!$D$2:$D$2730,$B153,'декабрь 2025'!$J$2:$J$2730,X$1)</f>
        <v>0</v>
      </c>
      <c r="Y153" s="183">
        <f>SUMIFS('декабрь 2025'!$G$2:$G$2730,'декабрь 2025'!$D$2:$D$2730,$B153,'декабрь 2025'!$J$2:$J$2730,Y$1)</f>
        <v>0</v>
      </c>
      <c r="Z153" s="183">
        <f>SUMIFS('декабрь 2025'!$G$2:$G$2730,'декабрь 2025'!$D$2:$D$2730,$B153,'декабрь 2025'!$J$2:$J$2730,Z$1)</f>
        <v>0</v>
      </c>
      <c r="AA153" s="183">
        <f>SUMIFS('декабрь 2025'!$G$2:$G$2730,'декабрь 2025'!$D$2:$D$2730,$B153,'декабрь 2025'!$J$2:$J$2730,AA$1)</f>
        <v>0</v>
      </c>
      <c r="AB153" s="183">
        <f>SUMIFS('декабрь 2025'!$G$2:$G$2730,'декабрь 2025'!$D$2:$D$2730,$B153,'декабрь 2025'!$J$2:$J$2730,AB$1)</f>
        <v>0</v>
      </c>
      <c r="AC153" s="183">
        <f>SUMIFS('декабрь 2025'!$G$2:$G$2730,'декабрь 2025'!$D$2:$D$2730,$B153,'декабрь 2025'!$J$2:$J$2730,AC$1)</f>
        <v>0</v>
      </c>
      <c r="AD153" s="183">
        <f>SUMIFS('декабрь 2025'!$G$2:$G$2730,'декабрь 2025'!$D$2:$D$2730,$B153,'декабрь 2025'!$J$2:$J$2730,AD$1)</f>
        <v>0</v>
      </c>
      <c r="AE153" s="183">
        <f>SUMIFS('декабрь 2025'!$G$2:$G$2730,'декабрь 2025'!$D$2:$D$2730,$B153,'декабрь 2025'!$J$2:$J$2730,AE$1)</f>
        <v>0</v>
      </c>
      <c r="AF153" s="183">
        <f>SUMIFS('декабрь 2025'!$G$2:$G$2730,'декабрь 2025'!$D$2:$D$2730,$B153,'декабрь 2025'!$J$2:$J$2730,AF$1)</f>
        <v>0</v>
      </c>
      <c r="AG153" s="183">
        <f>SUMIFS('декабрь 2025'!$G$2:$G$2730,'декабрь 2025'!$D$2:$D$2730,$B153,'декабрь 2025'!$J$2:$J$2730,AG$1)</f>
        <v>0</v>
      </c>
      <c r="AH153" s="183">
        <f>SUMIFS('декабрь 2025'!$G$2:$G$2730,'декабрь 2025'!$D$2:$D$2730,$B153,'декабрь 2025'!$J$2:$J$2730,AH$1)</f>
        <v>0</v>
      </c>
      <c r="AI153" s="20">
        <f t="shared" si="1"/>
        <v>26</v>
      </c>
    </row>
    <row r="154" spans="2:35" ht="16.899999999999999" customHeight="1" x14ac:dyDescent="0.25">
      <c r="B154" s="84" t="s">
        <v>272</v>
      </c>
      <c r="C154" s="83">
        <v>200</v>
      </c>
      <c r="D154" s="183">
        <f>SUMIFS('декабрь 2025'!$G$2:$G$2730,'декабрь 2025'!$D$2:$D$2730,$B154,'декабрь 2025'!$J$2:$J$2730,D$1)</f>
        <v>0</v>
      </c>
      <c r="E154" s="183">
        <f>SUMIFS('декабрь 2025'!$G$2:$G$2730,'декабрь 2025'!$D$2:$D$2730,$B154,'декабрь 2025'!$J$2:$J$2730,E$1)</f>
        <v>0</v>
      </c>
      <c r="F154" s="183">
        <f>SUMIFS('декабрь 2025'!$G$2:$G$2730,'декабрь 2025'!$D$2:$D$2730,$B154,'декабрь 2025'!$J$2:$J$2730,F$1)</f>
        <v>0</v>
      </c>
      <c r="G154" s="183">
        <f>SUMIFS('декабрь 2025'!$G$2:$G$2730,'декабрь 2025'!$D$2:$D$2730,$B154,'декабрь 2025'!$J$2:$J$2730,G$1)</f>
        <v>0</v>
      </c>
      <c r="H154" s="183">
        <f>SUMIFS('декабрь 2025'!$G$2:$G$2730,'декабрь 2025'!$D$2:$D$2730,$B154,'декабрь 2025'!$J$2:$J$2730,H$1)</f>
        <v>0</v>
      </c>
      <c r="I154" s="183">
        <f>SUMIFS('декабрь 2025'!$G$2:$G$2730,'декабрь 2025'!$D$2:$D$2730,$B154,'декабрь 2025'!$J$2:$J$2730,I$1)</f>
        <v>0</v>
      </c>
      <c r="J154" s="183">
        <f>SUMIFS('декабрь 2025'!$G$2:$G$2730,'декабрь 2025'!$D$2:$D$2730,$B154,'декабрь 2025'!$J$2:$J$2730,J$1)</f>
        <v>0</v>
      </c>
      <c r="K154" s="183">
        <f>SUMIFS('декабрь 2025'!$G$2:$G$2730,'декабрь 2025'!$D$2:$D$2730,$B154,'декабрь 2025'!$J$2:$J$2730,K$1)</f>
        <v>0</v>
      </c>
      <c r="L154" s="183">
        <f>SUMIFS('декабрь 2025'!$G$2:$G$2730,'декабрь 2025'!$D$2:$D$2730,$B154,'декабрь 2025'!$J$2:$J$2730,L$1)</f>
        <v>0</v>
      </c>
      <c r="M154" s="183">
        <f>SUMIFS('декабрь 2025'!$G$2:$G$2730,'декабрь 2025'!$D$2:$D$2730,$B154,'декабрь 2025'!$J$2:$J$2730,M$1)</f>
        <v>0</v>
      </c>
      <c r="N154" s="183">
        <f>SUMIFS('декабрь 2025'!$G$2:$G$2730,'декабрь 2025'!$D$2:$D$2730,$B154,'декабрь 2025'!$J$2:$J$2730,N$1)</f>
        <v>0</v>
      </c>
      <c r="O154" s="183">
        <f>SUMIFS('декабрь 2025'!$G$2:$G$2730,'декабрь 2025'!$D$2:$D$2730,$B154,'декабрь 2025'!$J$2:$J$2730,O$1)</f>
        <v>0</v>
      </c>
      <c r="P154" s="183">
        <f>SUMIFS('декабрь 2025'!$G$2:$G$2730,'декабрь 2025'!$D$2:$D$2730,$B154,'декабрь 2025'!$J$2:$J$2730,P$1)</f>
        <v>0</v>
      </c>
      <c r="Q154" s="183">
        <f>SUMIFS('декабрь 2025'!$G$2:$G$2730,'декабрь 2025'!$D$2:$D$2730,$B154,'декабрь 2025'!$J$2:$J$2730,Q$1)</f>
        <v>0</v>
      </c>
      <c r="R154" s="183">
        <f>SUMIFS('декабрь 2025'!$G$2:$G$2730,'декабрь 2025'!$D$2:$D$2730,$B154,'декабрь 2025'!$J$2:$J$2730,R$1)</f>
        <v>0</v>
      </c>
      <c r="S154" s="183">
        <f>SUMIFS('декабрь 2025'!$G$2:$G$2730,'декабрь 2025'!$D$2:$D$2730,$B154,'декабрь 2025'!$J$2:$J$2730,S$1)</f>
        <v>0</v>
      </c>
      <c r="T154" s="183">
        <f>SUMIFS('декабрь 2025'!$G$2:$G$2730,'декабрь 2025'!$D$2:$D$2730,$B154,'декабрь 2025'!$J$2:$J$2730,T$1)</f>
        <v>0</v>
      </c>
      <c r="U154" s="183">
        <f>SUMIFS('декабрь 2025'!$G$2:$G$2730,'декабрь 2025'!$D$2:$D$2730,$B154,'декабрь 2025'!$J$2:$J$2730,U$1)</f>
        <v>0</v>
      </c>
      <c r="V154" s="183">
        <f>SUMIFS('декабрь 2025'!$G$2:$G$2730,'декабрь 2025'!$D$2:$D$2730,$B154,'декабрь 2025'!$J$2:$J$2730,V$1)</f>
        <v>0</v>
      </c>
      <c r="W154" s="183">
        <f>SUMIFS('декабрь 2025'!$G$2:$G$2730,'декабрь 2025'!$D$2:$D$2730,$B154,'декабрь 2025'!$J$2:$J$2730,W$1)</f>
        <v>0</v>
      </c>
      <c r="X154" s="183">
        <f>SUMIFS('декабрь 2025'!$G$2:$G$2730,'декабрь 2025'!$D$2:$D$2730,$B154,'декабрь 2025'!$J$2:$J$2730,X$1)</f>
        <v>0</v>
      </c>
      <c r="Y154" s="183">
        <f>SUMIFS('декабрь 2025'!$G$2:$G$2730,'декабрь 2025'!$D$2:$D$2730,$B154,'декабрь 2025'!$J$2:$J$2730,Y$1)</f>
        <v>0</v>
      </c>
      <c r="Z154" s="183">
        <f>SUMIFS('декабрь 2025'!$G$2:$G$2730,'декабрь 2025'!$D$2:$D$2730,$B154,'декабрь 2025'!$J$2:$J$2730,Z$1)</f>
        <v>0</v>
      </c>
      <c r="AA154" s="183">
        <f>SUMIFS('декабрь 2025'!$G$2:$G$2730,'декабрь 2025'!$D$2:$D$2730,$B154,'декабрь 2025'!$J$2:$J$2730,AA$1)</f>
        <v>0</v>
      </c>
      <c r="AB154" s="183">
        <f>SUMIFS('декабрь 2025'!$G$2:$G$2730,'декабрь 2025'!$D$2:$D$2730,$B154,'декабрь 2025'!$J$2:$J$2730,AB$1)</f>
        <v>0</v>
      </c>
      <c r="AC154" s="183">
        <f>SUMIFS('декабрь 2025'!$G$2:$G$2730,'декабрь 2025'!$D$2:$D$2730,$B154,'декабрь 2025'!$J$2:$J$2730,AC$1)</f>
        <v>0</v>
      </c>
      <c r="AD154" s="183">
        <f>SUMIFS('декабрь 2025'!$G$2:$G$2730,'декабрь 2025'!$D$2:$D$2730,$B154,'декабрь 2025'!$J$2:$J$2730,AD$1)</f>
        <v>0</v>
      </c>
      <c r="AE154" s="183">
        <f>SUMIFS('декабрь 2025'!$G$2:$G$2730,'декабрь 2025'!$D$2:$D$2730,$B154,'декабрь 2025'!$J$2:$J$2730,AE$1)</f>
        <v>0</v>
      </c>
      <c r="AF154" s="183">
        <f>SUMIFS('декабрь 2025'!$G$2:$G$2730,'декабрь 2025'!$D$2:$D$2730,$B154,'декабрь 2025'!$J$2:$J$2730,AF$1)</f>
        <v>0</v>
      </c>
      <c r="AG154" s="183">
        <f>SUMIFS('декабрь 2025'!$G$2:$G$2730,'декабрь 2025'!$D$2:$D$2730,$B154,'декабрь 2025'!$J$2:$J$2730,AG$1)</f>
        <v>0</v>
      </c>
      <c r="AH154" s="183">
        <f>SUMIFS('декабрь 2025'!$G$2:$G$2730,'декабрь 2025'!$D$2:$D$2730,$B154,'декабрь 2025'!$J$2:$J$2730,AH$1)</f>
        <v>0</v>
      </c>
      <c r="AI154" s="20">
        <f t="shared" si="1"/>
        <v>0</v>
      </c>
    </row>
    <row r="155" spans="2:35" ht="15" customHeight="1" x14ac:dyDescent="0.25">
      <c r="B155" s="84" t="s">
        <v>277</v>
      </c>
      <c r="C155" s="83">
        <v>200</v>
      </c>
      <c r="D155" s="183">
        <f>SUMIFS('декабрь 2025'!$G$2:$G$2730,'декабрь 2025'!$D$2:$D$2730,$B155,'декабрь 2025'!$J$2:$J$2730,D$1)</f>
        <v>0</v>
      </c>
      <c r="E155" s="183">
        <f>SUMIFS('декабрь 2025'!$G$2:$G$2730,'декабрь 2025'!$D$2:$D$2730,$B155,'декабрь 2025'!$J$2:$J$2730,E$1)</f>
        <v>0</v>
      </c>
      <c r="F155" s="183">
        <f>SUMIFS('декабрь 2025'!$G$2:$G$2730,'декабрь 2025'!$D$2:$D$2730,$B155,'декабрь 2025'!$J$2:$J$2730,F$1)</f>
        <v>0</v>
      </c>
      <c r="G155" s="183">
        <f>SUMIFS('декабрь 2025'!$G$2:$G$2730,'декабрь 2025'!$D$2:$D$2730,$B155,'декабрь 2025'!$J$2:$J$2730,G$1)</f>
        <v>0</v>
      </c>
      <c r="H155" s="183">
        <f>SUMIFS('декабрь 2025'!$G$2:$G$2730,'декабрь 2025'!$D$2:$D$2730,$B155,'декабрь 2025'!$J$2:$J$2730,H$1)</f>
        <v>0</v>
      </c>
      <c r="I155" s="183">
        <f>SUMIFS('декабрь 2025'!$G$2:$G$2730,'декабрь 2025'!$D$2:$D$2730,$B155,'декабрь 2025'!$J$2:$J$2730,I$1)</f>
        <v>0</v>
      </c>
      <c r="J155" s="183">
        <f>SUMIFS('декабрь 2025'!$G$2:$G$2730,'декабрь 2025'!$D$2:$D$2730,$B155,'декабрь 2025'!$J$2:$J$2730,J$1)</f>
        <v>0</v>
      </c>
      <c r="K155" s="183">
        <f>SUMIFS('декабрь 2025'!$G$2:$G$2730,'декабрь 2025'!$D$2:$D$2730,$B155,'декабрь 2025'!$J$2:$J$2730,K$1)</f>
        <v>0</v>
      </c>
      <c r="L155" s="183">
        <f>SUMIFS('декабрь 2025'!$G$2:$G$2730,'декабрь 2025'!$D$2:$D$2730,$B155,'декабрь 2025'!$J$2:$J$2730,L$1)</f>
        <v>0</v>
      </c>
      <c r="M155" s="183">
        <f>SUMIFS('декабрь 2025'!$G$2:$G$2730,'декабрь 2025'!$D$2:$D$2730,$B155,'декабрь 2025'!$J$2:$J$2730,M$1)</f>
        <v>0</v>
      </c>
      <c r="N155" s="183">
        <f>SUMIFS('декабрь 2025'!$G$2:$G$2730,'декабрь 2025'!$D$2:$D$2730,$B155,'декабрь 2025'!$J$2:$J$2730,N$1)</f>
        <v>0</v>
      </c>
      <c r="O155" s="183">
        <f>SUMIFS('декабрь 2025'!$G$2:$G$2730,'декабрь 2025'!$D$2:$D$2730,$B155,'декабрь 2025'!$J$2:$J$2730,O$1)</f>
        <v>0</v>
      </c>
      <c r="P155" s="183">
        <f>SUMIFS('декабрь 2025'!$G$2:$G$2730,'декабрь 2025'!$D$2:$D$2730,$B155,'декабрь 2025'!$J$2:$J$2730,P$1)</f>
        <v>0</v>
      </c>
      <c r="Q155" s="183">
        <f>SUMIFS('декабрь 2025'!$G$2:$G$2730,'декабрь 2025'!$D$2:$D$2730,$B155,'декабрь 2025'!$J$2:$J$2730,Q$1)</f>
        <v>0</v>
      </c>
      <c r="R155" s="183">
        <f>SUMIFS('декабрь 2025'!$G$2:$G$2730,'декабрь 2025'!$D$2:$D$2730,$B155,'декабрь 2025'!$J$2:$J$2730,R$1)</f>
        <v>0</v>
      </c>
      <c r="S155" s="183">
        <f>SUMIFS('декабрь 2025'!$G$2:$G$2730,'декабрь 2025'!$D$2:$D$2730,$B155,'декабрь 2025'!$J$2:$J$2730,S$1)</f>
        <v>0</v>
      </c>
      <c r="T155" s="183">
        <f>SUMIFS('декабрь 2025'!$G$2:$G$2730,'декабрь 2025'!$D$2:$D$2730,$B155,'декабрь 2025'!$J$2:$J$2730,T$1)</f>
        <v>0</v>
      </c>
      <c r="U155" s="183">
        <f>SUMIFS('декабрь 2025'!$G$2:$G$2730,'декабрь 2025'!$D$2:$D$2730,$B155,'декабрь 2025'!$J$2:$J$2730,U$1)</f>
        <v>0</v>
      </c>
      <c r="V155" s="183">
        <f>SUMIFS('декабрь 2025'!$G$2:$G$2730,'декабрь 2025'!$D$2:$D$2730,$B155,'декабрь 2025'!$J$2:$J$2730,V$1)</f>
        <v>0</v>
      </c>
      <c r="W155" s="183">
        <f>SUMIFS('декабрь 2025'!$G$2:$G$2730,'декабрь 2025'!$D$2:$D$2730,$B155,'декабрь 2025'!$J$2:$J$2730,W$1)</f>
        <v>0</v>
      </c>
      <c r="X155" s="183">
        <f>SUMIFS('декабрь 2025'!$G$2:$G$2730,'декабрь 2025'!$D$2:$D$2730,$B155,'декабрь 2025'!$J$2:$J$2730,X$1)</f>
        <v>0</v>
      </c>
      <c r="Y155" s="183">
        <f>SUMIFS('декабрь 2025'!$G$2:$G$2730,'декабрь 2025'!$D$2:$D$2730,$B155,'декабрь 2025'!$J$2:$J$2730,Y$1)</f>
        <v>0</v>
      </c>
      <c r="Z155" s="183">
        <f>SUMIFS('декабрь 2025'!$G$2:$G$2730,'декабрь 2025'!$D$2:$D$2730,$B155,'декабрь 2025'!$J$2:$J$2730,Z$1)</f>
        <v>0</v>
      </c>
      <c r="AA155" s="183">
        <f>SUMIFS('декабрь 2025'!$G$2:$G$2730,'декабрь 2025'!$D$2:$D$2730,$B155,'декабрь 2025'!$J$2:$J$2730,AA$1)</f>
        <v>0</v>
      </c>
      <c r="AB155" s="183">
        <f>SUMIFS('декабрь 2025'!$G$2:$G$2730,'декабрь 2025'!$D$2:$D$2730,$B155,'декабрь 2025'!$J$2:$J$2730,AB$1)</f>
        <v>0</v>
      </c>
      <c r="AC155" s="183">
        <f>SUMIFS('декабрь 2025'!$G$2:$G$2730,'декабрь 2025'!$D$2:$D$2730,$B155,'декабрь 2025'!$J$2:$J$2730,AC$1)</f>
        <v>0</v>
      </c>
      <c r="AD155" s="183">
        <f>SUMIFS('декабрь 2025'!$G$2:$G$2730,'декабрь 2025'!$D$2:$D$2730,$B155,'декабрь 2025'!$J$2:$J$2730,AD$1)</f>
        <v>0</v>
      </c>
      <c r="AE155" s="183">
        <f>SUMIFS('декабрь 2025'!$G$2:$G$2730,'декабрь 2025'!$D$2:$D$2730,$B155,'декабрь 2025'!$J$2:$J$2730,AE$1)</f>
        <v>0</v>
      </c>
      <c r="AF155" s="183">
        <f>SUMIFS('декабрь 2025'!$G$2:$G$2730,'декабрь 2025'!$D$2:$D$2730,$B155,'декабрь 2025'!$J$2:$J$2730,AF$1)</f>
        <v>0</v>
      </c>
      <c r="AG155" s="183">
        <f>SUMIFS('декабрь 2025'!$G$2:$G$2730,'декабрь 2025'!$D$2:$D$2730,$B155,'декабрь 2025'!$J$2:$J$2730,AG$1)</f>
        <v>0</v>
      </c>
      <c r="AH155" s="183">
        <f>SUMIFS('декабрь 2025'!$G$2:$G$2730,'декабрь 2025'!$D$2:$D$2730,$B155,'декабрь 2025'!$J$2:$J$2730,AH$1)</f>
        <v>0</v>
      </c>
      <c r="AI155" s="20">
        <f t="shared" si="1"/>
        <v>0</v>
      </c>
    </row>
    <row r="156" spans="2:35" ht="15" customHeight="1" x14ac:dyDescent="0.25">
      <c r="B156" s="84" t="s">
        <v>273</v>
      </c>
      <c r="C156" s="83">
        <v>200</v>
      </c>
      <c r="D156" s="183">
        <f>SUMIFS('декабрь 2025'!$G$2:$G$2730,'декабрь 2025'!$D$2:$D$2730,$B156,'декабрь 2025'!$J$2:$J$2730,D$1)</f>
        <v>0</v>
      </c>
      <c r="E156" s="183">
        <f>SUMIFS('декабрь 2025'!$G$2:$G$2730,'декабрь 2025'!$D$2:$D$2730,$B156,'декабрь 2025'!$J$2:$J$2730,E$1)</f>
        <v>0</v>
      </c>
      <c r="F156" s="183">
        <f>SUMIFS('декабрь 2025'!$G$2:$G$2730,'декабрь 2025'!$D$2:$D$2730,$B156,'декабрь 2025'!$J$2:$J$2730,F$1)</f>
        <v>0</v>
      </c>
      <c r="G156" s="183">
        <f>SUMIFS('декабрь 2025'!$G$2:$G$2730,'декабрь 2025'!$D$2:$D$2730,$B156,'декабрь 2025'!$J$2:$J$2730,G$1)</f>
        <v>0</v>
      </c>
      <c r="H156" s="183">
        <f>SUMIFS('декабрь 2025'!$G$2:$G$2730,'декабрь 2025'!$D$2:$D$2730,$B156,'декабрь 2025'!$J$2:$J$2730,H$1)</f>
        <v>0</v>
      </c>
      <c r="I156" s="183">
        <f>SUMIFS('декабрь 2025'!$G$2:$G$2730,'декабрь 2025'!$D$2:$D$2730,$B156,'декабрь 2025'!$J$2:$J$2730,I$1)</f>
        <v>0</v>
      </c>
      <c r="J156" s="183">
        <f>SUMIFS('декабрь 2025'!$G$2:$G$2730,'декабрь 2025'!$D$2:$D$2730,$B156,'декабрь 2025'!$J$2:$J$2730,J$1)</f>
        <v>0</v>
      </c>
      <c r="K156" s="183">
        <f>SUMIFS('декабрь 2025'!$G$2:$G$2730,'декабрь 2025'!$D$2:$D$2730,$B156,'декабрь 2025'!$J$2:$J$2730,K$1)</f>
        <v>0</v>
      </c>
      <c r="L156" s="183">
        <f>SUMIFS('декабрь 2025'!$G$2:$G$2730,'декабрь 2025'!$D$2:$D$2730,$B156,'декабрь 2025'!$J$2:$J$2730,L$1)</f>
        <v>0</v>
      </c>
      <c r="M156" s="183">
        <f>SUMIFS('декабрь 2025'!$G$2:$G$2730,'декабрь 2025'!$D$2:$D$2730,$B156,'декабрь 2025'!$J$2:$J$2730,M$1)</f>
        <v>0</v>
      </c>
      <c r="N156" s="183">
        <f>SUMIFS('декабрь 2025'!$G$2:$G$2730,'декабрь 2025'!$D$2:$D$2730,$B156,'декабрь 2025'!$J$2:$J$2730,N$1)</f>
        <v>0</v>
      </c>
      <c r="O156" s="183">
        <f>SUMIFS('декабрь 2025'!$G$2:$G$2730,'декабрь 2025'!$D$2:$D$2730,$B156,'декабрь 2025'!$J$2:$J$2730,O$1)</f>
        <v>0</v>
      </c>
      <c r="P156" s="183">
        <f>SUMIFS('декабрь 2025'!$G$2:$G$2730,'декабрь 2025'!$D$2:$D$2730,$B156,'декабрь 2025'!$J$2:$J$2730,P$1)</f>
        <v>0</v>
      </c>
      <c r="Q156" s="183">
        <f>SUMIFS('декабрь 2025'!$G$2:$G$2730,'декабрь 2025'!$D$2:$D$2730,$B156,'декабрь 2025'!$J$2:$J$2730,Q$1)</f>
        <v>0</v>
      </c>
      <c r="R156" s="183">
        <f>SUMIFS('декабрь 2025'!$G$2:$G$2730,'декабрь 2025'!$D$2:$D$2730,$B156,'декабрь 2025'!$J$2:$J$2730,R$1)</f>
        <v>0</v>
      </c>
      <c r="S156" s="183">
        <f>SUMIFS('декабрь 2025'!$G$2:$G$2730,'декабрь 2025'!$D$2:$D$2730,$B156,'декабрь 2025'!$J$2:$J$2730,S$1)</f>
        <v>0</v>
      </c>
      <c r="T156" s="183">
        <f>SUMIFS('декабрь 2025'!$G$2:$G$2730,'декабрь 2025'!$D$2:$D$2730,$B156,'декабрь 2025'!$J$2:$J$2730,T$1)</f>
        <v>0</v>
      </c>
      <c r="U156" s="183">
        <f>SUMIFS('декабрь 2025'!$G$2:$G$2730,'декабрь 2025'!$D$2:$D$2730,$B156,'декабрь 2025'!$J$2:$J$2730,U$1)</f>
        <v>0</v>
      </c>
      <c r="V156" s="183">
        <f>SUMIFS('декабрь 2025'!$G$2:$G$2730,'декабрь 2025'!$D$2:$D$2730,$B156,'декабрь 2025'!$J$2:$J$2730,V$1)</f>
        <v>0</v>
      </c>
      <c r="W156" s="183">
        <f>SUMIFS('декабрь 2025'!$G$2:$G$2730,'декабрь 2025'!$D$2:$D$2730,$B156,'декабрь 2025'!$J$2:$J$2730,W$1)</f>
        <v>0</v>
      </c>
      <c r="X156" s="183">
        <f>SUMIFS('декабрь 2025'!$G$2:$G$2730,'декабрь 2025'!$D$2:$D$2730,$B156,'декабрь 2025'!$J$2:$J$2730,X$1)</f>
        <v>0</v>
      </c>
      <c r="Y156" s="183">
        <f>SUMIFS('декабрь 2025'!$G$2:$G$2730,'декабрь 2025'!$D$2:$D$2730,$B156,'декабрь 2025'!$J$2:$J$2730,Y$1)</f>
        <v>0</v>
      </c>
      <c r="Z156" s="183">
        <f>SUMIFS('декабрь 2025'!$G$2:$G$2730,'декабрь 2025'!$D$2:$D$2730,$B156,'декабрь 2025'!$J$2:$J$2730,Z$1)</f>
        <v>0</v>
      </c>
      <c r="AA156" s="183">
        <f>SUMIFS('декабрь 2025'!$G$2:$G$2730,'декабрь 2025'!$D$2:$D$2730,$B156,'декабрь 2025'!$J$2:$J$2730,AA$1)</f>
        <v>0</v>
      </c>
      <c r="AB156" s="183">
        <f>SUMIFS('декабрь 2025'!$G$2:$G$2730,'декабрь 2025'!$D$2:$D$2730,$B156,'декабрь 2025'!$J$2:$J$2730,AB$1)</f>
        <v>0</v>
      </c>
      <c r="AC156" s="183">
        <f>SUMIFS('декабрь 2025'!$G$2:$G$2730,'декабрь 2025'!$D$2:$D$2730,$B156,'декабрь 2025'!$J$2:$J$2730,AC$1)</f>
        <v>0</v>
      </c>
      <c r="AD156" s="183">
        <f>SUMIFS('декабрь 2025'!$G$2:$G$2730,'декабрь 2025'!$D$2:$D$2730,$B156,'декабрь 2025'!$J$2:$J$2730,AD$1)</f>
        <v>0</v>
      </c>
      <c r="AE156" s="183">
        <f>SUMIFS('декабрь 2025'!$G$2:$G$2730,'декабрь 2025'!$D$2:$D$2730,$B156,'декабрь 2025'!$J$2:$J$2730,AE$1)</f>
        <v>0</v>
      </c>
      <c r="AF156" s="183">
        <f>SUMIFS('декабрь 2025'!$G$2:$G$2730,'декабрь 2025'!$D$2:$D$2730,$B156,'декабрь 2025'!$J$2:$J$2730,AF$1)</f>
        <v>0</v>
      </c>
      <c r="AG156" s="183">
        <f>SUMIFS('декабрь 2025'!$G$2:$G$2730,'декабрь 2025'!$D$2:$D$2730,$B156,'декабрь 2025'!$J$2:$J$2730,AG$1)</f>
        <v>0</v>
      </c>
      <c r="AH156" s="183">
        <f>SUMIFS('декабрь 2025'!$G$2:$G$2730,'декабрь 2025'!$D$2:$D$2730,$B156,'декабрь 2025'!$J$2:$J$2730,AH$1)</f>
        <v>0</v>
      </c>
      <c r="AI156" s="20">
        <f t="shared" si="1"/>
        <v>0</v>
      </c>
    </row>
    <row r="157" spans="2:35" ht="15" customHeight="1" x14ac:dyDescent="0.25">
      <c r="B157" s="84" t="s">
        <v>274</v>
      </c>
      <c r="C157" s="83">
        <v>200</v>
      </c>
      <c r="D157" s="183">
        <f>SUMIFS('декабрь 2025'!$G$2:$G$2730,'декабрь 2025'!$D$2:$D$2730,$B157,'декабрь 2025'!$J$2:$J$2730,D$1)</f>
        <v>0</v>
      </c>
      <c r="E157" s="183">
        <f>SUMIFS('декабрь 2025'!$G$2:$G$2730,'декабрь 2025'!$D$2:$D$2730,$B157,'декабрь 2025'!$J$2:$J$2730,E$1)</f>
        <v>0</v>
      </c>
      <c r="F157" s="183">
        <f>SUMIFS('декабрь 2025'!$G$2:$G$2730,'декабрь 2025'!$D$2:$D$2730,$B157,'декабрь 2025'!$J$2:$J$2730,F$1)</f>
        <v>0</v>
      </c>
      <c r="G157" s="183">
        <f>SUMIFS('декабрь 2025'!$G$2:$G$2730,'декабрь 2025'!$D$2:$D$2730,$B157,'декабрь 2025'!$J$2:$J$2730,G$1)</f>
        <v>0</v>
      </c>
      <c r="H157" s="183">
        <f>SUMIFS('декабрь 2025'!$G$2:$G$2730,'декабрь 2025'!$D$2:$D$2730,$B157,'декабрь 2025'!$J$2:$J$2730,H$1)</f>
        <v>0</v>
      </c>
      <c r="I157" s="183">
        <f>SUMIFS('декабрь 2025'!$G$2:$G$2730,'декабрь 2025'!$D$2:$D$2730,$B157,'декабрь 2025'!$J$2:$J$2730,I$1)</f>
        <v>0</v>
      </c>
      <c r="J157" s="183">
        <f>SUMIFS('декабрь 2025'!$G$2:$G$2730,'декабрь 2025'!$D$2:$D$2730,$B157,'декабрь 2025'!$J$2:$J$2730,J$1)</f>
        <v>0</v>
      </c>
      <c r="K157" s="183">
        <f>SUMIFS('декабрь 2025'!$G$2:$G$2730,'декабрь 2025'!$D$2:$D$2730,$B157,'декабрь 2025'!$J$2:$J$2730,K$1)</f>
        <v>0</v>
      </c>
      <c r="L157" s="183">
        <f>SUMIFS('декабрь 2025'!$G$2:$G$2730,'декабрь 2025'!$D$2:$D$2730,$B157,'декабрь 2025'!$J$2:$J$2730,L$1)</f>
        <v>0</v>
      </c>
      <c r="M157" s="183">
        <f>SUMIFS('декабрь 2025'!$G$2:$G$2730,'декабрь 2025'!$D$2:$D$2730,$B157,'декабрь 2025'!$J$2:$J$2730,M$1)</f>
        <v>0</v>
      </c>
      <c r="N157" s="183">
        <f>SUMIFS('декабрь 2025'!$G$2:$G$2730,'декабрь 2025'!$D$2:$D$2730,$B157,'декабрь 2025'!$J$2:$J$2730,N$1)</f>
        <v>0</v>
      </c>
      <c r="O157" s="183">
        <f>SUMIFS('декабрь 2025'!$G$2:$G$2730,'декабрь 2025'!$D$2:$D$2730,$B157,'декабрь 2025'!$J$2:$J$2730,O$1)</f>
        <v>0</v>
      </c>
      <c r="P157" s="183">
        <f>SUMIFS('декабрь 2025'!$G$2:$G$2730,'декабрь 2025'!$D$2:$D$2730,$B157,'декабрь 2025'!$J$2:$J$2730,P$1)</f>
        <v>0</v>
      </c>
      <c r="Q157" s="183">
        <f>SUMIFS('декабрь 2025'!$G$2:$G$2730,'декабрь 2025'!$D$2:$D$2730,$B157,'декабрь 2025'!$J$2:$J$2730,Q$1)</f>
        <v>0</v>
      </c>
      <c r="R157" s="183">
        <f>SUMIFS('декабрь 2025'!$G$2:$G$2730,'декабрь 2025'!$D$2:$D$2730,$B157,'декабрь 2025'!$J$2:$J$2730,R$1)</f>
        <v>0</v>
      </c>
      <c r="S157" s="183">
        <f>SUMIFS('декабрь 2025'!$G$2:$G$2730,'декабрь 2025'!$D$2:$D$2730,$B157,'декабрь 2025'!$J$2:$J$2730,S$1)</f>
        <v>0</v>
      </c>
      <c r="T157" s="183">
        <f>SUMIFS('декабрь 2025'!$G$2:$G$2730,'декабрь 2025'!$D$2:$D$2730,$B157,'декабрь 2025'!$J$2:$J$2730,T$1)</f>
        <v>0</v>
      </c>
      <c r="U157" s="183">
        <f>SUMIFS('декабрь 2025'!$G$2:$G$2730,'декабрь 2025'!$D$2:$D$2730,$B157,'декабрь 2025'!$J$2:$J$2730,U$1)</f>
        <v>0</v>
      </c>
      <c r="V157" s="183">
        <f>SUMIFS('декабрь 2025'!$G$2:$G$2730,'декабрь 2025'!$D$2:$D$2730,$B157,'декабрь 2025'!$J$2:$J$2730,V$1)</f>
        <v>0</v>
      </c>
      <c r="W157" s="183">
        <f>SUMIFS('декабрь 2025'!$G$2:$G$2730,'декабрь 2025'!$D$2:$D$2730,$B157,'декабрь 2025'!$J$2:$J$2730,W$1)</f>
        <v>0</v>
      </c>
      <c r="X157" s="183">
        <f>SUMIFS('декабрь 2025'!$G$2:$G$2730,'декабрь 2025'!$D$2:$D$2730,$B157,'декабрь 2025'!$J$2:$J$2730,X$1)</f>
        <v>0</v>
      </c>
      <c r="Y157" s="183">
        <f>SUMIFS('декабрь 2025'!$G$2:$G$2730,'декабрь 2025'!$D$2:$D$2730,$B157,'декабрь 2025'!$J$2:$J$2730,Y$1)</f>
        <v>0</v>
      </c>
      <c r="Z157" s="183">
        <f>SUMIFS('декабрь 2025'!$G$2:$G$2730,'декабрь 2025'!$D$2:$D$2730,$B157,'декабрь 2025'!$J$2:$J$2730,Z$1)</f>
        <v>0</v>
      </c>
      <c r="AA157" s="183">
        <f>SUMIFS('декабрь 2025'!$G$2:$G$2730,'декабрь 2025'!$D$2:$D$2730,$B157,'декабрь 2025'!$J$2:$J$2730,AA$1)</f>
        <v>0</v>
      </c>
      <c r="AB157" s="183">
        <f>SUMIFS('декабрь 2025'!$G$2:$G$2730,'декабрь 2025'!$D$2:$D$2730,$B157,'декабрь 2025'!$J$2:$J$2730,AB$1)</f>
        <v>0</v>
      </c>
      <c r="AC157" s="183">
        <f>SUMIFS('декабрь 2025'!$G$2:$G$2730,'декабрь 2025'!$D$2:$D$2730,$B157,'декабрь 2025'!$J$2:$J$2730,AC$1)</f>
        <v>0</v>
      </c>
      <c r="AD157" s="183">
        <f>SUMIFS('декабрь 2025'!$G$2:$G$2730,'декабрь 2025'!$D$2:$D$2730,$B157,'декабрь 2025'!$J$2:$J$2730,AD$1)</f>
        <v>0</v>
      </c>
      <c r="AE157" s="183">
        <f>SUMIFS('декабрь 2025'!$G$2:$G$2730,'декабрь 2025'!$D$2:$D$2730,$B157,'декабрь 2025'!$J$2:$J$2730,AE$1)</f>
        <v>0</v>
      </c>
      <c r="AF157" s="183">
        <f>SUMIFS('декабрь 2025'!$G$2:$G$2730,'декабрь 2025'!$D$2:$D$2730,$B157,'декабрь 2025'!$J$2:$J$2730,AF$1)</f>
        <v>0</v>
      </c>
      <c r="AG157" s="183">
        <f>SUMIFS('декабрь 2025'!$G$2:$G$2730,'декабрь 2025'!$D$2:$D$2730,$B157,'декабрь 2025'!$J$2:$J$2730,AG$1)</f>
        <v>0</v>
      </c>
      <c r="AH157" s="183">
        <f>SUMIFS('декабрь 2025'!$G$2:$G$2730,'декабрь 2025'!$D$2:$D$2730,$B157,'декабрь 2025'!$J$2:$J$2730,AH$1)</f>
        <v>0</v>
      </c>
      <c r="AI157" s="20">
        <f t="shared" si="1"/>
        <v>0</v>
      </c>
    </row>
    <row r="158" spans="2:35" ht="15" customHeight="1" x14ac:dyDescent="0.25">
      <c r="B158" s="84" t="s">
        <v>313</v>
      </c>
      <c r="C158" s="83">
        <v>1000</v>
      </c>
      <c r="D158" s="183">
        <f>SUMIFS('декабрь 2025'!$G$2:$G$2730,'декабрь 2025'!$D$2:$D$2730,$B158,'декабрь 2025'!$J$2:$J$2730,D$1)</f>
        <v>0</v>
      </c>
      <c r="E158" s="183">
        <f>SUMIFS('декабрь 2025'!$G$2:$G$2730,'декабрь 2025'!$D$2:$D$2730,$B158,'декабрь 2025'!$J$2:$J$2730,E$1)</f>
        <v>0</v>
      </c>
      <c r="F158" s="183">
        <f>SUMIFS('декабрь 2025'!$G$2:$G$2730,'декабрь 2025'!$D$2:$D$2730,$B158,'декабрь 2025'!$J$2:$J$2730,F$1)</f>
        <v>0</v>
      </c>
      <c r="G158" s="183">
        <f>SUMIFS('декабрь 2025'!$G$2:$G$2730,'декабрь 2025'!$D$2:$D$2730,$B158,'декабрь 2025'!$J$2:$J$2730,G$1)</f>
        <v>0</v>
      </c>
      <c r="H158" s="183">
        <f>SUMIFS('декабрь 2025'!$G$2:$G$2730,'декабрь 2025'!$D$2:$D$2730,$B158,'декабрь 2025'!$J$2:$J$2730,H$1)</f>
        <v>0</v>
      </c>
      <c r="I158" s="183">
        <f>SUMIFS('декабрь 2025'!$G$2:$G$2730,'декабрь 2025'!$D$2:$D$2730,$B158,'декабрь 2025'!$J$2:$J$2730,I$1)</f>
        <v>0</v>
      </c>
      <c r="J158" s="183">
        <f>SUMIFS('декабрь 2025'!$G$2:$G$2730,'декабрь 2025'!$D$2:$D$2730,$B158,'декабрь 2025'!$J$2:$J$2730,J$1)</f>
        <v>0</v>
      </c>
      <c r="K158" s="183">
        <f>SUMIFS('декабрь 2025'!$G$2:$G$2730,'декабрь 2025'!$D$2:$D$2730,$B158,'декабрь 2025'!$J$2:$J$2730,K$1)</f>
        <v>0</v>
      </c>
      <c r="L158" s="183">
        <f>SUMIFS('декабрь 2025'!$G$2:$G$2730,'декабрь 2025'!$D$2:$D$2730,$B158,'декабрь 2025'!$J$2:$J$2730,L$1)</f>
        <v>0</v>
      </c>
      <c r="M158" s="183">
        <f>SUMIFS('декабрь 2025'!$G$2:$G$2730,'декабрь 2025'!$D$2:$D$2730,$B158,'декабрь 2025'!$J$2:$J$2730,M$1)</f>
        <v>0</v>
      </c>
      <c r="N158" s="183">
        <f>SUMIFS('декабрь 2025'!$G$2:$G$2730,'декабрь 2025'!$D$2:$D$2730,$B158,'декабрь 2025'!$J$2:$J$2730,N$1)</f>
        <v>0</v>
      </c>
      <c r="O158" s="183">
        <f>SUMIFS('декабрь 2025'!$G$2:$G$2730,'декабрь 2025'!$D$2:$D$2730,$B158,'декабрь 2025'!$J$2:$J$2730,O$1)</f>
        <v>0</v>
      </c>
      <c r="P158" s="183">
        <f>SUMIFS('декабрь 2025'!$G$2:$G$2730,'декабрь 2025'!$D$2:$D$2730,$B158,'декабрь 2025'!$J$2:$J$2730,P$1)</f>
        <v>0</v>
      </c>
      <c r="Q158" s="183">
        <f>SUMIFS('декабрь 2025'!$G$2:$G$2730,'декабрь 2025'!$D$2:$D$2730,$B158,'декабрь 2025'!$J$2:$J$2730,Q$1)</f>
        <v>0</v>
      </c>
      <c r="R158" s="183">
        <f>SUMIFS('декабрь 2025'!$G$2:$G$2730,'декабрь 2025'!$D$2:$D$2730,$B158,'декабрь 2025'!$J$2:$J$2730,R$1)</f>
        <v>0</v>
      </c>
      <c r="S158" s="183">
        <f>SUMIFS('декабрь 2025'!$G$2:$G$2730,'декабрь 2025'!$D$2:$D$2730,$B158,'декабрь 2025'!$J$2:$J$2730,S$1)</f>
        <v>0</v>
      </c>
      <c r="T158" s="183">
        <f>SUMIFS('декабрь 2025'!$G$2:$G$2730,'декабрь 2025'!$D$2:$D$2730,$B158,'декабрь 2025'!$J$2:$J$2730,T$1)</f>
        <v>0</v>
      </c>
      <c r="U158" s="183">
        <f>SUMIFS('декабрь 2025'!$G$2:$G$2730,'декабрь 2025'!$D$2:$D$2730,$B158,'декабрь 2025'!$J$2:$J$2730,U$1)</f>
        <v>0</v>
      </c>
      <c r="V158" s="183">
        <f>SUMIFS('декабрь 2025'!$G$2:$G$2730,'декабрь 2025'!$D$2:$D$2730,$B158,'декабрь 2025'!$J$2:$J$2730,V$1)</f>
        <v>0</v>
      </c>
      <c r="W158" s="183">
        <f>SUMIFS('декабрь 2025'!$G$2:$G$2730,'декабрь 2025'!$D$2:$D$2730,$B158,'декабрь 2025'!$J$2:$J$2730,W$1)</f>
        <v>0</v>
      </c>
      <c r="X158" s="183">
        <f>SUMIFS('декабрь 2025'!$G$2:$G$2730,'декабрь 2025'!$D$2:$D$2730,$B158,'декабрь 2025'!$J$2:$J$2730,X$1)</f>
        <v>0</v>
      </c>
      <c r="Y158" s="183">
        <f>SUMIFS('декабрь 2025'!$G$2:$G$2730,'декабрь 2025'!$D$2:$D$2730,$B158,'декабрь 2025'!$J$2:$J$2730,Y$1)</f>
        <v>0</v>
      </c>
      <c r="Z158" s="183">
        <f>SUMIFS('декабрь 2025'!$G$2:$G$2730,'декабрь 2025'!$D$2:$D$2730,$B158,'декабрь 2025'!$J$2:$J$2730,Z$1)</f>
        <v>0</v>
      </c>
      <c r="AA158" s="183">
        <f>SUMIFS('декабрь 2025'!$G$2:$G$2730,'декабрь 2025'!$D$2:$D$2730,$B158,'декабрь 2025'!$J$2:$J$2730,AA$1)</f>
        <v>0</v>
      </c>
      <c r="AB158" s="183">
        <f>SUMIFS('декабрь 2025'!$G$2:$G$2730,'декабрь 2025'!$D$2:$D$2730,$B158,'декабрь 2025'!$J$2:$J$2730,AB$1)</f>
        <v>0</v>
      </c>
      <c r="AC158" s="183">
        <f>SUMIFS('декабрь 2025'!$G$2:$G$2730,'декабрь 2025'!$D$2:$D$2730,$B158,'декабрь 2025'!$J$2:$J$2730,AC$1)</f>
        <v>0</v>
      </c>
      <c r="AD158" s="183">
        <f>SUMIFS('декабрь 2025'!$G$2:$G$2730,'декабрь 2025'!$D$2:$D$2730,$B158,'декабрь 2025'!$J$2:$J$2730,AD$1)</f>
        <v>0</v>
      </c>
      <c r="AE158" s="183">
        <f>SUMIFS('декабрь 2025'!$G$2:$G$2730,'декабрь 2025'!$D$2:$D$2730,$B158,'декабрь 2025'!$J$2:$J$2730,AE$1)</f>
        <v>0</v>
      </c>
      <c r="AF158" s="183">
        <f>SUMIFS('декабрь 2025'!$G$2:$G$2730,'декабрь 2025'!$D$2:$D$2730,$B158,'декабрь 2025'!$J$2:$J$2730,AF$1)</f>
        <v>0</v>
      </c>
      <c r="AG158" s="183">
        <f>SUMIFS('декабрь 2025'!$G$2:$G$2730,'декабрь 2025'!$D$2:$D$2730,$B158,'декабрь 2025'!$J$2:$J$2730,AG$1)</f>
        <v>0</v>
      </c>
      <c r="AH158" s="183">
        <f>SUMIFS('декабрь 2025'!$G$2:$G$2730,'декабрь 2025'!$D$2:$D$2730,$B158,'декабрь 2025'!$J$2:$J$2730,AH$1)</f>
        <v>0</v>
      </c>
      <c r="AI158" s="20">
        <f t="shared" si="1"/>
        <v>0</v>
      </c>
    </row>
    <row r="159" spans="2:35" ht="15" customHeight="1" x14ac:dyDescent="0.25">
      <c r="B159" s="84" t="s">
        <v>200</v>
      </c>
      <c r="C159" s="83">
        <v>200</v>
      </c>
      <c r="D159" s="183">
        <f>SUMIFS('декабрь 2025'!$G$2:$G$2730,'декабрь 2025'!$D$2:$D$2730,$B159,'декабрь 2025'!$J$2:$J$2730,D$1)</f>
        <v>0</v>
      </c>
      <c r="E159" s="183">
        <f>SUMIFS('декабрь 2025'!$G$2:$G$2730,'декабрь 2025'!$D$2:$D$2730,$B159,'декабрь 2025'!$J$2:$J$2730,E$1)</f>
        <v>0</v>
      </c>
      <c r="F159" s="183">
        <f>SUMIFS('декабрь 2025'!$G$2:$G$2730,'декабрь 2025'!$D$2:$D$2730,$B159,'декабрь 2025'!$J$2:$J$2730,F$1)</f>
        <v>0</v>
      </c>
      <c r="G159" s="183">
        <f>SUMIFS('декабрь 2025'!$G$2:$G$2730,'декабрь 2025'!$D$2:$D$2730,$B159,'декабрь 2025'!$J$2:$J$2730,G$1)</f>
        <v>0</v>
      </c>
      <c r="H159" s="183">
        <f>SUMIFS('декабрь 2025'!$G$2:$G$2730,'декабрь 2025'!$D$2:$D$2730,$B159,'декабрь 2025'!$J$2:$J$2730,H$1)</f>
        <v>0</v>
      </c>
      <c r="I159" s="183">
        <f>SUMIFS('декабрь 2025'!$G$2:$G$2730,'декабрь 2025'!$D$2:$D$2730,$B159,'декабрь 2025'!$J$2:$J$2730,I$1)</f>
        <v>0</v>
      </c>
      <c r="J159" s="183">
        <f>SUMIFS('декабрь 2025'!$G$2:$G$2730,'декабрь 2025'!$D$2:$D$2730,$B159,'декабрь 2025'!$J$2:$J$2730,J$1)</f>
        <v>0</v>
      </c>
      <c r="K159" s="183">
        <f>SUMIFS('декабрь 2025'!$G$2:$G$2730,'декабрь 2025'!$D$2:$D$2730,$B159,'декабрь 2025'!$J$2:$J$2730,K$1)</f>
        <v>0</v>
      </c>
      <c r="L159" s="183">
        <f>SUMIFS('декабрь 2025'!$G$2:$G$2730,'декабрь 2025'!$D$2:$D$2730,$B159,'декабрь 2025'!$J$2:$J$2730,L$1)</f>
        <v>0</v>
      </c>
      <c r="M159" s="183">
        <f>SUMIFS('декабрь 2025'!$G$2:$G$2730,'декабрь 2025'!$D$2:$D$2730,$B159,'декабрь 2025'!$J$2:$J$2730,M$1)</f>
        <v>0</v>
      </c>
      <c r="N159" s="183">
        <f>SUMIFS('декабрь 2025'!$G$2:$G$2730,'декабрь 2025'!$D$2:$D$2730,$B159,'декабрь 2025'!$J$2:$J$2730,N$1)</f>
        <v>0</v>
      </c>
      <c r="O159" s="183">
        <f>SUMIFS('декабрь 2025'!$G$2:$G$2730,'декабрь 2025'!$D$2:$D$2730,$B159,'декабрь 2025'!$J$2:$J$2730,O$1)</f>
        <v>0</v>
      </c>
      <c r="P159" s="183">
        <f>SUMIFS('декабрь 2025'!$G$2:$G$2730,'декабрь 2025'!$D$2:$D$2730,$B159,'декабрь 2025'!$J$2:$J$2730,P$1)</f>
        <v>0</v>
      </c>
      <c r="Q159" s="183">
        <f>SUMIFS('декабрь 2025'!$G$2:$G$2730,'декабрь 2025'!$D$2:$D$2730,$B159,'декабрь 2025'!$J$2:$J$2730,Q$1)</f>
        <v>0</v>
      </c>
      <c r="R159" s="183">
        <f>SUMIFS('декабрь 2025'!$G$2:$G$2730,'декабрь 2025'!$D$2:$D$2730,$B159,'декабрь 2025'!$J$2:$J$2730,R$1)</f>
        <v>0</v>
      </c>
      <c r="S159" s="183">
        <f>SUMIFS('декабрь 2025'!$G$2:$G$2730,'декабрь 2025'!$D$2:$D$2730,$B159,'декабрь 2025'!$J$2:$J$2730,S$1)</f>
        <v>0</v>
      </c>
      <c r="T159" s="183">
        <f>SUMIFS('декабрь 2025'!$G$2:$G$2730,'декабрь 2025'!$D$2:$D$2730,$B159,'декабрь 2025'!$J$2:$J$2730,T$1)</f>
        <v>0</v>
      </c>
      <c r="U159" s="183">
        <f>SUMIFS('декабрь 2025'!$G$2:$G$2730,'декабрь 2025'!$D$2:$D$2730,$B159,'декабрь 2025'!$J$2:$J$2730,U$1)</f>
        <v>0</v>
      </c>
      <c r="V159" s="183">
        <f>SUMIFS('декабрь 2025'!$G$2:$G$2730,'декабрь 2025'!$D$2:$D$2730,$B159,'декабрь 2025'!$J$2:$J$2730,V$1)</f>
        <v>0</v>
      </c>
      <c r="W159" s="183">
        <f>SUMIFS('декабрь 2025'!$G$2:$G$2730,'декабрь 2025'!$D$2:$D$2730,$B159,'декабрь 2025'!$J$2:$J$2730,W$1)</f>
        <v>0</v>
      </c>
      <c r="X159" s="183">
        <f>SUMIFS('декабрь 2025'!$G$2:$G$2730,'декабрь 2025'!$D$2:$D$2730,$B159,'декабрь 2025'!$J$2:$J$2730,X$1)</f>
        <v>0</v>
      </c>
      <c r="Y159" s="183">
        <f>SUMIFS('декабрь 2025'!$G$2:$G$2730,'декабрь 2025'!$D$2:$D$2730,$B159,'декабрь 2025'!$J$2:$J$2730,Y$1)</f>
        <v>0</v>
      </c>
      <c r="Z159" s="183">
        <f>SUMIFS('декабрь 2025'!$G$2:$G$2730,'декабрь 2025'!$D$2:$D$2730,$B159,'декабрь 2025'!$J$2:$J$2730,Z$1)</f>
        <v>0</v>
      </c>
      <c r="AA159" s="183">
        <f>SUMIFS('декабрь 2025'!$G$2:$G$2730,'декабрь 2025'!$D$2:$D$2730,$B159,'декабрь 2025'!$J$2:$J$2730,AA$1)</f>
        <v>0</v>
      </c>
      <c r="AB159" s="183">
        <f>SUMIFS('декабрь 2025'!$G$2:$G$2730,'декабрь 2025'!$D$2:$D$2730,$B159,'декабрь 2025'!$J$2:$J$2730,AB$1)</f>
        <v>0</v>
      </c>
      <c r="AC159" s="183">
        <f>SUMIFS('декабрь 2025'!$G$2:$G$2730,'декабрь 2025'!$D$2:$D$2730,$B159,'декабрь 2025'!$J$2:$J$2730,AC$1)</f>
        <v>0</v>
      </c>
      <c r="AD159" s="183">
        <f>SUMIFS('декабрь 2025'!$G$2:$G$2730,'декабрь 2025'!$D$2:$D$2730,$B159,'декабрь 2025'!$J$2:$J$2730,AD$1)</f>
        <v>0</v>
      </c>
      <c r="AE159" s="183">
        <f>SUMIFS('декабрь 2025'!$G$2:$G$2730,'декабрь 2025'!$D$2:$D$2730,$B159,'декабрь 2025'!$J$2:$J$2730,AE$1)</f>
        <v>0</v>
      </c>
      <c r="AF159" s="183">
        <f>SUMIFS('декабрь 2025'!$G$2:$G$2730,'декабрь 2025'!$D$2:$D$2730,$B159,'декабрь 2025'!$J$2:$J$2730,AF$1)</f>
        <v>0</v>
      </c>
      <c r="AG159" s="183">
        <f>SUMIFS('декабрь 2025'!$G$2:$G$2730,'декабрь 2025'!$D$2:$D$2730,$B159,'декабрь 2025'!$J$2:$J$2730,AG$1)</f>
        <v>0</v>
      </c>
      <c r="AH159" s="183">
        <f>SUMIFS('декабрь 2025'!$G$2:$G$2730,'декабрь 2025'!$D$2:$D$2730,$B159,'декабрь 2025'!$J$2:$J$2730,AH$1)</f>
        <v>0</v>
      </c>
      <c r="AI159" s="20">
        <f t="shared" si="1"/>
        <v>0</v>
      </c>
    </row>
    <row r="160" spans="2:35" ht="15" customHeight="1" x14ac:dyDescent="0.25">
      <c r="B160" s="84" t="s">
        <v>275</v>
      </c>
      <c r="C160" s="83">
        <v>200</v>
      </c>
      <c r="D160" s="183">
        <f>SUMIFS('декабрь 2025'!$G$2:$G$2730,'декабрь 2025'!$D$2:$D$2730,$B160,'декабрь 2025'!$J$2:$J$2730,D$1)</f>
        <v>0</v>
      </c>
      <c r="E160" s="183">
        <f>SUMIFS('декабрь 2025'!$G$2:$G$2730,'декабрь 2025'!$D$2:$D$2730,$B160,'декабрь 2025'!$J$2:$J$2730,E$1)</f>
        <v>0</v>
      </c>
      <c r="F160" s="183">
        <f>SUMIFS('декабрь 2025'!$G$2:$G$2730,'декабрь 2025'!$D$2:$D$2730,$B160,'декабрь 2025'!$J$2:$J$2730,F$1)</f>
        <v>0</v>
      </c>
      <c r="G160" s="183">
        <f>SUMIFS('декабрь 2025'!$G$2:$G$2730,'декабрь 2025'!$D$2:$D$2730,$B160,'декабрь 2025'!$J$2:$J$2730,G$1)</f>
        <v>0</v>
      </c>
      <c r="H160" s="183">
        <f>SUMIFS('декабрь 2025'!$G$2:$G$2730,'декабрь 2025'!$D$2:$D$2730,$B160,'декабрь 2025'!$J$2:$J$2730,H$1)</f>
        <v>0</v>
      </c>
      <c r="I160" s="183">
        <f>SUMIFS('декабрь 2025'!$G$2:$G$2730,'декабрь 2025'!$D$2:$D$2730,$B160,'декабрь 2025'!$J$2:$J$2730,I$1)</f>
        <v>0</v>
      </c>
      <c r="J160" s="183">
        <f>SUMIFS('декабрь 2025'!$G$2:$G$2730,'декабрь 2025'!$D$2:$D$2730,$B160,'декабрь 2025'!$J$2:$J$2730,J$1)</f>
        <v>0</v>
      </c>
      <c r="K160" s="183">
        <f>SUMIFS('декабрь 2025'!$G$2:$G$2730,'декабрь 2025'!$D$2:$D$2730,$B160,'декабрь 2025'!$J$2:$J$2730,K$1)</f>
        <v>0</v>
      </c>
      <c r="L160" s="183">
        <f>SUMIFS('декабрь 2025'!$G$2:$G$2730,'декабрь 2025'!$D$2:$D$2730,$B160,'декабрь 2025'!$J$2:$J$2730,L$1)</f>
        <v>0</v>
      </c>
      <c r="M160" s="183">
        <f>SUMIFS('декабрь 2025'!$G$2:$G$2730,'декабрь 2025'!$D$2:$D$2730,$B160,'декабрь 2025'!$J$2:$J$2730,M$1)</f>
        <v>0</v>
      </c>
      <c r="N160" s="183">
        <f>SUMIFS('декабрь 2025'!$G$2:$G$2730,'декабрь 2025'!$D$2:$D$2730,$B160,'декабрь 2025'!$J$2:$J$2730,N$1)</f>
        <v>0</v>
      </c>
      <c r="O160" s="183">
        <f>SUMIFS('декабрь 2025'!$G$2:$G$2730,'декабрь 2025'!$D$2:$D$2730,$B160,'декабрь 2025'!$J$2:$J$2730,O$1)</f>
        <v>0</v>
      </c>
      <c r="P160" s="183">
        <f>SUMIFS('декабрь 2025'!$G$2:$G$2730,'декабрь 2025'!$D$2:$D$2730,$B160,'декабрь 2025'!$J$2:$J$2730,P$1)</f>
        <v>0</v>
      </c>
      <c r="Q160" s="183">
        <f>SUMIFS('декабрь 2025'!$G$2:$G$2730,'декабрь 2025'!$D$2:$D$2730,$B160,'декабрь 2025'!$J$2:$J$2730,Q$1)</f>
        <v>0</v>
      </c>
      <c r="R160" s="183">
        <f>SUMIFS('декабрь 2025'!$G$2:$G$2730,'декабрь 2025'!$D$2:$D$2730,$B160,'декабрь 2025'!$J$2:$J$2730,R$1)</f>
        <v>0</v>
      </c>
      <c r="S160" s="183">
        <f>SUMIFS('декабрь 2025'!$G$2:$G$2730,'декабрь 2025'!$D$2:$D$2730,$B160,'декабрь 2025'!$J$2:$J$2730,S$1)</f>
        <v>0</v>
      </c>
      <c r="T160" s="183">
        <f>SUMIFS('декабрь 2025'!$G$2:$G$2730,'декабрь 2025'!$D$2:$D$2730,$B160,'декабрь 2025'!$J$2:$J$2730,T$1)</f>
        <v>0</v>
      </c>
      <c r="U160" s="183">
        <f>SUMIFS('декабрь 2025'!$G$2:$G$2730,'декабрь 2025'!$D$2:$D$2730,$B160,'декабрь 2025'!$J$2:$J$2730,U$1)</f>
        <v>0</v>
      </c>
      <c r="V160" s="183">
        <f>SUMIFS('декабрь 2025'!$G$2:$G$2730,'декабрь 2025'!$D$2:$D$2730,$B160,'декабрь 2025'!$J$2:$J$2730,V$1)</f>
        <v>0</v>
      </c>
      <c r="W160" s="183">
        <f>SUMIFS('декабрь 2025'!$G$2:$G$2730,'декабрь 2025'!$D$2:$D$2730,$B160,'декабрь 2025'!$J$2:$J$2730,W$1)</f>
        <v>0</v>
      </c>
      <c r="X160" s="183">
        <f>SUMIFS('декабрь 2025'!$G$2:$G$2730,'декабрь 2025'!$D$2:$D$2730,$B160,'декабрь 2025'!$J$2:$J$2730,X$1)</f>
        <v>0</v>
      </c>
      <c r="Y160" s="183">
        <f>SUMIFS('декабрь 2025'!$G$2:$G$2730,'декабрь 2025'!$D$2:$D$2730,$B160,'декабрь 2025'!$J$2:$J$2730,Y$1)</f>
        <v>0</v>
      </c>
      <c r="Z160" s="183">
        <f>SUMIFS('декабрь 2025'!$G$2:$G$2730,'декабрь 2025'!$D$2:$D$2730,$B160,'декабрь 2025'!$J$2:$J$2730,Z$1)</f>
        <v>0</v>
      </c>
      <c r="AA160" s="183">
        <f>SUMIFS('декабрь 2025'!$G$2:$G$2730,'декабрь 2025'!$D$2:$D$2730,$B160,'декабрь 2025'!$J$2:$J$2730,AA$1)</f>
        <v>0</v>
      </c>
      <c r="AB160" s="183">
        <f>SUMIFS('декабрь 2025'!$G$2:$G$2730,'декабрь 2025'!$D$2:$D$2730,$B160,'декабрь 2025'!$J$2:$J$2730,AB$1)</f>
        <v>0</v>
      </c>
      <c r="AC160" s="183">
        <f>SUMIFS('декабрь 2025'!$G$2:$G$2730,'декабрь 2025'!$D$2:$D$2730,$B160,'декабрь 2025'!$J$2:$J$2730,AC$1)</f>
        <v>0</v>
      </c>
      <c r="AD160" s="183">
        <f>SUMIFS('декабрь 2025'!$G$2:$G$2730,'декабрь 2025'!$D$2:$D$2730,$B160,'декабрь 2025'!$J$2:$J$2730,AD$1)</f>
        <v>0</v>
      </c>
      <c r="AE160" s="183">
        <f>SUMIFS('декабрь 2025'!$G$2:$G$2730,'декабрь 2025'!$D$2:$D$2730,$B160,'декабрь 2025'!$J$2:$J$2730,AE$1)</f>
        <v>0</v>
      </c>
      <c r="AF160" s="183">
        <f>SUMIFS('декабрь 2025'!$G$2:$G$2730,'декабрь 2025'!$D$2:$D$2730,$B160,'декабрь 2025'!$J$2:$J$2730,AF$1)</f>
        <v>0</v>
      </c>
      <c r="AG160" s="183">
        <f>SUMIFS('декабрь 2025'!$G$2:$G$2730,'декабрь 2025'!$D$2:$D$2730,$B160,'декабрь 2025'!$J$2:$J$2730,AG$1)</f>
        <v>0</v>
      </c>
      <c r="AH160" s="183">
        <f>SUMIFS('декабрь 2025'!$G$2:$G$2730,'декабрь 2025'!$D$2:$D$2730,$B160,'декабрь 2025'!$J$2:$J$2730,AH$1)</f>
        <v>0</v>
      </c>
      <c r="AI160" s="20">
        <f t="shared" si="1"/>
        <v>0</v>
      </c>
    </row>
    <row r="161" spans="2:35" ht="15" customHeight="1" x14ac:dyDescent="0.25">
      <c r="B161" s="84" t="s">
        <v>204</v>
      </c>
      <c r="C161" s="86">
        <v>200</v>
      </c>
      <c r="D161" s="183">
        <f>SUMIFS('декабрь 2025'!$G$2:$G$2730,'декабрь 2025'!$D$2:$D$2730,$B161,'декабрь 2025'!$J$2:$J$2730,D$1)</f>
        <v>0</v>
      </c>
      <c r="E161" s="183">
        <f>SUMIFS('декабрь 2025'!$G$2:$G$2730,'декабрь 2025'!$D$2:$D$2730,$B161,'декабрь 2025'!$J$2:$J$2730,E$1)</f>
        <v>0</v>
      </c>
      <c r="F161" s="183">
        <f>SUMIFS('декабрь 2025'!$G$2:$G$2730,'декабрь 2025'!$D$2:$D$2730,$B161,'декабрь 2025'!$J$2:$J$2730,F$1)</f>
        <v>0</v>
      </c>
      <c r="G161" s="183">
        <f>SUMIFS('декабрь 2025'!$G$2:$G$2730,'декабрь 2025'!$D$2:$D$2730,$B161,'декабрь 2025'!$J$2:$J$2730,G$1)</f>
        <v>0</v>
      </c>
      <c r="H161" s="183">
        <f>SUMIFS('декабрь 2025'!$G$2:$G$2730,'декабрь 2025'!$D$2:$D$2730,$B161,'декабрь 2025'!$J$2:$J$2730,H$1)</f>
        <v>0</v>
      </c>
      <c r="I161" s="183">
        <f>SUMIFS('декабрь 2025'!$G$2:$G$2730,'декабрь 2025'!$D$2:$D$2730,$B161,'декабрь 2025'!$J$2:$J$2730,I$1)</f>
        <v>0</v>
      </c>
      <c r="J161" s="183">
        <f>SUMIFS('декабрь 2025'!$G$2:$G$2730,'декабрь 2025'!$D$2:$D$2730,$B161,'декабрь 2025'!$J$2:$J$2730,J$1)</f>
        <v>0</v>
      </c>
      <c r="K161" s="183">
        <f>SUMIFS('декабрь 2025'!$G$2:$G$2730,'декабрь 2025'!$D$2:$D$2730,$B161,'декабрь 2025'!$J$2:$J$2730,K$1)</f>
        <v>0</v>
      </c>
      <c r="L161" s="183">
        <f>SUMIFS('декабрь 2025'!$G$2:$G$2730,'декабрь 2025'!$D$2:$D$2730,$B161,'декабрь 2025'!$J$2:$J$2730,L$1)</f>
        <v>0</v>
      </c>
      <c r="M161" s="183">
        <f>SUMIFS('декабрь 2025'!$G$2:$G$2730,'декабрь 2025'!$D$2:$D$2730,$B161,'декабрь 2025'!$J$2:$J$2730,M$1)</f>
        <v>0</v>
      </c>
      <c r="N161" s="183">
        <f>SUMIFS('декабрь 2025'!$G$2:$G$2730,'декабрь 2025'!$D$2:$D$2730,$B161,'декабрь 2025'!$J$2:$J$2730,N$1)</f>
        <v>0</v>
      </c>
      <c r="O161" s="183">
        <f>SUMIFS('декабрь 2025'!$G$2:$G$2730,'декабрь 2025'!$D$2:$D$2730,$B161,'декабрь 2025'!$J$2:$J$2730,O$1)</f>
        <v>0</v>
      </c>
      <c r="P161" s="183">
        <f>SUMIFS('декабрь 2025'!$G$2:$G$2730,'декабрь 2025'!$D$2:$D$2730,$B161,'декабрь 2025'!$J$2:$J$2730,P$1)</f>
        <v>0</v>
      </c>
      <c r="Q161" s="183">
        <f>SUMIFS('декабрь 2025'!$G$2:$G$2730,'декабрь 2025'!$D$2:$D$2730,$B161,'декабрь 2025'!$J$2:$J$2730,Q$1)</f>
        <v>0</v>
      </c>
      <c r="R161" s="183">
        <f>SUMIFS('декабрь 2025'!$G$2:$G$2730,'декабрь 2025'!$D$2:$D$2730,$B161,'декабрь 2025'!$J$2:$J$2730,R$1)</f>
        <v>0</v>
      </c>
      <c r="S161" s="183">
        <f>SUMIFS('декабрь 2025'!$G$2:$G$2730,'декабрь 2025'!$D$2:$D$2730,$B161,'декабрь 2025'!$J$2:$J$2730,S$1)</f>
        <v>0</v>
      </c>
      <c r="T161" s="183">
        <f>SUMIFS('декабрь 2025'!$G$2:$G$2730,'декабрь 2025'!$D$2:$D$2730,$B161,'декабрь 2025'!$J$2:$J$2730,T$1)</f>
        <v>0</v>
      </c>
      <c r="U161" s="183">
        <f>SUMIFS('декабрь 2025'!$G$2:$G$2730,'декабрь 2025'!$D$2:$D$2730,$B161,'декабрь 2025'!$J$2:$J$2730,U$1)</f>
        <v>0</v>
      </c>
      <c r="V161" s="183">
        <f>SUMIFS('декабрь 2025'!$G$2:$G$2730,'декабрь 2025'!$D$2:$D$2730,$B161,'декабрь 2025'!$J$2:$J$2730,V$1)</f>
        <v>0</v>
      </c>
      <c r="W161" s="183">
        <f>SUMIFS('декабрь 2025'!$G$2:$G$2730,'декабрь 2025'!$D$2:$D$2730,$B161,'декабрь 2025'!$J$2:$J$2730,W$1)</f>
        <v>0</v>
      </c>
      <c r="X161" s="183">
        <f>SUMIFS('декабрь 2025'!$G$2:$G$2730,'декабрь 2025'!$D$2:$D$2730,$B161,'декабрь 2025'!$J$2:$J$2730,X$1)</f>
        <v>0</v>
      </c>
      <c r="Y161" s="183">
        <f>SUMIFS('декабрь 2025'!$G$2:$G$2730,'декабрь 2025'!$D$2:$D$2730,$B161,'декабрь 2025'!$J$2:$J$2730,Y$1)</f>
        <v>0</v>
      </c>
      <c r="Z161" s="183">
        <f>SUMIFS('декабрь 2025'!$G$2:$G$2730,'декабрь 2025'!$D$2:$D$2730,$B161,'декабрь 2025'!$J$2:$J$2730,Z$1)</f>
        <v>0</v>
      </c>
      <c r="AA161" s="183">
        <f>SUMIFS('декабрь 2025'!$G$2:$G$2730,'декабрь 2025'!$D$2:$D$2730,$B161,'декабрь 2025'!$J$2:$J$2730,AA$1)</f>
        <v>0</v>
      </c>
      <c r="AB161" s="183">
        <f>SUMIFS('декабрь 2025'!$G$2:$G$2730,'декабрь 2025'!$D$2:$D$2730,$B161,'декабрь 2025'!$J$2:$J$2730,AB$1)</f>
        <v>0</v>
      </c>
      <c r="AC161" s="183">
        <f>SUMIFS('декабрь 2025'!$G$2:$G$2730,'декабрь 2025'!$D$2:$D$2730,$B161,'декабрь 2025'!$J$2:$J$2730,AC$1)</f>
        <v>0</v>
      </c>
      <c r="AD161" s="183">
        <f>SUMIFS('декабрь 2025'!$G$2:$G$2730,'декабрь 2025'!$D$2:$D$2730,$B161,'декабрь 2025'!$J$2:$J$2730,AD$1)</f>
        <v>0</v>
      </c>
      <c r="AE161" s="183">
        <f>SUMIFS('декабрь 2025'!$G$2:$G$2730,'декабрь 2025'!$D$2:$D$2730,$B161,'декабрь 2025'!$J$2:$J$2730,AE$1)</f>
        <v>0</v>
      </c>
      <c r="AF161" s="183">
        <f>SUMIFS('декабрь 2025'!$G$2:$G$2730,'декабрь 2025'!$D$2:$D$2730,$B161,'декабрь 2025'!$J$2:$J$2730,AF$1)</f>
        <v>0</v>
      </c>
      <c r="AG161" s="183">
        <f>SUMIFS('декабрь 2025'!$G$2:$G$2730,'декабрь 2025'!$D$2:$D$2730,$B161,'декабрь 2025'!$J$2:$J$2730,AG$1)</f>
        <v>0</v>
      </c>
      <c r="AH161" s="183">
        <f>SUMIFS('декабрь 2025'!$G$2:$G$2730,'декабрь 2025'!$D$2:$D$2730,$B161,'декабрь 2025'!$J$2:$J$2730,AH$1)</f>
        <v>0</v>
      </c>
      <c r="AI161" s="20">
        <f t="shared" si="1"/>
        <v>0</v>
      </c>
    </row>
    <row r="162" spans="2:35" ht="15" customHeight="1" x14ac:dyDescent="0.25">
      <c r="B162" s="84" t="s">
        <v>290</v>
      </c>
      <c r="C162" s="86">
        <v>200</v>
      </c>
      <c r="D162" s="183">
        <f>SUMIFS('декабрь 2025'!$G$2:$G$2730,'декабрь 2025'!$D$2:$D$2730,$B162,'декабрь 2025'!$J$2:$J$2730,D$1)</f>
        <v>0</v>
      </c>
      <c r="E162" s="183">
        <f>SUMIFS('декабрь 2025'!$G$2:$G$2730,'декабрь 2025'!$D$2:$D$2730,$B162,'декабрь 2025'!$J$2:$J$2730,E$1)</f>
        <v>0</v>
      </c>
      <c r="F162" s="183">
        <f>SUMIFS('декабрь 2025'!$G$2:$G$2730,'декабрь 2025'!$D$2:$D$2730,$B162,'декабрь 2025'!$J$2:$J$2730,F$1)</f>
        <v>0</v>
      </c>
      <c r="G162" s="183">
        <f>SUMIFS('декабрь 2025'!$G$2:$G$2730,'декабрь 2025'!$D$2:$D$2730,$B162,'декабрь 2025'!$J$2:$J$2730,G$1)</f>
        <v>0</v>
      </c>
      <c r="H162" s="183">
        <f>SUMIFS('декабрь 2025'!$G$2:$G$2730,'декабрь 2025'!$D$2:$D$2730,$B162,'декабрь 2025'!$J$2:$J$2730,H$1)</f>
        <v>0</v>
      </c>
      <c r="I162" s="183">
        <f>SUMIFS('декабрь 2025'!$G$2:$G$2730,'декабрь 2025'!$D$2:$D$2730,$B162,'декабрь 2025'!$J$2:$J$2730,I$1)</f>
        <v>0</v>
      </c>
      <c r="J162" s="183">
        <f>SUMIFS('декабрь 2025'!$G$2:$G$2730,'декабрь 2025'!$D$2:$D$2730,$B162,'декабрь 2025'!$J$2:$J$2730,J$1)</f>
        <v>0</v>
      </c>
      <c r="K162" s="183">
        <f>SUMIFS('декабрь 2025'!$G$2:$G$2730,'декабрь 2025'!$D$2:$D$2730,$B162,'декабрь 2025'!$J$2:$J$2730,K$1)</f>
        <v>0</v>
      </c>
      <c r="L162" s="183">
        <f>SUMIFS('декабрь 2025'!$G$2:$G$2730,'декабрь 2025'!$D$2:$D$2730,$B162,'декабрь 2025'!$J$2:$J$2730,L$1)</f>
        <v>0</v>
      </c>
      <c r="M162" s="183">
        <f>SUMIFS('декабрь 2025'!$G$2:$G$2730,'декабрь 2025'!$D$2:$D$2730,$B162,'декабрь 2025'!$J$2:$J$2730,M$1)</f>
        <v>0</v>
      </c>
      <c r="N162" s="183">
        <f>SUMIFS('декабрь 2025'!$G$2:$G$2730,'декабрь 2025'!$D$2:$D$2730,$B162,'декабрь 2025'!$J$2:$J$2730,N$1)</f>
        <v>0</v>
      </c>
      <c r="O162" s="183">
        <f>SUMIFS('декабрь 2025'!$G$2:$G$2730,'декабрь 2025'!$D$2:$D$2730,$B162,'декабрь 2025'!$J$2:$J$2730,O$1)</f>
        <v>0</v>
      </c>
      <c r="P162" s="183">
        <f>SUMIFS('декабрь 2025'!$G$2:$G$2730,'декабрь 2025'!$D$2:$D$2730,$B162,'декабрь 2025'!$J$2:$J$2730,P$1)</f>
        <v>0</v>
      </c>
      <c r="Q162" s="183">
        <f>SUMIFS('декабрь 2025'!$G$2:$G$2730,'декабрь 2025'!$D$2:$D$2730,$B162,'декабрь 2025'!$J$2:$J$2730,Q$1)</f>
        <v>0</v>
      </c>
      <c r="R162" s="183">
        <f>SUMIFS('декабрь 2025'!$G$2:$G$2730,'декабрь 2025'!$D$2:$D$2730,$B162,'декабрь 2025'!$J$2:$J$2730,R$1)</f>
        <v>0</v>
      </c>
      <c r="S162" s="183">
        <f>SUMIFS('декабрь 2025'!$G$2:$G$2730,'декабрь 2025'!$D$2:$D$2730,$B162,'декабрь 2025'!$J$2:$J$2730,S$1)</f>
        <v>0</v>
      </c>
      <c r="T162" s="183">
        <f>SUMIFS('декабрь 2025'!$G$2:$G$2730,'декабрь 2025'!$D$2:$D$2730,$B162,'декабрь 2025'!$J$2:$J$2730,T$1)</f>
        <v>0</v>
      </c>
      <c r="U162" s="183">
        <f>SUMIFS('декабрь 2025'!$G$2:$G$2730,'декабрь 2025'!$D$2:$D$2730,$B162,'декабрь 2025'!$J$2:$J$2730,U$1)</f>
        <v>0</v>
      </c>
      <c r="V162" s="183">
        <f>SUMIFS('декабрь 2025'!$G$2:$G$2730,'декабрь 2025'!$D$2:$D$2730,$B162,'декабрь 2025'!$J$2:$J$2730,V$1)</f>
        <v>30</v>
      </c>
      <c r="W162" s="183">
        <f>SUMIFS('декабрь 2025'!$G$2:$G$2730,'декабрь 2025'!$D$2:$D$2730,$B162,'декабрь 2025'!$J$2:$J$2730,W$1)</f>
        <v>0</v>
      </c>
      <c r="X162" s="183">
        <f>SUMIFS('декабрь 2025'!$G$2:$G$2730,'декабрь 2025'!$D$2:$D$2730,$B162,'декабрь 2025'!$J$2:$J$2730,X$1)</f>
        <v>0</v>
      </c>
      <c r="Y162" s="183">
        <f>SUMIFS('декабрь 2025'!$G$2:$G$2730,'декабрь 2025'!$D$2:$D$2730,$B162,'декабрь 2025'!$J$2:$J$2730,Y$1)</f>
        <v>0</v>
      </c>
      <c r="Z162" s="183">
        <f>SUMIFS('декабрь 2025'!$G$2:$G$2730,'декабрь 2025'!$D$2:$D$2730,$B162,'декабрь 2025'!$J$2:$J$2730,Z$1)</f>
        <v>0</v>
      </c>
      <c r="AA162" s="183">
        <f>SUMIFS('декабрь 2025'!$G$2:$G$2730,'декабрь 2025'!$D$2:$D$2730,$B162,'декабрь 2025'!$J$2:$J$2730,AA$1)</f>
        <v>0</v>
      </c>
      <c r="AB162" s="183">
        <f>SUMIFS('декабрь 2025'!$G$2:$G$2730,'декабрь 2025'!$D$2:$D$2730,$B162,'декабрь 2025'!$J$2:$J$2730,AB$1)</f>
        <v>0</v>
      </c>
      <c r="AC162" s="183">
        <f>SUMIFS('декабрь 2025'!$G$2:$G$2730,'декабрь 2025'!$D$2:$D$2730,$B162,'декабрь 2025'!$J$2:$J$2730,AC$1)</f>
        <v>0</v>
      </c>
      <c r="AD162" s="183">
        <f>SUMIFS('декабрь 2025'!$G$2:$G$2730,'декабрь 2025'!$D$2:$D$2730,$B162,'декабрь 2025'!$J$2:$J$2730,AD$1)</f>
        <v>0</v>
      </c>
      <c r="AE162" s="183">
        <f>SUMIFS('декабрь 2025'!$G$2:$G$2730,'декабрь 2025'!$D$2:$D$2730,$B162,'декабрь 2025'!$J$2:$J$2730,AE$1)</f>
        <v>0</v>
      </c>
      <c r="AF162" s="183">
        <f>SUMIFS('декабрь 2025'!$G$2:$G$2730,'декабрь 2025'!$D$2:$D$2730,$B162,'декабрь 2025'!$J$2:$J$2730,AF$1)</f>
        <v>0</v>
      </c>
      <c r="AG162" s="183">
        <f>SUMIFS('декабрь 2025'!$G$2:$G$2730,'декабрь 2025'!$D$2:$D$2730,$B162,'декабрь 2025'!$J$2:$J$2730,AG$1)</f>
        <v>20</v>
      </c>
      <c r="AH162" s="183">
        <f>SUMIFS('декабрь 2025'!$G$2:$G$2730,'декабрь 2025'!$D$2:$D$2730,$B162,'декабрь 2025'!$J$2:$J$2730,AH$1)</f>
        <v>0</v>
      </c>
      <c r="AI162" s="20">
        <f t="shared" si="1"/>
        <v>50</v>
      </c>
    </row>
    <row r="163" spans="2:35" ht="15" customHeight="1" x14ac:dyDescent="0.25">
      <c r="B163" s="88" t="s">
        <v>177</v>
      </c>
      <c r="C163" s="86">
        <v>25</v>
      </c>
      <c r="D163" s="183">
        <f>SUMIFS('декабрь 2025'!$G$2:$G$2730,'декабрь 2025'!$D$2:$D$2730,$B163,'декабрь 2025'!$J$2:$J$2730,D$1)</f>
        <v>0</v>
      </c>
      <c r="E163" s="183">
        <f>SUMIFS('декабрь 2025'!$G$2:$G$2730,'декабрь 2025'!$D$2:$D$2730,$B163,'декабрь 2025'!$J$2:$J$2730,E$1)</f>
        <v>0</v>
      </c>
      <c r="F163" s="183">
        <f>SUMIFS('декабрь 2025'!$G$2:$G$2730,'декабрь 2025'!$D$2:$D$2730,$B163,'декабрь 2025'!$J$2:$J$2730,F$1)</f>
        <v>0</v>
      </c>
      <c r="G163" s="183">
        <f>SUMIFS('декабрь 2025'!$G$2:$G$2730,'декабрь 2025'!$D$2:$D$2730,$B163,'декабрь 2025'!$J$2:$J$2730,G$1)</f>
        <v>0</v>
      </c>
      <c r="H163" s="183">
        <f>SUMIFS('декабрь 2025'!$G$2:$G$2730,'декабрь 2025'!$D$2:$D$2730,$B163,'декабрь 2025'!$J$2:$J$2730,H$1)</f>
        <v>0</v>
      </c>
      <c r="I163" s="183">
        <f>SUMIFS('декабрь 2025'!$G$2:$G$2730,'декабрь 2025'!$D$2:$D$2730,$B163,'декабрь 2025'!$J$2:$J$2730,I$1)</f>
        <v>0</v>
      </c>
      <c r="J163" s="183">
        <f>SUMIFS('декабрь 2025'!$G$2:$G$2730,'декабрь 2025'!$D$2:$D$2730,$B163,'декабрь 2025'!$J$2:$J$2730,J$1)</f>
        <v>0</v>
      </c>
      <c r="K163" s="183">
        <f>SUMIFS('декабрь 2025'!$G$2:$G$2730,'декабрь 2025'!$D$2:$D$2730,$B163,'декабрь 2025'!$J$2:$J$2730,K$1)</f>
        <v>0</v>
      </c>
      <c r="L163" s="183">
        <f>SUMIFS('декабрь 2025'!$G$2:$G$2730,'декабрь 2025'!$D$2:$D$2730,$B163,'декабрь 2025'!$J$2:$J$2730,L$1)</f>
        <v>0</v>
      </c>
      <c r="M163" s="183">
        <f>SUMIFS('декабрь 2025'!$G$2:$G$2730,'декабрь 2025'!$D$2:$D$2730,$B163,'декабрь 2025'!$J$2:$J$2730,M$1)</f>
        <v>0</v>
      </c>
      <c r="N163" s="183">
        <f>SUMIFS('декабрь 2025'!$G$2:$G$2730,'декабрь 2025'!$D$2:$D$2730,$B163,'декабрь 2025'!$J$2:$J$2730,N$1)</f>
        <v>0</v>
      </c>
      <c r="O163" s="183">
        <f>SUMIFS('декабрь 2025'!$G$2:$G$2730,'декабрь 2025'!$D$2:$D$2730,$B163,'декабрь 2025'!$J$2:$J$2730,O$1)</f>
        <v>0</v>
      </c>
      <c r="P163" s="183">
        <f>SUMIFS('декабрь 2025'!$G$2:$G$2730,'декабрь 2025'!$D$2:$D$2730,$B163,'декабрь 2025'!$J$2:$J$2730,P$1)</f>
        <v>0</v>
      </c>
      <c r="Q163" s="183">
        <f>SUMIFS('декабрь 2025'!$G$2:$G$2730,'декабрь 2025'!$D$2:$D$2730,$B163,'декабрь 2025'!$J$2:$J$2730,Q$1)</f>
        <v>0</v>
      </c>
      <c r="R163" s="183">
        <f>SUMIFS('декабрь 2025'!$G$2:$G$2730,'декабрь 2025'!$D$2:$D$2730,$B163,'декабрь 2025'!$J$2:$J$2730,R$1)</f>
        <v>0</v>
      </c>
      <c r="S163" s="183">
        <f>SUMIFS('декабрь 2025'!$G$2:$G$2730,'декабрь 2025'!$D$2:$D$2730,$B163,'декабрь 2025'!$J$2:$J$2730,S$1)</f>
        <v>0</v>
      </c>
      <c r="T163" s="183">
        <f>SUMIFS('декабрь 2025'!$G$2:$G$2730,'декабрь 2025'!$D$2:$D$2730,$B163,'декабрь 2025'!$J$2:$J$2730,T$1)</f>
        <v>0</v>
      </c>
      <c r="U163" s="183">
        <f>SUMIFS('декабрь 2025'!$G$2:$G$2730,'декабрь 2025'!$D$2:$D$2730,$B163,'декабрь 2025'!$J$2:$J$2730,U$1)</f>
        <v>0</v>
      </c>
      <c r="V163" s="183">
        <f>SUMIFS('декабрь 2025'!$G$2:$G$2730,'декабрь 2025'!$D$2:$D$2730,$B163,'декабрь 2025'!$J$2:$J$2730,V$1)</f>
        <v>0</v>
      </c>
      <c r="W163" s="183">
        <f>SUMIFS('декабрь 2025'!$G$2:$G$2730,'декабрь 2025'!$D$2:$D$2730,$B163,'декабрь 2025'!$J$2:$J$2730,W$1)</f>
        <v>0</v>
      </c>
      <c r="X163" s="183">
        <f>SUMIFS('декабрь 2025'!$G$2:$G$2730,'декабрь 2025'!$D$2:$D$2730,$B163,'декабрь 2025'!$J$2:$J$2730,X$1)</f>
        <v>0</v>
      </c>
      <c r="Y163" s="183">
        <f>SUMIFS('декабрь 2025'!$G$2:$G$2730,'декабрь 2025'!$D$2:$D$2730,$B163,'декабрь 2025'!$J$2:$J$2730,Y$1)</f>
        <v>0</v>
      </c>
      <c r="Z163" s="183">
        <f>SUMIFS('декабрь 2025'!$G$2:$G$2730,'декабрь 2025'!$D$2:$D$2730,$B163,'декабрь 2025'!$J$2:$J$2730,Z$1)</f>
        <v>0</v>
      </c>
      <c r="AA163" s="183">
        <f>SUMIFS('декабрь 2025'!$G$2:$G$2730,'декабрь 2025'!$D$2:$D$2730,$B163,'декабрь 2025'!$J$2:$J$2730,AA$1)</f>
        <v>0</v>
      </c>
      <c r="AB163" s="183">
        <f>SUMIFS('декабрь 2025'!$G$2:$G$2730,'декабрь 2025'!$D$2:$D$2730,$B163,'декабрь 2025'!$J$2:$J$2730,AB$1)</f>
        <v>0</v>
      </c>
      <c r="AC163" s="183">
        <f>SUMIFS('декабрь 2025'!$G$2:$G$2730,'декабрь 2025'!$D$2:$D$2730,$B163,'декабрь 2025'!$J$2:$J$2730,AC$1)</f>
        <v>0</v>
      </c>
      <c r="AD163" s="183">
        <f>SUMIFS('декабрь 2025'!$G$2:$G$2730,'декабрь 2025'!$D$2:$D$2730,$B163,'декабрь 2025'!$J$2:$J$2730,AD$1)</f>
        <v>0</v>
      </c>
      <c r="AE163" s="183">
        <f>SUMIFS('декабрь 2025'!$G$2:$G$2730,'декабрь 2025'!$D$2:$D$2730,$B163,'декабрь 2025'!$J$2:$J$2730,AE$1)</f>
        <v>0</v>
      </c>
      <c r="AF163" s="183">
        <f>SUMIFS('декабрь 2025'!$G$2:$G$2730,'декабрь 2025'!$D$2:$D$2730,$B163,'декабрь 2025'!$J$2:$J$2730,AF$1)</f>
        <v>0</v>
      </c>
      <c r="AG163" s="183">
        <f>SUMIFS('декабрь 2025'!$G$2:$G$2730,'декабрь 2025'!$D$2:$D$2730,$B163,'декабрь 2025'!$J$2:$J$2730,AG$1)</f>
        <v>0</v>
      </c>
      <c r="AH163" s="183">
        <f>SUMIFS('декабрь 2025'!$G$2:$G$2730,'декабрь 2025'!$D$2:$D$2730,$B163,'декабрь 2025'!$J$2:$J$2730,AH$1)</f>
        <v>0</v>
      </c>
      <c r="AI163" s="20">
        <f t="shared" si="1"/>
        <v>0</v>
      </c>
    </row>
    <row r="164" spans="2:35" ht="15" customHeight="1" x14ac:dyDescent="0.25">
      <c r="B164" s="84" t="s">
        <v>175</v>
      </c>
      <c r="C164" s="83">
        <v>25</v>
      </c>
      <c r="D164" s="183">
        <f>SUMIFS('декабрь 2025'!$G$2:$G$2730,'декабрь 2025'!$D$2:$D$2730,$B164,'декабрь 2025'!$J$2:$J$2730,D$1)</f>
        <v>0</v>
      </c>
      <c r="E164" s="183">
        <f>SUMIFS('декабрь 2025'!$G$2:$G$2730,'декабрь 2025'!$D$2:$D$2730,$B164,'декабрь 2025'!$J$2:$J$2730,E$1)</f>
        <v>0</v>
      </c>
      <c r="F164" s="183">
        <f>SUMIFS('декабрь 2025'!$G$2:$G$2730,'декабрь 2025'!$D$2:$D$2730,$B164,'декабрь 2025'!$J$2:$J$2730,F$1)</f>
        <v>0</v>
      </c>
      <c r="G164" s="183">
        <f>SUMIFS('декабрь 2025'!$G$2:$G$2730,'декабрь 2025'!$D$2:$D$2730,$B164,'декабрь 2025'!$J$2:$J$2730,G$1)</f>
        <v>0</v>
      </c>
      <c r="H164" s="183">
        <f>SUMIFS('декабрь 2025'!$G$2:$G$2730,'декабрь 2025'!$D$2:$D$2730,$B164,'декабрь 2025'!$J$2:$J$2730,H$1)</f>
        <v>0</v>
      </c>
      <c r="I164" s="183">
        <f>SUMIFS('декабрь 2025'!$G$2:$G$2730,'декабрь 2025'!$D$2:$D$2730,$B164,'декабрь 2025'!$J$2:$J$2730,I$1)</f>
        <v>0</v>
      </c>
      <c r="J164" s="183">
        <f>SUMIFS('декабрь 2025'!$G$2:$G$2730,'декабрь 2025'!$D$2:$D$2730,$B164,'декабрь 2025'!$J$2:$J$2730,J$1)</f>
        <v>0</v>
      </c>
      <c r="K164" s="183">
        <f>SUMIFS('декабрь 2025'!$G$2:$G$2730,'декабрь 2025'!$D$2:$D$2730,$B164,'декабрь 2025'!$J$2:$J$2730,K$1)</f>
        <v>0</v>
      </c>
      <c r="L164" s="183">
        <f>SUMIFS('декабрь 2025'!$G$2:$G$2730,'декабрь 2025'!$D$2:$D$2730,$B164,'декабрь 2025'!$J$2:$J$2730,L$1)</f>
        <v>0</v>
      </c>
      <c r="M164" s="183">
        <f>SUMIFS('декабрь 2025'!$G$2:$G$2730,'декабрь 2025'!$D$2:$D$2730,$B164,'декабрь 2025'!$J$2:$J$2730,M$1)</f>
        <v>0</v>
      </c>
      <c r="N164" s="183">
        <f>SUMIFS('декабрь 2025'!$G$2:$G$2730,'декабрь 2025'!$D$2:$D$2730,$B164,'декабрь 2025'!$J$2:$J$2730,N$1)</f>
        <v>0</v>
      </c>
      <c r="O164" s="183">
        <f>SUMIFS('декабрь 2025'!$G$2:$G$2730,'декабрь 2025'!$D$2:$D$2730,$B164,'декабрь 2025'!$J$2:$J$2730,O$1)</f>
        <v>0</v>
      </c>
      <c r="P164" s="183">
        <f>SUMIFS('декабрь 2025'!$G$2:$G$2730,'декабрь 2025'!$D$2:$D$2730,$B164,'декабрь 2025'!$J$2:$J$2730,P$1)</f>
        <v>0</v>
      </c>
      <c r="Q164" s="183">
        <f>SUMIFS('декабрь 2025'!$G$2:$G$2730,'декабрь 2025'!$D$2:$D$2730,$B164,'декабрь 2025'!$J$2:$J$2730,Q$1)</f>
        <v>0</v>
      </c>
      <c r="R164" s="183">
        <f>SUMIFS('декабрь 2025'!$G$2:$G$2730,'декабрь 2025'!$D$2:$D$2730,$B164,'декабрь 2025'!$J$2:$J$2730,R$1)</f>
        <v>0</v>
      </c>
      <c r="S164" s="183">
        <f>SUMIFS('декабрь 2025'!$G$2:$G$2730,'декабрь 2025'!$D$2:$D$2730,$B164,'декабрь 2025'!$J$2:$J$2730,S$1)</f>
        <v>0</v>
      </c>
      <c r="T164" s="183">
        <f>SUMIFS('декабрь 2025'!$G$2:$G$2730,'декабрь 2025'!$D$2:$D$2730,$B164,'декабрь 2025'!$J$2:$J$2730,T$1)</f>
        <v>0</v>
      </c>
      <c r="U164" s="183">
        <f>SUMIFS('декабрь 2025'!$G$2:$G$2730,'декабрь 2025'!$D$2:$D$2730,$B164,'декабрь 2025'!$J$2:$J$2730,U$1)</f>
        <v>0</v>
      </c>
      <c r="V164" s="183">
        <f>SUMIFS('декабрь 2025'!$G$2:$G$2730,'декабрь 2025'!$D$2:$D$2730,$B164,'декабрь 2025'!$J$2:$J$2730,V$1)</f>
        <v>0</v>
      </c>
      <c r="W164" s="183">
        <f>SUMIFS('декабрь 2025'!$G$2:$G$2730,'декабрь 2025'!$D$2:$D$2730,$B164,'декабрь 2025'!$J$2:$J$2730,W$1)</f>
        <v>0</v>
      </c>
      <c r="X164" s="183">
        <f>SUMIFS('декабрь 2025'!$G$2:$G$2730,'декабрь 2025'!$D$2:$D$2730,$B164,'декабрь 2025'!$J$2:$J$2730,X$1)</f>
        <v>0</v>
      </c>
      <c r="Y164" s="183">
        <f>SUMIFS('декабрь 2025'!$G$2:$G$2730,'декабрь 2025'!$D$2:$D$2730,$B164,'декабрь 2025'!$J$2:$J$2730,Y$1)</f>
        <v>0</v>
      </c>
      <c r="Z164" s="183">
        <f>SUMIFS('декабрь 2025'!$G$2:$G$2730,'декабрь 2025'!$D$2:$D$2730,$B164,'декабрь 2025'!$J$2:$J$2730,Z$1)</f>
        <v>0</v>
      </c>
      <c r="AA164" s="183">
        <f>SUMIFS('декабрь 2025'!$G$2:$G$2730,'декабрь 2025'!$D$2:$D$2730,$B164,'декабрь 2025'!$J$2:$J$2730,AA$1)</f>
        <v>0</v>
      </c>
      <c r="AB164" s="183">
        <f>SUMIFS('декабрь 2025'!$G$2:$G$2730,'декабрь 2025'!$D$2:$D$2730,$B164,'декабрь 2025'!$J$2:$J$2730,AB$1)</f>
        <v>0</v>
      </c>
      <c r="AC164" s="183">
        <f>SUMIFS('декабрь 2025'!$G$2:$G$2730,'декабрь 2025'!$D$2:$D$2730,$B164,'декабрь 2025'!$J$2:$J$2730,AC$1)</f>
        <v>0</v>
      </c>
      <c r="AD164" s="183">
        <f>SUMIFS('декабрь 2025'!$G$2:$G$2730,'декабрь 2025'!$D$2:$D$2730,$B164,'декабрь 2025'!$J$2:$J$2730,AD$1)</f>
        <v>0</v>
      </c>
      <c r="AE164" s="183">
        <f>SUMIFS('декабрь 2025'!$G$2:$G$2730,'декабрь 2025'!$D$2:$D$2730,$B164,'декабрь 2025'!$J$2:$J$2730,AE$1)</f>
        <v>0</v>
      </c>
      <c r="AF164" s="183">
        <f>SUMIFS('декабрь 2025'!$G$2:$G$2730,'декабрь 2025'!$D$2:$D$2730,$B164,'декабрь 2025'!$J$2:$J$2730,AF$1)</f>
        <v>0</v>
      </c>
      <c r="AG164" s="183">
        <f>SUMIFS('декабрь 2025'!$G$2:$G$2730,'декабрь 2025'!$D$2:$D$2730,$B164,'декабрь 2025'!$J$2:$J$2730,AG$1)</f>
        <v>0</v>
      </c>
      <c r="AH164" s="183">
        <f>SUMIFS('декабрь 2025'!$G$2:$G$2730,'декабрь 2025'!$D$2:$D$2730,$B164,'декабрь 2025'!$J$2:$J$2730,AH$1)</f>
        <v>0</v>
      </c>
      <c r="AI164" s="20">
        <f t="shared" si="1"/>
        <v>0</v>
      </c>
    </row>
    <row r="165" spans="2:35" ht="15" customHeight="1" x14ac:dyDescent="0.25">
      <c r="B165" s="84" t="s">
        <v>176</v>
      </c>
      <c r="C165" s="83">
        <v>25</v>
      </c>
      <c r="D165" s="183">
        <f>SUMIFS('декабрь 2025'!$G$2:$G$2730,'декабрь 2025'!$D$2:$D$2730,$B165,'декабрь 2025'!$J$2:$J$2730,D$1)</f>
        <v>0</v>
      </c>
      <c r="E165" s="183">
        <f>SUMIFS('декабрь 2025'!$G$2:$G$2730,'декабрь 2025'!$D$2:$D$2730,$B165,'декабрь 2025'!$J$2:$J$2730,E$1)</f>
        <v>0</v>
      </c>
      <c r="F165" s="183">
        <f>SUMIFS('декабрь 2025'!$G$2:$G$2730,'декабрь 2025'!$D$2:$D$2730,$B165,'декабрь 2025'!$J$2:$J$2730,F$1)</f>
        <v>0</v>
      </c>
      <c r="G165" s="183">
        <f>SUMIFS('декабрь 2025'!$G$2:$G$2730,'декабрь 2025'!$D$2:$D$2730,$B165,'декабрь 2025'!$J$2:$J$2730,G$1)</f>
        <v>0</v>
      </c>
      <c r="H165" s="183">
        <f>SUMIFS('декабрь 2025'!$G$2:$G$2730,'декабрь 2025'!$D$2:$D$2730,$B165,'декабрь 2025'!$J$2:$J$2730,H$1)</f>
        <v>0</v>
      </c>
      <c r="I165" s="183">
        <f>SUMIFS('декабрь 2025'!$G$2:$G$2730,'декабрь 2025'!$D$2:$D$2730,$B165,'декабрь 2025'!$J$2:$J$2730,I$1)</f>
        <v>0</v>
      </c>
      <c r="J165" s="183">
        <f>SUMIFS('декабрь 2025'!$G$2:$G$2730,'декабрь 2025'!$D$2:$D$2730,$B165,'декабрь 2025'!$J$2:$J$2730,J$1)</f>
        <v>0</v>
      </c>
      <c r="K165" s="183">
        <f>SUMIFS('декабрь 2025'!$G$2:$G$2730,'декабрь 2025'!$D$2:$D$2730,$B165,'декабрь 2025'!$J$2:$J$2730,K$1)</f>
        <v>0</v>
      </c>
      <c r="L165" s="183">
        <f>SUMIFS('декабрь 2025'!$G$2:$G$2730,'декабрь 2025'!$D$2:$D$2730,$B165,'декабрь 2025'!$J$2:$J$2730,L$1)</f>
        <v>0</v>
      </c>
      <c r="M165" s="183">
        <f>SUMIFS('декабрь 2025'!$G$2:$G$2730,'декабрь 2025'!$D$2:$D$2730,$B165,'декабрь 2025'!$J$2:$J$2730,M$1)</f>
        <v>0</v>
      </c>
      <c r="N165" s="183">
        <f>SUMIFS('декабрь 2025'!$G$2:$G$2730,'декабрь 2025'!$D$2:$D$2730,$B165,'декабрь 2025'!$J$2:$J$2730,N$1)</f>
        <v>0</v>
      </c>
      <c r="O165" s="183">
        <f>SUMIFS('декабрь 2025'!$G$2:$G$2730,'декабрь 2025'!$D$2:$D$2730,$B165,'декабрь 2025'!$J$2:$J$2730,O$1)</f>
        <v>0</v>
      </c>
      <c r="P165" s="183">
        <f>SUMIFS('декабрь 2025'!$G$2:$G$2730,'декабрь 2025'!$D$2:$D$2730,$B165,'декабрь 2025'!$J$2:$J$2730,P$1)</f>
        <v>0</v>
      </c>
      <c r="Q165" s="183">
        <f>SUMIFS('декабрь 2025'!$G$2:$G$2730,'декабрь 2025'!$D$2:$D$2730,$B165,'декабрь 2025'!$J$2:$J$2730,Q$1)</f>
        <v>0</v>
      </c>
      <c r="R165" s="183">
        <f>SUMIFS('декабрь 2025'!$G$2:$G$2730,'декабрь 2025'!$D$2:$D$2730,$B165,'декабрь 2025'!$J$2:$J$2730,R$1)</f>
        <v>0</v>
      </c>
      <c r="S165" s="183">
        <f>SUMIFS('декабрь 2025'!$G$2:$G$2730,'декабрь 2025'!$D$2:$D$2730,$B165,'декабрь 2025'!$J$2:$J$2730,S$1)</f>
        <v>0</v>
      </c>
      <c r="T165" s="183">
        <f>SUMIFS('декабрь 2025'!$G$2:$G$2730,'декабрь 2025'!$D$2:$D$2730,$B165,'декабрь 2025'!$J$2:$J$2730,T$1)</f>
        <v>0</v>
      </c>
      <c r="U165" s="183">
        <f>SUMIFS('декабрь 2025'!$G$2:$G$2730,'декабрь 2025'!$D$2:$D$2730,$B165,'декабрь 2025'!$J$2:$J$2730,U$1)</f>
        <v>0</v>
      </c>
      <c r="V165" s="183">
        <f>SUMIFS('декабрь 2025'!$G$2:$G$2730,'декабрь 2025'!$D$2:$D$2730,$B165,'декабрь 2025'!$J$2:$J$2730,V$1)</f>
        <v>0</v>
      </c>
      <c r="W165" s="183">
        <f>SUMIFS('декабрь 2025'!$G$2:$G$2730,'декабрь 2025'!$D$2:$D$2730,$B165,'декабрь 2025'!$J$2:$J$2730,W$1)</f>
        <v>0</v>
      </c>
      <c r="X165" s="183">
        <f>SUMIFS('декабрь 2025'!$G$2:$G$2730,'декабрь 2025'!$D$2:$D$2730,$B165,'декабрь 2025'!$J$2:$J$2730,X$1)</f>
        <v>0</v>
      </c>
      <c r="Y165" s="183">
        <f>SUMIFS('декабрь 2025'!$G$2:$G$2730,'декабрь 2025'!$D$2:$D$2730,$B165,'декабрь 2025'!$J$2:$J$2730,Y$1)</f>
        <v>0</v>
      </c>
      <c r="Z165" s="183">
        <f>SUMIFS('декабрь 2025'!$G$2:$G$2730,'декабрь 2025'!$D$2:$D$2730,$B165,'декабрь 2025'!$J$2:$J$2730,Z$1)</f>
        <v>0</v>
      </c>
      <c r="AA165" s="183">
        <f>SUMIFS('декабрь 2025'!$G$2:$G$2730,'декабрь 2025'!$D$2:$D$2730,$B165,'декабрь 2025'!$J$2:$J$2730,AA$1)</f>
        <v>0</v>
      </c>
      <c r="AB165" s="183">
        <f>SUMIFS('декабрь 2025'!$G$2:$G$2730,'декабрь 2025'!$D$2:$D$2730,$B165,'декабрь 2025'!$J$2:$J$2730,AB$1)</f>
        <v>0</v>
      </c>
      <c r="AC165" s="183">
        <f>SUMIFS('декабрь 2025'!$G$2:$G$2730,'декабрь 2025'!$D$2:$D$2730,$B165,'декабрь 2025'!$J$2:$J$2730,AC$1)</f>
        <v>0</v>
      </c>
      <c r="AD165" s="183">
        <f>SUMIFS('декабрь 2025'!$G$2:$G$2730,'декабрь 2025'!$D$2:$D$2730,$B165,'декабрь 2025'!$J$2:$J$2730,AD$1)</f>
        <v>0</v>
      </c>
      <c r="AE165" s="183">
        <f>SUMIFS('декабрь 2025'!$G$2:$G$2730,'декабрь 2025'!$D$2:$D$2730,$B165,'декабрь 2025'!$J$2:$J$2730,AE$1)</f>
        <v>0</v>
      </c>
      <c r="AF165" s="183">
        <f>SUMIFS('декабрь 2025'!$G$2:$G$2730,'декабрь 2025'!$D$2:$D$2730,$B165,'декабрь 2025'!$J$2:$J$2730,AF$1)</f>
        <v>0</v>
      </c>
      <c r="AG165" s="183">
        <f>SUMIFS('декабрь 2025'!$G$2:$G$2730,'декабрь 2025'!$D$2:$D$2730,$B165,'декабрь 2025'!$J$2:$J$2730,AG$1)</f>
        <v>0</v>
      </c>
      <c r="AH165" s="183">
        <f>SUMIFS('декабрь 2025'!$G$2:$G$2730,'декабрь 2025'!$D$2:$D$2730,$B165,'декабрь 2025'!$J$2:$J$2730,AH$1)</f>
        <v>0</v>
      </c>
      <c r="AI165" s="20">
        <f t="shared" si="1"/>
        <v>0</v>
      </c>
    </row>
    <row r="166" spans="2:35" ht="15" customHeight="1" x14ac:dyDescent="0.25">
      <c r="B166" s="84" t="s">
        <v>201</v>
      </c>
      <c r="C166" s="83">
        <v>25</v>
      </c>
      <c r="D166" s="183">
        <f>SUMIFS('декабрь 2025'!$G$2:$G$2730,'декабрь 2025'!$D$2:$D$2730,$B166,'декабрь 2025'!$J$2:$J$2730,D$1)</f>
        <v>0</v>
      </c>
      <c r="E166" s="183">
        <f>SUMIFS('декабрь 2025'!$G$2:$G$2730,'декабрь 2025'!$D$2:$D$2730,$B166,'декабрь 2025'!$J$2:$J$2730,E$1)</f>
        <v>0</v>
      </c>
      <c r="F166" s="183">
        <f>SUMIFS('декабрь 2025'!$G$2:$G$2730,'декабрь 2025'!$D$2:$D$2730,$B166,'декабрь 2025'!$J$2:$J$2730,F$1)</f>
        <v>0</v>
      </c>
      <c r="G166" s="183">
        <f>SUMIFS('декабрь 2025'!$G$2:$G$2730,'декабрь 2025'!$D$2:$D$2730,$B166,'декабрь 2025'!$J$2:$J$2730,G$1)</f>
        <v>0</v>
      </c>
      <c r="H166" s="183">
        <f>SUMIFS('декабрь 2025'!$G$2:$G$2730,'декабрь 2025'!$D$2:$D$2730,$B166,'декабрь 2025'!$J$2:$J$2730,H$1)</f>
        <v>0</v>
      </c>
      <c r="I166" s="183">
        <f>SUMIFS('декабрь 2025'!$G$2:$G$2730,'декабрь 2025'!$D$2:$D$2730,$B166,'декабрь 2025'!$J$2:$J$2730,I$1)</f>
        <v>0</v>
      </c>
      <c r="J166" s="183">
        <f>SUMIFS('декабрь 2025'!$G$2:$G$2730,'декабрь 2025'!$D$2:$D$2730,$B166,'декабрь 2025'!$J$2:$J$2730,J$1)</f>
        <v>0</v>
      </c>
      <c r="K166" s="183">
        <f>SUMIFS('декабрь 2025'!$G$2:$G$2730,'декабрь 2025'!$D$2:$D$2730,$B166,'декабрь 2025'!$J$2:$J$2730,K$1)</f>
        <v>0</v>
      </c>
      <c r="L166" s="183">
        <f>SUMIFS('декабрь 2025'!$G$2:$G$2730,'декабрь 2025'!$D$2:$D$2730,$B166,'декабрь 2025'!$J$2:$J$2730,L$1)</f>
        <v>0</v>
      </c>
      <c r="M166" s="183">
        <f>SUMIFS('декабрь 2025'!$G$2:$G$2730,'декабрь 2025'!$D$2:$D$2730,$B166,'декабрь 2025'!$J$2:$J$2730,M$1)</f>
        <v>0</v>
      </c>
      <c r="N166" s="183">
        <f>SUMIFS('декабрь 2025'!$G$2:$G$2730,'декабрь 2025'!$D$2:$D$2730,$B166,'декабрь 2025'!$J$2:$J$2730,N$1)</f>
        <v>0</v>
      </c>
      <c r="O166" s="183">
        <f>SUMIFS('декабрь 2025'!$G$2:$G$2730,'декабрь 2025'!$D$2:$D$2730,$B166,'декабрь 2025'!$J$2:$J$2730,O$1)</f>
        <v>0</v>
      </c>
      <c r="P166" s="183">
        <f>SUMIFS('декабрь 2025'!$G$2:$G$2730,'декабрь 2025'!$D$2:$D$2730,$B166,'декабрь 2025'!$J$2:$J$2730,P$1)</f>
        <v>0</v>
      </c>
      <c r="Q166" s="183">
        <f>SUMIFS('декабрь 2025'!$G$2:$G$2730,'декабрь 2025'!$D$2:$D$2730,$B166,'декабрь 2025'!$J$2:$J$2730,Q$1)</f>
        <v>0</v>
      </c>
      <c r="R166" s="183">
        <f>SUMIFS('декабрь 2025'!$G$2:$G$2730,'декабрь 2025'!$D$2:$D$2730,$B166,'декабрь 2025'!$J$2:$J$2730,R$1)</f>
        <v>0</v>
      </c>
      <c r="S166" s="183">
        <f>SUMIFS('декабрь 2025'!$G$2:$G$2730,'декабрь 2025'!$D$2:$D$2730,$B166,'декабрь 2025'!$J$2:$J$2730,S$1)</f>
        <v>0</v>
      </c>
      <c r="T166" s="183">
        <f>SUMIFS('декабрь 2025'!$G$2:$G$2730,'декабрь 2025'!$D$2:$D$2730,$B166,'декабрь 2025'!$J$2:$J$2730,T$1)</f>
        <v>0</v>
      </c>
      <c r="U166" s="183">
        <f>SUMIFS('декабрь 2025'!$G$2:$G$2730,'декабрь 2025'!$D$2:$D$2730,$B166,'декабрь 2025'!$J$2:$J$2730,U$1)</f>
        <v>0</v>
      </c>
      <c r="V166" s="183">
        <f>SUMIFS('декабрь 2025'!$G$2:$G$2730,'декабрь 2025'!$D$2:$D$2730,$B166,'декабрь 2025'!$J$2:$J$2730,V$1)</f>
        <v>0</v>
      </c>
      <c r="W166" s="183">
        <f>SUMIFS('декабрь 2025'!$G$2:$G$2730,'декабрь 2025'!$D$2:$D$2730,$B166,'декабрь 2025'!$J$2:$J$2730,W$1)</f>
        <v>0</v>
      </c>
      <c r="X166" s="183">
        <f>SUMIFS('декабрь 2025'!$G$2:$G$2730,'декабрь 2025'!$D$2:$D$2730,$B166,'декабрь 2025'!$J$2:$J$2730,X$1)</f>
        <v>0</v>
      </c>
      <c r="Y166" s="183">
        <f>SUMIFS('декабрь 2025'!$G$2:$G$2730,'декабрь 2025'!$D$2:$D$2730,$B166,'декабрь 2025'!$J$2:$J$2730,Y$1)</f>
        <v>0</v>
      </c>
      <c r="Z166" s="183">
        <f>SUMIFS('декабрь 2025'!$G$2:$G$2730,'декабрь 2025'!$D$2:$D$2730,$B166,'декабрь 2025'!$J$2:$J$2730,Z$1)</f>
        <v>0</v>
      </c>
      <c r="AA166" s="183">
        <f>SUMIFS('декабрь 2025'!$G$2:$G$2730,'декабрь 2025'!$D$2:$D$2730,$B166,'декабрь 2025'!$J$2:$J$2730,AA$1)</f>
        <v>0</v>
      </c>
      <c r="AB166" s="183">
        <f>SUMIFS('декабрь 2025'!$G$2:$G$2730,'декабрь 2025'!$D$2:$D$2730,$B166,'декабрь 2025'!$J$2:$J$2730,AB$1)</f>
        <v>0</v>
      </c>
      <c r="AC166" s="183">
        <f>SUMIFS('декабрь 2025'!$G$2:$G$2730,'декабрь 2025'!$D$2:$D$2730,$B166,'декабрь 2025'!$J$2:$J$2730,AC$1)</f>
        <v>0</v>
      </c>
      <c r="AD166" s="183">
        <f>SUMIFS('декабрь 2025'!$G$2:$G$2730,'декабрь 2025'!$D$2:$D$2730,$B166,'декабрь 2025'!$J$2:$J$2730,AD$1)</f>
        <v>0</v>
      </c>
      <c r="AE166" s="183">
        <f>SUMIFS('декабрь 2025'!$G$2:$G$2730,'декабрь 2025'!$D$2:$D$2730,$B166,'декабрь 2025'!$J$2:$J$2730,AE$1)</f>
        <v>0</v>
      </c>
      <c r="AF166" s="183">
        <f>SUMIFS('декабрь 2025'!$G$2:$G$2730,'декабрь 2025'!$D$2:$D$2730,$B166,'декабрь 2025'!$J$2:$J$2730,AF$1)</f>
        <v>0</v>
      </c>
      <c r="AG166" s="183">
        <f>SUMIFS('декабрь 2025'!$G$2:$G$2730,'декабрь 2025'!$D$2:$D$2730,$B166,'декабрь 2025'!$J$2:$J$2730,AG$1)</f>
        <v>0</v>
      </c>
      <c r="AH166" s="183">
        <f>SUMIFS('декабрь 2025'!$G$2:$G$2730,'декабрь 2025'!$D$2:$D$2730,$B166,'декабрь 2025'!$J$2:$J$2730,AH$1)</f>
        <v>0</v>
      </c>
      <c r="AI166" s="20">
        <f t="shared" si="1"/>
        <v>0</v>
      </c>
    </row>
    <row r="167" spans="2:35" ht="15" customHeight="1" x14ac:dyDescent="0.25">
      <c r="B167" s="84" t="s">
        <v>300</v>
      </c>
      <c r="C167" s="83">
        <v>200</v>
      </c>
      <c r="D167" s="183">
        <f>SUMIFS('декабрь 2025'!$G$2:$G$2730,'декабрь 2025'!$D$2:$D$2730,$B167,'декабрь 2025'!$J$2:$J$2730,D$1)</f>
        <v>0</v>
      </c>
      <c r="E167" s="183">
        <f>SUMIFS('декабрь 2025'!$G$2:$G$2730,'декабрь 2025'!$D$2:$D$2730,$B167,'декабрь 2025'!$J$2:$J$2730,E$1)</f>
        <v>0</v>
      </c>
      <c r="F167" s="183">
        <f>SUMIFS('декабрь 2025'!$G$2:$G$2730,'декабрь 2025'!$D$2:$D$2730,$B167,'декабрь 2025'!$J$2:$J$2730,F$1)</f>
        <v>0</v>
      </c>
      <c r="G167" s="183">
        <f>SUMIFS('декабрь 2025'!$G$2:$G$2730,'декабрь 2025'!$D$2:$D$2730,$B167,'декабрь 2025'!$J$2:$J$2730,G$1)</f>
        <v>0</v>
      </c>
      <c r="H167" s="183">
        <f>SUMIFS('декабрь 2025'!$G$2:$G$2730,'декабрь 2025'!$D$2:$D$2730,$B167,'декабрь 2025'!$J$2:$J$2730,H$1)</f>
        <v>0</v>
      </c>
      <c r="I167" s="183">
        <f>SUMIFS('декабрь 2025'!$G$2:$G$2730,'декабрь 2025'!$D$2:$D$2730,$B167,'декабрь 2025'!$J$2:$J$2730,I$1)</f>
        <v>0</v>
      </c>
      <c r="J167" s="183">
        <f>SUMIFS('декабрь 2025'!$G$2:$G$2730,'декабрь 2025'!$D$2:$D$2730,$B167,'декабрь 2025'!$J$2:$J$2730,J$1)</f>
        <v>0</v>
      </c>
      <c r="K167" s="183">
        <f>SUMIFS('декабрь 2025'!$G$2:$G$2730,'декабрь 2025'!$D$2:$D$2730,$B167,'декабрь 2025'!$J$2:$J$2730,K$1)</f>
        <v>0</v>
      </c>
      <c r="L167" s="183">
        <f>SUMIFS('декабрь 2025'!$G$2:$G$2730,'декабрь 2025'!$D$2:$D$2730,$B167,'декабрь 2025'!$J$2:$J$2730,L$1)</f>
        <v>0</v>
      </c>
      <c r="M167" s="183">
        <f>SUMIFS('декабрь 2025'!$G$2:$G$2730,'декабрь 2025'!$D$2:$D$2730,$B167,'декабрь 2025'!$J$2:$J$2730,M$1)</f>
        <v>0</v>
      </c>
      <c r="N167" s="183">
        <f>SUMIFS('декабрь 2025'!$G$2:$G$2730,'декабрь 2025'!$D$2:$D$2730,$B167,'декабрь 2025'!$J$2:$J$2730,N$1)</f>
        <v>0</v>
      </c>
      <c r="O167" s="183">
        <f>SUMIFS('декабрь 2025'!$G$2:$G$2730,'декабрь 2025'!$D$2:$D$2730,$B167,'декабрь 2025'!$J$2:$J$2730,O$1)</f>
        <v>0</v>
      </c>
      <c r="P167" s="183">
        <f>SUMIFS('декабрь 2025'!$G$2:$G$2730,'декабрь 2025'!$D$2:$D$2730,$B167,'декабрь 2025'!$J$2:$J$2730,P$1)</f>
        <v>0</v>
      </c>
      <c r="Q167" s="183">
        <f>SUMIFS('декабрь 2025'!$G$2:$G$2730,'декабрь 2025'!$D$2:$D$2730,$B167,'декабрь 2025'!$J$2:$J$2730,Q$1)</f>
        <v>0</v>
      </c>
      <c r="R167" s="183">
        <f>SUMIFS('декабрь 2025'!$G$2:$G$2730,'декабрь 2025'!$D$2:$D$2730,$B167,'декабрь 2025'!$J$2:$J$2730,R$1)</f>
        <v>0</v>
      </c>
      <c r="S167" s="183">
        <f>SUMIFS('декабрь 2025'!$G$2:$G$2730,'декабрь 2025'!$D$2:$D$2730,$B167,'декабрь 2025'!$J$2:$J$2730,S$1)</f>
        <v>0</v>
      </c>
      <c r="T167" s="183">
        <f>SUMIFS('декабрь 2025'!$G$2:$G$2730,'декабрь 2025'!$D$2:$D$2730,$B167,'декабрь 2025'!$J$2:$J$2730,T$1)</f>
        <v>0</v>
      </c>
      <c r="U167" s="183">
        <f>SUMIFS('декабрь 2025'!$G$2:$G$2730,'декабрь 2025'!$D$2:$D$2730,$B167,'декабрь 2025'!$J$2:$J$2730,U$1)</f>
        <v>0</v>
      </c>
      <c r="V167" s="183">
        <f>SUMIFS('декабрь 2025'!$G$2:$G$2730,'декабрь 2025'!$D$2:$D$2730,$B167,'декабрь 2025'!$J$2:$J$2730,V$1)</f>
        <v>0</v>
      </c>
      <c r="W167" s="183">
        <f>SUMIFS('декабрь 2025'!$G$2:$G$2730,'декабрь 2025'!$D$2:$D$2730,$B167,'декабрь 2025'!$J$2:$J$2730,W$1)</f>
        <v>0</v>
      </c>
      <c r="X167" s="183">
        <f>SUMIFS('декабрь 2025'!$G$2:$G$2730,'декабрь 2025'!$D$2:$D$2730,$B167,'декабрь 2025'!$J$2:$J$2730,X$1)</f>
        <v>0</v>
      </c>
      <c r="Y167" s="183">
        <f>SUMIFS('декабрь 2025'!$G$2:$G$2730,'декабрь 2025'!$D$2:$D$2730,$B167,'декабрь 2025'!$J$2:$J$2730,Y$1)</f>
        <v>0</v>
      </c>
      <c r="Z167" s="183">
        <f>SUMIFS('декабрь 2025'!$G$2:$G$2730,'декабрь 2025'!$D$2:$D$2730,$B167,'декабрь 2025'!$J$2:$J$2730,Z$1)</f>
        <v>0</v>
      </c>
      <c r="AA167" s="183">
        <f>SUMIFS('декабрь 2025'!$G$2:$G$2730,'декабрь 2025'!$D$2:$D$2730,$B167,'декабрь 2025'!$J$2:$J$2730,AA$1)</f>
        <v>0</v>
      </c>
      <c r="AB167" s="183">
        <f>SUMIFS('декабрь 2025'!$G$2:$G$2730,'декабрь 2025'!$D$2:$D$2730,$B167,'декабрь 2025'!$J$2:$J$2730,AB$1)</f>
        <v>0</v>
      </c>
      <c r="AC167" s="183">
        <f>SUMIFS('декабрь 2025'!$G$2:$G$2730,'декабрь 2025'!$D$2:$D$2730,$B167,'декабрь 2025'!$J$2:$J$2730,AC$1)</f>
        <v>0</v>
      </c>
      <c r="AD167" s="183">
        <f>SUMIFS('декабрь 2025'!$G$2:$G$2730,'декабрь 2025'!$D$2:$D$2730,$B167,'декабрь 2025'!$J$2:$J$2730,AD$1)</f>
        <v>0</v>
      </c>
      <c r="AE167" s="183">
        <f>SUMIFS('декабрь 2025'!$G$2:$G$2730,'декабрь 2025'!$D$2:$D$2730,$B167,'декабрь 2025'!$J$2:$J$2730,AE$1)</f>
        <v>0</v>
      </c>
      <c r="AF167" s="183">
        <f>SUMIFS('декабрь 2025'!$G$2:$G$2730,'декабрь 2025'!$D$2:$D$2730,$B167,'декабрь 2025'!$J$2:$J$2730,AF$1)</f>
        <v>0</v>
      </c>
      <c r="AG167" s="183">
        <f>SUMIFS('декабрь 2025'!$G$2:$G$2730,'декабрь 2025'!$D$2:$D$2730,$B167,'декабрь 2025'!$J$2:$J$2730,AG$1)</f>
        <v>0</v>
      </c>
      <c r="AH167" s="183">
        <f>SUMIFS('декабрь 2025'!$G$2:$G$2730,'декабрь 2025'!$D$2:$D$2730,$B167,'декабрь 2025'!$J$2:$J$2730,AH$1)</f>
        <v>0</v>
      </c>
      <c r="AI167" s="20">
        <f>SUM(D167:AH167)</f>
        <v>0</v>
      </c>
    </row>
    <row r="168" spans="2:35" ht="15" customHeight="1" x14ac:dyDescent="0.25">
      <c r="B168" s="84" t="s">
        <v>307</v>
      </c>
      <c r="C168" s="83">
        <v>175</v>
      </c>
      <c r="D168" s="183">
        <f>SUMIFS('декабрь 2025'!$G$2:$G$2730,'декабрь 2025'!$D$2:$D$2730,$B168,'декабрь 2025'!$J$2:$J$2730,D$1)</f>
        <v>0</v>
      </c>
      <c r="E168" s="183">
        <f>SUMIFS('декабрь 2025'!$G$2:$G$2730,'декабрь 2025'!$D$2:$D$2730,$B168,'декабрь 2025'!$J$2:$J$2730,E$1)</f>
        <v>0</v>
      </c>
      <c r="F168" s="183">
        <f>SUMIFS('декабрь 2025'!$G$2:$G$2730,'декабрь 2025'!$D$2:$D$2730,$B168,'декабрь 2025'!$J$2:$J$2730,F$1)</f>
        <v>0</v>
      </c>
      <c r="G168" s="183">
        <f>SUMIFS('декабрь 2025'!$G$2:$G$2730,'декабрь 2025'!$D$2:$D$2730,$B168,'декабрь 2025'!$J$2:$J$2730,G$1)</f>
        <v>0</v>
      </c>
      <c r="H168" s="183">
        <f>SUMIFS('декабрь 2025'!$G$2:$G$2730,'декабрь 2025'!$D$2:$D$2730,$B168,'декабрь 2025'!$J$2:$J$2730,H$1)</f>
        <v>0</v>
      </c>
      <c r="I168" s="183">
        <f>SUMIFS('декабрь 2025'!$G$2:$G$2730,'декабрь 2025'!$D$2:$D$2730,$B168,'декабрь 2025'!$J$2:$J$2730,I$1)</f>
        <v>0</v>
      </c>
      <c r="J168" s="183">
        <f>SUMIFS('декабрь 2025'!$G$2:$G$2730,'декабрь 2025'!$D$2:$D$2730,$B168,'декабрь 2025'!$J$2:$J$2730,J$1)</f>
        <v>0</v>
      </c>
      <c r="K168" s="183">
        <f>SUMIFS('декабрь 2025'!$G$2:$G$2730,'декабрь 2025'!$D$2:$D$2730,$B168,'декабрь 2025'!$J$2:$J$2730,K$1)</f>
        <v>0</v>
      </c>
      <c r="L168" s="183">
        <f>SUMIFS('декабрь 2025'!$G$2:$G$2730,'декабрь 2025'!$D$2:$D$2730,$B168,'декабрь 2025'!$J$2:$J$2730,L$1)</f>
        <v>0</v>
      </c>
      <c r="M168" s="183">
        <f>SUMIFS('декабрь 2025'!$G$2:$G$2730,'декабрь 2025'!$D$2:$D$2730,$B168,'декабрь 2025'!$J$2:$J$2730,M$1)</f>
        <v>0</v>
      </c>
      <c r="N168" s="183">
        <f>SUMIFS('декабрь 2025'!$G$2:$G$2730,'декабрь 2025'!$D$2:$D$2730,$B168,'декабрь 2025'!$J$2:$J$2730,N$1)</f>
        <v>0</v>
      </c>
      <c r="O168" s="183">
        <f>SUMIFS('декабрь 2025'!$G$2:$G$2730,'декабрь 2025'!$D$2:$D$2730,$B168,'декабрь 2025'!$J$2:$J$2730,O$1)</f>
        <v>0</v>
      </c>
      <c r="P168" s="183">
        <f>SUMIFS('декабрь 2025'!$G$2:$G$2730,'декабрь 2025'!$D$2:$D$2730,$B168,'декабрь 2025'!$J$2:$J$2730,P$1)</f>
        <v>0</v>
      </c>
      <c r="Q168" s="183">
        <f>SUMIFS('декабрь 2025'!$G$2:$G$2730,'декабрь 2025'!$D$2:$D$2730,$B168,'декабрь 2025'!$J$2:$J$2730,Q$1)</f>
        <v>0</v>
      </c>
      <c r="R168" s="183">
        <f>SUMIFS('декабрь 2025'!$G$2:$G$2730,'декабрь 2025'!$D$2:$D$2730,$B168,'декабрь 2025'!$J$2:$J$2730,R$1)</f>
        <v>0</v>
      </c>
      <c r="S168" s="183">
        <f>SUMIFS('декабрь 2025'!$G$2:$G$2730,'декабрь 2025'!$D$2:$D$2730,$B168,'декабрь 2025'!$J$2:$J$2730,S$1)</f>
        <v>0</v>
      </c>
      <c r="T168" s="183">
        <f>SUMIFS('декабрь 2025'!$G$2:$G$2730,'декабрь 2025'!$D$2:$D$2730,$B168,'декабрь 2025'!$J$2:$J$2730,T$1)</f>
        <v>0</v>
      </c>
      <c r="U168" s="183">
        <f>SUMIFS('декабрь 2025'!$G$2:$G$2730,'декабрь 2025'!$D$2:$D$2730,$B168,'декабрь 2025'!$J$2:$J$2730,U$1)</f>
        <v>0</v>
      </c>
      <c r="V168" s="183">
        <f>SUMIFS('декабрь 2025'!$G$2:$G$2730,'декабрь 2025'!$D$2:$D$2730,$B168,'декабрь 2025'!$J$2:$J$2730,V$1)</f>
        <v>0</v>
      </c>
      <c r="W168" s="183">
        <f>SUMIFS('декабрь 2025'!$G$2:$G$2730,'декабрь 2025'!$D$2:$D$2730,$B168,'декабрь 2025'!$J$2:$J$2730,W$1)</f>
        <v>0</v>
      </c>
      <c r="X168" s="183">
        <f>SUMIFS('декабрь 2025'!$G$2:$G$2730,'декабрь 2025'!$D$2:$D$2730,$B168,'декабрь 2025'!$J$2:$J$2730,X$1)</f>
        <v>0</v>
      </c>
      <c r="Y168" s="183">
        <f>SUMIFS('декабрь 2025'!$G$2:$G$2730,'декабрь 2025'!$D$2:$D$2730,$B168,'декабрь 2025'!$J$2:$J$2730,Y$1)</f>
        <v>0</v>
      </c>
      <c r="Z168" s="183">
        <f>SUMIFS('декабрь 2025'!$G$2:$G$2730,'декабрь 2025'!$D$2:$D$2730,$B168,'декабрь 2025'!$J$2:$J$2730,Z$1)</f>
        <v>0</v>
      </c>
      <c r="AA168" s="183">
        <f>SUMIFS('декабрь 2025'!$G$2:$G$2730,'декабрь 2025'!$D$2:$D$2730,$B168,'декабрь 2025'!$J$2:$J$2730,AA$1)</f>
        <v>0</v>
      </c>
      <c r="AB168" s="183">
        <f>SUMIFS('декабрь 2025'!$G$2:$G$2730,'декабрь 2025'!$D$2:$D$2730,$B168,'декабрь 2025'!$J$2:$J$2730,AB$1)</f>
        <v>0</v>
      </c>
      <c r="AC168" s="183">
        <f>SUMIFS('декабрь 2025'!$G$2:$G$2730,'декабрь 2025'!$D$2:$D$2730,$B168,'декабрь 2025'!$J$2:$J$2730,AC$1)</f>
        <v>0</v>
      </c>
      <c r="AD168" s="183">
        <f>SUMIFS('декабрь 2025'!$G$2:$G$2730,'декабрь 2025'!$D$2:$D$2730,$B168,'декабрь 2025'!$J$2:$J$2730,AD$1)</f>
        <v>0</v>
      </c>
      <c r="AE168" s="183">
        <f>SUMIFS('декабрь 2025'!$G$2:$G$2730,'декабрь 2025'!$D$2:$D$2730,$B168,'декабрь 2025'!$J$2:$J$2730,AE$1)</f>
        <v>0</v>
      </c>
      <c r="AF168" s="183">
        <f>SUMIFS('декабрь 2025'!$G$2:$G$2730,'декабрь 2025'!$D$2:$D$2730,$B168,'декабрь 2025'!$J$2:$J$2730,AF$1)</f>
        <v>0</v>
      </c>
      <c r="AG168" s="183">
        <f>SUMIFS('декабрь 2025'!$G$2:$G$2730,'декабрь 2025'!$D$2:$D$2730,$B168,'декабрь 2025'!$J$2:$J$2730,AG$1)</f>
        <v>0</v>
      </c>
      <c r="AH168" s="183">
        <f>SUMIFS('декабрь 2025'!$G$2:$G$2730,'декабрь 2025'!$D$2:$D$2730,$B168,'декабрь 2025'!$J$2:$J$2730,AH$1)</f>
        <v>0</v>
      </c>
      <c r="AI168" s="20">
        <f>SUM(D168:AH168)</f>
        <v>0</v>
      </c>
    </row>
    <row r="169" spans="2:35" ht="15" customHeight="1" x14ac:dyDescent="0.25">
      <c r="B169" s="84" t="s">
        <v>324</v>
      </c>
      <c r="C169" s="83">
        <v>950</v>
      </c>
      <c r="D169" s="183">
        <f>SUMIFS('декабрь 2025'!$G$2:$G$2730,'декабрь 2025'!$D$2:$D$2730,$B169,'декабрь 2025'!$J$2:$J$2730,D$1)</f>
        <v>0</v>
      </c>
      <c r="E169" s="183">
        <f>SUMIFS('декабрь 2025'!$G$2:$G$2730,'декабрь 2025'!$D$2:$D$2730,$B169,'декабрь 2025'!$J$2:$J$2730,E$1)</f>
        <v>0</v>
      </c>
      <c r="F169" s="183">
        <f>SUMIFS('декабрь 2025'!$G$2:$G$2730,'декабрь 2025'!$D$2:$D$2730,$B169,'декабрь 2025'!$J$2:$J$2730,F$1)</f>
        <v>0</v>
      </c>
      <c r="G169" s="183">
        <f>SUMIFS('декабрь 2025'!$G$2:$G$2730,'декабрь 2025'!$D$2:$D$2730,$B169,'декабрь 2025'!$J$2:$J$2730,G$1)</f>
        <v>0</v>
      </c>
      <c r="H169" s="183">
        <f>SUMIFS('декабрь 2025'!$G$2:$G$2730,'декабрь 2025'!$D$2:$D$2730,$B169,'декабрь 2025'!$J$2:$J$2730,H$1)</f>
        <v>0</v>
      </c>
      <c r="I169" s="183">
        <f>SUMIFS('декабрь 2025'!$G$2:$G$2730,'декабрь 2025'!$D$2:$D$2730,$B169,'декабрь 2025'!$J$2:$J$2730,I$1)</f>
        <v>0</v>
      </c>
      <c r="J169" s="183">
        <f>SUMIFS('декабрь 2025'!$G$2:$G$2730,'декабрь 2025'!$D$2:$D$2730,$B169,'декабрь 2025'!$J$2:$J$2730,J$1)</f>
        <v>0</v>
      </c>
      <c r="K169" s="183">
        <f>SUMIFS('декабрь 2025'!$G$2:$G$2730,'декабрь 2025'!$D$2:$D$2730,$B169,'декабрь 2025'!$J$2:$J$2730,K$1)</f>
        <v>0</v>
      </c>
      <c r="L169" s="183">
        <f>SUMIFS('декабрь 2025'!$G$2:$G$2730,'декабрь 2025'!$D$2:$D$2730,$B169,'декабрь 2025'!$J$2:$J$2730,L$1)</f>
        <v>0</v>
      </c>
      <c r="M169" s="183">
        <f>SUMIFS('декабрь 2025'!$G$2:$G$2730,'декабрь 2025'!$D$2:$D$2730,$B169,'декабрь 2025'!$J$2:$J$2730,M$1)</f>
        <v>0</v>
      </c>
      <c r="N169" s="183">
        <f>SUMIFS('декабрь 2025'!$G$2:$G$2730,'декабрь 2025'!$D$2:$D$2730,$B169,'декабрь 2025'!$J$2:$J$2730,N$1)</f>
        <v>0</v>
      </c>
      <c r="O169" s="183">
        <f>SUMIFS('декабрь 2025'!$G$2:$G$2730,'декабрь 2025'!$D$2:$D$2730,$B169,'декабрь 2025'!$J$2:$J$2730,O$1)</f>
        <v>0</v>
      </c>
      <c r="P169" s="183">
        <f>SUMIFS('декабрь 2025'!$G$2:$G$2730,'декабрь 2025'!$D$2:$D$2730,$B169,'декабрь 2025'!$J$2:$J$2730,P$1)</f>
        <v>0</v>
      </c>
      <c r="Q169" s="183">
        <f>SUMIFS('декабрь 2025'!$G$2:$G$2730,'декабрь 2025'!$D$2:$D$2730,$B169,'декабрь 2025'!$J$2:$J$2730,Q$1)</f>
        <v>0</v>
      </c>
      <c r="R169" s="183">
        <f>SUMIFS('декабрь 2025'!$G$2:$G$2730,'декабрь 2025'!$D$2:$D$2730,$B169,'декабрь 2025'!$J$2:$J$2730,R$1)</f>
        <v>0</v>
      </c>
      <c r="S169" s="183">
        <f>SUMIFS('декабрь 2025'!$G$2:$G$2730,'декабрь 2025'!$D$2:$D$2730,$B169,'декабрь 2025'!$J$2:$J$2730,S$1)</f>
        <v>0</v>
      </c>
      <c r="T169" s="183">
        <f>SUMIFS('декабрь 2025'!$G$2:$G$2730,'декабрь 2025'!$D$2:$D$2730,$B169,'декабрь 2025'!$J$2:$J$2730,T$1)</f>
        <v>0</v>
      </c>
      <c r="U169" s="183">
        <f>SUMIFS('декабрь 2025'!$G$2:$G$2730,'декабрь 2025'!$D$2:$D$2730,$B169,'декабрь 2025'!$J$2:$J$2730,U$1)</f>
        <v>0</v>
      </c>
      <c r="V169" s="183">
        <f>SUMIFS('декабрь 2025'!$G$2:$G$2730,'декабрь 2025'!$D$2:$D$2730,$B169,'декабрь 2025'!$J$2:$J$2730,V$1)</f>
        <v>0</v>
      </c>
      <c r="W169" s="183">
        <f>SUMIFS('декабрь 2025'!$G$2:$G$2730,'декабрь 2025'!$D$2:$D$2730,$B169,'декабрь 2025'!$J$2:$J$2730,W$1)</f>
        <v>0</v>
      </c>
      <c r="X169" s="183">
        <f>SUMIFS('декабрь 2025'!$G$2:$G$2730,'декабрь 2025'!$D$2:$D$2730,$B169,'декабрь 2025'!$J$2:$J$2730,X$1)</f>
        <v>0</v>
      </c>
      <c r="Y169" s="183">
        <f>SUMIFS('декабрь 2025'!$G$2:$G$2730,'декабрь 2025'!$D$2:$D$2730,$B169,'декабрь 2025'!$J$2:$J$2730,Y$1)</f>
        <v>0</v>
      </c>
      <c r="Z169" s="183">
        <f>SUMIFS('декабрь 2025'!$G$2:$G$2730,'декабрь 2025'!$D$2:$D$2730,$B169,'декабрь 2025'!$J$2:$J$2730,Z$1)</f>
        <v>0</v>
      </c>
      <c r="AA169" s="183">
        <f>SUMIFS('декабрь 2025'!$G$2:$G$2730,'декабрь 2025'!$D$2:$D$2730,$B169,'декабрь 2025'!$J$2:$J$2730,AA$1)</f>
        <v>0</v>
      </c>
      <c r="AB169" s="183">
        <f>SUMIFS('декабрь 2025'!$G$2:$G$2730,'декабрь 2025'!$D$2:$D$2730,$B169,'декабрь 2025'!$J$2:$J$2730,AB$1)</f>
        <v>0</v>
      </c>
      <c r="AC169" s="183">
        <f>SUMIFS('декабрь 2025'!$G$2:$G$2730,'декабрь 2025'!$D$2:$D$2730,$B169,'декабрь 2025'!$J$2:$J$2730,AC$1)</f>
        <v>0</v>
      </c>
      <c r="AD169" s="183">
        <f>SUMIFS('декабрь 2025'!$G$2:$G$2730,'декабрь 2025'!$D$2:$D$2730,$B169,'декабрь 2025'!$J$2:$J$2730,AD$1)</f>
        <v>0</v>
      </c>
      <c r="AE169" s="183">
        <f>SUMIFS('декабрь 2025'!$G$2:$G$2730,'декабрь 2025'!$D$2:$D$2730,$B169,'декабрь 2025'!$J$2:$J$2730,AE$1)</f>
        <v>0</v>
      </c>
      <c r="AF169" s="183">
        <f>SUMIFS('декабрь 2025'!$G$2:$G$2730,'декабрь 2025'!$D$2:$D$2730,$B169,'декабрь 2025'!$J$2:$J$2730,AF$1)</f>
        <v>0</v>
      </c>
      <c r="AG169" s="183">
        <f>SUMIFS('декабрь 2025'!$G$2:$G$2730,'декабрь 2025'!$D$2:$D$2730,$B169,'декабрь 2025'!$J$2:$J$2730,AG$1)</f>
        <v>0</v>
      </c>
      <c r="AH169" s="183">
        <f>SUMIFS('декабрь 2025'!$G$2:$G$2730,'декабрь 2025'!$D$2:$D$2730,$B169,'декабрь 2025'!$J$2:$J$2730,AH$1)</f>
        <v>0</v>
      </c>
      <c r="AI169" s="20">
        <f t="shared" ref="AI169:AI171" si="2">SUM(D169:AH169)</f>
        <v>0</v>
      </c>
    </row>
    <row r="170" spans="2:35" ht="15" customHeight="1" x14ac:dyDescent="0.25">
      <c r="B170" s="84" t="s">
        <v>322</v>
      </c>
      <c r="C170" s="83">
        <v>200</v>
      </c>
      <c r="D170" s="183">
        <f>SUMIFS('декабрь 2025'!$G$2:$G$2730,'декабрь 2025'!$D$2:$D$2730,$B170,'декабрь 2025'!$J$2:$J$2730,D$1)</f>
        <v>0</v>
      </c>
      <c r="E170" s="183">
        <f>SUMIFS('декабрь 2025'!$G$2:$G$2730,'декабрь 2025'!$D$2:$D$2730,$B170,'декабрь 2025'!$J$2:$J$2730,E$1)</f>
        <v>0</v>
      </c>
      <c r="F170" s="183">
        <f>SUMIFS('декабрь 2025'!$G$2:$G$2730,'декабрь 2025'!$D$2:$D$2730,$B170,'декабрь 2025'!$J$2:$J$2730,F$1)</f>
        <v>0</v>
      </c>
      <c r="G170" s="183">
        <f>SUMIFS('декабрь 2025'!$G$2:$G$2730,'декабрь 2025'!$D$2:$D$2730,$B170,'декабрь 2025'!$J$2:$J$2730,G$1)</f>
        <v>0</v>
      </c>
      <c r="H170" s="183">
        <f>SUMIFS('декабрь 2025'!$G$2:$G$2730,'декабрь 2025'!$D$2:$D$2730,$B170,'декабрь 2025'!$J$2:$J$2730,H$1)</f>
        <v>0</v>
      </c>
      <c r="I170" s="183">
        <f>SUMIFS('декабрь 2025'!$G$2:$G$2730,'декабрь 2025'!$D$2:$D$2730,$B170,'декабрь 2025'!$J$2:$J$2730,I$1)</f>
        <v>0</v>
      </c>
      <c r="J170" s="183">
        <f>SUMIFS('декабрь 2025'!$G$2:$G$2730,'декабрь 2025'!$D$2:$D$2730,$B170,'декабрь 2025'!$J$2:$J$2730,J$1)</f>
        <v>0</v>
      </c>
      <c r="K170" s="183">
        <f>SUMIFS('декабрь 2025'!$G$2:$G$2730,'декабрь 2025'!$D$2:$D$2730,$B170,'декабрь 2025'!$J$2:$J$2730,K$1)</f>
        <v>0</v>
      </c>
      <c r="L170" s="183">
        <f>SUMIFS('декабрь 2025'!$G$2:$G$2730,'декабрь 2025'!$D$2:$D$2730,$B170,'декабрь 2025'!$J$2:$J$2730,L$1)</f>
        <v>0</v>
      </c>
      <c r="M170" s="183">
        <f>SUMIFS('декабрь 2025'!$G$2:$G$2730,'декабрь 2025'!$D$2:$D$2730,$B170,'декабрь 2025'!$J$2:$J$2730,M$1)</f>
        <v>0</v>
      </c>
      <c r="N170" s="183">
        <f>SUMIFS('декабрь 2025'!$G$2:$G$2730,'декабрь 2025'!$D$2:$D$2730,$B170,'декабрь 2025'!$J$2:$J$2730,N$1)</f>
        <v>0</v>
      </c>
      <c r="O170" s="183">
        <f>SUMIFS('декабрь 2025'!$G$2:$G$2730,'декабрь 2025'!$D$2:$D$2730,$B170,'декабрь 2025'!$J$2:$J$2730,O$1)</f>
        <v>0</v>
      </c>
      <c r="P170" s="183">
        <f>SUMIFS('декабрь 2025'!$G$2:$G$2730,'декабрь 2025'!$D$2:$D$2730,$B170,'декабрь 2025'!$J$2:$J$2730,P$1)</f>
        <v>0</v>
      </c>
      <c r="Q170" s="183">
        <f>SUMIFS('декабрь 2025'!$G$2:$G$2730,'декабрь 2025'!$D$2:$D$2730,$B170,'декабрь 2025'!$J$2:$J$2730,Q$1)</f>
        <v>0</v>
      </c>
      <c r="R170" s="183">
        <f>SUMIFS('декабрь 2025'!$G$2:$G$2730,'декабрь 2025'!$D$2:$D$2730,$B170,'декабрь 2025'!$J$2:$J$2730,R$1)</f>
        <v>0</v>
      </c>
      <c r="S170" s="183">
        <f>SUMIFS('декабрь 2025'!$G$2:$G$2730,'декабрь 2025'!$D$2:$D$2730,$B170,'декабрь 2025'!$J$2:$J$2730,S$1)</f>
        <v>0</v>
      </c>
      <c r="T170" s="183">
        <f>SUMIFS('декабрь 2025'!$G$2:$G$2730,'декабрь 2025'!$D$2:$D$2730,$B170,'декабрь 2025'!$J$2:$J$2730,T$1)</f>
        <v>0</v>
      </c>
      <c r="U170" s="183">
        <f>SUMIFS('декабрь 2025'!$G$2:$G$2730,'декабрь 2025'!$D$2:$D$2730,$B170,'декабрь 2025'!$J$2:$J$2730,U$1)</f>
        <v>0</v>
      </c>
      <c r="V170" s="183">
        <f>SUMIFS('декабрь 2025'!$G$2:$G$2730,'декабрь 2025'!$D$2:$D$2730,$B170,'декабрь 2025'!$J$2:$J$2730,V$1)</f>
        <v>0</v>
      </c>
      <c r="W170" s="183">
        <f>SUMIFS('декабрь 2025'!$G$2:$G$2730,'декабрь 2025'!$D$2:$D$2730,$B170,'декабрь 2025'!$J$2:$J$2730,W$1)</f>
        <v>0</v>
      </c>
      <c r="X170" s="183">
        <f>SUMIFS('декабрь 2025'!$G$2:$G$2730,'декабрь 2025'!$D$2:$D$2730,$B170,'декабрь 2025'!$J$2:$J$2730,X$1)</f>
        <v>0</v>
      </c>
      <c r="Y170" s="183">
        <f>SUMIFS('декабрь 2025'!$G$2:$G$2730,'декабрь 2025'!$D$2:$D$2730,$B170,'декабрь 2025'!$J$2:$J$2730,Y$1)</f>
        <v>0</v>
      </c>
      <c r="Z170" s="183">
        <f>SUMIFS('декабрь 2025'!$G$2:$G$2730,'декабрь 2025'!$D$2:$D$2730,$B170,'декабрь 2025'!$J$2:$J$2730,Z$1)</f>
        <v>0</v>
      </c>
      <c r="AA170" s="183">
        <f>SUMIFS('декабрь 2025'!$G$2:$G$2730,'декабрь 2025'!$D$2:$D$2730,$B170,'декабрь 2025'!$J$2:$J$2730,AA$1)</f>
        <v>0</v>
      </c>
      <c r="AB170" s="183">
        <f>SUMIFS('декабрь 2025'!$G$2:$G$2730,'декабрь 2025'!$D$2:$D$2730,$B170,'декабрь 2025'!$J$2:$J$2730,AB$1)</f>
        <v>0</v>
      </c>
      <c r="AC170" s="183">
        <f>SUMIFS('декабрь 2025'!$G$2:$G$2730,'декабрь 2025'!$D$2:$D$2730,$B170,'декабрь 2025'!$J$2:$J$2730,AC$1)</f>
        <v>0</v>
      </c>
      <c r="AD170" s="183">
        <f>SUMIFS('декабрь 2025'!$G$2:$G$2730,'декабрь 2025'!$D$2:$D$2730,$B170,'декабрь 2025'!$J$2:$J$2730,AD$1)</f>
        <v>0</v>
      </c>
      <c r="AE170" s="183">
        <f>SUMIFS('декабрь 2025'!$G$2:$G$2730,'декабрь 2025'!$D$2:$D$2730,$B170,'декабрь 2025'!$J$2:$J$2730,AE$1)</f>
        <v>0</v>
      </c>
      <c r="AF170" s="183">
        <f>SUMIFS('декабрь 2025'!$G$2:$G$2730,'декабрь 2025'!$D$2:$D$2730,$B170,'декабрь 2025'!$J$2:$J$2730,AF$1)</f>
        <v>0</v>
      </c>
      <c r="AG170" s="183">
        <f>SUMIFS('декабрь 2025'!$G$2:$G$2730,'декабрь 2025'!$D$2:$D$2730,$B170,'декабрь 2025'!$J$2:$J$2730,AG$1)</f>
        <v>25</v>
      </c>
      <c r="AH170" s="183">
        <f>SUMIFS('декабрь 2025'!$G$2:$G$2730,'декабрь 2025'!$D$2:$D$2730,$B170,'декабрь 2025'!$J$2:$J$2730,AH$1)</f>
        <v>0</v>
      </c>
      <c r="AI170" s="20">
        <f t="shared" si="2"/>
        <v>25</v>
      </c>
    </row>
    <row r="171" spans="2:35" ht="15" customHeight="1" x14ac:dyDescent="0.25">
      <c r="B171" s="84" t="s">
        <v>810</v>
      </c>
      <c r="C171" s="83">
        <v>200</v>
      </c>
      <c r="D171" s="183">
        <f>SUMIFS('декабрь 2025'!$G$2:$G$2730,'декабрь 2025'!$D$2:$D$2730,$B171,'декабрь 2025'!$J$2:$J$2730,D$1)</f>
        <v>0</v>
      </c>
      <c r="E171" s="183">
        <f>SUMIFS('декабрь 2025'!$G$2:$G$2730,'декабрь 2025'!$D$2:$D$2730,$B171,'декабрь 2025'!$J$2:$J$2730,E$1)</f>
        <v>0</v>
      </c>
      <c r="F171" s="183">
        <f>SUMIFS('декабрь 2025'!$G$2:$G$2730,'декабрь 2025'!$D$2:$D$2730,$B171,'декабрь 2025'!$J$2:$J$2730,F$1)</f>
        <v>0</v>
      </c>
      <c r="G171" s="183">
        <f>SUMIFS('декабрь 2025'!$G$2:$G$2730,'декабрь 2025'!$D$2:$D$2730,$B171,'декабрь 2025'!$J$2:$J$2730,G$1)</f>
        <v>0</v>
      </c>
      <c r="H171" s="183">
        <f>SUMIFS('декабрь 2025'!$G$2:$G$2730,'декабрь 2025'!$D$2:$D$2730,$B171,'декабрь 2025'!$J$2:$J$2730,H$1)</f>
        <v>0</v>
      </c>
      <c r="I171" s="183">
        <f>SUMIFS('декабрь 2025'!$G$2:$G$2730,'декабрь 2025'!$D$2:$D$2730,$B171,'декабрь 2025'!$J$2:$J$2730,I$1)</f>
        <v>0</v>
      </c>
      <c r="J171" s="183">
        <f>SUMIFS('декабрь 2025'!$G$2:$G$2730,'декабрь 2025'!$D$2:$D$2730,$B171,'декабрь 2025'!$J$2:$J$2730,J$1)</f>
        <v>0</v>
      </c>
      <c r="K171" s="183">
        <f>SUMIFS('декабрь 2025'!$G$2:$G$2730,'декабрь 2025'!$D$2:$D$2730,$B171,'декабрь 2025'!$J$2:$J$2730,K$1)</f>
        <v>0</v>
      </c>
      <c r="L171" s="183">
        <f>SUMIFS('декабрь 2025'!$G$2:$G$2730,'декабрь 2025'!$D$2:$D$2730,$B171,'декабрь 2025'!$J$2:$J$2730,L$1)</f>
        <v>0</v>
      </c>
      <c r="M171" s="183">
        <f>SUMIFS('декабрь 2025'!$G$2:$G$2730,'декабрь 2025'!$D$2:$D$2730,$B171,'декабрь 2025'!$J$2:$J$2730,M$1)</f>
        <v>0</v>
      </c>
      <c r="N171" s="183">
        <f>SUMIFS('декабрь 2025'!$G$2:$G$2730,'декабрь 2025'!$D$2:$D$2730,$B171,'декабрь 2025'!$J$2:$J$2730,N$1)</f>
        <v>0</v>
      </c>
      <c r="O171" s="183">
        <f>SUMIFS('декабрь 2025'!$G$2:$G$2730,'декабрь 2025'!$D$2:$D$2730,$B171,'декабрь 2025'!$J$2:$J$2730,O$1)</f>
        <v>0</v>
      </c>
      <c r="P171" s="183">
        <f>SUMIFS('декабрь 2025'!$G$2:$G$2730,'декабрь 2025'!$D$2:$D$2730,$B171,'декабрь 2025'!$J$2:$J$2730,P$1)</f>
        <v>0</v>
      </c>
      <c r="Q171" s="183">
        <f>SUMIFS('декабрь 2025'!$G$2:$G$2730,'декабрь 2025'!$D$2:$D$2730,$B171,'декабрь 2025'!$J$2:$J$2730,Q$1)</f>
        <v>0</v>
      </c>
      <c r="R171" s="183">
        <f>SUMIFS('декабрь 2025'!$G$2:$G$2730,'декабрь 2025'!$D$2:$D$2730,$B171,'декабрь 2025'!$J$2:$J$2730,R$1)</f>
        <v>0</v>
      </c>
      <c r="S171" s="183">
        <f>SUMIFS('декабрь 2025'!$G$2:$G$2730,'декабрь 2025'!$D$2:$D$2730,$B171,'декабрь 2025'!$J$2:$J$2730,S$1)</f>
        <v>0</v>
      </c>
      <c r="T171" s="183">
        <f>SUMIFS('декабрь 2025'!$G$2:$G$2730,'декабрь 2025'!$D$2:$D$2730,$B171,'декабрь 2025'!$J$2:$J$2730,T$1)</f>
        <v>0</v>
      </c>
      <c r="U171" s="183">
        <f>SUMIFS('декабрь 2025'!$G$2:$G$2730,'декабрь 2025'!$D$2:$D$2730,$B171,'декабрь 2025'!$J$2:$J$2730,U$1)</f>
        <v>0</v>
      </c>
      <c r="V171" s="183">
        <f>SUMIFS('декабрь 2025'!$G$2:$G$2730,'декабрь 2025'!$D$2:$D$2730,$B171,'декабрь 2025'!$J$2:$J$2730,V$1)</f>
        <v>0</v>
      </c>
      <c r="W171" s="183">
        <f>SUMIFS('декабрь 2025'!$G$2:$G$2730,'декабрь 2025'!$D$2:$D$2730,$B171,'декабрь 2025'!$J$2:$J$2730,W$1)</f>
        <v>0</v>
      </c>
      <c r="X171" s="183">
        <f>SUMIFS('декабрь 2025'!$G$2:$G$2730,'декабрь 2025'!$D$2:$D$2730,$B171,'декабрь 2025'!$J$2:$J$2730,X$1)</f>
        <v>0</v>
      </c>
      <c r="Y171" s="183">
        <f>SUMIFS('декабрь 2025'!$G$2:$G$2730,'декабрь 2025'!$D$2:$D$2730,$B171,'декабрь 2025'!$J$2:$J$2730,Y$1)</f>
        <v>0</v>
      </c>
      <c r="Z171" s="183">
        <f>SUMIFS('декабрь 2025'!$G$2:$G$2730,'декабрь 2025'!$D$2:$D$2730,$B171,'декабрь 2025'!$J$2:$J$2730,Z$1)</f>
        <v>0</v>
      </c>
      <c r="AA171" s="183">
        <f>SUMIFS('декабрь 2025'!$G$2:$G$2730,'декабрь 2025'!$D$2:$D$2730,$B171,'декабрь 2025'!$J$2:$J$2730,AA$1)</f>
        <v>0</v>
      </c>
      <c r="AB171" s="183">
        <f>SUMIFS('декабрь 2025'!$G$2:$G$2730,'декабрь 2025'!$D$2:$D$2730,$B171,'декабрь 2025'!$J$2:$J$2730,AB$1)</f>
        <v>0</v>
      </c>
      <c r="AC171" s="183">
        <f>SUMIFS('декабрь 2025'!$G$2:$G$2730,'декабрь 2025'!$D$2:$D$2730,$B171,'декабрь 2025'!$J$2:$J$2730,AC$1)</f>
        <v>0</v>
      </c>
      <c r="AD171" s="183">
        <f>SUMIFS('декабрь 2025'!$G$2:$G$2730,'декабрь 2025'!$D$2:$D$2730,$B171,'декабрь 2025'!$J$2:$J$2730,AD$1)</f>
        <v>0</v>
      </c>
      <c r="AE171" s="183">
        <f>SUMIFS('декабрь 2025'!$G$2:$G$2730,'декабрь 2025'!$D$2:$D$2730,$B171,'декабрь 2025'!$J$2:$J$2730,AE$1)</f>
        <v>0</v>
      </c>
      <c r="AF171" s="183">
        <f>SUMIFS('декабрь 2025'!$G$2:$G$2730,'декабрь 2025'!$D$2:$D$2730,$B171,'декабрь 2025'!$J$2:$J$2730,AF$1)</f>
        <v>0</v>
      </c>
      <c r="AG171" s="183">
        <f>SUMIFS('декабрь 2025'!$G$2:$G$2730,'декабрь 2025'!$D$2:$D$2730,$B171,'декабрь 2025'!$J$2:$J$2730,AG$1)</f>
        <v>0</v>
      </c>
      <c r="AH171" s="183">
        <f>SUMIFS('декабрь 2025'!$G$2:$G$2730,'декабрь 2025'!$D$2:$D$2730,$B171,'декабрь 2025'!$J$2:$J$2730,AH$1)</f>
        <v>0</v>
      </c>
      <c r="AI171" s="20">
        <f t="shared" si="2"/>
        <v>0</v>
      </c>
    </row>
    <row r="172" spans="2:35" ht="15" customHeight="1" x14ac:dyDescent="0.25">
      <c r="B172" s="84" t="s">
        <v>995</v>
      </c>
      <c r="C172" s="83">
        <v>200</v>
      </c>
      <c r="D172" s="183">
        <f>SUMIFS('декабрь 2025'!$G$2:$G$2730,'декабрь 2025'!$D$2:$D$2730,$B172,'декабрь 2025'!$J$2:$J$2730,D$1)</f>
        <v>0</v>
      </c>
      <c r="E172" s="183">
        <f>SUMIFS('декабрь 2025'!$G$2:$G$2730,'декабрь 2025'!$D$2:$D$2730,$B172,'декабрь 2025'!$J$2:$J$2730,E$1)</f>
        <v>0</v>
      </c>
      <c r="F172" s="183">
        <f>SUMIFS('декабрь 2025'!$G$2:$G$2730,'декабрь 2025'!$D$2:$D$2730,$B172,'декабрь 2025'!$J$2:$J$2730,F$1)</f>
        <v>0</v>
      </c>
      <c r="G172" s="183">
        <f>SUMIFS('декабрь 2025'!$G$2:$G$2730,'декабрь 2025'!$D$2:$D$2730,$B172,'декабрь 2025'!$J$2:$J$2730,G$1)</f>
        <v>0</v>
      </c>
      <c r="H172" s="183">
        <f>SUMIFS('декабрь 2025'!$G$2:$G$2730,'декабрь 2025'!$D$2:$D$2730,$B172,'декабрь 2025'!$J$2:$J$2730,H$1)</f>
        <v>0</v>
      </c>
      <c r="I172" s="183">
        <f>SUMIFS('декабрь 2025'!$G$2:$G$2730,'декабрь 2025'!$D$2:$D$2730,$B172,'декабрь 2025'!$J$2:$J$2730,I$1)</f>
        <v>0</v>
      </c>
      <c r="J172" s="183">
        <f>SUMIFS('декабрь 2025'!$G$2:$G$2730,'декабрь 2025'!$D$2:$D$2730,$B172,'декабрь 2025'!$J$2:$J$2730,J$1)</f>
        <v>0</v>
      </c>
      <c r="K172" s="183">
        <f>SUMIFS('декабрь 2025'!$G$2:$G$2730,'декабрь 2025'!$D$2:$D$2730,$B172,'декабрь 2025'!$J$2:$J$2730,K$1)</f>
        <v>0</v>
      </c>
      <c r="L172" s="183">
        <f>SUMIFS('декабрь 2025'!$G$2:$G$2730,'декабрь 2025'!$D$2:$D$2730,$B172,'декабрь 2025'!$J$2:$J$2730,L$1)</f>
        <v>0</v>
      </c>
      <c r="M172" s="183">
        <f>SUMIFS('декабрь 2025'!$G$2:$G$2730,'декабрь 2025'!$D$2:$D$2730,$B172,'декабрь 2025'!$J$2:$J$2730,M$1)</f>
        <v>0</v>
      </c>
      <c r="N172" s="183">
        <f>SUMIFS('декабрь 2025'!$G$2:$G$2730,'декабрь 2025'!$D$2:$D$2730,$B172,'декабрь 2025'!$J$2:$J$2730,N$1)</f>
        <v>0</v>
      </c>
      <c r="O172" s="183">
        <f>SUMIFS('декабрь 2025'!$G$2:$G$2730,'декабрь 2025'!$D$2:$D$2730,$B172,'декабрь 2025'!$J$2:$J$2730,O$1)</f>
        <v>0</v>
      </c>
      <c r="P172" s="183">
        <f>SUMIFS('декабрь 2025'!$G$2:$G$2730,'декабрь 2025'!$D$2:$D$2730,$B172,'декабрь 2025'!$J$2:$J$2730,P$1)</f>
        <v>0</v>
      </c>
      <c r="Q172" s="183">
        <f>SUMIFS('декабрь 2025'!$G$2:$G$2730,'декабрь 2025'!$D$2:$D$2730,$B172,'декабрь 2025'!$J$2:$J$2730,Q$1)</f>
        <v>0</v>
      </c>
      <c r="R172" s="183">
        <f>SUMIFS('декабрь 2025'!$G$2:$G$2730,'декабрь 2025'!$D$2:$D$2730,$B172,'декабрь 2025'!$J$2:$J$2730,R$1)</f>
        <v>0</v>
      </c>
      <c r="S172" s="183">
        <f>SUMIFS('декабрь 2025'!$G$2:$G$2730,'декабрь 2025'!$D$2:$D$2730,$B172,'декабрь 2025'!$J$2:$J$2730,S$1)</f>
        <v>0</v>
      </c>
      <c r="T172" s="183">
        <f>SUMIFS('декабрь 2025'!$G$2:$G$2730,'декабрь 2025'!$D$2:$D$2730,$B172,'декабрь 2025'!$J$2:$J$2730,T$1)</f>
        <v>0</v>
      </c>
      <c r="U172" s="183">
        <f>SUMIFS('декабрь 2025'!$G$2:$G$2730,'декабрь 2025'!$D$2:$D$2730,$B172,'декабрь 2025'!$J$2:$J$2730,U$1)</f>
        <v>0</v>
      </c>
      <c r="V172" s="183">
        <f>SUMIFS('декабрь 2025'!$G$2:$G$2730,'декабрь 2025'!$D$2:$D$2730,$B172,'декабрь 2025'!$J$2:$J$2730,V$1)</f>
        <v>0</v>
      </c>
      <c r="W172" s="183">
        <f>SUMIFS('декабрь 2025'!$G$2:$G$2730,'декабрь 2025'!$D$2:$D$2730,$B172,'декабрь 2025'!$J$2:$J$2730,W$1)</f>
        <v>0</v>
      </c>
      <c r="X172" s="183">
        <f>SUMIFS('декабрь 2025'!$G$2:$G$2730,'декабрь 2025'!$D$2:$D$2730,$B172,'декабрь 2025'!$J$2:$J$2730,X$1)</f>
        <v>0</v>
      </c>
      <c r="Y172" s="183">
        <f>SUMIFS('декабрь 2025'!$G$2:$G$2730,'декабрь 2025'!$D$2:$D$2730,$B172,'декабрь 2025'!$J$2:$J$2730,Y$1)</f>
        <v>0</v>
      </c>
      <c r="Z172" s="183">
        <f>SUMIFS('декабрь 2025'!$G$2:$G$2730,'декабрь 2025'!$D$2:$D$2730,$B172,'декабрь 2025'!$J$2:$J$2730,Z$1)</f>
        <v>0</v>
      </c>
      <c r="AA172" s="183">
        <f>SUMIFS('декабрь 2025'!$G$2:$G$2730,'декабрь 2025'!$D$2:$D$2730,$B172,'декабрь 2025'!$J$2:$J$2730,AA$1)</f>
        <v>0</v>
      </c>
      <c r="AB172" s="183">
        <f>SUMIFS('декабрь 2025'!$G$2:$G$2730,'декабрь 2025'!$D$2:$D$2730,$B172,'декабрь 2025'!$J$2:$J$2730,AB$1)</f>
        <v>0</v>
      </c>
      <c r="AC172" s="183">
        <f>SUMIFS('декабрь 2025'!$G$2:$G$2730,'декабрь 2025'!$D$2:$D$2730,$B172,'декабрь 2025'!$J$2:$J$2730,AC$1)</f>
        <v>0</v>
      </c>
      <c r="AD172" s="183">
        <f>SUMIFS('декабрь 2025'!$G$2:$G$2730,'декабрь 2025'!$D$2:$D$2730,$B172,'декабрь 2025'!$J$2:$J$2730,AD$1)</f>
        <v>0</v>
      </c>
      <c r="AE172" s="183">
        <f>SUMIFS('декабрь 2025'!$G$2:$G$2730,'декабрь 2025'!$D$2:$D$2730,$B172,'декабрь 2025'!$J$2:$J$2730,AE$1)</f>
        <v>0</v>
      </c>
      <c r="AF172" s="183">
        <f>SUMIFS('декабрь 2025'!$G$2:$G$2730,'декабрь 2025'!$D$2:$D$2730,$B172,'декабрь 2025'!$J$2:$J$2730,AF$1)</f>
        <v>0</v>
      </c>
      <c r="AG172" s="183">
        <f>SUMIFS('декабрь 2025'!$G$2:$G$2730,'декабрь 2025'!$D$2:$D$2730,$B172,'декабрь 2025'!$J$2:$J$2730,AG$1)</f>
        <v>0</v>
      </c>
      <c r="AH172" s="183">
        <f>SUMIFS('декабрь 2025'!$G$2:$G$2730,'декабрь 2025'!$D$2:$D$2730,$B172,'декабрь 2025'!$J$2:$J$2730,AH$1)</f>
        <v>0</v>
      </c>
      <c r="AI172" s="20">
        <f t="shared" ref="AI172:AI174" si="3">SUM(D172:AH172)</f>
        <v>0</v>
      </c>
    </row>
    <row r="173" spans="2:35" ht="15" customHeight="1" x14ac:dyDescent="0.25">
      <c r="B173" s="84" t="s">
        <v>1895</v>
      </c>
      <c r="C173" s="83">
        <v>30</v>
      </c>
      <c r="D173" s="183">
        <f>SUMIFS('декабрь 2025'!$G$2:$G$2730,'декабрь 2025'!$D$2:$D$2730,$B173,'декабрь 2025'!$J$2:$J$2730,D$1)</f>
        <v>0</v>
      </c>
      <c r="E173" s="183">
        <f>SUMIFS('декабрь 2025'!$G$2:$G$2730,'декабрь 2025'!$D$2:$D$2730,$B173,'декабрь 2025'!$J$2:$J$2730,E$1)</f>
        <v>0</v>
      </c>
      <c r="F173" s="183">
        <f>SUMIFS('декабрь 2025'!$G$2:$G$2730,'декабрь 2025'!$D$2:$D$2730,$B173,'декабрь 2025'!$J$2:$J$2730,F$1)</f>
        <v>0</v>
      </c>
      <c r="G173" s="183">
        <f>SUMIFS('декабрь 2025'!$G$2:$G$2730,'декабрь 2025'!$D$2:$D$2730,$B173,'декабрь 2025'!$J$2:$J$2730,G$1)</f>
        <v>0</v>
      </c>
      <c r="H173" s="183">
        <f>SUMIFS('декабрь 2025'!$G$2:$G$2730,'декабрь 2025'!$D$2:$D$2730,$B173,'декабрь 2025'!$J$2:$J$2730,H$1)</f>
        <v>0</v>
      </c>
      <c r="I173" s="183">
        <f>SUMIFS('декабрь 2025'!$G$2:$G$2730,'декабрь 2025'!$D$2:$D$2730,$B173,'декабрь 2025'!$J$2:$J$2730,I$1)</f>
        <v>0</v>
      </c>
      <c r="J173" s="183">
        <f>SUMIFS('декабрь 2025'!$G$2:$G$2730,'декабрь 2025'!$D$2:$D$2730,$B173,'декабрь 2025'!$J$2:$J$2730,J$1)</f>
        <v>0</v>
      </c>
      <c r="K173" s="183">
        <f>SUMIFS('декабрь 2025'!$G$2:$G$2730,'декабрь 2025'!$D$2:$D$2730,$B173,'декабрь 2025'!$J$2:$J$2730,K$1)</f>
        <v>0</v>
      </c>
      <c r="L173" s="183">
        <f>SUMIFS('декабрь 2025'!$G$2:$G$2730,'декабрь 2025'!$D$2:$D$2730,$B173,'декабрь 2025'!$J$2:$J$2730,L$1)</f>
        <v>0</v>
      </c>
      <c r="M173" s="183">
        <f>SUMIFS('декабрь 2025'!$G$2:$G$2730,'декабрь 2025'!$D$2:$D$2730,$B173,'декабрь 2025'!$J$2:$J$2730,M$1)</f>
        <v>0</v>
      </c>
      <c r="N173" s="183">
        <f>SUMIFS('декабрь 2025'!$G$2:$G$2730,'декабрь 2025'!$D$2:$D$2730,$B173,'декабрь 2025'!$J$2:$J$2730,N$1)</f>
        <v>0</v>
      </c>
      <c r="O173" s="183">
        <f>SUMIFS('декабрь 2025'!$G$2:$G$2730,'декабрь 2025'!$D$2:$D$2730,$B173,'декабрь 2025'!$J$2:$J$2730,O$1)</f>
        <v>0</v>
      </c>
      <c r="P173" s="183">
        <f>SUMIFS('декабрь 2025'!$G$2:$G$2730,'декабрь 2025'!$D$2:$D$2730,$B173,'декабрь 2025'!$J$2:$J$2730,P$1)</f>
        <v>0</v>
      </c>
      <c r="Q173" s="183">
        <f>SUMIFS('декабрь 2025'!$G$2:$G$2730,'декабрь 2025'!$D$2:$D$2730,$B173,'декабрь 2025'!$J$2:$J$2730,Q$1)</f>
        <v>0</v>
      </c>
      <c r="R173" s="183">
        <f>SUMIFS('декабрь 2025'!$G$2:$G$2730,'декабрь 2025'!$D$2:$D$2730,$B173,'декабрь 2025'!$J$2:$J$2730,R$1)</f>
        <v>0</v>
      </c>
      <c r="S173" s="183">
        <f>SUMIFS('декабрь 2025'!$G$2:$G$2730,'декабрь 2025'!$D$2:$D$2730,$B173,'декабрь 2025'!$J$2:$J$2730,S$1)</f>
        <v>0</v>
      </c>
      <c r="T173" s="183">
        <f>SUMIFS('декабрь 2025'!$G$2:$G$2730,'декабрь 2025'!$D$2:$D$2730,$B173,'декабрь 2025'!$J$2:$J$2730,T$1)</f>
        <v>0</v>
      </c>
      <c r="U173" s="183">
        <f>SUMIFS('декабрь 2025'!$G$2:$G$2730,'декабрь 2025'!$D$2:$D$2730,$B173,'декабрь 2025'!$J$2:$J$2730,U$1)</f>
        <v>0</v>
      </c>
      <c r="V173" s="183">
        <f>SUMIFS('декабрь 2025'!$G$2:$G$2730,'декабрь 2025'!$D$2:$D$2730,$B173,'декабрь 2025'!$J$2:$J$2730,V$1)</f>
        <v>0</v>
      </c>
      <c r="W173" s="183">
        <f>SUMIFS('декабрь 2025'!$G$2:$G$2730,'декабрь 2025'!$D$2:$D$2730,$B173,'декабрь 2025'!$J$2:$J$2730,W$1)</f>
        <v>0</v>
      </c>
      <c r="X173" s="183">
        <f>SUMIFS('декабрь 2025'!$G$2:$G$2730,'декабрь 2025'!$D$2:$D$2730,$B173,'декабрь 2025'!$J$2:$J$2730,X$1)</f>
        <v>0</v>
      </c>
      <c r="Y173" s="183">
        <f>SUMIFS('декабрь 2025'!$G$2:$G$2730,'декабрь 2025'!$D$2:$D$2730,$B173,'декабрь 2025'!$J$2:$J$2730,Y$1)</f>
        <v>0</v>
      </c>
      <c r="Z173" s="183">
        <f>SUMIFS('декабрь 2025'!$G$2:$G$2730,'декабрь 2025'!$D$2:$D$2730,$B173,'декабрь 2025'!$J$2:$J$2730,Z$1)</f>
        <v>0</v>
      </c>
      <c r="AA173" s="183">
        <f>SUMIFS('декабрь 2025'!$G$2:$G$2730,'декабрь 2025'!$D$2:$D$2730,$B173,'декабрь 2025'!$J$2:$J$2730,AA$1)</f>
        <v>0</v>
      </c>
      <c r="AB173" s="183">
        <f>SUMIFS('декабрь 2025'!$G$2:$G$2730,'декабрь 2025'!$D$2:$D$2730,$B173,'декабрь 2025'!$J$2:$J$2730,AB$1)</f>
        <v>0</v>
      </c>
      <c r="AC173" s="183">
        <f>SUMIFS('декабрь 2025'!$G$2:$G$2730,'декабрь 2025'!$D$2:$D$2730,$B173,'декабрь 2025'!$J$2:$J$2730,AC$1)</f>
        <v>0</v>
      </c>
      <c r="AD173" s="183">
        <f>SUMIFS('декабрь 2025'!$G$2:$G$2730,'декабрь 2025'!$D$2:$D$2730,$B173,'декабрь 2025'!$J$2:$J$2730,AD$1)</f>
        <v>0</v>
      </c>
      <c r="AE173" s="183">
        <f>SUMIFS('декабрь 2025'!$G$2:$G$2730,'декабрь 2025'!$D$2:$D$2730,$B173,'декабрь 2025'!$J$2:$J$2730,AE$1)</f>
        <v>0</v>
      </c>
      <c r="AF173" s="183">
        <f>SUMIFS('декабрь 2025'!$G$2:$G$2730,'декабрь 2025'!$D$2:$D$2730,$B173,'декабрь 2025'!$J$2:$J$2730,AF$1)</f>
        <v>0</v>
      </c>
      <c r="AG173" s="183">
        <f>SUMIFS('декабрь 2025'!$G$2:$G$2730,'декабрь 2025'!$D$2:$D$2730,$B173,'декабрь 2025'!$J$2:$J$2730,AG$1)</f>
        <v>0</v>
      </c>
      <c r="AH173" s="183">
        <f>SUMIFS('декабрь 2025'!$G$2:$G$2730,'декабрь 2025'!$D$2:$D$2730,$B173,'декабрь 2025'!$J$2:$J$2730,AH$1)</f>
        <v>0</v>
      </c>
      <c r="AI173" s="20">
        <f t="shared" si="3"/>
        <v>0</v>
      </c>
    </row>
    <row r="174" spans="2:35" ht="15" customHeight="1" x14ac:dyDescent="0.25">
      <c r="B174" s="84" t="s">
        <v>2028</v>
      </c>
      <c r="C174" s="83">
        <v>30</v>
      </c>
      <c r="D174" s="183">
        <f>SUMIFS('декабрь 2025'!$G$2:$G$2730,'декабрь 2025'!$D$2:$D$2730,$B174,'декабрь 2025'!$J$2:$J$2730,D$1)</f>
        <v>0</v>
      </c>
      <c r="E174" s="183">
        <f>SUMIFS('декабрь 2025'!$G$2:$G$2730,'декабрь 2025'!$D$2:$D$2730,$B174,'декабрь 2025'!$J$2:$J$2730,E$1)</f>
        <v>0</v>
      </c>
      <c r="F174" s="183">
        <f>SUMIFS('декабрь 2025'!$G$2:$G$2730,'декабрь 2025'!$D$2:$D$2730,$B174,'декабрь 2025'!$J$2:$J$2730,F$1)</f>
        <v>0</v>
      </c>
      <c r="G174" s="183">
        <f>SUMIFS('декабрь 2025'!$G$2:$G$2730,'декабрь 2025'!$D$2:$D$2730,$B174,'декабрь 2025'!$J$2:$J$2730,G$1)</f>
        <v>0</v>
      </c>
      <c r="H174" s="183">
        <f>SUMIFS('декабрь 2025'!$G$2:$G$2730,'декабрь 2025'!$D$2:$D$2730,$B174,'декабрь 2025'!$J$2:$J$2730,H$1)</f>
        <v>0</v>
      </c>
      <c r="I174" s="183">
        <f>SUMIFS('декабрь 2025'!$G$2:$G$2730,'декабрь 2025'!$D$2:$D$2730,$B174,'декабрь 2025'!$J$2:$J$2730,I$1)</f>
        <v>0</v>
      </c>
      <c r="J174" s="183">
        <f>SUMIFS('декабрь 2025'!$G$2:$G$2730,'декабрь 2025'!$D$2:$D$2730,$B174,'декабрь 2025'!$J$2:$J$2730,J$1)</f>
        <v>0</v>
      </c>
      <c r="K174" s="183">
        <f>SUMIFS('декабрь 2025'!$G$2:$G$2730,'декабрь 2025'!$D$2:$D$2730,$B174,'декабрь 2025'!$J$2:$J$2730,K$1)</f>
        <v>0</v>
      </c>
      <c r="L174" s="183">
        <f>SUMIFS('декабрь 2025'!$G$2:$G$2730,'декабрь 2025'!$D$2:$D$2730,$B174,'декабрь 2025'!$J$2:$J$2730,L$1)</f>
        <v>0</v>
      </c>
      <c r="M174" s="183">
        <f>SUMIFS('декабрь 2025'!$G$2:$G$2730,'декабрь 2025'!$D$2:$D$2730,$B174,'декабрь 2025'!$J$2:$J$2730,M$1)</f>
        <v>0</v>
      </c>
      <c r="N174" s="183">
        <f>SUMIFS('декабрь 2025'!$G$2:$G$2730,'декабрь 2025'!$D$2:$D$2730,$B174,'декабрь 2025'!$J$2:$J$2730,N$1)</f>
        <v>0</v>
      </c>
      <c r="O174" s="183">
        <f>SUMIFS('декабрь 2025'!$G$2:$G$2730,'декабрь 2025'!$D$2:$D$2730,$B174,'декабрь 2025'!$J$2:$J$2730,O$1)</f>
        <v>0</v>
      </c>
      <c r="P174" s="183">
        <f>SUMIFS('декабрь 2025'!$G$2:$G$2730,'декабрь 2025'!$D$2:$D$2730,$B174,'декабрь 2025'!$J$2:$J$2730,P$1)</f>
        <v>0</v>
      </c>
      <c r="Q174" s="183">
        <f>SUMIFS('декабрь 2025'!$G$2:$G$2730,'декабрь 2025'!$D$2:$D$2730,$B174,'декабрь 2025'!$J$2:$J$2730,Q$1)</f>
        <v>0</v>
      </c>
      <c r="R174" s="183">
        <f>SUMIFS('декабрь 2025'!$G$2:$G$2730,'декабрь 2025'!$D$2:$D$2730,$B174,'декабрь 2025'!$J$2:$J$2730,R$1)</f>
        <v>0</v>
      </c>
      <c r="S174" s="183">
        <f>SUMIFS('декабрь 2025'!$G$2:$G$2730,'декабрь 2025'!$D$2:$D$2730,$B174,'декабрь 2025'!$J$2:$J$2730,S$1)</f>
        <v>0</v>
      </c>
      <c r="T174" s="183">
        <f>SUMIFS('декабрь 2025'!$G$2:$G$2730,'декабрь 2025'!$D$2:$D$2730,$B174,'декабрь 2025'!$J$2:$J$2730,T$1)</f>
        <v>0</v>
      </c>
      <c r="U174" s="183">
        <f>SUMIFS('декабрь 2025'!$G$2:$G$2730,'декабрь 2025'!$D$2:$D$2730,$B174,'декабрь 2025'!$J$2:$J$2730,U$1)</f>
        <v>0</v>
      </c>
      <c r="V174" s="183">
        <f>SUMIFS('декабрь 2025'!$G$2:$G$2730,'декабрь 2025'!$D$2:$D$2730,$B174,'декабрь 2025'!$J$2:$J$2730,V$1)</f>
        <v>0</v>
      </c>
      <c r="W174" s="183">
        <f>SUMIFS('декабрь 2025'!$G$2:$G$2730,'декабрь 2025'!$D$2:$D$2730,$B174,'декабрь 2025'!$J$2:$J$2730,W$1)</f>
        <v>0</v>
      </c>
      <c r="X174" s="183">
        <f>SUMIFS('декабрь 2025'!$G$2:$G$2730,'декабрь 2025'!$D$2:$D$2730,$B174,'декабрь 2025'!$J$2:$J$2730,X$1)</f>
        <v>0</v>
      </c>
      <c r="Y174" s="183">
        <f>SUMIFS('декабрь 2025'!$G$2:$G$2730,'декабрь 2025'!$D$2:$D$2730,$B174,'декабрь 2025'!$J$2:$J$2730,Y$1)</f>
        <v>0</v>
      </c>
      <c r="Z174" s="183">
        <f>SUMIFS('декабрь 2025'!$G$2:$G$2730,'декабрь 2025'!$D$2:$D$2730,$B174,'декабрь 2025'!$J$2:$J$2730,Z$1)</f>
        <v>0</v>
      </c>
      <c r="AA174" s="183">
        <f>SUMIFS('декабрь 2025'!$G$2:$G$2730,'декабрь 2025'!$D$2:$D$2730,$B174,'декабрь 2025'!$J$2:$J$2730,AA$1)</f>
        <v>0</v>
      </c>
      <c r="AB174" s="183">
        <f>SUMIFS('декабрь 2025'!$G$2:$G$2730,'декабрь 2025'!$D$2:$D$2730,$B174,'декабрь 2025'!$J$2:$J$2730,AB$1)</f>
        <v>0</v>
      </c>
      <c r="AC174" s="183">
        <f>SUMIFS('декабрь 2025'!$G$2:$G$2730,'декабрь 2025'!$D$2:$D$2730,$B174,'декабрь 2025'!$J$2:$J$2730,AC$1)</f>
        <v>0</v>
      </c>
      <c r="AD174" s="183">
        <f>SUMIFS('декабрь 2025'!$G$2:$G$2730,'декабрь 2025'!$D$2:$D$2730,$B174,'декабрь 2025'!$J$2:$J$2730,AD$1)</f>
        <v>0</v>
      </c>
      <c r="AE174" s="183">
        <f>SUMIFS('декабрь 2025'!$G$2:$G$2730,'декабрь 2025'!$D$2:$D$2730,$B174,'декабрь 2025'!$J$2:$J$2730,AE$1)</f>
        <v>0</v>
      </c>
      <c r="AF174" s="183">
        <f>SUMIFS('декабрь 2025'!$G$2:$G$2730,'декабрь 2025'!$D$2:$D$2730,$B174,'декабрь 2025'!$J$2:$J$2730,AF$1)</f>
        <v>0</v>
      </c>
      <c r="AG174" s="183">
        <f>SUMIFS('декабрь 2025'!$G$2:$G$2730,'декабрь 2025'!$D$2:$D$2730,$B174,'декабрь 2025'!$J$2:$J$2730,AG$1)</f>
        <v>0</v>
      </c>
      <c r="AH174" s="183">
        <f>SUMIFS('декабрь 2025'!$G$2:$G$2730,'декабрь 2025'!$D$2:$D$2730,$B174,'декабрь 2025'!$J$2:$J$2730,AH$1)</f>
        <v>0</v>
      </c>
      <c r="AI174" s="20">
        <f t="shared" si="3"/>
        <v>0</v>
      </c>
    </row>
    <row r="175" spans="2:35" ht="15" customHeight="1" x14ac:dyDescent="0.25">
      <c r="B175" s="84"/>
      <c r="C175" s="83"/>
      <c r="D175" s="183">
        <f>SUMIFS('июнь 2025'!$G$5:$G$2470,'июнь 2025'!$D$5:$D$2470,$B175,'июнь 2025'!$J$5:$J$2470,D$1)</f>
        <v>0</v>
      </c>
      <c r="E175" s="183">
        <f>SUMIFS('июнь 2025'!$G$5:$G$2470,'июнь 2025'!$D$5:$D$2470,$B175,'июнь 2025'!$J$5:$J$2470,E$1)</f>
        <v>0</v>
      </c>
      <c r="F175" s="183">
        <f>SUMIFS('июнь 2025'!$G$5:$G$2470,'июнь 2025'!$D$5:$D$2470,$B175,'июнь 2025'!$J$5:$J$2470,F$1)</f>
        <v>0</v>
      </c>
      <c r="G175" s="183">
        <f>SUMIFS('июнь 2025'!$G$5:$G$2470,'июнь 2025'!$D$5:$D$2470,$B175,'июнь 2025'!$J$5:$J$2470,G$1)</f>
        <v>0</v>
      </c>
      <c r="H175" s="183">
        <f>SUMIFS('июнь 2025'!$G$5:$G$2470,'июнь 2025'!$D$5:$D$2470,$B175,'июнь 2025'!$J$5:$J$2470,H$1)</f>
        <v>0</v>
      </c>
      <c r="I175" s="183">
        <f>SUMIFS('июнь 2025'!$G$5:$G$2470,'июнь 2025'!$D$5:$D$2470,$B175,'июнь 2025'!$J$5:$J$2470,I$1)</f>
        <v>0</v>
      </c>
      <c r="J175" s="183">
        <f>SUMIFS('июнь 2025'!$G$5:$G$2470,'июнь 2025'!$D$5:$D$2470,$B175,'июнь 2025'!$J$5:$J$2470,J$1)</f>
        <v>0</v>
      </c>
      <c r="K175" s="183">
        <f>SUMIFS('июнь 2025'!$G$5:$G$2470,'июнь 2025'!$D$5:$D$2470,$B175,'июнь 2025'!$J$5:$J$2470,K$1)</f>
        <v>0</v>
      </c>
      <c r="L175" s="183">
        <f>SUMIFS('июнь 2025'!$G$5:$G$2470,'июнь 2025'!$D$5:$D$2470,$B175,'июнь 2025'!$J$5:$J$2470,L$1)</f>
        <v>0</v>
      </c>
      <c r="M175" s="183">
        <f>SUMIFS('июнь 2025'!$G$5:$G$2470,'июнь 2025'!$D$5:$D$2470,$B175,'июнь 2025'!$J$5:$J$2470,M$1)</f>
        <v>0</v>
      </c>
      <c r="N175" s="183">
        <f>SUMIFS('июнь 2025'!$G$5:$G$2470,'июнь 2025'!$D$5:$D$2470,$B175,'июнь 2025'!$J$5:$J$2470,N$1)</f>
        <v>0</v>
      </c>
      <c r="O175" s="183">
        <f>SUMIFS('июнь 2025'!$G$5:$G$2470,'июнь 2025'!$D$5:$D$2470,$B175,'июнь 2025'!$J$5:$J$2470,O$1)</f>
        <v>0</v>
      </c>
      <c r="P175" s="183">
        <f>SUMIFS('июнь 2025'!$G$5:$G$2470,'июнь 2025'!$D$5:$D$2470,$B175,'июнь 2025'!$J$5:$J$2470,P$1)</f>
        <v>0</v>
      </c>
      <c r="Q175" s="183">
        <f>SUMIFS('июнь 2025'!$G$5:$G$2470,'июнь 2025'!$D$5:$D$2470,$B175,'июнь 2025'!$J$5:$J$2470,Q$1)</f>
        <v>0</v>
      </c>
      <c r="R175" s="183">
        <f>SUMIFS('июнь 2025'!$G$5:$G$2470,'июнь 2025'!$D$5:$D$2470,$B175,'июнь 2025'!$J$5:$J$2470,R$1)</f>
        <v>0</v>
      </c>
      <c r="S175" s="183">
        <f>SUMIFS('июнь 2025'!$G$5:$G$2470,'июнь 2025'!$D$5:$D$2470,$B175,'июнь 2025'!$J$5:$J$2470,S$1)</f>
        <v>0</v>
      </c>
      <c r="T175" s="183">
        <f>SUMIFS('июнь 2025'!$G$5:$G$2470,'июнь 2025'!$D$5:$D$2470,$B175,'июнь 2025'!$J$5:$J$2470,T$1)</f>
        <v>0</v>
      </c>
      <c r="U175" s="183">
        <f>SUMIFS('июнь 2025'!$G$5:$G$2470,'июнь 2025'!$D$5:$D$2470,$B175,'июнь 2025'!$J$5:$J$2470,U$1)</f>
        <v>0</v>
      </c>
      <c r="V175" s="183">
        <f>SUMIFS('июнь 2025'!$G$5:$G$2470,'июнь 2025'!$D$5:$D$2470,$B175,'июнь 2025'!$J$5:$J$2470,V$1)</f>
        <v>0</v>
      </c>
      <c r="W175" s="183">
        <f>SUMIFS('июнь 2025'!$G$5:$G$2470,'июнь 2025'!$D$5:$D$2470,$B175,'июнь 2025'!$J$5:$J$2470,W$1)</f>
        <v>0</v>
      </c>
      <c r="X175" s="183">
        <f>SUMIFS('июнь 2025'!$G$5:$G$2470,'июнь 2025'!$D$5:$D$2470,$B175,'июнь 2025'!$J$5:$J$2470,X$1)</f>
        <v>0</v>
      </c>
      <c r="Y175" s="183">
        <f>SUMIFS('июнь 2025'!$G$5:$G$2470,'июнь 2025'!$D$5:$D$2470,$B175,'июнь 2025'!$J$5:$J$2470,Y$1)</f>
        <v>0</v>
      </c>
      <c r="Z175" s="183">
        <f>SUMIFS('июнь 2025'!$G$5:$G$2470,'июнь 2025'!$D$5:$D$2470,$B175,'июнь 2025'!$J$5:$J$2470,Z$1)</f>
        <v>0</v>
      </c>
      <c r="AA175" s="183">
        <f>SUMIFS('июнь 2025'!$G$5:$G$2470,'июнь 2025'!$D$5:$D$2470,$B175,'июнь 2025'!$J$5:$J$2470,AA$1)</f>
        <v>0</v>
      </c>
      <c r="AB175" s="183">
        <f>SUMIFS('июнь 2025'!$G$5:$G$2470,'июнь 2025'!$D$5:$D$2470,$B175,'июнь 2025'!$J$5:$J$2470,AB$1)</f>
        <v>0</v>
      </c>
      <c r="AC175" s="183">
        <f>SUMIFS('июнь 2025'!$G$5:$G$2470,'июнь 2025'!$D$5:$D$2470,$B175,'июнь 2025'!$J$5:$J$2470,AC$1)</f>
        <v>0</v>
      </c>
      <c r="AD175" s="183">
        <f>SUMIFS('июнь 2025'!$G$5:$G$2470,'июнь 2025'!$D$5:$D$2470,$B175,'июнь 2025'!$J$5:$J$2470,AD$1)</f>
        <v>0</v>
      </c>
      <c r="AE175" s="183">
        <f>SUMIFS('июнь 2025'!$G$5:$G$2470,'июнь 2025'!$D$5:$D$2470,$B175,'июнь 2025'!$J$5:$J$2470,AE$1)</f>
        <v>0</v>
      </c>
      <c r="AF175" s="183">
        <f>SUMIFS('июнь 2025'!$G$5:$G$2470,'июнь 2025'!$D$5:$D$2470,$B175,'июнь 2025'!$J$5:$J$2470,AF$1)</f>
        <v>0</v>
      </c>
      <c r="AG175" s="183">
        <f>SUMIFS('июнь 2025'!$G$5:$G$2470,'июнь 2025'!$D$5:$D$2470,$B175,'июнь 2025'!$J$5:$J$2470,AG$1)</f>
        <v>0</v>
      </c>
      <c r="AH175" s="183">
        <f>SUMIFS('июнь 2025'!$G$5:$G$2470,'июнь 2025'!$D$5:$D$2470,$B175,'июнь 2025'!$J$5:$J$2470,AH$1)</f>
        <v>0</v>
      </c>
      <c r="AI175" s="20"/>
    </row>
    <row r="176" spans="2:35" ht="15" customHeight="1" x14ac:dyDescent="0.25">
      <c r="B176" s="84"/>
      <c r="C176" s="83"/>
      <c r="D176" s="183">
        <f>SUMIFS('июнь 2025'!$G$5:$G$2470,'июнь 2025'!$D$5:$D$2470,$B176,'июнь 2025'!$J$5:$J$2470,D$1)</f>
        <v>0</v>
      </c>
      <c r="E176" s="183">
        <f>SUMIFS('июнь 2025'!$G$5:$G$2470,'июнь 2025'!$D$5:$D$2470,$B176,'июнь 2025'!$J$5:$J$2470,E$1)</f>
        <v>0</v>
      </c>
      <c r="F176" s="183">
        <f>SUMIFS('июнь 2025'!$G$5:$G$2470,'июнь 2025'!$D$5:$D$2470,$B176,'июнь 2025'!$J$5:$J$2470,F$1)</f>
        <v>0</v>
      </c>
      <c r="G176" s="183">
        <f>SUMIFS('июнь 2025'!$G$5:$G$2470,'июнь 2025'!$D$5:$D$2470,$B176,'июнь 2025'!$J$5:$J$2470,G$1)</f>
        <v>0</v>
      </c>
      <c r="H176" s="183">
        <f>SUMIFS('июнь 2025'!$G$5:$G$2470,'июнь 2025'!$D$5:$D$2470,$B176,'июнь 2025'!$J$5:$J$2470,H$1)</f>
        <v>0</v>
      </c>
      <c r="I176" s="183">
        <f>SUMIFS('июнь 2025'!$G$5:$G$2470,'июнь 2025'!$D$5:$D$2470,$B176,'июнь 2025'!$J$5:$J$2470,I$1)</f>
        <v>0</v>
      </c>
      <c r="J176" s="183">
        <f>SUMIFS('июнь 2025'!$G$5:$G$2470,'июнь 2025'!$D$5:$D$2470,$B176,'июнь 2025'!$J$5:$J$2470,J$1)</f>
        <v>0</v>
      </c>
      <c r="K176" s="183">
        <f>SUMIFS('июнь 2025'!$G$5:$G$2470,'июнь 2025'!$D$5:$D$2470,$B176,'июнь 2025'!$J$5:$J$2470,K$1)</f>
        <v>0</v>
      </c>
      <c r="L176" s="183">
        <f>SUMIFS('июнь 2025'!$G$5:$G$2470,'июнь 2025'!$D$5:$D$2470,$B176,'июнь 2025'!$J$5:$J$2470,L$1)</f>
        <v>0</v>
      </c>
      <c r="M176" s="183">
        <f>SUMIFS('июнь 2025'!$G$5:$G$2470,'июнь 2025'!$D$5:$D$2470,$B176,'июнь 2025'!$J$5:$J$2470,M$1)</f>
        <v>0</v>
      </c>
      <c r="N176" s="183">
        <f>SUMIFS('июнь 2025'!$G$5:$G$2470,'июнь 2025'!$D$5:$D$2470,$B176,'июнь 2025'!$J$5:$J$2470,N$1)</f>
        <v>0</v>
      </c>
      <c r="O176" s="183">
        <f>SUMIFS('июнь 2025'!$G$5:$G$2470,'июнь 2025'!$D$5:$D$2470,$B176,'июнь 2025'!$J$5:$J$2470,O$1)</f>
        <v>0</v>
      </c>
      <c r="P176" s="183">
        <f>SUMIFS('июнь 2025'!$G$5:$G$2470,'июнь 2025'!$D$5:$D$2470,$B176,'июнь 2025'!$J$5:$J$2470,P$1)</f>
        <v>0</v>
      </c>
      <c r="Q176" s="183">
        <f>SUMIFS('июнь 2025'!$G$5:$G$2470,'июнь 2025'!$D$5:$D$2470,$B176,'июнь 2025'!$J$5:$J$2470,Q$1)</f>
        <v>0</v>
      </c>
      <c r="R176" s="183">
        <f>SUMIFS('июнь 2025'!$G$5:$G$2470,'июнь 2025'!$D$5:$D$2470,$B176,'июнь 2025'!$J$5:$J$2470,R$1)</f>
        <v>0</v>
      </c>
      <c r="S176" s="183">
        <f>SUMIFS('июнь 2025'!$G$5:$G$2470,'июнь 2025'!$D$5:$D$2470,$B176,'июнь 2025'!$J$5:$J$2470,S$1)</f>
        <v>0</v>
      </c>
      <c r="T176" s="183">
        <f>SUMIFS('июнь 2025'!$G$5:$G$2470,'июнь 2025'!$D$5:$D$2470,$B176,'июнь 2025'!$J$5:$J$2470,T$1)</f>
        <v>0</v>
      </c>
      <c r="U176" s="183">
        <f>SUMIFS('июнь 2025'!$G$5:$G$2470,'июнь 2025'!$D$5:$D$2470,$B176,'июнь 2025'!$J$5:$J$2470,U$1)</f>
        <v>0</v>
      </c>
      <c r="V176" s="183">
        <f>SUMIFS('июнь 2025'!$G$5:$G$2470,'июнь 2025'!$D$5:$D$2470,$B176,'июнь 2025'!$J$5:$J$2470,V$1)</f>
        <v>0</v>
      </c>
      <c r="W176" s="183">
        <f>SUMIFS('июнь 2025'!$G$5:$G$2470,'июнь 2025'!$D$5:$D$2470,$B176,'июнь 2025'!$J$5:$J$2470,W$1)</f>
        <v>0</v>
      </c>
      <c r="X176" s="183">
        <f>SUMIFS('июнь 2025'!$G$5:$G$2470,'июнь 2025'!$D$5:$D$2470,$B176,'июнь 2025'!$J$5:$J$2470,X$1)</f>
        <v>0</v>
      </c>
      <c r="Y176" s="183">
        <f>SUMIFS('июнь 2025'!$G$5:$G$2470,'июнь 2025'!$D$5:$D$2470,$B176,'июнь 2025'!$J$5:$J$2470,Y$1)</f>
        <v>0</v>
      </c>
      <c r="Z176" s="183">
        <f>SUMIFS('июнь 2025'!$G$5:$G$2470,'июнь 2025'!$D$5:$D$2470,$B176,'июнь 2025'!$J$5:$J$2470,Z$1)</f>
        <v>0</v>
      </c>
      <c r="AA176" s="183">
        <f>SUMIFS('июнь 2025'!$G$5:$G$2470,'июнь 2025'!$D$5:$D$2470,$B176,'июнь 2025'!$J$5:$J$2470,AA$1)</f>
        <v>0</v>
      </c>
      <c r="AB176" s="183">
        <f>SUMIFS('июнь 2025'!$G$5:$G$2470,'июнь 2025'!$D$5:$D$2470,$B176,'июнь 2025'!$J$5:$J$2470,AB$1)</f>
        <v>0</v>
      </c>
      <c r="AC176" s="183">
        <f>SUMIFS('июнь 2025'!$G$5:$G$2470,'июнь 2025'!$D$5:$D$2470,$B176,'июнь 2025'!$J$5:$J$2470,AC$1)</f>
        <v>0</v>
      </c>
      <c r="AD176" s="183">
        <f>SUMIFS('июнь 2025'!$G$5:$G$2470,'июнь 2025'!$D$5:$D$2470,$B176,'июнь 2025'!$J$5:$J$2470,AD$1)</f>
        <v>0</v>
      </c>
      <c r="AE176" s="183">
        <f>SUMIFS('июнь 2025'!$G$5:$G$2470,'июнь 2025'!$D$5:$D$2470,$B176,'июнь 2025'!$J$5:$J$2470,AE$1)</f>
        <v>0</v>
      </c>
      <c r="AF176" s="183">
        <f>SUMIFS('июнь 2025'!$G$5:$G$2470,'июнь 2025'!$D$5:$D$2470,$B176,'июнь 2025'!$J$5:$J$2470,AF$1)</f>
        <v>0</v>
      </c>
      <c r="AG176" s="183">
        <f>SUMIFS('июнь 2025'!$G$5:$G$2470,'июнь 2025'!$D$5:$D$2470,$B176,'июнь 2025'!$J$5:$J$2470,AG$1)</f>
        <v>0</v>
      </c>
      <c r="AH176" s="183">
        <f>SUMIFS('июнь 2025'!$G$5:$G$2470,'июнь 2025'!$D$5:$D$2470,$B176,'июнь 2025'!$J$5:$J$2470,AH$1)</f>
        <v>0</v>
      </c>
      <c r="AI176" s="20"/>
    </row>
    <row r="177" spans="2:35" ht="15" customHeight="1" x14ac:dyDescent="0.25">
      <c r="B177" s="84"/>
      <c r="C177" s="83"/>
      <c r="D177" s="183">
        <f>SUMIFS('июнь 2025'!$G$5:$G$2470,'июнь 2025'!$D$5:$D$2470,$B177,'июнь 2025'!$J$5:$J$2470,D$1)</f>
        <v>0</v>
      </c>
      <c r="E177" s="183">
        <f>SUMIFS('июнь 2025'!$G$5:$G$2470,'июнь 2025'!$D$5:$D$2470,$B177,'июнь 2025'!$J$5:$J$2470,E$1)</f>
        <v>0</v>
      </c>
      <c r="F177" s="183">
        <f>SUMIFS('июнь 2025'!$G$5:$G$2470,'июнь 2025'!$D$5:$D$2470,$B177,'июнь 2025'!$J$5:$J$2470,F$1)</f>
        <v>0</v>
      </c>
      <c r="G177" s="183">
        <f>SUMIFS('июнь 2025'!$G$5:$G$2470,'июнь 2025'!$D$5:$D$2470,$B177,'июнь 2025'!$J$5:$J$2470,G$1)</f>
        <v>0</v>
      </c>
      <c r="H177" s="183">
        <f>SUMIFS('июнь 2025'!$G$5:$G$2470,'июнь 2025'!$D$5:$D$2470,$B177,'июнь 2025'!$J$5:$J$2470,H$1)</f>
        <v>0</v>
      </c>
      <c r="I177" s="183">
        <f>SUMIFS('июнь 2025'!$G$5:$G$2470,'июнь 2025'!$D$5:$D$2470,$B177,'июнь 2025'!$J$5:$J$2470,I$1)</f>
        <v>0</v>
      </c>
      <c r="J177" s="183">
        <f>SUMIFS('июнь 2025'!$G$5:$G$2470,'июнь 2025'!$D$5:$D$2470,$B177,'июнь 2025'!$J$5:$J$2470,J$1)</f>
        <v>0</v>
      </c>
      <c r="K177" s="183">
        <f>SUMIFS('июнь 2025'!$G$5:$G$2470,'июнь 2025'!$D$5:$D$2470,$B177,'июнь 2025'!$J$5:$J$2470,K$1)</f>
        <v>0</v>
      </c>
      <c r="L177" s="183">
        <f>SUMIFS('июнь 2025'!$G$5:$G$2470,'июнь 2025'!$D$5:$D$2470,$B177,'июнь 2025'!$J$5:$J$2470,L$1)</f>
        <v>0</v>
      </c>
      <c r="M177" s="183">
        <f>SUMIFS('июнь 2025'!$G$5:$G$2470,'июнь 2025'!$D$5:$D$2470,$B177,'июнь 2025'!$J$5:$J$2470,M$1)</f>
        <v>0</v>
      </c>
      <c r="N177" s="183">
        <f>SUMIFS('июнь 2025'!$G$5:$G$2470,'июнь 2025'!$D$5:$D$2470,$B177,'июнь 2025'!$J$5:$J$2470,N$1)</f>
        <v>0</v>
      </c>
      <c r="O177" s="183">
        <f>SUMIFS('июнь 2025'!$G$5:$G$2470,'июнь 2025'!$D$5:$D$2470,$B177,'июнь 2025'!$J$5:$J$2470,O$1)</f>
        <v>0</v>
      </c>
      <c r="P177" s="183">
        <f>SUMIFS('июнь 2025'!$G$5:$G$2470,'июнь 2025'!$D$5:$D$2470,$B177,'июнь 2025'!$J$5:$J$2470,P$1)</f>
        <v>0</v>
      </c>
      <c r="Q177" s="183">
        <f>SUMIFS('июнь 2025'!$G$5:$G$2470,'июнь 2025'!$D$5:$D$2470,$B177,'июнь 2025'!$J$5:$J$2470,Q$1)</f>
        <v>0</v>
      </c>
      <c r="R177" s="183">
        <f>SUMIFS('июнь 2025'!$G$5:$G$2470,'июнь 2025'!$D$5:$D$2470,$B177,'июнь 2025'!$J$5:$J$2470,R$1)</f>
        <v>0</v>
      </c>
      <c r="S177" s="183">
        <f>SUMIFS('июнь 2025'!$G$5:$G$2470,'июнь 2025'!$D$5:$D$2470,$B177,'июнь 2025'!$J$5:$J$2470,S$1)</f>
        <v>0</v>
      </c>
      <c r="T177" s="183">
        <f>SUMIFS('июнь 2025'!$G$5:$G$2470,'июнь 2025'!$D$5:$D$2470,$B177,'июнь 2025'!$J$5:$J$2470,T$1)</f>
        <v>0</v>
      </c>
      <c r="U177" s="183">
        <f>SUMIFS('июнь 2025'!$G$5:$G$2470,'июнь 2025'!$D$5:$D$2470,$B177,'июнь 2025'!$J$5:$J$2470,U$1)</f>
        <v>0</v>
      </c>
      <c r="V177" s="183">
        <f>SUMIFS('июнь 2025'!$G$5:$G$2470,'июнь 2025'!$D$5:$D$2470,$B177,'июнь 2025'!$J$5:$J$2470,V$1)</f>
        <v>0</v>
      </c>
      <c r="W177" s="183">
        <f>SUMIFS('июнь 2025'!$G$5:$G$2470,'июнь 2025'!$D$5:$D$2470,$B177,'июнь 2025'!$J$5:$J$2470,W$1)</f>
        <v>0</v>
      </c>
      <c r="X177" s="183">
        <f>SUMIFS('июнь 2025'!$G$5:$G$2470,'июнь 2025'!$D$5:$D$2470,$B177,'июнь 2025'!$J$5:$J$2470,X$1)</f>
        <v>0</v>
      </c>
      <c r="Y177" s="183">
        <f>SUMIFS('июнь 2025'!$G$5:$G$2470,'июнь 2025'!$D$5:$D$2470,$B177,'июнь 2025'!$J$5:$J$2470,Y$1)</f>
        <v>0</v>
      </c>
      <c r="Z177" s="183">
        <f>SUMIFS('июнь 2025'!$G$5:$G$2470,'июнь 2025'!$D$5:$D$2470,$B177,'июнь 2025'!$J$5:$J$2470,Z$1)</f>
        <v>0</v>
      </c>
      <c r="AA177" s="183">
        <f>SUMIFS('июнь 2025'!$G$5:$G$2470,'июнь 2025'!$D$5:$D$2470,$B177,'июнь 2025'!$J$5:$J$2470,AA$1)</f>
        <v>0</v>
      </c>
      <c r="AB177" s="183">
        <f>SUMIFS('июнь 2025'!$G$5:$G$2470,'июнь 2025'!$D$5:$D$2470,$B177,'июнь 2025'!$J$5:$J$2470,AB$1)</f>
        <v>0</v>
      </c>
      <c r="AC177" s="183">
        <f>SUMIFS('июнь 2025'!$G$5:$G$2470,'июнь 2025'!$D$5:$D$2470,$B177,'июнь 2025'!$J$5:$J$2470,AC$1)</f>
        <v>0</v>
      </c>
      <c r="AD177" s="183">
        <f>SUMIFS('июнь 2025'!$G$5:$G$2470,'июнь 2025'!$D$5:$D$2470,$B177,'июнь 2025'!$J$5:$J$2470,AD$1)</f>
        <v>0</v>
      </c>
      <c r="AE177" s="183">
        <f>SUMIFS('июнь 2025'!$G$5:$G$2470,'июнь 2025'!$D$5:$D$2470,$B177,'июнь 2025'!$J$5:$J$2470,AE$1)</f>
        <v>0</v>
      </c>
      <c r="AF177" s="183">
        <f>SUMIFS('июнь 2025'!$G$5:$G$2470,'июнь 2025'!$D$5:$D$2470,$B177,'июнь 2025'!$J$5:$J$2470,AF$1)</f>
        <v>0</v>
      </c>
      <c r="AG177" s="183">
        <f>SUMIFS('июнь 2025'!$G$5:$G$2470,'июнь 2025'!$D$5:$D$2470,$B177,'июнь 2025'!$J$5:$J$2470,AG$1)</f>
        <v>0</v>
      </c>
      <c r="AH177" s="183">
        <f>SUMIFS('июнь 2025'!$G$5:$G$2470,'июнь 2025'!$D$5:$D$2470,$B177,'июнь 2025'!$J$5:$J$2470,AH$1)</f>
        <v>0</v>
      </c>
      <c r="AI177" s="20"/>
    </row>
    <row r="178" spans="2:35" ht="15" customHeight="1" x14ac:dyDescent="0.25">
      <c r="B178" s="84"/>
      <c r="C178" s="83"/>
      <c r="D178" s="183"/>
      <c r="E178" s="183"/>
      <c r="F178" s="183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  <c r="AA178" s="183"/>
      <c r="AB178" s="183"/>
      <c r="AC178" s="183"/>
      <c r="AD178" s="183"/>
      <c r="AE178" s="183"/>
      <c r="AF178" s="183"/>
      <c r="AG178" s="183"/>
      <c r="AH178" s="183"/>
      <c r="AI178" s="20"/>
    </row>
    <row r="179" spans="2:35" ht="15" customHeight="1" x14ac:dyDescent="0.25">
      <c r="B179" s="84"/>
      <c r="C179" s="83"/>
      <c r="D179" s="183"/>
      <c r="E179" s="183"/>
      <c r="F179" s="183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  <c r="AA179" s="183"/>
      <c r="AB179" s="183"/>
      <c r="AC179" s="183"/>
      <c r="AD179" s="183"/>
      <c r="AE179" s="183"/>
      <c r="AF179" s="183"/>
      <c r="AG179" s="183"/>
      <c r="AH179" s="183"/>
      <c r="AI179" s="20"/>
    </row>
    <row r="180" spans="2:35" ht="15" customHeight="1" x14ac:dyDescent="0.25">
      <c r="B180" s="84"/>
      <c r="C180" s="83"/>
      <c r="D180" s="183"/>
      <c r="E180" s="183"/>
      <c r="F180" s="183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  <c r="AA180" s="183"/>
      <c r="AB180" s="183"/>
      <c r="AC180" s="183"/>
      <c r="AD180" s="183"/>
      <c r="AE180" s="183"/>
      <c r="AF180" s="183"/>
      <c r="AG180" s="183"/>
      <c r="AH180" s="183"/>
      <c r="AI180" s="20"/>
    </row>
    <row r="181" spans="2:35" ht="15" customHeight="1" x14ac:dyDescent="0.25">
      <c r="B181" s="84"/>
      <c r="C181" s="83"/>
      <c r="D181" s="183"/>
      <c r="E181" s="183"/>
      <c r="F181" s="183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  <c r="AA181" s="183"/>
      <c r="AB181" s="183"/>
      <c r="AC181" s="183"/>
      <c r="AD181" s="183"/>
      <c r="AE181" s="183"/>
      <c r="AF181" s="183"/>
      <c r="AG181" s="183"/>
      <c r="AH181" s="183"/>
      <c r="AI181" s="20"/>
    </row>
    <row r="182" spans="2:35" ht="15" customHeight="1" x14ac:dyDescent="0.25">
      <c r="B182" s="84"/>
      <c r="C182" s="83"/>
      <c r="D182" s="183"/>
      <c r="E182" s="183"/>
      <c r="F182" s="183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  <c r="AA182" s="183"/>
      <c r="AB182" s="183"/>
      <c r="AC182" s="183"/>
      <c r="AD182" s="183"/>
      <c r="AE182" s="183"/>
      <c r="AF182" s="183"/>
      <c r="AG182" s="183"/>
      <c r="AH182" s="183"/>
      <c r="AI182" s="20"/>
    </row>
    <row r="183" spans="2:35" ht="15" customHeight="1" x14ac:dyDescent="0.25">
      <c r="B183" s="84"/>
      <c r="C183" s="83"/>
      <c r="D183" s="183"/>
      <c r="E183" s="183"/>
      <c r="F183" s="183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  <c r="AA183" s="183"/>
      <c r="AB183" s="183"/>
      <c r="AC183" s="183"/>
      <c r="AD183" s="183"/>
      <c r="AE183" s="183"/>
      <c r="AF183" s="183"/>
      <c r="AG183" s="183"/>
      <c r="AH183" s="183"/>
      <c r="AI183" s="20"/>
    </row>
    <row r="184" spans="2:35" ht="15" customHeight="1" x14ac:dyDescent="0.25">
      <c r="B184" s="84"/>
      <c r="C184" s="83"/>
      <c r="D184" s="183"/>
      <c r="E184" s="183"/>
      <c r="F184" s="183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  <c r="AA184" s="183"/>
      <c r="AB184" s="183"/>
      <c r="AC184" s="183"/>
      <c r="AD184" s="183"/>
      <c r="AE184" s="183"/>
      <c r="AF184" s="183"/>
      <c r="AG184" s="183"/>
      <c r="AH184" s="183"/>
      <c r="AI184" s="20"/>
    </row>
    <row r="185" spans="2:35" ht="15" customHeight="1" x14ac:dyDescent="0.25">
      <c r="B185" s="84"/>
      <c r="C185" s="83"/>
      <c r="D185" s="183"/>
      <c r="E185" s="183"/>
      <c r="F185" s="183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  <c r="AA185" s="183"/>
      <c r="AB185" s="183"/>
      <c r="AC185" s="183"/>
      <c r="AD185" s="183"/>
      <c r="AE185" s="183"/>
      <c r="AF185" s="183"/>
      <c r="AG185" s="183"/>
      <c r="AH185" s="183"/>
      <c r="AI185" s="20"/>
    </row>
    <row r="186" spans="2:35" ht="15" customHeight="1" x14ac:dyDescent="0.25">
      <c r="B186" s="84"/>
      <c r="C186" s="83"/>
      <c r="D186" s="183"/>
      <c r="E186" s="183"/>
      <c r="F186" s="183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  <c r="AA186" s="183"/>
      <c r="AB186" s="183"/>
      <c r="AC186" s="183"/>
      <c r="AD186" s="183"/>
      <c r="AE186" s="183"/>
      <c r="AF186" s="183"/>
      <c r="AG186" s="183"/>
      <c r="AH186" s="183"/>
      <c r="AI186" s="20"/>
    </row>
    <row r="187" spans="2:35" ht="15" customHeight="1" x14ac:dyDescent="0.25">
      <c r="B187" s="84"/>
      <c r="C187" s="83"/>
      <c r="D187" s="183"/>
      <c r="E187" s="183"/>
      <c r="F187" s="183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  <c r="AA187" s="183"/>
      <c r="AB187" s="183"/>
      <c r="AC187" s="183"/>
      <c r="AD187" s="183"/>
      <c r="AE187" s="183"/>
      <c r="AF187" s="183"/>
      <c r="AG187" s="183"/>
      <c r="AH187" s="183"/>
      <c r="AI187" s="20"/>
    </row>
    <row r="188" spans="2:35" ht="15" customHeight="1" x14ac:dyDescent="0.25">
      <c r="B188" s="84"/>
      <c r="C188" s="83"/>
      <c r="D188" s="183"/>
      <c r="E188" s="183"/>
      <c r="F188" s="183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  <c r="AA188" s="183"/>
      <c r="AB188" s="183"/>
      <c r="AC188" s="183"/>
      <c r="AD188" s="183"/>
      <c r="AE188" s="183"/>
      <c r="AF188" s="183"/>
      <c r="AG188" s="183"/>
      <c r="AH188" s="183"/>
      <c r="AI188" s="20"/>
    </row>
    <row r="189" spans="2:35" ht="15" customHeight="1" x14ac:dyDescent="0.25">
      <c r="B189" s="84"/>
      <c r="C189" s="83"/>
      <c r="D189" s="183"/>
      <c r="E189" s="183"/>
      <c r="F189" s="183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  <c r="AA189" s="183"/>
      <c r="AB189" s="183"/>
      <c r="AC189" s="183"/>
      <c r="AD189" s="183"/>
      <c r="AE189" s="183"/>
      <c r="AF189" s="183"/>
      <c r="AG189" s="183"/>
      <c r="AH189" s="183"/>
      <c r="AI189" s="20"/>
    </row>
    <row r="190" spans="2:35" ht="15" customHeight="1" x14ac:dyDescent="0.25">
      <c r="B190" s="84"/>
      <c r="C190" s="83"/>
      <c r="D190" s="183"/>
      <c r="E190" s="183"/>
      <c r="F190" s="183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  <c r="AA190" s="183"/>
      <c r="AB190" s="183"/>
      <c r="AC190" s="183"/>
      <c r="AD190" s="183"/>
      <c r="AE190" s="183"/>
      <c r="AF190" s="183"/>
      <c r="AG190" s="183"/>
      <c r="AH190" s="183"/>
      <c r="AI190" s="20"/>
    </row>
    <row r="191" spans="2:35" ht="15" customHeight="1" x14ac:dyDescent="0.25">
      <c r="B191" s="84"/>
      <c r="C191" s="83"/>
      <c r="D191" s="183"/>
      <c r="E191" s="183"/>
      <c r="F191" s="183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  <c r="AA191" s="183"/>
      <c r="AB191" s="183"/>
      <c r="AC191" s="183"/>
      <c r="AD191" s="183"/>
      <c r="AE191" s="183"/>
      <c r="AF191" s="183"/>
      <c r="AG191" s="183"/>
      <c r="AH191" s="183"/>
      <c r="AI191" s="20"/>
    </row>
    <row r="192" spans="2:35" ht="15" customHeight="1" x14ac:dyDescent="0.25">
      <c r="B192" s="84"/>
      <c r="C192" s="83"/>
      <c r="D192" s="183"/>
      <c r="E192" s="183"/>
      <c r="F192" s="183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  <c r="AA192" s="183"/>
      <c r="AB192" s="183"/>
      <c r="AC192" s="183"/>
      <c r="AD192" s="183"/>
      <c r="AE192" s="183"/>
      <c r="AF192" s="183"/>
      <c r="AG192" s="183"/>
      <c r="AH192" s="183"/>
      <c r="AI192" s="20"/>
    </row>
    <row r="193" spans="2:35" ht="15" customHeight="1" x14ac:dyDescent="0.25">
      <c r="B193" s="84"/>
      <c r="C193" s="83"/>
      <c r="D193" s="183"/>
      <c r="E193" s="183"/>
      <c r="F193" s="183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  <c r="AA193" s="183"/>
      <c r="AB193" s="183"/>
      <c r="AC193" s="183"/>
      <c r="AD193" s="183"/>
      <c r="AE193" s="183"/>
      <c r="AF193" s="183"/>
      <c r="AG193" s="183"/>
      <c r="AH193" s="183"/>
      <c r="AI193" s="20"/>
    </row>
    <row r="194" spans="2:35" ht="15" customHeight="1" x14ac:dyDescent="0.25">
      <c r="B194" s="84"/>
      <c r="C194" s="83"/>
      <c r="D194" s="183"/>
      <c r="E194" s="183"/>
      <c r="F194" s="183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  <c r="AA194" s="183"/>
      <c r="AB194" s="183"/>
      <c r="AC194" s="183"/>
      <c r="AD194" s="183"/>
      <c r="AE194" s="183"/>
      <c r="AF194" s="183"/>
      <c r="AG194" s="183"/>
      <c r="AH194" s="183"/>
      <c r="AI194" s="20"/>
    </row>
    <row r="195" spans="2:35" ht="15" customHeight="1" x14ac:dyDescent="0.25">
      <c r="B195" s="84"/>
      <c r="C195" s="83"/>
      <c r="D195" s="183"/>
      <c r="E195" s="183"/>
      <c r="F195" s="183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  <c r="AA195" s="183"/>
      <c r="AB195" s="183"/>
      <c r="AC195" s="183"/>
      <c r="AD195" s="183"/>
      <c r="AE195" s="183"/>
      <c r="AF195" s="183"/>
      <c r="AG195" s="183"/>
      <c r="AH195" s="183"/>
      <c r="AI195" s="20"/>
    </row>
    <row r="196" spans="2:35" ht="15" customHeight="1" x14ac:dyDescent="0.25">
      <c r="B196" s="84"/>
      <c r="C196" s="83"/>
      <c r="D196" s="183"/>
      <c r="E196" s="183"/>
      <c r="F196" s="183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  <c r="AA196" s="183"/>
      <c r="AB196" s="183"/>
      <c r="AC196" s="183"/>
      <c r="AD196" s="183"/>
      <c r="AE196" s="183"/>
      <c r="AF196" s="183"/>
      <c r="AG196" s="183"/>
      <c r="AH196" s="183"/>
      <c r="AI196" s="20"/>
    </row>
    <row r="197" spans="2:35" ht="15" customHeight="1" x14ac:dyDescent="0.25">
      <c r="B197" s="84"/>
      <c r="C197" s="83"/>
      <c r="D197" s="183"/>
      <c r="E197" s="183"/>
      <c r="F197" s="183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  <c r="AA197" s="183"/>
      <c r="AB197" s="183"/>
      <c r="AC197" s="183"/>
      <c r="AD197" s="183"/>
      <c r="AE197" s="183"/>
      <c r="AF197" s="183"/>
      <c r="AG197" s="183"/>
      <c r="AH197" s="183"/>
      <c r="AI197" s="20"/>
    </row>
    <row r="198" spans="2:35" ht="15" customHeight="1" x14ac:dyDescent="0.25">
      <c r="B198" s="84"/>
      <c r="C198" s="83"/>
      <c r="D198" s="183"/>
      <c r="E198" s="183"/>
      <c r="F198" s="183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20"/>
    </row>
    <row r="199" spans="2:35" ht="15" customHeight="1" x14ac:dyDescent="0.25">
      <c r="B199" s="84"/>
      <c r="C199" s="83"/>
      <c r="D199" s="183"/>
      <c r="E199" s="183"/>
      <c r="F199" s="183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  <c r="AA199" s="183"/>
      <c r="AB199" s="183"/>
      <c r="AC199" s="183"/>
      <c r="AD199" s="183"/>
      <c r="AE199" s="183"/>
      <c r="AF199" s="183"/>
      <c r="AG199" s="183"/>
      <c r="AH199" s="183"/>
      <c r="AI199" s="20"/>
    </row>
    <row r="200" spans="2:35" ht="15" customHeight="1" x14ac:dyDescent="0.25">
      <c r="B200" s="84"/>
      <c r="C200" s="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  <c r="AA200" s="183"/>
      <c r="AB200" s="183"/>
      <c r="AC200" s="183"/>
      <c r="AD200" s="183"/>
      <c r="AE200" s="183"/>
      <c r="AF200" s="183"/>
      <c r="AG200" s="183"/>
      <c r="AH200" s="183"/>
      <c r="AI200" s="20"/>
    </row>
    <row r="201" spans="2:35" ht="15" customHeight="1" x14ac:dyDescent="0.25">
      <c r="B201" s="84"/>
      <c r="C201" s="83"/>
      <c r="D201" s="183"/>
      <c r="E201" s="183"/>
      <c r="F201" s="183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  <c r="AA201" s="183"/>
      <c r="AB201" s="183"/>
      <c r="AC201" s="183"/>
      <c r="AD201" s="183"/>
      <c r="AE201" s="183"/>
      <c r="AF201" s="183"/>
      <c r="AG201" s="183"/>
      <c r="AH201" s="183"/>
      <c r="AI201" s="20"/>
    </row>
    <row r="202" spans="2:35" ht="15" customHeight="1" x14ac:dyDescent="0.25">
      <c r="B202" s="84"/>
      <c r="C202" s="83"/>
      <c r="D202" s="183"/>
      <c r="E202" s="183"/>
      <c r="F202" s="183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  <c r="AA202" s="183"/>
      <c r="AB202" s="183"/>
      <c r="AC202" s="183"/>
      <c r="AD202" s="183"/>
      <c r="AE202" s="183"/>
      <c r="AF202" s="183"/>
      <c r="AG202" s="183"/>
      <c r="AH202" s="183"/>
      <c r="AI202" s="20"/>
    </row>
    <row r="203" spans="2:35" ht="15" customHeight="1" x14ac:dyDescent="0.25">
      <c r="B203" s="84"/>
      <c r="C203" s="83"/>
      <c r="D203" s="183"/>
      <c r="E203" s="183"/>
      <c r="F203" s="183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  <c r="AA203" s="183"/>
      <c r="AB203" s="183"/>
      <c r="AC203" s="183"/>
      <c r="AD203" s="183"/>
      <c r="AE203" s="183"/>
      <c r="AF203" s="183"/>
      <c r="AG203" s="183"/>
      <c r="AH203" s="183"/>
      <c r="AI203" s="20"/>
    </row>
    <row r="204" spans="2:35" ht="15" customHeight="1" x14ac:dyDescent="0.25">
      <c r="B204" s="84"/>
      <c r="C204" s="83"/>
      <c r="D204" s="183"/>
      <c r="E204" s="183"/>
      <c r="F204" s="183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  <c r="AA204" s="183"/>
      <c r="AB204" s="183"/>
      <c r="AC204" s="183"/>
      <c r="AD204" s="183"/>
      <c r="AE204" s="183"/>
      <c r="AF204" s="183"/>
      <c r="AG204" s="183"/>
      <c r="AH204" s="183"/>
      <c r="AI204" s="20"/>
    </row>
    <row r="205" spans="2:35" ht="15" customHeight="1" x14ac:dyDescent="0.25">
      <c r="B205" s="84"/>
      <c r="C205" s="83"/>
      <c r="D205" s="183"/>
      <c r="E205" s="183"/>
      <c r="F205" s="183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  <c r="AA205" s="183"/>
      <c r="AB205" s="183"/>
      <c r="AC205" s="183"/>
      <c r="AD205" s="183"/>
      <c r="AE205" s="183"/>
      <c r="AF205" s="183"/>
      <c r="AG205" s="183"/>
      <c r="AH205" s="183"/>
      <c r="AI205" s="20"/>
    </row>
    <row r="206" spans="2:35" ht="15" customHeight="1" x14ac:dyDescent="0.25">
      <c r="B206" s="84"/>
      <c r="C206" s="83"/>
      <c r="D206" s="183"/>
      <c r="E206" s="183"/>
      <c r="F206" s="183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  <c r="AA206" s="183"/>
      <c r="AB206" s="183"/>
      <c r="AC206" s="183"/>
      <c r="AD206" s="183"/>
      <c r="AE206" s="183"/>
      <c r="AF206" s="183"/>
      <c r="AG206" s="183"/>
      <c r="AH206" s="183"/>
      <c r="AI206" s="20"/>
    </row>
    <row r="207" spans="2:35" ht="15" customHeight="1" x14ac:dyDescent="0.25">
      <c r="B207" s="84"/>
      <c r="C207" s="83"/>
      <c r="D207" s="183"/>
      <c r="E207" s="183"/>
      <c r="F207" s="183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  <c r="AA207" s="183"/>
      <c r="AB207" s="183"/>
      <c r="AC207" s="183"/>
      <c r="AD207" s="183"/>
      <c r="AE207" s="183"/>
      <c r="AF207" s="183"/>
      <c r="AG207" s="183"/>
      <c r="AH207" s="183"/>
      <c r="AI207" s="20"/>
    </row>
    <row r="208" spans="2:35" ht="15" customHeight="1" x14ac:dyDescent="0.25">
      <c r="B208" s="84"/>
      <c r="C208" s="83"/>
      <c r="D208" s="183"/>
      <c r="E208" s="183"/>
      <c r="F208" s="183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  <c r="AA208" s="183"/>
      <c r="AB208" s="183"/>
      <c r="AC208" s="183"/>
      <c r="AD208" s="183"/>
      <c r="AE208" s="183"/>
      <c r="AF208" s="183"/>
      <c r="AG208" s="183"/>
      <c r="AH208" s="183"/>
      <c r="AI208" s="20"/>
    </row>
    <row r="209" spans="2:35" ht="15" customHeight="1" x14ac:dyDescent="0.25">
      <c r="B209" s="84"/>
      <c r="C209" s="83"/>
      <c r="D209" s="183"/>
      <c r="E209" s="183"/>
      <c r="F209" s="183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  <c r="AA209" s="183"/>
      <c r="AB209" s="183"/>
      <c r="AC209" s="183"/>
      <c r="AD209" s="183"/>
      <c r="AE209" s="183"/>
      <c r="AF209" s="183"/>
      <c r="AG209" s="183"/>
      <c r="AH209" s="183"/>
      <c r="AI209" s="20"/>
    </row>
    <row r="210" spans="2:35" ht="15" customHeight="1" x14ac:dyDescent="0.25">
      <c r="B210" s="84"/>
      <c r="C210" s="83"/>
      <c r="D210" s="183"/>
      <c r="E210" s="183"/>
      <c r="F210" s="183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  <c r="AA210" s="183"/>
      <c r="AB210" s="183"/>
      <c r="AC210" s="183"/>
      <c r="AD210" s="183"/>
      <c r="AE210" s="183"/>
      <c r="AF210" s="183"/>
      <c r="AG210" s="183"/>
      <c r="AH210" s="183"/>
      <c r="AI210" s="20"/>
    </row>
    <row r="211" spans="2:35" ht="15" customHeight="1" x14ac:dyDescent="0.25">
      <c r="B211" s="84"/>
      <c r="C211" s="83"/>
      <c r="D211" s="183"/>
      <c r="E211" s="183"/>
      <c r="F211" s="183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  <c r="AA211" s="183"/>
      <c r="AB211" s="183"/>
      <c r="AC211" s="183"/>
      <c r="AD211" s="183"/>
      <c r="AE211" s="183"/>
      <c r="AF211" s="183"/>
      <c r="AG211" s="183"/>
      <c r="AH211" s="183"/>
      <c r="AI211" s="20"/>
    </row>
    <row r="212" spans="2:35" ht="15" customHeight="1" x14ac:dyDescent="0.25">
      <c r="B212" s="84"/>
      <c r="C212" s="83"/>
      <c r="D212" s="183"/>
      <c r="E212" s="183"/>
      <c r="F212" s="183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  <c r="AA212" s="183"/>
      <c r="AB212" s="183"/>
      <c r="AC212" s="183"/>
      <c r="AD212" s="183"/>
      <c r="AE212" s="183"/>
      <c r="AF212" s="183"/>
      <c r="AG212" s="183"/>
      <c r="AH212" s="183"/>
      <c r="AI212" s="20"/>
    </row>
    <row r="213" spans="2:35" ht="15.75" x14ac:dyDescent="0.25">
      <c r="B213" s="84"/>
      <c r="C213" s="83"/>
      <c r="D213" s="183"/>
      <c r="E213" s="183"/>
      <c r="F213" s="183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  <c r="AA213" s="183"/>
      <c r="AB213" s="183"/>
      <c r="AC213" s="183"/>
      <c r="AD213" s="183"/>
      <c r="AE213" s="183"/>
      <c r="AF213" s="183"/>
      <c r="AG213" s="183"/>
      <c r="AH213" s="183"/>
      <c r="AI213" s="20"/>
    </row>
    <row r="214" spans="2:35" ht="15.75" x14ac:dyDescent="0.25">
      <c r="B214" s="84"/>
      <c r="C214" s="83"/>
      <c r="D214" s="183"/>
      <c r="E214" s="183"/>
      <c r="F214" s="183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  <c r="AA214" s="183"/>
      <c r="AB214" s="183"/>
      <c r="AC214" s="183"/>
      <c r="AD214" s="183"/>
      <c r="AE214" s="183"/>
      <c r="AF214" s="183"/>
      <c r="AG214" s="183"/>
      <c r="AH214" s="183"/>
      <c r="AI214" s="20"/>
    </row>
    <row r="215" spans="2:35" ht="15.75" x14ac:dyDescent="0.25">
      <c r="B215" s="84"/>
      <c r="C215" s="83"/>
      <c r="D215" s="183"/>
      <c r="E215" s="183"/>
      <c r="F215" s="183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  <c r="AA215" s="183"/>
      <c r="AB215" s="183"/>
      <c r="AC215" s="183"/>
      <c r="AD215" s="183"/>
      <c r="AE215" s="183"/>
      <c r="AF215" s="183"/>
      <c r="AG215" s="183"/>
      <c r="AH215" s="183"/>
      <c r="AI215" s="20"/>
    </row>
    <row r="216" spans="2:35" ht="15.75" x14ac:dyDescent="0.25">
      <c r="B216" s="84"/>
      <c r="C216" s="83"/>
      <c r="D216" s="183"/>
      <c r="E216" s="183"/>
      <c r="F216" s="183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  <c r="AA216" s="183"/>
      <c r="AB216" s="183"/>
      <c r="AC216" s="183"/>
      <c r="AD216" s="183"/>
      <c r="AE216" s="183"/>
      <c r="AF216" s="183"/>
      <c r="AG216" s="183"/>
      <c r="AH216" s="183"/>
      <c r="AI216" s="20"/>
    </row>
    <row r="217" spans="2:35" ht="15.75" x14ac:dyDescent="0.25">
      <c r="B217" s="84"/>
      <c r="C217" s="83"/>
      <c r="D217" s="183"/>
      <c r="E217" s="183"/>
      <c r="F217" s="183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  <c r="AA217" s="183"/>
      <c r="AB217" s="183"/>
      <c r="AC217" s="183"/>
      <c r="AD217" s="183"/>
      <c r="AE217" s="183"/>
      <c r="AF217" s="183"/>
      <c r="AG217" s="183"/>
      <c r="AH217" s="183"/>
      <c r="AI217" s="20"/>
    </row>
    <row r="218" spans="2:35" ht="15.75" x14ac:dyDescent="0.25">
      <c r="B218" s="84"/>
      <c r="C218" s="83"/>
      <c r="D218" s="183"/>
      <c r="E218" s="183"/>
      <c r="F218" s="183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  <c r="AA218" s="183"/>
      <c r="AB218" s="183"/>
      <c r="AC218" s="183"/>
      <c r="AD218" s="183"/>
      <c r="AE218" s="183"/>
      <c r="AF218" s="183"/>
      <c r="AG218" s="183"/>
      <c r="AH218" s="183"/>
      <c r="AI218" s="20"/>
    </row>
    <row r="219" spans="2:35" ht="15.75" x14ac:dyDescent="0.25">
      <c r="B219" s="84"/>
      <c r="C219" s="83"/>
      <c r="D219" s="183"/>
      <c r="E219" s="183"/>
      <c r="F219" s="183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  <c r="AA219" s="183"/>
      <c r="AB219" s="183"/>
      <c r="AC219" s="183"/>
      <c r="AD219" s="183"/>
      <c r="AE219" s="183"/>
      <c r="AF219" s="183"/>
      <c r="AG219" s="183"/>
      <c r="AH219" s="183"/>
      <c r="AI219" s="20"/>
    </row>
    <row r="220" spans="2:35" ht="15.75" x14ac:dyDescent="0.25">
      <c r="B220" s="84"/>
      <c r="C220" s="83"/>
      <c r="D220" s="183"/>
      <c r="E220" s="183"/>
      <c r="F220" s="183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  <c r="AA220" s="183"/>
      <c r="AB220" s="183"/>
      <c r="AC220" s="183"/>
      <c r="AD220" s="183"/>
      <c r="AE220" s="183"/>
      <c r="AF220" s="183"/>
      <c r="AG220" s="183"/>
      <c r="AH220" s="183"/>
      <c r="AI220" s="20"/>
    </row>
    <row r="221" spans="2:35" ht="15.75" x14ac:dyDescent="0.25">
      <c r="B221" s="84"/>
      <c r="C221" s="83"/>
      <c r="D221" s="183"/>
      <c r="E221" s="183"/>
      <c r="F221" s="183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  <c r="AA221" s="183"/>
      <c r="AB221" s="183"/>
      <c r="AC221" s="183"/>
      <c r="AD221" s="183"/>
      <c r="AE221" s="183"/>
      <c r="AF221" s="183"/>
      <c r="AG221" s="183"/>
      <c r="AH221" s="183"/>
      <c r="AI221" s="20"/>
    </row>
    <row r="222" spans="2:35" ht="15.75" x14ac:dyDescent="0.25">
      <c r="B222" s="84"/>
      <c r="C222" s="83"/>
      <c r="D222" s="183"/>
      <c r="E222" s="183"/>
      <c r="F222" s="183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  <c r="AA222" s="183"/>
      <c r="AB222" s="183"/>
      <c r="AC222" s="183"/>
      <c r="AD222" s="183"/>
      <c r="AE222" s="183"/>
      <c r="AF222" s="183"/>
      <c r="AG222" s="183"/>
      <c r="AH222" s="183"/>
      <c r="AI222" s="20"/>
    </row>
    <row r="223" spans="2:35" ht="15.75" x14ac:dyDescent="0.25">
      <c r="B223" s="84"/>
      <c r="C223" s="83"/>
      <c r="D223" s="183"/>
      <c r="E223" s="183"/>
      <c r="F223" s="183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  <c r="AA223" s="183"/>
      <c r="AB223" s="183"/>
      <c r="AC223" s="183"/>
      <c r="AD223" s="183"/>
      <c r="AE223" s="183"/>
      <c r="AF223" s="183"/>
      <c r="AG223" s="183"/>
      <c r="AH223" s="183"/>
      <c r="AI223" s="20"/>
    </row>
    <row r="224" spans="2:35" ht="15.75" x14ac:dyDescent="0.25">
      <c r="B224" s="84"/>
      <c r="C224" s="83"/>
      <c r="D224" s="183"/>
      <c r="E224" s="183"/>
      <c r="F224" s="183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  <c r="AA224" s="183"/>
      <c r="AB224" s="183"/>
      <c r="AC224" s="183"/>
      <c r="AD224" s="183"/>
      <c r="AE224" s="183"/>
      <c r="AF224" s="183"/>
      <c r="AG224" s="183"/>
      <c r="AH224" s="183"/>
      <c r="AI224" s="20"/>
    </row>
    <row r="225" spans="2:35" ht="15.75" x14ac:dyDescent="0.25">
      <c r="B225" s="84"/>
      <c r="C225" s="83"/>
      <c r="D225" s="183"/>
      <c r="E225" s="183"/>
      <c r="F225" s="183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  <c r="AA225" s="183"/>
      <c r="AB225" s="183"/>
      <c r="AC225" s="183"/>
      <c r="AD225" s="183"/>
      <c r="AE225" s="183"/>
      <c r="AF225" s="183"/>
      <c r="AG225" s="183"/>
      <c r="AH225" s="183"/>
      <c r="AI225" s="20"/>
    </row>
    <row r="226" spans="2:35" ht="15.75" x14ac:dyDescent="0.25">
      <c r="B226" s="84"/>
      <c r="C226" s="83"/>
      <c r="D226" s="183"/>
      <c r="E226" s="183"/>
      <c r="F226" s="183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  <c r="AA226" s="183"/>
      <c r="AB226" s="183"/>
      <c r="AC226" s="183"/>
      <c r="AD226" s="183"/>
      <c r="AE226" s="183"/>
      <c r="AF226" s="183"/>
      <c r="AG226" s="183"/>
      <c r="AH226" s="183"/>
      <c r="AI226" s="20"/>
    </row>
    <row r="227" spans="2:35" ht="15.75" x14ac:dyDescent="0.25">
      <c r="B227" s="84"/>
      <c r="C227" s="83"/>
      <c r="D227" s="183"/>
      <c r="E227" s="183"/>
      <c r="F227" s="183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  <c r="AA227" s="183"/>
      <c r="AB227" s="183"/>
      <c r="AC227" s="183"/>
      <c r="AD227" s="183"/>
      <c r="AE227" s="183"/>
      <c r="AF227" s="183"/>
      <c r="AG227" s="183"/>
      <c r="AH227" s="183"/>
      <c r="AI227" s="20"/>
    </row>
    <row r="228" spans="2:35" ht="15.75" x14ac:dyDescent="0.25">
      <c r="B228" s="84"/>
      <c r="C228" s="83"/>
      <c r="D228" s="183"/>
      <c r="E228" s="183"/>
      <c r="F228" s="183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  <c r="AA228" s="183"/>
      <c r="AB228" s="183"/>
      <c r="AC228" s="183"/>
      <c r="AD228" s="183"/>
      <c r="AE228" s="183"/>
      <c r="AF228" s="183"/>
      <c r="AG228" s="183"/>
      <c r="AH228" s="183"/>
      <c r="AI228" s="20"/>
    </row>
    <row r="229" spans="2:35" ht="15.75" x14ac:dyDescent="0.25">
      <c r="B229" s="84"/>
      <c r="C229" s="83"/>
      <c r="D229" s="183"/>
      <c r="E229" s="183"/>
      <c r="F229" s="183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  <c r="AA229" s="183"/>
      <c r="AB229" s="183"/>
      <c r="AC229" s="183"/>
      <c r="AD229" s="183"/>
      <c r="AE229" s="183"/>
      <c r="AF229" s="183"/>
      <c r="AG229" s="183"/>
      <c r="AH229" s="183"/>
      <c r="AI229" s="20"/>
    </row>
    <row r="230" spans="2:35" ht="15.75" x14ac:dyDescent="0.25">
      <c r="B230" s="84"/>
      <c r="C230" s="83"/>
      <c r="D230" s="183"/>
      <c r="E230" s="183"/>
      <c r="F230" s="183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  <c r="AA230" s="183"/>
      <c r="AB230" s="183"/>
      <c r="AC230" s="183"/>
      <c r="AD230" s="183"/>
      <c r="AE230" s="183"/>
      <c r="AF230" s="183"/>
      <c r="AG230" s="183"/>
      <c r="AH230" s="183"/>
      <c r="AI230" s="20"/>
    </row>
    <row r="231" spans="2:35" ht="15.75" x14ac:dyDescent="0.25">
      <c r="B231" s="84"/>
      <c r="C231" s="83"/>
      <c r="D231" s="183"/>
      <c r="E231" s="183"/>
      <c r="F231" s="183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  <c r="Z231" s="183"/>
      <c r="AA231" s="183"/>
      <c r="AB231" s="183"/>
      <c r="AC231" s="183"/>
      <c r="AD231" s="183"/>
      <c r="AE231" s="183"/>
      <c r="AF231" s="183"/>
      <c r="AG231" s="183"/>
      <c r="AH231" s="183"/>
      <c r="AI231" s="20"/>
    </row>
    <row r="232" spans="2:35" ht="15.75" x14ac:dyDescent="0.25">
      <c r="B232" s="84"/>
      <c r="C232" s="83"/>
      <c r="D232" s="183"/>
      <c r="E232" s="183"/>
      <c r="F232" s="183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3"/>
      <c r="V232" s="183"/>
      <c r="W232" s="183"/>
      <c r="X232" s="183"/>
      <c r="Y232" s="183"/>
      <c r="Z232" s="183"/>
      <c r="AA232" s="183"/>
      <c r="AB232" s="183"/>
      <c r="AC232" s="183"/>
      <c r="AD232" s="183"/>
      <c r="AE232" s="183"/>
      <c r="AF232" s="183"/>
      <c r="AG232" s="183"/>
      <c r="AH232" s="183"/>
      <c r="AI232" s="20"/>
    </row>
    <row r="233" spans="2:35" ht="15.75" x14ac:dyDescent="0.25">
      <c r="B233" s="84"/>
      <c r="C233" s="83"/>
      <c r="D233" s="183"/>
      <c r="E233" s="183"/>
      <c r="F233" s="183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  <c r="Z233" s="183"/>
      <c r="AA233" s="183"/>
      <c r="AB233" s="183"/>
      <c r="AC233" s="183"/>
      <c r="AD233" s="183"/>
      <c r="AE233" s="183"/>
      <c r="AF233" s="183"/>
      <c r="AG233" s="183"/>
      <c r="AH233" s="183"/>
      <c r="AI233" s="20"/>
    </row>
    <row r="234" spans="2:35" ht="15.75" x14ac:dyDescent="0.25">
      <c r="B234" s="84"/>
      <c r="C234" s="83"/>
      <c r="D234" s="183"/>
      <c r="E234" s="183"/>
      <c r="F234" s="183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83"/>
      <c r="Z234" s="183"/>
      <c r="AA234" s="183"/>
      <c r="AB234" s="183"/>
      <c r="AC234" s="183"/>
      <c r="AD234" s="183"/>
      <c r="AE234" s="183"/>
      <c r="AF234" s="183"/>
      <c r="AG234" s="183"/>
      <c r="AH234" s="183"/>
      <c r="AI234" s="20"/>
    </row>
    <row r="235" spans="2:35" ht="15.75" x14ac:dyDescent="0.25">
      <c r="B235" s="84"/>
      <c r="C235" s="83"/>
      <c r="D235" s="183"/>
      <c r="E235" s="183"/>
      <c r="F235" s="183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3"/>
      <c r="V235" s="183"/>
      <c r="W235" s="183"/>
      <c r="X235" s="183"/>
      <c r="Y235" s="183"/>
      <c r="Z235" s="183"/>
      <c r="AA235" s="183"/>
      <c r="AB235" s="183"/>
      <c r="AC235" s="183"/>
      <c r="AD235" s="183"/>
      <c r="AE235" s="183"/>
      <c r="AF235" s="183"/>
      <c r="AG235" s="183"/>
      <c r="AH235" s="183"/>
      <c r="AI235" s="20"/>
    </row>
    <row r="236" spans="2:35" ht="15.75" x14ac:dyDescent="0.25">
      <c r="B236" s="84"/>
      <c r="C236" s="83"/>
      <c r="D236" s="183"/>
      <c r="E236" s="183"/>
      <c r="F236" s="183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3"/>
      <c r="V236" s="183"/>
      <c r="W236" s="183"/>
      <c r="X236" s="183"/>
      <c r="Y236" s="183"/>
      <c r="Z236" s="183"/>
      <c r="AA236" s="183"/>
      <c r="AB236" s="183"/>
      <c r="AC236" s="183"/>
      <c r="AD236" s="183"/>
      <c r="AE236" s="183"/>
      <c r="AF236" s="183"/>
      <c r="AG236" s="183"/>
      <c r="AH236" s="183"/>
      <c r="AI236" s="20"/>
    </row>
    <row r="237" spans="2:35" ht="15.75" x14ac:dyDescent="0.25">
      <c r="B237" s="84"/>
      <c r="C237" s="83"/>
      <c r="D237" s="183"/>
      <c r="E237" s="183"/>
      <c r="F237" s="183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3"/>
      <c r="V237" s="183"/>
      <c r="W237" s="183"/>
      <c r="X237" s="183"/>
      <c r="Y237" s="183"/>
      <c r="Z237" s="183"/>
      <c r="AA237" s="183"/>
      <c r="AB237" s="183"/>
      <c r="AC237" s="183"/>
      <c r="AD237" s="183"/>
      <c r="AE237" s="183"/>
      <c r="AF237" s="183"/>
      <c r="AG237" s="183"/>
      <c r="AH237" s="183"/>
      <c r="AI237" s="20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0000000}">
          <x14:formula1>
            <xm:f>справочник!$E$2:$E$172</xm:f>
          </x14:formula1>
          <xm:sqref>B3:B237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AI237"/>
  <sheetViews>
    <sheetView showZeros="0" topLeftCell="A6" zoomScale="55" zoomScaleNormal="55" workbookViewId="0">
      <selection activeCell="AM52" sqref="AM52"/>
    </sheetView>
  </sheetViews>
  <sheetFormatPr defaultRowHeight="15" x14ac:dyDescent="0.25"/>
  <cols>
    <col min="1" max="1" width="2.140625" customWidth="1"/>
    <col min="2" max="2" width="53.5703125" customWidth="1"/>
    <col min="4" max="34" width="6.7109375" customWidth="1"/>
  </cols>
  <sheetData>
    <row r="1" spans="2:35" ht="15" customHeight="1" thickBot="1" x14ac:dyDescent="0.3">
      <c r="B1" s="67">
        <v>45962</v>
      </c>
      <c r="C1" s="68"/>
      <c r="D1" s="69">
        <f>B1</f>
        <v>45962</v>
      </c>
      <c r="E1" s="69">
        <f>D1+1</f>
        <v>45963</v>
      </c>
      <c r="F1" s="69">
        <f t="shared" ref="F1:AH1" si="0">E1+1</f>
        <v>45964</v>
      </c>
      <c r="G1" s="69">
        <f t="shared" si="0"/>
        <v>45965</v>
      </c>
      <c r="H1" s="69">
        <f t="shared" si="0"/>
        <v>45966</v>
      </c>
      <c r="I1" s="69">
        <f t="shared" si="0"/>
        <v>45967</v>
      </c>
      <c r="J1" s="69">
        <f t="shared" si="0"/>
        <v>45968</v>
      </c>
      <c r="K1" s="69">
        <f t="shared" si="0"/>
        <v>45969</v>
      </c>
      <c r="L1" s="69">
        <f t="shared" si="0"/>
        <v>45970</v>
      </c>
      <c r="M1" s="69">
        <f t="shared" si="0"/>
        <v>45971</v>
      </c>
      <c r="N1" s="69">
        <f t="shared" si="0"/>
        <v>45972</v>
      </c>
      <c r="O1" s="69">
        <f t="shared" si="0"/>
        <v>45973</v>
      </c>
      <c r="P1" s="69">
        <f t="shared" si="0"/>
        <v>45974</v>
      </c>
      <c r="Q1" s="69">
        <f t="shared" si="0"/>
        <v>45975</v>
      </c>
      <c r="R1" s="69">
        <f t="shared" si="0"/>
        <v>45976</v>
      </c>
      <c r="S1" s="69">
        <f t="shared" si="0"/>
        <v>45977</v>
      </c>
      <c r="T1" s="69">
        <f t="shared" si="0"/>
        <v>45978</v>
      </c>
      <c r="U1" s="69">
        <f t="shared" si="0"/>
        <v>45979</v>
      </c>
      <c r="V1" s="69">
        <f t="shared" si="0"/>
        <v>45980</v>
      </c>
      <c r="W1" s="69">
        <f t="shared" si="0"/>
        <v>45981</v>
      </c>
      <c r="X1" s="69">
        <f t="shared" si="0"/>
        <v>45982</v>
      </c>
      <c r="Y1" s="69">
        <f t="shared" si="0"/>
        <v>45983</v>
      </c>
      <c r="Z1" s="69">
        <f t="shared" si="0"/>
        <v>45984</v>
      </c>
      <c r="AA1" s="69">
        <f t="shared" si="0"/>
        <v>45985</v>
      </c>
      <c r="AB1" s="69">
        <f t="shared" si="0"/>
        <v>45986</v>
      </c>
      <c r="AC1" s="69">
        <f t="shared" si="0"/>
        <v>45987</v>
      </c>
      <c r="AD1" s="69">
        <f t="shared" si="0"/>
        <v>45988</v>
      </c>
      <c r="AE1" s="69">
        <f t="shared" si="0"/>
        <v>45989</v>
      </c>
      <c r="AF1" s="69">
        <f t="shared" si="0"/>
        <v>45990</v>
      </c>
      <c r="AG1" s="69">
        <f t="shared" si="0"/>
        <v>45991</v>
      </c>
      <c r="AH1" s="69">
        <f t="shared" si="0"/>
        <v>45992</v>
      </c>
      <c r="AI1" s="70"/>
    </row>
    <row r="2" spans="2:35" ht="15" customHeight="1" thickBot="1" x14ac:dyDescent="0.3">
      <c r="B2" s="71"/>
      <c r="C2" s="68"/>
      <c r="D2" s="72">
        <v>1</v>
      </c>
      <c r="E2" s="73">
        <v>2</v>
      </c>
      <c r="F2" s="73">
        <v>3</v>
      </c>
      <c r="G2" s="73">
        <v>4</v>
      </c>
      <c r="H2" s="73">
        <v>5</v>
      </c>
      <c r="I2" s="73">
        <v>6</v>
      </c>
      <c r="J2" s="73">
        <v>7</v>
      </c>
      <c r="K2" s="73">
        <v>8</v>
      </c>
      <c r="L2" s="73">
        <v>9</v>
      </c>
      <c r="M2" s="73">
        <v>10</v>
      </c>
      <c r="N2" s="73">
        <v>11</v>
      </c>
      <c r="O2" s="73">
        <v>12</v>
      </c>
      <c r="P2" s="73">
        <v>13</v>
      </c>
      <c r="Q2" s="73">
        <v>14</v>
      </c>
      <c r="R2" s="73">
        <v>15</v>
      </c>
      <c r="S2" s="73">
        <v>16</v>
      </c>
      <c r="T2" s="73">
        <v>17</v>
      </c>
      <c r="U2" s="73">
        <v>18</v>
      </c>
      <c r="V2" s="73">
        <v>19</v>
      </c>
      <c r="W2" s="73">
        <v>20</v>
      </c>
      <c r="X2" s="73">
        <v>21</v>
      </c>
      <c r="Y2" s="73">
        <v>22</v>
      </c>
      <c r="Z2" s="73">
        <v>23</v>
      </c>
      <c r="AA2" s="73">
        <v>24</v>
      </c>
      <c r="AB2" s="73">
        <v>25</v>
      </c>
      <c r="AC2" s="73">
        <v>26</v>
      </c>
      <c r="AD2" s="73">
        <v>27</v>
      </c>
      <c r="AE2" s="73">
        <v>28</v>
      </c>
      <c r="AF2" s="73">
        <v>29</v>
      </c>
      <c r="AG2" s="73">
        <v>30</v>
      </c>
      <c r="AH2" s="73">
        <v>31</v>
      </c>
      <c r="AI2" s="70"/>
    </row>
    <row r="3" spans="2:35" ht="15" customHeight="1" x14ac:dyDescent="0.25">
      <c r="B3" s="74" t="s">
        <v>212</v>
      </c>
      <c r="C3" s="75">
        <v>25</v>
      </c>
      <c r="D3" s="76">
        <f>SUMIFS('ноябрь 2025'!$G$2:$G$2583,'ноябрь 2025'!$D$2:$D$2583,$B3,'ноябрь 2025'!$J$2:$J$2583,D$1)</f>
        <v>0</v>
      </c>
      <c r="E3" s="76">
        <f>SUMIFS('ноябрь 2025'!$G$2:$G$2583,'ноябрь 2025'!$D$2:$D$2583,$B3,'ноябрь 2025'!$J$2:$J$2583,E$1)</f>
        <v>0</v>
      </c>
      <c r="F3" s="76">
        <f>SUMIFS('ноябрь 2025'!$G$2:$G$2583,'ноябрь 2025'!$D$2:$D$2583,$B3,'ноябрь 2025'!$J$2:$J$2583,F$1)</f>
        <v>0</v>
      </c>
      <c r="G3" s="76">
        <f>SUMIFS('ноябрь 2025'!$G$2:$G$2583,'ноябрь 2025'!$D$2:$D$2583,$B3,'ноябрь 2025'!$J$2:$J$2583,G$1)</f>
        <v>0</v>
      </c>
      <c r="H3" s="76">
        <f>SUMIFS('ноябрь 2025'!$G$2:$G$2583,'ноябрь 2025'!$D$2:$D$2583,$B3,'ноябрь 2025'!$J$2:$J$2583,H$1)</f>
        <v>0</v>
      </c>
      <c r="I3" s="76">
        <f>SUMIFS('ноябрь 2025'!$G$2:$G$2583,'ноябрь 2025'!$D$2:$D$2583,$B3,'ноябрь 2025'!$J$2:$J$2583,I$1)</f>
        <v>0</v>
      </c>
      <c r="J3" s="76">
        <f>SUMIFS('ноябрь 2025'!$G$2:$G$2583,'ноябрь 2025'!$D$2:$D$2583,$B3,'ноябрь 2025'!$J$2:$J$2583,J$1)</f>
        <v>0</v>
      </c>
      <c r="K3" s="76">
        <f>SUMIFS('ноябрь 2025'!$G$2:$G$2583,'ноябрь 2025'!$D$2:$D$2583,$B3,'ноябрь 2025'!$J$2:$J$2583,K$1)</f>
        <v>0</v>
      </c>
      <c r="L3" s="76">
        <f>SUMIFS('ноябрь 2025'!$G$2:$G$2583,'ноябрь 2025'!$D$2:$D$2583,$B3,'ноябрь 2025'!$J$2:$J$2583,L$1)</f>
        <v>0</v>
      </c>
      <c r="M3" s="76">
        <f>SUMIFS('ноябрь 2025'!$G$2:$G$2583,'ноябрь 2025'!$D$2:$D$2583,$B3,'ноябрь 2025'!$J$2:$J$2583,M$1)</f>
        <v>0</v>
      </c>
      <c r="N3" s="76">
        <f>SUMIFS('ноябрь 2025'!$G$2:$G$2583,'ноябрь 2025'!$D$2:$D$2583,$B3,'ноябрь 2025'!$J$2:$J$2583,N$1)</f>
        <v>0</v>
      </c>
      <c r="O3" s="76">
        <f>SUMIFS('ноябрь 2025'!$G$2:$G$2583,'ноябрь 2025'!$D$2:$D$2583,$B3,'ноябрь 2025'!$J$2:$J$2583,O$1)</f>
        <v>0</v>
      </c>
      <c r="P3" s="76">
        <f>SUMIFS('ноябрь 2025'!$G$2:$G$2583,'ноябрь 2025'!$D$2:$D$2583,$B3,'ноябрь 2025'!$J$2:$J$2583,P$1)</f>
        <v>0</v>
      </c>
      <c r="Q3" s="76">
        <f>SUMIFS('ноябрь 2025'!$G$2:$G$2583,'ноябрь 2025'!$D$2:$D$2583,$B3,'ноябрь 2025'!$J$2:$J$2583,Q$1)</f>
        <v>0</v>
      </c>
      <c r="R3" s="76">
        <f>SUMIFS('ноябрь 2025'!$G$2:$G$2583,'ноябрь 2025'!$D$2:$D$2583,$B3,'ноябрь 2025'!$J$2:$J$2583,R$1)</f>
        <v>0</v>
      </c>
      <c r="S3" s="76">
        <f>SUMIFS('ноябрь 2025'!$G$2:$G$2583,'ноябрь 2025'!$D$2:$D$2583,$B3,'ноябрь 2025'!$J$2:$J$2583,S$1)</f>
        <v>0</v>
      </c>
      <c r="T3" s="76">
        <f>SUMIFS('ноябрь 2025'!$G$2:$G$2583,'ноябрь 2025'!$D$2:$D$2583,$B3,'ноябрь 2025'!$J$2:$J$2583,T$1)</f>
        <v>0</v>
      </c>
      <c r="U3" s="76">
        <f>SUMIFS('ноябрь 2025'!$G$2:$G$2583,'ноябрь 2025'!$D$2:$D$2583,$B3,'ноябрь 2025'!$J$2:$J$2583,U$1)</f>
        <v>0</v>
      </c>
      <c r="V3" s="76">
        <f>SUMIFS('ноябрь 2025'!$G$2:$G$2583,'ноябрь 2025'!$D$2:$D$2583,$B3,'ноябрь 2025'!$J$2:$J$2583,V$1)</f>
        <v>0</v>
      </c>
      <c r="W3" s="76">
        <f>SUMIFS('ноябрь 2025'!$G$2:$G$2583,'ноябрь 2025'!$D$2:$D$2583,$B3,'ноябрь 2025'!$J$2:$J$2583,W$1)</f>
        <v>0</v>
      </c>
      <c r="X3" s="76">
        <f>SUMIFS('ноябрь 2025'!$G$2:$G$2583,'ноябрь 2025'!$D$2:$D$2583,$B3,'ноябрь 2025'!$J$2:$J$2583,X$1)</f>
        <v>0</v>
      </c>
      <c r="Y3" s="76">
        <f>SUMIFS('ноябрь 2025'!$G$2:$G$2583,'ноябрь 2025'!$D$2:$D$2583,$B3,'ноябрь 2025'!$J$2:$J$2583,Y$1)</f>
        <v>0</v>
      </c>
      <c r="Z3" s="76">
        <f>SUMIFS('ноябрь 2025'!$G$2:$G$2583,'ноябрь 2025'!$D$2:$D$2583,$B3,'ноябрь 2025'!$J$2:$J$2583,Z$1)</f>
        <v>0</v>
      </c>
      <c r="AA3" s="76">
        <f>SUMIFS('ноябрь 2025'!$G$2:$G$2583,'ноябрь 2025'!$D$2:$D$2583,$B3,'ноябрь 2025'!$J$2:$J$2583,AA$1)</f>
        <v>0</v>
      </c>
      <c r="AB3" s="76">
        <f>SUMIFS('ноябрь 2025'!$G$2:$G$2583,'ноябрь 2025'!$D$2:$D$2583,$B3,'ноябрь 2025'!$J$2:$J$2583,AB$1)</f>
        <v>0</v>
      </c>
      <c r="AC3" s="76">
        <f>SUMIFS('ноябрь 2025'!$G$2:$G$2583,'ноябрь 2025'!$D$2:$D$2583,$B3,'ноябрь 2025'!$J$2:$J$2583,AC$1)</f>
        <v>0</v>
      </c>
      <c r="AD3" s="76">
        <f>SUMIFS('ноябрь 2025'!$G$2:$G$2583,'ноябрь 2025'!$D$2:$D$2583,$B3,'ноябрь 2025'!$J$2:$J$2583,AD$1)</f>
        <v>0</v>
      </c>
      <c r="AE3" s="76">
        <f>SUMIFS('ноябрь 2025'!$G$2:$G$2583,'ноябрь 2025'!$D$2:$D$2583,$B3,'ноябрь 2025'!$J$2:$J$2583,AE$1)</f>
        <v>0</v>
      </c>
      <c r="AF3" s="76">
        <f>SUMIFS('ноябрь 2025'!$G$2:$G$2583,'ноябрь 2025'!$D$2:$D$2583,$B3,'ноябрь 2025'!$J$2:$J$2583,AF$1)</f>
        <v>0</v>
      </c>
      <c r="AG3" s="76">
        <f>SUMIFS('ноябрь 2025'!$G$2:$G$2583,'ноябрь 2025'!$D$2:$D$2583,$B3,'ноябрь 2025'!$J$2:$J$2583,AG$1)</f>
        <v>0</v>
      </c>
      <c r="AH3" s="76">
        <f>SUMIFS('ноябрь 2025'!$G$2:$G$2583,'ноябрь 2025'!$D$2:$D$2583,$B3,'ноябрь 2025'!$J$2:$J$2583,AH$1)</f>
        <v>0</v>
      </c>
      <c r="AI3" s="48">
        <f t="shared" ref="AI3:AI166" si="1">SUM(D3:AH3)</f>
        <v>0</v>
      </c>
    </row>
    <row r="4" spans="2:35" ht="15" customHeight="1" x14ac:dyDescent="0.25">
      <c r="B4" s="276" t="s">
        <v>1574</v>
      </c>
      <c r="C4" s="277">
        <v>25</v>
      </c>
      <c r="D4" s="76">
        <f>SUMIFS('ноябрь 2025'!$G$2:$G$2583,'ноябрь 2025'!$D$2:$D$2583,$B4,'ноябрь 2025'!$J$2:$J$2583,D$1)</f>
        <v>0</v>
      </c>
      <c r="E4" s="76">
        <f>SUMIFS('ноябрь 2025'!$G$2:$G$2583,'ноябрь 2025'!$D$2:$D$2583,$B4,'ноябрь 2025'!$J$2:$J$2583,E$1)</f>
        <v>0</v>
      </c>
      <c r="F4" s="76">
        <f>SUMIFS('ноябрь 2025'!$G$2:$G$2583,'ноябрь 2025'!$D$2:$D$2583,$B4,'ноябрь 2025'!$J$2:$J$2583,F$1)</f>
        <v>0</v>
      </c>
      <c r="G4" s="76">
        <f>SUMIFS('ноябрь 2025'!$G$2:$G$2583,'ноябрь 2025'!$D$2:$D$2583,$B4,'ноябрь 2025'!$J$2:$J$2583,G$1)</f>
        <v>0</v>
      </c>
      <c r="H4" s="76">
        <f>SUMIFS('ноябрь 2025'!$G$2:$G$2583,'ноябрь 2025'!$D$2:$D$2583,$B4,'ноябрь 2025'!$J$2:$J$2583,H$1)</f>
        <v>0</v>
      </c>
      <c r="I4" s="76">
        <f>SUMIFS('ноябрь 2025'!$G$2:$G$2583,'ноябрь 2025'!$D$2:$D$2583,$B4,'ноябрь 2025'!$J$2:$J$2583,I$1)</f>
        <v>0</v>
      </c>
      <c r="J4" s="76">
        <f>SUMIFS('ноябрь 2025'!$G$2:$G$2583,'ноябрь 2025'!$D$2:$D$2583,$B4,'ноябрь 2025'!$J$2:$J$2583,J$1)</f>
        <v>0</v>
      </c>
      <c r="K4" s="76">
        <f>SUMIFS('ноябрь 2025'!$G$2:$G$2583,'ноябрь 2025'!$D$2:$D$2583,$B4,'ноябрь 2025'!$J$2:$J$2583,K$1)</f>
        <v>0</v>
      </c>
      <c r="L4" s="76">
        <f>SUMIFS('ноябрь 2025'!$G$2:$G$2583,'ноябрь 2025'!$D$2:$D$2583,$B4,'ноябрь 2025'!$J$2:$J$2583,L$1)</f>
        <v>0</v>
      </c>
      <c r="M4" s="76">
        <f>SUMIFS('ноябрь 2025'!$G$2:$G$2583,'ноябрь 2025'!$D$2:$D$2583,$B4,'ноябрь 2025'!$J$2:$J$2583,M$1)</f>
        <v>0</v>
      </c>
      <c r="N4" s="76">
        <f>SUMIFS('ноябрь 2025'!$G$2:$G$2583,'ноябрь 2025'!$D$2:$D$2583,$B4,'ноябрь 2025'!$J$2:$J$2583,N$1)</f>
        <v>0</v>
      </c>
      <c r="O4" s="76">
        <f>SUMIFS('ноябрь 2025'!$G$2:$G$2583,'ноябрь 2025'!$D$2:$D$2583,$B4,'ноябрь 2025'!$J$2:$J$2583,O$1)</f>
        <v>0</v>
      </c>
      <c r="P4" s="76">
        <f>SUMIFS('ноябрь 2025'!$G$2:$G$2583,'ноябрь 2025'!$D$2:$D$2583,$B4,'ноябрь 2025'!$J$2:$J$2583,P$1)</f>
        <v>0</v>
      </c>
      <c r="Q4" s="76">
        <f>SUMIFS('ноябрь 2025'!$G$2:$G$2583,'ноябрь 2025'!$D$2:$D$2583,$B4,'ноябрь 2025'!$J$2:$J$2583,Q$1)</f>
        <v>0</v>
      </c>
      <c r="R4" s="76">
        <f>SUMIFS('ноябрь 2025'!$G$2:$G$2583,'ноябрь 2025'!$D$2:$D$2583,$B4,'ноябрь 2025'!$J$2:$J$2583,R$1)</f>
        <v>0</v>
      </c>
      <c r="S4" s="76">
        <f>SUMIFS('ноябрь 2025'!$G$2:$G$2583,'ноябрь 2025'!$D$2:$D$2583,$B4,'ноябрь 2025'!$J$2:$J$2583,S$1)</f>
        <v>0</v>
      </c>
      <c r="T4" s="76">
        <f>SUMIFS('ноябрь 2025'!$G$2:$G$2583,'ноябрь 2025'!$D$2:$D$2583,$B4,'ноябрь 2025'!$J$2:$J$2583,T$1)</f>
        <v>0</v>
      </c>
      <c r="U4" s="76">
        <f>SUMIFS('ноябрь 2025'!$G$2:$G$2583,'ноябрь 2025'!$D$2:$D$2583,$B4,'ноябрь 2025'!$J$2:$J$2583,U$1)</f>
        <v>0</v>
      </c>
      <c r="V4" s="76">
        <f>SUMIFS('ноябрь 2025'!$G$2:$G$2583,'ноябрь 2025'!$D$2:$D$2583,$B4,'ноябрь 2025'!$J$2:$J$2583,V$1)</f>
        <v>0</v>
      </c>
      <c r="W4" s="76">
        <f>SUMIFS('ноябрь 2025'!$G$2:$G$2583,'ноябрь 2025'!$D$2:$D$2583,$B4,'ноябрь 2025'!$J$2:$J$2583,W$1)</f>
        <v>0</v>
      </c>
      <c r="X4" s="76">
        <f>SUMIFS('ноябрь 2025'!$G$2:$G$2583,'ноябрь 2025'!$D$2:$D$2583,$B4,'ноябрь 2025'!$J$2:$J$2583,X$1)</f>
        <v>0</v>
      </c>
      <c r="Y4" s="76">
        <f>SUMIFS('ноябрь 2025'!$G$2:$G$2583,'ноябрь 2025'!$D$2:$D$2583,$B4,'ноябрь 2025'!$J$2:$J$2583,Y$1)</f>
        <v>0</v>
      </c>
      <c r="Z4" s="76">
        <f>SUMIFS('ноябрь 2025'!$G$2:$G$2583,'ноябрь 2025'!$D$2:$D$2583,$B4,'ноябрь 2025'!$J$2:$J$2583,Z$1)</f>
        <v>0</v>
      </c>
      <c r="AA4" s="76">
        <f>SUMIFS('ноябрь 2025'!$G$2:$G$2583,'ноябрь 2025'!$D$2:$D$2583,$B4,'ноябрь 2025'!$J$2:$J$2583,AA$1)</f>
        <v>0</v>
      </c>
      <c r="AB4" s="76">
        <f>SUMIFS('ноябрь 2025'!$G$2:$G$2583,'ноябрь 2025'!$D$2:$D$2583,$B4,'ноябрь 2025'!$J$2:$J$2583,AB$1)</f>
        <v>0</v>
      </c>
      <c r="AC4" s="76">
        <f>SUMIFS('ноябрь 2025'!$G$2:$G$2583,'ноябрь 2025'!$D$2:$D$2583,$B4,'ноябрь 2025'!$J$2:$J$2583,AC$1)</f>
        <v>0</v>
      </c>
      <c r="AD4" s="76">
        <f>SUMIFS('ноябрь 2025'!$G$2:$G$2583,'ноябрь 2025'!$D$2:$D$2583,$B4,'ноябрь 2025'!$J$2:$J$2583,AD$1)</f>
        <v>0</v>
      </c>
      <c r="AE4" s="76">
        <f>SUMIFS('ноябрь 2025'!$G$2:$G$2583,'ноябрь 2025'!$D$2:$D$2583,$B4,'ноябрь 2025'!$J$2:$J$2583,AE$1)</f>
        <v>0</v>
      </c>
      <c r="AF4" s="76">
        <f>SUMIFS('ноябрь 2025'!$G$2:$G$2583,'ноябрь 2025'!$D$2:$D$2583,$B4,'ноябрь 2025'!$J$2:$J$2583,AF$1)</f>
        <v>0</v>
      </c>
      <c r="AG4" s="76">
        <f>SUMIFS('ноябрь 2025'!$G$2:$G$2583,'ноябрь 2025'!$D$2:$D$2583,$B4,'ноябрь 2025'!$J$2:$J$2583,AG$1)</f>
        <v>0</v>
      </c>
      <c r="AH4" s="76">
        <f>SUMIFS('ноябрь 2025'!$G$2:$G$2583,'ноябрь 2025'!$D$2:$D$2583,$B4,'ноябрь 2025'!$J$2:$J$2583,AH$1)</f>
        <v>0</v>
      </c>
      <c r="AI4" s="278">
        <f t="shared" si="1"/>
        <v>0</v>
      </c>
    </row>
    <row r="5" spans="2:35" ht="15" customHeight="1" x14ac:dyDescent="0.25">
      <c r="B5" s="77" t="s">
        <v>214</v>
      </c>
      <c r="C5" s="78">
        <v>25</v>
      </c>
      <c r="D5" s="76">
        <f>SUMIFS('ноябрь 2025'!$G$2:$G$2583,'ноябрь 2025'!$D$2:$D$2583,$B5,'ноябрь 2025'!$J$2:$J$2583,D$1)</f>
        <v>0</v>
      </c>
      <c r="E5" s="76">
        <f>SUMIFS('ноябрь 2025'!$G$2:$G$2583,'ноябрь 2025'!$D$2:$D$2583,$B5,'ноябрь 2025'!$J$2:$J$2583,E$1)</f>
        <v>0</v>
      </c>
      <c r="F5" s="76">
        <f>SUMIFS('ноябрь 2025'!$G$2:$G$2583,'ноябрь 2025'!$D$2:$D$2583,$B5,'ноябрь 2025'!$J$2:$J$2583,F$1)</f>
        <v>0</v>
      </c>
      <c r="G5" s="76">
        <f>SUMIFS('ноябрь 2025'!$G$2:$G$2583,'ноябрь 2025'!$D$2:$D$2583,$B5,'ноябрь 2025'!$J$2:$J$2583,G$1)</f>
        <v>0</v>
      </c>
      <c r="H5" s="76">
        <f>SUMIFS('ноябрь 2025'!$G$2:$G$2583,'ноябрь 2025'!$D$2:$D$2583,$B5,'ноябрь 2025'!$J$2:$J$2583,H$1)</f>
        <v>0</v>
      </c>
      <c r="I5" s="76">
        <f>SUMIFS('ноябрь 2025'!$G$2:$G$2583,'ноябрь 2025'!$D$2:$D$2583,$B5,'ноябрь 2025'!$J$2:$J$2583,I$1)</f>
        <v>0</v>
      </c>
      <c r="J5" s="76">
        <f>SUMIFS('ноябрь 2025'!$G$2:$G$2583,'ноябрь 2025'!$D$2:$D$2583,$B5,'ноябрь 2025'!$J$2:$J$2583,J$1)</f>
        <v>0</v>
      </c>
      <c r="K5" s="76">
        <f>SUMIFS('ноябрь 2025'!$G$2:$G$2583,'ноябрь 2025'!$D$2:$D$2583,$B5,'ноябрь 2025'!$J$2:$J$2583,K$1)</f>
        <v>0</v>
      </c>
      <c r="L5" s="76">
        <f>SUMIFS('ноябрь 2025'!$G$2:$G$2583,'ноябрь 2025'!$D$2:$D$2583,$B5,'ноябрь 2025'!$J$2:$J$2583,L$1)</f>
        <v>0</v>
      </c>
      <c r="M5" s="76">
        <f>SUMIFS('ноябрь 2025'!$G$2:$G$2583,'ноябрь 2025'!$D$2:$D$2583,$B5,'ноябрь 2025'!$J$2:$J$2583,M$1)</f>
        <v>0</v>
      </c>
      <c r="N5" s="76">
        <f>SUMIFS('ноябрь 2025'!$G$2:$G$2583,'ноябрь 2025'!$D$2:$D$2583,$B5,'ноябрь 2025'!$J$2:$J$2583,N$1)</f>
        <v>0</v>
      </c>
      <c r="O5" s="76">
        <f>SUMIFS('ноябрь 2025'!$G$2:$G$2583,'ноябрь 2025'!$D$2:$D$2583,$B5,'ноябрь 2025'!$J$2:$J$2583,O$1)</f>
        <v>0</v>
      </c>
      <c r="P5" s="76">
        <f>SUMIFS('ноябрь 2025'!$G$2:$G$2583,'ноябрь 2025'!$D$2:$D$2583,$B5,'ноябрь 2025'!$J$2:$J$2583,P$1)</f>
        <v>0</v>
      </c>
      <c r="Q5" s="76">
        <f>SUMIFS('ноябрь 2025'!$G$2:$G$2583,'ноябрь 2025'!$D$2:$D$2583,$B5,'ноябрь 2025'!$J$2:$J$2583,Q$1)</f>
        <v>0</v>
      </c>
      <c r="R5" s="76">
        <f>SUMIFS('ноябрь 2025'!$G$2:$G$2583,'ноябрь 2025'!$D$2:$D$2583,$B5,'ноябрь 2025'!$J$2:$J$2583,R$1)</f>
        <v>0</v>
      </c>
      <c r="S5" s="76">
        <f>SUMIFS('ноябрь 2025'!$G$2:$G$2583,'ноябрь 2025'!$D$2:$D$2583,$B5,'ноябрь 2025'!$J$2:$J$2583,S$1)</f>
        <v>0</v>
      </c>
      <c r="T5" s="76">
        <f>SUMIFS('ноябрь 2025'!$G$2:$G$2583,'ноябрь 2025'!$D$2:$D$2583,$B5,'ноябрь 2025'!$J$2:$J$2583,T$1)</f>
        <v>0</v>
      </c>
      <c r="U5" s="76">
        <f>SUMIFS('ноябрь 2025'!$G$2:$G$2583,'ноябрь 2025'!$D$2:$D$2583,$B5,'ноябрь 2025'!$J$2:$J$2583,U$1)</f>
        <v>0</v>
      </c>
      <c r="V5" s="76">
        <f>SUMIFS('ноябрь 2025'!$G$2:$G$2583,'ноябрь 2025'!$D$2:$D$2583,$B5,'ноябрь 2025'!$J$2:$J$2583,V$1)</f>
        <v>0</v>
      </c>
      <c r="W5" s="76">
        <f>SUMIFS('ноябрь 2025'!$G$2:$G$2583,'ноябрь 2025'!$D$2:$D$2583,$B5,'ноябрь 2025'!$J$2:$J$2583,W$1)</f>
        <v>0</v>
      </c>
      <c r="X5" s="76">
        <f>SUMIFS('ноябрь 2025'!$G$2:$G$2583,'ноябрь 2025'!$D$2:$D$2583,$B5,'ноябрь 2025'!$J$2:$J$2583,X$1)</f>
        <v>0</v>
      </c>
      <c r="Y5" s="76">
        <f>SUMIFS('ноябрь 2025'!$G$2:$G$2583,'ноябрь 2025'!$D$2:$D$2583,$B5,'ноябрь 2025'!$J$2:$J$2583,Y$1)</f>
        <v>0</v>
      </c>
      <c r="Z5" s="76">
        <f>SUMIFS('ноябрь 2025'!$G$2:$G$2583,'ноябрь 2025'!$D$2:$D$2583,$B5,'ноябрь 2025'!$J$2:$J$2583,Z$1)</f>
        <v>0</v>
      </c>
      <c r="AA5" s="76">
        <f>SUMIFS('ноябрь 2025'!$G$2:$G$2583,'ноябрь 2025'!$D$2:$D$2583,$B5,'ноябрь 2025'!$J$2:$J$2583,AA$1)</f>
        <v>0</v>
      </c>
      <c r="AB5" s="76">
        <f>SUMIFS('ноябрь 2025'!$G$2:$G$2583,'ноябрь 2025'!$D$2:$D$2583,$B5,'ноябрь 2025'!$J$2:$J$2583,AB$1)</f>
        <v>0</v>
      </c>
      <c r="AC5" s="76">
        <f>SUMIFS('ноябрь 2025'!$G$2:$G$2583,'ноябрь 2025'!$D$2:$D$2583,$B5,'ноябрь 2025'!$J$2:$J$2583,AC$1)</f>
        <v>0</v>
      </c>
      <c r="AD5" s="76">
        <f>SUMIFS('ноябрь 2025'!$G$2:$G$2583,'ноябрь 2025'!$D$2:$D$2583,$B5,'ноябрь 2025'!$J$2:$J$2583,AD$1)</f>
        <v>0</v>
      </c>
      <c r="AE5" s="76">
        <f>SUMIFS('ноябрь 2025'!$G$2:$G$2583,'ноябрь 2025'!$D$2:$D$2583,$B5,'ноябрь 2025'!$J$2:$J$2583,AE$1)</f>
        <v>0</v>
      </c>
      <c r="AF5" s="76">
        <f>SUMIFS('ноябрь 2025'!$G$2:$G$2583,'ноябрь 2025'!$D$2:$D$2583,$B5,'ноябрь 2025'!$J$2:$J$2583,AF$1)</f>
        <v>0</v>
      </c>
      <c r="AG5" s="76">
        <f>SUMIFS('ноябрь 2025'!$G$2:$G$2583,'ноябрь 2025'!$D$2:$D$2583,$B5,'ноябрь 2025'!$J$2:$J$2583,AG$1)</f>
        <v>0</v>
      </c>
      <c r="AH5" s="76">
        <f>SUMIFS('ноябрь 2025'!$G$2:$G$2583,'ноябрь 2025'!$D$2:$D$2583,$B5,'ноябрь 2025'!$J$2:$J$2583,AH$1)</f>
        <v>0</v>
      </c>
      <c r="AI5" s="20">
        <f t="shared" si="1"/>
        <v>0</v>
      </c>
    </row>
    <row r="6" spans="2:35" ht="15" customHeight="1" x14ac:dyDescent="0.25">
      <c r="B6" s="77" t="s">
        <v>216</v>
      </c>
      <c r="C6" s="78">
        <v>25</v>
      </c>
      <c r="D6" s="76">
        <f>SUMIFS('ноябрь 2025'!$G$2:$G$2583,'ноябрь 2025'!$D$2:$D$2583,$B6,'ноябрь 2025'!$J$2:$J$2583,D$1)</f>
        <v>0</v>
      </c>
      <c r="E6" s="76">
        <f>SUMIFS('ноябрь 2025'!$G$2:$G$2583,'ноябрь 2025'!$D$2:$D$2583,$B6,'ноябрь 2025'!$J$2:$J$2583,E$1)</f>
        <v>0</v>
      </c>
      <c r="F6" s="76">
        <f>SUMIFS('ноябрь 2025'!$G$2:$G$2583,'ноябрь 2025'!$D$2:$D$2583,$B6,'ноябрь 2025'!$J$2:$J$2583,F$1)</f>
        <v>0</v>
      </c>
      <c r="G6" s="76">
        <f>SUMIFS('ноябрь 2025'!$G$2:$G$2583,'ноябрь 2025'!$D$2:$D$2583,$B6,'ноябрь 2025'!$J$2:$J$2583,G$1)</f>
        <v>0</v>
      </c>
      <c r="H6" s="76">
        <f>SUMIFS('ноябрь 2025'!$G$2:$G$2583,'ноябрь 2025'!$D$2:$D$2583,$B6,'ноябрь 2025'!$J$2:$J$2583,H$1)</f>
        <v>0</v>
      </c>
      <c r="I6" s="76">
        <f>SUMIFS('ноябрь 2025'!$G$2:$G$2583,'ноябрь 2025'!$D$2:$D$2583,$B6,'ноябрь 2025'!$J$2:$J$2583,I$1)</f>
        <v>0</v>
      </c>
      <c r="J6" s="76">
        <f>SUMIFS('ноябрь 2025'!$G$2:$G$2583,'ноябрь 2025'!$D$2:$D$2583,$B6,'ноябрь 2025'!$J$2:$J$2583,J$1)</f>
        <v>0</v>
      </c>
      <c r="K6" s="76">
        <f>SUMIFS('ноябрь 2025'!$G$2:$G$2583,'ноябрь 2025'!$D$2:$D$2583,$B6,'ноябрь 2025'!$J$2:$J$2583,K$1)</f>
        <v>0</v>
      </c>
      <c r="L6" s="76">
        <f>SUMIFS('ноябрь 2025'!$G$2:$G$2583,'ноябрь 2025'!$D$2:$D$2583,$B6,'ноябрь 2025'!$J$2:$J$2583,L$1)</f>
        <v>0</v>
      </c>
      <c r="M6" s="76">
        <f>SUMIFS('ноябрь 2025'!$G$2:$G$2583,'ноябрь 2025'!$D$2:$D$2583,$B6,'ноябрь 2025'!$J$2:$J$2583,M$1)</f>
        <v>0</v>
      </c>
      <c r="N6" s="76">
        <f>SUMIFS('ноябрь 2025'!$G$2:$G$2583,'ноябрь 2025'!$D$2:$D$2583,$B6,'ноябрь 2025'!$J$2:$J$2583,N$1)</f>
        <v>0</v>
      </c>
      <c r="O6" s="76">
        <f>SUMIFS('ноябрь 2025'!$G$2:$G$2583,'ноябрь 2025'!$D$2:$D$2583,$B6,'ноябрь 2025'!$J$2:$J$2583,O$1)</f>
        <v>0</v>
      </c>
      <c r="P6" s="76">
        <f>SUMIFS('ноябрь 2025'!$G$2:$G$2583,'ноябрь 2025'!$D$2:$D$2583,$B6,'ноябрь 2025'!$J$2:$J$2583,P$1)</f>
        <v>0</v>
      </c>
      <c r="Q6" s="76">
        <f>SUMIFS('ноябрь 2025'!$G$2:$G$2583,'ноябрь 2025'!$D$2:$D$2583,$B6,'ноябрь 2025'!$J$2:$J$2583,Q$1)</f>
        <v>0</v>
      </c>
      <c r="R6" s="76">
        <f>SUMIFS('ноябрь 2025'!$G$2:$G$2583,'ноябрь 2025'!$D$2:$D$2583,$B6,'ноябрь 2025'!$J$2:$J$2583,R$1)</f>
        <v>0</v>
      </c>
      <c r="S6" s="76">
        <f>SUMIFS('ноябрь 2025'!$G$2:$G$2583,'ноябрь 2025'!$D$2:$D$2583,$B6,'ноябрь 2025'!$J$2:$J$2583,S$1)</f>
        <v>0</v>
      </c>
      <c r="T6" s="76">
        <f>SUMIFS('ноябрь 2025'!$G$2:$G$2583,'ноябрь 2025'!$D$2:$D$2583,$B6,'ноябрь 2025'!$J$2:$J$2583,T$1)</f>
        <v>0</v>
      </c>
      <c r="U6" s="76">
        <f>SUMIFS('ноябрь 2025'!$G$2:$G$2583,'ноябрь 2025'!$D$2:$D$2583,$B6,'ноябрь 2025'!$J$2:$J$2583,U$1)</f>
        <v>0</v>
      </c>
      <c r="V6" s="76">
        <f>SUMIFS('ноябрь 2025'!$G$2:$G$2583,'ноябрь 2025'!$D$2:$D$2583,$B6,'ноябрь 2025'!$J$2:$J$2583,V$1)</f>
        <v>0</v>
      </c>
      <c r="W6" s="76">
        <f>SUMIFS('ноябрь 2025'!$G$2:$G$2583,'ноябрь 2025'!$D$2:$D$2583,$B6,'ноябрь 2025'!$J$2:$J$2583,W$1)</f>
        <v>0</v>
      </c>
      <c r="X6" s="76">
        <f>SUMIFS('ноябрь 2025'!$G$2:$G$2583,'ноябрь 2025'!$D$2:$D$2583,$B6,'ноябрь 2025'!$J$2:$J$2583,X$1)</f>
        <v>0</v>
      </c>
      <c r="Y6" s="76">
        <f>SUMIFS('ноябрь 2025'!$G$2:$G$2583,'ноябрь 2025'!$D$2:$D$2583,$B6,'ноябрь 2025'!$J$2:$J$2583,Y$1)</f>
        <v>0</v>
      </c>
      <c r="Z6" s="76">
        <f>SUMIFS('ноябрь 2025'!$G$2:$G$2583,'ноябрь 2025'!$D$2:$D$2583,$B6,'ноябрь 2025'!$J$2:$J$2583,Z$1)</f>
        <v>0</v>
      </c>
      <c r="AA6" s="76">
        <f>SUMIFS('ноябрь 2025'!$G$2:$G$2583,'ноябрь 2025'!$D$2:$D$2583,$B6,'ноябрь 2025'!$J$2:$J$2583,AA$1)</f>
        <v>0</v>
      </c>
      <c r="AB6" s="76">
        <f>SUMIFS('ноябрь 2025'!$G$2:$G$2583,'ноябрь 2025'!$D$2:$D$2583,$B6,'ноябрь 2025'!$J$2:$J$2583,AB$1)</f>
        <v>0</v>
      </c>
      <c r="AC6" s="76">
        <f>SUMIFS('ноябрь 2025'!$G$2:$G$2583,'ноябрь 2025'!$D$2:$D$2583,$B6,'ноябрь 2025'!$J$2:$J$2583,AC$1)</f>
        <v>0</v>
      </c>
      <c r="AD6" s="76">
        <f>SUMIFS('ноябрь 2025'!$G$2:$G$2583,'ноябрь 2025'!$D$2:$D$2583,$B6,'ноябрь 2025'!$J$2:$J$2583,AD$1)</f>
        <v>0</v>
      </c>
      <c r="AE6" s="76">
        <f>SUMIFS('ноябрь 2025'!$G$2:$G$2583,'ноябрь 2025'!$D$2:$D$2583,$B6,'ноябрь 2025'!$J$2:$J$2583,AE$1)</f>
        <v>0</v>
      </c>
      <c r="AF6" s="76">
        <f>SUMIFS('ноябрь 2025'!$G$2:$G$2583,'ноябрь 2025'!$D$2:$D$2583,$B6,'ноябрь 2025'!$J$2:$J$2583,AF$1)</f>
        <v>0</v>
      </c>
      <c r="AG6" s="76">
        <f>SUMIFS('ноябрь 2025'!$G$2:$G$2583,'ноябрь 2025'!$D$2:$D$2583,$B6,'ноябрь 2025'!$J$2:$J$2583,AG$1)</f>
        <v>0</v>
      </c>
      <c r="AH6" s="76">
        <f>SUMIFS('ноябрь 2025'!$G$2:$G$2583,'ноябрь 2025'!$D$2:$D$2583,$B6,'ноябрь 2025'!$J$2:$J$2583,AH$1)</f>
        <v>0</v>
      </c>
      <c r="AI6" s="20">
        <f t="shared" si="1"/>
        <v>0</v>
      </c>
    </row>
    <row r="7" spans="2:35" ht="15" customHeight="1" x14ac:dyDescent="0.25">
      <c r="B7" s="77" t="s">
        <v>218</v>
      </c>
      <c r="C7" s="78">
        <v>22.7</v>
      </c>
      <c r="D7" s="76">
        <f>SUMIFS('ноябрь 2025'!$G$2:$G$2583,'ноябрь 2025'!$D$2:$D$2583,$B7,'ноябрь 2025'!$J$2:$J$2583,D$1)</f>
        <v>0</v>
      </c>
      <c r="E7" s="76">
        <f>SUMIFS('ноябрь 2025'!$G$2:$G$2583,'ноябрь 2025'!$D$2:$D$2583,$B7,'ноябрь 2025'!$J$2:$J$2583,E$1)</f>
        <v>0</v>
      </c>
      <c r="F7" s="76">
        <f>SUMIFS('ноябрь 2025'!$G$2:$G$2583,'ноябрь 2025'!$D$2:$D$2583,$B7,'ноябрь 2025'!$J$2:$J$2583,F$1)</f>
        <v>0</v>
      </c>
      <c r="G7" s="76">
        <f>SUMIFS('ноябрь 2025'!$G$2:$G$2583,'ноябрь 2025'!$D$2:$D$2583,$B7,'ноябрь 2025'!$J$2:$J$2583,G$1)</f>
        <v>0</v>
      </c>
      <c r="H7" s="76">
        <f>SUMIFS('ноябрь 2025'!$G$2:$G$2583,'ноябрь 2025'!$D$2:$D$2583,$B7,'ноябрь 2025'!$J$2:$J$2583,H$1)</f>
        <v>0</v>
      </c>
      <c r="I7" s="76">
        <f>SUMIFS('ноябрь 2025'!$G$2:$G$2583,'ноябрь 2025'!$D$2:$D$2583,$B7,'ноябрь 2025'!$J$2:$J$2583,I$1)</f>
        <v>0</v>
      </c>
      <c r="J7" s="76">
        <f>SUMIFS('ноябрь 2025'!$G$2:$G$2583,'ноябрь 2025'!$D$2:$D$2583,$B7,'ноябрь 2025'!$J$2:$J$2583,J$1)</f>
        <v>0</v>
      </c>
      <c r="K7" s="76">
        <f>SUMIFS('ноябрь 2025'!$G$2:$G$2583,'ноябрь 2025'!$D$2:$D$2583,$B7,'ноябрь 2025'!$J$2:$J$2583,K$1)</f>
        <v>0</v>
      </c>
      <c r="L7" s="76">
        <f>SUMIFS('ноябрь 2025'!$G$2:$G$2583,'ноябрь 2025'!$D$2:$D$2583,$B7,'ноябрь 2025'!$J$2:$J$2583,L$1)</f>
        <v>0</v>
      </c>
      <c r="M7" s="76">
        <f>SUMIFS('ноябрь 2025'!$G$2:$G$2583,'ноябрь 2025'!$D$2:$D$2583,$B7,'ноябрь 2025'!$J$2:$J$2583,M$1)</f>
        <v>0</v>
      </c>
      <c r="N7" s="76">
        <f>SUMIFS('ноябрь 2025'!$G$2:$G$2583,'ноябрь 2025'!$D$2:$D$2583,$B7,'ноябрь 2025'!$J$2:$J$2583,N$1)</f>
        <v>0</v>
      </c>
      <c r="O7" s="76">
        <f>SUMIFS('ноябрь 2025'!$G$2:$G$2583,'ноябрь 2025'!$D$2:$D$2583,$B7,'ноябрь 2025'!$J$2:$J$2583,O$1)</f>
        <v>0</v>
      </c>
      <c r="P7" s="76">
        <f>SUMIFS('ноябрь 2025'!$G$2:$G$2583,'ноябрь 2025'!$D$2:$D$2583,$B7,'ноябрь 2025'!$J$2:$J$2583,P$1)</f>
        <v>0</v>
      </c>
      <c r="Q7" s="76">
        <f>SUMIFS('ноябрь 2025'!$G$2:$G$2583,'ноябрь 2025'!$D$2:$D$2583,$B7,'ноябрь 2025'!$J$2:$J$2583,Q$1)</f>
        <v>0</v>
      </c>
      <c r="R7" s="76">
        <f>SUMIFS('ноябрь 2025'!$G$2:$G$2583,'ноябрь 2025'!$D$2:$D$2583,$B7,'ноябрь 2025'!$J$2:$J$2583,R$1)</f>
        <v>0</v>
      </c>
      <c r="S7" s="76">
        <f>SUMIFS('ноябрь 2025'!$G$2:$G$2583,'ноябрь 2025'!$D$2:$D$2583,$B7,'ноябрь 2025'!$J$2:$J$2583,S$1)</f>
        <v>0</v>
      </c>
      <c r="T7" s="76">
        <f>SUMIFS('ноябрь 2025'!$G$2:$G$2583,'ноябрь 2025'!$D$2:$D$2583,$B7,'ноябрь 2025'!$J$2:$J$2583,T$1)</f>
        <v>0</v>
      </c>
      <c r="U7" s="76">
        <f>SUMIFS('ноябрь 2025'!$G$2:$G$2583,'ноябрь 2025'!$D$2:$D$2583,$B7,'ноябрь 2025'!$J$2:$J$2583,U$1)</f>
        <v>0</v>
      </c>
      <c r="V7" s="76">
        <f>SUMIFS('ноябрь 2025'!$G$2:$G$2583,'ноябрь 2025'!$D$2:$D$2583,$B7,'ноябрь 2025'!$J$2:$J$2583,V$1)</f>
        <v>0</v>
      </c>
      <c r="W7" s="76">
        <f>SUMIFS('ноябрь 2025'!$G$2:$G$2583,'ноябрь 2025'!$D$2:$D$2583,$B7,'ноябрь 2025'!$J$2:$J$2583,W$1)</f>
        <v>0</v>
      </c>
      <c r="X7" s="76">
        <f>SUMIFS('ноябрь 2025'!$G$2:$G$2583,'ноябрь 2025'!$D$2:$D$2583,$B7,'ноябрь 2025'!$J$2:$J$2583,X$1)</f>
        <v>0</v>
      </c>
      <c r="Y7" s="76">
        <f>SUMIFS('ноябрь 2025'!$G$2:$G$2583,'ноябрь 2025'!$D$2:$D$2583,$B7,'ноябрь 2025'!$J$2:$J$2583,Y$1)</f>
        <v>0</v>
      </c>
      <c r="Z7" s="76">
        <f>SUMIFS('ноябрь 2025'!$G$2:$G$2583,'ноябрь 2025'!$D$2:$D$2583,$B7,'ноябрь 2025'!$J$2:$J$2583,Z$1)</f>
        <v>0</v>
      </c>
      <c r="AA7" s="76">
        <f>SUMIFS('ноябрь 2025'!$G$2:$G$2583,'ноябрь 2025'!$D$2:$D$2583,$B7,'ноябрь 2025'!$J$2:$J$2583,AA$1)</f>
        <v>0</v>
      </c>
      <c r="AB7" s="76">
        <f>SUMIFS('ноябрь 2025'!$G$2:$G$2583,'ноябрь 2025'!$D$2:$D$2583,$B7,'ноябрь 2025'!$J$2:$J$2583,AB$1)</f>
        <v>0</v>
      </c>
      <c r="AC7" s="76">
        <f>SUMIFS('ноябрь 2025'!$G$2:$G$2583,'ноябрь 2025'!$D$2:$D$2583,$B7,'ноябрь 2025'!$J$2:$J$2583,AC$1)</f>
        <v>0</v>
      </c>
      <c r="AD7" s="76">
        <f>SUMIFS('ноябрь 2025'!$G$2:$G$2583,'ноябрь 2025'!$D$2:$D$2583,$B7,'ноябрь 2025'!$J$2:$J$2583,AD$1)</f>
        <v>0</v>
      </c>
      <c r="AE7" s="76">
        <f>SUMIFS('ноябрь 2025'!$G$2:$G$2583,'ноябрь 2025'!$D$2:$D$2583,$B7,'ноябрь 2025'!$J$2:$J$2583,AE$1)</f>
        <v>0</v>
      </c>
      <c r="AF7" s="76">
        <f>SUMIFS('ноябрь 2025'!$G$2:$G$2583,'ноябрь 2025'!$D$2:$D$2583,$B7,'ноябрь 2025'!$J$2:$J$2583,AF$1)</f>
        <v>0</v>
      </c>
      <c r="AG7" s="76">
        <f>SUMIFS('ноябрь 2025'!$G$2:$G$2583,'ноябрь 2025'!$D$2:$D$2583,$B7,'ноябрь 2025'!$J$2:$J$2583,AG$1)</f>
        <v>0</v>
      </c>
      <c r="AH7" s="76">
        <f>SUMIFS('ноябрь 2025'!$G$2:$G$2583,'ноябрь 2025'!$D$2:$D$2583,$B7,'ноябрь 2025'!$J$2:$J$2583,AH$1)</f>
        <v>0</v>
      </c>
      <c r="AI7" s="20">
        <f t="shared" si="1"/>
        <v>0</v>
      </c>
    </row>
    <row r="8" spans="2:35" ht="15" customHeight="1" x14ac:dyDescent="0.25">
      <c r="B8" s="77" t="s">
        <v>220</v>
      </c>
      <c r="C8" s="78">
        <v>22.7</v>
      </c>
      <c r="D8" s="76">
        <f>SUMIFS('ноябрь 2025'!$G$2:$G$2583,'ноябрь 2025'!$D$2:$D$2583,$B8,'ноябрь 2025'!$J$2:$J$2583,D$1)</f>
        <v>0</v>
      </c>
      <c r="E8" s="76">
        <f>SUMIFS('ноябрь 2025'!$G$2:$G$2583,'ноябрь 2025'!$D$2:$D$2583,$B8,'ноябрь 2025'!$J$2:$J$2583,E$1)</f>
        <v>0</v>
      </c>
      <c r="F8" s="76">
        <f>SUMIFS('ноябрь 2025'!$G$2:$G$2583,'ноябрь 2025'!$D$2:$D$2583,$B8,'ноябрь 2025'!$J$2:$J$2583,F$1)</f>
        <v>0</v>
      </c>
      <c r="G8" s="76">
        <f>SUMIFS('ноябрь 2025'!$G$2:$G$2583,'ноябрь 2025'!$D$2:$D$2583,$B8,'ноябрь 2025'!$J$2:$J$2583,G$1)</f>
        <v>0</v>
      </c>
      <c r="H8" s="76">
        <f>SUMIFS('ноябрь 2025'!$G$2:$G$2583,'ноябрь 2025'!$D$2:$D$2583,$B8,'ноябрь 2025'!$J$2:$J$2583,H$1)</f>
        <v>0</v>
      </c>
      <c r="I8" s="76">
        <f>SUMIFS('ноябрь 2025'!$G$2:$G$2583,'ноябрь 2025'!$D$2:$D$2583,$B8,'ноябрь 2025'!$J$2:$J$2583,I$1)</f>
        <v>0</v>
      </c>
      <c r="J8" s="76">
        <f>SUMIFS('ноябрь 2025'!$G$2:$G$2583,'ноябрь 2025'!$D$2:$D$2583,$B8,'ноябрь 2025'!$J$2:$J$2583,J$1)</f>
        <v>0</v>
      </c>
      <c r="K8" s="76">
        <f>SUMIFS('ноябрь 2025'!$G$2:$G$2583,'ноябрь 2025'!$D$2:$D$2583,$B8,'ноябрь 2025'!$J$2:$J$2583,K$1)</f>
        <v>0</v>
      </c>
      <c r="L8" s="76">
        <f>SUMIFS('ноябрь 2025'!$G$2:$G$2583,'ноябрь 2025'!$D$2:$D$2583,$B8,'ноябрь 2025'!$J$2:$J$2583,L$1)</f>
        <v>0</v>
      </c>
      <c r="M8" s="76">
        <f>SUMIFS('ноябрь 2025'!$G$2:$G$2583,'ноябрь 2025'!$D$2:$D$2583,$B8,'ноябрь 2025'!$J$2:$J$2583,M$1)</f>
        <v>0</v>
      </c>
      <c r="N8" s="76">
        <f>SUMIFS('ноябрь 2025'!$G$2:$G$2583,'ноябрь 2025'!$D$2:$D$2583,$B8,'ноябрь 2025'!$J$2:$J$2583,N$1)</f>
        <v>0</v>
      </c>
      <c r="O8" s="76">
        <f>SUMIFS('ноябрь 2025'!$G$2:$G$2583,'ноябрь 2025'!$D$2:$D$2583,$B8,'ноябрь 2025'!$J$2:$J$2583,O$1)</f>
        <v>0</v>
      </c>
      <c r="P8" s="76">
        <f>SUMIFS('ноябрь 2025'!$G$2:$G$2583,'ноябрь 2025'!$D$2:$D$2583,$B8,'ноябрь 2025'!$J$2:$J$2583,P$1)</f>
        <v>0</v>
      </c>
      <c r="Q8" s="76">
        <f>SUMIFS('ноябрь 2025'!$G$2:$G$2583,'ноябрь 2025'!$D$2:$D$2583,$B8,'ноябрь 2025'!$J$2:$J$2583,Q$1)</f>
        <v>0</v>
      </c>
      <c r="R8" s="76">
        <f>SUMIFS('ноябрь 2025'!$G$2:$G$2583,'ноябрь 2025'!$D$2:$D$2583,$B8,'ноябрь 2025'!$J$2:$J$2583,R$1)</f>
        <v>0</v>
      </c>
      <c r="S8" s="76">
        <f>SUMIFS('ноябрь 2025'!$G$2:$G$2583,'ноябрь 2025'!$D$2:$D$2583,$B8,'ноябрь 2025'!$J$2:$J$2583,S$1)</f>
        <v>0</v>
      </c>
      <c r="T8" s="76">
        <f>SUMIFS('ноябрь 2025'!$G$2:$G$2583,'ноябрь 2025'!$D$2:$D$2583,$B8,'ноябрь 2025'!$J$2:$J$2583,T$1)</f>
        <v>0</v>
      </c>
      <c r="U8" s="76">
        <f>SUMIFS('ноябрь 2025'!$G$2:$G$2583,'ноябрь 2025'!$D$2:$D$2583,$B8,'ноябрь 2025'!$J$2:$J$2583,U$1)</f>
        <v>0</v>
      </c>
      <c r="V8" s="76">
        <f>SUMIFS('ноябрь 2025'!$G$2:$G$2583,'ноябрь 2025'!$D$2:$D$2583,$B8,'ноябрь 2025'!$J$2:$J$2583,V$1)</f>
        <v>0</v>
      </c>
      <c r="W8" s="76">
        <f>SUMIFS('ноябрь 2025'!$G$2:$G$2583,'ноябрь 2025'!$D$2:$D$2583,$B8,'ноябрь 2025'!$J$2:$J$2583,W$1)</f>
        <v>0</v>
      </c>
      <c r="X8" s="76">
        <f>SUMIFS('ноябрь 2025'!$G$2:$G$2583,'ноябрь 2025'!$D$2:$D$2583,$B8,'ноябрь 2025'!$J$2:$J$2583,X$1)</f>
        <v>0</v>
      </c>
      <c r="Y8" s="76">
        <f>SUMIFS('ноябрь 2025'!$G$2:$G$2583,'ноябрь 2025'!$D$2:$D$2583,$B8,'ноябрь 2025'!$J$2:$J$2583,Y$1)</f>
        <v>0</v>
      </c>
      <c r="Z8" s="76">
        <f>SUMIFS('ноябрь 2025'!$G$2:$G$2583,'ноябрь 2025'!$D$2:$D$2583,$B8,'ноябрь 2025'!$J$2:$J$2583,Z$1)</f>
        <v>0</v>
      </c>
      <c r="AA8" s="76">
        <f>SUMIFS('ноябрь 2025'!$G$2:$G$2583,'ноябрь 2025'!$D$2:$D$2583,$B8,'ноябрь 2025'!$J$2:$J$2583,AA$1)</f>
        <v>0</v>
      </c>
      <c r="AB8" s="76">
        <f>SUMIFS('ноябрь 2025'!$G$2:$G$2583,'ноябрь 2025'!$D$2:$D$2583,$B8,'ноябрь 2025'!$J$2:$J$2583,AB$1)</f>
        <v>0</v>
      </c>
      <c r="AC8" s="76">
        <f>SUMIFS('ноябрь 2025'!$G$2:$G$2583,'ноябрь 2025'!$D$2:$D$2583,$B8,'ноябрь 2025'!$J$2:$J$2583,AC$1)</f>
        <v>0</v>
      </c>
      <c r="AD8" s="76">
        <f>SUMIFS('ноябрь 2025'!$G$2:$G$2583,'ноябрь 2025'!$D$2:$D$2583,$B8,'ноябрь 2025'!$J$2:$J$2583,AD$1)</f>
        <v>0</v>
      </c>
      <c r="AE8" s="76">
        <f>SUMIFS('ноябрь 2025'!$G$2:$G$2583,'ноябрь 2025'!$D$2:$D$2583,$B8,'ноябрь 2025'!$J$2:$J$2583,AE$1)</f>
        <v>0</v>
      </c>
      <c r="AF8" s="76">
        <f>SUMIFS('ноябрь 2025'!$G$2:$G$2583,'ноябрь 2025'!$D$2:$D$2583,$B8,'ноябрь 2025'!$J$2:$J$2583,AF$1)</f>
        <v>0</v>
      </c>
      <c r="AG8" s="76">
        <f>SUMIFS('ноябрь 2025'!$G$2:$G$2583,'ноябрь 2025'!$D$2:$D$2583,$B8,'ноябрь 2025'!$J$2:$J$2583,AG$1)</f>
        <v>0</v>
      </c>
      <c r="AH8" s="76">
        <f>SUMIFS('ноябрь 2025'!$G$2:$G$2583,'ноябрь 2025'!$D$2:$D$2583,$B8,'ноябрь 2025'!$J$2:$J$2583,AH$1)</f>
        <v>0</v>
      </c>
      <c r="AI8" s="20">
        <f t="shared" si="1"/>
        <v>0</v>
      </c>
    </row>
    <row r="9" spans="2:35" ht="15" customHeight="1" x14ac:dyDescent="0.25">
      <c r="B9" s="79" t="s">
        <v>222</v>
      </c>
      <c r="C9" s="78">
        <v>25</v>
      </c>
      <c r="D9" s="76">
        <f>SUMIFS('ноябрь 2025'!$G$2:$G$2583,'ноябрь 2025'!$D$2:$D$2583,$B9,'ноябрь 2025'!$J$2:$J$2583,D$1)</f>
        <v>0</v>
      </c>
      <c r="E9" s="76">
        <f>SUMIFS('ноябрь 2025'!$G$2:$G$2583,'ноябрь 2025'!$D$2:$D$2583,$B9,'ноябрь 2025'!$J$2:$J$2583,E$1)</f>
        <v>0</v>
      </c>
      <c r="F9" s="76">
        <f>SUMIFS('ноябрь 2025'!$G$2:$G$2583,'ноябрь 2025'!$D$2:$D$2583,$B9,'ноябрь 2025'!$J$2:$J$2583,F$1)</f>
        <v>0</v>
      </c>
      <c r="G9" s="76">
        <f>SUMIFS('ноябрь 2025'!$G$2:$G$2583,'ноябрь 2025'!$D$2:$D$2583,$B9,'ноябрь 2025'!$J$2:$J$2583,G$1)</f>
        <v>0</v>
      </c>
      <c r="H9" s="76">
        <f>SUMIFS('ноябрь 2025'!$G$2:$G$2583,'ноябрь 2025'!$D$2:$D$2583,$B9,'ноябрь 2025'!$J$2:$J$2583,H$1)</f>
        <v>0</v>
      </c>
      <c r="I9" s="76">
        <f>SUMIFS('ноябрь 2025'!$G$2:$G$2583,'ноябрь 2025'!$D$2:$D$2583,$B9,'ноябрь 2025'!$J$2:$J$2583,I$1)</f>
        <v>0</v>
      </c>
      <c r="J9" s="76">
        <f>SUMIFS('ноябрь 2025'!$G$2:$G$2583,'ноябрь 2025'!$D$2:$D$2583,$B9,'ноябрь 2025'!$J$2:$J$2583,J$1)</f>
        <v>0</v>
      </c>
      <c r="K9" s="76">
        <f>SUMIFS('ноябрь 2025'!$G$2:$G$2583,'ноябрь 2025'!$D$2:$D$2583,$B9,'ноябрь 2025'!$J$2:$J$2583,K$1)</f>
        <v>0</v>
      </c>
      <c r="L9" s="76">
        <f>SUMIFS('ноябрь 2025'!$G$2:$G$2583,'ноябрь 2025'!$D$2:$D$2583,$B9,'ноябрь 2025'!$J$2:$J$2583,L$1)</f>
        <v>0</v>
      </c>
      <c r="M9" s="76">
        <f>SUMIFS('ноябрь 2025'!$G$2:$G$2583,'ноябрь 2025'!$D$2:$D$2583,$B9,'ноябрь 2025'!$J$2:$J$2583,M$1)</f>
        <v>0</v>
      </c>
      <c r="N9" s="76">
        <f>SUMIFS('ноябрь 2025'!$G$2:$G$2583,'ноябрь 2025'!$D$2:$D$2583,$B9,'ноябрь 2025'!$J$2:$J$2583,N$1)</f>
        <v>0</v>
      </c>
      <c r="O9" s="76">
        <f>SUMIFS('ноябрь 2025'!$G$2:$G$2583,'ноябрь 2025'!$D$2:$D$2583,$B9,'ноябрь 2025'!$J$2:$J$2583,O$1)</f>
        <v>0</v>
      </c>
      <c r="P9" s="76">
        <f>SUMIFS('ноябрь 2025'!$G$2:$G$2583,'ноябрь 2025'!$D$2:$D$2583,$B9,'ноябрь 2025'!$J$2:$J$2583,P$1)</f>
        <v>0</v>
      </c>
      <c r="Q9" s="76">
        <f>SUMIFS('ноябрь 2025'!$G$2:$G$2583,'ноябрь 2025'!$D$2:$D$2583,$B9,'ноябрь 2025'!$J$2:$J$2583,Q$1)</f>
        <v>0</v>
      </c>
      <c r="R9" s="76">
        <f>SUMIFS('ноябрь 2025'!$G$2:$G$2583,'ноябрь 2025'!$D$2:$D$2583,$B9,'ноябрь 2025'!$J$2:$J$2583,R$1)</f>
        <v>0</v>
      </c>
      <c r="S9" s="76">
        <f>SUMIFS('ноябрь 2025'!$G$2:$G$2583,'ноябрь 2025'!$D$2:$D$2583,$B9,'ноябрь 2025'!$J$2:$J$2583,S$1)</f>
        <v>0</v>
      </c>
      <c r="T9" s="76">
        <f>SUMIFS('ноябрь 2025'!$G$2:$G$2583,'ноябрь 2025'!$D$2:$D$2583,$B9,'ноябрь 2025'!$J$2:$J$2583,T$1)</f>
        <v>0</v>
      </c>
      <c r="U9" s="76">
        <f>SUMIFS('ноябрь 2025'!$G$2:$G$2583,'ноябрь 2025'!$D$2:$D$2583,$B9,'ноябрь 2025'!$J$2:$J$2583,U$1)</f>
        <v>0</v>
      </c>
      <c r="V9" s="76">
        <f>SUMIFS('ноябрь 2025'!$G$2:$G$2583,'ноябрь 2025'!$D$2:$D$2583,$B9,'ноябрь 2025'!$J$2:$J$2583,V$1)</f>
        <v>0</v>
      </c>
      <c r="W9" s="76">
        <f>SUMIFS('ноябрь 2025'!$G$2:$G$2583,'ноябрь 2025'!$D$2:$D$2583,$B9,'ноябрь 2025'!$J$2:$J$2583,W$1)</f>
        <v>0</v>
      </c>
      <c r="X9" s="76">
        <f>SUMIFS('ноябрь 2025'!$G$2:$G$2583,'ноябрь 2025'!$D$2:$D$2583,$B9,'ноябрь 2025'!$J$2:$J$2583,X$1)</f>
        <v>0</v>
      </c>
      <c r="Y9" s="76">
        <f>SUMIFS('ноябрь 2025'!$G$2:$G$2583,'ноябрь 2025'!$D$2:$D$2583,$B9,'ноябрь 2025'!$J$2:$J$2583,Y$1)</f>
        <v>0</v>
      </c>
      <c r="Z9" s="76">
        <f>SUMIFS('ноябрь 2025'!$G$2:$G$2583,'ноябрь 2025'!$D$2:$D$2583,$B9,'ноябрь 2025'!$J$2:$J$2583,Z$1)</f>
        <v>0</v>
      </c>
      <c r="AA9" s="76">
        <f>SUMIFS('ноябрь 2025'!$G$2:$G$2583,'ноябрь 2025'!$D$2:$D$2583,$B9,'ноябрь 2025'!$J$2:$J$2583,AA$1)</f>
        <v>0</v>
      </c>
      <c r="AB9" s="76">
        <f>SUMIFS('ноябрь 2025'!$G$2:$G$2583,'ноябрь 2025'!$D$2:$D$2583,$B9,'ноябрь 2025'!$J$2:$J$2583,AB$1)</f>
        <v>0</v>
      </c>
      <c r="AC9" s="76">
        <f>SUMIFS('ноябрь 2025'!$G$2:$G$2583,'ноябрь 2025'!$D$2:$D$2583,$B9,'ноябрь 2025'!$J$2:$J$2583,AC$1)</f>
        <v>0</v>
      </c>
      <c r="AD9" s="76">
        <f>SUMIFS('ноябрь 2025'!$G$2:$G$2583,'ноябрь 2025'!$D$2:$D$2583,$B9,'ноябрь 2025'!$J$2:$J$2583,AD$1)</f>
        <v>0</v>
      </c>
      <c r="AE9" s="76">
        <f>SUMIFS('ноябрь 2025'!$G$2:$G$2583,'ноябрь 2025'!$D$2:$D$2583,$B9,'ноябрь 2025'!$J$2:$J$2583,AE$1)</f>
        <v>0</v>
      </c>
      <c r="AF9" s="76">
        <f>SUMIFS('ноябрь 2025'!$G$2:$G$2583,'ноябрь 2025'!$D$2:$D$2583,$B9,'ноябрь 2025'!$J$2:$J$2583,AF$1)</f>
        <v>0</v>
      </c>
      <c r="AG9" s="76">
        <f>SUMIFS('ноябрь 2025'!$G$2:$G$2583,'ноябрь 2025'!$D$2:$D$2583,$B9,'ноябрь 2025'!$J$2:$J$2583,AG$1)</f>
        <v>0</v>
      </c>
      <c r="AH9" s="76">
        <f>SUMIFS('ноябрь 2025'!$G$2:$G$2583,'ноябрь 2025'!$D$2:$D$2583,$B9,'ноябрь 2025'!$J$2:$J$2583,AH$1)</f>
        <v>0</v>
      </c>
      <c r="AI9" s="20">
        <f t="shared" si="1"/>
        <v>0</v>
      </c>
    </row>
    <row r="10" spans="2:35" ht="15" customHeight="1" x14ac:dyDescent="0.25">
      <c r="B10" s="77" t="s">
        <v>224</v>
      </c>
      <c r="C10" s="78">
        <v>25</v>
      </c>
      <c r="D10" s="76">
        <f>SUMIFS('ноябрь 2025'!$G$2:$G$2583,'ноябрь 2025'!$D$2:$D$2583,$B10,'ноябрь 2025'!$J$2:$J$2583,D$1)</f>
        <v>0</v>
      </c>
      <c r="E10" s="76">
        <f>SUMIFS('ноябрь 2025'!$G$2:$G$2583,'ноябрь 2025'!$D$2:$D$2583,$B10,'ноябрь 2025'!$J$2:$J$2583,E$1)</f>
        <v>0</v>
      </c>
      <c r="F10" s="76">
        <f>SUMIFS('ноябрь 2025'!$G$2:$G$2583,'ноябрь 2025'!$D$2:$D$2583,$B10,'ноябрь 2025'!$J$2:$J$2583,F$1)</f>
        <v>0</v>
      </c>
      <c r="G10" s="76">
        <f>SUMIFS('ноябрь 2025'!$G$2:$G$2583,'ноябрь 2025'!$D$2:$D$2583,$B10,'ноябрь 2025'!$J$2:$J$2583,G$1)</f>
        <v>0</v>
      </c>
      <c r="H10" s="76">
        <f>SUMIFS('ноябрь 2025'!$G$2:$G$2583,'ноябрь 2025'!$D$2:$D$2583,$B10,'ноябрь 2025'!$J$2:$J$2583,H$1)</f>
        <v>0</v>
      </c>
      <c r="I10" s="76">
        <f>SUMIFS('ноябрь 2025'!$G$2:$G$2583,'ноябрь 2025'!$D$2:$D$2583,$B10,'ноябрь 2025'!$J$2:$J$2583,I$1)</f>
        <v>0</v>
      </c>
      <c r="J10" s="76">
        <f>SUMIFS('ноябрь 2025'!$G$2:$G$2583,'ноябрь 2025'!$D$2:$D$2583,$B10,'ноябрь 2025'!$J$2:$J$2583,J$1)</f>
        <v>0</v>
      </c>
      <c r="K10" s="76">
        <f>SUMIFS('ноябрь 2025'!$G$2:$G$2583,'ноябрь 2025'!$D$2:$D$2583,$B10,'ноябрь 2025'!$J$2:$J$2583,K$1)</f>
        <v>0</v>
      </c>
      <c r="L10" s="76">
        <f>SUMIFS('ноябрь 2025'!$G$2:$G$2583,'ноябрь 2025'!$D$2:$D$2583,$B10,'ноябрь 2025'!$J$2:$J$2583,L$1)</f>
        <v>0</v>
      </c>
      <c r="M10" s="76">
        <f>SUMIFS('ноябрь 2025'!$G$2:$G$2583,'ноябрь 2025'!$D$2:$D$2583,$B10,'ноябрь 2025'!$J$2:$J$2583,M$1)</f>
        <v>0</v>
      </c>
      <c r="N10" s="76">
        <f>SUMIFS('ноябрь 2025'!$G$2:$G$2583,'ноябрь 2025'!$D$2:$D$2583,$B10,'ноябрь 2025'!$J$2:$J$2583,N$1)</f>
        <v>0</v>
      </c>
      <c r="O10" s="76">
        <f>SUMIFS('ноябрь 2025'!$G$2:$G$2583,'ноябрь 2025'!$D$2:$D$2583,$B10,'ноябрь 2025'!$J$2:$J$2583,O$1)</f>
        <v>0</v>
      </c>
      <c r="P10" s="76">
        <f>SUMIFS('ноябрь 2025'!$G$2:$G$2583,'ноябрь 2025'!$D$2:$D$2583,$B10,'ноябрь 2025'!$J$2:$J$2583,P$1)</f>
        <v>0</v>
      </c>
      <c r="Q10" s="76">
        <f>SUMIFS('ноябрь 2025'!$G$2:$G$2583,'ноябрь 2025'!$D$2:$D$2583,$B10,'ноябрь 2025'!$J$2:$J$2583,Q$1)</f>
        <v>0</v>
      </c>
      <c r="R10" s="76">
        <f>SUMIFS('ноябрь 2025'!$G$2:$G$2583,'ноябрь 2025'!$D$2:$D$2583,$B10,'ноябрь 2025'!$J$2:$J$2583,R$1)</f>
        <v>0</v>
      </c>
      <c r="S10" s="76">
        <f>SUMIFS('ноябрь 2025'!$G$2:$G$2583,'ноябрь 2025'!$D$2:$D$2583,$B10,'ноябрь 2025'!$J$2:$J$2583,S$1)</f>
        <v>0</v>
      </c>
      <c r="T10" s="76">
        <f>SUMIFS('ноябрь 2025'!$G$2:$G$2583,'ноябрь 2025'!$D$2:$D$2583,$B10,'ноябрь 2025'!$J$2:$J$2583,T$1)</f>
        <v>0</v>
      </c>
      <c r="U10" s="76">
        <f>SUMIFS('ноябрь 2025'!$G$2:$G$2583,'ноябрь 2025'!$D$2:$D$2583,$B10,'ноябрь 2025'!$J$2:$J$2583,U$1)</f>
        <v>0</v>
      </c>
      <c r="V10" s="76">
        <f>SUMIFS('ноябрь 2025'!$G$2:$G$2583,'ноябрь 2025'!$D$2:$D$2583,$B10,'ноябрь 2025'!$J$2:$J$2583,V$1)</f>
        <v>0</v>
      </c>
      <c r="W10" s="76">
        <f>SUMIFS('ноябрь 2025'!$G$2:$G$2583,'ноябрь 2025'!$D$2:$D$2583,$B10,'ноябрь 2025'!$J$2:$J$2583,W$1)</f>
        <v>0</v>
      </c>
      <c r="X10" s="76">
        <f>SUMIFS('ноябрь 2025'!$G$2:$G$2583,'ноябрь 2025'!$D$2:$D$2583,$B10,'ноябрь 2025'!$J$2:$J$2583,X$1)</f>
        <v>0</v>
      </c>
      <c r="Y10" s="76">
        <f>SUMIFS('ноябрь 2025'!$G$2:$G$2583,'ноябрь 2025'!$D$2:$D$2583,$B10,'ноябрь 2025'!$J$2:$J$2583,Y$1)</f>
        <v>0</v>
      </c>
      <c r="Z10" s="76">
        <f>SUMIFS('ноябрь 2025'!$G$2:$G$2583,'ноябрь 2025'!$D$2:$D$2583,$B10,'ноябрь 2025'!$J$2:$J$2583,Z$1)</f>
        <v>0</v>
      </c>
      <c r="AA10" s="76">
        <f>SUMIFS('ноябрь 2025'!$G$2:$G$2583,'ноябрь 2025'!$D$2:$D$2583,$B10,'ноябрь 2025'!$J$2:$J$2583,AA$1)</f>
        <v>0</v>
      </c>
      <c r="AB10" s="76">
        <f>SUMIFS('ноябрь 2025'!$G$2:$G$2583,'ноябрь 2025'!$D$2:$D$2583,$B10,'ноябрь 2025'!$J$2:$J$2583,AB$1)</f>
        <v>0</v>
      </c>
      <c r="AC10" s="76">
        <f>SUMIFS('ноябрь 2025'!$G$2:$G$2583,'ноябрь 2025'!$D$2:$D$2583,$B10,'ноябрь 2025'!$J$2:$J$2583,AC$1)</f>
        <v>0</v>
      </c>
      <c r="AD10" s="76">
        <f>SUMIFS('ноябрь 2025'!$G$2:$G$2583,'ноябрь 2025'!$D$2:$D$2583,$B10,'ноябрь 2025'!$J$2:$J$2583,AD$1)</f>
        <v>0</v>
      </c>
      <c r="AE10" s="76">
        <f>SUMIFS('ноябрь 2025'!$G$2:$G$2583,'ноябрь 2025'!$D$2:$D$2583,$B10,'ноябрь 2025'!$J$2:$J$2583,AE$1)</f>
        <v>0</v>
      </c>
      <c r="AF10" s="76">
        <f>SUMIFS('ноябрь 2025'!$G$2:$G$2583,'ноябрь 2025'!$D$2:$D$2583,$B10,'ноябрь 2025'!$J$2:$J$2583,AF$1)</f>
        <v>0</v>
      </c>
      <c r="AG10" s="76">
        <f>SUMIFS('ноябрь 2025'!$G$2:$G$2583,'ноябрь 2025'!$D$2:$D$2583,$B10,'ноябрь 2025'!$J$2:$J$2583,AG$1)</f>
        <v>0</v>
      </c>
      <c r="AH10" s="76">
        <f>SUMIFS('ноябрь 2025'!$G$2:$G$2583,'ноябрь 2025'!$D$2:$D$2583,$B10,'ноябрь 2025'!$J$2:$J$2583,AH$1)</f>
        <v>0</v>
      </c>
      <c r="AI10" s="20">
        <f t="shared" si="1"/>
        <v>0</v>
      </c>
    </row>
    <row r="11" spans="2:35" ht="15" customHeight="1" x14ac:dyDescent="0.25">
      <c r="B11" s="77" t="s">
        <v>226</v>
      </c>
      <c r="C11" s="78">
        <v>25</v>
      </c>
      <c r="D11" s="76">
        <f>SUMIFS('ноябрь 2025'!$G$2:$G$2583,'ноябрь 2025'!$D$2:$D$2583,$B11,'ноябрь 2025'!$J$2:$J$2583,D$1)</f>
        <v>240</v>
      </c>
      <c r="E11" s="76">
        <f>SUMIFS('ноябрь 2025'!$G$2:$G$2583,'ноябрь 2025'!$D$2:$D$2583,$B11,'ноябрь 2025'!$J$2:$J$2583,E$1)</f>
        <v>0</v>
      </c>
      <c r="F11" s="76">
        <f>SUMIFS('ноябрь 2025'!$G$2:$G$2583,'ноябрь 2025'!$D$2:$D$2583,$B11,'ноябрь 2025'!$J$2:$J$2583,F$1)</f>
        <v>0</v>
      </c>
      <c r="G11" s="76">
        <f>SUMIFS('ноябрь 2025'!$G$2:$G$2583,'ноябрь 2025'!$D$2:$D$2583,$B11,'ноябрь 2025'!$J$2:$J$2583,G$1)</f>
        <v>0</v>
      </c>
      <c r="H11" s="76">
        <f>SUMIFS('ноябрь 2025'!$G$2:$G$2583,'ноябрь 2025'!$D$2:$D$2583,$B11,'ноябрь 2025'!$J$2:$J$2583,H$1)</f>
        <v>160</v>
      </c>
      <c r="I11" s="76">
        <f>SUMIFS('ноябрь 2025'!$G$2:$G$2583,'ноябрь 2025'!$D$2:$D$2583,$B11,'ноябрь 2025'!$J$2:$J$2583,I$1)</f>
        <v>0</v>
      </c>
      <c r="J11" s="76">
        <f>SUMIFS('ноябрь 2025'!$G$2:$G$2583,'ноябрь 2025'!$D$2:$D$2583,$B11,'ноябрь 2025'!$J$2:$J$2583,J$1)</f>
        <v>0</v>
      </c>
      <c r="K11" s="76">
        <f>SUMIFS('ноябрь 2025'!$G$2:$G$2583,'ноябрь 2025'!$D$2:$D$2583,$B11,'ноябрь 2025'!$J$2:$J$2583,K$1)</f>
        <v>0</v>
      </c>
      <c r="L11" s="76">
        <f>SUMIFS('ноябрь 2025'!$G$2:$G$2583,'ноябрь 2025'!$D$2:$D$2583,$B11,'ноябрь 2025'!$J$2:$J$2583,L$1)</f>
        <v>0</v>
      </c>
      <c r="M11" s="76">
        <f>SUMIFS('ноябрь 2025'!$G$2:$G$2583,'ноябрь 2025'!$D$2:$D$2583,$B11,'ноябрь 2025'!$J$2:$J$2583,M$1)</f>
        <v>800</v>
      </c>
      <c r="N11" s="76">
        <f>SUMIFS('ноябрь 2025'!$G$2:$G$2583,'ноябрь 2025'!$D$2:$D$2583,$B11,'ноябрь 2025'!$J$2:$J$2583,N$1)</f>
        <v>0</v>
      </c>
      <c r="O11" s="76">
        <f>SUMIFS('ноябрь 2025'!$G$2:$G$2583,'ноябрь 2025'!$D$2:$D$2583,$B11,'ноябрь 2025'!$J$2:$J$2583,O$1)</f>
        <v>0</v>
      </c>
      <c r="P11" s="76">
        <f>SUMIFS('ноябрь 2025'!$G$2:$G$2583,'ноябрь 2025'!$D$2:$D$2583,$B11,'ноябрь 2025'!$J$2:$J$2583,P$1)</f>
        <v>520</v>
      </c>
      <c r="Q11" s="76">
        <f>SUMIFS('ноябрь 2025'!$G$2:$G$2583,'ноябрь 2025'!$D$2:$D$2583,$B11,'ноябрь 2025'!$J$2:$J$2583,Q$1)</f>
        <v>1600</v>
      </c>
      <c r="R11" s="76">
        <f>SUMIFS('ноябрь 2025'!$G$2:$G$2583,'ноябрь 2025'!$D$2:$D$2583,$B11,'ноябрь 2025'!$J$2:$J$2583,R$1)</f>
        <v>0</v>
      </c>
      <c r="S11" s="76">
        <f>SUMIFS('ноябрь 2025'!$G$2:$G$2583,'ноябрь 2025'!$D$2:$D$2583,$B11,'ноябрь 2025'!$J$2:$J$2583,S$1)</f>
        <v>0</v>
      </c>
      <c r="T11" s="76">
        <f>SUMIFS('ноябрь 2025'!$G$2:$G$2583,'ноябрь 2025'!$D$2:$D$2583,$B11,'ноябрь 2025'!$J$2:$J$2583,T$1)</f>
        <v>0</v>
      </c>
      <c r="U11" s="76">
        <f>SUMIFS('ноябрь 2025'!$G$2:$G$2583,'ноябрь 2025'!$D$2:$D$2583,$B11,'ноябрь 2025'!$J$2:$J$2583,U$1)</f>
        <v>0</v>
      </c>
      <c r="V11" s="76">
        <f>SUMIFS('ноябрь 2025'!$G$2:$G$2583,'ноябрь 2025'!$D$2:$D$2583,$B11,'ноябрь 2025'!$J$2:$J$2583,V$1)</f>
        <v>0</v>
      </c>
      <c r="W11" s="76">
        <f>SUMIFS('ноябрь 2025'!$G$2:$G$2583,'ноябрь 2025'!$D$2:$D$2583,$B11,'ноябрь 2025'!$J$2:$J$2583,W$1)</f>
        <v>0</v>
      </c>
      <c r="X11" s="76">
        <f>SUMIFS('ноябрь 2025'!$G$2:$G$2583,'ноябрь 2025'!$D$2:$D$2583,$B11,'ноябрь 2025'!$J$2:$J$2583,X$1)</f>
        <v>0</v>
      </c>
      <c r="Y11" s="76">
        <f>SUMIFS('ноябрь 2025'!$G$2:$G$2583,'ноябрь 2025'!$D$2:$D$2583,$B11,'ноябрь 2025'!$J$2:$J$2583,Y$1)</f>
        <v>0</v>
      </c>
      <c r="Z11" s="76">
        <f>SUMIFS('ноябрь 2025'!$G$2:$G$2583,'ноябрь 2025'!$D$2:$D$2583,$B11,'ноябрь 2025'!$J$2:$J$2583,Z$1)</f>
        <v>0</v>
      </c>
      <c r="AA11" s="76">
        <f>SUMIFS('ноябрь 2025'!$G$2:$G$2583,'ноябрь 2025'!$D$2:$D$2583,$B11,'ноябрь 2025'!$J$2:$J$2583,AA$1)</f>
        <v>0</v>
      </c>
      <c r="AB11" s="76">
        <f>SUMIFS('ноябрь 2025'!$G$2:$G$2583,'ноябрь 2025'!$D$2:$D$2583,$B11,'ноябрь 2025'!$J$2:$J$2583,AB$1)</f>
        <v>1600</v>
      </c>
      <c r="AC11" s="76">
        <f>SUMIFS('ноябрь 2025'!$G$2:$G$2583,'ноябрь 2025'!$D$2:$D$2583,$B11,'ноябрь 2025'!$J$2:$J$2583,AC$1)</f>
        <v>0</v>
      </c>
      <c r="AD11" s="76">
        <f>SUMIFS('ноябрь 2025'!$G$2:$G$2583,'ноябрь 2025'!$D$2:$D$2583,$B11,'ноябрь 2025'!$J$2:$J$2583,AD$1)</f>
        <v>0</v>
      </c>
      <c r="AE11" s="76">
        <f>SUMIFS('ноябрь 2025'!$G$2:$G$2583,'ноябрь 2025'!$D$2:$D$2583,$B11,'ноябрь 2025'!$J$2:$J$2583,AE$1)</f>
        <v>0</v>
      </c>
      <c r="AF11" s="76">
        <f>SUMIFS('ноябрь 2025'!$G$2:$G$2583,'ноябрь 2025'!$D$2:$D$2583,$B11,'ноябрь 2025'!$J$2:$J$2583,AF$1)</f>
        <v>0</v>
      </c>
      <c r="AG11" s="76">
        <f>SUMIFS('ноябрь 2025'!$G$2:$G$2583,'ноябрь 2025'!$D$2:$D$2583,$B11,'ноябрь 2025'!$J$2:$J$2583,AG$1)</f>
        <v>0</v>
      </c>
      <c r="AH11" s="76">
        <f>SUMIFS('ноябрь 2025'!$G$2:$G$2583,'ноябрь 2025'!$D$2:$D$2583,$B11,'ноябрь 2025'!$J$2:$J$2583,AH$1)</f>
        <v>0</v>
      </c>
      <c r="AI11" s="20">
        <f t="shared" si="1"/>
        <v>4920</v>
      </c>
    </row>
    <row r="12" spans="2:35" ht="15" customHeight="1" x14ac:dyDescent="0.25">
      <c r="B12" s="80" t="s">
        <v>228</v>
      </c>
      <c r="C12" s="81">
        <v>22.68</v>
      </c>
      <c r="D12" s="76">
        <f>SUMIFS('ноябрь 2025'!$G$2:$G$2583,'ноябрь 2025'!$D$2:$D$2583,$B12,'ноябрь 2025'!$J$2:$J$2583,D$1)</f>
        <v>0</v>
      </c>
      <c r="E12" s="76">
        <f>SUMIFS('ноябрь 2025'!$G$2:$G$2583,'ноябрь 2025'!$D$2:$D$2583,$B12,'ноябрь 2025'!$J$2:$J$2583,E$1)</f>
        <v>0</v>
      </c>
      <c r="F12" s="76">
        <f>SUMIFS('ноябрь 2025'!$G$2:$G$2583,'ноябрь 2025'!$D$2:$D$2583,$B12,'ноябрь 2025'!$J$2:$J$2583,F$1)</f>
        <v>0</v>
      </c>
      <c r="G12" s="76">
        <f>SUMIFS('ноябрь 2025'!$G$2:$G$2583,'ноябрь 2025'!$D$2:$D$2583,$B12,'ноябрь 2025'!$J$2:$J$2583,G$1)</f>
        <v>0</v>
      </c>
      <c r="H12" s="76">
        <f>SUMIFS('ноябрь 2025'!$G$2:$G$2583,'ноябрь 2025'!$D$2:$D$2583,$B12,'ноябрь 2025'!$J$2:$J$2583,H$1)</f>
        <v>0</v>
      </c>
      <c r="I12" s="76">
        <f>SUMIFS('ноябрь 2025'!$G$2:$G$2583,'ноябрь 2025'!$D$2:$D$2583,$B12,'ноябрь 2025'!$J$2:$J$2583,I$1)</f>
        <v>0</v>
      </c>
      <c r="J12" s="76">
        <f>SUMIFS('ноябрь 2025'!$G$2:$G$2583,'ноябрь 2025'!$D$2:$D$2583,$B12,'ноябрь 2025'!$J$2:$J$2583,J$1)</f>
        <v>0</v>
      </c>
      <c r="K12" s="76">
        <f>SUMIFS('ноябрь 2025'!$G$2:$G$2583,'ноябрь 2025'!$D$2:$D$2583,$B12,'ноябрь 2025'!$J$2:$J$2583,K$1)</f>
        <v>0</v>
      </c>
      <c r="L12" s="76">
        <f>SUMIFS('ноябрь 2025'!$G$2:$G$2583,'ноябрь 2025'!$D$2:$D$2583,$B12,'ноябрь 2025'!$J$2:$J$2583,L$1)</f>
        <v>0</v>
      </c>
      <c r="M12" s="76">
        <f>SUMIFS('ноябрь 2025'!$G$2:$G$2583,'ноябрь 2025'!$D$2:$D$2583,$B12,'ноябрь 2025'!$J$2:$J$2583,M$1)</f>
        <v>0</v>
      </c>
      <c r="N12" s="76">
        <f>SUMIFS('ноябрь 2025'!$G$2:$G$2583,'ноябрь 2025'!$D$2:$D$2583,$B12,'ноябрь 2025'!$J$2:$J$2583,N$1)</f>
        <v>0</v>
      </c>
      <c r="O12" s="76">
        <f>SUMIFS('ноябрь 2025'!$G$2:$G$2583,'ноябрь 2025'!$D$2:$D$2583,$B12,'ноябрь 2025'!$J$2:$J$2583,O$1)</f>
        <v>0</v>
      </c>
      <c r="P12" s="76">
        <f>SUMIFS('ноябрь 2025'!$G$2:$G$2583,'ноябрь 2025'!$D$2:$D$2583,$B12,'ноябрь 2025'!$J$2:$J$2583,P$1)</f>
        <v>0</v>
      </c>
      <c r="Q12" s="76">
        <f>SUMIFS('ноябрь 2025'!$G$2:$G$2583,'ноябрь 2025'!$D$2:$D$2583,$B12,'ноябрь 2025'!$J$2:$J$2583,Q$1)</f>
        <v>0</v>
      </c>
      <c r="R12" s="76">
        <f>SUMIFS('ноябрь 2025'!$G$2:$G$2583,'ноябрь 2025'!$D$2:$D$2583,$B12,'ноябрь 2025'!$J$2:$J$2583,R$1)</f>
        <v>0</v>
      </c>
      <c r="S12" s="76">
        <f>SUMIFS('ноябрь 2025'!$G$2:$G$2583,'ноябрь 2025'!$D$2:$D$2583,$B12,'ноябрь 2025'!$J$2:$J$2583,S$1)</f>
        <v>0</v>
      </c>
      <c r="T12" s="76">
        <f>SUMIFS('ноябрь 2025'!$G$2:$G$2583,'ноябрь 2025'!$D$2:$D$2583,$B12,'ноябрь 2025'!$J$2:$J$2583,T$1)</f>
        <v>0</v>
      </c>
      <c r="U12" s="76">
        <f>SUMIFS('ноябрь 2025'!$G$2:$G$2583,'ноябрь 2025'!$D$2:$D$2583,$B12,'ноябрь 2025'!$J$2:$J$2583,U$1)</f>
        <v>0</v>
      </c>
      <c r="V12" s="76">
        <f>SUMIFS('ноябрь 2025'!$G$2:$G$2583,'ноябрь 2025'!$D$2:$D$2583,$B12,'ноябрь 2025'!$J$2:$J$2583,V$1)</f>
        <v>0</v>
      </c>
      <c r="W12" s="76">
        <f>SUMIFS('ноябрь 2025'!$G$2:$G$2583,'ноябрь 2025'!$D$2:$D$2583,$B12,'ноябрь 2025'!$J$2:$J$2583,W$1)</f>
        <v>0</v>
      </c>
      <c r="X12" s="76">
        <f>SUMIFS('ноябрь 2025'!$G$2:$G$2583,'ноябрь 2025'!$D$2:$D$2583,$B12,'ноябрь 2025'!$J$2:$J$2583,X$1)</f>
        <v>0</v>
      </c>
      <c r="Y12" s="76">
        <f>SUMIFS('ноябрь 2025'!$G$2:$G$2583,'ноябрь 2025'!$D$2:$D$2583,$B12,'ноябрь 2025'!$J$2:$J$2583,Y$1)</f>
        <v>0</v>
      </c>
      <c r="Z12" s="76">
        <f>SUMIFS('ноябрь 2025'!$G$2:$G$2583,'ноябрь 2025'!$D$2:$D$2583,$B12,'ноябрь 2025'!$J$2:$J$2583,Z$1)</f>
        <v>0</v>
      </c>
      <c r="AA12" s="76">
        <f>SUMIFS('ноябрь 2025'!$G$2:$G$2583,'ноябрь 2025'!$D$2:$D$2583,$B12,'ноябрь 2025'!$J$2:$J$2583,AA$1)</f>
        <v>0</v>
      </c>
      <c r="AB12" s="76">
        <f>SUMIFS('ноябрь 2025'!$G$2:$G$2583,'ноябрь 2025'!$D$2:$D$2583,$B12,'ноябрь 2025'!$J$2:$J$2583,AB$1)</f>
        <v>0</v>
      </c>
      <c r="AC12" s="76">
        <f>SUMIFS('ноябрь 2025'!$G$2:$G$2583,'ноябрь 2025'!$D$2:$D$2583,$B12,'ноябрь 2025'!$J$2:$J$2583,AC$1)</f>
        <v>0</v>
      </c>
      <c r="AD12" s="76">
        <f>SUMIFS('ноябрь 2025'!$G$2:$G$2583,'ноябрь 2025'!$D$2:$D$2583,$B12,'ноябрь 2025'!$J$2:$J$2583,AD$1)</f>
        <v>0</v>
      </c>
      <c r="AE12" s="76">
        <f>SUMIFS('ноябрь 2025'!$G$2:$G$2583,'ноябрь 2025'!$D$2:$D$2583,$B12,'ноябрь 2025'!$J$2:$J$2583,AE$1)</f>
        <v>0</v>
      </c>
      <c r="AF12" s="76">
        <f>SUMIFS('ноябрь 2025'!$G$2:$G$2583,'ноябрь 2025'!$D$2:$D$2583,$B12,'ноябрь 2025'!$J$2:$J$2583,AF$1)</f>
        <v>0</v>
      </c>
      <c r="AG12" s="76">
        <f>SUMIFS('ноябрь 2025'!$G$2:$G$2583,'ноябрь 2025'!$D$2:$D$2583,$B12,'ноябрь 2025'!$J$2:$J$2583,AG$1)</f>
        <v>0</v>
      </c>
      <c r="AH12" s="76">
        <f>SUMIFS('ноябрь 2025'!$G$2:$G$2583,'ноябрь 2025'!$D$2:$D$2583,$B12,'ноябрь 2025'!$J$2:$J$2583,AH$1)</f>
        <v>0</v>
      </c>
      <c r="AI12" s="20">
        <f t="shared" si="1"/>
        <v>0</v>
      </c>
    </row>
    <row r="13" spans="2:35" ht="15" customHeight="1" x14ac:dyDescent="0.25">
      <c r="B13" s="80" t="s">
        <v>328</v>
      </c>
      <c r="C13" s="81">
        <v>22.7</v>
      </c>
      <c r="D13" s="76">
        <f>SUMIFS('ноябрь 2025'!$G$2:$G$2583,'ноябрь 2025'!$D$2:$D$2583,$B13,'ноябрь 2025'!$J$2:$J$2583,D$1)</f>
        <v>0</v>
      </c>
      <c r="E13" s="76">
        <f>SUMIFS('ноябрь 2025'!$G$2:$G$2583,'ноябрь 2025'!$D$2:$D$2583,$B13,'ноябрь 2025'!$J$2:$J$2583,E$1)</f>
        <v>0</v>
      </c>
      <c r="F13" s="76">
        <f>SUMIFS('ноябрь 2025'!$G$2:$G$2583,'ноябрь 2025'!$D$2:$D$2583,$B13,'ноябрь 2025'!$J$2:$J$2583,F$1)</f>
        <v>0</v>
      </c>
      <c r="G13" s="76">
        <f>SUMIFS('ноябрь 2025'!$G$2:$G$2583,'ноябрь 2025'!$D$2:$D$2583,$B13,'ноябрь 2025'!$J$2:$J$2583,G$1)</f>
        <v>0</v>
      </c>
      <c r="H13" s="76">
        <f>SUMIFS('ноябрь 2025'!$G$2:$G$2583,'ноябрь 2025'!$D$2:$D$2583,$B13,'ноябрь 2025'!$J$2:$J$2583,H$1)</f>
        <v>0</v>
      </c>
      <c r="I13" s="76">
        <f>SUMIFS('ноябрь 2025'!$G$2:$G$2583,'ноябрь 2025'!$D$2:$D$2583,$B13,'ноябрь 2025'!$J$2:$J$2583,I$1)</f>
        <v>0</v>
      </c>
      <c r="J13" s="76">
        <f>SUMIFS('ноябрь 2025'!$G$2:$G$2583,'ноябрь 2025'!$D$2:$D$2583,$B13,'ноябрь 2025'!$J$2:$J$2583,J$1)</f>
        <v>0</v>
      </c>
      <c r="K13" s="76">
        <f>SUMIFS('ноябрь 2025'!$G$2:$G$2583,'ноябрь 2025'!$D$2:$D$2583,$B13,'ноябрь 2025'!$J$2:$J$2583,K$1)</f>
        <v>0</v>
      </c>
      <c r="L13" s="76">
        <f>SUMIFS('ноябрь 2025'!$G$2:$G$2583,'ноябрь 2025'!$D$2:$D$2583,$B13,'ноябрь 2025'!$J$2:$J$2583,L$1)</f>
        <v>0</v>
      </c>
      <c r="M13" s="76">
        <f>SUMIFS('ноябрь 2025'!$G$2:$G$2583,'ноябрь 2025'!$D$2:$D$2583,$B13,'ноябрь 2025'!$J$2:$J$2583,M$1)</f>
        <v>0</v>
      </c>
      <c r="N13" s="76">
        <f>SUMIFS('ноябрь 2025'!$G$2:$G$2583,'ноябрь 2025'!$D$2:$D$2583,$B13,'ноябрь 2025'!$J$2:$J$2583,N$1)</f>
        <v>0</v>
      </c>
      <c r="O13" s="76">
        <f>SUMIFS('ноябрь 2025'!$G$2:$G$2583,'ноябрь 2025'!$D$2:$D$2583,$B13,'ноябрь 2025'!$J$2:$J$2583,O$1)</f>
        <v>0</v>
      </c>
      <c r="P13" s="76">
        <f>SUMIFS('ноябрь 2025'!$G$2:$G$2583,'ноябрь 2025'!$D$2:$D$2583,$B13,'ноябрь 2025'!$J$2:$J$2583,P$1)</f>
        <v>0</v>
      </c>
      <c r="Q13" s="76">
        <f>SUMIFS('ноябрь 2025'!$G$2:$G$2583,'ноябрь 2025'!$D$2:$D$2583,$B13,'ноябрь 2025'!$J$2:$J$2583,Q$1)</f>
        <v>0</v>
      </c>
      <c r="R13" s="76">
        <f>SUMIFS('ноябрь 2025'!$G$2:$G$2583,'ноябрь 2025'!$D$2:$D$2583,$B13,'ноябрь 2025'!$J$2:$J$2583,R$1)</f>
        <v>0</v>
      </c>
      <c r="S13" s="76">
        <f>SUMIFS('ноябрь 2025'!$G$2:$G$2583,'ноябрь 2025'!$D$2:$D$2583,$B13,'ноябрь 2025'!$J$2:$J$2583,S$1)</f>
        <v>0</v>
      </c>
      <c r="T13" s="76">
        <f>SUMIFS('ноябрь 2025'!$G$2:$G$2583,'ноябрь 2025'!$D$2:$D$2583,$B13,'ноябрь 2025'!$J$2:$J$2583,T$1)</f>
        <v>0</v>
      </c>
      <c r="U13" s="76">
        <f>SUMIFS('ноябрь 2025'!$G$2:$G$2583,'ноябрь 2025'!$D$2:$D$2583,$B13,'ноябрь 2025'!$J$2:$J$2583,U$1)</f>
        <v>0</v>
      </c>
      <c r="V13" s="76">
        <f>SUMIFS('ноябрь 2025'!$G$2:$G$2583,'ноябрь 2025'!$D$2:$D$2583,$B13,'ноябрь 2025'!$J$2:$J$2583,V$1)</f>
        <v>0</v>
      </c>
      <c r="W13" s="76">
        <f>SUMIFS('ноябрь 2025'!$G$2:$G$2583,'ноябрь 2025'!$D$2:$D$2583,$B13,'ноябрь 2025'!$J$2:$J$2583,W$1)</f>
        <v>0</v>
      </c>
      <c r="X13" s="76">
        <f>SUMIFS('ноябрь 2025'!$G$2:$G$2583,'ноябрь 2025'!$D$2:$D$2583,$B13,'ноябрь 2025'!$J$2:$J$2583,X$1)</f>
        <v>0</v>
      </c>
      <c r="Y13" s="76">
        <f>SUMIFS('ноябрь 2025'!$G$2:$G$2583,'ноябрь 2025'!$D$2:$D$2583,$B13,'ноябрь 2025'!$J$2:$J$2583,Y$1)</f>
        <v>0</v>
      </c>
      <c r="Z13" s="76">
        <f>SUMIFS('ноябрь 2025'!$G$2:$G$2583,'ноябрь 2025'!$D$2:$D$2583,$B13,'ноябрь 2025'!$J$2:$J$2583,Z$1)</f>
        <v>0</v>
      </c>
      <c r="AA13" s="76">
        <f>SUMIFS('ноябрь 2025'!$G$2:$G$2583,'ноябрь 2025'!$D$2:$D$2583,$B13,'ноябрь 2025'!$J$2:$J$2583,AA$1)</f>
        <v>0</v>
      </c>
      <c r="AB13" s="76">
        <f>SUMIFS('ноябрь 2025'!$G$2:$G$2583,'ноябрь 2025'!$D$2:$D$2583,$B13,'ноябрь 2025'!$J$2:$J$2583,AB$1)</f>
        <v>0</v>
      </c>
      <c r="AC13" s="76">
        <f>SUMIFS('ноябрь 2025'!$G$2:$G$2583,'ноябрь 2025'!$D$2:$D$2583,$B13,'ноябрь 2025'!$J$2:$J$2583,AC$1)</f>
        <v>0</v>
      </c>
      <c r="AD13" s="76">
        <f>SUMIFS('ноябрь 2025'!$G$2:$G$2583,'ноябрь 2025'!$D$2:$D$2583,$B13,'ноябрь 2025'!$J$2:$J$2583,AD$1)</f>
        <v>0</v>
      </c>
      <c r="AE13" s="76">
        <f>SUMIFS('ноябрь 2025'!$G$2:$G$2583,'ноябрь 2025'!$D$2:$D$2583,$B13,'ноябрь 2025'!$J$2:$J$2583,AE$1)</f>
        <v>0</v>
      </c>
      <c r="AF13" s="76">
        <f>SUMIFS('ноябрь 2025'!$G$2:$G$2583,'ноябрь 2025'!$D$2:$D$2583,$B13,'ноябрь 2025'!$J$2:$J$2583,AF$1)</f>
        <v>0</v>
      </c>
      <c r="AG13" s="76">
        <f>SUMIFS('ноябрь 2025'!$G$2:$G$2583,'ноябрь 2025'!$D$2:$D$2583,$B13,'ноябрь 2025'!$J$2:$J$2583,AG$1)</f>
        <v>0</v>
      </c>
      <c r="AH13" s="76">
        <f>SUMIFS('ноябрь 2025'!$G$2:$G$2583,'ноябрь 2025'!$D$2:$D$2583,$B13,'ноябрь 2025'!$J$2:$J$2583,AH$1)</f>
        <v>0</v>
      </c>
      <c r="AI13" s="20">
        <f t="shared" si="1"/>
        <v>0</v>
      </c>
    </row>
    <row r="14" spans="2:35" ht="15" customHeight="1" x14ac:dyDescent="0.25">
      <c r="B14" s="80" t="s">
        <v>1732</v>
      </c>
      <c r="C14" s="81">
        <v>25</v>
      </c>
      <c r="D14" s="76">
        <f>SUMIFS('ноябрь 2025'!$G$2:$G$2583,'ноябрь 2025'!$D$2:$D$2583,$B14,'ноябрь 2025'!$J$2:$J$2583,D$1)</f>
        <v>0</v>
      </c>
      <c r="E14" s="76">
        <f>SUMIFS('ноябрь 2025'!$G$2:$G$2583,'ноябрь 2025'!$D$2:$D$2583,$B14,'ноябрь 2025'!$J$2:$J$2583,E$1)</f>
        <v>0</v>
      </c>
      <c r="F14" s="76">
        <f>SUMIFS('ноябрь 2025'!$G$2:$G$2583,'ноябрь 2025'!$D$2:$D$2583,$B14,'ноябрь 2025'!$J$2:$J$2583,F$1)</f>
        <v>0</v>
      </c>
      <c r="G14" s="76">
        <f>SUMIFS('ноябрь 2025'!$G$2:$G$2583,'ноябрь 2025'!$D$2:$D$2583,$B14,'ноябрь 2025'!$J$2:$J$2583,G$1)</f>
        <v>0</v>
      </c>
      <c r="H14" s="76">
        <f>SUMIFS('ноябрь 2025'!$G$2:$G$2583,'ноябрь 2025'!$D$2:$D$2583,$B14,'ноябрь 2025'!$J$2:$J$2583,H$1)</f>
        <v>0</v>
      </c>
      <c r="I14" s="76">
        <f>SUMIFS('ноябрь 2025'!$G$2:$G$2583,'ноябрь 2025'!$D$2:$D$2583,$B14,'ноябрь 2025'!$J$2:$J$2583,I$1)</f>
        <v>0</v>
      </c>
      <c r="J14" s="76">
        <f>SUMIFS('ноябрь 2025'!$G$2:$G$2583,'ноябрь 2025'!$D$2:$D$2583,$B14,'ноябрь 2025'!$J$2:$J$2583,J$1)</f>
        <v>0</v>
      </c>
      <c r="K14" s="76">
        <f>SUMIFS('ноябрь 2025'!$G$2:$G$2583,'ноябрь 2025'!$D$2:$D$2583,$B14,'ноябрь 2025'!$J$2:$J$2583,K$1)</f>
        <v>0</v>
      </c>
      <c r="L14" s="76">
        <f>SUMIFS('ноябрь 2025'!$G$2:$G$2583,'ноябрь 2025'!$D$2:$D$2583,$B14,'ноябрь 2025'!$J$2:$J$2583,L$1)</f>
        <v>0</v>
      </c>
      <c r="M14" s="76">
        <f>SUMIFS('ноябрь 2025'!$G$2:$G$2583,'ноябрь 2025'!$D$2:$D$2583,$B14,'ноябрь 2025'!$J$2:$J$2583,M$1)</f>
        <v>0</v>
      </c>
      <c r="N14" s="76">
        <f>SUMIFS('ноябрь 2025'!$G$2:$G$2583,'ноябрь 2025'!$D$2:$D$2583,$B14,'ноябрь 2025'!$J$2:$J$2583,N$1)</f>
        <v>0</v>
      </c>
      <c r="O14" s="76">
        <f>SUMIFS('ноябрь 2025'!$G$2:$G$2583,'ноябрь 2025'!$D$2:$D$2583,$B14,'ноябрь 2025'!$J$2:$J$2583,O$1)</f>
        <v>0</v>
      </c>
      <c r="P14" s="76">
        <f>SUMIFS('ноябрь 2025'!$G$2:$G$2583,'ноябрь 2025'!$D$2:$D$2583,$B14,'ноябрь 2025'!$J$2:$J$2583,P$1)</f>
        <v>0</v>
      </c>
      <c r="Q14" s="76">
        <f>SUMIFS('ноябрь 2025'!$G$2:$G$2583,'ноябрь 2025'!$D$2:$D$2583,$B14,'ноябрь 2025'!$J$2:$J$2583,Q$1)</f>
        <v>0</v>
      </c>
      <c r="R14" s="76">
        <f>SUMIFS('ноябрь 2025'!$G$2:$G$2583,'ноябрь 2025'!$D$2:$D$2583,$B14,'ноябрь 2025'!$J$2:$J$2583,R$1)</f>
        <v>0</v>
      </c>
      <c r="S14" s="76">
        <f>SUMIFS('ноябрь 2025'!$G$2:$G$2583,'ноябрь 2025'!$D$2:$D$2583,$B14,'ноябрь 2025'!$J$2:$J$2583,S$1)</f>
        <v>0</v>
      </c>
      <c r="T14" s="76">
        <f>SUMIFS('ноябрь 2025'!$G$2:$G$2583,'ноябрь 2025'!$D$2:$D$2583,$B14,'ноябрь 2025'!$J$2:$J$2583,T$1)</f>
        <v>0</v>
      </c>
      <c r="U14" s="76">
        <f>SUMIFS('ноябрь 2025'!$G$2:$G$2583,'ноябрь 2025'!$D$2:$D$2583,$B14,'ноябрь 2025'!$J$2:$J$2583,U$1)</f>
        <v>0</v>
      </c>
      <c r="V14" s="76">
        <f>SUMIFS('ноябрь 2025'!$G$2:$G$2583,'ноябрь 2025'!$D$2:$D$2583,$B14,'ноябрь 2025'!$J$2:$J$2583,V$1)</f>
        <v>0</v>
      </c>
      <c r="W14" s="76">
        <f>SUMIFS('ноябрь 2025'!$G$2:$G$2583,'ноябрь 2025'!$D$2:$D$2583,$B14,'ноябрь 2025'!$J$2:$J$2583,W$1)</f>
        <v>0</v>
      </c>
      <c r="X14" s="76">
        <f>SUMIFS('ноябрь 2025'!$G$2:$G$2583,'ноябрь 2025'!$D$2:$D$2583,$B14,'ноябрь 2025'!$J$2:$J$2583,X$1)</f>
        <v>0</v>
      </c>
      <c r="Y14" s="76">
        <f>SUMIFS('ноябрь 2025'!$G$2:$G$2583,'ноябрь 2025'!$D$2:$D$2583,$B14,'ноябрь 2025'!$J$2:$J$2583,Y$1)</f>
        <v>0</v>
      </c>
      <c r="Z14" s="76">
        <f>SUMIFS('ноябрь 2025'!$G$2:$G$2583,'ноябрь 2025'!$D$2:$D$2583,$B14,'ноябрь 2025'!$J$2:$J$2583,Z$1)</f>
        <v>0</v>
      </c>
      <c r="AA14" s="76">
        <f>SUMIFS('ноябрь 2025'!$G$2:$G$2583,'ноябрь 2025'!$D$2:$D$2583,$B14,'ноябрь 2025'!$J$2:$J$2583,AA$1)</f>
        <v>0</v>
      </c>
      <c r="AB14" s="76">
        <f>SUMIFS('ноябрь 2025'!$G$2:$G$2583,'ноябрь 2025'!$D$2:$D$2583,$B14,'ноябрь 2025'!$J$2:$J$2583,AB$1)</f>
        <v>0</v>
      </c>
      <c r="AC14" s="76">
        <f>SUMIFS('ноябрь 2025'!$G$2:$G$2583,'ноябрь 2025'!$D$2:$D$2583,$B14,'ноябрь 2025'!$J$2:$J$2583,AC$1)</f>
        <v>0</v>
      </c>
      <c r="AD14" s="76">
        <f>SUMIFS('ноябрь 2025'!$G$2:$G$2583,'ноябрь 2025'!$D$2:$D$2583,$B14,'ноябрь 2025'!$J$2:$J$2583,AD$1)</f>
        <v>0</v>
      </c>
      <c r="AE14" s="76">
        <f>SUMIFS('ноябрь 2025'!$G$2:$G$2583,'ноябрь 2025'!$D$2:$D$2583,$B14,'ноябрь 2025'!$J$2:$J$2583,AE$1)</f>
        <v>0</v>
      </c>
      <c r="AF14" s="76">
        <f>SUMIFS('ноябрь 2025'!$G$2:$G$2583,'ноябрь 2025'!$D$2:$D$2583,$B14,'ноябрь 2025'!$J$2:$J$2583,AF$1)</f>
        <v>0</v>
      </c>
      <c r="AG14" s="76">
        <f>SUMIFS('ноябрь 2025'!$G$2:$G$2583,'ноябрь 2025'!$D$2:$D$2583,$B14,'ноябрь 2025'!$J$2:$J$2583,AG$1)</f>
        <v>0</v>
      </c>
      <c r="AH14" s="76">
        <f>SUMIFS('ноябрь 2025'!$G$2:$G$2583,'ноябрь 2025'!$D$2:$D$2583,$B14,'ноябрь 2025'!$J$2:$J$2583,AH$1)</f>
        <v>0</v>
      </c>
      <c r="AI14" s="20">
        <f t="shared" si="1"/>
        <v>0</v>
      </c>
    </row>
    <row r="15" spans="2:35" ht="15" customHeight="1" x14ac:dyDescent="0.25">
      <c r="B15" s="80" t="s">
        <v>302</v>
      </c>
      <c r="C15" s="81">
        <v>25</v>
      </c>
      <c r="D15" s="76">
        <f>SUMIFS('ноябрь 2025'!$G$2:$G$2583,'ноябрь 2025'!$D$2:$D$2583,$B15,'ноябрь 2025'!$J$2:$J$2583,D$1)</f>
        <v>0</v>
      </c>
      <c r="E15" s="76">
        <f>SUMIFS('ноябрь 2025'!$G$2:$G$2583,'ноябрь 2025'!$D$2:$D$2583,$B15,'ноябрь 2025'!$J$2:$J$2583,E$1)</f>
        <v>0</v>
      </c>
      <c r="F15" s="76">
        <f>SUMIFS('ноябрь 2025'!$G$2:$G$2583,'ноябрь 2025'!$D$2:$D$2583,$B15,'ноябрь 2025'!$J$2:$J$2583,F$1)</f>
        <v>0</v>
      </c>
      <c r="G15" s="76">
        <f>SUMIFS('ноябрь 2025'!$G$2:$G$2583,'ноябрь 2025'!$D$2:$D$2583,$B15,'ноябрь 2025'!$J$2:$J$2583,G$1)</f>
        <v>0</v>
      </c>
      <c r="H15" s="76">
        <f>SUMIFS('ноябрь 2025'!$G$2:$G$2583,'ноябрь 2025'!$D$2:$D$2583,$B15,'ноябрь 2025'!$J$2:$J$2583,H$1)</f>
        <v>0</v>
      </c>
      <c r="I15" s="76">
        <f>SUMIFS('ноябрь 2025'!$G$2:$G$2583,'ноябрь 2025'!$D$2:$D$2583,$B15,'ноябрь 2025'!$J$2:$J$2583,I$1)</f>
        <v>0</v>
      </c>
      <c r="J15" s="76">
        <f>SUMIFS('ноябрь 2025'!$G$2:$G$2583,'ноябрь 2025'!$D$2:$D$2583,$B15,'ноябрь 2025'!$J$2:$J$2583,J$1)</f>
        <v>0</v>
      </c>
      <c r="K15" s="76">
        <f>SUMIFS('ноябрь 2025'!$G$2:$G$2583,'ноябрь 2025'!$D$2:$D$2583,$B15,'ноябрь 2025'!$J$2:$J$2583,K$1)</f>
        <v>0</v>
      </c>
      <c r="L15" s="76">
        <f>SUMIFS('ноябрь 2025'!$G$2:$G$2583,'ноябрь 2025'!$D$2:$D$2583,$B15,'ноябрь 2025'!$J$2:$J$2583,L$1)</f>
        <v>0</v>
      </c>
      <c r="M15" s="76">
        <f>SUMIFS('ноябрь 2025'!$G$2:$G$2583,'ноябрь 2025'!$D$2:$D$2583,$B15,'ноябрь 2025'!$J$2:$J$2583,M$1)</f>
        <v>0</v>
      </c>
      <c r="N15" s="76">
        <f>SUMIFS('ноябрь 2025'!$G$2:$G$2583,'ноябрь 2025'!$D$2:$D$2583,$B15,'ноябрь 2025'!$J$2:$J$2583,N$1)</f>
        <v>0</v>
      </c>
      <c r="O15" s="76">
        <f>SUMIFS('ноябрь 2025'!$G$2:$G$2583,'ноябрь 2025'!$D$2:$D$2583,$B15,'ноябрь 2025'!$J$2:$J$2583,O$1)</f>
        <v>0</v>
      </c>
      <c r="P15" s="76">
        <f>SUMIFS('ноябрь 2025'!$G$2:$G$2583,'ноябрь 2025'!$D$2:$D$2583,$B15,'ноябрь 2025'!$J$2:$J$2583,P$1)</f>
        <v>0</v>
      </c>
      <c r="Q15" s="76">
        <f>SUMIFS('ноябрь 2025'!$G$2:$G$2583,'ноябрь 2025'!$D$2:$D$2583,$B15,'ноябрь 2025'!$J$2:$J$2583,Q$1)</f>
        <v>0</v>
      </c>
      <c r="R15" s="76">
        <f>SUMIFS('ноябрь 2025'!$G$2:$G$2583,'ноябрь 2025'!$D$2:$D$2583,$B15,'ноябрь 2025'!$J$2:$J$2583,R$1)</f>
        <v>0</v>
      </c>
      <c r="S15" s="76">
        <f>SUMIFS('ноябрь 2025'!$G$2:$G$2583,'ноябрь 2025'!$D$2:$D$2583,$B15,'ноябрь 2025'!$J$2:$J$2583,S$1)</f>
        <v>0</v>
      </c>
      <c r="T15" s="76">
        <f>SUMIFS('ноябрь 2025'!$G$2:$G$2583,'ноябрь 2025'!$D$2:$D$2583,$B15,'ноябрь 2025'!$J$2:$J$2583,T$1)</f>
        <v>0</v>
      </c>
      <c r="U15" s="76">
        <f>SUMIFS('ноябрь 2025'!$G$2:$G$2583,'ноябрь 2025'!$D$2:$D$2583,$B15,'ноябрь 2025'!$J$2:$J$2583,U$1)</f>
        <v>0</v>
      </c>
      <c r="V15" s="76">
        <f>SUMIFS('ноябрь 2025'!$G$2:$G$2583,'ноябрь 2025'!$D$2:$D$2583,$B15,'ноябрь 2025'!$J$2:$J$2583,V$1)</f>
        <v>0</v>
      </c>
      <c r="W15" s="76">
        <f>SUMIFS('ноябрь 2025'!$G$2:$G$2583,'ноябрь 2025'!$D$2:$D$2583,$B15,'ноябрь 2025'!$J$2:$J$2583,W$1)</f>
        <v>0</v>
      </c>
      <c r="X15" s="76">
        <f>SUMIFS('ноябрь 2025'!$G$2:$G$2583,'ноябрь 2025'!$D$2:$D$2583,$B15,'ноябрь 2025'!$J$2:$J$2583,X$1)</f>
        <v>0</v>
      </c>
      <c r="Y15" s="76">
        <f>SUMIFS('ноябрь 2025'!$G$2:$G$2583,'ноябрь 2025'!$D$2:$D$2583,$B15,'ноябрь 2025'!$J$2:$J$2583,Y$1)</f>
        <v>0</v>
      </c>
      <c r="Z15" s="76">
        <f>SUMIFS('ноябрь 2025'!$G$2:$G$2583,'ноябрь 2025'!$D$2:$D$2583,$B15,'ноябрь 2025'!$J$2:$J$2583,Z$1)</f>
        <v>0</v>
      </c>
      <c r="AA15" s="76">
        <f>SUMIFS('ноябрь 2025'!$G$2:$G$2583,'ноябрь 2025'!$D$2:$D$2583,$B15,'ноябрь 2025'!$J$2:$J$2583,AA$1)</f>
        <v>0</v>
      </c>
      <c r="AB15" s="76">
        <f>SUMIFS('ноябрь 2025'!$G$2:$G$2583,'ноябрь 2025'!$D$2:$D$2583,$B15,'ноябрь 2025'!$J$2:$J$2583,AB$1)</f>
        <v>0</v>
      </c>
      <c r="AC15" s="76">
        <f>SUMIFS('ноябрь 2025'!$G$2:$G$2583,'ноябрь 2025'!$D$2:$D$2583,$B15,'ноябрь 2025'!$J$2:$J$2583,AC$1)</f>
        <v>0</v>
      </c>
      <c r="AD15" s="76">
        <f>SUMIFS('ноябрь 2025'!$G$2:$G$2583,'ноябрь 2025'!$D$2:$D$2583,$B15,'ноябрь 2025'!$J$2:$J$2583,AD$1)</f>
        <v>0</v>
      </c>
      <c r="AE15" s="76">
        <f>SUMIFS('ноябрь 2025'!$G$2:$G$2583,'ноябрь 2025'!$D$2:$D$2583,$B15,'ноябрь 2025'!$J$2:$J$2583,AE$1)</f>
        <v>0</v>
      </c>
      <c r="AF15" s="76">
        <f>SUMIFS('ноябрь 2025'!$G$2:$G$2583,'ноябрь 2025'!$D$2:$D$2583,$B15,'ноябрь 2025'!$J$2:$J$2583,AF$1)</f>
        <v>0</v>
      </c>
      <c r="AG15" s="76">
        <f>SUMIFS('ноябрь 2025'!$G$2:$G$2583,'ноябрь 2025'!$D$2:$D$2583,$B15,'ноябрь 2025'!$J$2:$J$2583,AG$1)</f>
        <v>0</v>
      </c>
      <c r="AH15" s="76">
        <f>SUMIFS('ноябрь 2025'!$G$2:$G$2583,'ноябрь 2025'!$D$2:$D$2583,$B15,'ноябрь 2025'!$J$2:$J$2583,AH$1)</f>
        <v>0</v>
      </c>
      <c r="AI15" s="20">
        <f t="shared" si="1"/>
        <v>0</v>
      </c>
    </row>
    <row r="16" spans="2:35" ht="15" customHeight="1" x14ac:dyDescent="0.25">
      <c r="B16" s="80" t="s">
        <v>306</v>
      </c>
      <c r="C16" s="81">
        <v>25</v>
      </c>
      <c r="D16" s="76">
        <f>SUMIFS('ноябрь 2025'!$G$2:$G$2583,'ноябрь 2025'!$D$2:$D$2583,$B16,'ноябрь 2025'!$J$2:$J$2583,D$1)</f>
        <v>0</v>
      </c>
      <c r="E16" s="76">
        <f>SUMIFS('ноябрь 2025'!$G$2:$G$2583,'ноябрь 2025'!$D$2:$D$2583,$B16,'ноябрь 2025'!$J$2:$J$2583,E$1)</f>
        <v>0</v>
      </c>
      <c r="F16" s="76">
        <f>SUMIFS('ноябрь 2025'!$G$2:$G$2583,'ноябрь 2025'!$D$2:$D$2583,$B16,'ноябрь 2025'!$J$2:$J$2583,F$1)</f>
        <v>0</v>
      </c>
      <c r="G16" s="76">
        <f>SUMIFS('ноябрь 2025'!$G$2:$G$2583,'ноябрь 2025'!$D$2:$D$2583,$B16,'ноябрь 2025'!$J$2:$J$2583,G$1)</f>
        <v>0</v>
      </c>
      <c r="H16" s="76">
        <f>SUMIFS('ноябрь 2025'!$G$2:$G$2583,'ноябрь 2025'!$D$2:$D$2583,$B16,'ноябрь 2025'!$J$2:$J$2583,H$1)</f>
        <v>0</v>
      </c>
      <c r="I16" s="76">
        <f>SUMIFS('ноябрь 2025'!$G$2:$G$2583,'ноябрь 2025'!$D$2:$D$2583,$B16,'ноябрь 2025'!$J$2:$J$2583,I$1)</f>
        <v>0</v>
      </c>
      <c r="J16" s="76">
        <f>SUMIFS('ноябрь 2025'!$G$2:$G$2583,'ноябрь 2025'!$D$2:$D$2583,$B16,'ноябрь 2025'!$J$2:$J$2583,J$1)</f>
        <v>0</v>
      </c>
      <c r="K16" s="76">
        <f>SUMIFS('ноябрь 2025'!$G$2:$G$2583,'ноябрь 2025'!$D$2:$D$2583,$B16,'ноябрь 2025'!$J$2:$J$2583,K$1)</f>
        <v>0</v>
      </c>
      <c r="L16" s="76">
        <f>SUMIFS('ноябрь 2025'!$G$2:$G$2583,'ноябрь 2025'!$D$2:$D$2583,$B16,'ноябрь 2025'!$J$2:$J$2583,L$1)</f>
        <v>0</v>
      </c>
      <c r="M16" s="76">
        <f>SUMIFS('ноябрь 2025'!$G$2:$G$2583,'ноябрь 2025'!$D$2:$D$2583,$B16,'ноябрь 2025'!$J$2:$J$2583,M$1)</f>
        <v>0</v>
      </c>
      <c r="N16" s="76">
        <f>SUMIFS('ноябрь 2025'!$G$2:$G$2583,'ноябрь 2025'!$D$2:$D$2583,$B16,'ноябрь 2025'!$J$2:$J$2583,N$1)</f>
        <v>0</v>
      </c>
      <c r="O16" s="76">
        <f>SUMIFS('ноябрь 2025'!$G$2:$G$2583,'ноябрь 2025'!$D$2:$D$2583,$B16,'ноябрь 2025'!$J$2:$J$2583,O$1)</f>
        <v>0</v>
      </c>
      <c r="P16" s="76">
        <f>SUMIFS('ноябрь 2025'!$G$2:$G$2583,'ноябрь 2025'!$D$2:$D$2583,$B16,'ноябрь 2025'!$J$2:$J$2583,P$1)</f>
        <v>0</v>
      </c>
      <c r="Q16" s="76">
        <f>SUMIFS('ноябрь 2025'!$G$2:$G$2583,'ноябрь 2025'!$D$2:$D$2583,$B16,'ноябрь 2025'!$J$2:$J$2583,Q$1)</f>
        <v>0</v>
      </c>
      <c r="R16" s="76">
        <f>SUMIFS('ноябрь 2025'!$G$2:$G$2583,'ноябрь 2025'!$D$2:$D$2583,$B16,'ноябрь 2025'!$J$2:$J$2583,R$1)</f>
        <v>0</v>
      </c>
      <c r="S16" s="76">
        <f>SUMIFS('ноябрь 2025'!$G$2:$G$2583,'ноябрь 2025'!$D$2:$D$2583,$B16,'ноябрь 2025'!$J$2:$J$2583,S$1)</f>
        <v>0</v>
      </c>
      <c r="T16" s="76">
        <f>SUMIFS('ноябрь 2025'!$G$2:$G$2583,'ноябрь 2025'!$D$2:$D$2583,$B16,'ноябрь 2025'!$J$2:$J$2583,T$1)</f>
        <v>0</v>
      </c>
      <c r="U16" s="76">
        <f>SUMIFS('ноябрь 2025'!$G$2:$G$2583,'ноябрь 2025'!$D$2:$D$2583,$B16,'ноябрь 2025'!$J$2:$J$2583,U$1)</f>
        <v>0</v>
      </c>
      <c r="V16" s="76">
        <f>SUMIFS('ноябрь 2025'!$G$2:$G$2583,'ноябрь 2025'!$D$2:$D$2583,$B16,'ноябрь 2025'!$J$2:$J$2583,V$1)</f>
        <v>0</v>
      </c>
      <c r="W16" s="76">
        <f>SUMIFS('ноябрь 2025'!$G$2:$G$2583,'ноябрь 2025'!$D$2:$D$2583,$B16,'ноябрь 2025'!$J$2:$J$2583,W$1)</f>
        <v>0</v>
      </c>
      <c r="X16" s="76">
        <f>SUMIFS('ноябрь 2025'!$G$2:$G$2583,'ноябрь 2025'!$D$2:$D$2583,$B16,'ноябрь 2025'!$J$2:$J$2583,X$1)</f>
        <v>0</v>
      </c>
      <c r="Y16" s="76">
        <f>SUMIFS('ноябрь 2025'!$G$2:$G$2583,'ноябрь 2025'!$D$2:$D$2583,$B16,'ноябрь 2025'!$J$2:$J$2583,Y$1)</f>
        <v>0</v>
      </c>
      <c r="Z16" s="76">
        <f>SUMIFS('ноябрь 2025'!$G$2:$G$2583,'ноябрь 2025'!$D$2:$D$2583,$B16,'ноябрь 2025'!$J$2:$J$2583,Z$1)</f>
        <v>0</v>
      </c>
      <c r="AA16" s="76">
        <f>SUMIFS('ноябрь 2025'!$G$2:$G$2583,'ноябрь 2025'!$D$2:$D$2583,$B16,'ноябрь 2025'!$J$2:$J$2583,AA$1)</f>
        <v>0</v>
      </c>
      <c r="AB16" s="76">
        <f>SUMIFS('ноябрь 2025'!$G$2:$G$2583,'ноябрь 2025'!$D$2:$D$2583,$B16,'ноябрь 2025'!$J$2:$J$2583,AB$1)</f>
        <v>0</v>
      </c>
      <c r="AC16" s="76">
        <f>SUMIFS('ноябрь 2025'!$G$2:$G$2583,'ноябрь 2025'!$D$2:$D$2583,$B16,'ноябрь 2025'!$J$2:$J$2583,AC$1)</f>
        <v>0</v>
      </c>
      <c r="AD16" s="76">
        <f>SUMIFS('ноябрь 2025'!$G$2:$G$2583,'ноябрь 2025'!$D$2:$D$2583,$B16,'ноябрь 2025'!$J$2:$J$2583,AD$1)</f>
        <v>0</v>
      </c>
      <c r="AE16" s="76">
        <f>SUMIFS('ноябрь 2025'!$G$2:$G$2583,'ноябрь 2025'!$D$2:$D$2583,$B16,'ноябрь 2025'!$J$2:$J$2583,AE$1)</f>
        <v>0</v>
      </c>
      <c r="AF16" s="76">
        <f>SUMIFS('ноябрь 2025'!$G$2:$G$2583,'ноябрь 2025'!$D$2:$D$2583,$B16,'ноябрь 2025'!$J$2:$J$2583,AF$1)</f>
        <v>0</v>
      </c>
      <c r="AG16" s="76">
        <f>SUMIFS('ноябрь 2025'!$G$2:$G$2583,'ноябрь 2025'!$D$2:$D$2583,$B16,'ноябрь 2025'!$J$2:$J$2583,AG$1)</f>
        <v>0</v>
      </c>
      <c r="AH16" s="76">
        <f>SUMIFS('ноябрь 2025'!$G$2:$G$2583,'ноябрь 2025'!$D$2:$D$2583,$B16,'ноябрь 2025'!$J$2:$J$2583,AH$1)</f>
        <v>0</v>
      </c>
      <c r="AI16" s="20">
        <f t="shared" si="1"/>
        <v>0</v>
      </c>
    </row>
    <row r="17" spans="2:35" ht="15" customHeight="1" x14ac:dyDescent="0.25">
      <c r="B17" s="80" t="s">
        <v>231</v>
      </c>
      <c r="C17" s="81">
        <v>22.7</v>
      </c>
      <c r="D17" s="76">
        <f>SUMIFS('ноябрь 2025'!$G$2:$G$2583,'ноябрь 2025'!$D$2:$D$2583,$B17,'ноябрь 2025'!$J$2:$J$2583,D$1)</f>
        <v>0</v>
      </c>
      <c r="E17" s="76">
        <f>SUMIFS('ноябрь 2025'!$G$2:$G$2583,'ноябрь 2025'!$D$2:$D$2583,$B17,'ноябрь 2025'!$J$2:$J$2583,E$1)</f>
        <v>0</v>
      </c>
      <c r="F17" s="76">
        <f>SUMIFS('ноябрь 2025'!$G$2:$G$2583,'ноябрь 2025'!$D$2:$D$2583,$B17,'ноябрь 2025'!$J$2:$J$2583,F$1)</f>
        <v>0</v>
      </c>
      <c r="G17" s="76">
        <f>SUMIFS('ноябрь 2025'!$G$2:$G$2583,'ноябрь 2025'!$D$2:$D$2583,$B17,'ноябрь 2025'!$J$2:$J$2583,G$1)</f>
        <v>0</v>
      </c>
      <c r="H17" s="76">
        <f>SUMIFS('ноябрь 2025'!$G$2:$G$2583,'ноябрь 2025'!$D$2:$D$2583,$B17,'ноябрь 2025'!$J$2:$J$2583,H$1)</f>
        <v>0</v>
      </c>
      <c r="I17" s="76">
        <f>SUMIFS('ноябрь 2025'!$G$2:$G$2583,'ноябрь 2025'!$D$2:$D$2583,$B17,'ноябрь 2025'!$J$2:$J$2583,I$1)</f>
        <v>0</v>
      </c>
      <c r="J17" s="76">
        <f>SUMIFS('ноябрь 2025'!$G$2:$G$2583,'ноябрь 2025'!$D$2:$D$2583,$B17,'ноябрь 2025'!$J$2:$J$2583,J$1)</f>
        <v>0</v>
      </c>
      <c r="K17" s="76">
        <f>SUMIFS('ноябрь 2025'!$G$2:$G$2583,'ноябрь 2025'!$D$2:$D$2583,$B17,'ноябрь 2025'!$J$2:$J$2583,K$1)</f>
        <v>0</v>
      </c>
      <c r="L17" s="76">
        <f>SUMIFS('ноябрь 2025'!$G$2:$G$2583,'ноябрь 2025'!$D$2:$D$2583,$B17,'ноябрь 2025'!$J$2:$J$2583,L$1)</f>
        <v>0</v>
      </c>
      <c r="M17" s="76">
        <f>SUMIFS('ноябрь 2025'!$G$2:$G$2583,'ноябрь 2025'!$D$2:$D$2583,$B17,'ноябрь 2025'!$J$2:$J$2583,M$1)</f>
        <v>0</v>
      </c>
      <c r="N17" s="76">
        <f>SUMIFS('ноябрь 2025'!$G$2:$G$2583,'ноябрь 2025'!$D$2:$D$2583,$B17,'ноябрь 2025'!$J$2:$J$2583,N$1)</f>
        <v>0</v>
      </c>
      <c r="O17" s="76">
        <f>SUMIFS('ноябрь 2025'!$G$2:$G$2583,'ноябрь 2025'!$D$2:$D$2583,$B17,'ноябрь 2025'!$J$2:$J$2583,O$1)</f>
        <v>0</v>
      </c>
      <c r="P17" s="76">
        <f>SUMIFS('ноябрь 2025'!$G$2:$G$2583,'ноябрь 2025'!$D$2:$D$2583,$B17,'ноябрь 2025'!$J$2:$J$2583,P$1)</f>
        <v>0</v>
      </c>
      <c r="Q17" s="76">
        <f>SUMIFS('ноябрь 2025'!$G$2:$G$2583,'ноябрь 2025'!$D$2:$D$2583,$B17,'ноябрь 2025'!$J$2:$J$2583,Q$1)</f>
        <v>0</v>
      </c>
      <c r="R17" s="76">
        <f>SUMIFS('ноябрь 2025'!$G$2:$G$2583,'ноябрь 2025'!$D$2:$D$2583,$B17,'ноябрь 2025'!$J$2:$J$2583,R$1)</f>
        <v>0</v>
      </c>
      <c r="S17" s="76">
        <f>SUMIFS('ноябрь 2025'!$G$2:$G$2583,'ноябрь 2025'!$D$2:$D$2583,$B17,'ноябрь 2025'!$J$2:$J$2583,S$1)</f>
        <v>0</v>
      </c>
      <c r="T17" s="76">
        <f>SUMIFS('ноябрь 2025'!$G$2:$G$2583,'ноябрь 2025'!$D$2:$D$2583,$B17,'ноябрь 2025'!$J$2:$J$2583,T$1)</f>
        <v>0</v>
      </c>
      <c r="U17" s="76">
        <f>SUMIFS('ноябрь 2025'!$G$2:$G$2583,'ноябрь 2025'!$D$2:$D$2583,$B17,'ноябрь 2025'!$J$2:$J$2583,U$1)</f>
        <v>0</v>
      </c>
      <c r="V17" s="76">
        <f>SUMIFS('ноябрь 2025'!$G$2:$G$2583,'ноябрь 2025'!$D$2:$D$2583,$B17,'ноябрь 2025'!$J$2:$J$2583,V$1)</f>
        <v>0</v>
      </c>
      <c r="W17" s="76">
        <f>SUMIFS('ноябрь 2025'!$G$2:$G$2583,'ноябрь 2025'!$D$2:$D$2583,$B17,'ноябрь 2025'!$J$2:$J$2583,W$1)</f>
        <v>0</v>
      </c>
      <c r="X17" s="76">
        <f>SUMIFS('ноябрь 2025'!$G$2:$G$2583,'ноябрь 2025'!$D$2:$D$2583,$B17,'ноябрь 2025'!$J$2:$J$2583,X$1)</f>
        <v>0</v>
      </c>
      <c r="Y17" s="76">
        <f>SUMIFS('ноябрь 2025'!$G$2:$G$2583,'ноябрь 2025'!$D$2:$D$2583,$B17,'ноябрь 2025'!$J$2:$J$2583,Y$1)</f>
        <v>0</v>
      </c>
      <c r="Z17" s="76">
        <f>SUMIFS('ноябрь 2025'!$G$2:$G$2583,'ноябрь 2025'!$D$2:$D$2583,$B17,'ноябрь 2025'!$J$2:$J$2583,Z$1)</f>
        <v>0</v>
      </c>
      <c r="AA17" s="76">
        <f>SUMIFS('ноябрь 2025'!$G$2:$G$2583,'ноябрь 2025'!$D$2:$D$2583,$B17,'ноябрь 2025'!$J$2:$J$2583,AA$1)</f>
        <v>0</v>
      </c>
      <c r="AB17" s="76">
        <f>SUMIFS('ноябрь 2025'!$G$2:$G$2583,'ноябрь 2025'!$D$2:$D$2583,$B17,'ноябрь 2025'!$J$2:$J$2583,AB$1)</f>
        <v>0</v>
      </c>
      <c r="AC17" s="76">
        <f>SUMIFS('ноябрь 2025'!$G$2:$G$2583,'ноябрь 2025'!$D$2:$D$2583,$B17,'ноябрь 2025'!$J$2:$J$2583,AC$1)</f>
        <v>0</v>
      </c>
      <c r="AD17" s="76">
        <f>SUMIFS('ноябрь 2025'!$G$2:$G$2583,'ноябрь 2025'!$D$2:$D$2583,$B17,'ноябрь 2025'!$J$2:$J$2583,AD$1)</f>
        <v>0</v>
      </c>
      <c r="AE17" s="76">
        <f>SUMIFS('ноябрь 2025'!$G$2:$G$2583,'ноябрь 2025'!$D$2:$D$2583,$B17,'ноябрь 2025'!$J$2:$J$2583,AE$1)</f>
        <v>0</v>
      </c>
      <c r="AF17" s="76">
        <f>SUMIFS('ноябрь 2025'!$G$2:$G$2583,'ноябрь 2025'!$D$2:$D$2583,$B17,'ноябрь 2025'!$J$2:$J$2583,AF$1)</f>
        <v>0</v>
      </c>
      <c r="AG17" s="76">
        <f>SUMIFS('ноябрь 2025'!$G$2:$G$2583,'ноябрь 2025'!$D$2:$D$2583,$B17,'ноябрь 2025'!$J$2:$J$2583,AG$1)</f>
        <v>0</v>
      </c>
      <c r="AH17" s="76">
        <f>SUMIFS('ноябрь 2025'!$G$2:$G$2583,'ноябрь 2025'!$D$2:$D$2583,$B17,'ноябрь 2025'!$J$2:$J$2583,AH$1)</f>
        <v>0</v>
      </c>
      <c r="AI17" s="20">
        <f t="shared" si="1"/>
        <v>0</v>
      </c>
    </row>
    <row r="18" spans="2:35" ht="15" customHeight="1" x14ac:dyDescent="0.25">
      <c r="B18" s="77" t="s">
        <v>233</v>
      </c>
      <c r="C18" s="78">
        <v>22.7</v>
      </c>
      <c r="D18" s="76">
        <f>SUMIFS('ноябрь 2025'!$G$2:$G$2583,'ноябрь 2025'!$D$2:$D$2583,$B18,'ноябрь 2025'!$J$2:$J$2583,D$1)</f>
        <v>0</v>
      </c>
      <c r="E18" s="76">
        <f>SUMIFS('ноябрь 2025'!$G$2:$G$2583,'ноябрь 2025'!$D$2:$D$2583,$B18,'ноябрь 2025'!$J$2:$J$2583,E$1)</f>
        <v>0</v>
      </c>
      <c r="F18" s="76">
        <f>SUMIFS('ноябрь 2025'!$G$2:$G$2583,'ноябрь 2025'!$D$2:$D$2583,$B18,'ноябрь 2025'!$J$2:$J$2583,F$1)</f>
        <v>0</v>
      </c>
      <c r="G18" s="76">
        <f>SUMIFS('ноябрь 2025'!$G$2:$G$2583,'ноябрь 2025'!$D$2:$D$2583,$B18,'ноябрь 2025'!$J$2:$J$2583,G$1)</f>
        <v>0</v>
      </c>
      <c r="H18" s="76">
        <f>SUMIFS('ноябрь 2025'!$G$2:$G$2583,'ноябрь 2025'!$D$2:$D$2583,$B18,'ноябрь 2025'!$J$2:$J$2583,H$1)</f>
        <v>0</v>
      </c>
      <c r="I18" s="76">
        <f>SUMIFS('ноябрь 2025'!$G$2:$G$2583,'ноябрь 2025'!$D$2:$D$2583,$B18,'ноябрь 2025'!$J$2:$J$2583,I$1)</f>
        <v>0</v>
      </c>
      <c r="J18" s="76">
        <f>SUMIFS('ноябрь 2025'!$G$2:$G$2583,'ноябрь 2025'!$D$2:$D$2583,$B18,'ноябрь 2025'!$J$2:$J$2583,J$1)</f>
        <v>0</v>
      </c>
      <c r="K18" s="76">
        <f>SUMIFS('ноябрь 2025'!$G$2:$G$2583,'ноябрь 2025'!$D$2:$D$2583,$B18,'ноябрь 2025'!$J$2:$J$2583,K$1)</f>
        <v>0</v>
      </c>
      <c r="L18" s="76">
        <f>SUMIFS('ноябрь 2025'!$G$2:$G$2583,'ноябрь 2025'!$D$2:$D$2583,$B18,'ноябрь 2025'!$J$2:$J$2583,L$1)</f>
        <v>0</v>
      </c>
      <c r="M18" s="76">
        <f>SUMIFS('ноябрь 2025'!$G$2:$G$2583,'ноябрь 2025'!$D$2:$D$2583,$B18,'ноябрь 2025'!$J$2:$J$2583,M$1)</f>
        <v>0</v>
      </c>
      <c r="N18" s="76">
        <f>SUMIFS('ноябрь 2025'!$G$2:$G$2583,'ноябрь 2025'!$D$2:$D$2583,$B18,'ноябрь 2025'!$J$2:$J$2583,N$1)</f>
        <v>0</v>
      </c>
      <c r="O18" s="76">
        <f>SUMIFS('ноябрь 2025'!$G$2:$G$2583,'ноябрь 2025'!$D$2:$D$2583,$B18,'ноябрь 2025'!$J$2:$J$2583,O$1)</f>
        <v>0</v>
      </c>
      <c r="P18" s="76">
        <f>SUMIFS('ноябрь 2025'!$G$2:$G$2583,'ноябрь 2025'!$D$2:$D$2583,$B18,'ноябрь 2025'!$J$2:$J$2583,P$1)</f>
        <v>0</v>
      </c>
      <c r="Q18" s="76">
        <f>SUMIFS('ноябрь 2025'!$G$2:$G$2583,'ноябрь 2025'!$D$2:$D$2583,$B18,'ноябрь 2025'!$J$2:$J$2583,Q$1)</f>
        <v>0</v>
      </c>
      <c r="R18" s="76">
        <f>SUMIFS('ноябрь 2025'!$G$2:$G$2583,'ноябрь 2025'!$D$2:$D$2583,$B18,'ноябрь 2025'!$J$2:$J$2583,R$1)</f>
        <v>0</v>
      </c>
      <c r="S18" s="76">
        <f>SUMIFS('ноябрь 2025'!$G$2:$G$2583,'ноябрь 2025'!$D$2:$D$2583,$B18,'ноябрь 2025'!$J$2:$J$2583,S$1)</f>
        <v>0</v>
      </c>
      <c r="T18" s="76">
        <f>SUMIFS('ноябрь 2025'!$G$2:$G$2583,'ноябрь 2025'!$D$2:$D$2583,$B18,'ноябрь 2025'!$J$2:$J$2583,T$1)</f>
        <v>0</v>
      </c>
      <c r="U18" s="76">
        <f>SUMIFS('ноябрь 2025'!$G$2:$G$2583,'ноябрь 2025'!$D$2:$D$2583,$B18,'ноябрь 2025'!$J$2:$J$2583,U$1)</f>
        <v>0</v>
      </c>
      <c r="V18" s="76">
        <f>SUMIFS('ноябрь 2025'!$G$2:$G$2583,'ноябрь 2025'!$D$2:$D$2583,$B18,'ноябрь 2025'!$J$2:$J$2583,V$1)</f>
        <v>0</v>
      </c>
      <c r="W18" s="76">
        <f>SUMIFS('ноябрь 2025'!$G$2:$G$2583,'ноябрь 2025'!$D$2:$D$2583,$B18,'ноябрь 2025'!$J$2:$J$2583,W$1)</f>
        <v>0</v>
      </c>
      <c r="X18" s="76">
        <f>SUMIFS('ноябрь 2025'!$G$2:$G$2583,'ноябрь 2025'!$D$2:$D$2583,$B18,'ноябрь 2025'!$J$2:$J$2583,X$1)</f>
        <v>0</v>
      </c>
      <c r="Y18" s="76">
        <f>SUMIFS('ноябрь 2025'!$G$2:$G$2583,'ноябрь 2025'!$D$2:$D$2583,$B18,'ноябрь 2025'!$J$2:$J$2583,Y$1)</f>
        <v>0</v>
      </c>
      <c r="Z18" s="76">
        <f>SUMIFS('ноябрь 2025'!$G$2:$G$2583,'ноябрь 2025'!$D$2:$D$2583,$B18,'ноябрь 2025'!$J$2:$J$2583,Z$1)</f>
        <v>0</v>
      </c>
      <c r="AA18" s="76">
        <f>SUMIFS('ноябрь 2025'!$G$2:$G$2583,'ноябрь 2025'!$D$2:$D$2583,$B18,'ноябрь 2025'!$J$2:$J$2583,AA$1)</f>
        <v>0</v>
      </c>
      <c r="AB18" s="76">
        <f>SUMIFS('ноябрь 2025'!$G$2:$G$2583,'ноябрь 2025'!$D$2:$D$2583,$B18,'ноябрь 2025'!$J$2:$J$2583,AB$1)</f>
        <v>0</v>
      </c>
      <c r="AC18" s="76">
        <f>SUMIFS('ноябрь 2025'!$G$2:$G$2583,'ноябрь 2025'!$D$2:$D$2583,$B18,'ноябрь 2025'!$J$2:$J$2583,AC$1)</f>
        <v>0</v>
      </c>
      <c r="AD18" s="76">
        <f>SUMIFS('ноябрь 2025'!$G$2:$G$2583,'ноябрь 2025'!$D$2:$D$2583,$B18,'ноябрь 2025'!$J$2:$J$2583,AD$1)</f>
        <v>0</v>
      </c>
      <c r="AE18" s="76">
        <f>SUMIFS('ноябрь 2025'!$G$2:$G$2583,'ноябрь 2025'!$D$2:$D$2583,$B18,'ноябрь 2025'!$J$2:$J$2583,AE$1)</f>
        <v>0</v>
      </c>
      <c r="AF18" s="76">
        <f>SUMIFS('ноябрь 2025'!$G$2:$G$2583,'ноябрь 2025'!$D$2:$D$2583,$B18,'ноябрь 2025'!$J$2:$J$2583,AF$1)</f>
        <v>0</v>
      </c>
      <c r="AG18" s="76">
        <f>SUMIFS('ноябрь 2025'!$G$2:$G$2583,'ноябрь 2025'!$D$2:$D$2583,$B18,'ноябрь 2025'!$J$2:$J$2583,AG$1)</f>
        <v>0</v>
      </c>
      <c r="AH18" s="76">
        <f>SUMIFS('ноябрь 2025'!$G$2:$G$2583,'ноябрь 2025'!$D$2:$D$2583,$B18,'ноябрь 2025'!$J$2:$J$2583,AH$1)</f>
        <v>0</v>
      </c>
      <c r="AI18" s="20">
        <f t="shared" si="1"/>
        <v>0</v>
      </c>
    </row>
    <row r="19" spans="2:35" ht="15" customHeight="1" x14ac:dyDescent="0.25">
      <c r="B19" s="80" t="s">
        <v>235</v>
      </c>
      <c r="C19" s="81">
        <v>22.7</v>
      </c>
      <c r="D19" s="76">
        <f>SUMIFS('ноябрь 2025'!$G$2:$G$2583,'ноябрь 2025'!$D$2:$D$2583,$B19,'ноябрь 2025'!$J$2:$J$2583,D$1)</f>
        <v>0</v>
      </c>
      <c r="E19" s="76">
        <f>SUMIFS('ноябрь 2025'!$G$2:$G$2583,'ноябрь 2025'!$D$2:$D$2583,$B19,'ноябрь 2025'!$J$2:$J$2583,E$1)</f>
        <v>0</v>
      </c>
      <c r="F19" s="76">
        <f>SUMIFS('ноябрь 2025'!$G$2:$G$2583,'ноябрь 2025'!$D$2:$D$2583,$B19,'ноябрь 2025'!$J$2:$J$2583,F$1)</f>
        <v>0</v>
      </c>
      <c r="G19" s="76">
        <f>SUMIFS('ноябрь 2025'!$G$2:$G$2583,'ноябрь 2025'!$D$2:$D$2583,$B19,'ноябрь 2025'!$J$2:$J$2583,G$1)</f>
        <v>0</v>
      </c>
      <c r="H19" s="76">
        <f>SUMIFS('ноябрь 2025'!$G$2:$G$2583,'ноябрь 2025'!$D$2:$D$2583,$B19,'ноябрь 2025'!$J$2:$J$2583,H$1)</f>
        <v>0</v>
      </c>
      <c r="I19" s="76">
        <f>SUMIFS('ноябрь 2025'!$G$2:$G$2583,'ноябрь 2025'!$D$2:$D$2583,$B19,'ноябрь 2025'!$J$2:$J$2583,I$1)</f>
        <v>0</v>
      </c>
      <c r="J19" s="76">
        <f>SUMIFS('ноябрь 2025'!$G$2:$G$2583,'ноябрь 2025'!$D$2:$D$2583,$B19,'ноябрь 2025'!$J$2:$J$2583,J$1)</f>
        <v>0</v>
      </c>
      <c r="K19" s="76">
        <f>SUMIFS('ноябрь 2025'!$G$2:$G$2583,'ноябрь 2025'!$D$2:$D$2583,$B19,'ноябрь 2025'!$J$2:$J$2583,K$1)</f>
        <v>0</v>
      </c>
      <c r="L19" s="76">
        <f>SUMIFS('ноябрь 2025'!$G$2:$G$2583,'ноябрь 2025'!$D$2:$D$2583,$B19,'ноябрь 2025'!$J$2:$J$2583,L$1)</f>
        <v>0</v>
      </c>
      <c r="M19" s="76">
        <f>SUMIFS('ноябрь 2025'!$G$2:$G$2583,'ноябрь 2025'!$D$2:$D$2583,$B19,'ноябрь 2025'!$J$2:$J$2583,M$1)</f>
        <v>0</v>
      </c>
      <c r="N19" s="76">
        <f>SUMIFS('ноябрь 2025'!$G$2:$G$2583,'ноябрь 2025'!$D$2:$D$2583,$B19,'ноябрь 2025'!$J$2:$J$2583,N$1)</f>
        <v>0</v>
      </c>
      <c r="O19" s="76">
        <f>SUMIFS('ноябрь 2025'!$G$2:$G$2583,'ноябрь 2025'!$D$2:$D$2583,$B19,'ноябрь 2025'!$J$2:$J$2583,O$1)</f>
        <v>0</v>
      </c>
      <c r="P19" s="76">
        <f>SUMIFS('ноябрь 2025'!$G$2:$G$2583,'ноябрь 2025'!$D$2:$D$2583,$B19,'ноябрь 2025'!$J$2:$J$2583,P$1)</f>
        <v>0</v>
      </c>
      <c r="Q19" s="76">
        <f>SUMIFS('ноябрь 2025'!$G$2:$G$2583,'ноябрь 2025'!$D$2:$D$2583,$B19,'ноябрь 2025'!$J$2:$J$2583,Q$1)</f>
        <v>0</v>
      </c>
      <c r="R19" s="76">
        <f>SUMIFS('ноябрь 2025'!$G$2:$G$2583,'ноябрь 2025'!$D$2:$D$2583,$B19,'ноябрь 2025'!$J$2:$J$2583,R$1)</f>
        <v>0</v>
      </c>
      <c r="S19" s="76">
        <f>SUMIFS('ноябрь 2025'!$G$2:$G$2583,'ноябрь 2025'!$D$2:$D$2583,$B19,'ноябрь 2025'!$J$2:$J$2583,S$1)</f>
        <v>0</v>
      </c>
      <c r="T19" s="76">
        <f>SUMIFS('ноябрь 2025'!$G$2:$G$2583,'ноябрь 2025'!$D$2:$D$2583,$B19,'ноябрь 2025'!$J$2:$J$2583,T$1)</f>
        <v>0</v>
      </c>
      <c r="U19" s="76">
        <f>SUMIFS('ноябрь 2025'!$G$2:$G$2583,'ноябрь 2025'!$D$2:$D$2583,$B19,'ноябрь 2025'!$J$2:$J$2583,U$1)</f>
        <v>0</v>
      </c>
      <c r="V19" s="76">
        <f>SUMIFS('ноябрь 2025'!$G$2:$G$2583,'ноябрь 2025'!$D$2:$D$2583,$B19,'ноябрь 2025'!$J$2:$J$2583,V$1)</f>
        <v>0</v>
      </c>
      <c r="W19" s="76">
        <f>SUMIFS('ноябрь 2025'!$G$2:$G$2583,'ноябрь 2025'!$D$2:$D$2583,$B19,'ноябрь 2025'!$J$2:$J$2583,W$1)</f>
        <v>0</v>
      </c>
      <c r="X19" s="76">
        <f>SUMIFS('ноябрь 2025'!$G$2:$G$2583,'ноябрь 2025'!$D$2:$D$2583,$B19,'ноябрь 2025'!$J$2:$J$2583,X$1)</f>
        <v>0</v>
      </c>
      <c r="Y19" s="76">
        <f>SUMIFS('ноябрь 2025'!$G$2:$G$2583,'ноябрь 2025'!$D$2:$D$2583,$B19,'ноябрь 2025'!$J$2:$J$2583,Y$1)</f>
        <v>0</v>
      </c>
      <c r="Z19" s="76">
        <f>SUMIFS('ноябрь 2025'!$G$2:$G$2583,'ноябрь 2025'!$D$2:$D$2583,$B19,'ноябрь 2025'!$J$2:$J$2583,Z$1)</f>
        <v>0</v>
      </c>
      <c r="AA19" s="76">
        <f>SUMIFS('ноябрь 2025'!$G$2:$G$2583,'ноябрь 2025'!$D$2:$D$2583,$B19,'ноябрь 2025'!$J$2:$J$2583,AA$1)</f>
        <v>0</v>
      </c>
      <c r="AB19" s="76">
        <f>SUMIFS('ноябрь 2025'!$G$2:$G$2583,'ноябрь 2025'!$D$2:$D$2583,$B19,'ноябрь 2025'!$J$2:$J$2583,AB$1)</f>
        <v>0</v>
      </c>
      <c r="AC19" s="76">
        <f>SUMIFS('ноябрь 2025'!$G$2:$G$2583,'ноябрь 2025'!$D$2:$D$2583,$B19,'ноябрь 2025'!$J$2:$J$2583,AC$1)</f>
        <v>0</v>
      </c>
      <c r="AD19" s="76">
        <f>SUMIFS('ноябрь 2025'!$G$2:$G$2583,'ноябрь 2025'!$D$2:$D$2583,$B19,'ноябрь 2025'!$J$2:$J$2583,AD$1)</f>
        <v>0</v>
      </c>
      <c r="AE19" s="76">
        <f>SUMIFS('ноябрь 2025'!$G$2:$G$2583,'ноябрь 2025'!$D$2:$D$2583,$B19,'ноябрь 2025'!$J$2:$J$2583,AE$1)</f>
        <v>0</v>
      </c>
      <c r="AF19" s="76">
        <f>SUMIFS('ноябрь 2025'!$G$2:$G$2583,'ноябрь 2025'!$D$2:$D$2583,$B19,'ноябрь 2025'!$J$2:$J$2583,AF$1)</f>
        <v>0</v>
      </c>
      <c r="AG19" s="76">
        <f>SUMIFS('ноябрь 2025'!$G$2:$G$2583,'ноябрь 2025'!$D$2:$D$2583,$B19,'ноябрь 2025'!$J$2:$J$2583,AG$1)</f>
        <v>0</v>
      </c>
      <c r="AH19" s="76">
        <f>SUMIFS('ноябрь 2025'!$G$2:$G$2583,'ноябрь 2025'!$D$2:$D$2583,$B19,'ноябрь 2025'!$J$2:$J$2583,AH$1)</f>
        <v>0</v>
      </c>
      <c r="AI19" s="20">
        <f t="shared" si="1"/>
        <v>0</v>
      </c>
    </row>
    <row r="20" spans="2:35" ht="15" customHeight="1" x14ac:dyDescent="0.25">
      <c r="B20" s="80" t="s">
        <v>237</v>
      </c>
      <c r="C20" s="81">
        <v>25</v>
      </c>
      <c r="D20" s="76">
        <f>SUMIFS('ноябрь 2025'!$G$2:$G$2583,'ноябрь 2025'!$D$2:$D$2583,$B20,'ноябрь 2025'!$J$2:$J$2583,D$1)</f>
        <v>0</v>
      </c>
      <c r="E20" s="76">
        <f>SUMIFS('ноябрь 2025'!$G$2:$G$2583,'ноябрь 2025'!$D$2:$D$2583,$B20,'ноябрь 2025'!$J$2:$J$2583,E$1)</f>
        <v>0</v>
      </c>
      <c r="F20" s="76">
        <f>SUMIFS('ноябрь 2025'!$G$2:$G$2583,'ноябрь 2025'!$D$2:$D$2583,$B20,'ноябрь 2025'!$J$2:$J$2583,F$1)</f>
        <v>0</v>
      </c>
      <c r="G20" s="76">
        <f>SUMIFS('ноябрь 2025'!$G$2:$G$2583,'ноябрь 2025'!$D$2:$D$2583,$B20,'ноябрь 2025'!$J$2:$J$2583,G$1)</f>
        <v>0</v>
      </c>
      <c r="H20" s="76">
        <f>SUMIFS('ноябрь 2025'!$G$2:$G$2583,'ноябрь 2025'!$D$2:$D$2583,$B20,'ноябрь 2025'!$J$2:$J$2583,H$1)</f>
        <v>0</v>
      </c>
      <c r="I20" s="76">
        <f>SUMIFS('ноябрь 2025'!$G$2:$G$2583,'ноябрь 2025'!$D$2:$D$2583,$B20,'ноябрь 2025'!$J$2:$J$2583,I$1)</f>
        <v>0</v>
      </c>
      <c r="J20" s="76">
        <f>SUMIFS('ноябрь 2025'!$G$2:$G$2583,'ноябрь 2025'!$D$2:$D$2583,$B20,'ноябрь 2025'!$J$2:$J$2583,J$1)</f>
        <v>0</v>
      </c>
      <c r="K20" s="76">
        <f>SUMIFS('ноябрь 2025'!$G$2:$G$2583,'ноябрь 2025'!$D$2:$D$2583,$B20,'ноябрь 2025'!$J$2:$J$2583,K$1)</f>
        <v>0</v>
      </c>
      <c r="L20" s="76">
        <f>SUMIFS('ноябрь 2025'!$G$2:$G$2583,'ноябрь 2025'!$D$2:$D$2583,$B20,'ноябрь 2025'!$J$2:$J$2583,L$1)</f>
        <v>0</v>
      </c>
      <c r="M20" s="76">
        <f>SUMIFS('ноябрь 2025'!$G$2:$G$2583,'ноябрь 2025'!$D$2:$D$2583,$B20,'ноябрь 2025'!$J$2:$J$2583,M$1)</f>
        <v>0</v>
      </c>
      <c r="N20" s="76">
        <f>SUMIFS('ноябрь 2025'!$G$2:$G$2583,'ноябрь 2025'!$D$2:$D$2583,$B20,'ноябрь 2025'!$J$2:$J$2583,N$1)</f>
        <v>0</v>
      </c>
      <c r="O20" s="76">
        <f>SUMIFS('ноябрь 2025'!$G$2:$G$2583,'ноябрь 2025'!$D$2:$D$2583,$B20,'ноябрь 2025'!$J$2:$J$2583,O$1)</f>
        <v>0</v>
      </c>
      <c r="P20" s="76">
        <f>SUMIFS('ноябрь 2025'!$G$2:$G$2583,'ноябрь 2025'!$D$2:$D$2583,$B20,'ноябрь 2025'!$J$2:$J$2583,P$1)</f>
        <v>0</v>
      </c>
      <c r="Q20" s="76">
        <f>SUMIFS('ноябрь 2025'!$G$2:$G$2583,'ноябрь 2025'!$D$2:$D$2583,$B20,'ноябрь 2025'!$J$2:$J$2583,Q$1)</f>
        <v>0</v>
      </c>
      <c r="R20" s="76">
        <f>SUMIFS('ноябрь 2025'!$G$2:$G$2583,'ноябрь 2025'!$D$2:$D$2583,$B20,'ноябрь 2025'!$J$2:$J$2583,R$1)</f>
        <v>0</v>
      </c>
      <c r="S20" s="76">
        <f>SUMIFS('ноябрь 2025'!$G$2:$G$2583,'ноябрь 2025'!$D$2:$D$2583,$B20,'ноябрь 2025'!$J$2:$J$2583,S$1)</f>
        <v>0</v>
      </c>
      <c r="T20" s="76">
        <f>SUMIFS('ноябрь 2025'!$G$2:$G$2583,'ноябрь 2025'!$D$2:$D$2583,$B20,'ноябрь 2025'!$J$2:$J$2583,T$1)</f>
        <v>0</v>
      </c>
      <c r="U20" s="76">
        <f>SUMIFS('ноябрь 2025'!$G$2:$G$2583,'ноябрь 2025'!$D$2:$D$2583,$B20,'ноябрь 2025'!$J$2:$J$2583,U$1)</f>
        <v>0</v>
      </c>
      <c r="V20" s="76">
        <f>SUMIFS('ноябрь 2025'!$G$2:$G$2583,'ноябрь 2025'!$D$2:$D$2583,$B20,'ноябрь 2025'!$J$2:$J$2583,V$1)</f>
        <v>0</v>
      </c>
      <c r="W20" s="76">
        <f>SUMIFS('ноябрь 2025'!$G$2:$G$2583,'ноябрь 2025'!$D$2:$D$2583,$B20,'ноябрь 2025'!$J$2:$J$2583,W$1)</f>
        <v>0</v>
      </c>
      <c r="X20" s="76">
        <f>SUMIFS('ноябрь 2025'!$G$2:$G$2583,'ноябрь 2025'!$D$2:$D$2583,$B20,'ноябрь 2025'!$J$2:$J$2583,X$1)</f>
        <v>0</v>
      </c>
      <c r="Y20" s="76">
        <f>SUMIFS('ноябрь 2025'!$G$2:$G$2583,'ноябрь 2025'!$D$2:$D$2583,$B20,'ноябрь 2025'!$J$2:$J$2583,Y$1)</f>
        <v>0</v>
      </c>
      <c r="Z20" s="76">
        <f>SUMIFS('ноябрь 2025'!$G$2:$G$2583,'ноябрь 2025'!$D$2:$D$2583,$B20,'ноябрь 2025'!$J$2:$J$2583,Z$1)</f>
        <v>0</v>
      </c>
      <c r="AA20" s="76">
        <f>SUMIFS('ноябрь 2025'!$G$2:$G$2583,'ноябрь 2025'!$D$2:$D$2583,$B20,'ноябрь 2025'!$J$2:$J$2583,AA$1)</f>
        <v>0</v>
      </c>
      <c r="AB20" s="76">
        <f>SUMIFS('ноябрь 2025'!$G$2:$G$2583,'ноябрь 2025'!$D$2:$D$2583,$B20,'ноябрь 2025'!$J$2:$J$2583,AB$1)</f>
        <v>0</v>
      </c>
      <c r="AC20" s="76">
        <f>SUMIFS('ноябрь 2025'!$G$2:$G$2583,'ноябрь 2025'!$D$2:$D$2583,$B20,'ноябрь 2025'!$J$2:$J$2583,AC$1)</f>
        <v>0</v>
      </c>
      <c r="AD20" s="76">
        <f>SUMIFS('ноябрь 2025'!$G$2:$G$2583,'ноябрь 2025'!$D$2:$D$2583,$B20,'ноябрь 2025'!$J$2:$J$2583,AD$1)</f>
        <v>0</v>
      </c>
      <c r="AE20" s="76">
        <f>SUMIFS('ноябрь 2025'!$G$2:$G$2583,'ноябрь 2025'!$D$2:$D$2583,$B20,'ноябрь 2025'!$J$2:$J$2583,AE$1)</f>
        <v>0</v>
      </c>
      <c r="AF20" s="76">
        <f>SUMIFS('ноябрь 2025'!$G$2:$G$2583,'ноябрь 2025'!$D$2:$D$2583,$B20,'ноябрь 2025'!$J$2:$J$2583,AF$1)</f>
        <v>0</v>
      </c>
      <c r="AG20" s="76">
        <f>SUMIFS('ноябрь 2025'!$G$2:$G$2583,'ноябрь 2025'!$D$2:$D$2583,$B20,'ноябрь 2025'!$J$2:$J$2583,AG$1)</f>
        <v>0</v>
      </c>
      <c r="AH20" s="76">
        <f>SUMIFS('ноябрь 2025'!$G$2:$G$2583,'ноябрь 2025'!$D$2:$D$2583,$B20,'ноябрь 2025'!$J$2:$J$2583,AH$1)</f>
        <v>0</v>
      </c>
      <c r="AI20" s="20">
        <f t="shared" si="1"/>
        <v>0</v>
      </c>
    </row>
    <row r="21" spans="2:35" ht="15" customHeight="1" x14ac:dyDescent="0.25">
      <c r="B21" s="77" t="s">
        <v>239</v>
      </c>
      <c r="C21" s="78">
        <v>25</v>
      </c>
      <c r="D21" s="76">
        <f>SUMIFS('ноябрь 2025'!$G$2:$G$2583,'ноябрь 2025'!$D$2:$D$2583,$B21,'ноябрь 2025'!$J$2:$J$2583,D$1)</f>
        <v>0</v>
      </c>
      <c r="E21" s="76">
        <f>SUMIFS('ноябрь 2025'!$G$2:$G$2583,'ноябрь 2025'!$D$2:$D$2583,$B21,'ноябрь 2025'!$J$2:$J$2583,E$1)</f>
        <v>0</v>
      </c>
      <c r="F21" s="76">
        <f>SUMIFS('ноябрь 2025'!$G$2:$G$2583,'ноябрь 2025'!$D$2:$D$2583,$B21,'ноябрь 2025'!$J$2:$J$2583,F$1)</f>
        <v>0</v>
      </c>
      <c r="G21" s="76">
        <f>SUMIFS('ноябрь 2025'!$G$2:$G$2583,'ноябрь 2025'!$D$2:$D$2583,$B21,'ноябрь 2025'!$J$2:$J$2583,G$1)</f>
        <v>0</v>
      </c>
      <c r="H21" s="76">
        <f>SUMIFS('ноябрь 2025'!$G$2:$G$2583,'ноябрь 2025'!$D$2:$D$2583,$B21,'ноябрь 2025'!$J$2:$J$2583,H$1)</f>
        <v>0</v>
      </c>
      <c r="I21" s="76">
        <f>SUMIFS('ноябрь 2025'!$G$2:$G$2583,'ноябрь 2025'!$D$2:$D$2583,$B21,'ноябрь 2025'!$J$2:$J$2583,I$1)</f>
        <v>0</v>
      </c>
      <c r="J21" s="76">
        <f>SUMIFS('ноябрь 2025'!$G$2:$G$2583,'ноябрь 2025'!$D$2:$D$2583,$B21,'ноябрь 2025'!$J$2:$J$2583,J$1)</f>
        <v>0</v>
      </c>
      <c r="K21" s="76">
        <f>SUMIFS('ноябрь 2025'!$G$2:$G$2583,'ноябрь 2025'!$D$2:$D$2583,$B21,'ноябрь 2025'!$J$2:$J$2583,K$1)</f>
        <v>0</v>
      </c>
      <c r="L21" s="76">
        <f>SUMIFS('ноябрь 2025'!$G$2:$G$2583,'ноябрь 2025'!$D$2:$D$2583,$B21,'ноябрь 2025'!$J$2:$J$2583,L$1)</f>
        <v>0</v>
      </c>
      <c r="M21" s="76">
        <f>SUMIFS('ноябрь 2025'!$G$2:$G$2583,'ноябрь 2025'!$D$2:$D$2583,$B21,'ноябрь 2025'!$J$2:$J$2583,M$1)</f>
        <v>0</v>
      </c>
      <c r="N21" s="76">
        <f>SUMIFS('ноябрь 2025'!$G$2:$G$2583,'ноябрь 2025'!$D$2:$D$2583,$B21,'ноябрь 2025'!$J$2:$J$2583,N$1)</f>
        <v>0</v>
      </c>
      <c r="O21" s="76">
        <f>SUMIFS('ноябрь 2025'!$G$2:$G$2583,'ноябрь 2025'!$D$2:$D$2583,$B21,'ноябрь 2025'!$J$2:$J$2583,O$1)</f>
        <v>0</v>
      </c>
      <c r="P21" s="76">
        <f>SUMIFS('ноябрь 2025'!$G$2:$G$2583,'ноябрь 2025'!$D$2:$D$2583,$B21,'ноябрь 2025'!$J$2:$J$2583,P$1)</f>
        <v>0</v>
      </c>
      <c r="Q21" s="76">
        <f>SUMIFS('ноябрь 2025'!$G$2:$G$2583,'ноябрь 2025'!$D$2:$D$2583,$B21,'ноябрь 2025'!$J$2:$J$2583,Q$1)</f>
        <v>0</v>
      </c>
      <c r="R21" s="76">
        <f>SUMIFS('ноябрь 2025'!$G$2:$G$2583,'ноябрь 2025'!$D$2:$D$2583,$B21,'ноябрь 2025'!$J$2:$J$2583,R$1)</f>
        <v>0</v>
      </c>
      <c r="S21" s="76">
        <f>SUMIFS('ноябрь 2025'!$G$2:$G$2583,'ноябрь 2025'!$D$2:$D$2583,$B21,'ноябрь 2025'!$J$2:$J$2583,S$1)</f>
        <v>0</v>
      </c>
      <c r="T21" s="76">
        <f>SUMIFS('ноябрь 2025'!$G$2:$G$2583,'ноябрь 2025'!$D$2:$D$2583,$B21,'ноябрь 2025'!$J$2:$J$2583,T$1)</f>
        <v>0</v>
      </c>
      <c r="U21" s="76">
        <f>SUMIFS('ноябрь 2025'!$G$2:$G$2583,'ноябрь 2025'!$D$2:$D$2583,$B21,'ноябрь 2025'!$J$2:$J$2583,U$1)</f>
        <v>0</v>
      </c>
      <c r="V21" s="76">
        <f>SUMIFS('ноябрь 2025'!$G$2:$G$2583,'ноябрь 2025'!$D$2:$D$2583,$B21,'ноябрь 2025'!$J$2:$J$2583,V$1)</f>
        <v>0</v>
      </c>
      <c r="W21" s="76">
        <f>SUMIFS('ноябрь 2025'!$G$2:$G$2583,'ноябрь 2025'!$D$2:$D$2583,$B21,'ноябрь 2025'!$J$2:$J$2583,W$1)</f>
        <v>0</v>
      </c>
      <c r="X21" s="76">
        <f>SUMIFS('ноябрь 2025'!$G$2:$G$2583,'ноябрь 2025'!$D$2:$D$2583,$B21,'ноябрь 2025'!$J$2:$J$2583,X$1)</f>
        <v>0</v>
      </c>
      <c r="Y21" s="76">
        <f>SUMIFS('ноябрь 2025'!$G$2:$G$2583,'ноябрь 2025'!$D$2:$D$2583,$B21,'ноябрь 2025'!$J$2:$J$2583,Y$1)</f>
        <v>0</v>
      </c>
      <c r="Z21" s="76">
        <f>SUMIFS('ноябрь 2025'!$G$2:$G$2583,'ноябрь 2025'!$D$2:$D$2583,$B21,'ноябрь 2025'!$J$2:$J$2583,Z$1)</f>
        <v>0</v>
      </c>
      <c r="AA21" s="76">
        <f>SUMIFS('ноябрь 2025'!$G$2:$G$2583,'ноябрь 2025'!$D$2:$D$2583,$B21,'ноябрь 2025'!$J$2:$J$2583,AA$1)</f>
        <v>0</v>
      </c>
      <c r="AB21" s="76">
        <f>SUMIFS('ноябрь 2025'!$G$2:$G$2583,'ноябрь 2025'!$D$2:$D$2583,$B21,'ноябрь 2025'!$J$2:$J$2583,AB$1)</f>
        <v>0</v>
      </c>
      <c r="AC21" s="76">
        <f>SUMIFS('ноябрь 2025'!$G$2:$G$2583,'ноябрь 2025'!$D$2:$D$2583,$B21,'ноябрь 2025'!$J$2:$J$2583,AC$1)</f>
        <v>0</v>
      </c>
      <c r="AD21" s="76">
        <f>SUMIFS('ноябрь 2025'!$G$2:$G$2583,'ноябрь 2025'!$D$2:$D$2583,$B21,'ноябрь 2025'!$J$2:$J$2583,AD$1)</f>
        <v>0</v>
      </c>
      <c r="AE21" s="76">
        <f>SUMIFS('ноябрь 2025'!$G$2:$G$2583,'ноябрь 2025'!$D$2:$D$2583,$B21,'ноябрь 2025'!$J$2:$J$2583,AE$1)</f>
        <v>0</v>
      </c>
      <c r="AF21" s="76">
        <f>SUMIFS('ноябрь 2025'!$G$2:$G$2583,'ноябрь 2025'!$D$2:$D$2583,$B21,'ноябрь 2025'!$J$2:$J$2583,AF$1)</f>
        <v>0</v>
      </c>
      <c r="AG21" s="76">
        <f>SUMIFS('ноябрь 2025'!$G$2:$G$2583,'ноябрь 2025'!$D$2:$D$2583,$B21,'ноябрь 2025'!$J$2:$J$2583,AG$1)</f>
        <v>0</v>
      </c>
      <c r="AH21" s="76">
        <f>SUMIFS('ноябрь 2025'!$G$2:$G$2583,'ноябрь 2025'!$D$2:$D$2583,$B21,'ноябрь 2025'!$J$2:$J$2583,AH$1)</f>
        <v>0</v>
      </c>
      <c r="AI21" s="20">
        <f t="shared" si="1"/>
        <v>0</v>
      </c>
    </row>
    <row r="22" spans="2:35" ht="15" customHeight="1" x14ac:dyDescent="0.25">
      <c r="B22" s="77" t="s">
        <v>241</v>
      </c>
      <c r="C22" s="78">
        <v>25</v>
      </c>
      <c r="D22" s="76">
        <f>SUMIFS('ноябрь 2025'!$G$2:$G$2583,'ноябрь 2025'!$D$2:$D$2583,$B22,'ноябрь 2025'!$J$2:$J$2583,D$1)</f>
        <v>0</v>
      </c>
      <c r="E22" s="76">
        <f>SUMIFS('ноябрь 2025'!$G$2:$G$2583,'ноябрь 2025'!$D$2:$D$2583,$B22,'ноябрь 2025'!$J$2:$J$2583,E$1)</f>
        <v>0</v>
      </c>
      <c r="F22" s="76">
        <f>SUMIFS('ноябрь 2025'!$G$2:$G$2583,'ноябрь 2025'!$D$2:$D$2583,$B22,'ноябрь 2025'!$J$2:$J$2583,F$1)</f>
        <v>0</v>
      </c>
      <c r="G22" s="76">
        <f>SUMIFS('ноябрь 2025'!$G$2:$G$2583,'ноябрь 2025'!$D$2:$D$2583,$B22,'ноябрь 2025'!$J$2:$J$2583,G$1)</f>
        <v>0</v>
      </c>
      <c r="H22" s="76">
        <f>SUMIFS('ноябрь 2025'!$G$2:$G$2583,'ноябрь 2025'!$D$2:$D$2583,$B22,'ноябрь 2025'!$J$2:$J$2583,H$1)</f>
        <v>0</v>
      </c>
      <c r="I22" s="76">
        <f>SUMIFS('ноябрь 2025'!$G$2:$G$2583,'ноябрь 2025'!$D$2:$D$2583,$B22,'ноябрь 2025'!$J$2:$J$2583,I$1)</f>
        <v>0</v>
      </c>
      <c r="J22" s="76">
        <f>SUMIFS('ноябрь 2025'!$G$2:$G$2583,'ноябрь 2025'!$D$2:$D$2583,$B22,'ноябрь 2025'!$J$2:$J$2583,J$1)</f>
        <v>0</v>
      </c>
      <c r="K22" s="76">
        <f>SUMIFS('ноябрь 2025'!$G$2:$G$2583,'ноябрь 2025'!$D$2:$D$2583,$B22,'ноябрь 2025'!$J$2:$J$2583,K$1)</f>
        <v>0</v>
      </c>
      <c r="L22" s="76">
        <f>SUMIFS('ноябрь 2025'!$G$2:$G$2583,'ноябрь 2025'!$D$2:$D$2583,$B22,'ноябрь 2025'!$J$2:$J$2583,L$1)</f>
        <v>0</v>
      </c>
      <c r="M22" s="76">
        <f>SUMIFS('ноябрь 2025'!$G$2:$G$2583,'ноябрь 2025'!$D$2:$D$2583,$B22,'ноябрь 2025'!$J$2:$J$2583,M$1)</f>
        <v>0</v>
      </c>
      <c r="N22" s="76">
        <f>SUMIFS('ноябрь 2025'!$G$2:$G$2583,'ноябрь 2025'!$D$2:$D$2583,$B22,'ноябрь 2025'!$J$2:$J$2583,N$1)</f>
        <v>0</v>
      </c>
      <c r="O22" s="76">
        <f>SUMIFS('ноябрь 2025'!$G$2:$G$2583,'ноябрь 2025'!$D$2:$D$2583,$B22,'ноябрь 2025'!$J$2:$J$2583,O$1)</f>
        <v>0</v>
      </c>
      <c r="P22" s="76">
        <f>SUMIFS('ноябрь 2025'!$G$2:$G$2583,'ноябрь 2025'!$D$2:$D$2583,$B22,'ноябрь 2025'!$J$2:$J$2583,P$1)</f>
        <v>0</v>
      </c>
      <c r="Q22" s="76">
        <f>SUMIFS('ноябрь 2025'!$G$2:$G$2583,'ноябрь 2025'!$D$2:$D$2583,$B22,'ноябрь 2025'!$J$2:$J$2583,Q$1)</f>
        <v>0</v>
      </c>
      <c r="R22" s="76">
        <f>SUMIFS('ноябрь 2025'!$G$2:$G$2583,'ноябрь 2025'!$D$2:$D$2583,$B22,'ноябрь 2025'!$J$2:$J$2583,R$1)</f>
        <v>0</v>
      </c>
      <c r="S22" s="76">
        <f>SUMIFS('ноябрь 2025'!$G$2:$G$2583,'ноябрь 2025'!$D$2:$D$2583,$B22,'ноябрь 2025'!$J$2:$J$2583,S$1)</f>
        <v>0</v>
      </c>
      <c r="T22" s="76">
        <f>SUMIFS('ноябрь 2025'!$G$2:$G$2583,'ноябрь 2025'!$D$2:$D$2583,$B22,'ноябрь 2025'!$J$2:$J$2583,T$1)</f>
        <v>0</v>
      </c>
      <c r="U22" s="76">
        <f>SUMIFS('ноябрь 2025'!$G$2:$G$2583,'ноябрь 2025'!$D$2:$D$2583,$B22,'ноябрь 2025'!$J$2:$J$2583,U$1)</f>
        <v>0</v>
      </c>
      <c r="V22" s="76">
        <f>SUMIFS('ноябрь 2025'!$G$2:$G$2583,'ноябрь 2025'!$D$2:$D$2583,$B22,'ноябрь 2025'!$J$2:$J$2583,V$1)</f>
        <v>0</v>
      </c>
      <c r="W22" s="76">
        <f>SUMIFS('ноябрь 2025'!$G$2:$G$2583,'ноябрь 2025'!$D$2:$D$2583,$B22,'ноябрь 2025'!$J$2:$J$2583,W$1)</f>
        <v>0</v>
      </c>
      <c r="X22" s="76">
        <f>SUMIFS('ноябрь 2025'!$G$2:$G$2583,'ноябрь 2025'!$D$2:$D$2583,$B22,'ноябрь 2025'!$J$2:$J$2583,X$1)</f>
        <v>0</v>
      </c>
      <c r="Y22" s="76">
        <f>SUMIFS('ноябрь 2025'!$G$2:$G$2583,'ноябрь 2025'!$D$2:$D$2583,$B22,'ноябрь 2025'!$J$2:$J$2583,Y$1)</f>
        <v>0</v>
      </c>
      <c r="Z22" s="76">
        <f>SUMIFS('ноябрь 2025'!$G$2:$G$2583,'ноябрь 2025'!$D$2:$D$2583,$B22,'ноябрь 2025'!$J$2:$J$2583,Z$1)</f>
        <v>0</v>
      </c>
      <c r="AA22" s="76">
        <f>SUMIFS('ноябрь 2025'!$G$2:$G$2583,'ноябрь 2025'!$D$2:$D$2583,$B22,'ноябрь 2025'!$J$2:$J$2583,AA$1)</f>
        <v>0</v>
      </c>
      <c r="AB22" s="76">
        <f>SUMIFS('ноябрь 2025'!$G$2:$G$2583,'ноябрь 2025'!$D$2:$D$2583,$B22,'ноябрь 2025'!$J$2:$J$2583,AB$1)</f>
        <v>0</v>
      </c>
      <c r="AC22" s="76">
        <f>SUMIFS('ноябрь 2025'!$G$2:$G$2583,'ноябрь 2025'!$D$2:$D$2583,$B22,'ноябрь 2025'!$J$2:$J$2583,AC$1)</f>
        <v>0</v>
      </c>
      <c r="AD22" s="76">
        <f>SUMIFS('ноябрь 2025'!$G$2:$G$2583,'ноябрь 2025'!$D$2:$D$2583,$B22,'ноябрь 2025'!$J$2:$J$2583,AD$1)</f>
        <v>0</v>
      </c>
      <c r="AE22" s="76">
        <f>SUMIFS('ноябрь 2025'!$G$2:$G$2583,'ноябрь 2025'!$D$2:$D$2583,$B22,'ноябрь 2025'!$J$2:$J$2583,AE$1)</f>
        <v>0</v>
      </c>
      <c r="AF22" s="76">
        <f>SUMIFS('ноябрь 2025'!$G$2:$G$2583,'ноябрь 2025'!$D$2:$D$2583,$B22,'ноябрь 2025'!$J$2:$J$2583,AF$1)</f>
        <v>0</v>
      </c>
      <c r="AG22" s="76">
        <f>SUMIFS('ноябрь 2025'!$G$2:$G$2583,'ноябрь 2025'!$D$2:$D$2583,$B22,'ноябрь 2025'!$J$2:$J$2583,AG$1)</f>
        <v>0</v>
      </c>
      <c r="AH22" s="76">
        <f>SUMIFS('ноябрь 2025'!$G$2:$G$2583,'ноябрь 2025'!$D$2:$D$2583,$B22,'ноябрь 2025'!$J$2:$J$2583,AH$1)</f>
        <v>0</v>
      </c>
      <c r="AI22" s="20">
        <f t="shared" si="1"/>
        <v>0</v>
      </c>
    </row>
    <row r="23" spans="2:35" ht="15" customHeight="1" x14ac:dyDescent="0.25">
      <c r="B23" s="77" t="s">
        <v>243</v>
      </c>
      <c r="C23" s="78">
        <v>25</v>
      </c>
      <c r="D23" s="76">
        <f>SUMIFS('ноябрь 2025'!$G$2:$G$2583,'ноябрь 2025'!$D$2:$D$2583,$B23,'ноябрь 2025'!$J$2:$J$2583,D$1)</f>
        <v>0</v>
      </c>
      <c r="E23" s="76">
        <f>SUMIFS('ноябрь 2025'!$G$2:$G$2583,'ноябрь 2025'!$D$2:$D$2583,$B23,'ноябрь 2025'!$J$2:$J$2583,E$1)</f>
        <v>0</v>
      </c>
      <c r="F23" s="76">
        <f>SUMIFS('ноябрь 2025'!$G$2:$G$2583,'ноябрь 2025'!$D$2:$D$2583,$B23,'ноябрь 2025'!$J$2:$J$2583,F$1)</f>
        <v>0</v>
      </c>
      <c r="G23" s="76">
        <f>SUMIFS('ноябрь 2025'!$G$2:$G$2583,'ноябрь 2025'!$D$2:$D$2583,$B23,'ноябрь 2025'!$J$2:$J$2583,G$1)</f>
        <v>0</v>
      </c>
      <c r="H23" s="76">
        <f>SUMIFS('ноябрь 2025'!$G$2:$G$2583,'ноябрь 2025'!$D$2:$D$2583,$B23,'ноябрь 2025'!$J$2:$J$2583,H$1)</f>
        <v>0</v>
      </c>
      <c r="I23" s="76">
        <f>SUMIFS('ноябрь 2025'!$G$2:$G$2583,'ноябрь 2025'!$D$2:$D$2583,$B23,'ноябрь 2025'!$J$2:$J$2583,I$1)</f>
        <v>0</v>
      </c>
      <c r="J23" s="76">
        <f>SUMIFS('ноябрь 2025'!$G$2:$G$2583,'ноябрь 2025'!$D$2:$D$2583,$B23,'ноябрь 2025'!$J$2:$J$2583,J$1)</f>
        <v>0</v>
      </c>
      <c r="K23" s="76">
        <f>SUMIFS('ноябрь 2025'!$G$2:$G$2583,'ноябрь 2025'!$D$2:$D$2583,$B23,'ноябрь 2025'!$J$2:$J$2583,K$1)</f>
        <v>0</v>
      </c>
      <c r="L23" s="76">
        <f>SUMIFS('ноябрь 2025'!$G$2:$G$2583,'ноябрь 2025'!$D$2:$D$2583,$B23,'ноябрь 2025'!$J$2:$J$2583,L$1)</f>
        <v>0</v>
      </c>
      <c r="M23" s="76">
        <f>SUMIFS('ноябрь 2025'!$G$2:$G$2583,'ноябрь 2025'!$D$2:$D$2583,$B23,'ноябрь 2025'!$J$2:$J$2583,M$1)</f>
        <v>0</v>
      </c>
      <c r="N23" s="76">
        <f>SUMIFS('ноябрь 2025'!$G$2:$G$2583,'ноябрь 2025'!$D$2:$D$2583,$B23,'ноябрь 2025'!$J$2:$J$2583,N$1)</f>
        <v>0</v>
      </c>
      <c r="O23" s="76">
        <f>SUMIFS('ноябрь 2025'!$G$2:$G$2583,'ноябрь 2025'!$D$2:$D$2583,$B23,'ноябрь 2025'!$J$2:$J$2583,O$1)</f>
        <v>0</v>
      </c>
      <c r="P23" s="76">
        <f>SUMIFS('ноябрь 2025'!$G$2:$G$2583,'ноябрь 2025'!$D$2:$D$2583,$B23,'ноябрь 2025'!$J$2:$J$2583,P$1)</f>
        <v>0</v>
      </c>
      <c r="Q23" s="76">
        <f>SUMIFS('ноябрь 2025'!$G$2:$G$2583,'ноябрь 2025'!$D$2:$D$2583,$B23,'ноябрь 2025'!$J$2:$J$2583,Q$1)</f>
        <v>0</v>
      </c>
      <c r="R23" s="76">
        <f>SUMIFS('ноябрь 2025'!$G$2:$G$2583,'ноябрь 2025'!$D$2:$D$2583,$B23,'ноябрь 2025'!$J$2:$J$2583,R$1)</f>
        <v>0</v>
      </c>
      <c r="S23" s="76">
        <f>SUMIFS('ноябрь 2025'!$G$2:$G$2583,'ноябрь 2025'!$D$2:$D$2583,$B23,'ноябрь 2025'!$J$2:$J$2583,S$1)</f>
        <v>0</v>
      </c>
      <c r="T23" s="76">
        <f>SUMIFS('ноябрь 2025'!$G$2:$G$2583,'ноябрь 2025'!$D$2:$D$2583,$B23,'ноябрь 2025'!$J$2:$J$2583,T$1)</f>
        <v>0</v>
      </c>
      <c r="U23" s="76">
        <f>SUMIFS('ноябрь 2025'!$G$2:$G$2583,'ноябрь 2025'!$D$2:$D$2583,$B23,'ноябрь 2025'!$J$2:$J$2583,U$1)</f>
        <v>0</v>
      </c>
      <c r="V23" s="76">
        <f>SUMIFS('ноябрь 2025'!$G$2:$G$2583,'ноябрь 2025'!$D$2:$D$2583,$B23,'ноябрь 2025'!$J$2:$J$2583,V$1)</f>
        <v>0</v>
      </c>
      <c r="W23" s="76">
        <f>SUMIFS('ноябрь 2025'!$G$2:$G$2583,'ноябрь 2025'!$D$2:$D$2583,$B23,'ноябрь 2025'!$J$2:$J$2583,W$1)</f>
        <v>0</v>
      </c>
      <c r="X23" s="76">
        <f>SUMIFS('ноябрь 2025'!$G$2:$G$2583,'ноябрь 2025'!$D$2:$D$2583,$B23,'ноябрь 2025'!$J$2:$J$2583,X$1)</f>
        <v>0</v>
      </c>
      <c r="Y23" s="76">
        <f>SUMIFS('ноябрь 2025'!$G$2:$G$2583,'ноябрь 2025'!$D$2:$D$2583,$B23,'ноябрь 2025'!$J$2:$J$2583,Y$1)</f>
        <v>0</v>
      </c>
      <c r="Z23" s="76">
        <f>SUMIFS('ноябрь 2025'!$G$2:$G$2583,'ноябрь 2025'!$D$2:$D$2583,$B23,'ноябрь 2025'!$J$2:$J$2583,Z$1)</f>
        <v>0</v>
      </c>
      <c r="AA23" s="76">
        <f>SUMIFS('ноябрь 2025'!$G$2:$G$2583,'ноябрь 2025'!$D$2:$D$2583,$B23,'ноябрь 2025'!$J$2:$J$2583,AA$1)</f>
        <v>0</v>
      </c>
      <c r="AB23" s="76">
        <f>SUMIFS('ноябрь 2025'!$G$2:$G$2583,'ноябрь 2025'!$D$2:$D$2583,$B23,'ноябрь 2025'!$J$2:$J$2583,AB$1)</f>
        <v>0</v>
      </c>
      <c r="AC23" s="76">
        <f>SUMIFS('ноябрь 2025'!$G$2:$G$2583,'ноябрь 2025'!$D$2:$D$2583,$B23,'ноябрь 2025'!$J$2:$J$2583,AC$1)</f>
        <v>0</v>
      </c>
      <c r="AD23" s="76">
        <f>SUMIFS('ноябрь 2025'!$G$2:$G$2583,'ноябрь 2025'!$D$2:$D$2583,$B23,'ноябрь 2025'!$J$2:$J$2583,AD$1)</f>
        <v>0</v>
      </c>
      <c r="AE23" s="76">
        <f>SUMIFS('ноябрь 2025'!$G$2:$G$2583,'ноябрь 2025'!$D$2:$D$2583,$B23,'ноябрь 2025'!$J$2:$J$2583,AE$1)</f>
        <v>0</v>
      </c>
      <c r="AF23" s="76">
        <f>SUMIFS('ноябрь 2025'!$G$2:$G$2583,'ноябрь 2025'!$D$2:$D$2583,$B23,'ноябрь 2025'!$J$2:$J$2583,AF$1)</f>
        <v>0</v>
      </c>
      <c r="AG23" s="76">
        <f>SUMIFS('ноябрь 2025'!$G$2:$G$2583,'ноябрь 2025'!$D$2:$D$2583,$B23,'ноябрь 2025'!$J$2:$J$2583,AG$1)</f>
        <v>0</v>
      </c>
      <c r="AH23" s="76">
        <f>SUMIFS('ноябрь 2025'!$G$2:$G$2583,'ноябрь 2025'!$D$2:$D$2583,$B23,'ноябрь 2025'!$J$2:$J$2583,AH$1)</f>
        <v>0</v>
      </c>
      <c r="AI23" s="20">
        <f t="shared" si="1"/>
        <v>0</v>
      </c>
    </row>
    <row r="24" spans="2:35" ht="15" customHeight="1" x14ac:dyDescent="0.25">
      <c r="B24" s="77" t="s">
        <v>245</v>
      </c>
      <c r="C24" s="78">
        <v>25</v>
      </c>
      <c r="D24" s="76">
        <f>SUMIFS('ноябрь 2025'!$G$2:$G$2583,'ноябрь 2025'!$D$2:$D$2583,$B24,'ноябрь 2025'!$J$2:$J$2583,D$1)</f>
        <v>0</v>
      </c>
      <c r="E24" s="76">
        <f>SUMIFS('ноябрь 2025'!$G$2:$G$2583,'ноябрь 2025'!$D$2:$D$2583,$B24,'ноябрь 2025'!$J$2:$J$2583,E$1)</f>
        <v>0</v>
      </c>
      <c r="F24" s="76">
        <f>SUMIFS('ноябрь 2025'!$G$2:$G$2583,'ноябрь 2025'!$D$2:$D$2583,$B24,'ноябрь 2025'!$J$2:$J$2583,F$1)</f>
        <v>0</v>
      </c>
      <c r="G24" s="76">
        <f>SUMIFS('ноябрь 2025'!$G$2:$G$2583,'ноябрь 2025'!$D$2:$D$2583,$B24,'ноябрь 2025'!$J$2:$J$2583,G$1)</f>
        <v>0</v>
      </c>
      <c r="H24" s="76">
        <f>SUMIFS('ноябрь 2025'!$G$2:$G$2583,'ноябрь 2025'!$D$2:$D$2583,$B24,'ноябрь 2025'!$J$2:$J$2583,H$1)</f>
        <v>0</v>
      </c>
      <c r="I24" s="76">
        <f>SUMIFS('ноябрь 2025'!$G$2:$G$2583,'ноябрь 2025'!$D$2:$D$2583,$B24,'ноябрь 2025'!$J$2:$J$2583,I$1)</f>
        <v>0</v>
      </c>
      <c r="J24" s="76">
        <f>SUMIFS('ноябрь 2025'!$G$2:$G$2583,'ноябрь 2025'!$D$2:$D$2583,$B24,'ноябрь 2025'!$J$2:$J$2583,J$1)</f>
        <v>0</v>
      </c>
      <c r="K24" s="76">
        <f>SUMIFS('ноябрь 2025'!$G$2:$G$2583,'ноябрь 2025'!$D$2:$D$2583,$B24,'ноябрь 2025'!$J$2:$J$2583,K$1)</f>
        <v>0</v>
      </c>
      <c r="L24" s="76">
        <f>SUMIFS('ноябрь 2025'!$G$2:$G$2583,'ноябрь 2025'!$D$2:$D$2583,$B24,'ноябрь 2025'!$J$2:$J$2583,L$1)</f>
        <v>0</v>
      </c>
      <c r="M24" s="76">
        <f>SUMIFS('ноябрь 2025'!$G$2:$G$2583,'ноябрь 2025'!$D$2:$D$2583,$B24,'ноябрь 2025'!$J$2:$J$2583,M$1)</f>
        <v>0</v>
      </c>
      <c r="N24" s="76">
        <f>SUMIFS('ноябрь 2025'!$G$2:$G$2583,'ноябрь 2025'!$D$2:$D$2583,$B24,'ноябрь 2025'!$J$2:$J$2583,N$1)</f>
        <v>0</v>
      </c>
      <c r="O24" s="76">
        <f>SUMIFS('ноябрь 2025'!$G$2:$G$2583,'ноябрь 2025'!$D$2:$D$2583,$B24,'ноябрь 2025'!$J$2:$J$2583,O$1)</f>
        <v>0</v>
      </c>
      <c r="P24" s="76">
        <f>SUMIFS('ноябрь 2025'!$G$2:$G$2583,'ноябрь 2025'!$D$2:$D$2583,$B24,'ноябрь 2025'!$J$2:$J$2583,P$1)</f>
        <v>0</v>
      </c>
      <c r="Q24" s="76">
        <f>SUMIFS('ноябрь 2025'!$G$2:$G$2583,'ноябрь 2025'!$D$2:$D$2583,$B24,'ноябрь 2025'!$J$2:$J$2583,Q$1)</f>
        <v>0</v>
      </c>
      <c r="R24" s="76">
        <f>SUMIFS('ноябрь 2025'!$G$2:$G$2583,'ноябрь 2025'!$D$2:$D$2583,$B24,'ноябрь 2025'!$J$2:$J$2583,R$1)</f>
        <v>0</v>
      </c>
      <c r="S24" s="76">
        <f>SUMIFS('ноябрь 2025'!$G$2:$G$2583,'ноябрь 2025'!$D$2:$D$2583,$B24,'ноябрь 2025'!$J$2:$J$2583,S$1)</f>
        <v>0</v>
      </c>
      <c r="T24" s="76">
        <f>SUMIFS('ноябрь 2025'!$G$2:$G$2583,'ноябрь 2025'!$D$2:$D$2583,$B24,'ноябрь 2025'!$J$2:$J$2583,T$1)</f>
        <v>0</v>
      </c>
      <c r="U24" s="76">
        <f>SUMIFS('ноябрь 2025'!$G$2:$G$2583,'ноябрь 2025'!$D$2:$D$2583,$B24,'ноябрь 2025'!$J$2:$J$2583,U$1)</f>
        <v>0</v>
      </c>
      <c r="V24" s="76">
        <f>SUMIFS('ноябрь 2025'!$G$2:$G$2583,'ноябрь 2025'!$D$2:$D$2583,$B24,'ноябрь 2025'!$J$2:$J$2583,V$1)</f>
        <v>0</v>
      </c>
      <c r="W24" s="76">
        <f>SUMIFS('ноябрь 2025'!$G$2:$G$2583,'ноябрь 2025'!$D$2:$D$2583,$B24,'ноябрь 2025'!$J$2:$J$2583,W$1)</f>
        <v>0</v>
      </c>
      <c r="X24" s="76">
        <f>SUMIFS('ноябрь 2025'!$G$2:$G$2583,'ноябрь 2025'!$D$2:$D$2583,$B24,'ноябрь 2025'!$J$2:$J$2583,X$1)</f>
        <v>0</v>
      </c>
      <c r="Y24" s="76">
        <f>SUMIFS('ноябрь 2025'!$G$2:$G$2583,'ноябрь 2025'!$D$2:$D$2583,$B24,'ноябрь 2025'!$J$2:$J$2583,Y$1)</f>
        <v>0</v>
      </c>
      <c r="Z24" s="76">
        <f>SUMIFS('ноябрь 2025'!$G$2:$G$2583,'ноябрь 2025'!$D$2:$D$2583,$B24,'ноябрь 2025'!$J$2:$J$2583,Z$1)</f>
        <v>0</v>
      </c>
      <c r="AA24" s="76">
        <f>SUMIFS('ноябрь 2025'!$G$2:$G$2583,'ноябрь 2025'!$D$2:$D$2583,$B24,'ноябрь 2025'!$J$2:$J$2583,AA$1)</f>
        <v>0</v>
      </c>
      <c r="AB24" s="76">
        <f>SUMIFS('ноябрь 2025'!$G$2:$G$2583,'ноябрь 2025'!$D$2:$D$2583,$B24,'ноябрь 2025'!$J$2:$J$2583,AB$1)</f>
        <v>0</v>
      </c>
      <c r="AC24" s="76">
        <f>SUMIFS('ноябрь 2025'!$G$2:$G$2583,'ноябрь 2025'!$D$2:$D$2583,$B24,'ноябрь 2025'!$J$2:$J$2583,AC$1)</f>
        <v>0</v>
      </c>
      <c r="AD24" s="76">
        <f>SUMIFS('ноябрь 2025'!$G$2:$G$2583,'ноябрь 2025'!$D$2:$D$2583,$B24,'ноябрь 2025'!$J$2:$J$2583,AD$1)</f>
        <v>0</v>
      </c>
      <c r="AE24" s="76">
        <f>SUMIFS('ноябрь 2025'!$G$2:$G$2583,'ноябрь 2025'!$D$2:$D$2583,$B24,'ноябрь 2025'!$J$2:$J$2583,AE$1)</f>
        <v>0</v>
      </c>
      <c r="AF24" s="76">
        <f>SUMIFS('ноябрь 2025'!$G$2:$G$2583,'ноябрь 2025'!$D$2:$D$2583,$B24,'ноябрь 2025'!$J$2:$J$2583,AF$1)</f>
        <v>0</v>
      </c>
      <c r="AG24" s="76">
        <f>SUMIFS('ноябрь 2025'!$G$2:$G$2583,'ноябрь 2025'!$D$2:$D$2583,$B24,'ноябрь 2025'!$J$2:$J$2583,AG$1)</f>
        <v>0</v>
      </c>
      <c r="AH24" s="76">
        <f>SUMIFS('ноябрь 2025'!$G$2:$G$2583,'ноябрь 2025'!$D$2:$D$2583,$B24,'ноябрь 2025'!$J$2:$J$2583,AH$1)</f>
        <v>0</v>
      </c>
      <c r="AI24" s="20">
        <f t="shared" si="1"/>
        <v>0</v>
      </c>
    </row>
    <row r="25" spans="2:35" ht="15" customHeight="1" x14ac:dyDescent="0.25">
      <c r="B25" s="80" t="s">
        <v>247</v>
      </c>
      <c r="C25" s="96">
        <v>25</v>
      </c>
      <c r="D25" s="76">
        <f>SUMIFS('ноябрь 2025'!$G$2:$G$2583,'ноябрь 2025'!$D$2:$D$2583,$B25,'ноябрь 2025'!$J$2:$J$2583,D$1)</f>
        <v>0</v>
      </c>
      <c r="E25" s="76">
        <f>SUMIFS('ноябрь 2025'!$G$2:$G$2583,'ноябрь 2025'!$D$2:$D$2583,$B25,'ноябрь 2025'!$J$2:$J$2583,E$1)</f>
        <v>0</v>
      </c>
      <c r="F25" s="76">
        <f>SUMIFS('ноябрь 2025'!$G$2:$G$2583,'ноябрь 2025'!$D$2:$D$2583,$B25,'ноябрь 2025'!$J$2:$J$2583,F$1)</f>
        <v>0</v>
      </c>
      <c r="G25" s="76">
        <f>SUMIFS('ноябрь 2025'!$G$2:$G$2583,'ноябрь 2025'!$D$2:$D$2583,$B25,'ноябрь 2025'!$J$2:$J$2583,G$1)</f>
        <v>0</v>
      </c>
      <c r="H25" s="76">
        <f>SUMIFS('ноябрь 2025'!$G$2:$G$2583,'ноябрь 2025'!$D$2:$D$2583,$B25,'ноябрь 2025'!$J$2:$J$2583,H$1)</f>
        <v>0</v>
      </c>
      <c r="I25" s="76">
        <f>SUMIFS('ноябрь 2025'!$G$2:$G$2583,'ноябрь 2025'!$D$2:$D$2583,$B25,'ноябрь 2025'!$J$2:$J$2583,I$1)</f>
        <v>0</v>
      </c>
      <c r="J25" s="76">
        <f>SUMIFS('ноябрь 2025'!$G$2:$G$2583,'ноябрь 2025'!$D$2:$D$2583,$B25,'ноябрь 2025'!$J$2:$J$2583,J$1)</f>
        <v>0</v>
      </c>
      <c r="K25" s="76">
        <f>SUMIFS('ноябрь 2025'!$G$2:$G$2583,'ноябрь 2025'!$D$2:$D$2583,$B25,'ноябрь 2025'!$J$2:$J$2583,K$1)</f>
        <v>0</v>
      </c>
      <c r="L25" s="76">
        <f>SUMIFS('ноябрь 2025'!$G$2:$G$2583,'ноябрь 2025'!$D$2:$D$2583,$B25,'ноябрь 2025'!$J$2:$J$2583,L$1)</f>
        <v>0</v>
      </c>
      <c r="M25" s="76">
        <f>SUMIFS('ноябрь 2025'!$G$2:$G$2583,'ноябрь 2025'!$D$2:$D$2583,$B25,'ноябрь 2025'!$J$2:$J$2583,M$1)</f>
        <v>0</v>
      </c>
      <c r="N25" s="76">
        <f>SUMIFS('ноябрь 2025'!$G$2:$G$2583,'ноябрь 2025'!$D$2:$D$2583,$B25,'ноябрь 2025'!$J$2:$J$2583,N$1)</f>
        <v>0</v>
      </c>
      <c r="O25" s="76">
        <f>SUMIFS('ноябрь 2025'!$G$2:$G$2583,'ноябрь 2025'!$D$2:$D$2583,$B25,'ноябрь 2025'!$J$2:$J$2583,O$1)</f>
        <v>0</v>
      </c>
      <c r="P25" s="76">
        <f>SUMIFS('ноябрь 2025'!$G$2:$G$2583,'ноябрь 2025'!$D$2:$D$2583,$B25,'ноябрь 2025'!$J$2:$J$2583,P$1)</f>
        <v>0</v>
      </c>
      <c r="Q25" s="76">
        <f>SUMIFS('ноябрь 2025'!$G$2:$G$2583,'ноябрь 2025'!$D$2:$D$2583,$B25,'ноябрь 2025'!$J$2:$J$2583,Q$1)</f>
        <v>0</v>
      </c>
      <c r="R25" s="76">
        <f>SUMIFS('ноябрь 2025'!$G$2:$G$2583,'ноябрь 2025'!$D$2:$D$2583,$B25,'ноябрь 2025'!$J$2:$J$2583,R$1)</f>
        <v>0</v>
      </c>
      <c r="S25" s="76">
        <f>SUMIFS('ноябрь 2025'!$G$2:$G$2583,'ноябрь 2025'!$D$2:$D$2583,$B25,'ноябрь 2025'!$J$2:$J$2583,S$1)</f>
        <v>0</v>
      </c>
      <c r="T25" s="76">
        <f>SUMIFS('ноябрь 2025'!$G$2:$G$2583,'ноябрь 2025'!$D$2:$D$2583,$B25,'ноябрь 2025'!$J$2:$J$2583,T$1)</f>
        <v>0</v>
      </c>
      <c r="U25" s="76">
        <f>SUMIFS('ноябрь 2025'!$G$2:$G$2583,'ноябрь 2025'!$D$2:$D$2583,$B25,'ноябрь 2025'!$J$2:$J$2583,U$1)</f>
        <v>0</v>
      </c>
      <c r="V25" s="76">
        <f>SUMIFS('ноябрь 2025'!$G$2:$G$2583,'ноябрь 2025'!$D$2:$D$2583,$B25,'ноябрь 2025'!$J$2:$J$2583,V$1)</f>
        <v>0</v>
      </c>
      <c r="W25" s="76">
        <f>SUMIFS('ноябрь 2025'!$G$2:$G$2583,'ноябрь 2025'!$D$2:$D$2583,$B25,'ноябрь 2025'!$J$2:$J$2583,W$1)</f>
        <v>0</v>
      </c>
      <c r="X25" s="76">
        <f>SUMIFS('ноябрь 2025'!$G$2:$G$2583,'ноябрь 2025'!$D$2:$D$2583,$B25,'ноябрь 2025'!$J$2:$J$2583,X$1)</f>
        <v>0</v>
      </c>
      <c r="Y25" s="76">
        <f>SUMIFS('ноябрь 2025'!$G$2:$G$2583,'ноябрь 2025'!$D$2:$D$2583,$B25,'ноябрь 2025'!$J$2:$J$2583,Y$1)</f>
        <v>0</v>
      </c>
      <c r="Z25" s="76">
        <f>SUMIFS('ноябрь 2025'!$G$2:$G$2583,'ноябрь 2025'!$D$2:$D$2583,$B25,'ноябрь 2025'!$J$2:$J$2583,Z$1)</f>
        <v>0</v>
      </c>
      <c r="AA25" s="76">
        <f>SUMIFS('ноябрь 2025'!$G$2:$G$2583,'ноябрь 2025'!$D$2:$D$2583,$B25,'ноябрь 2025'!$J$2:$J$2583,AA$1)</f>
        <v>0</v>
      </c>
      <c r="AB25" s="76">
        <f>SUMIFS('ноябрь 2025'!$G$2:$G$2583,'ноябрь 2025'!$D$2:$D$2583,$B25,'ноябрь 2025'!$J$2:$J$2583,AB$1)</f>
        <v>0</v>
      </c>
      <c r="AC25" s="76">
        <f>SUMIFS('ноябрь 2025'!$G$2:$G$2583,'ноябрь 2025'!$D$2:$D$2583,$B25,'ноябрь 2025'!$J$2:$J$2583,AC$1)</f>
        <v>0</v>
      </c>
      <c r="AD25" s="76">
        <f>SUMIFS('ноябрь 2025'!$G$2:$G$2583,'ноябрь 2025'!$D$2:$D$2583,$B25,'ноябрь 2025'!$J$2:$J$2583,AD$1)</f>
        <v>0</v>
      </c>
      <c r="AE25" s="76">
        <f>SUMIFS('ноябрь 2025'!$G$2:$G$2583,'ноябрь 2025'!$D$2:$D$2583,$B25,'ноябрь 2025'!$J$2:$J$2583,AE$1)</f>
        <v>0</v>
      </c>
      <c r="AF25" s="76">
        <f>SUMIFS('ноябрь 2025'!$G$2:$G$2583,'ноябрь 2025'!$D$2:$D$2583,$B25,'ноябрь 2025'!$J$2:$J$2583,AF$1)</f>
        <v>0</v>
      </c>
      <c r="AG25" s="76">
        <f>SUMIFS('ноябрь 2025'!$G$2:$G$2583,'ноябрь 2025'!$D$2:$D$2583,$B25,'ноябрь 2025'!$J$2:$J$2583,AG$1)</f>
        <v>0</v>
      </c>
      <c r="AH25" s="76">
        <f>SUMIFS('ноябрь 2025'!$G$2:$G$2583,'ноябрь 2025'!$D$2:$D$2583,$B25,'ноябрь 2025'!$J$2:$J$2583,AH$1)</f>
        <v>0</v>
      </c>
      <c r="AI25" s="20">
        <f t="shared" si="1"/>
        <v>0</v>
      </c>
    </row>
    <row r="26" spans="2:35" ht="15" customHeight="1" x14ac:dyDescent="0.25">
      <c r="B26" s="80" t="s">
        <v>248</v>
      </c>
      <c r="C26" s="78">
        <v>25</v>
      </c>
      <c r="D26" s="76">
        <f>SUMIFS('ноябрь 2025'!$G$2:$G$2583,'ноябрь 2025'!$D$2:$D$2583,$B26,'ноябрь 2025'!$J$2:$J$2583,D$1)</f>
        <v>0</v>
      </c>
      <c r="E26" s="76">
        <f>SUMIFS('ноябрь 2025'!$G$2:$G$2583,'ноябрь 2025'!$D$2:$D$2583,$B26,'ноябрь 2025'!$J$2:$J$2583,E$1)</f>
        <v>0</v>
      </c>
      <c r="F26" s="76">
        <f>SUMIFS('ноябрь 2025'!$G$2:$G$2583,'ноябрь 2025'!$D$2:$D$2583,$B26,'ноябрь 2025'!$J$2:$J$2583,F$1)</f>
        <v>0</v>
      </c>
      <c r="G26" s="76">
        <f>SUMIFS('ноябрь 2025'!$G$2:$G$2583,'ноябрь 2025'!$D$2:$D$2583,$B26,'ноябрь 2025'!$J$2:$J$2583,G$1)</f>
        <v>0</v>
      </c>
      <c r="H26" s="76">
        <f>SUMIFS('ноябрь 2025'!$G$2:$G$2583,'ноябрь 2025'!$D$2:$D$2583,$B26,'ноябрь 2025'!$J$2:$J$2583,H$1)</f>
        <v>0</v>
      </c>
      <c r="I26" s="76">
        <f>SUMIFS('ноябрь 2025'!$G$2:$G$2583,'ноябрь 2025'!$D$2:$D$2583,$B26,'ноябрь 2025'!$J$2:$J$2583,I$1)</f>
        <v>0</v>
      </c>
      <c r="J26" s="76">
        <f>SUMIFS('ноябрь 2025'!$G$2:$G$2583,'ноябрь 2025'!$D$2:$D$2583,$B26,'ноябрь 2025'!$J$2:$J$2583,J$1)</f>
        <v>0</v>
      </c>
      <c r="K26" s="76">
        <f>SUMIFS('ноябрь 2025'!$G$2:$G$2583,'ноябрь 2025'!$D$2:$D$2583,$B26,'ноябрь 2025'!$J$2:$J$2583,K$1)</f>
        <v>0</v>
      </c>
      <c r="L26" s="76">
        <f>SUMIFS('ноябрь 2025'!$G$2:$G$2583,'ноябрь 2025'!$D$2:$D$2583,$B26,'ноябрь 2025'!$J$2:$J$2583,L$1)</f>
        <v>0</v>
      </c>
      <c r="M26" s="76">
        <f>SUMIFS('ноябрь 2025'!$G$2:$G$2583,'ноябрь 2025'!$D$2:$D$2583,$B26,'ноябрь 2025'!$J$2:$J$2583,M$1)</f>
        <v>0</v>
      </c>
      <c r="N26" s="76">
        <f>SUMIFS('ноябрь 2025'!$G$2:$G$2583,'ноябрь 2025'!$D$2:$D$2583,$B26,'ноябрь 2025'!$J$2:$J$2583,N$1)</f>
        <v>0</v>
      </c>
      <c r="O26" s="76">
        <f>SUMIFS('ноябрь 2025'!$G$2:$G$2583,'ноябрь 2025'!$D$2:$D$2583,$B26,'ноябрь 2025'!$J$2:$J$2583,O$1)</f>
        <v>0</v>
      </c>
      <c r="P26" s="76">
        <f>SUMIFS('ноябрь 2025'!$G$2:$G$2583,'ноябрь 2025'!$D$2:$D$2583,$B26,'ноябрь 2025'!$J$2:$J$2583,P$1)</f>
        <v>0</v>
      </c>
      <c r="Q26" s="76">
        <f>SUMIFS('ноябрь 2025'!$G$2:$G$2583,'ноябрь 2025'!$D$2:$D$2583,$B26,'ноябрь 2025'!$J$2:$J$2583,Q$1)</f>
        <v>0</v>
      </c>
      <c r="R26" s="76">
        <f>SUMIFS('ноябрь 2025'!$G$2:$G$2583,'ноябрь 2025'!$D$2:$D$2583,$B26,'ноябрь 2025'!$J$2:$J$2583,R$1)</f>
        <v>0</v>
      </c>
      <c r="S26" s="76">
        <f>SUMIFS('ноябрь 2025'!$G$2:$G$2583,'ноябрь 2025'!$D$2:$D$2583,$B26,'ноябрь 2025'!$J$2:$J$2583,S$1)</f>
        <v>0</v>
      </c>
      <c r="T26" s="76">
        <f>SUMIFS('ноябрь 2025'!$G$2:$G$2583,'ноябрь 2025'!$D$2:$D$2583,$B26,'ноябрь 2025'!$J$2:$J$2583,T$1)</f>
        <v>0</v>
      </c>
      <c r="U26" s="76">
        <f>SUMIFS('ноябрь 2025'!$G$2:$G$2583,'ноябрь 2025'!$D$2:$D$2583,$B26,'ноябрь 2025'!$J$2:$J$2583,U$1)</f>
        <v>0</v>
      </c>
      <c r="V26" s="76">
        <f>SUMIFS('ноябрь 2025'!$G$2:$G$2583,'ноябрь 2025'!$D$2:$D$2583,$B26,'ноябрь 2025'!$J$2:$J$2583,V$1)</f>
        <v>0</v>
      </c>
      <c r="W26" s="76">
        <f>SUMIFS('ноябрь 2025'!$G$2:$G$2583,'ноябрь 2025'!$D$2:$D$2583,$B26,'ноябрь 2025'!$J$2:$J$2583,W$1)</f>
        <v>0</v>
      </c>
      <c r="X26" s="76">
        <f>SUMIFS('ноябрь 2025'!$G$2:$G$2583,'ноябрь 2025'!$D$2:$D$2583,$B26,'ноябрь 2025'!$J$2:$J$2583,X$1)</f>
        <v>0</v>
      </c>
      <c r="Y26" s="76">
        <f>SUMIFS('ноябрь 2025'!$G$2:$G$2583,'ноябрь 2025'!$D$2:$D$2583,$B26,'ноябрь 2025'!$J$2:$J$2583,Y$1)</f>
        <v>0</v>
      </c>
      <c r="Z26" s="76">
        <f>SUMIFS('ноябрь 2025'!$G$2:$G$2583,'ноябрь 2025'!$D$2:$D$2583,$B26,'ноябрь 2025'!$J$2:$J$2583,Z$1)</f>
        <v>0</v>
      </c>
      <c r="AA26" s="76">
        <f>SUMIFS('ноябрь 2025'!$G$2:$G$2583,'ноябрь 2025'!$D$2:$D$2583,$B26,'ноябрь 2025'!$J$2:$J$2583,AA$1)</f>
        <v>0</v>
      </c>
      <c r="AB26" s="76">
        <f>SUMIFS('ноябрь 2025'!$G$2:$G$2583,'ноябрь 2025'!$D$2:$D$2583,$B26,'ноябрь 2025'!$J$2:$J$2583,AB$1)</f>
        <v>0</v>
      </c>
      <c r="AC26" s="76">
        <f>SUMIFS('ноябрь 2025'!$G$2:$G$2583,'ноябрь 2025'!$D$2:$D$2583,$B26,'ноябрь 2025'!$J$2:$J$2583,AC$1)</f>
        <v>0</v>
      </c>
      <c r="AD26" s="76">
        <f>SUMIFS('ноябрь 2025'!$G$2:$G$2583,'ноябрь 2025'!$D$2:$D$2583,$B26,'ноябрь 2025'!$J$2:$J$2583,AD$1)</f>
        <v>0</v>
      </c>
      <c r="AE26" s="76">
        <f>SUMIFS('ноябрь 2025'!$G$2:$G$2583,'ноябрь 2025'!$D$2:$D$2583,$B26,'ноябрь 2025'!$J$2:$J$2583,AE$1)</f>
        <v>0</v>
      </c>
      <c r="AF26" s="76">
        <f>SUMIFS('ноябрь 2025'!$G$2:$G$2583,'ноябрь 2025'!$D$2:$D$2583,$B26,'ноябрь 2025'!$J$2:$J$2583,AF$1)</f>
        <v>0</v>
      </c>
      <c r="AG26" s="76">
        <f>SUMIFS('ноябрь 2025'!$G$2:$G$2583,'ноябрь 2025'!$D$2:$D$2583,$B26,'ноябрь 2025'!$J$2:$J$2583,AG$1)</f>
        <v>0</v>
      </c>
      <c r="AH26" s="76">
        <f>SUMIFS('ноябрь 2025'!$G$2:$G$2583,'ноябрь 2025'!$D$2:$D$2583,$B26,'ноябрь 2025'!$J$2:$J$2583,AH$1)</f>
        <v>0</v>
      </c>
      <c r="AI26" s="20">
        <f t="shared" si="1"/>
        <v>0</v>
      </c>
    </row>
    <row r="27" spans="2:35" ht="15" customHeight="1" x14ac:dyDescent="0.25">
      <c r="B27" s="80" t="s">
        <v>249</v>
      </c>
      <c r="C27" s="78">
        <v>25</v>
      </c>
      <c r="D27" s="76">
        <f>SUMIFS('ноябрь 2025'!$G$2:$G$2583,'ноябрь 2025'!$D$2:$D$2583,$B27,'ноябрь 2025'!$J$2:$J$2583,D$1)</f>
        <v>0</v>
      </c>
      <c r="E27" s="76">
        <f>SUMIFS('ноябрь 2025'!$G$2:$G$2583,'ноябрь 2025'!$D$2:$D$2583,$B27,'ноябрь 2025'!$J$2:$J$2583,E$1)</f>
        <v>0</v>
      </c>
      <c r="F27" s="76">
        <f>SUMIFS('ноябрь 2025'!$G$2:$G$2583,'ноябрь 2025'!$D$2:$D$2583,$B27,'ноябрь 2025'!$J$2:$J$2583,F$1)</f>
        <v>0</v>
      </c>
      <c r="G27" s="76">
        <f>SUMIFS('ноябрь 2025'!$G$2:$G$2583,'ноябрь 2025'!$D$2:$D$2583,$B27,'ноябрь 2025'!$J$2:$J$2583,G$1)</f>
        <v>0</v>
      </c>
      <c r="H27" s="76">
        <f>SUMIFS('ноябрь 2025'!$G$2:$G$2583,'ноябрь 2025'!$D$2:$D$2583,$B27,'ноябрь 2025'!$J$2:$J$2583,H$1)</f>
        <v>0</v>
      </c>
      <c r="I27" s="76">
        <f>SUMIFS('ноябрь 2025'!$G$2:$G$2583,'ноябрь 2025'!$D$2:$D$2583,$B27,'ноябрь 2025'!$J$2:$J$2583,I$1)</f>
        <v>0</v>
      </c>
      <c r="J27" s="76">
        <f>SUMIFS('ноябрь 2025'!$G$2:$G$2583,'ноябрь 2025'!$D$2:$D$2583,$B27,'ноябрь 2025'!$J$2:$J$2583,J$1)</f>
        <v>0</v>
      </c>
      <c r="K27" s="76">
        <f>SUMIFS('ноябрь 2025'!$G$2:$G$2583,'ноябрь 2025'!$D$2:$D$2583,$B27,'ноябрь 2025'!$J$2:$J$2583,K$1)</f>
        <v>0</v>
      </c>
      <c r="L27" s="76">
        <f>SUMIFS('ноябрь 2025'!$G$2:$G$2583,'ноябрь 2025'!$D$2:$D$2583,$B27,'ноябрь 2025'!$J$2:$J$2583,L$1)</f>
        <v>0</v>
      </c>
      <c r="M27" s="76">
        <f>SUMIFS('ноябрь 2025'!$G$2:$G$2583,'ноябрь 2025'!$D$2:$D$2583,$B27,'ноябрь 2025'!$J$2:$J$2583,M$1)</f>
        <v>0</v>
      </c>
      <c r="N27" s="76">
        <f>SUMIFS('ноябрь 2025'!$G$2:$G$2583,'ноябрь 2025'!$D$2:$D$2583,$B27,'ноябрь 2025'!$J$2:$J$2583,N$1)</f>
        <v>0</v>
      </c>
      <c r="O27" s="76">
        <f>SUMIFS('ноябрь 2025'!$G$2:$G$2583,'ноябрь 2025'!$D$2:$D$2583,$B27,'ноябрь 2025'!$J$2:$J$2583,O$1)</f>
        <v>0</v>
      </c>
      <c r="P27" s="76">
        <f>SUMIFS('ноябрь 2025'!$G$2:$G$2583,'ноябрь 2025'!$D$2:$D$2583,$B27,'ноябрь 2025'!$J$2:$J$2583,P$1)</f>
        <v>0</v>
      </c>
      <c r="Q27" s="76">
        <f>SUMIFS('ноябрь 2025'!$G$2:$G$2583,'ноябрь 2025'!$D$2:$D$2583,$B27,'ноябрь 2025'!$J$2:$J$2583,Q$1)</f>
        <v>0</v>
      </c>
      <c r="R27" s="76">
        <f>SUMIFS('ноябрь 2025'!$G$2:$G$2583,'ноябрь 2025'!$D$2:$D$2583,$B27,'ноябрь 2025'!$J$2:$J$2583,R$1)</f>
        <v>0</v>
      </c>
      <c r="S27" s="76">
        <f>SUMIFS('ноябрь 2025'!$G$2:$G$2583,'ноябрь 2025'!$D$2:$D$2583,$B27,'ноябрь 2025'!$J$2:$J$2583,S$1)</f>
        <v>0</v>
      </c>
      <c r="T27" s="76">
        <f>SUMIFS('ноябрь 2025'!$G$2:$G$2583,'ноябрь 2025'!$D$2:$D$2583,$B27,'ноябрь 2025'!$J$2:$J$2583,T$1)</f>
        <v>0</v>
      </c>
      <c r="U27" s="76">
        <f>SUMIFS('ноябрь 2025'!$G$2:$G$2583,'ноябрь 2025'!$D$2:$D$2583,$B27,'ноябрь 2025'!$J$2:$J$2583,U$1)</f>
        <v>0</v>
      </c>
      <c r="V27" s="76">
        <f>SUMIFS('ноябрь 2025'!$G$2:$G$2583,'ноябрь 2025'!$D$2:$D$2583,$B27,'ноябрь 2025'!$J$2:$J$2583,V$1)</f>
        <v>0</v>
      </c>
      <c r="W27" s="76">
        <f>SUMIFS('ноябрь 2025'!$G$2:$G$2583,'ноябрь 2025'!$D$2:$D$2583,$B27,'ноябрь 2025'!$J$2:$J$2583,W$1)</f>
        <v>0</v>
      </c>
      <c r="X27" s="76">
        <f>SUMIFS('ноябрь 2025'!$G$2:$G$2583,'ноябрь 2025'!$D$2:$D$2583,$B27,'ноябрь 2025'!$J$2:$J$2583,X$1)</f>
        <v>0</v>
      </c>
      <c r="Y27" s="76">
        <f>SUMIFS('ноябрь 2025'!$G$2:$G$2583,'ноябрь 2025'!$D$2:$D$2583,$B27,'ноябрь 2025'!$J$2:$J$2583,Y$1)</f>
        <v>0</v>
      </c>
      <c r="Z27" s="76">
        <f>SUMIFS('ноябрь 2025'!$G$2:$G$2583,'ноябрь 2025'!$D$2:$D$2583,$B27,'ноябрь 2025'!$J$2:$J$2583,Z$1)</f>
        <v>0</v>
      </c>
      <c r="AA27" s="76">
        <f>SUMIFS('ноябрь 2025'!$G$2:$G$2583,'ноябрь 2025'!$D$2:$D$2583,$B27,'ноябрь 2025'!$J$2:$J$2583,AA$1)</f>
        <v>0</v>
      </c>
      <c r="AB27" s="76">
        <f>SUMIFS('ноябрь 2025'!$G$2:$G$2583,'ноябрь 2025'!$D$2:$D$2583,$B27,'ноябрь 2025'!$J$2:$J$2583,AB$1)</f>
        <v>0</v>
      </c>
      <c r="AC27" s="76">
        <f>SUMIFS('ноябрь 2025'!$G$2:$G$2583,'ноябрь 2025'!$D$2:$D$2583,$B27,'ноябрь 2025'!$J$2:$J$2583,AC$1)</f>
        <v>0</v>
      </c>
      <c r="AD27" s="76">
        <f>SUMIFS('ноябрь 2025'!$G$2:$G$2583,'ноябрь 2025'!$D$2:$D$2583,$B27,'ноябрь 2025'!$J$2:$J$2583,AD$1)</f>
        <v>0</v>
      </c>
      <c r="AE27" s="76">
        <f>SUMIFS('ноябрь 2025'!$G$2:$G$2583,'ноябрь 2025'!$D$2:$D$2583,$B27,'ноябрь 2025'!$J$2:$J$2583,AE$1)</f>
        <v>0</v>
      </c>
      <c r="AF27" s="76">
        <f>SUMIFS('ноябрь 2025'!$G$2:$G$2583,'ноябрь 2025'!$D$2:$D$2583,$B27,'ноябрь 2025'!$J$2:$J$2583,AF$1)</f>
        <v>0</v>
      </c>
      <c r="AG27" s="76">
        <f>SUMIFS('ноябрь 2025'!$G$2:$G$2583,'ноябрь 2025'!$D$2:$D$2583,$B27,'ноябрь 2025'!$J$2:$J$2583,AG$1)</f>
        <v>0</v>
      </c>
      <c r="AH27" s="76">
        <f>SUMIFS('ноябрь 2025'!$G$2:$G$2583,'ноябрь 2025'!$D$2:$D$2583,$B27,'ноябрь 2025'!$J$2:$J$2583,AH$1)</f>
        <v>0</v>
      </c>
      <c r="AI27" s="20">
        <f t="shared" si="1"/>
        <v>0</v>
      </c>
    </row>
    <row r="28" spans="2:35" ht="15" customHeight="1" x14ac:dyDescent="0.25">
      <c r="B28" s="80" t="s">
        <v>250</v>
      </c>
      <c r="C28" s="78">
        <v>25</v>
      </c>
      <c r="D28" s="76">
        <f>SUMIFS('ноябрь 2025'!$G$2:$G$2583,'ноябрь 2025'!$D$2:$D$2583,$B28,'ноябрь 2025'!$J$2:$J$2583,D$1)</f>
        <v>0</v>
      </c>
      <c r="E28" s="76">
        <f>SUMIFS('ноябрь 2025'!$G$2:$G$2583,'ноябрь 2025'!$D$2:$D$2583,$B28,'ноябрь 2025'!$J$2:$J$2583,E$1)</f>
        <v>0</v>
      </c>
      <c r="F28" s="76">
        <f>SUMIFS('ноябрь 2025'!$G$2:$G$2583,'ноябрь 2025'!$D$2:$D$2583,$B28,'ноябрь 2025'!$J$2:$J$2583,F$1)</f>
        <v>0</v>
      </c>
      <c r="G28" s="76">
        <f>SUMIFS('ноябрь 2025'!$G$2:$G$2583,'ноябрь 2025'!$D$2:$D$2583,$B28,'ноябрь 2025'!$J$2:$J$2583,G$1)</f>
        <v>0</v>
      </c>
      <c r="H28" s="76">
        <f>SUMIFS('ноябрь 2025'!$G$2:$G$2583,'ноябрь 2025'!$D$2:$D$2583,$B28,'ноябрь 2025'!$J$2:$J$2583,H$1)</f>
        <v>0</v>
      </c>
      <c r="I28" s="76">
        <f>SUMIFS('ноябрь 2025'!$G$2:$G$2583,'ноябрь 2025'!$D$2:$D$2583,$B28,'ноябрь 2025'!$J$2:$J$2583,I$1)</f>
        <v>0</v>
      </c>
      <c r="J28" s="76">
        <f>SUMIFS('ноябрь 2025'!$G$2:$G$2583,'ноябрь 2025'!$D$2:$D$2583,$B28,'ноябрь 2025'!$J$2:$J$2583,J$1)</f>
        <v>0</v>
      </c>
      <c r="K28" s="76">
        <f>SUMIFS('ноябрь 2025'!$G$2:$G$2583,'ноябрь 2025'!$D$2:$D$2583,$B28,'ноябрь 2025'!$J$2:$J$2583,K$1)</f>
        <v>0</v>
      </c>
      <c r="L28" s="76">
        <f>SUMIFS('ноябрь 2025'!$G$2:$G$2583,'ноябрь 2025'!$D$2:$D$2583,$B28,'ноябрь 2025'!$J$2:$J$2583,L$1)</f>
        <v>0</v>
      </c>
      <c r="M28" s="76">
        <f>SUMIFS('ноябрь 2025'!$G$2:$G$2583,'ноябрь 2025'!$D$2:$D$2583,$B28,'ноябрь 2025'!$J$2:$J$2583,M$1)</f>
        <v>0</v>
      </c>
      <c r="N28" s="76">
        <f>SUMIFS('ноябрь 2025'!$G$2:$G$2583,'ноябрь 2025'!$D$2:$D$2583,$B28,'ноябрь 2025'!$J$2:$J$2583,N$1)</f>
        <v>0</v>
      </c>
      <c r="O28" s="76">
        <f>SUMIFS('ноябрь 2025'!$G$2:$G$2583,'ноябрь 2025'!$D$2:$D$2583,$B28,'ноябрь 2025'!$J$2:$J$2583,O$1)</f>
        <v>0</v>
      </c>
      <c r="P28" s="76">
        <f>SUMIFS('ноябрь 2025'!$G$2:$G$2583,'ноябрь 2025'!$D$2:$D$2583,$B28,'ноябрь 2025'!$J$2:$J$2583,P$1)</f>
        <v>0</v>
      </c>
      <c r="Q28" s="76">
        <f>SUMIFS('ноябрь 2025'!$G$2:$G$2583,'ноябрь 2025'!$D$2:$D$2583,$B28,'ноябрь 2025'!$J$2:$J$2583,Q$1)</f>
        <v>0</v>
      </c>
      <c r="R28" s="76">
        <f>SUMIFS('ноябрь 2025'!$G$2:$G$2583,'ноябрь 2025'!$D$2:$D$2583,$B28,'ноябрь 2025'!$J$2:$J$2583,R$1)</f>
        <v>0</v>
      </c>
      <c r="S28" s="76">
        <f>SUMIFS('ноябрь 2025'!$G$2:$G$2583,'ноябрь 2025'!$D$2:$D$2583,$B28,'ноябрь 2025'!$J$2:$J$2583,S$1)</f>
        <v>0</v>
      </c>
      <c r="T28" s="76">
        <f>SUMIFS('ноябрь 2025'!$G$2:$G$2583,'ноябрь 2025'!$D$2:$D$2583,$B28,'ноябрь 2025'!$J$2:$J$2583,T$1)</f>
        <v>0</v>
      </c>
      <c r="U28" s="76">
        <f>SUMIFS('ноябрь 2025'!$G$2:$G$2583,'ноябрь 2025'!$D$2:$D$2583,$B28,'ноябрь 2025'!$J$2:$J$2583,U$1)</f>
        <v>0</v>
      </c>
      <c r="V28" s="76">
        <f>SUMIFS('ноябрь 2025'!$G$2:$G$2583,'ноябрь 2025'!$D$2:$D$2583,$B28,'ноябрь 2025'!$J$2:$J$2583,V$1)</f>
        <v>0</v>
      </c>
      <c r="W28" s="76">
        <f>SUMIFS('ноябрь 2025'!$G$2:$G$2583,'ноябрь 2025'!$D$2:$D$2583,$B28,'ноябрь 2025'!$J$2:$J$2583,W$1)</f>
        <v>0</v>
      </c>
      <c r="X28" s="76">
        <f>SUMIFS('ноябрь 2025'!$G$2:$G$2583,'ноябрь 2025'!$D$2:$D$2583,$B28,'ноябрь 2025'!$J$2:$J$2583,X$1)</f>
        <v>0</v>
      </c>
      <c r="Y28" s="76">
        <f>SUMIFS('ноябрь 2025'!$G$2:$G$2583,'ноябрь 2025'!$D$2:$D$2583,$B28,'ноябрь 2025'!$J$2:$J$2583,Y$1)</f>
        <v>0</v>
      </c>
      <c r="Z28" s="76">
        <f>SUMIFS('ноябрь 2025'!$G$2:$G$2583,'ноябрь 2025'!$D$2:$D$2583,$B28,'ноябрь 2025'!$J$2:$J$2583,Z$1)</f>
        <v>0</v>
      </c>
      <c r="AA28" s="76">
        <f>SUMIFS('ноябрь 2025'!$G$2:$G$2583,'ноябрь 2025'!$D$2:$D$2583,$B28,'ноябрь 2025'!$J$2:$J$2583,AA$1)</f>
        <v>0</v>
      </c>
      <c r="AB28" s="76">
        <f>SUMIFS('ноябрь 2025'!$G$2:$G$2583,'ноябрь 2025'!$D$2:$D$2583,$B28,'ноябрь 2025'!$J$2:$J$2583,AB$1)</f>
        <v>0</v>
      </c>
      <c r="AC28" s="76">
        <f>SUMIFS('ноябрь 2025'!$G$2:$G$2583,'ноябрь 2025'!$D$2:$D$2583,$B28,'ноябрь 2025'!$J$2:$J$2583,AC$1)</f>
        <v>0</v>
      </c>
      <c r="AD28" s="76">
        <f>SUMIFS('ноябрь 2025'!$G$2:$G$2583,'ноябрь 2025'!$D$2:$D$2583,$B28,'ноябрь 2025'!$J$2:$J$2583,AD$1)</f>
        <v>0</v>
      </c>
      <c r="AE28" s="76">
        <f>SUMIFS('ноябрь 2025'!$G$2:$G$2583,'ноябрь 2025'!$D$2:$D$2583,$B28,'ноябрь 2025'!$J$2:$J$2583,AE$1)</f>
        <v>0</v>
      </c>
      <c r="AF28" s="76">
        <f>SUMIFS('ноябрь 2025'!$G$2:$G$2583,'ноябрь 2025'!$D$2:$D$2583,$B28,'ноябрь 2025'!$J$2:$J$2583,AF$1)</f>
        <v>0</v>
      </c>
      <c r="AG28" s="76">
        <f>SUMIFS('ноябрь 2025'!$G$2:$G$2583,'ноябрь 2025'!$D$2:$D$2583,$B28,'ноябрь 2025'!$J$2:$J$2583,AG$1)</f>
        <v>0</v>
      </c>
      <c r="AH28" s="76">
        <f>SUMIFS('ноябрь 2025'!$G$2:$G$2583,'ноябрь 2025'!$D$2:$D$2583,$B28,'ноябрь 2025'!$J$2:$J$2583,AH$1)</f>
        <v>0</v>
      </c>
      <c r="AI28" s="20">
        <f t="shared" si="1"/>
        <v>0</v>
      </c>
    </row>
    <row r="29" spans="2:35" ht="15" customHeight="1" x14ac:dyDescent="0.25">
      <c r="B29" s="80" t="s">
        <v>251</v>
      </c>
      <c r="C29" s="78">
        <v>25</v>
      </c>
      <c r="D29" s="76">
        <f>SUMIFS('ноябрь 2025'!$G$2:$G$2583,'ноябрь 2025'!$D$2:$D$2583,$B29,'ноябрь 2025'!$J$2:$J$2583,D$1)</f>
        <v>0</v>
      </c>
      <c r="E29" s="76">
        <f>SUMIFS('ноябрь 2025'!$G$2:$G$2583,'ноябрь 2025'!$D$2:$D$2583,$B29,'ноябрь 2025'!$J$2:$J$2583,E$1)</f>
        <v>0</v>
      </c>
      <c r="F29" s="76">
        <f>SUMIFS('ноябрь 2025'!$G$2:$G$2583,'ноябрь 2025'!$D$2:$D$2583,$B29,'ноябрь 2025'!$J$2:$J$2583,F$1)</f>
        <v>0</v>
      </c>
      <c r="G29" s="76">
        <f>SUMIFS('ноябрь 2025'!$G$2:$G$2583,'ноябрь 2025'!$D$2:$D$2583,$B29,'ноябрь 2025'!$J$2:$J$2583,G$1)</f>
        <v>0</v>
      </c>
      <c r="H29" s="76">
        <f>SUMIFS('ноябрь 2025'!$G$2:$G$2583,'ноябрь 2025'!$D$2:$D$2583,$B29,'ноябрь 2025'!$J$2:$J$2583,H$1)</f>
        <v>0</v>
      </c>
      <c r="I29" s="76">
        <f>SUMIFS('ноябрь 2025'!$G$2:$G$2583,'ноябрь 2025'!$D$2:$D$2583,$B29,'ноябрь 2025'!$J$2:$J$2583,I$1)</f>
        <v>0</v>
      </c>
      <c r="J29" s="76">
        <f>SUMIFS('ноябрь 2025'!$G$2:$G$2583,'ноябрь 2025'!$D$2:$D$2583,$B29,'ноябрь 2025'!$J$2:$J$2583,J$1)</f>
        <v>0</v>
      </c>
      <c r="K29" s="76">
        <f>SUMIFS('ноябрь 2025'!$G$2:$G$2583,'ноябрь 2025'!$D$2:$D$2583,$B29,'ноябрь 2025'!$J$2:$J$2583,K$1)</f>
        <v>0</v>
      </c>
      <c r="L29" s="76">
        <f>SUMIFS('ноябрь 2025'!$G$2:$G$2583,'ноябрь 2025'!$D$2:$D$2583,$B29,'ноябрь 2025'!$J$2:$J$2583,L$1)</f>
        <v>0</v>
      </c>
      <c r="M29" s="76">
        <f>SUMIFS('ноябрь 2025'!$G$2:$G$2583,'ноябрь 2025'!$D$2:$D$2583,$B29,'ноябрь 2025'!$J$2:$J$2583,M$1)</f>
        <v>0</v>
      </c>
      <c r="N29" s="76">
        <f>SUMIFS('ноябрь 2025'!$G$2:$G$2583,'ноябрь 2025'!$D$2:$D$2583,$B29,'ноябрь 2025'!$J$2:$J$2583,N$1)</f>
        <v>0</v>
      </c>
      <c r="O29" s="76">
        <f>SUMIFS('ноябрь 2025'!$G$2:$G$2583,'ноябрь 2025'!$D$2:$D$2583,$B29,'ноябрь 2025'!$J$2:$J$2583,O$1)</f>
        <v>0</v>
      </c>
      <c r="P29" s="76">
        <f>SUMIFS('ноябрь 2025'!$G$2:$G$2583,'ноябрь 2025'!$D$2:$D$2583,$B29,'ноябрь 2025'!$J$2:$J$2583,P$1)</f>
        <v>0</v>
      </c>
      <c r="Q29" s="76">
        <f>SUMIFS('ноябрь 2025'!$G$2:$G$2583,'ноябрь 2025'!$D$2:$D$2583,$B29,'ноябрь 2025'!$J$2:$J$2583,Q$1)</f>
        <v>0</v>
      </c>
      <c r="R29" s="76">
        <f>SUMIFS('ноябрь 2025'!$G$2:$G$2583,'ноябрь 2025'!$D$2:$D$2583,$B29,'ноябрь 2025'!$J$2:$J$2583,R$1)</f>
        <v>0</v>
      </c>
      <c r="S29" s="76">
        <f>SUMIFS('ноябрь 2025'!$G$2:$G$2583,'ноябрь 2025'!$D$2:$D$2583,$B29,'ноябрь 2025'!$J$2:$J$2583,S$1)</f>
        <v>0</v>
      </c>
      <c r="T29" s="76">
        <f>SUMIFS('ноябрь 2025'!$G$2:$G$2583,'ноябрь 2025'!$D$2:$D$2583,$B29,'ноябрь 2025'!$J$2:$J$2583,T$1)</f>
        <v>0</v>
      </c>
      <c r="U29" s="76">
        <f>SUMIFS('ноябрь 2025'!$G$2:$G$2583,'ноябрь 2025'!$D$2:$D$2583,$B29,'ноябрь 2025'!$J$2:$J$2583,U$1)</f>
        <v>0</v>
      </c>
      <c r="V29" s="76">
        <f>SUMIFS('ноябрь 2025'!$G$2:$G$2583,'ноябрь 2025'!$D$2:$D$2583,$B29,'ноябрь 2025'!$J$2:$J$2583,V$1)</f>
        <v>0</v>
      </c>
      <c r="W29" s="76">
        <f>SUMIFS('ноябрь 2025'!$G$2:$G$2583,'ноябрь 2025'!$D$2:$D$2583,$B29,'ноябрь 2025'!$J$2:$J$2583,W$1)</f>
        <v>0</v>
      </c>
      <c r="X29" s="76">
        <f>SUMIFS('ноябрь 2025'!$G$2:$G$2583,'ноябрь 2025'!$D$2:$D$2583,$B29,'ноябрь 2025'!$J$2:$J$2583,X$1)</f>
        <v>0</v>
      </c>
      <c r="Y29" s="76">
        <f>SUMIFS('ноябрь 2025'!$G$2:$G$2583,'ноябрь 2025'!$D$2:$D$2583,$B29,'ноябрь 2025'!$J$2:$J$2583,Y$1)</f>
        <v>0</v>
      </c>
      <c r="Z29" s="76">
        <f>SUMIFS('ноябрь 2025'!$G$2:$G$2583,'ноябрь 2025'!$D$2:$D$2583,$B29,'ноябрь 2025'!$J$2:$J$2583,Z$1)</f>
        <v>0</v>
      </c>
      <c r="AA29" s="76">
        <f>SUMIFS('ноябрь 2025'!$G$2:$G$2583,'ноябрь 2025'!$D$2:$D$2583,$B29,'ноябрь 2025'!$J$2:$J$2583,AA$1)</f>
        <v>0</v>
      </c>
      <c r="AB29" s="76">
        <f>SUMIFS('ноябрь 2025'!$G$2:$G$2583,'ноябрь 2025'!$D$2:$D$2583,$B29,'ноябрь 2025'!$J$2:$J$2583,AB$1)</f>
        <v>0</v>
      </c>
      <c r="AC29" s="76">
        <f>SUMIFS('ноябрь 2025'!$G$2:$G$2583,'ноябрь 2025'!$D$2:$D$2583,$B29,'ноябрь 2025'!$J$2:$J$2583,AC$1)</f>
        <v>0</v>
      </c>
      <c r="AD29" s="76">
        <f>SUMIFS('ноябрь 2025'!$G$2:$G$2583,'ноябрь 2025'!$D$2:$D$2583,$B29,'ноябрь 2025'!$J$2:$J$2583,AD$1)</f>
        <v>0</v>
      </c>
      <c r="AE29" s="76">
        <f>SUMIFS('ноябрь 2025'!$G$2:$G$2583,'ноябрь 2025'!$D$2:$D$2583,$B29,'ноябрь 2025'!$J$2:$J$2583,AE$1)</f>
        <v>0</v>
      </c>
      <c r="AF29" s="76">
        <f>SUMIFS('ноябрь 2025'!$G$2:$G$2583,'ноябрь 2025'!$D$2:$D$2583,$B29,'ноябрь 2025'!$J$2:$J$2583,AF$1)</f>
        <v>0</v>
      </c>
      <c r="AG29" s="76">
        <f>SUMIFS('ноябрь 2025'!$G$2:$G$2583,'ноябрь 2025'!$D$2:$D$2583,$B29,'ноябрь 2025'!$J$2:$J$2583,AG$1)</f>
        <v>0</v>
      </c>
      <c r="AH29" s="76">
        <f>SUMIFS('ноябрь 2025'!$G$2:$G$2583,'ноябрь 2025'!$D$2:$D$2583,$B29,'ноябрь 2025'!$J$2:$J$2583,AH$1)</f>
        <v>0</v>
      </c>
      <c r="AI29" s="20">
        <f t="shared" si="1"/>
        <v>0</v>
      </c>
    </row>
    <row r="30" spans="2:35" ht="15" customHeight="1" x14ac:dyDescent="0.25">
      <c r="B30" s="80" t="s">
        <v>383</v>
      </c>
      <c r="C30" s="78">
        <v>25</v>
      </c>
      <c r="D30" s="76">
        <f>SUMIFS('ноябрь 2025'!$G$2:$G$2583,'ноябрь 2025'!$D$2:$D$2583,$B30,'ноябрь 2025'!$J$2:$J$2583,D$1)</f>
        <v>0</v>
      </c>
      <c r="E30" s="76">
        <f>SUMIFS('ноябрь 2025'!$G$2:$G$2583,'ноябрь 2025'!$D$2:$D$2583,$B30,'ноябрь 2025'!$J$2:$J$2583,E$1)</f>
        <v>0</v>
      </c>
      <c r="F30" s="76">
        <f>SUMIFS('ноябрь 2025'!$G$2:$G$2583,'ноябрь 2025'!$D$2:$D$2583,$B30,'ноябрь 2025'!$J$2:$J$2583,F$1)</f>
        <v>0</v>
      </c>
      <c r="G30" s="76">
        <f>SUMIFS('ноябрь 2025'!$G$2:$G$2583,'ноябрь 2025'!$D$2:$D$2583,$B30,'ноябрь 2025'!$J$2:$J$2583,G$1)</f>
        <v>0</v>
      </c>
      <c r="H30" s="76">
        <f>SUMIFS('ноябрь 2025'!$G$2:$G$2583,'ноябрь 2025'!$D$2:$D$2583,$B30,'ноябрь 2025'!$J$2:$J$2583,H$1)</f>
        <v>0</v>
      </c>
      <c r="I30" s="76">
        <f>SUMIFS('ноябрь 2025'!$G$2:$G$2583,'ноябрь 2025'!$D$2:$D$2583,$B30,'ноябрь 2025'!$J$2:$J$2583,I$1)</f>
        <v>0</v>
      </c>
      <c r="J30" s="76">
        <f>SUMIFS('ноябрь 2025'!$G$2:$G$2583,'ноябрь 2025'!$D$2:$D$2583,$B30,'ноябрь 2025'!$J$2:$J$2583,J$1)</f>
        <v>0</v>
      </c>
      <c r="K30" s="76">
        <f>SUMIFS('ноябрь 2025'!$G$2:$G$2583,'ноябрь 2025'!$D$2:$D$2583,$B30,'ноябрь 2025'!$J$2:$J$2583,K$1)</f>
        <v>0</v>
      </c>
      <c r="L30" s="76">
        <f>SUMIFS('ноябрь 2025'!$G$2:$G$2583,'ноябрь 2025'!$D$2:$D$2583,$B30,'ноябрь 2025'!$J$2:$J$2583,L$1)</f>
        <v>0</v>
      </c>
      <c r="M30" s="76">
        <f>SUMIFS('ноябрь 2025'!$G$2:$G$2583,'ноябрь 2025'!$D$2:$D$2583,$B30,'ноябрь 2025'!$J$2:$J$2583,M$1)</f>
        <v>0</v>
      </c>
      <c r="N30" s="76">
        <f>SUMIFS('ноябрь 2025'!$G$2:$G$2583,'ноябрь 2025'!$D$2:$D$2583,$B30,'ноябрь 2025'!$J$2:$J$2583,N$1)</f>
        <v>0</v>
      </c>
      <c r="O30" s="76">
        <f>SUMIFS('ноябрь 2025'!$G$2:$G$2583,'ноябрь 2025'!$D$2:$D$2583,$B30,'ноябрь 2025'!$J$2:$J$2583,O$1)</f>
        <v>0</v>
      </c>
      <c r="P30" s="76">
        <f>SUMIFS('ноябрь 2025'!$G$2:$G$2583,'ноябрь 2025'!$D$2:$D$2583,$B30,'ноябрь 2025'!$J$2:$J$2583,P$1)</f>
        <v>0</v>
      </c>
      <c r="Q30" s="76">
        <f>SUMIFS('ноябрь 2025'!$G$2:$G$2583,'ноябрь 2025'!$D$2:$D$2583,$B30,'ноябрь 2025'!$J$2:$J$2583,Q$1)</f>
        <v>0</v>
      </c>
      <c r="R30" s="76">
        <f>SUMIFS('ноябрь 2025'!$G$2:$G$2583,'ноябрь 2025'!$D$2:$D$2583,$B30,'ноябрь 2025'!$J$2:$J$2583,R$1)</f>
        <v>0</v>
      </c>
      <c r="S30" s="76">
        <f>SUMIFS('ноябрь 2025'!$G$2:$G$2583,'ноябрь 2025'!$D$2:$D$2583,$B30,'ноябрь 2025'!$J$2:$J$2583,S$1)</f>
        <v>0</v>
      </c>
      <c r="T30" s="76">
        <f>SUMIFS('ноябрь 2025'!$G$2:$G$2583,'ноябрь 2025'!$D$2:$D$2583,$B30,'ноябрь 2025'!$J$2:$J$2583,T$1)</f>
        <v>0</v>
      </c>
      <c r="U30" s="76">
        <f>SUMIFS('ноябрь 2025'!$G$2:$G$2583,'ноябрь 2025'!$D$2:$D$2583,$B30,'ноябрь 2025'!$J$2:$J$2583,U$1)</f>
        <v>0</v>
      </c>
      <c r="V30" s="76">
        <f>SUMIFS('ноябрь 2025'!$G$2:$G$2583,'ноябрь 2025'!$D$2:$D$2583,$B30,'ноябрь 2025'!$J$2:$J$2583,V$1)</f>
        <v>0</v>
      </c>
      <c r="W30" s="76">
        <f>SUMIFS('ноябрь 2025'!$G$2:$G$2583,'ноябрь 2025'!$D$2:$D$2583,$B30,'ноябрь 2025'!$J$2:$J$2583,W$1)</f>
        <v>0</v>
      </c>
      <c r="X30" s="76">
        <f>SUMIFS('ноябрь 2025'!$G$2:$G$2583,'ноябрь 2025'!$D$2:$D$2583,$B30,'ноябрь 2025'!$J$2:$J$2583,X$1)</f>
        <v>0</v>
      </c>
      <c r="Y30" s="76">
        <f>SUMIFS('ноябрь 2025'!$G$2:$G$2583,'ноябрь 2025'!$D$2:$D$2583,$B30,'ноябрь 2025'!$J$2:$J$2583,Y$1)</f>
        <v>0</v>
      </c>
      <c r="Z30" s="76">
        <f>SUMIFS('ноябрь 2025'!$G$2:$G$2583,'ноябрь 2025'!$D$2:$D$2583,$B30,'ноябрь 2025'!$J$2:$J$2583,Z$1)</f>
        <v>0</v>
      </c>
      <c r="AA30" s="76">
        <f>SUMIFS('ноябрь 2025'!$G$2:$G$2583,'ноябрь 2025'!$D$2:$D$2583,$B30,'ноябрь 2025'!$J$2:$J$2583,AA$1)</f>
        <v>0</v>
      </c>
      <c r="AB30" s="76">
        <f>SUMIFS('ноябрь 2025'!$G$2:$G$2583,'ноябрь 2025'!$D$2:$D$2583,$B30,'ноябрь 2025'!$J$2:$J$2583,AB$1)</f>
        <v>0</v>
      </c>
      <c r="AC30" s="76">
        <f>SUMIFS('ноябрь 2025'!$G$2:$G$2583,'ноябрь 2025'!$D$2:$D$2583,$B30,'ноябрь 2025'!$J$2:$J$2583,AC$1)</f>
        <v>0</v>
      </c>
      <c r="AD30" s="76">
        <f>SUMIFS('ноябрь 2025'!$G$2:$G$2583,'ноябрь 2025'!$D$2:$D$2583,$B30,'ноябрь 2025'!$J$2:$J$2583,AD$1)</f>
        <v>0</v>
      </c>
      <c r="AE30" s="76">
        <f>SUMIFS('ноябрь 2025'!$G$2:$G$2583,'ноябрь 2025'!$D$2:$D$2583,$B30,'ноябрь 2025'!$J$2:$J$2583,AE$1)</f>
        <v>0</v>
      </c>
      <c r="AF30" s="76">
        <f>SUMIFS('ноябрь 2025'!$G$2:$G$2583,'ноябрь 2025'!$D$2:$D$2583,$B30,'ноябрь 2025'!$J$2:$J$2583,AF$1)</f>
        <v>0</v>
      </c>
      <c r="AG30" s="76">
        <f>SUMIFS('ноябрь 2025'!$G$2:$G$2583,'ноябрь 2025'!$D$2:$D$2583,$B30,'ноябрь 2025'!$J$2:$J$2583,AG$1)</f>
        <v>0</v>
      </c>
      <c r="AH30" s="76">
        <f>SUMIFS('ноябрь 2025'!$G$2:$G$2583,'ноябрь 2025'!$D$2:$D$2583,$B30,'ноябрь 2025'!$J$2:$J$2583,AH$1)</f>
        <v>0</v>
      </c>
      <c r="AI30" s="20">
        <f t="shared" si="1"/>
        <v>0</v>
      </c>
    </row>
    <row r="31" spans="2:35" ht="15" customHeight="1" x14ac:dyDescent="0.25">
      <c r="B31" s="80"/>
      <c r="C31" s="78"/>
      <c r="D31" s="76">
        <f>SUMIFS('ноябрь 2025'!$G$2:$G$2583,'ноябрь 2025'!$D$2:$D$2583,$B31,'ноябрь 2025'!$J$2:$J$2583,D$1)</f>
        <v>0</v>
      </c>
      <c r="E31" s="76">
        <f>SUMIFS('ноябрь 2025'!$G$2:$G$2583,'ноябрь 2025'!$D$2:$D$2583,$B31,'ноябрь 2025'!$J$2:$J$2583,E$1)</f>
        <v>0</v>
      </c>
      <c r="F31" s="76">
        <f>SUMIFS('ноябрь 2025'!$G$2:$G$2583,'ноябрь 2025'!$D$2:$D$2583,$B31,'ноябрь 2025'!$J$2:$J$2583,F$1)</f>
        <v>0</v>
      </c>
      <c r="G31" s="76">
        <f>SUMIFS('ноябрь 2025'!$G$2:$G$2583,'ноябрь 2025'!$D$2:$D$2583,$B31,'ноябрь 2025'!$J$2:$J$2583,G$1)</f>
        <v>0</v>
      </c>
      <c r="H31" s="76">
        <f>SUMIFS('ноябрь 2025'!$G$2:$G$2583,'ноябрь 2025'!$D$2:$D$2583,$B31,'ноябрь 2025'!$J$2:$J$2583,H$1)</f>
        <v>0</v>
      </c>
      <c r="I31" s="76">
        <f>SUMIFS('ноябрь 2025'!$G$2:$G$2583,'ноябрь 2025'!$D$2:$D$2583,$B31,'ноябрь 2025'!$J$2:$J$2583,I$1)</f>
        <v>0</v>
      </c>
      <c r="J31" s="76">
        <f>SUMIFS('ноябрь 2025'!$G$2:$G$2583,'ноябрь 2025'!$D$2:$D$2583,$B31,'ноябрь 2025'!$J$2:$J$2583,J$1)</f>
        <v>0</v>
      </c>
      <c r="K31" s="76">
        <f>SUMIFS('ноябрь 2025'!$G$2:$G$2583,'ноябрь 2025'!$D$2:$D$2583,$B31,'ноябрь 2025'!$J$2:$J$2583,K$1)</f>
        <v>0</v>
      </c>
      <c r="L31" s="76">
        <f>SUMIFS('ноябрь 2025'!$G$2:$G$2583,'ноябрь 2025'!$D$2:$D$2583,$B31,'ноябрь 2025'!$J$2:$J$2583,L$1)</f>
        <v>0</v>
      </c>
      <c r="M31" s="76">
        <f>SUMIFS('ноябрь 2025'!$G$2:$G$2583,'ноябрь 2025'!$D$2:$D$2583,$B31,'ноябрь 2025'!$J$2:$J$2583,M$1)</f>
        <v>0</v>
      </c>
      <c r="N31" s="76">
        <f>SUMIFS('ноябрь 2025'!$G$2:$G$2583,'ноябрь 2025'!$D$2:$D$2583,$B31,'ноябрь 2025'!$J$2:$J$2583,N$1)</f>
        <v>0</v>
      </c>
      <c r="O31" s="76">
        <f>SUMIFS('ноябрь 2025'!$G$2:$G$2583,'ноябрь 2025'!$D$2:$D$2583,$B31,'ноябрь 2025'!$J$2:$J$2583,O$1)</f>
        <v>0</v>
      </c>
      <c r="P31" s="76">
        <f>SUMIFS('ноябрь 2025'!$G$2:$G$2583,'ноябрь 2025'!$D$2:$D$2583,$B31,'ноябрь 2025'!$J$2:$J$2583,P$1)</f>
        <v>0</v>
      </c>
      <c r="Q31" s="76">
        <f>SUMIFS('ноябрь 2025'!$G$2:$G$2583,'ноябрь 2025'!$D$2:$D$2583,$B31,'ноябрь 2025'!$J$2:$J$2583,Q$1)</f>
        <v>0</v>
      </c>
      <c r="R31" s="76">
        <f>SUMIFS('ноябрь 2025'!$G$2:$G$2583,'ноябрь 2025'!$D$2:$D$2583,$B31,'ноябрь 2025'!$J$2:$J$2583,R$1)</f>
        <v>0</v>
      </c>
      <c r="S31" s="76">
        <f>SUMIFS('ноябрь 2025'!$G$2:$G$2583,'ноябрь 2025'!$D$2:$D$2583,$B31,'ноябрь 2025'!$J$2:$J$2583,S$1)</f>
        <v>0</v>
      </c>
      <c r="T31" s="76">
        <f>SUMIFS('ноябрь 2025'!$G$2:$G$2583,'ноябрь 2025'!$D$2:$D$2583,$B31,'ноябрь 2025'!$J$2:$J$2583,T$1)</f>
        <v>0</v>
      </c>
      <c r="U31" s="76">
        <f>SUMIFS('ноябрь 2025'!$G$2:$G$2583,'ноябрь 2025'!$D$2:$D$2583,$B31,'ноябрь 2025'!$J$2:$J$2583,U$1)</f>
        <v>0</v>
      </c>
      <c r="V31" s="76">
        <f>SUMIFS('ноябрь 2025'!$G$2:$G$2583,'ноябрь 2025'!$D$2:$D$2583,$B31,'ноябрь 2025'!$J$2:$J$2583,V$1)</f>
        <v>0</v>
      </c>
      <c r="W31" s="76">
        <f>SUMIFS('ноябрь 2025'!$G$2:$G$2583,'ноябрь 2025'!$D$2:$D$2583,$B31,'ноябрь 2025'!$J$2:$J$2583,W$1)</f>
        <v>0</v>
      </c>
      <c r="X31" s="76">
        <f>SUMIFS('ноябрь 2025'!$G$2:$G$2583,'ноябрь 2025'!$D$2:$D$2583,$B31,'ноябрь 2025'!$J$2:$J$2583,X$1)</f>
        <v>0</v>
      </c>
      <c r="Y31" s="76">
        <f>SUMIFS('ноябрь 2025'!$G$2:$G$2583,'ноябрь 2025'!$D$2:$D$2583,$B31,'ноябрь 2025'!$J$2:$J$2583,Y$1)</f>
        <v>0</v>
      </c>
      <c r="Z31" s="76">
        <f>SUMIFS('ноябрь 2025'!$G$2:$G$2583,'ноябрь 2025'!$D$2:$D$2583,$B31,'ноябрь 2025'!$J$2:$J$2583,Z$1)</f>
        <v>0</v>
      </c>
      <c r="AA31" s="76">
        <f>SUMIFS('ноябрь 2025'!$G$2:$G$2583,'ноябрь 2025'!$D$2:$D$2583,$B31,'ноябрь 2025'!$J$2:$J$2583,AA$1)</f>
        <v>0</v>
      </c>
      <c r="AB31" s="76">
        <f>SUMIFS('ноябрь 2025'!$G$2:$G$2583,'ноябрь 2025'!$D$2:$D$2583,$B31,'ноябрь 2025'!$J$2:$J$2583,AB$1)</f>
        <v>0</v>
      </c>
      <c r="AC31" s="76">
        <f>SUMIFS('ноябрь 2025'!$G$2:$G$2583,'ноябрь 2025'!$D$2:$D$2583,$B31,'ноябрь 2025'!$J$2:$J$2583,AC$1)</f>
        <v>0</v>
      </c>
      <c r="AD31" s="76">
        <f>SUMIFS('ноябрь 2025'!$G$2:$G$2583,'ноябрь 2025'!$D$2:$D$2583,$B31,'ноябрь 2025'!$J$2:$J$2583,AD$1)</f>
        <v>0</v>
      </c>
      <c r="AE31" s="76">
        <f>SUMIFS('ноябрь 2025'!$G$2:$G$2583,'ноябрь 2025'!$D$2:$D$2583,$B31,'ноябрь 2025'!$J$2:$J$2583,AE$1)</f>
        <v>0</v>
      </c>
      <c r="AF31" s="76">
        <f>SUMIFS('ноябрь 2025'!$G$2:$G$2583,'ноябрь 2025'!$D$2:$D$2583,$B31,'ноябрь 2025'!$J$2:$J$2583,AF$1)</f>
        <v>0</v>
      </c>
      <c r="AG31" s="76">
        <f>SUMIFS('ноябрь 2025'!$G$2:$G$2583,'ноябрь 2025'!$D$2:$D$2583,$B31,'ноябрь 2025'!$J$2:$J$2583,AG$1)</f>
        <v>0</v>
      </c>
      <c r="AH31" s="76">
        <f>SUMIFS('ноябрь 2025'!$G$2:$G$2583,'ноябрь 2025'!$D$2:$D$2583,$B31,'ноябрь 2025'!$J$2:$J$2583,AH$1)</f>
        <v>0</v>
      </c>
      <c r="AI31" s="20">
        <f t="shared" si="1"/>
        <v>0</v>
      </c>
    </row>
    <row r="32" spans="2:35" ht="15" customHeight="1" x14ac:dyDescent="0.25">
      <c r="B32" s="80"/>
      <c r="C32" s="78"/>
      <c r="D32" s="76">
        <f>SUMIFS('ноябрь 2025'!$G$2:$G$2583,'ноябрь 2025'!$D$2:$D$2583,$B32,'ноябрь 2025'!$J$2:$J$2583,D$1)</f>
        <v>0</v>
      </c>
      <c r="E32" s="76">
        <f>SUMIFS('ноябрь 2025'!$G$2:$G$2583,'ноябрь 2025'!$D$2:$D$2583,$B32,'ноябрь 2025'!$J$2:$J$2583,E$1)</f>
        <v>0</v>
      </c>
      <c r="F32" s="76">
        <f>SUMIFS('ноябрь 2025'!$G$2:$G$2583,'ноябрь 2025'!$D$2:$D$2583,$B32,'ноябрь 2025'!$J$2:$J$2583,F$1)</f>
        <v>0</v>
      </c>
      <c r="G32" s="76">
        <f>SUMIFS('ноябрь 2025'!$G$2:$G$2583,'ноябрь 2025'!$D$2:$D$2583,$B32,'ноябрь 2025'!$J$2:$J$2583,G$1)</f>
        <v>0</v>
      </c>
      <c r="H32" s="76">
        <f>SUMIFS('ноябрь 2025'!$G$2:$G$2583,'ноябрь 2025'!$D$2:$D$2583,$B32,'ноябрь 2025'!$J$2:$J$2583,H$1)</f>
        <v>0</v>
      </c>
      <c r="I32" s="76">
        <f>SUMIFS('ноябрь 2025'!$G$2:$G$2583,'ноябрь 2025'!$D$2:$D$2583,$B32,'ноябрь 2025'!$J$2:$J$2583,I$1)</f>
        <v>0</v>
      </c>
      <c r="J32" s="76">
        <f>SUMIFS('ноябрь 2025'!$G$2:$G$2583,'ноябрь 2025'!$D$2:$D$2583,$B32,'ноябрь 2025'!$J$2:$J$2583,J$1)</f>
        <v>0</v>
      </c>
      <c r="K32" s="76">
        <f>SUMIFS('ноябрь 2025'!$G$2:$G$2583,'ноябрь 2025'!$D$2:$D$2583,$B32,'ноябрь 2025'!$J$2:$J$2583,K$1)</f>
        <v>0</v>
      </c>
      <c r="L32" s="76">
        <f>SUMIFS('ноябрь 2025'!$G$2:$G$2583,'ноябрь 2025'!$D$2:$D$2583,$B32,'ноябрь 2025'!$J$2:$J$2583,L$1)</f>
        <v>0</v>
      </c>
      <c r="M32" s="76">
        <f>SUMIFS('ноябрь 2025'!$G$2:$G$2583,'ноябрь 2025'!$D$2:$D$2583,$B32,'ноябрь 2025'!$J$2:$J$2583,M$1)</f>
        <v>0</v>
      </c>
      <c r="N32" s="76">
        <f>SUMIFS('ноябрь 2025'!$G$2:$G$2583,'ноябрь 2025'!$D$2:$D$2583,$B32,'ноябрь 2025'!$J$2:$J$2583,N$1)</f>
        <v>0</v>
      </c>
      <c r="O32" s="76">
        <f>SUMIFS('ноябрь 2025'!$G$2:$G$2583,'ноябрь 2025'!$D$2:$D$2583,$B32,'ноябрь 2025'!$J$2:$J$2583,O$1)</f>
        <v>0</v>
      </c>
      <c r="P32" s="76">
        <f>SUMIFS('ноябрь 2025'!$G$2:$G$2583,'ноябрь 2025'!$D$2:$D$2583,$B32,'ноябрь 2025'!$J$2:$J$2583,P$1)</f>
        <v>0</v>
      </c>
      <c r="Q32" s="76">
        <f>SUMIFS('ноябрь 2025'!$G$2:$G$2583,'ноябрь 2025'!$D$2:$D$2583,$B32,'ноябрь 2025'!$J$2:$J$2583,Q$1)</f>
        <v>0</v>
      </c>
      <c r="R32" s="76">
        <f>SUMIFS('ноябрь 2025'!$G$2:$G$2583,'ноябрь 2025'!$D$2:$D$2583,$B32,'ноябрь 2025'!$J$2:$J$2583,R$1)</f>
        <v>0</v>
      </c>
      <c r="S32" s="76">
        <f>SUMIFS('ноябрь 2025'!$G$2:$G$2583,'ноябрь 2025'!$D$2:$D$2583,$B32,'ноябрь 2025'!$J$2:$J$2583,S$1)</f>
        <v>0</v>
      </c>
      <c r="T32" s="76">
        <f>SUMIFS('ноябрь 2025'!$G$2:$G$2583,'ноябрь 2025'!$D$2:$D$2583,$B32,'ноябрь 2025'!$J$2:$J$2583,T$1)</f>
        <v>0</v>
      </c>
      <c r="U32" s="76">
        <f>SUMIFS('ноябрь 2025'!$G$2:$G$2583,'ноябрь 2025'!$D$2:$D$2583,$B32,'ноябрь 2025'!$J$2:$J$2583,U$1)</f>
        <v>0</v>
      </c>
      <c r="V32" s="76">
        <f>SUMIFS('ноябрь 2025'!$G$2:$G$2583,'ноябрь 2025'!$D$2:$D$2583,$B32,'ноябрь 2025'!$J$2:$J$2583,V$1)</f>
        <v>0</v>
      </c>
      <c r="W32" s="76">
        <f>SUMIFS('ноябрь 2025'!$G$2:$G$2583,'ноябрь 2025'!$D$2:$D$2583,$B32,'ноябрь 2025'!$J$2:$J$2583,W$1)</f>
        <v>0</v>
      </c>
      <c r="X32" s="76">
        <f>SUMIFS('ноябрь 2025'!$G$2:$G$2583,'ноябрь 2025'!$D$2:$D$2583,$B32,'ноябрь 2025'!$J$2:$J$2583,X$1)</f>
        <v>0</v>
      </c>
      <c r="Y32" s="76">
        <f>SUMIFS('ноябрь 2025'!$G$2:$G$2583,'ноябрь 2025'!$D$2:$D$2583,$B32,'ноябрь 2025'!$J$2:$J$2583,Y$1)</f>
        <v>0</v>
      </c>
      <c r="Z32" s="76">
        <f>SUMIFS('ноябрь 2025'!$G$2:$G$2583,'ноябрь 2025'!$D$2:$D$2583,$B32,'ноябрь 2025'!$J$2:$J$2583,Z$1)</f>
        <v>0</v>
      </c>
      <c r="AA32" s="76">
        <f>SUMIFS('ноябрь 2025'!$G$2:$G$2583,'ноябрь 2025'!$D$2:$D$2583,$B32,'ноябрь 2025'!$J$2:$J$2583,AA$1)</f>
        <v>0</v>
      </c>
      <c r="AB32" s="76">
        <f>SUMIFS('ноябрь 2025'!$G$2:$G$2583,'ноябрь 2025'!$D$2:$D$2583,$B32,'ноябрь 2025'!$J$2:$J$2583,AB$1)</f>
        <v>0</v>
      </c>
      <c r="AC32" s="76">
        <f>SUMIFS('ноябрь 2025'!$G$2:$G$2583,'ноябрь 2025'!$D$2:$D$2583,$B32,'ноябрь 2025'!$J$2:$J$2583,AC$1)</f>
        <v>0</v>
      </c>
      <c r="AD32" s="76">
        <f>SUMIFS('ноябрь 2025'!$G$2:$G$2583,'ноябрь 2025'!$D$2:$D$2583,$B32,'ноябрь 2025'!$J$2:$J$2583,AD$1)</f>
        <v>0</v>
      </c>
      <c r="AE32" s="76">
        <f>SUMIFS('ноябрь 2025'!$G$2:$G$2583,'ноябрь 2025'!$D$2:$D$2583,$B32,'ноябрь 2025'!$J$2:$J$2583,AE$1)</f>
        <v>0</v>
      </c>
      <c r="AF32" s="76">
        <f>SUMIFS('ноябрь 2025'!$G$2:$G$2583,'ноябрь 2025'!$D$2:$D$2583,$B32,'ноябрь 2025'!$J$2:$J$2583,AF$1)</f>
        <v>0</v>
      </c>
      <c r="AG32" s="76">
        <f>SUMIFS('ноябрь 2025'!$G$2:$G$2583,'ноябрь 2025'!$D$2:$D$2583,$B32,'ноябрь 2025'!$J$2:$J$2583,AG$1)</f>
        <v>0</v>
      </c>
      <c r="AH32" s="76">
        <f>SUMIFS('ноябрь 2025'!$G$2:$G$2583,'ноябрь 2025'!$D$2:$D$2583,$B32,'ноябрь 2025'!$J$2:$J$2583,AH$1)</f>
        <v>0</v>
      </c>
      <c r="AI32" s="20">
        <f t="shared" si="1"/>
        <v>0</v>
      </c>
    </row>
    <row r="33" spans="2:35" ht="15" customHeight="1" x14ac:dyDescent="0.25">
      <c r="B33" s="80"/>
      <c r="C33" s="78"/>
      <c r="D33" s="76">
        <f>SUMIFS('ноябрь 2025'!$G$2:$G$2583,'ноябрь 2025'!$D$2:$D$2583,$B33,'ноябрь 2025'!$J$2:$J$2583,D$1)</f>
        <v>0</v>
      </c>
      <c r="E33" s="76">
        <f>SUMIFS('ноябрь 2025'!$G$2:$G$2583,'ноябрь 2025'!$D$2:$D$2583,$B33,'ноябрь 2025'!$J$2:$J$2583,E$1)</f>
        <v>0</v>
      </c>
      <c r="F33" s="76">
        <f>SUMIFS('ноябрь 2025'!$G$2:$G$2583,'ноябрь 2025'!$D$2:$D$2583,$B33,'ноябрь 2025'!$J$2:$J$2583,F$1)</f>
        <v>0</v>
      </c>
      <c r="G33" s="76">
        <f>SUMIFS('ноябрь 2025'!$G$2:$G$2583,'ноябрь 2025'!$D$2:$D$2583,$B33,'ноябрь 2025'!$J$2:$J$2583,G$1)</f>
        <v>0</v>
      </c>
      <c r="H33" s="76">
        <f>SUMIFS('ноябрь 2025'!$G$2:$G$2583,'ноябрь 2025'!$D$2:$D$2583,$B33,'ноябрь 2025'!$J$2:$J$2583,H$1)</f>
        <v>0</v>
      </c>
      <c r="I33" s="76">
        <f>SUMIFS('ноябрь 2025'!$G$2:$G$2583,'ноябрь 2025'!$D$2:$D$2583,$B33,'ноябрь 2025'!$J$2:$J$2583,I$1)</f>
        <v>0</v>
      </c>
      <c r="J33" s="76">
        <f>SUMIFS('ноябрь 2025'!$G$2:$G$2583,'ноябрь 2025'!$D$2:$D$2583,$B33,'ноябрь 2025'!$J$2:$J$2583,J$1)</f>
        <v>0</v>
      </c>
      <c r="K33" s="76">
        <f>SUMIFS('ноябрь 2025'!$G$2:$G$2583,'ноябрь 2025'!$D$2:$D$2583,$B33,'ноябрь 2025'!$J$2:$J$2583,K$1)</f>
        <v>0</v>
      </c>
      <c r="L33" s="76">
        <f>SUMIFS('ноябрь 2025'!$G$2:$G$2583,'ноябрь 2025'!$D$2:$D$2583,$B33,'ноябрь 2025'!$J$2:$J$2583,L$1)</f>
        <v>0</v>
      </c>
      <c r="M33" s="76">
        <f>SUMIFS('ноябрь 2025'!$G$2:$G$2583,'ноябрь 2025'!$D$2:$D$2583,$B33,'ноябрь 2025'!$J$2:$J$2583,M$1)</f>
        <v>0</v>
      </c>
      <c r="N33" s="76">
        <f>SUMIFS('ноябрь 2025'!$G$2:$G$2583,'ноябрь 2025'!$D$2:$D$2583,$B33,'ноябрь 2025'!$J$2:$J$2583,N$1)</f>
        <v>0</v>
      </c>
      <c r="O33" s="76">
        <f>SUMIFS('ноябрь 2025'!$G$2:$G$2583,'ноябрь 2025'!$D$2:$D$2583,$B33,'ноябрь 2025'!$J$2:$J$2583,O$1)</f>
        <v>0</v>
      </c>
      <c r="P33" s="76">
        <f>SUMIFS('ноябрь 2025'!$G$2:$G$2583,'ноябрь 2025'!$D$2:$D$2583,$B33,'ноябрь 2025'!$J$2:$J$2583,P$1)</f>
        <v>0</v>
      </c>
      <c r="Q33" s="76">
        <f>SUMIFS('ноябрь 2025'!$G$2:$G$2583,'ноябрь 2025'!$D$2:$D$2583,$B33,'ноябрь 2025'!$J$2:$J$2583,Q$1)</f>
        <v>0</v>
      </c>
      <c r="R33" s="76">
        <f>SUMIFS('ноябрь 2025'!$G$2:$G$2583,'ноябрь 2025'!$D$2:$D$2583,$B33,'ноябрь 2025'!$J$2:$J$2583,R$1)</f>
        <v>0</v>
      </c>
      <c r="S33" s="76">
        <f>SUMIFS('ноябрь 2025'!$G$2:$G$2583,'ноябрь 2025'!$D$2:$D$2583,$B33,'ноябрь 2025'!$J$2:$J$2583,S$1)</f>
        <v>0</v>
      </c>
      <c r="T33" s="76">
        <f>SUMIFS('ноябрь 2025'!$G$2:$G$2583,'ноябрь 2025'!$D$2:$D$2583,$B33,'ноябрь 2025'!$J$2:$J$2583,T$1)</f>
        <v>0</v>
      </c>
      <c r="U33" s="76">
        <f>SUMIFS('ноябрь 2025'!$G$2:$G$2583,'ноябрь 2025'!$D$2:$D$2583,$B33,'ноябрь 2025'!$J$2:$J$2583,U$1)</f>
        <v>0</v>
      </c>
      <c r="V33" s="76">
        <f>SUMIFS('ноябрь 2025'!$G$2:$G$2583,'ноябрь 2025'!$D$2:$D$2583,$B33,'ноябрь 2025'!$J$2:$J$2583,V$1)</f>
        <v>0</v>
      </c>
      <c r="W33" s="76">
        <f>SUMIFS('ноябрь 2025'!$G$2:$G$2583,'ноябрь 2025'!$D$2:$D$2583,$B33,'ноябрь 2025'!$J$2:$J$2583,W$1)</f>
        <v>0</v>
      </c>
      <c r="X33" s="76">
        <f>SUMIFS('ноябрь 2025'!$G$2:$G$2583,'ноябрь 2025'!$D$2:$D$2583,$B33,'ноябрь 2025'!$J$2:$J$2583,X$1)</f>
        <v>0</v>
      </c>
      <c r="Y33" s="76">
        <f>SUMIFS('ноябрь 2025'!$G$2:$G$2583,'ноябрь 2025'!$D$2:$D$2583,$B33,'ноябрь 2025'!$J$2:$J$2583,Y$1)</f>
        <v>0</v>
      </c>
      <c r="Z33" s="76">
        <f>SUMIFS('ноябрь 2025'!$G$2:$G$2583,'ноябрь 2025'!$D$2:$D$2583,$B33,'ноябрь 2025'!$J$2:$J$2583,Z$1)</f>
        <v>0</v>
      </c>
      <c r="AA33" s="76">
        <f>SUMIFS('ноябрь 2025'!$G$2:$G$2583,'ноябрь 2025'!$D$2:$D$2583,$B33,'ноябрь 2025'!$J$2:$J$2583,AA$1)</f>
        <v>0</v>
      </c>
      <c r="AB33" s="76">
        <f>SUMIFS('ноябрь 2025'!$G$2:$G$2583,'ноябрь 2025'!$D$2:$D$2583,$B33,'ноябрь 2025'!$J$2:$J$2583,AB$1)</f>
        <v>0</v>
      </c>
      <c r="AC33" s="76">
        <f>SUMIFS('ноябрь 2025'!$G$2:$G$2583,'ноябрь 2025'!$D$2:$D$2583,$B33,'ноябрь 2025'!$J$2:$J$2583,AC$1)</f>
        <v>0</v>
      </c>
      <c r="AD33" s="76">
        <f>SUMIFS('ноябрь 2025'!$G$2:$G$2583,'ноябрь 2025'!$D$2:$D$2583,$B33,'ноябрь 2025'!$J$2:$J$2583,AD$1)</f>
        <v>0</v>
      </c>
      <c r="AE33" s="76">
        <f>SUMIFS('ноябрь 2025'!$G$2:$G$2583,'ноябрь 2025'!$D$2:$D$2583,$B33,'ноябрь 2025'!$J$2:$J$2583,AE$1)</f>
        <v>0</v>
      </c>
      <c r="AF33" s="76">
        <f>SUMIFS('ноябрь 2025'!$G$2:$G$2583,'ноябрь 2025'!$D$2:$D$2583,$B33,'ноябрь 2025'!$J$2:$J$2583,AF$1)</f>
        <v>0</v>
      </c>
      <c r="AG33" s="76">
        <f>SUMIFS('ноябрь 2025'!$G$2:$G$2583,'ноябрь 2025'!$D$2:$D$2583,$B33,'ноябрь 2025'!$J$2:$J$2583,AG$1)</f>
        <v>0</v>
      </c>
      <c r="AH33" s="76">
        <f>SUMIFS('ноябрь 2025'!$G$2:$G$2583,'ноябрь 2025'!$D$2:$D$2583,$B33,'ноябрь 2025'!$J$2:$J$2583,AH$1)</f>
        <v>0</v>
      </c>
      <c r="AI33" s="20">
        <f t="shared" si="1"/>
        <v>0</v>
      </c>
    </row>
    <row r="34" spans="2:35" ht="15" customHeight="1" x14ac:dyDescent="0.25">
      <c r="B34" s="80"/>
      <c r="C34" s="78"/>
      <c r="D34" s="76">
        <f>SUMIFS('ноябрь 2025'!$G$2:$G$2583,'ноябрь 2025'!$D$2:$D$2583,$B34,'ноябрь 2025'!$J$2:$J$2583,D$1)</f>
        <v>0</v>
      </c>
      <c r="E34" s="76">
        <f>SUMIFS('ноябрь 2025'!$G$2:$G$2583,'ноябрь 2025'!$D$2:$D$2583,$B34,'ноябрь 2025'!$J$2:$J$2583,E$1)</f>
        <v>0</v>
      </c>
      <c r="F34" s="76">
        <f>SUMIFS('ноябрь 2025'!$G$2:$G$2583,'ноябрь 2025'!$D$2:$D$2583,$B34,'ноябрь 2025'!$J$2:$J$2583,F$1)</f>
        <v>0</v>
      </c>
      <c r="G34" s="76">
        <f>SUMIFS('ноябрь 2025'!$G$2:$G$2583,'ноябрь 2025'!$D$2:$D$2583,$B34,'ноябрь 2025'!$J$2:$J$2583,G$1)</f>
        <v>0</v>
      </c>
      <c r="H34" s="76">
        <f>SUMIFS('ноябрь 2025'!$G$2:$G$2583,'ноябрь 2025'!$D$2:$D$2583,$B34,'ноябрь 2025'!$J$2:$J$2583,H$1)</f>
        <v>0</v>
      </c>
      <c r="I34" s="76">
        <f>SUMIFS('ноябрь 2025'!$G$2:$G$2583,'ноябрь 2025'!$D$2:$D$2583,$B34,'ноябрь 2025'!$J$2:$J$2583,I$1)</f>
        <v>0</v>
      </c>
      <c r="J34" s="76">
        <f>SUMIFS('ноябрь 2025'!$G$2:$G$2583,'ноябрь 2025'!$D$2:$D$2583,$B34,'ноябрь 2025'!$J$2:$J$2583,J$1)</f>
        <v>0</v>
      </c>
      <c r="K34" s="76">
        <f>SUMIFS('ноябрь 2025'!$G$2:$G$2583,'ноябрь 2025'!$D$2:$D$2583,$B34,'ноябрь 2025'!$J$2:$J$2583,K$1)</f>
        <v>0</v>
      </c>
      <c r="L34" s="76">
        <f>SUMIFS('ноябрь 2025'!$G$2:$G$2583,'ноябрь 2025'!$D$2:$D$2583,$B34,'ноябрь 2025'!$J$2:$J$2583,L$1)</f>
        <v>0</v>
      </c>
      <c r="M34" s="76">
        <f>SUMIFS('ноябрь 2025'!$G$2:$G$2583,'ноябрь 2025'!$D$2:$D$2583,$B34,'ноябрь 2025'!$J$2:$J$2583,M$1)</f>
        <v>0</v>
      </c>
      <c r="N34" s="76">
        <f>SUMIFS('ноябрь 2025'!$G$2:$G$2583,'ноябрь 2025'!$D$2:$D$2583,$B34,'ноябрь 2025'!$J$2:$J$2583,N$1)</f>
        <v>0</v>
      </c>
      <c r="O34" s="76">
        <f>SUMIFS('ноябрь 2025'!$G$2:$G$2583,'ноябрь 2025'!$D$2:$D$2583,$B34,'ноябрь 2025'!$J$2:$J$2583,O$1)</f>
        <v>0</v>
      </c>
      <c r="P34" s="76">
        <f>SUMIFS('ноябрь 2025'!$G$2:$G$2583,'ноябрь 2025'!$D$2:$D$2583,$B34,'ноябрь 2025'!$J$2:$J$2583,P$1)</f>
        <v>0</v>
      </c>
      <c r="Q34" s="76">
        <f>SUMIFS('ноябрь 2025'!$G$2:$G$2583,'ноябрь 2025'!$D$2:$D$2583,$B34,'ноябрь 2025'!$J$2:$J$2583,Q$1)</f>
        <v>0</v>
      </c>
      <c r="R34" s="76">
        <f>SUMIFS('ноябрь 2025'!$G$2:$G$2583,'ноябрь 2025'!$D$2:$D$2583,$B34,'ноябрь 2025'!$J$2:$J$2583,R$1)</f>
        <v>0</v>
      </c>
      <c r="S34" s="76">
        <f>SUMIFS('ноябрь 2025'!$G$2:$G$2583,'ноябрь 2025'!$D$2:$D$2583,$B34,'ноябрь 2025'!$J$2:$J$2583,S$1)</f>
        <v>0</v>
      </c>
      <c r="T34" s="76">
        <f>SUMIFS('ноябрь 2025'!$G$2:$G$2583,'ноябрь 2025'!$D$2:$D$2583,$B34,'ноябрь 2025'!$J$2:$J$2583,T$1)</f>
        <v>0</v>
      </c>
      <c r="U34" s="76">
        <f>SUMIFS('ноябрь 2025'!$G$2:$G$2583,'ноябрь 2025'!$D$2:$D$2583,$B34,'ноябрь 2025'!$J$2:$J$2583,U$1)</f>
        <v>0</v>
      </c>
      <c r="V34" s="76">
        <f>SUMIFS('ноябрь 2025'!$G$2:$G$2583,'ноябрь 2025'!$D$2:$D$2583,$B34,'ноябрь 2025'!$J$2:$J$2583,V$1)</f>
        <v>0</v>
      </c>
      <c r="W34" s="76">
        <f>SUMIFS('ноябрь 2025'!$G$2:$G$2583,'ноябрь 2025'!$D$2:$D$2583,$B34,'ноябрь 2025'!$J$2:$J$2583,W$1)</f>
        <v>0</v>
      </c>
      <c r="X34" s="76">
        <f>SUMIFS('ноябрь 2025'!$G$2:$G$2583,'ноябрь 2025'!$D$2:$D$2583,$B34,'ноябрь 2025'!$J$2:$J$2583,X$1)</f>
        <v>0</v>
      </c>
      <c r="Y34" s="76">
        <f>SUMIFS('ноябрь 2025'!$G$2:$G$2583,'ноябрь 2025'!$D$2:$D$2583,$B34,'ноябрь 2025'!$J$2:$J$2583,Y$1)</f>
        <v>0</v>
      </c>
      <c r="Z34" s="76">
        <f>SUMIFS('ноябрь 2025'!$G$2:$G$2583,'ноябрь 2025'!$D$2:$D$2583,$B34,'ноябрь 2025'!$J$2:$J$2583,Z$1)</f>
        <v>0</v>
      </c>
      <c r="AA34" s="76">
        <f>SUMIFS('ноябрь 2025'!$G$2:$G$2583,'ноябрь 2025'!$D$2:$D$2583,$B34,'ноябрь 2025'!$J$2:$J$2583,AA$1)</f>
        <v>0</v>
      </c>
      <c r="AB34" s="76">
        <f>SUMIFS('ноябрь 2025'!$G$2:$G$2583,'ноябрь 2025'!$D$2:$D$2583,$B34,'ноябрь 2025'!$J$2:$J$2583,AB$1)</f>
        <v>0</v>
      </c>
      <c r="AC34" s="76">
        <f>SUMIFS('ноябрь 2025'!$G$2:$G$2583,'ноябрь 2025'!$D$2:$D$2583,$B34,'ноябрь 2025'!$J$2:$J$2583,AC$1)</f>
        <v>0</v>
      </c>
      <c r="AD34" s="76">
        <f>SUMIFS('ноябрь 2025'!$G$2:$G$2583,'ноябрь 2025'!$D$2:$D$2583,$B34,'ноябрь 2025'!$J$2:$J$2583,AD$1)</f>
        <v>0</v>
      </c>
      <c r="AE34" s="76">
        <f>SUMIFS('ноябрь 2025'!$G$2:$G$2583,'ноябрь 2025'!$D$2:$D$2583,$B34,'ноябрь 2025'!$J$2:$J$2583,AE$1)</f>
        <v>0</v>
      </c>
      <c r="AF34" s="76">
        <f>SUMIFS('ноябрь 2025'!$G$2:$G$2583,'ноябрь 2025'!$D$2:$D$2583,$B34,'ноябрь 2025'!$J$2:$J$2583,AF$1)</f>
        <v>0</v>
      </c>
      <c r="AG34" s="76">
        <f>SUMIFS('ноябрь 2025'!$G$2:$G$2583,'ноябрь 2025'!$D$2:$D$2583,$B34,'ноябрь 2025'!$J$2:$J$2583,AG$1)</f>
        <v>0</v>
      </c>
      <c r="AH34" s="76">
        <f>SUMIFS('ноябрь 2025'!$G$2:$G$2583,'ноябрь 2025'!$D$2:$D$2583,$B34,'ноябрь 2025'!$J$2:$J$2583,AH$1)</f>
        <v>0</v>
      </c>
      <c r="AI34" s="20">
        <f t="shared" si="1"/>
        <v>0</v>
      </c>
    </row>
    <row r="35" spans="2:35" ht="15" customHeight="1" x14ac:dyDescent="0.25">
      <c r="B35" s="125" t="s">
        <v>213</v>
      </c>
      <c r="C35" s="126">
        <v>25</v>
      </c>
      <c r="D35" s="182">
        <f>SUMIFS('ноябрь 2025'!$G$2:$G$2583,'ноябрь 2025'!$D$2:$D$2583,$B35,'ноябрь 2025'!$J$2:$J$2583,D$1)</f>
        <v>0</v>
      </c>
      <c r="E35" s="182">
        <f>SUMIFS('ноябрь 2025'!$G$2:$G$2583,'ноябрь 2025'!$D$2:$D$2583,$B35,'ноябрь 2025'!$J$2:$J$2583,E$1)</f>
        <v>0</v>
      </c>
      <c r="F35" s="182">
        <f>SUMIFS('ноябрь 2025'!$G$2:$G$2583,'ноябрь 2025'!$D$2:$D$2583,$B35,'ноябрь 2025'!$J$2:$J$2583,F$1)</f>
        <v>0</v>
      </c>
      <c r="G35" s="182">
        <f>SUMIFS('ноябрь 2025'!$G$2:$G$2583,'ноябрь 2025'!$D$2:$D$2583,$B35,'ноябрь 2025'!$J$2:$J$2583,G$1)</f>
        <v>0</v>
      </c>
      <c r="H35" s="182">
        <f>SUMIFS('ноябрь 2025'!$G$2:$G$2583,'ноябрь 2025'!$D$2:$D$2583,$B35,'ноябрь 2025'!$J$2:$J$2583,H$1)</f>
        <v>0</v>
      </c>
      <c r="I35" s="182">
        <f>SUMIFS('ноябрь 2025'!$G$2:$G$2583,'ноябрь 2025'!$D$2:$D$2583,$B35,'ноябрь 2025'!$J$2:$J$2583,I$1)</f>
        <v>0</v>
      </c>
      <c r="J35" s="182">
        <f>SUMIFS('ноябрь 2025'!$G$2:$G$2583,'ноябрь 2025'!$D$2:$D$2583,$B35,'ноябрь 2025'!$J$2:$J$2583,J$1)</f>
        <v>0</v>
      </c>
      <c r="K35" s="182">
        <f>SUMIFS('ноябрь 2025'!$G$2:$G$2583,'ноябрь 2025'!$D$2:$D$2583,$B35,'ноябрь 2025'!$J$2:$J$2583,K$1)</f>
        <v>0</v>
      </c>
      <c r="L35" s="182">
        <f>SUMIFS('ноябрь 2025'!$G$2:$G$2583,'ноябрь 2025'!$D$2:$D$2583,$B35,'ноябрь 2025'!$J$2:$J$2583,L$1)</f>
        <v>0</v>
      </c>
      <c r="M35" s="182">
        <f>SUMIFS('ноябрь 2025'!$G$2:$G$2583,'ноябрь 2025'!$D$2:$D$2583,$B35,'ноябрь 2025'!$J$2:$J$2583,M$1)</f>
        <v>0</v>
      </c>
      <c r="N35" s="182">
        <f>SUMIFS('ноябрь 2025'!$G$2:$G$2583,'ноябрь 2025'!$D$2:$D$2583,$B35,'ноябрь 2025'!$J$2:$J$2583,N$1)</f>
        <v>0</v>
      </c>
      <c r="O35" s="182">
        <f>SUMIFS('ноябрь 2025'!$G$2:$G$2583,'ноябрь 2025'!$D$2:$D$2583,$B35,'ноябрь 2025'!$J$2:$J$2583,O$1)</f>
        <v>0</v>
      </c>
      <c r="P35" s="182">
        <f>SUMIFS('ноябрь 2025'!$G$2:$G$2583,'ноябрь 2025'!$D$2:$D$2583,$B35,'ноябрь 2025'!$J$2:$J$2583,P$1)</f>
        <v>0</v>
      </c>
      <c r="Q35" s="182">
        <f>SUMIFS('ноябрь 2025'!$G$2:$G$2583,'ноябрь 2025'!$D$2:$D$2583,$B35,'ноябрь 2025'!$J$2:$J$2583,Q$1)</f>
        <v>0</v>
      </c>
      <c r="R35" s="182">
        <f>SUMIFS('ноябрь 2025'!$G$2:$G$2583,'ноябрь 2025'!$D$2:$D$2583,$B35,'ноябрь 2025'!$J$2:$J$2583,R$1)</f>
        <v>0</v>
      </c>
      <c r="S35" s="182">
        <f>SUMIFS('ноябрь 2025'!$G$2:$G$2583,'ноябрь 2025'!$D$2:$D$2583,$B35,'ноябрь 2025'!$J$2:$J$2583,S$1)</f>
        <v>0</v>
      </c>
      <c r="T35" s="182">
        <f>SUMIFS('ноябрь 2025'!$G$2:$G$2583,'ноябрь 2025'!$D$2:$D$2583,$B35,'ноябрь 2025'!$J$2:$J$2583,T$1)</f>
        <v>0</v>
      </c>
      <c r="U35" s="182">
        <f>SUMIFS('ноябрь 2025'!$G$2:$G$2583,'ноябрь 2025'!$D$2:$D$2583,$B35,'ноябрь 2025'!$J$2:$J$2583,U$1)</f>
        <v>0</v>
      </c>
      <c r="V35" s="182">
        <f>SUMIFS('ноябрь 2025'!$G$2:$G$2583,'ноябрь 2025'!$D$2:$D$2583,$B35,'ноябрь 2025'!$J$2:$J$2583,V$1)</f>
        <v>0</v>
      </c>
      <c r="W35" s="182">
        <f>SUMIFS('ноябрь 2025'!$G$2:$G$2583,'ноябрь 2025'!$D$2:$D$2583,$B35,'ноябрь 2025'!$J$2:$J$2583,W$1)</f>
        <v>0</v>
      </c>
      <c r="X35" s="182">
        <f>SUMIFS('ноябрь 2025'!$G$2:$G$2583,'ноябрь 2025'!$D$2:$D$2583,$B35,'ноябрь 2025'!$J$2:$J$2583,X$1)</f>
        <v>0</v>
      </c>
      <c r="Y35" s="182">
        <f>SUMIFS('ноябрь 2025'!$G$2:$G$2583,'ноябрь 2025'!$D$2:$D$2583,$B35,'ноябрь 2025'!$J$2:$J$2583,Y$1)</f>
        <v>0</v>
      </c>
      <c r="Z35" s="182">
        <f>SUMIFS('ноябрь 2025'!$G$2:$G$2583,'ноябрь 2025'!$D$2:$D$2583,$B35,'ноябрь 2025'!$J$2:$J$2583,Z$1)</f>
        <v>0</v>
      </c>
      <c r="AA35" s="182">
        <f>SUMIFS('ноябрь 2025'!$G$2:$G$2583,'ноябрь 2025'!$D$2:$D$2583,$B35,'ноябрь 2025'!$J$2:$J$2583,AA$1)</f>
        <v>0</v>
      </c>
      <c r="AB35" s="182">
        <f>SUMIFS('ноябрь 2025'!$G$2:$G$2583,'ноябрь 2025'!$D$2:$D$2583,$B35,'ноябрь 2025'!$J$2:$J$2583,AB$1)</f>
        <v>0</v>
      </c>
      <c r="AC35" s="182">
        <f>SUMIFS('ноябрь 2025'!$G$2:$G$2583,'ноябрь 2025'!$D$2:$D$2583,$B35,'ноябрь 2025'!$J$2:$J$2583,AC$1)</f>
        <v>0</v>
      </c>
      <c r="AD35" s="182">
        <f>SUMIFS('ноябрь 2025'!$G$2:$G$2583,'ноябрь 2025'!$D$2:$D$2583,$B35,'ноябрь 2025'!$J$2:$J$2583,AD$1)</f>
        <v>0</v>
      </c>
      <c r="AE35" s="182">
        <f>SUMIFS('ноябрь 2025'!$G$2:$G$2583,'ноябрь 2025'!$D$2:$D$2583,$B35,'ноябрь 2025'!$J$2:$J$2583,AE$1)</f>
        <v>0</v>
      </c>
      <c r="AF35" s="182">
        <f>SUMIFS('ноябрь 2025'!$G$2:$G$2583,'ноябрь 2025'!$D$2:$D$2583,$B35,'ноябрь 2025'!$J$2:$J$2583,AF$1)</f>
        <v>0</v>
      </c>
      <c r="AG35" s="182">
        <f>SUMIFS('ноябрь 2025'!$G$2:$G$2583,'ноябрь 2025'!$D$2:$D$2583,$B35,'ноябрь 2025'!$J$2:$J$2583,AG$1)</f>
        <v>0</v>
      </c>
      <c r="AH35" s="182">
        <f>SUMIFS('ноябрь 2025'!$G$2:$G$2583,'ноябрь 2025'!$D$2:$D$2583,$B35,'ноябрь 2025'!$J$2:$J$2583,AH$1)</f>
        <v>0</v>
      </c>
      <c r="AI35" s="20">
        <f t="shared" si="1"/>
        <v>0</v>
      </c>
    </row>
    <row r="36" spans="2:35" ht="15" customHeight="1" x14ac:dyDescent="0.25">
      <c r="B36" s="127" t="s">
        <v>215</v>
      </c>
      <c r="C36" s="126">
        <v>25</v>
      </c>
      <c r="D36" s="182">
        <f>SUMIFS('ноябрь 2025'!$G$2:$G$2583,'ноябрь 2025'!$D$2:$D$2583,$B36,'ноябрь 2025'!$J$2:$J$2583,D$1)</f>
        <v>0</v>
      </c>
      <c r="E36" s="182">
        <f>SUMIFS('ноябрь 2025'!$G$2:$G$2583,'ноябрь 2025'!$D$2:$D$2583,$B36,'ноябрь 2025'!$J$2:$J$2583,E$1)</f>
        <v>0</v>
      </c>
      <c r="F36" s="182">
        <f>SUMIFS('ноябрь 2025'!$G$2:$G$2583,'ноябрь 2025'!$D$2:$D$2583,$B36,'ноябрь 2025'!$J$2:$J$2583,F$1)</f>
        <v>0</v>
      </c>
      <c r="G36" s="182">
        <f>SUMIFS('ноябрь 2025'!$G$2:$G$2583,'ноябрь 2025'!$D$2:$D$2583,$B36,'ноябрь 2025'!$J$2:$J$2583,G$1)</f>
        <v>0</v>
      </c>
      <c r="H36" s="182">
        <f>SUMIFS('ноябрь 2025'!$G$2:$G$2583,'ноябрь 2025'!$D$2:$D$2583,$B36,'ноябрь 2025'!$J$2:$J$2583,H$1)</f>
        <v>0</v>
      </c>
      <c r="I36" s="182">
        <f>SUMIFS('ноябрь 2025'!$G$2:$G$2583,'ноябрь 2025'!$D$2:$D$2583,$B36,'ноябрь 2025'!$J$2:$J$2583,I$1)</f>
        <v>0</v>
      </c>
      <c r="J36" s="182">
        <f>SUMIFS('ноябрь 2025'!$G$2:$G$2583,'ноябрь 2025'!$D$2:$D$2583,$B36,'ноябрь 2025'!$J$2:$J$2583,J$1)</f>
        <v>0</v>
      </c>
      <c r="K36" s="182">
        <f>SUMIFS('ноябрь 2025'!$G$2:$G$2583,'ноябрь 2025'!$D$2:$D$2583,$B36,'ноябрь 2025'!$J$2:$J$2583,K$1)</f>
        <v>0</v>
      </c>
      <c r="L36" s="182">
        <f>SUMIFS('ноябрь 2025'!$G$2:$G$2583,'ноябрь 2025'!$D$2:$D$2583,$B36,'ноябрь 2025'!$J$2:$J$2583,L$1)</f>
        <v>0</v>
      </c>
      <c r="M36" s="182">
        <f>SUMIFS('ноябрь 2025'!$G$2:$G$2583,'ноябрь 2025'!$D$2:$D$2583,$B36,'ноябрь 2025'!$J$2:$J$2583,M$1)</f>
        <v>0</v>
      </c>
      <c r="N36" s="182">
        <f>SUMIFS('ноябрь 2025'!$G$2:$G$2583,'ноябрь 2025'!$D$2:$D$2583,$B36,'ноябрь 2025'!$J$2:$J$2583,N$1)</f>
        <v>0</v>
      </c>
      <c r="O36" s="182">
        <f>SUMIFS('ноябрь 2025'!$G$2:$G$2583,'ноябрь 2025'!$D$2:$D$2583,$B36,'ноябрь 2025'!$J$2:$J$2583,O$1)</f>
        <v>0</v>
      </c>
      <c r="P36" s="182">
        <f>SUMIFS('ноябрь 2025'!$G$2:$G$2583,'ноябрь 2025'!$D$2:$D$2583,$B36,'ноябрь 2025'!$J$2:$J$2583,P$1)</f>
        <v>0</v>
      </c>
      <c r="Q36" s="182">
        <f>SUMIFS('ноябрь 2025'!$G$2:$G$2583,'ноябрь 2025'!$D$2:$D$2583,$B36,'ноябрь 2025'!$J$2:$J$2583,Q$1)</f>
        <v>0</v>
      </c>
      <c r="R36" s="182">
        <f>SUMIFS('ноябрь 2025'!$G$2:$G$2583,'ноябрь 2025'!$D$2:$D$2583,$B36,'ноябрь 2025'!$J$2:$J$2583,R$1)</f>
        <v>0</v>
      </c>
      <c r="S36" s="182">
        <f>SUMIFS('ноябрь 2025'!$G$2:$G$2583,'ноябрь 2025'!$D$2:$D$2583,$B36,'ноябрь 2025'!$J$2:$J$2583,S$1)</f>
        <v>0</v>
      </c>
      <c r="T36" s="182">
        <f>SUMIFS('ноябрь 2025'!$G$2:$G$2583,'ноябрь 2025'!$D$2:$D$2583,$B36,'ноябрь 2025'!$J$2:$J$2583,T$1)</f>
        <v>0</v>
      </c>
      <c r="U36" s="182">
        <f>SUMIFS('ноябрь 2025'!$G$2:$G$2583,'ноябрь 2025'!$D$2:$D$2583,$B36,'ноябрь 2025'!$J$2:$J$2583,U$1)</f>
        <v>0</v>
      </c>
      <c r="V36" s="182">
        <f>SUMIFS('ноябрь 2025'!$G$2:$G$2583,'ноябрь 2025'!$D$2:$D$2583,$B36,'ноябрь 2025'!$J$2:$J$2583,V$1)</f>
        <v>0</v>
      </c>
      <c r="W36" s="182">
        <f>SUMIFS('ноябрь 2025'!$G$2:$G$2583,'ноябрь 2025'!$D$2:$D$2583,$B36,'ноябрь 2025'!$J$2:$J$2583,W$1)</f>
        <v>0</v>
      </c>
      <c r="X36" s="182">
        <f>SUMIFS('ноябрь 2025'!$G$2:$G$2583,'ноябрь 2025'!$D$2:$D$2583,$B36,'ноябрь 2025'!$J$2:$J$2583,X$1)</f>
        <v>0</v>
      </c>
      <c r="Y36" s="182">
        <f>SUMIFS('ноябрь 2025'!$G$2:$G$2583,'ноябрь 2025'!$D$2:$D$2583,$B36,'ноябрь 2025'!$J$2:$J$2583,Y$1)</f>
        <v>0</v>
      </c>
      <c r="Z36" s="182">
        <f>SUMIFS('ноябрь 2025'!$G$2:$G$2583,'ноябрь 2025'!$D$2:$D$2583,$B36,'ноябрь 2025'!$J$2:$J$2583,Z$1)</f>
        <v>0</v>
      </c>
      <c r="AA36" s="182">
        <f>SUMIFS('ноябрь 2025'!$G$2:$G$2583,'ноябрь 2025'!$D$2:$D$2583,$B36,'ноябрь 2025'!$J$2:$J$2583,AA$1)</f>
        <v>0</v>
      </c>
      <c r="AB36" s="182">
        <f>SUMIFS('ноябрь 2025'!$G$2:$G$2583,'ноябрь 2025'!$D$2:$D$2583,$B36,'ноябрь 2025'!$J$2:$J$2583,AB$1)</f>
        <v>0</v>
      </c>
      <c r="AC36" s="182">
        <f>SUMIFS('ноябрь 2025'!$G$2:$G$2583,'ноябрь 2025'!$D$2:$D$2583,$B36,'ноябрь 2025'!$J$2:$J$2583,AC$1)</f>
        <v>0</v>
      </c>
      <c r="AD36" s="182">
        <f>SUMIFS('ноябрь 2025'!$G$2:$G$2583,'ноябрь 2025'!$D$2:$D$2583,$B36,'ноябрь 2025'!$J$2:$J$2583,AD$1)</f>
        <v>0</v>
      </c>
      <c r="AE36" s="182">
        <f>SUMIFS('ноябрь 2025'!$G$2:$G$2583,'ноябрь 2025'!$D$2:$D$2583,$B36,'ноябрь 2025'!$J$2:$J$2583,AE$1)</f>
        <v>0</v>
      </c>
      <c r="AF36" s="182">
        <f>SUMIFS('ноябрь 2025'!$G$2:$G$2583,'ноябрь 2025'!$D$2:$D$2583,$B36,'ноябрь 2025'!$J$2:$J$2583,AF$1)</f>
        <v>0</v>
      </c>
      <c r="AG36" s="182">
        <f>SUMIFS('ноябрь 2025'!$G$2:$G$2583,'ноябрь 2025'!$D$2:$D$2583,$B36,'ноябрь 2025'!$J$2:$J$2583,AG$1)</f>
        <v>0</v>
      </c>
      <c r="AH36" s="182">
        <f>SUMIFS('ноябрь 2025'!$G$2:$G$2583,'ноябрь 2025'!$D$2:$D$2583,$B36,'ноябрь 2025'!$J$2:$J$2583,AH$1)</f>
        <v>0</v>
      </c>
      <c r="AI36" s="20">
        <f t="shared" si="1"/>
        <v>0</v>
      </c>
    </row>
    <row r="37" spans="2:35" ht="15" customHeight="1" x14ac:dyDescent="0.25">
      <c r="B37" s="128" t="s">
        <v>384</v>
      </c>
      <c r="C37" s="126">
        <v>25</v>
      </c>
      <c r="D37" s="182">
        <f>SUMIFS('ноябрь 2025'!$G$2:$G$2583,'ноябрь 2025'!$D$2:$D$2583,$B37,'ноябрь 2025'!$J$2:$J$2583,D$1)</f>
        <v>0</v>
      </c>
      <c r="E37" s="182">
        <f>SUMIFS('ноябрь 2025'!$G$2:$G$2583,'ноябрь 2025'!$D$2:$D$2583,$B37,'ноябрь 2025'!$J$2:$J$2583,E$1)</f>
        <v>0</v>
      </c>
      <c r="F37" s="182">
        <f>SUMIFS('ноябрь 2025'!$G$2:$G$2583,'ноябрь 2025'!$D$2:$D$2583,$B37,'ноябрь 2025'!$J$2:$J$2583,F$1)</f>
        <v>0</v>
      </c>
      <c r="G37" s="182">
        <f>SUMIFS('ноябрь 2025'!$G$2:$G$2583,'ноябрь 2025'!$D$2:$D$2583,$B37,'ноябрь 2025'!$J$2:$J$2583,G$1)</f>
        <v>0</v>
      </c>
      <c r="H37" s="182">
        <f>SUMIFS('ноябрь 2025'!$G$2:$G$2583,'ноябрь 2025'!$D$2:$D$2583,$B37,'ноябрь 2025'!$J$2:$J$2583,H$1)</f>
        <v>0</v>
      </c>
      <c r="I37" s="182">
        <f>SUMIFS('ноябрь 2025'!$G$2:$G$2583,'ноябрь 2025'!$D$2:$D$2583,$B37,'ноябрь 2025'!$J$2:$J$2583,I$1)</f>
        <v>0</v>
      </c>
      <c r="J37" s="182">
        <f>SUMIFS('ноябрь 2025'!$G$2:$G$2583,'ноябрь 2025'!$D$2:$D$2583,$B37,'ноябрь 2025'!$J$2:$J$2583,J$1)</f>
        <v>0</v>
      </c>
      <c r="K37" s="182">
        <f>SUMIFS('ноябрь 2025'!$G$2:$G$2583,'ноябрь 2025'!$D$2:$D$2583,$B37,'ноябрь 2025'!$J$2:$J$2583,K$1)</f>
        <v>0</v>
      </c>
      <c r="L37" s="182">
        <f>SUMIFS('ноябрь 2025'!$G$2:$G$2583,'ноябрь 2025'!$D$2:$D$2583,$B37,'ноябрь 2025'!$J$2:$J$2583,L$1)</f>
        <v>0</v>
      </c>
      <c r="M37" s="182">
        <f>SUMIFS('ноябрь 2025'!$G$2:$G$2583,'ноябрь 2025'!$D$2:$D$2583,$B37,'ноябрь 2025'!$J$2:$J$2583,M$1)</f>
        <v>0</v>
      </c>
      <c r="N37" s="182">
        <f>SUMIFS('ноябрь 2025'!$G$2:$G$2583,'ноябрь 2025'!$D$2:$D$2583,$B37,'ноябрь 2025'!$J$2:$J$2583,N$1)</f>
        <v>0</v>
      </c>
      <c r="O37" s="182">
        <f>SUMIFS('ноябрь 2025'!$G$2:$G$2583,'ноябрь 2025'!$D$2:$D$2583,$B37,'ноябрь 2025'!$J$2:$J$2583,O$1)</f>
        <v>0</v>
      </c>
      <c r="P37" s="182">
        <f>SUMIFS('ноябрь 2025'!$G$2:$G$2583,'ноябрь 2025'!$D$2:$D$2583,$B37,'ноябрь 2025'!$J$2:$J$2583,P$1)</f>
        <v>0</v>
      </c>
      <c r="Q37" s="182">
        <f>SUMIFS('ноябрь 2025'!$G$2:$G$2583,'ноябрь 2025'!$D$2:$D$2583,$B37,'ноябрь 2025'!$J$2:$J$2583,Q$1)</f>
        <v>0</v>
      </c>
      <c r="R37" s="182">
        <f>SUMIFS('ноябрь 2025'!$G$2:$G$2583,'ноябрь 2025'!$D$2:$D$2583,$B37,'ноябрь 2025'!$J$2:$J$2583,R$1)</f>
        <v>0</v>
      </c>
      <c r="S37" s="182">
        <f>SUMIFS('ноябрь 2025'!$G$2:$G$2583,'ноябрь 2025'!$D$2:$D$2583,$B37,'ноябрь 2025'!$J$2:$J$2583,S$1)</f>
        <v>0</v>
      </c>
      <c r="T37" s="182">
        <f>SUMIFS('ноябрь 2025'!$G$2:$G$2583,'ноябрь 2025'!$D$2:$D$2583,$B37,'ноябрь 2025'!$J$2:$J$2583,T$1)</f>
        <v>0</v>
      </c>
      <c r="U37" s="182">
        <f>SUMIFS('ноябрь 2025'!$G$2:$G$2583,'ноябрь 2025'!$D$2:$D$2583,$B37,'ноябрь 2025'!$J$2:$J$2583,U$1)</f>
        <v>0</v>
      </c>
      <c r="V37" s="182">
        <f>SUMIFS('ноябрь 2025'!$G$2:$G$2583,'ноябрь 2025'!$D$2:$D$2583,$B37,'ноябрь 2025'!$J$2:$J$2583,V$1)</f>
        <v>0</v>
      </c>
      <c r="W37" s="182">
        <f>SUMIFS('ноябрь 2025'!$G$2:$G$2583,'ноябрь 2025'!$D$2:$D$2583,$B37,'ноябрь 2025'!$J$2:$J$2583,W$1)</f>
        <v>0</v>
      </c>
      <c r="X37" s="182">
        <f>SUMIFS('ноябрь 2025'!$G$2:$G$2583,'ноябрь 2025'!$D$2:$D$2583,$B37,'ноябрь 2025'!$J$2:$J$2583,X$1)</f>
        <v>0</v>
      </c>
      <c r="Y37" s="182">
        <f>SUMIFS('ноябрь 2025'!$G$2:$G$2583,'ноябрь 2025'!$D$2:$D$2583,$B37,'ноябрь 2025'!$J$2:$J$2583,Y$1)</f>
        <v>0</v>
      </c>
      <c r="Z37" s="182">
        <f>SUMIFS('ноябрь 2025'!$G$2:$G$2583,'ноябрь 2025'!$D$2:$D$2583,$B37,'ноябрь 2025'!$J$2:$J$2583,Z$1)</f>
        <v>0</v>
      </c>
      <c r="AA37" s="182">
        <f>SUMIFS('ноябрь 2025'!$G$2:$G$2583,'ноябрь 2025'!$D$2:$D$2583,$B37,'ноябрь 2025'!$J$2:$J$2583,AA$1)</f>
        <v>0</v>
      </c>
      <c r="AB37" s="182">
        <f>SUMIFS('ноябрь 2025'!$G$2:$G$2583,'ноябрь 2025'!$D$2:$D$2583,$B37,'ноябрь 2025'!$J$2:$J$2583,AB$1)</f>
        <v>0</v>
      </c>
      <c r="AC37" s="182">
        <f>SUMIFS('ноябрь 2025'!$G$2:$G$2583,'ноябрь 2025'!$D$2:$D$2583,$B37,'ноябрь 2025'!$J$2:$J$2583,AC$1)</f>
        <v>0</v>
      </c>
      <c r="AD37" s="182">
        <f>SUMIFS('ноябрь 2025'!$G$2:$G$2583,'ноябрь 2025'!$D$2:$D$2583,$B37,'ноябрь 2025'!$J$2:$J$2583,AD$1)</f>
        <v>0</v>
      </c>
      <c r="AE37" s="182">
        <f>SUMIFS('ноябрь 2025'!$G$2:$G$2583,'ноябрь 2025'!$D$2:$D$2583,$B37,'ноябрь 2025'!$J$2:$J$2583,AE$1)</f>
        <v>0</v>
      </c>
      <c r="AF37" s="182">
        <f>SUMIFS('ноябрь 2025'!$G$2:$G$2583,'ноябрь 2025'!$D$2:$D$2583,$B37,'ноябрь 2025'!$J$2:$J$2583,AF$1)</f>
        <v>0</v>
      </c>
      <c r="AG37" s="182">
        <f>SUMIFS('ноябрь 2025'!$G$2:$G$2583,'ноябрь 2025'!$D$2:$D$2583,$B37,'ноябрь 2025'!$J$2:$J$2583,AG$1)</f>
        <v>0</v>
      </c>
      <c r="AH37" s="182">
        <f>SUMIFS('ноябрь 2025'!$G$2:$G$2583,'ноябрь 2025'!$D$2:$D$2583,$B37,'ноябрь 2025'!$J$2:$J$2583,AH$1)</f>
        <v>0</v>
      </c>
      <c r="AI37" s="20">
        <f t="shared" si="1"/>
        <v>0</v>
      </c>
    </row>
    <row r="38" spans="2:35" ht="15" customHeight="1" x14ac:dyDescent="0.25">
      <c r="B38" s="128" t="s">
        <v>217</v>
      </c>
      <c r="C38" s="126">
        <v>25</v>
      </c>
      <c r="D38" s="182">
        <f>SUMIFS('ноябрь 2025'!$G$2:$G$2583,'ноябрь 2025'!$D$2:$D$2583,$B38,'ноябрь 2025'!$J$2:$J$2583,D$1)</f>
        <v>80</v>
      </c>
      <c r="E38" s="182">
        <f>SUMIFS('ноябрь 2025'!$G$2:$G$2583,'ноябрь 2025'!$D$2:$D$2583,$B38,'ноябрь 2025'!$J$2:$J$2583,E$1)</f>
        <v>0</v>
      </c>
      <c r="F38" s="182">
        <f>SUMIFS('ноябрь 2025'!$G$2:$G$2583,'ноябрь 2025'!$D$2:$D$2583,$B38,'ноябрь 2025'!$J$2:$J$2583,F$1)</f>
        <v>0</v>
      </c>
      <c r="G38" s="182">
        <f>SUMIFS('ноябрь 2025'!$G$2:$G$2583,'ноябрь 2025'!$D$2:$D$2583,$B38,'ноябрь 2025'!$J$2:$J$2583,G$1)</f>
        <v>0</v>
      </c>
      <c r="H38" s="182">
        <f>SUMIFS('ноябрь 2025'!$G$2:$G$2583,'ноябрь 2025'!$D$2:$D$2583,$B38,'ноябрь 2025'!$J$2:$J$2583,H$1)</f>
        <v>0</v>
      </c>
      <c r="I38" s="182">
        <f>SUMIFS('ноябрь 2025'!$G$2:$G$2583,'ноябрь 2025'!$D$2:$D$2583,$B38,'ноябрь 2025'!$J$2:$J$2583,I$1)</f>
        <v>0</v>
      </c>
      <c r="J38" s="182">
        <f>SUMIFS('ноябрь 2025'!$G$2:$G$2583,'ноябрь 2025'!$D$2:$D$2583,$B38,'ноябрь 2025'!$J$2:$J$2583,J$1)</f>
        <v>0</v>
      </c>
      <c r="K38" s="182">
        <f>SUMIFS('ноябрь 2025'!$G$2:$G$2583,'ноябрь 2025'!$D$2:$D$2583,$B38,'ноябрь 2025'!$J$2:$J$2583,K$1)</f>
        <v>0</v>
      </c>
      <c r="L38" s="182">
        <f>SUMIFS('ноябрь 2025'!$G$2:$G$2583,'ноябрь 2025'!$D$2:$D$2583,$B38,'ноябрь 2025'!$J$2:$J$2583,L$1)</f>
        <v>0</v>
      </c>
      <c r="M38" s="182">
        <f>SUMIFS('ноябрь 2025'!$G$2:$G$2583,'ноябрь 2025'!$D$2:$D$2583,$B38,'ноябрь 2025'!$J$2:$J$2583,M$1)</f>
        <v>0</v>
      </c>
      <c r="N38" s="182">
        <f>SUMIFS('ноябрь 2025'!$G$2:$G$2583,'ноябрь 2025'!$D$2:$D$2583,$B38,'ноябрь 2025'!$J$2:$J$2583,N$1)</f>
        <v>0</v>
      </c>
      <c r="O38" s="182">
        <f>SUMIFS('ноябрь 2025'!$G$2:$G$2583,'ноябрь 2025'!$D$2:$D$2583,$B38,'ноябрь 2025'!$J$2:$J$2583,O$1)</f>
        <v>0</v>
      </c>
      <c r="P38" s="182">
        <f>SUMIFS('ноябрь 2025'!$G$2:$G$2583,'ноябрь 2025'!$D$2:$D$2583,$B38,'ноябрь 2025'!$J$2:$J$2583,P$1)</f>
        <v>0</v>
      </c>
      <c r="Q38" s="182">
        <f>SUMIFS('ноябрь 2025'!$G$2:$G$2583,'ноябрь 2025'!$D$2:$D$2583,$B38,'ноябрь 2025'!$J$2:$J$2583,Q$1)</f>
        <v>0</v>
      </c>
      <c r="R38" s="182">
        <f>SUMIFS('ноябрь 2025'!$G$2:$G$2583,'ноябрь 2025'!$D$2:$D$2583,$B38,'ноябрь 2025'!$J$2:$J$2583,R$1)</f>
        <v>0</v>
      </c>
      <c r="S38" s="182">
        <f>SUMIFS('ноябрь 2025'!$G$2:$G$2583,'ноябрь 2025'!$D$2:$D$2583,$B38,'ноябрь 2025'!$J$2:$J$2583,S$1)</f>
        <v>0</v>
      </c>
      <c r="T38" s="182">
        <f>SUMIFS('ноябрь 2025'!$G$2:$G$2583,'ноябрь 2025'!$D$2:$D$2583,$B38,'ноябрь 2025'!$J$2:$J$2583,T$1)</f>
        <v>0</v>
      </c>
      <c r="U38" s="182">
        <f>SUMIFS('ноябрь 2025'!$G$2:$G$2583,'ноябрь 2025'!$D$2:$D$2583,$B38,'ноябрь 2025'!$J$2:$J$2583,U$1)</f>
        <v>0</v>
      </c>
      <c r="V38" s="182">
        <f>SUMIFS('ноябрь 2025'!$G$2:$G$2583,'ноябрь 2025'!$D$2:$D$2583,$B38,'ноябрь 2025'!$J$2:$J$2583,V$1)</f>
        <v>0</v>
      </c>
      <c r="W38" s="182">
        <f>SUMIFS('ноябрь 2025'!$G$2:$G$2583,'ноябрь 2025'!$D$2:$D$2583,$B38,'ноябрь 2025'!$J$2:$J$2583,W$1)</f>
        <v>0</v>
      </c>
      <c r="X38" s="182">
        <f>SUMIFS('ноябрь 2025'!$G$2:$G$2583,'ноябрь 2025'!$D$2:$D$2583,$B38,'ноябрь 2025'!$J$2:$J$2583,X$1)</f>
        <v>0</v>
      </c>
      <c r="Y38" s="182">
        <f>SUMIFS('ноябрь 2025'!$G$2:$G$2583,'ноябрь 2025'!$D$2:$D$2583,$B38,'ноябрь 2025'!$J$2:$J$2583,Y$1)</f>
        <v>0</v>
      </c>
      <c r="Z38" s="182">
        <f>SUMIFS('ноябрь 2025'!$G$2:$G$2583,'ноябрь 2025'!$D$2:$D$2583,$B38,'ноябрь 2025'!$J$2:$J$2583,Z$1)</f>
        <v>0</v>
      </c>
      <c r="AA38" s="182">
        <f>SUMIFS('ноябрь 2025'!$G$2:$G$2583,'ноябрь 2025'!$D$2:$D$2583,$B38,'ноябрь 2025'!$J$2:$J$2583,AA$1)</f>
        <v>0</v>
      </c>
      <c r="AB38" s="182">
        <f>SUMIFS('ноябрь 2025'!$G$2:$G$2583,'ноябрь 2025'!$D$2:$D$2583,$B38,'ноябрь 2025'!$J$2:$J$2583,AB$1)</f>
        <v>0</v>
      </c>
      <c r="AC38" s="182">
        <f>SUMIFS('ноябрь 2025'!$G$2:$G$2583,'ноябрь 2025'!$D$2:$D$2583,$B38,'ноябрь 2025'!$J$2:$J$2583,AC$1)</f>
        <v>0</v>
      </c>
      <c r="AD38" s="182">
        <f>SUMIFS('ноябрь 2025'!$G$2:$G$2583,'ноябрь 2025'!$D$2:$D$2583,$B38,'ноябрь 2025'!$J$2:$J$2583,AD$1)</f>
        <v>0</v>
      </c>
      <c r="AE38" s="182">
        <f>SUMIFS('ноябрь 2025'!$G$2:$G$2583,'ноябрь 2025'!$D$2:$D$2583,$B38,'ноябрь 2025'!$J$2:$J$2583,AE$1)</f>
        <v>0</v>
      </c>
      <c r="AF38" s="182">
        <f>SUMIFS('ноябрь 2025'!$G$2:$G$2583,'ноябрь 2025'!$D$2:$D$2583,$B38,'ноябрь 2025'!$J$2:$J$2583,AF$1)</f>
        <v>0</v>
      </c>
      <c r="AG38" s="182">
        <f>SUMIFS('ноябрь 2025'!$G$2:$G$2583,'ноябрь 2025'!$D$2:$D$2583,$B38,'ноябрь 2025'!$J$2:$J$2583,AG$1)</f>
        <v>0</v>
      </c>
      <c r="AH38" s="182">
        <f>SUMIFS('ноябрь 2025'!$G$2:$G$2583,'ноябрь 2025'!$D$2:$D$2583,$B38,'ноябрь 2025'!$J$2:$J$2583,AH$1)</f>
        <v>0</v>
      </c>
      <c r="AI38" s="20">
        <f t="shared" si="1"/>
        <v>80</v>
      </c>
    </row>
    <row r="39" spans="2:35" ht="15" customHeight="1" x14ac:dyDescent="0.25">
      <c r="B39" s="129" t="s">
        <v>219</v>
      </c>
      <c r="C39" s="130">
        <v>25</v>
      </c>
      <c r="D39" s="182">
        <f>SUMIFS('ноябрь 2025'!$G$2:$G$2583,'ноябрь 2025'!$D$2:$D$2583,$B39,'ноябрь 2025'!$J$2:$J$2583,D$1)</f>
        <v>0</v>
      </c>
      <c r="E39" s="182">
        <f>SUMIFS('ноябрь 2025'!$G$2:$G$2583,'ноябрь 2025'!$D$2:$D$2583,$B39,'ноябрь 2025'!$J$2:$J$2583,E$1)</f>
        <v>0</v>
      </c>
      <c r="F39" s="182">
        <f>SUMIFS('ноябрь 2025'!$G$2:$G$2583,'ноябрь 2025'!$D$2:$D$2583,$B39,'ноябрь 2025'!$J$2:$J$2583,F$1)</f>
        <v>0</v>
      </c>
      <c r="G39" s="182">
        <f>SUMIFS('ноябрь 2025'!$G$2:$G$2583,'ноябрь 2025'!$D$2:$D$2583,$B39,'ноябрь 2025'!$J$2:$J$2583,G$1)</f>
        <v>0</v>
      </c>
      <c r="H39" s="182">
        <f>SUMIFS('ноябрь 2025'!$G$2:$G$2583,'ноябрь 2025'!$D$2:$D$2583,$B39,'ноябрь 2025'!$J$2:$J$2583,H$1)</f>
        <v>0</v>
      </c>
      <c r="I39" s="182">
        <f>SUMIFS('ноябрь 2025'!$G$2:$G$2583,'ноябрь 2025'!$D$2:$D$2583,$B39,'ноябрь 2025'!$J$2:$J$2583,I$1)</f>
        <v>0</v>
      </c>
      <c r="J39" s="182">
        <f>SUMIFS('ноябрь 2025'!$G$2:$G$2583,'ноябрь 2025'!$D$2:$D$2583,$B39,'ноябрь 2025'!$J$2:$J$2583,J$1)</f>
        <v>0</v>
      </c>
      <c r="K39" s="182">
        <f>SUMIFS('ноябрь 2025'!$G$2:$G$2583,'ноябрь 2025'!$D$2:$D$2583,$B39,'ноябрь 2025'!$J$2:$J$2583,K$1)</f>
        <v>0</v>
      </c>
      <c r="L39" s="182">
        <f>SUMIFS('ноябрь 2025'!$G$2:$G$2583,'ноябрь 2025'!$D$2:$D$2583,$B39,'ноябрь 2025'!$J$2:$J$2583,L$1)</f>
        <v>0</v>
      </c>
      <c r="M39" s="182">
        <f>SUMIFS('ноябрь 2025'!$G$2:$G$2583,'ноябрь 2025'!$D$2:$D$2583,$B39,'ноябрь 2025'!$J$2:$J$2583,M$1)</f>
        <v>0</v>
      </c>
      <c r="N39" s="182">
        <f>SUMIFS('ноябрь 2025'!$G$2:$G$2583,'ноябрь 2025'!$D$2:$D$2583,$B39,'ноябрь 2025'!$J$2:$J$2583,N$1)</f>
        <v>0</v>
      </c>
      <c r="O39" s="182">
        <f>SUMIFS('ноябрь 2025'!$G$2:$G$2583,'ноябрь 2025'!$D$2:$D$2583,$B39,'ноябрь 2025'!$J$2:$J$2583,O$1)</f>
        <v>0</v>
      </c>
      <c r="P39" s="182">
        <f>SUMIFS('ноябрь 2025'!$G$2:$G$2583,'ноябрь 2025'!$D$2:$D$2583,$B39,'ноябрь 2025'!$J$2:$J$2583,P$1)</f>
        <v>0</v>
      </c>
      <c r="Q39" s="182">
        <f>SUMIFS('ноябрь 2025'!$G$2:$G$2583,'ноябрь 2025'!$D$2:$D$2583,$B39,'ноябрь 2025'!$J$2:$J$2583,Q$1)</f>
        <v>0</v>
      </c>
      <c r="R39" s="182">
        <f>SUMIFS('ноябрь 2025'!$G$2:$G$2583,'ноябрь 2025'!$D$2:$D$2583,$B39,'ноябрь 2025'!$J$2:$J$2583,R$1)</f>
        <v>0</v>
      </c>
      <c r="S39" s="182">
        <f>SUMIFS('ноябрь 2025'!$G$2:$G$2583,'ноябрь 2025'!$D$2:$D$2583,$B39,'ноябрь 2025'!$J$2:$J$2583,S$1)</f>
        <v>0</v>
      </c>
      <c r="T39" s="182">
        <f>SUMIFS('ноябрь 2025'!$G$2:$G$2583,'ноябрь 2025'!$D$2:$D$2583,$B39,'ноябрь 2025'!$J$2:$J$2583,T$1)</f>
        <v>0</v>
      </c>
      <c r="U39" s="182">
        <f>SUMIFS('ноябрь 2025'!$G$2:$G$2583,'ноябрь 2025'!$D$2:$D$2583,$B39,'ноябрь 2025'!$J$2:$J$2583,U$1)</f>
        <v>0</v>
      </c>
      <c r="V39" s="182">
        <f>SUMIFS('ноябрь 2025'!$G$2:$G$2583,'ноябрь 2025'!$D$2:$D$2583,$B39,'ноябрь 2025'!$J$2:$J$2583,V$1)</f>
        <v>0</v>
      </c>
      <c r="W39" s="182">
        <f>SUMIFS('ноябрь 2025'!$G$2:$G$2583,'ноябрь 2025'!$D$2:$D$2583,$B39,'ноябрь 2025'!$J$2:$J$2583,W$1)</f>
        <v>0</v>
      </c>
      <c r="X39" s="182">
        <f>SUMIFS('ноябрь 2025'!$G$2:$G$2583,'ноябрь 2025'!$D$2:$D$2583,$B39,'ноябрь 2025'!$J$2:$J$2583,X$1)</f>
        <v>0</v>
      </c>
      <c r="Y39" s="182">
        <f>SUMIFS('ноябрь 2025'!$G$2:$G$2583,'ноябрь 2025'!$D$2:$D$2583,$B39,'ноябрь 2025'!$J$2:$J$2583,Y$1)</f>
        <v>0</v>
      </c>
      <c r="Z39" s="182">
        <f>SUMIFS('ноябрь 2025'!$G$2:$G$2583,'ноябрь 2025'!$D$2:$D$2583,$B39,'ноябрь 2025'!$J$2:$J$2583,Z$1)</f>
        <v>0</v>
      </c>
      <c r="AA39" s="182">
        <f>SUMIFS('ноябрь 2025'!$G$2:$G$2583,'ноябрь 2025'!$D$2:$D$2583,$B39,'ноябрь 2025'!$J$2:$J$2583,AA$1)</f>
        <v>0</v>
      </c>
      <c r="AB39" s="182">
        <f>SUMIFS('ноябрь 2025'!$G$2:$G$2583,'ноябрь 2025'!$D$2:$D$2583,$B39,'ноябрь 2025'!$J$2:$J$2583,AB$1)</f>
        <v>0</v>
      </c>
      <c r="AC39" s="182">
        <f>SUMIFS('ноябрь 2025'!$G$2:$G$2583,'ноябрь 2025'!$D$2:$D$2583,$B39,'ноябрь 2025'!$J$2:$J$2583,AC$1)</f>
        <v>0</v>
      </c>
      <c r="AD39" s="182">
        <f>SUMIFS('ноябрь 2025'!$G$2:$G$2583,'ноябрь 2025'!$D$2:$D$2583,$B39,'ноябрь 2025'!$J$2:$J$2583,AD$1)</f>
        <v>0</v>
      </c>
      <c r="AE39" s="182">
        <f>SUMIFS('ноябрь 2025'!$G$2:$G$2583,'ноябрь 2025'!$D$2:$D$2583,$B39,'ноябрь 2025'!$J$2:$J$2583,AE$1)</f>
        <v>0</v>
      </c>
      <c r="AF39" s="182">
        <f>SUMIFS('ноябрь 2025'!$G$2:$G$2583,'ноябрь 2025'!$D$2:$D$2583,$B39,'ноябрь 2025'!$J$2:$J$2583,AF$1)</f>
        <v>0</v>
      </c>
      <c r="AG39" s="182">
        <f>SUMIFS('ноябрь 2025'!$G$2:$G$2583,'ноябрь 2025'!$D$2:$D$2583,$B39,'ноябрь 2025'!$J$2:$J$2583,AG$1)</f>
        <v>0</v>
      </c>
      <c r="AH39" s="182">
        <f>SUMIFS('ноябрь 2025'!$G$2:$G$2583,'ноябрь 2025'!$D$2:$D$2583,$B39,'ноябрь 2025'!$J$2:$J$2583,AH$1)</f>
        <v>0</v>
      </c>
      <c r="AI39" s="20">
        <f t="shared" si="1"/>
        <v>0</v>
      </c>
    </row>
    <row r="40" spans="2:35" ht="15" customHeight="1" x14ac:dyDescent="0.25">
      <c r="B40" s="131" t="s">
        <v>221</v>
      </c>
      <c r="C40" s="132">
        <v>22.68</v>
      </c>
      <c r="D40" s="182">
        <f>SUMIFS('ноябрь 2025'!$G$2:$G$2583,'ноябрь 2025'!$D$2:$D$2583,$B40,'ноябрь 2025'!$J$2:$J$2583,D$1)</f>
        <v>0</v>
      </c>
      <c r="E40" s="182">
        <f>SUMIFS('ноябрь 2025'!$G$2:$G$2583,'ноябрь 2025'!$D$2:$D$2583,$B40,'ноябрь 2025'!$J$2:$J$2583,E$1)</f>
        <v>0</v>
      </c>
      <c r="F40" s="182">
        <f>SUMIFS('ноябрь 2025'!$G$2:$G$2583,'ноябрь 2025'!$D$2:$D$2583,$B40,'ноябрь 2025'!$J$2:$J$2583,F$1)</f>
        <v>0</v>
      </c>
      <c r="G40" s="182">
        <f>SUMIFS('ноябрь 2025'!$G$2:$G$2583,'ноябрь 2025'!$D$2:$D$2583,$B40,'ноябрь 2025'!$J$2:$J$2583,G$1)</f>
        <v>0</v>
      </c>
      <c r="H40" s="182">
        <f>SUMIFS('ноябрь 2025'!$G$2:$G$2583,'ноябрь 2025'!$D$2:$D$2583,$B40,'ноябрь 2025'!$J$2:$J$2583,H$1)</f>
        <v>0</v>
      </c>
      <c r="I40" s="182">
        <f>SUMIFS('ноябрь 2025'!$G$2:$G$2583,'ноябрь 2025'!$D$2:$D$2583,$B40,'ноябрь 2025'!$J$2:$J$2583,I$1)</f>
        <v>0</v>
      </c>
      <c r="J40" s="182">
        <f>SUMIFS('ноябрь 2025'!$G$2:$G$2583,'ноябрь 2025'!$D$2:$D$2583,$B40,'ноябрь 2025'!$J$2:$J$2583,J$1)</f>
        <v>0</v>
      </c>
      <c r="K40" s="182">
        <f>SUMIFS('ноябрь 2025'!$G$2:$G$2583,'ноябрь 2025'!$D$2:$D$2583,$B40,'ноябрь 2025'!$J$2:$J$2583,K$1)</f>
        <v>0</v>
      </c>
      <c r="L40" s="182">
        <f>SUMIFS('ноябрь 2025'!$G$2:$G$2583,'ноябрь 2025'!$D$2:$D$2583,$B40,'ноябрь 2025'!$J$2:$J$2583,L$1)</f>
        <v>0</v>
      </c>
      <c r="M40" s="182">
        <f>SUMIFS('ноябрь 2025'!$G$2:$G$2583,'ноябрь 2025'!$D$2:$D$2583,$B40,'ноябрь 2025'!$J$2:$J$2583,M$1)</f>
        <v>0</v>
      </c>
      <c r="N40" s="182">
        <f>SUMIFS('ноябрь 2025'!$G$2:$G$2583,'ноябрь 2025'!$D$2:$D$2583,$B40,'ноябрь 2025'!$J$2:$J$2583,N$1)</f>
        <v>0</v>
      </c>
      <c r="O40" s="182">
        <f>SUMIFS('ноябрь 2025'!$G$2:$G$2583,'ноябрь 2025'!$D$2:$D$2583,$B40,'ноябрь 2025'!$J$2:$J$2583,O$1)</f>
        <v>0</v>
      </c>
      <c r="P40" s="182">
        <f>SUMIFS('ноябрь 2025'!$G$2:$G$2583,'ноябрь 2025'!$D$2:$D$2583,$B40,'ноябрь 2025'!$J$2:$J$2583,P$1)</f>
        <v>0</v>
      </c>
      <c r="Q40" s="182">
        <f>SUMIFS('ноябрь 2025'!$G$2:$G$2583,'ноябрь 2025'!$D$2:$D$2583,$B40,'ноябрь 2025'!$J$2:$J$2583,Q$1)</f>
        <v>0</v>
      </c>
      <c r="R40" s="182">
        <f>SUMIFS('ноябрь 2025'!$G$2:$G$2583,'ноябрь 2025'!$D$2:$D$2583,$B40,'ноябрь 2025'!$J$2:$J$2583,R$1)</f>
        <v>0</v>
      </c>
      <c r="S40" s="182">
        <f>SUMIFS('ноябрь 2025'!$G$2:$G$2583,'ноябрь 2025'!$D$2:$D$2583,$B40,'ноябрь 2025'!$J$2:$J$2583,S$1)</f>
        <v>0</v>
      </c>
      <c r="T40" s="182">
        <f>SUMIFS('ноябрь 2025'!$G$2:$G$2583,'ноябрь 2025'!$D$2:$D$2583,$B40,'ноябрь 2025'!$J$2:$J$2583,T$1)</f>
        <v>0</v>
      </c>
      <c r="U40" s="182">
        <f>SUMIFS('ноябрь 2025'!$G$2:$G$2583,'ноябрь 2025'!$D$2:$D$2583,$B40,'ноябрь 2025'!$J$2:$J$2583,U$1)</f>
        <v>0</v>
      </c>
      <c r="V40" s="182">
        <f>SUMIFS('ноябрь 2025'!$G$2:$G$2583,'ноябрь 2025'!$D$2:$D$2583,$B40,'ноябрь 2025'!$J$2:$J$2583,V$1)</f>
        <v>0</v>
      </c>
      <c r="W40" s="182">
        <f>SUMIFS('ноябрь 2025'!$G$2:$G$2583,'ноябрь 2025'!$D$2:$D$2583,$B40,'ноябрь 2025'!$J$2:$J$2583,W$1)</f>
        <v>0</v>
      </c>
      <c r="X40" s="182">
        <f>SUMIFS('ноябрь 2025'!$G$2:$G$2583,'ноябрь 2025'!$D$2:$D$2583,$B40,'ноябрь 2025'!$J$2:$J$2583,X$1)</f>
        <v>0</v>
      </c>
      <c r="Y40" s="182">
        <f>SUMIFS('ноябрь 2025'!$G$2:$G$2583,'ноябрь 2025'!$D$2:$D$2583,$B40,'ноябрь 2025'!$J$2:$J$2583,Y$1)</f>
        <v>0</v>
      </c>
      <c r="Z40" s="182">
        <f>SUMIFS('ноябрь 2025'!$G$2:$G$2583,'ноябрь 2025'!$D$2:$D$2583,$B40,'ноябрь 2025'!$J$2:$J$2583,Z$1)</f>
        <v>0</v>
      </c>
      <c r="AA40" s="182">
        <f>SUMIFS('ноябрь 2025'!$G$2:$G$2583,'ноябрь 2025'!$D$2:$D$2583,$B40,'ноябрь 2025'!$J$2:$J$2583,AA$1)</f>
        <v>0</v>
      </c>
      <c r="AB40" s="182">
        <f>SUMIFS('ноябрь 2025'!$G$2:$G$2583,'ноябрь 2025'!$D$2:$D$2583,$B40,'ноябрь 2025'!$J$2:$J$2583,AB$1)</f>
        <v>0</v>
      </c>
      <c r="AC40" s="182">
        <f>SUMIFS('ноябрь 2025'!$G$2:$G$2583,'ноябрь 2025'!$D$2:$D$2583,$B40,'ноябрь 2025'!$J$2:$J$2583,AC$1)</f>
        <v>0</v>
      </c>
      <c r="AD40" s="182">
        <f>SUMIFS('ноябрь 2025'!$G$2:$G$2583,'ноябрь 2025'!$D$2:$D$2583,$B40,'ноябрь 2025'!$J$2:$J$2583,AD$1)</f>
        <v>0</v>
      </c>
      <c r="AE40" s="182">
        <f>SUMIFS('ноябрь 2025'!$G$2:$G$2583,'ноябрь 2025'!$D$2:$D$2583,$B40,'ноябрь 2025'!$J$2:$J$2583,AE$1)</f>
        <v>0</v>
      </c>
      <c r="AF40" s="182">
        <f>SUMIFS('ноябрь 2025'!$G$2:$G$2583,'ноябрь 2025'!$D$2:$D$2583,$B40,'ноябрь 2025'!$J$2:$J$2583,AF$1)</f>
        <v>0</v>
      </c>
      <c r="AG40" s="182">
        <f>SUMIFS('ноябрь 2025'!$G$2:$G$2583,'ноябрь 2025'!$D$2:$D$2583,$B40,'ноябрь 2025'!$J$2:$J$2583,AG$1)</f>
        <v>0</v>
      </c>
      <c r="AH40" s="182">
        <f>SUMIFS('ноябрь 2025'!$G$2:$G$2583,'ноябрь 2025'!$D$2:$D$2583,$B40,'ноябрь 2025'!$J$2:$J$2583,AH$1)</f>
        <v>0</v>
      </c>
      <c r="AI40" s="20">
        <f t="shared" si="1"/>
        <v>0</v>
      </c>
    </row>
    <row r="41" spans="2:35" ht="15" customHeight="1" x14ac:dyDescent="0.25">
      <c r="B41" s="131" t="s">
        <v>1016</v>
      </c>
      <c r="C41" s="133">
        <v>20</v>
      </c>
      <c r="D41" s="182">
        <f>SUMIFS('ноябрь 2025'!$G$2:$G$2583,'ноябрь 2025'!$D$2:$D$2583,$B41,'ноябрь 2025'!$J$2:$J$2583,D$1)</f>
        <v>0</v>
      </c>
      <c r="E41" s="182">
        <f>SUMIFS('ноябрь 2025'!$G$2:$G$2583,'ноябрь 2025'!$D$2:$D$2583,$B41,'ноябрь 2025'!$J$2:$J$2583,E$1)</f>
        <v>0</v>
      </c>
      <c r="F41" s="182">
        <f>SUMIFS('ноябрь 2025'!$G$2:$G$2583,'ноябрь 2025'!$D$2:$D$2583,$B41,'ноябрь 2025'!$J$2:$J$2583,F$1)</f>
        <v>0</v>
      </c>
      <c r="G41" s="182">
        <f>SUMIFS('ноябрь 2025'!$G$2:$G$2583,'ноябрь 2025'!$D$2:$D$2583,$B41,'ноябрь 2025'!$J$2:$J$2583,G$1)</f>
        <v>0</v>
      </c>
      <c r="H41" s="182">
        <f>SUMIFS('ноябрь 2025'!$G$2:$G$2583,'ноябрь 2025'!$D$2:$D$2583,$B41,'ноябрь 2025'!$J$2:$J$2583,H$1)</f>
        <v>0</v>
      </c>
      <c r="I41" s="182">
        <f>SUMIFS('ноябрь 2025'!$G$2:$G$2583,'ноябрь 2025'!$D$2:$D$2583,$B41,'ноябрь 2025'!$J$2:$J$2583,I$1)</f>
        <v>0</v>
      </c>
      <c r="J41" s="182">
        <f>SUMIFS('ноябрь 2025'!$G$2:$G$2583,'ноябрь 2025'!$D$2:$D$2583,$B41,'ноябрь 2025'!$J$2:$J$2583,J$1)</f>
        <v>0</v>
      </c>
      <c r="K41" s="182">
        <f>SUMIFS('ноябрь 2025'!$G$2:$G$2583,'ноябрь 2025'!$D$2:$D$2583,$B41,'ноябрь 2025'!$J$2:$J$2583,K$1)</f>
        <v>0</v>
      </c>
      <c r="L41" s="182">
        <f>SUMIFS('ноябрь 2025'!$G$2:$G$2583,'ноябрь 2025'!$D$2:$D$2583,$B41,'ноябрь 2025'!$J$2:$J$2583,L$1)</f>
        <v>0</v>
      </c>
      <c r="M41" s="182">
        <f>SUMIFS('ноябрь 2025'!$G$2:$G$2583,'ноябрь 2025'!$D$2:$D$2583,$B41,'ноябрь 2025'!$J$2:$J$2583,M$1)</f>
        <v>0</v>
      </c>
      <c r="N41" s="182">
        <f>SUMIFS('ноябрь 2025'!$G$2:$G$2583,'ноябрь 2025'!$D$2:$D$2583,$B41,'ноябрь 2025'!$J$2:$J$2583,N$1)</f>
        <v>0</v>
      </c>
      <c r="O41" s="182">
        <f>SUMIFS('ноябрь 2025'!$G$2:$G$2583,'ноябрь 2025'!$D$2:$D$2583,$B41,'ноябрь 2025'!$J$2:$J$2583,O$1)</f>
        <v>0</v>
      </c>
      <c r="P41" s="182">
        <f>SUMIFS('ноябрь 2025'!$G$2:$G$2583,'ноябрь 2025'!$D$2:$D$2583,$B41,'ноябрь 2025'!$J$2:$J$2583,P$1)</f>
        <v>0</v>
      </c>
      <c r="Q41" s="182">
        <f>SUMIFS('ноябрь 2025'!$G$2:$G$2583,'ноябрь 2025'!$D$2:$D$2583,$B41,'ноябрь 2025'!$J$2:$J$2583,Q$1)</f>
        <v>0</v>
      </c>
      <c r="R41" s="182">
        <f>SUMIFS('ноябрь 2025'!$G$2:$G$2583,'ноябрь 2025'!$D$2:$D$2583,$B41,'ноябрь 2025'!$J$2:$J$2583,R$1)</f>
        <v>0</v>
      </c>
      <c r="S41" s="182">
        <f>SUMIFS('ноябрь 2025'!$G$2:$G$2583,'ноябрь 2025'!$D$2:$D$2583,$B41,'ноябрь 2025'!$J$2:$J$2583,S$1)</f>
        <v>0</v>
      </c>
      <c r="T41" s="182">
        <f>SUMIFS('ноябрь 2025'!$G$2:$G$2583,'ноябрь 2025'!$D$2:$D$2583,$B41,'ноябрь 2025'!$J$2:$J$2583,T$1)</f>
        <v>0</v>
      </c>
      <c r="U41" s="182">
        <f>SUMIFS('ноябрь 2025'!$G$2:$G$2583,'ноябрь 2025'!$D$2:$D$2583,$B41,'ноябрь 2025'!$J$2:$J$2583,U$1)</f>
        <v>0</v>
      </c>
      <c r="V41" s="182">
        <f>SUMIFS('ноябрь 2025'!$G$2:$G$2583,'ноябрь 2025'!$D$2:$D$2583,$B41,'ноябрь 2025'!$J$2:$J$2583,V$1)</f>
        <v>0</v>
      </c>
      <c r="W41" s="182">
        <f>SUMIFS('ноябрь 2025'!$G$2:$G$2583,'ноябрь 2025'!$D$2:$D$2583,$B41,'ноябрь 2025'!$J$2:$J$2583,W$1)</f>
        <v>0</v>
      </c>
      <c r="X41" s="182">
        <f>SUMIFS('ноябрь 2025'!$G$2:$G$2583,'ноябрь 2025'!$D$2:$D$2583,$B41,'ноябрь 2025'!$J$2:$J$2583,X$1)</f>
        <v>0</v>
      </c>
      <c r="Y41" s="182">
        <f>SUMIFS('ноябрь 2025'!$G$2:$G$2583,'ноябрь 2025'!$D$2:$D$2583,$B41,'ноябрь 2025'!$J$2:$J$2583,Y$1)</f>
        <v>0</v>
      </c>
      <c r="Z41" s="182">
        <f>SUMIFS('ноябрь 2025'!$G$2:$G$2583,'ноябрь 2025'!$D$2:$D$2583,$B41,'ноябрь 2025'!$J$2:$J$2583,Z$1)</f>
        <v>0</v>
      </c>
      <c r="AA41" s="182">
        <f>SUMIFS('ноябрь 2025'!$G$2:$G$2583,'ноябрь 2025'!$D$2:$D$2583,$B41,'ноябрь 2025'!$J$2:$J$2583,AA$1)</f>
        <v>0</v>
      </c>
      <c r="AB41" s="182">
        <f>SUMIFS('ноябрь 2025'!$G$2:$G$2583,'ноябрь 2025'!$D$2:$D$2583,$B41,'ноябрь 2025'!$J$2:$J$2583,AB$1)</f>
        <v>0</v>
      </c>
      <c r="AC41" s="182">
        <f>SUMIFS('ноябрь 2025'!$G$2:$G$2583,'ноябрь 2025'!$D$2:$D$2583,$B41,'ноябрь 2025'!$J$2:$J$2583,AC$1)</f>
        <v>0</v>
      </c>
      <c r="AD41" s="182">
        <f>SUMIFS('ноябрь 2025'!$G$2:$G$2583,'ноябрь 2025'!$D$2:$D$2583,$B41,'ноябрь 2025'!$J$2:$J$2583,AD$1)</f>
        <v>0</v>
      </c>
      <c r="AE41" s="182">
        <f>SUMIFS('ноябрь 2025'!$G$2:$G$2583,'ноябрь 2025'!$D$2:$D$2583,$B41,'ноябрь 2025'!$J$2:$J$2583,AE$1)</f>
        <v>0</v>
      </c>
      <c r="AF41" s="182">
        <f>SUMIFS('ноябрь 2025'!$G$2:$G$2583,'ноябрь 2025'!$D$2:$D$2583,$B41,'ноябрь 2025'!$J$2:$J$2583,AF$1)</f>
        <v>0</v>
      </c>
      <c r="AG41" s="182">
        <f>SUMIFS('ноябрь 2025'!$G$2:$G$2583,'ноябрь 2025'!$D$2:$D$2583,$B41,'ноябрь 2025'!$J$2:$J$2583,AG$1)</f>
        <v>0</v>
      </c>
      <c r="AH41" s="182">
        <f>SUMIFS('ноябрь 2025'!$G$2:$G$2583,'ноябрь 2025'!$D$2:$D$2583,$B41,'ноябрь 2025'!$J$2:$J$2583,AH$1)</f>
        <v>0</v>
      </c>
      <c r="AI41" s="20">
        <f t="shared" si="1"/>
        <v>0</v>
      </c>
    </row>
    <row r="42" spans="2:35" ht="15" customHeight="1" x14ac:dyDescent="0.25">
      <c r="B42" s="131" t="s">
        <v>223</v>
      </c>
      <c r="C42" s="133">
        <v>25</v>
      </c>
      <c r="D42" s="182">
        <f>SUMIFS('ноябрь 2025'!$G$2:$G$2583,'ноябрь 2025'!$D$2:$D$2583,$B42,'ноябрь 2025'!$J$2:$J$2583,D$1)</f>
        <v>0</v>
      </c>
      <c r="E42" s="182">
        <f>SUMIFS('ноябрь 2025'!$G$2:$G$2583,'ноябрь 2025'!$D$2:$D$2583,$B42,'ноябрь 2025'!$J$2:$J$2583,E$1)</f>
        <v>0</v>
      </c>
      <c r="F42" s="182">
        <f>SUMIFS('ноябрь 2025'!$G$2:$G$2583,'ноябрь 2025'!$D$2:$D$2583,$B42,'ноябрь 2025'!$J$2:$J$2583,F$1)</f>
        <v>0</v>
      </c>
      <c r="G42" s="182">
        <f>SUMIFS('ноябрь 2025'!$G$2:$G$2583,'ноябрь 2025'!$D$2:$D$2583,$B42,'ноябрь 2025'!$J$2:$J$2583,G$1)</f>
        <v>0</v>
      </c>
      <c r="H42" s="182">
        <f>SUMIFS('ноябрь 2025'!$G$2:$G$2583,'ноябрь 2025'!$D$2:$D$2583,$B42,'ноябрь 2025'!$J$2:$J$2583,H$1)</f>
        <v>0</v>
      </c>
      <c r="I42" s="182">
        <f>SUMIFS('ноябрь 2025'!$G$2:$G$2583,'ноябрь 2025'!$D$2:$D$2583,$B42,'ноябрь 2025'!$J$2:$J$2583,I$1)</f>
        <v>0</v>
      </c>
      <c r="J42" s="182">
        <f>SUMIFS('ноябрь 2025'!$G$2:$G$2583,'ноябрь 2025'!$D$2:$D$2583,$B42,'ноябрь 2025'!$J$2:$J$2583,J$1)</f>
        <v>0</v>
      </c>
      <c r="K42" s="182">
        <f>SUMIFS('ноябрь 2025'!$G$2:$G$2583,'ноябрь 2025'!$D$2:$D$2583,$B42,'ноябрь 2025'!$J$2:$J$2583,K$1)</f>
        <v>0</v>
      </c>
      <c r="L42" s="182">
        <f>SUMIFS('ноябрь 2025'!$G$2:$G$2583,'ноябрь 2025'!$D$2:$D$2583,$B42,'ноябрь 2025'!$J$2:$J$2583,L$1)</f>
        <v>0</v>
      </c>
      <c r="M42" s="182">
        <f>SUMIFS('ноябрь 2025'!$G$2:$G$2583,'ноябрь 2025'!$D$2:$D$2583,$B42,'ноябрь 2025'!$J$2:$J$2583,M$1)</f>
        <v>0</v>
      </c>
      <c r="N42" s="182">
        <f>SUMIFS('ноябрь 2025'!$G$2:$G$2583,'ноябрь 2025'!$D$2:$D$2583,$B42,'ноябрь 2025'!$J$2:$J$2583,N$1)</f>
        <v>0</v>
      </c>
      <c r="O42" s="182">
        <f>SUMIFS('ноябрь 2025'!$G$2:$G$2583,'ноябрь 2025'!$D$2:$D$2583,$B42,'ноябрь 2025'!$J$2:$J$2583,O$1)</f>
        <v>0</v>
      </c>
      <c r="P42" s="182">
        <f>SUMIFS('ноябрь 2025'!$G$2:$G$2583,'ноябрь 2025'!$D$2:$D$2583,$B42,'ноябрь 2025'!$J$2:$J$2583,P$1)</f>
        <v>280</v>
      </c>
      <c r="Q42" s="182">
        <f>SUMIFS('ноябрь 2025'!$G$2:$G$2583,'ноябрь 2025'!$D$2:$D$2583,$B42,'ноябрь 2025'!$J$2:$J$2583,Q$1)</f>
        <v>0</v>
      </c>
      <c r="R42" s="182">
        <f>SUMIFS('ноябрь 2025'!$G$2:$G$2583,'ноябрь 2025'!$D$2:$D$2583,$B42,'ноябрь 2025'!$J$2:$J$2583,R$1)</f>
        <v>0</v>
      </c>
      <c r="S42" s="182">
        <f>SUMIFS('ноябрь 2025'!$G$2:$G$2583,'ноябрь 2025'!$D$2:$D$2583,$B42,'ноябрь 2025'!$J$2:$J$2583,S$1)</f>
        <v>0</v>
      </c>
      <c r="T42" s="182">
        <f>SUMIFS('ноябрь 2025'!$G$2:$G$2583,'ноябрь 2025'!$D$2:$D$2583,$B42,'ноябрь 2025'!$J$2:$J$2583,T$1)</f>
        <v>0</v>
      </c>
      <c r="U42" s="182">
        <f>SUMIFS('ноябрь 2025'!$G$2:$G$2583,'ноябрь 2025'!$D$2:$D$2583,$B42,'ноябрь 2025'!$J$2:$J$2583,U$1)</f>
        <v>0</v>
      </c>
      <c r="V42" s="182">
        <f>SUMIFS('ноябрь 2025'!$G$2:$G$2583,'ноябрь 2025'!$D$2:$D$2583,$B42,'ноябрь 2025'!$J$2:$J$2583,V$1)</f>
        <v>0</v>
      </c>
      <c r="W42" s="182">
        <f>SUMIFS('ноябрь 2025'!$G$2:$G$2583,'ноябрь 2025'!$D$2:$D$2583,$B42,'ноябрь 2025'!$J$2:$J$2583,W$1)</f>
        <v>0</v>
      </c>
      <c r="X42" s="182">
        <f>SUMIFS('ноябрь 2025'!$G$2:$G$2583,'ноябрь 2025'!$D$2:$D$2583,$B42,'ноябрь 2025'!$J$2:$J$2583,X$1)</f>
        <v>0</v>
      </c>
      <c r="Y42" s="182">
        <f>SUMIFS('ноябрь 2025'!$G$2:$G$2583,'ноябрь 2025'!$D$2:$D$2583,$B42,'ноябрь 2025'!$J$2:$J$2583,Y$1)</f>
        <v>0</v>
      </c>
      <c r="Z42" s="182">
        <f>SUMIFS('ноябрь 2025'!$G$2:$G$2583,'ноябрь 2025'!$D$2:$D$2583,$B42,'ноябрь 2025'!$J$2:$J$2583,Z$1)</f>
        <v>0</v>
      </c>
      <c r="AA42" s="182">
        <f>SUMIFS('ноябрь 2025'!$G$2:$G$2583,'ноябрь 2025'!$D$2:$D$2583,$B42,'ноябрь 2025'!$J$2:$J$2583,AA$1)</f>
        <v>0</v>
      </c>
      <c r="AB42" s="182">
        <f>SUMIFS('ноябрь 2025'!$G$2:$G$2583,'ноябрь 2025'!$D$2:$D$2583,$B42,'ноябрь 2025'!$J$2:$J$2583,AB$1)</f>
        <v>0</v>
      </c>
      <c r="AC42" s="182">
        <f>SUMIFS('ноябрь 2025'!$G$2:$G$2583,'ноябрь 2025'!$D$2:$D$2583,$B42,'ноябрь 2025'!$J$2:$J$2583,AC$1)</f>
        <v>0</v>
      </c>
      <c r="AD42" s="182">
        <f>SUMIFS('ноябрь 2025'!$G$2:$G$2583,'ноябрь 2025'!$D$2:$D$2583,$B42,'ноябрь 2025'!$J$2:$J$2583,AD$1)</f>
        <v>0</v>
      </c>
      <c r="AE42" s="182">
        <f>SUMIFS('ноябрь 2025'!$G$2:$G$2583,'ноябрь 2025'!$D$2:$D$2583,$B42,'ноябрь 2025'!$J$2:$J$2583,AE$1)</f>
        <v>0</v>
      </c>
      <c r="AF42" s="182">
        <f>SUMIFS('ноябрь 2025'!$G$2:$G$2583,'ноябрь 2025'!$D$2:$D$2583,$B42,'ноябрь 2025'!$J$2:$J$2583,AF$1)</f>
        <v>0</v>
      </c>
      <c r="AG42" s="182">
        <f>SUMIFS('ноябрь 2025'!$G$2:$G$2583,'ноябрь 2025'!$D$2:$D$2583,$B42,'ноябрь 2025'!$J$2:$J$2583,AG$1)</f>
        <v>0</v>
      </c>
      <c r="AH42" s="182">
        <f>SUMIFS('ноябрь 2025'!$G$2:$G$2583,'ноябрь 2025'!$D$2:$D$2583,$B42,'ноябрь 2025'!$J$2:$J$2583,AH$1)</f>
        <v>0</v>
      </c>
      <c r="AI42" s="20">
        <f t="shared" si="1"/>
        <v>280</v>
      </c>
    </row>
    <row r="43" spans="2:35" ht="15" customHeight="1" x14ac:dyDescent="0.25">
      <c r="B43" s="131" t="s">
        <v>225</v>
      </c>
      <c r="C43" s="134">
        <v>25</v>
      </c>
      <c r="D43" s="182">
        <f>SUMIFS('ноябрь 2025'!$G$2:$G$2583,'ноябрь 2025'!$D$2:$D$2583,$B43,'ноябрь 2025'!$J$2:$J$2583,D$1)</f>
        <v>0</v>
      </c>
      <c r="E43" s="182">
        <f>SUMIFS('ноябрь 2025'!$G$2:$G$2583,'ноябрь 2025'!$D$2:$D$2583,$B43,'ноябрь 2025'!$J$2:$J$2583,E$1)</f>
        <v>0</v>
      </c>
      <c r="F43" s="182">
        <f>SUMIFS('ноябрь 2025'!$G$2:$G$2583,'ноябрь 2025'!$D$2:$D$2583,$B43,'ноябрь 2025'!$J$2:$J$2583,F$1)</f>
        <v>0</v>
      </c>
      <c r="G43" s="182">
        <f>SUMIFS('ноябрь 2025'!$G$2:$G$2583,'ноябрь 2025'!$D$2:$D$2583,$B43,'ноябрь 2025'!$J$2:$J$2583,G$1)</f>
        <v>0</v>
      </c>
      <c r="H43" s="182">
        <f>SUMIFS('ноябрь 2025'!$G$2:$G$2583,'ноябрь 2025'!$D$2:$D$2583,$B43,'ноябрь 2025'!$J$2:$J$2583,H$1)</f>
        <v>0</v>
      </c>
      <c r="I43" s="182">
        <f>SUMIFS('ноябрь 2025'!$G$2:$G$2583,'ноябрь 2025'!$D$2:$D$2583,$B43,'ноябрь 2025'!$J$2:$J$2583,I$1)</f>
        <v>0</v>
      </c>
      <c r="J43" s="182">
        <f>SUMIFS('ноябрь 2025'!$G$2:$G$2583,'ноябрь 2025'!$D$2:$D$2583,$B43,'ноябрь 2025'!$J$2:$J$2583,J$1)</f>
        <v>0</v>
      </c>
      <c r="K43" s="182">
        <f>SUMIFS('ноябрь 2025'!$G$2:$G$2583,'ноябрь 2025'!$D$2:$D$2583,$B43,'ноябрь 2025'!$J$2:$J$2583,K$1)</f>
        <v>0</v>
      </c>
      <c r="L43" s="182">
        <f>SUMIFS('ноябрь 2025'!$G$2:$G$2583,'ноябрь 2025'!$D$2:$D$2583,$B43,'ноябрь 2025'!$J$2:$J$2583,L$1)</f>
        <v>0</v>
      </c>
      <c r="M43" s="182">
        <f>SUMIFS('ноябрь 2025'!$G$2:$G$2583,'ноябрь 2025'!$D$2:$D$2583,$B43,'ноябрь 2025'!$J$2:$J$2583,M$1)</f>
        <v>0</v>
      </c>
      <c r="N43" s="182">
        <f>SUMIFS('ноябрь 2025'!$G$2:$G$2583,'ноябрь 2025'!$D$2:$D$2583,$B43,'ноябрь 2025'!$J$2:$J$2583,N$1)</f>
        <v>0</v>
      </c>
      <c r="O43" s="182">
        <f>SUMIFS('ноябрь 2025'!$G$2:$G$2583,'ноябрь 2025'!$D$2:$D$2583,$B43,'ноябрь 2025'!$J$2:$J$2583,O$1)</f>
        <v>0</v>
      </c>
      <c r="P43" s="182">
        <f>SUMIFS('ноябрь 2025'!$G$2:$G$2583,'ноябрь 2025'!$D$2:$D$2583,$B43,'ноябрь 2025'!$J$2:$J$2583,P$1)</f>
        <v>0</v>
      </c>
      <c r="Q43" s="182">
        <f>SUMIFS('ноябрь 2025'!$G$2:$G$2583,'ноябрь 2025'!$D$2:$D$2583,$B43,'ноябрь 2025'!$J$2:$J$2583,Q$1)</f>
        <v>0</v>
      </c>
      <c r="R43" s="182">
        <f>SUMIFS('ноябрь 2025'!$G$2:$G$2583,'ноябрь 2025'!$D$2:$D$2583,$B43,'ноябрь 2025'!$J$2:$J$2583,R$1)</f>
        <v>0</v>
      </c>
      <c r="S43" s="182">
        <f>SUMIFS('ноябрь 2025'!$G$2:$G$2583,'ноябрь 2025'!$D$2:$D$2583,$B43,'ноябрь 2025'!$J$2:$J$2583,S$1)</f>
        <v>0</v>
      </c>
      <c r="T43" s="182">
        <f>SUMIFS('ноябрь 2025'!$G$2:$G$2583,'ноябрь 2025'!$D$2:$D$2583,$B43,'ноябрь 2025'!$J$2:$J$2583,T$1)</f>
        <v>0</v>
      </c>
      <c r="U43" s="182">
        <f>SUMIFS('ноябрь 2025'!$G$2:$G$2583,'ноябрь 2025'!$D$2:$D$2583,$B43,'ноябрь 2025'!$J$2:$J$2583,U$1)</f>
        <v>0</v>
      </c>
      <c r="V43" s="182">
        <f>SUMIFS('ноябрь 2025'!$G$2:$G$2583,'ноябрь 2025'!$D$2:$D$2583,$B43,'ноябрь 2025'!$J$2:$J$2583,V$1)</f>
        <v>0</v>
      </c>
      <c r="W43" s="182">
        <f>SUMIFS('ноябрь 2025'!$G$2:$G$2583,'ноябрь 2025'!$D$2:$D$2583,$B43,'ноябрь 2025'!$J$2:$J$2583,W$1)</f>
        <v>0</v>
      </c>
      <c r="X43" s="182">
        <f>SUMIFS('ноябрь 2025'!$G$2:$G$2583,'ноябрь 2025'!$D$2:$D$2583,$B43,'ноябрь 2025'!$J$2:$J$2583,X$1)</f>
        <v>0</v>
      </c>
      <c r="Y43" s="182">
        <f>SUMIFS('ноябрь 2025'!$G$2:$G$2583,'ноябрь 2025'!$D$2:$D$2583,$B43,'ноябрь 2025'!$J$2:$J$2583,Y$1)</f>
        <v>0</v>
      </c>
      <c r="Z43" s="182">
        <f>SUMIFS('ноябрь 2025'!$G$2:$G$2583,'ноябрь 2025'!$D$2:$D$2583,$B43,'ноябрь 2025'!$J$2:$J$2583,Z$1)</f>
        <v>0</v>
      </c>
      <c r="AA43" s="182">
        <f>SUMIFS('ноябрь 2025'!$G$2:$G$2583,'ноябрь 2025'!$D$2:$D$2583,$B43,'ноябрь 2025'!$J$2:$J$2583,AA$1)</f>
        <v>0</v>
      </c>
      <c r="AB43" s="182">
        <f>SUMIFS('ноябрь 2025'!$G$2:$G$2583,'ноябрь 2025'!$D$2:$D$2583,$B43,'ноябрь 2025'!$J$2:$J$2583,AB$1)</f>
        <v>0</v>
      </c>
      <c r="AC43" s="182">
        <f>SUMIFS('ноябрь 2025'!$G$2:$G$2583,'ноябрь 2025'!$D$2:$D$2583,$B43,'ноябрь 2025'!$J$2:$J$2583,AC$1)</f>
        <v>0</v>
      </c>
      <c r="AD43" s="182">
        <f>SUMIFS('ноябрь 2025'!$G$2:$G$2583,'ноябрь 2025'!$D$2:$D$2583,$B43,'ноябрь 2025'!$J$2:$J$2583,AD$1)</f>
        <v>0</v>
      </c>
      <c r="AE43" s="182">
        <f>SUMIFS('ноябрь 2025'!$G$2:$G$2583,'ноябрь 2025'!$D$2:$D$2583,$B43,'ноябрь 2025'!$J$2:$J$2583,AE$1)</f>
        <v>0</v>
      </c>
      <c r="AF43" s="182">
        <f>SUMIFS('ноябрь 2025'!$G$2:$G$2583,'ноябрь 2025'!$D$2:$D$2583,$B43,'ноябрь 2025'!$J$2:$J$2583,AF$1)</f>
        <v>0</v>
      </c>
      <c r="AG43" s="182">
        <f>SUMIFS('ноябрь 2025'!$G$2:$G$2583,'ноябрь 2025'!$D$2:$D$2583,$B43,'ноябрь 2025'!$J$2:$J$2583,AG$1)</f>
        <v>0</v>
      </c>
      <c r="AH43" s="182">
        <f>SUMIFS('ноябрь 2025'!$G$2:$G$2583,'ноябрь 2025'!$D$2:$D$2583,$B43,'ноябрь 2025'!$J$2:$J$2583,AH$1)</f>
        <v>0</v>
      </c>
      <c r="AI43" s="20">
        <f t="shared" si="1"/>
        <v>0</v>
      </c>
    </row>
    <row r="44" spans="2:35" ht="15" customHeight="1" x14ac:dyDescent="0.25">
      <c r="B44" s="131" t="s">
        <v>227</v>
      </c>
      <c r="C44" s="130">
        <v>22.68</v>
      </c>
      <c r="D44" s="182">
        <f>SUMIFS('ноябрь 2025'!$G$2:$G$2583,'ноябрь 2025'!$D$2:$D$2583,$B44,'ноябрь 2025'!$J$2:$J$2583,D$1)</f>
        <v>0</v>
      </c>
      <c r="E44" s="182">
        <f>SUMIFS('ноябрь 2025'!$G$2:$G$2583,'ноябрь 2025'!$D$2:$D$2583,$B44,'ноябрь 2025'!$J$2:$J$2583,E$1)</f>
        <v>0</v>
      </c>
      <c r="F44" s="182">
        <f>SUMIFS('ноябрь 2025'!$G$2:$G$2583,'ноябрь 2025'!$D$2:$D$2583,$B44,'ноябрь 2025'!$J$2:$J$2583,F$1)</f>
        <v>0</v>
      </c>
      <c r="G44" s="182">
        <f>SUMIFS('ноябрь 2025'!$G$2:$G$2583,'ноябрь 2025'!$D$2:$D$2583,$B44,'ноябрь 2025'!$J$2:$J$2583,G$1)</f>
        <v>0</v>
      </c>
      <c r="H44" s="182">
        <f>SUMIFS('ноябрь 2025'!$G$2:$G$2583,'ноябрь 2025'!$D$2:$D$2583,$B44,'ноябрь 2025'!$J$2:$J$2583,H$1)</f>
        <v>0</v>
      </c>
      <c r="I44" s="182">
        <f>SUMIFS('ноябрь 2025'!$G$2:$G$2583,'ноябрь 2025'!$D$2:$D$2583,$B44,'ноябрь 2025'!$J$2:$J$2583,I$1)</f>
        <v>0</v>
      </c>
      <c r="J44" s="182">
        <f>SUMIFS('ноябрь 2025'!$G$2:$G$2583,'ноябрь 2025'!$D$2:$D$2583,$B44,'ноябрь 2025'!$J$2:$J$2583,J$1)</f>
        <v>0</v>
      </c>
      <c r="K44" s="182">
        <f>SUMIFS('ноябрь 2025'!$G$2:$G$2583,'ноябрь 2025'!$D$2:$D$2583,$B44,'ноябрь 2025'!$J$2:$J$2583,K$1)</f>
        <v>0</v>
      </c>
      <c r="L44" s="182">
        <f>SUMIFS('ноябрь 2025'!$G$2:$G$2583,'ноябрь 2025'!$D$2:$D$2583,$B44,'ноябрь 2025'!$J$2:$J$2583,L$1)</f>
        <v>0</v>
      </c>
      <c r="M44" s="182">
        <f>SUMIFS('ноябрь 2025'!$G$2:$G$2583,'ноябрь 2025'!$D$2:$D$2583,$B44,'ноябрь 2025'!$J$2:$J$2583,M$1)</f>
        <v>0</v>
      </c>
      <c r="N44" s="182">
        <f>SUMIFS('ноябрь 2025'!$G$2:$G$2583,'ноябрь 2025'!$D$2:$D$2583,$B44,'ноябрь 2025'!$J$2:$J$2583,N$1)</f>
        <v>0</v>
      </c>
      <c r="O44" s="182">
        <f>SUMIFS('ноябрь 2025'!$G$2:$G$2583,'ноябрь 2025'!$D$2:$D$2583,$B44,'ноябрь 2025'!$J$2:$J$2583,O$1)</f>
        <v>0</v>
      </c>
      <c r="P44" s="182">
        <f>SUMIFS('ноябрь 2025'!$G$2:$G$2583,'ноябрь 2025'!$D$2:$D$2583,$B44,'ноябрь 2025'!$J$2:$J$2583,P$1)</f>
        <v>0</v>
      </c>
      <c r="Q44" s="182">
        <f>SUMIFS('ноябрь 2025'!$G$2:$G$2583,'ноябрь 2025'!$D$2:$D$2583,$B44,'ноябрь 2025'!$J$2:$J$2583,Q$1)</f>
        <v>0</v>
      </c>
      <c r="R44" s="182">
        <f>SUMIFS('ноябрь 2025'!$G$2:$G$2583,'ноябрь 2025'!$D$2:$D$2583,$B44,'ноябрь 2025'!$J$2:$J$2583,R$1)</f>
        <v>0</v>
      </c>
      <c r="S44" s="182">
        <f>SUMIFS('ноябрь 2025'!$G$2:$G$2583,'ноябрь 2025'!$D$2:$D$2583,$B44,'ноябрь 2025'!$J$2:$J$2583,S$1)</f>
        <v>0</v>
      </c>
      <c r="T44" s="182">
        <f>SUMIFS('ноябрь 2025'!$G$2:$G$2583,'ноябрь 2025'!$D$2:$D$2583,$B44,'ноябрь 2025'!$J$2:$J$2583,T$1)</f>
        <v>0</v>
      </c>
      <c r="U44" s="182">
        <f>SUMIFS('ноябрь 2025'!$G$2:$G$2583,'ноябрь 2025'!$D$2:$D$2583,$B44,'ноябрь 2025'!$J$2:$J$2583,U$1)</f>
        <v>0</v>
      </c>
      <c r="V44" s="182">
        <f>SUMIFS('ноябрь 2025'!$G$2:$G$2583,'ноябрь 2025'!$D$2:$D$2583,$B44,'ноябрь 2025'!$J$2:$J$2583,V$1)</f>
        <v>0</v>
      </c>
      <c r="W44" s="182">
        <f>SUMIFS('ноябрь 2025'!$G$2:$G$2583,'ноябрь 2025'!$D$2:$D$2583,$B44,'ноябрь 2025'!$J$2:$J$2583,W$1)</f>
        <v>0</v>
      </c>
      <c r="X44" s="182">
        <f>SUMIFS('ноябрь 2025'!$G$2:$G$2583,'ноябрь 2025'!$D$2:$D$2583,$B44,'ноябрь 2025'!$J$2:$J$2583,X$1)</f>
        <v>0</v>
      </c>
      <c r="Y44" s="182">
        <f>SUMIFS('ноябрь 2025'!$G$2:$G$2583,'ноябрь 2025'!$D$2:$D$2583,$B44,'ноябрь 2025'!$J$2:$J$2583,Y$1)</f>
        <v>0</v>
      </c>
      <c r="Z44" s="182">
        <f>SUMIFS('ноябрь 2025'!$G$2:$G$2583,'ноябрь 2025'!$D$2:$D$2583,$B44,'ноябрь 2025'!$J$2:$J$2583,Z$1)</f>
        <v>0</v>
      </c>
      <c r="AA44" s="182">
        <f>SUMIFS('ноябрь 2025'!$G$2:$G$2583,'ноябрь 2025'!$D$2:$D$2583,$B44,'ноябрь 2025'!$J$2:$J$2583,AA$1)</f>
        <v>0</v>
      </c>
      <c r="AB44" s="182">
        <f>SUMIFS('ноябрь 2025'!$G$2:$G$2583,'ноябрь 2025'!$D$2:$D$2583,$B44,'ноябрь 2025'!$J$2:$J$2583,AB$1)</f>
        <v>0</v>
      </c>
      <c r="AC44" s="182">
        <f>SUMIFS('ноябрь 2025'!$G$2:$G$2583,'ноябрь 2025'!$D$2:$D$2583,$B44,'ноябрь 2025'!$J$2:$J$2583,AC$1)</f>
        <v>0</v>
      </c>
      <c r="AD44" s="182">
        <f>SUMIFS('ноябрь 2025'!$G$2:$G$2583,'ноябрь 2025'!$D$2:$D$2583,$B44,'ноябрь 2025'!$J$2:$J$2583,AD$1)</f>
        <v>0</v>
      </c>
      <c r="AE44" s="182">
        <f>SUMIFS('ноябрь 2025'!$G$2:$G$2583,'ноябрь 2025'!$D$2:$D$2583,$B44,'ноябрь 2025'!$J$2:$J$2583,AE$1)</f>
        <v>0</v>
      </c>
      <c r="AF44" s="182">
        <f>SUMIFS('ноябрь 2025'!$G$2:$G$2583,'ноябрь 2025'!$D$2:$D$2583,$B44,'ноябрь 2025'!$J$2:$J$2583,AF$1)</f>
        <v>0</v>
      </c>
      <c r="AG44" s="182">
        <f>SUMIFS('ноябрь 2025'!$G$2:$G$2583,'ноябрь 2025'!$D$2:$D$2583,$B44,'ноябрь 2025'!$J$2:$J$2583,AG$1)</f>
        <v>0</v>
      </c>
      <c r="AH44" s="182">
        <f>SUMIFS('ноябрь 2025'!$G$2:$G$2583,'ноябрь 2025'!$D$2:$D$2583,$B44,'ноябрь 2025'!$J$2:$J$2583,AH$1)</f>
        <v>0</v>
      </c>
      <c r="AI44" s="20">
        <f t="shared" si="1"/>
        <v>0</v>
      </c>
    </row>
    <row r="45" spans="2:35" ht="15" customHeight="1" x14ac:dyDescent="0.25">
      <c r="B45" s="135" t="s">
        <v>229</v>
      </c>
      <c r="C45" s="132">
        <v>25</v>
      </c>
      <c r="D45" s="182">
        <f>SUMIFS('ноябрь 2025'!$G$2:$G$2583,'ноябрь 2025'!$D$2:$D$2583,$B45,'ноябрь 2025'!$J$2:$J$2583,D$1)</f>
        <v>0</v>
      </c>
      <c r="E45" s="182">
        <f>SUMIFS('ноябрь 2025'!$G$2:$G$2583,'ноябрь 2025'!$D$2:$D$2583,$B45,'ноябрь 2025'!$J$2:$J$2583,E$1)</f>
        <v>0</v>
      </c>
      <c r="F45" s="182">
        <f>SUMIFS('ноябрь 2025'!$G$2:$G$2583,'ноябрь 2025'!$D$2:$D$2583,$B45,'ноябрь 2025'!$J$2:$J$2583,F$1)</f>
        <v>0</v>
      </c>
      <c r="G45" s="182">
        <f>SUMIFS('ноябрь 2025'!$G$2:$G$2583,'ноябрь 2025'!$D$2:$D$2583,$B45,'ноябрь 2025'!$J$2:$J$2583,G$1)</f>
        <v>0</v>
      </c>
      <c r="H45" s="182">
        <f>SUMIFS('ноябрь 2025'!$G$2:$G$2583,'ноябрь 2025'!$D$2:$D$2583,$B45,'ноябрь 2025'!$J$2:$J$2583,H$1)</f>
        <v>0</v>
      </c>
      <c r="I45" s="182">
        <f>SUMIFS('ноябрь 2025'!$G$2:$G$2583,'ноябрь 2025'!$D$2:$D$2583,$B45,'ноябрь 2025'!$J$2:$J$2583,I$1)</f>
        <v>0</v>
      </c>
      <c r="J45" s="182">
        <f>SUMIFS('ноябрь 2025'!$G$2:$G$2583,'ноябрь 2025'!$D$2:$D$2583,$B45,'ноябрь 2025'!$J$2:$J$2583,J$1)</f>
        <v>0</v>
      </c>
      <c r="K45" s="182">
        <f>SUMIFS('ноябрь 2025'!$G$2:$G$2583,'ноябрь 2025'!$D$2:$D$2583,$B45,'ноябрь 2025'!$J$2:$J$2583,K$1)</f>
        <v>0</v>
      </c>
      <c r="L45" s="182">
        <f>SUMIFS('ноябрь 2025'!$G$2:$G$2583,'ноябрь 2025'!$D$2:$D$2583,$B45,'ноябрь 2025'!$J$2:$J$2583,L$1)</f>
        <v>0</v>
      </c>
      <c r="M45" s="182">
        <f>SUMIFS('ноябрь 2025'!$G$2:$G$2583,'ноябрь 2025'!$D$2:$D$2583,$B45,'ноябрь 2025'!$J$2:$J$2583,M$1)</f>
        <v>0</v>
      </c>
      <c r="N45" s="182">
        <f>SUMIFS('ноябрь 2025'!$G$2:$G$2583,'ноябрь 2025'!$D$2:$D$2583,$B45,'ноябрь 2025'!$J$2:$J$2583,N$1)</f>
        <v>0</v>
      </c>
      <c r="O45" s="182">
        <f>SUMIFS('ноябрь 2025'!$G$2:$G$2583,'ноябрь 2025'!$D$2:$D$2583,$B45,'ноябрь 2025'!$J$2:$J$2583,O$1)</f>
        <v>0</v>
      </c>
      <c r="P45" s="182">
        <f>SUMIFS('ноябрь 2025'!$G$2:$G$2583,'ноябрь 2025'!$D$2:$D$2583,$B45,'ноябрь 2025'!$J$2:$J$2583,P$1)</f>
        <v>0</v>
      </c>
      <c r="Q45" s="182">
        <f>SUMIFS('ноябрь 2025'!$G$2:$G$2583,'ноябрь 2025'!$D$2:$D$2583,$B45,'ноябрь 2025'!$J$2:$J$2583,Q$1)</f>
        <v>0</v>
      </c>
      <c r="R45" s="182">
        <f>SUMIFS('ноябрь 2025'!$G$2:$G$2583,'ноябрь 2025'!$D$2:$D$2583,$B45,'ноябрь 2025'!$J$2:$J$2583,R$1)</f>
        <v>0</v>
      </c>
      <c r="S45" s="182">
        <f>SUMIFS('ноябрь 2025'!$G$2:$G$2583,'ноябрь 2025'!$D$2:$D$2583,$B45,'ноябрь 2025'!$J$2:$J$2583,S$1)</f>
        <v>0</v>
      </c>
      <c r="T45" s="182">
        <f>SUMIFS('ноябрь 2025'!$G$2:$G$2583,'ноябрь 2025'!$D$2:$D$2583,$B45,'ноябрь 2025'!$J$2:$J$2583,T$1)</f>
        <v>0</v>
      </c>
      <c r="U45" s="182">
        <f>SUMIFS('ноябрь 2025'!$G$2:$G$2583,'ноябрь 2025'!$D$2:$D$2583,$B45,'ноябрь 2025'!$J$2:$J$2583,U$1)</f>
        <v>0</v>
      </c>
      <c r="V45" s="182">
        <f>SUMIFS('ноябрь 2025'!$G$2:$G$2583,'ноябрь 2025'!$D$2:$D$2583,$B45,'ноябрь 2025'!$J$2:$J$2583,V$1)</f>
        <v>0</v>
      </c>
      <c r="W45" s="182">
        <f>SUMIFS('ноябрь 2025'!$G$2:$G$2583,'ноябрь 2025'!$D$2:$D$2583,$B45,'ноябрь 2025'!$J$2:$J$2583,W$1)</f>
        <v>0</v>
      </c>
      <c r="X45" s="182">
        <f>SUMIFS('ноябрь 2025'!$G$2:$G$2583,'ноябрь 2025'!$D$2:$D$2583,$B45,'ноябрь 2025'!$J$2:$J$2583,X$1)</f>
        <v>0</v>
      </c>
      <c r="Y45" s="182">
        <f>SUMIFS('ноябрь 2025'!$G$2:$G$2583,'ноябрь 2025'!$D$2:$D$2583,$B45,'ноябрь 2025'!$J$2:$J$2583,Y$1)</f>
        <v>0</v>
      </c>
      <c r="Z45" s="182">
        <f>SUMIFS('ноябрь 2025'!$G$2:$G$2583,'ноябрь 2025'!$D$2:$D$2583,$B45,'ноябрь 2025'!$J$2:$J$2583,Z$1)</f>
        <v>0</v>
      </c>
      <c r="AA45" s="182">
        <f>SUMIFS('ноябрь 2025'!$G$2:$G$2583,'ноябрь 2025'!$D$2:$D$2583,$B45,'ноябрь 2025'!$J$2:$J$2583,AA$1)</f>
        <v>0</v>
      </c>
      <c r="AB45" s="182">
        <f>SUMIFS('ноябрь 2025'!$G$2:$G$2583,'ноябрь 2025'!$D$2:$D$2583,$B45,'ноябрь 2025'!$J$2:$J$2583,AB$1)</f>
        <v>0</v>
      </c>
      <c r="AC45" s="182">
        <f>SUMIFS('ноябрь 2025'!$G$2:$G$2583,'ноябрь 2025'!$D$2:$D$2583,$B45,'ноябрь 2025'!$J$2:$J$2583,AC$1)</f>
        <v>0</v>
      </c>
      <c r="AD45" s="182">
        <f>SUMIFS('ноябрь 2025'!$G$2:$G$2583,'ноябрь 2025'!$D$2:$D$2583,$B45,'ноябрь 2025'!$J$2:$J$2583,AD$1)</f>
        <v>0</v>
      </c>
      <c r="AE45" s="182">
        <f>SUMIFS('ноябрь 2025'!$G$2:$G$2583,'ноябрь 2025'!$D$2:$D$2583,$B45,'ноябрь 2025'!$J$2:$J$2583,AE$1)</f>
        <v>0</v>
      </c>
      <c r="AF45" s="182">
        <f>SUMIFS('ноябрь 2025'!$G$2:$G$2583,'ноябрь 2025'!$D$2:$D$2583,$B45,'ноябрь 2025'!$J$2:$J$2583,AF$1)</f>
        <v>0</v>
      </c>
      <c r="AG45" s="182">
        <f>SUMIFS('ноябрь 2025'!$G$2:$G$2583,'ноябрь 2025'!$D$2:$D$2583,$B45,'ноябрь 2025'!$J$2:$J$2583,AG$1)</f>
        <v>0</v>
      </c>
      <c r="AH45" s="182">
        <f>SUMIFS('ноябрь 2025'!$G$2:$G$2583,'ноябрь 2025'!$D$2:$D$2583,$B45,'ноябрь 2025'!$J$2:$J$2583,AH$1)</f>
        <v>0</v>
      </c>
      <c r="AI45" s="20">
        <f t="shared" si="1"/>
        <v>0</v>
      </c>
    </row>
    <row r="46" spans="2:35" ht="15" customHeight="1" x14ac:dyDescent="0.25">
      <c r="B46" s="131" t="s">
        <v>230</v>
      </c>
      <c r="C46" s="134">
        <v>25</v>
      </c>
      <c r="D46" s="182">
        <f>SUMIFS('ноябрь 2025'!$G$2:$G$2583,'ноябрь 2025'!$D$2:$D$2583,$B46,'ноябрь 2025'!$J$2:$J$2583,D$1)</f>
        <v>0</v>
      </c>
      <c r="E46" s="182">
        <f>SUMIFS('ноябрь 2025'!$G$2:$G$2583,'ноябрь 2025'!$D$2:$D$2583,$B46,'ноябрь 2025'!$J$2:$J$2583,E$1)</f>
        <v>0</v>
      </c>
      <c r="F46" s="182">
        <f>SUMIFS('ноябрь 2025'!$G$2:$G$2583,'ноябрь 2025'!$D$2:$D$2583,$B46,'ноябрь 2025'!$J$2:$J$2583,F$1)</f>
        <v>0</v>
      </c>
      <c r="G46" s="182">
        <f>SUMIFS('ноябрь 2025'!$G$2:$G$2583,'ноябрь 2025'!$D$2:$D$2583,$B46,'ноябрь 2025'!$J$2:$J$2583,G$1)</f>
        <v>0</v>
      </c>
      <c r="H46" s="182">
        <f>SUMIFS('ноябрь 2025'!$G$2:$G$2583,'ноябрь 2025'!$D$2:$D$2583,$B46,'ноябрь 2025'!$J$2:$J$2583,H$1)</f>
        <v>0</v>
      </c>
      <c r="I46" s="182">
        <f>SUMIFS('ноябрь 2025'!$G$2:$G$2583,'ноябрь 2025'!$D$2:$D$2583,$B46,'ноябрь 2025'!$J$2:$J$2583,I$1)</f>
        <v>0</v>
      </c>
      <c r="J46" s="182">
        <f>SUMIFS('ноябрь 2025'!$G$2:$G$2583,'ноябрь 2025'!$D$2:$D$2583,$B46,'ноябрь 2025'!$J$2:$J$2583,J$1)</f>
        <v>0</v>
      </c>
      <c r="K46" s="182">
        <f>SUMIFS('ноябрь 2025'!$G$2:$G$2583,'ноябрь 2025'!$D$2:$D$2583,$B46,'ноябрь 2025'!$J$2:$J$2583,K$1)</f>
        <v>0</v>
      </c>
      <c r="L46" s="182">
        <f>SUMIFS('ноябрь 2025'!$G$2:$G$2583,'ноябрь 2025'!$D$2:$D$2583,$B46,'ноябрь 2025'!$J$2:$J$2583,L$1)</f>
        <v>0</v>
      </c>
      <c r="M46" s="182">
        <f>SUMIFS('ноябрь 2025'!$G$2:$G$2583,'ноябрь 2025'!$D$2:$D$2583,$B46,'ноябрь 2025'!$J$2:$J$2583,M$1)</f>
        <v>0</v>
      </c>
      <c r="N46" s="182">
        <f>SUMIFS('ноябрь 2025'!$G$2:$G$2583,'ноябрь 2025'!$D$2:$D$2583,$B46,'ноябрь 2025'!$J$2:$J$2583,N$1)</f>
        <v>0</v>
      </c>
      <c r="O46" s="182">
        <f>SUMIFS('ноябрь 2025'!$G$2:$G$2583,'ноябрь 2025'!$D$2:$D$2583,$B46,'ноябрь 2025'!$J$2:$J$2583,O$1)</f>
        <v>0</v>
      </c>
      <c r="P46" s="182">
        <f>SUMIFS('ноябрь 2025'!$G$2:$G$2583,'ноябрь 2025'!$D$2:$D$2583,$B46,'ноябрь 2025'!$J$2:$J$2583,P$1)</f>
        <v>0</v>
      </c>
      <c r="Q46" s="182">
        <f>SUMIFS('ноябрь 2025'!$G$2:$G$2583,'ноябрь 2025'!$D$2:$D$2583,$B46,'ноябрь 2025'!$J$2:$J$2583,Q$1)</f>
        <v>0</v>
      </c>
      <c r="R46" s="182">
        <f>SUMIFS('ноябрь 2025'!$G$2:$G$2583,'ноябрь 2025'!$D$2:$D$2583,$B46,'ноябрь 2025'!$J$2:$J$2583,R$1)</f>
        <v>0</v>
      </c>
      <c r="S46" s="182">
        <f>SUMIFS('ноябрь 2025'!$G$2:$G$2583,'ноябрь 2025'!$D$2:$D$2583,$B46,'ноябрь 2025'!$J$2:$J$2583,S$1)</f>
        <v>0</v>
      </c>
      <c r="T46" s="182">
        <f>SUMIFS('ноябрь 2025'!$G$2:$G$2583,'ноябрь 2025'!$D$2:$D$2583,$B46,'ноябрь 2025'!$J$2:$J$2583,T$1)</f>
        <v>0</v>
      </c>
      <c r="U46" s="182">
        <f>SUMIFS('ноябрь 2025'!$G$2:$G$2583,'ноябрь 2025'!$D$2:$D$2583,$B46,'ноябрь 2025'!$J$2:$J$2583,U$1)</f>
        <v>0</v>
      </c>
      <c r="V46" s="182">
        <f>SUMIFS('ноябрь 2025'!$G$2:$G$2583,'ноябрь 2025'!$D$2:$D$2583,$B46,'ноябрь 2025'!$J$2:$J$2583,V$1)</f>
        <v>0</v>
      </c>
      <c r="W46" s="182">
        <f>SUMIFS('ноябрь 2025'!$G$2:$G$2583,'ноябрь 2025'!$D$2:$D$2583,$B46,'ноябрь 2025'!$J$2:$J$2583,W$1)</f>
        <v>0</v>
      </c>
      <c r="X46" s="182">
        <f>SUMIFS('ноябрь 2025'!$G$2:$G$2583,'ноябрь 2025'!$D$2:$D$2583,$B46,'ноябрь 2025'!$J$2:$J$2583,X$1)</f>
        <v>0</v>
      </c>
      <c r="Y46" s="182">
        <f>SUMIFS('ноябрь 2025'!$G$2:$G$2583,'ноябрь 2025'!$D$2:$D$2583,$B46,'ноябрь 2025'!$J$2:$J$2583,Y$1)</f>
        <v>0</v>
      </c>
      <c r="Z46" s="182">
        <f>SUMIFS('ноябрь 2025'!$G$2:$G$2583,'ноябрь 2025'!$D$2:$D$2583,$B46,'ноябрь 2025'!$J$2:$J$2583,Z$1)</f>
        <v>0</v>
      </c>
      <c r="AA46" s="182">
        <f>SUMIFS('ноябрь 2025'!$G$2:$G$2583,'ноябрь 2025'!$D$2:$D$2583,$B46,'ноябрь 2025'!$J$2:$J$2583,AA$1)</f>
        <v>0</v>
      </c>
      <c r="AB46" s="182">
        <f>SUMIFS('ноябрь 2025'!$G$2:$G$2583,'ноябрь 2025'!$D$2:$D$2583,$B46,'ноябрь 2025'!$J$2:$J$2583,AB$1)</f>
        <v>0</v>
      </c>
      <c r="AC46" s="182">
        <f>SUMIFS('ноябрь 2025'!$G$2:$G$2583,'ноябрь 2025'!$D$2:$D$2583,$B46,'ноябрь 2025'!$J$2:$J$2583,AC$1)</f>
        <v>0</v>
      </c>
      <c r="AD46" s="182">
        <f>SUMIFS('ноябрь 2025'!$G$2:$G$2583,'ноябрь 2025'!$D$2:$D$2583,$B46,'ноябрь 2025'!$J$2:$J$2583,AD$1)</f>
        <v>0</v>
      </c>
      <c r="AE46" s="182">
        <f>SUMIFS('ноябрь 2025'!$G$2:$G$2583,'ноябрь 2025'!$D$2:$D$2583,$B46,'ноябрь 2025'!$J$2:$J$2583,AE$1)</f>
        <v>0</v>
      </c>
      <c r="AF46" s="182">
        <f>SUMIFS('ноябрь 2025'!$G$2:$G$2583,'ноябрь 2025'!$D$2:$D$2583,$B46,'ноябрь 2025'!$J$2:$J$2583,AF$1)</f>
        <v>0</v>
      </c>
      <c r="AG46" s="182">
        <f>SUMIFS('ноябрь 2025'!$G$2:$G$2583,'ноябрь 2025'!$D$2:$D$2583,$B46,'ноябрь 2025'!$J$2:$J$2583,AG$1)</f>
        <v>0</v>
      </c>
      <c r="AH46" s="182">
        <f>SUMIFS('ноябрь 2025'!$G$2:$G$2583,'ноябрь 2025'!$D$2:$D$2583,$B46,'ноябрь 2025'!$J$2:$J$2583,AH$1)</f>
        <v>0</v>
      </c>
      <c r="AI46" s="20">
        <f t="shared" si="1"/>
        <v>0</v>
      </c>
    </row>
    <row r="47" spans="2:35" ht="15" customHeight="1" x14ac:dyDescent="0.25">
      <c r="B47" s="135" t="s">
        <v>288</v>
      </c>
      <c r="C47" s="137">
        <v>25</v>
      </c>
      <c r="D47" s="182">
        <f>SUMIFS('ноябрь 2025'!$G$2:$G$2583,'ноябрь 2025'!$D$2:$D$2583,$B47,'ноябрь 2025'!$J$2:$J$2583,D$1)</f>
        <v>0</v>
      </c>
      <c r="E47" s="182">
        <f>SUMIFS('ноябрь 2025'!$G$2:$G$2583,'ноябрь 2025'!$D$2:$D$2583,$B47,'ноябрь 2025'!$J$2:$J$2583,E$1)</f>
        <v>0</v>
      </c>
      <c r="F47" s="182">
        <f>SUMIFS('ноябрь 2025'!$G$2:$G$2583,'ноябрь 2025'!$D$2:$D$2583,$B47,'ноябрь 2025'!$J$2:$J$2583,F$1)</f>
        <v>0</v>
      </c>
      <c r="G47" s="182">
        <f>SUMIFS('ноябрь 2025'!$G$2:$G$2583,'ноябрь 2025'!$D$2:$D$2583,$B47,'ноябрь 2025'!$J$2:$J$2583,G$1)</f>
        <v>0</v>
      </c>
      <c r="H47" s="182">
        <f>SUMIFS('ноябрь 2025'!$G$2:$G$2583,'ноябрь 2025'!$D$2:$D$2583,$B47,'ноябрь 2025'!$J$2:$J$2583,H$1)</f>
        <v>0</v>
      </c>
      <c r="I47" s="182">
        <f>SUMIFS('ноябрь 2025'!$G$2:$G$2583,'ноябрь 2025'!$D$2:$D$2583,$B47,'ноябрь 2025'!$J$2:$J$2583,I$1)</f>
        <v>0</v>
      </c>
      <c r="J47" s="182">
        <f>SUMIFS('ноябрь 2025'!$G$2:$G$2583,'ноябрь 2025'!$D$2:$D$2583,$B47,'ноябрь 2025'!$J$2:$J$2583,J$1)</f>
        <v>0</v>
      </c>
      <c r="K47" s="182">
        <f>SUMIFS('ноябрь 2025'!$G$2:$G$2583,'ноябрь 2025'!$D$2:$D$2583,$B47,'ноябрь 2025'!$J$2:$J$2583,K$1)</f>
        <v>0</v>
      </c>
      <c r="L47" s="182">
        <f>SUMIFS('ноябрь 2025'!$G$2:$G$2583,'ноябрь 2025'!$D$2:$D$2583,$B47,'ноябрь 2025'!$J$2:$J$2583,L$1)</f>
        <v>0</v>
      </c>
      <c r="M47" s="182">
        <f>SUMIFS('ноябрь 2025'!$G$2:$G$2583,'ноябрь 2025'!$D$2:$D$2583,$B47,'ноябрь 2025'!$J$2:$J$2583,M$1)</f>
        <v>0</v>
      </c>
      <c r="N47" s="182">
        <f>SUMIFS('ноябрь 2025'!$G$2:$G$2583,'ноябрь 2025'!$D$2:$D$2583,$B47,'ноябрь 2025'!$J$2:$J$2583,N$1)</f>
        <v>0</v>
      </c>
      <c r="O47" s="182">
        <f>SUMIFS('ноябрь 2025'!$G$2:$G$2583,'ноябрь 2025'!$D$2:$D$2583,$B47,'ноябрь 2025'!$J$2:$J$2583,O$1)</f>
        <v>0</v>
      </c>
      <c r="P47" s="182">
        <f>SUMIFS('ноябрь 2025'!$G$2:$G$2583,'ноябрь 2025'!$D$2:$D$2583,$B47,'ноябрь 2025'!$J$2:$J$2583,P$1)</f>
        <v>0</v>
      </c>
      <c r="Q47" s="182">
        <f>SUMIFS('ноябрь 2025'!$G$2:$G$2583,'ноябрь 2025'!$D$2:$D$2583,$B47,'ноябрь 2025'!$J$2:$J$2583,Q$1)</f>
        <v>0</v>
      </c>
      <c r="R47" s="182">
        <f>SUMIFS('ноябрь 2025'!$G$2:$G$2583,'ноябрь 2025'!$D$2:$D$2583,$B47,'ноябрь 2025'!$J$2:$J$2583,R$1)</f>
        <v>0</v>
      </c>
      <c r="S47" s="182">
        <f>SUMIFS('ноябрь 2025'!$G$2:$G$2583,'ноябрь 2025'!$D$2:$D$2583,$B47,'ноябрь 2025'!$J$2:$J$2583,S$1)</f>
        <v>0</v>
      </c>
      <c r="T47" s="182">
        <f>SUMIFS('ноябрь 2025'!$G$2:$G$2583,'ноябрь 2025'!$D$2:$D$2583,$B47,'ноябрь 2025'!$J$2:$J$2583,T$1)</f>
        <v>0</v>
      </c>
      <c r="U47" s="182">
        <f>SUMIFS('ноябрь 2025'!$G$2:$G$2583,'ноябрь 2025'!$D$2:$D$2583,$B47,'ноябрь 2025'!$J$2:$J$2583,U$1)</f>
        <v>0</v>
      </c>
      <c r="V47" s="182">
        <f>SUMIFS('ноябрь 2025'!$G$2:$G$2583,'ноябрь 2025'!$D$2:$D$2583,$B47,'ноябрь 2025'!$J$2:$J$2583,V$1)</f>
        <v>0</v>
      </c>
      <c r="W47" s="182">
        <f>SUMIFS('ноябрь 2025'!$G$2:$G$2583,'ноябрь 2025'!$D$2:$D$2583,$B47,'ноябрь 2025'!$J$2:$J$2583,W$1)</f>
        <v>0</v>
      </c>
      <c r="X47" s="182">
        <f>SUMIFS('ноябрь 2025'!$G$2:$G$2583,'ноябрь 2025'!$D$2:$D$2583,$B47,'ноябрь 2025'!$J$2:$J$2583,X$1)</f>
        <v>0</v>
      </c>
      <c r="Y47" s="182">
        <f>SUMIFS('ноябрь 2025'!$G$2:$G$2583,'ноябрь 2025'!$D$2:$D$2583,$B47,'ноябрь 2025'!$J$2:$J$2583,Y$1)</f>
        <v>0</v>
      </c>
      <c r="Z47" s="182">
        <f>SUMIFS('ноябрь 2025'!$G$2:$G$2583,'ноябрь 2025'!$D$2:$D$2583,$B47,'ноябрь 2025'!$J$2:$J$2583,Z$1)</f>
        <v>0</v>
      </c>
      <c r="AA47" s="182">
        <f>SUMIFS('ноябрь 2025'!$G$2:$G$2583,'ноябрь 2025'!$D$2:$D$2583,$B47,'ноябрь 2025'!$J$2:$J$2583,AA$1)</f>
        <v>0</v>
      </c>
      <c r="AB47" s="182">
        <f>SUMIFS('ноябрь 2025'!$G$2:$G$2583,'ноябрь 2025'!$D$2:$D$2583,$B47,'ноябрь 2025'!$J$2:$J$2583,AB$1)</f>
        <v>0</v>
      </c>
      <c r="AC47" s="182">
        <f>SUMIFS('ноябрь 2025'!$G$2:$G$2583,'ноябрь 2025'!$D$2:$D$2583,$B47,'ноябрь 2025'!$J$2:$J$2583,AC$1)</f>
        <v>0</v>
      </c>
      <c r="AD47" s="182">
        <f>SUMIFS('ноябрь 2025'!$G$2:$G$2583,'ноябрь 2025'!$D$2:$D$2583,$B47,'ноябрь 2025'!$J$2:$J$2583,AD$1)</f>
        <v>0</v>
      </c>
      <c r="AE47" s="182">
        <f>SUMIFS('ноябрь 2025'!$G$2:$G$2583,'ноябрь 2025'!$D$2:$D$2583,$B47,'ноябрь 2025'!$J$2:$J$2583,AE$1)</f>
        <v>0</v>
      </c>
      <c r="AF47" s="182">
        <f>SUMIFS('ноябрь 2025'!$G$2:$G$2583,'ноябрь 2025'!$D$2:$D$2583,$B47,'ноябрь 2025'!$J$2:$J$2583,AF$1)</f>
        <v>0</v>
      </c>
      <c r="AG47" s="182">
        <f>SUMIFS('ноябрь 2025'!$G$2:$G$2583,'ноябрь 2025'!$D$2:$D$2583,$B47,'ноябрь 2025'!$J$2:$J$2583,AG$1)</f>
        <v>0</v>
      </c>
      <c r="AH47" s="182">
        <f>SUMIFS('ноябрь 2025'!$G$2:$G$2583,'ноябрь 2025'!$D$2:$D$2583,$B47,'ноябрь 2025'!$J$2:$J$2583,AH$1)</f>
        <v>0</v>
      </c>
      <c r="AI47" s="20">
        <f t="shared" si="1"/>
        <v>0</v>
      </c>
    </row>
    <row r="48" spans="2:35" ht="15" customHeight="1" x14ac:dyDescent="0.25">
      <c r="B48" s="135" t="s">
        <v>232</v>
      </c>
      <c r="C48" s="132">
        <v>25</v>
      </c>
      <c r="D48" s="182">
        <f>SUMIFS('ноябрь 2025'!$G$2:$G$2583,'ноябрь 2025'!$D$2:$D$2583,$B48,'ноябрь 2025'!$J$2:$J$2583,D$1)</f>
        <v>0</v>
      </c>
      <c r="E48" s="182">
        <f>SUMIFS('ноябрь 2025'!$G$2:$G$2583,'ноябрь 2025'!$D$2:$D$2583,$B48,'ноябрь 2025'!$J$2:$J$2583,E$1)</f>
        <v>0</v>
      </c>
      <c r="F48" s="182">
        <f>SUMIFS('ноябрь 2025'!$G$2:$G$2583,'ноябрь 2025'!$D$2:$D$2583,$B48,'ноябрь 2025'!$J$2:$J$2583,F$1)</f>
        <v>0</v>
      </c>
      <c r="G48" s="182">
        <f>SUMIFS('ноябрь 2025'!$G$2:$G$2583,'ноябрь 2025'!$D$2:$D$2583,$B48,'ноябрь 2025'!$J$2:$J$2583,G$1)</f>
        <v>0</v>
      </c>
      <c r="H48" s="182">
        <f>SUMIFS('ноябрь 2025'!$G$2:$G$2583,'ноябрь 2025'!$D$2:$D$2583,$B48,'ноябрь 2025'!$J$2:$J$2583,H$1)</f>
        <v>0</v>
      </c>
      <c r="I48" s="182">
        <f>SUMIFS('ноябрь 2025'!$G$2:$G$2583,'ноябрь 2025'!$D$2:$D$2583,$B48,'ноябрь 2025'!$J$2:$J$2583,I$1)</f>
        <v>0</v>
      </c>
      <c r="J48" s="182">
        <f>SUMIFS('ноябрь 2025'!$G$2:$G$2583,'ноябрь 2025'!$D$2:$D$2583,$B48,'ноябрь 2025'!$J$2:$J$2583,J$1)</f>
        <v>0</v>
      </c>
      <c r="K48" s="182">
        <f>SUMIFS('ноябрь 2025'!$G$2:$G$2583,'ноябрь 2025'!$D$2:$D$2583,$B48,'ноябрь 2025'!$J$2:$J$2583,K$1)</f>
        <v>0</v>
      </c>
      <c r="L48" s="182">
        <f>SUMIFS('ноябрь 2025'!$G$2:$G$2583,'ноябрь 2025'!$D$2:$D$2583,$B48,'ноябрь 2025'!$J$2:$J$2583,L$1)</f>
        <v>0</v>
      </c>
      <c r="M48" s="182">
        <f>SUMIFS('ноябрь 2025'!$G$2:$G$2583,'ноябрь 2025'!$D$2:$D$2583,$B48,'ноябрь 2025'!$J$2:$J$2583,M$1)</f>
        <v>0</v>
      </c>
      <c r="N48" s="182">
        <f>SUMIFS('ноябрь 2025'!$G$2:$G$2583,'ноябрь 2025'!$D$2:$D$2583,$B48,'ноябрь 2025'!$J$2:$J$2583,N$1)</f>
        <v>0</v>
      </c>
      <c r="O48" s="182">
        <f>SUMIFS('ноябрь 2025'!$G$2:$G$2583,'ноябрь 2025'!$D$2:$D$2583,$B48,'ноябрь 2025'!$J$2:$J$2583,O$1)</f>
        <v>0</v>
      </c>
      <c r="P48" s="182">
        <f>SUMIFS('ноябрь 2025'!$G$2:$G$2583,'ноябрь 2025'!$D$2:$D$2583,$B48,'ноябрь 2025'!$J$2:$J$2583,P$1)</f>
        <v>0</v>
      </c>
      <c r="Q48" s="182">
        <f>SUMIFS('ноябрь 2025'!$G$2:$G$2583,'ноябрь 2025'!$D$2:$D$2583,$B48,'ноябрь 2025'!$J$2:$J$2583,Q$1)</f>
        <v>0</v>
      </c>
      <c r="R48" s="182">
        <f>SUMIFS('ноябрь 2025'!$G$2:$G$2583,'ноябрь 2025'!$D$2:$D$2583,$B48,'ноябрь 2025'!$J$2:$J$2583,R$1)</f>
        <v>0</v>
      </c>
      <c r="S48" s="182">
        <f>SUMIFS('ноябрь 2025'!$G$2:$G$2583,'ноябрь 2025'!$D$2:$D$2583,$B48,'ноябрь 2025'!$J$2:$J$2583,S$1)</f>
        <v>0</v>
      </c>
      <c r="T48" s="182">
        <f>SUMIFS('ноябрь 2025'!$G$2:$G$2583,'ноябрь 2025'!$D$2:$D$2583,$B48,'ноябрь 2025'!$J$2:$J$2583,T$1)</f>
        <v>0</v>
      </c>
      <c r="U48" s="182">
        <f>SUMIFS('ноябрь 2025'!$G$2:$G$2583,'ноябрь 2025'!$D$2:$D$2583,$B48,'ноябрь 2025'!$J$2:$J$2583,U$1)</f>
        <v>0</v>
      </c>
      <c r="V48" s="182">
        <f>SUMIFS('ноябрь 2025'!$G$2:$G$2583,'ноябрь 2025'!$D$2:$D$2583,$B48,'ноябрь 2025'!$J$2:$J$2583,V$1)</f>
        <v>0</v>
      </c>
      <c r="W48" s="182">
        <f>SUMIFS('ноябрь 2025'!$G$2:$G$2583,'ноябрь 2025'!$D$2:$D$2583,$B48,'ноябрь 2025'!$J$2:$J$2583,W$1)</f>
        <v>0</v>
      </c>
      <c r="X48" s="182">
        <f>SUMIFS('ноябрь 2025'!$G$2:$G$2583,'ноябрь 2025'!$D$2:$D$2583,$B48,'ноябрь 2025'!$J$2:$J$2583,X$1)</f>
        <v>0</v>
      </c>
      <c r="Y48" s="182">
        <f>SUMIFS('ноябрь 2025'!$G$2:$G$2583,'ноябрь 2025'!$D$2:$D$2583,$B48,'ноябрь 2025'!$J$2:$J$2583,Y$1)</f>
        <v>0</v>
      </c>
      <c r="Z48" s="182">
        <f>SUMIFS('ноябрь 2025'!$G$2:$G$2583,'ноябрь 2025'!$D$2:$D$2583,$B48,'ноябрь 2025'!$J$2:$J$2583,Z$1)</f>
        <v>0</v>
      </c>
      <c r="AA48" s="182">
        <f>SUMIFS('ноябрь 2025'!$G$2:$G$2583,'ноябрь 2025'!$D$2:$D$2583,$B48,'ноябрь 2025'!$J$2:$J$2583,AA$1)</f>
        <v>0</v>
      </c>
      <c r="AB48" s="182">
        <f>SUMIFS('ноябрь 2025'!$G$2:$G$2583,'ноябрь 2025'!$D$2:$D$2583,$B48,'ноябрь 2025'!$J$2:$J$2583,AB$1)</f>
        <v>0</v>
      </c>
      <c r="AC48" s="182">
        <f>SUMIFS('ноябрь 2025'!$G$2:$G$2583,'ноябрь 2025'!$D$2:$D$2583,$B48,'ноябрь 2025'!$J$2:$J$2583,AC$1)</f>
        <v>0</v>
      </c>
      <c r="AD48" s="182">
        <f>SUMIFS('ноябрь 2025'!$G$2:$G$2583,'ноябрь 2025'!$D$2:$D$2583,$B48,'ноябрь 2025'!$J$2:$J$2583,AD$1)</f>
        <v>0</v>
      </c>
      <c r="AE48" s="182">
        <f>SUMIFS('ноябрь 2025'!$G$2:$G$2583,'ноябрь 2025'!$D$2:$D$2583,$B48,'ноябрь 2025'!$J$2:$J$2583,AE$1)</f>
        <v>0</v>
      </c>
      <c r="AF48" s="182">
        <f>SUMIFS('ноябрь 2025'!$G$2:$G$2583,'ноябрь 2025'!$D$2:$D$2583,$B48,'ноябрь 2025'!$J$2:$J$2583,AF$1)</f>
        <v>0</v>
      </c>
      <c r="AG48" s="182">
        <f>SUMIFS('ноябрь 2025'!$G$2:$G$2583,'ноябрь 2025'!$D$2:$D$2583,$B48,'ноябрь 2025'!$J$2:$J$2583,AG$1)</f>
        <v>0</v>
      </c>
      <c r="AH48" s="182">
        <f>SUMIFS('ноябрь 2025'!$G$2:$G$2583,'ноябрь 2025'!$D$2:$D$2583,$B48,'ноябрь 2025'!$J$2:$J$2583,AH$1)</f>
        <v>0</v>
      </c>
      <c r="AI48" s="20">
        <f t="shared" si="1"/>
        <v>0</v>
      </c>
    </row>
    <row r="49" spans="2:35" ht="15" customHeight="1" x14ac:dyDescent="0.25">
      <c r="B49" s="135" t="s">
        <v>234</v>
      </c>
      <c r="C49" s="132">
        <v>18</v>
      </c>
      <c r="D49" s="182">
        <f>SUMIFS('ноябрь 2025'!$G$2:$G$2583,'ноябрь 2025'!$D$2:$D$2583,$B49,'ноябрь 2025'!$J$2:$J$2583,D$1)</f>
        <v>0</v>
      </c>
      <c r="E49" s="182">
        <f>SUMIFS('ноябрь 2025'!$G$2:$G$2583,'ноябрь 2025'!$D$2:$D$2583,$B49,'ноябрь 2025'!$J$2:$J$2583,E$1)</f>
        <v>0</v>
      </c>
      <c r="F49" s="182">
        <f>SUMIFS('ноябрь 2025'!$G$2:$G$2583,'ноябрь 2025'!$D$2:$D$2583,$B49,'ноябрь 2025'!$J$2:$J$2583,F$1)</f>
        <v>0</v>
      </c>
      <c r="G49" s="182">
        <f>SUMIFS('ноябрь 2025'!$G$2:$G$2583,'ноябрь 2025'!$D$2:$D$2583,$B49,'ноябрь 2025'!$J$2:$J$2583,G$1)</f>
        <v>0</v>
      </c>
      <c r="H49" s="182">
        <f>SUMIFS('ноябрь 2025'!$G$2:$G$2583,'ноябрь 2025'!$D$2:$D$2583,$B49,'ноябрь 2025'!$J$2:$J$2583,H$1)</f>
        <v>0</v>
      </c>
      <c r="I49" s="182">
        <f>SUMIFS('ноябрь 2025'!$G$2:$G$2583,'ноябрь 2025'!$D$2:$D$2583,$B49,'ноябрь 2025'!$J$2:$J$2583,I$1)</f>
        <v>0</v>
      </c>
      <c r="J49" s="182">
        <f>SUMIFS('ноябрь 2025'!$G$2:$G$2583,'ноябрь 2025'!$D$2:$D$2583,$B49,'ноябрь 2025'!$J$2:$J$2583,J$1)</f>
        <v>0</v>
      </c>
      <c r="K49" s="182">
        <f>SUMIFS('ноябрь 2025'!$G$2:$G$2583,'ноябрь 2025'!$D$2:$D$2583,$B49,'ноябрь 2025'!$J$2:$J$2583,K$1)</f>
        <v>0</v>
      </c>
      <c r="L49" s="182">
        <f>SUMIFS('ноябрь 2025'!$G$2:$G$2583,'ноябрь 2025'!$D$2:$D$2583,$B49,'ноябрь 2025'!$J$2:$J$2583,L$1)</f>
        <v>0</v>
      </c>
      <c r="M49" s="182">
        <f>SUMIFS('ноябрь 2025'!$G$2:$G$2583,'ноябрь 2025'!$D$2:$D$2583,$B49,'ноябрь 2025'!$J$2:$J$2583,M$1)</f>
        <v>0</v>
      </c>
      <c r="N49" s="182">
        <f>SUMIFS('ноябрь 2025'!$G$2:$G$2583,'ноябрь 2025'!$D$2:$D$2583,$B49,'ноябрь 2025'!$J$2:$J$2583,N$1)</f>
        <v>0</v>
      </c>
      <c r="O49" s="182">
        <f>SUMIFS('ноябрь 2025'!$G$2:$G$2583,'ноябрь 2025'!$D$2:$D$2583,$B49,'ноябрь 2025'!$J$2:$J$2583,O$1)</f>
        <v>0</v>
      </c>
      <c r="P49" s="182">
        <f>SUMIFS('ноябрь 2025'!$G$2:$G$2583,'ноябрь 2025'!$D$2:$D$2583,$B49,'ноябрь 2025'!$J$2:$J$2583,P$1)</f>
        <v>0</v>
      </c>
      <c r="Q49" s="182">
        <f>SUMIFS('ноябрь 2025'!$G$2:$G$2583,'ноябрь 2025'!$D$2:$D$2583,$B49,'ноябрь 2025'!$J$2:$J$2583,Q$1)</f>
        <v>0</v>
      </c>
      <c r="R49" s="182">
        <f>SUMIFS('ноябрь 2025'!$G$2:$G$2583,'ноябрь 2025'!$D$2:$D$2583,$B49,'ноябрь 2025'!$J$2:$J$2583,R$1)</f>
        <v>0</v>
      </c>
      <c r="S49" s="182">
        <f>SUMIFS('ноябрь 2025'!$G$2:$G$2583,'ноябрь 2025'!$D$2:$D$2583,$B49,'ноябрь 2025'!$J$2:$J$2583,S$1)</f>
        <v>0</v>
      </c>
      <c r="T49" s="182">
        <f>SUMIFS('ноябрь 2025'!$G$2:$G$2583,'ноябрь 2025'!$D$2:$D$2583,$B49,'ноябрь 2025'!$J$2:$J$2583,T$1)</f>
        <v>0</v>
      </c>
      <c r="U49" s="182">
        <f>SUMIFS('ноябрь 2025'!$G$2:$G$2583,'ноябрь 2025'!$D$2:$D$2583,$B49,'ноябрь 2025'!$J$2:$J$2583,U$1)</f>
        <v>0</v>
      </c>
      <c r="V49" s="182">
        <f>SUMIFS('ноябрь 2025'!$G$2:$G$2583,'ноябрь 2025'!$D$2:$D$2583,$B49,'ноябрь 2025'!$J$2:$J$2583,V$1)</f>
        <v>0</v>
      </c>
      <c r="W49" s="182">
        <f>SUMIFS('ноябрь 2025'!$G$2:$G$2583,'ноябрь 2025'!$D$2:$D$2583,$B49,'ноябрь 2025'!$J$2:$J$2583,W$1)</f>
        <v>0</v>
      </c>
      <c r="X49" s="182">
        <f>SUMIFS('ноябрь 2025'!$G$2:$G$2583,'ноябрь 2025'!$D$2:$D$2583,$B49,'ноябрь 2025'!$J$2:$J$2583,X$1)</f>
        <v>0</v>
      </c>
      <c r="Y49" s="182">
        <f>SUMIFS('ноябрь 2025'!$G$2:$G$2583,'ноябрь 2025'!$D$2:$D$2583,$B49,'ноябрь 2025'!$J$2:$J$2583,Y$1)</f>
        <v>0</v>
      </c>
      <c r="Z49" s="182">
        <f>SUMIFS('ноябрь 2025'!$G$2:$G$2583,'ноябрь 2025'!$D$2:$D$2583,$B49,'ноябрь 2025'!$J$2:$J$2583,Z$1)</f>
        <v>0</v>
      </c>
      <c r="AA49" s="182">
        <f>SUMIFS('ноябрь 2025'!$G$2:$G$2583,'ноябрь 2025'!$D$2:$D$2583,$B49,'ноябрь 2025'!$J$2:$J$2583,AA$1)</f>
        <v>0</v>
      </c>
      <c r="AB49" s="182">
        <f>SUMIFS('ноябрь 2025'!$G$2:$G$2583,'ноябрь 2025'!$D$2:$D$2583,$B49,'ноябрь 2025'!$J$2:$J$2583,AB$1)</f>
        <v>0</v>
      </c>
      <c r="AC49" s="182">
        <f>SUMIFS('ноябрь 2025'!$G$2:$G$2583,'ноябрь 2025'!$D$2:$D$2583,$B49,'ноябрь 2025'!$J$2:$J$2583,AC$1)</f>
        <v>0</v>
      </c>
      <c r="AD49" s="182">
        <f>SUMIFS('ноябрь 2025'!$G$2:$G$2583,'ноябрь 2025'!$D$2:$D$2583,$B49,'ноябрь 2025'!$J$2:$J$2583,AD$1)</f>
        <v>0</v>
      </c>
      <c r="AE49" s="182">
        <f>SUMIFS('ноябрь 2025'!$G$2:$G$2583,'ноябрь 2025'!$D$2:$D$2583,$B49,'ноябрь 2025'!$J$2:$J$2583,AE$1)</f>
        <v>0</v>
      </c>
      <c r="AF49" s="182">
        <f>SUMIFS('ноябрь 2025'!$G$2:$G$2583,'ноябрь 2025'!$D$2:$D$2583,$B49,'ноябрь 2025'!$J$2:$J$2583,AF$1)</f>
        <v>0</v>
      </c>
      <c r="AG49" s="182">
        <f>SUMIFS('ноябрь 2025'!$G$2:$G$2583,'ноябрь 2025'!$D$2:$D$2583,$B49,'ноябрь 2025'!$J$2:$J$2583,AG$1)</f>
        <v>0</v>
      </c>
      <c r="AH49" s="182">
        <f>SUMIFS('ноябрь 2025'!$G$2:$G$2583,'ноябрь 2025'!$D$2:$D$2583,$B49,'ноябрь 2025'!$J$2:$J$2583,AH$1)</f>
        <v>0</v>
      </c>
      <c r="AI49" s="20">
        <f t="shared" si="1"/>
        <v>0</v>
      </c>
    </row>
    <row r="50" spans="2:35" ht="15" customHeight="1" x14ac:dyDescent="0.25">
      <c r="B50" s="135" t="s">
        <v>1079</v>
      </c>
      <c r="C50" s="132">
        <v>18</v>
      </c>
      <c r="D50" s="182">
        <f>SUMIFS('ноябрь 2025'!$G$2:$G$2583,'ноябрь 2025'!$D$2:$D$2583,$B50,'ноябрь 2025'!$J$2:$J$2583,D$1)</f>
        <v>0</v>
      </c>
      <c r="E50" s="182">
        <f>SUMIFS('ноябрь 2025'!$G$2:$G$2583,'ноябрь 2025'!$D$2:$D$2583,$B50,'ноябрь 2025'!$J$2:$J$2583,E$1)</f>
        <v>0</v>
      </c>
      <c r="F50" s="182">
        <f>SUMIFS('ноябрь 2025'!$G$2:$G$2583,'ноябрь 2025'!$D$2:$D$2583,$B50,'ноябрь 2025'!$J$2:$J$2583,F$1)</f>
        <v>0</v>
      </c>
      <c r="G50" s="182">
        <f>SUMIFS('ноябрь 2025'!$G$2:$G$2583,'ноябрь 2025'!$D$2:$D$2583,$B50,'ноябрь 2025'!$J$2:$J$2583,G$1)</f>
        <v>0</v>
      </c>
      <c r="H50" s="182">
        <f>SUMIFS('ноябрь 2025'!$G$2:$G$2583,'ноябрь 2025'!$D$2:$D$2583,$B50,'ноябрь 2025'!$J$2:$J$2583,H$1)</f>
        <v>0</v>
      </c>
      <c r="I50" s="182">
        <f>SUMIFS('ноябрь 2025'!$G$2:$G$2583,'ноябрь 2025'!$D$2:$D$2583,$B50,'ноябрь 2025'!$J$2:$J$2583,I$1)</f>
        <v>0</v>
      </c>
      <c r="J50" s="182">
        <f>SUMIFS('ноябрь 2025'!$G$2:$G$2583,'ноябрь 2025'!$D$2:$D$2583,$B50,'ноябрь 2025'!$J$2:$J$2583,J$1)</f>
        <v>0</v>
      </c>
      <c r="K50" s="182">
        <f>SUMIFS('ноябрь 2025'!$G$2:$G$2583,'ноябрь 2025'!$D$2:$D$2583,$B50,'ноябрь 2025'!$J$2:$J$2583,K$1)</f>
        <v>0</v>
      </c>
      <c r="L50" s="182">
        <f>SUMIFS('ноябрь 2025'!$G$2:$G$2583,'ноябрь 2025'!$D$2:$D$2583,$B50,'ноябрь 2025'!$J$2:$J$2583,L$1)</f>
        <v>0</v>
      </c>
      <c r="M50" s="182">
        <f>SUMIFS('ноябрь 2025'!$G$2:$G$2583,'ноябрь 2025'!$D$2:$D$2583,$B50,'ноябрь 2025'!$J$2:$J$2583,M$1)</f>
        <v>0</v>
      </c>
      <c r="N50" s="182">
        <f>SUMIFS('ноябрь 2025'!$G$2:$G$2583,'ноябрь 2025'!$D$2:$D$2583,$B50,'ноябрь 2025'!$J$2:$J$2583,N$1)</f>
        <v>0</v>
      </c>
      <c r="O50" s="182">
        <f>SUMIFS('ноябрь 2025'!$G$2:$G$2583,'ноябрь 2025'!$D$2:$D$2583,$B50,'ноябрь 2025'!$J$2:$J$2583,O$1)</f>
        <v>0</v>
      </c>
      <c r="P50" s="182">
        <f>SUMIFS('ноябрь 2025'!$G$2:$G$2583,'ноябрь 2025'!$D$2:$D$2583,$B50,'ноябрь 2025'!$J$2:$J$2583,P$1)</f>
        <v>0</v>
      </c>
      <c r="Q50" s="182">
        <f>SUMIFS('ноябрь 2025'!$G$2:$G$2583,'ноябрь 2025'!$D$2:$D$2583,$B50,'ноябрь 2025'!$J$2:$J$2583,Q$1)</f>
        <v>0</v>
      </c>
      <c r="R50" s="182">
        <f>SUMIFS('ноябрь 2025'!$G$2:$G$2583,'ноябрь 2025'!$D$2:$D$2583,$B50,'ноябрь 2025'!$J$2:$J$2583,R$1)</f>
        <v>0</v>
      </c>
      <c r="S50" s="182">
        <f>SUMIFS('ноябрь 2025'!$G$2:$G$2583,'ноябрь 2025'!$D$2:$D$2583,$B50,'ноябрь 2025'!$J$2:$J$2583,S$1)</f>
        <v>0</v>
      </c>
      <c r="T50" s="182">
        <f>SUMIFS('ноябрь 2025'!$G$2:$G$2583,'ноябрь 2025'!$D$2:$D$2583,$B50,'ноябрь 2025'!$J$2:$J$2583,T$1)</f>
        <v>0</v>
      </c>
      <c r="U50" s="182">
        <f>SUMIFS('ноябрь 2025'!$G$2:$G$2583,'ноябрь 2025'!$D$2:$D$2583,$B50,'ноябрь 2025'!$J$2:$J$2583,U$1)</f>
        <v>0</v>
      </c>
      <c r="V50" s="182">
        <f>SUMIFS('ноябрь 2025'!$G$2:$G$2583,'ноябрь 2025'!$D$2:$D$2583,$B50,'ноябрь 2025'!$J$2:$J$2583,V$1)</f>
        <v>0</v>
      </c>
      <c r="W50" s="182">
        <f>SUMIFS('ноябрь 2025'!$G$2:$G$2583,'ноябрь 2025'!$D$2:$D$2583,$B50,'ноябрь 2025'!$J$2:$J$2583,W$1)</f>
        <v>0</v>
      </c>
      <c r="X50" s="182">
        <f>SUMIFS('ноябрь 2025'!$G$2:$G$2583,'ноябрь 2025'!$D$2:$D$2583,$B50,'ноябрь 2025'!$J$2:$J$2583,X$1)</f>
        <v>0</v>
      </c>
      <c r="Y50" s="182">
        <f>SUMIFS('ноябрь 2025'!$G$2:$G$2583,'ноябрь 2025'!$D$2:$D$2583,$B50,'ноябрь 2025'!$J$2:$J$2583,Y$1)</f>
        <v>0</v>
      </c>
      <c r="Z50" s="182">
        <f>SUMIFS('ноябрь 2025'!$G$2:$G$2583,'ноябрь 2025'!$D$2:$D$2583,$B50,'ноябрь 2025'!$J$2:$J$2583,Z$1)</f>
        <v>0</v>
      </c>
      <c r="AA50" s="182">
        <f>SUMIFS('ноябрь 2025'!$G$2:$G$2583,'ноябрь 2025'!$D$2:$D$2583,$B50,'ноябрь 2025'!$J$2:$J$2583,AA$1)</f>
        <v>0</v>
      </c>
      <c r="AB50" s="182">
        <f>SUMIFS('ноябрь 2025'!$G$2:$G$2583,'ноябрь 2025'!$D$2:$D$2583,$B50,'ноябрь 2025'!$J$2:$J$2583,AB$1)</f>
        <v>0</v>
      </c>
      <c r="AC50" s="182">
        <f>SUMIFS('ноябрь 2025'!$G$2:$G$2583,'ноябрь 2025'!$D$2:$D$2583,$B50,'ноябрь 2025'!$J$2:$J$2583,AC$1)</f>
        <v>0</v>
      </c>
      <c r="AD50" s="182">
        <f>SUMIFS('ноябрь 2025'!$G$2:$G$2583,'ноябрь 2025'!$D$2:$D$2583,$B50,'ноябрь 2025'!$J$2:$J$2583,AD$1)</f>
        <v>0</v>
      </c>
      <c r="AE50" s="182">
        <f>SUMIFS('ноябрь 2025'!$G$2:$G$2583,'ноябрь 2025'!$D$2:$D$2583,$B50,'ноябрь 2025'!$J$2:$J$2583,AE$1)</f>
        <v>0</v>
      </c>
      <c r="AF50" s="182">
        <f>SUMIFS('ноябрь 2025'!$G$2:$G$2583,'ноябрь 2025'!$D$2:$D$2583,$B50,'ноябрь 2025'!$J$2:$J$2583,AF$1)</f>
        <v>0</v>
      </c>
      <c r="AG50" s="182">
        <f>SUMIFS('ноябрь 2025'!$G$2:$G$2583,'ноябрь 2025'!$D$2:$D$2583,$B50,'ноябрь 2025'!$J$2:$J$2583,AG$1)</f>
        <v>0</v>
      </c>
      <c r="AH50" s="182">
        <f>SUMIFS('ноябрь 2025'!$G$2:$G$2583,'ноябрь 2025'!$D$2:$D$2583,$B50,'ноябрь 2025'!$J$2:$J$2583,AH$1)</f>
        <v>0</v>
      </c>
      <c r="AI50" s="20">
        <f t="shared" si="1"/>
        <v>0</v>
      </c>
    </row>
    <row r="51" spans="2:35" ht="15" customHeight="1" x14ac:dyDescent="0.25">
      <c r="B51" s="135" t="s">
        <v>236</v>
      </c>
      <c r="C51" s="132">
        <v>20</v>
      </c>
      <c r="D51" s="182">
        <f>SUMIFS('ноябрь 2025'!$G$2:$G$2583,'ноябрь 2025'!$D$2:$D$2583,$B51,'ноябрь 2025'!$J$2:$J$2583,D$1)</f>
        <v>150</v>
      </c>
      <c r="E51" s="182">
        <f>SUMIFS('ноябрь 2025'!$G$2:$G$2583,'ноябрь 2025'!$D$2:$D$2583,$B51,'ноябрь 2025'!$J$2:$J$2583,E$1)</f>
        <v>0</v>
      </c>
      <c r="F51" s="182">
        <f>SUMIFS('ноябрь 2025'!$G$2:$G$2583,'ноябрь 2025'!$D$2:$D$2583,$B51,'ноябрь 2025'!$J$2:$J$2583,F$1)</f>
        <v>0</v>
      </c>
      <c r="G51" s="182">
        <f>SUMIFS('ноябрь 2025'!$G$2:$G$2583,'ноябрь 2025'!$D$2:$D$2583,$B51,'ноябрь 2025'!$J$2:$J$2583,G$1)</f>
        <v>0</v>
      </c>
      <c r="H51" s="182">
        <f>SUMIFS('ноябрь 2025'!$G$2:$G$2583,'ноябрь 2025'!$D$2:$D$2583,$B51,'ноябрь 2025'!$J$2:$J$2583,H$1)</f>
        <v>0</v>
      </c>
      <c r="I51" s="182">
        <f>SUMIFS('ноябрь 2025'!$G$2:$G$2583,'ноябрь 2025'!$D$2:$D$2583,$B51,'ноябрь 2025'!$J$2:$J$2583,I$1)</f>
        <v>0</v>
      </c>
      <c r="J51" s="182">
        <f>SUMIFS('ноябрь 2025'!$G$2:$G$2583,'ноябрь 2025'!$D$2:$D$2583,$B51,'ноябрь 2025'!$J$2:$J$2583,J$1)</f>
        <v>0</v>
      </c>
      <c r="K51" s="182">
        <f>SUMIFS('ноябрь 2025'!$G$2:$G$2583,'ноябрь 2025'!$D$2:$D$2583,$B51,'ноябрь 2025'!$J$2:$J$2583,K$1)</f>
        <v>0</v>
      </c>
      <c r="L51" s="182">
        <f>SUMIFS('ноябрь 2025'!$G$2:$G$2583,'ноябрь 2025'!$D$2:$D$2583,$B51,'ноябрь 2025'!$J$2:$J$2583,L$1)</f>
        <v>0</v>
      </c>
      <c r="M51" s="182">
        <f>SUMIFS('ноябрь 2025'!$G$2:$G$2583,'ноябрь 2025'!$D$2:$D$2583,$B51,'ноябрь 2025'!$J$2:$J$2583,M$1)</f>
        <v>0</v>
      </c>
      <c r="N51" s="182">
        <f>SUMIFS('ноябрь 2025'!$G$2:$G$2583,'ноябрь 2025'!$D$2:$D$2583,$B51,'ноябрь 2025'!$J$2:$J$2583,N$1)</f>
        <v>0</v>
      </c>
      <c r="O51" s="182">
        <f>SUMIFS('ноябрь 2025'!$G$2:$G$2583,'ноябрь 2025'!$D$2:$D$2583,$B51,'ноябрь 2025'!$J$2:$J$2583,O$1)</f>
        <v>0</v>
      </c>
      <c r="P51" s="182">
        <f>SUMIFS('ноябрь 2025'!$G$2:$G$2583,'ноябрь 2025'!$D$2:$D$2583,$B51,'ноябрь 2025'!$J$2:$J$2583,P$1)</f>
        <v>0</v>
      </c>
      <c r="Q51" s="182">
        <f>SUMIFS('ноябрь 2025'!$G$2:$G$2583,'ноябрь 2025'!$D$2:$D$2583,$B51,'ноябрь 2025'!$J$2:$J$2583,Q$1)</f>
        <v>0</v>
      </c>
      <c r="R51" s="182">
        <f>SUMIFS('ноябрь 2025'!$G$2:$G$2583,'ноябрь 2025'!$D$2:$D$2583,$B51,'ноябрь 2025'!$J$2:$J$2583,R$1)</f>
        <v>0</v>
      </c>
      <c r="S51" s="182">
        <f>SUMIFS('ноябрь 2025'!$G$2:$G$2583,'ноябрь 2025'!$D$2:$D$2583,$B51,'ноябрь 2025'!$J$2:$J$2583,S$1)</f>
        <v>0</v>
      </c>
      <c r="T51" s="182">
        <f>SUMIFS('ноябрь 2025'!$G$2:$G$2583,'ноябрь 2025'!$D$2:$D$2583,$B51,'ноябрь 2025'!$J$2:$J$2583,T$1)</f>
        <v>0</v>
      </c>
      <c r="U51" s="182">
        <f>SUMIFS('ноябрь 2025'!$G$2:$G$2583,'ноябрь 2025'!$D$2:$D$2583,$B51,'ноябрь 2025'!$J$2:$J$2583,U$1)</f>
        <v>0</v>
      </c>
      <c r="V51" s="182">
        <f>SUMIFS('ноябрь 2025'!$G$2:$G$2583,'ноябрь 2025'!$D$2:$D$2583,$B51,'ноябрь 2025'!$J$2:$J$2583,V$1)</f>
        <v>0</v>
      </c>
      <c r="W51" s="182">
        <f>SUMIFS('ноябрь 2025'!$G$2:$G$2583,'ноябрь 2025'!$D$2:$D$2583,$B51,'ноябрь 2025'!$J$2:$J$2583,W$1)</f>
        <v>0</v>
      </c>
      <c r="X51" s="182">
        <f>SUMIFS('ноябрь 2025'!$G$2:$G$2583,'ноябрь 2025'!$D$2:$D$2583,$B51,'ноябрь 2025'!$J$2:$J$2583,X$1)</f>
        <v>0</v>
      </c>
      <c r="Y51" s="182">
        <f>SUMIFS('ноябрь 2025'!$G$2:$G$2583,'ноябрь 2025'!$D$2:$D$2583,$B51,'ноябрь 2025'!$J$2:$J$2583,Y$1)</f>
        <v>0</v>
      </c>
      <c r="Z51" s="182">
        <f>SUMIFS('ноябрь 2025'!$G$2:$G$2583,'ноябрь 2025'!$D$2:$D$2583,$B51,'ноябрь 2025'!$J$2:$J$2583,Z$1)</f>
        <v>0</v>
      </c>
      <c r="AA51" s="182">
        <f>SUMIFS('ноябрь 2025'!$G$2:$G$2583,'ноябрь 2025'!$D$2:$D$2583,$B51,'ноябрь 2025'!$J$2:$J$2583,AA$1)</f>
        <v>0</v>
      </c>
      <c r="AB51" s="182">
        <f>SUMIFS('ноябрь 2025'!$G$2:$G$2583,'ноябрь 2025'!$D$2:$D$2583,$B51,'ноябрь 2025'!$J$2:$J$2583,AB$1)</f>
        <v>0</v>
      </c>
      <c r="AC51" s="182">
        <f>SUMIFS('ноябрь 2025'!$G$2:$G$2583,'ноябрь 2025'!$D$2:$D$2583,$B51,'ноябрь 2025'!$J$2:$J$2583,AC$1)</f>
        <v>0</v>
      </c>
      <c r="AD51" s="182">
        <f>SUMIFS('ноябрь 2025'!$G$2:$G$2583,'ноябрь 2025'!$D$2:$D$2583,$B51,'ноябрь 2025'!$J$2:$J$2583,AD$1)</f>
        <v>0</v>
      </c>
      <c r="AE51" s="182">
        <f>SUMIFS('ноябрь 2025'!$G$2:$G$2583,'ноябрь 2025'!$D$2:$D$2583,$B51,'ноябрь 2025'!$J$2:$J$2583,AE$1)</f>
        <v>0</v>
      </c>
      <c r="AF51" s="182">
        <f>SUMIFS('ноябрь 2025'!$G$2:$G$2583,'ноябрь 2025'!$D$2:$D$2583,$B51,'ноябрь 2025'!$J$2:$J$2583,AF$1)</f>
        <v>0</v>
      </c>
      <c r="AG51" s="182">
        <f>SUMIFS('ноябрь 2025'!$G$2:$G$2583,'ноябрь 2025'!$D$2:$D$2583,$B51,'ноябрь 2025'!$J$2:$J$2583,AG$1)</f>
        <v>0</v>
      </c>
      <c r="AH51" s="182">
        <f>SUMIFS('ноябрь 2025'!$G$2:$G$2583,'ноябрь 2025'!$D$2:$D$2583,$B51,'ноябрь 2025'!$J$2:$J$2583,AH$1)</f>
        <v>0</v>
      </c>
      <c r="AI51" s="20">
        <f t="shared" si="1"/>
        <v>150</v>
      </c>
    </row>
    <row r="52" spans="2:35" ht="15" customHeight="1" x14ac:dyDescent="0.25">
      <c r="B52" s="135" t="s">
        <v>1963</v>
      </c>
      <c r="C52" s="132">
        <v>22.7</v>
      </c>
      <c r="D52" s="182">
        <f>SUMIFS('ноябрь 2025'!$G$2:$G$2583,'ноябрь 2025'!$D$2:$D$2583,$B52,'ноябрь 2025'!$J$2:$J$2583,D$1)</f>
        <v>0</v>
      </c>
      <c r="E52" s="182">
        <f>SUMIFS('ноябрь 2025'!$G$2:$G$2583,'ноябрь 2025'!$D$2:$D$2583,$B52,'ноябрь 2025'!$J$2:$J$2583,E$1)</f>
        <v>0</v>
      </c>
      <c r="F52" s="182">
        <f>SUMIFS('ноябрь 2025'!$G$2:$G$2583,'ноябрь 2025'!$D$2:$D$2583,$B52,'ноябрь 2025'!$J$2:$J$2583,F$1)</f>
        <v>0</v>
      </c>
      <c r="G52" s="182">
        <f>SUMIFS('ноябрь 2025'!$G$2:$G$2583,'ноябрь 2025'!$D$2:$D$2583,$B52,'ноябрь 2025'!$J$2:$J$2583,G$1)</f>
        <v>0</v>
      </c>
      <c r="H52" s="182">
        <f>SUMIFS('ноябрь 2025'!$G$2:$G$2583,'ноябрь 2025'!$D$2:$D$2583,$B52,'ноябрь 2025'!$J$2:$J$2583,H$1)</f>
        <v>0</v>
      </c>
      <c r="I52" s="182">
        <f>SUMIFS('ноябрь 2025'!$G$2:$G$2583,'ноябрь 2025'!$D$2:$D$2583,$B52,'ноябрь 2025'!$J$2:$J$2583,I$1)</f>
        <v>0</v>
      </c>
      <c r="J52" s="182">
        <f>SUMIFS('ноябрь 2025'!$G$2:$G$2583,'ноябрь 2025'!$D$2:$D$2583,$B52,'ноябрь 2025'!$J$2:$J$2583,J$1)</f>
        <v>0</v>
      </c>
      <c r="K52" s="182">
        <f>SUMIFS('ноябрь 2025'!$G$2:$G$2583,'ноябрь 2025'!$D$2:$D$2583,$B52,'ноябрь 2025'!$J$2:$J$2583,K$1)</f>
        <v>0</v>
      </c>
      <c r="L52" s="182">
        <f>SUMIFS('ноябрь 2025'!$G$2:$G$2583,'ноябрь 2025'!$D$2:$D$2583,$B52,'ноябрь 2025'!$J$2:$J$2583,L$1)</f>
        <v>0</v>
      </c>
      <c r="M52" s="182">
        <f>SUMIFS('ноябрь 2025'!$G$2:$G$2583,'ноябрь 2025'!$D$2:$D$2583,$B52,'ноябрь 2025'!$J$2:$J$2583,M$1)</f>
        <v>0</v>
      </c>
      <c r="N52" s="182">
        <f>SUMIFS('ноябрь 2025'!$G$2:$G$2583,'ноябрь 2025'!$D$2:$D$2583,$B52,'ноябрь 2025'!$J$2:$J$2583,N$1)</f>
        <v>0</v>
      </c>
      <c r="O52" s="182">
        <f>SUMIFS('ноябрь 2025'!$G$2:$G$2583,'ноябрь 2025'!$D$2:$D$2583,$B52,'ноябрь 2025'!$J$2:$J$2583,O$1)</f>
        <v>0</v>
      </c>
      <c r="P52" s="182">
        <f>SUMIFS('ноябрь 2025'!$G$2:$G$2583,'ноябрь 2025'!$D$2:$D$2583,$B52,'ноябрь 2025'!$J$2:$J$2583,P$1)</f>
        <v>0</v>
      </c>
      <c r="Q52" s="182">
        <f>SUMIFS('ноябрь 2025'!$G$2:$G$2583,'ноябрь 2025'!$D$2:$D$2583,$B52,'ноябрь 2025'!$J$2:$J$2583,Q$1)</f>
        <v>0</v>
      </c>
      <c r="R52" s="182">
        <f>SUMIFS('ноябрь 2025'!$G$2:$G$2583,'ноябрь 2025'!$D$2:$D$2583,$B52,'ноябрь 2025'!$J$2:$J$2583,R$1)</f>
        <v>0</v>
      </c>
      <c r="S52" s="182">
        <f>SUMIFS('ноябрь 2025'!$G$2:$G$2583,'ноябрь 2025'!$D$2:$D$2583,$B52,'ноябрь 2025'!$J$2:$J$2583,S$1)</f>
        <v>0</v>
      </c>
      <c r="T52" s="182">
        <f>SUMIFS('ноябрь 2025'!$G$2:$G$2583,'ноябрь 2025'!$D$2:$D$2583,$B52,'ноябрь 2025'!$J$2:$J$2583,T$1)</f>
        <v>0</v>
      </c>
      <c r="U52" s="182">
        <f>SUMIFS('ноябрь 2025'!$G$2:$G$2583,'ноябрь 2025'!$D$2:$D$2583,$B52,'ноябрь 2025'!$J$2:$J$2583,U$1)</f>
        <v>0</v>
      </c>
      <c r="V52" s="182">
        <f>SUMIFS('ноябрь 2025'!$G$2:$G$2583,'ноябрь 2025'!$D$2:$D$2583,$B52,'ноябрь 2025'!$J$2:$J$2583,V$1)</f>
        <v>0</v>
      </c>
      <c r="W52" s="182">
        <f>SUMIFS('ноябрь 2025'!$G$2:$G$2583,'ноябрь 2025'!$D$2:$D$2583,$B52,'ноябрь 2025'!$J$2:$J$2583,W$1)</f>
        <v>1</v>
      </c>
      <c r="X52" s="182">
        <f>SUMIFS('ноябрь 2025'!$G$2:$G$2583,'ноябрь 2025'!$D$2:$D$2583,$B52,'ноябрь 2025'!$J$2:$J$2583,X$1)</f>
        <v>0</v>
      </c>
      <c r="Y52" s="182">
        <f>SUMIFS('ноябрь 2025'!$G$2:$G$2583,'ноябрь 2025'!$D$2:$D$2583,$B52,'ноябрь 2025'!$J$2:$J$2583,Y$1)</f>
        <v>0</v>
      </c>
      <c r="Z52" s="182">
        <f>SUMIFS('ноябрь 2025'!$G$2:$G$2583,'ноябрь 2025'!$D$2:$D$2583,$B52,'ноябрь 2025'!$J$2:$J$2583,Z$1)</f>
        <v>0</v>
      </c>
      <c r="AA52" s="182">
        <f>SUMIFS('ноябрь 2025'!$G$2:$G$2583,'ноябрь 2025'!$D$2:$D$2583,$B52,'ноябрь 2025'!$J$2:$J$2583,AA$1)</f>
        <v>0</v>
      </c>
      <c r="AB52" s="182">
        <f>SUMIFS('ноябрь 2025'!$G$2:$G$2583,'ноябрь 2025'!$D$2:$D$2583,$B52,'ноябрь 2025'!$J$2:$J$2583,AB$1)</f>
        <v>0</v>
      </c>
      <c r="AC52" s="182">
        <f>SUMIFS('ноябрь 2025'!$G$2:$G$2583,'ноябрь 2025'!$D$2:$D$2583,$B52,'ноябрь 2025'!$J$2:$J$2583,AC$1)</f>
        <v>0</v>
      </c>
      <c r="AD52" s="182">
        <f>SUMIFS('ноябрь 2025'!$G$2:$G$2583,'ноябрь 2025'!$D$2:$D$2583,$B52,'ноябрь 2025'!$J$2:$J$2583,AD$1)</f>
        <v>0</v>
      </c>
      <c r="AE52" s="182">
        <f>SUMIFS('ноябрь 2025'!$G$2:$G$2583,'ноябрь 2025'!$D$2:$D$2583,$B52,'ноябрь 2025'!$J$2:$J$2583,AE$1)</f>
        <v>0</v>
      </c>
      <c r="AF52" s="182">
        <f>SUMIFS('ноябрь 2025'!$G$2:$G$2583,'ноябрь 2025'!$D$2:$D$2583,$B52,'ноябрь 2025'!$J$2:$J$2583,AF$1)</f>
        <v>0</v>
      </c>
      <c r="AG52" s="182">
        <f>SUMIFS('ноябрь 2025'!$G$2:$G$2583,'ноябрь 2025'!$D$2:$D$2583,$B52,'ноябрь 2025'!$J$2:$J$2583,AG$1)</f>
        <v>0</v>
      </c>
      <c r="AH52" s="182">
        <f>SUMIFS('ноябрь 2025'!$G$2:$G$2583,'ноябрь 2025'!$D$2:$D$2583,$B52,'ноябрь 2025'!$J$2:$J$2583,AH$1)</f>
        <v>0</v>
      </c>
      <c r="AI52" s="20"/>
    </row>
    <row r="53" spans="2:35" ht="15" customHeight="1" x14ac:dyDescent="0.25">
      <c r="B53" s="131" t="s">
        <v>238</v>
      </c>
      <c r="C53" s="134">
        <v>20</v>
      </c>
      <c r="D53" s="182">
        <f>SUMIFS('ноябрь 2025'!$G$2:$G$2583,'ноябрь 2025'!$D$2:$D$2583,$B53,'ноябрь 2025'!$J$2:$J$2583,D$1)</f>
        <v>0</v>
      </c>
      <c r="E53" s="182">
        <f>SUMIFS('ноябрь 2025'!$G$2:$G$2583,'ноябрь 2025'!$D$2:$D$2583,$B53,'ноябрь 2025'!$J$2:$J$2583,E$1)</f>
        <v>0</v>
      </c>
      <c r="F53" s="182">
        <f>SUMIFS('ноябрь 2025'!$G$2:$G$2583,'ноябрь 2025'!$D$2:$D$2583,$B53,'ноябрь 2025'!$J$2:$J$2583,F$1)</f>
        <v>0</v>
      </c>
      <c r="G53" s="182">
        <f>SUMIFS('ноябрь 2025'!$G$2:$G$2583,'ноябрь 2025'!$D$2:$D$2583,$B53,'ноябрь 2025'!$J$2:$J$2583,G$1)</f>
        <v>0</v>
      </c>
      <c r="H53" s="182">
        <f>SUMIFS('ноябрь 2025'!$G$2:$G$2583,'ноябрь 2025'!$D$2:$D$2583,$B53,'ноябрь 2025'!$J$2:$J$2583,H$1)</f>
        <v>0</v>
      </c>
      <c r="I53" s="182">
        <f>SUMIFS('ноябрь 2025'!$G$2:$G$2583,'ноябрь 2025'!$D$2:$D$2583,$B53,'ноябрь 2025'!$J$2:$J$2583,I$1)</f>
        <v>0</v>
      </c>
      <c r="J53" s="182">
        <f>SUMIFS('ноябрь 2025'!$G$2:$G$2583,'ноябрь 2025'!$D$2:$D$2583,$B53,'ноябрь 2025'!$J$2:$J$2583,J$1)</f>
        <v>0</v>
      </c>
      <c r="K53" s="182">
        <f>SUMIFS('ноябрь 2025'!$G$2:$G$2583,'ноябрь 2025'!$D$2:$D$2583,$B53,'ноябрь 2025'!$J$2:$J$2583,K$1)</f>
        <v>0</v>
      </c>
      <c r="L53" s="182">
        <f>SUMIFS('ноябрь 2025'!$G$2:$G$2583,'ноябрь 2025'!$D$2:$D$2583,$B53,'ноябрь 2025'!$J$2:$J$2583,L$1)</f>
        <v>0</v>
      </c>
      <c r="M53" s="182">
        <f>SUMIFS('ноябрь 2025'!$G$2:$G$2583,'ноябрь 2025'!$D$2:$D$2583,$B53,'ноябрь 2025'!$J$2:$J$2583,M$1)</f>
        <v>0</v>
      </c>
      <c r="N53" s="182">
        <f>SUMIFS('ноябрь 2025'!$G$2:$G$2583,'ноябрь 2025'!$D$2:$D$2583,$B53,'ноябрь 2025'!$J$2:$J$2583,N$1)</f>
        <v>0</v>
      </c>
      <c r="O53" s="182">
        <f>SUMIFS('ноябрь 2025'!$G$2:$G$2583,'ноябрь 2025'!$D$2:$D$2583,$B53,'ноябрь 2025'!$J$2:$J$2583,O$1)</f>
        <v>0</v>
      </c>
      <c r="P53" s="182">
        <f>SUMIFS('ноябрь 2025'!$G$2:$G$2583,'ноябрь 2025'!$D$2:$D$2583,$B53,'ноябрь 2025'!$J$2:$J$2583,P$1)</f>
        <v>0</v>
      </c>
      <c r="Q53" s="182">
        <f>SUMIFS('ноябрь 2025'!$G$2:$G$2583,'ноябрь 2025'!$D$2:$D$2583,$B53,'ноябрь 2025'!$J$2:$J$2583,Q$1)</f>
        <v>0</v>
      </c>
      <c r="R53" s="182">
        <f>SUMIFS('ноябрь 2025'!$G$2:$G$2583,'ноябрь 2025'!$D$2:$D$2583,$B53,'ноябрь 2025'!$J$2:$J$2583,R$1)</f>
        <v>0</v>
      </c>
      <c r="S53" s="182">
        <f>SUMIFS('ноябрь 2025'!$G$2:$G$2583,'ноябрь 2025'!$D$2:$D$2583,$B53,'ноябрь 2025'!$J$2:$J$2583,S$1)</f>
        <v>0</v>
      </c>
      <c r="T53" s="182">
        <f>SUMIFS('ноябрь 2025'!$G$2:$G$2583,'ноябрь 2025'!$D$2:$D$2583,$B53,'ноябрь 2025'!$J$2:$J$2583,T$1)</f>
        <v>0</v>
      </c>
      <c r="U53" s="182">
        <f>SUMIFS('ноябрь 2025'!$G$2:$G$2583,'ноябрь 2025'!$D$2:$D$2583,$B53,'ноябрь 2025'!$J$2:$J$2583,U$1)</f>
        <v>0</v>
      </c>
      <c r="V53" s="182">
        <f>SUMIFS('ноябрь 2025'!$G$2:$G$2583,'ноябрь 2025'!$D$2:$D$2583,$B53,'ноябрь 2025'!$J$2:$J$2583,V$1)</f>
        <v>0</v>
      </c>
      <c r="W53" s="182">
        <f>SUMIFS('ноябрь 2025'!$G$2:$G$2583,'ноябрь 2025'!$D$2:$D$2583,$B53,'ноябрь 2025'!$J$2:$J$2583,W$1)</f>
        <v>0</v>
      </c>
      <c r="X53" s="182">
        <f>SUMIFS('ноябрь 2025'!$G$2:$G$2583,'ноябрь 2025'!$D$2:$D$2583,$B53,'ноябрь 2025'!$J$2:$J$2583,X$1)</f>
        <v>0</v>
      </c>
      <c r="Y53" s="182">
        <f>SUMIFS('ноябрь 2025'!$G$2:$G$2583,'ноябрь 2025'!$D$2:$D$2583,$B53,'ноябрь 2025'!$J$2:$J$2583,Y$1)</f>
        <v>0</v>
      </c>
      <c r="Z53" s="182">
        <f>SUMIFS('ноябрь 2025'!$G$2:$G$2583,'ноябрь 2025'!$D$2:$D$2583,$B53,'ноябрь 2025'!$J$2:$J$2583,Z$1)</f>
        <v>0</v>
      </c>
      <c r="AA53" s="182">
        <f>SUMIFS('ноябрь 2025'!$G$2:$G$2583,'ноябрь 2025'!$D$2:$D$2583,$B53,'ноябрь 2025'!$J$2:$J$2583,AA$1)</f>
        <v>0</v>
      </c>
      <c r="AB53" s="182">
        <f>SUMIFS('ноябрь 2025'!$G$2:$G$2583,'ноябрь 2025'!$D$2:$D$2583,$B53,'ноябрь 2025'!$J$2:$J$2583,AB$1)</f>
        <v>0</v>
      </c>
      <c r="AC53" s="182">
        <f>SUMIFS('ноябрь 2025'!$G$2:$G$2583,'ноябрь 2025'!$D$2:$D$2583,$B53,'ноябрь 2025'!$J$2:$J$2583,AC$1)</f>
        <v>0</v>
      </c>
      <c r="AD53" s="182">
        <f>SUMIFS('ноябрь 2025'!$G$2:$G$2583,'ноябрь 2025'!$D$2:$D$2583,$B53,'ноябрь 2025'!$J$2:$J$2583,AD$1)</f>
        <v>0</v>
      </c>
      <c r="AE53" s="182">
        <f>SUMIFS('ноябрь 2025'!$G$2:$G$2583,'ноябрь 2025'!$D$2:$D$2583,$B53,'ноябрь 2025'!$J$2:$J$2583,AE$1)</f>
        <v>0</v>
      </c>
      <c r="AF53" s="182">
        <f>SUMIFS('ноябрь 2025'!$G$2:$G$2583,'ноябрь 2025'!$D$2:$D$2583,$B53,'ноябрь 2025'!$J$2:$J$2583,AF$1)</f>
        <v>0</v>
      </c>
      <c r="AG53" s="182">
        <f>SUMIFS('ноябрь 2025'!$G$2:$G$2583,'ноябрь 2025'!$D$2:$D$2583,$B53,'ноябрь 2025'!$J$2:$J$2583,AG$1)</f>
        <v>0</v>
      </c>
      <c r="AH53" s="182">
        <f>SUMIFS('ноябрь 2025'!$G$2:$G$2583,'ноябрь 2025'!$D$2:$D$2583,$B53,'ноябрь 2025'!$J$2:$J$2583,AH$1)</f>
        <v>0</v>
      </c>
      <c r="AI53" s="20">
        <f t="shared" si="1"/>
        <v>0</v>
      </c>
    </row>
    <row r="54" spans="2:35" ht="15" customHeight="1" x14ac:dyDescent="0.25">
      <c r="B54" s="131" t="s">
        <v>240</v>
      </c>
      <c r="C54" s="130">
        <v>20</v>
      </c>
      <c r="D54" s="182">
        <f>SUMIFS('ноябрь 2025'!$G$2:$G$2583,'ноябрь 2025'!$D$2:$D$2583,$B54,'ноябрь 2025'!$J$2:$J$2583,D$1)</f>
        <v>0</v>
      </c>
      <c r="E54" s="182">
        <f>SUMIFS('ноябрь 2025'!$G$2:$G$2583,'ноябрь 2025'!$D$2:$D$2583,$B54,'ноябрь 2025'!$J$2:$J$2583,E$1)</f>
        <v>0</v>
      </c>
      <c r="F54" s="182">
        <f>SUMIFS('ноябрь 2025'!$G$2:$G$2583,'ноябрь 2025'!$D$2:$D$2583,$B54,'ноябрь 2025'!$J$2:$J$2583,F$1)</f>
        <v>0</v>
      </c>
      <c r="G54" s="182">
        <f>SUMIFS('ноябрь 2025'!$G$2:$G$2583,'ноябрь 2025'!$D$2:$D$2583,$B54,'ноябрь 2025'!$J$2:$J$2583,G$1)</f>
        <v>0</v>
      </c>
      <c r="H54" s="182">
        <f>SUMIFS('ноябрь 2025'!$G$2:$G$2583,'ноябрь 2025'!$D$2:$D$2583,$B54,'ноябрь 2025'!$J$2:$J$2583,H$1)</f>
        <v>0</v>
      </c>
      <c r="I54" s="182">
        <f>SUMIFS('ноябрь 2025'!$G$2:$G$2583,'ноябрь 2025'!$D$2:$D$2583,$B54,'ноябрь 2025'!$J$2:$J$2583,I$1)</f>
        <v>0</v>
      </c>
      <c r="J54" s="182">
        <f>SUMIFS('ноябрь 2025'!$G$2:$G$2583,'ноябрь 2025'!$D$2:$D$2583,$B54,'ноябрь 2025'!$J$2:$J$2583,J$1)</f>
        <v>0</v>
      </c>
      <c r="K54" s="182">
        <f>SUMIFS('ноябрь 2025'!$G$2:$G$2583,'ноябрь 2025'!$D$2:$D$2583,$B54,'ноябрь 2025'!$J$2:$J$2583,K$1)</f>
        <v>0</v>
      </c>
      <c r="L54" s="182">
        <f>SUMIFS('ноябрь 2025'!$G$2:$G$2583,'ноябрь 2025'!$D$2:$D$2583,$B54,'ноябрь 2025'!$J$2:$J$2583,L$1)</f>
        <v>0</v>
      </c>
      <c r="M54" s="182">
        <f>SUMIFS('ноябрь 2025'!$G$2:$G$2583,'ноябрь 2025'!$D$2:$D$2583,$B54,'ноябрь 2025'!$J$2:$J$2583,M$1)</f>
        <v>0</v>
      </c>
      <c r="N54" s="182">
        <f>SUMIFS('ноябрь 2025'!$G$2:$G$2583,'ноябрь 2025'!$D$2:$D$2583,$B54,'ноябрь 2025'!$J$2:$J$2583,N$1)</f>
        <v>0</v>
      </c>
      <c r="O54" s="182">
        <f>SUMIFS('ноябрь 2025'!$G$2:$G$2583,'ноябрь 2025'!$D$2:$D$2583,$B54,'ноябрь 2025'!$J$2:$J$2583,O$1)</f>
        <v>0</v>
      </c>
      <c r="P54" s="182">
        <f>SUMIFS('ноябрь 2025'!$G$2:$G$2583,'ноябрь 2025'!$D$2:$D$2583,$B54,'ноябрь 2025'!$J$2:$J$2583,P$1)</f>
        <v>0</v>
      </c>
      <c r="Q54" s="182">
        <f>SUMIFS('ноябрь 2025'!$G$2:$G$2583,'ноябрь 2025'!$D$2:$D$2583,$B54,'ноябрь 2025'!$J$2:$J$2583,Q$1)</f>
        <v>0</v>
      </c>
      <c r="R54" s="182">
        <f>SUMIFS('ноябрь 2025'!$G$2:$G$2583,'ноябрь 2025'!$D$2:$D$2583,$B54,'ноябрь 2025'!$J$2:$J$2583,R$1)</f>
        <v>0</v>
      </c>
      <c r="S54" s="182">
        <f>SUMIFS('ноябрь 2025'!$G$2:$G$2583,'ноябрь 2025'!$D$2:$D$2583,$B54,'ноябрь 2025'!$J$2:$J$2583,S$1)</f>
        <v>0</v>
      </c>
      <c r="T54" s="182">
        <f>SUMIFS('ноябрь 2025'!$G$2:$G$2583,'ноябрь 2025'!$D$2:$D$2583,$B54,'ноябрь 2025'!$J$2:$J$2583,T$1)</f>
        <v>0</v>
      </c>
      <c r="U54" s="182">
        <f>SUMIFS('ноябрь 2025'!$G$2:$G$2583,'ноябрь 2025'!$D$2:$D$2583,$B54,'ноябрь 2025'!$J$2:$J$2583,U$1)</f>
        <v>0</v>
      </c>
      <c r="V54" s="182">
        <f>SUMIFS('ноябрь 2025'!$G$2:$G$2583,'ноябрь 2025'!$D$2:$D$2583,$B54,'ноябрь 2025'!$J$2:$J$2583,V$1)</f>
        <v>0</v>
      </c>
      <c r="W54" s="182">
        <f>SUMIFS('ноябрь 2025'!$G$2:$G$2583,'ноябрь 2025'!$D$2:$D$2583,$B54,'ноябрь 2025'!$J$2:$J$2583,W$1)</f>
        <v>0</v>
      </c>
      <c r="X54" s="182">
        <f>SUMIFS('ноябрь 2025'!$G$2:$G$2583,'ноябрь 2025'!$D$2:$D$2583,$B54,'ноябрь 2025'!$J$2:$J$2583,X$1)</f>
        <v>0</v>
      </c>
      <c r="Y54" s="182">
        <f>SUMIFS('ноябрь 2025'!$G$2:$G$2583,'ноябрь 2025'!$D$2:$D$2583,$B54,'ноябрь 2025'!$J$2:$J$2583,Y$1)</f>
        <v>0</v>
      </c>
      <c r="Z54" s="182">
        <f>SUMIFS('ноябрь 2025'!$G$2:$G$2583,'ноябрь 2025'!$D$2:$D$2583,$B54,'ноябрь 2025'!$J$2:$J$2583,Z$1)</f>
        <v>0</v>
      </c>
      <c r="AA54" s="182">
        <f>SUMIFS('ноябрь 2025'!$G$2:$G$2583,'ноябрь 2025'!$D$2:$D$2583,$B54,'ноябрь 2025'!$J$2:$J$2583,AA$1)</f>
        <v>0</v>
      </c>
      <c r="AB54" s="182">
        <f>SUMIFS('ноябрь 2025'!$G$2:$G$2583,'ноябрь 2025'!$D$2:$D$2583,$B54,'ноябрь 2025'!$J$2:$J$2583,AB$1)</f>
        <v>0</v>
      </c>
      <c r="AC54" s="182">
        <f>SUMIFS('ноябрь 2025'!$G$2:$G$2583,'ноябрь 2025'!$D$2:$D$2583,$B54,'ноябрь 2025'!$J$2:$J$2583,AC$1)</f>
        <v>0</v>
      </c>
      <c r="AD54" s="182">
        <f>SUMIFS('ноябрь 2025'!$G$2:$G$2583,'ноябрь 2025'!$D$2:$D$2583,$B54,'ноябрь 2025'!$J$2:$J$2583,AD$1)</f>
        <v>0</v>
      </c>
      <c r="AE54" s="182">
        <f>SUMIFS('ноябрь 2025'!$G$2:$G$2583,'ноябрь 2025'!$D$2:$D$2583,$B54,'ноябрь 2025'!$J$2:$J$2583,AE$1)</f>
        <v>0</v>
      </c>
      <c r="AF54" s="182">
        <f>SUMIFS('ноябрь 2025'!$G$2:$G$2583,'ноябрь 2025'!$D$2:$D$2583,$B54,'ноябрь 2025'!$J$2:$J$2583,AF$1)</f>
        <v>0</v>
      </c>
      <c r="AG54" s="182">
        <f>SUMIFS('ноябрь 2025'!$G$2:$G$2583,'ноябрь 2025'!$D$2:$D$2583,$B54,'ноябрь 2025'!$J$2:$J$2583,AG$1)</f>
        <v>0</v>
      </c>
      <c r="AH54" s="182">
        <f>SUMIFS('ноябрь 2025'!$G$2:$G$2583,'ноябрь 2025'!$D$2:$D$2583,$B54,'ноябрь 2025'!$J$2:$J$2583,AH$1)</f>
        <v>0</v>
      </c>
      <c r="AI54" s="20">
        <f t="shared" si="1"/>
        <v>0</v>
      </c>
    </row>
    <row r="55" spans="2:35" ht="15" customHeight="1" x14ac:dyDescent="0.25">
      <c r="B55" s="131" t="s">
        <v>242</v>
      </c>
      <c r="C55" s="132">
        <v>20</v>
      </c>
      <c r="D55" s="182">
        <f>SUMIFS('ноябрь 2025'!$G$2:$G$2583,'ноябрь 2025'!$D$2:$D$2583,$B55,'ноябрь 2025'!$J$2:$J$2583,D$1)</f>
        <v>0</v>
      </c>
      <c r="E55" s="182">
        <f>SUMIFS('ноябрь 2025'!$G$2:$G$2583,'ноябрь 2025'!$D$2:$D$2583,$B55,'ноябрь 2025'!$J$2:$J$2583,E$1)</f>
        <v>0</v>
      </c>
      <c r="F55" s="182">
        <f>SUMIFS('ноябрь 2025'!$G$2:$G$2583,'ноябрь 2025'!$D$2:$D$2583,$B55,'ноябрь 2025'!$J$2:$J$2583,F$1)</f>
        <v>0</v>
      </c>
      <c r="G55" s="182">
        <f>SUMIFS('ноябрь 2025'!$G$2:$G$2583,'ноябрь 2025'!$D$2:$D$2583,$B55,'ноябрь 2025'!$J$2:$J$2583,G$1)</f>
        <v>0</v>
      </c>
      <c r="H55" s="182">
        <f>SUMIFS('ноябрь 2025'!$G$2:$G$2583,'ноябрь 2025'!$D$2:$D$2583,$B55,'ноябрь 2025'!$J$2:$J$2583,H$1)</f>
        <v>0</v>
      </c>
      <c r="I55" s="182">
        <f>SUMIFS('ноябрь 2025'!$G$2:$G$2583,'ноябрь 2025'!$D$2:$D$2583,$B55,'ноябрь 2025'!$J$2:$J$2583,I$1)</f>
        <v>0</v>
      </c>
      <c r="J55" s="182">
        <f>SUMIFS('ноябрь 2025'!$G$2:$G$2583,'ноябрь 2025'!$D$2:$D$2583,$B55,'ноябрь 2025'!$J$2:$J$2583,J$1)</f>
        <v>0</v>
      </c>
      <c r="K55" s="182">
        <f>SUMIFS('ноябрь 2025'!$G$2:$G$2583,'ноябрь 2025'!$D$2:$D$2583,$B55,'ноябрь 2025'!$J$2:$J$2583,K$1)</f>
        <v>0</v>
      </c>
      <c r="L55" s="182">
        <f>SUMIFS('ноябрь 2025'!$G$2:$G$2583,'ноябрь 2025'!$D$2:$D$2583,$B55,'ноябрь 2025'!$J$2:$J$2583,L$1)</f>
        <v>0</v>
      </c>
      <c r="M55" s="182">
        <f>SUMIFS('ноябрь 2025'!$G$2:$G$2583,'ноябрь 2025'!$D$2:$D$2583,$B55,'ноябрь 2025'!$J$2:$J$2583,M$1)</f>
        <v>0</v>
      </c>
      <c r="N55" s="182">
        <f>SUMIFS('ноябрь 2025'!$G$2:$G$2583,'ноябрь 2025'!$D$2:$D$2583,$B55,'ноябрь 2025'!$J$2:$J$2583,N$1)</f>
        <v>0</v>
      </c>
      <c r="O55" s="182">
        <f>SUMIFS('ноябрь 2025'!$G$2:$G$2583,'ноябрь 2025'!$D$2:$D$2583,$B55,'ноябрь 2025'!$J$2:$J$2583,O$1)</f>
        <v>0</v>
      </c>
      <c r="P55" s="182">
        <f>SUMIFS('ноябрь 2025'!$G$2:$G$2583,'ноябрь 2025'!$D$2:$D$2583,$B55,'ноябрь 2025'!$J$2:$J$2583,P$1)</f>
        <v>0</v>
      </c>
      <c r="Q55" s="182">
        <f>SUMIFS('ноябрь 2025'!$G$2:$G$2583,'ноябрь 2025'!$D$2:$D$2583,$B55,'ноябрь 2025'!$J$2:$J$2583,Q$1)</f>
        <v>0</v>
      </c>
      <c r="R55" s="182">
        <f>SUMIFS('ноябрь 2025'!$G$2:$G$2583,'ноябрь 2025'!$D$2:$D$2583,$B55,'ноябрь 2025'!$J$2:$J$2583,R$1)</f>
        <v>0</v>
      </c>
      <c r="S55" s="182">
        <f>SUMIFS('ноябрь 2025'!$G$2:$G$2583,'ноябрь 2025'!$D$2:$D$2583,$B55,'ноябрь 2025'!$J$2:$J$2583,S$1)</f>
        <v>0</v>
      </c>
      <c r="T55" s="182">
        <f>SUMIFS('ноябрь 2025'!$G$2:$G$2583,'ноябрь 2025'!$D$2:$D$2583,$B55,'ноябрь 2025'!$J$2:$J$2583,T$1)</f>
        <v>0</v>
      </c>
      <c r="U55" s="182">
        <f>SUMIFS('ноябрь 2025'!$G$2:$G$2583,'ноябрь 2025'!$D$2:$D$2583,$B55,'ноябрь 2025'!$J$2:$J$2583,U$1)</f>
        <v>0</v>
      </c>
      <c r="V55" s="182">
        <f>SUMIFS('ноябрь 2025'!$G$2:$G$2583,'ноябрь 2025'!$D$2:$D$2583,$B55,'ноябрь 2025'!$J$2:$J$2583,V$1)</f>
        <v>0</v>
      </c>
      <c r="W55" s="182">
        <f>SUMIFS('ноябрь 2025'!$G$2:$G$2583,'ноябрь 2025'!$D$2:$D$2583,$B55,'ноябрь 2025'!$J$2:$J$2583,W$1)</f>
        <v>0</v>
      </c>
      <c r="X55" s="182">
        <f>SUMIFS('ноябрь 2025'!$G$2:$G$2583,'ноябрь 2025'!$D$2:$D$2583,$B55,'ноябрь 2025'!$J$2:$J$2583,X$1)</f>
        <v>0</v>
      </c>
      <c r="Y55" s="182">
        <f>SUMIFS('ноябрь 2025'!$G$2:$G$2583,'ноябрь 2025'!$D$2:$D$2583,$B55,'ноябрь 2025'!$J$2:$J$2583,Y$1)</f>
        <v>0</v>
      </c>
      <c r="Z55" s="182">
        <f>SUMIFS('ноябрь 2025'!$G$2:$G$2583,'ноябрь 2025'!$D$2:$D$2583,$B55,'ноябрь 2025'!$J$2:$J$2583,Z$1)</f>
        <v>0</v>
      </c>
      <c r="AA55" s="182">
        <f>SUMIFS('ноябрь 2025'!$G$2:$G$2583,'ноябрь 2025'!$D$2:$D$2583,$B55,'ноябрь 2025'!$J$2:$J$2583,AA$1)</f>
        <v>0</v>
      </c>
      <c r="AB55" s="182">
        <f>SUMIFS('ноябрь 2025'!$G$2:$G$2583,'ноябрь 2025'!$D$2:$D$2583,$B55,'ноябрь 2025'!$J$2:$J$2583,AB$1)</f>
        <v>0</v>
      </c>
      <c r="AC55" s="182">
        <f>SUMIFS('ноябрь 2025'!$G$2:$G$2583,'ноябрь 2025'!$D$2:$D$2583,$B55,'ноябрь 2025'!$J$2:$J$2583,AC$1)</f>
        <v>0</v>
      </c>
      <c r="AD55" s="182">
        <f>SUMIFS('ноябрь 2025'!$G$2:$G$2583,'ноябрь 2025'!$D$2:$D$2583,$B55,'ноябрь 2025'!$J$2:$J$2583,AD$1)</f>
        <v>0</v>
      </c>
      <c r="AE55" s="182">
        <f>SUMIFS('ноябрь 2025'!$G$2:$G$2583,'ноябрь 2025'!$D$2:$D$2583,$B55,'ноябрь 2025'!$J$2:$J$2583,AE$1)</f>
        <v>0</v>
      </c>
      <c r="AF55" s="182">
        <f>SUMIFS('ноябрь 2025'!$G$2:$G$2583,'ноябрь 2025'!$D$2:$D$2583,$B55,'ноябрь 2025'!$J$2:$J$2583,AF$1)</f>
        <v>0</v>
      </c>
      <c r="AG55" s="182">
        <f>SUMIFS('ноябрь 2025'!$G$2:$G$2583,'ноябрь 2025'!$D$2:$D$2583,$B55,'ноябрь 2025'!$J$2:$J$2583,AG$1)</f>
        <v>0</v>
      </c>
      <c r="AH55" s="182">
        <f>SUMIFS('ноябрь 2025'!$G$2:$G$2583,'ноябрь 2025'!$D$2:$D$2583,$B55,'ноябрь 2025'!$J$2:$J$2583,AH$1)</f>
        <v>0</v>
      </c>
      <c r="AI55" s="20">
        <f t="shared" si="1"/>
        <v>0</v>
      </c>
    </row>
    <row r="56" spans="2:35" ht="15" customHeight="1" x14ac:dyDescent="0.25">
      <c r="B56" s="131" t="s">
        <v>244</v>
      </c>
      <c r="C56" s="132">
        <v>14</v>
      </c>
      <c r="D56" s="182">
        <f>SUMIFS('ноябрь 2025'!$G$2:$G$2583,'ноябрь 2025'!$D$2:$D$2583,$B56,'ноябрь 2025'!$J$2:$J$2583,D$1)</f>
        <v>0</v>
      </c>
      <c r="E56" s="182">
        <f>SUMIFS('ноябрь 2025'!$G$2:$G$2583,'ноябрь 2025'!$D$2:$D$2583,$B56,'ноябрь 2025'!$J$2:$J$2583,E$1)</f>
        <v>0</v>
      </c>
      <c r="F56" s="182">
        <f>SUMIFS('ноябрь 2025'!$G$2:$G$2583,'ноябрь 2025'!$D$2:$D$2583,$B56,'ноябрь 2025'!$J$2:$J$2583,F$1)</f>
        <v>0</v>
      </c>
      <c r="G56" s="182">
        <f>SUMIFS('ноябрь 2025'!$G$2:$G$2583,'ноябрь 2025'!$D$2:$D$2583,$B56,'ноябрь 2025'!$J$2:$J$2583,G$1)</f>
        <v>0</v>
      </c>
      <c r="H56" s="182">
        <f>SUMIFS('ноябрь 2025'!$G$2:$G$2583,'ноябрь 2025'!$D$2:$D$2583,$B56,'ноябрь 2025'!$J$2:$J$2583,H$1)</f>
        <v>0</v>
      </c>
      <c r="I56" s="182">
        <f>SUMIFS('ноябрь 2025'!$G$2:$G$2583,'ноябрь 2025'!$D$2:$D$2583,$B56,'ноябрь 2025'!$J$2:$J$2583,I$1)</f>
        <v>0</v>
      </c>
      <c r="J56" s="182">
        <f>SUMIFS('ноябрь 2025'!$G$2:$G$2583,'ноябрь 2025'!$D$2:$D$2583,$B56,'ноябрь 2025'!$J$2:$J$2583,J$1)</f>
        <v>0</v>
      </c>
      <c r="K56" s="182">
        <f>SUMIFS('ноябрь 2025'!$G$2:$G$2583,'ноябрь 2025'!$D$2:$D$2583,$B56,'ноябрь 2025'!$J$2:$J$2583,K$1)</f>
        <v>0</v>
      </c>
      <c r="L56" s="182">
        <f>SUMIFS('ноябрь 2025'!$G$2:$G$2583,'ноябрь 2025'!$D$2:$D$2583,$B56,'ноябрь 2025'!$J$2:$J$2583,L$1)</f>
        <v>0</v>
      </c>
      <c r="M56" s="182">
        <f>SUMIFS('ноябрь 2025'!$G$2:$G$2583,'ноябрь 2025'!$D$2:$D$2583,$B56,'ноябрь 2025'!$J$2:$J$2583,M$1)</f>
        <v>0</v>
      </c>
      <c r="N56" s="182">
        <f>SUMIFS('ноябрь 2025'!$G$2:$G$2583,'ноябрь 2025'!$D$2:$D$2583,$B56,'ноябрь 2025'!$J$2:$J$2583,N$1)</f>
        <v>0</v>
      </c>
      <c r="O56" s="182">
        <f>SUMIFS('ноябрь 2025'!$G$2:$G$2583,'ноябрь 2025'!$D$2:$D$2583,$B56,'ноябрь 2025'!$J$2:$J$2583,O$1)</f>
        <v>0</v>
      </c>
      <c r="P56" s="182">
        <f>SUMIFS('ноябрь 2025'!$G$2:$G$2583,'ноябрь 2025'!$D$2:$D$2583,$B56,'ноябрь 2025'!$J$2:$J$2583,P$1)</f>
        <v>0</v>
      </c>
      <c r="Q56" s="182">
        <f>SUMIFS('ноябрь 2025'!$G$2:$G$2583,'ноябрь 2025'!$D$2:$D$2583,$B56,'ноябрь 2025'!$J$2:$J$2583,Q$1)</f>
        <v>0</v>
      </c>
      <c r="R56" s="182">
        <f>SUMIFS('ноябрь 2025'!$G$2:$G$2583,'ноябрь 2025'!$D$2:$D$2583,$B56,'ноябрь 2025'!$J$2:$J$2583,R$1)</f>
        <v>0</v>
      </c>
      <c r="S56" s="182">
        <f>SUMIFS('ноябрь 2025'!$G$2:$G$2583,'ноябрь 2025'!$D$2:$D$2583,$B56,'ноябрь 2025'!$J$2:$J$2583,S$1)</f>
        <v>0</v>
      </c>
      <c r="T56" s="182">
        <f>SUMIFS('ноябрь 2025'!$G$2:$G$2583,'ноябрь 2025'!$D$2:$D$2583,$B56,'ноябрь 2025'!$J$2:$J$2583,T$1)</f>
        <v>0</v>
      </c>
      <c r="U56" s="182">
        <f>SUMIFS('ноябрь 2025'!$G$2:$G$2583,'ноябрь 2025'!$D$2:$D$2583,$B56,'ноябрь 2025'!$J$2:$J$2583,U$1)</f>
        <v>0</v>
      </c>
      <c r="V56" s="182">
        <f>SUMIFS('ноябрь 2025'!$G$2:$G$2583,'ноябрь 2025'!$D$2:$D$2583,$B56,'ноябрь 2025'!$J$2:$J$2583,V$1)</f>
        <v>0</v>
      </c>
      <c r="W56" s="182">
        <f>SUMIFS('ноябрь 2025'!$G$2:$G$2583,'ноябрь 2025'!$D$2:$D$2583,$B56,'ноябрь 2025'!$J$2:$J$2583,W$1)</f>
        <v>0</v>
      </c>
      <c r="X56" s="182">
        <f>SUMIFS('ноябрь 2025'!$G$2:$G$2583,'ноябрь 2025'!$D$2:$D$2583,$B56,'ноябрь 2025'!$J$2:$J$2583,X$1)</f>
        <v>0</v>
      </c>
      <c r="Y56" s="182">
        <f>SUMIFS('ноябрь 2025'!$G$2:$G$2583,'ноябрь 2025'!$D$2:$D$2583,$B56,'ноябрь 2025'!$J$2:$J$2583,Y$1)</f>
        <v>0</v>
      </c>
      <c r="Z56" s="182">
        <f>SUMIFS('ноябрь 2025'!$G$2:$G$2583,'ноябрь 2025'!$D$2:$D$2583,$B56,'ноябрь 2025'!$J$2:$J$2583,Z$1)</f>
        <v>0</v>
      </c>
      <c r="AA56" s="182">
        <f>SUMIFS('ноябрь 2025'!$G$2:$G$2583,'ноябрь 2025'!$D$2:$D$2583,$B56,'ноябрь 2025'!$J$2:$J$2583,AA$1)</f>
        <v>0</v>
      </c>
      <c r="AB56" s="182">
        <f>SUMIFS('ноябрь 2025'!$G$2:$G$2583,'ноябрь 2025'!$D$2:$D$2583,$B56,'ноябрь 2025'!$J$2:$J$2583,AB$1)</f>
        <v>0</v>
      </c>
      <c r="AC56" s="182">
        <f>SUMIFS('ноябрь 2025'!$G$2:$G$2583,'ноябрь 2025'!$D$2:$D$2583,$B56,'ноябрь 2025'!$J$2:$J$2583,AC$1)</f>
        <v>0</v>
      </c>
      <c r="AD56" s="182">
        <f>SUMIFS('ноябрь 2025'!$G$2:$G$2583,'ноябрь 2025'!$D$2:$D$2583,$B56,'ноябрь 2025'!$J$2:$J$2583,AD$1)</f>
        <v>0</v>
      </c>
      <c r="AE56" s="182">
        <f>SUMIFS('ноябрь 2025'!$G$2:$G$2583,'ноябрь 2025'!$D$2:$D$2583,$B56,'ноябрь 2025'!$J$2:$J$2583,AE$1)</f>
        <v>0</v>
      </c>
      <c r="AF56" s="182">
        <f>SUMIFS('ноябрь 2025'!$G$2:$G$2583,'ноябрь 2025'!$D$2:$D$2583,$B56,'ноябрь 2025'!$J$2:$J$2583,AF$1)</f>
        <v>0</v>
      </c>
      <c r="AG56" s="182">
        <f>SUMIFS('ноябрь 2025'!$G$2:$G$2583,'ноябрь 2025'!$D$2:$D$2583,$B56,'ноябрь 2025'!$J$2:$J$2583,AG$1)</f>
        <v>0</v>
      </c>
      <c r="AH56" s="182">
        <f>SUMIFS('ноябрь 2025'!$G$2:$G$2583,'ноябрь 2025'!$D$2:$D$2583,$B56,'ноябрь 2025'!$J$2:$J$2583,AH$1)</f>
        <v>0</v>
      </c>
      <c r="AI56" s="20">
        <f t="shared" si="1"/>
        <v>0</v>
      </c>
    </row>
    <row r="57" spans="2:35" ht="15" customHeight="1" x14ac:dyDescent="0.25">
      <c r="B57" s="131" t="s">
        <v>246</v>
      </c>
      <c r="C57" s="132">
        <v>25</v>
      </c>
      <c r="D57" s="182">
        <f>SUMIFS('ноябрь 2025'!$G$2:$G$2583,'ноябрь 2025'!$D$2:$D$2583,$B57,'ноябрь 2025'!$J$2:$J$2583,D$1)</f>
        <v>0</v>
      </c>
      <c r="E57" s="182">
        <f>SUMIFS('ноябрь 2025'!$G$2:$G$2583,'ноябрь 2025'!$D$2:$D$2583,$B57,'ноябрь 2025'!$J$2:$J$2583,E$1)</f>
        <v>0</v>
      </c>
      <c r="F57" s="182">
        <f>SUMIFS('ноябрь 2025'!$G$2:$G$2583,'ноябрь 2025'!$D$2:$D$2583,$B57,'ноябрь 2025'!$J$2:$J$2583,F$1)</f>
        <v>0</v>
      </c>
      <c r="G57" s="182">
        <f>SUMIFS('ноябрь 2025'!$G$2:$G$2583,'ноябрь 2025'!$D$2:$D$2583,$B57,'ноябрь 2025'!$J$2:$J$2583,G$1)</f>
        <v>0</v>
      </c>
      <c r="H57" s="182">
        <f>SUMIFS('ноябрь 2025'!$G$2:$G$2583,'ноябрь 2025'!$D$2:$D$2583,$B57,'ноябрь 2025'!$J$2:$J$2583,H$1)</f>
        <v>0</v>
      </c>
      <c r="I57" s="182">
        <f>SUMIFS('ноябрь 2025'!$G$2:$G$2583,'ноябрь 2025'!$D$2:$D$2583,$B57,'ноябрь 2025'!$J$2:$J$2583,I$1)</f>
        <v>0</v>
      </c>
      <c r="J57" s="182">
        <f>SUMIFS('ноябрь 2025'!$G$2:$G$2583,'ноябрь 2025'!$D$2:$D$2583,$B57,'ноябрь 2025'!$J$2:$J$2583,J$1)</f>
        <v>0</v>
      </c>
      <c r="K57" s="182">
        <f>SUMIFS('ноябрь 2025'!$G$2:$G$2583,'ноябрь 2025'!$D$2:$D$2583,$B57,'ноябрь 2025'!$J$2:$J$2583,K$1)</f>
        <v>0</v>
      </c>
      <c r="L57" s="182">
        <f>SUMIFS('ноябрь 2025'!$G$2:$G$2583,'ноябрь 2025'!$D$2:$D$2583,$B57,'ноябрь 2025'!$J$2:$J$2583,L$1)</f>
        <v>0</v>
      </c>
      <c r="M57" s="182">
        <f>SUMIFS('ноябрь 2025'!$G$2:$G$2583,'ноябрь 2025'!$D$2:$D$2583,$B57,'ноябрь 2025'!$J$2:$J$2583,M$1)</f>
        <v>0</v>
      </c>
      <c r="N57" s="182">
        <f>SUMIFS('ноябрь 2025'!$G$2:$G$2583,'ноябрь 2025'!$D$2:$D$2583,$B57,'ноябрь 2025'!$J$2:$J$2583,N$1)</f>
        <v>0</v>
      </c>
      <c r="O57" s="182">
        <f>SUMIFS('ноябрь 2025'!$G$2:$G$2583,'ноябрь 2025'!$D$2:$D$2583,$B57,'ноябрь 2025'!$J$2:$J$2583,O$1)</f>
        <v>0</v>
      </c>
      <c r="P57" s="182">
        <f>SUMIFS('ноябрь 2025'!$G$2:$G$2583,'ноябрь 2025'!$D$2:$D$2583,$B57,'ноябрь 2025'!$J$2:$J$2583,P$1)</f>
        <v>0</v>
      </c>
      <c r="Q57" s="182">
        <f>SUMIFS('ноябрь 2025'!$G$2:$G$2583,'ноябрь 2025'!$D$2:$D$2583,$B57,'ноябрь 2025'!$J$2:$J$2583,Q$1)</f>
        <v>0</v>
      </c>
      <c r="R57" s="182">
        <f>SUMIFS('ноябрь 2025'!$G$2:$G$2583,'ноябрь 2025'!$D$2:$D$2583,$B57,'ноябрь 2025'!$J$2:$J$2583,R$1)</f>
        <v>0</v>
      </c>
      <c r="S57" s="182">
        <f>SUMIFS('ноябрь 2025'!$G$2:$G$2583,'ноябрь 2025'!$D$2:$D$2583,$B57,'ноябрь 2025'!$J$2:$J$2583,S$1)</f>
        <v>0</v>
      </c>
      <c r="T57" s="182">
        <f>SUMIFS('ноябрь 2025'!$G$2:$G$2583,'ноябрь 2025'!$D$2:$D$2583,$B57,'ноябрь 2025'!$J$2:$J$2583,T$1)</f>
        <v>0</v>
      </c>
      <c r="U57" s="182">
        <f>SUMIFS('ноябрь 2025'!$G$2:$G$2583,'ноябрь 2025'!$D$2:$D$2583,$B57,'ноябрь 2025'!$J$2:$J$2583,U$1)</f>
        <v>0</v>
      </c>
      <c r="V57" s="182">
        <f>SUMIFS('ноябрь 2025'!$G$2:$G$2583,'ноябрь 2025'!$D$2:$D$2583,$B57,'ноябрь 2025'!$J$2:$J$2583,V$1)</f>
        <v>0</v>
      </c>
      <c r="W57" s="182">
        <f>SUMIFS('ноябрь 2025'!$G$2:$G$2583,'ноябрь 2025'!$D$2:$D$2583,$B57,'ноябрь 2025'!$J$2:$J$2583,W$1)</f>
        <v>0</v>
      </c>
      <c r="X57" s="182">
        <f>SUMIFS('ноябрь 2025'!$G$2:$G$2583,'ноябрь 2025'!$D$2:$D$2583,$B57,'ноябрь 2025'!$J$2:$J$2583,X$1)</f>
        <v>0</v>
      </c>
      <c r="Y57" s="182">
        <f>SUMIFS('ноябрь 2025'!$G$2:$G$2583,'ноябрь 2025'!$D$2:$D$2583,$B57,'ноябрь 2025'!$J$2:$J$2583,Y$1)</f>
        <v>0</v>
      </c>
      <c r="Z57" s="182">
        <f>SUMIFS('ноябрь 2025'!$G$2:$G$2583,'ноябрь 2025'!$D$2:$D$2583,$B57,'ноябрь 2025'!$J$2:$J$2583,Z$1)</f>
        <v>0</v>
      </c>
      <c r="AA57" s="182">
        <f>SUMIFS('ноябрь 2025'!$G$2:$G$2583,'ноябрь 2025'!$D$2:$D$2583,$B57,'ноябрь 2025'!$J$2:$J$2583,AA$1)</f>
        <v>0</v>
      </c>
      <c r="AB57" s="182">
        <f>SUMIFS('ноябрь 2025'!$G$2:$G$2583,'ноябрь 2025'!$D$2:$D$2583,$B57,'ноябрь 2025'!$J$2:$J$2583,AB$1)</f>
        <v>0</v>
      </c>
      <c r="AC57" s="182">
        <f>SUMIFS('ноябрь 2025'!$G$2:$G$2583,'ноябрь 2025'!$D$2:$D$2583,$B57,'ноябрь 2025'!$J$2:$J$2583,AC$1)</f>
        <v>0</v>
      </c>
      <c r="AD57" s="182">
        <f>SUMIFS('ноябрь 2025'!$G$2:$G$2583,'ноябрь 2025'!$D$2:$D$2583,$B57,'ноябрь 2025'!$J$2:$J$2583,AD$1)</f>
        <v>0</v>
      </c>
      <c r="AE57" s="182">
        <f>SUMIFS('ноябрь 2025'!$G$2:$G$2583,'ноябрь 2025'!$D$2:$D$2583,$B57,'ноябрь 2025'!$J$2:$J$2583,AE$1)</f>
        <v>0</v>
      </c>
      <c r="AF57" s="182">
        <f>SUMIFS('ноябрь 2025'!$G$2:$G$2583,'ноябрь 2025'!$D$2:$D$2583,$B57,'ноябрь 2025'!$J$2:$J$2583,AF$1)</f>
        <v>0</v>
      </c>
      <c r="AG57" s="182">
        <f>SUMIFS('ноябрь 2025'!$G$2:$G$2583,'ноябрь 2025'!$D$2:$D$2583,$B57,'ноябрь 2025'!$J$2:$J$2583,AG$1)</f>
        <v>0</v>
      </c>
      <c r="AH57" s="182">
        <f>SUMIFS('ноябрь 2025'!$G$2:$G$2583,'ноябрь 2025'!$D$2:$D$2583,$B57,'ноябрь 2025'!$J$2:$J$2583,AH$1)</f>
        <v>0</v>
      </c>
      <c r="AI57" s="20">
        <f t="shared" si="1"/>
        <v>0</v>
      </c>
    </row>
    <row r="58" spans="2:35" ht="15" customHeight="1" x14ac:dyDescent="0.25">
      <c r="B58" s="131" t="s">
        <v>252</v>
      </c>
      <c r="C58" s="132">
        <v>20</v>
      </c>
      <c r="D58" s="182">
        <f>SUMIFS('ноябрь 2025'!$G$2:$G$2583,'ноябрь 2025'!$D$2:$D$2583,$B58,'ноябрь 2025'!$J$2:$J$2583,D$1)</f>
        <v>0</v>
      </c>
      <c r="E58" s="182">
        <f>SUMIFS('ноябрь 2025'!$G$2:$G$2583,'ноябрь 2025'!$D$2:$D$2583,$B58,'ноябрь 2025'!$J$2:$J$2583,E$1)</f>
        <v>0</v>
      </c>
      <c r="F58" s="182">
        <f>SUMIFS('ноябрь 2025'!$G$2:$G$2583,'ноябрь 2025'!$D$2:$D$2583,$B58,'ноябрь 2025'!$J$2:$J$2583,F$1)</f>
        <v>0</v>
      </c>
      <c r="G58" s="182">
        <f>SUMIFS('ноябрь 2025'!$G$2:$G$2583,'ноябрь 2025'!$D$2:$D$2583,$B58,'ноябрь 2025'!$J$2:$J$2583,G$1)</f>
        <v>0</v>
      </c>
      <c r="H58" s="182">
        <f>SUMIFS('ноябрь 2025'!$G$2:$G$2583,'ноябрь 2025'!$D$2:$D$2583,$B58,'ноябрь 2025'!$J$2:$J$2583,H$1)</f>
        <v>0</v>
      </c>
      <c r="I58" s="182">
        <f>SUMIFS('ноябрь 2025'!$G$2:$G$2583,'ноябрь 2025'!$D$2:$D$2583,$B58,'ноябрь 2025'!$J$2:$J$2583,I$1)</f>
        <v>0</v>
      </c>
      <c r="J58" s="182">
        <f>SUMIFS('ноябрь 2025'!$G$2:$G$2583,'ноябрь 2025'!$D$2:$D$2583,$B58,'ноябрь 2025'!$J$2:$J$2583,J$1)</f>
        <v>0</v>
      </c>
      <c r="K58" s="182">
        <f>SUMIFS('ноябрь 2025'!$G$2:$G$2583,'ноябрь 2025'!$D$2:$D$2583,$B58,'ноябрь 2025'!$J$2:$J$2583,K$1)</f>
        <v>0</v>
      </c>
      <c r="L58" s="182">
        <f>SUMIFS('ноябрь 2025'!$G$2:$G$2583,'ноябрь 2025'!$D$2:$D$2583,$B58,'ноябрь 2025'!$J$2:$J$2583,L$1)</f>
        <v>0</v>
      </c>
      <c r="M58" s="182">
        <f>SUMIFS('ноябрь 2025'!$G$2:$G$2583,'ноябрь 2025'!$D$2:$D$2583,$B58,'ноябрь 2025'!$J$2:$J$2583,M$1)</f>
        <v>0</v>
      </c>
      <c r="N58" s="182">
        <f>SUMIFS('ноябрь 2025'!$G$2:$G$2583,'ноябрь 2025'!$D$2:$D$2583,$B58,'ноябрь 2025'!$J$2:$J$2583,N$1)</f>
        <v>0</v>
      </c>
      <c r="O58" s="182">
        <f>SUMIFS('ноябрь 2025'!$G$2:$G$2583,'ноябрь 2025'!$D$2:$D$2583,$B58,'ноябрь 2025'!$J$2:$J$2583,O$1)</f>
        <v>0</v>
      </c>
      <c r="P58" s="182">
        <f>SUMIFS('ноябрь 2025'!$G$2:$G$2583,'ноябрь 2025'!$D$2:$D$2583,$B58,'ноябрь 2025'!$J$2:$J$2583,P$1)</f>
        <v>0</v>
      </c>
      <c r="Q58" s="182">
        <f>SUMIFS('ноябрь 2025'!$G$2:$G$2583,'ноябрь 2025'!$D$2:$D$2583,$B58,'ноябрь 2025'!$J$2:$J$2583,Q$1)</f>
        <v>0</v>
      </c>
      <c r="R58" s="182">
        <f>SUMIFS('ноябрь 2025'!$G$2:$G$2583,'ноябрь 2025'!$D$2:$D$2583,$B58,'ноябрь 2025'!$J$2:$J$2583,R$1)</f>
        <v>0</v>
      </c>
      <c r="S58" s="182">
        <f>SUMIFS('ноябрь 2025'!$G$2:$G$2583,'ноябрь 2025'!$D$2:$D$2583,$B58,'ноябрь 2025'!$J$2:$J$2583,S$1)</f>
        <v>0</v>
      </c>
      <c r="T58" s="182">
        <f>SUMIFS('ноябрь 2025'!$G$2:$G$2583,'ноябрь 2025'!$D$2:$D$2583,$B58,'ноябрь 2025'!$J$2:$J$2583,T$1)</f>
        <v>0</v>
      </c>
      <c r="U58" s="182">
        <f>SUMIFS('ноябрь 2025'!$G$2:$G$2583,'ноябрь 2025'!$D$2:$D$2583,$B58,'ноябрь 2025'!$J$2:$J$2583,U$1)</f>
        <v>0</v>
      </c>
      <c r="V58" s="182">
        <f>SUMIFS('ноябрь 2025'!$G$2:$G$2583,'ноябрь 2025'!$D$2:$D$2583,$B58,'ноябрь 2025'!$J$2:$J$2583,V$1)</f>
        <v>0</v>
      </c>
      <c r="W58" s="182">
        <f>SUMIFS('ноябрь 2025'!$G$2:$G$2583,'ноябрь 2025'!$D$2:$D$2583,$B58,'ноябрь 2025'!$J$2:$J$2583,W$1)</f>
        <v>0</v>
      </c>
      <c r="X58" s="182">
        <f>SUMIFS('ноябрь 2025'!$G$2:$G$2583,'ноябрь 2025'!$D$2:$D$2583,$B58,'ноябрь 2025'!$J$2:$J$2583,X$1)</f>
        <v>0</v>
      </c>
      <c r="Y58" s="182">
        <f>SUMIFS('ноябрь 2025'!$G$2:$G$2583,'ноябрь 2025'!$D$2:$D$2583,$B58,'ноябрь 2025'!$J$2:$J$2583,Y$1)</f>
        <v>0</v>
      </c>
      <c r="Z58" s="182">
        <f>SUMIFS('ноябрь 2025'!$G$2:$G$2583,'ноябрь 2025'!$D$2:$D$2583,$B58,'ноябрь 2025'!$J$2:$J$2583,Z$1)</f>
        <v>0</v>
      </c>
      <c r="AA58" s="182">
        <f>SUMIFS('ноябрь 2025'!$G$2:$G$2583,'ноябрь 2025'!$D$2:$D$2583,$B58,'ноябрь 2025'!$J$2:$J$2583,AA$1)</f>
        <v>0</v>
      </c>
      <c r="AB58" s="182">
        <f>SUMIFS('ноябрь 2025'!$G$2:$G$2583,'ноябрь 2025'!$D$2:$D$2583,$B58,'ноябрь 2025'!$J$2:$J$2583,AB$1)</f>
        <v>0</v>
      </c>
      <c r="AC58" s="182">
        <f>SUMIFS('ноябрь 2025'!$G$2:$G$2583,'ноябрь 2025'!$D$2:$D$2583,$B58,'ноябрь 2025'!$J$2:$J$2583,AC$1)</f>
        <v>0</v>
      </c>
      <c r="AD58" s="182">
        <f>SUMIFS('ноябрь 2025'!$G$2:$G$2583,'ноябрь 2025'!$D$2:$D$2583,$B58,'ноябрь 2025'!$J$2:$J$2583,AD$1)</f>
        <v>0</v>
      </c>
      <c r="AE58" s="182">
        <f>SUMIFS('ноябрь 2025'!$G$2:$G$2583,'ноябрь 2025'!$D$2:$D$2583,$B58,'ноябрь 2025'!$J$2:$J$2583,AE$1)</f>
        <v>0</v>
      </c>
      <c r="AF58" s="182">
        <f>SUMIFS('ноябрь 2025'!$G$2:$G$2583,'ноябрь 2025'!$D$2:$D$2583,$B58,'ноябрь 2025'!$J$2:$J$2583,AF$1)</f>
        <v>0</v>
      </c>
      <c r="AG58" s="182">
        <f>SUMIFS('ноябрь 2025'!$G$2:$G$2583,'ноябрь 2025'!$D$2:$D$2583,$B58,'ноябрь 2025'!$J$2:$J$2583,AG$1)</f>
        <v>0</v>
      </c>
      <c r="AH58" s="182">
        <f>SUMIFS('ноябрь 2025'!$G$2:$G$2583,'ноябрь 2025'!$D$2:$D$2583,$B58,'ноябрь 2025'!$J$2:$J$2583,AH$1)</f>
        <v>0</v>
      </c>
      <c r="AI58" s="20">
        <f t="shared" si="1"/>
        <v>0</v>
      </c>
    </row>
    <row r="59" spans="2:35" ht="15" customHeight="1" x14ac:dyDescent="0.25">
      <c r="B59" s="131" t="s">
        <v>1156</v>
      </c>
      <c r="C59" s="132">
        <v>20</v>
      </c>
      <c r="D59" s="182">
        <f>SUMIFS('ноябрь 2025'!$G$2:$G$2583,'ноябрь 2025'!$D$2:$D$2583,$B59,'ноябрь 2025'!$J$2:$J$2583,D$1)</f>
        <v>0</v>
      </c>
      <c r="E59" s="182">
        <f>SUMIFS('ноябрь 2025'!$G$2:$G$2583,'ноябрь 2025'!$D$2:$D$2583,$B59,'ноябрь 2025'!$J$2:$J$2583,E$1)</f>
        <v>0</v>
      </c>
      <c r="F59" s="182">
        <f>SUMIFS('ноябрь 2025'!$G$2:$G$2583,'ноябрь 2025'!$D$2:$D$2583,$B59,'ноябрь 2025'!$J$2:$J$2583,F$1)</f>
        <v>0</v>
      </c>
      <c r="G59" s="182">
        <f>SUMIFS('ноябрь 2025'!$G$2:$G$2583,'ноябрь 2025'!$D$2:$D$2583,$B59,'ноябрь 2025'!$J$2:$J$2583,G$1)</f>
        <v>0</v>
      </c>
      <c r="H59" s="182">
        <f>SUMIFS('ноябрь 2025'!$G$2:$G$2583,'ноябрь 2025'!$D$2:$D$2583,$B59,'ноябрь 2025'!$J$2:$J$2583,H$1)</f>
        <v>0</v>
      </c>
      <c r="I59" s="182">
        <f>SUMIFS('ноябрь 2025'!$G$2:$G$2583,'ноябрь 2025'!$D$2:$D$2583,$B59,'ноябрь 2025'!$J$2:$J$2583,I$1)</f>
        <v>0</v>
      </c>
      <c r="J59" s="182">
        <f>SUMIFS('ноябрь 2025'!$G$2:$G$2583,'ноябрь 2025'!$D$2:$D$2583,$B59,'ноябрь 2025'!$J$2:$J$2583,J$1)</f>
        <v>0</v>
      </c>
      <c r="K59" s="182">
        <f>SUMIFS('ноябрь 2025'!$G$2:$G$2583,'ноябрь 2025'!$D$2:$D$2583,$B59,'ноябрь 2025'!$J$2:$J$2583,K$1)</f>
        <v>0</v>
      </c>
      <c r="L59" s="182">
        <f>SUMIFS('ноябрь 2025'!$G$2:$G$2583,'ноябрь 2025'!$D$2:$D$2583,$B59,'ноябрь 2025'!$J$2:$J$2583,L$1)</f>
        <v>0</v>
      </c>
      <c r="M59" s="182">
        <f>SUMIFS('ноябрь 2025'!$G$2:$G$2583,'ноябрь 2025'!$D$2:$D$2583,$B59,'ноябрь 2025'!$J$2:$J$2583,M$1)</f>
        <v>0</v>
      </c>
      <c r="N59" s="182">
        <f>SUMIFS('ноябрь 2025'!$G$2:$G$2583,'ноябрь 2025'!$D$2:$D$2583,$B59,'ноябрь 2025'!$J$2:$J$2583,N$1)</f>
        <v>0</v>
      </c>
      <c r="O59" s="182">
        <f>SUMIFS('ноябрь 2025'!$G$2:$G$2583,'ноябрь 2025'!$D$2:$D$2583,$B59,'ноябрь 2025'!$J$2:$J$2583,O$1)</f>
        <v>0</v>
      </c>
      <c r="P59" s="182">
        <f>SUMIFS('ноябрь 2025'!$G$2:$G$2583,'ноябрь 2025'!$D$2:$D$2583,$B59,'ноябрь 2025'!$J$2:$J$2583,P$1)</f>
        <v>0</v>
      </c>
      <c r="Q59" s="182">
        <f>SUMIFS('ноябрь 2025'!$G$2:$G$2583,'ноябрь 2025'!$D$2:$D$2583,$B59,'ноябрь 2025'!$J$2:$J$2583,Q$1)</f>
        <v>0</v>
      </c>
      <c r="R59" s="182">
        <f>SUMIFS('ноябрь 2025'!$G$2:$G$2583,'ноябрь 2025'!$D$2:$D$2583,$B59,'ноябрь 2025'!$J$2:$J$2583,R$1)</f>
        <v>0</v>
      </c>
      <c r="S59" s="182">
        <f>SUMIFS('ноябрь 2025'!$G$2:$G$2583,'ноябрь 2025'!$D$2:$D$2583,$B59,'ноябрь 2025'!$J$2:$J$2583,S$1)</f>
        <v>0</v>
      </c>
      <c r="T59" s="182">
        <f>SUMIFS('ноябрь 2025'!$G$2:$G$2583,'ноябрь 2025'!$D$2:$D$2583,$B59,'ноябрь 2025'!$J$2:$J$2583,T$1)</f>
        <v>0</v>
      </c>
      <c r="U59" s="182">
        <f>SUMIFS('ноябрь 2025'!$G$2:$G$2583,'ноябрь 2025'!$D$2:$D$2583,$B59,'ноябрь 2025'!$J$2:$J$2583,U$1)</f>
        <v>0</v>
      </c>
      <c r="V59" s="182">
        <f>SUMIFS('ноябрь 2025'!$G$2:$G$2583,'ноябрь 2025'!$D$2:$D$2583,$B59,'ноябрь 2025'!$J$2:$J$2583,V$1)</f>
        <v>0</v>
      </c>
      <c r="W59" s="182">
        <f>SUMIFS('ноябрь 2025'!$G$2:$G$2583,'ноябрь 2025'!$D$2:$D$2583,$B59,'ноябрь 2025'!$J$2:$J$2583,W$1)</f>
        <v>0</v>
      </c>
      <c r="X59" s="182">
        <f>SUMIFS('ноябрь 2025'!$G$2:$G$2583,'ноябрь 2025'!$D$2:$D$2583,$B59,'ноябрь 2025'!$J$2:$J$2583,X$1)</f>
        <v>0</v>
      </c>
      <c r="Y59" s="182">
        <f>SUMIFS('ноябрь 2025'!$G$2:$G$2583,'ноябрь 2025'!$D$2:$D$2583,$B59,'ноябрь 2025'!$J$2:$J$2583,Y$1)</f>
        <v>0</v>
      </c>
      <c r="Z59" s="182">
        <f>SUMIFS('ноябрь 2025'!$G$2:$G$2583,'ноябрь 2025'!$D$2:$D$2583,$B59,'ноябрь 2025'!$J$2:$J$2583,Z$1)</f>
        <v>0</v>
      </c>
      <c r="AA59" s="182">
        <f>SUMIFS('ноябрь 2025'!$G$2:$G$2583,'ноябрь 2025'!$D$2:$D$2583,$B59,'ноябрь 2025'!$J$2:$J$2583,AA$1)</f>
        <v>0</v>
      </c>
      <c r="AB59" s="182">
        <f>SUMIFS('ноябрь 2025'!$G$2:$G$2583,'ноябрь 2025'!$D$2:$D$2583,$B59,'ноябрь 2025'!$J$2:$J$2583,AB$1)</f>
        <v>0</v>
      </c>
      <c r="AC59" s="182">
        <f>SUMIFS('ноябрь 2025'!$G$2:$G$2583,'ноябрь 2025'!$D$2:$D$2583,$B59,'ноябрь 2025'!$J$2:$J$2583,AC$1)</f>
        <v>0</v>
      </c>
      <c r="AD59" s="182">
        <f>SUMIFS('ноябрь 2025'!$G$2:$G$2583,'ноябрь 2025'!$D$2:$D$2583,$B59,'ноябрь 2025'!$J$2:$J$2583,AD$1)</f>
        <v>0</v>
      </c>
      <c r="AE59" s="182">
        <f>SUMIFS('ноябрь 2025'!$G$2:$G$2583,'ноябрь 2025'!$D$2:$D$2583,$B59,'ноябрь 2025'!$J$2:$J$2583,AE$1)</f>
        <v>0</v>
      </c>
      <c r="AF59" s="182">
        <f>SUMIFS('ноябрь 2025'!$G$2:$G$2583,'ноябрь 2025'!$D$2:$D$2583,$B59,'ноябрь 2025'!$J$2:$J$2583,AF$1)</f>
        <v>0</v>
      </c>
      <c r="AG59" s="182">
        <f>SUMIFS('ноябрь 2025'!$G$2:$G$2583,'ноябрь 2025'!$D$2:$D$2583,$B59,'ноябрь 2025'!$J$2:$J$2583,AG$1)</f>
        <v>0</v>
      </c>
      <c r="AH59" s="182">
        <f>SUMIFS('ноябрь 2025'!$G$2:$G$2583,'ноябрь 2025'!$D$2:$D$2583,$B59,'ноябрь 2025'!$J$2:$J$2583,AH$1)</f>
        <v>0</v>
      </c>
      <c r="AI59" s="20">
        <f t="shared" si="1"/>
        <v>0</v>
      </c>
    </row>
    <row r="60" spans="2:35" ht="15" customHeight="1" x14ac:dyDescent="0.25">
      <c r="B60" s="127" t="s">
        <v>253</v>
      </c>
      <c r="C60" s="132">
        <v>20</v>
      </c>
      <c r="D60" s="182">
        <f>SUMIFS('ноябрь 2025'!$G$2:$G$2583,'ноябрь 2025'!$D$2:$D$2583,$B60,'ноябрь 2025'!$J$2:$J$2583,D$1)</f>
        <v>0</v>
      </c>
      <c r="E60" s="182">
        <f>SUMIFS('ноябрь 2025'!$G$2:$G$2583,'ноябрь 2025'!$D$2:$D$2583,$B60,'ноябрь 2025'!$J$2:$J$2583,E$1)</f>
        <v>0</v>
      </c>
      <c r="F60" s="182">
        <f>SUMIFS('ноябрь 2025'!$G$2:$G$2583,'ноябрь 2025'!$D$2:$D$2583,$B60,'ноябрь 2025'!$J$2:$J$2583,F$1)</f>
        <v>0</v>
      </c>
      <c r="G60" s="182">
        <f>SUMIFS('ноябрь 2025'!$G$2:$G$2583,'ноябрь 2025'!$D$2:$D$2583,$B60,'ноябрь 2025'!$J$2:$J$2583,G$1)</f>
        <v>0</v>
      </c>
      <c r="H60" s="182">
        <f>SUMIFS('ноябрь 2025'!$G$2:$G$2583,'ноябрь 2025'!$D$2:$D$2583,$B60,'ноябрь 2025'!$J$2:$J$2583,H$1)</f>
        <v>0</v>
      </c>
      <c r="I60" s="182">
        <f>SUMIFS('ноябрь 2025'!$G$2:$G$2583,'ноябрь 2025'!$D$2:$D$2583,$B60,'ноябрь 2025'!$J$2:$J$2583,I$1)</f>
        <v>0</v>
      </c>
      <c r="J60" s="182">
        <f>SUMIFS('ноябрь 2025'!$G$2:$G$2583,'ноябрь 2025'!$D$2:$D$2583,$B60,'ноябрь 2025'!$J$2:$J$2583,J$1)</f>
        <v>0</v>
      </c>
      <c r="K60" s="182">
        <f>SUMIFS('ноябрь 2025'!$G$2:$G$2583,'ноябрь 2025'!$D$2:$D$2583,$B60,'ноябрь 2025'!$J$2:$J$2583,K$1)</f>
        <v>0</v>
      </c>
      <c r="L60" s="182">
        <f>SUMIFS('ноябрь 2025'!$G$2:$G$2583,'ноябрь 2025'!$D$2:$D$2583,$B60,'ноябрь 2025'!$J$2:$J$2583,L$1)</f>
        <v>0</v>
      </c>
      <c r="M60" s="182">
        <f>SUMIFS('ноябрь 2025'!$G$2:$G$2583,'ноябрь 2025'!$D$2:$D$2583,$B60,'ноябрь 2025'!$J$2:$J$2583,M$1)</f>
        <v>0</v>
      </c>
      <c r="N60" s="182">
        <f>SUMIFS('ноябрь 2025'!$G$2:$G$2583,'ноябрь 2025'!$D$2:$D$2583,$B60,'ноябрь 2025'!$J$2:$J$2583,N$1)</f>
        <v>0</v>
      </c>
      <c r="O60" s="182">
        <f>SUMIFS('ноябрь 2025'!$G$2:$G$2583,'ноябрь 2025'!$D$2:$D$2583,$B60,'ноябрь 2025'!$J$2:$J$2583,O$1)</f>
        <v>0</v>
      </c>
      <c r="P60" s="182">
        <f>SUMIFS('ноябрь 2025'!$G$2:$G$2583,'ноябрь 2025'!$D$2:$D$2583,$B60,'ноябрь 2025'!$J$2:$J$2583,P$1)</f>
        <v>0</v>
      </c>
      <c r="Q60" s="182">
        <f>SUMIFS('ноябрь 2025'!$G$2:$G$2583,'ноябрь 2025'!$D$2:$D$2583,$B60,'ноябрь 2025'!$J$2:$J$2583,Q$1)</f>
        <v>0</v>
      </c>
      <c r="R60" s="182">
        <f>SUMIFS('ноябрь 2025'!$G$2:$G$2583,'ноябрь 2025'!$D$2:$D$2583,$B60,'ноябрь 2025'!$J$2:$J$2583,R$1)</f>
        <v>0</v>
      </c>
      <c r="S60" s="182">
        <f>SUMIFS('ноябрь 2025'!$G$2:$G$2583,'ноябрь 2025'!$D$2:$D$2583,$B60,'ноябрь 2025'!$J$2:$J$2583,S$1)</f>
        <v>0</v>
      </c>
      <c r="T60" s="182">
        <f>SUMIFS('ноябрь 2025'!$G$2:$G$2583,'ноябрь 2025'!$D$2:$D$2583,$B60,'ноябрь 2025'!$J$2:$J$2583,T$1)</f>
        <v>0</v>
      </c>
      <c r="U60" s="182">
        <f>SUMIFS('ноябрь 2025'!$G$2:$G$2583,'ноябрь 2025'!$D$2:$D$2583,$B60,'ноябрь 2025'!$J$2:$J$2583,U$1)</f>
        <v>0</v>
      </c>
      <c r="V60" s="182">
        <f>SUMIFS('ноябрь 2025'!$G$2:$G$2583,'ноябрь 2025'!$D$2:$D$2583,$B60,'ноябрь 2025'!$J$2:$J$2583,V$1)</f>
        <v>0</v>
      </c>
      <c r="W60" s="182">
        <f>SUMIFS('ноябрь 2025'!$G$2:$G$2583,'ноябрь 2025'!$D$2:$D$2583,$B60,'ноябрь 2025'!$J$2:$J$2583,W$1)</f>
        <v>0</v>
      </c>
      <c r="X60" s="182">
        <f>SUMIFS('ноябрь 2025'!$G$2:$G$2583,'ноябрь 2025'!$D$2:$D$2583,$B60,'ноябрь 2025'!$J$2:$J$2583,X$1)</f>
        <v>0</v>
      </c>
      <c r="Y60" s="182">
        <f>SUMIFS('ноябрь 2025'!$G$2:$G$2583,'ноябрь 2025'!$D$2:$D$2583,$B60,'ноябрь 2025'!$J$2:$J$2583,Y$1)</f>
        <v>0</v>
      </c>
      <c r="Z60" s="182">
        <f>SUMIFS('ноябрь 2025'!$G$2:$G$2583,'ноябрь 2025'!$D$2:$D$2583,$B60,'ноябрь 2025'!$J$2:$J$2583,Z$1)</f>
        <v>0</v>
      </c>
      <c r="AA60" s="182">
        <f>SUMIFS('ноябрь 2025'!$G$2:$G$2583,'ноябрь 2025'!$D$2:$D$2583,$B60,'ноябрь 2025'!$J$2:$J$2583,AA$1)</f>
        <v>0</v>
      </c>
      <c r="AB60" s="182">
        <f>SUMIFS('ноябрь 2025'!$G$2:$G$2583,'ноябрь 2025'!$D$2:$D$2583,$B60,'ноябрь 2025'!$J$2:$J$2583,AB$1)</f>
        <v>0</v>
      </c>
      <c r="AC60" s="182">
        <f>SUMIFS('ноябрь 2025'!$G$2:$G$2583,'ноябрь 2025'!$D$2:$D$2583,$B60,'ноябрь 2025'!$J$2:$J$2583,AC$1)</f>
        <v>0</v>
      </c>
      <c r="AD60" s="182">
        <f>SUMIFS('ноябрь 2025'!$G$2:$G$2583,'ноябрь 2025'!$D$2:$D$2583,$B60,'ноябрь 2025'!$J$2:$J$2583,AD$1)</f>
        <v>0</v>
      </c>
      <c r="AE60" s="182">
        <f>SUMIFS('ноябрь 2025'!$G$2:$G$2583,'ноябрь 2025'!$D$2:$D$2583,$B60,'ноябрь 2025'!$J$2:$J$2583,AE$1)</f>
        <v>0</v>
      </c>
      <c r="AF60" s="182">
        <f>SUMIFS('ноябрь 2025'!$G$2:$G$2583,'ноябрь 2025'!$D$2:$D$2583,$B60,'ноябрь 2025'!$J$2:$J$2583,AF$1)</f>
        <v>0</v>
      </c>
      <c r="AG60" s="182">
        <f>SUMIFS('ноябрь 2025'!$G$2:$G$2583,'ноябрь 2025'!$D$2:$D$2583,$B60,'ноябрь 2025'!$J$2:$J$2583,AG$1)</f>
        <v>0</v>
      </c>
      <c r="AH60" s="182">
        <f>SUMIFS('ноябрь 2025'!$G$2:$G$2583,'ноябрь 2025'!$D$2:$D$2583,$B60,'ноябрь 2025'!$J$2:$J$2583,AH$1)</f>
        <v>0</v>
      </c>
      <c r="AI60" s="20">
        <f t="shared" si="1"/>
        <v>0</v>
      </c>
    </row>
    <row r="61" spans="2:35" ht="15" customHeight="1" x14ac:dyDescent="0.25">
      <c r="B61" s="131" t="s">
        <v>254</v>
      </c>
      <c r="C61" s="132">
        <v>20</v>
      </c>
      <c r="D61" s="182">
        <f>SUMIFS('ноябрь 2025'!$G$2:$G$2583,'ноябрь 2025'!$D$2:$D$2583,$B61,'ноябрь 2025'!$J$2:$J$2583,D$1)</f>
        <v>0</v>
      </c>
      <c r="E61" s="182">
        <f>SUMIFS('ноябрь 2025'!$G$2:$G$2583,'ноябрь 2025'!$D$2:$D$2583,$B61,'ноябрь 2025'!$J$2:$J$2583,E$1)</f>
        <v>0</v>
      </c>
      <c r="F61" s="182">
        <f>SUMIFS('ноябрь 2025'!$G$2:$G$2583,'ноябрь 2025'!$D$2:$D$2583,$B61,'ноябрь 2025'!$J$2:$J$2583,F$1)</f>
        <v>0</v>
      </c>
      <c r="G61" s="182">
        <f>SUMIFS('ноябрь 2025'!$G$2:$G$2583,'ноябрь 2025'!$D$2:$D$2583,$B61,'ноябрь 2025'!$J$2:$J$2583,G$1)</f>
        <v>0</v>
      </c>
      <c r="H61" s="182">
        <f>SUMIFS('ноябрь 2025'!$G$2:$G$2583,'ноябрь 2025'!$D$2:$D$2583,$B61,'ноябрь 2025'!$J$2:$J$2583,H$1)</f>
        <v>0</v>
      </c>
      <c r="I61" s="182">
        <f>SUMIFS('ноябрь 2025'!$G$2:$G$2583,'ноябрь 2025'!$D$2:$D$2583,$B61,'ноябрь 2025'!$J$2:$J$2583,I$1)</f>
        <v>0</v>
      </c>
      <c r="J61" s="182">
        <f>SUMIFS('ноябрь 2025'!$G$2:$G$2583,'ноябрь 2025'!$D$2:$D$2583,$B61,'ноябрь 2025'!$J$2:$J$2583,J$1)</f>
        <v>0</v>
      </c>
      <c r="K61" s="182">
        <f>SUMIFS('ноябрь 2025'!$G$2:$G$2583,'ноябрь 2025'!$D$2:$D$2583,$B61,'ноябрь 2025'!$J$2:$J$2583,K$1)</f>
        <v>0</v>
      </c>
      <c r="L61" s="182">
        <f>SUMIFS('ноябрь 2025'!$G$2:$G$2583,'ноябрь 2025'!$D$2:$D$2583,$B61,'ноябрь 2025'!$J$2:$J$2583,L$1)</f>
        <v>0</v>
      </c>
      <c r="M61" s="182">
        <f>SUMIFS('ноябрь 2025'!$G$2:$G$2583,'ноябрь 2025'!$D$2:$D$2583,$B61,'ноябрь 2025'!$J$2:$J$2583,M$1)</f>
        <v>0</v>
      </c>
      <c r="N61" s="182">
        <f>SUMIFS('ноябрь 2025'!$G$2:$G$2583,'ноябрь 2025'!$D$2:$D$2583,$B61,'ноябрь 2025'!$J$2:$J$2583,N$1)</f>
        <v>0</v>
      </c>
      <c r="O61" s="182">
        <f>SUMIFS('ноябрь 2025'!$G$2:$G$2583,'ноябрь 2025'!$D$2:$D$2583,$B61,'ноябрь 2025'!$J$2:$J$2583,O$1)</f>
        <v>0</v>
      </c>
      <c r="P61" s="182">
        <f>SUMIFS('ноябрь 2025'!$G$2:$G$2583,'ноябрь 2025'!$D$2:$D$2583,$B61,'ноябрь 2025'!$J$2:$J$2583,P$1)</f>
        <v>0</v>
      </c>
      <c r="Q61" s="182">
        <f>SUMIFS('ноябрь 2025'!$G$2:$G$2583,'ноябрь 2025'!$D$2:$D$2583,$B61,'ноябрь 2025'!$J$2:$J$2583,Q$1)</f>
        <v>0</v>
      </c>
      <c r="R61" s="182">
        <f>SUMIFS('ноябрь 2025'!$G$2:$G$2583,'ноябрь 2025'!$D$2:$D$2583,$B61,'ноябрь 2025'!$J$2:$J$2583,R$1)</f>
        <v>0</v>
      </c>
      <c r="S61" s="182">
        <f>SUMIFS('ноябрь 2025'!$G$2:$G$2583,'ноябрь 2025'!$D$2:$D$2583,$B61,'ноябрь 2025'!$J$2:$J$2583,S$1)</f>
        <v>0</v>
      </c>
      <c r="T61" s="182">
        <f>SUMIFS('ноябрь 2025'!$G$2:$G$2583,'ноябрь 2025'!$D$2:$D$2583,$B61,'ноябрь 2025'!$J$2:$J$2583,T$1)</f>
        <v>0</v>
      </c>
      <c r="U61" s="182">
        <f>SUMIFS('ноябрь 2025'!$G$2:$G$2583,'ноябрь 2025'!$D$2:$D$2583,$B61,'ноябрь 2025'!$J$2:$J$2583,U$1)</f>
        <v>0</v>
      </c>
      <c r="V61" s="182">
        <f>SUMIFS('ноябрь 2025'!$G$2:$G$2583,'ноябрь 2025'!$D$2:$D$2583,$B61,'ноябрь 2025'!$J$2:$J$2583,V$1)</f>
        <v>0</v>
      </c>
      <c r="W61" s="182">
        <f>SUMIFS('ноябрь 2025'!$G$2:$G$2583,'ноябрь 2025'!$D$2:$D$2583,$B61,'ноябрь 2025'!$J$2:$J$2583,W$1)</f>
        <v>0</v>
      </c>
      <c r="X61" s="182">
        <f>SUMIFS('ноябрь 2025'!$G$2:$G$2583,'ноябрь 2025'!$D$2:$D$2583,$B61,'ноябрь 2025'!$J$2:$J$2583,X$1)</f>
        <v>0</v>
      </c>
      <c r="Y61" s="182">
        <f>SUMIFS('ноябрь 2025'!$G$2:$G$2583,'ноябрь 2025'!$D$2:$D$2583,$B61,'ноябрь 2025'!$J$2:$J$2583,Y$1)</f>
        <v>0</v>
      </c>
      <c r="Z61" s="182">
        <f>SUMIFS('ноябрь 2025'!$G$2:$G$2583,'ноябрь 2025'!$D$2:$D$2583,$B61,'ноябрь 2025'!$J$2:$J$2583,Z$1)</f>
        <v>0</v>
      </c>
      <c r="AA61" s="182">
        <f>SUMIFS('ноябрь 2025'!$G$2:$G$2583,'ноябрь 2025'!$D$2:$D$2583,$B61,'ноябрь 2025'!$J$2:$J$2583,AA$1)</f>
        <v>0</v>
      </c>
      <c r="AB61" s="182">
        <f>SUMIFS('ноябрь 2025'!$G$2:$G$2583,'ноябрь 2025'!$D$2:$D$2583,$B61,'ноябрь 2025'!$J$2:$J$2583,AB$1)</f>
        <v>0</v>
      </c>
      <c r="AC61" s="182">
        <f>SUMIFS('ноябрь 2025'!$G$2:$G$2583,'ноябрь 2025'!$D$2:$D$2583,$B61,'ноябрь 2025'!$J$2:$J$2583,AC$1)</f>
        <v>0</v>
      </c>
      <c r="AD61" s="182">
        <f>SUMIFS('ноябрь 2025'!$G$2:$G$2583,'ноябрь 2025'!$D$2:$D$2583,$B61,'ноябрь 2025'!$J$2:$J$2583,AD$1)</f>
        <v>0</v>
      </c>
      <c r="AE61" s="182">
        <f>SUMIFS('ноябрь 2025'!$G$2:$G$2583,'ноябрь 2025'!$D$2:$D$2583,$B61,'ноябрь 2025'!$J$2:$J$2583,AE$1)</f>
        <v>0</v>
      </c>
      <c r="AF61" s="182">
        <f>SUMIFS('ноябрь 2025'!$G$2:$G$2583,'ноябрь 2025'!$D$2:$D$2583,$B61,'ноябрь 2025'!$J$2:$J$2583,AF$1)</f>
        <v>0</v>
      </c>
      <c r="AG61" s="182">
        <f>SUMIFS('ноябрь 2025'!$G$2:$G$2583,'ноябрь 2025'!$D$2:$D$2583,$B61,'ноябрь 2025'!$J$2:$J$2583,AG$1)</f>
        <v>0</v>
      </c>
      <c r="AH61" s="182">
        <f>SUMIFS('ноябрь 2025'!$G$2:$G$2583,'ноябрь 2025'!$D$2:$D$2583,$B61,'ноябрь 2025'!$J$2:$J$2583,AH$1)</f>
        <v>0</v>
      </c>
      <c r="AI61" s="20">
        <f t="shared" si="1"/>
        <v>0</v>
      </c>
    </row>
    <row r="62" spans="2:35" ht="15" customHeight="1" x14ac:dyDescent="0.25">
      <c r="B62" s="131" t="s">
        <v>255</v>
      </c>
      <c r="C62" s="132">
        <v>20</v>
      </c>
      <c r="D62" s="182">
        <f>SUMIFS('ноябрь 2025'!$G$2:$G$2583,'ноябрь 2025'!$D$2:$D$2583,$B62,'ноябрь 2025'!$J$2:$J$2583,D$1)</f>
        <v>0</v>
      </c>
      <c r="E62" s="182">
        <f>SUMIFS('ноябрь 2025'!$G$2:$G$2583,'ноябрь 2025'!$D$2:$D$2583,$B62,'ноябрь 2025'!$J$2:$J$2583,E$1)</f>
        <v>0</v>
      </c>
      <c r="F62" s="182">
        <f>SUMIFS('ноябрь 2025'!$G$2:$G$2583,'ноябрь 2025'!$D$2:$D$2583,$B62,'ноябрь 2025'!$J$2:$J$2583,F$1)</f>
        <v>0</v>
      </c>
      <c r="G62" s="182">
        <f>SUMIFS('ноябрь 2025'!$G$2:$G$2583,'ноябрь 2025'!$D$2:$D$2583,$B62,'ноябрь 2025'!$J$2:$J$2583,G$1)</f>
        <v>0</v>
      </c>
      <c r="H62" s="182">
        <f>SUMIFS('ноябрь 2025'!$G$2:$G$2583,'ноябрь 2025'!$D$2:$D$2583,$B62,'ноябрь 2025'!$J$2:$J$2583,H$1)</f>
        <v>0</v>
      </c>
      <c r="I62" s="182">
        <f>SUMIFS('ноябрь 2025'!$G$2:$G$2583,'ноябрь 2025'!$D$2:$D$2583,$B62,'ноябрь 2025'!$J$2:$J$2583,I$1)</f>
        <v>0</v>
      </c>
      <c r="J62" s="182">
        <f>SUMIFS('ноябрь 2025'!$G$2:$G$2583,'ноябрь 2025'!$D$2:$D$2583,$B62,'ноябрь 2025'!$J$2:$J$2583,J$1)</f>
        <v>0</v>
      </c>
      <c r="K62" s="182">
        <f>SUMIFS('ноябрь 2025'!$G$2:$G$2583,'ноябрь 2025'!$D$2:$D$2583,$B62,'ноябрь 2025'!$J$2:$J$2583,K$1)</f>
        <v>0</v>
      </c>
      <c r="L62" s="182">
        <f>SUMIFS('ноябрь 2025'!$G$2:$G$2583,'ноябрь 2025'!$D$2:$D$2583,$B62,'ноябрь 2025'!$J$2:$J$2583,L$1)</f>
        <v>0</v>
      </c>
      <c r="M62" s="182">
        <f>SUMIFS('ноябрь 2025'!$G$2:$G$2583,'ноябрь 2025'!$D$2:$D$2583,$B62,'ноябрь 2025'!$J$2:$J$2583,M$1)</f>
        <v>0</v>
      </c>
      <c r="N62" s="182">
        <f>SUMIFS('ноябрь 2025'!$G$2:$G$2583,'ноябрь 2025'!$D$2:$D$2583,$B62,'ноябрь 2025'!$J$2:$J$2583,N$1)</f>
        <v>0</v>
      </c>
      <c r="O62" s="182">
        <f>SUMIFS('ноябрь 2025'!$G$2:$G$2583,'ноябрь 2025'!$D$2:$D$2583,$B62,'ноябрь 2025'!$J$2:$J$2583,O$1)</f>
        <v>0</v>
      </c>
      <c r="P62" s="182">
        <f>SUMIFS('ноябрь 2025'!$G$2:$G$2583,'ноябрь 2025'!$D$2:$D$2583,$B62,'ноябрь 2025'!$J$2:$J$2583,P$1)</f>
        <v>0</v>
      </c>
      <c r="Q62" s="182">
        <f>SUMIFS('ноябрь 2025'!$G$2:$G$2583,'ноябрь 2025'!$D$2:$D$2583,$B62,'ноябрь 2025'!$J$2:$J$2583,Q$1)</f>
        <v>0</v>
      </c>
      <c r="R62" s="182">
        <f>SUMIFS('ноябрь 2025'!$G$2:$G$2583,'ноябрь 2025'!$D$2:$D$2583,$B62,'ноябрь 2025'!$J$2:$J$2583,R$1)</f>
        <v>0</v>
      </c>
      <c r="S62" s="182">
        <f>SUMIFS('ноябрь 2025'!$G$2:$G$2583,'ноябрь 2025'!$D$2:$D$2583,$B62,'ноябрь 2025'!$J$2:$J$2583,S$1)</f>
        <v>0</v>
      </c>
      <c r="T62" s="182">
        <f>SUMIFS('ноябрь 2025'!$G$2:$G$2583,'ноябрь 2025'!$D$2:$D$2583,$B62,'ноябрь 2025'!$J$2:$J$2583,T$1)</f>
        <v>0</v>
      </c>
      <c r="U62" s="182">
        <f>SUMIFS('ноябрь 2025'!$G$2:$G$2583,'ноябрь 2025'!$D$2:$D$2583,$B62,'ноябрь 2025'!$J$2:$J$2583,U$1)</f>
        <v>0</v>
      </c>
      <c r="V62" s="182">
        <f>SUMIFS('ноябрь 2025'!$G$2:$G$2583,'ноябрь 2025'!$D$2:$D$2583,$B62,'ноябрь 2025'!$J$2:$J$2583,V$1)</f>
        <v>0</v>
      </c>
      <c r="W62" s="182">
        <f>SUMIFS('ноябрь 2025'!$G$2:$G$2583,'ноябрь 2025'!$D$2:$D$2583,$B62,'ноябрь 2025'!$J$2:$J$2583,W$1)</f>
        <v>0</v>
      </c>
      <c r="X62" s="182">
        <f>SUMIFS('ноябрь 2025'!$G$2:$G$2583,'ноябрь 2025'!$D$2:$D$2583,$B62,'ноябрь 2025'!$J$2:$J$2583,X$1)</f>
        <v>0</v>
      </c>
      <c r="Y62" s="182">
        <f>SUMIFS('ноябрь 2025'!$G$2:$G$2583,'ноябрь 2025'!$D$2:$D$2583,$B62,'ноябрь 2025'!$J$2:$J$2583,Y$1)</f>
        <v>0</v>
      </c>
      <c r="Z62" s="182">
        <f>SUMIFS('ноябрь 2025'!$G$2:$G$2583,'ноябрь 2025'!$D$2:$D$2583,$B62,'ноябрь 2025'!$J$2:$J$2583,Z$1)</f>
        <v>0</v>
      </c>
      <c r="AA62" s="182">
        <f>SUMIFS('ноябрь 2025'!$G$2:$G$2583,'ноябрь 2025'!$D$2:$D$2583,$B62,'ноябрь 2025'!$J$2:$J$2583,AA$1)</f>
        <v>0</v>
      </c>
      <c r="AB62" s="182">
        <f>SUMIFS('ноябрь 2025'!$G$2:$G$2583,'ноябрь 2025'!$D$2:$D$2583,$B62,'ноябрь 2025'!$J$2:$J$2583,AB$1)</f>
        <v>0</v>
      </c>
      <c r="AC62" s="182">
        <f>SUMIFS('ноябрь 2025'!$G$2:$G$2583,'ноябрь 2025'!$D$2:$D$2583,$B62,'ноябрь 2025'!$J$2:$J$2583,AC$1)</f>
        <v>0</v>
      </c>
      <c r="AD62" s="182">
        <f>SUMIFS('ноябрь 2025'!$G$2:$G$2583,'ноябрь 2025'!$D$2:$D$2583,$B62,'ноябрь 2025'!$J$2:$J$2583,AD$1)</f>
        <v>0</v>
      </c>
      <c r="AE62" s="182">
        <f>SUMIFS('ноябрь 2025'!$G$2:$G$2583,'ноябрь 2025'!$D$2:$D$2583,$B62,'ноябрь 2025'!$J$2:$J$2583,AE$1)</f>
        <v>0</v>
      </c>
      <c r="AF62" s="182">
        <f>SUMIFS('ноябрь 2025'!$G$2:$G$2583,'ноябрь 2025'!$D$2:$D$2583,$B62,'ноябрь 2025'!$J$2:$J$2583,AF$1)</f>
        <v>0</v>
      </c>
      <c r="AG62" s="182">
        <f>SUMIFS('ноябрь 2025'!$G$2:$G$2583,'ноябрь 2025'!$D$2:$D$2583,$B62,'ноябрь 2025'!$J$2:$J$2583,AG$1)</f>
        <v>0</v>
      </c>
      <c r="AH62" s="182">
        <f>SUMIFS('ноябрь 2025'!$G$2:$G$2583,'ноябрь 2025'!$D$2:$D$2583,$B62,'ноябрь 2025'!$J$2:$J$2583,AH$1)</f>
        <v>0</v>
      </c>
      <c r="AI62" s="20">
        <f t="shared" si="1"/>
        <v>0</v>
      </c>
    </row>
    <row r="63" spans="2:35" ht="15.75" x14ac:dyDescent="0.25">
      <c r="B63" s="131" t="s">
        <v>1258</v>
      </c>
      <c r="C63" s="132">
        <v>10</v>
      </c>
      <c r="D63" s="182">
        <f>SUMIFS('ноябрь 2025'!$G$2:$G$2583,'ноябрь 2025'!$D$2:$D$2583,$B63,'ноябрь 2025'!$J$2:$J$2583,D$1)</f>
        <v>0</v>
      </c>
      <c r="E63" s="182">
        <f>SUMIFS('ноябрь 2025'!$G$2:$G$2583,'ноябрь 2025'!$D$2:$D$2583,$B63,'ноябрь 2025'!$J$2:$J$2583,E$1)</f>
        <v>0</v>
      </c>
      <c r="F63" s="182">
        <f>SUMIFS('ноябрь 2025'!$G$2:$G$2583,'ноябрь 2025'!$D$2:$D$2583,$B63,'ноябрь 2025'!$J$2:$J$2583,F$1)</f>
        <v>0</v>
      </c>
      <c r="G63" s="182">
        <f>SUMIFS('ноябрь 2025'!$G$2:$G$2583,'ноябрь 2025'!$D$2:$D$2583,$B63,'ноябрь 2025'!$J$2:$J$2583,G$1)</f>
        <v>0</v>
      </c>
      <c r="H63" s="182">
        <f>SUMIFS('ноябрь 2025'!$G$2:$G$2583,'ноябрь 2025'!$D$2:$D$2583,$B63,'ноябрь 2025'!$J$2:$J$2583,H$1)</f>
        <v>0</v>
      </c>
      <c r="I63" s="182">
        <f>SUMIFS('ноябрь 2025'!$G$2:$G$2583,'ноябрь 2025'!$D$2:$D$2583,$B63,'ноябрь 2025'!$J$2:$J$2583,I$1)</f>
        <v>0</v>
      </c>
      <c r="J63" s="182">
        <f>SUMIFS('ноябрь 2025'!$G$2:$G$2583,'ноябрь 2025'!$D$2:$D$2583,$B63,'ноябрь 2025'!$J$2:$J$2583,J$1)</f>
        <v>0</v>
      </c>
      <c r="K63" s="182">
        <f>SUMIFS('ноябрь 2025'!$G$2:$G$2583,'ноябрь 2025'!$D$2:$D$2583,$B63,'ноябрь 2025'!$J$2:$J$2583,K$1)</f>
        <v>0</v>
      </c>
      <c r="L63" s="182">
        <f>SUMIFS('ноябрь 2025'!$G$2:$G$2583,'ноябрь 2025'!$D$2:$D$2583,$B63,'ноябрь 2025'!$J$2:$J$2583,L$1)</f>
        <v>0</v>
      </c>
      <c r="M63" s="182">
        <f>SUMIFS('ноябрь 2025'!$G$2:$G$2583,'ноябрь 2025'!$D$2:$D$2583,$B63,'ноябрь 2025'!$J$2:$J$2583,M$1)</f>
        <v>0</v>
      </c>
      <c r="N63" s="182">
        <f>SUMIFS('ноябрь 2025'!$G$2:$G$2583,'ноябрь 2025'!$D$2:$D$2583,$B63,'ноябрь 2025'!$J$2:$J$2583,N$1)</f>
        <v>0</v>
      </c>
      <c r="O63" s="182">
        <f>SUMIFS('ноябрь 2025'!$G$2:$G$2583,'ноябрь 2025'!$D$2:$D$2583,$B63,'ноябрь 2025'!$J$2:$J$2583,O$1)</f>
        <v>0</v>
      </c>
      <c r="P63" s="182">
        <f>SUMIFS('ноябрь 2025'!$G$2:$G$2583,'ноябрь 2025'!$D$2:$D$2583,$B63,'ноябрь 2025'!$J$2:$J$2583,P$1)</f>
        <v>0</v>
      </c>
      <c r="Q63" s="182">
        <f>SUMIFS('ноябрь 2025'!$G$2:$G$2583,'ноябрь 2025'!$D$2:$D$2583,$B63,'ноябрь 2025'!$J$2:$J$2583,Q$1)</f>
        <v>0</v>
      </c>
      <c r="R63" s="182">
        <f>SUMIFS('ноябрь 2025'!$G$2:$G$2583,'ноябрь 2025'!$D$2:$D$2583,$B63,'ноябрь 2025'!$J$2:$J$2583,R$1)</f>
        <v>0</v>
      </c>
      <c r="S63" s="182">
        <f>SUMIFS('ноябрь 2025'!$G$2:$G$2583,'ноябрь 2025'!$D$2:$D$2583,$B63,'ноябрь 2025'!$J$2:$J$2583,S$1)</f>
        <v>0</v>
      </c>
      <c r="T63" s="182">
        <f>SUMIFS('ноябрь 2025'!$G$2:$G$2583,'ноябрь 2025'!$D$2:$D$2583,$B63,'ноябрь 2025'!$J$2:$J$2583,T$1)</f>
        <v>0</v>
      </c>
      <c r="U63" s="182">
        <f>SUMIFS('ноябрь 2025'!$G$2:$G$2583,'ноябрь 2025'!$D$2:$D$2583,$B63,'ноябрь 2025'!$J$2:$J$2583,U$1)</f>
        <v>0</v>
      </c>
      <c r="V63" s="182">
        <f>SUMIFS('ноябрь 2025'!$G$2:$G$2583,'ноябрь 2025'!$D$2:$D$2583,$B63,'ноябрь 2025'!$J$2:$J$2583,V$1)</f>
        <v>0</v>
      </c>
      <c r="W63" s="182">
        <f>SUMIFS('ноябрь 2025'!$G$2:$G$2583,'ноябрь 2025'!$D$2:$D$2583,$B63,'ноябрь 2025'!$J$2:$J$2583,W$1)</f>
        <v>0</v>
      </c>
      <c r="X63" s="182">
        <f>SUMIFS('ноябрь 2025'!$G$2:$G$2583,'ноябрь 2025'!$D$2:$D$2583,$B63,'ноябрь 2025'!$J$2:$J$2583,X$1)</f>
        <v>0</v>
      </c>
      <c r="Y63" s="182">
        <f>SUMIFS('ноябрь 2025'!$G$2:$G$2583,'ноябрь 2025'!$D$2:$D$2583,$B63,'ноябрь 2025'!$J$2:$J$2583,Y$1)</f>
        <v>0</v>
      </c>
      <c r="Z63" s="182">
        <f>SUMIFS('ноябрь 2025'!$G$2:$G$2583,'ноябрь 2025'!$D$2:$D$2583,$B63,'ноябрь 2025'!$J$2:$J$2583,Z$1)</f>
        <v>0</v>
      </c>
      <c r="AA63" s="182">
        <f>SUMIFS('ноябрь 2025'!$G$2:$G$2583,'ноябрь 2025'!$D$2:$D$2583,$B63,'ноябрь 2025'!$J$2:$J$2583,AA$1)</f>
        <v>0</v>
      </c>
      <c r="AB63" s="182">
        <f>SUMIFS('ноябрь 2025'!$G$2:$G$2583,'ноябрь 2025'!$D$2:$D$2583,$B63,'ноябрь 2025'!$J$2:$J$2583,AB$1)</f>
        <v>0</v>
      </c>
      <c r="AC63" s="182">
        <f>SUMIFS('ноябрь 2025'!$G$2:$G$2583,'ноябрь 2025'!$D$2:$D$2583,$B63,'ноябрь 2025'!$J$2:$J$2583,AC$1)</f>
        <v>0</v>
      </c>
      <c r="AD63" s="182">
        <f>SUMIFS('ноябрь 2025'!$G$2:$G$2583,'ноябрь 2025'!$D$2:$D$2583,$B63,'ноябрь 2025'!$J$2:$J$2583,AD$1)</f>
        <v>0</v>
      </c>
      <c r="AE63" s="182">
        <f>SUMIFS('ноябрь 2025'!$G$2:$G$2583,'ноябрь 2025'!$D$2:$D$2583,$B63,'ноябрь 2025'!$J$2:$J$2583,AE$1)</f>
        <v>0</v>
      </c>
      <c r="AF63" s="182">
        <f>SUMIFS('ноябрь 2025'!$G$2:$G$2583,'ноябрь 2025'!$D$2:$D$2583,$B63,'ноябрь 2025'!$J$2:$J$2583,AF$1)</f>
        <v>0</v>
      </c>
      <c r="AG63" s="182">
        <f>SUMIFS('ноябрь 2025'!$G$2:$G$2583,'ноябрь 2025'!$D$2:$D$2583,$B63,'ноябрь 2025'!$J$2:$J$2583,AG$1)</f>
        <v>0</v>
      </c>
      <c r="AH63" s="182">
        <f>SUMIFS('ноябрь 2025'!$G$2:$G$2583,'ноябрь 2025'!$D$2:$D$2583,$B63,'ноябрь 2025'!$J$2:$J$2583,AH$1)</f>
        <v>0</v>
      </c>
      <c r="AI63" s="20">
        <f t="shared" si="1"/>
        <v>0</v>
      </c>
    </row>
    <row r="64" spans="2:35" ht="15" customHeight="1" x14ac:dyDescent="0.25">
      <c r="B64" s="131" t="s">
        <v>1259</v>
      </c>
      <c r="C64" s="132">
        <v>10</v>
      </c>
      <c r="D64" s="182">
        <f>SUMIFS('ноябрь 2025'!$G$2:$G$2583,'ноябрь 2025'!$D$2:$D$2583,$B64,'ноябрь 2025'!$J$2:$J$2583,D$1)</f>
        <v>0</v>
      </c>
      <c r="E64" s="182">
        <f>SUMIFS('ноябрь 2025'!$G$2:$G$2583,'ноябрь 2025'!$D$2:$D$2583,$B64,'ноябрь 2025'!$J$2:$J$2583,E$1)</f>
        <v>0</v>
      </c>
      <c r="F64" s="182">
        <f>SUMIFS('ноябрь 2025'!$G$2:$G$2583,'ноябрь 2025'!$D$2:$D$2583,$B64,'ноябрь 2025'!$J$2:$J$2583,F$1)</f>
        <v>0</v>
      </c>
      <c r="G64" s="182">
        <f>SUMIFS('ноябрь 2025'!$G$2:$G$2583,'ноябрь 2025'!$D$2:$D$2583,$B64,'ноябрь 2025'!$J$2:$J$2583,G$1)</f>
        <v>0</v>
      </c>
      <c r="H64" s="182">
        <f>SUMIFS('ноябрь 2025'!$G$2:$G$2583,'ноябрь 2025'!$D$2:$D$2583,$B64,'ноябрь 2025'!$J$2:$J$2583,H$1)</f>
        <v>0</v>
      </c>
      <c r="I64" s="182">
        <f>SUMIFS('ноябрь 2025'!$G$2:$G$2583,'ноябрь 2025'!$D$2:$D$2583,$B64,'ноябрь 2025'!$J$2:$J$2583,I$1)</f>
        <v>0</v>
      </c>
      <c r="J64" s="182">
        <f>SUMIFS('ноябрь 2025'!$G$2:$G$2583,'ноябрь 2025'!$D$2:$D$2583,$B64,'ноябрь 2025'!$J$2:$J$2583,J$1)</f>
        <v>0</v>
      </c>
      <c r="K64" s="182">
        <f>SUMIFS('ноябрь 2025'!$G$2:$G$2583,'ноябрь 2025'!$D$2:$D$2583,$B64,'ноябрь 2025'!$J$2:$J$2583,K$1)</f>
        <v>0</v>
      </c>
      <c r="L64" s="182">
        <f>SUMIFS('ноябрь 2025'!$G$2:$G$2583,'ноябрь 2025'!$D$2:$D$2583,$B64,'ноябрь 2025'!$J$2:$J$2583,L$1)</f>
        <v>0</v>
      </c>
      <c r="M64" s="182">
        <f>SUMIFS('ноябрь 2025'!$G$2:$G$2583,'ноябрь 2025'!$D$2:$D$2583,$B64,'ноябрь 2025'!$J$2:$J$2583,M$1)</f>
        <v>0</v>
      </c>
      <c r="N64" s="182">
        <f>SUMIFS('ноябрь 2025'!$G$2:$G$2583,'ноябрь 2025'!$D$2:$D$2583,$B64,'ноябрь 2025'!$J$2:$J$2583,N$1)</f>
        <v>0</v>
      </c>
      <c r="O64" s="182">
        <f>SUMIFS('ноябрь 2025'!$G$2:$G$2583,'ноябрь 2025'!$D$2:$D$2583,$B64,'ноябрь 2025'!$J$2:$J$2583,O$1)</f>
        <v>0</v>
      </c>
      <c r="P64" s="182">
        <f>SUMIFS('ноябрь 2025'!$G$2:$G$2583,'ноябрь 2025'!$D$2:$D$2583,$B64,'ноябрь 2025'!$J$2:$J$2583,P$1)</f>
        <v>0</v>
      </c>
      <c r="Q64" s="182">
        <f>SUMIFS('ноябрь 2025'!$G$2:$G$2583,'ноябрь 2025'!$D$2:$D$2583,$B64,'ноябрь 2025'!$J$2:$J$2583,Q$1)</f>
        <v>0</v>
      </c>
      <c r="R64" s="182">
        <f>SUMIFS('ноябрь 2025'!$G$2:$G$2583,'ноябрь 2025'!$D$2:$D$2583,$B64,'ноябрь 2025'!$J$2:$J$2583,R$1)</f>
        <v>0</v>
      </c>
      <c r="S64" s="182">
        <f>SUMIFS('ноябрь 2025'!$G$2:$G$2583,'ноябрь 2025'!$D$2:$D$2583,$B64,'ноябрь 2025'!$J$2:$J$2583,S$1)</f>
        <v>0</v>
      </c>
      <c r="T64" s="182">
        <f>SUMIFS('ноябрь 2025'!$G$2:$G$2583,'ноябрь 2025'!$D$2:$D$2583,$B64,'ноябрь 2025'!$J$2:$J$2583,T$1)</f>
        <v>0</v>
      </c>
      <c r="U64" s="182">
        <f>SUMIFS('ноябрь 2025'!$G$2:$G$2583,'ноябрь 2025'!$D$2:$D$2583,$B64,'ноябрь 2025'!$J$2:$J$2583,U$1)</f>
        <v>0</v>
      </c>
      <c r="V64" s="182">
        <f>SUMIFS('ноябрь 2025'!$G$2:$G$2583,'ноябрь 2025'!$D$2:$D$2583,$B64,'ноябрь 2025'!$J$2:$J$2583,V$1)</f>
        <v>0</v>
      </c>
      <c r="W64" s="182">
        <f>SUMIFS('ноябрь 2025'!$G$2:$G$2583,'ноябрь 2025'!$D$2:$D$2583,$B64,'ноябрь 2025'!$J$2:$J$2583,W$1)</f>
        <v>0</v>
      </c>
      <c r="X64" s="182">
        <f>SUMIFS('ноябрь 2025'!$G$2:$G$2583,'ноябрь 2025'!$D$2:$D$2583,$B64,'ноябрь 2025'!$J$2:$J$2583,X$1)</f>
        <v>0</v>
      </c>
      <c r="Y64" s="182">
        <f>SUMIFS('ноябрь 2025'!$G$2:$G$2583,'ноябрь 2025'!$D$2:$D$2583,$B64,'ноябрь 2025'!$J$2:$J$2583,Y$1)</f>
        <v>0</v>
      </c>
      <c r="Z64" s="182">
        <f>SUMIFS('ноябрь 2025'!$G$2:$G$2583,'ноябрь 2025'!$D$2:$D$2583,$B64,'ноябрь 2025'!$J$2:$J$2583,Z$1)</f>
        <v>0</v>
      </c>
      <c r="AA64" s="182">
        <f>SUMIFS('ноябрь 2025'!$G$2:$G$2583,'ноябрь 2025'!$D$2:$D$2583,$B64,'ноябрь 2025'!$J$2:$J$2583,AA$1)</f>
        <v>0</v>
      </c>
      <c r="AB64" s="182">
        <f>SUMIFS('ноябрь 2025'!$G$2:$G$2583,'ноябрь 2025'!$D$2:$D$2583,$B64,'ноябрь 2025'!$J$2:$J$2583,AB$1)</f>
        <v>0</v>
      </c>
      <c r="AC64" s="182">
        <f>SUMIFS('ноябрь 2025'!$G$2:$G$2583,'ноябрь 2025'!$D$2:$D$2583,$B64,'ноябрь 2025'!$J$2:$J$2583,AC$1)</f>
        <v>0</v>
      </c>
      <c r="AD64" s="182">
        <f>SUMIFS('ноябрь 2025'!$G$2:$G$2583,'ноябрь 2025'!$D$2:$D$2583,$B64,'ноябрь 2025'!$J$2:$J$2583,AD$1)</f>
        <v>0</v>
      </c>
      <c r="AE64" s="182">
        <f>SUMIFS('ноябрь 2025'!$G$2:$G$2583,'ноябрь 2025'!$D$2:$D$2583,$B64,'ноябрь 2025'!$J$2:$J$2583,AE$1)</f>
        <v>0</v>
      </c>
      <c r="AF64" s="182">
        <f>SUMIFS('ноябрь 2025'!$G$2:$G$2583,'ноябрь 2025'!$D$2:$D$2583,$B64,'ноябрь 2025'!$J$2:$J$2583,AF$1)</f>
        <v>0</v>
      </c>
      <c r="AG64" s="182">
        <f>SUMIFS('ноябрь 2025'!$G$2:$G$2583,'ноябрь 2025'!$D$2:$D$2583,$B64,'ноябрь 2025'!$J$2:$J$2583,AG$1)</f>
        <v>0</v>
      </c>
      <c r="AH64" s="182">
        <f>SUMIFS('ноябрь 2025'!$G$2:$G$2583,'ноябрь 2025'!$D$2:$D$2583,$B64,'ноябрь 2025'!$J$2:$J$2583,AH$1)</f>
        <v>0</v>
      </c>
      <c r="AI64" s="20">
        <f t="shared" si="1"/>
        <v>0</v>
      </c>
    </row>
    <row r="65" spans="2:35" ht="15" customHeight="1" x14ac:dyDescent="0.25">
      <c r="B65" s="136" t="s">
        <v>1260</v>
      </c>
      <c r="C65" s="132">
        <v>10</v>
      </c>
      <c r="D65" s="182">
        <f>SUMIFS('ноябрь 2025'!$G$2:$G$2583,'ноябрь 2025'!$D$2:$D$2583,$B65,'ноябрь 2025'!$J$2:$J$2583,D$1)</f>
        <v>0</v>
      </c>
      <c r="E65" s="182">
        <f>SUMIFS('ноябрь 2025'!$G$2:$G$2583,'ноябрь 2025'!$D$2:$D$2583,$B65,'ноябрь 2025'!$J$2:$J$2583,E$1)</f>
        <v>0</v>
      </c>
      <c r="F65" s="182">
        <f>SUMIFS('ноябрь 2025'!$G$2:$G$2583,'ноябрь 2025'!$D$2:$D$2583,$B65,'ноябрь 2025'!$J$2:$J$2583,F$1)</f>
        <v>0</v>
      </c>
      <c r="G65" s="182">
        <f>SUMIFS('ноябрь 2025'!$G$2:$G$2583,'ноябрь 2025'!$D$2:$D$2583,$B65,'ноябрь 2025'!$J$2:$J$2583,G$1)</f>
        <v>0</v>
      </c>
      <c r="H65" s="182">
        <f>SUMIFS('ноябрь 2025'!$G$2:$G$2583,'ноябрь 2025'!$D$2:$D$2583,$B65,'ноябрь 2025'!$J$2:$J$2583,H$1)</f>
        <v>0</v>
      </c>
      <c r="I65" s="182">
        <f>SUMIFS('ноябрь 2025'!$G$2:$G$2583,'ноябрь 2025'!$D$2:$D$2583,$B65,'ноябрь 2025'!$J$2:$J$2583,I$1)</f>
        <v>0</v>
      </c>
      <c r="J65" s="182">
        <f>SUMIFS('ноябрь 2025'!$G$2:$G$2583,'ноябрь 2025'!$D$2:$D$2583,$B65,'ноябрь 2025'!$J$2:$J$2583,J$1)</f>
        <v>0</v>
      </c>
      <c r="K65" s="182">
        <f>SUMIFS('ноябрь 2025'!$G$2:$G$2583,'ноябрь 2025'!$D$2:$D$2583,$B65,'ноябрь 2025'!$J$2:$J$2583,K$1)</f>
        <v>0</v>
      </c>
      <c r="L65" s="182">
        <f>SUMIFS('ноябрь 2025'!$G$2:$G$2583,'ноябрь 2025'!$D$2:$D$2583,$B65,'ноябрь 2025'!$J$2:$J$2583,L$1)</f>
        <v>0</v>
      </c>
      <c r="M65" s="182">
        <f>SUMIFS('ноябрь 2025'!$G$2:$G$2583,'ноябрь 2025'!$D$2:$D$2583,$B65,'ноябрь 2025'!$J$2:$J$2583,M$1)</f>
        <v>0</v>
      </c>
      <c r="N65" s="182">
        <f>SUMIFS('ноябрь 2025'!$G$2:$G$2583,'ноябрь 2025'!$D$2:$D$2583,$B65,'ноябрь 2025'!$J$2:$J$2583,N$1)</f>
        <v>0</v>
      </c>
      <c r="O65" s="182">
        <f>SUMIFS('ноябрь 2025'!$G$2:$G$2583,'ноябрь 2025'!$D$2:$D$2583,$B65,'ноябрь 2025'!$J$2:$J$2583,O$1)</f>
        <v>0</v>
      </c>
      <c r="P65" s="182">
        <f>SUMIFS('ноябрь 2025'!$G$2:$G$2583,'ноябрь 2025'!$D$2:$D$2583,$B65,'ноябрь 2025'!$J$2:$J$2583,P$1)</f>
        <v>0</v>
      </c>
      <c r="Q65" s="182">
        <f>SUMIFS('ноябрь 2025'!$G$2:$G$2583,'ноябрь 2025'!$D$2:$D$2583,$B65,'ноябрь 2025'!$J$2:$J$2583,Q$1)</f>
        <v>0</v>
      </c>
      <c r="R65" s="182">
        <f>SUMIFS('ноябрь 2025'!$G$2:$G$2583,'ноябрь 2025'!$D$2:$D$2583,$B65,'ноябрь 2025'!$J$2:$J$2583,R$1)</f>
        <v>0</v>
      </c>
      <c r="S65" s="182">
        <f>SUMIFS('ноябрь 2025'!$G$2:$G$2583,'ноябрь 2025'!$D$2:$D$2583,$B65,'ноябрь 2025'!$J$2:$J$2583,S$1)</f>
        <v>0</v>
      </c>
      <c r="T65" s="182">
        <f>SUMIFS('ноябрь 2025'!$G$2:$G$2583,'ноябрь 2025'!$D$2:$D$2583,$B65,'ноябрь 2025'!$J$2:$J$2583,T$1)</f>
        <v>0</v>
      </c>
      <c r="U65" s="182">
        <f>SUMIFS('ноябрь 2025'!$G$2:$G$2583,'ноябрь 2025'!$D$2:$D$2583,$B65,'ноябрь 2025'!$J$2:$J$2583,U$1)</f>
        <v>0</v>
      </c>
      <c r="V65" s="182">
        <f>SUMIFS('ноябрь 2025'!$G$2:$G$2583,'ноябрь 2025'!$D$2:$D$2583,$B65,'ноябрь 2025'!$J$2:$J$2583,V$1)</f>
        <v>0</v>
      </c>
      <c r="W65" s="182">
        <f>SUMIFS('ноябрь 2025'!$G$2:$G$2583,'ноябрь 2025'!$D$2:$D$2583,$B65,'ноябрь 2025'!$J$2:$J$2583,W$1)</f>
        <v>0</v>
      </c>
      <c r="X65" s="182">
        <f>SUMIFS('ноябрь 2025'!$G$2:$G$2583,'ноябрь 2025'!$D$2:$D$2583,$B65,'ноябрь 2025'!$J$2:$J$2583,X$1)</f>
        <v>0</v>
      </c>
      <c r="Y65" s="182">
        <f>SUMIFS('ноябрь 2025'!$G$2:$G$2583,'ноябрь 2025'!$D$2:$D$2583,$B65,'ноябрь 2025'!$J$2:$J$2583,Y$1)</f>
        <v>0</v>
      </c>
      <c r="Z65" s="182">
        <f>SUMIFS('ноябрь 2025'!$G$2:$G$2583,'ноябрь 2025'!$D$2:$D$2583,$B65,'ноябрь 2025'!$J$2:$J$2583,Z$1)</f>
        <v>0</v>
      </c>
      <c r="AA65" s="182">
        <f>SUMIFS('ноябрь 2025'!$G$2:$G$2583,'ноябрь 2025'!$D$2:$D$2583,$B65,'ноябрь 2025'!$J$2:$J$2583,AA$1)</f>
        <v>0</v>
      </c>
      <c r="AB65" s="182">
        <f>SUMIFS('ноябрь 2025'!$G$2:$G$2583,'ноябрь 2025'!$D$2:$D$2583,$B65,'ноябрь 2025'!$J$2:$J$2583,AB$1)</f>
        <v>0</v>
      </c>
      <c r="AC65" s="182">
        <f>SUMIFS('ноябрь 2025'!$G$2:$G$2583,'ноябрь 2025'!$D$2:$D$2583,$B65,'ноябрь 2025'!$J$2:$J$2583,AC$1)</f>
        <v>0</v>
      </c>
      <c r="AD65" s="182">
        <f>SUMIFS('ноябрь 2025'!$G$2:$G$2583,'ноябрь 2025'!$D$2:$D$2583,$B65,'ноябрь 2025'!$J$2:$J$2583,AD$1)</f>
        <v>0</v>
      </c>
      <c r="AE65" s="182">
        <f>SUMIFS('ноябрь 2025'!$G$2:$G$2583,'ноябрь 2025'!$D$2:$D$2583,$B65,'ноябрь 2025'!$J$2:$J$2583,AE$1)</f>
        <v>0</v>
      </c>
      <c r="AF65" s="182">
        <f>SUMIFS('ноябрь 2025'!$G$2:$G$2583,'ноябрь 2025'!$D$2:$D$2583,$B65,'ноябрь 2025'!$J$2:$J$2583,AF$1)</f>
        <v>0</v>
      </c>
      <c r="AG65" s="182">
        <f>SUMIFS('ноябрь 2025'!$G$2:$G$2583,'ноябрь 2025'!$D$2:$D$2583,$B65,'ноябрь 2025'!$J$2:$J$2583,AG$1)</f>
        <v>0</v>
      </c>
      <c r="AH65" s="182">
        <f>SUMIFS('ноябрь 2025'!$G$2:$G$2583,'ноябрь 2025'!$D$2:$D$2583,$B65,'ноябрь 2025'!$J$2:$J$2583,AH$1)</f>
        <v>0</v>
      </c>
      <c r="AI65" s="20">
        <f t="shared" si="1"/>
        <v>0</v>
      </c>
    </row>
    <row r="66" spans="2:35" ht="15" customHeight="1" x14ac:dyDescent="0.25">
      <c r="B66" s="136" t="s">
        <v>1261</v>
      </c>
      <c r="C66" s="132">
        <v>10</v>
      </c>
      <c r="D66" s="182">
        <f>SUMIFS('ноябрь 2025'!$G$2:$G$2583,'ноябрь 2025'!$D$2:$D$2583,$B66,'ноябрь 2025'!$J$2:$J$2583,D$1)</f>
        <v>0</v>
      </c>
      <c r="E66" s="182">
        <f>SUMIFS('ноябрь 2025'!$G$2:$G$2583,'ноябрь 2025'!$D$2:$D$2583,$B66,'ноябрь 2025'!$J$2:$J$2583,E$1)</f>
        <v>0</v>
      </c>
      <c r="F66" s="182">
        <f>SUMIFS('ноябрь 2025'!$G$2:$G$2583,'ноябрь 2025'!$D$2:$D$2583,$B66,'ноябрь 2025'!$J$2:$J$2583,F$1)</f>
        <v>0</v>
      </c>
      <c r="G66" s="182">
        <f>SUMIFS('ноябрь 2025'!$G$2:$G$2583,'ноябрь 2025'!$D$2:$D$2583,$B66,'ноябрь 2025'!$J$2:$J$2583,G$1)</f>
        <v>0</v>
      </c>
      <c r="H66" s="182">
        <f>SUMIFS('ноябрь 2025'!$G$2:$G$2583,'ноябрь 2025'!$D$2:$D$2583,$B66,'ноябрь 2025'!$J$2:$J$2583,H$1)</f>
        <v>0</v>
      </c>
      <c r="I66" s="182">
        <f>SUMIFS('ноябрь 2025'!$G$2:$G$2583,'ноябрь 2025'!$D$2:$D$2583,$B66,'ноябрь 2025'!$J$2:$J$2583,I$1)</f>
        <v>0</v>
      </c>
      <c r="J66" s="182">
        <f>SUMIFS('ноябрь 2025'!$G$2:$G$2583,'ноябрь 2025'!$D$2:$D$2583,$B66,'ноябрь 2025'!$J$2:$J$2583,J$1)</f>
        <v>0</v>
      </c>
      <c r="K66" s="182">
        <f>SUMIFS('ноябрь 2025'!$G$2:$G$2583,'ноябрь 2025'!$D$2:$D$2583,$B66,'ноябрь 2025'!$J$2:$J$2583,K$1)</f>
        <v>0</v>
      </c>
      <c r="L66" s="182">
        <f>SUMIFS('ноябрь 2025'!$G$2:$G$2583,'ноябрь 2025'!$D$2:$D$2583,$B66,'ноябрь 2025'!$J$2:$J$2583,L$1)</f>
        <v>0</v>
      </c>
      <c r="M66" s="182">
        <f>SUMIFS('ноябрь 2025'!$G$2:$G$2583,'ноябрь 2025'!$D$2:$D$2583,$B66,'ноябрь 2025'!$J$2:$J$2583,M$1)</f>
        <v>0</v>
      </c>
      <c r="N66" s="182">
        <f>SUMIFS('ноябрь 2025'!$G$2:$G$2583,'ноябрь 2025'!$D$2:$D$2583,$B66,'ноябрь 2025'!$J$2:$J$2583,N$1)</f>
        <v>0</v>
      </c>
      <c r="O66" s="182">
        <f>SUMIFS('ноябрь 2025'!$G$2:$G$2583,'ноябрь 2025'!$D$2:$D$2583,$B66,'ноябрь 2025'!$J$2:$J$2583,O$1)</f>
        <v>0</v>
      </c>
      <c r="P66" s="182">
        <f>SUMIFS('ноябрь 2025'!$G$2:$G$2583,'ноябрь 2025'!$D$2:$D$2583,$B66,'ноябрь 2025'!$J$2:$J$2583,P$1)</f>
        <v>0</v>
      </c>
      <c r="Q66" s="182">
        <f>SUMIFS('ноябрь 2025'!$G$2:$G$2583,'ноябрь 2025'!$D$2:$D$2583,$B66,'ноябрь 2025'!$J$2:$J$2583,Q$1)</f>
        <v>0</v>
      </c>
      <c r="R66" s="182">
        <f>SUMIFS('ноябрь 2025'!$G$2:$G$2583,'ноябрь 2025'!$D$2:$D$2583,$B66,'ноябрь 2025'!$J$2:$J$2583,R$1)</f>
        <v>0</v>
      </c>
      <c r="S66" s="182">
        <f>SUMIFS('ноябрь 2025'!$G$2:$G$2583,'ноябрь 2025'!$D$2:$D$2583,$B66,'ноябрь 2025'!$J$2:$J$2583,S$1)</f>
        <v>0</v>
      </c>
      <c r="T66" s="182">
        <f>SUMIFS('ноябрь 2025'!$G$2:$G$2583,'ноябрь 2025'!$D$2:$D$2583,$B66,'ноябрь 2025'!$J$2:$J$2583,T$1)</f>
        <v>0</v>
      </c>
      <c r="U66" s="182">
        <f>SUMIFS('ноябрь 2025'!$G$2:$G$2583,'ноябрь 2025'!$D$2:$D$2583,$B66,'ноябрь 2025'!$J$2:$J$2583,U$1)</f>
        <v>0</v>
      </c>
      <c r="V66" s="182">
        <f>SUMIFS('ноябрь 2025'!$G$2:$G$2583,'ноябрь 2025'!$D$2:$D$2583,$B66,'ноябрь 2025'!$J$2:$J$2583,V$1)</f>
        <v>0</v>
      </c>
      <c r="W66" s="182">
        <f>SUMIFS('ноябрь 2025'!$G$2:$G$2583,'ноябрь 2025'!$D$2:$D$2583,$B66,'ноябрь 2025'!$J$2:$J$2583,W$1)</f>
        <v>0</v>
      </c>
      <c r="X66" s="182">
        <f>SUMIFS('ноябрь 2025'!$G$2:$G$2583,'ноябрь 2025'!$D$2:$D$2583,$B66,'ноябрь 2025'!$J$2:$J$2583,X$1)</f>
        <v>0</v>
      </c>
      <c r="Y66" s="182">
        <f>SUMIFS('ноябрь 2025'!$G$2:$G$2583,'ноябрь 2025'!$D$2:$D$2583,$B66,'ноябрь 2025'!$J$2:$J$2583,Y$1)</f>
        <v>0</v>
      </c>
      <c r="Z66" s="182">
        <f>SUMIFS('ноябрь 2025'!$G$2:$G$2583,'ноябрь 2025'!$D$2:$D$2583,$B66,'ноябрь 2025'!$J$2:$J$2583,Z$1)</f>
        <v>0</v>
      </c>
      <c r="AA66" s="182">
        <f>SUMIFS('ноябрь 2025'!$G$2:$G$2583,'ноябрь 2025'!$D$2:$D$2583,$B66,'ноябрь 2025'!$J$2:$J$2583,AA$1)</f>
        <v>0</v>
      </c>
      <c r="AB66" s="182">
        <f>SUMIFS('ноябрь 2025'!$G$2:$G$2583,'ноябрь 2025'!$D$2:$D$2583,$B66,'ноябрь 2025'!$J$2:$J$2583,AB$1)</f>
        <v>0</v>
      </c>
      <c r="AC66" s="182">
        <f>SUMIFS('ноябрь 2025'!$G$2:$G$2583,'ноябрь 2025'!$D$2:$D$2583,$B66,'ноябрь 2025'!$J$2:$J$2583,AC$1)</f>
        <v>0</v>
      </c>
      <c r="AD66" s="182">
        <f>SUMIFS('ноябрь 2025'!$G$2:$G$2583,'ноябрь 2025'!$D$2:$D$2583,$B66,'ноябрь 2025'!$J$2:$J$2583,AD$1)</f>
        <v>0</v>
      </c>
      <c r="AE66" s="182">
        <f>SUMIFS('ноябрь 2025'!$G$2:$G$2583,'ноябрь 2025'!$D$2:$D$2583,$B66,'ноябрь 2025'!$J$2:$J$2583,AE$1)</f>
        <v>0</v>
      </c>
      <c r="AF66" s="182">
        <f>SUMIFS('ноябрь 2025'!$G$2:$G$2583,'ноябрь 2025'!$D$2:$D$2583,$B66,'ноябрь 2025'!$J$2:$J$2583,AF$1)</f>
        <v>0</v>
      </c>
      <c r="AG66" s="182">
        <f>SUMIFS('ноябрь 2025'!$G$2:$G$2583,'ноябрь 2025'!$D$2:$D$2583,$B66,'ноябрь 2025'!$J$2:$J$2583,AG$1)</f>
        <v>0</v>
      </c>
      <c r="AH66" s="182">
        <f>SUMIFS('ноябрь 2025'!$G$2:$G$2583,'ноябрь 2025'!$D$2:$D$2583,$B66,'ноябрь 2025'!$J$2:$J$2583,AH$1)</f>
        <v>0</v>
      </c>
      <c r="AI66" s="20">
        <f t="shared" si="1"/>
        <v>0</v>
      </c>
    </row>
    <row r="67" spans="2:35" ht="15" customHeight="1" x14ac:dyDescent="0.25">
      <c r="B67" s="136"/>
      <c r="C67" s="132"/>
      <c r="D67" s="182">
        <f>SUMIFS('ноябрь 2025'!$G$2:$G$2583,'ноябрь 2025'!$D$2:$D$2583,$B67,'ноябрь 2025'!$J$2:$J$2583,D$1)</f>
        <v>0</v>
      </c>
      <c r="E67" s="182">
        <f>SUMIFS('ноябрь 2025'!$G$2:$G$2583,'ноябрь 2025'!$D$2:$D$2583,$B67,'ноябрь 2025'!$J$2:$J$2583,E$1)</f>
        <v>0</v>
      </c>
      <c r="F67" s="182">
        <f>SUMIFS('ноябрь 2025'!$G$2:$G$2583,'ноябрь 2025'!$D$2:$D$2583,$B67,'ноябрь 2025'!$J$2:$J$2583,F$1)</f>
        <v>0</v>
      </c>
      <c r="G67" s="182">
        <f>SUMIFS('ноябрь 2025'!$G$2:$G$2583,'ноябрь 2025'!$D$2:$D$2583,$B67,'ноябрь 2025'!$J$2:$J$2583,G$1)</f>
        <v>0</v>
      </c>
      <c r="H67" s="182">
        <f>SUMIFS('ноябрь 2025'!$G$2:$G$2583,'ноябрь 2025'!$D$2:$D$2583,$B67,'ноябрь 2025'!$J$2:$J$2583,H$1)</f>
        <v>0</v>
      </c>
      <c r="I67" s="182">
        <f>SUMIFS('ноябрь 2025'!$G$2:$G$2583,'ноябрь 2025'!$D$2:$D$2583,$B67,'ноябрь 2025'!$J$2:$J$2583,I$1)</f>
        <v>0</v>
      </c>
      <c r="J67" s="182">
        <f>SUMIFS('ноябрь 2025'!$G$2:$G$2583,'ноябрь 2025'!$D$2:$D$2583,$B67,'ноябрь 2025'!$J$2:$J$2583,J$1)</f>
        <v>0</v>
      </c>
      <c r="K67" s="182">
        <f>SUMIFS('ноябрь 2025'!$G$2:$G$2583,'ноябрь 2025'!$D$2:$D$2583,$B67,'ноябрь 2025'!$J$2:$J$2583,K$1)</f>
        <v>0</v>
      </c>
      <c r="L67" s="182">
        <f>SUMIFS('ноябрь 2025'!$G$2:$G$2583,'ноябрь 2025'!$D$2:$D$2583,$B67,'ноябрь 2025'!$J$2:$J$2583,L$1)</f>
        <v>0</v>
      </c>
      <c r="M67" s="182">
        <f>SUMIFS('ноябрь 2025'!$G$2:$G$2583,'ноябрь 2025'!$D$2:$D$2583,$B67,'ноябрь 2025'!$J$2:$J$2583,M$1)</f>
        <v>0</v>
      </c>
      <c r="N67" s="182">
        <f>SUMIFS('ноябрь 2025'!$G$2:$G$2583,'ноябрь 2025'!$D$2:$D$2583,$B67,'ноябрь 2025'!$J$2:$J$2583,N$1)</f>
        <v>0</v>
      </c>
      <c r="O67" s="182">
        <f>SUMIFS('ноябрь 2025'!$G$2:$G$2583,'ноябрь 2025'!$D$2:$D$2583,$B67,'ноябрь 2025'!$J$2:$J$2583,O$1)</f>
        <v>0</v>
      </c>
      <c r="P67" s="182">
        <f>SUMIFS('ноябрь 2025'!$G$2:$G$2583,'ноябрь 2025'!$D$2:$D$2583,$B67,'ноябрь 2025'!$J$2:$J$2583,P$1)</f>
        <v>0</v>
      </c>
      <c r="Q67" s="182">
        <f>SUMIFS('ноябрь 2025'!$G$2:$G$2583,'ноябрь 2025'!$D$2:$D$2583,$B67,'ноябрь 2025'!$J$2:$J$2583,Q$1)</f>
        <v>0</v>
      </c>
      <c r="R67" s="182">
        <f>SUMIFS('ноябрь 2025'!$G$2:$G$2583,'ноябрь 2025'!$D$2:$D$2583,$B67,'ноябрь 2025'!$J$2:$J$2583,R$1)</f>
        <v>0</v>
      </c>
      <c r="S67" s="182">
        <f>SUMIFS('ноябрь 2025'!$G$2:$G$2583,'ноябрь 2025'!$D$2:$D$2583,$B67,'ноябрь 2025'!$J$2:$J$2583,S$1)</f>
        <v>0</v>
      </c>
      <c r="T67" s="182">
        <f>SUMIFS('ноябрь 2025'!$G$2:$G$2583,'ноябрь 2025'!$D$2:$D$2583,$B67,'ноябрь 2025'!$J$2:$J$2583,T$1)</f>
        <v>0</v>
      </c>
      <c r="U67" s="182">
        <f>SUMIFS('ноябрь 2025'!$G$2:$G$2583,'ноябрь 2025'!$D$2:$D$2583,$B67,'ноябрь 2025'!$J$2:$J$2583,U$1)</f>
        <v>0</v>
      </c>
      <c r="V67" s="182">
        <f>SUMIFS('ноябрь 2025'!$G$2:$G$2583,'ноябрь 2025'!$D$2:$D$2583,$B67,'ноябрь 2025'!$J$2:$J$2583,V$1)</f>
        <v>0</v>
      </c>
      <c r="W67" s="182">
        <f>SUMIFS('ноябрь 2025'!$G$2:$G$2583,'ноябрь 2025'!$D$2:$D$2583,$B67,'ноябрь 2025'!$J$2:$J$2583,W$1)</f>
        <v>0</v>
      </c>
      <c r="X67" s="182">
        <f>SUMIFS('ноябрь 2025'!$G$2:$G$2583,'ноябрь 2025'!$D$2:$D$2583,$B67,'ноябрь 2025'!$J$2:$J$2583,X$1)</f>
        <v>0</v>
      </c>
      <c r="Y67" s="182">
        <f>SUMIFS('ноябрь 2025'!$G$2:$G$2583,'ноябрь 2025'!$D$2:$D$2583,$B67,'ноябрь 2025'!$J$2:$J$2583,Y$1)</f>
        <v>0</v>
      </c>
      <c r="Z67" s="182">
        <f>SUMIFS('ноябрь 2025'!$G$2:$G$2583,'ноябрь 2025'!$D$2:$D$2583,$B67,'ноябрь 2025'!$J$2:$J$2583,Z$1)</f>
        <v>0</v>
      </c>
      <c r="AA67" s="182">
        <f>SUMIFS('ноябрь 2025'!$G$2:$G$2583,'ноябрь 2025'!$D$2:$D$2583,$B67,'ноябрь 2025'!$J$2:$J$2583,AA$1)</f>
        <v>0</v>
      </c>
      <c r="AB67" s="182">
        <f>SUMIFS('ноябрь 2025'!$G$2:$G$2583,'ноябрь 2025'!$D$2:$D$2583,$B67,'ноябрь 2025'!$J$2:$J$2583,AB$1)</f>
        <v>0</v>
      </c>
      <c r="AC67" s="182">
        <f>SUMIFS('ноябрь 2025'!$G$2:$G$2583,'ноябрь 2025'!$D$2:$D$2583,$B67,'ноябрь 2025'!$J$2:$J$2583,AC$1)</f>
        <v>0</v>
      </c>
      <c r="AD67" s="182">
        <f>SUMIFS('ноябрь 2025'!$G$2:$G$2583,'ноябрь 2025'!$D$2:$D$2583,$B67,'ноябрь 2025'!$J$2:$J$2583,AD$1)</f>
        <v>0</v>
      </c>
      <c r="AE67" s="182">
        <f>SUMIFS('ноябрь 2025'!$G$2:$G$2583,'ноябрь 2025'!$D$2:$D$2583,$B67,'ноябрь 2025'!$J$2:$J$2583,AE$1)</f>
        <v>0</v>
      </c>
      <c r="AF67" s="182">
        <f>SUMIFS('ноябрь 2025'!$G$2:$G$2583,'ноябрь 2025'!$D$2:$D$2583,$B67,'ноябрь 2025'!$J$2:$J$2583,AF$1)</f>
        <v>0</v>
      </c>
      <c r="AG67" s="182">
        <f>SUMIFS('ноябрь 2025'!$G$2:$G$2583,'ноябрь 2025'!$D$2:$D$2583,$B67,'ноябрь 2025'!$J$2:$J$2583,AG$1)</f>
        <v>0</v>
      </c>
      <c r="AH67" s="182">
        <f>SUMIFS('ноябрь 2025'!$G$2:$G$2583,'ноябрь 2025'!$D$2:$D$2583,$B67,'ноябрь 2025'!$J$2:$J$2583,AH$1)</f>
        <v>0</v>
      </c>
      <c r="AI67" s="20">
        <f t="shared" si="1"/>
        <v>0</v>
      </c>
    </row>
    <row r="68" spans="2:35" ht="15" customHeight="1" x14ac:dyDescent="0.25">
      <c r="B68" s="87" t="s">
        <v>160</v>
      </c>
      <c r="C68" s="86">
        <v>200</v>
      </c>
      <c r="D68" s="183">
        <f>SUMIFS('ноябрь 2025'!$G$2:$G$2583,'ноябрь 2025'!$D$2:$D$2583,$B68,'ноябрь 2025'!$J$2:$J$2583,D$1)</f>
        <v>0</v>
      </c>
      <c r="E68" s="183">
        <f>SUMIFS('ноябрь 2025'!$G$2:$G$2583,'ноябрь 2025'!$D$2:$D$2583,$B68,'ноябрь 2025'!$J$2:$J$2583,E$1)</f>
        <v>0</v>
      </c>
      <c r="F68" s="183">
        <f>SUMIFS('ноябрь 2025'!$G$2:$G$2583,'ноябрь 2025'!$D$2:$D$2583,$B68,'ноябрь 2025'!$J$2:$J$2583,F$1)</f>
        <v>0</v>
      </c>
      <c r="G68" s="183">
        <f>SUMIFS('ноябрь 2025'!$G$2:$G$2583,'ноябрь 2025'!$D$2:$D$2583,$B68,'ноябрь 2025'!$J$2:$J$2583,G$1)</f>
        <v>0</v>
      </c>
      <c r="H68" s="183">
        <f>SUMIFS('ноябрь 2025'!$G$2:$G$2583,'ноябрь 2025'!$D$2:$D$2583,$B68,'ноябрь 2025'!$J$2:$J$2583,H$1)</f>
        <v>0</v>
      </c>
      <c r="I68" s="183">
        <f>SUMIFS('ноябрь 2025'!$G$2:$G$2583,'ноябрь 2025'!$D$2:$D$2583,$B68,'ноябрь 2025'!$J$2:$J$2583,I$1)</f>
        <v>0</v>
      </c>
      <c r="J68" s="183">
        <f>SUMIFS('ноябрь 2025'!$G$2:$G$2583,'ноябрь 2025'!$D$2:$D$2583,$B68,'ноябрь 2025'!$J$2:$J$2583,J$1)</f>
        <v>0</v>
      </c>
      <c r="K68" s="183">
        <f>SUMIFS('ноябрь 2025'!$G$2:$G$2583,'ноябрь 2025'!$D$2:$D$2583,$B68,'ноябрь 2025'!$J$2:$J$2583,K$1)</f>
        <v>0</v>
      </c>
      <c r="L68" s="183">
        <f>SUMIFS('ноябрь 2025'!$G$2:$G$2583,'ноябрь 2025'!$D$2:$D$2583,$B68,'ноябрь 2025'!$J$2:$J$2583,L$1)</f>
        <v>0</v>
      </c>
      <c r="M68" s="183">
        <f>SUMIFS('ноябрь 2025'!$G$2:$G$2583,'ноябрь 2025'!$D$2:$D$2583,$B68,'ноябрь 2025'!$J$2:$J$2583,M$1)</f>
        <v>0</v>
      </c>
      <c r="N68" s="183">
        <f>SUMIFS('ноябрь 2025'!$G$2:$G$2583,'ноябрь 2025'!$D$2:$D$2583,$B68,'ноябрь 2025'!$J$2:$J$2583,N$1)</f>
        <v>0</v>
      </c>
      <c r="O68" s="183">
        <f>SUMIFS('ноябрь 2025'!$G$2:$G$2583,'ноябрь 2025'!$D$2:$D$2583,$B68,'ноябрь 2025'!$J$2:$J$2583,O$1)</f>
        <v>0</v>
      </c>
      <c r="P68" s="183">
        <f>SUMIFS('ноябрь 2025'!$G$2:$G$2583,'ноябрь 2025'!$D$2:$D$2583,$B68,'ноябрь 2025'!$J$2:$J$2583,P$1)</f>
        <v>0</v>
      </c>
      <c r="Q68" s="183">
        <f>SUMIFS('ноябрь 2025'!$G$2:$G$2583,'ноябрь 2025'!$D$2:$D$2583,$B68,'ноябрь 2025'!$J$2:$J$2583,Q$1)</f>
        <v>0</v>
      </c>
      <c r="R68" s="183">
        <f>SUMIFS('ноябрь 2025'!$G$2:$G$2583,'ноябрь 2025'!$D$2:$D$2583,$B68,'ноябрь 2025'!$J$2:$J$2583,R$1)</f>
        <v>0</v>
      </c>
      <c r="S68" s="183">
        <f>SUMIFS('ноябрь 2025'!$G$2:$G$2583,'ноябрь 2025'!$D$2:$D$2583,$B68,'ноябрь 2025'!$J$2:$J$2583,S$1)</f>
        <v>0</v>
      </c>
      <c r="T68" s="183">
        <f>SUMIFS('ноябрь 2025'!$G$2:$G$2583,'ноябрь 2025'!$D$2:$D$2583,$B68,'ноябрь 2025'!$J$2:$J$2583,T$1)</f>
        <v>0</v>
      </c>
      <c r="U68" s="183">
        <f>SUMIFS('ноябрь 2025'!$G$2:$G$2583,'ноябрь 2025'!$D$2:$D$2583,$B68,'ноябрь 2025'!$J$2:$J$2583,U$1)</f>
        <v>0</v>
      </c>
      <c r="V68" s="183">
        <f>SUMIFS('ноябрь 2025'!$G$2:$G$2583,'ноябрь 2025'!$D$2:$D$2583,$B68,'ноябрь 2025'!$J$2:$J$2583,V$1)</f>
        <v>0</v>
      </c>
      <c r="W68" s="183">
        <f>SUMIFS('ноябрь 2025'!$G$2:$G$2583,'ноябрь 2025'!$D$2:$D$2583,$B68,'ноябрь 2025'!$J$2:$J$2583,W$1)</f>
        <v>0</v>
      </c>
      <c r="X68" s="183">
        <f>SUMIFS('ноябрь 2025'!$G$2:$G$2583,'ноябрь 2025'!$D$2:$D$2583,$B68,'ноябрь 2025'!$J$2:$J$2583,X$1)</f>
        <v>0</v>
      </c>
      <c r="Y68" s="183">
        <f>SUMIFS('ноябрь 2025'!$G$2:$G$2583,'ноябрь 2025'!$D$2:$D$2583,$B68,'ноябрь 2025'!$J$2:$J$2583,Y$1)</f>
        <v>0</v>
      </c>
      <c r="Z68" s="183">
        <f>SUMIFS('ноябрь 2025'!$G$2:$G$2583,'ноябрь 2025'!$D$2:$D$2583,$B68,'ноябрь 2025'!$J$2:$J$2583,Z$1)</f>
        <v>0</v>
      </c>
      <c r="AA68" s="183">
        <f>SUMIFS('ноябрь 2025'!$G$2:$G$2583,'ноябрь 2025'!$D$2:$D$2583,$B68,'ноябрь 2025'!$J$2:$J$2583,AA$1)</f>
        <v>0</v>
      </c>
      <c r="AB68" s="183">
        <f>SUMIFS('ноябрь 2025'!$G$2:$G$2583,'ноябрь 2025'!$D$2:$D$2583,$B68,'ноябрь 2025'!$J$2:$J$2583,AB$1)</f>
        <v>0</v>
      </c>
      <c r="AC68" s="183">
        <f>SUMIFS('ноябрь 2025'!$G$2:$G$2583,'ноябрь 2025'!$D$2:$D$2583,$B68,'ноябрь 2025'!$J$2:$J$2583,AC$1)</f>
        <v>0</v>
      </c>
      <c r="AD68" s="183">
        <f>SUMIFS('ноябрь 2025'!$G$2:$G$2583,'ноябрь 2025'!$D$2:$D$2583,$B68,'ноябрь 2025'!$J$2:$J$2583,AD$1)</f>
        <v>0</v>
      </c>
      <c r="AE68" s="183">
        <f>SUMIFS('ноябрь 2025'!$G$2:$G$2583,'ноябрь 2025'!$D$2:$D$2583,$B68,'ноябрь 2025'!$J$2:$J$2583,AE$1)</f>
        <v>0</v>
      </c>
      <c r="AF68" s="183">
        <f>SUMIFS('ноябрь 2025'!$G$2:$G$2583,'ноябрь 2025'!$D$2:$D$2583,$B68,'ноябрь 2025'!$J$2:$J$2583,AF$1)</f>
        <v>0</v>
      </c>
      <c r="AG68" s="183">
        <f>SUMIFS('ноябрь 2025'!$G$2:$G$2583,'ноябрь 2025'!$D$2:$D$2583,$B68,'ноябрь 2025'!$J$2:$J$2583,AG$1)</f>
        <v>0</v>
      </c>
      <c r="AH68" s="183">
        <f>SUMIFS('ноябрь 2025'!$G$2:$G$2583,'ноябрь 2025'!$D$2:$D$2583,$B68,'ноябрь 2025'!$J$2:$J$2583,AH$1)</f>
        <v>0</v>
      </c>
      <c r="AI68" s="20">
        <f t="shared" si="1"/>
        <v>0</v>
      </c>
    </row>
    <row r="69" spans="2:35" ht="15" customHeight="1" x14ac:dyDescent="0.25">
      <c r="B69" s="87" t="s">
        <v>308</v>
      </c>
      <c r="C69" s="86">
        <v>50</v>
      </c>
      <c r="D69" s="183">
        <f>SUMIFS('ноябрь 2025'!$G$2:$G$2583,'ноябрь 2025'!$D$2:$D$2583,$B69,'ноябрь 2025'!$J$2:$J$2583,D$1)</f>
        <v>0</v>
      </c>
      <c r="E69" s="183">
        <f>SUMIFS('ноябрь 2025'!$G$2:$G$2583,'ноябрь 2025'!$D$2:$D$2583,$B69,'ноябрь 2025'!$J$2:$J$2583,E$1)</f>
        <v>0</v>
      </c>
      <c r="F69" s="183">
        <f>SUMIFS('ноябрь 2025'!$G$2:$G$2583,'ноябрь 2025'!$D$2:$D$2583,$B69,'ноябрь 2025'!$J$2:$J$2583,F$1)</f>
        <v>0</v>
      </c>
      <c r="G69" s="183">
        <f>SUMIFS('ноябрь 2025'!$G$2:$G$2583,'ноябрь 2025'!$D$2:$D$2583,$B69,'ноябрь 2025'!$J$2:$J$2583,G$1)</f>
        <v>0</v>
      </c>
      <c r="H69" s="183">
        <f>SUMIFS('ноябрь 2025'!$G$2:$G$2583,'ноябрь 2025'!$D$2:$D$2583,$B69,'ноябрь 2025'!$J$2:$J$2583,H$1)</f>
        <v>0</v>
      </c>
      <c r="I69" s="183">
        <f>SUMIFS('ноябрь 2025'!$G$2:$G$2583,'ноябрь 2025'!$D$2:$D$2583,$B69,'ноябрь 2025'!$J$2:$J$2583,I$1)</f>
        <v>0</v>
      </c>
      <c r="J69" s="183">
        <f>SUMIFS('ноябрь 2025'!$G$2:$G$2583,'ноябрь 2025'!$D$2:$D$2583,$B69,'ноябрь 2025'!$J$2:$J$2583,J$1)</f>
        <v>0</v>
      </c>
      <c r="K69" s="183">
        <f>SUMIFS('ноябрь 2025'!$G$2:$G$2583,'ноябрь 2025'!$D$2:$D$2583,$B69,'ноябрь 2025'!$J$2:$J$2583,K$1)</f>
        <v>0</v>
      </c>
      <c r="L69" s="183">
        <f>SUMIFS('ноябрь 2025'!$G$2:$G$2583,'ноябрь 2025'!$D$2:$D$2583,$B69,'ноябрь 2025'!$J$2:$J$2583,L$1)</f>
        <v>0</v>
      </c>
      <c r="M69" s="183">
        <f>SUMIFS('ноябрь 2025'!$G$2:$G$2583,'ноябрь 2025'!$D$2:$D$2583,$B69,'ноябрь 2025'!$J$2:$J$2583,M$1)</f>
        <v>0</v>
      </c>
      <c r="N69" s="183">
        <f>SUMIFS('ноябрь 2025'!$G$2:$G$2583,'ноябрь 2025'!$D$2:$D$2583,$B69,'ноябрь 2025'!$J$2:$J$2583,N$1)</f>
        <v>0</v>
      </c>
      <c r="O69" s="183">
        <f>SUMIFS('ноябрь 2025'!$G$2:$G$2583,'ноябрь 2025'!$D$2:$D$2583,$B69,'ноябрь 2025'!$J$2:$J$2583,O$1)</f>
        <v>0</v>
      </c>
      <c r="P69" s="183">
        <f>SUMIFS('ноябрь 2025'!$G$2:$G$2583,'ноябрь 2025'!$D$2:$D$2583,$B69,'ноябрь 2025'!$J$2:$J$2583,P$1)</f>
        <v>0</v>
      </c>
      <c r="Q69" s="183">
        <f>SUMIFS('ноябрь 2025'!$G$2:$G$2583,'ноябрь 2025'!$D$2:$D$2583,$B69,'ноябрь 2025'!$J$2:$J$2583,Q$1)</f>
        <v>0</v>
      </c>
      <c r="R69" s="183">
        <f>SUMIFS('ноябрь 2025'!$G$2:$G$2583,'ноябрь 2025'!$D$2:$D$2583,$B69,'ноябрь 2025'!$J$2:$J$2583,R$1)</f>
        <v>0</v>
      </c>
      <c r="S69" s="183">
        <f>SUMIFS('ноябрь 2025'!$G$2:$G$2583,'ноябрь 2025'!$D$2:$D$2583,$B69,'ноябрь 2025'!$J$2:$J$2583,S$1)</f>
        <v>0</v>
      </c>
      <c r="T69" s="183">
        <f>SUMIFS('ноябрь 2025'!$G$2:$G$2583,'ноябрь 2025'!$D$2:$D$2583,$B69,'ноябрь 2025'!$J$2:$J$2583,T$1)</f>
        <v>0</v>
      </c>
      <c r="U69" s="183">
        <f>SUMIFS('ноябрь 2025'!$G$2:$G$2583,'ноябрь 2025'!$D$2:$D$2583,$B69,'ноябрь 2025'!$J$2:$J$2583,U$1)</f>
        <v>0</v>
      </c>
      <c r="V69" s="183">
        <f>SUMIFS('ноябрь 2025'!$G$2:$G$2583,'ноябрь 2025'!$D$2:$D$2583,$B69,'ноябрь 2025'!$J$2:$J$2583,V$1)</f>
        <v>0</v>
      </c>
      <c r="W69" s="183">
        <f>SUMIFS('ноябрь 2025'!$G$2:$G$2583,'ноябрь 2025'!$D$2:$D$2583,$B69,'ноябрь 2025'!$J$2:$J$2583,W$1)</f>
        <v>0</v>
      </c>
      <c r="X69" s="183">
        <f>SUMIFS('ноябрь 2025'!$G$2:$G$2583,'ноябрь 2025'!$D$2:$D$2583,$B69,'ноябрь 2025'!$J$2:$J$2583,X$1)</f>
        <v>0</v>
      </c>
      <c r="Y69" s="183">
        <f>SUMIFS('ноябрь 2025'!$G$2:$G$2583,'ноябрь 2025'!$D$2:$D$2583,$B69,'ноябрь 2025'!$J$2:$J$2583,Y$1)</f>
        <v>0</v>
      </c>
      <c r="Z69" s="183">
        <f>SUMIFS('ноябрь 2025'!$G$2:$G$2583,'ноябрь 2025'!$D$2:$D$2583,$B69,'ноябрь 2025'!$J$2:$J$2583,Z$1)</f>
        <v>0</v>
      </c>
      <c r="AA69" s="183">
        <f>SUMIFS('ноябрь 2025'!$G$2:$G$2583,'ноябрь 2025'!$D$2:$D$2583,$B69,'ноябрь 2025'!$J$2:$J$2583,AA$1)</f>
        <v>0</v>
      </c>
      <c r="AB69" s="183">
        <f>SUMIFS('ноябрь 2025'!$G$2:$G$2583,'ноябрь 2025'!$D$2:$D$2583,$B69,'ноябрь 2025'!$J$2:$J$2583,AB$1)</f>
        <v>0</v>
      </c>
      <c r="AC69" s="183">
        <f>SUMIFS('ноябрь 2025'!$G$2:$G$2583,'ноябрь 2025'!$D$2:$D$2583,$B69,'ноябрь 2025'!$J$2:$J$2583,AC$1)</f>
        <v>0</v>
      </c>
      <c r="AD69" s="183">
        <f>SUMIFS('ноябрь 2025'!$G$2:$G$2583,'ноябрь 2025'!$D$2:$D$2583,$B69,'ноябрь 2025'!$J$2:$J$2583,AD$1)</f>
        <v>0</v>
      </c>
      <c r="AE69" s="183">
        <f>SUMIFS('ноябрь 2025'!$G$2:$G$2583,'ноябрь 2025'!$D$2:$D$2583,$B69,'ноябрь 2025'!$J$2:$J$2583,AE$1)</f>
        <v>0</v>
      </c>
      <c r="AF69" s="183">
        <f>SUMIFS('ноябрь 2025'!$G$2:$G$2583,'ноябрь 2025'!$D$2:$D$2583,$B69,'ноябрь 2025'!$J$2:$J$2583,AF$1)</f>
        <v>0</v>
      </c>
      <c r="AG69" s="183">
        <f>SUMIFS('ноябрь 2025'!$G$2:$G$2583,'ноябрь 2025'!$D$2:$D$2583,$B69,'ноябрь 2025'!$J$2:$J$2583,AG$1)</f>
        <v>0</v>
      </c>
      <c r="AH69" s="183">
        <f>SUMIFS('ноябрь 2025'!$G$2:$G$2583,'ноябрь 2025'!$D$2:$D$2583,$B69,'ноябрь 2025'!$J$2:$J$2583,AH$1)</f>
        <v>0</v>
      </c>
      <c r="AI69" s="20">
        <f t="shared" si="1"/>
        <v>0</v>
      </c>
    </row>
    <row r="70" spans="2:35" ht="15" customHeight="1" x14ac:dyDescent="0.25">
      <c r="B70" s="88" t="s">
        <v>198</v>
      </c>
      <c r="C70" s="86">
        <v>200</v>
      </c>
      <c r="D70" s="183">
        <f>SUMIFS('ноябрь 2025'!$G$2:$G$2583,'ноябрь 2025'!$D$2:$D$2583,$B70,'ноябрь 2025'!$J$2:$J$2583,D$1)</f>
        <v>0</v>
      </c>
      <c r="E70" s="183">
        <f>SUMIFS('ноябрь 2025'!$G$2:$G$2583,'ноябрь 2025'!$D$2:$D$2583,$B70,'ноябрь 2025'!$J$2:$J$2583,E$1)</f>
        <v>0</v>
      </c>
      <c r="F70" s="183">
        <f>SUMIFS('ноябрь 2025'!$G$2:$G$2583,'ноябрь 2025'!$D$2:$D$2583,$B70,'ноябрь 2025'!$J$2:$J$2583,F$1)</f>
        <v>0</v>
      </c>
      <c r="G70" s="183">
        <f>SUMIFS('ноябрь 2025'!$G$2:$G$2583,'ноябрь 2025'!$D$2:$D$2583,$B70,'ноябрь 2025'!$J$2:$J$2583,G$1)</f>
        <v>0</v>
      </c>
      <c r="H70" s="183">
        <f>SUMIFS('ноябрь 2025'!$G$2:$G$2583,'ноябрь 2025'!$D$2:$D$2583,$B70,'ноябрь 2025'!$J$2:$J$2583,H$1)</f>
        <v>0</v>
      </c>
      <c r="I70" s="183">
        <f>SUMIFS('ноябрь 2025'!$G$2:$G$2583,'ноябрь 2025'!$D$2:$D$2583,$B70,'ноябрь 2025'!$J$2:$J$2583,I$1)</f>
        <v>0</v>
      </c>
      <c r="J70" s="183">
        <f>SUMIFS('ноябрь 2025'!$G$2:$G$2583,'ноябрь 2025'!$D$2:$D$2583,$B70,'ноябрь 2025'!$J$2:$J$2583,J$1)</f>
        <v>0</v>
      </c>
      <c r="K70" s="183">
        <f>SUMIFS('ноябрь 2025'!$G$2:$G$2583,'ноябрь 2025'!$D$2:$D$2583,$B70,'ноябрь 2025'!$J$2:$J$2583,K$1)</f>
        <v>0</v>
      </c>
      <c r="L70" s="183">
        <f>SUMIFS('ноябрь 2025'!$G$2:$G$2583,'ноябрь 2025'!$D$2:$D$2583,$B70,'ноябрь 2025'!$J$2:$J$2583,L$1)</f>
        <v>0</v>
      </c>
      <c r="M70" s="183">
        <f>SUMIFS('ноябрь 2025'!$G$2:$G$2583,'ноябрь 2025'!$D$2:$D$2583,$B70,'ноябрь 2025'!$J$2:$J$2583,M$1)</f>
        <v>0</v>
      </c>
      <c r="N70" s="183">
        <f>SUMIFS('ноябрь 2025'!$G$2:$G$2583,'ноябрь 2025'!$D$2:$D$2583,$B70,'ноябрь 2025'!$J$2:$J$2583,N$1)</f>
        <v>0</v>
      </c>
      <c r="O70" s="183">
        <f>SUMIFS('ноябрь 2025'!$G$2:$G$2583,'ноябрь 2025'!$D$2:$D$2583,$B70,'ноябрь 2025'!$J$2:$J$2583,O$1)</f>
        <v>0</v>
      </c>
      <c r="P70" s="183">
        <f>SUMIFS('ноябрь 2025'!$G$2:$G$2583,'ноябрь 2025'!$D$2:$D$2583,$B70,'ноябрь 2025'!$J$2:$J$2583,P$1)</f>
        <v>0</v>
      </c>
      <c r="Q70" s="183">
        <f>SUMIFS('ноябрь 2025'!$G$2:$G$2583,'ноябрь 2025'!$D$2:$D$2583,$B70,'ноябрь 2025'!$J$2:$J$2583,Q$1)</f>
        <v>0</v>
      </c>
      <c r="R70" s="183">
        <f>SUMIFS('ноябрь 2025'!$G$2:$G$2583,'ноябрь 2025'!$D$2:$D$2583,$B70,'ноябрь 2025'!$J$2:$J$2583,R$1)</f>
        <v>0</v>
      </c>
      <c r="S70" s="183">
        <f>SUMIFS('ноябрь 2025'!$G$2:$G$2583,'ноябрь 2025'!$D$2:$D$2583,$B70,'ноябрь 2025'!$J$2:$J$2583,S$1)</f>
        <v>0</v>
      </c>
      <c r="T70" s="183">
        <f>SUMIFS('ноябрь 2025'!$G$2:$G$2583,'ноябрь 2025'!$D$2:$D$2583,$B70,'ноябрь 2025'!$J$2:$J$2583,T$1)</f>
        <v>0</v>
      </c>
      <c r="U70" s="183">
        <f>SUMIFS('ноябрь 2025'!$G$2:$G$2583,'ноябрь 2025'!$D$2:$D$2583,$B70,'ноябрь 2025'!$J$2:$J$2583,U$1)</f>
        <v>0</v>
      </c>
      <c r="V70" s="183">
        <f>SUMIFS('ноябрь 2025'!$G$2:$G$2583,'ноябрь 2025'!$D$2:$D$2583,$B70,'ноябрь 2025'!$J$2:$J$2583,V$1)</f>
        <v>0</v>
      </c>
      <c r="W70" s="183">
        <f>SUMIFS('ноябрь 2025'!$G$2:$G$2583,'ноябрь 2025'!$D$2:$D$2583,$B70,'ноябрь 2025'!$J$2:$J$2583,W$1)</f>
        <v>0</v>
      </c>
      <c r="X70" s="183">
        <f>SUMIFS('ноябрь 2025'!$G$2:$G$2583,'ноябрь 2025'!$D$2:$D$2583,$B70,'ноябрь 2025'!$J$2:$J$2583,X$1)</f>
        <v>0</v>
      </c>
      <c r="Y70" s="183">
        <f>SUMIFS('ноябрь 2025'!$G$2:$G$2583,'ноябрь 2025'!$D$2:$D$2583,$B70,'ноябрь 2025'!$J$2:$J$2583,Y$1)</f>
        <v>0</v>
      </c>
      <c r="Z70" s="183">
        <f>SUMIFS('ноябрь 2025'!$G$2:$G$2583,'ноябрь 2025'!$D$2:$D$2583,$B70,'ноябрь 2025'!$J$2:$J$2583,Z$1)</f>
        <v>0</v>
      </c>
      <c r="AA70" s="183">
        <f>SUMIFS('ноябрь 2025'!$G$2:$G$2583,'ноябрь 2025'!$D$2:$D$2583,$B70,'ноябрь 2025'!$J$2:$J$2583,AA$1)</f>
        <v>0</v>
      </c>
      <c r="AB70" s="183">
        <f>SUMIFS('ноябрь 2025'!$G$2:$G$2583,'ноябрь 2025'!$D$2:$D$2583,$B70,'ноябрь 2025'!$J$2:$J$2583,AB$1)</f>
        <v>0</v>
      </c>
      <c r="AC70" s="183">
        <f>SUMIFS('ноябрь 2025'!$G$2:$G$2583,'ноябрь 2025'!$D$2:$D$2583,$B70,'ноябрь 2025'!$J$2:$J$2583,AC$1)</f>
        <v>0</v>
      </c>
      <c r="AD70" s="183">
        <f>SUMIFS('ноябрь 2025'!$G$2:$G$2583,'ноябрь 2025'!$D$2:$D$2583,$B70,'ноябрь 2025'!$J$2:$J$2583,AD$1)</f>
        <v>0</v>
      </c>
      <c r="AE70" s="183">
        <f>SUMIFS('ноябрь 2025'!$G$2:$G$2583,'ноябрь 2025'!$D$2:$D$2583,$B70,'ноябрь 2025'!$J$2:$J$2583,AE$1)</f>
        <v>0</v>
      </c>
      <c r="AF70" s="183">
        <f>SUMIFS('ноябрь 2025'!$G$2:$G$2583,'ноябрь 2025'!$D$2:$D$2583,$B70,'ноябрь 2025'!$J$2:$J$2583,AF$1)</f>
        <v>0</v>
      </c>
      <c r="AG70" s="183">
        <f>SUMIFS('ноябрь 2025'!$G$2:$G$2583,'ноябрь 2025'!$D$2:$D$2583,$B70,'ноябрь 2025'!$J$2:$J$2583,AG$1)</f>
        <v>0</v>
      </c>
      <c r="AH70" s="183">
        <f>SUMIFS('ноябрь 2025'!$G$2:$G$2583,'ноябрь 2025'!$D$2:$D$2583,$B70,'ноябрь 2025'!$J$2:$J$2583,AH$1)</f>
        <v>0</v>
      </c>
      <c r="AI70" s="20">
        <f t="shared" si="1"/>
        <v>0</v>
      </c>
    </row>
    <row r="71" spans="2:35" ht="15" customHeight="1" x14ac:dyDescent="0.25">
      <c r="B71" s="88" t="s">
        <v>207</v>
      </c>
      <c r="C71" s="86">
        <v>25</v>
      </c>
      <c r="D71" s="183">
        <f>SUMIFS('ноябрь 2025'!$G$2:$G$2583,'ноябрь 2025'!$D$2:$D$2583,$B71,'ноябрь 2025'!$J$2:$J$2583,D$1)</f>
        <v>0</v>
      </c>
      <c r="E71" s="183">
        <f>SUMIFS('ноябрь 2025'!$G$2:$G$2583,'ноябрь 2025'!$D$2:$D$2583,$B71,'ноябрь 2025'!$J$2:$J$2583,E$1)</f>
        <v>0</v>
      </c>
      <c r="F71" s="183">
        <f>SUMIFS('ноябрь 2025'!$G$2:$G$2583,'ноябрь 2025'!$D$2:$D$2583,$B71,'ноябрь 2025'!$J$2:$J$2583,F$1)</f>
        <v>0</v>
      </c>
      <c r="G71" s="183">
        <f>SUMIFS('ноябрь 2025'!$G$2:$G$2583,'ноябрь 2025'!$D$2:$D$2583,$B71,'ноябрь 2025'!$J$2:$J$2583,G$1)</f>
        <v>0</v>
      </c>
      <c r="H71" s="183">
        <f>SUMIFS('ноябрь 2025'!$G$2:$G$2583,'ноябрь 2025'!$D$2:$D$2583,$B71,'ноябрь 2025'!$J$2:$J$2583,H$1)</f>
        <v>0</v>
      </c>
      <c r="I71" s="183">
        <f>SUMIFS('ноябрь 2025'!$G$2:$G$2583,'ноябрь 2025'!$D$2:$D$2583,$B71,'ноябрь 2025'!$J$2:$J$2583,I$1)</f>
        <v>0</v>
      </c>
      <c r="J71" s="183">
        <f>SUMIFS('ноябрь 2025'!$G$2:$G$2583,'ноябрь 2025'!$D$2:$D$2583,$B71,'ноябрь 2025'!$J$2:$J$2583,J$1)</f>
        <v>0</v>
      </c>
      <c r="K71" s="183">
        <f>SUMIFS('ноябрь 2025'!$G$2:$G$2583,'ноябрь 2025'!$D$2:$D$2583,$B71,'ноябрь 2025'!$J$2:$J$2583,K$1)</f>
        <v>0</v>
      </c>
      <c r="L71" s="183">
        <f>SUMIFS('ноябрь 2025'!$G$2:$G$2583,'ноябрь 2025'!$D$2:$D$2583,$B71,'ноябрь 2025'!$J$2:$J$2583,L$1)</f>
        <v>0</v>
      </c>
      <c r="M71" s="183">
        <f>SUMIFS('ноябрь 2025'!$G$2:$G$2583,'ноябрь 2025'!$D$2:$D$2583,$B71,'ноябрь 2025'!$J$2:$J$2583,M$1)</f>
        <v>0</v>
      </c>
      <c r="N71" s="183">
        <f>SUMIFS('ноябрь 2025'!$G$2:$G$2583,'ноябрь 2025'!$D$2:$D$2583,$B71,'ноябрь 2025'!$J$2:$J$2583,N$1)</f>
        <v>0</v>
      </c>
      <c r="O71" s="183">
        <f>SUMIFS('ноябрь 2025'!$G$2:$G$2583,'ноябрь 2025'!$D$2:$D$2583,$B71,'ноябрь 2025'!$J$2:$J$2583,O$1)</f>
        <v>0</v>
      </c>
      <c r="P71" s="183">
        <f>SUMIFS('ноябрь 2025'!$G$2:$G$2583,'ноябрь 2025'!$D$2:$D$2583,$B71,'ноябрь 2025'!$J$2:$J$2583,P$1)</f>
        <v>0</v>
      </c>
      <c r="Q71" s="183">
        <f>SUMIFS('ноябрь 2025'!$G$2:$G$2583,'ноябрь 2025'!$D$2:$D$2583,$B71,'ноябрь 2025'!$J$2:$J$2583,Q$1)</f>
        <v>0</v>
      </c>
      <c r="R71" s="183">
        <f>SUMIFS('ноябрь 2025'!$G$2:$G$2583,'ноябрь 2025'!$D$2:$D$2583,$B71,'ноябрь 2025'!$J$2:$J$2583,R$1)</f>
        <v>0</v>
      </c>
      <c r="S71" s="183">
        <f>SUMIFS('ноябрь 2025'!$G$2:$G$2583,'ноябрь 2025'!$D$2:$D$2583,$B71,'ноябрь 2025'!$J$2:$J$2583,S$1)</f>
        <v>0</v>
      </c>
      <c r="T71" s="183">
        <f>SUMIFS('ноябрь 2025'!$G$2:$G$2583,'ноябрь 2025'!$D$2:$D$2583,$B71,'ноябрь 2025'!$J$2:$J$2583,T$1)</f>
        <v>0</v>
      </c>
      <c r="U71" s="183">
        <f>SUMIFS('ноябрь 2025'!$G$2:$G$2583,'ноябрь 2025'!$D$2:$D$2583,$B71,'ноябрь 2025'!$J$2:$J$2583,U$1)</f>
        <v>0</v>
      </c>
      <c r="V71" s="183">
        <f>SUMIFS('ноябрь 2025'!$G$2:$G$2583,'ноябрь 2025'!$D$2:$D$2583,$B71,'ноябрь 2025'!$J$2:$J$2583,V$1)</f>
        <v>0</v>
      </c>
      <c r="W71" s="183">
        <f>SUMIFS('ноябрь 2025'!$G$2:$G$2583,'ноябрь 2025'!$D$2:$D$2583,$B71,'ноябрь 2025'!$J$2:$J$2583,W$1)</f>
        <v>0</v>
      </c>
      <c r="X71" s="183">
        <f>SUMIFS('ноябрь 2025'!$G$2:$G$2583,'ноябрь 2025'!$D$2:$D$2583,$B71,'ноябрь 2025'!$J$2:$J$2583,X$1)</f>
        <v>0</v>
      </c>
      <c r="Y71" s="183">
        <f>SUMIFS('ноябрь 2025'!$G$2:$G$2583,'ноябрь 2025'!$D$2:$D$2583,$B71,'ноябрь 2025'!$J$2:$J$2583,Y$1)</f>
        <v>0</v>
      </c>
      <c r="Z71" s="183">
        <f>SUMIFS('ноябрь 2025'!$G$2:$G$2583,'ноябрь 2025'!$D$2:$D$2583,$B71,'ноябрь 2025'!$J$2:$J$2583,Z$1)</f>
        <v>0</v>
      </c>
      <c r="AA71" s="183">
        <f>SUMIFS('ноябрь 2025'!$G$2:$G$2583,'ноябрь 2025'!$D$2:$D$2583,$B71,'ноябрь 2025'!$J$2:$J$2583,AA$1)</f>
        <v>0</v>
      </c>
      <c r="AB71" s="183">
        <f>SUMIFS('ноябрь 2025'!$G$2:$G$2583,'ноябрь 2025'!$D$2:$D$2583,$B71,'ноябрь 2025'!$J$2:$J$2583,AB$1)</f>
        <v>0</v>
      </c>
      <c r="AC71" s="183">
        <f>SUMIFS('ноябрь 2025'!$G$2:$G$2583,'ноябрь 2025'!$D$2:$D$2583,$B71,'ноябрь 2025'!$J$2:$J$2583,AC$1)</f>
        <v>0</v>
      </c>
      <c r="AD71" s="183">
        <f>SUMIFS('ноябрь 2025'!$G$2:$G$2583,'ноябрь 2025'!$D$2:$D$2583,$B71,'ноябрь 2025'!$J$2:$J$2583,AD$1)</f>
        <v>0</v>
      </c>
      <c r="AE71" s="183">
        <f>SUMIFS('ноябрь 2025'!$G$2:$G$2583,'ноябрь 2025'!$D$2:$D$2583,$B71,'ноябрь 2025'!$J$2:$J$2583,AE$1)</f>
        <v>0</v>
      </c>
      <c r="AF71" s="183">
        <f>SUMIFS('ноябрь 2025'!$G$2:$G$2583,'ноябрь 2025'!$D$2:$D$2583,$B71,'ноябрь 2025'!$J$2:$J$2583,AF$1)</f>
        <v>0</v>
      </c>
      <c r="AG71" s="183">
        <f>SUMIFS('ноябрь 2025'!$G$2:$G$2583,'ноябрь 2025'!$D$2:$D$2583,$B71,'ноябрь 2025'!$J$2:$J$2583,AG$1)</f>
        <v>0</v>
      </c>
      <c r="AH71" s="183">
        <f>SUMIFS('ноябрь 2025'!$G$2:$G$2583,'ноябрь 2025'!$D$2:$D$2583,$B71,'ноябрь 2025'!$J$2:$J$2583,AH$1)</f>
        <v>0</v>
      </c>
      <c r="AI71" s="20">
        <f t="shared" si="1"/>
        <v>0</v>
      </c>
    </row>
    <row r="72" spans="2:35" ht="15" customHeight="1" x14ac:dyDescent="0.25">
      <c r="B72" s="88" t="s">
        <v>179</v>
      </c>
      <c r="C72" s="86">
        <v>50</v>
      </c>
      <c r="D72" s="183">
        <f>SUMIFS('ноябрь 2025'!$G$2:$G$2583,'ноябрь 2025'!$D$2:$D$2583,$B72,'ноябрь 2025'!$J$2:$J$2583,D$1)</f>
        <v>0</v>
      </c>
      <c r="E72" s="183">
        <f>SUMIFS('ноябрь 2025'!$G$2:$G$2583,'ноябрь 2025'!$D$2:$D$2583,$B72,'ноябрь 2025'!$J$2:$J$2583,E$1)</f>
        <v>0</v>
      </c>
      <c r="F72" s="183">
        <f>SUMIFS('ноябрь 2025'!$G$2:$G$2583,'ноябрь 2025'!$D$2:$D$2583,$B72,'ноябрь 2025'!$J$2:$J$2583,F$1)</f>
        <v>0</v>
      </c>
      <c r="G72" s="183">
        <f>SUMIFS('ноябрь 2025'!$G$2:$G$2583,'ноябрь 2025'!$D$2:$D$2583,$B72,'ноябрь 2025'!$J$2:$J$2583,G$1)</f>
        <v>0</v>
      </c>
      <c r="H72" s="183">
        <f>SUMIFS('ноябрь 2025'!$G$2:$G$2583,'ноябрь 2025'!$D$2:$D$2583,$B72,'ноябрь 2025'!$J$2:$J$2583,H$1)</f>
        <v>0</v>
      </c>
      <c r="I72" s="183">
        <f>SUMIFS('ноябрь 2025'!$G$2:$G$2583,'ноябрь 2025'!$D$2:$D$2583,$B72,'ноябрь 2025'!$J$2:$J$2583,I$1)</f>
        <v>0</v>
      </c>
      <c r="J72" s="183">
        <f>SUMIFS('ноябрь 2025'!$G$2:$G$2583,'ноябрь 2025'!$D$2:$D$2583,$B72,'ноябрь 2025'!$J$2:$J$2583,J$1)</f>
        <v>0</v>
      </c>
      <c r="K72" s="183">
        <f>SUMIFS('ноябрь 2025'!$G$2:$G$2583,'ноябрь 2025'!$D$2:$D$2583,$B72,'ноябрь 2025'!$J$2:$J$2583,K$1)</f>
        <v>0</v>
      </c>
      <c r="L72" s="183">
        <f>SUMIFS('ноябрь 2025'!$G$2:$G$2583,'ноябрь 2025'!$D$2:$D$2583,$B72,'ноябрь 2025'!$J$2:$J$2583,L$1)</f>
        <v>0</v>
      </c>
      <c r="M72" s="183">
        <f>SUMIFS('ноябрь 2025'!$G$2:$G$2583,'ноябрь 2025'!$D$2:$D$2583,$B72,'ноябрь 2025'!$J$2:$J$2583,M$1)</f>
        <v>0</v>
      </c>
      <c r="N72" s="183">
        <f>SUMIFS('ноябрь 2025'!$G$2:$G$2583,'ноябрь 2025'!$D$2:$D$2583,$B72,'ноябрь 2025'!$J$2:$J$2583,N$1)</f>
        <v>0</v>
      </c>
      <c r="O72" s="183">
        <f>SUMIFS('ноябрь 2025'!$G$2:$G$2583,'ноябрь 2025'!$D$2:$D$2583,$B72,'ноябрь 2025'!$J$2:$J$2583,O$1)</f>
        <v>0</v>
      </c>
      <c r="P72" s="183">
        <f>SUMIFS('ноябрь 2025'!$G$2:$G$2583,'ноябрь 2025'!$D$2:$D$2583,$B72,'ноябрь 2025'!$J$2:$J$2583,P$1)</f>
        <v>0</v>
      </c>
      <c r="Q72" s="183">
        <f>SUMIFS('ноябрь 2025'!$G$2:$G$2583,'ноябрь 2025'!$D$2:$D$2583,$B72,'ноябрь 2025'!$J$2:$J$2583,Q$1)</f>
        <v>0</v>
      </c>
      <c r="R72" s="183">
        <f>SUMIFS('ноябрь 2025'!$G$2:$G$2583,'ноябрь 2025'!$D$2:$D$2583,$B72,'ноябрь 2025'!$J$2:$J$2583,R$1)</f>
        <v>0</v>
      </c>
      <c r="S72" s="183">
        <f>SUMIFS('ноябрь 2025'!$G$2:$G$2583,'ноябрь 2025'!$D$2:$D$2583,$B72,'ноябрь 2025'!$J$2:$J$2583,S$1)</f>
        <v>0</v>
      </c>
      <c r="T72" s="183">
        <f>SUMIFS('ноябрь 2025'!$G$2:$G$2583,'ноябрь 2025'!$D$2:$D$2583,$B72,'ноябрь 2025'!$J$2:$J$2583,T$1)</f>
        <v>0</v>
      </c>
      <c r="U72" s="183">
        <f>SUMIFS('ноябрь 2025'!$G$2:$G$2583,'ноябрь 2025'!$D$2:$D$2583,$B72,'ноябрь 2025'!$J$2:$J$2583,U$1)</f>
        <v>0</v>
      </c>
      <c r="V72" s="183">
        <f>SUMIFS('ноябрь 2025'!$G$2:$G$2583,'ноябрь 2025'!$D$2:$D$2583,$B72,'ноябрь 2025'!$J$2:$J$2583,V$1)</f>
        <v>0</v>
      </c>
      <c r="W72" s="183">
        <f>SUMIFS('ноябрь 2025'!$G$2:$G$2583,'ноябрь 2025'!$D$2:$D$2583,$B72,'ноябрь 2025'!$J$2:$J$2583,W$1)</f>
        <v>0</v>
      </c>
      <c r="X72" s="183">
        <f>SUMIFS('ноябрь 2025'!$G$2:$G$2583,'ноябрь 2025'!$D$2:$D$2583,$B72,'ноябрь 2025'!$J$2:$J$2583,X$1)</f>
        <v>0</v>
      </c>
      <c r="Y72" s="183">
        <f>SUMIFS('ноябрь 2025'!$G$2:$G$2583,'ноябрь 2025'!$D$2:$D$2583,$B72,'ноябрь 2025'!$J$2:$J$2583,Y$1)</f>
        <v>0</v>
      </c>
      <c r="Z72" s="183">
        <f>SUMIFS('ноябрь 2025'!$G$2:$G$2583,'ноябрь 2025'!$D$2:$D$2583,$B72,'ноябрь 2025'!$J$2:$J$2583,Z$1)</f>
        <v>0</v>
      </c>
      <c r="AA72" s="183">
        <f>SUMIFS('ноябрь 2025'!$G$2:$G$2583,'ноябрь 2025'!$D$2:$D$2583,$B72,'ноябрь 2025'!$J$2:$J$2583,AA$1)</f>
        <v>0</v>
      </c>
      <c r="AB72" s="183">
        <f>SUMIFS('ноябрь 2025'!$G$2:$G$2583,'ноябрь 2025'!$D$2:$D$2583,$B72,'ноябрь 2025'!$J$2:$J$2583,AB$1)</f>
        <v>0</v>
      </c>
      <c r="AC72" s="183">
        <f>SUMIFS('ноябрь 2025'!$G$2:$G$2583,'ноябрь 2025'!$D$2:$D$2583,$B72,'ноябрь 2025'!$J$2:$J$2583,AC$1)</f>
        <v>0</v>
      </c>
      <c r="AD72" s="183">
        <f>SUMIFS('ноябрь 2025'!$G$2:$G$2583,'ноябрь 2025'!$D$2:$D$2583,$B72,'ноябрь 2025'!$J$2:$J$2583,AD$1)</f>
        <v>0</v>
      </c>
      <c r="AE72" s="183">
        <f>SUMIFS('ноябрь 2025'!$G$2:$G$2583,'ноябрь 2025'!$D$2:$D$2583,$B72,'ноябрь 2025'!$J$2:$J$2583,AE$1)</f>
        <v>0</v>
      </c>
      <c r="AF72" s="183">
        <f>SUMIFS('ноябрь 2025'!$G$2:$G$2583,'ноябрь 2025'!$D$2:$D$2583,$B72,'ноябрь 2025'!$J$2:$J$2583,AF$1)</f>
        <v>0</v>
      </c>
      <c r="AG72" s="183">
        <f>SUMIFS('ноябрь 2025'!$G$2:$G$2583,'ноябрь 2025'!$D$2:$D$2583,$B72,'ноябрь 2025'!$J$2:$J$2583,AG$1)</f>
        <v>0</v>
      </c>
      <c r="AH72" s="183">
        <f>SUMIFS('ноябрь 2025'!$G$2:$G$2583,'ноябрь 2025'!$D$2:$D$2583,$B72,'ноябрь 2025'!$J$2:$J$2583,AH$1)</f>
        <v>0</v>
      </c>
      <c r="AI72" s="20">
        <f t="shared" si="1"/>
        <v>0</v>
      </c>
    </row>
    <row r="73" spans="2:35" ht="15.75" x14ac:dyDescent="0.25">
      <c r="B73" s="84" t="s">
        <v>158</v>
      </c>
      <c r="C73" s="83">
        <v>200</v>
      </c>
      <c r="D73" s="183">
        <f>SUMIFS('ноябрь 2025'!$G$2:$G$2583,'ноябрь 2025'!$D$2:$D$2583,$B73,'ноябрь 2025'!$J$2:$J$2583,D$1)</f>
        <v>0</v>
      </c>
      <c r="E73" s="183">
        <f>SUMIFS('ноябрь 2025'!$G$2:$G$2583,'ноябрь 2025'!$D$2:$D$2583,$B73,'ноябрь 2025'!$J$2:$J$2583,E$1)</f>
        <v>0</v>
      </c>
      <c r="F73" s="183">
        <f>SUMIFS('ноябрь 2025'!$G$2:$G$2583,'ноябрь 2025'!$D$2:$D$2583,$B73,'ноябрь 2025'!$J$2:$J$2583,F$1)</f>
        <v>0</v>
      </c>
      <c r="G73" s="183">
        <f>SUMIFS('ноябрь 2025'!$G$2:$G$2583,'ноябрь 2025'!$D$2:$D$2583,$B73,'ноябрь 2025'!$J$2:$J$2583,G$1)</f>
        <v>0</v>
      </c>
      <c r="H73" s="183">
        <f>SUMIFS('ноябрь 2025'!$G$2:$G$2583,'ноябрь 2025'!$D$2:$D$2583,$B73,'ноябрь 2025'!$J$2:$J$2583,H$1)</f>
        <v>0</v>
      </c>
      <c r="I73" s="183">
        <f>SUMIFS('ноябрь 2025'!$G$2:$G$2583,'ноябрь 2025'!$D$2:$D$2583,$B73,'ноябрь 2025'!$J$2:$J$2583,I$1)</f>
        <v>0</v>
      </c>
      <c r="J73" s="183">
        <f>SUMIFS('ноябрь 2025'!$G$2:$G$2583,'ноябрь 2025'!$D$2:$D$2583,$B73,'ноябрь 2025'!$J$2:$J$2583,J$1)</f>
        <v>0</v>
      </c>
      <c r="K73" s="183">
        <f>SUMIFS('ноябрь 2025'!$G$2:$G$2583,'ноябрь 2025'!$D$2:$D$2583,$B73,'ноябрь 2025'!$J$2:$J$2583,K$1)</f>
        <v>0</v>
      </c>
      <c r="L73" s="183">
        <f>SUMIFS('ноябрь 2025'!$G$2:$G$2583,'ноябрь 2025'!$D$2:$D$2583,$B73,'ноябрь 2025'!$J$2:$J$2583,L$1)</f>
        <v>0</v>
      </c>
      <c r="M73" s="183">
        <f>SUMIFS('ноябрь 2025'!$G$2:$G$2583,'ноябрь 2025'!$D$2:$D$2583,$B73,'ноябрь 2025'!$J$2:$J$2583,M$1)</f>
        <v>0</v>
      </c>
      <c r="N73" s="183">
        <f>SUMIFS('ноябрь 2025'!$G$2:$G$2583,'ноябрь 2025'!$D$2:$D$2583,$B73,'ноябрь 2025'!$J$2:$J$2583,N$1)</f>
        <v>0</v>
      </c>
      <c r="O73" s="183">
        <f>SUMIFS('ноябрь 2025'!$G$2:$G$2583,'ноябрь 2025'!$D$2:$D$2583,$B73,'ноябрь 2025'!$J$2:$J$2583,O$1)</f>
        <v>0</v>
      </c>
      <c r="P73" s="183">
        <f>SUMIFS('ноябрь 2025'!$G$2:$G$2583,'ноябрь 2025'!$D$2:$D$2583,$B73,'ноябрь 2025'!$J$2:$J$2583,P$1)</f>
        <v>0</v>
      </c>
      <c r="Q73" s="183">
        <f>SUMIFS('ноябрь 2025'!$G$2:$G$2583,'ноябрь 2025'!$D$2:$D$2583,$B73,'ноябрь 2025'!$J$2:$J$2583,Q$1)</f>
        <v>0</v>
      </c>
      <c r="R73" s="183">
        <f>SUMIFS('ноябрь 2025'!$G$2:$G$2583,'ноябрь 2025'!$D$2:$D$2583,$B73,'ноябрь 2025'!$J$2:$J$2583,R$1)</f>
        <v>0</v>
      </c>
      <c r="S73" s="183">
        <f>SUMIFS('ноябрь 2025'!$G$2:$G$2583,'ноябрь 2025'!$D$2:$D$2583,$B73,'ноябрь 2025'!$J$2:$J$2583,S$1)</f>
        <v>0</v>
      </c>
      <c r="T73" s="183">
        <f>SUMIFS('ноябрь 2025'!$G$2:$G$2583,'ноябрь 2025'!$D$2:$D$2583,$B73,'ноябрь 2025'!$J$2:$J$2583,T$1)</f>
        <v>0</v>
      </c>
      <c r="U73" s="183">
        <f>SUMIFS('ноябрь 2025'!$G$2:$G$2583,'ноябрь 2025'!$D$2:$D$2583,$B73,'ноябрь 2025'!$J$2:$J$2583,U$1)</f>
        <v>0</v>
      </c>
      <c r="V73" s="183">
        <f>SUMIFS('ноябрь 2025'!$G$2:$G$2583,'ноябрь 2025'!$D$2:$D$2583,$B73,'ноябрь 2025'!$J$2:$J$2583,V$1)</f>
        <v>0</v>
      </c>
      <c r="W73" s="183">
        <f>SUMIFS('ноябрь 2025'!$G$2:$G$2583,'ноябрь 2025'!$D$2:$D$2583,$B73,'ноябрь 2025'!$J$2:$J$2583,W$1)</f>
        <v>0</v>
      </c>
      <c r="X73" s="183">
        <f>SUMIFS('ноябрь 2025'!$G$2:$G$2583,'ноябрь 2025'!$D$2:$D$2583,$B73,'ноябрь 2025'!$J$2:$J$2583,X$1)</f>
        <v>0</v>
      </c>
      <c r="Y73" s="183">
        <f>SUMIFS('ноябрь 2025'!$G$2:$G$2583,'ноябрь 2025'!$D$2:$D$2583,$B73,'ноябрь 2025'!$J$2:$J$2583,Y$1)</f>
        <v>0</v>
      </c>
      <c r="Z73" s="183">
        <f>SUMIFS('ноябрь 2025'!$G$2:$G$2583,'ноябрь 2025'!$D$2:$D$2583,$B73,'ноябрь 2025'!$J$2:$J$2583,Z$1)</f>
        <v>0</v>
      </c>
      <c r="AA73" s="183">
        <f>SUMIFS('ноябрь 2025'!$G$2:$G$2583,'ноябрь 2025'!$D$2:$D$2583,$B73,'ноябрь 2025'!$J$2:$J$2583,AA$1)</f>
        <v>0</v>
      </c>
      <c r="AB73" s="183">
        <f>SUMIFS('ноябрь 2025'!$G$2:$G$2583,'ноябрь 2025'!$D$2:$D$2583,$B73,'ноябрь 2025'!$J$2:$J$2583,AB$1)</f>
        <v>0</v>
      </c>
      <c r="AC73" s="183">
        <f>SUMIFS('ноябрь 2025'!$G$2:$G$2583,'ноябрь 2025'!$D$2:$D$2583,$B73,'ноябрь 2025'!$J$2:$J$2583,AC$1)</f>
        <v>0</v>
      </c>
      <c r="AD73" s="183">
        <f>SUMIFS('ноябрь 2025'!$G$2:$G$2583,'ноябрь 2025'!$D$2:$D$2583,$B73,'ноябрь 2025'!$J$2:$J$2583,AD$1)</f>
        <v>0</v>
      </c>
      <c r="AE73" s="183">
        <f>SUMIFS('ноябрь 2025'!$G$2:$G$2583,'ноябрь 2025'!$D$2:$D$2583,$B73,'ноябрь 2025'!$J$2:$J$2583,AE$1)</f>
        <v>0</v>
      </c>
      <c r="AF73" s="183">
        <f>SUMIFS('ноябрь 2025'!$G$2:$G$2583,'ноябрь 2025'!$D$2:$D$2583,$B73,'ноябрь 2025'!$J$2:$J$2583,AF$1)</f>
        <v>0</v>
      </c>
      <c r="AG73" s="183">
        <f>SUMIFS('ноябрь 2025'!$G$2:$G$2583,'ноябрь 2025'!$D$2:$D$2583,$B73,'ноябрь 2025'!$J$2:$J$2583,AG$1)</f>
        <v>0</v>
      </c>
      <c r="AH73" s="183">
        <f>SUMIFS('ноябрь 2025'!$G$2:$G$2583,'ноябрь 2025'!$D$2:$D$2583,$B73,'ноябрь 2025'!$J$2:$J$2583,AH$1)</f>
        <v>0</v>
      </c>
      <c r="AI73" s="20">
        <f t="shared" si="1"/>
        <v>0</v>
      </c>
    </row>
    <row r="74" spans="2:35" ht="15.75" x14ac:dyDescent="0.25">
      <c r="B74" s="88" t="s">
        <v>157</v>
      </c>
      <c r="C74" s="86">
        <v>200</v>
      </c>
      <c r="D74" s="183">
        <f>SUMIFS('ноябрь 2025'!$G$2:$G$2583,'ноябрь 2025'!$D$2:$D$2583,$B74,'ноябрь 2025'!$J$2:$J$2583,D$1)</f>
        <v>0</v>
      </c>
      <c r="E74" s="183">
        <f>SUMIFS('ноябрь 2025'!$G$2:$G$2583,'ноябрь 2025'!$D$2:$D$2583,$B74,'ноябрь 2025'!$J$2:$J$2583,E$1)</f>
        <v>0</v>
      </c>
      <c r="F74" s="183">
        <f>SUMIFS('ноябрь 2025'!$G$2:$G$2583,'ноябрь 2025'!$D$2:$D$2583,$B74,'ноябрь 2025'!$J$2:$J$2583,F$1)</f>
        <v>0</v>
      </c>
      <c r="G74" s="183">
        <f>SUMIFS('ноябрь 2025'!$G$2:$G$2583,'ноябрь 2025'!$D$2:$D$2583,$B74,'ноябрь 2025'!$J$2:$J$2583,G$1)</f>
        <v>0</v>
      </c>
      <c r="H74" s="183">
        <f>SUMIFS('ноябрь 2025'!$G$2:$G$2583,'ноябрь 2025'!$D$2:$D$2583,$B74,'ноябрь 2025'!$J$2:$J$2583,H$1)</f>
        <v>0</v>
      </c>
      <c r="I74" s="183">
        <f>SUMIFS('ноябрь 2025'!$G$2:$G$2583,'ноябрь 2025'!$D$2:$D$2583,$B74,'ноябрь 2025'!$J$2:$J$2583,I$1)</f>
        <v>0</v>
      </c>
      <c r="J74" s="183">
        <f>SUMIFS('ноябрь 2025'!$G$2:$G$2583,'ноябрь 2025'!$D$2:$D$2583,$B74,'ноябрь 2025'!$J$2:$J$2583,J$1)</f>
        <v>0</v>
      </c>
      <c r="K74" s="183">
        <f>SUMIFS('ноябрь 2025'!$G$2:$G$2583,'ноябрь 2025'!$D$2:$D$2583,$B74,'ноябрь 2025'!$J$2:$J$2583,K$1)</f>
        <v>0</v>
      </c>
      <c r="L74" s="183">
        <f>SUMIFS('ноябрь 2025'!$G$2:$G$2583,'ноябрь 2025'!$D$2:$D$2583,$B74,'ноябрь 2025'!$J$2:$J$2583,L$1)</f>
        <v>0</v>
      </c>
      <c r="M74" s="183">
        <f>SUMIFS('ноябрь 2025'!$G$2:$G$2583,'ноябрь 2025'!$D$2:$D$2583,$B74,'ноябрь 2025'!$J$2:$J$2583,M$1)</f>
        <v>88</v>
      </c>
      <c r="N74" s="183">
        <f>SUMIFS('ноябрь 2025'!$G$2:$G$2583,'ноябрь 2025'!$D$2:$D$2583,$B74,'ноябрь 2025'!$J$2:$J$2583,N$1)</f>
        <v>0</v>
      </c>
      <c r="O74" s="183">
        <f>SUMIFS('ноябрь 2025'!$G$2:$G$2583,'ноябрь 2025'!$D$2:$D$2583,$B74,'ноябрь 2025'!$J$2:$J$2583,O$1)</f>
        <v>0</v>
      </c>
      <c r="P74" s="183">
        <f>SUMIFS('ноябрь 2025'!$G$2:$G$2583,'ноябрь 2025'!$D$2:$D$2583,$B74,'ноябрь 2025'!$J$2:$J$2583,P$1)</f>
        <v>0</v>
      </c>
      <c r="Q74" s="183">
        <f>SUMIFS('ноябрь 2025'!$G$2:$G$2583,'ноябрь 2025'!$D$2:$D$2583,$B74,'ноябрь 2025'!$J$2:$J$2583,Q$1)</f>
        <v>0</v>
      </c>
      <c r="R74" s="183">
        <f>SUMIFS('ноябрь 2025'!$G$2:$G$2583,'ноябрь 2025'!$D$2:$D$2583,$B74,'ноябрь 2025'!$J$2:$J$2583,R$1)</f>
        <v>0</v>
      </c>
      <c r="S74" s="183">
        <f>SUMIFS('ноябрь 2025'!$G$2:$G$2583,'ноябрь 2025'!$D$2:$D$2583,$B74,'ноябрь 2025'!$J$2:$J$2583,S$1)</f>
        <v>0</v>
      </c>
      <c r="T74" s="183">
        <f>SUMIFS('ноябрь 2025'!$G$2:$G$2583,'ноябрь 2025'!$D$2:$D$2583,$B74,'ноябрь 2025'!$J$2:$J$2583,T$1)</f>
        <v>0</v>
      </c>
      <c r="U74" s="183">
        <f>SUMIFS('ноябрь 2025'!$G$2:$G$2583,'ноябрь 2025'!$D$2:$D$2583,$B74,'ноябрь 2025'!$J$2:$J$2583,U$1)</f>
        <v>0</v>
      </c>
      <c r="V74" s="183">
        <f>SUMIFS('ноябрь 2025'!$G$2:$G$2583,'ноябрь 2025'!$D$2:$D$2583,$B74,'ноябрь 2025'!$J$2:$J$2583,V$1)</f>
        <v>0</v>
      </c>
      <c r="W74" s="183">
        <f>SUMIFS('ноябрь 2025'!$G$2:$G$2583,'ноябрь 2025'!$D$2:$D$2583,$B74,'ноябрь 2025'!$J$2:$J$2583,W$1)</f>
        <v>0</v>
      </c>
      <c r="X74" s="183">
        <f>SUMIFS('ноябрь 2025'!$G$2:$G$2583,'ноябрь 2025'!$D$2:$D$2583,$B74,'ноябрь 2025'!$J$2:$J$2583,X$1)</f>
        <v>88</v>
      </c>
      <c r="Y74" s="183">
        <f>SUMIFS('ноябрь 2025'!$G$2:$G$2583,'ноябрь 2025'!$D$2:$D$2583,$B74,'ноябрь 2025'!$J$2:$J$2583,Y$1)</f>
        <v>0</v>
      </c>
      <c r="Z74" s="183">
        <f>SUMIFS('ноябрь 2025'!$G$2:$G$2583,'ноябрь 2025'!$D$2:$D$2583,$B74,'ноябрь 2025'!$J$2:$J$2583,Z$1)</f>
        <v>0</v>
      </c>
      <c r="AA74" s="183">
        <f>SUMIFS('ноябрь 2025'!$G$2:$G$2583,'ноябрь 2025'!$D$2:$D$2583,$B74,'ноябрь 2025'!$J$2:$J$2583,AA$1)</f>
        <v>0</v>
      </c>
      <c r="AB74" s="183">
        <f>SUMIFS('ноябрь 2025'!$G$2:$G$2583,'ноябрь 2025'!$D$2:$D$2583,$B74,'ноябрь 2025'!$J$2:$J$2583,AB$1)</f>
        <v>0</v>
      </c>
      <c r="AC74" s="183">
        <f>SUMIFS('ноябрь 2025'!$G$2:$G$2583,'ноябрь 2025'!$D$2:$D$2583,$B74,'ноябрь 2025'!$J$2:$J$2583,AC$1)</f>
        <v>0</v>
      </c>
      <c r="AD74" s="183">
        <f>SUMIFS('ноябрь 2025'!$G$2:$G$2583,'ноябрь 2025'!$D$2:$D$2583,$B74,'ноябрь 2025'!$J$2:$J$2583,AD$1)</f>
        <v>0</v>
      </c>
      <c r="AE74" s="183">
        <f>SUMIFS('ноябрь 2025'!$G$2:$G$2583,'ноябрь 2025'!$D$2:$D$2583,$B74,'ноябрь 2025'!$J$2:$J$2583,AE$1)</f>
        <v>0</v>
      </c>
      <c r="AF74" s="183">
        <f>SUMIFS('ноябрь 2025'!$G$2:$G$2583,'ноябрь 2025'!$D$2:$D$2583,$B74,'ноябрь 2025'!$J$2:$J$2583,AF$1)</f>
        <v>0</v>
      </c>
      <c r="AG74" s="183">
        <f>SUMIFS('ноябрь 2025'!$G$2:$G$2583,'ноябрь 2025'!$D$2:$D$2583,$B74,'ноябрь 2025'!$J$2:$J$2583,AG$1)</f>
        <v>0</v>
      </c>
      <c r="AH74" s="183">
        <f>SUMIFS('ноябрь 2025'!$G$2:$G$2583,'ноябрь 2025'!$D$2:$D$2583,$B74,'ноябрь 2025'!$J$2:$J$2583,AH$1)</f>
        <v>0</v>
      </c>
      <c r="AI74" s="20">
        <f t="shared" si="1"/>
        <v>176</v>
      </c>
    </row>
    <row r="75" spans="2:35" ht="15.75" x14ac:dyDescent="0.25">
      <c r="B75" s="88" t="s">
        <v>299</v>
      </c>
      <c r="C75" s="86">
        <v>200</v>
      </c>
      <c r="D75" s="183">
        <f>SUMIFS('ноябрь 2025'!$G$2:$G$2583,'ноябрь 2025'!$D$2:$D$2583,$B75,'ноябрь 2025'!$J$2:$J$2583,D$1)</f>
        <v>0</v>
      </c>
      <c r="E75" s="183">
        <f>SUMIFS('ноябрь 2025'!$G$2:$G$2583,'ноябрь 2025'!$D$2:$D$2583,$B75,'ноябрь 2025'!$J$2:$J$2583,E$1)</f>
        <v>0</v>
      </c>
      <c r="F75" s="183">
        <f>SUMIFS('ноябрь 2025'!$G$2:$G$2583,'ноябрь 2025'!$D$2:$D$2583,$B75,'ноябрь 2025'!$J$2:$J$2583,F$1)</f>
        <v>0</v>
      </c>
      <c r="G75" s="183">
        <f>SUMIFS('ноябрь 2025'!$G$2:$G$2583,'ноябрь 2025'!$D$2:$D$2583,$B75,'ноябрь 2025'!$J$2:$J$2583,G$1)</f>
        <v>0</v>
      </c>
      <c r="H75" s="183">
        <f>SUMIFS('ноябрь 2025'!$G$2:$G$2583,'ноябрь 2025'!$D$2:$D$2583,$B75,'ноябрь 2025'!$J$2:$J$2583,H$1)</f>
        <v>0</v>
      </c>
      <c r="I75" s="183">
        <f>SUMIFS('ноябрь 2025'!$G$2:$G$2583,'ноябрь 2025'!$D$2:$D$2583,$B75,'ноябрь 2025'!$J$2:$J$2583,I$1)</f>
        <v>0</v>
      </c>
      <c r="J75" s="183">
        <f>SUMIFS('ноябрь 2025'!$G$2:$G$2583,'ноябрь 2025'!$D$2:$D$2583,$B75,'ноябрь 2025'!$J$2:$J$2583,J$1)</f>
        <v>0</v>
      </c>
      <c r="K75" s="183">
        <f>SUMIFS('ноябрь 2025'!$G$2:$G$2583,'ноябрь 2025'!$D$2:$D$2583,$B75,'ноябрь 2025'!$J$2:$J$2583,K$1)</f>
        <v>0</v>
      </c>
      <c r="L75" s="183">
        <f>SUMIFS('ноябрь 2025'!$G$2:$G$2583,'ноябрь 2025'!$D$2:$D$2583,$B75,'ноябрь 2025'!$J$2:$J$2583,L$1)</f>
        <v>0</v>
      </c>
      <c r="M75" s="183">
        <f>SUMIFS('ноябрь 2025'!$G$2:$G$2583,'ноябрь 2025'!$D$2:$D$2583,$B75,'ноябрь 2025'!$J$2:$J$2583,M$1)</f>
        <v>0</v>
      </c>
      <c r="N75" s="183">
        <f>SUMIFS('ноябрь 2025'!$G$2:$G$2583,'ноябрь 2025'!$D$2:$D$2583,$B75,'ноябрь 2025'!$J$2:$J$2583,N$1)</f>
        <v>0</v>
      </c>
      <c r="O75" s="183">
        <f>SUMIFS('ноябрь 2025'!$G$2:$G$2583,'ноябрь 2025'!$D$2:$D$2583,$B75,'ноябрь 2025'!$J$2:$J$2583,O$1)</f>
        <v>0</v>
      </c>
      <c r="P75" s="183">
        <f>SUMIFS('ноябрь 2025'!$G$2:$G$2583,'ноябрь 2025'!$D$2:$D$2583,$B75,'ноябрь 2025'!$J$2:$J$2583,P$1)</f>
        <v>0</v>
      </c>
      <c r="Q75" s="183">
        <f>SUMIFS('ноябрь 2025'!$G$2:$G$2583,'ноябрь 2025'!$D$2:$D$2583,$B75,'ноябрь 2025'!$J$2:$J$2583,Q$1)</f>
        <v>0</v>
      </c>
      <c r="R75" s="183">
        <f>SUMIFS('ноябрь 2025'!$G$2:$G$2583,'ноябрь 2025'!$D$2:$D$2583,$B75,'ноябрь 2025'!$J$2:$J$2583,R$1)</f>
        <v>0</v>
      </c>
      <c r="S75" s="183">
        <f>SUMIFS('ноябрь 2025'!$G$2:$G$2583,'ноябрь 2025'!$D$2:$D$2583,$B75,'ноябрь 2025'!$J$2:$J$2583,S$1)</f>
        <v>0</v>
      </c>
      <c r="T75" s="183">
        <f>SUMIFS('ноябрь 2025'!$G$2:$G$2583,'ноябрь 2025'!$D$2:$D$2583,$B75,'ноябрь 2025'!$J$2:$J$2583,T$1)</f>
        <v>0</v>
      </c>
      <c r="U75" s="183">
        <f>SUMIFS('ноябрь 2025'!$G$2:$G$2583,'ноябрь 2025'!$D$2:$D$2583,$B75,'ноябрь 2025'!$J$2:$J$2583,U$1)</f>
        <v>0</v>
      </c>
      <c r="V75" s="183">
        <f>SUMIFS('ноябрь 2025'!$G$2:$G$2583,'ноябрь 2025'!$D$2:$D$2583,$B75,'ноябрь 2025'!$J$2:$J$2583,V$1)</f>
        <v>0</v>
      </c>
      <c r="W75" s="183">
        <f>SUMIFS('ноябрь 2025'!$G$2:$G$2583,'ноябрь 2025'!$D$2:$D$2583,$B75,'ноябрь 2025'!$J$2:$J$2583,W$1)</f>
        <v>0</v>
      </c>
      <c r="X75" s="183">
        <f>SUMIFS('ноябрь 2025'!$G$2:$G$2583,'ноябрь 2025'!$D$2:$D$2583,$B75,'ноябрь 2025'!$J$2:$J$2583,X$1)</f>
        <v>0</v>
      </c>
      <c r="Y75" s="183">
        <f>SUMIFS('ноябрь 2025'!$G$2:$G$2583,'ноябрь 2025'!$D$2:$D$2583,$B75,'ноябрь 2025'!$J$2:$J$2583,Y$1)</f>
        <v>0</v>
      </c>
      <c r="Z75" s="183">
        <f>SUMIFS('ноябрь 2025'!$G$2:$G$2583,'ноябрь 2025'!$D$2:$D$2583,$B75,'ноябрь 2025'!$J$2:$J$2583,Z$1)</f>
        <v>0</v>
      </c>
      <c r="AA75" s="183">
        <f>SUMIFS('ноябрь 2025'!$G$2:$G$2583,'ноябрь 2025'!$D$2:$D$2583,$B75,'ноябрь 2025'!$J$2:$J$2583,AA$1)</f>
        <v>0</v>
      </c>
      <c r="AB75" s="183">
        <f>SUMIFS('ноябрь 2025'!$G$2:$G$2583,'ноябрь 2025'!$D$2:$D$2583,$B75,'ноябрь 2025'!$J$2:$J$2583,AB$1)</f>
        <v>0</v>
      </c>
      <c r="AC75" s="183">
        <f>SUMIFS('ноябрь 2025'!$G$2:$G$2583,'ноябрь 2025'!$D$2:$D$2583,$B75,'ноябрь 2025'!$J$2:$J$2583,AC$1)</f>
        <v>0</v>
      </c>
      <c r="AD75" s="183">
        <f>SUMIFS('ноябрь 2025'!$G$2:$G$2583,'ноябрь 2025'!$D$2:$D$2583,$B75,'ноябрь 2025'!$J$2:$J$2583,AD$1)</f>
        <v>0</v>
      </c>
      <c r="AE75" s="183">
        <f>SUMIFS('ноябрь 2025'!$G$2:$G$2583,'ноябрь 2025'!$D$2:$D$2583,$B75,'ноябрь 2025'!$J$2:$J$2583,AE$1)</f>
        <v>0</v>
      </c>
      <c r="AF75" s="183">
        <f>SUMIFS('ноябрь 2025'!$G$2:$G$2583,'ноябрь 2025'!$D$2:$D$2583,$B75,'ноябрь 2025'!$J$2:$J$2583,AF$1)</f>
        <v>0</v>
      </c>
      <c r="AG75" s="183">
        <f>SUMIFS('ноябрь 2025'!$G$2:$G$2583,'ноябрь 2025'!$D$2:$D$2583,$B75,'ноябрь 2025'!$J$2:$J$2583,AG$1)</f>
        <v>0</v>
      </c>
      <c r="AH75" s="183">
        <f>SUMIFS('ноябрь 2025'!$G$2:$G$2583,'ноябрь 2025'!$D$2:$D$2583,$B75,'ноябрь 2025'!$J$2:$J$2583,AH$1)</f>
        <v>0</v>
      </c>
      <c r="AI75" s="20">
        <f t="shared" si="1"/>
        <v>0</v>
      </c>
    </row>
    <row r="76" spans="2:35" ht="15.75" x14ac:dyDescent="0.25">
      <c r="B76" s="88" t="s">
        <v>994</v>
      </c>
      <c r="C76" s="86">
        <v>190</v>
      </c>
      <c r="D76" s="183">
        <f>SUMIFS('ноябрь 2025'!$G$2:$G$2583,'ноябрь 2025'!$D$2:$D$2583,$B76,'ноябрь 2025'!$J$2:$J$2583,D$1)</f>
        <v>0</v>
      </c>
      <c r="E76" s="183">
        <f>SUMIFS('ноябрь 2025'!$G$2:$G$2583,'ноябрь 2025'!$D$2:$D$2583,$B76,'ноябрь 2025'!$J$2:$J$2583,E$1)</f>
        <v>0</v>
      </c>
      <c r="F76" s="183">
        <f>SUMIFS('ноябрь 2025'!$G$2:$G$2583,'ноябрь 2025'!$D$2:$D$2583,$B76,'ноябрь 2025'!$J$2:$J$2583,F$1)</f>
        <v>0</v>
      </c>
      <c r="G76" s="183">
        <f>SUMIFS('ноябрь 2025'!$G$2:$G$2583,'ноябрь 2025'!$D$2:$D$2583,$B76,'ноябрь 2025'!$J$2:$J$2583,G$1)</f>
        <v>0</v>
      </c>
      <c r="H76" s="183">
        <f>SUMIFS('ноябрь 2025'!$G$2:$G$2583,'ноябрь 2025'!$D$2:$D$2583,$B76,'ноябрь 2025'!$J$2:$J$2583,H$1)</f>
        <v>0</v>
      </c>
      <c r="I76" s="183">
        <f>SUMIFS('ноябрь 2025'!$G$2:$G$2583,'ноябрь 2025'!$D$2:$D$2583,$B76,'ноябрь 2025'!$J$2:$J$2583,I$1)</f>
        <v>0</v>
      </c>
      <c r="J76" s="183">
        <f>SUMIFS('ноябрь 2025'!$G$2:$G$2583,'ноябрь 2025'!$D$2:$D$2583,$B76,'ноябрь 2025'!$J$2:$J$2583,J$1)</f>
        <v>0</v>
      </c>
      <c r="K76" s="183">
        <f>SUMIFS('ноябрь 2025'!$G$2:$G$2583,'ноябрь 2025'!$D$2:$D$2583,$B76,'ноябрь 2025'!$J$2:$J$2583,K$1)</f>
        <v>0</v>
      </c>
      <c r="L76" s="183">
        <f>SUMIFS('ноябрь 2025'!$G$2:$G$2583,'ноябрь 2025'!$D$2:$D$2583,$B76,'ноябрь 2025'!$J$2:$J$2583,L$1)</f>
        <v>0</v>
      </c>
      <c r="M76" s="183">
        <f>SUMIFS('ноябрь 2025'!$G$2:$G$2583,'ноябрь 2025'!$D$2:$D$2583,$B76,'ноябрь 2025'!$J$2:$J$2583,M$1)</f>
        <v>0</v>
      </c>
      <c r="N76" s="183">
        <f>SUMIFS('ноябрь 2025'!$G$2:$G$2583,'ноябрь 2025'!$D$2:$D$2583,$B76,'ноябрь 2025'!$J$2:$J$2583,N$1)</f>
        <v>0</v>
      </c>
      <c r="O76" s="183">
        <f>SUMIFS('ноябрь 2025'!$G$2:$G$2583,'ноябрь 2025'!$D$2:$D$2583,$B76,'ноябрь 2025'!$J$2:$J$2583,O$1)</f>
        <v>0</v>
      </c>
      <c r="P76" s="183">
        <f>SUMIFS('ноябрь 2025'!$G$2:$G$2583,'ноябрь 2025'!$D$2:$D$2583,$B76,'ноябрь 2025'!$J$2:$J$2583,P$1)</f>
        <v>0</v>
      </c>
      <c r="Q76" s="183">
        <f>SUMIFS('ноябрь 2025'!$G$2:$G$2583,'ноябрь 2025'!$D$2:$D$2583,$B76,'ноябрь 2025'!$J$2:$J$2583,Q$1)</f>
        <v>0</v>
      </c>
      <c r="R76" s="183">
        <f>SUMIFS('ноябрь 2025'!$G$2:$G$2583,'ноябрь 2025'!$D$2:$D$2583,$B76,'ноябрь 2025'!$J$2:$J$2583,R$1)</f>
        <v>0</v>
      </c>
      <c r="S76" s="183">
        <f>SUMIFS('ноябрь 2025'!$G$2:$G$2583,'ноябрь 2025'!$D$2:$D$2583,$B76,'ноябрь 2025'!$J$2:$J$2583,S$1)</f>
        <v>0</v>
      </c>
      <c r="T76" s="183">
        <f>SUMIFS('ноябрь 2025'!$G$2:$G$2583,'ноябрь 2025'!$D$2:$D$2583,$B76,'ноябрь 2025'!$J$2:$J$2583,T$1)</f>
        <v>0</v>
      </c>
      <c r="U76" s="183">
        <f>SUMIFS('ноябрь 2025'!$G$2:$G$2583,'ноябрь 2025'!$D$2:$D$2583,$B76,'ноябрь 2025'!$J$2:$J$2583,U$1)</f>
        <v>0</v>
      </c>
      <c r="V76" s="183">
        <f>SUMIFS('ноябрь 2025'!$G$2:$G$2583,'ноябрь 2025'!$D$2:$D$2583,$B76,'ноябрь 2025'!$J$2:$J$2583,V$1)</f>
        <v>0</v>
      </c>
      <c r="W76" s="183">
        <f>SUMIFS('ноябрь 2025'!$G$2:$G$2583,'ноябрь 2025'!$D$2:$D$2583,$B76,'ноябрь 2025'!$J$2:$J$2583,W$1)</f>
        <v>0</v>
      </c>
      <c r="X76" s="183">
        <f>SUMIFS('ноябрь 2025'!$G$2:$G$2583,'ноябрь 2025'!$D$2:$D$2583,$B76,'ноябрь 2025'!$J$2:$J$2583,X$1)</f>
        <v>0</v>
      </c>
      <c r="Y76" s="183">
        <f>SUMIFS('ноябрь 2025'!$G$2:$G$2583,'ноябрь 2025'!$D$2:$D$2583,$B76,'ноябрь 2025'!$J$2:$J$2583,Y$1)</f>
        <v>0</v>
      </c>
      <c r="Z76" s="183">
        <f>SUMIFS('ноябрь 2025'!$G$2:$G$2583,'ноябрь 2025'!$D$2:$D$2583,$B76,'ноябрь 2025'!$J$2:$J$2583,Z$1)</f>
        <v>0</v>
      </c>
      <c r="AA76" s="183">
        <f>SUMIFS('ноябрь 2025'!$G$2:$G$2583,'ноябрь 2025'!$D$2:$D$2583,$B76,'ноябрь 2025'!$J$2:$J$2583,AA$1)</f>
        <v>0</v>
      </c>
      <c r="AB76" s="183">
        <f>SUMIFS('ноябрь 2025'!$G$2:$G$2583,'ноябрь 2025'!$D$2:$D$2583,$B76,'ноябрь 2025'!$J$2:$J$2583,AB$1)</f>
        <v>0</v>
      </c>
      <c r="AC76" s="183">
        <f>SUMIFS('ноябрь 2025'!$G$2:$G$2583,'ноябрь 2025'!$D$2:$D$2583,$B76,'ноябрь 2025'!$J$2:$J$2583,AC$1)</f>
        <v>0</v>
      </c>
      <c r="AD76" s="183">
        <f>SUMIFS('ноябрь 2025'!$G$2:$G$2583,'ноябрь 2025'!$D$2:$D$2583,$B76,'ноябрь 2025'!$J$2:$J$2583,AD$1)</f>
        <v>0</v>
      </c>
      <c r="AE76" s="183">
        <f>SUMIFS('ноябрь 2025'!$G$2:$G$2583,'ноябрь 2025'!$D$2:$D$2583,$B76,'ноябрь 2025'!$J$2:$J$2583,AE$1)</f>
        <v>0</v>
      </c>
      <c r="AF76" s="183">
        <f>SUMIFS('ноябрь 2025'!$G$2:$G$2583,'ноябрь 2025'!$D$2:$D$2583,$B76,'ноябрь 2025'!$J$2:$J$2583,AF$1)</f>
        <v>0</v>
      </c>
      <c r="AG76" s="183">
        <f>SUMIFS('ноябрь 2025'!$G$2:$G$2583,'ноябрь 2025'!$D$2:$D$2583,$B76,'ноябрь 2025'!$J$2:$J$2583,AG$1)</f>
        <v>0</v>
      </c>
      <c r="AH76" s="183">
        <f>SUMIFS('ноябрь 2025'!$G$2:$G$2583,'ноябрь 2025'!$D$2:$D$2583,$B76,'ноябрь 2025'!$J$2:$J$2583,AH$1)</f>
        <v>0</v>
      </c>
      <c r="AI76" s="20">
        <f t="shared" si="1"/>
        <v>0</v>
      </c>
    </row>
    <row r="77" spans="2:35" ht="15" customHeight="1" x14ac:dyDescent="0.25">
      <c r="B77" s="88" t="s">
        <v>202</v>
      </c>
      <c r="C77" s="86">
        <v>200</v>
      </c>
      <c r="D77" s="183">
        <f>SUMIFS('ноябрь 2025'!$G$2:$G$2583,'ноябрь 2025'!$D$2:$D$2583,$B77,'ноябрь 2025'!$J$2:$J$2583,D$1)</f>
        <v>0</v>
      </c>
      <c r="E77" s="183">
        <f>SUMIFS('ноябрь 2025'!$G$2:$G$2583,'ноябрь 2025'!$D$2:$D$2583,$B77,'ноябрь 2025'!$J$2:$J$2583,E$1)</f>
        <v>0</v>
      </c>
      <c r="F77" s="183">
        <f>SUMIFS('ноябрь 2025'!$G$2:$G$2583,'ноябрь 2025'!$D$2:$D$2583,$B77,'ноябрь 2025'!$J$2:$J$2583,F$1)</f>
        <v>0</v>
      </c>
      <c r="G77" s="183">
        <f>SUMIFS('ноябрь 2025'!$G$2:$G$2583,'ноябрь 2025'!$D$2:$D$2583,$B77,'ноябрь 2025'!$J$2:$J$2583,G$1)</f>
        <v>0</v>
      </c>
      <c r="H77" s="183">
        <f>SUMIFS('ноябрь 2025'!$G$2:$G$2583,'ноябрь 2025'!$D$2:$D$2583,$B77,'ноябрь 2025'!$J$2:$J$2583,H$1)</f>
        <v>0</v>
      </c>
      <c r="I77" s="183">
        <f>SUMIFS('ноябрь 2025'!$G$2:$G$2583,'ноябрь 2025'!$D$2:$D$2583,$B77,'ноябрь 2025'!$J$2:$J$2583,I$1)</f>
        <v>0</v>
      </c>
      <c r="J77" s="183">
        <f>SUMIFS('ноябрь 2025'!$G$2:$G$2583,'ноябрь 2025'!$D$2:$D$2583,$B77,'ноябрь 2025'!$J$2:$J$2583,J$1)</f>
        <v>0</v>
      </c>
      <c r="K77" s="183">
        <f>SUMIFS('ноябрь 2025'!$G$2:$G$2583,'ноябрь 2025'!$D$2:$D$2583,$B77,'ноябрь 2025'!$J$2:$J$2583,K$1)</f>
        <v>0</v>
      </c>
      <c r="L77" s="183">
        <f>SUMIFS('ноябрь 2025'!$G$2:$G$2583,'ноябрь 2025'!$D$2:$D$2583,$B77,'ноябрь 2025'!$J$2:$J$2583,L$1)</f>
        <v>0</v>
      </c>
      <c r="M77" s="183">
        <f>SUMIFS('ноябрь 2025'!$G$2:$G$2583,'ноябрь 2025'!$D$2:$D$2583,$B77,'ноябрь 2025'!$J$2:$J$2583,M$1)</f>
        <v>0</v>
      </c>
      <c r="N77" s="183">
        <f>SUMIFS('ноябрь 2025'!$G$2:$G$2583,'ноябрь 2025'!$D$2:$D$2583,$B77,'ноябрь 2025'!$J$2:$J$2583,N$1)</f>
        <v>0</v>
      </c>
      <c r="O77" s="183">
        <f>SUMIFS('ноябрь 2025'!$G$2:$G$2583,'ноябрь 2025'!$D$2:$D$2583,$B77,'ноябрь 2025'!$J$2:$J$2583,O$1)</f>
        <v>0</v>
      </c>
      <c r="P77" s="183">
        <f>SUMIFS('ноябрь 2025'!$G$2:$G$2583,'ноябрь 2025'!$D$2:$D$2583,$B77,'ноябрь 2025'!$J$2:$J$2583,P$1)</f>
        <v>0</v>
      </c>
      <c r="Q77" s="183">
        <f>SUMIFS('ноябрь 2025'!$G$2:$G$2583,'ноябрь 2025'!$D$2:$D$2583,$B77,'ноябрь 2025'!$J$2:$J$2583,Q$1)</f>
        <v>0</v>
      </c>
      <c r="R77" s="183">
        <f>SUMIFS('ноябрь 2025'!$G$2:$G$2583,'ноябрь 2025'!$D$2:$D$2583,$B77,'ноябрь 2025'!$J$2:$J$2583,R$1)</f>
        <v>0</v>
      </c>
      <c r="S77" s="183">
        <f>SUMIFS('ноябрь 2025'!$G$2:$G$2583,'ноябрь 2025'!$D$2:$D$2583,$B77,'ноябрь 2025'!$J$2:$J$2583,S$1)</f>
        <v>0</v>
      </c>
      <c r="T77" s="183">
        <f>SUMIFS('ноябрь 2025'!$G$2:$G$2583,'ноябрь 2025'!$D$2:$D$2583,$B77,'ноябрь 2025'!$J$2:$J$2583,T$1)</f>
        <v>0</v>
      </c>
      <c r="U77" s="183">
        <f>SUMIFS('ноябрь 2025'!$G$2:$G$2583,'ноябрь 2025'!$D$2:$D$2583,$B77,'ноябрь 2025'!$J$2:$J$2583,U$1)</f>
        <v>0</v>
      </c>
      <c r="V77" s="183">
        <f>SUMIFS('ноябрь 2025'!$G$2:$G$2583,'ноябрь 2025'!$D$2:$D$2583,$B77,'ноябрь 2025'!$J$2:$J$2583,V$1)</f>
        <v>0</v>
      </c>
      <c r="W77" s="183">
        <f>SUMIFS('ноябрь 2025'!$G$2:$G$2583,'ноябрь 2025'!$D$2:$D$2583,$B77,'ноябрь 2025'!$J$2:$J$2583,W$1)</f>
        <v>0</v>
      </c>
      <c r="X77" s="183">
        <f>SUMIFS('ноябрь 2025'!$G$2:$G$2583,'ноябрь 2025'!$D$2:$D$2583,$B77,'ноябрь 2025'!$J$2:$J$2583,X$1)</f>
        <v>0</v>
      </c>
      <c r="Y77" s="183">
        <f>SUMIFS('ноябрь 2025'!$G$2:$G$2583,'ноябрь 2025'!$D$2:$D$2583,$B77,'ноябрь 2025'!$J$2:$J$2583,Y$1)</f>
        <v>0</v>
      </c>
      <c r="Z77" s="183">
        <f>SUMIFS('ноябрь 2025'!$G$2:$G$2583,'ноябрь 2025'!$D$2:$D$2583,$B77,'ноябрь 2025'!$J$2:$J$2583,Z$1)</f>
        <v>0</v>
      </c>
      <c r="AA77" s="183">
        <f>SUMIFS('ноябрь 2025'!$G$2:$G$2583,'ноябрь 2025'!$D$2:$D$2583,$B77,'ноябрь 2025'!$J$2:$J$2583,AA$1)</f>
        <v>0</v>
      </c>
      <c r="AB77" s="183">
        <f>SUMIFS('ноябрь 2025'!$G$2:$G$2583,'ноябрь 2025'!$D$2:$D$2583,$B77,'ноябрь 2025'!$J$2:$J$2583,AB$1)</f>
        <v>0</v>
      </c>
      <c r="AC77" s="183">
        <f>SUMIFS('ноябрь 2025'!$G$2:$G$2583,'ноябрь 2025'!$D$2:$D$2583,$B77,'ноябрь 2025'!$J$2:$J$2583,AC$1)</f>
        <v>0</v>
      </c>
      <c r="AD77" s="183">
        <f>SUMIFS('ноябрь 2025'!$G$2:$G$2583,'ноябрь 2025'!$D$2:$D$2583,$B77,'ноябрь 2025'!$J$2:$J$2583,AD$1)</f>
        <v>0</v>
      </c>
      <c r="AE77" s="183">
        <f>SUMIFS('ноябрь 2025'!$G$2:$G$2583,'ноябрь 2025'!$D$2:$D$2583,$B77,'ноябрь 2025'!$J$2:$J$2583,AE$1)</f>
        <v>0</v>
      </c>
      <c r="AF77" s="183">
        <f>SUMIFS('ноябрь 2025'!$G$2:$G$2583,'ноябрь 2025'!$D$2:$D$2583,$B77,'ноябрь 2025'!$J$2:$J$2583,AF$1)</f>
        <v>0</v>
      </c>
      <c r="AG77" s="183">
        <f>SUMIFS('ноябрь 2025'!$G$2:$G$2583,'ноябрь 2025'!$D$2:$D$2583,$B77,'ноябрь 2025'!$J$2:$J$2583,AG$1)</f>
        <v>0</v>
      </c>
      <c r="AH77" s="183">
        <f>SUMIFS('ноябрь 2025'!$G$2:$G$2583,'ноябрь 2025'!$D$2:$D$2583,$B77,'ноябрь 2025'!$J$2:$J$2583,AH$1)</f>
        <v>0</v>
      </c>
      <c r="AI77" s="20">
        <f t="shared" si="1"/>
        <v>0</v>
      </c>
    </row>
    <row r="78" spans="2:35" ht="15" customHeight="1" x14ac:dyDescent="0.25">
      <c r="B78" s="88" t="s">
        <v>187</v>
      </c>
      <c r="C78" s="86">
        <v>200</v>
      </c>
      <c r="D78" s="183">
        <f>SUMIFS('ноябрь 2025'!$G$2:$G$2583,'ноябрь 2025'!$D$2:$D$2583,$B78,'ноябрь 2025'!$J$2:$J$2583,D$1)</f>
        <v>0</v>
      </c>
      <c r="E78" s="183">
        <f>SUMIFS('ноябрь 2025'!$G$2:$G$2583,'ноябрь 2025'!$D$2:$D$2583,$B78,'ноябрь 2025'!$J$2:$J$2583,E$1)</f>
        <v>0</v>
      </c>
      <c r="F78" s="183">
        <f>SUMIFS('ноябрь 2025'!$G$2:$G$2583,'ноябрь 2025'!$D$2:$D$2583,$B78,'ноябрь 2025'!$J$2:$J$2583,F$1)</f>
        <v>0</v>
      </c>
      <c r="G78" s="183">
        <f>SUMIFS('ноябрь 2025'!$G$2:$G$2583,'ноябрь 2025'!$D$2:$D$2583,$B78,'ноябрь 2025'!$J$2:$J$2583,G$1)</f>
        <v>0</v>
      </c>
      <c r="H78" s="183">
        <f>SUMIFS('ноябрь 2025'!$G$2:$G$2583,'ноябрь 2025'!$D$2:$D$2583,$B78,'ноябрь 2025'!$J$2:$J$2583,H$1)</f>
        <v>0</v>
      </c>
      <c r="I78" s="183">
        <f>SUMIFS('ноябрь 2025'!$G$2:$G$2583,'ноябрь 2025'!$D$2:$D$2583,$B78,'ноябрь 2025'!$J$2:$J$2583,I$1)</f>
        <v>0</v>
      </c>
      <c r="J78" s="183">
        <f>SUMIFS('ноябрь 2025'!$G$2:$G$2583,'ноябрь 2025'!$D$2:$D$2583,$B78,'ноябрь 2025'!$J$2:$J$2583,J$1)</f>
        <v>0</v>
      </c>
      <c r="K78" s="183">
        <f>SUMIFS('ноябрь 2025'!$G$2:$G$2583,'ноябрь 2025'!$D$2:$D$2583,$B78,'ноябрь 2025'!$J$2:$J$2583,K$1)</f>
        <v>0</v>
      </c>
      <c r="L78" s="183">
        <f>SUMIFS('ноябрь 2025'!$G$2:$G$2583,'ноябрь 2025'!$D$2:$D$2583,$B78,'ноябрь 2025'!$J$2:$J$2583,L$1)</f>
        <v>0</v>
      </c>
      <c r="M78" s="183">
        <f>SUMIFS('ноябрь 2025'!$G$2:$G$2583,'ноябрь 2025'!$D$2:$D$2583,$B78,'ноябрь 2025'!$J$2:$J$2583,M$1)</f>
        <v>0</v>
      </c>
      <c r="N78" s="183">
        <f>SUMIFS('ноябрь 2025'!$G$2:$G$2583,'ноябрь 2025'!$D$2:$D$2583,$B78,'ноябрь 2025'!$J$2:$J$2583,N$1)</f>
        <v>0</v>
      </c>
      <c r="O78" s="183">
        <f>SUMIFS('ноябрь 2025'!$G$2:$G$2583,'ноябрь 2025'!$D$2:$D$2583,$B78,'ноябрь 2025'!$J$2:$J$2583,O$1)</f>
        <v>0</v>
      </c>
      <c r="P78" s="183">
        <f>SUMIFS('ноябрь 2025'!$G$2:$G$2583,'ноябрь 2025'!$D$2:$D$2583,$B78,'ноябрь 2025'!$J$2:$J$2583,P$1)</f>
        <v>0</v>
      </c>
      <c r="Q78" s="183">
        <f>SUMIFS('ноябрь 2025'!$G$2:$G$2583,'ноябрь 2025'!$D$2:$D$2583,$B78,'ноябрь 2025'!$J$2:$J$2583,Q$1)</f>
        <v>0</v>
      </c>
      <c r="R78" s="183">
        <f>SUMIFS('ноябрь 2025'!$G$2:$G$2583,'ноябрь 2025'!$D$2:$D$2583,$B78,'ноябрь 2025'!$J$2:$J$2583,R$1)</f>
        <v>0</v>
      </c>
      <c r="S78" s="183">
        <f>SUMIFS('ноябрь 2025'!$G$2:$G$2583,'ноябрь 2025'!$D$2:$D$2583,$B78,'ноябрь 2025'!$J$2:$J$2583,S$1)</f>
        <v>0</v>
      </c>
      <c r="T78" s="183">
        <f>SUMIFS('ноябрь 2025'!$G$2:$G$2583,'ноябрь 2025'!$D$2:$D$2583,$B78,'ноябрь 2025'!$J$2:$J$2583,T$1)</f>
        <v>0</v>
      </c>
      <c r="U78" s="183">
        <f>SUMIFS('ноябрь 2025'!$G$2:$G$2583,'ноябрь 2025'!$D$2:$D$2583,$B78,'ноябрь 2025'!$J$2:$J$2583,U$1)</f>
        <v>0</v>
      </c>
      <c r="V78" s="183">
        <f>SUMIFS('ноябрь 2025'!$G$2:$G$2583,'ноябрь 2025'!$D$2:$D$2583,$B78,'ноябрь 2025'!$J$2:$J$2583,V$1)</f>
        <v>0</v>
      </c>
      <c r="W78" s="183">
        <f>SUMIFS('ноябрь 2025'!$G$2:$G$2583,'ноябрь 2025'!$D$2:$D$2583,$B78,'ноябрь 2025'!$J$2:$J$2583,W$1)</f>
        <v>0</v>
      </c>
      <c r="X78" s="183">
        <f>SUMIFS('ноябрь 2025'!$G$2:$G$2583,'ноябрь 2025'!$D$2:$D$2583,$B78,'ноябрь 2025'!$J$2:$J$2583,X$1)</f>
        <v>0</v>
      </c>
      <c r="Y78" s="183">
        <f>SUMIFS('ноябрь 2025'!$G$2:$G$2583,'ноябрь 2025'!$D$2:$D$2583,$B78,'ноябрь 2025'!$J$2:$J$2583,Y$1)</f>
        <v>0</v>
      </c>
      <c r="Z78" s="183">
        <f>SUMIFS('ноябрь 2025'!$G$2:$G$2583,'ноябрь 2025'!$D$2:$D$2583,$B78,'ноябрь 2025'!$J$2:$J$2583,Z$1)</f>
        <v>0</v>
      </c>
      <c r="AA78" s="183">
        <f>SUMIFS('ноябрь 2025'!$G$2:$G$2583,'ноябрь 2025'!$D$2:$D$2583,$B78,'ноябрь 2025'!$J$2:$J$2583,AA$1)</f>
        <v>0</v>
      </c>
      <c r="AB78" s="183">
        <f>SUMIFS('ноябрь 2025'!$G$2:$G$2583,'ноябрь 2025'!$D$2:$D$2583,$B78,'ноябрь 2025'!$J$2:$J$2583,AB$1)</f>
        <v>0</v>
      </c>
      <c r="AC78" s="183">
        <f>SUMIFS('ноябрь 2025'!$G$2:$G$2583,'ноябрь 2025'!$D$2:$D$2583,$B78,'ноябрь 2025'!$J$2:$J$2583,AC$1)</f>
        <v>0</v>
      </c>
      <c r="AD78" s="183">
        <f>SUMIFS('ноябрь 2025'!$G$2:$G$2583,'ноябрь 2025'!$D$2:$D$2583,$B78,'ноябрь 2025'!$J$2:$J$2583,AD$1)</f>
        <v>0</v>
      </c>
      <c r="AE78" s="183">
        <f>SUMIFS('ноябрь 2025'!$G$2:$G$2583,'ноябрь 2025'!$D$2:$D$2583,$B78,'ноябрь 2025'!$J$2:$J$2583,AE$1)</f>
        <v>0</v>
      </c>
      <c r="AF78" s="183">
        <f>SUMIFS('ноябрь 2025'!$G$2:$G$2583,'ноябрь 2025'!$D$2:$D$2583,$B78,'ноябрь 2025'!$J$2:$J$2583,AF$1)</f>
        <v>0</v>
      </c>
      <c r="AG78" s="183">
        <f>SUMIFS('ноябрь 2025'!$G$2:$G$2583,'ноябрь 2025'!$D$2:$D$2583,$B78,'ноябрь 2025'!$J$2:$J$2583,AG$1)</f>
        <v>0</v>
      </c>
      <c r="AH78" s="183">
        <f>SUMIFS('ноябрь 2025'!$G$2:$G$2583,'ноябрь 2025'!$D$2:$D$2583,$B78,'ноябрь 2025'!$J$2:$J$2583,AH$1)</f>
        <v>0</v>
      </c>
      <c r="AI78" s="20">
        <f t="shared" si="1"/>
        <v>0</v>
      </c>
    </row>
    <row r="79" spans="2:35" ht="15" customHeight="1" x14ac:dyDescent="0.25">
      <c r="B79" s="88" t="s">
        <v>188</v>
      </c>
      <c r="C79" s="86">
        <v>200</v>
      </c>
      <c r="D79" s="183">
        <f>SUMIFS('ноябрь 2025'!$G$2:$G$2583,'ноябрь 2025'!$D$2:$D$2583,$B79,'ноябрь 2025'!$J$2:$J$2583,D$1)</f>
        <v>0</v>
      </c>
      <c r="E79" s="183">
        <f>SUMIFS('ноябрь 2025'!$G$2:$G$2583,'ноябрь 2025'!$D$2:$D$2583,$B79,'ноябрь 2025'!$J$2:$J$2583,E$1)</f>
        <v>0</v>
      </c>
      <c r="F79" s="183">
        <f>SUMIFS('ноябрь 2025'!$G$2:$G$2583,'ноябрь 2025'!$D$2:$D$2583,$B79,'ноябрь 2025'!$J$2:$J$2583,F$1)</f>
        <v>0</v>
      </c>
      <c r="G79" s="183">
        <f>SUMIFS('ноябрь 2025'!$G$2:$G$2583,'ноябрь 2025'!$D$2:$D$2583,$B79,'ноябрь 2025'!$J$2:$J$2583,G$1)</f>
        <v>0</v>
      </c>
      <c r="H79" s="183">
        <f>SUMIFS('ноябрь 2025'!$G$2:$G$2583,'ноябрь 2025'!$D$2:$D$2583,$B79,'ноябрь 2025'!$J$2:$J$2583,H$1)</f>
        <v>0</v>
      </c>
      <c r="I79" s="183">
        <f>SUMIFS('ноябрь 2025'!$G$2:$G$2583,'ноябрь 2025'!$D$2:$D$2583,$B79,'ноябрь 2025'!$J$2:$J$2583,I$1)</f>
        <v>0</v>
      </c>
      <c r="J79" s="183">
        <f>SUMIFS('ноябрь 2025'!$G$2:$G$2583,'ноябрь 2025'!$D$2:$D$2583,$B79,'ноябрь 2025'!$J$2:$J$2583,J$1)</f>
        <v>0</v>
      </c>
      <c r="K79" s="183">
        <f>SUMIFS('ноябрь 2025'!$G$2:$G$2583,'ноябрь 2025'!$D$2:$D$2583,$B79,'ноябрь 2025'!$J$2:$J$2583,K$1)</f>
        <v>0</v>
      </c>
      <c r="L79" s="183">
        <f>SUMIFS('ноябрь 2025'!$G$2:$G$2583,'ноябрь 2025'!$D$2:$D$2583,$B79,'ноябрь 2025'!$J$2:$J$2583,L$1)</f>
        <v>0</v>
      </c>
      <c r="M79" s="183">
        <f>SUMIFS('ноябрь 2025'!$G$2:$G$2583,'ноябрь 2025'!$D$2:$D$2583,$B79,'ноябрь 2025'!$J$2:$J$2583,M$1)</f>
        <v>0</v>
      </c>
      <c r="N79" s="183">
        <f>SUMIFS('ноябрь 2025'!$G$2:$G$2583,'ноябрь 2025'!$D$2:$D$2583,$B79,'ноябрь 2025'!$J$2:$J$2583,N$1)</f>
        <v>0</v>
      </c>
      <c r="O79" s="183">
        <f>SUMIFS('ноябрь 2025'!$G$2:$G$2583,'ноябрь 2025'!$D$2:$D$2583,$B79,'ноябрь 2025'!$J$2:$J$2583,O$1)</f>
        <v>0</v>
      </c>
      <c r="P79" s="183">
        <f>SUMIFS('ноябрь 2025'!$G$2:$G$2583,'ноябрь 2025'!$D$2:$D$2583,$B79,'ноябрь 2025'!$J$2:$J$2583,P$1)</f>
        <v>0</v>
      </c>
      <c r="Q79" s="183">
        <f>SUMIFS('ноябрь 2025'!$G$2:$G$2583,'ноябрь 2025'!$D$2:$D$2583,$B79,'ноябрь 2025'!$J$2:$J$2583,Q$1)</f>
        <v>0</v>
      </c>
      <c r="R79" s="183">
        <f>SUMIFS('ноябрь 2025'!$G$2:$G$2583,'ноябрь 2025'!$D$2:$D$2583,$B79,'ноябрь 2025'!$J$2:$J$2583,R$1)</f>
        <v>0</v>
      </c>
      <c r="S79" s="183">
        <f>SUMIFS('ноябрь 2025'!$G$2:$G$2583,'ноябрь 2025'!$D$2:$D$2583,$B79,'ноябрь 2025'!$J$2:$J$2583,S$1)</f>
        <v>0</v>
      </c>
      <c r="T79" s="183">
        <f>SUMIFS('ноябрь 2025'!$G$2:$G$2583,'ноябрь 2025'!$D$2:$D$2583,$B79,'ноябрь 2025'!$J$2:$J$2583,T$1)</f>
        <v>0</v>
      </c>
      <c r="U79" s="183">
        <f>SUMIFS('ноябрь 2025'!$G$2:$G$2583,'ноябрь 2025'!$D$2:$D$2583,$B79,'ноябрь 2025'!$J$2:$J$2583,U$1)</f>
        <v>0</v>
      </c>
      <c r="V79" s="183">
        <f>SUMIFS('ноябрь 2025'!$G$2:$G$2583,'ноябрь 2025'!$D$2:$D$2583,$B79,'ноябрь 2025'!$J$2:$J$2583,V$1)</f>
        <v>0</v>
      </c>
      <c r="W79" s="183">
        <f>SUMIFS('ноябрь 2025'!$G$2:$G$2583,'ноябрь 2025'!$D$2:$D$2583,$B79,'ноябрь 2025'!$J$2:$J$2583,W$1)</f>
        <v>0</v>
      </c>
      <c r="X79" s="183">
        <f>SUMIFS('ноябрь 2025'!$G$2:$G$2583,'ноябрь 2025'!$D$2:$D$2583,$B79,'ноябрь 2025'!$J$2:$J$2583,X$1)</f>
        <v>0</v>
      </c>
      <c r="Y79" s="183">
        <f>SUMIFS('ноябрь 2025'!$G$2:$G$2583,'ноябрь 2025'!$D$2:$D$2583,$B79,'ноябрь 2025'!$J$2:$J$2583,Y$1)</f>
        <v>0</v>
      </c>
      <c r="Z79" s="183">
        <f>SUMIFS('ноябрь 2025'!$G$2:$G$2583,'ноябрь 2025'!$D$2:$D$2583,$B79,'ноябрь 2025'!$J$2:$J$2583,Z$1)</f>
        <v>0</v>
      </c>
      <c r="AA79" s="183">
        <f>SUMIFS('ноябрь 2025'!$G$2:$G$2583,'ноябрь 2025'!$D$2:$D$2583,$B79,'ноябрь 2025'!$J$2:$J$2583,AA$1)</f>
        <v>0</v>
      </c>
      <c r="AB79" s="183">
        <f>SUMIFS('ноябрь 2025'!$G$2:$G$2583,'ноябрь 2025'!$D$2:$D$2583,$B79,'ноябрь 2025'!$J$2:$J$2583,AB$1)</f>
        <v>0</v>
      </c>
      <c r="AC79" s="183">
        <f>SUMIFS('ноябрь 2025'!$G$2:$G$2583,'ноябрь 2025'!$D$2:$D$2583,$B79,'ноябрь 2025'!$J$2:$J$2583,AC$1)</f>
        <v>0</v>
      </c>
      <c r="AD79" s="183">
        <f>SUMIFS('ноябрь 2025'!$G$2:$G$2583,'ноябрь 2025'!$D$2:$D$2583,$B79,'ноябрь 2025'!$J$2:$J$2583,AD$1)</f>
        <v>0</v>
      </c>
      <c r="AE79" s="183">
        <f>SUMIFS('ноябрь 2025'!$G$2:$G$2583,'ноябрь 2025'!$D$2:$D$2583,$B79,'ноябрь 2025'!$J$2:$J$2583,AE$1)</f>
        <v>0</v>
      </c>
      <c r="AF79" s="183">
        <f>SUMIFS('ноябрь 2025'!$G$2:$G$2583,'ноябрь 2025'!$D$2:$D$2583,$B79,'ноябрь 2025'!$J$2:$J$2583,AF$1)</f>
        <v>0</v>
      </c>
      <c r="AG79" s="183">
        <f>SUMIFS('ноябрь 2025'!$G$2:$G$2583,'ноябрь 2025'!$D$2:$D$2583,$B79,'ноябрь 2025'!$J$2:$J$2583,AG$1)</f>
        <v>0</v>
      </c>
      <c r="AH79" s="183">
        <f>SUMIFS('ноябрь 2025'!$G$2:$G$2583,'ноябрь 2025'!$D$2:$D$2583,$B79,'ноябрь 2025'!$J$2:$J$2583,AH$1)</f>
        <v>0</v>
      </c>
      <c r="AI79" s="20">
        <f t="shared" si="1"/>
        <v>0</v>
      </c>
    </row>
    <row r="80" spans="2:35" ht="15" customHeight="1" x14ac:dyDescent="0.25">
      <c r="B80" s="88" t="s">
        <v>256</v>
      </c>
      <c r="C80" s="86">
        <v>190</v>
      </c>
      <c r="D80" s="183">
        <f>SUMIFS('ноябрь 2025'!$G$2:$G$2583,'ноябрь 2025'!$D$2:$D$2583,$B80,'ноябрь 2025'!$J$2:$J$2583,D$1)</f>
        <v>0</v>
      </c>
      <c r="E80" s="183">
        <f>SUMIFS('ноябрь 2025'!$G$2:$G$2583,'ноябрь 2025'!$D$2:$D$2583,$B80,'ноябрь 2025'!$J$2:$J$2583,E$1)</f>
        <v>0</v>
      </c>
      <c r="F80" s="183">
        <f>SUMIFS('ноябрь 2025'!$G$2:$G$2583,'ноябрь 2025'!$D$2:$D$2583,$B80,'ноябрь 2025'!$J$2:$J$2583,F$1)</f>
        <v>0</v>
      </c>
      <c r="G80" s="183">
        <f>SUMIFS('ноябрь 2025'!$G$2:$G$2583,'ноябрь 2025'!$D$2:$D$2583,$B80,'ноябрь 2025'!$J$2:$J$2583,G$1)</f>
        <v>0</v>
      </c>
      <c r="H80" s="183">
        <f>SUMIFS('ноябрь 2025'!$G$2:$G$2583,'ноябрь 2025'!$D$2:$D$2583,$B80,'ноябрь 2025'!$J$2:$J$2583,H$1)</f>
        <v>0</v>
      </c>
      <c r="I80" s="183">
        <f>SUMIFS('ноябрь 2025'!$G$2:$G$2583,'ноябрь 2025'!$D$2:$D$2583,$B80,'ноябрь 2025'!$J$2:$J$2583,I$1)</f>
        <v>0</v>
      </c>
      <c r="J80" s="183">
        <f>SUMIFS('ноябрь 2025'!$G$2:$G$2583,'ноябрь 2025'!$D$2:$D$2583,$B80,'ноябрь 2025'!$J$2:$J$2583,J$1)</f>
        <v>0</v>
      </c>
      <c r="K80" s="183">
        <f>SUMIFS('ноябрь 2025'!$G$2:$G$2583,'ноябрь 2025'!$D$2:$D$2583,$B80,'ноябрь 2025'!$J$2:$J$2583,K$1)</f>
        <v>0</v>
      </c>
      <c r="L80" s="183">
        <f>SUMIFS('ноябрь 2025'!$G$2:$G$2583,'ноябрь 2025'!$D$2:$D$2583,$B80,'ноябрь 2025'!$J$2:$J$2583,L$1)</f>
        <v>0</v>
      </c>
      <c r="M80" s="183">
        <f>SUMIFS('ноябрь 2025'!$G$2:$G$2583,'ноябрь 2025'!$D$2:$D$2583,$B80,'ноябрь 2025'!$J$2:$J$2583,M$1)</f>
        <v>0</v>
      </c>
      <c r="N80" s="183">
        <f>SUMIFS('ноябрь 2025'!$G$2:$G$2583,'ноябрь 2025'!$D$2:$D$2583,$B80,'ноябрь 2025'!$J$2:$J$2583,N$1)</f>
        <v>0</v>
      </c>
      <c r="O80" s="183">
        <f>SUMIFS('ноябрь 2025'!$G$2:$G$2583,'ноябрь 2025'!$D$2:$D$2583,$B80,'ноябрь 2025'!$J$2:$J$2583,O$1)</f>
        <v>0</v>
      </c>
      <c r="P80" s="183">
        <f>SUMIFS('ноябрь 2025'!$G$2:$G$2583,'ноябрь 2025'!$D$2:$D$2583,$B80,'ноябрь 2025'!$J$2:$J$2583,P$1)</f>
        <v>0</v>
      </c>
      <c r="Q80" s="183">
        <f>SUMIFS('ноябрь 2025'!$G$2:$G$2583,'ноябрь 2025'!$D$2:$D$2583,$B80,'ноябрь 2025'!$J$2:$J$2583,Q$1)</f>
        <v>0</v>
      </c>
      <c r="R80" s="183">
        <f>SUMIFS('ноябрь 2025'!$G$2:$G$2583,'ноябрь 2025'!$D$2:$D$2583,$B80,'ноябрь 2025'!$J$2:$J$2583,R$1)</f>
        <v>0</v>
      </c>
      <c r="S80" s="183">
        <f>SUMIFS('ноябрь 2025'!$G$2:$G$2583,'ноябрь 2025'!$D$2:$D$2583,$B80,'ноябрь 2025'!$J$2:$J$2583,S$1)</f>
        <v>0</v>
      </c>
      <c r="T80" s="183">
        <f>SUMIFS('ноябрь 2025'!$G$2:$G$2583,'ноябрь 2025'!$D$2:$D$2583,$B80,'ноябрь 2025'!$J$2:$J$2583,T$1)</f>
        <v>0</v>
      </c>
      <c r="U80" s="183">
        <f>SUMIFS('ноябрь 2025'!$G$2:$G$2583,'ноябрь 2025'!$D$2:$D$2583,$B80,'ноябрь 2025'!$J$2:$J$2583,U$1)</f>
        <v>0</v>
      </c>
      <c r="V80" s="183">
        <f>SUMIFS('ноябрь 2025'!$G$2:$G$2583,'ноябрь 2025'!$D$2:$D$2583,$B80,'ноябрь 2025'!$J$2:$J$2583,V$1)</f>
        <v>0</v>
      </c>
      <c r="W80" s="183">
        <f>SUMIFS('ноябрь 2025'!$G$2:$G$2583,'ноябрь 2025'!$D$2:$D$2583,$B80,'ноябрь 2025'!$J$2:$J$2583,W$1)</f>
        <v>0</v>
      </c>
      <c r="X80" s="183">
        <f>SUMIFS('ноябрь 2025'!$G$2:$G$2583,'ноябрь 2025'!$D$2:$D$2583,$B80,'ноябрь 2025'!$J$2:$J$2583,X$1)</f>
        <v>0</v>
      </c>
      <c r="Y80" s="183">
        <f>SUMIFS('ноябрь 2025'!$G$2:$G$2583,'ноябрь 2025'!$D$2:$D$2583,$B80,'ноябрь 2025'!$J$2:$J$2583,Y$1)</f>
        <v>0</v>
      </c>
      <c r="Z80" s="183">
        <f>SUMIFS('ноябрь 2025'!$G$2:$G$2583,'ноябрь 2025'!$D$2:$D$2583,$B80,'ноябрь 2025'!$J$2:$J$2583,Z$1)</f>
        <v>0</v>
      </c>
      <c r="AA80" s="183">
        <f>SUMIFS('ноябрь 2025'!$G$2:$G$2583,'ноябрь 2025'!$D$2:$D$2583,$B80,'ноябрь 2025'!$J$2:$J$2583,AA$1)</f>
        <v>0</v>
      </c>
      <c r="AB80" s="183">
        <f>SUMIFS('ноябрь 2025'!$G$2:$G$2583,'ноябрь 2025'!$D$2:$D$2583,$B80,'ноябрь 2025'!$J$2:$J$2583,AB$1)</f>
        <v>0</v>
      </c>
      <c r="AC80" s="183">
        <f>SUMIFS('ноябрь 2025'!$G$2:$G$2583,'ноябрь 2025'!$D$2:$D$2583,$B80,'ноябрь 2025'!$J$2:$J$2583,AC$1)</f>
        <v>0</v>
      </c>
      <c r="AD80" s="183">
        <f>SUMIFS('ноябрь 2025'!$G$2:$G$2583,'ноябрь 2025'!$D$2:$D$2583,$B80,'ноябрь 2025'!$J$2:$J$2583,AD$1)</f>
        <v>0</v>
      </c>
      <c r="AE80" s="183">
        <f>SUMIFS('ноябрь 2025'!$G$2:$G$2583,'ноябрь 2025'!$D$2:$D$2583,$B80,'ноябрь 2025'!$J$2:$J$2583,AE$1)</f>
        <v>0</v>
      </c>
      <c r="AF80" s="183">
        <f>SUMIFS('ноябрь 2025'!$G$2:$G$2583,'ноябрь 2025'!$D$2:$D$2583,$B80,'ноябрь 2025'!$J$2:$J$2583,AF$1)</f>
        <v>0</v>
      </c>
      <c r="AG80" s="183">
        <f>SUMIFS('ноябрь 2025'!$G$2:$G$2583,'ноябрь 2025'!$D$2:$D$2583,$B80,'ноябрь 2025'!$J$2:$J$2583,AG$1)</f>
        <v>0</v>
      </c>
      <c r="AH80" s="183">
        <f>SUMIFS('ноябрь 2025'!$G$2:$G$2583,'ноябрь 2025'!$D$2:$D$2583,$B80,'ноябрь 2025'!$J$2:$J$2583,AH$1)</f>
        <v>0</v>
      </c>
      <c r="AI80" s="20">
        <f t="shared" si="1"/>
        <v>0</v>
      </c>
    </row>
    <row r="81" spans="2:35" ht="15" customHeight="1" x14ac:dyDescent="0.25">
      <c r="B81" s="88" t="s">
        <v>199</v>
      </c>
      <c r="C81" s="86">
        <v>200</v>
      </c>
      <c r="D81" s="183">
        <f>SUMIFS('ноябрь 2025'!$G$2:$G$2583,'ноябрь 2025'!$D$2:$D$2583,$B81,'ноябрь 2025'!$J$2:$J$2583,D$1)</f>
        <v>0</v>
      </c>
      <c r="E81" s="183">
        <f>SUMIFS('ноябрь 2025'!$G$2:$G$2583,'ноябрь 2025'!$D$2:$D$2583,$B81,'ноябрь 2025'!$J$2:$J$2583,E$1)</f>
        <v>0</v>
      </c>
      <c r="F81" s="183">
        <f>SUMIFS('ноябрь 2025'!$G$2:$G$2583,'ноябрь 2025'!$D$2:$D$2583,$B81,'ноябрь 2025'!$J$2:$J$2583,F$1)</f>
        <v>0</v>
      </c>
      <c r="G81" s="183">
        <f>SUMIFS('ноябрь 2025'!$G$2:$G$2583,'ноябрь 2025'!$D$2:$D$2583,$B81,'ноябрь 2025'!$J$2:$J$2583,G$1)</f>
        <v>0</v>
      </c>
      <c r="H81" s="183">
        <f>SUMIFS('ноябрь 2025'!$G$2:$G$2583,'ноябрь 2025'!$D$2:$D$2583,$B81,'ноябрь 2025'!$J$2:$J$2583,H$1)</f>
        <v>0</v>
      </c>
      <c r="I81" s="183">
        <f>SUMIFS('ноябрь 2025'!$G$2:$G$2583,'ноябрь 2025'!$D$2:$D$2583,$B81,'ноябрь 2025'!$J$2:$J$2583,I$1)</f>
        <v>0</v>
      </c>
      <c r="J81" s="183">
        <f>SUMIFS('ноябрь 2025'!$G$2:$G$2583,'ноябрь 2025'!$D$2:$D$2583,$B81,'ноябрь 2025'!$J$2:$J$2583,J$1)</f>
        <v>0</v>
      </c>
      <c r="K81" s="183">
        <f>SUMIFS('ноябрь 2025'!$G$2:$G$2583,'ноябрь 2025'!$D$2:$D$2583,$B81,'ноябрь 2025'!$J$2:$J$2583,K$1)</f>
        <v>0</v>
      </c>
      <c r="L81" s="183">
        <f>SUMIFS('ноябрь 2025'!$G$2:$G$2583,'ноябрь 2025'!$D$2:$D$2583,$B81,'ноябрь 2025'!$J$2:$J$2583,L$1)</f>
        <v>0</v>
      </c>
      <c r="M81" s="183">
        <f>SUMIFS('ноябрь 2025'!$G$2:$G$2583,'ноябрь 2025'!$D$2:$D$2583,$B81,'ноябрь 2025'!$J$2:$J$2583,M$1)</f>
        <v>0</v>
      </c>
      <c r="N81" s="183">
        <f>SUMIFS('ноябрь 2025'!$G$2:$G$2583,'ноябрь 2025'!$D$2:$D$2583,$B81,'ноябрь 2025'!$J$2:$J$2583,N$1)</f>
        <v>0</v>
      </c>
      <c r="O81" s="183">
        <f>SUMIFS('ноябрь 2025'!$G$2:$G$2583,'ноябрь 2025'!$D$2:$D$2583,$B81,'ноябрь 2025'!$J$2:$J$2583,O$1)</f>
        <v>0</v>
      </c>
      <c r="P81" s="183">
        <f>SUMIFS('ноябрь 2025'!$G$2:$G$2583,'ноябрь 2025'!$D$2:$D$2583,$B81,'ноябрь 2025'!$J$2:$J$2583,P$1)</f>
        <v>0</v>
      </c>
      <c r="Q81" s="183">
        <f>SUMIFS('ноябрь 2025'!$G$2:$G$2583,'ноябрь 2025'!$D$2:$D$2583,$B81,'ноябрь 2025'!$J$2:$J$2583,Q$1)</f>
        <v>0</v>
      </c>
      <c r="R81" s="183">
        <f>SUMIFS('ноябрь 2025'!$G$2:$G$2583,'ноябрь 2025'!$D$2:$D$2583,$B81,'ноябрь 2025'!$J$2:$J$2583,R$1)</f>
        <v>0</v>
      </c>
      <c r="S81" s="183">
        <f>SUMIFS('ноябрь 2025'!$G$2:$G$2583,'ноябрь 2025'!$D$2:$D$2583,$B81,'ноябрь 2025'!$J$2:$J$2583,S$1)</f>
        <v>0</v>
      </c>
      <c r="T81" s="183">
        <f>SUMIFS('ноябрь 2025'!$G$2:$G$2583,'ноябрь 2025'!$D$2:$D$2583,$B81,'ноябрь 2025'!$J$2:$J$2583,T$1)</f>
        <v>0</v>
      </c>
      <c r="U81" s="183">
        <f>SUMIFS('ноябрь 2025'!$G$2:$G$2583,'ноябрь 2025'!$D$2:$D$2583,$B81,'ноябрь 2025'!$J$2:$J$2583,U$1)</f>
        <v>0</v>
      </c>
      <c r="V81" s="183">
        <f>SUMIFS('ноябрь 2025'!$G$2:$G$2583,'ноябрь 2025'!$D$2:$D$2583,$B81,'ноябрь 2025'!$J$2:$J$2583,V$1)</f>
        <v>0</v>
      </c>
      <c r="W81" s="183">
        <f>SUMIFS('ноябрь 2025'!$G$2:$G$2583,'ноябрь 2025'!$D$2:$D$2583,$B81,'ноябрь 2025'!$J$2:$J$2583,W$1)</f>
        <v>0</v>
      </c>
      <c r="X81" s="183">
        <f>SUMIFS('ноябрь 2025'!$G$2:$G$2583,'ноябрь 2025'!$D$2:$D$2583,$B81,'ноябрь 2025'!$J$2:$J$2583,X$1)</f>
        <v>0</v>
      </c>
      <c r="Y81" s="183">
        <f>SUMIFS('ноябрь 2025'!$G$2:$G$2583,'ноябрь 2025'!$D$2:$D$2583,$B81,'ноябрь 2025'!$J$2:$J$2583,Y$1)</f>
        <v>0</v>
      </c>
      <c r="Z81" s="183">
        <f>SUMIFS('ноябрь 2025'!$G$2:$G$2583,'ноябрь 2025'!$D$2:$D$2583,$B81,'ноябрь 2025'!$J$2:$J$2583,Z$1)</f>
        <v>0</v>
      </c>
      <c r="AA81" s="183">
        <f>SUMIFS('ноябрь 2025'!$G$2:$G$2583,'ноябрь 2025'!$D$2:$D$2583,$B81,'ноябрь 2025'!$J$2:$J$2583,AA$1)</f>
        <v>0</v>
      </c>
      <c r="AB81" s="183">
        <f>SUMIFS('ноябрь 2025'!$G$2:$G$2583,'ноябрь 2025'!$D$2:$D$2583,$B81,'ноябрь 2025'!$J$2:$J$2583,AB$1)</f>
        <v>0</v>
      </c>
      <c r="AC81" s="183">
        <f>SUMIFS('ноябрь 2025'!$G$2:$G$2583,'ноябрь 2025'!$D$2:$D$2583,$B81,'ноябрь 2025'!$J$2:$J$2583,AC$1)</f>
        <v>0</v>
      </c>
      <c r="AD81" s="183">
        <f>SUMIFS('ноябрь 2025'!$G$2:$G$2583,'ноябрь 2025'!$D$2:$D$2583,$B81,'ноябрь 2025'!$J$2:$J$2583,AD$1)</f>
        <v>0</v>
      </c>
      <c r="AE81" s="183">
        <f>SUMIFS('ноябрь 2025'!$G$2:$G$2583,'ноябрь 2025'!$D$2:$D$2583,$B81,'ноябрь 2025'!$J$2:$J$2583,AE$1)</f>
        <v>0</v>
      </c>
      <c r="AF81" s="183">
        <f>SUMIFS('ноябрь 2025'!$G$2:$G$2583,'ноябрь 2025'!$D$2:$D$2583,$B81,'ноябрь 2025'!$J$2:$J$2583,AF$1)</f>
        <v>0</v>
      </c>
      <c r="AG81" s="183">
        <f>SUMIFS('ноябрь 2025'!$G$2:$G$2583,'ноябрь 2025'!$D$2:$D$2583,$B81,'ноябрь 2025'!$J$2:$J$2583,AG$1)</f>
        <v>0</v>
      </c>
      <c r="AH81" s="183">
        <f>SUMIFS('ноябрь 2025'!$G$2:$G$2583,'ноябрь 2025'!$D$2:$D$2583,$B81,'ноябрь 2025'!$J$2:$J$2583,AH$1)</f>
        <v>0</v>
      </c>
      <c r="AI81" s="20">
        <f t="shared" si="1"/>
        <v>0</v>
      </c>
    </row>
    <row r="82" spans="2:35" ht="15" customHeight="1" x14ac:dyDescent="0.25">
      <c r="B82" s="88" t="s">
        <v>206</v>
      </c>
      <c r="C82" s="86">
        <v>25</v>
      </c>
      <c r="D82" s="183">
        <f>SUMIFS('ноябрь 2025'!$G$2:$G$2583,'ноябрь 2025'!$D$2:$D$2583,$B82,'ноябрь 2025'!$J$2:$J$2583,D$1)</f>
        <v>0</v>
      </c>
      <c r="E82" s="183">
        <f>SUMIFS('ноябрь 2025'!$G$2:$G$2583,'ноябрь 2025'!$D$2:$D$2583,$B82,'ноябрь 2025'!$J$2:$J$2583,E$1)</f>
        <v>0</v>
      </c>
      <c r="F82" s="183">
        <f>SUMIFS('ноябрь 2025'!$G$2:$G$2583,'ноябрь 2025'!$D$2:$D$2583,$B82,'ноябрь 2025'!$J$2:$J$2583,F$1)</f>
        <v>0</v>
      </c>
      <c r="G82" s="183">
        <f>SUMIFS('ноябрь 2025'!$G$2:$G$2583,'ноябрь 2025'!$D$2:$D$2583,$B82,'ноябрь 2025'!$J$2:$J$2583,G$1)</f>
        <v>0</v>
      </c>
      <c r="H82" s="183">
        <f>SUMIFS('ноябрь 2025'!$G$2:$G$2583,'ноябрь 2025'!$D$2:$D$2583,$B82,'ноябрь 2025'!$J$2:$J$2583,H$1)</f>
        <v>0</v>
      </c>
      <c r="I82" s="183">
        <f>SUMIFS('ноябрь 2025'!$G$2:$G$2583,'ноябрь 2025'!$D$2:$D$2583,$B82,'ноябрь 2025'!$J$2:$J$2583,I$1)</f>
        <v>0</v>
      </c>
      <c r="J82" s="183">
        <f>SUMIFS('ноябрь 2025'!$G$2:$G$2583,'ноябрь 2025'!$D$2:$D$2583,$B82,'ноябрь 2025'!$J$2:$J$2583,J$1)</f>
        <v>0</v>
      </c>
      <c r="K82" s="183">
        <f>SUMIFS('ноябрь 2025'!$G$2:$G$2583,'ноябрь 2025'!$D$2:$D$2583,$B82,'ноябрь 2025'!$J$2:$J$2583,K$1)</f>
        <v>0</v>
      </c>
      <c r="L82" s="183">
        <f>SUMIFS('ноябрь 2025'!$G$2:$G$2583,'ноябрь 2025'!$D$2:$D$2583,$B82,'ноябрь 2025'!$J$2:$J$2583,L$1)</f>
        <v>0</v>
      </c>
      <c r="M82" s="183">
        <f>SUMIFS('ноябрь 2025'!$G$2:$G$2583,'ноябрь 2025'!$D$2:$D$2583,$B82,'ноябрь 2025'!$J$2:$J$2583,M$1)</f>
        <v>0</v>
      </c>
      <c r="N82" s="183">
        <f>SUMIFS('ноябрь 2025'!$G$2:$G$2583,'ноябрь 2025'!$D$2:$D$2583,$B82,'ноябрь 2025'!$J$2:$J$2583,N$1)</f>
        <v>0</v>
      </c>
      <c r="O82" s="183">
        <f>SUMIFS('ноябрь 2025'!$G$2:$G$2583,'ноябрь 2025'!$D$2:$D$2583,$B82,'ноябрь 2025'!$J$2:$J$2583,O$1)</f>
        <v>0</v>
      </c>
      <c r="P82" s="183">
        <f>SUMIFS('ноябрь 2025'!$G$2:$G$2583,'ноябрь 2025'!$D$2:$D$2583,$B82,'ноябрь 2025'!$J$2:$J$2583,P$1)</f>
        <v>0</v>
      </c>
      <c r="Q82" s="183">
        <f>SUMIFS('ноябрь 2025'!$G$2:$G$2583,'ноябрь 2025'!$D$2:$D$2583,$B82,'ноябрь 2025'!$J$2:$J$2583,Q$1)</f>
        <v>0</v>
      </c>
      <c r="R82" s="183">
        <f>SUMIFS('ноябрь 2025'!$G$2:$G$2583,'ноябрь 2025'!$D$2:$D$2583,$B82,'ноябрь 2025'!$J$2:$J$2583,R$1)</f>
        <v>0</v>
      </c>
      <c r="S82" s="183">
        <f>SUMIFS('ноябрь 2025'!$G$2:$G$2583,'ноябрь 2025'!$D$2:$D$2583,$B82,'ноябрь 2025'!$J$2:$J$2583,S$1)</f>
        <v>0</v>
      </c>
      <c r="T82" s="183">
        <f>SUMIFS('ноябрь 2025'!$G$2:$G$2583,'ноябрь 2025'!$D$2:$D$2583,$B82,'ноябрь 2025'!$J$2:$J$2583,T$1)</f>
        <v>0</v>
      </c>
      <c r="U82" s="183">
        <f>SUMIFS('ноябрь 2025'!$G$2:$G$2583,'ноябрь 2025'!$D$2:$D$2583,$B82,'ноябрь 2025'!$J$2:$J$2583,U$1)</f>
        <v>0</v>
      </c>
      <c r="V82" s="183">
        <f>SUMIFS('ноябрь 2025'!$G$2:$G$2583,'ноябрь 2025'!$D$2:$D$2583,$B82,'ноябрь 2025'!$J$2:$J$2583,V$1)</f>
        <v>0</v>
      </c>
      <c r="W82" s="183">
        <f>SUMIFS('ноябрь 2025'!$G$2:$G$2583,'ноябрь 2025'!$D$2:$D$2583,$B82,'ноябрь 2025'!$J$2:$J$2583,W$1)</f>
        <v>0</v>
      </c>
      <c r="X82" s="183">
        <f>SUMIFS('ноябрь 2025'!$G$2:$G$2583,'ноябрь 2025'!$D$2:$D$2583,$B82,'ноябрь 2025'!$J$2:$J$2583,X$1)</f>
        <v>0</v>
      </c>
      <c r="Y82" s="183">
        <f>SUMIFS('ноябрь 2025'!$G$2:$G$2583,'ноябрь 2025'!$D$2:$D$2583,$B82,'ноябрь 2025'!$J$2:$J$2583,Y$1)</f>
        <v>0</v>
      </c>
      <c r="Z82" s="183">
        <f>SUMIFS('ноябрь 2025'!$G$2:$G$2583,'ноябрь 2025'!$D$2:$D$2583,$B82,'ноябрь 2025'!$J$2:$J$2583,Z$1)</f>
        <v>0</v>
      </c>
      <c r="AA82" s="183">
        <f>SUMIFS('ноябрь 2025'!$G$2:$G$2583,'ноябрь 2025'!$D$2:$D$2583,$B82,'ноябрь 2025'!$J$2:$J$2583,AA$1)</f>
        <v>0</v>
      </c>
      <c r="AB82" s="183">
        <f>SUMIFS('ноябрь 2025'!$G$2:$G$2583,'ноябрь 2025'!$D$2:$D$2583,$B82,'ноябрь 2025'!$J$2:$J$2583,AB$1)</f>
        <v>0</v>
      </c>
      <c r="AC82" s="183">
        <f>SUMIFS('ноябрь 2025'!$G$2:$G$2583,'ноябрь 2025'!$D$2:$D$2583,$B82,'ноябрь 2025'!$J$2:$J$2583,AC$1)</f>
        <v>0</v>
      </c>
      <c r="AD82" s="183">
        <f>SUMIFS('ноябрь 2025'!$G$2:$G$2583,'ноябрь 2025'!$D$2:$D$2583,$B82,'ноябрь 2025'!$J$2:$J$2583,AD$1)</f>
        <v>0</v>
      </c>
      <c r="AE82" s="183">
        <f>SUMIFS('ноябрь 2025'!$G$2:$G$2583,'ноябрь 2025'!$D$2:$D$2583,$B82,'ноябрь 2025'!$J$2:$J$2583,AE$1)</f>
        <v>0</v>
      </c>
      <c r="AF82" s="183">
        <f>SUMIFS('ноябрь 2025'!$G$2:$G$2583,'ноябрь 2025'!$D$2:$D$2583,$B82,'ноябрь 2025'!$J$2:$J$2583,AF$1)</f>
        <v>0</v>
      </c>
      <c r="AG82" s="183">
        <f>SUMIFS('ноябрь 2025'!$G$2:$G$2583,'ноябрь 2025'!$D$2:$D$2583,$B82,'ноябрь 2025'!$J$2:$J$2583,AG$1)</f>
        <v>0</v>
      </c>
      <c r="AH82" s="183">
        <f>SUMIFS('ноябрь 2025'!$G$2:$G$2583,'ноябрь 2025'!$D$2:$D$2583,$B82,'ноябрь 2025'!$J$2:$J$2583,AH$1)</f>
        <v>0</v>
      </c>
      <c r="AI82" s="20">
        <f t="shared" si="1"/>
        <v>0</v>
      </c>
    </row>
    <row r="83" spans="2:35" ht="15" customHeight="1" x14ac:dyDescent="0.25">
      <c r="B83" s="88" t="s">
        <v>178</v>
      </c>
      <c r="C83" s="86">
        <v>50</v>
      </c>
      <c r="D83" s="183">
        <f>SUMIFS('ноябрь 2025'!$G$2:$G$2583,'ноябрь 2025'!$D$2:$D$2583,$B83,'ноябрь 2025'!$J$2:$J$2583,D$1)</f>
        <v>0</v>
      </c>
      <c r="E83" s="183">
        <f>SUMIFS('ноябрь 2025'!$G$2:$G$2583,'ноябрь 2025'!$D$2:$D$2583,$B83,'ноябрь 2025'!$J$2:$J$2583,E$1)</f>
        <v>0</v>
      </c>
      <c r="F83" s="183">
        <f>SUMIFS('ноябрь 2025'!$G$2:$G$2583,'ноябрь 2025'!$D$2:$D$2583,$B83,'ноябрь 2025'!$J$2:$J$2583,F$1)</f>
        <v>0</v>
      </c>
      <c r="G83" s="183">
        <f>SUMIFS('ноябрь 2025'!$G$2:$G$2583,'ноябрь 2025'!$D$2:$D$2583,$B83,'ноябрь 2025'!$J$2:$J$2583,G$1)</f>
        <v>0</v>
      </c>
      <c r="H83" s="183">
        <f>SUMIFS('ноябрь 2025'!$G$2:$G$2583,'ноябрь 2025'!$D$2:$D$2583,$B83,'ноябрь 2025'!$J$2:$J$2583,H$1)</f>
        <v>0</v>
      </c>
      <c r="I83" s="183">
        <f>SUMIFS('ноябрь 2025'!$G$2:$G$2583,'ноябрь 2025'!$D$2:$D$2583,$B83,'ноябрь 2025'!$J$2:$J$2583,I$1)</f>
        <v>0</v>
      </c>
      <c r="J83" s="183">
        <f>SUMIFS('ноябрь 2025'!$G$2:$G$2583,'ноябрь 2025'!$D$2:$D$2583,$B83,'ноябрь 2025'!$J$2:$J$2583,J$1)</f>
        <v>0</v>
      </c>
      <c r="K83" s="183">
        <f>SUMIFS('ноябрь 2025'!$G$2:$G$2583,'ноябрь 2025'!$D$2:$D$2583,$B83,'ноябрь 2025'!$J$2:$J$2583,K$1)</f>
        <v>0</v>
      </c>
      <c r="L83" s="183">
        <f>SUMIFS('ноябрь 2025'!$G$2:$G$2583,'ноябрь 2025'!$D$2:$D$2583,$B83,'ноябрь 2025'!$J$2:$J$2583,L$1)</f>
        <v>0</v>
      </c>
      <c r="M83" s="183">
        <f>SUMIFS('ноябрь 2025'!$G$2:$G$2583,'ноябрь 2025'!$D$2:$D$2583,$B83,'ноябрь 2025'!$J$2:$J$2583,M$1)</f>
        <v>0</v>
      </c>
      <c r="N83" s="183">
        <f>SUMIFS('ноябрь 2025'!$G$2:$G$2583,'ноябрь 2025'!$D$2:$D$2583,$B83,'ноябрь 2025'!$J$2:$J$2583,N$1)</f>
        <v>0</v>
      </c>
      <c r="O83" s="183">
        <f>SUMIFS('ноябрь 2025'!$G$2:$G$2583,'ноябрь 2025'!$D$2:$D$2583,$B83,'ноябрь 2025'!$J$2:$J$2583,O$1)</f>
        <v>0</v>
      </c>
      <c r="P83" s="183">
        <f>SUMIFS('ноябрь 2025'!$G$2:$G$2583,'ноябрь 2025'!$D$2:$D$2583,$B83,'ноябрь 2025'!$J$2:$J$2583,P$1)</f>
        <v>0</v>
      </c>
      <c r="Q83" s="183">
        <f>SUMIFS('ноябрь 2025'!$G$2:$G$2583,'ноябрь 2025'!$D$2:$D$2583,$B83,'ноябрь 2025'!$J$2:$J$2583,Q$1)</f>
        <v>0</v>
      </c>
      <c r="R83" s="183">
        <f>SUMIFS('ноябрь 2025'!$G$2:$G$2583,'ноябрь 2025'!$D$2:$D$2583,$B83,'ноябрь 2025'!$J$2:$J$2583,R$1)</f>
        <v>0</v>
      </c>
      <c r="S83" s="183">
        <f>SUMIFS('ноябрь 2025'!$G$2:$G$2583,'ноябрь 2025'!$D$2:$D$2583,$B83,'ноябрь 2025'!$J$2:$J$2583,S$1)</f>
        <v>0</v>
      </c>
      <c r="T83" s="183">
        <f>SUMIFS('ноябрь 2025'!$G$2:$G$2583,'ноябрь 2025'!$D$2:$D$2583,$B83,'ноябрь 2025'!$J$2:$J$2583,T$1)</f>
        <v>0</v>
      </c>
      <c r="U83" s="183">
        <f>SUMIFS('ноябрь 2025'!$G$2:$G$2583,'ноябрь 2025'!$D$2:$D$2583,$B83,'ноябрь 2025'!$J$2:$J$2583,U$1)</f>
        <v>0</v>
      </c>
      <c r="V83" s="183">
        <f>SUMIFS('ноябрь 2025'!$G$2:$G$2583,'ноябрь 2025'!$D$2:$D$2583,$B83,'ноябрь 2025'!$J$2:$J$2583,V$1)</f>
        <v>0</v>
      </c>
      <c r="W83" s="183">
        <f>SUMIFS('ноябрь 2025'!$G$2:$G$2583,'ноябрь 2025'!$D$2:$D$2583,$B83,'ноябрь 2025'!$J$2:$J$2583,W$1)</f>
        <v>0</v>
      </c>
      <c r="X83" s="183">
        <f>SUMIFS('ноябрь 2025'!$G$2:$G$2583,'ноябрь 2025'!$D$2:$D$2583,$B83,'ноябрь 2025'!$J$2:$J$2583,X$1)</f>
        <v>0</v>
      </c>
      <c r="Y83" s="183">
        <f>SUMIFS('ноябрь 2025'!$G$2:$G$2583,'ноябрь 2025'!$D$2:$D$2583,$B83,'ноябрь 2025'!$J$2:$J$2583,Y$1)</f>
        <v>0</v>
      </c>
      <c r="Z83" s="183">
        <f>SUMIFS('ноябрь 2025'!$G$2:$G$2583,'ноябрь 2025'!$D$2:$D$2583,$B83,'ноябрь 2025'!$J$2:$J$2583,Z$1)</f>
        <v>0</v>
      </c>
      <c r="AA83" s="183">
        <f>SUMIFS('ноябрь 2025'!$G$2:$G$2583,'ноябрь 2025'!$D$2:$D$2583,$B83,'ноябрь 2025'!$J$2:$J$2583,AA$1)</f>
        <v>0</v>
      </c>
      <c r="AB83" s="183">
        <f>SUMIFS('ноябрь 2025'!$G$2:$G$2583,'ноябрь 2025'!$D$2:$D$2583,$B83,'ноябрь 2025'!$J$2:$J$2583,AB$1)</f>
        <v>0</v>
      </c>
      <c r="AC83" s="183">
        <f>SUMIFS('ноябрь 2025'!$G$2:$G$2583,'ноябрь 2025'!$D$2:$D$2583,$B83,'ноябрь 2025'!$J$2:$J$2583,AC$1)</f>
        <v>0</v>
      </c>
      <c r="AD83" s="183">
        <f>SUMIFS('ноябрь 2025'!$G$2:$G$2583,'ноябрь 2025'!$D$2:$D$2583,$B83,'ноябрь 2025'!$J$2:$J$2583,AD$1)</f>
        <v>0</v>
      </c>
      <c r="AE83" s="183">
        <f>SUMIFS('ноябрь 2025'!$G$2:$G$2583,'ноябрь 2025'!$D$2:$D$2583,$B83,'ноябрь 2025'!$J$2:$J$2583,AE$1)</f>
        <v>0</v>
      </c>
      <c r="AF83" s="183">
        <f>SUMIFS('ноябрь 2025'!$G$2:$G$2583,'ноябрь 2025'!$D$2:$D$2583,$B83,'ноябрь 2025'!$J$2:$J$2583,AF$1)</f>
        <v>0</v>
      </c>
      <c r="AG83" s="183">
        <f>SUMIFS('ноябрь 2025'!$G$2:$G$2583,'ноябрь 2025'!$D$2:$D$2583,$B83,'ноябрь 2025'!$J$2:$J$2583,AG$1)</f>
        <v>0</v>
      </c>
      <c r="AH83" s="183">
        <f>SUMIFS('ноябрь 2025'!$G$2:$G$2583,'ноябрь 2025'!$D$2:$D$2583,$B83,'ноябрь 2025'!$J$2:$J$2583,AH$1)</f>
        <v>0</v>
      </c>
      <c r="AI83" s="20">
        <f t="shared" si="1"/>
        <v>0</v>
      </c>
    </row>
    <row r="84" spans="2:35" ht="15" customHeight="1" x14ac:dyDescent="0.25">
      <c r="B84" s="88" t="s">
        <v>167</v>
      </c>
      <c r="C84" s="86">
        <v>200</v>
      </c>
      <c r="D84" s="183">
        <f>SUMIFS('ноябрь 2025'!$G$2:$G$2583,'ноябрь 2025'!$D$2:$D$2583,$B84,'ноябрь 2025'!$J$2:$J$2583,D$1)</f>
        <v>0</v>
      </c>
      <c r="E84" s="183">
        <f>SUMIFS('ноябрь 2025'!$G$2:$G$2583,'ноябрь 2025'!$D$2:$D$2583,$B84,'ноябрь 2025'!$J$2:$J$2583,E$1)</f>
        <v>0</v>
      </c>
      <c r="F84" s="183">
        <f>SUMIFS('ноябрь 2025'!$G$2:$G$2583,'ноябрь 2025'!$D$2:$D$2583,$B84,'ноябрь 2025'!$J$2:$J$2583,F$1)</f>
        <v>0</v>
      </c>
      <c r="G84" s="183">
        <f>SUMIFS('ноябрь 2025'!$G$2:$G$2583,'ноябрь 2025'!$D$2:$D$2583,$B84,'ноябрь 2025'!$J$2:$J$2583,G$1)</f>
        <v>0</v>
      </c>
      <c r="H84" s="183">
        <f>SUMIFS('ноябрь 2025'!$G$2:$G$2583,'ноябрь 2025'!$D$2:$D$2583,$B84,'ноябрь 2025'!$J$2:$J$2583,H$1)</f>
        <v>0</v>
      </c>
      <c r="I84" s="183">
        <f>SUMIFS('ноябрь 2025'!$G$2:$G$2583,'ноябрь 2025'!$D$2:$D$2583,$B84,'ноябрь 2025'!$J$2:$J$2583,I$1)</f>
        <v>0</v>
      </c>
      <c r="J84" s="183">
        <f>SUMIFS('ноябрь 2025'!$G$2:$G$2583,'ноябрь 2025'!$D$2:$D$2583,$B84,'ноябрь 2025'!$J$2:$J$2583,J$1)</f>
        <v>0</v>
      </c>
      <c r="K84" s="183">
        <f>SUMIFS('ноябрь 2025'!$G$2:$G$2583,'ноябрь 2025'!$D$2:$D$2583,$B84,'ноябрь 2025'!$J$2:$J$2583,K$1)</f>
        <v>0</v>
      </c>
      <c r="L84" s="183">
        <f>SUMIFS('ноябрь 2025'!$G$2:$G$2583,'ноябрь 2025'!$D$2:$D$2583,$B84,'ноябрь 2025'!$J$2:$J$2583,L$1)</f>
        <v>0</v>
      </c>
      <c r="M84" s="183">
        <f>SUMIFS('ноябрь 2025'!$G$2:$G$2583,'ноябрь 2025'!$D$2:$D$2583,$B84,'ноябрь 2025'!$J$2:$J$2583,M$1)</f>
        <v>0</v>
      </c>
      <c r="N84" s="183">
        <f>SUMIFS('ноябрь 2025'!$G$2:$G$2583,'ноябрь 2025'!$D$2:$D$2583,$B84,'ноябрь 2025'!$J$2:$J$2583,N$1)</f>
        <v>0</v>
      </c>
      <c r="O84" s="183">
        <f>SUMIFS('ноябрь 2025'!$G$2:$G$2583,'ноябрь 2025'!$D$2:$D$2583,$B84,'ноябрь 2025'!$J$2:$J$2583,O$1)</f>
        <v>0</v>
      </c>
      <c r="P84" s="183">
        <f>SUMIFS('ноябрь 2025'!$G$2:$G$2583,'ноябрь 2025'!$D$2:$D$2583,$B84,'ноябрь 2025'!$J$2:$J$2583,P$1)</f>
        <v>0</v>
      </c>
      <c r="Q84" s="183">
        <f>SUMIFS('ноябрь 2025'!$G$2:$G$2583,'ноябрь 2025'!$D$2:$D$2583,$B84,'ноябрь 2025'!$J$2:$J$2583,Q$1)</f>
        <v>0</v>
      </c>
      <c r="R84" s="183">
        <f>SUMIFS('ноябрь 2025'!$G$2:$G$2583,'ноябрь 2025'!$D$2:$D$2583,$B84,'ноябрь 2025'!$J$2:$J$2583,R$1)</f>
        <v>0</v>
      </c>
      <c r="S84" s="183">
        <f>SUMIFS('ноябрь 2025'!$G$2:$G$2583,'ноябрь 2025'!$D$2:$D$2583,$B84,'ноябрь 2025'!$J$2:$J$2583,S$1)</f>
        <v>0</v>
      </c>
      <c r="T84" s="183">
        <f>SUMIFS('ноябрь 2025'!$G$2:$G$2583,'ноябрь 2025'!$D$2:$D$2583,$B84,'ноябрь 2025'!$J$2:$J$2583,T$1)</f>
        <v>0</v>
      </c>
      <c r="U84" s="183">
        <f>SUMIFS('ноябрь 2025'!$G$2:$G$2583,'ноябрь 2025'!$D$2:$D$2583,$B84,'ноябрь 2025'!$J$2:$J$2583,U$1)</f>
        <v>0</v>
      </c>
      <c r="V84" s="183">
        <f>SUMIFS('ноябрь 2025'!$G$2:$G$2583,'ноябрь 2025'!$D$2:$D$2583,$B84,'ноябрь 2025'!$J$2:$J$2583,V$1)</f>
        <v>0</v>
      </c>
      <c r="W84" s="183">
        <f>SUMIFS('ноябрь 2025'!$G$2:$G$2583,'ноябрь 2025'!$D$2:$D$2583,$B84,'ноябрь 2025'!$J$2:$J$2583,W$1)</f>
        <v>0</v>
      </c>
      <c r="X84" s="183">
        <f>SUMIFS('ноябрь 2025'!$G$2:$G$2583,'ноябрь 2025'!$D$2:$D$2583,$B84,'ноябрь 2025'!$J$2:$J$2583,X$1)</f>
        <v>0</v>
      </c>
      <c r="Y84" s="183">
        <f>SUMIFS('ноябрь 2025'!$G$2:$G$2583,'ноябрь 2025'!$D$2:$D$2583,$B84,'ноябрь 2025'!$J$2:$J$2583,Y$1)</f>
        <v>0</v>
      </c>
      <c r="Z84" s="183">
        <f>SUMIFS('ноябрь 2025'!$G$2:$G$2583,'ноябрь 2025'!$D$2:$D$2583,$B84,'ноябрь 2025'!$J$2:$J$2583,Z$1)</f>
        <v>0</v>
      </c>
      <c r="AA84" s="183">
        <f>SUMIFS('ноябрь 2025'!$G$2:$G$2583,'ноябрь 2025'!$D$2:$D$2583,$B84,'ноябрь 2025'!$J$2:$J$2583,AA$1)</f>
        <v>0</v>
      </c>
      <c r="AB84" s="183">
        <f>SUMIFS('ноябрь 2025'!$G$2:$G$2583,'ноябрь 2025'!$D$2:$D$2583,$B84,'ноябрь 2025'!$J$2:$J$2583,AB$1)</f>
        <v>0</v>
      </c>
      <c r="AC84" s="183">
        <f>SUMIFS('ноябрь 2025'!$G$2:$G$2583,'ноябрь 2025'!$D$2:$D$2583,$B84,'ноябрь 2025'!$J$2:$J$2583,AC$1)</f>
        <v>0</v>
      </c>
      <c r="AD84" s="183">
        <f>SUMIFS('ноябрь 2025'!$G$2:$G$2583,'ноябрь 2025'!$D$2:$D$2583,$B84,'ноябрь 2025'!$J$2:$J$2583,AD$1)</f>
        <v>0</v>
      </c>
      <c r="AE84" s="183">
        <f>SUMIFS('ноябрь 2025'!$G$2:$G$2583,'ноябрь 2025'!$D$2:$D$2583,$B84,'ноябрь 2025'!$J$2:$J$2583,AE$1)</f>
        <v>0</v>
      </c>
      <c r="AF84" s="183">
        <f>SUMIFS('ноябрь 2025'!$G$2:$G$2583,'ноябрь 2025'!$D$2:$D$2583,$B84,'ноябрь 2025'!$J$2:$J$2583,AF$1)</f>
        <v>0</v>
      </c>
      <c r="AG84" s="183">
        <f>SUMIFS('ноябрь 2025'!$G$2:$G$2583,'ноябрь 2025'!$D$2:$D$2583,$B84,'ноябрь 2025'!$J$2:$J$2583,AG$1)</f>
        <v>0</v>
      </c>
      <c r="AH84" s="183">
        <f>SUMIFS('ноябрь 2025'!$G$2:$G$2583,'ноябрь 2025'!$D$2:$D$2583,$B84,'ноябрь 2025'!$J$2:$J$2583,AH$1)</f>
        <v>0</v>
      </c>
      <c r="AI84" s="20">
        <f t="shared" si="1"/>
        <v>0</v>
      </c>
    </row>
    <row r="85" spans="2:35" ht="15" customHeight="1" x14ac:dyDescent="0.25">
      <c r="B85" s="88" t="s">
        <v>168</v>
      </c>
      <c r="C85" s="86">
        <v>200</v>
      </c>
      <c r="D85" s="183">
        <f>SUMIFS('ноябрь 2025'!$G$2:$G$2583,'ноябрь 2025'!$D$2:$D$2583,$B85,'ноябрь 2025'!$J$2:$J$2583,D$1)</f>
        <v>0</v>
      </c>
      <c r="E85" s="183">
        <f>SUMIFS('ноябрь 2025'!$G$2:$G$2583,'ноябрь 2025'!$D$2:$D$2583,$B85,'ноябрь 2025'!$J$2:$J$2583,E$1)</f>
        <v>0</v>
      </c>
      <c r="F85" s="183">
        <f>SUMIFS('ноябрь 2025'!$G$2:$G$2583,'ноябрь 2025'!$D$2:$D$2583,$B85,'ноябрь 2025'!$J$2:$J$2583,F$1)</f>
        <v>0</v>
      </c>
      <c r="G85" s="183">
        <f>SUMIFS('ноябрь 2025'!$G$2:$G$2583,'ноябрь 2025'!$D$2:$D$2583,$B85,'ноябрь 2025'!$J$2:$J$2583,G$1)</f>
        <v>0</v>
      </c>
      <c r="H85" s="183">
        <f>SUMIFS('ноябрь 2025'!$G$2:$G$2583,'ноябрь 2025'!$D$2:$D$2583,$B85,'ноябрь 2025'!$J$2:$J$2583,H$1)</f>
        <v>0</v>
      </c>
      <c r="I85" s="183">
        <f>SUMIFS('ноябрь 2025'!$G$2:$G$2583,'ноябрь 2025'!$D$2:$D$2583,$B85,'ноябрь 2025'!$J$2:$J$2583,I$1)</f>
        <v>0</v>
      </c>
      <c r="J85" s="183">
        <f>SUMIFS('ноябрь 2025'!$G$2:$G$2583,'ноябрь 2025'!$D$2:$D$2583,$B85,'ноябрь 2025'!$J$2:$J$2583,J$1)</f>
        <v>0</v>
      </c>
      <c r="K85" s="183">
        <f>SUMIFS('ноябрь 2025'!$G$2:$G$2583,'ноябрь 2025'!$D$2:$D$2583,$B85,'ноябрь 2025'!$J$2:$J$2583,K$1)</f>
        <v>0</v>
      </c>
      <c r="L85" s="183">
        <f>SUMIFS('ноябрь 2025'!$G$2:$G$2583,'ноябрь 2025'!$D$2:$D$2583,$B85,'ноябрь 2025'!$J$2:$J$2583,L$1)</f>
        <v>0</v>
      </c>
      <c r="M85" s="183">
        <f>SUMIFS('ноябрь 2025'!$G$2:$G$2583,'ноябрь 2025'!$D$2:$D$2583,$B85,'ноябрь 2025'!$J$2:$J$2583,M$1)</f>
        <v>0</v>
      </c>
      <c r="N85" s="183">
        <f>SUMIFS('ноябрь 2025'!$G$2:$G$2583,'ноябрь 2025'!$D$2:$D$2583,$B85,'ноябрь 2025'!$J$2:$J$2583,N$1)</f>
        <v>0</v>
      </c>
      <c r="O85" s="183">
        <f>SUMIFS('ноябрь 2025'!$G$2:$G$2583,'ноябрь 2025'!$D$2:$D$2583,$B85,'ноябрь 2025'!$J$2:$J$2583,O$1)</f>
        <v>0</v>
      </c>
      <c r="P85" s="183">
        <f>SUMIFS('ноябрь 2025'!$G$2:$G$2583,'ноябрь 2025'!$D$2:$D$2583,$B85,'ноябрь 2025'!$J$2:$J$2583,P$1)</f>
        <v>0</v>
      </c>
      <c r="Q85" s="183">
        <f>SUMIFS('ноябрь 2025'!$G$2:$G$2583,'ноябрь 2025'!$D$2:$D$2583,$B85,'ноябрь 2025'!$J$2:$J$2583,Q$1)</f>
        <v>0</v>
      </c>
      <c r="R85" s="183">
        <f>SUMIFS('ноябрь 2025'!$G$2:$G$2583,'ноябрь 2025'!$D$2:$D$2583,$B85,'ноябрь 2025'!$J$2:$J$2583,R$1)</f>
        <v>0</v>
      </c>
      <c r="S85" s="183">
        <f>SUMIFS('ноябрь 2025'!$G$2:$G$2583,'ноябрь 2025'!$D$2:$D$2583,$B85,'ноябрь 2025'!$J$2:$J$2583,S$1)</f>
        <v>0</v>
      </c>
      <c r="T85" s="183">
        <f>SUMIFS('ноябрь 2025'!$G$2:$G$2583,'ноябрь 2025'!$D$2:$D$2583,$B85,'ноябрь 2025'!$J$2:$J$2583,T$1)</f>
        <v>0</v>
      </c>
      <c r="U85" s="183">
        <f>SUMIFS('ноябрь 2025'!$G$2:$G$2583,'ноябрь 2025'!$D$2:$D$2583,$B85,'ноябрь 2025'!$J$2:$J$2583,U$1)</f>
        <v>0</v>
      </c>
      <c r="V85" s="183">
        <f>SUMIFS('ноябрь 2025'!$G$2:$G$2583,'ноябрь 2025'!$D$2:$D$2583,$B85,'ноябрь 2025'!$J$2:$J$2583,V$1)</f>
        <v>0</v>
      </c>
      <c r="W85" s="183">
        <f>SUMIFS('ноябрь 2025'!$G$2:$G$2583,'ноябрь 2025'!$D$2:$D$2583,$B85,'ноябрь 2025'!$J$2:$J$2583,W$1)</f>
        <v>0</v>
      </c>
      <c r="X85" s="183">
        <f>SUMIFS('ноябрь 2025'!$G$2:$G$2583,'ноябрь 2025'!$D$2:$D$2583,$B85,'ноябрь 2025'!$J$2:$J$2583,X$1)</f>
        <v>16</v>
      </c>
      <c r="Y85" s="183">
        <f>SUMIFS('ноябрь 2025'!$G$2:$G$2583,'ноябрь 2025'!$D$2:$D$2583,$B85,'ноябрь 2025'!$J$2:$J$2583,Y$1)</f>
        <v>0</v>
      </c>
      <c r="Z85" s="183">
        <f>SUMIFS('ноябрь 2025'!$G$2:$G$2583,'ноябрь 2025'!$D$2:$D$2583,$B85,'ноябрь 2025'!$J$2:$J$2583,Z$1)</f>
        <v>0</v>
      </c>
      <c r="AA85" s="183">
        <f>SUMIFS('ноябрь 2025'!$G$2:$G$2583,'ноябрь 2025'!$D$2:$D$2583,$B85,'ноябрь 2025'!$J$2:$J$2583,AA$1)</f>
        <v>0</v>
      </c>
      <c r="AB85" s="183">
        <f>SUMIFS('ноябрь 2025'!$G$2:$G$2583,'ноябрь 2025'!$D$2:$D$2583,$B85,'ноябрь 2025'!$J$2:$J$2583,AB$1)</f>
        <v>0</v>
      </c>
      <c r="AC85" s="183">
        <f>SUMIFS('ноябрь 2025'!$G$2:$G$2583,'ноябрь 2025'!$D$2:$D$2583,$B85,'ноябрь 2025'!$J$2:$J$2583,AC$1)</f>
        <v>0</v>
      </c>
      <c r="AD85" s="183">
        <f>SUMIFS('ноябрь 2025'!$G$2:$G$2583,'ноябрь 2025'!$D$2:$D$2583,$B85,'ноябрь 2025'!$J$2:$J$2583,AD$1)</f>
        <v>0</v>
      </c>
      <c r="AE85" s="183">
        <f>SUMIFS('ноябрь 2025'!$G$2:$G$2583,'ноябрь 2025'!$D$2:$D$2583,$B85,'ноябрь 2025'!$J$2:$J$2583,AE$1)</f>
        <v>0</v>
      </c>
      <c r="AF85" s="183">
        <f>SUMIFS('ноябрь 2025'!$G$2:$G$2583,'ноябрь 2025'!$D$2:$D$2583,$B85,'ноябрь 2025'!$J$2:$J$2583,AF$1)</f>
        <v>0</v>
      </c>
      <c r="AG85" s="183">
        <f>SUMIFS('ноябрь 2025'!$G$2:$G$2583,'ноябрь 2025'!$D$2:$D$2583,$B85,'ноябрь 2025'!$J$2:$J$2583,AG$1)</f>
        <v>0</v>
      </c>
      <c r="AH85" s="183">
        <f>SUMIFS('ноябрь 2025'!$G$2:$G$2583,'ноябрь 2025'!$D$2:$D$2583,$B85,'ноябрь 2025'!$J$2:$J$2583,AH$1)</f>
        <v>0</v>
      </c>
      <c r="AI85" s="20">
        <f t="shared" si="1"/>
        <v>16</v>
      </c>
    </row>
    <row r="86" spans="2:35" ht="15" customHeight="1" x14ac:dyDescent="0.25">
      <c r="B86" s="88" t="s">
        <v>1426</v>
      </c>
      <c r="C86" s="86">
        <v>215.5</v>
      </c>
      <c r="D86" s="183">
        <f>SUMIFS('ноябрь 2025'!$G$2:$G$2583,'ноябрь 2025'!$D$2:$D$2583,$B86,'ноябрь 2025'!$J$2:$J$2583,D$1)</f>
        <v>0</v>
      </c>
      <c r="E86" s="183">
        <f>SUMIFS('ноябрь 2025'!$G$2:$G$2583,'ноябрь 2025'!$D$2:$D$2583,$B86,'ноябрь 2025'!$J$2:$J$2583,E$1)</f>
        <v>0</v>
      </c>
      <c r="F86" s="183">
        <f>SUMIFS('ноябрь 2025'!$G$2:$G$2583,'ноябрь 2025'!$D$2:$D$2583,$B86,'ноябрь 2025'!$J$2:$J$2583,F$1)</f>
        <v>0</v>
      </c>
      <c r="G86" s="183">
        <f>SUMIFS('ноябрь 2025'!$G$2:$G$2583,'ноябрь 2025'!$D$2:$D$2583,$B86,'ноябрь 2025'!$J$2:$J$2583,G$1)</f>
        <v>0</v>
      </c>
      <c r="H86" s="183">
        <f>SUMIFS('ноябрь 2025'!$G$2:$G$2583,'ноябрь 2025'!$D$2:$D$2583,$B86,'ноябрь 2025'!$J$2:$J$2583,H$1)</f>
        <v>0</v>
      </c>
      <c r="I86" s="183">
        <f>SUMIFS('ноябрь 2025'!$G$2:$G$2583,'ноябрь 2025'!$D$2:$D$2583,$B86,'ноябрь 2025'!$J$2:$J$2583,I$1)</f>
        <v>0</v>
      </c>
      <c r="J86" s="183">
        <f>SUMIFS('ноябрь 2025'!$G$2:$G$2583,'ноябрь 2025'!$D$2:$D$2583,$B86,'ноябрь 2025'!$J$2:$J$2583,J$1)</f>
        <v>0</v>
      </c>
      <c r="K86" s="183">
        <f>SUMIFS('ноябрь 2025'!$G$2:$G$2583,'ноябрь 2025'!$D$2:$D$2583,$B86,'ноябрь 2025'!$J$2:$J$2583,K$1)</f>
        <v>0</v>
      </c>
      <c r="L86" s="183">
        <f>SUMIFS('ноябрь 2025'!$G$2:$G$2583,'ноябрь 2025'!$D$2:$D$2583,$B86,'ноябрь 2025'!$J$2:$J$2583,L$1)</f>
        <v>0</v>
      </c>
      <c r="M86" s="183">
        <f>SUMIFS('ноябрь 2025'!$G$2:$G$2583,'ноябрь 2025'!$D$2:$D$2583,$B86,'ноябрь 2025'!$J$2:$J$2583,M$1)</f>
        <v>0</v>
      </c>
      <c r="N86" s="183">
        <f>SUMIFS('ноябрь 2025'!$G$2:$G$2583,'ноябрь 2025'!$D$2:$D$2583,$B86,'ноябрь 2025'!$J$2:$J$2583,N$1)</f>
        <v>0</v>
      </c>
      <c r="O86" s="183">
        <f>SUMIFS('ноябрь 2025'!$G$2:$G$2583,'ноябрь 2025'!$D$2:$D$2583,$B86,'ноябрь 2025'!$J$2:$J$2583,O$1)</f>
        <v>0</v>
      </c>
      <c r="P86" s="183">
        <f>SUMIFS('ноябрь 2025'!$G$2:$G$2583,'ноябрь 2025'!$D$2:$D$2583,$B86,'ноябрь 2025'!$J$2:$J$2583,P$1)</f>
        <v>0</v>
      </c>
      <c r="Q86" s="183">
        <f>SUMIFS('ноябрь 2025'!$G$2:$G$2583,'ноябрь 2025'!$D$2:$D$2583,$B86,'ноябрь 2025'!$J$2:$J$2583,Q$1)</f>
        <v>0</v>
      </c>
      <c r="R86" s="183">
        <f>SUMIFS('ноябрь 2025'!$G$2:$G$2583,'ноябрь 2025'!$D$2:$D$2583,$B86,'ноябрь 2025'!$J$2:$J$2583,R$1)</f>
        <v>0</v>
      </c>
      <c r="S86" s="183">
        <f>SUMIFS('ноябрь 2025'!$G$2:$G$2583,'ноябрь 2025'!$D$2:$D$2583,$B86,'ноябрь 2025'!$J$2:$J$2583,S$1)</f>
        <v>0</v>
      </c>
      <c r="T86" s="183">
        <f>SUMIFS('ноябрь 2025'!$G$2:$G$2583,'ноябрь 2025'!$D$2:$D$2583,$B86,'ноябрь 2025'!$J$2:$J$2583,T$1)</f>
        <v>0</v>
      </c>
      <c r="U86" s="183">
        <f>SUMIFS('ноябрь 2025'!$G$2:$G$2583,'ноябрь 2025'!$D$2:$D$2583,$B86,'ноябрь 2025'!$J$2:$J$2583,U$1)</f>
        <v>0</v>
      </c>
      <c r="V86" s="183">
        <f>SUMIFS('ноябрь 2025'!$G$2:$G$2583,'ноябрь 2025'!$D$2:$D$2583,$B86,'ноябрь 2025'!$J$2:$J$2583,V$1)</f>
        <v>0</v>
      </c>
      <c r="W86" s="183">
        <f>SUMIFS('ноябрь 2025'!$G$2:$G$2583,'ноябрь 2025'!$D$2:$D$2583,$B86,'ноябрь 2025'!$J$2:$J$2583,W$1)</f>
        <v>0</v>
      </c>
      <c r="X86" s="183">
        <f>SUMIFS('ноябрь 2025'!$G$2:$G$2583,'ноябрь 2025'!$D$2:$D$2583,$B86,'ноябрь 2025'!$J$2:$J$2583,X$1)</f>
        <v>0</v>
      </c>
      <c r="Y86" s="183">
        <f>SUMIFS('ноябрь 2025'!$G$2:$G$2583,'ноябрь 2025'!$D$2:$D$2583,$B86,'ноябрь 2025'!$J$2:$J$2583,Y$1)</f>
        <v>0</v>
      </c>
      <c r="Z86" s="183">
        <f>SUMIFS('ноябрь 2025'!$G$2:$G$2583,'ноябрь 2025'!$D$2:$D$2583,$B86,'ноябрь 2025'!$J$2:$J$2583,Z$1)</f>
        <v>0</v>
      </c>
      <c r="AA86" s="183">
        <f>SUMIFS('ноябрь 2025'!$G$2:$G$2583,'ноябрь 2025'!$D$2:$D$2583,$B86,'ноябрь 2025'!$J$2:$J$2583,AA$1)</f>
        <v>0</v>
      </c>
      <c r="AB86" s="183">
        <f>SUMIFS('ноябрь 2025'!$G$2:$G$2583,'ноябрь 2025'!$D$2:$D$2583,$B86,'ноябрь 2025'!$J$2:$J$2583,AB$1)</f>
        <v>0</v>
      </c>
      <c r="AC86" s="183">
        <f>SUMIFS('ноябрь 2025'!$G$2:$G$2583,'ноябрь 2025'!$D$2:$D$2583,$B86,'ноябрь 2025'!$J$2:$J$2583,AC$1)</f>
        <v>0</v>
      </c>
      <c r="AD86" s="183">
        <f>SUMIFS('ноябрь 2025'!$G$2:$G$2583,'ноябрь 2025'!$D$2:$D$2583,$B86,'ноябрь 2025'!$J$2:$J$2583,AD$1)</f>
        <v>0</v>
      </c>
      <c r="AE86" s="183">
        <f>SUMIFS('ноябрь 2025'!$G$2:$G$2583,'ноябрь 2025'!$D$2:$D$2583,$B86,'ноябрь 2025'!$J$2:$J$2583,AE$1)</f>
        <v>0</v>
      </c>
      <c r="AF86" s="183">
        <f>SUMIFS('ноябрь 2025'!$G$2:$G$2583,'ноябрь 2025'!$D$2:$D$2583,$B86,'ноябрь 2025'!$J$2:$J$2583,AF$1)</f>
        <v>0</v>
      </c>
      <c r="AG86" s="183">
        <f>SUMIFS('ноябрь 2025'!$G$2:$G$2583,'ноябрь 2025'!$D$2:$D$2583,$B86,'ноябрь 2025'!$J$2:$J$2583,AG$1)</f>
        <v>0</v>
      </c>
      <c r="AH86" s="183">
        <f>SUMIFS('ноябрь 2025'!$G$2:$G$2583,'ноябрь 2025'!$D$2:$D$2583,$B86,'ноябрь 2025'!$J$2:$J$2583,AH$1)</f>
        <v>0</v>
      </c>
      <c r="AI86" s="20"/>
    </row>
    <row r="87" spans="2:35" ht="15" customHeight="1" x14ac:dyDescent="0.25">
      <c r="B87" s="88" t="s">
        <v>314</v>
      </c>
      <c r="C87" s="86">
        <v>200</v>
      </c>
      <c r="D87" s="183">
        <f>SUMIFS('ноябрь 2025'!$G$2:$G$2583,'ноябрь 2025'!$D$2:$D$2583,$B87,'ноябрь 2025'!$J$2:$J$2583,D$1)</f>
        <v>0</v>
      </c>
      <c r="E87" s="183">
        <f>SUMIFS('ноябрь 2025'!$G$2:$G$2583,'ноябрь 2025'!$D$2:$D$2583,$B87,'ноябрь 2025'!$J$2:$J$2583,E$1)</f>
        <v>0</v>
      </c>
      <c r="F87" s="183">
        <f>SUMIFS('ноябрь 2025'!$G$2:$G$2583,'ноябрь 2025'!$D$2:$D$2583,$B87,'ноябрь 2025'!$J$2:$J$2583,F$1)</f>
        <v>0</v>
      </c>
      <c r="G87" s="183">
        <f>SUMIFS('ноябрь 2025'!$G$2:$G$2583,'ноябрь 2025'!$D$2:$D$2583,$B87,'ноябрь 2025'!$J$2:$J$2583,G$1)</f>
        <v>0</v>
      </c>
      <c r="H87" s="183">
        <f>SUMIFS('ноябрь 2025'!$G$2:$G$2583,'ноябрь 2025'!$D$2:$D$2583,$B87,'ноябрь 2025'!$J$2:$J$2583,H$1)</f>
        <v>0</v>
      </c>
      <c r="I87" s="183">
        <f>SUMIFS('ноябрь 2025'!$G$2:$G$2583,'ноябрь 2025'!$D$2:$D$2583,$B87,'ноябрь 2025'!$J$2:$J$2583,I$1)</f>
        <v>0</v>
      </c>
      <c r="J87" s="183">
        <f>SUMIFS('ноябрь 2025'!$G$2:$G$2583,'ноябрь 2025'!$D$2:$D$2583,$B87,'ноябрь 2025'!$J$2:$J$2583,J$1)</f>
        <v>0</v>
      </c>
      <c r="K87" s="183">
        <f>SUMIFS('ноябрь 2025'!$G$2:$G$2583,'ноябрь 2025'!$D$2:$D$2583,$B87,'ноябрь 2025'!$J$2:$J$2583,K$1)</f>
        <v>0</v>
      </c>
      <c r="L87" s="183">
        <f>SUMIFS('ноябрь 2025'!$G$2:$G$2583,'ноябрь 2025'!$D$2:$D$2583,$B87,'ноябрь 2025'!$J$2:$J$2583,L$1)</f>
        <v>0</v>
      </c>
      <c r="M87" s="183">
        <f>SUMIFS('ноябрь 2025'!$G$2:$G$2583,'ноябрь 2025'!$D$2:$D$2583,$B87,'ноябрь 2025'!$J$2:$J$2583,M$1)</f>
        <v>0</v>
      </c>
      <c r="N87" s="183">
        <f>SUMIFS('ноябрь 2025'!$G$2:$G$2583,'ноябрь 2025'!$D$2:$D$2583,$B87,'ноябрь 2025'!$J$2:$J$2583,N$1)</f>
        <v>0</v>
      </c>
      <c r="O87" s="183">
        <f>SUMIFS('ноябрь 2025'!$G$2:$G$2583,'ноябрь 2025'!$D$2:$D$2583,$B87,'ноябрь 2025'!$J$2:$J$2583,O$1)</f>
        <v>0</v>
      </c>
      <c r="P87" s="183">
        <f>SUMIFS('ноябрь 2025'!$G$2:$G$2583,'ноябрь 2025'!$D$2:$D$2583,$B87,'ноябрь 2025'!$J$2:$J$2583,P$1)</f>
        <v>0</v>
      </c>
      <c r="Q87" s="183">
        <f>SUMIFS('ноябрь 2025'!$G$2:$G$2583,'ноябрь 2025'!$D$2:$D$2583,$B87,'ноябрь 2025'!$J$2:$J$2583,Q$1)</f>
        <v>0</v>
      </c>
      <c r="R87" s="183">
        <f>SUMIFS('ноябрь 2025'!$G$2:$G$2583,'ноябрь 2025'!$D$2:$D$2583,$B87,'ноябрь 2025'!$J$2:$J$2583,R$1)</f>
        <v>0</v>
      </c>
      <c r="S87" s="183">
        <f>SUMIFS('ноябрь 2025'!$G$2:$G$2583,'ноябрь 2025'!$D$2:$D$2583,$B87,'ноябрь 2025'!$J$2:$J$2583,S$1)</f>
        <v>0</v>
      </c>
      <c r="T87" s="183">
        <f>SUMIFS('ноябрь 2025'!$G$2:$G$2583,'ноябрь 2025'!$D$2:$D$2583,$B87,'ноябрь 2025'!$J$2:$J$2583,T$1)</f>
        <v>0</v>
      </c>
      <c r="U87" s="183">
        <f>SUMIFS('ноябрь 2025'!$G$2:$G$2583,'ноябрь 2025'!$D$2:$D$2583,$B87,'ноябрь 2025'!$J$2:$J$2583,U$1)</f>
        <v>0</v>
      </c>
      <c r="V87" s="183">
        <f>SUMIFS('ноябрь 2025'!$G$2:$G$2583,'ноябрь 2025'!$D$2:$D$2583,$B87,'ноябрь 2025'!$J$2:$J$2583,V$1)</f>
        <v>0</v>
      </c>
      <c r="W87" s="183">
        <f>SUMIFS('ноябрь 2025'!$G$2:$G$2583,'ноябрь 2025'!$D$2:$D$2583,$B87,'ноябрь 2025'!$J$2:$J$2583,W$1)</f>
        <v>0</v>
      </c>
      <c r="X87" s="183">
        <f>SUMIFS('ноябрь 2025'!$G$2:$G$2583,'ноябрь 2025'!$D$2:$D$2583,$B87,'ноябрь 2025'!$J$2:$J$2583,X$1)</f>
        <v>0</v>
      </c>
      <c r="Y87" s="183">
        <f>SUMIFS('ноябрь 2025'!$G$2:$G$2583,'ноябрь 2025'!$D$2:$D$2583,$B87,'ноябрь 2025'!$J$2:$J$2583,Y$1)</f>
        <v>0</v>
      </c>
      <c r="Z87" s="183">
        <f>SUMIFS('ноябрь 2025'!$G$2:$G$2583,'ноябрь 2025'!$D$2:$D$2583,$B87,'ноябрь 2025'!$J$2:$J$2583,Z$1)</f>
        <v>0</v>
      </c>
      <c r="AA87" s="183">
        <f>SUMIFS('ноябрь 2025'!$G$2:$G$2583,'ноябрь 2025'!$D$2:$D$2583,$B87,'ноябрь 2025'!$J$2:$J$2583,AA$1)</f>
        <v>0</v>
      </c>
      <c r="AB87" s="183">
        <f>SUMIFS('ноябрь 2025'!$G$2:$G$2583,'ноябрь 2025'!$D$2:$D$2583,$B87,'ноябрь 2025'!$J$2:$J$2583,AB$1)</f>
        <v>0</v>
      </c>
      <c r="AC87" s="183">
        <f>SUMIFS('ноябрь 2025'!$G$2:$G$2583,'ноябрь 2025'!$D$2:$D$2583,$B87,'ноябрь 2025'!$J$2:$J$2583,AC$1)</f>
        <v>0</v>
      </c>
      <c r="AD87" s="183">
        <f>SUMIFS('ноябрь 2025'!$G$2:$G$2583,'ноябрь 2025'!$D$2:$D$2583,$B87,'ноябрь 2025'!$J$2:$J$2583,AD$1)</f>
        <v>0</v>
      </c>
      <c r="AE87" s="183">
        <f>SUMIFS('ноябрь 2025'!$G$2:$G$2583,'ноябрь 2025'!$D$2:$D$2583,$B87,'ноябрь 2025'!$J$2:$J$2583,AE$1)</f>
        <v>0</v>
      </c>
      <c r="AF87" s="183">
        <f>SUMIFS('ноябрь 2025'!$G$2:$G$2583,'ноябрь 2025'!$D$2:$D$2583,$B87,'ноябрь 2025'!$J$2:$J$2583,AF$1)</f>
        <v>0</v>
      </c>
      <c r="AG87" s="183">
        <f>SUMIFS('ноябрь 2025'!$G$2:$G$2583,'ноябрь 2025'!$D$2:$D$2583,$B87,'ноябрь 2025'!$J$2:$J$2583,AG$1)</f>
        <v>0</v>
      </c>
      <c r="AH87" s="183">
        <f>SUMIFS('ноябрь 2025'!$G$2:$G$2583,'ноябрь 2025'!$D$2:$D$2583,$B87,'ноябрь 2025'!$J$2:$J$2583,AH$1)</f>
        <v>0</v>
      </c>
      <c r="AI87" s="20">
        <f t="shared" si="1"/>
        <v>0</v>
      </c>
    </row>
    <row r="88" spans="2:35" ht="15" customHeight="1" x14ac:dyDescent="0.25">
      <c r="B88" s="88" t="s">
        <v>375</v>
      </c>
      <c r="C88" s="86">
        <v>210</v>
      </c>
      <c r="D88" s="183">
        <f>SUMIFS('ноябрь 2025'!$G$2:$G$2583,'ноябрь 2025'!$D$2:$D$2583,$B88,'ноябрь 2025'!$J$2:$J$2583,D$1)</f>
        <v>0</v>
      </c>
      <c r="E88" s="183">
        <f>SUMIFS('ноябрь 2025'!$G$2:$G$2583,'ноябрь 2025'!$D$2:$D$2583,$B88,'ноябрь 2025'!$J$2:$J$2583,E$1)</f>
        <v>0</v>
      </c>
      <c r="F88" s="183">
        <f>SUMIFS('ноябрь 2025'!$G$2:$G$2583,'ноябрь 2025'!$D$2:$D$2583,$B88,'ноябрь 2025'!$J$2:$J$2583,F$1)</f>
        <v>0</v>
      </c>
      <c r="G88" s="183">
        <f>SUMIFS('ноябрь 2025'!$G$2:$G$2583,'ноябрь 2025'!$D$2:$D$2583,$B88,'ноябрь 2025'!$J$2:$J$2583,G$1)</f>
        <v>0</v>
      </c>
      <c r="H88" s="183">
        <f>SUMIFS('ноябрь 2025'!$G$2:$G$2583,'ноябрь 2025'!$D$2:$D$2583,$B88,'ноябрь 2025'!$J$2:$J$2583,H$1)</f>
        <v>0</v>
      </c>
      <c r="I88" s="183">
        <f>SUMIFS('ноябрь 2025'!$G$2:$G$2583,'ноябрь 2025'!$D$2:$D$2583,$B88,'ноябрь 2025'!$J$2:$J$2583,I$1)</f>
        <v>0</v>
      </c>
      <c r="J88" s="183">
        <f>SUMIFS('ноябрь 2025'!$G$2:$G$2583,'ноябрь 2025'!$D$2:$D$2583,$B88,'ноябрь 2025'!$J$2:$J$2583,J$1)</f>
        <v>0</v>
      </c>
      <c r="K88" s="183">
        <f>SUMIFS('ноябрь 2025'!$G$2:$G$2583,'ноябрь 2025'!$D$2:$D$2583,$B88,'ноябрь 2025'!$J$2:$J$2583,K$1)</f>
        <v>0</v>
      </c>
      <c r="L88" s="183">
        <f>SUMIFS('ноябрь 2025'!$G$2:$G$2583,'ноябрь 2025'!$D$2:$D$2583,$B88,'ноябрь 2025'!$J$2:$J$2583,L$1)</f>
        <v>0</v>
      </c>
      <c r="M88" s="183">
        <f>SUMIFS('ноябрь 2025'!$G$2:$G$2583,'ноябрь 2025'!$D$2:$D$2583,$B88,'ноябрь 2025'!$J$2:$J$2583,M$1)</f>
        <v>0</v>
      </c>
      <c r="N88" s="183">
        <f>SUMIFS('ноябрь 2025'!$G$2:$G$2583,'ноябрь 2025'!$D$2:$D$2583,$B88,'ноябрь 2025'!$J$2:$J$2583,N$1)</f>
        <v>0</v>
      </c>
      <c r="O88" s="183">
        <f>SUMIFS('ноябрь 2025'!$G$2:$G$2583,'ноябрь 2025'!$D$2:$D$2583,$B88,'ноябрь 2025'!$J$2:$J$2583,O$1)</f>
        <v>0</v>
      </c>
      <c r="P88" s="183">
        <f>SUMIFS('ноябрь 2025'!$G$2:$G$2583,'ноябрь 2025'!$D$2:$D$2583,$B88,'ноябрь 2025'!$J$2:$J$2583,P$1)</f>
        <v>0</v>
      </c>
      <c r="Q88" s="183">
        <f>SUMIFS('ноябрь 2025'!$G$2:$G$2583,'ноябрь 2025'!$D$2:$D$2583,$B88,'ноябрь 2025'!$J$2:$J$2583,Q$1)</f>
        <v>0</v>
      </c>
      <c r="R88" s="183">
        <f>SUMIFS('ноябрь 2025'!$G$2:$G$2583,'ноябрь 2025'!$D$2:$D$2583,$B88,'ноябрь 2025'!$J$2:$J$2583,R$1)</f>
        <v>0</v>
      </c>
      <c r="S88" s="183">
        <f>SUMIFS('ноябрь 2025'!$G$2:$G$2583,'ноябрь 2025'!$D$2:$D$2583,$B88,'ноябрь 2025'!$J$2:$J$2583,S$1)</f>
        <v>0</v>
      </c>
      <c r="T88" s="183">
        <f>SUMIFS('ноябрь 2025'!$G$2:$G$2583,'ноябрь 2025'!$D$2:$D$2583,$B88,'ноябрь 2025'!$J$2:$J$2583,T$1)</f>
        <v>0</v>
      </c>
      <c r="U88" s="183">
        <f>SUMIFS('ноябрь 2025'!$G$2:$G$2583,'ноябрь 2025'!$D$2:$D$2583,$B88,'ноябрь 2025'!$J$2:$J$2583,U$1)</f>
        <v>0</v>
      </c>
      <c r="V88" s="183">
        <f>SUMIFS('ноябрь 2025'!$G$2:$G$2583,'ноябрь 2025'!$D$2:$D$2583,$B88,'ноябрь 2025'!$J$2:$J$2583,V$1)</f>
        <v>0</v>
      </c>
      <c r="W88" s="183">
        <f>SUMIFS('ноябрь 2025'!$G$2:$G$2583,'ноябрь 2025'!$D$2:$D$2583,$B88,'ноябрь 2025'!$J$2:$J$2583,W$1)</f>
        <v>0</v>
      </c>
      <c r="X88" s="183">
        <f>SUMIFS('ноябрь 2025'!$G$2:$G$2583,'ноябрь 2025'!$D$2:$D$2583,$B88,'ноябрь 2025'!$J$2:$J$2583,X$1)</f>
        <v>16</v>
      </c>
      <c r="Y88" s="183">
        <f>SUMIFS('ноябрь 2025'!$G$2:$G$2583,'ноябрь 2025'!$D$2:$D$2583,$B88,'ноябрь 2025'!$J$2:$J$2583,Y$1)</f>
        <v>0</v>
      </c>
      <c r="Z88" s="183">
        <f>SUMIFS('ноябрь 2025'!$G$2:$G$2583,'ноябрь 2025'!$D$2:$D$2583,$B88,'ноябрь 2025'!$J$2:$J$2583,Z$1)</f>
        <v>0</v>
      </c>
      <c r="AA88" s="183">
        <f>SUMIFS('ноябрь 2025'!$G$2:$G$2583,'ноябрь 2025'!$D$2:$D$2583,$B88,'ноябрь 2025'!$J$2:$J$2583,AA$1)</f>
        <v>0</v>
      </c>
      <c r="AB88" s="183">
        <f>SUMIFS('ноябрь 2025'!$G$2:$G$2583,'ноябрь 2025'!$D$2:$D$2583,$B88,'ноябрь 2025'!$J$2:$J$2583,AB$1)</f>
        <v>0</v>
      </c>
      <c r="AC88" s="183">
        <f>SUMIFS('ноябрь 2025'!$G$2:$G$2583,'ноябрь 2025'!$D$2:$D$2583,$B88,'ноябрь 2025'!$J$2:$J$2583,AC$1)</f>
        <v>0</v>
      </c>
      <c r="AD88" s="183">
        <f>SUMIFS('ноябрь 2025'!$G$2:$G$2583,'ноябрь 2025'!$D$2:$D$2583,$B88,'ноябрь 2025'!$J$2:$J$2583,AD$1)</f>
        <v>0</v>
      </c>
      <c r="AE88" s="183">
        <f>SUMIFS('ноябрь 2025'!$G$2:$G$2583,'ноябрь 2025'!$D$2:$D$2583,$B88,'ноябрь 2025'!$J$2:$J$2583,AE$1)</f>
        <v>0</v>
      </c>
      <c r="AF88" s="183">
        <f>SUMIFS('ноябрь 2025'!$G$2:$G$2583,'ноябрь 2025'!$D$2:$D$2583,$B88,'ноябрь 2025'!$J$2:$J$2583,AF$1)</f>
        <v>0</v>
      </c>
      <c r="AG88" s="183">
        <f>SUMIFS('ноябрь 2025'!$G$2:$G$2583,'ноябрь 2025'!$D$2:$D$2583,$B88,'ноябрь 2025'!$J$2:$J$2583,AG$1)</f>
        <v>0</v>
      </c>
      <c r="AH88" s="183">
        <f>SUMIFS('ноябрь 2025'!$G$2:$G$2583,'ноябрь 2025'!$D$2:$D$2583,$B88,'ноябрь 2025'!$J$2:$J$2583,AH$1)</f>
        <v>0</v>
      </c>
      <c r="AI88" s="20">
        <f t="shared" si="1"/>
        <v>16</v>
      </c>
    </row>
    <row r="89" spans="2:35" ht="15" customHeight="1" x14ac:dyDescent="0.25">
      <c r="B89" s="88" t="s">
        <v>1255</v>
      </c>
      <c r="C89" s="86">
        <v>1000</v>
      </c>
      <c r="D89" s="183">
        <f>SUMIFS('ноябрь 2025'!$G$2:$G$2583,'ноябрь 2025'!$D$2:$D$2583,$B89,'ноябрь 2025'!$J$2:$J$2583,D$1)</f>
        <v>0</v>
      </c>
      <c r="E89" s="183">
        <f>SUMIFS('ноябрь 2025'!$G$2:$G$2583,'ноябрь 2025'!$D$2:$D$2583,$B89,'ноябрь 2025'!$J$2:$J$2583,E$1)</f>
        <v>0</v>
      </c>
      <c r="F89" s="183">
        <f>SUMIFS('ноябрь 2025'!$G$2:$G$2583,'ноябрь 2025'!$D$2:$D$2583,$B89,'ноябрь 2025'!$J$2:$J$2583,F$1)</f>
        <v>0</v>
      </c>
      <c r="G89" s="183">
        <f>SUMIFS('ноябрь 2025'!$G$2:$G$2583,'ноябрь 2025'!$D$2:$D$2583,$B89,'ноябрь 2025'!$J$2:$J$2583,G$1)</f>
        <v>0</v>
      </c>
      <c r="H89" s="183">
        <f>SUMIFS('ноябрь 2025'!$G$2:$G$2583,'ноябрь 2025'!$D$2:$D$2583,$B89,'ноябрь 2025'!$J$2:$J$2583,H$1)</f>
        <v>0</v>
      </c>
      <c r="I89" s="183">
        <f>SUMIFS('ноябрь 2025'!$G$2:$G$2583,'ноябрь 2025'!$D$2:$D$2583,$B89,'ноябрь 2025'!$J$2:$J$2583,I$1)</f>
        <v>0</v>
      </c>
      <c r="J89" s="183">
        <f>SUMIFS('ноябрь 2025'!$G$2:$G$2583,'ноябрь 2025'!$D$2:$D$2583,$B89,'ноябрь 2025'!$J$2:$J$2583,J$1)</f>
        <v>0</v>
      </c>
      <c r="K89" s="183">
        <f>SUMIFS('ноябрь 2025'!$G$2:$G$2583,'ноябрь 2025'!$D$2:$D$2583,$B89,'ноябрь 2025'!$J$2:$J$2583,K$1)</f>
        <v>0</v>
      </c>
      <c r="L89" s="183">
        <f>SUMIFS('ноябрь 2025'!$G$2:$G$2583,'ноябрь 2025'!$D$2:$D$2583,$B89,'ноябрь 2025'!$J$2:$J$2583,L$1)</f>
        <v>0</v>
      </c>
      <c r="M89" s="183">
        <f>SUMIFS('ноябрь 2025'!$G$2:$G$2583,'ноябрь 2025'!$D$2:$D$2583,$B89,'ноябрь 2025'!$J$2:$J$2583,M$1)</f>
        <v>0</v>
      </c>
      <c r="N89" s="183">
        <f>SUMIFS('ноябрь 2025'!$G$2:$G$2583,'ноябрь 2025'!$D$2:$D$2583,$B89,'ноябрь 2025'!$J$2:$J$2583,N$1)</f>
        <v>0</v>
      </c>
      <c r="O89" s="183">
        <f>SUMIFS('ноябрь 2025'!$G$2:$G$2583,'ноябрь 2025'!$D$2:$D$2583,$B89,'ноябрь 2025'!$J$2:$J$2583,O$1)</f>
        <v>0</v>
      </c>
      <c r="P89" s="183">
        <f>SUMIFS('ноябрь 2025'!$G$2:$G$2583,'ноябрь 2025'!$D$2:$D$2583,$B89,'ноябрь 2025'!$J$2:$J$2583,P$1)</f>
        <v>0</v>
      </c>
      <c r="Q89" s="183">
        <f>SUMIFS('ноябрь 2025'!$G$2:$G$2583,'ноябрь 2025'!$D$2:$D$2583,$B89,'ноябрь 2025'!$J$2:$J$2583,Q$1)</f>
        <v>0</v>
      </c>
      <c r="R89" s="183">
        <f>SUMIFS('ноябрь 2025'!$G$2:$G$2583,'ноябрь 2025'!$D$2:$D$2583,$B89,'ноябрь 2025'!$J$2:$J$2583,R$1)</f>
        <v>0</v>
      </c>
      <c r="S89" s="183">
        <f>SUMIFS('ноябрь 2025'!$G$2:$G$2583,'ноябрь 2025'!$D$2:$D$2583,$B89,'ноябрь 2025'!$J$2:$J$2583,S$1)</f>
        <v>0</v>
      </c>
      <c r="T89" s="183">
        <f>SUMIFS('ноябрь 2025'!$G$2:$G$2583,'ноябрь 2025'!$D$2:$D$2583,$B89,'ноябрь 2025'!$J$2:$J$2583,T$1)</f>
        <v>0</v>
      </c>
      <c r="U89" s="183">
        <f>SUMIFS('ноябрь 2025'!$G$2:$G$2583,'ноябрь 2025'!$D$2:$D$2583,$B89,'ноябрь 2025'!$J$2:$J$2583,U$1)</f>
        <v>0</v>
      </c>
      <c r="V89" s="183">
        <f>SUMIFS('ноябрь 2025'!$G$2:$G$2583,'ноябрь 2025'!$D$2:$D$2583,$B89,'ноябрь 2025'!$J$2:$J$2583,V$1)</f>
        <v>0</v>
      </c>
      <c r="W89" s="183">
        <f>SUMIFS('ноябрь 2025'!$G$2:$G$2583,'ноябрь 2025'!$D$2:$D$2583,$B89,'ноябрь 2025'!$J$2:$J$2583,W$1)</f>
        <v>0</v>
      </c>
      <c r="X89" s="183">
        <f>SUMIFS('ноябрь 2025'!$G$2:$G$2583,'ноябрь 2025'!$D$2:$D$2583,$B89,'ноябрь 2025'!$J$2:$J$2583,X$1)</f>
        <v>0</v>
      </c>
      <c r="Y89" s="183">
        <f>SUMIFS('ноябрь 2025'!$G$2:$G$2583,'ноябрь 2025'!$D$2:$D$2583,$B89,'ноябрь 2025'!$J$2:$J$2583,Y$1)</f>
        <v>0</v>
      </c>
      <c r="Z89" s="183">
        <f>SUMIFS('ноябрь 2025'!$G$2:$G$2583,'ноябрь 2025'!$D$2:$D$2583,$B89,'ноябрь 2025'!$J$2:$J$2583,Z$1)</f>
        <v>0</v>
      </c>
      <c r="AA89" s="183">
        <f>SUMIFS('ноябрь 2025'!$G$2:$G$2583,'ноябрь 2025'!$D$2:$D$2583,$B89,'ноябрь 2025'!$J$2:$J$2583,AA$1)</f>
        <v>0</v>
      </c>
      <c r="AB89" s="183">
        <f>SUMIFS('ноябрь 2025'!$G$2:$G$2583,'ноябрь 2025'!$D$2:$D$2583,$B89,'ноябрь 2025'!$J$2:$J$2583,AB$1)</f>
        <v>0</v>
      </c>
      <c r="AC89" s="183">
        <f>SUMIFS('ноябрь 2025'!$G$2:$G$2583,'ноябрь 2025'!$D$2:$D$2583,$B89,'ноябрь 2025'!$J$2:$J$2583,AC$1)</f>
        <v>0</v>
      </c>
      <c r="AD89" s="183">
        <f>SUMIFS('ноябрь 2025'!$G$2:$G$2583,'ноябрь 2025'!$D$2:$D$2583,$B89,'ноябрь 2025'!$J$2:$J$2583,AD$1)</f>
        <v>0</v>
      </c>
      <c r="AE89" s="183">
        <f>SUMIFS('ноябрь 2025'!$G$2:$G$2583,'ноябрь 2025'!$D$2:$D$2583,$B89,'ноябрь 2025'!$J$2:$J$2583,AE$1)</f>
        <v>0</v>
      </c>
      <c r="AF89" s="183">
        <f>SUMIFS('ноябрь 2025'!$G$2:$G$2583,'ноябрь 2025'!$D$2:$D$2583,$B89,'ноябрь 2025'!$J$2:$J$2583,AF$1)</f>
        <v>0</v>
      </c>
      <c r="AG89" s="183">
        <f>SUMIFS('ноябрь 2025'!$G$2:$G$2583,'ноябрь 2025'!$D$2:$D$2583,$B89,'ноябрь 2025'!$J$2:$J$2583,AG$1)</f>
        <v>0</v>
      </c>
      <c r="AH89" s="183">
        <f>SUMIFS('ноябрь 2025'!$G$2:$G$2583,'ноябрь 2025'!$D$2:$D$2583,$B89,'ноябрь 2025'!$J$2:$J$2583,AH$1)</f>
        <v>0</v>
      </c>
      <c r="AI89" s="20">
        <f t="shared" si="1"/>
        <v>0</v>
      </c>
    </row>
    <row r="90" spans="2:35" ht="15" customHeight="1" x14ac:dyDescent="0.25">
      <c r="B90" s="88" t="s">
        <v>257</v>
      </c>
      <c r="C90" s="86">
        <v>190</v>
      </c>
      <c r="D90" s="183">
        <f>SUMIFS('ноябрь 2025'!$G$2:$G$2583,'ноябрь 2025'!$D$2:$D$2583,$B90,'ноябрь 2025'!$J$2:$J$2583,D$1)</f>
        <v>0</v>
      </c>
      <c r="E90" s="183">
        <f>SUMIFS('ноябрь 2025'!$G$2:$G$2583,'ноябрь 2025'!$D$2:$D$2583,$B90,'ноябрь 2025'!$J$2:$J$2583,E$1)</f>
        <v>0</v>
      </c>
      <c r="F90" s="183">
        <f>SUMIFS('ноябрь 2025'!$G$2:$G$2583,'ноябрь 2025'!$D$2:$D$2583,$B90,'ноябрь 2025'!$J$2:$J$2583,F$1)</f>
        <v>0</v>
      </c>
      <c r="G90" s="183">
        <f>SUMIFS('ноябрь 2025'!$G$2:$G$2583,'ноябрь 2025'!$D$2:$D$2583,$B90,'ноябрь 2025'!$J$2:$J$2583,G$1)</f>
        <v>0</v>
      </c>
      <c r="H90" s="183">
        <f>SUMIFS('ноябрь 2025'!$G$2:$G$2583,'ноябрь 2025'!$D$2:$D$2583,$B90,'ноябрь 2025'!$J$2:$J$2583,H$1)</f>
        <v>0</v>
      </c>
      <c r="I90" s="183">
        <f>SUMIFS('ноябрь 2025'!$G$2:$G$2583,'ноябрь 2025'!$D$2:$D$2583,$B90,'ноябрь 2025'!$J$2:$J$2583,I$1)</f>
        <v>0</v>
      </c>
      <c r="J90" s="183">
        <f>SUMIFS('ноябрь 2025'!$G$2:$G$2583,'ноябрь 2025'!$D$2:$D$2583,$B90,'ноябрь 2025'!$J$2:$J$2583,J$1)</f>
        <v>0</v>
      </c>
      <c r="K90" s="183">
        <f>SUMIFS('ноябрь 2025'!$G$2:$G$2583,'ноябрь 2025'!$D$2:$D$2583,$B90,'ноябрь 2025'!$J$2:$J$2583,K$1)</f>
        <v>0</v>
      </c>
      <c r="L90" s="183">
        <f>SUMIFS('ноябрь 2025'!$G$2:$G$2583,'ноябрь 2025'!$D$2:$D$2583,$B90,'ноябрь 2025'!$J$2:$J$2583,L$1)</f>
        <v>0</v>
      </c>
      <c r="M90" s="183">
        <f>SUMIFS('ноябрь 2025'!$G$2:$G$2583,'ноябрь 2025'!$D$2:$D$2583,$B90,'ноябрь 2025'!$J$2:$J$2583,M$1)</f>
        <v>0</v>
      </c>
      <c r="N90" s="183">
        <f>SUMIFS('ноябрь 2025'!$G$2:$G$2583,'ноябрь 2025'!$D$2:$D$2583,$B90,'ноябрь 2025'!$J$2:$J$2583,N$1)</f>
        <v>0</v>
      </c>
      <c r="O90" s="183">
        <f>SUMIFS('ноябрь 2025'!$G$2:$G$2583,'ноябрь 2025'!$D$2:$D$2583,$B90,'ноябрь 2025'!$J$2:$J$2583,O$1)</f>
        <v>0</v>
      </c>
      <c r="P90" s="183">
        <f>SUMIFS('ноябрь 2025'!$G$2:$G$2583,'ноябрь 2025'!$D$2:$D$2583,$B90,'ноябрь 2025'!$J$2:$J$2583,P$1)</f>
        <v>0</v>
      </c>
      <c r="Q90" s="183">
        <f>SUMIFS('ноябрь 2025'!$G$2:$G$2583,'ноябрь 2025'!$D$2:$D$2583,$B90,'ноябрь 2025'!$J$2:$J$2583,Q$1)</f>
        <v>0</v>
      </c>
      <c r="R90" s="183">
        <f>SUMIFS('ноябрь 2025'!$G$2:$G$2583,'ноябрь 2025'!$D$2:$D$2583,$B90,'ноябрь 2025'!$J$2:$J$2583,R$1)</f>
        <v>0</v>
      </c>
      <c r="S90" s="183">
        <f>SUMIFS('ноябрь 2025'!$G$2:$G$2583,'ноябрь 2025'!$D$2:$D$2583,$B90,'ноябрь 2025'!$J$2:$J$2583,S$1)</f>
        <v>0</v>
      </c>
      <c r="T90" s="183">
        <f>SUMIFS('ноябрь 2025'!$G$2:$G$2583,'ноябрь 2025'!$D$2:$D$2583,$B90,'ноябрь 2025'!$J$2:$J$2583,T$1)</f>
        <v>0</v>
      </c>
      <c r="U90" s="183">
        <f>SUMIFS('ноябрь 2025'!$G$2:$G$2583,'ноябрь 2025'!$D$2:$D$2583,$B90,'ноябрь 2025'!$J$2:$J$2583,U$1)</f>
        <v>0</v>
      </c>
      <c r="V90" s="183">
        <f>SUMIFS('ноябрь 2025'!$G$2:$G$2583,'ноябрь 2025'!$D$2:$D$2583,$B90,'ноябрь 2025'!$J$2:$J$2583,V$1)</f>
        <v>0</v>
      </c>
      <c r="W90" s="183">
        <f>SUMIFS('ноябрь 2025'!$G$2:$G$2583,'ноябрь 2025'!$D$2:$D$2583,$B90,'ноябрь 2025'!$J$2:$J$2583,W$1)</f>
        <v>0</v>
      </c>
      <c r="X90" s="183">
        <f>SUMIFS('ноябрь 2025'!$G$2:$G$2583,'ноябрь 2025'!$D$2:$D$2583,$B90,'ноябрь 2025'!$J$2:$J$2583,X$1)</f>
        <v>0</v>
      </c>
      <c r="Y90" s="183">
        <f>SUMIFS('ноябрь 2025'!$G$2:$G$2583,'ноябрь 2025'!$D$2:$D$2583,$B90,'ноябрь 2025'!$J$2:$J$2583,Y$1)</f>
        <v>0</v>
      </c>
      <c r="Z90" s="183">
        <f>SUMIFS('ноябрь 2025'!$G$2:$G$2583,'ноябрь 2025'!$D$2:$D$2583,$B90,'ноябрь 2025'!$J$2:$J$2583,Z$1)</f>
        <v>0</v>
      </c>
      <c r="AA90" s="183">
        <f>SUMIFS('ноябрь 2025'!$G$2:$G$2583,'ноябрь 2025'!$D$2:$D$2583,$B90,'ноябрь 2025'!$J$2:$J$2583,AA$1)</f>
        <v>0</v>
      </c>
      <c r="AB90" s="183">
        <f>SUMIFS('ноябрь 2025'!$G$2:$G$2583,'ноябрь 2025'!$D$2:$D$2583,$B90,'ноябрь 2025'!$J$2:$J$2583,AB$1)</f>
        <v>0</v>
      </c>
      <c r="AC90" s="183">
        <f>SUMIFS('ноябрь 2025'!$G$2:$G$2583,'ноябрь 2025'!$D$2:$D$2583,$B90,'ноябрь 2025'!$J$2:$J$2583,AC$1)</f>
        <v>0</v>
      </c>
      <c r="AD90" s="183">
        <f>SUMIFS('ноябрь 2025'!$G$2:$G$2583,'ноябрь 2025'!$D$2:$D$2583,$B90,'ноябрь 2025'!$J$2:$J$2583,AD$1)</f>
        <v>0</v>
      </c>
      <c r="AE90" s="183">
        <f>SUMIFS('ноябрь 2025'!$G$2:$G$2583,'ноябрь 2025'!$D$2:$D$2583,$B90,'ноябрь 2025'!$J$2:$J$2583,AE$1)</f>
        <v>0</v>
      </c>
      <c r="AF90" s="183">
        <f>SUMIFS('ноябрь 2025'!$G$2:$G$2583,'ноябрь 2025'!$D$2:$D$2583,$B90,'ноябрь 2025'!$J$2:$J$2583,AF$1)</f>
        <v>0</v>
      </c>
      <c r="AG90" s="183">
        <f>SUMIFS('ноябрь 2025'!$G$2:$G$2583,'ноябрь 2025'!$D$2:$D$2583,$B90,'ноябрь 2025'!$J$2:$J$2583,AG$1)</f>
        <v>0</v>
      </c>
      <c r="AH90" s="183">
        <f>SUMIFS('ноябрь 2025'!$G$2:$G$2583,'ноябрь 2025'!$D$2:$D$2583,$B90,'ноябрь 2025'!$J$2:$J$2583,AH$1)</f>
        <v>0</v>
      </c>
      <c r="AI90" s="20">
        <f t="shared" si="1"/>
        <v>0</v>
      </c>
    </row>
    <row r="91" spans="2:35" ht="15" customHeight="1" x14ac:dyDescent="0.25">
      <c r="B91" s="84" t="s">
        <v>1396</v>
      </c>
      <c r="C91" s="86">
        <v>180</v>
      </c>
      <c r="D91" s="183">
        <f>SUMIFS('ноябрь 2025'!$G$2:$G$2583,'ноябрь 2025'!$D$2:$D$2583,$B91,'ноябрь 2025'!$J$2:$J$2583,D$1)</f>
        <v>0</v>
      </c>
      <c r="E91" s="183">
        <f>SUMIFS('ноябрь 2025'!$G$2:$G$2583,'ноябрь 2025'!$D$2:$D$2583,$B91,'ноябрь 2025'!$J$2:$J$2583,E$1)</f>
        <v>0</v>
      </c>
      <c r="F91" s="183">
        <f>SUMIFS('ноябрь 2025'!$G$2:$G$2583,'ноябрь 2025'!$D$2:$D$2583,$B91,'ноябрь 2025'!$J$2:$J$2583,F$1)</f>
        <v>0</v>
      </c>
      <c r="G91" s="183">
        <f>SUMIFS('ноябрь 2025'!$G$2:$G$2583,'ноябрь 2025'!$D$2:$D$2583,$B91,'ноябрь 2025'!$J$2:$J$2583,G$1)</f>
        <v>0</v>
      </c>
      <c r="H91" s="183">
        <f>SUMIFS('ноябрь 2025'!$G$2:$G$2583,'ноябрь 2025'!$D$2:$D$2583,$B91,'ноябрь 2025'!$J$2:$J$2583,H$1)</f>
        <v>0</v>
      </c>
      <c r="I91" s="183">
        <f>SUMIFS('ноябрь 2025'!$G$2:$G$2583,'ноябрь 2025'!$D$2:$D$2583,$B91,'ноябрь 2025'!$J$2:$J$2583,I$1)</f>
        <v>0</v>
      </c>
      <c r="J91" s="183">
        <f>SUMIFS('ноябрь 2025'!$G$2:$G$2583,'ноябрь 2025'!$D$2:$D$2583,$B91,'ноябрь 2025'!$J$2:$J$2583,J$1)</f>
        <v>0</v>
      </c>
      <c r="K91" s="183">
        <f>SUMIFS('ноябрь 2025'!$G$2:$G$2583,'ноябрь 2025'!$D$2:$D$2583,$B91,'ноябрь 2025'!$J$2:$J$2583,K$1)</f>
        <v>0</v>
      </c>
      <c r="L91" s="183">
        <f>SUMIFS('ноябрь 2025'!$G$2:$G$2583,'ноябрь 2025'!$D$2:$D$2583,$B91,'ноябрь 2025'!$J$2:$J$2583,L$1)</f>
        <v>0</v>
      </c>
      <c r="M91" s="183">
        <f>SUMIFS('ноябрь 2025'!$G$2:$G$2583,'ноябрь 2025'!$D$2:$D$2583,$B91,'ноябрь 2025'!$J$2:$J$2583,M$1)</f>
        <v>0</v>
      </c>
      <c r="N91" s="183">
        <f>SUMIFS('ноябрь 2025'!$G$2:$G$2583,'ноябрь 2025'!$D$2:$D$2583,$B91,'ноябрь 2025'!$J$2:$J$2583,N$1)</f>
        <v>0</v>
      </c>
      <c r="O91" s="183">
        <f>SUMIFS('ноябрь 2025'!$G$2:$G$2583,'ноябрь 2025'!$D$2:$D$2583,$B91,'ноябрь 2025'!$J$2:$J$2583,O$1)</f>
        <v>0</v>
      </c>
      <c r="P91" s="183">
        <f>SUMIFS('ноябрь 2025'!$G$2:$G$2583,'ноябрь 2025'!$D$2:$D$2583,$B91,'ноябрь 2025'!$J$2:$J$2583,P$1)</f>
        <v>0</v>
      </c>
      <c r="Q91" s="183">
        <f>SUMIFS('ноябрь 2025'!$G$2:$G$2583,'ноябрь 2025'!$D$2:$D$2583,$B91,'ноябрь 2025'!$J$2:$J$2583,Q$1)</f>
        <v>0</v>
      </c>
      <c r="R91" s="183">
        <f>SUMIFS('ноябрь 2025'!$G$2:$G$2583,'ноябрь 2025'!$D$2:$D$2583,$B91,'ноябрь 2025'!$J$2:$J$2583,R$1)</f>
        <v>0</v>
      </c>
      <c r="S91" s="183">
        <f>SUMIFS('ноябрь 2025'!$G$2:$G$2583,'ноябрь 2025'!$D$2:$D$2583,$B91,'ноябрь 2025'!$J$2:$J$2583,S$1)</f>
        <v>0</v>
      </c>
      <c r="T91" s="183">
        <f>SUMIFS('ноябрь 2025'!$G$2:$G$2583,'ноябрь 2025'!$D$2:$D$2583,$B91,'ноябрь 2025'!$J$2:$J$2583,T$1)</f>
        <v>0</v>
      </c>
      <c r="U91" s="183">
        <f>SUMIFS('ноябрь 2025'!$G$2:$G$2583,'ноябрь 2025'!$D$2:$D$2583,$B91,'ноябрь 2025'!$J$2:$J$2583,U$1)</f>
        <v>0</v>
      </c>
      <c r="V91" s="183">
        <f>SUMIFS('ноябрь 2025'!$G$2:$G$2583,'ноябрь 2025'!$D$2:$D$2583,$B91,'ноябрь 2025'!$J$2:$J$2583,V$1)</f>
        <v>0</v>
      </c>
      <c r="W91" s="183">
        <f>SUMIFS('ноябрь 2025'!$G$2:$G$2583,'ноябрь 2025'!$D$2:$D$2583,$B91,'ноябрь 2025'!$J$2:$J$2583,W$1)</f>
        <v>0</v>
      </c>
      <c r="X91" s="183">
        <f>SUMIFS('ноябрь 2025'!$G$2:$G$2583,'ноябрь 2025'!$D$2:$D$2583,$B91,'ноябрь 2025'!$J$2:$J$2583,X$1)</f>
        <v>0</v>
      </c>
      <c r="Y91" s="183">
        <f>SUMIFS('ноябрь 2025'!$G$2:$G$2583,'ноябрь 2025'!$D$2:$D$2583,$B91,'ноябрь 2025'!$J$2:$J$2583,Y$1)</f>
        <v>0</v>
      </c>
      <c r="Z91" s="183">
        <f>SUMIFS('ноябрь 2025'!$G$2:$G$2583,'ноябрь 2025'!$D$2:$D$2583,$B91,'ноябрь 2025'!$J$2:$J$2583,Z$1)</f>
        <v>0</v>
      </c>
      <c r="AA91" s="183">
        <f>SUMIFS('ноябрь 2025'!$G$2:$G$2583,'ноябрь 2025'!$D$2:$D$2583,$B91,'ноябрь 2025'!$J$2:$J$2583,AA$1)</f>
        <v>0</v>
      </c>
      <c r="AB91" s="183">
        <f>SUMIFS('ноябрь 2025'!$G$2:$G$2583,'ноябрь 2025'!$D$2:$D$2583,$B91,'ноябрь 2025'!$J$2:$J$2583,AB$1)</f>
        <v>0</v>
      </c>
      <c r="AC91" s="183">
        <f>SUMIFS('ноябрь 2025'!$G$2:$G$2583,'ноябрь 2025'!$D$2:$D$2583,$B91,'ноябрь 2025'!$J$2:$J$2583,AC$1)</f>
        <v>0</v>
      </c>
      <c r="AD91" s="183">
        <f>SUMIFS('ноябрь 2025'!$G$2:$G$2583,'ноябрь 2025'!$D$2:$D$2583,$B91,'ноябрь 2025'!$J$2:$J$2583,AD$1)</f>
        <v>0</v>
      </c>
      <c r="AE91" s="183">
        <f>SUMIFS('ноябрь 2025'!$G$2:$G$2583,'ноябрь 2025'!$D$2:$D$2583,$B91,'ноябрь 2025'!$J$2:$J$2583,AE$1)</f>
        <v>0</v>
      </c>
      <c r="AF91" s="183">
        <f>SUMIFS('ноябрь 2025'!$G$2:$G$2583,'ноябрь 2025'!$D$2:$D$2583,$B91,'ноябрь 2025'!$J$2:$J$2583,AF$1)</f>
        <v>0</v>
      </c>
      <c r="AG91" s="183">
        <f>SUMIFS('ноябрь 2025'!$G$2:$G$2583,'ноябрь 2025'!$D$2:$D$2583,$B91,'ноябрь 2025'!$J$2:$J$2583,AG$1)</f>
        <v>0</v>
      </c>
      <c r="AH91" s="183">
        <f>SUMIFS('ноябрь 2025'!$G$2:$G$2583,'ноябрь 2025'!$D$2:$D$2583,$B91,'ноябрь 2025'!$J$2:$J$2583,AH$1)</f>
        <v>0</v>
      </c>
      <c r="AI91" s="20">
        <f t="shared" si="1"/>
        <v>0</v>
      </c>
    </row>
    <row r="92" spans="2:35" ht="15" customHeight="1" x14ac:dyDescent="0.25">
      <c r="B92" s="84" t="s">
        <v>189</v>
      </c>
      <c r="C92" s="83">
        <v>180</v>
      </c>
      <c r="D92" s="183">
        <f>SUMIFS('ноябрь 2025'!$G$2:$G$2583,'ноябрь 2025'!$D$2:$D$2583,$B92,'ноябрь 2025'!$J$2:$J$2583,D$1)</f>
        <v>0</v>
      </c>
      <c r="E92" s="183">
        <f>SUMIFS('ноябрь 2025'!$G$2:$G$2583,'ноябрь 2025'!$D$2:$D$2583,$B92,'ноябрь 2025'!$J$2:$J$2583,E$1)</f>
        <v>0</v>
      </c>
      <c r="F92" s="183">
        <f>SUMIFS('ноябрь 2025'!$G$2:$G$2583,'ноябрь 2025'!$D$2:$D$2583,$B92,'ноябрь 2025'!$J$2:$J$2583,F$1)</f>
        <v>0</v>
      </c>
      <c r="G92" s="183">
        <f>SUMIFS('ноябрь 2025'!$G$2:$G$2583,'ноябрь 2025'!$D$2:$D$2583,$B92,'ноябрь 2025'!$J$2:$J$2583,G$1)</f>
        <v>0</v>
      </c>
      <c r="H92" s="183">
        <f>SUMIFS('ноябрь 2025'!$G$2:$G$2583,'ноябрь 2025'!$D$2:$D$2583,$B92,'ноябрь 2025'!$J$2:$J$2583,H$1)</f>
        <v>0</v>
      </c>
      <c r="I92" s="183">
        <f>SUMIFS('ноябрь 2025'!$G$2:$G$2583,'ноябрь 2025'!$D$2:$D$2583,$B92,'ноябрь 2025'!$J$2:$J$2583,I$1)</f>
        <v>0</v>
      </c>
      <c r="J92" s="183">
        <f>SUMIFS('ноябрь 2025'!$G$2:$G$2583,'ноябрь 2025'!$D$2:$D$2583,$B92,'ноябрь 2025'!$J$2:$J$2583,J$1)</f>
        <v>0</v>
      </c>
      <c r="K92" s="183">
        <f>SUMIFS('ноябрь 2025'!$G$2:$G$2583,'ноябрь 2025'!$D$2:$D$2583,$B92,'ноябрь 2025'!$J$2:$J$2583,K$1)</f>
        <v>0</v>
      </c>
      <c r="L92" s="183">
        <f>SUMIFS('ноябрь 2025'!$G$2:$G$2583,'ноябрь 2025'!$D$2:$D$2583,$B92,'ноябрь 2025'!$J$2:$J$2583,L$1)</f>
        <v>0</v>
      </c>
      <c r="M92" s="183">
        <f>SUMIFS('ноябрь 2025'!$G$2:$G$2583,'ноябрь 2025'!$D$2:$D$2583,$B92,'ноябрь 2025'!$J$2:$J$2583,M$1)</f>
        <v>0</v>
      </c>
      <c r="N92" s="183">
        <f>SUMIFS('ноябрь 2025'!$G$2:$G$2583,'ноябрь 2025'!$D$2:$D$2583,$B92,'ноябрь 2025'!$J$2:$J$2583,N$1)</f>
        <v>0</v>
      </c>
      <c r="O92" s="183">
        <f>SUMIFS('ноябрь 2025'!$G$2:$G$2583,'ноябрь 2025'!$D$2:$D$2583,$B92,'ноябрь 2025'!$J$2:$J$2583,O$1)</f>
        <v>0</v>
      </c>
      <c r="P92" s="183">
        <f>SUMIFS('ноябрь 2025'!$G$2:$G$2583,'ноябрь 2025'!$D$2:$D$2583,$B92,'ноябрь 2025'!$J$2:$J$2583,P$1)</f>
        <v>0</v>
      </c>
      <c r="Q92" s="183">
        <f>SUMIFS('ноябрь 2025'!$G$2:$G$2583,'ноябрь 2025'!$D$2:$D$2583,$B92,'ноябрь 2025'!$J$2:$J$2583,Q$1)</f>
        <v>0</v>
      </c>
      <c r="R92" s="183">
        <f>SUMIFS('ноябрь 2025'!$G$2:$G$2583,'ноябрь 2025'!$D$2:$D$2583,$B92,'ноябрь 2025'!$J$2:$J$2583,R$1)</f>
        <v>0</v>
      </c>
      <c r="S92" s="183">
        <f>SUMIFS('ноябрь 2025'!$G$2:$G$2583,'ноябрь 2025'!$D$2:$D$2583,$B92,'ноябрь 2025'!$J$2:$J$2583,S$1)</f>
        <v>0</v>
      </c>
      <c r="T92" s="183">
        <f>SUMIFS('ноябрь 2025'!$G$2:$G$2583,'ноябрь 2025'!$D$2:$D$2583,$B92,'ноябрь 2025'!$J$2:$J$2583,T$1)</f>
        <v>0</v>
      </c>
      <c r="U92" s="183">
        <f>SUMIFS('ноябрь 2025'!$G$2:$G$2583,'ноябрь 2025'!$D$2:$D$2583,$B92,'ноябрь 2025'!$J$2:$J$2583,U$1)</f>
        <v>0</v>
      </c>
      <c r="V92" s="183">
        <f>SUMIFS('ноябрь 2025'!$G$2:$G$2583,'ноябрь 2025'!$D$2:$D$2583,$B92,'ноябрь 2025'!$J$2:$J$2583,V$1)</f>
        <v>0</v>
      </c>
      <c r="W92" s="183">
        <f>SUMIFS('ноябрь 2025'!$G$2:$G$2583,'ноябрь 2025'!$D$2:$D$2583,$B92,'ноябрь 2025'!$J$2:$J$2583,W$1)</f>
        <v>0</v>
      </c>
      <c r="X92" s="183">
        <f>SUMIFS('ноябрь 2025'!$G$2:$G$2583,'ноябрь 2025'!$D$2:$D$2583,$B92,'ноябрь 2025'!$J$2:$J$2583,X$1)</f>
        <v>0</v>
      </c>
      <c r="Y92" s="183">
        <f>SUMIFS('ноябрь 2025'!$G$2:$G$2583,'ноябрь 2025'!$D$2:$D$2583,$B92,'ноябрь 2025'!$J$2:$J$2583,Y$1)</f>
        <v>0</v>
      </c>
      <c r="Z92" s="183">
        <f>SUMIFS('ноябрь 2025'!$G$2:$G$2583,'ноябрь 2025'!$D$2:$D$2583,$B92,'ноябрь 2025'!$J$2:$J$2583,Z$1)</f>
        <v>0</v>
      </c>
      <c r="AA92" s="183">
        <f>SUMIFS('ноябрь 2025'!$G$2:$G$2583,'ноябрь 2025'!$D$2:$D$2583,$B92,'ноябрь 2025'!$J$2:$J$2583,AA$1)</f>
        <v>0</v>
      </c>
      <c r="AB92" s="183">
        <f>SUMIFS('ноябрь 2025'!$G$2:$G$2583,'ноябрь 2025'!$D$2:$D$2583,$B92,'ноябрь 2025'!$J$2:$J$2583,AB$1)</f>
        <v>0</v>
      </c>
      <c r="AC92" s="183">
        <f>SUMIFS('ноябрь 2025'!$G$2:$G$2583,'ноябрь 2025'!$D$2:$D$2583,$B92,'ноябрь 2025'!$J$2:$J$2583,AC$1)</f>
        <v>0</v>
      </c>
      <c r="AD92" s="183">
        <f>SUMIFS('ноябрь 2025'!$G$2:$G$2583,'ноябрь 2025'!$D$2:$D$2583,$B92,'ноябрь 2025'!$J$2:$J$2583,AD$1)</f>
        <v>0</v>
      </c>
      <c r="AE92" s="183">
        <f>SUMIFS('ноябрь 2025'!$G$2:$G$2583,'ноябрь 2025'!$D$2:$D$2583,$B92,'ноябрь 2025'!$J$2:$J$2583,AE$1)</f>
        <v>0</v>
      </c>
      <c r="AF92" s="183">
        <f>SUMIFS('ноябрь 2025'!$G$2:$G$2583,'ноябрь 2025'!$D$2:$D$2583,$B92,'ноябрь 2025'!$J$2:$J$2583,AF$1)</f>
        <v>0</v>
      </c>
      <c r="AG92" s="183">
        <f>SUMIFS('ноябрь 2025'!$G$2:$G$2583,'ноябрь 2025'!$D$2:$D$2583,$B92,'ноябрь 2025'!$J$2:$J$2583,AG$1)</f>
        <v>0</v>
      </c>
      <c r="AH92" s="183">
        <f>SUMIFS('ноябрь 2025'!$G$2:$G$2583,'ноябрь 2025'!$D$2:$D$2583,$B92,'ноябрь 2025'!$J$2:$J$2583,AH$1)</f>
        <v>0</v>
      </c>
      <c r="AI92" s="20">
        <f t="shared" si="1"/>
        <v>0</v>
      </c>
    </row>
    <row r="93" spans="2:35" ht="15" customHeight="1" x14ac:dyDescent="0.25">
      <c r="B93" s="88" t="s">
        <v>190</v>
      </c>
      <c r="C93" s="86">
        <v>190</v>
      </c>
      <c r="D93" s="183">
        <f>SUMIFS('ноябрь 2025'!$G$2:$G$2583,'ноябрь 2025'!$D$2:$D$2583,$B93,'ноябрь 2025'!$J$2:$J$2583,D$1)</f>
        <v>0</v>
      </c>
      <c r="E93" s="183">
        <f>SUMIFS('ноябрь 2025'!$G$2:$G$2583,'ноябрь 2025'!$D$2:$D$2583,$B93,'ноябрь 2025'!$J$2:$J$2583,E$1)</f>
        <v>0</v>
      </c>
      <c r="F93" s="183">
        <f>SUMIFS('ноябрь 2025'!$G$2:$G$2583,'ноябрь 2025'!$D$2:$D$2583,$B93,'ноябрь 2025'!$J$2:$J$2583,F$1)</f>
        <v>0</v>
      </c>
      <c r="G93" s="183">
        <f>SUMIFS('ноябрь 2025'!$G$2:$G$2583,'ноябрь 2025'!$D$2:$D$2583,$B93,'ноябрь 2025'!$J$2:$J$2583,G$1)</f>
        <v>0</v>
      </c>
      <c r="H93" s="183">
        <f>SUMIFS('ноябрь 2025'!$G$2:$G$2583,'ноябрь 2025'!$D$2:$D$2583,$B93,'ноябрь 2025'!$J$2:$J$2583,H$1)</f>
        <v>0</v>
      </c>
      <c r="I93" s="183">
        <f>SUMIFS('ноябрь 2025'!$G$2:$G$2583,'ноябрь 2025'!$D$2:$D$2583,$B93,'ноябрь 2025'!$J$2:$J$2583,I$1)</f>
        <v>0</v>
      </c>
      <c r="J93" s="183">
        <f>SUMIFS('ноябрь 2025'!$G$2:$G$2583,'ноябрь 2025'!$D$2:$D$2583,$B93,'ноябрь 2025'!$J$2:$J$2583,J$1)</f>
        <v>0</v>
      </c>
      <c r="K93" s="183">
        <f>SUMIFS('ноябрь 2025'!$G$2:$G$2583,'ноябрь 2025'!$D$2:$D$2583,$B93,'ноябрь 2025'!$J$2:$J$2583,K$1)</f>
        <v>0</v>
      </c>
      <c r="L93" s="183">
        <f>SUMIFS('ноябрь 2025'!$G$2:$G$2583,'ноябрь 2025'!$D$2:$D$2583,$B93,'ноябрь 2025'!$J$2:$J$2583,L$1)</f>
        <v>0</v>
      </c>
      <c r="M93" s="183">
        <f>SUMIFS('ноябрь 2025'!$G$2:$G$2583,'ноябрь 2025'!$D$2:$D$2583,$B93,'ноябрь 2025'!$J$2:$J$2583,M$1)</f>
        <v>0</v>
      </c>
      <c r="N93" s="183">
        <f>SUMIFS('ноябрь 2025'!$G$2:$G$2583,'ноябрь 2025'!$D$2:$D$2583,$B93,'ноябрь 2025'!$J$2:$J$2583,N$1)</f>
        <v>0</v>
      </c>
      <c r="O93" s="183">
        <f>SUMIFS('ноябрь 2025'!$G$2:$G$2583,'ноябрь 2025'!$D$2:$D$2583,$B93,'ноябрь 2025'!$J$2:$J$2583,O$1)</f>
        <v>0</v>
      </c>
      <c r="P93" s="183">
        <f>SUMIFS('ноябрь 2025'!$G$2:$G$2583,'ноябрь 2025'!$D$2:$D$2583,$B93,'ноябрь 2025'!$J$2:$J$2583,P$1)</f>
        <v>0</v>
      </c>
      <c r="Q93" s="183">
        <f>SUMIFS('ноябрь 2025'!$G$2:$G$2583,'ноябрь 2025'!$D$2:$D$2583,$B93,'ноябрь 2025'!$J$2:$J$2583,Q$1)</f>
        <v>0</v>
      </c>
      <c r="R93" s="183">
        <f>SUMIFS('ноябрь 2025'!$G$2:$G$2583,'ноябрь 2025'!$D$2:$D$2583,$B93,'ноябрь 2025'!$J$2:$J$2583,R$1)</f>
        <v>0</v>
      </c>
      <c r="S93" s="183">
        <f>SUMIFS('ноябрь 2025'!$G$2:$G$2583,'ноябрь 2025'!$D$2:$D$2583,$B93,'ноябрь 2025'!$J$2:$J$2583,S$1)</f>
        <v>0</v>
      </c>
      <c r="T93" s="183">
        <f>SUMIFS('ноябрь 2025'!$G$2:$G$2583,'ноябрь 2025'!$D$2:$D$2583,$B93,'ноябрь 2025'!$J$2:$J$2583,T$1)</f>
        <v>0</v>
      </c>
      <c r="U93" s="183">
        <f>SUMIFS('ноябрь 2025'!$G$2:$G$2583,'ноябрь 2025'!$D$2:$D$2583,$B93,'ноябрь 2025'!$J$2:$J$2583,U$1)</f>
        <v>0</v>
      </c>
      <c r="V93" s="183">
        <f>SUMIFS('ноябрь 2025'!$G$2:$G$2583,'ноябрь 2025'!$D$2:$D$2583,$B93,'ноябрь 2025'!$J$2:$J$2583,V$1)</f>
        <v>0</v>
      </c>
      <c r="W93" s="183">
        <f>SUMIFS('ноябрь 2025'!$G$2:$G$2583,'ноябрь 2025'!$D$2:$D$2583,$B93,'ноябрь 2025'!$J$2:$J$2583,W$1)</f>
        <v>0</v>
      </c>
      <c r="X93" s="183">
        <f>SUMIFS('ноябрь 2025'!$G$2:$G$2583,'ноябрь 2025'!$D$2:$D$2583,$B93,'ноябрь 2025'!$J$2:$J$2583,X$1)</f>
        <v>0</v>
      </c>
      <c r="Y93" s="183">
        <f>SUMIFS('ноябрь 2025'!$G$2:$G$2583,'ноябрь 2025'!$D$2:$D$2583,$B93,'ноябрь 2025'!$J$2:$J$2583,Y$1)</f>
        <v>0</v>
      </c>
      <c r="Z93" s="183">
        <f>SUMIFS('ноябрь 2025'!$G$2:$G$2583,'ноябрь 2025'!$D$2:$D$2583,$B93,'ноябрь 2025'!$J$2:$J$2583,Z$1)</f>
        <v>0</v>
      </c>
      <c r="AA93" s="183">
        <f>SUMIFS('ноябрь 2025'!$G$2:$G$2583,'ноябрь 2025'!$D$2:$D$2583,$B93,'ноябрь 2025'!$J$2:$J$2583,AA$1)</f>
        <v>0</v>
      </c>
      <c r="AB93" s="183">
        <f>SUMIFS('ноябрь 2025'!$G$2:$G$2583,'ноябрь 2025'!$D$2:$D$2583,$B93,'ноябрь 2025'!$J$2:$J$2583,AB$1)</f>
        <v>0</v>
      </c>
      <c r="AC93" s="183">
        <f>SUMIFS('ноябрь 2025'!$G$2:$G$2583,'ноябрь 2025'!$D$2:$D$2583,$B93,'ноябрь 2025'!$J$2:$J$2583,AC$1)</f>
        <v>0</v>
      </c>
      <c r="AD93" s="183">
        <f>SUMIFS('ноябрь 2025'!$G$2:$G$2583,'ноябрь 2025'!$D$2:$D$2583,$B93,'ноябрь 2025'!$J$2:$J$2583,AD$1)</f>
        <v>0</v>
      </c>
      <c r="AE93" s="183">
        <f>SUMIFS('ноябрь 2025'!$G$2:$G$2583,'ноябрь 2025'!$D$2:$D$2583,$B93,'ноябрь 2025'!$J$2:$J$2583,AE$1)</f>
        <v>0</v>
      </c>
      <c r="AF93" s="183">
        <f>SUMIFS('ноябрь 2025'!$G$2:$G$2583,'ноябрь 2025'!$D$2:$D$2583,$B93,'ноябрь 2025'!$J$2:$J$2583,AF$1)</f>
        <v>0</v>
      </c>
      <c r="AG93" s="183">
        <f>SUMIFS('ноябрь 2025'!$G$2:$G$2583,'ноябрь 2025'!$D$2:$D$2583,$B93,'ноябрь 2025'!$J$2:$J$2583,AG$1)</f>
        <v>0</v>
      </c>
      <c r="AH93" s="183">
        <f>SUMIFS('ноябрь 2025'!$G$2:$G$2583,'ноябрь 2025'!$D$2:$D$2583,$B93,'ноябрь 2025'!$J$2:$J$2583,AH$1)</f>
        <v>0</v>
      </c>
      <c r="AI93" s="20">
        <f t="shared" si="1"/>
        <v>0</v>
      </c>
    </row>
    <row r="94" spans="2:35" ht="15" customHeight="1" x14ac:dyDescent="0.25">
      <c r="B94" s="88" t="s">
        <v>191</v>
      </c>
      <c r="C94" s="86">
        <v>190</v>
      </c>
      <c r="D94" s="183">
        <f>SUMIFS('ноябрь 2025'!$G$2:$G$2583,'ноябрь 2025'!$D$2:$D$2583,$B94,'ноябрь 2025'!$J$2:$J$2583,D$1)</f>
        <v>0</v>
      </c>
      <c r="E94" s="183">
        <f>SUMIFS('ноябрь 2025'!$G$2:$G$2583,'ноябрь 2025'!$D$2:$D$2583,$B94,'ноябрь 2025'!$J$2:$J$2583,E$1)</f>
        <v>0</v>
      </c>
      <c r="F94" s="183">
        <f>SUMIFS('ноябрь 2025'!$G$2:$G$2583,'ноябрь 2025'!$D$2:$D$2583,$B94,'ноябрь 2025'!$J$2:$J$2583,F$1)</f>
        <v>0</v>
      </c>
      <c r="G94" s="183">
        <f>SUMIFS('ноябрь 2025'!$G$2:$G$2583,'ноябрь 2025'!$D$2:$D$2583,$B94,'ноябрь 2025'!$J$2:$J$2583,G$1)</f>
        <v>0</v>
      </c>
      <c r="H94" s="183">
        <f>SUMIFS('ноябрь 2025'!$G$2:$G$2583,'ноябрь 2025'!$D$2:$D$2583,$B94,'ноябрь 2025'!$J$2:$J$2583,H$1)</f>
        <v>0</v>
      </c>
      <c r="I94" s="183">
        <f>SUMIFS('ноябрь 2025'!$G$2:$G$2583,'ноябрь 2025'!$D$2:$D$2583,$B94,'ноябрь 2025'!$J$2:$J$2583,I$1)</f>
        <v>0</v>
      </c>
      <c r="J94" s="183">
        <f>SUMIFS('ноябрь 2025'!$G$2:$G$2583,'ноябрь 2025'!$D$2:$D$2583,$B94,'ноябрь 2025'!$J$2:$J$2583,J$1)</f>
        <v>0</v>
      </c>
      <c r="K94" s="183">
        <f>SUMIFS('ноябрь 2025'!$G$2:$G$2583,'ноябрь 2025'!$D$2:$D$2583,$B94,'ноябрь 2025'!$J$2:$J$2583,K$1)</f>
        <v>0</v>
      </c>
      <c r="L94" s="183">
        <f>SUMIFS('ноябрь 2025'!$G$2:$G$2583,'ноябрь 2025'!$D$2:$D$2583,$B94,'ноябрь 2025'!$J$2:$J$2583,L$1)</f>
        <v>0</v>
      </c>
      <c r="M94" s="183">
        <f>SUMIFS('ноябрь 2025'!$G$2:$G$2583,'ноябрь 2025'!$D$2:$D$2583,$B94,'ноябрь 2025'!$J$2:$J$2583,M$1)</f>
        <v>0</v>
      </c>
      <c r="N94" s="183">
        <f>SUMIFS('ноябрь 2025'!$G$2:$G$2583,'ноябрь 2025'!$D$2:$D$2583,$B94,'ноябрь 2025'!$J$2:$J$2583,N$1)</f>
        <v>0</v>
      </c>
      <c r="O94" s="183">
        <f>SUMIFS('ноябрь 2025'!$G$2:$G$2583,'ноябрь 2025'!$D$2:$D$2583,$B94,'ноябрь 2025'!$J$2:$J$2583,O$1)</f>
        <v>0</v>
      </c>
      <c r="P94" s="183">
        <f>SUMIFS('ноябрь 2025'!$G$2:$G$2583,'ноябрь 2025'!$D$2:$D$2583,$B94,'ноябрь 2025'!$J$2:$J$2583,P$1)</f>
        <v>0</v>
      </c>
      <c r="Q94" s="183">
        <f>SUMIFS('ноябрь 2025'!$G$2:$G$2583,'ноябрь 2025'!$D$2:$D$2583,$B94,'ноябрь 2025'!$J$2:$J$2583,Q$1)</f>
        <v>0</v>
      </c>
      <c r="R94" s="183">
        <f>SUMIFS('ноябрь 2025'!$G$2:$G$2583,'ноябрь 2025'!$D$2:$D$2583,$B94,'ноябрь 2025'!$J$2:$J$2583,R$1)</f>
        <v>0</v>
      </c>
      <c r="S94" s="183">
        <f>SUMIFS('ноябрь 2025'!$G$2:$G$2583,'ноябрь 2025'!$D$2:$D$2583,$B94,'ноябрь 2025'!$J$2:$J$2583,S$1)</f>
        <v>0</v>
      </c>
      <c r="T94" s="183">
        <f>SUMIFS('ноябрь 2025'!$G$2:$G$2583,'ноябрь 2025'!$D$2:$D$2583,$B94,'ноябрь 2025'!$J$2:$J$2583,T$1)</f>
        <v>0</v>
      </c>
      <c r="U94" s="183">
        <f>SUMIFS('ноябрь 2025'!$G$2:$G$2583,'ноябрь 2025'!$D$2:$D$2583,$B94,'ноябрь 2025'!$J$2:$J$2583,U$1)</f>
        <v>0</v>
      </c>
      <c r="V94" s="183">
        <f>SUMIFS('ноябрь 2025'!$G$2:$G$2583,'ноябрь 2025'!$D$2:$D$2583,$B94,'ноябрь 2025'!$J$2:$J$2583,V$1)</f>
        <v>0</v>
      </c>
      <c r="W94" s="183">
        <f>SUMIFS('ноябрь 2025'!$G$2:$G$2583,'ноябрь 2025'!$D$2:$D$2583,$B94,'ноябрь 2025'!$J$2:$J$2583,W$1)</f>
        <v>0</v>
      </c>
      <c r="X94" s="183">
        <f>SUMIFS('ноябрь 2025'!$G$2:$G$2583,'ноябрь 2025'!$D$2:$D$2583,$B94,'ноябрь 2025'!$J$2:$J$2583,X$1)</f>
        <v>0</v>
      </c>
      <c r="Y94" s="183">
        <f>SUMIFS('ноябрь 2025'!$G$2:$G$2583,'ноябрь 2025'!$D$2:$D$2583,$B94,'ноябрь 2025'!$J$2:$J$2583,Y$1)</f>
        <v>0</v>
      </c>
      <c r="Z94" s="183">
        <f>SUMIFS('ноябрь 2025'!$G$2:$G$2583,'ноябрь 2025'!$D$2:$D$2583,$B94,'ноябрь 2025'!$J$2:$J$2583,Z$1)</f>
        <v>0</v>
      </c>
      <c r="AA94" s="183">
        <f>SUMIFS('ноябрь 2025'!$G$2:$G$2583,'ноябрь 2025'!$D$2:$D$2583,$B94,'ноябрь 2025'!$J$2:$J$2583,AA$1)</f>
        <v>0</v>
      </c>
      <c r="AB94" s="183">
        <f>SUMIFS('ноябрь 2025'!$G$2:$G$2583,'ноябрь 2025'!$D$2:$D$2583,$B94,'ноябрь 2025'!$J$2:$J$2583,AB$1)</f>
        <v>0</v>
      </c>
      <c r="AC94" s="183">
        <f>SUMIFS('ноябрь 2025'!$G$2:$G$2583,'ноябрь 2025'!$D$2:$D$2583,$B94,'ноябрь 2025'!$J$2:$J$2583,AC$1)</f>
        <v>0</v>
      </c>
      <c r="AD94" s="183">
        <f>SUMIFS('ноябрь 2025'!$G$2:$G$2583,'ноябрь 2025'!$D$2:$D$2583,$B94,'ноябрь 2025'!$J$2:$J$2583,AD$1)</f>
        <v>0</v>
      </c>
      <c r="AE94" s="183">
        <f>SUMIFS('ноябрь 2025'!$G$2:$G$2583,'ноябрь 2025'!$D$2:$D$2583,$B94,'ноябрь 2025'!$J$2:$J$2583,AE$1)</f>
        <v>0</v>
      </c>
      <c r="AF94" s="183">
        <f>SUMIFS('ноябрь 2025'!$G$2:$G$2583,'ноябрь 2025'!$D$2:$D$2583,$B94,'ноябрь 2025'!$J$2:$J$2583,AF$1)</f>
        <v>0</v>
      </c>
      <c r="AG94" s="183">
        <f>SUMIFS('ноябрь 2025'!$G$2:$G$2583,'ноябрь 2025'!$D$2:$D$2583,$B94,'ноябрь 2025'!$J$2:$J$2583,AG$1)</f>
        <v>0</v>
      </c>
      <c r="AH94" s="183">
        <f>SUMIFS('ноябрь 2025'!$G$2:$G$2583,'ноябрь 2025'!$D$2:$D$2583,$B94,'ноябрь 2025'!$J$2:$J$2583,AH$1)</f>
        <v>0</v>
      </c>
      <c r="AI94" s="20">
        <f t="shared" si="1"/>
        <v>0</v>
      </c>
    </row>
    <row r="95" spans="2:35" ht="15" customHeight="1" x14ac:dyDescent="0.25">
      <c r="B95" s="88" t="s">
        <v>309</v>
      </c>
      <c r="C95" s="86">
        <v>200</v>
      </c>
      <c r="D95" s="183">
        <f>SUMIFS('ноябрь 2025'!$G$2:$G$2583,'ноябрь 2025'!$D$2:$D$2583,$B95,'ноябрь 2025'!$J$2:$J$2583,D$1)</f>
        <v>32</v>
      </c>
      <c r="E95" s="183">
        <f>SUMIFS('ноябрь 2025'!$G$2:$G$2583,'ноябрь 2025'!$D$2:$D$2583,$B95,'ноябрь 2025'!$J$2:$J$2583,E$1)</f>
        <v>0</v>
      </c>
      <c r="F95" s="183">
        <f>SUMIFS('ноябрь 2025'!$G$2:$G$2583,'ноябрь 2025'!$D$2:$D$2583,$B95,'ноябрь 2025'!$J$2:$J$2583,F$1)</f>
        <v>0</v>
      </c>
      <c r="G95" s="183">
        <f>SUMIFS('ноябрь 2025'!$G$2:$G$2583,'ноябрь 2025'!$D$2:$D$2583,$B95,'ноябрь 2025'!$J$2:$J$2583,G$1)</f>
        <v>0</v>
      </c>
      <c r="H95" s="183">
        <f>SUMIFS('ноябрь 2025'!$G$2:$G$2583,'ноябрь 2025'!$D$2:$D$2583,$B95,'ноябрь 2025'!$J$2:$J$2583,H$1)</f>
        <v>0</v>
      </c>
      <c r="I95" s="183">
        <f>SUMIFS('ноябрь 2025'!$G$2:$G$2583,'ноябрь 2025'!$D$2:$D$2583,$B95,'ноябрь 2025'!$J$2:$J$2583,I$1)</f>
        <v>0</v>
      </c>
      <c r="J95" s="183">
        <f>SUMIFS('ноябрь 2025'!$G$2:$G$2583,'ноябрь 2025'!$D$2:$D$2583,$B95,'ноябрь 2025'!$J$2:$J$2583,J$1)</f>
        <v>0</v>
      </c>
      <c r="K95" s="183">
        <f>SUMIFS('ноябрь 2025'!$G$2:$G$2583,'ноябрь 2025'!$D$2:$D$2583,$B95,'ноябрь 2025'!$J$2:$J$2583,K$1)</f>
        <v>0</v>
      </c>
      <c r="L95" s="183">
        <f>SUMIFS('ноябрь 2025'!$G$2:$G$2583,'ноябрь 2025'!$D$2:$D$2583,$B95,'ноябрь 2025'!$J$2:$J$2583,L$1)</f>
        <v>0</v>
      </c>
      <c r="M95" s="183">
        <f>SUMIFS('ноябрь 2025'!$G$2:$G$2583,'ноябрь 2025'!$D$2:$D$2583,$B95,'ноябрь 2025'!$J$2:$J$2583,M$1)</f>
        <v>0</v>
      </c>
      <c r="N95" s="183">
        <f>SUMIFS('ноябрь 2025'!$G$2:$G$2583,'ноябрь 2025'!$D$2:$D$2583,$B95,'ноябрь 2025'!$J$2:$J$2583,N$1)</f>
        <v>0</v>
      </c>
      <c r="O95" s="183">
        <f>SUMIFS('ноябрь 2025'!$G$2:$G$2583,'ноябрь 2025'!$D$2:$D$2583,$B95,'ноябрь 2025'!$J$2:$J$2583,O$1)</f>
        <v>0</v>
      </c>
      <c r="P95" s="183">
        <f>SUMIFS('ноябрь 2025'!$G$2:$G$2583,'ноябрь 2025'!$D$2:$D$2583,$B95,'ноябрь 2025'!$J$2:$J$2583,P$1)</f>
        <v>0</v>
      </c>
      <c r="Q95" s="183">
        <f>SUMIFS('ноябрь 2025'!$G$2:$G$2583,'ноябрь 2025'!$D$2:$D$2583,$B95,'ноябрь 2025'!$J$2:$J$2583,Q$1)</f>
        <v>0</v>
      </c>
      <c r="R95" s="183">
        <f>SUMIFS('ноябрь 2025'!$G$2:$G$2583,'ноябрь 2025'!$D$2:$D$2583,$B95,'ноябрь 2025'!$J$2:$J$2583,R$1)</f>
        <v>0</v>
      </c>
      <c r="S95" s="183">
        <f>SUMIFS('ноябрь 2025'!$G$2:$G$2583,'ноябрь 2025'!$D$2:$D$2583,$B95,'ноябрь 2025'!$J$2:$J$2583,S$1)</f>
        <v>0</v>
      </c>
      <c r="T95" s="183">
        <f>SUMIFS('ноябрь 2025'!$G$2:$G$2583,'ноябрь 2025'!$D$2:$D$2583,$B95,'ноябрь 2025'!$J$2:$J$2583,T$1)</f>
        <v>0</v>
      </c>
      <c r="U95" s="183">
        <f>SUMIFS('ноябрь 2025'!$G$2:$G$2583,'ноябрь 2025'!$D$2:$D$2583,$B95,'ноябрь 2025'!$J$2:$J$2583,U$1)</f>
        <v>0</v>
      </c>
      <c r="V95" s="183">
        <f>SUMIFS('ноябрь 2025'!$G$2:$G$2583,'ноябрь 2025'!$D$2:$D$2583,$B95,'ноябрь 2025'!$J$2:$J$2583,V$1)</f>
        <v>0</v>
      </c>
      <c r="W95" s="183">
        <f>SUMIFS('ноябрь 2025'!$G$2:$G$2583,'ноябрь 2025'!$D$2:$D$2583,$B95,'ноябрь 2025'!$J$2:$J$2583,W$1)</f>
        <v>0</v>
      </c>
      <c r="X95" s="183">
        <f>SUMIFS('ноябрь 2025'!$G$2:$G$2583,'ноябрь 2025'!$D$2:$D$2583,$B95,'ноябрь 2025'!$J$2:$J$2583,X$1)</f>
        <v>0</v>
      </c>
      <c r="Y95" s="183">
        <f>SUMIFS('ноябрь 2025'!$G$2:$G$2583,'ноябрь 2025'!$D$2:$D$2583,$B95,'ноябрь 2025'!$J$2:$J$2583,Y$1)</f>
        <v>0</v>
      </c>
      <c r="Z95" s="183">
        <f>SUMIFS('ноябрь 2025'!$G$2:$G$2583,'ноябрь 2025'!$D$2:$D$2583,$B95,'ноябрь 2025'!$J$2:$J$2583,Z$1)</f>
        <v>0</v>
      </c>
      <c r="AA95" s="183">
        <f>SUMIFS('ноябрь 2025'!$G$2:$G$2583,'ноябрь 2025'!$D$2:$D$2583,$B95,'ноябрь 2025'!$J$2:$J$2583,AA$1)</f>
        <v>0</v>
      </c>
      <c r="AB95" s="183">
        <f>SUMIFS('ноябрь 2025'!$G$2:$G$2583,'ноябрь 2025'!$D$2:$D$2583,$B95,'ноябрь 2025'!$J$2:$J$2583,AB$1)</f>
        <v>0</v>
      </c>
      <c r="AC95" s="183">
        <f>SUMIFS('ноябрь 2025'!$G$2:$G$2583,'ноябрь 2025'!$D$2:$D$2583,$B95,'ноябрь 2025'!$J$2:$J$2583,AC$1)</f>
        <v>0</v>
      </c>
      <c r="AD95" s="183">
        <f>SUMIFS('ноябрь 2025'!$G$2:$G$2583,'ноябрь 2025'!$D$2:$D$2583,$B95,'ноябрь 2025'!$J$2:$J$2583,AD$1)</f>
        <v>0</v>
      </c>
      <c r="AE95" s="183">
        <f>SUMIFS('ноябрь 2025'!$G$2:$G$2583,'ноябрь 2025'!$D$2:$D$2583,$B95,'ноябрь 2025'!$J$2:$J$2583,AE$1)</f>
        <v>0</v>
      </c>
      <c r="AF95" s="183">
        <f>SUMIFS('ноябрь 2025'!$G$2:$G$2583,'ноябрь 2025'!$D$2:$D$2583,$B95,'ноябрь 2025'!$J$2:$J$2583,AF$1)</f>
        <v>0</v>
      </c>
      <c r="AG95" s="183">
        <f>SUMIFS('ноябрь 2025'!$G$2:$G$2583,'ноябрь 2025'!$D$2:$D$2583,$B95,'ноябрь 2025'!$J$2:$J$2583,AG$1)</f>
        <v>0</v>
      </c>
      <c r="AH95" s="183">
        <f>SUMIFS('ноябрь 2025'!$G$2:$G$2583,'ноябрь 2025'!$D$2:$D$2583,$B95,'ноябрь 2025'!$J$2:$J$2583,AH$1)</f>
        <v>0</v>
      </c>
      <c r="AI95" s="20">
        <f t="shared" si="1"/>
        <v>32</v>
      </c>
    </row>
    <row r="96" spans="2:35" ht="15" customHeight="1" x14ac:dyDescent="0.25">
      <c r="B96" s="88" t="s">
        <v>192</v>
      </c>
      <c r="C96" s="86">
        <v>900</v>
      </c>
      <c r="D96" s="183">
        <f>SUMIFS('ноябрь 2025'!$G$2:$G$2583,'ноябрь 2025'!$D$2:$D$2583,$B96,'ноябрь 2025'!$J$2:$J$2583,D$1)</f>
        <v>0</v>
      </c>
      <c r="E96" s="183">
        <f>SUMIFS('ноябрь 2025'!$G$2:$G$2583,'ноябрь 2025'!$D$2:$D$2583,$B96,'ноябрь 2025'!$J$2:$J$2583,E$1)</f>
        <v>0</v>
      </c>
      <c r="F96" s="183">
        <f>SUMIFS('ноябрь 2025'!$G$2:$G$2583,'ноябрь 2025'!$D$2:$D$2583,$B96,'ноябрь 2025'!$J$2:$J$2583,F$1)</f>
        <v>0</v>
      </c>
      <c r="G96" s="183">
        <f>SUMIFS('ноябрь 2025'!$G$2:$G$2583,'ноябрь 2025'!$D$2:$D$2583,$B96,'ноябрь 2025'!$J$2:$J$2583,G$1)</f>
        <v>0</v>
      </c>
      <c r="H96" s="183">
        <f>SUMIFS('ноябрь 2025'!$G$2:$G$2583,'ноябрь 2025'!$D$2:$D$2583,$B96,'ноябрь 2025'!$J$2:$J$2583,H$1)</f>
        <v>0</v>
      </c>
      <c r="I96" s="183">
        <f>SUMIFS('ноябрь 2025'!$G$2:$G$2583,'ноябрь 2025'!$D$2:$D$2583,$B96,'ноябрь 2025'!$J$2:$J$2583,I$1)</f>
        <v>0</v>
      </c>
      <c r="J96" s="183">
        <f>SUMIFS('ноябрь 2025'!$G$2:$G$2583,'ноябрь 2025'!$D$2:$D$2583,$B96,'ноябрь 2025'!$J$2:$J$2583,J$1)</f>
        <v>0</v>
      </c>
      <c r="K96" s="183">
        <f>SUMIFS('ноябрь 2025'!$G$2:$G$2583,'ноябрь 2025'!$D$2:$D$2583,$B96,'ноябрь 2025'!$J$2:$J$2583,K$1)</f>
        <v>0</v>
      </c>
      <c r="L96" s="183">
        <f>SUMIFS('ноябрь 2025'!$G$2:$G$2583,'ноябрь 2025'!$D$2:$D$2583,$B96,'ноябрь 2025'!$J$2:$J$2583,L$1)</f>
        <v>0</v>
      </c>
      <c r="M96" s="183">
        <f>SUMIFS('ноябрь 2025'!$G$2:$G$2583,'ноябрь 2025'!$D$2:$D$2583,$B96,'ноябрь 2025'!$J$2:$J$2583,M$1)</f>
        <v>0</v>
      </c>
      <c r="N96" s="183">
        <f>SUMIFS('ноябрь 2025'!$G$2:$G$2583,'ноябрь 2025'!$D$2:$D$2583,$B96,'ноябрь 2025'!$J$2:$J$2583,N$1)</f>
        <v>0</v>
      </c>
      <c r="O96" s="183">
        <f>SUMIFS('ноябрь 2025'!$G$2:$G$2583,'ноябрь 2025'!$D$2:$D$2583,$B96,'ноябрь 2025'!$J$2:$J$2583,O$1)</f>
        <v>0</v>
      </c>
      <c r="P96" s="183">
        <f>SUMIFS('ноябрь 2025'!$G$2:$G$2583,'ноябрь 2025'!$D$2:$D$2583,$B96,'ноябрь 2025'!$J$2:$J$2583,P$1)</f>
        <v>0</v>
      </c>
      <c r="Q96" s="183">
        <f>SUMIFS('ноябрь 2025'!$G$2:$G$2583,'ноябрь 2025'!$D$2:$D$2583,$B96,'ноябрь 2025'!$J$2:$J$2583,Q$1)</f>
        <v>0</v>
      </c>
      <c r="R96" s="183">
        <f>SUMIFS('ноябрь 2025'!$G$2:$G$2583,'ноябрь 2025'!$D$2:$D$2583,$B96,'ноябрь 2025'!$J$2:$J$2583,R$1)</f>
        <v>0</v>
      </c>
      <c r="S96" s="183">
        <f>SUMIFS('ноябрь 2025'!$G$2:$G$2583,'ноябрь 2025'!$D$2:$D$2583,$B96,'ноябрь 2025'!$J$2:$J$2583,S$1)</f>
        <v>0</v>
      </c>
      <c r="T96" s="183">
        <f>SUMIFS('ноябрь 2025'!$G$2:$G$2583,'ноябрь 2025'!$D$2:$D$2583,$B96,'ноябрь 2025'!$J$2:$J$2583,T$1)</f>
        <v>0</v>
      </c>
      <c r="U96" s="183">
        <f>SUMIFS('ноябрь 2025'!$G$2:$G$2583,'ноябрь 2025'!$D$2:$D$2583,$B96,'ноябрь 2025'!$J$2:$J$2583,U$1)</f>
        <v>0</v>
      </c>
      <c r="V96" s="183">
        <f>SUMIFS('ноябрь 2025'!$G$2:$G$2583,'ноябрь 2025'!$D$2:$D$2583,$B96,'ноябрь 2025'!$J$2:$J$2583,V$1)</f>
        <v>0</v>
      </c>
      <c r="W96" s="183">
        <f>SUMIFS('ноябрь 2025'!$G$2:$G$2583,'ноябрь 2025'!$D$2:$D$2583,$B96,'ноябрь 2025'!$J$2:$J$2583,W$1)</f>
        <v>0</v>
      </c>
      <c r="X96" s="183">
        <f>SUMIFS('ноябрь 2025'!$G$2:$G$2583,'ноябрь 2025'!$D$2:$D$2583,$B96,'ноябрь 2025'!$J$2:$J$2583,X$1)</f>
        <v>0</v>
      </c>
      <c r="Y96" s="183">
        <f>SUMIFS('ноябрь 2025'!$G$2:$G$2583,'ноябрь 2025'!$D$2:$D$2583,$B96,'ноябрь 2025'!$J$2:$J$2583,Y$1)</f>
        <v>0</v>
      </c>
      <c r="Z96" s="183">
        <f>SUMIFS('ноябрь 2025'!$G$2:$G$2583,'ноябрь 2025'!$D$2:$D$2583,$B96,'ноябрь 2025'!$J$2:$J$2583,Z$1)</f>
        <v>0</v>
      </c>
      <c r="AA96" s="183">
        <f>SUMIFS('ноябрь 2025'!$G$2:$G$2583,'ноябрь 2025'!$D$2:$D$2583,$B96,'ноябрь 2025'!$J$2:$J$2583,AA$1)</f>
        <v>0</v>
      </c>
      <c r="AB96" s="183">
        <f>SUMIFS('ноябрь 2025'!$G$2:$G$2583,'ноябрь 2025'!$D$2:$D$2583,$B96,'ноябрь 2025'!$J$2:$J$2583,AB$1)</f>
        <v>0</v>
      </c>
      <c r="AC96" s="183">
        <f>SUMIFS('ноябрь 2025'!$G$2:$G$2583,'ноябрь 2025'!$D$2:$D$2583,$B96,'ноябрь 2025'!$J$2:$J$2583,AC$1)</f>
        <v>0</v>
      </c>
      <c r="AD96" s="183">
        <f>SUMIFS('ноябрь 2025'!$G$2:$G$2583,'ноябрь 2025'!$D$2:$D$2583,$B96,'ноябрь 2025'!$J$2:$J$2583,AD$1)</f>
        <v>0</v>
      </c>
      <c r="AE96" s="183">
        <f>SUMIFS('ноябрь 2025'!$G$2:$G$2583,'ноябрь 2025'!$D$2:$D$2583,$B96,'ноябрь 2025'!$J$2:$J$2583,AE$1)</f>
        <v>0</v>
      </c>
      <c r="AF96" s="183">
        <f>SUMIFS('ноябрь 2025'!$G$2:$G$2583,'ноябрь 2025'!$D$2:$D$2583,$B96,'ноябрь 2025'!$J$2:$J$2583,AF$1)</f>
        <v>0</v>
      </c>
      <c r="AG96" s="183">
        <f>SUMIFS('ноябрь 2025'!$G$2:$G$2583,'ноябрь 2025'!$D$2:$D$2583,$B96,'ноябрь 2025'!$J$2:$J$2583,AG$1)</f>
        <v>0</v>
      </c>
      <c r="AH96" s="183">
        <f>SUMIFS('ноябрь 2025'!$G$2:$G$2583,'ноябрь 2025'!$D$2:$D$2583,$B96,'ноябрь 2025'!$J$2:$J$2583,AH$1)</f>
        <v>0</v>
      </c>
      <c r="AI96" s="20">
        <f t="shared" si="1"/>
        <v>0</v>
      </c>
    </row>
    <row r="97" spans="2:35" ht="15" customHeight="1" x14ac:dyDescent="0.25">
      <c r="B97" s="84" t="s">
        <v>186</v>
      </c>
      <c r="C97" s="83">
        <v>190</v>
      </c>
      <c r="D97" s="183">
        <f>SUMIFS('ноябрь 2025'!$G$2:$G$2583,'ноябрь 2025'!$D$2:$D$2583,$B97,'ноябрь 2025'!$J$2:$J$2583,D$1)</f>
        <v>0</v>
      </c>
      <c r="E97" s="183">
        <f>SUMIFS('ноябрь 2025'!$G$2:$G$2583,'ноябрь 2025'!$D$2:$D$2583,$B97,'ноябрь 2025'!$J$2:$J$2583,E$1)</f>
        <v>0</v>
      </c>
      <c r="F97" s="183">
        <f>SUMIFS('ноябрь 2025'!$G$2:$G$2583,'ноябрь 2025'!$D$2:$D$2583,$B97,'ноябрь 2025'!$J$2:$J$2583,F$1)</f>
        <v>0</v>
      </c>
      <c r="G97" s="183">
        <f>SUMIFS('ноябрь 2025'!$G$2:$G$2583,'ноябрь 2025'!$D$2:$D$2583,$B97,'ноябрь 2025'!$J$2:$J$2583,G$1)</f>
        <v>0</v>
      </c>
      <c r="H97" s="183">
        <f>SUMIFS('ноябрь 2025'!$G$2:$G$2583,'ноябрь 2025'!$D$2:$D$2583,$B97,'ноябрь 2025'!$J$2:$J$2583,H$1)</f>
        <v>0</v>
      </c>
      <c r="I97" s="183">
        <f>SUMIFS('ноябрь 2025'!$G$2:$G$2583,'ноябрь 2025'!$D$2:$D$2583,$B97,'ноябрь 2025'!$J$2:$J$2583,I$1)</f>
        <v>0</v>
      </c>
      <c r="J97" s="183">
        <f>SUMIFS('ноябрь 2025'!$G$2:$G$2583,'ноябрь 2025'!$D$2:$D$2583,$B97,'ноябрь 2025'!$J$2:$J$2583,J$1)</f>
        <v>0</v>
      </c>
      <c r="K97" s="183">
        <f>SUMIFS('ноябрь 2025'!$G$2:$G$2583,'ноябрь 2025'!$D$2:$D$2583,$B97,'ноябрь 2025'!$J$2:$J$2583,K$1)</f>
        <v>0</v>
      </c>
      <c r="L97" s="183">
        <f>SUMIFS('ноябрь 2025'!$G$2:$G$2583,'ноябрь 2025'!$D$2:$D$2583,$B97,'ноябрь 2025'!$J$2:$J$2583,L$1)</f>
        <v>0</v>
      </c>
      <c r="M97" s="183">
        <f>SUMIFS('ноябрь 2025'!$G$2:$G$2583,'ноябрь 2025'!$D$2:$D$2583,$B97,'ноябрь 2025'!$J$2:$J$2583,M$1)</f>
        <v>0</v>
      </c>
      <c r="N97" s="183">
        <f>SUMIFS('ноябрь 2025'!$G$2:$G$2583,'ноябрь 2025'!$D$2:$D$2583,$B97,'ноябрь 2025'!$J$2:$J$2583,N$1)</f>
        <v>0</v>
      </c>
      <c r="O97" s="183">
        <f>SUMIFS('ноябрь 2025'!$G$2:$G$2583,'ноябрь 2025'!$D$2:$D$2583,$B97,'ноябрь 2025'!$J$2:$J$2583,O$1)</f>
        <v>0</v>
      </c>
      <c r="P97" s="183">
        <f>SUMIFS('ноябрь 2025'!$G$2:$G$2583,'ноябрь 2025'!$D$2:$D$2583,$B97,'ноябрь 2025'!$J$2:$J$2583,P$1)</f>
        <v>0</v>
      </c>
      <c r="Q97" s="183">
        <f>SUMIFS('ноябрь 2025'!$G$2:$G$2583,'ноябрь 2025'!$D$2:$D$2583,$B97,'ноябрь 2025'!$J$2:$J$2583,Q$1)</f>
        <v>0</v>
      </c>
      <c r="R97" s="183">
        <f>SUMIFS('ноябрь 2025'!$G$2:$G$2583,'ноябрь 2025'!$D$2:$D$2583,$B97,'ноябрь 2025'!$J$2:$J$2583,R$1)</f>
        <v>0</v>
      </c>
      <c r="S97" s="183">
        <f>SUMIFS('ноябрь 2025'!$G$2:$G$2583,'ноябрь 2025'!$D$2:$D$2583,$B97,'ноябрь 2025'!$J$2:$J$2583,S$1)</f>
        <v>0</v>
      </c>
      <c r="T97" s="183">
        <f>SUMIFS('ноябрь 2025'!$G$2:$G$2583,'ноябрь 2025'!$D$2:$D$2583,$B97,'ноябрь 2025'!$J$2:$J$2583,T$1)</f>
        <v>0</v>
      </c>
      <c r="U97" s="183">
        <f>SUMIFS('ноябрь 2025'!$G$2:$G$2583,'ноябрь 2025'!$D$2:$D$2583,$B97,'ноябрь 2025'!$J$2:$J$2583,U$1)</f>
        <v>0</v>
      </c>
      <c r="V97" s="183">
        <f>SUMIFS('ноябрь 2025'!$G$2:$G$2583,'ноябрь 2025'!$D$2:$D$2583,$B97,'ноябрь 2025'!$J$2:$J$2583,V$1)</f>
        <v>0</v>
      </c>
      <c r="W97" s="183">
        <f>SUMIFS('ноябрь 2025'!$G$2:$G$2583,'ноябрь 2025'!$D$2:$D$2583,$B97,'ноябрь 2025'!$J$2:$J$2583,W$1)</f>
        <v>0</v>
      </c>
      <c r="X97" s="183">
        <f>SUMIFS('ноябрь 2025'!$G$2:$G$2583,'ноябрь 2025'!$D$2:$D$2583,$B97,'ноябрь 2025'!$J$2:$J$2583,X$1)</f>
        <v>0</v>
      </c>
      <c r="Y97" s="183">
        <f>SUMIFS('ноябрь 2025'!$G$2:$G$2583,'ноябрь 2025'!$D$2:$D$2583,$B97,'ноябрь 2025'!$J$2:$J$2583,Y$1)</f>
        <v>0</v>
      </c>
      <c r="Z97" s="183">
        <f>SUMIFS('ноябрь 2025'!$G$2:$G$2583,'ноябрь 2025'!$D$2:$D$2583,$B97,'ноябрь 2025'!$J$2:$J$2583,Z$1)</f>
        <v>0</v>
      </c>
      <c r="AA97" s="183">
        <f>SUMIFS('ноябрь 2025'!$G$2:$G$2583,'ноябрь 2025'!$D$2:$D$2583,$B97,'ноябрь 2025'!$J$2:$J$2583,AA$1)</f>
        <v>0</v>
      </c>
      <c r="AB97" s="183">
        <f>SUMIFS('ноябрь 2025'!$G$2:$G$2583,'ноябрь 2025'!$D$2:$D$2583,$B97,'ноябрь 2025'!$J$2:$J$2583,AB$1)</f>
        <v>0</v>
      </c>
      <c r="AC97" s="183">
        <f>SUMIFS('ноябрь 2025'!$G$2:$G$2583,'ноябрь 2025'!$D$2:$D$2583,$B97,'ноябрь 2025'!$J$2:$J$2583,AC$1)</f>
        <v>0</v>
      </c>
      <c r="AD97" s="183">
        <f>SUMIFS('ноябрь 2025'!$G$2:$G$2583,'ноябрь 2025'!$D$2:$D$2583,$B97,'ноябрь 2025'!$J$2:$J$2583,AD$1)</f>
        <v>0</v>
      </c>
      <c r="AE97" s="183">
        <f>SUMIFS('ноябрь 2025'!$G$2:$G$2583,'ноябрь 2025'!$D$2:$D$2583,$B97,'ноябрь 2025'!$J$2:$J$2583,AE$1)</f>
        <v>0</v>
      </c>
      <c r="AF97" s="183">
        <f>SUMIFS('ноябрь 2025'!$G$2:$G$2583,'ноябрь 2025'!$D$2:$D$2583,$B97,'ноябрь 2025'!$J$2:$J$2583,AF$1)</f>
        <v>0</v>
      </c>
      <c r="AG97" s="183">
        <f>SUMIFS('ноябрь 2025'!$G$2:$G$2583,'ноябрь 2025'!$D$2:$D$2583,$B97,'ноябрь 2025'!$J$2:$J$2583,AG$1)</f>
        <v>0</v>
      </c>
      <c r="AH97" s="183">
        <f>SUMIFS('ноябрь 2025'!$G$2:$G$2583,'ноябрь 2025'!$D$2:$D$2583,$B97,'ноябрь 2025'!$J$2:$J$2583,AH$1)</f>
        <v>0</v>
      </c>
      <c r="AI97" s="20">
        <f t="shared" si="1"/>
        <v>0</v>
      </c>
    </row>
    <row r="98" spans="2:35" ht="15" customHeight="1" x14ac:dyDescent="0.25">
      <c r="B98" s="84" t="s">
        <v>205</v>
      </c>
      <c r="C98" s="83">
        <v>190</v>
      </c>
      <c r="D98" s="183">
        <f>SUMIFS('ноябрь 2025'!$G$2:$G$2583,'ноябрь 2025'!$D$2:$D$2583,$B98,'ноябрь 2025'!$J$2:$J$2583,D$1)</f>
        <v>0</v>
      </c>
      <c r="E98" s="183">
        <f>SUMIFS('ноябрь 2025'!$G$2:$G$2583,'ноябрь 2025'!$D$2:$D$2583,$B98,'ноябрь 2025'!$J$2:$J$2583,E$1)</f>
        <v>0</v>
      </c>
      <c r="F98" s="183">
        <f>SUMIFS('ноябрь 2025'!$G$2:$G$2583,'ноябрь 2025'!$D$2:$D$2583,$B98,'ноябрь 2025'!$J$2:$J$2583,F$1)</f>
        <v>0</v>
      </c>
      <c r="G98" s="183">
        <f>SUMIFS('ноябрь 2025'!$G$2:$G$2583,'ноябрь 2025'!$D$2:$D$2583,$B98,'ноябрь 2025'!$J$2:$J$2583,G$1)</f>
        <v>0</v>
      </c>
      <c r="H98" s="183">
        <f>SUMIFS('ноябрь 2025'!$G$2:$G$2583,'ноябрь 2025'!$D$2:$D$2583,$B98,'ноябрь 2025'!$J$2:$J$2583,H$1)</f>
        <v>0</v>
      </c>
      <c r="I98" s="183">
        <f>SUMIFS('ноябрь 2025'!$G$2:$G$2583,'ноябрь 2025'!$D$2:$D$2583,$B98,'ноябрь 2025'!$J$2:$J$2583,I$1)</f>
        <v>0</v>
      </c>
      <c r="J98" s="183">
        <f>SUMIFS('ноябрь 2025'!$G$2:$G$2583,'ноябрь 2025'!$D$2:$D$2583,$B98,'ноябрь 2025'!$J$2:$J$2583,J$1)</f>
        <v>0</v>
      </c>
      <c r="K98" s="183">
        <f>SUMIFS('ноябрь 2025'!$G$2:$G$2583,'ноябрь 2025'!$D$2:$D$2583,$B98,'ноябрь 2025'!$J$2:$J$2583,K$1)</f>
        <v>0</v>
      </c>
      <c r="L98" s="183">
        <f>SUMIFS('ноябрь 2025'!$G$2:$G$2583,'ноябрь 2025'!$D$2:$D$2583,$B98,'ноябрь 2025'!$J$2:$J$2583,L$1)</f>
        <v>0</v>
      </c>
      <c r="M98" s="183">
        <f>SUMIFS('ноябрь 2025'!$G$2:$G$2583,'ноябрь 2025'!$D$2:$D$2583,$B98,'ноябрь 2025'!$J$2:$J$2583,M$1)</f>
        <v>0</v>
      </c>
      <c r="N98" s="183">
        <f>SUMIFS('ноябрь 2025'!$G$2:$G$2583,'ноябрь 2025'!$D$2:$D$2583,$B98,'ноябрь 2025'!$J$2:$J$2583,N$1)</f>
        <v>0</v>
      </c>
      <c r="O98" s="183">
        <f>SUMIFS('ноябрь 2025'!$G$2:$G$2583,'ноябрь 2025'!$D$2:$D$2583,$B98,'ноябрь 2025'!$J$2:$J$2583,O$1)</f>
        <v>0</v>
      </c>
      <c r="P98" s="183">
        <f>SUMIFS('ноябрь 2025'!$G$2:$G$2583,'ноябрь 2025'!$D$2:$D$2583,$B98,'ноябрь 2025'!$J$2:$J$2583,P$1)</f>
        <v>0</v>
      </c>
      <c r="Q98" s="183">
        <f>SUMIFS('ноябрь 2025'!$G$2:$G$2583,'ноябрь 2025'!$D$2:$D$2583,$B98,'ноябрь 2025'!$J$2:$J$2583,Q$1)</f>
        <v>0</v>
      </c>
      <c r="R98" s="183">
        <f>SUMIFS('ноябрь 2025'!$G$2:$G$2583,'ноябрь 2025'!$D$2:$D$2583,$B98,'ноябрь 2025'!$J$2:$J$2583,R$1)</f>
        <v>0</v>
      </c>
      <c r="S98" s="183">
        <f>SUMIFS('ноябрь 2025'!$G$2:$G$2583,'ноябрь 2025'!$D$2:$D$2583,$B98,'ноябрь 2025'!$J$2:$J$2583,S$1)</f>
        <v>0</v>
      </c>
      <c r="T98" s="183">
        <f>SUMIFS('ноябрь 2025'!$G$2:$G$2583,'ноябрь 2025'!$D$2:$D$2583,$B98,'ноябрь 2025'!$J$2:$J$2583,T$1)</f>
        <v>0</v>
      </c>
      <c r="U98" s="183">
        <f>SUMIFS('ноябрь 2025'!$G$2:$G$2583,'ноябрь 2025'!$D$2:$D$2583,$B98,'ноябрь 2025'!$J$2:$J$2583,U$1)</f>
        <v>0</v>
      </c>
      <c r="V98" s="183">
        <f>SUMIFS('ноябрь 2025'!$G$2:$G$2583,'ноябрь 2025'!$D$2:$D$2583,$B98,'ноябрь 2025'!$J$2:$J$2583,V$1)</f>
        <v>0</v>
      </c>
      <c r="W98" s="183">
        <f>SUMIFS('ноябрь 2025'!$G$2:$G$2583,'ноябрь 2025'!$D$2:$D$2583,$B98,'ноябрь 2025'!$J$2:$J$2583,W$1)</f>
        <v>0</v>
      </c>
      <c r="X98" s="183">
        <f>SUMIFS('ноябрь 2025'!$G$2:$G$2583,'ноябрь 2025'!$D$2:$D$2583,$B98,'ноябрь 2025'!$J$2:$J$2583,X$1)</f>
        <v>0</v>
      </c>
      <c r="Y98" s="183">
        <f>SUMIFS('ноябрь 2025'!$G$2:$G$2583,'ноябрь 2025'!$D$2:$D$2583,$B98,'ноябрь 2025'!$J$2:$J$2583,Y$1)</f>
        <v>0</v>
      </c>
      <c r="Z98" s="183">
        <f>SUMIFS('ноябрь 2025'!$G$2:$G$2583,'ноябрь 2025'!$D$2:$D$2583,$B98,'ноябрь 2025'!$J$2:$J$2583,Z$1)</f>
        <v>0</v>
      </c>
      <c r="AA98" s="183">
        <f>SUMIFS('ноябрь 2025'!$G$2:$G$2583,'ноябрь 2025'!$D$2:$D$2583,$B98,'ноябрь 2025'!$J$2:$J$2583,AA$1)</f>
        <v>0</v>
      </c>
      <c r="AB98" s="183">
        <f>SUMIFS('ноябрь 2025'!$G$2:$G$2583,'ноябрь 2025'!$D$2:$D$2583,$B98,'ноябрь 2025'!$J$2:$J$2583,AB$1)</f>
        <v>0</v>
      </c>
      <c r="AC98" s="183">
        <f>SUMIFS('ноябрь 2025'!$G$2:$G$2583,'ноябрь 2025'!$D$2:$D$2583,$B98,'ноябрь 2025'!$J$2:$J$2583,AC$1)</f>
        <v>0</v>
      </c>
      <c r="AD98" s="183">
        <f>SUMIFS('ноябрь 2025'!$G$2:$G$2583,'ноябрь 2025'!$D$2:$D$2583,$B98,'ноябрь 2025'!$J$2:$J$2583,AD$1)</f>
        <v>0</v>
      </c>
      <c r="AE98" s="183">
        <f>SUMIFS('ноябрь 2025'!$G$2:$G$2583,'ноябрь 2025'!$D$2:$D$2583,$B98,'ноябрь 2025'!$J$2:$J$2583,AE$1)</f>
        <v>0</v>
      </c>
      <c r="AF98" s="183">
        <f>SUMIFS('ноябрь 2025'!$G$2:$G$2583,'ноябрь 2025'!$D$2:$D$2583,$B98,'ноябрь 2025'!$J$2:$J$2583,AF$1)</f>
        <v>0</v>
      </c>
      <c r="AG98" s="183">
        <f>SUMIFS('ноябрь 2025'!$G$2:$G$2583,'ноябрь 2025'!$D$2:$D$2583,$B98,'ноябрь 2025'!$J$2:$J$2583,AG$1)</f>
        <v>0</v>
      </c>
      <c r="AH98" s="183">
        <f>SUMIFS('ноябрь 2025'!$G$2:$G$2583,'ноябрь 2025'!$D$2:$D$2583,$B98,'ноябрь 2025'!$J$2:$J$2583,AH$1)</f>
        <v>0</v>
      </c>
      <c r="AI98" s="20">
        <f t="shared" si="1"/>
        <v>0</v>
      </c>
    </row>
    <row r="99" spans="2:35" ht="15" customHeight="1" x14ac:dyDescent="0.25">
      <c r="B99" s="88" t="s">
        <v>173</v>
      </c>
      <c r="C99" s="83">
        <v>190</v>
      </c>
      <c r="D99" s="183">
        <f>SUMIFS('ноябрь 2025'!$G$2:$G$2583,'ноябрь 2025'!$D$2:$D$2583,$B99,'ноябрь 2025'!$J$2:$J$2583,D$1)</f>
        <v>0</v>
      </c>
      <c r="E99" s="183">
        <f>SUMIFS('ноябрь 2025'!$G$2:$G$2583,'ноябрь 2025'!$D$2:$D$2583,$B99,'ноябрь 2025'!$J$2:$J$2583,E$1)</f>
        <v>0</v>
      </c>
      <c r="F99" s="183">
        <f>SUMIFS('ноябрь 2025'!$G$2:$G$2583,'ноябрь 2025'!$D$2:$D$2583,$B99,'ноябрь 2025'!$J$2:$J$2583,F$1)</f>
        <v>0</v>
      </c>
      <c r="G99" s="183">
        <f>SUMIFS('ноябрь 2025'!$G$2:$G$2583,'ноябрь 2025'!$D$2:$D$2583,$B99,'ноябрь 2025'!$J$2:$J$2583,G$1)</f>
        <v>0</v>
      </c>
      <c r="H99" s="183">
        <f>SUMIFS('ноябрь 2025'!$G$2:$G$2583,'ноябрь 2025'!$D$2:$D$2583,$B99,'ноябрь 2025'!$J$2:$J$2583,H$1)</f>
        <v>0</v>
      </c>
      <c r="I99" s="183">
        <f>SUMIFS('ноябрь 2025'!$G$2:$G$2583,'ноябрь 2025'!$D$2:$D$2583,$B99,'ноябрь 2025'!$J$2:$J$2583,I$1)</f>
        <v>0</v>
      </c>
      <c r="J99" s="183">
        <f>SUMIFS('ноябрь 2025'!$G$2:$G$2583,'ноябрь 2025'!$D$2:$D$2583,$B99,'ноябрь 2025'!$J$2:$J$2583,J$1)</f>
        <v>0</v>
      </c>
      <c r="K99" s="183">
        <f>SUMIFS('ноябрь 2025'!$G$2:$G$2583,'ноябрь 2025'!$D$2:$D$2583,$B99,'ноябрь 2025'!$J$2:$J$2583,K$1)</f>
        <v>0</v>
      </c>
      <c r="L99" s="183">
        <f>SUMIFS('ноябрь 2025'!$G$2:$G$2583,'ноябрь 2025'!$D$2:$D$2583,$B99,'ноябрь 2025'!$J$2:$J$2583,L$1)</f>
        <v>0</v>
      </c>
      <c r="M99" s="183">
        <f>SUMIFS('ноябрь 2025'!$G$2:$G$2583,'ноябрь 2025'!$D$2:$D$2583,$B99,'ноябрь 2025'!$J$2:$J$2583,M$1)</f>
        <v>0</v>
      </c>
      <c r="N99" s="183">
        <f>SUMIFS('ноябрь 2025'!$G$2:$G$2583,'ноябрь 2025'!$D$2:$D$2583,$B99,'ноябрь 2025'!$J$2:$J$2583,N$1)</f>
        <v>0</v>
      </c>
      <c r="O99" s="183">
        <f>SUMIFS('ноябрь 2025'!$G$2:$G$2583,'ноябрь 2025'!$D$2:$D$2583,$B99,'ноябрь 2025'!$J$2:$J$2583,O$1)</f>
        <v>0</v>
      </c>
      <c r="P99" s="183">
        <f>SUMIFS('ноябрь 2025'!$G$2:$G$2583,'ноябрь 2025'!$D$2:$D$2583,$B99,'ноябрь 2025'!$J$2:$J$2583,P$1)</f>
        <v>0</v>
      </c>
      <c r="Q99" s="183">
        <f>SUMIFS('ноябрь 2025'!$G$2:$G$2583,'ноябрь 2025'!$D$2:$D$2583,$B99,'ноябрь 2025'!$J$2:$J$2583,Q$1)</f>
        <v>0</v>
      </c>
      <c r="R99" s="183">
        <f>SUMIFS('ноябрь 2025'!$G$2:$G$2583,'ноябрь 2025'!$D$2:$D$2583,$B99,'ноябрь 2025'!$J$2:$J$2583,R$1)</f>
        <v>0</v>
      </c>
      <c r="S99" s="183">
        <f>SUMIFS('ноябрь 2025'!$G$2:$G$2583,'ноябрь 2025'!$D$2:$D$2583,$B99,'ноябрь 2025'!$J$2:$J$2583,S$1)</f>
        <v>0</v>
      </c>
      <c r="T99" s="183">
        <f>SUMIFS('ноябрь 2025'!$G$2:$G$2583,'ноябрь 2025'!$D$2:$D$2583,$B99,'ноябрь 2025'!$J$2:$J$2583,T$1)</f>
        <v>0</v>
      </c>
      <c r="U99" s="183">
        <f>SUMIFS('ноябрь 2025'!$G$2:$G$2583,'ноябрь 2025'!$D$2:$D$2583,$B99,'ноябрь 2025'!$J$2:$J$2583,U$1)</f>
        <v>0</v>
      </c>
      <c r="V99" s="183">
        <f>SUMIFS('ноябрь 2025'!$G$2:$G$2583,'ноябрь 2025'!$D$2:$D$2583,$B99,'ноябрь 2025'!$J$2:$J$2583,V$1)</f>
        <v>0</v>
      </c>
      <c r="W99" s="183">
        <f>SUMIFS('ноябрь 2025'!$G$2:$G$2583,'ноябрь 2025'!$D$2:$D$2583,$B99,'ноябрь 2025'!$J$2:$J$2583,W$1)</f>
        <v>0</v>
      </c>
      <c r="X99" s="183">
        <f>SUMIFS('ноябрь 2025'!$G$2:$G$2583,'ноябрь 2025'!$D$2:$D$2583,$B99,'ноябрь 2025'!$J$2:$J$2583,X$1)</f>
        <v>0</v>
      </c>
      <c r="Y99" s="183">
        <f>SUMIFS('ноябрь 2025'!$G$2:$G$2583,'ноябрь 2025'!$D$2:$D$2583,$B99,'ноябрь 2025'!$J$2:$J$2583,Y$1)</f>
        <v>0</v>
      </c>
      <c r="Z99" s="183">
        <f>SUMIFS('ноябрь 2025'!$G$2:$G$2583,'ноябрь 2025'!$D$2:$D$2583,$B99,'ноябрь 2025'!$J$2:$J$2583,Z$1)</f>
        <v>0</v>
      </c>
      <c r="AA99" s="183">
        <f>SUMIFS('ноябрь 2025'!$G$2:$G$2583,'ноябрь 2025'!$D$2:$D$2583,$B99,'ноябрь 2025'!$J$2:$J$2583,AA$1)</f>
        <v>0</v>
      </c>
      <c r="AB99" s="183">
        <f>SUMIFS('ноябрь 2025'!$G$2:$G$2583,'ноябрь 2025'!$D$2:$D$2583,$B99,'ноябрь 2025'!$J$2:$J$2583,AB$1)</f>
        <v>0</v>
      </c>
      <c r="AC99" s="183">
        <f>SUMIFS('ноябрь 2025'!$G$2:$G$2583,'ноябрь 2025'!$D$2:$D$2583,$B99,'ноябрь 2025'!$J$2:$J$2583,AC$1)</f>
        <v>0</v>
      </c>
      <c r="AD99" s="183">
        <f>SUMIFS('ноябрь 2025'!$G$2:$G$2583,'ноябрь 2025'!$D$2:$D$2583,$B99,'ноябрь 2025'!$J$2:$J$2583,AD$1)</f>
        <v>0</v>
      </c>
      <c r="AE99" s="183">
        <f>SUMIFS('ноябрь 2025'!$G$2:$G$2583,'ноябрь 2025'!$D$2:$D$2583,$B99,'ноябрь 2025'!$J$2:$J$2583,AE$1)</f>
        <v>0</v>
      </c>
      <c r="AF99" s="183">
        <f>SUMIFS('ноябрь 2025'!$G$2:$G$2583,'ноябрь 2025'!$D$2:$D$2583,$B99,'ноябрь 2025'!$J$2:$J$2583,AF$1)</f>
        <v>0</v>
      </c>
      <c r="AG99" s="183">
        <f>SUMIFS('ноябрь 2025'!$G$2:$G$2583,'ноябрь 2025'!$D$2:$D$2583,$B99,'ноябрь 2025'!$J$2:$J$2583,AG$1)</f>
        <v>0</v>
      </c>
      <c r="AH99" s="183">
        <f>SUMIFS('ноябрь 2025'!$G$2:$G$2583,'ноябрь 2025'!$D$2:$D$2583,$B99,'ноябрь 2025'!$J$2:$J$2583,AH$1)</f>
        <v>0</v>
      </c>
      <c r="AI99" s="20">
        <f t="shared" si="1"/>
        <v>0</v>
      </c>
    </row>
    <row r="100" spans="2:35" ht="15" customHeight="1" x14ac:dyDescent="0.25">
      <c r="B100" s="88" t="s">
        <v>182</v>
      </c>
      <c r="C100" s="86">
        <v>180</v>
      </c>
      <c r="D100" s="183">
        <f>SUMIFS('ноябрь 2025'!$G$2:$G$2583,'ноябрь 2025'!$D$2:$D$2583,$B100,'ноябрь 2025'!$J$2:$J$2583,D$1)</f>
        <v>0</v>
      </c>
      <c r="E100" s="183">
        <f>SUMIFS('ноябрь 2025'!$G$2:$G$2583,'ноябрь 2025'!$D$2:$D$2583,$B100,'ноябрь 2025'!$J$2:$J$2583,E$1)</f>
        <v>0</v>
      </c>
      <c r="F100" s="183">
        <f>SUMIFS('ноябрь 2025'!$G$2:$G$2583,'ноябрь 2025'!$D$2:$D$2583,$B100,'ноябрь 2025'!$J$2:$J$2583,F$1)</f>
        <v>0</v>
      </c>
      <c r="G100" s="183">
        <f>SUMIFS('ноябрь 2025'!$G$2:$G$2583,'ноябрь 2025'!$D$2:$D$2583,$B100,'ноябрь 2025'!$J$2:$J$2583,G$1)</f>
        <v>0</v>
      </c>
      <c r="H100" s="183">
        <f>SUMIFS('ноябрь 2025'!$G$2:$G$2583,'ноябрь 2025'!$D$2:$D$2583,$B100,'ноябрь 2025'!$J$2:$J$2583,H$1)</f>
        <v>0</v>
      </c>
      <c r="I100" s="183">
        <f>SUMIFS('ноябрь 2025'!$G$2:$G$2583,'ноябрь 2025'!$D$2:$D$2583,$B100,'ноябрь 2025'!$J$2:$J$2583,I$1)</f>
        <v>0</v>
      </c>
      <c r="J100" s="183">
        <f>SUMIFS('ноябрь 2025'!$G$2:$G$2583,'ноябрь 2025'!$D$2:$D$2583,$B100,'ноябрь 2025'!$J$2:$J$2583,J$1)</f>
        <v>0</v>
      </c>
      <c r="K100" s="183">
        <f>SUMIFS('ноябрь 2025'!$G$2:$G$2583,'ноябрь 2025'!$D$2:$D$2583,$B100,'ноябрь 2025'!$J$2:$J$2583,K$1)</f>
        <v>0</v>
      </c>
      <c r="L100" s="183">
        <f>SUMIFS('ноябрь 2025'!$G$2:$G$2583,'ноябрь 2025'!$D$2:$D$2583,$B100,'ноябрь 2025'!$J$2:$J$2583,L$1)</f>
        <v>0</v>
      </c>
      <c r="M100" s="183">
        <f>SUMIFS('ноябрь 2025'!$G$2:$G$2583,'ноябрь 2025'!$D$2:$D$2583,$B100,'ноябрь 2025'!$J$2:$J$2583,M$1)</f>
        <v>0</v>
      </c>
      <c r="N100" s="183">
        <f>SUMIFS('ноябрь 2025'!$G$2:$G$2583,'ноябрь 2025'!$D$2:$D$2583,$B100,'ноябрь 2025'!$J$2:$J$2583,N$1)</f>
        <v>0</v>
      </c>
      <c r="O100" s="183">
        <f>SUMIFS('ноябрь 2025'!$G$2:$G$2583,'ноябрь 2025'!$D$2:$D$2583,$B100,'ноябрь 2025'!$J$2:$J$2583,O$1)</f>
        <v>0</v>
      </c>
      <c r="P100" s="183">
        <f>SUMIFS('ноябрь 2025'!$G$2:$G$2583,'ноябрь 2025'!$D$2:$D$2583,$B100,'ноябрь 2025'!$J$2:$J$2583,P$1)</f>
        <v>0</v>
      </c>
      <c r="Q100" s="183">
        <f>SUMIFS('ноябрь 2025'!$G$2:$G$2583,'ноябрь 2025'!$D$2:$D$2583,$B100,'ноябрь 2025'!$J$2:$J$2583,Q$1)</f>
        <v>0</v>
      </c>
      <c r="R100" s="183">
        <f>SUMIFS('ноябрь 2025'!$G$2:$G$2583,'ноябрь 2025'!$D$2:$D$2583,$B100,'ноябрь 2025'!$J$2:$J$2583,R$1)</f>
        <v>0</v>
      </c>
      <c r="S100" s="183">
        <f>SUMIFS('ноябрь 2025'!$G$2:$G$2583,'ноябрь 2025'!$D$2:$D$2583,$B100,'ноябрь 2025'!$J$2:$J$2583,S$1)</f>
        <v>0</v>
      </c>
      <c r="T100" s="183">
        <f>SUMIFS('ноябрь 2025'!$G$2:$G$2583,'ноябрь 2025'!$D$2:$D$2583,$B100,'ноябрь 2025'!$J$2:$J$2583,T$1)</f>
        <v>0</v>
      </c>
      <c r="U100" s="183">
        <f>SUMIFS('ноябрь 2025'!$G$2:$G$2583,'ноябрь 2025'!$D$2:$D$2583,$B100,'ноябрь 2025'!$J$2:$J$2583,U$1)</f>
        <v>0</v>
      </c>
      <c r="V100" s="183">
        <f>SUMIFS('ноябрь 2025'!$G$2:$G$2583,'ноябрь 2025'!$D$2:$D$2583,$B100,'ноябрь 2025'!$J$2:$J$2583,V$1)</f>
        <v>0</v>
      </c>
      <c r="W100" s="183">
        <f>SUMIFS('ноябрь 2025'!$G$2:$G$2583,'ноябрь 2025'!$D$2:$D$2583,$B100,'ноябрь 2025'!$J$2:$J$2583,W$1)</f>
        <v>0</v>
      </c>
      <c r="X100" s="183">
        <f>SUMIFS('ноябрь 2025'!$G$2:$G$2583,'ноябрь 2025'!$D$2:$D$2583,$B100,'ноябрь 2025'!$J$2:$J$2583,X$1)</f>
        <v>0</v>
      </c>
      <c r="Y100" s="183">
        <f>SUMIFS('ноябрь 2025'!$G$2:$G$2583,'ноябрь 2025'!$D$2:$D$2583,$B100,'ноябрь 2025'!$J$2:$J$2583,Y$1)</f>
        <v>0</v>
      </c>
      <c r="Z100" s="183">
        <f>SUMIFS('ноябрь 2025'!$G$2:$G$2583,'ноябрь 2025'!$D$2:$D$2583,$B100,'ноябрь 2025'!$J$2:$J$2583,Z$1)</f>
        <v>0</v>
      </c>
      <c r="AA100" s="183">
        <f>SUMIFS('ноябрь 2025'!$G$2:$G$2583,'ноябрь 2025'!$D$2:$D$2583,$B100,'ноябрь 2025'!$J$2:$J$2583,AA$1)</f>
        <v>0</v>
      </c>
      <c r="AB100" s="183">
        <f>SUMIFS('ноябрь 2025'!$G$2:$G$2583,'ноябрь 2025'!$D$2:$D$2583,$B100,'ноябрь 2025'!$J$2:$J$2583,AB$1)</f>
        <v>0</v>
      </c>
      <c r="AC100" s="183">
        <f>SUMIFS('ноябрь 2025'!$G$2:$G$2583,'ноябрь 2025'!$D$2:$D$2583,$B100,'ноябрь 2025'!$J$2:$J$2583,AC$1)</f>
        <v>0</v>
      </c>
      <c r="AD100" s="183">
        <f>SUMIFS('ноябрь 2025'!$G$2:$G$2583,'ноябрь 2025'!$D$2:$D$2583,$B100,'ноябрь 2025'!$J$2:$J$2583,AD$1)</f>
        <v>0</v>
      </c>
      <c r="AE100" s="183">
        <f>SUMIFS('ноябрь 2025'!$G$2:$G$2583,'ноябрь 2025'!$D$2:$D$2583,$B100,'ноябрь 2025'!$J$2:$J$2583,AE$1)</f>
        <v>0</v>
      </c>
      <c r="AF100" s="183">
        <f>SUMIFS('ноябрь 2025'!$G$2:$G$2583,'ноябрь 2025'!$D$2:$D$2583,$B100,'ноябрь 2025'!$J$2:$J$2583,AF$1)</f>
        <v>0</v>
      </c>
      <c r="AG100" s="183">
        <f>SUMIFS('ноябрь 2025'!$G$2:$G$2583,'ноябрь 2025'!$D$2:$D$2583,$B100,'ноябрь 2025'!$J$2:$J$2583,AG$1)</f>
        <v>0</v>
      </c>
      <c r="AH100" s="183">
        <f>SUMIFS('ноябрь 2025'!$G$2:$G$2583,'ноябрь 2025'!$D$2:$D$2583,$B100,'ноябрь 2025'!$J$2:$J$2583,AH$1)</f>
        <v>0</v>
      </c>
      <c r="AI100" s="20">
        <f t="shared" si="1"/>
        <v>0</v>
      </c>
    </row>
    <row r="101" spans="2:35" ht="15" customHeight="1" x14ac:dyDescent="0.25">
      <c r="B101" s="88" t="s">
        <v>298</v>
      </c>
      <c r="C101" s="86">
        <v>190</v>
      </c>
      <c r="D101" s="183">
        <f>SUMIFS('ноябрь 2025'!$G$2:$G$2583,'ноябрь 2025'!$D$2:$D$2583,$B101,'ноябрь 2025'!$J$2:$J$2583,D$1)</f>
        <v>0</v>
      </c>
      <c r="E101" s="183">
        <f>SUMIFS('ноябрь 2025'!$G$2:$G$2583,'ноябрь 2025'!$D$2:$D$2583,$B101,'ноябрь 2025'!$J$2:$J$2583,E$1)</f>
        <v>0</v>
      </c>
      <c r="F101" s="183">
        <f>SUMIFS('ноябрь 2025'!$G$2:$G$2583,'ноябрь 2025'!$D$2:$D$2583,$B101,'ноябрь 2025'!$J$2:$J$2583,F$1)</f>
        <v>0</v>
      </c>
      <c r="G101" s="183">
        <f>SUMIFS('ноябрь 2025'!$G$2:$G$2583,'ноябрь 2025'!$D$2:$D$2583,$B101,'ноябрь 2025'!$J$2:$J$2583,G$1)</f>
        <v>0</v>
      </c>
      <c r="H101" s="183">
        <f>SUMIFS('ноябрь 2025'!$G$2:$G$2583,'ноябрь 2025'!$D$2:$D$2583,$B101,'ноябрь 2025'!$J$2:$J$2583,H$1)</f>
        <v>0</v>
      </c>
      <c r="I101" s="183">
        <f>SUMIFS('ноябрь 2025'!$G$2:$G$2583,'ноябрь 2025'!$D$2:$D$2583,$B101,'ноябрь 2025'!$J$2:$J$2583,I$1)</f>
        <v>0</v>
      </c>
      <c r="J101" s="183">
        <f>SUMIFS('ноябрь 2025'!$G$2:$G$2583,'ноябрь 2025'!$D$2:$D$2583,$B101,'ноябрь 2025'!$J$2:$J$2583,J$1)</f>
        <v>0</v>
      </c>
      <c r="K101" s="183">
        <f>SUMIFS('ноябрь 2025'!$G$2:$G$2583,'ноябрь 2025'!$D$2:$D$2583,$B101,'ноябрь 2025'!$J$2:$J$2583,K$1)</f>
        <v>0</v>
      </c>
      <c r="L101" s="183">
        <f>SUMIFS('ноябрь 2025'!$G$2:$G$2583,'ноябрь 2025'!$D$2:$D$2583,$B101,'ноябрь 2025'!$J$2:$J$2583,L$1)</f>
        <v>0</v>
      </c>
      <c r="M101" s="183">
        <f>SUMIFS('ноябрь 2025'!$G$2:$G$2583,'ноябрь 2025'!$D$2:$D$2583,$B101,'ноябрь 2025'!$J$2:$J$2583,M$1)</f>
        <v>0</v>
      </c>
      <c r="N101" s="183">
        <f>SUMIFS('ноябрь 2025'!$G$2:$G$2583,'ноябрь 2025'!$D$2:$D$2583,$B101,'ноябрь 2025'!$J$2:$J$2583,N$1)</f>
        <v>0</v>
      </c>
      <c r="O101" s="183">
        <f>SUMIFS('ноябрь 2025'!$G$2:$G$2583,'ноябрь 2025'!$D$2:$D$2583,$B101,'ноябрь 2025'!$J$2:$J$2583,O$1)</f>
        <v>0</v>
      </c>
      <c r="P101" s="183">
        <f>SUMIFS('ноябрь 2025'!$G$2:$G$2583,'ноябрь 2025'!$D$2:$D$2583,$B101,'ноябрь 2025'!$J$2:$J$2583,P$1)</f>
        <v>0</v>
      </c>
      <c r="Q101" s="183">
        <f>SUMIFS('ноябрь 2025'!$G$2:$G$2583,'ноябрь 2025'!$D$2:$D$2583,$B101,'ноябрь 2025'!$J$2:$J$2583,Q$1)</f>
        <v>0</v>
      </c>
      <c r="R101" s="183">
        <f>SUMIFS('ноябрь 2025'!$G$2:$G$2583,'ноябрь 2025'!$D$2:$D$2583,$B101,'ноябрь 2025'!$J$2:$J$2583,R$1)</f>
        <v>0</v>
      </c>
      <c r="S101" s="183">
        <f>SUMIFS('ноябрь 2025'!$G$2:$G$2583,'ноябрь 2025'!$D$2:$D$2583,$B101,'ноябрь 2025'!$J$2:$J$2583,S$1)</f>
        <v>0</v>
      </c>
      <c r="T101" s="183">
        <f>SUMIFS('ноябрь 2025'!$G$2:$G$2583,'ноябрь 2025'!$D$2:$D$2583,$B101,'ноябрь 2025'!$J$2:$J$2583,T$1)</f>
        <v>0</v>
      </c>
      <c r="U101" s="183">
        <f>SUMIFS('ноябрь 2025'!$G$2:$G$2583,'ноябрь 2025'!$D$2:$D$2583,$B101,'ноябрь 2025'!$J$2:$J$2583,U$1)</f>
        <v>0</v>
      </c>
      <c r="V101" s="183">
        <f>SUMIFS('ноябрь 2025'!$G$2:$G$2583,'ноябрь 2025'!$D$2:$D$2583,$B101,'ноябрь 2025'!$J$2:$J$2583,V$1)</f>
        <v>0</v>
      </c>
      <c r="W101" s="183">
        <f>SUMIFS('ноябрь 2025'!$G$2:$G$2583,'ноябрь 2025'!$D$2:$D$2583,$B101,'ноябрь 2025'!$J$2:$J$2583,W$1)</f>
        <v>0</v>
      </c>
      <c r="X101" s="183">
        <f>SUMIFS('ноябрь 2025'!$G$2:$G$2583,'ноябрь 2025'!$D$2:$D$2583,$B101,'ноябрь 2025'!$J$2:$J$2583,X$1)</f>
        <v>0</v>
      </c>
      <c r="Y101" s="183">
        <f>SUMIFS('ноябрь 2025'!$G$2:$G$2583,'ноябрь 2025'!$D$2:$D$2583,$B101,'ноябрь 2025'!$J$2:$J$2583,Y$1)</f>
        <v>0</v>
      </c>
      <c r="Z101" s="183">
        <f>SUMIFS('ноябрь 2025'!$G$2:$G$2583,'ноябрь 2025'!$D$2:$D$2583,$B101,'ноябрь 2025'!$J$2:$J$2583,Z$1)</f>
        <v>0</v>
      </c>
      <c r="AA101" s="183">
        <f>SUMIFS('ноябрь 2025'!$G$2:$G$2583,'ноябрь 2025'!$D$2:$D$2583,$B101,'ноябрь 2025'!$J$2:$J$2583,AA$1)</f>
        <v>0</v>
      </c>
      <c r="AB101" s="183">
        <f>SUMIFS('ноябрь 2025'!$G$2:$G$2583,'ноябрь 2025'!$D$2:$D$2583,$B101,'ноябрь 2025'!$J$2:$J$2583,AB$1)</f>
        <v>0</v>
      </c>
      <c r="AC101" s="183">
        <f>SUMIFS('ноябрь 2025'!$G$2:$G$2583,'ноябрь 2025'!$D$2:$D$2583,$B101,'ноябрь 2025'!$J$2:$J$2583,AC$1)</f>
        <v>0</v>
      </c>
      <c r="AD101" s="183">
        <f>SUMIFS('ноябрь 2025'!$G$2:$G$2583,'ноябрь 2025'!$D$2:$D$2583,$B101,'ноябрь 2025'!$J$2:$J$2583,AD$1)</f>
        <v>0</v>
      </c>
      <c r="AE101" s="183">
        <f>SUMIFS('ноябрь 2025'!$G$2:$G$2583,'ноябрь 2025'!$D$2:$D$2583,$B101,'ноябрь 2025'!$J$2:$J$2583,AE$1)</f>
        <v>0</v>
      </c>
      <c r="AF101" s="183">
        <f>SUMIFS('ноябрь 2025'!$G$2:$G$2583,'ноябрь 2025'!$D$2:$D$2583,$B101,'ноябрь 2025'!$J$2:$J$2583,AF$1)</f>
        <v>0</v>
      </c>
      <c r="AG101" s="183">
        <f>SUMIFS('ноябрь 2025'!$G$2:$G$2583,'ноябрь 2025'!$D$2:$D$2583,$B101,'ноябрь 2025'!$J$2:$J$2583,AG$1)</f>
        <v>0</v>
      </c>
      <c r="AH101" s="183">
        <f>SUMIFS('ноябрь 2025'!$G$2:$G$2583,'ноябрь 2025'!$D$2:$D$2583,$B101,'ноябрь 2025'!$J$2:$J$2583,AH$1)</f>
        <v>0</v>
      </c>
      <c r="AI101" s="20">
        <f t="shared" si="1"/>
        <v>0</v>
      </c>
    </row>
    <row r="102" spans="2:35" ht="15" customHeight="1" x14ac:dyDescent="0.25">
      <c r="B102" s="88" t="s">
        <v>312</v>
      </c>
      <c r="C102" s="86">
        <v>190</v>
      </c>
      <c r="D102" s="183">
        <f>SUMIFS('ноябрь 2025'!$G$2:$G$2583,'ноябрь 2025'!$D$2:$D$2583,$B102,'ноябрь 2025'!$J$2:$J$2583,D$1)</f>
        <v>0</v>
      </c>
      <c r="E102" s="183">
        <f>SUMIFS('ноябрь 2025'!$G$2:$G$2583,'ноябрь 2025'!$D$2:$D$2583,$B102,'ноябрь 2025'!$J$2:$J$2583,E$1)</f>
        <v>0</v>
      </c>
      <c r="F102" s="183">
        <f>SUMIFS('ноябрь 2025'!$G$2:$G$2583,'ноябрь 2025'!$D$2:$D$2583,$B102,'ноябрь 2025'!$J$2:$J$2583,F$1)</f>
        <v>0</v>
      </c>
      <c r="G102" s="183">
        <f>SUMIFS('ноябрь 2025'!$G$2:$G$2583,'ноябрь 2025'!$D$2:$D$2583,$B102,'ноябрь 2025'!$J$2:$J$2583,G$1)</f>
        <v>0</v>
      </c>
      <c r="H102" s="183">
        <f>SUMIFS('ноябрь 2025'!$G$2:$G$2583,'ноябрь 2025'!$D$2:$D$2583,$B102,'ноябрь 2025'!$J$2:$J$2583,H$1)</f>
        <v>0</v>
      </c>
      <c r="I102" s="183">
        <f>SUMIFS('ноябрь 2025'!$G$2:$G$2583,'ноябрь 2025'!$D$2:$D$2583,$B102,'ноябрь 2025'!$J$2:$J$2583,I$1)</f>
        <v>0</v>
      </c>
      <c r="J102" s="183">
        <f>SUMIFS('ноябрь 2025'!$G$2:$G$2583,'ноябрь 2025'!$D$2:$D$2583,$B102,'ноябрь 2025'!$J$2:$J$2583,J$1)</f>
        <v>0</v>
      </c>
      <c r="K102" s="183">
        <f>SUMIFS('ноябрь 2025'!$G$2:$G$2583,'ноябрь 2025'!$D$2:$D$2583,$B102,'ноябрь 2025'!$J$2:$J$2583,K$1)</f>
        <v>0</v>
      </c>
      <c r="L102" s="183">
        <f>SUMIFS('ноябрь 2025'!$G$2:$G$2583,'ноябрь 2025'!$D$2:$D$2583,$B102,'ноябрь 2025'!$J$2:$J$2583,L$1)</f>
        <v>0</v>
      </c>
      <c r="M102" s="183">
        <f>SUMIFS('ноябрь 2025'!$G$2:$G$2583,'ноябрь 2025'!$D$2:$D$2583,$B102,'ноябрь 2025'!$J$2:$J$2583,M$1)</f>
        <v>0</v>
      </c>
      <c r="N102" s="183">
        <f>SUMIFS('ноябрь 2025'!$G$2:$G$2583,'ноябрь 2025'!$D$2:$D$2583,$B102,'ноябрь 2025'!$J$2:$J$2583,N$1)</f>
        <v>0</v>
      </c>
      <c r="O102" s="183">
        <f>SUMIFS('ноябрь 2025'!$G$2:$G$2583,'ноябрь 2025'!$D$2:$D$2583,$B102,'ноябрь 2025'!$J$2:$J$2583,O$1)</f>
        <v>0</v>
      </c>
      <c r="P102" s="183">
        <f>SUMIFS('ноябрь 2025'!$G$2:$G$2583,'ноябрь 2025'!$D$2:$D$2583,$B102,'ноябрь 2025'!$J$2:$J$2583,P$1)</f>
        <v>0</v>
      </c>
      <c r="Q102" s="183">
        <f>SUMIFS('ноябрь 2025'!$G$2:$G$2583,'ноябрь 2025'!$D$2:$D$2583,$B102,'ноябрь 2025'!$J$2:$J$2583,Q$1)</f>
        <v>0</v>
      </c>
      <c r="R102" s="183">
        <f>SUMIFS('ноябрь 2025'!$G$2:$G$2583,'ноябрь 2025'!$D$2:$D$2583,$B102,'ноябрь 2025'!$J$2:$J$2583,R$1)</f>
        <v>0</v>
      </c>
      <c r="S102" s="183">
        <f>SUMIFS('ноябрь 2025'!$G$2:$G$2583,'ноябрь 2025'!$D$2:$D$2583,$B102,'ноябрь 2025'!$J$2:$J$2583,S$1)</f>
        <v>0</v>
      </c>
      <c r="T102" s="183">
        <f>SUMIFS('ноябрь 2025'!$G$2:$G$2583,'ноябрь 2025'!$D$2:$D$2583,$B102,'ноябрь 2025'!$J$2:$J$2583,T$1)</f>
        <v>0</v>
      </c>
      <c r="U102" s="183">
        <f>SUMIFS('ноябрь 2025'!$G$2:$G$2583,'ноябрь 2025'!$D$2:$D$2583,$B102,'ноябрь 2025'!$J$2:$J$2583,U$1)</f>
        <v>0</v>
      </c>
      <c r="V102" s="183">
        <f>SUMIFS('ноябрь 2025'!$G$2:$G$2583,'ноябрь 2025'!$D$2:$D$2583,$B102,'ноябрь 2025'!$J$2:$J$2583,V$1)</f>
        <v>0</v>
      </c>
      <c r="W102" s="183">
        <f>SUMIFS('ноябрь 2025'!$G$2:$G$2583,'ноябрь 2025'!$D$2:$D$2583,$B102,'ноябрь 2025'!$J$2:$J$2583,W$1)</f>
        <v>0</v>
      </c>
      <c r="X102" s="183">
        <f>SUMIFS('ноябрь 2025'!$G$2:$G$2583,'ноябрь 2025'!$D$2:$D$2583,$B102,'ноябрь 2025'!$J$2:$J$2583,X$1)</f>
        <v>0</v>
      </c>
      <c r="Y102" s="183">
        <f>SUMIFS('ноябрь 2025'!$G$2:$G$2583,'ноябрь 2025'!$D$2:$D$2583,$B102,'ноябрь 2025'!$J$2:$J$2583,Y$1)</f>
        <v>0</v>
      </c>
      <c r="Z102" s="183">
        <f>SUMIFS('ноябрь 2025'!$G$2:$G$2583,'ноябрь 2025'!$D$2:$D$2583,$B102,'ноябрь 2025'!$J$2:$J$2583,Z$1)</f>
        <v>0</v>
      </c>
      <c r="AA102" s="183">
        <f>SUMIFS('ноябрь 2025'!$G$2:$G$2583,'ноябрь 2025'!$D$2:$D$2583,$B102,'ноябрь 2025'!$J$2:$J$2583,AA$1)</f>
        <v>0</v>
      </c>
      <c r="AB102" s="183">
        <f>SUMIFS('ноябрь 2025'!$G$2:$G$2583,'ноябрь 2025'!$D$2:$D$2583,$B102,'ноябрь 2025'!$J$2:$J$2583,AB$1)</f>
        <v>0</v>
      </c>
      <c r="AC102" s="183">
        <f>SUMIFS('ноябрь 2025'!$G$2:$G$2583,'ноябрь 2025'!$D$2:$D$2583,$B102,'ноябрь 2025'!$J$2:$J$2583,AC$1)</f>
        <v>0</v>
      </c>
      <c r="AD102" s="183">
        <f>SUMIFS('ноябрь 2025'!$G$2:$G$2583,'ноябрь 2025'!$D$2:$D$2583,$B102,'ноябрь 2025'!$J$2:$J$2583,AD$1)</f>
        <v>0</v>
      </c>
      <c r="AE102" s="183">
        <f>SUMIFS('ноябрь 2025'!$G$2:$G$2583,'ноябрь 2025'!$D$2:$D$2583,$B102,'ноябрь 2025'!$J$2:$J$2583,AE$1)</f>
        <v>0</v>
      </c>
      <c r="AF102" s="183">
        <f>SUMIFS('ноябрь 2025'!$G$2:$G$2583,'ноябрь 2025'!$D$2:$D$2583,$B102,'ноябрь 2025'!$J$2:$J$2583,AF$1)</f>
        <v>0</v>
      </c>
      <c r="AG102" s="183">
        <f>SUMIFS('ноябрь 2025'!$G$2:$G$2583,'ноябрь 2025'!$D$2:$D$2583,$B102,'ноябрь 2025'!$J$2:$J$2583,AG$1)</f>
        <v>0</v>
      </c>
      <c r="AH102" s="183">
        <f>SUMIFS('ноябрь 2025'!$G$2:$G$2583,'ноябрь 2025'!$D$2:$D$2583,$B102,'ноябрь 2025'!$J$2:$J$2583,AH$1)</f>
        <v>0</v>
      </c>
      <c r="AI102" s="20">
        <f t="shared" si="1"/>
        <v>0</v>
      </c>
    </row>
    <row r="103" spans="2:35" ht="15" customHeight="1" x14ac:dyDescent="0.25">
      <c r="B103" s="88" t="s">
        <v>1397</v>
      </c>
      <c r="C103" s="86">
        <v>200</v>
      </c>
      <c r="D103" s="183">
        <f>SUMIFS('ноябрь 2025'!$G$2:$G$2583,'ноябрь 2025'!$D$2:$D$2583,$B103,'ноябрь 2025'!$J$2:$J$2583,D$1)</f>
        <v>0</v>
      </c>
      <c r="E103" s="183">
        <f>SUMIFS('ноябрь 2025'!$G$2:$G$2583,'ноябрь 2025'!$D$2:$D$2583,$B103,'ноябрь 2025'!$J$2:$J$2583,E$1)</f>
        <v>0</v>
      </c>
      <c r="F103" s="183">
        <f>SUMIFS('ноябрь 2025'!$G$2:$G$2583,'ноябрь 2025'!$D$2:$D$2583,$B103,'ноябрь 2025'!$J$2:$J$2583,F$1)</f>
        <v>0</v>
      </c>
      <c r="G103" s="183">
        <f>SUMIFS('ноябрь 2025'!$G$2:$G$2583,'ноябрь 2025'!$D$2:$D$2583,$B103,'ноябрь 2025'!$J$2:$J$2583,G$1)</f>
        <v>0</v>
      </c>
      <c r="H103" s="183">
        <f>SUMIFS('ноябрь 2025'!$G$2:$G$2583,'ноябрь 2025'!$D$2:$D$2583,$B103,'ноябрь 2025'!$J$2:$J$2583,H$1)</f>
        <v>0</v>
      </c>
      <c r="I103" s="183">
        <f>SUMIFS('ноябрь 2025'!$G$2:$G$2583,'ноябрь 2025'!$D$2:$D$2583,$B103,'ноябрь 2025'!$J$2:$J$2583,I$1)</f>
        <v>0</v>
      </c>
      <c r="J103" s="183">
        <f>SUMIFS('ноябрь 2025'!$G$2:$G$2583,'ноябрь 2025'!$D$2:$D$2583,$B103,'ноябрь 2025'!$J$2:$J$2583,J$1)</f>
        <v>0</v>
      </c>
      <c r="K103" s="183">
        <f>SUMIFS('ноябрь 2025'!$G$2:$G$2583,'ноябрь 2025'!$D$2:$D$2583,$B103,'ноябрь 2025'!$J$2:$J$2583,K$1)</f>
        <v>0</v>
      </c>
      <c r="L103" s="183">
        <f>SUMIFS('ноябрь 2025'!$G$2:$G$2583,'ноябрь 2025'!$D$2:$D$2583,$B103,'ноябрь 2025'!$J$2:$J$2583,L$1)</f>
        <v>0</v>
      </c>
      <c r="M103" s="183">
        <f>SUMIFS('ноябрь 2025'!$G$2:$G$2583,'ноябрь 2025'!$D$2:$D$2583,$B103,'ноябрь 2025'!$J$2:$J$2583,M$1)</f>
        <v>0</v>
      </c>
      <c r="N103" s="183">
        <f>SUMIFS('ноябрь 2025'!$G$2:$G$2583,'ноябрь 2025'!$D$2:$D$2583,$B103,'ноябрь 2025'!$J$2:$J$2583,N$1)</f>
        <v>0</v>
      </c>
      <c r="O103" s="183">
        <f>SUMIFS('ноябрь 2025'!$G$2:$G$2583,'ноябрь 2025'!$D$2:$D$2583,$B103,'ноябрь 2025'!$J$2:$J$2583,O$1)</f>
        <v>0</v>
      </c>
      <c r="P103" s="183">
        <f>SUMIFS('ноябрь 2025'!$G$2:$G$2583,'ноябрь 2025'!$D$2:$D$2583,$B103,'ноябрь 2025'!$J$2:$J$2583,P$1)</f>
        <v>0</v>
      </c>
      <c r="Q103" s="183">
        <f>SUMIFS('ноябрь 2025'!$G$2:$G$2583,'ноябрь 2025'!$D$2:$D$2583,$B103,'ноябрь 2025'!$J$2:$J$2583,Q$1)</f>
        <v>0</v>
      </c>
      <c r="R103" s="183">
        <f>SUMIFS('ноябрь 2025'!$G$2:$G$2583,'ноябрь 2025'!$D$2:$D$2583,$B103,'ноябрь 2025'!$J$2:$J$2583,R$1)</f>
        <v>0</v>
      </c>
      <c r="S103" s="183">
        <f>SUMIFS('ноябрь 2025'!$G$2:$G$2583,'ноябрь 2025'!$D$2:$D$2583,$B103,'ноябрь 2025'!$J$2:$J$2583,S$1)</f>
        <v>0</v>
      </c>
      <c r="T103" s="183">
        <f>SUMIFS('ноябрь 2025'!$G$2:$G$2583,'ноябрь 2025'!$D$2:$D$2583,$B103,'ноябрь 2025'!$J$2:$J$2583,T$1)</f>
        <v>0</v>
      </c>
      <c r="U103" s="183">
        <f>SUMIFS('ноябрь 2025'!$G$2:$G$2583,'ноябрь 2025'!$D$2:$D$2583,$B103,'ноябрь 2025'!$J$2:$J$2583,U$1)</f>
        <v>0</v>
      </c>
      <c r="V103" s="183">
        <f>SUMIFS('ноябрь 2025'!$G$2:$G$2583,'ноябрь 2025'!$D$2:$D$2583,$B103,'ноябрь 2025'!$J$2:$J$2583,V$1)</f>
        <v>0</v>
      </c>
      <c r="W103" s="183">
        <f>SUMIFS('ноябрь 2025'!$G$2:$G$2583,'ноябрь 2025'!$D$2:$D$2583,$B103,'ноябрь 2025'!$J$2:$J$2583,W$1)</f>
        <v>0</v>
      </c>
      <c r="X103" s="183">
        <f>SUMIFS('ноябрь 2025'!$G$2:$G$2583,'ноябрь 2025'!$D$2:$D$2583,$B103,'ноябрь 2025'!$J$2:$J$2583,X$1)</f>
        <v>0</v>
      </c>
      <c r="Y103" s="183">
        <f>SUMIFS('ноябрь 2025'!$G$2:$G$2583,'ноябрь 2025'!$D$2:$D$2583,$B103,'ноябрь 2025'!$J$2:$J$2583,Y$1)</f>
        <v>0</v>
      </c>
      <c r="Z103" s="183">
        <f>SUMIFS('ноябрь 2025'!$G$2:$G$2583,'ноябрь 2025'!$D$2:$D$2583,$B103,'ноябрь 2025'!$J$2:$J$2583,Z$1)</f>
        <v>0</v>
      </c>
      <c r="AA103" s="183">
        <f>SUMIFS('ноябрь 2025'!$G$2:$G$2583,'ноябрь 2025'!$D$2:$D$2583,$B103,'ноябрь 2025'!$J$2:$J$2583,AA$1)</f>
        <v>0</v>
      </c>
      <c r="AB103" s="183">
        <f>SUMIFS('ноябрь 2025'!$G$2:$G$2583,'ноябрь 2025'!$D$2:$D$2583,$B103,'ноябрь 2025'!$J$2:$J$2583,AB$1)</f>
        <v>0</v>
      </c>
      <c r="AC103" s="183">
        <f>SUMIFS('ноябрь 2025'!$G$2:$G$2583,'ноябрь 2025'!$D$2:$D$2583,$B103,'ноябрь 2025'!$J$2:$J$2583,AC$1)</f>
        <v>0</v>
      </c>
      <c r="AD103" s="183">
        <f>SUMIFS('ноябрь 2025'!$G$2:$G$2583,'ноябрь 2025'!$D$2:$D$2583,$B103,'ноябрь 2025'!$J$2:$J$2583,AD$1)</f>
        <v>0</v>
      </c>
      <c r="AE103" s="183">
        <f>SUMIFS('ноябрь 2025'!$G$2:$G$2583,'ноябрь 2025'!$D$2:$D$2583,$B103,'ноябрь 2025'!$J$2:$J$2583,AE$1)</f>
        <v>0</v>
      </c>
      <c r="AF103" s="183">
        <f>SUMIFS('ноябрь 2025'!$G$2:$G$2583,'ноябрь 2025'!$D$2:$D$2583,$B103,'ноябрь 2025'!$J$2:$J$2583,AF$1)</f>
        <v>0</v>
      </c>
      <c r="AG103" s="183">
        <f>SUMIFS('ноябрь 2025'!$G$2:$G$2583,'ноябрь 2025'!$D$2:$D$2583,$B103,'ноябрь 2025'!$J$2:$J$2583,AG$1)</f>
        <v>0</v>
      </c>
      <c r="AH103" s="183">
        <f>SUMIFS('ноябрь 2025'!$G$2:$G$2583,'ноябрь 2025'!$D$2:$D$2583,$B103,'ноябрь 2025'!$J$2:$J$2583,AH$1)</f>
        <v>0</v>
      </c>
      <c r="AI103" s="20">
        <f t="shared" si="1"/>
        <v>0</v>
      </c>
    </row>
    <row r="104" spans="2:35" ht="15" customHeight="1" x14ac:dyDescent="0.25">
      <c r="B104" s="88" t="s">
        <v>1437</v>
      </c>
      <c r="C104" s="86">
        <v>190</v>
      </c>
      <c r="D104" s="183">
        <f>SUMIFS('ноябрь 2025'!$G$2:$G$2583,'ноябрь 2025'!$D$2:$D$2583,$B104,'ноябрь 2025'!$J$2:$J$2583,D$1)</f>
        <v>0</v>
      </c>
      <c r="E104" s="183">
        <f>SUMIFS('ноябрь 2025'!$G$2:$G$2583,'ноябрь 2025'!$D$2:$D$2583,$B104,'ноябрь 2025'!$J$2:$J$2583,E$1)</f>
        <v>0</v>
      </c>
      <c r="F104" s="183">
        <f>SUMIFS('ноябрь 2025'!$G$2:$G$2583,'ноябрь 2025'!$D$2:$D$2583,$B104,'ноябрь 2025'!$J$2:$J$2583,F$1)</f>
        <v>0</v>
      </c>
      <c r="G104" s="183">
        <f>SUMIFS('ноябрь 2025'!$G$2:$G$2583,'ноябрь 2025'!$D$2:$D$2583,$B104,'ноябрь 2025'!$J$2:$J$2583,G$1)</f>
        <v>0</v>
      </c>
      <c r="H104" s="183">
        <f>SUMIFS('ноябрь 2025'!$G$2:$G$2583,'ноябрь 2025'!$D$2:$D$2583,$B104,'ноябрь 2025'!$J$2:$J$2583,H$1)</f>
        <v>0</v>
      </c>
      <c r="I104" s="183">
        <f>SUMIFS('ноябрь 2025'!$G$2:$G$2583,'ноябрь 2025'!$D$2:$D$2583,$B104,'ноябрь 2025'!$J$2:$J$2583,I$1)</f>
        <v>0</v>
      </c>
      <c r="J104" s="183">
        <f>SUMIFS('ноябрь 2025'!$G$2:$G$2583,'ноябрь 2025'!$D$2:$D$2583,$B104,'ноябрь 2025'!$J$2:$J$2583,J$1)</f>
        <v>0</v>
      </c>
      <c r="K104" s="183">
        <f>SUMIFS('ноябрь 2025'!$G$2:$G$2583,'ноябрь 2025'!$D$2:$D$2583,$B104,'ноябрь 2025'!$J$2:$J$2583,K$1)</f>
        <v>0</v>
      </c>
      <c r="L104" s="183">
        <f>SUMIFS('ноябрь 2025'!$G$2:$G$2583,'ноябрь 2025'!$D$2:$D$2583,$B104,'ноябрь 2025'!$J$2:$J$2583,L$1)</f>
        <v>0</v>
      </c>
      <c r="M104" s="183">
        <f>SUMIFS('ноябрь 2025'!$G$2:$G$2583,'ноябрь 2025'!$D$2:$D$2583,$B104,'ноябрь 2025'!$J$2:$J$2583,M$1)</f>
        <v>0</v>
      </c>
      <c r="N104" s="183">
        <f>SUMIFS('ноябрь 2025'!$G$2:$G$2583,'ноябрь 2025'!$D$2:$D$2583,$B104,'ноябрь 2025'!$J$2:$J$2583,N$1)</f>
        <v>0</v>
      </c>
      <c r="O104" s="183">
        <f>SUMIFS('ноябрь 2025'!$G$2:$G$2583,'ноябрь 2025'!$D$2:$D$2583,$B104,'ноябрь 2025'!$J$2:$J$2583,O$1)</f>
        <v>0</v>
      </c>
      <c r="P104" s="183">
        <f>SUMIFS('ноябрь 2025'!$G$2:$G$2583,'ноябрь 2025'!$D$2:$D$2583,$B104,'ноябрь 2025'!$J$2:$J$2583,P$1)</f>
        <v>0</v>
      </c>
      <c r="Q104" s="183">
        <f>SUMIFS('ноябрь 2025'!$G$2:$G$2583,'ноябрь 2025'!$D$2:$D$2583,$B104,'ноябрь 2025'!$J$2:$J$2583,Q$1)</f>
        <v>0</v>
      </c>
      <c r="R104" s="183">
        <f>SUMIFS('ноябрь 2025'!$G$2:$G$2583,'ноябрь 2025'!$D$2:$D$2583,$B104,'ноябрь 2025'!$J$2:$J$2583,R$1)</f>
        <v>0</v>
      </c>
      <c r="S104" s="183">
        <f>SUMIFS('ноябрь 2025'!$G$2:$G$2583,'ноябрь 2025'!$D$2:$D$2583,$B104,'ноябрь 2025'!$J$2:$J$2583,S$1)</f>
        <v>0</v>
      </c>
      <c r="T104" s="183">
        <f>SUMIFS('ноябрь 2025'!$G$2:$G$2583,'ноябрь 2025'!$D$2:$D$2583,$B104,'ноябрь 2025'!$J$2:$J$2583,T$1)</f>
        <v>0</v>
      </c>
      <c r="U104" s="183">
        <f>SUMIFS('ноябрь 2025'!$G$2:$G$2583,'ноябрь 2025'!$D$2:$D$2583,$B104,'ноябрь 2025'!$J$2:$J$2583,U$1)</f>
        <v>0</v>
      </c>
      <c r="V104" s="183">
        <f>SUMIFS('ноябрь 2025'!$G$2:$G$2583,'ноябрь 2025'!$D$2:$D$2583,$B104,'ноябрь 2025'!$J$2:$J$2583,V$1)</f>
        <v>0</v>
      </c>
      <c r="W104" s="183">
        <f>SUMIFS('ноябрь 2025'!$G$2:$G$2583,'ноябрь 2025'!$D$2:$D$2583,$B104,'ноябрь 2025'!$J$2:$J$2583,W$1)</f>
        <v>0</v>
      </c>
      <c r="X104" s="183">
        <f>SUMIFS('ноябрь 2025'!$G$2:$G$2583,'ноябрь 2025'!$D$2:$D$2583,$B104,'ноябрь 2025'!$J$2:$J$2583,X$1)</f>
        <v>0</v>
      </c>
      <c r="Y104" s="183">
        <f>SUMIFS('ноябрь 2025'!$G$2:$G$2583,'ноябрь 2025'!$D$2:$D$2583,$B104,'ноябрь 2025'!$J$2:$J$2583,Y$1)</f>
        <v>0</v>
      </c>
      <c r="Z104" s="183">
        <f>SUMIFS('ноябрь 2025'!$G$2:$G$2583,'ноябрь 2025'!$D$2:$D$2583,$B104,'ноябрь 2025'!$J$2:$J$2583,Z$1)</f>
        <v>0</v>
      </c>
      <c r="AA104" s="183">
        <f>SUMIFS('ноябрь 2025'!$G$2:$G$2583,'ноябрь 2025'!$D$2:$D$2583,$B104,'ноябрь 2025'!$J$2:$J$2583,AA$1)</f>
        <v>0</v>
      </c>
      <c r="AB104" s="183">
        <f>SUMIFS('ноябрь 2025'!$G$2:$G$2583,'ноябрь 2025'!$D$2:$D$2583,$B104,'ноябрь 2025'!$J$2:$J$2583,AB$1)</f>
        <v>0</v>
      </c>
      <c r="AC104" s="183">
        <f>SUMIFS('ноябрь 2025'!$G$2:$G$2583,'ноябрь 2025'!$D$2:$D$2583,$B104,'ноябрь 2025'!$J$2:$J$2583,AC$1)</f>
        <v>0</v>
      </c>
      <c r="AD104" s="183">
        <f>SUMIFS('ноябрь 2025'!$G$2:$G$2583,'ноябрь 2025'!$D$2:$D$2583,$B104,'ноябрь 2025'!$J$2:$J$2583,AD$1)</f>
        <v>0</v>
      </c>
      <c r="AE104" s="183">
        <f>SUMIFS('ноябрь 2025'!$G$2:$G$2583,'ноябрь 2025'!$D$2:$D$2583,$B104,'ноябрь 2025'!$J$2:$J$2583,AE$1)</f>
        <v>0</v>
      </c>
      <c r="AF104" s="183">
        <f>SUMIFS('ноябрь 2025'!$G$2:$G$2583,'ноябрь 2025'!$D$2:$D$2583,$B104,'ноябрь 2025'!$J$2:$J$2583,AF$1)</f>
        <v>0</v>
      </c>
      <c r="AG104" s="183">
        <f>SUMIFS('ноябрь 2025'!$G$2:$G$2583,'ноябрь 2025'!$D$2:$D$2583,$B104,'ноябрь 2025'!$J$2:$J$2583,AG$1)</f>
        <v>0</v>
      </c>
      <c r="AH104" s="183">
        <f>SUMIFS('ноябрь 2025'!$G$2:$G$2583,'ноябрь 2025'!$D$2:$D$2583,$B104,'ноябрь 2025'!$J$2:$J$2583,AH$1)</f>
        <v>0</v>
      </c>
      <c r="AI104" s="20">
        <f t="shared" si="1"/>
        <v>0</v>
      </c>
    </row>
    <row r="105" spans="2:35" ht="15" customHeight="1" x14ac:dyDescent="0.25">
      <c r="B105" s="88" t="s">
        <v>282</v>
      </c>
      <c r="C105" s="86">
        <v>190</v>
      </c>
      <c r="D105" s="183">
        <f>SUMIFS('ноябрь 2025'!$G$2:$G$2583,'ноябрь 2025'!$D$2:$D$2583,$B105,'ноябрь 2025'!$J$2:$J$2583,D$1)</f>
        <v>0</v>
      </c>
      <c r="E105" s="183">
        <f>SUMIFS('ноябрь 2025'!$G$2:$G$2583,'ноябрь 2025'!$D$2:$D$2583,$B105,'ноябрь 2025'!$J$2:$J$2583,E$1)</f>
        <v>0</v>
      </c>
      <c r="F105" s="183">
        <f>SUMIFS('ноябрь 2025'!$G$2:$G$2583,'ноябрь 2025'!$D$2:$D$2583,$B105,'ноябрь 2025'!$J$2:$J$2583,F$1)</f>
        <v>0</v>
      </c>
      <c r="G105" s="183">
        <f>SUMIFS('ноябрь 2025'!$G$2:$G$2583,'ноябрь 2025'!$D$2:$D$2583,$B105,'ноябрь 2025'!$J$2:$J$2583,G$1)</f>
        <v>0</v>
      </c>
      <c r="H105" s="183">
        <f>SUMIFS('ноябрь 2025'!$G$2:$G$2583,'ноябрь 2025'!$D$2:$D$2583,$B105,'ноябрь 2025'!$J$2:$J$2583,H$1)</f>
        <v>0</v>
      </c>
      <c r="I105" s="183">
        <f>SUMIFS('ноябрь 2025'!$G$2:$G$2583,'ноябрь 2025'!$D$2:$D$2583,$B105,'ноябрь 2025'!$J$2:$J$2583,I$1)</f>
        <v>0</v>
      </c>
      <c r="J105" s="183">
        <f>SUMIFS('ноябрь 2025'!$G$2:$G$2583,'ноябрь 2025'!$D$2:$D$2583,$B105,'ноябрь 2025'!$J$2:$J$2583,J$1)</f>
        <v>0</v>
      </c>
      <c r="K105" s="183">
        <f>SUMIFS('ноябрь 2025'!$G$2:$G$2583,'ноябрь 2025'!$D$2:$D$2583,$B105,'ноябрь 2025'!$J$2:$J$2583,K$1)</f>
        <v>0</v>
      </c>
      <c r="L105" s="183">
        <f>SUMIFS('ноябрь 2025'!$G$2:$G$2583,'ноябрь 2025'!$D$2:$D$2583,$B105,'ноябрь 2025'!$J$2:$J$2583,L$1)</f>
        <v>0</v>
      </c>
      <c r="M105" s="183">
        <f>SUMIFS('ноябрь 2025'!$G$2:$G$2583,'ноябрь 2025'!$D$2:$D$2583,$B105,'ноябрь 2025'!$J$2:$J$2583,M$1)</f>
        <v>0</v>
      </c>
      <c r="N105" s="183">
        <f>SUMIFS('ноябрь 2025'!$G$2:$G$2583,'ноябрь 2025'!$D$2:$D$2583,$B105,'ноябрь 2025'!$J$2:$J$2583,N$1)</f>
        <v>0</v>
      </c>
      <c r="O105" s="183">
        <f>SUMIFS('ноябрь 2025'!$G$2:$G$2583,'ноябрь 2025'!$D$2:$D$2583,$B105,'ноябрь 2025'!$J$2:$J$2583,O$1)</f>
        <v>0</v>
      </c>
      <c r="P105" s="183">
        <f>SUMIFS('ноябрь 2025'!$G$2:$G$2583,'ноябрь 2025'!$D$2:$D$2583,$B105,'ноябрь 2025'!$J$2:$J$2583,P$1)</f>
        <v>0</v>
      </c>
      <c r="Q105" s="183">
        <f>SUMIFS('ноябрь 2025'!$G$2:$G$2583,'ноябрь 2025'!$D$2:$D$2583,$B105,'ноябрь 2025'!$J$2:$J$2583,Q$1)</f>
        <v>0</v>
      </c>
      <c r="R105" s="183">
        <f>SUMIFS('ноябрь 2025'!$G$2:$G$2583,'ноябрь 2025'!$D$2:$D$2583,$B105,'ноябрь 2025'!$J$2:$J$2583,R$1)</f>
        <v>0</v>
      </c>
      <c r="S105" s="183">
        <f>SUMIFS('ноябрь 2025'!$G$2:$G$2583,'ноябрь 2025'!$D$2:$D$2583,$B105,'ноябрь 2025'!$J$2:$J$2583,S$1)</f>
        <v>0</v>
      </c>
      <c r="T105" s="183">
        <f>SUMIFS('ноябрь 2025'!$G$2:$G$2583,'ноябрь 2025'!$D$2:$D$2583,$B105,'ноябрь 2025'!$J$2:$J$2583,T$1)</f>
        <v>0</v>
      </c>
      <c r="U105" s="183">
        <f>SUMIFS('ноябрь 2025'!$G$2:$G$2583,'ноябрь 2025'!$D$2:$D$2583,$B105,'ноябрь 2025'!$J$2:$J$2583,U$1)</f>
        <v>0</v>
      </c>
      <c r="V105" s="183">
        <f>SUMIFS('ноябрь 2025'!$G$2:$G$2583,'ноябрь 2025'!$D$2:$D$2583,$B105,'ноябрь 2025'!$J$2:$J$2583,V$1)</f>
        <v>0</v>
      </c>
      <c r="W105" s="183">
        <f>SUMIFS('ноябрь 2025'!$G$2:$G$2583,'ноябрь 2025'!$D$2:$D$2583,$B105,'ноябрь 2025'!$J$2:$J$2583,W$1)</f>
        <v>0</v>
      </c>
      <c r="X105" s="183">
        <f>SUMIFS('ноябрь 2025'!$G$2:$G$2583,'ноябрь 2025'!$D$2:$D$2583,$B105,'ноябрь 2025'!$J$2:$J$2583,X$1)</f>
        <v>0</v>
      </c>
      <c r="Y105" s="183">
        <f>SUMIFS('ноябрь 2025'!$G$2:$G$2583,'ноябрь 2025'!$D$2:$D$2583,$B105,'ноябрь 2025'!$J$2:$J$2583,Y$1)</f>
        <v>0</v>
      </c>
      <c r="Z105" s="183">
        <f>SUMIFS('ноябрь 2025'!$G$2:$G$2583,'ноябрь 2025'!$D$2:$D$2583,$B105,'ноябрь 2025'!$J$2:$J$2583,Z$1)</f>
        <v>0</v>
      </c>
      <c r="AA105" s="183">
        <f>SUMIFS('ноябрь 2025'!$G$2:$G$2583,'ноябрь 2025'!$D$2:$D$2583,$B105,'ноябрь 2025'!$J$2:$J$2583,AA$1)</f>
        <v>0</v>
      </c>
      <c r="AB105" s="183">
        <f>SUMIFS('ноябрь 2025'!$G$2:$G$2583,'ноябрь 2025'!$D$2:$D$2583,$B105,'ноябрь 2025'!$J$2:$J$2583,AB$1)</f>
        <v>0</v>
      </c>
      <c r="AC105" s="183">
        <f>SUMIFS('ноябрь 2025'!$G$2:$G$2583,'ноябрь 2025'!$D$2:$D$2583,$B105,'ноябрь 2025'!$J$2:$J$2583,AC$1)</f>
        <v>0</v>
      </c>
      <c r="AD105" s="183">
        <f>SUMIFS('ноябрь 2025'!$G$2:$G$2583,'ноябрь 2025'!$D$2:$D$2583,$B105,'ноябрь 2025'!$J$2:$J$2583,AD$1)</f>
        <v>0</v>
      </c>
      <c r="AE105" s="183">
        <f>SUMIFS('ноябрь 2025'!$G$2:$G$2583,'ноябрь 2025'!$D$2:$D$2583,$B105,'ноябрь 2025'!$J$2:$J$2583,AE$1)</f>
        <v>0</v>
      </c>
      <c r="AF105" s="183">
        <f>SUMIFS('ноябрь 2025'!$G$2:$G$2583,'ноябрь 2025'!$D$2:$D$2583,$B105,'ноябрь 2025'!$J$2:$J$2583,AF$1)</f>
        <v>0</v>
      </c>
      <c r="AG105" s="183">
        <f>SUMIFS('ноябрь 2025'!$G$2:$G$2583,'ноябрь 2025'!$D$2:$D$2583,$B105,'ноябрь 2025'!$J$2:$J$2583,AG$1)</f>
        <v>0</v>
      </c>
      <c r="AH105" s="183">
        <f>SUMIFS('ноябрь 2025'!$G$2:$G$2583,'ноябрь 2025'!$D$2:$D$2583,$B105,'ноябрь 2025'!$J$2:$J$2583,AH$1)</f>
        <v>0</v>
      </c>
      <c r="AI105" s="20">
        <f t="shared" si="1"/>
        <v>0</v>
      </c>
    </row>
    <row r="106" spans="2:35" ht="15" customHeight="1" x14ac:dyDescent="0.25">
      <c r="B106" s="88" t="s">
        <v>258</v>
      </c>
      <c r="C106" s="86">
        <v>180</v>
      </c>
      <c r="D106" s="183">
        <f>SUMIFS('ноябрь 2025'!$G$2:$G$2583,'ноябрь 2025'!$D$2:$D$2583,$B106,'ноябрь 2025'!$J$2:$J$2583,D$1)</f>
        <v>0</v>
      </c>
      <c r="E106" s="183">
        <f>SUMIFS('ноябрь 2025'!$G$2:$G$2583,'ноябрь 2025'!$D$2:$D$2583,$B106,'ноябрь 2025'!$J$2:$J$2583,E$1)</f>
        <v>0</v>
      </c>
      <c r="F106" s="183">
        <f>SUMIFS('ноябрь 2025'!$G$2:$G$2583,'ноябрь 2025'!$D$2:$D$2583,$B106,'ноябрь 2025'!$J$2:$J$2583,F$1)</f>
        <v>0</v>
      </c>
      <c r="G106" s="183">
        <f>SUMIFS('ноябрь 2025'!$G$2:$G$2583,'ноябрь 2025'!$D$2:$D$2583,$B106,'ноябрь 2025'!$J$2:$J$2583,G$1)</f>
        <v>0</v>
      </c>
      <c r="H106" s="183">
        <f>SUMIFS('ноябрь 2025'!$G$2:$G$2583,'ноябрь 2025'!$D$2:$D$2583,$B106,'ноябрь 2025'!$J$2:$J$2583,H$1)</f>
        <v>0</v>
      </c>
      <c r="I106" s="183">
        <f>SUMIFS('ноябрь 2025'!$G$2:$G$2583,'ноябрь 2025'!$D$2:$D$2583,$B106,'ноябрь 2025'!$J$2:$J$2583,I$1)</f>
        <v>0</v>
      </c>
      <c r="J106" s="183">
        <f>SUMIFS('ноябрь 2025'!$G$2:$G$2583,'ноябрь 2025'!$D$2:$D$2583,$B106,'ноябрь 2025'!$J$2:$J$2583,J$1)</f>
        <v>0</v>
      </c>
      <c r="K106" s="183">
        <f>SUMIFS('ноябрь 2025'!$G$2:$G$2583,'ноябрь 2025'!$D$2:$D$2583,$B106,'ноябрь 2025'!$J$2:$J$2583,K$1)</f>
        <v>0</v>
      </c>
      <c r="L106" s="183">
        <f>SUMIFS('ноябрь 2025'!$G$2:$G$2583,'ноябрь 2025'!$D$2:$D$2583,$B106,'ноябрь 2025'!$J$2:$J$2583,L$1)</f>
        <v>0</v>
      </c>
      <c r="M106" s="183">
        <f>SUMIFS('ноябрь 2025'!$G$2:$G$2583,'ноябрь 2025'!$D$2:$D$2583,$B106,'ноябрь 2025'!$J$2:$J$2583,M$1)</f>
        <v>0</v>
      </c>
      <c r="N106" s="183">
        <f>SUMIFS('ноябрь 2025'!$G$2:$G$2583,'ноябрь 2025'!$D$2:$D$2583,$B106,'ноябрь 2025'!$J$2:$J$2583,N$1)</f>
        <v>0</v>
      </c>
      <c r="O106" s="183">
        <f>SUMIFS('ноябрь 2025'!$G$2:$G$2583,'ноябрь 2025'!$D$2:$D$2583,$B106,'ноябрь 2025'!$J$2:$J$2583,O$1)</f>
        <v>0</v>
      </c>
      <c r="P106" s="183">
        <f>SUMIFS('ноябрь 2025'!$G$2:$G$2583,'ноябрь 2025'!$D$2:$D$2583,$B106,'ноябрь 2025'!$J$2:$J$2583,P$1)</f>
        <v>0</v>
      </c>
      <c r="Q106" s="183">
        <f>SUMIFS('ноябрь 2025'!$G$2:$G$2583,'ноябрь 2025'!$D$2:$D$2583,$B106,'ноябрь 2025'!$J$2:$J$2583,Q$1)</f>
        <v>0</v>
      </c>
      <c r="R106" s="183">
        <f>SUMIFS('ноябрь 2025'!$G$2:$G$2583,'ноябрь 2025'!$D$2:$D$2583,$B106,'ноябрь 2025'!$J$2:$J$2583,R$1)</f>
        <v>0</v>
      </c>
      <c r="S106" s="183">
        <f>SUMIFS('ноябрь 2025'!$G$2:$G$2583,'ноябрь 2025'!$D$2:$D$2583,$B106,'ноябрь 2025'!$J$2:$J$2583,S$1)</f>
        <v>0</v>
      </c>
      <c r="T106" s="183">
        <f>SUMIFS('ноябрь 2025'!$G$2:$G$2583,'ноябрь 2025'!$D$2:$D$2583,$B106,'ноябрь 2025'!$J$2:$J$2583,T$1)</f>
        <v>0</v>
      </c>
      <c r="U106" s="183">
        <f>SUMIFS('ноябрь 2025'!$G$2:$G$2583,'ноябрь 2025'!$D$2:$D$2583,$B106,'ноябрь 2025'!$J$2:$J$2583,U$1)</f>
        <v>0</v>
      </c>
      <c r="V106" s="183">
        <f>SUMIFS('ноябрь 2025'!$G$2:$G$2583,'ноябрь 2025'!$D$2:$D$2583,$B106,'ноябрь 2025'!$J$2:$J$2583,V$1)</f>
        <v>0</v>
      </c>
      <c r="W106" s="183">
        <f>SUMIFS('ноябрь 2025'!$G$2:$G$2583,'ноябрь 2025'!$D$2:$D$2583,$B106,'ноябрь 2025'!$J$2:$J$2583,W$1)</f>
        <v>0</v>
      </c>
      <c r="X106" s="183">
        <f>SUMIFS('ноябрь 2025'!$G$2:$G$2583,'ноябрь 2025'!$D$2:$D$2583,$B106,'ноябрь 2025'!$J$2:$J$2583,X$1)</f>
        <v>0</v>
      </c>
      <c r="Y106" s="183">
        <f>SUMIFS('ноябрь 2025'!$G$2:$G$2583,'ноябрь 2025'!$D$2:$D$2583,$B106,'ноябрь 2025'!$J$2:$J$2583,Y$1)</f>
        <v>0</v>
      </c>
      <c r="Z106" s="183">
        <f>SUMIFS('ноябрь 2025'!$G$2:$G$2583,'ноябрь 2025'!$D$2:$D$2583,$B106,'ноябрь 2025'!$J$2:$J$2583,Z$1)</f>
        <v>0</v>
      </c>
      <c r="AA106" s="183">
        <f>SUMIFS('ноябрь 2025'!$G$2:$G$2583,'ноябрь 2025'!$D$2:$D$2583,$B106,'ноябрь 2025'!$J$2:$J$2583,AA$1)</f>
        <v>0</v>
      </c>
      <c r="AB106" s="183">
        <f>SUMIFS('ноябрь 2025'!$G$2:$G$2583,'ноябрь 2025'!$D$2:$D$2583,$B106,'ноябрь 2025'!$J$2:$J$2583,AB$1)</f>
        <v>0</v>
      </c>
      <c r="AC106" s="183">
        <f>SUMIFS('ноябрь 2025'!$G$2:$G$2583,'ноябрь 2025'!$D$2:$D$2583,$B106,'ноябрь 2025'!$J$2:$J$2583,AC$1)</f>
        <v>0</v>
      </c>
      <c r="AD106" s="183">
        <f>SUMIFS('ноябрь 2025'!$G$2:$G$2583,'ноябрь 2025'!$D$2:$D$2583,$B106,'ноябрь 2025'!$J$2:$J$2583,AD$1)</f>
        <v>0</v>
      </c>
      <c r="AE106" s="183">
        <f>SUMIFS('ноябрь 2025'!$G$2:$G$2583,'ноябрь 2025'!$D$2:$D$2583,$B106,'ноябрь 2025'!$J$2:$J$2583,AE$1)</f>
        <v>0</v>
      </c>
      <c r="AF106" s="183">
        <f>SUMIFS('ноябрь 2025'!$G$2:$G$2583,'ноябрь 2025'!$D$2:$D$2583,$B106,'ноябрь 2025'!$J$2:$J$2583,AF$1)</f>
        <v>0</v>
      </c>
      <c r="AG106" s="183">
        <f>SUMIFS('ноябрь 2025'!$G$2:$G$2583,'ноябрь 2025'!$D$2:$D$2583,$B106,'ноябрь 2025'!$J$2:$J$2583,AG$1)</f>
        <v>0</v>
      </c>
      <c r="AH106" s="183">
        <f>SUMIFS('ноябрь 2025'!$G$2:$G$2583,'ноябрь 2025'!$D$2:$D$2583,$B106,'ноябрь 2025'!$J$2:$J$2583,AH$1)</f>
        <v>0</v>
      </c>
      <c r="AI106" s="20">
        <f t="shared" si="1"/>
        <v>0</v>
      </c>
    </row>
    <row r="107" spans="2:35" ht="15" customHeight="1" x14ac:dyDescent="0.25">
      <c r="B107" s="88" t="s">
        <v>259</v>
      </c>
      <c r="C107" s="86">
        <v>180</v>
      </c>
      <c r="D107" s="183">
        <f>SUMIFS('ноябрь 2025'!$G$2:$G$2583,'ноябрь 2025'!$D$2:$D$2583,$B107,'ноябрь 2025'!$J$2:$J$2583,D$1)</f>
        <v>0</v>
      </c>
      <c r="E107" s="183">
        <f>SUMIFS('ноябрь 2025'!$G$2:$G$2583,'ноябрь 2025'!$D$2:$D$2583,$B107,'ноябрь 2025'!$J$2:$J$2583,E$1)</f>
        <v>0</v>
      </c>
      <c r="F107" s="183">
        <f>SUMIFS('ноябрь 2025'!$G$2:$G$2583,'ноябрь 2025'!$D$2:$D$2583,$B107,'ноябрь 2025'!$J$2:$J$2583,F$1)</f>
        <v>0</v>
      </c>
      <c r="G107" s="183">
        <f>SUMIFS('ноябрь 2025'!$G$2:$G$2583,'ноябрь 2025'!$D$2:$D$2583,$B107,'ноябрь 2025'!$J$2:$J$2583,G$1)</f>
        <v>0</v>
      </c>
      <c r="H107" s="183">
        <f>SUMIFS('ноябрь 2025'!$G$2:$G$2583,'ноябрь 2025'!$D$2:$D$2583,$B107,'ноябрь 2025'!$J$2:$J$2583,H$1)</f>
        <v>0</v>
      </c>
      <c r="I107" s="183">
        <f>SUMIFS('ноябрь 2025'!$G$2:$G$2583,'ноябрь 2025'!$D$2:$D$2583,$B107,'ноябрь 2025'!$J$2:$J$2583,I$1)</f>
        <v>0</v>
      </c>
      <c r="J107" s="183">
        <f>SUMIFS('ноябрь 2025'!$G$2:$G$2583,'ноябрь 2025'!$D$2:$D$2583,$B107,'ноябрь 2025'!$J$2:$J$2583,J$1)</f>
        <v>0</v>
      </c>
      <c r="K107" s="183">
        <f>SUMIFS('ноябрь 2025'!$G$2:$G$2583,'ноябрь 2025'!$D$2:$D$2583,$B107,'ноябрь 2025'!$J$2:$J$2583,K$1)</f>
        <v>0</v>
      </c>
      <c r="L107" s="183">
        <f>SUMIFS('ноябрь 2025'!$G$2:$G$2583,'ноябрь 2025'!$D$2:$D$2583,$B107,'ноябрь 2025'!$J$2:$J$2583,L$1)</f>
        <v>0</v>
      </c>
      <c r="M107" s="183">
        <f>SUMIFS('ноябрь 2025'!$G$2:$G$2583,'ноябрь 2025'!$D$2:$D$2583,$B107,'ноябрь 2025'!$J$2:$J$2583,M$1)</f>
        <v>0</v>
      </c>
      <c r="N107" s="183">
        <f>SUMIFS('ноябрь 2025'!$G$2:$G$2583,'ноябрь 2025'!$D$2:$D$2583,$B107,'ноябрь 2025'!$J$2:$J$2583,N$1)</f>
        <v>0</v>
      </c>
      <c r="O107" s="183">
        <f>SUMIFS('ноябрь 2025'!$G$2:$G$2583,'ноябрь 2025'!$D$2:$D$2583,$B107,'ноябрь 2025'!$J$2:$J$2583,O$1)</f>
        <v>0</v>
      </c>
      <c r="P107" s="183">
        <f>SUMIFS('ноябрь 2025'!$G$2:$G$2583,'ноябрь 2025'!$D$2:$D$2583,$B107,'ноябрь 2025'!$J$2:$J$2583,P$1)</f>
        <v>0</v>
      </c>
      <c r="Q107" s="183">
        <f>SUMIFS('ноябрь 2025'!$G$2:$G$2583,'ноябрь 2025'!$D$2:$D$2583,$B107,'ноябрь 2025'!$J$2:$J$2583,Q$1)</f>
        <v>0</v>
      </c>
      <c r="R107" s="183">
        <f>SUMIFS('ноябрь 2025'!$G$2:$G$2583,'ноябрь 2025'!$D$2:$D$2583,$B107,'ноябрь 2025'!$J$2:$J$2583,R$1)</f>
        <v>0</v>
      </c>
      <c r="S107" s="183">
        <f>SUMIFS('ноябрь 2025'!$G$2:$G$2583,'ноябрь 2025'!$D$2:$D$2583,$B107,'ноябрь 2025'!$J$2:$J$2583,S$1)</f>
        <v>0</v>
      </c>
      <c r="T107" s="183">
        <f>SUMIFS('ноябрь 2025'!$G$2:$G$2583,'ноябрь 2025'!$D$2:$D$2583,$B107,'ноябрь 2025'!$J$2:$J$2583,T$1)</f>
        <v>0</v>
      </c>
      <c r="U107" s="183">
        <f>SUMIFS('ноябрь 2025'!$G$2:$G$2583,'ноябрь 2025'!$D$2:$D$2583,$B107,'ноябрь 2025'!$J$2:$J$2583,U$1)</f>
        <v>0</v>
      </c>
      <c r="V107" s="183">
        <f>SUMIFS('ноябрь 2025'!$G$2:$G$2583,'ноябрь 2025'!$D$2:$D$2583,$B107,'ноябрь 2025'!$J$2:$J$2583,V$1)</f>
        <v>0</v>
      </c>
      <c r="W107" s="183">
        <f>SUMIFS('ноябрь 2025'!$G$2:$G$2583,'ноябрь 2025'!$D$2:$D$2583,$B107,'ноябрь 2025'!$J$2:$J$2583,W$1)</f>
        <v>0</v>
      </c>
      <c r="X107" s="183">
        <f>SUMIFS('ноябрь 2025'!$G$2:$G$2583,'ноябрь 2025'!$D$2:$D$2583,$B107,'ноябрь 2025'!$J$2:$J$2583,X$1)</f>
        <v>0</v>
      </c>
      <c r="Y107" s="183">
        <f>SUMIFS('ноябрь 2025'!$G$2:$G$2583,'ноябрь 2025'!$D$2:$D$2583,$B107,'ноябрь 2025'!$J$2:$J$2583,Y$1)</f>
        <v>0</v>
      </c>
      <c r="Z107" s="183">
        <f>SUMIFS('ноябрь 2025'!$G$2:$G$2583,'ноябрь 2025'!$D$2:$D$2583,$B107,'ноябрь 2025'!$J$2:$J$2583,Z$1)</f>
        <v>0</v>
      </c>
      <c r="AA107" s="183">
        <f>SUMIFS('ноябрь 2025'!$G$2:$G$2583,'ноябрь 2025'!$D$2:$D$2583,$B107,'ноябрь 2025'!$J$2:$J$2583,AA$1)</f>
        <v>0</v>
      </c>
      <c r="AB107" s="183">
        <f>SUMIFS('ноябрь 2025'!$G$2:$G$2583,'ноябрь 2025'!$D$2:$D$2583,$B107,'ноябрь 2025'!$J$2:$J$2583,AB$1)</f>
        <v>0</v>
      </c>
      <c r="AC107" s="183">
        <f>SUMIFS('ноябрь 2025'!$G$2:$G$2583,'ноябрь 2025'!$D$2:$D$2583,$B107,'ноябрь 2025'!$J$2:$J$2583,AC$1)</f>
        <v>0</v>
      </c>
      <c r="AD107" s="183">
        <f>SUMIFS('ноябрь 2025'!$G$2:$G$2583,'ноябрь 2025'!$D$2:$D$2583,$B107,'ноябрь 2025'!$J$2:$J$2583,AD$1)</f>
        <v>0</v>
      </c>
      <c r="AE107" s="183">
        <f>SUMIFS('ноябрь 2025'!$G$2:$G$2583,'ноябрь 2025'!$D$2:$D$2583,$B107,'ноябрь 2025'!$J$2:$J$2583,AE$1)</f>
        <v>0</v>
      </c>
      <c r="AF107" s="183">
        <f>SUMIFS('ноябрь 2025'!$G$2:$G$2583,'ноябрь 2025'!$D$2:$D$2583,$B107,'ноябрь 2025'!$J$2:$J$2583,AF$1)</f>
        <v>0</v>
      </c>
      <c r="AG107" s="183">
        <f>SUMIFS('ноябрь 2025'!$G$2:$G$2583,'ноябрь 2025'!$D$2:$D$2583,$B107,'ноябрь 2025'!$J$2:$J$2583,AG$1)</f>
        <v>0</v>
      </c>
      <c r="AH107" s="183">
        <f>SUMIFS('ноябрь 2025'!$G$2:$G$2583,'ноябрь 2025'!$D$2:$D$2583,$B107,'ноябрь 2025'!$J$2:$J$2583,AH$1)</f>
        <v>0</v>
      </c>
      <c r="AI107" s="20">
        <f t="shared" si="1"/>
        <v>0</v>
      </c>
    </row>
    <row r="108" spans="2:35" ht="15" customHeight="1" x14ac:dyDescent="0.25">
      <c r="B108" s="88" t="s">
        <v>289</v>
      </c>
      <c r="C108" s="86">
        <v>20</v>
      </c>
      <c r="D108" s="183">
        <f>SUMIFS('ноябрь 2025'!$G$2:$G$2583,'ноябрь 2025'!$D$2:$D$2583,$B108,'ноябрь 2025'!$J$2:$J$2583,D$1)</f>
        <v>0</v>
      </c>
      <c r="E108" s="183">
        <f>SUMIFS('ноябрь 2025'!$G$2:$G$2583,'ноябрь 2025'!$D$2:$D$2583,$B108,'ноябрь 2025'!$J$2:$J$2583,E$1)</f>
        <v>0</v>
      </c>
      <c r="F108" s="183">
        <f>SUMIFS('ноябрь 2025'!$G$2:$G$2583,'ноябрь 2025'!$D$2:$D$2583,$B108,'ноябрь 2025'!$J$2:$J$2583,F$1)</f>
        <v>0</v>
      </c>
      <c r="G108" s="183">
        <f>SUMIFS('ноябрь 2025'!$G$2:$G$2583,'ноябрь 2025'!$D$2:$D$2583,$B108,'ноябрь 2025'!$J$2:$J$2583,G$1)</f>
        <v>0</v>
      </c>
      <c r="H108" s="183">
        <f>SUMIFS('ноябрь 2025'!$G$2:$G$2583,'ноябрь 2025'!$D$2:$D$2583,$B108,'ноябрь 2025'!$J$2:$J$2583,H$1)</f>
        <v>0</v>
      </c>
      <c r="I108" s="183">
        <f>SUMIFS('ноябрь 2025'!$G$2:$G$2583,'ноябрь 2025'!$D$2:$D$2583,$B108,'ноябрь 2025'!$J$2:$J$2583,I$1)</f>
        <v>0</v>
      </c>
      <c r="J108" s="183">
        <f>SUMIFS('ноябрь 2025'!$G$2:$G$2583,'ноябрь 2025'!$D$2:$D$2583,$B108,'ноябрь 2025'!$J$2:$J$2583,J$1)</f>
        <v>0</v>
      </c>
      <c r="K108" s="183">
        <f>SUMIFS('ноябрь 2025'!$G$2:$G$2583,'ноябрь 2025'!$D$2:$D$2583,$B108,'ноябрь 2025'!$J$2:$J$2583,K$1)</f>
        <v>0</v>
      </c>
      <c r="L108" s="183">
        <f>SUMIFS('ноябрь 2025'!$G$2:$G$2583,'ноябрь 2025'!$D$2:$D$2583,$B108,'ноябрь 2025'!$J$2:$J$2583,L$1)</f>
        <v>0</v>
      </c>
      <c r="M108" s="183">
        <f>SUMIFS('ноябрь 2025'!$G$2:$G$2583,'ноябрь 2025'!$D$2:$D$2583,$B108,'ноябрь 2025'!$J$2:$J$2583,M$1)</f>
        <v>0</v>
      </c>
      <c r="N108" s="183">
        <f>SUMIFS('ноябрь 2025'!$G$2:$G$2583,'ноябрь 2025'!$D$2:$D$2583,$B108,'ноябрь 2025'!$J$2:$J$2583,N$1)</f>
        <v>0</v>
      </c>
      <c r="O108" s="183">
        <f>SUMIFS('ноябрь 2025'!$G$2:$G$2583,'ноябрь 2025'!$D$2:$D$2583,$B108,'ноябрь 2025'!$J$2:$J$2583,O$1)</f>
        <v>0</v>
      </c>
      <c r="P108" s="183">
        <f>SUMIFS('ноябрь 2025'!$G$2:$G$2583,'ноябрь 2025'!$D$2:$D$2583,$B108,'ноябрь 2025'!$J$2:$J$2583,P$1)</f>
        <v>0</v>
      </c>
      <c r="Q108" s="183">
        <f>SUMIFS('ноябрь 2025'!$G$2:$G$2583,'ноябрь 2025'!$D$2:$D$2583,$B108,'ноябрь 2025'!$J$2:$J$2583,Q$1)</f>
        <v>0</v>
      </c>
      <c r="R108" s="183">
        <f>SUMIFS('ноябрь 2025'!$G$2:$G$2583,'ноябрь 2025'!$D$2:$D$2583,$B108,'ноябрь 2025'!$J$2:$J$2583,R$1)</f>
        <v>0</v>
      </c>
      <c r="S108" s="183">
        <f>SUMIFS('ноябрь 2025'!$G$2:$G$2583,'ноябрь 2025'!$D$2:$D$2583,$B108,'ноябрь 2025'!$J$2:$J$2583,S$1)</f>
        <v>0</v>
      </c>
      <c r="T108" s="183">
        <f>SUMIFS('ноябрь 2025'!$G$2:$G$2583,'ноябрь 2025'!$D$2:$D$2583,$B108,'ноябрь 2025'!$J$2:$J$2583,T$1)</f>
        <v>0</v>
      </c>
      <c r="U108" s="183">
        <f>SUMIFS('ноябрь 2025'!$G$2:$G$2583,'ноябрь 2025'!$D$2:$D$2583,$B108,'ноябрь 2025'!$J$2:$J$2583,U$1)</f>
        <v>0</v>
      </c>
      <c r="V108" s="183">
        <f>SUMIFS('ноябрь 2025'!$G$2:$G$2583,'ноябрь 2025'!$D$2:$D$2583,$B108,'ноябрь 2025'!$J$2:$J$2583,V$1)</f>
        <v>0</v>
      </c>
      <c r="W108" s="183">
        <f>SUMIFS('ноябрь 2025'!$G$2:$G$2583,'ноябрь 2025'!$D$2:$D$2583,$B108,'ноябрь 2025'!$J$2:$J$2583,W$1)</f>
        <v>0</v>
      </c>
      <c r="X108" s="183">
        <f>SUMIFS('ноябрь 2025'!$G$2:$G$2583,'ноябрь 2025'!$D$2:$D$2583,$B108,'ноябрь 2025'!$J$2:$J$2583,X$1)</f>
        <v>0</v>
      </c>
      <c r="Y108" s="183">
        <f>SUMIFS('ноябрь 2025'!$G$2:$G$2583,'ноябрь 2025'!$D$2:$D$2583,$B108,'ноябрь 2025'!$J$2:$J$2583,Y$1)</f>
        <v>0</v>
      </c>
      <c r="Z108" s="183">
        <f>SUMIFS('ноябрь 2025'!$G$2:$G$2583,'ноябрь 2025'!$D$2:$D$2583,$B108,'ноябрь 2025'!$J$2:$J$2583,Z$1)</f>
        <v>0</v>
      </c>
      <c r="AA108" s="183">
        <f>SUMIFS('ноябрь 2025'!$G$2:$G$2583,'ноябрь 2025'!$D$2:$D$2583,$B108,'ноябрь 2025'!$J$2:$J$2583,AA$1)</f>
        <v>0</v>
      </c>
      <c r="AB108" s="183">
        <f>SUMIFS('ноябрь 2025'!$G$2:$G$2583,'ноябрь 2025'!$D$2:$D$2583,$B108,'ноябрь 2025'!$J$2:$J$2583,AB$1)</f>
        <v>0</v>
      </c>
      <c r="AC108" s="183">
        <f>SUMIFS('ноябрь 2025'!$G$2:$G$2583,'ноябрь 2025'!$D$2:$D$2583,$B108,'ноябрь 2025'!$J$2:$J$2583,AC$1)</f>
        <v>0</v>
      </c>
      <c r="AD108" s="183">
        <f>SUMIFS('ноябрь 2025'!$G$2:$G$2583,'ноябрь 2025'!$D$2:$D$2583,$B108,'ноябрь 2025'!$J$2:$J$2583,AD$1)</f>
        <v>0</v>
      </c>
      <c r="AE108" s="183">
        <f>SUMIFS('ноябрь 2025'!$G$2:$G$2583,'ноябрь 2025'!$D$2:$D$2583,$B108,'ноябрь 2025'!$J$2:$J$2583,AE$1)</f>
        <v>0</v>
      </c>
      <c r="AF108" s="183">
        <f>SUMIFS('ноябрь 2025'!$G$2:$G$2583,'ноябрь 2025'!$D$2:$D$2583,$B108,'ноябрь 2025'!$J$2:$J$2583,AF$1)</f>
        <v>0</v>
      </c>
      <c r="AG108" s="183">
        <f>SUMIFS('ноябрь 2025'!$G$2:$G$2583,'ноябрь 2025'!$D$2:$D$2583,$B108,'ноябрь 2025'!$J$2:$J$2583,AG$1)</f>
        <v>0</v>
      </c>
      <c r="AH108" s="183">
        <f>SUMIFS('ноябрь 2025'!$G$2:$G$2583,'ноябрь 2025'!$D$2:$D$2583,$B108,'ноябрь 2025'!$J$2:$J$2583,AH$1)</f>
        <v>0</v>
      </c>
      <c r="AI108" s="20">
        <f t="shared" si="1"/>
        <v>0</v>
      </c>
    </row>
    <row r="109" spans="2:35" ht="15" customHeight="1" x14ac:dyDescent="0.25">
      <c r="B109" s="88" t="s">
        <v>315</v>
      </c>
      <c r="C109" s="86">
        <v>25</v>
      </c>
      <c r="D109" s="183">
        <f>SUMIFS('ноябрь 2025'!$G$2:$G$2583,'ноябрь 2025'!$D$2:$D$2583,$B109,'ноябрь 2025'!$J$2:$J$2583,D$1)</f>
        <v>0</v>
      </c>
      <c r="E109" s="183">
        <f>SUMIFS('ноябрь 2025'!$G$2:$G$2583,'ноябрь 2025'!$D$2:$D$2583,$B109,'ноябрь 2025'!$J$2:$J$2583,E$1)</f>
        <v>0</v>
      </c>
      <c r="F109" s="183">
        <f>SUMIFS('ноябрь 2025'!$G$2:$G$2583,'ноябрь 2025'!$D$2:$D$2583,$B109,'ноябрь 2025'!$J$2:$J$2583,F$1)</f>
        <v>0</v>
      </c>
      <c r="G109" s="183">
        <f>SUMIFS('ноябрь 2025'!$G$2:$G$2583,'ноябрь 2025'!$D$2:$D$2583,$B109,'ноябрь 2025'!$J$2:$J$2583,G$1)</f>
        <v>0</v>
      </c>
      <c r="H109" s="183">
        <f>SUMIFS('ноябрь 2025'!$G$2:$G$2583,'ноябрь 2025'!$D$2:$D$2583,$B109,'ноябрь 2025'!$J$2:$J$2583,H$1)</f>
        <v>0</v>
      </c>
      <c r="I109" s="183">
        <f>SUMIFS('ноябрь 2025'!$G$2:$G$2583,'ноябрь 2025'!$D$2:$D$2583,$B109,'ноябрь 2025'!$J$2:$J$2583,I$1)</f>
        <v>0</v>
      </c>
      <c r="J109" s="183">
        <f>SUMIFS('ноябрь 2025'!$G$2:$G$2583,'ноябрь 2025'!$D$2:$D$2583,$B109,'ноябрь 2025'!$J$2:$J$2583,J$1)</f>
        <v>0</v>
      </c>
      <c r="K109" s="183">
        <f>SUMIFS('ноябрь 2025'!$G$2:$G$2583,'ноябрь 2025'!$D$2:$D$2583,$B109,'ноябрь 2025'!$J$2:$J$2583,K$1)</f>
        <v>0</v>
      </c>
      <c r="L109" s="183">
        <f>SUMIFS('ноябрь 2025'!$G$2:$G$2583,'ноябрь 2025'!$D$2:$D$2583,$B109,'ноябрь 2025'!$J$2:$J$2583,L$1)</f>
        <v>0</v>
      </c>
      <c r="M109" s="183">
        <f>SUMIFS('ноябрь 2025'!$G$2:$G$2583,'ноябрь 2025'!$D$2:$D$2583,$B109,'ноябрь 2025'!$J$2:$J$2583,M$1)</f>
        <v>0</v>
      </c>
      <c r="N109" s="183">
        <f>SUMIFS('ноябрь 2025'!$G$2:$G$2583,'ноябрь 2025'!$D$2:$D$2583,$B109,'ноябрь 2025'!$J$2:$J$2583,N$1)</f>
        <v>0</v>
      </c>
      <c r="O109" s="183">
        <f>SUMIFS('ноябрь 2025'!$G$2:$G$2583,'ноябрь 2025'!$D$2:$D$2583,$B109,'ноябрь 2025'!$J$2:$J$2583,O$1)</f>
        <v>0</v>
      </c>
      <c r="P109" s="183">
        <f>SUMIFS('ноябрь 2025'!$G$2:$G$2583,'ноябрь 2025'!$D$2:$D$2583,$B109,'ноябрь 2025'!$J$2:$J$2583,P$1)</f>
        <v>0</v>
      </c>
      <c r="Q109" s="183">
        <f>SUMIFS('ноябрь 2025'!$G$2:$G$2583,'ноябрь 2025'!$D$2:$D$2583,$B109,'ноябрь 2025'!$J$2:$J$2583,Q$1)</f>
        <v>0</v>
      </c>
      <c r="R109" s="183">
        <f>SUMIFS('ноябрь 2025'!$G$2:$G$2583,'ноябрь 2025'!$D$2:$D$2583,$B109,'ноябрь 2025'!$J$2:$J$2583,R$1)</f>
        <v>0</v>
      </c>
      <c r="S109" s="183">
        <f>SUMIFS('ноябрь 2025'!$G$2:$G$2583,'ноябрь 2025'!$D$2:$D$2583,$B109,'ноябрь 2025'!$J$2:$J$2583,S$1)</f>
        <v>0</v>
      </c>
      <c r="T109" s="183">
        <f>SUMIFS('ноябрь 2025'!$G$2:$G$2583,'ноябрь 2025'!$D$2:$D$2583,$B109,'ноябрь 2025'!$J$2:$J$2583,T$1)</f>
        <v>0</v>
      </c>
      <c r="U109" s="183">
        <f>SUMIFS('ноябрь 2025'!$G$2:$G$2583,'ноябрь 2025'!$D$2:$D$2583,$B109,'ноябрь 2025'!$J$2:$J$2583,U$1)</f>
        <v>0</v>
      </c>
      <c r="V109" s="183">
        <f>SUMIFS('ноябрь 2025'!$G$2:$G$2583,'ноябрь 2025'!$D$2:$D$2583,$B109,'ноябрь 2025'!$J$2:$J$2583,V$1)</f>
        <v>0</v>
      </c>
      <c r="W109" s="183">
        <f>SUMIFS('ноябрь 2025'!$G$2:$G$2583,'ноябрь 2025'!$D$2:$D$2583,$B109,'ноябрь 2025'!$J$2:$J$2583,W$1)</f>
        <v>0</v>
      </c>
      <c r="X109" s="183">
        <f>SUMIFS('ноябрь 2025'!$G$2:$G$2583,'ноябрь 2025'!$D$2:$D$2583,$B109,'ноябрь 2025'!$J$2:$J$2583,X$1)</f>
        <v>0</v>
      </c>
      <c r="Y109" s="183">
        <f>SUMIFS('ноябрь 2025'!$G$2:$G$2583,'ноябрь 2025'!$D$2:$D$2583,$B109,'ноябрь 2025'!$J$2:$J$2583,Y$1)</f>
        <v>0</v>
      </c>
      <c r="Z109" s="183">
        <f>SUMIFS('ноябрь 2025'!$G$2:$G$2583,'ноябрь 2025'!$D$2:$D$2583,$B109,'ноябрь 2025'!$J$2:$J$2583,Z$1)</f>
        <v>0</v>
      </c>
      <c r="AA109" s="183">
        <f>SUMIFS('ноябрь 2025'!$G$2:$G$2583,'ноябрь 2025'!$D$2:$D$2583,$B109,'ноябрь 2025'!$J$2:$J$2583,AA$1)</f>
        <v>0</v>
      </c>
      <c r="AB109" s="183">
        <f>SUMIFS('ноябрь 2025'!$G$2:$G$2583,'ноябрь 2025'!$D$2:$D$2583,$B109,'ноябрь 2025'!$J$2:$J$2583,AB$1)</f>
        <v>0</v>
      </c>
      <c r="AC109" s="183">
        <f>SUMIFS('ноябрь 2025'!$G$2:$G$2583,'ноябрь 2025'!$D$2:$D$2583,$B109,'ноябрь 2025'!$J$2:$J$2583,AC$1)</f>
        <v>0</v>
      </c>
      <c r="AD109" s="183">
        <f>SUMIFS('ноябрь 2025'!$G$2:$G$2583,'ноябрь 2025'!$D$2:$D$2583,$B109,'ноябрь 2025'!$J$2:$J$2583,AD$1)</f>
        <v>0</v>
      </c>
      <c r="AE109" s="183">
        <f>SUMIFS('ноябрь 2025'!$G$2:$G$2583,'ноябрь 2025'!$D$2:$D$2583,$B109,'ноябрь 2025'!$J$2:$J$2583,AE$1)</f>
        <v>0</v>
      </c>
      <c r="AF109" s="183">
        <f>SUMIFS('ноябрь 2025'!$G$2:$G$2583,'ноябрь 2025'!$D$2:$D$2583,$B109,'ноябрь 2025'!$J$2:$J$2583,AF$1)</f>
        <v>0</v>
      </c>
      <c r="AG109" s="183">
        <f>SUMIFS('ноябрь 2025'!$G$2:$G$2583,'ноябрь 2025'!$D$2:$D$2583,$B109,'ноябрь 2025'!$J$2:$J$2583,AG$1)</f>
        <v>0</v>
      </c>
      <c r="AH109" s="183">
        <f>SUMIFS('ноябрь 2025'!$G$2:$G$2583,'ноябрь 2025'!$D$2:$D$2583,$B109,'ноябрь 2025'!$J$2:$J$2583,AH$1)</f>
        <v>0</v>
      </c>
      <c r="AI109" s="20">
        <f t="shared" si="1"/>
        <v>0</v>
      </c>
    </row>
    <row r="110" spans="2:35" ht="15" customHeight="1" x14ac:dyDescent="0.25">
      <c r="B110" s="88" t="s">
        <v>385</v>
      </c>
      <c r="C110" s="86">
        <v>28</v>
      </c>
      <c r="D110" s="183">
        <f>SUMIFS('ноябрь 2025'!$G$2:$G$2583,'ноябрь 2025'!$D$2:$D$2583,$B110,'ноябрь 2025'!$J$2:$J$2583,D$1)</f>
        <v>0</v>
      </c>
      <c r="E110" s="183">
        <f>SUMIFS('ноябрь 2025'!$G$2:$G$2583,'ноябрь 2025'!$D$2:$D$2583,$B110,'ноябрь 2025'!$J$2:$J$2583,E$1)</f>
        <v>0</v>
      </c>
      <c r="F110" s="183">
        <f>SUMIFS('ноябрь 2025'!$G$2:$G$2583,'ноябрь 2025'!$D$2:$D$2583,$B110,'ноябрь 2025'!$J$2:$J$2583,F$1)</f>
        <v>0</v>
      </c>
      <c r="G110" s="183">
        <f>SUMIFS('ноябрь 2025'!$G$2:$G$2583,'ноябрь 2025'!$D$2:$D$2583,$B110,'ноябрь 2025'!$J$2:$J$2583,G$1)</f>
        <v>0</v>
      </c>
      <c r="H110" s="183">
        <f>SUMIFS('ноябрь 2025'!$G$2:$G$2583,'ноябрь 2025'!$D$2:$D$2583,$B110,'ноябрь 2025'!$J$2:$J$2583,H$1)</f>
        <v>0</v>
      </c>
      <c r="I110" s="183">
        <f>SUMIFS('ноябрь 2025'!$G$2:$G$2583,'ноябрь 2025'!$D$2:$D$2583,$B110,'ноябрь 2025'!$J$2:$J$2583,I$1)</f>
        <v>0</v>
      </c>
      <c r="J110" s="183">
        <f>SUMIFS('ноябрь 2025'!$G$2:$G$2583,'ноябрь 2025'!$D$2:$D$2583,$B110,'ноябрь 2025'!$J$2:$J$2583,J$1)</f>
        <v>0</v>
      </c>
      <c r="K110" s="183">
        <f>SUMIFS('ноябрь 2025'!$G$2:$G$2583,'ноябрь 2025'!$D$2:$D$2583,$B110,'ноябрь 2025'!$J$2:$J$2583,K$1)</f>
        <v>0</v>
      </c>
      <c r="L110" s="183">
        <f>SUMIFS('ноябрь 2025'!$G$2:$G$2583,'ноябрь 2025'!$D$2:$D$2583,$B110,'ноябрь 2025'!$J$2:$J$2583,L$1)</f>
        <v>0</v>
      </c>
      <c r="M110" s="183">
        <f>SUMIFS('ноябрь 2025'!$G$2:$G$2583,'ноябрь 2025'!$D$2:$D$2583,$B110,'ноябрь 2025'!$J$2:$J$2583,M$1)</f>
        <v>0</v>
      </c>
      <c r="N110" s="183">
        <f>SUMIFS('ноябрь 2025'!$G$2:$G$2583,'ноябрь 2025'!$D$2:$D$2583,$B110,'ноябрь 2025'!$J$2:$J$2583,N$1)</f>
        <v>0</v>
      </c>
      <c r="O110" s="183">
        <f>SUMIFS('ноябрь 2025'!$G$2:$G$2583,'ноябрь 2025'!$D$2:$D$2583,$B110,'ноябрь 2025'!$J$2:$J$2583,O$1)</f>
        <v>0</v>
      </c>
      <c r="P110" s="183">
        <f>SUMIFS('ноябрь 2025'!$G$2:$G$2583,'ноябрь 2025'!$D$2:$D$2583,$B110,'ноябрь 2025'!$J$2:$J$2583,P$1)</f>
        <v>0</v>
      </c>
      <c r="Q110" s="183">
        <f>SUMIFS('ноябрь 2025'!$G$2:$G$2583,'ноябрь 2025'!$D$2:$D$2583,$B110,'ноябрь 2025'!$J$2:$J$2583,Q$1)</f>
        <v>0</v>
      </c>
      <c r="R110" s="183">
        <f>SUMIFS('ноябрь 2025'!$G$2:$G$2583,'ноябрь 2025'!$D$2:$D$2583,$B110,'ноябрь 2025'!$J$2:$J$2583,R$1)</f>
        <v>0</v>
      </c>
      <c r="S110" s="183">
        <f>SUMIFS('ноябрь 2025'!$G$2:$G$2583,'ноябрь 2025'!$D$2:$D$2583,$B110,'ноябрь 2025'!$J$2:$J$2583,S$1)</f>
        <v>0</v>
      </c>
      <c r="T110" s="183">
        <f>SUMIFS('ноябрь 2025'!$G$2:$G$2583,'ноябрь 2025'!$D$2:$D$2583,$B110,'ноябрь 2025'!$J$2:$J$2583,T$1)</f>
        <v>0</v>
      </c>
      <c r="U110" s="183">
        <f>SUMIFS('ноябрь 2025'!$G$2:$G$2583,'ноябрь 2025'!$D$2:$D$2583,$B110,'ноябрь 2025'!$J$2:$J$2583,U$1)</f>
        <v>0</v>
      </c>
      <c r="V110" s="183">
        <f>SUMIFS('ноябрь 2025'!$G$2:$G$2583,'ноябрь 2025'!$D$2:$D$2583,$B110,'ноябрь 2025'!$J$2:$J$2583,V$1)</f>
        <v>0</v>
      </c>
      <c r="W110" s="183">
        <f>SUMIFS('ноябрь 2025'!$G$2:$G$2583,'ноябрь 2025'!$D$2:$D$2583,$B110,'ноябрь 2025'!$J$2:$J$2583,W$1)</f>
        <v>0</v>
      </c>
      <c r="X110" s="183">
        <f>SUMIFS('ноябрь 2025'!$G$2:$G$2583,'ноябрь 2025'!$D$2:$D$2583,$B110,'ноябрь 2025'!$J$2:$J$2583,X$1)</f>
        <v>0</v>
      </c>
      <c r="Y110" s="183">
        <f>SUMIFS('ноябрь 2025'!$G$2:$G$2583,'ноябрь 2025'!$D$2:$D$2583,$B110,'ноябрь 2025'!$J$2:$J$2583,Y$1)</f>
        <v>0</v>
      </c>
      <c r="Z110" s="183">
        <f>SUMIFS('ноябрь 2025'!$G$2:$G$2583,'ноябрь 2025'!$D$2:$D$2583,$B110,'ноябрь 2025'!$J$2:$J$2583,Z$1)</f>
        <v>0</v>
      </c>
      <c r="AA110" s="183">
        <f>SUMIFS('ноябрь 2025'!$G$2:$G$2583,'ноябрь 2025'!$D$2:$D$2583,$B110,'ноябрь 2025'!$J$2:$J$2583,AA$1)</f>
        <v>0</v>
      </c>
      <c r="AB110" s="183">
        <f>SUMIFS('ноябрь 2025'!$G$2:$G$2583,'ноябрь 2025'!$D$2:$D$2583,$B110,'ноябрь 2025'!$J$2:$J$2583,AB$1)</f>
        <v>0</v>
      </c>
      <c r="AC110" s="183">
        <f>SUMIFS('ноябрь 2025'!$G$2:$G$2583,'ноябрь 2025'!$D$2:$D$2583,$B110,'ноябрь 2025'!$J$2:$J$2583,AC$1)</f>
        <v>0</v>
      </c>
      <c r="AD110" s="183">
        <f>SUMIFS('ноябрь 2025'!$G$2:$G$2583,'ноябрь 2025'!$D$2:$D$2583,$B110,'ноябрь 2025'!$J$2:$J$2583,AD$1)</f>
        <v>0</v>
      </c>
      <c r="AE110" s="183">
        <f>SUMIFS('ноябрь 2025'!$G$2:$G$2583,'ноябрь 2025'!$D$2:$D$2583,$B110,'ноябрь 2025'!$J$2:$J$2583,AE$1)</f>
        <v>0</v>
      </c>
      <c r="AF110" s="183">
        <f>SUMIFS('ноябрь 2025'!$G$2:$G$2583,'ноябрь 2025'!$D$2:$D$2583,$B110,'ноябрь 2025'!$J$2:$J$2583,AF$1)</f>
        <v>0</v>
      </c>
      <c r="AG110" s="183">
        <f>SUMIFS('ноябрь 2025'!$G$2:$G$2583,'ноябрь 2025'!$D$2:$D$2583,$B110,'ноябрь 2025'!$J$2:$J$2583,AG$1)</f>
        <v>0</v>
      </c>
      <c r="AH110" s="183">
        <f>SUMIFS('ноябрь 2025'!$G$2:$G$2583,'ноябрь 2025'!$D$2:$D$2583,$B110,'ноябрь 2025'!$J$2:$J$2583,AH$1)</f>
        <v>0</v>
      </c>
      <c r="AI110" s="20">
        <f t="shared" si="1"/>
        <v>0</v>
      </c>
    </row>
    <row r="111" spans="2:35" ht="15" customHeight="1" x14ac:dyDescent="0.25">
      <c r="B111" s="88" t="s">
        <v>193</v>
      </c>
      <c r="C111" s="86">
        <v>180</v>
      </c>
      <c r="D111" s="183">
        <f>SUMIFS('ноябрь 2025'!$G$2:$G$2583,'ноябрь 2025'!$D$2:$D$2583,$B111,'ноябрь 2025'!$J$2:$J$2583,D$1)</f>
        <v>0</v>
      </c>
      <c r="E111" s="183">
        <f>SUMIFS('ноябрь 2025'!$G$2:$G$2583,'ноябрь 2025'!$D$2:$D$2583,$B111,'ноябрь 2025'!$J$2:$J$2583,E$1)</f>
        <v>0</v>
      </c>
      <c r="F111" s="183">
        <f>SUMIFS('ноябрь 2025'!$G$2:$G$2583,'ноябрь 2025'!$D$2:$D$2583,$B111,'ноябрь 2025'!$J$2:$J$2583,F$1)</f>
        <v>0</v>
      </c>
      <c r="G111" s="183">
        <f>SUMIFS('ноябрь 2025'!$G$2:$G$2583,'ноябрь 2025'!$D$2:$D$2583,$B111,'ноябрь 2025'!$J$2:$J$2583,G$1)</f>
        <v>0</v>
      </c>
      <c r="H111" s="183">
        <f>SUMIFS('ноябрь 2025'!$G$2:$G$2583,'ноябрь 2025'!$D$2:$D$2583,$B111,'ноябрь 2025'!$J$2:$J$2583,H$1)</f>
        <v>0</v>
      </c>
      <c r="I111" s="183">
        <f>SUMIFS('ноябрь 2025'!$G$2:$G$2583,'ноябрь 2025'!$D$2:$D$2583,$B111,'ноябрь 2025'!$J$2:$J$2583,I$1)</f>
        <v>0</v>
      </c>
      <c r="J111" s="183">
        <f>SUMIFS('ноябрь 2025'!$G$2:$G$2583,'ноябрь 2025'!$D$2:$D$2583,$B111,'ноябрь 2025'!$J$2:$J$2583,J$1)</f>
        <v>0</v>
      </c>
      <c r="K111" s="183">
        <f>SUMIFS('ноябрь 2025'!$G$2:$G$2583,'ноябрь 2025'!$D$2:$D$2583,$B111,'ноябрь 2025'!$J$2:$J$2583,K$1)</f>
        <v>0</v>
      </c>
      <c r="L111" s="183">
        <f>SUMIFS('ноябрь 2025'!$G$2:$G$2583,'ноябрь 2025'!$D$2:$D$2583,$B111,'ноябрь 2025'!$J$2:$J$2583,L$1)</f>
        <v>0</v>
      </c>
      <c r="M111" s="183">
        <f>SUMIFS('ноябрь 2025'!$G$2:$G$2583,'ноябрь 2025'!$D$2:$D$2583,$B111,'ноябрь 2025'!$J$2:$J$2583,M$1)</f>
        <v>0</v>
      </c>
      <c r="N111" s="183">
        <f>SUMIFS('ноябрь 2025'!$G$2:$G$2583,'ноябрь 2025'!$D$2:$D$2583,$B111,'ноябрь 2025'!$J$2:$J$2583,N$1)</f>
        <v>0</v>
      </c>
      <c r="O111" s="183">
        <f>SUMIFS('ноябрь 2025'!$G$2:$G$2583,'ноябрь 2025'!$D$2:$D$2583,$B111,'ноябрь 2025'!$J$2:$J$2583,O$1)</f>
        <v>0</v>
      </c>
      <c r="P111" s="183">
        <f>SUMIFS('ноябрь 2025'!$G$2:$G$2583,'ноябрь 2025'!$D$2:$D$2583,$B111,'ноябрь 2025'!$J$2:$J$2583,P$1)</f>
        <v>0</v>
      </c>
      <c r="Q111" s="183">
        <f>SUMIFS('ноябрь 2025'!$G$2:$G$2583,'ноябрь 2025'!$D$2:$D$2583,$B111,'ноябрь 2025'!$J$2:$J$2583,Q$1)</f>
        <v>0</v>
      </c>
      <c r="R111" s="183">
        <f>SUMIFS('ноябрь 2025'!$G$2:$G$2583,'ноябрь 2025'!$D$2:$D$2583,$B111,'ноябрь 2025'!$J$2:$J$2583,R$1)</f>
        <v>0</v>
      </c>
      <c r="S111" s="183">
        <f>SUMIFS('ноябрь 2025'!$G$2:$G$2583,'ноябрь 2025'!$D$2:$D$2583,$B111,'ноябрь 2025'!$J$2:$J$2583,S$1)</f>
        <v>0</v>
      </c>
      <c r="T111" s="183">
        <f>SUMIFS('ноябрь 2025'!$G$2:$G$2583,'ноябрь 2025'!$D$2:$D$2583,$B111,'ноябрь 2025'!$J$2:$J$2583,T$1)</f>
        <v>0</v>
      </c>
      <c r="U111" s="183">
        <f>SUMIFS('ноябрь 2025'!$G$2:$G$2583,'ноябрь 2025'!$D$2:$D$2583,$B111,'ноябрь 2025'!$J$2:$J$2583,U$1)</f>
        <v>0</v>
      </c>
      <c r="V111" s="183">
        <f>SUMIFS('ноябрь 2025'!$G$2:$G$2583,'ноябрь 2025'!$D$2:$D$2583,$B111,'ноябрь 2025'!$J$2:$J$2583,V$1)</f>
        <v>0</v>
      </c>
      <c r="W111" s="183">
        <f>SUMIFS('ноябрь 2025'!$G$2:$G$2583,'ноябрь 2025'!$D$2:$D$2583,$B111,'ноябрь 2025'!$J$2:$J$2583,W$1)</f>
        <v>0</v>
      </c>
      <c r="X111" s="183">
        <f>SUMIFS('ноябрь 2025'!$G$2:$G$2583,'ноябрь 2025'!$D$2:$D$2583,$B111,'ноябрь 2025'!$J$2:$J$2583,X$1)</f>
        <v>0</v>
      </c>
      <c r="Y111" s="183">
        <f>SUMIFS('ноябрь 2025'!$G$2:$G$2583,'ноябрь 2025'!$D$2:$D$2583,$B111,'ноябрь 2025'!$J$2:$J$2583,Y$1)</f>
        <v>0</v>
      </c>
      <c r="Z111" s="183">
        <f>SUMIFS('ноябрь 2025'!$G$2:$G$2583,'ноябрь 2025'!$D$2:$D$2583,$B111,'ноябрь 2025'!$J$2:$J$2583,Z$1)</f>
        <v>0</v>
      </c>
      <c r="AA111" s="183">
        <f>SUMIFS('ноябрь 2025'!$G$2:$G$2583,'ноябрь 2025'!$D$2:$D$2583,$B111,'ноябрь 2025'!$J$2:$J$2583,AA$1)</f>
        <v>0</v>
      </c>
      <c r="AB111" s="183">
        <f>SUMIFS('ноябрь 2025'!$G$2:$G$2583,'ноябрь 2025'!$D$2:$D$2583,$B111,'ноябрь 2025'!$J$2:$J$2583,AB$1)</f>
        <v>0</v>
      </c>
      <c r="AC111" s="183">
        <f>SUMIFS('ноябрь 2025'!$G$2:$G$2583,'ноябрь 2025'!$D$2:$D$2583,$B111,'ноябрь 2025'!$J$2:$J$2583,AC$1)</f>
        <v>0</v>
      </c>
      <c r="AD111" s="183">
        <f>SUMIFS('ноябрь 2025'!$G$2:$G$2583,'ноябрь 2025'!$D$2:$D$2583,$B111,'ноябрь 2025'!$J$2:$J$2583,AD$1)</f>
        <v>0</v>
      </c>
      <c r="AE111" s="183">
        <f>SUMIFS('ноябрь 2025'!$G$2:$G$2583,'ноябрь 2025'!$D$2:$D$2583,$B111,'ноябрь 2025'!$J$2:$J$2583,AE$1)</f>
        <v>0</v>
      </c>
      <c r="AF111" s="183">
        <f>SUMIFS('ноябрь 2025'!$G$2:$G$2583,'ноябрь 2025'!$D$2:$D$2583,$B111,'ноябрь 2025'!$J$2:$J$2583,AF$1)</f>
        <v>0</v>
      </c>
      <c r="AG111" s="183">
        <f>SUMIFS('ноябрь 2025'!$G$2:$G$2583,'ноябрь 2025'!$D$2:$D$2583,$B111,'ноябрь 2025'!$J$2:$J$2583,AG$1)</f>
        <v>0</v>
      </c>
      <c r="AH111" s="183">
        <f>SUMIFS('ноябрь 2025'!$G$2:$G$2583,'ноябрь 2025'!$D$2:$D$2583,$B111,'ноябрь 2025'!$J$2:$J$2583,AH$1)</f>
        <v>0</v>
      </c>
      <c r="AI111" s="20">
        <f t="shared" si="1"/>
        <v>0</v>
      </c>
    </row>
    <row r="112" spans="2:35" ht="15" customHeight="1" x14ac:dyDescent="0.25">
      <c r="B112" s="84" t="s">
        <v>194</v>
      </c>
      <c r="C112" s="83">
        <v>200</v>
      </c>
      <c r="D112" s="183">
        <f>SUMIFS('ноябрь 2025'!$G$2:$G$2583,'ноябрь 2025'!$D$2:$D$2583,$B112,'ноябрь 2025'!$J$2:$J$2583,D$1)</f>
        <v>0</v>
      </c>
      <c r="E112" s="183">
        <f>SUMIFS('ноябрь 2025'!$G$2:$G$2583,'ноябрь 2025'!$D$2:$D$2583,$B112,'ноябрь 2025'!$J$2:$J$2583,E$1)</f>
        <v>0</v>
      </c>
      <c r="F112" s="183">
        <f>SUMIFS('ноябрь 2025'!$G$2:$G$2583,'ноябрь 2025'!$D$2:$D$2583,$B112,'ноябрь 2025'!$J$2:$J$2583,F$1)</f>
        <v>0</v>
      </c>
      <c r="G112" s="183">
        <f>SUMIFS('ноябрь 2025'!$G$2:$G$2583,'ноябрь 2025'!$D$2:$D$2583,$B112,'ноябрь 2025'!$J$2:$J$2583,G$1)</f>
        <v>0</v>
      </c>
      <c r="H112" s="183">
        <f>SUMIFS('ноябрь 2025'!$G$2:$G$2583,'ноябрь 2025'!$D$2:$D$2583,$B112,'ноябрь 2025'!$J$2:$J$2583,H$1)</f>
        <v>80</v>
      </c>
      <c r="I112" s="183">
        <f>SUMIFS('ноябрь 2025'!$G$2:$G$2583,'ноябрь 2025'!$D$2:$D$2583,$B112,'ноябрь 2025'!$J$2:$J$2583,I$1)</f>
        <v>0</v>
      </c>
      <c r="J112" s="183">
        <f>SUMIFS('ноябрь 2025'!$G$2:$G$2583,'ноябрь 2025'!$D$2:$D$2583,$B112,'ноябрь 2025'!$J$2:$J$2583,J$1)</f>
        <v>0</v>
      </c>
      <c r="K112" s="183">
        <f>SUMIFS('ноябрь 2025'!$G$2:$G$2583,'ноябрь 2025'!$D$2:$D$2583,$B112,'ноябрь 2025'!$J$2:$J$2583,K$1)</f>
        <v>0</v>
      </c>
      <c r="L112" s="183">
        <f>SUMIFS('ноябрь 2025'!$G$2:$G$2583,'ноябрь 2025'!$D$2:$D$2583,$B112,'ноябрь 2025'!$J$2:$J$2583,L$1)</f>
        <v>0</v>
      </c>
      <c r="M112" s="183">
        <f>SUMIFS('ноябрь 2025'!$G$2:$G$2583,'ноябрь 2025'!$D$2:$D$2583,$B112,'ноябрь 2025'!$J$2:$J$2583,M$1)</f>
        <v>0</v>
      </c>
      <c r="N112" s="183">
        <f>SUMIFS('ноябрь 2025'!$G$2:$G$2583,'ноябрь 2025'!$D$2:$D$2583,$B112,'ноябрь 2025'!$J$2:$J$2583,N$1)</f>
        <v>0</v>
      </c>
      <c r="O112" s="183">
        <f>SUMIFS('ноябрь 2025'!$G$2:$G$2583,'ноябрь 2025'!$D$2:$D$2583,$B112,'ноябрь 2025'!$J$2:$J$2583,O$1)</f>
        <v>0</v>
      </c>
      <c r="P112" s="183">
        <f>SUMIFS('ноябрь 2025'!$G$2:$G$2583,'ноябрь 2025'!$D$2:$D$2583,$B112,'ноябрь 2025'!$J$2:$J$2583,P$1)</f>
        <v>88</v>
      </c>
      <c r="Q112" s="183">
        <f>SUMIFS('ноябрь 2025'!$G$2:$G$2583,'ноябрь 2025'!$D$2:$D$2583,$B112,'ноябрь 2025'!$J$2:$J$2583,Q$1)</f>
        <v>0</v>
      </c>
      <c r="R112" s="183">
        <f>SUMIFS('ноябрь 2025'!$G$2:$G$2583,'ноябрь 2025'!$D$2:$D$2583,$B112,'ноябрь 2025'!$J$2:$J$2583,R$1)</f>
        <v>0</v>
      </c>
      <c r="S112" s="183">
        <f>SUMIFS('ноябрь 2025'!$G$2:$G$2583,'ноябрь 2025'!$D$2:$D$2583,$B112,'ноябрь 2025'!$J$2:$J$2583,S$1)</f>
        <v>0</v>
      </c>
      <c r="T112" s="183">
        <f>SUMIFS('ноябрь 2025'!$G$2:$G$2583,'ноябрь 2025'!$D$2:$D$2583,$B112,'ноябрь 2025'!$J$2:$J$2583,T$1)</f>
        <v>0</v>
      </c>
      <c r="U112" s="183">
        <f>SUMIFS('ноябрь 2025'!$G$2:$G$2583,'ноябрь 2025'!$D$2:$D$2583,$B112,'ноябрь 2025'!$J$2:$J$2583,U$1)</f>
        <v>0</v>
      </c>
      <c r="V112" s="183">
        <f>SUMIFS('ноябрь 2025'!$G$2:$G$2583,'ноябрь 2025'!$D$2:$D$2583,$B112,'ноябрь 2025'!$J$2:$J$2583,V$1)</f>
        <v>0</v>
      </c>
      <c r="W112" s="183">
        <f>SUMIFS('ноябрь 2025'!$G$2:$G$2583,'ноябрь 2025'!$D$2:$D$2583,$B112,'ноябрь 2025'!$J$2:$J$2583,W$1)</f>
        <v>0</v>
      </c>
      <c r="X112" s="183">
        <f>SUMIFS('ноябрь 2025'!$G$2:$G$2583,'ноябрь 2025'!$D$2:$D$2583,$B112,'ноябрь 2025'!$J$2:$J$2583,X$1)</f>
        <v>0</v>
      </c>
      <c r="Y112" s="183">
        <f>SUMIFS('ноябрь 2025'!$G$2:$G$2583,'ноябрь 2025'!$D$2:$D$2583,$B112,'ноябрь 2025'!$J$2:$J$2583,Y$1)</f>
        <v>0</v>
      </c>
      <c r="Z112" s="183">
        <f>SUMIFS('ноябрь 2025'!$G$2:$G$2583,'ноябрь 2025'!$D$2:$D$2583,$B112,'ноябрь 2025'!$J$2:$J$2583,Z$1)</f>
        <v>0</v>
      </c>
      <c r="AA112" s="183">
        <f>SUMIFS('ноябрь 2025'!$G$2:$G$2583,'ноябрь 2025'!$D$2:$D$2583,$B112,'ноябрь 2025'!$J$2:$J$2583,AA$1)</f>
        <v>0</v>
      </c>
      <c r="AB112" s="183">
        <f>SUMIFS('ноябрь 2025'!$G$2:$G$2583,'ноябрь 2025'!$D$2:$D$2583,$B112,'ноябрь 2025'!$J$2:$J$2583,AB$1)</f>
        <v>0</v>
      </c>
      <c r="AC112" s="183">
        <f>SUMIFS('ноябрь 2025'!$G$2:$G$2583,'ноябрь 2025'!$D$2:$D$2583,$B112,'ноябрь 2025'!$J$2:$J$2583,AC$1)</f>
        <v>0</v>
      </c>
      <c r="AD112" s="183">
        <f>SUMIFS('ноябрь 2025'!$G$2:$G$2583,'ноябрь 2025'!$D$2:$D$2583,$B112,'ноябрь 2025'!$J$2:$J$2583,AD$1)</f>
        <v>0</v>
      </c>
      <c r="AE112" s="183">
        <f>SUMIFS('ноябрь 2025'!$G$2:$G$2583,'ноябрь 2025'!$D$2:$D$2583,$B112,'ноябрь 2025'!$J$2:$J$2583,AE$1)</f>
        <v>88</v>
      </c>
      <c r="AF112" s="183">
        <f>SUMIFS('ноябрь 2025'!$G$2:$G$2583,'ноябрь 2025'!$D$2:$D$2583,$B112,'ноябрь 2025'!$J$2:$J$2583,AF$1)</f>
        <v>0</v>
      </c>
      <c r="AG112" s="183">
        <f>SUMIFS('ноябрь 2025'!$G$2:$G$2583,'ноябрь 2025'!$D$2:$D$2583,$B112,'ноябрь 2025'!$J$2:$J$2583,AG$1)</f>
        <v>0</v>
      </c>
      <c r="AH112" s="183">
        <f>SUMIFS('ноябрь 2025'!$G$2:$G$2583,'ноябрь 2025'!$D$2:$D$2583,$B112,'ноябрь 2025'!$J$2:$J$2583,AH$1)</f>
        <v>0</v>
      </c>
      <c r="AI112" s="20">
        <f t="shared" si="1"/>
        <v>256</v>
      </c>
    </row>
    <row r="113" spans="2:35" ht="15" customHeight="1" x14ac:dyDescent="0.25">
      <c r="B113" s="87" t="s">
        <v>169</v>
      </c>
      <c r="C113" s="86">
        <v>180</v>
      </c>
      <c r="D113" s="183">
        <f>SUMIFS('ноябрь 2025'!$G$2:$G$2583,'ноябрь 2025'!$D$2:$D$2583,$B113,'ноябрь 2025'!$J$2:$J$2583,D$1)</f>
        <v>0</v>
      </c>
      <c r="E113" s="183">
        <f>SUMIFS('ноябрь 2025'!$G$2:$G$2583,'ноябрь 2025'!$D$2:$D$2583,$B113,'ноябрь 2025'!$J$2:$J$2583,E$1)</f>
        <v>0</v>
      </c>
      <c r="F113" s="183">
        <f>SUMIFS('ноябрь 2025'!$G$2:$G$2583,'ноябрь 2025'!$D$2:$D$2583,$B113,'ноябрь 2025'!$J$2:$J$2583,F$1)</f>
        <v>0</v>
      </c>
      <c r="G113" s="183">
        <f>SUMIFS('ноябрь 2025'!$G$2:$G$2583,'ноябрь 2025'!$D$2:$D$2583,$B113,'ноябрь 2025'!$J$2:$J$2583,G$1)</f>
        <v>0</v>
      </c>
      <c r="H113" s="183">
        <f>SUMIFS('ноябрь 2025'!$G$2:$G$2583,'ноябрь 2025'!$D$2:$D$2583,$B113,'ноябрь 2025'!$J$2:$J$2583,H$1)</f>
        <v>0</v>
      </c>
      <c r="I113" s="183">
        <f>SUMIFS('ноябрь 2025'!$G$2:$G$2583,'ноябрь 2025'!$D$2:$D$2583,$B113,'ноябрь 2025'!$J$2:$J$2583,I$1)</f>
        <v>0</v>
      </c>
      <c r="J113" s="183">
        <f>SUMIFS('ноябрь 2025'!$G$2:$G$2583,'ноябрь 2025'!$D$2:$D$2583,$B113,'ноябрь 2025'!$J$2:$J$2583,J$1)</f>
        <v>0</v>
      </c>
      <c r="K113" s="183">
        <f>SUMIFS('ноябрь 2025'!$G$2:$G$2583,'ноябрь 2025'!$D$2:$D$2583,$B113,'ноябрь 2025'!$J$2:$J$2583,K$1)</f>
        <v>0</v>
      </c>
      <c r="L113" s="183">
        <f>SUMIFS('ноябрь 2025'!$G$2:$G$2583,'ноябрь 2025'!$D$2:$D$2583,$B113,'ноябрь 2025'!$J$2:$J$2583,L$1)</f>
        <v>0</v>
      </c>
      <c r="M113" s="183">
        <f>SUMIFS('ноябрь 2025'!$G$2:$G$2583,'ноябрь 2025'!$D$2:$D$2583,$B113,'ноябрь 2025'!$J$2:$J$2583,M$1)</f>
        <v>0</v>
      </c>
      <c r="N113" s="183">
        <f>SUMIFS('ноябрь 2025'!$G$2:$G$2583,'ноябрь 2025'!$D$2:$D$2583,$B113,'ноябрь 2025'!$J$2:$J$2583,N$1)</f>
        <v>0</v>
      </c>
      <c r="O113" s="183">
        <f>SUMIFS('ноябрь 2025'!$G$2:$G$2583,'ноябрь 2025'!$D$2:$D$2583,$B113,'ноябрь 2025'!$J$2:$J$2583,O$1)</f>
        <v>0</v>
      </c>
      <c r="P113" s="183">
        <f>SUMIFS('ноябрь 2025'!$G$2:$G$2583,'ноябрь 2025'!$D$2:$D$2583,$B113,'ноябрь 2025'!$J$2:$J$2583,P$1)</f>
        <v>0</v>
      </c>
      <c r="Q113" s="183">
        <f>SUMIFS('ноябрь 2025'!$G$2:$G$2583,'ноябрь 2025'!$D$2:$D$2583,$B113,'ноябрь 2025'!$J$2:$J$2583,Q$1)</f>
        <v>0</v>
      </c>
      <c r="R113" s="183">
        <f>SUMIFS('ноябрь 2025'!$G$2:$G$2583,'ноябрь 2025'!$D$2:$D$2583,$B113,'ноябрь 2025'!$J$2:$J$2583,R$1)</f>
        <v>0</v>
      </c>
      <c r="S113" s="183">
        <f>SUMIFS('ноябрь 2025'!$G$2:$G$2583,'ноябрь 2025'!$D$2:$D$2583,$B113,'ноябрь 2025'!$J$2:$J$2583,S$1)</f>
        <v>0</v>
      </c>
      <c r="T113" s="183">
        <f>SUMIFS('ноябрь 2025'!$G$2:$G$2583,'ноябрь 2025'!$D$2:$D$2583,$B113,'ноябрь 2025'!$J$2:$J$2583,T$1)</f>
        <v>0</v>
      </c>
      <c r="U113" s="183">
        <f>SUMIFS('ноябрь 2025'!$G$2:$G$2583,'ноябрь 2025'!$D$2:$D$2583,$B113,'ноябрь 2025'!$J$2:$J$2583,U$1)</f>
        <v>0</v>
      </c>
      <c r="V113" s="183">
        <f>SUMIFS('ноябрь 2025'!$G$2:$G$2583,'ноябрь 2025'!$D$2:$D$2583,$B113,'ноябрь 2025'!$J$2:$J$2583,V$1)</f>
        <v>0</v>
      </c>
      <c r="W113" s="183">
        <f>SUMIFS('ноябрь 2025'!$G$2:$G$2583,'ноябрь 2025'!$D$2:$D$2583,$B113,'ноябрь 2025'!$J$2:$J$2583,W$1)</f>
        <v>0</v>
      </c>
      <c r="X113" s="183">
        <f>SUMIFS('ноябрь 2025'!$G$2:$G$2583,'ноябрь 2025'!$D$2:$D$2583,$B113,'ноябрь 2025'!$J$2:$J$2583,X$1)</f>
        <v>0</v>
      </c>
      <c r="Y113" s="183">
        <f>SUMIFS('ноябрь 2025'!$G$2:$G$2583,'ноябрь 2025'!$D$2:$D$2583,$B113,'ноябрь 2025'!$J$2:$J$2583,Y$1)</f>
        <v>0</v>
      </c>
      <c r="Z113" s="183">
        <f>SUMIFS('ноябрь 2025'!$G$2:$G$2583,'ноябрь 2025'!$D$2:$D$2583,$B113,'ноябрь 2025'!$J$2:$J$2583,Z$1)</f>
        <v>0</v>
      </c>
      <c r="AA113" s="183">
        <f>SUMIFS('ноябрь 2025'!$G$2:$G$2583,'ноябрь 2025'!$D$2:$D$2583,$B113,'ноябрь 2025'!$J$2:$J$2583,AA$1)</f>
        <v>0</v>
      </c>
      <c r="AB113" s="183">
        <f>SUMIFS('ноябрь 2025'!$G$2:$G$2583,'ноябрь 2025'!$D$2:$D$2583,$B113,'ноябрь 2025'!$J$2:$J$2583,AB$1)</f>
        <v>0</v>
      </c>
      <c r="AC113" s="183">
        <f>SUMIFS('ноябрь 2025'!$G$2:$G$2583,'ноябрь 2025'!$D$2:$D$2583,$B113,'ноябрь 2025'!$J$2:$J$2583,AC$1)</f>
        <v>0</v>
      </c>
      <c r="AD113" s="183">
        <f>SUMIFS('ноябрь 2025'!$G$2:$G$2583,'ноябрь 2025'!$D$2:$D$2583,$B113,'ноябрь 2025'!$J$2:$J$2583,AD$1)</f>
        <v>0</v>
      </c>
      <c r="AE113" s="183">
        <f>SUMIFS('ноябрь 2025'!$G$2:$G$2583,'ноябрь 2025'!$D$2:$D$2583,$B113,'ноябрь 2025'!$J$2:$J$2583,AE$1)</f>
        <v>0</v>
      </c>
      <c r="AF113" s="183">
        <f>SUMIFS('ноябрь 2025'!$G$2:$G$2583,'ноябрь 2025'!$D$2:$D$2583,$B113,'ноябрь 2025'!$J$2:$J$2583,AF$1)</f>
        <v>0</v>
      </c>
      <c r="AG113" s="183">
        <f>SUMIFS('ноябрь 2025'!$G$2:$G$2583,'ноябрь 2025'!$D$2:$D$2583,$B113,'ноябрь 2025'!$J$2:$J$2583,AG$1)</f>
        <v>0</v>
      </c>
      <c r="AH113" s="183">
        <f>SUMIFS('ноябрь 2025'!$G$2:$G$2583,'ноябрь 2025'!$D$2:$D$2583,$B113,'ноябрь 2025'!$J$2:$J$2583,AH$1)</f>
        <v>0</v>
      </c>
      <c r="AI113" s="20">
        <f t="shared" si="1"/>
        <v>0</v>
      </c>
    </row>
    <row r="114" spans="2:35" ht="15" customHeight="1" x14ac:dyDescent="0.25">
      <c r="B114" s="84" t="s">
        <v>170</v>
      </c>
      <c r="C114" s="86">
        <v>200</v>
      </c>
      <c r="D114" s="183">
        <f>SUMIFS('ноябрь 2025'!$G$2:$G$2583,'ноябрь 2025'!$D$2:$D$2583,$B114,'ноябрь 2025'!$J$2:$J$2583,D$1)</f>
        <v>0</v>
      </c>
      <c r="E114" s="183">
        <f>SUMIFS('ноябрь 2025'!$G$2:$G$2583,'ноябрь 2025'!$D$2:$D$2583,$B114,'ноябрь 2025'!$J$2:$J$2583,E$1)</f>
        <v>0</v>
      </c>
      <c r="F114" s="183">
        <f>SUMIFS('ноябрь 2025'!$G$2:$G$2583,'ноябрь 2025'!$D$2:$D$2583,$B114,'ноябрь 2025'!$J$2:$J$2583,F$1)</f>
        <v>0</v>
      </c>
      <c r="G114" s="183">
        <f>SUMIFS('ноябрь 2025'!$G$2:$G$2583,'ноябрь 2025'!$D$2:$D$2583,$B114,'ноябрь 2025'!$J$2:$J$2583,G$1)</f>
        <v>0</v>
      </c>
      <c r="H114" s="183">
        <f>SUMIFS('ноябрь 2025'!$G$2:$G$2583,'ноябрь 2025'!$D$2:$D$2583,$B114,'ноябрь 2025'!$J$2:$J$2583,H$1)</f>
        <v>0</v>
      </c>
      <c r="I114" s="183">
        <f>SUMIFS('ноябрь 2025'!$G$2:$G$2583,'ноябрь 2025'!$D$2:$D$2583,$B114,'ноябрь 2025'!$J$2:$J$2583,I$1)</f>
        <v>0</v>
      </c>
      <c r="J114" s="183">
        <f>SUMIFS('ноябрь 2025'!$G$2:$G$2583,'ноябрь 2025'!$D$2:$D$2583,$B114,'ноябрь 2025'!$J$2:$J$2583,J$1)</f>
        <v>0</v>
      </c>
      <c r="K114" s="183">
        <f>SUMIFS('ноябрь 2025'!$G$2:$G$2583,'ноябрь 2025'!$D$2:$D$2583,$B114,'ноябрь 2025'!$J$2:$J$2583,K$1)</f>
        <v>0</v>
      </c>
      <c r="L114" s="183">
        <f>SUMIFS('ноябрь 2025'!$G$2:$G$2583,'ноябрь 2025'!$D$2:$D$2583,$B114,'ноябрь 2025'!$J$2:$J$2583,L$1)</f>
        <v>0</v>
      </c>
      <c r="M114" s="183">
        <f>SUMIFS('ноябрь 2025'!$G$2:$G$2583,'ноябрь 2025'!$D$2:$D$2583,$B114,'ноябрь 2025'!$J$2:$J$2583,M$1)</f>
        <v>0</v>
      </c>
      <c r="N114" s="183">
        <f>SUMIFS('ноябрь 2025'!$G$2:$G$2583,'ноябрь 2025'!$D$2:$D$2583,$B114,'ноябрь 2025'!$J$2:$J$2583,N$1)</f>
        <v>0</v>
      </c>
      <c r="O114" s="183">
        <f>SUMIFS('ноябрь 2025'!$G$2:$G$2583,'ноябрь 2025'!$D$2:$D$2583,$B114,'ноябрь 2025'!$J$2:$J$2583,O$1)</f>
        <v>0</v>
      </c>
      <c r="P114" s="183">
        <f>SUMIFS('ноябрь 2025'!$G$2:$G$2583,'ноябрь 2025'!$D$2:$D$2583,$B114,'ноябрь 2025'!$J$2:$J$2583,P$1)</f>
        <v>0</v>
      </c>
      <c r="Q114" s="183">
        <f>SUMIFS('ноябрь 2025'!$G$2:$G$2583,'ноябрь 2025'!$D$2:$D$2583,$B114,'ноябрь 2025'!$J$2:$J$2583,Q$1)</f>
        <v>0</v>
      </c>
      <c r="R114" s="183">
        <f>SUMIFS('ноябрь 2025'!$G$2:$G$2583,'ноябрь 2025'!$D$2:$D$2583,$B114,'ноябрь 2025'!$J$2:$J$2583,R$1)</f>
        <v>0</v>
      </c>
      <c r="S114" s="183">
        <f>SUMIFS('ноябрь 2025'!$G$2:$G$2583,'ноябрь 2025'!$D$2:$D$2583,$B114,'ноябрь 2025'!$J$2:$J$2583,S$1)</f>
        <v>0</v>
      </c>
      <c r="T114" s="183">
        <f>SUMIFS('ноябрь 2025'!$G$2:$G$2583,'ноябрь 2025'!$D$2:$D$2583,$B114,'ноябрь 2025'!$J$2:$J$2583,T$1)</f>
        <v>0</v>
      </c>
      <c r="U114" s="183">
        <f>SUMIFS('ноябрь 2025'!$G$2:$G$2583,'ноябрь 2025'!$D$2:$D$2583,$B114,'ноябрь 2025'!$J$2:$J$2583,U$1)</f>
        <v>0</v>
      </c>
      <c r="V114" s="183">
        <f>SUMIFS('ноябрь 2025'!$G$2:$G$2583,'ноябрь 2025'!$D$2:$D$2583,$B114,'ноябрь 2025'!$J$2:$J$2583,V$1)</f>
        <v>0</v>
      </c>
      <c r="W114" s="183">
        <f>SUMIFS('ноябрь 2025'!$G$2:$G$2583,'ноябрь 2025'!$D$2:$D$2583,$B114,'ноябрь 2025'!$J$2:$J$2583,W$1)</f>
        <v>0</v>
      </c>
      <c r="X114" s="183">
        <f>SUMIFS('ноябрь 2025'!$G$2:$G$2583,'ноябрь 2025'!$D$2:$D$2583,$B114,'ноябрь 2025'!$J$2:$J$2583,X$1)</f>
        <v>0</v>
      </c>
      <c r="Y114" s="183">
        <f>SUMIFS('ноябрь 2025'!$G$2:$G$2583,'ноябрь 2025'!$D$2:$D$2583,$B114,'ноябрь 2025'!$J$2:$J$2583,Y$1)</f>
        <v>0</v>
      </c>
      <c r="Z114" s="183">
        <f>SUMIFS('ноябрь 2025'!$G$2:$G$2583,'ноябрь 2025'!$D$2:$D$2583,$B114,'ноябрь 2025'!$J$2:$J$2583,Z$1)</f>
        <v>0</v>
      </c>
      <c r="AA114" s="183">
        <f>SUMIFS('ноябрь 2025'!$G$2:$G$2583,'ноябрь 2025'!$D$2:$D$2583,$B114,'ноябрь 2025'!$J$2:$J$2583,AA$1)</f>
        <v>0</v>
      </c>
      <c r="AB114" s="183">
        <f>SUMIFS('ноябрь 2025'!$G$2:$G$2583,'ноябрь 2025'!$D$2:$D$2583,$B114,'ноябрь 2025'!$J$2:$J$2583,AB$1)</f>
        <v>0</v>
      </c>
      <c r="AC114" s="183">
        <f>SUMIFS('ноябрь 2025'!$G$2:$G$2583,'ноябрь 2025'!$D$2:$D$2583,$B114,'ноябрь 2025'!$J$2:$J$2583,AC$1)</f>
        <v>0</v>
      </c>
      <c r="AD114" s="183">
        <f>SUMIFS('ноябрь 2025'!$G$2:$G$2583,'ноябрь 2025'!$D$2:$D$2583,$B114,'ноябрь 2025'!$J$2:$J$2583,AD$1)</f>
        <v>0</v>
      </c>
      <c r="AE114" s="183">
        <f>SUMIFS('ноябрь 2025'!$G$2:$G$2583,'ноябрь 2025'!$D$2:$D$2583,$B114,'ноябрь 2025'!$J$2:$J$2583,AE$1)</f>
        <v>0</v>
      </c>
      <c r="AF114" s="183">
        <f>SUMIFS('ноябрь 2025'!$G$2:$G$2583,'ноябрь 2025'!$D$2:$D$2583,$B114,'ноябрь 2025'!$J$2:$J$2583,AF$1)</f>
        <v>0</v>
      </c>
      <c r="AG114" s="183">
        <f>SUMIFS('ноябрь 2025'!$G$2:$G$2583,'ноябрь 2025'!$D$2:$D$2583,$B114,'ноябрь 2025'!$J$2:$J$2583,AG$1)</f>
        <v>0</v>
      </c>
      <c r="AH114" s="183">
        <f>SUMIFS('ноябрь 2025'!$G$2:$G$2583,'ноябрь 2025'!$D$2:$D$2583,$B114,'ноябрь 2025'!$J$2:$J$2583,AH$1)</f>
        <v>0</v>
      </c>
      <c r="AI114" s="20">
        <f t="shared" si="1"/>
        <v>0</v>
      </c>
    </row>
    <row r="115" spans="2:35" ht="15" customHeight="1" x14ac:dyDescent="0.25">
      <c r="B115" s="84" t="s">
        <v>195</v>
      </c>
      <c r="C115" s="83">
        <v>185</v>
      </c>
      <c r="D115" s="183">
        <f>SUMIFS('ноябрь 2025'!$G$2:$G$2583,'ноябрь 2025'!$D$2:$D$2583,$B115,'ноябрь 2025'!$J$2:$J$2583,D$1)</f>
        <v>0</v>
      </c>
      <c r="E115" s="183">
        <f>SUMIFS('ноябрь 2025'!$G$2:$G$2583,'ноябрь 2025'!$D$2:$D$2583,$B115,'ноябрь 2025'!$J$2:$J$2583,E$1)</f>
        <v>0</v>
      </c>
      <c r="F115" s="183">
        <f>SUMIFS('ноябрь 2025'!$G$2:$G$2583,'ноябрь 2025'!$D$2:$D$2583,$B115,'ноябрь 2025'!$J$2:$J$2583,F$1)</f>
        <v>0</v>
      </c>
      <c r="G115" s="183">
        <f>SUMIFS('ноябрь 2025'!$G$2:$G$2583,'ноябрь 2025'!$D$2:$D$2583,$B115,'ноябрь 2025'!$J$2:$J$2583,G$1)</f>
        <v>0</v>
      </c>
      <c r="H115" s="183">
        <f>SUMIFS('ноябрь 2025'!$G$2:$G$2583,'ноябрь 2025'!$D$2:$D$2583,$B115,'ноябрь 2025'!$J$2:$J$2583,H$1)</f>
        <v>0</v>
      </c>
      <c r="I115" s="183">
        <f>SUMIFS('ноябрь 2025'!$G$2:$G$2583,'ноябрь 2025'!$D$2:$D$2583,$B115,'ноябрь 2025'!$J$2:$J$2583,I$1)</f>
        <v>0</v>
      </c>
      <c r="J115" s="183">
        <f>SUMIFS('ноябрь 2025'!$G$2:$G$2583,'ноябрь 2025'!$D$2:$D$2583,$B115,'ноябрь 2025'!$J$2:$J$2583,J$1)</f>
        <v>0</v>
      </c>
      <c r="K115" s="183">
        <f>SUMIFS('ноябрь 2025'!$G$2:$G$2583,'ноябрь 2025'!$D$2:$D$2583,$B115,'ноябрь 2025'!$J$2:$J$2583,K$1)</f>
        <v>0</v>
      </c>
      <c r="L115" s="183">
        <f>SUMIFS('ноябрь 2025'!$G$2:$G$2583,'ноябрь 2025'!$D$2:$D$2583,$B115,'ноябрь 2025'!$J$2:$J$2583,L$1)</f>
        <v>0</v>
      </c>
      <c r="M115" s="183">
        <f>SUMIFS('ноябрь 2025'!$G$2:$G$2583,'ноябрь 2025'!$D$2:$D$2583,$B115,'ноябрь 2025'!$J$2:$J$2583,M$1)</f>
        <v>0</v>
      </c>
      <c r="N115" s="183">
        <f>SUMIFS('ноябрь 2025'!$G$2:$G$2583,'ноябрь 2025'!$D$2:$D$2583,$B115,'ноябрь 2025'!$J$2:$J$2583,N$1)</f>
        <v>0</v>
      </c>
      <c r="O115" s="183">
        <f>SUMIFS('ноябрь 2025'!$G$2:$G$2583,'ноябрь 2025'!$D$2:$D$2583,$B115,'ноябрь 2025'!$J$2:$J$2583,O$1)</f>
        <v>0</v>
      </c>
      <c r="P115" s="183">
        <f>SUMIFS('ноябрь 2025'!$G$2:$G$2583,'ноябрь 2025'!$D$2:$D$2583,$B115,'ноябрь 2025'!$J$2:$J$2583,P$1)</f>
        <v>0</v>
      </c>
      <c r="Q115" s="183">
        <f>SUMIFS('ноябрь 2025'!$G$2:$G$2583,'ноябрь 2025'!$D$2:$D$2583,$B115,'ноябрь 2025'!$J$2:$J$2583,Q$1)</f>
        <v>0</v>
      </c>
      <c r="R115" s="183">
        <f>SUMIFS('ноябрь 2025'!$G$2:$G$2583,'ноябрь 2025'!$D$2:$D$2583,$B115,'ноябрь 2025'!$J$2:$J$2583,R$1)</f>
        <v>0</v>
      </c>
      <c r="S115" s="183">
        <f>SUMIFS('ноябрь 2025'!$G$2:$G$2583,'ноябрь 2025'!$D$2:$D$2583,$B115,'ноябрь 2025'!$J$2:$J$2583,S$1)</f>
        <v>0</v>
      </c>
      <c r="T115" s="183">
        <f>SUMIFS('ноябрь 2025'!$G$2:$G$2583,'ноябрь 2025'!$D$2:$D$2583,$B115,'ноябрь 2025'!$J$2:$J$2583,T$1)</f>
        <v>0</v>
      </c>
      <c r="U115" s="183">
        <f>SUMIFS('ноябрь 2025'!$G$2:$G$2583,'ноябрь 2025'!$D$2:$D$2583,$B115,'ноябрь 2025'!$J$2:$J$2583,U$1)</f>
        <v>0</v>
      </c>
      <c r="V115" s="183">
        <f>SUMIFS('ноябрь 2025'!$G$2:$G$2583,'ноябрь 2025'!$D$2:$D$2583,$B115,'ноябрь 2025'!$J$2:$J$2583,V$1)</f>
        <v>0</v>
      </c>
      <c r="W115" s="183">
        <f>SUMIFS('ноябрь 2025'!$G$2:$G$2583,'ноябрь 2025'!$D$2:$D$2583,$B115,'ноябрь 2025'!$J$2:$J$2583,W$1)</f>
        <v>0</v>
      </c>
      <c r="X115" s="183">
        <f>SUMIFS('ноябрь 2025'!$G$2:$G$2583,'ноябрь 2025'!$D$2:$D$2583,$B115,'ноябрь 2025'!$J$2:$J$2583,X$1)</f>
        <v>0</v>
      </c>
      <c r="Y115" s="183">
        <f>SUMIFS('ноябрь 2025'!$G$2:$G$2583,'ноябрь 2025'!$D$2:$D$2583,$B115,'ноябрь 2025'!$J$2:$J$2583,Y$1)</f>
        <v>0</v>
      </c>
      <c r="Z115" s="183">
        <f>SUMIFS('ноябрь 2025'!$G$2:$G$2583,'ноябрь 2025'!$D$2:$D$2583,$B115,'ноябрь 2025'!$J$2:$J$2583,Z$1)</f>
        <v>0</v>
      </c>
      <c r="AA115" s="183">
        <f>SUMIFS('ноябрь 2025'!$G$2:$G$2583,'ноябрь 2025'!$D$2:$D$2583,$B115,'ноябрь 2025'!$J$2:$J$2583,AA$1)</f>
        <v>0</v>
      </c>
      <c r="AB115" s="183">
        <f>SUMIFS('ноябрь 2025'!$G$2:$G$2583,'ноябрь 2025'!$D$2:$D$2583,$B115,'ноябрь 2025'!$J$2:$J$2583,AB$1)</f>
        <v>0</v>
      </c>
      <c r="AC115" s="183">
        <f>SUMIFS('ноябрь 2025'!$G$2:$G$2583,'ноябрь 2025'!$D$2:$D$2583,$B115,'ноябрь 2025'!$J$2:$J$2583,AC$1)</f>
        <v>0</v>
      </c>
      <c r="AD115" s="183">
        <f>SUMIFS('ноябрь 2025'!$G$2:$G$2583,'ноябрь 2025'!$D$2:$D$2583,$B115,'ноябрь 2025'!$J$2:$J$2583,AD$1)</f>
        <v>0</v>
      </c>
      <c r="AE115" s="183">
        <f>SUMIFS('ноябрь 2025'!$G$2:$G$2583,'ноябрь 2025'!$D$2:$D$2583,$B115,'ноябрь 2025'!$J$2:$J$2583,AE$1)</f>
        <v>0</v>
      </c>
      <c r="AF115" s="183">
        <f>SUMIFS('ноябрь 2025'!$G$2:$G$2583,'ноябрь 2025'!$D$2:$D$2583,$B115,'ноябрь 2025'!$J$2:$J$2583,AF$1)</f>
        <v>0</v>
      </c>
      <c r="AG115" s="183">
        <f>SUMIFS('ноябрь 2025'!$G$2:$G$2583,'ноябрь 2025'!$D$2:$D$2583,$B115,'ноябрь 2025'!$J$2:$J$2583,AG$1)</f>
        <v>0</v>
      </c>
      <c r="AH115" s="183">
        <f>SUMIFS('ноябрь 2025'!$G$2:$G$2583,'ноябрь 2025'!$D$2:$D$2583,$B115,'ноябрь 2025'!$J$2:$J$2583,AH$1)</f>
        <v>0</v>
      </c>
      <c r="AI115" s="20">
        <f t="shared" si="1"/>
        <v>0</v>
      </c>
    </row>
    <row r="116" spans="2:35" ht="15" customHeight="1" x14ac:dyDescent="0.25">
      <c r="B116" s="84" t="s">
        <v>196</v>
      </c>
      <c r="C116" s="83">
        <v>185</v>
      </c>
      <c r="D116" s="183">
        <f>SUMIFS('ноябрь 2025'!$G$2:$G$2583,'ноябрь 2025'!$D$2:$D$2583,$B116,'ноябрь 2025'!$J$2:$J$2583,D$1)</f>
        <v>0</v>
      </c>
      <c r="E116" s="183">
        <f>SUMIFS('ноябрь 2025'!$G$2:$G$2583,'ноябрь 2025'!$D$2:$D$2583,$B116,'ноябрь 2025'!$J$2:$J$2583,E$1)</f>
        <v>0</v>
      </c>
      <c r="F116" s="183">
        <f>SUMIFS('ноябрь 2025'!$G$2:$G$2583,'ноябрь 2025'!$D$2:$D$2583,$B116,'ноябрь 2025'!$J$2:$J$2583,F$1)</f>
        <v>0</v>
      </c>
      <c r="G116" s="183">
        <f>SUMIFS('ноябрь 2025'!$G$2:$G$2583,'ноябрь 2025'!$D$2:$D$2583,$B116,'ноябрь 2025'!$J$2:$J$2583,G$1)</f>
        <v>0</v>
      </c>
      <c r="H116" s="183">
        <f>SUMIFS('ноябрь 2025'!$G$2:$G$2583,'ноябрь 2025'!$D$2:$D$2583,$B116,'ноябрь 2025'!$J$2:$J$2583,H$1)</f>
        <v>0</v>
      </c>
      <c r="I116" s="183">
        <f>SUMIFS('ноябрь 2025'!$G$2:$G$2583,'ноябрь 2025'!$D$2:$D$2583,$B116,'ноябрь 2025'!$J$2:$J$2583,I$1)</f>
        <v>0</v>
      </c>
      <c r="J116" s="183">
        <f>SUMIFS('ноябрь 2025'!$G$2:$G$2583,'ноябрь 2025'!$D$2:$D$2583,$B116,'ноябрь 2025'!$J$2:$J$2583,J$1)</f>
        <v>0</v>
      </c>
      <c r="K116" s="183">
        <f>SUMIFS('ноябрь 2025'!$G$2:$G$2583,'ноябрь 2025'!$D$2:$D$2583,$B116,'ноябрь 2025'!$J$2:$J$2583,K$1)</f>
        <v>0</v>
      </c>
      <c r="L116" s="183">
        <f>SUMIFS('ноябрь 2025'!$G$2:$G$2583,'ноябрь 2025'!$D$2:$D$2583,$B116,'ноябрь 2025'!$J$2:$J$2583,L$1)</f>
        <v>0</v>
      </c>
      <c r="M116" s="183">
        <f>SUMIFS('ноябрь 2025'!$G$2:$G$2583,'ноябрь 2025'!$D$2:$D$2583,$B116,'ноябрь 2025'!$J$2:$J$2583,M$1)</f>
        <v>0</v>
      </c>
      <c r="N116" s="183">
        <f>SUMIFS('ноябрь 2025'!$G$2:$G$2583,'ноябрь 2025'!$D$2:$D$2583,$B116,'ноябрь 2025'!$J$2:$J$2583,N$1)</f>
        <v>0</v>
      </c>
      <c r="O116" s="183">
        <f>SUMIFS('ноябрь 2025'!$G$2:$G$2583,'ноябрь 2025'!$D$2:$D$2583,$B116,'ноябрь 2025'!$J$2:$J$2583,O$1)</f>
        <v>0</v>
      </c>
      <c r="P116" s="183">
        <f>SUMIFS('ноябрь 2025'!$G$2:$G$2583,'ноябрь 2025'!$D$2:$D$2583,$B116,'ноябрь 2025'!$J$2:$J$2583,P$1)</f>
        <v>0</v>
      </c>
      <c r="Q116" s="183">
        <f>SUMIFS('ноябрь 2025'!$G$2:$G$2583,'ноябрь 2025'!$D$2:$D$2583,$B116,'ноябрь 2025'!$J$2:$J$2583,Q$1)</f>
        <v>0</v>
      </c>
      <c r="R116" s="183">
        <f>SUMIFS('ноябрь 2025'!$G$2:$G$2583,'ноябрь 2025'!$D$2:$D$2583,$B116,'ноябрь 2025'!$J$2:$J$2583,R$1)</f>
        <v>0</v>
      </c>
      <c r="S116" s="183">
        <f>SUMIFS('ноябрь 2025'!$G$2:$G$2583,'ноябрь 2025'!$D$2:$D$2583,$B116,'ноябрь 2025'!$J$2:$J$2583,S$1)</f>
        <v>0</v>
      </c>
      <c r="T116" s="183">
        <f>SUMIFS('ноябрь 2025'!$G$2:$G$2583,'ноябрь 2025'!$D$2:$D$2583,$B116,'ноябрь 2025'!$J$2:$J$2583,T$1)</f>
        <v>0</v>
      </c>
      <c r="U116" s="183">
        <f>SUMIFS('ноябрь 2025'!$G$2:$G$2583,'ноябрь 2025'!$D$2:$D$2583,$B116,'ноябрь 2025'!$J$2:$J$2583,U$1)</f>
        <v>0</v>
      </c>
      <c r="V116" s="183">
        <f>SUMIFS('ноябрь 2025'!$G$2:$G$2583,'ноябрь 2025'!$D$2:$D$2583,$B116,'ноябрь 2025'!$J$2:$J$2583,V$1)</f>
        <v>0</v>
      </c>
      <c r="W116" s="183">
        <f>SUMIFS('ноябрь 2025'!$G$2:$G$2583,'ноябрь 2025'!$D$2:$D$2583,$B116,'ноябрь 2025'!$J$2:$J$2583,W$1)</f>
        <v>0</v>
      </c>
      <c r="X116" s="183">
        <f>SUMIFS('ноябрь 2025'!$G$2:$G$2583,'ноябрь 2025'!$D$2:$D$2583,$B116,'ноябрь 2025'!$J$2:$J$2583,X$1)</f>
        <v>0</v>
      </c>
      <c r="Y116" s="183">
        <f>SUMIFS('ноябрь 2025'!$G$2:$G$2583,'ноябрь 2025'!$D$2:$D$2583,$B116,'ноябрь 2025'!$J$2:$J$2583,Y$1)</f>
        <v>0</v>
      </c>
      <c r="Z116" s="183">
        <f>SUMIFS('ноябрь 2025'!$G$2:$G$2583,'ноябрь 2025'!$D$2:$D$2583,$B116,'ноябрь 2025'!$J$2:$J$2583,Z$1)</f>
        <v>0</v>
      </c>
      <c r="AA116" s="183">
        <f>SUMIFS('ноябрь 2025'!$G$2:$G$2583,'ноябрь 2025'!$D$2:$D$2583,$B116,'ноябрь 2025'!$J$2:$J$2583,AA$1)</f>
        <v>0</v>
      </c>
      <c r="AB116" s="183">
        <f>SUMIFS('ноябрь 2025'!$G$2:$G$2583,'ноябрь 2025'!$D$2:$D$2583,$B116,'ноябрь 2025'!$J$2:$J$2583,AB$1)</f>
        <v>0</v>
      </c>
      <c r="AC116" s="183">
        <f>SUMIFS('ноябрь 2025'!$G$2:$G$2583,'ноябрь 2025'!$D$2:$D$2583,$B116,'ноябрь 2025'!$J$2:$J$2583,AC$1)</f>
        <v>0</v>
      </c>
      <c r="AD116" s="183">
        <f>SUMIFS('ноябрь 2025'!$G$2:$G$2583,'ноябрь 2025'!$D$2:$D$2583,$B116,'ноябрь 2025'!$J$2:$J$2583,AD$1)</f>
        <v>0</v>
      </c>
      <c r="AE116" s="183">
        <f>SUMIFS('ноябрь 2025'!$G$2:$G$2583,'ноябрь 2025'!$D$2:$D$2583,$B116,'ноябрь 2025'!$J$2:$J$2583,AE$1)</f>
        <v>0</v>
      </c>
      <c r="AF116" s="183">
        <f>SUMIFS('ноябрь 2025'!$G$2:$G$2583,'ноябрь 2025'!$D$2:$D$2583,$B116,'ноябрь 2025'!$J$2:$J$2583,AF$1)</f>
        <v>0</v>
      </c>
      <c r="AG116" s="183">
        <f>SUMIFS('ноябрь 2025'!$G$2:$G$2583,'ноябрь 2025'!$D$2:$D$2583,$B116,'ноябрь 2025'!$J$2:$J$2583,AG$1)</f>
        <v>0</v>
      </c>
      <c r="AH116" s="183">
        <f>SUMIFS('ноябрь 2025'!$G$2:$G$2583,'ноябрь 2025'!$D$2:$D$2583,$B116,'ноябрь 2025'!$J$2:$J$2583,AH$1)</f>
        <v>0</v>
      </c>
      <c r="AI116" s="20">
        <f t="shared" si="1"/>
        <v>0</v>
      </c>
    </row>
    <row r="117" spans="2:35" ht="15" customHeight="1" x14ac:dyDescent="0.25">
      <c r="B117" s="84" t="s">
        <v>260</v>
      </c>
      <c r="C117" s="83">
        <v>180</v>
      </c>
      <c r="D117" s="183">
        <f>SUMIFS('ноябрь 2025'!$G$2:$G$2583,'ноябрь 2025'!$D$2:$D$2583,$B117,'ноябрь 2025'!$J$2:$J$2583,D$1)</f>
        <v>0</v>
      </c>
      <c r="E117" s="183">
        <f>SUMIFS('ноябрь 2025'!$G$2:$G$2583,'ноябрь 2025'!$D$2:$D$2583,$B117,'ноябрь 2025'!$J$2:$J$2583,E$1)</f>
        <v>0</v>
      </c>
      <c r="F117" s="183">
        <f>SUMIFS('ноябрь 2025'!$G$2:$G$2583,'ноябрь 2025'!$D$2:$D$2583,$B117,'ноябрь 2025'!$J$2:$J$2583,F$1)</f>
        <v>0</v>
      </c>
      <c r="G117" s="183">
        <f>SUMIFS('ноябрь 2025'!$G$2:$G$2583,'ноябрь 2025'!$D$2:$D$2583,$B117,'ноябрь 2025'!$J$2:$J$2583,G$1)</f>
        <v>0</v>
      </c>
      <c r="H117" s="183">
        <f>SUMIFS('ноябрь 2025'!$G$2:$G$2583,'ноябрь 2025'!$D$2:$D$2583,$B117,'ноябрь 2025'!$J$2:$J$2583,H$1)</f>
        <v>0</v>
      </c>
      <c r="I117" s="183">
        <f>SUMIFS('ноябрь 2025'!$G$2:$G$2583,'ноябрь 2025'!$D$2:$D$2583,$B117,'ноябрь 2025'!$J$2:$J$2583,I$1)</f>
        <v>0</v>
      </c>
      <c r="J117" s="183">
        <f>SUMIFS('ноябрь 2025'!$G$2:$G$2583,'ноябрь 2025'!$D$2:$D$2583,$B117,'ноябрь 2025'!$J$2:$J$2583,J$1)</f>
        <v>0</v>
      </c>
      <c r="K117" s="183">
        <f>SUMIFS('ноябрь 2025'!$G$2:$G$2583,'ноябрь 2025'!$D$2:$D$2583,$B117,'ноябрь 2025'!$J$2:$J$2583,K$1)</f>
        <v>0</v>
      </c>
      <c r="L117" s="183">
        <f>SUMIFS('ноябрь 2025'!$G$2:$G$2583,'ноябрь 2025'!$D$2:$D$2583,$B117,'ноябрь 2025'!$J$2:$J$2583,L$1)</f>
        <v>0</v>
      </c>
      <c r="M117" s="183">
        <f>SUMIFS('ноябрь 2025'!$G$2:$G$2583,'ноябрь 2025'!$D$2:$D$2583,$B117,'ноябрь 2025'!$J$2:$J$2583,M$1)</f>
        <v>0</v>
      </c>
      <c r="N117" s="183">
        <f>SUMIFS('ноябрь 2025'!$G$2:$G$2583,'ноябрь 2025'!$D$2:$D$2583,$B117,'ноябрь 2025'!$J$2:$J$2583,N$1)</f>
        <v>0</v>
      </c>
      <c r="O117" s="183">
        <f>SUMIFS('ноябрь 2025'!$G$2:$G$2583,'ноябрь 2025'!$D$2:$D$2583,$B117,'ноябрь 2025'!$J$2:$J$2583,O$1)</f>
        <v>0</v>
      </c>
      <c r="P117" s="183">
        <f>SUMIFS('ноябрь 2025'!$G$2:$G$2583,'ноябрь 2025'!$D$2:$D$2583,$B117,'ноябрь 2025'!$J$2:$J$2583,P$1)</f>
        <v>0</v>
      </c>
      <c r="Q117" s="183">
        <f>SUMIFS('ноябрь 2025'!$G$2:$G$2583,'ноябрь 2025'!$D$2:$D$2583,$B117,'ноябрь 2025'!$J$2:$J$2583,Q$1)</f>
        <v>0</v>
      </c>
      <c r="R117" s="183">
        <f>SUMIFS('ноябрь 2025'!$G$2:$G$2583,'ноябрь 2025'!$D$2:$D$2583,$B117,'ноябрь 2025'!$J$2:$J$2583,R$1)</f>
        <v>0</v>
      </c>
      <c r="S117" s="183">
        <f>SUMIFS('ноябрь 2025'!$G$2:$G$2583,'ноябрь 2025'!$D$2:$D$2583,$B117,'ноябрь 2025'!$J$2:$J$2583,S$1)</f>
        <v>0</v>
      </c>
      <c r="T117" s="183">
        <f>SUMIFS('ноябрь 2025'!$G$2:$G$2583,'ноябрь 2025'!$D$2:$D$2583,$B117,'ноябрь 2025'!$J$2:$J$2583,T$1)</f>
        <v>0</v>
      </c>
      <c r="U117" s="183">
        <f>SUMIFS('ноябрь 2025'!$G$2:$G$2583,'ноябрь 2025'!$D$2:$D$2583,$B117,'ноябрь 2025'!$J$2:$J$2583,U$1)</f>
        <v>0</v>
      </c>
      <c r="V117" s="183">
        <f>SUMIFS('ноябрь 2025'!$G$2:$G$2583,'ноябрь 2025'!$D$2:$D$2583,$B117,'ноябрь 2025'!$J$2:$J$2583,V$1)</f>
        <v>0</v>
      </c>
      <c r="W117" s="183">
        <f>SUMIFS('ноябрь 2025'!$G$2:$G$2583,'ноябрь 2025'!$D$2:$D$2583,$B117,'ноябрь 2025'!$J$2:$J$2583,W$1)</f>
        <v>0</v>
      </c>
      <c r="X117" s="183">
        <f>SUMIFS('ноябрь 2025'!$G$2:$G$2583,'ноябрь 2025'!$D$2:$D$2583,$B117,'ноябрь 2025'!$J$2:$J$2583,X$1)</f>
        <v>0</v>
      </c>
      <c r="Y117" s="183">
        <f>SUMIFS('ноябрь 2025'!$G$2:$G$2583,'ноябрь 2025'!$D$2:$D$2583,$B117,'ноябрь 2025'!$J$2:$J$2583,Y$1)</f>
        <v>0</v>
      </c>
      <c r="Z117" s="183">
        <f>SUMIFS('ноябрь 2025'!$G$2:$G$2583,'ноябрь 2025'!$D$2:$D$2583,$B117,'ноябрь 2025'!$J$2:$J$2583,Z$1)</f>
        <v>0</v>
      </c>
      <c r="AA117" s="183">
        <f>SUMIFS('ноябрь 2025'!$G$2:$G$2583,'ноябрь 2025'!$D$2:$D$2583,$B117,'ноябрь 2025'!$J$2:$J$2583,AA$1)</f>
        <v>0</v>
      </c>
      <c r="AB117" s="183">
        <f>SUMIFS('ноябрь 2025'!$G$2:$G$2583,'ноябрь 2025'!$D$2:$D$2583,$B117,'ноябрь 2025'!$J$2:$J$2583,AB$1)</f>
        <v>0</v>
      </c>
      <c r="AC117" s="183">
        <f>SUMIFS('ноябрь 2025'!$G$2:$G$2583,'ноябрь 2025'!$D$2:$D$2583,$B117,'ноябрь 2025'!$J$2:$J$2583,AC$1)</f>
        <v>0</v>
      </c>
      <c r="AD117" s="183">
        <f>SUMIFS('ноябрь 2025'!$G$2:$G$2583,'ноябрь 2025'!$D$2:$D$2583,$B117,'ноябрь 2025'!$J$2:$J$2583,AD$1)</f>
        <v>0</v>
      </c>
      <c r="AE117" s="183">
        <f>SUMIFS('ноябрь 2025'!$G$2:$G$2583,'ноябрь 2025'!$D$2:$D$2583,$B117,'ноябрь 2025'!$J$2:$J$2583,AE$1)</f>
        <v>0</v>
      </c>
      <c r="AF117" s="183">
        <f>SUMIFS('ноябрь 2025'!$G$2:$G$2583,'ноябрь 2025'!$D$2:$D$2583,$B117,'ноябрь 2025'!$J$2:$J$2583,AF$1)</f>
        <v>0</v>
      </c>
      <c r="AG117" s="183">
        <f>SUMIFS('ноябрь 2025'!$G$2:$G$2583,'ноябрь 2025'!$D$2:$D$2583,$B117,'ноябрь 2025'!$J$2:$J$2583,AG$1)</f>
        <v>0</v>
      </c>
      <c r="AH117" s="183">
        <f>SUMIFS('ноябрь 2025'!$G$2:$G$2583,'ноябрь 2025'!$D$2:$D$2583,$B117,'ноябрь 2025'!$J$2:$J$2583,AH$1)</f>
        <v>0</v>
      </c>
      <c r="AI117" s="20">
        <f t="shared" si="1"/>
        <v>0</v>
      </c>
    </row>
    <row r="118" spans="2:35" ht="15" customHeight="1" x14ac:dyDescent="0.25">
      <c r="B118" s="88" t="s">
        <v>261</v>
      </c>
      <c r="C118" s="86">
        <v>200</v>
      </c>
      <c r="D118" s="183">
        <f>SUMIFS('ноябрь 2025'!$G$2:$G$2583,'ноябрь 2025'!$D$2:$D$2583,$B118,'ноябрь 2025'!$J$2:$J$2583,D$1)</f>
        <v>0</v>
      </c>
      <c r="E118" s="183">
        <f>SUMIFS('ноябрь 2025'!$G$2:$G$2583,'ноябрь 2025'!$D$2:$D$2583,$B118,'ноябрь 2025'!$J$2:$J$2583,E$1)</f>
        <v>0</v>
      </c>
      <c r="F118" s="183">
        <f>SUMIFS('ноябрь 2025'!$G$2:$G$2583,'ноябрь 2025'!$D$2:$D$2583,$B118,'ноябрь 2025'!$J$2:$J$2583,F$1)</f>
        <v>0</v>
      </c>
      <c r="G118" s="183">
        <f>SUMIFS('ноябрь 2025'!$G$2:$G$2583,'ноябрь 2025'!$D$2:$D$2583,$B118,'ноябрь 2025'!$J$2:$J$2583,G$1)</f>
        <v>0</v>
      </c>
      <c r="H118" s="183">
        <f>SUMIFS('ноябрь 2025'!$G$2:$G$2583,'ноябрь 2025'!$D$2:$D$2583,$B118,'ноябрь 2025'!$J$2:$J$2583,H$1)</f>
        <v>0</v>
      </c>
      <c r="I118" s="183">
        <f>SUMIFS('ноябрь 2025'!$G$2:$G$2583,'ноябрь 2025'!$D$2:$D$2583,$B118,'ноябрь 2025'!$J$2:$J$2583,I$1)</f>
        <v>0</v>
      </c>
      <c r="J118" s="183">
        <f>SUMIFS('ноябрь 2025'!$G$2:$G$2583,'ноябрь 2025'!$D$2:$D$2583,$B118,'ноябрь 2025'!$J$2:$J$2583,J$1)</f>
        <v>0</v>
      </c>
      <c r="K118" s="183">
        <f>SUMIFS('ноябрь 2025'!$G$2:$G$2583,'ноябрь 2025'!$D$2:$D$2583,$B118,'ноябрь 2025'!$J$2:$J$2583,K$1)</f>
        <v>0</v>
      </c>
      <c r="L118" s="183">
        <f>SUMIFS('ноябрь 2025'!$G$2:$G$2583,'ноябрь 2025'!$D$2:$D$2583,$B118,'ноябрь 2025'!$J$2:$J$2583,L$1)</f>
        <v>0</v>
      </c>
      <c r="M118" s="183">
        <f>SUMIFS('ноябрь 2025'!$G$2:$G$2583,'ноябрь 2025'!$D$2:$D$2583,$B118,'ноябрь 2025'!$J$2:$J$2583,M$1)</f>
        <v>0</v>
      </c>
      <c r="N118" s="183">
        <f>SUMIFS('ноябрь 2025'!$G$2:$G$2583,'ноябрь 2025'!$D$2:$D$2583,$B118,'ноябрь 2025'!$J$2:$J$2583,N$1)</f>
        <v>0</v>
      </c>
      <c r="O118" s="183">
        <f>SUMIFS('ноябрь 2025'!$G$2:$G$2583,'ноябрь 2025'!$D$2:$D$2583,$B118,'ноябрь 2025'!$J$2:$J$2583,O$1)</f>
        <v>0</v>
      </c>
      <c r="P118" s="183">
        <f>SUMIFS('ноябрь 2025'!$G$2:$G$2583,'ноябрь 2025'!$D$2:$D$2583,$B118,'ноябрь 2025'!$J$2:$J$2583,P$1)</f>
        <v>0</v>
      </c>
      <c r="Q118" s="183">
        <f>SUMIFS('ноябрь 2025'!$G$2:$G$2583,'ноябрь 2025'!$D$2:$D$2583,$B118,'ноябрь 2025'!$J$2:$J$2583,Q$1)</f>
        <v>0</v>
      </c>
      <c r="R118" s="183">
        <f>SUMIFS('ноябрь 2025'!$G$2:$G$2583,'ноябрь 2025'!$D$2:$D$2583,$B118,'ноябрь 2025'!$J$2:$J$2583,R$1)</f>
        <v>0</v>
      </c>
      <c r="S118" s="183">
        <f>SUMIFS('ноябрь 2025'!$G$2:$G$2583,'ноябрь 2025'!$D$2:$D$2583,$B118,'ноябрь 2025'!$J$2:$J$2583,S$1)</f>
        <v>0</v>
      </c>
      <c r="T118" s="183">
        <f>SUMIFS('ноябрь 2025'!$G$2:$G$2583,'ноябрь 2025'!$D$2:$D$2583,$B118,'ноябрь 2025'!$J$2:$J$2583,T$1)</f>
        <v>0</v>
      </c>
      <c r="U118" s="183">
        <f>SUMIFS('ноябрь 2025'!$G$2:$G$2583,'ноябрь 2025'!$D$2:$D$2583,$B118,'ноябрь 2025'!$J$2:$J$2583,U$1)</f>
        <v>0</v>
      </c>
      <c r="V118" s="183">
        <f>SUMIFS('ноябрь 2025'!$G$2:$G$2583,'ноябрь 2025'!$D$2:$D$2583,$B118,'ноябрь 2025'!$J$2:$J$2583,V$1)</f>
        <v>0</v>
      </c>
      <c r="W118" s="183">
        <f>SUMIFS('ноябрь 2025'!$G$2:$G$2583,'ноябрь 2025'!$D$2:$D$2583,$B118,'ноябрь 2025'!$J$2:$J$2583,W$1)</f>
        <v>0</v>
      </c>
      <c r="X118" s="183">
        <f>SUMIFS('ноябрь 2025'!$G$2:$G$2583,'ноябрь 2025'!$D$2:$D$2583,$B118,'ноябрь 2025'!$J$2:$J$2583,X$1)</f>
        <v>0</v>
      </c>
      <c r="Y118" s="183">
        <f>SUMIFS('ноябрь 2025'!$G$2:$G$2583,'ноябрь 2025'!$D$2:$D$2583,$B118,'ноябрь 2025'!$J$2:$J$2583,Y$1)</f>
        <v>0</v>
      </c>
      <c r="Z118" s="183">
        <f>SUMIFS('ноябрь 2025'!$G$2:$G$2583,'ноябрь 2025'!$D$2:$D$2583,$B118,'ноябрь 2025'!$J$2:$J$2583,Z$1)</f>
        <v>0</v>
      </c>
      <c r="AA118" s="183">
        <f>SUMIFS('ноябрь 2025'!$G$2:$G$2583,'ноябрь 2025'!$D$2:$D$2583,$B118,'ноябрь 2025'!$J$2:$J$2583,AA$1)</f>
        <v>0</v>
      </c>
      <c r="AB118" s="183">
        <f>SUMIFS('ноябрь 2025'!$G$2:$G$2583,'ноябрь 2025'!$D$2:$D$2583,$B118,'ноябрь 2025'!$J$2:$J$2583,AB$1)</f>
        <v>0</v>
      </c>
      <c r="AC118" s="183">
        <f>SUMIFS('ноябрь 2025'!$G$2:$G$2583,'ноябрь 2025'!$D$2:$D$2583,$B118,'ноябрь 2025'!$J$2:$J$2583,AC$1)</f>
        <v>0</v>
      </c>
      <c r="AD118" s="183">
        <f>SUMIFS('ноябрь 2025'!$G$2:$G$2583,'ноябрь 2025'!$D$2:$D$2583,$B118,'ноябрь 2025'!$J$2:$J$2583,AD$1)</f>
        <v>0</v>
      </c>
      <c r="AE118" s="183">
        <f>SUMIFS('ноябрь 2025'!$G$2:$G$2583,'ноябрь 2025'!$D$2:$D$2583,$B118,'ноябрь 2025'!$J$2:$J$2583,AE$1)</f>
        <v>0</v>
      </c>
      <c r="AF118" s="183">
        <f>SUMIFS('ноябрь 2025'!$G$2:$G$2583,'ноябрь 2025'!$D$2:$D$2583,$B118,'ноябрь 2025'!$J$2:$J$2583,AF$1)</f>
        <v>0</v>
      </c>
      <c r="AG118" s="183">
        <f>SUMIFS('ноябрь 2025'!$G$2:$G$2583,'ноябрь 2025'!$D$2:$D$2583,$B118,'ноябрь 2025'!$J$2:$J$2583,AG$1)</f>
        <v>0</v>
      </c>
      <c r="AH118" s="183">
        <f>SUMIFS('ноябрь 2025'!$G$2:$G$2583,'ноябрь 2025'!$D$2:$D$2583,$B118,'ноябрь 2025'!$J$2:$J$2583,AH$1)</f>
        <v>0</v>
      </c>
      <c r="AI118" s="20">
        <f t="shared" si="1"/>
        <v>0</v>
      </c>
    </row>
    <row r="119" spans="2:35" ht="15" customHeight="1" x14ac:dyDescent="0.25">
      <c r="B119" s="88" t="s">
        <v>180</v>
      </c>
      <c r="C119" s="86">
        <v>200</v>
      </c>
      <c r="D119" s="183">
        <f>SUMIFS('ноябрь 2025'!$G$2:$G$2583,'ноябрь 2025'!$D$2:$D$2583,$B119,'ноябрь 2025'!$J$2:$J$2583,D$1)</f>
        <v>0</v>
      </c>
      <c r="E119" s="183">
        <f>SUMIFS('ноябрь 2025'!$G$2:$G$2583,'ноябрь 2025'!$D$2:$D$2583,$B119,'ноябрь 2025'!$J$2:$J$2583,E$1)</f>
        <v>0</v>
      </c>
      <c r="F119" s="183">
        <f>SUMIFS('ноябрь 2025'!$G$2:$G$2583,'ноябрь 2025'!$D$2:$D$2583,$B119,'ноябрь 2025'!$J$2:$J$2583,F$1)</f>
        <v>0</v>
      </c>
      <c r="G119" s="183">
        <f>SUMIFS('ноябрь 2025'!$G$2:$G$2583,'ноябрь 2025'!$D$2:$D$2583,$B119,'ноябрь 2025'!$J$2:$J$2583,G$1)</f>
        <v>0</v>
      </c>
      <c r="H119" s="183">
        <f>SUMIFS('ноябрь 2025'!$G$2:$G$2583,'ноябрь 2025'!$D$2:$D$2583,$B119,'ноябрь 2025'!$J$2:$J$2583,H$1)</f>
        <v>0</v>
      </c>
      <c r="I119" s="183">
        <f>SUMIFS('ноябрь 2025'!$G$2:$G$2583,'ноябрь 2025'!$D$2:$D$2583,$B119,'ноябрь 2025'!$J$2:$J$2583,I$1)</f>
        <v>0</v>
      </c>
      <c r="J119" s="183">
        <f>SUMIFS('ноябрь 2025'!$G$2:$G$2583,'ноябрь 2025'!$D$2:$D$2583,$B119,'ноябрь 2025'!$J$2:$J$2583,J$1)</f>
        <v>0</v>
      </c>
      <c r="K119" s="183">
        <f>SUMIFS('ноябрь 2025'!$G$2:$G$2583,'ноябрь 2025'!$D$2:$D$2583,$B119,'ноябрь 2025'!$J$2:$J$2583,K$1)</f>
        <v>0</v>
      </c>
      <c r="L119" s="183">
        <f>SUMIFS('ноябрь 2025'!$G$2:$G$2583,'ноябрь 2025'!$D$2:$D$2583,$B119,'ноябрь 2025'!$J$2:$J$2583,L$1)</f>
        <v>0</v>
      </c>
      <c r="M119" s="183">
        <f>SUMIFS('ноябрь 2025'!$G$2:$G$2583,'ноябрь 2025'!$D$2:$D$2583,$B119,'ноябрь 2025'!$J$2:$J$2583,M$1)</f>
        <v>0</v>
      </c>
      <c r="N119" s="183">
        <f>SUMIFS('ноябрь 2025'!$G$2:$G$2583,'ноябрь 2025'!$D$2:$D$2583,$B119,'ноябрь 2025'!$J$2:$J$2583,N$1)</f>
        <v>0</v>
      </c>
      <c r="O119" s="183">
        <f>SUMIFS('ноябрь 2025'!$G$2:$G$2583,'ноябрь 2025'!$D$2:$D$2583,$B119,'ноябрь 2025'!$J$2:$J$2583,O$1)</f>
        <v>0</v>
      </c>
      <c r="P119" s="183">
        <f>SUMIFS('ноябрь 2025'!$G$2:$G$2583,'ноябрь 2025'!$D$2:$D$2583,$B119,'ноябрь 2025'!$J$2:$J$2583,P$1)</f>
        <v>0</v>
      </c>
      <c r="Q119" s="183">
        <f>SUMIFS('ноябрь 2025'!$G$2:$G$2583,'ноябрь 2025'!$D$2:$D$2583,$B119,'ноябрь 2025'!$J$2:$J$2583,Q$1)</f>
        <v>0</v>
      </c>
      <c r="R119" s="183">
        <f>SUMIFS('ноябрь 2025'!$G$2:$G$2583,'ноябрь 2025'!$D$2:$D$2583,$B119,'ноябрь 2025'!$J$2:$J$2583,R$1)</f>
        <v>0</v>
      </c>
      <c r="S119" s="183">
        <f>SUMIFS('ноябрь 2025'!$G$2:$G$2583,'ноябрь 2025'!$D$2:$D$2583,$B119,'ноябрь 2025'!$J$2:$J$2583,S$1)</f>
        <v>0</v>
      </c>
      <c r="T119" s="183">
        <f>SUMIFS('ноябрь 2025'!$G$2:$G$2583,'ноябрь 2025'!$D$2:$D$2583,$B119,'ноябрь 2025'!$J$2:$J$2583,T$1)</f>
        <v>0</v>
      </c>
      <c r="U119" s="183">
        <f>SUMIFS('ноябрь 2025'!$G$2:$G$2583,'ноябрь 2025'!$D$2:$D$2583,$B119,'ноябрь 2025'!$J$2:$J$2583,U$1)</f>
        <v>0</v>
      </c>
      <c r="V119" s="183">
        <f>SUMIFS('ноябрь 2025'!$G$2:$G$2583,'ноябрь 2025'!$D$2:$D$2583,$B119,'ноябрь 2025'!$J$2:$J$2583,V$1)</f>
        <v>0</v>
      </c>
      <c r="W119" s="183">
        <f>SUMIFS('ноябрь 2025'!$G$2:$G$2583,'ноябрь 2025'!$D$2:$D$2583,$B119,'ноябрь 2025'!$J$2:$J$2583,W$1)</f>
        <v>0</v>
      </c>
      <c r="X119" s="183">
        <f>SUMIFS('ноябрь 2025'!$G$2:$G$2583,'ноябрь 2025'!$D$2:$D$2583,$B119,'ноябрь 2025'!$J$2:$J$2583,X$1)</f>
        <v>0</v>
      </c>
      <c r="Y119" s="183">
        <f>SUMIFS('ноябрь 2025'!$G$2:$G$2583,'ноябрь 2025'!$D$2:$D$2583,$B119,'ноябрь 2025'!$J$2:$J$2583,Y$1)</f>
        <v>0</v>
      </c>
      <c r="Z119" s="183">
        <f>SUMIFS('ноябрь 2025'!$G$2:$G$2583,'ноябрь 2025'!$D$2:$D$2583,$B119,'ноябрь 2025'!$J$2:$J$2583,Z$1)</f>
        <v>0</v>
      </c>
      <c r="AA119" s="183">
        <f>SUMIFS('ноябрь 2025'!$G$2:$G$2583,'ноябрь 2025'!$D$2:$D$2583,$B119,'ноябрь 2025'!$J$2:$J$2583,AA$1)</f>
        <v>0</v>
      </c>
      <c r="AB119" s="183">
        <f>SUMIFS('ноябрь 2025'!$G$2:$G$2583,'ноябрь 2025'!$D$2:$D$2583,$B119,'ноябрь 2025'!$J$2:$J$2583,AB$1)</f>
        <v>0</v>
      </c>
      <c r="AC119" s="183">
        <f>SUMIFS('ноябрь 2025'!$G$2:$G$2583,'ноябрь 2025'!$D$2:$D$2583,$B119,'ноябрь 2025'!$J$2:$J$2583,AC$1)</f>
        <v>0</v>
      </c>
      <c r="AD119" s="183">
        <f>SUMIFS('ноябрь 2025'!$G$2:$G$2583,'ноябрь 2025'!$D$2:$D$2583,$B119,'ноябрь 2025'!$J$2:$J$2583,AD$1)</f>
        <v>0</v>
      </c>
      <c r="AE119" s="183">
        <f>SUMIFS('ноябрь 2025'!$G$2:$G$2583,'ноябрь 2025'!$D$2:$D$2583,$B119,'ноябрь 2025'!$J$2:$J$2583,AE$1)</f>
        <v>0</v>
      </c>
      <c r="AF119" s="183">
        <f>SUMIFS('ноябрь 2025'!$G$2:$G$2583,'ноябрь 2025'!$D$2:$D$2583,$B119,'ноябрь 2025'!$J$2:$J$2583,AF$1)</f>
        <v>0</v>
      </c>
      <c r="AG119" s="183">
        <f>SUMIFS('ноябрь 2025'!$G$2:$G$2583,'ноябрь 2025'!$D$2:$D$2583,$B119,'ноябрь 2025'!$J$2:$J$2583,AG$1)</f>
        <v>0</v>
      </c>
      <c r="AH119" s="183">
        <f>SUMIFS('ноябрь 2025'!$G$2:$G$2583,'ноябрь 2025'!$D$2:$D$2583,$B119,'ноябрь 2025'!$J$2:$J$2583,AH$1)</f>
        <v>0</v>
      </c>
      <c r="AI119" s="20">
        <f t="shared" si="1"/>
        <v>0</v>
      </c>
    </row>
    <row r="120" spans="2:35" ht="15" customHeight="1" x14ac:dyDescent="0.25">
      <c r="B120" s="88" t="s">
        <v>262</v>
      </c>
      <c r="C120" s="86">
        <v>200</v>
      </c>
      <c r="D120" s="183">
        <f>SUMIFS('ноябрь 2025'!$G$2:$G$2583,'ноябрь 2025'!$D$2:$D$2583,$B120,'ноябрь 2025'!$J$2:$J$2583,D$1)</f>
        <v>0</v>
      </c>
      <c r="E120" s="183">
        <f>SUMIFS('ноябрь 2025'!$G$2:$G$2583,'ноябрь 2025'!$D$2:$D$2583,$B120,'ноябрь 2025'!$J$2:$J$2583,E$1)</f>
        <v>0</v>
      </c>
      <c r="F120" s="183">
        <f>SUMIFS('ноябрь 2025'!$G$2:$G$2583,'ноябрь 2025'!$D$2:$D$2583,$B120,'ноябрь 2025'!$J$2:$J$2583,F$1)</f>
        <v>0</v>
      </c>
      <c r="G120" s="183">
        <f>SUMIFS('ноябрь 2025'!$G$2:$G$2583,'ноябрь 2025'!$D$2:$D$2583,$B120,'ноябрь 2025'!$J$2:$J$2583,G$1)</f>
        <v>0</v>
      </c>
      <c r="H120" s="183">
        <f>SUMIFS('ноябрь 2025'!$G$2:$G$2583,'ноябрь 2025'!$D$2:$D$2583,$B120,'ноябрь 2025'!$J$2:$J$2583,H$1)</f>
        <v>0</v>
      </c>
      <c r="I120" s="183">
        <f>SUMIFS('ноябрь 2025'!$G$2:$G$2583,'ноябрь 2025'!$D$2:$D$2583,$B120,'ноябрь 2025'!$J$2:$J$2583,I$1)</f>
        <v>0</v>
      </c>
      <c r="J120" s="183">
        <f>SUMIFS('ноябрь 2025'!$G$2:$G$2583,'ноябрь 2025'!$D$2:$D$2583,$B120,'ноябрь 2025'!$J$2:$J$2583,J$1)</f>
        <v>0</v>
      </c>
      <c r="K120" s="183">
        <f>SUMIFS('ноябрь 2025'!$G$2:$G$2583,'ноябрь 2025'!$D$2:$D$2583,$B120,'ноябрь 2025'!$J$2:$J$2583,K$1)</f>
        <v>0</v>
      </c>
      <c r="L120" s="183">
        <f>SUMIFS('ноябрь 2025'!$G$2:$G$2583,'ноябрь 2025'!$D$2:$D$2583,$B120,'ноябрь 2025'!$J$2:$J$2583,L$1)</f>
        <v>0</v>
      </c>
      <c r="M120" s="183">
        <f>SUMIFS('ноябрь 2025'!$G$2:$G$2583,'ноябрь 2025'!$D$2:$D$2583,$B120,'ноябрь 2025'!$J$2:$J$2583,M$1)</f>
        <v>0</v>
      </c>
      <c r="N120" s="183">
        <f>SUMIFS('ноябрь 2025'!$G$2:$G$2583,'ноябрь 2025'!$D$2:$D$2583,$B120,'ноябрь 2025'!$J$2:$J$2583,N$1)</f>
        <v>0</v>
      </c>
      <c r="O120" s="183">
        <f>SUMIFS('ноябрь 2025'!$G$2:$G$2583,'ноябрь 2025'!$D$2:$D$2583,$B120,'ноябрь 2025'!$J$2:$J$2583,O$1)</f>
        <v>0</v>
      </c>
      <c r="P120" s="183">
        <f>SUMIFS('ноябрь 2025'!$G$2:$G$2583,'ноябрь 2025'!$D$2:$D$2583,$B120,'ноябрь 2025'!$J$2:$J$2583,P$1)</f>
        <v>0</v>
      </c>
      <c r="Q120" s="183">
        <f>SUMIFS('ноябрь 2025'!$G$2:$G$2583,'ноябрь 2025'!$D$2:$D$2583,$B120,'ноябрь 2025'!$J$2:$J$2583,Q$1)</f>
        <v>0</v>
      </c>
      <c r="R120" s="183">
        <f>SUMIFS('ноябрь 2025'!$G$2:$G$2583,'ноябрь 2025'!$D$2:$D$2583,$B120,'ноябрь 2025'!$J$2:$J$2583,R$1)</f>
        <v>0</v>
      </c>
      <c r="S120" s="183">
        <f>SUMIFS('ноябрь 2025'!$G$2:$G$2583,'ноябрь 2025'!$D$2:$D$2583,$B120,'ноябрь 2025'!$J$2:$J$2583,S$1)</f>
        <v>0</v>
      </c>
      <c r="T120" s="183">
        <f>SUMIFS('ноябрь 2025'!$G$2:$G$2583,'ноябрь 2025'!$D$2:$D$2583,$B120,'ноябрь 2025'!$J$2:$J$2583,T$1)</f>
        <v>0</v>
      </c>
      <c r="U120" s="183">
        <f>SUMIFS('ноябрь 2025'!$G$2:$G$2583,'ноябрь 2025'!$D$2:$D$2583,$B120,'ноябрь 2025'!$J$2:$J$2583,U$1)</f>
        <v>0</v>
      </c>
      <c r="V120" s="183">
        <f>SUMIFS('ноябрь 2025'!$G$2:$G$2583,'ноябрь 2025'!$D$2:$D$2583,$B120,'ноябрь 2025'!$J$2:$J$2583,V$1)</f>
        <v>0</v>
      </c>
      <c r="W120" s="183">
        <f>SUMIFS('ноябрь 2025'!$G$2:$G$2583,'ноябрь 2025'!$D$2:$D$2583,$B120,'ноябрь 2025'!$J$2:$J$2583,W$1)</f>
        <v>0</v>
      </c>
      <c r="X120" s="183">
        <f>SUMIFS('ноябрь 2025'!$G$2:$G$2583,'ноябрь 2025'!$D$2:$D$2583,$B120,'ноябрь 2025'!$J$2:$J$2583,X$1)</f>
        <v>0</v>
      </c>
      <c r="Y120" s="183">
        <f>SUMIFS('ноябрь 2025'!$G$2:$G$2583,'ноябрь 2025'!$D$2:$D$2583,$B120,'ноябрь 2025'!$J$2:$J$2583,Y$1)</f>
        <v>0</v>
      </c>
      <c r="Z120" s="183">
        <f>SUMIFS('ноябрь 2025'!$G$2:$G$2583,'ноябрь 2025'!$D$2:$D$2583,$B120,'ноябрь 2025'!$J$2:$J$2583,Z$1)</f>
        <v>0</v>
      </c>
      <c r="AA120" s="183">
        <f>SUMIFS('ноябрь 2025'!$G$2:$G$2583,'ноябрь 2025'!$D$2:$D$2583,$B120,'ноябрь 2025'!$J$2:$J$2583,AA$1)</f>
        <v>0</v>
      </c>
      <c r="AB120" s="183">
        <f>SUMIFS('ноябрь 2025'!$G$2:$G$2583,'ноябрь 2025'!$D$2:$D$2583,$B120,'ноябрь 2025'!$J$2:$J$2583,AB$1)</f>
        <v>0</v>
      </c>
      <c r="AC120" s="183">
        <f>SUMIFS('ноябрь 2025'!$G$2:$G$2583,'ноябрь 2025'!$D$2:$D$2583,$B120,'ноябрь 2025'!$J$2:$J$2583,AC$1)</f>
        <v>0</v>
      </c>
      <c r="AD120" s="183">
        <f>SUMIFS('ноябрь 2025'!$G$2:$G$2583,'ноябрь 2025'!$D$2:$D$2583,$B120,'ноябрь 2025'!$J$2:$J$2583,AD$1)</f>
        <v>0</v>
      </c>
      <c r="AE120" s="183">
        <f>SUMIFS('ноябрь 2025'!$G$2:$G$2583,'ноябрь 2025'!$D$2:$D$2583,$B120,'ноябрь 2025'!$J$2:$J$2583,AE$1)</f>
        <v>0</v>
      </c>
      <c r="AF120" s="183">
        <f>SUMIFS('ноябрь 2025'!$G$2:$G$2583,'ноябрь 2025'!$D$2:$D$2583,$B120,'ноябрь 2025'!$J$2:$J$2583,AF$1)</f>
        <v>0</v>
      </c>
      <c r="AG120" s="183">
        <f>SUMIFS('ноябрь 2025'!$G$2:$G$2583,'ноябрь 2025'!$D$2:$D$2583,$B120,'ноябрь 2025'!$J$2:$J$2583,AG$1)</f>
        <v>0</v>
      </c>
      <c r="AH120" s="183">
        <f>SUMIFS('ноябрь 2025'!$G$2:$G$2583,'ноябрь 2025'!$D$2:$D$2583,$B120,'ноябрь 2025'!$J$2:$J$2583,AH$1)</f>
        <v>0</v>
      </c>
      <c r="AI120" s="20">
        <f t="shared" si="1"/>
        <v>0</v>
      </c>
    </row>
    <row r="121" spans="2:35" ht="15" customHeight="1" x14ac:dyDescent="0.25">
      <c r="B121" s="88" t="s">
        <v>263</v>
      </c>
      <c r="C121" s="86">
        <v>200</v>
      </c>
      <c r="D121" s="183">
        <f>SUMIFS('ноябрь 2025'!$G$2:$G$2583,'ноябрь 2025'!$D$2:$D$2583,$B121,'ноябрь 2025'!$J$2:$J$2583,D$1)</f>
        <v>0</v>
      </c>
      <c r="E121" s="183">
        <f>SUMIFS('ноябрь 2025'!$G$2:$G$2583,'ноябрь 2025'!$D$2:$D$2583,$B121,'ноябрь 2025'!$J$2:$J$2583,E$1)</f>
        <v>0</v>
      </c>
      <c r="F121" s="183">
        <f>SUMIFS('ноябрь 2025'!$G$2:$G$2583,'ноябрь 2025'!$D$2:$D$2583,$B121,'ноябрь 2025'!$J$2:$J$2583,F$1)</f>
        <v>0</v>
      </c>
      <c r="G121" s="183">
        <f>SUMIFS('ноябрь 2025'!$G$2:$G$2583,'ноябрь 2025'!$D$2:$D$2583,$B121,'ноябрь 2025'!$J$2:$J$2583,G$1)</f>
        <v>0</v>
      </c>
      <c r="H121" s="183">
        <f>SUMIFS('ноябрь 2025'!$G$2:$G$2583,'ноябрь 2025'!$D$2:$D$2583,$B121,'ноябрь 2025'!$J$2:$J$2583,H$1)</f>
        <v>0</v>
      </c>
      <c r="I121" s="183">
        <f>SUMIFS('ноябрь 2025'!$G$2:$G$2583,'ноябрь 2025'!$D$2:$D$2583,$B121,'ноябрь 2025'!$J$2:$J$2583,I$1)</f>
        <v>0</v>
      </c>
      <c r="J121" s="183">
        <f>SUMIFS('ноябрь 2025'!$G$2:$G$2583,'ноябрь 2025'!$D$2:$D$2583,$B121,'ноябрь 2025'!$J$2:$J$2583,J$1)</f>
        <v>0</v>
      </c>
      <c r="K121" s="183">
        <f>SUMIFS('ноябрь 2025'!$G$2:$G$2583,'ноябрь 2025'!$D$2:$D$2583,$B121,'ноябрь 2025'!$J$2:$J$2583,K$1)</f>
        <v>0</v>
      </c>
      <c r="L121" s="183">
        <f>SUMIFS('ноябрь 2025'!$G$2:$G$2583,'ноябрь 2025'!$D$2:$D$2583,$B121,'ноябрь 2025'!$J$2:$J$2583,L$1)</f>
        <v>0</v>
      </c>
      <c r="M121" s="183">
        <f>SUMIFS('ноябрь 2025'!$G$2:$G$2583,'ноябрь 2025'!$D$2:$D$2583,$B121,'ноябрь 2025'!$J$2:$J$2583,M$1)</f>
        <v>0</v>
      </c>
      <c r="N121" s="183">
        <f>SUMIFS('ноябрь 2025'!$G$2:$G$2583,'ноябрь 2025'!$D$2:$D$2583,$B121,'ноябрь 2025'!$J$2:$J$2583,N$1)</f>
        <v>0</v>
      </c>
      <c r="O121" s="183">
        <f>SUMIFS('ноябрь 2025'!$G$2:$G$2583,'ноябрь 2025'!$D$2:$D$2583,$B121,'ноябрь 2025'!$J$2:$J$2583,O$1)</f>
        <v>0</v>
      </c>
      <c r="P121" s="183">
        <f>SUMIFS('ноябрь 2025'!$G$2:$G$2583,'ноябрь 2025'!$D$2:$D$2583,$B121,'ноябрь 2025'!$J$2:$J$2583,P$1)</f>
        <v>0</v>
      </c>
      <c r="Q121" s="183">
        <f>SUMIFS('ноябрь 2025'!$G$2:$G$2583,'ноябрь 2025'!$D$2:$D$2583,$B121,'ноябрь 2025'!$J$2:$J$2583,Q$1)</f>
        <v>0</v>
      </c>
      <c r="R121" s="183">
        <f>SUMIFS('ноябрь 2025'!$G$2:$G$2583,'ноябрь 2025'!$D$2:$D$2583,$B121,'ноябрь 2025'!$J$2:$J$2583,R$1)</f>
        <v>0</v>
      </c>
      <c r="S121" s="183">
        <f>SUMIFS('ноябрь 2025'!$G$2:$G$2583,'ноябрь 2025'!$D$2:$D$2583,$B121,'ноябрь 2025'!$J$2:$J$2583,S$1)</f>
        <v>0</v>
      </c>
      <c r="T121" s="183">
        <f>SUMIFS('ноябрь 2025'!$G$2:$G$2583,'ноябрь 2025'!$D$2:$D$2583,$B121,'ноябрь 2025'!$J$2:$J$2583,T$1)</f>
        <v>0</v>
      </c>
      <c r="U121" s="183">
        <f>SUMIFS('ноябрь 2025'!$G$2:$G$2583,'ноябрь 2025'!$D$2:$D$2583,$B121,'ноябрь 2025'!$J$2:$J$2583,U$1)</f>
        <v>0</v>
      </c>
      <c r="V121" s="183">
        <f>SUMIFS('ноябрь 2025'!$G$2:$G$2583,'ноябрь 2025'!$D$2:$D$2583,$B121,'ноябрь 2025'!$J$2:$J$2583,V$1)</f>
        <v>0</v>
      </c>
      <c r="W121" s="183">
        <f>SUMIFS('ноябрь 2025'!$G$2:$G$2583,'ноябрь 2025'!$D$2:$D$2583,$B121,'ноябрь 2025'!$J$2:$J$2583,W$1)</f>
        <v>0</v>
      </c>
      <c r="X121" s="183">
        <f>SUMIFS('ноябрь 2025'!$G$2:$G$2583,'ноябрь 2025'!$D$2:$D$2583,$B121,'ноябрь 2025'!$J$2:$J$2583,X$1)</f>
        <v>0</v>
      </c>
      <c r="Y121" s="183">
        <f>SUMIFS('ноябрь 2025'!$G$2:$G$2583,'ноябрь 2025'!$D$2:$D$2583,$B121,'ноябрь 2025'!$J$2:$J$2583,Y$1)</f>
        <v>0</v>
      </c>
      <c r="Z121" s="183">
        <f>SUMIFS('ноябрь 2025'!$G$2:$G$2583,'ноябрь 2025'!$D$2:$D$2583,$B121,'ноябрь 2025'!$J$2:$J$2583,Z$1)</f>
        <v>0</v>
      </c>
      <c r="AA121" s="183">
        <f>SUMIFS('ноябрь 2025'!$G$2:$G$2583,'ноябрь 2025'!$D$2:$D$2583,$B121,'ноябрь 2025'!$J$2:$J$2583,AA$1)</f>
        <v>0</v>
      </c>
      <c r="AB121" s="183">
        <f>SUMIFS('ноябрь 2025'!$G$2:$G$2583,'ноябрь 2025'!$D$2:$D$2583,$B121,'ноябрь 2025'!$J$2:$J$2583,AB$1)</f>
        <v>0</v>
      </c>
      <c r="AC121" s="183">
        <f>SUMIFS('ноябрь 2025'!$G$2:$G$2583,'ноябрь 2025'!$D$2:$D$2583,$B121,'ноябрь 2025'!$J$2:$J$2583,AC$1)</f>
        <v>0</v>
      </c>
      <c r="AD121" s="183">
        <f>SUMIFS('ноябрь 2025'!$G$2:$G$2583,'ноябрь 2025'!$D$2:$D$2583,$B121,'ноябрь 2025'!$J$2:$J$2583,AD$1)</f>
        <v>0</v>
      </c>
      <c r="AE121" s="183">
        <f>SUMIFS('ноябрь 2025'!$G$2:$G$2583,'ноябрь 2025'!$D$2:$D$2583,$B121,'ноябрь 2025'!$J$2:$J$2583,AE$1)</f>
        <v>0</v>
      </c>
      <c r="AF121" s="183">
        <f>SUMIFS('ноябрь 2025'!$G$2:$G$2583,'ноябрь 2025'!$D$2:$D$2583,$B121,'ноябрь 2025'!$J$2:$J$2583,AF$1)</f>
        <v>0</v>
      </c>
      <c r="AG121" s="183">
        <f>SUMIFS('ноябрь 2025'!$G$2:$G$2583,'ноябрь 2025'!$D$2:$D$2583,$B121,'ноябрь 2025'!$J$2:$J$2583,AG$1)</f>
        <v>0</v>
      </c>
      <c r="AH121" s="183">
        <f>SUMIFS('ноябрь 2025'!$G$2:$G$2583,'ноябрь 2025'!$D$2:$D$2583,$B121,'ноябрь 2025'!$J$2:$J$2583,AH$1)</f>
        <v>0</v>
      </c>
      <c r="AI121" s="20">
        <f t="shared" si="1"/>
        <v>0</v>
      </c>
    </row>
    <row r="122" spans="2:35" ht="15" customHeight="1" x14ac:dyDescent="0.25">
      <c r="B122" s="84" t="s">
        <v>208</v>
      </c>
      <c r="C122" s="83">
        <v>25</v>
      </c>
      <c r="D122" s="183">
        <f>SUMIFS('ноябрь 2025'!$G$2:$G$2583,'ноябрь 2025'!$D$2:$D$2583,$B122,'ноябрь 2025'!$J$2:$J$2583,D$1)</f>
        <v>0</v>
      </c>
      <c r="E122" s="183">
        <f>SUMIFS('ноябрь 2025'!$G$2:$G$2583,'ноябрь 2025'!$D$2:$D$2583,$B122,'ноябрь 2025'!$J$2:$J$2583,E$1)</f>
        <v>0</v>
      </c>
      <c r="F122" s="183">
        <f>SUMIFS('ноябрь 2025'!$G$2:$G$2583,'ноябрь 2025'!$D$2:$D$2583,$B122,'ноябрь 2025'!$J$2:$J$2583,F$1)</f>
        <v>0</v>
      </c>
      <c r="G122" s="183">
        <f>SUMIFS('ноябрь 2025'!$G$2:$G$2583,'ноябрь 2025'!$D$2:$D$2583,$B122,'ноябрь 2025'!$J$2:$J$2583,G$1)</f>
        <v>0</v>
      </c>
      <c r="H122" s="183">
        <f>SUMIFS('ноябрь 2025'!$G$2:$G$2583,'ноябрь 2025'!$D$2:$D$2583,$B122,'ноябрь 2025'!$J$2:$J$2583,H$1)</f>
        <v>0</v>
      </c>
      <c r="I122" s="183">
        <f>SUMIFS('ноябрь 2025'!$G$2:$G$2583,'ноябрь 2025'!$D$2:$D$2583,$B122,'ноябрь 2025'!$J$2:$J$2583,I$1)</f>
        <v>0</v>
      </c>
      <c r="J122" s="183">
        <f>SUMIFS('ноябрь 2025'!$G$2:$G$2583,'ноябрь 2025'!$D$2:$D$2583,$B122,'ноябрь 2025'!$J$2:$J$2583,J$1)</f>
        <v>0</v>
      </c>
      <c r="K122" s="183">
        <f>SUMIFS('ноябрь 2025'!$G$2:$G$2583,'ноябрь 2025'!$D$2:$D$2583,$B122,'ноябрь 2025'!$J$2:$J$2583,K$1)</f>
        <v>0</v>
      </c>
      <c r="L122" s="183">
        <f>SUMIFS('ноябрь 2025'!$G$2:$G$2583,'ноябрь 2025'!$D$2:$D$2583,$B122,'ноябрь 2025'!$J$2:$J$2583,L$1)</f>
        <v>0</v>
      </c>
      <c r="M122" s="183">
        <f>SUMIFS('ноябрь 2025'!$G$2:$G$2583,'ноябрь 2025'!$D$2:$D$2583,$B122,'ноябрь 2025'!$J$2:$J$2583,M$1)</f>
        <v>0</v>
      </c>
      <c r="N122" s="183">
        <f>SUMIFS('ноябрь 2025'!$G$2:$G$2583,'ноябрь 2025'!$D$2:$D$2583,$B122,'ноябрь 2025'!$J$2:$J$2583,N$1)</f>
        <v>0</v>
      </c>
      <c r="O122" s="183">
        <f>SUMIFS('ноябрь 2025'!$G$2:$G$2583,'ноябрь 2025'!$D$2:$D$2583,$B122,'ноябрь 2025'!$J$2:$J$2583,O$1)</f>
        <v>0</v>
      </c>
      <c r="P122" s="183">
        <f>SUMIFS('ноябрь 2025'!$G$2:$G$2583,'ноябрь 2025'!$D$2:$D$2583,$B122,'ноябрь 2025'!$J$2:$J$2583,P$1)</f>
        <v>0</v>
      </c>
      <c r="Q122" s="183">
        <f>SUMIFS('ноябрь 2025'!$G$2:$G$2583,'ноябрь 2025'!$D$2:$D$2583,$B122,'ноябрь 2025'!$J$2:$J$2583,Q$1)</f>
        <v>0</v>
      </c>
      <c r="R122" s="183">
        <f>SUMIFS('ноябрь 2025'!$G$2:$G$2583,'ноябрь 2025'!$D$2:$D$2583,$B122,'ноябрь 2025'!$J$2:$J$2583,R$1)</f>
        <v>0</v>
      </c>
      <c r="S122" s="183">
        <f>SUMIFS('ноябрь 2025'!$G$2:$G$2583,'ноябрь 2025'!$D$2:$D$2583,$B122,'ноябрь 2025'!$J$2:$J$2583,S$1)</f>
        <v>0</v>
      </c>
      <c r="T122" s="183">
        <f>SUMIFS('ноябрь 2025'!$G$2:$G$2583,'ноябрь 2025'!$D$2:$D$2583,$B122,'ноябрь 2025'!$J$2:$J$2583,T$1)</f>
        <v>0</v>
      </c>
      <c r="U122" s="183">
        <f>SUMIFS('ноябрь 2025'!$G$2:$G$2583,'ноябрь 2025'!$D$2:$D$2583,$B122,'ноябрь 2025'!$J$2:$J$2583,U$1)</f>
        <v>0</v>
      </c>
      <c r="V122" s="183">
        <f>SUMIFS('ноябрь 2025'!$G$2:$G$2583,'ноябрь 2025'!$D$2:$D$2583,$B122,'ноябрь 2025'!$J$2:$J$2583,V$1)</f>
        <v>0</v>
      </c>
      <c r="W122" s="183">
        <f>SUMIFS('ноябрь 2025'!$G$2:$G$2583,'ноябрь 2025'!$D$2:$D$2583,$B122,'ноябрь 2025'!$J$2:$J$2583,W$1)</f>
        <v>0</v>
      </c>
      <c r="X122" s="183">
        <f>SUMIFS('ноябрь 2025'!$G$2:$G$2583,'ноябрь 2025'!$D$2:$D$2583,$B122,'ноябрь 2025'!$J$2:$J$2583,X$1)</f>
        <v>0</v>
      </c>
      <c r="Y122" s="183">
        <f>SUMIFS('ноябрь 2025'!$G$2:$G$2583,'ноябрь 2025'!$D$2:$D$2583,$B122,'ноябрь 2025'!$J$2:$J$2583,Y$1)</f>
        <v>0</v>
      </c>
      <c r="Z122" s="183">
        <f>SUMIFS('ноябрь 2025'!$G$2:$G$2583,'ноябрь 2025'!$D$2:$D$2583,$B122,'ноябрь 2025'!$J$2:$J$2583,Z$1)</f>
        <v>0</v>
      </c>
      <c r="AA122" s="183">
        <f>SUMIFS('ноябрь 2025'!$G$2:$G$2583,'ноябрь 2025'!$D$2:$D$2583,$B122,'ноябрь 2025'!$J$2:$J$2583,AA$1)</f>
        <v>0</v>
      </c>
      <c r="AB122" s="183">
        <f>SUMIFS('ноябрь 2025'!$G$2:$G$2583,'ноябрь 2025'!$D$2:$D$2583,$B122,'ноябрь 2025'!$J$2:$J$2583,AB$1)</f>
        <v>0</v>
      </c>
      <c r="AC122" s="183">
        <f>SUMIFS('ноябрь 2025'!$G$2:$G$2583,'ноябрь 2025'!$D$2:$D$2583,$B122,'ноябрь 2025'!$J$2:$J$2583,AC$1)</f>
        <v>0</v>
      </c>
      <c r="AD122" s="183">
        <f>SUMIFS('ноябрь 2025'!$G$2:$G$2583,'ноябрь 2025'!$D$2:$D$2583,$B122,'ноябрь 2025'!$J$2:$J$2583,AD$1)</f>
        <v>0</v>
      </c>
      <c r="AE122" s="183">
        <f>SUMIFS('ноябрь 2025'!$G$2:$G$2583,'ноябрь 2025'!$D$2:$D$2583,$B122,'ноябрь 2025'!$J$2:$J$2583,AE$1)</f>
        <v>0</v>
      </c>
      <c r="AF122" s="183">
        <f>SUMIFS('ноябрь 2025'!$G$2:$G$2583,'ноябрь 2025'!$D$2:$D$2583,$B122,'ноябрь 2025'!$J$2:$J$2583,AF$1)</f>
        <v>0</v>
      </c>
      <c r="AG122" s="183">
        <f>SUMIFS('ноябрь 2025'!$G$2:$G$2583,'ноябрь 2025'!$D$2:$D$2583,$B122,'ноябрь 2025'!$J$2:$J$2583,AG$1)</f>
        <v>0</v>
      </c>
      <c r="AH122" s="183">
        <f>SUMIFS('ноябрь 2025'!$G$2:$G$2583,'ноябрь 2025'!$D$2:$D$2583,$B122,'ноябрь 2025'!$J$2:$J$2583,AH$1)</f>
        <v>0</v>
      </c>
      <c r="AI122" s="20">
        <f t="shared" si="1"/>
        <v>0</v>
      </c>
    </row>
    <row r="123" spans="2:35" ht="15" customHeight="1" x14ac:dyDescent="0.25">
      <c r="B123" s="88" t="s">
        <v>264</v>
      </c>
      <c r="C123" s="86">
        <v>50</v>
      </c>
      <c r="D123" s="183">
        <f>SUMIFS('ноябрь 2025'!$G$2:$G$2583,'ноябрь 2025'!$D$2:$D$2583,$B123,'ноябрь 2025'!$J$2:$J$2583,D$1)</f>
        <v>0</v>
      </c>
      <c r="E123" s="183">
        <f>SUMIFS('ноябрь 2025'!$G$2:$G$2583,'ноябрь 2025'!$D$2:$D$2583,$B123,'ноябрь 2025'!$J$2:$J$2583,E$1)</f>
        <v>0</v>
      </c>
      <c r="F123" s="183">
        <f>SUMIFS('ноябрь 2025'!$G$2:$G$2583,'ноябрь 2025'!$D$2:$D$2583,$B123,'ноябрь 2025'!$J$2:$J$2583,F$1)</f>
        <v>0</v>
      </c>
      <c r="G123" s="183">
        <f>SUMIFS('ноябрь 2025'!$G$2:$G$2583,'ноябрь 2025'!$D$2:$D$2583,$B123,'ноябрь 2025'!$J$2:$J$2583,G$1)</f>
        <v>0</v>
      </c>
      <c r="H123" s="183">
        <f>SUMIFS('ноябрь 2025'!$G$2:$G$2583,'ноябрь 2025'!$D$2:$D$2583,$B123,'ноябрь 2025'!$J$2:$J$2583,H$1)</f>
        <v>0</v>
      </c>
      <c r="I123" s="183">
        <f>SUMIFS('ноябрь 2025'!$G$2:$G$2583,'ноябрь 2025'!$D$2:$D$2583,$B123,'ноябрь 2025'!$J$2:$J$2583,I$1)</f>
        <v>0</v>
      </c>
      <c r="J123" s="183">
        <f>SUMIFS('ноябрь 2025'!$G$2:$G$2583,'ноябрь 2025'!$D$2:$D$2583,$B123,'ноябрь 2025'!$J$2:$J$2583,J$1)</f>
        <v>0</v>
      </c>
      <c r="K123" s="183">
        <f>SUMIFS('ноябрь 2025'!$G$2:$G$2583,'ноябрь 2025'!$D$2:$D$2583,$B123,'ноябрь 2025'!$J$2:$J$2583,K$1)</f>
        <v>0</v>
      </c>
      <c r="L123" s="183">
        <f>SUMIFS('ноябрь 2025'!$G$2:$G$2583,'ноябрь 2025'!$D$2:$D$2583,$B123,'ноябрь 2025'!$J$2:$J$2583,L$1)</f>
        <v>0</v>
      </c>
      <c r="M123" s="183">
        <f>SUMIFS('ноябрь 2025'!$G$2:$G$2583,'ноябрь 2025'!$D$2:$D$2583,$B123,'ноябрь 2025'!$J$2:$J$2583,M$1)</f>
        <v>0</v>
      </c>
      <c r="N123" s="183">
        <f>SUMIFS('ноябрь 2025'!$G$2:$G$2583,'ноябрь 2025'!$D$2:$D$2583,$B123,'ноябрь 2025'!$J$2:$J$2583,N$1)</f>
        <v>0</v>
      </c>
      <c r="O123" s="183">
        <f>SUMIFS('ноябрь 2025'!$G$2:$G$2583,'ноябрь 2025'!$D$2:$D$2583,$B123,'ноябрь 2025'!$J$2:$J$2583,O$1)</f>
        <v>0</v>
      </c>
      <c r="P123" s="183">
        <f>SUMIFS('ноябрь 2025'!$G$2:$G$2583,'ноябрь 2025'!$D$2:$D$2583,$B123,'ноябрь 2025'!$J$2:$J$2583,P$1)</f>
        <v>0</v>
      </c>
      <c r="Q123" s="183">
        <f>SUMIFS('ноябрь 2025'!$G$2:$G$2583,'ноябрь 2025'!$D$2:$D$2583,$B123,'ноябрь 2025'!$J$2:$J$2583,Q$1)</f>
        <v>0</v>
      </c>
      <c r="R123" s="183">
        <f>SUMIFS('ноябрь 2025'!$G$2:$G$2583,'ноябрь 2025'!$D$2:$D$2583,$B123,'ноябрь 2025'!$J$2:$J$2583,R$1)</f>
        <v>0</v>
      </c>
      <c r="S123" s="183">
        <f>SUMIFS('ноябрь 2025'!$G$2:$G$2583,'ноябрь 2025'!$D$2:$D$2583,$B123,'ноябрь 2025'!$J$2:$J$2583,S$1)</f>
        <v>0</v>
      </c>
      <c r="T123" s="183">
        <f>SUMIFS('ноябрь 2025'!$G$2:$G$2583,'ноябрь 2025'!$D$2:$D$2583,$B123,'ноябрь 2025'!$J$2:$J$2583,T$1)</f>
        <v>0</v>
      </c>
      <c r="U123" s="183">
        <f>SUMIFS('ноябрь 2025'!$G$2:$G$2583,'ноябрь 2025'!$D$2:$D$2583,$B123,'ноябрь 2025'!$J$2:$J$2583,U$1)</f>
        <v>0</v>
      </c>
      <c r="V123" s="183">
        <f>SUMIFS('ноябрь 2025'!$G$2:$G$2583,'ноябрь 2025'!$D$2:$D$2583,$B123,'ноябрь 2025'!$J$2:$J$2583,V$1)</f>
        <v>0</v>
      </c>
      <c r="W123" s="183">
        <f>SUMIFS('ноябрь 2025'!$G$2:$G$2583,'ноябрь 2025'!$D$2:$D$2583,$B123,'ноябрь 2025'!$J$2:$J$2583,W$1)</f>
        <v>0</v>
      </c>
      <c r="X123" s="183">
        <f>SUMIFS('ноябрь 2025'!$G$2:$G$2583,'ноябрь 2025'!$D$2:$D$2583,$B123,'ноябрь 2025'!$J$2:$J$2583,X$1)</f>
        <v>0</v>
      </c>
      <c r="Y123" s="183">
        <f>SUMIFS('ноябрь 2025'!$G$2:$G$2583,'ноябрь 2025'!$D$2:$D$2583,$B123,'ноябрь 2025'!$J$2:$J$2583,Y$1)</f>
        <v>0</v>
      </c>
      <c r="Z123" s="183">
        <f>SUMIFS('ноябрь 2025'!$G$2:$G$2583,'ноябрь 2025'!$D$2:$D$2583,$B123,'ноябрь 2025'!$J$2:$J$2583,Z$1)</f>
        <v>0</v>
      </c>
      <c r="AA123" s="183">
        <f>SUMIFS('ноябрь 2025'!$G$2:$G$2583,'ноябрь 2025'!$D$2:$D$2583,$B123,'ноябрь 2025'!$J$2:$J$2583,AA$1)</f>
        <v>0</v>
      </c>
      <c r="AB123" s="183">
        <f>SUMIFS('ноябрь 2025'!$G$2:$G$2583,'ноябрь 2025'!$D$2:$D$2583,$B123,'ноябрь 2025'!$J$2:$J$2583,AB$1)</f>
        <v>0</v>
      </c>
      <c r="AC123" s="183">
        <f>SUMIFS('ноябрь 2025'!$G$2:$G$2583,'ноябрь 2025'!$D$2:$D$2583,$B123,'ноябрь 2025'!$J$2:$J$2583,AC$1)</f>
        <v>0</v>
      </c>
      <c r="AD123" s="183">
        <f>SUMIFS('ноябрь 2025'!$G$2:$G$2583,'ноябрь 2025'!$D$2:$D$2583,$B123,'ноябрь 2025'!$J$2:$J$2583,AD$1)</f>
        <v>0</v>
      </c>
      <c r="AE123" s="183">
        <f>SUMIFS('ноябрь 2025'!$G$2:$G$2583,'ноябрь 2025'!$D$2:$D$2583,$B123,'ноябрь 2025'!$J$2:$J$2583,AE$1)</f>
        <v>0</v>
      </c>
      <c r="AF123" s="183">
        <f>SUMIFS('ноябрь 2025'!$G$2:$G$2583,'ноябрь 2025'!$D$2:$D$2583,$B123,'ноябрь 2025'!$J$2:$J$2583,AF$1)</f>
        <v>0</v>
      </c>
      <c r="AG123" s="183">
        <f>SUMIFS('ноябрь 2025'!$G$2:$G$2583,'ноябрь 2025'!$D$2:$D$2583,$B123,'ноябрь 2025'!$J$2:$J$2583,AG$1)</f>
        <v>0</v>
      </c>
      <c r="AH123" s="183">
        <f>SUMIFS('ноябрь 2025'!$G$2:$G$2583,'ноябрь 2025'!$D$2:$D$2583,$B123,'ноябрь 2025'!$J$2:$J$2583,AH$1)</f>
        <v>0</v>
      </c>
      <c r="AI123" s="20">
        <f t="shared" si="1"/>
        <v>0</v>
      </c>
    </row>
    <row r="124" spans="2:35" ht="15" customHeight="1" x14ac:dyDescent="0.25">
      <c r="B124" s="88" t="s">
        <v>185</v>
      </c>
      <c r="C124" s="86">
        <v>180</v>
      </c>
      <c r="D124" s="183">
        <f>SUMIFS('ноябрь 2025'!$G$2:$G$2583,'ноябрь 2025'!$D$2:$D$2583,$B124,'ноябрь 2025'!$J$2:$J$2583,D$1)</f>
        <v>0</v>
      </c>
      <c r="E124" s="183">
        <f>SUMIFS('ноябрь 2025'!$G$2:$G$2583,'ноябрь 2025'!$D$2:$D$2583,$B124,'ноябрь 2025'!$J$2:$J$2583,E$1)</f>
        <v>0</v>
      </c>
      <c r="F124" s="183">
        <f>SUMIFS('ноябрь 2025'!$G$2:$G$2583,'ноябрь 2025'!$D$2:$D$2583,$B124,'ноябрь 2025'!$J$2:$J$2583,F$1)</f>
        <v>0</v>
      </c>
      <c r="G124" s="183">
        <f>SUMIFS('ноябрь 2025'!$G$2:$G$2583,'ноябрь 2025'!$D$2:$D$2583,$B124,'ноябрь 2025'!$J$2:$J$2583,G$1)</f>
        <v>0</v>
      </c>
      <c r="H124" s="183">
        <f>SUMIFS('ноябрь 2025'!$G$2:$G$2583,'ноябрь 2025'!$D$2:$D$2583,$B124,'ноябрь 2025'!$J$2:$J$2583,H$1)</f>
        <v>0</v>
      </c>
      <c r="I124" s="183">
        <f>SUMIFS('ноябрь 2025'!$G$2:$G$2583,'ноябрь 2025'!$D$2:$D$2583,$B124,'ноябрь 2025'!$J$2:$J$2583,I$1)</f>
        <v>0</v>
      </c>
      <c r="J124" s="183">
        <f>SUMIFS('ноябрь 2025'!$G$2:$G$2583,'ноябрь 2025'!$D$2:$D$2583,$B124,'ноябрь 2025'!$J$2:$J$2583,J$1)</f>
        <v>0</v>
      </c>
      <c r="K124" s="183">
        <f>SUMIFS('ноябрь 2025'!$G$2:$G$2583,'ноябрь 2025'!$D$2:$D$2583,$B124,'ноябрь 2025'!$J$2:$J$2583,K$1)</f>
        <v>0</v>
      </c>
      <c r="L124" s="183">
        <f>SUMIFS('ноябрь 2025'!$G$2:$G$2583,'ноябрь 2025'!$D$2:$D$2583,$B124,'ноябрь 2025'!$J$2:$J$2583,L$1)</f>
        <v>0</v>
      </c>
      <c r="M124" s="183">
        <f>SUMIFS('ноябрь 2025'!$G$2:$G$2583,'ноябрь 2025'!$D$2:$D$2583,$B124,'ноябрь 2025'!$J$2:$J$2583,M$1)</f>
        <v>0</v>
      </c>
      <c r="N124" s="183">
        <f>SUMIFS('ноябрь 2025'!$G$2:$G$2583,'ноябрь 2025'!$D$2:$D$2583,$B124,'ноябрь 2025'!$J$2:$J$2583,N$1)</f>
        <v>0</v>
      </c>
      <c r="O124" s="183">
        <f>SUMIFS('ноябрь 2025'!$G$2:$G$2583,'ноябрь 2025'!$D$2:$D$2583,$B124,'ноябрь 2025'!$J$2:$J$2583,O$1)</f>
        <v>0</v>
      </c>
      <c r="P124" s="183">
        <f>SUMIFS('ноябрь 2025'!$G$2:$G$2583,'ноябрь 2025'!$D$2:$D$2583,$B124,'ноябрь 2025'!$J$2:$J$2583,P$1)</f>
        <v>0</v>
      </c>
      <c r="Q124" s="183">
        <f>SUMIFS('ноябрь 2025'!$G$2:$G$2583,'ноябрь 2025'!$D$2:$D$2583,$B124,'ноябрь 2025'!$J$2:$J$2583,Q$1)</f>
        <v>0</v>
      </c>
      <c r="R124" s="183">
        <f>SUMIFS('ноябрь 2025'!$G$2:$G$2583,'ноябрь 2025'!$D$2:$D$2583,$B124,'ноябрь 2025'!$J$2:$J$2583,R$1)</f>
        <v>0</v>
      </c>
      <c r="S124" s="183">
        <f>SUMIFS('ноябрь 2025'!$G$2:$G$2583,'ноябрь 2025'!$D$2:$D$2583,$B124,'ноябрь 2025'!$J$2:$J$2583,S$1)</f>
        <v>0</v>
      </c>
      <c r="T124" s="183">
        <f>SUMIFS('ноябрь 2025'!$G$2:$G$2583,'ноябрь 2025'!$D$2:$D$2583,$B124,'ноябрь 2025'!$J$2:$J$2583,T$1)</f>
        <v>0</v>
      </c>
      <c r="U124" s="183">
        <f>SUMIFS('ноябрь 2025'!$G$2:$G$2583,'ноябрь 2025'!$D$2:$D$2583,$B124,'ноябрь 2025'!$J$2:$J$2583,U$1)</f>
        <v>0</v>
      </c>
      <c r="V124" s="183">
        <f>SUMIFS('ноябрь 2025'!$G$2:$G$2583,'ноябрь 2025'!$D$2:$D$2583,$B124,'ноябрь 2025'!$J$2:$J$2583,V$1)</f>
        <v>0</v>
      </c>
      <c r="W124" s="183">
        <f>SUMIFS('ноябрь 2025'!$G$2:$G$2583,'ноябрь 2025'!$D$2:$D$2583,$B124,'ноябрь 2025'!$J$2:$J$2583,W$1)</f>
        <v>0</v>
      </c>
      <c r="X124" s="183">
        <f>SUMIFS('ноябрь 2025'!$G$2:$G$2583,'ноябрь 2025'!$D$2:$D$2583,$B124,'ноябрь 2025'!$J$2:$J$2583,X$1)</f>
        <v>0</v>
      </c>
      <c r="Y124" s="183">
        <f>SUMIFS('ноябрь 2025'!$G$2:$G$2583,'ноябрь 2025'!$D$2:$D$2583,$B124,'ноябрь 2025'!$J$2:$J$2583,Y$1)</f>
        <v>0</v>
      </c>
      <c r="Z124" s="183">
        <f>SUMIFS('ноябрь 2025'!$G$2:$G$2583,'ноябрь 2025'!$D$2:$D$2583,$B124,'ноябрь 2025'!$J$2:$J$2583,Z$1)</f>
        <v>0</v>
      </c>
      <c r="AA124" s="183">
        <f>SUMIFS('ноябрь 2025'!$G$2:$G$2583,'ноябрь 2025'!$D$2:$D$2583,$B124,'ноябрь 2025'!$J$2:$J$2583,AA$1)</f>
        <v>0</v>
      </c>
      <c r="AB124" s="183">
        <f>SUMIFS('ноябрь 2025'!$G$2:$G$2583,'ноябрь 2025'!$D$2:$D$2583,$B124,'ноябрь 2025'!$J$2:$J$2583,AB$1)</f>
        <v>0</v>
      </c>
      <c r="AC124" s="183">
        <f>SUMIFS('ноябрь 2025'!$G$2:$G$2583,'ноябрь 2025'!$D$2:$D$2583,$B124,'ноябрь 2025'!$J$2:$J$2583,AC$1)</f>
        <v>0</v>
      </c>
      <c r="AD124" s="183">
        <f>SUMIFS('ноябрь 2025'!$G$2:$G$2583,'ноябрь 2025'!$D$2:$D$2583,$B124,'ноябрь 2025'!$J$2:$J$2583,AD$1)</f>
        <v>0</v>
      </c>
      <c r="AE124" s="183">
        <f>SUMIFS('ноябрь 2025'!$G$2:$G$2583,'ноябрь 2025'!$D$2:$D$2583,$B124,'ноябрь 2025'!$J$2:$J$2583,AE$1)</f>
        <v>0</v>
      </c>
      <c r="AF124" s="183">
        <f>SUMIFS('ноябрь 2025'!$G$2:$G$2583,'ноябрь 2025'!$D$2:$D$2583,$B124,'ноябрь 2025'!$J$2:$J$2583,AF$1)</f>
        <v>0</v>
      </c>
      <c r="AG124" s="183">
        <f>SUMIFS('ноябрь 2025'!$G$2:$G$2583,'ноябрь 2025'!$D$2:$D$2583,$B124,'ноябрь 2025'!$J$2:$J$2583,AG$1)</f>
        <v>0</v>
      </c>
      <c r="AH124" s="183">
        <f>SUMIFS('ноябрь 2025'!$G$2:$G$2583,'ноябрь 2025'!$D$2:$D$2583,$B124,'ноябрь 2025'!$J$2:$J$2583,AH$1)</f>
        <v>0</v>
      </c>
      <c r="AI124" s="20">
        <f t="shared" si="1"/>
        <v>0</v>
      </c>
    </row>
    <row r="125" spans="2:35" ht="15" customHeight="1" x14ac:dyDescent="0.25">
      <c r="B125" s="88" t="s">
        <v>203</v>
      </c>
      <c r="C125" s="86">
        <v>185</v>
      </c>
      <c r="D125" s="183">
        <f>SUMIFS('ноябрь 2025'!$G$2:$G$2583,'ноябрь 2025'!$D$2:$D$2583,$B125,'ноябрь 2025'!$J$2:$J$2583,D$1)</f>
        <v>0</v>
      </c>
      <c r="E125" s="183">
        <f>SUMIFS('ноябрь 2025'!$G$2:$G$2583,'ноябрь 2025'!$D$2:$D$2583,$B125,'ноябрь 2025'!$J$2:$J$2583,E$1)</f>
        <v>0</v>
      </c>
      <c r="F125" s="183">
        <f>SUMIFS('ноябрь 2025'!$G$2:$G$2583,'ноябрь 2025'!$D$2:$D$2583,$B125,'ноябрь 2025'!$J$2:$J$2583,F$1)</f>
        <v>0</v>
      </c>
      <c r="G125" s="183">
        <f>SUMIFS('ноябрь 2025'!$G$2:$G$2583,'ноябрь 2025'!$D$2:$D$2583,$B125,'ноябрь 2025'!$J$2:$J$2583,G$1)</f>
        <v>0</v>
      </c>
      <c r="H125" s="183">
        <f>SUMIFS('ноябрь 2025'!$G$2:$G$2583,'ноябрь 2025'!$D$2:$D$2583,$B125,'ноябрь 2025'!$J$2:$J$2583,H$1)</f>
        <v>0</v>
      </c>
      <c r="I125" s="183">
        <f>SUMIFS('ноябрь 2025'!$G$2:$G$2583,'ноябрь 2025'!$D$2:$D$2583,$B125,'ноябрь 2025'!$J$2:$J$2583,I$1)</f>
        <v>0</v>
      </c>
      <c r="J125" s="183">
        <f>SUMIFS('ноябрь 2025'!$G$2:$G$2583,'ноябрь 2025'!$D$2:$D$2583,$B125,'ноябрь 2025'!$J$2:$J$2583,J$1)</f>
        <v>0</v>
      </c>
      <c r="K125" s="183">
        <f>SUMIFS('ноябрь 2025'!$G$2:$G$2583,'ноябрь 2025'!$D$2:$D$2583,$B125,'ноябрь 2025'!$J$2:$J$2583,K$1)</f>
        <v>0</v>
      </c>
      <c r="L125" s="183">
        <f>SUMIFS('ноябрь 2025'!$G$2:$G$2583,'ноябрь 2025'!$D$2:$D$2583,$B125,'ноябрь 2025'!$J$2:$J$2583,L$1)</f>
        <v>0</v>
      </c>
      <c r="M125" s="183">
        <f>SUMIFS('ноябрь 2025'!$G$2:$G$2583,'ноябрь 2025'!$D$2:$D$2583,$B125,'ноябрь 2025'!$J$2:$J$2583,M$1)</f>
        <v>0</v>
      </c>
      <c r="N125" s="183">
        <f>SUMIFS('ноябрь 2025'!$G$2:$G$2583,'ноябрь 2025'!$D$2:$D$2583,$B125,'ноябрь 2025'!$J$2:$J$2583,N$1)</f>
        <v>0</v>
      </c>
      <c r="O125" s="183">
        <f>SUMIFS('ноябрь 2025'!$G$2:$G$2583,'ноябрь 2025'!$D$2:$D$2583,$B125,'ноябрь 2025'!$J$2:$J$2583,O$1)</f>
        <v>0</v>
      </c>
      <c r="P125" s="183">
        <f>SUMIFS('ноябрь 2025'!$G$2:$G$2583,'ноябрь 2025'!$D$2:$D$2583,$B125,'ноябрь 2025'!$J$2:$J$2583,P$1)</f>
        <v>0</v>
      </c>
      <c r="Q125" s="183">
        <f>SUMIFS('ноябрь 2025'!$G$2:$G$2583,'ноябрь 2025'!$D$2:$D$2583,$B125,'ноябрь 2025'!$J$2:$J$2583,Q$1)</f>
        <v>0</v>
      </c>
      <c r="R125" s="183">
        <f>SUMIFS('ноябрь 2025'!$G$2:$G$2583,'ноябрь 2025'!$D$2:$D$2583,$B125,'ноябрь 2025'!$J$2:$J$2583,R$1)</f>
        <v>0</v>
      </c>
      <c r="S125" s="183">
        <f>SUMIFS('ноябрь 2025'!$G$2:$G$2583,'ноябрь 2025'!$D$2:$D$2583,$B125,'ноябрь 2025'!$J$2:$J$2583,S$1)</f>
        <v>0</v>
      </c>
      <c r="T125" s="183">
        <f>SUMIFS('ноябрь 2025'!$G$2:$G$2583,'ноябрь 2025'!$D$2:$D$2583,$B125,'ноябрь 2025'!$J$2:$J$2583,T$1)</f>
        <v>0</v>
      </c>
      <c r="U125" s="183">
        <f>SUMIFS('ноябрь 2025'!$G$2:$G$2583,'ноябрь 2025'!$D$2:$D$2583,$B125,'ноябрь 2025'!$J$2:$J$2583,U$1)</f>
        <v>0</v>
      </c>
      <c r="V125" s="183">
        <f>SUMIFS('ноябрь 2025'!$G$2:$G$2583,'ноябрь 2025'!$D$2:$D$2583,$B125,'ноябрь 2025'!$J$2:$J$2583,V$1)</f>
        <v>0</v>
      </c>
      <c r="W125" s="183">
        <f>SUMIFS('ноябрь 2025'!$G$2:$G$2583,'ноябрь 2025'!$D$2:$D$2583,$B125,'ноябрь 2025'!$J$2:$J$2583,W$1)</f>
        <v>0</v>
      </c>
      <c r="X125" s="183">
        <f>SUMIFS('ноябрь 2025'!$G$2:$G$2583,'ноябрь 2025'!$D$2:$D$2583,$B125,'ноябрь 2025'!$J$2:$J$2583,X$1)</f>
        <v>0</v>
      </c>
      <c r="Y125" s="183">
        <f>SUMIFS('ноябрь 2025'!$G$2:$G$2583,'ноябрь 2025'!$D$2:$D$2583,$B125,'ноябрь 2025'!$J$2:$J$2583,Y$1)</f>
        <v>0</v>
      </c>
      <c r="Z125" s="183">
        <f>SUMIFS('ноябрь 2025'!$G$2:$G$2583,'ноябрь 2025'!$D$2:$D$2583,$B125,'ноябрь 2025'!$J$2:$J$2583,Z$1)</f>
        <v>0</v>
      </c>
      <c r="AA125" s="183">
        <f>SUMIFS('ноябрь 2025'!$G$2:$G$2583,'ноябрь 2025'!$D$2:$D$2583,$B125,'ноябрь 2025'!$J$2:$J$2583,AA$1)</f>
        <v>0</v>
      </c>
      <c r="AB125" s="183">
        <f>SUMIFS('ноябрь 2025'!$G$2:$G$2583,'ноябрь 2025'!$D$2:$D$2583,$B125,'ноябрь 2025'!$J$2:$J$2583,AB$1)</f>
        <v>0</v>
      </c>
      <c r="AC125" s="183">
        <f>SUMIFS('ноябрь 2025'!$G$2:$G$2583,'ноябрь 2025'!$D$2:$D$2583,$B125,'ноябрь 2025'!$J$2:$J$2583,AC$1)</f>
        <v>0</v>
      </c>
      <c r="AD125" s="183">
        <f>SUMIFS('ноябрь 2025'!$G$2:$G$2583,'ноябрь 2025'!$D$2:$D$2583,$B125,'ноябрь 2025'!$J$2:$J$2583,AD$1)</f>
        <v>0</v>
      </c>
      <c r="AE125" s="183">
        <f>SUMIFS('ноябрь 2025'!$G$2:$G$2583,'ноябрь 2025'!$D$2:$D$2583,$B125,'ноябрь 2025'!$J$2:$J$2583,AE$1)</f>
        <v>0</v>
      </c>
      <c r="AF125" s="183">
        <f>SUMIFS('ноябрь 2025'!$G$2:$G$2583,'ноябрь 2025'!$D$2:$D$2583,$B125,'ноябрь 2025'!$J$2:$J$2583,AF$1)</f>
        <v>0</v>
      </c>
      <c r="AG125" s="183">
        <f>SUMIFS('ноябрь 2025'!$G$2:$G$2583,'ноябрь 2025'!$D$2:$D$2583,$B125,'ноябрь 2025'!$J$2:$J$2583,AG$1)</f>
        <v>0</v>
      </c>
      <c r="AH125" s="183">
        <f>SUMIFS('ноябрь 2025'!$G$2:$G$2583,'ноябрь 2025'!$D$2:$D$2583,$B125,'ноябрь 2025'!$J$2:$J$2583,AH$1)</f>
        <v>0</v>
      </c>
      <c r="AI125" s="20">
        <f t="shared" si="1"/>
        <v>0</v>
      </c>
    </row>
    <row r="126" spans="2:35" ht="15" customHeight="1" x14ac:dyDescent="0.25">
      <c r="B126" s="88" t="s">
        <v>304</v>
      </c>
      <c r="C126" s="86">
        <v>175</v>
      </c>
      <c r="D126" s="183">
        <f>SUMIFS('ноябрь 2025'!$G$2:$G$2583,'ноябрь 2025'!$D$2:$D$2583,$B126,'ноябрь 2025'!$J$2:$J$2583,D$1)</f>
        <v>0</v>
      </c>
      <c r="E126" s="183">
        <f>SUMIFS('ноябрь 2025'!$G$2:$G$2583,'ноябрь 2025'!$D$2:$D$2583,$B126,'ноябрь 2025'!$J$2:$J$2583,E$1)</f>
        <v>0</v>
      </c>
      <c r="F126" s="183">
        <f>SUMIFS('ноябрь 2025'!$G$2:$G$2583,'ноябрь 2025'!$D$2:$D$2583,$B126,'ноябрь 2025'!$J$2:$J$2583,F$1)</f>
        <v>0</v>
      </c>
      <c r="G126" s="183">
        <f>SUMIFS('ноябрь 2025'!$G$2:$G$2583,'ноябрь 2025'!$D$2:$D$2583,$B126,'ноябрь 2025'!$J$2:$J$2583,G$1)</f>
        <v>0</v>
      </c>
      <c r="H126" s="183">
        <f>SUMIFS('ноябрь 2025'!$G$2:$G$2583,'ноябрь 2025'!$D$2:$D$2583,$B126,'ноябрь 2025'!$J$2:$J$2583,H$1)</f>
        <v>0</v>
      </c>
      <c r="I126" s="183">
        <f>SUMIFS('ноябрь 2025'!$G$2:$G$2583,'ноябрь 2025'!$D$2:$D$2583,$B126,'ноябрь 2025'!$J$2:$J$2583,I$1)</f>
        <v>0</v>
      </c>
      <c r="J126" s="183">
        <f>SUMIFS('ноябрь 2025'!$G$2:$G$2583,'ноябрь 2025'!$D$2:$D$2583,$B126,'ноябрь 2025'!$J$2:$J$2583,J$1)</f>
        <v>0</v>
      </c>
      <c r="K126" s="183">
        <f>SUMIFS('ноябрь 2025'!$G$2:$G$2583,'ноябрь 2025'!$D$2:$D$2583,$B126,'ноябрь 2025'!$J$2:$J$2583,K$1)</f>
        <v>0</v>
      </c>
      <c r="L126" s="183">
        <f>SUMIFS('ноябрь 2025'!$G$2:$G$2583,'ноябрь 2025'!$D$2:$D$2583,$B126,'ноябрь 2025'!$J$2:$J$2583,L$1)</f>
        <v>0</v>
      </c>
      <c r="M126" s="183">
        <f>SUMIFS('ноябрь 2025'!$G$2:$G$2583,'ноябрь 2025'!$D$2:$D$2583,$B126,'ноябрь 2025'!$J$2:$J$2583,M$1)</f>
        <v>0</v>
      </c>
      <c r="N126" s="183">
        <f>SUMIFS('ноябрь 2025'!$G$2:$G$2583,'ноябрь 2025'!$D$2:$D$2583,$B126,'ноябрь 2025'!$J$2:$J$2583,N$1)</f>
        <v>0</v>
      </c>
      <c r="O126" s="183">
        <f>SUMIFS('ноябрь 2025'!$G$2:$G$2583,'ноябрь 2025'!$D$2:$D$2583,$B126,'ноябрь 2025'!$J$2:$J$2583,O$1)</f>
        <v>0</v>
      </c>
      <c r="P126" s="183">
        <f>SUMIFS('ноябрь 2025'!$G$2:$G$2583,'ноябрь 2025'!$D$2:$D$2583,$B126,'ноябрь 2025'!$J$2:$J$2583,P$1)</f>
        <v>0</v>
      </c>
      <c r="Q126" s="183">
        <f>SUMIFS('ноябрь 2025'!$G$2:$G$2583,'ноябрь 2025'!$D$2:$D$2583,$B126,'ноябрь 2025'!$J$2:$J$2583,Q$1)</f>
        <v>0</v>
      </c>
      <c r="R126" s="183">
        <f>SUMIFS('ноябрь 2025'!$G$2:$G$2583,'ноябрь 2025'!$D$2:$D$2583,$B126,'ноябрь 2025'!$J$2:$J$2583,R$1)</f>
        <v>0</v>
      </c>
      <c r="S126" s="183">
        <f>SUMIFS('ноябрь 2025'!$G$2:$G$2583,'ноябрь 2025'!$D$2:$D$2583,$B126,'ноябрь 2025'!$J$2:$J$2583,S$1)</f>
        <v>0</v>
      </c>
      <c r="T126" s="183">
        <f>SUMIFS('ноябрь 2025'!$G$2:$G$2583,'ноябрь 2025'!$D$2:$D$2583,$B126,'ноябрь 2025'!$J$2:$J$2583,T$1)</f>
        <v>0</v>
      </c>
      <c r="U126" s="183">
        <f>SUMIFS('ноябрь 2025'!$G$2:$G$2583,'ноябрь 2025'!$D$2:$D$2583,$B126,'ноябрь 2025'!$J$2:$J$2583,U$1)</f>
        <v>0</v>
      </c>
      <c r="V126" s="183">
        <f>SUMIFS('ноябрь 2025'!$G$2:$G$2583,'ноябрь 2025'!$D$2:$D$2583,$B126,'ноябрь 2025'!$J$2:$J$2583,V$1)</f>
        <v>0</v>
      </c>
      <c r="W126" s="183">
        <f>SUMIFS('ноябрь 2025'!$G$2:$G$2583,'ноябрь 2025'!$D$2:$D$2583,$B126,'ноябрь 2025'!$J$2:$J$2583,W$1)</f>
        <v>0</v>
      </c>
      <c r="X126" s="183">
        <f>SUMIFS('ноябрь 2025'!$G$2:$G$2583,'ноябрь 2025'!$D$2:$D$2583,$B126,'ноябрь 2025'!$J$2:$J$2583,X$1)</f>
        <v>0</v>
      </c>
      <c r="Y126" s="183">
        <f>SUMIFS('ноябрь 2025'!$G$2:$G$2583,'ноябрь 2025'!$D$2:$D$2583,$B126,'ноябрь 2025'!$J$2:$J$2583,Y$1)</f>
        <v>0</v>
      </c>
      <c r="Z126" s="183">
        <f>SUMIFS('ноябрь 2025'!$G$2:$G$2583,'ноябрь 2025'!$D$2:$D$2583,$B126,'ноябрь 2025'!$J$2:$J$2583,Z$1)</f>
        <v>0</v>
      </c>
      <c r="AA126" s="183">
        <f>SUMIFS('ноябрь 2025'!$G$2:$G$2583,'ноябрь 2025'!$D$2:$D$2583,$B126,'ноябрь 2025'!$J$2:$J$2583,AA$1)</f>
        <v>0</v>
      </c>
      <c r="AB126" s="183">
        <f>SUMIFS('ноябрь 2025'!$G$2:$G$2583,'ноябрь 2025'!$D$2:$D$2583,$B126,'ноябрь 2025'!$J$2:$J$2583,AB$1)</f>
        <v>0</v>
      </c>
      <c r="AC126" s="183">
        <f>SUMIFS('ноябрь 2025'!$G$2:$G$2583,'ноябрь 2025'!$D$2:$D$2583,$B126,'ноябрь 2025'!$J$2:$J$2583,AC$1)</f>
        <v>0</v>
      </c>
      <c r="AD126" s="183">
        <f>SUMIFS('ноябрь 2025'!$G$2:$G$2583,'ноябрь 2025'!$D$2:$D$2583,$B126,'ноябрь 2025'!$J$2:$J$2583,AD$1)</f>
        <v>0</v>
      </c>
      <c r="AE126" s="183">
        <f>SUMIFS('ноябрь 2025'!$G$2:$G$2583,'ноябрь 2025'!$D$2:$D$2583,$B126,'ноябрь 2025'!$J$2:$J$2583,AE$1)</f>
        <v>0</v>
      </c>
      <c r="AF126" s="183">
        <f>SUMIFS('ноябрь 2025'!$G$2:$G$2583,'ноябрь 2025'!$D$2:$D$2583,$B126,'ноябрь 2025'!$J$2:$J$2583,AF$1)</f>
        <v>0</v>
      </c>
      <c r="AG126" s="183">
        <f>SUMIFS('ноябрь 2025'!$G$2:$G$2583,'ноябрь 2025'!$D$2:$D$2583,$B126,'ноябрь 2025'!$J$2:$J$2583,AG$1)</f>
        <v>0</v>
      </c>
      <c r="AH126" s="183">
        <f>SUMIFS('ноябрь 2025'!$G$2:$G$2583,'ноябрь 2025'!$D$2:$D$2583,$B126,'ноябрь 2025'!$J$2:$J$2583,AH$1)</f>
        <v>0</v>
      </c>
      <c r="AI126" s="20">
        <f t="shared" si="1"/>
        <v>0</v>
      </c>
    </row>
    <row r="127" spans="2:35" ht="15" customHeight="1" x14ac:dyDescent="0.25">
      <c r="B127" s="88" t="s">
        <v>310</v>
      </c>
      <c r="C127" s="86">
        <v>200</v>
      </c>
      <c r="D127" s="183">
        <f>SUMIFS('ноябрь 2025'!$G$2:$G$2583,'ноябрь 2025'!$D$2:$D$2583,$B127,'ноябрь 2025'!$J$2:$J$2583,D$1)</f>
        <v>0</v>
      </c>
      <c r="E127" s="183">
        <f>SUMIFS('ноябрь 2025'!$G$2:$G$2583,'ноябрь 2025'!$D$2:$D$2583,$B127,'ноябрь 2025'!$J$2:$J$2583,E$1)</f>
        <v>0</v>
      </c>
      <c r="F127" s="183">
        <f>SUMIFS('ноябрь 2025'!$G$2:$G$2583,'ноябрь 2025'!$D$2:$D$2583,$B127,'ноябрь 2025'!$J$2:$J$2583,F$1)</f>
        <v>0</v>
      </c>
      <c r="G127" s="183">
        <f>SUMIFS('ноябрь 2025'!$G$2:$G$2583,'ноябрь 2025'!$D$2:$D$2583,$B127,'ноябрь 2025'!$J$2:$J$2583,G$1)</f>
        <v>0</v>
      </c>
      <c r="H127" s="183">
        <f>SUMIFS('ноябрь 2025'!$G$2:$G$2583,'ноябрь 2025'!$D$2:$D$2583,$B127,'ноябрь 2025'!$J$2:$J$2583,H$1)</f>
        <v>0</v>
      </c>
      <c r="I127" s="183">
        <f>SUMIFS('ноябрь 2025'!$G$2:$G$2583,'ноябрь 2025'!$D$2:$D$2583,$B127,'ноябрь 2025'!$J$2:$J$2583,I$1)</f>
        <v>0</v>
      </c>
      <c r="J127" s="183">
        <f>SUMIFS('ноябрь 2025'!$G$2:$G$2583,'ноябрь 2025'!$D$2:$D$2583,$B127,'ноябрь 2025'!$J$2:$J$2583,J$1)</f>
        <v>0</v>
      </c>
      <c r="K127" s="183">
        <f>SUMIFS('ноябрь 2025'!$G$2:$G$2583,'ноябрь 2025'!$D$2:$D$2583,$B127,'ноябрь 2025'!$J$2:$J$2583,K$1)</f>
        <v>0</v>
      </c>
      <c r="L127" s="183">
        <f>SUMIFS('ноябрь 2025'!$G$2:$G$2583,'ноябрь 2025'!$D$2:$D$2583,$B127,'ноябрь 2025'!$J$2:$J$2583,L$1)</f>
        <v>0</v>
      </c>
      <c r="M127" s="183">
        <f>SUMIFS('ноябрь 2025'!$G$2:$G$2583,'ноябрь 2025'!$D$2:$D$2583,$B127,'ноябрь 2025'!$J$2:$J$2583,M$1)</f>
        <v>0</v>
      </c>
      <c r="N127" s="183">
        <f>SUMIFS('ноябрь 2025'!$G$2:$G$2583,'ноябрь 2025'!$D$2:$D$2583,$B127,'ноябрь 2025'!$J$2:$J$2583,N$1)</f>
        <v>0</v>
      </c>
      <c r="O127" s="183">
        <f>SUMIFS('ноябрь 2025'!$G$2:$G$2583,'ноябрь 2025'!$D$2:$D$2583,$B127,'ноябрь 2025'!$J$2:$J$2583,O$1)</f>
        <v>0</v>
      </c>
      <c r="P127" s="183">
        <f>SUMIFS('ноябрь 2025'!$G$2:$G$2583,'ноябрь 2025'!$D$2:$D$2583,$B127,'ноябрь 2025'!$J$2:$J$2583,P$1)</f>
        <v>0</v>
      </c>
      <c r="Q127" s="183">
        <f>SUMIFS('ноябрь 2025'!$G$2:$G$2583,'ноябрь 2025'!$D$2:$D$2583,$B127,'ноябрь 2025'!$J$2:$J$2583,Q$1)</f>
        <v>0</v>
      </c>
      <c r="R127" s="183">
        <f>SUMIFS('ноябрь 2025'!$G$2:$G$2583,'ноябрь 2025'!$D$2:$D$2583,$B127,'ноябрь 2025'!$J$2:$J$2583,R$1)</f>
        <v>0</v>
      </c>
      <c r="S127" s="183">
        <f>SUMIFS('ноябрь 2025'!$G$2:$G$2583,'ноябрь 2025'!$D$2:$D$2583,$B127,'ноябрь 2025'!$J$2:$J$2583,S$1)</f>
        <v>0</v>
      </c>
      <c r="T127" s="183">
        <f>SUMIFS('ноябрь 2025'!$G$2:$G$2583,'ноябрь 2025'!$D$2:$D$2583,$B127,'ноябрь 2025'!$J$2:$J$2583,T$1)</f>
        <v>0</v>
      </c>
      <c r="U127" s="183">
        <f>SUMIFS('ноябрь 2025'!$G$2:$G$2583,'ноябрь 2025'!$D$2:$D$2583,$B127,'ноябрь 2025'!$J$2:$J$2583,U$1)</f>
        <v>0</v>
      </c>
      <c r="V127" s="183">
        <f>SUMIFS('ноябрь 2025'!$G$2:$G$2583,'ноябрь 2025'!$D$2:$D$2583,$B127,'ноябрь 2025'!$J$2:$J$2583,V$1)</f>
        <v>0</v>
      </c>
      <c r="W127" s="183">
        <f>SUMIFS('ноябрь 2025'!$G$2:$G$2583,'ноябрь 2025'!$D$2:$D$2583,$B127,'ноябрь 2025'!$J$2:$J$2583,W$1)</f>
        <v>0</v>
      </c>
      <c r="X127" s="183">
        <f>SUMIFS('ноябрь 2025'!$G$2:$G$2583,'ноябрь 2025'!$D$2:$D$2583,$B127,'ноябрь 2025'!$J$2:$J$2583,X$1)</f>
        <v>0</v>
      </c>
      <c r="Y127" s="183">
        <f>SUMIFS('ноябрь 2025'!$G$2:$G$2583,'ноябрь 2025'!$D$2:$D$2583,$B127,'ноябрь 2025'!$J$2:$J$2583,Y$1)</f>
        <v>0</v>
      </c>
      <c r="Z127" s="183">
        <f>SUMIFS('ноябрь 2025'!$G$2:$G$2583,'ноябрь 2025'!$D$2:$D$2583,$B127,'ноябрь 2025'!$J$2:$J$2583,Z$1)</f>
        <v>0</v>
      </c>
      <c r="AA127" s="183">
        <f>SUMIFS('ноябрь 2025'!$G$2:$G$2583,'ноябрь 2025'!$D$2:$D$2583,$B127,'ноябрь 2025'!$J$2:$J$2583,AA$1)</f>
        <v>0</v>
      </c>
      <c r="AB127" s="183">
        <f>SUMIFS('ноябрь 2025'!$G$2:$G$2583,'ноябрь 2025'!$D$2:$D$2583,$B127,'ноябрь 2025'!$J$2:$J$2583,AB$1)</f>
        <v>0</v>
      </c>
      <c r="AC127" s="183">
        <f>SUMIFS('ноябрь 2025'!$G$2:$G$2583,'ноябрь 2025'!$D$2:$D$2583,$B127,'ноябрь 2025'!$J$2:$J$2583,AC$1)</f>
        <v>0</v>
      </c>
      <c r="AD127" s="183">
        <f>SUMIFS('ноябрь 2025'!$G$2:$G$2583,'ноябрь 2025'!$D$2:$D$2583,$B127,'ноябрь 2025'!$J$2:$J$2583,AD$1)</f>
        <v>0</v>
      </c>
      <c r="AE127" s="183">
        <f>SUMIFS('ноябрь 2025'!$G$2:$G$2583,'ноябрь 2025'!$D$2:$D$2583,$B127,'ноябрь 2025'!$J$2:$J$2583,AE$1)</f>
        <v>0</v>
      </c>
      <c r="AF127" s="183">
        <f>SUMIFS('ноябрь 2025'!$G$2:$G$2583,'ноябрь 2025'!$D$2:$D$2583,$B127,'ноябрь 2025'!$J$2:$J$2583,AF$1)</f>
        <v>0</v>
      </c>
      <c r="AG127" s="183">
        <f>SUMIFS('ноябрь 2025'!$G$2:$G$2583,'ноябрь 2025'!$D$2:$D$2583,$B127,'ноябрь 2025'!$J$2:$J$2583,AG$1)</f>
        <v>0</v>
      </c>
      <c r="AH127" s="183">
        <f>SUMIFS('ноябрь 2025'!$G$2:$G$2583,'ноябрь 2025'!$D$2:$D$2583,$B127,'ноябрь 2025'!$J$2:$J$2583,AH$1)</f>
        <v>0</v>
      </c>
      <c r="AI127" s="20">
        <f t="shared" si="1"/>
        <v>0</v>
      </c>
    </row>
    <row r="128" spans="2:35" ht="15" customHeight="1" x14ac:dyDescent="0.25">
      <c r="B128" s="88" t="s">
        <v>1256</v>
      </c>
      <c r="C128" s="86">
        <v>200</v>
      </c>
      <c r="D128" s="183">
        <f>SUMIFS('ноябрь 2025'!$G$2:$G$2583,'ноябрь 2025'!$D$2:$D$2583,$B128,'ноябрь 2025'!$J$2:$J$2583,D$1)</f>
        <v>0</v>
      </c>
      <c r="E128" s="183">
        <f>SUMIFS('ноябрь 2025'!$G$2:$G$2583,'ноябрь 2025'!$D$2:$D$2583,$B128,'ноябрь 2025'!$J$2:$J$2583,E$1)</f>
        <v>0</v>
      </c>
      <c r="F128" s="183">
        <f>SUMIFS('ноябрь 2025'!$G$2:$G$2583,'ноябрь 2025'!$D$2:$D$2583,$B128,'ноябрь 2025'!$J$2:$J$2583,F$1)</f>
        <v>0</v>
      </c>
      <c r="G128" s="183">
        <f>SUMIFS('ноябрь 2025'!$G$2:$G$2583,'ноябрь 2025'!$D$2:$D$2583,$B128,'ноябрь 2025'!$J$2:$J$2583,G$1)</f>
        <v>0</v>
      </c>
      <c r="H128" s="183">
        <f>SUMIFS('ноябрь 2025'!$G$2:$G$2583,'ноябрь 2025'!$D$2:$D$2583,$B128,'ноябрь 2025'!$J$2:$J$2583,H$1)</f>
        <v>0</v>
      </c>
      <c r="I128" s="183">
        <f>SUMIFS('ноябрь 2025'!$G$2:$G$2583,'ноябрь 2025'!$D$2:$D$2583,$B128,'ноябрь 2025'!$J$2:$J$2583,I$1)</f>
        <v>0</v>
      </c>
      <c r="J128" s="183">
        <f>SUMIFS('ноябрь 2025'!$G$2:$G$2583,'ноябрь 2025'!$D$2:$D$2583,$B128,'ноябрь 2025'!$J$2:$J$2583,J$1)</f>
        <v>0</v>
      </c>
      <c r="K128" s="183">
        <f>SUMIFS('ноябрь 2025'!$G$2:$G$2583,'ноябрь 2025'!$D$2:$D$2583,$B128,'ноябрь 2025'!$J$2:$J$2583,K$1)</f>
        <v>0</v>
      </c>
      <c r="L128" s="183">
        <f>SUMIFS('ноябрь 2025'!$G$2:$G$2583,'ноябрь 2025'!$D$2:$D$2583,$B128,'ноябрь 2025'!$J$2:$J$2583,L$1)</f>
        <v>0</v>
      </c>
      <c r="M128" s="183">
        <f>SUMIFS('ноябрь 2025'!$G$2:$G$2583,'ноябрь 2025'!$D$2:$D$2583,$B128,'ноябрь 2025'!$J$2:$J$2583,M$1)</f>
        <v>0</v>
      </c>
      <c r="N128" s="183">
        <f>SUMIFS('ноябрь 2025'!$G$2:$G$2583,'ноябрь 2025'!$D$2:$D$2583,$B128,'ноябрь 2025'!$J$2:$J$2583,N$1)</f>
        <v>0</v>
      </c>
      <c r="O128" s="183">
        <f>SUMIFS('ноябрь 2025'!$G$2:$G$2583,'ноябрь 2025'!$D$2:$D$2583,$B128,'ноябрь 2025'!$J$2:$J$2583,O$1)</f>
        <v>0</v>
      </c>
      <c r="P128" s="183">
        <f>SUMIFS('ноябрь 2025'!$G$2:$G$2583,'ноябрь 2025'!$D$2:$D$2583,$B128,'ноябрь 2025'!$J$2:$J$2583,P$1)</f>
        <v>0</v>
      </c>
      <c r="Q128" s="183">
        <f>SUMIFS('ноябрь 2025'!$G$2:$G$2583,'ноябрь 2025'!$D$2:$D$2583,$B128,'ноябрь 2025'!$J$2:$J$2583,Q$1)</f>
        <v>0</v>
      </c>
      <c r="R128" s="183">
        <f>SUMIFS('ноябрь 2025'!$G$2:$G$2583,'ноябрь 2025'!$D$2:$D$2583,$B128,'ноябрь 2025'!$J$2:$J$2583,R$1)</f>
        <v>0</v>
      </c>
      <c r="S128" s="183">
        <f>SUMIFS('ноябрь 2025'!$G$2:$G$2583,'ноябрь 2025'!$D$2:$D$2583,$B128,'ноябрь 2025'!$J$2:$J$2583,S$1)</f>
        <v>0</v>
      </c>
      <c r="T128" s="183">
        <f>SUMIFS('ноябрь 2025'!$G$2:$G$2583,'ноябрь 2025'!$D$2:$D$2583,$B128,'ноябрь 2025'!$J$2:$J$2583,T$1)</f>
        <v>0</v>
      </c>
      <c r="U128" s="183">
        <f>SUMIFS('ноябрь 2025'!$G$2:$G$2583,'ноябрь 2025'!$D$2:$D$2583,$B128,'ноябрь 2025'!$J$2:$J$2583,U$1)</f>
        <v>0</v>
      </c>
      <c r="V128" s="183">
        <f>SUMIFS('ноябрь 2025'!$G$2:$G$2583,'ноябрь 2025'!$D$2:$D$2583,$B128,'ноябрь 2025'!$J$2:$J$2583,V$1)</f>
        <v>0</v>
      </c>
      <c r="W128" s="183">
        <f>SUMIFS('ноябрь 2025'!$G$2:$G$2583,'ноябрь 2025'!$D$2:$D$2583,$B128,'ноябрь 2025'!$J$2:$J$2583,W$1)</f>
        <v>0</v>
      </c>
      <c r="X128" s="183">
        <f>SUMIFS('ноябрь 2025'!$G$2:$G$2583,'ноябрь 2025'!$D$2:$D$2583,$B128,'ноябрь 2025'!$J$2:$J$2583,X$1)</f>
        <v>0</v>
      </c>
      <c r="Y128" s="183">
        <f>SUMIFS('ноябрь 2025'!$G$2:$G$2583,'ноябрь 2025'!$D$2:$D$2583,$B128,'ноябрь 2025'!$J$2:$J$2583,Y$1)</f>
        <v>0</v>
      </c>
      <c r="Z128" s="183">
        <f>SUMIFS('ноябрь 2025'!$G$2:$G$2583,'ноябрь 2025'!$D$2:$D$2583,$B128,'ноябрь 2025'!$J$2:$J$2583,Z$1)</f>
        <v>0</v>
      </c>
      <c r="AA128" s="183">
        <f>SUMIFS('ноябрь 2025'!$G$2:$G$2583,'ноябрь 2025'!$D$2:$D$2583,$B128,'ноябрь 2025'!$J$2:$J$2583,AA$1)</f>
        <v>0</v>
      </c>
      <c r="AB128" s="183">
        <f>SUMIFS('ноябрь 2025'!$G$2:$G$2583,'ноябрь 2025'!$D$2:$D$2583,$B128,'ноябрь 2025'!$J$2:$J$2583,AB$1)</f>
        <v>0</v>
      </c>
      <c r="AC128" s="183">
        <f>SUMIFS('ноябрь 2025'!$G$2:$G$2583,'ноябрь 2025'!$D$2:$D$2583,$B128,'ноябрь 2025'!$J$2:$J$2583,AC$1)</f>
        <v>0</v>
      </c>
      <c r="AD128" s="183">
        <f>SUMIFS('ноябрь 2025'!$G$2:$G$2583,'ноябрь 2025'!$D$2:$D$2583,$B128,'ноябрь 2025'!$J$2:$J$2583,AD$1)</f>
        <v>0</v>
      </c>
      <c r="AE128" s="183">
        <f>SUMIFS('ноябрь 2025'!$G$2:$G$2583,'ноябрь 2025'!$D$2:$D$2583,$B128,'ноябрь 2025'!$J$2:$J$2583,AE$1)</f>
        <v>0</v>
      </c>
      <c r="AF128" s="183">
        <f>SUMIFS('ноябрь 2025'!$G$2:$G$2583,'ноябрь 2025'!$D$2:$D$2583,$B128,'ноябрь 2025'!$J$2:$J$2583,AF$1)</f>
        <v>0</v>
      </c>
      <c r="AG128" s="183">
        <f>SUMIFS('ноябрь 2025'!$G$2:$G$2583,'ноябрь 2025'!$D$2:$D$2583,$B128,'ноябрь 2025'!$J$2:$J$2583,AG$1)</f>
        <v>0</v>
      </c>
      <c r="AH128" s="183">
        <f>SUMIFS('ноябрь 2025'!$G$2:$G$2583,'ноябрь 2025'!$D$2:$D$2583,$B128,'ноябрь 2025'!$J$2:$J$2583,AH$1)</f>
        <v>0</v>
      </c>
      <c r="AI128" s="20">
        <f t="shared" si="1"/>
        <v>0</v>
      </c>
    </row>
    <row r="129" spans="2:35" ht="15" customHeight="1" x14ac:dyDescent="0.25">
      <c r="B129" s="88" t="s">
        <v>265</v>
      </c>
      <c r="C129" s="86">
        <v>180</v>
      </c>
      <c r="D129" s="183">
        <f>SUMIFS('ноябрь 2025'!$G$2:$G$2583,'ноябрь 2025'!$D$2:$D$2583,$B129,'ноябрь 2025'!$J$2:$J$2583,D$1)</f>
        <v>0</v>
      </c>
      <c r="E129" s="183">
        <f>SUMIFS('ноябрь 2025'!$G$2:$G$2583,'ноябрь 2025'!$D$2:$D$2583,$B129,'ноябрь 2025'!$J$2:$J$2583,E$1)</f>
        <v>0</v>
      </c>
      <c r="F129" s="183">
        <f>SUMIFS('ноябрь 2025'!$G$2:$G$2583,'ноябрь 2025'!$D$2:$D$2583,$B129,'ноябрь 2025'!$J$2:$J$2583,F$1)</f>
        <v>0</v>
      </c>
      <c r="G129" s="183">
        <f>SUMIFS('ноябрь 2025'!$G$2:$G$2583,'ноябрь 2025'!$D$2:$D$2583,$B129,'ноябрь 2025'!$J$2:$J$2583,G$1)</f>
        <v>0</v>
      </c>
      <c r="H129" s="183">
        <f>SUMIFS('ноябрь 2025'!$G$2:$G$2583,'ноябрь 2025'!$D$2:$D$2583,$B129,'ноябрь 2025'!$J$2:$J$2583,H$1)</f>
        <v>0</v>
      </c>
      <c r="I129" s="183">
        <f>SUMIFS('ноябрь 2025'!$G$2:$G$2583,'ноябрь 2025'!$D$2:$D$2583,$B129,'ноябрь 2025'!$J$2:$J$2583,I$1)</f>
        <v>0</v>
      </c>
      <c r="J129" s="183">
        <f>SUMIFS('ноябрь 2025'!$G$2:$G$2583,'ноябрь 2025'!$D$2:$D$2583,$B129,'ноябрь 2025'!$J$2:$J$2583,J$1)</f>
        <v>0</v>
      </c>
      <c r="K129" s="183">
        <f>SUMIFS('ноябрь 2025'!$G$2:$G$2583,'ноябрь 2025'!$D$2:$D$2583,$B129,'ноябрь 2025'!$J$2:$J$2583,K$1)</f>
        <v>0</v>
      </c>
      <c r="L129" s="183">
        <f>SUMIFS('ноябрь 2025'!$G$2:$G$2583,'ноябрь 2025'!$D$2:$D$2583,$B129,'ноябрь 2025'!$J$2:$J$2583,L$1)</f>
        <v>0</v>
      </c>
      <c r="M129" s="183">
        <f>SUMIFS('ноябрь 2025'!$G$2:$G$2583,'ноябрь 2025'!$D$2:$D$2583,$B129,'ноябрь 2025'!$J$2:$J$2583,M$1)</f>
        <v>0</v>
      </c>
      <c r="N129" s="183">
        <f>SUMIFS('ноябрь 2025'!$G$2:$G$2583,'ноябрь 2025'!$D$2:$D$2583,$B129,'ноябрь 2025'!$J$2:$J$2583,N$1)</f>
        <v>0</v>
      </c>
      <c r="O129" s="183">
        <f>SUMIFS('ноябрь 2025'!$G$2:$G$2583,'ноябрь 2025'!$D$2:$D$2583,$B129,'ноябрь 2025'!$J$2:$J$2583,O$1)</f>
        <v>0</v>
      </c>
      <c r="P129" s="183">
        <f>SUMIFS('ноябрь 2025'!$G$2:$G$2583,'ноябрь 2025'!$D$2:$D$2583,$B129,'ноябрь 2025'!$J$2:$J$2583,P$1)</f>
        <v>0</v>
      </c>
      <c r="Q129" s="183">
        <f>SUMIFS('ноябрь 2025'!$G$2:$G$2583,'ноябрь 2025'!$D$2:$D$2583,$B129,'ноябрь 2025'!$J$2:$J$2583,Q$1)</f>
        <v>0</v>
      </c>
      <c r="R129" s="183">
        <f>SUMIFS('ноябрь 2025'!$G$2:$G$2583,'ноябрь 2025'!$D$2:$D$2583,$B129,'ноябрь 2025'!$J$2:$J$2583,R$1)</f>
        <v>0</v>
      </c>
      <c r="S129" s="183">
        <f>SUMIFS('ноябрь 2025'!$G$2:$G$2583,'ноябрь 2025'!$D$2:$D$2583,$B129,'ноябрь 2025'!$J$2:$J$2583,S$1)</f>
        <v>0</v>
      </c>
      <c r="T129" s="183">
        <f>SUMIFS('ноябрь 2025'!$G$2:$G$2583,'ноябрь 2025'!$D$2:$D$2583,$B129,'ноябрь 2025'!$J$2:$J$2583,T$1)</f>
        <v>0</v>
      </c>
      <c r="U129" s="183">
        <f>SUMIFS('ноябрь 2025'!$G$2:$G$2583,'ноябрь 2025'!$D$2:$D$2583,$B129,'ноябрь 2025'!$J$2:$J$2583,U$1)</f>
        <v>0</v>
      </c>
      <c r="V129" s="183">
        <f>SUMIFS('ноябрь 2025'!$G$2:$G$2583,'ноябрь 2025'!$D$2:$D$2583,$B129,'ноябрь 2025'!$J$2:$J$2583,V$1)</f>
        <v>0</v>
      </c>
      <c r="W129" s="183">
        <f>SUMIFS('ноябрь 2025'!$G$2:$G$2583,'ноябрь 2025'!$D$2:$D$2583,$B129,'ноябрь 2025'!$J$2:$J$2583,W$1)</f>
        <v>0</v>
      </c>
      <c r="X129" s="183">
        <f>SUMIFS('ноябрь 2025'!$G$2:$G$2583,'ноябрь 2025'!$D$2:$D$2583,$B129,'ноябрь 2025'!$J$2:$J$2583,X$1)</f>
        <v>0</v>
      </c>
      <c r="Y129" s="183">
        <f>SUMIFS('ноябрь 2025'!$G$2:$G$2583,'ноябрь 2025'!$D$2:$D$2583,$B129,'ноябрь 2025'!$J$2:$J$2583,Y$1)</f>
        <v>0</v>
      </c>
      <c r="Z129" s="183">
        <f>SUMIFS('ноябрь 2025'!$G$2:$G$2583,'ноябрь 2025'!$D$2:$D$2583,$B129,'ноябрь 2025'!$J$2:$J$2583,Z$1)</f>
        <v>0</v>
      </c>
      <c r="AA129" s="183">
        <f>SUMIFS('ноябрь 2025'!$G$2:$G$2583,'ноябрь 2025'!$D$2:$D$2583,$B129,'ноябрь 2025'!$J$2:$J$2583,AA$1)</f>
        <v>0</v>
      </c>
      <c r="AB129" s="183">
        <f>SUMIFS('ноябрь 2025'!$G$2:$G$2583,'ноябрь 2025'!$D$2:$D$2583,$B129,'ноябрь 2025'!$J$2:$J$2583,AB$1)</f>
        <v>0</v>
      </c>
      <c r="AC129" s="183">
        <f>SUMIFS('ноябрь 2025'!$G$2:$G$2583,'ноябрь 2025'!$D$2:$D$2583,$B129,'ноябрь 2025'!$J$2:$J$2583,AC$1)</f>
        <v>0</v>
      </c>
      <c r="AD129" s="183">
        <f>SUMIFS('ноябрь 2025'!$G$2:$G$2583,'ноябрь 2025'!$D$2:$D$2583,$B129,'ноябрь 2025'!$J$2:$J$2583,AD$1)</f>
        <v>0</v>
      </c>
      <c r="AE129" s="183">
        <f>SUMIFS('ноябрь 2025'!$G$2:$G$2583,'ноябрь 2025'!$D$2:$D$2583,$B129,'ноябрь 2025'!$J$2:$J$2583,AE$1)</f>
        <v>0</v>
      </c>
      <c r="AF129" s="183">
        <f>SUMIFS('ноябрь 2025'!$G$2:$G$2583,'ноябрь 2025'!$D$2:$D$2583,$B129,'ноябрь 2025'!$J$2:$J$2583,AF$1)</f>
        <v>0</v>
      </c>
      <c r="AG129" s="183">
        <f>SUMIFS('ноябрь 2025'!$G$2:$G$2583,'ноябрь 2025'!$D$2:$D$2583,$B129,'ноябрь 2025'!$J$2:$J$2583,AG$1)</f>
        <v>0</v>
      </c>
      <c r="AH129" s="183">
        <f>SUMIFS('ноябрь 2025'!$G$2:$G$2583,'ноябрь 2025'!$D$2:$D$2583,$B129,'ноябрь 2025'!$J$2:$J$2583,AH$1)</f>
        <v>0</v>
      </c>
      <c r="AI129" s="20">
        <f t="shared" si="1"/>
        <v>0</v>
      </c>
    </row>
    <row r="130" spans="2:35" ht="15" customHeight="1" x14ac:dyDescent="0.25">
      <c r="B130" s="88" t="s">
        <v>326</v>
      </c>
      <c r="C130" s="86">
        <v>200</v>
      </c>
      <c r="D130" s="183">
        <f>SUMIFS('ноябрь 2025'!$G$2:$G$2583,'ноябрь 2025'!$D$2:$D$2583,$B130,'ноябрь 2025'!$J$2:$J$2583,D$1)</f>
        <v>0</v>
      </c>
      <c r="E130" s="183">
        <f>SUMIFS('ноябрь 2025'!$G$2:$G$2583,'ноябрь 2025'!$D$2:$D$2583,$B130,'ноябрь 2025'!$J$2:$J$2583,E$1)</f>
        <v>0</v>
      </c>
      <c r="F130" s="183">
        <f>SUMIFS('ноябрь 2025'!$G$2:$G$2583,'ноябрь 2025'!$D$2:$D$2583,$B130,'ноябрь 2025'!$J$2:$J$2583,F$1)</f>
        <v>0</v>
      </c>
      <c r="G130" s="183">
        <f>SUMIFS('ноябрь 2025'!$G$2:$G$2583,'ноябрь 2025'!$D$2:$D$2583,$B130,'ноябрь 2025'!$J$2:$J$2583,G$1)</f>
        <v>0</v>
      </c>
      <c r="H130" s="183">
        <f>SUMIFS('ноябрь 2025'!$G$2:$G$2583,'ноябрь 2025'!$D$2:$D$2583,$B130,'ноябрь 2025'!$J$2:$J$2583,H$1)</f>
        <v>0</v>
      </c>
      <c r="I130" s="183">
        <f>SUMIFS('ноябрь 2025'!$G$2:$G$2583,'ноябрь 2025'!$D$2:$D$2583,$B130,'ноябрь 2025'!$J$2:$J$2583,I$1)</f>
        <v>0</v>
      </c>
      <c r="J130" s="183">
        <f>SUMIFS('ноябрь 2025'!$G$2:$G$2583,'ноябрь 2025'!$D$2:$D$2583,$B130,'ноябрь 2025'!$J$2:$J$2583,J$1)</f>
        <v>0</v>
      </c>
      <c r="K130" s="183">
        <f>SUMIFS('ноябрь 2025'!$G$2:$G$2583,'ноябрь 2025'!$D$2:$D$2583,$B130,'ноябрь 2025'!$J$2:$J$2583,K$1)</f>
        <v>0</v>
      </c>
      <c r="L130" s="183">
        <f>SUMIFS('ноябрь 2025'!$G$2:$G$2583,'ноябрь 2025'!$D$2:$D$2583,$B130,'ноябрь 2025'!$J$2:$J$2583,L$1)</f>
        <v>0</v>
      </c>
      <c r="M130" s="183">
        <f>SUMIFS('ноябрь 2025'!$G$2:$G$2583,'ноябрь 2025'!$D$2:$D$2583,$B130,'ноябрь 2025'!$J$2:$J$2583,M$1)</f>
        <v>0</v>
      </c>
      <c r="N130" s="183">
        <f>SUMIFS('ноябрь 2025'!$G$2:$G$2583,'ноябрь 2025'!$D$2:$D$2583,$B130,'ноябрь 2025'!$J$2:$J$2583,N$1)</f>
        <v>0</v>
      </c>
      <c r="O130" s="183">
        <f>SUMIFS('ноябрь 2025'!$G$2:$G$2583,'ноябрь 2025'!$D$2:$D$2583,$B130,'ноябрь 2025'!$J$2:$J$2583,O$1)</f>
        <v>0</v>
      </c>
      <c r="P130" s="183">
        <f>SUMIFS('ноябрь 2025'!$G$2:$G$2583,'ноябрь 2025'!$D$2:$D$2583,$B130,'ноябрь 2025'!$J$2:$J$2583,P$1)</f>
        <v>0</v>
      </c>
      <c r="Q130" s="183">
        <f>SUMIFS('ноябрь 2025'!$G$2:$G$2583,'ноябрь 2025'!$D$2:$D$2583,$B130,'ноябрь 2025'!$J$2:$J$2583,Q$1)</f>
        <v>0</v>
      </c>
      <c r="R130" s="183">
        <f>SUMIFS('ноябрь 2025'!$G$2:$G$2583,'ноябрь 2025'!$D$2:$D$2583,$B130,'ноябрь 2025'!$J$2:$J$2583,R$1)</f>
        <v>0</v>
      </c>
      <c r="S130" s="183">
        <f>SUMIFS('ноябрь 2025'!$G$2:$G$2583,'ноябрь 2025'!$D$2:$D$2583,$B130,'ноябрь 2025'!$J$2:$J$2583,S$1)</f>
        <v>0</v>
      </c>
      <c r="T130" s="183">
        <f>SUMIFS('ноябрь 2025'!$G$2:$G$2583,'ноябрь 2025'!$D$2:$D$2583,$B130,'ноябрь 2025'!$J$2:$J$2583,T$1)</f>
        <v>0</v>
      </c>
      <c r="U130" s="183">
        <f>SUMIFS('ноябрь 2025'!$G$2:$G$2583,'ноябрь 2025'!$D$2:$D$2583,$B130,'ноябрь 2025'!$J$2:$J$2583,U$1)</f>
        <v>0</v>
      </c>
      <c r="V130" s="183">
        <f>SUMIFS('ноябрь 2025'!$G$2:$G$2583,'ноябрь 2025'!$D$2:$D$2583,$B130,'ноябрь 2025'!$J$2:$J$2583,V$1)</f>
        <v>0</v>
      </c>
      <c r="W130" s="183">
        <f>SUMIFS('ноябрь 2025'!$G$2:$G$2583,'ноябрь 2025'!$D$2:$D$2583,$B130,'ноябрь 2025'!$J$2:$J$2583,W$1)</f>
        <v>0</v>
      </c>
      <c r="X130" s="183">
        <f>SUMIFS('ноябрь 2025'!$G$2:$G$2583,'ноябрь 2025'!$D$2:$D$2583,$B130,'ноябрь 2025'!$J$2:$J$2583,X$1)</f>
        <v>0</v>
      </c>
      <c r="Y130" s="183">
        <f>SUMIFS('ноябрь 2025'!$G$2:$G$2583,'ноябрь 2025'!$D$2:$D$2583,$B130,'ноябрь 2025'!$J$2:$J$2583,Y$1)</f>
        <v>0</v>
      </c>
      <c r="Z130" s="183">
        <f>SUMIFS('ноябрь 2025'!$G$2:$G$2583,'ноябрь 2025'!$D$2:$D$2583,$B130,'ноябрь 2025'!$J$2:$J$2583,Z$1)</f>
        <v>0</v>
      </c>
      <c r="AA130" s="183">
        <f>SUMIFS('ноябрь 2025'!$G$2:$G$2583,'ноябрь 2025'!$D$2:$D$2583,$B130,'ноябрь 2025'!$J$2:$J$2583,AA$1)</f>
        <v>0</v>
      </c>
      <c r="AB130" s="183">
        <f>SUMIFS('ноябрь 2025'!$G$2:$G$2583,'ноябрь 2025'!$D$2:$D$2583,$B130,'ноябрь 2025'!$J$2:$J$2583,AB$1)</f>
        <v>0</v>
      </c>
      <c r="AC130" s="183">
        <f>SUMIFS('ноябрь 2025'!$G$2:$G$2583,'ноябрь 2025'!$D$2:$D$2583,$B130,'ноябрь 2025'!$J$2:$J$2583,AC$1)</f>
        <v>0</v>
      </c>
      <c r="AD130" s="183">
        <f>SUMIFS('ноябрь 2025'!$G$2:$G$2583,'ноябрь 2025'!$D$2:$D$2583,$B130,'ноябрь 2025'!$J$2:$J$2583,AD$1)</f>
        <v>0</v>
      </c>
      <c r="AE130" s="183">
        <f>SUMIFS('ноябрь 2025'!$G$2:$G$2583,'ноябрь 2025'!$D$2:$D$2583,$B130,'ноябрь 2025'!$J$2:$J$2583,AE$1)</f>
        <v>0</v>
      </c>
      <c r="AF130" s="183">
        <f>SUMIFS('ноябрь 2025'!$G$2:$G$2583,'ноябрь 2025'!$D$2:$D$2583,$B130,'ноябрь 2025'!$J$2:$J$2583,AF$1)</f>
        <v>0</v>
      </c>
      <c r="AG130" s="183">
        <f>SUMIFS('ноябрь 2025'!$G$2:$G$2583,'ноябрь 2025'!$D$2:$D$2583,$B130,'ноябрь 2025'!$J$2:$J$2583,AG$1)</f>
        <v>0</v>
      </c>
      <c r="AH130" s="183">
        <f>SUMIFS('ноябрь 2025'!$G$2:$G$2583,'ноябрь 2025'!$D$2:$D$2583,$B130,'ноябрь 2025'!$J$2:$J$2583,AH$1)</f>
        <v>0</v>
      </c>
      <c r="AI130" s="20">
        <f t="shared" si="1"/>
        <v>0</v>
      </c>
    </row>
    <row r="131" spans="2:35" ht="15" customHeight="1" x14ac:dyDescent="0.25">
      <c r="B131" s="88" t="s">
        <v>280</v>
      </c>
      <c r="C131" s="86">
        <v>185</v>
      </c>
      <c r="D131" s="183">
        <f>SUMIFS('ноябрь 2025'!$G$2:$G$2583,'ноябрь 2025'!$D$2:$D$2583,$B131,'ноябрь 2025'!$J$2:$J$2583,D$1)</f>
        <v>0</v>
      </c>
      <c r="E131" s="183">
        <f>SUMIFS('ноябрь 2025'!$G$2:$G$2583,'ноябрь 2025'!$D$2:$D$2583,$B131,'ноябрь 2025'!$J$2:$J$2583,E$1)</f>
        <v>0</v>
      </c>
      <c r="F131" s="183">
        <f>SUMIFS('ноябрь 2025'!$G$2:$G$2583,'ноябрь 2025'!$D$2:$D$2583,$B131,'ноябрь 2025'!$J$2:$J$2583,F$1)</f>
        <v>0</v>
      </c>
      <c r="G131" s="183">
        <f>SUMIFS('ноябрь 2025'!$G$2:$G$2583,'ноябрь 2025'!$D$2:$D$2583,$B131,'ноябрь 2025'!$J$2:$J$2583,G$1)</f>
        <v>0</v>
      </c>
      <c r="H131" s="183">
        <f>SUMIFS('ноябрь 2025'!$G$2:$G$2583,'ноябрь 2025'!$D$2:$D$2583,$B131,'ноябрь 2025'!$J$2:$J$2583,H$1)</f>
        <v>0</v>
      </c>
      <c r="I131" s="183">
        <f>SUMIFS('ноябрь 2025'!$G$2:$G$2583,'ноябрь 2025'!$D$2:$D$2583,$B131,'ноябрь 2025'!$J$2:$J$2583,I$1)</f>
        <v>0</v>
      </c>
      <c r="J131" s="183">
        <f>SUMIFS('ноябрь 2025'!$G$2:$G$2583,'ноябрь 2025'!$D$2:$D$2583,$B131,'ноябрь 2025'!$J$2:$J$2583,J$1)</f>
        <v>0</v>
      </c>
      <c r="K131" s="183">
        <f>SUMIFS('ноябрь 2025'!$G$2:$G$2583,'ноябрь 2025'!$D$2:$D$2583,$B131,'ноябрь 2025'!$J$2:$J$2583,K$1)</f>
        <v>0</v>
      </c>
      <c r="L131" s="183">
        <f>SUMIFS('ноябрь 2025'!$G$2:$G$2583,'ноябрь 2025'!$D$2:$D$2583,$B131,'ноябрь 2025'!$J$2:$J$2583,L$1)</f>
        <v>0</v>
      </c>
      <c r="M131" s="183">
        <f>SUMIFS('ноябрь 2025'!$G$2:$G$2583,'ноябрь 2025'!$D$2:$D$2583,$B131,'ноябрь 2025'!$J$2:$J$2583,M$1)</f>
        <v>0</v>
      </c>
      <c r="N131" s="183">
        <f>SUMIFS('ноябрь 2025'!$G$2:$G$2583,'ноябрь 2025'!$D$2:$D$2583,$B131,'ноябрь 2025'!$J$2:$J$2583,N$1)</f>
        <v>0</v>
      </c>
      <c r="O131" s="183">
        <f>SUMIFS('ноябрь 2025'!$G$2:$G$2583,'ноябрь 2025'!$D$2:$D$2583,$B131,'ноябрь 2025'!$J$2:$J$2583,O$1)</f>
        <v>0</v>
      </c>
      <c r="P131" s="183">
        <f>SUMIFS('ноябрь 2025'!$G$2:$G$2583,'ноябрь 2025'!$D$2:$D$2583,$B131,'ноябрь 2025'!$J$2:$J$2583,P$1)</f>
        <v>0</v>
      </c>
      <c r="Q131" s="183">
        <f>SUMIFS('ноябрь 2025'!$G$2:$G$2583,'ноябрь 2025'!$D$2:$D$2583,$B131,'ноябрь 2025'!$J$2:$J$2583,Q$1)</f>
        <v>0</v>
      </c>
      <c r="R131" s="183">
        <f>SUMIFS('ноябрь 2025'!$G$2:$G$2583,'ноябрь 2025'!$D$2:$D$2583,$B131,'ноябрь 2025'!$J$2:$J$2583,R$1)</f>
        <v>0</v>
      </c>
      <c r="S131" s="183">
        <f>SUMIFS('ноябрь 2025'!$G$2:$G$2583,'ноябрь 2025'!$D$2:$D$2583,$B131,'ноябрь 2025'!$J$2:$J$2583,S$1)</f>
        <v>0</v>
      </c>
      <c r="T131" s="183">
        <f>SUMIFS('ноябрь 2025'!$G$2:$G$2583,'ноябрь 2025'!$D$2:$D$2583,$B131,'ноябрь 2025'!$J$2:$J$2583,T$1)</f>
        <v>0</v>
      </c>
      <c r="U131" s="183">
        <f>SUMIFS('ноябрь 2025'!$G$2:$G$2583,'ноябрь 2025'!$D$2:$D$2583,$B131,'ноябрь 2025'!$J$2:$J$2583,U$1)</f>
        <v>0</v>
      </c>
      <c r="V131" s="183">
        <f>SUMIFS('ноябрь 2025'!$G$2:$G$2583,'ноябрь 2025'!$D$2:$D$2583,$B131,'ноябрь 2025'!$J$2:$J$2583,V$1)</f>
        <v>0</v>
      </c>
      <c r="W131" s="183">
        <f>SUMIFS('ноябрь 2025'!$G$2:$G$2583,'ноябрь 2025'!$D$2:$D$2583,$B131,'ноябрь 2025'!$J$2:$J$2583,W$1)</f>
        <v>0</v>
      </c>
      <c r="X131" s="183">
        <f>SUMIFS('ноябрь 2025'!$G$2:$G$2583,'ноябрь 2025'!$D$2:$D$2583,$B131,'ноябрь 2025'!$J$2:$J$2583,X$1)</f>
        <v>0</v>
      </c>
      <c r="Y131" s="183">
        <f>SUMIFS('ноябрь 2025'!$G$2:$G$2583,'ноябрь 2025'!$D$2:$D$2583,$B131,'ноябрь 2025'!$J$2:$J$2583,Y$1)</f>
        <v>0</v>
      </c>
      <c r="Z131" s="183">
        <f>SUMIFS('ноябрь 2025'!$G$2:$G$2583,'ноябрь 2025'!$D$2:$D$2583,$B131,'ноябрь 2025'!$J$2:$J$2583,Z$1)</f>
        <v>0</v>
      </c>
      <c r="AA131" s="183">
        <f>SUMIFS('ноябрь 2025'!$G$2:$G$2583,'ноябрь 2025'!$D$2:$D$2583,$B131,'ноябрь 2025'!$J$2:$J$2583,AA$1)</f>
        <v>0</v>
      </c>
      <c r="AB131" s="183">
        <f>SUMIFS('ноябрь 2025'!$G$2:$G$2583,'ноябрь 2025'!$D$2:$D$2583,$B131,'ноябрь 2025'!$J$2:$J$2583,AB$1)</f>
        <v>0</v>
      </c>
      <c r="AC131" s="183">
        <f>SUMIFS('ноябрь 2025'!$G$2:$G$2583,'ноябрь 2025'!$D$2:$D$2583,$B131,'ноябрь 2025'!$J$2:$J$2583,AC$1)</f>
        <v>0</v>
      </c>
      <c r="AD131" s="183">
        <f>SUMIFS('ноябрь 2025'!$G$2:$G$2583,'ноябрь 2025'!$D$2:$D$2583,$B131,'ноябрь 2025'!$J$2:$J$2583,AD$1)</f>
        <v>0</v>
      </c>
      <c r="AE131" s="183">
        <f>SUMIFS('ноябрь 2025'!$G$2:$G$2583,'ноябрь 2025'!$D$2:$D$2583,$B131,'ноябрь 2025'!$J$2:$J$2583,AE$1)</f>
        <v>0</v>
      </c>
      <c r="AF131" s="183">
        <f>SUMIFS('ноябрь 2025'!$G$2:$G$2583,'ноябрь 2025'!$D$2:$D$2583,$B131,'ноябрь 2025'!$J$2:$J$2583,AF$1)</f>
        <v>0</v>
      </c>
      <c r="AG131" s="183">
        <f>SUMIFS('ноябрь 2025'!$G$2:$G$2583,'ноябрь 2025'!$D$2:$D$2583,$B131,'ноябрь 2025'!$J$2:$J$2583,AG$1)</f>
        <v>0</v>
      </c>
      <c r="AH131" s="183">
        <f>SUMIFS('ноябрь 2025'!$G$2:$G$2583,'ноябрь 2025'!$D$2:$D$2583,$B131,'ноябрь 2025'!$J$2:$J$2583,AH$1)</f>
        <v>0</v>
      </c>
      <c r="AI131" s="20">
        <f t="shared" si="1"/>
        <v>0</v>
      </c>
    </row>
    <row r="132" spans="2:35" ht="15" customHeight="1" x14ac:dyDescent="0.25">
      <c r="B132" s="88" t="s">
        <v>283</v>
      </c>
      <c r="C132" s="86">
        <v>185</v>
      </c>
      <c r="D132" s="183">
        <f>SUMIFS('ноябрь 2025'!$G$2:$G$2583,'ноябрь 2025'!$D$2:$D$2583,$B132,'ноябрь 2025'!$J$2:$J$2583,D$1)</f>
        <v>0</v>
      </c>
      <c r="E132" s="183">
        <f>SUMIFS('ноябрь 2025'!$G$2:$G$2583,'ноябрь 2025'!$D$2:$D$2583,$B132,'ноябрь 2025'!$J$2:$J$2583,E$1)</f>
        <v>0</v>
      </c>
      <c r="F132" s="183">
        <f>SUMIFS('ноябрь 2025'!$G$2:$G$2583,'ноябрь 2025'!$D$2:$D$2583,$B132,'ноябрь 2025'!$J$2:$J$2583,F$1)</f>
        <v>0</v>
      </c>
      <c r="G132" s="183">
        <f>SUMIFS('ноябрь 2025'!$G$2:$G$2583,'ноябрь 2025'!$D$2:$D$2583,$B132,'ноябрь 2025'!$J$2:$J$2583,G$1)</f>
        <v>0</v>
      </c>
      <c r="H132" s="183">
        <f>SUMIFS('ноябрь 2025'!$G$2:$G$2583,'ноябрь 2025'!$D$2:$D$2583,$B132,'ноябрь 2025'!$J$2:$J$2583,H$1)</f>
        <v>0</v>
      </c>
      <c r="I132" s="183">
        <f>SUMIFS('ноябрь 2025'!$G$2:$G$2583,'ноябрь 2025'!$D$2:$D$2583,$B132,'ноябрь 2025'!$J$2:$J$2583,I$1)</f>
        <v>0</v>
      </c>
      <c r="J132" s="183">
        <f>SUMIFS('ноябрь 2025'!$G$2:$G$2583,'ноябрь 2025'!$D$2:$D$2583,$B132,'ноябрь 2025'!$J$2:$J$2583,J$1)</f>
        <v>0</v>
      </c>
      <c r="K132" s="183">
        <f>SUMIFS('ноябрь 2025'!$G$2:$G$2583,'ноябрь 2025'!$D$2:$D$2583,$B132,'ноябрь 2025'!$J$2:$J$2583,K$1)</f>
        <v>0</v>
      </c>
      <c r="L132" s="183">
        <f>SUMIFS('ноябрь 2025'!$G$2:$G$2583,'ноябрь 2025'!$D$2:$D$2583,$B132,'ноябрь 2025'!$J$2:$J$2583,L$1)</f>
        <v>0</v>
      </c>
      <c r="M132" s="183">
        <f>SUMIFS('ноябрь 2025'!$G$2:$G$2583,'ноябрь 2025'!$D$2:$D$2583,$B132,'ноябрь 2025'!$J$2:$J$2583,M$1)</f>
        <v>0</v>
      </c>
      <c r="N132" s="183">
        <f>SUMIFS('ноябрь 2025'!$G$2:$G$2583,'ноябрь 2025'!$D$2:$D$2583,$B132,'ноябрь 2025'!$J$2:$J$2583,N$1)</f>
        <v>0</v>
      </c>
      <c r="O132" s="183">
        <f>SUMIFS('ноябрь 2025'!$G$2:$G$2583,'ноябрь 2025'!$D$2:$D$2583,$B132,'ноябрь 2025'!$J$2:$J$2583,O$1)</f>
        <v>0</v>
      </c>
      <c r="P132" s="183">
        <f>SUMIFS('ноябрь 2025'!$G$2:$G$2583,'ноябрь 2025'!$D$2:$D$2583,$B132,'ноябрь 2025'!$J$2:$J$2583,P$1)</f>
        <v>0</v>
      </c>
      <c r="Q132" s="183">
        <f>SUMIFS('ноябрь 2025'!$G$2:$G$2583,'ноябрь 2025'!$D$2:$D$2583,$B132,'ноябрь 2025'!$J$2:$J$2583,Q$1)</f>
        <v>0</v>
      </c>
      <c r="R132" s="183">
        <f>SUMIFS('ноябрь 2025'!$G$2:$G$2583,'ноябрь 2025'!$D$2:$D$2583,$B132,'ноябрь 2025'!$J$2:$J$2583,R$1)</f>
        <v>0</v>
      </c>
      <c r="S132" s="183">
        <f>SUMIFS('ноябрь 2025'!$G$2:$G$2583,'ноябрь 2025'!$D$2:$D$2583,$B132,'ноябрь 2025'!$J$2:$J$2583,S$1)</f>
        <v>0</v>
      </c>
      <c r="T132" s="183">
        <f>SUMIFS('ноябрь 2025'!$G$2:$G$2583,'ноябрь 2025'!$D$2:$D$2583,$B132,'ноябрь 2025'!$J$2:$J$2583,T$1)</f>
        <v>0</v>
      </c>
      <c r="U132" s="183">
        <f>SUMIFS('ноябрь 2025'!$G$2:$G$2583,'ноябрь 2025'!$D$2:$D$2583,$B132,'ноябрь 2025'!$J$2:$J$2583,U$1)</f>
        <v>0</v>
      </c>
      <c r="V132" s="183">
        <f>SUMIFS('ноябрь 2025'!$G$2:$G$2583,'ноябрь 2025'!$D$2:$D$2583,$B132,'ноябрь 2025'!$J$2:$J$2583,V$1)</f>
        <v>0</v>
      </c>
      <c r="W132" s="183">
        <f>SUMIFS('ноябрь 2025'!$G$2:$G$2583,'ноябрь 2025'!$D$2:$D$2583,$B132,'ноябрь 2025'!$J$2:$J$2583,W$1)</f>
        <v>0</v>
      </c>
      <c r="X132" s="183">
        <f>SUMIFS('ноябрь 2025'!$G$2:$G$2583,'ноябрь 2025'!$D$2:$D$2583,$B132,'ноябрь 2025'!$J$2:$J$2583,X$1)</f>
        <v>0</v>
      </c>
      <c r="Y132" s="183">
        <f>SUMIFS('ноябрь 2025'!$G$2:$G$2583,'ноябрь 2025'!$D$2:$D$2583,$B132,'ноябрь 2025'!$J$2:$J$2583,Y$1)</f>
        <v>0</v>
      </c>
      <c r="Z132" s="183">
        <f>SUMIFS('ноябрь 2025'!$G$2:$G$2583,'ноябрь 2025'!$D$2:$D$2583,$B132,'ноябрь 2025'!$J$2:$J$2583,Z$1)</f>
        <v>0</v>
      </c>
      <c r="AA132" s="183">
        <f>SUMIFS('ноябрь 2025'!$G$2:$G$2583,'ноябрь 2025'!$D$2:$D$2583,$B132,'ноябрь 2025'!$J$2:$J$2583,AA$1)</f>
        <v>0</v>
      </c>
      <c r="AB132" s="183">
        <f>SUMIFS('ноябрь 2025'!$G$2:$G$2583,'ноябрь 2025'!$D$2:$D$2583,$B132,'ноябрь 2025'!$J$2:$J$2583,AB$1)</f>
        <v>0</v>
      </c>
      <c r="AC132" s="183">
        <f>SUMIFS('ноябрь 2025'!$G$2:$G$2583,'ноябрь 2025'!$D$2:$D$2583,$B132,'ноябрь 2025'!$J$2:$J$2583,AC$1)</f>
        <v>0</v>
      </c>
      <c r="AD132" s="183">
        <f>SUMIFS('ноябрь 2025'!$G$2:$G$2583,'ноябрь 2025'!$D$2:$D$2583,$B132,'ноябрь 2025'!$J$2:$J$2583,AD$1)</f>
        <v>0</v>
      </c>
      <c r="AE132" s="183">
        <f>SUMIFS('ноябрь 2025'!$G$2:$G$2583,'ноябрь 2025'!$D$2:$D$2583,$B132,'ноябрь 2025'!$J$2:$J$2583,AE$1)</f>
        <v>0</v>
      </c>
      <c r="AF132" s="183">
        <f>SUMIFS('ноябрь 2025'!$G$2:$G$2583,'ноябрь 2025'!$D$2:$D$2583,$B132,'ноябрь 2025'!$J$2:$J$2583,AF$1)</f>
        <v>0</v>
      </c>
      <c r="AG132" s="183">
        <f>SUMIFS('ноябрь 2025'!$G$2:$G$2583,'ноябрь 2025'!$D$2:$D$2583,$B132,'ноябрь 2025'!$J$2:$J$2583,AG$1)</f>
        <v>0</v>
      </c>
      <c r="AH132" s="183">
        <f>SUMIFS('ноябрь 2025'!$G$2:$G$2583,'ноябрь 2025'!$D$2:$D$2583,$B132,'ноябрь 2025'!$J$2:$J$2583,AH$1)</f>
        <v>0</v>
      </c>
      <c r="AI132" s="20">
        <f t="shared" si="1"/>
        <v>0</v>
      </c>
    </row>
    <row r="133" spans="2:35" ht="15" customHeight="1" x14ac:dyDescent="0.25">
      <c r="B133" s="88" t="s">
        <v>866</v>
      </c>
      <c r="C133" s="86">
        <v>185</v>
      </c>
      <c r="D133" s="183">
        <f>SUMIFS('ноябрь 2025'!$G$2:$G$2583,'ноябрь 2025'!$D$2:$D$2583,$B133,'ноябрь 2025'!$J$2:$J$2583,D$1)</f>
        <v>0</v>
      </c>
      <c r="E133" s="183">
        <f>SUMIFS('ноябрь 2025'!$G$2:$G$2583,'ноябрь 2025'!$D$2:$D$2583,$B133,'ноябрь 2025'!$J$2:$J$2583,E$1)</f>
        <v>0</v>
      </c>
      <c r="F133" s="183">
        <f>SUMIFS('ноябрь 2025'!$G$2:$G$2583,'ноябрь 2025'!$D$2:$D$2583,$B133,'ноябрь 2025'!$J$2:$J$2583,F$1)</f>
        <v>0</v>
      </c>
      <c r="G133" s="183">
        <f>SUMIFS('ноябрь 2025'!$G$2:$G$2583,'ноябрь 2025'!$D$2:$D$2583,$B133,'ноябрь 2025'!$J$2:$J$2583,G$1)</f>
        <v>0</v>
      </c>
      <c r="H133" s="183">
        <f>SUMIFS('ноябрь 2025'!$G$2:$G$2583,'ноябрь 2025'!$D$2:$D$2583,$B133,'ноябрь 2025'!$J$2:$J$2583,H$1)</f>
        <v>0</v>
      </c>
      <c r="I133" s="183">
        <f>SUMIFS('ноябрь 2025'!$G$2:$G$2583,'ноябрь 2025'!$D$2:$D$2583,$B133,'ноябрь 2025'!$J$2:$J$2583,I$1)</f>
        <v>0</v>
      </c>
      <c r="J133" s="183">
        <f>SUMIFS('ноябрь 2025'!$G$2:$G$2583,'ноябрь 2025'!$D$2:$D$2583,$B133,'ноябрь 2025'!$J$2:$J$2583,J$1)</f>
        <v>0</v>
      </c>
      <c r="K133" s="183">
        <f>SUMIFS('ноябрь 2025'!$G$2:$G$2583,'ноябрь 2025'!$D$2:$D$2583,$B133,'ноябрь 2025'!$J$2:$J$2583,K$1)</f>
        <v>0</v>
      </c>
      <c r="L133" s="183">
        <f>SUMIFS('ноябрь 2025'!$G$2:$G$2583,'ноябрь 2025'!$D$2:$D$2583,$B133,'ноябрь 2025'!$J$2:$J$2583,L$1)</f>
        <v>0</v>
      </c>
      <c r="M133" s="183">
        <f>SUMIFS('ноябрь 2025'!$G$2:$G$2583,'ноябрь 2025'!$D$2:$D$2583,$B133,'ноябрь 2025'!$J$2:$J$2583,M$1)</f>
        <v>0</v>
      </c>
      <c r="N133" s="183">
        <f>SUMIFS('ноябрь 2025'!$G$2:$G$2583,'ноябрь 2025'!$D$2:$D$2583,$B133,'ноябрь 2025'!$J$2:$J$2583,N$1)</f>
        <v>0</v>
      </c>
      <c r="O133" s="183">
        <f>SUMIFS('ноябрь 2025'!$G$2:$G$2583,'ноябрь 2025'!$D$2:$D$2583,$B133,'ноябрь 2025'!$J$2:$J$2583,O$1)</f>
        <v>0</v>
      </c>
      <c r="P133" s="183">
        <f>SUMIFS('ноябрь 2025'!$G$2:$G$2583,'ноябрь 2025'!$D$2:$D$2583,$B133,'ноябрь 2025'!$J$2:$J$2583,P$1)</f>
        <v>0</v>
      </c>
      <c r="Q133" s="183">
        <f>SUMIFS('ноябрь 2025'!$G$2:$G$2583,'ноябрь 2025'!$D$2:$D$2583,$B133,'ноябрь 2025'!$J$2:$J$2583,Q$1)</f>
        <v>0</v>
      </c>
      <c r="R133" s="183">
        <f>SUMIFS('ноябрь 2025'!$G$2:$G$2583,'ноябрь 2025'!$D$2:$D$2583,$B133,'ноябрь 2025'!$J$2:$J$2583,R$1)</f>
        <v>0</v>
      </c>
      <c r="S133" s="183">
        <f>SUMIFS('ноябрь 2025'!$G$2:$G$2583,'ноябрь 2025'!$D$2:$D$2583,$B133,'ноябрь 2025'!$J$2:$J$2583,S$1)</f>
        <v>0</v>
      </c>
      <c r="T133" s="183">
        <f>SUMIFS('ноябрь 2025'!$G$2:$G$2583,'ноябрь 2025'!$D$2:$D$2583,$B133,'ноябрь 2025'!$J$2:$J$2583,T$1)</f>
        <v>0</v>
      </c>
      <c r="U133" s="183">
        <f>SUMIFS('ноябрь 2025'!$G$2:$G$2583,'ноябрь 2025'!$D$2:$D$2583,$B133,'ноябрь 2025'!$J$2:$J$2583,U$1)</f>
        <v>0</v>
      </c>
      <c r="V133" s="183">
        <f>SUMIFS('ноябрь 2025'!$G$2:$G$2583,'ноябрь 2025'!$D$2:$D$2583,$B133,'ноябрь 2025'!$J$2:$J$2583,V$1)</f>
        <v>0</v>
      </c>
      <c r="W133" s="183">
        <f>SUMIFS('ноябрь 2025'!$G$2:$G$2583,'ноябрь 2025'!$D$2:$D$2583,$B133,'ноябрь 2025'!$J$2:$J$2583,W$1)</f>
        <v>0</v>
      </c>
      <c r="X133" s="183">
        <f>SUMIFS('ноябрь 2025'!$G$2:$G$2583,'ноябрь 2025'!$D$2:$D$2583,$B133,'ноябрь 2025'!$J$2:$J$2583,X$1)</f>
        <v>0</v>
      </c>
      <c r="Y133" s="183">
        <f>SUMIFS('ноябрь 2025'!$G$2:$G$2583,'ноябрь 2025'!$D$2:$D$2583,$B133,'ноябрь 2025'!$J$2:$J$2583,Y$1)</f>
        <v>0</v>
      </c>
      <c r="Z133" s="183">
        <f>SUMIFS('ноябрь 2025'!$G$2:$G$2583,'ноябрь 2025'!$D$2:$D$2583,$B133,'ноябрь 2025'!$J$2:$J$2583,Z$1)</f>
        <v>0</v>
      </c>
      <c r="AA133" s="183">
        <f>SUMIFS('ноябрь 2025'!$G$2:$G$2583,'ноябрь 2025'!$D$2:$D$2583,$B133,'ноябрь 2025'!$J$2:$J$2583,AA$1)</f>
        <v>0</v>
      </c>
      <c r="AB133" s="183">
        <f>SUMIFS('ноябрь 2025'!$G$2:$G$2583,'ноябрь 2025'!$D$2:$D$2583,$B133,'ноябрь 2025'!$J$2:$J$2583,AB$1)</f>
        <v>0</v>
      </c>
      <c r="AC133" s="183">
        <f>SUMIFS('ноябрь 2025'!$G$2:$G$2583,'ноябрь 2025'!$D$2:$D$2583,$B133,'ноябрь 2025'!$J$2:$J$2583,AC$1)</f>
        <v>0</v>
      </c>
      <c r="AD133" s="183">
        <f>SUMIFS('ноябрь 2025'!$G$2:$G$2583,'ноябрь 2025'!$D$2:$D$2583,$B133,'ноябрь 2025'!$J$2:$J$2583,AD$1)</f>
        <v>0</v>
      </c>
      <c r="AE133" s="183">
        <f>SUMIFS('ноябрь 2025'!$G$2:$G$2583,'ноябрь 2025'!$D$2:$D$2583,$B133,'ноябрь 2025'!$J$2:$J$2583,AE$1)</f>
        <v>0</v>
      </c>
      <c r="AF133" s="183">
        <f>SUMIFS('ноябрь 2025'!$G$2:$G$2583,'ноябрь 2025'!$D$2:$D$2583,$B133,'ноябрь 2025'!$J$2:$J$2583,AF$1)</f>
        <v>0</v>
      </c>
      <c r="AG133" s="183">
        <f>SUMIFS('ноябрь 2025'!$G$2:$G$2583,'ноябрь 2025'!$D$2:$D$2583,$B133,'ноябрь 2025'!$J$2:$J$2583,AG$1)</f>
        <v>0</v>
      </c>
      <c r="AH133" s="183">
        <f>SUMIFS('ноябрь 2025'!$G$2:$G$2583,'ноябрь 2025'!$D$2:$D$2583,$B133,'ноябрь 2025'!$J$2:$J$2583,AH$1)</f>
        <v>0</v>
      </c>
      <c r="AI133" s="20">
        <f t="shared" si="1"/>
        <v>0</v>
      </c>
    </row>
    <row r="134" spans="2:35" ht="15" customHeight="1" x14ac:dyDescent="0.25">
      <c r="B134" s="88" t="s">
        <v>266</v>
      </c>
      <c r="C134" s="86">
        <v>180</v>
      </c>
      <c r="D134" s="183">
        <f>SUMIFS('ноябрь 2025'!$G$2:$G$2583,'ноябрь 2025'!$D$2:$D$2583,$B134,'ноябрь 2025'!$J$2:$J$2583,D$1)</f>
        <v>0</v>
      </c>
      <c r="E134" s="183">
        <f>SUMIFS('ноябрь 2025'!$G$2:$G$2583,'ноябрь 2025'!$D$2:$D$2583,$B134,'ноябрь 2025'!$J$2:$J$2583,E$1)</f>
        <v>0</v>
      </c>
      <c r="F134" s="183">
        <f>SUMIFS('ноябрь 2025'!$G$2:$G$2583,'ноябрь 2025'!$D$2:$D$2583,$B134,'ноябрь 2025'!$J$2:$J$2583,F$1)</f>
        <v>0</v>
      </c>
      <c r="G134" s="183">
        <f>SUMIFS('ноябрь 2025'!$G$2:$G$2583,'ноябрь 2025'!$D$2:$D$2583,$B134,'ноябрь 2025'!$J$2:$J$2583,G$1)</f>
        <v>0</v>
      </c>
      <c r="H134" s="183">
        <f>SUMIFS('ноябрь 2025'!$G$2:$G$2583,'ноябрь 2025'!$D$2:$D$2583,$B134,'ноябрь 2025'!$J$2:$J$2583,H$1)</f>
        <v>0</v>
      </c>
      <c r="I134" s="183">
        <f>SUMIFS('ноябрь 2025'!$G$2:$G$2583,'ноябрь 2025'!$D$2:$D$2583,$B134,'ноябрь 2025'!$J$2:$J$2583,I$1)</f>
        <v>0</v>
      </c>
      <c r="J134" s="183">
        <f>SUMIFS('ноябрь 2025'!$G$2:$G$2583,'ноябрь 2025'!$D$2:$D$2583,$B134,'ноябрь 2025'!$J$2:$J$2583,J$1)</f>
        <v>0</v>
      </c>
      <c r="K134" s="183">
        <f>SUMIFS('ноябрь 2025'!$G$2:$G$2583,'ноябрь 2025'!$D$2:$D$2583,$B134,'ноябрь 2025'!$J$2:$J$2583,K$1)</f>
        <v>0</v>
      </c>
      <c r="L134" s="183">
        <f>SUMIFS('ноябрь 2025'!$G$2:$G$2583,'ноябрь 2025'!$D$2:$D$2583,$B134,'ноябрь 2025'!$J$2:$J$2583,L$1)</f>
        <v>0</v>
      </c>
      <c r="M134" s="183">
        <f>SUMIFS('ноябрь 2025'!$G$2:$G$2583,'ноябрь 2025'!$D$2:$D$2583,$B134,'ноябрь 2025'!$J$2:$J$2583,M$1)</f>
        <v>0</v>
      </c>
      <c r="N134" s="183">
        <f>SUMIFS('ноябрь 2025'!$G$2:$G$2583,'ноябрь 2025'!$D$2:$D$2583,$B134,'ноябрь 2025'!$J$2:$J$2583,N$1)</f>
        <v>0</v>
      </c>
      <c r="O134" s="183">
        <f>SUMIFS('ноябрь 2025'!$G$2:$G$2583,'ноябрь 2025'!$D$2:$D$2583,$B134,'ноябрь 2025'!$J$2:$J$2583,O$1)</f>
        <v>0</v>
      </c>
      <c r="P134" s="183">
        <f>SUMIFS('ноябрь 2025'!$G$2:$G$2583,'ноябрь 2025'!$D$2:$D$2583,$B134,'ноябрь 2025'!$J$2:$J$2583,P$1)</f>
        <v>0</v>
      </c>
      <c r="Q134" s="183">
        <f>SUMIFS('ноябрь 2025'!$G$2:$G$2583,'ноябрь 2025'!$D$2:$D$2583,$B134,'ноябрь 2025'!$J$2:$J$2583,Q$1)</f>
        <v>0</v>
      </c>
      <c r="R134" s="183">
        <f>SUMIFS('ноябрь 2025'!$G$2:$G$2583,'ноябрь 2025'!$D$2:$D$2583,$B134,'ноябрь 2025'!$J$2:$J$2583,R$1)</f>
        <v>0</v>
      </c>
      <c r="S134" s="183">
        <f>SUMIFS('ноябрь 2025'!$G$2:$G$2583,'ноябрь 2025'!$D$2:$D$2583,$B134,'ноябрь 2025'!$J$2:$J$2583,S$1)</f>
        <v>0</v>
      </c>
      <c r="T134" s="183">
        <f>SUMIFS('ноябрь 2025'!$G$2:$G$2583,'ноябрь 2025'!$D$2:$D$2583,$B134,'ноябрь 2025'!$J$2:$J$2583,T$1)</f>
        <v>0</v>
      </c>
      <c r="U134" s="183">
        <f>SUMIFS('ноябрь 2025'!$G$2:$G$2583,'ноябрь 2025'!$D$2:$D$2583,$B134,'ноябрь 2025'!$J$2:$J$2583,U$1)</f>
        <v>0</v>
      </c>
      <c r="V134" s="183">
        <f>SUMIFS('ноябрь 2025'!$G$2:$G$2583,'ноябрь 2025'!$D$2:$D$2583,$B134,'ноябрь 2025'!$J$2:$J$2583,V$1)</f>
        <v>0</v>
      </c>
      <c r="W134" s="183">
        <f>SUMIFS('ноябрь 2025'!$G$2:$G$2583,'ноябрь 2025'!$D$2:$D$2583,$B134,'ноябрь 2025'!$J$2:$J$2583,W$1)</f>
        <v>0</v>
      </c>
      <c r="X134" s="183">
        <f>SUMIFS('ноябрь 2025'!$G$2:$G$2583,'ноябрь 2025'!$D$2:$D$2583,$B134,'ноябрь 2025'!$J$2:$J$2583,X$1)</f>
        <v>0</v>
      </c>
      <c r="Y134" s="183">
        <f>SUMIFS('ноябрь 2025'!$G$2:$G$2583,'ноябрь 2025'!$D$2:$D$2583,$B134,'ноябрь 2025'!$J$2:$J$2583,Y$1)</f>
        <v>0</v>
      </c>
      <c r="Z134" s="183">
        <f>SUMIFS('ноябрь 2025'!$G$2:$G$2583,'ноябрь 2025'!$D$2:$D$2583,$B134,'ноябрь 2025'!$J$2:$J$2583,Z$1)</f>
        <v>0</v>
      </c>
      <c r="AA134" s="183">
        <f>SUMIFS('ноябрь 2025'!$G$2:$G$2583,'ноябрь 2025'!$D$2:$D$2583,$B134,'ноябрь 2025'!$J$2:$J$2583,AA$1)</f>
        <v>0</v>
      </c>
      <c r="AB134" s="183">
        <f>SUMIFS('ноябрь 2025'!$G$2:$G$2583,'ноябрь 2025'!$D$2:$D$2583,$B134,'ноябрь 2025'!$J$2:$J$2583,AB$1)</f>
        <v>0</v>
      </c>
      <c r="AC134" s="183">
        <f>SUMIFS('ноябрь 2025'!$G$2:$G$2583,'ноябрь 2025'!$D$2:$D$2583,$B134,'ноябрь 2025'!$J$2:$J$2583,AC$1)</f>
        <v>0</v>
      </c>
      <c r="AD134" s="183">
        <f>SUMIFS('ноябрь 2025'!$G$2:$G$2583,'ноябрь 2025'!$D$2:$D$2583,$B134,'ноябрь 2025'!$J$2:$J$2583,AD$1)</f>
        <v>0</v>
      </c>
      <c r="AE134" s="183">
        <f>SUMIFS('ноябрь 2025'!$G$2:$G$2583,'ноябрь 2025'!$D$2:$D$2583,$B134,'ноябрь 2025'!$J$2:$J$2583,AE$1)</f>
        <v>0</v>
      </c>
      <c r="AF134" s="183">
        <f>SUMIFS('ноябрь 2025'!$G$2:$G$2583,'ноябрь 2025'!$D$2:$D$2583,$B134,'ноябрь 2025'!$J$2:$J$2583,AF$1)</f>
        <v>0</v>
      </c>
      <c r="AG134" s="183">
        <f>SUMIFS('ноябрь 2025'!$G$2:$G$2583,'ноябрь 2025'!$D$2:$D$2583,$B134,'ноябрь 2025'!$J$2:$J$2583,AG$1)</f>
        <v>0</v>
      </c>
      <c r="AH134" s="183">
        <f>SUMIFS('ноябрь 2025'!$G$2:$G$2583,'ноябрь 2025'!$D$2:$D$2583,$B134,'ноябрь 2025'!$J$2:$J$2583,AH$1)</f>
        <v>0</v>
      </c>
      <c r="AI134" s="20">
        <f t="shared" si="1"/>
        <v>0</v>
      </c>
    </row>
    <row r="135" spans="2:35" ht="15" customHeight="1" x14ac:dyDescent="0.25">
      <c r="B135" s="88" t="s">
        <v>267</v>
      </c>
      <c r="C135" s="86">
        <v>200</v>
      </c>
      <c r="D135" s="183">
        <f>SUMIFS('ноябрь 2025'!$G$2:$G$2583,'ноябрь 2025'!$D$2:$D$2583,$B135,'ноябрь 2025'!$J$2:$J$2583,D$1)</f>
        <v>0</v>
      </c>
      <c r="E135" s="183">
        <f>SUMIFS('ноябрь 2025'!$G$2:$G$2583,'ноябрь 2025'!$D$2:$D$2583,$B135,'ноябрь 2025'!$J$2:$J$2583,E$1)</f>
        <v>0</v>
      </c>
      <c r="F135" s="183">
        <f>SUMIFS('ноябрь 2025'!$G$2:$G$2583,'ноябрь 2025'!$D$2:$D$2583,$B135,'ноябрь 2025'!$J$2:$J$2583,F$1)</f>
        <v>0</v>
      </c>
      <c r="G135" s="183">
        <f>SUMIFS('ноябрь 2025'!$G$2:$G$2583,'ноябрь 2025'!$D$2:$D$2583,$B135,'ноябрь 2025'!$J$2:$J$2583,G$1)</f>
        <v>0</v>
      </c>
      <c r="H135" s="183">
        <f>SUMIFS('ноябрь 2025'!$G$2:$G$2583,'ноябрь 2025'!$D$2:$D$2583,$B135,'ноябрь 2025'!$J$2:$J$2583,H$1)</f>
        <v>88</v>
      </c>
      <c r="I135" s="183">
        <f>SUMIFS('ноябрь 2025'!$G$2:$G$2583,'ноябрь 2025'!$D$2:$D$2583,$B135,'ноябрь 2025'!$J$2:$J$2583,I$1)</f>
        <v>0</v>
      </c>
      <c r="J135" s="183">
        <f>SUMIFS('ноябрь 2025'!$G$2:$G$2583,'ноябрь 2025'!$D$2:$D$2583,$B135,'ноябрь 2025'!$J$2:$J$2583,J$1)</f>
        <v>0</v>
      </c>
      <c r="K135" s="183">
        <f>SUMIFS('ноябрь 2025'!$G$2:$G$2583,'ноябрь 2025'!$D$2:$D$2583,$B135,'ноябрь 2025'!$J$2:$J$2583,K$1)</f>
        <v>0</v>
      </c>
      <c r="L135" s="183">
        <f>SUMIFS('ноябрь 2025'!$G$2:$G$2583,'ноябрь 2025'!$D$2:$D$2583,$B135,'ноябрь 2025'!$J$2:$J$2583,L$1)</f>
        <v>0</v>
      </c>
      <c r="M135" s="183">
        <f>SUMIFS('ноябрь 2025'!$G$2:$G$2583,'ноябрь 2025'!$D$2:$D$2583,$B135,'ноябрь 2025'!$J$2:$J$2583,M$1)</f>
        <v>0</v>
      </c>
      <c r="N135" s="183">
        <f>SUMIFS('ноябрь 2025'!$G$2:$G$2583,'ноябрь 2025'!$D$2:$D$2583,$B135,'ноябрь 2025'!$J$2:$J$2583,N$1)</f>
        <v>0</v>
      </c>
      <c r="O135" s="183">
        <f>SUMIFS('ноябрь 2025'!$G$2:$G$2583,'ноябрь 2025'!$D$2:$D$2583,$B135,'ноябрь 2025'!$J$2:$J$2583,O$1)</f>
        <v>0</v>
      </c>
      <c r="P135" s="183">
        <f>SUMIFS('ноябрь 2025'!$G$2:$G$2583,'ноябрь 2025'!$D$2:$D$2583,$B135,'ноябрь 2025'!$J$2:$J$2583,P$1)</f>
        <v>0</v>
      </c>
      <c r="Q135" s="183">
        <f>SUMIFS('ноябрь 2025'!$G$2:$G$2583,'ноябрь 2025'!$D$2:$D$2583,$B135,'ноябрь 2025'!$J$2:$J$2583,Q$1)</f>
        <v>0</v>
      </c>
      <c r="R135" s="183">
        <f>SUMIFS('ноябрь 2025'!$G$2:$G$2583,'ноябрь 2025'!$D$2:$D$2583,$B135,'ноябрь 2025'!$J$2:$J$2583,R$1)</f>
        <v>0</v>
      </c>
      <c r="S135" s="183">
        <f>SUMIFS('ноябрь 2025'!$G$2:$G$2583,'ноябрь 2025'!$D$2:$D$2583,$B135,'ноябрь 2025'!$J$2:$J$2583,S$1)</f>
        <v>0</v>
      </c>
      <c r="T135" s="183">
        <f>SUMIFS('ноябрь 2025'!$G$2:$G$2583,'ноябрь 2025'!$D$2:$D$2583,$B135,'ноябрь 2025'!$J$2:$J$2583,T$1)</f>
        <v>0</v>
      </c>
      <c r="U135" s="183">
        <f>SUMIFS('ноябрь 2025'!$G$2:$G$2583,'ноябрь 2025'!$D$2:$D$2583,$B135,'ноябрь 2025'!$J$2:$J$2583,U$1)</f>
        <v>0</v>
      </c>
      <c r="V135" s="183">
        <f>SUMIFS('ноябрь 2025'!$G$2:$G$2583,'ноябрь 2025'!$D$2:$D$2583,$B135,'ноябрь 2025'!$J$2:$J$2583,V$1)</f>
        <v>0</v>
      </c>
      <c r="W135" s="183">
        <f>SUMIFS('ноябрь 2025'!$G$2:$G$2583,'ноябрь 2025'!$D$2:$D$2583,$B135,'ноябрь 2025'!$J$2:$J$2583,W$1)</f>
        <v>0</v>
      </c>
      <c r="X135" s="183">
        <f>SUMIFS('ноябрь 2025'!$G$2:$G$2583,'ноябрь 2025'!$D$2:$D$2583,$B135,'ноябрь 2025'!$J$2:$J$2583,X$1)</f>
        <v>0</v>
      </c>
      <c r="Y135" s="183">
        <f>SUMIFS('ноябрь 2025'!$G$2:$G$2583,'ноябрь 2025'!$D$2:$D$2583,$B135,'ноябрь 2025'!$J$2:$J$2583,Y$1)</f>
        <v>0</v>
      </c>
      <c r="Z135" s="183">
        <f>SUMIFS('ноябрь 2025'!$G$2:$G$2583,'ноябрь 2025'!$D$2:$D$2583,$B135,'ноябрь 2025'!$J$2:$J$2583,Z$1)</f>
        <v>0</v>
      </c>
      <c r="AA135" s="183">
        <f>SUMIFS('ноябрь 2025'!$G$2:$G$2583,'ноябрь 2025'!$D$2:$D$2583,$B135,'ноябрь 2025'!$J$2:$J$2583,AA$1)</f>
        <v>0</v>
      </c>
      <c r="AB135" s="183">
        <f>SUMIFS('ноябрь 2025'!$G$2:$G$2583,'ноябрь 2025'!$D$2:$D$2583,$B135,'ноябрь 2025'!$J$2:$J$2583,AB$1)</f>
        <v>0</v>
      </c>
      <c r="AC135" s="183">
        <f>SUMIFS('ноябрь 2025'!$G$2:$G$2583,'ноябрь 2025'!$D$2:$D$2583,$B135,'ноябрь 2025'!$J$2:$J$2583,AC$1)</f>
        <v>0</v>
      </c>
      <c r="AD135" s="183">
        <f>SUMIFS('ноябрь 2025'!$G$2:$G$2583,'ноябрь 2025'!$D$2:$D$2583,$B135,'ноябрь 2025'!$J$2:$J$2583,AD$1)</f>
        <v>0</v>
      </c>
      <c r="AE135" s="183">
        <f>SUMIFS('ноябрь 2025'!$G$2:$G$2583,'ноябрь 2025'!$D$2:$D$2583,$B135,'ноябрь 2025'!$J$2:$J$2583,AE$1)</f>
        <v>0</v>
      </c>
      <c r="AF135" s="183">
        <f>SUMIFS('ноябрь 2025'!$G$2:$G$2583,'ноябрь 2025'!$D$2:$D$2583,$B135,'ноябрь 2025'!$J$2:$J$2583,AF$1)</f>
        <v>0</v>
      </c>
      <c r="AG135" s="183">
        <f>SUMIFS('ноябрь 2025'!$G$2:$G$2583,'ноябрь 2025'!$D$2:$D$2583,$B135,'ноябрь 2025'!$J$2:$J$2583,AG$1)</f>
        <v>0</v>
      </c>
      <c r="AH135" s="183">
        <f>SUMIFS('ноябрь 2025'!$G$2:$G$2583,'ноябрь 2025'!$D$2:$D$2583,$B135,'ноябрь 2025'!$J$2:$J$2583,AH$1)</f>
        <v>0</v>
      </c>
      <c r="AI135" s="20">
        <f t="shared" si="1"/>
        <v>88</v>
      </c>
    </row>
    <row r="136" spans="2:35" ht="15" customHeight="1" x14ac:dyDescent="0.25">
      <c r="B136" s="84" t="s">
        <v>163</v>
      </c>
      <c r="C136" s="83">
        <v>950</v>
      </c>
      <c r="D136" s="183">
        <f>SUMIFS('ноябрь 2025'!$G$2:$G$2583,'ноябрь 2025'!$D$2:$D$2583,$B136,'ноябрь 2025'!$J$2:$J$2583,D$1)</f>
        <v>0</v>
      </c>
      <c r="E136" s="183">
        <f>SUMIFS('ноябрь 2025'!$G$2:$G$2583,'ноябрь 2025'!$D$2:$D$2583,$B136,'ноябрь 2025'!$J$2:$J$2583,E$1)</f>
        <v>0</v>
      </c>
      <c r="F136" s="183">
        <f>SUMIFS('ноябрь 2025'!$G$2:$G$2583,'ноябрь 2025'!$D$2:$D$2583,$B136,'ноябрь 2025'!$J$2:$J$2583,F$1)</f>
        <v>0</v>
      </c>
      <c r="G136" s="183">
        <f>SUMIFS('ноябрь 2025'!$G$2:$G$2583,'ноябрь 2025'!$D$2:$D$2583,$B136,'ноябрь 2025'!$J$2:$J$2583,G$1)</f>
        <v>0</v>
      </c>
      <c r="H136" s="183">
        <f>SUMIFS('ноябрь 2025'!$G$2:$G$2583,'ноябрь 2025'!$D$2:$D$2583,$B136,'ноябрь 2025'!$J$2:$J$2583,H$1)</f>
        <v>0</v>
      </c>
      <c r="I136" s="183">
        <f>SUMIFS('ноябрь 2025'!$G$2:$G$2583,'ноябрь 2025'!$D$2:$D$2583,$B136,'ноябрь 2025'!$J$2:$J$2583,I$1)</f>
        <v>0</v>
      </c>
      <c r="J136" s="183">
        <f>SUMIFS('ноябрь 2025'!$G$2:$G$2583,'ноябрь 2025'!$D$2:$D$2583,$B136,'ноябрь 2025'!$J$2:$J$2583,J$1)</f>
        <v>0</v>
      </c>
      <c r="K136" s="183">
        <f>SUMIFS('ноябрь 2025'!$G$2:$G$2583,'ноябрь 2025'!$D$2:$D$2583,$B136,'ноябрь 2025'!$J$2:$J$2583,K$1)</f>
        <v>0</v>
      </c>
      <c r="L136" s="183">
        <f>SUMIFS('ноябрь 2025'!$G$2:$G$2583,'ноябрь 2025'!$D$2:$D$2583,$B136,'ноябрь 2025'!$J$2:$J$2583,L$1)</f>
        <v>0</v>
      </c>
      <c r="M136" s="183">
        <f>SUMIFS('ноябрь 2025'!$G$2:$G$2583,'ноябрь 2025'!$D$2:$D$2583,$B136,'ноябрь 2025'!$J$2:$J$2583,M$1)</f>
        <v>0</v>
      </c>
      <c r="N136" s="183">
        <f>SUMIFS('ноябрь 2025'!$G$2:$G$2583,'ноябрь 2025'!$D$2:$D$2583,$B136,'ноябрь 2025'!$J$2:$J$2583,N$1)</f>
        <v>0</v>
      </c>
      <c r="O136" s="183">
        <f>SUMIFS('ноябрь 2025'!$G$2:$G$2583,'ноябрь 2025'!$D$2:$D$2583,$B136,'ноябрь 2025'!$J$2:$J$2583,O$1)</f>
        <v>0</v>
      </c>
      <c r="P136" s="183">
        <f>SUMIFS('ноябрь 2025'!$G$2:$G$2583,'ноябрь 2025'!$D$2:$D$2583,$B136,'ноябрь 2025'!$J$2:$J$2583,P$1)</f>
        <v>0</v>
      </c>
      <c r="Q136" s="183">
        <f>SUMIFS('ноябрь 2025'!$G$2:$G$2583,'ноябрь 2025'!$D$2:$D$2583,$B136,'ноябрь 2025'!$J$2:$J$2583,Q$1)</f>
        <v>0</v>
      </c>
      <c r="R136" s="183">
        <f>SUMIFS('ноябрь 2025'!$G$2:$G$2583,'ноябрь 2025'!$D$2:$D$2583,$B136,'ноябрь 2025'!$J$2:$J$2583,R$1)</f>
        <v>0</v>
      </c>
      <c r="S136" s="183">
        <f>SUMIFS('ноябрь 2025'!$G$2:$G$2583,'ноябрь 2025'!$D$2:$D$2583,$B136,'ноябрь 2025'!$J$2:$J$2583,S$1)</f>
        <v>0</v>
      </c>
      <c r="T136" s="183">
        <f>SUMIFS('ноябрь 2025'!$G$2:$G$2583,'ноябрь 2025'!$D$2:$D$2583,$B136,'ноябрь 2025'!$J$2:$J$2583,T$1)</f>
        <v>0</v>
      </c>
      <c r="U136" s="183">
        <f>SUMIFS('ноябрь 2025'!$G$2:$G$2583,'ноябрь 2025'!$D$2:$D$2583,$B136,'ноябрь 2025'!$J$2:$J$2583,U$1)</f>
        <v>0</v>
      </c>
      <c r="V136" s="183">
        <f>SUMIFS('ноябрь 2025'!$G$2:$G$2583,'ноябрь 2025'!$D$2:$D$2583,$B136,'ноябрь 2025'!$J$2:$J$2583,V$1)</f>
        <v>0</v>
      </c>
      <c r="W136" s="183">
        <f>SUMIFS('ноябрь 2025'!$G$2:$G$2583,'ноябрь 2025'!$D$2:$D$2583,$B136,'ноябрь 2025'!$J$2:$J$2583,W$1)</f>
        <v>0</v>
      </c>
      <c r="X136" s="183">
        <f>SUMIFS('ноябрь 2025'!$G$2:$G$2583,'ноябрь 2025'!$D$2:$D$2583,$B136,'ноябрь 2025'!$J$2:$J$2583,X$1)</f>
        <v>0</v>
      </c>
      <c r="Y136" s="183">
        <f>SUMIFS('ноябрь 2025'!$G$2:$G$2583,'ноябрь 2025'!$D$2:$D$2583,$B136,'ноябрь 2025'!$J$2:$J$2583,Y$1)</f>
        <v>0</v>
      </c>
      <c r="Z136" s="183">
        <f>SUMIFS('ноябрь 2025'!$G$2:$G$2583,'ноябрь 2025'!$D$2:$D$2583,$B136,'ноябрь 2025'!$J$2:$J$2583,Z$1)</f>
        <v>0</v>
      </c>
      <c r="AA136" s="183">
        <f>SUMIFS('ноябрь 2025'!$G$2:$G$2583,'ноябрь 2025'!$D$2:$D$2583,$B136,'ноябрь 2025'!$J$2:$J$2583,AA$1)</f>
        <v>0</v>
      </c>
      <c r="AB136" s="183">
        <f>SUMIFS('ноябрь 2025'!$G$2:$G$2583,'ноябрь 2025'!$D$2:$D$2583,$B136,'ноябрь 2025'!$J$2:$J$2583,AB$1)</f>
        <v>0</v>
      </c>
      <c r="AC136" s="183">
        <f>SUMIFS('ноябрь 2025'!$G$2:$G$2583,'ноябрь 2025'!$D$2:$D$2583,$B136,'ноябрь 2025'!$J$2:$J$2583,AC$1)</f>
        <v>0</v>
      </c>
      <c r="AD136" s="183">
        <f>SUMIFS('ноябрь 2025'!$G$2:$G$2583,'ноябрь 2025'!$D$2:$D$2583,$B136,'ноябрь 2025'!$J$2:$J$2583,AD$1)</f>
        <v>0</v>
      </c>
      <c r="AE136" s="183">
        <f>SUMIFS('ноябрь 2025'!$G$2:$G$2583,'ноябрь 2025'!$D$2:$D$2583,$B136,'ноябрь 2025'!$J$2:$J$2583,AE$1)</f>
        <v>0</v>
      </c>
      <c r="AF136" s="183">
        <f>SUMIFS('ноябрь 2025'!$G$2:$G$2583,'ноябрь 2025'!$D$2:$D$2583,$B136,'ноябрь 2025'!$J$2:$J$2583,AF$1)</f>
        <v>0</v>
      </c>
      <c r="AG136" s="183">
        <f>SUMIFS('ноябрь 2025'!$G$2:$G$2583,'ноябрь 2025'!$D$2:$D$2583,$B136,'ноябрь 2025'!$J$2:$J$2583,AG$1)</f>
        <v>0</v>
      </c>
      <c r="AH136" s="183">
        <f>SUMIFS('ноябрь 2025'!$G$2:$G$2583,'ноябрь 2025'!$D$2:$D$2583,$B136,'ноябрь 2025'!$J$2:$J$2583,AH$1)</f>
        <v>0</v>
      </c>
      <c r="AI136" s="20">
        <f t="shared" si="1"/>
        <v>0</v>
      </c>
    </row>
    <row r="137" spans="2:35" ht="15" customHeight="1" x14ac:dyDescent="0.25">
      <c r="B137" s="84" t="s">
        <v>183</v>
      </c>
      <c r="C137" s="83">
        <v>180</v>
      </c>
      <c r="D137" s="183">
        <f>SUMIFS('ноябрь 2025'!$G$2:$G$2583,'ноябрь 2025'!$D$2:$D$2583,$B137,'ноябрь 2025'!$J$2:$J$2583,D$1)</f>
        <v>0</v>
      </c>
      <c r="E137" s="183">
        <f>SUMIFS('ноябрь 2025'!$G$2:$G$2583,'ноябрь 2025'!$D$2:$D$2583,$B137,'ноябрь 2025'!$J$2:$J$2583,E$1)</f>
        <v>0</v>
      </c>
      <c r="F137" s="183">
        <f>SUMIFS('ноябрь 2025'!$G$2:$G$2583,'ноябрь 2025'!$D$2:$D$2583,$B137,'ноябрь 2025'!$J$2:$J$2583,F$1)</f>
        <v>0</v>
      </c>
      <c r="G137" s="183">
        <f>SUMIFS('ноябрь 2025'!$G$2:$G$2583,'ноябрь 2025'!$D$2:$D$2583,$B137,'ноябрь 2025'!$J$2:$J$2583,G$1)</f>
        <v>0</v>
      </c>
      <c r="H137" s="183">
        <f>SUMIFS('ноябрь 2025'!$G$2:$G$2583,'ноябрь 2025'!$D$2:$D$2583,$B137,'ноябрь 2025'!$J$2:$J$2583,H$1)</f>
        <v>0</v>
      </c>
      <c r="I137" s="183">
        <f>SUMIFS('ноябрь 2025'!$G$2:$G$2583,'ноябрь 2025'!$D$2:$D$2583,$B137,'ноябрь 2025'!$J$2:$J$2583,I$1)</f>
        <v>0</v>
      </c>
      <c r="J137" s="183">
        <f>SUMIFS('ноябрь 2025'!$G$2:$G$2583,'ноябрь 2025'!$D$2:$D$2583,$B137,'ноябрь 2025'!$J$2:$J$2583,J$1)</f>
        <v>0</v>
      </c>
      <c r="K137" s="183">
        <f>SUMIFS('ноябрь 2025'!$G$2:$G$2583,'ноябрь 2025'!$D$2:$D$2583,$B137,'ноябрь 2025'!$J$2:$J$2583,K$1)</f>
        <v>0</v>
      </c>
      <c r="L137" s="183">
        <f>SUMIFS('ноябрь 2025'!$G$2:$G$2583,'ноябрь 2025'!$D$2:$D$2583,$B137,'ноябрь 2025'!$J$2:$J$2583,L$1)</f>
        <v>0</v>
      </c>
      <c r="M137" s="183">
        <f>SUMIFS('ноябрь 2025'!$G$2:$G$2583,'ноябрь 2025'!$D$2:$D$2583,$B137,'ноябрь 2025'!$J$2:$J$2583,M$1)</f>
        <v>0</v>
      </c>
      <c r="N137" s="183">
        <f>SUMIFS('ноябрь 2025'!$G$2:$G$2583,'ноябрь 2025'!$D$2:$D$2583,$B137,'ноябрь 2025'!$J$2:$J$2583,N$1)</f>
        <v>0</v>
      </c>
      <c r="O137" s="183">
        <f>SUMIFS('ноябрь 2025'!$G$2:$G$2583,'ноябрь 2025'!$D$2:$D$2583,$B137,'ноябрь 2025'!$J$2:$J$2583,O$1)</f>
        <v>0</v>
      </c>
      <c r="P137" s="183">
        <f>SUMIFS('ноябрь 2025'!$G$2:$G$2583,'ноябрь 2025'!$D$2:$D$2583,$B137,'ноябрь 2025'!$J$2:$J$2583,P$1)</f>
        <v>0</v>
      </c>
      <c r="Q137" s="183">
        <f>SUMIFS('ноябрь 2025'!$G$2:$G$2583,'ноябрь 2025'!$D$2:$D$2583,$B137,'ноябрь 2025'!$J$2:$J$2583,Q$1)</f>
        <v>0</v>
      </c>
      <c r="R137" s="183">
        <f>SUMIFS('ноябрь 2025'!$G$2:$G$2583,'ноябрь 2025'!$D$2:$D$2583,$B137,'ноябрь 2025'!$J$2:$J$2583,R$1)</f>
        <v>0</v>
      </c>
      <c r="S137" s="183">
        <f>SUMIFS('ноябрь 2025'!$G$2:$G$2583,'ноябрь 2025'!$D$2:$D$2583,$B137,'ноябрь 2025'!$J$2:$J$2583,S$1)</f>
        <v>0</v>
      </c>
      <c r="T137" s="183">
        <f>SUMIFS('ноябрь 2025'!$G$2:$G$2583,'ноябрь 2025'!$D$2:$D$2583,$B137,'ноябрь 2025'!$J$2:$J$2583,T$1)</f>
        <v>0</v>
      </c>
      <c r="U137" s="183">
        <f>SUMIFS('ноябрь 2025'!$G$2:$G$2583,'ноябрь 2025'!$D$2:$D$2583,$B137,'ноябрь 2025'!$J$2:$J$2583,U$1)</f>
        <v>0</v>
      </c>
      <c r="V137" s="183">
        <f>SUMIFS('ноябрь 2025'!$G$2:$G$2583,'ноябрь 2025'!$D$2:$D$2583,$B137,'ноябрь 2025'!$J$2:$J$2583,V$1)</f>
        <v>0</v>
      </c>
      <c r="W137" s="183">
        <f>SUMIFS('ноябрь 2025'!$G$2:$G$2583,'ноябрь 2025'!$D$2:$D$2583,$B137,'ноябрь 2025'!$J$2:$J$2583,W$1)</f>
        <v>0</v>
      </c>
      <c r="X137" s="183">
        <f>SUMIFS('ноябрь 2025'!$G$2:$G$2583,'ноябрь 2025'!$D$2:$D$2583,$B137,'ноябрь 2025'!$J$2:$J$2583,X$1)</f>
        <v>0</v>
      </c>
      <c r="Y137" s="183">
        <f>SUMIFS('ноябрь 2025'!$G$2:$G$2583,'ноябрь 2025'!$D$2:$D$2583,$B137,'ноябрь 2025'!$J$2:$J$2583,Y$1)</f>
        <v>0</v>
      </c>
      <c r="Z137" s="183">
        <f>SUMIFS('ноябрь 2025'!$G$2:$G$2583,'ноябрь 2025'!$D$2:$D$2583,$B137,'ноябрь 2025'!$J$2:$J$2583,Z$1)</f>
        <v>0</v>
      </c>
      <c r="AA137" s="183">
        <f>SUMIFS('ноябрь 2025'!$G$2:$G$2583,'ноябрь 2025'!$D$2:$D$2583,$B137,'ноябрь 2025'!$J$2:$J$2583,AA$1)</f>
        <v>0</v>
      </c>
      <c r="AB137" s="183">
        <f>SUMIFS('ноябрь 2025'!$G$2:$G$2583,'ноябрь 2025'!$D$2:$D$2583,$B137,'ноябрь 2025'!$J$2:$J$2583,AB$1)</f>
        <v>0</v>
      </c>
      <c r="AC137" s="183">
        <f>SUMIFS('ноябрь 2025'!$G$2:$G$2583,'ноябрь 2025'!$D$2:$D$2583,$B137,'ноябрь 2025'!$J$2:$J$2583,AC$1)</f>
        <v>0</v>
      </c>
      <c r="AD137" s="183">
        <f>SUMIFS('ноябрь 2025'!$G$2:$G$2583,'ноябрь 2025'!$D$2:$D$2583,$B137,'ноябрь 2025'!$J$2:$J$2583,AD$1)</f>
        <v>0</v>
      </c>
      <c r="AE137" s="183">
        <f>SUMIFS('ноябрь 2025'!$G$2:$G$2583,'ноябрь 2025'!$D$2:$D$2583,$B137,'ноябрь 2025'!$J$2:$J$2583,AE$1)</f>
        <v>0</v>
      </c>
      <c r="AF137" s="183">
        <f>SUMIFS('ноябрь 2025'!$G$2:$G$2583,'ноябрь 2025'!$D$2:$D$2583,$B137,'ноябрь 2025'!$J$2:$J$2583,AF$1)</f>
        <v>0</v>
      </c>
      <c r="AG137" s="183">
        <f>SUMIFS('ноябрь 2025'!$G$2:$G$2583,'ноябрь 2025'!$D$2:$D$2583,$B137,'ноябрь 2025'!$J$2:$J$2583,AG$1)</f>
        <v>0</v>
      </c>
      <c r="AH137" s="183">
        <f>SUMIFS('ноябрь 2025'!$G$2:$G$2583,'ноябрь 2025'!$D$2:$D$2583,$B137,'ноябрь 2025'!$J$2:$J$2583,AH$1)</f>
        <v>0</v>
      </c>
      <c r="AI137" s="20">
        <f t="shared" si="1"/>
        <v>0</v>
      </c>
    </row>
    <row r="138" spans="2:35" ht="15" customHeight="1" x14ac:dyDescent="0.25">
      <c r="B138" s="84" t="s">
        <v>305</v>
      </c>
      <c r="C138" s="83">
        <v>180</v>
      </c>
      <c r="D138" s="183">
        <f>SUMIFS('ноябрь 2025'!$G$2:$G$2583,'ноябрь 2025'!$D$2:$D$2583,$B138,'ноябрь 2025'!$J$2:$J$2583,D$1)</f>
        <v>0</v>
      </c>
      <c r="E138" s="183">
        <f>SUMIFS('ноябрь 2025'!$G$2:$G$2583,'ноябрь 2025'!$D$2:$D$2583,$B138,'ноябрь 2025'!$J$2:$J$2583,E$1)</f>
        <v>0</v>
      </c>
      <c r="F138" s="183">
        <f>SUMIFS('ноябрь 2025'!$G$2:$G$2583,'ноябрь 2025'!$D$2:$D$2583,$B138,'ноябрь 2025'!$J$2:$J$2583,F$1)</f>
        <v>0</v>
      </c>
      <c r="G138" s="183">
        <f>SUMIFS('ноябрь 2025'!$G$2:$G$2583,'ноябрь 2025'!$D$2:$D$2583,$B138,'ноябрь 2025'!$J$2:$J$2583,G$1)</f>
        <v>0</v>
      </c>
      <c r="H138" s="183">
        <f>SUMIFS('ноябрь 2025'!$G$2:$G$2583,'ноябрь 2025'!$D$2:$D$2583,$B138,'ноябрь 2025'!$J$2:$J$2583,H$1)</f>
        <v>0</v>
      </c>
      <c r="I138" s="183">
        <f>SUMIFS('ноябрь 2025'!$G$2:$G$2583,'ноябрь 2025'!$D$2:$D$2583,$B138,'ноябрь 2025'!$J$2:$J$2583,I$1)</f>
        <v>0</v>
      </c>
      <c r="J138" s="183">
        <f>SUMIFS('ноябрь 2025'!$G$2:$G$2583,'ноябрь 2025'!$D$2:$D$2583,$B138,'ноябрь 2025'!$J$2:$J$2583,J$1)</f>
        <v>0</v>
      </c>
      <c r="K138" s="183">
        <f>SUMIFS('ноябрь 2025'!$G$2:$G$2583,'ноябрь 2025'!$D$2:$D$2583,$B138,'ноябрь 2025'!$J$2:$J$2583,K$1)</f>
        <v>0</v>
      </c>
      <c r="L138" s="183">
        <f>SUMIFS('ноябрь 2025'!$G$2:$G$2583,'ноябрь 2025'!$D$2:$D$2583,$B138,'ноябрь 2025'!$J$2:$J$2583,L$1)</f>
        <v>0</v>
      </c>
      <c r="M138" s="183">
        <f>SUMIFS('ноябрь 2025'!$G$2:$G$2583,'ноябрь 2025'!$D$2:$D$2583,$B138,'ноябрь 2025'!$J$2:$J$2583,M$1)</f>
        <v>0</v>
      </c>
      <c r="N138" s="183">
        <f>SUMIFS('ноябрь 2025'!$G$2:$G$2583,'ноябрь 2025'!$D$2:$D$2583,$B138,'ноябрь 2025'!$J$2:$J$2583,N$1)</f>
        <v>0</v>
      </c>
      <c r="O138" s="183">
        <f>SUMIFS('ноябрь 2025'!$G$2:$G$2583,'ноябрь 2025'!$D$2:$D$2583,$B138,'ноябрь 2025'!$J$2:$J$2583,O$1)</f>
        <v>0</v>
      </c>
      <c r="P138" s="183">
        <f>SUMIFS('ноябрь 2025'!$G$2:$G$2583,'ноябрь 2025'!$D$2:$D$2583,$B138,'ноябрь 2025'!$J$2:$J$2583,P$1)</f>
        <v>0</v>
      </c>
      <c r="Q138" s="183">
        <f>SUMIFS('ноябрь 2025'!$G$2:$G$2583,'ноябрь 2025'!$D$2:$D$2583,$B138,'ноябрь 2025'!$J$2:$J$2583,Q$1)</f>
        <v>0</v>
      </c>
      <c r="R138" s="183">
        <f>SUMIFS('ноябрь 2025'!$G$2:$G$2583,'ноябрь 2025'!$D$2:$D$2583,$B138,'ноябрь 2025'!$J$2:$J$2583,R$1)</f>
        <v>0</v>
      </c>
      <c r="S138" s="183">
        <f>SUMIFS('ноябрь 2025'!$G$2:$G$2583,'ноябрь 2025'!$D$2:$D$2583,$B138,'ноябрь 2025'!$J$2:$J$2583,S$1)</f>
        <v>0</v>
      </c>
      <c r="T138" s="183">
        <f>SUMIFS('ноябрь 2025'!$G$2:$G$2583,'ноябрь 2025'!$D$2:$D$2583,$B138,'ноябрь 2025'!$J$2:$J$2583,T$1)</f>
        <v>0</v>
      </c>
      <c r="U138" s="183">
        <f>SUMIFS('ноябрь 2025'!$G$2:$G$2583,'ноябрь 2025'!$D$2:$D$2583,$B138,'ноябрь 2025'!$J$2:$J$2583,U$1)</f>
        <v>0</v>
      </c>
      <c r="V138" s="183">
        <f>SUMIFS('ноябрь 2025'!$G$2:$G$2583,'ноябрь 2025'!$D$2:$D$2583,$B138,'ноябрь 2025'!$J$2:$J$2583,V$1)</f>
        <v>0</v>
      </c>
      <c r="W138" s="183">
        <f>SUMIFS('ноябрь 2025'!$G$2:$G$2583,'ноябрь 2025'!$D$2:$D$2583,$B138,'ноябрь 2025'!$J$2:$J$2583,W$1)</f>
        <v>0</v>
      </c>
      <c r="X138" s="183">
        <f>SUMIFS('ноябрь 2025'!$G$2:$G$2583,'ноябрь 2025'!$D$2:$D$2583,$B138,'ноябрь 2025'!$J$2:$J$2583,X$1)</f>
        <v>0</v>
      </c>
      <c r="Y138" s="183">
        <f>SUMIFS('ноябрь 2025'!$G$2:$G$2583,'ноябрь 2025'!$D$2:$D$2583,$B138,'ноябрь 2025'!$J$2:$J$2583,Y$1)</f>
        <v>0</v>
      </c>
      <c r="Z138" s="183">
        <f>SUMIFS('ноябрь 2025'!$G$2:$G$2583,'ноябрь 2025'!$D$2:$D$2583,$B138,'ноябрь 2025'!$J$2:$J$2583,Z$1)</f>
        <v>0</v>
      </c>
      <c r="AA138" s="183">
        <f>SUMIFS('ноябрь 2025'!$G$2:$G$2583,'ноябрь 2025'!$D$2:$D$2583,$B138,'ноябрь 2025'!$J$2:$J$2583,AA$1)</f>
        <v>0</v>
      </c>
      <c r="AB138" s="183">
        <f>SUMIFS('ноябрь 2025'!$G$2:$G$2583,'ноябрь 2025'!$D$2:$D$2583,$B138,'ноябрь 2025'!$J$2:$J$2583,AB$1)</f>
        <v>0</v>
      </c>
      <c r="AC138" s="183">
        <f>SUMIFS('ноябрь 2025'!$G$2:$G$2583,'ноябрь 2025'!$D$2:$D$2583,$B138,'ноябрь 2025'!$J$2:$J$2583,AC$1)</f>
        <v>0</v>
      </c>
      <c r="AD138" s="183">
        <f>SUMIFS('ноябрь 2025'!$G$2:$G$2583,'ноябрь 2025'!$D$2:$D$2583,$B138,'ноябрь 2025'!$J$2:$J$2583,AD$1)</f>
        <v>0</v>
      </c>
      <c r="AE138" s="183">
        <f>SUMIFS('ноябрь 2025'!$G$2:$G$2583,'ноябрь 2025'!$D$2:$D$2583,$B138,'ноябрь 2025'!$J$2:$J$2583,AE$1)</f>
        <v>0</v>
      </c>
      <c r="AF138" s="183">
        <f>SUMIFS('ноябрь 2025'!$G$2:$G$2583,'ноябрь 2025'!$D$2:$D$2583,$B138,'ноябрь 2025'!$J$2:$J$2583,AF$1)</f>
        <v>0</v>
      </c>
      <c r="AG138" s="183">
        <f>SUMIFS('ноябрь 2025'!$G$2:$G$2583,'ноябрь 2025'!$D$2:$D$2583,$B138,'ноябрь 2025'!$J$2:$J$2583,AG$1)</f>
        <v>0</v>
      </c>
      <c r="AH138" s="183">
        <f>SUMIFS('ноябрь 2025'!$G$2:$G$2583,'ноябрь 2025'!$D$2:$D$2583,$B138,'ноябрь 2025'!$J$2:$J$2583,AH$1)</f>
        <v>0</v>
      </c>
      <c r="AI138" s="20"/>
    </row>
    <row r="139" spans="2:35" ht="15" customHeight="1" x14ac:dyDescent="0.25">
      <c r="B139" s="84" t="s">
        <v>171</v>
      </c>
      <c r="C139" s="83">
        <v>200</v>
      </c>
      <c r="D139" s="183">
        <f>SUMIFS('ноябрь 2025'!$G$2:$G$2583,'ноябрь 2025'!$D$2:$D$2583,$B139,'ноябрь 2025'!$J$2:$J$2583,D$1)</f>
        <v>0</v>
      </c>
      <c r="E139" s="183">
        <f>SUMIFS('ноябрь 2025'!$G$2:$G$2583,'ноябрь 2025'!$D$2:$D$2583,$B139,'ноябрь 2025'!$J$2:$J$2583,E$1)</f>
        <v>0</v>
      </c>
      <c r="F139" s="183">
        <f>SUMIFS('ноябрь 2025'!$G$2:$G$2583,'ноябрь 2025'!$D$2:$D$2583,$B139,'ноябрь 2025'!$J$2:$J$2583,F$1)</f>
        <v>0</v>
      </c>
      <c r="G139" s="183">
        <f>SUMIFS('ноябрь 2025'!$G$2:$G$2583,'ноябрь 2025'!$D$2:$D$2583,$B139,'ноябрь 2025'!$J$2:$J$2583,G$1)</f>
        <v>0</v>
      </c>
      <c r="H139" s="183">
        <f>SUMIFS('ноябрь 2025'!$G$2:$G$2583,'ноябрь 2025'!$D$2:$D$2583,$B139,'ноябрь 2025'!$J$2:$J$2583,H$1)</f>
        <v>0</v>
      </c>
      <c r="I139" s="183">
        <f>SUMIFS('ноябрь 2025'!$G$2:$G$2583,'ноябрь 2025'!$D$2:$D$2583,$B139,'ноябрь 2025'!$J$2:$J$2583,I$1)</f>
        <v>0</v>
      </c>
      <c r="J139" s="183">
        <f>SUMIFS('ноябрь 2025'!$G$2:$G$2583,'ноябрь 2025'!$D$2:$D$2583,$B139,'ноябрь 2025'!$J$2:$J$2583,J$1)</f>
        <v>0</v>
      </c>
      <c r="K139" s="183">
        <f>SUMIFS('ноябрь 2025'!$G$2:$G$2583,'ноябрь 2025'!$D$2:$D$2583,$B139,'ноябрь 2025'!$J$2:$J$2583,K$1)</f>
        <v>0</v>
      </c>
      <c r="L139" s="183">
        <f>SUMIFS('ноябрь 2025'!$G$2:$G$2583,'ноябрь 2025'!$D$2:$D$2583,$B139,'ноябрь 2025'!$J$2:$J$2583,L$1)</f>
        <v>0</v>
      </c>
      <c r="M139" s="183">
        <f>SUMIFS('ноябрь 2025'!$G$2:$G$2583,'ноябрь 2025'!$D$2:$D$2583,$B139,'ноябрь 2025'!$J$2:$J$2583,M$1)</f>
        <v>0</v>
      </c>
      <c r="N139" s="183">
        <f>SUMIFS('ноябрь 2025'!$G$2:$G$2583,'ноябрь 2025'!$D$2:$D$2583,$B139,'ноябрь 2025'!$J$2:$J$2583,N$1)</f>
        <v>0</v>
      </c>
      <c r="O139" s="183">
        <f>SUMIFS('ноябрь 2025'!$G$2:$G$2583,'ноябрь 2025'!$D$2:$D$2583,$B139,'ноябрь 2025'!$J$2:$J$2583,O$1)</f>
        <v>0</v>
      </c>
      <c r="P139" s="183">
        <f>SUMIFS('ноябрь 2025'!$G$2:$G$2583,'ноябрь 2025'!$D$2:$D$2583,$B139,'ноябрь 2025'!$J$2:$J$2583,P$1)</f>
        <v>0</v>
      </c>
      <c r="Q139" s="183">
        <f>SUMIFS('ноябрь 2025'!$G$2:$G$2583,'ноябрь 2025'!$D$2:$D$2583,$B139,'ноябрь 2025'!$J$2:$J$2583,Q$1)</f>
        <v>0</v>
      </c>
      <c r="R139" s="183">
        <f>SUMIFS('ноябрь 2025'!$G$2:$G$2583,'ноябрь 2025'!$D$2:$D$2583,$B139,'ноябрь 2025'!$J$2:$J$2583,R$1)</f>
        <v>0</v>
      </c>
      <c r="S139" s="183">
        <f>SUMIFS('ноябрь 2025'!$G$2:$G$2583,'ноябрь 2025'!$D$2:$D$2583,$B139,'ноябрь 2025'!$J$2:$J$2583,S$1)</f>
        <v>0</v>
      </c>
      <c r="T139" s="183">
        <f>SUMIFS('ноябрь 2025'!$G$2:$G$2583,'ноябрь 2025'!$D$2:$D$2583,$B139,'ноябрь 2025'!$J$2:$J$2583,T$1)</f>
        <v>0</v>
      </c>
      <c r="U139" s="183">
        <f>SUMIFS('ноябрь 2025'!$G$2:$G$2583,'ноябрь 2025'!$D$2:$D$2583,$B139,'ноябрь 2025'!$J$2:$J$2583,U$1)</f>
        <v>0</v>
      </c>
      <c r="V139" s="183">
        <f>SUMIFS('ноябрь 2025'!$G$2:$G$2583,'ноябрь 2025'!$D$2:$D$2583,$B139,'ноябрь 2025'!$J$2:$J$2583,V$1)</f>
        <v>0</v>
      </c>
      <c r="W139" s="183">
        <f>SUMIFS('ноябрь 2025'!$G$2:$G$2583,'ноябрь 2025'!$D$2:$D$2583,$B139,'ноябрь 2025'!$J$2:$J$2583,W$1)</f>
        <v>0</v>
      </c>
      <c r="X139" s="183">
        <f>SUMIFS('ноябрь 2025'!$G$2:$G$2583,'ноябрь 2025'!$D$2:$D$2583,$B139,'ноябрь 2025'!$J$2:$J$2583,X$1)</f>
        <v>0</v>
      </c>
      <c r="Y139" s="183">
        <f>SUMIFS('ноябрь 2025'!$G$2:$G$2583,'ноябрь 2025'!$D$2:$D$2583,$B139,'ноябрь 2025'!$J$2:$J$2583,Y$1)</f>
        <v>0</v>
      </c>
      <c r="Z139" s="183">
        <f>SUMIFS('ноябрь 2025'!$G$2:$G$2583,'ноябрь 2025'!$D$2:$D$2583,$B139,'ноябрь 2025'!$J$2:$J$2583,Z$1)</f>
        <v>0</v>
      </c>
      <c r="AA139" s="183">
        <f>SUMIFS('ноябрь 2025'!$G$2:$G$2583,'ноябрь 2025'!$D$2:$D$2583,$B139,'ноябрь 2025'!$J$2:$J$2583,AA$1)</f>
        <v>0</v>
      </c>
      <c r="AB139" s="183">
        <f>SUMIFS('ноябрь 2025'!$G$2:$G$2583,'ноябрь 2025'!$D$2:$D$2583,$B139,'ноябрь 2025'!$J$2:$J$2583,AB$1)</f>
        <v>0</v>
      </c>
      <c r="AC139" s="183">
        <f>SUMIFS('ноябрь 2025'!$G$2:$G$2583,'ноябрь 2025'!$D$2:$D$2583,$B139,'ноябрь 2025'!$J$2:$J$2583,AC$1)</f>
        <v>0</v>
      </c>
      <c r="AD139" s="183">
        <f>SUMIFS('ноябрь 2025'!$G$2:$G$2583,'ноябрь 2025'!$D$2:$D$2583,$B139,'ноябрь 2025'!$J$2:$J$2583,AD$1)</f>
        <v>0</v>
      </c>
      <c r="AE139" s="183">
        <f>SUMIFS('ноябрь 2025'!$G$2:$G$2583,'ноябрь 2025'!$D$2:$D$2583,$B139,'ноябрь 2025'!$J$2:$J$2583,AE$1)</f>
        <v>0</v>
      </c>
      <c r="AF139" s="183">
        <f>SUMIFS('ноябрь 2025'!$G$2:$G$2583,'ноябрь 2025'!$D$2:$D$2583,$B139,'ноябрь 2025'!$J$2:$J$2583,AF$1)</f>
        <v>0</v>
      </c>
      <c r="AG139" s="183">
        <f>SUMIFS('ноябрь 2025'!$G$2:$G$2583,'ноябрь 2025'!$D$2:$D$2583,$B139,'ноябрь 2025'!$J$2:$J$2583,AG$1)</f>
        <v>0</v>
      </c>
      <c r="AH139" s="183">
        <f>SUMIFS('ноябрь 2025'!$G$2:$G$2583,'ноябрь 2025'!$D$2:$D$2583,$B139,'ноябрь 2025'!$J$2:$J$2583,AH$1)</f>
        <v>0</v>
      </c>
      <c r="AI139" s="20">
        <f t="shared" si="1"/>
        <v>0</v>
      </c>
    </row>
    <row r="140" spans="2:35" ht="15" customHeight="1" x14ac:dyDescent="0.25">
      <c r="B140" s="84" t="s">
        <v>172</v>
      </c>
      <c r="C140" s="83">
        <v>200</v>
      </c>
      <c r="D140" s="183">
        <f>SUMIFS('ноябрь 2025'!$G$2:$G$2583,'ноябрь 2025'!$D$2:$D$2583,$B140,'ноябрь 2025'!$J$2:$J$2583,D$1)</f>
        <v>0</v>
      </c>
      <c r="E140" s="183">
        <f>SUMIFS('ноябрь 2025'!$G$2:$G$2583,'ноябрь 2025'!$D$2:$D$2583,$B140,'ноябрь 2025'!$J$2:$J$2583,E$1)</f>
        <v>0</v>
      </c>
      <c r="F140" s="183">
        <f>SUMIFS('ноябрь 2025'!$G$2:$G$2583,'ноябрь 2025'!$D$2:$D$2583,$B140,'ноябрь 2025'!$J$2:$J$2583,F$1)</f>
        <v>0</v>
      </c>
      <c r="G140" s="183">
        <f>SUMIFS('ноябрь 2025'!$G$2:$G$2583,'ноябрь 2025'!$D$2:$D$2583,$B140,'ноябрь 2025'!$J$2:$J$2583,G$1)</f>
        <v>0</v>
      </c>
      <c r="H140" s="183">
        <f>SUMIFS('ноябрь 2025'!$G$2:$G$2583,'ноябрь 2025'!$D$2:$D$2583,$B140,'ноябрь 2025'!$J$2:$J$2583,H$1)</f>
        <v>0</v>
      </c>
      <c r="I140" s="183">
        <f>SUMIFS('ноябрь 2025'!$G$2:$G$2583,'ноябрь 2025'!$D$2:$D$2583,$B140,'ноябрь 2025'!$J$2:$J$2583,I$1)</f>
        <v>0</v>
      </c>
      <c r="J140" s="183">
        <f>SUMIFS('ноябрь 2025'!$G$2:$G$2583,'ноябрь 2025'!$D$2:$D$2583,$B140,'ноябрь 2025'!$J$2:$J$2583,J$1)</f>
        <v>0</v>
      </c>
      <c r="K140" s="183">
        <f>SUMIFS('ноябрь 2025'!$G$2:$G$2583,'ноябрь 2025'!$D$2:$D$2583,$B140,'ноябрь 2025'!$J$2:$J$2583,K$1)</f>
        <v>0</v>
      </c>
      <c r="L140" s="183">
        <f>SUMIFS('ноябрь 2025'!$G$2:$G$2583,'ноябрь 2025'!$D$2:$D$2583,$B140,'ноябрь 2025'!$J$2:$J$2583,L$1)</f>
        <v>0</v>
      </c>
      <c r="M140" s="183">
        <f>SUMIFS('ноябрь 2025'!$G$2:$G$2583,'ноябрь 2025'!$D$2:$D$2583,$B140,'ноябрь 2025'!$J$2:$J$2583,M$1)</f>
        <v>0</v>
      </c>
      <c r="N140" s="183">
        <f>SUMIFS('ноябрь 2025'!$G$2:$G$2583,'ноябрь 2025'!$D$2:$D$2583,$B140,'ноябрь 2025'!$J$2:$J$2583,N$1)</f>
        <v>0</v>
      </c>
      <c r="O140" s="183">
        <f>SUMIFS('ноябрь 2025'!$G$2:$G$2583,'ноябрь 2025'!$D$2:$D$2583,$B140,'ноябрь 2025'!$J$2:$J$2583,O$1)</f>
        <v>0</v>
      </c>
      <c r="P140" s="183">
        <f>SUMIFS('ноябрь 2025'!$G$2:$G$2583,'ноябрь 2025'!$D$2:$D$2583,$B140,'ноябрь 2025'!$J$2:$J$2583,P$1)</f>
        <v>0</v>
      </c>
      <c r="Q140" s="183">
        <f>SUMIFS('ноябрь 2025'!$G$2:$G$2583,'ноябрь 2025'!$D$2:$D$2583,$B140,'ноябрь 2025'!$J$2:$J$2583,Q$1)</f>
        <v>0</v>
      </c>
      <c r="R140" s="183">
        <f>SUMIFS('ноябрь 2025'!$G$2:$G$2583,'ноябрь 2025'!$D$2:$D$2583,$B140,'ноябрь 2025'!$J$2:$J$2583,R$1)</f>
        <v>0</v>
      </c>
      <c r="S140" s="183">
        <f>SUMIFS('ноябрь 2025'!$G$2:$G$2583,'ноябрь 2025'!$D$2:$D$2583,$B140,'ноябрь 2025'!$J$2:$J$2583,S$1)</f>
        <v>0</v>
      </c>
      <c r="T140" s="183">
        <f>SUMIFS('ноябрь 2025'!$G$2:$G$2583,'ноябрь 2025'!$D$2:$D$2583,$B140,'ноябрь 2025'!$J$2:$J$2583,T$1)</f>
        <v>0</v>
      </c>
      <c r="U140" s="183">
        <f>SUMIFS('ноябрь 2025'!$G$2:$G$2583,'ноябрь 2025'!$D$2:$D$2583,$B140,'ноябрь 2025'!$J$2:$J$2583,U$1)</f>
        <v>0</v>
      </c>
      <c r="V140" s="183">
        <f>SUMIFS('ноябрь 2025'!$G$2:$G$2583,'ноябрь 2025'!$D$2:$D$2583,$B140,'ноябрь 2025'!$J$2:$J$2583,V$1)</f>
        <v>0</v>
      </c>
      <c r="W140" s="183">
        <f>SUMIFS('ноябрь 2025'!$G$2:$G$2583,'ноябрь 2025'!$D$2:$D$2583,$B140,'ноябрь 2025'!$J$2:$J$2583,W$1)</f>
        <v>0</v>
      </c>
      <c r="X140" s="183">
        <f>SUMIFS('ноябрь 2025'!$G$2:$G$2583,'ноябрь 2025'!$D$2:$D$2583,$B140,'ноябрь 2025'!$J$2:$J$2583,X$1)</f>
        <v>0</v>
      </c>
      <c r="Y140" s="183">
        <f>SUMIFS('ноябрь 2025'!$G$2:$G$2583,'ноябрь 2025'!$D$2:$D$2583,$B140,'ноябрь 2025'!$J$2:$J$2583,Y$1)</f>
        <v>0</v>
      </c>
      <c r="Z140" s="183">
        <f>SUMIFS('ноябрь 2025'!$G$2:$G$2583,'ноябрь 2025'!$D$2:$D$2583,$B140,'ноябрь 2025'!$J$2:$J$2583,Z$1)</f>
        <v>0</v>
      </c>
      <c r="AA140" s="183">
        <f>SUMIFS('ноябрь 2025'!$G$2:$G$2583,'ноябрь 2025'!$D$2:$D$2583,$B140,'ноябрь 2025'!$J$2:$J$2583,AA$1)</f>
        <v>0</v>
      </c>
      <c r="AB140" s="183">
        <f>SUMIFS('ноябрь 2025'!$G$2:$G$2583,'ноябрь 2025'!$D$2:$D$2583,$B140,'ноябрь 2025'!$J$2:$J$2583,AB$1)</f>
        <v>0</v>
      </c>
      <c r="AC140" s="183">
        <f>SUMIFS('ноябрь 2025'!$G$2:$G$2583,'ноябрь 2025'!$D$2:$D$2583,$B140,'ноябрь 2025'!$J$2:$J$2583,AC$1)</f>
        <v>0</v>
      </c>
      <c r="AD140" s="183">
        <f>SUMIFS('ноябрь 2025'!$G$2:$G$2583,'ноябрь 2025'!$D$2:$D$2583,$B140,'ноябрь 2025'!$J$2:$J$2583,AD$1)</f>
        <v>0</v>
      </c>
      <c r="AE140" s="183">
        <f>SUMIFS('ноябрь 2025'!$G$2:$G$2583,'ноябрь 2025'!$D$2:$D$2583,$B140,'ноябрь 2025'!$J$2:$J$2583,AE$1)</f>
        <v>0</v>
      </c>
      <c r="AF140" s="183">
        <f>SUMIFS('ноябрь 2025'!$G$2:$G$2583,'ноябрь 2025'!$D$2:$D$2583,$B140,'ноябрь 2025'!$J$2:$J$2583,AF$1)</f>
        <v>0</v>
      </c>
      <c r="AG140" s="183">
        <f>SUMIFS('ноябрь 2025'!$G$2:$G$2583,'ноябрь 2025'!$D$2:$D$2583,$B140,'ноябрь 2025'!$J$2:$J$2583,AG$1)</f>
        <v>0</v>
      </c>
      <c r="AH140" s="183">
        <f>SUMIFS('ноябрь 2025'!$G$2:$G$2583,'ноябрь 2025'!$D$2:$D$2583,$B140,'ноябрь 2025'!$J$2:$J$2583,AH$1)</f>
        <v>0</v>
      </c>
      <c r="AI140" s="20">
        <f t="shared" si="1"/>
        <v>0</v>
      </c>
    </row>
    <row r="141" spans="2:35" ht="15" customHeight="1" x14ac:dyDescent="0.25">
      <c r="B141" s="84" t="s">
        <v>174</v>
      </c>
      <c r="C141" s="83">
        <v>200</v>
      </c>
      <c r="D141" s="183">
        <f>SUMIFS('ноябрь 2025'!$G$2:$G$2583,'ноябрь 2025'!$D$2:$D$2583,$B141,'ноябрь 2025'!$J$2:$J$2583,D$1)</f>
        <v>0</v>
      </c>
      <c r="E141" s="183">
        <f>SUMIFS('ноябрь 2025'!$G$2:$G$2583,'ноябрь 2025'!$D$2:$D$2583,$B141,'ноябрь 2025'!$J$2:$J$2583,E$1)</f>
        <v>0</v>
      </c>
      <c r="F141" s="183">
        <f>SUMIFS('ноябрь 2025'!$G$2:$G$2583,'ноябрь 2025'!$D$2:$D$2583,$B141,'ноябрь 2025'!$J$2:$J$2583,F$1)</f>
        <v>0</v>
      </c>
      <c r="G141" s="183">
        <f>SUMIFS('ноябрь 2025'!$G$2:$G$2583,'ноябрь 2025'!$D$2:$D$2583,$B141,'ноябрь 2025'!$J$2:$J$2583,G$1)</f>
        <v>0</v>
      </c>
      <c r="H141" s="183">
        <f>SUMIFS('ноябрь 2025'!$G$2:$G$2583,'ноябрь 2025'!$D$2:$D$2583,$B141,'ноябрь 2025'!$J$2:$J$2583,H$1)</f>
        <v>0</v>
      </c>
      <c r="I141" s="183">
        <f>SUMIFS('ноябрь 2025'!$G$2:$G$2583,'ноябрь 2025'!$D$2:$D$2583,$B141,'ноябрь 2025'!$J$2:$J$2583,I$1)</f>
        <v>0</v>
      </c>
      <c r="J141" s="183">
        <f>SUMIFS('ноябрь 2025'!$G$2:$G$2583,'ноябрь 2025'!$D$2:$D$2583,$B141,'ноябрь 2025'!$J$2:$J$2583,J$1)</f>
        <v>0</v>
      </c>
      <c r="K141" s="183">
        <f>SUMIFS('ноябрь 2025'!$G$2:$G$2583,'ноябрь 2025'!$D$2:$D$2583,$B141,'ноябрь 2025'!$J$2:$J$2583,K$1)</f>
        <v>0</v>
      </c>
      <c r="L141" s="183">
        <f>SUMIFS('ноябрь 2025'!$G$2:$G$2583,'ноябрь 2025'!$D$2:$D$2583,$B141,'ноябрь 2025'!$J$2:$J$2583,L$1)</f>
        <v>0</v>
      </c>
      <c r="M141" s="183">
        <f>SUMIFS('ноябрь 2025'!$G$2:$G$2583,'ноябрь 2025'!$D$2:$D$2583,$B141,'ноябрь 2025'!$J$2:$J$2583,M$1)</f>
        <v>0</v>
      </c>
      <c r="N141" s="183">
        <f>SUMIFS('ноябрь 2025'!$G$2:$G$2583,'ноябрь 2025'!$D$2:$D$2583,$B141,'ноябрь 2025'!$J$2:$J$2583,N$1)</f>
        <v>0</v>
      </c>
      <c r="O141" s="183">
        <f>SUMIFS('ноябрь 2025'!$G$2:$G$2583,'ноябрь 2025'!$D$2:$D$2583,$B141,'ноябрь 2025'!$J$2:$J$2583,O$1)</f>
        <v>0</v>
      </c>
      <c r="P141" s="183">
        <f>SUMIFS('ноябрь 2025'!$G$2:$G$2583,'ноябрь 2025'!$D$2:$D$2583,$B141,'ноябрь 2025'!$J$2:$J$2583,P$1)</f>
        <v>0</v>
      </c>
      <c r="Q141" s="183">
        <f>SUMIFS('ноябрь 2025'!$G$2:$G$2583,'ноябрь 2025'!$D$2:$D$2583,$B141,'ноябрь 2025'!$J$2:$J$2583,Q$1)</f>
        <v>0</v>
      </c>
      <c r="R141" s="183">
        <f>SUMIFS('ноябрь 2025'!$G$2:$G$2583,'ноябрь 2025'!$D$2:$D$2583,$B141,'ноябрь 2025'!$J$2:$J$2583,R$1)</f>
        <v>0</v>
      </c>
      <c r="S141" s="183">
        <f>SUMIFS('ноябрь 2025'!$G$2:$G$2583,'ноябрь 2025'!$D$2:$D$2583,$B141,'ноябрь 2025'!$J$2:$J$2583,S$1)</f>
        <v>0</v>
      </c>
      <c r="T141" s="183">
        <f>SUMIFS('ноябрь 2025'!$G$2:$G$2583,'ноябрь 2025'!$D$2:$D$2583,$B141,'ноябрь 2025'!$J$2:$J$2583,T$1)</f>
        <v>0</v>
      </c>
      <c r="U141" s="183">
        <f>SUMIFS('ноябрь 2025'!$G$2:$G$2583,'ноябрь 2025'!$D$2:$D$2583,$B141,'ноябрь 2025'!$J$2:$J$2583,U$1)</f>
        <v>0</v>
      </c>
      <c r="V141" s="183">
        <f>SUMIFS('ноябрь 2025'!$G$2:$G$2583,'ноябрь 2025'!$D$2:$D$2583,$B141,'ноябрь 2025'!$J$2:$J$2583,V$1)</f>
        <v>0</v>
      </c>
      <c r="W141" s="183">
        <f>SUMIFS('ноябрь 2025'!$G$2:$G$2583,'ноябрь 2025'!$D$2:$D$2583,$B141,'ноябрь 2025'!$J$2:$J$2583,W$1)</f>
        <v>0</v>
      </c>
      <c r="X141" s="183">
        <f>SUMIFS('ноябрь 2025'!$G$2:$G$2583,'ноябрь 2025'!$D$2:$D$2583,$B141,'ноябрь 2025'!$J$2:$J$2583,X$1)</f>
        <v>0</v>
      </c>
      <c r="Y141" s="183">
        <f>SUMIFS('ноябрь 2025'!$G$2:$G$2583,'ноябрь 2025'!$D$2:$D$2583,$B141,'ноябрь 2025'!$J$2:$J$2583,Y$1)</f>
        <v>0</v>
      </c>
      <c r="Z141" s="183">
        <f>SUMIFS('ноябрь 2025'!$G$2:$G$2583,'ноябрь 2025'!$D$2:$D$2583,$B141,'ноябрь 2025'!$J$2:$J$2583,Z$1)</f>
        <v>0</v>
      </c>
      <c r="AA141" s="183">
        <f>SUMIFS('ноябрь 2025'!$G$2:$G$2583,'ноябрь 2025'!$D$2:$D$2583,$B141,'ноябрь 2025'!$J$2:$J$2583,AA$1)</f>
        <v>0</v>
      </c>
      <c r="AB141" s="183">
        <f>SUMIFS('ноябрь 2025'!$G$2:$G$2583,'ноябрь 2025'!$D$2:$D$2583,$B141,'ноябрь 2025'!$J$2:$J$2583,AB$1)</f>
        <v>0</v>
      </c>
      <c r="AC141" s="183">
        <f>SUMIFS('ноябрь 2025'!$G$2:$G$2583,'ноябрь 2025'!$D$2:$D$2583,$B141,'ноябрь 2025'!$J$2:$J$2583,AC$1)</f>
        <v>0</v>
      </c>
      <c r="AD141" s="183">
        <f>SUMIFS('ноябрь 2025'!$G$2:$G$2583,'ноябрь 2025'!$D$2:$D$2583,$B141,'ноябрь 2025'!$J$2:$J$2583,AD$1)</f>
        <v>0</v>
      </c>
      <c r="AE141" s="183">
        <f>SUMIFS('ноябрь 2025'!$G$2:$G$2583,'ноябрь 2025'!$D$2:$D$2583,$B141,'ноябрь 2025'!$J$2:$J$2583,AE$1)</f>
        <v>0</v>
      </c>
      <c r="AF141" s="183">
        <f>SUMIFS('ноябрь 2025'!$G$2:$G$2583,'ноябрь 2025'!$D$2:$D$2583,$B141,'ноябрь 2025'!$J$2:$J$2583,AF$1)</f>
        <v>0</v>
      </c>
      <c r="AG141" s="183">
        <f>SUMIFS('ноябрь 2025'!$G$2:$G$2583,'ноябрь 2025'!$D$2:$D$2583,$B141,'ноябрь 2025'!$J$2:$J$2583,AG$1)</f>
        <v>0</v>
      </c>
      <c r="AH141" s="183">
        <f>SUMIFS('ноябрь 2025'!$G$2:$G$2583,'ноябрь 2025'!$D$2:$D$2583,$B141,'ноябрь 2025'!$J$2:$J$2583,AH$1)</f>
        <v>0</v>
      </c>
      <c r="AI141" s="20">
        <f t="shared" si="1"/>
        <v>0</v>
      </c>
    </row>
    <row r="142" spans="2:35" ht="15" customHeight="1" x14ac:dyDescent="0.25">
      <c r="B142" s="89" t="s">
        <v>184</v>
      </c>
      <c r="C142" s="90">
        <v>180</v>
      </c>
      <c r="D142" s="183">
        <f>SUMIFS('ноябрь 2025'!$G$2:$G$2583,'ноябрь 2025'!$D$2:$D$2583,$B142,'ноябрь 2025'!$J$2:$J$2583,D$1)</f>
        <v>0</v>
      </c>
      <c r="E142" s="183">
        <f>SUMIFS('ноябрь 2025'!$G$2:$G$2583,'ноябрь 2025'!$D$2:$D$2583,$B142,'ноябрь 2025'!$J$2:$J$2583,E$1)</f>
        <v>0</v>
      </c>
      <c r="F142" s="183">
        <f>SUMIFS('ноябрь 2025'!$G$2:$G$2583,'ноябрь 2025'!$D$2:$D$2583,$B142,'ноябрь 2025'!$J$2:$J$2583,F$1)</f>
        <v>0</v>
      </c>
      <c r="G142" s="183">
        <f>SUMIFS('ноябрь 2025'!$G$2:$G$2583,'ноябрь 2025'!$D$2:$D$2583,$B142,'ноябрь 2025'!$J$2:$J$2583,G$1)</f>
        <v>0</v>
      </c>
      <c r="H142" s="183">
        <f>SUMIFS('ноябрь 2025'!$G$2:$G$2583,'ноябрь 2025'!$D$2:$D$2583,$B142,'ноябрь 2025'!$J$2:$J$2583,H$1)</f>
        <v>0</v>
      </c>
      <c r="I142" s="183">
        <f>SUMIFS('ноябрь 2025'!$G$2:$G$2583,'ноябрь 2025'!$D$2:$D$2583,$B142,'ноябрь 2025'!$J$2:$J$2583,I$1)</f>
        <v>0</v>
      </c>
      <c r="J142" s="183">
        <f>SUMIFS('ноябрь 2025'!$G$2:$G$2583,'ноябрь 2025'!$D$2:$D$2583,$B142,'ноябрь 2025'!$J$2:$J$2583,J$1)</f>
        <v>0</v>
      </c>
      <c r="K142" s="183">
        <f>SUMIFS('ноябрь 2025'!$G$2:$G$2583,'ноябрь 2025'!$D$2:$D$2583,$B142,'ноябрь 2025'!$J$2:$J$2583,K$1)</f>
        <v>0</v>
      </c>
      <c r="L142" s="183">
        <f>SUMIFS('ноябрь 2025'!$G$2:$G$2583,'ноябрь 2025'!$D$2:$D$2583,$B142,'ноябрь 2025'!$J$2:$J$2583,L$1)</f>
        <v>0</v>
      </c>
      <c r="M142" s="183">
        <f>SUMIFS('ноябрь 2025'!$G$2:$G$2583,'ноябрь 2025'!$D$2:$D$2583,$B142,'ноябрь 2025'!$J$2:$J$2583,M$1)</f>
        <v>0</v>
      </c>
      <c r="N142" s="183">
        <f>SUMIFS('ноябрь 2025'!$G$2:$G$2583,'ноябрь 2025'!$D$2:$D$2583,$B142,'ноябрь 2025'!$J$2:$J$2583,N$1)</f>
        <v>0</v>
      </c>
      <c r="O142" s="183">
        <f>SUMIFS('ноябрь 2025'!$G$2:$G$2583,'ноябрь 2025'!$D$2:$D$2583,$B142,'ноябрь 2025'!$J$2:$J$2583,O$1)</f>
        <v>0</v>
      </c>
      <c r="P142" s="183">
        <f>SUMIFS('ноябрь 2025'!$G$2:$G$2583,'ноябрь 2025'!$D$2:$D$2583,$B142,'ноябрь 2025'!$J$2:$J$2583,P$1)</f>
        <v>0</v>
      </c>
      <c r="Q142" s="183">
        <f>SUMIFS('ноябрь 2025'!$G$2:$G$2583,'ноябрь 2025'!$D$2:$D$2583,$B142,'ноябрь 2025'!$J$2:$J$2583,Q$1)</f>
        <v>0</v>
      </c>
      <c r="R142" s="183">
        <f>SUMIFS('ноябрь 2025'!$G$2:$G$2583,'ноябрь 2025'!$D$2:$D$2583,$B142,'ноябрь 2025'!$J$2:$J$2583,R$1)</f>
        <v>0</v>
      </c>
      <c r="S142" s="183">
        <f>SUMIFS('ноябрь 2025'!$G$2:$G$2583,'ноябрь 2025'!$D$2:$D$2583,$B142,'ноябрь 2025'!$J$2:$J$2583,S$1)</f>
        <v>0</v>
      </c>
      <c r="T142" s="183">
        <f>SUMIFS('ноябрь 2025'!$G$2:$G$2583,'ноябрь 2025'!$D$2:$D$2583,$B142,'ноябрь 2025'!$J$2:$J$2583,T$1)</f>
        <v>0</v>
      </c>
      <c r="U142" s="183">
        <f>SUMIFS('ноябрь 2025'!$G$2:$G$2583,'ноябрь 2025'!$D$2:$D$2583,$B142,'ноябрь 2025'!$J$2:$J$2583,U$1)</f>
        <v>0</v>
      </c>
      <c r="V142" s="183">
        <f>SUMIFS('ноябрь 2025'!$G$2:$G$2583,'ноябрь 2025'!$D$2:$D$2583,$B142,'ноябрь 2025'!$J$2:$J$2583,V$1)</f>
        <v>0</v>
      </c>
      <c r="W142" s="183">
        <f>SUMIFS('ноябрь 2025'!$G$2:$G$2583,'ноябрь 2025'!$D$2:$D$2583,$B142,'ноябрь 2025'!$J$2:$J$2583,W$1)</f>
        <v>0</v>
      </c>
      <c r="X142" s="183">
        <f>SUMIFS('ноябрь 2025'!$G$2:$G$2583,'ноябрь 2025'!$D$2:$D$2583,$B142,'ноябрь 2025'!$J$2:$J$2583,X$1)</f>
        <v>0</v>
      </c>
      <c r="Y142" s="183">
        <f>SUMIFS('ноябрь 2025'!$G$2:$G$2583,'ноябрь 2025'!$D$2:$D$2583,$B142,'ноябрь 2025'!$J$2:$J$2583,Y$1)</f>
        <v>0</v>
      </c>
      <c r="Z142" s="183">
        <f>SUMIFS('ноябрь 2025'!$G$2:$G$2583,'ноябрь 2025'!$D$2:$D$2583,$B142,'ноябрь 2025'!$J$2:$J$2583,Z$1)</f>
        <v>0</v>
      </c>
      <c r="AA142" s="183">
        <f>SUMIFS('ноябрь 2025'!$G$2:$G$2583,'ноябрь 2025'!$D$2:$D$2583,$B142,'ноябрь 2025'!$J$2:$J$2583,AA$1)</f>
        <v>0</v>
      </c>
      <c r="AB142" s="183">
        <f>SUMIFS('ноябрь 2025'!$G$2:$G$2583,'ноябрь 2025'!$D$2:$D$2583,$B142,'ноябрь 2025'!$J$2:$J$2583,AB$1)</f>
        <v>0</v>
      </c>
      <c r="AC142" s="183">
        <f>SUMIFS('ноябрь 2025'!$G$2:$G$2583,'ноябрь 2025'!$D$2:$D$2583,$B142,'ноябрь 2025'!$J$2:$J$2583,AC$1)</f>
        <v>0</v>
      </c>
      <c r="AD142" s="183">
        <f>SUMIFS('ноябрь 2025'!$G$2:$G$2583,'ноябрь 2025'!$D$2:$D$2583,$B142,'ноябрь 2025'!$J$2:$J$2583,AD$1)</f>
        <v>0</v>
      </c>
      <c r="AE142" s="183">
        <f>SUMIFS('ноябрь 2025'!$G$2:$G$2583,'ноябрь 2025'!$D$2:$D$2583,$B142,'ноябрь 2025'!$J$2:$J$2583,AE$1)</f>
        <v>0</v>
      </c>
      <c r="AF142" s="183">
        <f>SUMIFS('ноябрь 2025'!$G$2:$G$2583,'ноябрь 2025'!$D$2:$D$2583,$B142,'ноябрь 2025'!$J$2:$J$2583,AF$1)</f>
        <v>0</v>
      </c>
      <c r="AG142" s="183">
        <f>SUMIFS('ноябрь 2025'!$G$2:$G$2583,'ноябрь 2025'!$D$2:$D$2583,$B142,'ноябрь 2025'!$J$2:$J$2583,AG$1)</f>
        <v>0</v>
      </c>
      <c r="AH142" s="183">
        <f>SUMIFS('ноябрь 2025'!$G$2:$G$2583,'ноябрь 2025'!$D$2:$D$2583,$B142,'ноябрь 2025'!$J$2:$J$2583,AH$1)</f>
        <v>0</v>
      </c>
      <c r="AI142" s="20">
        <f t="shared" si="1"/>
        <v>0</v>
      </c>
    </row>
    <row r="143" spans="2:35" ht="15" customHeight="1" x14ac:dyDescent="0.25">
      <c r="B143" s="84" t="s">
        <v>268</v>
      </c>
      <c r="C143" s="86">
        <v>180</v>
      </c>
      <c r="D143" s="183">
        <f>SUMIFS('ноябрь 2025'!$G$2:$G$2583,'ноябрь 2025'!$D$2:$D$2583,$B143,'ноябрь 2025'!$J$2:$J$2583,D$1)</f>
        <v>12</v>
      </c>
      <c r="E143" s="183">
        <f>SUMIFS('ноябрь 2025'!$G$2:$G$2583,'ноябрь 2025'!$D$2:$D$2583,$B143,'ноябрь 2025'!$J$2:$J$2583,E$1)</f>
        <v>0</v>
      </c>
      <c r="F143" s="183">
        <f>SUMIFS('ноябрь 2025'!$G$2:$G$2583,'ноябрь 2025'!$D$2:$D$2583,$B143,'ноябрь 2025'!$J$2:$J$2583,F$1)</f>
        <v>0</v>
      </c>
      <c r="G143" s="183">
        <f>SUMIFS('ноябрь 2025'!$G$2:$G$2583,'ноябрь 2025'!$D$2:$D$2583,$B143,'ноябрь 2025'!$J$2:$J$2583,G$1)</f>
        <v>0</v>
      </c>
      <c r="H143" s="183">
        <f>SUMIFS('ноябрь 2025'!$G$2:$G$2583,'ноябрь 2025'!$D$2:$D$2583,$B143,'ноябрь 2025'!$J$2:$J$2583,H$1)</f>
        <v>0</v>
      </c>
      <c r="I143" s="183">
        <f>SUMIFS('ноябрь 2025'!$G$2:$G$2583,'ноябрь 2025'!$D$2:$D$2583,$B143,'ноябрь 2025'!$J$2:$J$2583,I$1)</f>
        <v>0</v>
      </c>
      <c r="J143" s="183">
        <f>SUMIFS('ноябрь 2025'!$G$2:$G$2583,'ноябрь 2025'!$D$2:$D$2583,$B143,'ноябрь 2025'!$J$2:$J$2583,J$1)</f>
        <v>0</v>
      </c>
      <c r="K143" s="183">
        <f>SUMIFS('ноябрь 2025'!$G$2:$G$2583,'ноябрь 2025'!$D$2:$D$2583,$B143,'ноябрь 2025'!$J$2:$J$2583,K$1)</f>
        <v>0</v>
      </c>
      <c r="L143" s="183">
        <f>SUMIFS('ноябрь 2025'!$G$2:$G$2583,'ноябрь 2025'!$D$2:$D$2583,$B143,'ноябрь 2025'!$J$2:$J$2583,L$1)</f>
        <v>0</v>
      </c>
      <c r="M143" s="183">
        <f>SUMIFS('ноябрь 2025'!$G$2:$G$2583,'ноябрь 2025'!$D$2:$D$2583,$B143,'ноябрь 2025'!$J$2:$J$2583,M$1)</f>
        <v>0</v>
      </c>
      <c r="N143" s="183">
        <f>SUMIFS('ноябрь 2025'!$G$2:$G$2583,'ноябрь 2025'!$D$2:$D$2583,$B143,'ноябрь 2025'!$J$2:$J$2583,N$1)</f>
        <v>0</v>
      </c>
      <c r="O143" s="183">
        <f>SUMIFS('ноябрь 2025'!$G$2:$G$2583,'ноябрь 2025'!$D$2:$D$2583,$B143,'ноябрь 2025'!$J$2:$J$2583,O$1)</f>
        <v>0</v>
      </c>
      <c r="P143" s="183">
        <f>SUMIFS('ноябрь 2025'!$G$2:$G$2583,'ноябрь 2025'!$D$2:$D$2583,$B143,'ноябрь 2025'!$J$2:$J$2583,P$1)</f>
        <v>0</v>
      </c>
      <c r="Q143" s="183">
        <f>SUMIFS('ноябрь 2025'!$G$2:$G$2583,'ноябрь 2025'!$D$2:$D$2583,$B143,'ноябрь 2025'!$J$2:$J$2583,Q$1)</f>
        <v>0</v>
      </c>
      <c r="R143" s="183">
        <f>SUMIFS('ноябрь 2025'!$G$2:$G$2583,'ноябрь 2025'!$D$2:$D$2583,$B143,'ноябрь 2025'!$J$2:$J$2583,R$1)</f>
        <v>0</v>
      </c>
      <c r="S143" s="183">
        <f>SUMIFS('ноябрь 2025'!$G$2:$G$2583,'ноябрь 2025'!$D$2:$D$2583,$B143,'ноябрь 2025'!$J$2:$J$2583,S$1)</f>
        <v>0</v>
      </c>
      <c r="T143" s="183">
        <f>SUMIFS('ноябрь 2025'!$G$2:$G$2583,'ноябрь 2025'!$D$2:$D$2583,$B143,'ноябрь 2025'!$J$2:$J$2583,T$1)</f>
        <v>0</v>
      </c>
      <c r="U143" s="183">
        <f>SUMIFS('ноябрь 2025'!$G$2:$G$2583,'ноябрь 2025'!$D$2:$D$2583,$B143,'ноябрь 2025'!$J$2:$J$2583,U$1)</f>
        <v>0</v>
      </c>
      <c r="V143" s="183">
        <f>SUMIFS('ноябрь 2025'!$G$2:$G$2583,'ноябрь 2025'!$D$2:$D$2583,$B143,'ноябрь 2025'!$J$2:$J$2583,V$1)</f>
        <v>0</v>
      </c>
      <c r="W143" s="183">
        <f>SUMIFS('ноябрь 2025'!$G$2:$G$2583,'ноябрь 2025'!$D$2:$D$2583,$B143,'ноябрь 2025'!$J$2:$J$2583,W$1)</f>
        <v>0</v>
      </c>
      <c r="X143" s="183">
        <f>SUMIFS('ноябрь 2025'!$G$2:$G$2583,'ноябрь 2025'!$D$2:$D$2583,$B143,'ноябрь 2025'!$J$2:$J$2583,X$1)</f>
        <v>0</v>
      </c>
      <c r="Y143" s="183">
        <f>SUMIFS('ноябрь 2025'!$G$2:$G$2583,'ноябрь 2025'!$D$2:$D$2583,$B143,'ноябрь 2025'!$J$2:$J$2583,Y$1)</f>
        <v>0</v>
      </c>
      <c r="Z143" s="183">
        <f>SUMIFS('ноябрь 2025'!$G$2:$G$2583,'ноябрь 2025'!$D$2:$D$2583,$B143,'ноябрь 2025'!$J$2:$J$2583,Z$1)</f>
        <v>0</v>
      </c>
      <c r="AA143" s="183">
        <f>SUMIFS('ноябрь 2025'!$G$2:$G$2583,'ноябрь 2025'!$D$2:$D$2583,$B143,'ноябрь 2025'!$J$2:$J$2583,AA$1)</f>
        <v>0</v>
      </c>
      <c r="AB143" s="183">
        <f>SUMIFS('ноябрь 2025'!$G$2:$G$2583,'ноябрь 2025'!$D$2:$D$2583,$B143,'ноябрь 2025'!$J$2:$J$2583,AB$1)</f>
        <v>0</v>
      </c>
      <c r="AC143" s="183">
        <f>SUMIFS('ноябрь 2025'!$G$2:$G$2583,'ноябрь 2025'!$D$2:$D$2583,$B143,'ноябрь 2025'!$J$2:$J$2583,AC$1)</f>
        <v>0</v>
      </c>
      <c r="AD143" s="183">
        <f>SUMIFS('ноябрь 2025'!$G$2:$G$2583,'ноябрь 2025'!$D$2:$D$2583,$B143,'ноябрь 2025'!$J$2:$J$2583,AD$1)</f>
        <v>0</v>
      </c>
      <c r="AE143" s="183">
        <f>SUMIFS('ноябрь 2025'!$G$2:$G$2583,'ноябрь 2025'!$D$2:$D$2583,$B143,'ноябрь 2025'!$J$2:$J$2583,AE$1)</f>
        <v>0</v>
      </c>
      <c r="AF143" s="183">
        <f>SUMIFS('ноябрь 2025'!$G$2:$G$2583,'ноябрь 2025'!$D$2:$D$2583,$B143,'ноябрь 2025'!$J$2:$J$2583,AF$1)</f>
        <v>0</v>
      </c>
      <c r="AG143" s="183">
        <f>SUMIFS('ноябрь 2025'!$G$2:$G$2583,'ноябрь 2025'!$D$2:$D$2583,$B143,'ноябрь 2025'!$J$2:$J$2583,AG$1)</f>
        <v>0</v>
      </c>
      <c r="AH143" s="183">
        <f>SUMIFS('ноябрь 2025'!$G$2:$G$2583,'ноябрь 2025'!$D$2:$D$2583,$B143,'ноябрь 2025'!$J$2:$J$2583,AH$1)</f>
        <v>0</v>
      </c>
      <c r="AI143" s="20">
        <f t="shared" si="1"/>
        <v>12</v>
      </c>
    </row>
    <row r="144" spans="2:35" ht="15" customHeight="1" x14ac:dyDescent="0.25">
      <c r="B144" s="84" t="s">
        <v>278</v>
      </c>
      <c r="C144" s="86">
        <v>180</v>
      </c>
      <c r="D144" s="183">
        <f>SUMIFS('ноябрь 2025'!$G$2:$G$2583,'ноябрь 2025'!$D$2:$D$2583,$B144,'ноябрь 2025'!$J$2:$J$2583,D$1)</f>
        <v>0</v>
      </c>
      <c r="E144" s="183">
        <f>SUMIFS('ноябрь 2025'!$G$2:$G$2583,'ноябрь 2025'!$D$2:$D$2583,$B144,'ноябрь 2025'!$J$2:$J$2583,E$1)</f>
        <v>0</v>
      </c>
      <c r="F144" s="183">
        <f>SUMIFS('ноябрь 2025'!$G$2:$G$2583,'ноябрь 2025'!$D$2:$D$2583,$B144,'ноябрь 2025'!$J$2:$J$2583,F$1)</f>
        <v>0</v>
      </c>
      <c r="G144" s="183">
        <f>SUMIFS('ноябрь 2025'!$G$2:$G$2583,'ноябрь 2025'!$D$2:$D$2583,$B144,'ноябрь 2025'!$J$2:$J$2583,G$1)</f>
        <v>0</v>
      </c>
      <c r="H144" s="183">
        <f>SUMIFS('ноябрь 2025'!$G$2:$G$2583,'ноябрь 2025'!$D$2:$D$2583,$B144,'ноябрь 2025'!$J$2:$J$2583,H$1)</f>
        <v>0</v>
      </c>
      <c r="I144" s="183">
        <f>SUMIFS('ноябрь 2025'!$G$2:$G$2583,'ноябрь 2025'!$D$2:$D$2583,$B144,'ноябрь 2025'!$J$2:$J$2583,I$1)</f>
        <v>0</v>
      </c>
      <c r="J144" s="183">
        <f>SUMIFS('ноябрь 2025'!$G$2:$G$2583,'ноябрь 2025'!$D$2:$D$2583,$B144,'ноябрь 2025'!$J$2:$J$2583,J$1)</f>
        <v>0</v>
      </c>
      <c r="K144" s="183">
        <f>SUMIFS('ноябрь 2025'!$G$2:$G$2583,'ноябрь 2025'!$D$2:$D$2583,$B144,'ноябрь 2025'!$J$2:$J$2583,K$1)</f>
        <v>0</v>
      </c>
      <c r="L144" s="183">
        <f>SUMIFS('ноябрь 2025'!$G$2:$G$2583,'ноябрь 2025'!$D$2:$D$2583,$B144,'ноябрь 2025'!$J$2:$J$2583,L$1)</f>
        <v>0</v>
      </c>
      <c r="M144" s="183">
        <f>SUMIFS('ноябрь 2025'!$G$2:$G$2583,'ноябрь 2025'!$D$2:$D$2583,$B144,'ноябрь 2025'!$J$2:$J$2583,M$1)</f>
        <v>0</v>
      </c>
      <c r="N144" s="183">
        <f>SUMIFS('ноябрь 2025'!$G$2:$G$2583,'ноябрь 2025'!$D$2:$D$2583,$B144,'ноябрь 2025'!$J$2:$J$2583,N$1)</f>
        <v>0</v>
      </c>
      <c r="O144" s="183">
        <f>SUMIFS('ноябрь 2025'!$G$2:$G$2583,'ноябрь 2025'!$D$2:$D$2583,$B144,'ноябрь 2025'!$J$2:$J$2583,O$1)</f>
        <v>0</v>
      </c>
      <c r="P144" s="183">
        <f>SUMIFS('ноябрь 2025'!$G$2:$G$2583,'ноябрь 2025'!$D$2:$D$2583,$B144,'ноябрь 2025'!$J$2:$J$2583,P$1)</f>
        <v>0</v>
      </c>
      <c r="Q144" s="183">
        <f>SUMIFS('ноябрь 2025'!$G$2:$G$2583,'ноябрь 2025'!$D$2:$D$2583,$B144,'ноябрь 2025'!$J$2:$J$2583,Q$1)</f>
        <v>0</v>
      </c>
      <c r="R144" s="183">
        <f>SUMIFS('ноябрь 2025'!$G$2:$G$2583,'ноябрь 2025'!$D$2:$D$2583,$B144,'ноябрь 2025'!$J$2:$J$2583,R$1)</f>
        <v>0</v>
      </c>
      <c r="S144" s="183">
        <f>SUMIFS('ноябрь 2025'!$G$2:$G$2583,'ноябрь 2025'!$D$2:$D$2583,$B144,'ноябрь 2025'!$J$2:$J$2583,S$1)</f>
        <v>0</v>
      </c>
      <c r="T144" s="183">
        <f>SUMIFS('ноябрь 2025'!$G$2:$G$2583,'ноябрь 2025'!$D$2:$D$2583,$B144,'ноябрь 2025'!$J$2:$J$2583,T$1)</f>
        <v>0</v>
      </c>
      <c r="U144" s="183">
        <f>SUMIFS('ноябрь 2025'!$G$2:$G$2583,'ноябрь 2025'!$D$2:$D$2583,$B144,'ноябрь 2025'!$J$2:$J$2583,U$1)</f>
        <v>0</v>
      </c>
      <c r="V144" s="183">
        <f>SUMIFS('ноябрь 2025'!$G$2:$G$2583,'ноябрь 2025'!$D$2:$D$2583,$B144,'ноябрь 2025'!$J$2:$J$2583,V$1)</f>
        <v>0</v>
      </c>
      <c r="W144" s="183">
        <f>SUMIFS('ноябрь 2025'!$G$2:$G$2583,'ноябрь 2025'!$D$2:$D$2583,$B144,'ноябрь 2025'!$J$2:$J$2583,W$1)</f>
        <v>0</v>
      </c>
      <c r="X144" s="183">
        <f>SUMIFS('ноябрь 2025'!$G$2:$G$2583,'ноябрь 2025'!$D$2:$D$2583,$B144,'ноябрь 2025'!$J$2:$J$2583,X$1)</f>
        <v>0</v>
      </c>
      <c r="Y144" s="183">
        <f>SUMIFS('ноябрь 2025'!$G$2:$G$2583,'ноябрь 2025'!$D$2:$D$2583,$B144,'ноябрь 2025'!$J$2:$J$2583,Y$1)</f>
        <v>0</v>
      </c>
      <c r="Z144" s="183">
        <f>SUMIFS('ноябрь 2025'!$G$2:$G$2583,'ноябрь 2025'!$D$2:$D$2583,$B144,'ноябрь 2025'!$J$2:$J$2583,Z$1)</f>
        <v>0</v>
      </c>
      <c r="AA144" s="183">
        <f>SUMIFS('ноябрь 2025'!$G$2:$G$2583,'ноябрь 2025'!$D$2:$D$2583,$B144,'ноябрь 2025'!$J$2:$J$2583,AA$1)</f>
        <v>0</v>
      </c>
      <c r="AB144" s="183">
        <f>SUMIFS('ноябрь 2025'!$G$2:$G$2583,'ноябрь 2025'!$D$2:$D$2583,$B144,'ноябрь 2025'!$J$2:$J$2583,AB$1)</f>
        <v>0</v>
      </c>
      <c r="AC144" s="183">
        <f>SUMIFS('ноябрь 2025'!$G$2:$G$2583,'ноябрь 2025'!$D$2:$D$2583,$B144,'ноябрь 2025'!$J$2:$J$2583,AC$1)</f>
        <v>0</v>
      </c>
      <c r="AD144" s="183">
        <f>SUMIFS('ноябрь 2025'!$G$2:$G$2583,'ноябрь 2025'!$D$2:$D$2583,$B144,'ноябрь 2025'!$J$2:$J$2583,AD$1)</f>
        <v>0</v>
      </c>
      <c r="AE144" s="183">
        <f>SUMIFS('ноябрь 2025'!$G$2:$G$2583,'ноябрь 2025'!$D$2:$D$2583,$B144,'ноябрь 2025'!$J$2:$J$2583,AE$1)</f>
        <v>0</v>
      </c>
      <c r="AF144" s="183">
        <f>SUMIFS('ноябрь 2025'!$G$2:$G$2583,'ноябрь 2025'!$D$2:$D$2583,$B144,'ноябрь 2025'!$J$2:$J$2583,AF$1)</f>
        <v>0</v>
      </c>
      <c r="AG144" s="183">
        <f>SUMIFS('ноябрь 2025'!$G$2:$G$2583,'ноябрь 2025'!$D$2:$D$2583,$B144,'ноябрь 2025'!$J$2:$J$2583,AG$1)</f>
        <v>0</v>
      </c>
      <c r="AH144" s="183">
        <f>SUMIFS('ноябрь 2025'!$G$2:$G$2583,'ноябрь 2025'!$D$2:$D$2583,$B144,'ноябрь 2025'!$J$2:$J$2583,AH$1)</f>
        <v>0</v>
      </c>
      <c r="AI144" s="20">
        <f t="shared" si="1"/>
        <v>0</v>
      </c>
    </row>
    <row r="145" spans="2:35" ht="15" customHeight="1" x14ac:dyDescent="0.25">
      <c r="B145" s="84" t="s">
        <v>295</v>
      </c>
      <c r="C145" s="86">
        <v>190</v>
      </c>
      <c r="D145" s="183">
        <f>SUMIFS('ноябрь 2025'!$G$2:$G$2583,'ноябрь 2025'!$D$2:$D$2583,$B145,'ноябрь 2025'!$J$2:$J$2583,D$1)</f>
        <v>0</v>
      </c>
      <c r="E145" s="183">
        <f>SUMIFS('ноябрь 2025'!$G$2:$G$2583,'ноябрь 2025'!$D$2:$D$2583,$B145,'ноябрь 2025'!$J$2:$J$2583,E$1)</f>
        <v>0</v>
      </c>
      <c r="F145" s="183">
        <f>SUMIFS('ноябрь 2025'!$G$2:$G$2583,'ноябрь 2025'!$D$2:$D$2583,$B145,'ноябрь 2025'!$J$2:$J$2583,F$1)</f>
        <v>0</v>
      </c>
      <c r="G145" s="183">
        <f>SUMIFS('ноябрь 2025'!$G$2:$G$2583,'ноябрь 2025'!$D$2:$D$2583,$B145,'ноябрь 2025'!$J$2:$J$2583,G$1)</f>
        <v>0</v>
      </c>
      <c r="H145" s="183">
        <f>SUMIFS('ноябрь 2025'!$G$2:$G$2583,'ноябрь 2025'!$D$2:$D$2583,$B145,'ноябрь 2025'!$J$2:$J$2583,H$1)</f>
        <v>0</v>
      </c>
      <c r="I145" s="183">
        <f>SUMIFS('ноябрь 2025'!$G$2:$G$2583,'ноябрь 2025'!$D$2:$D$2583,$B145,'ноябрь 2025'!$J$2:$J$2583,I$1)</f>
        <v>0</v>
      </c>
      <c r="J145" s="183">
        <f>SUMIFS('ноябрь 2025'!$G$2:$G$2583,'ноябрь 2025'!$D$2:$D$2583,$B145,'ноябрь 2025'!$J$2:$J$2583,J$1)</f>
        <v>0</v>
      </c>
      <c r="K145" s="183">
        <f>SUMIFS('ноябрь 2025'!$G$2:$G$2583,'ноябрь 2025'!$D$2:$D$2583,$B145,'ноябрь 2025'!$J$2:$J$2583,K$1)</f>
        <v>0</v>
      </c>
      <c r="L145" s="183">
        <f>SUMIFS('ноябрь 2025'!$G$2:$G$2583,'ноябрь 2025'!$D$2:$D$2583,$B145,'ноябрь 2025'!$J$2:$J$2583,L$1)</f>
        <v>0</v>
      </c>
      <c r="M145" s="183">
        <f>SUMIFS('ноябрь 2025'!$G$2:$G$2583,'ноябрь 2025'!$D$2:$D$2583,$B145,'ноябрь 2025'!$J$2:$J$2583,M$1)</f>
        <v>0</v>
      </c>
      <c r="N145" s="183">
        <f>SUMIFS('ноябрь 2025'!$G$2:$G$2583,'ноябрь 2025'!$D$2:$D$2583,$B145,'ноябрь 2025'!$J$2:$J$2583,N$1)</f>
        <v>0</v>
      </c>
      <c r="O145" s="183">
        <f>SUMIFS('ноябрь 2025'!$G$2:$G$2583,'ноябрь 2025'!$D$2:$D$2583,$B145,'ноябрь 2025'!$J$2:$J$2583,O$1)</f>
        <v>0</v>
      </c>
      <c r="P145" s="183">
        <f>SUMIFS('ноябрь 2025'!$G$2:$G$2583,'ноябрь 2025'!$D$2:$D$2583,$B145,'ноябрь 2025'!$J$2:$J$2583,P$1)</f>
        <v>0</v>
      </c>
      <c r="Q145" s="183">
        <f>SUMIFS('ноябрь 2025'!$G$2:$G$2583,'ноябрь 2025'!$D$2:$D$2583,$B145,'ноябрь 2025'!$J$2:$J$2583,Q$1)</f>
        <v>0</v>
      </c>
      <c r="R145" s="183">
        <f>SUMIFS('ноябрь 2025'!$G$2:$G$2583,'ноябрь 2025'!$D$2:$D$2583,$B145,'ноябрь 2025'!$J$2:$J$2583,R$1)</f>
        <v>0</v>
      </c>
      <c r="S145" s="183">
        <f>SUMIFS('ноябрь 2025'!$G$2:$G$2583,'ноябрь 2025'!$D$2:$D$2583,$B145,'ноябрь 2025'!$J$2:$J$2583,S$1)</f>
        <v>0</v>
      </c>
      <c r="T145" s="183">
        <f>SUMIFS('ноябрь 2025'!$G$2:$G$2583,'ноябрь 2025'!$D$2:$D$2583,$B145,'ноябрь 2025'!$J$2:$J$2583,T$1)</f>
        <v>0</v>
      </c>
      <c r="U145" s="183">
        <f>SUMIFS('ноябрь 2025'!$G$2:$G$2583,'ноябрь 2025'!$D$2:$D$2583,$B145,'ноябрь 2025'!$J$2:$J$2583,U$1)</f>
        <v>0</v>
      </c>
      <c r="V145" s="183">
        <f>SUMIFS('ноябрь 2025'!$G$2:$G$2583,'ноябрь 2025'!$D$2:$D$2583,$B145,'ноябрь 2025'!$J$2:$J$2583,V$1)</f>
        <v>0</v>
      </c>
      <c r="W145" s="183">
        <f>SUMIFS('ноябрь 2025'!$G$2:$G$2583,'ноябрь 2025'!$D$2:$D$2583,$B145,'ноябрь 2025'!$J$2:$J$2583,W$1)</f>
        <v>0</v>
      </c>
      <c r="X145" s="183">
        <f>SUMIFS('ноябрь 2025'!$G$2:$G$2583,'ноябрь 2025'!$D$2:$D$2583,$B145,'ноябрь 2025'!$J$2:$J$2583,X$1)</f>
        <v>0</v>
      </c>
      <c r="Y145" s="183">
        <f>SUMIFS('ноябрь 2025'!$G$2:$G$2583,'ноябрь 2025'!$D$2:$D$2583,$B145,'ноябрь 2025'!$J$2:$J$2583,Y$1)</f>
        <v>0</v>
      </c>
      <c r="Z145" s="183">
        <f>SUMIFS('ноябрь 2025'!$G$2:$G$2583,'ноябрь 2025'!$D$2:$D$2583,$B145,'ноябрь 2025'!$J$2:$J$2583,Z$1)</f>
        <v>0</v>
      </c>
      <c r="AA145" s="183">
        <f>SUMIFS('ноябрь 2025'!$G$2:$G$2583,'ноябрь 2025'!$D$2:$D$2583,$B145,'ноябрь 2025'!$J$2:$J$2583,AA$1)</f>
        <v>0</v>
      </c>
      <c r="AB145" s="183">
        <f>SUMIFS('ноябрь 2025'!$G$2:$G$2583,'ноябрь 2025'!$D$2:$D$2583,$B145,'ноябрь 2025'!$J$2:$J$2583,AB$1)</f>
        <v>0</v>
      </c>
      <c r="AC145" s="183">
        <f>SUMIFS('ноябрь 2025'!$G$2:$G$2583,'ноябрь 2025'!$D$2:$D$2583,$B145,'ноябрь 2025'!$J$2:$J$2583,AC$1)</f>
        <v>0</v>
      </c>
      <c r="AD145" s="183">
        <f>SUMIFS('ноябрь 2025'!$G$2:$G$2583,'ноябрь 2025'!$D$2:$D$2583,$B145,'ноябрь 2025'!$J$2:$J$2583,AD$1)</f>
        <v>0</v>
      </c>
      <c r="AE145" s="183">
        <f>SUMIFS('ноябрь 2025'!$G$2:$G$2583,'ноябрь 2025'!$D$2:$D$2583,$B145,'ноябрь 2025'!$J$2:$J$2583,AE$1)</f>
        <v>0</v>
      </c>
      <c r="AF145" s="183">
        <f>SUMIFS('ноябрь 2025'!$G$2:$G$2583,'ноябрь 2025'!$D$2:$D$2583,$B145,'ноябрь 2025'!$J$2:$J$2583,AF$1)</f>
        <v>0</v>
      </c>
      <c r="AG145" s="183">
        <f>SUMIFS('ноябрь 2025'!$G$2:$G$2583,'ноябрь 2025'!$D$2:$D$2583,$B145,'ноябрь 2025'!$J$2:$J$2583,AG$1)</f>
        <v>0</v>
      </c>
      <c r="AH145" s="183">
        <f>SUMIFS('ноябрь 2025'!$G$2:$G$2583,'ноябрь 2025'!$D$2:$D$2583,$B145,'ноябрь 2025'!$J$2:$J$2583,AH$1)</f>
        <v>0</v>
      </c>
      <c r="AI145" s="20">
        <f t="shared" si="1"/>
        <v>0</v>
      </c>
    </row>
    <row r="146" spans="2:35" ht="15" customHeight="1" x14ac:dyDescent="0.25">
      <c r="B146" s="84" t="s">
        <v>269</v>
      </c>
      <c r="C146" s="86">
        <v>200</v>
      </c>
      <c r="D146" s="183">
        <f>SUMIFS('ноябрь 2025'!$G$2:$G$2583,'ноябрь 2025'!$D$2:$D$2583,$B146,'ноябрь 2025'!$J$2:$J$2583,D$1)</f>
        <v>0</v>
      </c>
      <c r="E146" s="183">
        <f>SUMIFS('ноябрь 2025'!$G$2:$G$2583,'ноябрь 2025'!$D$2:$D$2583,$B146,'ноябрь 2025'!$J$2:$J$2583,E$1)</f>
        <v>0</v>
      </c>
      <c r="F146" s="183">
        <f>SUMIFS('ноябрь 2025'!$G$2:$G$2583,'ноябрь 2025'!$D$2:$D$2583,$B146,'ноябрь 2025'!$J$2:$J$2583,F$1)</f>
        <v>0</v>
      </c>
      <c r="G146" s="183">
        <f>SUMIFS('ноябрь 2025'!$G$2:$G$2583,'ноябрь 2025'!$D$2:$D$2583,$B146,'ноябрь 2025'!$J$2:$J$2583,G$1)</f>
        <v>0</v>
      </c>
      <c r="H146" s="183">
        <f>SUMIFS('ноябрь 2025'!$G$2:$G$2583,'ноябрь 2025'!$D$2:$D$2583,$B146,'ноябрь 2025'!$J$2:$J$2583,H$1)</f>
        <v>0</v>
      </c>
      <c r="I146" s="183">
        <f>SUMIFS('ноябрь 2025'!$G$2:$G$2583,'ноябрь 2025'!$D$2:$D$2583,$B146,'ноябрь 2025'!$J$2:$J$2583,I$1)</f>
        <v>0</v>
      </c>
      <c r="J146" s="183">
        <f>SUMIFS('ноябрь 2025'!$G$2:$G$2583,'ноябрь 2025'!$D$2:$D$2583,$B146,'ноябрь 2025'!$J$2:$J$2583,J$1)</f>
        <v>0</v>
      </c>
      <c r="K146" s="183">
        <f>SUMIFS('ноябрь 2025'!$G$2:$G$2583,'ноябрь 2025'!$D$2:$D$2583,$B146,'ноябрь 2025'!$J$2:$J$2583,K$1)</f>
        <v>0</v>
      </c>
      <c r="L146" s="183">
        <f>SUMIFS('ноябрь 2025'!$G$2:$G$2583,'ноябрь 2025'!$D$2:$D$2583,$B146,'ноябрь 2025'!$J$2:$J$2583,L$1)</f>
        <v>0</v>
      </c>
      <c r="M146" s="183">
        <f>SUMIFS('ноябрь 2025'!$G$2:$G$2583,'ноябрь 2025'!$D$2:$D$2583,$B146,'ноябрь 2025'!$J$2:$J$2583,M$1)</f>
        <v>0</v>
      </c>
      <c r="N146" s="183">
        <f>SUMIFS('ноябрь 2025'!$G$2:$G$2583,'ноябрь 2025'!$D$2:$D$2583,$B146,'ноябрь 2025'!$J$2:$J$2583,N$1)</f>
        <v>0</v>
      </c>
      <c r="O146" s="183">
        <f>SUMIFS('ноябрь 2025'!$G$2:$G$2583,'ноябрь 2025'!$D$2:$D$2583,$B146,'ноябрь 2025'!$J$2:$J$2583,O$1)</f>
        <v>0</v>
      </c>
      <c r="P146" s="183">
        <f>SUMIFS('ноябрь 2025'!$G$2:$G$2583,'ноябрь 2025'!$D$2:$D$2583,$B146,'ноябрь 2025'!$J$2:$J$2583,P$1)</f>
        <v>0</v>
      </c>
      <c r="Q146" s="183">
        <f>SUMIFS('ноябрь 2025'!$G$2:$G$2583,'ноябрь 2025'!$D$2:$D$2583,$B146,'ноябрь 2025'!$J$2:$J$2583,Q$1)</f>
        <v>0</v>
      </c>
      <c r="R146" s="183">
        <f>SUMIFS('ноябрь 2025'!$G$2:$G$2583,'ноябрь 2025'!$D$2:$D$2583,$B146,'ноябрь 2025'!$J$2:$J$2583,R$1)</f>
        <v>0</v>
      </c>
      <c r="S146" s="183">
        <f>SUMIFS('ноябрь 2025'!$G$2:$G$2583,'ноябрь 2025'!$D$2:$D$2583,$B146,'ноябрь 2025'!$J$2:$J$2583,S$1)</f>
        <v>0</v>
      </c>
      <c r="T146" s="183">
        <f>SUMIFS('ноябрь 2025'!$G$2:$G$2583,'ноябрь 2025'!$D$2:$D$2583,$B146,'ноябрь 2025'!$J$2:$J$2583,T$1)</f>
        <v>0</v>
      </c>
      <c r="U146" s="183">
        <f>SUMIFS('ноябрь 2025'!$G$2:$G$2583,'ноябрь 2025'!$D$2:$D$2583,$B146,'ноябрь 2025'!$J$2:$J$2583,U$1)</f>
        <v>0</v>
      </c>
      <c r="V146" s="183">
        <f>SUMIFS('ноябрь 2025'!$G$2:$G$2583,'ноябрь 2025'!$D$2:$D$2583,$B146,'ноябрь 2025'!$J$2:$J$2583,V$1)</f>
        <v>0</v>
      </c>
      <c r="W146" s="183">
        <f>SUMIFS('ноябрь 2025'!$G$2:$G$2583,'ноябрь 2025'!$D$2:$D$2583,$B146,'ноябрь 2025'!$J$2:$J$2583,W$1)</f>
        <v>0</v>
      </c>
      <c r="X146" s="183">
        <f>SUMIFS('ноябрь 2025'!$G$2:$G$2583,'ноябрь 2025'!$D$2:$D$2583,$B146,'ноябрь 2025'!$J$2:$J$2583,X$1)</f>
        <v>0</v>
      </c>
      <c r="Y146" s="183">
        <f>SUMIFS('ноябрь 2025'!$G$2:$G$2583,'ноябрь 2025'!$D$2:$D$2583,$B146,'ноябрь 2025'!$J$2:$J$2583,Y$1)</f>
        <v>0</v>
      </c>
      <c r="Z146" s="183">
        <f>SUMIFS('ноябрь 2025'!$G$2:$G$2583,'ноябрь 2025'!$D$2:$D$2583,$B146,'ноябрь 2025'!$J$2:$J$2583,Z$1)</f>
        <v>0</v>
      </c>
      <c r="AA146" s="183">
        <f>SUMIFS('ноябрь 2025'!$G$2:$G$2583,'ноябрь 2025'!$D$2:$D$2583,$B146,'ноябрь 2025'!$J$2:$J$2583,AA$1)</f>
        <v>0</v>
      </c>
      <c r="AB146" s="183">
        <f>SUMIFS('ноябрь 2025'!$G$2:$G$2583,'ноябрь 2025'!$D$2:$D$2583,$B146,'ноябрь 2025'!$J$2:$J$2583,AB$1)</f>
        <v>0</v>
      </c>
      <c r="AC146" s="183">
        <f>SUMIFS('ноябрь 2025'!$G$2:$G$2583,'ноябрь 2025'!$D$2:$D$2583,$B146,'ноябрь 2025'!$J$2:$J$2583,AC$1)</f>
        <v>0</v>
      </c>
      <c r="AD146" s="183">
        <f>SUMIFS('ноябрь 2025'!$G$2:$G$2583,'ноябрь 2025'!$D$2:$D$2583,$B146,'ноябрь 2025'!$J$2:$J$2583,AD$1)</f>
        <v>0</v>
      </c>
      <c r="AE146" s="183">
        <f>SUMIFS('ноябрь 2025'!$G$2:$G$2583,'ноябрь 2025'!$D$2:$D$2583,$B146,'ноябрь 2025'!$J$2:$J$2583,AE$1)</f>
        <v>0</v>
      </c>
      <c r="AF146" s="183">
        <f>SUMIFS('ноябрь 2025'!$G$2:$G$2583,'ноябрь 2025'!$D$2:$D$2583,$B146,'ноябрь 2025'!$J$2:$J$2583,AF$1)</f>
        <v>0</v>
      </c>
      <c r="AG146" s="183">
        <f>SUMIFS('ноябрь 2025'!$G$2:$G$2583,'ноябрь 2025'!$D$2:$D$2583,$B146,'ноябрь 2025'!$J$2:$J$2583,AG$1)</f>
        <v>0</v>
      </c>
      <c r="AH146" s="183">
        <f>SUMIFS('ноябрь 2025'!$G$2:$G$2583,'ноябрь 2025'!$D$2:$D$2583,$B146,'ноябрь 2025'!$J$2:$J$2583,AH$1)</f>
        <v>0</v>
      </c>
      <c r="AI146" s="20">
        <f t="shared" si="1"/>
        <v>0</v>
      </c>
    </row>
    <row r="147" spans="2:35" ht="15" customHeight="1" x14ac:dyDescent="0.25">
      <c r="B147" s="84" t="s">
        <v>279</v>
      </c>
      <c r="C147" s="86">
        <v>200</v>
      </c>
      <c r="D147" s="183">
        <f>SUMIFS('ноябрь 2025'!$G$2:$G$2583,'ноябрь 2025'!$D$2:$D$2583,$B147,'ноябрь 2025'!$J$2:$J$2583,D$1)</f>
        <v>0</v>
      </c>
      <c r="E147" s="183">
        <f>SUMIFS('ноябрь 2025'!$G$2:$G$2583,'ноябрь 2025'!$D$2:$D$2583,$B147,'ноябрь 2025'!$J$2:$J$2583,E$1)</f>
        <v>0</v>
      </c>
      <c r="F147" s="183">
        <f>SUMIFS('ноябрь 2025'!$G$2:$G$2583,'ноябрь 2025'!$D$2:$D$2583,$B147,'ноябрь 2025'!$J$2:$J$2583,F$1)</f>
        <v>0</v>
      </c>
      <c r="G147" s="183">
        <f>SUMIFS('ноябрь 2025'!$G$2:$G$2583,'ноябрь 2025'!$D$2:$D$2583,$B147,'ноябрь 2025'!$J$2:$J$2583,G$1)</f>
        <v>0</v>
      </c>
      <c r="H147" s="183">
        <f>SUMIFS('ноябрь 2025'!$G$2:$G$2583,'ноябрь 2025'!$D$2:$D$2583,$B147,'ноябрь 2025'!$J$2:$J$2583,H$1)</f>
        <v>0</v>
      </c>
      <c r="I147" s="183">
        <f>SUMIFS('ноябрь 2025'!$G$2:$G$2583,'ноябрь 2025'!$D$2:$D$2583,$B147,'ноябрь 2025'!$J$2:$J$2583,I$1)</f>
        <v>0</v>
      </c>
      <c r="J147" s="183">
        <f>SUMIFS('ноябрь 2025'!$G$2:$G$2583,'ноябрь 2025'!$D$2:$D$2583,$B147,'ноябрь 2025'!$J$2:$J$2583,J$1)</f>
        <v>0</v>
      </c>
      <c r="K147" s="183">
        <f>SUMIFS('ноябрь 2025'!$G$2:$G$2583,'ноябрь 2025'!$D$2:$D$2583,$B147,'ноябрь 2025'!$J$2:$J$2583,K$1)</f>
        <v>0</v>
      </c>
      <c r="L147" s="183">
        <f>SUMIFS('ноябрь 2025'!$G$2:$G$2583,'ноябрь 2025'!$D$2:$D$2583,$B147,'ноябрь 2025'!$J$2:$J$2583,L$1)</f>
        <v>0</v>
      </c>
      <c r="M147" s="183">
        <f>SUMIFS('ноябрь 2025'!$G$2:$G$2583,'ноябрь 2025'!$D$2:$D$2583,$B147,'ноябрь 2025'!$J$2:$J$2583,M$1)</f>
        <v>0</v>
      </c>
      <c r="N147" s="183">
        <f>SUMIFS('ноябрь 2025'!$G$2:$G$2583,'ноябрь 2025'!$D$2:$D$2583,$B147,'ноябрь 2025'!$J$2:$J$2583,N$1)</f>
        <v>0</v>
      </c>
      <c r="O147" s="183">
        <f>SUMIFS('ноябрь 2025'!$G$2:$G$2583,'ноябрь 2025'!$D$2:$D$2583,$B147,'ноябрь 2025'!$J$2:$J$2583,O$1)</f>
        <v>0</v>
      </c>
      <c r="P147" s="183">
        <f>SUMIFS('ноябрь 2025'!$G$2:$G$2583,'ноябрь 2025'!$D$2:$D$2583,$B147,'ноябрь 2025'!$J$2:$J$2583,P$1)</f>
        <v>0</v>
      </c>
      <c r="Q147" s="183">
        <f>SUMIFS('ноябрь 2025'!$G$2:$G$2583,'ноябрь 2025'!$D$2:$D$2583,$B147,'ноябрь 2025'!$J$2:$J$2583,Q$1)</f>
        <v>0</v>
      </c>
      <c r="R147" s="183">
        <f>SUMIFS('ноябрь 2025'!$G$2:$G$2583,'ноябрь 2025'!$D$2:$D$2583,$B147,'ноябрь 2025'!$J$2:$J$2583,R$1)</f>
        <v>0</v>
      </c>
      <c r="S147" s="183">
        <f>SUMIFS('ноябрь 2025'!$G$2:$G$2583,'ноябрь 2025'!$D$2:$D$2583,$B147,'ноябрь 2025'!$J$2:$J$2583,S$1)</f>
        <v>0</v>
      </c>
      <c r="T147" s="183">
        <f>SUMIFS('ноябрь 2025'!$G$2:$G$2583,'ноябрь 2025'!$D$2:$D$2583,$B147,'ноябрь 2025'!$J$2:$J$2583,T$1)</f>
        <v>0</v>
      </c>
      <c r="U147" s="183">
        <f>SUMIFS('ноябрь 2025'!$G$2:$G$2583,'ноябрь 2025'!$D$2:$D$2583,$B147,'ноябрь 2025'!$J$2:$J$2583,U$1)</f>
        <v>0</v>
      </c>
      <c r="V147" s="183">
        <f>SUMIFS('ноябрь 2025'!$G$2:$G$2583,'ноябрь 2025'!$D$2:$D$2583,$B147,'ноябрь 2025'!$J$2:$J$2583,V$1)</f>
        <v>0</v>
      </c>
      <c r="W147" s="183">
        <f>SUMIFS('ноябрь 2025'!$G$2:$G$2583,'ноябрь 2025'!$D$2:$D$2583,$B147,'ноябрь 2025'!$J$2:$J$2583,W$1)</f>
        <v>0</v>
      </c>
      <c r="X147" s="183">
        <f>SUMIFS('ноябрь 2025'!$G$2:$G$2583,'ноябрь 2025'!$D$2:$D$2583,$B147,'ноябрь 2025'!$J$2:$J$2583,X$1)</f>
        <v>0</v>
      </c>
      <c r="Y147" s="183">
        <f>SUMIFS('ноябрь 2025'!$G$2:$G$2583,'ноябрь 2025'!$D$2:$D$2583,$B147,'ноябрь 2025'!$J$2:$J$2583,Y$1)</f>
        <v>0</v>
      </c>
      <c r="Z147" s="183">
        <f>SUMIFS('ноябрь 2025'!$G$2:$G$2583,'ноябрь 2025'!$D$2:$D$2583,$B147,'ноябрь 2025'!$J$2:$J$2583,Z$1)</f>
        <v>0</v>
      </c>
      <c r="AA147" s="183">
        <f>SUMIFS('ноябрь 2025'!$G$2:$G$2583,'ноябрь 2025'!$D$2:$D$2583,$B147,'ноябрь 2025'!$J$2:$J$2583,AA$1)</f>
        <v>0</v>
      </c>
      <c r="AB147" s="183">
        <f>SUMIFS('ноябрь 2025'!$G$2:$G$2583,'ноябрь 2025'!$D$2:$D$2583,$B147,'ноябрь 2025'!$J$2:$J$2583,AB$1)</f>
        <v>0</v>
      </c>
      <c r="AC147" s="183">
        <f>SUMIFS('ноябрь 2025'!$G$2:$G$2583,'ноябрь 2025'!$D$2:$D$2583,$B147,'ноябрь 2025'!$J$2:$J$2583,AC$1)</f>
        <v>0</v>
      </c>
      <c r="AD147" s="183">
        <f>SUMIFS('ноябрь 2025'!$G$2:$G$2583,'ноябрь 2025'!$D$2:$D$2583,$B147,'ноябрь 2025'!$J$2:$J$2583,AD$1)</f>
        <v>0</v>
      </c>
      <c r="AE147" s="183">
        <f>SUMIFS('ноябрь 2025'!$G$2:$G$2583,'ноябрь 2025'!$D$2:$D$2583,$B147,'ноябрь 2025'!$J$2:$J$2583,AE$1)</f>
        <v>0</v>
      </c>
      <c r="AF147" s="183">
        <f>SUMIFS('ноябрь 2025'!$G$2:$G$2583,'ноябрь 2025'!$D$2:$D$2583,$B147,'ноябрь 2025'!$J$2:$J$2583,AF$1)</f>
        <v>0</v>
      </c>
      <c r="AG147" s="183">
        <f>SUMIFS('ноябрь 2025'!$G$2:$G$2583,'ноябрь 2025'!$D$2:$D$2583,$B147,'ноябрь 2025'!$J$2:$J$2583,AG$1)</f>
        <v>0</v>
      </c>
      <c r="AH147" s="183">
        <f>SUMIFS('ноябрь 2025'!$G$2:$G$2583,'ноябрь 2025'!$D$2:$D$2583,$B147,'ноябрь 2025'!$J$2:$J$2583,AH$1)</f>
        <v>0</v>
      </c>
      <c r="AI147" s="20">
        <f t="shared" si="1"/>
        <v>0</v>
      </c>
    </row>
    <row r="148" spans="2:35" ht="15" customHeight="1" x14ac:dyDescent="0.25">
      <c r="B148" s="84" t="s">
        <v>197</v>
      </c>
      <c r="C148" s="86">
        <v>180</v>
      </c>
      <c r="D148" s="183">
        <f>SUMIFS('ноябрь 2025'!$G$2:$G$2583,'ноябрь 2025'!$D$2:$D$2583,$B148,'ноябрь 2025'!$J$2:$J$2583,D$1)</f>
        <v>0</v>
      </c>
      <c r="E148" s="183">
        <f>SUMIFS('ноябрь 2025'!$G$2:$G$2583,'ноябрь 2025'!$D$2:$D$2583,$B148,'ноябрь 2025'!$J$2:$J$2583,E$1)</f>
        <v>0</v>
      </c>
      <c r="F148" s="183">
        <f>SUMIFS('ноябрь 2025'!$G$2:$G$2583,'ноябрь 2025'!$D$2:$D$2583,$B148,'ноябрь 2025'!$J$2:$J$2583,F$1)</f>
        <v>0</v>
      </c>
      <c r="G148" s="183">
        <f>SUMIFS('ноябрь 2025'!$G$2:$G$2583,'ноябрь 2025'!$D$2:$D$2583,$B148,'ноябрь 2025'!$J$2:$J$2583,G$1)</f>
        <v>0</v>
      </c>
      <c r="H148" s="183">
        <f>SUMIFS('ноябрь 2025'!$G$2:$G$2583,'ноябрь 2025'!$D$2:$D$2583,$B148,'ноябрь 2025'!$J$2:$J$2583,H$1)</f>
        <v>0</v>
      </c>
      <c r="I148" s="183">
        <f>SUMIFS('ноябрь 2025'!$G$2:$G$2583,'ноябрь 2025'!$D$2:$D$2583,$B148,'ноябрь 2025'!$J$2:$J$2583,I$1)</f>
        <v>0</v>
      </c>
      <c r="J148" s="183">
        <f>SUMIFS('ноябрь 2025'!$G$2:$G$2583,'ноябрь 2025'!$D$2:$D$2583,$B148,'ноябрь 2025'!$J$2:$J$2583,J$1)</f>
        <v>0</v>
      </c>
      <c r="K148" s="183">
        <f>SUMIFS('ноябрь 2025'!$G$2:$G$2583,'ноябрь 2025'!$D$2:$D$2583,$B148,'ноябрь 2025'!$J$2:$J$2583,K$1)</f>
        <v>0</v>
      </c>
      <c r="L148" s="183">
        <f>SUMIFS('ноябрь 2025'!$G$2:$G$2583,'ноябрь 2025'!$D$2:$D$2583,$B148,'ноябрь 2025'!$J$2:$J$2583,L$1)</f>
        <v>0</v>
      </c>
      <c r="M148" s="183">
        <f>SUMIFS('ноябрь 2025'!$G$2:$G$2583,'ноябрь 2025'!$D$2:$D$2583,$B148,'ноябрь 2025'!$J$2:$J$2583,M$1)</f>
        <v>0</v>
      </c>
      <c r="N148" s="183">
        <f>SUMIFS('ноябрь 2025'!$G$2:$G$2583,'ноябрь 2025'!$D$2:$D$2583,$B148,'ноябрь 2025'!$J$2:$J$2583,N$1)</f>
        <v>0</v>
      </c>
      <c r="O148" s="183">
        <f>SUMIFS('ноябрь 2025'!$G$2:$G$2583,'ноябрь 2025'!$D$2:$D$2583,$B148,'ноябрь 2025'!$J$2:$J$2583,O$1)</f>
        <v>0</v>
      </c>
      <c r="P148" s="183">
        <f>SUMIFS('ноябрь 2025'!$G$2:$G$2583,'ноябрь 2025'!$D$2:$D$2583,$B148,'ноябрь 2025'!$J$2:$J$2583,P$1)</f>
        <v>0</v>
      </c>
      <c r="Q148" s="183">
        <f>SUMIFS('ноябрь 2025'!$G$2:$G$2583,'ноябрь 2025'!$D$2:$D$2583,$B148,'ноябрь 2025'!$J$2:$J$2583,Q$1)</f>
        <v>0</v>
      </c>
      <c r="R148" s="183">
        <f>SUMIFS('ноябрь 2025'!$G$2:$G$2583,'ноябрь 2025'!$D$2:$D$2583,$B148,'ноябрь 2025'!$J$2:$J$2583,R$1)</f>
        <v>0</v>
      </c>
      <c r="S148" s="183">
        <f>SUMIFS('ноябрь 2025'!$G$2:$G$2583,'ноябрь 2025'!$D$2:$D$2583,$B148,'ноябрь 2025'!$J$2:$J$2583,S$1)</f>
        <v>0</v>
      </c>
      <c r="T148" s="183">
        <f>SUMIFS('ноябрь 2025'!$G$2:$G$2583,'ноябрь 2025'!$D$2:$D$2583,$B148,'ноябрь 2025'!$J$2:$J$2583,T$1)</f>
        <v>0</v>
      </c>
      <c r="U148" s="183">
        <f>SUMIFS('ноябрь 2025'!$G$2:$G$2583,'ноябрь 2025'!$D$2:$D$2583,$B148,'ноябрь 2025'!$J$2:$J$2583,U$1)</f>
        <v>0</v>
      </c>
      <c r="V148" s="183">
        <f>SUMIFS('ноябрь 2025'!$G$2:$G$2583,'ноябрь 2025'!$D$2:$D$2583,$B148,'ноябрь 2025'!$J$2:$J$2583,V$1)</f>
        <v>0</v>
      </c>
      <c r="W148" s="183">
        <f>SUMIFS('ноябрь 2025'!$G$2:$G$2583,'ноябрь 2025'!$D$2:$D$2583,$B148,'ноябрь 2025'!$J$2:$J$2583,W$1)</f>
        <v>0</v>
      </c>
      <c r="X148" s="183">
        <f>SUMIFS('ноябрь 2025'!$G$2:$G$2583,'ноябрь 2025'!$D$2:$D$2583,$B148,'ноябрь 2025'!$J$2:$J$2583,X$1)</f>
        <v>0</v>
      </c>
      <c r="Y148" s="183">
        <f>SUMIFS('ноябрь 2025'!$G$2:$G$2583,'ноябрь 2025'!$D$2:$D$2583,$B148,'ноябрь 2025'!$J$2:$J$2583,Y$1)</f>
        <v>0</v>
      </c>
      <c r="Z148" s="183">
        <f>SUMIFS('ноябрь 2025'!$G$2:$G$2583,'ноябрь 2025'!$D$2:$D$2583,$B148,'ноябрь 2025'!$J$2:$J$2583,Z$1)</f>
        <v>0</v>
      </c>
      <c r="AA148" s="183">
        <f>SUMIFS('ноябрь 2025'!$G$2:$G$2583,'ноябрь 2025'!$D$2:$D$2583,$B148,'ноябрь 2025'!$J$2:$J$2583,AA$1)</f>
        <v>0</v>
      </c>
      <c r="AB148" s="183">
        <f>SUMIFS('ноябрь 2025'!$G$2:$G$2583,'ноябрь 2025'!$D$2:$D$2583,$B148,'ноябрь 2025'!$J$2:$J$2583,AB$1)</f>
        <v>0</v>
      </c>
      <c r="AC148" s="183">
        <f>SUMIFS('ноябрь 2025'!$G$2:$G$2583,'ноябрь 2025'!$D$2:$D$2583,$B148,'ноябрь 2025'!$J$2:$J$2583,AC$1)</f>
        <v>0</v>
      </c>
      <c r="AD148" s="183">
        <f>SUMIFS('ноябрь 2025'!$G$2:$G$2583,'ноябрь 2025'!$D$2:$D$2583,$B148,'ноябрь 2025'!$J$2:$J$2583,AD$1)</f>
        <v>0</v>
      </c>
      <c r="AE148" s="183">
        <f>SUMIFS('ноябрь 2025'!$G$2:$G$2583,'ноябрь 2025'!$D$2:$D$2583,$B148,'ноябрь 2025'!$J$2:$J$2583,AE$1)</f>
        <v>0</v>
      </c>
      <c r="AF148" s="183">
        <f>SUMIFS('ноябрь 2025'!$G$2:$G$2583,'ноябрь 2025'!$D$2:$D$2583,$B148,'ноябрь 2025'!$J$2:$J$2583,AF$1)</f>
        <v>0</v>
      </c>
      <c r="AG148" s="183">
        <f>SUMIFS('ноябрь 2025'!$G$2:$G$2583,'ноябрь 2025'!$D$2:$D$2583,$B148,'ноябрь 2025'!$J$2:$J$2583,AG$1)</f>
        <v>0</v>
      </c>
      <c r="AH148" s="183">
        <f>SUMIFS('ноябрь 2025'!$G$2:$G$2583,'ноябрь 2025'!$D$2:$D$2583,$B148,'ноябрь 2025'!$J$2:$J$2583,AH$1)</f>
        <v>0</v>
      </c>
      <c r="AI148" s="20">
        <f t="shared" si="1"/>
        <v>0</v>
      </c>
    </row>
    <row r="149" spans="2:35" ht="15" customHeight="1" x14ac:dyDescent="0.25">
      <c r="B149" s="88" t="s">
        <v>293</v>
      </c>
      <c r="C149" s="86">
        <v>180</v>
      </c>
      <c r="D149" s="183">
        <f>SUMIFS('ноябрь 2025'!$G$2:$G$2583,'ноябрь 2025'!$D$2:$D$2583,$B149,'ноябрь 2025'!$J$2:$J$2583,D$1)</f>
        <v>0</v>
      </c>
      <c r="E149" s="183">
        <f>SUMIFS('ноябрь 2025'!$G$2:$G$2583,'ноябрь 2025'!$D$2:$D$2583,$B149,'ноябрь 2025'!$J$2:$J$2583,E$1)</f>
        <v>0</v>
      </c>
      <c r="F149" s="183">
        <f>SUMIFS('ноябрь 2025'!$G$2:$G$2583,'ноябрь 2025'!$D$2:$D$2583,$B149,'ноябрь 2025'!$J$2:$J$2583,F$1)</f>
        <v>0</v>
      </c>
      <c r="G149" s="183">
        <f>SUMIFS('ноябрь 2025'!$G$2:$G$2583,'ноябрь 2025'!$D$2:$D$2583,$B149,'ноябрь 2025'!$J$2:$J$2583,G$1)</f>
        <v>0</v>
      </c>
      <c r="H149" s="183">
        <f>SUMIFS('ноябрь 2025'!$G$2:$G$2583,'ноябрь 2025'!$D$2:$D$2583,$B149,'ноябрь 2025'!$J$2:$J$2583,H$1)</f>
        <v>0</v>
      </c>
      <c r="I149" s="183">
        <f>SUMIFS('ноябрь 2025'!$G$2:$G$2583,'ноябрь 2025'!$D$2:$D$2583,$B149,'ноябрь 2025'!$J$2:$J$2583,I$1)</f>
        <v>0</v>
      </c>
      <c r="J149" s="183">
        <f>SUMIFS('ноябрь 2025'!$G$2:$G$2583,'ноябрь 2025'!$D$2:$D$2583,$B149,'ноябрь 2025'!$J$2:$J$2583,J$1)</f>
        <v>0</v>
      </c>
      <c r="K149" s="183">
        <f>SUMIFS('ноябрь 2025'!$G$2:$G$2583,'ноябрь 2025'!$D$2:$D$2583,$B149,'ноябрь 2025'!$J$2:$J$2583,K$1)</f>
        <v>0</v>
      </c>
      <c r="L149" s="183">
        <f>SUMIFS('ноябрь 2025'!$G$2:$G$2583,'ноябрь 2025'!$D$2:$D$2583,$B149,'ноябрь 2025'!$J$2:$J$2583,L$1)</f>
        <v>0</v>
      </c>
      <c r="M149" s="183">
        <f>SUMIFS('ноябрь 2025'!$G$2:$G$2583,'ноябрь 2025'!$D$2:$D$2583,$B149,'ноябрь 2025'!$J$2:$J$2583,M$1)</f>
        <v>0</v>
      </c>
      <c r="N149" s="183">
        <f>SUMIFS('ноябрь 2025'!$G$2:$G$2583,'ноябрь 2025'!$D$2:$D$2583,$B149,'ноябрь 2025'!$J$2:$J$2583,N$1)</f>
        <v>0</v>
      </c>
      <c r="O149" s="183">
        <f>SUMIFS('ноябрь 2025'!$G$2:$G$2583,'ноябрь 2025'!$D$2:$D$2583,$B149,'ноябрь 2025'!$J$2:$J$2583,O$1)</f>
        <v>0</v>
      </c>
      <c r="P149" s="183">
        <f>SUMIFS('ноябрь 2025'!$G$2:$G$2583,'ноябрь 2025'!$D$2:$D$2583,$B149,'ноябрь 2025'!$J$2:$J$2583,P$1)</f>
        <v>0</v>
      </c>
      <c r="Q149" s="183">
        <f>SUMIFS('ноябрь 2025'!$G$2:$G$2583,'ноябрь 2025'!$D$2:$D$2583,$B149,'ноябрь 2025'!$J$2:$J$2583,Q$1)</f>
        <v>0</v>
      </c>
      <c r="R149" s="183">
        <f>SUMIFS('ноябрь 2025'!$G$2:$G$2583,'ноябрь 2025'!$D$2:$D$2583,$B149,'ноябрь 2025'!$J$2:$J$2583,R$1)</f>
        <v>0</v>
      </c>
      <c r="S149" s="183">
        <f>SUMIFS('ноябрь 2025'!$G$2:$G$2583,'ноябрь 2025'!$D$2:$D$2583,$B149,'ноябрь 2025'!$J$2:$J$2583,S$1)</f>
        <v>0</v>
      </c>
      <c r="T149" s="183">
        <f>SUMIFS('ноябрь 2025'!$G$2:$G$2583,'ноябрь 2025'!$D$2:$D$2583,$B149,'ноябрь 2025'!$J$2:$J$2583,T$1)</f>
        <v>0</v>
      </c>
      <c r="U149" s="183">
        <f>SUMIFS('ноябрь 2025'!$G$2:$G$2583,'ноябрь 2025'!$D$2:$D$2583,$B149,'ноябрь 2025'!$J$2:$J$2583,U$1)</f>
        <v>0</v>
      </c>
      <c r="V149" s="183">
        <f>SUMIFS('ноябрь 2025'!$G$2:$G$2583,'ноябрь 2025'!$D$2:$D$2583,$B149,'ноябрь 2025'!$J$2:$J$2583,V$1)</f>
        <v>0</v>
      </c>
      <c r="W149" s="183">
        <f>SUMIFS('ноябрь 2025'!$G$2:$G$2583,'ноябрь 2025'!$D$2:$D$2583,$B149,'ноябрь 2025'!$J$2:$J$2583,W$1)</f>
        <v>0</v>
      </c>
      <c r="X149" s="183">
        <f>SUMIFS('ноябрь 2025'!$G$2:$G$2583,'ноябрь 2025'!$D$2:$D$2583,$B149,'ноябрь 2025'!$J$2:$J$2583,X$1)</f>
        <v>0</v>
      </c>
      <c r="Y149" s="183">
        <f>SUMIFS('ноябрь 2025'!$G$2:$G$2583,'ноябрь 2025'!$D$2:$D$2583,$B149,'ноябрь 2025'!$J$2:$J$2583,Y$1)</f>
        <v>0</v>
      </c>
      <c r="Z149" s="183">
        <f>SUMIFS('ноябрь 2025'!$G$2:$G$2583,'ноябрь 2025'!$D$2:$D$2583,$B149,'ноябрь 2025'!$J$2:$J$2583,Z$1)</f>
        <v>0</v>
      </c>
      <c r="AA149" s="183">
        <f>SUMIFS('ноябрь 2025'!$G$2:$G$2583,'ноябрь 2025'!$D$2:$D$2583,$B149,'ноябрь 2025'!$J$2:$J$2583,AA$1)</f>
        <v>0</v>
      </c>
      <c r="AB149" s="183">
        <f>SUMIFS('ноябрь 2025'!$G$2:$G$2583,'ноябрь 2025'!$D$2:$D$2583,$B149,'ноябрь 2025'!$J$2:$J$2583,AB$1)</f>
        <v>0</v>
      </c>
      <c r="AC149" s="183">
        <f>SUMIFS('ноябрь 2025'!$G$2:$G$2583,'ноябрь 2025'!$D$2:$D$2583,$B149,'ноябрь 2025'!$J$2:$J$2583,AC$1)</f>
        <v>0</v>
      </c>
      <c r="AD149" s="183">
        <f>SUMIFS('ноябрь 2025'!$G$2:$G$2583,'ноябрь 2025'!$D$2:$D$2583,$B149,'ноябрь 2025'!$J$2:$J$2583,AD$1)</f>
        <v>0</v>
      </c>
      <c r="AE149" s="183">
        <f>SUMIFS('ноябрь 2025'!$G$2:$G$2583,'ноябрь 2025'!$D$2:$D$2583,$B149,'ноябрь 2025'!$J$2:$J$2583,AE$1)</f>
        <v>0</v>
      </c>
      <c r="AF149" s="183">
        <f>SUMIFS('ноябрь 2025'!$G$2:$G$2583,'ноябрь 2025'!$D$2:$D$2583,$B149,'ноябрь 2025'!$J$2:$J$2583,AF$1)</f>
        <v>0</v>
      </c>
      <c r="AG149" s="183">
        <f>SUMIFS('ноябрь 2025'!$G$2:$G$2583,'ноябрь 2025'!$D$2:$D$2583,$B149,'ноябрь 2025'!$J$2:$J$2583,AG$1)</f>
        <v>0</v>
      </c>
      <c r="AH149" s="183">
        <f>SUMIFS('ноябрь 2025'!$G$2:$G$2583,'ноябрь 2025'!$D$2:$D$2583,$B149,'ноябрь 2025'!$J$2:$J$2583,AH$1)</f>
        <v>0</v>
      </c>
      <c r="AI149" s="20">
        <f t="shared" si="1"/>
        <v>0</v>
      </c>
    </row>
    <row r="150" spans="2:35" ht="15" customHeight="1" x14ac:dyDescent="0.25">
      <c r="B150" s="88" t="s">
        <v>181</v>
      </c>
      <c r="C150" s="86">
        <v>190</v>
      </c>
      <c r="D150" s="183">
        <f>SUMIFS('ноябрь 2025'!$G$2:$G$2583,'ноябрь 2025'!$D$2:$D$2583,$B150,'ноябрь 2025'!$J$2:$J$2583,D$1)</f>
        <v>0</v>
      </c>
      <c r="E150" s="183">
        <f>SUMIFS('ноябрь 2025'!$G$2:$G$2583,'ноябрь 2025'!$D$2:$D$2583,$B150,'ноябрь 2025'!$J$2:$J$2583,E$1)</f>
        <v>0</v>
      </c>
      <c r="F150" s="183">
        <f>SUMIFS('ноябрь 2025'!$G$2:$G$2583,'ноябрь 2025'!$D$2:$D$2583,$B150,'ноябрь 2025'!$J$2:$J$2583,F$1)</f>
        <v>0</v>
      </c>
      <c r="G150" s="183">
        <f>SUMIFS('ноябрь 2025'!$G$2:$G$2583,'ноябрь 2025'!$D$2:$D$2583,$B150,'ноябрь 2025'!$J$2:$J$2583,G$1)</f>
        <v>0</v>
      </c>
      <c r="H150" s="183">
        <f>SUMIFS('ноябрь 2025'!$G$2:$G$2583,'ноябрь 2025'!$D$2:$D$2583,$B150,'ноябрь 2025'!$J$2:$J$2583,H$1)</f>
        <v>0</v>
      </c>
      <c r="I150" s="183">
        <f>SUMIFS('ноябрь 2025'!$G$2:$G$2583,'ноябрь 2025'!$D$2:$D$2583,$B150,'ноябрь 2025'!$J$2:$J$2583,I$1)</f>
        <v>0</v>
      </c>
      <c r="J150" s="183">
        <f>SUMIFS('ноябрь 2025'!$G$2:$G$2583,'ноябрь 2025'!$D$2:$D$2583,$B150,'ноябрь 2025'!$J$2:$J$2583,J$1)</f>
        <v>0</v>
      </c>
      <c r="K150" s="183">
        <f>SUMIFS('ноябрь 2025'!$G$2:$G$2583,'ноябрь 2025'!$D$2:$D$2583,$B150,'ноябрь 2025'!$J$2:$J$2583,K$1)</f>
        <v>0</v>
      </c>
      <c r="L150" s="183">
        <f>SUMIFS('ноябрь 2025'!$G$2:$G$2583,'ноябрь 2025'!$D$2:$D$2583,$B150,'ноябрь 2025'!$J$2:$J$2583,L$1)</f>
        <v>0</v>
      </c>
      <c r="M150" s="183">
        <f>SUMIFS('ноябрь 2025'!$G$2:$G$2583,'ноябрь 2025'!$D$2:$D$2583,$B150,'ноябрь 2025'!$J$2:$J$2583,M$1)</f>
        <v>0</v>
      </c>
      <c r="N150" s="183">
        <f>SUMIFS('ноябрь 2025'!$G$2:$G$2583,'ноябрь 2025'!$D$2:$D$2583,$B150,'ноябрь 2025'!$J$2:$J$2583,N$1)</f>
        <v>0</v>
      </c>
      <c r="O150" s="183">
        <f>SUMIFS('ноябрь 2025'!$G$2:$G$2583,'ноябрь 2025'!$D$2:$D$2583,$B150,'ноябрь 2025'!$J$2:$J$2583,O$1)</f>
        <v>0</v>
      </c>
      <c r="P150" s="183">
        <f>SUMIFS('ноябрь 2025'!$G$2:$G$2583,'ноябрь 2025'!$D$2:$D$2583,$B150,'ноябрь 2025'!$J$2:$J$2583,P$1)</f>
        <v>0</v>
      </c>
      <c r="Q150" s="183">
        <f>SUMIFS('ноябрь 2025'!$G$2:$G$2583,'ноябрь 2025'!$D$2:$D$2583,$B150,'ноябрь 2025'!$J$2:$J$2583,Q$1)</f>
        <v>0</v>
      </c>
      <c r="R150" s="183">
        <f>SUMIFS('ноябрь 2025'!$G$2:$G$2583,'ноябрь 2025'!$D$2:$D$2583,$B150,'ноябрь 2025'!$J$2:$J$2583,R$1)</f>
        <v>0</v>
      </c>
      <c r="S150" s="183">
        <f>SUMIFS('ноябрь 2025'!$G$2:$G$2583,'ноябрь 2025'!$D$2:$D$2583,$B150,'ноябрь 2025'!$J$2:$J$2583,S$1)</f>
        <v>0</v>
      </c>
      <c r="T150" s="183">
        <f>SUMIFS('ноябрь 2025'!$G$2:$G$2583,'ноябрь 2025'!$D$2:$D$2583,$B150,'ноябрь 2025'!$J$2:$J$2583,T$1)</f>
        <v>0</v>
      </c>
      <c r="U150" s="183">
        <f>SUMIFS('ноябрь 2025'!$G$2:$G$2583,'ноябрь 2025'!$D$2:$D$2583,$B150,'ноябрь 2025'!$J$2:$J$2583,U$1)</f>
        <v>0</v>
      </c>
      <c r="V150" s="183">
        <f>SUMIFS('ноябрь 2025'!$G$2:$G$2583,'ноябрь 2025'!$D$2:$D$2583,$B150,'ноябрь 2025'!$J$2:$J$2583,V$1)</f>
        <v>0</v>
      </c>
      <c r="W150" s="183">
        <f>SUMIFS('ноябрь 2025'!$G$2:$G$2583,'ноябрь 2025'!$D$2:$D$2583,$B150,'ноябрь 2025'!$J$2:$J$2583,W$1)</f>
        <v>0</v>
      </c>
      <c r="X150" s="183">
        <f>SUMIFS('ноябрь 2025'!$G$2:$G$2583,'ноябрь 2025'!$D$2:$D$2583,$B150,'ноябрь 2025'!$J$2:$J$2583,X$1)</f>
        <v>0</v>
      </c>
      <c r="Y150" s="183">
        <f>SUMIFS('ноябрь 2025'!$G$2:$G$2583,'ноябрь 2025'!$D$2:$D$2583,$B150,'ноябрь 2025'!$J$2:$J$2583,Y$1)</f>
        <v>0</v>
      </c>
      <c r="Z150" s="183">
        <f>SUMIFS('ноябрь 2025'!$G$2:$G$2583,'ноябрь 2025'!$D$2:$D$2583,$B150,'ноябрь 2025'!$J$2:$J$2583,Z$1)</f>
        <v>0</v>
      </c>
      <c r="AA150" s="183">
        <f>SUMIFS('ноябрь 2025'!$G$2:$G$2583,'ноябрь 2025'!$D$2:$D$2583,$B150,'ноябрь 2025'!$J$2:$J$2583,AA$1)</f>
        <v>0</v>
      </c>
      <c r="AB150" s="183">
        <f>SUMIFS('ноябрь 2025'!$G$2:$G$2583,'ноябрь 2025'!$D$2:$D$2583,$B150,'ноябрь 2025'!$J$2:$J$2583,AB$1)</f>
        <v>0</v>
      </c>
      <c r="AC150" s="183">
        <f>SUMIFS('ноябрь 2025'!$G$2:$G$2583,'ноябрь 2025'!$D$2:$D$2583,$B150,'ноябрь 2025'!$J$2:$J$2583,AC$1)</f>
        <v>0</v>
      </c>
      <c r="AD150" s="183">
        <f>SUMIFS('ноябрь 2025'!$G$2:$G$2583,'ноябрь 2025'!$D$2:$D$2583,$B150,'ноябрь 2025'!$J$2:$J$2583,AD$1)</f>
        <v>0</v>
      </c>
      <c r="AE150" s="183">
        <f>SUMIFS('ноябрь 2025'!$G$2:$G$2583,'ноябрь 2025'!$D$2:$D$2583,$B150,'ноябрь 2025'!$J$2:$J$2583,AE$1)</f>
        <v>0</v>
      </c>
      <c r="AF150" s="183">
        <f>SUMIFS('ноябрь 2025'!$G$2:$G$2583,'ноябрь 2025'!$D$2:$D$2583,$B150,'ноябрь 2025'!$J$2:$J$2583,AF$1)</f>
        <v>0</v>
      </c>
      <c r="AG150" s="183">
        <f>SUMIFS('ноябрь 2025'!$G$2:$G$2583,'ноябрь 2025'!$D$2:$D$2583,$B150,'ноябрь 2025'!$J$2:$J$2583,AG$1)</f>
        <v>0</v>
      </c>
      <c r="AH150" s="183">
        <f>SUMIFS('ноябрь 2025'!$G$2:$G$2583,'ноябрь 2025'!$D$2:$D$2583,$B150,'ноябрь 2025'!$J$2:$J$2583,AH$1)</f>
        <v>0</v>
      </c>
      <c r="AI150" s="20">
        <f t="shared" si="1"/>
        <v>0</v>
      </c>
    </row>
    <row r="151" spans="2:35" ht="15" customHeight="1" x14ac:dyDescent="0.25">
      <c r="B151" s="88" t="s">
        <v>270</v>
      </c>
      <c r="C151" s="86">
        <v>190</v>
      </c>
      <c r="D151" s="183">
        <f>SUMIFS('ноябрь 2025'!$G$2:$G$2583,'ноябрь 2025'!$D$2:$D$2583,$B151,'ноябрь 2025'!$J$2:$J$2583,D$1)</f>
        <v>0</v>
      </c>
      <c r="E151" s="183">
        <f>SUMIFS('ноябрь 2025'!$G$2:$G$2583,'ноябрь 2025'!$D$2:$D$2583,$B151,'ноябрь 2025'!$J$2:$J$2583,E$1)</f>
        <v>0</v>
      </c>
      <c r="F151" s="183">
        <f>SUMIFS('ноябрь 2025'!$G$2:$G$2583,'ноябрь 2025'!$D$2:$D$2583,$B151,'ноябрь 2025'!$J$2:$J$2583,F$1)</f>
        <v>0</v>
      </c>
      <c r="G151" s="183">
        <f>SUMIFS('ноябрь 2025'!$G$2:$G$2583,'ноябрь 2025'!$D$2:$D$2583,$B151,'ноябрь 2025'!$J$2:$J$2583,G$1)</f>
        <v>0</v>
      </c>
      <c r="H151" s="183">
        <f>SUMIFS('ноябрь 2025'!$G$2:$G$2583,'ноябрь 2025'!$D$2:$D$2583,$B151,'ноябрь 2025'!$J$2:$J$2583,H$1)</f>
        <v>0</v>
      </c>
      <c r="I151" s="183">
        <f>SUMIFS('ноябрь 2025'!$G$2:$G$2583,'ноябрь 2025'!$D$2:$D$2583,$B151,'ноябрь 2025'!$J$2:$J$2583,I$1)</f>
        <v>0</v>
      </c>
      <c r="J151" s="183">
        <f>SUMIFS('ноябрь 2025'!$G$2:$G$2583,'ноябрь 2025'!$D$2:$D$2583,$B151,'ноябрь 2025'!$J$2:$J$2583,J$1)</f>
        <v>0</v>
      </c>
      <c r="K151" s="183">
        <f>SUMIFS('ноябрь 2025'!$G$2:$G$2583,'ноябрь 2025'!$D$2:$D$2583,$B151,'ноябрь 2025'!$J$2:$J$2583,K$1)</f>
        <v>0</v>
      </c>
      <c r="L151" s="183">
        <f>SUMIFS('ноябрь 2025'!$G$2:$G$2583,'ноябрь 2025'!$D$2:$D$2583,$B151,'ноябрь 2025'!$J$2:$J$2583,L$1)</f>
        <v>0</v>
      </c>
      <c r="M151" s="183">
        <f>SUMIFS('ноябрь 2025'!$G$2:$G$2583,'ноябрь 2025'!$D$2:$D$2583,$B151,'ноябрь 2025'!$J$2:$J$2583,M$1)</f>
        <v>0</v>
      </c>
      <c r="N151" s="183">
        <f>SUMIFS('ноябрь 2025'!$G$2:$G$2583,'ноябрь 2025'!$D$2:$D$2583,$B151,'ноябрь 2025'!$J$2:$J$2583,N$1)</f>
        <v>0</v>
      </c>
      <c r="O151" s="183">
        <f>SUMIFS('ноябрь 2025'!$G$2:$G$2583,'ноябрь 2025'!$D$2:$D$2583,$B151,'ноябрь 2025'!$J$2:$J$2583,O$1)</f>
        <v>0</v>
      </c>
      <c r="P151" s="183">
        <f>SUMIFS('ноябрь 2025'!$G$2:$G$2583,'ноябрь 2025'!$D$2:$D$2583,$B151,'ноябрь 2025'!$J$2:$J$2583,P$1)</f>
        <v>0</v>
      </c>
      <c r="Q151" s="183">
        <f>SUMIFS('ноябрь 2025'!$G$2:$G$2583,'ноябрь 2025'!$D$2:$D$2583,$B151,'ноябрь 2025'!$J$2:$J$2583,Q$1)</f>
        <v>0</v>
      </c>
      <c r="R151" s="183">
        <f>SUMIFS('ноябрь 2025'!$G$2:$G$2583,'ноябрь 2025'!$D$2:$D$2583,$B151,'ноябрь 2025'!$J$2:$J$2583,R$1)</f>
        <v>0</v>
      </c>
      <c r="S151" s="183">
        <f>SUMIFS('ноябрь 2025'!$G$2:$G$2583,'ноябрь 2025'!$D$2:$D$2583,$B151,'ноябрь 2025'!$J$2:$J$2583,S$1)</f>
        <v>0</v>
      </c>
      <c r="T151" s="183">
        <f>SUMIFS('ноябрь 2025'!$G$2:$G$2583,'ноябрь 2025'!$D$2:$D$2583,$B151,'ноябрь 2025'!$J$2:$J$2583,T$1)</f>
        <v>0</v>
      </c>
      <c r="U151" s="183">
        <f>SUMIFS('ноябрь 2025'!$G$2:$G$2583,'ноябрь 2025'!$D$2:$D$2583,$B151,'ноябрь 2025'!$J$2:$J$2583,U$1)</f>
        <v>0</v>
      </c>
      <c r="V151" s="183">
        <f>SUMIFS('ноябрь 2025'!$G$2:$G$2583,'ноябрь 2025'!$D$2:$D$2583,$B151,'ноябрь 2025'!$J$2:$J$2583,V$1)</f>
        <v>0</v>
      </c>
      <c r="W151" s="183">
        <f>SUMIFS('ноябрь 2025'!$G$2:$G$2583,'ноябрь 2025'!$D$2:$D$2583,$B151,'ноябрь 2025'!$J$2:$J$2583,W$1)</f>
        <v>0</v>
      </c>
      <c r="X151" s="183">
        <f>SUMIFS('ноябрь 2025'!$G$2:$G$2583,'ноябрь 2025'!$D$2:$D$2583,$B151,'ноябрь 2025'!$J$2:$J$2583,X$1)</f>
        <v>0</v>
      </c>
      <c r="Y151" s="183">
        <f>SUMIFS('ноябрь 2025'!$G$2:$G$2583,'ноябрь 2025'!$D$2:$D$2583,$B151,'ноябрь 2025'!$J$2:$J$2583,Y$1)</f>
        <v>0</v>
      </c>
      <c r="Z151" s="183">
        <f>SUMIFS('ноябрь 2025'!$G$2:$G$2583,'ноябрь 2025'!$D$2:$D$2583,$B151,'ноябрь 2025'!$J$2:$J$2583,Z$1)</f>
        <v>0</v>
      </c>
      <c r="AA151" s="183">
        <f>SUMIFS('ноябрь 2025'!$G$2:$G$2583,'ноябрь 2025'!$D$2:$D$2583,$B151,'ноябрь 2025'!$J$2:$J$2583,AA$1)</f>
        <v>0</v>
      </c>
      <c r="AB151" s="183">
        <f>SUMIFS('ноябрь 2025'!$G$2:$G$2583,'ноябрь 2025'!$D$2:$D$2583,$B151,'ноябрь 2025'!$J$2:$J$2583,AB$1)</f>
        <v>0</v>
      </c>
      <c r="AC151" s="183">
        <f>SUMIFS('ноябрь 2025'!$G$2:$G$2583,'ноябрь 2025'!$D$2:$D$2583,$B151,'ноябрь 2025'!$J$2:$J$2583,AC$1)</f>
        <v>0</v>
      </c>
      <c r="AD151" s="183">
        <f>SUMIFS('ноябрь 2025'!$G$2:$G$2583,'ноябрь 2025'!$D$2:$D$2583,$B151,'ноябрь 2025'!$J$2:$J$2583,AD$1)</f>
        <v>0</v>
      </c>
      <c r="AE151" s="183">
        <f>SUMIFS('ноябрь 2025'!$G$2:$G$2583,'ноябрь 2025'!$D$2:$D$2583,$B151,'ноябрь 2025'!$J$2:$J$2583,AE$1)</f>
        <v>0</v>
      </c>
      <c r="AF151" s="183">
        <f>SUMIFS('ноябрь 2025'!$G$2:$G$2583,'ноябрь 2025'!$D$2:$D$2583,$B151,'ноябрь 2025'!$J$2:$J$2583,AF$1)</f>
        <v>0</v>
      </c>
      <c r="AG151" s="183">
        <f>SUMIFS('ноябрь 2025'!$G$2:$G$2583,'ноябрь 2025'!$D$2:$D$2583,$B151,'ноябрь 2025'!$J$2:$J$2583,AG$1)</f>
        <v>0</v>
      </c>
      <c r="AH151" s="183">
        <f>SUMIFS('ноябрь 2025'!$G$2:$G$2583,'ноябрь 2025'!$D$2:$D$2583,$B151,'ноябрь 2025'!$J$2:$J$2583,AH$1)</f>
        <v>0</v>
      </c>
      <c r="AI151" s="20">
        <f t="shared" si="1"/>
        <v>0</v>
      </c>
    </row>
    <row r="152" spans="2:35" ht="16.899999999999999" customHeight="1" x14ac:dyDescent="0.25">
      <c r="B152" s="84" t="s">
        <v>271</v>
      </c>
      <c r="C152" s="83">
        <v>200</v>
      </c>
      <c r="D152" s="183">
        <f>SUMIFS('ноябрь 2025'!$G$2:$G$2583,'ноябрь 2025'!$D$2:$D$2583,$B152,'ноябрь 2025'!$J$2:$J$2583,D$1)</f>
        <v>0</v>
      </c>
      <c r="E152" s="183">
        <f>SUMIFS('ноябрь 2025'!$G$2:$G$2583,'ноябрь 2025'!$D$2:$D$2583,$B152,'ноябрь 2025'!$J$2:$J$2583,E$1)</f>
        <v>0</v>
      </c>
      <c r="F152" s="183">
        <f>SUMIFS('ноябрь 2025'!$G$2:$G$2583,'ноябрь 2025'!$D$2:$D$2583,$B152,'ноябрь 2025'!$J$2:$J$2583,F$1)</f>
        <v>0</v>
      </c>
      <c r="G152" s="183">
        <f>SUMIFS('ноябрь 2025'!$G$2:$G$2583,'ноябрь 2025'!$D$2:$D$2583,$B152,'ноябрь 2025'!$J$2:$J$2583,G$1)</f>
        <v>0</v>
      </c>
      <c r="H152" s="183">
        <f>SUMIFS('ноябрь 2025'!$G$2:$G$2583,'ноябрь 2025'!$D$2:$D$2583,$B152,'ноябрь 2025'!$J$2:$J$2583,H$1)</f>
        <v>0</v>
      </c>
      <c r="I152" s="183">
        <f>SUMIFS('ноябрь 2025'!$G$2:$G$2583,'ноябрь 2025'!$D$2:$D$2583,$B152,'ноябрь 2025'!$J$2:$J$2583,I$1)</f>
        <v>0</v>
      </c>
      <c r="J152" s="183">
        <f>SUMIFS('ноябрь 2025'!$G$2:$G$2583,'ноябрь 2025'!$D$2:$D$2583,$B152,'ноябрь 2025'!$J$2:$J$2583,J$1)</f>
        <v>0</v>
      </c>
      <c r="K152" s="183">
        <f>SUMIFS('ноябрь 2025'!$G$2:$G$2583,'ноябрь 2025'!$D$2:$D$2583,$B152,'ноябрь 2025'!$J$2:$J$2583,K$1)</f>
        <v>0</v>
      </c>
      <c r="L152" s="183">
        <f>SUMIFS('ноябрь 2025'!$G$2:$G$2583,'ноябрь 2025'!$D$2:$D$2583,$B152,'ноябрь 2025'!$J$2:$J$2583,L$1)</f>
        <v>0</v>
      </c>
      <c r="M152" s="183">
        <f>SUMIFS('ноябрь 2025'!$G$2:$G$2583,'ноябрь 2025'!$D$2:$D$2583,$B152,'ноябрь 2025'!$J$2:$J$2583,M$1)</f>
        <v>0</v>
      </c>
      <c r="N152" s="183">
        <f>SUMIFS('ноябрь 2025'!$G$2:$G$2583,'ноябрь 2025'!$D$2:$D$2583,$B152,'ноябрь 2025'!$J$2:$J$2583,N$1)</f>
        <v>0</v>
      </c>
      <c r="O152" s="183">
        <f>SUMIFS('ноябрь 2025'!$G$2:$G$2583,'ноябрь 2025'!$D$2:$D$2583,$B152,'ноябрь 2025'!$J$2:$J$2583,O$1)</f>
        <v>0</v>
      </c>
      <c r="P152" s="183">
        <f>SUMIFS('ноябрь 2025'!$G$2:$G$2583,'ноябрь 2025'!$D$2:$D$2583,$B152,'ноябрь 2025'!$J$2:$J$2583,P$1)</f>
        <v>0</v>
      </c>
      <c r="Q152" s="183">
        <f>SUMIFS('ноябрь 2025'!$G$2:$G$2583,'ноябрь 2025'!$D$2:$D$2583,$B152,'ноябрь 2025'!$J$2:$J$2583,Q$1)</f>
        <v>0</v>
      </c>
      <c r="R152" s="183">
        <f>SUMIFS('ноябрь 2025'!$G$2:$G$2583,'ноябрь 2025'!$D$2:$D$2583,$B152,'ноябрь 2025'!$J$2:$J$2583,R$1)</f>
        <v>0</v>
      </c>
      <c r="S152" s="183">
        <f>SUMIFS('ноябрь 2025'!$G$2:$G$2583,'ноябрь 2025'!$D$2:$D$2583,$B152,'ноябрь 2025'!$J$2:$J$2583,S$1)</f>
        <v>0</v>
      </c>
      <c r="T152" s="183">
        <f>SUMIFS('ноябрь 2025'!$G$2:$G$2583,'ноябрь 2025'!$D$2:$D$2583,$B152,'ноябрь 2025'!$J$2:$J$2583,T$1)</f>
        <v>0</v>
      </c>
      <c r="U152" s="183">
        <f>SUMIFS('ноябрь 2025'!$G$2:$G$2583,'ноябрь 2025'!$D$2:$D$2583,$B152,'ноябрь 2025'!$J$2:$J$2583,U$1)</f>
        <v>0</v>
      </c>
      <c r="V152" s="183">
        <f>SUMIFS('ноябрь 2025'!$G$2:$G$2583,'ноябрь 2025'!$D$2:$D$2583,$B152,'ноябрь 2025'!$J$2:$J$2583,V$1)</f>
        <v>0</v>
      </c>
      <c r="W152" s="183">
        <f>SUMIFS('ноябрь 2025'!$G$2:$G$2583,'ноябрь 2025'!$D$2:$D$2583,$B152,'ноябрь 2025'!$J$2:$J$2583,W$1)</f>
        <v>0</v>
      </c>
      <c r="X152" s="183">
        <f>SUMIFS('ноябрь 2025'!$G$2:$G$2583,'ноябрь 2025'!$D$2:$D$2583,$B152,'ноябрь 2025'!$J$2:$J$2583,X$1)</f>
        <v>0</v>
      </c>
      <c r="Y152" s="183">
        <f>SUMIFS('ноябрь 2025'!$G$2:$G$2583,'ноябрь 2025'!$D$2:$D$2583,$B152,'ноябрь 2025'!$J$2:$J$2583,Y$1)</f>
        <v>0</v>
      </c>
      <c r="Z152" s="183">
        <f>SUMIFS('ноябрь 2025'!$G$2:$G$2583,'ноябрь 2025'!$D$2:$D$2583,$B152,'ноябрь 2025'!$J$2:$J$2583,Z$1)</f>
        <v>0</v>
      </c>
      <c r="AA152" s="183">
        <f>SUMIFS('ноябрь 2025'!$G$2:$G$2583,'ноябрь 2025'!$D$2:$D$2583,$B152,'ноябрь 2025'!$J$2:$J$2583,AA$1)</f>
        <v>0</v>
      </c>
      <c r="AB152" s="183">
        <f>SUMIFS('ноябрь 2025'!$G$2:$G$2583,'ноябрь 2025'!$D$2:$D$2583,$B152,'ноябрь 2025'!$J$2:$J$2583,AB$1)</f>
        <v>0</v>
      </c>
      <c r="AC152" s="183">
        <f>SUMIFS('ноябрь 2025'!$G$2:$G$2583,'ноябрь 2025'!$D$2:$D$2583,$B152,'ноябрь 2025'!$J$2:$J$2583,AC$1)</f>
        <v>0</v>
      </c>
      <c r="AD152" s="183">
        <f>SUMIFS('ноябрь 2025'!$G$2:$G$2583,'ноябрь 2025'!$D$2:$D$2583,$B152,'ноябрь 2025'!$J$2:$J$2583,AD$1)</f>
        <v>0</v>
      </c>
      <c r="AE152" s="183">
        <f>SUMIFS('ноябрь 2025'!$G$2:$G$2583,'ноябрь 2025'!$D$2:$D$2583,$B152,'ноябрь 2025'!$J$2:$J$2583,AE$1)</f>
        <v>0</v>
      </c>
      <c r="AF152" s="183">
        <f>SUMIFS('ноябрь 2025'!$G$2:$G$2583,'ноябрь 2025'!$D$2:$D$2583,$B152,'ноябрь 2025'!$J$2:$J$2583,AF$1)</f>
        <v>0</v>
      </c>
      <c r="AG152" s="183">
        <f>SUMIFS('ноябрь 2025'!$G$2:$G$2583,'ноябрь 2025'!$D$2:$D$2583,$B152,'ноябрь 2025'!$J$2:$J$2583,AG$1)</f>
        <v>0</v>
      </c>
      <c r="AH152" s="183">
        <f>SUMIFS('ноябрь 2025'!$G$2:$G$2583,'ноябрь 2025'!$D$2:$D$2583,$B152,'ноябрь 2025'!$J$2:$J$2583,AH$1)</f>
        <v>0</v>
      </c>
      <c r="AI152" s="20">
        <f t="shared" si="1"/>
        <v>0</v>
      </c>
    </row>
    <row r="153" spans="2:35" ht="16.899999999999999" customHeight="1" x14ac:dyDescent="0.25">
      <c r="B153" s="84" t="s">
        <v>276</v>
      </c>
      <c r="C153" s="83">
        <v>200</v>
      </c>
      <c r="D153" s="183">
        <f>SUMIFS('ноябрь 2025'!$G$2:$G$2583,'ноябрь 2025'!$D$2:$D$2583,$B153,'ноябрь 2025'!$J$2:$J$2583,D$1)</f>
        <v>0</v>
      </c>
      <c r="E153" s="183">
        <f>SUMIFS('ноябрь 2025'!$G$2:$G$2583,'ноябрь 2025'!$D$2:$D$2583,$B153,'ноябрь 2025'!$J$2:$J$2583,E$1)</f>
        <v>0</v>
      </c>
      <c r="F153" s="183">
        <f>SUMIFS('ноябрь 2025'!$G$2:$G$2583,'ноябрь 2025'!$D$2:$D$2583,$B153,'ноябрь 2025'!$J$2:$J$2583,F$1)</f>
        <v>0</v>
      </c>
      <c r="G153" s="183">
        <f>SUMIFS('ноябрь 2025'!$G$2:$G$2583,'ноябрь 2025'!$D$2:$D$2583,$B153,'ноябрь 2025'!$J$2:$J$2583,G$1)</f>
        <v>0</v>
      </c>
      <c r="H153" s="183">
        <f>SUMIFS('ноябрь 2025'!$G$2:$G$2583,'ноябрь 2025'!$D$2:$D$2583,$B153,'ноябрь 2025'!$J$2:$J$2583,H$1)</f>
        <v>0</v>
      </c>
      <c r="I153" s="183">
        <f>SUMIFS('ноябрь 2025'!$G$2:$G$2583,'ноябрь 2025'!$D$2:$D$2583,$B153,'ноябрь 2025'!$J$2:$J$2583,I$1)</f>
        <v>0</v>
      </c>
      <c r="J153" s="183">
        <f>SUMIFS('ноябрь 2025'!$G$2:$G$2583,'ноябрь 2025'!$D$2:$D$2583,$B153,'ноябрь 2025'!$J$2:$J$2583,J$1)</f>
        <v>0</v>
      </c>
      <c r="K153" s="183">
        <f>SUMIFS('ноябрь 2025'!$G$2:$G$2583,'ноябрь 2025'!$D$2:$D$2583,$B153,'ноябрь 2025'!$J$2:$J$2583,K$1)</f>
        <v>0</v>
      </c>
      <c r="L153" s="183">
        <f>SUMIFS('ноябрь 2025'!$G$2:$G$2583,'ноябрь 2025'!$D$2:$D$2583,$B153,'ноябрь 2025'!$J$2:$J$2583,L$1)</f>
        <v>0</v>
      </c>
      <c r="M153" s="183">
        <f>SUMIFS('ноябрь 2025'!$G$2:$G$2583,'ноябрь 2025'!$D$2:$D$2583,$B153,'ноябрь 2025'!$J$2:$J$2583,M$1)</f>
        <v>0</v>
      </c>
      <c r="N153" s="183">
        <f>SUMIFS('ноябрь 2025'!$G$2:$G$2583,'ноябрь 2025'!$D$2:$D$2583,$B153,'ноябрь 2025'!$J$2:$J$2583,N$1)</f>
        <v>0</v>
      </c>
      <c r="O153" s="183">
        <f>SUMIFS('ноябрь 2025'!$G$2:$G$2583,'ноябрь 2025'!$D$2:$D$2583,$B153,'ноябрь 2025'!$J$2:$J$2583,O$1)</f>
        <v>0</v>
      </c>
      <c r="P153" s="183">
        <f>SUMIFS('ноябрь 2025'!$G$2:$G$2583,'ноябрь 2025'!$D$2:$D$2583,$B153,'ноябрь 2025'!$J$2:$J$2583,P$1)</f>
        <v>0</v>
      </c>
      <c r="Q153" s="183">
        <f>SUMIFS('ноябрь 2025'!$G$2:$G$2583,'ноябрь 2025'!$D$2:$D$2583,$B153,'ноябрь 2025'!$J$2:$J$2583,Q$1)</f>
        <v>0</v>
      </c>
      <c r="R153" s="183">
        <f>SUMIFS('ноябрь 2025'!$G$2:$G$2583,'ноябрь 2025'!$D$2:$D$2583,$B153,'ноябрь 2025'!$J$2:$J$2583,R$1)</f>
        <v>0</v>
      </c>
      <c r="S153" s="183">
        <f>SUMIFS('ноябрь 2025'!$G$2:$G$2583,'ноябрь 2025'!$D$2:$D$2583,$B153,'ноябрь 2025'!$J$2:$J$2583,S$1)</f>
        <v>0</v>
      </c>
      <c r="T153" s="183">
        <f>SUMIFS('ноябрь 2025'!$G$2:$G$2583,'ноябрь 2025'!$D$2:$D$2583,$B153,'ноябрь 2025'!$J$2:$J$2583,T$1)</f>
        <v>0</v>
      </c>
      <c r="U153" s="183">
        <f>SUMIFS('ноябрь 2025'!$G$2:$G$2583,'ноябрь 2025'!$D$2:$D$2583,$B153,'ноябрь 2025'!$J$2:$J$2583,U$1)</f>
        <v>0</v>
      </c>
      <c r="V153" s="183">
        <f>SUMIFS('ноябрь 2025'!$G$2:$G$2583,'ноябрь 2025'!$D$2:$D$2583,$B153,'ноябрь 2025'!$J$2:$J$2583,V$1)</f>
        <v>0</v>
      </c>
      <c r="W153" s="183">
        <f>SUMIFS('ноябрь 2025'!$G$2:$G$2583,'ноябрь 2025'!$D$2:$D$2583,$B153,'ноябрь 2025'!$J$2:$J$2583,W$1)</f>
        <v>0</v>
      </c>
      <c r="X153" s="183">
        <f>SUMIFS('ноябрь 2025'!$G$2:$G$2583,'ноябрь 2025'!$D$2:$D$2583,$B153,'ноябрь 2025'!$J$2:$J$2583,X$1)</f>
        <v>0</v>
      </c>
      <c r="Y153" s="183">
        <f>SUMIFS('ноябрь 2025'!$G$2:$G$2583,'ноябрь 2025'!$D$2:$D$2583,$B153,'ноябрь 2025'!$J$2:$J$2583,Y$1)</f>
        <v>0</v>
      </c>
      <c r="Z153" s="183">
        <f>SUMIFS('ноябрь 2025'!$G$2:$G$2583,'ноябрь 2025'!$D$2:$D$2583,$B153,'ноябрь 2025'!$J$2:$J$2583,Z$1)</f>
        <v>0</v>
      </c>
      <c r="AA153" s="183">
        <f>SUMIFS('ноябрь 2025'!$G$2:$G$2583,'ноябрь 2025'!$D$2:$D$2583,$B153,'ноябрь 2025'!$J$2:$J$2583,AA$1)</f>
        <v>0</v>
      </c>
      <c r="AB153" s="183">
        <f>SUMIFS('ноябрь 2025'!$G$2:$G$2583,'ноябрь 2025'!$D$2:$D$2583,$B153,'ноябрь 2025'!$J$2:$J$2583,AB$1)</f>
        <v>0</v>
      </c>
      <c r="AC153" s="183">
        <f>SUMIFS('ноябрь 2025'!$G$2:$G$2583,'ноябрь 2025'!$D$2:$D$2583,$B153,'ноябрь 2025'!$J$2:$J$2583,AC$1)</f>
        <v>0</v>
      </c>
      <c r="AD153" s="183">
        <f>SUMIFS('ноябрь 2025'!$G$2:$G$2583,'ноябрь 2025'!$D$2:$D$2583,$B153,'ноябрь 2025'!$J$2:$J$2583,AD$1)</f>
        <v>0</v>
      </c>
      <c r="AE153" s="183">
        <f>SUMIFS('ноябрь 2025'!$G$2:$G$2583,'ноябрь 2025'!$D$2:$D$2583,$B153,'ноябрь 2025'!$J$2:$J$2583,AE$1)</f>
        <v>0</v>
      </c>
      <c r="AF153" s="183">
        <f>SUMIFS('ноябрь 2025'!$G$2:$G$2583,'ноябрь 2025'!$D$2:$D$2583,$B153,'ноябрь 2025'!$J$2:$J$2583,AF$1)</f>
        <v>0</v>
      </c>
      <c r="AG153" s="183">
        <f>SUMIFS('ноябрь 2025'!$G$2:$G$2583,'ноябрь 2025'!$D$2:$D$2583,$B153,'ноябрь 2025'!$J$2:$J$2583,AG$1)</f>
        <v>0</v>
      </c>
      <c r="AH153" s="183">
        <f>SUMIFS('ноябрь 2025'!$G$2:$G$2583,'ноябрь 2025'!$D$2:$D$2583,$B153,'ноябрь 2025'!$J$2:$J$2583,AH$1)</f>
        <v>0</v>
      </c>
      <c r="AI153" s="20">
        <f t="shared" si="1"/>
        <v>0</v>
      </c>
    </row>
    <row r="154" spans="2:35" ht="16.899999999999999" customHeight="1" x14ac:dyDescent="0.25">
      <c r="B154" s="84" t="s">
        <v>272</v>
      </c>
      <c r="C154" s="83">
        <v>200</v>
      </c>
      <c r="D154" s="183">
        <f>SUMIFS('ноябрь 2025'!$G$2:$G$2583,'ноябрь 2025'!$D$2:$D$2583,$B154,'ноябрь 2025'!$J$2:$J$2583,D$1)</f>
        <v>0</v>
      </c>
      <c r="E154" s="183">
        <f>SUMIFS('ноябрь 2025'!$G$2:$G$2583,'ноябрь 2025'!$D$2:$D$2583,$B154,'ноябрь 2025'!$J$2:$J$2583,E$1)</f>
        <v>0</v>
      </c>
      <c r="F154" s="183">
        <f>SUMIFS('ноябрь 2025'!$G$2:$G$2583,'ноябрь 2025'!$D$2:$D$2583,$B154,'ноябрь 2025'!$J$2:$J$2583,F$1)</f>
        <v>0</v>
      </c>
      <c r="G154" s="183">
        <f>SUMIFS('ноябрь 2025'!$G$2:$G$2583,'ноябрь 2025'!$D$2:$D$2583,$B154,'ноябрь 2025'!$J$2:$J$2583,G$1)</f>
        <v>0</v>
      </c>
      <c r="H154" s="183">
        <f>SUMIFS('ноябрь 2025'!$G$2:$G$2583,'ноябрь 2025'!$D$2:$D$2583,$B154,'ноябрь 2025'!$J$2:$J$2583,H$1)</f>
        <v>0</v>
      </c>
      <c r="I154" s="183">
        <f>SUMIFS('ноябрь 2025'!$G$2:$G$2583,'ноябрь 2025'!$D$2:$D$2583,$B154,'ноябрь 2025'!$J$2:$J$2583,I$1)</f>
        <v>0</v>
      </c>
      <c r="J154" s="183">
        <f>SUMIFS('ноябрь 2025'!$G$2:$G$2583,'ноябрь 2025'!$D$2:$D$2583,$B154,'ноябрь 2025'!$J$2:$J$2583,J$1)</f>
        <v>0</v>
      </c>
      <c r="K154" s="183">
        <f>SUMIFS('ноябрь 2025'!$G$2:$G$2583,'ноябрь 2025'!$D$2:$D$2583,$B154,'ноябрь 2025'!$J$2:$J$2583,K$1)</f>
        <v>0</v>
      </c>
      <c r="L154" s="183">
        <f>SUMIFS('ноябрь 2025'!$G$2:$G$2583,'ноябрь 2025'!$D$2:$D$2583,$B154,'ноябрь 2025'!$J$2:$J$2583,L$1)</f>
        <v>0</v>
      </c>
      <c r="M154" s="183">
        <f>SUMIFS('ноябрь 2025'!$G$2:$G$2583,'ноябрь 2025'!$D$2:$D$2583,$B154,'ноябрь 2025'!$J$2:$J$2583,M$1)</f>
        <v>0</v>
      </c>
      <c r="N154" s="183">
        <f>SUMIFS('ноябрь 2025'!$G$2:$G$2583,'ноябрь 2025'!$D$2:$D$2583,$B154,'ноябрь 2025'!$J$2:$J$2583,N$1)</f>
        <v>0</v>
      </c>
      <c r="O154" s="183">
        <f>SUMIFS('ноябрь 2025'!$G$2:$G$2583,'ноябрь 2025'!$D$2:$D$2583,$B154,'ноябрь 2025'!$J$2:$J$2583,O$1)</f>
        <v>0</v>
      </c>
      <c r="P154" s="183">
        <f>SUMIFS('ноябрь 2025'!$G$2:$G$2583,'ноябрь 2025'!$D$2:$D$2583,$B154,'ноябрь 2025'!$J$2:$J$2583,P$1)</f>
        <v>0</v>
      </c>
      <c r="Q154" s="183">
        <f>SUMIFS('ноябрь 2025'!$G$2:$G$2583,'ноябрь 2025'!$D$2:$D$2583,$B154,'ноябрь 2025'!$J$2:$J$2583,Q$1)</f>
        <v>0</v>
      </c>
      <c r="R154" s="183">
        <f>SUMIFS('ноябрь 2025'!$G$2:$G$2583,'ноябрь 2025'!$D$2:$D$2583,$B154,'ноябрь 2025'!$J$2:$J$2583,R$1)</f>
        <v>0</v>
      </c>
      <c r="S154" s="183">
        <f>SUMIFS('ноябрь 2025'!$G$2:$G$2583,'ноябрь 2025'!$D$2:$D$2583,$B154,'ноябрь 2025'!$J$2:$J$2583,S$1)</f>
        <v>0</v>
      </c>
      <c r="T154" s="183">
        <f>SUMIFS('ноябрь 2025'!$G$2:$G$2583,'ноябрь 2025'!$D$2:$D$2583,$B154,'ноябрь 2025'!$J$2:$J$2583,T$1)</f>
        <v>0</v>
      </c>
      <c r="U154" s="183">
        <f>SUMIFS('ноябрь 2025'!$G$2:$G$2583,'ноябрь 2025'!$D$2:$D$2583,$B154,'ноябрь 2025'!$J$2:$J$2583,U$1)</f>
        <v>0</v>
      </c>
      <c r="V154" s="183">
        <f>SUMIFS('ноябрь 2025'!$G$2:$G$2583,'ноябрь 2025'!$D$2:$D$2583,$B154,'ноябрь 2025'!$J$2:$J$2583,V$1)</f>
        <v>0</v>
      </c>
      <c r="W154" s="183">
        <f>SUMIFS('ноябрь 2025'!$G$2:$G$2583,'ноябрь 2025'!$D$2:$D$2583,$B154,'ноябрь 2025'!$J$2:$J$2583,W$1)</f>
        <v>0</v>
      </c>
      <c r="X154" s="183">
        <f>SUMIFS('ноябрь 2025'!$G$2:$G$2583,'ноябрь 2025'!$D$2:$D$2583,$B154,'ноябрь 2025'!$J$2:$J$2583,X$1)</f>
        <v>0</v>
      </c>
      <c r="Y154" s="183">
        <f>SUMIFS('ноябрь 2025'!$G$2:$G$2583,'ноябрь 2025'!$D$2:$D$2583,$B154,'ноябрь 2025'!$J$2:$J$2583,Y$1)</f>
        <v>0</v>
      </c>
      <c r="Z154" s="183">
        <f>SUMIFS('ноябрь 2025'!$G$2:$G$2583,'ноябрь 2025'!$D$2:$D$2583,$B154,'ноябрь 2025'!$J$2:$J$2583,Z$1)</f>
        <v>0</v>
      </c>
      <c r="AA154" s="183">
        <f>SUMIFS('ноябрь 2025'!$G$2:$G$2583,'ноябрь 2025'!$D$2:$D$2583,$B154,'ноябрь 2025'!$J$2:$J$2583,AA$1)</f>
        <v>0</v>
      </c>
      <c r="AB154" s="183">
        <f>SUMIFS('ноябрь 2025'!$G$2:$G$2583,'ноябрь 2025'!$D$2:$D$2583,$B154,'ноябрь 2025'!$J$2:$J$2583,AB$1)</f>
        <v>0</v>
      </c>
      <c r="AC154" s="183">
        <f>SUMIFS('ноябрь 2025'!$G$2:$G$2583,'ноябрь 2025'!$D$2:$D$2583,$B154,'ноябрь 2025'!$J$2:$J$2583,AC$1)</f>
        <v>0</v>
      </c>
      <c r="AD154" s="183">
        <f>SUMIFS('ноябрь 2025'!$G$2:$G$2583,'ноябрь 2025'!$D$2:$D$2583,$B154,'ноябрь 2025'!$J$2:$J$2583,AD$1)</f>
        <v>0</v>
      </c>
      <c r="AE154" s="183">
        <f>SUMIFS('ноябрь 2025'!$G$2:$G$2583,'ноябрь 2025'!$D$2:$D$2583,$B154,'ноябрь 2025'!$J$2:$J$2583,AE$1)</f>
        <v>0</v>
      </c>
      <c r="AF154" s="183">
        <f>SUMIFS('ноябрь 2025'!$G$2:$G$2583,'ноябрь 2025'!$D$2:$D$2583,$B154,'ноябрь 2025'!$J$2:$J$2583,AF$1)</f>
        <v>0</v>
      </c>
      <c r="AG154" s="183">
        <f>SUMIFS('ноябрь 2025'!$G$2:$G$2583,'ноябрь 2025'!$D$2:$D$2583,$B154,'ноябрь 2025'!$J$2:$J$2583,AG$1)</f>
        <v>0</v>
      </c>
      <c r="AH154" s="183">
        <f>SUMIFS('ноябрь 2025'!$G$2:$G$2583,'ноябрь 2025'!$D$2:$D$2583,$B154,'ноябрь 2025'!$J$2:$J$2583,AH$1)</f>
        <v>0</v>
      </c>
      <c r="AI154" s="20">
        <f t="shared" si="1"/>
        <v>0</v>
      </c>
    </row>
    <row r="155" spans="2:35" ht="15" customHeight="1" x14ac:dyDescent="0.25">
      <c r="B155" s="84" t="s">
        <v>277</v>
      </c>
      <c r="C155" s="83">
        <v>200</v>
      </c>
      <c r="D155" s="183">
        <f>SUMIFS('ноябрь 2025'!$G$2:$G$2583,'ноябрь 2025'!$D$2:$D$2583,$B155,'ноябрь 2025'!$J$2:$J$2583,D$1)</f>
        <v>0</v>
      </c>
      <c r="E155" s="183">
        <f>SUMIFS('ноябрь 2025'!$G$2:$G$2583,'ноябрь 2025'!$D$2:$D$2583,$B155,'ноябрь 2025'!$J$2:$J$2583,E$1)</f>
        <v>0</v>
      </c>
      <c r="F155" s="183">
        <f>SUMIFS('ноябрь 2025'!$G$2:$G$2583,'ноябрь 2025'!$D$2:$D$2583,$B155,'ноябрь 2025'!$J$2:$J$2583,F$1)</f>
        <v>0</v>
      </c>
      <c r="G155" s="183">
        <f>SUMIFS('ноябрь 2025'!$G$2:$G$2583,'ноябрь 2025'!$D$2:$D$2583,$B155,'ноябрь 2025'!$J$2:$J$2583,G$1)</f>
        <v>0</v>
      </c>
      <c r="H155" s="183">
        <f>SUMIFS('ноябрь 2025'!$G$2:$G$2583,'ноябрь 2025'!$D$2:$D$2583,$B155,'ноябрь 2025'!$J$2:$J$2583,H$1)</f>
        <v>0</v>
      </c>
      <c r="I155" s="183">
        <f>SUMIFS('ноябрь 2025'!$G$2:$G$2583,'ноябрь 2025'!$D$2:$D$2583,$B155,'ноябрь 2025'!$J$2:$J$2583,I$1)</f>
        <v>0</v>
      </c>
      <c r="J155" s="183">
        <f>SUMIFS('ноябрь 2025'!$G$2:$G$2583,'ноябрь 2025'!$D$2:$D$2583,$B155,'ноябрь 2025'!$J$2:$J$2583,J$1)</f>
        <v>0</v>
      </c>
      <c r="K155" s="183">
        <f>SUMIFS('ноябрь 2025'!$G$2:$G$2583,'ноябрь 2025'!$D$2:$D$2583,$B155,'ноябрь 2025'!$J$2:$J$2583,K$1)</f>
        <v>0</v>
      </c>
      <c r="L155" s="183">
        <f>SUMIFS('ноябрь 2025'!$G$2:$G$2583,'ноябрь 2025'!$D$2:$D$2583,$B155,'ноябрь 2025'!$J$2:$J$2583,L$1)</f>
        <v>0</v>
      </c>
      <c r="M155" s="183">
        <f>SUMIFS('ноябрь 2025'!$G$2:$G$2583,'ноябрь 2025'!$D$2:$D$2583,$B155,'ноябрь 2025'!$J$2:$J$2583,M$1)</f>
        <v>0</v>
      </c>
      <c r="N155" s="183">
        <f>SUMIFS('ноябрь 2025'!$G$2:$G$2583,'ноябрь 2025'!$D$2:$D$2583,$B155,'ноябрь 2025'!$J$2:$J$2583,N$1)</f>
        <v>0</v>
      </c>
      <c r="O155" s="183">
        <f>SUMIFS('ноябрь 2025'!$G$2:$G$2583,'ноябрь 2025'!$D$2:$D$2583,$B155,'ноябрь 2025'!$J$2:$J$2583,O$1)</f>
        <v>0</v>
      </c>
      <c r="P155" s="183">
        <f>SUMIFS('ноябрь 2025'!$G$2:$G$2583,'ноябрь 2025'!$D$2:$D$2583,$B155,'ноябрь 2025'!$J$2:$J$2583,P$1)</f>
        <v>0</v>
      </c>
      <c r="Q155" s="183">
        <f>SUMIFS('ноябрь 2025'!$G$2:$G$2583,'ноябрь 2025'!$D$2:$D$2583,$B155,'ноябрь 2025'!$J$2:$J$2583,Q$1)</f>
        <v>0</v>
      </c>
      <c r="R155" s="183">
        <f>SUMIFS('ноябрь 2025'!$G$2:$G$2583,'ноябрь 2025'!$D$2:$D$2583,$B155,'ноябрь 2025'!$J$2:$J$2583,R$1)</f>
        <v>0</v>
      </c>
      <c r="S155" s="183">
        <f>SUMIFS('ноябрь 2025'!$G$2:$G$2583,'ноябрь 2025'!$D$2:$D$2583,$B155,'ноябрь 2025'!$J$2:$J$2583,S$1)</f>
        <v>0</v>
      </c>
      <c r="T155" s="183">
        <f>SUMIFS('ноябрь 2025'!$G$2:$G$2583,'ноябрь 2025'!$D$2:$D$2583,$B155,'ноябрь 2025'!$J$2:$J$2583,T$1)</f>
        <v>0</v>
      </c>
      <c r="U155" s="183">
        <f>SUMIFS('ноябрь 2025'!$G$2:$G$2583,'ноябрь 2025'!$D$2:$D$2583,$B155,'ноябрь 2025'!$J$2:$J$2583,U$1)</f>
        <v>0</v>
      </c>
      <c r="V155" s="183">
        <f>SUMIFS('ноябрь 2025'!$G$2:$G$2583,'ноябрь 2025'!$D$2:$D$2583,$B155,'ноябрь 2025'!$J$2:$J$2583,V$1)</f>
        <v>0</v>
      </c>
      <c r="W155" s="183">
        <f>SUMIFS('ноябрь 2025'!$G$2:$G$2583,'ноябрь 2025'!$D$2:$D$2583,$B155,'ноябрь 2025'!$J$2:$J$2583,W$1)</f>
        <v>0</v>
      </c>
      <c r="X155" s="183">
        <f>SUMIFS('ноябрь 2025'!$G$2:$G$2583,'ноябрь 2025'!$D$2:$D$2583,$B155,'ноябрь 2025'!$J$2:$J$2583,X$1)</f>
        <v>0</v>
      </c>
      <c r="Y155" s="183">
        <f>SUMIFS('ноябрь 2025'!$G$2:$G$2583,'ноябрь 2025'!$D$2:$D$2583,$B155,'ноябрь 2025'!$J$2:$J$2583,Y$1)</f>
        <v>0</v>
      </c>
      <c r="Z155" s="183">
        <f>SUMIFS('ноябрь 2025'!$G$2:$G$2583,'ноябрь 2025'!$D$2:$D$2583,$B155,'ноябрь 2025'!$J$2:$J$2583,Z$1)</f>
        <v>0</v>
      </c>
      <c r="AA155" s="183">
        <f>SUMIFS('ноябрь 2025'!$G$2:$G$2583,'ноябрь 2025'!$D$2:$D$2583,$B155,'ноябрь 2025'!$J$2:$J$2583,AA$1)</f>
        <v>0</v>
      </c>
      <c r="AB155" s="183">
        <f>SUMIFS('ноябрь 2025'!$G$2:$G$2583,'ноябрь 2025'!$D$2:$D$2583,$B155,'ноябрь 2025'!$J$2:$J$2583,AB$1)</f>
        <v>0</v>
      </c>
      <c r="AC155" s="183">
        <f>SUMIFS('ноябрь 2025'!$G$2:$G$2583,'ноябрь 2025'!$D$2:$D$2583,$B155,'ноябрь 2025'!$J$2:$J$2583,AC$1)</f>
        <v>0</v>
      </c>
      <c r="AD155" s="183">
        <f>SUMIFS('ноябрь 2025'!$G$2:$G$2583,'ноябрь 2025'!$D$2:$D$2583,$B155,'ноябрь 2025'!$J$2:$J$2583,AD$1)</f>
        <v>0</v>
      </c>
      <c r="AE155" s="183">
        <f>SUMIFS('ноябрь 2025'!$G$2:$G$2583,'ноябрь 2025'!$D$2:$D$2583,$B155,'ноябрь 2025'!$J$2:$J$2583,AE$1)</f>
        <v>0</v>
      </c>
      <c r="AF155" s="183">
        <f>SUMIFS('ноябрь 2025'!$G$2:$G$2583,'ноябрь 2025'!$D$2:$D$2583,$B155,'ноябрь 2025'!$J$2:$J$2583,AF$1)</f>
        <v>0</v>
      </c>
      <c r="AG155" s="183">
        <f>SUMIFS('ноябрь 2025'!$G$2:$G$2583,'ноябрь 2025'!$D$2:$D$2583,$B155,'ноябрь 2025'!$J$2:$J$2583,AG$1)</f>
        <v>0</v>
      </c>
      <c r="AH155" s="183">
        <f>SUMIFS('ноябрь 2025'!$G$2:$G$2583,'ноябрь 2025'!$D$2:$D$2583,$B155,'ноябрь 2025'!$J$2:$J$2583,AH$1)</f>
        <v>0</v>
      </c>
      <c r="AI155" s="20">
        <f t="shared" si="1"/>
        <v>0</v>
      </c>
    </row>
    <row r="156" spans="2:35" ht="15" customHeight="1" x14ac:dyDescent="0.25">
      <c r="B156" s="84" t="s">
        <v>273</v>
      </c>
      <c r="C156" s="83">
        <v>200</v>
      </c>
      <c r="D156" s="183">
        <f>SUMIFS('ноябрь 2025'!$G$2:$G$2583,'ноябрь 2025'!$D$2:$D$2583,$B156,'ноябрь 2025'!$J$2:$J$2583,D$1)</f>
        <v>0</v>
      </c>
      <c r="E156" s="183">
        <f>SUMIFS('ноябрь 2025'!$G$2:$G$2583,'ноябрь 2025'!$D$2:$D$2583,$B156,'ноябрь 2025'!$J$2:$J$2583,E$1)</f>
        <v>0</v>
      </c>
      <c r="F156" s="183">
        <f>SUMIFS('ноябрь 2025'!$G$2:$G$2583,'ноябрь 2025'!$D$2:$D$2583,$B156,'ноябрь 2025'!$J$2:$J$2583,F$1)</f>
        <v>0</v>
      </c>
      <c r="G156" s="183">
        <f>SUMIFS('ноябрь 2025'!$G$2:$G$2583,'ноябрь 2025'!$D$2:$D$2583,$B156,'ноябрь 2025'!$J$2:$J$2583,G$1)</f>
        <v>0</v>
      </c>
      <c r="H156" s="183">
        <f>SUMIFS('ноябрь 2025'!$G$2:$G$2583,'ноябрь 2025'!$D$2:$D$2583,$B156,'ноябрь 2025'!$J$2:$J$2583,H$1)</f>
        <v>0</v>
      </c>
      <c r="I156" s="183">
        <f>SUMIFS('ноябрь 2025'!$G$2:$G$2583,'ноябрь 2025'!$D$2:$D$2583,$B156,'ноябрь 2025'!$J$2:$J$2583,I$1)</f>
        <v>0</v>
      </c>
      <c r="J156" s="183">
        <f>SUMIFS('ноябрь 2025'!$G$2:$G$2583,'ноябрь 2025'!$D$2:$D$2583,$B156,'ноябрь 2025'!$J$2:$J$2583,J$1)</f>
        <v>0</v>
      </c>
      <c r="K156" s="183">
        <f>SUMIFS('ноябрь 2025'!$G$2:$G$2583,'ноябрь 2025'!$D$2:$D$2583,$B156,'ноябрь 2025'!$J$2:$J$2583,K$1)</f>
        <v>0</v>
      </c>
      <c r="L156" s="183">
        <f>SUMIFS('ноябрь 2025'!$G$2:$G$2583,'ноябрь 2025'!$D$2:$D$2583,$B156,'ноябрь 2025'!$J$2:$J$2583,L$1)</f>
        <v>0</v>
      </c>
      <c r="M156" s="183">
        <f>SUMIFS('ноябрь 2025'!$G$2:$G$2583,'ноябрь 2025'!$D$2:$D$2583,$B156,'ноябрь 2025'!$J$2:$J$2583,M$1)</f>
        <v>0</v>
      </c>
      <c r="N156" s="183">
        <f>SUMIFS('ноябрь 2025'!$G$2:$G$2583,'ноябрь 2025'!$D$2:$D$2583,$B156,'ноябрь 2025'!$J$2:$J$2583,N$1)</f>
        <v>0</v>
      </c>
      <c r="O156" s="183">
        <f>SUMIFS('ноябрь 2025'!$G$2:$G$2583,'ноябрь 2025'!$D$2:$D$2583,$B156,'ноябрь 2025'!$J$2:$J$2583,O$1)</f>
        <v>0</v>
      </c>
      <c r="P156" s="183">
        <f>SUMIFS('ноябрь 2025'!$G$2:$G$2583,'ноябрь 2025'!$D$2:$D$2583,$B156,'ноябрь 2025'!$J$2:$J$2583,P$1)</f>
        <v>0</v>
      </c>
      <c r="Q156" s="183">
        <f>SUMIFS('ноябрь 2025'!$G$2:$G$2583,'ноябрь 2025'!$D$2:$D$2583,$B156,'ноябрь 2025'!$J$2:$J$2583,Q$1)</f>
        <v>0</v>
      </c>
      <c r="R156" s="183">
        <f>SUMIFS('ноябрь 2025'!$G$2:$G$2583,'ноябрь 2025'!$D$2:$D$2583,$B156,'ноябрь 2025'!$J$2:$J$2583,R$1)</f>
        <v>0</v>
      </c>
      <c r="S156" s="183">
        <f>SUMIFS('ноябрь 2025'!$G$2:$G$2583,'ноябрь 2025'!$D$2:$D$2583,$B156,'ноябрь 2025'!$J$2:$J$2583,S$1)</f>
        <v>0</v>
      </c>
      <c r="T156" s="183">
        <f>SUMIFS('ноябрь 2025'!$G$2:$G$2583,'ноябрь 2025'!$D$2:$D$2583,$B156,'ноябрь 2025'!$J$2:$J$2583,T$1)</f>
        <v>0</v>
      </c>
      <c r="U156" s="183">
        <f>SUMIFS('ноябрь 2025'!$G$2:$G$2583,'ноябрь 2025'!$D$2:$D$2583,$B156,'ноябрь 2025'!$J$2:$J$2583,U$1)</f>
        <v>0</v>
      </c>
      <c r="V156" s="183">
        <f>SUMIFS('ноябрь 2025'!$G$2:$G$2583,'ноябрь 2025'!$D$2:$D$2583,$B156,'ноябрь 2025'!$J$2:$J$2583,V$1)</f>
        <v>0</v>
      </c>
      <c r="W156" s="183">
        <f>SUMIFS('ноябрь 2025'!$G$2:$G$2583,'ноябрь 2025'!$D$2:$D$2583,$B156,'ноябрь 2025'!$J$2:$J$2583,W$1)</f>
        <v>0</v>
      </c>
      <c r="X156" s="183">
        <f>SUMIFS('ноябрь 2025'!$G$2:$G$2583,'ноябрь 2025'!$D$2:$D$2583,$B156,'ноябрь 2025'!$J$2:$J$2583,X$1)</f>
        <v>0</v>
      </c>
      <c r="Y156" s="183">
        <f>SUMIFS('ноябрь 2025'!$G$2:$G$2583,'ноябрь 2025'!$D$2:$D$2583,$B156,'ноябрь 2025'!$J$2:$J$2583,Y$1)</f>
        <v>0</v>
      </c>
      <c r="Z156" s="183">
        <f>SUMIFS('ноябрь 2025'!$G$2:$G$2583,'ноябрь 2025'!$D$2:$D$2583,$B156,'ноябрь 2025'!$J$2:$J$2583,Z$1)</f>
        <v>0</v>
      </c>
      <c r="AA156" s="183">
        <f>SUMIFS('ноябрь 2025'!$G$2:$G$2583,'ноябрь 2025'!$D$2:$D$2583,$B156,'ноябрь 2025'!$J$2:$J$2583,AA$1)</f>
        <v>0</v>
      </c>
      <c r="AB156" s="183">
        <f>SUMIFS('ноябрь 2025'!$G$2:$G$2583,'ноябрь 2025'!$D$2:$D$2583,$B156,'ноябрь 2025'!$J$2:$J$2583,AB$1)</f>
        <v>0</v>
      </c>
      <c r="AC156" s="183">
        <f>SUMIFS('ноябрь 2025'!$G$2:$G$2583,'ноябрь 2025'!$D$2:$D$2583,$B156,'ноябрь 2025'!$J$2:$J$2583,AC$1)</f>
        <v>0</v>
      </c>
      <c r="AD156" s="183">
        <f>SUMIFS('ноябрь 2025'!$G$2:$G$2583,'ноябрь 2025'!$D$2:$D$2583,$B156,'ноябрь 2025'!$J$2:$J$2583,AD$1)</f>
        <v>0</v>
      </c>
      <c r="AE156" s="183">
        <f>SUMIFS('ноябрь 2025'!$G$2:$G$2583,'ноябрь 2025'!$D$2:$D$2583,$B156,'ноябрь 2025'!$J$2:$J$2583,AE$1)</f>
        <v>0</v>
      </c>
      <c r="AF156" s="183">
        <f>SUMIFS('ноябрь 2025'!$G$2:$G$2583,'ноябрь 2025'!$D$2:$D$2583,$B156,'ноябрь 2025'!$J$2:$J$2583,AF$1)</f>
        <v>0</v>
      </c>
      <c r="AG156" s="183">
        <f>SUMIFS('ноябрь 2025'!$G$2:$G$2583,'ноябрь 2025'!$D$2:$D$2583,$B156,'ноябрь 2025'!$J$2:$J$2583,AG$1)</f>
        <v>0</v>
      </c>
      <c r="AH156" s="183">
        <f>SUMIFS('ноябрь 2025'!$G$2:$G$2583,'ноябрь 2025'!$D$2:$D$2583,$B156,'ноябрь 2025'!$J$2:$J$2583,AH$1)</f>
        <v>0</v>
      </c>
      <c r="AI156" s="20">
        <f t="shared" si="1"/>
        <v>0</v>
      </c>
    </row>
    <row r="157" spans="2:35" ht="15" customHeight="1" x14ac:dyDescent="0.25">
      <c r="B157" s="84" t="s">
        <v>274</v>
      </c>
      <c r="C157" s="83">
        <v>200</v>
      </c>
      <c r="D157" s="183">
        <f>SUMIFS('ноябрь 2025'!$G$2:$G$2583,'ноябрь 2025'!$D$2:$D$2583,$B157,'ноябрь 2025'!$J$2:$J$2583,D$1)</f>
        <v>0</v>
      </c>
      <c r="E157" s="183">
        <f>SUMIFS('ноябрь 2025'!$G$2:$G$2583,'ноябрь 2025'!$D$2:$D$2583,$B157,'ноябрь 2025'!$J$2:$J$2583,E$1)</f>
        <v>0</v>
      </c>
      <c r="F157" s="183">
        <f>SUMIFS('ноябрь 2025'!$G$2:$G$2583,'ноябрь 2025'!$D$2:$D$2583,$B157,'ноябрь 2025'!$J$2:$J$2583,F$1)</f>
        <v>0</v>
      </c>
      <c r="G157" s="183">
        <f>SUMIFS('ноябрь 2025'!$G$2:$G$2583,'ноябрь 2025'!$D$2:$D$2583,$B157,'ноябрь 2025'!$J$2:$J$2583,G$1)</f>
        <v>0</v>
      </c>
      <c r="H157" s="183">
        <f>SUMIFS('ноябрь 2025'!$G$2:$G$2583,'ноябрь 2025'!$D$2:$D$2583,$B157,'ноябрь 2025'!$J$2:$J$2583,H$1)</f>
        <v>0</v>
      </c>
      <c r="I157" s="183">
        <f>SUMIFS('ноябрь 2025'!$G$2:$G$2583,'ноябрь 2025'!$D$2:$D$2583,$B157,'ноябрь 2025'!$J$2:$J$2583,I$1)</f>
        <v>0</v>
      </c>
      <c r="J157" s="183">
        <f>SUMIFS('ноябрь 2025'!$G$2:$G$2583,'ноябрь 2025'!$D$2:$D$2583,$B157,'ноябрь 2025'!$J$2:$J$2583,J$1)</f>
        <v>0</v>
      </c>
      <c r="K157" s="183">
        <f>SUMIFS('ноябрь 2025'!$G$2:$G$2583,'ноябрь 2025'!$D$2:$D$2583,$B157,'ноябрь 2025'!$J$2:$J$2583,K$1)</f>
        <v>0</v>
      </c>
      <c r="L157" s="183">
        <f>SUMIFS('ноябрь 2025'!$G$2:$G$2583,'ноябрь 2025'!$D$2:$D$2583,$B157,'ноябрь 2025'!$J$2:$J$2583,L$1)</f>
        <v>0</v>
      </c>
      <c r="M157" s="183">
        <f>SUMIFS('ноябрь 2025'!$G$2:$G$2583,'ноябрь 2025'!$D$2:$D$2583,$B157,'ноябрь 2025'!$J$2:$J$2583,M$1)</f>
        <v>0</v>
      </c>
      <c r="N157" s="183">
        <f>SUMIFS('ноябрь 2025'!$G$2:$G$2583,'ноябрь 2025'!$D$2:$D$2583,$B157,'ноябрь 2025'!$J$2:$J$2583,N$1)</f>
        <v>0</v>
      </c>
      <c r="O157" s="183">
        <f>SUMIFS('ноябрь 2025'!$G$2:$G$2583,'ноябрь 2025'!$D$2:$D$2583,$B157,'ноябрь 2025'!$J$2:$J$2583,O$1)</f>
        <v>0</v>
      </c>
      <c r="P157" s="183">
        <f>SUMIFS('ноябрь 2025'!$G$2:$G$2583,'ноябрь 2025'!$D$2:$D$2583,$B157,'ноябрь 2025'!$J$2:$J$2583,P$1)</f>
        <v>0</v>
      </c>
      <c r="Q157" s="183">
        <f>SUMIFS('ноябрь 2025'!$G$2:$G$2583,'ноябрь 2025'!$D$2:$D$2583,$B157,'ноябрь 2025'!$J$2:$J$2583,Q$1)</f>
        <v>0</v>
      </c>
      <c r="R157" s="183">
        <f>SUMIFS('ноябрь 2025'!$G$2:$G$2583,'ноябрь 2025'!$D$2:$D$2583,$B157,'ноябрь 2025'!$J$2:$J$2583,R$1)</f>
        <v>0</v>
      </c>
      <c r="S157" s="183">
        <f>SUMIFS('ноябрь 2025'!$G$2:$G$2583,'ноябрь 2025'!$D$2:$D$2583,$B157,'ноябрь 2025'!$J$2:$J$2583,S$1)</f>
        <v>0</v>
      </c>
      <c r="T157" s="183">
        <f>SUMIFS('ноябрь 2025'!$G$2:$G$2583,'ноябрь 2025'!$D$2:$D$2583,$B157,'ноябрь 2025'!$J$2:$J$2583,T$1)</f>
        <v>0</v>
      </c>
      <c r="U157" s="183">
        <f>SUMIFS('ноябрь 2025'!$G$2:$G$2583,'ноябрь 2025'!$D$2:$D$2583,$B157,'ноябрь 2025'!$J$2:$J$2583,U$1)</f>
        <v>0</v>
      </c>
      <c r="V157" s="183">
        <f>SUMIFS('ноябрь 2025'!$G$2:$G$2583,'ноябрь 2025'!$D$2:$D$2583,$B157,'ноябрь 2025'!$J$2:$J$2583,V$1)</f>
        <v>0</v>
      </c>
      <c r="W157" s="183">
        <f>SUMIFS('ноябрь 2025'!$G$2:$G$2583,'ноябрь 2025'!$D$2:$D$2583,$B157,'ноябрь 2025'!$J$2:$J$2583,W$1)</f>
        <v>0</v>
      </c>
      <c r="X157" s="183">
        <f>SUMIFS('ноябрь 2025'!$G$2:$G$2583,'ноябрь 2025'!$D$2:$D$2583,$B157,'ноябрь 2025'!$J$2:$J$2583,X$1)</f>
        <v>0</v>
      </c>
      <c r="Y157" s="183">
        <f>SUMIFS('ноябрь 2025'!$G$2:$G$2583,'ноябрь 2025'!$D$2:$D$2583,$B157,'ноябрь 2025'!$J$2:$J$2583,Y$1)</f>
        <v>0</v>
      </c>
      <c r="Z157" s="183">
        <f>SUMIFS('ноябрь 2025'!$G$2:$G$2583,'ноябрь 2025'!$D$2:$D$2583,$B157,'ноябрь 2025'!$J$2:$J$2583,Z$1)</f>
        <v>0</v>
      </c>
      <c r="AA157" s="183">
        <f>SUMIFS('ноябрь 2025'!$G$2:$G$2583,'ноябрь 2025'!$D$2:$D$2583,$B157,'ноябрь 2025'!$J$2:$J$2583,AA$1)</f>
        <v>0</v>
      </c>
      <c r="AB157" s="183">
        <f>SUMIFS('ноябрь 2025'!$G$2:$G$2583,'ноябрь 2025'!$D$2:$D$2583,$B157,'ноябрь 2025'!$J$2:$J$2583,AB$1)</f>
        <v>0</v>
      </c>
      <c r="AC157" s="183">
        <f>SUMIFS('ноябрь 2025'!$G$2:$G$2583,'ноябрь 2025'!$D$2:$D$2583,$B157,'ноябрь 2025'!$J$2:$J$2583,AC$1)</f>
        <v>0</v>
      </c>
      <c r="AD157" s="183">
        <f>SUMIFS('ноябрь 2025'!$G$2:$G$2583,'ноябрь 2025'!$D$2:$D$2583,$B157,'ноябрь 2025'!$J$2:$J$2583,AD$1)</f>
        <v>0</v>
      </c>
      <c r="AE157" s="183">
        <f>SUMIFS('ноябрь 2025'!$G$2:$G$2583,'ноябрь 2025'!$D$2:$D$2583,$B157,'ноябрь 2025'!$J$2:$J$2583,AE$1)</f>
        <v>0</v>
      </c>
      <c r="AF157" s="183">
        <f>SUMIFS('ноябрь 2025'!$G$2:$G$2583,'ноябрь 2025'!$D$2:$D$2583,$B157,'ноябрь 2025'!$J$2:$J$2583,AF$1)</f>
        <v>0</v>
      </c>
      <c r="AG157" s="183">
        <f>SUMIFS('ноябрь 2025'!$G$2:$G$2583,'ноябрь 2025'!$D$2:$D$2583,$B157,'ноябрь 2025'!$J$2:$J$2583,AG$1)</f>
        <v>0</v>
      </c>
      <c r="AH157" s="183">
        <f>SUMIFS('ноябрь 2025'!$G$2:$G$2583,'ноябрь 2025'!$D$2:$D$2583,$B157,'ноябрь 2025'!$J$2:$J$2583,AH$1)</f>
        <v>0</v>
      </c>
      <c r="AI157" s="20">
        <f t="shared" si="1"/>
        <v>0</v>
      </c>
    </row>
    <row r="158" spans="2:35" ht="15" customHeight="1" x14ac:dyDescent="0.25">
      <c r="B158" s="84" t="s">
        <v>313</v>
      </c>
      <c r="C158" s="83">
        <v>1000</v>
      </c>
      <c r="D158" s="183">
        <f>SUMIFS('ноябрь 2025'!$G$2:$G$2583,'ноябрь 2025'!$D$2:$D$2583,$B158,'ноябрь 2025'!$J$2:$J$2583,D$1)</f>
        <v>0</v>
      </c>
      <c r="E158" s="183">
        <f>SUMIFS('ноябрь 2025'!$G$2:$G$2583,'ноябрь 2025'!$D$2:$D$2583,$B158,'ноябрь 2025'!$J$2:$J$2583,E$1)</f>
        <v>0</v>
      </c>
      <c r="F158" s="183">
        <f>SUMIFS('ноябрь 2025'!$G$2:$G$2583,'ноябрь 2025'!$D$2:$D$2583,$B158,'ноябрь 2025'!$J$2:$J$2583,F$1)</f>
        <v>0</v>
      </c>
      <c r="G158" s="183">
        <f>SUMIFS('ноябрь 2025'!$G$2:$G$2583,'ноябрь 2025'!$D$2:$D$2583,$B158,'ноябрь 2025'!$J$2:$J$2583,G$1)</f>
        <v>0</v>
      </c>
      <c r="H158" s="183">
        <f>SUMIFS('ноябрь 2025'!$G$2:$G$2583,'ноябрь 2025'!$D$2:$D$2583,$B158,'ноябрь 2025'!$J$2:$J$2583,H$1)</f>
        <v>0</v>
      </c>
      <c r="I158" s="183">
        <f>SUMIFS('ноябрь 2025'!$G$2:$G$2583,'ноябрь 2025'!$D$2:$D$2583,$B158,'ноябрь 2025'!$J$2:$J$2583,I$1)</f>
        <v>0</v>
      </c>
      <c r="J158" s="183">
        <f>SUMIFS('ноябрь 2025'!$G$2:$G$2583,'ноябрь 2025'!$D$2:$D$2583,$B158,'ноябрь 2025'!$J$2:$J$2583,J$1)</f>
        <v>0</v>
      </c>
      <c r="K158" s="183">
        <f>SUMIFS('ноябрь 2025'!$G$2:$G$2583,'ноябрь 2025'!$D$2:$D$2583,$B158,'ноябрь 2025'!$J$2:$J$2583,K$1)</f>
        <v>0</v>
      </c>
      <c r="L158" s="183">
        <f>SUMIFS('ноябрь 2025'!$G$2:$G$2583,'ноябрь 2025'!$D$2:$D$2583,$B158,'ноябрь 2025'!$J$2:$J$2583,L$1)</f>
        <v>0</v>
      </c>
      <c r="M158" s="183">
        <f>SUMIFS('ноябрь 2025'!$G$2:$G$2583,'ноябрь 2025'!$D$2:$D$2583,$B158,'ноябрь 2025'!$J$2:$J$2583,M$1)</f>
        <v>0</v>
      </c>
      <c r="N158" s="183">
        <f>SUMIFS('ноябрь 2025'!$G$2:$G$2583,'ноябрь 2025'!$D$2:$D$2583,$B158,'ноябрь 2025'!$J$2:$J$2583,N$1)</f>
        <v>0</v>
      </c>
      <c r="O158" s="183">
        <f>SUMIFS('ноябрь 2025'!$G$2:$G$2583,'ноябрь 2025'!$D$2:$D$2583,$B158,'ноябрь 2025'!$J$2:$J$2583,O$1)</f>
        <v>0</v>
      </c>
      <c r="P158" s="183">
        <f>SUMIFS('ноябрь 2025'!$G$2:$G$2583,'ноябрь 2025'!$D$2:$D$2583,$B158,'ноябрь 2025'!$J$2:$J$2583,P$1)</f>
        <v>0</v>
      </c>
      <c r="Q158" s="183">
        <f>SUMIFS('ноябрь 2025'!$G$2:$G$2583,'ноябрь 2025'!$D$2:$D$2583,$B158,'ноябрь 2025'!$J$2:$J$2583,Q$1)</f>
        <v>0</v>
      </c>
      <c r="R158" s="183">
        <f>SUMIFS('ноябрь 2025'!$G$2:$G$2583,'ноябрь 2025'!$D$2:$D$2583,$B158,'ноябрь 2025'!$J$2:$J$2583,R$1)</f>
        <v>0</v>
      </c>
      <c r="S158" s="183">
        <f>SUMIFS('ноябрь 2025'!$G$2:$G$2583,'ноябрь 2025'!$D$2:$D$2583,$B158,'ноябрь 2025'!$J$2:$J$2583,S$1)</f>
        <v>0</v>
      </c>
      <c r="T158" s="183">
        <f>SUMIFS('ноябрь 2025'!$G$2:$G$2583,'ноябрь 2025'!$D$2:$D$2583,$B158,'ноябрь 2025'!$J$2:$J$2583,T$1)</f>
        <v>0</v>
      </c>
      <c r="U158" s="183">
        <f>SUMIFS('ноябрь 2025'!$G$2:$G$2583,'ноябрь 2025'!$D$2:$D$2583,$B158,'ноябрь 2025'!$J$2:$J$2583,U$1)</f>
        <v>0</v>
      </c>
      <c r="V158" s="183">
        <f>SUMIFS('ноябрь 2025'!$G$2:$G$2583,'ноябрь 2025'!$D$2:$D$2583,$B158,'ноябрь 2025'!$J$2:$J$2583,V$1)</f>
        <v>0</v>
      </c>
      <c r="W158" s="183">
        <f>SUMIFS('ноябрь 2025'!$G$2:$G$2583,'ноябрь 2025'!$D$2:$D$2583,$B158,'ноябрь 2025'!$J$2:$J$2583,W$1)</f>
        <v>0</v>
      </c>
      <c r="X158" s="183">
        <f>SUMIFS('ноябрь 2025'!$G$2:$G$2583,'ноябрь 2025'!$D$2:$D$2583,$B158,'ноябрь 2025'!$J$2:$J$2583,X$1)</f>
        <v>0</v>
      </c>
      <c r="Y158" s="183">
        <f>SUMIFS('ноябрь 2025'!$G$2:$G$2583,'ноябрь 2025'!$D$2:$D$2583,$B158,'ноябрь 2025'!$J$2:$J$2583,Y$1)</f>
        <v>0</v>
      </c>
      <c r="Z158" s="183">
        <f>SUMIFS('ноябрь 2025'!$G$2:$G$2583,'ноябрь 2025'!$D$2:$D$2583,$B158,'ноябрь 2025'!$J$2:$J$2583,Z$1)</f>
        <v>0</v>
      </c>
      <c r="AA158" s="183">
        <f>SUMIFS('ноябрь 2025'!$G$2:$G$2583,'ноябрь 2025'!$D$2:$D$2583,$B158,'ноябрь 2025'!$J$2:$J$2583,AA$1)</f>
        <v>0</v>
      </c>
      <c r="AB158" s="183">
        <f>SUMIFS('ноябрь 2025'!$G$2:$G$2583,'ноябрь 2025'!$D$2:$D$2583,$B158,'ноябрь 2025'!$J$2:$J$2583,AB$1)</f>
        <v>0</v>
      </c>
      <c r="AC158" s="183">
        <f>SUMIFS('ноябрь 2025'!$G$2:$G$2583,'ноябрь 2025'!$D$2:$D$2583,$B158,'ноябрь 2025'!$J$2:$J$2583,AC$1)</f>
        <v>0</v>
      </c>
      <c r="AD158" s="183">
        <f>SUMIFS('ноябрь 2025'!$G$2:$G$2583,'ноябрь 2025'!$D$2:$D$2583,$B158,'ноябрь 2025'!$J$2:$J$2583,AD$1)</f>
        <v>0</v>
      </c>
      <c r="AE158" s="183">
        <f>SUMIFS('ноябрь 2025'!$G$2:$G$2583,'ноябрь 2025'!$D$2:$D$2583,$B158,'ноябрь 2025'!$J$2:$J$2583,AE$1)</f>
        <v>0</v>
      </c>
      <c r="AF158" s="183">
        <f>SUMIFS('ноябрь 2025'!$G$2:$G$2583,'ноябрь 2025'!$D$2:$D$2583,$B158,'ноябрь 2025'!$J$2:$J$2583,AF$1)</f>
        <v>0</v>
      </c>
      <c r="AG158" s="183">
        <f>SUMIFS('ноябрь 2025'!$G$2:$G$2583,'ноябрь 2025'!$D$2:$D$2583,$B158,'ноябрь 2025'!$J$2:$J$2583,AG$1)</f>
        <v>0</v>
      </c>
      <c r="AH158" s="183">
        <f>SUMIFS('ноябрь 2025'!$G$2:$G$2583,'ноябрь 2025'!$D$2:$D$2583,$B158,'ноябрь 2025'!$J$2:$J$2583,AH$1)</f>
        <v>0</v>
      </c>
      <c r="AI158" s="20">
        <f t="shared" si="1"/>
        <v>0</v>
      </c>
    </row>
    <row r="159" spans="2:35" ht="15" customHeight="1" x14ac:dyDescent="0.25">
      <c r="B159" s="84" t="s">
        <v>200</v>
      </c>
      <c r="C159" s="83">
        <v>200</v>
      </c>
      <c r="D159" s="183">
        <f>SUMIFS('ноябрь 2025'!$G$2:$G$2583,'ноябрь 2025'!$D$2:$D$2583,$B159,'ноябрь 2025'!$J$2:$J$2583,D$1)</f>
        <v>0</v>
      </c>
      <c r="E159" s="183">
        <f>SUMIFS('ноябрь 2025'!$G$2:$G$2583,'ноябрь 2025'!$D$2:$D$2583,$B159,'ноябрь 2025'!$J$2:$J$2583,E$1)</f>
        <v>0</v>
      </c>
      <c r="F159" s="183">
        <f>SUMIFS('ноябрь 2025'!$G$2:$G$2583,'ноябрь 2025'!$D$2:$D$2583,$B159,'ноябрь 2025'!$J$2:$J$2583,F$1)</f>
        <v>0</v>
      </c>
      <c r="G159" s="183">
        <f>SUMIFS('ноябрь 2025'!$G$2:$G$2583,'ноябрь 2025'!$D$2:$D$2583,$B159,'ноябрь 2025'!$J$2:$J$2583,G$1)</f>
        <v>0</v>
      </c>
      <c r="H159" s="183">
        <f>SUMIFS('ноябрь 2025'!$G$2:$G$2583,'ноябрь 2025'!$D$2:$D$2583,$B159,'ноябрь 2025'!$J$2:$J$2583,H$1)</f>
        <v>0</v>
      </c>
      <c r="I159" s="183">
        <f>SUMIFS('ноябрь 2025'!$G$2:$G$2583,'ноябрь 2025'!$D$2:$D$2583,$B159,'ноябрь 2025'!$J$2:$J$2583,I$1)</f>
        <v>0</v>
      </c>
      <c r="J159" s="183">
        <f>SUMIFS('ноябрь 2025'!$G$2:$G$2583,'ноябрь 2025'!$D$2:$D$2583,$B159,'ноябрь 2025'!$J$2:$J$2583,J$1)</f>
        <v>0</v>
      </c>
      <c r="K159" s="183">
        <f>SUMIFS('ноябрь 2025'!$G$2:$G$2583,'ноябрь 2025'!$D$2:$D$2583,$B159,'ноябрь 2025'!$J$2:$J$2583,K$1)</f>
        <v>0</v>
      </c>
      <c r="L159" s="183">
        <f>SUMIFS('ноябрь 2025'!$G$2:$G$2583,'ноябрь 2025'!$D$2:$D$2583,$B159,'ноябрь 2025'!$J$2:$J$2583,L$1)</f>
        <v>0</v>
      </c>
      <c r="M159" s="183">
        <f>SUMIFS('ноябрь 2025'!$G$2:$G$2583,'ноябрь 2025'!$D$2:$D$2583,$B159,'ноябрь 2025'!$J$2:$J$2583,M$1)</f>
        <v>0</v>
      </c>
      <c r="N159" s="183">
        <f>SUMIFS('ноябрь 2025'!$G$2:$G$2583,'ноябрь 2025'!$D$2:$D$2583,$B159,'ноябрь 2025'!$J$2:$J$2583,N$1)</f>
        <v>0</v>
      </c>
      <c r="O159" s="183">
        <f>SUMIFS('ноябрь 2025'!$G$2:$G$2583,'ноябрь 2025'!$D$2:$D$2583,$B159,'ноябрь 2025'!$J$2:$J$2583,O$1)</f>
        <v>0</v>
      </c>
      <c r="P159" s="183">
        <f>SUMIFS('ноябрь 2025'!$G$2:$G$2583,'ноябрь 2025'!$D$2:$D$2583,$B159,'ноябрь 2025'!$J$2:$J$2583,P$1)</f>
        <v>0</v>
      </c>
      <c r="Q159" s="183">
        <f>SUMIFS('ноябрь 2025'!$G$2:$G$2583,'ноябрь 2025'!$D$2:$D$2583,$B159,'ноябрь 2025'!$J$2:$J$2583,Q$1)</f>
        <v>0</v>
      </c>
      <c r="R159" s="183">
        <f>SUMIFS('ноябрь 2025'!$G$2:$G$2583,'ноябрь 2025'!$D$2:$D$2583,$B159,'ноябрь 2025'!$J$2:$J$2583,R$1)</f>
        <v>0</v>
      </c>
      <c r="S159" s="183">
        <f>SUMIFS('ноябрь 2025'!$G$2:$G$2583,'ноябрь 2025'!$D$2:$D$2583,$B159,'ноябрь 2025'!$J$2:$J$2583,S$1)</f>
        <v>0</v>
      </c>
      <c r="T159" s="183">
        <f>SUMIFS('ноябрь 2025'!$G$2:$G$2583,'ноябрь 2025'!$D$2:$D$2583,$B159,'ноябрь 2025'!$J$2:$J$2583,T$1)</f>
        <v>0</v>
      </c>
      <c r="U159" s="183">
        <f>SUMIFS('ноябрь 2025'!$G$2:$G$2583,'ноябрь 2025'!$D$2:$D$2583,$B159,'ноябрь 2025'!$J$2:$J$2583,U$1)</f>
        <v>0</v>
      </c>
      <c r="V159" s="183">
        <f>SUMIFS('ноябрь 2025'!$G$2:$G$2583,'ноябрь 2025'!$D$2:$D$2583,$B159,'ноябрь 2025'!$J$2:$J$2583,V$1)</f>
        <v>0</v>
      </c>
      <c r="W159" s="183">
        <f>SUMIFS('ноябрь 2025'!$G$2:$G$2583,'ноябрь 2025'!$D$2:$D$2583,$B159,'ноябрь 2025'!$J$2:$J$2583,W$1)</f>
        <v>0</v>
      </c>
      <c r="X159" s="183">
        <f>SUMIFS('ноябрь 2025'!$G$2:$G$2583,'ноябрь 2025'!$D$2:$D$2583,$B159,'ноябрь 2025'!$J$2:$J$2583,X$1)</f>
        <v>0</v>
      </c>
      <c r="Y159" s="183">
        <f>SUMIFS('ноябрь 2025'!$G$2:$G$2583,'ноябрь 2025'!$D$2:$D$2583,$B159,'ноябрь 2025'!$J$2:$J$2583,Y$1)</f>
        <v>0</v>
      </c>
      <c r="Z159" s="183">
        <f>SUMIFS('ноябрь 2025'!$G$2:$G$2583,'ноябрь 2025'!$D$2:$D$2583,$B159,'ноябрь 2025'!$J$2:$J$2583,Z$1)</f>
        <v>0</v>
      </c>
      <c r="AA159" s="183">
        <f>SUMIFS('ноябрь 2025'!$G$2:$G$2583,'ноябрь 2025'!$D$2:$D$2583,$B159,'ноябрь 2025'!$J$2:$J$2583,AA$1)</f>
        <v>0</v>
      </c>
      <c r="AB159" s="183">
        <f>SUMIFS('ноябрь 2025'!$G$2:$G$2583,'ноябрь 2025'!$D$2:$D$2583,$B159,'ноябрь 2025'!$J$2:$J$2583,AB$1)</f>
        <v>0</v>
      </c>
      <c r="AC159" s="183">
        <f>SUMIFS('ноябрь 2025'!$G$2:$G$2583,'ноябрь 2025'!$D$2:$D$2583,$B159,'ноябрь 2025'!$J$2:$J$2583,AC$1)</f>
        <v>0</v>
      </c>
      <c r="AD159" s="183">
        <f>SUMIFS('ноябрь 2025'!$G$2:$G$2583,'ноябрь 2025'!$D$2:$D$2583,$B159,'ноябрь 2025'!$J$2:$J$2583,AD$1)</f>
        <v>0</v>
      </c>
      <c r="AE159" s="183">
        <f>SUMIFS('ноябрь 2025'!$G$2:$G$2583,'ноябрь 2025'!$D$2:$D$2583,$B159,'ноябрь 2025'!$J$2:$J$2583,AE$1)</f>
        <v>0</v>
      </c>
      <c r="AF159" s="183">
        <f>SUMIFS('ноябрь 2025'!$G$2:$G$2583,'ноябрь 2025'!$D$2:$D$2583,$B159,'ноябрь 2025'!$J$2:$J$2583,AF$1)</f>
        <v>0</v>
      </c>
      <c r="AG159" s="183">
        <f>SUMIFS('ноябрь 2025'!$G$2:$G$2583,'ноябрь 2025'!$D$2:$D$2583,$B159,'ноябрь 2025'!$J$2:$J$2583,AG$1)</f>
        <v>0</v>
      </c>
      <c r="AH159" s="183">
        <f>SUMIFS('ноябрь 2025'!$G$2:$G$2583,'ноябрь 2025'!$D$2:$D$2583,$B159,'ноябрь 2025'!$J$2:$J$2583,AH$1)</f>
        <v>0</v>
      </c>
      <c r="AI159" s="20">
        <f t="shared" si="1"/>
        <v>0</v>
      </c>
    </row>
    <row r="160" spans="2:35" ht="15" customHeight="1" x14ac:dyDescent="0.25">
      <c r="B160" s="84" t="s">
        <v>275</v>
      </c>
      <c r="C160" s="83">
        <v>200</v>
      </c>
      <c r="D160" s="183">
        <f>SUMIFS('ноябрь 2025'!$G$2:$G$2583,'ноябрь 2025'!$D$2:$D$2583,$B160,'ноябрь 2025'!$J$2:$J$2583,D$1)</f>
        <v>0</v>
      </c>
      <c r="E160" s="183">
        <f>SUMIFS('ноябрь 2025'!$G$2:$G$2583,'ноябрь 2025'!$D$2:$D$2583,$B160,'ноябрь 2025'!$J$2:$J$2583,E$1)</f>
        <v>0</v>
      </c>
      <c r="F160" s="183">
        <f>SUMIFS('ноябрь 2025'!$G$2:$G$2583,'ноябрь 2025'!$D$2:$D$2583,$B160,'ноябрь 2025'!$J$2:$J$2583,F$1)</f>
        <v>0</v>
      </c>
      <c r="G160" s="183">
        <f>SUMIFS('ноябрь 2025'!$G$2:$G$2583,'ноябрь 2025'!$D$2:$D$2583,$B160,'ноябрь 2025'!$J$2:$J$2583,G$1)</f>
        <v>0</v>
      </c>
      <c r="H160" s="183">
        <f>SUMIFS('ноябрь 2025'!$G$2:$G$2583,'ноябрь 2025'!$D$2:$D$2583,$B160,'ноябрь 2025'!$J$2:$J$2583,H$1)</f>
        <v>0</v>
      </c>
      <c r="I160" s="183">
        <f>SUMIFS('ноябрь 2025'!$G$2:$G$2583,'ноябрь 2025'!$D$2:$D$2583,$B160,'ноябрь 2025'!$J$2:$J$2583,I$1)</f>
        <v>0</v>
      </c>
      <c r="J160" s="183">
        <f>SUMIFS('ноябрь 2025'!$G$2:$G$2583,'ноябрь 2025'!$D$2:$D$2583,$B160,'ноябрь 2025'!$J$2:$J$2583,J$1)</f>
        <v>0</v>
      </c>
      <c r="K160" s="183">
        <f>SUMIFS('ноябрь 2025'!$G$2:$G$2583,'ноябрь 2025'!$D$2:$D$2583,$B160,'ноябрь 2025'!$J$2:$J$2583,K$1)</f>
        <v>0</v>
      </c>
      <c r="L160" s="183">
        <f>SUMIFS('ноябрь 2025'!$G$2:$G$2583,'ноябрь 2025'!$D$2:$D$2583,$B160,'ноябрь 2025'!$J$2:$J$2583,L$1)</f>
        <v>0</v>
      </c>
      <c r="M160" s="183">
        <f>SUMIFS('ноябрь 2025'!$G$2:$G$2583,'ноябрь 2025'!$D$2:$D$2583,$B160,'ноябрь 2025'!$J$2:$J$2583,M$1)</f>
        <v>0</v>
      </c>
      <c r="N160" s="183">
        <f>SUMIFS('ноябрь 2025'!$G$2:$G$2583,'ноябрь 2025'!$D$2:$D$2583,$B160,'ноябрь 2025'!$J$2:$J$2583,N$1)</f>
        <v>0</v>
      </c>
      <c r="O160" s="183">
        <f>SUMIFS('ноябрь 2025'!$G$2:$G$2583,'ноябрь 2025'!$D$2:$D$2583,$B160,'ноябрь 2025'!$J$2:$J$2583,O$1)</f>
        <v>0</v>
      </c>
      <c r="P160" s="183">
        <f>SUMIFS('ноябрь 2025'!$G$2:$G$2583,'ноябрь 2025'!$D$2:$D$2583,$B160,'ноябрь 2025'!$J$2:$J$2583,P$1)</f>
        <v>0</v>
      </c>
      <c r="Q160" s="183">
        <f>SUMIFS('ноябрь 2025'!$G$2:$G$2583,'ноябрь 2025'!$D$2:$D$2583,$B160,'ноябрь 2025'!$J$2:$J$2583,Q$1)</f>
        <v>0</v>
      </c>
      <c r="R160" s="183">
        <f>SUMIFS('ноябрь 2025'!$G$2:$G$2583,'ноябрь 2025'!$D$2:$D$2583,$B160,'ноябрь 2025'!$J$2:$J$2583,R$1)</f>
        <v>0</v>
      </c>
      <c r="S160" s="183">
        <f>SUMIFS('ноябрь 2025'!$G$2:$G$2583,'ноябрь 2025'!$D$2:$D$2583,$B160,'ноябрь 2025'!$J$2:$J$2583,S$1)</f>
        <v>0</v>
      </c>
      <c r="T160" s="183">
        <f>SUMIFS('ноябрь 2025'!$G$2:$G$2583,'ноябрь 2025'!$D$2:$D$2583,$B160,'ноябрь 2025'!$J$2:$J$2583,T$1)</f>
        <v>0</v>
      </c>
      <c r="U160" s="183">
        <f>SUMIFS('ноябрь 2025'!$G$2:$G$2583,'ноябрь 2025'!$D$2:$D$2583,$B160,'ноябрь 2025'!$J$2:$J$2583,U$1)</f>
        <v>0</v>
      </c>
      <c r="V160" s="183">
        <f>SUMIFS('ноябрь 2025'!$G$2:$G$2583,'ноябрь 2025'!$D$2:$D$2583,$B160,'ноябрь 2025'!$J$2:$J$2583,V$1)</f>
        <v>0</v>
      </c>
      <c r="W160" s="183">
        <f>SUMIFS('ноябрь 2025'!$G$2:$G$2583,'ноябрь 2025'!$D$2:$D$2583,$B160,'ноябрь 2025'!$J$2:$J$2583,W$1)</f>
        <v>0</v>
      </c>
      <c r="X160" s="183">
        <f>SUMIFS('ноябрь 2025'!$G$2:$G$2583,'ноябрь 2025'!$D$2:$D$2583,$B160,'ноябрь 2025'!$J$2:$J$2583,X$1)</f>
        <v>0</v>
      </c>
      <c r="Y160" s="183">
        <f>SUMIFS('ноябрь 2025'!$G$2:$G$2583,'ноябрь 2025'!$D$2:$D$2583,$B160,'ноябрь 2025'!$J$2:$J$2583,Y$1)</f>
        <v>0</v>
      </c>
      <c r="Z160" s="183">
        <f>SUMIFS('ноябрь 2025'!$G$2:$G$2583,'ноябрь 2025'!$D$2:$D$2583,$B160,'ноябрь 2025'!$J$2:$J$2583,Z$1)</f>
        <v>0</v>
      </c>
      <c r="AA160" s="183">
        <f>SUMIFS('ноябрь 2025'!$G$2:$G$2583,'ноябрь 2025'!$D$2:$D$2583,$B160,'ноябрь 2025'!$J$2:$J$2583,AA$1)</f>
        <v>0</v>
      </c>
      <c r="AB160" s="183">
        <f>SUMIFS('ноябрь 2025'!$G$2:$G$2583,'ноябрь 2025'!$D$2:$D$2583,$B160,'ноябрь 2025'!$J$2:$J$2583,AB$1)</f>
        <v>0</v>
      </c>
      <c r="AC160" s="183">
        <f>SUMIFS('ноябрь 2025'!$G$2:$G$2583,'ноябрь 2025'!$D$2:$D$2583,$B160,'ноябрь 2025'!$J$2:$J$2583,AC$1)</f>
        <v>0</v>
      </c>
      <c r="AD160" s="183">
        <f>SUMIFS('ноябрь 2025'!$G$2:$G$2583,'ноябрь 2025'!$D$2:$D$2583,$B160,'ноябрь 2025'!$J$2:$J$2583,AD$1)</f>
        <v>0</v>
      </c>
      <c r="AE160" s="183">
        <f>SUMIFS('ноябрь 2025'!$G$2:$G$2583,'ноябрь 2025'!$D$2:$D$2583,$B160,'ноябрь 2025'!$J$2:$J$2583,AE$1)</f>
        <v>0</v>
      </c>
      <c r="AF160" s="183">
        <f>SUMIFS('ноябрь 2025'!$G$2:$G$2583,'ноябрь 2025'!$D$2:$D$2583,$B160,'ноябрь 2025'!$J$2:$J$2583,AF$1)</f>
        <v>0</v>
      </c>
      <c r="AG160" s="183">
        <f>SUMIFS('ноябрь 2025'!$G$2:$G$2583,'ноябрь 2025'!$D$2:$D$2583,$B160,'ноябрь 2025'!$J$2:$J$2583,AG$1)</f>
        <v>0</v>
      </c>
      <c r="AH160" s="183">
        <f>SUMIFS('ноябрь 2025'!$G$2:$G$2583,'ноябрь 2025'!$D$2:$D$2583,$B160,'ноябрь 2025'!$J$2:$J$2583,AH$1)</f>
        <v>0</v>
      </c>
      <c r="AI160" s="20">
        <f t="shared" si="1"/>
        <v>0</v>
      </c>
    </row>
    <row r="161" spans="2:35" ht="15" customHeight="1" x14ac:dyDescent="0.25">
      <c r="B161" s="84" t="s">
        <v>204</v>
      </c>
      <c r="C161" s="86">
        <v>200</v>
      </c>
      <c r="D161" s="183">
        <f>SUMIFS('ноябрь 2025'!$G$2:$G$2583,'ноябрь 2025'!$D$2:$D$2583,$B161,'ноябрь 2025'!$J$2:$J$2583,D$1)</f>
        <v>0</v>
      </c>
      <c r="E161" s="183">
        <f>SUMIFS('ноябрь 2025'!$G$2:$G$2583,'ноябрь 2025'!$D$2:$D$2583,$B161,'ноябрь 2025'!$J$2:$J$2583,E$1)</f>
        <v>0</v>
      </c>
      <c r="F161" s="183">
        <f>SUMIFS('ноябрь 2025'!$G$2:$G$2583,'ноябрь 2025'!$D$2:$D$2583,$B161,'ноябрь 2025'!$J$2:$J$2583,F$1)</f>
        <v>0</v>
      </c>
      <c r="G161" s="183">
        <f>SUMIFS('ноябрь 2025'!$G$2:$G$2583,'ноябрь 2025'!$D$2:$D$2583,$B161,'ноябрь 2025'!$J$2:$J$2583,G$1)</f>
        <v>0</v>
      </c>
      <c r="H161" s="183">
        <f>SUMIFS('ноябрь 2025'!$G$2:$G$2583,'ноябрь 2025'!$D$2:$D$2583,$B161,'ноябрь 2025'!$J$2:$J$2583,H$1)</f>
        <v>0</v>
      </c>
      <c r="I161" s="183">
        <f>SUMIFS('ноябрь 2025'!$G$2:$G$2583,'ноябрь 2025'!$D$2:$D$2583,$B161,'ноябрь 2025'!$J$2:$J$2583,I$1)</f>
        <v>0</v>
      </c>
      <c r="J161" s="183">
        <f>SUMIFS('ноябрь 2025'!$G$2:$G$2583,'ноябрь 2025'!$D$2:$D$2583,$B161,'ноябрь 2025'!$J$2:$J$2583,J$1)</f>
        <v>0</v>
      </c>
      <c r="K161" s="183">
        <f>SUMIFS('ноябрь 2025'!$G$2:$G$2583,'ноябрь 2025'!$D$2:$D$2583,$B161,'ноябрь 2025'!$J$2:$J$2583,K$1)</f>
        <v>0</v>
      </c>
      <c r="L161" s="183">
        <f>SUMIFS('ноябрь 2025'!$G$2:$G$2583,'ноябрь 2025'!$D$2:$D$2583,$B161,'ноябрь 2025'!$J$2:$J$2583,L$1)</f>
        <v>0</v>
      </c>
      <c r="M161" s="183">
        <f>SUMIFS('ноябрь 2025'!$G$2:$G$2583,'ноябрь 2025'!$D$2:$D$2583,$B161,'ноябрь 2025'!$J$2:$J$2583,M$1)</f>
        <v>0</v>
      </c>
      <c r="N161" s="183">
        <f>SUMIFS('ноябрь 2025'!$G$2:$G$2583,'ноябрь 2025'!$D$2:$D$2583,$B161,'ноябрь 2025'!$J$2:$J$2583,N$1)</f>
        <v>0</v>
      </c>
      <c r="O161" s="183">
        <f>SUMIFS('ноябрь 2025'!$G$2:$G$2583,'ноябрь 2025'!$D$2:$D$2583,$B161,'ноябрь 2025'!$J$2:$J$2583,O$1)</f>
        <v>0</v>
      </c>
      <c r="P161" s="183">
        <f>SUMIFS('ноябрь 2025'!$G$2:$G$2583,'ноябрь 2025'!$D$2:$D$2583,$B161,'ноябрь 2025'!$J$2:$J$2583,P$1)</f>
        <v>0</v>
      </c>
      <c r="Q161" s="183">
        <f>SUMIFS('ноябрь 2025'!$G$2:$G$2583,'ноябрь 2025'!$D$2:$D$2583,$B161,'ноябрь 2025'!$J$2:$J$2583,Q$1)</f>
        <v>0</v>
      </c>
      <c r="R161" s="183">
        <f>SUMIFS('ноябрь 2025'!$G$2:$G$2583,'ноябрь 2025'!$D$2:$D$2583,$B161,'ноябрь 2025'!$J$2:$J$2583,R$1)</f>
        <v>0</v>
      </c>
      <c r="S161" s="183">
        <f>SUMIFS('ноябрь 2025'!$G$2:$G$2583,'ноябрь 2025'!$D$2:$D$2583,$B161,'ноябрь 2025'!$J$2:$J$2583,S$1)</f>
        <v>0</v>
      </c>
      <c r="T161" s="183">
        <f>SUMIFS('ноябрь 2025'!$G$2:$G$2583,'ноябрь 2025'!$D$2:$D$2583,$B161,'ноябрь 2025'!$J$2:$J$2583,T$1)</f>
        <v>0</v>
      </c>
      <c r="U161" s="183">
        <f>SUMIFS('ноябрь 2025'!$G$2:$G$2583,'ноябрь 2025'!$D$2:$D$2583,$B161,'ноябрь 2025'!$J$2:$J$2583,U$1)</f>
        <v>0</v>
      </c>
      <c r="V161" s="183">
        <f>SUMIFS('ноябрь 2025'!$G$2:$G$2583,'ноябрь 2025'!$D$2:$D$2583,$B161,'ноябрь 2025'!$J$2:$J$2583,V$1)</f>
        <v>0</v>
      </c>
      <c r="W161" s="183">
        <f>SUMIFS('ноябрь 2025'!$G$2:$G$2583,'ноябрь 2025'!$D$2:$D$2583,$B161,'ноябрь 2025'!$J$2:$J$2583,W$1)</f>
        <v>0</v>
      </c>
      <c r="X161" s="183">
        <f>SUMIFS('ноябрь 2025'!$G$2:$G$2583,'ноябрь 2025'!$D$2:$D$2583,$B161,'ноябрь 2025'!$J$2:$J$2583,X$1)</f>
        <v>0</v>
      </c>
      <c r="Y161" s="183">
        <f>SUMIFS('ноябрь 2025'!$G$2:$G$2583,'ноябрь 2025'!$D$2:$D$2583,$B161,'ноябрь 2025'!$J$2:$J$2583,Y$1)</f>
        <v>0</v>
      </c>
      <c r="Z161" s="183">
        <f>SUMIFS('ноябрь 2025'!$G$2:$G$2583,'ноябрь 2025'!$D$2:$D$2583,$B161,'ноябрь 2025'!$J$2:$J$2583,Z$1)</f>
        <v>0</v>
      </c>
      <c r="AA161" s="183">
        <f>SUMIFS('ноябрь 2025'!$G$2:$G$2583,'ноябрь 2025'!$D$2:$D$2583,$B161,'ноябрь 2025'!$J$2:$J$2583,AA$1)</f>
        <v>0</v>
      </c>
      <c r="AB161" s="183">
        <f>SUMIFS('ноябрь 2025'!$G$2:$G$2583,'ноябрь 2025'!$D$2:$D$2583,$B161,'ноябрь 2025'!$J$2:$J$2583,AB$1)</f>
        <v>0</v>
      </c>
      <c r="AC161" s="183">
        <f>SUMIFS('ноябрь 2025'!$G$2:$G$2583,'ноябрь 2025'!$D$2:$D$2583,$B161,'ноябрь 2025'!$J$2:$J$2583,AC$1)</f>
        <v>0</v>
      </c>
      <c r="AD161" s="183">
        <f>SUMIFS('ноябрь 2025'!$G$2:$G$2583,'ноябрь 2025'!$D$2:$D$2583,$B161,'ноябрь 2025'!$J$2:$J$2583,AD$1)</f>
        <v>0</v>
      </c>
      <c r="AE161" s="183">
        <f>SUMIFS('ноябрь 2025'!$G$2:$G$2583,'ноябрь 2025'!$D$2:$D$2583,$B161,'ноябрь 2025'!$J$2:$J$2583,AE$1)</f>
        <v>0</v>
      </c>
      <c r="AF161" s="183">
        <f>SUMIFS('ноябрь 2025'!$G$2:$G$2583,'ноябрь 2025'!$D$2:$D$2583,$B161,'ноябрь 2025'!$J$2:$J$2583,AF$1)</f>
        <v>0</v>
      </c>
      <c r="AG161" s="183">
        <f>SUMIFS('ноябрь 2025'!$G$2:$G$2583,'ноябрь 2025'!$D$2:$D$2583,$B161,'ноябрь 2025'!$J$2:$J$2583,AG$1)</f>
        <v>0</v>
      </c>
      <c r="AH161" s="183">
        <f>SUMIFS('ноябрь 2025'!$G$2:$G$2583,'ноябрь 2025'!$D$2:$D$2583,$B161,'ноябрь 2025'!$J$2:$J$2583,AH$1)</f>
        <v>0</v>
      </c>
      <c r="AI161" s="20">
        <f t="shared" si="1"/>
        <v>0</v>
      </c>
    </row>
    <row r="162" spans="2:35" ht="15" customHeight="1" x14ac:dyDescent="0.25">
      <c r="B162" s="84" t="s">
        <v>290</v>
      </c>
      <c r="C162" s="86">
        <v>200</v>
      </c>
      <c r="D162" s="183">
        <f>SUMIFS('ноябрь 2025'!$G$2:$G$2583,'ноябрь 2025'!$D$2:$D$2583,$B162,'ноябрь 2025'!$J$2:$J$2583,D$1)</f>
        <v>0</v>
      </c>
      <c r="E162" s="183">
        <f>SUMIFS('ноябрь 2025'!$G$2:$G$2583,'ноябрь 2025'!$D$2:$D$2583,$B162,'ноябрь 2025'!$J$2:$J$2583,E$1)</f>
        <v>0</v>
      </c>
      <c r="F162" s="183">
        <f>SUMIFS('ноябрь 2025'!$G$2:$G$2583,'ноябрь 2025'!$D$2:$D$2583,$B162,'ноябрь 2025'!$J$2:$J$2583,F$1)</f>
        <v>0</v>
      </c>
      <c r="G162" s="183">
        <f>SUMIFS('ноябрь 2025'!$G$2:$G$2583,'ноябрь 2025'!$D$2:$D$2583,$B162,'ноябрь 2025'!$J$2:$J$2583,G$1)</f>
        <v>0</v>
      </c>
      <c r="H162" s="183">
        <f>SUMIFS('ноябрь 2025'!$G$2:$G$2583,'ноябрь 2025'!$D$2:$D$2583,$B162,'ноябрь 2025'!$J$2:$J$2583,H$1)</f>
        <v>0</v>
      </c>
      <c r="I162" s="183">
        <f>SUMIFS('ноябрь 2025'!$G$2:$G$2583,'ноябрь 2025'!$D$2:$D$2583,$B162,'ноябрь 2025'!$J$2:$J$2583,I$1)</f>
        <v>0</v>
      </c>
      <c r="J162" s="183">
        <f>SUMIFS('ноябрь 2025'!$G$2:$G$2583,'ноябрь 2025'!$D$2:$D$2583,$B162,'ноябрь 2025'!$J$2:$J$2583,J$1)</f>
        <v>0</v>
      </c>
      <c r="K162" s="183">
        <f>SUMIFS('ноябрь 2025'!$G$2:$G$2583,'ноябрь 2025'!$D$2:$D$2583,$B162,'ноябрь 2025'!$J$2:$J$2583,K$1)</f>
        <v>0</v>
      </c>
      <c r="L162" s="183">
        <f>SUMIFS('ноябрь 2025'!$G$2:$G$2583,'ноябрь 2025'!$D$2:$D$2583,$B162,'ноябрь 2025'!$J$2:$J$2583,L$1)</f>
        <v>0</v>
      </c>
      <c r="M162" s="183">
        <f>SUMIFS('ноябрь 2025'!$G$2:$G$2583,'ноябрь 2025'!$D$2:$D$2583,$B162,'ноябрь 2025'!$J$2:$J$2583,M$1)</f>
        <v>0</v>
      </c>
      <c r="N162" s="183">
        <f>SUMIFS('ноябрь 2025'!$G$2:$G$2583,'ноябрь 2025'!$D$2:$D$2583,$B162,'ноябрь 2025'!$J$2:$J$2583,N$1)</f>
        <v>0</v>
      </c>
      <c r="O162" s="183">
        <f>SUMIFS('ноябрь 2025'!$G$2:$G$2583,'ноябрь 2025'!$D$2:$D$2583,$B162,'ноябрь 2025'!$J$2:$J$2583,O$1)</f>
        <v>0</v>
      </c>
      <c r="P162" s="183">
        <f>SUMIFS('ноябрь 2025'!$G$2:$G$2583,'ноябрь 2025'!$D$2:$D$2583,$B162,'ноябрь 2025'!$J$2:$J$2583,P$1)</f>
        <v>0</v>
      </c>
      <c r="Q162" s="183">
        <f>SUMIFS('ноябрь 2025'!$G$2:$G$2583,'ноябрь 2025'!$D$2:$D$2583,$B162,'ноябрь 2025'!$J$2:$J$2583,Q$1)</f>
        <v>0</v>
      </c>
      <c r="R162" s="183">
        <f>SUMIFS('ноябрь 2025'!$G$2:$G$2583,'ноябрь 2025'!$D$2:$D$2583,$B162,'ноябрь 2025'!$J$2:$J$2583,R$1)</f>
        <v>0</v>
      </c>
      <c r="S162" s="183">
        <f>SUMIFS('ноябрь 2025'!$G$2:$G$2583,'ноябрь 2025'!$D$2:$D$2583,$B162,'ноябрь 2025'!$J$2:$J$2583,S$1)</f>
        <v>0</v>
      </c>
      <c r="T162" s="183">
        <f>SUMIFS('ноябрь 2025'!$G$2:$G$2583,'ноябрь 2025'!$D$2:$D$2583,$B162,'ноябрь 2025'!$J$2:$J$2583,T$1)</f>
        <v>0</v>
      </c>
      <c r="U162" s="183">
        <f>SUMIFS('ноябрь 2025'!$G$2:$G$2583,'ноябрь 2025'!$D$2:$D$2583,$B162,'ноябрь 2025'!$J$2:$J$2583,U$1)</f>
        <v>0</v>
      </c>
      <c r="V162" s="183">
        <f>SUMIFS('ноябрь 2025'!$G$2:$G$2583,'ноябрь 2025'!$D$2:$D$2583,$B162,'ноябрь 2025'!$J$2:$J$2583,V$1)</f>
        <v>0</v>
      </c>
      <c r="W162" s="183">
        <f>SUMIFS('ноябрь 2025'!$G$2:$G$2583,'ноябрь 2025'!$D$2:$D$2583,$B162,'ноябрь 2025'!$J$2:$J$2583,W$1)</f>
        <v>0</v>
      </c>
      <c r="X162" s="183">
        <f>SUMIFS('ноябрь 2025'!$G$2:$G$2583,'ноябрь 2025'!$D$2:$D$2583,$B162,'ноябрь 2025'!$J$2:$J$2583,X$1)</f>
        <v>0</v>
      </c>
      <c r="Y162" s="183">
        <f>SUMIFS('ноябрь 2025'!$G$2:$G$2583,'ноябрь 2025'!$D$2:$D$2583,$B162,'ноябрь 2025'!$J$2:$J$2583,Y$1)</f>
        <v>0</v>
      </c>
      <c r="Z162" s="183">
        <f>SUMIFS('ноябрь 2025'!$G$2:$G$2583,'ноябрь 2025'!$D$2:$D$2583,$B162,'ноябрь 2025'!$J$2:$J$2583,Z$1)</f>
        <v>0</v>
      </c>
      <c r="AA162" s="183">
        <f>SUMIFS('ноябрь 2025'!$G$2:$G$2583,'ноябрь 2025'!$D$2:$D$2583,$B162,'ноябрь 2025'!$J$2:$J$2583,AA$1)</f>
        <v>0</v>
      </c>
      <c r="AB162" s="183">
        <f>SUMIFS('ноябрь 2025'!$G$2:$G$2583,'ноябрь 2025'!$D$2:$D$2583,$B162,'ноябрь 2025'!$J$2:$J$2583,AB$1)</f>
        <v>0</v>
      </c>
      <c r="AC162" s="183">
        <f>SUMIFS('ноябрь 2025'!$G$2:$G$2583,'ноябрь 2025'!$D$2:$D$2583,$B162,'ноябрь 2025'!$J$2:$J$2583,AC$1)</f>
        <v>0</v>
      </c>
      <c r="AD162" s="183">
        <f>SUMIFS('ноябрь 2025'!$G$2:$G$2583,'ноябрь 2025'!$D$2:$D$2583,$B162,'ноябрь 2025'!$J$2:$J$2583,AD$1)</f>
        <v>0</v>
      </c>
      <c r="AE162" s="183">
        <f>SUMIFS('ноябрь 2025'!$G$2:$G$2583,'ноябрь 2025'!$D$2:$D$2583,$B162,'ноябрь 2025'!$J$2:$J$2583,AE$1)</f>
        <v>0</v>
      </c>
      <c r="AF162" s="183">
        <f>SUMIFS('ноябрь 2025'!$G$2:$G$2583,'ноябрь 2025'!$D$2:$D$2583,$B162,'ноябрь 2025'!$J$2:$J$2583,AF$1)</f>
        <v>0</v>
      </c>
      <c r="AG162" s="183">
        <f>SUMIFS('ноябрь 2025'!$G$2:$G$2583,'ноябрь 2025'!$D$2:$D$2583,$B162,'ноябрь 2025'!$J$2:$J$2583,AG$1)</f>
        <v>0</v>
      </c>
      <c r="AH162" s="183">
        <f>SUMIFS('ноябрь 2025'!$G$2:$G$2583,'ноябрь 2025'!$D$2:$D$2583,$B162,'ноябрь 2025'!$J$2:$J$2583,AH$1)</f>
        <v>0</v>
      </c>
      <c r="AI162" s="20">
        <f t="shared" si="1"/>
        <v>0</v>
      </c>
    </row>
    <row r="163" spans="2:35" ht="15" customHeight="1" x14ac:dyDescent="0.25">
      <c r="B163" s="88" t="s">
        <v>177</v>
      </c>
      <c r="C163" s="86">
        <v>25</v>
      </c>
      <c r="D163" s="183">
        <f>SUMIFS('ноябрь 2025'!$G$2:$G$2583,'ноябрь 2025'!$D$2:$D$2583,$B163,'ноябрь 2025'!$J$2:$J$2583,D$1)</f>
        <v>0</v>
      </c>
      <c r="E163" s="183">
        <f>SUMIFS('ноябрь 2025'!$G$2:$G$2583,'ноябрь 2025'!$D$2:$D$2583,$B163,'ноябрь 2025'!$J$2:$J$2583,E$1)</f>
        <v>0</v>
      </c>
      <c r="F163" s="183">
        <f>SUMIFS('ноябрь 2025'!$G$2:$G$2583,'ноябрь 2025'!$D$2:$D$2583,$B163,'ноябрь 2025'!$J$2:$J$2583,F$1)</f>
        <v>0</v>
      </c>
      <c r="G163" s="183">
        <f>SUMIFS('ноябрь 2025'!$G$2:$G$2583,'ноябрь 2025'!$D$2:$D$2583,$B163,'ноябрь 2025'!$J$2:$J$2583,G$1)</f>
        <v>0</v>
      </c>
      <c r="H163" s="183">
        <f>SUMIFS('ноябрь 2025'!$G$2:$G$2583,'ноябрь 2025'!$D$2:$D$2583,$B163,'ноябрь 2025'!$J$2:$J$2583,H$1)</f>
        <v>0</v>
      </c>
      <c r="I163" s="183">
        <f>SUMIFS('ноябрь 2025'!$G$2:$G$2583,'ноябрь 2025'!$D$2:$D$2583,$B163,'ноябрь 2025'!$J$2:$J$2583,I$1)</f>
        <v>0</v>
      </c>
      <c r="J163" s="183">
        <f>SUMIFS('ноябрь 2025'!$G$2:$G$2583,'ноябрь 2025'!$D$2:$D$2583,$B163,'ноябрь 2025'!$J$2:$J$2583,J$1)</f>
        <v>0</v>
      </c>
      <c r="K163" s="183">
        <f>SUMIFS('ноябрь 2025'!$G$2:$G$2583,'ноябрь 2025'!$D$2:$D$2583,$B163,'ноябрь 2025'!$J$2:$J$2583,K$1)</f>
        <v>0</v>
      </c>
      <c r="L163" s="183">
        <f>SUMIFS('ноябрь 2025'!$G$2:$G$2583,'ноябрь 2025'!$D$2:$D$2583,$B163,'ноябрь 2025'!$J$2:$J$2583,L$1)</f>
        <v>0</v>
      </c>
      <c r="M163" s="183">
        <f>SUMIFS('ноябрь 2025'!$G$2:$G$2583,'ноябрь 2025'!$D$2:$D$2583,$B163,'ноябрь 2025'!$J$2:$J$2583,M$1)</f>
        <v>0</v>
      </c>
      <c r="N163" s="183">
        <f>SUMIFS('ноябрь 2025'!$G$2:$G$2583,'ноябрь 2025'!$D$2:$D$2583,$B163,'ноябрь 2025'!$J$2:$J$2583,N$1)</f>
        <v>0</v>
      </c>
      <c r="O163" s="183">
        <f>SUMIFS('ноябрь 2025'!$G$2:$G$2583,'ноябрь 2025'!$D$2:$D$2583,$B163,'ноябрь 2025'!$J$2:$J$2583,O$1)</f>
        <v>0</v>
      </c>
      <c r="P163" s="183">
        <f>SUMIFS('ноябрь 2025'!$G$2:$G$2583,'ноябрь 2025'!$D$2:$D$2583,$B163,'ноябрь 2025'!$J$2:$J$2583,P$1)</f>
        <v>0</v>
      </c>
      <c r="Q163" s="183">
        <f>SUMIFS('ноябрь 2025'!$G$2:$G$2583,'ноябрь 2025'!$D$2:$D$2583,$B163,'ноябрь 2025'!$J$2:$J$2583,Q$1)</f>
        <v>0</v>
      </c>
      <c r="R163" s="183">
        <f>SUMIFS('ноябрь 2025'!$G$2:$G$2583,'ноябрь 2025'!$D$2:$D$2583,$B163,'ноябрь 2025'!$J$2:$J$2583,R$1)</f>
        <v>0</v>
      </c>
      <c r="S163" s="183">
        <f>SUMIFS('ноябрь 2025'!$G$2:$G$2583,'ноябрь 2025'!$D$2:$D$2583,$B163,'ноябрь 2025'!$J$2:$J$2583,S$1)</f>
        <v>0</v>
      </c>
      <c r="T163" s="183">
        <f>SUMIFS('ноябрь 2025'!$G$2:$G$2583,'ноябрь 2025'!$D$2:$D$2583,$B163,'ноябрь 2025'!$J$2:$J$2583,T$1)</f>
        <v>0</v>
      </c>
      <c r="U163" s="183">
        <f>SUMIFS('ноябрь 2025'!$G$2:$G$2583,'ноябрь 2025'!$D$2:$D$2583,$B163,'ноябрь 2025'!$J$2:$J$2583,U$1)</f>
        <v>0</v>
      </c>
      <c r="V163" s="183">
        <f>SUMIFS('ноябрь 2025'!$G$2:$G$2583,'ноябрь 2025'!$D$2:$D$2583,$B163,'ноябрь 2025'!$J$2:$J$2583,V$1)</f>
        <v>0</v>
      </c>
      <c r="W163" s="183">
        <f>SUMIFS('ноябрь 2025'!$G$2:$G$2583,'ноябрь 2025'!$D$2:$D$2583,$B163,'ноябрь 2025'!$J$2:$J$2583,W$1)</f>
        <v>0</v>
      </c>
      <c r="X163" s="183">
        <f>SUMIFS('ноябрь 2025'!$G$2:$G$2583,'ноябрь 2025'!$D$2:$D$2583,$B163,'ноябрь 2025'!$J$2:$J$2583,X$1)</f>
        <v>0</v>
      </c>
      <c r="Y163" s="183">
        <f>SUMIFS('ноябрь 2025'!$G$2:$G$2583,'ноябрь 2025'!$D$2:$D$2583,$B163,'ноябрь 2025'!$J$2:$J$2583,Y$1)</f>
        <v>0</v>
      </c>
      <c r="Z163" s="183">
        <f>SUMIFS('ноябрь 2025'!$G$2:$G$2583,'ноябрь 2025'!$D$2:$D$2583,$B163,'ноябрь 2025'!$J$2:$J$2583,Z$1)</f>
        <v>0</v>
      </c>
      <c r="AA163" s="183">
        <f>SUMIFS('ноябрь 2025'!$G$2:$G$2583,'ноябрь 2025'!$D$2:$D$2583,$B163,'ноябрь 2025'!$J$2:$J$2583,AA$1)</f>
        <v>0</v>
      </c>
      <c r="AB163" s="183">
        <f>SUMIFS('ноябрь 2025'!$G$2:$G$2583,'ноябрь 2025'!$D$2:$D$2583,$B163,'ноябрь 2025'!$J$2:$J$2583,AB$1)</f>
        <v>0</v>
      </c>
      <c r="AC163" s="183">
        <f>SUMIFS('ноябрь 2025'!$G$2:$G$2583,'ноябрь 2025'!$D$2:$D$2583,$B163,'ноябрь 2025'!$J$2:$J$2583,AC$1)</f>
        <v>0</v>
      </c>
      <c r="AD163" s="183">
        <f>SUMIFS('ноябрь 2025'!$G$2:$G$2583,'ноябрь 2025'!$D$2:$D$2583,$B163,'ноябрь 2025'!$J$2:$J$2583,AD$1)</f>
        <v>0</v>
      </c>
      <c r="AE163" s="183">
        <f>SUMIFS('ноябрь 2025'!$G$2:$G$2583,'ноябрь 2025'!$D$2:$D$2583,$B163,'ноябрь 2025'!$J$2:$J$2583,AE$1)</f>
        <v>0</v>
      </c>
      <c r="AF163" s="183">
        <f>SUMIFS('ноябрь 2025'!$G$2:$G$2583,'ноябрь 2025'!$D$2:$D$2583,$B163,'ноябрь 2025'!$J$2:$J$2583,AF$1)</f>
        <v>0</v>
      </c>
      <c r="AG163" s="183">
        <f>SUMIFS('ноябрь 2025'!$G$2:$G$2583,'ноябрь 2025'!$D$2:$D$2583,$B163,'ноябрь 2025'!$J$2:$J$2583,AG$1)</f>
        <v>0</v>
      </c>
      <c r="AH163" s="183">
        <f>SUMIFS('ноябрь 2025'!$G$2:$G$2583,'ноябрь 2025'!$D$2:$D$2583,$B163,'ноябрь 2025'!$J$2:$J$2583,AH$1)</f>
        <v>0</v>
      </c>
      <c r="AI163" s="20">
        <f t="shared" si="1"/>
        <v>0</v>
      </c>
    </row>
    <row r="164" spans="2:35" ht="15" customHeight="1" x14ac:dyDescent="0.25">
      <c r="B164" s="84" t="s">
        <v>175</v>
      </c>
      <c r="C164" s="83">
        <v>25</v>
      </c>
      <c r="D164" s="183">
        <f>SUMIFS('ноябрь 2025'!$G$2:$G$2583,'ноябрь 2025'!$D$2:$D$2583,$B164,'ноябрь 2025'!$J$2:$J$2583,D$1)</f>
        <v>0</v>
      </c>
      <c r="E164" s="183">
        <f>SUMIFS('ноябрь 2025'!$G$2:$G$2583,'ноябрь 2025'!$D$2:$D$2583,$B164,'ноябрь 2025'!$J$2:$J$2583,E$1)</f>
        <v>0</v>
      </c>
      <c r="F164" s="183">
        <f>SUMIFS('ноябрь 2025'!$G$2:$G$2583,'ноябрь 2025'!$D$2:$D$2583,$B164,'ноябрь 2025'!$J$2:$J$2583,F$1)</f>
        <v>0</v>
      </c>
      <c r="G164" s="183">
        <f>SUMIFS('ноябрь 2025'!$G$2:$G$2583,'ноябрь 2025'!$D$2:$D$2583,$B164,'ноябрь 2025'!$J$2:$J$2583,G$1)</f>
        <v>0</v>
      </c>
      <c r="H164" s="183">
        <f>SUMIFS('ноябрь 2025'!$G$2:$G$2583,'ноябрь 2025'!$D$2:$D$2583,$B164,'ноябрь 2025'!$J$2:$J$2583,H$1)</f>
        <v>0</v>
      </c>
      <c r="I164" s="183">
        <f>SUMIFS('ноябрь 2025'!$G$2:$G$2583,'ноябрь 2025'!$D$2:$D$2583,$B164,'ноябрь 2025'!$J$2:$J$2583,I$1)</f>
        <v>0</v>
      </c>
      <c r="J164" s="183">
        <f>SUMIFS('ноябрь 2025'!$G$2:$G$2583,'ноябрь 2025'!$D$2:$D$2583,$B164,'ноябрь 2025'!$J$2:$J$2583,J$1)</f>
        <v>0</v>
      </c>
      <c r="K164" s="183">
        <f>SUMIFS('ноябрь 2025'!$G$2:$G$2583,'ноябрь 2025'!$D$2:$D$2583,$B164,'ноябрь 2025'!$J$2:$J$2583,K$1)</f>
        <v>0</v>
      </c>
      <c r="L164" s="183">
        <f>SUMIFS('ноябрь 2025'!$G$2:$G$2583,'ноябрь 2025'!$D$2:$D$2583,$B164,'ноябрь 2025'!$J$2:$J$2583,L$1)</f>
        <v>0</v>
      </c>
      <c r="M164" s="183">
        <f>SUMIFS('ноябрь 2025'!$G$2:$G$2583,'ноябрь 2025'!$D$2:$D$2583,$B164,'ноябрь 2025'!$J$2:$J$2583,M$1)</f>
        <v>0</v>
      </c>
      <c r="N164" s="183">
        <f>SUMIFS('ноябрь 2025'!$G$2:$G$2583,'ноябрь 2025'!$D$2:$D$2583,$B164,'ноябрь 2025'!$J$2:$J$2583,N$1)</f>
        <v>0</v>
      </c>
      <c r="O164" s="183">
        <f>SUMIFS('ноябрь 2025'!$G$2:$G$2583,'ноябрь 2025'!$D$2:$D$2583,$B164,'ноябрь 2025'!$J$2:$J$2583,O$1)</f>
        <v>0</v>
      </c>
      <c r="P164" s="183">
        <f>SUMIFS('ноябрь 2025'!$G$2:$G$2583,'ноябрь 2025'!$D$2:$D$2583,$B164,'ноябрь 2025'!$J$2:$J$2583,P$1)</f>
        <v>0</v>
      </c>
      <c r="Q164" s="183">
        <f>SUMIFS('ноябрь 2025'!$G$2:$G$2583,'ноябрь 2025'!$D$2:$D$2583,$B164,'ноябрь 2025'!$J$2:$J$2583,Q$1)</f>
        <v>0</v>
      </c>
      <c r="R164" s="183">
        <f>SUMIFS('ноябрь 2025'!$G$2:$G$2583,'ноябрь 2025'!$D$2:$D$2583,$B164,'ноябрь 2025'!$J$2:$J$2583,R$1)</f>
        <v>0</v>
      </c>
      <c r="S164" s="183">
        <f>SUMIFS('ноябрь 2025'!$G$2:$G$2583,'ноябрь 2025'!$D$2:$D$2583,$B164,'ноябрь 2025'!$J$2:$J$2583,S$1)</f>
        <v>0</v>
      </c>
      <c r="T164" s="183">
        <f>SUMIFS('ноябрь 2025'!$G$2:$G$2583,'ноябрь 2025'!$D$2:$D$2583,$B164,'ноябрь 2025'!$J$2:$J$2583,T$1)</f>
        <v>0</v>
      </c>
      <c r="U164" s="183">
        <f>SUMIFS('ноябрь 2025'!$G$2:$G$2583,'ноябрь 2025'!$D$2:$D$2583,$B164,'ноябрь 2025'!$J$2:$J$2583,U$1)</f>
        <v>0</v>
      </c>
      <c r="V164" s="183">
        <f>SUMIFS('ноябрь 2025'!$G$2:$G$2583,'ноябрь 2025'!$D$2:$D$2583,$B164,'ноябрь 2025'!$J$2:$J$2583,V$1)</f>
        <v>0</v>
      </c>
      <c r="W164" s="183">
        <f>SUMIFS('ноябрь 2025'!$G$2:$G$2583,'ноябрь 2025'!$D$2:$D$2583,$B164,'ноябрь 2025'!$J$2:$J$2583,W$1)</f>
        <v>0</v>
      </c>
      <c r="X164" s="183">
        <f>SUMIFS('ноябрь 2025'!$G$2:$G$2583,'ноябрь 2025'!$D$2:$D$2583,$B164,'ноябрь 2025'!$J$2:$J$2583,X$1)</f>
        <v>0</v>
      </c>
      <c r="Y164" s="183">
        <f>SUMIFS('ноябрь 2025'!$G$2:$G$2583,'ноябрь 2025'!$D$2:$D$2583,$B164,'ноябрь 2025'!$J$2:$J$2583,Y$1)</f>
        <v>0</v>
      </c>
      <c r="Z164" s="183">
        <f>SUMIFS('ноябрь 2025'!$G$2:$G$2583,'ноябрь 2025'!$D$2:$D$2583,$B164,'ноябрь 2025'!$J$2:$J$2583,Z$1)</f>
        <v>0</v>
      </c>
      <c r="AA164" s="183">
        <f>SUMIFS('ноябрь 2025'!$G$2:$G$2583,'ноябрь 2025'!$D$2:$D$2583,$B164,'ноябрь 2025'!$J$2:$J$2583,AA$1)</f>
        <v>0</v>
      </c>
      <c r="AB164" s="183">
        <f>SUMIFS('ноябрь 2025'!$G$2:$G$2583,'ноябрь 2025'!$D$2:$D$2583,$B164,'ноябрь 2025'!$J$2:$J$2583,AB$1)</f>
        <v>0</v>
      </c>
      <c r="AC164" s="183">
        <f>SUMIFS('ноябрь 2025'!$G$2:$G$2583,'ноябрь 2025'!$D$2:$D$2583,$B164,'ноябрь 2025'!$J$2:$J$2583,AC$1)</f>
        <v>0</v>
      </c>
      <c r="AD164" s="183">
        <f>SUMIFS('ноябрь 2025'!$G$2:$G$2583,'ноябрь 2025'!$D$2:$D$2583,$B164,'ноябрь 2025'!$J$2:$J$2583,AD$1)</f>
        <v>0</v>
      </c>
      <c r="AE164" s="183">
        <f>SUMIFS('ноябрь 2025'!$G$2:$G$2583,'ноябрь 2025'!$D$2:$D$2583,$B164,'ноябрь 2025'!$J$2:$J$2583,AE$1)</f>
        <v>0</v>
      </c>
      <c r="AF164" s="183">
        <f>SUMIFS('ноябрь 2025'!$G$2:$G$2583,'ноябрь 2025'!$D$2:$D$2583,$B164,'ноябрь 2025'!$J$2:$J$2583,AF$1)</f>
        <v>0</v>
      </c>
      <c r="AG164" s="183">
        <f>SUMIFS('ноябрь 2025'!$G$2:$G$2583,'ноябрь 2025'!$D$2:$D$2583,$B164,'ноябрь 2025'!$J$2:$J$2583,AG$1)</f>
        <v>0</v>
      </c>
      <c r="AH164" s="183">
        <f>SUMIFS('ноябрь 2025'!$G$2:$G$2583,'ноябрь 2025'!$D$2:$D$2583,$B164,'ноябрь 2025'!$J$2:$J$2583,AH$1)</f>
        <v>0</v>
      </c>
      <c r="AI164" s="20">
        <f t="shared" si="1"/>
        <v>0</v>
      </c>
    </row>
    <row r="165" spans="2:35" ht="15" customHeight="1" x14ac:dyDescent="0.25">
      <c r="B165" s="84" t="s">
        <v>176</v>
      </c>
      <c r="C165" s="83">
        <v>25</v>
      </c>
      <c r="D165" s="183">
        <f>SUMIFS('ноябрь 2025'!$G$2:$G$2583,'ноябрь 2025'!$D$2:$D$2583,$B165,'ноябрь 2025'!$J$2:$J$2583,D$1)</f>
        <v>0</v>
      </c>
      <c r="E165" s="183">
        <f>SUMIFS('ноябрь 2025'!$G$2:$G$2583,'ноябрь 2025'!$D$2:$D$2583,$B165,'ноябрь 2025'!$J$2:$J$2583,E$1)</f>
        <v>0</v>
      </c>
      <c r="F165" s="183">
        <f>SUMIFS('ноябрь 2025'!$G$2:$G$2583,'ноябрь 2025'!$D$2:$D$2583,$B165,'ноябрь 2025'!$J$2:$J$2583,F$1)</f>
        <v>0</v>
      </c>
      <c r="G165" s="183">
        <f>SUMIFS('ноябрь 2025'!$G$2:$G$2583,'ноябрь 2025'!$D$2:$D$2583,$B165,'ноябрь 2025'!$J$2:$J$2583,G$1)</f>
        <v>0</v>
      </c>
      <c r="H165" s="183">
        <f>SUMIFS('ноябрь 2025'!$G$2:$G$2583,'ноябрь 2025'!$D$2:$D$2583,$B165,'ноябрь 2025'!$J$2:$J$2583,H$1)</f>
        <v>0</v>
      </c>
      <c r="I165" s="183">
        <f>SUMIFS('ноябрь 2025'!$G$2:$G$2583,'ноябрь 2025'!$D$2:$D$2583,$B165,'ноябрь 2025'!$J$2:$J$2583,I$1)</f>
        <v>0</v>
      </c>
      <c r="J165" s="183">
        <f>SUMIFS('ноябрь 2025'!$G$2:$G$2583,'ноябрь 2025'!$D$2:$D$2583,$B165,'ноябрь 2025'!$J$2:$J$2583,J$1)</f>
        <v>0</v>
      </c>
      <c r="K165" s="183">
        <f>SUMIFS('ноябрь 2025'!$G$2:$G$2583,'ноябрь 2025'!$D$2:$D$2583,$B165,'ноябрь 2025'!$J$2:$J$2583,K$1)</f>
        <v>0</v>
      </c>
      <c r="L165" s="183">
        <f>SUMIFS('ноябрь 2025'!$G$2:$G$2583,'ноябрь 2025'!$D$2:$D$2583,$B165,'ноябрь 2025'!$J$2:$J$2583,L$1)</f>
        <v>0</v>
      </c>
      <c r="M165" s="183">
        <f>SUMIFS('ноябрь 2025'!$G$2:$G$2583,'ноябрь 2025'!$D$2:$D$2583,$B165,'ноябрь 2025'!$J$2:$J$2583,M$1)</f>
        <v>0</v>
      </c>
      <c r="N165" s="183">
        <f>SUMIFS('ноябрь 2025'!$G$2:$G$2583,'ноябрь 2025'!$D$2:$D$2583,$B165,'ноябрь 2025'!$J$2:$J$2583,N$1)</f>
        <v>0</v>
      </c>
      <c r="O165" s="183">
        <f>SUMIFS('ноябрь 2025'!$G$2:$G$2583,'ноябрь 2025'!$D$2:$D$2583,$B165,'ноябрь 2025'!$J$2:$J$2583,O$1)</f>
        <v>0</v>
      </c>
      <c r="P165" s="183">
        <f>SUMIFS('ноябрь 2025'!$G$2:$G$2583,'ноябрь 2025'!$D$2:$D$2583,$B165,'ноябрь 2025'!$J$2:$J$2583,P$1)</f>
        <v>0</v>
      </c>
      <c r="Q165" s="183">
        <f>SUMIFS('ноябрь 2025'!$G$2:$G$2583,'ноябрь 2025'!$D$2:$D$2583,$B165,'ноябрь 2025'!$J$2:$J$2583,Q$1)</f>
        <v>0</v>
      </c>
      <c r="R165" s="183">
        <f>SUMIFS('ноябрь 2025'!$G$2:$G$2583,'ноябрь 2025'!$D$2:$D$2583,$B165,'ноябрь 2025'!$J$2:$J$2583,R$1)</f>
        <v>0</v>
      </c>
      <c r="S165" s="183">
        <f>SUMIFS('ноябрь 2025'!$G$2:$G$2583,'ноябрь 2025'!$D$2:$D$2583,$B165,'ноябрь 2025'!$J$2:$J$2583,S$1)</f>
        <v>0</v>
      </c>
      <c r="T165" s="183">
        <f>SUMIFS('ноябрь 2025'!$G$2:$G$2583,'ноябрь 2025'!$D$2:$D$2583,$B165,'ноябрь 2025'!$J$2:$J$2583,T$1)</f>
        <v>0</v>
      </c>
      <c r="U165" s="183">
        <f>SUMIFS('ноябрь 2025'!$G$2:$G$2583,'ноябрь 2025'!$D$2:$D$2583,$B165,'ноябрь 2025'!$J$2:$J$2583,U$1)</f>
        <v>0</v>
      </c>
      <c r="V165" s="183">
        <f>SUMIFS('ноябрь 2025'!$G$2:$G$2583,'ноябрь 2025'!$D$2:$D$2583,$B165,'ноябрь 2025'!$J$2:$J$2583,V$1)</f>
        <v>0</v>
      </c>
      <c r="W165" s="183">
        <f>SUMIFS('ноябрь 2025'!$G$2:$G$2583,'ноябрь 2025'!$D$2:$D$2583,$B165,'ноябрь 2025'!$J$2:$J$2583,W$1)</f>
        <v>0</v>
      </c>
      <c r="X165" s="183">
        <f>SUMIFS('ноябрь 2025'!$G$2:$G$2583,'ноябрь 2025'!$D$2:$D$2583,$B165,'ноябрь 2025'!$J$2:$J$2583,X$1)</f>
        <v>0</v>
      </c>
      <c r="Y165" s="183">
        <f>SUMIFS('ноябрь 2025'!$G$2:$G$2583,'ноябрь 2025'!$D$2:$D$2583,$B165,'ноябрь 2025'!$J$2:$J$2583,Y$1)</f>
        <v>0</v>
      </c>
      <c r="Z165" s="183">
        <f>SUMIFS('ноябрь 2025'!$G$2:$G$2583,'ноябрь 2025'!$D$2:$D$2583,$B165,'ноябрь 2025'!$J$2:$J$2583,Z$1)</f>
        <v>0</v>
      </c>
      <c r="AA165" s="183">
        <f>SUMIFS('ноябрь 2025'!$G$2:$G$2583,'ноябрь 2025'!$D$2:$D$2583,$B165,'ноябрь 2025'!$J$2:$J$2583,AA$1)</f>
        <v>0</v>
      </c>
      <c r="AB165" s="183">
        <f>SUMIFS('ноябрь 2025'!$G$2:$G$2583,'ноябрь 2025'!$D$2:$D$2583,$B165,'ноябрь 2025'!$J$2:$J$2583,AB$1)</f>
        <v>0</v>
      </c>
      <c r="AC165" s="183">
        <f>SUMIFS('ноябрь 2025'!$G$2:$G$2583,'ноябрь 2025'!$D$2:$D$2583,$B165,'ноябрь 2025'!$J$2:$J$2583,AC$1)</f>
        <v>0</v>
      </c>
      <c r="AD165" s="183">
        <f>SUMIFS('ноябрь 2025'!$G$2:$G$2583,'ноябрь 2025'!$D$2:$D$2583,$B165,'ноябрь 2025'!$J$2:$J$2583,AD$1)</f>
        <v>0</v>
      </c>
      <c r="AE165" s="183">
        <f>SUMIFS('ноябрь 2025'!$G$2:$G$2583,'ноябрь 2025'!$D$2:$D$2583,$B165,'ноябрь 2025'!$J$2:$J$2583,AE$1)</f>
        <v>0</v>
      </c>
      <c r="AF165" s="183">
        <f>SUMIFS('ноябрь 2025'!$G$2:$G$2583,'ноябрь 2025'!$D$2:$D$2583,$B165,'ноябрь 2025'!$J$2:$J$2583,AF$1)</f>
        <v>0</v>
      </c>
      <c r="AG165" s="183">
        <f>SUMIFS('ноябрь 2025'!$G$2:$G$2583,'ноябрь 2025'!$D$2:$D$2583,$B165,'ноябрь 2025'!$J$2:$J$2583,AG$1)</f>
        <v>0</v>
      </c>
      <c r="AH165" s="183">
        <f>SUMIFS('ноябрь 2025'!$G$2:$G$2583,'ноябрь 2025'!$D$2:$D$2583,$B165,'ноябрь 2025'!$J$2:$J$2583,AH$1)</f>
        <v>0</v>
      </c>
      <c r="AI165" s="20">
        <f t="shared" si="1"/>
        <v>0</v>
      </c>
    </row>
    <row r="166" spans="2:35" ht="15" customHeight="1" x14ac:dyDescent="0.25">
      <c r="B166" s="84" t="s">
        <v>201</v>
      </c>
      <c r="C166" s="83">
        <v>25</v>
      </c>
      <c r="D166" s="183">
        <f>SUMIFS('ноябрь 2025'!$G$2:$G$2583,'ноябрь 2025'!$D$2:$D$2583,$B166,'ноябрь 2025'!$J$2:$J$2583,D$1)</f>
        <v>0</v>
      </c>
      <c r="E166" s="183">
        <f>SUMIFS('ноябрь 2025'!$G$2:$G$2583,'ноябрь 2025'!$D$2:$D$2583,$B166,'ноябрь 2025'!$J$2:$J$2583,E$1)</f>
        <v>0</v>
      </c>
      <c r="F166" s="183">
        <f>SUMIFS('ноябрь 2025'!$G$2:$G$2583,'ноябрь 2025'!$D$2:$D$2583,$B166,'ноябрь 2025'!$J$2:$J$2583,F$1)</f>
        <v>0</v>
      </c>
      <c r="G166" s="183">
        <f>SUMIFS('ноябрь 2025'!$G$2:$G$2583,'ноябрь 2025'!$D$2:$D$2583,$B166,'ноябрь 2025'!$J$2:$J$2583,G$1)</f>
        <v>0</v>
      </c>
      <c r="H166" s="183">
        <f>SUMIFS('ноябрь 2025'!$G$2:$G$2583,'ноябрь 2025'!$D$2:$D$2583,$B166,'ноябрь 2025'!$J$2:$J$2583,H$1)</f>
        <v>0</v>
      </c>
      <c r="I166" s="183">
        <f>SUMIFS('ноябрь 2025'!$G$2:$G$2583,'ноябрь 2025'!$D$2:$D$2583,$B166,'ноябрь 2025'!$J$2:$J$2583,I$1)</f>
        <v>0</v>
      </c>
      <c r="J166" s="183">
        <f>SUMIFS('ноябрь 2025'!$G$2:$G$2583,'ноябрь 2025'!$D$2:$D$2583,$B166,'ноябрь 2025'!$J$2:$J$2583,J$1)</f>
        <v>0</v>
      </c>
      <c r="K166" s="183">
        <f>SUMIFS('ноябрь 2025'!$G$2:$G$2583,'ноябрь 2025'!$D$2:$D$2583,$B166,'ноябрь 2025'!$J$2:$J$2583,K$1)</f>
        <v>0</v>
      </c>
      <c r="L166" s="183">
        <f>SUMIFS('ноябрь 2025'!$G$2:$G$2583,'ноябрь 2025'!$D$2:$D$2583,$B166,'ноябрь 2025'!$J$2:$J$2583,L$1)</f>
        <v>0</v>
      </c>
      <c r="M166" s="183">
        <f>SUMIFS('ноябрь 2025'!$G$2:$G$2583,'ноябрь 2025'!$D$2:$D$2583,$B166,'ноябрь 2025'!$J$2:$J$2583,M$1)</f>
        <v>0</v>
      </c>
      <c r="N166" s="183">
        <f>SUMIFS('ноябрь 2025'!$G$2:$G$2583,'ноябрь 2025'!$D$2:$D$2583,$B166,'ноябрь 2025'!$J$2:$J$2583,N$1)</f>
        <v>0</v>
      </c>
      <c r="O166" s="183">
        <f>SUMIFS('ноябрь 2025'!$G$2:$G$2583,'ноябрь 2025'!$D$2:$D$2583,$B166,'ноябрь 2025'!$J$2:$J$2583,O$1)</f>
        <v>0</v>
      </c>
      <c r="P166" s="183">
        <f>SUMIFS('ноябрь 2025'!$G$2:$G$2583,'ноябрь 2025'!$D$2:$D$2583,$B166,'ноябрь 2025'!$J$2:$J$2583,P$1)</f>
        <v>0</v>
      </c>
      <c r="Q166" s="183">
        <f>SUMIFS('ноябрь 2025'!$G$2:$G$2583,'ноябрь 2025'!$D$2:$D$2583,$B166,'ноябрь 2025'!$J$2:$J$2583,Q$1)</f>
        <v>0</v>
      </c>
      <c r="R166" s="183">
        <f>SUMIFS('ноябрь 2025'!$G$2:$G$2583,'ноябрь 2025'!$D$2:$D$2583,$B166,'ноябрь 2025'!$J$2:$J$2583,R$1)</f>
        <v>0</v>
      </c>
      <c r="S166" s="183">
        <f>SUMIFS('ноябрь 2025'!$G$2:$G$2583,'ноябрь 2025'!$D$2:$D$2583,$B166,'ноябрь 2025'!$J$2:$J$2583,S$1)</f>
        <v>0</v>
      </c>
      <c r="T166" s="183">
        <f>SUMIFS('ноябрь 2025'!$G$2:$G$2583,'ноябрь 2025'!$D$2:$D$2583,$B166,'ноябрь 2025'!$J$2:$J$2583,T$1)</f>
        <v>0</v>
      </c>
      <c r="U166" s="183">
        <f>SUMIFS('ноябрь 2025'!$G$2:$G$2583,'ноябрь 2025'!$D$2:$D$2583,$B166,'ноябрь 2025'!$J$2:$J$2583,U$1)</f>
        <v>0</v>
      </c>
      <c r="V166" s="183">
        <f>SUMIFS('ноябрь 2025'!$G$2:$G$2583,'ноябрь 2025'!$D$2:$D$2583,$B166,'ноябрь 2025'!$J$2:$J$2583,V$1)</f>
        <v>0</v>
      </c>
      <c r="W166" s="183">
        <f>SUMIFS('ноябрь 2025'!$G$2:$G$2583,'ноябрь 2025'!$D$2:$D$2583,$B166,'ноябрь 2025'!$J$2:$J$2583,W$1)</f>
        <v>0</v>
      </c>
      <c r="X166" s="183">
        <f>SUMIFS('ноябрь 2025'!$G$2:$G$2583,'ноябрь 2025'!$D$2:$D$2583,$B166,'ноябрь 2025'!$J$2:$J$2583,X$1)</f>
        <v>0</v>
      </c>
      <c r="Y166" s="183">
        <f>SUMIFS('ноябрь 2025'!$G$2:$G$2583,'ноябрь 2025'!$D$2:$D$2583,$B166,'ноябрь 2025'!$J$2:$J$2583,Y$1)</f>
        <v>0</v>
      </c>
      <c r="Z166" s="183">
        <f>SUMIFS('ноябрь 2025'!$G$2:$G$2583,'ноябрь 2025'!$D$2:$D$2583,$B166,'ноябрь 2025'!$J$2:$J$2583,Z$1)</f>
        <v>0</v>
      </c>
      <c r="AA166" s="183">
        <f>SUMIFS('ноябрь 2025'!$G$2:$G$2583,'ноябрь 2025'!$D$2:$D$2583,$B166,'ноябрь 2025'!$J$2:$J$2583,AA$1)</f>
        <v>0</v>
      </c>
      <c r="AB166" s="183">
        <f>SUMIFS('ноябрь 2025'!$G$2:$G$2583,'ноябрь 2025'!$D$2:$D$2583,$B166,'ноябрь 2025'!$J$2:$J$2583,AB$1)</f>
        <v>0</v>
      </c>
      <c r="AC166" s="183">
        <f>SUMIFS('ноябрь 2025'!$G$2:$G$2583,'ноябрь 2025'!$D$2:$D$2583,$B166,'ноябрь 2025'!$J$2:$J$2583,AC$1)</f>
        <v>0</v>
      </c>
      <c r="AD166" s="183">
        <f>SUMIFS('ноябрь 2025'!$G$2:$G$2583,'ноябрь 2025'!$D$2:$D$2583,$B166,'ноябрь 2025'!$J$2:$J$2583,AD$1)</f>
        <v>0</v>
      </c>
      <c r="AE166" s="183">
        <f>SUMIFS('ноябрь 2025'!$G$2:$G$2583,'ноябрь 2025'!$D$2:$D$2583,$B166,'ноябрь 2025'!$J$2:$J$2583,AE$1)</f>
        <v>0</v>
      </c>
      <c r="AF166" s="183">
        <f>SUMIFS('ноябрь 2025'!$G$2:$G$2583,'ноябрь 2025'!$D$2:$D$2583,$B166,'ноябрь 2025'!$J$2:$J$2583,AF$1)</f>
        <v>0</v>
      </c>
      <c r="AG166" s="183">
        <f>SUMIFS('ноябрь 2025'!$G$2:$G$2583,'ноябрь 2025'!$D$2:$D$2583,$B166,'ноябрь 2025'!$J$2:$J$2583,AG$1)</f>
        <v>0</v>
      </c>
      <c r="AH166" s="183">
        <f>SUMIFS('ноябрь 2025'!$G$2:$G$2583,'ноябрь 2025'!$D$2:$D$2583,$B166,'ноябрь 2025'!$J$2:$J$2583,AH$1)</f>
        <v>0</v>
      </c>
      <c r="AI166" s="20">
        <f t="shared" si="1"/>
        <v>0</v>
      </c>
    </row>
    <row r="167" spans="2:35" ht="15" customHeight="1" x14ac:dyDescent="0.25">
      <c r="B167" s="84" t="s">
        <v>300</v>
      </c>
      <c r="C167" s="83">
        <v>200</v>
      </c>
      <c r="D167" s="183">
        <f>SUMIFS('ноябрь 2025'!$G$2:$G$2583,'ноябрь 2025'!$D$2:$D$2583,$B167,'ноябрь 2025'!$J$2:$J$2583,D$1)</f>
        <v>0</v>
      </c>
      <c r="E167" s="183">
        <f>SUMIFS('ноябрь 2025'!$G$2:$G$2583,'ноябрь 2025'!$D$2:$D$2583,$B167,'ноябрь 2025'!$J$2:$J$2583,E$1)</f>
        <v>0</v>
      </c>
      <c r="F167" s="183">
        <f>SUMIFS('ноябрь 2025'!$G$2:$G$2583,'ноябрь 2025'!$D$2:$D$2583,$B167,'ноябрь 2025'!$J$2:$J$2583,F$1)</f>
        <v>0</v>
      </c>
      <c r="G167" s="183">
        <f>SUMIFS('ноябрь 2025'!$G$2:$G$2583,'ноябрь 2025'!$D$2:$D$2583,$B167,'ноябрь 2025'!$J$2:$J$2583,G$1)</f>
        <v>0</v>
      </c>
      <c r="H167" s="183">
        <f>SUMIFS('ноябрь 2025'!$G$2:$G$2583,'ноябрь 2025'!$D$2:$D$2583,$B167,'ноябрь 2025'!$J$2:$J$2583,H$1)</f>
        <v>0</v>
      </c>
      <c r="I167" s="183">
        <f>SUMIFS('ноябрь 2025'!$G$2:$G$2583,'ноябрь 2025'!$D$2:$D$2583,$B167,'ноябрь 2025'!$J$2:$J$2583,I$1)</f>
        <v>0</v>
      </c>
      <c r="J167" s="183">
        <f>SUMIFS('ноябрь 2025'!$G$2:$G$2583,'ноябрь 2025'!$D$2:$D$2583,$B167,'ноябрь 2025'!$J$2:$J$2583,J$1)</f>
        <v>0</v>
      </c>
      <c r="K167" s="183">
        <f>SUMIFS('ноябрь 2025'!$G$2:$G$2583,'ноябрь 2025'!$D$2:$D$2583,$B167,'ноябрь 2025'!$J$2:$J$2583,K$1)</f>
        <v>0</v>
      </c>
      <c r="L167" s="183">
        <f>SUMIFS('ноябрь 2025'!$G$2:$G$2583,'ноябрь 2025'!$D$2:$D$2583,$B167,'ноябрь 2025'!$J$2:$J$2583,L$1)</f>
        <v>0</v>
      </c>
      <c r="M167" s="183">
        <f>SUMIFS('ноябрь 2025'!$G$2:$G$2583,'ноябрь 2025'!$D$2:$D$2583,$B167,'ноябрь 2025'!$J$2:$J$2583,M$1)</f>
        <v>0</v>
      </c>
      <c r="N167" s="183">
        <f>SUMIFS('ноябрь 2025'!$G$2:$G$2583,'ноябрь 2025'!$D$2:$D$2583,$B167,'ноябрь 2025'!$J$2:$J$2583,N$1)</f>
        <v>0</v>
      </c>
      <c r="O167" s="183">
        <f>SUMIFS('ноябрь 2025'!$G$2:$G$2583,'ноябрь 2025'!$D$2:$D$2583,$B167,'ноябрь 2025'!$J$2:$J$2583,O$1)</f>
        <v>0</v>
      </c>
      <c r="P167" s="183">
        <f>SUMIFS('ноябрь 2025'!$G$2:$G$2583,'ноябрь 2025'!$D$2:$D$2583,$B167,'ноябрь 2025'!$J$2:$J$2583,P$1)</f>
        <v>0</v>
      </c>
      <c r="Q167" s="183">
        <f>SUMIFS('ноябрь 2025'!$G$2:$G$2583,'ноябрь 2025'!$D$2:$D$2583,$B167,'ноябрь 2025'!$J$2:$J$2583,Q$1)</f>
        <v>0</v>
      </c>
      <c r="R167" s="183">
        <f>SUMIFS('ноябрь 2025'!$G$2:$G$2583,'ноябрь 2025'!$D$2:$D$2583,$B167,'ноябрь 2025'!$J$2:$J$2583,R$1)</f>
        <v>0</v>
      </c>
      <c r="S167" s="183">
        <f>SUMIFS('ноябрь 2025'!$G$2:$G$2583,'ноябрь 2025'!$D$2:$D$2583,$B167,'ноябрь 2025'!$J$2:$J$2583,S$1)</f>
        <v>0</v>
      </c>
      <c r="T167" s="183">
        <f>SUMIFS('ноябрь 2025'!$G$2:$G$2583,'ноябрь 2025'!$D$2:$D$2583,$B167,'ноябрь 2025'!$J$2:$J$2583,T$1)</f>
        <v>0</v>
      </c>
      <c r="U167" s="183">
        <f>SUMIFS('ноябрь 2025'!$G$2:$G$2583,'ноябрь 2025'!$D$2:$D$2583,$B167,'ноябрь 2025'!$J$2:$J$2583,U$1)</f>
        <v>0</v>
      </c>
      <c r="V167" s="183">
        <f>SUMIFS('ноябрь 2025'!$G$2:$G$2583,'ноябрь 2025'!$D$2:$D$2583,$B167,'ноябрь 2025'!$J$2:$J$2583,V$1)</f>
        <v>0</v>
      </c>
      <c r="W167" s="183">
        <f>SUMIFS('ноябрь 2025'!$G$2:$G$2583,'ноябрь 2025'!$D$2:$D$2583,$B167,'ноябрь 2025'!$J$2:$J$2583,W$1)</f>
        <v>0</v>
      </c>
      <c r="X167" s="183">
        <f>SUMIFS('ноябрь 2025'!$G$2:$G$2583,'ноябрь 2025'!$D$2:$D$2583,$B167,'ноябрь 2025'!$J$2:$J$2583,X$1)</f>
        <v>0</v>
      </c>
      <c r="Y167" s="183">
        <f>SUMIFS('ноябрь 2025'!$G$2:$G$2583,'ноябрь 2025'!$D$2:$D$2583,$B167,'ноябрь 2025'!$J$2:$J$2583,Y$1)</f>
        <v>0</v>
      </c>
      <c r="Z167" s="183">
        <f>SUMIFS('ноябрь 2025'!$G$2:$G$2583,'ноябрь 2025'!$D$2:$D$2583,$B167,'ноябрь 2025'!$J$2:$J$2583,Z$1)</f>
        <v>0</v>
      </c>
      <c r="AA167" s="183">
        <f>SUMIFS('ноябрь 2025'!$G$2:$G$2583,'ноябрь 2025'!$D$2:$D$2583,$B167,'ноябрь 2025'!$J$2:$J$2583,AA$1)</f>
        <v>0</v>
      </c>
      <c r="AB167" s="183">
        <f>SUMIFS('ноябрь 2025'!$G$2:$G$2583,'ноябрь 2025'!$D$2:$D$2583,$B167,'ноябрь 2025'!$J$2:$J$2583,AB$1)</f>
        <v>0</v>
      </c>
      <c r="AC167" s="183">
        <f>SUMIFS('ноябрь 2025'!$G$2:$G$2583,'ноябрь 2025'!$D$2:$D$2583,$B167,'ноябрь 2025'!$J$2:$J$2583,AC$1)</f>
        <v>0</v>
      </c>
      <c r="AD167" s="183">
        <f>SUMIFS('ноябрь 2025'!$G$2:$G$2583,'ноябрь 2025'!$D$2:$D$2583,$B167,'ноябрь 2025'!$J$2:$J$2583,AD$1)</f>
        <v>0</v>
      </c>
      <c r="AE167" s="183">
        <f>SUMIFS('ноябрь 2025'!$G$2:$G$2583,'ноябрь 2025'!$D$2:$D$2583,$B167,'ноябрь 2025'!$J$2:$J$2583,AE$1)</f>
        <v>0</v>
      </c>
      <c r="AF167" s="183">
        <f>SUMIFS('ноябрь 2025'!$G$2:$G$2583,'ноябрь 2025'!$D$2:$D$2583,$B167,'ноябрь 2025'!$J$2:$J$2583,AF$1)</f>
        <v>0</v>
      </c>
      <c r="AG167" s="183">
        <f>SUMIFS('ноябрь 2025'!$G$2:$G$2583,'ноябрь 2025'!$D$2:$D$2583,$B167,'ноябрь 2025'!$J$2:$J$2583,AG$1)</f>
        <v>0</v>
      </c>
      <c r="AH167" s="183">
        <f>SUMIFS('ноябрь 2025'!$G$2:$G$2583,'ноябрь 2025'!$D$2:$D$2583,$B167,'ноябрь 2025'!$J$2:$J$2583,AH$1)</f>
        <v>0</v>
      </c>
      <c r="AI167" s="20">
        <f>SUM(D167:AH167)</f>
        <v>0</v>
      </c>
    </row>
    <row r="168" spans="2:35" ht="15" customHeight="1" x14ac:dyDescent="0.25">
      <c r="B168" s="84" t="s">
        <v>307</v>
      </c>
      <c r="C168" s="83">
        <v>175</v>
      </c>
      <c r="D168" s="183">
        <f>SUMIFS('ноябрь 2025'!$G$2:$G$2583,'ноябрь 2025'!$D$2:$D$2583,$B168,'ноябрь 2025'!$J$2:$J$2583,D$1)</f>
        <v>0</v>
      </c>
      <c r="E168" s="183">
        <f>SUMIFS('ноябрь 2025'!$G$2:$G$2583,'ноябрь 2025'!$D$2:$D$2583,$B168,'ноябрь 2025'!$J$2:$J$2583,E$1)</f>
        <v>0</v>
      </c>
      <c r="F168" s="183">
        <f>SUMIFS('ноябрь 2025'!$G$2:$G$2583,'ноябрь 2025'!$D$2:$D$2583,$B168,'ноябрь 2025'!$J$2:$J$2583,F$1)</f>
        <v>0</v>
      </c>
      <c r="G168" s="183">
        <f>SUMIFS('ноябрь 2025'!$G$2:$G$2583,'ноябрь 2025'!$D$2:$D$2583,$B168,'ноябрь 2025'!$J$2:$J$2583,G$1)</f>
        <v>0</v>
      </c>
      <c r="H168" s="183">
        <f>SUMIFS('ноябрь 2025'!$G$2:$G$2583,'ноябрь 2025'!$D$2:$D$2583,$B168,'ноябрь 2025'!$J$2:$J$2583,H$1)</f>
        <v>0</v>
      </c>
      <c r="I168" s="183">
        <f>SUMIFS('ноябрь 2025'!$G$2:$G$2583,'ноябрь 2025'!$D$2:$D$2583,$B168,'ноябрь 2025'!$J$2:$J$2583,I$1)</f>
        <v>0</v>
      </c>
      <c r="J168" s="183">
        <f>SUMIFS('ноябрь 2025'!$G$2:$G$2583,'ноябрь 2025'!$D$2:$D$2583,$B168,'ноябрь 2025'!$J$2:$J$2583,J$1)</f>
        <v>0</v>
      </c>
      <c r="K168" s="183">
        <f>SUMIFS('ноябрь 2025'!$G$2:$G$2583,'ноябрь 2025'!$D$2:$D$2583,$B168,'ноябрь 2025'!$J$2:$J$2583,K$1)</f>
        <v>0</v>
      </c>
      <c r="L168" s="183">
        <f>SUMIFS('ноябрь 2025'!$G$2:$G$2583,'ноябрь 2025'!$D$2:$D$2583,$B168,'ноябрь 2025'!$J$2:$J$2583,L$1)</f>
        <v>0</v>
      </c>
      <c r="M168" s="183">
        <f>SUMIFS('ноябрь 2025'!$G$2:$G$2583,'ноябрь 2025'!$D$2:$D$2583,$B168,'ноябрь 2025'!$J$2:$J$2583,M$1)</f>
        <v>0</v>
      </c>
      <c r="N168" s="183">
        <f>SUMIFS('ноябрь 2025'!$G$2:$G$2583,'ноябрь 2025'!$D$2:$D$2583,$B168,'ноябрь 2025'!$J$2:$J$2583,N$1)</f>
        <v>0</v>
      </c>
      <c r="O168" s="183">
        <f>SUMIFS('ноябрь 2025'!$G$2:$G$2583,'ноябрь 2025'!$D$2:$D$2583,$B168,'ноябрь 2025'!$J$2:$J$2583,O$1)</f>
        <v>0</v>
      </c>
      <c r="P168" s="183">
        <f>SUMIFS('ноябрь 2025'!$G$2:$G$2583,'ноябрь 2025'!$D$2:$D$2583,$B168,'ноябрь 2025'!$J$2:$J$2583,P$1)</f>
        <v>0</v>
      </c>
      <c r="Q168" s="183">
        <f>SUMIFS('ноябрь 2025'!$G$2:$G$2583,'ноябрь 2025'!$D$2:$D$2583,$B168,'ноябрь 2025'!$J$2:$J$2583,Q$1)</f>
        <v>0</v>
      </c>
      <c r="R168" s="183">
        <f>SUMIFS('ноябрь 2025'!$G$2:$G$2583,'ноябрь 2025'!$D$2:$D$2583,$B168,'ноябрь 2025'!$J$2:$J$2583,R$1)</f>
        <v>0</v>
      </c>
      <c r="S168" s="183">
        <f>SUMIFS('ноябрь 2025'!$G$2:$G$2583,'ноябрь 2025'!$D$2:$D$2583,$B168,'ноябрь 2025'!$J$2:$J$2583,S$1)</f>
        <v>0</v>
      </c>
      <c r="T168" s="183">
        <f>SUMIFS('ноябрь 2025'!$G$2:$G$2583,'ноябрь 2025'!$D$2:$D$2583,$B168,'ноябрь 2025'!$J$2:$J$2583,T$1)</f>
        <v>0</v>
      </c>
      <c r="U168" s="183">
        <f>SUMIFS('ноябрь 2025'!$G$2:$G$2583,'ноябрь 2025'!$D$2:$D$2583,$B168,'ноябрь 2025'!$J$2:$J$2583,U$1)</f>
        <v>0</v>
      </c>
      <c r="V168" s="183">
        <f>SUMIFS('ноябрь 2025'!$G$2:$G$2583,'ноябрь 2025'!$D$2:$D$2583,$B168,'ноябрь 2025'!$J$2:$J$2583,V$1)</f>
        <v>0</v>
      </c>
      <c r="W168" s="183">
        <f>SUMIFS('ноябрь 2025'!$G$2:$G$2583,'ноябрь 2025'!$D$2:$D$2583,$B168,'ноябрь 2025'!$J$2:$J$2583,W$1)</f>
        <v>0</v>
      </c>
      <c r="X168" s="183">
        <f>SUMIFS('ноябрь 2025'!$G$2:$G$2583,'ноябрь 2025'!$D$2:$D$2583,$B168,'ноябрь 2025'!$J$2:$J$2583,X$1)</f>
        <v>0</v>
      </c>
      <c r="Y168" s="183">
        <f>SUMIFS('ноябрь 2025'!$G$2:$G$2583,'ноябрь 2025'!$D$2:$D$2583,$B168,'ноябрь 2025'!$J$2:$J$2583,Y$1)</f>
        <v>0</v>
      </c>
      <c r="Z168" s="183">
        <f>SUMIFS('ноябрь 2025'!$G$2:$G$2583,'ноябрь 2025'!$D$2:$D$2583,$B168,'ноябрь 2025'!$J$2:$J$2583,Z$1)</f>
        <v>0</v>
      </c>
      <c r="AA168" s="183">
        <f>SUMIFS('ноябрь 2025'!$G$2:$G$2583,'ноябрь 2025'!$D$2:$D$2583,$B168,'ноябрь 2025'!$J$2:$J$2583,AA$1)</f>
        <v>0</v>
      </c>
      <c r="AB168" s="183">
        <f>SUMIFS('ноябрь 2025'!$G$2:$G$2583,'ноябрь 2025'!$D$2:$D$2583,$B168,'ноябрь 2025'!$J$2:$J$2583,AB$1)</f>
        <v>0</v>
      </c>
      <c r="AC168" s="183">
        <f>SUMIFS('ноябрь 2025'!$G$2:$G$2583,'ноябрь 2025'!$D$2:$D$2583,$B168,'ноябрь 2025'!$J$2:$J$2583,AC$1)</f>
        <v>0</v>
      </c>
      <c r="AD168" s="183">
        <f>SUMIFS('ноябрь 2025'!$G$2:$G$2583,'ноябрь 2025'!$D$2:$D$2583,$B168,'ноябрь 2025'!$J$2:$J$2583,AD$1)</f>
        <v>0</v>
      </c>
      <c r="AE168" s="183">
        <f>SUMIFS('ноябрь 2025'!$G$2:$G$2583,'ноябрь 2025'!$D$2:$D$2583,$B168,'ноябрь 2025'!$J$2:$J$2583,AE$1)</f>
        <v>0</v>
      </c>
      <c r="AF168" s="183">
        <f>SUMIFS('ноябрь 2025'!$G$2:$G$2583,'ноябрь 2025'!$D$2:$D$2583,$B168,'ноябрь 2025'!$J$2:$J$2583,AF$1)</f>
        <v>0</v>
      </c>
      <c r="AG168" s="183">
        <f>SUMIFS('ноябрь 2025'!$G$2:$G$2583,'ноябрь 2025'!$D$2:$D$2583,$B168,'ноябрь 2025'!$J$2:$J$2583,AG$1)</f>
        <v>0</v>
      </c>
      <c r="AH168" s="183">
        <f>SUMIFS('ноябрь 2025'!$G$2:$G$2583,'ноябрь 2025'!$D$2:$D$2583,$B168,'ноябрь 2025'!$J$2:$J$2583,AH$1)</f>
        <v>0</v>
      </c>
      <c r="AI168" s="20">
        <f>SUM(D168:AH168)</f>
        <v>0</v>
      </c>
    </row>
    <row r="169" spans="2:35" ht="15" customHeight="1" x14ac:dyDescent="0.25">
      <c r="B169" s="84" t="s">
        <v>324</v>
      </c>
      <c r="C169" s="83">
        <v>950</v>
      </c>
      <c r="D169" s="183">
        <f>SUMIFS('ноябрь 2025'!$G$2:$G$2583,'ноябрь 2025'!$D$2:$D$2583,$B169,'ноябрь 2025'!$J$2:$J$2583,D$1)</f>
        <v>0</v>
      </c>
      <c r="E169" s="183">
        <f>SUMIFS('ноябрь 2025'!$G$2:$G$2583,'ноябрь 2025'!$D$2:$D$2583,$B169,'ноябрь 2025'!$J$2:$J$2583,E$1)</f>
        <v>0</v>
      </c>
      <c r="F169" s="183">
        <f>SUMIFS('ноябрь 2025'!$G$2:$G$2583,'ноябрь 2025'!$D$2:$D$2583,$B169,'ноябрь 2025'!$J$2:$J$2583,F$1)</f>
        <v>0</v>
      </c>
      <c r="G169" s="183">
        <f>SUMIFS('ноябрь 2025'!$G$2:$G$2583,'ноябрь 2025'!$D$2:$D$2583,$B169,'ноябрь 2025'!$J$2:$J$2583,G$1)</f>
        <v>0</v>
      </c>
      <c r="H169" s="183">
        <f>SUMIFS('ноябрь 2025'!$G$2:$G$2583,'ноябрь 2025'!$D$2:$D$2583,$B169,'ноябрь 2025'!$J$2:$J$2583,H$1)</f>
        <v>0</v>
      </c>
      <c r="I169" s="183">
        <f>SUMIFS('ноябрь 2025'!$G$2:$G$2583,'ноябрь 2025'!$D$2:$D$2583,$B169,'ноябрь 2025'!$J$2:$J$2583,I$1)</f>
        <v>0</v>
      </c>
      <c r="J169" s="183">
        <f>SUMIFS('ноябрь 2025'!$G$2:$G$2583,'ноябрь 2025'!$D$2:$D$2583,$B169,'ноябрь 2025'!$J$2:$J$2583,J$1)</f>
        <v>0</v>
      </c>
      <c r="K169" s="183">
        <f>SUMIFS('ноябрь 2025'!$G$2:$G$2583,'ноябрь 2025'!$D$2:$D$2583,$B169,'ноябрь 2025'!$J$2:$J$2583,K$1)</f>
        <v>0</v>
      </c>
      <c r="L169" s="183">
        <f>SUMIFS('ноябрь 2025'!$G$2:$G$2583,'ноябрь 2025'!$D$2:$D$2583,$B169,'ноябрь 2025'!$J$2:$J$2583,L$1)</f>
        <v>0</v>
      </c>
      <c r="M169" s="183">
        <f>SUMIFS('ноябрь 2025'!$G$2:$G$2583,'ноябрь 2025'!$D$2:$D$2583,$B169,'ноябрь 2025'!$J$2:$J$2583,M$1)</f>
        <v>0</v>
      </c>
      <c r="N169" s="183">
        <f>SUMIFS('ноябрь 2025'!$G$2:$G$2583,'ноябрь 2025'!$D$2:$D$2583,$B169,'ноябрь 2025'!$J$2:$J$2583,N$1)</f>
        <v>0</v>
      </c>
      <c r="O169" s="183">
        <f>SUMIFS('ноябрь 2025'!$G$2:$G$2583,'ноябрь 2025'!$D$2:$D$2583,$B169,'ноябрь 2025'!$J$2:$J$2583,O$1)</f>
        <v>0</v>
      </c>
      <c r="P169" s="183">
        <f>SUMIFS('ноябрь 2025'!$G$2:$G$2583,'ноябрь 2025'!$D$2:$D$2583,$B169,'ноябрь 2025'!$J$2:$J$2583,P$1)</f>
        <v>0</v>
      </c>
      <c r="Q169" s="183">
        <f>SUMIFS('ноябрь 2025'!$G$2:$G$2583,'ноябрь 2025'!$D$2:$D$2583,$B169,'ноябрь 2025'!$J$2:$J$2583,Q$1)</f>
        <v>0</v>
      </c>
      <c r="R169" s="183">
        <f>SUMIFS('ноябрь 2025'!$G$2:$G$2583,'ноябрь 2025'!$D$2:$D$2583,$B169,'ноябрь 2025'!$J$2:$J$2583,R$1)</f>
        <v>0</v>
      </c>
      <c r="S169" s="183">
        <f>SUMIFS('ноябрь 2025'!$G$2:$G$2583,'ноябрь 2025'!$D$2:$D$2583,$B169,'ноябрь 2025'!$J$2:$J$2583,S$1)</f>
        <v>0</v>
      </c>
      <c r="T169" s="183">
        <f>SUMIFS('ноябрь 2025'!$G$2:$G$2583,'ноябрь 2025'!$D$2:$D$2583,$B169,'ноябрь 2025'!$J$2:$J$2583,T$1)</f>
        <v>0</v>
      </c>
      <c r="U169" s="183">
        <f>SUMIFS('ноябрь 2025'!$G$2:$G$2583,'ноябрь 2025'!$D$2:$D$2583,$B169,'ноябрь 2025'!$J$2:$J$2583,U$1)</f>
        <v>0</v>
      </c>
      <c r="V169" s="183">
        <f>SUMIFS('ноябрь 2025'!$G$2:$G$2583,'ноябрь 2025'!$D$2:$D$2583,$B169,'ноябрь 2025'!$J$2:$J$2583,V$1)</f>
        <v>0</v>
      </c>
      <c r="W169" s="183">
        <f>SUMIFS('ноябрь 2025'!$G$2:$G$2583,'ноябрь 2025'!$D$2:$D$2583,$B169,'ноябрь 2025'!$J$2:$J$2583,W$1)</f>
        <v>0</v>
      </c>
      <c r="X169" s="183">
        <f>SUMIFS('ноябрь 2025'!$G$2:$G$2583,'ноябрь 2025'!$D$2:$D$2583,$B169,'ноябрь 2025'!$J$2:$J$2583,X$1)</f>
        <v>0</v>
      </c>
      <c r="Y169" s="183">
        <f>SUMIFS('ноябрь 2025'!$G$2:$G$2583,'ноябрь 2025'!$D$2:$D$2583,$B169,'ноябрь 2025'!$J$2:$J$2583,Y$1)</f>
        <v>0</v>
      </c>
      <c r="Z169" s="183">
        <f>SUMIFS('ноябрь 2025'!$G$2:$G$2583,'ноябрь 2025'!$D$2:$D$2583,$B169,'ноябрь 2025'!$J$2:$J$2583,Z$1)</f>
        <v>0</v>
      </c>
      <c r="AA169" s="183">
        <f>SUMIFS('ноябрь 2025'!$G$2:$G$2583,'ноябрь 2025'!$D$2:$D$2583,$B169,'ноябрь 2025'!$J$2:$J$2583,AA$1)</f>
        <v>0</v>
      </c>
      <c r="AB169" s="183">
        <f>SUMIFS('ноябрь 2025'!$G$2:$G$2583,'ноябрь 2025'!$D$2:$D$2583,$B169,'ноябрь 2025'!$J$2:$J$2583,AB$1)</f>
        <v>0</v>
      </c>
      <c r="AC169" s="183">
        <f>SUMIFS('ноябрь 2025'!$G$2:$G$2583,'ноябрь 2025'!$D$2:$D$2583,$B169,'ноябрь 2025'!$J$2:$J$2583,AC$1)</f>
        <v>0</v>
      </c>
      <c r="AD169" s="183">
        <f>SUMIFS('ноябрь 2025'!$G$2:$G$2583,'ноябрь 2025'!$D$2:$D$2583,$B169,'ноябрь 2025'!$J$2:$J$2583,AD$1)</f>
        <v>0</v>
      </c>
      <c r="AE169" s="183">
        <f>SUMIFS('ноябрь 2025'!$G$2:$G$2583,'ноябрь 2025'!$D$2:$D$2583,$B169,'ноябрь 2025'!$J$2:$J$2583,AE$1)</f>
        <v>0</v>
      </c>
      <c r="AF169" s="183">
        <f>SUMIFS('ноябрь 2025'!$G$2:$G$2583,'ноябрь 2025'!$D$2:$D$2583,$B169,'ноябрь 2025'!$J$2:$J$2583,AF$1)</f>
        <v>0</v>
      </c>
      <c r="AG169" s="183">
        <f>SUMIFS('ноябрь 2025'!$G$2:$G$2583,'ноябрь 2025'!$D$2:$D$2583,$B169,'ноябрь 2025'!$J$2:$J$2583,AG$1)</f>
        <v>0</v>
      </c>
      <c r="AH169" s="183">
        <f>SUMIFS('ноябрь 2025'!$G$2:$G$2583,'ноябрь 2025'!$D$2:$D$2583,$B169,'ноябрь 2025'!$J$2:$J$2583,AH$1)</f>
        <v>0</v>
      </c>
      <c r="AI169" s="20">
        <f t="shared" ref="AI169:AI173" si="2">SUM(D169:AH169)</f>
        <v>0</v>
      </c>
    </row>
    <row r="170" spans="2:35" ht="15" customHeight="1" x14ac:dyDescent="0.25">
      <c r="B170" s="84" t="s">
        <v>322</v>
      </c>
      <c r="C170" s="83">
        <v>200</v>
      </c>
      <c r="D170" s="183">
        <f>SUMIFS('ноябрь 2025'!$G$2:$G$2583,'ноябрь 2025'!$D$2:$D$2583,$B170,'ноябрь 2025'!$J$2:$J$2583,D$1)</f>
        <v>0</v>
      </c>
      <c r="E170" s="183">
        <f>SUMIFS('ноябрь 2025'!$G$2:$G$2583,'ноябрь 2025'!$D$2:$D$2583,$B170,'ноябрь 2025'!$J$2:$J$2583,E$1)</f>
        <v>0</v>
      </c>
      <c r="F170" s="183">
        <f>SUMIFS('ноябрь 2025'!$G$2:$G$2583,'ноябрь 2025'!$D$2:$D$2583,$B170,'ноябрь 2025'!$J$2:$J$2583,F$1)</f>
        <v>0</v>
      </c>
      <c r="G170" s="183">
        <f>SUMIFS('ноябрь 2025'!$G$2:$G$2583,'ноябрь 2025'!$D$2:$D$2583,$B170,'ноябрь 2025'!$J$2:$J$2583,G$1)</f>
        <v>0</v>
      </c>
      <c r="H170" s="183">
        <f>SUMIFS('ноябрь 2025'!$G$2:$G$2583,'ноябрь 2025'!$D$2:$D$2583,$B170,'ноябрь 2025'!$J$2:$J$2583,H$1)</f>
        <v>0</v>
      </c>
      <c r="I170" s="183">
        <f>SUMIFS('ноябрь 2025'!$G$2:$G$2583,'ноябрь 2025'!$D$2:$D$2583,$B170,'ноябрь 2025'!$J$2:$J$2583,I$1)</f>
        <v>0</v>
      </c>
      <c r="J170" s="183">
        <f>SUMIFS('ноябрь 2025'!$G$2:$G$2583,'ноябрь 2025'!$D$2:$D$2583,$B170,'ноябрь 2025'!$J$2:$J$2583,J$1)</f>
        <v>0</v>
      </c>
      <c r="K170" s="183">
        <f>SUMIFS('ноябрь 2025'!$G$2:$G$2583,'ноябрь 2025'!$D$2:$D$2583,$B170,'ноябрь 2025'!$J$2:$J$2583,K$1)</f>
        <v>0</v>
      </c>
      <c r="L170" s="183">
        <f>SUMIFS('ноябрь 2025'!$G$2:$G$2583,'ноябрь 2025'!$D$2:$D$2583,$B170,'ноябрь 2025'!$J$2:$J$2583,L$1)</f>
        <v>0</v>
      </c>
      <c r="M170" s="183">
        <f>SUMIFS('ноябрь 2025'!$G$2:$G$2583,'ноябрь 2025'!$D$2:$D$2583,$B170,'ноябрь 2025'!$J$2:$J$2583,M$1)</f>
        <v>0</v>
      </c>
      <c r="N170" s="183">
        <f>SUMIFS('ноябрь 2025'!$G$2:$G$2583,'ноябрь 2025'!$D$2:$D$2583,$B170,'ноябрь 2025'!$J$2:$J$2583,N$1)</f>
        <v>0</v>
      </c>
      <c r="O170" s="183">
        <f>SUMIFS('ноябрь 2025'!$G$2:$G$2583,'ноябрь 2025'!$D$2:$D$2583,$B170,'ноябрь 2025'!$J$2:$J$2583,O$1)</f>
        <v>0</v>
      </c>
      <c r="P170" s="183">
        <f>SUMIFS('ноябрь 2025'!$G$2:$G$2583,'ноябрь 2025'!$D$2:$D$2583,$B170,'ноябрь 2025'!$J$2:$J$2583,P$1)</f>
        <v>0</v>
      </c>
      <c r="Q170" s="183">
        <f>SUMIFS('ноябрь 2025'!$G$2:$G$2583,'ноябрь 2025'!$D$2:$D$2583,$B170,'ноябрь 2025'!$J$2:$J$2583,Q$1)</f>
        <v>0</v>
      </c>
      <c r="R170" s="183">
        <f>SUMIFS('ноябрь 2025'!$G$2:$G$2583,'ноябрь 2025'!$D$2:$D$2583,$B170,'ноябрь 2025'!$J$2:$J$2583,R$1)</f>
        <v>0</v>
      </c>
      <c r="S170" s="183">
        <f>SUMIFS('ноябрь 2025'!$G$2:$G$2583,'ноябрь 2025'!$D$2:$D$2583,$B170,'ноябрь 2025'!$J$2:$J$2583,S$1)</f>
        <v>0</v>
      </c>
      <c r="T170" s="183">
        <f>SUMIFS('ноябрь 2025'!$G$2:$G$2583,'ноябрь 2025'!$D$2:$D$2583,$B170,'ноябрь 2025'!$J$2:$J$2583,T$1)</f>
        <v>0</v>
      </c>
      <c r="U170" s="183">
        <f>SUMIFS('ноябрь 2025'!$G$2:$G$2583,'ноябрь 2025'!$D$2:$D$2583,$B170,'ноябрь 2025'!$J$2:$J$2583,U$1)</f>
        <v>0</v>
      </c>
      <c r="V170" s="183">
        <f>SUMIFS('ноябрь 2025'!$G$2:$G$2583,'ноябрь 2025'!$D$2:$D$2583,$B170,'ноябрь 2025'!$J$2:$J$2583,V$1)</f>
        <v>0</v>
      </c>
      <c r="W170" s="183">
        <f>SUMIFS('ноябрь 2025'!$G$2:$G$2583,'ноябрь 2025'!$D$2:$D$2583,$B170,'ноябрь 2025'!$J$2:$J$2583,W$1)</f>
        <v>0</v>
      </c>
      <c r="X170" s="183">
        <f>SUMIFS('ноябрь 2025'!$G$2:$G$2583,'ноябрь 2025'!$D$2:$D$2583,$B170,'ноябрь 2025'!$J$2:$J$2583,X$1)</f>
        <v>0</v>
      </c>
      <c r="Y170" s="183">
        <f>SUMIFS('ноябрь 2025'!$G$2:$G$2583,'ноябрь 2025'!$D$2:$D$2583,$B170,'ноябрь 2025'!$J$2:$J$2583,Y$1)</f>
        <v>0</v>
      </c>
      <c r="Z170" s="183">
        <f>SUMIFS('ноябрь 2025'!$G$2:$G$2583,'ноябрь 2025'!$D$2:$D$2583,$B170,'ноябрь 2025'!$J$2:$J$2583,Z$1)</f>
        <v>0</v>
      </c>
      <c r="AA170" s="183">
        <f>SUMIFS('ноябрь 2025'!$G$2:$G$2583,'ноябрь 2025'!$D$2:$D$2583,$B170,'ноябрь 2025'!$J$2:$J$2583,AA$1)</f>
        <v>0</v>
      </c>
      <c r="AB170" s="183">
        <f>SUMIFS('ноябрь 2025'!$G$2:$G$2583,'ноябрь 2025'!$D$2:$D$2583,$B170,'ноябрь 2025'!$J$2:$J$2583,AB$1)</f>
        <v>0</v>
      </c>
      <c r="AC170" s="183">
        <f>SUMIFS('ноябрь 2025'!$G$2:$G$2583,'ноябрь 2025'!$D$2:$D$2583,$B170,'ноябрь 2025'!$J$2:$J$2583,AC$1)</f>
        <v>0</v>
      </c>
      <c r="AD170" s="183">
        <f>SUMIFS('ноябрь 2025'!$G$2:$G$2583,'ноябрь 2025'!$D$2:$D$2583,$B170,'ноябрь 2025'!$J$2:$J$2583,AD$1)</f>
        <v>0</v>
      </c>
      <c r="AE170" s="183">
        <f>SUMIFS('ноябрь 2025'!$G$2:$G$2583,'ноябрь 2025'!$D$2:$D$2583,$B170,'ноябрь 2025'!$J$2:$J$2583,AE$1)</f>
        <v>0</v>
      </c>
      <c r="AF170" s="183">
        <f>SUMIFS('ноябрь 2025'!$G$2:$G$2583,'ноябрь 2025'!$D$2:$D$2583,$B170,'ноябрь 2025'!$J$2:$J$2583,AF$1)</f>
        <v>0</v>
      </c>
      <c r="AG170" s="183">
        <f>SUMIFS('ноябрь 2025'!$G$2:$G$2583,'ноябрь 2025'!$D$2:$D$2583,$B170,'ноябрь 2025'!$J$2:$J$2583,AG$1)</f>
        <v>0</v>
      </c>
      <c r="AH170" s="183">
        <f>SUMIFS('ноябрь 2025'!$G$2:$G$2583,'ноябрь 2025'!$D$2:$D$2583,$B170,'ноябрь 2025'!$J$2:$J$2583,AH$1)</f>
        <v>0</v>
      </c>
      <c r="AI170" s="20">
        <f t="shared" si="2"/>
        <v>0</v>
      </c>
    </row>
    <row r="171" spans="2:35" ht="15" customHeight="1" x14ac:dyDescent="0.25">
      <c r="B171" s="84" t="s">
        <v>810</v>
      </c>
      <c r="C171" s="83">
        <v>200</v>
      </c>
      <c r="D171" s="183">
        <f>SUMIFS('ноябрь 2025'!$G$2:$G$2583,'ноябрь 2025'!$D$2:$D$2583,$B171,'ноябрь 2025'!$J$2:$J$2583,D$1)</f>
        <v>0</v>
      </c>
      <c r="E171" s="183">
        <f>SUMIFS('ноябрь 2025'!$G$2:$G$2583,'ноябрь 2025'!$D$2:$D$2583,$B171,'ноябрь 2025'!$J$2:$J$2583,E$1)</f>
        <v>0</v>
      </c>
      <c r="F171" s="183">
        <f>SUMIFS('ноябрь 2025'!$G$2:$G$2583,'ноябрь 2025'!$D$2:$D$2583,$B171,'ноябрь 2025'!$J$2:$J$2583,F$1)</f>
        <v>0</v>
      </c>
      <c r="G171" s="183">
        <f>SUMIFS('ноябрь 2025'!$G$2:$G$2583,'ноябрь 2025'!$D$2:$D$2583,$B171,'ноябрь 2025'!$J$2:$J$2583,G$1)</f>
        <v>0</v>
      </c>
      <c r="H171" s="183">
        <f>SUMIFS('ноябрь 2025'!$G$2:$G$2583,'ноябрь 2025'!$D$2:$D$2583,$B171,'ноябрь 2025'!$J$2:$J$2583,H$1)</f>
        <v>0</v>
      </c>
      <c r="I171" s="183">
        <f>SUMIFS('ноябрь 2025'!$G$2:$G$2583,'ноябрь 2025'!$D$2:$D$2583,$B171,'ноябрь 2025'!$J$2:$J$2583,I$1)</f>
        <v>0</v>
      </c>
      <c r="J171" s="183">
        <f>SUMIFS('ноябрь 2025'!$G$2:$G$2583,'ноябрь 2025'!$D$2:$D$2583,$B171,'ноябрь 2025'!$J$2:$J$2583,J$1)</f>
        <v>0</v>
      </c>
      <c r="K171" s="183">
        <f>SUMIFS('ноябрь 2025'!$G$2:$G$2583,'ноябрь 2025'!$D$2:$D$2583,$B171,'ноябрь 2025'!$J$2:$J$2583,K$1)</f>
        <v>0</v>
      </c>
      <c r="L171" s="183">
        <f>SUMIFS('ноябрь 2025'!$G$2:$G$2583,'ноябрь 2025'!$D$2:$D$2583,$B171,'ноябрь 2025'!$J$2:$J$2583,L$1)</f>
        <v>0</v>
      </c>
      <c r="M171" s="183">
        <f>SUMIFS('ноябрь 2025'!$G$2:$G$2583,'ноябрь 2025'!$D$2:$D$2583,$B171,'ноябрь 2025'!$J$2:$J$2583,M$1)</f>
        <v>0</v>
      </c>
      <c r="N171" s="183">
        <f>SUMIFS('ноябрь 2025'!$G$2:$G$2583,'ноябрь 2025'!$D$2:$D$2583,$B171,'ноябрь 2025'!$J$2:$J$2583,N$1)</f>
        <v>0</v>
      </c>
      <c r="O171" s="183">
        <f>SUMIFS('ноябрь 2025'!$G$2:$G$2583,'ноябрь 2025'!$D$2:$D$2583,$B171,'ноябрь 2025'!$J$2:$J$2583,O$1)</f>
        <v>0</v>
      </c>
      <c r="P171" s="183">
        <f>SUMIFS('ноябрь 2025'!$G$2:$G$2583,'ноябрь 2025'!$D$2:$D$2583,$B171,'ноябрь 2025'!$J$2:$J$2583,P$1)</f>
        <v>0</v>
      </c>
      <c r="Q171" s="183">
        <f>SUMIFS('ноябрь 2025'!$G$2:$G$2583,'ноябрь 2025'!$D$2:$D$2583,$B171,'ноябрь 2025'!$J$2:$J$2583,Q$1)</f>
        <v>0</v>
      </c>
      <c r="R171" s="183">
        <f>SUMIFS('ноябрь 2025'!$G$2:$G$2583,'ноябрь 2025'!$D$2:$D$2583,$B171,'ноябрь 2025'!$J$2:$J$2583,R$1)</f>
        <v>0</v>
      </c>
      <c r="S171" s="183">
        <f>SUMIFS('ноябрь 2025'!$G$2:$G$2583,'ноябрь 2025'!$D$2:$D$2583,$B171,'ноябрь 2025'!$J$2:$J$2583,S$1)</f>
        <v>0</v>
      </c>
      <c r="T171" s="183">
        <f>SUMIFS('ноябрь 2025'!$G$2:$G$2583,'ноябрь 2025'!$D$2:$D$2583,$B171,'ноябрь 2025'!$J$2:$J$2583,T$1)</f>
        <v>0</v>
      </c>
      <c r="U171" s="183">
        <f>SUMIFS('ноябрь 2025'!$G$2:$G$2583,'ноябрь 2025'!$D$2:$D$2583,$B171,'ноябрь 2025'!$J$2:$J$2583,U$1)</f>
        <v>0</v>
      </c>
      <c r="V171" s="183">
        <f>SUMIFS('ноябрь 2025'!$G$2:$G$2583,'ноябрь 2025'!$D$2:$D$2583,$B171,'ноябрь 2025'!$J$2:$J$2583,V$1)</f>
        <v>0</v>
      </c>
      <c r="W171" s="183">
        <f>SUMIFS('ноябрь 2025'!$G$2:$G$2583,'ноябрь 2025'!$D$2:$D$2583,$B171,'ноябрь 2025'!$J$2:$J$2583,W$1)</f>
        <v>0</v>
      </c>
      <c r="X171" s="183">
        <f>SUMIFS('ноябрь 2025'!$G$2:$G$2583,'ноябрь 2025'!$D$2:$D$2583,$B171,'ноябрь 2025'!$J$2:$J$2583,X$1)</f>
        <v>0</v>
      </c>
      <c r="Y171" s="183">
        <f>SUMIFS('ноябрь 2025'!$G$2:$G$2583,'ноябрь 2025'!$D$2:$D$2583,$B171,'ноябрь 2025'!$J$2:$J$2583,Y$1)</f>
        <v>0</v>
      </c>
      <c r="Z171" s="183">
        <f>SUMIFS('ноябрь 2025'!$G$2:$G$2583,'ноябрь 2025'!$D$2:$D$2583,$B171,'ноябрь 2025'!$J$2:$J$2583,Z$1)</f>
        <v>0</v>
      </c>
      <c r="AA171" s="183">
        <f>SUMIFS('ноябрь 2025'!$G$2:$G$2583,'ноябрь 2025'!$D$2:$D$2583,$B171,'ноябрь 2025'!$J$2:$J$2583,AA$1)</f>
        <v>0</v>
      </c>
      <c r="AB171" s="183">
        <f>SUMIFS('ноябрь 2025'!$G$2:$G$2583,'ноябрь 2025'!$D$2:$D$2583,$B171,'ноябрь 2025'!$J$2:$J$2583,AB$1)</f>
        <v>0</v>
      </c>
      <c r="AC171" s="183">
        <f>SUMIFS('ноябрь 2025'!$G$2:$G$2583,'ноябрь 2025'!$D$2:$D$2583,$B171,'ноябрь 2025'!$J$2:$J$2583,AC$1)</f>
        <v>0</v>
      </c>
      <c r="AD171" s="183">
        <f>SUMIFS('ноябрь 2025'!$G$2:$G$2583,'ноябрь 2025'!$D$2:$D$2583,$B171,'ноябрь 2025'!$J$2:$J$2583,AD$1)</f>
        <v>0</v>
      </c>
      <c r="AE171" s="183">
        <f>SUMIFS('ноябрь 2025'!$G$2:$G$2583,'ноябрь 2025'!$D$2:$D$2583,$B171,'ноябрь 2025'!$J$2:$J$2583,AE$1)</f>
        <v>0</v>
      </c>
      <c r="AF171" s="183">
        <f>SUMIFS('ноябрь 2025'!$G$2:$G$2583,'ноябрь 2025'!$D$2:$D$2583,$B171,'ноябрь 2025'!$J$2:$J$2583,AF$1)</f>
        <v>0</v>
      </c>
      <c r="AG171" s="183">
        <f>SUMIFS('ноябрь 2025'!$G$2:$G$2583,'ноябрь 2025'!$D$2:$D$2583,$B171,'ноябрь 2025'!$J$2:$J$2583,AG$1)</f>
        <v>0</v>
      </c>
      <c r="AH171" s="183">
        <f>SUMIFS('ноябрь 2025'!$G$2:$G$2583,'ноябрь 2025'!$D$2:$D$2583,$B171,'ноябрь 2025'!$J$2:$J$2583,AH$1)</f>
        <v>0</v>
      </c>
      <c r="AI171" s="20">
        <f t="shared" si="2"/>
        <v>0</v>
      </c>
    </row>
    <row r="172" spans="2:35" ht="15" customHeight="1" x14ac:dyDescent="0.25">
      <c r="B172" s="84" t="s">
        <v>995</v>
      </c>
      <c r="C172" s="83">
        <v>200</v>
      </c>
      <c r="D172" s="183">
        <f>SUMIFS('ноябрь 2025'!$G$2:$G$2583,'ноябрь 2025'!$D$2:$D$2583,$B172,'ноябрь 2025'!$J$2:$J$2583,D$1)</f>
        <v>0</v>
      </c>
      <c r="E172" s="183">
        <f>SUMIFS('ноябрь 2025'!$G$2:$G$2583,'ноябрь 2025'!$D$2:$D$2583,$B172,'ноябрь 2025'!$J$2:$J$2583,E$1)</f>
        <v>0</v>
      </c>
      <c r="F172" s="183">
        <f>SUMIFS('ноябрь 2025'!$G$2:$G$2583,'ноябрь 2025'!$D$2:$D$2583,$B172,'ноябрь 2025'!$J$2:$J$2583,F$1)</f>
        <v>0</v>
      </c>
      <c r="G172" s="183">
        <f>SUMIFS('ноябрь 2025'!$G$2:$G$2583,'ноябрь 2025'!$D$2:$D$2583,$B172,'ноябрь 2025'!$J$2:$J$2583,G$1)</f>
        <v>0</v>
      </c>
      <c r="H172" s="183">
        <f>SUMIFS('ноябрь 2025'!$G$2:$G$2583,'ноябрь 2025'!$D$2:$D$2583,$B172,'ноябрь 2025'!$J$2:$J$2583,H$1)</f>
        <v>0</v>
      </c>
      <c r="I172" s="183">
        <f>SUMIFS('ноябрь 2025'!$G$2:$G$2583,'ноябрь 2025'!$D$2:$D$2583,$B172,'ноябрь 2025'!$J$2:$J$2583,I$1)</f>
        <v>0</v>
      </c>
      <c r="J172" s="183">
        <f>SUMIFS('ноябрь 2025'!$G$2:$G$2583,'ноябрь 2025'!$D$2:$D$2583,$B172,'ноябрь 2025'!$J$2:$J$2583,J$1)</f>
        <v>0</v>
      </c>
      <c r="K172" s="183">
        <f>SUMIFS('ноябрь 2025'!$G$2:$G$2583,'ноябрь 2025'!$D$2:$D$2583,$B172,'ноябрь 2025'!$J$2:$J$2583,K$1)</f>
        <v>0</v>
      </c>
      <c r="L172" s="183">
        <f>SUMIFS('ноябрь 2025'!$G$2:$G$2583,'ноябрь 2025'!$D$2:$D$2583,$B172,'ноябрь 2025'!$J$2:$J$2583,L$1)</f>
        <v>0</v>
      </c>
      <c r="M172" s="183">
        <f>SUMIFS('ноябрь 2025'!$G$2:$G$2583,'ноябрь 2025'!$D$2:$D$2583,$B172,'ноябрь 2025'!$J$2:$J$2583,M$1)</f>
        <v>0</v>
      </c>
      <c r="N172" s="183">
        <f>SUMIFS('ноябрь 2025'!$G$2:$G$2583,'ноябрь 2025'!$D$2:$D$2583,$B172,'ноябрь 2025'!$J$2:$J$2583,N$1)</f>
        <v>0</v>
      </c>
      <c r="O172" s="183">
        <f>SUMIFS('ноябрь 2025'!$G$2:$G$2583,'ноябрь 2025'!$D$2:$D$2583,$B172,'ноябрь 2025'!$J$2:$J$2583,O$1)</f>
        <v>0</v>
      </c>
      <c r="P172" s="183">
        <f>SUMIFS('ноябрь 2025'!$G$2:$G$2583,'ноябрь 2025'!$D$2:$D$2583,$B172,'ноябрь 2025'!$J$2:$J$2583,P$1)</f>
        <v>0</v>
      </c>
      <c r="Q172" s="183">
        <f>SUMIFS('ноябрь 2025'!$G$2:$G$2583,'ноябрь 2025'!$D$2:$D$2583,$B172,'ноябрь 2025'!$J$2:$J$2583,Q$1)</f>
        <v>0</v>
      </c>
      <c r="R172" s="183">
        <f>SUMIFS('ноябрь 2025'!$G$2:$G$2583,'ноябрь 2025'!$D$2:$D$2583,$B172,'ноябрь 2025'!$J$2:$J$2583,R$1)</f>
        <v>0</v>
      </c>
      <c r="S172" s="183">
        <f>SUMIFS('ноябрь 2025'!$G$2:$G$2583,'ноябрь 2025'!$D$2:$D$2583,$B172,'ноябрь 2025'!$J$2:$J$2583,S$1)</f>
        <v>0</v>
      </c>
      <c r="T172" s="183">
        <f>SUMIFS('ноябрь 2025'!$G$2:$G$2583,'ноябрь 2025'!$D$2:$D$2583,$B172,'ноябрь 2025'!$J$2:$J$2583,T$1)</f>
        <v>0</v>
      </c>
      <c r="U172" s="183">
        <f>SUMIFS('ноябрь 2025'!$G$2:$G$2583,'ноябрь 2025'!$D$2:$D$2583,$B172,'ноябрь 2025'!$J$2:$J$2583,U$1)</f>
        <v>0</v>
      </c>
      <c r="V172" s="183">
        <f>SUMIFS('ноябрь 2025'!$G$2:$G$2583,'ноябрь 2025'!$D$2:$D$2583,$B172,'ноябрь 2025'!$J$2:$J$2583,V$1)</f>
        <v>0</v>
      </c>
      <c r="W172" s="183">
        <f>SUMIFS('ноябрь 2025'!$G$2:$G$2583,'ноябрь 2025'!$D$2:$D$2583,$B172,'ноябрь 2025'!$J$2:$J$2583,W$1)</f>
        <v>0</v>
      </c>
      <c r="X172" s="183">
        <f>SUMIFS('ноябрь 2025'!$G$2:$G$2583,'ноябрь 2025'!$D$2:$D$2583,$B172,'ноябрь 2025'!$J$2:$J$2583,X$1)</f>
        <v>0</v>
      </c>
      <c r="Y172" s="183">
        <f>SUMIFS('ноябрь 2025'!$G$2:$G$2583,'ноябрь 2025'!$D$2:$D$2583,$B172,'ноябрь 2025'!$J$2:$J$2583,Y$1)</f>
        <v>0</v>
      </c>
      <c r="Z172" s="183">
        <f>SUMIFS('ноябрь 2025'!$G$2:$G$2583,'ноябрь 2025'!$D$2:$D$2583,$B172,'ноябрь 2025'!$J$2:$J$2583,Z$1)</f>
        <v>0</v>
      </c>
      <c r="AA172" s="183">
        <f>SUMIFS('ноябрь 2025'!$G$2:$G$2583,'ноябрь 2025'!$D$2:$D$2583,$B172,'ноябрь 2025'!$J$2:$J$2583,AA$1)</f>
        <v>0</v>
      </c>
      <c r="AB172" s="183">
        <f>SUMIFS('ноябрь 2025'!$G$2:$G$2583,'ноябрь 2025'!$D$2:$D$2583,$B172,'ноябрь 2025'!$J$2:$J$2583,AB$1)</f>
        <v>0</v>
      </c>
      <c r="AC172" s="183">
        <f>SUMIFS('ноябрь 2025'!$G$2:$G$2583,'ноябрь 2025'!$D$2:$D$2583,$B172,'ноябрь 2025'!$J$2:$J$2583,AC$1)</f>
        <v>0</v>
      </c>
      <c r="AD172" s="183">
        <f>SUMIFS('ноябрь 2025'!$G$2:$G$2583,'ноябрь 2025'!$D$2:$D$2583,$B172,'ноябрь 2025'!$J$2:$J$2583,AD$1)</f>
        <v>0</v>
      </c>
      <c r="AE172" s="183">
        <f>SUMIFS('ноябрь 2025'!$G$2:$G$2583,'ноябрь 2025'!$D$2:$D$2583,$B172,'ноябрь 2025'!$J$2:$J$2583,AE$1)</f>
        <v>0</v>
      </c>
      <c r="AF172" s="183">
        <f>SUMIFS('ноябрь 2025'!$G$2:$G$2583,'ноябрь 2025'!$D$2:$D$2583,$B172,'ноябрь 2025'!$J$2:$J$2583,AF$1)</f>
        <v>0</v>
      </c>
      <c r="AG172" s="183">
        <f>SUMIFS('ноябрь 2025'!$G$2:$G$2583,'ноябрь 2025'!$D$2:$D$2583,$B172,'ноябрь 2025'!$J$2:$J$2583,AG$1)</f>
        <v>0</v>
      </c>
      <c r="AH172" s="183">
        <f>SUMIFS('ноябрь 2025'!$G$2:$G$2583,'ноябрь 2025'!$D$2:$D$2583,$B172,'ноябрь 2025'!$J$2:$J$2583,AH$1)</f>
        <v>0</v>
      </c>
      <c r="AI172" s="20">
        <f t="shared" si="2"/>
        <v>0</v>
      </c>
    </row>
    <row r="173" spans="2:35" ht="15" customHeight="1" x14ac:dyDescent="0.25">
      <c r="B173" s="84" t="s">
        <v>1895</v>
      </c>
      <c r="C173" s="83">
        <v>30</v>
      </c>
      <c r="D173" s="183">
        <f>SUMIFS('ноябрь 2025'!$G$2:$G$2583,'ноябрь 2025'!$D$2:$D$2583,$B173,'ноябрь 2025'!$J$2:$J$2583,D$1)</f>
        <v>0</v>
      </c>
      <c r="E173" s="183">
        <f>SUMIFS('ноябрь 2025'!$G$2:$G$2583,'ноябрь 2025'!$D$2:$D$2583,$B173,'ноябрь 2025'!$J$2:$J$2583,E$1)</f>
        <v>0</v>
      </c>
      <c r="F173" s="183">
        <f>SUMIFS('ноябрь 2025'!$G$2:$G$2583,'ноябрь 2025'!$D$2:$D$2583,$B173,'ноябрь 2025'!$J$2:$J$2583,F$1)</f>
        <v>0</v>
      </c>
      <c r="G173" s="183">
        <f>SUMIFS('ноябрь 2025'!$G$2:$G$2583,'ноябрь 2025'!$D$2:$D$2583,$B173,'ноябрь 2025'!$J$2:$J$2583,G$1)</f>
        <v>0</v>
      </c>
      <c r="H173" s="183">
        <f>SUMIFS('ноябрь 2025'!$G$2:$G$2583,'ноябрь 2025'!$D$2:$D$2583,$B173,'ноябрь 2025'!$J$2:$J$2583,H$1)</f>
        <v>0</v>
      </c>
      <c r="I173" s="183">
        <f>SUMIFS('ноябрь 2025'!$G$2:$G$2583,'ноябрь 2025'!$D$2:$D$2583,$B173,'ноябрь 2025'!$J$2:$J$2583,I$1)</f>
        <v>0</v>
      </c>
      <c r="J173" s="183">
        <f>SUMIFS('ноябрь 2025'!$G$2:$G$2583,'ноябрь 2025'!$D$2:$D$2583,$B173,'ноябрь 2025'!$J$2:$J$2583,J$1)</f>
        <v>0</v>
      </c>
      <c r="K173" s="183">
        <f>SUMIFS('ноябрь 2025'!$G$2:$G$2583,'ноябрь 2025'!$D$2:$D$2583,$B173,'ноябрь 2025'!$J$2:$J$2583,K$1)</f>
        <v>0</v>
      </c>
      <c r="L173" s="183">
        <f>SUMIFS('ноябрь 2025'!$G$2:$G$2583,'ноябрь 2025'!$D$2:$D$2583,$B173,'ноябрь 2025'!$J$2:$J$2583,L$1)</f>
        <v>0</v>
      </c>
      <c r="M173" s="183">
        <f>SUMIFS('ноябрь 2025'!$G$2:$G$2583,'ноябрь 2025'!$D$2:$D$2583,$B173,'ноябрь 2025'!$J$2:$J$2583,M$1)</f>
        <v>0</v>
      </c>
      <c r="N173" s="183">
        <f>SUMIFS('ноябрь 2025'!$G$2:$G$2583,'ноябрь 2025'!$D$2:$D$2583,$B173,'ноябрь 2025'!$J$2:$J$2583,N$1)</f>
        <v>0</v>
      </c>
      <c r="O173" s="183">
        <f>SUMIFS('ноябрь 2025'!$G$2:$G$2583,'ноябрь 2025'!$D$2:$D$2583,$B173,'ноябрь 2025'!$J$2:$J$2583,O$1)</f>
        <v>0</v>
      </c>
      <c r="P173" s="183">
        <f>SUMIFS('ноябрь 2025'!$G$2:$G$2583,'ноябрь 2025'!$D$2:$D$2583,$B173,'ноябрь 2025'!$J$2:$J$2583,P$1)</f>
        <v>0</v>
      </c>
      <c r="Q173" s="183">
        <f>SUMIFS('ноябрь 2025'!$G$2:$G$2583,'ноябрь 2025'!$D$2:$D$2583,$B173,'ноябрь 2025'!$J$2:$J$2583,Q$1)</f>
        <v>0</v>
      </c>
      <c r="R173" s="183">
        <f>SUMIFS('ноябрь 2025'!$G$2:$G$2583,'ноябрь 2025'!$D$2:$D$2583,$B173,'ноябрь 2025'!$J$2:$J$2583,R$1)</f>
        <v>0</v>
      </c>
      <c r="S173" s="183">
        <f>SUMIFS('ноябрь 2025'!$G$2:$G$2583,'ноябрь 2025'!$D$2:$D$2583,$B173,'ноябрь 2025'!$J$2:$J$2583,S$1)</f>
        <v>0</v>
      </c>
      <c r="T173" s="183">
        <f>SUMIFS('ноябрь 2025'!$G$2:$G$2583,'ноябрь 2025'!$D$2:$D$2583,$B173,'ноябрь 2025'!$J$2:$J$2583,T$1)</f>
        <v>0</v>
      </c>
      <c r="U173" s="183">
        <f>SUMIFS('ноябрь 2025'!$G$2:$G$2583,'ноябрь 2025'!$D$2:$D$2583,$B173,'ноябрь 2025'!$J$2:$J$2583,U$1)</f>
        <v>0</v>
      </c>
      <c r="V173" s="183">
        <f>SUMIFS('ноябрь 2025'!$G$2:$G$2583,'ноябрь 2025'!$D$2:$D$2583,$B173,'ноябрь 2025'!$J$2:$J$2583,V$1)</f>
        <v>0</v>
      </c>
      <c r="W173" s="183">
        <f>SUMIFS('ноябрь 2025'!$G$2:$G$2583,'ноябрь 2025'!$D$2:$D$2583,$B173,'ноябрь 2025'!$J$2:$J$2583,W$1)</f>
        <v>0</v>
      </c>
      <c r="X173" s="183">
        <f>SUMIFS('ноябрь 2025'!$G$2:$G$2583,'ноябрь 2025'!$D$2:$D$2583,$B173,'ноябрь 2025'!$J$2:$J$2583,X$1)</f>
        <v>0</v>
      </c>
      <c r="Y173" s="183">
        <f>SUMIFS('ноябрь 2025'!$G$2:$G$2583,'ноябрь 2025'!$D$2:$D$2583,$B173,'ноябрь 2025'!$J$2:$J$2583,Y$1)</f>
        <v>0</v>
      </c>
      <c r="Z173" s="183">
        <f>SUMIFS('ноябрь 2025'!$G$2:$G$2583,'ноябрь 2025'!$D$2:$D$2583,$B173,'ноябрь 2025'!$J$2:$J$2583,Z$1)</f>
        <v>0</v>
      </c>
      <c r="AA173" s="183">
        <f>SUMIFS('ноябрь 2025'!$G$2:$G$2583,'ноябрь 2025'!$D$2:$D$2583,$B173,'ноябрь 2025'!$J$2:$J$2583,AA$1)</f>
        <v>0</v>
      </c>
      <c r="AB173" s="183">
        <f>SUMIFS('ноябрь 2025'!$G$2:$G$2583,'ноябрь 2025'!$D$2:$D$2583,$B173,'ноябрь 2025'!$J$2:$J$2583,AB$1)</f>
        <v>0</v>
      </c>
      <c r="AC173" s="183">
        <f>SUMIFS('ноябрь 2025'!$G$2:$G$2583,'ноябрь 2025'!$D$2:$D$2583,$B173,'ноябрь 2025'!$J$2:$J$2583,AC$1)</f>
        <v>0</v>
      </c>
      <c r="AD173" s="183">
        <f>SUMIFS('ноябрь 2025'!$G$2:$G$2583,'ноябрь 2025'!$D$2:$D$2583,$B173,'ноябрь 2025'!$J$2:$J$2583,AD$1)</f>
        <v>0</v>
      </c>
      <c r="AE173" s="183">
        <f>SUMIFS('ноябрь 2025'!$G$2:$G$2583,'ноябрь 2025'!$D$2:$D$2583,$B173,'ноябрь 2025'!$J$2:$J$2583,AE$1)</f>
        <v>0</v>
      </c>
      <c r="AF173" s="183">
        <f>SUMIFS('ноябрь 2025'!$G$2:$G$2583,'ноябрь 2025'!$D$2:$D$2583,$B173,'ноябрь 2025'!$J$2:$J$2583,AF$1)</f>
        <v>0</v>
      </c>
      <c r="AG173" s="183">
        <f>SUMIFS('ноябрь 2025'!$G$2:$G$2583,'ноябрь 2025'!$D$2:$D$2583,$B173,'ноябрь 2025'!$J$2:$J$2583,AG$1)</f>
        <v>0</v>
      </c>
      <c r="AH173" s="183">
        <f>SUMIFS('ноябрь 2025'!$G$2:$G$2583,'ноябрь 2025'!$D$2:$D$2583,$B173,'ноябрь 2025'!$J$2:$J$2583,AH$1)</f>
        <v>0</v>
      </c>
      <c r="AI173" s="20">
        <f t="shared" si="2"/>
        <v>0</v>
      </c>
    </row>
    <row r="174" spans="2:35" ht="15" customHeight="1" x14ac:dyDescent="0.25">
      <c r="B174" s="84"/>
      <c r="C174" s="83"/>
      <c r="D174" s="183">
        <f>SUMIFS('июнь 2025'!$G$5:$G$2470,'июнь 2025'!$D$5:$D$2470,$B174,'июнь 2025'!$J$5:$J$2470,D$1)</f>
        <v>0</v>
      </c>
      <c r="E174" s="183">
        <f>SUMIFS('июнь 2025'!$G$5:$G$2470,'июнь 2025'!$D$5:$D$2470,$B174,'июнь 2025'!$J$5:$J$2470,E$1)</f>
        <v>0</v>
      </c>
      <c r="F174" s="183">
        <f>SUMIFS('июнь 2025'!$G$5:$G$2470,'июнь 2025'!$D$5:$D$2470,$B174,'июнь 2025'!$J$5:$J$2470,F$1)</f>
        <v>0</v>
      </c>
      <c r="G174" s="183">
        <f>SUMIFS('июнь 2025'!$G$5:$G$2470,'июнь 2025'!$D$5:$D$2470,$B174,'июнь 2025'!$J$5:$J$2470,G$1)</f>
        <v>0</v>
      </c>
      <c r="H174" s="183">
        <f>SUMIFS('июнь 2025'!$G$5:$G$2470,'июнь 2025'!$D$5:$D$2470,$B174,'июнь 2025'!$J$5:$J$2470,H$1)</f>
        <v>0</v>
      </c>
      <c r="I174" s="183">
        <f>SUMIFS('июнь 2025'!$G$5:$G$2470,'июнь 2025'!$D$5:$D$2470,$B174,'июнь 2025'!$J$5:$J$2470,I$1)</f>
        <v>0</v>
      </c>
      <c r="J174" s="183">
        <f>SUMIFS('июнь 2025'!$G$5:$G$2470,'июнь 2025'!$D$5:$D$2470,$B174,'июнь 2025'!$J$5:$J$2470,J$1)</f>
        <v>0</v>
      </c>
      <c r="K174" s="183">
        <f>SUMIFS('июнь 2025'!$G$5:$G$2470,'июнь 2025'!$D$5:$D$2470,$B174,'июнь 2025'!$J$5:$J$2470,K$1)</f>
        <v>0</v>
      </c>
      <c r="L174" s="183">
        <f>SUMIFS('июнь 2025'!$G$5:$G$2470,'июнь 2025'!$D$5:$D$2470,$B174,'июнь 2025'!$J$5:$J$2470,L$1)</f>
        <v>0</v>
      </c>
      <c r="M174" s="183">
        <f>SUMIFS('июнь 2025'!$G$5:$G$2470,'июнь 2025'!$D$5:$D$2470,$B174,'июнь 2025'!$J$5:$J$2470,M$1)</f>
        <v>0</v>
      </c>
      <c r="N174" s="183">
        <f>SUMIFS('июнь 2025'!$G$5:$G$2470,'июнь 2025'!$D$5:$D$2470,$B174,'июнь 2025'!$J$5:$J$2470,N$1)</f>
        <v>0</v>
      </c>
      <c r="O174" s="183">
        <f>SUMIFS('июнь 2025'!$G$5:$G$2470,'июнь 2025'!$D$5:$D$2470,$B174,'июнь 2025'!$J$5:$J$2470,O$1)</f>
        <v>0</v>
      </c>
      <c r="P174" s="183">
        <f>SUMIFS('июнь 2025'!$G$5:$G$2470,'июнь 2025'!$D$5:$D$2470,$B174,'июнь 2025'!$J$5:$J$2470,P$1)</f>
        <v>0</v>
      </c>
      <c r="Q174" s="183">
        <f>SUMIFS('июнь 2025'!$G$5:$G$2470,'июнь 2025'!$D$5:$D$2470,$B174,'июнь 2025'!$J$5:$J$2470,Q$1)</f>
        <v>0</v>
      </c>
      <c r="R174" s="183">
        <f>SUMIFS('июнь 2025'!$G$5:$G$2470,'июнь 2025'!$D$5:$D$2470,$B174,'июнь 2025'!$J$5:$J$2470,R$1)</f>
        <v>0</v>
      </c>
      <c r="S174" s="183">
        <f>SUMIFS('июнь 2025'!$G$5:$G$2470,'июнь 2025'!$D$5:$D$2470,$B174,'июнь 2025'!$J$5:$J$2470,S$1)</f>
        <v>0</v>
      </c>
      <c r="T174" s="183">
        <f>SUMIFS('июнь 2025'!$G$5:$G$2470,'июнь 2025'!$D$5:$D$2470,$B174,'июнь 2025'!$J$5:$J$2470,T$1)</f>
        <v>0</v>
      </c>
      <c r="U174" s="183">
        <f>SUMIFS('июнь 2025'!$G$5:$G$2470,'июнь 2025'!$D$5:$D$2470,$B174,'июнь 2025'!$J$5:$J$2470,U$1)</f>
        <v>0</v>
      </c>
      <c r="V174" s="183">
        <f>SUMIFS('июнь 2025'!$G$5:$G$2470,'июнь 2025'!$D$5:$D$2470,$B174,'июнь 2025'!$J$5:$J$2470,V$1)</f>
        <v>0</v>
      </c>
      <c r="W174" s="183">
        <f>SUMIFS('июнь 2025'!$G$5:$G$2470,'июнь 2025'!$D$5:$D$2470,$B174,'июнь 2025'!$J$5:$J$2470,W$1)</f>
        <v>0</v>
      </c>
      <c r="X174" s="183">
        <f>SUMIFS('июнь 2025'!$G$5:$G$2470,'июнь 2025'!$D$5:$D$2470,$B174,'июнь 2025'!$J$5:$J$2470,X$1)</f>
        <v>0</v>
      </c>
      <c r="Y174" s="183">
        <f>SUMIFS('июнь 2025'!$G$5:$G$2470,'июнь 2025'!$D$5:$D$2470,$B174,'июнь 2025'!$J$5:$J$2470,Y$1)</f>
        <v>0</v>
      </c>
      <c r="Z174" s="183">
        <f>SUMIFS('июнь 2025'!$G$5:$G$2470,'июнь 2025'!$D$5:$D$2470,$B174,'июнь 2025'!$J$5:$J$2470,Z$1)</f>
        <v>0</v>
      </c>
      <c r="AA174" s="183">
        <f>SUMIFS('июнь 2025'!$G$5:$G$2470,'июнь 2025'!$D$5:$D$2470,$B174,'июнь 2025'!$J$5:$J$2470,AA$1)</f>
        <v>0</v>
      </c>
      <c r="AB174" s="183">
        <f>SUMIFS('июнь 2025'!$G$5:$G$2470,'июнь 2025'!$D$5:$D$2470,$B174,'июнь 2025'!$J$5:$J$2470,AB$1)</f>
        <v>0</v>
      </c>
      <c r="AC174" s="183">
        <f>SUMIFS('июнь 2025'!$G$5:$G$2470,'июнь 2025'!$D$5:$D$2470,$B174,'июнь 2025'!$J$5:$J$2470,AC$1)</f>
        <v>0</v>
      </c>
      <c r="AD174" s="183">
        <f>SUMIFS('июнь 2025'!$G$5:$G$2470,'июнь 2025'!$D$5:$D$2470,$B174,'июнь 2025'!$J$5:$J$2470,AD$1)</f>
        <v>0</v>
      </c>
      <c r="AE174" s="183">
        <f>SUMIFS('июнь 2025'!$G$5:$G$2470,'июнь 2025'!$D$5:$D$2470,$B174,'июнь 2025'!$J$5:$J$2470,AE$1)</f>
        <v>0</v>
      </c>
      <c r="AF174" s="183">
        <f>SUMIFS('июнь 2025'!$G$5:$G$2470,'июнь 2025'!$D$5:$D$2470,$B174,'июнь 2025'!$J$5:$J$2470,AF$1)</f>
        <v>0</v>
      </c>
      <c r="AG174" s="183">
        <f>SUMIFS('июнь 2025'!$G$5:$G$2470,'июнь 2025'!$D$5:$D$2470,$B174,'июнь 2025'!$J$5:$J$2470,AG$1)</f>
        <v>0</v>
      </c>
      <c r="AH174" s="183">
        <f>SUMIFS('июнь 2025'!$G$5:$G$2470,'июнь 2025'!$D$5:$D$2470,$B174,'июнь 2025'!$J$5:$J$2470,AH$1)</f>
        <v>0</v>
      </c>
      <c r="AI174" s="20"/>
    </row>
    <row r="175" spans="2:35" ht="15" customHeight="1" x14ac:dyDescent="0.25">
      <c r="B175" s="84"/>
      <c r="C175" s="83"/>
      <c r="D175" s="183">
        <f>SUMIFS('июнь 2025'!$G$5:$G$2470,'июнь 2025'!$D$5:$D$2470,$B175,'июнь 2025'!$J$5:$J$2470,D$1)</f>
        <v>0</v>
      </c>
      <c r="E175" s="183">
        <f>SUMIFS('июнь 2025'!$G$5:$G$2470,'июнь 2025'!$D$5:$D$2470,$B175,'июнь 2025'!$J$5:$J$2470,E$1)</f>
        <v>0</v>
      </c>
      <c r="F175" s="183">
        <f>SUMIFS('июнь 2025'!$G$5:$G$2470,'июнь 2025'!$D$5:$D$2470,$B175,'июнь 2025'!$J$5:$J$2470,F$1)</f>
        <v>0</v>
      </c>
      <c r="G175" s="183">
        <f>SUMIFS('июнь 2025'!$G$5:$G$2470,'июнь 2025'!$D$5:$D$2470,$B175,'июнь 2025'!$J$5:$J$2470,G$1)</f>
        <v>0</v>
      </c>
      <c r="H175" s="183">
        <f>SUMIFS('июнь 2025'!$G$5:$G$2470,'июнь 2025'!$D$5:$D$2470,$B175,'июнь 2025'!$J$5:$J$2470,H$1)</f>
        <v>0</v>
      </c>
      <c r="I175" s="183">
        <f>SUMIFS('июнь 2025'!$G$5:$G$2470,'июнь 2025'!$D$5:$D$2470,$B175,'июнь 2025'!$J$5:$J$2470,I$1)</f>
        <v>0</v>
      </c>
      <c r="J175" s="183">
        <f>SUMIFS('июнь 2025'!$G$5:$G$2470,'июнь 2025'!$D$5:$D$2470,$B175,'июнь 2025'!$J$5:$J$2470,J$1)</f>
        <v>0</v>
      </c>
      <c r="K175" s="183">
        <f>SUMIFS('июнь 2025'!$G$5:$G$2470,'июнь 2025'!$D$5:$D$2470,$B175,'июнь 2025'!$J$5:$J$2470,K$1)</f>
        <v>0</v>
      </c>
      <c r="L175" s="183">
        <f>SUMIFS('июнь 2025'!$G$5:$G$2470,'июнь 2025'!$D$5:$D$2470,$B175,'июнь 2025'!$J$5:$J$2470,L$1)</f>
        <v>0</v>
      </c>
      <c r="M175" s="183">
        <f>SUMIFS('июнь 2025'!$G$5:$G$2470,'июнь 2025'!$D$5:$D$2470,$B175,'июнь 2025'!$J$5:$J$2470,M$1)</f>
        <v>0</v>
      </c>
      <c r="N175" s="183">
        <f>SUMIFS('июнь 2025'!$G$5:$G$2470,'июнь 2025'!$D$5:$D$2470,$B175,'июнь 2025'!$J$5:$J$2470,N$1)</f>
        <v>0</v>
      </c>
      <c r="O175" s="183">
        <f>SUMIFS('июнь 2025'!$G$5:$G$2470,'июнь 2025'!$D$5:$D$2470,$B175,'июнь 2025'!$J$5:$J$2470,O$1)</f>
        <v>0</v>
      </c>
      <c r="P175" s="183">
        <f>SUMIFS('июнь 2025'!$G$5:$G$2470,'июнь 2025'!$D$5:$D$2470,$B175,'июнь 2025'!$J$5:$J$2470,P$1)</f>
        <v>0</v>
      </c>
      <c r="Q175" s="183">
        <f>SUMIFS('июнь 2025'!$G$5:$G$2470,'июнь 2025'!$D$5:$D$2470,$B175,'июнь 2025'!$J$5:$J$2470,Q$1)</f>
        <v>0</v>
      </c>
      <c r="R175" s="183">
        <f>SUMIFS('июнь 2025'!$G$5:$G$2470,'июнь 2025'!$D$5:$D$2470,$B175,'июнь 2025'!$J$5:$J$2470,R$1)</f>
        <v>0</v>
      </c>
      <c r="S175" s="183">
        <f>SUMIFS('июнь 2025'!$G$5:$G$2470,'июнь 2025'!$D$5:$D$2470,$B175,'июнь 2025'!$J$5:$J$2470,S$1)</f>
        <v>0</v>
      </c>
      <c r="T175" s="183">
        <f>SUMIFS('июнь 2025'!$G$5:$G$2470,'июнь 2025'!$D$5:$D$2470,$B175,'июнь 2025'!$J$5:$J$2470,T$1)</f>
        <v>0</v>
      </c>
      <c r="U175" s="183">
        <f>SUMIFS('июнь 2025'!$G$5:$G$2470,'июнь 2025'!$D$5:$D$2470,$B175,'июнь 2025'!$J$5:$J$2470,U$1)</f>
        <v>0</v>
      </c>
      <c r="V175" s="183">
        <f>SUMIFS('июнь 2025'!$G$5:$G$2470,'июнь 2025'!$D$5:$D$2470,$B175,'июнь 2025'!$J$5:$J$2470,V$1)</f>
        <v>0</v>
      </c>
      <c r="W175" s="183">
        <f>SUMIFS('июнь 2025'!$G$5:$G$2470,'июнь 2025'!$D$5:$D$2470,$B175,'июнь 2025'!$J$5:$J$2470,W$1)</f>
        <v>0</v>
      </c>
      <c r="X175" s="183">
        <f>SUMIFS('июнь 2025'!$G$5:$G$2470,'июнь 2025'!$D$5:$D$2470,$B175,'июнь 2025'!$J$5:$J$2470,X$1)</f>
        <v>0</v>
      </c>
      <c r="Y175" s="183">
        <f>SUMIFS('июнь 2025'!$G$5:$G$2470,'июнь 2025'!$D$5:$D$2470,$B175,'июнь 2025'!$J$5:$J$2470,Y$1)</f>
        <v>0</v>
      </c>
      <c r="Z175" s="183">
        <f>SUMIFS('июнь 2025'!$G$5:$G$2470,'июнь 2025'!$D$5:$D$2470,$B175,'июнь 2025'!$J$5:$J$2470,Z$1)</f>
        <v>0</v>
      </c>
      <c r="AA175" s="183">
        <f>SUMIFS('июнь 2025'!$G$5:$G$2470,'июнь 2025'!$D$5:$D$2470,$B175,'июнь 2025'!$J$5:$J$2470,AA$1)</f>
        <v>0</v>
      </c>
      <c r="AB175" s="183">
        <f>SUMIFS('июнь 2025'!$G$5:$G$2470,'июнь 2025'!$D$5:$D$2470,$B175,'июнь 2025'!$J$5:$J$2470,AB$1)</f>
        <v>0</v>
      </c>
      <c r="AC175" s="183">
        <f>SUMIFS('июнь 2025'!$G$5:$G$2470,'июнь 2025'!$D$5:$D$2470,$B175,'июнь 2025'!$J$5:$J$2470,AC$1)</f>
        <v>0</v>
      </c>
      <c r="AD175" s="183">
        <f>SUMIFS('июнь 2025'!$G$5:$G$2470,'июнь 2025'!$D$5:$D$2470,$B175,'июнь 2025'!$J$5:$J$2470,AD$1)</f>
        <v>0</v>
      </c>
      <c r="AE175" s="183">
        <f>SUMIFS('июнь 2025'!$G$5:$G$2470,'июнь 2025'!$D$5:$D$2470,$B175,'июнь 2025'!$J$5:$J$2470,AE$1)</f>
        <v>0</v>
      </c>
      <c r="AF175" s="183">
        <f>SUMIFS('июнь 2025'!$G$5:$G$2470,'июнь 2025'!$D$5:$D$2470,$B175,'июнь 2025'!$J$5:$J$2470,AF$1)</f>
        <v>0</v>
      </c>
      <c r="AG175" s="183">
        <f>SUMIFS('июнь 2025'!$G$5:$G$2470,'июнь 2025'!$D$5:$D$2470,$B175,'июнь 2025'!$J$5:$J$2470,AG$1)</f>
        <v>0</v>
      </c>
      <c r="AH175" s="183">
        <f>SUMIFS('июнь 2025'!$G$5:$G$2470,'июнь 2025'!$D$5:$D$2470,$B175,'июнь 2025'!$J$5:$J$2470,AH$1)</f>
        <v>0</v>
      </c>
      <c r="AI175" s="20"/>
    </row>
    <row r="176" spans="2:35" ht="15" customHeight="1" x14ac:dyDescent="0.25">
      <c r="B176" s="84"/>
      <c r="C176" s="83"/>
      <c r="D176" s="183">
        <f>SUMIFS('июнь 2025'!$G$5:$G$2470,'июнь 2025'!$D$5:$D$2470,$B176,'июнь 2025'!$J$5:$J$2470,D$1)</f>
        <v>0</v>
      </c>
      <c r="E176" s="183">
        <f>SUMIFS('июнь 2025'!$G$5:$G$2470,'июнь 2025'!$D$5:$D$2470,$B176,'июнь 2025'!$J$5:$J$2470,E$1)</f>
        <v>0</v>
      </c>
      <c r="F176" s="183">
        <f>SUMIFS('июнь 2025'!$G$5:$G$2470,'июнь 2025'!$D$5:$D$2470,$B176,'июнь 2025'!$J$5:$J$2470,F$1)</f>
        <v>0</v>
      </c>
      <c r="G176" s="183">
        <f>SUMIFS('июнь 2025'!$G$5:$G$2470,'июнь 2025'!$D$5:$D$2470,$B176,'июнь 2025'!$J$5:$J$2470,G$1)</f>
        <v>0</v>
      </c>
      <c r="H176" s="183">
        <f>SUMIFS('июнь 2025'!$G$5:$G$2470,'июнь 2025'!$D$5:$D$2470,$B176,'июнь 2025'!$J$5:$J$2470,H$1)</f>
        <v>0</v>
      </c>
      <c r="I176" s="183">
        <f>SUMIFS('июнь 2025'!$G$5:$G$2470,'июнь 2025'!$D$5:$D$2470,$B176,'июнь 2025'!$J$5:$J$2470,I$1)</f>
        <v>0</v>
      </c>
      <c r="J176" s="183">
        <f>SUMIFS('июнь 2025'!$G$5:$G$2470,'июнь 2025'!$D$5:$D$2470,$B176,'июнь 2025'!$J$5:$J$2470,J$1)</f>
        <v>0</v>
      </c>
      <c r="K176" s="183">
        <f>SUMIFS('июнь 2025'!$G$5:$G$2470,'июнь 2025'!$D$5:$D$2470,$B176,'июнь 2025'!$J$5:$J$2470,K$1)</f>
        <v>0</v>
      </c>
      <c r="L176" s="183">
        <f>SUMIFS('июнь 2025'!$G$5:$G$2470,'июнь 2025'!$D$5:$D$2470,$B176,'июнь 2025'!$J$5:$J$2470,L$1)</f>
        <v>0</v>
      </c>
      <c r="M176" s="183">
        <f>SUMIFS('июнь 2025'!$G$5:$G$2470,'июнь 2025'!$D$5:$D$2470,$B176,'июнь 2025'!$J$5:$J$2470,M$1)</f>
        <v>0</v>
      </c>
      <c r="N176" s="183">
        <f>SUMIFS('июнь 2025'!$G$5:$G$2470,'июнь 2025'!$D$5:$D$2470,$B176,'июнь 2025'!$J$5:$J$2470,N$1)</f>
        <v>0</v>
      </c>
      <c r="O176" s="183">
        <f>SUMIFS('июнь 2025'!$G$5:$G$2470,'июнь 2025'!$D$5:$D$2470,$B176,'июнь 2025'!$J$5:$J$2470,O$1)</f>
        <v>0</v>
      </c>
      <c r="P176" s="183">
        <f>SUMIFS('июнь 2025'!$G$5:$G$2470,'июнь 2025'!$D$5:$D$2470,$B176,'июнь 2025'!$J$5:$J$2470,P$1)</f>
        <v>0</v>
      </c>
      <c r="Q176" s="183">
        <f>SUMIFS('июнь 2025'!$G$5:$G$2470,'июнь 2025'!$D$5:$D$2470,$B176,'июнь 2025'!$J$5:$J$2470,Q$1)</f>
        <v>0</v>
      </c>
      <c r="R176" s="183">
        <f>SUMIFS('июнь 2025'!$G$5:$G$2470,'июнь 2025'!$D$5:$D$2470,$B176,'июнь 2025'!$J$5:$J$2470,R$1)</f>
        <v>0</v>
      </c>
      <c r="S176" s="183">
        <f>SUMIFS('июнь 2025'!$G$5:$G$2470,'июнь 2025'!$D$5:$D$2470,$B176,'июнь 2025'!$J$5:$J$2470,S$1)</f>
        <v>0</v>
      </c>
      <c r="T176" s="183">
        <f>SUMIFS('июнь 2025'!$G$5:$G$2470,'июнь 2025'!$D$5:$D$2470,$B176,'июнь 2025'!$J$5:$J$2470,T$1)</f>
        <v>0</v>
      </c>
      <c r="U176" s="183">
        <f>SUMIFS('июнь 2025'!$G$5:$G$2470,'июнь 2025'!$D$5:$D$2470,$B176,'июнь 2025'!$J$5:$J$2470,U$1)</f>
        <v>0</v>
      </c>
      <c r="V176" s="183">
        <f>SUMIFS('июнь 2025'!$G$5:$G$2470,'июнь 2025'!$D$5:$D$2470,$B176,'июнь 2025'!$J$5:$J$2470,V$1)</f>
        <v>0</v>
      </c>
      <c r="W176" s="183">
        <f>SUMIFS('июнь 2025'!$G$5:$G$2470,'июнь 2025'!$D$5:$D$2470,$B176,'июнь 2025'!$J$5:$J$2470,W$1)</f>
        <v>0</v>
      </c>
      <c r="X176" s="183">
        <f>SUMIFS('июнь 2025'!$G$5:$G$2470,'июнь 2025'!$D$5:$D$2470,$B176,'июнь 2025'!$J$5:$J$2470,X$1)</f>
        <v>0</v>
      </c>
      <c r="Y176" s="183">
        <f>SUMIFS('июнь 2025'!$G$5:$G$2470,'июнь 2025'!$D$5:$D$2470,$B176,'июнь 2025'!$J$5:$J$2470,Y$1)</f>
        <v>0</v>
      </c>
      <c r="Z176" s="183">
        <f>SUMIFS('июнь 2025'!$G$5:$G$2470,'июнь 2025'!$D$5:$D$2470,$B176,'июнь 2025'!$J$5:$J$2470,Z$1)</f>
        <v>0</v>
      </c>
      <c r="AA176" s="183">
        <f>SUMIFS('июнь 2025'!$G$5:$G$2470,'июнь 2025'!$D$5:$D$2470,$B176,'июнь 2025'!$J$5:$J$2470,AA$1)</f>
        <v>0</v>
      </c>
      <c r="AB176" s="183">
        <f>SUMIFS('июнь 2025'!$G$5:$G$2470,'июнь 2025'!$D$5:$D$2470,$B176,'июнь 2025'!$J$5:$J$2470,AB$1)</f>
        <v>0</v>
      </c>
      <c r="AC176" s="183">
        <f>SUMIFS('июнь 2025'!$G$5:$G$2470,'июнь 2025'!$D$5:$D$2470,$B176,'июнь 2025'!$J$5:$J$2470,AC$1)</f>
        <v>0</v>
      </c>
      <c r="AD176" s="183">
        <f>SUMIFS('июнь 2025'!$G$5:$G$2470,'июнь 2025'!$D$5:$D$2470,$B176,'июнь 2025'!$J$5:$J$2470,AD$1)</f>
        <v>0</v>
      </c>
      <c r="AE176" s="183">
        <f>SUMIFS('июнь 2025'!$G$5:$G$2470,'июнь 2025'!$D$5:$D$2470,$B176,'июнь 2025'!$J$5:$J$2470,AE$1)</f>
        <v>0</v>
      </c>
      <c r="AF176" s="183">
        <f>SUMIFS('июнь 2025'!$G$5:$G$2470,'июнь 2025'!$D$5:$D$2470,$B176,'июнь 2025'!$J$5:$J$2470,AF$1)</f>
        <v>0</v>
      </c>
      <c r="AG176" s="183">
        <f>SUMIFS('июнь 2025'!$G$5:$G$2470,'июнь 2025'!$D$5:$D$2470,$B176,'июнь 2025'!$J$5:$J$2470,AG$1)</f>
        <v>0</v>
      </c>
      <c r="AH176" s="183">
        <f>SUMIFS('июнь 2025'!$G$5:$G$2470,'июнь 2025'!$D$5:$D$2470,$B176,'июнь 2025'!$J$5:$J$2470,AH$1)</f>
        <v>0</v>
      </c>
      <c r="AI176" s="20"/>
    </row>
    <row r="177" spans="2:35" ht="15" customHeight="1" x14ac:dyDescent="0.25">
      <c r="B177" s="84"/>
      <c r="C177" s="83"/>
      <c r="D177" s="183">
        <f>SUMIFS('июнь 2025'!$G$5:$G$2470,'июнь 2025'!$D$5:$D$2470,$B177,'июнь 2025'!$J$5:$J$2470,D$1)</f>
        <v>0</v>
      </c>
      <c r="E177" s="183">
        <f>SUMIFS('июнь 2025'!$G$5:$G$2470,'июнь 2025'!$D$5:$D$2470,$B177,'июнь 2025'!$J$5:$J$2470,E$1)</f>
        <v>0</v>
      </c>
      <c r="F177" s="183">
        <f>SUMIFS('июнь 2025'!$G$5:$G$2470,'июнь 2025'!$D$5:$D$2470,$B177,'июнь 2025'!$J$5:$J$2470,F$1)</f>
        <v>0</v>
      </c>
      <c r="G177" s="183">
        <f>SUMIFS('июнь 2025'!$G$5:$G$2470,'июнь 2025'!$D$5:$D$2470,$B177,'июнь 2025'!$J$5:$J$2470,G$1)</f>
        <v>0</v>
      </c>
      <c r="H177" s="183">
        <f>SUMIFS('июнь 2025'!$G$5:$G$2470,'июнь 2025'!$D$5:$D$2470,$B177,'июнь 2025'!$J$5:$J$2470,H$1)</f>
        <v>0</v>
      </c>
      <c r="I177" s="183">
        <f>SUMIFS('июнь 2025'!$G$5:$G$2470,'июнь 2025'!$D$5:$D$2470,$B177,'июнь 2025'!$J$5:$J$2470,I$1)</f>
        <v>0</v>
      </c>
      <c r="J177" s="183">
        <f>SUMIFS('июнь 2025'!$G$5:$G$2470,'июнь 2025'!$D$5:$D$2470,$B177,'июнь 2025'!$J$5:$J$2470,J$1)</f>
        <v>0</v>
      </c>
      <c r="K177" s="183">
        <f>SUMIFS('июнь 2025'!$G$5:$G$2470,'июнь 2025'!$D$5:$D$2470,$B177,'июнь 2025'!$J$5:$J$2470,K$1)</f>
        <v>0</v>
      </c>
      <c r="L177" s="183">
        <f>SUMIFS('июнь 2025'!$G$5:$G$2470,'июнь 2025'!$D$5:$D$2470,$B177,'июнь 2025'!$J$5:$J$2470,L$1)</f>
        <v>0</v>
      </c>
      <c r="M177" s="183">
        <f>SUMIFS('июнь 2025'!$G$5:$G$2470,'июнь 2025'!$D$5:$D$2470,$B177,'июнь 2025'!$J$5:$J$2470,M$1)</f>
        <v>0</v>
      </c>
      <c r="N177" s="183">
        <f>SUMIFS('июнь 2025'!$G$5:$G$2470,'июнь 2025'!$D$5:$D$2470,$B177,'июнь 2025'!$J$5:$J$2470,N$1)</f>
        <v>0</v>
      </c>
      <c r="O177" s="183">
        <f>SUMIFS('июнь 2025'!$G$5:$G$2470,'июнь 2025'!$D$5:$D$2470,$B177,'июнь 2025'!$J$5:$J$2470,O$1)</f>
        <v>0</v>
      </c>
      <c r="P177" s="183">
        <f>SUMIFS('июнь 2025'!$G$5:$G$2470,'июнь 2025'!$D$5:$D$2470,$B177,'июнь 2025'!$J$5:$J$2470,P$1)</f>
        <v>0</v>
      </c>
      <c r="Q177" s="183">
        <f>SUMIFS('июнь 2025'!$G$5:$G$2470,'июнь 2025'!$D$5:$D$2470,$B177,'июнь 2025'!$J$5:$J$2470,Q$1)</f>
        <v>0</v>
      </c>
      <c r="R177" s="183">
        <f>SUMIFS('июнь 2025'!$G$5:$G$2470,'июнь 2025'!$D$5:$D$2470,$B177,'июнь 2025'!$J$5:$J$2470,R$1)</f>
        <v>0</v>
      </c>
      <c r="S177" s="183">
        <f>SUMIFS('июнь 2025'!$G$5:$G$2470,'июнь 2025'!$D$5:$D$2470,$B177,'июнь 2025'!$J$5:$J$2470,S$1)</f>
        <v>0</v>
      </c>
      <c r="T177" s="183">
        <f>SUMIFS('июнь 2025'!$G$5:$G$2470,'июнь 2025'!$D$5:$D$2470,$B177,'июнь 2025'!$J$5:$J$2470,T$1)</f>
        <v>0</v>
      </c>
      <c r="U177" s="183">
        <f>SUMIFS('июнь 2025'!$G$5:$G$2470,'июнь 2025'!$D$5:$D$2470,$B177,'июнь 2025'!$J$5:$J$2470,U$1)</f>
        <v>0</v>
      </c>
      <c r="V177" s="183">
        <f>SUMIFS('июнь 2025'!$G$5:$G$2470,'июнь 2025'!$D$5:$D$2470,$B177,'июнь 2025'!$J$5:$J$2470,V$1)</f>
        <v>0</v>
      </c>
      <c r="W177" s="183">
        <f>SUMIFS('июнь 2025'!$G$5:$G$2470,'июнь 2025'!$D$5:$D$2470,$B177,'июнь 2025'!$J$5:$J$2470,W$1)</f>
        <v>0</v>
      </c>
      <c r="X177" s="183">
        <f>SUMIFS('июнь 2025'!$G$5:$G$2470,'июнь 2025'!$D$5:$D$2470,$B177,'июнь 2025'!$J$5:$J$2470,X$1)</f>
        <v>0</v>
      </c>
      <c r="Y177" s="183">
        <f>SUMIFS('июнь 2025'!$G$5:$G$2470,'июнь 2025'!$D$5:$D$2470,$B177,'июнь 2025'!$J$5:$J$2470,Y$1)</f>
        <v>0</v>
      </c>
      <c r="Z177" s="183">
        <f>SUMIFS('июнь 2025'!$G$5:$G$2470,'июнь 2025'!$D$5:$D$2470,$B177,'июнь 2025'!$J$5:$J$2470,Z$1)</f>
        <v>0</v>
      </c>
      <c r="AA177" s="183">
        <f>SUMIFS('июнь 2025'!$G$5:$G$2470,'июнь 2025'!$D$5:$D$2470,$B177,'июнь 2025'!$J$5:$J$2470,AA$1)</f>
        <v>0</v>
      </c>
      <c r="AB177" s="183">
        <f>SUMIFS('июнь 2025'!$G$5:$G$2470,'июнь 2025'!$D$5:$D$2470,$B177,'июнь 2025'!$J$5:$J$2470,AB$1)</f>
        <v>0</v>
      </c>
      <c r="AC177" s="183">
        <f>SUMIFS('июнь 2025'!$G$5:$G$2470,'июнь 2025'!$D$5:$D$2470,$B177,'июнь 2025'!$J$5:$J$2470,AC$1)</f>
        <v>0</v>
      </c>
      <c r="AD177" s="183">
        <f>SUMIFS('июнь 2025'!$G$5:$G$2470,'июнь 2025'!$D$5:$D$2470,$B177,'июнь 2025'!$J$5:$J$2470,AD$1)</f>
        <v>0</v>
      </c>
      <c r="AE177" s="183">
        <f>SUMIFS('июнь 2025'!$G$5:$G$2470,'июнь 2025'!$D$5:$D$2470,$B177,'июнь 2025'!$J$5:$J$2470,AE$1)</f>
        <v>0</v>
      </c>
      <c r="AF177" s="183">
        <f>SUMIFS('июнь 2025'!$G$5:$G$2470,'июнь 2025'!$D$5:$D$2470,$B177,'июнь 2025'!$J$5:$J$2470,AF$1)</f>
        <v>0</v>
      </c>
      <c r="AG177" s="183">
        <f>SUMIFS('июнь 2025'!$G$5:$G$2470,'июнь 2025'!$D$5:$D$2470,$B177,'июнь 2025'!$J$5:$J$2470,AG$1)</f>
        <v>0</v>
      </c>
      <c r="AH177" s="183">
        <f>SUMIFS('июнь 2025'!$G$5:$G$2470,'июнь 2025'!$D$5:$D$2470,$B177,'июнь 2025'!$J$5:$J$2470,AH$1)</f>
        <v>0</v>
      </c>
      <c r="AI177" s="20"/>
    </row>
    <row r="178" spans="2:35" ht="15" customHeight="1" x14ac:dyDescent="0.25">
      <c r="B178" s="84"/>
      <c r="C178" s="83"/>
      <c r="D178" s="183"/>
      <c r="E178" s="183"/>
      <c r="F178" s="183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  <c r="AA178" s="183"/>
      <c r="AB178" s="183"/>
      <c r="AC178" s="183"/>
      <c r="AD178" s="183"/>
      <c r="AE178" s="183"/>
      <c r="AF178" s="183"/>
      <c r="AG178" s="183"/>
      <c r="AH178" s="183"/>
      <c r="AI178" s="20"/>
    </row>
    <row r="179" spans="2:35" ht="15" customHeight="1" x14ac:dyDescent="0.25">
      <c r="B179" s="84"/>
      <c r="C179" s="83"/>
      <c r="D179" s="183"/>
      <c r="E179" s="183"/>
      <c r="F179" s="183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  <c r="AA179" s="183"/>
      <c r="AB179" s="183"/>
      <c r="AC179" s="183"/>
      <c r="AD179" s="183"/>
      <c r="AE179" s="183"/>
      <c r="AF179" s="183"/>
      <c r="AG179" s="183"/>
      <c r="AH179" s="183"/>
      <c r="AI179" s="20"/>
    </row>
    <row r="180" spans="2:35" ht="15" customHeight="1" x14ac:dyDescent="0.25">
      <c r="B180" s="84"/>
      <c r="C180" s="83"/>
      <c r="D180" s="183"/>
      <c r="E180" s="183"/>
      <c r="F180" s="183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  <c r="AA180" s="183"/>
      <c r="AB180" s="183"/>
      <c r="AC180" s="183"/>
      <c r="AD180" s="183"/>
      <c r="AE180" s="183"/>
      <c r="AF180" s="183"/>
      <c r="AG180" s="183"/>
      <c r="AH180" s="183"/>
      <c r="AI180" s="20"/>
    </row>
    <row r="181" spans="2:35" ht="15" customHeight="1" x14ac:dyDescent="0.25">
      <c r="B181" s="84"/>
      <c r="C181" s="83"/>
      <c r="D181" s="183"/>
      <c r="E181" s="183"/>
      <c r="F181" s="183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  <c r="AA181" s="183"/>
      <c r="AB181" s="183"/>
      <c r="AC181" s="183"/>
      <c r="AD181" s="183"/>
      <c r="AE181" s="183"/>
      <c r="AF181" s="183"/>
      <c r="AG181" s="183"/>
      <c r="AH181" s="183"/>
      <c r="AI181" s="20"/>
    </row>
    <row r="182" spans="2:35" ht="15" customHeight="1" x14ac:dyDescent="0.25">
      <c r="B182" s="84"/>
      <c r="C182" s="83"/>
      <c r="D182" s="183"/>
      <c r="E182" s="183"/>
      <c r="F182" s="183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  <c r="AA182" s="183"/>
      <c r="AB182" s="183"/>
      <c r="AC182" s="183"/>
      <c r="AD182" s="183"/>
      <c r="AE182" s="183"/>
      <c r="AF182" s="183"/>
      <c r="AG182" s="183"/>
      <c r="AH182" s="183"/>
      <c r="AI182" s="20"/>
    </row>
    <row r="183" spans="2:35" ht="15" customHeight="1" x14ac:dyDescent="0.25">
      <c r="B183" s="84"/>
      <c r="C183" s="83"/>
      <c r="D183" s="183"/>
      <c r="E183" s="183"/>
      <c r="F183" s="183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  <c r="AA183" s="183"/>
      <c r="AB183" s="183"/>
      <c r="AC183" s="183"/>
      <c r="AD183" s="183"/>
      <c r="AE183" s="183"/>
      <c r="AF183" s="183"/>
      <c r="AG183" s="183"/>
      <c r="AH183" s="183"/>
      <c r="AI183" s="20"/>
    </row>
    <row r="184" spans="2:35" ht="15" customHeight="1" x14ac:dyDescent="0.25">
      <c r="B184" s="84"/>
      <c r="C184" s="83"/>
      <c r="D184" s="183"/>
      <c r="E184" s="183"/>
      <c r="F184" s="183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  <c r="AA184" s="183"/>
      <c r="AB184" s="183"/>
      <c r="AC184" s="183"/>
      <c r="AD184" s="183"/>
      <c r="AE184" s="183"/>
      <c r="AF184" s="183"/>
      <c r="AG184" s="183"/>
      <c r="AH184" s="183"/>
      <c r="AI184" s="20"/>
    </row>
    <row r="185" spans="2:35" ht="15" customHeight="1" x14ac:dyDescent="0.25">
      <c r="B185" s="84"/>
      <c r="C185" s="83"/>
      <c r="D185" s="183"/>
      <c r="E185" s="183"/>
      <c r="F185" s="183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  <c r="AA185" s="183"/>
      <c r="AB185" s="183"/>
      <c r="AC185" s="183"/>
      <c r="AD185" s="183"/>
      <c r="AE185" s="183"/>
      <c r="AF185" s="183"/>
      <c r="AG185" s="183"/>
      <c r="AH185" s="183"/>
      <c r="AI185" s="20"/>
    </row>
    <row r="186" spans="2:35" ht="15" customHeight="1" x14ac:dyDescent="0.25">
      <c r="B186" s="84"/>
      <c r="C186" s="83"/>
      <c r="D186" s="183"/>
      <c r="E186" s="183"/>
      <c r="F186" s="183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  <c r="AA186" s="183"/>
      <c r="AB186" s="183"/>
      <c r="AC186" s="183"/>
      <c r="AD186" s="183"/>
      <c r="AE186" s="183"/>
      <c r="AF186" s="183"/>
      <c r="AG186" s="183"/>
      <c r="AH186" s="183"/>
      <c r="AI186" s="20"/>
    </row>
    <row r="187" spans="2:35" ht="15" customHeight="1" x14ac:dyDescent="0.25">
      <c r="B187" s="84"/>
      <c r="C187" s="83"/>
      <c r="D187" s="183"/>
      <c r="E187" s="183"/>
      <c r="F187" s="183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  <c r="AA187" s="183"/>
      <c r="AB187" s="183"/>
      <c r="AC187" s="183"/>
      <c r="AD187" s="183"/>
      <c r="AE187" s="183"/>
      <c r="AF187" s="183"/>
      <c r="AG187" s="183"/>
      <c r="AH187" s="183"/>
      <c r="AI187" s="20"/>
    </row>
    <row r="188" spans="2:35" ht="15" customHeight="1" x14ac:dyDescent="0.25">
      <c r="B188" s="84"/>
      <c r="C188" s="83"/>
      <c r="D188" s="183"/>
      <c r="E188" s="183"/>
      <c r="F188" s="183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  <c r="AA188" s="183"/>
      <c r="AB188" s="183"/>
      <c r="AC188" s="183"/>
      <c r="AD188" s="183"/>
      <c r="AE188" s="183"/>
      <c r="AF188" s="183"/>
      <c r="AG188" s="183"/>
      <c r="AH188" s="183"/>
      <c r="AI188" s="20"/>
    </row>
    <row r="189" spans="2:35" ht="15" customHeight="1" x14ac:dyDescent="0.25">
      <c r="B189" s="84"/>
      <c r="C189" s="83"/>
      <c r="D189" s="183"/>
      <c r="E189" s="183"/>
      <c r="F189" s="183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  <c r="AA189" s="183"/>
      <c r="AB189" s="183"/>
      <c r="AC189" s="183"/>
      <c r="AD189" s="183"/>
      <c r="AE189" s="183"/>
      <c r="AF189" s="183"/>
      <c r="AG189" s="183"/>
      <c r="AH189" s="183"/>
      <c r="AI189" s="20"/>
    </row>
    <row r="190" spans="2:35" ht="15" customHeight="1" x14ac:dyDescent="0.25">
      <c r="B190" s="84"/>
      <c r="C190" s="83"/>
      <c r="D190" s="183"/>
      <c r="E190" s="183"/>
      <c r="F190" s="183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  <c r="AA190" s="183"/>
      <c r="AB190" s="183"/>
      <c r="AC190" s="183"/>
      <c r="AD190" s="183"/>
      <c r="AE190" s="183"/>
      <c r="AF190" s="183"/>
      <c r="AG190" s="183"/>
      <c r="AH190" s="183"/>
      <c r="AI190" s="20"/>
    </row>
    <row r="191" spans="2:35" ht="15" customHeight="1" x14ac:dyDescent="0.25">
      <c r="B191" s="84"/>
      <c r="C191" s="83"/>
      <c r="D191" s="183"/>
      <c r="E191" s="183"/>
      <c r="F191" s="183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  <c r="AA191" s="183"/>
      <c r="AB191" s="183"/>
      <c r="AC191" s="183"/>
      <c r="AD191" s="183"/>
      <c r="AE191" s="183"/>
      <c r="AF191" s="183"/>
      <c r="AG191" s="183"/>
      <c r="AH191" s="183"/>
      <c r="AI191" s="20"/>
    </row>
    <row r="192" spans="2:35" ht="15" customHeight="1" x14ac:dyDescent="0.25">
      <c r="B192" s="84"/>
      <c r="C192" s="83"/>
      <c r="D192" s="183"/>
      <c r="E192" s="183"/>
      <c r="F192" s="183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  <c r="AA192" s="183"/>
      <c r="AB192" s="183"/>
      <c r="AC192" s="183"/>
      <c r="AD192" s="183"/>
      <c r="AE192" s="183"/>
      <c r="AF192" s="183"/>
      <c r="AG192" s="183"/>
      <c r="AH192" s="183"/>
      <c r="AI192" s="20"/>
    </row>
    <row r="193" spans="2:35" ht="15" customHeight="1" x14ac:dyDescent="0.25">
      <c r="B193" s="84"/>
      <c r="C193" s="83"/>
      <c r="D193" s="183"/>
      <c r="E193" s="183"/>
      <c r="F193" s="183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  <c r="AA193" s="183"/>
      <c r="AB193" s="183"/>
      <c r="AC193" s="183"/>
      <c r="AD193" s="183"/>
      <c r="AE193" s="183"/>
      <c r="AF193" s="183"/>
      <c r="AG193" s="183"/>
      <c r="AH193" s="183"/>
      <c r="AI193" s="20"/>
    </row>
    <row r="194" spans="2:35" ht="15" customHeight="1" x14ac:dyDescent="0.25">
      <c r="B194" s="84"/>
      <c r="C194" s="83"/>
      <c r="D194" s="183"/>
      <c r="E194" s="183"/>
      <c r="F194" s="183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  <c r="AA194" s="183"/>
      <c r="AB194" s="183"/>
      <c r="AC194" s="183"/>
      <c r="AD194" s="183"/>
      <c r="AE194" s="183"/>
      <c r="AF194" s="183"/>
      <c r="AG194" s="183"/>
      <c r="AH194" s="183"/>
      <c r="AI194" s="20"/>
    </row>
    <row r="195" spans="2:35" ht="15" customHeight="1" x14ac:dyDescent="0.25">
      <c r="B195" s="84"/>
      <c r="C195" s="83"/>
      <c r="D195" s="183"/>
      <c r="E195" s="183"/>
      <c r="F195" s="183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  <c r="AA195" s="183"/>
      <c r="AB195" s="183"/>
      <c r="AC195" s="183"/>
      <c r="AD195" s="183"/>
      <c r="AE195" s="183"/>
      <c r="AF195" s="183"/>
      <c r="AG195" s="183"/>
      <c r="AH195" s="183"/>
      <c r="AI195" s="20"/>
    </row>
    <row r="196" spans="2:35" ht="15" customHeight="1" x14ac:dyDescent="0.25">
      <c r="B196" s="84"/>
      <c r="C196" s="83"/>
      <c r="D196" s="183"/>
      <c r="E196" s="183"/>
      <c r="F196" s="183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  <c r="AA196" s="183"/>
      <c r="AB196" s="183"/>
      <c r="AC196" s="183"/>
      <c r="AD196" s="183"/>
      <c r="AE196" s="183"/>
      <c r="AF196" s="183"/>
      <c r="AG196" s="183"/>
      <c r="AH196" s="183"/>
      <c r="AI196" s="20"/>
    </row>
    <row r="197" spans="2:35" ht="15" customHeight="1" x14ac:dyDescent="0.25">
      <c r="B197" s="84"/>
      <c r="C197" s="83"/>
      <c r="D197" s="183"/>
      <c r="E197" s="183"/>
      <c r="F197" s="183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  <c r="AA197" s="183"/>
      <c r="AB197" s="183"/>
      <c r="AC197" s="183"/>
      <c r="AD197" s="183"/>
      <c r="AE197" s="183"/>
      <c r="AF197" s="183"/>
      <c r="AG197" s="183"/>
      <c r="AH197" s="183"/>
      <c r="AI197" s="20"/>
    </row>
    <row r="198" spans="2:35" ht="15" customHeight="1" x14ac:dyDescent="0.25">
      <c r="B198" s="84"/>
      <c r="C198" s="83"/>
      <c r="D198" s="183"/>
      <c r="E198" s="183"/>
      <c r="F198" s="183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20"/>
    </row>
    <row r="199" spans="2:35" ht="15" customHeight="1" x14ac:dyDescent="0.25">
      <c r="B199" s="84"/>
      <c r="C199" s="83"/>
      <c r="D199" s="183"/>
      <c r="E199" s="183"/>
      <c r="F199" s="183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  <c r="AA199" s="183"/>
      <c r="AB199" s="183"/>
      <c r="AC199" s="183"/>
      <c r="AD199" s="183"/>
      <c r="AE199" s="183"/>
      <c r="AF199" s="183"/>
      <c r="AG199" s="183"/>
      <c r="AH199" s="183"/>
      <c r="AI199" s="20"/>
    </row>
    <row r="200" spans="2:35" ht="15" customHeight="1" x14ac:dyDescent="0.25">
      <c r="B200" s="84"/>
      <c r="C200" s="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  <c r="AA200" s="183"/>
      <c r="AB200" s="183"/>
      <c r="AC200" s="183"/>
      <c r="AD200" s="183"/>
      <c r="AE200" s="183"/>
      <c r="AF200" s="183"/>
      <c r="AG200" s="183"/>
      <c r="AH200" s="183"/>
      <c r="AI200" s="20"/>
    </row>
    <row r="201" spans="2:35" ht="15" customHeight="1" x14ac:dyDescent="0.25">
      <c r="B201" s="84"/>
      <c r="C201" s="83"/>
      <c r="D201" s="183"/>
      <c r="E201" s="183"/>
      <c r="F201" s="183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  <c r="AA201" s="183"/>
      <c r="AB201" s="183"/>
      <c r="AC201" s="183"/>
      <c r="AD201" s="183"/>
      <c r="AE201" s="183"/>
      <c r="AF201" s="183"/>
      <c r="AG201" s="183"/>
      <c r="AH201" s="183"/>
      <c r="AI201" s="20"/>
    </row>
    <row r="202" spans="2:35" ht="15" customHeight="1" x14ac:dyDescent="0.25">
      <c r="B202" s="84"/>
      <c r="C202" s="83"/>
      <c r="D202" s="183"/>
      <c r="E202" s="183"/>
      <c r="F202" s="183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  <c r="AA202" s="183"/>
      <c r="AB202" s="183"/>
      <c r="AC202" s="183"/>
      <c r="AD202" s="183"/>
      <c r="AE202" s="183"/>
      <c r="AF202" s="183"/>
      <c r="AG202" s="183"/>
      <c r="AH202" s="183"/>
      <c r="AI202" s="20"/>
    </row>
    <row r="203" spans="2:35" ht="15" customHeight="1" x14ac:dyDescent="0.25">
      <c r="B203" s="84"/>
      <c r="C203" s="83"/>
      <c r="D203" s="183"/>
      <c r="E203" s="183"/>
      <c r="F203" s="183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  <c r="AA203" s="183"/>
      <c r="AB203" s="183"/>
      <c r="AC203" s="183"/>
      <c r="AD203" s="183"/>
      <c r="AE203" s="183"/>
      <c r="AF203" s="183"/>
      <c r="AG203" s="183"/>
      <c r="AH203" s="183"/>
      <c r="AI203" s="20"/>
    </row>
    <row r="204" spans="2:35" ht="15" customHeight="1" x14ac:dyDescent="0.25">
      <c r="B204" s="84"/>
      <c r="C204" s="83"/>
      <c r="D204" s="183"/>
      <c r="E204" s="183"/>
      <c r="F204" s="183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  <c r="AA204" s="183"/>
      <c r="AB204" s="183"/>
      <c r="AC204" s="183"/>
      <c r="AD204" s="183"/>
      <c r="AE204" s="183"/>
      <c r="AF204" s="183"/>
      <c r="AG204" s="183"/>
      <c r="AH204" s="183"/>
      <c r="AI204" s="20"/>
    </row>
    <row r="205" spans="2:35" ht="15" customHeight="1" x14ac:dyDescent="0.25">
      <c r="B205" s="84"/>
      <c r="C205" s="83"/>
      <c r="D205" s="183"/>
      <c r="E205" s="183"/>
      <c r="F205" s="183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  <c r="AA205" s="183"/>
      <c r="AB205" s="183"/>
      <c r="AC205" s="183"/>
      <c r="AD205" s="183"/>
      <c r="AE205" s="183"/>
      <c r="AF205" s="183"/>
      <c r="AG205" s="183"/>
      <c r="AH205" s="183"/>
      <c r="AI205" s="20"/>
    </row>
    <row r="206" spans="2:35" ht="15" customHeight="1" x14ac:dyDescent="0.25">
      <c r="B206" s="84"/>
      <c r="C206" s="83"/>
      <c r="D206" s="183"/>
      <c r="E206" s="183"/>
      <c r="F206" s="183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  <c r="AA206" s="183"/>
      <c r="AB206" s="183"/>
      <c r="AC206" s="183"/>
      <c r="AD206" s="183"/>
      <c r="AE206" s="183"/>
      <c r="AF206" s="183"/>
      <c r="AG206" s="183"/>
      <c r="AH206" s="183"/>
      <c r="AI206" s="20"/>
    </row>
    <row r="207" spans="2:35" ht="15" customHeight="1" x14ac:dyDescent="0.25">
      <c r="B207" s="84"/>
      <c r="C207" s="83"/>
      <c r="D207" s="183"/>
      <c r="E207" s="183"/>
      <c r="F207" s="183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  <c r="AA207" s="183"/>
      <c r="AB207" s="183"/>
      <c r="AC207" s="183"/>
      <c r="AD207" s="183"/>
      <c r="AE207" s="183"/>
      <c r="AF207" s="183"/>
      <c r="AG207" s="183"/>
      <c r="AH207" s="183"/>
      <c r="AI207" s="20"/>
    </row>
    <row r="208" spans="2:35" ht="15" customHeight="1" x14ac:dyDescent="0.25">
      <c r="B208" s="84"/>
      <c r="C208" s="83"/>
      <c r="D208" s="183"/>
      <c r="E208" s="183"/>
      <c r="F208" s="183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  <c r="AA208" s="183"/>
      <c r="AB208" s="183"/>
      <c r="AC208" s="183"/>
      <c r="AD208" s="183"/>
      <c r="AE208" s="183"/>
      <c r="AF208" s="183"/>
      <c r="AG208" s="183"/>
      <c r="AH208" s="183"/>
      <c r="AI208" s="20"/>
    </row>
    <row r="209" spans="2:35" ht="15" customHeight="1" x14ac:dyDescent="0.25">
      <c r="B209" s="84"/>
      <c r="C209" s="83"/>
      <c r="D209" s="183"/>
      <c r="E209" s="183"/>
      <c r="F209" s="183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  <c r="AA209" s="183"/>
      <c r="AB209" s="183"/>
      <c r="AC209" s="183"/>
      <c r="AD209" s="183"/>
      <c r="AE209" s="183"/>
      <c r="AF209" s="183"/>
      <c r="AG209" s="183"/>
      <c r="AH209" s="183"/>
      <c r="AI209" s="20"/>
    </row>
    <row r="210" spans="2:35" ht="15" customHeight="1" x14ac:dyDescent="0.25">
      <c r="B210" s="84"/>
      <c r="C210" s="83"/>
      <c r="D210" s="183"/>
      <c r="E210" s="183"/>
      <c r="F210" s="183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  <c r="AA210" s="183"/>
      <c r="AB210" s="183"/>
      <c r="AC210" s="183"/>
      <c r="AD210" s="183"/>
      <c r="AE210" s="183"/>
      <c r="AF210" s="183"/>
      <c r="AG210" s="183"/>
      <c r="AH210" s="183"/>
      <c r="AI210" s="20"/>
    </row>
    <row r="211" spans="2:35" ht="15" customHeight="1" x14ac:dyDescent="0.25">
      <c r="B211" s="84"/>
      <c r="C211" s="83"/>
      <c r="D211" s="183"/>
      <c r="E211" s="183"/>
      <c r="F211" s="183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  <c r="AA211" s="183"/>
      <c r="AB211" s="183"/>
      <c r="AC211" s="183"/>
      <c r="AD211" s="183"/>
      <c r="AE211" s="183"/>
      <c r="AF211" s="183"/>
      <c r="AG211" s="183"/>
      <c r="AH211" s="183"/>
      <c r="AI211" s="20"/>
    </row>
    <row r="212" spans="2:35" ht="15" customHeight="1" x14ac:dyDescent="0.25">
      <c r="B212" s="84"/>
      <c r="C212" s="83"/>
      <c r="D212" s="183"/>
      <c r="E212" s="183"/>
      <c r="F212" s="183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  <c r="AA212" s="183"/>
      <c r="AB212" s="183"/>
      <c r="AC212" s="183"/>
      <c r="AD212" s="183"/>
      <c r="AE212" s="183"/>
      <c r="AF212" s="183"/>
      <c r="AG212" s="183"/>
      <c r="AH212" s="183"/>
      <c r="AI212" s="20"/>
    </row>
    <row r="213" spans="2:35" ht="15.75" x14ac:dyDescent="0.25">
      <c r="B213" s="84"/>
      <c r="C213" s="83"/>
      <c r="D213" s="183"/>
      <c r="E213" s="183"/>
      <c r="F213" s="183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  <c r="AA213" s="183"/>
      <c r="AB213" s="183"/>
      <c r="AC213" s="183"/>
      <c r="AD213" s="183"/>
      <c r="AE213" s="183"/>
      <c r="AF213" s="183"/>
      <c r="AG213" s="183"/>
      <c r="AH213" s="183"/>
      <c r="AI213" s="20"/>
    </row>
    <row r="214" spans="2:35" ht="15.75" x14ac:dyDescent="0.25">
      <c r="B214" s="84"/>
      <c r="C214" s="83"/>
      <c r="D214" s="183"/>
      <c r="E214" s="183"/>
      <c r="F214" s="183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  <c r="AA214" s="183"/>
      <c r="AB214" s="183"/>
      <c r="AC214" s="183"/>
      <c r="AD214" s="183"/>
      <c r="AE214" s="183"/>
      <c r="AF214" s="183"/>
      <c r="AG214" s="183"/>
      <c r="AH214" s="183"/>
      <c r="AI214" s="20"/>
    </row>
    <row r="215" spans="2:35" ht="15.75" x14ac:dyDescent="0.25">
      <c r="B215" s="84"/>
      <c r="C215" s="83"/>
      <c r="D215" s="183"/>
      <c r="E215" s="183"/>
      <c r="F215" s="183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  <c r="AA215" s="183"/>
      <c r="AB215" s="183"/>
      <c r="AC215" s="183"/>
      <c r="AD215" s="183"/>
      <c r="AE215" s="183"/>
      <c r="AF215" s="183"/>
      <c r="AG215" s="183"/>
      <c r="AH215" s="183"/>
      <c r="AI215" s="20"/>
    </row>
    <row r="216" spans="2:35" ht="15.75" x14ac:dyDescent="0.25">
      <c r="B216" s="84"/>
      <c r="C216" s="83"/>
      <c r="D216" s="183"/>
      <c r="E216" s="183"/>
      <c r="F216" s="183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  <c r="AA216" s="183"/>
      <c r="AB216" s="183"/>
      <c r="AC216" s="183"/>
      <c r="AD216" s="183"/>
      <c r="AE216" s="183"/>
      <c r="AF216" s="183"/>
      <c r="AG216" s="183"/>
      <c r="AH216" s="183"/>
      <c r="AI216" s="20"/>
    </row>
    <row r="217" spans="2:35" ht="15.75" x14ac:dyDescent="0.25">
      <c r="B217" s="84"/>
      <c r="C217" s="83"/>
      <c r="D217" s="183"/>
      <c r="E217" s="183"/>
      <c r="F217" s="183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  <c r="AA217" s="183"/>
      <c r="AB217" s="183"/>
      <c r="AC217" s="183"/>
      <c r="AD217" s="183"/>
      <c r="AE217" s="183"/>
      <c r="AF217" s="183"/>
      <c r="AG217" s="183"/>
      <c r="AH217" s="183"/>
      <c r="AI217" s="20"/>
    </row>
    <row r="218" spans="2:35" ht="15.75" x14ac:dyDescent="0.25">
      <c r="B218" s="84"/>
      <c r="C218" s="83"/>
      <c r="D218" s="183"/>
      <c r="E218" s="183"/>
      <c r="F218" s="183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  <c r="AA218" s="183"/>
      <c r="AB218" s="183"/>
      <c r="AC218" s="183"/>
      <c r="AD218" s="183"/>
      <c r="AE218" s="183"/>
      <c r="AF218" s="183"/>
      <c r="AG218" s="183"/>
      <c r="AH218" s="183"/>
      <c r="AI218" s="20"/>
    </row>
    <row r="219" spans="2:35" ht="15.75" x14ac:dyDescent="0.25">
      <c r="B219" s="84"/>
      <c r="C219" s="83"/>
      <c r="D219" s="183"/>
      <c r="E219" s="183"/>
      <c r="F219" s="183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  <c r="AA219" s="183"/>
      <c r="AB219" s="183"/>
      <c r="AC219" s="183"/>
      <c r="AD219" s="183"/>
      <c r="AE219" s="183"/>
      <c r="AF219" s="183"/>
      <c r="AG219" s="183"/>
      <c r="AH219" s="183"/>
      <c r="AI219" s="20"/>
    </row>
    <row r="220" spans="2:35" ht="15.75" x14ac:dyDescent="0.25">
      <c r="B220" s="84"/>
      <c r="C220" s="83"/>
      <c r="D220" s="183"/>
      <c r="E220" s="183"/>
      <c r="F220" s="183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  <c r="AA220" s="183"/>
      <c r="AB220" s="183"/>
      <c r="AC220" s="183"/>
      <c r="AD220" s="183"/>
      <c r="AE220" s="183"/>
      <c r="AF220" s="183"/>
      <c r="AG220" s="183"/>
      <c r="AH220" s="183"/>
      <c r="AI220" s="20"/>
    </row>
    <row r="221" spans="2:35" ht="15.75" x14ac:dyDescent="0.25">
      <c r="B221" s="84"/>
      <c r="C221" s="83"/>
      <c r="D221" s="183"/>
      <c r="E221" s="183"/>
      <c r="F221" s="183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  <c r="AA221" s="183"/>
      <c r="AB221" s="183"/>
      <c r="AC221" s="183"/>
      <c r="AD221" s="183"/>
      <c r="AE221" s="183"/>
      <c r="AF221" s="183"/>
      <c r="AG221" s="183"/>
      <c r="AH221" s="183"/>
      <c r="AI221" s="20"/>
    </row>
    <row r="222" spans="2:35" ht="15.75" x14ac:dyDescent="0.25">
      <c r="B222" s="84"/>
      <c r="C222" s="83"/>
      <c r="D222" s="183"/>
      <c r="E222" s="183"/>
      <c r="F222" s="183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  <c r="AA222" s="183"/>
      <c r="AB222" s="183"/>
      <c r="AC222" s="183"/>
      <c r="AD222" s="183"/>
      <c r="AE222" s="183"/>
      <c r="AF222" s="183"/>
      <c r="AG222" s="183"/>
      <c r="AH222" s="183"/>
      <c r="AI222" s="20"/>
    </row>
    <row r="223" spans="2:35" ht="15.75" x14ac:dyDescent="0.25">
      <c r="B223" s="84"/>
      <c r="C223" s="83"/>
      <c r="D223" s="183"/>
      <c r="E223" s="183"/>
      <c r="F223" s="183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  <c r="AA223" s="183"/>
      <c r="AB223" s="183"/>
      <c r="AC223" s="183"/>
      <c r="AD223" s="183"/>
      <c r="AE223" s="183"/>
      <c r="AF223" s="183"/>
      <c r="AG223" s="183"/>
      <c r="AH223" s="183"/>
      <c r="AI223" s="20"/>
    </row>
    <row r="224" spans="2:35" ht="15.75" x14ac:dyDescent="0.25">
      <c r="B224" s="84"/>
      <c r="C224" s="83"/>
      <c r="D224" s="183"/>
      <c r="E224" s="183"/>
      <c r="F224" s="183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  <c r="AA224" s="183"/>
      <c r="AB224" s="183"/>
      <c r="AC224" s="183"/>
      <c r="AD224" s="183"/>
      <c r="AE224" s="183"/>
      <c r="AF224" s="183"/>
      <c r="AG224" s="183"/>
      <c r="AH224" s="183"/>
      <c r="AI224" s="20"/>
    </row>
    <row r="225" spans="2:35" ht="15.75" x14ac:dyDescent="0.25">
      <c r="B225" s="84"/>
      <c r="C225" s="83"/>
      <c r="D225" s="183"/>
      <c r="E225" s="183"/>
      <c r="F225" s="183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  <c r="AA225" s="183"/>
      <c r="AB225" s="183"/>
      <c r="AC225" s="183"/>
      <c r="AD225" s="183"/>
      <c r="AE225" s="183"/>
      <c r="AF225" s="183"/>
      <c r="AG225" s="183"/>
      <c r="AH225" s="183"/>
      <c r="AI225" s="20"/>
    </row>
    <row r="226" spans="2:35" ht="15.75" x14ac:dyDescent="0.25">
      <c r="B226" s="84"/>
      <c r="C226" s="83"/>
      <c r="D226" s="183"/>
      <c r="E226" s="183"/>
      <c r="F226" s="183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  <c r="AA226" s="183"/>
      <c r="AB226" s="183"/>
      <c r="AC226" s="183"/>
      <c r="AD226" s="183"/>
      <c r="AE226" s="183"/>
      <c r="AF226" s="183"/>
      <c r="AG226" s="183"/>
      <c r="AH226" s="183"/>
      <c r="AI226" s="20"/>
    </row>
    <row r="227" spans="2:35" ht="15.75" x14ac:dyDescent="0.25">
      <c r="B227" s="84"/>
      <c r="C227" s="83"/>
      <c r="D227" s="183"/>
      <c r="E227" s="183"/>
      <c r="F227" s="183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  <c r="AA227" s="183"/>
      <c r="AB227" s="183"/>
      <c r="AC227" s="183"/>
      <c r="AD227" s="183"/>
      <c r="AE227" s="183"/>
      <c r="AF227" s="183"/>
      <c r="AG227" s="183"/>
      <c r="AH227" s="183"/>
      <c r="AI227" s="20"/>
    </row>
    <row r="228" spans="2:35" ht="15.75" x14ac:dyDescent="0.25">
      <c r="B228" s="84"/>
      <c r="C228" s="83"/>
      <c r="D228" s="183"/>
      <c r="E228" s="183"/>
      <c r="F228" s="183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  <c r="AA228" s="183"/>
      <c r="AB228" s="183"/>
      <c r="AC228" s="183"/>
      <c r="AD228" s="183"/>
      <c r="AE228" s="183"/>
      <c r="AF228" s="183"/>
      <c r="AG228" s="183"/>
      <c r="AH228" s="183"/>
      <c r="AI228" s="20"/>
    </row>
    <row r="229" spans="2:35" ht="15.75" x14ac:dyDescent="0.25">
      <c r="B229" s="84"/>
      <c r="C229" s="83"/>
      <c r="D229" s="183"/>
      <c r="E229" s="183"/>
      <c r="F229" s="183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  <c r="AA229" s="183"/>
      <c r="AB229" s="183"/>
      <c r="AC229" s="183"/>
      <c r="AD229" s="183"/>
      <c r="AE229" s="183"/>
      <c r="AF229" s="183"/>
      <c r="AG229" s="183"/>
      <c r="AH229" s="183"/>
      <c r="AI229" s="20"/>
    </row>
    <row r="230" spans="2:35" ht="15.75" x14ac:dyDescent="0.25">
      <c r="B230" s="84"/>
      <c r="C230" s="83"/>
      <c r="D230" s="183"/>
      <c r="E230" s="183"/>
      <c r="F230" s="183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  <c r="AA230" s="183"/>
      <c r="AB230" s="183"/>
      <c r="AC230" s="183"/>
      <c r="AD230" s="183"/>
      <c r="AE230" s="183"/>
      <c r="AF230" s="183"/>
      <c r="AG230" s="183"/>
      <c r="AH230" s="183"/>
      <c r="AI230" s="20"/>
    </row>
    <row r="231" spans="2:35" ht="15.75" x14ac:dyDescent="0.25">
      <c r="B231" s="84"/>
      <c r="C231" s="83"/>
      <c r="D231" s="183"/>
      <c r="E231" s="183"/>
      <c r="F231" s="183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  <c r="Z231" s="183"/>
      <c r="AA231" s="183"/>
      <c r="AB231" s="183"/>
      <c r="AC231" s="183"/>
      <c r="AD231" s="183"/>
      <c r="AE231" s="183"/>
      <c r="AF231" s="183"/>
      <c r="AG231" s="183"/>
      <c r="AH231" s="183"/>
      <c r="AI231" s="20"/>
    </row>
    <row r="232" spans="2:35" ht="15.75" x14ac:dyDescent="0.25">
      <c r="B232" s="84"/>
      <c r="C232" s="83"/>
      <c r="D232" s="183"/>
      <c r="E232" s="183"/>
      <c r="F232" s="183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3"/>
      <c r="V232" s="183"/>
      <c r="W232" s="183"/>
      <c r="X232" s="183"/>
      <c r="Y232" s="183"/>
      <c r="Z232" s="183"/>
      <c r="AA232" s="183"/>
      <c r="AB232" s="183"/>
      <c r="AC232" s="183"/>
      <c r="AD232" s="183"/>
      <c r="AE232" s="183"/>
      <c r="AF232" s="183"/>
      <c r="AG232" s="183"/>
      <c r="AH232" s="183"/>
      <c r="AI232" s="20"/>
    </row>
    <row r="233" spans="2:35" ht="15.75" x14ac:dyDescent="0.25">
      <c r="B233" s="84"/>
      <c r="C233" s="83"/>
      <c r="D233" s="183"/>
      <c r="E233" s="183"/>
      <c r="F233" s="183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  <c r="Z233" s="183"/>
      <c r="AA233" s="183"/>
      <c r="AB233" s="183"/>
      <c r="AC233" s="183"/>
      <c r="AD233" s="183"/>
      <c r="AE233" s="183"/>
      <c r="AF233" s="183"/>
      <c r="AG233" s="183"/>
      <c r="AH233" s="183"/>
      <c r="AI233" s="20"/>
    </row>
    <row r="234" spans="2:35" ht="15.75" x14ac:dyDescent="0.25">
      <c r="B234" s="84"/>
      <c r="C234" s="83"/>
      <c r="D234" s="183"/>
      <c r="E234" s="183"/>
      <c r="F234" s="183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83"/>
      <c r="Z234" s="183"/>
      <c r="AA234" s="183"/>
      <c r="AB234" s="183"/>
      <c r="AC234" s="183"/>
      <c r="AD234" s="183"/>
      <c r="AE234" s="183"/>
      <c r="AF234" s="183"/>
      <c r="AG234" s="183"/>
      <c r="AH234" s="183"/>
      <c r="AI234" s="20"/>
    </row>
    <row r="235" spans="2:35" ht="15.75" x14ac:dyDescent="0.25">
      <c r="B235" s="84"/>
      <c r="C235" s="83"/>
      <c r="D235" s="183"/>
      <c r="E235" s="183"/>
      <c r="F235" s="183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3"/>
      <c r="V235" s="183"/>
      <c r="W235" s="183"/>
      <c r="X235" s="183"/>
      <c r="Y235" s="183"/>
      <c r="Z235" s="183"/>
      <c r="AA235" s="183"/>
      <c r="AB235" s="183"/>
      <c r="AC235" s="183"/>
      <c r="AD235" s="183"/>
      <c r="AE235" s="183"/>
      <c r="AF235" s="183"/>
      <c r="AG235" s="183"/>
      <c r="AH235" s="183"/>
      <c r="AI235" s="20"/>
    </row>
    <row r="236" spans="2:35" ht="15.75" x14ac:dyDescent="0.25">
      <c r="B236" s="84"/>
      <c r="C236" s="83"/>
      <c r="D236" s="183"/>
      <c r="E236" s="183"/>
      <c r="F236" s="183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3"/>
      <c r="V236" s="183"/>
      <c r="W236" s="183"/>
      <c r="X236" s="183"/>
      <c r="Y236" s="183"/>
      <c r="Z236" s="183"/>
      <c r="AA236" s="183"/>
      <c r="AB236" s="183"/>
      <c r="AC236" s="183"/>
      <c r="AD236" s="183"/>
      <c r="AE236" s="183"/>
      <c r="AF236" s="183"/>
      <c r="AG236" s="183"/>
      <c r="AH236" s="183"/>
      <c r="AI236" s="20"/>
    </row>
    <row r="237" spans="2:35" ht="15.75" x14ac:dyDescent="0.25">
      <c r="B237" s="84"/>
      <c r="C237" s="83"/>
      <c r="D237" s="183"/>
      <c r="E237" s="183"/>
      <c r="F237" s="183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3"/>
      <c r="V237" s="183"/>
      <c r="W237" s="183"/>
      <c r="X237" s="183"/>
      <c r="Y237" s="183"/>
      <c r="Z237" s="183"/>
      <c r="AA237" s="183"/>
      <c r="AB237" s="183"/>
      <c r="AC237" s="183"/>
      <c r="AD237" s="183"/>
      <c r="AE237" s="183"/>
      <c r="AF237" s="183"/>
      <c r="AG237" s="183"/>
      <c r="AH237" s="183"/>
      <c r="AI237" s="20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0000000}">
          <x14:formula1>
            <xm:f>справочник!$E$2:$E$172</xm:f>
          </x14:formula1>
          <xm:sqref>B3:B237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AI236"/>
  <sheetViews>
    <sheetView showZeros="0" topLeftCell="A142" zoomScale="70" zoomScaleNormal="70" workbookViewId="0">
      <selection activeCell="I166" sqref="I166"/>
    </sheetView>
  </sheetViews>
  <sheetFormatPr defaultRowHeight="15" x14ac:dyDescent="0.25"/>
  <cols>
    <col min="1" max="1" width="2.140625" customWidth="1"/>
    <col min="2" max="2" width="53.5703125" customWidth="1"/>
    <col min="4" max="34" width="6.7109375" customWidth="1"/>
  </cols>
  <sheetData>
    <row r="1" spans="2:35" ht="15" customHeight="1" thickBot="1" x14ac:dyDescent="0.3">
      <c r="B1" s="67">
        <v>45931</v>
      </c>
      <c r="C1" s="68"/>
      <c r="D1" s="69">
        <f>B1</f>
        <v>45931</v>
      </c>
      <c r="E1" s="69">
        <f>D1+1</f>
        <v>45932</v>
      </c>
      <c r="F1" s="69">
        <f t="shared" ref="F1:AH1" si="0">E1+1</f>
        <v>45933</v>
      </c>
      <c r="G1" s="69">
        <f t="shared" si="0"/>
        <v>45934</v>
      </c>
      <c r="H1" s="69">
        <f t="shared" si="0"/>
        <v>45935</v>
      </c>
      <c r="I1" s="69">
        <f t="shared" si="0"/>
        <v>45936</v>
      </c>
      <c r="J1" s="69">
        <f t="shared" si="0"/>
        <v>45937</v>
      </c>
      <c r="K1" s="69">
        <f t="shared" si="0"/>
        <v>45938</v>
      </c>
      <c r="L1" s="69">
        <f t="shared" si="0"/>
        <v>45939</v>
      </c>
      <c r="M1" s="69">
        <f t="shared" si="0"/>
        <v>45940</v>
      </c>
      <c r="N1" s="69">
        <f t="shared" si="0"/>
        <v>45941</v>
      </c>
      <c r="O1" s="69">
        <f t="shared" si="0"/>
        <v>45942</v>
      </c>
      <c r="P1" s="69">
        <f t="shared" si="0"/>
        <v>45943</v>
      </c>
      <c r="Q1" s="69">
        <f t="shared" si="0"/>
        <v>45944</v>
      </c>
      <c r="R1" s="69">
        <f t="shared" si="0"/>
        <v>45945</v>
      </c>
      <c r="S1" s="69">
        <f t="shared" si="0"/>
        <v>45946</v>
      </c>
      <c r="T1" s="69">
        <f t="shared" si="0"/>
        <v>45947</v>
      </c>
      <c r="U1" s="69">
        <f t="shared" si="0"/>
        <v>45948</v>
      </c>
      <c r="V1" s="69">
        <f t="shared" si="0"/>
        <v>45949</v>
      </c>
      <c r="W1" s="69">
        <f t="shared" si="0"/>
        <v>45950</v>
      </c>
      <c r="X1" s="69">
        <f t="shared" si="0"/>
        <v>45951</v>
      </c>
      <c r="Y1" s="69">
        <f t="shared" si="0"/>
        <v>45952</v>
      </c>
      <c r="Z1" s="69">
        <f t="shared" si="0"/>
        <v>45953</v>
      </c>
      <c r="AA1" s="69">
        <f t="shared" si="0"/>
        <v>45954</v>
      </c>
      <c r="AB1" s="69">
        <f t="shared" si="0"/>
        <v>45955</v>
      </c>
      <c r="AC1" s="69">
        <f t="shared" si="0"/>
        <v>45956</v>
      </c>
      <c r="AD1" s="69">
        <f t="shared" si="0"/>
        <v>45957</v>
      </c>
      <c r="AE1" s="69">
        <f t="shared" si="0"/>
        <v>45958</v>
      </c>
      <c r="AF1" s="69">
        <f t="shared" si="0"/>
        <v>45959</v>
      </c>
      <c r="AG1" s="69">
        <f t="shared" si="0"/>
        <v>45960</v>
      </c>
      <c r="AH1" s="69">
        <f t="shared" si="0"/>
        <v>45961</v>
      </c>
      <c r="AI1" s="70"/>
    </row>
    <row r="2" spans="2:35" ht="15" customHeight="1" thickBot="1" x14ac:dyDescent="0.3">
      <c r="B2" s="71"/>
      <c r="C2" s="68"/>
      <c r="D2" s="72">
        <v>1</v>
      </c>
      <c r="E2" s="73">
        <v>2</v>
      </c>
      <c r="F2" s="73">
        <v>3</v>
      </c>
      <c r="G2" s="73">
        <v>4</v>
      </c>
      <c r="H2" s="73">
        <v>5</v>
      </c>
      <c r="I2" s="73">
        <v>6</v>
      </c>
      <c r="J2" s="73">
        <v>7</v>
      </c>
      <c r="K2" s="73">
        <v>8</v>
      </c>
      <c r="L2" s="73">
        <v>9</v>
      </c>
      <c r="M2" s="73">
        <v>10</v>
      </c>
      <c r="N2" s="73">
        <v>11</v>
      </c>
      <c r="O2" s="73">
        <v>12</v>
      </c>
      <c r="P2" s="73">
        <v>13</v>
      </c>
      <c r="Q2" s="73">
        <v>14</v>
      </c>
      <c r="R2" s="73">
        <v>15</v>
      </c>
      <c r="S2" s="73">
        <v>16</v>
      </c>
      <c r="T2" s="73">
        <v>17</v>
      </c>
      <c r="U2" s="73">
        <v>18</v>
      </c>
      <c r="V2" s="73">
        <v>19</v>
      </c>
      <c r="W2" s="73">
        <v>20</v>
      </c>
      <c r="X2" s="73">
        <v>21</v>
      </c>
      <c r="Y2" s="73">
        <v>22</v>
      </c>
      <c r="Z2" s="73">
        <v>23</v>
      </c>
      <c r="AA2" s="73">
        <v>24</v>
      </c>
      <c r="AB2" s="73">
        <v>25</v>
      </c>
      <c r="AC2" s="73">
        <v>26</v>
      </c>
      <c r="AD2" s="73">
        <v>27</v>
      </c>
      <c r="AE2" s="73">
        <v>28</v>
      </c>
      <c r="AF2" s="73">
        <v>29</v>
      </c>
      <c r="AG2" s="73">
        <v>30</v>
      </c>
      <c r="AH2" s="73">
        <v>31</v>
      </c>
      <c r="AI2" s="70"/>
    </row>
    <row r="3" spans="2:35" ht="15" customHeight="1" x14ac:dyDescent="0.25">
      <c r="B3" s="74" t="s">
        <v>212</v>
      </c>
      <c r="C3" s="75">
        <v>25</v>
      </c>
      <c r="D3" s="76">
        <f>SUMIFS('октябрь 2025'!$G$2:$G$2619,'октябрь 2025'!$D$2:$D$2619,$B3,'октябрь 2025'!$J$2:$J$2619,D$1)</f>
        <v>0</v>
      </c>
      <c r="E3" s="76">
        <f>SUMIFS('октябрь 2025'!$G$2:$G$2619,'октябрь 2025'!$D$2:$D$2619,$B3,'октябрь 2025'!$J$2:$J$2619,E$1)</f>
        <v>0</v>
      </c>
      <c r="F3" s="76">
        <f>SUMIFS('октябрь 2025'!$G$2:$G$2619,'октябрь 2025'!$D$2:$D$2619,$B3,'октябрь 2025'!$J$2:$J$2619,F$1)</f>
        <v>0</v>
      </c>
      <c r="G3" s="76">
        <f>SUMIFS('октябрь 2025'!$G$2:$G$2619,'октябрь 2025'!$D$2:$D$2619,$B3,'октябрь 2025'!$J$2:$J$2619,G$1)</f>
        <v>0</v>
      </c>
      <c r="H3" s="76">
        <f>SUMIFS('октябрь 2025'!$G$2:$G$2619,'октябрь 2025'!$D$2:$D$2619,$B3,'октябрь 2025'!$J$2:$J$2619,H$1)</f>
        <v>0</v>
      </c>
      <c r="I3" s="76">
        <f>SUMIFS('октябрь 2025'!$G$2:$G$2619,'октябрь 2025'!$D$2:$D$2619,$B3,'октябрь 2025'!$J$2:$J$2619,I$1)</f>
        <v>0</v>
      </c>
      <c r="J3" s="76">
        <f>SUMIFS('октябрь 2025'!$G$2:$G$2619,'октябрь 2025'!$D$2:$D$2619,$B3,'октябрь 2025'!$J$2:$J$2619,J$1)</f>
        <v>0</v>
      </c>
      <c r="K3" s="76">
        <f>SUMIFS('октябрь 2025'!$G$2:$G$2619,'октябрь 2025'!$D$2:$D$2619,$B3,'октябрь 2025'!$J$2:$J$2619,K$1)</f>
        <v>0</v>
      </c>
      <c r="L3" s="76">
        <f>SUMIFS('октябрь 2025'!$G$2:$G$2619,'октябрь 2025'!$D$2:$D$2619,$B3,'октябрь 2025'!$J$2:$J$2619,L$1)</f>
        <v>0</v>
      </c>
      <c r="M3" s="76">
        <f>SUMIFS('октябрь 2025'!$G$2:$G$2619,'октябрь 2025'!$D$2:$D$2619,$B3,'октябрь 2025'!$J$2:$J$2619,M$1)</f>
        <v>0</v>
      </c>
      <c r="N3" s="76">
        <f>SUMIFS('октябрь 2025'!$G$2:$G$2619,'октябрь 2025'!$D$2:$D$2619,$B3,'октябрь 2025'!$J$2:$J$2619,N$1)</f>
        <v>0</v>
      </c>
      <c r="O3" s="76">
        <f>SUMIFS('октябрь 2025'!$G$2:$G$2619,'октябрь 2025'!$D$2:$D$2619,$B3,'октябрь 2025'!$J$2:$J$2619,O$1)</f>
        <v>0</v>
      </c>
      <c r="P3" s="76">
        <f>SUMIFS('октябрь 2025'!$G$2:$G$2619,'октябрь 2025'!$D$2:$D$2619,$B3,'октябрь 2025'!$J$2:$J$2619,P$1)</f>
        <v>0</v>
      </c>
      <c r="Q3" s="76">
        <f>SUMIFS('октябрь 2025'!$G$2:$G$2619,'октябрь 2025'!$D$2:$D$2619,$B3,'октябрь 2025'!$J$2:$J$2619,Q$1)</f>
        <v>0</v>
      </c>
      <c r="R3" s="76">
        <f>SUMIFS('октябрь 2025'!$G$2:$G$2619,'октябрь 2025'!$D$2:$D$2619,$B3,'октябрь 2025'!$J$2:$J$2619,R$1)</f>
        <v>0</v>
      </c>
      <c r="S3" s="76">
        <f>SUMIFS('октябрь 2025'!$G$2:$G$2619,'октябрь 2025'!$D$2:$D$2619,$B3,'октябрь 2025'!$J$2:$J$2619,S$1)</f>
        <v>0</v>
      </c>
      <c r="T3" s="76">
        <f>SUMIFS('октябрь 2025'!$G$2:$G$2619,'октябрь 2025'!$D$2:$D$2619,$B3,'октябрь 2025'!$J$2:$J$2619,T$1)</f>
        <v>0</v>
      </c>
      <c r="U3" s="76">
        <f>SUMIFS('октябрь 2025'!$G$2:$G$2619,'октябрь 2025'!$D$2:$D$2619,$B3,'октябрь 2025'!$J$2:$J$2619,U$1)</f>
        <v>0</v>
      </c>
      <c r="V3" s="76">
        <f>SUMIFS('октябрь 2025'!$G$2:$G$2619,'октябрь 2025'!$D$2:$D$2619,$B3,'октябрь 2025'!$J$2:$J$2619,V$1)</f>
        <v>0</v>
      </c>
      <c r="W3" s="76">
        <f>SUMIFS('октябрь 2025'!$G$2:$G$2619,'октябрь 2025'!$D$2:$D$2619,$B3,'октябрь 2025'!$J$2:$J$2619,W$1)</f>
        <v>0</v>
      </c>
      <c r="X3" s="76">
        <f>SUMIFS('октябрь 2025'!$G$2:$G$2619,'октябрь 2025'!$D$2:$D$2619,$B3,'октябрь 2025'!$J$2:$J$2619,X$1)</f>
        <v>0</v>
      </c>
      <c r="Y3" s="76">
        <f>SUMIFS('октябрь 2025'!$G$2:$G$2619,'октябрь 2025'!$D$2:$D$2619,$B3,'октябрь 2025'!$J$2:$J$2619,Y$1)</f>
        <v>0</v>
      </c>
      <c r="Z3" s="76">
        <f>SUMIFS('октябрь 2025'!$G$2:$G$2619,'октябрь 2025'!$D$2:$D$2619,$B3,'октябрь 2025'!$J$2:$J$2619,Z$1)</f>
        <v>0</v>
      </c>
      <c r="AA3" s="76">
        <f>SUMIFS('октябрь 2025'!$G$2:$G$2619,'октябрь 2025'!$D$2:$D$2619,$B3,'октябрь 2025'!$J$2:$J$2619,AA$1)</f>
        <v>0</v>
      </c>
      <c r="AB3" s="76">
        <f>SUMIFS('октябрь 2025'!$G$2:$G$2619,'октябрь 2025'!$D$2:$D$2619,$B3,'октябрь 2025'!$J$2:$J$2619,AB$1)</f>
        <v>0</v>
      </c>
      <c r="AC3" s="76">
        <f>SUMIFS('октябрь 2025'!$G$2:$G$2619,'октябрь 2025'!$D$2:$D$2619,$B3,'октябрь 2025'!$J$2:$J$2619,AC$1)</f>
        <v>0</v>
      </c>
      <c r="AD3" s="76">
        <f>SUMIFS('октябрь 2025'!$G$2:$G$2619,'октябрь 2025'!$D$2:$D$2619,$B3,'октябрь 2025'!$J$2:$J$2619,AD$1)</f>
        <v>0</v>
      </c>
      <c r="AE3" s="76">
        <f>SUMIFS('октябрь 2025'!$G$2:$G$2619,'октябрь 2025'!$D$2:$D$2619,$B3,'октябрь 2025'!$J$2:$J$2619,AE$1)</f>
        <v>0</v>
      </c>
      <c r="AF3" s="76">
        <f>SUMIFS('октябрь 2025'!$G$2:$G$2619,'октябрь 2025'!$D$2:$D$2619,$B3,'октябрь 2025'!$J$2:$J$2619,AF$1)</f>
        <v>0</v>
      </c>
      <c r="AG3" s="76">
        <f>SUMIFS('октябрь 2025'!$G$2:$G$2619,'октябрь 2025'!$D$2:$D$2619,$B3,'октябрь 2025'!$J$2:$J$2619,AG$1)</f>
        <v>0</v>
      </c>
      <c r="AH3" s="76">
        <f>SUMIFS('октябрь 2025'!$G$2:$G$2619,'октябрь 2025'!$D$2:$D$2619,$B3,'октябрь 2025'!$J$2:$J$2619,AH$1)</f>
        <v>0</v>
      </c>
      <c r="AI3" s="48">
        <f t="shared" ref="AI3:AI165" si="1">SUM(D3:AH3)</f>
        <v>0</v>
      </c>
    </row>
    <row r="4" spans="2:35" ht="15" customHeight="1" x14ac:dyDescent="0.25">
      <c r="B4" s="276" t="s">
        <v>1574</v>
      </c>
      <c r="C4" s="277">
        <v>25</v>
      </c>
      <c r="D4" s="76">
        <f>SUMIFS('октябрь 2025'!$G$2:$G$2619,'октябрь 2025'!$D$2:$D$2619,$B4,'октябрь 2025'!$J$2:$J$2619,D$1)</f>
        <v>0</v>
      </c>
      <c r="E4" s="76">
        <f>SUMIFS('октябрь 2025'!$G$2:$G$2619,'октябрь 2025'!$D$2:$D$2619,$B4,'октябрь 2025'!$J$2:$J$2619,E$1)</f>
        <v>0</v>
      </c>
      <c r="F4" s="76">
        <f>SUMIFS('октябрь 2025'!$G$2:$G$2619,'октябрь 2025'!$D$2:$D$2619,$B4,'октябрь 2025'!$J$2:$J$2619,F$1)</f>
        <v>0</v>
      </c>
      <c r="G4" s="76">
        <f>SUMIFS('октябрь 2025'!$G$2:$G$2619,'октябрь 2025'!$D$2:$D$2619,$B4,'октябрь 2025'!$J$2:$J$2619,G$1)</f>
        <v>0</v>
      </c>
      <c r="H4" s="76">
        <f>SUMIFS('октябрь 2025'!$G$2:$G$2619,'октябрь 2025'!$D$2:$D$2619,$B4,'октябрь 2025'!$J$2:$J$2619,H$1)</f>
        <v>0</v>
      </c>
      <c r="I4" s="76">
        <f>SUMIFS('октябрь 2025'!$G$2:$G$2619,'октябрь 2025'!$D$2:$D$2619,$B4,'октябрь 2025'!$J$2:$J$2619,I$1)</f>
        <v>0</v>
      </c>
      <c r="J4" s="76">
        <f>SUMIFS('октябрь 2025'!$G$2:$G$2619,'октябрь 2025'!$D$2:$D$2619,$B4,'октябрь 2025'!$J$2:$J$2619,J$1)</f>
        <v>0</v>
      </c>
      <c r="K4" s="76">
        <f>SUMIFS('октябрь 2025'!$G$2:$G$2619,'октябрь 2025'!$D$2:$D$2619,$B4,'октябрь 2025'!$J$2:$J$2619,K$1)</f>
        <v>0</v>
      </c>
      <c r="L4" s="76">
        <f>SUMIFS('октябрь 2025'!$G$2:$G$2619,'октябрь 2025'!$D$2:$D$2619,$B4,'октябрь 2025'!$J$2:$J$2619,L$1)</f>
        <v>0</v>
      </c>
      <c r="M4" s="76">
        <f>SUMIFS('октябрь 2025'!$G$2:$G$2619,'октябрь 2025'!$D$2:$D$2619,$B4,'октябрь 2025'!$J$2:$J$2619,M$1)</f>
        <v>0</v>
      </c>
      <c r="N4" s="76">
        <f>SUMIFS('октябрь 2025'!$G$2:$G$2619,'октябрь 2025'!$D$2:$D$2619,$B4,'октябрь 2025'!$J$2:$J$2619,N$1)</f>
        <v>0</v>
      </c>
      <c r="O4" s="76">
        <f>SUMIFS('октябрь 2025'!$G$2:$G$2619,'октябрь 2025'!$D$2:$D$2619,$B4,'октябрь 2025'!$J$2:$J$2619,O$1)</f>
        <v>0</v>
      </c>
      <c r="P4" s="76">
        <f>SUMIFS('октябрь 2025'!$G$2:$G$2619,'октябрь 2025'!$D$2:$D$2619,$B4,'октябрь 2025'!$J$2:$J$2619,P$1)</f>
        <v>0</v>
      </c>
      <c r="Q4" s="76">
        <f>SUMIFS('октябрь 2025'!$G$2:$G$2619,'октябрь 2025'!$D$2:$D$2619,$B4,'октябрь 2025'!$J$2:$J$2619,Q$1)</f>
        <v>0</v>
      </c>
      <c r="R4" s="76">
        <f>SUMIFS('октябрь 2025'!$G$2:$G$2619,'октябрь 2025'!$D$2:$D$2619,$B4,'октябрь 2025'!$J$2:$J$2619,R$1)</f>
        <v>0</v>
      </c>
      <c r="S4" s="76">
        <f>SUMIFS('октябрь 2025'!$G$2:$G$2619,'октябрь 2025'!$D$2:$D$2619,$B4,'октябрь 2025'!$J$2:$J$2619,S$1)</f>
        <v>0</v>
      </c>
      <c r="T4" s="76">
        <f>SUMIFS('октябрь 2025'!$G$2:$G$2619,'октябрь 2025'!$D$2:$D$2619,$B4,'октябрь 2025'!$J$2:$J$2619,T$1)</f>
        <v>0</v>
      </c>
      <c r="U4" s="76">
        <f>SUMIFS('октябрь 2025'!$G$2:$G$2619,'октябрь 2025'!$D$2:$D$2619,$B4,'октябрь 2025'!$J$2:$J$2619,U$1)</f>
        <v>0</v>
      </c>
      <c r="V4" s="76">
        <f>SUMIFS('октябрь 2025'!$G$2:$G$2619,'октябрь 2025'!$D$2:$D$2619,$B4,'октябрь 2025'!$J$2:$J$2619,V$1)</f>
        <v>0</v>
      </c>
      <c r="W4" s="76">
        <f>SUMIFS('октябрь 2025'!$G$2:$G$2619,'октябрь 2025'!$D$2:$D$2619,$B4,'октябрь 2025'!$J$2:$J$2619,W$1)</f>
        <v>0</v>
      </c>
      <c r="X4" s="76">
        <f>SUMIFS('октябрь 2025'!$G$2:$G$2619,'октябрь 2025'!$D$2:$D$2619,$B4,'октябрь 2025'!$J$2:$J$2619,X$1)</f>
        <v>0</v>
      </c>
      <c r="Y4" s="76">
        <f>SUMIFS('октябрь 2025'!$G$2:$G$2619,'октябрь 2025'!$D$2:$D$2619,$B4,'октябрь 2025'!$J$2:$J$2619,Y$1)</f>
        <v>800</v>
      </c>
      <c r="Z4" s="76">
        <f>SUMIFS('октябрь 2025'!$G$2:$G$2619,'октябрь 2025'!$D$2:$D$2619,$B4,'октябрь 2025'!$J$2:$J$2619,Z$1)</f>
        <v>0</v>
      </c>
      <c r="AA4" s="76">
        <f>SUMIFS('октябрь 2025'!$G$2:$G$2619,'октябрь 2025'!$D$2:$D$2619,$B4,'октябрь 2025'!$J$2:$J$2619,AA$1)</f>
        <v>0</v>
      </c>
      <c r="AB4" s="76">
        <f>SUMIFS('октябрь 2025'!$G$2:$G$2619,'октябрь 2025'!$D$2:$D$2619,$B4,'октябрь 2025'!$J$2:$J$2619,AB$1)</f>
        <v>0</v>
      </c>
      <c r="AC4" s="76">
        <f>SUMIFS('октябрь 2025'!$G$2:$G$2619,'октябрь 2025'!$D$2:$D$2619,$B4,'октябрь 2025'!$J$2:$J$2619,AC$1)</f>
        <v>0</v>
      </c>
      <c r="AD4" s="76">
        <f>SUMIFS('октябрь 2025'!$G$2:$G$2619,'октябрь 2025'!$D$2:$D$2619,$B4,'октябрь 2025'!$J$2:$J$2619,AD$1)</f>
        <v>0</v>
      </c>
      <c r="AE4" s="76">
        <f>SUMIFS('октябрь 2025'!$G$2:$G$2619,'октябрь 2025'!$D$2:$D$2619,$B4,'октябрь 2025'!$J$2:$J$2619,AE$1)</f>
        <v>0</v>
      </c>
      <c r="AF4" s="76">
        <f>SUMIFS('октябрь 2025'!$G$2:$G$2619,'октябрь 2025'!$D$2:$D$2619,$B4,'октябрь 2025'!$J$2:$J$2619,AF$1)</f>
        <v>0</v>
      </c>
      <c r="AG4" s="76">
        <f>SUMIFS('октябрь 2025'!$G$2:$G$2619,'октябрь 2025'!$D$2:$D$2619,$B4,'октябрь 2025'!$J$2:$J$2619,AG$1)</f>
        <v>440</v>
      </c>
      <c r="AH4" s="76">
        <f>SUMIFS('октябрь 2025'!$G$2:$G$2619,'октябрь 2025'!$D$2:$D$2619,$B4,'октябрь 2025'!$J$2:$J$2619,AH$1)</f>
        <v>0</v>
      </c>
      <c r="AI4" s="278">
        <f t="shared" si="1"/>
        <v>1240</v>
      </c>
    </row>
    <row r="5" spans="2:35" ht="15" customHeight="1" x14ac:dyDescent="0.25">
      <c r="B5" s="77" t="s">
        <v>214</v>
      </c>
      <c r="C5" s="78">
        <v>25</v>
      </c>
      <c r="D5" s="76">
        <f>SUMIFS('октябрь 2025'!$G$2:$G$2619,'октябрь 2025'!$D$2:$D$2619,$B5,'октябрь 2025'!$J$2:$J$2619,D$1)</f>
        <v>0</v>
      </c>
      <c r="E5" s="76">
        <f>SUMIFS('октябрь 2025'!$G$2:$G$2619,'октябрь 2025'!$D$2:$D$2619,$B5,'октябрь 2025'!$J$2:$J$2619,E$1)</f>
        <v>0</v>
      </c>
      <c r="F5" s="76">
        <f>SUMIFS('октябрь 2025'!$G$2:$G$2619,'октябрь 2025'!$D$2:$D$2619,$B5,'октябрь 2025'!$J$2:$J$2619,F$1)</f>
        <v>0</v>
      </c>
      <c r="G5" s="76">
        <f>SUMIFS('октябрь 2025'!$G$2:$G$2619,'октябрь 2025'!$D$2:$D$2619,$B5,'октябрь 2025'!$J$2:$J$2619,G$1)</f>
        <v>0</v>
      </c>
      <c r="H5" s="76">
        <f>SUMIFS('октябрь 2025'!$G$2:$G$2619,'октябрь 2025'!$D$2:$D$2619,$B5,'октябрь 2025'!$J$2:$J$2619,H$1)</f>
        <v>0</v>
      </c>
      <c r="I5" s="76">
        <f>SUMIFS('октябрь 2025'!$G$2:$G$2619,'октябрь 2025'!$D$2:$D$2619,$B5,'октябрь 2025'!$J$2:$J$2619,I$1)</f>
        <v>0</v>
      </c>
      <c r="J5" s="76">
        <f>SUMIFS('октябрь 2025'!$G$2:$G$2619,'октябрь 2025'!$D$2:$D$2619,$B5,'октябрь 2025'!$J$2:$J$2619,J$1)</f>
        <v>0</v>
      </c>
      <c r="K5" s="76">
        <f>SUMIFS('октябрь 2025'!$G$2:$G$2619,'октябрь 2025'!$D$2:$D$2619,$B5,'октябрь 2025'!$J$2:$J$2619,K$1)</f>
        <v>0</v>
      </c>
      <c r="L5" s="76">
        <f>SUMIFS('октябрь 2025'!$G$2:$G$2619,'октябрь 2025'!$D$2:$D$2619,$B5,'октябрь 2025'!$J$2:$J$2619,L$1)</f>
        <v>0</v>
      </c>
      <c r="M5" s="76">
        <f>SUMIFS('октябрь 2025'!$G$2:$G$2619,'октябрь 2025'!$D$2:$D$2619,$B5,'октябрь 2025'!$J$2:$J$2619,M$1)</f>
        <v>0</v>
      </c>
      <c r="N5" s="76">
        <f>SUMIFS('октябрь 2025'!$G$2:$G$2619,'октябрь 2025'!$D$2:$D$2619,$B5,'октябрь 2025'!$J$2:$J$2619,N$1)</f>
        <v>0</v>
      </c>
      <c r="O5" s="76">
        <f>SUMIFS('октябрь 2025'!$G$2:$G$2619,'октябрь 2025'!$D$2:$D$2619,$B5,'октябрь 2025'!$J$2:$J$2619,O$1)</f>
        <v>0</v>
      </c>
      <c r="P5" s="76">
        <f>SUMIFS('октябрь 2025'!$G$2:$G$2619,'октябрь 2025'!$D$2:$D$2619,$B5,'октябрь 2025'!$J$2:$J$2619,P$1)</f>
        <v>0</v>
      </c>
      <c r="Q5" s="76">
        <f>SUMIFS('октябрь 2025'!$G$2:$G$2619,'октябрь 2025'!$D$2:$D$2619,$B5,'октябрь 2025'!$J$2:$J$2619,Q$1)</f>
        <v>0</v>
      </c>
      <c r="R5" s="76">
        <f>SUMIFS('октябрь 2025'!$G$2:$G$2619,'октябрь 2025'!$D$2:$D$2619,$B5,'октябрь 2025'!$J$2:$J$2619,R$1)</f>
        <v>0</v>
      </c>
      <c r="S5" s="76">
        <f>SUMIFS('октябрь 2025'!$G$2:$G$2619,'октябрь 2025'!$D$2:$D$2619,$B5,'октябрь 2025'!$J$2:$J$2619,S$1)</f>
        <v>0</v>
      </c>
      <c r="T5" s="76">
        <f>SUMIFS('октябрь 2025'!$G$2:$G$2619,'октябрь 2025'!$D$2:$D$2619,$B5,'октябрь 2025'!$J$2:$J$2619,T$1)</f>
        <v>0</v>
      </c>
      <c r="U5" s="76">
        <f>SUMIFS('октябрь 2025'!$G$2:$G$2619,'октябрь 2025'!$D$2:$D$2619,$B5,'октябрь 2025'!$J$2:$J$2619,U$1)</f>
        <v>0</v>
      </c>
      <c r="V5" s="76">
        <f>SUMIFS('октябрь 2025'!$G$2:$G$2619,'октябрь 2025'!$D$2:$D$2619,$B5,'октябрь 2025'!$J$2:$J$2619,V$1)</f>
        <v>0</v>
      </c>
      <c r="W5" s="76">
        <f>SUMIFS('октябрь 2025'!$G$2:$G$2619,'октябрь 2025'!$D$2:$D$2619,$B5,'октябрь 2025'!$J$2:$J$2619,W$1)</f>
        <v>0</v>
      </c>
      <c r="X5" s="76">
        <f>SUMIFS('октябрь 2025'!$G$2:$G$2619,'октябрь 2025'!$D$2:$D$2619,$B5,'октябрь 2025'!$J$2:$J$2619,X$1)</f>
        <v>0</v>
      </c>
      <c r="Y5" s="76">
        <f>SUMIFS('октябрь 2025'!$G$2:$G$2619,'октябрь 2025'!$D$2:$D$2619,$B5,'октябрь 2025'!$J$2:$J$2619,Y$1)</f>
        <v>0</v>
      </c>
      <c r="Z5" s="76">
        <f>SUMIFS('октябрь 2025'!$G$2:$G$2619,'октябрь 2025'!$D$2:$D$2619,$B5,'октябрь 2025'!$J$2:$J$2619,Z$1)</f>
        <v>0</v>
      </c>
      <c r="AA5" s="76">
        <f>SUMIFS('октябрь 2025'!$G$2:$G$2619,'октябрь 2025'!$D$2:$D$2619,$B5,'октябрь 2025'!$J$2:$J$2619,AA$1)</f>
        <v>0</v>
      </c>
      <c r="AB5" s="76">
        <f>SUMIFS('октябрь 2025'!$G$2:$G$2619,'октябрь 2025'!$D$2:$D$2619,$B5,'октябрь 2025'!$J$2:$J$2619,AB$1)</f>
        <v>0</v>
      </c>
      <c r="AC5" s="76">
        <f>SUMIFS('октябрь 2025'!$G$2:$G$2619,'октябрь 2025'!$D$2:$D$2619,$B5,'октябрь 2025'!$J$2:$J$2619,AC$1)</f>
        <v>0</v>
      </c>
      <c r="AD5" s="76">
        <f>SUMIFS('октябрь 2025'!$G$2:$G$2619,'октябрь 2025'!$D$2:$D$2619,$B5,'октябрь 2025'!$J$2:$J$2619,AD$1)</f>
        <v>0</v>
      </c>
      <c r="AE5" s="76">
        <f>SUMIFS('октябрь 2025'!$G$2:$G$2619,'октябрь 2025'!$D$2:$D$2619,$B5,'октябрь 2025'!$J$2:$J$2619,AE$1)</f>
        <v>0</v>
      </c>
      <c r="AF5" s="76">
        <f>SUMIFS('октябрь 2025'!$G$2:$G$2619,'октябрь 2025'!$D$2:$D$2619,$B5,'октябрь 2025'!$J$2:$J$2619,AF$1)</f>
        <v>0</v>
      </c>
      <c r="AG5" s="76">
        <f>SUMIFS('октябрь 2025'!$G$2:$G$2619,'октябрь 2025'!$D$2:$D$2619,$B5,'октябрь 2025'!$J$2:$J$2619,AG$1)</f>
        <v>0</v>
      </c>
      <c r="AH5" s="76">
        <f>SUMIFS('октябрь 2025'!$G$2:$G$2619,'октябрь 2025'!$D$2:$D$2619,$B5,'октябрь 2025'!$J$2:$J$2619,AH$1)</f>
        <v>0</v>
      </c>
      <c r="AI5" s="20">
        <f t="shared" si="1"/>
        <v>0</v>
      </c>
    </row>
    <row r="6" spans="2:35" ht="15" customHeight="1" x14ac:dyDescent="0.25">
      <c r="B6" s="77" t="s">
        <v>216</v>
      </c>
      <c r="C6" s="78">
        <v>25</v>
      </c>
      <c r="D6" s="76">
        <f>SUMIFS('октябрь 2025'!$G$2:$G$2619,'октябрь 2025'!$D$2:$D$2619,$B6,'октябрь 2025'!$J$2:$J$2619,D$1)</f>
        <v>0</v>
      </c>
      <c r="E6" s="76">
        <f>SUMIFS('октябрь 2025'!$G$2:$G$2619,'октябрь 2025'!$D$2:$D$2619,$B6,'октябрь 2025'!$J$2:$J$2619,E$1)</f>
        <v>0</v>
      </c>
      <c r="F6" s="76">
        <f>SUMIFS('октябрь 2025'!$G$2:$G$2619,'октябрь 2025'!$D$2:$D$2619,$B6,'октябрь 2025'!$J$2:$J$2619,F$1)</f>
        <v>0</v>
      </c>
      <c r="G6" s="76">
        <f>SUMIFS('октябрь 2025'!$G$2:$G$2619,'октябрь 2025'!$D$2:$D$2619,$B6,'октябрь 2025'!$J$2:$J$2619,G$1)</f>
        <v>0</v>
      </c>
      <c r="H6" s="76">
        <f>SUMIFS('октябрь 2025'!$G$2:$G$2619,'октябрь 2025'!$D$2:$D$2619,$B6,'октябрь 2025'!$J$2:$J$2619,H$1)</f>
        <v>0</v>
      </c>
      <c r="I6" s="76">
        <f>SUMIFS('октябрь 2025'!$G$2:$G$2619,'октябрь 2025'!$D$2:$D$2619,$B6,'октябрь 2025'!$J$2:$J$2619,I$1)</f>
        <v>0</v>
      </c>
      <c r="J6" s="76">
        <f>SUMIFS('октябрь 2025'!$G$2:$G$2619,'октябрь 2025'!$D$2:$D$2619,$B6,'октябрь 2025'!$J$2:$J$2619,J$1)</f>
        <v>0</v>
      </c>
      <c r="K6" s="76">
        <f>SUMIFS('октябрь 2025'!$G$2:$G$2619,'октябрь 2025'!$D$2:$D$2619,$B6,'октябрь 2025'!$J$2:$J$2619,K$1)</f>
        <v>0</v>
      </c>
      <c r="L6" s="76">
        <f>SUMIFS('октябрь 2025'!$G$2:$G$2619,'октябрь 2025'!$D$2:$D$2619,$B6,'октябрь 2025'!$J$2:$J$2619,L$1)</f>
        <v>0</v>
      </c>
      <c r="M6" s="76">
        <f>SUMIFS('октябрь 2025'!$G$2:$G$2619,'октябрь 2025'!$D$2:$D$2619,$B6,'октябрь 2025'!$J$2:$J$2619,M$1)</f>
        <v>0</v>
      </c>
      <c r="N6" s="76">
        <f>SUMIFS('октябрь 2025'!$G$2:$G$2619,'октябрь 2025'!$D$2:$D$2619,$B6,'октябрь 2025'!$J$2:$J$2619,N$1)</f>
        <v>0</v>
      </c>
      <c r="O6" s="76">
        <f>SUMIFS('октябрь 2025'!$G$2:$G$2619,'октябрь 2025'!$D$2:$D$2619,$B6,'октябрь 2025'!$J$2:$J$2619,O$1)</f>
        <v>0</v>
      </c>
      <c r="P6" s="76">
        <f>SUMIFS('октябрь 2025'!$G$2:$G$2619,'октябрь 2025'!$D$2:$D$2619,$B6,'октябрь 2025'!$J$2:$J$2619,P$1)</f>
        <v>0</v>
      </c>
      <c r="Q6" s="76">
        <f>SUMIFS('октябрь 2025'!$G$2:$G$2619,'октябрь 2025'!$D$2:$D$2619,$B6,'октябрь 2025'!$J$2:$J$2619,Q$1)</f>
        <v>0</v>
      </c>
      <c r="R6" s="76">
        <f>SUMIFS('октябрь 2025'!$G$2:$G$2619,'октябрь 2025'!$D$2:$D$2619,$B6,'октябрь 2025'!$J$2:$J$2619,R$1)</f>
        <v>0</v>
      </c>
      <c r="S6" s="76">
        <f>SUMIFS('октябрь 2025'!$G$2:$G$2619,'октябрь 2025'!$D$2:$D$2619,$B6,'октябрь 2025'!$J$2:$J$2619,S$1)</f>
        <v>0</v>
      </c>
      <c r="T6" s="76">
        <f>SUMIFS('октябрь 2025'!$G$2:$G$2619,'октябрь 2025'!$D$2:$D$2619,$B6,'октябрь 2025'!$J$2:$J$2619,T$1)</f>
        <v>0</v>
      </c>
      <c r="U6" s="76">
        <f>SUMIFS('октябрь 2025'!$G$2:$G$2619,'октябрь 2025'!$D$2:$D$2619,$B6,'октябрь 2025'!$J$2:$J$2619,U$1)</f>
        <v>0</v>
      </c>
      <c r="V6" s="76">
        <f>SUMIFS('октябрь 2025'!$G$2:$G$2619,'октябрь 2025'!$D$2:$D$2619,$B6,'октябрь 2025'!$J$2:$J$2619,V$1)</f>
        <v>0</v>
      </c>
      <c r="W6" s="76">
        <f>SUMIFS('октябрь 2025'!$G$2:$G$2619,'октябрь 2025'!$D$2:$D$2619,$B6,'октябрь 2025'!$J$2:$J$2619,W$1)</f>
        <v>0</v>
      </c>
      <c r="X6" s="76">
        <f>SUMIFS('октябрь 2025'!$G$2:$G$2619,'октябрь 2025'!$D$2:$D$2619,$B6,'октябрь 2025'!$J$2:$J$2619,X$1)</f>
        <v>0</v>
      </c>
      <c r="Y6" s="76">
        <f>SUMIFS('октябрь 2025'!$G$2:$G$2619,'октябрь 2025'!$D$2:$D$2619,$B6,'октябрь 2025'!$J$2:$J$2619,Y$1)</f>
        <v>0</v>
      </c>
      <c r="Z6" s="76">
        <f>SUMIFS('октябрь 2025'!$G$2:$G$2619,'октябрь 2025'!$D$2:$D$2619,$B6,'октябрь 2025'!$J$2:$J$2619,Z$1)</f>
        <v>0</v>
      </c>
      <c r="AA6" s="76">
        <f>SUMIFS('октябрь 2025'!$G$2:$G$2619,'октябрь 2025'!$D$2:$D$2619,$B6,'октябрь 2025'!$J$2:$J$2619,AA$1)</f>
        <v>0</v>
      </c>
      <c r="AB6" s="76">
        <f>SUMIFS('октябрь 2025'!$G$2:$G$2619,'октябрь 2025'!$D$2:$D$2619,$B6,'октябрь 2025'!$J$2:$J$2619,AB$1)</f>
        <v>0</v>
      </c>
      <c r="AC6" s="76">
        <f>SUMIFS('октябрь 2025'!$G$2:$G$2619,'октябрь 2025'!$D$2:$D$2619,$B6,'октябрь 2025'!$J$2:$J$2619,AC$1)</f>
        <v>0</v>
      </c>
      <c r="AD6" s="76">
        <f>SUMIFS('октябрь 2025'!$G$2:$G$2619,'октябрь 2025'!$D$2:$D$2619,$B6,'октябрь 2025'!$J$2:$J$2619,AD$1)</f>
        <v>0</v>
      </c>
      <c r="AE6" s="76">
        <f>SUMIFS('октябрь 2025'!$G$2:$G$2619,'октябрь 2025'!$D$2:$D$2619,$B6,'октябрь 2025'!$J$2:$J$2619,AE$1)</f>
        <v>0</v>
      </c>
      <c r="AF6" s="76">
        <f>SUMIFS('октябрь 2025'!$G$2:$G$2619,'октябрь 2025'!$D$2:$D$2619,$B6,'октябрь 2025'!$J$2:$J$2619,AF$1)</f>
        <v>0</v>
      </c>
      <c r="AG6" s="76">
        <f>SUMIFS('октябрь 2025'!$G$2:$G$2619,'октябрь 2025'!$D$2:$D$2619,$B6,'октябрь 2025'!$J$2:$J$2619,AG$1)</f>
        <v>0</v>
      </c>
      <c r="AH6" s="76">
        <f>SUMIFS('октябрь 2025'!$G$2:$G$2619,'октябрь 2025'!$D$2:$D$2619,$B6,'октябрь 2025'!$J$2:$J$2619,AH$1)</f>
        <v>0</v>
      </c>
      <c r="AI6" s="20">
        <f t="shared" si="1"/>
        <v>0</v>
      </c>
    </row>
    <row r="7" spans="2:35" ht="15" customHeight="1" x14ac:dyDescent="0.25">
      <c r="B7" s="77" t="s">
        <v>218</v>
      </c>
      <c r="C7" s="78">
        <v>22.7</v>
      </c>
      <c r="D7" s="76">
        <f>SUMIFS('октябрь 2025'!$G$2:$G$2619,'октябрь 2025'!$D$2:$D$2619,$B7,'октябрь 2025'!$J$2:$J$2619,D$1)</f>
        <v>0</v>
      </c>
      <c r="E7" s="76">
        <f>SUMIFS('октябрь 2025'!$G$2:$G$2619,'октябрь 2025'!$D$2:$D$2619,$B7,'октябрь 2025'!$J$2:$J$2619,E$1)</f>
        <v>0</v>
      </c>
      <c r="F7" s="76">
        <f>SUMIFS('октябрь 2025'!$G$2:$G$2619,'октябрь 2025'!$D$2:$D$2619,$B7,'октябрь 2025'!$J$2:$J$2619,F$1)</f>
        <v>0</v>
      </c>
      <c r="G7" s="76">
        <f>SUMIFS('октябрь 2025'!$G$2:$G$2619,'октябрь 2025'!$D$2:$D$2619,$B7,'октябрь 2025'!$J$2:$J$2619,G$1)</f>
        <v>0</v>
      </c>
      <c r="H7" s="76">
        <f>SUMIFS('октябрь 2025'!$G$2:$G$2619,'октябрь 2025'!$D$2:$D$2619,$B7,'октябрь 2025'!$J$2:$J$2619,H$1)</f>
        <v>0</v>
      </c>
      <c r="I7" s="76">
        <f>SUMIFS('октябрь 2025'!$G$2:$G$2619,'октябрь 2025'!$D$2:$D$2619,$B7,'октябрь 2025'!$J$2:$J$2619,I$1)</f>
        <v>0</v>
      </c>
      <c r="J7" s="76">
        <f>SUMIFS('октябрь 2025'!$G$2:$G$2619,'октябрь 2025'!$D$2:$D$2619,$B7,'октябрь 2025'!$J$2:$J$2619,J$1)</f>
        <v>0</v>
      </c>
      <c r="K7" s="76">
        <f>SUMIFS('октябрь 2025'!$G$2:$G$2619,'октябрь 2025'!$D$2:$D$2619,$B7,'октябрь 2025'!$J$2:$J$2619,K$1)</f>
        <v>0</v>
      </c>
      <c r="L7" s="76">
        <f>SUMIFS('октябрь 2025'!$G$2:$G$2619,'октябрь 2025'!$D$2:$D$2619,$B7,'октябрь 2025'!$J$2:$J$2619,L$1)</f>
        <v>0</v>
      </c>
      <c r="M7" s="76">
        <f>SUMIFS('октябрь 2025'!$G$2:$G$2619,'октябрь 2025'!$D$2:$D$2619,$B7,'октябрь 2025'!$J$2:$J$2619,M$1)</f>
        <v>0</v>
      </c>
      <c r="N7" s="76">
        <f>SUMIFS('октябрь 2025'!$G$2:$G$2619,'октябрь 2025'!$D$2:$D$2619,$B7,'октябрь 2025'!$J$2:$J$2619,N$1)</f>
        <v>0</v>
      </c>
      <c r="O7" s="76">
        <f>SUMIFS('октябрь 2025'!$G$2:$G$2619,'октябрь 2025'!$D$2:$D$2619,$B7,'октябрь 2025'!$J$2:$J$2619,O$1)</f>
        <v>0</v>
      </c>
      <c r="P7" s="76">
        <f>SUMIFS('октябрь 2025'!$G$2:$G$2619,'октябрь 2025'!$D$2:$D$2619,$B7,'октябрь 2025'!$J$2:$J$2619,P$1)</f>
        <v>0</v>
      </c>
      <c r="Q7" s="76">
        <f>SUMIFS('октябрь 2025'!$G$2:$G$2619,'октябрь 2025'!$D$2:$D$2619,$B7,'октябрь 2025'!$J$2:$J$2619,Q$1)</f>
        <v>0</v>
      </c>
      <c r="R7" s="76">
        <f>SUMIFS('октябрь 2025'!$G$2:$G$2619,'октябрь 2025'!$D$2:$D$2619,$B7,'октябрь 2025'!$J$2:$J$2619,R$1)</f>
        <v>0</v>
      </c>
      <c r="S7" s="76">
        <f>SUMIFS('октябрь 2025'!$G$2:$G$2619,'октябрь 2025'!$D$2:$D$2619,$B7,'октябрь 2025'!$J$2:$J$2619,S$1)</f>
        <v>0</v>
      </c>
      <c r="T7" s="76">
        <f>SUMIFS('октябрь 2025'!$G$2:$G$2619,'октябрь 2025'!$D$2:$D$2619,$B7,'октябрь 2025'!$J$2:$J$2619,T$1)</f>
        <v>0</v>
      </c>
      <c r="U7" s="76">
        <f>SUMIFS('октябрь 2025'!$G$2:$G$2619,'октябрь 2025'!$D$2:$D$2619,$B7,'октябрь 2025'!$J$2:$J$2619,U$1)</f>
        <v>0</v>
      </c>
      <c r="V7" s="76">
        <f>SUMIFS('октябрь 2025'!$G$2:$G$2619,'октябрь 2025'!$D$2:$D$2619,$B7,'октябрь 2025'!$J$2:$J$2619,V$1)</f>
        <v>0</v>
      </c>
      <c r="W7" s="76">
        <f>SUMIFS('октябрь 2025'!$G$2:$G$2619,'октябрь 2025'!$D$2:$D$2619,$B7,'октябрь 2025'!$J$2:$J$2619,W$1)</f>
        <v>0</v>
      </c>
      <c r="X7" s="76">
        <f>SUMIFS('октябрь 2025'!$G$2:$G$2619,'октябрь 2025'!$D$2:$D$2619,$B7,'октябрь 2025'!$J$2:$J$2619,X$1)</f>
        <v>0</v>
      </c>
      <c r="Y7" s="76">
        <f>SUMIFS('октябрь 2025'!$G$2:$G$2619,'октябрь 2025'!$D$2:$D$2619,$B7,'октябрь 2025'!$J$2:$J$2619,Y$1)</f>
        <v>0</v>
      </c>
      <c r="Z7" s="76">
        <f>SUMIFS('октябрь 2025'!$G$2:$G$2619,'октябрь 2025'!$D$2:$D$2619,$B7,'октябрь 2025'!$J$2:$J$2619,Z$1)</f>
        <v>0</v>
      </c>
      <c r="AA7" s="76">
        <f>SUMIFS('октябрь 2025'!$G$2:$G$2619,'октябрь 2025'!$D$2:$D$2619,$B7,'октябрь 2025'!$J$2:$J$2619,AA$1)</f>
        <v>0</v>
      </c>
      <c r="AB7" s="76">
        <f>SUMIFS('октябрь 2025'!$G$2:$G$2619,'октябрь 2025'!$D$2:$D$2619,$B7,'октябрь 2025'!$J$2:$J$2619,AB$1)</f>
        <v>0</v>
      </c>
      <c r="AC7" s="76">
        <f>SUMIFS('октябрь 2025'!$G$2:$G$2619,'октябрь 2025'!$D$2:$D$2619,$B7,'октябрь 2025'!$J$2:$J$2619,AC$1)</f>
        <v>0</v>
      </c>
      <c r="AD7" s="76">
        <f>SUMIFS('октябрь 2025'!$G$2:$G$2619,'октябрь 2025'!$D$2:$D$2619,$B7,'октябрь 2025'!$J$2:$J$2619,AD$1)</f>
        <v>0</v>
      </c>
      <c r="AE7" s="76">
        <f>SUMIFS('октябрь 2025'!$G$2:$G$2619,'октябрь 2025'!$D$2:$D$2619,$B7,'октябрь 2025'!$J$2:$J$2619,AE$1)</f>
        <v>0</v>
      </c>
      <c r="AF7" s="76">
        <f>SUMIFS('октябрь 2025'!$G$2:$G$2619,'октябрь 2025'!$D$2:$D$2619,$B7,'октябрь 2025'!$J$2:$J$2619,AF$1)</f>
        <v>0</v>
      </c>
      <c r="AG7" s="76">
        <f>SUMIFS('октябрь 2025'!$G$2:$G$2619,'октябрь 2025'!$D$2:$D$2619,$B7,'октябрь 2025'!$J$2:$J$2619,AG$1)</f>
        <v>0</v>
      </c>
      <c r="AH7" s="76">
        <f>SUMIFS('октябрь 2025'!$G$2:$G$2619,'октябрь 2025'!$D$2:$D$2619,$B7,'октябрь 2025'!$J$2:$J$2619,AH$1)</f>
        <v>0</v>
      </c>
      <c r="AI7" s="20">
        <f t="shared" si="1"/>
        <v>0</v>
      </c>
    </row>
    <row r="8" spans="2:35" ht="15" customHeight="1" x14ac:dyDescent="0.25">
      <c r="B8" s="77" t="s">
        <v>220</v>
      </c>
      <c r="C8" s="78">
        <v>22.7</v>
      </c>
      <c r="D8" s="76">
        <f>SUMIFS('октябрь 2025'!$G$2:$G$2619,'октябрь 2025'!$D$2:$D$2619,$B8,'октябрь 2025'!$J$2:$J$2619,D$1)</f>
        <v>0</v>
      </c>
      <c r="E8" s="76">
        <f>SUMIFS('октябрь 2025'!$G$2:$G$2619,'октябрь 2025'!$D$2:$D$2619,$B8,'октябрь 2025'!$J$2:$J$2619,E$1)</f>
        <v>0</v>
      </c>
      <c r="F8" s="76">
        <f>SUMIFS('октябрь 2025'!$G$2:$G$2619,'октябрь 2025'!$D$2:$D$2619,$B8,'октябрь 2025'!$J$2:$J$2619,F$1)</f>
        <v>0</v>
      </c>
      <c r="G8" s="76">
        <f>SUMIFS('октябрь 2025'!$G$2:$G$2619,'октябрь 2025'!$D$2:$D$2619,$B8,'октябрь 2025'!$J$2:$J$2619,G$1)</f>
        <v>0</v>
      </c>
      <c r="H8" s="76">
        <f>SUMIFS('октябрь 2025'!$G$2:$G$2619,'октябрь 2025'!$D$2:$D$2619,$B8,'октябрь 2025'!$J$2:$J$2619,H$1)</f>
        <v>0</v>
      </c>
      <c r="I8" s="76">
        <f>SUMIFS('октябрь 2025'!$G$2:$G$2619,'октябрь 2025'!$D$2:$D$2619,$B8,'октябрь 2025'!$J$2:$J$2619,I$1)</f>
        <v>0</v>
      </c>
      <c r="J8" s="76">
        <f>SUMIFS('октябрь 2025'!$G$2:$G$2619,'октябрь 2025'!$D$2:$D$2619,$B8,'октябрь 2025'!$J$2:$J$2619,J$1)</f>
        <v>0</v>
      </c>
      <c r="K8" s="76">
        <f>SUMIFS('октябрь 2025'!$G$2:$G$2619,'октябрь 2025'!$D$2:$D$2619,$B8,'октябрь 2025'!$J$2:$J$2619,K$1)</f>
        <v>0</v>
      </c>
      <c r="L8" s="76">
        <f>SUMIFS('октябрь 2025'!$G$2:$G$2619,'октябрь 2025'!$D$2:$D$2619,$B8,'октябрь 2025'!$J$2:$J$2619,L$1)</f>
        <v>0</v>
      </c>
      <c r="M8" s="76">
        <f>SUMIFS('октябрь 2025'!$G$2:$G$2619,'октябрь 2025'!$D$2:$D$2619,$B8,'октябрь 2025'!$J$2:$J$2619,M$1)</f>
        <v>0</v>
      </c>
      <c r="N8" s="76">
        <f>SUMIFS('октябрь 2025'!$G$2:$G$2619,'октябрь 2025'!$D$2:$D$2619,$B8,'октябрь 2025'!$J$2:$J$2619,N$1)</f>
        <v>0</v>
      </c>
      <c r="O8" s="76">
        <f>SUMIFS('октябрь 2025'!$G$2:$G$2619,'октябрь 2025'!$D$2:$D$2619,$B8,'октябрь 2025'!$J$2:$J$2619,O$1)</f>
        <v>0</v>
      </c>
      <c r="P8" s="76">
        <f>SUMIFS('октябрь 2025'!$G$2:$G$2619,'октябрь 2025'!$D$2:$D$2619,$B8,'октябрь 2025'!$J$2:$J$2619,P$1)</f>
        <v>0</v>
      </c>
      <c r="Q8" s="76">
        <f>SUMIFS('октябрь 2025'!$G$2:$G$2619,'октябрь 2025'!$D$2:$D$2619,$B8,'октябрь 2025'!$J$2:$J$2619,Q$1)</f>
        <v>0</v>
      </c>
      <c r="R8" s="76">
        <f>SUMIFS('октябрь 2025'!$G$2:$G$2619,'октябрь 2025'!$D$2:$D$2619,$B8,'октябрь 2025'!$J$2:$J$2619,R$1)</f>
        <v>0</v>
      </c>
      <c r="S8" s="76">
        <f>SUMIFS('октябрь 2025'!$G$2:$G$2619,'октябрь 2025'!$D$2:$D$2619,$B8,'октябрь 2025'!$J$2:$J$2619,S$1)</f>
        <v>0</v>
      </c>
      <c r="T8" s="76">
        <f>SUMIFS('октябрь 2025'!$G$2:$G$2619,'октябрь 2025'!$D$2:$D$2619,$B8,'октябрь 2025'!$J$2:$J$2619,T$1)</f>
        <v>0</v>
      </c>
      <c r="U8" s="76">
        <f>SUMIFS('октябрь 2025'!$G$2:$G$2619,'октябрь 2025'!$D$2:$D$2619,$B8,'октябрь 2025'!$J$2:$J$2619,U$1)</f>
        <v>0</v>
      </c>
      <c r="V8" s="76">
        <f>SUMIFS('октябрь 2025'!$G$2:$G$2619,'октябрь 2025'!$D$2:$D$2619,$B8,'октябрь 2025'!$J$2:$J$2619,V$1)</f>
        <v>0</v>
      </c>
      <c r="W8" s="76">
        <f>SUMIFS('октябрь 2025'!$G$2:$G$2619,'октябрь 2025'!$D$2:$D$2619,$B8,'октябрь 2025'!$J$2:$J$2619,W$1)</f>
        <v>0</v>
      </c>
      <c r="X8" s="76">
        <f>SUMIFS('октябрь 2025'!$G$2:$G$2619,'октябрь 2025'!$D$2:$D$2619,$B8,'октябрь 2025'!$J$2:$J$2619,X$1)</f>
        <v>0</v>
      </c>
      <c r="Y8" s="76">
        <f>SUMIFS('октябрь 2025'!$G$2:$G$2619,'октябрь 2025'!$D$2:$D$2619,$B8,'октябрь 2025'!$J$2:$J$2619,Y$1)</f>
        <v>0</v>
      </c>
      <c r="Z8" s="76">
        <f>SUMIFS('октябрь 2025'!$G$2:$G$2619,'октябрь 2025'!$D$2:$D$2619,$B8,'октябрь 2025'!$J$2:$J$2619,Z$1)</f>
        <v>0</v>
      </c>
      <c r="AA8" s="76">
        <f>SUMIFS('октябрь 2025'!$G$2:$G$2619,'октябрь 2025'!$D$2:$D$2619,$B8,'октябрь 2025'!$J$2:$J$2619,AA$1)</f>
        <v>0</v>
      </c>
      <c r="AB8" s="76">
        <f>SUMIFS('октябрь 2025'!$G$2:$G$2619,'октябрь 2025'!$D$2:$D$2619,$B8,'октябрь 2025'!$J$2:$J$2619,AB$1)</f>
        <v>0</v>
      </c>
      <c r="AC8" s="76">
        <f>SUMIFS('октябрь 2025'!$G$2:$G$2619,'октябрь 2025'!$D$2:$D$2619,$B8,'октябрь 2025'!$J$2:$J$2619,AC$1)</f>
        <v>0</v>
      </c>
      <c r="AD8" s="76">
        <f>SUMIFS('октябрь 2025'!$G$2:$G$2619,'октябрь 2025'!$D$2:$D$2619,$B8,'октябрь 2025'!$J$2:$J$2619,AD$1)</f>
        <v>0</v>
      </c>
      <c r="AE8" s="76">
        <f>SUMIFS('октябрь 2025'!$G$2:$G$2619,'октябрь 2025'!$D$2:$D$2619,$B8,'октябрь 2025'!$J$2:$J$2619,AE$1)</f>
        <v>0</v>
      </c>
      <c r="AF8" s="76">
        <f>SUMIFS('октябрь 2025'!$G$2:$G$2619,'октябрь 2025'!$D$2:$D$2619,$B8,'октябрь 2025'!$J$2:$J$2619,AF$1)</f>
        <v>0</v>
      </c>
      <c r="AG8" s="76">
        <f>SUMIFS('октябрь 2025'!$G$2:$G$2619,'октябрь 2025'!$D$2:$D$2619,$B8,'октябрь 2025'!$J$2:$J$2619,AG$1)</f>
        <v>0</v>
      </c>
      <c r="AH8" s="76">
        <f>SUMIFS('октябрь 2025'!$G$2:$G$2619,'октябрь 2025'!$D$2:$D$2619,$B8,'октябрь 2025'!$J$2:$J$2619,AH$1)</f>
        <v>0</v>
      </c>
      <c r="AI8" s="20">
        <f t="shared" si="1"/>
        <v>0</v>
      </c>
    </row>
    <row r="9" spans="2:35" ht="15" customHeight="1" x14ac:dyDescent="0.25">
      <c r="B9" s="79" t="s">
        <v>222</v>
      </c>
      <c r="C9" s="78">
        <v>25</v>
      </c>
      <c r="D9" s="76">
        <f>SUMIFS('октябрь 2025'!$G$2:$G$2619,'октябрь 2025'!$D$2:$D$2619,$B9,'октябрь 2025'!$J$2:$J$2619,D$1)</f>
        <v>0</v>
      </c>
      <c r="E9" s="76">
        <f>SUMIFS('октябрь 2025'!$G$2:$G$2619,'октябрь 2025'!$D$2:$D$2619,$B9,'октябрь 2025'!$J$2:$J$2619,E$1)</f>
        <v>0</v>
      </c>
      <c r="F9" s="76">
        <f>SUMIFS('октябрь 2025'!$G$2:$G$2619,'октябрь 2025'!$D$2:$D$2619,$B9,'октябрь 2025'!$J$2:$J$2619,F$1)</f>
        <v>800</v>
      </c>
      <c r="G9" s="76">
        <f>SUMIFS('октябрь 2025'!$G$2:$G$2619,'октябрь 2025'!$D$2:$D$2619,$B9,'октябрь 2025'!$J$2:$J$2619,G$1)</f>
        <v>0</v>
      </c>
      <c r="H9" s="76">
        <f>SUMIFS('октябрь 2025'!$G$2:$G$2619,'октябрь 2025'!$D$2:$D$2619,$B9,'октябрь 2025'!$J$2:$J$2619,H$1)</f>
        <v>0</v>
      </c>
      <c r="I9" s="76">
        <f>SUMIFS('октябрь 2025'!$G$2:$G$2619,'октябрь 2025'!$D$2:$D$2619,$B9,'октябрь 2025'!$J$2:$J$2619,I$1)</f>
        <v>0</v>
      </c>
      <c r="J9" s="76">
        <f>SUMIFS('октябрь 2025'!$G$2:$G$2619,'октябрь 2025'!$D$2:$D$2619,$B9,'октябрь 2025'!$J$2:$J$2619,J$1)</f>
        <v>0</v>
      </c>
      <c r="K9" s="76">
        <f>SUMIFS('октябрь 2025'!$G$2:$G$2619,'октябрь 2025'!$D$2:$D$2619,$B9,'октябрь 2025'!$J$2:$J$2619,K$1)</f>
        <v>0</v>
      </c>
      <c r="L9" s="76">
        <f>SUMIFS('октябрь 2025'!$G$2:$G$2619,'октябрь 2025'!$D$2:$D$2619,$B9,'октябрь 2025'!$J$2:$J$2619,L$1)</f>
        <v>0</v>
      </c>
      <c r="M9" s="76">
        <f>SUMIFS('октябрь 2025'!$G$2:$G$2619,'октябрь 2025'!$D$2:$D$2619,$B9,'октябрь 2025'!$J$2:$J$2619,M$1)</f>
        <v>0</v>
      </c>
      <c r="N9" s="76">
        <f>SUMIFS('октябрь 2025'!$G$2:$G$2619,'октябрь 2025'!$D$2:$D$2619,$B9,'октябрь 2025'!$J$2:$J$2619,N$1)</f>
        <v>0</v>
      </c>
      <c r="O9" s="76">
        <f>SUMIFS('октябрь 2025'!$G$2:$G$2619,'октябрь 2025'!$D$2:$D$2619,$B9,'октябрь 2025'!$J$2:$J$2619,O$1)</f>
        <v>0</v>
      </c>
      <c r="P9" s="76">
        <f>SUMIFS('октябрь 2025'!$G$2:$G$2619,'октябрь 2025'!$D$2:$D$2619,$B9,'октябрь 2025'!$J$2:$J$2619,P$1)</f>
        <v>0</v>
      </c>
      <c r="Q9" s="76">
        <f>SUMIFS('октябрь 2025'!$G$2:$G$2619,'октябрь 2025'!$D$2:$D$2619,$B9,'октябрь 2025'!$J$2:$J$2619,Q$1)</f>
        <v>0</v>
      </c>
      <c r="R9" s="76">
        <f>SUMIFS('октябрь 2025'!$G$2:$G$2619,'октябрь 2025'!$D$2:$D$2619,$B9,'октябрь 2025'!$J$2:$J$2619,R$1)</f>
        <v>0</v>
      </c>
      <c r="S9" s="76">
        <f>SUMIFS('октябрь 2025'!$G$2:$G$2619,'октябрь 2025'!$D$2:$D$2619,$B9,'октябрь 2025'!$J$2:$J$2619,S$1)</f>
        <v>0</v>
      </c>
      <c r="T9" s="76">
        <f>SUMIFS('октябрь 2025'!$G$2:$G$2619,'октябрь 2025'!$D$2:$D$2619,$B9,'октябрь 2025'!$J$2:$J$2619,T$1)</f>
        <v>0</v>
      </c>
      <c r="U9" s="76">
        <f>SUMIFS('октябрь 2025'!$G$2:$G$2619,'октябрь 2025'!$D$2:$D$2619,$B9,'октябрь 2025'!$J$2:$J$2619,U$1)</f>
        <v>0</v>
      </c>
      <c r="V9" s="76">
        <f>SUMIFS('октябрь 2025'!$G$2:$G$2619,'октябрь 2025'!$D$2:$D$2619,$B9,'октябрь 2025'!$J$2:$J$2619,V$1)</f>
        <v>0</v>
      </c>
      <c r="W9" s="76">
        <f>SUMIFS('октябрь 2025'!$G$2:$G$2619,'октябрь 2025'!$D$2:$D$2619,$B9,'октябрь 2025'!$J$2:$J$2619,W$1)</f>
        <v>0</v>
      </c>
      <c r="X9" s="76">
        <f>SUMIFS('октябрь 2025'!$G$2:$G$2619,'октябрь 2025'!$D$2:$D$2619,$B9,'октябрь 2025'!$J$2:$J$2619,X$1)</f>
        <v>0</v>
      </c>
      <c r="Y9" s="76">
        <f>SUMIFS('октябрь 2025'!$G$2:$G$2619,'октябрь 2025'!$D$2:$D$2619,$B9,'октябрь 2025'!$J$2:$J$2619,Y$1)</f>
        <v>0</v>
      </c>
      <c r="Z9" s="76">
        <f>SUMIFS('октябрь 2025'!$G$2:$G$2619,'октябрь 2025'!$D$2:$D$2619,$B9,'октябрь 2025'!$J$2:$J$2619,Z$1)</f>
        <v>0</v>
      </c>
      <c r="AA9" s="76">
        <f>SUMIFS('октябрь 2025'!$G$2:$G$2619,'октябрь 2025'!$D$2:$D$2619,$B9,'октябрь 2025'!$J$2:$J$2619,AA$1)</f>
        <v>0</v>
      </c>
      <c r="AB9" s="76">
        <f>SUMIFS('октябрь 2025'!$G$2:$G$2619,'октябрь 2025'!$D$2:$D$2619,$B9,'октябрь 2025'!$J$2:$J$2619,AB$1)</f>
        <v>0</v>
      </c>
      <c r="AC9" s="76">
        <f>SUMIFS('октябрь 2025'!$G$2:$G$2619,'октябрь 2025'!$D$2:$D$2619,$B9,'октябрь 2025'!$J$2:$J$2619,AC$1)</f>
        <v>0</v>
      </c>
      <c r="AD9" s="76">
        <f>SUMIFS('октябрь 2025'!$G$2:$G$2619,'октябрь 2025'!$D$2:$D$2619,$B9,'октябрь 2025'!$J$2:$J$2619,AD$1)</f>
        <v>0</v>
      </c>
      <c r="AE9" s="76">
        <f>SUMIFS('октябрь 2025'!$G$2:$G$2619,'октябрь 2025'!$D$2:$D$2619,$B9,'октябрь 2025'!$J$2:$J$2619,AE$1)</f>
        <v>0</v>
      </c>
      <c r="AF9" s="76">
        <f>SUMIFS('октябрь 2025'!$G$2:$G$2619,'октябрь 2025'!$D$2:$D$2619,$B9,'октябрь 2025'!$J$2:$J$2619,AF$1)</f>
        <v>0</v>
      </c>
      <c r="AG9" s="76">
        <f>SUMIFS('октябрь 2025'!$G$2:$G$2619,'октябрь 2025'!$D$2:$D$2619,$B9,'октябрь 2025'!$J$2:$J$2619,AG$1)</f>
        <v>0</v>
      </c>
      <c r="AH9" s="76">
        <f>SUMIFS('октябрь 2025'!$G$2:$G$2619,'октябрь 2025'!$D$2:$D$2619,$B9,'октябрь 2025'!$J$2:$J$2619,AH$1)</f>
        <v>0</v>
      </c>
      <c r="AI9" s="20">
        <f t="shared" si="1"/>
        <v>800</v>
      </c>
    </row>
    <row r="10" spans="2:35" ht="15" customHeight="1" x14ac:dyDescent="0.25">
      <c r="B10" s="77" t="s">
        <v>224</v>
      </c>
      <c r="C10" s="78">
        <v>25</v>
      </c>
      <c r="D10" s="76">
        <f>SUMIFS('октябрь 2025'!$G$2:$G$2619,'октябрь 2025'!$D$2:$D$2619,$B10,'октябрь 2025'!$J$2:$J$2619,D$1)</f>
        <v>0</v>
      </c>
      <c r="E10" s="76">
        <f>SUMIFS('октябрь 2025'!$G$2:$G$2619,'октябрь 2025'!$D$2:$D$2619,$B10,'октябрь 2025'!$J$2:$J$2619,E$1)</f>
        <v>0</v>
      </c>
      <c r="F10" s="76">
        <f>SUMIFS('октябрь 2025'!$G$2:$G$2619,'октябрь 2025'!$D$2:$D$2619,$B10,'октябрь 2025'!$J$2:$J$2619,F$1)</f>
        <v>0</v>
      </c>
      <c r="G10" s="76">
        <f>SUMIFS('октябрь 2025'!$G$2:$G$2619,'октябрь 2025'!$D$2:$D$2619,$B10,'октябрь 2025'!$J$2:$J$2619,G$1)</f>
        <v>0</v>
      </c>
      <c r="H10" s="76">
        <f>SUMIFS('октябрь 2025'!$G$2:$G$2619,'октябрь 2025'!$D$2:$D$2619,$B10,'октябрь 2025'!$J$2:$J$2619,H$1)</f>
        <v>0</v>
      </c>
      <c r="I10" s="76">
        <f>SUMIFS('октябрь 2025'!$G$2:$G$2619,'октябрь 2025'!$D$2:$D$2619,$B10,'октябрь 2025'!$J$2:$J$2619,I$1)</f>
        <v>0</v>
      </c>
      <c r="J10" s="76">
        <f>SUMIFS('октябрь 2025'!$G$2:$G$2619,'октябрь 2025'!$D$2:$D$2619,$B10,'октябрь 2025'!$J$2:$J$2619,J$1)</f>
        <v>0</v>
      </c>
      <c r="K10" s="76">
        <f>SUMIFS('октябрь 2025'!$G$2:$G$2619,'октябрь 2025'!$D$2:$D$2619,$B10,'октябрь 2025'!$J$2:$J$2619,K$1)</f>
        <v>0</v>
      </c>
      <c r="L10" s="76">
        <f>SUMIFS('октябрь 2025'!$G$2:$G$2619,'октябрь 2025'!$D$2:$D$2619,$B10,'октябрь 2025'!$J$2:$J$2619,L$1)</f>
        <v>0</v>
      </c>
      <c r="M10" s="76">
        <f>SUMIFS('октябрь 2025'!$G$2:$G$2619,'октябрь 2025'!$D$2:$D$2619,$B10,'октябрь 2025'!$J$2:$J$2619,M$1)</f>
        <v>0</v>
      </c>
      <c r="N10" s="76">
        <f>SUMIFS('октябрь 2025'!$G$2:$G$2619,'октябрь 2025'!$D$2:$D$2619,$B10,'октябрь 2025'!$J$2:$J$2619,N$1)</f>
        <v>0</v>
      </c>
      <c r="O10" s="76">
        <f>SUMIFS('октябрь 2025'!$G$2:$G$2619,'октябрь 2025'!$D$2:$D$2619,$B10,'октябрь 2025'!$J$2:$J$2619,O$1)</f>
        <v>0</v>
      </c>
      <c r="P10" s="76">
        <f>SUMIFS('октябрь 2025'!$G$2:$G$2619,'октябрь 2025'!$D$2:$D$2619,$B10,'октябрь 2025'!$J$2:$J$2619,P$1)</f>
        <v>0</v>
      </c>
      <c r="Q10" s="76">
        <f>SUMIFS('октябрь 2025'!$G$2:$G$2619,'октябрь 2025'!$D$2:$D$2619,$B10,'октябрь 2025'!$J$2:$J$2619,Q$1)</f>
        <v>0</v>
      </c>
      <c r="R10" s="76">
        <f>SUMIFS('октябрь 2025'!$G$2:$G$2619,'октябрь 2025'!$D$2:$D$2619,$B10,'октябрь 2025'!$J$2:$J$2619,R$1)</f>
        <v>0</v>
      </c>
      <c r="S10" s="76">
        <f>SUMIFS('октябрь 2025'!$G$2:$G$2619,'октябрь 2025'!$D$2:$D$2619,$B10,'октябрь 2025'!$J$2:$J$2619,S$1)</f>
        <v>0</v>
      </c>
      <c r="T10" s="76">
        <f>SUMIFS('октябрь 2025'!$G$2:$G$2619,'октябрь 2025'!$D$2:$D$2619,$B10,'октябрь 2025'!$J$2:$J$2619,T$1)</f>
        <v>0</v>
      </c>
      <c r="U10" s="76">
        <f>SUMIFS('октябрь 2025'!$G$2:$G$2619,'октябрь 2025'!$D$2:$D$2619,$B10,'октябрь 2025'!$J$2:$J$2619,U$1)</f>
        <v>0</v>
      </c>
      <c r="V10" s="76">
        <f>SUMIFS('октябрь 2025'!$G$2:$G$2619,'октябрь 2025'!$D$2:$D$2619,$B10,'октябрь 2025'!$J$2:$J$2619,V$1)</f>
        <v>0</v>
      </c>
      <c r="W10" s="76">
        <f>SUMIFS('октябрь 2025'!$G$2:$G$2619,'октябрь 2025'!$D$2:$D$2619,$B10,'октябрь 2025'!$J$2:$J$2619,W$1)</f>
        <v>0</v>
      </c>
      <c r="X10" s="76">
        <f>SUMIFS('октябрь 2025'!$G$2:$G$2619,'октябрь 2025'!$D$2:$D$2619,$B10,'октябрь 2025'!$J$2:$J$2619,X$1)</f>
        <v>0</v>
      </c>
      <c r="Y10" s="76">
        <f>SUMIFS('октябрь 2025'!$G$2:$G$2619,'октябрь 2025'!$D$2:$D$2619,$B10,'октябрь 2025'!$J$2:$J$2619,Y$1)</f>
        <v>0</v>
      </c>
      <c r="Z10" s="76">
        <f>SUMIFS('октябрь 2025'!$G$2:$G$2619,'октябрь 2025'!$D$2:$D$2619,$B10,'октябрь 2025'!$J$2:$J$2619,Z$1)</f>
        <v>0</v>
      </c>
      <c r="AA10" s="76">
        <f>SUMIFS('октябрь 2025'!$G$2:$G$2619,'октябрь 2025'!$D$2:$D$2619,$B10,'октябрь 2025'!$J$2:$J$2619,AA$1)</f>
        <v>0</v>
      </c>
      <c r="AB10" s="76">
        <f>SUMIFS('октябрь 2025'!$G$2:$G$2619,'октябрь 2025'!$D$2:$D$2619,$B10,'октябрь 2025'!$J$2:$J$2619,AB$1)</f>
        <v>0</v>
      </c>
      <c r="AC10" s="76">
        <f>SUMIFS('октябрь 2025'!$G$2:$G$2619,'октябрь 2025'!$D$2:$D$2619,$B10,'октябрь 2025'!$J$2:$J$2619,AC$1)</f>
        <v>0</v>
      </c>
      <c r="AD10" s="76">
        <f>SUMIFS('октябрь 2025'!$G$2:$G$2619,'октябрь 2025'!$D$2:$D$2619,$B10,'октябрь 2025'!$J$2:$J$2619,AD$1)</f>
        <v>0</v>
      </c>
      <c r="AE10" s="76">
        <f>SUMIFS('октябрь 2025'!$G$2:$G$2619,'октябрь 2025'!$D$2:$D$2619,$B10,'октябрь 2025'!$J$2:$J$2619,AE$1)</f>
        <v>0</v>
      </c>
      <c r="AF10" s="76">
        <f>SUMIFS('октябрь 2025'!$G$2:$G$2619,'октябрь 2025'!$D$2:$D$2619,$B10,'октябрь 2025'!$J$2:$J$2619,AF$1)</f>
        <v>0</v>
      </c>
      <c r="AG10" s="76">
        <f>SUMIFS('октябрь 2025'!$G$2:$G$2619,'октябрь 2025'!$D$2:$D$2619,$B10,'октябрь 2025'!$J$2:$J$2619,AG$1)</f>
        <v>0</v>
      </c>
      <c r="AH10" s="76">
        <f>SUMIFS('октябрь 2025'!$G$2:$G$2619,'октябрь 2025'!$D$2:$D$2619,$B10,'октябрь 2025'!$J$2:$J$2619,AH$1)</f>
        <v>0</v>
      </c>
      <c r="AI10" s="20">
        <f t="shared" si="1"/>
        <v>0</v>
      </c>
    </row>
    <row r="11" spans="2:35" ht="15" customHeight="1" x14ac:dyDescent="0.25">
      <c r="B11" s="77" t="s">
        <v>226</v>
      </c>
      <c r="C11" s="78">
        <v>25</v>
      </c>
      <c r="D11" s="76">
        <f>SUMIFS('октябрь 2025'!$G$2:$G$2619,'октябрь 2025'!$D$2:$D$2619,$B11,'октябрь 2025'!$J$2:$J$2619,D$1)</f>
        <v>800</v>
      </c>
      <c r="E11" s="76">
        <f>SUMIFS('октябрь 2025'!$G$2:$G$2619,'октябрь 2025'!$D$2:$D$2619,$B11,'октябрь 2025'!$J$2:$J$2619,E$1)</f>
        <v>0</v>
      </c>
      <c r="F11" s="76">
        <f>SUMIFS('октябрь 2025'!$G$2:$G$2619,'октябрь 2025'!$D$2:$D$2619,$B11,'октябрь 2025'!$J$2:$J$2619,F$1)</f>
        <v>160</v>
      </c>
      <c r="G11" s="76">
        <f>SUMIFS('октябрь 2025'!$G$2:$G$2619,'октябрь 2025'!$D$2:$D$2619,$B11,'октябрь 2025'!$J$2:$J$2619,G$1)</f>
        <v>0</v>
      </c>
      <c r="H11" s="76">
        <f>SUMIFS('октябрь 2025'!$G$2:$G$2619,'октябрь 2025'!$D$2:$D$2619,$B11,'октябрь 2025'!$J$2:$J$2619,H$1)</f>
        <v>0</v>
      </c>
      <c r="I11" s="76">
        <f>SUMIFS('октябрь 2025'!$G$2:$G$2619,'октябрь 2025'!$D$2:$D$2619,$B11,'октябрь 2025'!$J$2:$J$2619,I$1)</f>
        <v>1600</v>
      </c>
      <c r="J11" s="76">
        <f>SUMIFS('октябрь 2025'!$G$2:$G$2619,'октябрь 2025'!$D$2:$D$2619,$B11,'октябрь 2025'!$J$2:$J$2619,J$1)</f>
        <v>1600</v>
      </c>
      <c r="K11" s="76">
        <f>SUMIFS('октябрь 2025'!$G$2:$G$2619,'октябрь 2025'!$D$2:$D$2619,$B11,'октябрь 2025'!$J$2:$J$2619,K$1)</f>
        <v>0</v>
      </c>
      <c r="L11" s="76">
        <f>SUMIFS('октябрь 2025'!$G$2:$G$2619,'октябрь 2025'!$D$2:$D$2619,$B11,'октябрь 2025'!$J$2:$J$2619,L$1)</f>
        <v>0</v>
      </c>
      <c r="M11" s="76">
        <f>SUMIFS('октябрь 2025'!$G$2:$G$2619,'октябрь 2025'!$D$2:$D$2619,$B11,'октябрь 2025'!$J$2:$J$2619,M$1)</f>
        <v>1000</v>
      </c>
      <c r="N11" s="76">
        <f>SUMIFS('октябрь 2025'!$G$2:$G$2619,'октябрь 2025'!$D$2:$D$2619,$B11,'октябрь 2025'!$J$2:$J$2619,N$1)</f>
        <v>0</v>
      </c>
      <c r="O11" s="76">
        <f>SUMIFS('октябрь 2025'!$G$2:$G$2619,'октябрь 2025'!$D$2:$D$2619,$B11,'октябрь 2025'!$J$2:$J$2619,O$1)</f>
        <v>0</v>
      </c>
      <c r="P11" s="76">
        <f>SUMIFS('октябрь 2025'!$G$2:$G$2619,'октябрь 2025'!$D$2:$D$2619,$B11,'октябрь 2025'!$J$2:$J$2619,P$1)</f>
        <v>0</v>
      </c>
      <c r="Q11" s="76">
        <f>SUMIFS('октябрь 2025'!$G$2:$G$2619,'октябрь 2025'!$D$2:$D$2619,$B11,'октябрь 2025'!$J$2:$J$2619,Q$1)</f>
        <v>0</v>
      </c>
      <c r="R11" s="76">
        <f>SUMIFS('октябрь 2025'!$G$2:$G$2619,'октябрь 2025'!$D$2:$D$2619,$B11,'октябрь 2025'!$J$2:$J$2619,R$1)</f>
        <v>0</v>
      </c>
      <c r="S11" s="76">
        <f>SUMIFS('октябрь 2025'!$G$2:$G$2619,'октябрь 2025'!$D$2:$D$2619,$B11,'октябрь 2025'!$J$2:$J$2619,S$1)</f>
        <v>0</v>
      </c>
      <c r="T11" s="76">
        <f>SUMIFS('октябрь 2025'!$G$2:$G$2619,'октябрь 2025'!$D$2:$D$2619,$B11,'октябрь 2025'!$J$2:$J$2619,T$1)</f>
        <v>0</v>
      </c>
      <c r="U11" s="76">
        <f>SUMIFS('октябрь 2025'!$G$2:$G$2619,'октябрь 2025'!$D$2:$D$2619,$B11,'октябрь 2025'!$J$2:$J$2619,U$1)</f>
        <v>0</v>
      </c>
      <c r="V11" s="76">
        <f>SUMIFS('октябрь 2025'!$G$2:$G$2619,'октябрь 2025'!$D$2:$D$2619,$B11,'октябрь 2025'!$J$2:$J$2619,V$1)</f>
        <v>0</v>
      </c>
      <c r="W11" s="76">
        <f>SUMIFS('октябрь 2025'!$G$2:$G$2619,'октябрь 2025'!$D$2:$D$2619,$B11,'октябрь 2025'!$J$2:$J$2619,W$1)</f>
        <v>800</v>
      </c>
      <c r="X11" s="76">
        <f>SUMIFS('октябрь 2025'!$G$2:$G$2619,'октябрь 2025'!$D$2:$D$2619,$B11,'октябрь 2025'!$J$2:$J$2619,X$1)</f>
        <v>1280</v>
      </c>
      <c r="Y11" s="76">
        <f>SUMIFS('октябрь 2025'!$G$2:$G$2619,'октябрь 2025'!$D$2:$D$2619,$B11,'октябрь 2025'!$J$2:$J$2619,Y$1)</f>
        <v>0</v>
      </c>
      <c r="Z11" s="76">
        <f>SUMIFS('октябрь 2025'!$G$2:$G$2619,'октябрь 2025'!$D$2:$D$2619,$B11,'октябрь 2025'!$J$2:$J$2619,Z$1)</f>
        <v>0</v>
      </c>
      <c r="AA11" s="76">
        <f>SUMIFS('октябрь 2025'!$G$2:$G$2619,'октябрь 2025'!$D$2:$D$2619,$B11,'октябрь 2025'!$J$2:$J$2619,AA$1)</f>
        <v>0</v>
      </c>
      <c r="AB11" s="76">
        <f>SUMIFS('октябрь 2025'!$G$2:$G$2619,'октябрь 2025'!$D$2:$D$2619,$B11,'октябрь 2025'!$J$2:$J$2619,AB$1)</f>
        <v>0</v>
      </c>
      <c r="AC11" s="76">
        <f>SUMIFS('октябрь 2025'!$G$2:$G$2619,'октябрь 2025'!$D$2:$D$2619,$B11,'октябрь 2025'!$J$2:$J$2619,AC$1)</f>
        <v>0</v>
      </c>
      <c r="AD11" s="76">
        <f>SUMIFS('октябрь 2025'!$G$2:$G$2619,'октябрь 2025'!$D$2:$D$2619,$B11,'октябрь 2025'!$J$2:$J$2619,AD$1)</f>
        <v>320</v>
      </c>
      <c r="AE11" s="76">
        <f>SUMIFS('октябрь 2025'!$G$2:$G$2619,'октябрь 2025'!$D$2:$D$2619,$B11,'октябрь 2025'!$J$2:$J$2619,AE$1)</f>
        <v>800</v>
      </c>
      <c r="AF11" s="76">
        <f>SUMIFS('октябрь 2025'!$G$2:$G$2619,'октябрь 2025'!$D$2:$D$2619,$B11,'октябрь 2025'!$J$2:$J$2619,AF$1)</f>
        <v>0</v>
      </c>
      <c r="AG11" s="76">
        <f>SUMIFS('октябрь 2025'!$G$2:$G$2619,'октябрь 2025'!$D$2:$D$2619,$B11,'октябрь 2025'!$J$2:$J$2619,AG$1)</f>
        <v>0</v>
      </c>
      <c r="AH11" s="76">
        <f>SUMIFS('октябрь 2025'!$G$2:$G$2619,'октябрь 2025'!$D$2:$D$2619,$B11,'октябрь 2025'!$J$2:$J$2619,AH$1)</f>
        <v>0</v>
      </c>
      <c r="AI11" s="20">
        <f t="shared" si="1"/>
        <v>8360</v>
      </c>
    </row>
    <row r="12" spans="2:35" ht="15" customHeight="1" x14ac:dyDescent="0.25">
      <c r="B12" s="80" t="s">
        <v>228</v>
      </c>
      <c r="C12" s="81">
        <v>22.68</v>
      </c>
      <c r="D12" s="76">
        <f>SUMIFS('октябрь 2025'!$G$2:$G$2619,'октябрь 2025'!$D$2:$D$2619,$B12,'октябрь 2025'!$J$2:$J$2619,D$1)</f>
        <v>0</v>
      </c>
      <c r="E12" s="76">
        <f>SUMIFS('октябрь 2025'!$G$2:$G$2619,'октябрь 2025'!$D$2:$D$2619,$B12,'октябрь 2025'!$J$2:$J$2619,E$1)</f>
        <v>0</v>
      </c>
      <c r="F12" s="76">
        <f>SUMIFS('октябрь 2025'!$G$2:$G$2619,'октябрь 2025'!$D$2:$D$2619,$B12,'октябрь 2025'!$J$2:$J$2619,F$1)</f>
        <v>0</v>
      </c>
      <c r="G12" s="76">
        <f>SUMIFS('октябрь 2025'!$G$2:$G$2619,'октябрь 2025'!$D$2:$D$2619,$B12,'октябрь 2025'!$J$2:$J$2619,G$1)</f>
        <v>0</v>
      </c>
      <c r="H12" s="76">
        <f>SUMIFS('октябрь 2025'!$G$2:$G$2619,'октябрь 2025'!$D$2:$D$2619,$B12,'октябрь 2025'!$J$2:$J$2619,H$1)</f>
        <v>0</v>
      </c>
      <c r="I12" s="76">
        <f>SUMIFS('октябрь 2025'!$G$2:$G$2619,'октябрь 2025'!$D$2:$D$2619,$B12,'октябрь 2025'!$J$2:$J$2619,I$1)</f>
        <v>0</v>
      </c>
      <c r="J12" s="76">
        <f>SUMIFS('октябрь 2025'!$G$2:$G$2619,'октябрь 2025'!$D$2:$D$2619,$B12,'октябрь 2025'!$J$2:$J$2619,J$1)</f>
        <v>0</v>
      </c>
      <c r="K12" s="76">
        <f>SUMIFS('октябрь 2025'!$G$2:$G$2619,'октябрь 2025'!$D$2:$D$2619,$B12,'октябрь 2025'!$J$2:$J$2619,K$1)</f>
        <v>0</v>
      </c>
      <c r="L12" s="76">
        <f>SUMIFS('октябрь 2025'!$G$2:$G$2619,'октябрь 2025'!$D$2:$D$2619,$B12,'октябрь 2025'!$J$2:$J$2619,L$1)</f>
        <v>0</v>
      </c>
      <c r="M12" s="76">
        <f>SUMIFS('октябрь 2025'!$G$2:$G$2619,'октябрь 2025'!$D$2:$D$2619,$B12,'октябрь 2025'!$J$2:$J$2619,M$1)</f>
        <v>0</v>
      </c>
      <c r="N12" s="76">
        <f>SUMIFS('октябрь 2025'!$G$2:$G$2619,'октябрь 2025'!$D$2:$D$2619,$B12,'октябрь 2025'!$J$2:$J$2619,N$1)</f>
        <v>0</v>
      </c>
      <c r="O12" s="76">
        <f>SUMIFS('октябрь 2025'!$G$2:$G$2619,'октябрь 2025'!$D$2:$D$2619,$B12,'октябрь 2025'!$J$2:$J$2619,O$1)</f>
        <v>0</v>
      </c>
      <c r="P12" s="76">
        <f>SUMIFS('октябрь 2025'!$G$2:$G$2619,'октябрь 2025'!$D$2:$D$2619,$B12,'октябрь 2025'!$J$2:$J$2619,P$1)</f>
        <v>0</v>
      </c>
      <c r="Q12" s="76">
        <f>SUMIFS('октябрь 2025'!$G$2:$G$2619,'октябрь 2025'!$D$2:$D$2619,$B12,'октябрь 2025'!$J$2:$J$2619,Q$1)</f>
        <v>0</v>
      </c>
      <c r="R12" s="76">
        <f>SUMIFS('октябрь 2025'!$G$2:$G$2619,'октябрь 2025'!$D$2:$D$2619,$B12,'октябрь 2025'!$J$2:$J$2619,R$1)</f>
        <v>0</v>
      </c>
      <c r="S12" s="76">
        <f>SUMIFS('октябрь 2025'!$G$2:$G$2619,'октябрь 2025'!$D$2:$D$2619,$B12,'октябрь 2025'!$J$2:$J$2619,S$1)</f>
        <v>0</v>
      </c>
      <c r="T12" s="76">
        <f>SUMIFS('октябрь 2025'!$G$2:$G$2619,'октябрь 2025'!$D$2:$D$2619,$B12,'октябрь 2025'!$J$2:$J$2619,T$1)</f>
        <v>0</v>
      </c>
      <c r="U12" s="76">
        <f>SUMIFS('октябрь 2025'!$G$2:$G$2619,'октябрь 2025'!$D$2:$D$2619,$B12,'октябрь 2025'!$J$2:$J$2619,U$1)</f>
        <v>0</v>
      </c>
      <c r="V12" s="76">
        <f>SUMIFS('октябрь 2025'!$G$2:$G$2619,'октябрь 2025'!$D$2:$D$2619,$B12,'октябрь 2025'!$J$2:$J$2619,V$1)</f>
        <v>0</v>
      </c>
      <c r="W12" s="76">
        <f>SUMIFS('октябрь 2025'!$G$2:$G$2619,'октябрь 2025'!$D$2:$D$2619,$B12,'октябрь 2025'!$J$2:$J$2619,W$1)</f>
        <v>0</v>
      </c>
      <c r="X12" s="76">
        <f>SUMIFS('октябрь 2025'!$G$2:$G$2619,'октябрь 2025'!$D$2:$D$2619,$B12,'октябрь 2025'!$J$2:$J$2619,X$1)</f>
        <v>0</v>
      </c>
      <c r="Y12" s="76">
        <f>SUMIFS('октябрь 2025'!$G$2:$G$2619,'октябрь 2025'!$D$2:$D$2619,$B12,'октябрь 2025'!$J$2:$J$2619,Y$1)</f>
        <v>0</v>
      </c>
      <c r="Z12" s="76">
        <f>SUMIFS('октябрь 2025'!$G$2:$G$2619,'октябрь 2025'!$D$2:$D$2619,$B12,'октябрь 2025'!$J$2:$J$2619,Z$1)</f>
        <v>0</v>
      </c>
      <c r="AA12" s="76">
        <f>SUMIFS('октябрь 2025'!$G$2:$G$2619,'октябрь 2025'!$D$2:$D$2619,$B12,'октябрь 2025'!$J$2:$J$2619,AA$1)</f>
        <v>0</v>
      </c>
      <c r="AB12" s="76">
        <f>SUMIFS('октябрь 2025'!$G$2:$G$2619,'октябрь 2025'!$D$2:$D$2619,$B12,'октябрь 2025'!$J$2:$J$2619,AB$1)</f>
        <v>0</v>
      </c>
      <c r="AC12" s="76">
        <f>SUMIFS('октябрь 2025'!$G$2:$G$2619,'октябрь 2025'!$D$2:$D$2619,$B12,'октябрь 2025'!$J$2:$J$2619,AC$1)</f>
        <v>0</v>
      </c>
      <c r="AD12" s="76">
        <f>SUMIFS('октябрь 2025'!$G$2:$G$2619,'октябрь 2025'!$D$2:$D$2619,$B12,'октябрь 2025'!$J$2:$J$2619,AD$1)</f>
        <v>0</v>
      </c>
      <c r="AE12" s="76">
        <f>SUMIFS('октябрь 2025'!$G$2:$G$2619,'октябрь 2025'!$D$2:$D$2619,$B12,'октябрь 2025'!$J$2:$J$2619,AE$1)</f>
        <v>0</v>
      </c>
      <c r="AF12" s="76">
        <f>SUMIFS('октябрь 2025'!$G$2:$G$2619,'октябрь 2025'!$D$2:$D$2619,$B12,'октябрь 2025'!$J$2:$J$2619,AF$1)</f>
        <v>0</v>
      </c>
      <c r="AG12" s="76">
        <f>SUMIFS('октябрь 2025'!$G$2:$G$2619,'октябрь 2025'!$D$2:$D$2619,$B12,'октябрь 2025'!$J$2:$J$2619,AG$1)</f>
        <v>0</v>
      </c>
      <c r="AH12" s="76">
        <f>SUMIFS('октябрь 2025'!$G$2:$G$2619,'октябрь 2025'!$D$2:$D$2619,$B12,'октябрь 2025'!$J$2:$J$2619,AH$1)</f>
        <v>0</v>
      </c>
      <c r="AI12" s="20">
        <f t="shared" si="1"/>
        <v>0</v>
      </c>
    </row>
    <row r="13" spans="2:35" ht="15" customHeight="1" x14ac:dyDescent="0.25">
      <c r="B13" s="80" t="s">
        <v>328</v>
      </c>
      <c r="C13" s="81">
        <v>22.7</v>
      </c>
      <c r="D13" s="76">
        <f>SUMIFS('октябрь 2025'!$G$2:$G$2619,'октябрь 2025'!$D$2:$D$2619,$B13,'октябрь 2025'!$J$2:$J$2619,D$1)</f>
        <v>0</v>
      </c>
      <c r="E13" s="76">
        <f>SUMIFS('октябрь 2025'!$G$2:$G$2619,'октябрь 2025'!$D$2:$D$2619,$B13,'октябрь 2025'!$J$2:$J$2619,E$1)</f>
        <v>0</v>
      </c>
      <c r="F13" s="76">
        <f>SUMIFS('октябрь 2025'!$G$2:$G$2619,'октябрь 2025'!$D$2:$D$2619,$B13,'октябрь 2025'!$J$2:$J$2619,F$1)</f>
        <v>0</v>
      </c>
      <c r="G13" s="76">
        <f>SUMIFS('октябрь 2025'!$G$2:$G$2619,'октябрь 2025'!$D$2:$D$2619,$B13,'октябрь 2025'!$J$2:$J$2619,G$1)</f>
        <v>0</v>
      </c>
      <c r="H13" s="76">
        <f>SUMIFS('октябрь 2025'!$G$2:$G$2619,'октябрь 2025'!$D$2:$D$2619,$B13,'октябрь 2025'!$J$2:$J$2619,H$1)</f>
        <v>0</v>
      </c>
      <c r="I13" s="76">
        <f>SUMIFS('октябрь 2025'!$G$2:$G$2619,'октябрь 2025'!$D$2:$D$2619,$B13,'октябрь 2025'!$J$2:$J$2619,I$1)</f>
        <v>0</v>
      </c>
      <c r="J13" s="76">
        <f>SUMIFS('октябрь 2025'!$G$2:$G$2619,'октябрь 2025'!$D$2:$D$2619,$B13,'октябрь 2025'!$J$2:$J$2619,J$1)</f>
        <v>0</v>
      </c>
      <c r="K13" s="76">
        <f>SUMIFS('октябрь 2025'!$G$2:$G$2619,'октябрь 2025'!$D$2:$D$2619,$B13,'октябрь 2025'!$J$2:$J$2619,K$1)</f>
        <v>0</v>
      </c>
      <c r="L13" s="76">
        <f>SUMIFS('октябрь 2025'!$G$2:$G$2619,'октябрь 2025'!$D$2:$D$2619,$B13,'октябрь 2025'!$J$2:$J$2619,L$1)</f>
        <v>0</v>
      </c>
      <c r="M13" s="76">
        <f>SUMIFS('октябрь 2025'!$G$2:$G$2619,'октябрь 2025'!$D$2:$D$2619,$B13,'октябрь 2025'!$J$2:$J$2619,M$1)</f>
        <v>0</v>
      </c>
      <c r="N13" s="76">
        <f>SUMIFS('октябрь 2025'!$G$2:$G$2619,'октябрь 2025'!$D$2:$D$2619,$B13,'октябрь 2025'!$J$2:$J$2619,N$1)</f>
        <v>0</v>
      </c>
      <c r="O13" s="76">
        <f>SUMIFS('октябрь 2025'!$G$2:$G$2619,'октябрь 2025'!$D$2:$D$2619,$B13,'октябрь 2025'!$J$2:$J$2619,O$1)</f>
        <v>0</v>
      </c>
      <c r="P13" s="76">
        <f>SUMIFS('октябрь 2025'!$G$2:$G$2619,'октябрь 2025'!$D$2:$D$2619,$B13,'октябрь 2025'!$J$2:$J$2619,P$1)</f>
        <v>0</v>
      </c>
      <c r="Q13" s="76">
        <f>SUMIFS('октябрь 2025'!$G$2:$G$2619,'октябрь 2025'!$D$2:$D$2619,$B13,'октябрь 2025'!$J$2:$J$2619,Q$1)</f>
        <v>0</v>
      </c>
      <c r="R13" s="76">
        <f>SUMIFS('октябрь 2025'!$G$2:$G$2619,'октябрь 2025'!$D$2:$D$2619,$B13,'октябрь 2025'!$J$2:$J$2619,R$1)</f>
        <v>0</v>
      </c>
      <c r="S13" s="76">
        <f>SUMIFS('октябрь 2025'!$G$2:$G$2619,'октябрь 2025'!$D$2:$D$2619,$B13,'октябрь 2025'!$J$2:$J$2619,S$1)</f>
        <v>0</v>
      </c>
      <c r="T13" s="76">
        <f>SUMIFS('октябрь 2025'!$G$2:$G$2619,'октябрь 2025'!$D$2:$D$2619,$B13,'октябрь 2025'!$J$2:$J$2619,T$1)</f>
        <v>0</v>
      </c>
      <c r="U13" s="76">
        <f>SUMIFS('октябрь 2025'!$G$2:$G$2619,'октябрь 2025'!$D$2:$D$2619,$B13,'октябрь 2025'!$J$2:$J$2619,U$1)</f>
        <v>0</v>
      </c>
      <c r="V13" s="76">
        <f>SUMIFS('октябрь 2025'!$G$2:$G$2619,'октябрь 2025'!$D$2:$D$2619,$B13,'октябрь 2025'!$J$2:$J$2619,V$1)</f>
        <v>0</v>
      </c>
      <c r="W13" s="76">
        <f>SUMIFS('октябрь 2025'!$G$2:$G$2619,'октябрь 2025'!$D$2:$D$2619,$B13,'октябрь 2025'!$J$2:$J$2619,W$1)</f>
        <v>0</v>
      </c>
      <c r="X13" s="76">
        <f>SUMIFS('октябрь 2025'!$G$2:$G$2619,'октябрь 2025'!$D$2:$D$2619,$B13,'октябрь 2025'!$J$2:$J$2619,X$1)</f>
        <v>0</v>
      </c>
      <c r="Y13" s="76">
        <f>SUMIFS('октябрь 2025'!$G$2:$G$2619,'октябрь 2025'!$D$2:$D$2619,$B13,'октябрь 2025'!$J$2:$J$2619,Y$1)</f>
        <v>0</v>
      </c>
      <c r="Z13" s="76">
        <f>SUMIFS('октябрь 2025'!$G$2:$G$2619,'октябрь 2025'!$D$2:$D$2619,$B13,'октябрь 2025'!$J$2:$J$2619,Z$1)</f>
        <v>0</v>
      </c>
      <c r="AA13" s="76">
        <f>SUMIFS('октябрь 2025'!$G$2:$G$2619,'октябрь 2025'!$D$2:$D$2619,$B13,'октябрь 2025'!$J$2:$J$2619,AA$1)</f>
        <v>0</v>
      </c>
      <c r="AB13" s="76">
        <f>SUMIFS('октябрь 2025'!$G$2:$G$2619,'октябрь 2025'!$D$2:$D$2619,$B13,'октябрь 2025'!$J$2:$J$2619,AB$1)</f>
        <v>0</v>
      </c>
      <c r="AC13" s="76">
        <f>SUMIFS('октябрь 2025'!$G$2:$G$2619,'октябрь 2025'!$D$2:$D$2619,$B13,'октябрь 2025'!$J$2:$J$2619,AC$1)</f>
        <v>0</v>
      </c>
      <c r="AD13" s="76">
        <f>SUMIFS('октябрь 2025'!$G$2:$G$2619,'октябрь 2025'!$D$2:$D$2619,$B13,'октябрь 2025'!$J$2:$J$2619,AD$1)</f>
        <v>0</v>
      </c>
      <c r="AE13" s="76">
        <f>SUMIFS('октябрь 2025'!$G$2:$G$2619,'октябрь 2025'!$D$2:$D$2619,$B13,'октябрь 2025'!$J$2:$J$2619,AE$1)</f>
        <v>0</v>
      </c>
      <c r="AF13" s="76">
        <f>SUMIFS('октябрь 2025'!$G$2:$G$2619,'октябрь 2025'!$D$2:$D$2619,$B13,'октябрь 2025'!$J$2:$J$2619,AF$1)</f>
        <v>0</v>
      </c>
      <c r="AG13" s="76">
        <f>SUMIFS('октябрь 2025'!$G$2:$G$2619,'октябрь 2025'!$D$2:$D$2619,$B13,'октябрь 2025'!$J$2:$J$2619,AG$1)</f>
        <v>0</v>
      </c>
      <c r="AH13" s="76">
        <f>SUMIFS('октябрь 2025'!$G$2:$G$2619,'октябрь 2025'!$D$2:$D$2619,$B13,'октябрь 2025'!$J$2:$J$2619,AH$1)</f>
        <v>0</v>
      </c>
      <c r="AI13" s="20">
        <f t="shared" si="1"/>
        <v>0</v>
      </c>
    </row>
    <row r="14" spans="2:35" ht="15" customHeight="1" x14ac:dyDescent="0.25">
      <c r="B14" s="80" t="s">
        <v>1732</v>
      </c>
      <c r="C14" s="81">
        <v>25</v>
      </c>
      <c r="D14" s="76">
        <f>SUMIFS('октябрь 2025'!$G$2:$G$2619,'октябрь 2025'!$D$2:$D$2619,$B14,'октябрь 2025'!$J$2:$J$2619,D$1)</f>
        <v>0</v>
      </c>
      <c r="E14" s="76">
        <f>SUMIFS('октябрь 2025'!$G$2:$G$2619,'октябрь 2025'!$D$2:$D$2619,$B14,'октябрь 2025'!$J$2:$J$2619,E$1)</f>
        <v>0</v>
      </c>
      <c r="F14" s="76">
        <f>SUMIFS('октябрь 2025'!$G$2:$G$2619,'октябрь 2025'!$D$2:$D$2619,$B14,'октябрь 2025'!$J$2:$J$2619,F$1)</f>
        <v>0</v>
      </c>
      <c r="G14" s="76">
        <f>SUMIFS('октябрь 2025'!$G$2:$G$2619,'октябрь 2025'!$D$2:$D$2619,$B14,'октябрь 2025'!$J$2:$J$2619,G$1)</f>
        <v>0</v>
      </c>
      <c r="H14" s="76">
        <f>SUMIFS('октябрь 2025'!$G$2:$G$2619,'октябрь 2025'!$D$2:$D$2619,$B14,'октябрь 2025'!$J$2:$J$2619,H$1)</f>
        <v>0</v>
      </c>
      <c r="I14" s="76">
        <f>SUMIFS('октябрь 2025'!$G$2:$G$2619,'октябрь 2025'!$D$2:$D$2619,$B14,'октябрь 2025'!$J$2:$J$2619,I$1)</f>
        <v>0</v>
      </c>
      <c r="J14" s="76">
        <f>SUMIFS('октябрь 2025'!$G$2:$G$2619,'октябрь 2025'!$D$2:$D$2619,$B14,'октябрь 2025'!$J$2:$J$2619,J$1)</f>
        <v>0</v>
      </c>
      <c r="K14" s="76">
        <f>SUMIFS('октябрь 2025'!$G$2:$G$2619,'октябрь 2025'!$D$2:$D$2619,$B14,'октябрь 2025'!$J$2:$J$2619,K$1)</f>
        <v>0</v>
      </c>
      <c r="L14" s="76">
        <f>SUMIFS('октябрь 2025'!$G$2:$G$2619,'октябрь 2025'!$D$2:$D$2619,$B14,'октябрь 2025'!$J$2:$J$2619,L$1)</f>
        <v>0</v>
      </c>
      <c r="M14" s="76">
        <f>SUMIFS('октябрь 2025'!$G$2:$G$2619,'октябрь 2025'!$D$2:$D$2619,$B14,'октябрь 2025'!$J$2:$J$2619,M$1)</f>
        <v>0</v>
      </c>
      <c r="N14" s="76">
        <f>SUMIFS('октябрь 2025'!$G$2:$G$2619,'октябрь 2025'!$D$2:$D$2619,$B14,'октябрь 2025'!$J$2:$J$2619,N$1)</f>
        <v>0</v>
      </c>
      <c r="O14" s="76">
        <f>SUMIFS('октябрь 2025'!$G$2:$G$2619,'октябрь 2025'!$D$2:$D$2619,$B14,'октябрь 2025'!$J$2:$J$2619,O$1)</f>
        <v>0</v>
      </c>
      <c r="P14" s="76">
        <f>SUMIFS('октябрь 2025'!$G$2:$G$2619,'октябрь 2025'!$D$2:$D$2619,$B14,'октябрь 2025'!$J$2:$J$2619,P$1)</f>
        <v>0</v>
      </c>
      <c r="Q14" s="76">
        <f>SUMIFS('октябрь 2025'!$G$2:$G$2619,'октябрь 2025'!$D$2:$D$2619,$B14,'октябрь 2025'!$J$2:$J$2619,Q$1)</f>
        <v>0</v>
      </c>
      <c r="R14" s="76">
        <f>SUMIFS('октябрь 2025'!$G$2:$G$2619,'октябрь 2025'!$D$2:$D$2619,$B14,'октябрь 2025'!$J$2:$J$2619,R$1)</f>
        <v>0</v>
      </c>
      <c r="S14" s="76">
        <f>SUMIFS('октябрь 2025'!$G$2:$G$2619,'октябрь 2025'!$D$2:$D$2619,$B14,'октябрь 2025'!$J$2:$J$2619,S$1)</f>
        <v>0</v>
      </c>
      <c r="T14" s="76">
        <f>SUMIFS('октябрь 2025'!$G$2:$G$2619,'октябрь 2025'!$D$2:$D$2619,$B14,'октябрь 2025'!$J$2:$J$2619,T$1)</f>
        <v>0</v>
      </c>
      <c r="U14" s="76">
        <f>SUMIFS('октябрь 2025'!$G$2:$G$2619,'октябрь 2025'!$D$2:$D$2619,$B14,'октябрь 2025'!$J$2:$J$2619,U$1)</f>
        <v>0</v>
      </c>
      <c r="V14" s="76">
        <f>SUMIFS('октябрь 2025'!$G$2:$G$2619,'октябрь 2025'!$D$2:$D$2619,$B14,'октябрь 2025'!$J$2:$J$2619,V$1)</f>
        <v>0</v>
      </c>
      <c r="W14" s="76">
        <f>SUMIFS('октябрь 2025'!$G$2:$G$2619,'октябрь 2025'!$D$2:$D$2619,$B14,'октябрь 2025'!$J$2:$J$2619,W$1)</f>
        <v>0</v>
      </c>
      <c r="X14" s="76">
        <f>SUMIFS('октябрь 2025'!$G$2:$G$2619,'октябрь 2025'!$D$2:$D$2619,$B14,'октябрь 2025'!$J$2:$J$2619,X$1)</f>
        <v>0</v>
      </c>
      <c r="Y14" s="76">
        <f>SUMIFS('октябрь 2025'!$G$2:$G$2619,'октябрь 2025'!$D$2:$D$2619,$B14,'октябрь 2025'!$J$2:$J$2619,Y$1)</f>
        <v>0</v>
      </c>
      <c r="Z14" s="76">
        <f>SUMIFS('октябрь 2025'!$G$2:$G$2619,'октябрь 2025'!$D$2:$D$2619,$B14,'октябрь 2025'!$J$2:$J$2619,Z$1)</f>
        <v>0</v>
      </c>
      <c r="AA14" s="76">
        <f>SUMIFS('октябрь 2025'!$G$2:$G$2619,'октябрь 2025'!$D$2:$D$2619,$B14,'октябрь 2025'!$J$2:$J$2619,AA$1)</f>
        <v>0</v>
      </c>
      <c r="AB14" s="76">
        <f>SUMIFS('октябрь 2025'!$G$2:$G$2619,'октябрь 2025'!$D$2:$D$2619,$B14,'октябрь 2025'!$J$2:$J$2619,AB$1)</f>
        <v>0</v>
      </c>
      <c r="AC14" s="76">
        <f>SUMIFS('октябрь 2025'!$G$2:$G$2619,'октябрь 2025'!$D$2:$D$2619,$B14,'октябрь 2025'!$J$2:$J$2619,AC$1)</f>
        <v>0</v>
      </c>
      <c r="AD14" s="76">
        <f>SUMIFS('октябрь 2025'!$G$2:$G$2619,'октябрь 2025'!$D$2:$D$2619,$B14,'октябрь 2025'!$J$2:$J$2619,AD$1)</f>
        <v>0</v>
      </c>
      <c r="AE14" s="76">
        <f>SUMIFS('октябрь 2025'!$G$2:$G$2619,'октябрь 2025'!$D$2:$D$2619,$B14,'октябрь 2025'!$J$2:$J$2619,AE$1)</f>
        <v>0</v>
      </c>
      <c r="AF14" s="76">
        <f>SUMIFS('октябрь 2025'!$G$2:$G$2619,'октябрь 2025'!$D$2:$D$2619,$B14,'октябрь 2025'!$J$2:$J$2619,AF$1)</f>
        <v>0</v>
      </c>
      <c r="AG14" s="76">
        <f>SUMIFS('октябрь 2025'!$G$2:$G$2619,'октябрь 2025'!$D$2:$D$2619,$B14,'октябрь 2025'!$J$2:$J$2619,AG$1)</f>
        <v>0</v>
      </c>
      <c r="AH14" s="76">
        <f>SUMIFS('октябрь 2025'!$G$2:$G$2619,'октябрь 2025'!$D$2:$D$2619,$B14,'октябрь 2025'!$J$2:$J$2619,AH$1)</f>
        <v>0</v>
      </c>
      <c r="AI14" s="20">
        <f t="shared" si="1"/>
        <v>0</v>
      </c>
    </row>
    <row r="15" spans="2:35" ht="15" customHeight="1" x14ac:dyDescent="0.25">
      <c r="B15" s="80" t="s">
        <v>302</v>
      </c>
      <c r="C15" s="81">
        <v>25</v>
      </c>
      <c r="D15" s="76">
        <f>SUMIFS('октябрь 2025'!$G$2:$G$2619,'октябрь 2025'!$D$2:$D$2619,$B15,'октябрь 2025'!$J$2:$J$2619,D$1)</f>
        <v>0</v>
      </c>
      <c r="E15" s="76">
        <f>SUMIFS('октябрь 2025'!$G$2:$G$2619,'октябрь 2025'!$D$2:$D$2619,$B15,'октябрь 2025'!$J$2:$J$2619,E$1)</f>
        <v>0</v>
      </c>
      <c r="F15" s="76">
        <f>SUMIFS('октябрь 2025'!$G$2:$G$2619,'октябрь 2025'!$D$2:$D$2619,$B15,'октябрь 2025'!$J$2:$J$2619,F$1)</f>
        <v>0</v>
      </c>
      <c r="G15" s="76">
        <f>SUMIFS('октябрь 2025'!$G$2:$G$2619,'октябрь 2025'!$D$2:$D$2619,$B15,'октябрь 2025'!$J$2:$J$2619,G$1)</f>
        <v>0</v>
      </c>
      <c r="H15" s="76">
        <f>SUMIFS('октябрь 2025'!$G$2:$G$2619,'октябрь 2025'!$D$2:$D$2619,$B15,'октябрь 2025'!$J$2:$J$2619,H$1)</f>
        <v>0</v>
      </c>
      <c r="I15" s="76">
        <f>SUMIFS('октябрь 2025'!$G$2:$G$2619,'октябрь 2025'!$D$2:$D$2619,$B15,'октябрь 2025'!$J$2:$J$2619,I$1)</f>
        <v>0</v>
      </c>
      <c r="J15" s="76">
        <f>SUMIFS('октябрь 2025'!$G$2:$G$2619,'октябрь 2025'!$D$2:$D$2619,$B15,'октябрь 2025'!$J$2:$J$2619,J$1)</f>
        <v>0</v>
      </c>
      <c r="K15" s="76">
        <f>SUMIFS('октябрь 2025'!$G$2:$G$2619,'октябрь 2025'!$D$2:$D$2619,$B15,'октябрь 2025'!$J$2:$J$2619,K$1)</f>
        <v>0</v>
      </c>
      <c r="L15" s="76">
        <f>SUMIFS('октябрь 2025'!$G$2:$G$2619,'октябрь 2025'!$D$2:$D$2619,$B15,'октябрь 2025'!$J$2:$J$2619,L$1)</f>
        <v>0</v>
      </c>
      <c r="M15" s="76">
        <f>SUMIFS('октябрь 2025'!$G$2:$G$2619,'октябрь 2025'!$D$2:$D$2619,$B15,'октябрь 2025'!$J$2:$J$2619,M$1)</f>
        <v>0</v>
      </c>
      <c r="N15" s="76">
        <f>SUMIFS('октябрь 2025'!$G$2:$G$2619,'октябрь 2025'!$D$2:$D$2619,$B15,'октябрь 2025'!$J$2:$J$2619,N$1)</f>
        <v>0</v>
      </c>
      <c r="O15" s="76">
        <f>SUMIFS('октябрь 2025'!$G$2:$G$2619,'октябрь 2025'!$D$2:$D$2619,$B15,'октябрь 2025'!$J$2:$J$2619,O$1)</f>
        <v>0</v>
      </c>
      <c r="P15" s="76">
        <f>SUMIFS('октябрь 2025'!$G$2:$G$2619,'октябрь 2025'!$D$2:$D$2619,$B15,'октябрь 2025'!$J$2:$J$2619,P$1)</f>
        <v>0</v>
      </c>
      <c r="Q15" s="76">
        <f>SUMIFS('октябрь 2025'!$G$2:$G$2619,'октябрь 2025'!$D$2:$D$2619,$B15,'октябрь 2025'!$J$2:$J$2619,Q$1)</f>
        <v>0</v>
      </c>
      <c r="R15" s="76">
        <f>SUMIFS('октябрь 2025'!$G$2:$G$2619,'октябрь 2025'!$D$2:$D$2619,$B15,'октябрь 2025'!$J$2:$J$2619,R$1)</f>
        <v>0</v>
      </c>
      <c r="S15" s="76">
        <f>SUMIFS('октябрь 2025'!$G$2:$G$2619,'октябрь 2025'!$D$2:$D$2619,$B15,'октябрь 2025'!$J$2:$J$2619,S$1)</f>
        <v>0</v>
      </c>
      <c r="T15" s="76">
        <f>SUMIFS('октябрь 2025'!$G$2:$G$2619,'октябрь 2025'!$D$2:$D$2619,$B15,'октябрь 2025'!$J$2:$J$2619,T$1)</f>
        <v>0</v>
      </c>
      <c r="U15" s="76">
        <f>SUMIFS('октябрь 2025'!$G$2:$G$2619,'октябрь 2025'!$D$2:$D$2619,$B15,'октябрь 2025'!$J$2:$J$2619,U$1)</f>
        <v>0</v>
      </c>
      <c r="V15" s="76">
        <f>SUMIFS('октябрь 2025'!$G$2:$G$2619,'октябрь 2025'!$D$2:$D$2619,$B15,'октябрь 2025'!$J$2:$J$2619,V$1)</f>
        <v>0</v>
      </c>
      <c r="W15" s="76">
        <f>SUMIFS('октябрь 2025'!$G$2:$G$2619,'октябрь 2025'!$D$2:$D$2619,$B15,'октябрь 2025'!$J$2:$J$2619,W$1)</f>
        <v>0</v>
      </c>
      <c r="X15" s="76">
        <f>SUMIFS('октябрь 2025'!$G$2:$G$2619,'октябрь 2025'!$D$2:$D$2619,$B15,'октябрь 2025'!$J$2:$J$2619,X$1)</f>
        <v>0</v>
      </c>
      <c r="Y15" s="76">
        <f>SUMIFS('октябрь 2025'!$G$2:$G$2619,'октябрь 2025'!$D$2:$D$2619,$B15,'октябрь 2025'!$J$2:$J$2619,Y$1)</f>
        <v>0</v>
      </c>
      <c r="Z15" s="76">
        <f>SUMIFS('октябрь 2025'!$G$2:$G$2619,'октябрь 2025'!$D$2:$D$2619,$B15,'октябрь 2025'!$J$2:$J$2619,Z$1)</f>
        <v>0</v>
      </c>
      <c r="AA15" s="76">
        <f>SUMIFS('октябрь 2025'!$G$2:$G$2619,'октябрь 2025'!$D$2:$D$2619,$B15,'октябрь 2025'!$J$2:$J$2619,AA$1)</f>
        <v>0</v>
      </c>
      <c r="AB15" s="76">
        <f>SUMIFS('октябрь 2025'!$G$2:$G$2619,'октябрь 2025'!$D$2:$D$2619,$B15,'октябрь 2025'!$J$2:$J$2619,AB$1)</f>
        <v>0</v>
      </c>
      <c r="AC15" s="76">
        <f>SUMIFS('октябрь 2025'!$G$2:$G$2619,'октябрь 2025'!$D$2:$D$2619,$B15,'октябрь 2025'!$J$2:$J$2619,AC$1)</f>
        <v>0</v>
      </c>
      <c r="AD15" s="76">
        <f>SUMIFS('октябрь 2025'!$G$2:$G$2619,'октябрь 2025'!$D$2:$D$2619,$B15,'октябрь 2025'!$J$2:$J$2619,AD$1)</f>
        <v>0</v>
      </c>
      <c r="AE15" s="76">
        <f>SUMIFS('октябрь 2025'!$G$2:$G$2619,'октябрь 2025'!$D$2:$D$2619,$B15,'октябрь 2025'!$J$2:$J$2619,AE$1)</f>
        <v>0</v>
      </c>
      <c r="AF15" s="76">
        <f>SUMIFS('октябрь 2025'!$G$2:$G$2619,'октябрь 2025'!$D$2:$D$2619,$B15,'октябрь 2025'!$J$2:$J$2619,AF$1)</f>
        <v>0</v>
      </c>
      <c r="AG15" s="76">
        <f>SUMIFS('октябрь 2025'!$G$2:$G$2619,'октябрь 2025'!$D$2:$D$2619,$B15,'октябрь 2025'!$J$2:$J$2619,AG$1)</f>
        <v>0</v>
      </c>
      <c r="AH15" s="76">
        <f>SUMIFS('октябрь 2025'!$G$2:$G$2619,'октябрь 2025'!$D$2:$D$2619,$B15,'октябрь 2025'!$J$2:$J$2619,AH$1)</f>
        <v>0</v>
      </c>
      <c r="AI15" s="20">
        <f t="shared" si="1"/>
        <v>0</v>
      </c>
    </row>
    <row r="16" spans="2:35" ht="15" customHeight="1" x14ac:dyDescent="0.25">
      <c r="B16" s="80" t="s">
        <v>306</v>
      </c>
      <c r="C16" s="81">
        <v>25</v>
      </c>
      <c r="D16" s="76">
        <f>SUMIFS('октябрь 2025'!$G$2:$G$2619,'октябрь 2025'!$D$2:$D$2619,$B16,'октябрь 2025'!$J$2:$J$2619,D$1)</f>
        <v>0</v>
      </c>
      <c r="E16" s="76">
        <f>SUMIFS('октябрь 2025'!$G$2:$G$2619,'октябрь 2025'!$D$2:$D$2619,$B16,'октябрь 2025'!$J$2:$J$2619,E$1)</f>
        <v>0</v>
      </c>
      <c r="F16" s="76">
        <f>SUMIFS('октябрь 2025'!$G$2:$G$2619,'октябрь 2025'!$D$2:$D$2619,$B16,'октябрь 2025'!$J$2:$J$2619,F$1)</f>
        <v>0</v>
      </c>
      <c r="G16" s="76">
        <f>SUMIFS('октябрь 2025'!$G$2:$G$2619,'октябрь 2025'!$D$2:$D$2619,$B16,'октябрь 2025'!$J$2:$J$2619,G$1)</f>
        <v>0</v>
      </c>
      <c r="H16" s="76">
        <f>SUMIFS('октябрь 2025'!$G$2:$G$2619,'октябрь 2025'!$D$2:$D$2619,$B16,'октябрь 2025'!$J$2:$J$2619,H$1)</f>
        <v>0</v>
      </c>
      <c r="I16" s="76">
        <f>SUMIFS('октябрь 2025'!$G$2:$G$2619,'октябрь 2025'!$D$2:$D$2619,$B16,'октябрь 2025'!$J$2:$J$2619,I$1)</f>
        <v>0</v>
      </c>
      <c r="J16" s="76">
        <f>SUMIFS('октябрь 2025'!$G$2:$G$2619,'октябрь 2025'!$D$2:$D$2619,$B16,'октябрь 2025'!$J$2:$J$2619,J$1)</f>
        <v>0</v>
      </c>
      <c r="K16" s="76">
        <f>SUMIFS('октябрь 2025'!$G$2:$G$2619,'октябрь 2025'!$D$2:$D$2619,$B16,'октябрь 2025'!$J$2:$J$2619,K$1)</f>
        <v>0</v>
      </c>
      <c r="L16" s="76">
        <f>SUMIFS('октябрь 2025'!$G$2:$G$2619,'октябрь 2025'!$D$2:$D$2619,$B16,'октябрь 2025'!$J$2:$J$2619,L$1)</f>
        <v>0</v>
      </c>
      <c r="M16" s="76">
        <f>SUMIFS('октябрь 2025'!$G$2:$G$2619,'октябрь 2025'!$D$2:$D$2619,$B16,'октябрь 2025'!$J$2:$J$2619,M$1)</f>
        <v>0</v>
      </c>
      <c r="N16" s="76">
        <f>SUMIFS('октябрь 2025'!$G$2:$G$2619,'октябрь 2025'!$D$2:$D$2619,$B16,'октябрь 2025'!$J$2:$J$2619,N$1)</f>
        <v>0</v>
      </c>
      <c r="O16" s="76">
        <f>SUMIFS('октябрь 2025'!$G$2:$G$2619,'октябрь 2025'!$D$2:$D$2619,$B16,'октябрь 2025'!$J$2:$J$2619,O$1)</f>
        <v>0</v>
      </c>
      <c r="P16" s="76">
        <f>SUMIFS('октябрь 2025'!$G$2:$G$2619,'октябрь 2025'!$D$2:$D$2619,$B16,'октябрь 2025'!$J$2:$J$2619,P$1)</f>
        <v>1400</v>
      </c>
      <c r="Q16" s="76">
        <f>SUMIFS('октябрь 2025'!$G$2:$G$2619,'октябрь 2025'!$D$2:$D$2619,$B16,'октябрь 2025'!$J$2:$J$2619,Q$1)</f>
        <v>0</v>
      </c>
      <c r="R16" s="76">
        <f>SUMIFS('октябрь 2025'!$G$2:$G$2619,'октябрь 2025'!$D$2:$D$2619,$B16,'октябрь 2025'!$J$2:$J$2619,R$1)</f>
        <v>0</v>
      </c>
      <c r="S16" s="76">
        <f>SUMIFS('октябрь 2025'!$G$2:$G$2619,'октябрь 2025'!$D$2:$D$2619,$B16,'октябрь 2025'!$J$2:$J$2619,S$1)</f>
        <v>0</v>
      </c>
      <c r="T16" s="76">
        <f>SUMIFS('октябрь 2025'!$G$2:$G$2619,'октябрь 2025'!$D$2:$D$2619,$B16,'октябрь 2025'!$J$2:$J$2619,T$1)</f>
        <v>0</v>
      </c>
      <c r="U16" s="76">
        <f>SUMIFS('октябрь 2025'!$G$2:$G$2619,'октябрь 2025'!$D$2:$D$2619,$B16,'октябрь 2025'!$J$2:$J$2619,U$1)</f>
        <v>0</v>
      </c>
      <c r="V16" s="76">
        <f>SUMIFS('октябрь 2025'!$G$2:$G$2619,'октябрь 2025'!$D$2:$D$2619,$B16,'октябрь 2025'!$J$2:$J$2619,V$1)</f>
        <v>0</v>
      </c>
      <c r="W16" s="76">
        <f>SUMIFS('октябрь 2025'!$G$2:$G$2619,'октябрь 2025'!$D$2:$D$2619,$B16,'октябрь 2025'!$J$2:$J$2619,W$1)</f>
        <v>0</v>
      </c>
      <c r="X16" s="76">
        <f>SUMIFS('октябрь 2025'!$G$2:$G$2619,'октябрь 2025'!$D$2:$D$2619,$B16,'октябрь 2025'!$J$2:$J$2619,X$1)</f>
        <v>0</v>
      </c>
      <c r="Y16" s="76">
        <f>SUMIFS('октябрь 2025'!$G$2:$G$2619,'октябрь 2025'!$D$2:$D$2619,$B16,'октябрь 2025'!$J$2:$J$2619,Y$1)</f>
        <v>0</v>
      </c>
      <c r="Z16" s="76">
        <f>SUMIFS('октябрь 2025'!$G$2:$G$2619,'октябрь 2025'!$D$2:$D$2619,$B16,'октябрь 2025'!$J$2:$J$2619,Z$1)</f>
        <v>0</v>
      </c>
      <c r="AA16" s="76">
        <f>SUMIFS('октябрь 2025'!$G$2:$G$2619,'октябрь 2025'!$D$2:$D$2619,$B16,'октябрь 2025'!$J$2:$J$2619,AA$1)</f>
        <v>0</v>
      </c>
      <c r="AB16" s="76">
        <f>SUMIFS('октябрь 2025'!$G$2:$G$2619,'октябрь 2025'!$D$2:$D$2619,$B16,'октябрь 2025'!$J$2:$J$2619,AB$1)</f>
        <v>0</v>
      </c>
      <c r="AC16" s="76">
        <f>SUMIFS('октябрь 2025'!$G$2:$G$2619,'октябрь 2025'!$D$2:$D$2619,$B16,'октябрь 2025'!$J$2:$J$2619,AC$1)</f>
        <v>0</v>
      </c>
      <c r="AD16" s="76">
        <f>SUMIFS('октябрь 2025'!$G$2:$G$2619,'октябрь 2025'!$D$2:$D$2619,$B16,'октябрь 2025'!$J$2:$J$2619,AD$1)</f>
        <v>0</v>
      </c>
      <c r="AE16" s="76">
        <f>SUMIFS('октябрь 2025'!$G$2:$G$2619,'октябрь 2025'!$D$2:$D$2619,$B16,'октябрь 2025'!$J$2:$J$2619,AE$1)</f>
        <v>0</v>
      </c>
      <c r="AF16" s="76">
        <f>SUMIFS('октябрь 2025'!$G$2:$G$2619,'октябрь 2025'!$D$2:$D$2619,$B16,'октябрь 2025'!$J$2:$J$2619,AF$1)</f>
        <v>0</v>
      </c>
      <c r="AG16" s="76">
        <f>SUMIFS('октябрь 2025'!$G$2:$G$2619,'октябрь 2025'!$D$2:$D$2619,$B16,'октябрь 2025'!$J$2:$J$2619,AG$1)</f>
        <v>0</v>
      </c>
      <c r="AH16" s="76">
        <f>SUMIFS('октябрь 2025'!$G$2:$G$2619,'октябрь 2025'!$D$2:$D$2619,$B16,'октябрь 2025'!$J$2:$J$2619,AH$1)</f>
        <v>0</v>
      </c>
      <c r="AI16" s="20">
        <f t="shared" si="1"/>
        <v>1400</v>
      </c>
    </row>
    <row r="17" spans="2:35" ht="15" customHeight="1" x14ac:dyDescent="0.25">
      <c r="B17" s="80" t="s">
        <v>231</v>
      </c>
      <c r="C17" s="81">
        <v>22.7</v>
      </c>
      <c r="D17" s="76">
        <f>SUMIFS('октябрь 2025'!$G$2:$G$2619,'октябрь 2025'!$D$2:$D$2619,$B17,'октябрь 2025'!$J$2:$J$2619,D$1)</f>
        <v>0</v>
      </c>
      <c r="E17" s="76">
        <f>SUMIFS('октябрь 2025'!$G$2:$G$2619,'октябрь 2025'!$D$2:$D$2619,$B17,'октябрь 2025'!$J$2:$J$2619,E$1)</f>
        <v>0</v>
      </c>
      <c r="F17" s="76">
        <f>SUMIFS('октябрь 2025'!$G$2:$G$2619,'октябрь 2025'!$D$2:$D$2619,$B17,'октябрь 2025'!$J$2:$J$2619,F$1)</f>
        <v>0</v>
      </c>
      <c r="G17" s="76">
        <f>SUMIFS('октябрь 2025'!$G$2:$G$2619,'октябрь 2025'!$D$2:$D$2619,$B17,'октябрь 2025'!$J$2:$J$2619,G$1)</f>
        <v>0</v>
      </c>
      <c r="H17" s="76">
        <f>SUMIFS('октябрь 2025'!$G$2:$G$2619,'октябрь 2025'!$D$2:$D$2619,$B17,'октябрь 2025'!$J$2:$J$2619,H$1)</f>
        <v>0</v>
      </c>
      <c r="I17" s="76">
        <f>SUMIFS('октябрь 2025'!$G$2:$G$2619,'октябрь 2025'!$D$2:$D$2619,$B17,'октябрь 2025'!$J$2:$J$2619,I$1)</f>
        <v>0</v>
      </c>
      <c r="J17" s="76">
        <f>SUMIFS('октябрь 2025'!$G$2:$G$2619,'октябрь 2025'!$D$2:$D$2619,$B17,'октябрь 2025'!$J$2:$J$2619,J$1)</f>
        <v>0</v>
      </c>
      <c r="K17" s="76">
        <f>SUMIFS('октябрь 2025'!$G$2:$G$2619,'октябрь 2025'!$D$2:$D$2619,$B17,'октябрь 2025'!$J$2:$J$2619,K$1)</f>
        <v>0</v>
      </c>
      <c r="L17" s="76">
        <f>SUMIFS('октябрь 2025'!$G$2:$G$2619,'октябрь 2025'!$D$2:$D$2619,$B17,'октябрь 2025'!$J$2:$J$2619,L$1)</f>
        <v>0</v>
      </c>
      <c r="M17" s="76">
        <f>SUMIFS('октябрь 2025'!$G$2:$G$2619,'октябрь 2025'!$D$2:$D$2619,$B17,'октябрь 2025'!$J$2:$J$2619,M$1)</f>
        <v>0</v>
      </c>
      <c r="N17" s="76">
        <f>SUMIFS('октябрь 2025'!$G$2:$G$2619,'октябрь 2025'!$D$2:$D$2619,$B17,'октябрь 2025'!$J$2:$J$2619,N$1)</f>
        <v>0</v>
      </c>
      <c r="O17" s="76">
        <f>SUMIFS('октябрь 2025'!$G$2:$G$2619,'октябрь 2025'!$D$2:$D$2619,$B17,'октябрь 2025'!$J$2:$J$2619,O$1)</f>
        <v>0</v>
      </c>
      <c r="P17" s="76">
        <f>SUMIFS('октябрь 2025'!$G$2:$G$2619,'октябрь 2025'!$D$2:$D$2619,$B17,'октябрь 2025'!$J$2:$J$2619,P$1)</f>
        <v>0</v>
      </c>
      <c r="Q17" s="76">
        <f>SUMIFS('октябрь 2025'!$G$2:$G$2619,'октябрь 2025'!$D$2:$D$2619,$B17,'октябрь 2025'!$J$2:$J$2619,Q$1)</f>
        <v>0</v>
      </c>
      <c r="R17" s="76">
        <f>SUMIFS('октябрь 2025'!$G$2:$G$2619,'октябрь 2025'!$D$2:$D$2619,$B17,'октябрь 2025'!$J$2:$J$2619,R$1)</f>
        <v>0</v>
      </c>
      <c r="S17" s="76">
        <f>SUMIFS('октябрь 2025'!$G$2:$G$2619,'октябрь 2025'!$D$2:$D$2619,$B17,'октябрь 2025'!$J$2:$J$2619,S$1)</f>
        <v>0</v>
      </c>
      <c r="T17" s="76">
        <f>SUMIFS('октябрь 2025'!$G$2:$G$2619,'октябрь 2025'!$D$2:$D$2619,$B17,'октябрь 2025'!$J$2:$J$2619,T$1)</f>
        <v>0</v>
      </c>
      <c r="U17" s="76">
        <f>SUMIFS('октябрь 2025'!$G$2:$G$2619,'октябрь 2025'!$D$2:$D$2619,$B17,'октябрь 2025'!$J$2:$J$2619,U$1)</f>
        <v>0</v>
      </c>
      <c r="V17" s="76">
        <f>SUMIFS('октябрь 2025'!$G$2:$G$2619,'октябрь 2025'!$D$2:$D$2619,$B17,'октябрь 2025'!$J$2:$J$2619,V$1)</f>
        <v>0</v>
      </c>
      <c r="W17" s="76">
        <f>SUMIFS('октябрь 2025'!$G$2:$G$2619,'октябрь 2025'!$D$2:$D$2619,$B17,'октябрь 2025'!$J$2:$J$2619,W$1)</f>
        <v>0</v>
      </c>
      <c r="X17" s="76">
        <f>SUMIFS('октябрь 2025'!$G$2:$G$2619,'октябрь 2025'!$D$2:$D$2619,$B17,'октябрь 2025'!$J$2:$J$2619,X$1)</f>
        <v>0</v>
      </c>
      <c r="Y17" s="76">
        <f>SUMIFS('октябрь 2025'!$G$2:$G$2619,'октябрь 2025'!$D$2:$D$2619,$B17,'октябрь 2025'!$J$2:$J$2619,Y$1)</f>
        <v>0</v>
      </c>
      <c r="Z17" s="76">
        <f>SUMIFS('октябрь 2025'!$G$2:$G$2619,'октябрь 2025'!$D$2:$D$2619,$B17,'октябрь 2025'!$J$2:$J$2619,Z$1)</f>
        <v>0</v>
      </c>
      <c r="AA17" s="76">
        <f>SUMIFS('октябрь 2025'!$G$2:$G$2619,'октябрь 2025'!$D$2:$D$2619,$B17,'октябрь 2025'!$J$2:$J$2619,AA$1)</f>
        <v>0</v>
      </c>
      <c r="AB17" s="76">
        <f>SUMIFS('октябрь 2025'!$G$2:$G$2619,'октябрь 2025'!$D$2:$D$2619,$B17,'октябрь 2025'!$J$2:$J$2619,AB$1)</f>
        <v>0</v>
      </c>
      <c r="AC17" s="76">
        <f>SUMIFS('октябрь 2025'!$G$2:$G$2619,'октябрь 2025'!$D$2:$D$2619,$B17,'октябрь 2025'!$J$2:$J$2619,AC$1)</f>
        <v>0</v>
      </c>
      <c r="AD17" s="76">
        <f>SUMIFS('октябрь 2025'!$G$2:$G$2619,'октябрь 2025'!$D$2:$D$2619,$B17,'октябрь 2025'!$J$2:$J$2619,AD$1)</f>
        <v>0</v>
      </c>
      <c r="AE17" s="76">
        <f>SUMIFS('октябрь 2025'!$G$2:$G$2619,'октябрь 2025'!$D$2:$D$2619,$B17,'октябрь 2025'!$J$2:$J$2619,AE$1)</f>
        <v>0</v>
      </c>
      <c r="AF17" s="76">
        <f>SUMIFS('октябрь 2025'!$G$2:$G$2619,'октябрь 2025'!$D$2:$D$2619,$B17,'октябрь 2025'!$J$2:$J$2619,AF$1)</f>
        <v>0</v>
      </c>
      <c r="AG17" s="76">
        <f>SUMIFS('октябрь 2025'!$G$2:$G$2619,'октябрь 2025'!$D$2:$D$2619,$B17,'октябрь 2025'!$J$2:$J$2619,AG$1)</f>
        <v>0</v>
      </c>
      <c r="AH17" s="76">
        <f>SUMIFS('октябрь 2025'!$G$2:$G$2619,'октябрь 2025'!$D$2:$D$2619,$B17,'октябрь 2025'!$J$2:$J$2619,AH$1)</f>
        <v>0</v>
      </c>
      <c r="AI17" s="20">
        <f t="shared" si="1"/>
        <v>0</v>
      </c>
    </row>
    <row r="18" spans="2:35" ht="15" customHeight="1" x14ac:dyDescent="0.25">
      <c r="B18" s="77" t="s">
        <v>233</v>
      </c>
      <c r="C18" s="78">
        <v>22.7</v>
      </c>
      <c r="D18" s="76">
        <f>SUMIFS('октябрь 2025'!$G$2:$G$2619,'октябрь 2025'!$D$2:$D$2619,$B18,'октябрь 2025'!$J$2:$J$2619,D$1)</f>
        <v>0</v>
      </c>
      <c r="E18" s="76">
        <f>SUMIFS('октябрь 2025'!$G$2:$G$2619,'октябрь 2025'!$D$2:$D$2619,$B18,'октябрь 2025'!$J$2:$J$2619,E$1)</f>
        <v>0</v>
      </c>
      <c r="F18" s="76">
        <f>SUMIFS('октябрь 2025'!$G$2:$G$2619,'октябрь 2025'!$D$2:$D$2619,$B18,'октябрь 2025'!$J$2:$J$2619,F$1)</f>
        <v>0</v>
      </c>
      <c r="G18" s="76">
        <f>SUMIFS('октябрь 2025'!$G$2:$G$2619,'октябрь 2025'!$D$2:$D$2619,$B18,'октябрь 2025'!$J$2:$J$2619,G$1)</f>
        <v>0</v>
      </c>
      <c r="H18" s="76">
        <f>SUMIFS('октябрь 2025'!$G$2:$G$2619,'октябрь 2025'!$D$2:$D$2619,$B18,'октябрь 2025'!$J$2:$J$2619,H$1)</f>
        <v>0</v>
      </c>
      <c r="I18" s="76">
        <f>SUMIFS('октябрь 2025'!$G$2:$G$2619,'октябрь 2025'!$D$2:$D$2619,$B18,'октябрь 2025'!$J$2:$J$2619,I$1)</f>
        <v>0</v>
      </c>
      <c r="J18" s="76">
        <f>SUMIFS('октябрь 2025'!$G$2:$G$2619,'октябрь 2025'!$D$2:$D$2619,$B18,'октябрь 2025'!$J$2:$J$2619,J$1)</f>
        <v>0</v>
      </c>
      <c r="K18" s="76">
        <f>SUMIFS('октябрь 2025'!$G$2:$G$2619,'октябрь 2025'!$D$2:$D$2619,$B18,'октябрь 2025'!$J$2:$J$2619,K$1)</f>
        <v>0</v>
      </c>
      <c r="L18" s="76">
        <f>SUMIFS('октябрь 2025'!$G$2:$G$2619,'октябрь 2025'!$D$2:$D$2619,$B18,'октябрь 2025'!$J$2:$J$2619,L$1)</f>
        <v>0</v>
      </c>
      <c r="M18" s="76">
        <f>SUMIFS('октябрь 2025'!$G$2:$G$2619,'октябрь 2025'!$D$2:$D$2619,$B18,'октябрь 2025'!$J$2:$J$2619,M$1)</f>
        <v>0</v>
      </c>
      <c r="N18" s="76">
        <f>SUMIFS('октябрь 2025'!$G$2:$G$2619,'октябрь 2025'!$D$2:$D$2619,$B18,'октябрь 2025'!$J$2:$J$2619,N$1)</f>
        <v>0</v>
      </c>
      <c r="O18" s="76">
        <f>SUMIFS('октябрь 2025'!$G$2:$G$2619,'октябрь 2025'!$D$2:$D$2619,$B18,'октябрь 2025'!$J$2:$J$2619,O$1)</f>
        <v>0</v>
      </c>
      <c r="P18" s="76">
        <f>SUMIFS('октябрь 2025'!$G$2:$G$2619,'октябрь 2025'!$D$2:$D$2619,$B18,'октябрь 2025'!$J$2:$J$2619,P$1)</f>
        <v>0</v>
      </c>
      <c r="Q18" s="76">
        <f>SUMIFS('октябрь 2025'!$G$2:$G$2619,'октябрь 2025'!$D$2:$D$2619,$B18,'октябрь 2025'!$J$2:$J$2619,Q$1)</f>
        <v>0</v>
      </c>
      <c r="R18" s="76">
        <f>SUMIFS('октябрь 2025'!$G$2:$G$2619,'октябрь 2025'!$D$2:$D$2619,$B18,'октябрь 2025'!$J$2:$J$2619,R$1)</f>
        <v>0</v>
      </c>
      <c r="S18" s="76">
        <f>SUMIFS('октябрь 2025'!$G$2:$G$2619,'октябрь 2025'!$D$2:$D$2619,$B18,'октябрь 2025'!$J$2:$J$2619,S$1)</f>
        <v>0</v>
      </c>
      <c r="T18" s="76">
        <f>SUMIFS('октябрь 2025'!$G$2:$G$2619,'октябрь 2025'!$D$2:$D$2619,$B18,'октябрь 2025'!$J$2:$J$2619,T$1)</f>
        <v>0</v>
      </c>
      <c r="U18" s="76">
        <f>SUMIFS('октябрь 2025'!$G$2:$G$2619,'октябрь 2025'!$D$2:$D$2619,$B18,'октябрь 2025'!$J$2:$J$2619,U$1)</f>
        <v>0</v>
      </c>
      <c r="V18" s="76">
        <f>SUMIFS('октябрь 2025'!$G$2:$G$2619,'октябрь 2025'!$D$2:$D$2619,$B18,'октябрь 2025'!$J$2:$J$2619,V$1)</f>
        <v>0</v>
      </c>
      <c r="W18" s="76">
        <f>SUMIFS('октябрь 2025'!$G$2:$G$2619,'октябрь 2025'!$D$2:$D$2619,$B18,'октябрь 2025'!$J$2:$J$2619,W$1)</f>
        <v>0</v>
      </c>
      <c r="X18" s="76">
        <f>SUMIFS('октябрь 2025'!$G$2:$G$2619,'октябрь 2025'!$D$2:$D$2619,$B18,'октябрь 2025'!$J$2:$J$2619,X$1)</f>
        <v>0</v>
      </c>
      <c r="Y18" s="76">
        <f>SUMIFS('октябрь 2025'!$G$2:$G$2619,'октябрь 2025'!$D$2:$D$2619,$B18,'октябрь 2025'!$J$2:$J$2619,Y$1)</f>
        <v>0</v>
      </c>
      <c r="Z18" s="76">
        <f>SUMIFS('октябрь 2025'!$G$2:$G$2619,'октябрь 2025'!$D$2:$D$2619,$B18,'октябрь 2025'!$J$2:$J$2619,Z$1)</f>
        <v>0</v>
      </c>
      <c r="AA18" s="76">
        <f>SUMIFS('октябрь 2025'!$G$2:$G$2619,'октябрь 2025'!$D$2:$D$2619,$B18,'октябрь 2025'!$J$2:$J$2619,AA$1)</f>
        <v>0</v>
      </c>
      <c r="AB18" s="76">
        <f>SUMIFS('октябрь 2025'!$G$2:$G$2619,'октябрь 2025'!$D$2:$D$2619,$B18,'октябрь 2025'!$J$2:$J$2619,AB$1)</f>
        <v>0</v>
      </c>
      <c r="AC18" s="76">
        <f>SUMIFS('октябрь 2025'!$G$2:$G$2619,'октябрь 2025'!$D$2:$D$2619,$B18,'октябрь 2025'!$J$2:$J$2619,AC$1)</f>
        <v>0</v>
      </c>
      <c r="AD18" s="76">
        <f>SUMIFS('октябрь 2025'!$G$2:$G$2619,'октябрь 2025'!$D$2:$D$2619,$B18,'октябрь 2025'!$J$2:$J$2619,AD$1)</f>
        <v>0</v>
      </c>
      <c r="AE18" s="76">
        <f>SUMIFS('октябрь 2025'!$G$2:$G$2619,'октябрь 2025'!$D$2:$D$2619,$B18,'октябрь 2025'!$J$2:$J$2619,AE$1)</f>
        <v>0</v>
      </c>
      <c r="AF18" s="76">
        <f>SUMIFS('октябрь 2025'!$G$2:$G$2619,'октябрь 2025'!$D$2:$D$2619,$B18,'октябрь 2025'!$J$2:$J$2619,AF$1)</f>
        <v>0</v>
      </c>
      <c r="AG18" s="76">
        <f>SUMIFS('октябрь 2025'!$G$2:$G$2619,'октябрь 2025'!$D$2:$D$2619,$B18,'октябрь 2025'!$J$2:$J$2619,AG$1)</f>
        <v>0</v>
      </c>
      <c r="AH18" s="76">
        <f>SUMIFS('октябрь 2025'!$G$2:$G$2619,'октябрь 2025'!$D$2:$D$2619,$B18,'октябрь 2025'!$J$2:$J$2619,AH$1)</f>
        <v>0</v>
      </c>
      <c r="AI18" s="20">
        <f t="shared" si="1"/>
        <v>0</v>
      </c>
    </row>
    <row r="19" spans="2:35" ht="15" customHeight="1" x14ac:dyDescent="0.25">
      <c r="B19" s="80" t="s">
        <v>235</v>
      </c>
      <c r="C19" s="81">
        <v>22.7</v>
      </c>
      <c r="D19" s="76">
        <f>SUMIFS('октябрь 2025'!$G$2:$G$2619,'октябрь 2025'!$D$2:$D$2619,$B19,'октябрь 2025'!$J$2:$J$2619,D$1)</f>
        <v>0</v>
      </c>
      <c r="E19" s="76">
        <f>SUMIFS('октябрь 2025'!$G$2:$G$2619,'октябрь 2025'!$D$2:$D$2619,$B19,'октябрь 2025'!$J$2:$J$2619,E$1)</f>
        <v>0</v>
      </c>
      <c r="F19" s="76">
        <f>SUMIFS('октябрь 2025'!$G$2:$G$2619,'октябрь 2025'!$D$2:$D$2619,$B19,'октябрь 2025'!$J$2:$J$2619,F$1)</f>
        <v>0</v>
      </c>
      <c r="G19" s="76">
        <f>SUMIFS('октябрь 2025'!$G$2:$G$2619,'октябрь 2025'!$D$2:$D$2619,$B19,'октябрь 2025'!$J$2:$J$2619,G$1)</f>
        <v>0</v>
      </c>
      <c r="H19" s="76">
        <f>SUMIFS('октябрь 2025'!$G$2:$G$2619,'октябрь 2025'!$D$2:$D$2619,$B19,'октябрь 2025'!$J$2:$J$2619,H$1)</f>
        <v>0</v>
      </c>
      <c r="I19" s="76">
        <f>SUMIFS('октябрь 2025'!$G$2:$G$2619,'октябрь 2025'!$D$2:$D$2619,$B19,'октябрь 2025'!$J$2:$J$2619,I$1)</f>
        <v>0</v>
      </c>
      <c r="J19" s="76">
        <f>SUMIFS('октябрь 2025'!$G$2:$G$2619,'октябрь 2025'!$D$2:$D$2619,$B19,'октябрь 2025'!$J$2:$J$2619,J$1)</f>
        <v>0</v>
      </c>
      <c r="K19" s="76">
        <f>SUMIFS('октябрь 2025'!$G$2:$G$2619,'октябрь 2025'!$D$2:$D$2619,$B19,'октябрь 2025'!$J$2:$J$2619,K$1)</f>
        <v>0</v>
      </c>
      <c r="L19" s="76">
        <f>SUMIFS('октябрь 2025'!$G$2:$G$2619,'октябрь 2025'!$D$2:$D$2619,$B19,'октябрь 2025'!$J$2:$J$2619,L$1)</f>
        <v>0</v>
      </c>
      <c r="M19" s="76">
        <f>SUMIFS('октябрь 2025'!$G$2:$G$2619,'октябрь 2025'!$D$2:$D$2619,$B19,'октябрь 2025'!$J$2:$J$2619,M$1)</f>
        <v>0</v>
      </c>
      <c r="N19" s="76">
        <f>SUMIFS('октябрь 2025'!$G$2:$G$2619,'октябрь 2025'!$D$2:$D$2619,$B19,'октябрь 2025'!$J$2:$J$2619,N$1)</f>
        <v>0</v>
      </c>
      <c r="O19" s="76">
        <f>SUMIFS('октябрь 2025'!$G$2:$G$2619,'октябрь 2025'!$D$2:$D$2619,$B19,'октябрь 2025'!$J$2:$J$2619,O$1)</f>
        <v>0</v>
      </c>
      <c r="P19" s="76">
        <f>SUMIFS('октябрь 2025'!$G$2:$G$2619,'октябрь 2025'!$D$2:$D$2619,$B19,'октябрь 2025'!$J$2:$J$2619,P$1)</f>
        <v>0</v>
      </c>
      <c r="Q19" s="76">
        <f>SUMIFS('октябрь 2025'!$G$2:$G$2619,'октябрь 2025'!$D$2:$D$2619,$B19,'октябрь 2025'!$J$2:$J$2619,Q$1)</f>
        <v>0</v>
      </c>
      <c r="R19" s="76">
        <f>SUMIFS('октябрь 2025'!$G$2:$G$2619,'октябрь 2025'!$D$2:$D$2619,$B19,'октябрь 2025'!$J$2:$J$2619,R$1)</f>
        <v>0</v>
      </c>
      <c r="S19" s="76">
        <f>SUMIFS('октябрь 2025'!$G$2:$G$2619,'октябрь 2025'!$D$2:$D$2619,$B19,'октябрь 2025'!$J$2:$J$2619,S$1)</f>
        <v>0</v>
      </c>
      <c r="T19" s="76">
        <f>SUMIFS('октябрь 2025'!$G$2:$G$2619,'октябрь 2025'!$D$2:$D$2619,$B19,'октябрь 2025'!$J$2:$J$2619,T$1)</f>
        <v>0</v>
      </c>
      <c r="U19" s="76">
        <f>SUMIFS('октябрь 2025'!$G$2:$G$2619,'октябрь 2025'!$D$2:$D$2619,$B19,'октябрь 2025'!$J$2:$J$2619,U$1)</f>
        <v>0</v>
      </c>
      <c r="V19" s="76">
        <f>SUMIFS('октябрь 2025'!$G$2:$G$2619,'октябрь 2025'!$D$2:$D$2619,$B19,'октябрь 2025'!$J$2:$J$2619,V$1)</f>
        <v>0</v>
      </c>
      <c r="W19" s="76">
        <f>SUMIFS('октябрь 2025'!$G$2:$G$2619,'октябрь 2025'!$D$2:$D$2619,$B19,'октябрь 2025'!$J$2:$J$2619,W$1)</f>
        <v>0</v>
      </c>
      <c r="X19" s="76">
        <f>SUMIFS('октябрь 2025'!$G$2:$G$2619,'октябрь 2025'!$D$2:$D$2619,$B19,'октябрь 2025'!$J$2:$J$2619,X$1)</f>
        <v>0</v>
      </c>
      <c r="Y19" s="76">
        <f>SUMIFS('октябрь 2025'!$G$2:$G$2619,'октябрь 2025'!$D$2:$D$2619,$B19,'октябрь 2025'!$J$2:$J$2619,Y$1)</f>
        <v>0</v>
      </c>
      <c r="Z19" s="76">
        <f>SUMIFS('октябрь 2025'!$G$2:$G$2619,'октябрь 2025'!$D$2:$D$2619,$B19,'октябрь 2025'!$J$2:$J$2619,Z$1)</f>
        <v>0</v>
      </c>
      <c r="AA19" s="76">
        <f>SUMIFS('октябрь 2025'!$G$2:$G$2619,'октябрь 2025'!$D$2:$D$2619,$B19,'октябрь 2025'!$J$2:$J$2619,AA$1)</f>
        <v>0</v>
      </c>
      <c r="AB19" s="76">
        <f>SUMIFS('октябрь 2025'!$G$2:$G$2619,'октябрь 2025'!$D$2:$D$2619,$B19,'октябрь 2025'!$J$2:$J$2619,AB$1)</f>
        <v>0</v>
      </c>
      <c r="AC19" s="76">
        <f>SUMIFS('октябрь 2025'!$G$2:$G$2619,'октябрь 2025'!$D$2:$D$2619,$B19,'октябрь 2025'!$J$2:$J$2619,AC$1)</f>
        <v>0</v>
      </c>
      <c r="AD19" s="76">
        <f>SUMIFS('октябрь 2025'!$G$2:$G$2619,'октябрь 2025'!$D$2:$D$2619,$B19,'октябрь 2025'!$J$2:$J$2619,AD$1)</f>
        <v>0</v>
      </c>
      <c r="AE19" s="76">
        <f>SUMIFS('октябрь 2025'!$G$2:$G$2619,'октябрь 2025'!$D$2:$D$2619,$B19,'октябрь 2025'!$J$2:$J$2619,AE$1)</f>
        <v>0</v>
      </c>
      <c r="AF19" s="76">
        <f>SUMIFS('октябрь 2025'!$G$2:$G$2619,'октябрь 2025'!$D$2:$D$2619,$B19,'октябрь 2025'!$J$2:$J$2619,AF$1)</f>
        <v>0</v>
      </c>
      <c r="AG19" s="76">
        <f>SUMIFS('октябрь 2025'!$G$2:$G$2619,'октябрь 2025'!$D$2:$D$2619,$B19,'октябрь 2025'!$J$2:$J$2619,AG$1)</f>
        <v>0</v>
      </c>
      <c r="AH19" s="76">
        <f>SUMIFS('октябрь 2025'!$G$2:$G$2619,'октябрь 2025'!$D$2:$D$2619,$B19,'октябрь 2025'!$J$2:$J$2619,AH$1)</f>
        <v>0</v>
      </c>
      <c r="AI19" s="20">
        <f t="shared" si="1"/>
        <v>0</v>
      </c>
    </row>
    <row r="20" spans="2:35" ht="15" customHeight="1" x14ac:dyDescent="0.25">
      <c r="B20" s="80" t="s">
        <v>237</v>
      </c>
      <c r="C20" s="81">
        <v>25</v>
      </c>
      <c r="D20" s="76">
        <f>SUMIFS('октябрь 2025'!$G$2:$G$2619,'октябрь 2025'!$D$2:$D$2619,$B20,'октябрь 2025'!$J$2:$J$2619,D$1)</f>
        <v>0</v>
      </c>
      <c r="E20" s="76">
        <f>SUMIFS('октябрь 2025'!$G$2:$G$2619,'октябрь 2025'!$D$2:$D$2619,$B20,'октябрь 2025'!$J$2:$J$2619,E$1)</f>
        <v>0</v>
      </c>
      <c r="F20" s="76">
        <f>SUMIFS('октябрь 2025'!$G$2:$G$2619,'октябрь 2025'!$D$2:$D$2619,$B20,'октябрь 2025'!$J$2:$J$2619,F$1)</f>
        <v>0</v>
      </c>
      <c r="G20" s="76">
        <f>SUMIFS('октябрь 2025'!$G$2:$G$2619,'октябрь 2025'!$D$2:$D$2619,$B20,'октябрь 2025'!$J$2:$J$2619,G$1)</f>
        <v>0</v>
      </c>
      <c r="H20" s="76">
        <f>SUMIFS('октябрь 2025'!$G$2:$G$2619,'октябрь 2025'!$D$2:$D$2619,$B20,'октябрь 2025'!$J$2:$J$2619,H$1)</f>
        <v>0</v>
      </c>
      <c r="I20" s="76">
        <f>SUMIFS('октябрь 2025'!$G$2:$G$2619,'октябрь 2025'!$D$2:$D$2619,$B20,'октябрь 2025'!$J$2:$J$2619,I$1)</f>
        <v>0</v>
      </c>
      <c r="J20" s="76">
        <f>SUMIFS('октябрь 2025'!$G$2:$G$2619,'октябрь 2025'!$D$2:$D$2619,$B20,'октябрь 2025'!$J$2:$J$2619,J$1)</f>
        <v>0</v>
      </c>
      <c r="K20" s="76">
        <f>SUMIFS('октябрь 2025'!$G$2:$G$2619,'октябрь 2025'!$D$2:$D$2619,$B20,'октябрь 2025'!$J$2:$J$2619,K$1)</f>
        <v>0</v>
      </c>
      <c r="L20" s="76">
        <f>SUMIFS('октябрь 2025'!$G$2:$G$2619,'октябрь 2025'!$D$2:$D$2619,$B20,'октябрь 2025'!$J$2:$J$2619,L$1)</f>
        <v>0</v>
      </c>
      <c r="M20" s="76">
        <f>SUMIFS('октябрь 2025'!$G$2:$G$2619,'октябрь 2025'!$D$2:$D$2619,$B20,'октябрь 2025'!$J$2:$J$2619,M$1)</f>
        <v>0</v>
      </c>
      <c r="N20" s="76">
        <f>SUMIFS('октябрь 2025'!$G$2:$G$2619,'октябрь 2025'!$D$2:$D$2619,$B20,'октябрь 2025'!$J$2:$J$2619,N$1)</f>
        <v>0</v>
      </c>
      <c r="O20" s="76">
        <f>SUMIFS('октябрь 2025'!$G$2:$G$2619,'октябрь 2025'!$D$2:$D$2619,$B20,'октябрь 2025'!$J$2:$J$2619,O$1)</f>
        <v>0</v>
      </c>
      <c r="P20" s="76">
        <f>SUMIFS('октябрь 2025'!$G$2:$G$2619,'октябрь 2025'!$D$2:$D$2619,$B20,'октябрь 2025'!$J$2:$J$2619,P$1)</f>
        <v>0</v>
      </c>
      <c r="Q20" s="76">
        <f>SUMIFS('октябрь 2025'!$G$2:$G$2619,'октябрь 2025'!$D$2:$D$2619,$B20,'октябрь 2025'!$J$2:$J$2619,Q$1)</f>
        <v>0</v>
      </c>
      <c r="R20" s="76">
        <f>SUMIFS('октябрь 2025'!$G$2:$G$2619,'октябрь 2025'!$D$2:$D$2619,$B20,'октябрь 2025'!$J$2:$J$2619,R$1)</f>
        <v>0</v>
      </c>
      <c r="S20" s="76">
        <f>SUMIFS('октябрь 2025'!$G$2:$G$2619,'октябрь 2025'!$D$2:$D$2619,$B20,'октябрь 2025'!$J$2:$J$2619,S$1)</f>
        <v>0</v>
      </c>
      <c r="T20" s="76">
        <f>SUMIFS('октябрь 2025'!$G$2:$G$2619,'октябрь 2025'!$D$2:$D$2619,$B20,'октябрь 2025'!$J$2:$J$2619,T$1)</f>
        <v>0</v>
      </c>
      <c r="U20" s="76">
        <f>SUMIFS('октябрь 2025'!$G$2:$G$2619,'октябрь 2025'!$D$2:$D$2619,$B20,'октябрь 2025'!$J$2:$J$2619,U$1)</f>
        <v>0</v>
      </c>
      <c r="V20" s="76">
        <f>SUMIFS('октябрь 2025'!$G$2:$G$2619,'октябрь 2025'!$D$2:$D$2619,$B20,'октябрь 2025'!$J$2:$J$2619,V$1)</f>
        <v>0</v>
      </c>
      <c r="W20" s="76">
        <f>SUMIFS('октябрь 2025'!$G$2:$G$2619,'октябрь 2025'!$D$2:$D$2619,$B20,'октябрь 2025'!$J$2:$J$2619,W$1)</f>
        <v>0</v>
      </c>
      <c r="X20" s="76">
        <f>SUMIFS('октябрь 2025'!$G$2:$G$2619,'октябрь 2025'!$D$2:$D$2619,$B20,'октябрь 2025'!$J$2:$J$2619,X$1)</f>
        <v>0</v>
      </c>
      <c r="Y20" s="76">
        <f>SUMIFS('октябрь 2025'!$G$2:$G$2619,'октябрь 2025'!$D$2:$D$2619,$B20,'октябрь 2025'!$J$2:$J$2619,Y$1)</f>
        <v>0</v>
      </c>
      <c r="Z20" s="76">
        <f>SUMIFS('октябрь 2025'!$G$2:$G$2619,'октябрь 2025'!$D$2:$D$2619,$B20,'октябрь 2025'!$J$2:$J$2619,Z$1)</f>
        <v>0</v>
      </c>
      <c r="AA20" s="76">
        <f>SUMIFS('октябрь 2025'!$G$2:$G$2619,'октябрь 2025'!$D$2:$D$2619,$B20,'октябрь 2025'!$J$2:$J$2619,AA$1)</f>
        <v>0</v>
      </c>
      <c r="AB20" s="76">
        <f>SUMIFS('октябрь 2025'!$G$2:$G$2619,'октябрь 2025'!$D$2:$D$2619,$B20,'октябрь 2025'!$J$2:$J$2619,AB$1)</f>
        <v>0</v>
      </c>
      <c r="AC20" s="76">
        <f>SUMIFS('октябрь 2025'!$G$2:$G$2619,'октябрь 2025'!$D$2:$D$2619,$B20,'октябрь 2025'!$J$2:$J$2619,AC$1)</f>
        <v>0</v>
      </c>
      <c r="AD20" s="76">
        <f>SUMIFS('октябрь 2025'!$G$2:$G$2619,'октябрь 2025'!$D$2:$D$2619,$B20,'октябрь 2025'!$J$2:$J$2619,AD$1)</f>
        <v>0</v>
      </c>
      <c r="AE20" s="76">
        <f>SUMIFS('октябрь 2025'!$G$2:$G$2619,'октябрь 2025'!$D$2:$D$2619,$B20,'октябрь 2025'!$J$2:$J$2619,AE$1)</f>
        <v>0</v>
      </c>
      <c r="AF20" s="76">
        <f>SUMIFS('октябрь 2025'!$G$2:$G$2619,'октябрь 2025'!$D$2:$D$2619,$B20,'октябрь 2025'!$J$2:$J$2619,AF$1)</f>
        <v>0</v>
      </c>
      <c r="AG20" s="76">
        <f>SUMIFS('октябрь 2025'!$G$2:$G$2619,'октябрь 2025'!$D$2:$D$2619,$B20,'октябрь 2025'!$J$2:$J$2619,AG$1)</f>
        <v>0</v>
      </c>
      <c r="AH20" s="76">
        <f>SUMIFS('октябрь 2025'!$G$2:$G$2619,'октябрь 2025'!$D$2:$D$2619,$B20,'октябрь 2025'!$J$2:$J$2619,AH$1)</f>
        <v>0</v>
      </c>
      <c r="AI20" s="20">
        <f t="shared" si="1"/>
        <v>0</v>
      </c>
    </row>
    <row r="21" spans="2:35" ht="15" customHeight="1" x14ac:dyDescent="0.25">
      <c r="B21" s="77" t="s">
        <v>239</v>
      </c>
      <c r="C21" s="78">
        <v>25</v>
      </c>
      <c r="D21" s="76">
        <f>SUMIFS('октябрь 2025'!$G$2:$G$2619,'октябрь 2025'!$D$2:$D$2619,$B21,'октябрь 2025'!$J$2:$J$2619,D$1)</f>
        <v>0</v>
      </c>
      <c r="E21" s="76">
        <f>SUMIFS('октябрь 2025'!$G$2:$G$2619,'октябрь 2025'!$D$2:$D$2619,$B21,'октябрь 2025'!$J$2:$J$2619,E$1)</f>
        <v>0</v>
      </c>
      <c r="F21" s="76">
        <f>SUMIFS('октябрь 2025'!$G$2:$G$2619,'октябрь 2025'!$D$2:$D$2619,$B21,'октябрь 2025'!$J$2:$J$2619,F$1)</f>
        <v>0</v>
      </c>
      <c r="G21" s="76">
        <f>SUMIFS('октябрь 2025'!$G$2:$G$2619,'октябрь 2025'!$D$2:$D$2619,$B21,'октябрь 2025'!$J$2:$J$2619,G$1)</f>
        <v>0</v>
      </c>
      <c r="H21" s="76">
        <f>SUMIFS('октябрь 2025'!$G$2:$G$2619,'октябрь 2025'!$D$2:$D$2619,$B21,'октябрь 2025'!$J$2:$J$2619,H$1)</f>
        <v>0</v>
      </c>
      <c r="I21" s="76">
        <f>SUMIFS('октябрь 2025'!$G$2:$G$2619,'октябрь 2025'!$D$2:$D$2619,$B21,'октябрь 2025'!$J$2:$J$2619,I$1)</f>
        <v>0</v>
      </c>
      <c r="J21" s="76">
        <f>SUMIFS('октябрь 2025'!$G$2:$G$2619,'октябрь 2025'!$D$2:$D$2619,$B21,'октябрь 2025'!$J$2:$J$2619,J$1)</f>
        <v>0</v>
      </c>
      <c r="K21" s="76">
        <f>SUMIFS('октябрь 2025'!$G$2:$G$2619,'октябрь 2025'!$D$2:$D$2619,$B21,'октябрь 2025'!$J$2:$J$2619,K$1)</f>
        <v>0</v>
      </c>
      <c r="L21" s="76">
        <f>SUMIFS('октябрь 2025'!$G$2:$G$2619,'октябрь 2025'!$D$2:$D$2619,$B21,'октябрь 2025'!$J$2:$J$2619,L$1)</f>
        <v>0</v>
      </c>
      <c r="M21" s="76">
        <f>SUMIFS('октябрь 2025'!$G$2:$G$2619,'октябрь 2025'!$D$2:$D$2619,$B21,'октябрь 2025'!$J$2:$J$2619,M$1)</f>
        <v>0</v>
      </c>
      <c r="N21" s="76">
        <f>SUMIFS('октябрь 2025'!$G$2:$G$2619,'октябрь 2025'!$D$2:$D$2619,$B21,'октябрь 2025'!$J$2:$J$2619,N$1)</f>
        <v>0</v>
      </c>
      <c r="O21" s="76">
        <f>SUMIFS('октябрь 2025'!$G$2:$G$2619,'октябрь 2025'!$D$2:$D$2619,$B21,'октябрь 2025'!$J$2:$J$2619,O$1)</f>
        <v>0</v>
      </c>
      <c r="P21" s="76">
        <f>SUMIFS('октябрь 2025'!$G$2:$G$2619,'октябрь 2025'!$D$2:$D$2619,$B21,'октябрь 2025'!$J$2:$J$2619,P$1)</f>
        <v>0</v>
      </c>
      <c r="Q21" s="76">
        <f>SUMIFS('октябрь 2025'!$G$2:$G$2619,'октябрь 2025'!$D$2:$D$2619,$B21,'октябрь 2025'!$J$2:$J$2619,Q$1)</f>
        <v>0</v>
      </c>
      <c r="R21" s="76">
        <f>SUMIFS('октябрь 2025'!$G$2:$G$2619,'октябрь 2025'!$D$2:$D$2619,$B21,'октябрь 2025'!$J$2:$J$2619,R$1)</f>
        <v>0</v>
      </c>
      <c r="S21" s="76">
        <f>SUMIFS('октябрь 2025'!$G$2:$G$2619,'октябрь 2025'!$D$2:$D$2619,$B21,'октябрь 2025'!$J$2:$J$2619,S$1)</f>
        <v>0</v>
      </c>
      <c r="T21" s="76">
        <f>SUMIFS('октябрь 2025'!$G$2:$G$2619,'октябрь 2025'!$D$2:$D$2619,$B21,'октябрь 2025'!$J$2:$J$2619,T$1)</f>
        <v>0</v>
      </c>
      <c r="U21" s="76">
        <f>SUMIFS('октябрь 2025'!$G$2:$G$2619,'октябрь 2025'!$D$2:$D$2619,$B21,'октябрь 2025'!$J$2:$J$2619,U$1)</f>
        <v>0</v>
      </c>
      <c r="V21" s="76">
        <f>SUMIFS('октябрь 2025'!$G$2:$G$2619,'октябрь 2025'!$D$2:$D$2619,$B21,'октябрь 2025'!$J$2:$J$2619,V$1)</f>
        <v>0</v>
      </c>
      <c r="W21" s="76">
        <f>SUMIFS('октябрь 2025'!$G$2:$G$2619,'октябрь 2025'!$D$2:$D$2619,$B21,'октябрь 2025'!$J$2:$J$2619,W$1)</f>
        <v>0</v>
      </c>
      <c r="X21" s="76">
        <f>SUMIFS('октябрь 2025'!$G$2:$G$2619,'октябрь 2025'!$D$2:$D$2619,$B21,'октябрь 2025'!$J$2:$J$2619,X$1)</f>
        <v>0</v>
      </c>
      <c r="Y21" s="76">
        <f>SUMIFS('октябрь 2025'!$G$2:$G$2619,'октябрь 2025'!$D$2:$D$2619,$B21,'октябрь 2025'!$J$2:$J$2619,Y$1)</f>
        <v>0</v>
      </c>
      <c r="Z21" s="76">
        <f>SUMIFS('октябрь 2025'!$G$2:$G$2619,'октябрь 2025'!$D$2:$D$2619,$B21,'октябрь 2025'!$J$2:$J$2619,Z$1)</f>
        <v>0</v>
      </c>
      <c r="AA21" s="76">
        <f>SUMIFS('октябрь 2025'!$G$2:$G$2619,'октябрь 2025'!$D$2:$D$2619,$B21,'октябрь 2025'!$J$2:$J$2619,AA$1)</f>
        <v>0</v>
      </c>
      <c r="AB21" s="76">
        <f>SUMIFS('октябрь 2025'!$G$2:$G$2619,'октябрь 2025'!$D$2:$D$2619,$B21,'октябрь 2025'!$J$2:$J$2619,AB$1)</f>
        <v>0</v>
      </c>
      <c r="AC21" s="76">
        <f>SUMIFS('октябрь 2025'!$G$2:$G$2619,'октябрь 2025'!$D$2:$D$2619,$B21,'октябрь 2025'!$J$2:$J$2619,AC$1)</f>
        <v>0</v>
      </c>
      <c r="AD21" s="76">
        <f>SUMIFS('октябрь 2025'!$G$2:$G$2619,'октябрь 2025'!$D$2:$D$2619,$B21,'октябрь 2025'!$J$2:$J$2619,AD$1)</f>
        <v>0</v>
      </c>
      <c r="AE21" s="76">
        <f>SUMIFS('октябрь 2025'!$G$2:$G$2619,'октябрь 2025'!$D$2:$D$2619,$B21,'октябрь 2025'!$J$2:$J$2619,AE$1)</f>
        <v>0</v>
      </c>
      <c r="AF21" s="76">
        <f>SUMIFS('октябрь 2025'!$G$2:$G$2619,'октябрь 2025'!$D$2:$D$2619,$B21,'октябрь 2025'!$J$2:$J$2619,AF$1)</f>
        <v>0</v>
      </c>
      <c r="AG21" s="76">
        <f>SUMIFS('октябрь 2025'!$G$2:$G$2619,'октябрь 2025'!$D$2:$D$2619,$B21,'октябрь 2025'!$J$2:$J$2619,AG$1)</f>
        <v>0</v>
      </c>
      <c r="AH21" s="76">
        <f>SUMIFS('октябрь 2025'!$G$2:$G$2619,'октябрь 2025'!$D$2:$D$2619,$B21,'октябрь 2025'!$J$2:$J$2619,AH$1)</f>
        <v>0</v>
      </c>
      <c r="AI21" s="20">
        <f t="shared" si="1"/>
        <v>0</v>
      </c>
    </row>
    <row r="22" spans="2:35" ht="15" customHeight="1" x14ac:dyDescent="0.25">
      <c r="B22" s="77" t="s">
        <v>241</v>
      </c>
      <c r="C22" s="78">
        <v>25</v>
      </c>
      <c r="D22" s="76">
        <f>SUMIFS('октябрь 2025'!$G$2:$G$2619,'октябрь 2025'!$D$2:$D$2619,$B22,'октябрь 2025'!$J$2:$J$2619,D$1)</f>
        <v>0</v>
      </c>
      <c r="E22" s="76">
        <f>SUMIFS('октябрь 2025'!$G$2:$G$2619,'октябрь 2025'!$D$2:$D$2619,$B22,'октябрь 2025'!$J$2:$J$2619,E$1)</f>
        <v>0</v>
      </c>
      <c r="F22" s="76">
        <f>SUMIFS('октябрь 2025'!$G$2:$G$2619,'октябрь 2025'!$D$2:$D$2619,$B22,'октябрь 2025'!$J$2:$J$2619,F$1)</f>
        <v>0</v>
      </c>
      <c r="G22" s="76">
        <f>SUMIFS('октябрь 2025'!$G$2:$G$2619,'октябрь 2025'!$D$2:$D$2619,$B22,'октябрь 2025'!$J$2:$J$2619,G$1)</f>
        <v>0</v>
      </c>
      <c r="H22" s="76">
        <f>SUMIFS('октябрь 2025'!$G$2:$G$2619,'октябрь 2025'!$D$2:$D$2619,$B22,'октябрь 2025'!$J$2:$J$2619,H$1)</f>
        <v>0</v>
      </c>
      <c r="I22" s="76">
        <f>SUMIFS('октябрь 2025'!$G$2:$G$2619,'октябрь 2025'!$D$2:$D$2619,$B22,'октябрь 2025'!$J$2:$J$2619,I$1)</f>
        <v>0</v>
      </c>
      <c r="J22" s="76">
        <f>SUMIFS('октябрь 2025'!$G$2:$G$2619,'октябрь 2025'!$D$2:$D$2619,$B22,'октябрь 2025'!$J$2:$J$2619,J$1)</f>
        <v>0</v>
      </c>
      <c r="K22" s="76">
        <f>SUMIFS('октябрь 2025'!$G$2:$G$2619,'октябрь 2025'!$D$2:$D$2619,$B22,'октябрь 2025'!$J$2:$J$2619,K$1)</f>
        <v>0</v>
      </c>
      <c r="L22" s="76">
        <f>SUMIFS('октябрь 2025'!$G$2:$G$2619,'октябрь 2025'!$D$2:$D$2619,$B22,'октябрь 2025'!$J$2:$J$2619,L$1)</f>
        <v>0</v>
      </c>
      <c r="M22" s="76">
        <f>SUMIFS('октябрь 2025'!$G$2:$G$2619,'октябрь 2025'!$D$2:$D$2619,$B22,'октябрь 2025'!$J$2:$J$2619,M$1)</f>
        <v>0</v>
      </c>
      <c r="N22" s="76">
        <f>SUMIFS('октябрь 2025'!$G$2:$G$2619,'октябрь 2025'!$D$2:$D$2619,$B22,'октябрь 2025'!$J$2:$J$2619,N$1)</f>
        <v>0</v>
      </c>
      <c r="O22" s="76">
        <f>SUMIFS('октябрь 2025'!$G$2:$G$2619,'октябрь 2025'!$D$2:$D$2619,$B22,'октябрь 2025'!$J$2:$J$2619,O$1)</f>
        <v>0</v>
      </c>
      <c r="P22" s="76">
        <f>SUMIFS('октябрь 2025'!$G$2:$G$2619,'октябрь 2025'!$D$2:$D$2619,$B22,'октябрь 2025'!$J$2:$J$2619,P$1)</f>
        <v>0</v>
      </c>
      <c r="Q22" s="76">
        <f>SUMIFS('октябрь 2025'!$G$2:$G$2619,'октябрь 2025'!$D$2:$D$2619,$B22,'октябрь 2025'!$J$2:$J$2619,Q$1)</f>
        <v>0</v>
      </c>
      <c r="R22" s="76">
        <f>SUMIFS('октябрь 2025'!$G$2:$G$2619,'октябрь 2025'!$D$2:$D$2619,$B22,'октябрь 2025'!$J$2:$J$2619,R$1)</f>
        <v>0</v>
      </c>
      <c r="S22" s="76">
        <f>SUMIFS('октябрь 2025'!$G$2:$G$2619,'октябрь 2025'!$D$2:$D$2619,$B22,'октябрь 2025'!$J$2:$J$2619,S$1)</f>
        <v>0</v>
      </c>
      <c r="T22" s="76">
        <f>SUMIFS('октябрь 2025'!$G$2:$G$2619,'октябрь 2025'!$D$2:$D$2619,$B22,'октябрь 2025'!$J$2:$J$2619,T$1)</f>
        <v>0</v>
      </c>
      <c r="U22" s="76">
        <f>SUMIFS('октябрь 2025'!$G$2:$G$2619,'октябрь 2025'!$D$2:$D$2619,$B22,'октябрь 2025'!$J$2:$J$2619,U$1)</f>
        <v>0</v>
      </c>
      <c r="V22" s="76">
        <f>SUMIFS('октябрь 2025'!$G$2:$G$2619,'октябрь 2025'!$D$2:$D$2619,$B22,'октябрь 2025'!$J$2:$J$2619,V$1)</f>
        <v>0</v>
      </c>
      <c r="W22" s="76">
        <f>SUMIFS('октябрь 2025'!$G$2:$G$2619,'октябрь 2025'!$D$2:$D$2619,$B22,'октябрь 2025'!$J$2:$J$2619,W$1)</f>
        <v>0</v>
      </c>
      <c r="X22" s="76">
        <f>SUMIFS('октябрь 2025'!$G$2:$G$2619,'октябрь 2025'!$D$2:$D$2619,$B22,'октябрь 2025'!$J$2:$J$2619,X$1)</f>
        <v>0</v>
      </c>
      <c r="Y22" s="76">
        <f>SUMIFS('октябрь 2025'!$G$2:$G$2619,'октябрь 2025'!$D$2:$D$2619,$B22,'октябрь 2025'!$J$2:$J$2619,Y$1)</f>
        <v>0</v>
      </c>
      <c r="Z22" s="76">
        <f>SUMIFS('октябрь 2025'!$G$2:$G$2619,'октябрь 2025'!$D$2:$D$2619,$B22,'октябрь 2025'!$J$2:$J$2619,Z$1)</f>
        <v>0</v>
      </c>
      <c r="AA22" s="76">
        <f>SUMIFS('октябрь 2025'!$G$2:$G$2619,'октябрь 2025'!$D$2:$D$2619,$B22,'октябрь 2025'!$J$2:$J$2619,AA$1)</f>
        <v>0</v>
      </c>
      <c r="AB22" s="76">
        <f>SUMIFS('октябрь 2025'!$G$2:$G$2619,'октябрь 2025'!$D$2:$D$2619,$B22,'октябрь 2025'!$J$2:$J$2619,AB$1)</f>
        <v>0</v>
      </c>
      <c r="AC22" s="76">
        <f>SUMIFS('октябрь 2025'!$G$2:$G$2619,'октябрь 2025'!$D$2:$D$2619,$B22,'октябрь 2025'!$J$2:$J$2619,AC$1)</f>
        <v>0</v>
      </c>
      <c r="AD22" s="76">
        <f>SUMIFS('октябрь 2025'!$G$2:$G$2619,'октябрь 2025'!$D$2:$D$2619,$B22,'октябрь 2025'!$J$2:$J$2619,AD$1)</f>
        <v>0</v>
      </c>
      <c r="AE22" s="76">
        <f>SUMIFS('октябрь 2025'!$G$2:$G$2619,'октябрь 2025'!$D$2:$D$2619,$B22,'октябрь 2025'!$J$2:$J$2619,AE$1)</f>
        <v>0</v>
      </c>
      <c r="AF22" s="76">
        <f>SUMIFS('октябрь 2025'!$G$2:$G$2619,'октябрь 2025'!$D$2:$D$2619,$B22,'октябрь 2025'!$J$2:$J$2619,AF$1)</f>
        <v>0</v>
      </c>
      <c r="AG22" s="76">
        <f>SUMIFS('октябрь 2025'!$G$2:$G$2619,'октябрь 2025'!$D$2:$D$2619,$B22,'октябрь 2025'!$J$2:$J$2619,AG$1)</f>
        <v>0</v>
      </c>
      <c r="AH22" s="76">
        <f>SUMIFS('октябрь 2025'!$G$2:$G$2619,'октябрь 2025'!$D$2:$D$2619,$B22,'октябрь 2025'!$J$2:$J$2619,AH$1)</f>
        <v>0</v>
      </c>
      <c r="AI22" s="20">
        <f t="shared" si="1"/>
        <v>0</v>
      </c>
    </row>
    <row r="23" spans="2:35" ht="15" customHeight="1" x14ac:dyDescent="0.25">
      <c r="B23" s="77" t="s">
        <v>243</v>
      </c>
      <c r="C23" s="78">
        <v>25</v>
      </c>
      <c r="D23" s="76">
        <f>SUMIFS('октябрь 2025'!$G$2:$G$2619,'октябрь 2025'!$D$2:$D$2619,$B23,'октябрь 2025'!$J$2:$J$2619,D$1)</f>
        <v>0</v>
      </c>
      <c r="E23" s="76">
        <f>SUMIFS('октябрь 2025'!$G$2:$G$2619,'октябрь 2025'!$D$2:$D$2619,$B23,'октябрь 2025'!$J$2:$J$2619,E$1)</f>
        <v>0</v>
      </c>
      <c r="F23" s="76">
        <f>SUMIFS('октябрь 2025'!$G$2:$G$2619,'октябрь 2025'!$D$2:$D$2619,$B23,'октябрь 2025'!$J$2:$J$2619,F$1)</f>
        <v>0</v>
      </c>
      <c r="G23" s="76">
        <f>SUMIFS('октябрь 2025'!$G$2:$G$2619,'октябрь 2025'!$D$2:$D$2619,$B23,'октябрь 2025'!$J$2:$J$2619,G$1)</f>
        <v>0</v>
      </c>
      <c r="H23" s="76">
        <f>SUMIFS('октябрь 2025'!$G$2:$G$2619,'октябрь 2025'!$D$2:$D$2619,$B23,'октябрь 2025'!$J$2:$J$2619,H$1)</f>
        <v>0</v>
      </c>
      <c r="I23" s="76">
        <f>SUMIFS('октябрь 2025'!$G$2:$G$2619,'октябрь 2025'!$D$2:$D$2619,$B23,'октябрь 2025'!$J$2:$J$2619,I$1)</f>
        <v>0</v>
      </c>
      <c r="J23" s="76">
        <f>SUMIFS('октябрь 2025'!$G$2:$G$2619,'октябрь 2025'!$D$2:$D$2619,$B23,'октябрь 2025'!$J$2:$J$2619,J$1)</f>
        <v>0</v>
      </c>
      <c r="K23" s="76">
        <f>SUMIFS('октябрь 2025'!$G$2:$G$2619,'октябрь 2025'!$D$2:$D$2619,$B23,'октябрь 2025'!$J$2:$J$2619,K$1)</f>
        <v>0</v>
      </c>
      <c r="L23" s="76">
        <f>SUMIFS('октябрь 2025'!$G$2:$G$2619,'октябрь 2025'!$D$2:$D$2619,$B23,'октябрь 2025'!$J$2:$J$2619,L$1)</f>
        <v>0</v>
      </c>
      <c r="M23" s="76">
        <f>SUMIFS('октябрь 2025'!$G$2:$G$2619,'октябрь 2025'!$D$2:$D$2619,$B23,'октябрь 2025'!$J$2:$J$2619,M$1)</f>
        <v>0</v>
      </c>
      <c r="N23" s="76">
        <f>SUMIFS('октябрь 2025'!$G$2:$G$2619,'октябрь 2025'!$D$2:$D$2619,$B23,'октябрь 2025'!$J$2:$J$2619,N$1)</f>
        <v>0</v>
      </c>
      <c r="O23" s="76">
        <f>SUMIFS('октябрь 2025'!$G$2:$G$2619,'октябрь 2025'!$D$2:$D$2619,$B23,'октябрь 2025'!$J$2:$J$2619,O$1)</f>
        <v>0</v>
      </c>
      <c r="P23" s="76">
        <f>SUMIFS('октябрь 2025'!$G$2:$G$2619,'октябрь 2025'!$D$2:$D$2619,$B23,'октябрь 2025'!$J$2:$J$2619,P$1)</f>
        <v>0</v>
      </c>
      <c r="Q23" s="76">
        <f>SUMIFS('октябрь 2025'!$G$2:$G$2619,'октябрь 2025'!$D$2:$D$2619,$B23,'октябрь 2025'!$J$2:$J$2619,Q$1)</f>
        <v>0</v>
      </c>
      <c r="R23" s="76">
        <f>SUMIFS('октябрь 2025'!$G$2:$G$2619,'октябрь 2025'!$D$2:$D$2619,$B23,'октябрь 2025'!$J$2:$J$2619,R$1)</f>
        <v>0</v>
      </c>
      <c r="S23" s="76">
        <f>SUMIFS('октябрь 2025'!$G$2:$G$2619,'октябрь 2025'!$D$2:$D$2619,$B23,'октябрь 2025'!$J$2:$J$2619,S$1)</f>
        <v>0</v>
      </c>
      <c r="T23" s="76">
        <f>SUMIFS('октябрь 2025'!$G$2:$G$2619,'октябрь 2025'!$D$2:$D$2619,$B23,'октябрь 2025'!$J$2:$J$2619,T$1)</f>
        <v>0</v>
      </c>
      <c r="U23" s="76">
        <f>SUMIFS('октябрь 2025'!$G$2:$G$2619,'октябрь 2025'!$D$2:$D$2619,$B23,'октябрь 2025'!$J$2:$J$2619,U$1)</f>
        <v>0</v>
      </c>
      <c r="V23" s="76">
        <f>SUMIFS('октябрь 2025'!$G$2:$G$2619,'октябрь 2025'!$D$2:$D$2619,$B23,'октябрь 2025'!$J$2:$J$2619,V$1)</f>
        <v>0</v>
      </c>
      <c r="W23" s="76">
        <f>SUMIFS('октябрь 2025'!$G$2:$G$2619,'октябрь 2025'!$D$2:$D$2619,$B23,'октябрь 2025'!$J$2:$J$2619,W$1)</f>
        <v>0</v>
      </c>
      <c r="X23" s="76">
        <f>SUMIFS('октябрь 2025'!$G$2:$G$2619,'октябрь 2025'!$D$2:$D$2619,$B23,'октябрь 2025'!$J$2:$J$2619,X$1)</f>
        <v>0</v>
      </c>
      <c r="Y23" s="76">
        <f>SUMIFS('октябрь 2025'!$G$2:$G$2619,'октябрь 2025'!$D$2:$D$2619,$B23,'октябрь 2025'!$J$2:$J$2619,Y$1)</f>
        <v>0</v>
      </c>
      <c r="Z23" s="76">
        <f>SUMIFS('октябрь 2025'!$G$2:$G$2619,'октябрь 2025'!$D$2:$D$2619,$B23,'октябрь 2025'!$J$2:$J$2619,Z$1)</f>
        <v>0</v>
      </c>
      <c r="AA23" s="76">
        <f>SUMIFS('октябрь 2025'!$G$2:$G$2619,'октябрь 2025'!$D$2:$D$2619,$B23,'октябрь 2025'!$J$2:$J$2619,AA$1)</f>
        <v>0</v>
      </c>
      <c r="AB23" s="76">
        <f>SUMIFS('октябрь 2025'!$G$2:$G$2619,'октябрь 2025'!$D$2:$D$2619,$B23,'октябрь 2025'!$J$2:$J$2619,AB$1)</f>
        <v>0</v>
      </c>
      <c r="AC23" s="76">
        <f>SUMIFS('октябрь 2025'!$G$2:$G$2619,'октябрь 2025'!$D$2:$D$2619,$B23,'октябрь 2025'!$J$2:$J$2619,AC$1)</f>
        <v>0</v>
      </c>
      <c r="AD23" s="76">
        <f>SUMIFS('октябрь 2025'!$G$2:$G$2619,'октябрь 2025'!$D$2:$D$2619,$B23,'октябрь 2025'!$J$2:$J$2619,AD$1)</f>
        <v>0</v>
      </c>
      <c r="AE23" s="76">
        <f>SUMIFS('октябрь 2025'!$G$2:$G$2619,'октябрь 2025'!$D$2:$D$2619,$B23,'октябрь 2025'!$J$2:$J$2619,AE$1)</f>
        <v>0</v>
      </c>
      <c r="AF23" s="76">
        <f>SUMIFS('октябрь 2025'!$G$2:$G$2619,'октябрь 2025'!$D$2:$D$2619,$B23,'октябрь 2025'!$J$2:$J$2619,AF$1)</f>
        <v>0</v>
      </c>
      <c r="AG23" s="76">
        <f>SUMIFS('октябрь 2025'!$G$2:$G$2619,'октябрь 2025'!$D$2:$D$2619,$B23,'октябрь 2025'!$J$2:$J$2619,AG$1)</f>
        <v>0</v>
      </c>
      <c r="AH23" s="76">
        <f>SUMIFS('октябрь 2025'!$G$2:$G$2619,'октябрь 2025'!$D$2:$D$2619,$B23,'октябрь 2025'!$J$2:$J$2619,AH$1)</f>
        <v>0</v>
      </c>
      <c r="AI23" s="20">
        <f t="shared" si="1"/>
        <v>0</v>
      </c>
    </row>
    <row r="24" spans="2:35" ht="15" customHeight="1" x14ac:dyDescent="0.25">
      <c r="B24" s="77" t="s">
        <v>245</v>
      </c>
      <c r="C24" s="78">
        <v>25</v>
      </c>
      <c r="D24" s="76">
        <f>SUMIFS('октябрь 2025'!$G$2:$G$2619,'октябрь 2025'!$D$2:$D$2619,$B24,'октябрь 2025'!$J$2:$J$2619,D$1)</f>
        <v>0</v>
      </c>
      <c r="E24" s="76">
        <f>SUMIFS('октябрь 2025'!$G$2:$G$2619,'октябрь 2025'!$D$2:$D$2619,$B24,'октябрь 2025'!$J$2:$J$2619,E$1)</f>
        <v>0</v>
      </c>
      <c r="F24" s="76">
        <f>SUMIFS('октябрь 2025'!$G$2:$G$2619,'октябрь 2025'!$D$2:$D$2619,$B24,'октябрь 2025'!$J$2:$J$2619,F$1)</f>
        <v>0</v>
      </c>
      <c r="G24" s="76">
        <f>SUMIFS('октябрь 2025'!$G$2:$G$2619,'октябрь 2025'!$D$2:$D$2619,$B24,'октябрь 2025'!$J$2:$J$2619,G$1)</f>
        <v>0</v>
      </c>
      <c r="H24" s="76">
        <f>SUMIFS('октябрь 2025'!$G$2:$G$2619,'октябрь 2025'!$D$2:$D$2619,$B24,'октябрь 2025'!$J$2:$J$2619,H$1)</f>
        <v>0</v>
      </c>
      <c r="I24" s="76">
        <f>SUMIFS('октябрь 2025'!$G$2:$G$2619,'октябрь 2025'!$D$2:$D$2619,$B24,'октябрь 2025'!$J$2:$J$2619,I$1)</f>
        <v>0</v>
      </c>
      <c r="J24" s="76">
        <f>SUMIFS('октябрь 2025'!$G$2:$G$2619,'октябрь 2025'!$D$2:$D$2619,$B24,'октябрь 2025'!$J$2:$J$2619,J$1)</f>
        <v>0</v>
      </c>
      <c r="K24" s="76">
        <f>SUMIFS('октябрь 2025'!$G$2:$G$2619,'октябрь 2025'!$D$2:$D$2619,$B24,'октябрь 2025'!$J$2:$J$2619,K$1)</f>
        <v>0</v>
      </c>
      <c r="L24" s="76">
        <f>SUMIFS('октябрь 2025'!$G$2:$G$2619,'октябрь 2025'!$D$2:$D$2619,$B24,'октябрь 2025'!$J$2:$J$2619,L$1)</f>
        <v>0</v>
      </c>
      <c r="M24" s="76">
        <f>SUMIFS('октябрь 2025'!$G$2:$G$2619,'октябрь 2025'!$D$2:$D$2619,$B24,'октябрь 2025'!$J$2:$J$2619,M$1)</f>
        <v>0</v>
      </c>
      <c r="N24" s="76">
        <f>SUMIFS('октябрь 2025'!$G$2:$G$2619,'октябрь 2025'!$D$2:$D$2619,$B24,'октябрь 2025'!$J$2:$J$2619,N$1)</f>
        <v>0</v>
      </c>
      <c r="O24" s="76">
        <f>SUMIFS('октябрь 2025'!$G$2:$G$2619,'октябрь 2025'!$D$2:$D$2619,$B24,'октябрь 2025'!$J$2:$J$2619,O$1)</f>
        <v>0</v>
      </c>
      <c r="P24" s="76">
        <f>SUMIFS('октябрь 2025'!$G$2:$G$2619,'октябрь 2025'!$D$2:$D$2619,$B24,'октябрь 2025'!$J$2:$J$2619,P$1)</f>
        <v>0</v>
      </c>
      <c r="Q24" s="76">
        <f>SUMIFS('октябрь 2025'!$G$2:$G$2619,'октябрь 2025'!$D$2:$D$2619,$B24,'октябрь 2025'!$J$2:$J$2619,Q$1)</f>
        <v>0</v>
      </c>
      <c r="R24" s="76">
        <f>SUMIFS('октябрь 2025'!$G$2:$G$2619,'октябрь 2025'!$D$2:$D$2619,$B24,'октябрь 2025'!$J$2:$J$2619,R$1)</f>
        <v>0</v>
      </c>
      <c r="S24" s="76">
        <f>SUMIFS('октябрь 2025'!$G$2:$G$2619,'октябрь 2025'!$D$2:$D$2619,$B24,'октябрь 2025'!$J$2:$J$2619,S$1)</f>
        <v>0</v>
      </c>
      <c r="T24" s="76">
        <f>SUMIFS('октябрь 2025'!$G$2:$G$2619,'октябрь 2025'!$D$2:$D$2619,$B24,'октябрь 2025'!$J$2:$J$2619,T$1)</f>
        <v>0</v>
      </c>
      <c r="U24" s="76">
        <f>SUMIFS('октябрь 2025'!$G$2:$G$2619,'октябрь 2025'!$D$2:$D$2619,$B24,'октябрь 2025'!$J$2:$J$2619,U$1)</f>
        <v>0</v>
      </c>
      <c r="V24" s="76">
        <f>SUMIFS('октябрь 2025'!$G$2:$G$2619,'октябрь 2025'!$D$2:$D$2619,$B24,'октябрь 2025'!$J$2:$J$2619,V$1)</f>
        <v>0</v>
      </c>
      <c r="W24" s="76">
        <f>SUMIFS('октябрь 2025'!$G$2:$G$2619,'октябрь 2025'!$D$2:$D$2619,$B24,'октябрь 2025'!$J$2:$J$2619,W$1)</f>
        <v>0</v>
      </c>
      <c r="X24" s="76">
        <f>SUMIFS('октябрь 2025'!$G$2:$G$2619,'октябрь 2025'!$D$2:$D$2619,$B24,'октябрь 2025'!$J$2:$J$2619,X$1)</f>
        <v>0</v>
      </c>
      <c r="Y24" s="76">
        <f>SUMIFS('октябрь 2025'!$G$2:$G$2619,'октябрь 2025'!$D$2:$D$2619,$B24,'октябрь 2025'!$J$2:$J$2619,Y$1)</f>
        <v>0</v>
      </c>
      <c r="Z24" s="76">
        <f>SUMIFS('октябрь 2025'!$G$2:$G$2619,'октябрь 2025'!$D$2:$D$2619,$B24,'октябрь 2025'!$J$2:$J$2619,Z$1)</f>
        <v>0</v>
      </c>
      <c r="AA24" s="76">
        <f>SUMIFS('октябрь 2025'!$G$2:$G$2619,'октябрь 2025'!$D$2:$D$2619,$B24,'октябрь 2025'!$J$2:$J$2619,AA$1)</f>
        <v>0</v>
      </c>
      <c r="AB24" s="76">
        <f>SUMIFS('октябрь 2025'!$G$2:$G$2619,'октябрь 2025'!$D$2:$D$2619,$B24,'октябрь 2025'!$J$2:$J$2619,AB$1)</f>
        <v>0</v>
      </c>
      <c r="AC24" s="76">
        <f>SUMIFS('октябрь 2025'!$G$2:$G$2619,'октябрь 2025'!$D$2:$D$2619,$B24,'октябрь 2025'!$J$2:$J$2619,AC$1)</f>
        <v>0</v>
      </c>
      <c r="AD24" s="76">
        <f>SUMIFS('октябрь 2025'!$G$2:$G$2619,'октябрь 2025'!$D$2:$D$2619,$B24,'октябрь 2025'!$J$2:$J$2619,AD$1)</f>
        <v>0</v>
      </c>
      <c r="AE24" s="76">
        <f>SUMIFS('октябрь 2025'!$G$2:$G$2619,'октябрь 2025'!$D$2:$D$2619,$B24,'октябрь 2025'!$J$2:$J$2619,AE$1)</f>
        <v>0</v>
      </c>
      <c r="AF24" s="76">
        <f>SUMIFS('октябрь 2025'!$G$2:$G$2619,'октябрь 2025'!$D$2:$D$2619,$B24,'октябрь 2025'!$J$2:$J$2619,AF$1)</f>
        <v>0</v>
      </c>
      <c r="AG24" s="76">
        <f>SUMIFS('октябрь 2025'!$G$2:$G$2619,'октябрь 2025'!$D$2:$D$2619,$B24,'октябрь 2025'!$J$2:$J$2619,AG$1)</f>
        <v>0</v>
      </c>
      <c r="AH24" s="76">
        <f>SUMIFS('октябрь 2025'!$G$2:$G$2619,'октябрь 2025'!$D$2:$D$2619,$B24,'октябрь 2025'!$J$2:$J$2619,AH$1)</f>
        <v>0</v>
      </c>
      <c r="AI24" s="20">
        <f t="shared" si="1"/>
        <v>0</v>
      </c>
    </row>
    <row r="25" spans="2:35" ht="15" customHeight="1" x14ac:dyDescent="0.25">
      <c r="B25" s="80" t="s">
        <v>247</v>
      </c>
      <c r="C25" s="96">
        <v>25</v>
      </c>
      <c r="D25" s="76">
        <f>SUMIFS('октябрь 2025'!$G$2:$G$2619,'октябрь 2025'!$D$2:$D$2619,$B25,'октябрь 2025'!$J$2:$J$2619,D$1)</f>
        <v>0</v>
      </c>
      <c r="E25" s="76">
        <f>SUMIFS('октябрь 2025'!$G$2:$G$2619,'октябрь 2025'!$D$2:$D$2619,$B25,'октябрь 2025'!$J$2:$J$2619,E$1)</f>
        <v>0</v>
      </c>
      <c r="F25" s="76">
        <f>SUMIFS('октябрь 2025'!$G$2:$G$2619,'октябрь 2025'!$D$2:$D$2619,$B25,'октябрь 2025'!$J$2:$J$2619,F$1)</f>
        <v>0</v>
      </c>
      <c r="G25" s="76">
        <f>SUMIFS('октябрь 2025'!$G$2:$G$2619,'октябрь 2025'!$D$2:$D$2619,$B25,'октябрь 2025'!$J$2:$J$2619,G$1)</f>
        <v>0</v>
      </c>
      <c r="H25" s="76">
        <f>SUMIFS('октябрь 2025'!$G$2:$G$2619,'октябрь 2025'!$D$2:$D$2619,$B25,'октябрь 2025'!$J$2:$J$2619,H$1)</f>
        <v>0</v>
      </c>
      <c r="I25" s="76">
        <f>SUMIFS('октябрь 2025'!$G$2:$G$2619,'октябрь 2025'!$D$2:$D$2619,$B25,'октябрь 2025'!$J$2:$J$2619,I$1)</f>
        <v>0</v>
      </c>
      <c r="J25" s="76">
        <f>SUMIFS('октябрь 2025'!$G$2:$G$2619,'октябрь 2025'!$D$2:$D$2619,$B25,'октябрь 2025'!$J$2:$J$2619,J$1)</f>
        <v>0</v>
      </c>
      <c r="K25" s="76">
        <f>SUMIFS('октябрь 2025'!$G$2:$G$2619,'октябрь 2025'!$D$2:$D$2619,$B25,'октябрь 2025'!$J$2:$J$2619,K$1)</f>
        <v>0</v>
      </c>
      <c r="L25" s="76">
        <f>SUMIFS('октябрь 2025'!$G$2:$G$2619,'октябрь 2025'!$D$2:$D$2619,$B25,'октябрь 2025'!$J$2:$J$2619,L$1)</f>
        <v>0</v>
      </c>
      <c r="M25" s="76">
        <f>SUMIFS('октябрь 2025'!$G$2:$G$2619,'октябрь 2025'!$D$2:$D$2619,$B25,'октябрь 2025'!$J$2:$J$2619,M$1)</f>
        <v>0</v>
      </c>
      <c r="N25" s="76">
        <f>SUMIFS('октябрь 2025'!$G$2:$G$2619,'октябрь 2025'!$D$2:$D$2619,$B25,'октябрь 2025'!$J$2:$J$2619,N$1)</f>
        <v>0</v>
      </c>
      <c r="O25" s="76">
        <f>SUMIFS('октябрь 2025'!$G$2:$G$2619,'октябрь 2025'!$D$2:$D$2619,$B25,'октябрь 2025'!$J$2:$J$2619,O$1)</f>
        <v>0</v>
      </c>
      <c r="P25" s="76">
        <f>SUMIFS('октябрь 2025'!$G$2:$G$2619,'октябрь 2025'!$D$2:$D$2619,$B25,'октябрь 2025'!$J$2:$J$2619,P$1)</f>
        <v>0</v>
      </c>
      <c r="Q25" s="76">
        <f>SUMIFS('октябрь 2025'!$G$2:$G$2619,'октябрь 2025'!$D$2:$D$2619,$B25,'октябрь 2025'!$J$2:$J$2619,Q$1)</f>
        <v>0</v>
      </c>
      <c r="R25" s="76">
        <f>SUMIFS('октябрь 2025'!$G$2:$G$2619,'октябрь 2025'!$D$2:$D$2619,$B25,'октябрь 2025'!$J$2:$J$2619,R$1)</f>
        <v>0</v>
      </c>
      <c r="S25" s="76">
        <f>SUMIFS('октябрь 2025'!$G$2:$G$2619,'октябрь 2025'!$D$2:$D$2619,$B25,'октябрь 2025'!$J$2:$J$2619,S$1)</f>
        <v>0</v>
      </c>
      <c r="T25" s="76">
        <f>SUMIFS('октябрь 2025'!$G$2:$G$2619,'октябрь 2025'!$D$2:$D$2619,$B25,'октябрь 2025'!$J$2:$J$2619,T$1)</f>
        <v>0</v>
      </c>
      <c r="U25" s="76">
        <f>SUMIFS('октябрь 2025'!$G$2:$G$2619,'октябрь 2025'!$D$2:$D$2619,$B25,'октябрь 2025'!$J$2:$J$2619,U$1)</f>
        <v>0</v>
      </c>
      <c r="V25" s="76">
        <f>SUMIFS('октябрь 2025'!$G$2:$G$2619,'октябрь 2025'!$D$2:$D$2619,$B25,'октябрь 2025'!$J$2:$J$2619,V$1)</f>
        <v>0</v>
      </c>
      <c r="W25" s="76">
        <f>SUMIFS('октябрь 2025'!$G$2:$G$2619,'октябрь 2025'!$D$2:$D$2619,$B25,'октябрь 2025'!$J$2:$J$2619,W$1)</f>
        <v>0</v>
      </c>
      <c r="X25" s="76">
        <f>SUMIFS('октябрь 2025'!$G$2:$G$2619,'октябрь 2025'!$D$2:$D$2619,$B25,'октябрь 2025'!$J$2:$J$2619,X$1)</f>
        <v>0</v>
      </c>
      <c r="Y25" s="76">
        <f>SUMIFS('октябрь 2025'!$G$2:$G$2619,'октябрь 2025'!$D$2:$D$2619,$B25,'октябрь 2025'!$J$2:$J$2619,Y$1)</f>
        <v>0</v>
      </c>
      <c r="Z25" s="76">
        <f>SUMIFS('октябрь 2025'!$G$2:$G$2619,'октябрь 2025'!$D$2:$D$2619,$B25,'октябрь 2025'!$J$2:$J$2619,Z$1)</f>
        <v>0</v>
      </c>
      <c r="AA25" s="76">
        <f>SUMIFS('октябрь 2025'!$G$2:$G$2619,'октябрь 2025'!$D$2:$D$2619,$B25,'октябрь 2025'!$J$2:$J$2619,AA$1)</f>
        <v>0</v>
      </c>
      <c r="AB25" s="76">
        <f>SUMIFS('октябрь 2025'!$G$2:$G$2619,'октябрь 2025'!$D$2:$D$2619,$B25,'октябрь 2025'!$J$2:$J$2619,AB$1)</f>
        <v>0</v>
      </c>
      <c r="AC25" s="76">
        <f>SUMIFS('октябрь 2025'!$G$2:$G$2619,'октябрь 2025'!$D$2:$D$2619,$B25,'октябрь 2025'!$J$2:$J$2619,AC$1)</f>
        <v>0</v>
      </c>
      <c r="AD25" s="76">
        <f>SUMIFS('октябрь 2025'!$G$2:$G$2619,'октябрь 2025'!$D$2:$D$2619,$B25,'октябрь 2025'!$J$2:$J$2619,AD$1)</f>
        <v>0</v>
      </c>
      <c r="AE25" s="76">
        <f>SUMIFS('октябрь 2025'!$G$2:$G$2619,'октябрь 2025'!$D$2:$D$2619,$B25,'октябрь 2025'!$J$2:$J$2619,AE$1)</f>
        <v>0</v>
      </c>
      <c r="AF25" s="76">
        <f>SUMIFS('октябрь 2025'!$G$2:$G$2619,'октябрь 2025'!$D$2:$D$2619,$B25,'октябрь 2025'!$J$2:$J$2619,AF$1)</f>
        <v>0</v>
      </c>
      <c r="AG25" s="76">
        <f>SUMIFS('октябрь 2025'!$G$2:$G$2619,'октябрь 2025'!$D$2:$D$2619,$B25,'октябрь 2025'!$J$2:$J$2619,AG$1)</f>
        <v>0</v>
      </c>
      <c r="AH25" s="76">
        <f>SUMIFS('октябрь 2025'!$G$2:$G$2619,'октябрь 2025'!$D$2:$D$2619,$B25,'октябрь 2025'!$J$2:$J$2619,AH$1)</f>
        <v>0</v>
      </c>
      <c r="AI25" s="20">
        <f t="shared" si="1"/>
        <v>0</v>
      </c>
    </row>
    <row r="26" spans="2:35" ht="15" customHeight="1" x14ac:dyDescent="0.25">
      <c r="B26" s="80" t="s">
        <v>248</v>
      </c>
      <c r="C26" s="78">
        <v>25</v>
      </c>
      <c r="D26" s="76">
        <f>SUMIFS('октябрь 2025'!$G$2:$G$2619,'октябрь 2025'!$D$2:$D$2619,$B26,'октябрь 2025'!$J$2:$J$2619,D$1)</f>
        <v>0</v>
      </c>
      <c r="E26" s="76">
        <f>SUMIFS('октябрь 2025'!$G$2:$G$2619,'октябрь 2025'!$D$2:$D$2619,$B26,'октябрь 2025'!$J$2:$J$2619,E$1)</f>
        <v>0</v>
      </c>
      <c r="F26" s="76">
        <f>SUMIFS('октябрь 2025'!$G$2:$G$2619,'октябрь 2025'!$D$2:$D$2619,$B26,'октябрь 2025'!$J$2:$J$2619,F$1)</f>
        <v>0</v>
      </c>
      <c r="G26" s="76">
        <f>SUMIFS('октябрь 2025'!$G$2:$G$2619,'октябрь 2025'!$D$2:$D$2619,$B26,'октябрь 2025'!$J$2:$J$2619,G$1)</f>
        <v>0</v>
      </c>
      <c r="H26" s="76">
        <f>SUMIFS('октябрь 2025'!$G$2:$G$2619,'октябрь 2025'!$D$2:$D$2619,$B26,'октябрь 2025'!$J$2:$J$2619,H$1)</f>
        <v>0</v>
      </c>
      <c r="I26" s="76">
        <f>SUMIFS('октябрь 2025'!$G$2:$G$2619,'октябрь 2025'!$D$2:$D$2619,$B26,'октябрь 2025'!$J$2:$J$2619,I$1)</f>
        <v>0</v>
      </c>
      <c r="J26" s="76">
        <f>SUMIFS('октябрь 2025'!$G$2:$G$2619,'октябрь 2025'!$D$2:$D$2619,$B26,'октябрь 2025'!$J$2:$J$2619,J$1)</f>
        <v>0</v>
      </c>
      <c r="K26" s="76">
        <f>SUMIFS('октябрь 2025'!$G$2:$G$2619,'октябрь 2025'!$D$2:$D$2619,$B26,'октябрь 2025'!$J$2:$J$2619,K$1)</f>
        <v>0</v>
      </c>
      <c r="L26" s="76">
        <f>SUMIFS('октябрь 2025'!$G$2:$G$2619,'октябрь 2025'!$D$2:$D$2619,$B26,'октябрь 2025'!$J$2:$J$2619,L$1)</f>
        <v>0</v>
      </c>
      <c r="M26" s="76">
        <f>SUMIFS('октябрь 2025'!$G$2:$G$2619,'октябрь 2025'!$D$2:$D$2619,$B26,'октябрь 2025'!$J$2:$J$2619,M$1)</f>
        <v>0</v>
      </c>
      <c r="N26" s="76">
        <f>SUMIFS('октябрь 2025'!$G$2:$G$2619,'октябрь 2025'!$D$2:$D$2619,$B26,'октябрь 2025'!$J$2:$J$2619,N$1)</f>
        <v>0</v>
      </c>
      <c r="O26" s="76">
        <f>SUMIFS('октябрь 2025'!$G$2:$G$2619,'октябрь 2025'!$D$2:$D$2619,$B26,'октябрь 2025'!$J$2:$J$2619,O$1)</f>
        <v>0</v>
      </c>
      <c r="P26" s="76">
        <f>SUMIFS('октябрь 2025'!$G$2:$G$2619,'октябрь 2025'!$D$2:$D$2619,$B26,'октябрь 2025'!$J$2:$J$2619,P$1)</f>
        <v>0</v>
      </c>
      <c r="Q26" s="76">
        <f>SUMIFS('октябрь 2025'!$G$2:$G$2619,'октябрь 2025'!$D$2:$D$2619,$B26,'октябрь 2025'!$J$2:$J$2619,Q$1)</f>
        <v>0</v>
      </c>
      <c r="R26" s="76">
        <f>SUMIFS('октябрь 2025'!$G$2:$G$2619,'октябрь 2025'!$D$2:$D$2619,$B26,'октябрь 2025'!$J$2:$J$2619,R$1)</f>
        <v>0</v>
      </c>
      <c r="S26" s="76">
        <f>SUMIFS('октябрь 2025'!$G$2:$G$2619,'октябрь 2025'!$D$2:$D$2619,$B26,'октябрь 2025'!$J$2:$J$2619,S$1)</f>
        <v>0</v>
      </c>
      <c r="T26" s="76">
        <f>SUMIFS('октябрь 2025'!$G$2:$G$2619,'октябрь 2025'!$D$2:$D$2619,$B26,'октябрь 2025'!$J$2:$J$2619,T$1)</f>
        <v>0</v>
      </c>
      <c r="U26" s="76">
        <f>SUMIFS('октябрь 2025'!$G$2:$G$2619,'октябрь 2025'!$D$2:$D$2619,$B26,'октябрь 2025'!$J$2:$J$2619,U$1)</f>
        <v>0</v>
      </c>
      <c r="V26" s="76">
        <f>SUMIFS('октябрь 2025'!$G$2:$G$2619,'октябрь 2025'!$D$2:$D$2619,$B26,'октябрь 2025'!$J$2:$J$2619,V$1)</f>
        <v>0</v>
      </c>
      <c r="W26" s="76">
        <f>SUMIFS('октябрь 2025'!$G$2:$G$2619,'октябрь 2025'!$D$2:$D$2619,$B26,'октябрь 2025'!$J$2:$J$2619,W$1)</f>
        <v>0</v>
      </c>
      <c r="X26" s="76">
        <f>SUMIFS('октябрь 2025'!$G$2:$G$2619,'октябрь 2025'!$D$2:$D$2619,$B26,'октябрь 2025'!$J$2:$J$2619,X$1)</f>
        <v>0</v>
      </c>
      <c r="Y26" s="76">
        <f>SUMIFS('октябрь 2025'!$G$2:$G$2619,'октябрь 2025'!$D$2:$D$2619,$B26,'октябрь 2025'!$J$2:$J$2619,Y$1)</f>
        <v>0</v>
      </c>
      <c r="Z26" s="76">
        <f>SUMIFS('октябрь 2025'!$G$2:$G$2619,'октябрь 2025'!$D$2:$D$2619,$B26,'октябрь 2025'!$J$2:$J$2619,Z$1)</f>
        <v>0</v>
      </c>
      <c r="AA26" s="76">
        <f>SUMIFS('октябрь 2025'!$G$2:$G$2619,'октябрь 2025'!$D$2:$D$2619,$B26,'октябрь 2025'!$J$2:$J$2619,AA$1)</f>
        <v>0</v>
      </c>
      <c r="AB26" s="76">
        <f>SUMIFS('октябрь 2025'!$G$2:$G$2619,'октябрь 2025'!$D$2:$D$2619,$B26,'октябрь 2025'!$J$2:$J$2619,AB$1)</f>
        <v>0</v>
      </c>
      <c r="AC26" s="76">
        <f>SUMIFS('октябрь 2025'!$G$2:$G$2619,'октябрь 2025'!$D$2:$D$2619,$B26,'октябрь 2025'!$J$2:$J$2619,AC$1)</f>
        <v>0</v>
      </c>
      <c r="AD26" s="76">
        <f>SUMIFS('октябрь 2025'!$G$2:$G$2619,'октябрь 2025'!$D$2:$D$2619,$B26,'октябрь 2025'!$J$2:$J$2619,AD$1)</f>
        <v>0</v>
      </c>
      <c r="AE26" s="76">
        <f>SUMIFS('октябрь 2025'!$G$2:$G$2619,'октябрь 2025'!$D$2:$D$2619,$B26,'октябрь 2025'!$J$2:$J$2619,AE$1)</f>
        <v>0</v>
      </c>
      <c r="AF26" s="76">
        <f>SUMIFS('октябрь 2025'!$G$2:$G$2619,'октябрь 2025'!$D$2:$D$2619,$B26,'октябрь 2025'!$J$2:$J$2619,AF$1)</f>
        <v>0</v>
      </c>
      <c r="AG26" s="76">
        <f>SUMIFS('октябрь 2025'!$G$2:$G$2619,'октябрь 2025'!$D$2:$D$2619,$B26,'октябрь 2025'!$J$2:$J$2619,AG$1)</f>
        <v>0</v>
      </c>
      <c r="AH26" s="76">
        <f>SUMIFS('октябрь 2025'!$G$2:$G$2619,'октябрь 2025'!$D$2:$D$2619,$B26,'октябрь 2025'!$J$2:$J$2619,AH$1)</f>
        <v>0</v>
      </c>
      <c r="AI26" s="20">
        <f t="shared" si="1"/>
        <v>0</v>
      </c>
    </row>
    <row r="27" spans="2:35" ht="15" customHeight="1" x14ac:dyDescent="0.25">
      <c r="B27" s="80" t="s">
        <v>249</v>
      </c>
      <c r="C27" s="78">
        <v>25</v>
      </c>
      <c r="D27" s="76">
        <f>SUMIFS('октябрь 2025'!$G$2:$G$2619,'октябрь 2025'!$D$2:$D$2619,$B27,'октябрь 2025'!$J$2:$J$2619,D$1)</f>
        <v>0</v>
      </c>
      <c r="E27" s="76">
        <f>SUMIFS('октябрь 2025'!$G$2:$G$2619,'октябрь 2025'!$D$2:$D$2619,$B27,'октябрь 2025'!$J$2:$J$2619,E$1)</f>
        <v>0</v>
      </c>
      <c r="F27" s="76">
        <f>SUMIFS('октябрь 2025'!$G$2:$G$2619,'октябрь 2025'!$D$2:$D$2619,$B27,'октябрь 2025'!$J$2:$J$2619,F$1)</f>
        <v>0</v>
      </c>
      <c r="G27" s="76">
        <f>SUMIFS('октябрь 2025'!$G$2:$G$2619,'октябрь 2025'!$D$2:$D$2619,$B27,'октябрь 2025'!$J$2:$J$2619,G$1)</f>
        <v>0</v>
      </c>
      <c r="H27" s="76">
        <f>SUMIFS('октябрь 2025'!$G$2:$G$2619,'октябрь 2025'!$D$2:$D$2619,$B27,'октябрь 2025'!$J$2:$J$2619,H$1)</f>
        <v>0</v>
      </c>
      <c r="I27" s="76">
        <f>SUMIFS('октябрь 2025'!$G$2:$G$2619,'октябрь 2025'!$D$2:$D$2619,$B27,'октябрь 2025'!$J$2:$J$2619,I$1)</f>
        <v>0</v>
      </c>
      <c r="J27" s="76">
        <f>SUMIFS('октябрь 2025'!$G$2:$G$2619,'октябрь 2025'!$D$2:$D$2619,$B27,'октябрь 2025'!$J$2:$J$2619,J$1)</f>
        <v>0</v>
      </c>
      <c r="K27" s="76">
        <f>SUMIFS('октябрь 2025'!$G$2:$G$2619,'октябрь 2025'!$D$2:$D$2619,$B27,'октябрь 2025'!$J$2:$J$2619,K$1)</f>
        <v>0</v>
      </c>
      <c r="L27" s="76">
        <f>SUMIFS('октябрь 2025'!$G$2:$G$2619,'октябрь 2025'!$D$2:$D$2619,$B27,'октябрь 2025'!$J$2:$J$2619,L$1)</f>
        <v>0</v>
      </c>
      <c r="M27" s="76">
        <f>SUMIFS('октябрь 2025'!$G$2:$G$2619,'октябрь 2025'!$D$2:$D$2619,$B27,'октябрь 2025'!$J$2:$J$2619,M$1)</f>
        <v>0</v>
      </c>
      <c r="N27" s="76">
        <f>SUMIFS('октябрь 2025'!$G$2:$G$2619,'октябрь 2025'!$D$2:$D$2619,$B27,'октябрь 2025'!$J$2:$J$2619,N$1)</f>
        <v>0</v>
      </c>
      <c r="O27" s="76">
        <f>SUMIFS('октябрь 2025'!$G$2:$G$2619,'октябрь 2025'!$D$2:$D$2619,$B27,'октябрь 2025'!$J$2:$J$2619,O$1)</f>
        <v>0</v>
      </c>
      <c r="P27" s="76">
        <f>SUMIFS('октябрь 2025'!$G$2:$G$2619,'октябрь 2025'!$D$2:$D$2619,$B27,'октябрь 2025'!$J$2:$J$2619,P$1)</f>
        <v>0</v>
      </c>
      <c r="Q27" s="76">
        <f>SUMIFS('октябрь 2025'!$G$2:$G$2619,'октябрь 2025'!$D$2:$D$2619,$B27,'октябрь 2025'!$J$2:$J$2619,Q$1)</f>
        <v>0</v>
      </c>
      <c r="R27" s="76">
        <f>SUMIFS('октябрь 2025'!$G$2:$G$2619,'октябрь 2025'!$D$2:$D$2619,$B27,'октябрь 2025'!$J$2:$J$2619,R$1)</f>
        <v>0</v>
      </c>
      <c r="S27" s="76">
        <f>SUMIFS('октябрь 2025'!$G$2:$G$2619,'октябрь 2025'!$D$2:$D$2619,$B27,'октябрь 2025'!$J$2:$J$2619,S$1)</f>
        <v>0</v>
      </c>
      <c r="T27" s="76">
        <f>SUMIFS('октябрь 2025'!$G$2:$G$2619,'октябрь 2025'!$D$2:$D$2619,$B27,'октябрь 2025'!$J$2:$J$2619,T$1)</f>
        <v>0</v>
      </c>
      <c r="U27" s="76">
        <f>SUMIFS('октябрь 2025'!$G$2:$G$2619,'октябрь 2025'!$D$2:$D$2619,$B27,'октябрь 2025'!$J$2:$J$2619,U$1)</f>
        <v>0</v>
      </c>
      <c r="V27" s="76">
        <f>SUMIFS('октябрь 2025'!$G$2:$G$2619,'октябрь 2025'!$D$2:$D$2619,$B27,'октябрь 2025'!$J$2:$J$2619,V$1)</f>
        <v>0</v>
      </c>
      <c r="W27" s="76">
        <f>SUMIFS('октябрь 2025'!$G$2:$G$2619,'октябрь 2025'!$D$2:$D$2619,$B27,'октябрь 2025'!$J$2:$J$2619,W$1)</f>
        <v>0</v>
      </c>
      <c r="X27" s="76">
        <f>SUMIFS('октябрь 2025'!$G$2:$G$2619,'октябрь 2025'!$D$2:$D$2619,$B27,'октябрь 2025'!$J$2:$J$2619,X$1)</f>
        <v>0</v>
      </c>
      <c r="Y27" s="76">
        <f>SUMIFS('октябрь 2025'!$G$2:$G$2619,'октябрь 2025'!$D$2:$D$2619,$B27,'октябрь 2025'!$J$2:$J$2619,Y$1)</f>
        <v>0</v>
      </c>
      <c r="Z27" s="76">
        <f>SUMIFS('октябрь 2025'!$G$2:$G$2619,'октябрь 2025'!$D$2:$D$2619,$B27,'октябрь 2025'!$J$2:$J$2619,Z$1)</f>
        <v>0</v>
      </c>
      <c r="AA27" s="76">
        <f>SUMIFS('октябрь 2025'!$G$2:$G$2619,'октябрь 2025'!$D$2:$D$2619,$B27,'октябрь 2025'!$J$2:$J$2619,AA$1)</f>
        <v>0</v>
      </c>
      <c r="AB27" s="76">
        <f>SUMIFS('октябрь 2025'!$G$2:$G$2619,'октябрь 2025'!$D$2:$D$2619,$B27,'октябрь 2025'!$J$2:$J$2619,AB$1)</f>
        <v>0</v>
      </c>
      <c r="AC27" s="76">
        <f>SUMIFS('октябрь 2025'!$G$2:$G$2619,'октябрь 2025'!$D$2:$D$2619,$B27,'октябрь 2025'!$J$2:$J$2619,AC$1)</f>
        <v>0</v>
      </c>
      <c r="AD27" s="76">
        <f>SUMIFS('октябрь 2025'!$G$2:$G$2619,'октябрь 2025'!$D$2:$D$2619,$B27,'октябрь 2025'!$J$2:$J$2619,AD$1)</f>
        <v>0</v>
      </c>
      <c r="AE27" s="76">
        <f>SUMIFS('октябрь 2025'!$G$2:$G$2619,'октябрь 2025'!$D$2:$D$2619,$B27,'октябрь 2025'!$J$2:$J$2619,AE$1)</f>
        <v>0</v>
      </c>
      <c r="AF27" s="76">
        <f>SUMIFS('октябрь 2025'!$G$2:$G$2619,'октябрь 2025'!$D$2:$D$2619,$B27,'октябрь 2025'!$J$2:$J$2619,AF$1)</f>
        <v>0</v>
      </c>
      <c r="AG27" s="76">
        <f>SUMIFS('октябрь 2025'!$G$2:$G$2619,'октябрь 2025'!$D$2:$D$2619,$B27,'октябрь 2025'!$J$2:$J$2619,AG$1)</f>
        <v>0</v>
      </c>
      <c r="AH27" s="76">
        <f>SUMIFS('октябрь 2025'!$G$2:$G$2619,'октябрь 2025'!$D$2:$D$2619,$B27,'октябрь 2025'!$J$2:$J$2619,AH$1)</f>
        <v>0</v>
      </c>
      <c r="AI27" s="20">
        <f t="shared" si="1"/>
        <v>0</v>
      </c>
    </row>
    <row r="28" spans="2:35" ht="15" customHeight="1" x14ac:dyDescent="0.25">
      <c r="B28" s="80" t="s">
        <v>250</v>
      </c>
      <c r="C28" s="78">
        <v>25</v>
      </c>
      <c r="D28" s="76">
        <f>SUMIFS('октябрь 2025'!$G$2:$G$2619,'октябрь 2025'!$D$2:$D$2619,$B28,'октябрь 2025'!$J$2:$J$2619,D$1)</f>
        <v>0</v>
      </c>
      <c r="E28" s="76">
        <f>SUMIFS('октябрь 2025'!$G$2:$G$2619,'октябрь 2025'!$D$2:$D$2619,$B28,'октябрь 2025'!$J$2:$J$2619,E$1)</f>
        <v>0</v>
      </c>
      <c r="F28" s="76">
        <f>SUMIFS('октябрь 2025'!$G$2:$G$2619,'октябрь 2025'!$D$2:$D$2619,$B28,'октябрь 2025'!$J$2:$J$2619,F$1)</f>
        <v>0</v>
      </c>
      <c r="G28" s="76">
        <f>SUMIFS('октябрь 2025'!$G$2:$G$2619,'октябрь 2025'!$D$2:$D$2619,$B28,'октябрь 2025'!$J$2:$J$2619,G$1)</f>
        <v>0</v>
      </c>
      <c r="H28" s="76">
        <f>SUMIFS('октябрь 2025'!$G$2:$G$2619,'октябрь 2025'!$D$2:$D$2619,$B28,'октябрь 2025'!$J$2:$J$2619,H$1)</f>
        <v>0</v>
      </c>
      <c r="I28" s="76">
        <f>SUMIFS('октябрь 2025'!$G$2:$G$2619,'октябрь 2025'!$D$2:$D$2619,$B28,'октябрь 2025'!$J$2:$J$2619,I$1)</f>
        <v>0</v>
      </c>
      <c r="J28" s="76">
        <f>SUMIFS('октябрь 2025'!$G$2:$G$2619,'октябрь 2025'!$D$2:$D$2619,$B28,'октябрь 2025'!$J$2:$J$2619,J$1)</f>
        <v>0</v>
      </c>
      <c r="K28" s="76">
        <f>SUMIFS('октябрь 2025'!$G$2:$G$2619,'октябрь 2025'!$D$2:$D$2619,$B28,'октябрь 2025'!$J$2:$J$2619,K$1)</f>
        <v>0</v>
      </c>
      <c r="L28" s="76">
        <f>SUMIFS('октябрь 2025'!$G$2:$G$2619,'октябрь 2025'!$D$2:$D$2619,$B28,'октябрь 2025'!$J$2:$J$2619,L$1)</f>
        <v>0</v>
      </c>
      <c r="M28" s="76">
        <f>SUMIFS('октябрь 2025'!$G$2:$G$2619,'октябрь 2025'!$D$2:$D$2619,$B28,'октябрь 2025'!$J$2:$J$2619,M$1)</f>
        <v>0</v>
      </c>
      <c r="N28" s="76">
        <f>SUMIFS('октябрь 2025'!$G$2:$G$2619,'октябрь 2025'!$D$2:$D$2619,$B28,'октябрь 2025'!$J$2:$J$2619,N$1)</f>
        <v>0</v>
      </c>
      <c r="O28" s="76">
        <f>SUMIFS('октябрь 2025'!$G$2:$G$2619,'октябрь 2025'!$D$2:$D$2619,$B28,'октябрь 2025'!$J$2:$J$2619,O$1)</f>
        <v>0</v>
      </c>
      <c r="P28" s="76">
        <f>SUMIFS('октябрь 2025'!$G$2:$G$2619,'октябрь 2025'!$D$2:$D$2619,$B28,'октябрь 2025'!$J$2:$J$2619,P$1)</f>
        <v>0</v>
      </c>
      <c r="Q28" s="76">
        <f>SUMIFS('октябрь 2025'!$G$2:$G$2619,'октябрь 2025'!$D$2:$D$2619,$B28,'октябрь 2025'!$J$2:$J$2619,Q$1)</f>
        <v>0</v>
      </c>
      <c r="R28" s="76">
        <f>SUMIFS('октябрь 2025'!$G$2:$G$2619,'октябрь 2025'!$D$2:$D$2619,$B28,'октябрь 2025'!$J$2:$J$2619,R$1)</f>
        <v>0</v>
      </c>
      <c r="S28" s="76">
        <f>SUMIFS('октябрь 2025'!$G$2:$G$2619,'октябрь 2025'!$D$2:$D$2619,$B28,'октябрь 2025'!$J$2:$J$2619,S$1)</f>
        <v>0</v>
      </c>
      <c r="T28" s="76">
        <f>SUMIFS('октябрь 2025'!$G$2:$G$2619,'октябрь 2025'!$D$2:$D$2619,$B28,'октябрь 2025'!$J$2:$J$2619,T$1)</f>
        <v>0</v>
      </c>
      <c r="U28" s="76">
        <f>SUMIFS('октябрь 2025'!$G$2:$G$2619,'октябрь 2025'!$D$2:$D$2619,$B28,'октябрь 2025'!$J$2:$J$2619,U$1)</f>
        <v>0</v>
      </c>
      <c r="V28" s="76">
        <f>SUMIFS('октябрь 2025'!$G$2:$G$2619,'октябрь 2025'!$D$2:$D$2619,$B28,'октябрь 2025'!$J$2:$J$2619,V$1)</f>
        <v>0</v>
      </c>
      <c r="W28" s="76">
        <f>SUMIFS('октябрь 2025'!$G$2:$G$2619,'октябрь 2025'!$D$2:$D$2619,$B28,'октябрь 2025'!$J$2:$J$2619,W$1)</f>
        <v>0</v>
      </c>
      <c r="X28" s="76">
        <f>SUMIFS('октябрь 2025'!$G$2:$G$2619,'октябрь 2025'!$D$2:$D$2619,$B28,'октябрь 2025'!$J$2:$J$2619,X$1)</f>
        <v>0</v>
      </c>
      <c r="Y28" s="76">
        <f>SUMIFS('октябрь 2025'!$G$2:$G$2619,'октябрь 2025'!$D$2:$D$2619,$B28,'октябрь 2025'!$J$2:$J$2619,Y$1)</f>
        <v>0</v>
      </c>
      <c r="Z28" s="76">
        <f>SUMIFS('октябрь 2025'!$G$2:$G$2619,'октябрь 2025'!$D$2:$D$2619,$B28,'октябрь 2025'!$J$2:$J$2619,Z$1)</f>
        <v>0</v>
      </c>
      <c r="AA28" s="76">
        <f>SUMIFS('октябрь 2025'!$G$2:$G$2619,'октябрь 2025'!$D$2:$D$2619,$B28,'октябрь 2025'!$J$2:$J$2619,AA$1)</f>
        <v>0</v>
      </c>
      <c r="AB28" s="76">
        <f>SUMIFS('октябрь 2025'!$G$2:$G$2619,'октябрь 2025'!$D$2:$D$2619,$B28,'октябрь 2025'!$J$2:$J$2619,AB$1)</f>
        <v>0</v>
      </c>
      <c r="AC28" s="76">
        <f>SUMIFS('октябрь 2025'!$G$2:$G$2619,'октябрь 2025'!$D$2:$D$2619,$B28,'октябрь 2025'!$J$2:$J$2619,AC$1)</f>
        <v>0</v>
      </c>
      <c r="AD28" s="76">
        <f>SUMIFS('октябрь 2025'!$G$2:$G$2619,'октябрь 2025'!$D$2:$D$2619,$B28,'октябрь 2025'!$J$2:$J$2619,AD$1)</f>
        <v>0</v>
      </c>
      <c r="AE28" s="76">
        <f>SUMIFS('октябрь 2025'!$G$2:$G$2619,'октябрь 2025'!$D$2:$D$2619,$B28,'октябрь 2025'!$J$2:$J$2619,AE$1)</f>
        <v>0</v>
      </c>
      <c r="AF28" s="76">
        <f>SUMIFS('октябрь 2025'!$G$2:$G$2619,'октябрь 2025'!$D$2:$D$2619,$B28,'октябрь 2025'!$J$2:$J$2619,AF$1)</f>
        <v>0</v>
      </c>
      <c r="AG28" s="76">
        <f>SUMIFS('октябрь 2025'!$G$2:$G$2619,'октябрь 2025'!$D$2:$D$2619,$B28,'октябрь 2025'!$J$2:$J$2619,AG$1)</f>
        <v>0</v>
      </c>
      <c r="AH28" s="76">
        <f>SUMIFS('октябрь 2025'!$G$2:$G$2619,'октябрь 2025'!$D$2:$D$2619,$B28,'октябрь 2025'!$J$2:$J$2619,AH$1)</f>
        <v>0</v>
      </c>
      <c r="AI28" s="20">
        <f t="shared" si="1"/>
        <v>0</v>
      </c>
    </row>
    <row r="29" spans="2:35" ht="15" customHeight="1" x14ac:dyDescent="0.25">
      <c r="B29" s="80" t="s">
        <v>251</v>
      </c>
      <c r="C29" s="78">
        <v>25</v>
      </c>
      <c r="D29" s="76">
        <f>SUMIFS('октябрь 2025'!$G$2:$G$2619,'октябрь 2025'!$D$2:$D$2619,$B29,'октябрь 2025'!$J$2:$J$2619,D$1)</f>
        <v>0</v>
      </c>
      <c r="E29" s="76">
        <f>SUMIFS('октябрь 2025'!$G$2:$G$2619,'октябрь 2025'!$D$2:$D$2619,$B29,'октябрь 2025'!$J$2:$J$2619,E$1)</f>
        <v>0</v>
      </c>
      <c r="F29" s="76">
        <f>SUMIFS('октябрь 2025'!$G$2:$G$2619,'октябрь 2025'!$D$2:$D$2619,$B29,'октябрь 2025'!$J$2:$J$2619,F$1)</f>
        <v>0</v>
      </c>
      <c r="G29" s="76">
        <f>SUMIFS('октябрь 2025'!$G$2:$G$2619,'октябрь 2025'!$D$2:$D$2619,$B29,'октябрь 2025'!$J$2:$J$2619,G$1)</f>
        <v>0</v>
      </c>
      <c r="H29" s="76">
        <f>SUMIFS('октябрь 2025'!$G$2:$G$2619,'октябрь 2025'!$D$2:$D$2619,$B29,'октябрь 2025'!$J$2:$J$2619,H$1)</f>
        <v>0</v>
      </c>
      <c r="I29" s="76">
        <f>SUMIFS('октябрь 2025'!$G$2:$G$2619,'октябрь 2025'!$D$2:$D$2619,$B29,'октябрь 2025'!$J$2:$J$2619,I$1)</f>
        <v>0</v>
      </c>
      <c r="J29" s="76">
        <f>SUMIFS('октябрь 2025'!$G$2:$G$2619,'октябрь 2025'!$D$2:$D$2619,$B29,'октябрь 2025'!$J$2:$J$2619,J$1)</f>
        <v>0</v>
      </c>
      <c r="K29" s="76">
        <f>SUMIFS('октябрь 2025'!$G$2:$G$2619,'октябрь 2025'!$D$2:$D$2619,$B29,'октябрь 2025'!$J$2:$J$2619,K$1)</f>
        <v>0</v>
      </c>
      <c r="L29" s="76">
        <f>SUMIFS('октябрь 2025'!$G$2:$G$2619,'октябрь 2025'!$D$2:$D$2619,$B29,'октябрь 2025'!$J$2:$J$2619,L$1)</f>
        <v>0</v>
      </c>
      <c r="M29" s="76">
        <f>SUMIFS('октябрь 2025'!$G$2:$G$2619,'октябрь 2025'!$D$2:$D$2619,$B29,'октябрь 2025'!$J$2:$J$2619,M$1)</f>
        <v>0</v>
      </c>
      <c r="N29" s="76">
        <f>SUMIFS('октябрь 2025'!$G$2:$G$2619,'октябрь 2025'!$D$2:$D$2619,$B29,'октябрь 2025'!$J$2:$J$2619,N$1)</f>
        <v>0</v>
      </c>
      <c r="O29" s="76">
        <f>SUMIFS('октябрь 2025'!$G$2:$G$2619,'октябрь 2025'!$D$2:$D$2619,$B29,'октябрь 2025'!$J$2:$J$2619,O$1)</f>
        <v>0</v>
      </c>
      <c r="P29" s="76">
        <f>SUMIFS('октябрь 2025'!$G$2:$G$2619,'октябрь 2025'!$D$2:$D$2619,$B29,'октябрь 2025'!$J$2:$J$2619,P$1)</f>
        <v>0</v>
      </c>
      <c r="Q29" s="76">
        <f>SUMIFS('октябрь 2025'!$G$2:$G$2619,'октябрь 2025'!$D$2:$D$2619,$B29,'октябрь 2025'!$J$2:$J$2619,Q$1)</f>
        <v>0</v>
      </c>
      <c r="R29" s="76">
        <f>SUMIFS('октябрь 2025'!$G$2:$G$2619,'октябрь 2025'!$D$2:$D$2619,$B29,'октябрь 2025'!$J$2:$J$2619,R$1)</f>
        <v>0</v>
      </c>
      <c r="S29" s="76">
        <f>SUMIFS('октябрь 2025'!$G$2:$G$2619,'октябрь 2025'!$D$2:$D$2619,$B29,'октябрь 2025'!$J$2:$J$2619,S$1)</f>
        <v>0</v>
      </c>
      <c r="T29" s="76">
        <f>SUMIFS('октябрь 2025'!$G$2:$G$2619,'октябрь 2025'!$D$2:$D$2619,$B29,'октябрь 2025'!$J$2:$J$2619,T$1)</f>
        <v>0</v>
      </c>
      <c r="U29" s="76">
        <f>SUMIFS('октябрь 2025'!$G$2:$G$2619,'октябрь 2025'!$D$2:$D$2619,$B29,'октябрь 2025'!$J$2:$J$2619,U$1)</f>
        <v>0</v>
      </c>
      <c r="V29" s="76">
        <f>SUMIFS('октябрь 2025'!$G$2:$G$2619,'октябрь 2025'!$D$2:$D$2619,$B29,'октябрь 2025'!$J$2:$J$2619,V$1)</f>
        <v>0</v>
      </c>
      <c r="W29" s="76">
        <f>SUMIFS('октябрь 2025'!$G$2:$G$2619,'октябрь 2025'!$D$2:$D$2619,$B29,'октябрь 2025'!$J$2:$J$2619,W$1)</f>
        <v>0</v>
      </c>
      <c r="X29" s="76">
        <f>SUMIFS('октябрь 2025'!$G$2:$G$2619,'октябрь 2025'!$D$2:$D$2619,$B29,'октябрь 2025'!$J$2:$J$2619,X$1)</f>
        <v>0</v>
      </c>
      <c r="Y29" s="76">
        <f>SUMIFS('октябрь 2025'!$G$2:$G$2619,'октябрь 2025'!$D$2:$D$2619,$B29,'октябрь 2025'!$J$2:$J$2619,Y$1)</f>
        <v>0</v>
      </c>
      <c r="Z29" s="76">
        <f>SUMIFS('октябрь 2025'!$G$2:$G$2619,'октябрь 2025'!$D$2:$D$2619,$B29,'октябрь 2025'!$J$2:$J$2619,Z$1)</f>
        <v>0</v>
      </c>
      <c r="AA29" s="76">
        <f>SUMIFS('октябрь 2025'!$G$2:$G$2619,'октябрь 2025'!$D$2:$D$2619,$B29,'октябрь 2025'!$J$2:$J$2619,AA$1)</f>
        <v>0</v>
      </c>
      <c r="AB29" s="76">
        <f>SUMIFS('октябрь 2025'!$G$2:$G$2619,'октябрь 2025'!$D$2:$D$2619,$B29,'октябрь 2025'!$J$2:$J$2619,AB$1)</f>
        <v>0</v>
      </c>
      <c r="AC29" s="76">
        <f>SUMIFS('октябрь 2025'!$G$2:$G$2619,'октябрь 2025'!$D$2:$D$2619,$B29,'октябрь 2025'!$J$2:$J$2619,AC$1)</f>
        <v>0</v>
      </c>
      <c r="AD29" s="76">
        <f>SUMIFS('октябрь 2025'!$G$2:$G$2619,'октябрь 2025'!$D$2:$D$2619,$B29,'октябрь 2025'!$J$2:$J$2619,AD$1)</f>
        <v>0</v>
      </c>
      <c r="AE29" s="76">
        <f>SUMIFS('октябрь 2025'!$G$2:$G$2619,'октябрь 2025'!$D$2:$D$2619,$B29,'октябрь 2025'!$J$2:$J$2619,AE$1)</f>
        <v>0</v>
      </c>
      <c r="AF29" s="76">
        <f>SUMIFS('октябрь 2025'!$G$2:$G$2619,'октябрь 2025'!$D$2:$D$2619,$B29,'октябрь 2025'!$J$2:$J$2619,AF$1)</f>
        <v>0</v>
      </c>
      <c r="AG29" s="76">
        <f>SUMIFS('октябрь 2025'!$G$2:$G$2619,'октябрь 2025'!$D$2:$D$2619,$B29,'октябрь 2025'!$J$2:$J$2619,AG$1)</f>
        <v>0</v>
      </c>
      <c r="AH29" s="76">
        <f>SUMIFS('октябрь 2025'!$G$2:$G$2619,'октябрь 2025'!$D$2:$D$2619,$B29,'октябрь 2025'!$J$2:$J$2619,AH$1)</f>
        <v>0</v>
      </c>
      <c r="AI29" s="20">
        <f t="shared" si="1"/>
        <v>0</v>
      </c>
    </row>
    <row r="30" spans="2:35" ht="15" customHeight="1" x14ac:dyDescent="0.25">
      <c r="B30" s="80" t="s">
        <v>383</v>
      </c>
      <c r="C30" s="78">
        <v>25</v>
      </c>
      <c r="D30" s="76">
        <f>SUMIFS('октябрь 2025'!$G$2:$G$2619,'октябрь 2025'!$D$2:$D$2619,$B30,'октябрь 2025'!$J$2:$J$2619,D$1)</f>
        <v>0</v>
      </c>
      <c r="E30" s="76">
        <f>SUMIFS('октябрь 2025'!$G$2:$G$2619,'октябрь 2025'!$D$2:$D$2619,$B30,'октябрь 2025'!$J$2:$J$2619,E$1)</f>
        <v>0</v>
      </c>
      <c r="F30" s="76">
        <f>SUMIFS('октябрь 2025'!$G$2:$G$2619,'октябрь 2025'!$D$2:$D$2619,$B30,'октябрь 2025'!$J$2:$J$2619,F$1)</f>
        <v>0</v>
      </c>
      <c r="G30" s="76">
        <f>SUMIFS('октябрь 2025'!$G$2:$G$2619,'октябрь 2025'!$D$2:$D$2619,$B30,'октябрь 2025'!$J$2:$J$2619,G$1)</f>
        <v>0</v>
      </c>
      <c r="H30" s="76">
        <f>SUMIFS('октябрь 2025'!$G$2:$G$2619,'октябрь 2025'!$D$2:$D$2619,$B30,'октябрь 2025'!$J$2:$J$2619,H$1)</f>
        <v>0</v>
      </c>
      <c r="I30" s="76">
        <f>SUMIFS('октябрь 2025'!$G$2:$G$2619,'октябрь 2025'!$D$2:$D$2619,$B30,'октябрь 2025'!$J$2:$J$2619,I$1)</f>
        <v>0</v>
      </c>
      <c r="J30" s="76">
        <f>SUMIFS('октябрь 2025'!$G$2:$G$2619,'октябрь 2025'!$D$2:$D$2619,$B30,'октябрь 2025'!$J$2:$J$2619,J$1)</f>
        <v>0</v>
      </c>
      <c r="K30" s="76">
        <f>SUMIFS('октябрь 2025'!$G$2:$G$2619,'октябрь 2025'!$D$2:$D$2619,$B30,'октябрь 2025'!$J$2:$J$2619,K$1)</f>
        <v>0</v>
      </c>
      <c r="L30" s="76">
        <f>SUMIFS('октябрь 2025'!$G$2:$G$2619,'октябрь 2025'!$D$2:$D$2619,$B30,'октябрь 2025'!$J$2:$J$2619,L$1)</f>
        <v>0</v>
      </c>
      <c r="M30" s="76">
        <f>SUMIFS('октябрь 2025'!$G$2:$G$2619,'октябрь 2025'!$D$2:$D$2619,$B30,'октябрь 2025'!$J$2:$J$2619,M$1)</f>
        <v>0</v>
      </c>
      <c r="N30" s="76">
        <f>SUMIFS('октябрь 2025'!$G$2:$G$2619,'октябрь 2025'!$D$2:$D$2619,$B30,'октябрь 2025'!$J$2:$J$2619,N$1)</f>
        <v>0</v>
      </c>
      <c r="O30" s="76">
        <f>SUMIFS('октябрь 2025'!$G$2:$G$2619,'октябрь 2025'!$D$2:$D$2619,$B30,'октябрь 2025'!$J$2:$J$2619,O$1)</f>
        <v>0</v>
      </c>
      <c r="P30" s="76">
        <f>SUMIFS('октябрь 2025'!$G$2:$G$2619,'октябрь 2025'!$D$2:$D$2619,$B30,'октябрь 2025'!$J$2:$J$2619,P$1)</f>
        <v>0</v>
      </c>
      <c r="Q30" s="76">
        <f>SUMIFS('октябрь 2025'!$G$2:$G$2619,'октябрь 2025'!$D$2:$D$2619,$B30,'октябрь 2025'!$J$2:$J$2619,Q$1)</f>
        <v>0</v>
      </c>
      <c r="R30" s="76">
        <f>SUMIFS('октябрь 2025'!$G$2:$G$2619,'октябрь 2025'!$D$2:$D$2619,$B30,'октябрь 2025'!$J$2:$J$2619,R$1)</f>
        <v>0</v>
      </c>
      <c r="S30" s="76">
        <f>SUMIFS('октябрь 2025'!$G$2:$G$2619,'октябрь 2025'!$D$2:$D$2619,$B30,'октябрь 2025'!$J$2:$J$2619,S$1)</f>
        <v>0</v>
      </c>
      <c r="T30" s="76">
        <f>SUMIFS('октябрь 2025'!$G$2:$G$2619,'октябрь 2025'!$D$2:$D$2619,$B30,'октябрь 2025'!$J$2:$J$2619,T$1)</f>
        <v>0</v>
      </c>
      <c r="U30" s="76">
        <f>SUMIFS('октябрь 2025'!$G$2:$G$2619,'октябрь 2025'!$D$2:$D$2619,$B30,'октябрь 2025'!$J$2:$J$2619,U$1)</f>
        <v>0</v>
      </c>
      <c r="V30" s="76">
        <f>SUMIFS('октябрь 2025'!$G$2:$G$2619,'октябрь 2025'!$D$2:$D$2619,$B30,'октябрь 2025'!$J$2:$J$2619,V$1)</f>
        <v>0</v>
      </c>
      <c r="W30" s="76">
        <f>SUMIFS('октябрь 2025'!$G$2:$G$2619,'октябрь 2025'!$D$2:$D$2619,$B30,'октябрь 2025'!$J$2:$J$2619,W$1)</f>
        <v>0</v>
      </c>
      <c r="X30" s="76">
        <f>SUMIFS('октябрь 2025'!$G$2:$G$2619,'октябрь 2025'!$D$2:$D$2619,$B30,'октябрь 2025'!$J$2:$J$2619,X$1)</f>
        <v>0</v>
      </c>
      <c r="Y30" s="76">
        <f>SUMIFS('октябрь 2025'!$G$2:$G$2619,'октябрь 2025'!$D$2:$D$2619,$B30,'октябрь 2025'!$J$2:$J$2619,Y$1)</f>
        <v>0</v>
      </c>
      <c r="Z30" s="76">
        <f>SUMIFS('октябрь 2025'!$G$2:$G$2619,'октябрь 2025'!$D$2:$D$2619,$B30,'октябрь 2025'!$J$2:$J$2619,Z$1)</f>
        <v>0</v>
      </c>
      <c r="AA30" s="76">
        <f>SUMIFS('октябрь 2025'!$G$2:$G$2619,'октябрь 2025'!$D$2:$D$2619,$B30,'октябрь 2025'!$J$2:$J$2619,AA$1)</f>
        <v>0</v>
      </c>
      <c r="AB30" s="76">
        <f>SUMIFS('октябрь 2025'!$G$2:$G$2619,'октябрь 2025'!$D$2:$D$2619,$B30,'октябрь 2025'!$J$2:$J$2619,AB$1)</f>
        <v>0</v>
      </c>
      <c r="AC30" s="76">
        <f>SUMIFS('октябрь 2025'!$G$2:$G$2619,'октябрь 2025'!$D$2:$D$2619,$B30,'октябрь 2025'!$J$2:$J$2619,AC$1)</f>
        <v>0</v>
      </c>
      <c r="AD30" s="76">
        <f>SUMIFS('октябрь 2025'!$G$2:$G$2619,'октябрь 2025'!$D$2:$D$2619,$B30,'октябрь 2025'!$J$2:$J$2619,AD$1)</f>
        <v>0</v>
      </c>
      <c r="AE30" s="76">
        <f>SUMIFS('октябрь 2025'!$G$2:$G$2619,'октябрь 2025'!$D$2:$D$2619,$B30,'октябрь 2025'!$J$2:$J$2619,AE$1)</f>
        <v>0</v>
      </c>
      <c r="AF30" s="76">
        <f>SUMIFS('октябрь 2025'!$G$2:$G$2619,'октябрь 2025'!$D$2:$D$2619,$B30,'октябрь 2025'!$J$2:$J$2619,AF$1)</f>
        <v>0</v>
      </c>
      <c r="AG30" s="76">
        <f>SUMIFS('октябрь 2025'!$G$2:$G$2619,'октябрь 2025'!$D$2:$D$2619,$B30,'октябрь 2025'!$J$2:$J$2619,AG$1)</f>
        <v>0</v>
      </c>
      <c r="AH30" s="76">
        <f>SUMIFS('октябрь 2025'!$G$2:$G$2619,'октябрь 2025'!$D$2:$D$2619,$B30,'октябрь 2025'!$J$2:$J$2619,AH$1)</f>
        <v>0</v>
      </c>
      <c r="AI30" s="20">
        <f t="shared" si="1"/>
        <v>0</v>
      </c>
    </row>
    <row r="31" spans="2:35" ht="15" customHeight="1" x14ac:dyDescent="0.25">
      <c r="B31" s="80"/>
      <c r="C31" s="78"/>
      <c r="D31" s="76">
        <f>SUMIFS('сентябрь 2025'!$G$2:$G$2497,'сентябрь 2025'!$D$2:$D$2497,$B31,'сентябрь 2025'!$J$2:$J$2497,D$1)</f>
        <v>0</v>
      </c>
      <c r="E31" s="76">
        <f>SUMIFS('сентябрь 2025'!$G$2:$G$2497,'сентябрь 2025'!$D$2:$D$2497,$B31,'сентябрь 2025'!$J$2:$J$2497,E$1)</f>
        <v>0</v>
      </c>
      <c r="F31" s="76">
        <f>SUMIFS('сентябрь 2025'!$G$2:$G$2497,'сентябрь 2025'!$D$2:$D$2497,$B31,'сентябрь 2025'!$J$2:$J$2497,F$1)</f>
        <v>0</v>
      </c>
      <c r="G31" s="76">
        <f>SUMIFS('сентябрь 2025'!$G$2:$G$2497,'сентябрь 2025'!$D$2:$D$2497,$B31,'сентябрь 2025'!$J$2:$J$2497,G$1)</f>
        <v>0</v>
      </c>
      <c r="H31" s="76">
        <f>SUMIFS('сентябрь 2025'!$G$2:$G$2497,'сентябрь 2025'!$D$2:$D$2497,$B31,'сентябрь 2025'!$J$2:$J$2497,H$1)</f>
        <v>0</v>
      </c>
      <c r="I31" s="76">
        <f>SUMIFS('сентябрь 2025'!$G$2:$G$2497,'сентябрь 2025'!$D$2:$D$2497,$B31,'сентябрь 2025'!$J$2:$J$2497,I$1)</f>
        <v>0</v>
      </c>
      <c r="J31" s="76">
        <f>SUMIFS('сентябрь 2025'!$G$2:$G$2497,'сентябрь 2025'!$D$2:$D$2497,$B31,'сентябрь 2025'!$J$2:$J$2497,J$1)</f>
        <v>0</v>
      </c>
      <c r="K31" s="76">
        <f>SUMIFS('сентябрь 2025'!$G$2:$G$2497,'сентябрь 2025'!$D$2:$D$2497,$B31,'сентябрь 2025'!$J$2:$J$2497,K$1)</f>
        <v>0</v>
      </c>
      <c r="L31" s="76">
        <f>SUMIFS('сентябрь 2025'!$G$2:$G$2497,'сентябрь 2025'!$D$2:$D$2497,$B31,'сентябрь 2025'!$J$2:$J$2497,L$1)</f>
        <v>0</v>
      </c>
      <c r="M31" s="76">
        <f>SUMIFS('сентябрь 2025'!$G$2:$G$2497,'сентябрь 2025'!$D$2:$D$2497,$B31,'сентябрь 2025'!$J$2:$J$2497,M$1)</f>
        <v>0</v>
      </c>
      <c r="N31" s="76">
        <f>SUMIFS('сентябрь 2025'!$G$2:$G$2497,'сентябрь 2025'!$D$2:$D$2497,$B31,'сентябрь 2025'!$J$2:$J$2497,N$1)</f>
        <v>0</v>
      </c>
      <c r="O31" s="76">
        <f>SUMIFS('сентябрь 2025'!$G$2:$G$2497,'сентябрь 2025'!$D$2:$D$2497,$B31,'сентябрь 2025'!$J$2:$J$2497,O$1)</f>
        <v>0</v>
      </c>
      <c r="P31" s="76">
        <f>SUMIFS('сентябрь 2025'!$G$2:$G$2497,'сентябрь 2025'!$D$2:$D$2497,$B31,'сентябрь 2025'!$J$2:$J$2497,P$1)</f>
        <v>0</v>
      </c>
      <c r="Q31" s="76">
        <f>SUMIFS('сентябрь 2025'!$G$2:$G$2497,'сентябрь 2025'!$D$2:$D$2497,$B31,'сентябрь 2025'!$J$2:$J$2497,Q$1)</f>
        <v>0</v>
      </c>
      <c r="R31" s="76">
        <f>SUMIFS('сентябрь 2025'!$G$2:$G$2497,'сентябрь 2025'!$D$2:$D$2497,$B31,'сентябрь 2025'!$J$2:$J$2497,R$1)</f>
        <v>0</v>
      </c>
      <c r="S31" s="76">
        <f>SUMIFS('сентябрь 2025'!$G$2:$G$2497,'сентябрь 2025'!$D$2:$D$2497,$B31,'сентябрь 2025'!$J$2:$J$2497,S$1)</f>
        <v>0</v>
      </c>
      <c r="T31" s="76">
        <f>SUMIFS('сентябрь 2025'!$G$2:$G$2497,'сентябрь 2025'!$D$2:$D$2497,$B31,'сентябрь 2025'!$J$2:$J$2497,T$1)</f>
        <v>0</v>
      </c>
      <c r="U31" s="76">
        <f>SUMIFS('сентябрь 2025'!$G$2:$G$2497,'сентябрь 2025'!$D$2:$D$2497,$B31,'сентябрь 2025'!$J$2:$J$2497,U$1)</f>
        <v>0</v>
      </c>
      <c r="V31" s="76">
        <f>SUMIFS('сентябрь 2025'!$G$2:$G$2497,'сентябрь 2025'!$D$2:$D$2497,$B31,'сентябрь 2025'!$J$2:$J$2497,V$1)</f>
        <v>0</v>
      </c>
      <c r="W31" s="76">
        <f>SUMIFS('сентябрь 2025'!$G$2:$G$2497,'сентябрь 2025'!$D$2:$D$2497,$B31,'сентябрь 2025'!$J$2:$J$2497,W$1)</f>
        <v>0</v>
      </c>
      <c r="X31" s="76">
        <f>SUMIFS('сентябрь 2025'!$G$2:$G$2497,'сентябрь 2025'!$D$2:$D$2497,$B31,'сентябрь 2025'!$J$2:$J$2497,X$1)</f>
        <v>0</v>
      </c>
      <c r="Y31" s="76">
        <f>SUMIFS('сентябрь 2025'!$G$2:$G$2497,'сентябрь 2025'!$D$2:$D$2497,$B31,'сентябрь 2025'!$J$2:$J$2497,Y$1)</f>
        <v>0</v>
      </c>
      <c r="Z31" s="76">
        <f>SUMIFS('сентябрь 2025'!$G$2:$G$2497,'сентябрь 2025'!$D$2:$D$2497,$B31,'сентябрь 2025'!$J$2:$J$2497,Z$1)</f>
        <v>0</v>
      </c>
      <c r="AA31" s="76">
        <f>SUMIFS('сентябрь 2025'!$G$2:$G$2497,'сентябрь 2025'!$D$2:$D$2497,$B31,'сентябрь 2025'!$J$2:$J$2497,AA$1)</f>
        <v>0</v>
      </c>
      <c r="AB31" s="76">
        <f>SUMIFS('сентябрь 2025'!$G$2:$G$2497,'сентябрь 2025'!$D$2:$D$2497,$B31,'сентябрь 2025'!$J$2:$J$2497,AB$1)</f>
        <v>0</v>
      </c>
      <c r="AC31" s="76">
        <f>SUMIFS('сентябрь 2025'!$G$2:$G$2497,'сентябрь 2025'!$D$2:$D$2497,$B31,'сентябрь 2025'!$J$2:$J$2497,AC$1)</f>
        <v>0</v>
      </c>
      <c r="AD31" s="76">
        <f>SUMIFS('сентябрь 2025'!$G$2:$G$2497,'сентябрь 2025'!$D$2:$D$2497,$B31,'сентябрь 2025'!$J$2:$J$2497,AD$1)</f>
        <v>0</v>
      </c>
      <c r="AE31" s="76">
        <f>SUMIFS('сентябрь 2025'!$G$2:$G$2497,'сентябрь 2025'!$D$2:$D$2497,$B31,'сентябрь 2025'!$J$2:$J$2497,AE$1)</f>
        <v>0</v>
      </c>
      <c r="AF31" s="76">
        <f>SUMIFS('сентябрь 2025'!$G$2:$G$2497,'сентябрь 2025'!$D$2:$D$2497,$B31,'сентябрь 2025'!$J$2:$J$2497,AF$1)</f>
        <v>0</v>
      </c>
      <c r="AG31" s="76">
        <f>SUMIFS('сентябрь 2025'!$G$2:$G$2497,'сентябрь 2025'!$D$2:$D$2497,$B31,'сентябрь 2025'!$J$2:$J$2497,AG$1)</f>
        <v>0</v>
      </c>
      <c r="AH31" s="76">
        <f>SUMIFS('сентябрь 2025'!$G$2:$G$2497,'сентябрь 2025'!$D$2:$D$2497,$B31,'сентябрь 2025'!$J$2:$J$2497,AH$1)</f>
        <v>0</v>
      </c>
      <c r="AI31" s="20">
        <f t="shared" si="1"/>
        <v>0</v>
      </c>
    </row>
    <row r="32" spans="2:35" ht="15" customHeight="1" x14ac:dyDescent="0.25">
      <c r="B32" s="80"/>
      <c r="C32" s="78"/>
      <c r="D32" s="76">
        <f>SUMIFS('сентябрь 2025'!$G$2:$G$2497,'сентябрь 2025'!$D$2:$D$2497,$B32,'сентябрь 2025'!$J$2:$J$2497,D$1)</f>
        <v>0</v>
      </c>
      <c r="E32" s="76">
        <f>SUMIFS('сентябрь 2025'!$G$2:$G$2497,'сентябрь 2025'!$D$2:$D$2497,$B32,'сентябрь 2025'!$J$2:$J$2497,E$1)</f>
        <v>0</v>
      </c>
      <c r="F32" s="76">
        <f>SUMIFS('сентябрь 2025'!$G$2:$G$2497,'сентябрь 2025'!$D$2:$D$2497,$B32,'сентябрь 2025'!$J$2:$J$2497,F$1)</f>
        <v>0</v>
      </c>
      <c r="G32" s="76">
        <f>SUMIFS('сентябрь 2025'!$G$2:$G$2497,'сентябрь 2025'!$D$2:$D$2497,$B32,'сентябрь 2025'!$J$2:$J$2497,G$1)</f>
        <v>0</v>
      </c>
      <c r="H32" s="76">
        <f>SUMIFS('сентябрь 2025'!$G$2:$G$2497,'сентябрь 2025'!$D$2:$D$2497,$B32,'сентябрь 2025'!$J$2:$J$2497,H$1)</f>
        <v>0</v>
      </c>
      <c r="I32" s="76">
        <f>SUMIFS('сентябрь 2025'!$G$2:$G$2497,'сентябрь 2025'!$D$2:$D$2497,$B32,'сентябрь 2025'!$J$2:$J$2497,I$1)</f>
        <v>0</v>
      </c>
      <c r="J32" s="76">
        <f>SUMIFS('сентябрь 2025'!$G$2:$G$2497,'сентябрь 2025'!$D$2:$D$2497,$B32,'сентябрь 2025'!$J$2:$J$2497,J$1)</f>
        <v>0</v>
      </c>
      <c r="K32" s="76">
        <f>SUMIFS('сентябрь 2025'!$G$2:$G$2497,'сентябрь 2025'!$D$2:$D$2497,$B32,'сентябрь 2025'!$J$2:$J$2497,K$1)</f>
        <v>0</v>
      </c>
      <c r="L32" s="76">
        <f>SUMIFS('сентябрь 2025'!$G$2:$G$2497,'сентябрь 2025'!$D$2:$D$2497,$B32,'сентябрь 2025'!$J$2:$J$2497,L$1)</f>
        <v>0</v>
      </c>
      <c r="M32" s="76">
        <f>SUMIFS('сентябрь 2025'!$G$2:$G$2497,'сентябрь 2025'!$D$2:$D$2497,$B32,'сентябрь 2025'!$J$2:$J$2497,M$1)</f>
        <v>0</v>
      </c>
      <c r="N32" s="76">
        <f>SUMIFS('сентябрь 2025'!$G$2:$G$2497,'сентябрь 2025'!$D$2:$D$2497,$B32,'сентябрь 2025'!$J$2:$J$2497,N$1)</f>
        <v>0</v>
      </c>
      <c r="O32" s="76">
        <f>SUMIFS('сентябрь 2025'!$G$2:$G$2497,'сентябрь 2025'!$D$2:$D$2497,$B32,'сентябрь 2025'!$J$2:$J$2497,O$1)</f>
        <v>0</v>
      </c>
      <c r="P32" s="76">
        <f>SUMIFS('сентябрь 2025'!$G$2:$G$2497,'сентябрь 2025'!$D$2:$D$2497,$B32,'сентябрь 2025'!$J$2:$J$2497,P$1)</f>
        <v>0</v>
      </c>
      <c r="Q32" s="76">
        <f>SUMIFS('сентябрь 2025'!$G$2:$G$2497,'сентябрь 2025'!$D$2:$D$2497,$B32,'сентябрь 2025'!$J$2:$J$2497,Q$1)</f>
        <v>0</v>
      </c>
      <c r="R32" s="76">
        <f>SUMIFS('сентябрь 2025'!$G$2:$G$2497,'сентябрь 2025'!$D$2:$D$2497,$B32,'сентябрь 2025'!$J$2:$J$2497,R$1)</f>
        <v>0</v>
      </c>
      <c r="S32" s="76">
        <f>SUMIFS('сентябрь 2025'!$G$2:$G$2497,'сентябрь 2025'!$D$2:$D$2497,$B32,'сентябрь 2025'!$J$2:$J$2497,S$1)</f>
        <v>0</v>
      </c>
      <c r="T32" s="76">
        <f>SUMIFS('сентябрь 2025'!$G$2:$G$2497,'сентябрь 2025'!$D$2:$D$2497,$B32,'сентябрь 2025'!$J$2:$J$2497,T$1)</f>
        <v>0</v>
      </c>
      <c r="U32" s="76">
        <f>SUMIFS('сентябрь 2025'!$G$2:$G$2497,'сентябрь 2025'!$D$2:$D$2497,$B32,'сентябрь 2025'!$J$2:$J$2497,U$1)</f>
        <v>0</v>
      </c>
      <c r="V32" s="76">
        <f>SUMIFS('сентябрь 2025'!$G$2:$G$2497,'сентябрь 2025'!$D$2:$D$2497,$B32,'сентябрь 2025'!$J$2:$J$2497,V$1)</f>
        <v>0</v>
      </c>
      <c r="W32" s="76">
        <f>SUMIFS('сентябрь 2025'!$G$2:$G$2497,'сентябрь 2025'!$D$2:$D$2497,$B32,'сентябрь 2025'!$J$2:$J$2497,W$1)</f>
        <v>0</v>
      </c>
      <c r="X32" s="76">
        <f>SUMIFS('сентябрь 2025'!$G$2:$G$2497,'сентябрь 2025'!$D$2:$D$2497,$B32,'сентябрь 2025'!$J$2:$J$2497,X$1)</f>
        <v>0</v>
      </c>
      <c r="Y32" s="76">
        <f>SUMIFS('сентябрь 2025'!$G$2:$G$2497,'сентябрь 2025'!$D$2:$D$2497,$B32,'сентябрь 2025'!$J$2:$J$2497,Y$1)</f>
        <v>0</v>
      </c>
      <c r="Z32" s="76">
        <f>SUMIFS('сентябрь 2025'!$G$2:$G$2497,'сентябрь 2025'!$D$2:$D$2497,$B32,'сентябрь 2025'!$J$2:$J$2497,Z$1)</f>
        <v>0</v>
      </c>
      <c r="AA32" s="76">
        <f>SUMIFS('сентябрь 2025'!$G$2:$G$2497,'сентябрь 2025'!$D$2:$D$2497,$B32,'сентябрь 2025'!$J$2:$J$2497,AA$1)</f>
        <v>0</v>
      </c>
      <c r="AB32" s="76">
        <f>SUMIFS('сентябрь 2025'!$G$2:$G$2497,'сентябрь 2025'!$D$2:$D$2497,$B32,'сентябрь 2025'!$J$2:$J$2497,AB$1)</f>
        <v>0</v>
      </c>
      <c r="AC32" s="76">
        <f>SUMIFS('сентябрь 2025'!$G$2:$G$2497,'сентябрь 2025'!$D$2:$D$2497,$B32,'сентябрь 2025'!$J$2:$J$2497,AC$1)</f>
        <v>0</v>
      </c>
      <c r="AD32" s="76">
        <f>SUMIFS('сентябрь 2025'!$G$2:$G$2497,'сентябрь 2025'!$D$2:$D$2497,$B32,'сентябрь 2025'!$J$2:$J$2497,AD$1)</f>
        <v>0</v>
      </c>
      <c r="AE32" s="76">
        <f>SUMIFS('сентябрь 2025'!$G$2:$G$2497,'сентябрь 2025'!$D$2:$D$2497,$B32,'сентябрь 2025'!$J$2:$J$2497,AE$1)</f>
        <v>0</v>
      </c>
      <c r="AF32" s="76">
        <f>SUMIFS('сентябрь 2025'!$G$2:$G$2497,'сентябрь 2025'!$D$2:$D$2497,$B32,'сентябрь 2025'!$J$2:$J$2497,AF$1)</f>
        <v>0</v>
      </c>
      <c r="AG32" s="76">
        <f>SUMIFS('сентябрь 2025'!$G$2:$G$2497,'сентябрь 2025'!$D$2:$D$2497,$B32,'сентябрь 2025'!$J$2:$J$2497,AG$1)</f>
        <v>0</v>
      </c>
      <c r="AH32" s="76">
        <f>SUMIFS('сентябрь 2025'!$G$2:$G$2497,'сентябрь 2025'!$D$2:$D$2497,$B32,'сентябрь 2025'!$J$2:$J$2497,AH$1)</f>
        <v>0</v>
      </c>
      <c r="AI32" s="20">
        <f t="shared" si="1"/>
        <v>0</v>
      </c>
    </row>
    <row r="33" spans="2:35" ht="15" customHeight="1" x14ac:dyDescent="0.25">
      <c r="B33" s="80"/>
      <c r="C33" s="78"/>
      <c r="D33" s="76">
        <f>SUMIFS('сентябрь 2025'!$G$2:$G$2497,'сентябрь 2025'!$D$2:$D$2497,$B33,'сентябрь 2025'!$J$2:$J$2497,D$1)</f>
        <v>0</v>
      </c>
      <c r="E33" s="76">
        <f>SUMIFS('сентябрь 2025'!$G$2:$G$2497,'сентябрь 2025'!$D$2:$D$2497,$B33,'сентябрь 2025'!$J$2:$J$2497,E$1)</f>
        <v>0</v>
      </c>
      <c r="F33" s="76">
        <f>SUMIFS('сентябрь 2025'!$G$2:$G$2497,'сентябрь 2025'!$D$2:$D$2497,$B33,'сентябрь 2025'!$J$2:$J$2497,F$1)</f>
        <v>0</v>
      </c>
      <c r="G33" s="76">
        <f>SUMIFS('сентябрь 2025'!$G$2:$G$2497,'сентябрь 2025'!$D$2:$D$2497,$B33,'сентябрь 2025'!$J$2:$J$2497,G$1)</f>
        <v>0</v>
      </c>
      <c r="H33" s="76">
        <f>SUMIFS('сентябрь 2025'!$G$2:$G$2497,'сентябрь 2025'!$D$2:$D$2497,$B33,'сентябрь 2025'!$J$2:$J$2497,H$1)</f>
        <v>0</v>
      </c>
      <c r="I33" s="76">
        <f>SUMIFS('сентябрь 2025'!$G$2:$G$2497,'сентябрь 2025'!$D$2:$D$2497,$B33,'сентябрь 2025'!$J$2:$J$2497,I$1)</f>
        <v>0</v>
      </c>
      <c r="J33" s="76">
        <f>SUMIFS('сентябрь 2025'!$G$2:$G$2497,'сентябрь 2025'!$D$2:$D$2497,$B33,'сентябрь 2025'!$J$2:$J$2497,J$1)</f>
        <v>0</v>
      </c>
      <c r="K33" s="76">
        <f>SUMIFS('сентябрь 2025'!$G$2:$G$2497,'сентябрь 2025'!$D$2:$D$2497,$B33,'сентябрь 2025'!$J$2:$J$2497,K$1)</f>
        <v>0</v>
      </c>
      <c r="L33" s="76">
        <f>SUMIFS('сентябрь 2025'!$G$2:$G$2497,'сентябрь 2025'!$D$2:$D$2497,$B33,'сентябрь 2025'!$J$2:$J$2497,L$1)</f>
        <v>0</v>
      </c>
      <c r="M33" s="76">
        <f>SUMIFS('сентябрь 2025'!$G$2:$G$2497,'сентябрь 2025'!$D$2:$D$2497,$B33,'сентябрь 2025'!$J$2:$J$2497,M$1)</f>
        <v>0</v>
      </c>
      <c r="N33" s="76">
        <f>SUMIFS('сентябрь 2025'!$G$2:$G$2497,'сентябрь 2025'!$D$2:$D$2497,$B33,'сентябрь 2025'!$J$2:$J$2497,N$1)</f>
        <v>0</v>
      </c>
      <c r="O33" s="76">
        <f>SUMIFS('сентябрь 2025'!$G$2:$G$2497,'сентябрь 2025'!$D$2:$D$2497,$B33,'сентябрь 2025'!$J$2:$J$2497,O$1)</f>
        <v>0</v>
      </c>
      <c r="P33" s="76">
        <f>SUMIFS('сентябрь 2025'!$G$2:$G$2497,'сентябрь 2025'!$D$2:$D$2497,$B33,'сентябрь 2025'!$J$2:$J$2497,P$1)</f>
        <v>0</v>
      </c>
      <c r="Q33" s="76">
        <f>SUMIFS('сентябрь 2025'!$G$2:$G$2497,'сентябрь 2025'!$D$2:$D$2497,$B33,'сентябрь 2025'!$J$2:$J$2497,Q$1)</f>
        <v>0</v>
      </c>
      <c r="R33" s="76">
        <f>SUMIFS('сентябрь 2025'!$G$2:$G$2497,'сентябрь 2025'!$D$2:$D$2497,$B33,'сентябрь 2025'!$J$2:$J$2497,R$1)</f>
        <v>0</v>
      </c>
      <c r="S33" s="76">
        <f>SUMIFS('сентябрь 2025'!$G$2:$G$2497,'сентябрь 2025'!$D$2:$D$2497,$B33,'сентябрь 2025'!$J$2:$J$2497,S$1)</f>
        <v>0</v>
      </c>
      <c r="T33" s="76">
        <f>SUMIFS('сентябрь 2025'!$G$2:$G$2497,'сентябрь 2025'!$D$2:$D$2497,$B33,'сентябрь 2025'!$J$2:$J$2497,T$1)</f>
        <v>0</v>
      </c>
      <c r="U33" s="76">
        <f>SUMIFS('сентябрь 2025'!$G$2:$G$2497,'сентябрь 2025'!$D$2:$D$2497,$B33,'сентябрь 2025'!$J$2:$J$2497,U$1)</f>
        <v>0</v>
      </c>
      <c r="V33" s="76">
        <f>SUMIFS('сентябрь 2025'!$G$2:$G$2497,'сентябрь 2025'!$D$2:$D$2497,$B33,'сентябрь 2025'!$J$2:$J$2497,V$1)</f>
        <v>0</v>
      </c>
      <c r="W33" s="76">
        <f>SUMIFS('сентябрь 2025'!$G$2:$G$2497,'сентябрь 2025'!$D$2:$D$2497,$B33,'сентябрь 2025'!$J$2:$J$2497,W$1)</f>
        <v>0</v>
      </c>
      <c r="X33" s="76">
        <f>SUMIFS('сентябрь 2025'!$G$2:$G$2497,'сентябрь 2025'!$D$2:$D$2497,$B33,'сентябрь 2025'!$J$2:$J$2497,X$1)</f>
        <v>0</v>
      </c>
      <c r="Y33" s="76">
        <f>SUMIFS('сентябрь 2025'!$G$2:$G$2497,'сентябрь 2025'!$D$2:$D$2497,$B33,'сентябрь 2025'!$J$2:$J$2497,Y$1)</f>
        <v>0</v>
      </c>
      <c r="Z33" s="76">
        <f>SUMIFS('сентябрь 2025'!$G$2:$G$2497,'сентябрь 2025'!$D$2:$D$2497,$B33,'сентябрь 2025'!$J$2:$J$2497,Z$1)</f>
        <v>0</v>
      </c>
      <c r="AA33" s="76">
        <f>SUMIFS('сентябрь 2025'!$G$2:$G$2497,'сентябрь 2025'!$D$2:$D$2497,$B33,'сентябрь 2025'!$J$2:$J$2497,AA$1)</f>
        <v>0</v>
      </c>
      <c r="AB33" s="76">
        <f>SUMIFS('сентябрь 2025'!$G$2:$G$2497,'сентябрь 2025'!$D$2:$D$2497,$B33,'сентябрь 2025'!$J$2:$J$2497,AB$1)</f>
        <v>0</v>
      </c>
      <c r="AC33" s="76">
        <f>SUMIFS('сентябрь 2025'!$G$2:$G$2497,'сентябрь 2025'!$D$2:$D$2497,$B33,'сентябрь 2025'!$J$2:$J$2497,AC$1)</f>
        <v>0</v>
      </c>
      <c r="AD33" s="76">
        <f>SUMIFS('сентябрь 2025'!$G$2:$G$2497,'сентябрь 2025'!$D$2:$D$2497,$B33,'сентябрь 2025'!$J$2:$J$2497,AD$1)</f>
        <v>0</v>
      </c>
      <c r="AE33" s="76">
        <f>SUMIFS('сентябрь 2025'!$G$2:$G$2497,'сентябрь 2025'!$D$2:$D$2497,$B33,'сентябрь 2025'!$J$2:$J$2497,AE$1)</f>
        <v>0</v>
      </c>
      <c r="AF33" s="76">
        <f>SUMIFS('сентябрь 2025'!$G$2:$G$2497,'сентябрь 2025'!$D$2:$D$2497,$B33,'сентябрь 2025'!$J$2:$J$2497,AF$1)</f>
        <v>0</v>
      </c>
      <c r="AG33" s="76">
        <f>SUMIFS('сентябрь 2025'!$G$2:$G$2497,'сентябрь 2025'!$D$2:$D$2497,$B33,'сентябрь 2025'!$J$2:$J$2497,AG$1)</f>
        <v>0</v>
      </c>
      <c r="AH33" s="76">
        <f>SUMIFS('сентябрь 2025'!$G$2:$G$2497,'сентябрь 2025'!$D$2:$D$2497,$B33,'сентябрь 2025'!$J$2:$J$2497,AH$1)</f>
        <v>0</v>
      </c>
      <c r="AI33" s="20">
        <f t="shared" si="1"/>
        <v>0</v>
      </c>
    </row>
    <row r="34" spans="2:35" ht="15" customHeight="1" x14ac:dyDescent="0.25">
      <c r="B34" s="80"/>
      <c r="C34" s="78"/>
      <c r="D34" s="76">
        <f>SUMIFS('сентябрь 2025'!$G$2:$G$2497,'сентябрь 2025'!$D$2:$D$2497,$B34,'сентябрь 2025'!$J$2:$J$2497,D$1)</f>
        <v>0</v>
      </c>
      <c r="E34" s="76">
        <f>SUMIFS('сентябрь 2025'!$G$2:$G$2497,'сентябрь 2025'!$D$2:$D$2497,$B34,'сентябрь 2025'!$J$2:$J$2497,E$1)</f>
        <v>0</v>
      </c>
      <c r="F34" s="76">
        <f>SUMIFS('сентябрь 2025'!$G$2:$G$2497,'сентябрь 2025'!$D$2:$D$2497,$B34,'сентябрь 2025'!$J$2:$J$2497,F$1)</f>
        <v>0</v>
      </c>
      <c r="G34" s="76">
        <f>SUMIFS('сентябрь 2025'!$G$2:$G$2497,'сентябрь 2025'!$D$2:$D$2497,$B34,'сентябрь 2025'!$J$2:$J$2497,G$1)</f>
        <v>0</v>
      </c>
      <c r="H34" s="76">
        <f>SUMIFS('сентябрь 2025'!$G$2:$G$2497,'сентябрь 2025'!$D$2:$D$2497,$B34,'сентябрь 2025'!$J$2:$J$2497,H$1)</f>
        <v>0</v>
      </c>
      <c r="I34" s="76">
        <f>SUMIFS('сентябрь 2025'!$G$2:$G$2497,'сентябрь 2025'!$D$2:$D$2497,$B34,'сентябрь 2025'!$J$2:$J$2497,I$1)</f>
        <v>0</v>
      </c>
      <c r="J34" s="76">
        <f>SUMIFS('сентябрь 2025'!$G$2:$G$2497,'сентябрь 2025'!$D$2:$D$2497,$B34,'сентябрь 2025'!$J$2:$J$2497,J$1)</f>
        <v>0</v>
      </c>
      <c r="K34" s="76">
        <f>SUMIFS('сентябрь 2025'!$G$2:$G$2497,'сентябрь 2025'!$D$2:$D$2497,$B34,'сентябрь 2025'!$J$2:$J$2497,K$1)</f>
        <v>0</v>
      </c>
      <c r="L34" s="76">
        <f>SUMIFS('сентябрь 2025'!$G$2:$G$2497,'сентябрь 2025'!$D$2:$D$2497,$B34,'сентябрь 2025'!$J$2:$J$2497,L$1)</f>
        <v>0</v>
      </c>
      <c r="M34" s="76">
        <f>SUMIFS('сентябрь 2025'!$G$2:$G$2497,'сентябрь 2025'!$D$2:$D$2497,$B34,'сентябрь 2025'!$J$2:$J$2497,M$1)</f>
        <v>0</v>
      </c>
      <c r="N34" s="76">
        <f>SUMIFS('сентябрь 2025'!$G$2:$G$2497,'сентябрь 2025'!$D$2:$D$2497,$B34,'сентябрь 2025'!$J$2:$J$2497,N$1)</f>
        <v>0</v>
      </c>
      <c r="O34" s="76">
        <f>SUMIFS('сентябрь 2025'!$G$2:$G$2497,'сентябрь 2025'!$D$2:$D$2497,$B34,'сентябрь 2025'!$J$2:$J$2497,O$1)</f>
        <v>0</v>
      </c>
      <c r="P34" s="76">
        <f>SUMIFS('сентябрь 2025'!$G$2:$G$2497,'сентябрь 2025'!$D$2:$D$2497,$B34,'сентябрь 2025'!$J$2:$J$2497,P$1)</f>
        <v>0</v>
      </c>
      <c r="Q34" s="76">
        <f>SUMIFS('сентябрь 2025'!$G$2:$G$2497,'сентябрь 2025'!$D$2:$D$2497,$B34,'сентябрь 2025'!$J$2:$J$2497,Q$1)</f>
        <v>0</v>
      </c>
      <c r="R34" s="76">
        <f>SUMIFS('сентябрь 2025'!$G$2:$G$2497,'сентябрь 2025'!$D$2:$D$2497,$B34,'сентябрь 2025'!$J$2:$J$2497,R$1)</f>
        <v>0</v>
      </c>
      <c r="S34" s="76">
        <f>SUMIFS('сентябрь 2025'!$G$2:$G$2497,'сентябрь 2025'!$D$2:$D$2497,$B34,'сентябрь 2025'!$J$2:$J$2497,S$1)</f>
        <v>0</v>
      </c>
      <c r="T34" s="76">
        <f>SUMIFS('сентябрь 2025'!$G$2:$G$2497,'сентябрь 2025'!$D$2:$D$2497,$B34,'сентябрь 2025'!$J$2:$J$2497,T$1)</f>
        <v>0</v>
      </c>
      <c r="U34" s="76">
        <f>SUMIFS('сентябрь 2025'!$G$2:$G$2497,'сентябрь 2025'!$D$2:$D$2497,$B34,'сентябрь 2025'!$J$2:$J$2497,U$1)</f>
        <v>0</v>
      </c>
      <c r="V34" s="76">
        <f>SUMIFS('сентябрь 2025'!$G$2:$G$2497,'сентябрь 2025'!$D$2:$D$2497,$B34,'сентябрь 2025'!$J$2:$J$2497,V$1)</f>
        <v>0</v>
      </c>
      <c r="W34" s="76">
        <f>SUMIFS('сентябрь 2025'!$G$2:$G$2497,'сентябрь 2025'!$D$2:$D$2497,$B34,'сентябрь 2025'!$J$2:$J$2497,W$1)</f>
        <v>0</v>
      </c>
      <c r="X34" s="76">
        <f>SUMIFS('сентябрь 2025'!$G$2:$G$2497,'сентябрь 2025'!$D$2:$D$2497,$B34,'сентябрь 2025'!$J$2:$J$2497,X$1)</f>
        <v>0</v>
      </c>
      <c r="Y34" s="76">
        <f>SUMIFS('сентябрь 2025'!$G$2:$G$2497,'сентябрь 2025'!$D$2:$D$2497,$B34,'сентябрь 2025'!$J$2:$J$2497,Y$1)</f>
        <v>0</v>
      </c>
      <c r="Z34" s="76">
        <f>SUMIFS('сентябрь 2025'!$G$2:$G$2497,'сентябрь 2025'!$D$2:$D$2497,$B34,'сентябрь 2025'!$J$2:$J$2497,Z$1)</f>
        <v>0</v>
      </c>
      <c r="AA34" s="76">
        <f>SUMIFS('сентябрь 2025'!$G$2:$G$2497,'сентябрь 2025'!$D$2:$D$2497,$B34,'сентябрь 2025'!$J$2:$J$2497,AA$1)</f>
        <v>0</v>
      </c>
      <c r="AB34" s="76">
        <f>SUMIFS('сентябрь 2025'!$G$2:$G$2497,'сентябрь 2025'!$D$2:$D$2497,$B34,'сентябрь 2025'!$J$2:$J$2497,AB$1)</f>
        <v>0</v>
      </c>
      <c r="AC34" s="76">
        <f>SUMIFS('сентябрь 2025'!$G$2:$G$2497,'сентябрь 2025'!$D$2:$D$2497,$B34,'сентябрь 2025'!$J$2:$J$2497,AC$1)</f>
        <v>0</v>
      </c>
      <c r="AD34" s="76">
        <f>SUMIFS('сентябрь 2025'!$G$2:$G$2497,'сентябрь 2025'!$D$2:$D$2497,$B34,'сентябрь 2025'!$J$2:$J$2497,AD$1)</f>
        <v>0</v>
      </c>
      <c r="AE34" s="76">
        <f>SUMIFS('сентябрь 2025'!$G$2:$G$2497,'сентябрь 2025'!$D$2:$D$2497,$B34,'сентябрь 2025'!$J$2:$J$2497,AE$1)</f>
        <v>0</v>
      </c>
      <c r="AF34" s="76">
        <f>SUMIFS('сентябрь 2025'!$G$2:$G$2497,'сентябрь 2025'!$D$2:$D$2497,$B34,'сентябрь 2025'!$J$2:$J$2497,AF$1)</f>
        <v>0</v>
      </c>
      <c r="AG34" s="76">
        <f>SUMIFS('сентябрь 2025'!$G$2:$G$2497,'сентябрь 2025'!$D$2:$D$2497,$B34,'сентябрь 2025'!$J$2:$J$2497,AG$1)</f>
        <v>0</v>
      </c>
      <c r="AH34" s="76">
        <f>SUMIFS('сентябрь 2025'!$G$2:$G$2497,'сентябрь 2025'!$D$2:$D$2497,$B34,'сентябрь 2025'!$J$2:$J$2497,AH$1)</f>
        <v>0</v>
      </c>
      <c r="AI34" s="20">
        <f t="shared" si="1"/>
        <v>0</v>
      </c>
    </row>
    <row r="35" spans="2:35" ht="15" customHeight="1" x14ac:dyDescent="0.25">
      <c r="B35" s="125" t="s">
        <v>213</v>
      </c>
      <c r="C35" s="126">
        <v>25</v>
      </c>
      <c r="D35" s="182">
        <f>SUMIFS('октябрь 2025'!$G$2:$G$2619,'октябрь 2025'!$D$2:$D$2619,$B35,'октябрь 2025'!$J$2:$J$2619,D$1)</f>
        <v>0</v>
      </c>
      <c r="E35" s="182">
        <f>SUMIFS('октябрь 2025'!$G$2:$G$2619,'октябрь 2025'!$D$2:$D$2619,$B35,'октябрь 2025'!$J$2:$J$2619,E$1)</f>
        <v>0</v>
      </c>
      <c r="F35" s="182">
        <f>SUMIFS('октябрь 2025'!$G$2:$G$2619,'октябрь 2025'!$D$2:$D$2619,$B35,'октябрь 2025'!$J$2:$J$2619,F$1)</f>
        <v>0</v>
      </c>
      <c r="G35" s="182">
        <f>SUMIFS('октябрь 2025'!$G$2:$G$2619,'октябрь 2025'!$D$2:$D$2619,$B35,'октябрь 2025'!$J$2:$J$2619,G$1)</f>
        <v>0</v>
      </c>
      <c r="H35" s="182">
        <f>SUMIFS('октябрь 2025'!$G$2:$G$2619,'октябрь 2025'!$D$2:$D$2619,$B35,'октябрь 2025'!$J$2:$J$2619,H$1)</f>
        <v>0</v>
      </c>
      <c r="I35" s="182">
        <f>SUMIFS('октябрь 2025'!$G$2:$G$2619,'октябрь 2025'!$D$2:$D$2619,$B35,'октябрь 2025'!$J$2:$J$2619,I$1)</f>
        <v>0</v>
      </c>
      <c r="J35" s="182">
        <f>SUMIFS('октябрь 2025'!$G$2:$G$2619,'октябрь 2025'!$D$2:$D$2619,$B35,'октябрь 2025'!$J$2:$J$2619,J$1)</f>
        <v>0</v>
      </c>
      <c r="K35" s="182">
        <f>SUMIFS('октябрь 2025'!$G$2:$G$2619,'октябрь 2025'!$D$2:$D$2619,$B35,'октябрь 2025'!$J$2:$J$2619,K$1)</f>
        <v>0</v>
      </c>
      <c r="L35" s="182">
        <f>SUMIFS('октябрь 2025'!$G$2:$G$2619,'октябрь 2025'!$D$2:$D$2619,$B35,'октябрь 2025'!$J$2:$J$2619,L$1)</f>
        <v>0</v>
      </c>
      <c r="M35" s="182">
        <f>SUMIFS('октябрь 2025'!$G$2:$G$2619,'октябрь 2025'!$D$2:$D$2619,$B35,'октябрь 2025'!$J$2:$J$2619,M$1)</f>
        <v>0</v>
      </c>
      <c r="N35" s="182">
        <f>SUMIFS('октябрь 2025'!$G$2:$G$2619,'октябрь 2025'!$D$2:$D$2619,$B35,'октябрь 2025'!$J$2:$J$2619,N$1)</f>
        <v>0</v>
      </c>
      <c r="O35" s="182">
        <f>SUMIFS('октябрь 2025'!$G$2:$G$2619,'октябрь 2025'!$D$2:$D$2619,$B35,'октябрь 2025'!$J$2:$J$2619,O$1)</f>
        <v>0</v>
      </c>
      <c r="P35" s="182">
        <f>SUMIFS('октябрь 2025'!$G$2:$G$2619,'октябрь 2025'!$D$2:$D$2619,$B35,'октябрь 2025'!$J$2:$J$2619,P$1)</f>
        <v>0</v>
      </c>
      <c r="Q35" s="182">
        <f>SUMIFS('октябрь 2025'!$G$2:$G$2619,'октябрь 2025'!$D$2:$D$2619,$B35,'октябрь 2025'!$J$2:$J$2619,Q$1)</f>
        <v>0</v>
      </c>
      <c r="R35" s="182">
        <f>SUMIFS('октябрь 2025'!$G$2:$G$2619,'октябрь 2025'!$D$2:$D$2619,$B35,'октябрь 2025'!$J$2:$J$2619,R$1)</f>
        <v>0</v>
      </c>
      <c r="S35" s="182">
        <f>SUMIFS('октябрь 2025'!$G$2:$G$2619,'октябрь 2025'!$D$2:$D$2619,$B35,'октябрь 2025'!$J$2:$J$2619,S$1)</f>
        <v>0</v>
      </c>
      <c r="T35" s="182">
        <f>SUMIFS('октябрь 2025'!$G$2:$G$2619,'октябрь 2025'!$D$2:$D$2619,$B35,'октябрь 2025'!$J$2:$J$2619,T$1)</f>
        <v>0</v>
      </c>
      <c r="U35" s="182">
        <f>SUMIFS('октябрь 2025'!$G$2:$G$2619,'октябрь 2025'!$D$2:$D$2619,$B35,'октябрь 2025'!$J$2:$J$2619,U$1)</f>
        <v>0</v>
      </c>
      <c r="V35" s="182">
        <f>SUMIFS('октябрь 2025'!$G$2:$G$2619,'октябрь 2025'!$D$2:$D$2619,$B35,'октябрь 2025'!$J$2:$J$2619,V$1)</f>
        <v>0</v>
      </c>
      <c r="W35" s="182">
        <f>SUMIFS('октябрь 2025'!$G$2:$G$2619,'октябрь 2025'!$D$2:$D$2619,$B35,'октябрь 2025'!$J$2:$J$2619,W$1)</f>
        <v>0</v>
      </c>
      <c r="X35" s="182">
        <f>SUMIFS('октябрь 2025'!$G$2:$G$2619,'октябрь 2025'!$D$2:$D$2619,$B35,'октябрь 2025'!$J$2:$J$2619,X$1)</f>
        <v>0</v>
      </c>
      <c r="Y35" s="182">
        <f>SUMIFS('октябрь 2025'!$G$2:$G$2619,'октябрь 2025'!$D$2:$D$2619,$B35,'октябрь 2025'!$J$2:$J$2619,Y$1)</f>
        <v>0</v>
      </c>
      <c r="Z35" s="182">
        <f>SUMIFS('октябрь 2025'!$G$2:$G$2619,'октябрь 2025'!$D$2:$D$2619,$B35,'октябрь 2025'!$J$2:$J$2619,Z$1)</f>
        <v>0</v>
      </c>
      <c r="AA35" s="182">
        <f>SUMIFS('октябрь 2025'!$G$2:$G$2619,'октябрь 2025'!$D$2:$D$2619,$B35,'октябрь 2025'!$J$2:$J$2619,AA$1)</f>
        <v>0</v>
      </c>
      <c r="AB35" s="182">
        <f>SUMIFS('октябрь 2025'!$G$2:$G$2619,'октябрь 2025'!$D$2:$D$2619,$B35,'октябрь 2025'!$J$2:$J$2619,AB$1)</f>
        <v>0</v>
      </c>
      <c r="AC35" s="182">
        <f>SUMIFS('октябрь 2025'!$G$2:$G$2619,'октябрь 2025'!$D$2:$D$2619,$B35,'октябрь 2025'!$J$2:$J$2619,AC$1)</f>
        <v>0</v>
      </c>
      <c r="AD35" s="182">
        <f>SUMIFS('октябрь 2025'!$G$2:$G$2619,'октябрь 2025'!$D$2:$D$2619,$B35,'октябрь 2025'!$J$2:$J$2619,AD$1)</f>
        <v>0</v>
      </c>
      <c r="AE35" s="182">
        <f>SUMIFS('октябрь 2025'!$G$2:$G$2619,'октябрь 2025'!$D$2:$D$2619,$B35,'октябрь 2025'!$J$2:$J$2619,AE$1)</f>
        <v>0</v>
      </c>
      <c r="AF35" s="182">
        <f>SUMIFS('октябрь 2025'!$G$2:$G$2619,'октябрь 2025'!$D$2:$D$2619,$B35,'октябрь 2025'!$J$2:$J$2619,AF$1)</f>
        <v>0</v>
      </c>
      <c r="AG35" s="182">
        <f>SUMIFS('октябрь 2025'!$G$2:$G$2619,'октябрь 2025'!$D$2:$D$2619,$B35,'октябрь 2025'!$J$2:$J$2619,AG$1)</f>
        <v>0</v>
      </c>
      <c r="AH35" s="182">
        <f>SUMIFS('октябрь 2025'!$G$2:$G$2619,'октябрь 2025'!$D$2:$D$2619,$B35,'октябрь 2025'!$J$2:$J$2619,AH$1)</f>
        <v>0</v>
      </c>
      <c r="AI35" s="20">
        <f t="shared" si="1"/>
        <v>0</v>
      </c>
    </row>
    <row r="36" spans="2:35" ht="15" customHeight="1" x14ac:dyDescent="0.25">
      <c r="B36" s="127" t="s">
        <v>215</v>
      </c>
      <c r="C36" s="126">
        <v>25</v>
      </c>
      <c r="D36" s="182">
        <f>SUMIFS('октябрь 2025'!$G$2:$G$2619,'октябрь 2025'!$D$2:$D$2619,$B36,'октябрь 2025'!$J$2:$J$2619,D$1)</f>
        <v>0</v>
      </c>
      <c r="E36" s="182">
        <f>SUMIFS('октябрь 2025'!$G$2:$G$2619,'октябрь 2025'!$D$2:$D$2619,$B36,'октябрь 2025'!$J$2:$J$2619,E$1)</f>
        <v>0</v>
      </c>
      <c r="F36" s="182">
        <f>SUMIFS('октябрь 2025'!$G$2:$G$2619,'октябрь 2025'!$D$2:$D$2619,$B36,'октябрь 2025'!$J$2:$J$2619,F$1)</f>
        <v>0</v>
      </c>
      <c r="G36" s="182">
        <f>SUMIFS('октябрь 2025'!$G$2:$G$2619,'октябрь 2025'!$D$2:$D$2619,$B36,'октябрь 2025'!$J$2:$J$2619,G$1)</f>
        <v>0</v>
      </c>
      <c r="H36" s="182">
        <f>SUMIFS('октябрь 2025'!$G$2:$G$2619,'октябрь 2025'!$D$2:$D$2619,$B36,'октябрь 2025'!$J$2:$J$2619,H$1)</f>
        <v>0</v>
      </c>
      <c r="I36" s="182">
        <f>SUMIFS('октябрь 2025'!$G$2:$G$2619,'октябрь 2025'!$D$2:$D$2619,$B36,'октябрь 2025'!$J$2:$J$2619,I$1)</f>
        <v>0</v>
      </c>
      <c r="J36" s="182">
        <f>SUMIFS('октябрь 2025'!$G$2:$G$2619,'октябрь 2025'!$D$2:$D$2619,$B36,'октябрь 2025'!$J$2:$J$2619,J$1)</f>
        <v>0</v>
      </c>
      <c r="K36" s="182">
        <f>SUMIFS('октябрь 2025'!$G$2:$G$2619,'октябрь 2025'!$D$2:$D$2619,$B36,'октябрь 2025'!$J$2:$J$2619,K$1)</f>
        <v>0</v>
      </c>
      <c r="L36" s="182">
        <f>SUMIFS('октябрь 2025'!$G$2:$G$2619,'октябрь 2025'!$D$2:$D$2619,$B36,'октябрь 2025'!$J$2:$J$2619,L$1)</f>
        <v>0</v>
      </c>
      <c r="M36" s="182">
        <f>SUMIFS('октябрь 2025'!$G$2:$G$2619,'октябрь 2025'!$D$2:$D$2619,$B36,'октябрь 2025'!$J$2:$J$2619,M$1)</f>
        <v>0</v>
      </c>
      <c r="N36" s="182">
        <f>SUMIFS('октябрь 2025'!$G$2:$G$2619,'октябрь 2025'!$D$2:$D$2619,$B36,'октябрь 2025'!$J$2:$J$2619,N$1)</f>
        <v>0</v>
      </c>
      <c r="O36" s="182">
        <f>SUMIFS('октябрь 2025'!$G$2:$G$2619,'октябрь 2025'!$D$2:$D$2619,$B36,'октябрь 2025'!$J$2:$J$2619,O$1)</f>
        <v>0</v>
      </c>
      <c r="P36" s="182">
        <f>SUMIFS('октябрь 2025'!$G$2:$G$2619,'октябрь 2025'!$D$2:$D$2619,$B36,'октябрь 2025'!$J$2:$J$2619,P$1)</f>
        <v>0</v>
      </c>
      <c r="Q36" s="182">
        <f>SUMIFS('октябрь 2025'!$G$2:$G$2619,'октябрь 2025'!$D$2:$D$2619,$B36,'октябрь 2025'!$J$2:$J$2619,Q$1)</f>
        <v>0</v>
      </c>
      <c r="R36" s="182">
        <f>SUMIFS('октябрь 2025'!$G$2:$G$2619,'октябрь 2025'!$D$2:$D$2619,$B36,'октябрь 2025'!$J$2:$J$2619,R$1)</f>
        <v>0</v>
      </c>
      <c r="S36" s="182">
        <f>SUMIFS('октябрь 2025'!$G$2:$G$2619,'октябрь 2025'!$D$2:$D$2619,$B36,'октябрь 2025'!$J$2:$J$2619,S$1)</f>
        <v>0</v>
      </c>
      <c r="T36" s="182">
        <f>SUMIFS('октябрь 2025'!$G$2:$G$2619,'октябрь 2025'!$D$2:$D$2619,$B36,'октябрь 2025'!$J$2:$J$2619,T$1)</f>
        <v>0</v>
      </c>
      <c r="U36" s="182">
        <f>SUMIFS('октябрь 2025'!$G$2:$G$2619,'октябрь 2025'!$D$2:$D$2619,$B36,'октябрь 2025'!$J$2:$J$2619,U$1)</f>
        <v>0</v>
      </c>
      <c r="V36" s="182">
        <f>SUMIFS('октябрь 2025'!$G$2:$G$2619,'октябрь 2025'!$D$2:$D$2619,$B36,'октябрь 2025'!$J$2:$J$2619,V$1)</f>
        <v>0</v>
      </c>
      <c r="W36" s="182">
        <f>SUMIFS('октябрь 2025'!$G$2:$G$2619,'октябрь 2025'!$D$2:$D$2619,$B36,'октябрь 2025'!$J$2:$J$2619,W$1)</f>
        <v>0</v>
      </c>
      <c r="X36" s="182">
        <f>SUMIFS('октябрь 2025'!$G$2:$G$2619,'октябрь 2025'!$D$2:$D$2619,$B36,'октябрь 2025'!$J$2:$J$2619,X$1)</f>
        <v>0</v>
      </c>
      <c r="Y36" s="182">
        <f>SUMIFS('октябрь 2025'!$G$2:$G$2619,'октябрь 2025'!$D$2:$D$2619,$B36,'октябрь 2025'!$J$2:$J$2619,Y$1)</f>
        <v>0</v>
      </c>
      <c r="Z36" s="182">
        <f>SUMIFS('октябрь 2025'!$G$2:$G$2619,'октябрь 2025'!$D$2:$D$2619,$B36,'октябрь 2025'!$J$2:$J$2619,Z$1)</f>
        <v>0</v>
      </c>
      <c r="AA36" s="182">
        <f>SUMIFS('октябрь 2025'!$G$2:$G$2619,'октябрь 2025'!$D$2:$D$2619,$B36,'октябрь 2025'!$J$2:$J$2619,AA$1)</f>
        <v>0</v>
      </c>
      <c r="AB36" s="182">
        <f>SUMIFS('октябрь 2025'!$G$2:$G$2619,'октябрь 2025'!$D$2:$D$2619,$B36,'октябрь 2025'!$J$2:$J$2619,AB$1)</f>
        <v>0</v>
      </c>
      <c r="AC36" s="182">
        <f>SUMIFS('октябрь 2025'!$G$2:$G$2619,'октябрь 2025'!$D$2:$D$2619,$B36,'октябрь 2025'!$J$2:$J$2619,AC$1)</f>
        <v>0</v>
      </c>
      <c r="AD36" s="182">
        <f>SUMIFS('октябрь 2025'!$G$2:$G$2619,'октябрь 2025'!$D$2:$D$2619,$B36,'октябрь 2025'!$J$2:$J$2619,AD$1)</f>
        <v>0</v>
      </c>
      <c r="AE36" s="182">
        <f>SUMIFS('октябрь 2025'!$G$2:$G$2619,'октябрь 2025'!$D$2:$D$2619,$B36,'октябрь 2025'!$J$2:$J$2619,AE$1)</f>
        <v>0</v>
      </c>
      <c r="AF36" s="182">
        <f>SUMIFS('октябрь 2025'!$G$2:$G$2619,'октябрь 2025'!$D$2:$D$2619,$B36,'октябрь 2025'!$J$2:$J$2619,AF$1)</f>
        <v>0</v>
      </c>
      <c r="AG36" s="182">
        <f>SUMIFS('октябрь 2025'!$G$2:$G$2619,'октябрь 2025'!$D$2:$D$2619,$B36,'октябрь 2025'!$J$2:$J$2619,AG$1)</f>
        <v>0</v>
      </c>
      <c r="AH36" s="182">
        <f>SUMIFS('октябрь 2025'!$G$2:$G$2619,'октябрь 2025'!$D$2:$D$2619,$B36,'октябрь 2025'!$J$2:$J$2619,AH$1)</f>
        <v>0</v>
      </c>
      <c r="AI36" s="20">
        <f t="shared" si="1"/>
        <v>0</v>
      </c>
    </row>
    <row r="37" spans="2:35" ht="15" customHeight="1" x14ac:dyDescent="0.25">
      <c r="B37" s="128" t="s">
        <v>384</v>
      </c>
      <c r="C37" s="126">
        <v>25</v>
      </c>
      <c r="D37" s="182">
        <f>SUMIFS('октябрь 2025'!$G$2:$G$2619,'октябрь 2025'!$D$2:$D$2619,$B37,'октябрь 2025'!$J$2:$J$2619,D$1)</f>
        <v>0</v>
      </c>
      <c r="E37" s="182">
        <f>SUMIFS('октябрь 2025'!$G$2:$G$2619,'октябрь 2025'!$D$2:$D$2619,$B37,'октябрь 2025'!$J$2:$J$2619,E$1)</f>
        <v>0</v>
      </c>
      <c r="F37" s="182">
        <f>SUMIFS('октябрь 2025'!$G$2:$G$2619,'октябрь 2025'!$D$2:$D$2619,$B37,'октябрь 2025'!$J$2:$J$2619,F$1)</f>
        <v>0</v>
      </c>
      <c r="G37" s="182">
        <f>SUMIFS('октябрь 2025'!$G$2:$G$2619,'октябрь 2025'!$D$2:$D$2619,$B37,'октябрь 2025'!$J$2:$J$2619,G$1)</f>
        <v>0</v>
      </c>
      <c r="H37" s="182">
        <f>SUMIFS('октябрь 2025'!$G$2:$G$2619,'октябрь 2025'!$D$2:$D$2619,$B37,'октябрь 2025'!$J$2:$J$2619,H$1)</f>
        <v>0</v>
      </c>
      <c r="I37" s="182">
        <f>SUMIFS('октябрь 2025'!$G$2:$G$2619,'октябрь 2025'!$D$2:$D$2619,$B37,'октябрь 2025'!$J$2:$J$2619,I$1)</f>
        <v>0</v>
      </c>
      <c r="J37" s="182">
        <f>SUMIFS('октябрь 2025'!$G$2:$G$2619,'октябрь 2025'!$D$2:$D$2619,$B37,'октябрь 2025'!$J$2:$J$2619,J$1)</f>
        <v>0</v>
      </c>
      <c r="K37" s="182">
        <f>SUMIFS('октябрь 2025'!$G$2:$G$2619,'октябрь 2025'!$D$2:$D$2619,$B37,'октябрь 2025'!$J$2:$J$2619,K$1)</f>
        <v>0</v>
      </c>
      <c r="L37" s="182">
        <f>SUMIFS('октябрь 2025'!$G$2:$G$2619,'октябрь 2025'!$D$2:$D$2619,$B37,'октябрь 2025'!$J$2:$J$2619,L$1)</f>
        <v>0</v>
      </c>
      <c r="M37" s="182">
        <f>SUMIFS('октябрь 2025'!$G$2:$G$2619,'октябрь 2025'!$D$2:$D$2619,$B37,'октябрь 2025'!$J$2:$J$2619,M$1)</f>
        <v>0</v>
      </c>
      <c r="N37" s="182">
        <f>SUMIFS('октябрь 2025'!$G$2:$G$2619,'октябрь 2025'!$D$2:$D$2619,$B37,'октябрь 2025'!$J$2:$J$2619,N$1)</f>
        <v>0</v>
      </c>
      <c r="O37" s="182">
        <f>SUMIFS('октябрь 2025'!$G$2:$G$2619,'октябрь 2025'!$D$2:$D$2619,$B37,'октябрь 2025'!$J$2:$J$2619,O$1)</f>
        <v>0</v>
      </c>
      <c r="P37" s="182">
        <f>SUMIFS('октябрь 2025'!$G$2:$G$2619,'октябрь 2025'!$D$2:$D$2619,$B37,'октябрь 2025'!$J$2:$J$2619,P$1)</f>
        <v>0</v>
      </c>
      <c r="Q37" s="182">
        <f>SUMIFS('октябрь 2025'!$G$2:$G$2619,'октябрь 2025'!$D$2:$D$2619,$B37,'октябрь 2025'!$J$2:$J$2619,Q$1)</f>
        <v>0</v>
      </c>
      <c r="R37" s="182">
        <f>SUMIFS('октябрь 2025'!$G$2:$G$2619,'октябрь 2025'!$D$2:$D$2619,$B37,'октябрь 2025'!$J$2:$J$2619,R$1)</f>
        <v>0</v>
      </c>
      <c r="S37" s="182">
        <f>SUMIFS('октябрь 2025'!$G$2:$G$2619,'октябрь 2025'!$D$2:$D$2619,$B37,'октябрь 2025'!$J$2:$J$2619,S$1)</f>
        <v>0</v>
      </c>
      <c r="T37" s="182">
        <f>SUMIFS('октябрь 2025'!$G$2:$G$2619,'октябрь 2025'!$D$2:$D$2619,$B37,'октябрь 2025'!$J$2:$J$2619,T$1)</f>
        <v>0</v>
      </c>
      <c r="U37" s="182">
        <f>SUMIFS('октябрь 2025'!$G$2:$G$2619,'октябрь 2025'!$D$2:$D$2619,$B37,'октябрь 2025'!$J$2:$J$2619,U$1)</f>
        <v>0</v>
      </c>
      <c r="V37" s="182">
        <f>SUMIFS('октябрь 2025'!$G$2:$G$2619,'октябрь 2025'!$D$2:$D$2619,$B37,'октябрь 2025'!$J$2:$J$2619,V$1)</f>
        <v>0</v>
      </c>
      <c r="W37" s="182">
        <f>SUMIFS('октябрь 2025'!$G$2:$G$2619,'октябрь 2025'!$D$2:$D$2619,$B37,'октябрь 2025'!$J$2:$J$2619,W$1)</f>
        <v>0</v>
      </c>
      <c r="X37" s="182">
        <f>SUMIFS('октябрь 2025'!$G$2:$G$2619,'октябрь 2025'!$D$2:$D$2619,$B37,'октябрь 2025'!$J$2:$J$2619,X$1)</f>
        <v>0</v>
      </c>
      <c r="Y37" s="182">
        <f>SUMIFS('октябрь 2025'!$G$2:$G$2619,'октябрь 2025'!$D$2:$D$2619,$B37,'октябрь 2025'!$J$2:$J$2619,Y$1)</f>
        <v>0</v>
      </c>
      <c r="Z37" s="182">
        <f>SUMIFS('октябрь 2025'!$G$2:$G$2619,'октябрь 2025'!$D$2:$D$2619,$B37,'октябрь 2025'!$J$2:$J$2619,Z$1)</f>
        <v>0</v>
      </c>
      <c r="AA37" s="182">
        <f>SUMIFS('октябрь 2025'!$G$2:$G$2619,'октябрь 2025'!$D$2:$D$2619,$B37,'октябрь 2025'!$J$2:$J$2619,AA$1)</f>
        <v>0</v>
      </c>
      <c r="AB37" s="182">
        <f>SUMIFS('октябрь 2025'!$G$2:$G$2619,'октябрь 2025'!$D$2:$D$2619,$B37,'октябрь 2025'!$J$2:$J$2619,AB$1)</f>
        <v>0</v>
      </c>
      <c r="AC37" s="182">
        <f>SUMIFS('октябрь 2025'!$G$2:$G$2619,'октябрь 2025'!$D$2:$D$2619,$B37,'октябрь 2025'!$J$2:$J$2619,AC$1)</f>
        <v>0</v>
      </c>
      <c r="AD37" s="182">
        <f>SUMIFS('октябрь 2025'!$G$2:$G$2619,'октябрь 2025'!$D$2:$D$2619,$B37,'октябрь 2025'!$J$2:$J$2619,AD$1)</f>
        <v>0</v>
      </c>
      <c r="AE37" s="182">
        <f>SUMIFS('октябрь 2025'!$G$2:$G$2619,'октябрь 2025'!$D$2:$D$2619,$B37,'октябрь 2025'!$J$2:$J$2619,AE$1)</f>
        <v>0</v>
      </c>
      <c r="AF37" s="182">
        <f>SUMIFS('октябрь 2025'!$G$2:$G$2619,'октябрь 2025'!$D$2:$D$2619,$B37,'октябрь 2025'!$J$2:$J$2619,AF$1)</f>
        <v>0</v>
      </c>
      <c r="AG37" s="182">
        <f>SUMIFS('октябрь 2025'!$G$2:$G$2619,'октябрь 2025'!$D$2:$D$2619,$B37,'октябрь 2025'!$J$2:$J$2619,AG$1)</f>
        <v>0</v>
      </c>
      <c r="AH37" s="182">
        <f>SUMIFS('октябрь 2025'!$G$2:$G$2619,'октябрь 2025'!$D$2:$D$2619,$B37,'октябрь 2025'!$J$2:$J$2619,AH$1)</f>
        <v>0</v>
      </c>
      <c r="AI37" s="20">
        <f t="shared" si="1"/>
        <v>0</v>
      </c>
    </row>
    <row r="38" spans="2:35" ht="15" customHeight="1" x14ac:dyDescent="0.25">
      <c r="B38" s="128" t="s">
        <v>217</v>
      </c>
      <c r="C38" s="126">
        <v>25</v>
      </c>
      <c r="D38" s="182">
        <f>SUMIFS('октябрь 2025'!$G$2:$G$2619,'октябрь 2025'!$D$2:$D$2619,$B38,'октябрь 2025'!$J$2:$J$2619,D$1)</f>
        <v>0</v>
      </c>
      <c r="E38" s="182">
        <f>SUMIFS('октябрь 2025'!$G$2:$G$2619,'октябрь 2025'!$D$2:$D$2619,$B38,'октябрь 2025'!$J$2:$J$2619,E$1)</f>
        <v>0</v>
      </c>
      <c r="F38" s="182">
        <f>SUMIFS('октябрь 2025'!$G$2:$G$2619,'октябрь 2025'!$D$2:$D$2619,$B38,'октябрь 2025'!$J$2:$J$2619,F$1)</f>
        <v>0</v>
      </c>
      <c r="G38" s="182">
        <f>SUMIFS('октябрь 2025'!$G$2:$G$2619,'октябрь 2025'!$D$2:$D$2619,$B38,'октябрь 2025'!$J$2:$J$2619,G$1)</f>
        <v>0</v>
      </c>
      <c r="H38" s="182">
        <f>SUMIFS('октябрь 2025'!$G$2:$G$2619,'октябрь 2025'!$D$2:$D$2619,$B38,'октябрь 2025'!$J$2:$J$2619,H$1)</f>
        <v>0</v>
      </c>
      <c r="I38" s="182">
        <f>SUMIFS('октябрь 2025'!$G$2:$G$2619,'октябрь 2025'!$D$2:$D$2619,$B38,'октябрь 2025'!$J$2:$J$2619,I$1)</f>
        <v>0</v>
      </c>
      <c r="J38" s="182">
        <f>SUMIFS('октябрь 2025'!$G$2:$G$2619,'октябрь 2025'!$D$2:$D$2619,$B38,'октябрь 2025'!$J$2:$J$2619,J$1)</f>
        <v>0</v>
      </c>
      <c r="K38" s="182">
        <f>SUMIFS('октябрь 2025'!$G$2:$G$2619,'октябрь 2025'!$D$2:$D$2619,$B38,'октябрь 2025'!$J$2:$J$2619,K$1)</f>
        <v>0</v>
      </c>
      <c r="L38" s="182">
        <f>SUMIFS('октябрь 2025'!$G$2:$G$2619,'октябрь 2025'!$D$2:$D$2619,$B38,'октябрь 2025'!$J$2:$J$2619,L$1)</f>
        <v>0</v>
      </c>
      <c r="M38" s="182">
        <f>SUMIFS('октябрь 2025'!$G$2:$G$2619,'октябрь 2025'!$D$2:$D$2619,$B38,'октябрь 2025'!$J$2:$J$2619,M$1)</f>
        <v>0</v>
      </c>
      <c r="N38" s="182">
        <f>SUMIFS('октябрь 2025'!$G$2:$G$2619,'октябрь 2025'!$D$2:$D$2619,$B38,'октябрь 2025'!$J$2:$J$2619,N$1)</f>
        <v>0</v>
      </c>
      <c r="O38" s="182">
        <f>SUMIFS('октябрь 2025'!$G$2:$G$2619,'октябрь 2025'!$D$2:$D$2619,$B38,'октябрь 2025'!$J$2:$J$2619,O$1)</f>
        <v>0</v>
      </c>
      <c r="P38" s="182">
        <f>SUMIFS('октябрь 2025'!$G$2:$G$2619,'октябрь 2025'!$D$2:$D$2619,$B38,'октябрь 2025'!$J$2:$J$2619,P$1)</f>
        <v>0</v>
      </c>
      <c r="Q38" s="182">
        <f>SUMIFS('октябрь 2025'!$G$2:$G$2619,'октябрь 2025'!$D$2:$D$2619,$B38,'октябрь 2025'!$J$2:$J$2619,Q$1)</f>
        <v>0</v>
      </c>
      <c r="R38" s="182">
        <f>SUMIFS('октябрь 2025'!$G$2:$G$2619,'октябрь 2025'!$D$2:$D$2619,$B38,'октябрь 2025'!$J$2:$J$2619,R$1)</f>
        <v>0</v>
      </c>
      <c r="S38" s="182">
        <f>SUMIFS('октябрь 2025'!$G$2:$G$2619,'октябрь 2025'!$D$2:$D$2619,$B38,'октябрь 2025'!$J$2:$J$2619,S$1)</f>
        <v>0</v>
      </c>
      <c r="T38" s="182">
        <f>SUMIFS('октябрь 2025'!$G$2:$G$2619,'октябрь 2025'!$D$2:$D$2619,$B38,'октябрь 2025'!$J$2:$J$2619,T$1)</f>
        <v>0</v>
      </c>
      <c r="U38" s="182">
        <f>SUMIFS('октябрь 2025'!$G$2:$G$2619,'октябрь 2025'!$D$2:$D$2619,$B38,'октябрь 2025'!$J$2:$J$2619,U$1)</f>
        <v>0</v>
      </c>
      <c r="V38" s="182">
        <f>SUMIFS('октябрь 2025'!$G$2:$G$2619,'октябрь 2025'!$D$2:$D$2619,$B38,'октябрь 2025'!$J$2:$J$2619,V$1)</f>
        <v>0</v>
      </c>
      <c r="W38" s="182">
        <f>SUMIFS('октябрь 2025'!$G$2:$G$2619,'октябрь 2025'!$D$2:$D$2619,$B38,'октябрь 2025'!$J$2:$J$2619,W$1)</f>
        <v>0</v>
      </c>
      <c r="X38" s="182">
        <f>SUMIFS('октябрь 2025'!$G$2:$G$2619,'октябрь 2025'!$D$2:$D$2619,$B38,'октябрь 2025'!$J$2:$J$2619,X$1)</f>
        <v>0</v>
      </c>
      <c r="Y38" s="182">
        <f>SUMIFS('октябрь 2025'!$G$2:$G$2619,'октябрь 2025'!$D$2:$D$2619,$B38,'октябрь 2025'!$J$2:$J$2619,Y$1)</f>
        <v>0</v>
      </c>
      <c r="Z38" s="182">
        <f>SUMIFS('октябрь 2025'!$G$2:$G$2619,'октябрь 2025'!$D$2:$D$2619,$B38,'октябрь 2025'!$J$2:$J$2619,Z$1)</f>
        <v>0</v>
      </c>
      <c r="AA38" s="182">
        <f>SUMIFS('октябрь 2025'!$G$2:$G$2619,'октябрь 2025'!$D$2:$D$2619,$B38,'октябрь 2025'!$J$2:$J$2619,AA$1)</f>
        <v>0</v>
      </c>
      <c r="AB38" s="182">
        <f>SUMIFS('октябрь 2025'!$G$2:$G$2619,'октябрь 2025'!$D$2:$D$2619,$B38,'октябрь 2025'!$J$2:$J$2619,AB$1)</f>
        <v>0</v>
      </c>
      <c r="AC38" s="182">
        <f>SUMIFS('октябрь 2025'!$G$2:$G$2619,'октябрь 2025'!$D$2:$D$2619,$B38,'октябрь 2025'!$J$2:$J$2619,AC$1)</f>
        <v>0</v>
      </c>
      <c r="AD38" s="182">
        <f>SUMIFS('октябрь 2025'!$G$2:$G$2619,'октябрь 2025'!$D$2:$D$2619,$B38,'октябрь 2025'!$J$2:$J$2619,AD$1)</f>
        <v>0</v>
      </c>
      <c r="AE38" s="182">
        <f>SUMIFS('октябрь 2025'!$G$2:$G$2619,'октябрь 2025'!$D$2:$D$2619,$B38,'октябрь 2025'!$J$2:$J$2619,AE$1)</f>
        <v>0</v>
      </c>
      <c r="AF38" s="182">
        <f>SUMIFS('октябрь 2025'!$G$2:$G$2619,'октябрь 2025'!$D$2:$D$2619,$B38,'октябрь 2025'!$J$2:$J$2619,AF$1)</f>
        <v>0</v>
      </c>
      <c r="AG38" s="182">
        <f>SUMIFS('октябрь 2025'!$G$2:$G$2619,'октябрь 2025'!$D$2:$D$2619,$B38,'октябрь 2025'!$J$2:$J$2619,AG$1)</f>
        <v>0</v>
      </c>
      <c r="AH38" s="182">
        <f>SUMIFS('октябрь 2025'!$G$2:$G$2619,'октябрь 2025'!$D$2:$D$2619,$B38,'октябрь 2025'!$J$2:$J$2619,AH$1)</f>
        <v>0</v>
      </c>
      <c r="AI38" s="20">
        <f t="shared" si="1"/>
        <v>0</v>
      </c>
    </row>
    <row r="39" spans="2:35" ht="15" customHeight="1" x14ac:dyDescent="0.25">
      <c r="B39" s="129" t="s">
        <v>219</v>
      </c>
      <c r="C39" s="130">
        <v>25</v>
      </c>
      <c r="D39" s="182">
        <f>SUMIFS('октябрь 2025'!$G$2:$G$2619,'октябрь 2025'!$D$2:$D$2619,$B39,'октябрь 2025'!$J$2:$J$2619,D$1)</f>
        <v>0</v>
      </c>
      <c r="E39" s="182">
        <f>SUMIFS('октябрь 2025'!$G$2:$G$2619,'октябрь 2025'!$D$2:$D$2619,$B39,'октябрь 2025'!$J$2:$J$2619,E$1)</f>
        <v>0</v>
      </c>
      <c r="F39" s="182">
        <f>SUMIFS('октябрь 2025'!$G$2:$G$2619,'октябрь 2025'!$D$2:$D$2619,$B39,'октябрь 2025'!$J$2:$J$2619,F$1)</f>
        <v>0</v>
      </c>
      <c r="G39" s="182">
        <f>SUMIFS('октябрь 2025'!$G$2:$G$2619,'октябрь 2025'!$D$2:$D$2619,$B39,'октябрь 2025'!$J$2:$J$2619,G$1)</f>
        <v>0</v>
      </c>
      <c r="H39" s="182">
        <f>SUMIFS('октябрь 2025'!$G$2:$G$2619,'октябрь 2025'!$D$2:$D$2619,$B39,'октябрь 2025'!$J$2:$J$2619,H$1)</f>
        <v>0</v>
      </c>
      <c r="I39" s="182">
        <f>SUMIFS('октябрь 2025'!$G$2:$G$2619,'октябрь 2025'!$D$2:$D$2619,$B39,'октябрь 2025'!$J$2:$J$2619,I$1)</f>
        <v>0</v>
      </c>
      <c r="J39" s="182">
        <f>SUMIFS('октябрь 2025'!$G$2:$G$2619,'октябрь 2025'!$D$2:$D$2619,$B39,'октябрь 2025'!$J$2:$J$2619,J$1)</f>
        <v>0</v>
      </c>
      <c r="K39" s="182">
        <f>SUMIFS('октябрь 2025'!$G$2:$G$2619,'октябрь 2025'!$D$2:$D$2619,$B39,'октябрь 2025'!$J$2:$J$2619,K$1)</f>
        <v>0</v>
      </c>
      <c r="L39" s="182">
        <f>SUMIFS('октябрь 2025'!$G$2:$G$2619,'октябрь 2025'!$D$2:$D$2619,$B39,'октябрь 2025'!$J$2:$J$2619,L$1)</f>
        <v>0</v>
      </c>
      <c r="M39" s="182">
        <f>SUMIFS('октябрь 2025'!$G$2:$G$2619,'октябрь 2025'!$D$2:$D$2619,$B39,'октябрь 2025'!$J$2:$J$2619,M$1)</f>
        <v>0</v>
      </c>
      <c r="N39" s="182">
        <f>SUMIFS('октябрь 2025'!$G$2:$G$2619,'октябрь 2025'!$D$2:$D$2619,$B39,'октябрь 2025'!$J$2:$J$2619,N$1)</f>
        <v>0</v>
      </c>
      <c r="O39" s="182">
        <f>SUMIFS('октябрь 2025'!$G$2:$G$2619,'октябрь 2025'!$D$2:$D$2619,$B39,'октябрь 2025'!$J$2:$J$2619,O$1)</f>
        <v>0</v>
      </c>
      <c r="P39" s="182">
        <f>SUMIFS('октябрь 2025'!$G$2:$G$2619,'октябрь 2025'!$D$2:$D$2619,$B39,'октябрь 2025'!$J$2:$J$2619,P$1)</f>
        <v>0</v>
      </c>
      <c r="Q39" s="182">
        <f>SUMIFS('октябрь 2025'!$G$2:$G$2619,'октябрь 2025'!$D$2:$D$2619,$B39,'октябрь 2025'!$J$2:$J$2619,Q$1)</f>
        <v>0</v>
      </c>
      <c r="R39" s="182">
        <f>SUMIFS('октябрь 2025'!$G$2:$G$2619,'октябрь 2025'!$D$2:$D$2619,$B39,'октябрь 2025'!$J$2:$J$2619,R$1)</f>
        <v>0</v>
      </c>
      <c r="S39" s="182">
        <f>SUMIFS('октябрь 2025'!$G$2:$G$2619,'октябрь 2025'!$D$2:$D$2619,$B39,'октябрь 2025'!$J$2:$J$2619,S$1)</f>
        <v>0</v>
      </c>
      <c r="T39" s="182">
        <f>SUMIFS('октябрь 2025'!$G$2:$G$2619,'октябрь 2025'!$D$2:$D$2619,$B39,'октябрь 2025'!$J$2:$J$2619,T$1)</f>
        <v>0</v>
      </c>
      <c r="U39" s="182">
        <f>SUMIFS('октябрь 2025'!$G$2:$G$2619,'октябрь 2025'!$D$2:$D$2619,$B39,'октябрь 2025'!$J$2:$J$2619,U$1)</f>
        <v>0</v>
      </c>
      <c r="V39" s="182">
        <f>SUMIFS('октябрь 2025'!$G$2:$G$2619,'октябрь 2025'!$D$2:$D$2619,$B39,'октябрь 2025'!$J$2:$J$2619,V$1)</f>
        <v>0</v>
      </c>
      <c r="W39" s="182">
        <f>SUMIFS('октябрь 2025'!$G$2:$G$2619,'октябрь 2025'!$D$2:$D$2619,$B39,'октябрь 2025'!$J$2:$J$2619,W$1)</f>
        <v>0</v>
      </c>
      <c r="X39" s="182">
        <f>SUMIFS('октябрь 2025'!$G$2:$G$2619,'октябрь 2025'!$D$2:$D$2619,$B39,'октябрь 2025'!$J$2:$J$2619,X$1)</f>
        <v>0</v>
      </c>
      <c r="Y39" s="182">
        <f>SUMIFS('октябрь 2025'!$G$2:$G$2619,'октябрь 2025'!$D$2:$D$2619,$B39,'октябрь 2025'!$J$2:$J$2619,Y$1)</f>
        <v>0</v>
      </c>
      <c r="Z39" s="182">
        <f>SUMIFS('октябрь 2025'!$G$2:$G$2619,'октябрь 2025'!$D$2:$D$2619,$B39,'октябрь 2025'!$J$2:$J$2619,Z$1)</f>
        <v>0</v>
      </c>
      <c r="AA39" s="182">
        <f>SUMIFS('октябрь 2025'!$G$2:$G$2619,'октябрь 2025'!$D$2:$D$2619,$B39,'октябрь 2025'!$J$2:$J$2619,AA$1)</f>
        <v>0</v>
      </c>
      <c r="AB39" s="182">
        <f>SUMIFS('октябрь 2025'!$G$2:$G$2619,'октябрь 2025'!$D$2:$D$2619,$B39,'октябрь 2025'!$J$2:$J$2619,AB$1)</f>
        <v>0</v>
      </c>
      <c r="AC39" s="182">
        <f>SUMIFS('октябрь 2025'!$G$2:$G$2619,'октябрь 2025'!$D$2:$D$2619,$B39,'октябрь 2025'!$J$2:$J$2619,AC$1)</f>
        <v>0</v>
      </c>
      <c r="AD39" s="182">
        <f>SUMIFS('октябрь 2025'!$G$2:$G$2619,'октябрь 2025'!$D$2:$D$2619,$B39,'октябрь 2025'!$J$2:$J$2619,AD$1)</f>
        <v>0</v>
      </c>
      <c r="AE39" s="182">
        <f>SUMIFS('октябрь 2025'!$G$2:$G$2619,'октябрь 2025'!$D$2:$D$2619,$B39,'октябрь 2025'!$J$2:$J$2619,AE$1)</f>
        <v>0</v>
      </c>
      <c r="AF39" s="182">
        <f>SUMIFS('октябрь 2025'!$G$2:$G$2619,'октябрь 2025'!$D$2:$D$2619,$B39,'октябрь 2025'!$J$2:$J$2619,AF$1)</f>
        <v>0</v>
      </c>
      <c r="AG39" s="182">
        <f>SUMIFS('октябрь 2025'!$G$2:$G$2619,'октябрь 2025'!$D$2:$D$2619,$B39,'октябрь 2025'!$J$2:$J$2619,AG$1)</f>
        <v>0</v>
      </c>
      <c r="AH39" s="182">
        <f>SUMIFS('октябрь 2025'!$G$2:$G$2619,'октябрь 2025'!$D$2:$D$2619,$B39,'октябрь 2025'!$J$2:$J$2619,AH$1)</f>
        <v>0</v>
      </c>
      <c r="AI39" s="20">
        <f t="shared" si="1"/>
        <v>0</v>
      </c>
    </row>
    <row r="40" spans="2:35" ht="15" customHeight="1" x14ac:dyDescent="0.25">
      <c r="B40" s="131" t="s">
        <v>221</v>
      </c>
      <c r="C40" s="132">
        <v>22.68</v>
      </c>
      <c r="D40" s="182">
        <f>SUMIFS('октябрь 2025'!$G$2:$G$2619,'октябрь 2025'!$D$2:$D$2619,$B40,'октябрь 2025'!$J$2:$J$2619,D$1)</f>
        <v>0</v>
      </c>
      <c r="E40" s="182">
        <f>SUMIFS('октябрь 2025'!$G$2:$G$2619,'октябрь 2025'!$D$2:$D$2619,$B40,'октябрь 2025'!$J$2:$J$2619,E$1)</f>
        <v>0</v>
      </c>
      <c r="F40" s="182">
        <f>SUMIFS('октябрь 2025'!$G$2:$G$2619,'октябрь 2025'!$D$2:$D$2619,$B40,'октябрь 2025'!$J$2:$J$2619,F$1)</f>
        <v>0</v>
      </c>
      <c r="G40" s="182">
        <f>SUMIFS('октябрь 2025'!$G$2:$G$2619,'октябрь 2025'!$D$2:$D$2619,$B40,'октябрь 2025'!$J$2:$J$2619,G$1)</f>
        <v>0</v>
      </c>
      <c r="H40" s="182">
        <f>SUMIFS('октябрь 2025'!$G$2:$G$2619,'октябрь 2025'!$D$2:$D$2619,$B40,'октябрь 2025'!$J$2:$J$2619,H$1)</f>
        <v>0</v>
      </c>
      <c r="I40" s="182">
        <f>SUMIFS('октябрь 2025'!$G$2:$G$2619,'октябрь 2025'!$D$2:$D$2619,$B40,'октябрь 2025'!$J$2:$J$2619,I$1)</f>
        <v>0</v>
      </c>
      <c r="J40" s="182">
        <f>SUMIFS('октябрь 2025'!$G$2:$G$2619,'октябрь 2025'!$D$2:$D$2619,$B40,'октябрь 2025'!$J$2:$J$2619,J$1)</f>
        <v>0</v>
      </c>
      <c r="K40" s="182">
        <f>SUMIFS('октябрь 2025'!$G$2:$G$2619,'октябрь 2025'!$D$2:$D$2619,$B40,'октябрь 2025'!$J$2:$J$2619,K$1)</f>
        <v>0</v>
      </c>
      <c r="L40" s="182">
        <f>SUMIFS('октябрь 2025'!$G$2:$G$2619,'октябрь 2025'!$D$2:$D$2619,$B40,'октябрь 2025'!$J$2:$J$2619,L$1)</f>
        <v>0</v>
      </c>
      <c r="M40" s="182">
        <f>SUMIFS('октябрь 2025'!$G$2:$G$2619,'октябрь 2025'!$D$2:$D$2619,$B40,'октябрь 2025'!$J$2:$J$2619,M$1)</f>
        <v>0</v>
      </c>
      <c r="N40" s="182">
        <f>SUMIFS('октябрь 2025'!$G$2:$G$2619,'октябрь 2025'!$D$2:$D$2619,$B40,'октябрь 2025'!$J$2:$J$2619,N$1)</f>
        <v>0</v>
      </c>
      <c r="O40" s="182">
        <f>SUMIFS('октябрь 2025'!$G$2:$G$2619,'октябрь 2025'!$D$2:$D$2619,$B40,'октябрь 2025'!$J$2:$J$2619,O$1)</f>
        <v>0</v>
      </c>
      <c r="P40" s="182">
        <f>SUMIFS('октябрь 2025'!$G$2:$G$2619,'октябрь 2025'!$D$2:$D$2619,$B40,'октябрь 2025'!$J$2:$J$2619,P$1)</f>
        <v>0</v>
      </c>
      <c r="Q40" s="182">
        <f>SUMIFS('октябрь 2025'!$G$2:$G$2619,'октябрь 2025'!$D$2:$D$2619,$B40,'октябрь 2025'!$J$2:$J$2619,Q$1)</f>
        <v>0</v>
      </c>
      <c r="R40" s="182">
        <f>SUMIFS('октябрь 2025'!$G$2:$G$2619,'октябрь 2025'!$D$2:$D$2619,$B40,'октябрь 2025'!$J$2:$J$2619,R$1)</f>
        <v>0</v>
      </c>
      <c r="S40" s="182">
        <f>SUMIFS('октябрь 2025'!$G$2:$G$2619,'октябрь 2025'!$D$2:$D$2619,$B40,'октябрь 2025'!$J$2:$J$2619,S$1)</f>
        <v>0</v>
      </c>
      <c r="T40" s="182">
        <f>SUMIFS('октябрь 2025'!$G$2:$G$2619,'октябрь 2025'!$D$2:$D$2619,$B40,'октябрь 2025'!$J$2:$J$2619,T$1)</f>
        <v>0</v>
      </c>
      <c r="U40" s="182">
        <f>SUMIFS('октябрь 2025'!$G$2:$G$2619,'октябрь 2025'!$D$2:$D$2619,$B40,'октябрь 2025'!$J$2:$J$2619,U$1)</f>
        <v>0</v>
      </c>
      <c r="V40" s="182">
        <f>SUMIFS('октябрь 2025'!$G$2:$G$2619,'октябрь 2025'!$D$2:$D$2619,$B40,'октябрь 2025'!$J$2:$J$2619,V$1)</f>
        <v>0</v>
      </c>
      <c r="W40" s="182">
        <f>SUMIFS('октябрь 2025'!$G$2:$G$2619,'октябрь 2025'!$D$2:$D$2619,$B40,'октябрь 2025'!$J$2:$J$2619,W$1)</f>
        <v>0</v>
      </c>
      <c r="X40" s="182">
        <f>SUMIFS('октябрь 2025'!$G$2:$G$2619,'октябрь 2025'!$D$2:$D$2619,$B40,'октябрь 2025'!$J$2:$J$2619,X$1)</f>
        <v>0</v>
      </c>
      <c r="Y40" s="182">
        <f>SUMIFS('октябрь 2025'!$G$2:$G$2619,'октябрь 2025'!$D$2:$D$2619,$B40,'октябрь 2025'!$J$2:$J$2619,Y$1)</f>
        <v>0</v>
      </c>
      <c r="Z40" s="182">
        <f>SUMIFS('октябрь 2025'!$G$2:$G$2619,'октябрь 2025'!$D$2:$D$2619,$B40,'октябрь 2025'!$J$2:$J$2619,Z$1)</f>
        <v>0</v>
      </c>
      <c r="AA40" s="182">
        <f>SUMIFS('октябрь 2025'!$G$2:$G$2619,'октябрь 2025'!$D$2:$D$2619,$B40,'октябрь 2025'!$J$2:$J$2619,AA$1)</f>
        <v>0</v>
      </c>
      <c r="AB40" s="182">
        <f>SUMIFS('октябрь 2025'!$G$2:$G$2619,'октябрь 2025'!$D$2:$D$2619,$B40,'октябрь 2025'!$J$2:$J$2619,AB$1)</f>
        <v>0</v>
      </c>
      <c r="AC40" s="182">
        <f>SUMIFS('октябрь 2025'!$G$2:$G$2619,'октябрь 2025'!$D$2:$D$2619,$B40,'октябрь 2025'!$J$2:$J$2619,AC$1)</f>
        <v>0</v>
      </c>
      <c r="AD40" s="182">
        <f>SUMIFS('октябрь 2025'!$G$2:$G$2619,'октябрь 2025'!$D$2:$D$2619,$B40,'октябрь 2025'!$J$2:$J$2619,AD$1)</f>
        <v>0</v>
      </c>
      <c r="AE40" s="182">
        <f>SUMIFS('октябрь 2025'!$G$2:$G$2619,'октябрь 2025'!$D$2:$D$2619,$B40,'октябрь 2025'!$J$2:$J$2619,AE$1)</f>
        <v>0</v>
      </c>
      <c r="AF40" s="182">
        <f>SUMIFS('октябрь 2025'!$G$2:$G$2619,'октябрь 2025'!$D$2:$D$2619,$B40,'октябрь 2025'!$J$2:$J$2619,AF$1)</f>
        <v>0</v>
      </c>
      <c r="AG40" s="182">
        <f>SUMIFS('октябрь 2025'!$G$2:$G$2619,'октябрь 2025'!$D$2:$D$2619,$B40,'октябрь 2025'!$J$2:$J$2619,AG$1)</f>
        <v>0</v>
      </c>
      <c r="AH40" s="182">
        <f>SUMIFS('октябрь 2025'!$G$2:$G$2619,'октябрь 2025'!$D$2:$D$2619,$B40,'октябрь 2025'!$J$2:$J$2619,AH$1)</f>
        <v>0</v>
      </c>
      <c r="AI40" s="20">
        <f t="shared" si="1"/>
        <v>0</v>
      </c>
    </row>
    <row r="41" spans="2:35" ht="15" customHeight="1" x14ac:dyDescent="0.25">
      <c r="B41" s="131" t="s">
        <v>1016</v>
      </c>
      <c r="C41" s="133">
        <v>20</v>
      </c>
      <c r="D41" s="182">
        <f>SUMIFS('октябрь 2025'!$G$2:$G$2619,'октябрь 2025'!$D$2:$D$2619,$B41,'октябрь 2025'!$J$2:$J$2619,D$1)</f>
        <v>0</v>
      </c>
      <c r="E41" s="182">
        <f>SUMIFS('октябрь 2025'!$G$2:$G$2619,'октябрь 2025'!$D$2:$D$2619,$B41,'октябрь 2025'!$J$2:$J$2619,E$1)</f>
        <v>0</v>
      </c>
      <c r="F41" s="182">
        <f>SUMIFS('октябрь 2025'!$G$2:$G$2619,'октябрь 2025'!$D$2:$D$2619,$B41,'октябрь 2025'!$J$2:$J$2619,F$1)</f>
        <v>0</v>
      </c>
      <c r="G41" s="182">
        <f>SUMIFS('октябрь 2025'!$G$2:$G$2619,'октябрь 2025'!$D$2:$D$2619,$B41,'октябрь 2025'!$J$2:$J$2619,G$1)</f>
        <v>0</v>
      </c>
      <c r="H41" s="182">
        <f>SUMIFS('октябрь 2025'!$G$2:$G$2619,'октябрь 2025'!$D$2:$D$2619,$B41,'октябрь 2025'!$J$2:$J$2619,H$1)</f>
        <v>0</v>
      </c>
      <c r="I41" s="182">
        <f>SUMIFS('октябрь 2025'!$G$2:$G$2619,'октябрь 2025'!$D$2:$D$2619,$B41,'октябрь 2025'!$J$2:$J$2619,I$1)</f>
        <v>0</v>
      </c>
      <c r="J41" s="182">
        <f>SUMIFS('октябрь 2025'!$G$2:$G$2619,'октябрь 2025'!$D$2:$D$2619,$B41,'октябрь 2025'!$J$2:$J$2619,J$1)</f>
        <v>0</v>
      </c>
      <c r="K41" s="182">
        <f>SUMIFS('октябрь 2025'!$G$2:$G$2619,'октябрь 2025'!$D$2:$D$2619,$B41,'октябрь 2025'!$J$2:$J$2619,K$1)</f>
        <v>0</v>
      </c>
      <c r="L41" s="182">
        <f>SUMIFS('октябрь 2025'!$G$2:$G$2619,'октябрь 2025'!$D$2:$D$2619,$B41,'октябрь 2025'!$J$2:$J$2619,L$1)</f>
        <v>0</v>
      </c>
      <c r="M41" s="182">
        <f>SUMIFS('октябрь 2025'!$G$2:$G$2619,'октябрь 2025'!$D$2:$D$2619,$B41,'октябрь 2025'!$J$2:$J$2619,M$1)</f>
        <v>0</v>
      </c>
      <c r="N41" s="182">
        <f>SUMIFS('октябрь 2025'!$G$2:$G$2619,'октябрь 2025'!$D$2:$D$2619,$B41,'октябрь 2025'!$J$2:$J$2619,N$1)</f>
        <v>0</v>
      </c>
      <c r="O41" s="182">
        <f>SUMIFS('октябрь 2025'!$G$2:$G$2619,'октябрь 2025'!$D$2:$D$2619,$B41,'октябрь 2025'!$J$2:$J$2619,O$1)</f>
        <v>0</v>
      </c>
      <c r="P41" s="182">
        <f>SUMIFS('октябрь 2025'!$G$2:$G$2619,'октябрь 2025'!$D$2:$D$2619,$B41,'октябрь 2025'!$J$2:$J$2619,P$1)</f>
        <v>0</v>
      </c>
      <c r="Q41" s="182">
        <f>SUMIFS('октябрь 2025'!$G$2:$G$2619,'октябрь 2025'!$D$2:$D$2619,$B41,'октябрь 2025'!$J$2:$J$2619,Q$1)</f>
        <v>0</v>
      </c>
      <c r="R41" s="182">
        <f>SUMIFS('октябрь 2025'!$G$2:$G$2619,'октябрь 2025'!$D$2:$D$2619,$B41,'октябрь 2025'!$J$2:$J$2619,R$1)</f>
        <v>0</v>
      </c>
      <c r="S41" s="182">
        <f>SUMIFS('октябрь 2025'!$G$2:$G$2619,'октябрь 2025'!$D$2:$D$2619,$B41,'октябрь 2025'!$J$2:$J$2619,S$1)</f>
        <v>0</v>
      </c>
      <c r="T41" s="182">
        <f>SUMIFS('октябрь 2025'!$G$2:$G$2619,'октябрь 2025'!$D$2:$D$2619,$B41,'октябрь 2025'!$J$2:$J$2619,T$1)</f>
        <v>0</v>
      </c>
      <c r="U41" s="182">
        <f>SUMIFS('октябрь 2025'!$G$2:$G$2619,'октябрь 2025'!$D$2:$D$2619,$B41,'октябрь 2025'!$J$2:$J$2619,U$1)</f>
        <v>0</v>
      </c>
      <c r="V41" s="182">
        <f>SUMIFS('октябрь 2025'!$G$2:$G$2619,'октябрь 2025'!$D$2:$D$2619,$B41,'октябрь 2025'!$J$2:$J$2619,V$1)</f>
        <v>0</v>
      </c>
      <c r="W41" s="182">
        <f>SUMIFS('октябрь 2025'!$G$2:$G$2619,'октябрь 2025'!$D$2:$D$2619,$B41,'октябрь 2025'!$J$2:$J$2619,W$1)</f>
        <v>0</v>
      </c>
      <c r="X41" s="182">
        <f>SUMIFS('октябрь 2025'!$G$2:$G$2619,'октябрь 2025'!$D$2:$D$2619,$B41,'октябрь 2025'!$J$2:$J$2619,X$1)</f>
        <v>0</v>
      </c>
      <c r="Y41" s="182">
        <f>SUMIFS('октябрь 2025'!$G$2:$G$2619,'октябрь 2025'!$D$2:$D$2619,$B41,'октябрь 2025'!$J$2:$J$2619,Y$1)</f>
        <v>0</v>
      </c>
      <c r="Z41" s="182">
        <f>SUMIFS('октябрь 2025'!$G$2:$G$2619,'октябрь 2025'!$D$2:$D$2619,$B41,'октябрь 2025'!$J$2:$J$2619,Z$1)</f>
        <v>0</v>
      </c>
      <c r="AA41" s="182">
        <f>SUMIFS('октябрь 2025'!$G$2:$G$2619,'октябрь 2025'!$D$2:$D$2619,$B41,'октябрь 2025'!$J$2:$J$2619,AA$1)</f>
        <v>0</v>
      </c>
      <c r="AB41" s="182">
        <f>SUMIFS('октябрь 2025'!$G$2:$G$2619,'октябрь 2025'!$D$2:$D$2619,$B41,'октябрь 2025'!$J$2:$J$2619,AB$1)</f>
        <v>0</v>
      </c>
      <c r="AC41" s="182">
        <f>SUMIFS('октябрь 2025'!$G$2:$G$2619,'октябрь 2025'!$D$2:$D$2619,$B41,'октябрь 2025'!$J$2:$J$2619,AC$1)</f>
        <v>0</v>
      </c>
      <c r="AD41" s="182">
        <f>SUMIFS('октябрь 2025'!$G$2:$G$2619,'октябрь 2025'!$D$2:$D$2619,$B41,'октябрь 2025'!$J$2:$J$2619,AD$1)</f>
        <v>0</v>
      </c>
      <c r="AE41" s="182">
        <f>SUMIFS('октябрь 2025'!$G$2:$G$2619,'октябрь 2025'!$D$2:$D$2619,$B41,'октябрь 2025'!$J$2:$J$2619,AE$1)</f>
        <v>0</v>
      </c>
      <c r="AF41" s="182">
        <f>SUMIFS('октябрь 2025'!$G$2:$G$2619,'октябрь 2025'!$D$2:$D$2619,$B41,'октябрь 2025'!$J$2:$J$2619,AF$1)</f>
        <v>0</v>
      </c>
      <c r="AG41" s="182">
        <f>SUMIFS('октябрь 2025'!$G$2:$G$2619,'октябрь 2025'!$D$2:$D$2619,$B41,'октябрь 2025'!$J$2:$J$2619,AG$1)</f>
        <v>0</v>
      </c>
      <c r="AH41" s="182">
        <f>SUMIFS('октябрь 2025'!$G$2:$G$2619,'октябрь 2025'!$D$2:$D$2619,$B41,'октябрь 2025'!$J$2:$J$2619,AH$1)</f>
        <v>0</v>
      </c>
      <c r="AI41" s="20">
        <f t="shared" si="1"/>
        <v>0</v>
      </c>
    </row>
    <row r="42" spans="2:35" ht="15" customHeight="1" x14ac:dyDescent="0.25">
      <c r="B42" s="131" t="s">
        <v>223</v>
      </c>
      <c r="C42" s="133">
        <v>25</v>
      </c>
      <c r="D42" s="182">
        <f>SUMIFS('октябрь 2025'!$G$2:$G$2619,'октябрь 2025'!$D$2:$D$2619,$B42,'октябрь 2025'!$J$2:$J$2619,D$1)</f>
        <v>0</v>
      </c>
      <c r="E42" s="182">
        <f>SUMIFS('октябрь 2025'!$G$2:$G$2619,'октябрь 2025'!$D$2:$D$2619,$B42,'октябрь 2025'!$J$2:$J$2619,E$1)</f>
        <v>0</v>
      </c>
      <c r="F42" s="182">
        <f>SUMIFS('октябрь 2025'!$G$2:$G$2619,'октябрь 2025'!$D$2:$D$2619,$B42,'октябрь 2025'!$J$2:$J$2619,F$1)</f>
        <v>600</v>
      </c>
      <c r="G42" s="182">
        <f>SUMIFS('октябрь 2025'!$G$2:$G$2619,'октябрь 2025'!$D$2:$D$2619,$B42,'октябрь 2025'!$J$2:$J$2619,G$1)</f>
        <v>0</v>
      </c>
      <c r="H42" s="182">
        <f>SUMIFS('октябрь 2025'!$G$2:$G$2619,'октябрь 2025'!$D$2:$D$2619,$B42,'октябрь 2025'!$J$2:$J$2619,H$1)</f>
        <v>0</v>
      </c>
      <c r="I42" s="182">
        <f>SUMIFS('октябрь 2025'!$G$2:$G$2619,'октябрь 2025'!$D$2:$D$2619,$B42,'октябрь 2025'!$J$2:$J$2619,I$1)</f>
        <v>0</v>
      </c>
      <c r="J42" s="182">
        <f>SUMIFS('октябрь 2025'!$G$2:$G$2619,'октябрь 2025'!$D$2:$D$2619,$B42,'октябрь 2025'!$J$2:$J$2619,J$1)</f>
        <v>0</v>
      </c>
      <c r="K42" s="182">
        <f>SUMIFS('октябрь 2025'!$G$2:$G$2619,'октябрь 2025'!$D$2:$D$2619,$B42,'октябрь 2025'!$J$2:$J$2619,K$1)</f>
        <v>0</v>
      </c>
      <c r="L42" s="182">
        <f>SUMIFS('октябрь 2025'!$G$2:$G$2619,'октябрь 2025'!$D$2:$D$2619,$B42,'октябрь 2025'!$J$2:$J$2619,L$1)</f>
        <v>0</v>
      </c>
      <c r="M42" s="182">
        <f>SUMIFS('октябрь 2025'!$G$2:$G$2619,'октябрь 2025'!$D$2:$D$2619,$B42,'октябрь 2025'!$J$2:$J$2619,M$1)</f>
        <v>400</v>
      </c>
      <c r="N42" s="182">
        <f>SUMIFS('октябрь 2025'!$G$2:$G$2619,'октябрь 2025'!$D$2:$D$2619,$B42,'октябрь 2025'!$J$2:$J$2619,N$1)</f>
        <v>0</v>
      </c>
      <c r="O42" s="182">
        <f>SUMIFS('октябрь 2025'!$G$2:$G$2619,'октябрь 2025'!$D$2:$D$2619,$B42,'октябрь 2025'!$J$2:$J$2619,O$1)</f>
        <v>0</v>
      </c>
      <c r="P42" s="182">
        <f>SUMIFS('октябрь 2025'!$G$2:$G$2619,'октябрь 2025'!$D$2:$D$2619,$B42,'октябрь 2025'!$J$2:$J$2619,P$1)</f>
        <v>0</v>
      </c>
      <c r="Q42" s="182">
        <f>SUMIFS('октябрь 2025'!$G$2:$G$2619,'октябрь 2025'!$D$2:$D$2619,$B42,'октябрь 2025'!$J$2:$J$2619,Q$1)</f>
        <v>0</v>
      </c>
      <c r="R42" s="182">
        <f>SUMIFS('октябрь 2025'!$G$2:$G$2619,'октябрь 2025'!$D$2:$D$2619,$B42,'октябрь 2025'!$J$2:$J$2619,R$1)</f>
        <v>0</v>
      </c>
      <c r="S42" s="182">
        <f>SUMIFS('октябрь 2025'!$G$2:$G$2619,'октябрь 2025'!$D$2:$D$2619,$B42,'октябрь 2025'!$J$2:$J$2619,S$1)</f>
        <v>0</v>
      </c>
      <c r="T42" s="182">
        <f>SUMIFS('октябрь 2025'!$G$2:$G$2619,'октябрь 2025'!$D$2:$D$2619,$B42,'октябрь 2025'!$J$2:$J$2619,T$1)</f>
        <v>0</v>
      </c>
      <c r="U42" s="182">
        <f>SUMIFS('октябрь 2025'!$G$2:$G$2619,'октябрь 2025'!$D$2:$D$2619,$B42,'октябрь 2025'!$J$2:$J$2619,U$1)</f>
        <v>0</v>
      </c>
      <c r="V42" s="182">
        <f>SUMIFS('октябрь 2025'!$G$2:$G$2619,'октябрь 2025'!$D$2:$D$2619,$B42,'октябрь 2025'!$J$2:$J$2619,V$1)</f>
        <v>0</v>
      </c>
      <c r="W42" s="182">
        <f>SUMIFS('октябрь 2025'!$G$2:$G$2619,'октябрь 2025'!$D$2:$D$2619,$B42,'октябрь 2025'!$J$2:$J$2619,W$1)</f>
        <v>0</v>
      </c>
      <c r="X42" s="182">
        <f>SUMIFS('октябрь 2025'!$G$2:$G$2619,'октябрь 2025'!$D$2:$D$2619,$B42,'октябрь 2025'!$J$2:$J$2619,X$1)</f>
        <v>0</v>
      </c>
      <c r="Y42" s="182">
        <f>SUMIFS('октябрь 2025'!$G$2:$G$2619,'октябрь 2025'!$D$2:$D$2619,$B42,'октябрь 2025'!$J$2:$J$2619,Y$1)</f>
        <v>0</v>
      </c>
      <c r="Z42" s="182">
        <f>SUMIFS('октябрь 2025'!$G$2:$G$2619,'октябрь 2025'!$D$2:$D$2619,$B42,'октябрь 2025'!$J$2:$J$2619,Z$1)</f>
        <v>0</v>
      </c>
      <c r="AA42" s="182">
        <f>SUMIFS('октябрь 2025'!$G$2:$G$2619,'октябрь 2025'!$D$2:$D$2619,$B42,'октябрь 2025'!$J$2:$J$2619,AA$1)</f>
        <v>0</v>
      </c>
      <c r="AB42" s="182">
        <f>SUMIFS('октябрь 2025'!$G$2:$G$2619,'октябрь 2025'!$D$2:$D$2619,$B42,'октябрь 2025'!$J$2:$J$2619,AB$1)</f>
        <v>0</v>
      </c>
      <c r="AC42" s="182">
        <f>SUMIFS('октябрь 2025'!$G$2:$G$2619,'октябрь 2025'!$D$2:$D$2619,$B42,'октябрь 2025'!$J$2:$J$2619,AC$1)</f>
        <v>0</v>
      </c>
      <c r="AD42" s="182">
        <f>SUMIFS('октябрь 2025'!$G$2:$G$2619,'октябрь 2025'!$D$2:$D$2619,$B42,'октябрь 2025'!$J$2:$J$2619,AD$1)</f>
        <v>480</v>
      </c>
      <c r="AE42" s="182">
        <f>SUMIFS('октябрь 2025'!$G$2:$G$2619,'октябрь 2025'!$D$2:$D$2619,$B42,'октябрь 2025'!$J$2:$J$2619,AE$1)</f>
        <v>0</v>
      </c>
      <c r="AF42" s="182">
        <f>SUMIFS('октябрь 2025'!$G$2:$G$2619,'октябрь 2025'!$D$2:$D$2619,$B42,'октябрь 2025'!$J$2:$J$2619,AF$1)</f>
        <v>0</v>
      </c>
      <c r="AG42" s="182">
        <f>SUMIFS('октябрь 2025'!$G$2:$G$2619,'октябрь 2025'!$D$2:$D$2619,$B42,'октябрь 2025'!$J$2:$J$2619,AG$1)</f>
        <v>0</v>
      </c>
      <c r="AH42" s="182">
        <f>SUMIFS('октябрь 2025'!$G$2:$G$2619,'октябрь 2025'!$D$2:$D$2619,$B42,'октябрь 2025'!$J$2:$J$2619,AH$1)</f>
        <v>0</v>
      </c>
      <c r="AI42" s="20">
        <f t="shared" si="1"/>
        <v>1480</v>
      </c>
    </row>
    <row r="43" spans="2:35" ht="15" customHeight="1" x14ac:dyDescent="0.25">
      <c r="B43" s="131" t="s">
        <v>225</v>
      </c>
      <c r="C43" s="134">
        <v>25</v>
      </c>
      <c r="D43" s="182">
        <f>SUMIFS('октябрь 2025'!$G$2:$G$2619,'октябрь 2025'!$D$2:$D$2619,$B43,'октябрь 2025'!$J$2:$J$2619,D$1)</f>
        <v>0</v>
      </c>
      <c r="E43" s="182">
        <f>SUMIFS('октябрь 2025'!$G$2:$G$2619,'октябрь 2025'!$D$2:$D$2619,$B43,'октябрь 2025'!$J$2:$J$2619,E$1)</f>
        <v>0</v>
      </c>
      <c r="F43" s="182">
        <f>SUMIFS('октябрь 2025'!$G$2:$G$2619,'октябрь 2025'!$D$2:$D$2619,$B43,'октябрь 2025'!$J$2:$J$2619,F$1)</f>
        <v>0</v>
      </c>
      <c r="G43" s="182">
        <f>SUMIFS('октябрь 2025'!$G$2:$G$2619,'октябрь 2025'!$D$2:$D$2619,$B43,'октябрь 2025'!$J$2:$J$2619,G$1)</f>
        <v>0</v>
      </c>
      <c r="H43" s="182">
        <f>SUMIFS('октябрь 2025'!$G$2:$G$2619,'октябрь 2025'!$D$2:$D$2619,$B43,'октябрь 2025'!$J$2:$J$2619,H$1)</f>
        <v>0</v>
      </c>
      <c r="I43" s="182">
        <f>SUMIFS('октябрь 2025'!$G$2:$G$2619,'октябрь 2025'!$D$2:$D$2619,$B43,'октябрь 2025'!$J$2:$J$2619,I$1)</f>
        <v>0</v>
      </c>
      <c r="J43" s="182">
        <f>SUMIFS('октябрь 2025'!$G$2:$G$2619,'октябрь 2025'!$D$2:$D$2619,$B43,'октябрь 2025'!$J$2:$J$2619,J$1)</f>
        <v>0</v>
      </c>
      <c r="K43" s="182">
        <f>SUMIFS('октябрь 2025'!$G$2:$G$2619,'октябрь 2025'!$D$2:$D$2619,$B43,'октябрь 2025'!$J$2:$J$2619,K$1)</f>
        <v>0</v>
      </c>
      <c r="L43" s="182">
        <f>SUMIFS('октябрь 2025'!$G$2:$G$2619,'октябрь 2025'!$D$2:$D$2619,$B43,'октябрь 2025'!$J$2:$J$2619,L$1)</f>
        <v>0</v>
      </c>
      <c r="M43" s="182">
        <f>SUMIFS('октябрь 2025'!$G$2:$G$2619,'октябрь 2025'!$D$2:$D$2619,$B43,'октябрь 2025'!$J$2:$J$2619,M$1)</f>
        <v>0</v>
      </c>
      <c r="N43" s="182">
        <f>SUMIFS('октябрь 2025'!$G$2:$G$2619,'октябрь 2025'!$D$2:$D$2619,$B43,'октябрь 2025'!$J$2:$J$2619,N$1)</f>
        <v>0</v>
      </c>
      <c r="O43" s="182">
        <f>SUMIFS('октябрь 2025'!$G$2:$G$2619,'октябрь 2025'!$D$2:$D$2619,$B43,'октябрь 2025'!$J$2:$J$2619,O$1)</f>
        <v>0</v>
      </c>
      <c r="P43" s="182">
        <f>SUMIFS('октябрь 2025'!$G$2:$G$2619,'октябрь 2025'!$D$2:$D$2619,$B43,'октябрь 2025'!$J$2:$J$2619,P$1)</f>
        <v>0</v>
      </c>
      <c r="Q43" s="182">
        <f>SUMIFS('октябрь 2025'!$G$2:$G$2619,'октябрь 2025'!$D$2:$D$2619,$B43,'октябрь 2025'!$J$2:$J$2619,Q$1)</f>
        <v>0</v>
      </c>
      <c r="R43" s="182">
        <f>SUMIFS('октябрь 2025'!$G$2:$G$2619,'октябрь 2025'!$D$2:$D$2619,$B43,'октябрь 2025'!$J$2:$J$2619,R$1)</f>
        <v>0</v>
      </c>
      <c r="S43" s="182">
        <f>SUMIFS('октябрь 2025'!$G$2:$G$2619,'октябрь 2025'!$D$2:$D$2619,$B43,'октябрь 2025'!$J$2:$J$2619,S$1)</f>
        <v>0</v>
      </c>
      <c r="T43" s="182">
        <f>SUMIFS('октябрь 2025'!$G$2:$G$2619,'октябрь 2025'!$D$2:$D$2619,$B43,'октябрь 2025'!$J$2:$J$2619,T$1)</f>
        <v>0</v>
      </c>
      <c r="U43" s="182">
        <f>SUMIFS('октябрь 2025'!$G$2:$G$2619,'октябрь 2025'!$D$2:$D$2619,$B43,'октябрь 2025'!$J$2:$J$2619,U$1)</f>
        <v>0</v>
      </c>
      <c r="V43" s="182">
        <f>SUMIFS('октябрь 2025'!$G$2:$G$2619,'октябрь 2025'!$D$2:$D$2619,$B43,'октябрь 2025'!$J$2:$J$2619,V$1)</f>
        <v>0</v>
      </c>
      <c r="W43" s="182">
        <f>SUMIFS('октябрь 2025'!$G$2:$G$2619,'октябрь 2025'!$D$2:$D$2619,$B43,'октябрь 2025'!$J$2:$J$2619,W$1)</f>
        <v>0</v>
      </c>
      <c r="X43" s="182">
        <f>SUMIFS('октябрь 2025'!$G$2:$G$2619,'октябрь 2025'!$D$2:$D$2619,$B43,'октябрь 2025'!$J$2:$J$2619,X$1)</f>
        <v>0</v>
      </c>
      <c r="Y43" s="182">
        <f>SUMIFS('октябрь 2025'!$G$2:$G$2619,'октябрь 2025'!$D$2:$D$2619,$B43,'октябрь 2025'!$J$2:$J$2619,Y$1)</f>
        <v>0</v>
      </c>
      <c r="Z43" s="182">
        <f>SUMIFS('октябрь 2025'!$G$2:$G$2619,'октябрь 2025'!$D$2:$D$2619,$B43,'октябрь 2025'!$J$2:$J$2619,Z$1)</f>
        <v>0</v>
      </c>
      <c r="AA43" s="182">
        <f>SUMIFS('октябрь 2025'!$G$2:$G$2619,'октябрь 2025'!$D$2:$D$2619,$B43,'октябрь 2025'!$J$2:$J$2619,AA$1)</f>
        <v>0</v>
      </c>
      <c r="AB43" s="182">
        <f>SUMIFS('октябрь 2025'!$G$2:$G$2619,'октябрь 2025'!$D$2:$D$2619,$B43,'октябрь 2025'!$J$2:$J$2619,AB$1)</f>
        <v>0</v>
      </c>
      <c r="AC43" s="182">
        <f>SUMIFS('октябрь 2025'!$G$2:$G$2619,'октябрь 2025'!$D$2:$D$2619,$B43,'октябрь 2025'!$J$2:$J$2619,AC$1)</f>
        <v>0</v>
      </c>
      <c r="AD43" s="182">
        <f>SUMIFS('октябрь 2025'!$G$2:$G$2619,'октябрь 2025'!$D$2:$D$2619,$B43,'октябрь 2025'!$J$2:$J$2619,AD$1)</f>
        <v>0</v>
      </c>
      <c r="AE43" s="182">
        <f>SUMIFS('октябрь 2025'!$G$2:$G$2619,'октябрь 2025'!$D$2:$D$2619,$B43,'октябрь 2025'!$J$2:$J$2619,AE$1)</f>
        <v>0</v>
      </c>
      <c r="AF43" s="182">
        <f>SUMIFS('октябрь 2025'!$G$2:$G$2619,'октябрь 2025'!$D$2:$D$2619,$B43,'октябрь 2025'!$J$2:$J$2619,AF$1)</f>
        <v>0</v>
      </c>
      <c r="AG43" s="182">
        <f>SUMIFS('октябрь 2025'!$G$2:$G$2619,'октябрь 2025'!$D$2:$D$2619,$B43,'октябрь 2025'!$J$2:$J$2619,AG$1)</f>
        <v>0</v>
      </c>
      <c r="AH43" s="182">
        <f>SUMIFS('октябрь 2025'!$G$2:$G$2619,'октябрь 2025'!$D$2:$D$2619,$B43,'октябрь 2025'!$J$2:$J$2619,AH$1)</f>
        <v>0</v>
      </c>
      <c r="AI43" s="20">
        <f t="shared" si="1"/>
        <v>0</v>
      </c>
    </row>
    <row r="44" spans="2:35" ht="15" customHeight="1" x14ac:dyDescent="0.25">
      <c r="B44" s="131" t="s">
        <v>227</v>
      </c>
      <c r="C44" s="130">
        <v>22.68</v>
      </c>
      <c r="D44" s="182">
        <f>SUMIFS('октябрь 2025'!$G$2:$G$2619,'октябрь 2025'!$D$2:$D$2619,$B44,'октябрь 2025'!$J$2:$J$2619,D$1)</f>
        <v>0</v>
      </c>
      <c r="E44" s="182">
        <f>SUMIFS('октябрь 2025'!$G$2:$G$2619,'октябрь 2025'!$D$2:$D$2619,$B44,'октябрь 2025'!$J$2:$J$2619,E$1)</f>
        <v>0</v>
      </c>
      <c r="F44" s="182">
        <f>SUMIFS('октябрь 2025'!$G$2:$G$2619,'октябрь 2025'!$D$2:$D$2619,$B44,'октябрь 2025'!$J$2:$J$2619,F$1)</f>
        <v>0</v>
      </c>
      <c r="G44" s="182">
        <f>SUMIFS('октябрь 2025'!$G$2:$G$2619,'октябрь 2025'!$D$2:$D$2619,$B44,'октябрь 2025'!$J$2:$J$2619,G$1)</f>
        <v>0</v>
      </c>
      <c r="H44" s="182">
        <f>SUMIFS('октябрь 2025'!$G$2:$G$2619,'октябрь 2025'!$D$2:$D$2619,$B44,'октябрь 2025'!$J$2:$J$2619,H$1)</f>
        <v>0</v>
      </c>
      <c r="I44" s="182">
        <f>SUMIFS('октябрь 2025'!$G$2:$G$2619,'октябрь 2025'!$D$2:$D$2619,$B44,'октябрь 2025'!$J$2:$J$2619,I$1)</f>
        <v>0</v>
      </c>
      <c r="J44" s="182">
        <f>SUMIFS('октябрь 2025'!$G$2:$G$2619,'октябрь 2025'!$D$2:$D$2619,$B44,'октябрь 2025'!$J$2:$J$2619,J$1)</f>
        <v>0</v>
      </c>
      <c r="K44" s="182">
        <f>SUMIFS('октябрь 2025'!$G$2:$G$2619,'октябрь 2025'!$D$2:$D$2619,$B44,'октябрь 2025'!$J$2:$J$2619,K$1)</f>
        <v>0</v>
      </c>
      <c r="L44" s="182">
        <f>SUMIFS('октябрь 2025'!$G$2:$G$2619,'октябрь 2025'!$D$2:$D$2619,$B44,'октябрь 2025'!$J$2:$J$2619,L$1)</f>
        <v>0</v>
      </c>
      <c r="M44" s="182">
        <f>SUMIFS('октябрь 2025'!$G$2:$G$2619,'октябрь 2025'!$D$2:$D$2619,$B44,'октябрь 2025'!$J$2:$J$2619,M$1)</f>
        <v>0</v>
      </c>
      <c r="N44" s="182">
        <f>SUMIFS('октябрь 2025'!$G$2:$G$2619,'октябрь 2025'!$D$2:$D$2619,$B44,'октябрь 2025'!$J$2:$J$2619,N$1)</f>
        <v>0</v>
      </c>
      <c r="O44" s="182">
        <f>SUMIFS('октябрь 2025'!$G$2:$G$2619,'октябрь 2025'!$D$2:$D$2619,$B44,'октябрь 2025'!$J$2:$J$2619,O$1)</f>
        <v>0</v>
      </c>
      <c r="P44" s="182">
        <f>SUMIFS('октябрь 2025'!$G$2:$G$2619,'октябрь 2025'!$D$2:$D$2619,$B44,'октябрь 2025'!$J$2:$J$2619,P$1)</f>
        <v>0</v>
      </c>
      <c r="Q44" s="182">
        <f>SUMIFS('октябрь 2025'!$G$2:$G$2619,'октябрь 2025'!$D$2:$D$2619,$B44,'октябрь 2025'!$J$2:$J$2619,Q$1)</f>
        <v>0</v>
      </c>
      <c r="R44" s="182">
        <f>SUMIFS('октябрь 2025'!$G$2:$G$2619,'октябрь 2025'!$D$2:$D$2619,$B44,'октябрь 2025'!$J$2:$J$2619,R$1)</f>
        <v>0</v>
      </c>
      <c r="S44" s="182">
        <f>SUMIFS('октябрь 2025'!$G$2:$G$2619,'октябрь 2025'!$D$2:$D$2619,$B44,'октябрь 2025'!$J$2:$J$2619,S$1)</f>
        <v>0</v>
      </c>
      <c r="T44" s="182">
        <f>SUMIFS('октябрь 2025'!$G$2:$G$2619,'октябрь 2025'!$D$2:$D$2619,$B44,'октябрь 2025'!$J$2:$J$2619,T$1)</f>
        <v>0</v>
      </c>
      <c r="U44" s="182">
        <f>SUMIFS('октябрь 2025'!$G$2:$G$2619,'октябрь 2025'!$D$2:$D$2619,$B44,'октябрь 2025'!$J$2:$J$2619,U$1)</f>
        <v>0</v>
      </c>
      <c r="V44" s="182">
        <f>SUMIFS('октябрь 2025'!$G$2:$G$2619,'октябрь 2025'!$D$2:$D$2619,$B44,'октябрь 2025'!$J$2:$J$2619,V$1)</f>
        <v>0</v>
      </c>
      <c r="W44" s="182">
        <f>SUMIFS('октябрь 2025'!$G$2:$G$2619,'октябрь 2025'!$D$2:$D$2619,$B44,'октябрь 2025'!$J$2:$J$2619,W$1)</f>
        <v>0</v>
      </c>
      <c r="X44" s="182">
        <f>SUMIFS('октябрь 2025'!$G$2:$G$2619,'октябрь 2025'!$D$2:$D$2619,$B44,'октябрь 2025'!$J$2:$J$2619,X$1)</f>
        <v>0</v>
      </c>
      <c r="Y44" s="182">
        <f>SUMIFS('октябрь 2025'!$G$2:$G$2619,'октябрь 2025'!$D$2:$D$2619,$B44,'октябрь 2025'!$J$2:$J$2619,Y$1)</f>
        <v>0</v>
      </c>
      <c r="Z44" s="182">
        <f>SUMIFS('октябрь 2025'!$G$2:$G$2619,'октябрь 2025'!$D$2:$D$2619,$B44,'октябрь 2025'!$J$2:$J$2619,Z$1)</f>
        <v>0</v>
      </c>
      <c r="AA44" s="182">
        <f>SUMIFS('октябрь 2025'!$G$2:$G$2619,'октябрь 2025'!$D$2:$D$2619,$B44,'октябрь 2025'!$J$2:$J$2619,AA$1)</f>
        <v>0</v>
      </c>
      <c r="AB44" s="182">
        <f>SUMIFS('октябрь 2025'!$G$2:$G$2619,'октябрь 2025'!$D$2:$D$2619,$B44,'октябрь 2025'!$J$2:$J$2619,AB$1)</f>
        <v>0</v>
      </c>
      <c r="AC44" s="182">
        <f>SUMIFS('октябрь 2025'!$G$2:$G$2619,'октябрь 2025'!$D$2:$D$2619,$B44,'октябрь 2025'!$J$2:$J$2619,AC$1)</f>
        <v>0</v>
      </c>
      <c r="AD44" s="182">
        <f>SUMIFS('октябрь 2025'!$G$2:$G$2619,'октябрь 2025'!$D$2:$D$2619,$B44,'октябрь 2025'!$J$2:$J$2619,AD$1)</f>
        <v>0</v>
      </c>
      <c r="AE44" s="182">
        <f>SUMIFS('октябрь 2025'!$G$2:$G$2619,'октябрь 2025'!$D$2:$D$2619,$B44,'октябрь 2025'!$J$2:$J$2619,AE$1)</f>
        <v>0</v>
      </c>
      <c r="AF44" s="182">
        <f>SUMIFS('октябрь 2025'!$G$2:$G$2619,'октябрь 2025'!$D$2:$D$2619,$B44,'октябрь 2025'!$J$2:$J$2619,AF$1)</f>
        <v>0</v>
      </c>
      <c r="AG44" s="182">
        <f>SUMIFS('октябрь 2025'!$G$2:$G$2619,'октябрь 2025'!$D$2:$D$2619,$B44,'октябрь 2025'!$J$2:$J$2619,AG$1)</f>
        <v>0</v>
      </c>
      <c r="AH44" s="182">
        <f>SUMIFS('октябрь 2025'!$G$2:$G$2619,'октябрь 2025'!$D$2:$D$2619,$B44,'октябрь 2025'!$J$2:$J$2619,AH$1)</f>
        <v>0</v>
      </c>
      <c r="AI44" s="20">
        <f t="shared" si="1"/>
        <v>0</v>
      </c>
    </row>
    <row r="45" spans="2:35" ht="15" customHeight="1" x14ac:dyDescent="0.25">
      <c r="B45" s="135" t="s">
        <v>229</v>
      </c>
      <c r="C45" s="132">
        <v>25</v>
      </c>
      <c r="D45" s="182">
        <f>SUMIFS('октябрь 2025'!$G$2:$G$2619,'октябрь 2025'!$D$2:$D$2619,$B45,'октябрь 2025'!$J$2:$J$2619,D$1)</f>
        <v>0</v>
      </c>
      <c r="E45" s="182">
        <f>SUMIFS('октябрь 2025'!$G$2:$G$2619,'октябрь 2025'!$D$2:$D$2619,$B45,'октябрь 2025'!$J$2:$J$2619,E$1)</f>
        <v>0</v>
      </c>
      <c r="F45" s="182">
        <f>SUMIFS('октябрь 2025'!$G$2:$G$2619,'октябрь 2025'!$D$2:$D$2619,$B45,'октябрь 2025'!$J$2:$J$2619,F$1)</f>
        <v>0</v>
      </c>
      <c r="G45" s="182">
        <f>SUMIFS('октябрь 2025'!$G$2:$G$2619,'октябрь 2025'!$D$2:$D$2619,$B45,'октябрь 2025'!$J$2:$J$2619,G$1)</f>
        <v>0</v>
      </c>
      <c r="H45" s="182">
        <f>SUMIFS('октябрь 2025'!$G$2:$G$2619,'октябрь 2025'!$D$2:$D$2619,$B45,'октябрь 2025'!$J$2:$J$2619,H$1)</f>
        <v>0</v>
      </c>
      <c r="I45" s="182">
        <f>SUMIFS('октябрь 2025'!$G$2:$G$2619,'октябрь 2025'!$D$2:$D$2619,$B45,'октябрь 2025'!$J$2:$J$2619,I$1)</f>
        <v>0</v>
      </c>
      <c r="J45" s="182">
        <f>SUMIFS('октябрь 2025'!$G$2:$G$2619,'октябрь 2025'!$D$2:$D$2619,$B45,'октябрь 2025'!$J$2:$J$2619,J$1)</f>
        <v>0</v>
      </c>
      <c r="K45" s="182">
        <f>SUMIFS('октябрь 2025'!$G$2:$G$2619,'октябрь 2025'!$D$2:$D$2619,$B45,'октябрь 2025'!$J$2:$J$2619,K$1)</f>
        <v>0</v>
      </c>
      <c r="L45" s="182">
        <f>SUMIFS('октябрь 2025'!$G$2:$G$2619,'октябрь 2025'!$D$2:$D$2619,$B45,'октябрь 2025'!$J$2:$J$2619,L$1)</f>
        <v>0</v>
      </c>
      <c r="M45" s="182">
        <f>SUMIFS('октябрь 2025'!$G$2:$G$2619,'октябрь 2025'!$D$2:$D$2619,$B45,'октябрь 2025'!$J$2:$J$2619,M$1)</f>
        <v>0</v>
      </c>
      <c r="N45" s="182">
        <f>SUMIFS('октябрь 2025'!$G$2:$G$2619,'октябрь 2025'!$D$2:$D$2619,$B45,'октябрь 2025'!$J$2:$J$2619,N$1)</f>
        <v>0</v>
      </c>
      <c r="O45" s="182">
        <f>SUMIFS('октябрь 2025'!$G$2:$G$2619,'октябрь 2025'!$D$2:$D$2619,$B45,'октябрь 2025'!$J$2:$J$2619,O$1)</f>
        <v>0</v>
      </c>
      <c r="P45" s="182">
        <f>SUMIFS('октябрь 2025'!$G$2:$G$2619,'октябрь 2025'!$D$2:$D$2619,$B45,'октябрь 2025'!$J$2:$J$2619,P$1)</f>
        <v>0</v>
      </c>
      <c r="Q45" s="182">
        <f>SUMIFS('октябрь 2025'!$G$2:$G$2619,'октябрь 2025'!$D$2:$D$2619,$B45,'октябрь 2025'!$J$2:$J$2619,Q$1)</f>
        <v>0</v>
      </c>
      <c r="R45" s="182">
        <f>SUMIFS('октябрь 2025'!$G$2:$G$2619,'октябрь 2025'!$D$2:$D$2619,$B45,'октябрь 2025'!$J$2:$J$2619,R$1)</f>
        <v>0</v>
      </c>
      <c r="S45" s="182">
        <f>SUMIFS('октябрь 2025'!$G$2:$G$2619,'октябрь 2025'!$D$2:$D$2619,$B45,'октябрь 2025'!$J$2:$J$2619,S$1)</f>
        <v>0</v>
      </c>
      <c r="T45" s="182">
        <f>SUMIFS('октябрь 2025'!$G$2:$G$2619,'октябрь 2025'!$D$2:$D$2619,$B45,'октябрь 2025'!$J$2:$J$2619,T$1)</f>
        <v>0</v>
      </c>
      <c r="U45" s="182">
        <f>SUMIFS('октябрь 2025'!$G$2:$G$2619,'октябрь 2025'!$D$2:$D$2619,$B45,'октябрь 2025'!$J$2:$J$2619,U$1)</f>
        <v>0</v>
      </c>
      <c r="V45" s="182">
        <f>SUMIFS('октябрь 2025'!$G$2:$G$2619,'октябрь 2025'!$D$2:$D$2619,$B45,'октябрь 2025'!$J$2:$J$2619,V$1)</f>
        <v>0</v>
      </c>
      <c r="W45" s="182">
        <f>SUMIFS('октябрь 2025'!$G$2:$G$2619,'октябрь 2025'!$D$2:$D$2619,$B45,'октябрь 2025'!$J$2:$J$2619,W$1)</f>
        <v>0</v>
      </c>
      <c r="X45" s="182">
        <f>SUMIFS('октябрь 2025'!$G$2:$G$2619,'октябрь 2025'!$D$2:$D$2619,$B45,'октябрь 2025'!$J$2:$J$2619,X$1)</f>
        <v>0</v>
      </c>
      <c r="Y45" s="182">
        <f>SUMIFS('октябрь 2025'!$G$2:$G$2619,'октябрь 2025'!$D$2:$D$2619,$B45,'октябрь 2025'!$J$2:$J$2619,Y$1)</f>
        <v>0</v>
      </c>
      <c r="Z45" s="182">
        <f>SUMIFS('октябрь 2025'!$G$2:$G$2619,'октябрь 2025'!$D$2:$D$2619,$B45,'октябрь 2025'!$J$2:$J$2619,Z$1)</f>
        <v>0</v>
      </c>
      <c r="AA45" s="182">
        <f>SUMIFS('октябрь 2025'!$G$2:$G$2619,'октябрь 2025'!$D$2:$D$2619,$B45,'октябрь 2025'!$J$2:$J$2619,AA$1)</f>
        <v>0</v>
      </c>
      <c r="AB45" s="182">
        <f>SUMIFS('октябрь 2025'!$G$2:$G$2619,'октябрь 2025'!$D$2:$D$2619,$B45,'октябрь 2025'!$J$2:$J$2619,AB$1)</f>
        <v>0</v>
      </c>
      <c r="AC45" s="182">
        <f>SUMIFS('октябрь 2025'!$G$2:$G$2619,'октябрь 2025'!$D$2:$D$2619,$B45,'октябрь 2025'!$J$2:$J$2619,AC$1)</f>
        <v>0</v>
      </c>
      <c r="AD45" s="182">
        <f>SUMIFS('октябрь 2025'!$G$2:$G$2619,'октябрь 2025'!$D$2:$D$2619,$B45,'октябрь 2025'!$J$2:$J$2619,AD$1)</f>
        <v>0</v>
      </c>
      <c r="AE45" s="182">
        <f>SUMIFS('октябрь 2025'!$G$2:$G$2619,'октябрь 2025'!$D$2:$D$2619,$B45,'октябрь 2025'!$J$2:$J$2619,AE$1)</f>
        <v>0</v>
      </c>
      <c r="AF45" s="182">
        <f>SUMIFS('октябрь 2025'!$G$2:$G$2619,'октябрь 2025'!$D$2:$D$2619,$B45,'октябрь 2025'!$J$2:$J$2619,AF$1)</f>
        <v>0</v>
      </c>
      <c r="AG45" s="182">
        <f>SUMIFS('октябрь 2025'!$G$2:$G$2619,'октябрь 2025'!$D$2:$D$2619,$B45,'октябрь 2025'!$J$2:$J$2619,AG$1)</f>
        <v>0</v>
      </c>
      <c r="AH45" s="182">
        <f>SUMIFS('октябрь 2025'!$G$2:$G$2619,'октябрь 2025'!$D$2:$D$2619,$B45,'октябрь 2025'!$J$2:$J$2619,AH$1)</f>
        <v>0</v>
      </c>
      <c r="AI45" s="20">
        <f t="shared" si="1"/>
        <v>0</v>
      </c>
    </row>
    <row r="46" spans="2:35" ht="15" customHeight="1" x14ac:dyDescent="0.25">
      <c r="B46" s="131" t="s">
        <v>230</v>
      </c>
      <c r="C46" s="134">
        <v>25</v>
      </c>
      <c r="D46" s="182">
        <f>SUMIFS('октябрь 2025'!$G$2:$G$2619,'октябрь 2025'!$D$2:$D$2619,$B46,'октябрь 2025'!$J$2:$J$2619,D$1)</f>
        <v>0</v>
      </c>
      <c r="E46" s="182">
        <f>SUMIFS('октябрь 2025'!$G$2:$G$2619,'октябрь 2025'!$D$2:$D$2619,$B46,'октябрь 2025'!$J$2:$J$2619,E$1)</f>
        <v>0</v>
      </c>
      <c r="F46" s="182">
        <f>SUMIFS('октябрь 2025'!$G$2:$G$2619,'октябрь 2025'!$D$2:$D$2619,$B46,'октябрь 2025'!$J$2:$J$2619,F$1)</f>
        <v>0</v>
      </c>
      <c r="G46" s="182">
        <f>SUMIFS('октябрь 2025'!$G$2:$G$2619,'октябрь 2025'!$D$2:$D$2619,$B46,'октябрь 2025'!$J$2:$J$2619,G$1)</f>
        <v>0</v>
      </c>
      <c r="H46" s="182">
        <f>SUMIFS('октябрь 2025'!$G$2:$G$2619,'октябрь 2025'!$D$2:$D$2619,$B46,'октябрь 2025'!$J$2:$J$2619,H$1)</f>
        <v>0</v>
      </c>
      <c r="I46" s="182">
        <f>SUMIFS('октябрь 2025'!$G$2:$G$2619,'октябрь 2025'!$D$2:$D$2619,$B46,'октябрь 2025'!$J$2:$J$2619,I$1)</f>
        <v>0</v>
      </c>
      <c r="J46" s="182">
        <f>SUMIFS('октябрь 2025'!$G$2:$G$2619,'октябрь 2025'!$D$2:$D$2619,$B46,'октябрь 2025'!$J$2:$J$2619,J$1)</f>
        <v>0</v>
      </c>
      <c r="K46" s="182">
        <f>SUMIFS('октябрь 2025'!$G$2:$G$2619,'октябрь 2025'!$D$2:$D$2619,$B46,'октябрь 2025'!$J$2:$J$2619,K$1)</f>
        <v>0</v>
      </c>
      <c r="L46" s="182">
        <f>SUMIFS('октябрь 2025'!$G$2:$G$2619,'октябрь 2025'!$D$2:$D$2619,$B46,'октябрь 2025'!$J$2:$J$2619,L$1)</f>
        <v>0</v>
      </c>
      <c r="M46" s="182">
        <f>SUMIFS('октябрь 2025'!$G$2:$G$2619,'октябрь 2025'!$D$2:$D$2619,$B46,'октябрь 2025'!$J$2:$J$2619,M$1)</f>
        <v>0</v>
      </c>
      <c r="N46" s="182">
        <f>SUMIFS('октябрь 2025'!$G$2:$G$2619,'октябрь 2025'!$D$2:$D$2619,$B46,'октябрь 2025'!$J$2:$J$2619,N$1)</f>
        <v>0</v>
      </c>
      <c r="O46" s="182">
        <f>SUMIFS('октябрь 2025'!$G$2:$G$2619,'октябрь 2025'!$D$2:$D$2619,$B46,'октябрь 2025'!$J$2:$J$2619,O$1)</f>
        <v>0</v>
      </c>
      <c r="P46" s="182">
        <f>SUMIFS('октябрь 2025'!$G$2:$G$2619,'октябрь 2025'!$D$2:$D$2619,$B46,'октябрь 2025'!$J$2:$J$2619,P$1)</f>
        <v>0</v>
      </c>
      <c r="Q46" s="182">
        <f>SUMIFS('октябрь 2025'!$G$2:$G$2619,'октябрь 2025'!$D$2:$D$2619,$B46,'октябрь 2025'!$J$2:$J$2619,Q$1)</f>
        <v>0</v>
      </c>
      <c r="R46" s="182">
        <f>SUMIFS('октябрь 2025'!$G$2:$G$2619,'октябрь 2025'!$D$2:$D$2619,$B46,'октябрь 2025'!$J$2:$J$2619,R$1)</f>
        <v>0</v>
      </c>
      <c r="S46" s="182">
        <f>SUMIFS('октябрь 2025'!$G$2:$G$2619,'октябрь 2025'!$D$2:$D$2619,$B46,'октябрь 2025'!$J$2:$J$2619,S$1)</f>
        <v>0</v>
      </c>
      <c r="T46" s="182">
        <f>SUMIFS('октябрь 2025'!$G$2:$G$2619,'октябрь 2025'!$D$2:$D$2619,$B46,'октябрь 2025'!$J$2:$J$2619,T$1)</f>
        <v>0</v>
      </c>
      <c r="U46" s="182">
        <f>SUMIFS('октябрь 2025'!$G$2:$G$2619,'октябрь 2025'!$D$2:$D$2619,$B46,'октябрь 2025'!$J$2:$J$2619,U$1)</f>
        <v>0</v>
      </c>
      <c r="V46" s="182">
        <f>SUMIFS('октябрь 2025'!$G$2:$G$2619,'октябрь 2025'!$D$2:$D$2619,$B46,'октябрь 2025'!$J$2:$J$2619,V$1)</f>
        <v>0</v>
      </c>
      <c r="W46" s="182">
        <f>SUMIFS('октябрь 2025'!$G$2:$G$2619,'октябрь 2025'!$D$2:$D$2619,$B46,'октябрь 2025'!$J$2:$J$2619,W$1)</f>
        <v>0</v>
      </c>
      <c r="X46" s="182">
        <f>SUMIFS('октябрь 2025'!$G$2:$G$2619,'октябрь 2025'!$D$2:$D$2619,$B46,'октябрь 2025'!$J$2:$J$2619,X$1)</f>
        <v>0</v>
      </c>
      <c r="Y46" s="182">
        <f>SUMIFS('октябрь 2025'!$G$2:$G$2619,'октябрь 2025'!$D$2:$D$2619,$B46,'октябрь 2025'!$J$2:$J$2619,Y$1)</f>
        <v>0</v>
      </c>
      <c r="Z46" s="182">
        <f>SUMIFS('октябрь 2025'!$G$2:$G$2619,'октябрь 2025'!$D$2:$D$2619,$B46,'октябрь 2025'!$J$2:$J$2619,Z$1)</f>
        <v>0</v>
      </c>
      <c r="AA46" s="182">
        <f>SUMIFS('октябрь 2025'!$G$2:$G$2619,'октябрь 2025'!$D$2:$D$2619,$B46,'октябрь 2025'!$J$2:$J$2619,AA$1)</f>
        <v>0</v>
      </c>
      <c r="AB46" s="182">
        <f>SUMIFS('октябрь 2025'!$G$2:$G$2619,'октябрь 2025'!$D$2:$D$2619,$B46,'октябрь 2025'!$J$2:$J$2619,AB$1)</f>
        <v>0</v>
      </c>
      <c r="AC46" s="182">
        <f>SUMIFS('октябрь 2025'!$G$2:$G$2619,'октябрь 2025'!$D$2:$D$2619,$B46,'октябрь 2025'!$J$2:$J$2619,AC$1)</f>
        <v>0</v>
      </c>
      <c r="AD46" s="182">
        <f>SUMIFS('октябрь 2025'!$G$2:$G$2619,'октябрь 2025'!$D$2:$D$2619,$B46,'октябрь 2025'!$J$2:$J$2619,AD$1)</f>
        <v>0</v>
      </c>
      <c r="AE46" s="182">
        <f>SUMIFS('октябрь 2025'!$G$2:$G$2619,'октябрь 2025'!$D$2:$D$2619,$B46,'октябрь 2025'!$J$2:$J$2619,AE$1)</f>
        <v>0</v>
      </c>
      <c r="AF46" s="182">
        <f>SUMIFS('октябрь 2025'!$G$2:$G$2619,'октябрь 2025'!$D$2:$D$2619,$B46,'октябрь 2025'!$J$2:$J$2619,AF$1)</f>
        <v>0</v>
      </c>
      <c r="AG46" s="182">
        <f>SUMIFS('октябрь 2025'!$G$2:$G$2619,'октябрь 2025'!$D$2:$D$2619,$B46,'октябрь 2025'!$J$2:$J$2619,AG$1)</f>
        <v>0</v>
      </c>
      <c r="AH46" s="182">
        <f>SUMIFS('октябрь 2025'!$G$2:$G$2619,'октябрь 2025'!$D$2:$D$2619,$B46,'октябрь 2025'!$J$2:$J$2619,AH$1)</f>
        <v>0</v>
      </c>
      <c r="AI46" s="20">
        <f t="shared" si="1"/>
        <v>0</v>
      </c>
    </row>
    <row r="47" spans="2:35" ht="15" customHeight="1" x14ac:dyDescent="0.25">
      <c r="B47" s="135" t="s">
        <v>288</v>
      </c>
      <c r="C47" s="137">
        <v>25</v>
      </c>
      <c r="D47" s="182">
        <f>SUMIFS('октябрь 2025'!$G$2:$G$2619,'октябрь 2025'!$D$2:$D$2619,$B47,'октябрь 2025'!$J$2:$J$2619,D$1)</f>
        <v>0</v>
      </c>
      <c r="E47" s="182">
        <f>SUMIFS('октябрь 2025'!$G$2:$G$2619,'октябрь 2025'!$D$2:$D$2619,$B47,'октябрь 2025'!$J$2:$J$2619,E$1)</f>
        <v>0</v>
      </c>
      <c r="F47" s="182">
        <f>SUMIFS('октябрь 2025'!$G$2:$G$2619,'октябрь 2025'!$D$2:$D$2619,$B47,'октябрь 2025'!$J$2:$J$2619,F$1)</f>
        <v>0</v>
      </c>
      <c r="G47" s="182">
        <f>SUMIFS('октябрь 2025'!$G$2:$G$2619,'октябрь 2025'!$D$2:$D$2619,$B47,'октябрь 2025'!$J$2:$J$2619,G$1)</f>
        <v>0</v>
      </c>
      <c r="H47" s="182">
        <f>SUMIFS('октябрь 2025'!$G$2:$G$2619,'октябрь 2025'!$D$2:$D$2619,$B47,'октябрь 2025'!$J$2:$J$2619,H$1)</f>
        <v>0</v>
      </c>
      <c r="I47" s="182">
        <f>SUMIFS('октябрь 2025'!$G$2:$G$2619,'октябрь 2025'!$D$2:$D$2619,$B47,'октябрь 2025'!$J$2:$J$2619,I$1)</f>
        <v>0</v>
      </c>
      <c r="J47" s="182">
        <f>SUMIFS('октябрь 2025'!$G$2:$G$2619,'октябрь 2025'!$D$2:$D$2619,$B47,'октябрь 2025'!$J$2:$J$2619,J$1)</f>
        <v>0</v>
      </c>
      <c r="K47" s="182">
        <f>SUMIFS('октябрь 2025'!$G$2:$G$2619,'октябрь 2025'!$D$2:$D$2619,$B47,'октябрь 2025'!$J$2:$J$2619,K$1)</f>
        <v>0</v>
      </c>
      <c r="L47" s="182">
        <f>SUMIFS('октябрь 2025'!$G$2:$G$2619,'октябрь 2025'!$D$2:$D$2619,$B47,'октябрь 2025'!$J$2:$J$2619,L$1)</f>
        <v>0</v>
      </c>
      <c r="M47" s="182">
        <f>SUMIFS('октябрь 2025'!$G$2:$G$2619,'октябрь 2025'!$D$2:$D$2619,$B47,'октябрь 2025'!$J$2:$J$2619,M$1)</f>
        <v>0</v>
      </c>
      <c r="N47" s="182">
        <f>SUMIFS('октябрь 2025'!$G$2:$G$2619,'октябрь 2025'!$D$2:$D$2619,$B47,'октябрь 2025'!$J$2:$J$2619,N$1)</f>
        <v>0</v>
      </c>
      <c r="O47" s="182">
        <f>SUMIFS('октябрь 2025'!$G$2:$G$2619,'октябрь 2025'!$D$2:$D$2619,$B47,'октябрь 2025'!$J$2:$J$2619,O$1)</f>
        <v>0</v>
      </c>
      <c r="P47" s="182">
        <f>SUMIFS('октябрь 2025'!$G$2:$G$2619,'октябрь 2025'!$D$2:$D$2619,$B47,'октябрь 2025'!$J$2:$J$2619,P$1)</f>
        <v>0</v>
      </c>
      <c r="Q47" s="182">
        <f>SUMIFS('октябрь 2025'!$G$2:$G$2619,'октябрь 2025'!$D$2:$D$2619,$B47,'октябрь 2025'!$J$2:$J$2619,Q$1)</f>
        <v>0</v>
      </c>
      <c r="R47" s="182">
        <f>SUMIFS('октябрь 2025'!$G$2:$G$2619,'октябрь 2025'!$D$2:$D$2619,$B47,'октябрь 2025'!$J$2:$J$2619,R$1)</f>
        <v>0</v>
      </c>
      <c r="S47" s="182">
        <f>SUMIFS('октябрь 2025'!$G$2:$G$2619,'октябрь 2025'!$D$2:$D$2619,$B47,'октябрь 2025'!$J$2:$J$2619,S$1)</f>
        <v>0</v>
      </c>
      <c r="T47" s="182">
        <f>SUMIFS('октябрь 2025'!$G$2:$G$2619,'октябрь 2025'!$D$2:$D$2619,$B47,'октябрь 2025'!$J$2:$J$2619,T$1)</f>
        <v>0</v>
      </c>
      <c r="U47" s="182">
        <f>SUMIFS('октябрь 2025'!$G$2:$G$2619,'октябрь 2025'!$D$2:$D$2619,$B47,'октябрь 2025'!$J$2:$J$2619,U$1)</f>
        <v>0</v>
      </c>
      <c r="V47" s="182">
        <f>SUMIFS('октябрь 2025'!$G$2:$G$2619,'октябрь 2025'!$D$2:$D$2619,$B47,'октябрь 2025'!$J$2:$J$2619,V$1)</f>
        <v>0</v>
      </c>
      <c r="W47" s="182">
        <f>SUMIFS('октябрь 2025'!$G$2:$G$2619,'октябрь 2025'!$D$2:$D$2619,$B47,'октябрь 2025'!$J$2:$J$2619,W$1)</f>
        <v>0</v>
      </c>
      <c r="X47" s="182">
        <f>SUMIFS('октябрь 2025'!$G$2:$G$2619,'октябрь 2025'!$D$2:$D$2619,$B47,'октябрь 2025'!$J$2:$J$2619,X$1)</f>
        <v>0</v>
      </c>
      <c r="Y47" s="182">
        <f>SUMIFS('октябрь 2025'!$G$2:$G$2619,'октябрь 2025'!$D$2:$D$2619,$B47,'октябрь 2025'!$J$2:$J$2619,Y$1)</f>
        <v>0</v>
      </c>
      <c r="Z47" s="182">
        <f>SUMIFS('октябрь 2025'!$G$2:$G$2619,'октябрь 2025'!$D$2:$D$2619,$B47,'октябрь 2025'!$J$2:$J$2619,Z$1)</f>
        <v>0</v>
      </c>
      <c r="AA47" s="182">
        <f>SUMIFS('октябрь 2025'!$G$2:$G$2619,'октябрь 2025'!$D$2:$D$2619,$B47,'октябрь 2025'!$J$2:$J$2619,AA$1)</f>
        <v>0</v>
      </c>
      <c r="AB47" s="182">
        <f>SUMIFS('октябрь 2025'!$G$2:$G$2619,'октябрь 2025'!$D$2:$D$2619,$B47,'октябрь 2025'!$J$2:$J$2619,AB$1)</f>
        <v>0</v>
      </c>
      <c r="AC47" s="182">
        <f>SUMIFS('октябрь 2025'!$G$2:$G$2619,'октябрь 2025'!$D$2:$D$2619,$B47,'октябрь 2025'!$J$2:$J$2619,AC$1)</f>
        <v>0</v>
      </c>
      <c r="AD47" s="182">
        <f>SUMIFS('октябрь 2025'!$G$2:$G$2619,'октябрь 2025'!$D$2:$D$2619,$B47,'октябрь 2025'!$J$2:$J$2619,AD$1)</f>
        <v>0</v>
      </c>
      <c r="AE47" s="182">
        <f>SUMIFS('октябрь 2025'!$G$2:$G$2619,'октябрь 2025'!$D$2:$D$2619,$B47,'октябрь 2025'!$J$2:$J$2619,AE$1)</f>
        <v>0</v>
      </c>
      <c r="AF47" s="182">
        <f>SUMIFS('октябрь 2025'!$G$2:$G$2619,'октябрь 2025'!$D$2:$D$2619,$B47,'октябрь 2025'!$J$2:$J$2619,AF$1)</f>
        <v>0</v>
      </c>
      <c r="AG47" s="182">
        <f>SUMIFS('октябрь 2025'!$G$2:$G$2619,'октябрь 2025'!$D$2:$D$2619,$B47,'октябрь 2025'!$J$2:$J$2619,AG$1)</f>
        <v>0</v>
      </c>
      <c r="AH47" s="182">
        <f>SUMIFS('октябрь 2025'!$G$2:$G$2619,'октябрь 2025'!$D$2:$D$2619,$B47,'октябрь 2025'!$J$2:$J$2619,AH$1)</f>
        <v>0</v>
      </c>
      <c r="AI47" s="20">
        <f t="shared" si="1"/>
        <v>0</v>
      </c>
    </row>
    <row r="48" spans="2:35" ht="15" customHeight="1" x14ac:dyDescent="0.25">
      <c r="B48" s="135" t="s">
        <v>232</v>
      </c>
      <c r="C48" s="132">
        <v>25</v>
      </c>
      <c r="D48" s="182">
        <f>SUMIFS('октябрь 2025'!$G$2:$G$2619,'октябрь 2025'!$D$2:$D$2619,$B48,'октябрь 2025'!$J$2:$J$2619,D$1)</f>
        <v>0</v>
      </c>
      <c r="E48" s="182">
        <f>SUMIFS('октябрь 2025'!$G$2:$G$2619,'октябрь 2025'!$D$2:$D$2619,$B48,'октябрь 2025'!$J$2:$J$2619,E$1)</f>
        <v>0</v>
      </c>
      <c r="F48" s="182">
        <f>SUMIFS('октябрь 2025'!$G$2:$G$2619,'октябрь 2025'!$D$2:$D$2619,$B48,'октябрь 2025'!$J$2:$J$2619,F$1)</f>
        <v>0</v>
      </c>
      <c r="G48" s="182">
        <f>SUMIFS('октябрь 2025'!$G$2:$G$2619,'октябрь 2025'!$D$2:$D$2619,$B48,'октябрь 2025'!$J$2:$J$2619,G$1)</f>
        <v>0</v>
      </c>
      <c r="H48" s="182">
        <f>SUMIFS('октябрь 2025'!$G$2:$G$2619,'октябрь 2025'!$D$2:$D$2619,$B48,'октябрь 2025'!$J$2:$J$2619,H$1)</f>
        <v>0</v>
      </c>
      <c r="I48" s="182">
        <f>SUMIFS('октябрь 2025'!$G$2:$G$2619,'октябрь 2025'!$D$2:$D$2619,$B48,'октябрь 2025'!$J$2:$J$2619,I$1)</f>
        <v>0</v>
      </c>
      <c r="J48" s="182">
        <f>SUMIFS('октябрь 2025'!$G$2:$G$2619,'октябрь 2025'!$D$2:$D$2619,$B48,'октябрь 2025'!$J$2:$J$2619,J$1)</f>
        <v>0</v>
      </c>
      <c r="K48" s="182">
        <f>SUMIFS('октябрь 2025'!$G$2:$G$2619,'октябрь 2025'!$D$2:$D$2619,$B48,'октябрь 2025'!$J$2:$J$2619,K$1)</f>
        <v>0</v>
      </c>
      <c r="L48" s="182">
        <f>SUMIFS('октябрь 2025'!$G$2:$G$2619,'октябрь 2025'!$D$2:$D$2619,$B48,'октябрь 2025'!$J$2:$J$2619,L$1)</f>
        <v>0</v>
      </c>
      <c r="M48" s="182">
        <f>SUMIFS('октябрь 2025'!$G$2:$G$2619,'октябрь 2025'!$D$2:$D$2619,$B48,'октябрь 2025'!$J$2:$J$2619,M$1)</f>
        <v>0</v>
      </c>
      <c r="N48" s="182">
        <f>SUMIFS('октябрь 2025'!$G$2:$G$2619,'октябрь 2025'!$D$2:$D$2619,$B48,'октябрь 2025'!$J$2:$J$2619,N$1)</f>
        <v>0</v>
      </c>
      <c r="O48" s="182">
        <f>SUMIFS('октябрь 2025'!$G$2:$G$2619,'октябрь 2025'!$D$2:$D$2619,$B48,'октябрь 2025'!$J$2:$J$2619,O$1)</f>
        <v>0</v>
      </c>
      <c r="P48" s="182">
        <f>SUMIFS('октябрь 2025'!$G$2:$G$2619,'октябрь 2025'!$D$2:$D$2619,$B48,'октябрь 2025'!$J$2:$J$2619,P$1)</f>
        <v>0</v>
      </c>
      <c r="Q48" s="182">
        <f>SUMIFS('октябрь 2025'!$G$2:$G$2619,'октябрь 2025'!$D$2:$D$2619,$B48,'октябрь 2025'!$J$2:$J$2619,Q$1)</f>
        <v>0</v>
      </c>
      <c r="R48" s="182">
        <f>SUMIFS('октябрь 2025'!$G$2:$G$2619,'октябрь 2025'!$D$2:$D$2619,$B48,'октябрь 2025'!$J$2:$J$2619,R$1)</f>
        <v>0</v>
      </c>
      <c r="S48" s="182">
        <f>SUMIFS('октябрь 2025'!$G$2:$G$2619,'октябрь 2025'!$D$2:$D$2619,$B48,'октябрь 2025'!$J$2:$J$2619,S$1)</f>
        <v>0</v>
      </c>
      <c r="T48" s="182">
        <f>SUMIFS('октябрь 2025'!$G$2:$G$2619,'октябрь 2025'!$D$2:$D$2619,$B48,'октябрь 2025'!$J$2:$J$2619,T$1)</f>
        <v>0</v>
      </c>
      <c r="U48" s="182">
        <f>SUMIFS('октябрь 2025'!$G$2:$G$2619,'октябрь 2025'!$D$2:$D$2619,$B48,'октябрь 2025'!$J$2:$J$2619,U$1)</f>
        <v>0</v>
      </c>
      <c r="V48" s="182">
        <f>SUMIFS('октябрь 2025'!$G$2:$G$2619,'октябрь 2025'!$D$2:$D$2619,$B48,'октябрь 2025'!$J$2:$J$2619,V$1)</f>
        <v>0</v>
      </c>
      <c r="W48" s="182">
        <f>SUMIFS('октябрь 2025'!$G$2:$G$2619,'октябрь 2025'!$D$2:$D$2619,$B48,'октябрь 2025'!$J$2:$J$2619,W$1)</f>
        <v>0</v>
      </c>
      <c r="X48" s="182">
        <f>SUMIFS('октябрь 2025'!$G$2:$G$2619,'октябрь 2025'!$D$2:$D$2619,$B48,'октябрь 2025'!$J$2:$J$2619,X$1)</f>
        <v>0</v>
      </c>
      <c r="Y48" s="182">
        <f>SUMIFS('октябрь 2025'!$G$2:$G$2619,'октябрь 2025'!$D$2:$D$2619,$B48,'октябрь 2025'!$J$2:$J$2619,Y$1)</f>
        <v>0</v>
      </c>
      <c r="Z48" s="182">
        <f>SUMIFS('октябрь 2025'!$G$2:$G$2619,'октябрь 2025'!$D$2:$D$2619,$B48,'октябрь 2025'!$J$2:$J$2619,Z$1)</f>
        <v>0</v>
      </c>
      <c r="AA48" s="182">
        <f>SUMIFS('октябрь 2025'!$G$2:$G$2619,'октябрь 2025'!$D$2:$D$2619,$B48,'октябрь 2025'!$J$2:$J$2619,AA$1)</f>
        <v>0</v>
      </c>
      <c r="AB48" s="182">
        <f>SUMIFS('октябрь 2025'!$G$2:$G$2619,'октябрь 2025'!$D$2:$D$2619,$B48,'октябрь 2025'!$J$2:$J$2619,AB$1)</f>
        <v>0</v>
      </c>
      <c r="AC48" s="182">
        <f>SUMIFS('октябрь 2025'!$G$2:$G$2619,'октябрь 2025'!$D$2:$D$2619,$B48,'октябрь 2025'!$J$2:$J$2619,AC$1)</f>
        <v>0</v>
      </c>
      <c r="AD48" s="182">
        <f>SUMIFS('октябрь 2025'!$G$2:$G$2619,'октябрь 2025'!$D$2:$D$2619,$B48,'октябрь 2025'!$J$2:$J$2619,AD$1)</f>
        <v>0</v>
      </c>
      <c r="AE48" s="182">
        <f>SUMIFS('октябрь 2025'!$G$2:$G$2619,'октябрь 2025'!$D$2:$D$2619,$B48,'октябрь 2025'!$J$2:$J$2619,AE$1)</f>
        <v>0</v>
      </c>
      <c r="AF48" s="182">
        <f>SUMIFS('октябрь 2025'!$G$2:$G$2619,'октябрь 2025'!$D$2:$D$2619,$B48,'октябрь 2025'!$J$2:$J$2619,AF$1)</f>
        <v>0</v>
      </c>
      <c r="AG48" s="182">
        <f>SUMIFS('октябрь 2025'!$G$2:$G$2619,'октябрь 2025'!$D$2:$D$2619,$B48,'октябрь 2025'!$J$2:$J$2619,AG$1)</f>
        <v>0</v>
      </c>
      <c r="AH48" s="182">
        <f>SUMIFS('октябрь 2025'!$G$2:$G$2619,'октябрь 2025'!$D$2:$D$2619,$B48,'октябрь 2025'!$J$2:$J$2619,AH$1)</f>
        <v>0</v>
      </c>
      <c r="AI48" s="20">
        <f t="shared" si="1"/>
        <v>0</v>
      </c>
    </row>
    <row r="49" spans="2:35" ht="15" customHeight="1" x14ac:dyDescent="0.25">
      <c r="B49" s="135" t="s">
        <v>234</v>
      </c>
      <c r="C49" s="132">
        <v>18</v>
      </c>
      <c r="D49" s="182">
        <f>SUMIFS('октябрь 2025'!$G$2:$G$2619,'октябрь 2025'!$D$2:$D$2619,$B49,'октябрь 2025'!$J$2:$J$2619,D$1)</f>
        <v>0</v>
      </c>
      <c r="E49" s="182">
        <f>SUMIFS('октябрь 2025'!$G$2:$G$2619,'октябрь 2025'!$D$2:$D$2619,$B49,'октябрь 2025'!$J$2:$J$2619,E$1)</f>
        <v>0</v>
      </c>
      <c r="F49" s="182">
        <f>SUMIFS('октябрь 2025'!$G$2:$G$2619,'октябрь 2025'!$D$2:$D$2619,$B49,'октябрь 2025'!$J$2:$J$2619,F$1)</f>
        <v>0</v>
      </c>
      <c r="G49" s="182">
        <f>SUMIFS('октябрь 2025'!$G$2:$G$2619,'октябрь 2025'!$D$2:$D$2619,$B49,'октябрь 2025'!$J$2:$J$2619,G$1)</f>
        <v>0</v>
      </c>
      <c r="H49" s="182">
        <f>SUMIFS('октябрь 2025'!$G$2:$G$2619,'октябрь 2025'!$D$2:$D$2619,$B49,'октябрь 2025'!$J$2:$J$2619,H$1)</f>
        <v>0</v>
      </c>
      <c r="I49" s="182">
        <f>SUMIFS('октябрь 2025'!$G$2:$G$2619,'октябрь 2025'!$D$2:$D$2619,$B49,'октябрь 2025'!$J$2:$J$2619,I$1)</f>
        <v>0</v>
      </c>
      <c r="J49" s="182">
        <f>SUMIFS('октябрь 2025'!$G$2:$G$2619,'октябрь 2025'!$D$2:$D$2619,$B49,'октябрь 2025'!$J$2:$J$2619,J$1)</f>
        <v>0</v>
      </c>
      <c r="K49" s="182">
        <f>SUMIFS('октябрь 2025'!$G$2:$G$2619,'октябрь 2025'!$D$2:$D$2619,$B49,'октябрь 2025'!$J$2:$J$2619,K$1)</f>
        <v>0</v>
      </c>
      <c r="L49" s="182">
        <f>SUMIFS('октябрь 2025'!$G$2:$G$2619,'октябрь 2025'!$D$2:$D$2619,$B49,'октябрь 2025'!$J$2:$J$2619,L$1)</f>
        <v>0</v>
      </c>
      <c r="M49" s="182">
        <f>SUMIFS('октябрь 2025'!$G$2:$G$2619,'октябрь 2025'!$D$2:$D$2619,$B49,'октябрь 2025'!$J$2:$J$2619,M$1)</f>
        <v>0</v>
      </c>
      <c r="N49" s="182">
        <f>SUMIFS('октябрь 2025'!$G$2:$G$2619,'октябрь 2025'!$D$2:$D$2619,$B49,'октябрь 2025'!$J$2:$J$2619,N$1)</f>
        <v>0</v>
      </c>
      <c r="O49" s="182">
        <f>SUMIFS('октябрь 2025'!$G$2:$G$2619,'октябрь 2025'!$D$2:$D$2619,$B49,'октябрь 2025'!$J$2:$J$2619,O$1)</f>
        <v>0</v>
      </c>
      <c r="P49" s="182">
        <f>SUMIFS('октябрь 2025'!$G$2:$G$2619,'октябрь 2025'!$D$2:$D$2619,$B49,'октябрь 2025'!$J$2:$J$2619,P$1)</f>
        <v>0</v>
      </c>
      <c r="Q49" s="182">
        <f>SUMIFS('октябрь 2025'!$G$2:$G$2619,'октябрь 2025'!$D$2:$D$2619,$B49,'октябрь 2025'!$J$2:$J$2619,Q$1)</f>
        <v>0</v>
      </c>
      <c r="R49" s="182">
        <f>SUMIFS('октябрь 2025'!$G$2:$G$2619,'октябрь 2025'!$D$2:$D$2619,$B49,'октябрь 2025'!$J$2:$J$2619,R$1)</f>
        <v>0</v>
      </c>
      <c r="S49" s="182">
        <f>SUMIFS('октябрь 2025'!$G$2:$G$2619,'октябрь 2025'!$D$2:$D$2619,$B49,'октябрь 2025'!$J$2:$J$2619,S$1)</f>
        <v>0</v>
      </c>
      <c r="T49" s="182">
        <f>SUMIFS('октябрь 2025'!$G$2:$G$2619,'октябрь 2025'!$D$2:$D$2619,$B49,'октябрь 2025'!$J$2:$J$2619,T$1)</f>
        <v>0</v>
      </c>
      <c r="U49" s="182">
        <f>SUMIFS('октябрь 2025'!$G$2:$G$2619,'октябрь 2025'!$D$2:$D$2619,$B49,'октябрь 2025'!$J$2:$J$2619,U$1)</f>
        <v>0</v>
      </c>
      <c r="V49" s="182">
        <f>SUMIFS('октябрь 2025'!$G$2:$G$2619,'октябрь 2025'!$D$2:$D$2619,$B49,'октябрь 2025'!$J$2:$J$2619,V$1)</f>
        <v>0</v>
      </c>
      <c r="W49" s="182">
        <f>SUMIFS('октябрь 2025'!$G$2:$G$2619,'октябрь 2025'!$D$2:$D$2619,$B49,'октябрь 2025'!$J$2:$J$2619,W$1)</f>
        <v>0</v>
      </c>
      <c r="X49" s="182">
        <f>SUMIFS('октябрь 2025'!$G$2:$G$2619,'октябрь 2025'!$D$2:$D$2619,$B49,'октябрь 2025'!$J$2:$J$2619,X$1)</f>
        <v>0</v>
      </c>
      <c r="Y49" s="182">
        <f>SUMIFS('октябрь 2025'!$G$2:$G$2619,'октябрь 2025'!$D$2:$D$2619,$B49,'октябрь 2025'!$J$2:$J$2619,Y$1)</f>
        <v>0</v>
      </c>
      <c r="Z49" s="182">
        <f>SUMIFS('октябрь 2025'!$G$2:$G$2619,'октябрь 2025'!$D$2:$D$2619,$B49,'октябрь 2025'!$J$2:$J$2619,Z$1)</f>
        <v>0</v>
      </c>
      <c r="AA49" s="182">
        <f>SUMIFS('октябрь 2025'!$G$2:$G$2619,'октябрь 2025'!$D$2:$D$2619,$B49,'октябрь 2025'!$J$2:$J$2619,AA$1)</f>
        <v>0</v>
      </c>
      <c r="AB49" s="182">
        <f>SUMIFS('октябрь 2025'!$G$2:$G$2619,'октябрь 2025'!$D$2:$D$2619,$B49,'октябрь 2025'!$J$2:$J$2619,AB$1)</f>
        <v>0</v>
      </c>
      <c r="AC49" s="182">
        <f>SUMIFS('октябрь 2025'!$G$2:$G$2619,'октябрь 2025'!$D$2:$D$2619,$B49,'октябрь 2025'!$J$2:$J$2619,AC$1)</f>
        <v>0</v>
      </c>
      <c r="AD49" s="182">
        <f>SUMIFS('октябрь 2025'!$G$2:$G$2619,'октябрь 2025'!$D$2:$D$2619,$B49,'октябрь 2025'!$J$2:$J$2619,AD$1)</f>
        <v>0</v>
      </c>
      <c r="AE49" s="182">
        <f>SUMIFS('октябрь 2025'!$G$2:$G$2619,'октябрь 2025'!$D$2:$D$2619,$B49,'октябрь 2025'!$J$2:$J$2619,AE$1)</f>
        <v>0</v>
      </c>
      <c r="AF49" s="182">
        <f>SUMIFS('октябрь 2025'!$G$2:$G$2619,'октябрь 2025'!$D$2:$D$2619,$B49,'октябрь 2025'!$J$2:$J$2619,AF$1)</f>
        <v>0</v>
      </c>
      <c r="AG49" s="182">
        <f>SUMIFS('октябрь 2025'!$G$2:$G$2619,'октябрь 2025'!$D$2:$D$2619,$B49,'октябрь 2025'!$J$2:$J$2619,AG$1)</f>
        <v>0</v>
      </c>
      <c r="AH49" s="182">
        <f>SUMIFS('октябрь 2025'!$G$2:$G$2619,'октябрь 2025'!$D$2:$D$2619,$B49,'октябрь 2025'!$J$2:$J$2619,AH$1)</f>
        <v>0</v>
      </c>
      <c r="AI49" s="20">
        <f t="shared" si="1"/>
        <v>0</v>
      </c>
    </row>
    <row r="50" spans="2:35" ht="15" customHeight="1" x14ac:dyDescent="0.25">
      <c r="B50" s="135" t="s">
        <v>1079</v>
      </c>
      <c r="C50" s="132">
        <v>18</v>
      </c>
      <c r="D50" s="182">
        <f>SUMIFS('октябрь 2025'!$G$2:$G$2619,'октябрь 2025'!$D$2:$D$2619,$B50,'октябрь 2025'!$J$2:$J$2619,D$1)</f>
        <v>0</v>
      </c>
      <c r="E50" s="182">
        <f>SUMIFS('октябрь 2025'!$G$2:$G$2619,'октябрь 2025'!$D$2:$D$2619,$B50,'октябрь 2025'!$J$2:$J$2619,E$1)</f>
        <v>0</v>
      </c>
      <c r="F50" s="182">
        <f>SUMIFS('октябрь 2025'!$G$2:$G$2619,'октябрь 2025'!$D$2:$D$2619,$B50,'октябрь 2025'!$J$2:$J$2619,F$1)</f>
        <v>0</v>
      </c>
      <c r="G50" s="182">
        <f>SUMIFS('октябрь 2025'!$G$2:$G$2619,'октябрь 2025'!$D$2:$D$2619,$B50,'октябрь 2025'!$J$2:$J$2619,G$1)</f>
        <v>0</v>
      </c>
      <c r="H50" s="182">
        <f>SUMIFS('октябрь 2025'!$G$2:$G$2619,'октябрь 2025'!$D$2:$D$2619,$B50,'октябрь 2025'!$J$2:$J$2619,H$1)</f>
        <v>0</v>
      </c>
      <c r="I50" s="182">
        <f>SUMIFS('октябрь 2025'!$G$2:$G$2619,'октябрь 2025'!$D$2:$D$2619,$B50,'октябрь 2025'!$J$2:$J$2619,I$1)</f>
        <v>0</v>
      </c>
      <c r="J50" s="182">
        <f>SUMIFS('октябрь 2025'!$G$2:$G$2619,'октябрь 2025'!$D$2:$D$2619,$B50,'октябрь 2025'!$J$2:$J$2619,J$1)</f>
        <v>0</v>
      </c>
      <c r="K50" s="182">
        <f>SUMIFS('октябрь 2025'!$G$2:$G$2619,'октябрь 2025'!$D$2:$D$2619,$B50,'октябрь 2025'!$J$2:$J$2619,K$1)</f>
        <v>0</v>
      </c>
      <c r="L50" s="182">
        <f>SUMIFS('октябрь 2025'!$G$2:$G$2619,'октябрь 2025'!$D$2:$D$2619,$B50,'октябрь 2025'!$J$2:$J$2619,L$1)</f>
        <v>0</v>
      </c>
      <c r="M50" s="182">
        <f>SUMIFS('октябрь 2025'!$G$2:$G$2619,'октябрь 2025'!$D$2:$D$2619,$B50,'октябрь 2025'!$J$2:$J$2619,M$1)</f>
        <v>0</v>
      </c>
      <c r="N50" s="182">
        <f>SUMIFS('октябрь 2025'!$G$2:$G$2619,'октябрь 2025'!$D$2:$D$2619,$B50,'октябрь 2025'!$J$2:$J$2619,N$1)</f>
        <v>0</v>
      </c>
      <c r="O50" s="182">
        <f>SUMIFS('октябрь 2025'!$G$2:$G$2619,'октябрь 2025'!$D$2:$D$2619,$B50,'октябрь 2025'!$J$2:$J$2619,O$1)</f>
        <v>0</v>
      </c>
      <c r="P50" s="182">
        <f>SUMIFS('октябрь 2025'!$G$2:$G$2619,'октябрь 2025'!$D$2:$D$2619,$B50,'октябрь 2025'!$J$2:$J$2619,P$1)</f>
        <v>0</v>
      </c>
      <c r="Q50" s="182">
        <f>SUMIFS('октябрь 2025'!$G$2:$G$2619,'октябрь 2025'!$D$2:$D$2619,$B50,'октябрь 2025'!$J$2:$J$2619,Q$1)</f>
        <v>0</v>
      </c>
      <c r="R50" s="182">
        <f>SUMIFS('октябрь 2025'!$G$2:$G$2619,'октябрь 2025'!$D$2:$D$2619,$B50,'октябрь 2025'!$J$2:$J$2619,R$1)</f>
        <v>0</v>
      </c>
      <c r="S50" s="182">
        <f>SUMIFS('октябрь 2025'!$G$2:$G$2619,'октябрь 2025'!$D$2:$D$2619,$B50,'октябрь 2025'!$J$2:$J$2619,S$1)</f>
        <v>0</v>
      </c>
      <c r="T50" s="182">
        <f>SUMIFS('октябрь 2025'!$G$2:$G$2619,'октябрь 2025'!$D$2:$D$2619,$B50,'октябрь 2025'!$J$2:$J$2619,T$1)</f>
        <v>0</v>
      </c>
      <c r="U50" s="182">
        <f>SUMIFS('октябрь 2025'!$G$2:$G$2619,'октябрь 2025'!$D$2:$D$2619,$B50,'октябрь 2025'!$J$2:$J$2619,U$1)</f>
        <v>0</v>
      </c>
      <c r="V50" s="182">
        <f>SUMIFS('октябрь 2025'!$G$2:$G$2619,'октябрь 2025'!$D$2:$D$2619,$B50,'октябрь 2025'!$J$2:$J$2619,V$1)</f>
        <v>0</v>
      </c>
      <c r="W50" s="182">
        <f>SUMIFS('октябрь 2025'!$G$2:$G$2619,'октябрь 2025'!$D$2:$D$2619,$B50,'октябрь 2025'!$J$2:$J$2619,W$1)</f>
        <v>0</v>
      </c>
      <c r="X50" s="182">
        <f>SUMIFS('октябрь 2025'!$G$2:$G$2619,'октябрь 2025'!$D$2:$D$2619,$B50,'октябрь 2025'!$J$2:$J$2619,X$1)</f>
        <v>0</v>
      </c>
      <c r="Y50" s="182">
        <f>SUMIFS('октябрь 2025'!$G$2:$G$2619,'октябрь 2025'!$D$2:$D$2619,$B50,'октябрь 2025'!$J$2:$J$2619,Y$1)</f>
        <v>0</v>
      </c>
      <c r="Z50" s="182">
        <f>SUMIFS('октябрь 2025'!$G$2:$G$2619,'октябрь 2025'!$D$2:$D$2619,$B50,'октябрь 2025'!$J$2:$J$2619,Z$1)</f>
        <v>0</v>
      </c>
      <c r="AA50" s="182">
        <f>SUMIFS('октябрь 2025'!$G$2:$G$2619,'октябрь 2025'!$D$2:$D$2619,$B50,'октябрь 2025'!$J$2:$J$2619,AA$1)</f>
        <v>0</v>
      </c>
      <c r="AB50" s="182">
        <f>SUMIFS('октябрь 2025'!$G$2:$G$2619,'октябрь 2025'!$D$2:$D$2619,$B50,'октябрь 2025'!$J$2:$J$2619,AB$1)</f>
        <v>0</v>
      </c>
      <c r="AC50" s="182">
        <f>SUMIFS('октябрь 2025'!$G$2:$G$2619,'октябрь 2025'!$D$2:$D$2619,$B50,'октябрь 2025'!$J$2:$J$2619,AC$1)</f>
        <v>0</v>
      </c>
      <c r="AD50" s="182">
        <f>SUMIFS('октябрь 2025'!$G$2:$G$2619,'октябрь 2025'!$D$2:$D$2619,$B50,'октябрь 2025'!$J$2:$J$2619,AD$1)</f>
        <v>0</v>
      </c>
      <c r="AE50" s="182">
        <f>SUMIFS('октябрь 2025'!$G$2:$G$2619,'октябрь 2025'!$D$2:$D$2619,$B50,'октябрь 2025'!$J$2:$J$2619,AE$1)</f>
        <v>0</v>
      </c>
      <c r="AF50" s="182">
        <f>SUMIFS('октябрь 2025'!$G$2:$G$2619,'октябрь 2025'!$D$2:$D$2619,$B50,'октябрь 2025'!$J$2:$J$2619,AF$1)</f>
        <v>0</v>
      </c>
      <c r="AG50" s="182">
        <f>SUMIFS('октябрь 2025'!$G$2:$G$2619,'октябрь 2025'!$D$2:$D$2619,$B50,'октябрь 2025'!$J$2:$J$2619,AG$1)</f>
        <v>0</v>
      </c>
      <c r="AH50" s="182">
        <f>SUMIFS('октябрь 2025'!$G$2:$G$2619,'октябрь 2025'!$D$2:$D$2619,$B50,'октябрь 2025'!$J$2:$J$2619,AH$1)</f>
        <v>0</v>
      </c>
      <c r="AI50" s="20">
        <f t="shared" si="1"/>
        <v>0</v>
      </c>
    </row>
    <row r="51" spans="2:35" ht="15" customHeight="1" x14ac:dyDescent="0.25">
      <c r="B51" s="135" t="s">
        <v>236</v>
      </c>
      <c r="C51" s="132">
        <v>20</v>
      </c>
      <c r="D51" s="182">
        <f>SUMIFS('октябрь 2025'!$G$2:$G$2619,'октябрь 2025'!$D$2:$D$2619,$B51,'октябрь 2025'!$J$2:$J$2619,D$1)</f>
        <v>0</v>
      </c>
      <c r="E51" s="182">
        <f>SUMIFS('октябрь 2025'!$G$2:$G$2619,'октябрь 2025'!$D$2:$D$2619,$B51,'октябрь 2025'!$J$2:$J$2619,E$1)</f>
        <v>0</v>
      </c>
      <c r="F51" s="182">
        <f>SUMIFS('октябрь 2025'!$G$2:$G$2619,'октябрь 2025'!$D$2:$D$2619,$B51,'октябрь 2025'!$J$2:$J$2619,F$1)</f>
        <v>0</v>
      </c>
      <c r="G51" s="182">
        <f>SUMIFS('октябрь 2025'!$G$2:$G$2619,'октябрь 2025'!$D$2:$D$2619,$B51,'октябрь 2025'!$J$2:$J$2619,G$1)</f>
        <v>0</v>
      </c>
      <c r="H51" s="182">
        <f>SUMIFS('октябрь 2025'!$G$2:$G$2619,'октябрь 2025'!$D$2:$D$2619,$B51,'октябрь 2025'!$J$2:$J$2619,H$1)</f>
        <v>0</v>
      </c>
      <c r="I51" s="182">
        <f>SUMIFS('октябрь 2025'!$G$2:$G$2619,'октябрь 2025'!$D$2:$D$2619,$B51,'октябрь 2025'!$J$2:$J$2619,I$1)</f>
        <v>0</v>
      </c>
      <c r="J51" s="182">
        <f>SUMIFS('октябрь 2025'!$G$2:$G$2619,'октябрь 2025'!$D$2:$D$2619,$B51,'октябрь 2025'!$J$2:$J$2619,J$1)</f>
        <v>0</v>
      </c>
      <c r="K51" s="182">
        <f>SUMIFS('октябрь 2025'!$G$2:$G$2619,'октябрь 2025'!$D$2:$D$2619,$B51,'октябрь 2025'!$J$2:$J$2619,K$1)</f>
        <v>0</v>
      </c>
      <c r="L51" s="182">
        <f>SUMIFS('октябрь 2025'!$G$2:$G$2619,'октябрь 2025'!$D$2:$D$2619,$B51,'октябрь 2025'!$J$2:$J$2619,L$1)</f>
        <v>0</v>
      </c>
      <c r="M51" s="182">
        <f>SUMIFS('октябрь 2025'!$G$2:$G$2619,'октябрь 2025'!$D$2:$D$2619,$B51,'октябрь 2025'!$J$2:$J$2619,M$1)</f>
        <v>0</v>
      </c>
      <c r="N51" s="182">
        <f>SUMIFS('октябрь 2025'!$G$2:$G$2619,'октябрь 2025'!$D$2:$D$2619,$B51,'октябрь 2025'!$J$2:$J$2619,N$1)</f>
        <v>0</v>
      </c>
      <c r="O51" s="182">
        <f>SUMIFS('октябрь 2025'!$G$2:$G$2619,'октябрь 2025'!$D$2:$D$2619,$B51,'октябрь 2025'!$J$2:$J$2619,O$1)</f>
        <v>0</v>
      </c>
      <c r="P51" s="182">
        <f>SUMIFS('октябрь 2025'!$G$2:$G$2619,'октябрь 2025'!$D$2:$D$2619,$B51,'октябрь 2025'!$J$2:$J$2619,P$1)</f>
        <v>0</v>
      </c>
      <c r="Q51" s="182">
        <f>SUMIFS('октябрь 2025'!$G$2:$G$2619,'октябрь 2025'!$D$2:$D$2619,$B51,'октябрь 2025'!$J$2:$J$2619,Q$1)</f>
        <v>0</v>
      </c>
      <c r="R51" s="182">
        <f>SUMIFS('октябрь 2025'!$G$2:$G$2619,'октябрь 2025'!$D$2:$D$2619,$B51,'октябрь 2025'!$J$2:$J$2619,R$1)</f>
        <v>0</v>
      </c>
      <c r="S51" s="182">
        <f>SUMIFS('октябрь 2025'!$G$2:$G$2619,'октябрь 2025'!$D$2:$D$2619,$B51,'октябрь 2025'!$J$2:$J$2619,S$1)</f>
        <v>0</v>
      </c>
      <c r="T51" s="182">
        <f>SUMIFS('октябрь 2025'!$G$2:$G$2619,'октябрь 2025'!$D$2:$D$2619,$B51,'октябрь 2025'!$J$2:$J$2619,T$1)</f>
        <v>0</v>
      </c>
      <c r="U51" s="182">
        <f>SUMIFS('октябрь 2025'!$G$2:$G$2619,'октябрь 2025'!$D$2:$D$2619,$B51,'октябрь 2025'!$J$2:$J$2619,U$1)</f>
        <v>0</v>
      </c>
      <c r="V51" s="182">
        <f>SUMIFS('октябрь 2025'!$G$2:$G$2619,'октябрь 2025'!$D$2:$D$2619,$B51,'октябрь 2025'!$J$2:$J$2619,V$1)</f>
        <v>0</v>
      </c>
      <c r="W51" s="182">
        <f>SUMIFS('октябрь 2025'!$G$2:$G$2619,'октябрь 2025'!$D$2:$D$2619,$B51,'октябрь 2025'!$J$2:$J$2619,W$1)</f>
        <v>0</v>
      </c>
      <c r="X51" s="182">
        <f>SUMIFS('октябрь 2025'!$G$2:$G$2619,'октябрь 2025'!$D$2:$D$2619,$B51,'октябрь 2025'!$J$2:$J$2619,X$1)</f>
        <v>0</v>
      </c>
      <c r="Y51" s="182">
        <f>SUMIFS('октябрь 2025'!$G$2:$G$2619,'октябрь 2025'!$D$2:$D$2619,$B51,'октябрь 2025'!$J$2:$J$2619,Y$1)</f>
        <v>0</v>
      </c>
      <c r="Z51" s="182">
        <f>SUMIFS('октябрь 2025'!$G$2:$G$2619,'октябрь 2025'!$D$2:$D$2619,$B51,'октябрь 2025'!$J$2:$J$2619,Z$1)</f>
        <v>0</v>
      </c>
      <c r="AA51" s="182">
        <f>SUMIFS('октябрь 2025'!$G$2:$G$2619,'октябрь 2025'!$D$2:$D$2619,$B51,'октябрь 2025'!$J$2:$J$2619,AA$1)</f>
        <v>0</v>
      </c>
      <c r="AB51" s="182">
        <f>SUMIFS('октябрь 2025'!$G$2:$G$2619,'октябрь 2025'!$D$2:$D$2619,$B51,'октябрь 2025'!$J$2:$J$2619,AB$1)</f>
        <v>0</v>
      </c>
      <c r="AC51" s="182">
        <f>SUMIFS('октябрь 2025'!$G$2:$G$2619,'октябрь 2025'!$D$2:$D$2619,$B51,'октябрь 2025'!$J$2:$J$2619,AC$1)</f>
        <v>0</v>
      </c>
      <c r="AD51" s="182">
        <f>SUMIFS('октябрь 2025'!$G$2:$G$2619,'октябрь 2025'!$D$2:$D$2619,$B51,'октябрь 2025'!$J$2:$J$2619,AD$1)</f>
        <v>0</v>
      </c>
      <c r="AE51" s="182">
        <f>SUMIFS('октябрь 2025'!$G$2:$G$2619,'октябрь 2025'!$D$2:$D$2619,$B51,'октябрь 2025'!$J$2:$J$2619,AE$1)</f>
        <v>0</v>
      </c>
      <c r="AF51" s="182">
        <f>SUMIFS('октябрь 2025'!$G$2:$G$2619,'октябрь 2025'!$D$2:$D$2619,$B51,'октябрь 2025'!$J$2:$J$2619,AF$1)</f>
        <v>0</v>
      </c>
      <c r="AG51" s="182">
        <f>SUMIFS('октябрь 2025'!$G$2:$G$2619,'октябрь 2025'!$D$2:$D$2619,$B51,'октябрь 2025'!$J$2:$J$2619,AG$1)</f>
        <v>0</v>
      </c>
      <c r="AH51" s="182">
        <f>SUMIFS('октябрь 2025'!$G$2:$G$2619,'октябрь 2025'!$D$2:$D$2619,$B51,'октябрь 2025'!$J$2:$J$2619,AH$1)</f>
        <v>0</v>
      </c>
      <c r="AI51" s="20">
        <f t="shared" si="1"/>
        <v>0</v>
      </c>
    </row>
    <row r="52" spans="2:35" ht="15" customHeight="1" x14ac:dyDescent="0.25">
      <c r="B52" s="131" t="s">
        <v>238</v>
      </c>
      <c r="C52" s="134">
        <v>20</v>
      </c>
      <c r="D52" s="182">
        <f>SUMIFS('октябрь 2025'!$G$2:$G$2619,'октябрь 2025'!$D$2:$D$2619,$B52,'октябрь 2025'!$J$2:$J$2619,D$1)</f>
        <v>0</v>
      </c>
      <c r="E52" s="182">
        <f>SUMIFS('октябрь 2025'!$G$2:$G$2619,'октябрь 2025'!$D$2:$D$2619,$B52,'октябрь 2025'!$J$2:$J$2619,E$1)</f>
        <v>0</v>
      </c>
      <c r="F52" s="182">
        <f>SUMIFS('октябрь 2025'!$G$2:$G$2619,'октябрь 2025'!$D$2:$D$2619,$B52,'октябрь 2025'!$J$2:$J$2619,F$1)</f>
        <v>0</v>
      </c>
      <c r="G52" s="182">
        <f>SUMIFS('октябрь 2025'!$G$2:$G$2619,'октябрь 2025'!$D$2:$D$2619,$B52,'октябрь 2025'!$J$2:$J$2619,G$1)</f>
        <v>0</v>
      </c>
      <c r="H52" s="182">
        <f>SUMIFS('октябрь 2025'!$G$2:$G$2619,'октябрь 2025'!$D$2:$D$2619,$B52,'октябрь 2025'!$J$2:$J$2619,H$1)</f>
        <v>0</v>
      </c>
      <c r="I52" s="182">
        <f>SUMIFS('октябрь 2025'!$G$2:$G$2619,'октябрь 2025'!$D$2:$D$2619,$B52,'октябрь 2025'!$J$2:$J$2619,I$1)</f>
        <v>0</v>
      </c>
      <c r="J52" s="182">
        <f>SUMIFS('октябрь 2025'!$G$2:$G$2619,'октябрь 2025'!$D$2:$D$2619,$B52,'октябрь 2025'!$J$2:$J$2619,J$1)</f>
        <v>0</v>
      </c>
      <c r="K52" s="182">
        <f>SUMIFS('октябрь 2025'!$G$2:$G$2619,'октябрь 2025'!$D$2:$D$2619,$B52,'октябрь 2025'!$J$2:$J$2619,K$1)</f>
        <v>0</v>
      </c>
      <c r="L52" s="182">
        <f>SUMIFS('октябрь 2025'!$G$2:$G$2619,'октябрь 2025'!$D$2:$D$2619,$B52,'октябрь 2025'!$J$2:$J$2619,L$1)</f>
        <v>0</v>
      </c>
      <c r="M52" s="182">
        <f>SUMIFS('октябрь 2025'!$G$2:$G$2619,'октябрь 2025'!$D$2:$D$2619,$B52,'октябрь 2025'!$J$2:$J$2619,M$1)</f>
        <v>0</v>
      </c>
      <c r="N52" s="182">
        <f>SUMIFS('октябрь 2025'!$G$2:$G$2619,'октябрь 2025'!$D$2:$D$2619,$B52,'октябрь 2025'!$J$2:$J$2619,N$1)</f>
        <v>0</v>
      </c>
      <c r="O52" s="182">
        <f>SUMIFS('октябрь 2025'!$G$2:$G$2619,'октябрь 2025'!$D$2:$D$2619,$B52,'октябрь 2025'!$J$2:$J$2619,O$1)</f>
        <v>0</v>
      </c>
      <c r="P52" s="182">
        <f>SUMIFS('октябрь 2025'!$G$2:$G$2619,'октябрь 2025'!$D$2:$D$2619,$B52,'октябрь 2025'!$J$2:$J$2619,P$1)</f>
        <v>0</v>
      </c>
      <c r="Q52" s="182">
        <f>SUMIFS('октябрь 2025'!$G$2:$G$2619,'октябрь 2025'!$D$2:$D$2619,$B52,'октябрь 2025'!$J$2:$J$2619,Q$1)</f>
        <v>0</v>
      </c>
      <c r="R52" s="182">
        <f>SUMIFS('октябрь 2025'!$G$2:$G$2619,'октябрь 2025'!$D$2:$D$2619,$B52,'октябрь 2025'!$J$2:$J$2619,R$1)</f>
        <v>0</v>
      </c>
      <c r="S52" s="182">
        <f>SUMIFS('октябрь 2025'!$G$2:$G$2619,'октябрь 2025'!$D$2:$D$2619,$B52,'октябрь 2025'!$J$2:$J$2619,S$1)</f>
        <v>0</v>
      </c>
      <c r="T52" s="182">
        <f>SUMIFS('октябрь 2025'!$G$2:$G$2619,'октябрь 2025'!$D$2:$D$2619,$B52,'октябрь 2025'!$J$2:$J$2619,T$1)</f>
        <v>0</v>
      </c>
      <c r="U52" s="182">
        <f>SUMIFS('октябрь 2025'!$G$2:$G$2619,'октябрь 2025'!$D$2:$D$2619,$B52,'октябрь 2025'!$J$2:$J$2619,U$1)</f>
        <v>0</v>
      </c>
      <c r="V52" s="182">
        <f>SUMIFS('октябрь 2025'!$G$2:$G$2619,'октябрь 2025'!$D$2:$D$2619,$B52,'октябрь 2025'!$J$2:$J$2619,V$1)</f>
        <v>0</v>
      </c>
      <c r="W52" s="182">
        <f>SUMIFS('октябрь 2025'!$G$2:$G$2619,'октябрь 2025'!$D$2:$D$2619,$B52,'октябрь 2025'!$J$2:$J$2619,W$1)</f>
        <v>0</v>
      </c>
      <c r="X52" s="182">
        <f>SUMIFS('октябрь 2025'!$G$2:$G$2619,'октябрь 2025'!$D$2:$D$2619,$B52,'октябрь 2025'!$J$2:$J$2619,X$1)</f>
        <v>0</v>
      </c>
      <c r="Y52" s="182">
        <f>SUMIFS('октябрь 2025'!$G$2:$G$2619,'октябрь 2025'!$D$2:$D$2619,$B52,'октябрь 2025'!$J$2:$J$2619,Y$1)</f>
        <v>0</v>
      </c>
      <c r="Z52" s="182">
        <f>SUMIFS('октябрь 2025'!$G$2:$G$2619,'октябрь 2025'!$D$2:$D$2619,$B52,'октябрь 2025'!$J$2:$J$2619,Z$1)</f>
        <v>0</v>
      </c>
      <c r="AA52" s="182">
        <f>SUMIFS('октябрь 2025'!$G$2:$G$2619,'октябрь 2025'!$D$2:$D$2619,$B52,'октябрь 2025'!$J$2:$J$2619,AA$1)</f>
        <v>0</v>
      </c>
      <c r="AB52" s="182">
        <f>SUMIFS('октябрь 2025'!$G$2:$G$2619,'октябрь 2025'!$D$2:$D$2619,$B52,'октябрь 2025'!$J$2:$J$2619,AB$1)</f>
        <v>0</v>
      </c>
      <c r="AC52" s="182">
        <f>SUMIFS('октябрь 2025'!$G$2:$G$2619,'октябрь 2025'!$D$2:$D$2619,$B52,'октябрь 2025'!$J$2:$J$2619,AC$1)</f>
        <v>0</v>
      </c>
      <c r="AD52" s="182">
        <f>SUMIFS('октябрь 2025'!$G$2:$G$2619,'октябрь 2025'!$D$2:$D$2619,$B52,'октябрь 2025'!$J$2:$J$2619,AD$1)</f>
        <v>0</v>
      </c>
      <c r="AE52" s="182">
        <f>SUMIFS('октябрь 2025'!$G$2:$G$2619,'октябрь 2025'!$D$2:$D$2619,$B52,'октябрь 2025'!$J$2:$J$2619,AE$1)</f>
        <v>0</v>
      </c>
      <c r="AF52" s="182">
        <f>SUMIFS('октябрь 2025'!$G$2:$G$2619,'октябрь 2025'!$D$2:$D$2619,$B52,'октябрь 2025'!$J$2:$J$2619,AF$1)</f>
        <v>0</v>
      </c>
      <c r="AG52" s="182">
        <f>SUMIFS('октябрь 2025'!$G$2:$G$2619,'октябрь 2025'!$D$2:$D$2619,$B52,'октябрь 2025'!$J$2:$J$2619,AG$1)</f>
        <v>0</v>
      </c>
      <c r="AH52" s="182">
        <f>SUMIFS('октябрь 2025'!$G$2:$G$2619,'октябрь 2025'!$D$2:$D$2619,$B52,'октябрь 2025'!$J$2:$J$2619,AH$1)</f>
        <v>0</v>
      </c>
      <c r="AI52" s="20">
        <f t="shared" si="1"/>
        <v>0</v>
      </c>
    </row>
    <row r="53" spans="2:35" ht="15" customHeight="1" x14ac:dyDescent="0.25">
      <c r="B53" s="131" t="s">
        <v>240</v>
      </c>
      <c r="C53" s="130">
        <v>20</v>
      </c>
      <c r="D53" s="182">
        <f>SUMIFS('октябрь 2025'!$G$2:$G$2619,'октябрь 2025'!$D$2:$D$2619,$B53,'октябрь 2025'!$J$2:$J$2619,D$1)</f>
        <v>0</v>
      </c>
      <c r="E53" s="182">
        <f>SUMIFS('октябрь 2025'!$G$2:$G$2619,'октябрь 2025'!$D$2:$D$2619,$B53,'октябрь 2025'!$J$2:$J$2619,E$1)</f>
        <v>0</v>
      </c>
      <c r="F53" s="182">
        <f>SUMIFS('октябрь 2025'!$G$2:$G$2619,'октябрь 2025'!$D$2:$D$2619,$B53,'октябрь 2025'!$J$2:$J$2619,F$1)</f>
        <v>0</v>
      </c>
      <c r="G53" s="182">
        <f>SUMIFS('октябрь 2025'!$G$2:$G$2619,'октябрь 2025'!$D$2:$D$2619,$B53,'октябрь 2025'!$J$2:$J$2619,G$1)</f>
        <v>0</v>
      </c>
      <c r="H53" s="182">
        <f>SUMIFS('октябрь 2025'!$G$2:$G$2619,'октябрь 2025'!$D$2:$D$2619,$B53,'октябрь 2025'!$J$2:$J$2619,H$1)</f>
        <v>0</v>
      </c>
      <c r="I53" s="182">
        <f>SUMIFS('октябрь 2025'!$G$2:$G$2619,'октябрь 2025'!$D$2:$D$2619,$B53,'октябрь 2025'!$J$2:$J$2619,I$1)</f>
        <v>0</v>
      </c>
      <c r="J53" s="182">
        <f>SUMIFS('октябрь 2025'!$G$2:$G$2619,'октябрь 2025'!$D$2:$D$2619,$B53,'октябрь 2025'!$J$2:$J$2619,J$1)</f>
        <v>0</v>
      </c>
      <c r="K53" s="182">
        <f>SUMIFS('октябрь 2025'!$G$2:$G$2619,'октябрь 2025'!$D$2:$D$2619,$B53,'октябрь 2025'!$J$2:$J$2619,K$1)</f>
        <v>0</v>
      </c>
      <c r="L53" s="182">
        <f>SUMIFS('октябрь 2025'!$G$2:$G$2619,'октябрь 2025'!$D$2:$D$2619,$B53,'октябрь 2025'!$J$2:$J$2619,L$1)</f>
        <v>0</v>
      </c>
      <c r="M53" s="182">
        <f>SUMIFS('октябрь 2025'!$G$2:$G$2619,'октябрь 2025'!$D$2:$D$2619,$B53,'октябрь 2025'!$J$2:$J$2619,M$1)</f>
        <v>0</v>
      </c>
      <c r="N53" s="182">
        <f>SUMIFS('октябрь 2025'!$G$2:$G$2619,'октябрь 2025'!$D$2:$D$2619,$B53,'октябрь 2025'!$J$2:$J$2619,N$1)</f>
        <v>0</v>
      </c>
      <c r="O53" s="182">
        <f>SUMIFS('октябрь 2025'!$G$2:$G$2619,'октябрь 2025'!$D$2:$D$2619,$B53,'октябрь 2025'!$J$2:$J$2619,O$1)</f>
        <v>0</v>
      </c>
      <c r="P53" s="182">
        <f>SUMIFS('октябрь 2025'!$G$2:$G$2619,'октябрь 2025'!$D$2:$D$2619,$B53,'октябрь 2025'!$J$2:$J$2619,P$1)</f>
        <v>0</v>
      </c>
      <c r="Q53" s="182">
        <f>SUMIFS('октябрь 2025'!$G$2:$G$2619,'октябрь 2025'!$D$2:$D$2619,$B53,'октябрь 2025'!$J$2:$J$2619,Q$1)</f>
        <v>0</v>
      </c>
      <c r="R53" s="182">
        <f>SUMIFS('октябрь 2025'!$G$2:$G$2619,'октябрь 2025'!$D$2:$D$2619,$B53,'октябрь 2025'!$J$2:$J$2619,R$1)</f>
        <v>0</v>
      </c>
      <c r="S53" s="182">
        <f>SUMIFS('октябрь 2025'!$G$2:$G$2619,'октябрь 2025'!$D$2:$D$2619,$B53,'октябрь 2025'!$J$2:$J$2619,S$1)</f>
        <v>0</v>
      </c>
      <c r="T53" s="182">
        <f>SUMIFS('октябрь 2025'!$G$2:$G$2619,'октябрь 2025'!$D$2:$D$2619,$B53,'октябрь 2025'!$J$2:$J$2619,T$1)</f>
        <v>0</v>
      </c>
      <c r="U53" s="182">
        <f>SUMIFS('октябрь 2025'!$G$2:$G$2619,'октябрь 2025'!$D$2:$D$2619,$B53,'октябрь 2025'!$J$2:$J$2619,U$1)</f>
        <v>0</v>
      </c>
      <c r="V53" s="182">
        <f>SUMIFS('октябрь 2025'!$G$2:$G$2619,'октябрь 2025'!$D$2:$D$2619,$B53,'октябрь 2025'!$J$2:$J$2619,V$1)</f>
        <v>0</v>
      </c>
      <c r="W53" s="182">
        <f>SUMIFS('октябрь 2025'!$G$2:$G$2619,'октябрь 2025'!$D$2:$D$2619,$B53,'октябрь 2025'!$J$2:$J$2619,W$1)</f>
        <v>0</v>
      </c>
      <c r="X53" s="182">
        <f>SUMIFS('октябрь 2025'!$G$2:$G$2619,'октябрь 2025'!$D$2:$D$2619,$B53,'октябрь 2025'!$J$2:$J$2619,X$1)</f>
        <v>0</v>
      </c>
      <c r="Y53" s="182">
        <f>SUMIFS('октябрь 2025'!$G$2:$G$2619,'октябрь 2025'!$D$2:$D$2619,$B53,'октябрь 2025'!$J$2:$J$2619,Y$1)</f>
        <v>0</v>
      </c>
      <c r="Z53" s="182">
        <f>SUMIFS('октябрь 2025'!$G$2:$G$2619,'октябрь 2025'!$D$2:$D$2619,$B53,'октябрь 2025'!$J$2:$J$2619,Z$1)</f>
        <v>0</v>
      </c>
      <c r="AA53" s="182">
        <f>SUMIFS('октябрь 2025'!$G$2:$G$2619,'октябрь 2025'!$D$2:$D$2619,$B53,'октябрь 2025'!$J$2:$J$2619,AA$1)</f>
        <v>0</v>
      </c>
      <c r="AB53" s="182">
        <f>SUMIFS('октябрь 2025'!$G$2:$G$2619,'октябрь 2025'!$D$2:$D$2619,$B53,'октябрь 2025'!$J$2:$J$2619,AB$1)</f>
        <v>0</v>
      </c>
      <c r="AC53" s="182">
        <f>SUMIFS('октябрь 2025'!$G$2:$G$2619,'октябрь 2025'!$D$2:$D$2619,$B53,'октябрь 2025'!$J$2:$J$2619,AC$1)</f>
        <v>0</v>
      </c>
      <c r="AD53" s="182">
        <f>SUMIFS('октябрь 2025'!$G$2:$G$2619,'октябрь 2025'!$D$2:$D$2619,$B53,'октябрь 2025'!$J$2:$J$2619,AD$1)</f>
        <v>0</v>
      </c>
      <c r="AE53" s="182">
        <f>SUMIFS('октябрь 2025'!$G$2:$G$2619,'октябрь 2025'!$D$2:$D$2619,$B53,'октябрь 2025'!$J$2:$J$2619,AE$1)</f>
        <v>0</v>
      </c>
      <c r="AF53" s="182">
        <f>SUMIFS('октябрь 2025'!$G$2:$G$2619,'октябрь 2025'!$D$2:$D$2619,$B53,'октябрь 2025'!$J$2:$J$2619,AF$1)</f>
        <v>0</v>
      </c>
      <c r="AG53" s="182">
        <f>SUMIFS('октябрь 2025'!$G$2:$G$2619,'октябрь 2025'!$D$2:$D$2619,$B53,'октябрь 2025'!$J$2:$J$2619,AG$1)</f>
        <v>0</v>
      </c>
      <c r="AH53" s="182">
        <f>SUMIFS('октябрь 2025'!$G$2:$G$2619,'октябрь 2025'!$D$2:$D$2619,$B53,'октябрь 2025'!$J$2:$J$2619,AH$1)</f>
        <v>0</v>
      </c>
      <c r="AI53" s="20">
        <f t="shared" si="1"/>
        <v>0</v>
      </c>
    </row>
    <row r="54" spans="2:35" ht="15" customHeight="1" x14ac:dyDescent="0.25">
      <c r="B54" s="131" t="s">
        <v>242</v>
      </c>
      <c r="C54" s="132">
        <v>20</v>
      </c>
      <c r="D54" s="182">
        <f>SUMIFS('октябрь 2025'!$G$2:$G$2619,'октябрь 2025'!$D$2:$D$2619,$B54,'октябрь 2025'!$J$2:$J$2619,D$1)</f>
        <v>0</v>
      </c>
      <c r="E54" s="182">
        <f>SUMIFS('октябрь 2025'!$G$2:$G$2619,'октябрь 2025'!$D$2:$D$2619,$B54,'октябрь 2025'!$J$2:$J$2619,E$1)</f>
        <v>0</v>
      </c>
      <c r="F54" s="182">
        <f>SUMIFS('октябрь 2025'!$G$2:$G$2619,'октябрь 2025'!$D$2:$D$2619,$B54,'октябрь 2025'!$J$2:$J$2619,F$1)</f>
        <v>0</v>
      </c>
      <c r="G54" s="182">
        <f>SUMIFS('октябрь 2025'!$G$2:$G$2619,'октябрь 2025'!$D$2:$D$2619,$B54,'октябрь 2025'!$J$2:$J$2619,G$1)</f>
        <v>0</v>
      </c>
      <c r="H54" s="182">
        <f>SUMIFS('октябрь 2025'!$G$2:$G$2619,'октябрь 2025'!$D$2:$D$2619,$B54,'октябрь 2025'!$J$2:$J$2619,H$1)</f>
        <v>0</v>
      </c>
      <c r="I54" s="182">
        <f>SUMIFS('октябрь 2025'!$G$2:$G$2619,'октябрь 2025'!$D$2:$D$2619,$B54,'октябрь 2025'!$J$2:$J$2619,I$1)</f>
        <v>0</v>
      </c>
      <c r="J54" s="182">
        <f>SUMIFS('октябрь 2025'!$G$2:$G$2619,'октябрь 2025'!$D$2:$D$2619,$B54,'октябрь 2025'!$J$2:$J$2619,J$1)</f>
        <v>0</v>
      </c>
      <c r="K54" s="182">
        <f>SUMIFS('октябрь 2025'!$G$2:$G$2619,'октябрь 2025'!$D$2:$D$2619,$B54,'октябрь 2025'!$J$2:$J$2619,K$1)</f>
        <v>0</v>
      </c>
      <c r="L54" s="182">
        <f>SUMIFS('октябрь 2025'!$G$2:$G$2619,'октябрь 2025'!$D$2:$D$2619,$B54,'октябрь 2025'!$J$2:$J$2619,L$1)</f>
        <v>0</v>
      </c>
      <c r="M54" s="182">
        <f>SUMIFS('октябрь 2025'!$G$2:$G$2619,'октябрь 2025'!$D$2:$D$2619,$B54,'октябрь 2025'!$J$2:$J$2619,M$1)</f>
        <v>0</v>
      </c>
      <c r="N54" s="182">
        <f>SUMIFS('октябрь 2025'!$G$2:$G$2619,'октябрь 2025'!$D$2:$D$2619,$B54,'октябрь 2025'!$J$2:$J$2619,N$1)</f>
        <v>0</v>
      </c>
      <c r="O54" s="182">
        <f>SUMIFS('октябрь 2025'!$G$2:$G$2619,'октябрь 2025'!$D$2:$D$2619,$B54,'октябрь 2025'!$J$2:$J$2619,O$1)</f>
        <v>0</v>
      </c>
      <c r="P54" s="182">
        <f>SUMIFS('октябрь 2025'!$G$2:$G$2619,'октябрь 2025'!$D$2:$D$2619,$B54,'октябрь 2025'!$J$2:$J$2619,P$1)</f>
        <v>0</v>
      </c>
      <c r="Q54" s="182">
        <f>SUMIFS('октябрь 2025'!$G$2:$G$2619,'октябрь 2025'!$D$2:$D$2619,$B54,'октябрь 2025'!$J$2:$J$2619,Q$1)</f>
        <v>0</v>
      </c>
      <c r="R54" s="182">
        <f>SUMIFS('октябрь 2025'!$G$2:$G$2619,'октябрь 2025'!$D$2:$D$2619,$B54,'октябрь 2025'!$J$2:$J$2619,R$1)</f>
        <v>0</v>
      </c>
      <c r="S54" s="182">
        <f>SUMIFS('октябрь 2025'!$G$2:$G$2619,'октябрь 2025'!$D$2:$D$2619,$B54,'октябрь 2025'!$J$2:$J$2619,S$1)</f>
        <v>0</v>
      </c>
      <c r="T54" s="182">
        <f>SUMIFS('октябрь 2025'!$G$2:$G$2619,'октябрь 2025'!$D$2:$D$2619,$B54,'октябрь 2025'!$J$2:$J$2619,T$1)</f>
        <v>0</v>
      </c>
      <c r="U54" s="182">
        <f>SUMIFS('октябрь 2025'!$G$2:$G$2619,'октябрь 2025'!$D$2:$D$2619,$B54,'октябрь 2025'!$J$2:$J$2619,U$1)</f>
        <v>0</v>
      </c>
      <c r="V54" s="182">
        <f>SUMIFS('октябрь 2025'!$G$2:$G$2619,'октябрь 2025'!$D$2:$D$2619,$B54,'октябрь 2025'!$J$2:$J$2619,V$1)</f>
        <v>0</v>
      </c>
      <c r="W54" s="182">
        <f>SUMIFS('октябрь 2025'!$G$2:$G$2619,'октябрь 2025'!$D$2:$D$2619,$B54,'октябрь 2025'!$J$2:$J$2619,W$1)</f>
        <v>0</v>
      </c>
      <c r="X54" s="182">
        <f>SUMIFS('октябрь 2025'!$G$2:$G$2619,'октябрь 2025'!$D$2:$D$2619,$B54,'октябрь 2025'!$J$2:$J$2619,X$1)</f>
        <v>0</v>
      </c>
      <c r="Y54" s="182">
        <f>SUMIFS('октябрь 2025'!$G$2:$G$2619,'октябрь 2025'!$D$2:$D$2619,$B54,'октябрь 2025'!$J$2:$J$2619,Y$1)</f>
        <v>0</v>
      </c>
      <c r="Z54" s="182">
        <f>SUMIFS('октябрь 2025'!$G$2:$G$2619,'октябрь 2025'!$D$2:$D$2619,$B54,'октябрь 2025'!$J$2:$J$2619,Z$1)</f>
        <v>0</v>
      </c>
      <c r="AA54" s="182">
        <f>SUMIFS('октябрь 2025'!$G$2:$G$2619,'октябрь 2025'!$D$2:$D$2619,$B54,'октябрь 2025'!$J$2:$J$2619,AA$1)</f>
        <v>0</v>
      </c>
      <c r="AB54" s="182">
        <f>SUMIFS('октябрь 2025'!$G$2:$G$2619,'октябрь 2025'!$D$2:$D$2619,$B54,'октябрь 2025'!$J$2:$J$2619,AB$1)</f>
        <v>0</v>
      </c>
      <c r="AC54" s="182">
        <f>SUMIFS('октябрь 2025'!$G$2:$G$2619,'октябрь 2025'!$D$2:$D$2619,$B54,'октябрь 2025'!$J$2:$J$2619,AC$1)</f>
        <v>0</v>
      </c>
      <c r="AD54" s="182">
        <f>SUMIFS('октябрь 2025'!$G$2:$G$2619,'октябрь 2025'!$D$2:$D$2619,$B54,'октябрь 2025'!$J$2:$J$2619,AD$1)</f>
        <v>0</v>
      </c>
      <c r="AE54" s="182">
        <f>SUMIFS('октябрь 2025'!$G$2:$G$2619,'октябрь 2025'!$D$2:$D$2619,$B54,'октябрь 2025'!$J$2:$J$2619,AE$1)</f>
        <v>0</v>
      </c>
      <c r="AF54" s="182">
        <f>SUMIFS('октябрь 2025'!$G$2:$G$2619,'октябрь 2025'!$D$2:$D$2619,$B54,'октябрь 2025'!$J$2:$J$2619,AF$1)</f>
        <v>0</v>
      </c>
      <c r="AG54" s="182">
        <f>SUMIFS('октябрь 2025'!$G$2:$G$2619,'октябрь 2025'!$D$2:$D$2619,$B54,'октябрь 2025'!$J$2:$J$2619,AG$1)</f>
        <v>0</v>
      </c>
      <c r="AH54" s="182">
        <f>SUMIFS('октябрь 2025'!$G$2:$G$2619,'октябрь 2025'!$D$2:$D$2619,$B54,'октябрь 2025'!$J$2:$J$2619,AH$1)</f>
        <v>0</v>
      </c>
      <c r="AI54" s="20">
        <f t="shared" si="1"/>
        <v>0</v>
      </c>
    </row>
    <row r="55" spans="2:35" ht="15" customHeight="1" x14ac:dyDescent="0.25">
      <c r="B55" s="131" t="s">
        <v>244</v>
      </c>
      <c r="C55" s="132">
        <v>14</v>
      </c>
      <c r="D55" s="182">
        <f>SUMIFS('октябрь 2025'!$G$2:$G$2619,'октябрь 2025'!$D$2:$D$2619,$B55,'октябрь 2025'!$J$2:$J$2619,D$1)</f>
        <v>0</v>
      </c>
      <c r="E55" s="182">
        <f>SUMIFS('октябрь 2025'!$G$2:$G$2619,'октябрь 2025'!$D$2:$D$2619,$B55,'октябрь 2025'!$J$2:$J$2619,E$1)</f>
        <v>0</v>
      </c>
      <c r="F55" s="182">
        <f>SUMIFS('октябрь 2025'!$G$2:$G$2619,'октябрь 2025'!$D$2:$D$2619,$B55,'октябрь 2025'!$J$2:$J$2619,F$1)</f>
        <v>1000</v>
      </c>
      <c r="G55" s="182">
        <f>SUMIFS('октябрь 2025'!$G$2:$G$2619,'октябрь 2025'!$D$2:$D$2619,$B55,'октябрь 2025'!$J$2:$J$2619,G$1)</f>
        <v>0</v>
      </c>
      <c r="H55" s="182">
        <f>SUMIFS('октябрь 2025'!$G$2:$G$2619,'октябрь 2025'!$D$2:$D$2619,$B55,'октябрь 2025'!$J$2:$J$2619,H$1)</f>
        <v>0</v>
      </c>
      <c r="I55" s="182">
        <f>SUMIFS('октябрь 2025'!$G$2:$G$2619,'октябрь 2025'!$D$2:$D$2619,$B55,'октябрь 2025'!$J$2:$J$2619,I$1)</f>
        <v>0</v>
      </c>
      <c r="J55" s="182">
        <f>SUMIFS('октябрь 2025'!$G$2:$G$2619,'октябрь 2025'!$D$2:$D$2619,$B55,'октябрь 2025'!$J$2:$J$2619,J$1)</f>
        <v>0</v>
      </c>
      <c r="K55" s="182">
        <f>SUMIFS('октябрь 2025'!$G$2:$G$2619,'октябрь 2025'!$D$2:$D$2619,$B55,'октябрь 2025'!$J$2:$J$2619,K$1)</f>
        <v>0</v>
      </c>
      <c r="L55" s="182">
        <f>SUMIFS('октябрь 2025'!$G$2:$G$2619,'октябрь 2025'!$D$2:$D$2619,$B55,'октябрь 2025'!$J$2:$J$2619,L$1)</f>
        <v>0</v>
      </c>
      <c r="M55" s="182">
        <f>SUMIFS('октябрь 2025'!$G$2:$G$2619,'октябрь 2025'!$D$2:$D$2619,$B55,'октябрь 2025'!$J$2:$J$2619,M$1)</f>
        <v>0</v>
      </c>
      <c r="N55" s="182">
        <f>SUMIFS('октябрь 2025'!$G$2:$G$2619,'октябрь 2025'!$D$2:$D$2619,$B55,'октябрь 2025'!$J$2:$J$2619,N$1)</f>
        <v>0</v>
      </c>
      <c r="O55" s="182">
        <f>SUMIFS('октябрь 2025'!$G$2:$G$2619,'октябрь 2025'!$D$2:$D$2619,$B55,'октябрь 2025'!$J$2:$J$2619,O$1)</f>
        <v>0</v>
      </c>
      <c r="P55" s="182">
        <f>SUMIFS('октябрь 2025'!$G$2:$G$2619,'октябрь 2025'!$D$2:$D$2619,$B55,'октябрь 2025'!$J$2:$J$2619,P$1)</f>
        <v>0</v>
      </c>
      <c r="Q55" s="182">
        <f>SUMIFS('октябрь 2025'!$G$2:$G$2619,'октябрь 2025'!$D$2:$D$2619,$B55,'октябрь 2025'!$J$2:$J$2619,Q$1)</f>
        <v>0</v>
      </c>
      <c r="R55" s="182">
        <f>SUMIFS('октябрь 2025'!$G$2:$G$2619,'октябрь 2025'!$D$2:$D$2619,$B55,'октябрь 2025'!$J$2:$J$2619,R$1)</f>
        <v>0</v>
      </c>
      <c r="S55" s="182">
        <f>SUMIFS('октябрь 2025'!$G$2:$G$2619,'октябрь 2025'!$D$2:$D$2619,$B55,'октябрь 2025'!$J$2:$J$2619,S$1)</f>
        <v>0</v>
      </c>
      <c r="T55" s="182">
        <f>SUMIFS('октябрь 2025'!$G$2:$G$2619,'октябрь 2025'!$D$2:$D$2619,$B55,'октябрь 2025'!$J$2:$J$2619,T$1)</f>
        <v>0</v>
      </c>
      <c r="U55" s="182">
        <f>SUMIFS('октябрь 2025'!$G$2:$G$2619,'октябрь 2025'!$D$2:$D$2619,$B55,'октябрь 2025'!$J$2:$J$2619,U$1)</f>
        <v>0</v>
      </c>
      <c r="V55" s="182">
        <f>SUMIFS('октябрь 2025'!$G$2:$G$2619,'октябрь 2025'!$D$2:$D$2619,$B55,'октябрь 2025'!$J$2:$J$2619,V$1)</f>
        <v>0</v>
      </c>
      <c r="W55" s="182">
        <f>SUMIFS('октябрь 2025'!$G$2:$G$2619,'октябрь 2025'!$D$2:$D$2619,$B55,'октябрь 2025'!$J$2:$J$2619,W$1)</f>
        <v>0</v>
      </c>
      <c r="X55" s="182">
        <f>SUMIFS('октябрь 2025'!$G$2:$G$2619,'октябрь 2025'!$D$2:$D$2619,$B55,'октябрь 2025'!$J$2:$J$2619,X$1)</f>
        <v>0</v>
      </c>
      <c r="Y55" s="182">
        <f>SUMIFS('октябрь 2025'!$G$2:$G$2619,'октябрь 2025'!$D$2:$D$2619,$B55,'октябрь 2025'!$J$2:$J$2619,Y$1)</f>
        <v>0</v>
      </c>
      <c r="Z55" s="182">
        <f>SUMIFS('октябрь 2025'!$G$2:$G$2619,'октябрь 2025'!$D$2:$D$2619,$B55,'октябрь 2025'!$J$2:$J$2619,Z$1)</f>
        <v>0</v>
      </c>
      <c r="AA55" s="182">
        <f>SUMIFS('октябрь 2025'!$G$2:$G$2619,'октябрь 2025'!$D$2:$D$2619,$B55,'октябрь 2025'!$J$2:$J$2619,AA$1)</f>
        <v>0</v>
      </c>
      <c r="AB55" s="182">
        <f>SUMIFS('октябрь 2025'!$G$2:$G$2619,'октябрь 2025'!$D$2:$D$2619,$B55,'октябрь 2025'!$J$2:$J$2619,AB$1)</f>
        <v>0</v>
      </c>
      <c r="AC55" s="182">
        <f>SUMIFS('октябрь 2025'!$G$2:$G$2619,'октябрь 2025'!$D$2:$D$2619,$B55,'октябрь 2025'!$J$2:$J$2619,AC$1)</f>
        <v>0</v>
      </c>
      <c r="AD55" s="182">
        <f>SUMIFS('октябрь 2025'!$G$2:$G$2619,'октябрь 2025'!$D$2:$D$2619,$B55,'октябрь 2025'!$J$2:$J$2619,AD$1)</f>
        <v>0</v>
      </c>
      <c r="AE55" s="182">
        <f>SUMIFS('октябрь 2025'!$G$2:$G$2619,'октябрь 2025'!$D$2:$D$2619,$B55,'октябрь 2025'!$J$2:$J$2619,AE$1)</f>
        <v>0</v>
      </c>
      <c r="AF55" s="182">
        <f>SUMIFS('октябрь 2025'!$G$2:$G$2619,'октябрь 2025'!$D$2:$D$2619,$B55,'октябрь 2025'!$J$2:$J$2619,AF$1)</f>
        <v>0</v>
      </c>
      <c r="AG55" s="182">
        <f>SUMIFS('октябрь 2025'!$G$2:$G$2619,'октябрь 2025'!$D$2:$D$2619,$B55,'октябрь 2025'!$J$2:$J$2619,AG$1)</f>
        <v>0</v>
      </c>
      <c r="AH55" s="182">
        <f>SUMIFS('октябрь 2025'!$G$2:$G$2619,'октябрь 2025'!$D$2:$D$2619,$B55,'октябрь 2025'!$J$2:$J$2619,AH$1)</f>
        <v>0</v>
      </c>
      <c r="AI55" s="20">
        <f t="shared" si="1"/>
        <v>1000</v>
      </c>
    </row>
    <row r="56" spans="2:35" ht="15" customHeight="1" x14ac:dyDescent="0.25">
      <c r="B56" s="131" t="s">
        <v>246</v>
      </c>
      <c r="C56" s="132">
        <v>25</v>
      </c>
      <c r="D56" s="182">
        <f>SUMIFS('октябрь 2025'!$G$2:$G$2619,'октябрь 2025'!$D$2:$D$2619,$B56,'октябрь 2025'!$J$2:$J$2619,D$1)</f>
        <v>0</v>
      </c>
      <c r="E56" s="182">
        <f>SUMIFS('октябрь 2025'!$G$2:$G$2619,'октябрь 2025'!$D$2:$D$2619,$B56,'октябрь 2025'!$J$2:$J$2619,E$1)</f>
        <v>0</v>
      </c>
      <c r="F56" s="182">
        <f>SUMIFS('октябрь 2025'!$G$2:$G$2619,'октябрь 2025'!$D$2:$D$2619,$B56,'октябрь 2025'!$J$2:$J$2619,F$1)</f>
        <v>0</v>
      </c>
      <c r="G56" s="182">
        <f>SUMIFS('октябрь 2025'!$G$2:$G$2619,'октябрь 2025'!$D$2:$D$2619,$B56,'октябрь 2025'!$J$2:$J$2619,G$1)</f>
        <v>0</v>
      </c>
      <c r="H56" s="182">
        <f>SUMIFS('октябрь 2025'!$G$2:$G$2619,'октябрь 2025'!$D$2:$D$2619,$B56,'октябрь 2025'!$J$2:$J$2619,H$1)</f>
        <v>0</v>
      </c>
      <c r="I56" s="182">
        <f>SUMIFS('октябрь 2025'!$G$2:$G$2619,'октябрь 2025'!$D$2:$D$2619,$B56,'октябрь 2025'!$J$2:$J$2619,I$1)</f>
        <v>0</v>
      </c>
      <c r="J56" s="182">
        <f>SUMIFS('октябрь 2025'!$G$2:$G$2619,'октябрь 2025'!$D$2:$D$2619,$B56,'октябрь 2025'!$J$2:$J$2619,J$1)</f>
        <v>0</v>
      </c>
      <c r="K56" s="182">
        <f>SUMIFS('октябрь 2025'!$G$2:$G$2619,'октябрь 2025'!$D$2:$D$2619,$B56,'октябрь 2025'!$J$2:$J$2619,K$1)</f>
        <v>0</v>
      </c>
      <c r="L56" s="182">
        <f>SUMIFS('октябрь 2025'!$G$2:$G$2619,'октябрь 2025'!$D$2:$D$2619,$B56,'октябрь 2025'!$J$2:$J$2619,L$1)</f>
        <v>0</v>
      </c>
      <c r="M56" s="182">
        <f>SUMIFS('октябрь 2025'!$G$2:$G$2619,'октябрь 2025'!$D$2:$D$2619,$B56,'октябрь 2025'!$J$2:$J$2619,M$1)</f>
        <v>0</v>
      </c>
      <c r="N56" s="182">
        <f>SUMIFS('октябрь 2025'!$G$2:$G$2619,'октябрь 2025'!$D$2:$D$2619,$B56,'октябрь 2025'!$J$2:$J$2619,N$1)</f>
        <v>0</v>
      </c>
      <c r="O56" s="182">
        <f>SUMIFS('октябрь 2025'!$G$2:$G$2619,'октябрь 2025'!$D$2:$D$2619,$B56,'октябрь 2025'!$J$2:$J$2619,O$1)</f>
        <v>0</v>
      </c>
      <c r="P56" s="182">
        <f>SUMIFS('октябрь 2025'!$G$2:$G$2619,'октябрь 2025'!$D$2:$D$2619,$B56,'октябрь 2025'!$J$2:$J$2619,P$1)</f>
        <v>0</v>
      </c>
      <c r="Q56" s="182">
        <f>SUMIFS('октябрь 2025'!$G$2:$G$2619,'октябрь 2025'!$D$2:$D$2619,$B56,'октябрь 2025'!$J$2:$J$2619,Q$1)</f>
        <v>0</v>
      </c>
      <c r="R56" s="182">
        <f>SUMIFS('октябрь 2025'!$G$2:$G$2619,'октябрь 2025'!$D$2:$D$2619,$B56,'октябрь 2025'!$J$2:$J$2619,R$1)</f>
        <v>0</v>
      </c>
      <c r="S56" s="182">
        <f>SUMIFS('октябрь 2025'!$G$2:$G$2619,'октябрь 2025'!$D$2:$D$2619,$B56,'октябрь 2025'!$J$2:$J$2619,S$1)</f>
        <v>0</v>
      </c>
      <c r="T56" s="182">
        <f>SUMIFS('октябрь 2025'!$G$2:$G$2619,'октябрь 2025'!$D$2:$D$2619,$B56,'октябрь 2025'!$J$2:$J$2619,T$1)</f>
        <v>0</v>
      </c>
      <c r="U56" s="182">
        <f>SUMIFS('октябрь 2025'!$G$2:$G$2619,'октябрь 2025'!$D$2:$D$2619,$B56,'октябрь 2025'!$J$2:$J$2619,U$1)</f>
        <v>0</v>
      </c>
      <c r="V56" s="182">
        <f>SUMIFS('октябрь 2025'!$G$2:$G$2619,'октябрь 2025'!$D$2:$D$2619,$B56,'октябрь 2025'!$J$2:$J$2619,V$1)</f>
        <v>0</v>
      </c>
      <c r="W56" s="182">
        <f>SUMIFS('октябрь 2025'!$G$2:$G$2619,'октябрь 2025'!$D$2:$D$2619,$B56,'октябрь 2025'!$J$2:$J$2619,W$1)</f>
        <v>0</v>
      </c>
      <c r="X56" s="182">
        <f>SUMIFS('октябрь 2025'!$G$2:$G$2619,'октябрь 2025'!$D$2:$D$2619,$B56,'октябрь 2025'!$J$2:$J$2619,X$1)</f>
        <v>0</v>
      </c>
      <c r="Y56" s="182">
        <f>SUMIFS('октябрь 2025'!$G$2:$G$2619,'октябрь 2025'!$D$2:$D$2619,$B56,'октябрь 2025'!$J$2:$J$2619,Y$1)</f>
        <v>0</v>
      </c>
      <c r="Z56" s="182">
        <f>SUMIFS('октябрь 2025'!$G$2:$G$2619,'октябрь 2025'!$D$2:$D$2619,$B56,'октябрь 2025'!$J$2:$J$2619,Z$1)</f>
        <v>0</v>
      </c>
      <c r="AA56" s="182">
        <f>SUMIFS('октябрь 2025'!$G$2:$G$2619,'октябрь 2025'!$D$2:$D$2619,$B56,'октябрь 2025'!$J$2:$J$2619,AA$1)</f>
        <v>0</v>
      </c>
      <c r="AB56" s="182">
        <f>SUMIFS('октябрь 2025'!$G$2:$G$2619,'октябрь 2025'!$D$2:$D$2619,$B56,'октябрь 2025'!$J$2:$J$2619,AB$1)</f>
        <v>0</v>
      </c>
      <c r="AC56" s="182">
        <f>SUMIFS('октябрь 2025'!$G$2:$G$2619,'октябрь 2025'!$D$2:$D$2619,$B56,'октябрь 2025'!$J$2:$J$2619,AC$1)</f>
        <v>0</v>
      </c>
      <c r="AD56" s="182">
        <f>SUMIFS('октябрь 2025'!$G$2:$G$2619,'октябрь 2025'!$D$2:$D$2619,$B56,'октябрь 2025'!$J$2:$J$2619,AD$1)</f>
        <v>0</v>
      </c>
      <c r="AE56" s="182">
        <f>SUMIFS('октябрь 2025'!$G$2:$G$2619,'октябрь 2025'!$D$2:$D$2619,$B56,'октябрь 2025'!$J$2:$J$2619,AE$1)</f>
        <v>0</v>
      </c>
      <c r="AF56" s="182">
        <f>SUMIFS('октябрь 2025'!$G$2:$G$2619,'октябрь 2025'!$D$2:$D$2619,$B56,'октябрь 2025'!$J$2:$J$2619,AF$1)</f>
        <v>0</v>
      </c>
      <c r="AG56" s="182">
        <f>SUMIFS('октябрь 2025'!$G$2:$G$2619,'октябрь 2025'!$D$2:$D$2619,$B56,'октябрь 2025'!$J$2:$J$2619,AG$1)</f>
        <v>0</v>
      </c>
      <c r="AH56" s="182">
        <f>SUMIFS('октябрь 2025'!$G$2:$G$2619,'октябрь 2025'!$D$2:$D$2619,$B56,'октябрь 2025'!$J$2:$J$2619,AH$1)</f>
        <v>0</v>
      </c>
      <c r="AI56" s="20">
        <f t="shared" si="1"/>
        <v>0</v>
      </c>
    </row>
    <row r="57" spans="2:35" ht="15" customHeight="1" x14ac:dyDescent="0.25">
      <c r="B57" s="131" t="s">
        <v>252</v>
      </c>
      <c r="C57" s="132">
        <v>20</v>
      </c>
      <c r="D57" s="182">
        <f>SUMIFS('октябрь 2025'!$G$2:$G$2619,'октябрь 2025'!$D$2:$D$2619,$B57,'октябрь 2025'!$J$2:$J$2619,D$1)</f>
        <v>0</v>
      </c>
      <c r="E57" s="182">
        <f>SUMIFS('октябрь 2025'!$G$2:$G$2619,'октябрь 2025'!$D$2:$D$2619,$B57,'октябрь 2025'!$J$2:$J$2619,E$1)</f>
        <v>0</v>
      </c>
      <c r="F57" s="182">
        <f>SUMIFS('октябрь 2025'!$G$2:$G$2619,'октябрь 2025'!$D$2:$D$2619,$B57,'октябрь 2025'!$J$2:$J$2619,F$1)</f>
        <v>0</v>
      </c>
      <c r="G57" s="182">
        <f>SUMIFS('октябрь 2025'!$G$2:$G$2619,'октябрь 2025'!$D$2:$D$2619,$B57,'октябрь 2025'!$J$2:$J$2619,G$1)</f>
        <v>0</v>
      </c>
      <c r="H57" s="182">
        <f>SUMIFS('октябрь 2025'!$G$2:$G$2619,'октябрь 2025'!$D$2:$D$2619,$B57,'октябрь 2025'!$J$2:$J$2619,H$1)</f>
        <v>0</v>
      </c>
      <c r="I57" s="182">
        <f>SUMIFS('октябрь 2025'!$G$2:$G$2619,'октябрь 2025'!$D$2:$D$2619,$B57,'октябрь 2025'!$J$2:$J$2619,I$1)</f>
        <v>0</v>
      </c>
      <c r="J57" s="182">
        <f>SUMIFS('октябрь 2025'!$G$2:$G$2619,'октябрь 2025'!$D$2:$D$2619,$B57,'октябрь 2025'!$J$2:$J$2619,J$1)</f>
        <v>0</v>
      </c>
      <c r="K57" s="182">
        <f>SUMIFS('октябрь 2025'!$G$2:$G$2619,'октябрь 2025'!$D$2:$D$2619,$B57,'октябрь 2025'!$J$2:$J$2619,K$1)</f>
        <v>0</v>
      </c>
      <c r="L57" s="182">
        <f>SUMIFS('октябрь 2025'!$G$2:$G$2619,'октябрь 2025'!$D$2:$D$2619,$B57,'октябрь 2025'!$J$2:$J$2619,L$1)</f>
        <v>0</v>
      </c>
      <c r="M57" s="182">
        <f>SUMIFS('октябрь 2025'!$G$2:$G$2619,'октябрь 2025'!$D$2:$D$2619,$B57,'октябрь 2025'!$J$2:$J$2619,M$1)</f>
        <v>0</v>
      </c>
      <c r="N57" s="182">
        <f>SUMIFS('октябрь 2025'!$G$2:$G$2619,'октябрь 2025'!$D$2:$D$2619,$B57,'октябрь 2025'!$J$2:$J$2619,N$1)</f>
        <v>0</v>
      </c>
      <c r="O57" s="182">
        <f>SUMIFS('октябрь 2025'!$G$2:$G$2619,'октябрь 2025'!$D$2:$D$2619,$B57,'октябрь 2025'!$J$2:$J$2619,O$1)</f>
        <v>0</v>
      </c>
      <c r="P57" s="182">
        <f>SUMIFS('октябрь 2025'!$G$2:$G$2619,'октябрь 2025'!$D$2:$D$2619,$B57,'октябрь 2025'!$J$2:$J$2619,P$1)</f>
        <v>0</v>
      </c>
      <c r="Q57" s="182">
        <f>SUMIFS('октябрь 2025'!$G$2:$G$2619,'октябрь 2025'!$D$2:$D$2619,$B57,'октябрь 2025'!$J$2:$J$2619,Q$1)</f>
        <v>0</v>
      </c>
      <c r="R57" s="182">
        <f>SUMIFS('октябрь 2025'!$G$2:$G$2619,'октябрь 2025'!$D$2:$D$2619,$B57,'октябрь 2025'!$J$2:$J$2619,R$1)</f>
        <v>0</v>
      </c>
      <c r="S57" s="182">
        <f>SUMIFS('октябрь 2025'!$G$2:$G$2619,'октябрь 2025'!$D$2:$D$2619,$B57,'октябрь 2025'!$J$2:$J$2619,S$1)</f>
        <v>0</v>
      </c>
      <c r="T57" s="182">
        <f>SUMIFS('октябрь 2025'!$G$2:$G$2619,'октябрь 2025'!$D$2:$D$2619,$B57,'октябрь 2025'!$J$2:$J$2619,T$1)</f>
        <v>0</v>
      </c>
      <c r="U57" s="182">
        <f>SUMIFS('октябрь 2025'!$G$2:$G$2619,'октябрь 2025'!$D$2:$D$2619,$B57,'октябрь 2025'!$J$2:$J$2619,U$1)</f>
        <v>0</v>
      </c>
      <c r="V57" s="182">
        <f>SUMIFS('октябрь 2025'!$G$2:$G$2619,'октябрь 2025'!$D$2:$D$2619,$B57,'октябрь 2025'!$J$2:$J$2619,V$1)</f>
        <v>0</v>
      </c>
      <c r="W57" s="182">
        <f>SUMIFS('октябрь 2025'!$G$2:$G$2619,'октябрь 2025'!$D$2:$D$2619,$B57,'октябрь 2025'!$J$2:$J$2619,W$1)</f>
        <v>0</v>
      </c>
      <c r="X57" s="182">
        <f>SUMIFS('октябрь 2025'!$G$2:$G$2619,'октябрь 2025'!$D$2:$D$2619,$B57,'октябрь 2025'!$J$2:$J$2619,X$1)</f>
        <v>0</v>
      </c>
      <c r="Y57" s="182">
        <f>SUMIFS('октябрь 2025'!$G$2:$G$2619,'октябрь 2025'!$D$2:$D$2619,$B57,'октябрь 2025'!$J$2:$J$2619,Y$1)</f>
        <v>0</v>
      </c>
      <c r="Z57" s="182">
        <f>SUMIFS('октябрь 2025'!$G$2:$G$2619,'октябрь 2025'!$D$2:$D$2619,$B57,'октябрь 2025'!$J$2:$J$2619,Z$1)</f>
        <v>0</v>
      </c>
      <c r="AA57" s="182">
        <f>SUMIFS('октябрь 2025'!$G$2:$G$2619,'октябрь 2025'!$D$2:$D$2619,$B57,'октябрь 2025'!$J$2:$J$2619,AA$1)</f>
        <v>0</v>
      </c>
      <c r="AB57" s="182">
        <f>SUMIFS('октябрь 2025'!$G$2:$G$2619,'октябрь 2025'!$D$2:$D$2619,$B57,'октябрь 2025'!$J$2:$J$2619,AB$1)</f>
        <v>0</v>
      </c>
      <c r="AC57" s="182">
        <f>SUMIFS('октябрь 2025'!$G$2:$G$2619,'октябрь 2025'!$D$2:$D$2619,$B57,'октябрь 2025'!$J$2:$J$2619,AC$1)</f>
        <v>0</v>
      </c>
      <c r="AD57" s="182">
        <f>SUMIFS('октябрь 2025'!$G$2:$G$2619,'октябрь 2025'!$D$2:$D$2619,$B57,'октябрь 2025'!$J$2:$J$2619,AD$1)</f>
        <v>0</v>
      </c>
      <c r="AE57" s="182">
        <f>SUMIFS('октябрь 2025'!$G$2:$G$2619,'октябрь 2025'!$D$2:$D$2619,$B57,'октябрь 2025'!$J$2:$J$2619,AE$1)</f>
        <v>0</v>
      </c>
      <c r="AF57" s="182">
        <f>SUMIFS('октябрь 2025'!$G$2:$G$2619,'октябрь 2025'!$D$2:$D$2619,$B57,'октябрь 2025'!$J$2:$J$2619,AF$1)</f>
        <v>0</v>
      </c>
      <c r="AG57" s="182">
        <f>SUMIFS('октябрь 2025'!$G$2:$G$2619,'октябрь 2025'!$D$2:$D$2619,$B57,'октябрь 2025'!$J$2:$J$2619,AG$1)</f>
        <v>0</v>
      </c>
      <c r="AH57" s="182">
        <f>SUMIFS('октябрь 2025'!$G$2:$G$2619,'октябрь 2025'!$D$2:$D$2619,$B57,'октябрь 2025'!$J$2:$J$2619,AH$1)</f>
        <v>0</v>
      </c>
      <c r="AI57" s="20">
        <f t="shared" si="1"/>
        <v>0</v>
      </c>
    </row>
    <row r="58" spans="2:35" ht="15" customHeight="1" x14ac:dyDescent="0.25">
      <c r="B58" s="131" t="s">
        <v>1156</v>
      </c>
      <c r="C58" s="132">
        <v>20</v>
      </c>
      <c r="D58" s="182">
        <f>SUMIFS('октябрь 2025'!$G$2:$G$2619,'октябрь 2025'!$D$2:$D$2619,$B58,'октябрь 2025'!$J$2:$J$2619,D$1)</f>
        <v>0</v>
      </c>
      <c r="E58" s="182">
        <f>SUMIFS('октябрь 2025'!$G$2:$G$2619,'октябрь 2025'!$D$2:$D$2619,$B58,'октябрь 2025'!$J$2:$J$2619,E$1)</f>
        <v>0</v>
      </c>
      <c r="F58" s="182">
        <f>SUMIFS('октябрь 2025'!$G$2:$G$2619,'октябрь 2025'!$D$2:$D$2619,$B58,'октябрь 2025'!$J$2:$J$2619,F$1)</f>
        <v>0</v>
      </c>
      <c r="G58" s="182">
        <f>SUMIFS('октябрь 2025'!$G$2:$G$2619,'октябрь 2025'!$D$2:$D$2619,$B58,'октябрь 2025'!$J$2:$J$2619,G$1)</f>
        <v>0</v>
      </c>
      <c r="H58" s="182">
        <f>SUMIFS('октябрь 2025'!$G$2:$G$2619,'октябрь 2025'!$D$2:$D$2619,$B58,'октябрь 2025'!$J$2:$J$2619,H$1)</f>
        <v>0</v>
      </c>
      <c r="I58" s="182">
        <f>SUMIFS('октябрь 2025'!$G$2:$G$2619,'октябрь 2025'!$D$2:$D$2619,$B58,'октябрь 2025'!$J$2:$J$2619,I$1)</f>
        <v>0</v>
      </c>
      <c r="J58" s="182">
        <f>SUMIFS('октябрь 2025'!$G$2:$G$2619,'октябрь 2025'!$D$2:$D$2619,$B58,'октябрь 2025'!$J$2:$J$2619,J$1)</f>
        <v>0</v>
      </c>
      <c r="K58" s="182">
        <f>SUMIFS('октябрь 2025'!$G$2:$G$2619,'октябрь 2025'!$D$2:$D$2619,$B58,'октябрь 2025'!$J$2:$J$2619,K$1)</f>
        <v>0</v>
      </c>
      <c r="L58" s="182">
        <f>SUMIFS('октябрь 2025'!$G$2:$G$2619,'октябрь 2025'!$D$2:$D$2619,$B58,'октябрь 2025'!$J$2:$J$2619,L$1)</f>
        <v>0</v>
      </c>
      <c r="M58" s="182">
        <f>SUMIFS('октябрь 2025'!$G$2:$G$2619,'октябрь 2025'!$D$2:$D$2619,$B58,'октябрь 2025'!$J$2:$J$2619,M$1)</f>
        <v>0</v>
      </c>
      <c r="N58" s="182">
        <f>SUMIFS('октябрь 2025'!$G$2:$G$2619,'октябрь 2025'!$D$2:$D$2619,$B58,'октябрь 2025'!$J$2:$J$2619,N$1)</f>
        <v>0</v>
      </c>
      <c r="O58" s="182">
        <f>SUMIFS('октябрь 2025'!$G$2:$G$2619,'октябрь 2025'!$D$2:$D$2619,$B58,'октябрь 2025'!$J$2:$J$2619,O$1)</f>
        <v>0</v>
      </c>
      <c r="P58" s="182">
        <f>SUMIFS('октябрь 2025'!$G$2:$G$2619,'октябрь 2025'!$D$2:$D$2619,$B58,'октябрь 2025'!$J$2:$J$2619,P$1)</f>
        <v>0</v>
      </c>
      <c r="Q58" s="182">
        <f>SUMIFS('октябрь 2025'!$G$2:$G$2619,'октябрь 2025'!$D$2:$D$2619,$B58,'октябрь 2025'!$J$2:$J$2619,Q$1)</f>
        <v>0</v>
      </c>
      <c r="R58" s="182">
        <f>SUMIFS('октябрь 2025'!$G$2:$G$2619,'октябрь 2025'!$D$2:$D$2619,$B58,'октябрь 2025'!$J$2:$J$2619,R$1)</f>
        <v>0</v>
      </c>
      <c r="S58" s="182">
        <f>SUMIFS('октябрь 2025'!$G$2:$G$2619,'октябрь 2025'!$D$2:$D$2619,$B58,'октябрь 2025'!$J$2:$J$2619,S$1)</f>
        <v>0</v>
      </c>
      <c r="T58" s="182">
        <f>SUMIFS('октябрь 2025'!$G$2:$G$2619,'октябрь 2025'!$D$2:$D$2619,$B58,'октябрь 2025'!$J$2:$J$2619,T$1)</f>
        <v>0</v>
      </c>
      <c r="U58" s="182">
        <f>SUMIFS('октябрь 2025'!$G$2:$G$2619,'октябрь 2025'!$D$2:$D$2619,$B58,'октябрь 2025'!$J$2:$J$2619,U$1)</f>
        <v>0</v>
      </c>
      <c r="V58" s="182">
        <f>SUMIFS('октябрь 2025'!$G$2:$G$2619,'октябрь 2025'!$D$2:$D$2619,$B58,'октябрь 2025'!$J$2:$J$2619,V$1)</f>
        <v>0</v>
      </c>
      <c r="W58" s="182">
        <f>SUMIFS('октябрь 2025'!$G$2:$G$2619,'октябрь 2025'!$D$2:$D$2619,$B58,'октябрь 2025'!$J$2:$J$2619,W$1)</f>
        <v>0</v>
      </c>
      <c r="X58" s="182">
        <f>SUMIFS('октябрь 2025'!$G$2:$G$2619,'октябрь 2025'!$D$2:$D$2619,$B58,'октябрь 2025'!$J$2:$J$2619,X$1)</f>
        <v>0</v>
      </c>
      <c r="Y58" s="182">
        <f>SUMIFS('октябрь 2025'!$G$2:$G$2619,'октябрь 2025'!$D$2:$D$2619,$B58,'октябрь 2025'!$J$2:$J$2619,Y$1)</f>
        <v>0</v>
      </c>
      <c r="Z58" s="182">
        <f>SUMIFS('октябрь 2025'!$G$2:$G$2619,'октябрь 2025'!$D$2:$D$2619,$B58,'октябрь 2025'!$J$2:$J$2619,Z$1)</f>
        <v>0</v>
      </c>
      <c r="AA58" s="182">
        <f>SUMIFS('октябрь 2025'!$G$2:$G$2619,'октябрь 2025'!$D$2:$D$2619,$B58,'октябрь 2025'!$J$2:$J$2619,AA$1)</f>
        <v>0</v>
      </c>
      <c r="AB58" s="182">
        <f>SUMIFS('октябрь 2025'!$G$2:$G$2619,'октябрь 2025'!$D$2:$D$2619,$B58,'октябрь 2025'!$J$2:$J$2619,AB$1)</f>
        <v>0</v>
      </c>
      <c r="AC58" s="182">
        <f>SUMIFS('октябрь 2025'!$G$2:$G$2619,'октябрь 2025'!$D$2:$D$2619,$B58,'октябрь 2025'!$J$2:$J$2619,AC$1)</f>
        <v>0</v>
      </c>
      <c r="AD58" s="182">
        <f>SUMIFS('октябрь 2025'!$G$2:$G$2619,'октябрь 2025'!$D$2:$D$2619,$B58,'октябрь 2025'!$J$2:$J$2619,AD$1)</f>
        <v>0</v>
      </c>
      <c r="AE58" s="182">
        <f>SUMIFS('октябрь 2025'!$G$2:$G$2619,'октябрь 2025'!$D$2:$D$2619,$B58,'октябрь 2025'!$J$2:$J$2619,AE$1)</f>
        <v>0</v>
      </c>
      <c r="AF58" s="182">
        <f>SUMIFS('октябрь 2025'!$G$2:$G$2619,'октябрь 2025'!$D$2:$D$2619,$B58,'октябрь 2025'!$J$2:$J$2619,AF$1)</f>
        <v>0</v>
      </c>
      <c r="AG58" s="182">
        <f>SUMIFS('октябрь 2025'!$G$2:$G$2619,'октябрь 2025'!$D$2:$D$2619,$B58,'октябрь 2025'!$J$2:$J$2619,AG$1)</f>
        <v>0</v>
      </c>
      <c r="AH58" s="182">
        <f>SUMIFS('октябрь 2025'!$G$2:$G$2619,'октябрь 2025'!$D$2:$D$2619,$B58,'октябрь 2025'!$J$2:$J$2619,AH$1)</f>
        <v>0</v>
      </c>
      <c r="AI58" s="20">
        <f t="shared" si="1"/>
        <v>0</v>
      </c>
    </row>
    <row r="59" spans="2:35" ht="15" customHeight="1" x14ac:dyDescent="0.25">
      <c r="B59" s="127" t="s">
        <v>253</v>
      </c>
      <c r="C59" s="132">
        <v>20</v>
      </c>
      <c r="D59" s="182">
        <f>SUMIFS('октябрь 2025'!$G$2:$G$2619,'октябрь 2025'!$D$2:$D$2619,$B59,'октябрь 2025'!$J$2:$J$2619,D$1)</f>
        <v>0</v>
      </c>
      <c r="E59" s="182">
        <f>SUMIFS('октябрь 2025'!$G$2:$G$2619,'октябрь 2025'!$D$2:$D$2619,$B59,'октябрь 2025'!$J$2:$J$2619,E$1)</f>
        <v>0</v>
      </c>
      <c r="F59" s="182">
        <f>SUMIFS('октябрь 2025'!$G$2:$G$2619,'октябрь 2025'!$D$2:$D$2619,$B59,'октябрь 2025'!$J$2:$J$2619,F$1)</f>
        <v>0</v>
      </c>
      <c r="G59" s="182">
        <f>SUMIFS('октябрь 2025'!$G$2:$G$2619,'октябрь 2025'!$D$2:$D$2619,$B59,'октябрь 2025'!$J$2:$J$2619,G$1)</f>
        <v>0</v>
      </c>
      <c r="H59" s="182">
        <f>SUMIFS('октябрь 2025'!$G$2:$G$2619,'октябрь 2025'!$D$2:$D$2619,$B59,'октябрь 2025'!$J$2:$J$2619,H$1)</f>
        <v>0</v>
      </c>
      <c r="I59" s="182">
        <f>SUMIFS('октябрь 2025'!$G$2:$G$2619,'октябрь 2025'!$D$2:$D$2619,$B59,'октябрь 2025'!$J$2:$J$2619,I$1)</f>
        <v>0</v>
      </c>
      <c r="J59" s="182">
        <f>SUMIFS('октябрь 2025'!$G$2:$G$2619,'октябрь 2025'!$D$2:$D$2619,$B59,'октябрь 2025'!$J$2:$J$2619,J$1)</f>
        <v>0</v>
      </c>
      <c r="K59" s="182">
        <f>SUMIFS('октябрь 2025'!$G$2:$G$2619,'октябрь 2025'!$D$2:$D$2619,$B59,'октябрь 2025'!$J$2:$J$2619,K$1)</f>
        <v>0</v>
      </c>
      <c r="L59" s="182">
        <f>SUMIFS('октябрь 2025'!$G$2:$G$2619,'октябрь 2025'!$D$2:$D$2619,$B59,'октябрь 2025'!$J$2:$J$2619,L$1)</f>
        <v>0</v>
      </c>
      <c r="M59" s="182">
        <f>SUMIFS('октябрь 2025'!$G$2:$G$2619,'октябрь 2025'!$D$2:$D$2619,$B59,'октябрь 2025'!$J$2:$J$2619,M$1)</f>
        <v>0</v>
      </c>
      <c r="N59" s="182">
        <f>SUMIFS('октябрь 2025'!$G$2:$G$2619,'октябрь 2025'!$D$2:$D$2619,$B59,'октябрь 2025'!$J$2:$J$2619,N$1)</f>
        <v>0</v>
      </c>
      <c r="O59" s="182">
        <f>SUMIFS('октябрь 2025'!$G$2:$G$2619,'октябрь 2025'!$D$2:$D$2619,$B59,'октябрь 2025'!$J$2:$J$2619,O$1)</f>
        <v>0</v>
      </c>
      <c r="P59" s="182">
        <f>SUMIFS('октябрь 2025'!$G$2:$G$2619,'октябрь 2025'!$D$2:$D$2619,$B59,'октябрь 2025'!$J$2:$J$2619,P$1)</f>
        <v>0</v>
      </c>
      <c r="Q59" s="182">
        <f>SUMIFS('октябрь 2025'!$G$2:$G$2619,'октябрь 2025'!$D$2:$D$2619,$B59,'октябрь 2025'!$J$2:$J$2619,Q$1)</f>
        <v>0</v>
      </c>
      <c r="R59" s="182">
        <f>SUMIFS('октябрь 2025'!$G$2:$G$2619,'октябрь 2025'!$D$2:$D$2619,$B59,'октябрь 2025'!$J$2:$J$2619,R$1)</f>
        <v>0</v>
      </c>
      <c r="S59" s="182">
        <f>SUMIFS('октябрь 2025'!$G$2:$G$2619,'октябрь 2025'!$D$2:$D$2619,$B59,'октябрь 2025'!$J$2:$J$2619,S$1)</f>
        <v>0</v>
      </c>
      <c r="T59" s="182">
        <f>SUMIFS('октябрь 2025'!$G$2:$G$2619,'октябрь 2025'!$D$2:$D$2619,$B59,'октябрь 2025'!$J$2:$J$2619,T$1)</f>
        <v>0</v>
      </c>
      <c r="U59" s="182">
        <f>SUMIFS('октябрь 2025'!$G$2:$G$2619,'октябрь 2025'!$D$2:$D$2619,$B59,'октябрь 2025'!$J$2:$J$2619,U$1)</f>
        <v>0</v>
      </c>
      <c r="V59" s="182">
        <f>SUMIFS('октябрь 2025'!$G$2:$G$2619,'октябрь 2025'!$D$2:$D$2619,$B59,'октябрь 2025'!$J$2:$J$2619,V$1)</f>
        <v>0</v>
      </c>
      <c r="W59" s="182">
        <f>SUMIFS('октябрь 2025'!$G$2:$G$2619,'октябрь 2025'!$D$2:$D$2619,$B59,'октябрь 2025'!$J$2:$J$2619,W$1)</f>
        <v>0</v>
      </c>
      <c r="X59" s="182">
        <f>SUMIFS('октябрь 2025'!$G$2:$G$2619,'октябрь 2025'!$D$2:$D$2619,$B59,'октябрь 2025'!$J$2:$J$2619,X$1)</f>
        <v>0</v>
      </c>
      <c r="Y59" s="182">
        <f>SUMIFS('октябрь 2025'!$G$2:$G$2619,'октябрь 2025'!$D$2:$D$2619,$B59,'октябрь 2025'!$J$2:$J$2619,Y$1)</f>
        <v>0</v>
      </c>
      <c r="Z59" s="182">
        <f>SUMIFS('октябрь 2025'!$G$2:$G$2619,'октябрь 2025'!$D$2:$D$2619,$B59,'октябрь 2025'!$J$2:$J$2619,Z$1)</f>
        <v>0</v>
      </c>
      <c r="AA59" s="182">
        <f>SUMIFS('октябрь 2025'!$G$2:$G$2619,'октябрь 2025'!$D$2:$D$2619,$B59,'октябрь 2025'!$J$2:$J$2619,AA$1)</f>
        <v>0</v>
      </c>
      <c r="AB59" s="182">
        <f>SUMIFS('октябрь 2025'!$G$2:$G$2619,'октябрь 2025'!$D$2:$D$2619,$B59,'октябрь 2025'!$J$2:$J$2619,AB$1)</f>
        <v>0</v>
      </c>
      <c r="AC59" s="182">
        <f>SUMIFS('октябрь 2025'!$G$2:$G$2619,'октябрь 2025'!$D$2:$D$2619,$B59,'октябрь 2025'!$J$2:$J$2619,AC$1)</f>
        <v>0</v>
      </c>
      <c r="AD59" s="182">
        <f>SUMIFS('октябрь 2025'!$G$2:$G$2619,'октябрь 2025'!$D$2:$D$2619,$B59,'октябрь 2025'!$J$2:$J$2619,AD$1)</f>
        <v>0</v>
      </c>
      <c r="AE59" s="182">
        <f>SUMIFS('октябрь 2025'!$G$2:$G$2619,'октябрь 2025'!$D$2:$D$2619,$B59,'октябрь 2025'!$J$2:$J$2619,AE$1)</f>
        <v>0</v>
      </c>
      <c r="AF59" s="182">
        <f>SUMIFS('октябрь 2025'!$G$2:$G$2619,'октябрь 2025'!$D$2:$D$2619,$B59,'октябрь 2025'!$J$2:$J$2619,AF$1)</f>
        <v>0</v>
      </c>
      <c r="AG59" s="182">
        <f>SUMIFS('октябрь 2025'!$G$2:$G$2619,'октябрь 2025'!$D$2:$D$2619,$B59,'октябрь 2025'!$J$2:$J$2619,AG$1)</f>
        <v>0</v>
      </c>
      <c r="AH59" s="182">
        <f>SUMIFS('октябрь 2025'!$G$2:$G$2619,'октябрь 2025'!$D$2:$D$2619,$B59,'октябрь 2025'!$J$2:$J$2619,AH$1)</f>
        <v>0</v>
      </c>
      <c r="AI59" s="20">
        <f t="shared" si="1"/>
        <v>0</v>
      </c>
    </row>
    <row r="60" spans="2:35" ht="15" customHeight="1" x14ac:dyDescent="0.25">
      <c r="B60" s="131" t="s">
        <v>254</v>
      </c>
      <c r="C60" s="132">
        <v>20</v>
      </c>
      <c r="D60" s="182">
        <f>SUMIFS('октябрь 2025'!$G$2:$G$2619,'октябрь 2025'!$D$2:$D$2619,$B60,'октябрь 2025'!$J$2:$J$2619,D$1)</f>
        <v>0</v>
      </c>
      <c r="E60" s="182">
        <f>SUMIFS('октябрь 2025'!$G$2:$G$2619,'октябрь 2025'!$D$2:$D$2619,$B60,'октябрь 2025'!$J$2:$J$2619,E$1)</f>
        <v>0</v>
      </c>
      <c r="F60" s="182">
        <f>SUMIFS('октябрь 2025'!$G$2:$G$2619,'октябрь 2025'!$D$2:$D$2619,$B60,'октябрь 2025'!$J$2:$J$2619,F$1)</f>
        <v>0</v>
      </c>
      <c r="G60" s="182">
        <f>SUMIFS('октябрь 2025'!$G$2:$G$2619,'октябрь 2025'!$D$2:$D$2619,$B60,'октябрь 2025'!$J$2:$J$2619,G$1)</f>
        <v>0</v>
      </c>
      <c r="H60" s="182">
        <f>SUMIFS('октябрь 2025'!$G$2:$G$2619,'октябрь 2025'!$D$2:$D$2619,$B60,'октябрь 2025'!$J$2:$J$2619,H$1)</f>
        <v>0</v>
      </c>
      <c r="I60" s="182">
        <f>SUMIFS('октябрь 2025'!$G$2:$G$2619,'октябрь 2025'!$D$2:$D$2619,$B60,'октябрь 2025'!$J$2:$J$2619,I$1)</f>
        <v>0</v>
      </c>
      <c r="J60" s="182">
        <f>SUMIFS('октябрь 2025'!$G$2:$G$2619,'октябрь 2025'!$D$2:$D$2619,$B60,'октябрь 2025'!$J$2:$J$2619,J$1)</f>
        <v>0</v>
      </c>
      <c r="K60" s="182">
        <f>SUMIFS('октябрь 2025'!$G$2:$G$2619,'октябрь 2025'!$D$2:$D$2619,$B60,'октябрь 2025'!$J$2:$J$2619,K$1)</f>
        <v>0</v>
      </c>
      <c r="L60" s="182">
        <f>SUMIFS('октябрь 2025'!$G$2:$G$2619,'октябрь 2025'!$D$2:$D$2619,$B60,'октябрь 2025'!$J$2:$J$2619,L$1)</f>
        <v>0</v>
      </c>
      <c r="M60" s="182">
        <f>SUMIFS('октябрь 2025'!$G$2:$G$2619,'октябрь 2025'!$D$2:$D$2619,$B60,'октябрь 2025'!$J$2:$J$2619,M$1)</f>
        <v>0</v>
      </c>
      <c r="N60" s="182">
        <f>SUMIFS('октябрь 2025'!$G$2:$G$2619,'октябрь 2025'!$D$2:$D$2619,$B60,'октябрь 2025'!$J$2:$J$2619,N$1)</f>
        <v>0</v>
      </c>
      <c r="O60" s="182">
        <f>SUMIFS('октябрь 2025'!$G$2:$G$2619,'октябрь 2025'!$D$2:$D$2619,$B60,'октябрь 2025'!$J$2:$J$2619,O$1)</f>
        <v>0</v>
      </c>
      <c r="P60" s="182">
        <f>SUMIFS('октябрь 2025'!$G$2:$G$2619,'октябрь 2025'!$D$2:$D$2619,$B60,'октябрь 2025'!$J$2:$J$2619,P$1)</f>
        <v>0</v>
      </c>
      <c r="Q60" s="182">
        <f>SUMIFS('октябрь 2025'!$G$2:$G$2619,'октябрь 2025'!$D$2:$D$2619,$B60,'октябрь 2025'!$J$2:$J$2619,Q$1)</f>
        <v>0</v>
      </c>
      <c r="R60" s="182">
        <f>SUMIFS('октябрь 2025'!$G$2:$G$2619,'октябрь 2025'!$D$2:$D$2619,$B60,'октябрь 2025'!$J$2:$J$2619,R$1)</f>
        <v>0</v>
      </c>
      <c r="S60" s="182">
        <f>SUMIFS('октябрь 2025'!$G$2:$G$2619,'октябрь 2025'!$D$2:$D$2619,$B60,'октябрь 2025'!$J$2:$J$2619,S$1)</f>
        <v>0</v>
      </c>
      <c r="T60" s="182">
        <f>SUMIFS('октябрь 2025'!$G$2:$G$2619,'октябрь 2025'!$D$2:$D$2619,$B60,'октябрь 2025'!$J$2:$J$2619,T$1)</f>
        <v>0</v>
      </c>
      <c r="U60" s="182">
        <f>SUMIFS('октябрь 2025'!$G$2:$G$2619,'октябрь 2025'!$D$2:$D$2619,$B60,'октябрь 2025'!$J$2:$J$2619,U$1)</f>
        <v>0</v>
      </c>
      <c r="V60" s="182">
        <f>SUMIFS('октябрь 2025'!$G$2:$G$2619,'октябрь 2025'!$D$2:$D$2619,$B60,'октябрь 2025'!$J$2:$J$2619,V$1)</f>
        <v>0</v>
      </c>
      <c r="W60" s="182">
        <f>SUMIFS('октябрь 2025'!$G$2:$G$2619,'октябрь 2025'!$D$2:$D$2619,$B60,'октябрь 2025'!$J$2:$J$2619,W$1)</f>
        <v>0</v>
      </c>
      <c r="X60" s="182">
        <f>SUMIFS('октябрь 2025'!$G$2:$G$2619,'октябрь 2025'!$D$2:$D$2619,$B60,'октябрь 2025'!$J$2:$J$2619,X$1)</f>
        <v>0</v>
      </c>
      <c r="Y60" s="182">
        <f>SUMIFS('октябрь 2025'!$G$2:$G$2619,'октябрь 2025'!$D$2:$D$2619,$B60,'октябрь 2025'!$J$2:$J$2619,Y$1)</f>
        <v>0</v>
      </c>
      <c r="Z60" s="182">
        <f>SUMIFS('октябрь 2025'!$G$2:$G$2619,'октябрь 2025'!$D$2:$D$2619,$B60,'октябрь 2025'!$J$2:$J$2619,Z$1)</f>
        <v>0</v>
      </c>
      <c r="AA60" s="182">
        <f>SUMIFS('октябрь 2025'!$G$2:$G$2619,'октябрь 2025'!$D$2:$D$2619,$B60,'октябрь 2025'!$J$2:$J$2619,AA$1)</f>
        <v>0</v>
      </c>
      <c r="AB60" s="182">
        <f>SUMIFS('октябрь 2025'!$G$2:$G$2619,'октябрь 2025'!$D$2:$D$2619,$B60,'октябрь 2025'!$J$2:$J$2619,AB$1)</f>
        <v>0</v>
      </c>
      <c r="AC60" s="182">
        <f>SUMIFS('октябрь 2025'!$G$2:$G$2619,'октябрь 2025'!$D$2:$D$2619,$B60,'октябрь 2025'!$J$2:$J$2619,AC$1)</f>
        <v>0</v>
      </c>
      <c r="AD60" s="182">
        <f>SUMIFS('октябрь 2025'!$G$2:$G$2619,'октябрь 2025'!$D$2:$D$2619,$B60,'октябрь 2025'!$J$2:$J$2619,AD$1)</f>
        <v>0</v>
      </c>
      <c r="AE60" s="182">
        <f>SUMIFS('октябрь 2025'!$G$2:$G$2619,'октябрь 2025'!$D$2:$D$2619,$B60,'октябрь 2025'!$J$2:$J$2619,AE$1)</f>
        <v>0</v>
      </c>
      <c r="AF60" s="182">
        <f>SUMIFS('октябрь 2025'!$G$2:$G$2619,'октябрь 2025'!$D$2:$D$2619,$B60,'октябрь 2025'!$J$2:$J$2619,AF$1)</f>
        <v>0</v>
      </c>
      <c r="AG60" s="182">
        <f>SUMIFS('октябрь 2025'!$G$2:$G$2619,'октябрь 2025'!$D$2:$D$2619,$B60,'октябрь 2025'!$J$2:$J$2619,AG$1)</f>
        <v>0</v>
      </c>
      <c r="AH60" s="182">
        <f>SUMIFS('октябрь 2025'!$G$2:$G$2619,'октябрь 2025'!$D$2:$D$2619,$B60,'октябрь 2025'!$J$2:$J$2619,AH$1)</f>
        <v>0</v>
      </c>
      <c r="AI60" s="20">
        <f t="shared" si="1"/>
        <v>0</v>
      </c>
    </row>
    <row r="61" spans="2:35" ht="15" customHeight="1" x14ac:dyDescent="0.25">
      <c r="B61" s="131" t="s">
        <v>255</v>
      </c>
      <c r="C61" s="132">
        <v>20</v>
      </c>
      <c r="D61" s="182">
        <f>SUMIFS('октябрь 2025'!$G$2:$G$2619,'октябрь 2025'!$D$2:$D$2619,$B61,'октябрь 2025'!$J$2:$J$2619,D$1)</f>
        <v>0</v>
      </c>
      <c r="E61" s="182">
        <f>SUMIFS('октябрь 2025'!$G$2:$G$2619,'октябрь 2025'!$D$2:$D$2619,$B61,'октябрь 2025'!$J$2:$J$2619,E$1)</f>
        <v>0</v>
      </c>
      <c r="F61" s="182">
        <f>SUMIFS('октябрь 2025'!$G$2:$G$2619,'октябрь 2025'!$D$2:$D$2619,$B61,'октябрь 2025'!$J$2:$J$2619,F$1)</f>
        <v>0</v>
      </c>
      <c r="G61" s="182">
        <f>SUMIFS('октябрь 2025'!$G$2:$G$2619,'октябрь 2025'!$D$2:$D$2619,$B61,'октябрь 2025'!$J$2:$J$2619,G$1)</f>
        <v>0</v>
      </c>
      <c r="H61" s="182">
        <f>SUMIFS('октябрь 2025'!$G$2:$G$2619,'октябрь 2025'!$D$2:$D$2619,$B61,'октябрь 2025'!$J$2:$J$2619,H$1)</f>
        <v>0</v>
      </c>
      <c r="I61" s="182">
        <f>SUMIFS('октябрь 2025'!$G$2:$G$2619,'октябрь 2025'!$D$2:$D$2619,$B61,'октябрь 2025'!$J$2:$J$2619,I$1)</f>
        <v>0</v>
      </c>
      <c r="J61" s="182">
        <f>SUMIFS('октябрь 2025'!$G$2:$G$2619,'октябрь 2025'!$D$2:$D$2619,$B61,'октябрь 2025'!$J$2:$J$2619,J$1)</f>
        <v>0</v>
      </c>
      <c r="K61" s="182">
        <f>SUMIFS('октябрь 2025'!$G$2:$G$2619,'октябрь 2025'!$D$2:$D$2619,$B61,'октябрь 2025'!$J$2:$J$2619,K$1)</f>
        <v>0</v>
      </c>
      <c r="L61" s="182">
        <f>SUMIFS('октябрь 2025'!$G$2:$G$2619,'октябрь 2025'!$D$2:$D$2619,$B61,'октябрь 2025'!$J$2:$J$2619,L$1)</f>
        <v>0</v>
      </c>
      <c r="M61" s="182">
        <f>SUMIFS('октябрь 2025'!$G$2:$G$2619,'октябрь 2025'!$D$2:$D$2619,$B61,'октябрь 2025'!$J$2:$J$2619,M$1)</f>
        <v>0</v>
      </c>
      <c r="N61" s="182">
        <f>SUMIFS('октябрь 2025'!$G$2:$G$2619,'октябрь 2025'!$D$2:$D$2619,$B61,'октябрь 2025'!$J$2:$J$2619,N$1)</f>
        <v>0</v>
      </c>
      <c r="O61" s="182">
        <f>SUMIFS('октябрь 2025'!$G$2:$G$2619,'октябрь 2025'!$D$2:$D$2619,$B61,'октябрь 2025'!$J$2:$J$2619,O$1)</f>
        <v>0</v>
      </c>
      <c r="P61" s="182">
        <f>SUMIFS('октябрь 2025'!$G$2:$G$2619,'октябрь 2025'!$D$2:$D$2619,$B61,'октябрь 2025'!$J$2:$J$2619,P$1)</f>
        <v>0</v>
      </c>
      <c r="Q61" s="182">
        <f>SUMIFS('октябрь 2025'!$G$2:$G$2619,'октябрь 2025'!$D$2:$D$2619,$B61,'октябрь 2025'!$J$2:$J$2619,Q$1)</f>
        <v>0</v>
      </c>
      <c r="R61" s="182">
        <f>SUMIFS('октябрь 2025'!$G$2:$G$2619,'октябрь 2025'!$D$2:$D$2619,$B61,'октябрь 2025'!$J$2:$J$2619,R$1)</f>
        <v>0</v>
      </c>
      <c r="S61" s="182">
        <f>SUMIFS('октябрь 2025'!$G$2:$G$2619,'октябрь 2025'!$D$2:$D$2619,$B61,'октябрь 2025'!$J$2:$J$2619,S$1)</f>
        <v>0</v>
      </c>
      <c r="T61" s="182">
        <f>SUMIFS('октябрь 2025'!$G$2:$G$2619,'октябрь 2025'!$D$2:$D$2619,$B61,'октябрь 2025'!$J$2:$J$2619,T$1)</f>
        <v>0</v>
      </c>
      <c r="U61" s="182">
        <f>SUMIFS('октябрь 2025'!$G$2:$G$2619,'октябрь 2025'!$D$2:$D$2619,$B61,'октябрь 2025'!$J$2:$J$2619,U$1)</f>
        <v>0</v>
      </c>
      <c r="V61" s="182">
        <f>SUMIFS('октябрь 2025'!$G$2:$G$2619,'октябрь 2025'!$D$2:$D$2619,$B61,'октябрь 2025'!$J$2:$J$2619,V$1)</f>
        <v>0</v>
      </c>
      <c r="W61" s="182">
        <f>SUMIFS('октябрь 2025'!$G$2:$G$2619,'октябрь 2025'!$D$2:$D$2619,$B61,'октябрь 2025'!$J$2:$J$2619,W$1)</f>
        <v>0</v>
      </c>
      <c r="X61" s="182">
        <f>SUMIFS('октябрь 2025'!$G$2:$G$2619,'октябрь 2025'!$D$2:$D$2619,$B61,'октябрь 2025'!$J$2:$J$2619,X$1)</f>
        <v>0</v>
      </c>
      <c r="Y61" s="182">
        <f>SUMIFS('октябрь 2025'!$G$2:$G$2619,'октябрь 2025'!$D$2:$D$2619,$B61,'октябрь 2025'!$J$2:$J$2619,Y$1)</f>
        <v>0</v>
      </c>
      <c r="Z61" s="182">
        <f>SUMIFS('октябрь 2025'!$G$2:$G$2619,'октябрь 2025'!$D$2:$D$2619,$B61,'октябрь 2025'!$J$2:$J$2619,Z$1)</f>
        <v>0</v>
      </c>
      <c r="AA61" s="182">
        <f>SUMIFS('октябрь 2025'!$G$2:$G$2619,'октябрь 2025'!$D$2:$D$2619,$B61,'октябрь 2025'!$J$2:$J$2619,AA$1)</f>
        <v>0</v>
      </c>
      <c r="AB61" s="182">
        <f>SUMIFS('октябрь 2025'!$G$2:$G$2619,'октябрь 2025'!$D$2:$D$2619,$B61,'октябрь 2025'!$J$2:$J$2619,AB$1)</f>
        <v>0</v>
      </c>
      <c r="AC61" s="182">
        <f>SUMIFS('октябрь 2025'!$G$2:$G$2619,'октябрь 2025'!$D$2:$D$2619,$B61,'октябрь 2025'!$J$2:$J$2619,AC$1)</f>
        <v>0</v>
      </c>
      <c r="AD61" s="182">
        <f>SUMIFS('октябрь 2025'!$G$2:$G$2619,'октябрь 2025'!$D$2:$D$2619,$B61,'октябрь 2025'!$J$2:$J$2619,AD$1)</f>
        <v>0</v>
      </c>
      <c r="AE61" s="182">
        <f>SUMIFS('октябрь 2025'!$G$2:$G$2619,'октябрь 2025'!$D$2:$D$2619,$B61,'октябрь 2025'!$J$2:$J$2619,AE$1)</f>
        <v>0</v>
      </c>
      <c r="AF61" s="182">
        <f>SUMIFS('октябрь 2025'!$G$2:$G$2619,'октябрь 2025'!$D$2:$D$2619,$B61,'октябрь 2025'!$J$2:$J$2619,AF$1)</f>
        <v>0</v>
      </c>
      <c r="AG61" s="182">
        <f>SUMIFS('октябрь 2025'!$G$2:$G$2619,'октябрь 2025'!$D$2:$D$2619,$B61,'октябрь 2025'!$J$2:$J$2619,AG$1)</f>
        <v>0</v>
      </c>
      <c r="AH61" s="182">
        <f>SUMIFS('октябрь 2025'!$G$2:$G$2619,'октябрь 2025'!$D$2:$D$2619,$B61,'октябрь 2025'!$J$2:$J$2619,AH$1)</f>
        <v>0</v>
      </c>
      <c r="AI61" s="20">
        <f t="shared" si="1"/>
        <v>0</v>
      </c>
    </row>
    <row r="62" spans="2:35" ht="15.75" x14ac:dyDescent="0.25">
      <c r="B62" s="131" t="s">
        <v>1258</v>
      </c>
      <c r="C62" s="132">
        <v>10</v>
      </c>
      <c r="D62" s="182">
        <f>SUMIFS('октябрь 2025'!$G$2:$G$2619,'октябрь 2025'!$D$2:$D$2619,$B62,'октябрь 2025'!$J$2:$J$2619,D$1)</f>
        <v>0</v>
      </c>
      <c r="E62" s="182">
        <f>SUMIFS('октябрь 2025'!$G$2:$G$2619,'октябрь 2025'!$D$2:$D$2619,$B62,'октябрь 2025'!$J$2:$J$2619,E$1)</f>
        <v>0</v>
      </c>
      <c r="F62" s="182">
        <f>SUMIFS('октябрь 2025'!$G$2:$G$2619,'октябрь 2025'!$D$2:$D$2619,$B62,'октябрь 2025'!$J$2:$J$2619,F$1)</f>
        <v>0</v>
      </c>
      <c r="G62" s="182">
        <f>SUMIFS('октябрь 2025'!$G$2:$G$2619,'октябрь 2025'!$D$2:$D$2619,$B62,'октябрь 2025'!$J$2:$J$2619,G$1)</f>
        <v>0</v>
      </c>
      <c r="H62" s="182">
        <f>SUMIFS('октябрь 2025'!$G$2:$G$2619,'октябрь 2025'!$D$2:$D$2619,$B62,'октябрь 2025'!$J$2:$J$2619,H$1)</f>
        <v>0</v>
      </c>
      <c r="I62" s="182">
        <f>SUMIFS('октябрь 2025'!$G$2:$G$2619,'октябрь 2025'!$D$2:$D$2619,$B62,'октябрь 2025'!$J$2:$J$2619,I$1)</f>
        <v>0</v>
      </c>
      <c r="J62" s="182">
        <f>SUMIFS('октябрь 2025'!$G$2:$G$2619,'октябрь 2025'!$D$2:$D$2619,$B62,'октябрь 2025'!$J$2:$J$2619,J$1)</f>
        <v>0</v>
      </c>
      <c r="K62" s="182">
        <f>SUMIFS('октябрь 2025'!$G$2:$G$2619,'октябрь 2025'!$D$2:$D$2619,$B62,'октябрь 2025'!$J$2:$J$2619,K$1)</f>
        <v>0</v>
      </c>
      <c r="L62" s="182">
        <f>SUMIFS('октябрь 2025'!$G$2:$G$2619,'октябрь 2025'!$D$2:$D$2619,$B62,'октябрь 2025'!$J$2:$J$2619,L$1)</f>
        <v>0</v>
      </c>
      <c r="M62" s="182">
        <f>SUMIFS('октябрь 2025'!$G$2:$G$2619,'октябрь 2025'!$D$2:$D$2619,$B62,'октябрь 2025'!$J$2:$J$2619,M$1)</f>
        <v>0</v>
      </c>
      <c r="N62" s="182">
        <f>SUMIFS('октябрь 2025'!$G$2:$G$2619,'октябрь 2025'!$D$2:$D$2619,$B62,'октябрь 2025'!$J$2:$J$2619,N$1)</f>
        <v>0</v>
      </c>
      <c r="O62" s="182">
        <f>SUMIFS('октябрь 2025'!$G$2:$G$2619,'октябрь 2025'!$D$2:$D$2619,$B62,'октябрь 2025'!$J$2:$J$2619,O$1)</f>
        <v>0</v>
      </c>
      <c r="P62" s="182">
        <f>SUMIFS('октябрь 2025'!$G$2:$G$2619,'октябрь 2025'!$D$2:$D$2619,$B62,'октябрь 2025'!$J$2:$J$2619,P$1)</f>
        <v>0</v>
      </c>
      <c r="Q62" s="182">
        <f>SUMIFS('октябрь 2025'!$G$2:$G$2619,'октябрь 2025'!$D$2:$D$2619,$B62,'октябрь 2025'!$J$2:$J$2619,Q$1)</f>
        <v>0</v>
      </c>
      <c r="R62" s="182">
        <f>SUMIFS('октябрь 2025'!$G$2:$G$2619,'октябрь 2025'!$D$2:$D$2619,$B62,'октябрь 2025'!$J$2:$J$2619,R$1)</f>
        <v>0</v>
      </c>
      <c r="S62" s="182">
        <f>SUMIFS('октябрь 2025'!$G$2:$G$2619,'октябрь 2025'!$D$2:$D$2619,$B62,'октябрь 2025'!$J$2:$J$2619,S$1)</f>
        <v>0</v>
      </c>
      <c r="T62" s="182">
        <f>SUMIFS('октябрь 2025'!$G$2:$G$2619,'октябрь 2025'!$D$2:$D$2619,$B62,'октябрь 2025'!$J$2:$J$2619,T$1)</f>
        <v>0</v>
      </c>
      <c r="U62" s="182">
        <f>SUMIFS('октябрь 2025'!$G$2:$G$2619,'октябрь 2025'!$D$2:$D$2619,$B62,'октябрь 2025'!$J$2:$J$2619,U$1)</f>
        <v>0</v>
      </c>
      <c r="V62" s="182">
        <f>SUMIFS('октябрь 2025'!$G$2:$G$2619,'октябрь 2025'!$D$2:$D$2619,$B62,'октябрь 2025'!$J$2:$J$2619,V$1)</f>
        <v>0</v>
      </c>
      <c r="W62" s="182">
        <f>SUMIFS('октябрь 2025'!$G$2:$G$2619,'октябрь 2025'!$D$2:$D$2619,$B62,'октябрь 2025'!$J$2:$J$2619,W$1)</f>
        <v>0</v>
      </c>
      <c r="X62" s="182">
        <f>SUMIFS('октябрь 2025'!$G$2:$G$2619,'октябрь 2025'!$D$2:$D$2619,$B62,'октябрь 2025'!$J$2:$J$2619,X$1)</f>
        <v>0</v>
      </c>
      <c r="Y62" s="182">
        <f>SUMIFS('октябрь 2025'!$G$2:$G$2619,'октябрь 2025'!$D$2:$D$2619,$B62,'октябрь 2025'!$J$2:$J$2619,Y$1)</f>
        <v>0</v>
      </c>
      <c r="Z62" s="182">
        <f>SUMIFS('октябрь 2025'!$G$2:$G$2619,'октябрь 2025'!$D$2:$D$2619,$B62,'октябрь 2025'!$J$2:$J$2619,Z$1)</f>
        <v>0</v>
      </c>
      <c r="AA62" s="182">
        <f>SUMIFS('октябрь 2025'!$G$2:$G$2619,'октябрь 2025'!$D$2:$D$2619,$B62,'октябрь 2025'!$J$2:$J$2619,AA$1)</f>
        <v>0</v>
      </c>
      <c r="AB62" s="182">
        <f>SUMIFS('октябрь 2025'!$G$2:$G$2619,'октябрь 2025'!$D$2:$D$2619,$B62,'октябрь 2025'!$J$2:$J$2619,AB$1)</f>
        <v>0</v>
      </c>
      <c r="AC62" s="182">
        <f>SUMIFS('октябрь 2025'!$G$2:$G$2619,'октябрь 2025'!$D$2:$D$2619,$B62,'октябрь 2025'!$J$2:$J$2619,AC$1)</f>
        <v>0</v>
      </c>
      <c r="AD62" s="182">
        <f>SUMIFS('октябрь 2025'!$G$2:$G$2619,'октябрь 2025'!$D$2:$D$2619,$B62,'октябрь 2025'!$J$2:$J$2619,AD$1)</f>
        <v>0</v>
      </c>
      <c r="AE62" s="182">
        <f>SUMIFS('октябрь 2025'!$G$2:$G$2619,'октябрь 2025'!$D$2:$D$2619,$B62,'октябрь 2025'!$J$2:$J$2619,AE$1)</f>
        <v>0</v>
      </c>
      <c r="AF62" s="182">
        <f>SUMIFS('октябрь 2025'!$G$2:$G$2619,'октябрь 2025'!$D$2:$D$2619,$B62,'октябрь 2025'!$J$2:$J$2619,AF$1)</f>
        <v>0</v>
      </c>
      <c r="AG62" s="182">
        <f>SUMIFS('октябрь 2025'!$G$2:$G$2619,'октябрь 2025'!$D$2:$D$2619,$B62,'октябрь 2025'!$J$2:$J$2619,AG$1)</f>
        <v>0</v>
      </c>
      <c r="AH62" s="182">
        <f>SUMIFS('октябрь 2025'!$G$2:$G$2619,'октябрь 2025'!$D$2:$D$2619,$B62,'октябрь 2025'!$J$2:$J$2619,AH$1)</f>
        <v>0</v>
      </c>
      <c r="AI62" s="20">
        <f t="shared" si="1"/>
        <v>0</v>
      </c>
    </row>
    <row r="63" spans="2:35" ht="15" customHeight="1" x14ac:dyDescent="0.25">
      <c r="B63" s="131" t="s">
        <v>1259</v>
      </c>
      <c r="C63" s="132">
        <v>10</v>
      </c>
      <c r="D63" s="182">
        <f>SUMIFS('октябрь 2025'!$G$2:$G$2619,'октябрь 2025'!$D$2:$D$2619,$B63,'октябрь 2025'!$J$2:$J$2619,D$1)</f>
        <v>0</v>
      </c>
      <c r="E63" s="182">
        <f>SUMIFS('октябрь 2025'!$G$2:$G$2619,'октябрь 2025'!$D$2:$D$2619,$B63,'октябрь 2025'!$J$2:$J$2619,E$1)</f>
        <v>0</v>
      </c>
      <c r="F63" s="182">
        <f>SUMIFS('октябрь 2025'!$G$2:$G$2619,'октябрь 2025'!$D$2:$D$2619,$B63,'октябрь 2025'!$J$2:$J$2619,F$1)</f>
        <v>0</v>
      </c>
      <c r="G63" s="182">
        <f>SUMIFS('октябрь 2025'!$G$2:$G$2619,'октябрь 2025'!$D$2:$D$2619,$B63,'октябрь 2025'!$J$2:$J$2619,G$1)</f>
        <v>0</v>
      </c>
      <c r="H63" s="182">
        <f>SUMIFS('октябрь 2025'!$G$2:$G$2619,'октябрь 2025'!$D$2:$D$2619,$B63,'октябрь 2025'!$J$2:$J$2619,H$1)</f>
        <v>0</v>
      </c>
      <c r="I63" s="182">
        <f>SUMIFS('октябрь 2025'!$G$2:$G$2619,'октябрь 2025'!$D$2:$D$2619,$B63,'октябрь 2025'!$J$2:$J$2619,I$1)</f>
        <v>0</v>
      </c>
      <c r="J63" s="182">
        <f>SUMIFS('октябрь 2025'!$G$2:$G$2619,'октябрь 2025'!$D$2:$D$2619,$B63,'октябрь 2025'!$J$2:$J$2619,J$1)</f>
        <v>0</v>
      </c>
      <c r="K63" s="182">
        <f>SUMIFS('октябрь 2025'!$G$2:$G$2619,'октябрь 2025'!$D$2:$D$2619,$B63,'октябрь 2025'!$J$2:$J$2619,K$1)</f>
        <v>0</v>
      </c>
      <c r="L63" s="182">
        <f>SUMIFS('октябрь 2025'!$G$2:$G$2619,'октябрь 2025'!$D$2:$D$2619,$B63,'октябрь 2025'!$J$2:$J$2619,L$1)</f>
        <v>0</v>
      </c>
      <c r="M63" s="182">
        <f>SUMIFS('октябрь 2025'!$G$2:$G$2619,'октябрь 2025'!$D$2:$D$2619,$B63,'октябрь 2025'!$J$2:$J$2619,M$1)</f>
        <v>0</v>
      </c>
      <c r="N63" s="182">
        <f>SUMIFS('октябрь 2025'!$G$2:$G$2619,'октябрь 2025'!$D$2:$D$2619,$B63,'октябрь 2025'!$J$2:$J$2619,N$1)</f>
        <v>0</v>
      </c>
      <c r="O63" s="182">
        <f>SUMIFS('октябрь 2025'!$G$2:$G$2619,'октябрь 2025'!$D$2:$D$2619,$B63,'октябрь 2025'!$J$2:$J$2619,O$1)</f>
        <v>0</v>
      </c>
      <c r="P63" s="182">
        <f>SUMIFS('октябрь 2025'!$G$2:$G$2619,'октябрь 2025'!$D$2:$D$2619,$B63,'октябрь 2025'!$J$2:$J$2619,P$1)</f>
        <v>0</v>
      </c>
      <c r="Q63" s="182">
        <f>SUMIFS('октябрь 2025'!$G$2:$G$2619,'октябрь 2025'!$D$2:$D$2619,$B63,'октябрь 2025'!$J$2:$J$2619,Q$1)</f>
        <v>0</v>
      </c>
      <c r="R63" s="182">
        <f>SUMIFS('октябрь 2025'!$G$2:$G$2619,'октябрь 2025'!$D$2:$D$2619,$B63,'октябрь 2025'!$J$2:$J$2619,R$1)</f>
        <v>0</v>
      </c>
      <c r="S63" s="182">
        <f>SUMIFS('октябрь 2025'!$G$2:$G$2619,'октябрь 2025'!$D$2:$D$2619,$B63,'октябрь 2025'!$J$2:$J$2619,S$1)</f>
        <v>0</v>
      </c>
      <c r="T63" s="182">
        <f>SUMIFS('октябрь 2025'!$G$2:$G$2619,'октябрь 2025'!$D$2:$D$2619,$B63,'октябрь 2025'!$J$2:$J$2619,T$1)</f>
        <v>0</v>
      </c>
      <c r="U63" s="182">
        <f>SUMIFS('октябрь 2025'!$G$2:$G$2619,'октябрь 2025'!$D$2:$D$2619,$B63,'октябрь 2025'!$J$2:$J$2619,U$1)</f>
        <v>0</v>
      </c>
      <c r="V63" s="182">
        <f>SUMIFS('октябрь 2025'!$G$2:$G$2619,'октябрь 2025'!$D$2:$D$2619,$B63,'октябрь 2025'!$J$2:$J$2619,V$1)</f>
        <v>0</v>
      </c>
      <c r="W63" s="182">
        <f>SUMIFS('октябрь 2025'!$G$2:$G$2619,'октябрь 2025'!$D$2:$D$2619,$B63,'октябрь 2025'!$J$2:$J$2619,W$1)</f>
        <v>0</v>
      </c>
      <c r="X63" s="182">
        <f>SUMIFS('октябрь 2025'!$G$2:$G$2619,'октябрь 2025'!$D$2:$D$2619,$B63,'октябрь 2025'!$J$2:$J$2619,X$1)</f>
        <v>0</v>
      </c>
      <c r="Y63" s="182">
        <f>SUMIFS('октябрь 2025'!$G$2:$G$2619,'октябрь 2025'!$D$2:$D$2619,$B63,'октябрь 2025'!$J$2:$J$2619,Y$1)</f>
        <v>0</v>
      </c>
      <c r="Z63" s="182">
        <f>SUMIFS('октябрь 2025'!$G$2:$G$2619,'октябрь 2025'!$D$2:$D$2619,$B63,'октябрь 2025'!$J$2:$J$2619,Z$1)</f>
        <v>0</v>
      </c>
      <c r="AA63" s="182">
        <f>SUMIFS('октябрь 2025'!$G$2:$G$2619,'октябрь 2025'!$D$2:$D$2619,$B63,'октябрь 2025'!$J$2:$J$2619,AA$1)</f>
        <v>0</v>
      </c>
      <c r="AB63" s="182">
        <f>SUMIFS('октябрь 2025'!$G$2:$G$2619,'октябрь 2025'!$D$2:$D$2619,$B63,'октябрь 2025'!$J$2:$J$2619,AB$1)</f>
        <v>0</v>
      </c>
      <c r="AC63" s="182">
        <f>SUMIFS('октябрь 2025'!$G$2:$G$2619,'октябрь 2025'!$D$2:$D$2619,$B63,'октябрь 2025'!$J$2:$J$2619,AC$1)</f>
        <v>0</v>
      </c>
      <c r="AD63" s="182">
        <f>SUMIFS('октябрь 2025'!$G$2:$G$2619,'октябрь 2025'!$D$2:$D$2619,$B63,'октябрь 2025'!$J$2:$J$2619,AD$1)</f>
        <v>0</v>
      </c>
      <c r="AE63" s="182">
        <f>SUMIFS('октябрь 2025'!$G$2:$G$2619,'октябрь 2025'!$D$2:$D$2619,$B63,'октябрь 2025'!$J$2:$J$2619,AE$1)</f>
        <v>0</v>
      </c>
      <c r="AF63" s="182">
        <f>SUMIFS('октябрь 2025'!$G$2:$G$2619,'октябрь 2025'!$D$2:$D$2619,$B63,'октябрь 2025'!$J$2:$J$2619,AF$1)</f>
        <v>0</v>
      </c>
      <c r="AG63" s="182">
        <f>SUMIFS('октябрь 2025'!$G$2:$G$2619,'октябрь 2025'!$D$2:$D$2619,$B63,'октябрь 2025'!$J$2:$J$2619,AG$1)</f>
        <v>0</v>
      </c>
      <c r="AH63" s="182">
        <f>SUMIFS('октябрь 2025'!$G$2:$G$2619,'октябрь 2025'!$D$2:$D$2619,$B63,'октябрь 2025'!$J$2:$J$2619,AH$1)</f>
        <v>0</v>
      </c>
      <c r="AI63" s="20">
        <f t="shared" si="1"/>
        <v>0</v>
      </c>
    </row>
    <row r="64" spans="2:35" ht="15" customHeight="1" x14ac:dyDescent="0.25">
      <c r="B64" s="136" t="s">
        <v>1260</v>
      </c>
      <c r="C64" s="132">
        <v>10</v>
      </c>
      <c r="D64" s="182">
        <f>SUMIFS('октябрь 2025'!$G$2:$G$2619,'октябрь 2025'!$D$2:$D$2619,$B64,'октябрь 2025'!$J$2:$J$2619,D$1)</f>
        <v>0</v>
      </c>
      <c r="E64" s="182">
        <f>SUMIFS('октябрь 2025'!$G$2:$G$2619,'октябрь 2025'!$D$2:$D$2619,$B64,'октябрь 2025'!$J$2:$J$2619,E$1)</f>
        <v>0</v>
      </c>
      <c r="F64" s="182">
        <f>SUMIFS('октябрь 2025'!$G$2:$G$2619,'октябрь 2025'!$D$2:$D$2619,$B64,'октябрь 2025'!$J$2:$J$2619,F$1)</f>
        <v>0</v>
      </c>
      <c r="G64" s="182">
        <f>SUMIFS('октябрь 2025'!$G$2:$G$2619,'октябрь 2025'!$D$2:$D$2619,$B64,'октябрь 2025'!$J$2:$J$2619,G$1)</f>
        <v>0</v>
      </c>
      <c r="H64" s="182">
        <f>SUMIFS('октябрь 2025'!$G$2:$G$2619,'октябрь 2025'!$D$2:$D$2619,$B64,'октябрь 2025'!$J$2:$J$2619,H$1)</f>
        <v>0</v>
      </c>
      <c r="I64" s="182">
        <f>SUMIFS('октябрь 2025'!$G$2:$G$2619,'октябрь 2025'!$D$2:$D$2619,$B64,'октябрь 2025'!$J$2:$J$2619,I$1)</f>
        <v>0</v>
      </c>
      <c r="J64" s="182">
        <f>SUMIFS('октябрь 2025'!$G$2:$G$2619,'октябрь 2025'!$D$2:$D$2619,$B64,'октябрь 2025'!$J$2:$J$2619,J$1)</f>
        <v>0</v>
      </c>
      <c r="K64" s="182">
        <f>SUMIFS('октябрь 2025'!$G$2:$G$2619,'октябрь 2025'!$D$2:$D$2619,$B64,'октябрь 2025'!$J$2:$J$2619,K$1)</f>
        <v>0</v>
      </c>
      <c r="L64" s="182">
        <f>SUMIFS('октябрь 2025'!$G$2:$G$2619,'октябрь 2025'!$D$2:$D$2619,$B64,'октябрь 2025'!$J$2:$J$2619,L$1)</f>
        <v>0</v>
      </c>
      <c r="M64" s="182">
        <f>SUMIFS('октябрь 2025'!$G$2:$G$2619,'октябрь 2025'!$D$2:$D$2619,$B64,'октябрь 2025'!$J$2:$J$2619,M$1)</f>
        <v>0</v>
      </c>
      <c r="N64" s="182">
        <f>SUMIFS('октябрь 2025'!$G$2:$G$2619,'октябрь 2025'!$D$2:$D$2619,$B64,'октябрь 2025'!$J$2:$J$2619,N$1)</f>
        <v>0</v>
      </c>
      <c r="O64" s="182">
        <f>SUMIFS('октябрь 2025'!$G$2:$G$2619,'октябрь 2025'!$D$2:$D$2619,$B64,'октябрь 2025'!$J$2:$J$2619,O$1)</f>
        <v>0</v>
      </c>
      <c r="P64" s="182">
        <f>SUMIFS('октябрь 2025'!$G$2:$G$2619,'октябрь 2025'!$D$2:$D$2619,$B64,'октябрь 2025'!$J$2:$J$2619,P$1)</f>
        <v>0</v>
      </c>
      <c r="Q64" s="182">
        <f>SUMIFS('октябрь 2025'!$G$2:$G$2619,'октябрь 2025'!$D$2:$D$2619,$B64,'октябрь 2025'!$J$2:$J$2619,Q$1)</f>
        <v>0</v>
      </c>
      <c r="R64" s="182">
        <f>SUMIFS('октябрь 2025'!$G$2:$G$2619,'октябрь 2025'!$D$2:$D$2619,$B64,'октябрь 2025'!$J$2:$J$2619,R$1)</f>
        <v>0</v>
      </c>
      <c r="S64" s="182">
        <f>SUMIFS('октябрь 2025'!$G$2:$G$2619,'октябрь 2025'!$D$2:$D$2619,$B64,'октябрь 2025'!$J$2:$J$2619,S$1)</f>
        <v>0</v>
      </c>
      <c r="T64" s="182">
        <f>SUMIFS('октябрь 2025'!$G$2:$G$2619,'октябрь 2025'!$D$2:$D$2619,$B64,'октябрь 2025'!$J$2:$J$2619,T$1)</f>
        <v>0</v>
      </c>
      <c r="U64" s="182">
        <f>SUMIFS('октябрь 2025'!$G$2:$G$2619,'октябрь 2025'!$D$2:$D$2619,$B64,'октябрь 2025'!$J$2:$J$2619,U$1)</f>
        <v>0</v>
      </c>
      <c r="V64" s="182">
        <f>SUMIFS('октябрь 2025'!$G$2:$G$2619,'октябрь 2025'!$D$2:$D$2619,$B64,'октябрь 2025'!$J$2:$J$2619,V$1)</f>
        <v>0</v>
      </c>
      <c r="W64" s="182">
        <f>SUMIFS('октябрь 2025'!$G$2:$G$2619,'октябрь 2025'!$D$2:$D$2619,$B64,'октябрь 2025'!$J$2:$J$2619,W$1)</f>
        <v>0</v>
      </c>
      <c r="X64" s="182">
        <f>SUMIFS('октябрь 2025'!$G$2:$G$2619,'октябрь 2025'!$D$2:$D$2619,$B64,'октябрь 2025'!$J$2:$J$2619,X$1)</f>
        <v>0</v>
      </c>
      <c r="Y64" s="182">
        <f>SUMIFS('октябрь 2025'!$G$2:$G$2619,'октябрь 2025'!$D$2:$D$2619,$B64,'октябрь 2025'!$J$2:$J$2619,Y$1)</f>
        <v>0</v>
      </c>
      <c r="Z64" s="182">
        <f>SUMIFS('октябрь 2025'!$G$2:$G$2619,'октябрь 2025'!$D$2:$D$2619,$B64,'октябрь 2025'!$J$2:$J$2619,Z$1)</f>
        <v>0</v>
      </c>
      <c r="AA64" s="182">
        <f>SUMIFS('октябрь 2025'!$G$2:$G$2619,'октябрь 2025'!$D$2:$D$2619,$B64,'октябрь 2025'!$J$2:$J$2619,AA$1)</f>
        <v>0</v>
      </c>
      <c r="AB64" s="182">
        <f>SUMIFS('октябрь 2025'!$G$2:$G$2619,'октябрь 2025'!$D$2:$D$2619,$B64,'октябрь 2025'!$J$2:$J$2619,AB$1)</f>
        <v>0</v>
      </c>
      <c r="AC64" s="182">
        <f>SUMIFS('октябрь 2025'!$G$2:$G$2619,'октябрь 2025'!$D$2:$D$2619,$B64,'октябрь 2025'!$J$2:$J$2619,AC$1)</f>
        <v>0</v>
      </c>
      <c r="AD64" s="182">
        <f>SUMIFS('октябрь 2025'!$G$2:$G$2619,'октябрь 2025'!$D$2:$D$2619,$B64,'октябрь 2025'!$J$2:$J$2619,AD$1)</f>
        <v>0</v>
      </c>
      <c r="AE64" s="182">
        <f>SUMIFS('октябрь 2025'!$G$2:$G$2619,'октябрь 2025'!$D$2:$D$2619,$B64,'октябрь 2025'!$J$2:$J$2619,AE$1)</f>
        <v>0</v>
      </c>
      <c r="AF64" s="182">
        <f>SUMIFS('октябрь 2025'!$G$2:$G$2619,'октябрь 2025'!$D$2:$D$2619,$B64,'октябрь 2025'!$J$2:$J$2619,AF$1)</f>
        <v>0</v>
      </c>
      <c r="AG64" s="182">
        <f>SUMIFS('октябрь 2025'!$G$2:$G$2619,'октябрь 2025'!$D$2:$D$2619,$B64,'октябрь 2025'!$J$2:$J$2619,AG$1)</f>
        <v>0</v>
      </c>
      <c r="AH64" s="182">
        <f>SUMIFS('октябрь 2025'!$G$2:$G$2619,'октябрь 2025'!$D$2:$D$2619,$B64,'октябрь 2025'!$J$2:$J$2619,AH$1)</f>
        <v>0</v>
      </c>
      <c r="AI64" s="20">
        <f t="shared" si="1"/>
        <v>0</v>
      </c>
    </row>
    <row r="65" spans="2:35" ht="15" customHeight="1" x14ac:dyDescent="0.25">
      <c r="B65" s="136" t="s">
        <v>1261</v>
      </c>
      <c r="C65" s="132">
        <v>10</v>
      </c>
      <c r="D65" s="182">
        <f>SUMIFS('октябрь 2025'!$G$2:$G$2619,'октябрь 2025'!$D$2:$D$2619,$B65,'октябрь 2025'!$J$2:$J$2619,D$1)</f>
        <v>0</v>
      </c>
      <c r="E65" s="182">
        <f>SUMIFS('октябрь 2025'!$G$2:$G$2619,'октябрь 2025'!$D$2:$D$2619,$B65,'октябрь 2025'!$J$2:$J$2619,E$1)</f>
        <v>0</v>
      </c>
      <c r="F65" s="182">
        <f>SUMIFS('октябрь 2025'!$G$2:$G$2619,'октябрь 2025'!$D$2:$D$2619,$B65,'октябрь 2025'!$J$2:$J$2619,F$1)</f>
        <v>0</v>
      </c>
      <c r="G65" s="182">
        <f>SUMIFS('октябрь 2025'!$G$2:$G$2619,'октябрь 2025'!$D$2:$D$2619,$B65,'октябрь 2025'!$J$2:$J$2619,G$1)</f>
        <v>0</v>
      </c>
      <c r="H65" s="182">
        <f>SUMIFS('октябрь 2025'!$G$2:$G$2619,'октябрь 2025'!$D$2:$D$2619,$B65,'октябрь 2025'!$J$2:$J$2619,H$1)</f>
        <v>0</v>
      </c>
      <c r="I65" s="182">
        <f>SUMIFS('октябрь 2025'!$G$2:$G$2619,'октябрь 2025'!$D$2:$D$2619,$B65,'октябрь 2025'!$J$2:$J$2619,I$1)</f>
        <v>0</v>
      </c>
      <c r="J65" s="182">
        <f>SUMIFS('октябрь 2025'!$G$2:$G$2619,'октябрь 2025'!$D$2:$D$2619,$B65,'октябрь 2025'!$J$2:$J$2619,J$1)</f>
        <v>0</v>
      </c>
      <c r="K65" s="182">
        <f>SUMIFS('октябрь 2025'!$G$2:$G$2619,'октябрь 2025'!$D$2:$D$2619,$B65,'октябрь 2025'!$J$2:$J$2619,K$1)</f>
        <v>0</v>
      </c>
      <c r="L65" s="182">
        <f>SUMIFS('октябрь 2025'!$G$2:$G$2619,'октябрь 2025'!$D$2:$D$2619,$B65,'октябрь 2025'!$J$2:$J$2619,L$1)</f>
        <v>0</v>
      </c>
      <c r="M65" s="182">
        <f>SUMIFS('октябрь 2025'!$G$2:$G$2619,'октябрь 2025'!$D$2:$D$2619,$B65,'октябрь 2025'!$J$2:$J$2619,M$1)</f>
        <v>0</v>
      </c>
      <c r="N65" s="182">
        <f>SUMIFS('октябрь 2025'!$G$2:$G$2619,'октябрь 2025'!$D$2:$D$2619,$B65,'октябрь 2025'!$J$2:$J$2619,N$1)</f>
        <v>0</v>
      </c>
      <c r="O65" s="182">
        <f>SUMIFS('октябрь 2025'!$G$2:$G$2619,'октябрь 2025'!$D$2:$D$2619,$B65,'октябрь 2025'!$J$2:$J$2619,O$1)</f>
        <v>0</v>
      </c>
      <c r="P65" s="182">
        <f>SUMIFS('октябрь 2025'!$G$2:$G$2619,'октябрь 2025'!$D$2:$D$2619,$B65,'октябрь 2025'!$J$2:$J$2619,P$1)</f>
        <v>0</v>
      </c>
      <c r="Q65" s="182">
        <f>SUMIFS('октябрь 2025'!$G$2:$G$2619,'октябрь 2025'!$D$2:$D$2619,$B65,'октябрь 2025'!$J$2:$J$2619,Q$1)</f>
        <v>0</v>
      </c>
      <c r="R65" s="182">
        <f>SUMIFS('октябрь 2025'!$G$2:$G$2619,'октябрь 2025'!$D$2:$D$2619,$B65,'октябрь 2025'!$J$2:$J$2619,R$1)</f>
        <v>0</v>
      </c>
      <c r="S65" s="182">
        <f>SUMIFS('октябрь 2025'!$G$2:$G$2619,'октябрь 2025'!$D$2:$D$2619,$B65,'октябрь 2025'!$J$2:$J$2619,S$1)</f>
        <v>0</v>
      </c>
      <c r="T65" s="182">
        <f>SUMIFS('октябрь 2025'!$G$2:$G$2619,'октябрь 2025'!$D$2:$D$2619,$B65,'октябрь 2025'!$J$2:$J$2619,T$1)</f>
        <v>0</v>
      </c>
      <c r="U65" s="182">
        <f>SUMIFS('октябрь 2025'!$G$2:$G$2619,'октябрь 2025'!$D$2:$D$2619,$B65,'октябрь 2025'!$J$2:$J$2619,U$1)</f>
        <v>0</v>
      </c>
      <c r="V65" s="182">
        <f>SUMIFS('октябрь 2025'!$G$2:$G$2619,'октябрь 2025'!$D$2:$D$2619,$B65,'октябрь 2025'!$J$2:$J$2619,V$1)</f>
        <v>0</v>
      </c>
      <c r="W65" s="182">
        <f>SUMIFS('октябрь 2025'!$G$2:$G$2619,'октябрь 2025'!$D$2:$D$2619,$B65,'октябрь 2025'!$J$2:$J$2619,W$1)</f>
        <v>0</v>
      </c>
      <c r="X65" s="182">
        <f>SUMIFS('октябрь 2025'!$G$2:$G$2619,'октябрь 2025'!$D$2:$D$2619,$B65,'октябрь 2025'!$J$2:$J$2619,X$1)</f>
        <v>0</v>
      </c>
      <c r="Y65" s="182">
        <f>SUMIFS('октябрь 2025'!$G$2:$G$2619,'октябрь 2025'!$D$2:$D$2619,$B65,'октябрь 2025'!$J$2:$J$2619,Y$1)</f>
        <v>0</v>
      </c>
      <c r="Z65" s="182">
        <f>SUMIFS('октябрь 2025'!$G$2:$G$2619,'октябрь 2025'!$D$2:$D$2619,$B65,'октябрь 2025'!$J$2:$J$2619,Z$1)</f>
        <v>0</v>
      </c>
      <c r="AA65" s="182">
        <f>SUMIFS('октябрь 2025'!$G$2:$G$2619,'октябрь 2025'!$D$2:$D$2619,$B65,'октябрь 2025'!$J$2:$J$2619,AA$1)</f>
        <v>0</v>
      </c>
      <c r="AB65" s="182">
        <f>SUMIFS('октябрь 2025'!$G$2:$G$2619,'октябрь 2025'!$D$2:$D$2619,$B65,'октябрь 2025'!$J$2:$J$2619,AB$1)</f>
        <v>0</v>
      </c>
      <c r="AC65" s="182">
        <f>SUMIFS('октябрь 2025'!$G$2:$G$2619,'октябрь 2025'!$D$2:$D$2619,$B65,'октябрь 2025'!$J$2:$J$2619,AC$1)</f>
        <v>0</v>
      </c>
      <c r="AD65" s="182">
        <f>SUMIFS('октябрь 2025'!$G$2:$G$2619,'октябрь 2025'!$D$2:$D$2619,$B65,'октябрь 2025'!$J$2:$J$2619,AD$1)</f>
        <v>0</v>
      </c>
      <c r="AE65" s="182">
        <f>SUMIFS('октябрь 2025'!$G$2:$G$2619,'октябрь 2025'!$D$2:$D$2619,$B65,'октябрь 2025'!$J$2:$J$2619,AE$1)</f>
        <v>0</v>
      </c>
      <c r="AF65" s="182">
        <f>SUMIFS('октябрь 2025'!$G$2:$G$2619,'октябрь 2025'!$D$2:$D$2619,$B65,'октябрь 2025'!$J$2:$J$2619,AF$1)</f>
        <v>0</v>
      </c>
      <c r="AG65" s="182">
        <f>SUMIFS('октябрь 2025'!$G$2:$G$2619,'октябрь 2025'!$D$2:$D$2619,$B65,'октябрь 2025'!$J$2:$J$2619,AG$1)</f>
        <v>0</v>
      </c>
      <c r="AH65" s="182">
        <f>SUMIFS('октябрь 2025'!$G$2:$G$2619,'октябрь 2025'!$D$2:$D$2619,$B65,'октябрь 2025'!$J$2:$J$2619,AH$1)</f>
        <v>0</v>
      </c>
      <c r="AI65" s="20">
        <f t="shared" si="1"/>
        <v>0</v>
      </c>
    </row>
    <row r="66" spans="2:35" ht="15" customHeight="1" x14ac:dyDescent="0.25">
      <c r="B66" s="136"/>
      <c r="C66" s="132"/>
      <c r="D66" s="182">
        <f>SUMIFS('сентябрь 2025'!$G$2:$G$2497,'сентябрь 2025'!$D$2:$D$2497,$B66,'сентябрь 2025'!$J$2:$J$2497,D$1)</f>
        <v>0</v>
      </c>
      <c r="E66" s="182">
        <f>SUMIFS('сентябрь 2025'!$G$2:$G$2497,'сентябрь 2025'!$D$2:$D$2497,$B66,'сентябрь 2025'!$J$2:$J$2497,E$1)</f>
        <v>0</v>
      </c>
      <c r="F66" s="182">
        <f>SUMIFS('сентябрь 2025'!$G$2:$G$2497,'сентябрь 2025'!$D$2:$D$2497,$B66,'сентябрь 2025'!$J$2:$J$2497,F$1)</f>
        <v>0</v>
      </c>
      <c r="G66" s="182">
        <f>SUMIFS('сентябрь 2025'!$G$2:$G$2497,'сентябрь 2025'!$D$2:$D$2497,$B66,'сентябрь 2025'!$J$2:$J$2497,G$1)</f>
        <v>0</v>
      </c>
      <c r="H66" s="182">
        <f>SUMIFS('сентябрь 2025'!$G$2:$G$2497,'сентябрь 2025'!$D$2:$D$2497,$B66,'сентябрь 2025'!$J$2:$J$2497,H$1)</f>
        <v>0</v>
      </c>
      <c r="I66" s="182">
        <f>SUMIFS('сентябрь 2025'!$G$2:$G$2497,'сентябрь 2025'!$D$2:$D$2497,$B66,'сентябрь 2025'!$J$2:$J$2497,I$1)</f>
        <v>0</v>
      </c>
      <c r="J66" s="182">
        <f>SUMIFS('сентябрь 2025'!$G$2:$G$2497,'сентябрь 2025'!$D$2:$D$2497,$B66,'сентябрь 2025'!$J$2:$J$2497,J$1)</f>
        <v>0</v>
      </c>
      <c r="K66" s="182">
        <f>SUMIFS('сентябрь 2025'!$G$2:$G$2497,'сентябрь 2025'!$D$2:$D$2497,$B66,'сентябрь 2025'!$J$2:$J$2497,K$1)</f>
        <v>0</v>
      </c>
      <c r="L66" s="182">
        <f>SUMIFS('сентябрь 2025'!$G$2:$G$2497,'сентябрь 2025'!$D$2:$D$2497,$B66,'сентябрь 2025'!$J$2:$J$2497,L$1)</f>
        <v>0</v>
      </c>
      <c r="M66" s="182">
        <f>SUMIFS('сентябрь 2025'!$G$2:$G$2497,'сентябрь 2025'!$D$2:$D$2497,$B66,'сентябрь 2025'!$J$2:$J$2497,M$1)</f>
        <v>0</v>
      </c>
      <c r="N66" s="182">
        <f>SUMIFS('сентябрь 2025'!$G$2:$G$2497,'сентябрь 2025'!$D$2:$D$2497,$B66,'сентябрь 2025'!$J$2:$J$2497,N$1)</f>
        <v>0</v>
      </c>
      <c r="O66" s="182">
        <f>SUMIFS('сентябрь 2025'!$G$2:$G$2497,'сентябрь 2025'!$D$2:$D$2497,$B66,'сентябрь 2025'!$J$2:$J$2497,O$1)</f>
        <v>0</v>
      </c>
      <c r="P66" s="182">
        <f>SUMIFS('сентябрь 2025'!$G$2:$G$2497,'сентябрь 2025'!$D$2:$D$2497,$B66,'сентябрь 2025'!$J$2:$J$2497,P$1)</f>
        <v>0</v>
      </c>
      <c r="Q66" s="182">
        <f>SUMIFS('сентябрь 2025'!$G$2:$G$2497,'сентябрь 2025'!$D$2:$D$2497,$B66,'сентябрь 2025'!$J$2:$J$2497,Q$1)</f>
        <v>0</v>
      </c>
      <c r="R66" s="182">
        <f>SUMIFS('сентябрь 2025'!$G$2:$G$2497,'сентябрь 2025'!$D$2:$D$2497,$B66,'сентябрь 2025'!$J$2:$J$2497,R$1)</f>
        <v>0</v>
      </c>
      <c r="S66" s="182">
        <f>SUMIFS('сентябрь 2025'!$G$2:$G$2497,'сентябрь 2025'!$D$2:$D$2497,$B66,'сентябрь 2025'!$J$2:$J$2497,S$1)</f>
        <v>0</v>
      </c>
      <c r="T66" s="182">
        <f>SUMIFS('сентябрь 2025'!$G$2:$G$2497,'сентябрь 2025'!$D$2:$D$2497,$B66,'сентябрь 2025'!$J$2:$J$2497,T$1)</f>
        <v>0</v>
      </c>
      <c r="U66" s="182">
        <f>SUMIFS('сентябрь 2025'!$G$2:$G$2497,'сентябрь 2025'!$D$2:$D$2497,$B66,'сентябрь 2025'!$J$2:$J$2497,U$1)</f>
        <v>0</v>
      </c>
      <c r="V66" s="182">
        <f>SUMIFS('сентябрь 2025'!$G$2:$G$2497,'сентябрь 2025'!$D$2:$D$2497,$B66,'сентябрь 2025'!$J$2:$J$2497,V$1)</f>
        <v>0</v>
      </c>
      <c r="W66" s="182">
        <f>SUMIFS('сентябрь 2025'!$G$2:$G$2497,'сентябрь 2025'!$D$2:$D$2497,$B66,'сентябрь 2025'!$J$2:$J$2497,W$1)</f>
        <v>0</v>
      </c>
      <c r="X66" s="182">
        <f>SUMIFS('сентябрь 2025'!$G$2:$G$2497,'сентябрь 2025'!$D$2:$D$2497,$B66,'сентябрь 2025'!$J$2:$J$2497,X$1)</f>
        <v>0</v>
      </c>
      <c r="Y66" s="182">
        <f>SUMIFS('сентябрь 2025'!$G$2:$G$2497,'сентябрь 2025'!$D$2:$D$2497,$B66,'сентябрь 2025'!$J$2:$J$2497,Y$1)</f>
        <v>0</v>
      </c>
      <c r="Z66" s="182">
        <f>SUMIFS('сентябрь 2025'!$G$2:$G$2497,'сентябрь 2025'!$D$2:$D$2497,$B66,'сентябрь 2025'!$J$2:$J$2497,Z$1)</f>
        <v>0</v>
      </c>
      <c r="AA66" s="182">
        <f>SUMIFS('сентябрь 2025'!$G$2:$G$2497,'сентябрь 2025'!$D$2:$D$2497,$B66,'сентябрь 2025'!$J$2:$J$2497,AA$1)</f>
        <v>0</v>
      </c>
      <c r="AB66" s="182">
        <f>SUMIFS('сентябрь 2025'!$G$2:$G$2497,'сентябрь 2025'!$D$2:$D$2497,$B66,'сентябрь 2025'!$J$2:$J$2497,AB$1)</f>
        <v>0</v>
      </c>
      <c r="AC66" s="182">
        <f>SUMIFS('сентябрь 2025'!$G$2:$G$2497,'сентябрь 2025'!$D$2:$D$2497,$B66,'сентябрь 2025'!$J$2:$J$2497,AC$1)</f>
        <v>0</v>
      </c>
      <c r="AD66" s="182">
        <f>SUMIFS('сентябрь 2025'!$G$2:$G$2497,'сентябрь 2025'!$D$2:$D$2497,$B66,'сентябрь 2025'!$J$2:$J$2497,AD$1)</f>
        <v>0</v>
      </c>
      <c r="AE66" s="182">
        <f>SUMIFS('сентябрь 2025'!$G$2:$G$2497,'сентябрь 2025'!$D$2:$D$2497,$B66,'сентябрь 2025'!$J$2:$J$2497,AE$1)</f>
        <v>0</v>
      </c>
      <c r="AF66" s="182">
        <f>SUMIFS('сентябрь 2025'!$G$2:$G$2497,'сентябрь 2025'!$D$2:$D$2497,$B66,'сентябрь 2025'!$J$2:$J$2497,AF$1)</f>
        <v>0</v>
      </c>
      <c r="AG66" s="182">
        <f>SUMIFS('сентябрь 2025'!$G$2:$G$2497,'сентябрь 2025'!$D$2:$D$2497,$B66,'сентябрь 2025'!$J$2:$J$2497,AG$1)</f>
        <v>0</v>
      </c>
      <c r="AH66" s="182">
        <f>SUMIFS('сентябрь 2025'!$G$2:$G$2497,'сентябрь 2025'!$D$2:$D$2497,$B66,'сентябрь 2025'!$J$2:$J$2497,AH$1)</f>
        <v>0</v>
      </c>
      <c r="AI66" s="20">
        <f t="shared" si="1"/>
        <v>0</v>
      </c>
    </row>
    <row r="67" spans="2:35" ht="15" customHeight="1" x14ac:dyDescent="0.25">
      <c r="B67" s="87" t="s">
        <v>160</v>
      </c>
      <c r="C67" s="86">
        <v>200</v>
      </c>
      <c r="D67" s="183">
        <f>SUMIFS('октябрь 2025'!$G$2:$G$2619,'октябрь 2025'!$D$2:$D$2619,$B67,'октябрь 2025'!$J$2:$J$2619,D$1)</f>
        <v>0</v>
      </c>
      <c r="E67" s="183">
        <f>SUMIFS('октябрь 2025'!$G$2:$G$2619,'октябрь 2025'!$D$2:$D$2619,$B67,'октябрь 2025'!$J$2:$J$2619,E$1)</f>
        <v>0</v>
      </c>
      <c r="F67" s="183">
        <f>SUMIFS('октябрь 2025'!$G$2:$G$2619,'октябрь 2025'!$D$2:$D$2619,$B67,'октябрь 2025'!$J$2:$J$2619,F$1)</f>
        <v>0</v>
      </c>
      <c r="G67" s="183">
        <f>SUMIFS('октябрь 2025'!$G$2:$G$2619,'октябрь 2025'!$D$2:$D$2619,$B67,'октябрь 2025'!$J$2:$J$2619,G$1)</f>
        <v>0</v>
      </c>
      <c r="H67" s="183">
        <f>SUMIFS('октябрь 2025'!$G$2:$G$2619,'октябрь 2025'!$D$2:$D$2619,$B67,'октябрь 2025'!$J$2:$J$2619,H$1)</f>
        <v>0</v>
      </c>
      <c r="I67" s="183">
        <f>SUMIFS('октябрь 2025'!$G$2:$G$2619,'октябрь 2025'!$D$2:$D$2619,$B67,'октябрь 2025'!$J$2:$J$2619,I$1)</f>
        <v>0</v>
      </c>
      <c r="J67" s="183">
        <f>SUMIFS('октябрь 2025'!$G$2:$G$2619,'октябрь 2025'!$D$2:$D$2619,$B67,'октябрь 2025'!$J$2:$J$2619,J$1)</f>
        <v>0</v>
      </c>
      <c r="K67" s="183">
        <f>SUMIFS('октябрь 2025'!$G$2:$G$2619,'октябрь 2025'!$D$2:$D$2619,$B67,'октябрь 2025'!$J$2:$J$2619,K$1)</f>
        <v>0</v>
      </c>
      <c r="L67" s="183">
        <f>SUMIFS('октябрь 2025'!$G$2:$G$2619,'октябрь 2025'!$D$2:$D$2619,$B67,'октябрь 2025'!$J$2:$J$2619,L$1)</f>
        <v>0</v>
      </c>
      <c r="M67" s="183">
        <f>SUMIFS('октябрь 2025'!$G$2:$G$2619,'октябрь 2025'!$D$2:$D$2619,$B67,'октябрь 2025'!$J$2:$J$2619,M$1)</f>
        <v>0</v>
      </c>
      <c r="N67" s="183">
        <f>SUMIFS('октябрь 2025'!$G$2:$G$2619,'октябрь 2025'!$D$2:$D$2619,$B67,'октябрь 2025'!$J$2:$J$2619,N$1)</f>
        <v>0</v>
      </c>
      <c r="O67" s="183">
        <f>SUMIFS('октябрь 2025'!$G$2:$G$2619,'октябрь 2025'!$D$2:$D$2619,$B67,'октябрь 2025'!$J$2:$J$2619,O$1)</f>
        <v>0</v>
      </c>
      <c r="P67" s="183">
        <f>SUMIFS('октябрь 2025'!$G$2:$G$2619,'октябрь 2025'!$D$2:$D$2619,$B67,'октябрь 2025'!$J$2:$J$2619,P$1)</f>
        <v>0</v>
      </c>
      <c r="Q67" s="183">
        <f>SUMIFS('октябрь 2025'!$G$2:$G$2619,'октябрь 2025'!$D$2:$D$2619,$B67,'октябрь 2025'!$J$2:$J$2619,Q$1)</f>
        <v>0</v>
      </c>
      <c r="R67" s="183">
        <f>SUMIFS('октябрь 2025'!$G$2:$G$2619,'октябрь 2025'!$D$2:$D$2619,$B67,'октябрь 2025'!$J$2:$J$2619,R$1)</f>
        <v>0</v>
      </c>
      <c r="S67" s="183">
        <f>SUMIFS('октябрь 2025'!$G$2:$G$2619,'октябрь 2025'!$D$2:$D$2619,$B67,'октябрь 2025'!$J$2:$J$2619,S$1)</f>
        <v>0</v>
      </c>
      <c r="T67" s="183">
        <f>SUMIFS('октябрь 2025'!$G$2:$G$2619,'октябрь 2025'!$D$2:$D$2619,$B67,'октябрь 2025'!$J$2:$J$2619,T$1)</f>
        <v>0</v>
      </c>
      <c r="U67" s="183">
        <f>SUMIFS('октябрь 2025'!$G$2:$G$2619,'октябрь 2025'!$D$2:$D$2619,$B67,'октябрь 2025'!$J$2:$J$2619,U$1)</f>
        <v>0</v>
      </c>
      <c r="V67" s="183">
        <f>SUMIFS('октябрь 2025'!$G$2:$G$2619,'октябрь 2025'!$D$2:$D$2619,$B67,'октябрь 2025'!$J$2:$J$2619,V$1)</f>
        <v>0</v>
      </c>
      <c r="W67" s="183">
        <f>SUMIFS('октябрь 2025'!$G$2:$G$2619,'октябрь 2025'!$D$2:$D$2619,$B67,'октябрь 2025'!$J$2:$J$2619,W$1)</f>
        <v>0</v>
      </c>
      <c r="X67" s="183">
        <f>SUMIFS('октябрь 2025'!$G$2:$G$2619,'октябрь 2025'!$D$2:$D$2619,$B67,'октябрь 2025'!$J$2:$J$2619,X$1)</f>
        <v>0</v>
      </c>
      <c r="Y67" s="183">
        <f>SUMIFS('октябрь 2025'!$G$2:$G$2619,'октябрь 2025'!$D$2:$D$2619,$B67,'октябрь 2025'!$J$2:$J$2619,Y$1)</f>
        <v>0</v>
      </c>
      <c r="Z67" s="183">
        <f>SUMIFS('октябрь 2025'!$G$2:$G$2619,'октябрь 2025'!$D$2:$D$2619,$B67,'октябрь 2025'!$J$2:$J$2619,Z$1)</f>
        <v>0</v>
      </c>
      <c r="AA67" s="183">
        <f>SUMIFS('октябрь 2025'!$G$2:$G$2619,'октябрь 2025'!$D$2:$D$2619,$B67,'октябрь 2025'!$J$2:$J$2619,AA$1)</f>
        <v>0</v>
      </c>
      <c r="AB67" s="183">
        <f>SUMIFS('октябрь 2025'!$G$2:$G$2619,'октябрь 2025'!$D$2:$D$2619,$B67,'октябрь 2025'!$J$2:$J$2619,AB$1)</f>
        <v>0</v>
      </c>
      <c r="AC67" s="183">
        <f>SUMIFS('октябрь 2025'!$G$2:$G$2619,'октябрь 2025'!$D$2:$D$2619,$B67,'октябрь 2025'!$J$2:$J$2619,AC$1)</f>
        <v>0</v>
      </c>
      <c r="AD67" s="183">
        <f>SUMIFS('октябрь 2025'!$G$2:$G$2619,'октябрь 2025'!$D$2:$D$2619,$B67,'октябрь 2025'!$J$2:$J$2619,AD$1)</f>
        <v>0</v>
      </c>
      <c r="AE67" s="183">
        <f>SUMIFS('октябрь 2025'!$G$2:$G$2619,'октябрь 2025'!$D$2:$D$2619,$B67,'октябрь 2025'!$J$2:$J$2619,AE$1)</f>
        <v>0</v>
      </c>
      <c r="AF67" s="183">
        <f>SUMIFS('октябрь 2025'!$G$2:$G$2619,'октябрь 2025'!$D$2:$D$2619,$B67,'октябрь 2025'!$J$2:$J$2619,AF$1)</f>
        <v>0</v>
      </c>
      <c r="AG67" s="183">
        <f>SUMIFS('октябрь 2025'!$G$2:$G$2619,'октябрь 2025'!$D$2:$D$2619,$B67,'октябрь 2025'!$J$2:$J$2619,AG$1)</f>
        <v>0</v>
      </c>
      <c r="AH67" s="183">
        <f>SUMIFS('октябрь 2025'!$G$2:$G$2619,'октябрь 2025'!$D$2:$D$2619,$B67,'октябрь 2025'!$J$2:$J$2619,AH$1)</f>
        <v>0</v>
      </c>
      <c r="AI67" s="20">
        <f t="shared" si="1"/>
        <v>0</v>
      </c>
    </row>
    <row r="68" spans="2:35" ht="15" customHeight="1" x14ac:dyDescent="0.25">
      <c r="B68" s="87" t="s">
        <v>308</v>
      </c>
      <c r="C68" s="86">
        <v>50</v>
      </c>
      <c r="D68" s="183">
        <f>SUMIFS('октябрь 2025'!$G$2:$G$2619,'октябрь 2025'!$D$2:$D$2619,$B68,'октябрь 2025'!$J$2:$J$2619,D$1)</f>
        <v>0</v>
      </c>
      <c r="E68" s="183">
        <f>SUMIFS('октябрь 2025'!$G$2:$G$2619,'октябрь 2025'!$D$2:$D$2619,$B68,'октябрь 2025'!$J$2:$J$2619,E$1)</f>
        <v>0</v>
      </c>
      <c r="F68" s="183">
        <f>SUMIFS('октябрь 2025'!$G$2:$G$2619,'октябрь 2025'!$D$2:$D$2619,$B68,'октябрь 2025'!$J$2:$J$2619,F$1)</f>
        <v>0</v>
      </c>
      <c r="G68" s="183">
        <f>SUMIFS('октябрь 2025'!$G$2:$G$2619,'октябрь 2025'!$D$2:$D$2619,$B68,'октябрь 2025'!$J$2:$J$2619,G$1)</f>
        <v>0</v>
      </c>
      <c r="H68" s="183">
        <f>SUMIFS('октябрь 2025'!$G$2:$G$2619,'октябрь 2025'!$D$2:$D$2619,$B68,'октябрь 2025'!$J$2:$J$2619,H$1)</f>
        <v>0</v>
      </c>
      <c r="I68" s="183">
        <f>SUMIFS('октябрь 2025'!$G$2:$G$2619,'октябрь 2025'!$D$2:$D$2619,$B68,'октябрь 2025'!$J$2:$J$2619,I$1)</f>
        <v>0</v>
      </c>
      <c r="J68" s="183">
        <f>SUMIFS('октябрь 2025'!$G$2:$G$2619,'октябрь 2025'!$D$2:$D$2619,$B68,'октябрь 2025'!$J$2:$J$2619,J$1)</f>
        <v>0</v>
      </c>
      <c r="K68" s="183">
        <f>SUMIFS('октябрь 2025'!$G$2:$G$2619,'октябрь 2025'!$D$2:$D$2619,$B68,'октябрь 2025'!$J$2:$J$2619,K$1)</f>
        <v>0</v>
      </c>
      <c r="L68" s="183">
        <f>SUMIFS('октябрь 2025'!$G$2:$G$2619,'октябрь 2025'!$D$2:$D$2619,$B68,'октябрь 2025'!$J$2:$J$2619,L$1)</f>
        <v>0</v>
      </c>
      <c r="M68" s="183">
        <f>SUMIFS('октябрь 2025'!$G$2:$G$2619,'октябрь 2025'!$D$2:$D$2619,$B68,'октябрь 2025'!$J$2:$J$2619,M$1)</f>
        <v>0</v>
      </c>
      <c r="N68" s="183">
        <f>SUMIFS('октябрь 2025'!$G$2:$G$2619,'октябрь 2025'!$D$2:$D$2619,$B68,'октябрь 2025'!$J$2:$J$2619,N$1)</f>
        <v>0</v>
      </c>
      <c r="O68" s="183">
        <f>SUMIFS('октябрь 2025'!$G$2:$G$2619,'октябрь 2025'!$D$2:$D$2619,$B68,'октябрь 2025'!$J$2:$J$2619,O$1)</f>
        <v>0</v>
      </c>
      <c r="P68" s="183">
        <f>SUMIFS('октябрь 2025'!$G$2:$G$2619,'октябрь 2025'!$D$2:$D$2619,$B68,'октябрь 2025'!$J$2:$J$2619,P$1)</f>
        <v>0</v>
      </c>
      <c r="Q68" s="183">
        <f>SUMIFS('октябрь 2025'!$G$2:$G$2619,'октябрь 2025'!$D$2:$D$2619,$B68,'октябрь 2025'!$J$2:$J$2619,Q$1)</f>
        <v>0</v>
      </c>
      <c r="R68" s="183">
        <f>SUMIFS('октябрь 2025'!$G$2:$G$2619,'октябрь 2025'!$D$2:$D$2619,$B68,'октябрь 2025'!$J$2:$J$2619,R$1)</f>
        <v>0</v>
      </c>
      <c r="S68" s="183">
        <f>SUMIFS('октябрь 2025'!$G$2:$G$2619,'октябрь 2025'!$D$2:$D$2619,$B68,'октябрь 2025'!$J$2:$J$2619,S$1)</f>
        <v>0</v>
      </c>
      <c r="T68" s="183">
        <f>SUMIFS('октябрь 2025'!$G$2:$G$2619,'октябрь 2025'!$D$2:$D$2619,$B68,'октябрь 2025'!$J$2:$J$2619,T$1)</f>
        <v>0</v>
      </c>
      <c r="U68" s="183">
        <f>SUMIFS('октябрь 2025'!$G$2:$G$2619,'октябрь 2025'!$D$2:$D$2619,$B68,'октябрь 2025'!$J$2:$J$2619,U$1)</f>
        <v>0</v>
      </c>
      <c r="V68" s="183">
        <f>SUMIFS('октябрь 2025'!$G$2:$G$2619,'октябрь 2025'!$D$2:$D$2619,$B68,'октябрь 2025'!$J$2:$J$2619,V$1)</f>
        <v>0</v>
      </c>
      <c r="W68" s="183">
        <f>SUMIFS('октябрь 2025'!$G$2:$G$2619,'октябрь 2025'!$D$2:$D$2619,$B68,'октябрь 2025'!$J$2:$J$2619,W$1)</f>
        <v>0</v>
      </c>
      <c r="X68" s="183">
        <f>SUMIFS('октябрь 2025'!$G$2:$G$2619,'октябрь 2025'!$D$2:$D$2619,$B68,'октябрь 2025'!$J$2:$J$2619,X$1)</f>
        <v>0</v>
      </c>
      <c r="Y68" s="183">
        <f>SUMIFS('октябрь 2025'!$G$2:$G$2619,'октябрь 2025'!$D$2:$D$2619,$B68,'октябрь 2025'!$J$2:$J$2619,Y$1)</f>
        <v>0</v>
      </c>
      <c r="Z68" s="183">
        <f>SUMIFS('октябрь 2025'!$G$2:$G$2619,'октябрь 2025'!$D$2:$D$2619,$B68,'октябрь 2025'!$J$2:$J$2619,Z$1)</f>
        <v>0</v>
      </c>
      <c r="AA68" s="183">
        <f>SUMIFS('октябрь 2025'!$G$2:$G$2619,'октябрь 2025'!$D$2:$D$2619,$B68,'октябрь 2025'!$J$2:$J$2619,AA$1)</f>
        <v>0</v>
      </c>
      <c r="AB68" s="183">
        <f>SUMIFS('октябрь 2025'!$G$2:$G$2619,'октябрь 2025'!$D$2:$D$2619,$B68,'октябрь 2025'!$J$2:$J$2619,AB$1)</f>
        <v>0</v>
      </c>
      <c r="AC68" s="183">
        <f>SUMIFS('октябрь 2025'!$G$2:$G$2619,'октябрь 2025'!$D$2:$D$2619,$B68,'октябрь 2025'!$J$2:$J$2619,AC$1)</f>
        <v>0</v>
      </c>
      <c r="AD68" s="183">
        <f>SUMIFS('октябрь 2025'!$G$2:$G$2619,'октябрь 2025'!$D$2:$D$2619,$B68,'октябрь 2025'!$J$2:$J$2619,AD$1)</f>
        <v>0</v>
      </c>
      <c r="AE68" s="183">
        <f>SUMIFS('октябрь 2025'!$G$2:$G$2619,'октябрь 2025'!$D$2:$D$2619,$B68,'октябрь 2025'!$J$2:$J$2619,AE$1)</f>
        <v>0</v>
      </c>
      <c r="AF68" s="183">
        <f>SUMIFS('октябрь 2025'!$G$2:$G$2619,'октябрь 2025'!$D$2:$D$2619,$B68,'октябрь 2025'!$J$2:$J$2619,AF$1)</f>
        <v>0</v>
      </c>
      <c r="AG68" s="183">
        <f>SUMIFS('октябрь 2025'!$G$2:$G$2619,'октябрь 2025'!$D$2:$D$2619,$B68,'октябрь 2025'!$J$2:$J$2619,AG$1)</f>
        <v>0</v>
      </c>
      <c r="AH68" s="183">
        <f>SUMIFS('октябрь 2025'!$G$2:$G$2619,'октябрь 2025'!$D$2:$D$2619,$B68,'октябрь 2025'!$J$2:$J$2619,AH$1)</f>
        <v>0</v>
      </c>
      <c r="AI68" s="20">
        <f t="shared" si="1"/>
        <v>0</v>
      </c>
    </row>
    <row r="69" spans="2:35" ht="15" customHeight="1" x14ac:dyDescent="0.25">
      <c r="B69" s="88" t="s">
        <v>198</v>
      </c>
      <c r="C69" s="86">
        <v>200</v>
      </c>
      <c r="D69" s="183">
        <f>SUMIFS('октябрь 2025'!$G$2:$G$2619,'октябрь 2025'!$D$2:$D$2619,$B69,'октябрь 2025'!$J$2:$J$2619,D$1)</f>
        <v>0</v>
      </c>
      <c r="E69" s="183">
        <f>SUMIFS('октябрь 2025'!$G$2:$G$2619,'октябрь 2025'!$D$2:$D$2619,$B69,'октябрь 2025'!$J$2:$J$2619,E$1)</f>
        <v>0</v>
      </c>
      <c r="F69" s="183">
        <f>SUMIFS('октябрь 2025'!$G$2:$G$2619,'октябрь 2025'!$D$2:$D$2619,$B69,'октябрь 2025'!$J$2:$J$2619,F$1)</f>
        <v>0</v>
      </c>
      <c r="G69" s="183">
        <f>SUMIFS('октябрь 2025'!$G$2:$G$2619,'октябрь 2025'!$D$2:$D$2619,$B69,'октябрь 2025'!$J$2:$J$2619,G$1)</f>
        <v>0</v>
      </c>
      <c r="H69" s="183">
        <f>SUMIFS('октябрь 2025'!$G$2:$G$2619,'октябрь 2025'!$D$2:$D$2619,$B69,'октябрь 2025'!$J$2:$J$2619,H$1)</f>
        <v>0</v>
      </c>
      <c r="I69" s="183">
        <f>SUMIFS('октябрь 2025'!$G$2:$G$2619,'октябрь 2025'!$D$2:$D$2619,$B69,'октябрь 2025'!$J$2:$J$2619,I$1)</f>
        <v>0</v>
      </c>
      <c r="J69" s="183">
        <f>SUMIFS('октябрь 2025'!$G$2:$G$2619,'октябрь 2025'!$D$2:$D$2619,$B69,'октябрь 2025'!$J$2:$J$2619,J$1)</f>
        <v>0</v>
      </c>
      <c r="K69" s="183">
        <f>SUMIFS('октябрь 2025'!$G$2:$G$2619,'октябрь 2025'!$D$2:$D$2619,$B69,'октябрь 2025'!$J$2:$J$2619,K$1)</f>
        <v>0</v>
      </c>
      <c r="L69" s="183">
        <f>SUMIFS('октябрь 2025'!$G$2:$G$2619,'октябрь 2025'!$D$2:$D$2619,$B69,'октябрь 2025'!$J$2:$J$2619,L$1)</f>
        <v>0</v>
      </c>
      <c r="M69" s="183">
        <f>SUMIFS('октябрь 2025'!$G$2:$G$2619,'октябрь 2025'!$D$2:$D$2619,$B69,'октябрь 2025'!$J$2:$J$2619,M$1)</f>
        <v>0</v>
      </c>
      <c r="N69" s="183">
        <f>SUMIFS('октябрь 2025'!$G$2:$G$2619,'октябрь 2025'!$D$2:$D$2619,$B69,'октябрь 2025'!$J$2:$J$2619,N$1)</f>
        <v>0</v>
      </c>
      <c r="O69" s="183">
        <f>SUMIFS('октябрь 2025'!$G$2:$G$2619,'октябрь 2025'!$D$2:$D$2619,$B69,'октябрь 2025'!$J$2:$J$2619,O$1)</f>
        <v>0</v>
      </c>
      <c r="P69" s="183">
        <f>SUMIFS('октябрь 2025'!$G$2:$G$2619,'октябрь 2025'!$D$2:$D$2619,$B69,'октябрь 2025'!$J$2:$J$2619,P$1)</f>
        <v>0</v>
      </c>
      <c r="Q69" s="183">
        <f>SUMIFS('октябрь 2025'!$G$2:$G$2619,'октябрь 2025'!$D$2:$D$2619,$B69,'октябрь 2025'!$J$2:$J$2619,Q$1)</f>
        <v>0</v>
      </c>
      <c r="R69" s="183">
        <f>SUMIFS('октябрь 2025'!$G$2:$G$2619,'октябрь 2025'!$D$2:$D$2619,$B69,'октябрь 2025'!$J$2:$J$2619,R$1)</f>
        <v>0</v>
      </c>
      <c r="S69" s="183">
        <f>SUMIFS('октябрь 2025'!$G$2:$G$2619,'октябрь 2025'!$D$2:$D$2619,$B69,'октябрь 2025'!$J$2:$J$2619,S$1)</f>
        <v>0</v>
      </c>
      <c r="T69" s="183">
        <f>SUMIFS('октябрь 2025'!$G$2:$G$2619,'октябрь 2025'!$D$2:$D$2619,$B69,'октябрь 2025'!$J$2:$J$2619,T$1)</f>
        <v>0</v>
      </c>
      <c r="U69" s="183">
        <f>SUMIFS('октябрь 2025'!$G$2:$G$2619,'октябрь 2025'!$D$2:$D$2619,$B69,'октябрь 2025'!$J$2:$J$2619,U$1)</f>
        <v>0</v>
      </c>
      <c r="V69" s="183">
        <f>SUMIFS('октябрь 2025'!$G$2:$G$2619,'октябрь 2025'!$D$2:$D$2619,$B69,'октябрь 2025'!$J$2:$J$2619,V$1)</f>
        <v>0</v>
      </c>
      <c r="W69" s="183">
        <f>SUMIFS('октябрь 2025'!$G$2:$G$2619,'октябрь 2025'!$D$2:$D$2619,$B69,'октябрь 2025'!$J$2:$J$2619,W$1)</f>
        <v>0</v>
      </c>
      <c r="X69" s="183">
        <f>SUMIFS('октябрь 2025'!$G$2:$G$2619,'октябрь 2025'!$D$2:$D$2619,$B69,'октябрь 2025'!$J$2:$J$2619,X$1)</f>
        <v>0</v>
      </c>
      <c r="Y69" s="183">
        <f>SUMIFS('октябрь 2025'!$G$2:$G$2619,'октябрь 2025'!$D$2:$D$2619,$B69,'октябрь 2025'!$J$2:$J$2619,Y$1)</f>
        <v>0</v>
      </c>
      <c r="Z69" s="183">
        <f>SUMIFS('октябрь 2025'!$G$2:$G$2619,'октябрь 2025'!$D$2:$D$2619,$B69,'октябрь 2025'!$J$2:$J$2619,Z$1)</f>
        <v>0</v>
      </c>
      <c r="AA69" s="183">
        <f>SUMIFS('октябрь 2025'!$G$2:$G$2619,'октябрь 2025'!$D$2:$D$2619,$B69,'октябрь 2025'!$J$2:$J$2619,AA$1)</f>
        <v>0</v>
      </c>
      <c r="AB69" s="183">
        <f>SUMIFS('октябрь 2025'!$G$2:$G$2619,'октябрь 2025'!$D$2:$D$2619,$B69,'октябрь 2025'!$J$2:$J$2619,AB$1)</f>
        <v>0</v>
      </c>
      <c r="AC69" s="183">
        <f>SUMIFS('октябрь 2025'!$G$2:$G$2619,'октябрь 2025'!$D$2:$D$2619,$B69,'октябрь 2025'!$J$2:$J$2619,AC$1)</f>
        <v>0</v>
      </c>
      <c r="AD69" s="183">
        <f>SUMIFS('октябрь 2025'!$G$2:$G$2619,'октябрь 2025'!$D$2:$D$2619,$B69,'октябрь 2025'!$J$2:$J$2619,AD$1)</f>
        <v>0</v>
      </c>
      <c r="AE69" s="183">
        <f>SUMIFS('октябрь 2025'!$G$2:$G$2619,'октябрь 2025'!$D$2:$D$2619,$B69,'октябрь 2025'!$J$2:$J$2619,AE$1)</f>
        <v>0</v>
      </c>
      <c r="AF69" s="183">
        <f>SUMIFS('октябрь 2025'!$G$2:$G$2619,'октябрь 2025'!$D$2:$D$2619,$B69,'октябрь 2025'!$J$2:$J$2619,AF$1)</f>
        <v>0</v>
      </c>
      <c r="AG69" s="183">
        <f>SUMIFS('октябрь 2025'!$G$2:$G$2619,'октябрь 2025'!$D$2:$D$2619,$B69,'октябрь 2025'!$J$2:$J$2619,AG$1)</f>
        <v>0</v>
      </c>
      <c r="AH69" s="183">
        <f>SUMIFS('октябрь 2025'!$G$2:$G$2619,'октябрь 2025'!$D$2:$D$2619,$B69,'октябрь 2025'!$J$2:$J$2619,AH$1)</f>
        <v>0</v>
      </c>
      <c r="AI69" s="20">
        <f t="shared" si="1"/>
        <v>0</v>
      </c>
    </row>
    <row r="70" spans="2:35" ht="15" customHeight="1" x14ac:dyDescent="0.25">
      <c r="B70" s="88" t="s">
        <v>207</v>
      </c>
      <c r="C70" s="86">
        <v>25</v>
      </c>
      <c r="D70" s="183">
        <f>SUMIFS('октябрь 2025'!$G$2:$G$2619,'октябрь 2025'!$D$2:$D$2619,$B70,'октябрь 2025'!$J$2:$J$2619,D$1)</f>
        <v>0</v>
      </c>
      <c r="E70" s="183">
        <f>SUMIFS('октябрь 2025'!$G$2:$G$2619,'октябрь 2025'!$D$2:$D$2619,$B70,'октябрь 2025'!$J$2:$J$2619,E$1)</f>
        <v>0</v>
      </c>
      <c r="F70" s="183">
        <f>SUMIFS('октябрь 2025'!$G$2:$G$2619,'октябрь 2025'!$D$2:$D$2619,$B70,'октябрь 2025'!$J$2:$J$2619,F$1)</f>
        <v>0</v>
      </c>
      <c r="G70" s="183">
        <f>SUMIFS('октябрь 2025'!$G$2:$G$2619,'октябрь 2025'!$D$2:$D$2619,$B70,'октябрь 2025'!$J$2:$J$2619,G$1)</f>
        <v>0</v>
      </c>
      <c r="H70" s="183">
        <f>SUMIFS('октябрь 2025'!$G$2:$G$2619,'октябрь 2025'!$D$2:$D$2619,$B70,'октябрь 2025'!$J$2:$J$2619,H$1)</f>
        <v>0</v>
      </c>
      <c r="I70" s="183">
        <f>SUMIFS('октябрь 2025'!$G$2:$G$2619,'октябрь 2025'!$D$2:$D$2619,$B70,'октябрь 2025'!$J$2:$J$2619,I$1)</f>
        <v>0</v>
      </c>
      <c r="J70" s="183">
        <f>SUMIFS('октябрь 2025'!$G$2:$G$2619,'октябрь 2025'!$D$2:$D$2619,$B70,'октябрь 2025'!$J$2:$J$2619,J$1)</f>
        <v>0</v>
      </c>
      <c r="K70" s="183">
        <f>SUMIFS('октябрь 2025'!$G$2:$G$2619,'октябрь 2025'!$D$2:$D$2619,$B70,'октябрь 2025'!$J$2:$J$2619,K$1)</f>
        <v>0</v>
      </c>
      <c r="L70" s="183">
        <f>SUMIFS('октябрь 2025'!$G$2:$G$2619,'октябрь 2025'!$D$2:$D$2619,$B70,'октябрь 2025'!$J$2:$J$2619,L$1)</f>
        <v>0</v>
      </c>
      <c r="M70" s="183">
        <f>SUMIFS('октябрь 2025'!$G$2:$G$2619,'октябрь 2025'!$D$2:$D$2619,$B70,'октябрь 2025'!$J$2:$J$2619,M$1)</f>
        <v>0</v>
      </c>
      <c r="N70" s="183">
        <f>SUMIFS('октябрь 2025'!$G$2:$G$2619,'октябрь 2025'!$D$2:$D$2619,$B70,'октябрь 2025'!$J$2:$J$2619,N$1)</f>
        <v>0</v>
      </c>
      <c r="O70" s="183">
        <f>SUMIFS('октябрь 2025'!$G$2:$G$2619,'октябрь 2025'!$D$2:$D$2619,$B70,'октябрь 2025'!$J$2:$J$2619,O$1)</f>
        <v>0</v>
      </c>
      <c r="P70" s="183">
        <f>SUMIFS('октябрь 2025'!$G$2:$G$2619,'октябрь 2025'!$D$2:$D$2619,$B70,'октябрь 2025'!$J$2:$J$2619,P$1)</f>
        <v>0</v>
      </c>
      <c r="Q70" s="183">
        <f>SUMIFS('октябрь 2025'!$G$2:$G$2619,'октябрь 2025'!$D$2:$D$2619,$B70,'октябрь 2025'!$J$2:$J$2619,Q$1)</f>
        <v>0</v>
      </c>
      <c r="R70" s="183">
        <f>SUMIFS('октябрь 2025'!$G$2:$G$2619,'октябрь 2025'!$D$2:$D$2619,$B70,'октябрь 2025'!$J$2:$J$2619,R$1)</f>
        <v>0</v>
      </c>
      <c r="S70" s="183">
        <f>SUMIFS('октябрь 2025'!$G$2:$G$2619,'октябрь 2025'!$D$2:$D$2619,$B70,'октябрь 2025'!$J$2:$J$2619,S$1)</f>
        <v>0</v>
      </c>
      <c r="T70" s="183">
        <f>SUMIFS('октябрь 2025'!$G$2:$G$2619,'октябрь 2025'!$D$2:$D$2619,$B70,'октябрь 2025'!$J$2:$J$2619,T$1)</f>
        <v>0</v>
      </c>
      <c r="U70" s="183">
        <f>SUMIFS('октябрь 2025'!$G$2:$G$2619,'октябрь 2025'!$D$2:$D$2619,$B70,'октябрь 2025'!$J$2:$J$2619,U$1)</f>
        <v>0</v>
      </c>
      <c r="V70" s="183">
        <f>SUMIFS('октябрь 2025'!$G$2:$G$2619,'октябрь 2025'!$D$2:$D$2619,$B70,'октябрь 2025'!$J$2:$J$2619,V$1)</f>
        <v>0</v>
      </c>
      <c r="W70" s="183">
        <f>SUMIFS('октябрь 2025'!$G$2:$G$2619,'октябрь 2025'!$D$2:$D$2619,$B70,'октябрь 2025'!$J$2:$J$2619,W$1)</f>
        <v>0</v>
      </c>
      <c r="X70" s="183">
        <f>SUMIFS('октябрь 2025'!$G$2:$G$2619,'октябрь 2025'!$D$2:$D$2619,$B70,'октябрь 2025'!$J$2:$J$2619,X$1)</f>
        <v>0</v>
      </c>
      <c r="Y70" s="183">
        <f>SUMIFS('октябрь 2025'!$G$2:$G$2619,'октябрь 2025'!$D$2:$D$2619,$B70,'октябрь 2025'!$J$2:$J$2619,Y$1)</f>
        <v>0</v>
      </c>
      <c r="Z70" s="183">
        <f>SUMIFS('октябрь 2025'!$G$2:$G$2619,'октябрь 2025'!$D$2:$D$2619,$B70,'октябрь 2025'!$J$2:$J$2619,Z$1)</f>
        <v>0</v>
      </c>
      <c r="AA70" s="183">
        <f>SUMIFS('октябрь 2025'!$G$2:$G$2619,'октябрь 2025'!$D$2:$D$2619,$B70,'октябрь 2025'!$J$2:$J$2619,AA$1)</f>
        <v>0</v>
      </c>
      <c r="AB70" s="183">
        <f>SUMIFS('октябрь 2025'!$G$2:$G$2619,'октябрь 2025'!$D$2:$D$2619,$B70,'октябрь 2025'!$J$2:$J$2619,AB$1)</f>
        <v>0</v>
      </c>
      <c r="AC70" s="183">
        <f>SUMIFS('октябрь 2025'!$G$2:$G$2619,'октябрь 2025'!$D$2:$D$2619,$B70,'октябрь 2025'!$J$2:$J$2619,AC$1)</f>
        <v>0</v>
      </c>
      <c r="AD70" s="183">
        <f>SUMIFS('октябрь 2025'!$G$2:$G$2619,'октябрь 2025'!$D$2:$D$2619,$B70,'октябрь 2025'!$J$2:$J$2619,AD$1)</f>
        <v>0</v>
      </c>
      <c r="AE70" s="183">
        <f>SUMIFS('октябрь 2025'!$G$2:$G$2619,'октябрь 2025'!$D$2:$D$2619,$B70,'октябрь 2025'!$J$2:$J$2619,AE$1)</f>
        <v>0</v>
      </c>
      <c r="AF70" s="183">
        <f>SUMIFS('октябрь 2025'!$G$2:$G$2619,'октябрь 2025'!$D$2:$D$2619,$B70,'октябрь 2025'!$J$2:$J$2619,AF$1)</f>
        <v>0</v>
      </c>
      <c r="AG70" s="183">
        <f>SUMIFS('октябрь 2025'!$G$2:$G$2619,'октябрь 2025'!$D$2:$D$2619,$B70,'октябрь 2025'!$J$2:$J$2619,AG$1)</f>
        <v>0</v>
      </c>
      <c r="AH70" s="183">
        <f>SUMIFS('октябрь 2025'!$G$2:$G$2619,'октябрь 2025'!$D$2:$D$2619,$B70,'октябрь 2025'!$J$2:$J$2619,AH$1)</f>
        <v>0</v>
      </c>
      <c r="AI70" s="20">
        <f t="shared" si="1"/>
        <v>0</v>
      </c>
    </row>
    <row r="71" spans="2:35" ht="15" customHeight="1" x14ac:dyDescent="0.25">
      <c r="B71" s="88" t="s">
        <v>179</v>
      </c>
      <c r="C71" s="86">
        <v>50</v>
      </c>
      <c r="D71" s="183">
        <f>SUMIFS('октябрь 2025'!$G$2:$G$2619,'октябрь 2025'!$D$2:$D$2619,$B71,'октябрь 2025'!$J$2:$J$2619,D$1)</f>
        <v>0</v>
      </c>
      <c r="E71" s="183">
        <f>SUMIFS('октябрь 2025'!$G$2:$G$2619,'октябрь 2025'!$D$2:$D$2619,$B71,'октябрь 2025'!$J$2:$J$2619,E$1)</f>
        <v>0</v>
      </c>
      <c r="F71" s="183">
        <f>SUMIFS('октябрь 2025'!$G$2:$G$2619,'октябрь 2025'!$D$2:$D$2619,$B71,'октябрь 2025'!$J$2:$J$2619,F$1)</f>
        <v>0</v>
      </c>
      <c r="G71" s="183">
        <f>SUMIFS('октябрь 2025'!$G$2:$G$2619,'октябрь 2025'!$D$2:$D$2619,$B71,'октябрь 2025'!$J$2:$J$2619,G$1)</f>
        <v>0</v>
      </c>
      <c r="H71" s="183">
        <f>SUMIFS('октябрь 2025'!$G$2:$G$2619,'октябрь 2025'!$D$2:$D$2619,$B71,'октябрь 2025'!$J$2:$J$2619,H$1)</f>
        <v>0</v>
      </c>
      <c r="I71" s="183">
        <f>SUMIFS('октябрь 2025'!$G$2:$G$2619,'октябрь 2025'!$D$2:$D$2619,$B71,'октябрь 2025'!$J$2:$J$2619,I$1)</f>
        <v>0</v>
      </c>
      <c r="J71" s="183">
        <f>SUMIFS('октябрь 2025'!$G$2:$G$2619,'октябрь 2025'!$D$2:$D$2619,$B71,'октябрь 2025'!$J$2:$J$2619,J$1)</f>
        <v>0</v>
      </c>
      <c r="K71" s="183">
        <f>SUMIFS('октябрь 2025'!$G$2:$G$2619,'октябрь 2025'!$D$2:$D$2619,$B71,'октябрь 2025'!$J$2:$J$2619,K$1)</f>
        <v>0</v>
      </c>
      <c r="L71" s="183">
        <f>SUMIFS('октябрь 2025'!$G$2:$G$2619,'октябрь 2025'!$D$2:$D$2619,$B71,'октябрь 2025'!$J$2:$J$2619,L$1)</f>
        <v>0</v>
      </c>
      <c r="M71" s="183">
        <f>SUMIFS('октябрь 2025'!$G$2:$G$2619,'октябрь 2025'!$D$2:$D$2619,$B71,'октябрь 2025'!$J$2:$J$2619,M$1)</f>
        <v>0</v>
      </c>
      <c r="N71" s="183">
        <f>SUMIFS('октябрь 2025'!$G$2:$G$2619,'октябрь 2025'!$D$2:$D$2619,$B71,'октябрь 2025'!$J$2:$J$2619,N$1)</f>
        <v>0</v>
      </c>
      <c r="O71" s="183">
        <f>SUMIFS('октябрь 2025'!$G$2:$G$2619,'октябрь 2025'!$D$2:$D$2619,$B71,'октябрь 2025'!$J$2:$J$2619,O$1)</f>
        <v>0</v>
      </c>
      <c r="P71" s="183">
        <f>SUMIFS('октябрь 2025'!$G$2:$G$2619,'октябрь 2025'!$D$2:$D$2619,$B71,'октябрь 2025'!$J$2:$J$2619,P$1)</f>
        <v>0</v>
      </c>
      <c r="Q71" s="183">
        <f>SUMIFS('октябрь 2025'!$G$2:$G$2619,'октябрь 2025'!$D$2:$D$2619,$B71,'октябрь 2025'!$J$2:$J$2619,Q$1)</f>
        <v>0</v>
      </c>
      <c r="R71" s="183">
        <f>SUMIFS('октябрь 2025'!$G$2:$G$2619,'октябрь 2025'!$D$2:$D$2619,$B71,'октябрь 2025'!$J$2:$J$2619,R$1)</f>
        <v>0</v>
      </c>
      <c r="S71" s="183">
        <f>SUMIFS('октябрь 2025'!$G$2:$G$2619,'октябрь 2025'!$D$2:$D$2619,$B71,'октябрь 2025'!$J$2:$J$2619,S$1)</f>
        <v>0</v>
      </c>
      <c r="T71" s="183">
        <f>SUMIFS('октябрь 2025'!$G$2:$G$2619,'октябрь 2025'!$D$2:$D$2619,$B71,'октябрь 2025'!$J$2:$J$2619,T$1)</f>
        <v>0</v>
      </c>
      <c r="U71" s="183">
        <f>SUMIFS('октябрь 2025'!$G$2:$G$2619,'октябрь 2025'!$D$2:$D$2619,$B71,'октябрь 2025'!$J$2:$J$2619,U$1)</f>
        <v>0</v>
      </c>
      <c r="V71" s="183">
        <f>SUMIFS('октябрь 2025'!$G$2:$G$2619,'октябрь 2025'!$D$2:$D$2619,$B71,'октябрь 2025'!$J$2:$J$2619,V$1)</f>
        <v>0</v>
      </c>
      <c r="W71" s="183">
        <f>SUMIFS('октябрь 2025'!$G$2:$G$2619,'октябрь 2025'!$D$2:$D$2619,$B71,'октябрь 2025'!$J$2:$J$2619,W$1)</f>
        <v>0</v>
      </c>
      <c r="X71" s="183">
        <f>SUMIFS('октябрь 2025'!$G$2:$G$2619,'октябрь 2025'!$D$2:$D$2619,$B71,'октябрь 2025'!$J$2:$J$2619,X$1)</f>
        <v>0</v>
      </c>
      <c r="Y71" s="183">
        <f>SUMIFS('октябрь 2025'!$G$2:$G$2619,'октябрь 2025'!$D$2:$D$2619,$B71,'октябрь 2025'!$J$2:$J$2619,Y$1)</f>
        <v>0</v>
      </c>
      <c r="Z71" s="183">
        <f>SUMIFS('октябрь 2025'!$G$2:$G$2619,'октябрь 2025'!$D$2:$D$2619,$B71,'октябрь 2025'!$J$2:$J$2619,Z$1)</f>
        <v>0</v>
      </c>
      <c r="AA71" s="183">
        <f>SUMIFS('октябрь 2025'!$G$2:$G$2619,'октябрь 2025'!$D$2:$D$2619,$B71,'октябрь 2025'!$J$2:$J$2619,AA$1)</f>
        <v>0</v>
      </c>
      <c r="AB71" s="183">
        <f>SUMIFS('октябрь 2025'!$G$2:$G$2619,'октябрь 2025'!$D$2:$D$2619,$B71,'октябрь 2025'!$J$2:$J$2619,AB$1)</f>
        <v>0</v>
      </c>
      <c r="AC71" s="183">
        <f>SUMIFS('октябрь 2025'!$G$2:$G$2619,'октябрь 2025'!$D$2:$D$2619,$B71,'октябрь 2025'!$J$2:$J$2619,AC$1)</f>
        <v>0</v>
      </c>
      <c r="AD71" s="183">
        <f>SUMIFS('октябрь 2025'!$G$2:$G$2619,'октябрь 2025'!$D$2:$D$2619,$B71,'октябрь 2025'!$J$2:$J$2619,AD$1)</f>
        <v>0</v>
      </c>
      <c r="AE71" s="183">
        <f>SUMIFS('октябрь 2025'!$G$2:$G$2619,'октябрь 2025'!$D$2:$D$2619,$B71,'октябрь 2025'!$J$2:$J$2619,AE$1)</f>
        <v>0</v>
      </c>
      <c r="AF71" s="183">
        <f>SUMIFS('октябрь 2025'!$G$2:$G$2619,'октябрь 2025'!$D$2:$D$2619,$B71,'октябрь 2025'!$J$2:$J$2619,AF$1)</f>
        <v>0</v>
      </c>
      <c r="AG71" s="183">
        <f>SUMIFS('октябрь 2025'!$G$2:$G$2619,'октябрь 2025'!$D$2:$D$2619,$B71,'октябрь 2025'!$J$2:$J$2619,AG$1)</f>
        <v>0</v>
      </c>
      <c r="AH71" s="183">
        <f>SUMIFS('октябрь 2025'!$G$2:$G$2619,'октябрь 2025'!$D$2:$D$2619,$B71,'октябрь 2025'!$J$2:$J$2619,AH$1)</f>
        <v>0</v>
      </c>
      <c r="AI71" s="20">
        <f t="shared" si="1"/>
        <v>0</v>
      </c>
    </row>
    <row r="72" spans="2:35" ht="15.75" x14ac:dyDescent="0.25">
      <c r="B72" s="84" t="s">
        <v>158</v>
      </c>
      <c r="C72" s="83">
        <v>200</v>
      </c>
      <c r="D72" s="183">
        <f>SUMIFS('октябрь 2025'!$G$2:$G$2619,'октябрь 2025'!$D$2:$D$2619,$B72,'октябрь 2025'!$J$2:$J$2619,D$1)</f>
        <v>0</v>
      </c>
      <c r="E72" s="183">
        <f>SUMIFS('октябрь 2025'!$G$2:$G$2619,'октябрь 2025'!$D$2:$D$2619,$B72,'октябрь 2025'!$J$2:$J$2619,E$1)</f>
        <v>0</v>
      </c>
      <c r="F72" s="183">
        <f>SUMIFS('октябрь 2025'!$G$2:$G$2619,'октябрь 2025'!$D$2:$D$2619,$B72,'октябрь 2025'!$J$2:$J$2619,F$1)</f>
        <v>0</v>
      </c>
      <c r="G72" s="183">
        <f>SUMIFS('октябрь 2025'!$G$2:$G$2619,'октябрь 2025'!$D$2:$D$2619,$B72,'октябрь 2025'!$J$2:$J$2619,G$1)</f>
        <v>0</v>
      </c>
      <c r="H72" s="183">
        <f>SUMIFS('октябрь 2025'!$G$2:$G$2619,'октябрь 2025'!$D$2:$D$2619,$B72,'октябрь 2025'!$J$2:$J$2619,H$1)</f>
        <v>0</v>
      </c>
      <c r="I72" s="183">
        <f>SUMIFS('октябрь 2025'!$G$2:$G$2619,'октябрь 2025'!$D$2:$D$2619,$B72,'октябрь 2025'!$J$2:$J$2619,I$1)</f>
        <v>0</v>
      </c>
      <c r="J72" s="183">
        <f>SUMIFS('октябрь 2025'!$G$2:$G$2619,'октябрь 2025'!$D$2:$D$2619,$B72,'октябрь 2025'!$J$2:$J$2619,J$1)</f>
        <v>0</v>
      </c>
      <c r="K72" s="183">
        <f>SUMIFS('октябрь 2025'!$G$2:$G$2619,'октябрь 2025'!$D$2:$D$2619,$B72,'октябрь 2025'!$J$2:$J$2619,K$1)</f>
        <v>0</v>
      </c>
      <c r="L72" s="183">
        <f>SUMIFS('октябрь 2025'!$G$2:$G$2619,'октябрь 2025'!$D$2:$D$2619,$B72,'октябрь 2025'!$J$2:$J$2619,L$1)</f>
        <v>0</v>
      </c>
      <c r="M72" s="183">
        <f>SUMIFS('октябрь 2025'!$G$2:$G$2619,'октябрь 2025'!$D$2:$D$2619,$B72,'октябрь 2025'!$J$2:$J$2619,M$1)</f>
        <v>0</v>
      </c>
      <c r="N72" s="183">
        <f>SUMIFS('октябрь 2025'!$G$2:$G$2619,'октябрь 2025'!$D$2:$D$2619,$B72,'октябрь 2025'!$J$2:$J$2619,N$1)</f>
        <v>0</v>
      </c>
      <c r="O72" s="183">
        <f>SUMIFS('октябрь 2025'!$G$2:$G$2619,'октябрь 2025'!$D$2:$D$2619,$B72,'октябрь 2025'!$J$2:$J$2619,O$1)</f>
        <v>0</v>
      </c>
      <c r="P72" s="183">
        <f>SUMIFS('октябрь 2025'!$G$2:$G$2619,'октябрь 2025'!$D$2:$D$2619,$B72,'октябрь 2025'!$J$2:$J$2619,P$1)</f>
        <v>0</v>
      </c>
      <c r="Q72" s="183">
        <f>SUMIFS('октябрь 2025'!$G$2:$G$2619,'октябрь 2025'!$D$2:$D$2619,$B72,'октябрь 2025'!$J$2:$J$2619,Q$1)</f>
        <v>0</v>
      </c>
      <c r="R72" s="183">
        <f>SUMIFS('октябрь 2025'!$G$2:$G$2619,'октябрь 2025'!$D$2:$D$2619,$B72,'октябрь 2025'!$J$2:$J$2619,R$1)</f>
        <v>0</v>
      </c>
      <c r="S72" s="183">
        <f>SUMIFS('октябрь 2025'!$G$2:$G$2619,'октябрь 2025'!$D$2:$D$2619,$B72,'октябрь 2025'!$J$2:$J$2619,S$1)</f>
        <v>0</v>
      </c>
      <c r="T72" s="183">
        <f>SUMIFS('октябрь 2025'!$G$2:$G$2619,'октябрь 2025'!$D$2:$D$2619,$B72,'октябрь 2025'!$J$2:$J$2619,T$1)</f>
        <v>0</v>
      </c>
      <c r="U72" s="183">
        <f>SUMIFS('октябрь 2025'!$G$2:$G$2619,'октябрь 2025'!$D$2:$D$2619,$B72,'октябрь 2025'!$J$2:$J$2619,U$1)</f>
        <v>0</v>
      </c>
      <c r="V72" s="183">
        <f>SUMIFS('октябрь 2025'!$G$2:$G$2619,'октябрь 2025'!$D$2:$D$2619,$B72,'октябрь 2025'!$J$2:$J$2619,V$1)</f>
        <v>0</v>
      </c>
      <c r="W72" s="183">
        <f>SUMIFS('октябрь 2025'!$G$2:$G$2619,'октябрь 2025'!$D$2:$D$2619,$B72,'октябрь 2025'!$J$2:$J$2619,W$1)</f>
        <v>0</v>
      </c>
      <c r="X72" s="183">
        <f>SUMIFS('октябрь 2025'!$G$2:$G$2619,'октябрь 2025'!$D$2:$D$2619,$B72,'октябрь 2025'!$J$2:$J$2619,X$1)</f>
        <v>0</v>
      </c>
      <c r="Y72" s="183">
        <f>SUMIFS('октябрь 2025'!$G$2:$G$2619,'октябрь 2025'!$D$2:$D$2619,$B72,'октябрь 2025'!$J$2:$J$2619,Y$1)</f>
        <v>0</v>
      </c>
      <c r="Z72" s="183">
        <f>SUMIFS('октябрь 2025'!$G$2:$G$2619,'октябрь 2025'!$D$2:$D$2619,$B72,'октябрь 2025'!$J$2:$J$2619,Z$1)</f>
        <v>0</v>
      </c>
      <c r="AA72" s="183">
        <f>SUMIFS('октябрь 2025'!$G$2:$G$2619,'октябрь 2025'!$D$2:$D$2619,$B72,'октябрь 2025'!$J$2:$J$2619,AA$1)</f>
        <v>0</v>
      </c>
      <c r="AB72" s="183">
        <f>SUMIFS('октябрь 2025'!$G$2:$G$2619,'октябрь 2025'!$D$2:$D$2619,$B72,'октябрь 2025'!$J$2:$J$2619,AB$1)</f>
        <v>0</v>
      </c>
      <c r="AC72" s="183">
        <f>SUMIFS('октябрь 2025'!$G$2:$G$2619,'октябрь 2025'!$D$2:$D$2619,$B72,'октябрь 2025'!$J$2:$J$2619,AC$1)</f>
        <v>0</v>
      </c>
      <c r="AD72" s="183">
        <f>SUMIFS('октябрь 2025'!$G$2:$G$2619,'октябрь 2025'!$D$2:$D$2619,$B72,'октябрь 2025'!$J$2:$J$2619,AD$1)</f>
        <v>0</v>
      </c>
      <c r="AE72" s="183">
        <f>SUMIFS('октябрь 2025'!$G$2:$G$2619,'октябрь 2025'!$D$2:$D$2619,$B72,'октябрь 2025'!$J$2:$J$2619,AE$1)</f>
        <v>0</v>
      </c>
      <c r="AF72" s="183">
        <f>SUMIFS('октябрь 2025'!$G$2:$G$2619,'октябрь 2025'!$D$2:$D$2619,$B72,'октябрь 2025'!$J$2:$J$2619,AF$1)</f>
        <v>0</v>
      </c>
      <c r="AG72" s="183">
        <f>SUMIFS('октябрь 2025'!$G$2:$G$2619,'октябрь 2025'!$D$2:$D$2619,$B72,'октябрь 2025'!$J$2:$J$2619,AG$1)</f>
        <v>0</v>
      </c>
      <c r="AH72" s="183">
        <f>SUMIFS('октябрь 2025'!$G$2:$G$2619,'октябрь 2025'!$D$2:$D$2619,$B72,'октябрь 2025'!$J$2:$J$2619,AH$1)</f>
        <v>0</v>
      </c>
      <c r="AI72" s="20">
        <f t="shared" si="1"/>
        <v>0</v>
      </c>
    </row>
    <row r="73" spans="2:35" ht="15.75" x14ac:dyDescent="0.25">
      <c r="B73" s="88" t="s">
        <v>157</v>
      </c>
      <c r="C73" s="86">
        <v>200</v>
      </c>
      <c r="D73" s="183">
        <f>SUMIFS('октябрь 2025'!$G$2:$G$2619,'октябрь 2025'!$D$2:$D$2619,$B73,'октябрь 2025'!$J$2:$J$2619,D$1)</f>
        <v>0</v>
      </c>
      <c r="E73" s="183">
        <f>SUMIFS('октябрь 2025'!$G$2:$G$2619,'октябрь 2025'!$D$2:$D$2619,$B73,'октябрь 2025'!$J$2:$J$2619,E$1)</f>
        <v>0</v>
      </c>
      <c r="F73" s="183">
        <f>SUMIFS('октябрь 2025'!$G$2:$G$2619,'октябрь 2025'!$D$2:$D$2619,$B73,'октябрь 2025'!$J$2:$J$2619,F$1)</f>
        <v>0</v>
      </c>
      <c r="G73" s="183">
        <f>SUMIFS('октябрь 2025'!$G$2:$G$2619,'октябрь 2025'!$D$2:$D$2619,$B73,'октябрь 2025'!$J$2:$J$2619,G$1)</f>
        <v>0</v>
      </c>
      <c r="H73" s="183">
        <f>SUMIFS('октябрь 2025'!$G$2:$G$2619,'октябрь 2025'!$D$2:$D$2619,$B73,'октябрь 2025'!$J$2:$J$2619,H$1)</f>
        <v>0</v>
      </c>
      <c r="I73" s="183">
        <f>SUMIFS('октябрь 2025'!$G$2:$G$2619,'октябрь 2025'!$D$2:$D$2619,$B73,'октябрь 2025'!$J$2:$J$2619,I$1)</f>
        <v>0</v>
      </c>
      <c r="J73" s="183">
        <f>SUMIFS('октябрь 2025'!$G$2:$G$2619,'октябрь 2025'!$D$2:$D$2619,$B73,'октябрь 2025'!$J$2:$J$2619,J$1)</f>
        <v>0</v>
      </c>
      <c r="K73" s="183">
        <f>SUMIFS('октябрь 2025'!$G$2:$G$2619,'октябрь 2025'!$D$2:$D$2619,$B73,'октябрь 2025'!$J$2:$J$2619,K$1)</f>
        <v>0</v>
      </c>
      <c r="L73" s="183">
        <f>SUMIFS('октябрь 2025'!$G$2:$G$2619,'октябрь 2025'!$D$2:$D$2619,$B73,'октябрь 2025'!$J$2:$J$2619,L$1)</f>
        <v>0</v>
      </c>
      <c r="M73" s="183">
        <f>SUMIFS('октябрь 2025'!$G$2:$G$2619,'октябрь 2025'!$D$2:$D$2619,$B73,'октябрь 2025'!$J$2:$J$2619,M$1)</f>
        <v>0</v>
      </c>
      <c r="N73" s="183">
        <f>SUMIFS('октябрь 2025'!$G$2:$G$2619,'октябрь 2025'!$D$2:$D$2619,$B73,'октябрь 2025'!$J$2:$J$2619,N$1)</f>
        <v>0</v>
      </c>
      <c r="O73" s="183">
        <f>SUMIFS('октябрь 2025'!$G$2:$G$2619,'октябрь 2025'!$D$2:$D$2619,$B73,'октябрь 2025'!$J$2:$J$2619,O$1)</f>
        <v>0</v>
      </c>
      <c r="P73" s="183">
        <f>SUMIFS('октябрь 2025'!$G$2:$G$2619,'октябрь 2025'!$D$2:$D$2619,$B73,'октябрь 2025'!$J$2:$J$2619,P$1)</f>
        <v>0</v>
      </c>
      <c r="Q73" s="183">
        <f>SUMIFS('октябрь 2025'!$G$2:$G$2619,'октябрь 2025'!$D$2:$D$2619,$B73,'октябрь 2025'!$J$2:$J$2619,Q$1)</f>
        <v>0</v>
      </c>
      <c r="R73" s="183">
        <f>SUMIFS('октябрь 2025'!$G$2:$G$2619,'октябрь 2025'!$D$2:$D$2619,$B73,'октябрь 2025'!$J$2:$J$2619,R$1)</f>
        <v>0</v>
      </c>
      <c r="S73" s="183">
        <f>SUMIFS('октябрь 2025'!$G$2:$G$2619,'октябрь 2025'!$D$2:$D$2619,$B73,'октябрь 2025'!$J$2:$J$2619,S$1)</f>
        <v>0</v>
      </c>
      <c r="T73" s="183">
        <f>SUMIFS('октябрь 2025'!$G$2:$G$2619,'октябрь 2025'!$D$2:$D$2619,$B73,'октябрь 2025'!$J$2:$J$2619,T$1)</f>
        <v>0</v>
      </c>
      <c r="U73" s="183">
        <f>SUMIFS('октябрь 2025'!$G$2:$G$2619,'октябрь 2025'!$D$2:$D$2619,$B73,'октябрь 2025'!$J$2:$J$2619,U$1)</f>
        <v>0</v>
      </c>
      <c r="V73" s="183">
        <f>SUMIFS('октябрь 2025'!$G$2:$G$2619,'октябрь 2025'!$D$2:$D$2619,$B73,'октябрь 2025'!$J$2:$J$2619,V$1)</f>
        <v>0</v>
      </c>
      <c r="W73" s="183">
        <f>SUMIFS('октябрь 2025'!$G$2:$G$2619,'октябрь 2025'!$D$2:$D$2619,$B73,'октябрь 2025'!$J$2:$J$2619,W$1)</f>
        <v>0</v>
      </c>
      <c r="X73" s="183">
        <f>SUMIFS('октябрь 2025'!$G$2:$G$2619,'октябрь 2025'!$D$2:$D$2619,$B73,'октябрь 2025'!$J$2:$J$2619,X$1)</f>
        <v>1</v>
      </c>
      <c r="Y73" s="183">
        <f>SUMIFS('октябрь 2025'!$G$2:$G$2619,'октябрь 2025'!$D$2:$D$2619,$B73,'октябрь 2025'!$J$2:$J$2619,Y$1)</f>
        <v>0</v>
      </c>
      <c r="Z73" s="183">
        <f>SUMIFS('октябрь 2025'!$G$2:$G$2619,'октябрь 2025'!$D$2:$D$2619,$B73,'октябрь 2025'!$J$2:$J$2619,Z$1)</f>
        <v>0</v>
      </c>
      <c r="AA73" s="183">
        <f>SUMIFS('октябрь 2025'!$G$2:$G$2619,'октябрь 2025'!$D$2:$D$2619,$B73,'октябрь 2025'!$J$2:$J$2619,AA$1)</f>
        <v>88</v>
      </c>
      <c r="AB73" s="183">
        <f>SUMIFS('октябрь 2025'!$G$2:$G$2619,'октябрь 2025'!$D$2:$D$2619,$B73,'октябрь 2025'!$J$2:$J$2619,AB$1)</f>
        <v>0</v>
      </c>
      <c r="AC73" s="183">
        <f>SUMIFS('октябрь 2025'!$G$2:$G$2619,'октябрь 2025'!$D$2:$D$2619,$B73,'октябрь 2025'!$J$2:$J$2619,AC$1)</f>
        <v>0</v>
      </c>
      <c r="AD73" s="183">
        <f>SUMIFS('октябрь 2025'!$G$2:$G$2619,'октябрь 2025'!$D$2:$D$2619,$B73,'октябрь 2025'!$J$2:$J$2619,AD$1)</f>
        <v>0</v>
      </c>
      <c r="AE73" s="183">
        <f>SUMIFS('октябрь 2025'!$G$2:$G$2619,'октябрь 2025'!$D$2:$D$2619,$B73,'октябрь 2025'!$J$2:$J$2619,AE$1)</f>
        <v>0</v>
      </c>
      <c r="AF73" s="183">
        <f>SUMIFS('октябрь 2025'!$G$2:$G$2619,'октябрь 2025'!$D$2:$D$2619,$B73,'октябрь 2025'!$J$2:$J$2619,AF$1)</f>
        <v>0</v>
      </c>
      <c r="AG73" s="183">
        <f>SUMIFS('октябрь 2025'!$G$2:$G$2619,'октябрь 2025'!$D$2:$D$2619,$B73,'октябрь 2025'!$J$2:$J$2619,AG$1)</f>
        <v>44</v>
      </c>
      <c r="AH73" s="183">
        <f>SUMIFS('октябрь 2025'!$G$2:$G$2619,'октябрь 2025'!$D$2:$D$2619,$B73,'октябрь 2025'!$J$2:$J$2619,AH$1)</f>
        <v>0</v>
      </c>
      <c r="AI73" s="20">
        <f t="shared" si="1"/>
        <v>133</v>
      </c>
    </row>
    <row r="74" spans="2:35" ht="15.75" x14ac:dyDescent="0.25">
      <c r="B74" s="88" t="s">
        <v>299</v>
      </c>
      <c r="C74" s="86">
        <v>200</v>
      </c>
      <c r="D74" s="183">
        <f>SUMIFS('октябрь 2025'!$G$2:$G$2619,'октябрь 2025'!$D$2:$D$2619,$B74,'октябрь 2025'!$J$2:$J$2619,D$1)</f>
        <v>0</v>
      </c>
      <c r="E74" s="183">
        <f>SUMIFS('октябрь 2025'!$G$2:$G$2619,'октябрь 2025'!$D$2:$D$2619,$B74,'октябрь 2025'!$J$2:$J$2619,E$1)</f>
        <v>0</v>
      </c>
      <c r="F74" s="183">
        <f>SUMIFS('октябрь 2025'!$G$2:$G$2619,'октябрь 2025'!$D$2:$D$2619,$B74,'октябрь 2025'!$J$2:$J$2619,F$1)</f>
        <v>0</v>
      </c>
      <c r="G74" s="183">
        <f>SUMIFS('октябрь 2025'!$G$2:$G$2619,'октябрь 2025'!$D$2:$D$2619,$B74,'октябрь 2025'!$J$2:$J$2619,G$1)</f>
        <v>0</v>
      </c>
      <c r="H74" s="183">
        <f>SUMIFS('октябрь 2025'!$G$2:$G$2619,'октябрь 2025'!$D$2:$D$2619,$B74,'октябрь 2025'!$J$2:$J$2619,H$1)</f>
        <v>0</v>
      </c>
      <c r="I74" s="183">
        <f>SUMIFS('октябрь 2025'!$G$2:$G$2619,'октябрь 2025'!$D$2:$D$2619,$B74,'октябрь 2025'!$J$2:$J$2619,I$1)</f>
        <v>0</v>
      </c>
      <c r="J74" s="183">
        <f>SUMIFS('октябрь 2025'!$G$2:$G$2619,'октябрь 2025'!$D$2:$D$2619,$B74,'октябрь 2025'!$J$2:$J$2619,J$1)</f>
        <v>0</v>
      </c>
      <c r="K74" s="183">
        <f>SUMIFS('октябрь 2025'!$G$2:$G$2619,'октябрь 2025'!$D$2:$D$2619,$B74,'октябрь 2025'!$J$2:$J$2619,K$1)</f>
        <v>0</v>
      </c>
      <c r="L74" s="183">
        <f>SUMIFS('октябрь 2025'!$G$2:$G$2619,'октябрь 2025'!$D$2:$D$2619,$B74,'октябрь 2025'!$J$2:$J$2619,L$1)</f>
        <v>0</v>
      </c>
      <c r="M74" s="183">
        <f>SUMIFS('октябрь 2025'!$G$2:$G$2619,'октябрь 2025'!$D$2:$D$2619,$B74,'октябрь 2025'!$J$2:$J$2619,M$1)</f>
        <v>0</v>
      </c>
      <c r="N74" s="183">
        <f>SUMIFS('октябрь 2025'!$G$2:$G$2619,'октябрь 2025'!$D$2:$D$2619,$B74,'октябрь 2025'!$J$2:$J$2619,N$1)</f>
        <v>0</v>
      </c>
      <c r="O74" s="183">
        <f>SUMIFS('октябрь 2025'!$G$2:$G$2619,'октябрь 2025'!$D$2:$D$2619,$B74,'октябрь 2025'!$J$2:$J$2619,O$1)</f>
        <v>0</v>
      </c>
      <c r="P74" s="183">
        <f>SUMIFS('октябрь 2025'!$G$2:$G$2619,'октябрь 2025'!$D$2:$D$2619,$B74,'октябрь 2025'!$J$2:$J$2619,P$1)</f>
        <v>0</v>
      </c>
      <c r="Q74" s="183">
        <f>SUMIFS('октябрь 2025'!$G$2:$G$2619,'октябрь 2025'!$D$2:$D$2619,$B74,'октябрь 2025'!$J$2:$J$2619,Q$1)</f>
        <v>0</v>
      </c>
      <c r="R74" s="183">
        <f>SUMIFS('октябрь 2025'!$G$2:$G$2619,'октябрь 2025'!$D$2:$D$2619,$B74,'октябрь 2025'!$J$2:$J$2619,R$1)</f>
        <v>0</v>
      </c>
      <c r="S74" s="183">
        <f>SUMIFS('октябрь 2025'!$G$2:$G$2619,'октябрь 2025'!$D$2:$D$2619,$B74,'октябрь 2025'!$J$2:$J$2619,S$1)</f>
        <v>0</v>
      </c>
      <c r="T74" s="183">
        <f>SUMIFS('октябрь 2025'!$G$2:$G$2619,'октябрь 2025'!$D$2:$D$2619,$B74,'октябрь 2025'!$J$2:$J$2619,T$1)</f>
        <v>0</v>
      </c>
      <c r="U74" s="183">
        <f>SUMIFS('октябрь 2025'!$G$2:$G$2619,'октябрь 2025'!$D$2:$D$2619,$B74,'октябрь 2025'!$J$2:$J$2619,U$1)</f>
        <v>0</v>
      </c>
      <c r="V74" s="183">
        <f>SUMIFS('октябрь 2025'!$G$2:$G$2619,'октябрь 2025'!$D$2:$D$2619,$B74,'октябрь 2025'!$J$2:$J$2619,V$1)</f>
        <v>0</v>
      </c>
      <c r="W74" s="183">
        <f>SUMIFS('октябрь 2025'!$G$2:$G$2619,'октябрь 2025'!$D$2:$D$2619,$B74,'октябрь 2025'!$J$2:$J$2619,W$1)</f>
        <v>0</v>
      </c>
      <c r="X74" s="183">
        <f>SUMIFS('октябрь 2025'!$G$2:$G$2619,'октябрь 2025'!$D$2:$D$2619,$B74,'октябрь 2025'!$J$2:$J$2619,X$1)</f>
        <v>0</v>
      </c>
      <c r="Y74" s="183">
        <f>SUMIFS('октябрь 2025'!$G$2:$G$2619,'октябрь 2025'!$D$2:$D$2619,$B74,'октябрь 2025'!$J$2:$J$2619,Y$1)</f>
        <v>0</v>
      </c>
      <c r="Z74" s="183">
        <f>SUMIFS('октябрь 2025'!$G$2:$G$2619,'октябрь 2025'!$D$2:$D$2619,$B74,'октябрь 2025'!$J$2:$J$2619,Z$1)</f>
        <v>0</v>
      </c>
      <c r="AA74" s="183">
        <f>SUMIFS('октябрь 2025'!$G$2:$G$2619,'октябрь 2025'!$D$2:$D$2619,$B74,'октябрь 2025'!$J$2:$J$2619,AA$1)</f>
        <v>0</v>
      </c>
      <c r="AB74" s="183">
        <f>SUMIFS('октябрь 2025'!$G$2:$G$2619,'октябрь 2025'!$D$2:$D$2619,$B74,'октябрь 2025'!$J$2:$J$2619,AB$1)</f>
        <v>0</v>
      </c>
      <c r="AC74" s="183">
        <f>SUMIFS('октябрь 2025'!$G$2:$G$2619,'октябрь 2025'!$D$2:$D$2619,$B74,'октябрь 2025'!$J$2:$J$2619,AC$1)</f>
        <v>0</v>
      </c>
      <c r="AD74" s="183">
        <f>SUMIFS('октябрь 2025'!$G$2:$G$2619,'октябрь 2025'!$D$2:$D$2619,$B74,'октябрь 2025'!$J$2:$J$2619,AD$1)</f>
        <v>0</v>
      </c>
      <c r="AE74" s="183">
        <f>SUMIFS('октябрь 2025'!$G$2:$G$2619,'октябрь 2025'!$D$2:$D$2619,$B74,'октябрь 2025'!$J$2:$J$2619,AE$1)</f>
        <v>0</v>
      </c>
      <c r="AF74" s="183">
        <f>SUMIFS('октябрь 2025'!$G$2:$G$2619,'октябрь 2025'!$D$2:$D$2619,$B74,'октябрь 2025'!$J$2:$J$2619,AF$1)</f>
        <v>0</v>
      </c>
      <c r="AG74" s="183">
        <f>SUMIFS('октябрь 2025'!$G$2:$G$2619,'октябрь 2025'!$D$2:$D$2619,$B74,'октябрь 2025'!$J$2:$J$2619,AG$1)</f>
        <v>0</v>
      </c>
      <c r="AH74" s="183">
        <f>SUMIFS('октябрь 2025'!$G$2:$G$2619,'октябрь 2025'!$D$2:$D$2619,$B74,'октябрь 2025'!$J$2:$J$2619,AH$1)</f>
        <v>0</v>
      </c>
      <c r="AI74" s="20">
        <f t="shared" si="1"/>
        <v>0</v>
      </c>
    </row>
    <row r="75" spans="2:35" ht="15.75" x14ac:dyDescent="0.25">
      <c r="B75" s="88" t="s">
        <v>994</v>
      </c>
      <c r="C75" s="86">
        <v>190</v>
      </c>
      <c r="D75" s="183">
        <f>SUMIFS('октябрь 2025'!$G$2:$G$2619,'октябрь 2025'!$D$2:$D$2619,$B75,'октябрь 2025'!$J$2:$J$2619,D$1)</f>
        <v>0</v>
      </c>
      <c r="E75" s="183">
        <f>SUMIFS('октябрь 2025'!$G$2:$G$2619,'октябрь 2025'!$D$2:$D$2619,$B75,'октябрь 2025'!$J$2:$J$2619,E$1)</f>
        <v>0</v>
      </c>
      <c r="F75" s="183">
        <f>SUMIFS('октябрь 2025'!$G$2:$G$2619,'октябрь 2025'!$D$2:$D$2619,$B75,'октябрь 2025'!$J$2:$J$2619,F$1)</f>
        <v>0</v>
      </c>
      <c r="G75" s="183">
        <f>SUMIFS('октябрь 2025'!$G$2:$G$2619,'октябрь 2025'!$D$2:$D$2619,$B75,'октябрь 2025'!$J$2:$J$2619,G$1)</f>
        <v>0</v>
      </c>
      <c r="H75" s="183">
        <f>SUMIFS('октябрь 2025'!$G$2:$G$2619,'октябрь 2025'!$D$2:$D$2619,$B75,'октябрь 2025'!$J$2:$J$2619,H$1)</f>
        <v>0</v>
      </c>
      <c r="I75" s="183">
        <f>SUMIFS('октябрь 2025'!$G$2:$G$2619,'октябрь 2025'!$D$2:$D$2619,$B75,'октябрь 2025'!$J$2:$J$2619,I$1)</f>
        <v>0</v>
      </c>
      <c r="J75" s="183">
        <f>SUMIFS('октябрь 2025'!$G$2:$G$2619,'октябрь 2025'!$D$2:$D$2619,$B75,'октябрь 2025'!$J$2:$J$2619,J$1)</f>
        <v>0</v>
      </c>
      <c r="K75" s="183">
        <f>SUMIFS('октябрь 2025'!$G$2:$G$2619,'октябрь 2025'!$D$2:$D$2619,$B75,'октябрь 2025'!$J$2:$J$2619,K$1)</f>
        <v>0</v>
      </c>
      <c r="L75" s="183">
        <f>SUMIFS('октябрь 2025'!$G$2:$G$2619,'октябрь 2025'!$D$2:$D$2619,$B75,'октябрь 2025'!$J$2:$J$2619,L$1)</f>
        <v>0</v>
      </c>
      <c r="M75" s="183">
        <f>SUMIFS('октябрь 2025'!$G$2:$G$2619,'октябрь 2025'!$D$2:$D$2619,$B75,'октябрь 2025'!$J$2:$J$2619,M$1)</f>
        <v>0</v>
      </c>
      <c r="N75" s="183">
        <f>SUMIFS('октябрь 2025'!$G$2:$G$2619,'октябрь 2025'!$D$2:$D$2619,$B75,'октябрь 2025'!$J$2:$J$2619,N$1)</f>
        <v>0</v>
      </c>
      <c r="O75" s="183">
        <f>SUMIFS('октябрь 2025'!$G$2:$G$2619,'октябрь 2025'!$D$2:$D$2619,$B75,'октябрь 2025'!$J$2:$J$2619,O$1)</f>
        <v>0</v>
      </c>
      <c r="P75" s="183">
        <f>SUMIFS('октябрь 2025'!$G$2:$G$2619,'октябрь 2025'!$D$2:$D$2619,$B75,'октябрь 2025'!$J$2:$J$2619,P$1)</f>
        <v>0</v>
      </c>
      <c r="Q75" s="183">
        <f>SUMIFS('октябрь 2025'!$G$2:$G$2619,'октябрь 2025'!$D$2:$D$2619,$B75,'октябрь 2025'!$J$2:$J$2619,Q$1)</f>
        <v>0</v>
      </c>
      <c r="R75" s="183">
        <f>SUMIFS('октябрь 2025'!$G$2:$G$2619,'октябрь 2025'!$D$2:$D$2619,$B75,'октябрь 2025'!$J$2:$J$2619,R$1)</f>
        <v>0</v>
      </c>
      <c r="S75" s="183">
        <f>SUMIFS('октябрь 2025'!$G$2:$G$2619,'октябрь 2025'!$D$2:$D$2619,$B75,'октябрь 2025'!$J$2:$J$2619,S$1)</f>
        <v>0</v>
      </c>
      <c r="T75" s="183">
        <f>SUMIFS('октябрь 2025'!$G$2:$G$2619,'октябрь 2025'!$D$2:$D$2619,$B75,'октябрь 2025'!$J$2:$J$2619,T$1)</f>
        <v>0</v>
      </c>
      <c r="U75" s="183">
        <f>SUMIFS('октябрь 2025'!$G$2:$G$2619,'октябрь 2025'!$D$2:$D$2619,$B75,'октябрь 2025'!$J$2:$J$2619,U$1)</f>
        <v>0</v>
      </c>
      <c r="V75" s="183">
        <f>SUMIFS('октябрь 2025'!$G$2:$G$2619,'октябрь 2025'!$D$2:$D$2619,$B75,'октябрь 2025'!$J$2:$J$2619,V$1)</f>
        <v>0</v>
      </c>
      <c r="W75" s="183">
        <f>SUMIFS('октябрь 2025'!$G$2:$G$2619,'октябрь 2025'!$D$2:$D$2619,$B75,'октябрь 2025'!$J$2:$J$2619,W$1)</f>
        <v>0</v>
      </c>
      <c r="X75" s="183">
        <f>SUMIFS('октябрь 2025'!$G$2:$G$2619,'октябрь 2025'!$D$2:$D$2619,$B75,'октябрь 2025'!$J$2:$J$2619,X$1)</f>
        <v>0</v>
      </c>
      <c r="Y75" s="183">
        <f>SUMIFS('октябрь 2025'!$G$2:$G$2619,'октябрь 2025'!$D$2:$D$2619,$B75,'октябрь 2025'!$J$2:$J$2619,Y$1)</f>
        <v>0</v>
      </c>
      <c r="Z75" s="183">
        <f>SUMIFS('октябрь 2025'!$G$2:$G$2619,'октябрь 2025'!$D$2:$D$2619,$B75,'октябрь 2025'!$J$2:$J$2619,Z$1)</f>
        <v>0</v>
      </c>
      <c r="AA75" s="183">
        <f>SUMIFS('октябрь 2025'!$G$2:$G$2619,'октябрь 2025'!$D$2:$D$2619,$B75,'октябрь 2025'!$J$2:$J$2619,AA$1)</f>
        <v>0</v>
      </c>
      <c r="AB75" s="183">
        <f>SUMIFS('октябрь 2025'!$G$2:$G$2619,'октябрь 2025'!$D$2:$D$2619,$B75,'октябрь 2025'!$J$2:$J$2619,AB$1)</f>
        <v>0</v>
      </c>
      <c r="AC75" s="183">
        <f>SUMIFS('октябрь 2025'!$G$2:$G$2619,'октябрь 2025'!$D$2:$D$2619,$B75,'октябрь 2025'!$J$2:$J$2619,AC$1)</f>
        <v>0</v>
      </c>
      <c r="AD75" s="183">
        <f>SUMIFS('октябрь 2025'!$G$2:$G$2619,'октябрь 2025'!$D$2:$D$2619,$B75,'октябрь 2025'!$J$2:$J$2619,AD$1)</f>
        <v>0</v>
      </c>
      <c r="AE75" s="183">
        <f>SUMIFS('октябрь 2025'!$G$2:$G$2619,'октябрь 2025'!$D$2:$D$2619,$B75,'октябрь 2025'!$J$2:$J$2619,AE$1)</f>
        <v>0</v>
      </c>
      <c r="AF75" s="183">
        <f>SUMIFS('октябрь 2025'!$G$2:$G$2619,'октябрь 2025'!$D$2:$D$2619,$B75,'октябрь 2025'!$J$2:$J$2619,AF$1)</f>
        <v>0</v>
      </c>
      <c r="AG75" s="183">
        <f>SUMIFS('октябрь 2025'!$G$2:$G$2619,'октябрь 2025'!$D$2:$D$2619,$B75,'октябрь 2025'!$J$2:$J$2619,AG$1)</f>
        <v>0</v>
      </c>
      <c r="AH75" s="183">
        <f>SUMIFS('октябрь 2025'!$G$2:$G$2619,'октябрь 2025'!$D$2:$D$2619,$B75,'октябрь 2025'!$J$2:$J$2619,AH$1)</f>
        <v>0</v>
      </c>
      <c r="AI75" s="20">
        <f t="shared" si="1"/>
        <v>0</v>
      </c>
    </row>
    <row r="76" spans="2:35" ht="15" customHeight="1" x14ac:dyDescent="0.25">
      <c r="B76" s="88" t="s">
        <v>202</v>
      </c>
      <c r="C76" s="86">
        <v>200</v>
      </c>
      <c r="D76" s="183">
        <f>SUMIFS('октябрь 2025'!$G$2:$G$2619,'октябрь 2025'!$D$2:$D$2619,$B76,'октябрь 2025'!$J$2:$J$2619,D$1)</f>
        <v>0</v>
      </c>
      <c r="E76" s="183">
        <f>SUMIFS('октябрь 2025'!$G$2:$G$2619,'октябрь 2025'!$D$2:$D$2619,$B76,'октябрь 2025'!$J$2:$J$2619,E$1)</f>
        <v>0</v>
      </c>
      <c r="F76" s="183">
        <f>SUMIFS('октябрь 2025'!$G$2:$G$2619,'октябрь 2025'!$D$2:$D$2619,$B76,'октябрь 2025'!$J$2:$J$2619,F$1)</f>
        <v>0</v>
      </c>
      <c r="G76" s="183">
        <f>SUMIFS('октябрь 2025'!$G$2:$G$2619,'октябрь 2025'!$D$2:$D$2619,$B76,'октябрь 2025'!$J$2:$J$2619,G$1)</f>
        <v>0</v>
      </c>
      <c r="H76" s="183">
        <f>SUMIFS('октябрь 2025'!$G$2:$G$2619,'октябрь 2025'!$D$2:$D$2619,$B76,'октябрь 2025'!$J$2:$J$2619,H$1)</f>
        <v>0</v>
      </c>
      <c r="I76" s="183">
        <f>SUMIFS('октябрь 2025'!$G$2:$G$2619,'октябрь 2025'!$D$2:$D$2619,$B76,'октябрь 2025'!$J$2:$J$2619,I$1)</f>
        <v>0</v>
      </c>
      <c r="J76" s="183">
        <f>SUMIFS('октябрь 2025'!$G$2:$G$2619,'октябрь 2025'!$D$2:$D$2619,$B76,'октябрь 2025'!$J$2:$J$2619,J$1)</f>
        <v>0</v>
      </c>
      <c r="K76" s="183">
        <f>SUMIFS('октябрь 2025'!$G$2:$G$2619,'октябрь 2025'!$D$2:$D$2619,$B76,'октябрь 2025'!$J$2:$J$2619,K$1)</f>
        <v>0</v>
      </c>
      <c r="L76" s="183">
        <f>SUMIFS('октябрь 2025'!$G$2:$G$2619,'октябрь 2025'!$D$2:$D$2619,$B76,'октябрь 2025'!$J$2:$J$2619,L$1)</f>
        <v>0</v>
      </c>
      <c r="M76" s="183">
        <f>SUMIFS('октябрь 2025'!$G$2:$G$2619,'октябрь 2025'!$D$2:$D$2619,$B76,'октябрь 2025'!$J$2:$J$2619,M$1)</f>
        <v>0</v>
      </c>
      <c r="N76" s="183">
        <f>SUMIFS('октябрь 2025'!$G$2:$G$2619,'октябрь 2025'!$D$2:$D$2619,$B76,'октябрь 2025'!$J$2:$J$2619,N$1)</f>
        <v>0</v>
      </c>
      <c r="O76" s="183">
        <f>SUMIFS('октябрь 2025'!$G$2:$G$2619,'октябрь 2025'!$D$2:$D$2619,$B76,'октябрь 2025'!$J$2:$J$2619,O$1)</f>
        <v>0</v>
      </c>
      <c r="P76" s="183">
        <f>SUMIFS('октябрь 2025'!$G$2:$G$2619,'октябрь 2025'!$D$2:$D$2619,$B76,'октябрь 2025'!$J$2:$J$2619,P$1)</f>
        <v>0</v>
      </c>
      <c r="Q76" s="183">
        <f>SUMIFS('октябрь 2025'!$G$2:$G$2619,'октябрь 2025'!$D$2:$D$2619,$B76,'октябрь 2025'!$J$2:$J$2619,Q$1)</f>
        <v>0</v>
      </c>
      <c r="R76" s="183">
        <f>SUMIFS('октябрь 2025'!$G$2:$G$2619,'октябрь 2025'!$D$2:$D$2619,$B76,'октябрь 2025'!$J$2:$J$2619,R$1)</f>
        <v>0</v>
      </c>
      <c r="S76" s="183">
        <f>SUMIFS('октябрь 2025'!$G$2:$G$2619,'октябрь 2025'!$D$2:$D$2619,$B76,'октябрь 2025'!$J$2:$J$2619,S$1)</f>
        <v>0</v>
      </c>
      <c r="T76" s="183">
        <f>SUMIFS('октябрь 2025'!$G$2:$G$2619,'октябрь 2025'!$D$2:$D$2619,$B76,'октябрь 2025'!$J$2:$J$2619,T$1)</f>
        <v>0</v>
      </c>
      <c r="U76" s="183">
        <f>SUMIFS('октябрь 2025'!$G$2:$G$2619,'октябрь 2025'!$D$2:$D$2619,$B76,'октябрь 2025'!$J$2:$J$2619,U$1)</f>
        <v>0</v>
      </c>
      <c r="V76" s="183">
        <f>SUMIFS('октябрь 2025'!$G$2:$G$2619,'октябрь 2025'!$D$2:$D$2619,$B76,'октябрь 2025'!$J$2:$J$2619,V$1)</f>
        <v>0</v>
      </c>
      <c r="W76" s="183">
        <f>SUMIFS('октябрь 2025'!$G$2:$G$2619,'октябрь 2025'!$D$2:$D$2619,$B76,'октябрь 2025'!$J$2:$J$2619,W$1)</f>
        <v>0</v>
      </c>
      <c r="X76" s="183">
        <f>SUMIFS('октябрь 2025'!$G$2:$G$2619,'октябрь 2025'!$D$2:$D$2619,$B76,'октябрь 2025'!$J$2:$J$2619,X$1)</f>
        <v>0</v>
      </c>
      <c r="Y76" s="183">
        <f>SUMIFS('октябрь 2025'!$G$2:$G$2619,'октябрь 2025'!$D$2:$D$2619,$B76,'октябрь 2025'!$J$2:$J$2619,Y$1)</f>
        <v>0</v>
      </c>
      <c r="Z76" s="183">
        <f>SUMIFS('октябрь 2025'!$G$2:$G$2619,'октябрь 2025'!$D$2:$D$2619,$B76,'октябрь 2025'!$J$2:$J$2619,Z$1)</f>
        <v>0</v>
      </c>
      <c r="AA76" s="183">
        <f>SUMIFS('октябрь 2025'!$G$2:$G$2619,'октябрь 2025'!$D$2:$D$2619,$B76,'октябрь 2025'!$J$2:$J$2619,AA$1)</f>
        <v>0</v>
      </c>
      <c r="AB76" s="183">
        <f>SUMIFS('октябрь 2025'!$G$2:$G$2619,'октябрь 2025'!$D$2:$D$2619,$B76,'октябрь 2025'!$J$2:$J$2619,AB$1)</f>
        <v>0</v>
      </c>
      <c r="AC76" s="183">
        <f>SUMIFS('октябрь 2025'!$G$2:$G$2619,'октябрь 2025'!$D$2:$D$2619,$B76,'октябрь 2025'!$J$2:$J$2619,AC$1)</f>
        <v>0</v>
      </c>
      <c r="AD76" s="183">
        <f>SUMIFS('октябрь 2025'!$G$2:$G$2619,'октябрь 2025'!$D$2:$D$2619,$B76,'октябрь 2025'!$J$2:$J$2619,AD$1)</f>
        <v>0</v>
      </c>
      <c r="AE76" s="183">
        <f>SUMIFS('октябрь 2025'!$G$2:$G$2619,'октябрь 2025'!$D$2:$D$2619,$B76,'октябрь 2025'!$J$2:$J$2619,AE$1)</f>
        <v>0</v>
      </c>
      <c r="AF76" s="183">
        <f>SUMIFS('октябрь 2025'!$G$2:$G$2619,'октябрь 2025'!$D$2:$D$2619,$B76,'октябрь 2025'!$J$2:$J$2619,AF$1)</f>
        <v>0</v>
      </c>
      <c r="AG76" s="183">
        <f>SUMIFS('октябрь 2025'!$G$2:$G$2619,'октябрь 2025'!$D$2:$D$2619,$B76,'октябрь 2025'!$J$2:$J$2619,AG$1)</f>
        <v>0</v>
      </c>
      <c r="AH76" s="183">
        <f>SUMIFS('октябрь 2025'!$G$2:$G$2619,'октябрь 2025'!$D$2:$D$2619,$B76,'октябрь 2025'!$J$2:$J$2619,AH$1)</f>
        <v>0</v>
      </c>
      <c r="AI76" s="20">
        <f t="shared" si="1"/>
        <v>0</v>
      </c>
    </row>
    <row r="77" spans="2:35" ht="15" customHeight="1" x14ac:dyDescent="0.25">
      <c r="B77" s="88" t="s">
        <v>187</v>
      </c>
      <c r="C77" s="86">
        <v>200</v>
      </c>
      <c r="D77" s="183">
        <f>SUMIFS('октябрь 2025'!$G$2:$G$2619,'октябрь 2025'!$D$2:$D$2619,$B77,'октябрь 2025'!$J$2:$J$2619,D$1)</f>
        <v>0</v>
      </c>
      <c r="E77" s="183">
        <f>SUMIFS('октябрь 2025'!$G$2:$G$2619,'октябрь 2025'!$D$2:$D$2619,$B77,'октябрь 2025'!$J$2:$J$2619,E$1)</f>
        <v>0</v>
      </c>
      <c r="F77" s="183">
        <f>SUMIFS('октябрь 2025'!$G$2:$G$2619,'октябрь 2025'!$D$2:$D$2619,$B77,'октябрь 2025'!$J$2:$J$2619,F$1)</f>
        <v>0</v>
      </c>
      <c r="G77" s="183">
        <f>SUMIFS('октябрь 2025'!$G$2:$G$2619,'октябрь 2025'!$D$2:$D$2619,$B77,'октябрь 2025'!$J$2:$J$2619,G$1)</f>
        <v>0</v>
      </c>
      <c r="H77" s="183">
        <f>SUMIFS('октябрь 2025'!$G$2:$G$2619,'октябрь 2025'!$D$2:$D$2619,$B77,'октябрь 2025'!$J$2:$J$2619,H$1)</f>
        <v>0</v>
      </c>
      <c r="I77" s="183">
        <f>SUMIFS('октябрь 2025'!$G$2:$G$2619,'октябрь 2025'!$D$2:$D$2619,$B77,'октябрь 2025'!$J$2:$J$2619,I$1)</f>
        <v>0</v>
      </c>
      <c r="J77" s="183">
        <f>SUMIFS('октябрь 2025'!$G$2:$G$2619,'октябрь 2025'!$D$2:$D$2619,$B77,'октябрь 2025'!$J$2:$J$2619,J$1)</f>
        <v>0</v>
      </c>
      <c r="K77" s="183">
        <f>SUMIFS('октябрь 2025'!$G$2:$G$2619,'октябрь 2025'!$D$2:$D$2619,$B77,'октябрь 2025'!$J$2:$J$2619,K$1)</f>
        <v>0</v>
      </c>
      <c r="L77" s="183">
        <f>SUMIFS('октябрь 2025'!$G$2:$G$2619,'октябрь 2025'!$D$2:$D$2619,$B77,'октябрь 2025'!$J$2:$J$2619,L$1)</f>
        <v>0</v>
      </c>
      <c r="M77" s="183">
        <f>SUMIFS('октябрь 2025'!$G$2:$G$2619,'октябрь 2025'!$D$2:$D$2619,$B77,'октябрь 2025'!$J$2:$J$2619,M$1)</f>
        <v>0</v>
      </c>
      <c r="N77" s="183">
        <f>SUMIFS('октябрь 2025'!$G$2:$G$2619,'октябрь 2025'!$D$2:$D$2619,$B77,'октябрь 2025'!$J$2:$J$2619,N$1)</f>
        <v>0</v>
      </c>
      <c r="O77" s="183">
        <f>SUMIFS('октябрь 2025'!$G$2:$G$2619,'октябрь 2025'!$D$2:$D$2619,$B77,'октябрь 2025'!$J$2:$J$2619,O$1)</f>
        <v>0</v>
      </c>
      <c r="P77" s="183">
        <f>SUMIFS('октябрь 2025'!$G$2:$G$2619,'октябрь 2025'!$D$2:$D$2619,$B77,'октябрь 2025'!$J$2:$J$2619,P$1)</f>
        <v>0</v>
      </c>
      <c r="Q77" s="183">
        <f>SUMIFS('октябрь 2025'!$G$2:$G$2619,'октябрь 2025'!$D$2:$D$2619,$B77,'октябрь 2025'!$J$2:$J$2619,Q$1)</f>
        <v>0</v>
      </c>
      <c r="R77" s="183">
        <f>SUMIFS('октябрь 2025'!$G$2:$G$2619,'октябрь 2025'!$D$2:$D$2619,$B77,'октябрь 2025'!$J$2:$J$2619,R$1)</f>
        <v>0</v>
      </c>
      <c r="S77" s="183">
        <f>SUMIFS('октябрь 2025'!$G$2:$G$2619,'октябрь 2025'!$D$2:$D$2619,$B77,'октябрь 2025'!$J$2:$J$2619,S$1)</f>
        <v>0</v>
      </c>
      <c r="T77" s="183">
        <f>SUMIFS('октябрь 2025'!$G$2:$G$2619,'октябрь 2025'!$D$2:$D$2619,$B77,'октябрь 2025'!$J$2:$J$2619,T$1)</f>
        <v>0</v>
      </c>
      <c r="U77" s="183">
        <f>SUMIFS('октябрь 2025'!$G$2:$G$2619,'октябрь 2025'!$D$2:$D$2619,$B77,'октябрь 2025'!$J$2:$J$2619,U$1)</f>
        <v>0</v>
      </c>
      <c r="V77" s="183">
        <f>SUMIFS('октябрь 2025'!$G$2:$G$2619,'октябрь 2025'!$D$2:$D$2619,$B77,'октябрь 2025'!$J$2:$J$2619,V$1)</f>
        <v>0</v>
      </c>
      <c r="W77" s="183">
        <f>SUMIFS('октябрь 2025'!$G$2:$G$2619,'октябрь 2025'!$D$2:$D$2619,$B77,'октябрь 2025'!$J$2:$J$2619,W$1)</f>
        <v>0</v>
      </c>
      <c r="X77" s="183">
        <f>SUMIFS('октябрь 2025'!$G$2:$G$2619,'октябрь 2025'!$D$2:$D$2619,$B77,'октябрь 2025'!$J$2:$J$2619,X$1)</f>
        <v>0</v>
      </c>
      <c r="Y77" s="183">
        <f>SUMIFS('октябрь 2025'!$G$2:$G$2619,'октябрь 2025'!$D$2:$D$2619,$B77,'октябрь 2025'!$J$2:$J$2619,Y$1)</f>
        <v>0</v>
      </c>
      <c r="Z77" s="183">
        <f>SUMIFS('октябрь 2025'!$G$2:$G$2619,'октябрь 2025'!$D$2:$D$2619,$B77,'октябрь 2025'!$J$2:$J$2619,Z$1)</f>
        <v>0</v>
      </c>
      <c r="AA77" s="183">
        <f>SUMIFS('октябрь 2025'!$G$2:$G$2619,'октябрь 2025'!$D$2:$D$2619,$B77,'октябрь 2025'!$J$2:$J$2619,AA$1)</f>
        <v>0</v>
      </c>
      <c r="AB77" s="183">
        <f>SUMIFS('октябрь 2025'!$G$2:$G$2619,'октябрь 2025'!$D$2:$D$2619,$B77,'октябрь 2025'!$J$2:$J$2619,AB$1)</f>
        <v>0</v>
      </c>
      <c r="AC77" s="183">
        <f>SUMIFS('октябрь 2025'!$G$2:$G$2619,'октябрь 2025'!$D$2:$D$2619,$B77,'октябрь 2025'!$J$2:$J$2619,AC$1)</f>
        <v>0</v>
      </c>
      <c r="AD77" s="183">
        <f>SUMIFS('октябрь 2025'!$G$2:$G$2619,'октябрь 2025'!$D$2:$D$2619,$B77,'октябрь 2025'!$J$2:$J$2619,AD$1)</f>
        <v>0</v>
      </c>
      <c r="AE77" s="183">
        <f>SUMIFS('октябрь 2025'!$G$2:$G$2619,'октябрь 2025'!$D$2:$D$2619,$B77,'октябрь 2025'!$J$2:$J$2619,AE$1)</f>
        <v>0</v>
      </c>
      <c r="AF77" s="183">
        <f>SUMIFS('октябрь 2025'!$G$2:$G$2619,'октябрь 2025'!$D$2:$D$2619,$B77,'октябрь 2025'!$J$2:$J$2619,AF$1)</f>
        <v>0</v>
      </c>
      <c r="AG77" s="183">
        <f>SUMIFS('октябрь 2025'!$G$2:$G$2619,'октябрь 2025'!$D$2:$D$2619,$B77,'октябрь 2025'!$J$2:$J$2619,AG$1)</f>
        <v>0</v>
      </c>
      <c r="AH77" s="183">
        <f>SUMIFS('октябрь 2025'!$G$2:$G$2619,'октябрь 2025'!$D$2:$D$2619,$B77,'октябрь 2025'!$J$2:$J$2619,AH$1)</f>
        <v>0</v>
      </c>
      <c r="AI77" s="20">
        <f t="shared" si="1"/>
        <v>0</v>
      </c>
    </row>
    <row r="78" spans="2:35" ht="15" customHeight="1" x14ac:dyDescent="0.25">
      <c r="B78" s="88" t="s">
        <v>188</v>
      </c>
      <c r="C78" s="86">
        <v>200</v>
      </c>
      <c r="D78" s="183">
        <f>SUMIFS('октябрь 2025'!$G$2:$G$2619,'октябрь 2025'!$D$2:$D$2619,$B78,'октябрь 2025'!$J$2:$J$2619,D$1)</f>
        <v>0</v>
      </c>
      <c r="E78" s="183">
        <f>SUMIFS('октябрь 2025'!$G$2:$G$2619,'октябрь 2025'!$D$2:$D$2619,$B78,'октябрь 2025'!$J$2:$J$2619,E$1)</f>
        <v>0</v>
      </c>
      <c r="F78" s="183">
        <f>SUMIFS('октябрь 2025'!$G$2:$G$2619,'октябрь 2025'!$D$2:$D$2619,$B78,'октябрь 2025'!$J$2:$J$2619,F$1)</f>
        <v>0</v>
      </c>
      <c r="G78" s="183">
        <f>SUMIFS('октябрь 2025'!$G$2:$G$2619,'октябрь 2025'!$D$2:$D$2619,$B78,'октябрь 2025'!$J$2:$J$2619,G$1)</f>
        <v>0</v>
      </c>
      <c r="H78" s="183">
        <f>SUMIFS('октябрь 2025'!$G$2:$G$2619,'октябрь 2025'!$D$2:$D$2619,$B78,'октябрь 2025'!$J$2:$J$2619,H$1)</f>
        <v>0</v>
      </c>
      <c r="I78" s="183">
        <f>SUMIFS('октябрь 2025'!$G$2:$G$2619,'октябрь 2025'!$D$2:$D$2619,$B78,'октябрь 2025'!$J$2:$J$2619,I$1)</f>
        <v>0</v>
      </c>
      <c r="J78" s="183">
        <f>SUMIFS('октябрь 2025'!$G$2:$G$2619,'октябрь 2025'!$D$2:$D$2619,$B78,'октябрь 2025'!$J$2:$J$2619,J$1)</f>
        <v>0</v>
      </c>
      <c r="K78" s="183">
        <f>SUMIFS('октябрь 2025'!$G$2:$G$2619,'октябрь 2025'!$D$2:$D$2619,$B78,'октябрь 2025'!$J$2:$J$2619,K$1)</f>
        <v>0</v>
      </c>
      <c r="L78" s="183">
        <f>SUMIFS('октябрь 2025'!$G$2:$G$2619,'октябрь 2025'!$D$2:$D$2619,$B78,'октябрь 2025'!$J$2:$J$2619,L$1)</f>
        <v>0</v>
      </c>
      <c r="M78" s="183">
        <f>SUMIFS('октябрь 2025'!$G$2:$G$2619,'октябрь 2025'!$D$2:$D$2619,$B78,'октябрь 2025'!$J$2:$J$2619,M$1)</f>
        <v>0</v>
      </c>
      <c r="N78" s="183">
        <f>SUMIFS('октябрь 2025'!$G$2:$G$2619,'октябрь 2025'!$D$2:$D$2619,$B78,'октябрь 2025'!$J$2:$J$2619,N$1)</f>
        <v>0</v>
      </c>
      <c r="O78" s="183">
        <f>SUMIFS('октябрь 2025'!$G$2:$G$2619,'октябрь 2025'!$D$2:$D$2619,$B78,'октябрь 2025'!$J$2:$J$2619,O$1)</f>
        <v>0</v>
      </c>
      <c r="P78" s="183">
        <f>SUMIFS('октябрь 2025'!$G$2:$G$2619,'октябрь 2025'!$D$2:$D$2619,$B78,'октябрь 2025'!$J$2:$J$2619,P$1)</f>
        <v>0</v>
      </c>
      <c r="Q78" s="183">
        <f>SUMIFS('октябрь 2025'!$G$2:$G$2619,'октябрь 2025'!$D$2:$D$2619,$B78,'октябрь 2025'!$J$2:$J$2619,Q$1)</f>
        <v>0</v>
      </c>
      <c r="R78" s="183">
        <f>SUMIFS('октябрь 2025'!$G$2:$G$2619,'октябрь 2025'!$D$2:$D$2619,$B78,'октябрь 2025'!$J$2:$J$2619,R$1)</f>
        <v>0</v>
      </c>
      <c r="S78" s="183">
        <f>SUMIFS('октябрь 2025'!$G$2:$G$2619,'октябрь 2025'!$D$2:$D$2619,$B78,'октябрь 2025'!$J$2:$J$2619,S$1)</f>
        <v>0</v>
      </c>
      <c r="T78" s="183">
        <f>SUMIFS('октябрь 2025'!$G$2:$G$2619,'октябрь 2025'!$D$2:$D$2619,$B78,'октябрь 2025'!$J$2:$J$2619,T$1)</f>
        <v>0</v>
      </c>
      <c r="U78" s="183">
        <f>SUMIFS('октябрь 2025'!$G$2:$G$2619,'октябрь 2025'!$D$2:$D$2619,$B78,'октябрь 2025'!$J$2:$J$2619,U$1)</f>
        <v>0</v>
      </c>
      <c r="V78" s="183">
        <f>SUMIFS('октябрь 2025'!$G$2:$G$2619,'октябрь 2025'!$D$2:$D$2619,$B78,'октябрь 2025'!$J$2:$J$2619,V$1)</f>
        <v>0</v>
      </c>
      <c r="W78" s="183">
        <f>SUMIFS('октябрь 2025'!$G$2:$G$2619,'октябрь 2025'!$D$2:$D$2619,$B78,'октябрь 2025'!$J$2:$J$2619,W$1)</f>
        <v>0</v>
      </c>
      <c r="X78" s="183">
        <f>SUMIFS('октябрь 2025'!$G$2:$G$2619,'октябрь 2025'!$D$2:$D$2619,$B78,'октябрь 2025'!$J$2:$J$2619,X$1)</f>
        <v>0</v>
      </c>
      <c r="Y78" s="183">
        <f>SUMIFS('октябрь 2025'!$G$2:$G$2619,'октябрь 2025'!$D$2:$D$2619,$B78,'октябрь 2025'!$J$2:$J$2619,Y$1)</f>
        <v>0</v>
      </c>
      <c r="Z78" s="183">
        <f>SUMIFS('октябрь 2025'!$G$2:$G$2619,'октябрь 2025'!$D$2:$D$2619,$B78,'октябрь 2025'!$J$2:$J$2619,Z$1)</f>
        <v>0</v>
      </c>
      <c r="AA78" s="183">
        <f>SUMIFS('октябрь 2025'!$G$2:$G$2619,'октябрь 2025'!$D$2:$D$2619,$B78,'октябрь 2025'!$J$2:$J$2619,AA$1)</f>
        <v>0</v>
      </c>
      <c r="AB78" s="183">
        <f>SUMIFS('октябрь 2025'!$G$2:$G$2619,'октябрь 2025'!$D$2:$D$2619,$B78,'октябрь 2025'!$J$2:$J$2619,AB$1)</f>
        <v>0</v>
      </c>
      <c r="AC78" s="183">
        <f>SUMIFS('октябрь 2025'!$G$2:$G$2619,'октябрь 2025'!$D$2:$D$2619,$B78,'октябрь 2025'!$J$2:$J$2619,AC$1)</f>
        <v>0</v>
      </c>
      <c r="AD78" s="183">
        <f>SUMIFS('октябрь 2025'!$G$2:$G$2619,'октябрь 2025'!$D$2:$D$2619,$B78,'октябрь 2025'!$J$2:$J$2619,AD$1)</f>
        <v>0</v>
      </c>
      <c r="AE78" s="183">
        <f>SUMIFS('октябрь 2025'!$G$2:$G$2619,'октябрь 2025'!$D$2:$D$2619,$B78,'октябрь 2025'!$J$2:$J$2619,AE$1)</f>
        <v>0</v>
      </c>
      <c r="AF78" s="183">
        <f>SUMIFS('октябрь 2025'!$G$2:$G$2619,'октябрь 2025'!$D$2:$D$2619,$B78,'октябрь 2025'!$J$2:$J$2619,AF$1)</f>
        <v>0</v>
      </c>
      <c r="AG78" s="183">
        <f>SUMIFS('октябрь 2025'!$G$2:$G$2619,'октябрь 2025'!$D$2:$D$2619,$B78,'октябрь 2025'!$J$2:$J$2619,AG$1)</f>
        <v>0</v>
      </c>
      <c r="AH78" s="183">
        <f>SUMIFS('октябрь 2025'!$G$2:$G$2619,'октябрь 2025'!$D$2:$D$2619,$B78,'октябрь 2025'!$J$2:$J$2619,AH$1)</f>
        <v>0</v>
      </c>
      <c r="AI78" s="20">
        <f t="shared" si="1"/>
        <v>0</v>
      </c>
    </row>
    <row r="79" spans="2:35" ht="15" customHeight="1" x14ac:dyDescent="0.25">
      <c r="B79" s="88" t="s">
        <v>256</v>
      </c>
      <c r="C79" s="86">
        <v>190</v>
      </c>
      <c r="D79" s="183">
        <f>SUMIFS('октябрь 2025'!$G$2:$G$2619,'октябрь 2025'!$D$2:$D$2619,$B79,'октябрь 2025'!$J$2:$J$2619,D$1)</f>
        <v>0</v>
      </c>
      <c r="E79" s="183">
        <f>SUMIFS('октябрь 2025'!$G$2:$G$2619,'октябрь 2025'!$D$2:$D$2619,$B79,'октябрь 2025'!$J$2:$J$2619,E$1)</f>
        <v>0</v>
      </c>
      <c r="F79" s="183">
        <f>SUMIFS('октябрь 2025'!$G$2:$G$2619,'октябрь 2025'!$D$2:$D$2619,$B79,'октябрь 2025'!$J$2:$J$2619,F$1)</f>
        <v>0</v>
      </c>
      <c r="G79" s="183">
        <f>SUMIFS('октябрь 2025'!$G$2:$G$2619,'октябрь 2025'!$D$2:$D$2619,$B79,'октябрь 2025'!$J$2:$J$2619,G$1)</f>
        <v>0</v>
      </c>
      <c r="H79" s="183">
        <f>SUMIFS('октябрь 2025'!$G$2:$G$2619,'октябрь 2025'!$D$2:$D$2619,$B79,'октябрь 2025'!$J$2:$J$2619,H$1)</f>
        <v>0</v>
      </c>
      <c r="I79" s="183">
        <f>SUMIFS('октябрь 2025'!$G$2:$G$2619,'октябрь 2025'!$D$2:$D$2619,$B79,'октябрь 2025'!$J$2:$J$2619,I$1)</f>
        <v>0</v>
      </c>
      <c r="J79" s="183">
        <f>SUMIFS('октябрь 2025'!$G$2:$G$2619,'октябрь 2025'!$D$2:$D$2619,$B79,'октябрь 2025'!$J$2:$J$2619,J$1)</f>
        <v>0</v>
      </c>
      <c r="K79" s="183">
        <f>SUMIFS('октябрь 2025'!$G$2:$G$2619,'октябрь 2025'!$D$2:$D$2619,$B79,'октябрь 2025'!$J$2:$J$2619,K$1)</f>
        <v>0</v>
      </c>
      <c r="L79" s="183">
        <f>SUMIFS('октябрь 2025'!$G$2:$G$2619,'октябрь 2025'!$D$2:$D$2619,$B79,'октябрь 2025'!$J$2:$J$2619,L$1)</f>
        <v>0</v>
      </c>
      <c r="M79" s="183">
        <f>SUMIFS('октябрь 2025'!$G$2:$G$2619,'октябрь 2025'!$D$2:$D$2619,$B79,'октябрь 2025'!$J$2:$J$2619,M$1)</f>
        <v>0</v>
      </c>
      <c r="N79" s="183">
        <f>SUMIFS('октябрь 2025'!$G$2:$G$2619,'октябрь 2025'!$D$2:$D$2619,$B79,'октябрь 2025'!$J$2:$J$2619,N$1)</f>
        <v>0</v>
      </c>
      <c r="O79" s="183">
        <f>SUMIFS('октябрь 2025'!$G$2:$G$2619,'октябрь 2025'!$D$2:$D$2619,$B79,'октябрь 2025'!$J$2:$J$2619,O$1)</f>
        <v>0</v>
      </c>
      <c r="P79" s="183">
        <f>SUMIFS('октябрь 2025'!$G$2:$G$2619,'октябрь 2025'!$D$2:$D$2619,$B79,'октябрь 2025'!$J$2:$J$2619,P$1)</f>
        <v>0</v>
      </c>
      <c r="Q79" s="183">
        <f>SUMIFS('октябрь 2025'!$G$2:$G$2619,'октябрь 2025'!$D$2:$D$2619,$B79,'октябрь 2025'!$J$2:$J$2619,Q$1)</f>
        <v>0</v>
      </c>
      <c r="R79" s="183">
        <f>SUMIFS('октябрь 2025'!$G$2:$G$2619,'октябрь 2025'!$D$2:$D$2619,$B79,'октябрь 2025'!$J$2:$J$2619,R$1)</f>
        <v>0</v>
      </c>
      <c r="S79" s="183">
        <f>SUMIFS('октябрь 2025'!$G$2:$G$2619,'октябрь 2025'!$D$2:$D$2619,$B79,'октябрь 2025'!$J$2:$J$2619,S$1)</f>
        <v>0</v>
      </c>
      <c r="T79" s="183">
        <f>SUMIFS('октябрь 2025'!$G$2:$G$2619,'октябрь 2025'!$D$2:$D$2619,$B79,'октябрь 2025'!$J$2:$J$2619,T$1)</f>
        <v>0</v>
      </c>
      <c r="U79" s="183">
        <f>SUMIFS('октябрь 2025'!$G$2:$G$2619,'октябрь 2025'!$D$2:$D$2619,$B79,'октябрь 2025'!$J$2:$J$2619,U$1)</f>
        <v>0</v>
      </c>
      <c r="V79" s="183">
        <f>SUMIFS('октябрь 2025'!$G$2:$G$2619,'октябрь 2025'!$D$2:$D$2619,$B79,'октябрь 2025'!$J$2:$J$2619,V$1)</f>
        <v>0</v>
      </c>
      <c r="W79" s="183">
        <f>SUMIFS('октябрь 2025'!$G$2:$G$2619,'октябрь 2025'!$D$2:$D$2619,$B79,'октябрь 2025'!$J$2:$J$2619,W$1)</f>
        <v>0</v>
      </c>
      <c r="X79" s="183">
        <f>SUMIFS('октябрь 2025'!$G$2:$G$2619,'октябрь 2025'!$D$2:$D$2619,$B79,'октябрь 2025'!$J$2:$J$2619,X$1)</f>
        <v>0</v>
      </c>
      <c r="Y79" s="183">
        <f>SUMIFS('октябрь 2025'!$G$2:$G$2619,'октябрь 2025'!$D$2:$D$2619,$B79,'октябрь 2025'!$J$2:$J$2619,Y$1)</f>
        <v>0</v>
      </c>
      <c r="Z79" s="183">
        <f>SUMIFS('октябрь 2025'!$G$2:$G$2619,'октябрь 2025'!$D$2:$D$2619,$B79,'октябрь 2025'!$J$2:$J$2619,Z$1)</f>
        <v>0</v>
      </c>
      <c r="AA79" s="183">
        <f>SUMIFS('октябрь 2025'!$G$2:$G$2619,'октябрь 2025'!$D$2:$D$2619,$B79,'октябрь 2025'!$J$2:$J$2619,AA$1)</f>
        <v>0</v>
      </c>
      <c r="AB79" s="183">
        <f>SUMIFS('октябрь 2025'!$G$2:$G$2619,'октябрь 2025'!$D$2:$D$2619,$B79,'октябрь 2025'!$J$2:$J$2619,AB$1)</f>
        <v>0</v>
      </c>
      <c r="AC79" s="183">
        <f>SUMIFS('октябрь 2025'!$G$2:$G$2619,'октябрь 2025'!$D$2:$D$2619,$B79,'октябрь 2025'!$J$2:$J$2619,AC$1)</f>
        <v>0</v>
      </c>
      <c r="AD79" s="183">
        <f>SUMIFS('октябрь 2025'!$G$2:$G$2619,'октябрь 2025'!$D$2:$D$2619,$B79,'октябрь 2025'!$J$2:$J$2619,AD$1)</f>
        <v>0</v>
      </c>
      <c r="AE79" s="183">
        <f>SUMIFS('октябрь 2025'!$G$2:$G$2619,'октябрь 2025'!$D$2:$D$2619,$B79,'октябрь 2025'!$J$2:$J$2619,AE$1)</f>
        <v>0</v>
      </c>
      <c r="AF79" s="183">
        <f>SUMIFS('октябрь 2025'!$G$2:$G$2619,'октябрь 2025'!$D$2:$D$2619,$B79,'октябрь 2025'!$J$2:$J$2619,AF$1)</f>
        <v>0</v>
      </c>
      <c r="AG79" s="183">
        <f>SUMIFS('октябрь 2025'!$G$2:$G$2619,'октябрь 2025'!$D$2:$D$2619,$B79,'октябрь 2025'!$J$2:$J$2619,AG$1)</f>
        <v>0</v>
      </c>
      <c r="AH79" s="183">
        <f>SUMIFS('октябрь 2025'!$G$2:$G$2619,'октябрь 2025'!$D$2:$D$2619,$B79,'октябрь 2025'!$J$2:$J$2619,AH$1)</f>
        <v>0</v>
      </c>
      <c r="AI79" s="20">
        <f t="shared" si="1"/>
        <v>0</v>
      </c>
    </row>
    <row r="80" spans="2:35" ht="15" customHeight="1" x14ac:dyDescent="0.25">
      <c r="B80" s="88" t="s">
        <v>199</v>
      </c>
      <c r="C80" s="86">
        <v>200</v>
      </c>
      <c r="D80" s="183">
        <f>SUMIFS('октябрь 2025'!$G$2:$G$2619,'октябрь 2025'!$D$2:$D$2619,$B80,'октябрь 2025'!$J$2:$J$2619,D$1)</f>
        <v>0</v>
      </c>
      <c r="E80" s="183">
        <f>SUMIFS('октябрь 2025'!$G$2:$G$2619,'октябрь 2025'!$D$2:$D$2619,$B80,'октябрь 2025'!$J$2:$J$2619,E$1)</f>
        <v>0</v>
      </c>
      <c r="F80" s="183">
        <f>SUMIFS('октябрь 2025'!$G$2:$G$2619,'октябрь 2025'!$D$2:$D$2619,$B80,'октябрь 2025'!$J$2:$J$2619,F$1)</f>
        <v>0</v>
      </c>
      <c r="G80" s="183">
        <f>SUMIFS('октябрь 2025'!$G$2:$G$2619,'октябрь 2025'!$D$2:$D$2619,$B80,'октябрь 2025'!$J$2:$J$2619,G$1)</f>
        <v>0</v>
      </c>
      <c r="H80" s="183">
        <f>SUMIFS('октябрь 2025'!$G$2:$G$2619,'октябрь 2025'!$D$2:$D$2619,$B80,'октябрь 2025'!$J$2:$J$2619,H$1)</f>
        <v>0</v>
      </c>
      <c r="I80" s="183">
        <f>SUMIFS('октябрь 2025'!$G$2:$G$2619,'октябрь 2025'!$D$2:$D$2619,$B80,'октябрь 2025'!$J$2:$J$2619,I$1)</f>
        <v>0</v>
      </c>
      <c r="J80" s="183">
        <f>SUMIFS('октябрь 2025'!$G$2:$G$2619,'октябрь 2025'!$D$2:$D$2619,$B80,'октябрь 2025'!$J$2:$J$2619,J$1)</f>
        <v>0</v>
      </c>
      <c r="K80" s="183">
        <f>SUMIFS('октябрь 2025'!$G$2:$G$2619,'октябрь 2025'!$D$2:$D$2619,$B80,'октябрь 2025'!$J$2:$J$2619,K$1)</f>
        <v>0</v>
      </c>
      <c r="L80" s="183">
        <f>SUMIFS('октябрь 2025'!$G$2:$G$2619,'октябрь 2025'!$D$2:$D$2619,$B80,'октябрь 2025'!$J$2:$J$2619,L$1)</f>
        <v>0</v>
      </c>
      <c r="M80" s="183">
        <f>SUMIFS('октябрь 2025'!$G$2:$G$2619,'октябрь 2025'!$D$2:$D$2619,$B80,'октябрь 2025'!$J$2:$J$2619,M$1)</f>
        <v>0</v>
      </c>
      <c r="N80" s="183">
        <f>SUMIFS('октябрь 2025'!$G$2:$G$2619,'октябрь 2025'!$D$2:$D$2619,$B80,'октябрь 2025'!$J$2:$J$2619,N$1)</f>
        <v>0</v>
      </c>
      <c r="O80" s="183">
        <f>SUMIFS('октябрь 2025'!$G$2:$G$2619,'октябрь 2025'!$D$2:$D$2619,$B80,'октябрь 2025'!$J$2:$J$2619,O$1)</f>
        <v>0</v>
      </c>
      <c r="P80" s="183">
        <f>SUMIFS('октябрь 2025'!$G$2:$G$2619,'октябрь 2025'!$D$2:$D$2619,$B80,'октябрь 2025'!$J$2:$J$2619,P$1)</f>
        <v>0</v>
      </c>
      <c r="Q80" s="183">
        <f>SUMIFS('октябрь 2025'!$G$2:$G$2619,'октябрь 2025'!$D$2:$D$2619,$B80,'октябрь 2025'!$J$2:$J$2619,Q$1)</f>
        <v>0</v>
      </c>
      <c r="R80" s="183">
        <f>SUMIFS('октябрь 2025'!$G$2:$G$2619,'октябрь 2025'!$D$2:$D$2619,$B80,'октябрь 2025'!$J$2:$J$2619,R$1)</f>
        <v>0</v>
      </c>
      <c r="S80" s="183">
        <f>SUMIFS('октябрь 2025'!$G$2:$G$2619,'октябрь 2025'!$D$2:$D$2619,$B80,'октябрь 2025'!$J$2:$J$2619,S$1)</f>
        <v>0</v>
      </c>
      <c r="T80" s="183">
        <f>SUMIFS('октябрь 2025'!$G$2:$G$2619,'октябрь 2025'!$D$2:$D$2619,$B80,'октябрь 2025'!$J$2:$J$2619,T$1)</f>
        <v>0</v>
      </c>
      <c r="U80" s="183">
        <f>SUMIFS('октябрь 2025'!$G$2:$G$2619,'октябрь 2025'!$D$2:$D$2619,$B80,'октябрь 2025'!$J$2:$J$2619,U$1)</f>
        <v>0</v>
      </c>
      <c r="V80" s="183">
        <f>SUMIFS('октябрь 2025'!$G$2:$G$2619,'октябрь 2025'!$D$2:$D$2619,$B80,'октябрь 2025'!$J$2:$J$2619,V$1)</f>
        <v>0</v>
      </c>
      <c r="W80" s="183">
        <f>SUMIFS('октябрь 2025'!$G$2:$G$2619,'октябрь 2025'!$D$2:$D$2619,$B80,'октябрь 2025'!$J$2:$J$2619,W$1)</f>
        <v>0</v>
      </c>
      <c r="X80" s="183">
        <f>SUMIFS('октябрь 2025'!$G$2:$G$2619,'октябрь 2025'!$D$2:$D$2619,$B80,'октябрь 2025'!$J$2:$J$2619,X$1)</f>
        <v>0</v>
      </c>
      <c r="Y80" s="183">
        <f>SUMIFS('октябрь 2025'!$G$2:$G$2619,'октябрь 2025'!$D$2:$D$2619,$B80,'октябрь 2025'!$J$2:$J$2619,Y$1)</f>
        <v>0</v>
      </c>
      <c r="Z80" s="183">
        <f>SUMIFS('октябрь 2025'!$G$2:$G$2619,'октябрь 2025'!$D$2:$D$2619,$B80,'октябрь 2025'!$J$2:$J$2619,Z$1)</f>
        <v>0</v>
      </c>
      <c r="AA80" s="183">
        <f>SUMIFS('октябрь 2025'!$G$2:$G$2619,'октябрь 2025'!$D$2:$D$2619,$B80,'октябрь 2025'!$J$2:$J$2619,AA$1)</f>
        <v>0</v>
      </c>
      <c r="AB80" s="183">
        <f>SUMIFS('октябрь 2025'!$G$2:$G$2619,'октябрь 2025'!$D$2:$D$2619,$B80,'октябрь 2025'!$J$2:$J$2619,AB$1)</f>
        <v>0</v>
      </c>
      <c r="AC80" s="183">
        <f>SUMIFS('октябрь 2025'!$G$2:$G$2619,'октябрь 2025'!$D$2:$D$2619,$B80,'октябрь 2025'!$J$2:$J$2619,AC$1)</f>
        <v>0</v>
      </c>
      <c r="AD80" s="183">
        <f>SUMIFS('октябрь 2025'!$G$2:$G$2619,'октябрь 2025'!$D$2:$D$2619,$B80,'октябрь 2025'!$J$2:$J$2619,AD$1)</f>
        <v>0</v>
      </c>
      <c r="AE80" s="183">
        <f>SUMIFS('октябрь 2025'!$G$2:$G$2619,'октябрь 2025'!$D$2:$D$2619,$B80,'октябрь 2025'!$J$2:$J$2619,AE$1)</f>
        <v>0</v>
      </c>
      <c r="AF80" s="183">
        <f>SUMIFS('октябрь 2025'!$G$2:$G$2619,'октябрь 2025'!$D$2:$D$2619,$B80,'октябрь 2025'!$J$2:$J$2619,AF$1)</f>
        <v>0</v>
      </c>
      <c r="AG80" s="183">
        <f>SUMIFS('октябрь 2025'!$G$2:$G$2619,'октябрь 2025'!$D$2:$D$2619,$B80,'октябрь 2025'!$J$2:$J$2619,AG$1)</f>
        <v>0</v>
      </c>
      <c r="AH80" s="183">
        <f>SUMIFS('октябрь 2025'!$G$2:$G$2619,'октябрь 2025'!$D$2:$D$2619,$B80,'октябрь 2025'!$J$2:$J$2619,AH$1)</f>
        <v>0</v>
      </c>
      <c r="AI80" s="20">
        <f t="shared" si="1"/>
        <v>0</v>
      </c>
    </row>
    <row r="81" spans="2:35" ht="15" customHeight="1" x14ac:dyDescent="0.25">
      <c r="B81" s="88" t="s">
        <v>206</v>
      </c>
      <c r="C81" s="86">
        <v>25</v>
      </c>
      <c r="D81" s="183">
        <f>SUMIFS('октябрь 2025'!$G$2:$G$2619,'октябрь 2025'!$D$2:$D$2619,$B81,'октябрь 2025'!$J$2:$J$2619,D$1)</f>
        <v>0</v>
      </c>
      <c r="E81" s="183">
        <f>SUMIFS('октябрь 2025'!$G$2:$G$2619,'октябрь 2025'!$D$2:$D$2619,$B81,'октябрь 2025'!$J$2:$J$2619,E$1)</f>
        <v>0</v>
      </c>
      <c r="F81" s="183">
        <f>SUMIFS('октябрь 2025'!$G$2:$G$2619,'октябрь 2025'!$D$2:$D$2619,$B81,'октябрь 2025'!$J$2:$J$2619,F$1)</f>
        <v>0</v>
      </c>
      <c r="G81" s="183">
        <f>SUMIFS('октябрь 2025'!$G$2:$G$2619,'октябрь 2025'!$D$2:$D$2619,$B81,'октябрь 2025'!$J$2:$J$2619,G$1)</f>
        <v>0</v>
      </c>
      <c r="H81" s="183">
        <f>SUMIFS('октябрь 2025'!$G$2:$G$2619,'октябрь 2025'!$D$2:$D$2619,$B81,'октябрь 2025'!$J$2:$J$2619,H$1)</f>
        <v>0</v>
      </c>
      <c r="I81" s="183">
        <f>SUMIFS('октябрь 2025'!$G$2:$G$2619,'октябрь 2025'!$D$2:$D$2619,$B81,'октябрь 2025'!$J$2:$J$2619,I$1)</f>
        <v>0</v>
      </c>
      <c r="J81" s="183">
        <f>SUMIFS('октябрь 2025'!$G$2:$G$2619,'октябрь 2025'!$D$2:$D$2619,$B81,'октябрь 2025'!$J$2:$J$2619,J$1)</f>
        <v>0</v>
      </c>
      <c r="K81" s="183">
        <f>SUMIFS('октябрь 2025'!$G$2:$G$2619,'октябрь 2025'!$D$2:$D$2619,$B81,'октябрь 2025'!$J$2:$J$2619,K$1)</f>
        <v>0</v>
      </c>
      <c r="L81" s="183">
        <f>SUMIFS('октябрь 2025'!$G$2:$G$2619,'октябрь 2025'!$D$2:$D$2619,$B81,'октябрь 2025'!$J$2:$J$2619,L$1)</f>
        <v>0</v>
      </c>
      <c r="M81" s="183">
        <f>SUMIFS('октябрь 2025'!$G$2:$G$2619,'октябрь 2025'!$D$2:$D$2619,$B81,'октябрь 2025'!$J$2:$J$2619,M$1)</f>
        <v>0</v>
      </c>
      <c r="N81" s="183">
        <f>SUMIFS('октябрь 2025'!$G$2:$G$2619,'октябрь 2025'!$D$2:$D$2619,$B81,'октябрь 2025'!$J$2:$J$2619,N$1)</f>
        <v>0</v>
      </c>
      <c r="O81" s="183">
        <f>SUMIFS('октябрь 2025'!$G$2:$G$2619,'октябрь 2025'!$D$2:$D$2619,$B81,'октябрь 2025'!$J$2:$J$2619,O$1)</f>
        <v>0</v>
      </c>
      <c r="P81" s="183">
        <f>SUMIFS('октябрь 2025'!$G$2:$G$2619,'октябрь 2025'!$D$2:$D$2619,$B81,'октябрь 2025'!$J$2:$J$2619,P$1)</f>
        <v>0</v>
      </c>
      <c r="Q81" s="183">
        <f>SUMIFS('октябрь 2025'!$G$2:$G$2619,'октябрь 2025'!$D$2:$D$2619,$B81,'октябрь 2025'!$J$2:$J$2619,Q$1)</f>
        <v>0</v>
      </c>
      <c r="R81" s="183">
        <f>SUMIFS('октябрь 2025'!$G$2:$G$2619,'октябрь 2025'!$D$2:$D$2619,$B81,'октябрь 2025'!$J$2:$J$2619,R$1)</f>
        <v>0</v>
      </c>
      <c r="S81" s="183">
        <f>SUMIFS('октябрь 2025'!$G$2:$G$2619,'октябрь 2025'!$D$2:$D$2619,$B81,'октябрь 2025'!$J$2:$J$2619,S$1)</f>
        <v>0</v>
      </c>
      <c r="T81" s="183">
        <f>SUMIFS('октябрь 2025'!$G$2:$G$2619,'октябрь 2025'!$D$2:$D$2619,$B81,'октябрь 2025'!$J$2:$J$2619,T$1)</f>
        <v>0</v>
      </c>
      <c r="U81" s="183">
        <f>SUMIFS('октябрь 2025'!$G$2:$G$2619,'октябрь 2025'!$D$2:$D$2619,$B81,'октябрь 2025'!$J$2:$J$2619,U$1)</f>
        <v>0</v>
      </c>
      <c r="V81" s="183">
        <f>SUMIFS('октябрь 2025'!$G$2:$G$2619,'октябрь 2025'!$D$2:$D$2619,$B81,'октябрь 2025'!$J$2:$J$2619,V$1)</f>
        <v>0</v>
      </c>
      <c r="W81" s="183">
        <f>SUMIFS('октябрь 2025'!$G$2:$G$2619,'октябрь 2025'!$D$2:$D$2619,$B81,'октябрь 2025'!$J$2:$J$2619,W$1)</f>
        <v>0</v>
      </c>
      <c r="X81" s="183">
        <f>SUMIFS('октябрь 2025'!$G$2:$G$2619,'октябрь 2025'!$D$2:$D$2619,$B81,'октябрь 2025'!$J$2:$J$2619,X$1)</f>
        <v>0</v>
      </c>
      <c r="Y81" s="183">
        <f>SUMIFS('октябрь 2025'!$G$2:$G$2619,'октябрь 2025'!$D$2:$D$2619,$B81,'октябрь 2025'!$J$2:$J$2619,Y$1)</f>
        <v>0</v>
      </c>
      <c r="Z81" s="183">
        <f>SUMIFS('октябрь 2025'!$G$2:$G$2619,'октябрь 2025'!$D$2:$D$2619,$B81,'октябрь 2025'!$J$2:$J$2619,Z$1)</f>
        <v>0</v>
      </c>
      <c r="AA81" s="183">
        <f>SUMIFS('октябрь 2025'!$G$2:$G$2619,'октябрь 2025'!$D$2:$D$2619,$B81,'октябрь 2025'!$J$2:$J$2619,AA$1)</f>
        <v>0</v>
      </c>
      <c r="AB81" s="183">
        <f>SUMIFS('октябрь 2025'!$G$2:$G$2619,'октябрь 2025'!$D$2:$D$2619,$B81,'октябрь 2025'!$J$2:$J$2619,AB$1)</f>
        <v>0</v>
      </c>
      <c r="AC81" s="183">
        <f>SUMIFS('октябрь 2025'!$G$2:$G$2619,'октябрь 2025'!$D$2:$D$2619,$B81,'октябрь 2025'!$J$2:$J$2619,AC$1)</f>
        <v>0</v>
      </c>
      <c r="AD81" s="183">
        <f>SUMIFS('октябрь 2025'!$G$2:$G$2619,'октябрь 2025'!$D$2:$D$2619,$B81,'октябрь 2025'!$J$2:$J$2619,AD$1)</f>
        <v>0</v>
      </c>
      <c r="AE81" s="183">
        <f>SUMIFS('октябрь 2025'!$G$2:$G$2619,'октябрь 2025'!$D$2:$D$2619,$B81,'октябрь 2025'!$J$2:$J$2619,AE$1)</f>
        <v>0</v>
      </c>
      <c r="AF81" s="183">
        <f>SUMIFS('октябрь 2025'!$G$2:$G$2619,'октябрь 2025'!$D$2:$D$2619,$B81,'октябрь 2025'!$J$2:$J$2619,AF$1)</f>
        <v>0</v>
      </c>
      <c r="AG81" s="183">
        <f>SUMIFS('октябрь 2025'!$G$2:$G$2619,'октябрь 2025'!$D$2:$D$2619,$B81,'октябрь 2025'!$J$2:$J$2619,AG$1)</f>
        <v>0</v>
      </c>
      <c r="AH81" s="183">
        <f>SUMIFS('октябрь 2025'!$G$2:$G$2619,'октябрь 2025'!$D$2:$D$2619,$B81,'октябрь 2025'!$J$2:$J$2619,AH$1)</f>
        <v>0</v>
      </c>
      <c r="AI81" s="20">
        <f t="shared" si="1"/>
        <v>0</v>
      </c>
    </row>
    <row r="82" spans="2:35" ht="15" customHeight="1" x14ac:dyDescent="0.25">
      <c r="B82" s="88" t="s">
        <v>178</v>
      </c>
      <c r="C82" s="86">
        <v>50</v>
      </c>
      <c r="D82" s="183">
        <f>SUMIFS('октябрь 2025'!$G$2:$G$2619,'октябрь 2025'!$D$2:$D$2619,$B82,'октябрь 2025'!$J$2:$J$2619,D$1)</f>
        <v>0</v>
      </c>
      <c r="E82" s="183">
        <f>SUMIFS('октябрь 2025'!$G$2:$G$2619,'октябрь 2025'!$D$2:$D$2619,$B82,'октябрь 2025'!$J$2:$J$2619,E$1)</f>
        <v>0</v>
      </c>
      <c r="F82" s="183">
        <f>SUMIFS('октябрь 2025'!$G$2:$G$2619,'октябрь 2025'!$D$2:$D$2619,$B82,'октябрь 2025'!$J$2:$J$2619,F$1)</f>
        <v>0</v>
      </c>
      <c r="G82" s="183">
        <f>SUMIFS('октябрь 2025'!$G$2:$G$2619,'октябрь 2025'!$D$2:$D$2619,$B82,'октябрь 2025'!$J$2:$J$2619,G$1)</f>
        <v>0</v>
      </c>
      <c r="H82" s="183">
        <f>SUMIFS('октябрь 2025'!$G$2:$G$2619,'октябрь 2025'!$D$2:$D$2619,$B82,'октябрь 2025'!$J$2:$J$2619,H$1)</f>
        <v>0</v>
      </c>
      <c r="I82" s="183">
        <f>SUMIFS('октябрь 2025'!$G$2:$G$2619,'октябрь 2025'!$D$2:$D$2619,$B82,'октябрь 2025'!$J$2:$J$2619,I$1)</f>
        <v>0</v>
      </c>
      <c r="J82" s="183">
        <f>SUMIFS('октябрь 2025'!$G$2:$G$2619,'октябрь 2025'!$D$2:$D$2619,$B82,'октябрь 2025'!$J$2:$J$2619,J$1)</f>
        <v>0</v>
      </c>
      <c r="K82" s="183">
        <f>SUMIFS('октябрь 2025'!$G$2:$G$2619,'октябрь 2025'!$D$2:$D$2619,$B82,'октябрь 2025'!$J$2:$J$2619,K$1)</f>
        <v>0</v>
      </c>
      <c r="L82" s="183">
        <f>SUMIFS('октябрь 2025'!$G$2:$G$2619,'октябрь 2025'!$D$2:$D$2619,$B82,'октябрь 2025'!$J$2:$J$2619,L$1)</f>
        <v>0</v>
      </c>
      <c r="M82" s="183">
        <f>SUMIFS('октябрь 2025'!$G$2:$G$2619,'октябрь 2025'!$D$2:$D$2619,$B82,'октябрь 2025'!$J$2:$J$2619,M$1)</f>
        <v>0</v>
      </c>
      <c r="N82" s="183">
        <f>SUMIFS('октябрь 2025'!$G$2:$G$2619,'октябрь 2025'!$D$2:$D$2619,$B82,'октябрь 2025'!$J$2:$J$2619,N$1)</f>
        <v>0</v>
      </c>
      <c r="O82" s="183">
        <f>SUMIFS('октябрь 2025'!$G$2:$G$2619,'октябрь 2025'!$D$2:$D$2619,$B82,'октябрь 2025'!$J$2:$J$2619,O$1)</f>
        <v>0</v>
      </c>
      <c r="P82" s="183">
        <f>SUMIFS('октябрь 2025'!$G$2:$G$2619,'октябрь 2025'!$D$2:$D$2619,$B82,'октябрь 2025'!$J$2:$J$2619,P$1)</f>
        <v>0</v>
      </c>
      <c r="Q82" s="183">
        <f>SUMIFS('октябрь 2025'!$G$2:$G$2619,'октябрь 2025'!$D$2:$D$2619,$B82,'октябрь 2025'!$J$2:$J$2619,Q$1)</f>
        <v>0</v>
      </c>
      <c r="R82" s="183">
        <f>SUMIFS('октябрь 2025'!$G$2:$G$2619,'октябрь 2025'!$D$2:$D$2619,$B82,'октябрь 2025'!$J$2:$J$2619,R$1)</f>
        <v>0</v>
      </c>
      <c r="S82" s="183">
        <f>SUMIFS('октябрь 2025'!$G$2:$G$2619,'октябрь 2025'!$D$2:$D$2619,$B82,'октябрь 2025'!$J$2:$J$2619,S$1)</f>
        <v>0</v>
      </c>
      <c r="T82" s="183">
        <f>SUMIFS('октябрь 2025'!$G$2:$G$2619,'октябрь 2025'!$D$2:$D$2619,$B82,'октябрь 2025'!$J$2:$J$2619,T$1)</f>
        <v>0</v>
      </c>
      <c r="U82" s="183">
        <f>SUMIFS('октябрь 2025'!$G$2:$G$2619,'октябрь 2025'!$D$2:$D$2619,$B82,'октябрь 2025'!$J$2:$J$2619,U$1)</f>
        <v>0</v>
      </c>
      <c r="V82" s="183">
        <f>SUMIFS('октябрь 2025'!$G$2:$G$2619,'октябрь 2025'!$D$2:$D$2619,$B82,'октябрь 2025'!$J$2:$J$2619,V$1)</f>
        <v>0</v>
      </c>
      <c r="W82" s="183">
        <f>SUMIFS('октябрь 2025'!$G$2:$G$2619,'октябрь 2025'!$D$2:$D$2619,$B82,'октябрь 2025'!$J$2:$J$2619,W$1)</f>
        <v>0</v>
      </c>
      <c r="X82" s="183">
        <f>SUMIFS('октябрь 2025'!$G$2:$G$2619,'октябрь 2025'!$D$2:$D$2619,$B82,'октябрь 2025'!$J$2:$J$2619,X$1)</f>
        <v>0</v>
      </c>
      <c r="Y82" s="183">
        <f>SUMIFS('октябрь 2025'!$G$2:$G$2619,'октябрь 2025'!$D$2:$D$2619,$B82,'октябрь 2025'!$J$2:$J$2619,Y$1)</f>
        <v>0</v>
      </c>
      <c r="Z82" s="183">
        <f>SUMIFS('октябрь 2025'!$G$2:$G$2619,'октябрь 2025'!$D$2:$D$2619,$B82,'октябрь 2025'!$J$2:$J$2619,Z$1)</f>
        <v>0</v>
      </c>
      <c r="AA82" s="183">
        <f>SUMIFS('октябрь 2025'!$G$2:$G$2619,'октябрь 2025'!$D$2:$D$2619,$B82,'октябрь 2025'!$J$2:$J$2619,AA$1)</f>
        <v>0</v>
      </c>
      <c r="AB82" s="183">
        <f>SUMIFS('октябрь 2025'!$G$2:$G$2619,'октябрь 2025'!$D$2:$D$2619,$B82,'октябрь 2025'!$J$2:$J$2619,AB$1)</f>
        <v>0</v>
      </c>
      <c r="AC82" s="183">
        <f>SUMIFS('октябрь 2025'!$G$2:$G$2619,'октябрь 2025'!$D$2:$D$2619,$B82,'октябрь 2025'!$J$2:$J$2619,AC$1)</f>
        <v>0</v>
      </c>
      <c r="AD82" s="183">
        <f>SUMIFS('октябрь 2025'!$G$2:$G$2619,'октябрь 2025'!$D$2:$D$2619,$B82,'октябрь 2025'!$J$2:$J$2619,AD$1)</f>
        <v>0</v>
      </c>
      <c r="AE82" s="183">
        <f>SUMIFS('октябрь 2025'!$G$2:$G$2619,'октябрь 2025'!$D$2:$D$2619,$B82,'октябрь 2025'!$J$2:$J$2619,AE$1)</f>
        <v>0</v>
      </c>
      <c r="AF82" s="183">
        <f>SUMIFS('октябрь 2025'!$G$2:$G$2619,'октябрь 2025'!$D$2:$D$2619,$B82,'октябрь 2025'!$J$2:$J$2619,AF$1)</f>
        <v>0</v>
      </c>
      <c r="AG82" s="183">
        <f>SUMIFS('октябрь 2025'!$G$2:$G$2619,'октябрь 2025'!$D$2:$D$2619,$B82,'октябрь 2025'!$J$2:$J$2619,AG$1)</f>
        <v>0</v>
      </c>
      <c r="AH82" s="183">
        <f>SUMIFS('октябрь 2025'!$G$2:$G$2619,'октябрь 2025'!$D$2:$D$2619,$B82,'октябрь 2025'!$J$2:$J$2619,AH$1)</f>
        <v>0</v>
      </c>
      <c r="AI82" s="20">
        <f t="shared" si="1"/>
        <v>0</v>
      </c>
    </row>
    <row r="83" spans="2:35" ht="15" customHeight="1" x14ac:dyDescent="0.25">
      <c r="B83" s="88" t="s">
        <v>167</v>
      </c>
      <c r="C83" s="86">
        <v>200</v>
      </c>
      <c r="D83" s="183">
        <f>SUMIFS('октябрь 2025'!$G$2:$G$2619,'октябрь 2025'!$D$2:$D$2619,$B83,'октябрь 2025'!$J$2:$J$2619,D$1)</f>
        <v>0</v>
      </c>
      <c r="E83" s="183">
        <f>SUMIFS('октябрь 2025'!$G$2:$G$2619,'октябрь 2025'!$D$2:$D$2619,$B83,'октябрь 2025'!$J$2:$J$2619,E$1)</f>
        <v>0</v>
      </c>
      <c r="F83" s="183">
        <f>SUMIFS('октябрь 2025'!$G$2:$G$2619,'октябрь 2025'!$D$2:$D$2619,$B83,'октябрь 2025'!$J$2:$J$2619,F$1)</f>
        <v>0</v>
      </c>
      <c r="G83" s="183">
        <f>SUMIFS('октябрь 2025'!$G$2:$G$2619,'октябрь 2025'!$D$2:$D$2619,$B83,'октябрь 2025'!$J$2:$J$2619,G$1)</f>
        <v>0</v>
      </c>
      <c r="H83" s="183">
        <f>SUMIFS('октябрь 2025'!$G$2:$G$2619,'октябрь 2025'!$D$2:$D$2619,$B83,'октябрь 2025'!$J$2:$J$2619,H$1)</f>
        <v>0</v>
      </c>
      <c r="I83" s="183">
        <f>SUMIFS('октябрь 2025'!$G$2:$G$2619,'октябрь 2025'!$D$2:$D$2619,$B83,'октябрь 2025'!$J$2:$J$2619,I$1)</f>
        <v>0</v>
      </c>
      <c r="J83" s="183">
        <f>SUMIFS('октябрь 2025'!$G$2:$G$2619,'октябрь 2025'!$D$2:$D$2619,$B83,'октябрь 2025'!$J$2:$J$2619,J$1)</f>
        <v>0</v>
      </c>
      <c r="K83" s="183">
        <f>SUMIFS('октябрь 2025'!$G$2:$G$2619,'октябрь 2025'!$D$2:$D$2619,$B83,'октябрь 2025'!$J$2:$J$2619,K$1)</f>
        <v>0</v>
      </c>
      <c r="L83" s="183">
        <f>SUMIFS('октябрь 2025'!$G$2:$G$2619,'октябрь 2025'!$D$2:$D$2619,$B83,'октябрь 2025'!$J$2:$J$2619,L$1)</f>
        <v>0</v>
      </c>
      <c r="M83" s="183">
        <f>SUMIFS('октябрь 2025'!$G$2:$G$2619,'октябрь 2025'!$D$2:$D$2619,$B83,'октябрь 2025'!$J$2:$J$2619,M$1)</f>
        <v>0</v>
      </c>
      <c r="N83" s="183">
        <f>SUMIFS('октябрь 2025'!$G$2:$G$2619,'октябрь 2025'!$D$2:$D$2619,$B83,'октябрь 2025'!$J$2:$J$2619,N$1)</f>
        <v>0</v>
      </c>
      <c r="O83" s="183">
        <f>SUMIFS('октябрь 2025'!$G$2:$G$2619,'октябрь 2025'!$D$2:$D$2619,$B83,'октябрь 2025'!$J$2:$J$2619,O$1)</f>
        <v>0</v>
      </c>
      <c r="P83" s="183">
        <f>SUMIFS('октябрь 2025'!$G$2:$G$2619,'октябрь 2025'!$D$2:$D$2619,$B83,'октябрь 2025'!$J$2:$J$2619,P$1)</f>
        <v>0</v>
      </c>
      <c r="Q83" s="183">
        <f>SUMIFS('октябрь 2025'!$G$2:$G$2619,'октябрь 2025'!$D$2:$D$2619,$B83,'октябрь 2025'!$J$2:$J$2619,Q$1)</f>
        <v>0</v>
      </c>
      <c r="R83" s="183">
        <f>SUMIFS('октябрь 2025'!$G$2:$G$2619,'октябрь 2025'!$D$2:$D$2619,$B83,'октябрь 2025'!$J$2:$J$2619,R$1)</f>
        <v>0</v>
      </c>
      <c r="S83" s="183">
        <f>SUMIFS('октябрь 2025'!$G$2:$G$2619,'октябрь 2025'!$D$2:$D$2619,$B83,'октябрь 2025'!$J$2:$J$2619,S$1)</f>
        <v>0</v>
      </c>
      <c r="T83" s="183">
        <f>SUMIFS('октябрь 2025'!$G$2:$G$2619,'октябрь 2025'!$D$2:$D$2619,$B83,'октябрь 2025'!$J$2:$J$2619,T$1)</f>
        <v>0</v>
      </c>
      <c r="U83" s="183">
        <f>SUMIFS('октябрь 2025'!$G$2:$G$2619,'октябрь 2025'!$D$2:$D$2619,$B83,'октябрь 2025'!$J$2:$J$2619,U$1)</f>
        <v>0</v>
      </c>
      <c r="V83" s="183">
        <f>SUMIFS('октябрь 2025'!$G$2:$G$2619,'октябрь 2025'!$D$2:$D$2619,$B83,'октябрь 2025'!$J$2:$J$2619,V$1)</f>
        <v>0</v>
      </c>
      <c r="W83" s="183">
        <f>SUMIFS('октябрь 2025'!$G$2:$G$2619,'октябрь 2025'!$D$2:$D$2619,$B83,'октябрь 2025'!$J$2:$J$2619,W$1)</f>
        <v>0</v>
      </c>
      <c r="X83" s="183">
        <f>SUMIFS('октябрь 2025'!$G$2:$G$2619,'октябрь 2025'!$D$2:$D$2619,$B83,'октябрь 2025'!$J$2:$J$2619,X$1)</f>
        <v>0</v>
      </c>
      <c r="Y83" s="183">
        <f>SUMIFS('октябрь 2025'!$G$2:$G$2619,'октябрь 2025'!$D$2:$D$2619,$B83,'октябрь 2025'!$J$2:$J$2619,Y$1)</f>
        <v>0</v>
      </c>
      <c r="Z83" s="183">
        <f>SUMIFS('октябрь 2025'!$G$2:$G$2619,'октябрь 2025'!$D$2:$D$2619,$B83,'октябрь 2025'!$J$2:$J$2619,Z$1)</f>
        <v>0</v>
      </c>
      <c r="AA83" s="183">
        <f>SUMIFS('октябрь 2025'!$G$2:$G$2619,'октябрь 2025'!$D$2:$D$2619,$B83,'октябрь 2025'!$J$2:$J$2619,AA$1)</f>
        <v>0</v>
      </c>
      <c r="AB83" s="183">
        <f>SUMIFS('октябрь 2025'!$G$2:$G$2619,'октябрь 2025'!$D$2:$D$2619,$B83,'октябрь 2025'!$J$2:$J$2619,AB$1)</f>
        <v>0</v>
      </c>
      <c r="AC83" s="183">
        <f>SUMIFS('октябрь 2025'!$G$2:$G$2619,'октябрь 2025'!$D$2:$D$2619,$B83,'октябрь 2025'!$J$2:$J$2619,AC$1)</f>
        <v>0</v>
      </c>
      <c r="AD83" s="183">
        <f>SUMIFS('октябрь 2025'!$G$2:$G$2619,'октябрь 2025'!$D$2:$D$2619,$B83,'октябрь 2025'!$J$2:$J$2619,AD$1)</f>
        <v>0</v>
      </c>
      <c r="AE83" s="183">
        <f>SUMIFS('октябрь 2025'!$G$2:$G$2619,'октябрь 2025'!$D$2:$D$2619,$B83,'октябрь 2025'!$J$2:$J$2619,AE$1)</f>
        <v>0</v>
      </c>
      <c r="AF83" s="183">
        <f>SUMIFS('октябрь 2025'!$G$2:$G$2619,'октябрь 2025'!$D$2:$D$2619,$B83,'октябрь 2025'!$J$2:$J$2619,AF$1)</f>
        <v>0</v>
      </c>
      <c r="AG83" s="183">
        <f>SUMIFS('октябрь 2025'!$G$2:$G$2619,'октябрь 2025'!$D$2:$D$2619,$B83,'октябрь 2025'!$J$2:$J$2619,AG$1)</f>
        <v>0</v>
      </c>
      <c r="AH83" s="183">
        <f>SUMIFS('октябрь 2025'!$G$2:$G$2619,'октябрь 2025'!$D$2:$D$2619,$B83,'октябрь 2025'!$J$2:$J$2619,AH$1)</f>
        <v>0</v>
      </c>
      <c r="AI83" s="20">
        <f t="shared" si="1"/>
        <v>0</v>
      </c>
    </row>
    <row r="84" spans="2:35" ht="15" customHeight="1" x14ac:dyDescent="0.25">
      <c r="B84" s="88" t="s">
        <v>168</v>
      </c>
      <c r="C84" s="86">
        <v>200</v>
      </c>
      <c r="D84" s="183">
        <f>SUMIFS('октябрь 2025'!$G$2:$G$2619,'октябрь 2025'!$D$2:$D$2619,$B84,'октябрь 2025'!$J$2:$J$2619,D$1)</f>
        <v>0</v>
      </c>
      <c r="E84" s="183">
        <f>SUMIFS('октябрь 2025'!$G$2:$G$2619,'октябрь 2025'!$D$2:$D$2619,$B84,'октябрь 2025'!$J$2:$J$2619,E$1)</f>
        <v>0</v>
      </c>
      <c r="F84" s="183">
        <f>SUMIFS('октябрь 2025'!$G$2:$G$2619,'октябрь 2025'!$D$2:$D$2619,$B84,'октябрь 2025'!$J$2:$J$2619,F$1)</f>
        <v>0</v>
      </c>
      <c r="G84" s="183">
        <f>SUMIFS('октябрь 2025'!$G$2:$G$2619,'октябрь 2025'!$D$2:$D$2619,$B84,'октябрь 2025'!$J$2:$J$2619,G$1)</f>
        <v>0</v>
      </c>
      <c r="H84" s="183">
        <f>SUMIFS('октябрь 2025'!$G$2:$G$2619,'октябрь 2025'!$D$2:$D$2619,$B84,'октябрь 2025'!$J$2:$J$2619,H$1)</f>
        <v>0</v>
      </c>
      <c r="I84" s="183">
        <f>SUMIFS('октябрь 2025'!$G$2:$G$2619,'октябрь 2025'!$D$2:$D$2619,$B84,'октябрь 2025'!$J$2:$J$2619,I$1)</f>
        <v>0</v>
      </c>
      <c r="J84" s="183">
        <f>SUMIFS('октябрь 2025'!$G$2:$G$2619,'октябрь 2025'!$D$2:$D$2619,$B84,'октябрь 2025'!$J$2:$J$2619,J$1)</f>
        <v>0</v>
      </c>
      <c r="K84" s="183">
        <f>SUMIFS('октябрь 2025'!$G$2:$G$2619,'октябрь 2025'!$D$2:$D$2619,$B84,'октябрь 2025'!$J$2:$J$2619,K$1)</f>
        <v>12</v>
      </c>
      <c r="L84" s="183">
        <f>SUMIFS('октябрь 2025'!$G$2:$G$2619,'октябрь 2025'!$D$2:$D$2619,$B84,'октябрь 2025'!$J$2:$J$2619,L$1)</f>
        <v>0</v>
      </c>
      <c r="M84" s="183">
        <f>SUMIFS('октябрь 2025'!$G$2:$G$2619,'октябрь 2025'!$D$2:$D$2619,$B84,'октябрь 2025'!$J$2:$J$2619,M$1)</f>
        <v>0</v>
      </c>
      <c r="N84" s="183">
        <f>SUMIFS('октябрь 2025'!$G$2:$G$2619,'октябрь 2025'!$D$2:$D$2619,$B84,'октябрь 2025'!$J$2:$J$2619,N$1)</f>
        <v>0</v>
      </c>
      <c r="O84" s="183">
        <f>SUMIFS('октябрь 2025'!$G$2:$G$2619,'октябрь 2025'!$D$2:$D$2619,$B84,'октябрь 2025'!$J$2:$J$2619,O$1)</f>
        <v>0</v>
      </c>
      <c r="P84" s="183">
        <f>SUMIFS('октябрь 2025'!$G$2:$G$2619,'октябрь 2025'!$D$2:$D$2619,$B84,'октябрь 2025'!$J$2:$J$2619,P$1)</f>
        <v>0</v>
      </c>
      <c r="Q84" s="183">
        <f>SUMIFS('октябрь 2025'!$G$2:$G$2619,'октябрь 2025'!$D$2:$D$2619,$B84,'октябрь 2025'!$J$2:$J$2619,Q$1)</f>
        <v>0</v>
      </c>
      <c r="R84" s="183">
        <f>SUMIFS('октябрь 2025'!$G$2:$G$2619,'октябрь 2025'!$D$2:$D$2619,$B84,'октябрь 2025'!$J$2:$J$2619,R$1)</f>
        <v>0</v>
      </c>
      <c r="S84" s="183">
        <f>SUMIFS('октябрь 2025'!$G$2:$G$2619,'октябрь 2025'!$D$2:$D$2619,$B84,'октябрь 2025'!$J$2:$J$2619,S$1)</f>
        <v>0</v>
      </c>
      <c r="T84" s="183">
        <f>SUMIFS('октябрь 2025'!$G$2:$G$2619,'октябрь 2025'!$D$2:$D$2619,$B84,'октябрь 2025'!$J$2:$J$2619,T$1)</f>
        <v>0</v>
      </c>
      <c r="U84" s="183">
        <f>SUMIFS('октябрь 2025'!$G$2:$G$2619,'октябрь 2025'!$D$2:$D$2619,$B84,'октябрь 2025'!$J$2:$J$2619,U$1)</f>
        <v>0</v>
      </c>
      <c r="V84" s="183">
        <f>SUMIFS('октябрь 2025'!$G$2:$G$2619,'октябрь 2025'!$D$2:$D$2619,$B84,'октябрь 2025'!$J$2:$J$2619,V$1)</f>
        <v>0</v>
      </c>
      <c r="W84" s="183">
        <f>SUMIFS('октябрь 2025'!$G$2:$G$2619,'октябрь 2025'!$D$2:$D$2619,$B84,'октябрь 2025'!$J$2:$J$2619,W$1)</f>
        <v>0</v>
      </c>
      <c r="X84" s="183">
        <f>SUMIFS('октябрь 2025'!$G$2:$G$2619,'октябрь 2025'!$D$2:$D$2619,$B84,'октябрь 2025'!$J$2:$J$2619,X$1)</f>
        <v>1</v>
      </c>
      <c r="Y84" s="183">
        <f>SUMIFS('октябрь 2025'!$G$2:$G$2619,'октябрь 2025'!$D$2:$D$2619,$B84,'октябрь 2025'!$J$2:$J$2619,Y$1)</f>
        <v>0</v>
      </c>
      <c r="Z84" s="183">
        <f>SUMIFS('октябрь 2025'!$G$2:$G$2619,'октябрь 2025'!$D$2:$D$2619,$B84,'октябрь 2025'!$J$2:$J$2619,Z$1)</f>
        <v>0</v>
      </c>
      <c r="AA84" s="183">
        <f>SUMIFS('октябрь 2025'!$G$2:$G$2619,'октябрь 2025'!$D$2:$D$2619,$B84,'октябрь 2025'!$J$2:$J$2619,AA$1)</f>
        <v>0</v>
      </c>
      <c r="AB84" s="183">
        <f>SUMIFS('октябрь 2025'!$G$2:$G$2619,'октябрь 2025'!$D$2:$D$2619,$B84,'октябрь 2025'!$J$2:$J$2619,AB$1)</f>
        <v>0</v>
      </c>
      <c r="AC84" s="183">
        <f>SUMIFS('октябрь 2025'!$G$2:$G$2619,'октябрь 2025'!$D$2:$D$2619,$B84,'октябрь 2025'!$J$2:$J$2619,AC$1)</f>
        <v>0</v>
      </c>
      <c r="AD84" s="183">
        <f>SUMIFS('октябрь 2025'!$G$2:$G$2619,'октябрь 2025'!$D$2:$D$2619,$B84,'октябрь 2025'!$J$2:$J$2619,AD$1)</f>
        <v>0</v>
      </c>
      <c r="AE84" s="183">
        <f>SUMIFS('октябрь 2025'!$G$2:$G$2619,'октябрь 2025'!$D$2:$D$2619,$B84,'октябрь 2025'!$J$2:$J$2619,AE$1)</f>
        <v>0</v>
      </c>
      <c r="AF84" s="183">
        <f>SUMIFS('октябрь 2025'!$G$2:$G$2619,'октябрь 2025'!$D$2:$D$2619,$B84,'октябрь 2025'!$J$2:$J$2619,AF$1)</f>
        <v>0</v>
      </c>
      <c r="AG84" s="183">
        <f>SUMIFS('октябрь 2025'!$G$2:$G$2619,'октябрь 2025'!$D$2:$D$2619,$B84,'октябрь 2025'!$J$2:$J$2619,AG$1)</f>
        <v>0</v>
      </c>
      <c r="AH84" s="183">
        <f>SUMIFS('октябрь 2025'!$G$2:$G$2619,'октябрь 2025'!$D$2:$D$2619,$B84,'октябрь 2025'!$J$2:$J$2619,AH$1)</f>
        <v>0</v>
      </c>
      <c r="AI84" s="20">
        <f t="shared" si="1"/>
        <v>13</v>
      </c>
    </row>
    <row r="85" spans="2:35" ht="15" customHeight="1" x14ac:dyDescent="0.25">
      <c r="B85" s="88" t="s">
        <v>1426</v>
      </c>
      <c r="C85" s="86">
        <v>215.5</v>
      </c>
      <c r="D85" s="183">
        <f>SUMIFS('октябрь 2025'!$G$2:$G$2619,'октябрь 2025'!$D$2:$D$2619,$B85,'октябрь 2025'!$J$2:$J$2619,D$1)</f>
        <v>0</v>
      </c>
      <c r="E85" s="183">
        <f>SUMIFS('октябрь 2025'!$G$2:$G$2619,'октябрь 2025'!$D$2:$D$2619,$B85,'октябрь 2025'!$J$2:$J$2619,E$1)</f>
        <v>0</v>
      </c>
      <c r="F85" s="183">
        <f>SUMIFS('октябрь 2025'!$G$2:$G$2619,'октябрь 2025'!$D$2:$D$2619,$B85,'октябрь 2025'!$J$2:$J$2619,F$1)</f>
        <v>0</v>
      </c>
      <c r="G85" s="183">
        <f>SUMIFS('октябрь 2025'!$G$2:$G$2619,'октябрь 2025'!$D$2:$D$2619,$B85,'октябрь 2025'!$J$2:$J$2619,G$1)</f>
        <v>0</v>
      </c>
      <c r="H85" s="183">
        <f>SUMIFS('октябрь 2025'!$G$2:$G$2619,'октябрь 2025'!$D$2:$D$2619,$B85,'октябрь 2025'!$J$2:$J$2619,H$1)</f>
        <v>0</v>
      </c>
      <c r="I85" s="183">
        <f>SUMIFS('октябрь 2025'!$G$2:$G$2619,'октябрь 2025'!$D$2:$D$2619,$B85,'октябрь 2025'!$J$2:$J$2619,I$1)</f>
        <v>0</v>
      </c>
      <c r="J85" s="183">
        <f>SUMIFS('октябрь 2025'!$G$2:$G$2619,'октябрь 2025'!$D$2:$D$2619,$B85,'октябрь 2025'!$J$2:$J$2619,J$1)</f>
        <v>0</v>
      </c>
      <c r="K85" s="183">
        <f>SUMIFS('октябрь 2025'!$G$2:$G$2619,'октябрь 2025'!$D$2:$D$2619,$B85,'октябрь 2025'!$J$2:$J$2619,K$1)</f>
        <v>88</v>
      </c>
      <c r="L85" s="183">
        <f>SUMIFS('октябрь 2025'!$G$2:$G$2619,'октябрь 2025'!$D$2:$D$2619,$B85,'октябрь 2025'!$J$2:$J$2619,L$1)</f>
        <v>0</v>
      </c>
      <c r="M85" s="183">
        <f>SUMIFS('октябрь 2025'!$G$2:$G$2619,'октябрь 2025'!$D$2:$D$2619,$B85,'октябрь 2025'!$J$2:$J$2619,M$1)</f>
        <v>0</v>
      </c>
      <c r="N85" s="183">
        <f>SUMIFS('октябрь 2025'!$G$2:$G$2619,'октябрь 2025'!$D$2:$D$2619,$B85,'октябрь 2025'!$J$2:$J$2619,N$1)</f>
        <v>0</v>
      </c>
      <c r="O85" s="183">
        <f>SUMIFS('октябрь 2025'!$G$2:$G$2619,'октябрь 2025'!$D$2:$D$2619,$B85,'октябрь 2025'!$J$2:$J$2619,O$1)</f>
        <v>0</v>
      </c>
      <c r="P85" s="183">
        <f>SUMIFS('октябрь 2025'!$G$2:$G$2619,'октябрь 2025'!$D$2:$D$2619,$B85,'октябрь 2025'!$J$2:$J$2619,P$1)</f>
        <v>0</v>
      </c>
      <c r="Q85" s="183">
        <f>SUMIFS('октябрь 2025'!$G$2:$G$2619,'октябрь 2025'!$D$2:$D$2619,$B85,'октябрь 2025'!$J$2:$J$2619,Q$1)</f>
        <v>0</v>
      </c>
      <c r="R85" s="183">
        <f>SUMIFS('октябрь 2025'!$G$2:$G$2619,'октябрь 2025'!$D$2:$D$2619,$B85,'октябрь 2025'!$J$2:$J$2619,R$1)</f>
        <v>0</v>
      </c>
      <c r="S85" s="183">
        <f>SUMIFS('октябрь 2025'!$G$2:$G$2619,'октябрь 2025'!$D$2:$D$2619,$B85,'октябрь 2025'!$J$2:$J$2619,S$1)</f>
        <v>0</v>
      </c>
      <c r="T85" s="183">
        <f>SUMIFS('октябрь 2025'!$G$2:$G$2619,'октябрь 2025'!$D$2:$D$2619,$B85,'октябрь 2025'!$J$2:$J$2619,T$1)</f>
        <v>0</v>
      </c>
      <c r="U85" s="183">
        <f>SUMIFS('октябрь 2025'!$G$2:$G$2619,'октябрь 2025'!$D$2:$D$2619,$B85,'октябрь 2025'!$J$2:$J$2619,U$1)</f>
        <v>0</v>
      </c>
      <c r="V85" s="183">
        <f>SUMIFS('октябрь 2025'!$G$2:$G$2619,'октябрь 2025'!$D$2:$D$2619,$B85,'октябрь 2025'!$J$2:$J$2619,V$1)</f>
        <v>0</v>
      </c>
      <c r="W85" s="183">
        <f>SUMIFS('октябрь 2025'!$G$2:$G$2619,'октябрь 2025'!$D$2:$D$2619,$B85,'октябрь 2025'!$J$2:$J$2619,W$1)</f>
        <v>0</v>
      </c>
      <c r="X85" s="183">
        <f>SUMIFS('октябрь 2025'!$G$2:$G$2619,'октябрь 2025'!$D$2:$D$2619,$B85,'октябрь 2025'!$J$2:$J$2619,X$1)</f>
        <v>0</v>
      </c>
      <c r="Y85" s="183">
        <f>SUMIFS('октябрь 2025'!$G$2:$G$2619,'октябрь 2025'!$D$2:$D$2619,$B85,'октябрь 2025'!$J$2:$J$2619,Y$1)</f>
        <v>0</v>
      </c>
      <c r="Z85" s="183">
        <f>SUMIFS('октябрь 2025'!$G$2:$G$2619,'октябрь 2025'!$D$2:$D$2619,$B85,'октябрь 2025'!$J$2:$J$2619,Z$1)</f>
        <v>0</v>
      </c>
      <c r="AA85" s="183">
        <f>SUMIFS('октябрь 2025'!$G$2:$G$2619,'октябрь 2025'!$D$2:$D$2619,$B85,'октябрь 2025'!$J$2:$J$2619,AA$1)</f>
        <v>88</v>
      </c>
      <c r="AB85" s="183">
        <f>SUMIFS('октябрь 2025'!$G$2:$G$2619,'октябрь 2025'!$D$2:$D$2619,$B85,'октябрь 2025'!$J$2:$J$2619,AB$1)</f>
        <v>0</v>
      </c>
      <c r="AC85" s="183">
        <f>SUMIFS('октябрь 2025'!$G$2:$G$2619,'октябрь 2025'!$D$2:$D$2619,$B85,'октябрь 2025'!$J$2:$J$2619,AC$1)</f>
        <v>0</v>
      </c>
      <c r="AD85" s="183">
        <f>SUMIFS('октябрь 2025'!$G$2:$G$2619,'октябрь 2025'!$D$2:$D$2619,$B85,'октябрь 2025'!$J$2:$J$2619,AD$1)</f>
        <v>0</v>
      </c>
      <c r="AE85" s="183">
        <f>SUMIFS('октябрь 2025'!$G$2:$G$2619,'октябрь 2025'!$D$2:$D$2619,$B85,'октябрь 2025'!$J$2:$J$2619,AE$1)</f>
        <v>0</v>
      </c>
      <c r="AF85" s="183">
        <f>SUMIFS('октябрь 2025'!$G$2:$G$2619,'октябрь 2025'!$D$2:$D$2619,$B85,'октябрь 2025'!$J$2:$J$2619,AF$1)</f>
        <v>0</v>
      </c>
      <c r="AG85" s="183">
        <f>SUMIFS('октябрь 2025'!$G$2:$G$2619,'октябрь 2025'!$D$2:$D$2619,$B85,'октябрь 2025'!$J$2:$J$2619,AG$1)</f>
        <v>0</v>
      </c>
      <c r="AH85" s="183">
        <f>SUMIFS('октябрь 2025'!$G$2:$G$2619,'октябрь 2025'!$D$2:$D$2619,$B85,'октябрь 2025'!$J$2:$J$2619,AH$1)</f>
        <v>0</v>
      </c>
      <c r="AI85" s="20"/>
    </row>
    <row r="86" spans="2:35" ht="15" customHeight="1" x14ac:dyDescent="0.25">
      <c r="B86" s="88" t="s">
        <v>314</v>
      </c>
      <c r="C86" s="86">
        <v>200</v>
      </c>
      <c r="D86" s="183">
        <f>SUMIFS('октябрь 2025'!$G$2:$G$2619,'октябрь 2025'!$D$2:$D$2619,$B86,'октябрь 2025'!$J$2:$J$2619,D$1)</f>
        <v>0</v>
      </c>
      <c r="E86" s="183">
        <f>SUMIFS('октябрь 2025'!$G$2:$G$2619,'октябрь 2025'!$D$2:$D$2619,$B86,'октябрь 2025'!$J$2:$J$2619,E$1)</f>
        <v>0</v>
      </c>
      <c r="F86" s="183">
        <f>SUMIFS('октябрь 2025'!$G$2:$G$2619,'октябрь 2025'!$D$2:$D$2619,$B86,'октябрь 2025'!$J$2:$J$2619,F$1)</f>
        <v>0</v>
      </c>
      <c r="G86" s="183">
        <f>SUMIFS('октябрь 2025'!$G$2:$G$2619,'октябрь 2025'!$D$2:$D$2619,$B86,'октябрь 2025'!$J$2:$J$2619,G$1)</f>
        <v>0</v>
      </c>
      <c r="H86" s="183">
        <f>SUMIFS('октябрь 2025'!$G$2:$G$2619,'октябрь 2025'!$D$2:$D$2619,$B86,'октябрь 2025'!$J$2:$J$2619,H$1)</f>
        <v>0</v>
      </c>
      <c r="I86" s="183">
        <f>SUMIFS('октябрь 2025'!$G$2:$G$2619,'октябрь 2025'!$D$2:$D$2619,$B86,'октябрь 2025'!$J$2:$J$2619,I$1)</f>
        <v>0</v>
      </c>
      <c r="J86" s="183">
        <f>SUMIFS('октябрь 2025'!$G$2:$G$2619,'октябрь 2025'!$D$2:$D$2619,$B86,'октябрь 2025'!$J$2:$J$2619,J$1)</f>
        <v>0</v>
      </c>
      <c r="K86" s="183">
        <f>SUMIFS('октябрь 2025'!$G$2:$G$2619,'октябрь 2025'!$D$2:$D$2619,$B86,'октябрь 2025'!$J$2:$J$2619,K$1)</f>
        <v>0</v>
      </c>
      <c r="L86" s="183">
        <f>SUMIFS('октябрь 2025'!$G$2:$G$2619,'октябрь 2025'!$D$2:$D$2619,$B86,'октябрь 2025'!$J$2:$J$2619,L$1)</f>
        <v>0</v>
      </c>
      <c r="M86" s="183">
        <f>SUMIFS('октябрь 2025'!$G$2:$G$2619,'октябрь 2025'!$D$2:$D$2619,$B86,'октябрь 2025'!$J$2:$J$2619,M$1)</f>
        <v>0</v>
      </c>
      <c r="N86" s="183">
        <f>SUMIFS('октябрь 2025'!$G$2:$G$2619,'октябрь 2025'!$D$2:$D$2619,$B86,'октябрь 2025'!$J$2:$J$2619,N$1)</f>
        <v>0</v>
      </c>
      <c r="O86" s="183">
        <f>SUMIFS('октябрь 2025'!$G$2:$G$2619,'октябрь 2025'!$D$2:$D$2619,$B86,'октябрь 2025'!$J$2:$J$2619,O$1)</f>
        <v>0</v>
      </c>
      <c r="P86" s="183">
        <f>SUMIFS('октябрь 2025'!$G$2:$G$2619,'октябрь 2025'!$D$2:$D$2619,$B86,'октябрь 2025'!$J$2:$J$2619,P$1)</f>
        <v>0</v>
      </c>
      <c r="Q86" s="183">
        <f>SUMIFS('октябрь 2025'!$G$2:$G$2619,'октябрь 2025'!$D$2:$D$2619,$B86,'октябрь 2025'!$J$2:$J$2619,Q$1)</f>
        <v>0</v>
      </c>
      <c r="R86" s="183">
        <f>SUMIFS('октябрь 2025'!$G$2:$G$2619,'октябрь 2025'!$D$2:$D$2619,$B86,'октябрь 2025'!$J$2:$J$2619,R$1)</f>
        <v>0</v>
      </c>
      <c r="S86" s="183">
        <f>SUMIFS('октябрь 2025'!$G$2:$G$2619,'октябрь 2025'!$D$2:$D$2619,$B86,'октябрь 2025'!$J$2:$J$2619,S$1)</f>
        <v>0</v>
      </c>
      <c r="T86" s="183">
        <f>SUMIFS('октябрь 2025'!$G$2:$G$2619,'октябрь 2025'!$D$2:$D$2619,$B86,'октябрь 2025'!$J$2:$J$2619,T$1)</f>
        <v>0</v>
      </c>
      <c r="U86" s="183">
        <f>SUMIFS('октябрь 2025'!$G$2:$G$2619,'октябрь 2025'!$D$2:$D$2619,$B86,'октябрь 2025'!$J$2:$J$2619,U$1)</f>
        <v>0</v>
      </c>
      <c r="V86" s="183">
        <f>SUMIFS('октябрь 2025'!$G$2:$G$2619,'октябрь 2025'!$D$2:$D$2619,$B86,'октябрь 2025'!$J$2:$J$2619,V$1)</f>
        <v>0</v>
      </c>
      <c r="W86" s="183">
        <f>SUMIFS('октябрь 2025'!$G$2:$G$2619,'октябрь 2025'!$D$2:$D$2619,$B86,'октябрь 2025'!$J$2:$J$2619,W$1)</f>
        <v>0</v>
      </c>
      <c r="X86" s="183">
        <f>SUMIFS('октябрь 2025'!$G$2:$G$2619,'октябрь 2025'!$D$2:$D$2619,$B86,'октябрь 2025'!$J$2:$J$2619,X$1)</f>
        <v>0</v>
      </c>
      <c r="Y86" s="183">
        <f>SUMIFS('октябрь 2025'!$G$2:$G$2619,'октябрь 2025'!$D$2:$D$2619,$B86,'октябрь 2025'!$J$2:$J$2619,Y$1)</f>
        <v>0</v>
      </c>
      <c r="Z86" s="183">
        <f>SUMIFS('октябрь 2025'!$G$2:$G$2619,'октябрь 2025'!$D$2:$D$2619,$B86,'октябрь 2025'!$J$2:$J$2619,Z$1)</f>
        <v>0</v>
      </c>
      <c r="AA86" s="183">
        <f>SUMIFS('октябрь 2025'!$G$2:$G$2619,'октябрь 2025'!$D$2:$D$2619,$B86,'октябрь 2025'!$J$2:$J$2619,AA$1)</f>
        <v>0</v>
      </c>
      <c r="AB86" s="183">
        <f>SUMIFS('октябрь 2025'!$G$2:$G$2619,'октябрь 2025'!$D$2:$D$2619,$B86,'октябрь 2025'!$J$2:$J$2619,AB$1)</f>
        <v>0</v>
      </c>
      <c r="AC86" s="183">
        <f>SUMIFS('октябрь 2025'!$G$2:$G$2619,'октябрь 2025'!$D$2:$D$2619,$B86,'октябрь 2025'!$J$2:$J$2619,AC$1)</f>
        <v>0</v>
      </c>
      <c r="AD86" s="183">
        <f>SUMIFS('октябрь 2025'!$G$2:$G$2619,'октябрь 2025'!$D$2:$D$2619,$B86,'октябрь 2025'!$J$2:$J$2619,AD$1)</f>
        <v>0</v>
      </c>
      <c r="AE86" s="183">
        <f>SUMIFS('октябрь 2025'!$G$2:$G$2619,'октябрь 2025'!$D$2:$D$2619,$B86,'октябрь 2025'!$J$2:$J$2619,AE$1)</f>
        <v>0</v>
      </c>
      <c r="AF86" s="183">
        <f>SUMIFS('октябрь 2025'!$G$2:$G$2619,'октябрь 2025'!$D$2:$D$2619,$B86,'октябрь 2025'!$J$2:$J$2619,AF$1)</f>
        <v>0</v>
      </c>
      <c r="AG86" s="183">
        <f>SUMIFS('октябрь 2025'!$G$2:$G$2619,'октябрь 2025'!$D$2:$D$2619,$B86,'октябрь 2025'!$J$2:$J$2619,AG$1)</f>
        <v>0</v>
      </c>
      <c r="AH86" s="183">
        <f>SUMIFS('октябрь 2025'!$G$2:$G$2619,'октябрь 2025'!$D$2:$D$2619,$B86,'октябрь 2025'!$J$2:$J$2619,AH$1)</f>
        <v>0</v>
      </c>
      <c r="AI86" s="20">
        <f t="shared" si="1"/>
        <v>0</v>
      </c>
    </row>
    <row r="87" spans="2:35" ht="15" customHeight="1" x14ac:dyDescent="0.25">
      <c r="B87" s="88" t="s">
        <v>375</v>
      </c>
      <c r="C87" s="86">
        <v>210</v>
      </c>
      <c r="D87" s="183">
        <f>SUMIFS('октябрь 2025'!$G$2:$G$2619,'октябрь 2025'!$D$2:$D$2619,$B87,'октябрь 2025'!$J$2:$J$2619,D$1)</f>
        <v>0</v>
      </c>
      <c r="E87" s="183">
        <f>SUMIFS('октябрь 2025'!$G$2:$G$2619,'октябрь 2025'!$D$2:$D$2619,$B87,'октябрь 2025'!$J$2:$J$2619,E$1)</f>
        <v>0</v>
      </c>
      <c r="F87" s="183">
        <f>SUMIFS('октябрь 2025'!$G$2:$G$2619,'октябрь 2025'!$D$2:$D$2619,$B87,'октябрь 2025'!$J$2:$J$2619,F$1)</f>
        <v>0</v>
      </c>
      <c r="G87" s="183">
        <f>SUMIFS('октябрь 2025'!$G$2:$G$2619,'октябрь 2025'!$D$2:$D$2619,$B87,'октябрь 2025'!$J$2:$J$2619,G$1)</f>
        <v>0</v>
      </c>
      <c r="H87" s="183">
        <f>SUMIFS('октябрь 2025'!$G$2:$G$2619,'октябрь 2025'!$D$2:$D$2619,$B87,'октябрь 2025'!$J$2:$J$2619,H$1)</f>
        <v>0</v>
      </c>
      <c r="I87" s="183">
        <f>SUMIFS('октябрь 2025'!$G$2:$G$2619,'октябрь 2025'!$D$2:$D$2619,$B87,'октябрь 2025'!$J$2:$J$2619,I$1)</f>
        <v>0</v>
      </c>
      <c r="J87" s="183">
        <f>SUMIFS('октябрь 2025'!$G$2:$G$2619,'октябрь 2025'!$D$2:$D$2619,$B87,'октябрь 2025'!$J$2:$J$2619,J$1)</f>
        <v>0</v>
      </c>
      <c r="K87" s="183">
        <f>SUMIFS('октябрь 2025'!$G$2:$G$2619,'октябрь 2025'!$D$2:$D$2619,$B87,'октябрь 2025'!$J$2:$J$2619,K$1)</f>
        <v>0</v>
      </c>
      <c r="L87" s="183">
        <f>SUMIFS('октябрь 2025'!$G$2:$G$2619,'октябрь 2025'!$D$2:$D$2619,$B87,'октябрь 2025'!$J$2:$J$2619,L$1)</f>
        <v>0</v>
      </c>
      <c r="M87" s="183">
        <f>SUMIFS('октябрь 2025'!$G$2:$G$2619,'октябрь 2025'!$D$2:$D$2619,$B87,'октябрь 2025'!$J$2:$J$2619,M$1)</f>
        <v>0</v>
      </c>
      <c r="N87" s="183">
        <f>SUMIFS('октябрь 2025'!$G$2:$G$2619,'октябрь 2025'!$D$2:$D$2619,$B87,'октябрь 2025'!$J$2:$J$2619,N$1)</f>
        <v>0</v>
      </c>
      <c r="O87" s="183">
        <f>SUMIFS('октябрь 2025'!$G$2:$G$2619,'октябрь 2025'!$D$2:$D$2619,$B87,'октябрь 2025'!$J$2:$J$2619,O$1)</f>
        <v>0</v>
      </c>
      <c r="P87" s="183">
        <f>SUMIFS('октябрь 2025'!$G$2:$G$2619,'октябрь 2025'!$D$2:$D$2619,$B87,'октябрь 2025'!$J$2:$J$2619,P$1)</f>
        <v>0</v>
      </c>
      <c r="Q87" s="183">
        <f>SUMIFS('октябрь 2025'!$G$2:$G$2619,'октябрь 2025'!$D$2:$D$2619,$B87,'октябрь 2025'!$J$2:$J$2619,Q$1)</f>
        <v>0</v>
      </c>
      <c r="R87" s="183">
        <f>SUMIFS('октябрь 2025'!$G$2:$G$2619,'октябрь 2025'!$D$2:$D$2619,$B87,'октябрь 2025'!$J$2:$J$2619,R$1)</f>
        <v>0</v>
      </c>
      <c r="S87" s="183">
        <f>SUMIFS('октябрь 2025'!$G$2:$G$2619,'октябрь 2025'!$D$2:$D$2619,$B87,'октябрь 2025'!$J$2:$J$2619,S$1)</f>
        <v>0</v>
      </c>
      <c r="T87" s="183">
        <f>SUMIFS('октябрь 2025'!$G$2:$G$2619,'октябрь 2025'!$D$2:$D$2619,$B87,'октябрь 2025'!$J$2:$J$2619,T$1)</f>
        <v>0</v>
      </c>
      <c r="U87" s="183">
        <f>SUMIFS('октябрь 2025'!$G$2:$G$2619,'октябрь 2025'!$D$2:$D$2619,$B87,'октябрь 2025'!$J$2:$J$2619,U$1)</f>
        <v>0</v>
      </c>
      <c r="V87" s="183">
        <f>SUMIFS('октябрь 2025'!$G$2:$G$2619,'октябрь 2025'!$D$2:$D$2619,$B87,'октябрь 2025'!$J$2:$J$2619,V$1)</f>
        <v>0</v>
      </c>
      <c r="W87" s="183">
        <f>SUMIFS('октябрь 2025'!$G$2:$G$2619,'октябрь 2025'!$D$2:$D$2619,$B87,'октябрь 2025'!$J$2:$J$2619,W$1)</f>
        <v>0</v>
      </c>
      <c r="X87" s="183">
        <f>SUMIFS('октябрь 2025'!$G$2:$G$2619,'октябрь 2025'!$D$2:$D$2619,$B87,'октябрь 2025'!$J$2:$J$2619,X$1)</f>
        <v>0</v>
      </c>
      <c r="Y87" s="183">
        <f>SUMIFS('октябрь 2025'!$G$2:$G$2619,'октябрь 2025'!$D$2:$D$2619,$B87,'октябрь 2025'!$J$2:$J$2619,Y$1)</f>
        <v>0</v>
      </c>
      <c r="Z87" s="183">
        <f>SUMIFS('октябрь 2025'!$G$2:$G$2619,'октябрь 2025'!$D$2:$D$2619,$B87,'октябрь 2025'!$J$2:$J$2619,Z$1)</f>
        <v>0</v>
      </c>
      <c r="AA87" s="183">
        <f>SUMIFS('октябрь 2025'!$G$2:$G$2619,'октябрь 2025'!$D$2:$D$2619,$B87,'октябрь 2025'!$J$2:$J$2619,AA$1)</f>
        <v>0</v>
      </c>
      <c r="AB87" s="183">
        <f>SUMIFS('октябрь 2025'!$G$2:$G$2619,'октябрь 2025'!$D$2:$D$2619,$B87,'октябрь 2025'!$J$2:$J$2619,AB$1)</f>
        <v>0</v>
      </c>
      <c r="AC87" s="183">
        <f>SUMIFS('октябрь 2025'!$G$2:$G$2619,'октябрь 2025'!$D$2:$D$2619,$B87,'октябрь 2025'!$J$2:$J$2619,AC$1)</f>
        <v>0</v>
      </c>
      <c r="AD87" s="183">
        <f>SUMIFS('октябрь 2025'!$G$2:$G$2619,'октябрь 2025'!$D$2:$D$2619,$B87,'октябрь 2025'!$J$2:$J$2619,AD$1)</f>
        <v>0</v>
      </c>
      <c r="AE87" s="183">
        <f>SUMIFS('октябрь 2025'!$G$2:$G$2619,'октябрь 2025'!$D$2:$D$2619,$B87,'октябрь 2025'!$J$2:$J$2619,AE$1)</f>
        <v>0</v>
      </c>
      <c r="AF87" s="183">
        <f>SUMIFS('октябрь 2025'!$G$2:$G$2619,'октябрь 2025'!$D$2:$D$2619,$B87,'октябрь 2025'!$J$2:$J$2619,AF$1)</f>
        <v>0</v>
      </c>
      <c r="AG87" s="183">
        <f>SUMIFS('октябрь 2025'!$G$2:$G$2619,'октябрь 2025'!$D$2:$D$2619,$B87,'октябрь 2025'!$J$2:$J$2619,AG$1)</f>
        <v>0</v>
      </c>
      <c r="AH87" s="183">
        <f>SUMIFS('октябрь 2025'!$G$2:$G$2619,'октябрь 2025'!$D$2:$D$2619,$B87,'октябрь 2025'!$J$2:$J$2619,AH$1)</f>
        <v>0</v>
      </c>
      <c r="AI87" s="20">
        <f t="shared" si="1"/>
        <v>0</v>
      </c>
    </row>
    <row r="88" spans="2:35" ht="15" customHeight="1" x14ac:dyDescent="0.25">
      <c r="B88" s="88" t="s">
        <v>1255</v>
      </c>
      <c r="C88" s="86">
        <v>1000</v>
      </c>
      <c r="D88" s="183">
        <f>SUMIFS('октябрь 2025'!$G$2:$G$2619,'октябрь 2025'!$D$2:$D$2619,$B88,'октябрь 2025'!$J$2:$J$2619,D$1)</f>
        <v>0</v>
      </c>
      <c r="E88" s="183">
        <f>SUMIFS('октябрь 2025'!$G$2:$G$2619,'октябрь 2025'!$D$2:$D$2619,$B88,'октябрь 2025'!$J$2:$J$2619,E$1)</f>
        <v>0</v>
      </c>
      <c r="F88" s="183">
        <f>SUMIFS('октябрь 2025'!$G$2:$G$2619,'октябрь 2025'!$D$2:$D$2619,$B88,'октябрь 2025'!$J$2:$J$2619,F$1)</f>
        <v>0</v>
      </c>
      <c r="G88" s="183">
        <f>SUMIFS('октябрь 2025'!$G$2:$G$2619,'октябрь 2025'!$D$2:$D$2619,$B88,'октябрь 2025'!$J$2:$J$2619,G$1)</f>
        <v>0</v>
      </c>
      <c r="H88" s="183">
        <f>SUMIFS('октябрь 2025'!$G$2:$G$2619,'октябрь 2025'!$D$2:$D$2619,$B88,'октябрь 2025'!$J$2:$J$2619,H$1)</f>
        <v>0</v>
      </c>
      <c r="I88" s="183">
        <f>SUMIFS('октябрь 2025'!$G$2:$G$2619,'октябрь 2025'!$D$2:$D$2619,$B88,'октябрь 2025'!$J$2:$J$2619,I$1)</f>
        <v>0</v>
      </c>
      <c r="J88" s="183">
        <f>SUMIFS('октябрь 2025'!$G$2:$G$2619,'октябрь 2025'!$D$2:$D$2619,$B88,'октябрь 2025'!$J$2:$J$2619,J$1)</f>
        <v>0</v>
      </c>
      <c r="K88" s="183">
        <f>SUMIFS('октябрь 2025'!$G$2:$G$2619,'октябрь 2025'!$D$2:$D$2619,$B88,'октябрь 2025'!$J$2:$J$2619,K$1)</f>
        <v>0</v>
      </c>
      <c r="L88" s="183">
        <f>SUMIFS('октябрь 2025'!$G$2:$G$2619,'октябрь 2025'!$D$2:$D$2619,$B88,'октябрь 2025'!$J$2:$J$2619,L$1)</f>
        <v>0</v>
      </c>
      <c r="M88" s="183">
        <f>SUMIFS('октябрь 2025'!$G$2:$G$2619,'октябрь 2025'!$D$2:$D$2619,$B88,'октябрь 2025'!$J$2:$J$2619,M$1)</f>
        <v>0</v>
      </c>
      <c r="N88" s="183">
        <f>SUMIFS('октябрь 2025'!$G$2:$G$2619,'октябрь 2025'!$D$2:$D$2619,$B88,'октябрь 2025'!$J$2:$J$2619,N$1)</f>
        <v>0</v>
      </c>
      <c r="O88" s="183">
        <f>SUMIFS('октябрь 2025'!$G$2:$G$2619,'октябрь 2025'!$D$2:$D$2619,$B88,'октябрь 2025'!$J$2:$J$2619,O$1)</f>
        <v>0</v>
      </c>
      <c r="P88" s="183">
        <f>SUMIFS('октябрь 2025'!$G$2:$G$2619,'октябрь 2025'!$D$2:$D$2619,$B88,'октябрь 2025'!$J$2:$J$2619,P$1)</f>
        <v>0</v>
      </c>
      <c r="Q88" s="183">
        <f>SUMIFS('октябрь 2025'!$G$2:$G$2619,'октябрь 2025'!$D$2:$D$2619,$B88,'октябрь 2025'!$J$2:$J$2619,Q$1)</f>
        <v>0</v>
      </c>
      <c r="R88" s="183">
        <f>SUMIFS('октябрь 2025'!$G$2:$G$2619,'октябрь 2025'!$D$2:$D$2619,$B88,'октябрь 2025'!$J$2:$J$2619,R$1)</f>
        <v>0</v>
      </c>
      <c r="S88" s="183">
        <f>SUMIFS('октябрь 2025'!$G$2:$G$2619,'октябрь 2025'!$D$2:$D$2619,$B88,'октябрь 2025'!$J$2:$J$2619,S$1)</f>
        <v>0</v>
      </c>
      <c r="T88" s="183">
        <f>SUMIFS('октябрь 2025'!$G$2:$G$2619,'октябрь 2025'!$D$2:$D$2619,$B88,'октябрь 2025'!$J$2:$J$2619,T$1)</f>
        <v>0</v>
      </c>
      <c r="U88" s="183">
        <f>SUMIFS('октябрь 2025'!$G$2:$G$2619,'октябрь 2025'!$D$2:$D$2619,$B88,'октябрь 2025'!$J$2:$J$2619,U$1)</f>
        <v>0</v>
      </c>
      <c r="V88" s="183">
        <f>SUMIFS('октябрь 2025'!$G$2:$G$2619,'октябрь 2025'!$D$2:$D$2619,$B88,'октябрь 2025'!$J$2:$J$2619,V$1)</f>
        <v>0</v>
      </c>
      <c r="W88" s="183">
        <f>SUMIFS('октябрь 2025'!$G$2:$G$2619,'октябрь 2025'!$D$2:$D$2619,$B88,'октябрь 2025'!$J$2:$J$2619,W$1)</f>
        <v>0</v>
      </c>
      <c r="X88" s="183">
        <f>SUMIFS('октябрь 2025'!$G$2:$G$2619,'октябрь 2025'!$D$2:$D$2619,$B88,'октябрь 2025'!$J$2:$J$2619,X$1)</f>
        <v>0</v>
      </c>
      <c r="Y88" s="183">
        <f>SUMIFS('октябрь 2025'!$G$2:$G$2619,'октябрь 2025'!$D$2:$D$2619,$B88,'октябрь 2025'!$J$2:$J$2619,Y$1)</f>
        <v>0</v>
      </c>
      <c r="Z88" s="183">
        <f>SUMIFS('октябрь 2025'!$G$2:$G$2619,'октябрь 2025'!$D$2:$D$2619,$B88,'октябрь 2025'!$J$2:$J$2619,Z$1)</f>
        <v>0</v>
      </c>
      <c r="AA88" s="183">
        <f>SUMIFS('октябрь 2025'!$G$2:$G$2619,'октябрь 2025'!$D$2:$D$2619,$B88,'октябрь 2025'!$J$2:$J$2619,AA$1)</f>
        <v>0</v>
      </c>
      <c r="AB88" s="183">
        <f>SUMIFS('октябрь 2025'!$G$2:$G$2619,'октябрь 2025'!$D$2:$D$2619,$B88,'октябрь 2025'!$J$2:$J$2619,AB$1)</f>
        <v>0</v>
      </c>
      <c r="AC88" s="183">
        <f>SUMIFS('октябрь 2025'!$G$2:$G$2619,'октябрь 2025'!$D$2:$D$2619,$B88,'октябрь 2025'!$J$2:$J$2619,AC$1)</f>
        <v>0</v>
      </c>
      <c r="AD88" s="183">
        <f>SUMIFS('октябрь 2025'!$G$2:$G$2619,'октябрь 2025'!$D$2:$D$2619,$B88,'октябрь 2025'!$J$2:$J$2619,AD$1)</f>
        <v>0</v>
      </c>
      <c r="AE88" s="183">
        <f>SUMIFS('октябрь 2025'!$G$2:$G$2619,'октябрь 2025'!$D$2:$D$2619,$B88,'октябрь 2025'!$J$2:$J$2619,AE$1)</f>
        <v>0</v>
      </c>
      <c r="AF88" s="183">
        <f>SUMIFS('октябрь 2025'!$G$2:$G$2619,'октябрь 2025'!$D$2:$D$2619,$B88,'октябрь 2025'!$J$2:$J$2619,AF$1)</f>
        <v>0</v>
      </c>
      <c r="AG88" s="183">
        <f>SUMIFS('октябрь 2025'!$G$2:$G$2619,'октябрь 2025'!$D$2:$D$2619,$B88,'октябрь 2025'!$J$2:$J$2619,AG$1)</f>
        <v>0</v>
      </c>
      <c r="AH88" s="183">
        <f>SUMIFS('октябрь 2025'!$G$2:$G$2619,'октябрь 2025'!$D$2:$D$2619,$B88,'октябрь 2025'!$J$2:$J$2619,AH$1)</f>
        <v>0</v>
      </c>
      <c r="AI88" s="20">
        <f t="shared" si="1"/>
        <v>0</v>
      </c>
    </row>
    <row r="89" spans="2:35" ht="15" customHeight="1" x14ac:dyDescent="0.25">
      <c r="B89" s="88" t="s">
        <v>257</v>
      </c>
      <c r="C89" s="86">
        <v>190</v>
      </c>
      <c r="D89" s="183">
        <f>SUMIFS('октябрь 2025'!$G$2:$G$2619,'октябрь 2025'!$D$2:$D$2619,$B89,'октябрь 2025'!$J$2:$J$2619,D$1)</f>
        <v>0</v>
      </c>
      <c r="E89" s="183">
        <f>SUMIFS('октябрь 2025'!$G$2:$G$2619,'октябрь 2025'!$D$2:$D$2619,$B89,'октябрь 2025'!$J$2:$J$2619,E$1)</f>
        <v>0</v>
      </c>
      <c r="F89" s="183">
        <f>SUMIFS('октябрь 2025'!$G$2:$G$2619,'октябрь 2025'!$D$2:$D$2619,$B89,'октябрь 2025'!$J$2:$J$2619,F$1)</f>
        <v>0</v>
      </c>
      <c r="G89" s="183">
        <f>SUMIFS('октябрь 2025'!$G$2:$G$2619,'октябрь 2025'!$D$2:$D$2619,$B89,'октябрь 2025'!$J$2:$J$2619,G$1)</f>
        <v>0</v>
      </c>
      <c r="H89" s="183">
        <f>SUMIFS('октябрь 2025'!$G$2:$G$2619,'октябрь 2025'!$D$2:$D$2619,$B89,'октябрь 2025'!$J$2:$J$2619,H$1)</f>
        <v>0</v>
      </c>
      <c r="I89" s="183">
        <f>SUMIFS('октябрь 2025'!$G$2:$G$2619,'октябрь 2025'!$D$2:$D$2619,$B89,'октябрь 2025'!$J$2:$J$2619,I$1)</f>
        <v>0</v>
      </c>
      <c r="J89" s="183">
        <f>SUMIFS('октябрь 2025'!$G$2:$G$2619,'октябрь 2025'!$D$2:$D$2619,$B89,'октябрь 2025'!$J$2:$J$2619,J$1)</f>
        <v>0</v>
      </c>
      <c r="K89" s="183">
        <f>SUMIFS('октябрь 2025'!$G$2:$G$2619,'октябрь 2025'!$D$2:$D$2619,$B89,'октябрь 2025'!$J$2:$J$2619,K$1)</f>
        <v>0</v>
      </c>
      <c r="L89" s="183">
        <f>SUMIFS('октябрь 2025'!$G$2:$G$2619,'октябрь 2025'!$D$2:$D$2619,$B89,'октябрь 2025'!$J$2:$J$2619,L$1)</f>
        <v>0</v>
      </c>
      <c r="M89" s="183">
        <f>SUMIFS('октябрь 2025'!$G$2:$G$2619,'октябрь 2025'!$D$2:$D$2619,$B89,'октябрь 2025'!$J$2:$J$2619,M$1)</f>
        <v>0</v>
      </c>
      <c r="N89" s="183">
        <f>SUMIFS('октябрь 2025'!$G$2:$G$2619,'октябрь 2025'!$D$2:$D$2619,$B89,'октябрь 2025'!$J$2:$J$2619,N$1)</f>
        <v>0</v>
      </c>
      <c r="O89" s="183">
        <f>SUMIFS('октябрь 2025'!$G$2:$G$2619,'октябрь 2025'!$D$2:$D$2619,$B89,'октябрь 2025'!$J$2:$J$2619,O$1)</f>
        <v>0</v>
      </c>
      <c r="P89" s="183">
        <f>SUMIFS('октябрь 2025'!$G$2:$G$2619,'октябрь 2025'!$D$2:$D$2619,$B89,'октябрь 2025'!$J$2:$J$2619,P$1)</f>
        <v>0</v>
      </c>
      <c r="Q89" s="183">
        <f>SUMIFS('октябрь 2025'!$G$2:$G$2619,'октябрь 2025'!$D$2:$D$2619,$B89,'октябрь 2025'!$J$2:$J$2619,Q$1)</f>
        <v>0</v>
      </c>
      <c r="R89" s="183">
        <f>SUMIFS('октябрь 2025'!$G$2:$G$2619,'октябрь 2025'!$D$2:$D$2619,$B89,'октябрь 2025'!$J$2:$J$2619,R$1)</f>
        <v>0</v>
      </c>
      <c r="S89" s="183">
        <f>SUMIFS('октябрь 2025'!$G$2:$G$2619,'октябрь 2025'!$D$2:$D$2619,$B89,'октябрь 2025'!$J$2:$J$2619,S$1)</f>
        <v>0</v>
      </c>
      <c r="T89" s="183">
        <f>SUMIFS('октябрь 2025'!$G$2:$G$2619,'октябрь 2025'!$D$2:$D$2619,$B89,'октябрь 2025'!$J$2:$J$2619,T$1)</f>
        <v>0</v>
      </c>
      <c r="U89" s="183">
        <f>SUMIFS('октябрь 2025'!$G$2:$G$2619,'октябрь 2025'!$D$2:$D$2619,$B89,'октябрь 2025'!$J$2:$J$2619,U$1)</f>
        <v>0</v>
      </c>
      <c r="V89" s="183">
        <f>SUMIFS('октябрь 2025'!$G$2:$G$2619,'октябрь 2025'!$D$2:$D$2619,$B89,'октябрь 2025'!$J$2:$J$2619,V$1)</f>
        <v>0</v>
      </c>
      <c r="W89" s="183">
        <f>SUMIFS('октябрь 2025'!$G$2:$G$2619,'октябрь 2025'!$D$2:$D$2619,$B89,'октябрь 2025'!$J$2:$J$2619,W$1)</f>
        <v>0</v>
      </c>
      <c r="X89" s="183">
        <f>SUMIFS('октябрь 2025'!$G$2:$G$2619,'октябрь 2025'!$D$2:$D$2619,$B89,'октябрь 2025'!$J$2:$J$2619,X$1)</f>
        <v>0</v>
      </c>
      <c r="Y89" s="183">
        <f>SUMIFS('октябрь 2025'!$G$2:$G$2619,'октябрь 2025'!$D$2:$D$2619,$B89,'октябрь 2025'!$J$2:$J$2619,Y$1)</f>
        <v>0</v>
      </c>
      <c r="Z89" s="183">
        <f>SUMIFS('октябрь 2025'!$G$2:$G$2619,'октябрь 2025'!$D$2:$D$2619,$B89,'октябрь 2025'!$J$2:$J$2619,Z$1)</f>
        <v>0</v>
      </c>
      <c r="AA89" s="183">
        <f>SUMIFS('октябрь 2025'!$G$2:$G$2619,'октябрь 2025'!$D$2:$D$2619,$B89,'октябрь 2025'!$J$2:$J$2619,AA$1)</f>
        <v>0</v>
      </c>
      <c r="AB89" s="183">
        <f>SUMIFS('октябрь 2025'!$G$2:$G$2619,'октябрь 2025'!$D$2:$D$2619,$B89,'октябрь 2025'!$J$2:$J$2619,AB$1)</f>
        <v>0</v>
      </c>
      <c r="AC89" s="183">
        <f>SUMIFS('октябрь 2025'!$G$2:$G$2619,'октябрь 2025'!$D$2:$D$2619,$B89,'октябрь 2025'!$J$2:$J$2619,AC$1)</f>
        <v>0</v>
      </c>
      <c r="AD89" s="183">
        <f>SUMIFS('октябрь 2025'!$G$2:$G$2619,'октябрь 2025'!$D$2:$D$2619,$B89,'октябрь 2025'!$J$2:$J$2619,AD$1)</f>
        <v>0</v>
      </c>
      <c r="AE89" s="183">
        <f>SUMIFS('октябрь 2025'!$G$2:$G$2619,'октябрь 2025'!$D$2:$D$2619,$B89,'октябрь 2025'!$J$2:$J$2619,AE$1)</f>
        <v>0</v>
      </c>
      <c r="AF89" s="183">
        <f>SUMIFS('октябрь 2025'!$G$2:$G$2619,'октябрь 2025'!$D$2:$D$2619,$B89,'октябрь 2025'!$J$2:$J$2619,AF$1)</f>
        <v>0</v>
      </c>
      <c r="AG89" s="183">
        <f>SUMIFS('октябрь 2025'!$G$2:$G$2619,'октябрь 2025'!$D$2:$D$2619,$B89,'октябрь 2025'!$J$2:$J$2619,AG$1)</f>
        <v>0</v>
      </c>
      <c r="AH89" s="183">
        <f>SUMIFS('октябрь 2025'!$G$2:$G$2619,'октябрь 2025'!$D$2:$D$2619,$B89,'октябрь 2025'!$J$2:$J$2619,AH$1)</f>
        <v>0</v>
      </c>
      <c r="AI89" s="20">
        <f t="shared" si="1"/>
        <v>0</v>
      </c>
    </row>
    <row r="90" spans="2:35" ht="15" customHeight="1" x14ac:dyDescent="0.25">
      <c r="B90" s="84" t="s">
        <v>1396</v>
      </c>
      <c r="C90" s="86">
        <v>180</v>
      </c>
      <c r="D90" s="183">
        <f>SUMIFS('октябрь 2025'!$G$2:$G$2619,'октябрь 2025'!$D$2:$D$2619,$B90,'октябрь 2025'!$J$2:$J$2619,D$1)</f>
        <v>0</v>
      </c>
      <c r="E90" s="183">
        <f>SUMIFS('октябрь 2025'!$G$2:$G$2619,'октябрь 2025'!$D$2:$D$2619,$B90,'октябрь 2025'!$J$2:$J$2619,E$1)</f>
        <v>0</v>
      </c>
      <c r="F90" s="183">
        <f>SUMIFS('октябрь 2025'!$G$2:$G$2619,'октябрь 2025'!$D$2:$D$2619,$B90,'октябрь 2025'!$J$2:$J$2619,F$1)</f>
        <v>0</v>
      </c>
      <c r="G90" s="183">
        <f>SUMIFS('октябрь 2025'!$G$2:$G$2619,'октябрь 2025'!$D$2:$D$2619,$B90,'октябрь 2025'!$J$2:$J$2619,G$1)</f>
        <v>0</v>
      </c>
      <c r="H90" s="183">
        <f>SUMIFS('октябрь 2025'!$G$2:$G$2619,'октябрь 2025'!$D$2:$D$2619,$B90,'октябрь 2025'!$J$2:$J$2619,H$1)</f>
        <v>0</v>
      </c>
      <c r="I90" s="183">
        <f>SUMIFS('октябрь 2025'!$G$2:$G$2619,'октябрь 2025'!$D$2:$D$2619,$B90,'октябрь 2025'!$J$2:$J$2619,I$1)</f>
        <v>0</v>
      </c>
      <c r="J90" s="183">
        <f>SUMIFS('октябрь 2025'!$G$2:$G$2619,'октябрь 2025'!$D$2:$D$2619,$B90,'октябрь 2025'!$J$2:$J$2619,J$1)</f>
        <v>0</v>
      </c>
      <c r="K90" s="183">
        <f>SUMIFS('октябрь 2025'!$G$2:$G$2619,'октябрь 2025'!$D$2:$D$2619,$B90,'октябрь 2025'!$J$2:$J$2619,K$1)</f>
        <v>0</v>
      </c>
      <c r="L90" s="183">
        <f>SUMIFS('октябрь 2025'!$G$2:$G$2619,'октябрь 2025'!$D$2:$D$2619,$B90,'октябрь 2025'!$J$2:$J$2619,L$1)</f>
        <v>0</v>
      </c>
      <c r="M90" s="183">
        <f>SUMIFS('октябрь 2025'!$G$2:$G$2619,'октябрь 2025'!$D$2:$D$2619,$B90,'октябрь 2025'!$J$2:$J$2619,M$1)</f>
        <v>0</v>
      </c>
      <c r="N90" s="183">
        <f>SUMIFS('октябрь 2025'!$G$2:$G$2619,'октябрь 2025'!$D$2:$D$2619,$B90,'октябрь 2025'!$J$2:$J$2619,N$1)</f>
        <v>0</v>
      </c>
      <c r="O90" s="183">
        <f>SUMIFS('октябрь 2025'!$G$2:$G$2619,'октябрь 2025'!$D$2:$D$2619,$B90,'октябрь 2025'!$J$2:$J$2619,O$1)</f>
        <v>0</v>
      </c>
      <c r="P90" s="183">
        <f>SUMIFS('октябрь 2025'!$G$2:$G$2619,'октябрь 2025'!$D$2:$D$2619,$B90,'октябрь 2025'!$J$2:$J$2619,P$1)</f>
        <v>0</v>
      </c>
      <c r="Q90" s="183">
        <f>SUMIFS('октябрь 2025'!$G$2:$G$2619,'октябрь 2025'!$D$2:$D$2619,$B90,'октябрь 2025'!$J$2:$J$2619,Q$1)</f>
        <v>0</v>
      </c>
      <c r="R90" s="183">
        <f>SUMIFS('октябрь 2025'!$G$2:$G$2619,'октябрь 2025'!$D$2:$D$2619,$B90,'октябрь 2025'!$J$2:$J$2619,R$1)</f>
        <v>0</v>
      </c>
      <c r="S90" s="183">
        <f>SUMIFS('октябрь 2025'!$G$2:$G$2619,'октябрь 2025'!$D$2:$D$2619,$B90,'октябрь 2025'!$J$2:$J$2619,S$1)</f>
        <v>0</v>
      </c>
      <c r="T90" s="183">
        <f>SUMIFS('октябрь 2025'!$G$2:$G$2619,'октябрь 2025'!$D$2:$D$2619,$B90,'октябрь 2025'!$J$2:$J$2619,T$1)</f>
        <v>0</v>
      </c>
      <c r="U90" s="183">
        <f>SUMIFS('октябрь 2025'!$G$2:$G$2619,'октябрь 2025'!$D$2:$D$2619,$B90,'октябрь 2025'!$J$2:$J$2619,U$1)</f>
        <v>0</v>
      </c>
      <c r="V90" s="183">
        <f>SUMIFS('октябрь 2025'!$G$2:$G$2619,'октябрь 2025'!$D$2:$D$2619,$B90,'октябрь 2025'!$J$2:$J$2619,V$1)</f>
        <v>0</v>
      </c>
      <c r="W90" s="183">
        <f>SUMIFS('октябрь 2025'!$G$2:$G$2619,'октябрь 2025'!$D$2:$D$2619,$B90,'октябрь 2025'!$J$2:$J$2619,W$1)</f>
        <v>0</v>
      </c>
      <c r="X90" s="183">
        <f>SUMIFS('октябрь 2025'!$G$2:$G$2619,'октябрь 2025'!$D$2:$D$2619,$B90,'октябрь 2025'!$J$2:$J$2619,X$1)</f>
        <v>0</v>
      </c>
      <c r="Y90" s="183">
        <f>SUMIFS('октябрь 2025'!$G$2:$G$2619,'октябрь 2025'!$D$2:$D$2619,$B90,'октябрь 2025'!$J$2:$J$2619,Y$1)</f>
        <v>0</v>
      </c>
      <c r="Z90" s="183">
        <f>SUMIFS('октябрь 2025'!$G$2:$G$2619,'октябрь 2025'!$D$2:$D$2619,$B90,'октябрь 2025'!$J$2:$J$2619,Z$1)</f>
        <v>0</v>
      </c>
      <c r="AA90" s="183">
        <f>SUMIFS('октябрь 2025'!$G$2:$G$2619,'октябрь 2025'!$D$2:$D$2619,$B90,'октябрь 2025'!$J$2:$J$2619,AA$1)</f>
        <v>0</v>
      </c>
      <c r="AB90" s="183">
        <f>SUMIFS('октябрь 2025'!$G$2:$G$2619,'октябрь 2025'!$D$2:$D$2619,$B90,'октябрь 2025'!$J$2:$J$2619,AB$1)</f>
        <v>0</v>
      </c>
      <c r="AC90" s="183">
        <f>SUMIFS('октябрь 2025'!$G$2:$G$2619,'октябрь 2025'!$D$2:$D$2619,$B90,'октябрь 2025'!$J$2:$J$2619,AC$1)</f>
        <v>0</v>
      </c>
      <c r="AD90" s="183">
        <f>SUMIFS('октябрь 2025'!$G$2:$G$2619,'октябрь 2025'!$D$2:$D$2619,$B90,'октябрь 2025'!$J$2:$J$2619,AD$1)</f>
        <v>0</v>
      </c>
      <c r="AE90" s="183">
        <f>SUMIFS('октябрь 2025'!$G$2:$G$2619,'октябрь 2025'!$D$2:$D$2619,$B90,'октябрь 2025'!$J$2:$J$2619,AE$1)</f>
        <v>0</v>
      </c>
      <c r="AF90" s="183">
        <f>SUMIFS('октябрь 2025'!$G$2:$G$2619,'октябрь 2025'!$D$2:$D$2619,$B90,'октябрь 2025'!$J$2:$J$2619,AF$1)</f>
        <v>0</v>
      </c>
      <c r="AG90" s="183">
        <f>SUMIFS('октябрь 2025'!$G$2:$G$2619,'октябрь 2025'!$D$2:$D$2619,$B90,'октябрь 2025'!$J$2:$J$2619,AG$1)</f>
        <v>0</v>
      </c>
      <c r="AH90" s="183">
        <f>SUMIFS('октябрь 2025'!$G$2:$G$2619,'октябрь 2025'!$D$2:$D$2619,$B90,'октябрь 2025'!$J$2:$J$2619,AH$1)</f>
        <v>0</v>
      </c>
      <c r="AI90" s="20">
        <f t="shared" si="1"/>
        <v>0</v>
      </c>
    </row>
    <row r="91" spans="2:35" ht="15" customHeight="1" x14ac:dyDescent="0.25">
      <c r="B91" s="84" t="s">
        <v>189</v>
      </c>
      <c r="C91" s="83">
        <v>180</v>
      </c>
      <c r="D91" s="183">
        <f>SUMIFS('октябрь 2025'!$G$2:$G$2619,'октябрь 2025'!$D$2:$D$2619,$B91,'октябрь 2025'!$J$2:$J$2619,D$1)</f>
        <v>80</v>
      </c>
      <c r="E91" s="183">
        <f>SUMIFS('октябрь 2025'!$G$2:$G$2619,'октябрь 2025'!$D$2:$D$2619,$B91,'октябрь 2025'!$J$2:$J$2619,E$1)</f>
        <v>0</v>
      </c>
      <c r="F91" s="183">
        <f>SUMIFS('октябрь 2025'!$G$2:$G$2619,'октябрь 2025'!$D$2:$D$2619,$B91,'октябрь 2025'!$J$2:$J$2619,F$1)</f>
        <v>80</v>
      </c>
      <c r="G91" s="183">
        <f>SUMIFS('октябрь 2025'!$G$2:$G$2619,'октябрь 2025'!$D$2:$D$2619,$B91,'октябрь 2025'!$J$2:$J$2619,G$1)</f>
        <v>0</v>
      </c>
      <c r="H91" s="183">
        <f>SUMIFS('октябрь 2025'!$G$2:$G$2619,'октябрь 2025'!$D$2:$D$2619,$B91,'октябрь 2025'!$J$2:$J$2619,H$1)</f>
        <v>0</v>
      </c>
      <c r="I91" s="183">
        <f>SUMIFS('октябрь 2025'!$G$2:$G$2619,'октябрь 2025'!$D$2:$D$2619,$B91,'октябрь 2025'!$J$2:$J$2619,I$1)</f>
        <v>0</v>
      </c>
      <c r="J91" s="183">
        <f>SUMIFS('октябрь 2025'!$G$2:$G$2619,'октябрь 2025'!$D$2:$D$2619,$B91,'октябрь 2025'!$J$2:$J$2619,J$1)</f>
        <v>140</v>
      </c>
      <c r="K91" s="183">
        <f>SUMIFS('октябрь 2025'!$G$2:$G$2619,'октябрь 2025'!$D$2:$D$2619,$B91,'октябрь 2025'!$J$2:$J$2619,K$1)</f>
        <v>0</v>
      </c>
      <c r="L91" s="183">
        <f>SUMIFS('октябрь 2025'!$G$2:$G$2619,'октябрь 2025'!$D$2:$D$2619,$B91,'октябрь 2025'!$J$2:$J$2619,L$1)</f>
        <v>0</v>
      </c>
      <c r="M91" s="183">
        <f>SUMIFS('октябрь 2025'!$G$2:$G$2619,'октябрь 2025'!$D$2:$D$2619,$B91,'октябрь 2025'!$J$2:$J$2619,M$1)</f>
        <v>0</v>
      </c>
      <c r="N91" s="183">
        <f>SUMIFS('октябрь 2025'!$G$2:$G$2619,'октябрь 2025'!$D$2:$D$2619,$B91,'октябрь 2025'!$J$2:$J$2619,N$1)</f>
        <v>0</v>
      </c>
      <c r="O91" s="183">
        <f>SUMIFS('октябрь 2025'!$G$2:$G$2619,'октябрь 2025'!$D$2:$D$2619,$B91,'октябрь 2025'!$J$2:$J$2619,O$1)</f>
        <v>0</v>
      </c>
      <c r="P91" s="183">
        <f>SUMIFS('октябрь 2025'!$G$2:$G$2619,'октябрь 2025'!$D$2:$D$2619,$B91,'октябрь 2025'!$J$2:$J$2619,P$1)</f>
        <v>0</v>
      </c>
      <c r="Q91" s="183">
        <f>SUMIFS('октябрь 2025'!$G$2:$G$2619,'октябрь 2025'!$D$2:$D$2619,$B91,'октябрь 2025'!$J$2:$J$2619,Q$1)</f>
        <v>0</v>
      </c>
      <c r="R91" s="183">
        <f>SUMIFS('октябрь 2025'!$G$2:$G$2619,'октябрь 2025'!$D$2:$D$2619,$B91,'октябрь 2025'!$J$2:$J$2619,R$1)</f>
        <v>0</v>
      </c>
      <c r="S91" s="183">
        <f>SUMIFS('октябрь 2025'!$G$2:$G$2619,'октябрь 2025'!$D$2:$D$2619,$B91,'октябрь 2025'!$J$2:$J$2619,S$1)</f>
        <v>0</v>
      </c>
      <c r="T91" s="183">
        <f>SUMIFS('октябрь 2025'!$G$2:$G$2619,'октябрь 2025'!$D$2:$D$2619,$B91,'октябрь 2025'!$J$2:$J$2619,T$1)</f>
        <v>0</v>
      </c>
      <c r="U91" s="183">
        <f>SUMIFS('октябрь 2025'!$G$2:$G$2619,'октябрь 2025'!$D$2:$D$2619,$B91,'октябрь 2025'!$J$2:$J$2619,U$1)</f>
        <v>0</v>
      </c>
      <c r="V91" s="183">
        <f>SUMIFS('октябрь 2025'!$G$2:$G$2619,'октябрь 2025'!$D$2:$D$2619,$B91,'октябрь 2025'!$J$2:$J$2619,V$1)</f>
        <v>0</v>
      </c>
      <c r="W91" s="183">
        <f>SUMIFS('октябрь 2025'!$G$2:$G$2619,'октябрь 2025'!$D$2:$D$2619,$B91,'октябрь 2025'!$J$2:$J$2619,W$1)</f>
        <v>0</v>
      </c>
      <c r="X91" s="183">
        <f>SUMIFS('октябрь 2025'!$G$2:$G$2619,'октябрь 2025'!$D$2:$D$2619,$B91,'октябрь 2025'!$J$2:$J$2619,X$1)</f>
        <v>0</v>
      </c>
      <c r="Y91" s="183">
        <f>SUMIFS('октябрь 2025'!$G$2:$G$2619,'октябрь 2025'!$D$2:$D$2619,$B91,'октябрь 2025'!$J$2:$J$2619,Y$1)</f>
        <v>0</v>
      </c>
      <c r="Z91" s="183">
        <f>SUMIFS('октябрь 2025'!$G$2:$G$2619,'октябрь 2025'!$D$2:$D$2619,$B91,'октябрь 2025'!$J$2:$J$2619,Z$1)</f>
        <v>0</v>
      </c>
      <c r="AA91" s="183">
        <f>SUMIFS('октябрь 2025'!$G$2:$G$2619,'октябрь 2025'!$D$2:$D$2619,$B91,'октябрь 2025'!$J$2:$J$2619,AA$1)</f>
        <v>0</v>
      </c>
      <c r="AB91" s="183">
        <f>SUMIFS('октябрь 2025'!$G$2:$G$2619,'октябрь 2025'!$D$2:$D$2619,$B91,'октябрь 2025'!$J$2:$J$2619,AB$1)</f>
        <v>0</v>
      </c>
      <c r="AC91" s="183">
        <f>SUMIFS('октябрь 2025'!$G$2:$G$2619,'октябрь 2025'!$D$2:$D$2619,$B91,'октябрь 2025'!$J$2:$J$2619,AC$1)</f>
        <v>0</v>
      </c>
      <c r="AD91" s="183">
        <f>SUMIFS('октябрь 2025'!$G$2:$G$2619,'октябрь 2025'!$D$2:$D$2619,$B91,'октябрь 2025'!$J$2:$J$2619,AD$1)</f>
        <v>0</v>
      </c>
      <c r="AE91" s="183">
        <f>SUMIFS('октябрь 2025'!$G$2:$G$2619,'октябрь 2025'!$D$2:$D$2619,$B91,'октябрь 2025'!$J$2:$J$2619,AE$1)</f>
        <v>0</v>
      </c>
      <c r="AF91" s="183">
        <f>SUMIFS('октябрь 2025'!$G$2:$G$2619,'октябрь 2025'!$D$2:$D$2619,$B91,'октябрь 2025'!$J$2:$J$2619,AF$1)</f>
        <v>0</v>
      </c>
      <c r="AG91" s="183">
        <f>SUMIFS('октябрь 2025'!$G$2:$G$2619,'октябрь 2025'!$D$2:$D$2619,$B91,'октябрь 2025'!$J$2:$J$2619,AG$1)</f>
        <v>0</v>
      </c>
      <c r="AH91" s="183">
        <f>SUMIFS('октябрь 2025'!$G$2:$G$2619,'октябрь 2025'!$D$2:$D$2619,$B91,'октябрь 2025'!$J$2:$J$2619,AH$1)</f>
        <v>0</v>
      </c>
      <c r="AI91" s="20">
        <f t="shared" si="1"/>
        <v>300</v>
      </c>
    </row>
    <row r="92" spans="2:35" ht="15" customHeight="1" x14ac:dyDescent="0.25">
      <c r="B92" s="88" t="s">
        <v>190</v>
      </c>
      <c r="C92" s="86">
        <v>190</v>
      </c>
      <c r="D92" s="183">
        <f>SUMIFS('октябрь 2025'!$G$2:$G$2619,'октябрь 2025'!$D$2:$D$2619,$B92,'октябрь 2025'!$J$2:$J$2619,D$1)</f>
        <v>0</v>
      </c>
      <c r="E92" s="183">
        <f>SUMIFS('октябрь 2025'!$G$2:$G$2619,'октябрь 2025'!$D$2:$D$2619,$B92,'октябрь 2025'!$J$2:$J$2619,E$1)</f>
        <v>0</v>
      </c>
      <c r="F92" s="183">
        <f>SUMIFS('октябрь 2025'!$G$2:$G$2619,'октябрь 2025'!$D$2:$D$2619,$B92,'октябрь 2025'!$J$2:$J$2619,F$1)</f>
        <v>0</v>
      </c>
      <c r="G92" s="183">
        <f>SUMIFS('октябрь 2025'!$G$2:$G$2619,'октябрь 2025'!$D$2:$D$2619,$B92,'октябрь 2025'!$J$2:$J$2619,G$1)</f>
        <v>0</v>
      </c>
      <c r="H92" s="183">
        <f>SUMIFS('октябрь 2025'!$G$2:$G$2619,'октябрь 2025'!$D$2:$D$2619,$B92,'октябрь 2025'!$J$2:$J$2619,H$1)</f>
        <v>0</v>
      </c>
      <c r="I92" s="183">
        <f>SUMIFS('октябрь 2025'!$G$2:$G$2619,'октябрь 2025'!$D$2:$D$2619,$B92,'октябрь 2025'!$J$2:$J$2619,I$1)</f>
        <v>0</v>
      </c>
      <c r="J92" s="183">
        <f>SUMIFS('октябрь 2025'!$G$2:$G$2619,'октябрь 2025'!$D$2:$D$2619,$B92,'октябрь 2025'!$J$2:$J$2619,J$1)</f>
        <v>0</v>
      </c>
      <c r="K92" s="183">
        <f>SUMIFS('октябрь 2025'!$G$2:$G$2619,'октябрь 2025'!$D$2:$D$2619,$B92,'октябрь 2025'!$J$2:$J$2619,K$1)</f>
        <v>0</v>
      </c>
      <c r="L92" s="183">
        <f>SUMIFS('октябрь 2025'!$G$2:$G$2619,'октябрь 2025'!$D$2:$D$2619,$B92,'октябрь 2025'!$J$2:$J$2619,L$1)</f>
        <v>0</v>
      </c>
      <c r="M92" s="183">
        <f>SUMIFS('октябрь 2025'!$G$2:$G$2619,'октябрь 2025'!$D$2:$D$2619,$B92,'октябрь 2025'!$J$2:$J$2619,M$1)</f>
        <v>0</v>
      </c>
      <c r="N92" s="183">
        <f>SUMIFS('октябрь 2025'!$G$2:$G$2619,'октябрь 2025'!$D$2:$D$2619,$B92,'октябрь 2025'!$J$2:$J$2619,N$1)</f>
        <v>0</v>
      </c>
      <c r="O92" s="183">
        <f>SUMIFS('октябрь 2025'!$G$2:$G$2619,'октябрь 2025'!$D$2:$D$2619,$B92,'октябрь 2025'!$J$2:$J$2619,O$1)</f>
        <v>0</v>
      </c>
      <c r="P92" s="183">
        <f>SUMIFS('октябрь 2025'!$G$2:$G$2619,'октябрь 2025'!$D$2:$D$2619,$B92,'октябрь 2025'!$J$2:$J$2619,P$1)</f>
        <v>0</v>
      </c>
      <c r="Q92" s="183">
        <f>SUMIFS('октябрь 2025'!$G$2:$G$2619,'октябрь 2025'!$D$2:$D$2619,$B92,'октябрь 2025'!$J$2:$J$2619,Q$1)</f>
        <v>0</v>
      </c>
      <c r="R92" s="183">
        <f>SUMIFS('октябрь 2025'!$G$2:$G$2619,'октябрь 2025'!$D$2:$D$2619,$B92,'октябрь 2025'!$J$2:$J$2619,R$1)</f>
        <v>0</v>
      </c>
      <c r="S92" s="183">
        <f>SUMIFS('октябрь 2025'!$G$2:$G$2619,'октябрь 2025'!$D$2:$D$2619,$B92,'октябрь 2025'!$J$2:$J$2619,S$1)</f>
        <v>0</v>
      </c>
      <c r="T92" s="183">
        <f>SUMIFS('октябрь 2025'!$G$2:$G$2619,'октябрь 2025'!$D$2:$D$2619,$B92,'октябрь 2025'!$J$2:$J$2619,T$1)</f>
        <v>0</v>
      </c>
      <c r="U92" s="183">
        <f>SUMIFS('октябрь 2025'!$G$2:$G$2619,'октябрь 2025'!$D$2:$D$2619,$B92,'октябрь 2025'!$J$2:$J$2619,U$1)</f>
        <v>0</v>
      </c>
      <c r="V92" s="183">
        <f>SUMIFS('октябрь 2025'!$G$2:$G$2619,'октябрь 2025'!$D$2:$D$2619,$B92,'октябрь 2025'!$J$2:$J$2619,V$1)</f>
        <v>0</v>
      </c>
      <c r="W92" s="183">
        <f>SUMIFS('октябрь 2025'!$G$2:$G$2619,'октябрь 2025'!$D$2:$D$2619,$B92,'октябрь 2025'!$J$2:$J$2619,W$1)</f>
        <v>0</v>
      </c>
      <c r="X92" s="183">
        <f>SUMIFS('октябрь 2025'!$G$2:$G$2619,'октябрь 2025'!$D$2:$D$2619,$B92,'октябрь 2025'!$J$2:$J$2619,X$1)</f>
        <v>0</v>
      </c>
      <c r="Y92" s="183">
        <f>SUMIFS('октябрь 2025'!$G$2:$G$2619,'октябрь 2025'!$D$2:$D$2619,$B92,'октябрь 2025'!$J$2:$J$2619,Y$1)</f>
        <v>0</v>
      </c>
      <c r="Z92" s="183">
        <f>SUMIFS('октябрь 2025'!$G$2:$G$2619,'октябрь 2025'!$D$2:$D$2619,$B92,'октябрь 2025'!$J$2:$J$2619,Z$1)</f>
        <v>0</v>
      </c>
      <c r="AA92" s="183">
        <f>SUMIFS('октябрь 2025'!$G$2:$G$2619,'октябрь 2025'!$D$2:$D$2619,$B92,'октябрь 2025'!$J$2:$J$2619,AA$1)</f>
        <v>0</v>
      </c>
      <c r="AB92" s="183">
        <f>SUMIFS('октябрь 2025'!$G$2:$G$2619,'октябрь 2025'!$D$2:$D$2619,$B92,'октябрь 2025'!$J$2:$J$2619,AB$1)</f>
        <v>0</v>
      </c>
      <c r="AC92" s="183">
        <f>SUMIFS('октябрь 2025'!$G$2:$G$2619,'октябрь 2025'!$D$2:$D$2619,$B92,'октябрь 2025'!$J$2:$J$2619,AC$1)</f>
        <v>0</v>
      </c>
      <c r="AD92" s="183">
        <f>SUMIFS('октябрь 2025'!$G$2:$G$2619,'октябрь 2025'!$D$2:$D$2619,$B92,'октябрь 2025'!$J$2:$J$2619,AD$1)</f>
        <v>0</v>
      </c>
      <c r="AE92" s="183">
        <f>SUMIFS('октябрь 2025'!$G$2:$G$2619,'октябрь 2025'!$D$2:$D$2619,$B92,'октябрь 2025'!$J$2:$J$2619,AE$1)</f>
        <v>0</v>
      </c>
      <c r="AF92" s="183">
        <f>SUMIFS('октябрь 2025'!$G$2:$G$2619,'октябрь 2025'!$D$2:$D$2619,$B92,'октябрь 2025'!$J$2:$J$2619,AF$1)</f>
        <v>0</v>
      </c>
      <c r="AG92" s="183">
        <f>SUMIFS('октябрь 2025'!$G$2:$G$2619,'октябрь 2025'!$D$2:$D$2619,$B92,'октябрь 2025'!$J$2:$J$2619,AG$1)</f>
        <v>0</v>
      </c>
      <c r="AH92" s="183">
        <f>SUMIFS('октябрь 2025'!$G$2:$G$2619,'октябрь 2025'!$D$2:$D$2619,$B92,'октябрь 2025'!$J$2:$J$2619,AH$1)</f>
        <v>0</v>
      </c>
      <c r="AI92" s="20">
        <f t="shared" si="1"/>
        <v>0</v>
      </c>
    </row>
    <row r="93" spans="2:35" ht="15" customHeight="1" x14ac:dyDescent="0.25">
      <c r="B93" s="88" t="s">
        <v>191</v>
      </c>
      <c r="C93" s="86">
        <v>190</v>
      </c>
      <c r="D93" s="183">
        <f>SUMIFS('октябрь 2025'!$G$2:$G$2619,'октябрь 2025'!$D$2:$D$2619,$B93,'октябрь 2025'!$J$2:$J$2619,D$1)</f>
        <v>0</v>
      </c>
      <c r="E93" s="183">
        <f>SUMIFS('октябрь 2025'!$G$2:$G$2619,'октябрь 2025'!$D$2:$D$2619,$B93,'октябрь 2025'!$J$2:$J$2619,E$1)</f>
        <v>0</v>
      </c>
      <c r="F93" s="183">
        <f>SUMIFS('октябрь 2025'!$G$2:$G$2619,'октябрь 2025'!$D$2:$D$2619,$B93,'октябрь 2025'!$J$2:$J$2619,F$1)</f>
        <v>0</v>
      </c>
      <c r="G93" s="183">
        <f>SUMIFS('октябрь 2025'!$G$2:$G$2619,'октябрь 2025'!$D$2:$D$2619,$B93,'октябрь 2025'!$J$2:$J$2619,G$1)</f>
        <v>0</v>
      </c>
      <c r="H93" s="183">
        <f>SUMIFS('октябрь 2025'!$G$2:$G$2619,'октябрь 2025'!$D$2:$D$2619,$B93,'октябрь 2025'!$J$2:$J$2619,H$1)</f>
        <v>0</v>
      </c>
      <c r="I93" s="183">
        <f>SUMIFS('октябрь 2025'!$G$2:$G$2619,'октябрь 2025'!$D$2:$D$2619,$B93,'октябрь 2025'!$J$2:$J$2619,I$1)</f>
        <v>0</v>
      </c>
      <c r="J93" s="183">
        <f>SUMIFS('октябрь 2025'!$G$2:$G$2619,'октябрь 2025'!$D$2:$D$2619,$B93,'октябрь 2025'!$J$2:$J$2619,J$1)</f>
        <v>0</v>
      </c>
      <c r="K93" s="183">
        <f>SUMIFS('октябрь 2025'!$G$2:$G$2619,'октябрь 2025'!$D$2:$D$2619,$B93,'октябрь 2025'!$J$2:$J$2619,K$1)</f>
        <v>0</v>
      </c>
      <c r="L93" s="183">
        <f>SUMIFS('октябрь 2025'!$G$2:$G$2619,'октябрь 2025'!$D$2:$D$2619,$B93,'октябрь 2025'!$J$2:$J$2619,L$1)</f>
        <v>0</v>
      </c>
      <c r="M93" s="183">
        <f>SUMIFS('октябрь 2025'!$G$2:$G$2619,'октябрь 2025'!$D$2:$D$2619,$B93,'октябрь 2025'!$J$2:$J$2619,M$1)</f>
        <v>0</v>
      </c>
      <c r="N93" s="183">
        <f>SUMIFS('октябрь 2025'!$G$2:$G$2619,'октябрь 2025'!$D$2:$D$2619,$B93,'октябрь 2025'!$J$2:$J$2619,N$1)</f>
        <v>0</v>
      </c>
      <c r="O93" s="183">
        <f>SUMIFS('октябрь 2025'!$G$2:$G$2619,'октябрь 2025'!$D$2:$D$2619,$B93,'октябрь 2025'!$J$2:$J$2619,O$1)</f>
        <v>0</v>
      </c>
      <c r="P93" s="183">
        <f>SUMIFS('октябрь 2025'!$G$2:$G$2619,'октябрь 2025'!$D$2:$D$2619,$B93,'октябрь 2025'!$J$2:$J$2619,P$1)</f>
        <v>0</v>
      </c>
      <c r="Q93" s="183">
        <f>SUMIFS('октябрь 2025'!$G$2:$G$2619,'октябрь 2025'!$D$2:$D$2619,$B93,'октябрь 2025'!$J$2:$J$2619,Q$1)</f>
        <v>0</v>
      </c>
      <c r="R93" s="183">
        <f>SUMIFS('октябрь 2025'!$G$2:$G$2619,'октябрь 2025'!$D$2:$D$2619,$B93,'октябрь 2025'!$J$2:$J$2619,R$1)</f>
        <v>0</v>
      </c>
      <c r="S93" s="183">
        <f>SUMIFS('октябрь 2025'!$G$2:$G$2619,'октябрь 2025'!$D$2:$D$2619,$B93,'октябрь 2025'!$J$2:$J$2619,S$1)</f>
        <v>0</v>
      </c>
      <c r="T93" s="183">
        <f>SUMIFS('октябрь 2025'!$G$2:$G$2619,'октябрь 2025'!$D$2:$D$2619,$B93,'октябрь 2025'!$J$2:$J$2619,T$1)</f>
        <v>0</v>
      </c>
      <c r="U93" s="183">
        <f>SUMIFS('октябрь 2025'!$G$2:$G$2619,'октябрь 2025'!$D$2:$D$2619,$B93,'октябрь 2025'!$J$2:$J$2619,U$1)</f>
        <v>0</v>
      </c>
      <c r="V93" s="183">
        <f>SUMIFS('октябрь 2025'!$G$2:$G$2619,'октябрь 2025'!$D$2:$D$2619,$B93,'октябрь 2025'!$J$2:$J$2619,V$1)</f>
        <v>0</v>
      </c>
      <c r="W93" s="183">
        <f>SUMIFS('октябрь 2025'!$G$2:$G$2619,'октябрь 2025'!$D$2:$D$2619,$B93,'октябрь 2025'!$J$2:$J$2619,W$1)</f>
        <v>0</v>
      </c>
      <c r="X93" s="183">
        <f>SUMIFS('октябрь 2025'!$G$2:$G$2619,'октябрь 2025'!$D$2:$D$2619,$B93,'октябрь 2025'!$J$2:$J$2619,X$1)</f>
        <v>0</v>
      </c>
      <c r="Y93" s="183">
        <f>SUMIFS('октябрь 2025'!$G$2:$G$2619,'октябрь 2025'!$D$2:$D$2619,$B93,'октябрь 2025'!$J$2:$J$2619,Y$1)</f>
        <v>0</v>
      </c>
      <c r="Z93" s="183">
        <f>SUMIFS('октябрь 2025'!$G$2:$G$2619,'октябрь 2025'!$D$2:$D$2619,$B93,'октябрь 2025'!$J$2:$J$2619,Z$1)</f>
        <v>0</v>
      </c>
      <c r="AA93" s="183">
        <f>SUMIFS('октябрь 2025'!$G$2:$G$2619,'октябрь 2025'!$D$2:$D$2619,$B93,'октябрь 2025'!$J$2:$J$2619,AA$1)</f>
        <v>0</v>
      </c>
      <c r="AB93" s="183">
        <f>SUMIFS('октябрь 2025'!$G$2:$G$2619,'октябрь 2025'!$D$2:$D$2619,$B93,'октябрь 2025'!$J$2:$J$2619,AB$1)</f>
        <v>0</v>
      </c>
      <c r="AC93" s="183">
        <f>SUMIFS('октябрь 2025'!$G$2:$G$2619,'октябрь 2025'!$D$2:$D$2619,$B93,'октябрь 2025'!$J$2:$J$2619,AC$1)</f>
        <v>0</v>
      </c>
      <c r="AD93" s="183">
        <f>SUMIFS('октябрь 2025'!$G$2:$G$2619,'октябрь 2025'!$D$2:$D$2619,$B93,'октябрь 2025'!$J$2:$J$2619,AD$1)</f>
        <v>0</v>
      </c>
      <c r="AE93" s="183">
        <f>SUMIFS('октябрь 2025'!$G$2:$G$2619,'октябрь 2025'!$D$2:$D$2619,$B93,'октябрь 2025'!$J$2:$J$2619,AE$1)</f>
        <v>0</v>
      </c>
      <c r="AF93" s="183">
        <f>SUMIFS('октябрь 2025'!$G$2:$G$2619,'октябрь 2025'!$D$2:$D$2619,$B93,'октябрь 2025'!$J$2:$J$2619,AF$1)</f>
        <v>0</v>
      </c>
      <c r="AG93" s="183">
        <f>SUMIFS('октябрь 2025'!$G$2:$G$2619,'октябрь 2025'!$D$2:$D$2619,$B93,'октябрь 2025'!$J$2:$J$2619,AG$1)</f>
        <v>0</v>
      </c>
      <c r="AH93" s="183">
        <f>SUMIFS('октябрь 2025'!$G$2:$G$2619,'октябрь 2025'!$D$2:$D$2619,$B93,'октябрь 2025'!$J$2:$J$2619,AH$1)</f>
        <v>0</v>
      </c>
      <c r="AI93" s="20">
        <f t="shared" si="1"/>
        <v>0</v>
      </c>
    </row>
    <row r="94" spans="2:35" ht="15" customHeight="1" x14ac:dyDescent="0.25">
      <c r="B94" s="88" t="s">
        <v>309</v>
      </c>
      <c r="C94" s="86">
        <v>200</v>
      </c>
      <c r="D94" s="183">
        <f>SUMIFS('октябрь 2025'!$G$2:$G$2619,'октябрь 2025'!$D$2:$D$2619,$B94,'октябрь 2025'!$J$2:$J$2619,D$1)</f>
        <v>0</v>
      </c>
      <c r="E94" s="183">
        <f>SUMIFS('октябрь 2025'!$G$2:$G$2619,'октябрь 2025'!$D$2:$D$2619,$B94,'октябрь 2025'!$J$2:$J$2619,E$1)</f>
        <v>0</v>
      </c>
      <c r="F94" s="183">
        <f>SUMIFS('октябрь 2025'!$G$2:$G$2619,'октябрь 2025'!$D$2:$D$2619,$B94,'октябрь 2025'!$J$2:$J$2619,F$1)</f>
        <v>0</v>
      </c>
      <c r="G94" s="183">
        <f>SUMIFS('октябрь 2025'!$G$2:$G$2619,'октябрь 2025'!$D$2:$D$2619,$B94,'октябрь 2025'!$J$2:$J$2619,G$1)</f>
        <v>0</v>
      </c>
      <c r="H94" s="183">
        <f>SUMIFS('октябрь 2025'!$G$2:$G$2619,'октябрь 2025'!$D$2:$D$2619,$B94,'октябрь 2025'!$J$2:$J$2619,H$1)</f>
        <v>0</v>
      </c>
      <c r="I94" s="183">
        <f>SUMIFS('октябрь 2025'!$G$2:$G$2619,'октябрь 2025'!$D$2:$D$2619,$B94,'октябрь 2025'!$J$2:$J$2619,I$1)</f>
        <v>0</v>
      </c>
      <c r="J94" s="183">
        <f>SUMIFS('октябрь 2025'!$G$2:$G$2619,'октябрь 2025'!$D$2:$D$2619,$B94,'октябрь 2025'!$J$2:$J$2619,J$1)</f>
        <v>0</v>
      </c>
      <c r="K94" s="183">
        <f>SUMIFS('октябрь 2025'!$G$2:$G$2619,'октябрь 2025'!$D$2:$D$2619,$B94,'октябрь 2025'!$J$2:$J$2619,K$1)</f>
        <v>0</v>
      </c>
      <c r="L94" s="183">
        <f>SUMIFS('октябрь 2025'!$G$2:$G$2619,'октябрь 2025'!$D$2:$D$2619,$B94,'октябрь 2025'!$J$2:$J$2619,L$1)</f>
        <v>0</v>
      </c>
      <c r="M94" s="183">
        <f>SUMIFS('октябрь 2025'!$G$2:$G$2619,'октябрь 2025'!$D$2:$D$2619,$B94,'октябрь 2025'!$J$2:$J$2619,M$1)</f>
        <v>0</v>
      </c>
      <c r="N94" s="183">
        <f>SUMIFS('октябрь 2025'!$G$2:$G$2619,'октябрь 2025'!$D$2:$D$2619,$B94,'октябрь 2025'!$J$2:$J$2619,N$1)</f>
        <v>0</v>
      </c>
      <c r="O94" s="183">
        <f>SUMIFS('октябрь 2025'!$G$2:$G$2619,'октябрь 2025'!$D$2:$D$2619,$B94,'октябрь 2025'!$J$2:$J$2619,O$1)</f>
        <v>0</v>
      </c>
      <c r="P94" s="183">
        <f>SUMIFS('октябрь 2025'!$G$2:$G$2619,'октябрь 2025'!$D$2:$D$2619,$B94,'октябрь 2025'!$J$2:$J$2619,P$1)</f>
        <v>0</v>
      </c>
      <c r="Q94" s="183">
        <f>SUMIFS('октябрь 2025'!$G$2:$G$2619,'октябрь 2025'!$D$2:$D$2619,$B94,'октябрь 2025'!$J$2:$J$2619,Q$1)</f>
        <v>0</v>
      </c>
      <c r="R94" s="183">
        <f>SUMIFS('октябрь 2025'!$G$2:$G$2619,'октябрь 2025'!$D$2:$D$2619,$B94,'октябрь 2025'!$J$2:$J$2619,R$1)</f>
        <v>0</v>
      </c>
      <c r="S94" s="183">
        <f>SUMIFS('октябрь 2025'!$G$2:$G$2619,'октябрь 2025'!$D$2:$D$2619,$B94,'октябрь 2025'!$J$2:$J$2619,S$1)</f>
        <v>0</v>
      </c>
      <c r="T94" s="183">
        <f>SUMIFS('октябрь 2025'!$G$2:$G$2619,'октябрь 2025'!$D$2:$D$2619,$B94,'октябрь 2025'!$J$2:$J$2619,T$1)</f>
        <v>0</v>
      </c>
      <c r="U94" s="183">
        <f>SUMIFS('октябрь 2025'!$G$2:$G$2619,'октябрь 2025'!$D$2:$D$2619,$B94,'октябрь 2025'!$J$2:$J$2619,U$1)</f>
        <v>0</v>
      </c>
      <c r="V94" s="183">
        <f>SUMIFS('октябрь 2025'!$G$2:$G$2619,'октябрь 2025'!$D$2:$D$2619,$B94,'октябрь 2025'!$J$2:$J$2619,V$1)</f>
        <v>0</v>
      </c>
      <c r="W94" s="183">
        <f>SUMIFS('октябрь 2025'!$G$2:$G$2619,'октябрь 2025'!$D$2:$D$2619,$B94,'октябрь 2025'!$J$2:$J$2619,W$1)</f>
        <v>0</v>
      </c>
      <c r="X94" s="183">
        <f>SUMIFS('октябрь 2025'!$G$2:$G$2619,'октябрь 2025'!$D$2:$D$2619,$B94,'октябрь 2025'!$J$2:$J$2619,X$1)</f>
        <v>0</v>
      </c>
      <c r="Y94" s="183">
        <f>SUMIFS('октябрь 2025'!$G$2:$G$2619,'октябрь 2025'!$D$2:$D$2619,$B94,'октябрь 2025'!$J$2:$J$2619,Y$1)</f>
        <v>0</v>
      </c>
      <c r="Z94" s="183">
        <f>SUMIFS('октябрь 2025'!$G$2:$G$2619,'октябрь 2025'!$D$2:$D$2619,$B94,'октябрь 2025'!$J$2:$J$2619,Z$1)</f>
        <v>0</v>
      </c>
      <c r="AA94" s="183">
        <f>SUMIFS('октябрь 2025'!$G$2:$G$2619,'октябрь 2025'!$D$2:$D$2619,$B94,'октябрь 2025'!$J$2:$J$2619,AA$1)</f>
        <v>0</v>
      </c>
      <c r="AB94" s="183">
        <f>SUMIFS('октябрь 2025'!$G$2:$G$2619,'октябрь 2025'!$D$2:$D$2619,$B94,'октябрь 2025'!$J$2:$J$2619,AB$1)</f>
        <v>0</v>
      </c>
      <c r="AC94" s="183">
        <f>SUMIFS('октябрь 2025'!$G$2:$G$2619,'октябрь 2025'!$D$2:$D$2619,$B94,'октябрь 2025'!$J$2:$J$2619,AC$1)</f>
        <v>0</v>
      </c>
      <c r="AD94" s="183">
        <f>SUMIFS('октябрь 2025'!$G$2:$G$2619,'октябрь 2025'!$D$2:$D$2619,$B94,'октябрь 2025'!$J$2:$J$2619,AD$1)</f>
        <v>0</v>
      </c>
      <c r="AE94" s="183">
        <f>SUMIFS('октябрь 2025'!$G$2:$G$2619,'октябрь 2025'!$D$2:$D$2619,$B94,'октябрь 2025'!$J$2:$J$2619,AE$1)</f>
        <v>0</v>
      </c>
      <c r="AF94" s="183">
        <f>SUMIFS('октябрь 2025'!$G$2:$G$2619,'октябрь 2025'!$D$2:$D$2619,$B94,'октябрь 2025'!$J$2:$J$2619,AF$1)</f>
        <v>0</v>
      </c>
      <c r="AG94" s="183">
        <f>SUMIFS('октябрь 2025'!$G$2:$G$2619,'октябрь 2025'!$D$2:$D$2619,$B94,'октябрь 2025'!$J$2:$J$2619,AG$1)</f>
        <v>0</v>
      </c>
      <c r="AH94" s="183">
        <f>SUMIFS('октябрь 2025'!$G$2:$G$2619,'октябрь 2025'!$D$2:$D$2619,$B94,'октябрь 2025'!$J$2:$J$2619,AH$1)</f>
        <v>0</v>
      </c>
      <c r="AI94" s="20">
        <f t="shared" si="1"/>
        <v>0</v>
      </c>
    </row>
    <row r="95" spans="2:35" ht="15" customHeight="1" x14ac:dyDescent="0.25">
      <c r="B95" s="88" t="s">
        <v>192</v>
      </c>
      <c r="C95" s="86">
        <v>900</v>
      </c>
      <c r="D95" s="183">
        <f>SUMIFS('октябрь 2025'!$G$2:$G$2619,'октябрь 2025'!$D$2:$D$2619,$B95,'октябрь 2025'!$J$2:$J$2619,D$1)</f>
        <v>0</v>
      </c>
      <c r="E95" s="183">
        <f>SUMIFS('октябрь 2025'!$G$2:$G$2619,'октябрь 2025'!$D$2:$D$2619,$B95,'октябрь 2025'!$J$2:$J$2619,E$1)</f>
        <v>0</v>
      </c>
      <c r="F95" s="183">
        <f>SUMIFS('октябрь 2025'!$G$2:$G$2619,'октябрь 2025'!$D$2:$D$2619,$B95,'октябрь 2025'!$J$2:$J$2619,F$1)</f>
        <v>0</v>
      </c>
      <c r="G95" s="183">
        <f>SUMIFS('октябрь 2025'!$G$2:$G$2619,'октябрь 2025'!$D$2:$D$2619,$B95,'октябрь 2025'!$J$2:$J$2619,G$1)</f>
        <v>0</v>
      </c>
      <c r="H95" s="183">
        <f>SUMIFS('октябрь 2025'!$G$2:$G$2619,'октябрь 2025'!$D$2:$D$2619,$B95,'октябрь 2025'!$J$2:$J$2619,H$1)</f>
        <v>0</v>
      </c>
      <c r="I95" s="183">
        <f>SUMIFS('октябрь 2025'!$G$2:$G$2619,'октябрь 2025'!$D$2:$D$2619,$B95,'октябрь 2025'!$J$2:$J$2619,I$1)</f>
        <v>0</v>
      </c>
      <c r="J95" s="183">
        <f>SUMIFS('октябрь 2025'!$G$2:$G$2619,'октябрь 2025'!$D$2:$D$2619,$B95,'октябрь 2025'!$J$2:$J$2619,J$1)</f>
        <v>0</v>
      </c>
      <c r="K95" s="183">
        <f>SUMIFS('октябрь 2025'!$G$2:$G$2619,'октябрь 2025'!$D$2:$D$2619,$B95,'октябрь 2025'!$J$2:$J$2619,K$1)</f>
        <v>0</v>
      </c>
      <c r="L95" s="183">
        <f>SUMIFS('октябрь 2025'!$G$2:$G$2619,'октябрь 2025'!$D$2:$D$2619,$B95,'октябрь 2025'!$J$2:$J$2619,L$1)</f>
        <v>0</v>
      </c>
      <c r="M95" s="183">
        <f>SUMIFS('октябрь 2025'!$G$2:$G$2619,'октябрь 2025'!$D$2:$D$2619,$B95,'октябрь 2025'!$J$2:$J$2619,M$1)</f>
        <v>0</v>
      </c>
      <c r="N95" s="183">
        <f>SUMIFS('октябрь 2025'!$G$2:$G$2619,'октябрь 2025'!$D$2:$D$2619,$B95,'октябрь 2025'!$J$2:$J$2619,N$1)</f>
        <v>0</v>
      </c>
      <c r="O95" s="183">
        <f>SUMIFS('октябрь 2025'!$G$2:$G$2619,'октябрь 2025'!$D$2:$D$2619,$B95,'октябрь 2025'!$J$2:$J$2619,O$1)</f>
        <v>0</v>
      </c>
      <c r="P95" s="183">
        <f>SUMIFS('октябрь 2025'!$G$2:$G$2619,'октябрь 2025'!$D$2:$D$2619,$B95,'октябрь 2025'!$J$2:$J$2619,P$1)</f>
        <v>0</v>
      </c>
      <c r="Q95" s="183">
        <f>SUMIFS('октябрь 2025'!$G$2:$G$2619,'октябрь 2025'!$D$2:$D$2619,$B95,'октябрь 2025'!$J$2:$J$2619,Q$1)</f>
        <v>0</v>
      </c>
      <c r="R95" s="183">
        <f>SUMIFS('октябрь 2025'!$G$2:$G$2619,'октябрь 2025'!$D$2:$D$2619,$B95,'октябрь 2025'!$J$2:$J$2619,R$1)</f>
        <v>0</v>
      </c>
      <c r="S95" s="183">
        <f>SUMIFS('октябрь 2025'!$G$2:$G$2619,'октябрь 2025'!$D$2:$D$2619,$B95,'октябрь 2025'!$J$2:$J$2619,S$1)</f>
        <v>0</v>
      </c>
      <c r="T95" s="183">
        <f>SUMIFS('октябрь 2025'!$G$2:$G$2619,'октябрь 2025'!$D$2:$D$2619,$B95,'октябрь 2025'!$J$2:$J$2619,T$1)</f>
        <v>0</v>
      </c>
      <c r="U95" s="183">
        <f>SUMIFS('октябрь 2025'!$G$2:$G$2619,'октябрь 2025'!$D$2:$D$2619,$B95,'октябрь 2025'!$J$2:$J$2619,U$1)</f>
        <v>0</v>
      </c>
      <c r="V95" s="183">
        <f>SUMIFS('октябрь 2025'!$G$2:$G$2619,'октябрь 2025'!$D$2:$D$2619,$B95,'октябрь 2025'!$J$2:$J$2619,V$1)</f>
        <v>0</v>
      </c>
      <c r="W95" s="183">
        <f>SUMIFS('октябрь 2025'!$G$2:$G$2619,'октябрь 2025'!$D$2:$D$2619,$B95,'октябрь 2025'!$J$2:$J$2619,W$1)</f>
        <v>0</v>
      </c>
      <c r="X95" s="183">
        <f>SUMIFS('октябрь 2025'!$G$2:$G$2619,'октябрь 2025'!$D$2:$D$2619,$B95,'октябрь 2025'!$J$2:$J$2619,X$1)</f>
        <v>0</v>
      </c>
      <c r="Y95" s="183">
        <f>SUMIFS('октябрь 2025'!$G$2:$G$2619,'октябрь 2025'!$D$2:$D$2619,$B95,'октябрь 2025'!$J$2:$J$2619,Y$1)</f>
        <v>0</v>
      </c>
      <c r="Z95" s="183">
        <f>SUMIFS('октябрь 2025'!$G$2:$G$2619,'октябрь 2025'!$D$2:$D$2619,$B95,'октябрь 2025'!$J$2:$J$2619,Z$1)</f>
        <v>0</v>
      </c>
      <c r="AA95" s="183">
        <f>SUMIFS('октябрь 2025'!$G$2:$G$2619,'октябрь 2025'!$D$2:$D$2619,$B95,'октябрь 2025'!$J$2:$J$2619,AA$1)</f>
        <v>0</v>
      </c>
      <c r="AB95" s="183">
        <f>SUMIFS('октябрь 2025'!$G$2:$G$2619,'октябрь 2025'!$D$2:$D$2619,$B95,'октябрь 2025'!$J$2:$J$2619,AB$1)</f>
        <v>0</v>
      </c>
      <c r="AC95" s="183">
        <f>SUMIFS('октябрь 2025'!$G$2:$G$2619,'октябрь 2025'!$D$2:$D$2619,$B95,'октябрь 2025'!$J$2:$J$2619,AC$1)</f>
        <v>0</v>
      </c>
      <c r="AD95" s="183">
        <f>SUMIFS('октябрь 2025'!$G$2:$G$2619,'октябрь 2025'!$D$2:$D$2619,$B95,'октябрь 2025'!$J$2:$J$2619,AD$1)</f>
        <v>0</v>
      </c>
      <c r="AE95" s="183">
        <f>SUMIFS('октябрь 2025'!$G$2:$G$2619,'октябрь 2025'!$D$2:$D$2619,$B95,'октябрь 2025'!$J$2:$J$2619,AE$1)</f>
        <v>0</v>
      </c>
      <c r="AF95" s="183">
        <f>SUMIFS('октябрь 2025'!$G$2:$G$2619,'октябрь 2025'!$D$2:$D$2619,$B95,'октябрь 2025'!$J$2:$J$2619,AF$1)</f>
        <v>0</v>
      </c>
      <c r="AG95" s="183">
        <f>SUMIFS('октябрь 2025'!$G$2:$G$2619,'октябрь 2025'!$D$2:$D$2619,$B95,'октябрь 2025'!$J$2:$J$2619,AG$1)</f>
        <v>0</v>
      </c>
      <c r="AH95" s="183">
        <f>SUMIFS('октябрь 2025'!$G$2:$G$2619,'октябрь 2025'!$D$2:$D$2619,$B95,'октябрь 2025'!$J$2:$J$2619,AH$1)</f>
        <v>0</v>
      </c>
      <c r="AI95" s="20">
        <f t="shared" si="1"/>
        <v>0</v>
      </c>
    </row>
    <row r="96" spans="2:35" ht="15" customHeight="1" x14ac:dyDescent="0.25">
      <c r="B96" s="84" t="s">
        <v>186</v>
      </c>
      <c r="C96" s="83">
        <v>190</v>
      </c>
      <c r="D96" s="183">
        <f>SUMIFS('октябрь 2025'!$G$2:$G$2619,'октябрь 2025'!$D$2:$D$2619,$B96,'октябрь 2025'!$J$2:$J$2619,D$1)</f>
        <v>0</v>
      </c>
      <c r="E96" s="183">
        <f>SUMIFS('октябрь 2025'!$G$2:$G$2619,'октябрь 2025'!$D$2:$D$2619,$B96,'октябрь 2025'!$J$2:$J$2619,E$1)</f>
        <v>0</v>
      </c>
      <c r="F96" s="183">
        <f>SUMIFS('октябрь 2025'!$G$2:$G$2619,'октябрь 2025'!$D$2:$D$2619,$B96,'октябрь 2025'!$J$2:$J$2619,F$1)</f>
        <v>0</v>
      </c>
      <c r="G96" s="183">
        <f>SUMIFS('октябрь 2025'!$G$2:$G$2619,'октябрь 2025'!$D$2:$D$2619,$B96,'октябрь 2025'!$J$2:$J$2619,G$1)</f>
        <v>0</v>
      </c>
      <c r="H96" s="183">
        <f>SUMIFS('октябрь 2025'!$G$2:$G$2619,'октябрь 2025'!$D$2:$D$2619,$B96,'октябрь 2025'!$J$2:$J$2619,H$1)</f>
        <v>0</v>
      </c>
      <c r="I96" s="183">
        <f>SUMIFS('октябрь 2025'!$G$2:$G$2619,'октябрь 2025'!$D$2:$D$2619,$B96,'октябрь 2025'!$J$2:$J$2619,I$1)</f>
        <v>0</v>
      </c>
      <c r="J96" s="183">
        <f>SUMIFS('октябрь 2025'!$G$2:$G$2619,'октябрь 2025'!$D$2:$D$2619,$B96,'октябрь 2025'!$J$2:$J$2619,J$1)</f>
        <v>0</v>
      </c>
      <c r="K96" s="183">
        <f>SUMIFS('октябрь 2025'!$G$2:$G$2619,'октябрь 2025'!$D$2:$D$2619,$B96,'октябрь 2025'!$J$2:$J$2619,K$1)</f>
        <v>0</v>
      </c>
      <c r="L96" s="183">
        <f>SUMIFS('октябрь 2025'!$G$2:$G$2619,'октябрь 2025'!$D$2:$D$2619,$B96,'октябрь 2025'!$J$2:$J$2619,L$1)</f>
        <v>0</v>
      </c>
      <c r="M96" s="183">
        <f>SUMIFS('октябрь 2025'!$G$2:$G$2619,'октябрь 2025'!$D$2:$D$2619,$B96,'октябрь 2025'!$J$2:$J$2619,M$1)</f>
        <v>0</v>
      </c>
      <c r="N96" s="183">
        <f>SUMIFS('октябрь 2025'!$G$2:$G$2619,'октябрь 2025'!$D$2:$D$2619,$B96,'октябрь 2025'!$J$2:$J$2619,N$1)</f>
        <v>0</v>
      </c>
      <c r="O96" s="183">
        <f>SUMIFS('октябрь 2025'!$G$2:$G$2619,'октябрь 2025'!$D$2:$D$2619,$B96,'октябрь 2025'!$J$2:$J$2619,O$1)</f>
        <v>0</v>
      </c>
      <c r="P96" s="183">
        <f>SUMIFS('октябрь 2025'!$G$2:$G$2619,'октябрь 2025'!$D$2:$D$2619,$B96,'октябрь 2025'!$J$2:$J$2619,P$1)</f>
        <v>0</v>
      </c>
      <c r="Q96" s="183">
        <f>SUMIFS('октябрь 2025'!$G$2:$G$2619,'октябрь 2025'!$D$2:$D$2619,$B96,'октябрь 2025'!$J$2:$J$2619,Q$1)</f>
        <v>0</v>
      </c>
      <c r="R96" s="183">
        <f>SUMIFS('октябрь 2025'!$G$2:$G$2619,'октябрь 2025'!$D$2:$D$2619,$B96,'октябрь 2025'!$J$2:$J$2619,R$1)</f>
        <v>0</v>
      </c>
      <c r="S96" s="183">
        <f>SUMIFS('октябрь 2025'!$G$2:$G$2619,'октябрь 2025'!$D$2:$D$2619,$B96,'октябрь 2025'!$J$2:$J$2619,S$1)</f>
        <v>0</v>
      </c>
      <c r="T96" s="183">
        <f>SUMIFS('октябрь 2025'!$G$2:$G$2619,'октябрь 2025'!$D$2:$D$2619,$B96,'октябрь 2025'!$J$2:$J$2619,T$1)</f>
        <v>0</v>
      </c>
      <c r="U96" s="183">
        <f>SUMIFS('октябрь 2025'!$G$2:$G$2619,'октябрь 2025'!$D$2:$D$2619,$B96,'октябрь 2025'!$J$2:$J$2619,U$1)</f>
        <v>0</v>
      </c>
      <c r="V96" s="183">
        <f>SUMIFS('октябрь 2025'!$G$2:$G$2619,'октябрь 2025'!$D$2:$D$2619,$B96,'октябрь 2025'!$J$2:$J$2619,V$1)</f>
        <v>0</v>
      </c>
      <c r="W96" s="183">
        <f>SUMIFS('октябрь 2025'!$G$2:$G$2619,'октябрь 2025'!$D$2:$D$2619,$B96,'октябрь 2025'!$J$2:$J$2619,W$1)</f>
        <v>0</v>
      </c>
      <c r="X96" s="183">
        <f>SUMIFS('октябрь 2025'!$G$2:$G$2619,'октябрь 2025'!$D$2:$D$2619,$B96,'октябрь 2025'!$J$2:$J$2619,X$1)</f>
        <v>0</v>
      </c>
      <c r="Y96" s="183">
        <f>SUMIFS('октябрь 2025'!$G$2:$G$2619,'октябрь 2025'!$D$2:$D$2619,$B96,'октябрь 2025'!$J$2:$J$2619,Y$1)</f>
        <v>0</v>
      </c>
      <c r="Z96" s="183">
        <f>SUMIFS('октябрь 2025'!$G$2:$G$2619,'октябрь 2025'!$D$2:$D$2619,$B96,'октябрь 2025'!$J$2:$J$2619,Z$1)</f>
        <v>0</v>
      </c>
      <c r="AA96" s="183">
        <f>SUMIFS('октябрь 2025'!$G$2:$G$2619,'октябрь 2025'!$D$2:$D$2619,$B96,'октябрь 2025'!$J$2:$J$2619,AA$1)</f>
        <v>0</v>
      </c>
      <c r="AB96" s="183">
        <f>SUMIFS('октябрь 2025'!$G$2:$G$2619,'октябрь 2025'!$D$2:$D$2619,$B96,'октябрь 2025'!$J$2:$J$2619,AB$1)</f>
        <v>0</v>
      </c>
      <c r="AC96" s="183">
        <f>SUMIFS('октябрь 2025'!$G$2:$G$2619,'октябрь 2025'!$D$2:$D$2619,$B96,'октябрь 2025'!$J$2:$J$2619,AC$1)</f>
        <v>0</v>
      </c>
      <c r="AD96" s="183">
        <f>SUMIFS('октябрь 2025'!$G$2:$G$2619,'октябрь 2025'!$D$2:$D$2619,$B96,'октябрь 2025'!$J$2:$J$2619,AD$1)</f>
        <v>0</v>
      </c>
      <c r="AE96" s="183">
        <f>SUMIFS('октябрь 2025'!$G$2:$G$2619,'октябрь 2025'!$D$2:$D$2619,$B96,'октябрь 2025'!$J$2:$J$2619,AE$1)</f>
        <v>0</v>
      </c>
      <c r="AF96" s="183">
        <f>SUMIFS('октябрь 2025'!$G$2:$G$2619,'октябрь 2025'!$D$2:$D$2619,$B96,'октябрь 2025'!$J$2:$J$2619,AF$1)</f>
        <v>0</v>
      </c>
      <c r="AG96" s="183">
        <f>SUMIFS('октябрь 2025'!$G$2:$G$2619,'октябрь 2025'!$D$2:$D$2619,$B96,'октябрь 2025'!$J$2:$J$2619,AG$1)</f>
        <v>0</v>
      </c>
      <c r="AH96" s="183">
        <f>SUMIFS('октябрь 2025'!$G$2:$G$2619,'октябрь 2025'!$D$2:$D$2619,$B96,'октябрь 2025'!$J$2:$J$2619,AH$1)</f>
        <v>0</v>
      </c>
      <c r="AI96" s="20">
        <f t="shared" si="1"/>
        <v>0</v>
      </c>
    </row>
    <row r="97" spans="2:35" ht="15" customHeight="1" x14ac:dyDescent="0.25">
      <c r="B97" s="84" t="s">
        <v>205</v>
      </c>
      <c r="C97" s="83">
        <v>190</v>
      </c>
      <c r="D97" s="183">
        <f>SUMIFS('октябрь 2025'!$G$2:$G$2619,'октябрь 2025'!$D$2:$D$2619,$B97,'октябрь 2025'!$J$2:$J$2619,D$1)</f>
        <v>0</v>
      </c>
      <c r="E97" s="183">
        <f>SUMIFS('октябрь 2025'!$G$2:$G$2619,'октябрь 2025'!$D$2:$D$2619,$B97,'октябрь 2025'!$J$2:$J$2619,E$1)</f>
        <v>0</v>
      </c>
      <c r="F97" s="183">
        <f>SUMIFS('октябрь 2025'!$G$2:$G$2619,'октябрь 2025'!$D$2:$D$2619,$B97,'октябрь 2025'!$J$2:$J$2619,F$1)</f>
        <v>0</v>
      </c>
      <c r="G97" s="183">
        <f>SUMIFS('октябрь 2025'!$G$2:$G$2619,'октябрь 2025'!$D$2:$D$2619,$B97,'октябрь 2025'!$J$2:$J$2619,G$1)</f>
        <v>0</v>
      </c>
      <c r="H97" s="183">
        <f>SUMIFS('октябрь 2025'!$G$2:$G$2619,'октябрь 2025'!$D$2:$D$2619,$B97,'октябрь 2025'!$J$2:$J$2619,H$1)</f>
        <v>0</v>
      </c>
      <c r="I97" s="183">
        <f>SUMIFS('октябрь 2025'!$G$2:$G$2619,'октябрь 2025'!$D$2:$D$2619,$B97,'октябрь 2025'!$J$2:$J$2619,I$1)</f>
        <v>0</v>
      </c>
      <c r="J97" s="183">
        <f>SUMIFS('октябрь 2025'!$G$2:$G$2619,'октябрь 2025'!$D$2:$D$2619,$B97,'октябрь 2025'!$J$2:$J$2619,J$1)</f>
        <v>0</v>
      </c>
      <c r="K97" s="183">
        <f>SUMIFS('октябрь 2025'!$G$2:$G$2619,'октябрь 2025'!$D$2:$D$2619,$B97,'октябрь 2025'!$J$2:$J$2619,K$1)</f>
        <v>0</v>
      </c>
      <c r="L97" s="183">
        <f>SUMIFS('октябрь 2025'!$G$2:$G$2619,'октябрь 2025'!$D$2:$D$2619,$B97,'октябрь 2025'!$J$2:$J$2619,L$1)</f>
        <v>0</v>
      </c>
      <c r="M97" s="183">
        <f>SUMIFS('октябрь 2025'!$G$2:$G$2619,'октябрь 2025'!$D$2:$D$2619,$B97,'октябрь 2025'!$J$2:$J$2619,M$1)</f>
        <v>0</v>
      </c>
      <c r="N97" s="183">
        <f>SUMIFS('октябрь 2025'!$G$2:$G$2619,'октябрь 2025'!$D$2:$D$2619,$B97,'октябрь 2025'!$J$2:$J$2619,N$1)</f>
        <v>0</v>
      </c>
      <c r="O97" s="183">
        <f>SUMIFS('октябрь 2025'!$G$2:$G$2619,'октябрь 2025'!$D$2:$D$2619,$B97,'октябрь 2025'!$J$2:$J$2619,O$1)</f>
        <v>0</v>
      </c>
      <c r="P97" s="183">
        <f>SUMIFS('октябрь 2025'!$G$2:$G$2619,'октябрь 2025'!$D$2:$D$2619,$B97,'октябрь 2025'!$J$2:$J$2619,P$1)</f>
        <v>0</v>
      </c>
      <c r="Q97" s="183">
        <f>SUMIFS('октябрь 2025'!$G$2:$G$2619,'октябрь 2025'!$D$2:$D$2619,$B97,'октябрь 2025'!$J$2:$J$2619,Q$1)</f>
        <v>0</v>
      </c>
      <c r="R97" s="183">
        <f>SUMIFS('октябрь 2025'!$G$2:$G$2619,'октябрь 2025'!$D$2:$D$2619,$B97,'октябрь 2025'!$J$2:$J$2619,R$1)</f>
        <v>0</v>
      </c>
      <c r="S97" s="183">
        <f>SUMIFS('октябрь 2025'!$G$2:$G$2619,'октябрь 2025'!$D$2:$D$2619,$B97,'октябрь 2025'!$J$2:$J$2619,S$1)</f>
        <v>0</v>
      </c>
      <c r="T97" s="183">
        <f>SUMIFS('октябрь 2025'!$G$2:$G$2619,'октябрь 2025'!$D$2:$D$2619,$B97,'октябрь 2025'!$J$2:$J$2619,T$1)</f>
        <v>0</v>
      </c>
      <c r="U97" s="183">
        <f>SUMIFS('октябрь 2025'!$G$2:$G$2619,'октябрь 2025'!$D$2:$D$2619,$B97,'октябрь 2025'!$J$2:$J$2619,U$1)</f>
        <v>0</v>
      </c>
      <c r="V97" s="183">
        <f>SUMIFS('октябрь 2025'!$G$2:$G$2619,'октябрь 2025'!$D$2:$D$2619,$B97,'октябрь 2025'!$J$2:$J$2619,V$1)</f>
        <v>0</v>
      </c>
      <c r="W97" s="183">
        <f>SUMIFS('октябрь 2025'!$G$2:$G$2619,'октябрь 2025'!$D$2:$D$2619,$B97,'октябрь 2025'!$J$2:$J$2619,W$1)</f>
        <v>0</v>
      </c>
      <c r="X97" s="183">
        <f>SUMIFS('октябрь 2025'!$G$2:$G$2619,'октябрь 2025'!$D$2:$D$2619,$B97,'октябрь 2025'!$J$2:$J$2619,X$1)</f>
        <v>0</v>
      </c>
      <c r="Y97" s="183">
        <f>SUMIFS('октябрь 2025'!$G$2:$G$2619,'октябрь 2025'!$D$2:$D$2619,$B97,'октябрь 2025'!$J$2:$J$2619,Y$1)</f>
        <v>0</v>
      </c>
      <c r="Z97" s="183">
        <f>SUMIFS('октябрь 2025'!$G$2:$G$2619,'октябрь 2025'!$D$2:$D$2619,$B97,'октябрь 2025'!$J$2:$J$2619,Z$1)</f>
        <v>0</v>
      </c>
      <c r="AA97" s="183">
        <f>SUMIFS('октябрь 2025'!$G$2:$G$2619,'октябрь 2025'!$D$2:$D$2619,$B97,'октябрь 2025'!$J$2:$J$2619,AA$1)</f>
        <v>0</v>
      </c>
      <c r="AB97" s="183">
        <f>SUMIFS('октябрь 2025'!$G$2:$G$2619,'октябрь 2025'!$D$2:$D$2619,$B97,'октябрь 2025'!$J$2:$J$2619,AB$1)</f>
        <v>0</v>
      </c>
      <c r="AC97" s="183">
        <f>SUMIFS('октябрь 2025'!$G$2:$G$2619,'октябрь 2025'!$D$2:$D$2619,$B97,'октябрь 2025'!$J$2:$J$2619,AC$1)</f>
        <v>0</v>
      </c>
      <c r="AD97" s="183">
        <f>SUMIFS('октябрь 2025'!$G$2:$G$2619,'октябрь 2025'!$D$2:$D$2619,$B97,'октябрь 2025'!$J$2:$J$2619,AD$1)</f>
        <v>0</v>
      </c>
      <c r="AE97" s="183">
        <f>SUMIFS('октябрь 2025'!$G$2:$G$2619,'октябрь 2025'!$D$2:$D$2619,$B97,'октябрь 2025'!$J$2:$J$2619,AE$1)</f>
        <v>0</v>
      </c>
      <c r="AF97" s="183">
        <f>SUMIFS('октябрь 2025'!$G$2:$G$2619,'октябрь 2025'!$D$2:$D$2619,$B97,'октябрь 2025'!$J$2:$J$2619,AF$1)</f>
        <v>0</v>
      </c>
      <c r="AG97" s="183">
        <f>SUMIFS('октябрь 2025'!$G$2:$G$2619,'октябрь 2025'!$D$2:$D$2619,$B97,'октябрь 2025'!$J$2:$J$2619,AG$1)</f>
        <v>0</v>
      </c>
      <c r="AH97" s="183">
        <f>SUMIFS('октябрь 2025'!$G$2:$G$2619,'октябрь 2025'!$D$2:$D$2619,$B97,'октябрь 2025'!$J$2:$J$2619,AH$1)</f>
        <v>0</v>
      </c>
      <c r="AI97" s="20">
        <f t="shared" si="1"/>
        <v>0</v>
      </c>
    </row>
    <row r="98" spans="2:35" ht="15" customHeight="1" x14ac:dyDescent="0.25">
      <c r="B98" s="88" t="s">
        <v>173</v>
      </c>
      <c r="C98" s="83">
        <v>190</v>
      </c>
      <c r="D98" s="183">
        <f>SUMIFS('октябрь 2025'!$G$2:$G$2619,'октябрь 2025'!$D$2:$D$2619,$B98,'октябрь 2025'!$J$2:$J$2619,D$1)</f>
        <v>0</v>
      </c>
      <c r="E98" s="183">
        <f>SUMIFS('октябрь 2025'!$G$2:$G$2619,'октябрь 2025'!$D$2:$D$2619,$B98,'октябрь 2025'!$J$2:$J$2619,E$1)</f>
        <v>0</v>
      </c>
      <c r="F98" s="183">
        <f>SUMIFS('октябрь 2025'!$G$2:$G$2619,'октябрь 2025'!$D$2:$D$2619,$B98,'октябрь 2025'!$J$2:$J$2619,F$1)</f>
        <v>0</v>
      </c>
      <c r="G98" s="183">
        <f>SUMIFS('октябрь 2025'!$G$2:$G$2619,'октябрь 2025'!$D$2:$D$2619,$B98,'октябрь 2025'!$J$2:$J$2619,G$1)</f>
        <v>0</v>
      </c>
      <c r="H98" s="183">
        <f>SUMIFS('октябрь 2025'!$G$2:$G$2619,'октябрь 2025'!$D$2:$D$2619,$B98,'октябрь 2025'!$J$2:$J$2619,H$1)</f>
        <v>0</v>
      </c>
      <c r="I98" s="183">
        <f>SUMIFS('октябрь 2025'!$G$2:$G$2619,'октябрь 2025'!$D$2:$D$2619,$B98,'октябрь 2025'!$J$2:$J$2619,I$1)</f>
        <v>0</v>
      </c>
      <c r="J98" s="183">
        <f>SUMIFS('октябрь 2025'!$G$2:$G$2619,'октябрь 2025'!$D$2:$D$2619,$B98,'октябрь 2025'!$J$2:$J$2619,J$1)</f>
        <v>0</v>
      </c>
      <c r="K98" s="183">
        <f>SUMIFS('октябрь 2025'!$G$2:$G$2619,'октябрь 2025'!$D$2:$D$2619,$B98,'октябрь 2025'!$J$2:$J$2619,K$1)</f>
        <v>0</v>
      </c>
      <c r="L98" s="183">
        <f>SUMIFS('октябрь 2025'!$G$2:$G$2619,'октябрь 2025'!$D$2:$D$2619,$B98,'октябрь 2025'!$J$2:$J$2619,L$1)</f>
        <v>0</v>
      </c>
      <c r="M98" s="183">
        <f>SUMIFS('октябрь 2025'!$G$2:$G$2619,'октябрь 2025'!$D$2:$D$2619,$B98,'октябрь 2025'!$J$2:$J$2619,M$1)</f>
        <v>0</v>
      </c>
      <c r="N98" s="183">
        <f>SUMIFS('октябрь 2025'!$G$2:$G$2619,'октябрь 2025'!$D$2:$D$2619,$B98,'октябрь 2025'!$J$2:$J$2619,N$1)</f>
        <v>0</v>
      </c>
      <c r="O98" s="183">
        <f>SUMIFS('октябрь 2025'!$G$2:$G$2619,'октябрь 2025'!$D$2:$D$2619,$B98,'октябрь 2025'!$J$2:$J$2619,O$1)</f>
        <v>0</v>
      </c>
      <c r="P98" s="183">
        <f>SUMIFS('октябрь 2025'!$G$2:$G$2619,'октябрь 2025'!$D$2:$D$2619,$B98,'октябрь 2025'!$J$2:$J$2619,P$1)</f>
        <v>0</v>
      </c>
      <c r="Q98" s="183">
        <f>SUMIFS('октябрь 2025'!$G$2:$G$2619,'октябрь 2025'!$D$2:$D$2619,$B98,'октябрь 2025'!$J$2:$J$2619,Q$1)</f>
        <v>0</v>
      </c>
      <c r="R98" s="183">
        <f>SUMIFS('октябрь 2025'!$G$2:$G$2619,'октябрь 2025'!$D$2:$D$2619,$B98,'октябрь 2025'!$J$2:$J$2619,R$1)</f>
        <v>0</v>
      </c>
      <c r="S98" s="183">
        <f>SUMIFS('октябрь 2025'!$G$2:$G$2619,'октябрь 2025'!$D$2:$D$2619,$B98,'октябрь 2025'!$J$2:$J$2619,S$1)</f>
        <v>0</v>
      </c>
      <c r="T98" s="183">
        <f>SUMIFS('октябрь 2025'!$G$2:$G$2619,'октябрь 2025'!$D$2:$D$2619,$B98,'октябрь 2025'!$J$2:$J$2619,T$1)</f>
        <v>0</v>
      </c>
      <c r="U98" s="183">
        <f>SUMIFS('октябрь 2025'!$G$2:$G$2619,'октябрь 2025'!$D$2:$D$2619,$B98,'октябрь 2025'!$J$2:$J$2619,U$1)</f>
        <v>0</v>
      </c>
      <c r="V98" s="183">
        <f>SUMIFS('октябрь 2025'!$G$2:$G$2619,'октябрь 2025'!$D$2:$D$2619,$B98,'октябрь 2025'!$J$2:$J$2619,V$1)</f>
        <v>0</v>
      </c>
      <c r="W98" s="183">
        <f>SUMIFS('октябрь 2025'!$G$2:$G$2619,'октябрь 2025'!$D$2:$D$2619,$B98,'октябрь 2025'!$J$2:$J$2619,W$1)</f>
        <v>0</v>
      </c>
      <c r="X98" s="183">
        <f>SUMIFS('октябрь 2025'!$G$2:$G$2619,'октябрь 2025'!$D$2:$D$2619,$B98,'октябрь 2025'!$J$2:$J$2619,X$1)</f>
        <v>0</v>
      </c>
      <c r="Y98" s="183">
        <f>SUMIFS('октябрь 2025'!$G$2:$G$2619,'октябрь 2025'!$D$2:$D$2619,$B98,'октябрь 2025'!$J$2:$J$2619,Y$1)</f>
        <v>0</v>
      </c>
      <c r="Z98" s="183">
        <f>SUMIFS('октябрь 2025'!$G$2:$G$2619,'октябрь 2025'!$D$2:$D$2619,$B98,'октябрь 2025'!$J$2:$J$2619,Z$1)</f>
        <v>0</v>
      </c>
      <c r="AA98" s="183">
        <f>SUMIFS('октябрь 2025'!$G$2:$G$2619,'октябрь 2025'!$D$2:$D$2619,$B98,'октябрь 2025'!$J$2:$J$2619,AA$1)</f>
        <v>0</v>
      </c>
      <c r="AB98" s="183">
        <f>SUMIFS('октябрь 2025'!$G$2:$G$2619,'октябрь 2025'!$D$2:$D$2619,$B98,'октябрь 2025'!$J$2:$J$2619,AB$1)</f>
        <v>0</v>
      </c>
      <c r="AC98" s="183">
        <f>SUMIFS('октябрь 2025'!$G$2:$G$2619,'октябрь 2025'!$D$2:$D$2619,$B98,'октябрь 2025'!$J$2:$J$2619,AC$1)</f>
        <v>0</v>
      </c>
      <c r="AD98" s="183">
        <f>SUMIFS('октябрь 2025'!$G$2:$G$2619,'октябрь 2025'!$D$2:$D$2619,$B98,'октябрь 2025'!$J$2:$J$2619,AD$1)</f>
        <v>0</v>
      </c>
      <c r="AE98" s="183">
        <f>SUMIFS('октябрь 2025'!$G$2:$G$2619,'октябрь 2025'!$D$2:$D$2619,$B98,'октябрь 2025'!$J$2:$J$2619,AE$1)</f>
        <v>0</v>
      </c>
      <c r="AF98" s="183">
        <f>SUMIFS('октябрь 2025'!$G$2:$G$2619,'октябрь 2025'!$D$2:$D$2619,$B98,'октябрь 2025'!$J$2:$J$2619,AF$1)</f>
        <v>0</v>
      </c>
      <c r="AG98" s="183">
        <f>SUMIFS('октябрь 2025'!$G$2:$G$2619,'октябрь 2025'!$D$2:$D$2619,$B98,'октябрь 2025'!$J$2:$J$2619,AG$1)</f>
        <v>0</v>
      </c>
      <c r="AH98" s="183">
        <f>SUMIFS('октябрь 2025'!$G$2:$G$2619,'октябрь 2025'!$D$2:$D$2619,$B98,'октябрь 2025'!$J$2:$J$2619,AH$1)</f>
        <v>0</v>
      </c>
      <c r="AI98" s="20">
        <f t="shared" si="1"/>
        <v>0</v>
      </c>
    </row>
    <row r="99" spans="2:35" ht="15" customHeight="1" x14ac:dyDescent="0.25">
      <c r="B99" s="88" t="s">
        <v>182</v>
      </c>
      <c r="C99" s="86">
        <v>180</v>
      </c>
      <c r="D99" s="183">
        <f>SUMIFS('октябрь 2025'!$G$2:$G$2619,'октябрь 2025'!$D$2:$D$2619,$B99,'октябрь 2025'!$J$2:$J$2619,D$1)</f>
        <v>0</v>
      </c>
      <c r="E99" s="183">
        <f>SUMIFS('октябрь 2025'!$G$2:$G$2619,'октябрь 2025'!$D$2:$D$2619,$B99,'октябрь 2025'!$J$2:$J$2619,E$1)</f>
        <v>0</v>
      </c>
      <c r="F99" s="183">
        <f>SUMIFS('октябрь 2025'!$G$2:$G$2619,'октябрь 2025'!$D$2:$D$2619,$B99,'октябрь 2025'!$J$2:$J$2619,F$1)</f>
        <v>0</v>
      </c>
      <c r="G99" s="183">
        <f>SUMIFS('октябрь 2025'!$G$2:$G$2619,'октябрь 2025'!$D$2:$D$2619,$B99,'октябрь 2025'!$J$2:$J$2619,G$1)</f>
        <v>0</v>
      </c>
      <c r="H99" s="183">
        <f>SUMIFS('октябрь 2025'!$G$2:$G$2619,'октябрь 2025'!$D$2:$D$2619,$B99,'октябрь 2025'!$J$2:$J$2619,H$1)</f>
        <v>0</v>
      </c>
      <c r="I99" s="183">
        <f>SUMIFS('октябрь 2025'!$G$2:$G$2619,'октябрь 2025'!$D$2:$D$2619,$B99,'октябрь 2025'!$J$2:$J$2619,I$1)</f>
        <v>0</v>
      </c>
      <c r="J99" s="183">
        <f>SUMIFS('октябрь 2025'!$G$2:$G$2619,'октябрь 2025'!$D$2:$D$2619,$B99,'октябрь 2025'!$J$2:$J$2619,J$1)</f>
        <v>0</v>
      </c>
      <c r="K99" s="183">
        <f>SUMIFS('октябрь 2025'!$G$2:$G$2619,'октябрь 2025'!$D$2:$D$2619,$B99,'октябрь 2025'!$J$2:$J$2619,K$1)</f>
        <v>0</v>
      </c>
      <c r="L99" s="183">
        <f>SUMIFS('октябрь 2025'!$G$2:$G$2619,'октябрь 2025'!$D$2:$D$2619,$B99,'октябрь 2025'!$J$2:$J$2619,L$1)</f>
        <v>0</v>
      </c>
      <c r="M99" s="183">
        <f>SUMIFS('октябрь 2025'!$G$2:$G$2619,'октябрь 2025'!$D$2:$D$2619,$B99,'октябрь 2025'!$J$2:$J$2619,M$1)</f>
        <v>0</v>
      </c>
      <c r="N99" s="183">
        <f>SUMIFS('октябрь 2025'!$G$2:$G$2619,'октябрь 2025'!$D$2:$D$2619,$B99,'октябрь 2025'!$J$2:$J$2619,N$1)</f>
        <v>0</v>
      </c>
      <c r="O99" s="183">
        <f>SUMIFS('октябрь 2025'!$G$2:$G$2619,'октябрь 2025'!$D$2:$D$2619,$B99,'октябрь 2025'!$J$2:$J$2619,O$1)</f>
        <v>0</v>
      </c>
      <c r="P99" s="183">
        <f>SUMIFS('октябрь 2025'!$G$2:$G$2619,'октябрь 2025'!$D$2:$D$2619,$B99,'октябрь 2025'!$J$2:$J$2619,P$1)</f>
        <v>0</v>
      </c>
      <c r="Q99" s="183">
        <f>SUMIFS('октябрь 2025'!$G$2:$G$2619,'октябрь 2025'!$D$2:$D$2619,$B99,'октябрь 2025'!$J$2:$J$2619,Q$1)</f>
        <v>0</v>
      </c>
      <c r="R99" s="183">
        <f>SUMIFS('октябрь 2025'!$G$2:$G$2619,'октябрь 2025'!$D$2:$D$2619,$B99,'октябрь 2025'!$J$2:$J$2619,R$1)</f>
        <v>0</v>
      </c>
      <c r="S99" s="183">
        <f>SUMIFS('октябрь 2025'!$G$2:$G$2619,'октябрь 2025'!$D$2:$D$2619,$B99,'октябрь 2025'!$J$2:$J$2619,S$1)</f>
        <v>0</v>
      </c>
      <c r="T99" s="183">
        <f>SUMIFS('октябрь 2025'!$G$2:$G$2619,'октябрь 2025'!$D$2:$D$2619,$B99,'октябрь 2025'!$J$2:$J$2619,T$1)</f>
        <v>0</v>
      </c>
      <c r="U99" s="183">
        <f>SUMIFS('октябрь 2025'!$G$2:$G$2619,'октябрь 2025'!$D$2:$D$2619,$B99,'октябрь 2025'!$J$2:$J$2619,U$1)</f>
        <v>0</v>
      </c>
      <c r="V99" s="183">
        <f>SUMIFS('октябрь 2025'!$G$2:$G$2619,'октябрь 2025'!$D$2:$D$2619,$B99,'октябрь 2025'!$J$2:$J$2619,V$1)</f>
        <v>0</v>
      </c>
      <c r="W99" s="183">
        <f>SUMIFS('октябрь 2025'!$G$2:$G$2619,'октябрь 2025'!$D$2:$D$2619,$B99,'октябрь 2025'!$J$2:$J$2619,W$1)</f>
        <v>0</v>
      </c>
      <c r="X99" s="183">
        <f>SUMIFS('октябрь 2025'!$G$2:$G$2619,'октябрь 2025'!$D$2:$D$2619,$B99,'октябрь 2025'!$J$2:$J$2619,X$1)</f>
        <v>0</v>
      </c>
      <c r="Y99" s="183">
        <f>SUMIFS('октябрь 2025'!$G$2:$G$2619,'октябрь 2025'!$D$2:$D$2619,$B99,'октябрь 2025'!$J$2:$J$2619,Y$1)</f>
        <v>0</v>
      </c>
      <c r="Z99" s="183">
        <f>SUMIFS('октябрь 2025'!$G$2:$G$2619,'октябрь 2025'!$D$2:$D$2619,$B99,'октябрь 2025'!$J$2:$J$2619,Z$1)</f>
        <v>0</v>
      </c>
      <c r="AA99" s="183">
        <f>SUMIFS('октябрь 2025'!$G$2:$G$2619,'октябрь 2025'!$D$2:$D$2619,$B99,'октябрь 2025'!$J$2:$J$2619,AA$1)</f>
        <v>0</v>
      </c>
      <c r="AB99" s="183">
        <f>SUMIFS('октябрь 2025'!$G$2:$G$2619,'октябрь 2025'!$D$2:$D$2619,$B99,'октябрь 2025'!$J$2:$J$2619,AB$1)</f>
        <v>0</v>
      </c>
      <c r="AC99" s="183">
        <f>SUMIFS('октябрь 2025'!$G$2:$G$2619,'октябрь 2025'!$D$2:$D$2619,$B99,'октябрь 2025'!$J$2:$J$2619,AC$1)</f>
        <v>0</v>
      </c>
      <c r="AD99" s="183">
        <f>SUMIFS('октябрь 2025'!$G$2:$G$2619,'октябрь 2025'!$D$2:$D$2619,$B99,'октябрь 2025'!$J$2:$J$2619,AD$1)</f>
        <v>0</v>
      </c>
      <c r="AE99" s="183">
        <f>SUMIFS('октябрь 2025'!$G$2:$G$2619,'октябрь 2025'!$D$2:$D$2619,$B99,'октябрь 2025'!$J$2:$J$2619,AE$1)</f>
        <v>0</v>
      </c>
      <c r="AF99" s="183">
        <f>SUMIFS('октябрь 2025'!$G$2:$G$2619,'октябрь 2025'!$D$2:$D$2619,$B99,'октябрь 2025'!$J$2:$J$2619,AF$1)</f>
        <v>0</v>
      </c>
      <c r="AG99" s="183">
        <f>SUMIFS('октябрь 2025'!$G$2:$G$2619,'октябрь 2025'!$D$2:$D$2619,$B99,'октябрь 2025'!$J$2:$J$2619,AG$1)</f>
        <v>0</v>
      </c>
      <c r="AH99" s="183">
        <f>SUMIFS('октябрь 2025'!$G$2:$G$2619,'октябрь 2025'!$D$2:$D$2619,$B99,'октябрь 2025'!$J$2:$J$2619,AH$1)</f>
        <v>0</v>
      </c>
      <c r="AI99" s="20">
        <f t="shared" si="1"/>
        <v>0</v>
      </c>
    </row>
    <row r="100" spans="2:35" ht="15" customHeight="1" x14ac:dyDescent="0.25">
      <c r="B100" s="88" t="s">
        <v>298</v>
      </c>
      <c r="C100" s="86">
        <v>190</v>
      </c>
      <c r="D100" s="183">
        <f>SUMIFS('октябрь 2025'!$G$2:$G$2619,'октябрь 2025'!$D$2:$D$2619,$B100,'октябрь 2025'!$J$2:$J$2619,D$1)</f>
        <v>0</v>
      </c>
      <c r="E100" s="183">
        <f>SUMIFS('октябрь 2025'!$G$2:$G$2619,'октябрь 2025'!$D$2:$D$2619,$B100,'октябрь 2025'!$J$2:$J$2619,E$1)</f>
        <v>0</v>
      </c>
      <c r="F100" s="183">
        <f>SUMIFS('октябрь 2025'!$G$2:$G$2619,'октябрь 2025'!$D$2:$D$2619,$B100,'октябрь 2025'!$J$2:$J$2619,F$1)</f>
        <v>0</v>
      </c>
      <c r="G100" s="183">
        <f>SUMIFS('октябрь 2025'!$G$2:$G$2619,'октябрь 2025'!$D$2:$D$2619,$B100,'октябрь 2025'!$J$2:$J$2619,G$1)</f>
        <v>0</v>
      </c>
      <c r="H100" s="183">
        <f>SUMIFS('октябрь 2025'!$G$2:$G$2619,'октябрь 2025'!$D$2:$D$2619,$B100,'октябрь 2025'!$J$2:$J$2619,H$1)</f>
        <v>0</v>
      </c>
      <c r="I100" s="183">
        <f>SUMIFS('октябрь 2025'!$G$2:$G$2619,'октябрь 2025'!$D$2:$D$2619,$B100,'октябрь 2025'!$J$2:$J$2619,I$1)</f>
        <v>0</v>
      </c>
      <c r="J100" s="183">
        <f>SUMIFS('октябрь 2025'!$G$2:$G$2619,'октябрь 2025'!$D$2:$D$2619,$B100,'октябрь 2025'!$J$2:$J$2619,J$1)</f>
        <v>0</v>
      </c>
      <c r="K100" s="183">
        <f>SUMIFS('октябрь 2025'!$G$2:$G$2619,'октябрь 2025'!$D$2:$D$2619,$B100,'октябрь 2025'!$J$2:$J$2619,K$1)</f>
        <v>0</v>
      </c>
      <c r="L100" s="183">
        <f>SUMIFS('октябрь 2025'!$G$2:$G$2619,'октябрь 2025'!$D$2:$D$2619,$B100,'октябрь 2025'!$J$2:$J$2619,L$1)</f>
        <v>0</v>
      </c>
      <c r="M100" s="183">
        <f>SUMIFS('октябрь 2025'!$G$2:$G$2619,'октябрь 2025'!$D$2:$D$2619,$B100,'октябрь 2025'!$J$2:$J$2619,M$1)</f>
        <v>0</v>
      </c>
      <c r="N100" s="183">
        <f>SUMIFS('октябрь 2025'!$G$2:$G$2619,'октябрь 2025'!$D$2:$D$2619,$B100,'октябрь 2025'!$J$2:$J$2619,N$1)</f>
        <v>0</v>
      </c>
      <c r="O100" s="183">
        <f>SUMIFS('октябрь 2025'!$G$2:$G$2619,'октябрь 2025'!$D$2:$D$2619,$B100,'октябрь 2025'!$J$2:$J$2619,O$1)</f>
        <v>0</v>
      </c>
      <c r="P100" s="183">
        <f>SUMIFS('октябрь 2025'!$G$2:$G$2619,'октябрь 2025'!$D$2:$D$2619,$B100,'октябрь 2025'!$J$2:$J$2619,P$1)</f>
        <v>0</v>
      </c>
      <c r="Q100" s="183">
        <f>SUMIFS('октябрь 2025'!$G$2:$G$2619,'октябрь 2025'!$D$2:$D$2619,$B100,'октябрь 2025'!$J$2:$J$2619,Q$1)</f>
        <v>0</v>
      </c>
      <c r="R100" s="183">
        <f>SUMIFS('октябрь 2025'!$G$2:$G$2619,'октябрь 2025'!$D$2:$D$2619,$B100,'октябрь 2025'!$J$2:$J$2619,R$1)</f>
        <v>0</v>
      </c>
      <c r="S100" s="183">
        <f>SUMIFS('октябрь 2025'!$G$2:$G$2619,'октябрь 2025'!$D$2:$D$2619,$B100,'октябрь 2025'!$J$2:$J$2619,S$1)</f>
        <v>0</v>
      </c>
      <c r="T100" s="183">
        <f>SUMIFS('октябрь 2025'!$G$2:$G$2619,'октябрь 2025'!$D$2:$D$2619,$B100,'октябрь 2025'!$J$2:$J$2619,T$1)</f>
        <v>0</v>
      </c>
      <c r="U100" s="183">
        <f>SUMIFS('октябрь 2025'!$G$2:$G$2619,'октябрь 2025'!$D$2:$D$2619,$B100,'октябрь 2025'!$J$2:$J$2619,U$1)</f>
        <v>0</v>
      </c>
      <c r="V100" s="183">
        <f>SUMIFS('октябрь 2025'!$G$2:$G$2619,'октябрь 2025'!$D$2:$D$2619,$B100,'октябрь 2025'!$J$2:$J$2619,V$1)</f>
        <v>0</v>
      </c>
      <c r="W100" s="183">
        <f>SUMIFS('октябрь 2025'!$G$2:$G$2619,'октябрь 2025'!$D$2:$D$2619,$B100,'октябрь 2025'!$J$2:$J$2619,W$1)</f>
        <v>0</v>
      </c>
      <c r="X100" s="183">
        <f>SUMIFS('октябрь 2025'!$G$2:$G$2619,'октябрь 2025'!$D$2:$D$2619,$B100,'октябрь 2025'!$J$2:$J$2619,X$1)</f>
        <v>0</v>
      </c>
      <c r="Y100" s="183">
        <f>SUMIFS('октябрь 2025'!$G$2:$G$2619,'октябрь 2025'!$D$2:$D$2619,$B100,'октябрь 2025'!$J$2:$J$2619,Y$1)</f>
        <v>0</v>
      </c>
      <c r="Z100" s="183">
        <f>SUMIFS('октябрь 2025'!$G$2:$G$2619,'октябрь 2025'!$D$2:$D$2619,$B100,'октябрь 2025'!$J$2:$J$2619,Z$1)</f>
        <v>0</v>
      </c>
      <c r="AA100" s="183">
        <f>SUMIFS('октябрь 2025'!$G$2:$G$2619,'октябрь 2025'!$D$2:$D$2619,$B100,'октябрь 2025'!$J$2:$J$2619,AA$1)</f>
        <v>0</v>
      </c>
      <c r="AB100" s="183">
        <f>SUMIFS('октябрь 2025'!$G$2:$G$2619,'октябрь 2025'!$D$2:$D$2619,$B100,'октябрь 2025'!$J$2:$J$2619,AB$1)</f>
        <v>0</v>
      </c>
      <c r="AC100" s="183">
        <f>SUMIFS('октябрь 2025'!$G$2:$G$2619,'октябрь 2025'!$D$2:$D$2619,$B100,'октябрь 2025'!$J$2:$J$2619,AC$1)</f>
        <v>0</v>
      </c>
      <c r="AD100" s="183">
        <f>SUMIFS('октябрь 2025'!$G$2:$G$2619,'октябрь 2025'!$D$2:$D$2619,$B100,'октябрь 2025'!$J$2:$J$2619,AD$1)</f>
        <v>0</v>
      </c>
      <c r="AE100" s="183">
        <f>SUMIFS('октябрь 2025'!$G$2:$G$2619,'октябрь 2025'!$D$2:$D$2619,$B100,'октябрь 2025'!$J$2:$J$2619,AE$1)</f>
        <v>0</v>
      </c>
      <c r="AF100" s="183">
        <f>SUMIFS('октябрь 2025'!$G$2:$G$2619,'октябрь 2025'!$D$2:$D$2619,$B100,'октябрь 2025'!$J$2:$J$2619,AF$1)</f>
        <v>0</v>
      </c>
      <c r="AG100" s="183">
        <f>SUMIFS('октябрь 2025'!$G$2:$G$2619,'октябрь 2025'!$D$2:$D$2619,$B100,'октябрь 2025'!$J$2:$J$2619,AG$1)</f>
        <v>0</v>
      </c>
      <c r="AH100" s="183">
        <f>SUMIFS('октябрь 2025'!$G$2:$G$2619,'октябрь 2025'!$D$2:$D$2619,$B100,'октябрь 2025'!$J$2:$J$2619,AH$1)</f>
        <v>0</v>
      </c>
      <c r="AI100" s="20">
        <f t="shared" si="1"/>
        <v>0</v>
      </c>
    </row>
    <row r="101" spans="2:35" ht="15" customHeight="1" x14ac:dyDescent="0.25">
      <c r="B101" s="88" t="s">
        <v>312</v>
      </c>
      <c r="C101" s="86">
        <v>190</v>
      </c>
      <c r="D101" s="183">
        <f>SUMIFS('октябрь 2025'!$G$2:$G$2619,'октябрь 2025'!$D$2:$D$2619,$B101,'октябрь 2025'!$J$2:$J$2619,D$1)</f>
        <v>0</v>
      </c>
      <c r="E101" s="183">
        <f>SUMIFS('октябрь 2025'!$G$2:$G$2619,'октябрь 2025'!$D$2:$D$2619,$B101,'октябрь 2025'!$J$2:$J$2619,E$1)</f>
        <v>0</v>
      </c>
      <c r="F101" s="183">
        <f>SUMIFS('октябрь 2025'!$G$2:$G$2619,'октябрь 2025'!$D$2:$D$2619,$B101,'октябрь 2025'!$J$2:$J$2619,F$1)</f>
        <v>0</v>
      </c>
      <c r="G101" s="183">
        <f>SUMIFS('октябрь 2025'!$G$2:$G$2619,'октябрь 2025'!$D$2:$D$2619,$B101,'октябрь 2025'!$J$2:$J$2619,G$1)</f>
        <v>0</v>
      </c>
      <c r="H101" s="183">
        <f>SUMIFS('октябрь 2025'!$G$2:$G$2619,'октябрь 2025'!$D$2:$D$2619,$B101,'октябрь 2025'!$J$2:$J$2619,H$1)</f>
        <v>0</v>
      </c>
      <c r="I101" s="183">
        <f>SUMIFS('октябрь 2025'!$G$2:$G$2619,'октябрь 2025'!$D$2:$D$2619,$B101,'октябрь 2025'!$J$2:$J$2619,I$1)</f>
        <v>0</v>
      </c>
      <c r="J101" s="183">
        <f>SUMIFS('октябрь 2025'!$G$2:$G$2619,'октябрь 2025'!$D$2:$D$2619,$B101,'октябрь 2025'!$J$2:$J$2619,J$1)</f>
        <v>0</v>
      </c>
      <c r="K101" s="183">
        <f>SUMIFS('октябрь 2025'!$G$2:$G$2619,'октябрь 2025'!$D$2:$D$2619,$B101,'октябрь 2025'!$J$2:$J$2619,K$1)</f>
        <v>0</v>
      </c>
      <c r="L101" s="183">
        <f>SUMIFS('октябрь 2025'!$G$2:$G$2619,'октябрь 2025'!$D$2:$D$2619,$B101,'октябрь 2025'!$J$2:$J$2619,L$1)</f>
        <v>0</v>
      </c>
      <c r="M101" s="183">
        <f>SUMIFS('октябрь 2025'!$G$2:$G$2619,'октябрь 2025'!$D$2:$D$2619,$B101,'октябрь 2025'!$J$2:$J$2619,M$1)</f>
        <v>0</v>
      </c>
      <c r="N101" s="183">
        <f>SUMIFS('октябрь 2025'!$G$2:$G$2619,'октябрь 2025'!$D$2:$D$2619,$B101,'октябрь 2025'!$J$2:$J$2619,N$1)</f>
        <v>0</v>
      </c>
      <c r="O101" s="183">
        <f>SUMIFS('октябрь 2025'!$G$2:$G$2619,'октябрь 2025'!$D$2:$D$2619,$B101,'октябрь 2025'!$J$2:$J$2619,O$1)</f>
        <v>0</v>
      </c>
      <c r="P101" s="183">
        <f>SUMIFS('октябрь 2025'!$G$2:$G$2619,'октябрь 2025'!$D$2:$D$2619,$B101,'октябрь 2025'!$J$2:$J$2619,P$1)</f>
        <v>0</v>
      </c>
      <c r="Q101" s="183">
        <f>SUMIFS('октябрь 2025'!$G$2:$G$2619,'октябрь 2025'!$D$2:$D$2619,$B101,'октябрь 2025'!$J$2:$J$2619,Q$1)</f>
        <v>0</v>
      </c>
      <c r="R101" s="183">
        <f>SUMIFS('октябрь 2025'!$G$2:$G$2619,'октябрь 2025'!$D$2:$D$2619,$B101,'октябрь 2025'!$J$2:$J$2619,R$1)</f>
        <v>0</v>
      </c>
      <c r="S101" s="183">
        <f>SUMIFS('октябрь 2025'!$G$2:$G$2619,'октябрь 2025'!$D$2:$D$2619,$B101,'октябрь 2025'!$J$2:$J$2619,S$1)</f>
        <v>0</v>
      </c>
      <c r="T101" s="183">
        <f>SUMIFS('октябрь 2025'!$G$2:$G$2619,'октябрь 2025'!$D$2:$D$2619,$B101,'октябрь 2025'!$J$2:$J$2619,T$1)</f>
        <v>0</v>
      </c>
      <c r="U101" s="183">
        <f>SUMIFS('октябрь 2025'!$G$2:$G$2619,'октябрь 2025'!$D$2:$D$2619,$B101,'октябрь 2025'!$J$2:$J$2619,U$1)</f>
        <v>0</v>
      </c>
      <c r="V101" s="183">
        <f>SUMIFS('октябрь 2025'!$G$2:$G$2619,'октябрь 2025'!$D$2:$D$2619,$B101,'октябрь 2025'!$J$2:$J$2619,V$1)</f>
        <v>0</v>
      </c>
      <c r="W101" s="183">
        <f>SUMIFS('октябрь 2025'!$G$2:$G$2619,'октябрь 2025'!$D$2:$D$2619,$B101,'октябрь 2025'!$J$2:$J$2619,W$1)</f>
        <v>0</v>
      </c>
      <c r="X101" s="183">
        <f>SUMIFS('октябрь 2025'!$G$2:$G$2619,'октябрь 2025'!$D$2:$D$2619,$B101,'октябрь 2025'!$J$2:$J$2619,X$1)</f>
        <v>0</v>
      </c>
      <c r="Y101" s="183">
        <f>SUMIFS('октябрь 2025'!$G$2:$G$2619,'октябрь 2025'!$D$2:$D$2619,$B101,'октябрь 2025'!$J$2:$J$2619,Y$1)</f>
        <v>0</v>
      </c>
      <c r="Z101" s="183">
        <f>SUMIFS('октябрь 2025'!$G$2:$G$2619,'октябрь 2025'!$D$2:$D$2619,$B101,'октябрь 2025'!$J$2:$J$2619,Z$1)</f>
        <v>0</v>
      </c>
      <c r="AA101" s="183">
        <f>SUMIFS('октябрь 2025'!$G$2:$G$2619,'октябрь 2025'!$D$2:$D$2619,$B101,'октябрь 2025'!$J$2:$J$2619,AA$1)</f>
        <v>0</v>
      </c>
      <c r="AB101" s="183">
        <f>SUMIFS('октябрь 2025'!$G$2:$G$2619,'октябрь 2025'!$D$2:$D$2619,$B101,'октябрь 2025'!$J$2:$J$2619,AB$1)</f>
        <v>0</v>
      </c>
      <c r="AC101" s="183">
        <f>SUMIFS('октябрь 2025'!$G$2:$G$2619,'октябрь 2025'!$D$2:$D$2619,$B101,'октябрь 2025'!$J$2:$J$2619,AC$1)</f>
        <v>0</v>
      </c>
      <c r="AD101" s="183">
        <f>SUMIFS('октябрь 2025'!$G$2:$G$2619,'октябрь 2025'!$D$2:$D$2619,$B101,'октябрь 2025'!$J$2:$J$2619,AD$1)</f>
        <v>0</v>
      </c>
      <c r="AE101" s="183">
        <f>SUMIFS('октябрь 2025'!$G$2:$G$2619,'октябрь 2025'!$D$2:$D$2619,$B101,'октябрь 2025'!$J$2:$J$2619,AE$1)</f>
        <v>0</v>
      </c>
      <c r="AF101" s="183">
        <f>SUMIFS('октябрь 2025'!$G$2:$G$2619,'октябрь 2025'!$D$2:$D$2619,$B101,'октябрь 2025'!$J$2:$J$2619,AF$1)</f>
        <v>0</v>
      </c>
      <c r="AG101" s="183">
        <f>SUMIFS('октябрь 2025'!$G$2:$G$2619,'октябрь 2025'!$D$2:$D$2619,$B101,'октябрь 2025'!$J$2:$J$2619,AG$1)</f>
        <v>0</v>
      </c>
      <c r="AH101" s="183">
        <f>SUMIFS('октябрь 2025'!$G$2:$G$2619,'октябрь 2025'!$D$2:$D$2619,$B101,'октябрь 2025'!$J$2:$J$2619,AH$1)</f>
        <v>0</v>
      </c>
      <c r="AI101" s="20">
        <f t="shared" si="1"/>
        <v>0</v>
      </c>
    </row>
    <row r="102" spans="2:35" ht="15" customHeight="1" x14ac:dyDescent="0.25">
      <c r="B102" s="88" t="s">
        <v>1397</v>
      </c>
      <c r="C102" s="86">
        <v>200</v>
      </c>
      <c r="D102" s="183">
        <f>SUMIFS('октябрь 2025'!$G$2:$G$2619,'октябрь 2025'!$D$2:$D$2619,$B102,'октябрь 2025'!$J$2:$J$2619,D$1)</f>
        <v>0</v>
      </c>
      <c r="E102" s="183">
        <f>SUMIFS('октябрь 2025'!$G$2:$G$2619,'октябрь 2025'!$D$2:$D$2619,$B102,'октябрь 2025'!$J$2:$J$2619,E$1)</f>
        <v>0</v>
      </c>
      <c r="F102" s="183">
        <f>SUMIFS('октябрь 2025'!$G$2:$G$2619,'октябрь 2025'!$D$2:$D$2619,$B102,'октябрь 2025'!$J$2:$J$2619,F$1)</f>
        <v>0</v>
      </c>
      <c r="G102" s="183">
        <f>SUMIFS('октябрь 2025'!$G$2:$G$2619,'октябрь 2025'!$D$2:$D$2619,$B102,'октябрь 2025'!$J$2:$J$2619,G$1)</f>
        <v>0</v>
      </c>
      <c r="H102" s="183">
        <f>SUMIFS('октябрь 2025'!$G$2:$G$2619,'октябрь 2025'!$D$2:$D$2619,$B102,'октябрь 2025'!$J$2:$J$2619,H$1)</f>
        <v>0</v>
      </c>
      <c r="I102" s="183">
        <f>SUMIFS('октябрь 2025'!$G$2:$G$2619,'октябрь 2025'!$D$2:$D$2619,$B102,'октябрь 2025'!$J$2:$J$2619,I$1)</f>
        <v>0</v>
      </c>
      <c r="J102" s="183">
        <f>SUMIFS('октябрь 2025'!$G$2:$G$2619,'октябрь 2025'!$D$2:$D$2619,$B102,'октябрь 2025'!$J$2:$J$2619,J$1)</f>
        <v>0</v>
      </c>
      <c r="K102" s="183">
        <f>SUMIFS('октябрь 2025'!$G$2:$G$2619,'октябрь 2025'!$D$2:$D$2619,$B102,'октябрь 2025'!$J$2:$J$2619,K$1)</f>
        <v>0</v>
      </c>
      <c r="L102" s="183">
        <f>SUMIFS('октябрь 2025'!$G$2:$G$2619,'октябрь 2025'!$D$2:$D$2619,$B102,'октябрь 2025'!$J$2:$J$2619,L$1)</f>
        <v>0</v>
      </c>
      <c r="M102" s="183">
        <f>SUMIFS('октябрь 2025'!$G$2:$G$2619,'октябрь 2025'!$D$2:$D$2619,$B102,'октябрь 2025'!$J$2:$J$2619,M$1)</f>
        <v>0</v>
      </c>
      <c r="N102" s="183">
        <f>SUMIFS('октябрь 2025'!$G$2:$G$2619,'октябрь 2025'!$D$2:$D$2619,$B102,'октябрь 2025'!$J$2:$J$2619,N$1)</f>
        <v>0</v>
      </c>
      <c r="O102" s="183">
        <f>SUMIFS('октябрь 2025'!$G$2:$G$2619,'октябрь 2025'!$D$2:$D$2619,$B102,'октябрь 2025'!$J$2:$J$2619,O$1)</f>
        <v>0</v>
      </c>
      <c r="P102" s="183">
        <f>SUMIFS('октябрь 2025'!$G$2:$G$2619,'октябрь 2025'!$D$2:$D$2619,$B102,'октябрь 2025'!$J$2:$J$2619,P$1)</f>
        <v>0</v>
      </c>
      <c r="Q102" s="183">
        <f>SUMIFS('октябрь 2025'!$G$2:$G$2619,'октябрь 2025'!$D$2:$D$2619,$B102,'октябрь 2025'!$J$2:$J$2619,Q$1)</f>
        <v>0</v>
      </c>
      <c r="R102" s="183">
        <f>SUMIFS('октябрь 2025'!$G$2:$G$2619,'октябрь 2025'!$D$2:$D$2619,$B102,'октябрь 2025'!$J$2:$J$2619,R$1)</f>
        <v>0</v>
      </c>
      <c r="S102" s="183">
        <f>SUMIFS('октябрь 2025'!$G$2:$G$2619,'октябрь 2025'!$D$2:$D$2619,$B102,'октябрь 2025'!$J$2:$J$2619,S$1)</f>
        <v>0</v>
      </c>
      <c r="T102" s="183">
        <f>SUMIFS('октябрь 2025'!$G$2:$G$2619,'октябрь 2025'!$D$2:$D$2619,$B102,'октябрь 2025'!$J$2:$J$2619,T$1)</f>
        <v>0</v>
      </c>
      <c r="U102" s="183">
        <f>SUMIFS('октябрь 2025'!$G$2:$G$2619,'октябрь 2025'!$D$2:$D$2619,$B102,'октябрь 2025'!$J$2:$J$2619,U$1)</f>
        <v>0</v>
      </c>
      <c r="V102" s="183">
        <f>SUMIFS('октябрь 2025'!$G$2:$G$2619,'октябрь 2025'!$D$2:$D$2619,$B102,'октябрь 2025'!$J$2:$J$2619,V$1)</f>
        <v>0</v>
      </c>
      <c r="W102" s="183">
        <f>SUMIFS('октябрь 2025'!$G$2:$G$2619,'октябрь 2025'!$D$2:$D$2619,$B102,'октябрь 2025'!$J$2:$J$2619,W$1)</f>
        <v>0</v>
      </c>
      <c r="X102" s="183">
        <f>SUMIFS('октябрь 2025'!$G$2:$G$2619,'октябрь 2025'!$D$2:$D$2619,$B102,'октябрь 2025'!$J$2:$J$2619,X$1)</f>
        <v>0</v>
      </c>
      <c r="Y102" s="183">
        <f>SUMIFS('октябрь 2025'!$G$2:$G$2619,'октябрь 2025'!$D$2:$D$2619,$B102,'октябрь 2025'!$J$2:$J$2619,Y$1)</f>
        <v>0</v>
      </c>
      <c r="Z102" s="183">
        <f>SUMIFS('октябрь 2025'!$G$2:$G$2619,'октябрь 2025'!$D$2:$D$2619,$B102,'октябрь 2025'!$J$2:$J$2619,Z$1)</f>
        <v>0</v>
      </c>
      <c r="AA102" s="183">
        <f>SUMIFS('октябрь 2025'!$G$2:$G$2619,'октябрь 2025'!$D$2:$D$2619,$B102,'октябрь 2025'!$J$2:$J$2619,AA$1)</f>
        <v>0</v>
      </c>
      <c r="AB102" s="183">
        <f>SUMIFS('октябрь 2025'!$G$2:$G$2619,'октябрь 2025'!$D$2:$D$2619,$B102,'октябрь 2025'!$J$2:$J$2619,AB$1)</f>
        <v>0</v>
      </c>
      <c r="AC102" s="183">
        <f>SUMIFS('октябрь 2025'!$G$2:$G$2619,'октябрь 2025'!$D$2:$D$2619,$B102,'октябрь 2025'!$J$2:$J$2619,AC$1)</f>
        <v>0</v>
      </c>
      <c r="AD102" s="183">
        <f>SUMIFS('октябрь 2025'!$G$2:$G$2619,'октябрь 2025'!$D$2:$D$2619,$B102,'октябрь 2025'!$J$2:$J$2619,AD$1)</f>
        <v>0</v>
      </c>
      <c r="AE102" s="183">
        <f>SUMIFS('октябрь 2025'!$G$2:$G$2619,'октябрь 2025'!$D$2:$D$2619,$B102,'октябрь 2025'!$J$2:$J$2619,AE$1)</f>
        <v>0</v>
      </c>
      <c r="AF102" s="183">
        <f>SUMIFS('октябрь 2025'!$G$2:$G$2619,'октябрь 2025'!$D$2:$D$2619,$B102,'октябрь 2025'!$J$2:$J$2619,AF$1)</f>
        <v>0</v>
      </c>
      <c r="AG102" s="183">
        <f>SUMIFS('октябрь 2025'!$G$2:$G$2619,'октябрь 2025'!$D$2:$D$2619,$B102,'октябрь 2025'!$J$2:$J$2619,AG$1)</f>
        <v>0</v>
      </c>
      <c r="AH102" s="183">
        <f>SUMIFS('октябрь 2025'!$G$2:$G$2619,'октябрь 2025'!$D$2:$D$2619,$B102,'октябрь 2025'!$J$2:$J$2619,AH$1)</f>
        <v>0</v>
      </c>
      <c r="AI102" s="20">
        <f t="shared" si="1"/>
        <v>0</v>
      </c>
    </row>
    <row r="103" spans="2:35" ht="15" customHeight="1" x14ac:dyDescent="0.25">
      <c r="B103" s="88" t="s">
        <v>1437</v>
      </c>
      <c r="C103" s="86">
        <v>190</v>
      </c>
      <c r="D103" s="183">
        <f>SUMIFS('октябрь 2025'!$G$2:$G$2619,'октябрь 2025'!$D$2:$D$2619,$B103,'октябрь 2025'!$J$2:$J$2619,D$1)</f>
        <v>0</v>
      </c>
      <c r="E103" s="183">
        <f>SUMIFS('октябрь 2025'!$G$2:$G$2619,'октябрь 2025'!$D$2:$D$2619,$B103,'октябрь 2025'!$J$2:$J$2619,E$1)</f>
        <v>0</v>
      </c>
      <c r="F103" s="183">
        <f>SUMIFS('октябрь 2025'!$G$2:$G$2619,'октябрь 2025'!$D$2:$D$2619,$B103,'октябрь 2025'!$J$2:$J$2619,F$1)</f>
        <v>0</v>
      </c>
      <c r="G103" s="183">
        <f>SUMIFS('октябрь 2025'!$G$2:$G$2619,'октябрь 2025'!$D$2:$D$2619,$B103,'октябрь 2025'!$J$2:$J$2619,G$1)</f>
        <v>0</v>
      </c>
      <c r="H103" s="183">
        <f>SUMIFS('октябрь 2025'!$G$2:$G$2619,'октябрь 2025'!$D$2:$D$2619,$B103,'октябрь 2025'!$J$2:$J$2619,H$1)</f>
        <v>0</v>
      </c>
      <c r="I103" s="183">
        <f>SUMIFS('октябрь 2025'!$G$2:$G$2619,'октябрь 2025'!$D$2:$D$2619,$B103,'октябрь 2025'!$J$2:$J$2619,I$1)</f>
        <v>0</v>
      </c>
      <c r="J103" s="183">
        <f>SUMIFS('октябрь 2025'!$G$2:$G$2619,'октябрь 2025'!$D$2:$D$2619,$B103,'октябрь 2025'!$J$2:$J$2619,J$1)</f>
        <v>0</v>
      </c>
      <c r="K103" s="183">
        <f>SUMIFS('октябрь 2025'!$G$2:$G$2619,'октябрь 2025'!$D$2:$D$2619,$B103,'октябрь 2025'!$J$2:$J$2619,K$1)</f>
        <v>0</v>
      </c>
      <c r="L103" s="183">
        <f>SUMIFS('октябрь 2025'!$G$2:$G$2619,'октябрь 2025'!$D$2:$D$2619,$B103,'октябрь 2025'!$J$2:$J$2619,L$1)</f>
        <v>0</v>
      </c>
      <c r="M103" s="183">
        <f>SUMIFS('октябрь 2025'!$G$2:$G$2619,'октябрь 2025'!$D$2:$D$2619,$B103,'октябрь 2025'!$J$2:$J$2619,M$1)</f>
        <v>0</v>
      </c>
      <c r="N103" s="183">
        <f>SUMIFS('октябрь 2025'!$G$2:$G$2619,'октябрь 2025'!$D$2:$D$2619,$B103,'октябрь 2025'!$J$2:$J$2619,N$1)</f>
        <v>0</v>
      </c>
      <c r="O103" s="183">
        <f>SUMIFS('октябрь 2025'!$G$2:$G$2619,'октябрь 2025'!$D$2:$D$2619,$B103,'октябрь 2025'!$J$2:$J$2619,O$1)</f>
        <v>0</v>
      </c>
      <c r="P103" s="183">
        <f>SUMIFS('октябрь 2025'!$G$2:$G$2619,'октябрь 2025'!$D$2:$D$2619,$B103,'октябрь 2025'!$J$2:$J$2619,P$1)</f>
        <v>0</v>
      </c>
      <c r="Q103" s="183">
        <f>SUMIFS('октябрь 2025'!$G$2:$G$2619,'октябрь 2025'!$D$2:$D$2619,$B103,'октябрь 2025'!$J$2:$J$2619,Q$1)</f>
        <v>0</v>
      </c>
      <c r="R103" s="183">
        <f>SUMIFS('октябрь 2025'!$G$2:$G$2619,'октябрь 2025'!$D$2:$D$2619,$B103,'октябрь 2025'!$J$2:$J$2619,R$1)</f>
        <v>0</v>
      </c>
      <c r="S103" s="183">
        <f>SUMIFS('октябрь 2025'!$G$2:$G$2619,'октябрь 2025'!$D$2:$D$2619,$B103,'октябрь 2025'!$J$2:$J$2619,S$1)</f>
        <v>0</v>
      </c>
      <c r="T103" s="183">
        <f>SUMIFS('октябрь 2025'!$G$2:$G$2619,'октябрь 2025'!$D$2:$D$2619,$B103,'октябрь 2025'!$J$2:$J$2619,T$1)</f>
        <v>0</v>
      </c>
      <c r="U103" s="183">
        <f>SUMIFS('октябрь 2025'!$G$2:$G$2619,'октябрь 2025'!$D$2:$D$2619,$B103,'октябрь 2025'!$J$2:$J$2619,U$1)</f>
        <v>0</v>
      </c>
      <c r="V103" s="183">
        <f>SUMIFS('октябрь 2025'!$G$2:$G$2619,'октябрь 2025'!$D$2:$D$2619,$B103,'октябрь 2025'!$J$2:$J$2619,V$1)</f>
        <v>0</v>
      </c>
      <c r="W103" s="183">
        <f>SUMIFS('октябрь 2025'!$G$2:$G$2619,'октябрь 2025'!$D$2:$D$2619,$B103,'октябрь 2025'!$J$2:$J$2619,W$1)</f>
        <v>0</v>
      </c>
      <c r="X103" s="183">
        <f>SUMIFS('октябрь 2025'!$G$2:$G$2619,'октябрь 2025'!$D$2:$D$2619,$B103,'октябрь 2025'!$J$2:$J$2619,X$1)</f>
        <v>0</v>
      </c>
      <c r="Y103" s="183">
        <f>SUMIFS('октябрь 2025'!$G$2:$G$2619,'октябрь 2025'!$D$2:$D$2619,$B103,'октябрь 2025'!$J$2:$J$2619,Y$1)</f>
        <v>0</v>
      </c>
      <c r="Z103" s="183">
        <f>SUMIFS('октябрь 2025'!$G$2:$G$2619,'октябрь 2025'!$D$2:$D$2619,$B103,'октябрь 2025'!$J$2:$J$2619,Z$1)</f>
        <v>0</v>
      </c>
      <c r="AA103" s="183">
        <f>SUMIFS('октябрь 2025'!$G$2:$G$2619,'октябрь 2025'!$D$2:$D$2619,$B103,'октябрь 2025'!$J$2:$J$2619,AA$1)</f>
        <v>0</v>
      </c>
      <c r="AB103" s="183">
        <f>SUMIFS('октябрь 2025'!$G$2:$G$2619,'октябрь 2025'!$D$2:$D$2619,$B103,'октябрь 2025'!$J$2:$J$2619,AB$1)</f>
        <v>0</v>
      </c>
      <c r="AC103" s="183">
        <f>SUMIFS('октябрь 2025'!$G$2:$G$2619,'октябрь 2025'!$D$2:$D$2619,$B103,'октябрь 2025'!$J$2:$J$2619,AC$1)</f>
        <v>0</v>
      </c>
      <c r="AD103" s="183">
        <f>SUMIFS('октябрь 2025'!$G$2:$G$2619,'октябрь 2025'!$D$2:$D$2619,$B103,'октябрь 2025'!$J$2:$J$2619,AD$1)</f>
        <v>0</v>
      </c>
      <c r="AE103" s="183">
        <f>SUMIFS('октябрь 2025'!$G$2:$G$2619,'октябрь 2025'!$D$2:$D$2619,$B103,'октябрь 2025'!$J$2:$J$2619,AE$1)</f>
        <v>0</v>
      </c>
      <c r="AF103" s="183">
        <f>SUMIFS('октябрь 2025'!$G$2:$G$2619,'октябрь 2025'!$D$2:$D$2619,$B103,'октябрь 2025'!$J$2:$J$2619,AF$1)</f>
        <v>0</v>
      </c>
      <c r="AG103" s="183">
        <f>SUMIFS('октябрь 2025'!$G$2:$G$2619,'октябрь 2025'!$D$2:$D$2619,$B103,'октябрь 2025'!$J$2:$J$2619,AG$1)</f>
        <v>0</v>
      </c>
      <c r="AH103" s="183">
        <f>SUMIFS('октябрь 2025'!$G$2:$G$2619,'октябрь 2025'!$D$2:$D$2619,$B103,'октябрь 2025'!$J$2:$J$2619,AH$1)</f>
        <v>0</v>
      </c>
      <c r="AI103" s="20">
        <f t="shared" si="1"/>
        <v>0</v>
      </c>
    </row>
    <row r="104" spans="2:35" ht="15" customHeight="1" x14ac:dyDescent="0.25">
      <c r="B104" s="88" t="s">
        <v>282</v>
      </c>
      <c r="C104" s="86">
        <v>190</v>
      </c>
      <c r="D104" s="183">
        <f>SUMIFS('октябрь 2025'!$G$2:$G$2619,'октябрь 2025'!$D$2:$D$2619,$B104,'октябрь 2025'!$J$2:$J$2619,D$1)</f>
        <v>0</v>
      </c>
      <c r="E104" s="183">
        <f>SUMIFS('октябрь 2025'!$G$2:$G$2619,'октябрь 2025'!$D$2:$D$2619,$B104,'октябрь 2025'!$J$2:$J$2619,E$1)</f>
        <v>0</v>
      </c>
      <c r="F104" s="183">
        <f>SUMIFS('октябрь 2025'!$G$2:$G$2619,'октябрь 2025'!$D$2:$D$2619,$B104,'октябрь 2025'!$J$2:$J$2619,F$1)</f>
        <v>0</v>
      </c>
      <c r="G104" s="183">
        <f>SUMIFS('октябрь 2025'!$G$2:$G$2619,'октябрь 2025'!$D$2:$D$2619,$B104,'октябрь 2025'!$J$2:$J$2619,G$1)</f>
        <v>0</v>
      </c>
      <c r="H104" s="183">
        <f>SUMIFS('октябрь 2025'!$G$2:$G$2619,'октябрь 2025'!$D$2:$D$2619,$B104,'октябрь 2025'!$J$2:$J$2619,H$1)</f>
        <v>0</v>
      </c>
      <c r="I104" s="183">
        <f>SUMIFS('октябрь 2025'!$G$2:$G$2619,'октябрь 2025'!$D$2:$D$2619,$B104,'октябрь 2025'!$J$2:$J$2619,I$1)</f>
        <v>0</v>
      </c>
      <c r="J104" s="183">
        <f>SUMIFS('октябрь 2025'!$G$2:$G$2619,'октябрь 2025'!$D$2:$D$2619,$B104,'октябрь 2025'!$J$2:$J$2619,J$1)</f>
        <v>0</v>
      </c>
      <c r="K104" s="183">
        <f>SUMIFS('октябрь 2025'!$G$2:$G$2619,'октябрь 2025'!$D$2:$D$2619,$B104,'октябрь 2025'!$J$2:$J$2619,K$1)</f>
        <v>0</v>
      </c>
      <c r="L104" s="183">
        <f>SUMIFS('октябрь 2025'!$G$2:$G$2619,'октябрь 2025'!$D$2:$D$2619,$B104,'октябрь 2025'!$J$2:$J$2619,L$1)</f>
        <v>0</v>
      </c>
      <c r="M104" s="183">
        <f>SUMIFS('октябрь 2025'!$G$2:$G$2619,'октябрь 2025'!$D$2:$D$2619,$B104,'октябрь 2025'!$J$2:$J$2619,M$1)</f>
        <v>0</v>
      </c>
      <c r="N104" s="183">
        <f>SUMIFS('октябрь 2025'!$G$2:$G$2619,'октябрь 2025'!$D$2:$D$2619,$B104,'октябрь 2025'!$J$2:$J$2619,N$1)</f>
        <v>0</v>
      </c>
      <c r="O104" s="183">
        <f>SUMIFS('октябрь 2025'!$G$2:$G$2619,'октябрь 2025'!$D$2:$D$2619,$B104,'октябрь 2025'!$J$2:$J$2619,O$1)</f>
        <v>0</v>
      </c>
      <c r="P104" s="183">
        <f>SUMIFS('октябрь 2025'!$G$2:$G$2619,'октябрь 2025'!$D$2:$D$2619,$B104,'октябрь 2025'!$J$2:$J$2619,P$1)</f>
        <v>0</v>
      </c>
      <c r="Q104" s="183">
        <f>SUMIFS('октябрь 2025'!$G$2:$G$2619,'октябрь 2025'!$D$2:$D$2619,$B104,'октябрь 2025'!$J$2:$J$2619,Q$1)</f>
        <v>0</v>
      </c>
      <c r="R104" s="183">
        <f>SUMIFS('октябрь 2025'!$G$2:$G$2619,'октябрь 2025'!$D$2:$D$2619,$B104,'октябрь 2025'!$J$2:$J$2619,R$1)</f>
        <v>0</v>
      </c>
      <c r="S104" s="183">
        <f>SUMIFS('октябрь 2025'!$G$2:$G$2619,'октябрь 2025'!$D$2:$D$2619,$B104,'октябрь 2025'!$J$2:$J$2619,S$1)</f>
        <v>0</v>
      </c>
      <c r="T104" s="183">
        <f>SUMIFS('октябрь 2025'!$G$2:$G$2619,'октябрь 2025'!$D$2:$D$2619,$B104,'октябрь 2025'!$J$2:$J$2619,T$1)</f>
        <v>0</v>
      </c>
      <c r="U104" s="183">
        <f>SUMIFS('октябрь 2025'!$G$2:$G$2619,'октябрь 2025'!$D$2:$D$2619,$B104,'октябрь 2025'!$J$2:$J$2619,U$1)</f>
        <v>0</v>
      </c>
      <c r="V104" s="183">
        <f>SUMIFS('октябрь 2025'!$G$2:$G$2619,'октябрь 2025'!$D$2:$D$2619,$B104,'октябрь 2025'!$J$2:$J$2619,V$1)</f>
        <v>0</v>
      </c>
      <c r="W104" s="183">
        <f>SUMIFS('октябрь 2025'!$G$2:$G$2619,'октябрь 2025'!$D$2:$D$2619,$B104,'октябрь 2025'!$J$2:$J$2619,W$1)</f>
        <v>0</v>
      </c>
      <c r="X104" s="183">
        <f>SUMIFS('октябрь 2025'!$G$2:$G$2619,'октябрь 2025'!$D$2:$D$2619,$B104,'октябрь 2025'!$J$2:$J$2619,X$1)</f>
        <v>0</v>
      </c>
      <c r="Y104" s="183">
        <f>SUMIFS('октябрь 2025'!$G$2:$G$2619,'октябрь 2025'!$D$2:$D$2619,$B104,'октябрь 2025'!$J$2:$J$2619,Y$1)</f>
        <v>0</v>
      </c>
      <c r="Z104" s="183">
        <f>SUMIFS('октябрь 2025'!$G$2:$G$2619,'октябрь 2025'!$D$2:$D$2619,$B104,'октябрь 2025'!$J$2:$J$2619,Z$1)</f>
        <v>0</v>
      </c>
      <c r="AA104" s="183">
        <f>SUMIFS('октябрь 2025'!$G$2:$G$2619,'октябрь 2025'!$D$2:$D$2619,$B104,'октябрь 2025'!$J$2:$J$2619,AA$1)</f>
        <v>0</v>
      </c>
      <c r="AB104" s="183">
        <f>SUMIFS('октябрь 2025'!$G$2:$G$2619,'октябрь 2025'!$D$2:$D$2619,$B104,'октябрь 2025'!$J$2:$J$2619,AB$1)</f>
        <v>0</v>
      </c>
      <c r="AC104" s="183">
        <f>SUMIFS('октябрь 2025'!$G$2:$G$2619,'октябрь 2025'!$D$2:$D$2619,$B104,'октябрь 2025'!$J$2:$J$2619,AC$1)</f>
        <v>0</v>
      </c>
      <c r="AD104" s="183">
        <f>SUMIFS('октябрь 2025'!$G$2:$G$2619,'октябрь 2025'!$D$2:$D$2619,$B104,'октябрь 2025'!$J$2:$J$2619,AD$1)</f>
        <v>0</v>
      </c>
      <c r="AE104" s="183">
        <f>SUMIFS('октябрь 2025'!$G$2:$G$2619,'октябрь 2025'!$D$2:$D$2619,$B104,'октябрь 2025'!$J$2:$J$2619,AE$1)</f>
        <v>0</v>
      </c>
      <c r="AF104" s="183">
        <f>SUMIFS('октябрь 2025'!$G$2:$G$2619,'октябрь 2025'!$D$2:$D$2619,$B104,'октябрь 2025'!$J$2:$J$2619,AF$1)</f>
        <v>0</v>
      </c>
      <c r="AG104" s="183">
        <f>SUMIFS('октябрь 2025'!$G$2:$G$2619,'октябрь 2025'!$D$2:$D$2619,$B104,'октябрь 2025'!$J$2:$J$2619,AG$1)</f>
        <v>0</v>
      </c>
      <c r="AH104" s="183">
        <f>SUMIFS('октябрь 2025'!$G$2:$G$2619,'октябрь 2025'!$D$2:$D$2619,$B104,'октябрь 2025'!$J$2:$J$2619,AH$1)</f>
        <v>0</v>
      </c>
      <c r="AI104" s="20">
        <f t="shared" si="1"/>
        <v>0</v>
      </c>
    </row>
    <row r="105" spans="2:35" ht="15" customHeight="1" x14ac:dyDescent="0.25">
      <c r="B105" s="88" t="s">
        <v>258</v>
      </c>
      <c r="C105" s="86">
        <v>180</v>
      </c>
      <c r="D105" s="183">
        <f>SUMIFS('октябрь 2025'!$G$2:$G$2619,'октябрь 2025'!$D$2:$D$2619,$B105,'октябрь 2025'!$J$2:$J$2619,D$1)</f>
        <v>0</v>
      </c>
      <c r="E105" s="183">
        <f>SUMIFS('октябрь 2025'!$G$2:$G$2619,'октябрь 2025'!$D$2:$D$2619,$B105,'октябрь 2025'!$J$2:$J$2619,E$1)</f>
        <v>0</v>
      </c>
      <c r="F105" s="183">
        <f>SUMIFS('октябрь 2025'!$G$2:$G$2619,'октябрь 2025'!$D$2:$D$2619,$B105,'октябрь 2025'!$J$2:$J$2619,F$1)</f>
        <v>0</v>
      </c>
      <c r="G105" s="183">
        <f>SUMIFS('октябрь 2025'!$G$2:$G$2619,'октябрь 2025'!$D$2:$D$2619,$B105,'октябрь 2025'!$J$2:$J$2619,G$1)</f>
        <v>0</v>
      </c>
      <c r="H105" s="183">
        <f>SUMIFS('октябрь 2025'!$G$2:$G$2619,'октябрь 2025'!$D$2:$D$2619,$B105,'октябрь 2025'!$J$2:$J$2619,H$1)</f>
        <v>0</v>
      </c>
      <c r="I105" s="183">
        <f>SUMIFS('октябрь 2025'!$G$2:$G$2619,'октябрь 2025'!$D$2:$D$2619,$B105,'октябрь 2025'!$J$2:$J$2619,I$1)</f>
        <v>0</v>
      </c>
      <c r="J105" s="183">
        <f>SUMIFS('октябрь 2025'!$G$2:$G$2619,'октябрь 2025'!$D$2:$D$2619,$B105,'октябрь 2025'!$J$2:$J$2619,J$1)</f>
        <v>0</v>
      </c>
      <c r="K105" s="183">
        <f>SUMIFS('октябрь 2025'!$G$2:$G$2619,'октябрь 2025'!$D$2:$D$2619,$B105,'октябрь 2025'!$J$2:$J$2619,K$1)</f>
        <v>0</v>
      </c>
      <c r="L105" s="183">
        <f>SUMIFS('октябрь 2025'!$G$2:$G$2619,'октябрь 2025'!$D$2:$D$2619,$B105,'октябрь 2025'!$J$2:$J$2619,L$1)</f>
        <v>0</v>
      </c>
      <c r="M105" s="183">
        <f>SUMIFS('октябрь 2025'!$G$2:$G$2619,'октябрь 2025'!$D$2:$D$2619,$B105,'октябрь 2025'!$J$2:$J$2619,M$1)</f>
        <v>0</v>
      </c>
      <c r="N105" s="183">
        <f>SUMIFS('октябрь 2025'!$G$2:$G$2619,'октябрь 2025'!$D$2:$D$2619,$B105,'октябрь 2025'!$J$2:$J$2619,N$1)</f>
        <v>0</v>
      </c>
      <c r="O105" s="183">
        <f>SUMIFS('октябрь 2025'!$G$2:$G$2619,'октябрь 2025'!$D$2:$D$2619,$B105,'октябрь 2025'!$J$2:$J$2619,O$1)</f>
        <v>0</v>
      </c>
      <c r="P105" s="183">
        <f>SUMIFS('октябрь 2025'!$G$2:$G$2619,'октябрь 2025'!$D$2:$D$2619,$B105,'октябрь 2025'!$J$2:$J$2619,P$1)</f>
        <v>0</v>
      </c>
      <c r="Q105" s="183">
        <f>SUMIFS('октябрь 2025'!$G$2:$G$2619,'октябрь 2025'!$D$2:$D$2619,$B105,'октябрь 2025'!$J$2:$J$2619,Q$1)</f>
        <v>0</v>
      </c>
      <c r="R105" s="183">
        <f>SUMIFS('октябрь 2025'!$G$2:$G$2619,'октябрь 2025'!$D$2:$D$2619,$B105,'октябрь 2025'!$J$2:$J$2619,R$1)</f>
        <v>0</v>
      </c>
      <c r="S105" s="183">
        <f>SUMIFS('октябрь 2025'!$G$2:$G$2619,'октябрь 2025'!$D$2:$D$2619,$B105,'октябрь 2025'!$J$2:$J$2619,S$1)</f>
        <v>0</v>
      </c>
      <c r="T105" s="183">
        <f>SUMIFS('октябрь 2025'!$G$2:$G$2619,'октябрь 2025'!$D$2:$D$2619,$B105,'октябрь 2025'!$J$2:$J$2619,T$1)</f>
        <v>0</v>
      </c>
      <c r="U105" s="183">
        <f>SUMIFS('октябрь 2025'!$G$2:$G$2619,'октябрь 2025'!$D$2:$D$2619,$B105,'октябрь 2025'!$J$2:$J$2619,U$1)</f>
        <v>0</v>
      </c>
      <c r="V105" s="183">
        <f>SUMIFS('октябрь 2025'!$G$2:$G$2619,'октябрь 2025'!$D$2:$D$2619,$B105,'октябрь 2025'!$J$2:$J$2619,V$1)</f>
        <v>0</v>
      </c>
      <c r="W105" s="183">
        <f>SUMIFS('октябрь 2025'!$G$2:$G$2619,'октябрь 2025'!$D$2:$D$2619,$B105,'октябрь 2025'!$J$2:$J$2619,W$1)</f>
        <v>0</v>
      </c>
      <c r="X105" s="183">
        <f>SUMIFS('октябрь 2025'!$G$2:$G$2619,'октябрь 2025'!$D$2:$D$2619,$B105,'октябрь 2025'!$J$2:$J$2619,X$1)</f>
        <v>0</v>
      </c>
      <c r="Y105" s="183">
        <f>SUMIFS('октябрь 2025'!$G$2:$G$2619,'октябрь 2025'!$D$2:$D$2619,$B105,'октябрь 2025'!$J$2:$J$2619,Y$1)</f>
        <v>0</v>
      </c>
      <c r="Z105" s="183">
        <f>SUMIFS('октябрь 2025'!$G$2:$G$2619,'октябрь 2025'!$D$2:$D$2619,$B105,'октябрь 2025'!$J$2:$J$2619,Z$1)</f>
        <v>0</v>
      </c>
      <c r="AA105" s="183">
        <f>SUMIFS('октябрь 2025'!$G$2:$G$2619,'октябрь 2025'!$D$2:$D$2619,$B105,'октябрь 2025'!$J$2:$J$2619,AA$1)</f>
        <v>0</v>
      </c>
      <c r="AB105" s="183">
        <f>SUMIFS('октябрь 2025'!$G$2:$G$2619,'октябрь 2025'!$D$2:$D$2619,$B105,'октябрь 2025'!$J$2:$J$2619,AB$1)</f>
        <v>0</v>
      </c>
      <c r="AC105" s="183">
        <f>SUMIFS('октябрь 2025'!$G$2:$G$2619,'октябрь 2025'!$D$2:$D$2619,$B105,'октябрь 2025'!$J$2:$J$2619,AC$1)</f>
        <v>0</v>
      </c>
      <c r="AD105" s="183">
        <f>SUMIFS('октябрь 2025'!$G$2:$G$2619,'октябрь 2025'!$D$2:$D$2619,$B105,'октябрь 2025'!$J$2:$J$2619,AD$1)</f>
        <v>0</v>
      </c>
      <c r="AE105" s="183">
        <f>SUMIFS('октябрь 2025'!$G$2:$G$2619,'октябрь 2025'!$D$2:$D$2619,$B105,'октябрь 2025'!$J$2:$J$2619,AE$1)</f>
        <v>0</v>
      </c>
      <c r="AF105" s="183">
        <f>SUMIFS('октябрь 2025'!$G$2:$G$2619,'октябрь 2025'!$D$2:$D$2619,$B105,'октябрь 2025'!$J$2:$J$2619,AF$1)</f>
        <v>0</v>
      </c>
      <c r="AG105" s="183">
        <f>SUMIFS('октябрь 2025'!$G$2:$G$2619,'октябрь 2025'!$D$2:$D$2619,$B105,'октябрь 2025'!$J$2:$J$2619,AG$1)</f>
        <v>0</v>
      </c>
      <c r="AH105" s="183">
        <f>SUMIFS('октябрь 2025'!$G$2:$G$2619,'октябрь 2025'!$D$2:$D$2619,$B105,'октябрь 2025'!$J$2:$J$2619,AH$1)</f>
        <v>0</v>
      </c>
      <c r="AI105" s="20">
        <f t="shared" si="1"/>
        <v>0</v>
      </c>
    </row>
    <row r="106" spans="2:35" ht="15" customHeight="1" x14ac:dyDescent="0.25">
      <c r="B106" s="88" t="s">
        <v>259</v>
      </c>
      <c r="C106" s="86">
        <v>180</v>
      </c>
      <c r="D106" s="183">
        <f>SUMIFS('октябрь 2025'!$G$2:$G$2619,'октябрь 2025'!$D$2:$D$2619,$B106,'октябрь 2025'!$J$2:$J$2619,D$1)</f>
        <v>0</v>
      </c>
      <c r="E106" s="183">
        <f>SUMIFS('октябрь 2025'!$G$2:$G$2619,'октябрь 2025'!$D$2:$D$2619,$B106,'октябрь 2025'!$J$2:$J$2619,E$1)</f>
        <v>0</v>
      </c>
      <c r="F106" s="183">
        <f>SUMIFS('октябрь 2025'!$G$2:$G$2619,'октябрь 2025'!$D$2:$D$2619,$B106,'октябрь 2025'!$J$2:$J$2619,F$1)</f>
        <v>0</v>
      </c>
      <c r="G106" s="183">
        <f>SUMIFS('октябрь 2025'!$G$2:$G$2619,'октябрь 2025'!$D$2:$D$2619,$B106,'октябрь 2025'!$J$2:$J$2619,G$1)</f>
        <v>0</v>
      </c>
      <c r="H106" s="183">
        <f>SUMIFS('октябрь 2025'!$G$2:$G$2619,'октябрь 2025'!$D$2:$D$2619,$B106,'октябрь 2025'!$J$2:$J$2619,H$1)</f>
        <v>0</v>
      </c>
      <c r="I106" s="183">
        <f>SUMIFS('октябрь 2025'!$G$2:$G$2619,'октябрь 2025'!$D$2:$D$2619,$B106,'октябрь 2025'!$J$2:$J$2619,I$1)</f>
        <v>0</v>
      </c>
      <c r="J106" s="183">
        <f>SUMIFS('октябрь 2025'!$G$2:$G$2619,'октябрь 2025'!$D$2:$D$2619,$B106,'октябрь 2025'!$J$2:$J$2619,J$1)</f>
        <v>0</v>
      </c>
      <c r="K106" s="183">
        <f>SUMIFS('октябрь 2025'!$G$2:$G$2619,'октябрь 2025'!$D$2:$D$2619,$B106,'октябрь 2025'!$J$2:$J$2619,K$1)</f>
        <v>0</v>
      </c>
      <c r="L106" s="183">
        <f>SUMIFS('октябрь 2025'!$G$2:$G$2619,'октябрь 2025'!$D$2:$D$2619,$B106,'октябрь 2025'!$J$2:$J$2619,L$1)</f>
        <v>0</v>
      </c>
      <c r="M106" s="183">
        <f>SUMIFS('октябрь 2025'!$G$2:$G$2619,'октябрь 2025'!$D$2:$D$2619,$B106,'октябрь 2025'!$J$2:$J$2619,M$1)</f>
        <v>0</v>
      </c>
      <c r="N106" s="183">
        <f>SUMIFS('октябрь 2025'!$G$2:$G$2619,'октябрь 2025'!$D$2:$D$2619,$B106,'октябрь 2025'!$J$2:$J$2619,N$1)</f>
        <v>0</v>
      </c>
      <c r="O106" s="183">
        <f>SUMIFS('октябрь 2025'!$G$2:$G$2619,'октябрь 2025'!$D$2:$D$2619,$B106,'октябрь 2025'!$J$2:$J$2619,O$1)</f>
        <v>0</v>
      </c>
      <c r="P106" s="183">
        <f>SUMIFS('октябрь 2025'!$G$2:$G$2619,'октябрь 2025'!$D$2:$D$2619,$B106,'октябрь 2025'!$J$2:$J$2619,P$1)</f>
        <v>0</v>
      </c>
      <c r="Q106" s="183">
        <f>SUMIFS('октябрь 2025'!$G$2:$G$2619,'октябрь 2025'!$D$2:$D$2619,$B106,'октябрь 2025'!$J$2:$J$2619,Q$1)</f>
        <v>0</v>
      </c>
      <c r="R106" s="183">
        <f>SUMIFS('октябрь 2025'!$G$2:$G$2619,'октябрь 2025'!$D$2:$D$2619,$B106,'октябрь 2025'!$J$2:$J$2619,R$1)</f>
        <v>0</v>
      </c>
      <c r="S106" s="183">
        <f>SUMIFS('октябрь 2025'!$G$2:$G$2619,'октябрь 2025'!$D$2:$D$2619,$B106,'октябрь 2025'!$J$2:$J$2619,S$1)</f>
        <v>0</v>
      </c>
      <c r="T106" s="183">
        <f>SUMIFS('октябрь 2025'!$G$2:$G$2619,'октябрь 2025'!$D$2:$D$2619,$B106,'октябрь 2025'!$J$2:$J$2619,T$1)</f>
        <v>0</v>
      </c>
      <c r="U106" s="183">
        <f>SUMIFS('октябрь 2025'!$G$2:$G$2619,'октябрь 2025'!$D$2:$D$2619,$B106,'октябрь 2025'!$J$2:$J$2619,U$1)</f>
        <v>0</v>
      </c>
      <c r="V106" s="183">
        <f>SUMIFS('октябрь 2025'!$G$2:$G$2619,'октябрь 2025'!$D$2:$D$2619,$B106,'октябрь 2025'!$J$2:$J$2619,V$1)</f>
        <v>0</v>
      </c>
      <c r="W106" s="183">
        <f>SUMIFS('октябрь 2025'!$G$2:$G$2619,'октябрь 2025'!$D$2:$D$2619,$B106,'октябрь 2025'!$J$2:$J$2619,W$1)</f>
        <v>0</v>
      </c>
      <c r="X106" s="183">
        <f>SUMIFS('октябрь 2025'!$G$2:$G$2619,'октябрь 2025'!$D$2:$D$2619,$B106,'октябрь 2025'!$J$2:$J$2619,X$1)</f>
        <v>0</v>
      </c>
      <c r="Y106" s="183">
        <f>SUMIFS('октябрь 2025'!$G$2:$G$2619,'октябрь 2025'!$D$2:$D$2619,$B106,'октябрь 2025'!$J$2:$J$2619,Y$1)</f>
        <v>0</v>
      </c>
      <c r="Z106" s="183">
        <f>SUMIFS('октябрь 2025'!$G$2:$G$2619,'октябрь 2025'!$D$2:$D$2619,$B106,'октябрь 2025'!$J$2:$J$2619,Z$1)</f>
        <v>0</v>
      </c>
      <c r="AA106" s="183">
        <f>SUMIFS('октябрь 2025'!$G$2:$G$2619,'октябрь 2025'!$D$2:$D$2619,$B106,'октябрь 2025'!$J$2:$J$2619,AA$1)</f>
        <v>0</v>
      </c>
      <c r="AB106" s="183">
        <f>SUMIFS('октябрь 2025'!$G$2:$G$2619,'октябрь 2025'!$D$2:$D$2619,$B106,'октябрь 2025'!$J$2:$J$2619,AB$1)</f>
        <v>0</v>
      </c>
      <c r="AC106" s="183">
        <f>SUMIFS('октябрь 2025'!$G$2:$G$2619,'октябрь 2025'!$D$2:$D$2619,$B106,'октябрь 2025'!$J$2:$J$2619,AC$1)</f>
        <v>0</v>
      </c>
      <c r="AD106" s="183">
        <f>SUMIFS('октябрь 2025'!$G$2:$G$2619,'октябрь 2025'!$D$2:$D$2619,$B106,'октябрь 2025'!$J$2:$J$2619,AD$1)</f>
        <v>0</v>
      </c>
      <c r="AE106" s="183">
        <f>SUMIFS('октябрь 2025'!$G$2:$G$2619,'октябрь 2025'!$D$2:$D$2619,$B106,'октябрь 2025'!$J$2:$J$2619,AE$1)</f>
        <v>0</v>
      </c>
      <c r="AF106" s="183">
        <f>SUMIFS('октябрь 2025'!$G$2:$G$2619,'октябрь 2025'!$D$2:$D$2619,$B106,'октябрь 2025'!$J$2:$J$2619,AF$1)</f>
        <v>0</v>
      </c>
      <c r="AG106" s="183">
        <f>SUMIFS('октябрь 2025'!$G$2:$G$2619,'октябрь 2025'!$D$2:$D$2619,$B106,'октябрь 2025'!$J$2:$J$2619,AG$1)</f>
        <v>0</v>
      </c>
      <c r="AH106" s="183">
        <f>SUMIFS('октябрь 2025'!$G$2:$G$2619,'октябрь 2025'!$D$2:$D$2619,$B106,'октябрь 2025'!$J$2:$J$2619,AH$1)</f>
        <v>0</v>
      </c>
      <c r="AI106" s="20">
        <f t="shared" si="1"/>
        <v>0</v>
      </c>
    </row>
    <row r="107" spans="2:35" ht="15" customHeight="1" x14ac:dyDescent="0.25">
      <c r="B107" s="88" t="s">
        <v>289</v>
      </c>
      <c r="C107" s="86">
        <v>20</v>
      </c>
      <c r="D107" s="183">
        <f>SUMIFS('октябрь 2025'!$G$2:$G$2619,'октябрь 2025'!$D$2:$D$2619,$B107,'октябрь 2025'!$J$2:$J$2619,D$1)</f>
        <v>0</v>
      </c>
      <c r="E107" s="183">
        <f>SUMIFS('октябрь 2025'!$G$2:$G$2619,'октябрь 2025'!$D$2:$D$2619,$B107,'октябрь 2025'!$J$2:$J$2619,E$1)</f>
        <v>0</v>
      </c>
      <c r="F107" s="183">
        <f>SUMIFS('октябрь 2025'!$G$2:$G$2619,'октябрь 2025'!$D$2:$D$2619,$B107,'октябрь 2025'!$J$2:$J$2619,F$1)</f>
        <v>0</v>
      </c>
      <c r="G107" s="183">
        <f>SUMIFS('октябрь 2025'!$G$2:$G$2619,'октябрь 2025'!$D$2:$D$2619,$B107,'октябрь 2025'!$J$2:$J$2619,G$1)</f>
        <v>0</v>
      </c>
      <c r="H107" s="183">
        <f>SUMIFS('октябрь 2025'!$G$2:$G$2619,'октябрь 2025'!$D$2:$D$2619,$B107,'октябрь 2025'!$J$2:$J$2619,H$1)</f>
        <v>0</v>
      </c>
      <c r="I107" s="183">
        <f>SUMIFS('октябрь 2025'!$G$2:$G$2619,'октябрь 2025'!$D$2:$D$2619,$B107,'октябрь 2025'!$J$2:$J$2619,I$1)</f>
        <v>0</v>
      </c>
      <c r="J107" s="183">
        <f>SUMIFS('октябрь 2025'!$G$2:$G$2619,'октябрь 2025'!$D$2:$D$2619,$B107,'октябрь 2025'!$J$2:$J$2619,J$1)</f>
        <v>0</v>
      </c>
      <c r="K107" s="183">
        <f>SUMIFS('октябрь 2025'!$G$2:$G$2619,'октябрь 2025'!$D$2:$D$2619,$B107,'октябрь 2025'!$J$2:$J$2619,K$1)</f>
        <v>0</v>
      </c>
      <c r="L107" s="183">
        <f>SUMIFS('октябрь 2025'!$G$2:$G$2619,'октябрь 2025'!$D$2:$D$2619,$B107,'октябрь 2025'!$J$2:$J$2619,L$1)</f>
        <v>0</v>
      </c>
      <c r="M107" s="183">
        <f>SUMIFS('октябрь 2025'!$G$2:$G$2619,'октябрь 2025'!$D$2:$D$2619,$B107,'октябрь 2025'!$J$2:$J$2619,M$1)</f>
        <v>0</v>
      </c>
      <c r="N107" s="183">
        <f>SUMIFS('октябрь 2025'!$G$2:$G$2619,'октябрь 2025'!$D$2:$D$2619,$B107,'октябрь 2025'!$J$2:$J$2619,N$1)</f>
        <v>0</v>
      </c>
      <c r="O107" s="183">
        <f>SUMIFS('октябрь 2025'!$G$2:$G$2619,'октябрь 2025'!$D$2:$D$2619,$B107,'октябрь 2025'!$J$2:$J$2619,O$1)</f>
        <v>0</v>
      </c>
      <c r="P107" s="183">
        <f>SUMIFS('октябрь 2025'!$G$2:$G$2619,'октябрь 2025'!$D$2:$D$2619,$B107,'октябрь 2025'!$J$2:$J$2619,P$1)</f>
        <v>0</v>
      </c>
      <c r="Q107" s="183">
        <f>SUMIFS('октябрь 2025'!$G$2:$G$2619,'октябрь 2025'!$D$2:$D$2619,$B107,'октябрь 2025'!$J$2:$J$2619,Q$1)</f>
        <v>0</v>
      </c>
      <c r="R107" s="183">
        <f>SUMIFS('октябрь 2025'!$G$2:$G$2619,'октябрь 2025'!$D$2:$D$2619,$B107,'октябрь 2025'!$J$2:$J$2619,R$1)</f>
        <v>0</v>
      </c>
      <c r="S107" s="183">
        <f>SUMIFS('октябрь 2025'!$G$2:$G$2619,'октябрь 2025'!$D$2:$D$2619,$B107,'октябрь 2025'!$J$2:$J$2619,S$1)</f>
        <v>0</v>
      </c>
      <c r="T107" s="183">
        <f>SUMIFS('октябрь 2025'!$G$2:$G$2619,'октябрь 2025'!$D$2:$D$2619,$B107,'октябрь 2025'!$J$2:$J$2619,T$1)</f>
        <v>0</v>
      </c>
      <c r="U107" s="183">
        <f>SUMIFS('октябрь 2025'!$G$2:$G$2619,'октябрь 2025'!$D$2:$D$2619,$B107,'октябрь 2025'!$J$2:$J$2619,U$1)</f>
        <v>0</v>
      </c>
      <c r="V107" s="183">
        <f>SUMIFS('октябрь 2025'!$G$2:$G$2619,'октябрь 2025'!$D$2:$D$2619,$B107,'октябрь 2025'!$J$2:$J$2619,V$1)</f>
        <v>0</v>
      </c>
      <c r="W107" s="183">
        <f>SUMIFS('октябрь 2025'!$G$2:$G$2619,'октябрь 2025'!$D$2:$D$2619,$B107,'октябрь 2025'!$J$2:$J$2619,W$1)</f>
        <v>0</v>
      </c>
      <c r="X107" s="183">
        <f>SUMIFS('октябрь 2025'!$G$2:$G$2619,'октябрь 2025'!$D$2:$D$2619,$B107,'октябрь 2025'!$J$2:$J$2619,X$1)</f>
        <v>0</v>
      </c>
      <c r="Y107" s="183">
        <f>SUMIFS('октябрь 2025'!$G$2:$G$2619,'октябрь 2025'!$D$2:$D$2619,$B107,'октябрь 2025'!$J$2:$J$2619,Y$1)</f>
        <v>0</v>
      </c>
      <c r="Z107" s="183">
        <f>SUMIFS('октябрь 2025'!$G$2:$G$2619,'октябрь 2025'!$D$2:$D$2619,$B107,'октябрь 2025'!$J$2:$J$2619,Z$1)</f>
        <v>0</v>
      </c>
      <c r="AA107" s="183">
        <f>SUMIFS('октябрь 2025'!$G$2:$G$2619,'октябрь 2025'!$D$2:$D$2619,$B107,'октябрь 2025'!$J$2:$J$2619,AA$1)</f>
        <v>0</v>
      </c>
      <c r="AB107" s="183">
        <f>SUMIFS('октябрь 2025'!$G$2:$G$2619,'октябрь 2025'!$D$2:$D$2619,$B107,'октябрь 2025'!$J$2:$J$2619,AB$1)</f>
        <v>0</v>
      </c>
      <c r="AC107" s="183">
        <f>SUMIFS('октябрь 2025'!$G$2:$G$2619,'октябрь 2025'!$D$2:$D$2619,$B107,'октябрь 2025'!$J$2:$J$2619,AC$1)</f>
        <v>0</v>
      </c>
      <c r="AD107" s="183">
        <f>SUMIFS('октябрь 2025'!$G$2:$G$2619,'октябрь 2025'!$D$2:$D$2619,$B107,'октябрь 2025'!$J$2:$J$2619,AD$1)</f>
        <v>0</v>
      </c>
      <c r="AE107" s="183">
        <f>SUMIFS('октябрь 2025'!$G$2:$G$2619,'октябрь 2025'!$D$2:$D$2619,$B107,'октябрь 2025'!$J$2:$J$2619,AE$1)</f>
        <v>0</v>
      </c>
      <c r="AF107" s="183">
        <f>SUMIFS('октябрь 2025'!$G$2:$G$2619,'октябрь 2025'!$D$2:$D$2619,$B107,'октябрь 2025'!$J$2:$J$2619,AF$1)</f>
        <v>0</v>
      </c>
      <c r="AG107" s="183">
        <f>SUMIFS('октябрь 2025'!$G$2:$G$2619,'октябрь 2025'!$D$2:$D$2619,$B107,'октябрь 2025'!$J$2:$J$2619,AG$1)</f>
        <v>0</v>
      </c>
      <c r="AH107" s="183">
        <f>SUMIFS('октябрь 2025'!$G$2:$G$2619,'октябрь 2025'!$D$2:$D$2619,$B107,'октябрь 2025'!$J$2:$J$2619,AH$1)</f>
        <v>0</v>
      </c>
      <c r="AI107" s="20">
        <f t="shared" si="1"/>
        <v>0</v>
      </c>
    </row>
    <row r="108" spans="2:35" ht="15" customHeight="1" x14ac:dyDescent="0.25">
      <c r="B108" s="88" t="s">
        <v>315</v>
      </c>
      <c r="C108" s="86">
        <v>25</v>
      </c>
      <c r="D108" s="183">
        <f>SUMIFS('октябрь 2025'!$G$2:$G$2619,'октябрь 2025'!$D$2:$D$2619,$B108,'октябрь 2025'!$J$2:$J$2619,D$1)</f>
        <v>0</v>
      </c>
      <c r="E108" s="183">
        <f>SUMIFS('октябрь 2025'!$G$2:$G$2619,'октябрь 2025'!$D$2:$D$2619,$B108,'октябрь 2025'!$J$2:$J$2619,E$1)</f>
        <v>0</v>
      </c>
      <c r="F108" s="183">
        <f>SUMIFS('октябрь 2025'!$G$2:$G$2619,'октябрь 2025'!$D$2:$D$2619,$B108,'октябрь 2025'!$J$2:$J$2619,F$1)</f>
        <v>0</v>
      </c>
      <c r="G108" s="183">
        <f>SUMIFS('октябрь 2025'!$G$2:$G$2619,'октябрь 2025'!$D$2:$D$2619,$B108,'октябрь 2025'!$J$2:$J$2619,G$1)</f>
        <v>0</v>
      </c>
      <c r="H108" s="183">
        <f>SUMIFS('октябрь 2025'!$G$2:$G$2619,'октябрь 2025'!$D$2:$D$2619,$B108,'октябрь 2025'!$J$2:$J$2619,H$1)</f>
        <v>0</v>
      </c>
      <c r="I108" s="183">
        <f>SUMIFS('октябрь 2025'!$G$2:$G$2619,'октябрь 2025'!$D$2:$D$2619,$B108,'октябрь 2025'!$J$2:$J$2619,I$1)</f>
        <v>0</v>
      </c>
      <c r="J108" s="183">
        <f>SUMIFS('октябрь 2025'!$G$2:$G$2619,'октябрь 2025'!$D$2:$D$2619,$B108,'октябрь 2025'!$J$2:$J$2619,J$1)</f>
        <v>0</v>
      </c>
      <c r="K108" s="183">
        <f>SUMIFS('октябрь 2025'!$G$2:$G$2619,'октябрь 2025'!$D$2:$D$2619,$B108,'октябрь 2025'!$J$2:$J$2619,K$1)</f>
        <v>0</v>
      </c>
      <c r="L108" s="183">
        <f>SUMIFS('октябрь 2025'!$G$2:$G$2619,'октябрь 2025'!$D$2:$D$2619,$B108,'октябрь 2025'!$J$2:$J$2619,L$1)</f>
        <v>0</v>
      </c>
      <c r="M108" s="183">
        <f>SUMIFS('октябрь 2025'!$G$2:$G$2619,'октябрь 2025'!$D$2:$D$2619,$B108,'октябрь 2025'!$J$2:$J$2619,M$1)</f>
        <v>0</v>
      </c>
      <c r="N108" s="183">
        <f>SUMIFS('октябрь 2025'!$G$2:$G$2619,'октябрь 2025'!$D$2:$D$2619,$B108,'октябрь 2025'!$J$2:$J$2619,N$1)</f>
        <v>0</v>
      </c>
      <c r="O108" s="183">
        <f>SUMIFS('октябрь 2025'!$G$2:$G$2619,'октябрь 2025'!$D$2:$D$2619,$B108,'октябрь 2025'!$J$2:$J$2619,O$1)</f>
        <v>0</v>
      </c>
      <c r="P108" s="183">
        <f>SUMIFS('октябрь 2025'!$G$2:$G$2619,'октябрь 2025'!$D$2:$D$2619,$B108,'октябрь 2025'!$J$2:$J$2619,P$1)</f>
        <v>0</v>
      </c>
      <c r="Q108" s="183">
        <f>SUMIFS('октябрь 2025'!$G$2:$G$2619,'октябрь 2025'!$D$2:$D$2619,$B108,'октябрь 2025'!$J$2:$J$2619,Q$1)</f>
        <v>0</v>
      </c>
      <c r="R108" s="183">
        <f>SUMIFS('октябрь 2025'!$G$2:$G$2619,'октябрь 2025'!$D$2:$D$2619,$B108,'октябрь 2025'!$J$2:$J$2619,R$1)</f>
        <v>0</v>
      </c>
      <c r="S108" s="183">
        <f>SUMIFS('октябрь 2025'!$G$2:$G$2619,'октябрь 2025'!$D$2:$D$2619,$B108,'октябрь 2025'!$J$2:$J$2619,S$1)</f>
        <v>0</v>
      </c>
      <c r="T108" s="183">
        <f>SUMIFS('октябрь 2025'!$G$2:$G$2619,'октябрь 2025'!$D$2:$D$2619,$B108,'октябрь 2025'!$J$2:$J$2619,T$1)</f>
        <v>0</v>
      </c>
      <c r="U108" s="183">
        <f>SUMIFS('октябрь 2025'!$G$2:$G$2619,'октябрь 2025'!$D$2:$D$2619,$B108,'октябрь 2025'!$J$2:$J$2619,U$1)</f>
        <v>0</v>
      </c>
      <c r="V108" s="183">
        <f>SUMIFS('октябрь 2025'!$G$2:$G$2619,'октябрь 2025'!$D$2:$D$2619,$B108,'октябрь 2025'!$J$2:$J$2619,V$1)</f>
        <v>0</v>
      </c>
      <c r="W108" s="183">
        <f>SUMIFS('октябрь 2025'!$G$2:$G$2619,'октябрь 2025'!$D$2:$D$2619,$B108,'октябрь 2025'!$J$2:$J$2619,W$1)</f>
        <v>0</v>
      </c>
      <c r="X108" s="183">
        <f>SUMIFS('октябрь 2025'!$G$2:$G$2619,'октябрь 2025'!$D$2:$D$2619,$B108,'октябрь 2025'!$J$2:$J$2619,X$1)</f>
        <v>0</v>
      </c>
      <c r="Y108" s="183">
        <f>SUMIFS('октябрь 2025'!$G$2:$G$2619,'октябрь 2025'!$D$2:$D$2619,$B108,'октябрь 2025'!$J$2:$J$2619,Y$1)</f>
        <v>0</v>
      </c>
      <c r="Z108" s="183">
        <f>SUMIFS('октябрь 2025'!$G$2:$G$2619,'октябрь 2025'!$D$2:$D$2619,$B108,'октябрь 2025'!$J$2:$J$2619,Z$1)</f>
        <v>0</v>
      </c>
      <c r="AA108" s="183">
        <f>SUMIFS('октябрь 2025'!$G$2:$G$2619,'октябрь 2025'!$D$2:$D$2619,$B108,'октябрь 2025'!$J$2:$J$2619,AA$1)</f>
        <v>0</v>
      </c>
      <c r="AB108" s="183">
        <f>SUMIFS('октябрь 2025'!$G$2:$G$2619,'октябрь 2025'!$D$2:$D$2619,$B108,'октябрь 2025'!$J$2:$J$2619,AB$1)</f>
        <v>0</v>
      </c>
      <c r="AC108" s="183">
        <f>SUMIFS('октябрь 2025'!$G$2:$G$2619,'октябрь 2025'!$D$2:$D$2619,$B108,'октябрь 2025'!$J$2:$J$2619,AC$1)</f>
        <v>0</v>
      </c>
      <c r="AD108" s="183">
        <f>SUMIFS('октябрь 2025'!$G$2:$G$2619,'октябрь 2025'!$D$2:$D$2619,$B108,'октябрь 2025'!$J$2:$J$2619,AD$1)</f>
        <v>0</v>
      </c>
      <c r="AE108" s="183">
        <f>SUMIFS('октябрь 2025'!$G$2:$G$2619,'октябрь 2025'!$D$2:$D$2619,$B108,'октябрь 2025'!$J$2:$J$2619,AE$1)</f>
        <v>0</v>
      </c>
      <c r="AF108" s="183">
        <f>SUMIFS('октябрь 2025'!$G$2:$G$2619,'октябрь 2025'!$D$2:$D$2619,$B108,'октябрь 2025'!$J$2:$J$2619,AF$1)</f>
        <v>0</v>
      </c>
      <c r="AG108" s="183">
        <f>SUMIFS('октябрь 2025'!$G$2:$G$2619,'октябрь 2025'!$D$2:$D$2619,$B108,'октябрь 2025'!$J$2:$J$2619,AG$1)</f>
        <v>0</v>
      </c>
      <c r="AH108" s="183">
        <f>SUMIFS('октябрь 2025'!$G$2:$G$2619,'октябрь 2025'!$D$2:$D$2619,$B108,'октябрь 2025'!$J$2:$J$2619,AH$1)</f>
        <v>0</v>
      </c>
      <c r="AI108" s="20">
        <f t="shared" si="1"/>
        <v>0</v>
      </c>
    </row>
    <row r="109" spans="2:35" ht="15" customHeight="1" x14ac:dyDescent="0.25">
      <c r="B109" s="88" t="s">
        <v>385</v>
      </c>
      <c r="C109" s="86">
        <v>28</v>
      </c>
      <c r="D109" s="183">
        <f>SUMIFS('октябрь 2025'!$G$2:$G$2619,'октябрь 2025'!$D$2:$D$2619,$B109,'октябрь 2025'!$J$2:$J$2619,D$1)</f>
        <v>0</v>
      </c>
      <c r="E109" s="183">
        <f>SUMIFS('октябрь 2025'!$G$2:$G$2619,'октябрь 2025'!$D$2:$D$2619,$B109,'октябрь 2025'!$J$2:$J$2619,E$1)</f>
        <v>0</v>
      </c>
      <c r="F109" s="183">
        <f>SUMIFS('октябрь 2025'!$G$2:$G$2619,'октябрь 2025'!$D$2:$D$2619,$B109,'октябрь 2025'!$J$2:$J$2619,F$1)</f>
        <v>0</v>
      </c>
      <c r="G109" s="183">
        <f>SUMIFS('октябрь 2025'!$G$2:$G$2619,'октябрь 2025'!$D$2:$D$2619,$B109,'октябрь 2025'!$J$2:$J$2619,G$1)</f>
        <v>0</v>
      </c>
      <c r="H109" s="183">
        <f>SUMIFS('октябрь 2025'!$G$2:$G$2619,'октябрь 2025'!$D$2:$D$2619,$B109,'октябрь 2025'!$J$2:$J$2619,H$1)</f>
        <v>0</v>
      </c>
      <c r="I109" s="183">
        <f>SUMIFS('октябрь 2025'!$G$2:$G$2619,'октябрь 2025'!$D$2:$D$2619,$B109,'октябрь 2025'!$J$2:$J$2619,I$1)</f>
        <v>0</v>
      </c>
      <c r="J109" s="183">
        <f>SUMIFS('октябрь 2025'!$G$2:$G$2619,'октябрь 2025'!$D$2:$D$2619,$B109,'октябрь 2025'!$J$2:$J$2619,J$1)</f>
        <v>0</v>
      </c>
      <c r="K109" s="183">
        <f>SUMIFS('октябрь 2025'!$G$2:$G$2619,'октябрь 2025'!$D$2:$D$2619,$B109,'октябрь 2025'!$J$2:$J$2619,K$1)</f>
        <v>0</v>
      </c>
      <c r="L109" s="183">
        <f>SUMIFS('октябрь 2025'!$G$2:$G$2619,'октябрь 2025'!$D$2:$D$2619,$B109,'октябрь 2025'!$J$2:$J$2619,L$1)</f>
        <v>0</v>
      </c>
      <c r="M109" s="183">
        <f>SUMIFS('октябрь 2025'!$G$2:$G$2619,'октябрь 2025'!$D$2:$D$2619,$B109,'октябрь 2025'!$J$2:$J$2619,M$1)</f>
        <v>0</v>
      </c>
      <c r="N109" s="183">
        <f>SUMIFS('октябрь 2025'!$G$2:$G$2619,'октябрь 2025'!$D$2:$D$2619,$B109,'октябрь 2025'!$J$2:$J$2619,N$1)</f>
        <v>0</v>
      </c>
      <c r="O109" s="183">
        <f>SUMIFS('октябрь 2025'!$G$2:$G$2619,'октябрь 2025'!$D$2:$D$2619,$B109,'октябрь 2025'!$J$2:$J$2619,O$1)</f>
        <v>0</v>
      </c>
      <c r="P109" s="183">
        <f>SUMIFS('октябрь 2025'!$G$2:$G$2619,'октябрь 2025'!$D$2:$D$2619,$B109,'октябрь 2025'!$J$2:$J$2619,P$1)</f>
        <v>0</v>
      </c>
      <c r="Q109" s="183">
        <f>SUMIFS('октябрь 2025'!$G$2:$G$2619,'октябрь 2025'!$D$2:$D$2619,$B109,'октябрь 2025'!$J$2:$J$2619,Q$1)</f>
        <v>0</v>
      </c>
      <c r="R109" s="183">
        <f>SUMIFS('октябрь 2025'!$G$2:$G$2619,'октябрь 2025'!$D$2:$D$2619,$B109,'октябрь 2025'!$J$2:$J$2619,R$1)</f>
        <v>0</v>
      </c>
      <c r="S109" s="183">
        <f>SUMIFS('октябрь 2025'!$G$2:$G$2619,'октябрь 2025'!$D$2:$D$2619,$B109,'октябрь 2025'!$J$2:$J$2619,S$1)</f>
        <v>0</v>
      </c>
      <c r="T109" s="183">
        <f>SUMIFS('октябрь 2025'!$G$2:$G$2619,'октябрь 2025'!$D$2:$D$2619,$B109,'октябрь 2025'!$J$2:$J$2619,T$1)</f>
        <v>0</v>
      </c>
      <c r="U109" s="183">
        <f>SUMIFS('октябрь 2025'!$G$2:$G$2619,'октябрь 2025'!$D$2:$D$2619,$B109,'октябрь 2025'!$J$2:$J$2619,U$1)</f>
        <v>0</v>
      </c>
      <c r="V109" s="183">
        <f>SUMIFS('октябрь 2025'!$G$2:$G$2619,'октябрь 2025'!$D$2:$D$2619,$B109,'октябрь 2025'!$J$2:$J$2619,V$1)</f>
        <v>0</v>
      </c>
      <c r="W109" s="183">
        <f>SUMIFS('октябрь 2025'!$G$2:$G$2619,'октябрь 2025'!$D$2:$D$2619,$B109,'октябрь 2025'!$J$2:$J$2619,W$1)</f>
        <v>0</v>
      </c>
      <c r="X109" s="183">
        <f>SUMIFS('октябрь 2025'!$G$2:$G$2619,'октябрь 2025'!$D$2:$D$2619,$B109,'октябрь 2025'!$J$2:$J$2619,X$1)</f>
        <v>0</v>
      </c>
      <c r="Y109" s="183">
        <f>SUMIFS('октябрь 2025'!$G$2:$G$2619,'октябрь 2025'!$D$2:$D$2619,$B109,'октябрь 2025'!$J$2:$J$2619,Y$1)</f>
        <v>0</v>
      </c>
      <c r="Z109" s="183">
        <f>SUMIFS('октябрь 2025'!$G$2:$G$2619,'октябрь 2025'!$D$2:$D$2619,$B109,'октябрь 2025'!$J$2:$J$2619,Z$1)</f>
        <v>0</v>
      </c>
      <c r="AA109" s="183">
        <f>SUMIFS('октябрь 2025'!$G$2:$G$2619,'октябрь 2025'!$D$2:$D$2619,$B109,'октябрь 2025'!$J$2:$J$2619,AA$1)</f>
        <v>0</v>
      </c>
      <c r="AB109" s="183">
        <f>SUMIFS('октябрь 2025'!$G$2:$G$2619,'октябрь 2025'!$D$2:$D$2619,$B109,'октябрь 2025'!$J$2:$J$2619,AB$1)</f>
        <v>0</v>
      </c>
      <c r="AC109" s="183">
        <f>SUMIFS('октябрь 2025'!$G$2:$G$2619,'октябрь 2025'!$D$2:$D$2619,$B109,'октябрь 2025'!$J$2:$J$2619,AC$1)</f>
        <v>0</v>
      </c>
      <c r="AD109" s="183">
        <f>SUMIFS('октябрь 2025'!$G$2:$G$2619,'октябрь 2025'!$D$2:$D$2619,$B109,'октябрь 2025'!$J$2:$J$2619,AD$1)</f>
        <v>0</v>
      </c>
      <c r="AE109" s="183">
        <f>SUMIFS('октябрь 2025'!$G$2:$G$2619,'октябрь 2025'!$D$2:$D$2619,$B109,'октябрь 2025'!$J$2:$J$2619,AE$1)</f>
        <v>0</v>
      </c>
      <c r="AF109" s="183">
        <f>SUMIFS('октябрь 2025'!$G$2:$G$2619,'октябрь 2025'!$D$2:$D$2619,$B109,'октябрь 2025'!$J$2:$J$2619,AF$1)</f>
        <v>0</v>
      </c>
      <c r="AG109" s="183">
        <f>SUMIFS('октябрь 2025'!$G$2:$G$2619,'октябрь 2025'!$D$2:$D$2619,$B109,'октябрь 2025'!$J$2:$J$2619,AG$1)</f>
        <v>0</v>
      </c>
      <c r="AH109" s="183">
        <f>SUMIFS('октябрь 2025'!$G$2:$G$2619,'октябрь 2025'!$D$2:$D$2619,$B109,'октябрь 2025'!$J$2:$J$2619,AH$1)</f>
        <v>0</v>
      </c>
      <c r="AI109" s="20">
        <f t="shared" si="1"/>
        <v>0</v>
      </c>
    </row>
    <row r="110" spans="2:35" ht="15" customHeight="1" x14ac:dyDescent="0.25">
      <c r="B110" s="88" t="s">
        <v>193</v>
      </c>
      <c r="C110" s="86">
        <v>180</v>
      </c>
      <c r="D110" s="183">
        <f>SUMIFS('октябрь 2025'!$G$2:$G$2619,'октябрь 2025'!$D$2:$D$2619,$B110,'октябрь 2025'!$J$2:$J$2619,D$1)</f>
        <v>0</v>
      </c>
      <c r="E110" s="183">
        <f>SUMIFS('октябрь 2025'!$G$2:$G$2619,'октябрь 2025'!$D$2:$D$2619,$B110,'октябрь 2025'!$J$2:$J$2619,E$1)</f>
        <v>0</v>
      </c>
      <c r="F110" s="183">
        <f>SUMIFS('октябрь 2025'!$G$2:$G$2619,'октябрь 2025'!$D$2:$D$2619,$B110,'октябрь 2025'!$J$2:$J$2619,F$1)</f>
        <v>0</v>
      </c>
      <c r="G110" s="183">
        <f>SUMIFS('октябрь 2025'!$G$2:$G$2619,'октябрь 2025'!$D$2:$D$2619,$B110,'октябрь 2025'!$J$2:$J$2619,G$1)</f>
        <v>0</v>
      </c>
      <c r="H110" s="183">
        <f>SUMIFS('октябрь 2025'!$G$2:$G$2619,'октябрь 2025'!$D$2:$D$2619,$B110,'октябрь 2025'!$J$2:$J$2619,H$1)</f>
        <v>0</v>
      </c>
      <c r="I110" s="183">
        <f>SUMIFS('октябрь 2025'!$G$2:$G$2619,'октябрь 2025'!$D$2:$D$2619,$B110,'октябрь 2025'!$J$2:$J$2619,I$1)</f>
        <v>0</v>
      </c>
      <c r="J110" s="183">
        <f>SUMIFS('октябрь 2025'!$G$2:$G$2619,'октябрь 2025'!$D$2:$D$2619,$B110,'октябрь 2025'!$J$2:$J$2619,J$1)</f>
        <v>0</v>
      </c>
      <c r="K110" s="183">
        <f>SUMIFS('октябрь 2025'!$G$2:$G$2619,'октябрь 2025'!$D$2:$D$2619,$B110,'октябрь 2025'!$J$2:$J$2619,K$1)</f>
        <v>0</v>
      </c>
      <c r="L110" s="183">
        <f>SUMIFS('октябрь 2025'!$G$2:$G$2619,'октябрь 2025'!$D$2:$D$2619,$B110,'октябрь 2025'!$J$2:$J$2619,L$1)</f>
        <v>0</v>
      </c>
      <c r="M110" s="183">
        <f>SUMIFS('октябрь 2025'!$G$2:$G$2619,'октябрь 2025'!$D$2:$D$2619,$B110,'октябрь 2025'!$J$2:$J$2619,M$1)</f>
        <v>0</v>
      </c>
      <c r="N110" s="183">
        <f>SUMIFS('октябрь 2025'!$G$2:$G$2619,'октябрь 2025'!$D$2:$D$2619,$B110,'октябрь 2025'!$J$2:$J$2619,N$1)</f>
        <v>0</v>
      </c>
      <c r="O110" s="183">
        <f>SUMIFS('октябрь 2025'!$G$2:$G$2619,'октябрь 2025'!$D$2:$D$2619,$B110,'октябрь 2025'!$J$2:$J$2619,O$1)</f>
        <v>0</v>
      </c>
      <c r="P110" s="183">
        <f>SUMIFS('октябрь 2025'!$G$2:$G$2619,'октябрь 2025'!$D$2:$D$2619,$B110,'октябрь 2025'!$J$2:$J$2619,P$1)</f>
        <v>0</v>
      </c>
      <c r="Q110" s="183">
        <f>SUMIFS('октябрь 2025'!$G$2:$G$2619,'октябрь 2025'!$D$2:$D$2619,$B110,'октябрь 2025'!$J$2:$J$2619,Q$1)</f>
        <v>0</v>
      </c>
      <c r="R110" s="183">
        <f>SUMIFS('октябрь 2025'!$G$2:$G$2619,'октябрь 2025'!$D$2:$D$2619,$B110,'октябрь 2025'!$J$2:$J$2619,R$1)</f>
        <v>0</v>
      </c>
      <c r="S110" s="183">
        <f>SUMIFS('октябрь 2025'!$G$2:$G$2619,'октябрь 2025'!$D$2:$D$2619,$B110,'октябрь 2025'!$J$2:$J$2619,S$1)</f>
        <v>0</v>
      </c>
      <c r="T110" s="183">
        <f>SUMIFS('октябрь 2025'!$G$2:$G$2619,'октябрь 2025'!$D$2:$D$2619,$B110,'октябрь 2025'!$J$2:$J$2619,T$1)</f>
        <v>0</v>
      </c>
      <c r="U110" s="183">
        <f>SUMIFS('октябрь 2025'!$G$2:$G$2619,'октябрь 2025'!$D$2:$D$2619,$B110,'октябрь 2025'!$J$2:$J$2619,U$1)</f>
        <v>0</v>
      </c>
      <c r="V110" s="183">
        <f>SUMIFS('октябрь 2025'!$G$2:$G$2619,'октябрь 2025'!$D$2:$D$2619,$B110,'октябрь 2025'!$J$2:$J$2619,V$1)</f>
        <v>0</v>
      </c>
      <c r="W110" s="183">
        <f>SUMIFS('октябрь 2025'!$G$2:$G$2619,'октябрь 2025'!$D$2:$D$2619,$B110,'октябрь 2025'!$J$2:$J$2619,W$1)</f>
        <v>0</v>
      </c>
      <c r="X110" s="183">
        <f>SUMIFS('октябрь 2025'!$G$2:$G$2619,'октябрь 2025'!$D$2:$D$2619,$B110,'октябрь 2025'!$J$2:$J$2619,X$1)</f>
        <v>0</v>
      </c>
      <c r="Y110" s="183">
        <f>SUMIFS('октябрь 2025'!$G$2:$G$2619,'октябрь 2025'!$D$2:$D$2619,$B110,'октябрь 2025'!$J$2:$J$2619,Y$1)</f>
        <v>0</v>
      </c>
      <c r="Z110" s="183">
        <f>SUMIFS('октябрь 2025'!$G$2:$G$2619,'октябрь 2025'!$D$2:$D$2619,$B110,'октябрь 2025'!$J$2:$J$2619,Z$1)</f>
        <v>0</v>
      </c>
      <c r="AA110" s="183">
        <f>SUMIFS('октябрь 2025'!$G$2:$G$2619,'октябрь 2025'!$D$2:$D$2619,$B110,'октябрь 2025'!$J$2:$J$2619,AA$1)</f>
        <v>0</v>
      </c>
      <c r="AB110" s="183">
        <f>SUMIFS('октябрь 2025'!$G$2:$G$2619,'октябрь 2025'!$D$2:$D$2619,$B110,'октябрь 2025'!$J$2:$J$2619,AB$1)</f>
        <v>0</v>
      </c>
      <c r="AC110" s="183">
        <f>SUMIFS('октябрь 2025'!$G$2:$G$2619,'октябрь 2025'!$D$2:$D$2619,$B110,'октябрь 2025'!$J$2:$J$2619,AC$1)</f>
        <v>0</v>
      </c>
      <c r="AD110" s="183">
        <f>SUMIFS('октябрь 2025'!$G$2:$G$2619,'октябрь 2025'!$D$2:$D$2619,$B110,'октябрь 2025'!$J$2:$J$2619,AD$1)</f>
        <v>0</v>
      </c>
      <c r="AE110" s="183">
        <f>SUMIFS('октябрь 2025'!$G$2:$G$2619,'октябрь 2025'!$D$2:$D$2619,$B110,'октябрь 2025'!$J$2:$J$2619,AE$1)</f>
        <v>0</v>
      </c>
      <c r="AF110" s="183">
        <f>SUMIFS('октябрь 2025'!$G$2:$G$2619,'октябрь 2025'!$D$2:$D$2619,$B110,'октябрь 2025'!$J$2:$J$2619,AF$1)</f>
        <v>0</v>
      </c>
      <c r="AG110" s="183">
        <f>SUMIFS('октябрь 2025'!$G$2:$G$2619,'октябрь 2025'!$D$2:$D$2619,$B110,'октябрь 2025'!$J$2:$J$2619,AG$1)</f>
        <v>0</v>
      </c>
      <c r="AH110" s="183">
        <f>SUMIFS('октябрь 2025'!$G$2:$G$2619,'октябрь 2025'!$D$2:$D$2619,$B110,'октябрь 2025'!$J$2:$J$2619,AH$1)</f>
        <v>0</v>
      </c>
      <c r="AI110" s="20">
        <f t="shared" si="1"/>
        <v>0</v>
      </c>
    </row>
    <row r="111" spans="2:35" ht="15" customHeight="1" x14ac:dyDescent="0.25">
      <c r="B111" s="84" t="s">
        <v>194</v>
      </c>
      <c r="C111" s="83">
        <v>200</v>
      </c>
      <c r="D111" s="183">
        <f>SUMIFS('октябрь 2025'!$G$2:$G$2619,'октябрь 2025'!$D$2:$D$2619,$B111,'октябрь 2025'!$J$2:$J$2619,D$1)</f>
        <v>0</v>
      </c>
      <c r="E111" s="183">
        <f>SUMIFS('октябрь 2025'!$G$2:$G$2619,'октябрь 2025'!$D$2:$D$2619,$B111,'октябрь 2025'!$J$2:$J$2619,E$1)</f>
        <v>0</v>
      </c>
      <c r="F111" s="183">
        <f>SUMIFS('октябрь 2025'!$G$2:$G$2619,'октябрь 2025'!$D$2:$D$2619,$B111,'октябрь 2025'!$J$2:$J$2619,F$1)</f>
        <v>8</v>
      </c>
      <c r="G111" s="183">
        <f>SUMIFS('октябрь 2025'!$G$2:$G$2619,'октябрь 2025'!$D$2:$D$2619,$B111,'октябрь 2025'!$J$2:$J$2619,G$1)</f>
        <v>0</v>
      </c>
      <c r="H111" s="183">
        <f>SUMIFS('октябрь 2025'!$G$2:$G$2619,'октябрь 2025'!$D$2:$D$2619,$B111,'октябрь 2025'!$J$2:$J$2619,H$1)</f>
        <v>0</v>
      </c>
      <c r="I111" s="183">
        <f>SUMIFS('октябрь 2025'!$G$2:$G$2619,'октябрь 2025'!$D$2:$D$2619,$B111,'октябрь 2025'!$J$2:$J$2619,I$1)</f>
        <v>0</v>
      </c>
      <c r="J111" s="183">
        <f>SUMIFS('октябрь 2025'!$G$2:$G$2619,'октябрь 2025'!$D$2:$D$2619,$B111,'октябрь 2025'!$J$2:$J$2619,J$1)</f>
        <v>0</v>
      </c>
      <c r="K111" s="183">
        <f>SUMIFS('октябрь 2025'!$G$2:$G$2619,'октябрь 2025'!$D$2:$D$2619,$B111,'октябрь 2025'!$J$2:$J$2619,K$1)</f>
        <v>0</v>
      </c>
      <c r="L111" s="183">
        <f>SUMIFS('октябрь 2025'!$G$2:$G$2619,'октябрь 2025'!$D$2:$D$2619,$B111,'октябрь 2025'!$J$2:$J$2619,L$1)</f>
        <v>0</v>
      </c>
      <c r="M111" s="183">
        <f>SUMIFS('октябрь 2025'!$G$2:$G$2619,'октябрь 2025'!$D$2:$D$2619,$B111,'октябрь 2025'!$J$2:$J$2619,M$1)</f>
        <v>28</v>
      </c>
      <c r="N111" s="183">
        <f>SUMIFS('октябрь 2025'!$G$2:$G$2619,'октябрь 2025'!$D$2:$D$2619,$B111,'октябрь 2025'!$J$2:$J$2619,N$1)</f>
        <v>0</v>
      </c>
      <c r="O111" s="183">
        <f>SUMIFS('октябрь 2025'!$G$2:$G$2619,'октябрь 2025'!$D$2:$D$2619,$B111,'октябрь 2025'!$J$2:$J$2619,O$1)</f>
        <v>0</v>
      </c>
      <c r="P111" s="183">
        <f>SUMIFS('октябрь 2025'!$G$2:$G$2619,'октябрь 2025'!$D$2:$D$2619,$B111,'октябрь 2025'!$J$2:$J$2619,P$1)</f>
        <v>0</v>
      </c>
      <c r="Q111" s="183">
        <f>SUMIFS('октябрь 2025'!$G$2:$G$2619,'октябрь 2025'!$D$2:$D$2619,$B111,'октябрь 2025'!$J$2:$J$2619,Q$1)</f>
        <v>0</v>
      </c>
      <c r="R111" s="183">
        <f>SUMIFS('октябрь 2025'!$G$2:$G$2619,'октябрь 2025'!$D$2:$D$2619,$B111,'октябрь 2025'!$J$2:$J$2619,R$1)</f>
        <v>0</v>
      </c>
      <c r="S111" s="183">
        <f>SUMIFS('октябрь 2025'!$G$2:$G$2619,'октябрь 2025'!$D$2:$D$2619,$B111,'октябрь 2025'!$J$2:$J$2619,S$1)</f>
        <v>0</v>
      </c>
      <c r="T111" s="183">
        <f>SUMIFS('октябрь 2025'!$G$2:$G$2619,'октябрь 2025'!$D$2:$D$2619,$B111,'октябрь 2025'!$J$2:$J$2619,T$1)</f>
        <v>0</v>
      </c>
      <c r="U111" s="183">
        <f>SUMIFS('октябрь 2025'!$G$2:$G$2619,'октябрь 2025'!$D$2:$D$2619,$B111,'октябрь 2025'!$J$2:$J$2619,U$1)</f>
        <v>0</v>
      </c>
      <c r="V111" s="183">
        <f>SUMIFS('октябрь 2025'!$G$2:$G$2619,'октябрь 2025'!$D$2:$D$2619,$B111,'октябрь 2025'!$J$2:$J$2619,V$1)</f>
        <v>0</v>
      </c>
      <c r="W111" s="183">
        <f>SUMIFS('октябрь 2025'!$G$2:$G$2619,'октябрь 2025'!$D$2:$D$2619,$B111,'октябрь 2025'!$J$2:$J$2619,W$1)</f>
        <v>88</v>
      </c>
      <c r="X111" s="183">
        <f>SUMIFS('октябрь 2025'!$G$2:$G$2619,'октябрь 2025'!$D$2:$D$2619,$B111,'октябрь 2025'!$J$2:$J$2619,X$1)</f>
        <v>40</v>
      </c>
      <c r="Y111" s="183">
        <f>SUMIFS('октябрь 2025'!$G$2:$G$2619,'октябрь 2025'!$D$2:$D$2619,$B111,'октябрь 2025'!$J$2:$J$2619,Y$1)</f>
        <v>0</v>
      </c>
      <c r="Z111" s="183">
        <f>SUMIFS('октябрь 2025'!$G$2:$G$2619,'октябрь 2025'!$D$2:$D$2619,$B111,'октябрь 2025'!$J$2:$J$2619,Z$1)</f>
        <v>0</v>
      </c>
      <c r="AA111" s="183">
        <f>SUMIFS('октябрь 2025'!$G$2:$G$2619,'октябрь 2025'!$D$2:$D$2619,$B111,'октябрь 2025'!$J$2:$J$2619,AA$1)</f>
        <v>0</v>
      </c>
      <c r="AB111" s="183">
        <f>SUMIFS('октябрь 2025'!$G$2:$G$2619,'октябрь 2025'!$D$2:$D$2619,$B111,'октябрь 2025'!$J$2:$J$2619,AB$1)</f>
        <v>0</v>
      </c>
      <c r="AC111" s="183">
        <f>SUMIFS('октябрь 2025'!$G$2:$G$2619,'октябрь 2025'!$D$2:$D$2619,$B111,'октябрь 2025'!$J$2:$J$2619,AC$1)</f>
        <v>0</v>
      </c>
      <c r="AD111" s="183">
        <f>SUMIFS('октябрь 2025'!$G$2:$G$2619,'октябрь 2025'!$D$2:$D$2619,$B111,'октябрь 2025'!$J$2:$J$2619,AD$1)</f>
        <v>0</v>
      </c>
      <c r="AE111" s="183">
        <f>SUMIFS('октябрь 2025'!$G$2:$G$2619,'октябрь 2025'!$D$2:$D$2619,$B111,'октябрь 2025'!$J$2:$J$2619,AE$1)</f>
        <v>0</v>
      </c>
      <c r="AF111" s="183">
        <f>SUMIFS('октябрь 2025'!$G$2:$G$2619,'октябрь 2025'!$D$2:$D$2619,$B111,'октябрь 2025'!$J$2:$J$2619,AF$1)</f>
        <v>0</v>
      </c>
      <c r="AG111" s="183">
        <f>SUMIFS('октябрь 2025'!$G$2:$G$2619,'октябрь 2025'!$D$2:$D$2619,$B111,'октябрь 2025'!$J$2:$J$2619,AG$1)</f>
        <v>0</v>
      </c>
      <c r="AH111" s="183">
        <f>SUMIFS('октябрь 2025'!$G$2:$G$2619,'октябрь 2025'!$D$2:$D$2619,$B111,'октябрь 2025'!$J$2:$J$2619,AH$1)</f>
        <v>0</v>
      </c>
      <c r="AI111" s="20">
        <f t="shared" si="1"/>
        <v>164</v>
      </c>
    </row>
    <row r="112" spans="2:35" ht="15" customHeight="1" x14ac:dyDescent="0.25">
      <c r="B112" s="87" t="s">
        <v>169</v>
      </c>
      <c r="C112" s="86">
        <v>180</v>
      </c>
      <c r="D112" s="183">
        <f>SUMIFS('октябрь 2025'!$G$2:$G$2619,'октябрь 2025'!$D$2:$D$2619,$B112,'октябрь 2025'!$J$2:$J$2619,D$1)</f>
        <v>0</v>
      </c>
      <c r="E112" s="183">
        <f>SUMIFS('октябрь 2025'!$G$2:$G$2619,'октябрь 2025'!$D$2:$D$2619,$B112,'октябрь 2025'!$J$2:$J$2619,E$1)</f>
        <v>0</v>
      </c>
      <c r="F112" s="183">
        <f>SUMIFS('октябрь 2025'!$G$2:$G$2619,'октябрь 2025'!$D$2:$D$2619,$B112,'октябрь 2025'!$J$2:$J$2619,F$1)</f>
        <v>0</v>
      </c>
      <c r="G112" s="183">
        <f>SUMIFS('октябрь 2025'!$G$2:$G$2619,'октябрь 2025'!$D$2:$D$2619,$B112,'октябрь 2025'!$J$2:$J$2619,G$1)</f>
        <v>0</v>
      </c>
      <c r="H112" s="183">
        <f>SUMIFS('октябрь 2025'!$G$2:$G$2619,'октябрь 2025'!$D$2:$D$2619,$B112,'октябрь 2025'!$J$2:$J$2619,H$1)</f>
        <v>0</v>
      </c>
      <c r="I112" s="183">
        <f>SUMIFS('октябрь 2025'!$G$2:$G$2619,'октябрь 2025'!$D$2:$D$2619,$B112,'октябрь 2025'!$J$2:$J$2619,I$1)</f>
        <v>0</v>
      </c>
      <c r="J112" s="183">
        <f>SUMIFS('октябрь 2025'!$G$2:$G$2619,'октябрь 2025'!$D$2:$D$2619,$B112,'октябрь 2025'!$J$2:$J$2619,J$1)</f>
        <v>0</v>
      </c>
      <c r="K112" s="183">
        <f>SUMIFS('октябрь 2025'!$G$2:$G$2619,'октябрь 2025'!$D$2:$D$2619,$B112,'октябрь 2025'!$J$2:$J$2619,K$1)</f>
        <v>0</v>
      </c>
      <c r="L112" s="183">
        <f>SUMIFS('октябрь 2025'!$G$2:$G$2619,'октябрь 2025'!$D$2:$D$2619,$B112,'октябрь 2025'!$J$2:$J$2619,L$1)</f>
        <v>0</v>
      </c>
      <c r="M112" s="183">
        <f>SUMIFS('октябрь 2025'!$G$2:$G$2619,'октябрь 2025'!$D$2:$D$2619,$B112,'октябрь 2025'!$J$2:$J$2619,M$1)</f>
        <v>0</v>
      </c>
      <c r="N112" s="183">
        <f>SUMIFS('октябрь 2025'!$G$2:$G$2619,'октябрь 2025'!$D$2:$D$2619,$B112,'октябрь 2025'!$J$2:$J$2619,N$1)</f>
        <v>0</v>
      </c>
      <c r="O112" s="183">
        <f>SUMIFS('октябрь 2025'!$G$2:$G$2619,'октябрь 2025'!$D$2:$D$2619,$B112,'октябрь 2025'!$J$2:$J$2619,O$1)</f>
        <v>0</v>
      </c>
      <c r="P112" s="183">
        <f>SUMIFS('октябрь 2025'!$G$2:$G$2619,'октябрь 2025'!$D$2:$D$2619,$B112,'октябрь 2025'!$J$2:$J$2619,P$1)</f>
        <v>0</v>
      </c>
      <c r="Q112" s="183">
        <f>SUMIFS('октябрь 2025'!$G$2:$G$2619,'октябрь 2025'!$D$2:$D$2619,$B112,'октябрь 2025'!$J$2:$J$2619,Q$1)</f>
        <v>0</v>
      </c>
      <c r="R112" s="183">
        <f>SUMIFS('октябрь 2025'!$G$2:$G$2619,'октябрь 2025'!$D$2:$D$2619,$B112,'октябрь 2025'!$J$2:$J$2619,R$1)</f>
        <v>0</v>
      </c>
      <c r="S112" s="183">
        <f>SUMIFS('октябрь 2025'!$G$2:$G$2619,'октябрь 2025'!$D$2:$D$2619,$B112,'октябрь 2025'!$J$2:$J$2619,S$1)</f>
        <v>0</v>
      </c>
      <c r="T112" s="183">
        <f>SUMIFS('октябрь 2025'!$G$2:$G$2619,'октябрь 2025'!$D$2:$D$2619,$B112,'октябрь 2025'!$J$2:$J$2619,T$1)</f>
        <v>0</v>
      </c>
      <c r="U112" s="183">
        <f>SUMIFS('октябрь 2025'!$G$2:$G$2619,'октябрь 2025'!$D$2:$D$2619,$B112,'октябрь 2025'!$J$2:$J$2619,U$1)</f>
        <v>0</v>
      </c>
      <c r="V112" s="183">
        <f>SUMIFS('октябрь 2025'!$G$2:$G$2619,'октябрь 2025'!$D$2:$D$2619,$B112,'октябрь 2025'!$J$2:$J$2619,V$1)</f>
        <v>0</v>
      </c>
      <c r="W112" s="183">
        <f>SUMIFS('октябрь 2025'!$G$2:$G$2619,'октябрь 2025'!$D$2:$D$2619,$B112,'октябрь 2025'!$J$2:$J$2619,W$1)</f>
        <v>0</v>
      </c>
      <c r="X112" s="183">
        <f>SUMIFS('октябрь 2025'!$G$2:$G$2619,'октябрь 2025'!$D$2:$D$2619,$B112,'октябрь 2025'!$J$2:$J$2619,X$1)</f>
        <v>0</v>
      </c>
      <c r="Y112" s="183">
        <f>SUMIFS('октябрь 2025'!$G$2:$G$2619,'октябрь 2025'!$D$2:$D$2619,$B112,'октябрь 2025'!$J$2:$J$2619,Y$1)</f>
        <v>0</v>
      </c>
      <c r="Z112" s="183">
        <f>SUMIFS('октябрь 2025'!$G$2:$G$2619,'октябрь 2025'!$D$2:$D$2619,$B112,'октябрь 2025'!$J$2:$J$2619,Z$1)</f>
        <v>0</v>
      </c>
      <c r="AA112" s="183">
        <f>SUMIFS('октябрь 2025'!$G$2:$G$2619,'октябрь 2025'!$D$2:$D$2619,$B112,'октябрь 2025'!$J$2:$J$2619,AA$1)</f>
        <v>0</v>
      </c>
      <c r="AB112" s="183">
        <f>SUMIFS('октябрь 2025'!$G$2:$G$2619,'октябрь 2025'!$D$2:$D$2619,$B112,'октябрь 2025'!$J$2:$J$2619,AB$1)</f>
        <v>0</v>
      </c>
      <c r="AC112" s="183">
        <f>SUMIFS('октябрь 2025'!$G$2:$G$2619,'октябрь 2025'!$D$2:$D$2619,$B112,'октябрь 2025'!$J$2:$J$2619,AC$1)</f>
        <v>0</v>
      </c>
      <c r="AD112" s="183">
        <f>SUMIFS('октябрь 2025'!$G$2:$G$2619,'октябрь 2025'!$D$2:$D$2619,$B112,'октябрь 2025'!$J$2:$J$2619,AD$1)</f>
        <v>0</v>
      </c>
      <c r="AE112" s="183">
        <f>SUMIFS('октябрь 2025'!$G$2:$G$2619,'октябрь 2025'!$D$2:$D$2619,$B112,'октябрь 2025'!$J$2:$J$2619,AE$1)</f>
        <v>0</v>
      </c>
      <c r="AF112" s="183">
        <f>SUMIFS('октябрь 2025'!$G$2:$G$2619,'октябрь 2025'!$D$2:$D$2619,$B112,'октябрь 2025'!$J$2:$J$2619,AF$1)</f>
        <v>0</v>
      </c>
      <c r="AG112" s="183">
        <f>SUMIFS('октябрь 2025'!$G$2:$G$2619,'октябрь 2025'!$D$2:$D$2619,$B112,'октябрь 2025'!$J$2:$J$2619,AG$1)</f>
        <v>0</v>
      </c>
      <c r="AH112" s="183">
        <f>SUMIFS('октябрь 2025'!$G$2:$G$2619,'октябрь 2025'!$D$2:$D$2619,$B112,'октябрь 2025'!$J$2:$J$2619,AH$1)</f>
        <v>0</v>
      </c>
      <c r="AI112" s="20">
        <f t="shared" si="1"/>
        <v>0</v>
      </c>
    </row>
    <row r="113" spans="2:35" ht="15" customHeight="1" x14ac:dyDescent="0.25">
      <c r="B113" s="84" t="s">
        <v>170</v>
      </c>
      <c r="C113" s="86">
        <v>200</v>
      </c>
      <c r="D113" s="183">
        <f>SUMIFS('октябрь 2025'!$G$2:$G$2619,'октябрь 2025'!$D$2:$D$2619,$B113,'октябрь 2025'!$J$2:$J$2619,D$1)</f>
        <v>0</v>
      </c>
      <c r="E113" s="183">
        <f>SUMIFS('октябрь 2025'!$G$2:$G$2619,'октябрь 2025'!$D$2:$D$2619,$B113,'октябрь 2025'!$J$2:$J$2619,E$1)</f>
        <v>0</v>
      </c>
      <c r="F113" s="183">
        <f>SUMIFS('октябрь 2025'!$G$2:$G$2619,'октябрь 2025'!$D$2:$D$2619,$B113,'октябрь 2025'!$J$2:$J$2619,F$1)</f>
        <v>0</v>
      </c>
      <c r="G113" s="183">
        <f>SUMIFS('октябрь 2025'!$G$2:$G$2619,'октябрь 2025'!$D$2:$D$2619,$B113,'октябрь 2025'!$J$2:$J$2619,G$1)</f>
        <v>0</v>
      </c>
      <c r="H113" s="183">
        <f>SUMIFS('октябрь 2025'!$G$2:$G$2619,'октябрь 2025'!$D$2:$D$2619,$B113,'октябрь 2025'!$J$2:$J$2619,H$1)</f>
        <v>0</v>
      </c>
      <c r="I113" s="183">
        <f>SUMIFS('октябрь 2025'!$G$2:$G$2619,'октябрь 2025'!$D$2:$D$2619,$B113,'октябрь 2025'!$J$2:$J$2619,I$1)</f>
        <v>0</v>
      </c>
      <c r="J113" s="183">
        <f>SUMIFS('октябрь 2025'!$G$2:$G$2619,'октябрь 2025'!$D$2:$D$2619,$B113,'октябрь 2025'!$J$2:$J$2619,J$1)</f>
        <v>0</v>
      </c>
      <c r="K113" s="183">
        <f>SUMIFS('октябрь 2025'!$G$2:$G$2619,'октябрь 2025'!$D$2:$D$2619,$B113,'октябрь 2025'!$J$2:$J$2619,K$1)</f>
        <v>0</v>
      </c>
      <c r="L113" s="183">
        <f>SUMIFS('октябрь 2025'!$G$2:$G$2619,'октябрь 2025'!$D$2:$D$2619,$B113,'октябрь 2025'!$J$2:$J$2619,L$1)</f>
        <v>0</v>
      </c>
      <c r="M113" s="183">
        <f>SUMIFS('октябрь 2025'!$G$2:$G$2619,'октябрь 2025'!$D$2:$D$2619,$B113,'октябрь 2025'!$J$2:$J$2619,M$1)</f>
        <v>0</v>
      </c>
      <c r="N113" s="183">
        <f>SUMIFS('октябрь 2025'!$G$2:$G$2619,'октябрь 2025'!$D$2:$D$2619,$B113,'октябрь 2025'!$J$2:$J$2619,N$1)</f>
        <v>0</v>
      </c>
      <c r="O113" s="183">
        <f>SUMIFS('октябрь 2025'!$G$2:$G$2619,'октябрь 2025'!$D$2:$D$2619,$B113,'октябрь 2025'!$J$2:$J$2619,O$1)</f>
        <v>0</v>
      </c>
      <c r="P113" s="183">
        <f>SUMIFS('октябрь 2025'!$G$2:$G$2619,'октябрь 2025'!$D$2:$D$2619,$B113,'октябрь 2025'!$J$2:$J$2619,P$1)</f>
        <v>0</v>
      </c>
      <c r="Q113" s="183">
        <f>SUMIFS('октябрь 2025'!$G$2:$G$2619,'октябрь 2025'!$D$2:$D$2619,$B113,'октябрь 2025'!$J$2:$J$2619,Q$1)</f>
        <v>0</v>
      </c>
      <c r="R113" s="183">
        <f>SUMIFS('октябрь 2025'!$G$2:$G$2619,'октябрь 2025'!$D$2:$D$2619,$B113,'октябрь 2025'!$J$2:$J$2619,R$1)</f>
        <v>0</v>
      </c>
      <c r="S113" s="183">
        <f>SUMIFS('октябрь 2025'!$G$2:$G$2619,'октябрь 2025'!$D$2:$D$2619,$B113,'октябрь 2025'!$J$2:$J$2619,S$1)</f>
        <v>0</v>
      </c>
      <c r="T113" s="183">
        <f>SUMIFS('октябрь 2025'!$G$2:$G$2619,'октябрь 2025'!$D$2:$D$2619,$B113,'октябрь 2025'!$J$2:$J$2619,T$1)</f>
        <v>0</v>
      </c>
      <c r="U113" s="183">
        <f>SUMIFS('октябрь 2025'!$G$2:$G$2619,'октябрь 2025'!$D$2:$D$2619,$B113,'октябрь 2025'!$J$2:$J$2619,U$1)</f>
        <v>0</v>
      </c>
      <c r="V113" s="183">
        <f>SUMIFS('октябрь 2025'!$G$2:$G$2619,'октябрь 2025'!$D$2:$D$2619,$B113,'октябрь 2025'!$J$2:$J$2619,V$1)</f>
        <v>0</v>
      </c>
      <c r="W113" s="183">
        <f>SUMIFS('октябрь 2025'!$G$2:$G$2619,'октябрь 2025'!$D$2:$D$2619,$B113,'октябрь 2025'!$J$2:$J$2619,W$1)</f>
        <v>0</v>
      </c>
      <c r="X113" s="183">
        <f>SUMIFS('октябрь 2025'!$G$2:$G$2619,'октябрь 2025'!$D$2:$D$2619,$B113,'октябрь 2025'!$J$2:$J$2619,X$1)</f>
        <v>0</v>
      </c>
      <c r="Y113" s="183">
        <f>SUMIFS('октябрь 2025'!$G$2:$G$2619,'октябрь 2025'!$D$2:$D$2619,$B113,'октябрь 2025'!$J$2:$J$2619,Y$1)</f>
        <v>0</v>
      </c>
      <c r="Z113" s="183">
        <f>SUMIFS('октябрь 2025'!$G$2:$G$2619,'октябрь 2025'!$D$2:$D$2619,$B113,'октябрь 2025'!$J$2:$J$2619,Z$1)</f>
        <v>0</v>
      </c>
      <c r="AA113" s="183">
        <f>SUMIFS('октябрь 2025'!$G$2:$G$2619,'октябрь 2025'!$D$2:$D$2619,$B113,'октябрь 2025'!$J$2:$J$2619,AA$1)</f>
        <v>0</v>
      </c>
      <c r="AB113" s="183">
        <f>SUMIFS('октябрь 2025'!$G$2:$G$2619,'октябрь 2025'!$D$2:$D$2619,$B113,'октябрь 2025'!$J$2:$J$2619,AB$1)</f>
        <v>0</v>
      </c>
      <c r="AC113" s="183">
        <f>SUMIFS('октябрь 2025'!$G$2:$G$2619,'октябрь 2025'!$D$2:$D$2619,$B113,'октябрь 2025'!$J$2:$J$2619,AC$1)</f>
        <v>0</v>
      </c>
      <c r="AD113" s="183">
        <f>SUMIFS('октябрь 2025'!$G$2:$G$2619,'октябрь 2025'!$D$2:$D$2619,$B113,'октябрь 2025'!$J$2:$J$2619,AD$1)</f>
        <v>0</v>
      </c>
      <c r="AE113" s="183">
        <f>SUMIFS('октябрь 2025'!$G$2:$G$2619,'октябрь 2025'!$D$2:$D$2619,$B113,'октябрь 2025'!$J$2:$J$2619,AE$1)</f>
        <v>0</v>
      </c>
      <c r="AF113" s="183">
        <f>SUMIFS('октябрь 2025'!$G$2:$G$2619,'октябрь 2025'!$D$2:$D$2619,$B113,'октябрь 2025'!$J$2:$J$2619,AF$1)</f>
        <v>0</v>
      </c>
      <c r="AG113" s="183">
        <f>SUMIFS('октябрь 2025'!$G$2:$G$2619,'октябрь 2025'!$D$2:$D$2619,$B113,'октябрь 2025'!$J$2:$J$2619,AG$1)</f>
        <v>0</v>
      </c>
      <c r="AH113" s="183">
        <f>SUMIFS('октябрь 2025'!$G$2:$G$2619,'октябрь 2025'!$D$2:$D$2619,$B113,'октябрь 2025'!$J$2:$J$2619,AH$1)</f>
        <v>0</v>
      </c>
      <c r="AI113" s="20">
        <f t="shared" si="1"/>
        <v>0</v>
      </c>
    </row>
    <row r="114" spans="2:35" ht="15" customHeight="1" x14ac:dyDescent="0.25">
      <c r="B114" s="84" t="s">
        <v>195</v>
      </c>
      <c r="C114" s="83">
        <v>185</v>
      </c>
      <c r="D114" s="183">
        <f>SUMIFS('октябрь 2025'!$G$2:$G$2619,'октябрь 2025'!$D$2:$D$2619,$B114,'октябрь 2025'!$J$2:$J$2619,D$1)</f>
        <v>0</v>
      </c>
      <c r="E114" s="183">
        <f>SUMIFS('октябрь 2025'!$G$2:$G$2619,'октябрь 2025'!$D$2:$D$2619,$B114,'октябрь 2025'!$J$2:$J$2619,E$1)</f>
        <v>0</v>
      </c>
      <c r="F114" s="183">
        <f>SUMIFS('октябрь 2025'!$G$2:$G$2619,'октябрь 2025'!$D$2:$D$2619,$B114,'октябрь 2025'!$J$2:$J$2619,F$1)</f>
        <v>0</v>
      </c>
      <c r="G114" s="183">
        <f>SUMIFS('октябрь 2025'!$G$2:$G$2619,'октябрь 2025'!$D$2:$D$2619,$B114,'октябрь 2025'!$J$2:$J$2619,G$1)</f>
        <v>0</v>
      </c>
      <c r="H114" s="183">
        <f>SUMIFS('октябрь 2025'!$G$2:$G$2619,'октябрь 2025'!$D$2:$D$2619,$B114,'октябрь 2025'!$J$2:$J$2619,H$1)</f>
        <v>0</v>
      </c>
      <c r="I114" s="183">
        <f>SUMIFS('октябрь 2025'!$G$2:$G$2619,'октябрь 2025'!$D$2:$D$2619,$B114,'октябрь 2025'!$J$2:$J$2619,I$1)</f>
        <v>0</v>
      </c>
      <c r="J114" s="183">
        <f>SUMIFS('октябрь 2025'!$G$2:$G$2619,'октябрь 2025'!$D$2:$D$2619,$B114,'октябрь 2025'!$J$2:$J$2619,J$1)</f>
        <v>0</v>
      </c>
      <c r="K114" s="183">
        <f>SUMIFS('октябрь 2025'!$G$2:$G$2619,'октябрь 2025'!$D$2:$D$2619,$B114,'октябрь 2025'!$J$2:$J$2619,K$1)</f>
        <v>0</v>
      </c>
      <c r="L114" s="183">
        <f>SUMIFS('октябрь 2025'!$G$2:$G$2619,'октябрь 2025'!$D$2:$D$2619,$B114,'октябрь 2025'!$J$2:$J$2619,L$1)</f>
        <v>0</v>
      </c>
      <c r="M114" s="183">
        <f>SUMIFS('октябрь 2025'!$G$2:$G$2619,'октябрь 2025'!$D$2:$D$2619,$B114,'октябрь 2025'!$J$2:$J$2619,M$1)</f>
        <v>0</v>
      </c>
      <c r="N114" s="183">
        <f>SUMIFS('октябрь 2025'!$G$2:$G$2619,'октябрь 2025'!$D$2:$D$2619,$B114,'октябрь 2025'!$J$2:$J$2619,N$1)</f>
        <v>0</v>
      </c>
      <c r="O114" s="183">
        <f>SUMIFS('октябрь 2025'!$G$2:$G$2619,'октябрь 2025'!$D$2:$D$2619,$B114,'октябрь 2025'!$J$2:$J$2619,O$1)</f>
        <v>0</v>
      </c>
      <c r="P114" s="183">
        <f>SUMIFS('октябрь 2025'!$G$2:$G$2619,'октябрь 2025'!$D$2:$D$2619,$B114,'октябрь 2025'!$J$2:$J$2619,P$1)</f>
        <v>0</v>
      </c>
      <c r="Q114" s="183">
        <f>SUMIFS('октябрь 2025'!$G$2:$G$2619,'октябрь 2025'!$D$2:$D$2619,$B114,'октябрь 2025'!$J$2:$J$2619,Q$1)</f>
        <v>0</v>
      </c>
      <c r="R114" s="183">
        <f>SUMIFS('октябрь 2025'!$G$2:$G$2619,'октябрь 2025'!$D$2:$D$2619,$B114,'октябрь 2025'!$J$2:$J$2619,R$1)</f>
        <v>0</v>
      </c>
      <c r="S114" s="183">
        <f>SUMIFS('октябрь 2025'!$G$2:$G$2619,'октябрь 2025'!$D$2:$D$2619,$B114,'октябрь 2025'!$J$2:$J$2619,S$1)</f>
        <v>0</v>
      </c>
      <c r="T114" s="183">
        <f>SUMIFS('октябрь 2025'!$G$2:$G$2619,'октябрь 2025'!$D$2:$D$2619,$B114,'октябрь 2025'!$J$2:$J$2619,T$1)</f>
        <v>240</v>
      </c>
      <c r="U114" s="183">
        <f>SUMIFS('октябрь 2025'!$G$2:$G$2619,'октябрь 2025'!$D$2:$D$2619,$B114,'октябрь 2025'!$J$2:$J$2619,U$1)</f>
        <v>0</v>
      </c>
      <c r="V114" s="183">
        <f>SUMIFS('октябрь 2025'!$G$2:$G$2619,'октябрь 2025'!$D$2:$D$2619,$B114,'октябрь 2025'!$J$2:$J$2619,V$1)</f>
        <v>0</v>
      </c>
      <c r="W114" s="183">
        <f>SUMIFS('октябрь 2025'!$G$2:$G$2619,'октябрь 2025'!$D$2:$D$2619,$B114,'октябрь 2025'!$J$2:$J$2619,W$1)</f>
        <v>0</v>
      </c>
      <c r="X114" s="183">
        <f>SUMIFS('октябрь 2025'!$G$2:$G$2619,'октябрь 2025'!$D$2:$D$2619,$B114,'октябрь 2025'!$J$2:$J$2619,X$1)</f>
        <v>0</v>
      </c>
      <c r="Y114" s="183">
        <f>SUMIFS('октябрь 2025'!$G$2:$G$2619,'октябрь 2025'!$D$2:$D$2619,$B114,'октябрь 2025'!$J$2:$J$2619,Y$1)</f>
        <v>0</v>
      </c>
      <c r="Z114" s="183">
        <f>SUMIFS('октябрь 2025'!$G$2:$G$2619,'октябрь 2025'!$D$2:$D$2619,$B114,'октябрь 2025'!$J$2:$J$2619,Z$1)</f>
        <v>0</v>
      </c>
      <c r="AA114" s="183">
        <f>SUMIFS('октябрь 2025'!$G$2:$G$2619,'октябрь 2025'!$D$2:$D$2619,$B114,'октябрь 2025'!$J$2:$J$2619,AA$1)</f>
        <v>0</v>
      </c>
      <c r="AB114" s="183">
        <f>SUMIFS('октябрь 2025'!$G$2:$G$2619,'октябрь 2025'!$D$2:$D$2619,$B114,'октябрь 2025'!$J$2:$J$2619,AB$1)</f>
        <v>0</v>
      </c>
      <c r="AC114" s="183">
        <f>SUMIFS('октябрь 2025'!$G$2:$G$2619,'октябрь 2025'!$D$2:$D$2619,$B114,'октябрь 2025'!$J$2:$J$2619,AC$1)</f>
        <v>0</v>
      </c>
      <c r="AD114" s="183">
        <f>SUMIFS('октябрь 2025'!$G$2:$G$2619,'октябрь 2025'!$D$2:$D$2619,$B114,'октябрь 2025'!$J$2:$J$2619,AD$1)</f>
        <v>0</v>
      </c>
      <c r="AE114" s="183">
        <f>SUMIFS('октябрь 2025'!$G$2:$G$2619,'октябрь 2025'!$D$2:$D$2619,$B114,'октябрь 2025'!$J$2:$J$2619,AE$1)</f>
        <v>0</v>
      </c>
      <c r="AF114" s="183">
        <f>SUMIFS('октябрь 2025'!$G$2:$G$2619,'октябрь 2025'!$D$2:$D$2619,$B114,'октябрь 2025'!$J$2:$J$2619,AF$1)</f>
        <v>0</v>
      </c>
      <c r="AG114" s="183">
        <f>SUMIFS('октябрь 2025'!$G$2:$G$2619,'октябрь 2025'!$D$2:$D$2619,$B114,'октябрь 2025'!$J$2:$J$2619,AG$1)</f>
        <v>0</v>
      </c>
      <c r="AH114" s="183">
        <f>SUMIFS('октябрь 2025'!$G$2:$G$2619,'октябрь 2025'!$D$2:$D$2619,$B114,'октябрь 2025'!$J$2:$J$2619,AH$1)</f>
        <v>0</v>
      </c>
      <c r="AI114" s="20">
        <f t="shared" si="1"/>
        <v>240</v>
      </c>
    </row>
    <row r="115" spans="2:35" ht="15" customHeight="1" x14ac:dyDescent="0.25">
      <c r="B115" s="84" t="s">
        <v>196</v>
      </c>
      <c r="C115" s="83">
        <v>185</v>
      </c>
      <c r="D115" s="183">
        <f>SUMIFS('октябрь 2025'!$G$2:$G$2619,'октябрь 2025'!$D$2:$D$2619,$B115,'октябрь 2025'!$J$2:$J$2619,D$1)</f>
        <v>0</v>
      </c>
      <c r="E115" s="183">
        <f>SUMIFS('октябрь 2025'!$G$2:$G$2619,'октябрь 2025'!$D$2:$D$2619,$B115,'октябрь 2025'!$J$2:$J$2619,E$1)</f>
        <v>0</v>
      </c>
      <c r="F115" s="183">
        <f>SUMIFS('октябрь 2025'!$G$2:$G$2619,'октябрь 2025'!$D$2:$D$2619,$B115,'октябрь 2025'!$J$2:$J$2619,F$1)</f>
        <v>0</v>
      </c>
      <c r="G115" s="183">
        <f>SUMIFS('октябрь 2025'!$G$2:$G$2619,'октябрь 2025'!$D$2:$D$2619,$B115,'октябрь 2025'!$J$2:$J$2619,G$1)</f>
        <v>0</v>
      </c>
      <c r="H115" s="183">
        <f>SUMIFS('октябрь 2025'!$G$2:$G$2619,'октябрь 2025'!$D$2:$D$2619,$B115,'октябрь 2025'!$J$2:$J$2619,H$1)</f>
        <v>0</v>
      </c>
      <c r="I115" s="183">
        <f>SUMIFS('октябрь 2025'!$G$2:$G$2619,'октябрь 2025'!$D$2:$D$2619,$B115,'октябрь 2025'!$J$2:$J$2619,I$1)</f>
        <v>0</v>
      </c>
      <c r="J115" s="183">
        <f>SUMIFS('октябрь 2025'!$G$2:$G$2619,'октябрь 2025'!$D$2:$D$2619,$B115,'октябрь 2025'!$J$2:$J$2619,J$1)</f>
        <v>0</v>
      </c>
      <c r="K115" s="183">
        <f>SUMIFS('октябрь 2025'!$G$2:$G$2619,'октябрь 2025'!$D$2:$D$2619,$B115,'октябрь 2025'!$J$2:$J$2619,K$1)</f>
        <v>0</v>
      </c>
      <c r="L115" s="183">
        <f>SUMIFS('октябрь 2025'!$G$2:$G$2619,'октябрь 2025'!$D$2:$D$2619,$B115,'октябрь 2025'!$J$2:$J$2619,L$1)</f>
        <v>0</v>
      </c>
      <c r="M115" s="183">
        <f>SUMIFS('октябрь 2025'!$G$2:$G$2619,'октябрь 2025'!$D$2:$D$2619,$B115,'октябрь 2025'!$J$2:$J$2619,M$1)</f>
        <v>0</v>
      </c>
      <c r="N115" s="183">
        <f>SUMIFS('октябрь 2025'!$G$2:$G$2619,'октябрь 2025'!$D$2:$D$2619,$B115,'октябрь 2025'!$J$2:$J$2619,N$1)</f>
        <v>0</v>
      </c>
      <c r="O115" s="183">
        <f>SUMIFS('октябрь 2025'!$G$2:$G$2619,'октябрь 2025'!$D$2:$D$2619,$B115,'октябрь 2025'!$J$2:$J$2619,O$1)</f>
        <v>0</v>
      </c>
      <c r="P115" s="183">
        <f>SUMIFS('октябрь 2025'!$G$2:$G$2619,'октябрь 2025'!$D$2:$D$2619,$B115,'октябрь 2025'!$J$2:$J$2619,P$1)</f>
        <v>0</v>
      </c>
      <c r="Q115" s="183">
        <f>SUMIFS('октябрь 2025'!$G$2:$G$2619,'октябрь 2025'!$D$2:$D$2619,$B115,'октябрь 2025'!$J$2:$J$2619,Q$1)</f>
        <v>0</v>
      </c>
      <c r="R115" s="183">
        <f>SUMIFS('октябрь 2025'!$G$2:$G$2619,'октябрь 2025'!$D$2:$D$2619,$B115,'октябрь 2025'!$J$2:$J$2619,R$1)</f>
        <v>0</v>
      </c>
      <c r="S115" s="183">
        <f>SUMIFS('октябрь 2025'!$G$2:$G$2619,'октябрь 2025'!$D$2:$D$2619,$B115,'октябрь 2025'!$J$2:$J$2619,S$1)</f>
        <v>0</v>
      </c>
      <c r="T115" s="183">
        <f>SUMIFS('октябрь 2025'!$G$2:$G$2619,'октябрь 2025'!$D$2:$D$2619,$B115,'октябрь 2025'!$J$2:$J$2619,T$1)</f>
        <v>0</v>
      </c>
      <c r="U115" s="183">
        <f>SUMIFS('октябрь 2025'!$G$2:$G$2619,'октябрь 2025'!$D$2:$D$2619,$B115,'октябрь 2025'!$J$2:$J$2619,U$1)</f>
        <v>0</v>
      </c>
      <c r="V115" s="183">
        <f>SUMIFS('октябрь 2025'!$G$2:$G$2619,'октябрь 2025'!$D$2:$D$2619,$B115,'октябрь 2025'!$J$2:$J$2619,V$1)</f>
        <v>0</v>
      </c>
      <c r="W115" s="183">
        <f>SUMIFS('октябрь 2025'!$G$2:$G$2619,'октябрь 2025'!$D$2:$D$2619,$B115,'октябрь 2025'!$J$2:$J$2619,W$1)</f>
        <v>0</v>
      </c>
      <c r="X115" s="183">
        <f>SUMIFS('октябрь 2025'!$G$2:$G$2619,'октябрь 2025'!$D$2:$D$2619,$B115,'октябрь 2025'!$J$2:$J$2619,X$1)</f>
        <v>0</v>
      </c>
      <c r="Y115" s="183">
        <f>SUMIFS('октябрь 2025'!$G$2:$G$2619,'октябрь 2025'!$D$2:$D$2619,$B115,'октябрь 2025'!$J$2:$J$2619,Y$1)</f>
        <v>0</v>
      </c>
      <c r="Z115" s="183">
        <f>SUMIFS('октябрь 2025'!$G$2:$G$2619,'октябрь 2025'!$D$2:$D$2619,$B115,'октябрь 2025'!$J$2:$J$2619,Z$1)</f>
        <v>0</v>
      </c>
      <c r="AA115" s="183">
        <f>SUMIFS('октябрь 2025'!$G$2:$G$2619,'октябрь 2025'!$D$2:$D$2619,$B115,'октябрь 2025'!$J$2:$J$2619,AA$1)</f>
        <v>0</v>
      </c>
      <c r="AB115" s="183">
        <f>SUMIFS('октябрь 2025'!$G$2:$G$2619,'октябрь 2025'!$D$2:$D$2619,$B115,'октябрь 2025'!$J$2:$J$2619,AB$1)</f>
        <v>0</v>
      </c>
      <c r="AC115" s="183">
        <f>SUMIFS('октябрь 2025'!$G$2:$G$2619,'октябрь 2025'!$D$2:$D$2619,$B115,'октябрь 2025'!$J$2:$J$2619,AC$1)</f>
        <v>0</v>
      </c>
      <c r="AD115" s="183">
        <f>SUMIFS('октябрь 2025'!$G$2:$G$2619,'октябрь 2025'!$D$2:$D$2619,$B115,'октябрь 2025'!$J$2:$J$2619,AD$1)</f>
        <v>0</v>
      </c>
      <c r="AE115" s="183">
        <f>SUMIFS('октябрь 2025'!$G$2:$G$2619,'октябрь 2025'!$D$2:$D$2619,$B115,'октябрь 2025'!$J$2:$J$2619,AE$1)</f>
        <v>0</v>
      </c>
      <c r="AF115" s="183">
        <f>SUMIFS('октябрь 2025'!$G$2:$G$2619,'октябрь 2025'!$D$2:$D$2619,$B115,'октябрь 2025'!$J$2:$J$2619,AF$1)</f>
        <v>0</v>
      </c>
      <c r="AG115" s="183">
        <f>SUMIFS('октябрь 2025'!$G$2:$G$2619,'октябрь 2025'!$D$2:$D$2619,$B115,'октябрь 2025'!$J$2:$J$2619,AG$1)</f>
        <v>0</v>
      </c>
      <c r="AH115" s="183">
        <f>SUMIFS('октябрь 2025'!$G$2:$G$2619,'октябрь 2025'!$D$2:$D$2619,$B115,'октябрь 2025'!$J$2:$J$2619,AH$1)</f>
        <v>0</v>
      </c>
      <c r="AI115" s="20">
        <f t="shared" si="1"/>
        <v>0</v>
      </c>
    </row>
    <row r="116" spans="2:35" ht="15" customHeight="1" x14ac:dyDescent="0.25">
      <c r="B116" s="84" t="s">
        <v>260</v>
      </c>
      <c r="C116" s="83">
        <v>180</v>
      </c>
      <c r="D116" s="183">
        <f>SUMIFS('октябрь 2025'!$G$2:$G$2619,'октябрь 2025'!$D$2:$D$2619,$B116,'октябрь 2025'!$J$2:$J$2619,D$1)</f>
        <v>0</v>
      </c>
      <c r="E116" s="183">
        <f>SUMIFS('октябрь 2025'!$G$2:$G$2619,'октябрь 2025'!$D$2:$D$2619,$B116,'октябрь 2025'!$J$2:$J$2619,E$1)</f>
        <v>0</v>
      </c>
      <c r="F116" s="183">
        <f>SUMIFS('октябрь 2025'!$G$2:$G$2619,'октябрь 2025'!$D$2:$D$2619,$B116,'октябрь 2025'!$J$2:$J$2619,F$1)</f>
        <v>0</v>
      </c>
      <c r="G116" s="183">
        <f>SUMIFS('октябрь 2025'!$G$2:$G$2619,'октябрь 2025'!$D$2:$D$2619,$B116,'октябрь 2025'!$J$2:$J$2619,G$1)</f>
        <v>0</v>
      </c>
      <c r="H116" s="183">
        <f>SUMIFS('октябрь 2025'!$G$2:$G$2619,'октябрь 2025'!$D$2:$D$2619,$B116,'октябрь 2025'!$J$2:$J$2619,H$1)</f>
        <v>0</v>
      </c>
      <c r="I116" s="183">
        <f>SUMIFS('октябрь 2025'!$G$2:$G$2619,'октябрь 2025'!$D$2:$D$2619,$B116,'октябрь 2025'!$J$2:$J$2619,I$1)</f>
        <v>0</v>
      </c>
      <c r="J116" s="183">
        <f>SUMIFS('октябрь 2025'!$G$2:$G$2619,'октябрь 2025'!$D$2:$D$2619,$B116,'октябрь 2025'!$J$2:$J$2619,J$1)</f>
        <v>0</v>
      </c>
      <c r="K116" s="183">
        <f>SUMIFS('октябрь 2025'!$G$2:$G$2619,'октябрь 2025'!$D$2:$D$2619,$B116,'октябрь 2025'!$J$2:$J$2619,K$1)</f>
        <v>0</v>
      </c>
      <c r="L116" s="183">
        <f>SUMIFS('октябрь 2025'!$G$2:$G$2619,'октябрь 2025'!$D$2:$D$2619,$B116,'октябрь 2025'!$J$2:$J$2619,L$1)</f>
        <v>0</v>
      </c>
      <c r="M116" s="183">
        <f>SUMIFS('октябрь 2025'!$G$2:$G$2619,'октябрь 2025'!$D$2:$D$2619,$B116,'октябрь 2025'!$J$2:$J$2619,M$1)</f>
        <v>0</v>
      </c>
      <c r="N116" s="183">
        <f>SUMIFS('октябрь 2025'!$G$2:$G$2619,'октябрь 2025'!$D$2:$D$2619,$B116,'октябрь 2025'!$J$2:$J$2619,N$1)</f>
        <v>0</v>
      </c>
      <c r="O116" s="183">
        <f>SUMIFS('октябрь 2025'!$G$2:$G$2619,'октябрь 2025'!$D$2:$D$2619,$B116,'октябрь 2025'!$J$2:$J$2619,O$1)</f>
        <v>0</v>
      </c>
      <c r="P116" s="183">
        <f>SUMIFS('октябрь 2025'!$G$2:$G$2619,'октябрь 2025'!$D$2:$D$2619,$B116,'октябрь 2025'!$J$2:$J$2619,P$1)</f>
        <v>0</v>
      </c>
      <c r="Q116" s="183">
        <f>SUMIFS('октябрь 2025'!$G$2:$G$2619,'октябрь 2025'!$D$2:$D$2619,$B116,'октябрь 2025'!$J$2:$J$2619,Q$1)</f>
        <v>0</v>
      </c>
      <c r="R116" s="183">
        <f>SUMIFS('октябрь 2025'!$G$2:$G$2619,'октябрь 2025'!$D$2:$D$2619,$B116,'октябрь 2025'!$J$2:$J$2619,R$1)</f>
        <v>0</v>
      </c>
      <c r="S116" s="183">
        <f>SUMIFS('октябрь 2025'!$G$2:$G$2619,'октябрь 2025'!$D$2:$D$2619,$B116,'октябрь 2025'!$J$2:$J$2619,S$1)</f>
        <v>0</v>
      </c>
      <c r="T116" s="183">
        <f>SUMIFS('октябрь 2025'!$G$2:$G$2619,'октябрь 2025'!$D$2:$D$2619,$B116,'октябрь 2025'!$J$2:$J$2619,T$1)</f>
        <v>0</v>
      </c>
      <c r="U116" s="183">
        <f>SUMIFS('октябрь 2025'!$G$2:$G$2619,'октябрь 2025'!$D$2:$D$2619,$B116,'октябрь 2025'!$J$2:$J$2619,U$1)</f>
        <v>0</v>
      </c>
      <c r="V116" s="183">
        <f>SUMIFS('октябрь 2025'!$G$2:$G$2619,'октябрь 2025'!$D$2:$D$2619,$B116,'октябрь 2025'!$J$2:$J$2619,V$1)</f>
        <v>0</v>
      </c>
      <c r="W116" s="183">
        <f>SUMIFS('октябрь 2025'!$G$2:$G$2619,'октябрь 2025'!$D$2:$D$2619,$B116,'октябрь 2025'!$J$2:$J$2619,W$1)</f>
        <v>0</v>
      </c>
      <c r="X116" s="183">
        <f>SUMIFS('октябрь 2025'!$G$2:$G$2619,'октябрь 2025'!$D$2:$D$2619,$B116,'октябрь 2025'!$J$2:$J$2619,X$1)</f>
        <v>0</v>
      </c>
      <c r="Y116" s="183">
        <f>SUMIFS('октябрь 2025'!$G$2:$G$2619,'октябрь 2025'!$D$2:$D$2619,$B116,'октябрь 2025'!$J$2:$J$2619,Y$1)</f>
        <v>0</v>
      </c>
      <c r="Z116" s="183">
        <f>SUMIFS('октябрь 2025'!$G$2:$G$2619,'октябрь 2025'!$D$2:$D$2619,$B116,'октябрь 2025'!$J$2:$J$2619,Z$1)</f>
        <v>0</v>
      </c>
      <c r="AA116" s="183">
        <f>SUMIFS('октябрь 2025'!$G$2:$G$2619,'октябрь 2025'!$D$2:$D$2619,$B116,'октябрь 2025'!$J$2:$J$2619,AA$1)</f>
        <v>0</v>
      </c>
      <c r="AB116" s="183">
        <f>SUMIFS('октябрь 2025'!$G$2:$G$2619,'октябрь 2025'!$D$2:$D$2619,$B116,'октябрь 2025'!$J$2:$J$2619,AB$1)</f>
        <v>0</v>
      </c>
      <c r="AC116" s="183">
        <f>SUMIFS('октябрь 2025'!$G$2:$G$2619,'октябрь 2025'!$D$2:$D$2619,$B116,'октябрь 2025'!$J$2:$J$2619,AC$1)</f>
        <v>0</v>
      </c>
      <c r="AD116" s="183">
        <f>SUMIFS('октябрь 2025'!$G$2:$G$2619,'октябрь 2025'!$D$2:$D$2619,$B116,'октябрь 2025'!$J$2:$J$2619,AD$1)</f>
        <v>0</v>
      </c>
      <c r="AE116" s="183">
        <f>SUMIFS('октябрь 2025'!$G$2:$G$2619,'октябрь 2025'!$D$2:$D$2619,$B116,'октябрь 2025'!$J$2:$J$2619,AE$1)</f>
        <v>0</v>
      </c>
      <c r="AF116" s="183">
        <f>SUMIFS('октябрь 2025'!$G$2:$G$2619,'октябрь 2025'!$D$2:$D$2619,$B116,'октябрь 2025'!$J$2:$J$2619,AF$1)</f>
        <v>0</v>
      </c>
      <c r="AG116" s="183">
        <f>SUMIFS('октябрь 2025'!$G$2:$G$2619,'октябрь 2025'!$D$2:$D$2619,$B116,'октябрь 2025'!$J$2:$J$2619,AG$1)</f>
        <v>0</v>
      </c>
      <c r="AH116" s="183">
        <f>SUMIFS('октябрь 2025'!$G$2:$G$2619,'октябрь 2025'!$D$2:$D$2619,$B116,'октябрь 2025'!$J$2:$J$2619,AH$1)</f>
        <v>0</v>
      </c>
      <c r="AI116" s="20">
        <f t="shared" si="1"/>
        <v>0</v>
      </c>
    </row>
    <row r="117" spans="2:35" ht="15" customHeight="1" x14ac:dyDescent="0.25">
      <c r="B117" s="88" t="s">
        <v>261</v>
      </c>
      <c r="C117" s="86">
        <v>200</v>
      </c>
      <c r="D117" s="183">
        <f>SUMIFS('октябрь 2025'!$G$2:$G$2619,'октябрь 2025'!$D$2:$D$2619,$B117,'октябрь 2025'!$J$2:$J$2619,D$1)</f>
        <v>0</v>
      </c>
      <c r="E117" s="183">
        <f>SUMIFS('октябрь 2025'!$G$2:$G$2619,'октябрь 2025'!$D$2:$D$2619,$B117,'октябрь 2025'!$J$2:$J$2619,E$1)</f>
        <v>0</v>
      </c>
      <c r="F117" s="183">
        <f>SUMIFS('октябрь 2025'!$G$2:$G$2619,'октябрь 2025'!$D$2:$D$2619,$B117,'октябрь 2025'!$J$2:$J$2619,F$1)</f>
        <v>0</v>
      </c>
      <c r="G117" s="183">
        <f>SUMIFS('октябрь 2025'!$G$2:$G$2619,'октябрь 2025'!$D$2:$D$2619,$B117,'октябрь 2025'!$J$2:$J$2619,G$1)</f>
        <v>0</v>
      </c>
      <c r="H117" s="183">
        <f>SUMIFS('октябрь 2025'!$G$2:$G$2619,'октябрь 2025'!$D$2:$D$2619,$B117,'октябрь 2025'!$J$2:$J$2619,H$1)</f>
        <v>0</v>
      </c>
      <c r="I117" s="183">
        <f>SUMIFS('октябрь 2025'!$G$2:$G$2619,'октябрь 2025'!$D$2:$D$2619,$B117,'октябрь 2025'!$J$2:$J$2619,I$1)</f>
        <v>0</v>
      </c>
      <c r="J117" s="183">
        <f>SUMIFS('октябрь 2025'!$G$2:$G$2619,'октябрь 2025'!$D$2:$D$2619,$B117,'октябрь 2025'!$J$2:$J$2619,J$1)</f>
        <v>0</v>
      </c>
      <c r="K117" s="183">
        <f>SUMIFS('октябрь 2025'!$G$2:$G$2619,'октябрь 2025'!$D$2:$D$2619,$B117,'октябрь 2025'!$J$2:$J$2619,K$1)</f>
        <v>0</v>
      </c>
      <c r="L117" s="183">
        <f>SUMIFS('октябрь 2025'!$G$2:$G$2619,'октябрь 2025'!$D$2:$D$2619,$B117,'октябрь 2025'!$J$2:$J$2619,L$1)</f>
        <v>0</v>
      </c>
      <c r="M117" s="183">
        <f>SUMIFS('октябрь 2025'!$G$2:$G$2619,'октябрь 2025'!$D$2:$D$2619,$B117,'октябрь 2025'!$J$2:$J$2619,M$1)</f>
        <v>0</v>
      </c>
      <c r="N117" s="183">
        <f>SUMIFS('октябрь 2025'!$G$2:$G$2619,'октябрь 2025'!$D$2:$D$2619,$B117,'октябрь 2025'!$J$2:$J$2619,N$1)</f>
        <v>0</v>
      </c>
      <c r="O117" s="183">
        <f>SUMIFS('октябрь 2025'!$G$2:$G$2619,'октябрь 2025'!$D$2:$D$2619,$B117,'октябрь 2025'!$J$2:$J$2619,O$1)</f>
        <v>0</v>
      </c>
      <c r="P117" s="183">
        <f>SUMIFS('октябрь 2025'!$G$2:$G$2619,'октябрь 2025'!$D$2:$D$2619,$B117,'октябрь 2025'!$J$2:$J$2619,P$1)</f>
        <v>0</v>
      </c>
      <c r="Q117" s="183">
        <f>SUMIFS('октябрь 2025'!$G$2:$G$2619,'октябрь 2025'!$D$2:$D$2619,$B117,'октябрь 2025'!$J$2:$J$2619,Q$1)</f>
        <v>0</v>
      </c>
      <c r="R117" s="183">
        <f>SUMIFS('октябрь 2025'!$G$2:$G$2619,'октябрь 2025'!$D$2:$D$2619,$B117,'октябрь 2025'!$J$2:$J$2619,R$1)</f>
        <v>0</v>
      </c>
      <c r="S117" s="183">
        <f>SUMIFS('октябрь 2025'!$G$2:$G$2619,'октябрь 2025'!$D$2:$D$2619,$B117,'октябрь 2025'!$J$2:$J$2619,S$1)</f>
        <v>0</v>
      </c>
      <c r="T117" s="183">
        <f>SUMIFS('октябрь 2025'!$G$2:$G$2619,'октябрь 2025'!$D$2:$D$2619,$B117,'октябрь 2025'!$J$2:$J$2619,T$1)</f>
        <v>0</v>
      </c>
      <c r="U117" s="183">
        <f>SUMIFS('октябрь 2025'!$G$2:$G$2619,'октябрь 2025'!$D$2:$D$2619,$B117,'октябрь 2025'!$J$2:$J$2619,U$1)</f>
        <v>0</v>
      </c>
      <c r="V117" s="183">
        <f>SUMIFS('октябрь 2025'!$G$2:$G$2619,'октябрь 2025'!$D$2:$D$2619,$B117,'октябрь 2025'!$J$2:$J$2619,V$1)</f>
        <v>0</v>
      </c>
      <c r="W117" s="183">
        <f>SUMIFS('октябрь 2025'!$G$2:$G$2619,'октябрь 2025'!$D$2:$D$2619,$B117,'октябрь 2025'!$J$2:$J$2619,W$1)</f>
        <v>0</v>
      </c>
      <c r="X117" s="183">
        <f>SUMIFS('октябрь 2025'!$G$2:$G$2619,'октябрь 2025'!$D$2:$D$2619,$B117,'октябрь 2025'!$J$2:$J$2619,X$1)</f>
        <v>0</v>
      </c>
      <c r="Y117" s="183">
        <f>SUMIFS('октябрь 2025'!$G$2:$G$2619,'октябрь 2025'!$D$2:$D$2619,$B117,'октябрь 2025'!$J$2:$J$2619,Y$1)</f>
        <v>0</v>
      </c>
      <c r="Z117" s="183">
        <f>SUMIFS('октябрь 2025'!$G$2:$G$2619,'октябрь 2025'!$D$2:$D$2619,$B117,'октябрь 2025'!$J$2:$J$2619,Z$1)</f>
        <v>0</v>
      </c>
      <c r="AA117" s="183">
        <f>SUMIFS('октябрь 2025'!$G$2:$G$2619,'октябрь 2025'!$D$2:$D$2619,$B117,'октябрь 2025'!$J$2:$J$2619,AA$1)</f>
        <v>0</v>
      </c>
      <c r="AB117" s="183">
        <f>SUMIFS('октябрь 2025'!$G$2:$G$2619,'октябрь 2025'!$D$2:$D$2619,$B117,'октябрь 2025'!$J$2:$J$2619,AB$1)</f>
        <v>0</v>
      </c>
      <c r="AC117" s="183">
        <f>SUMIFS('октябрь 2025'!$G$2:$G$2619,'октябрь 2025'!$D$2:$D$2619,$B117,'октябрь 2025'!$J$2:$J$2619,AC$1)</f>
        <v>0</v>
      </c>
      <c r="AD117" s="183">
        <f>SUMIFS('октябрь 2025'!$G$2:$G$2619,'октябрь 2025'!$D$2:$D$2619,$B117,'октябрь 2025'!$J$2:$J$2619,AD$1)</f>
        <v>0</v>
      </c>
      <c r="AE117" s="183">
        <f>SUMIFS('октябрь 2025'!$G$2:$G$2619,'октябрь 2025'!$D$2:$D$2619,$B117,'октябрь 2025'!$J$2:$J$2619,AE$1)</f>
        <v>0</v>
      </c>
      <c r="AF117" s="183">
        <f>SUMIFS('октябрь 2025'!$G$2:$G$2619,'октябрь 2025'!$D$2:$D$2619,$B117,'октябрь 2025'!$J$2:$J$2619,AF$1)</f>
        <v>0</v>
      </c>
      <c r="AG117" s="183">
        <f>SUMIFS('октябрь 2025'!$G$2:$G$2619,'октябрь 2025'!$D$2:$D$2619,$B117,'октябрь 2025'!$J$2:$J$2619,AG$1)</f>
        <v>0</v>
      </c>
      <c r="AH117" s="183">
        <f>SUMIFS('октябрь 2025'!$G$2:$G$2619,'октябрь 2025'!$D$2:$D$2619,$B117,'октябрь 2025'!$J$2:$J$2619,AH$1)</f>
        <v>0</v>
      </c>
      <c r="AI117" s="20">
        <f t="shared" si="1"/>
        <v>0</v>
      </c>
    </row>
    <row r="118" spans="2:35" ht="15" customHeight="1" x14ac:dyDescent="0.25">
      <c r="B118" s="88" t="s">
        <v>180</v>
      </c>
      <c r="C118" s="86">
        <v>200</v>
      </c>
      <c r="D118" s="183">
        <f>SUMIFS('октябрь 2025'!$G$2:$G$2619,'октябрь 2025'!$D$2:$D$2619,$B118,'октябрь 2025'!$J$2:$J$2619,D$1)</f>
        <v>0</v>
      </c>
      <c r="E118" s="183">
        <f>SUMIFS('октябрь 2025'!$G$2:$G$2619,'октябрь 2025'!$D$2:$D$2619,$B118,'октябрь 2025'!$J$2:$J$2619,E$1)</f>
        <v>0</v>
      </c>
      <c r="F118" s="183">
        <f>SUMIFS('октябрь 2025'!$G$2:$G$2619,'октябрь 2025'!$D$2:$D$2619,$B118,'октябрь 2025'!$J$2:$J$2619,F$1)</f>
        <v>0</v>
      </c>
      <c r="G118" s="183">
        <f>SUMIFS('октябрь 2025'!$G$2:$G$2619,'октябрь 2025'!$D$2:$D$2619,$B118,'октябрь 2025'!$J$2:$J$2619,G$1)</f>
        <v>0</v>
      </c>
      <c r="H118" s="183">
        <f>SUMIFS('октябрь 2025'!$G$2:$G$2619,'октябрь 2025'!$D$2:$D$2619,$B118,'октябрь 2025'!$J$2:$J$2619,H$1)</f>
        <v>0</v>
      </c>
      <c r="I118" s="183">
        <f>SUMIFS('октябрь 2025'!$G$2:$G$2619,'октябрь 2025'!$D$2:$D$2619,$B118,'октябрь 2025'!$J$2:$J$2619,I$1)</f>
        <v>0</v>
      </c>
      <c r="J118" s="183">
        <f>SUMIFS('октябрь 2025'!$G$2:$G$2619,'октябрь 2025'!$D$2:$D$2619,$B118,'октябрь 2025'!$J$2:$J$2619,J$1)</f>
        <v>0</v>
      </c>
      <c r="K118" s="183">
        <f>SUMIFS('октябрь 2025'!$G$2:$G$2619,'октябрь 2025'!$D$2:$D$2619,$B118,'октябрь 2025'!$J$2:$J$2619,K$1)</f>
        <v>0</v>
      </c>
      <c r="L118" s="183">
        <f>SUMIFS('октябрь 2025'!$G$2:$G$2619,'октябрь 2025'!$D$2:$D$2619,$B118,'октябрь 2025'!$J$2:$J$2619,L$1)</f>
        <v>0</v>
      </c>
      <c r="M118" s="183">
        <f>SUMIFS('октябрь 2025'!$G$2:$G$2619,'октябрь 2025'!$D$2:$D$2619,$B118,'октябрь 2025'!$J$2:$J$2619,M$1)</f>
        <v>0</v>
      </c>
      <c r="N118" s="183">
        <f>SUMIFS('октябрь 2025'!$G$2:$G$2619,'октябрь 2025'!$D$2:$D$2619,$B118,'октябрь 2025'!$J$2:$J$2619,N$1)</f>
        <v>0</v>
      </c>
      <c r="O118" s="183">
        <f>SUMIFS('октябрь 2025'!$G$2:$G$2619,'октябрь 2025'!$D$2:$D$2619,$B118,'октябрь 2025'!$J$2:$J$2619,O$1)</f>
        <v>0</v>
      </c>
      <c r="P118" s="183">
        <f>SUMIFS('октябрь 2025'!$G$2:$G$2619,'октябрь 2025'!$D$2:$D$2619,$B118,'октябрь 2025'!$J$2:$J$2619,P$1)</f>
        <v>0</v>
      </c>
      <c r="Q118" s="183">
        <f>SUMIFS('октябрь 2025'!$G$2:$G$2619,'октябрь 2025'!$D$2:$D$2619,$B118,'октябрь 2025'!$J$2:$J$2619,Q$1)</f>
        <v>0</v>
      </c>
      <c r="R118" s="183">
        <f>SUMIFS('октябрь 2025'!$G$2:$G$2619,'октябрь 2025'!$D$2:$D$2619,$B118,'октябрь 2025'!$J$2:$J$2619,R$1)</f>
        <v>0</v>
      </c>
      <c r="S118" s="183">
        <f>SUMIFS('октябрь 2025'!$G$2:$G$2619,'октябрь 2025'!$D$2:$D$2619,$B118,'октябрь 2025'!$J$2:$J$2619,S$1)</f>
        <v>0</v>
      </c>
      <c r="T118" s="183">
        <f>SUMIFS('октябрь 2025'!$G$2:$G$2619,'октябрь 2025'!$D$2:$D$2619,$B118,'октябрь 2025'!$J$2:$J$2619,T$1)</f>
        <v>0</v>
      </c>
      <c r="U118" s="183">
        <f>SUMIFS('октябрь 2025'!$G$2:$G$2619,'октябрь 2025'!$D$2:$D$2619,$B118,'октябрь 2025'!$J$2:$J$2619,U$1)</f>
        <v>0</v>
      </c>
      <c r="V118" s="183">
        <f>SUMIFS('октябрь 2025'!$G$2:$G$2619,'октябрь 2025'!$D$2:$D$2619,$B118,'октябрь 2025'!$J$2:$J$2619,V$1)</f>
        <v>0</v>
      </c>
      <c r="W118" s="183">
        <f>SUMIFS('октябрь 2025'!$G$2:$G$2619,'октябрь 2025'!$D$2:$D$2619,$B118,'октябрь 2025'!$J$2:$J$2619,W$1)</f>
        <v>0</v>
      </c>
      <c r="X118" s="183">
        <f>SUMIFS('октябрь 2025'!$G$2:$G$2619,'октябрь 2025'!$D$2:$D$2619,$B118,'октябрь 2025'!$J$2:$J$2619,X$1)</f>
        <v>0</v>
      </c>
      <c r="Y118" s="183">
        <f>SUMIFS('октябрь 2025'!$G$2:$G$2619,'октябрь 2025'!$D$2:$D$2619,$B118,'октябрь 2025'!$J$2:$J$2619,Y$1)</f>
        <v>0</v>
      </c>
      <c r="Z118" s="183">
        <f>SUMIFS('октябрь 2025'!$G$2:$G$2619,'октябрь 2025'!$D$2:$D$2619,$B118,'октябрь 2025'!$J$2:$J$2619,Z$1)</f>
        <v>0</v>
      </c>
      <c r="AA118" s="183">
        <f>SUMIFS('октябрь 2025'!$G$2:$G$2619,'октябрь 2025'!$D$2:$D$2619,$B118,'октябрь 2025'!$J$2:$J$2619,AA$1)</f>
        <v>0</v>
      </c>
      <c r="AB118" s="183">
        <f>SUMIFS('октябрь 2025'!$G$2:$G$2619,'октябрь 2025'!$D$2:$D$2619,$B118,'октябрь 2025'!$J$2:$J$2619,AB$1)</f>
        <v>0</v>
      </c>
      <c r="AC118" s="183">
        <f>SUMIFS('октябрь 2025'!$G$2:$G$2619,'октябрь 2025'!$D$2:$D$2619,$B118,'октябрь 2025'!$J$2:$J$2619,AC$1)</f>
        <v>0</v>
      </c>
      <c r="AD118" s="183">
        <f>SUMIFS('октябрь 2025'!$G$2:$G$2619,'октябрь 2025'!$D$2:$D$2619,$B118,'октябрь 2025'!$J$2:$J$2619,AD$1)</f>
        <v>0</v>
      </c>
      <c r="AE118" s="183">
        <f>SUMIFS('октябрь 2025'!$G$2:$G$2619,'октябрь 2025'!$D$2:$D$2619,$B118,'октябрь 2025'!$J$2:$J$2619,AE$1)</f>
        <v>0</v>
      </c>
      <c r="AF118" s="183">
        <f>SUMIFS('октябрь 2025'!$G$2:$G$2619,'октябрь 2025'!$D$2:$D$2619,$B118,'октябрь 2025'!$J$2:$J$2619,AF$1)</f>
        <v>0</v>
      </c>
      <c r="AG118" s="183">
        <f>SUMIFS('октябрь 2025'!$G$2:$G$2619,'октябрь 2025'!$D$2:$D$2619,$B118,'октябрь 2025'!$J$2:$J$2619,AG$1)</f>
        <v>0</v>
      </c>
      <c r="AH118" s="183">
        <f>SUMIFS('октябрь 2025'!$G$2:$G$2619,'октябрь 2025'!$D$2:$D$2619,$B118,'октябрь 2025'!$J$2:$J$2619,AH$1)</f>
        <v>0</v>
      </c>
      <c r="AI118" s="20">
        <f t="shared" si="1"/>
        <v>0</v>
      </c>
    </row>
    <row r="119" spans="2:35" ht="15" customHeight="1" x14ac:dyDescent="0.25">
      <c r="B119" s="88" t="s">
        <v>262</v>
      </c>
      <c r="C119" s="86">
        <v>200</v>
      </c>
      <c r="D119" s="183">
        <f>SUMIFS('октябрь 2025'!$G$2:$G$2619,'октябрь 2025'!$D$2:$D$2619,$B119,'октябрь 2025'!$J$2:$J$2619,D$1)</f>
        <v>0</v>
      </c>
      <c r="E119" s="183">
        <f>SUMIFS('октябрь 2025'!$G$2:$G$2619,'октябрь 2025'!$D$2:$D$2619,$B119,'октябрь 2025'!$J$2:$J$2619,E$1)</f>
        <v>0</v>
      </c>
      <c r="F119" s="183">
        <f>SUMIFS('октябрь 2025'!$G$2:$G$2619,'октябрь 2025'!$D$2:$D$2619,$B119,'октябрь 2025'!$J$2:$J$2619,F$1)</f>
        <v>0</v>
      </c>
      <c r="G119" s="183">
        <f>SUMIFS('октябрь 2025'!$G$2:$G$2619,'октябрь 2025'!$D$2:$D$2619,$B119,'октябрь 2025'!$J$2:$J$2619,G$1)</f>
        <v>0</v>
      </c>
      <c r="H119" s="183">
        <f>SUMIFS('октябрь 2025'!$G$2:$G$2619,'октябрь 2025'!$D$2:$D$2619,$B119,'октябрь 2025'!$J$2:$J$2619,H$1)</f>
        <v>0</v>
      </c>
      <c r="I119" s="183">
        <f>SUMIFS('октябрь 2025'!$G$2:$G$2619,'октябрь 2025'!$D$2:$D$2619,$B119,'октябрь 2025'!$J$2:$J$2619,I$1)</f>
        <v>0</v>
      </c>
      <c r="J119" s="183">
        <f>SUMIFS('октябрь 2025'!$G$2:$G$2619,'октябрь 2025'!$D$2:$D$2619,$B119,'октябрь 2025'!$J$2:$J$2619,J$1)</f>
        <v>0</v>
      </c>
      <c r="K119" s="183">
        <f>SUMIFS('октябрь 2025'!$G$2:$G$2619,'октябрь 2025'!$D$2:$D$2619,$B119,'октябрь 2025'!$J$2:$J$2619,K$1)</f>
        <v>0</v>
      </c>
      <c r="L119" s="183">
        <f>SUMIFS('октябрь 2025'!$G$2:$G$2619,'октябрь 2025'!$D$2:$D$2619,$B119,'октябрь 2025'!$J$2:$J$2619,L$1)</f>
        <v>0</v>
      </c>
      <c r="M119" s="183">
        <f>SUMIFS('октябрь 2025'!$G$2:$G$2619,'октябрь 2025'!$D$2:$D$2619,$B119,'октябрь 2025'!$J$2:$J$2619,M$1)</f>
        <v>0</v>
      </c>
      <c r="N119" s="183">
        <f>SUMIFS('октябрь 2025'!$G$2:$G$2619,'октябрь 2025'!$D$2:$D$2619,$B119,'октябрь 2025'!$J$2:$J$2619,N$1)</f>
        <v>0</v>
      </c>
      <c r="O119" s="183">
        <f>SUMIFS('октябрь 2025'!$G$2:$G$2619,'октябрь 2025'!$D$2:$D$2619,$B119,'октябрь 2025'!$J$2:$J$2619,O$1)</f>
        <v>0</v>
      </c>
      <c r="P119" s="183">
        <f>SUMIFS('октябрь 2025'!$G$2:$G$2619,'октябрь 2025'!$D$2:$D$2619,$B119,'октябрь 2025'!$J$2:$J$2619,P$1)</f>
        <v>0</v>
      </c>
      <c r="Q119" s="183">
        <f>SUMIFS('октябрь 2025'!$G$2:$G$2619,'октябрь 2025'!$D$2:$D$2619,$B119,'октябрь 2025'!$J$2:$J$2619,Q$1)</f>
        <v>0</v>
      </c>
      <c r="R119" s="183">
        <f>SUMIFS('октябрь 2025'!$G$2:$G$2619,'октябрь 2025'!$D$2:$D$2619,$B119,'октябрь 2025'!$J$2:$J$2619,R$1)</f>
        <v>0</v>
      </c>
      <c r="S119" s="183">
        <f>SUMIFS('октябрь 2025'!$G$2:$G$2619,'октябрь 2025'!$D$2:$D$2619,$B119,'октябрь 2025'!$J$2:$J$2619,S$1)</f>
        <v>0</v>
      </c>
      <c r="T119" s="183">
        <f>SUMIFS('октябрь 2025'!$G$2:$G$2619,'октябрь 2025'!$D$2:$D$2619,$B119,'октябрь 2025'!$J$2:$J$2619,T$1)</f>
        <v>0</v>
      </c>
      <c r="U119" s="183">
        <f>SUMIFS('октябрь 2025'!$G$2:$G$2619,'октябрь 2025'!$D$2:$D$2619,$B119,'октябрь 2025'!$J$2:$J$2619,U$1)</f>
        <v>0</v>
      </c>
      <c r="V119" s="183">
        <f>SUMIFS('октябрь 2025'!$G$2:$G$2619,'октябрь 2025'!$D$2:$D$2619,$B119,'октябрь 2025'!$J$2:$J$2619,V$1)</f>
        <v>0</v>
      </c>
      <c r="W119" s="183">
        <f>SUMIFS('октябрь 2025'!$G$2:$G$2619,'октябрь 2025'!$D$2:$D$2619,$B119,'октябрь 2025'!$J$2:$J$2619,W$1)</f>
        <v>0</v>
      </c>
      <c r="X119" s="183">
        <f>SUMIFS('октябрь 2025'!$G$2:$G$2619,'октябрь 2025'!$D$2:$D$2619,$B119,'октябрь 2025'!$J$2:$J$2619,X$1)</f>
        <v>0</v>
      </c>
      <c r="Y119" s="183">
        <f>SUMIFS('октябрь 2025'!$G$2:$G$2619,'октябрь 2025'!$D$2:$D$2619,$B119,'октябрь 2025'!$J$2:$J$2619,Y$1)</f>
        <v>0</v>
      </c>
      <c r="Z119" s="183">
        <f>SUMIFS('октябрь 2025'!$G$2:$G$2619,'октябрь 2025'!$D$2:$D$2619,$B119,'октябрь 2025'!$J$2:$J$2619,Z$1)</f>
        <v>0</v>
      </c>
      <c r="AA119" s="183">
        <f>SUMIFS('октябрь 2025'!$G$2:$G$2619,'октябрь 2025'!$D$2:$D$2619,$B119,'октябрь 2025'!$J$2:$J$2619,AA$1)</f>
        <v>0</v>
      </c>
      <c r="AB119" s="183">
        <f>SUMIFS('октябрь 2025'!$G$2:$G$2619,'октябрь 2025'!$D$2:$D$2619,$B119,'октябрь 2025'!$J$2:$J$2619,AB$1)</f>
        <v>0</v>
      </c>
      <c r="AC119" s="183">
        <f>SUMIFS('октябрь 2025'!$G$2:$G$2619,'октябрь 2025'!$D$2:$D$2619,$B119,'октябрь 2025'!$J$2:$J$2619,AC$1)</f>
        <v>0</v>
      </c>
      <c r="AD119" s="183">
        <f>SUMIFS('октябрь 2025'!$G$2:$G$2619,'октябрь 2025'!$D$2:$D$2619,$B119,'октябрь 2025'!$J$2:$J$2619,AD$1)</f>
        <v>0</v>
      </c>
      <c r="AE119" s="183">
        <f>SUMIFS('октябрь 2025'!$G$2:$G$2619,'октябрь 2025'!$D$2:$D$2619,$B119,'октябрь 2025'!$J$2:$J$2619,AE$1)</f>
        <v>0</v>
      </c>
      <c r="AF119" s="183">
        <f>SUMIFS('октябрь 2025'!$G$2:$G$2619,'октябрь 2025'!$D$2:$D$2619,$B119,'октябрь 2025'!$J$2:$J$2619,AF$1)</f>
        <v>0</v>
      </c>
      <c r="AG119" s="183">
        <f>SUMIFS('октябрь 2025'!$G$2:$G$2619,'октябрь 2025'!$D$2:$D$2619,$B119,'октябрь 2025'!$J$2:$J$2619,AG$1)</f>
        <v>0</v>
      </c>
      <c r="AH119" s="183">
        <f>SUMIFS('октябрь 2025'!$G$2:$G$2619,'октябрь 2025'!$D$2:$D$2619,$B119,'октябрь 2025'!$J$2:$J$2619,AH$1)</f>
        <v>0</v>
      </c>
      <c r="AI119" s="20">
        <f t="shared" si="1"/>
        <v>0</v>
      </c>
    </row>
    <row r="120" spans="2:35" ht="15" customHeight="1" x14ac:dyDescent="0.25">
      <c r="B120" s="88" t="s">
        <v>263</v>
      </c>
      <c r="C120" s="86">
        <v>200</v>
      </c>
      <c r="D120" s="183">
        <f>SUMIFS('октябрь 2025'!$G$2:$G$2619,'октябрь 2025'!$D$2:$D$2619,$B120,'октябрь 2025'!$J$2:$J$2619,D$1)</f>
        <v>0</v>
      </c>
      <c r="E120" s="183">
        <f>SUMIFS('октябрь 2025'!$G$2:$G$2619,'октябрь 2025'!$D$2:$D$2619,$B120,'октябрь 2025'!$J$2:$J$2619,E$1)</f>
        <v>0</v>
      </c>
      <c r="F120" s="183">
        <f>SUMIFS('октябрь 2025'!$G$2:$G$2619,'октябрь 2025'!$D$2:$D$2619,$B120,'октябрь 2025'!$J$2:$J$2619,F$1)</f>
        <v>0</v>
      </c>
      <c r="G120" s="183">
        <f>SUMIFS('октябрь 2025'!$G$2:$G$2619,'октябрь 2025'!$D$2:$D$2619,$B120,'октябрь 2025'!$J$2:$J$2619,G$1)</f>
        <v>0</v>
      </c>
      <c r="H120" s="183">
        <f>SUMIFS('октябрь 2025'!$G$2:$G$2619,'октябрь 2025'!$D$2:$D$2619,$B120,'октябрь 2025'!$J$2:$J$2619,H$1)</f>
        <v>0</v>
      </c>
      <c r="I120" s="183">
        <f>SUMIFS('октябрь 2025'!$G$2:$G$2619,'октябрь 2025'!$D$2:$D$2619,$B120,'октябрь 2025'!$J$2:$J$2619,I$1)</f>
        <v>0</v>
      </c>
      <c r="J120" s="183">
        <f>SUMIFS('октябрь 2025'!$G$2:$G$2619,'октябрь 2025'!$D$2:$D$2619,$B120,'октябрь 2025'!$J$2:$J$2619,J$1)</f>
        <v>0</v>
      </c>
      <c r="K120" s="183">
        <f>SUMIFS('октябрь 2025'!$G$2:$G$2619,'октябрь 2025'!$D$2:$D$2619,$B120,'октябрь 2025'!$J$2:$J$2619,K$1)</f>
        <v>0</v>
      </c>
      <c r="L120" s="183">
        <f>SUMIFS('октябрь 2025'!$G$2:$G$2619,'октябрь 2025'!$D$2:$D$2619,$B120,'октябрь 2025'!$J$2:$J$2619,L$1)</f>
        <v>0</v>
      </c>
      <c r="M120" s="183">
        <f>SUMIFS('октябрь 2025'!$G$2:$G$2619,'октябрь 2025'!$D$2:$D$2619,$B120,'октябрь 2025'!$J$2:$J$2619,M$1)</f>
        <v>0</v>
      </c>
      <c r="N120" s="183">
        <f>SUMIFS('октябрь 2025'!$G$2:$G$2619,'октябрь 2025'!$D$2:$D$2619,$B120,'октябрь 2025'!$J$2:$J$2619,N$1)</f>
        <v>0</v>
      </c>
      <c r="O120" s="183">
        <f>SUMIFS('октябрь 2025'!$G$2:$G$2619,'октябрь 2025'!$D$2:$D$2619,$B120,'октябрь 2025'!$J$2:$J$2619,O$1)</f>
        <v>0</v>
      </c>
      <c r="P120" s="183">
        <f>SUMIFS('октябрь 2025'!$G$2:$G$2619,'октябрь 2025'!$D$2:$D$2619,$B120,'октябрь 2025'!$J$2:$J$2619,P$1)</f>
        <v>0</v>
      </c>
      <c r="Q120" s="183">
        <f>SUMIFS('октябрь 2025'!$G$2:$G$2619,'октябрь 2025'!$D$2:$D$2619,$B120,'октябрь 2025'!$J$2:$J$2619,Q$1)</f>
        <v>0</v>
      </c>
      <c r="R120" s="183">
        <f>SUMIFS('октябрь 2025'!$G$2:$G$2619,'октябрь 2025'!$D$2:$D$2619,$B120,'октябрь 2025'!$J$2:$J$2619,R$1)</f>
        <v>0</v>
      </c>
      <c r="S120" s="183">
        <f>SUMIFS('октябрь 2025'!$G$2:$G$2619,'октябрь 2025'!$D$2:$D$2619,$B120,'октябрь 2025'!$J$2:$J$2619,S$1)</f>
        <v>0</v>
      </c>
      <c r="T120" s="183">
        <f>SUMIFS('октябрь 2025'!$G$2:$G$2619,'октябрь 2025'!$D$2:$D$2619,$B120,'октябрь 2025'!$J$2:$J$2619,T$1)</f>
        <v>0</v>
      </c>
      <c r="U120" s="183">
        <f>SUMIFS('октябрь 2025'!$G$2:$G$2619,'октябрь 2025'!$D$2:$D$2619,$B120,'октябрь 2025'!$J$2:$J$2619,U$1)</f>
        <v>0</v>
      </c>
      <c r="V120" s="183">
        <f>SUMIFS('октябрь 2025'!$G$2:$G$2619,'октябрь 2025'!$D$2:$D$2619,$B120,'октябрь 2025'!$J$2:$J$2619,V$1)</f>
        <v>0</v>
      </c>
      <c r="W120" s="183">
        <f>SUMIFS('октябрь 2025'!$G$2:$G$2619,'октябрь 2025'!$D$2:$D$2619,$B120,'октябрь 2025'!$J$2:$J$2619,W$1)</f>
        <v>0</v>
      </c>
      <c r="X120" s="183">
        <f>SUMIFS('октябрь 2025'!$G$2:$G$2619,'октябрь 2025'!$D$2:$D$2619,$B120,'октябрь 2025'!$J$2:$J$2619,X$1)</f>
        <v>1</v>
      </c>
      <c r="Y120" s="183">
        <f>SUMIFS('октябрь 2025'!$G$2:$G$2619,'октябрь 2025'!$D$2:$D$2619,$B120,'октябрь 2025'!$J$2:$J$2619,Y$1)</f>
        <v>0</v>
      </c>
      <c r="Z120" s="183">
        <f>SUMIFS('октябрь 2025'!$G$2:$G$2619,'октябрь 2025'!$D$2:$D$2619,$B120,'октябрь 2025'!$J$2:$J$2619,Z$1)</f>
        <v>0</v>
      </c>
      <c r="AA120" s="183">
        <f>SUMIFS('октябрь 2025'!$G$2:$G$2619,'октябрь 2025'!$D$2:$D$2619,$B120,'октябрь 2025'!$J$2:$J$2619,AA$1)</f>
        <v>0</v>
      </c>
      <c r="AB120" s="183">
        <f>SUMIFS('октябрь 2025'!$G$2:$G$2619,'октябрь 2025'!$D$2:$D$2619,$B120,'октябрь 2025'!$J$2:$J$2619,AB$1)</f>
        <v>0</v>
      </c>
      <c r="AC120" s="183">
        <f>SUMIFS('октябрь 2025'!$G$2:$G$2619,'октябрь 2025'!$D$2:$D$2619,$B120,'октябрь 2025'!$J$2:$J$2619,AC$1)</f>
        <v>0</v>
      </c>
      <c r="AD120" s="183">
        <f>SUMIFS('октябрь 2025'!$G$2:$G$2619,'октябрь 2025'!$D$2:$D$2619,$B120,'октябрь 2025'!$J$2:$J$2619,AD$1)</f>
        <v>0</v>
      </c>
      <c r="AE120" s="183">
        <f>SUMIFS('октябрь 2025'!$G$2:$G$2619,'октябрь 2025'!$D$2:$D$2619,$B120,'октябрь 2025'!$J$2:$J$2619,AE$1)</f>
        <v>0</v>
      </c>
      <c r="AF120" s="183">
        <f>SUMIFS('октябрь 2025'!$G$2:$G$2619,'октябрь 2025'!$D$2:$D$2619,$B120,'октябрь 2025'!$J$2:$J$2619,AF$1)</f>
        <v>0</v>
      </c>
      <c r="AG120" s="183">
        <f>SUMIFS('октябрь 2025'!$G$2:$G$2619,'октябрь 2025'!$D$2:$D$2619,$B120,'октябрь 2025'!$J$2:$J$2619,AG$1)</f>
        <v>0</v>
      </c>
      <c r="AH120" s="183">
        <f>SUMIFS('октябрь 2025'!$G$2:$G$2619,'октябрь 2025'!$D$2:$D$2619,$B120,'октябрь 2025'!$J$2:$J$2619,AH$1)</f>
        <v>0</v>
      </c>
      <c r="AI120" s="20">
        <f t="shared" si="1"/>
        <v>1</v>
      </c>
    </row>
    <row r="121" spans="2:35" ht="15" customHeight="1" x14ac:dyDescent="0.25">
      <c r="B121" s="84" t="s">
        <v>208</v>
      </c>
      <c r="C121" s="83">
        <v>25</v>
      </c>
      <c r="D121" s="183">
        <f>SUMIFS('октябрь 2025'!$G$2:$G$2619,'октябрь 2025'!$D$2:$D$2619,$B121,'октябрь 2025'!$J$2:$J$2619,D$1)</f>
        <v>0</v>
      </c>
      <c r="E121" s="183">
        <f>SUMIFS('октябрь 2025'!$G$2:$G$2619,'октябрь 2025'!$D$2:$D$2619,$B121,'октябрь 2025'!$J$2:$J$2619,E$1)</f>
        <v>0</v>
      </c>
      <c r="F121" s="183">
        <f>SUMIFS('октябрь 2025'!$G$2:$G$2619,'октябрь 2025'!$D$2:$D$2619,$B121,'октябрь 2025'!$J$2:$J$2619,F$1)</f>
        <v>0</v>
      </c>
      <c r="G121" s="183">
        <f>SUMIFS('октябрь 2025'!$G$2:$G$2619,'октябрь 2025'!$D$2:$D$2619,$B121,'октябрь 2025'!$J$2:$J$2619,G$1)</f>
        <v>0</v>
      </c>
      <c r="H121" s="183">
        <f>SUMIFS('октябрь 2025'!$G$2:$G$2619,'октябрь 2025'!$D$2:$D$2619,$B121,'октябрь 2025'!$J$2:$J$2619,H$1)</f>
        <v>0</v>
      </c>
      <c r="I121" s="183">
        <f>SUMIFS('октябрь 2025'!$G$2:$G$2619,'октябрь 2025'!$D$2:$D$2619,$B121,'октябрь 2025'!$J$2:$J$2619,I$1)</f>
        <v>0</v>
      </c>
      <c r="J121" s="183">
        <f>SUMIFS('октябрь 2025'!$G$2:$G$2619,'октябрь 2025'!$D$2:$D$2619,$B121,'октябрь 2025'!$J$2:$J$2619,J$1)</f>
        <v>0</v>
      </c>
      <c r="K121" s="183">
        <f>SUMIFS('октябрь 2025'!$G$2:$G$2619,'октябрь 2025'!$D$2:$D$2619,$B121,'октябрь 2025'!$J$2:$J$2619,K$1)</f>
        <v>0</v>
      </c>
      <c r="L121" s="183">
        <f>SUMIFS('октябрь 2025'!$G$2:$G$2619,'октябрь 2025'!$D$2:$D$2619,$B121,'октябрь 2025'!$J$2:$J$2619,L$1)</f>
        <v>0</v>
      </c>
      <c r="M121" s="183">
        <f>SUMIFS('октябрь 2025'!$G$2:$G$2619,'октябрь 2025'!$D$2:$D$2619,$B121,'октябрь 2025'!$J$2:$J$2619,M$1)</f>
        <v>0</v>
      </c>
      <c r="N121" s="183">
        <f>SUMIFS('октябрь 2025'!$G$2:$G$2619,'октябрь 2025'!$D$2:$D$2619,$B121,'октябрь 2025'!$J$2:$J$2619,N$1)</f>
        <v>0</v>
      </c>
      <c r="O121" s="183">
        <f>SUMIFS('октябрь 2025'!$G$2:$G$2619,'октябрь 2025'!$D$2:$D$2619,$B121,'октябрь 2025'!$J$2:$J$2619,O$1)</f>
        <v>0</v>
      </c>
      <c r="P121" s="183">
        <f>SUMIFS('октябрь 2025'!$G$2:$G$2619,'октябрь 2025'!$D$2:$D$2619,$B121,'октябрь 2025'!$J$2:$J$2619,P$1)</f>
        <v>0</v>
      </c>
      <c r="Q121" s="183">
        <f>SUMIFS('октябрь 2025'!$G$2:$G$2619,'октябрь 2025'!$D$2:$D$2619,$B121,'октябрь 2025'!$J$2:$J$2619,Q$1)</f>
        <v>0</v>
      </c>
      <c r="R121" s="183">
        <f>SUMIFS('октябрь 2025'!$G$2:$G$2619,'октябрь 2025'!$D$2:$D$2619,$B121,'октябрь 2025'!$J$2:$J$2619,R$1)</f>
        <v>0</v>
      </c>
      <c r="S121" s="183">
        <f>SUMIFS('октябрь 2025'!$G$2:$G$2619,'октябрь 2025'!$D$2:$D$2619,$B121,'октябрь 2025'!$J$2:$J$2619,S$1)</f>
        <v>0</v>
      </c>
      <c r="T121" s="183">
        <f>SUMIFS('октябрь 2025'!$G$2:$G$2619,'октябрь 2025'!$D$2:$D$2619,$B121,'октябрь 2025'!$J$2:$J$2619,T$1)</f>
        <v>0</v>
      </c>
      <c r="U121" s="183">
        <f>SUMIFS('октябрь 2025'!$G$2:$G$2619,'октябрь 2025'!$D$2:$D$2619,$B121,'октябрь 2025'!$J$2:$J$2619,U$1)</f>
        <v>0</v>
      </c>
      <c r="V121" s="183">
        <f>SUMIFS('октябрь 2025'!$G$2:$G$2619,'октябрь 2025'!$D$2:$D$2619,$B121,'октябрь 2025'!$J$2:$J$2619,V$1)</f>
        <v>0</v>
      </c>
      <c r="W121" s="183">
        <f>SUMIFS('октябрь 2025'!$G$2:$G$2619,'октябрь 2025'!$D$2:$D$2619,$B121,'октябрь 2025'!$J$2:$J$2619,W$1)</f>
        <v>0</v>
      </c>
      <c r="X121" s="183">
        <f>SUMIFS('октябрь 2025'!$G$2:$G$2619,'октябрь 2025'!$D$2:$D$2619,$B121,'октябрь 2025'!$J$2:$J$2619,X$1)</f>
        <v>0</v>
      </c>
      <c r="Y121" s="183">
        <f>SUMIFS('октябрь 2025'!$G$2:$G$2619,'октябрь 2025'!$D$2:$D$2619,$B121,'октябрь 2025'!$J$2:$J$2619,Y$1)</f>
        <v>0</v>
      </c>
      <c r="Z121" s="183">
        <f>SUMIFS('октябрь 2025'!$G$2:$G$2619,'октябрь 2025'!$D$2:$D$2619,$B121,'октябрь 2025'!$J$2:$J$2619,Z$1)</f>
        <v>0</v>
      </c>
      <c r="AA121" s="183">
        <f>SUMIFS('октябрь 2025'!$G$2:$G$2619,'октябрь 2025'!$D$2:$D$2619,$B121,'октябрь 2025'!$J$2:$J$2619,AA$1)</f>
        <v>0</v>
      </c>
      <c r="AB121" s="183">
        <f>SUMIFS('октябрь 2025'!$G$2:$G$2619,'октябрь 2025'!$D$2:$D$2619,$B121,'октябрь 2025'!$J$2:$J$2619,AB$1)</f>
        <v>0</v>
      </c>
      <c r="AC121" s="183">
        <f>SUMIFS('октябрь 2025'!$G$2:$G$2619,'октябрь 2025'!$D$2:$D$2619,$B121,'октябрь 2025'!$J$2:$J$2619,AC$1)</f>
        <v>0</v>
      </c>
      <c r="AD121" s="183">
        <f>SUMIFS('октябрь 2025'!$G$2:$G$2619,'октябрь 2025'!$D$2:$D$2619,$B121,'октябрь 2025'!$J$2:$J$2619,AD$1)</f>
        <v>0</v>
      </c>
      <c r="AE121" s="183">
        <f>SUMIFS('октябрь 2025'!$G$2:$G$2619,'октябрь 2025'!$D$2:$D$2619,$B121,'октябрь 2025'!$J$2:$J$2619,AE$1)</f>
        <v>0</v>
      </c>
      <c r="AF121" s="183">
        <f>SUMIFS('октябрь 2025'!$G$2:$G$2619,'октябрь 2025'!$D$2:$D$2619,$B121,'октябрь 2025'!$J$2:$J$2619,AF$1)</f>
        <v>0</v>
      </c>
      <c r="AG121" s="183">
        <f>SUMIFS('октябрь 2025'!$G$2:$G$2619,'октябрь 2025'!$D$2:$D$2619,$B121,'октябрь 2025'!$J$2:$J$2619,AG$1)</f>
        <v>0</v>
      </c>
      <c r="AH121" s="183">
        <f>SUMIFS('октябрь 2025'!$G$2:$G$2619,'октябрь 2025'!$D$2:$D$2619,$B121,'октябрь 2025'!$J$2:$J$2619,AH$1)</f>
        <v>0</v>
      </c>
      <c r="AI121" s="20">
        <f t="shared" si="1"/>
        <v>0</v>
      </c>
    </row>
    <row r="122" spans="2:35" ht="15" customHeight="1" x14ac:dyDescent="0.25">
      <c r="B122" s="88" t="s">
        <v>264</v>
      </c>
      <c r="C122" s="86">
        <v>50</v>
      </c>
      <c r="D122" s="183">
        <f>SUMIFS('октябрь 2025'!$G$2:$G$2619,'октябрь 2025'!$D$2:$D$2619,$B122,'октябрь 2025'!$J$2:$J$2619,D$1)</f>
        <v>0</v>
      </c>
      <c r="E122" s="183">
        <f>SUMIFS('октябрь 2025'!$G$2:$G$2619,'октябрь 2025'!$D$2:$D$2619,$B122,'октябрь 2025'!$J$2:$J$2619,E$1)</f>
        <v>0</v>
      </c>
      <c r="F122" s="183">
        <f>SUMIFS('октябрь 2025'!$G$2:$G$2619,'октябрь 2025'!$D$2:$D$2619,$B122,'октябрь 2025'!$J$2:$J$2619,F$1)</f>
        <v>0</v>
      </c>
      <c r="G122" s="183">
        <f>SUMIFS('октябрь 2025'!$G$2:$G$2619,'октябрь 2025'!$D$2:$D$2619,$B122,'октябрь 2025'!$J$2:$J$2619,G$1)</f>
        <v>0</v>
      </c>
      <c r="H122" s="183">
        <f>SUMIFS('октябрь 2025'!$G$2:$G$2619,'октябрь 2025'!$D$2:$D$2619,$B122,'октябрь 2025'!$J$2:$J$2619,H$1)</f>
        <v>0</v>
      </c>
      <c r="I122" s="183">
        <f>SUMIFS('октябрь 2025'!$G$2:$G$2619,'октябрь 2025'!$D$2:$D$2619,$B122,'октябрь 2025'!$J$2:$J$2619,I$1)</f>
        <v>0</v>
      </c>
      <c r="J122" s="183">
        <f>SUMIFS('октябрь 2025'!$G$2:$G$2619,'октябрь 2025'!$D$2:$D$2619,$B122,'октябрь 2025'!$J$2:$J$2619,J$1)</f>
        <v>0</v>
      </c>
      <c r="K122" s="183">
        <f>SUMIFS('октябрь 2025'!$G$2:$G$2619,'октябрь 2025'!$D$2:$D$2619,$B122,'октябрь 2025'!$J$2:$J$2619,K$1)</f>
        <v>0</v>
      </c>
      <c r="L122" s="183">
        <f>SUMIFS('октябрь 2025'!$G$2:$G$2619,'октябрь 2025'!$D$2:$D$2619,$B122,'октябрь 2025'!$J$2:$J$2619,L$1)</f>
        <v>0</v>
      </c>
      <c r="M122" s="183">
        <f>SUMIFS('октябрь 2025'!$G$2:$G$2619,'октябрь 2025'!$D$2:$D$2619,$B122,'октябрь 2025'!$J$2:$J$2619,M$1)</f>
        <v>0</v>
      </c>
      <c r="N122" s="183">
        <f>SUMIFS('октябрь 2025'!$G$2:$G$2619,'октябрь 2025'!$D$2:$D$2619,$B122,'октябрь 2025'!$J$2:$J$2619,N$1)</f>
        <v>0</v>
      </c>
      <c r="O122" s="183">
        <f>SUMIFS('октябрь 2025'!$G$2:$G$2619,'октябрь 2025'!$D$2:$D$2619,$B122,'октябрь 2025'!$J$2:$J$2619,O$1)</f>
        <v>0</v>
      </c>
      <c r="P122" s="183">
        <f>SUMIFS('октябрь 2025'!$G$2:$G$2619,'октябрь 2025'!$D$2:$D$2619,$B122,'октябрь 2025'!$J$2:$J$2619,P$1)</f>
        <v>0</v>
      </c>
      <c r="Q122" s="183">
        <f>SUMIFS('октябрь 2025'!$G$2:$G$2619,'октябрь 2025'!$D$2:$D$2619,$B122,'октябрь 2025'!$J$2:$J$2619,Q$1)</f>
        <v>0</v>
      </c>
      <c r="R122" s="183">
        <f>SUMIFS('октябрь 2025'!$G$2:$G$2619,'октябрь 2025'!$D$2:$D$2619,$B122,'октябрь 2025'!$J$2:$J$2619,R$1)</f>
        <v>0</v>
      </c>
      <c r="S122" s="183">
        <f>SUMIFS('октябрь 2025'!$G$2:$G$2619,'октябрь 2025'!$D$2:$D$2619,$B122,'октябрь 2025'!$J$2:$J$2619,S$1)</f>
        <v>0</v>
      </c>
      <c r="T122" s="183">
        <f>SUMIFS('октябрь 2025'!$G$2:$G$2619,'октябрь 2025'!$D$2:$D$2619,$B122,'октябрь 2025'!$J$2:$J$2619,T$1)</f>
        <v>0</v>
      </c>
      <c r="U122" s="183">
        <f>SUMIFS('октябрь 2025'!$G$2:$G$2619,'октябрь 2025'!$D$2:$D$2619,$B122,'октябрь 2025'!$J$2:$J$2619,U$1)</f>
        <v>0</v>
      </c>
      <c r="V122" s="183">
        <f>SUMIFS('октябрь 2025'!$G$2:$G$2619,'октябрь 2025'!$D$2:$D$2619,$B122,'октябрь 2025'!$J$2:$J$2619,V$1)</f>
        <v>0</v>
      </c>
      <c r="W122" s="183">
        <f>SUMIFS('октябрь 2025'!$G$2:$G$2619,'октябрь 2025'!$D$2:$D$2619,$B122,'октябрь 2025'!$J$2:$J$2619,W$1)</f>
        <v>0</v>
      </c>
      <c r="X122" s="183">
        <f>SUMIFS('октябрь 2025'!$G$2:$G$2619,'октябрь 2025'!$D$2:$D$2619,$B122,'октябрь 2025'!$J$2:$J$2619,X$1)</f>
        <v>0</v>
      </c>
      <c r="Y122" s="183">
        <f>SUMIFS('октябрь 2025'!$G$2:$G$2619,'октябрь 2025'!$D$2:$D$2619,$B122,'октябрь 2025'!$J$2:$J$2619,Y$1)</f>
        <v>0</v>
      </c>
      <c r="Z122" s="183">
        <f>SUMIFS('октябрь 2025'!$G$2:$G$2619,'октябрь 2025'!$D$2:$D$2619,$B122,'октябрь 2025'!$J$2:$J$2619,Z$1)</f>
        <v>0</v>
      </c>
      <c r="AA122" s="183">
        <f>SUMIFS('октябрь 2025'!$G$2:$G$2619,'октябрь 2025'!$D$2:$D$2619,$B122,'октябрь 2025'!$J$2:$J$2619,AA$1)</f>
        <v>0</v>
      </c>
      <c r="AB122" s="183">
        <f>SUMIFS('октябрь 2025'!$G$2:$G$2619,'октябрь 2025'!$D$2:$D$2619,$B122,'октябрь 2025'!$J$2:$J$2619,AB$1)</f>
        <v>0</v>
      </c>
      <c r="AC122" s="183">
        <f>SUMIFS('октябрь 2025'!$G$2:$G$2619,'октябрь 2025'!$D$2:$D$2619,$B122,'октябрь 2025'!$J$2:$J$2619,AC$1)</f>
        <v>0</v>
      </c>
      <c r="AD122" s="183">
        <f>SUMIFS('октябрь 2025'!$G$2:$G$2619,'октябрь 2025'!$D$2:$D$2619,$B122,'октябрь 2025'!$J$2:$J$2619,AD$1)</f>
        <v>0</v>
      </c>
      <c r="AE122" s="183">
        <f>SUMIFS('октябрь 2025'!$G$2:$G$2619,'октябрь 2025'!$D$2:$D$2619,$B122,'октябрь 2025'!$J$2:$J$2619,AE$1)</f>
        <v>0</v>
      </c>
      <c r="AF122" s="183">
        <f>SUMIFS('октябрь 2025'!$G$2:$G$2619,'октябрь 2025'!$D$2:$D$2619,$B122,'октябрь 2025'!$J$2:$J$2619,AF$1)</f>
        <v>0</v>
      </c>
      <c r="AG122" s="183">
        <f>SUMIFS('октябрь 2025'!$G$2:$G$2619,'октябрь 2025'!$D$2:$D$2619,$B122,'октябрь 2025'!$J$2:$J$2619,AG$1)</f>
        <v>0</v>
      </c>
      <c r="AH122" s="183">
        <f>SUMIFS('октябрь 2025'!$G$2:$G$2619,'октябрь 2025'!$D$2:$D$2619,$B122,'октябрь 2025'!$J$2:$J$2619,AH$1)</f>
        <v>0</v>
      </c>
      <c r="AI122" s="20">
        <f t="shared" si="1"/>
        <v>0</v>
      </c>
    </row>
    <row r="123" spans="2:35" ht="15" customHeight="1" x14ac:dyDescent="0.25">
      <c r="B123" s="88" t="s">
        <v>185</v>
      </c>
      <c r="C123" s="86">
        <v>180</v>
      </c>
      <c r="D123" s="183">
        <f>SUMIFS('октябрь 2025'!$G$2:$G$2619,'октябрь 2025'!$D$2:$D$2619,$B123,'октябрь 2025'!$J$2:$J$2619,D$1)</f>
        <v>0</v>
      </c>
      <c r="E123" s="183">
        <f>SUMIFS('октябрь 2025'!$G$2:$G$2619,'октябрь 2025'!$D$2:$D$2619,$B123,'октябрь 2025'!$J$2:$J$2619,E$1)</f>
        <v>0</v>
      </c>
      <c r="F123" s="183">
        <f>SUMIFS('октябрь 2025'!$G$2:$G$2619,'октябрь 2025'!$D$2:$D$2619,$B123,'октябрь 2025'!$J$2:$J$2619,F$1)</f>
        <v>0</v>
      </c>
      <c r="G123" s="183">
        <f>SUMIFS('октябрь 2025'!$G$2:$G$2619,'октябрь 2025'!$D$2:$D$2619,$B123,'октябрь 2025'!$J$2:$J$2619,G$1)</f>
        <v>0</v>
      </c>
      <c r="H123" s="183">
        <f>SUMIFS('октябрь 2025'!$G$2:$G$2619,'октябрь 2025'!$D$2:$D$2619,$B123,'октябрь 2025'!$J$2:$J$2619,H$1)</f>
        <v>0</v>
      </c>
      <c r="I123" s="183">
        <f>SUMIFS('октябрь 2025'!$G$2:$G$2619,'октябрь 2025'!$D$2:$D$2619,$B123,'октябрь 2025'!$J$2:$J$2619,I$1)</f>
        <v>0</v>
      </c>
      <c r="J123" s="183">
        <f>SUMIFS('октябрь 2025'!$G$2:$G$2619,'октябрь 2025'!$D$2:$D$2619,$B123,'октябрь 2025'!$J$2:$J$2619,J$1)</f>
        <v>0</v>
      </c>
      <c r="K123" s="183">
        <f>SUMIFS('октябрь 2025'!$G$2:$G$2619,'октябрь 2025'!$D$2:$D$2619,$B123,'октябрь 2025'!$J$2:$J$2619,K$1)</f>
        <v>0</v>
      </c>
      <c r="L123" s="183">
        <f>SUMIFS('октябрь 2025'!$G$2:$G$2619,'октябрь 2025'!$D$2:$D$2619,$B123,'октябрь 2025'!$J$2:$J$2619,L$1)</f>
        <v>0</v>
      </c>
      <c r="M123" s="183">
        <f>SUMIFS('октябрь 2025'!$G$2:$G$2619,'октябрь 2025'!$D$2:$D$2619,$B123,'октябрь 2025'!$J$2:$J$2619,M$1)</f>
        <v>0</v>
      </c>
      <c r="N123" s="183">
        <f>SUMIFS('октябрь 2025'!$G$2:$G$2619,'октябрь 2025'!$D$2:$D$2619,$B123,'октябрь 2025'!$J$2:$J$2619,N$1)</f>
        <v>0</v>
      </c>
      <c r="O123" s="183">
        <f>SUMIFS('октябрь 2025'!$G$2:$G$2619,'октябрь 2025'!$D$2:$D$2619,$B123,'октябрь 2025'!$J$2:$J$2619,O$1)</f>
        <v>0</v>
      </c>
      <c r="P123" s="183">
        <f>SUMIFS('октябрь 2025'!$G$2:$G$2619,'октябрь 2025'!$D$2:$D$2619,$B123,'октябрь 2025'!$J$2:$J$2619,P$1)</f>
        <v>0</v>
      </c>
      <c r="Q123" s="183">
        <f>SUMIFS('октябрь 2025'!$G$2:$G$2619,'октябрь 2025'!$D$2:$D$2619,$B123,'октябрь 2025'!$J$2:$J$2619,Q$1)</f>
        <v>0</v>
      </c>
      <c r="R123" s="183">
        <f>SUMIFS('октябрь 2025'!$G$2:$G$2619,'октябрь 2025'!$D$2:$D$2619,$B123,'октябрь 2025'!$J$2:$J$2619,R$1)</f>
        <v>0</v>
      </c>
      <c r="S123" s="183">
        <f>SUMIFS('октябрь 2025'!$G$2:$G$2619,'октябрь 2025'!$D$2:$D$2619,$B123,'октябрь 2025'!$J$2:$J$2619,S$1)</f>
        <v>0</v>
      </c>
      <c r="T123" s="183">
        <f>SUMIFS('октябрь 2025'!$G$2:$G$2619,'октябрь 2025'!$D$2:$D$2619,$B123,'октябрь 2025'!$J$2:$J$2619,T$1)</f>
        <v>0</v>
      </c>
      <c r="U123" s="183">
        <f>SUMIFS('октябрь 2025'!$G$2:$G$2619,'октябрь 2025'!$D$2:$D$2619,$B123,'октябрь 2025'!$J$2:$J$2619,U$1)</f>
        <v>0</v>
      </c>
      <c r="V123" s="183">
        <f>SUMIFS('октябрь 2025'!$G$2:$G$2619,'октябрь 2025'!$D$2:$D$2619,$B123,'октябрь 2025'!$J$2:$J$2619,V$1)</f>
        <v>0</v>
      </c>
      <c r="W123" s="183">
        <f>SUMIFS('октябрь 2025'!$G$2:$G$2619,'октябрь 2025'!$D$2:$D$2619,$B123,'октябрь 2025'!$J$2:$J$2619,W$1)</f>
        <v>0</v>
      </c>
      <c r="X123" s="183">
        <f>SUMIFS('октябрь 2025'!$G$2:$G$2619,'октябрь 2025'!$D$2:$D$2619,$B123,'октябрь 2025'!$J$2:$J$2619,X$1)</f>
        <v>0</v>
      </c>
      <c r="Y123" s="183">
        <f>SUMIFS('октябрь 2025'!$G$2:$G$2619,'октябрь 2025'!$D$2:$D$2619,$B123,'октябрь 2025'!$J$2:$J$2619,Y$1)</f>
        <v>0</v>
      </c>
      <c r="Z123" s="183">
        <f>SUMIFS('октябрь 2025'!$G$2:$G$2619,'октябрь 2025'!$D$2:$D$2619,$B123,'октябрь 2025'!$J$2:$J$2619,Z$1)</f>
        <v>0</v>
      </c>
      <c r="AA123" s="183">
        <f>SUMIFS('октябрь 2025'!$G$2:$G$2619,'октябрь 2025'!$D$2:$D$2619,$B123,'октябрь 2025'!$J$2:$J$2619,AA$1)</f>
        <v>0</v>
      </c>
      <c r="AB123" s="183">
        <f>SUMIFS('октябрь 2025'!$G$2:$G$2619,'октябрь 2025'!$D$2:$D$2619,$B123,'октябрь 2025'!$J$2:$J$2619,AB$1)</f>
        <v>0</v>
      </c>
      <c r="AC123" s="183">
        <f>SUMIFS('октябрь 2025'!$G$2:$G$2619,'октябрь 2025'!$D$2:$D$2619,$B123,'октябрь 2025'!$J$2:$J$2619,AC$1)</f>
        <v>0</v>
      </c>
      <c r="AD123" s="183">
        <f>SUMIFS('октябрь 2025'!$G$2:$G$2619,'октябрь 2025'!$D$2:$D$2619,$B123,'октябрь 2025'!$J$2:$J$2619,AD$1)</f>
        <v>0</v>
      </c>
      <c r="AE123" s="183">
        <f>SUMIFS('октябрь 2025'!$G$2:$G$2619,'октябрь 2025'!$D$2:$D$2619,$B123,'октябрь 2025'!$J$2:$J$2619,AE$1)</f>
        <v>0</v>
      </c>
      <c r="AF123" s="183">
        <f>SUMIFS('октябрь 2025'!$G$2:$G$2619,'октябрь 2025'!$D$2:$D$2619,$B123,'октябрь 2025'!$J$2:$J$2619,AF$1)</f>
        <v>0</v>
      </c>
      <c r="AG123" s="183">
        <f>SUMIFS('октябрь 2025'!$G$2:$G$2619,'октябрь 2025'!$D$2:$D$2619,$B123,'октябрь 2025'!$J$2:$J$2619,AG$1)</f>
        <v>0</v>
      </c>
      <c r="AH123" s="183">
        <f>SUMIFS('октябрь 2025'!$G$2:$G$2619,'октябрь 2025'!$D$2:$D$2619,$B123,'октябрь 2025'!$J$2:$J$2619,AH$1)</f>
        <v>0</v>
      </c>
      <c r="AI123" s="20">
        <f t="shared" si="1"/>
        <v>0</v>
      </c>
    </row>
    <row r="124" spans="2:35" ht="15" customHeight="1" x14ac:dyDescent="0.25">
      <c r="B124" s="88" t="s">
        <v>203</v>
      </c>
      <c r="C124" s="86">
        <v>185</v>
      </c>
      <c r="D124" s="183">
        <f>SUMIFS('октябрь 2025'!$G$2:$G$2619,'октябрь 2025'!$D$2:$D$2619,$B124,'октябрь 2025'!$J$2:$J$2619,D$1)</f>
        <v>0</v>
      </c>
      <c r="E124" s="183">
        <f>SUMIFS('октябрь 2025'!$G$2:$G$2619,'октябрь 2025'!$D$2:$D$2619,$B124,'октябрь 2025'!$J$2:$J$2619,E$1)</f>
        <v>0</v>
      </c>
      <c r="F124" s="183">
        <f>SUMIFS('октябрь 2025'!$G$2:$G$2619,'октябрь 2025'!$D$2:$D$2619,$B124,'октябрь 2025'!$J$2:$J$2619,F$1)</f>
        <v>0</v>
      </c>
      <c r="G124" s="183">
        <f>SUMIFS('октябрь 2025'!$G$2:$G$2619,'октябрь 2025'!$D$2:$D$2619,$B124,'октябрь 2025'!$J$2:$J$2619,G$1)</f>
        <v>0</v>
      </c>
      <c r="H124" s="183">
        <f>SUMIFS('октябрь 2025'!$G$2:$G$2619,'октябрь 2025'!$D$2:$D$2619,$B124,'октябрь 2025'!$J$2:$J$2619,H$1)</f>
        <v>0</v>
      </c>
      <c r="I124" s="183">
        <f>SUMIFS('октябрь 2025'!$G$2:$G$2619,'октябрь 2025'!$D$2:$D$2619,$B124,'октябрь 2025'!$J$2:$J$2619,I$1)</f>
        <v>0</v>
      </c>
      <c r="J124" s="183">
        <f>SUMIFS('октябрь 2025'!$G$2:$G$2619,'октябрь 2025'!$D$2:$D$2619,$B124,'октябрь 2025'!$J$2:$J$2619,J$1)</f>
        <v>0</v>
      </c>
      <c r="K124" s="183">
        <f>SUMIFS('октябрь 2025'!$G$2:$G$2619,'октябрь 2025'!$D$2:$D$2619,$B124,'октябрь 2025'!$J$2:$J$2619,K$1)</f>
        <v>0</v>
      </c>
      <c r="L124" s="183">
        <f>SUMIFS('октябрь 2025'!$G$2:$G$2619,'октябрь 2025'!$D$2:$D$2619,$B124,'октябрь 2025'!$J$2:$J$2619,L$1)</f>
        <v>0</v>
      </c>
      <c r="M124" s="183">
        <f>SUMIFS('октябрь 2025'!$G$2:$G$2619,'октябрь 2025'!$D$2:$D$2619,$B124,'октябрь 2025'!$J$2:$J$2619,M$1)</f>
        <v>0</v>
      </c>
      <c r="N124" s="183">
        <f>SUMIFS('октябрь 2025'!$G$2:$G$2619,'октябрь 2025'!$D$2:$D$2619,$B124,'октябрь 2025'!$J$2:$J$2619,N$1)</f>
        <v>0</v>
      </c>
      <c r="O124" s="183">
        <f>SUMIFS('октябрь 2025'!$G$2:$G$2619,'октябрь 2025'!$D$2:$D$2619,$B124,'октябрь 2025'!$J$2:$J$2619,O$1)</f>
        <v>0</v>
      </c>
      <c r="P124" s="183">
        <f>SUMIFS('октябрь 2025'!$G$2:$G$2619,'октябрь 2025'!$D$2:$D$2619,$B124,'октябрь 2025'!$J$2:$J$2619,P$1)</f>
        <v>0</v>
      </c>
      <c r="Q124" s="183">
        <f>SUMIFS('октябрь 2025'!$G$2:$G$2619,'октябрь 2025'!$D$2:$D$2619,$B124,'октябрь 2025'!$J$2:$J$2619,Q$1)</f>
        <v>0</v>
      </c>
      <c r="R124" s="183">
        <f>SUMIFS('октябрь 2025'!$G$2:$G$2619,'октябрь 2025'!$D$2:$D$2619,$B124,'октябрь 2025'!$J$2:$J$2619,R$1)</f>
        <v>0</v>
      </c>
      <c r="S124" s="183">
        <f>SUMIFS('октябрь 2025'!$G$2:$G$2619,'октябрь 2025'!$D$2:$D$2619,$B124,'октябрь 2025'!$J$2:$J$2619,S$1)</f>
        <v>0</v>
      </c>
      <c r="T124" s="183">
        <f>SUMIFS('октябрь 2025'!$G$2:$G$2619,'октябрь 2025'!$D$2:$D$2619,$B124,'октябрь 2025'!$J$2:$J$2619,T$1)</f>
        <v>0</v>
      </c>
      <c r="U124" s="183">
        <f>SUMIFS('октябрь 2025'!$G$2:$G$2619,'октябрь 2025'!$D$2:$D$2619,$B124,'октябрь 2025'!$J$2:$J$2619,U$1)</f>
        <v>0</v>
      </c>
      <c r="V124" s="183">
        <f>SUMIFS('октябрь 2025'!$G$2:$G$2619,'октябрь 2025'!$D$2:$D$2619,$B124,'октябрь 2025'!$J$2:$J$2619,V$1)</f>
        <v>0</v>
      </c>
      <c r="W124" s="183">
        <f>SUMIFS('октябрь 2025'!$G$2:$G$2619,'октябрь 2025'!$D$2:$D$2619,$B124,'октябрь 2025'!$J$2:$J$2619,W$1)</f>
        <v>0</v>
      </c>
      <c r="X124" s="183">
        <f>SUMIFS('октябрь 2025'!$G$2:$G$2619,'октябрь 2025'!$D$2:$D$2619,$B124,'октябрь 2025'!$J$2:$J$2619,X$1)</f>
        <v>0</v>
      </c>
      <c r="Y124" s="183">
        <f>SUMIFS('октябрь 2025'!$G$2:$G$2619,'октябрь 2025'!$D$2:$D$2619,$B124,'октябрь 2025'!$J$2:$J$2619,Y$1)</f>
        <v>0</v>
      </c>
      <c r="Z124" s="183">
        <f>SUMIFS('октябрь 2025'!$G$2:$G$2619,'октябрь 2025'!$D$2:$D$2619,$B124,'октябрь 2025'!$J$2:$J$2619,Z$1)</f>
        <v>0</v>
      </c>
      <c r="AA124" s="183">
        <f>SUMIFS('октябрь 2025'!$G$2:$G$2619,'октябрь 2025'!$D$2:$D$2619,$B124,'октябрь 2025'!$J$2:$J$2619,AA$1)</f>
        <v>0</v>
      </c>
      <c r="AB124" s="183">
        <f>SUMIFS('октябрь 2025'!$G$2:$G$2619,'октябрь 2025'!$D$2:$D$2619,$B124,'октябрь 2025'!$J$2:$J$2619,AB$1)</f>
        <v>0</v>
      </c>
      <c r="AC124" s="183">
        <f>SUMIFS('октябрь 2025'!$G$2:$G$2619,'октябрь 2025'!$D$2:$D$2619,$B124,'октябрь 2025'!$J$2:$J$2619,AC$1)</f>
        <v>0</v>
      </c>
      <c r="AD124" s="183">
        <f>SUMIFS('октябрь 2025'!$G$2:$G$2619,'октябрь 2025'!$D$2:$D$2619,$B124,'октябрь 2025'!$J$2:$J$2619,AD$1)</f>
        <v>0</v>
      </c>
      <c r="AE124" s="183">
        <f>SUMIFS('октябрь 2025'!$G$2:$G$2619,'октябрь 2025'!$D$2:$D$2619,$B124,'октябрь 2025'!$J$2:$J$2619,AE$1)</f>
        <v>0</v>
      </c>
      <c r="AF124" s="183">
        <f>SUMIFS('октябрь 2025'!$G$2:$G$2619,'октябрь 2025'!$D$2:$D$2619,$B124,'октябрь 2025'!$J$2:$J$2619,AF$1)</f>
        <v>0</v>
      </c>
      <c r="AG124" s="183">
        <f>SUMIFS('октябрь 2025'!$G$2:$G$2619,'октябрь 2025'!$D$2:$D$2619,$B124,'октябрь 2025'!$J$2:$J$2619,AG$1)</f>
        <v>0</v>
      </c>
      <c r="AH124" s="183">
        <f>SUMIFS('октябрь 2025'!$G$2:$G$2619,'октябрь 2025'!$D$2:$D$2619,$B124,'октябрь 2025'!$J$2:$J$2619,AH$1)</f>
        <v>0</v>
      </c>
      <c r="AI124" s="20">
        <f t="shared" si="1"/>
        <v>0</v>
      </c>
    </row>
    <row r="125" spans="2:35" ht="15" customHeight="1" x14ac:dyDescent="0.25">
      <c r="B125" s="88" t="s">
        <v>304</v>
      </c>
      <c r="C125" s="86">
        <v>175</v>
      </c>
      <c r="D125" s="183">
        <f>SUMIFS('октябрь 2025'!$G$2:$G$2619,'октябрь 2025'!$D$2:$D$2619,$B125,'октябрь 2025'!$J$2:$J$2619,D$1)</f>
        <v>0</v>
      </c>
      <c r="E125" s="183">
        <f>SUMIFS('октябрь 2025'!$G$2:$G$2619,'октябрь 2025'!$D$2:$D$2619,$B125,'октябрь 2025'!$J$2:$J$2619,E$1)</f>
        <v>0</v>
      </c>
      <c r="F125" s="183">
        <f>SUMIFS('октябрь 2025'!$G$2:$G$2619,'октябрь 2025'!$D$2:$D$2619,$B125,'октябрь 2025'!$J$2:$J$2619,F$1)</f>
        <v>0</v>
      </c>
      <c r="G125" s="183">
        <f>SUMIFS('октябрь 2025'!$G$2:$G$2619,'октябрь 2025'!$D$2:$D$2619,$B125,'октябрь 2025'!$J$2:$J$2619,G$1)</f>
        <v>0</v>
      </c>
      <c r="H125" s="183">
        <f>SUMIFS('октябрь 2025'!$G$2:$G$2619,'октябрь 2025'!$D$2:$D$2619,$B125,'октябрь 2025'!$J$2:$J$2619,H$1)</f>
        <v>0</v>
      </c>
      <c r="I125" s="183">
        <f>SUMIFS('октябрь 2025'!$G$2:$G$2619,'октябрь 2025'!$D$2:$D$2619,$B125,'октябрь 2025'!$J$2:$J$2619,I$1)</f>
        <v>0</v>
      </c>
      <c r="J125" s="183">
        <f>SUMIFS('октябрь 2025'!$G$2:$G$2619,'октябрь 2025'!$D$2:$D$2619,$B125,'октябрь 2025'!$J$2:$J$2619,J$1)</f>
        <v>0</v>
      </c>
      <c r="K125" s="183">
        <f>SUMIFS('октябрь 2025'!$G$2:$G$2619,'октябрь 2025'!$D$2:$D$2619,$B125,'октябрь 2025'!$J$2:$J$2619,K$1)</f>
        <v>0</v>
      </c>
      <c r="L125" s="183">
        <f>SUMIFS('октябрь 2025'!$G$2:$G$2619,'октябрь 2025'!$D$2:$D$2619,$B125,'октябрь 2025'!$J$2:$J$2619,L$1)</f>
        <v>88</v>
      </c>
      <c r="M125" s="183">
        <f>SUMIFS('октябрь 2025'!$G$2:$G$2619,'октябрь 2025'!$D$2:$D$2619,$B125,'октябрь 2025'!$J$2:$J$2619,M$1)</f>
        <v>0</v>
      </c>
      <c r="N125" s="183">
        <f>SUMIFS('октябрь 2025'!$G$2:$G$2619,'октябрь 2025'!$D$2:$D$2619,$B125,'октябрь 2025'!$J$2:$J$2619,N$1)</f>
        <v>0</v>
      </c>
      <c r="O125" s="183">
        <f>SUMIFS('октябрь 2025'!$G$2:$G$2619,'октябрь 2025'!$D$2:$D$2619,$B125,'октябрь 2025'!$J$2:$J$2619,O$1)</f>
        <v>0</v>
      </c>
      <c r="P125" s="183">
        <f>SUMIFS('октябрь 2025'!$G$2:$G$2619,'октябрь 2025'!$D$2:$D$2619,$B125,'октябрь 2025'!$J$2:$J$2619,P$1)</f>
        <v>0</v>
      </c>
      <c r="Q125" s="183">
        <f>SUMIFS('октябрь 2025'!$G$2:$G$2619,'октябрь 2025'!$D$2:$D$2619,$B125,'октябрь 2025'!$J$2:$J$2619,Q$1)</f>
        <v>0</v>
      </c>
      <c r="R125" s="183">
        <f>SUMIFS('октябрь 2025'!$G$2:$G$2619,'октябрь 2025'!$D$2:$D$2619,$B125,'октябрь 2025'!$J$2:$J$2619,R$1)</f>
        <v>0</v>
      </c>
      <c r="S125" s="183">
        <f>SUMIFS('октябрь 2025'!$G$2:$G$2619,'октябрь 2025'!$D$2:$D$2619,$B125,'октябрь 2025'!$J$2:$J$2619,S$1)</f>
        <v>0</v>
      </c>
      <c r="T125" s="183">
        <f>SUMIFS('октябрь 2025'!$G$2:$G$2619,'октябрь 2025'!$D$2:$D$2619,$B125,'октябрь 2025'!$J$2:$J$2619,T$1)</f>
        <v>0</v>
      </c>
      <c r="U125" s="183">
        <f>SUMIFS('октябрь 2025'!$G$2:$G$2619,'октябрь 2025'!$D$2:$D$2619,$B125,'октябрь 2025'!$J$2:$J$2619,U$1)</f>
        <v>0</v>
      </c>
      <c r="V125" s="183">
        <f>SUMIFS('октябрь 2025'!$G$2:$G$2619,'октябрь 2025'!$D$2:$D$2619,$B125,'октябрь 2025'!$J$2:$J$2619,V$1)</f>
        <v>0</v>
      </c>
      <c r="W125" s="183">
        <f>SUMIFS('октябрь 2025'!$G$2:$G$2619,'октябрь 2025'!$D$2:$D$2619,$B125,'октябрь 2025'!$J$2:$J$2619,W$1)</f>
        <v>0</v>
      </c>
      <c r="X125" s="183">
        <f>SUMIFS('октябрь 2025'!$G$2:$G$2619,'октябрь 2025'!$D$2:$D$2619,$B125,'октябрь 2025'!$J$2:$J$2619,X$1)</f>
        <v>0</v>
      </c>
      <c r="Y125" s="183">
        <f>SUMIFS('октябрь 2025'!$G$2:$G$2619,'октябрь 2025'!$D$2:$D$2619,$B125,'октябрь 2025'!$J$2:$J$2619,Y$1)</f>
        <v>0</v>
      </c>
      <c r="Z125" s="183">
        <f>SUMIFS('октябрь 2025'!$G$2:$G$2619,'октябрь 2025'!$D$2:$D$2619,$B125,'октябрь 2025'!$J$2:$J$2619,Z$1)</f>
        <v>0</v>
      </c>
      <c r="AA125" s="183">
        <f>SUMIFS('октябрь 2025'!$G$2:$G$2619,'октябрь 2025'!$D$2:$D$2619,$B125,'октябрь 2025'!$J$2:$J$2619,AA$1)</f>
        <v>0</v>
      </c>
      <c r="AB125" s="183">
        <f>SUMIFS('октябрь 2025'!$G$2:$G$2619,'октябрь 2025'!$D$2:$D$2619,$B125,'октябрь 2025'!$J$2:$J$2619,AB$1)</f>
        <v>0</v>
      </c>
      <c r="AC125" s="183">
        <f>SUMIFS('октябрь 2025'!$G$2:$G$2619,'октябрь 2025'!$D$2:$D$2619,$B125,'октябрь 2025'!$J$2:$J$2619,AC$1)</f>
        <v>0</v>
      </c>
      <c r="AD125" s="183">
        <f>SUMIFS('октябрь 2025'!$G$2:$G$2619,'октябрь 2025'!$D$2:$D$2619,$B125,'октябрь 2025'!$J$2:$J$2619,AD$1)</f>
        <v>0</v>
      </c>
      <c r="AE125" s="183">
        <f>SUMIFS('октябрь 2025'!$G$2:$G$2619,'октябрь 2025'!$D$2:$D$2619,$B125,'октябрь 2025'!$J$2:$J$2619,AE$1)</f>
        <v>0</v>
      </c>
      <c r="AF125" s="183">
        <f>SUMIFS('октябрь 2025'!$G$2:$G$2619,'октябрь 2025'!$D$2:$D$2619,$B125,'октябрь 2025'!$J$2:$J$2619,AF$1)</f>
        <v>0</v>
      </c>
      <c r="AG125" s="183">
        <f>SUMIFS('октябрь 2025'!$G$2:$G$2619,'октябрь 2025'!$D$2:$D$2619,$B125,'октябрь 2025'!$J$2:$J$2619,AG$1)</f>
        <v>0</v>
      </c>
      <c r="AH125" s="183">
        <f>SUMIFS('октябрь 2025'!$G$2:$G$2619,'октябрь 2025'!$D$2:$D$2619,$B125,'октябрь 2025'!$J$2:$J$2619,AH$1)</f>
        <v>0</v>
      </c>
      <c r="AI125" s="20">
        <f t="shared" si="1"/>
        <v>88</v>
      </c>
    </row>
    <row r="126" spans="2:35" ht="15" customHeight="1" x14ac:dyDescent="0.25">
      <c r="B126" s="88" t="s">
        <v>310</v>
      </c>
      <c r="C126" s="86">
        <v>200</v>
      </c>
      <c r="D126" s="183">
        <f>SUMIFS('октябрь 2025'!$G$2:$G$2619,'октябрь 2025'!$D$2:$D$2619,$B126,'октябрь 2025'!$J$2:$J$2619,D$1)</f>
        <v>0</v>
      </c>
      <c r="E126" s="183">
        <f>SUMIFS('октябрь 2025'!$G$2:$G$2619,'октябрь 2025'!$D$2:$D$2619,$B126,'октябрь 2025'!$J$2:$J$2619,E$1)</f>
        <v>0</v>
      </c>
      <c r="F126" s="183">
        <f>SUMIFS('октябрь 2025'!$G$2:$G$2619,'октябрь 2025'!$D$2:$D$2619,$B126,'октябрь 2025'!$J$2:$J$2619,F$1)</f>
        <v>0</v>
      </c>
      <c r="G126" s="183">
        <f>SUMIFS('октябрь 2025'!$G$2:$G$2619,'октябрь 2025'!$D$2:$D$2619,$B126,'октябрь 2025'!$J$2:$J$2619,G$1)</f>
        <v>0</v>
      </c>
      <c r="H126" s="183">
        <f>SUMIFS('октябрь 2025'!$G$2:$G$2619,'октябрь 2025'!$D$2:$D$2619,$B126,'октябрь 2025'!$J$2:$J$2619,H$1)</f>
        <v>0</v>
      </c>
      <c r="I126" s="183">
        <f>SUMIFS('октябрь 2025'!$G$2:$G$2619,'октябрь 2025'!$D$2:$D$2619,$B126,'октябрь 2025'!$J$2:$J$2619,I$1)</f>
        <v>0</v>
      </c>
      <c r="J126" s="183">
        <f>SUMIFS('октябрь 2025'!$G$2:$G$2619,'октябрь 2025'!$D$2:$D$2619,$B126,'октябрь 2025'!$J$2:$J$2619,J$1)</f>
        <v>0</v>
      </c>
      <c r="K126" s="183">
        <f>SUMIFS('октябрь 2025'!$G$2:$G$2619,'октябрь 2025'!$D$2:$D$2619,$B126,'октябрь 2025'!$J$2:$J$2619,K$1)</f>
        <v>0</v>
      </c>
      <c r="L126" s="183">
        <f>SUMIFS('октябрь 2025'!$G$2:$G$2619,'октябрь 2025'!$D$2:$D$2619,$B126,'октябрь 2025'!$J$2:$J$2619,L$1)</f>
        <v>0</v>
      </c>
      <c r="M126" s="183">
        <f>SUMIFS('октябрь 2025'!$G$2:$G$2619,'октябрь 2025'!$D$2:$D$2619,$B126,'октябрь 2025'!$J$2:$J$2619,M$1)</f>
        <v>0</v>
      </c>
      <c r="N126" s="183">
        <f>SUMIFS('октябрь 2025'!$G$2:$G$2619,'октябрь 2025'!$D$2:$D$2619,$B126,'октябрь 2025'!$J$2:$J$2619,N$1)</f>
        <v>0</v>
      </c>
      <c r="O126" s="183">
        <f>SUMIFS('октябрь 2025'!$G$2:$G$2619,'октябрь 2025'!$D$2:$D$2619,$B126,'октябрь 2025'!$J$2:$J$2619,O$1)</f>
        <v>0</v>
      </c>
      <c r="P126" s="183">
        <f>SUMIFS('октябрь 2025'!$G$2:$G$2619,'октябрь 2025'!$D$2:$D$2619,$B126,'октябрь 2025'!$J$2:$J$2619,P$1)</f>
        <v>0</v>
      </c>
      <c r="Q126" s="183">
        <f>SUMIFS('октябрь 2025'!$G$2:$G$2619,'октябрь 2025'!$D$2:$D$2619,$B126,'октябрь 2025'!$J$2:$J$2619,Q$1)</f>
        <v>0</v>
      </c>
      <c r="R126" s="183">
        <f>SUMIFS('октябрь 2025'!$G$2:$G$2619,'октябрь 2025'!$D$2:$D$2619,$B126,'октябрь 2025'!$J$2:$J$2619,R$1)</f>
        <v>0</v>
      </c>
      <c r="S126" s="183">
        <f>SUMIFS('октябрь 2025'!$G$2:$G$2619,'октябрь 2025'!$D$2:$D$2619,$B126,'октябрь 2025'!$J$2:$J$2619,S$1)</f>
        <v>0</v>
      </c>
      <c r="T126" s="183">
        <f>SUMIFS('октябрь 2025'!$G$2:$G$2619,'октябрь 2025'!$D$2:$D$2619,$B126,'октябрь 2025'!$J$2:$J$2619,T$1)</f>
        <v>0</v>
      </c>
      <c r="U126" s="183">
        <f>SUMIFS('октябрь 2025'!$G$2:$G$2619,'октябрь 2025'!$D$2:$D$2619,$B126,'октябрь 2025'!$J$2:$J$2619,U$1)</f>
        <v>0</v>
      </c>
      <c r="V126" s="183">
        <f>SUMIFS('октябрь 2025'!$G$2:$G$2619,'октябрь 2025'!$D$2:$D$2619,$B126,'октябрь 2025'!$J$2:$J$2619,V$1)</f>
        <v>0</v>
      </c>
      <c r="W126" s="183">
        <f>SUMIFS('октябрь 2025'!$G$2:$G$2619,'октябрь 2025'!$D$2:$D$2619,$B126,'октябрь 2025'!$J$2:$J$2619,W$1)</f>
        <v>0</v>
      </c>
      <c r="X126" s="183">
        <f>SUMIFS('октябрь 2025'!$G$2:$G$2619,'октябрь 2025'!$D$2:$D$2619,$B126,'октябрь 2025'!$J$2:$J$2619,X$1)</f>
        <v>0</v>
      </c>
      <c r="Y126" s="183">
        <f>SUMIFS('октябрь 2025'!$G$2:$G$2619,'октябрь 2025'!$D$2:$D$2619,$B126,'октябрь 2025'!$J$2:$J$2619,Y$1)</f>
        <v>0</v>
      </c>
      <c r="Z126" s="183">
        <f>SUMIFS('октябрь 2025'!$G$2:$G$2619,'октябрь 2025'!$D$2:$D$2619,$B126,'октябрь 2025'!$J$2:$J$2619,Z$1)</f>
        <v>0</v>
      </c>
      <c r="AA126" s="183">
        <f>SUMIFS('октябрь 2025'!$G$2:$G$2619,'октябрь 2025'!$D$2:$D$2619,$B126,'октябрь 2025'!$J$2:$J$2619,AA$1)</f>
        <v>0</v>
      </c>
      <c r="AB126" s="183">
        <f>SUMIFS('октябрь 2025'!$G$2:$G$2619,'октябрь 2025'!$D$2:$D$2619,$B126,'октябрь 2025'!$J$2:$J$2619,AB$1)</f>
        <v>0</v>
      </c>
      <c r="AC126" s="183">
        <f>SUMIFS('октябрь 2025'!$G$2:$G$2619,'октябрь 2025'!$D$2:$D$2619,$B126,'октябрь 2025'!$J$2:$J$2619,AC$1)</f>
        <v>0</v>
      </c>
      <c r="AD126" s="183">
        <f>SUMIFS('октябрь 2025'!$G$2:$G$2619,'октябрь 2025'!$D$2:$D$2619,$B126,'октябрь 2025'!$J$2:$J$2619,AD$1)</f>
        <v>0</v>
      </c>
      <c r="AE126" s="183">
        <f>SUMIFS('октябрь 2025'!$G$2:$G$2619,'октябрь 2025'!$D$2:$D$2619,$B126,'октябрь 2025'!$J$2:$J$2619,AE$1)</f>
        <v>0</v>
      </c>
      <c r="AF126" s="183">
        <f>SUMIFS('октябрь 2025'!$G$2:$G$2619,'октябрь 2025'!$D$2:$D$2619,$B126,'октябрь 2025'!$J$2:$J$2619,AF$1)</f>
        <v>0</v>
      </c>
      <c r="AG126" s="183">
        <f>SUMIFS('октябрь 2025'!$G$2:$G$2619,'октябрь 2025'!$D$2:$D$2619,$B126,'октябрь 2025'!$J$2:$J$2619,AG$1)</f>
        <v>0</v>
      </c>
      <c r="AH126" s="183">
        <f>SUMIFS('октябрь 2025'!$G$2:$G$2619,'октябрь 2025'!$D$2:$D$2619,$B126,'октябрь 2025'!$J$2:$J$2619,AH$1)</f>
        <v>0</v>
      </c>
      <c r="AI126" s="20">
        <f t="shared" si="1"/>
        <v>0</v>
      </c>
    </row>
    <row r="127" spans="2:35" ht="15" customHeight="1" x14ac:dyDescent="0.25">
      <c r="B127" s="88" t="s">
        <v>1256</v>
      </c>
      <c r="C127" s="86">
        <v>200</v>
      </c>
      <c r="D127" s="183">
        <f>SUMIFS('октябрь 2025'!$G$2:$G$2619,'октябрь 2025'!$D$2:$D$2619,$B127,'октябрь 2025'!$J$2:$J$2619,D$1)</f>
        <v>0</v>
      </c>
      <c r="E127" s="183">
        <f>SUMIFS('октябрь 2025'!$G$2:$G$2619,'октябрь 2025'!$D$2:$D$2619,$B127,'октябрь 2025'!$J$2:$J$2619,E$1)</f>
        <v>0</v>
      </c>
      <c r="F127" s="183">
        <f>SUMIFS('октябрь 2025'!$G$2:$G$2619,'октябрь 2025'!$D$2:$D$2619,$B127,'октябрь 2025'!$J$2:$J$2619,F$1)</f>
        <v>0</v>
      </c>
      <c r="G127" s="183">
        <f>SUMIFS('октябрь 2025'!$G$2:$G$2619,'октябрь 2025'!$D$2:$D$2619,$B127,'октябрь 2025'!$J$2:$J$2619,G$1)</f>
        <v>0</v>
      </c>
      <c r="H127" s="183">
        <f>SUMIFS('октябрь 2025'!$G$2:$G$2619,'октябрь 2025'!$D$2:$D$2619,$B127,'октябрь 2025'!$J$2:$J$2619,H$1)</f>
        <v>0</v>
      </c>
      <c r="I127" s="183">
        <f>SUMIFS('октябрь 2025'!$G$2:$G$2619,'октябрь 2025'!$D$2:$D$2619,$B127,'октябрь 2025'!$J$2:$J$2619,I$1)</f>
        <v>0</v>
      </c>
      <c r="J127" s="183">
        <f>SUMIFS('октябрь 2025'!$G$2:$G$2619,'октябрь 2025'!$D$2:$D$2619,$B127,'октябрь 2025'!$J$2:$J$2619,J$1)</f>
        <v>0</v>
      </c>
      <c r="K127" s="183">
        <f>SUMIFS('октябрь 2025'!$G$2:$G$2619,'октябрь 2025'!$D$2:$D$2619,$B127,'октябрь 2025'!$J$2:$J$2619,K$1)</f>
        <v>0</v>
      </c>
      <c r="L127" s="183">
        <f>SUMIFS('октябрь 2025'!$G$2:$G$2619,'октябрь 2025'!$D$2:$D$2619,$B127,'октябрь 2025'!$J$2:$J$2619,L$1)</f>
        <v>0</v>
      </c>
      <c r="M127" s="183">
        <f>SUMIFS('октябрь 2025'!$G$2:$G$2619,'октябрь 2025'!$D$2:$D$2619,$B127,'октябрь 2025'!$J$2:$J$2619,M$1)</f>
        <v>0</v>
      </c>
      <c r="N127" s="183">
        <f>SUMIFS('октябрь 2025'!$G$2:$G$2619,'октябрь 2025'!$D$2:$D$2619,$B127,'октябрь 2025'!$J$2:$J$2619,N$1)</f>
        <v>0</v>
      </c>
      <c r="O127" s="183">
        <f>SUMIFS('октябрь 2025'!$G$2:$G$2619,'октябрь 2025'!$D$2:$D$2619,$B127,'октябрь 2025'!$J$2:$J$2619,O$1)</f>
        <v>0</v>
      </c>
      <c r="P127" s="183">
        <f>SUMIFS('октябрь 2025'!$G$2:$G$2619,'октябрь 2025'!$D$2:$D$2619,$B127,'октябрь 2025'!$J$2:$J$2619,P$1)</f>
        <v>0</v>
      </c>
      <c r="Q127" s="183">
        <f>SUMIFS('октябрь 2025'!$G$2:$G$2619,'октябрь 2025'!$D$2:$D$2619,$B127,'октябрь 2025'!$J$2:$J$2619,Q$1)</f>
        <v>0</v>
      </c>
      <c r="R127" s="183">
        <f>SUMIFS('октябрь 2025'!$G$2:$G$2619,'октябрь 2025'!$D$2:$D$2619,$B127,'октябрь 2025'!$J$2:$J$2619,R$1)</f>
        <v>0</v>
      </c>
      <c r="S127" s="183">
        <f>SUMIFS('октябрь 2025'!$G$2:$G$2619,'октябрь 2025'!$D$2:$D$2619,$B127,'октябрь 2025'!$J$2:$J$2619,S$1)</f>
        <v>0</v>
      </c>
      <c r="T127" s="183">
        <f>SUMIFS('октябрь 2025'!$G$2:$G$2619,'октябрь 2025'!$D$2:$D$2619,$B127,'октябрь 2025'!$J$2:$J$2619,T$1)</f>
        <v>0</v>
      </c>
      <c r="U127" s="183">
        <f>SUMIFS('октябрь 2025'!$G$2:$G$2619,'октябрь 2025'!$D$2:$D$2619,$B127,'октябрь 2025'!$J$2:$J$2619,U$1)</f>
        <v>0</v>
      </c>
      <c r="V127" s="183">
        <f>SUMIFS('октябрь 2025'!$G$2:$G$2619,'октябрь 2025'!$D$2:$D$2619,$B127,'октябрь 2025'!$J$2:$J$2619,V$1)</f>
        <v>0</v>
      </c>
      <c r="W127" s="183">
        <f>SUMIFS('октябрь 2025'!$G$2:$G$2619,'октябрь 2025'!$D$2:$D$2619,$B127,'октябрь 2025'!$J$2:$J$2619,W$1)</f>
        <v>0</v>
      </c>
      <c r="X127" s="183">
        <f>SUMIFS('октябрь 2025'!$G$2:$G$2619,'октябрь 2025'!$D$2:$D$2619,$B127,'октябрь 2025'!$J$2:$J$2619,X$1)</f>
        <v>0</v>
      </c>
      <c r="Y127" s="183">
        <f>SUMIFS('октябрь 2025'!$G$2:$G$2619,'октябрь 2025'!$D$2:$D$2619,$B127,'октябрь 2025'!$J$2:$J$2619,Y$1)</f>
        <v>0</v>
      </c>
      <c r="Z127" s="183">
        <f>SUMIFS('октябрь 2025'!$G$2:$G$2619,'октябрь 2025'!$D$2:$D$2619,$B127,'октябрь 2025'!$J$2:$J$2619,Z$1)</f>
        <v>0</v>
      </c>
      <c r="AA127" s="183">
        <f>SUMIFS('октябрь 2025'!$G$2:$G$2619,'октябрь 2025'!$D$2:$D$2619,$B127,'октябрь 2025'!$J$2:$J$2619,AA$1)</f>
        <v>0</v>
      </c>
      <c r="AB127" s="183">
        <f>SUMIFS('октябрь 2025'!$G$2:$G$2619,'октябрь 2025'!$D$2:$D$2619,$B127,'октябрь 2025'!$J$2:$J$2619,AB$1)</f>
        <v>0</v>
      </c>
      <c r="AC127" s="183">
        <f>SUMIFS('октябрь 2025'!$G$2:$G$2619,'октябрь 2025'!$D$2:$D$2619,$B127,'октябрь 2025'!$J$2:$J$2619,AC$1)</f>
        <v>0</v>
      </c>
      <c r="AD127" s="183">
        <f>SUMIFS('октябрь 2025'!$G$2:$G$2619,'октябрь 2025'!$D$2:$D$2619,$B127,'октябрь 2025'!$J$2:$J$2619,AD$1)</f>
        <v>0</v>
      </c>
      <c r="AE127" s="183">
        <f>SUMIFS('октябрь 2025'!$G$2:$G$2619,'октябрь 2025'!$D$2:$D$2619,$B127,'октябрь 2025'!$J$2:$J$2619,AE$1)</f>
        <v>0</v>
      </c>
      <c r="AF127" s="183">
        <f>SUMIFS('октябрь 2025'!$G$2:$G$2619,'октябрь 2025'!$D$2:$D$2619,$B127,'октябрь 2025'!$J$2:$J$2619,AF$1)</f>
        <v>0</v>
      </c>
      <c r="AG127" s="183">
        <f>SUMIFS('октябрь 2025'!$G$2:$G$2619,'октябрь 2025'!$D$2:$D$2619,$B127,'октябрь 2025'!$J$2:$J$2619,AG$1)</f>
        <v>0</v>
      </c>
      <c r="AH127" s="183">
        <f>SUMIFS('октябрь 2025'!$G$2:$G$2619,'октябрь 2025'!$D$2:$D$2619,$B127,'октябрь 2025'!$J$2:$J$2619,AH$1)</f>
        <v>0</v>
      </c>
      <c r="AI127" s="20">
        <f t="shared" si="1"/>
        <v>0</v>
      </c>
    </row>
    <row r="128" spans="2:35" ht="15" customHeight="1" x14ac:dyDescent="0.25">
      <c r="B128" s="88" t="s">
        <v>265</v>
      </c>
      <c r="C128" s="86">
        <v>180</v>
      </c>
      <c r="D128" s="183">
        <f>SUMIFS('октябрь 2025'!$G$2:$G$2619,'октябрь 2025'!$D$2:$D$2619,$B128,'октябрь 2025'!$J$2:$J$2619,D$1)</f>
        <v>0</v>
      </c>
      <c r="E128" s="183">
        <f>SUMIFS('октябрь 2025'!$G$2:$G$2619,'октябрь 2025'!$D$2:$D$2619,$B128,'октябрь 2025'!$J$2:$J$2619,E$1)</f>
        <v>0</v>
      </c>
      <c r="F128" s="183">
        <f>SUMIFS('октябрь 2025'!$G$2:$G$2619,'октябрь 2025'!$D$2:$D$2619,$B128,'октябрь 2025'!$J$2:$J$2619,F$1)</f>
        <v>0</v>
      </c>
      <c r="G128" s="183">
        <f>SUMIFS('октябрь 2025'!$G$2:$G$2619,'октябрь 2025'!$D$2:$D$2619,$B128,'октябрь 2025'!$J$2:$J$2619,G$1)</f>
        <v>0</v>
      </c>
      <c r="H128" s="183">
        <f>SUMIFS('октябрь 2025'!$G$2:$G$2619,'октябрь 2025'!$D$2:$D$2619,$B128,'октябрь 2025'!$J$2:$J$2619,H$1)</f>
        <v>0</v>
      </c>
      <c r="I128" s="183">
        <f>SUMIFS('октябрь 2025'!$G$2:$G$2619,'октябрь 2025'!$D$2:$D$2619,$B128,'октябрь 2025'!$J$2:$J$2619,I$1)</f>
        <v>0</v>
      </c>
      <c r="J128" s="183">
        <f>SUMIFS('октябрь 2025'!$G$2:$G$2619,'октябрь 2025'!$D$2:$D$2619,$B128,'октябрь 2025'!$J$2:$J$2619,J$1)</f>
        <v>0</v>
      </c>
      <c r="K128" s="183">
        <f>SUMIFS('октябрь 2025'!$G$2:$G$2619,'октябрь 2025'!$D$2:$D$2619,$B128,'октябрь 2025'!$J$2:$J$2619,K$1)</f>
        <v>0</v>
      </c>
      <c r="L128" s="183">
        <f>SUMIFS('октябрь 2025'!$G$2:$G$2619,'октябрь 2025'!$D$2:$D$2619,$B128,'октябрь 2025'!$J$2:$J$2619,L$1)</f>
        <v>0</v>
      </c>
      <c r="M128" s="183">
        <f>SUMIFS('октябрь 2025'!$G$2:$G$2619,'октябрь 2025'!$D$2:$D$2619,$B128,'октябрь 2025'!$J$2:$J$2619,M$1)</f>
        <v>0</v>
      </c>
      <c r="N128" s="183">
        <f>SUMIFS('октябрь 2025'!$G$2:$G$2619,'октябрь 2025'!$D$2:$D$2619,$B128,'октябрь 2025'!$J$2:$J$2619,N$1)</f>
        <v>0</v>
      </c>
      <c r="O128" s="183">
        <f>SUMIFS('октябрь 2025'!$G$2:$G$2619,'октябрь 2025'!$D$2:$D$2619,$B128,'октябрь 2025'!$J$2:$J$2619,O$1)</f>
        <v>0</v>
      </c>
      <c r="P128" s="183">
        <f>SUMIFS('октябрь 2025'!$G$2:$G$2619,'октябрь 2025'!$D$2:$D$2619,$B128,'октябрь 2025'!$J$2:$J$2619,P$1)</f>
        <v>0</v>
      </c>
      <c r="Q128" s="183">
        <f>SUMIFS('октябрь 2025'!$G$2:$G$2619,'октябрь 2025'!$D$2:$D$2619,$B128,'октябрь 2025'!$J$2:$J$2619,Q$1)</f>
        <v>0</v>
      </c>
      <c r="R128" s="183">
        <f>SUMIFS('октябрь 2025'!$G$2:$G$2619,'октябрь 2025'!$D$2:$D$2619,$B128,'октябрь 2025'!$J$2:$J$2619,R$1)</f>
        <v>0</v>
      </c>
      <c r="S128" s="183">
        <f>SUMIFS('октябрь 2025'!$G$2:$G$2619,'октябрь 2025'!$D$2:$D$2619,$B128,'октябрь 2025'!$J$2:$J$2619,S$1)</f>
        <v>0</v>
      </c>
      <c r="T128" s="183">
        <f>SUMIFS('октябрь 2025'!$G$2:$G$2619,'октябрь 2025'!$D$2:$D$2619,$B128,'октябрь 2025'!$J$2:$J$2619,T$1)</f>
        <v>0</v>
      </c>
      <c r="U128" s="183">
        <f>SUMIFS('октябрь 2025'!$G$2:$G$2619,'октябрь 2025'!$D$2:$D$2619,$B128,'октябрь 2025'!$J$2:$J$2619,U$1)</f>
        <v>0</v>
      </c>
      <c r="V128" s="183">
        <f>SUMIFS('октябрь 2025'!$G$2:$G$2619,'октябрь 2025'!$D$2:$D$2619,$B128,'октябрь 2025'!$J$2:$J$2619,V$1)</f>
        <v>0</v>
      </c>
      <c r="W128" s="183">
        <f>SUMIFS('октябрь 2025'!$G$2:$G$2619,'октябрь 2025'!$D$2:$D$2619,$B128,'октябрь 2025'!$J$2:$J$2619,W$1)</f>
        <v>0</v>
      </c>
      <c r="X128" s="183">
        <f>SUMIFS('октябрь 2025'!$G$2:$G$2619,'октябрь 2025'!$D$2:$D$2619,$B128,'октябрь 2025'!$J$2:$J$2619,X$1)</f>
        <v>0</v>
      </c>
      <c r="Y128" s="183">
        <f>SUMIFS('октябрь 2025'!$G$2:$G$2619,'октябрь 2025'!$D$2:$D$2619,$B128,'октябрь 2025'!$J$2:$J$2619,Y$1)</f>
        <v>0</v>
      </c>
      <c r="Z128" s="183">
        <f>SUMIFS('октябрь 2025'!$G$2:$G$2619,'октябрь 2025'!$D$2:$D$2619,$B128,'октябрь 2025'!$J$2:$J$2619,Z$1)</f>
        <v>0</v>
      </c>
      <c r="AA128" s="183">
        <f>SUMIFS('октябрь 2025'!$G$2:$G$2619,'октябрь 2025'!$D$2:$D$2619,$B128,'октябрь 2025'!$J$2:$J$2619,AA$1)</f>
        <v>0</v>
      </c>
      <c r="AB128" s="183">
        <f>SUMIFS('октябрь 2025'!$G$2:$G$2619,'октябрь 2025'!$D$2:$D$2619,$B128,'октябрь 2025'!$J$2:$J$2619,AB$1)</f>
        <v>0</v>
      </c>
      <c r="AC128" s="183">
        <f>SUMIFS('октябрь 2025'!$G$2:$G$2619,'октябрь 2025'!$D$2:$D$2619,$B128,'октябрь 2025'!$J$2:$J$2619,AC$1)</f>
        <v>0</v>
      </c>
      <c r="AD128" s="183">
        <f>SUMIFS('октябрь 2025'!$G$2:$G$2619,'октябрь 2025'!$D$2:$D$2619,$B128,'октябрь 2025'!$J$2:$J$2619,AD$1)</f>
        <v>0</v>
      </c>
      <c r="AE128" s="183">
        <f>SUMIFS('октябрь 2025'!$G$2:$G$2619,'октябрь 2025'!$D$2:$D$2619,$B128,'октябрь 2025'!$J$2:$J$2619,AE$1)</f>
        <v>0</v>
      </c>
      <c r="AF128" s="183">
        <f>SUMIFS('октябрь 2025'!$G$2:$G$2619,'октябрь 2025'!$D$2:$D$2619,$B128,'октябрь 2025'!$J$2:$J$2619,AF$1)</f>
        <v>0</v>
      </c>
      <c r="AG128" s="183">
        <f>SUMIFS('октябрь 2025'!$G$2:$G$2619,'октябрь 2025'!$D$2:$D$2619,$B128,'октябрь 2025'!$J$2:$J$2619,AG$1)</f>
        <v>0</v>
      </c>
      <c r="AH128" s="183">
        <f>SUMIFS('октябрь 2025'!$G$2:$G$2619,'октябрь 2025'!$D$2:$D$2619,$B128,'октябрь 2025'!$J$2:$J$2619,AH$1)</f>
        <v>0</v>
      </c>
      <c r="AI128" s="20">
        <f t="shared" si="1"/>
        <v>0</v>
      </c>
    </row>
    <row r="129" spans="2:35" ht="15" customHeight="1" x14ac:dyDescent="0.25">
      <c r="B129" s="88" t="s">
        <v>326</v>
      </c>
      <c r="C129" s="86">
        <v>200</v>
      </c>
      <c r="D129" s="183">
        <f>SUMIFS('октябрь 2025'!$G$2:$G$2619,'октябрь 2025'!$D$2:$D$2619,$B129,'октябрь 2025'!$J$2:$J$2619,D$1)</f>
        <v>0</v>
      </c>
      <c r="E129" s="183">
        <f>SUMIFS('октябрь 2025'!$G$2:$G$2619,'октябрь 2025'!$D$2:$D$2619,$B129,'октябрь 2025'!$J$2:$J$2619,E$1)</f>
        <v>0</v>
      </c>
      <c r="F129" s="183">
        <f>SUMIFS('октябрь 2025'!$G$2:$G$2619,'октябрь 2025'!$D$2:$D$2619,$B129,'октябрь 2025'!$J$2:$J$2619,F$1)</f>
        <v>0</v>
      </c>
      <c r="G129" s="183">
        <f>SUMIFS('октябрь 2025'!$G$2:$G$2619,'октябрь 2025'!$D$2:$D$2619,$B129,'октябрь 2025'!$J$2:$J$2619,G$1)</f>
        <v>0</v>
      </c>
      <c r="H129" s="183">
        <f>SUMIFS('октябрь 2025'!$G$2:$G$2619,'октябрь 2025'!$D$2:$D$2619,$B129,'октябрь 2025'!$J$2:$J$2619,H$1)</f>
        <v>0</v>
      </c>
      <c r="I129" s="183">
        <f>SUMIFS('октябрь 2025'!$G$2:$G$2619,'октябрь 2025'!$D$2:$D$2619,$B129,'октябрь 2025'!$J$2:$J$2619,I$1)</f>
        <v>0</v>
      </c>
      <c r="J129" s="183">
        <f>SUMIFS('октябрь 2025'!$G$2:$G$2619,'октябрь 2025'!$D$2:$D$2619,$B129,'октябрь 2025'!$J$2:$J$2619,J$1)</f>
        <v>0</v>
      </c>
      <c r="K129" s="183">
        <f>SUMIFS('октябрь 2025'!$G$2:$G$2619,'октябрь 2025'!$D$2:$D$2619,$B129,'октябрь 2025'!$J$2:$J$2619,K$1)</f>
        <v>0</v>
      </c>
      <c r="L129" s="183">
        <f>SUMIFS('октябрь 2025'!$G$2:$G$2619,'октябрь 2025'!$D$2:$D$2619,$B129,'октябрь 2025'!$J$2:$J$2619,L$1)</f>
        <v>0</v>
      </c>
      <c r="M129" s="183">
        <f>SUMIFS('октябрь 2025'!$G$2:$G$2619,'октябрь 2025'!$D$2:$D$2619,$B129,'октябрь 2025'!$J$2:$J$2619,M$1)</f>
        <v>0</v>
      </c>
      <c r="N129" s="183">
        <f>SUMIFS('октябрь 2025'!$G$2:$G$2619,'октябрь 2025'!$D$2:$D$2619,$B129,'октябрь 2025'!$J$2:$J$2619,N$1)</f>
        <v>0</v>
      </c>
      <c r="O129" s="183">
        <f>SUMIFS('октябрь 2025'!$G$2:$G$2619,'октябрь 2025'!$D$2:$D$2619,$B129,'октябрь 2025'!$J$2:$J$2619,O$1)</f>
        <v>0</v>
      </c>
      <c r="P129" s="183">
        <f>SUMIFS('октябрь 2025'!$G$2:$G$2619,'октябрь 2025'!$D$2:$D$2619,$B129,'октябрь 2025'!$J$2:$J$2619,P$1)</f>
        <v>0</v>
      </c>
      <c r="Q129" s="183">
        <f>SUMIFS('октябрь 2025'!$G$2:$G$2619,'октябрь 2025'!$D$2:$D$2619,$B129,'октябрь 2025'!$J$2:$J$2619,Q$1)</f>
        <v>0</v>
      </c>
      <c r="R129" s="183">
        <f>SUMIFS('октябрь 2025'!$G$2:$G$2619,'октябрь 2025'!$D$2:$D$2619,$B129,'октябрь 2025'!$J$2:$J$2619,R$1)</f>
        <v>0</v>
      </c>
      <c r="S129" s="183">
        <f>SUMIFS('октябрь 2025'!$G$2:$G$2619,'октябрь 2025'!$D$2:$D$2619,$B129,'октябрь 2025'!$J$2:$J$2619,S$1)</f>
        <v>0</v>
      </c>
      <c r="T129" s="183">
        <f>SUMIFS('октябрь 2025'!$G$2:$G$2619,'октябрь 2025'!$D$2:$D$2619,$B129,'октябрь 2025'!$J$2:$J$2619,T$1)</f>
        <v>0</v>
      </c>
      <c r="U129" s="183">
        <f>SUMIFS('октябрь 2025'!$G$2:$G$2619,'октябрь 2025'!$D$2:$D$2619,$B129,'октябрь 2025'!$J$2:$J$2619,U$1)</f>
        <v>0</v>
      </c>
      <c r="V129" s="183">
        <f>SUMIFS('октябрь 2025'!$G$2:$G$2619,'октябрь 2025'!$D$2:$D$2619,$B129,'октябрь 2025'!$J$2:$J$2619,V$1)</f>
        <v>0</v>
      </c>
      <c r="W129" s="183">
        <f>SUMIFS('октябрь 2025'!$G$2:$G$2619,'октябрь 2025'!$D$2:$D$2619,$B129,'октябрь 2025'!$J$2:$J$2619,W$1)</f>
        <v>0</v>
      </c>
      <c r="X129" s="183">
        <f>SUMIFS('октябрь 2025'!$G$2:$G$2619,'октябрь 2025'!$D$2:$D$2619,$B129,'октябрь 2025'!$J$2:$J$2619,X$1)</f>
        <v>0</v>
      </c>
      <c r="Y129" s="183">
        <f>SUMIFS('октябрь 2025'!$G$2:$G$2619,'октябрь 2025'!$D$2:$D$2619,$B129,'октябрь 2025'!$J$2:$J$2619,Y$1)</f>
        <v>0</v>
      </c>
      <c r="Z129" s="183">
        <f>SUMIFS('октябрь 2025'!$G$2:$G$2619,'октябрь 2025'!$D$2:$D$2619,$B129,'октябрь 2025'!$J$2:$J$2619,Z$1)</f>
        <v>0</v>
      </c>
      <c r="AA129" s="183">
        <f>SUMIFS('октябрь 2025'!$G$2:$G$2619,'октябрь 2025'!$D$2:$D$2619,$B129,'октябрь 2025'!$J$2:$J$2619,AA$1)</f>
        <v>0</v>
      </c>
      <c r="AB129" s="183">
        <f>SUMIFS('октябрь 2025'!$G$2:$G$2619,'октябрь 2025'!$D$2:$D$2619,$B129,'октябрь 2025'!$J$2:$J$2619,AB$1)</f>
        <v>0</v>
      </c>
      <c r="AC129" s="183">
        <f>SUMIFS('октябрь 2025'!$G$2:$G$2619,'октябрь 2025'!$D$2:$D$2619,$B129,'октябрь 2025'!$J$2:$J$2619,AC$1)</f>
        <v>0</v>
      </c>
      <c r="AD129" s="183">
        <f>SUMIFS('октябрь 2025'!$G$2:$G$2619,'октябрь 2025'!$D$2:$D$2619,$B129,'октябрь 2025'!$J$2:$J$2619,AD$1)</f>
        <v>0</v>
      </c>
      <c r="AE129" s="183">
        <f>SUMIFS('октябрь 2025'!$G$2:$G$2619,'октябрь 2025'!$D$2:$D$2619,$B129,'октябрь 2025'!$J$2:$J$2619,AE$1)</f>
        <v>0</v>
      </c>
      <c r="AF129" s="183">
        <f>SUMIFS('октябрь 2025'!$G$2:$G$2619,'октябрь 2025'!$D$2:$D$2619,$B129,'октябрь 2025'!$J$2:$J$2619,AF$1)</f>
        <v>0</v>
      </c>
      <c r="AG129" s="183">
        <f>SUMIFS('октябрь 2025'!$G$2:$G$2619,'октябрь 2025'!$D$2:$D$2619,$B129,'октябрь 2025'!$J$2:$J$2619,AG$1)</f>
        <v>0</v>
      </c>
      <c r="AH129" s="183">
        <f>SUMIFS('октябрь 2025'!$G$2:$G$2619,'октябрь 2025'!$D$2:$D$2619,$B129,'октябрь 2025'!$J$2:$J$2619,AH$1)</f>
        <v>0</v>
      </c>
      <c r="AI129" s="20">
        <f t="shared" si="1"/>
        <v>0</v>
      </c>
    </row>
    <row r="130" spans="2:35" ht="15" customHeight="1" x14ac:dyDescent="0.25">
      <c r="B130" s="88" t="s">
        <v>280</v>
      </c>
      <c r="C130" s="86">
        <v>185</v>
      </c>
      <c r="D130" s="183">
        <f>SUMIFS('октябрь 2025'!$G$2:$G$2619,'октябрь 2025'!$D$2:$D$2619,$B130,'октябрь 2025'!$J$2:$J$2619,D$1)</f>
        <v>0</v>
      </c>
      <c r="E130" s="183">
        <f>SUMIFS('октябрь 2025'!$G$2:$G$2619,'октябрь 2025'!$D$2:$D$2619,$B130,'октябрь 2025'!$J$2:$J$2619,E$1)</f>
        <v>0</v>
      </c>
      <c r="F130" s="183">
        <f>SUMIFS('октябрь 2025'!$G$2:$G$2619,'октябрь 2025'!$D$2:$D$2619,$B130,'октябрь 2025'!$J$2:$J$2619,F$1)</f>
        <v>0</v>
      </c>
      <c r="G130" s="183">
        <f>SUMIFS('октябрь 2025'!$G$2:$G$2619,'октябрь 2025'!$D$2:$D$2619,$B130,'октябрь 2025'!$J$2:$J$2619,G$1)</f>
        <v>0</v>
      </c>
      <c r="H130" s="183">
        <f>SUMIFS('октябрь 2025'!$G$2:$G$2619,'октябрь 2025'!$D$2:$D$2619,$B130,'октябрь 2025'!$J$2:$J$2619,H$1)</f>
        <v>0</v>
      </c>
      <c r="I130" s="183">
        <f>SUMIFS('октябрь 2025'!$G$2:$G$2619,'октябрь 2025'!$D$2:$D$2619,$B130,'октябрь 2025'!$J$2:$J$2619,I$1)</f>
        <v>0</v>
      </c>
      <c r="J130" s="183">
        <f>SUMIFS('октябрь 2025'!$G$2:$G$2619,'октябрь 2025'!$D$2:$D$2619,$B130,'октябрь 2025'!$J$2:$J$2619,J$1)</f>
        <v>0</v>
      </c>
      <c r="K130" s="183">
        <f>SUMIFS('октябрь 2025'!$G$2:$G$2619,'октябрь 2025'!$D$2:$D$2619,$B130,'октябрь 2025'!$J$2:$J$2619,K$1)</f>
        <v>0</v>
      </c>
      <c r="L130" s="183">
        <f>SUMIFS('октябрь 2025'!$G$2:$G$2619,'октябрь 2025'!$D$2:$D$2619,$B130,'октябрь 2025'!$J$2:$J$2619,L$1)</f>
        <v>0</v>
      </c>
      <c r="M130" s="183">
        <f>SUMIFS('октябрь 2025'!$G$2:$G$2619,'октябрь 2025'!$D$2:$D$2619,$B130,'октябрь 2025'!$J$2:$J$2619,M$1)</f>
        <v>0</v>
      </c>
      <c r="N130" s="183">
        <f>SUMIFS('октябрь 2025'!$G$2:$G$2619,'октябрь 2025'!$D$2:$D$2619,$B130,'октябрь 2025'!$J$2:$J$2619,N$1)</f>
        <v>0</v>
      </c>
      <c r="O130" s="183">
        <f>SUMIFS('октябрь 2025'!$G$2:$G$2619,'октябрь 2025'!$D$2:$D$2619,$B130,'октябрь 2025'!$J$2:$J$2619,O$1)</f>
        <v>0</v>
      </c>
      <c r="P130" s="183">
        <f>SUMIFS('октябрь 2025'!$G$2:$G$2619,'октябрь 2025'!$D$2:$D$2619,$B130,'октябрь 2025'!$J$2:$J$2619,P$1)</f>
        <v>0</v>
      </c>
      <c r="Q130" s="183">
        <f>SUMIFS('октябрь 2025'!$G$2:$G$2619,'октябрь 2025'!$D$2:$D$2619,$B130,'октябрь 2025'!$J$2:$J$2619,Q$1)</f>
        <v>0</v>
      </c>
      <c r="R130" s="183">
        <f>SUMIFS('октябрь 2025'!$G$2:$G$2619,'октябрь 2025'!$D$2:$D$2619,$B130,'октябрь 2025'!$J$2:$J$2619,R$1)</f>
        <v>0</v>
      </c>
      <c r="S130" s="183">
        <f>SUMIFS('октябрь 2025'!$G$2:$G$2619,'октябрь 2025'!$D$2:$D$2619,$B130,'октябрь 2025'!$J$2:$J$2619,S$1)</f>
        <v>0</v>
      </c>
      <c r="T130" s="183">
        <f>SUMIFS('октябрь 2025'!$G$2:$G$2619,'октябрь 2025'!$D$2:$D$2619,$B130,'октябрь 2025'!$J$2:$J$2619,T$1)</f>
        <v>0</v>
      </c>
      <c r="U130" s="183">
        <f>SUMIFS('октябрь 2025'!$G$2:$G$2619,'октябрь 2025'!$D$2:$D$2619,$B130,'октябрь 2025'!$J$2:$J$2619,U$1)</f>
        <v>0</v>
      </c>
      <c r="V130" s="183">
        <f>SUMIFS('октябрь 2025'!$G$2:$G$2619,'октябрь 2025'!$D$2:$D$2619,$B130,'октябрь 2025'!$J$2:$J$2619,V$1)</f>
        <v>0</v>
      </c>
      <c r="W130" s="183">
        <f>SUMIFS('октябрь 2025'!$G$2:$G$2619,'октябрь 2025'!$D$2:$D$2619,$B130,'октябрь 2025'!$J$2:$J$2619,W$1)</f>
        <v>0</v>
      </c>
      <c r="X130" s="183">
        <f>SUMIFS('октябрь 2025'!$G$2:$G$2619,'октябрь 2025'!$D$2:$D$2619,$B130,'октябрь 2025'!$J$2:$J$2619,X$1)</f>
        <v>0</v>
      </c>
      <c r="Y130" s="183">
        <f>SUMIFS('октябрь 2025'!$G$2:$G$2619,'октябрь 2025'!$D$2:$D$2619,$B130,'октябрь 2025'!$J$2:$J$2619,Y$1)</f>
        <v>0</v>
      </c>
      <c r="Z130" s="183">
        <f>SUMIFS('октябрь 2025'!$G$2:$G$2619,'октябрь 2025'!$D$2:$D$2619,$B130,'октябрь 2025'!$J$2:$J$2619,Z$1)</f>
        <v>0</v>
      </c>
      <c r="AA130" s="183">
        <f>SUMIFS('октябрь 2025'!$G$2:$G$2619,'октябрь 2025'!$D$2:$D$2619,$B130,'октябрь 2025'!$J$2:$J$2619,AA$1)</f>
        <v>0</v>
      </c>
      <c r="AB130" s="183">
        <f>SUMIFS('октябрь 2025'!$G$2:$G$2619,'октябрь 2025'!$D$2:$D$2619,$B130,'октябрь 2025'!$J$2:$J$2619,AB$1)</f>
        <v>0</v>
      </c>
      <c r="AC130" s="183">
        <f>SUMIFS('октябрь 2025'!$G$2:$G$2619,'октябрь 2025'!$D$2:$D$2619,$B130,'октябрь 2025'!$J$2:$J$2619,AC$1)</f>
        <v>0</v>
      </c>
      <c r="AD130" s="183">
        <f>SUMIFS('октябрь 2025'!$G$2:$G$2619,'октябрь 2025'!$D$2:$D$2619,$B130,'октябрь 2025'!$J$2:$J$2619,AD$1)</f>
        <v>0</v>
      </c>
      <c r="AE130" s="183">
        <f>SUMIFS('октябрь 2025'!$G$2:$G$2619,'октябрь 2025'!$D$2:$D$2619,$B130,'октябрь 2025'!$J$2:$J$2619,AE$1)</f>
        <v>0</v>
      </c>
      <c r="AF130" s="183">
        <f>SUMIFS('октябрь 2025'!$G$2:$G$2619,'октябрь 2025'!$D$2:$D$2619,$B130,'октябрь 2025'!$J$2:$J$2619,AF$1)</f>
        <v>0</v>
      </c>
      <c r="AG130" s="183">
        <f>SUMIFS('октябрь 2025'!$G$2:$G$2619,'октябрь 2025'!$D$2:$D$2619,$B130,'октябрь 2025'!$J$2:$J$2619,AG$1)</f>
        <v>0</v>
      </c>
      <c r="AH130" s="183">
        <f>SUMIFS('октябрь 2025'!$G$2:$G$2619,'октябрь 2025'!$D$2:$D$2619,$B130,'октябрь 2025'!$J$2:$J$2619,AH$1)</f>
        <v>0</v>
      </c>
      <c r="AI130" s="20">
        <f t="shared" si="1"/>
        <v>0</v>
      </c>
    </row>
    <row r="131" spans="2:35" ht="15" customHeight="1" x14ac:dyDescent="0.25">
      <c r="B131" s="88" t="s">
        <v>283</v>
      </c>
      <c r="C131" s="86">
        <v>185</v>
      </c>
      <c r="D131" s="183">
        <f>SUMIFS('октябрь 2025'!$G$2:$G$2619,'октябрь 2025'!$D$2:$D$2619,$B131,'октябрь 2025'!$J$2:$J$2619,D$1)</f>
        <v>0</v>
      </c>
      <c r="E131" s="183">
        <f>SUMIFS('октябрь 2025'!$G$2:$G$2619,'октябрь 2025'!$D$2:$D$2619,$B131,'октябрь 2025'!$J$2:$J$2619,E$1)</f>
        <v>0</v>
      </c>
      <c r="F131" s="183">
        <f>SUMIFS('октябрь 2025'!$G$2:$G$2619,'октябрь 2025'!$D$2:$D$2619,$B131,'октябрь 2025'!$J$2:$J$2619,F$1)</f>
        <v>0</v>
      </c>
      <c r="G131" s="183">
        <f>SUMIFS('октябрь 2025'!$G$2:$G$2619,'октябрь 2025'!$D$2:$D$2619,$B131,'октябрь 2025'!$J$2:$J$2619,G$1)</f>
        <v>0</v>
      </c>
      <c r="H131" s="183">
        <f>SUMIFS('октябрь 2025'!$G$2:$G$2619,'октябрь 2025'!$D$2:$D$2619,$B131,'октябрь 2025'!$J$2:$J$2619,H$1)</f>
        <v>0</v>
      </c>
      <c r="I131" s="183">
        <f>SUMIFS('октябрь 2025'!$G$2:$G$2619,'октябрь 2025'!$D$2:$D$2619,$B131,'октябрь 2025'!$J$2:$J$2619,I$1)</f>
        <v>0</v>
      </c>
      <c r="J131" s="183">
        <f>SUMIFS('октябрь 2025'!$G$2:$G$2619,'октябрь 2025'!$D$2:$D$2619,$B131,'октябрь 2025'!$J$2:$J$2619,J$1)</f>
        <v>0</v>
      </c>
      <c r="K131" s="183">
        <f>SUMIFS('октябрь 2025'!$G$2:$G$2619,'октябрь 2025'!$D$2:$D$2619,$B131,'октябрь 2025'!$J$2:$J$2619,K$1)</f>
        <v>0</v>
      </c>
      <c r="L131" s="183">
        <f>SUMIFS('октябрь 2025'!$G$2:$G$2619,'октябрь 2025'!$D$2:$D$2619,$B131,'октябрь 2025'!$J$2:$J$2619,L$1)</f>
        <v>0</v>
      </c>
      <c r="M131" s="183">
        <f>SUMIFS('октябрь 2025'!$G$2:$G$2619,'октябрь 2025'!$D$2:$D$2619,$B131,'октябрь 2025'!$J$2:$J$2619,M$1)</f>
        <v>0</v>
      </c>
      <c r="N131" s="183">
        <f>SUMIFS('октябрь 2025'!$G$2:$G$2619,'октябрь 2025'!$D$2:$D$2619,$B131,'октябрь 2025'!$J$2:$J$2619,N$1)</f>
        <v>0</v>
      </c>
      <c r="O131" s="183">
        <f>SUMIFS('октябрь 2025'!$G$2:$G$2619,'октябрь 2025'!$D$2:$D$2619,$B131,'октябрь 2025'!$J$2:$J$2619,O$1)</f>
        <v>0</v>
      </c>
      <c r="P131" s="183">
        <f>SUMIFS('октябрь 2025'!$G$2:$G$2619,'октябрь 2025'!$D$2:$D$2619,$B131,'октябрь 2025'!$J$2:$J$2619,P$1)</f>
        <v>0</v>
      </c>
      <c r="Q131" s="183">
        <f>SUMIFS('октябрь 2025'!$G$2:$G$2619,'октябрь 2025'!$D$2:$D$2619,$B131,'октябрь 2025'!$J$2:$J$2619,Q$1)</f>
        <v>0</v>
      </c>
      <c r="R131" s="183">
        <f>SUMIFS('октябрь 2025'!$G$2:$G$2619,'октябрь 2025'!$D$2:$D$2619,$B131,'октябрь 2025'!$J$2:$J$2619,R$1)</f>
        <v>0</v>
      </c>
      <c r="S131" s="183">
        <f>SUMIFS('октябрь 2025'!$G$2:$G$2619,'октябрь 2025'!$D$2:$D$2619,$B131,'октябрь 2025'!$J$2:$J$2619,S$1)</f>
        <v>0</v>
      </c>
      <c r="T131" s="183">
        <f>SUMIFS('октябрь 2025'!$G$2:$G$2619,'октябрь 2025'!$D$2:$D$2619,$B131,'октябрь 2025'!$J$2:$J$2619,T$1)</f>
        <v>0</v>
      </c>
      <c r="U131" s="183">
        <f>SUMIFS('октябрь 2025'!$G$2:$G$2619,'октябрь 2025'!$D$2:$D$2619,$B131,'октябрь 2025'!$J$2:$J$2619,U$1)</f>
        <v>0</v>
      </c>
      <c r="V131" s="183">
        <f>SUMIFS('октябрь 2025'!$G$2:$G$2619,'октябрь 2025'!$D$2:$D$2619,$B131,'октябрь 2025'!$J$2:$J$2619,V$1)</f>
        <v>0</v>
      </c>
      <c r="W131" s="183">
        <f>SUMIFS('октябрь 2025'!$G$2:$G$2619,'октябрь 2025'!$D$2:$D$2619,$B131,'октябрь 2025'!$J$2:$J$2619,W$1)</f>
        <v>0</v>
      </c>
      <c r="X131" s="183">
        <f>SUMIFS('октябрь 2025'!$G$2:$G$2619,'октябрь 2025'!$D$2:$D$2619,$B131,'октябрь 2025'!$J$2:$J$2619,X$1)</f>
        <v>0</v>
      </c>
      <c r="Y131" s="183">
        <f>SUMIFS('октябрь 2025'!$G$2:$G$2619,'октябрь 2025'!$D$2:$D$2619,$B131,'октябрь 2025'!$J$2:$J$2619,Y$1)</f>
        <v>0</v>
      </c>
      <c r="Z131" s="183">
        <f>SUMIFS('октябрь 2025'!$G$2:$G$2619,'октябрь 2025'!$D$2:$D$2619,$B131,'октябрь 2025'!$J$2:$J$2619,Z$1)</f>
        <v>0</v>
      </c>
      <c r="AA131" s="183">
        <f>SUMIFS('октябрь 2025'!$G$2:$G$2619,'октябрь 2025'!$D$2:$D$2619,$B131,'октябрь 2025'!$J$2:$J$2619,AA$1)</f>
        <v>0</v>
      </c>
      <c r="AB131" s="183">
        <f>SUMIFS('октябрь 2025'!$G$2:$G$2619,'октябрь 2025'!$D$2:$D$2619,$B131,'октябрь 2025'!$J$2:$J$2619,AB$1)</f>
        <v>0</v>
      </c>
      <c r="AC131" s="183">
        <f>SUMIFS('октябрь 2025'!$G$2:$G$2619,'октябрь 2025'!$D$2:$D$2619,$B131,'октябрь 2025'!$J$2:$J$2619,AC$1)</f>
        <v>0</v>
      </c>
      <c r="AD131" s="183">
        <f>SUMIFS('октябрь 2025'!$G$2:$G$2619,'октябрь 2025'!$D$2:$D$2619,$B131,'октябрь 2025'!$J$2:$J$2619,AD$1)</f>
        <v>0</v>
      </c>
      <c r="AE131" s="183">
        <f>SUMIFS('октябрь 2025'!$G$2:$G$2619,'октябрь 2025'!$D$2:$D$2619,$B131,'октябрь 2025'!$J$2:$J$2619,AE$1)</f>
        <v>0</v>
      </c>
      <c r="AF131" s="183">
        <f>SUMIFS('октябрь 2025'!$G$2:$G$2619,'октябрь 2025'!$D$2:$D$2619,$B131,'октябрь 2025'!$J$2:$J$2619,AF$1)</f>
        <v>0</v>
      </c>
      <c r="AG131" s="183">
        <f>SUMIFS('октябрь 2025'!$G$2:$G$2619,'октябрь 2025'!$D$2:$D$2619,$B131,'октябрь 2025'!$J$2:$J$2619,AG$1)</f>
        <v>0</v>
      </c>
      <c r="AH131" s="183">
        <f>SUMIFS('октябрь 2025'!$G$2:$G$2619,'октябрь 2025'!$D$2:$D$2619,$B131,'октябрь 2025'!$J$2:$J$2619,AH$1)</f>
        <v>0</v>
      </c>
      <c r="AI131" s="20">
        <f t="shared" si="1"/>
        <v>0</v>
      </c>
    </row>
    <row r="132" spans="2:35" ht="15" customHeight="1" x14ac:dyDescent="0.25">
      <c r="B132" s="88" t="s">
        <v>866</v>
      </c>
      <c r="C132" s="86">
        <v>185</v>
      </c>
      <c r="D132" s="183">
        <f>SUMIFS('октябрь 2025'!$G$2:$G$2619,'октябрь 2025'!$D$2:$D$2619,$B132,'октябрь 2025'!$J$2:$J$2619,D$1)</f>
        <v>0</v>
      </c>
      <c r="E132" s="183">
        <f>SUMIFS('октябрь 2025'!$G$2:$G$2619,'октябрь 2025'!$D$2:$D$2619,$B132,'октябрь 2025'!$J$2:$J$2619,E$1)</f>
        <v>0</v>
      </c>
      <c r="F132" s="183">
        <f>SUMIFS('октябрь 2025'!$G$2:$G$2619,'октябрь 2025'!$D$2:$D$2619,$B132,'октябрь 2025'!$J$2:$J$2619,F$1)</f>
        <v>0</v>
      </c>
      <c r="G132" s="183">
        <f>SUMIFS('октябрь 2025'!$G$2:$G$2619,'октябрь 2025'!$D$2:$D$2619,$B132,'октябрь 2025'!$J$2:$J$2619,G$1)</f>
        <v>0</v>
      </c>
      <c r="H132" s="183">
        <f>SUMIFS('октябрь 2025'!$G$2:$G$2619,'октябрь 2025'!$D$2:$D$2619,$B132,'октябрь 2025'!$J$2:$J$2619,H$1)</f>
        <v>0</v>
      </c>
      <c r="I132" s="183">
        <f>SUMIFS('октябрь 2025'!$G$2:$G$2619,'октябрь 2025'!$D$2:$D$2619,$B132,'октябрь 2025'!$J$2:$J$2619,I$1)</f>
        <v>0</v>
      </c>
      <c r="J132" s="183">
        <f>SUMIFS('октябрь 2025'!$G$2:$G$2619,'октябрь 2025'!$D$2:$D$2619,$B132,'октябрь 2025'!$J$2:$J$2619,J$1)</f>
        <v>0</v>
      </c>
      <c r="K132" s="183">
        <f>SUMIFS('октябрь 2025'!$G$2:$G$2619,'октябрь 2025'!$D$2:$D$2619,$B132,'октябрь 2025'!$J$2:$J$2619,K$1)</f>
        <v>0</v>
      </c>
      <c r="L132" s="183">
        <f>SUMIFS('октябрь 2025'!$G$2:$G$2619,'октябрь 2025'!$D$2:$D$2619,$B132,'октябрь 2025'!$J$2:$J$2619,L$1)</f>
        <v>0</v>
      </c>
      <c r="M132" s="183">
        <f>SUMIFS('октябрь 2025'!$G$2:$G$2619,'октябрь 2025'!$D$2:$D$2619,$B132,'октябрь 2025'!$J$2:$J$2619,M$1)</f>
        <v>0</v>
      </c>
      <c r="N132" s="183">
        <f>SUMIFS('октябрь 2025'!$G$2:$G$2619,'октябрь 2025'!$D$2:$D$2619,$B132,'октябрь 2025'!$J$2:$J$2619,N$1)</f>
        <v>0</v>
      </c>
      <c r="O132" s="183">
        <f>SUMIFS('октябрь 2025'!$G$2:$G$2619,'октябрь 2025'!$D$2:$D$2619,$B132,'октябрь 2025'!$J$2:$J$2619,O$1)</f>
        <v>0</v>
      </c>
      <c r="P132" s="183">
        <f>SUMIFS('октябрь 2025'!$G$2:$G$2619,'октябрь 2025'!$D$2:$D$2619,$B132,'октябрь 2025'!$J$2:$J$2619,P$1)</f>
        <v>0</v>
      </c>
      <c r="Q132" s="183">
        <f>SUMIFS('октябрь 2025'!$G$2:$G$2619,'октябрь 2025'!$D$2:$D$2619,$B132,'октябрь 2025'!$J$2:$J$2619,Q$1)</f>
        <v>0</v>
      </c>
      <c r="R132" s="183">
        <f>SUMIFS('октябрь 2025'!$G$2:$G$2619,'октябрь 2025'!$D$2:$D$2619,$B132,'октябрь 2025'!$J$2:$J$2619,R$1)</f>
        <v>0</v>
      </c>
      <c r="S132" s="183">
        <f>SUMIFS('октябрь 2025'!$G$2:$G$2619,'октябрь 2025'!$D$2:$D$2619,$B132,'октябрь 2025'!$J$2:$J$2619,S$1)</f>
        <v>0</v>
      </c>
      <c r="T132" s="183">
        <f>SUMIFS('октябрь 2025'!$G$2:$G$2619,'октябрь 2025'!$D$2:$D$2619,$B132,'октябрь 2025'!$J$2:$J$2619,T$1)</f>
        <v>0</v>
      </c>
      <c r="U132" s="183">
        <f>SUMIFS('октябрь 2025'!$G$2:$G$2619,'октябрь 2025'!$D$2:$D$2619,$B132,'октябрь 2025'!$J$2:$J$2619,U$1)</f>
        <v>0</v>
      </c>
      <c r="V132" s="183">
        <f>SUMIFS('октябрь 2025'!$G$2:$G$2619,'октябрь 2025'!$D$2:$D$2619,$B132,'октябрь 2025'!$J$2:$J$2619,V$1)</f>
        <v>0</v>
      </c>
      <c r="W132" s="183">
        <f>SUMIFS('октябрь 2025'!$G$2:$G$2619,'октябрь 2025'!$D$2:$D$2619,$B132,'октябрь 2025'!$J$2:$J$2619,W$1)</f>
        <v>0</v>
      </c>
      <c r="X132" s="183">
        <f>SUMIFS('октябрь 2025'!$G$2:$G$2619,'октябрь 2025'!$D$2:$D$2619,$B132,'октябрь 2025'!$J$2:$J$2619,X$1)</f>
        <v>0</v>
      </c>
      <c r="Y132" s="183">
        <f>SUMIFS('октябрь 2025'!$G$2:$G$2619,'октябрь 2025'!$D$2:$D$2619,$B132,'октябрь 2025'!$J$2:$J$2619,Y$1)</f>
        <v>0</v>
      </c>
      <c r="Z132" s="183">
        <f>SUMIFS('октябрь 2025'!$G$2:$G$2619,'октябрь 2025'!$D$2:$D$2619,$B132,'октябрь 2025'!$J$2:$J$2619,Z$1)</f>
        <v>0</v>
      </c>
      <c r="AA132" s="183">
        <f>SUMIFS('октябрь 2025'!$G$2:$G$2619,'октябрь 2025'!$D$2:$D$2619,$B132,'октябрь 2025'!$J$2:$J$2619,AA$1)</f>
        <v>0</v>
      </c>
      <c r="AB132" s="183">
        <f>SUMIFS('октябрь 2025'!$G$2:$G$2619,'октябрь 2025'!$D$2:$D$2619,$B132,'октябрь 2025'!$J$2:$J$2619,AB$1)</f>
        <v>0</v>
      </c>
      <c r="AC132" s="183">
        <f>SUMIFS('октябрь 2025'!$G$2:$G$2619,'октябрь 2025'!$D$2:$D$2619,$B132,'октябрь 2025'!$J$2:$J$2619,AC$1)</f>
        <v>0</v>
      </c>
      <c r="AD132" s="183">
        <f>SUMIFS('октябрь 2025'!$G$2:$G$2619,'октябрь 2025'!$D$2:$D$2619,$B132,'октябрь 2025'!$J$2:$J$2619,AD$1)</f>
        <v>0</v>
      </c>
      <c r="AE132" s="183">
        <f>SUMIFS('октябрь 2025'!$G$2:$G$2619,'октябрь 2025'!$D$2:$D$2619,$B132,'октябрь 2025'!$J$2:$J$2619,AE$1)</f>
        <v>0</v>
      </c>
      <c r="AF132" s="183">
        <f>SUMIFS('октябрь 2025'!$G$2:$G$2619,'октябрь 2025'!$D$2:$D$2619,$B132,'октябрь 2025'!$J$2:$J$2619,AF$1)</f>
        <v>0</v>
      </c>
      <c r="AG132" s="183">
        <f>SUMIFS('октябрь 2025'!$G$2:$G$2619,'октябрь 2025'!$D$2:$D$2619,$B132,'октябрь 2025'!$J$2:$J$2619,AG$1)</f>
        <v>0</v>
      </c>
      <c r="AH132" s="183">
        <f>SUMIFS('октябрь 2025'!$G$2:$G$2619,'октябрь 2025'!$D$2:$D$2619,$B132,'октябрь 2025'!$J$2:$J$2619,AH$1)</f>
        <v>0</v>
      </c>
      <c r="AI132" s="20">
        <f t="shared" si="1"/>
        <v>0</v>
      </c>
    </row>
    <row r="133" spans="2:35" ht="15" customHeight="1" x14ac:dyDescent="0.25">
      <c r="B133" s="88" t="s">
        <v>266</v>
      </c>
      <c r="C133" s="86">
        <v>180</v>
      </c>
      <c r="D133" s="183">
        <f>SUMIFS('октябрь 2025'!$G$2:$G$2619,'октябрь 2025'!$D$2:$D$2619,$B133,'октябрь 2025'!$J$2:$J$2619,D$1)</f>
        <v>0</v>
      </c>
      <c r="E133" s="183">
        <f>SUMIFS('октябрь 2025'!$G$2:$G$2619,'октябрь 2025'!$D$2:$D$2619,$B133,'октябрь 2025'!$J$2:$J$2619,E$1)</f>
        <v>0</v>
      </c>
      <c r="F133" s="183">
        <f>SUMIFS('октябрь 2025'!$G$2:$G$2619,'октябрь 2025'!$D$2:$D$2619,$B133,'октябрь 2025'!$J$2:$J$2619,F$1)</f>
        <v>0</v>
      </c>
      <c r="G133" s="183">
        <f>SUMIFS('октябрь 2025'!$G$2:$G$2619,'октябрь 2025'!$D$2:$D$2619,$B133,'октябрь 2025'!$J$2:$J$2619,G$1)</f>
        <v>0</v>
      </c>
      <c r="H133" s="183">
        <f>SUMIFS('октябрь 2025'!$G$2:$G$2619,'октябрь 2025'!$D$2:$D$2619,$B133,'октябрь 2025'!$J$2:$J$2619,H$1)</f>
        <v>0</v>
      </c>
      <c r="I133" s="183">
        <f>SUMIFS('октябрь 2025'!$G$2:$G$2619,'октябрь 2025'!$D$2:$D$2619,$B133,'октябрь 2025'!$J$2:$J$2619,I$1)</f>
        <v>0</v>
      </c>
      <c r="J133" s="183">
        <f>SUMIFS('октябрь 2025'!$G$2:$G$2619,'октябрь 2025'!$D$2:$D$2619,$B133,'октябрь 2025'!$J$2:$J$2619,J$1)</f>
        <v>0</v>
      </c>
      <c r="K133" s="183">
        <f>SUMIFS('октябрь 2025'!$G$2:$G$2619,'октябрь 2025'!$D$2:$D$2619,$B133,'октябрь 2025'!$J$2:$J$2619,K$1)</f>
        <v>0</v>
      </c>
      <c r="L133" s="183">
        <f>SUMIFS('октябрь 2025'!$G$2:$G$2619,'октябрь 2025'!$D$2:$D$2619,$B133,'октябрь 2025'!$J$2:$J$2619,L$1)</f>
        <v>0</v>
      </c>
      <c r="M133" s="183">
        <f>SUMIFS('октябрь 2025'!$G$2:$G$2619,'октябрь 2025'!$D$2:$D$2619,$B133,'октябрь 2025'!$J$2:$J$2619,M$1)</f>
        <v>0</v>
      </c>
      <c r="N133" s="183">
        <f>SUMIFS('октябрь 2025'!$G$2:$G$2619,'октябрь 2025'!$D$2:$D$2619,$B133,'октябрь 2025'!$J$2:$J$2619,N$1)</f>
        <v>0</v>
      </c>
      <c r="O133" s="183">
        <f>SUMIFS('октябрь 2025'!$G$2:$G$2619,'октябрь 2025'!$D$2:$D$2619,$B133,'октябрь 2025'!$J$2:$J$2619,O$1)</f>
        <v>0</v>
      </c>
      <c r="P133" s="183">
        <f>SUMIFS('октябрь 2025'!$G$2:$G$2619,'октябрь 2025'!$D$2:$D$2619,$B133,'октябрь 2025'!$J$2:$J$2619,P$1)</f>
        <v>0</v>
      </c>
      <c r="Q133" s="183">
        <f>SUMIFS('октябрь 2025'!$G$2:$G$2619,'октябрь 2025'!$D$2:$D$2619,$B133,'октябрь 2025'!$J$2:$J$2619,Q$1)</f>
        <v>0</v>
      </c>
      <c r="R133" s="183">
        <f>SUMIFS('октябрь 2025'!$G$2:$G$2619,'октябрь 2025'!$D$2:$D$2619,$B133,'октябрь 2025'!$J$2:$J$2619,R$1)</f>
        <v>0</v>
      </c>
      <c r="S133" s="183">
        <f>SUMIFS('октябрь 2025'!$G$2:$G$2619,'октябрь 2025'!$D$2:$D$2619,$B133,'октябрь 2025'!$J$2:$J$2619,S$1)</f>
        <v>0</v>
      </c>
      <c r="T133" s="183">
        <f>SUMIFS('октябрь 2025'!$G$2:$G$2619,'октябрь 2025'!$D$2:$D$2619,$B133,'октябрь 2025'!$J$2:$J$2619,T$1)</f>
        <v>0</v>
      </c>
      <c r="U133" s="183">
        <f>SUMIFS('октябрь 2025'!$G$2:$G$2619,'октябрь 2025'!$D$2:$D$2619,$B133,'октябрь 2025'!$J$2:$J$2619,U$1)</f>
        <v>0</v>
      </c>
      <c r="V133" s="183">
        <f>SUMIFS('октябрь 2025'!$G$2:$G$2619,'октябрь 2025'!$D$2:$D$2619,$B133,'октябрь 2025'!$J$2:$J$2619,V$1)</f>
        <v>0</v>
      </c>
      <c r="W133" s="183">
        <f>SUMIFS('октябрь 2025'!$G$2:$G$2619,'октябрь 2025'!$D$2:$D$2619,$B133,'октябрь 2025'!$J$2:$J$2619,W$1)</f>
        <v>0</v>
      </c>
      <c r="X133" s="183">
        <f>SUMIFS('октябрь 2025'!$G$2:$G$2619,'октябрь 2025'!$D$2:$D$2619,$B133,'октябрь 2025'!$J$2:$J$2619,X$1)</f>
        <v>0</v>
      </c>
      <c r="Y133" s="183">
        <f>SUMIFS('октябрь 2025'!$G$2:$G$2619,'октябрь 2025'!$D$2:$D$2619,$B133,'октябрь 2025'!$J$2:$J$2619,Y$1)</f>
        <v>0</v>
      </c>
      <c r="Z133" s="183">
        <f>SUMIFS('октябрь 2025'!$G$2:$G$2619,'октябрь 2025'!$D$2:$D$2619,$B133,'октябрь 2025'!$J$2:$J$2619,Z$1)</f>
        <v>0</v>
      </c>
      <c r="AA133" s="183">
        <f>SUMIFS('октябрь 2025'!$G$2:$G$2619,'октябрь 2025'!$D$2:$D$2619,$B133,'октябрь 2025'!$J$2:$J$2619,AA$1)</f>
        <v>0</v>
      </c>
      <c r="AB133" s="183">
        <f>SUMIFS('октябрь 2025'!$G$2:$G$2619,'октябрь 2025'!$D$2:$D$2619,$B133,'октябрь 2025'!$J$2:$J$2619,AB$1)</f>
        <v>0</v>
      </c>
      <c r="AC133" s="183">
        <f>SUMIFS('октябрь 2025'!$G$2:$G$2619,'октябрь 2025'!$D$2:$D$2619,$B133,'октябрь 2025'!$J$2:$J$2619,AC$1)</f>
        <v>0</v>
      </c>
      <c r="AD133" s="183">
        <f>SUMIFS('октябрь 2025'!$G$2:$G$2619,'октябрь 2025'!$D$2:$D$2619,$B133,'октябрь 2025'!$J$2:$J$2619,AD$1)</f>
        <v>0</v>
      </c>
      <c r="AE133" s="183">
        <f>SUMIFS('октябрь 2025'!$G$2:$G$2619,'октябрь 2025'!$D$2:$D$2619,$B133,'октябрь 2025'!$J$2:$J$2619,AE$1)</f>
        <v>0</v>
      </c>
      <c r="AF133" s="183">
        <f>SUMIFS('октябрь 2025'!$G$2:$G$2619,'октябрь 2025'!$D$2:$D$2619,$B133,'октябрь 2025'!$J$2:$J$2619,AF$1)</f>
        <v>0</v>
      </c>
      <c r="AG133" s="183">
        <f>SUMIFS('октябрь 2025'!$G$2:$G$2619,'октябрь 2025'!$D$2:$D$2619,$B133,'октябрь 2025'!$J$2:$J$2619,AG$1)</f>
        <v>0</v>
      </c>
      <c r="AH133" s="183">
        <f>SUMIFS('октябрь 2025'!$G$2:$G$2619,'октябрь 2025'!$D$2:$D$2619,$B133,'октябрь 2025'!$J$2:$J$2619,AH$1)</f>
        <v>0</v>
      </c>
      <c r="AI133" s="20">
        <f t="shared" si="1"/>
        <v>0</v>
      </c>
    </row>
    <row r="134" spans="2:35" ht="15" customHeight="1" x14ac:dyDescent="0.25">
      <c r="B134" s="88" t="s">
        <v>267</v>
      </c>
      <c r="C134" s="86">
        <v>200</v>
      </c>
      <c r="D134" s="183">
        <f>SUMIFS('октябрь 2025'!$G$2:$G$2619,'октябрь 2025'!$D$2:$D$2619,$B134,'октябрь 2025'!$J$2:$J$2619,D$1)</f>
        <v>0</v>
      </c>
      <c r="E134" s="183">
        <f>SUMIFS('октябрь 2025'!$G$2:$G$2619,'октябрь 2025'!$D$2:$D$2619,$B134,'октябрь 2025'!$J$2:$J$2619,E$1)</f>
        <v>0</v>
      </c>
      <c r="F134" s="183">
        <f>SUMIFS('октябрь 2025'!$G$2:$G$2619,'октябрь 2025'!$D$2:$D$2619,$B134,'октябрь 2025'!$J$2:$J$2619,F$1)</f>
        <v>0</v>
      </c>
      <c r="G134" s="183">
        <f>SUMIFS('октябрь 2025'!$G$2:$G$2619,'октябрь 2025'!$D$2:$D$2619,$B134,'октябрь 2025'!$J$2:$J$2619,G$1)</f>
        <v>0</v>
      </c>
      <c r="H134" s="183">
        <f>SUMIFS('октябрь 2025'!$G$2:$G$2619,'октябрь 2025'!$D$2:$D$2619,$B134,'октябрь 2025'!$J$2:$J$2619,H$1)</f>
        <v>0</v>
      </c>
      <c r="I134" s="183">
        <f>SUMIFS('октябрь 2025'!$G$2:$G$2619,'октябрь 2025'!$D$2:$D$2619,$B134,'октябрь 2025'!$J$2:$J$2619,I$1)</f>
        <v>0</v>
      </c>
      <c r="J134" s="183">
        <f>SUMIFS('октябрь 2025'!$G$2:$G$2619,'октябрь 2025'!$D$2:$D$2619,$B134,'октябрь 2025'!$J$2:$J$2619,J$1)</f>
        <v>0</v>
      </c>
      <c r="K134" s="183">
        <f>SUMIFS('октябрь 2025'!$G$2:$G$2619,'октябрь 2025'!$D$2:$D$2619,$B134,'октябрь 2025'!$J$2:$J$2619,K$1)</f>
        <v>0</v>
      </c>
      <c r="L134" s="183">
        <f>SUMIFS('октябрь 2025'!$G$2:$G$2619,'октябрь 2025'!$D$2:$D$2619,$B134,'октябрь 2025'!$J$2:$J$2619,L$1)</f>
        <v>0</v>
      </c>
      <c r="M134" s="183">
        <f>SUMIFS('октябрь 2025'!$G$2:$G$2619,'октябрь 2025'!$D$2:$D$2619,$B134,'октябрь 2025'!$J$2:$J$2619,M$1)</f>
        <v>0</v>
      </c>
      <c r="N134" s="183">
        <f>SUMIFS('октябрь 2025'!$G$2:$G$2619,'октябрь 2025'!$D$2:$D$2619,$B134,'октябрь 2025'!$J$2:$J$2619,N$1)</f>
        <v>0</v>
      </c>
      <c r="O134" s="183">
        <f>SUMIFS('октябрь 2025'!$G$2:$G$2619,'октябрь 2025'!$D$2:$D$2619,$B134,'октябрь 2025'!$J$2:$J$2619,O$1)</f>
        <v>0</v>
      </c>
      <c r="P134" s="183">
        <f>SUMIFS('октябрь 2025'!$G$2:$G$2619,'октябрь 2025'!$D$2:$D$2619,$B134,'октябрь 2025'!$J$2:$J$2619,P$1)</f>
        <v>0</v>
      </c>
      <c r="Q134" s="183">
        <f>SUMIFS('октябрь 2025'!$G$2:$G$2619,'октябрь 2025'!$D$2:$D$2619,$B134,'октябрь 2025'!$J$2:$J$2619,Q$1)</f>
        <v>0</v>
      </c>
      <c r="R134" s="183">
        <f>SUMIFS('октябрь 2025'!$G$2:$G$2619,'октябрь 2025'!$D$2:$D$2619,$B134,'октябрь 2025'!$J$2:$J$2619,R$1)</f>
        <v>0</v>
      </c>
      <c r="S134" s="183">
        <f>SUMIFS('октябрь 2025'!$G$2:$G$2619,'октябрь 2025'!$D$2:$D$2619,$B134,'октябрь 2025'!$J$2:$J$2619,S$1)</f>
        <v>0</v>
      </c>
      <c r="T134" s="183">
        <f>SUMIFS('октябрь 2025'!$G$2:$G$2619,'октябрь 2025'!$D$2:$D$2619,$B134,'октябрь 2025'!$J$2:$J$2619,T$1)</f>
        <v>0</v>
      </c>
      <c r="U134" s="183">
        <f>SUMIFS('октябрь 2025'!$G$2:$G$2619,'октябрь 2025'!$D$2:$D$2619,$B134,'октябрь 2025'!$J$2:$J$2619,U$1)</f>
        <v>0</v>
      </c>
      <c r="V134" s="183">
        <f>SUMIFS('октябрь 2025'!$G$2:$G$2619,'октябрь 2025'!$D$2:$D$2619,$B134,'октябрь 2025'!$J$2:$J$2619,V$1)</f>
        <v>0</v>
      </c>
      <c r="W134" s="183">
        <f>SUMIFS('октябрь 2025'!$G$2:$G$2619,'октябрь 2025'!$D$2:$D$2619,$B134,'октябрь 2025'!$J$2:$J$2619,W$1)</f>
        <v>0</v>
      </c>
      <c r="X134" s="183">
        <f>SUMIFS('октябрь 2025'!$G$2:$G$2619,'октябрь 2025'!$D$2:$D$2619,$B134,'октябрь 2025'!$J$2:$J$2619,X$1)</f>
        <v>0</v>
      </c>
      <c r="Y134" s="183">
        <f>SUMIFS('октябрь 2025'!$G$2:$G$2619,'октябрь 2025'!$D$2:$D$2619,$B134,'октябрь 2025'!$J$2:$J$2619,Y$1)</f>
        <v>0</v>
      </c>
      <c r="Z134" s="183">
        <f>SUMIFS('октябрь 2025'!$G$2:$G$2619,'октябрь 2025'!$D$2:$D$2619,$B134,'октябрь 2025'!$J$2:$J$2619,Z$1)</f>
        <v>0</v>
      </c>
      <c r="AA134" s="183">
        <f>SUMIFS('октябрь 2025'!$G$2:$G$2619,'октябрь 2025'!$D$2:$D$2619,$B134,'октябрь 2025'!$J$2:$J$2619,AA$1)</f>
        <v>0</v>
      </c>
      <c r="AB134" s="183">
        <f>SUMIFS('октябрь 2025'!$G$2:$G$2619,'октябрь 2025'!$D$2:$D$2619,$B134,'октябрь 2025'!$J$2:$J$2619,AB$1)</f>
        <v>0</v>
      </c>
      <c r="AC134" s="183">
        <f>SUMIFS('октябрь 2025'!$G$2:$G$2619,'октябрь 2025'!$D$2:$D$2619,$B134,'октябрь 2025'!$J$2:$J$2619,AC$1)</f>
        <v>0</v>
      </c>
      <c r="AD134" s="183">
        <f>SUMIFS('октябрь 2025'!$G$2:$G$2619,'октябрь 2025'!$D$2:$D$2619,$B134,'октябрь 2025'!$J$2:$J$2619,AD$1)</f>
        <v>0</v>
      </c>
      <c r="AE134" s="183">
        <f>SUMIFS('октябрь 2025'!$G$2:$G$2619,'октябрь 2025'!$D$2:$D$2619,$B134,'октябрь 2025'!$J$2:$J$2619,AE$1)</f>
        <v>0</v>
      </c>
      <c r="AF134" s="183">
        <f>SUMIFS('октябрь 2025'!$G$2:$G$2619,'октябрь 2025'!$D$2:$D$2619,$B134,'октябрь 2025'!$J$2:$J$2619,AF$1)</f>
        <v>0</v>
      </c>
      <c r="AG134" s="183">
        <f>SUMIFS('октябрь 2025'!$G$2:$G$2619,'октябрь 2025'!$D$2:$D$2619,$B134,'октябрь 2025'!$J$2:$J$2619,AG$1)</f>
        <v>0</v>
      </c>
      <c r="AH134" s="183">
        <f>SUMIFS('октябрь 2025'!$G$2:$G$2619,'октябрь 2025'!$D$2:$D$2619,$B134,'октябрь 2025'!$J$2:$J$2619,AH$1)</f>
        <v>88</v>
      </c>
      <c r="AI134" s="20">
        <f t="shared" si="1"/>
        <v>88</v>
      </c>
    </row>
    <row r="135" spans="2:35" ht="15" customHeight="1" x14ac:dyDescent="0.25">
      <c r="B135" s="84" t="s">
        <v>163</v>
      </c>
      <c r="C135" s="83">
        <v>950</v>
      </c>
      <c r="D135" s="183">
        <f>SUMIFS('октябрь 2025'!$G$2:$G$2619,'октябрь 2025'!$D$2:$D$2619,$B135,'октябрь 2025'!$J$2:$J$2619,D$1)</f>
        <v>0</v>
      </c>
      <c r="E135" s="183">
        <f>SUMIFS('октябрь 2025'!$G$2:$G$2619,'октябрь 2025'!$D$2:$D$2619,$B135,'октябрь 2025'!$J$2:$J$2619,E$1)</f>
        <v>0</v>
      </c>
      <c r="F135" s="183">
        <f>SUMIFS('октябрь 2025'!$G$2:$G$2619,'октябрь 2025'!$D$2:$D$2619,$B135,'октябрь 2025'!$J$2:$J$2619,F$1)</f>
        <v>0</v>
      </c>
      <c r="G135" s="183">
        <f>SUMIFS('октябрь 2025'!$G$2:$G$2619,'октябрь 2025'!$D$2:$D$2619,$B135,'октябрь 2025'!$J$2:$J$2619,G$1)</f>
        <v>0</v>
      </c>
      <c r="H135" s="183">
        <f>SUMIFS('октябрь 2025'!$G$2:$G$2619,'октябрь 2025'!$D$2:$D$2619,$B135,'октябрь 2025'!$J$2:$J$2619,H$1)</f>
        <v>0</v>
      </c>
      <c r="I135" s="183">
        <f>SUMIFS('октябрь 2025'!$G$2:$G$2619,'октябрь 2025'!$D$2:$D$2619,$B135,'октябрь 2025'!$J$2:$J$2619,I$1)</f>
        <v>0</v>
      </c>
      <c r="J135" s="183">
        <f>SUMIFS('октябрь 2025'!$G$2:$G$2619,'октябрь 2025'!$D$2:$D$2619,$B135,'октябрь 2025'!$J$2:$J$2619,J$1)</f>
        <v>0</v>
      </c>
      <c r="K135" s="183">
        <f>SUMIFS('октябрь 2025'!$G$2:$G$2619,'октябрь 2025'!$D$2:$D$2619,$B135,'октябрь 2025'!$J$2:$J$2619,K$1)</f>
        <v>0</v>
      </c>
      <c r="L135" s="183">
        <f>SUMIFS('октябрь 2025'!$G$2:$G$2619,'октябрь 2025'!$D$2:$D$2619,$B135,'октябрь 2025'!$J$2:$J$2619,L$1)</f>
        <v>0</v>
      </c>
      <c r="M135" s="183">
        <f>SUMIFS('октябрь 2025'!$G$2:$G$2619,'октябрь 2025'!$D$2:$D$2619,$B135,'октябрь 2025'!$J$2:$J$2619,M$1)</f>
        <v>0</v>
      </c>
      <c r="N135" s="183">
        <f>SUMIFS('октябрь 2025'!$G$2:$G$2619,'октябрь 2025'!$D$2:$D$2619,$B135,'октябрь 2025'!$J$2:$J$2619,N$1)</f>
        <v>0</v>
      </c>
      <c r="O135" s="183">
        <f>SUMIFS('октябрь 2025'!$G$2:$G$2619,'октябрь 2025'!$D$2:$D$2619,$B135,'октябрь 2025'!$J$2:$J$2619,O$1)</f>
        <v>0</v>
      </c>
      <c r="P135" s="183">
        <f>SUMIFS('октябрь 2025'!$G$2:$G$2619,'октябрь 2025'!$D$2:$D$2619,$B135,'октябрь 2025'!$J$2:$J$2619,P$1)</f>
        <v>0</v>
      </c>
      <c r="Q135" s="183">
        <f>SUMIFS('октябрь 2025'!$G$2:$G$2619,'октябрь 2025'!$D$2:$D$2619,$B135,'октябрь 2025'!$J$2:$J$2619,Q$1)</f>
        <v>0</v>
      </c>
      <c r="R135" s="183">
        <f>SUMIFS('октябрь 2025'!$G$2:$G$2619,'октябрь 2025'!$D$2:$D$2619,$B135,'октябрь 2025'!$J$2:$J$2619,R$1)</f>
        <v>0</v>
      </c>
      <c r="S135" s="183">
        <f>SUMIFS('октябрь 2025'!$G$2:$G$2619,'октябрь 2025'!$D$2:$D$2619,$B135,'октябрь 2025'!$J$2:$J$2619,S$1)</f>
        <v>0</v>
      </c>
      <c r="T135" s="183">
        <f>SUMIFS('октябрь 2025'!$G$2:$G$2619,'октябрь 2025'!$D$2:$D$2619,$B135,'октябрь 2025'!$J$2:$J$2619,T$1)</f>
        <v>0</v>
      </c>
      <c r="U135" s="183">
        <f>SUMIFS('октябрь 2025'!$G$2:$G$2619,'октябрь 2025'!$D$2:$D$2619,$B135,'октябрь 2025'!$J$2:$J$2619,U$1)</f>
        <v>0</v>
      </c>
      <c r="V135" s="183">
        <f>SUMIFS('октябрь 2025'!$G$2:$G$2619,'октябрь 2025'!$D$2:$D$2619,$B135,'октябрь 2025'!$J$2:$J$2619,V$1)</f>
        <v>0</v>
      </c>
      <c r="W135" s="183">
        <f>SUMIFS('октябрь 2025'!$G$2:$G$2619,'октябрь 2025'!$D$2:$D$2619,$B135,'октябрь 2025'!$J$2:$J$2619,W$1)</f>
        <v>0</v>
      </c>
      <c r="X135" s="183">
        <f>SUMIFS('октябрь 2025'!$G$2:$G$2619,'октябрь 2025'!$D$2:$D$2619,$B135,'октябрь 2025'!$J$2:$J$2619,X$1)</f>
        <v>0</v>
      </c>
      <c r="Y135" s="183">
        <f>SUMIFS('октябрь 2025'!$G$2:$G$2619,'октябрь 2025'!$D$2:$D$2619,$B135,'октябрь 2025'!$J$2:$J$2619,Y$1)</f>
        <v>0</v>
      </c>
      <c r="Z135" s="183">
        <f>SUMIFS('октябрь 2025'!$G$2:$G$2619,'октябрь 2025'!$D$2:$D$2619,$B135,'октябрь 2025'!$J$2:$J$2619,Z$1)</f>
        <v>0</v>
      </c>
      <c r="AA135" s="183">
        <f>SUMIFS('октябрь 2025'!$G$2:$G$2619,'октябрь 2025'!$D$2:$D$2619,$B135,'октябрь 2025'!$J$2:$J$2619,AA$1)</f>
        <v>0</v>
      </c>
      <c r="AB135" s="183">
        <f>SUMIFS('октябрь 2025'!$G$2:$G$2619,'октябрь 2025'!$D$2:$D$2619,$B135,'октябрь 2025'!$J$2:$J$2619,AB$1)</f>
        <v>0</v>
      </c>
      <c r="AC135" s="183">
        <f>SUMIFS('октябрь 2025'!$G$2:$G$2619,'октябрь 2025'!$D$2:$D$2619,$B135,'октябрь 2025'!$J$2:$J$2619,AC$1)</f>
        <v>0</v>
      </c>
      <c r="AD135" s="183">
        <f>SUMIFS('октябрь 2025'!$G$2:$G$2619,'октябрь 2025'!$D$2:$D$2619,$B135,'октябрь 2025'!$J$2:$J$2619,AD$1)</f>
        <v>0</v>
      </c>
      <c r="AE135" s="183">
        <f>SUMIFS('октябрь 2025'!$G$2:$G$2619,'октябрь 2025'!$D$2:$D$2619,$B135,'октябрь 2025'!$J$2:$J$2619,AE$1)</f>
        <v>0</v>
      </c>
      <c r="AF135" s="183">
        <f>SUMIFS('октябрь 2025'!$G$2:$G$2619,'октябрь 2025'!$D$2:$D$2619,$B135,'октябрь 2025'!$J$2:$J$2619,AF$1)</f>
        <v>0</v>
      </c>
      <c r="AG135" s="183">
        <f>SUMIFS('октябрь 2025'!$G$2:$G$2619,'октябрь 2025'!$D$2:$D$2619,$B135,'октябрь 2025'!$J$2:$J$2619,AG$1)</f>
        <v>0</v>
      </c>
      <c r="AH135" s="183">
        <f>SUMIFS('октябрь 2025'!$G$2:$G$2619,'октябрь 2025'!$D$2:$D$2619,$B135,'октябрь 2025'!$J$2:$J$2619,AH$1)</f>
        <v>0</v>
      </c>
      <c r="AI135" s="20">
        <f t="shared" si="1"/>
        <v>0</v>
      </c>
    </row>
    <row r="136" spans="2:35" ht="15" customHeight="1" x14ac:dyDescent="0.25">
      <c r="B136" s="84" t="s">
        <v>183</v>
      </c>
      <c r="C136" s="83">
        <v>180</v>
      </c>
      <c r="D136" s="183">
        <f>SUMIFS('октябрь 2025'!$G$2:$G$2619,'октябрь 2025'!$D$2:$D$2619,$B136,'октябрь 2025'!$J$2:$J$2619,D$1)</f>
        <v>80</v>
      </c>
      <c r="E136" s="183">
        <f>SUMIFS('октябрь 2025'!$G$2:$G$2619,'октябрь 2025'!$D$2:$D$2619,$B136,'октябрь 2025'!$J$2:$J$2619,E$1)</f>
        <v>0</v>
      </c>
      <c r="F136" s="183">
        <f>SUMIFS('октябрь 2025'!$G$2:$G$2619,'октябрь 2025'!$D$2:$D$2619,$B136,'октябрь 2025'!$J$2:$J$2619,F$1)</f>
        <v>0</v>
      </c>
      <c r="G136" s="183">
        <f>SUMIFS('октябрь 2025'!$G$2:$G$2619,'октябрь 2025'!$D$2:$D$2619,$B136,'октябрь 2025'!$J$2:$J$2619,G$1)</f>
        <v>0</v>
      </c>
      <c r="H136" s="183">
        <f>SUMIFS('октябрь 2025'!$G$2:$G$2619,'октябрь 2025'!$D$2:$D$2619,$B136,'октябрь 2025'!$J$2:$J$2619,H$1)</f>
        <v>0</v>
      </c>
      <c r="I136" s="183">
        <f>SUMIFS('октябрь 2025'!$G$2:$G$2619,'октябрь 2025'!$D$2:$D$2619,$B136,'октябрь 2025'!$J$2:$J$2619,I$1)</f>
        <v>80</v>
      </c>
      <c r="J136" s="183">
        <f>SUMIFS('октябрь 2025'!$G$2:$G$2619,'октябрь 2025'!$D$2:$D$2619,$B136,'октябрь 2025'!$J$2:$J$2619,J$1)</f>
        <v>20</v>
      </c>
      <c r="K136" s="183">
        <f>SUMIFS('октябрь 2025'!$G$2:$G$2619,'октябрь 2025'!$D$2:$D$2619,$B136,'октябрь 2025'!$J$2:$J$2619,K$1)</f>
        <v>0</v>
      </c>
      <c r="L136" s="183">
        <f>SUMIFS('октябрь 2025'!$G$2:$G$2619,'октябрь 2025'!$D$2:$D$2619,$B136,'октябрь 2025'!$J$2:$J$2619,L$1)</f>
        <v>0</v>
      </c>
      <c r="M136" s="183">
        <f>SUMIFS('октябрь 2025'!$G$2:$G$2619,'октябрь 2025'!$D$2:$D$2619,$B136,'октябрь 2025'!$J$2:$J$2619,M$1)</f>
        <v>0</v>
      </c>
      <c r="N136" s="183">
        <f>SUMIFS('октябрь 2025'!$G$2:$G$2619,'октябрь 2025'!$D$2:$D$2619,$B136,'октябрь 2025'!$J$2:$J$2619,N$1)</f>
        <v>0</v>
      </c>
      <c r="O136" s="183">
        <f>SUMIFS('октябрь 2025'!$G$2:$G$2619,'октябрь 2025'!$D$2:$D$2619,$B136,'октябрь 2025'!$J$2:$J$2619,O$1)</f>
        <v>0</v>
      </c>
      <c r="P136" s="183">
        <f>SUMIFS('октябрь 2025'!$G$2:$G$2619,'октябрь 2025'!$D$2:$D$2619,$B136,'октябрь 2025'!$J$2:$J$2619,P$1)</f>
        <v>0</v>
      </c>
      <c r="Q136" s="183">
        <f>SUMIFS('октябрь 2025'!$G$2:$G$2619,'октябрь 2025'!$D$2:$D$2619,$B136,'октябрь 2025'!$J$2:$J$2619,Q$1)</f>
        <v>0</v>
      </c>
      <c r="R136" s="183">
        <f>SUMIFS('октябрь 2025'!$G$2:$G$2619,'октябрь 2025'!$D$2:$D$2619,$B136,'октябрь 2025'!$J$2:$J$2619,R$1)</f>
        <v>0</v>
      </c>
      <c r="S136" s="183">
        <f>SUMIFS('октябрь 2025'!$G$2:$G$2619,'октябрь 2025'!$D$2:$D$2619,$B136,'октябрь 2025'!$J$2:$J$2619,S$1)</f>
        <v>0</v>
      </c>
      <c r="T136" s="183">
        <f>SUMIFS('октябрь 2025'!$G$2:$G$2619,'октябрь 2025'!$D$2:$D$2619,$B136,'октябрь 2025'!$J$2:$J$2619,T$1)</f>
        <v>0</v>
      </c>
      <c r="U136" s="183">
        <f>SUMIFS('октябрь 2025'!$G$2:$G$2619,'октябрь 2025'!$D$2:$D$2619,$B136,'октябрь 2025'!$J$2:$J$2619,U$1)</f>
        <v>0</v>
      </c>
      <c r="V136" s="183">
        <f>SUMIFS('октябрь 2025'!$G$2:$G$2619,'октябрь 2025'!$D$2:$D$2619,$B136,'октябрь 2025'!$J$2:$J$2619,V$1)</f>
        <v>0</v>
      </c>
      <c r="W136" s="183">
        <f>SUMIFS('октябрь 2025'!$G$2:$G$2619,'октябрь 2025'!$D$2:$D$2619,$B136,'октябрь 2025'!$J$2:$J$2619,W$1)</f>
        <v>0</v>
      </c>
      <c r="X136" s="183">
        <f>SUMIFS('октябрь 2025'!$G$2:$G$2619,'октябрь 2025'!$D$2:$D$2619,$B136,'октябрь 2025'!$J$2:$J$2619,X$1)</f>
        <v>0</v>
      </c>
      <c r="Y136" s="183">
        <f>SUMIFS('октябрь 2025'!$G$2:$G$2619,'октябрь 2025'!$D$2:$D$2619,$B136,'октябрь 2025'!$J$2:$J$2619,Y$1)</f>
        <v>0</v>
      </c>
      <c r="Z136" s="183">
        <f>SUMIFS('октябрь 2025'!$G$2:$G$2619,'октябрь 2025'!$D$2:$D$2619,$B136,'октябрь 2025'!$J$2:$J$2619,Z$1)</f>
        <v>0</v>
      </c>
      <c r="AA136" s="183">
        <f>SUMIFS('октябрь 2025'!$G$2:$G$2619,'октябрь 2025'!$D$2:$D$2619,$B136,'октябрь 2025'!$J$2:$J$2619,AA$1)</f>
        <v>0</v>
      </c>
      <c r="AB136" s="183">
        <f>SUMIFS('октябрь 2025'!$G$2:$G$2619,'октябрь 2025'!$D$2:$D$2619,$B136,'октябрь 2025'!$J$2:$J$2619,AB$1)</f>
        <v>0</v>
      </c>
      <c r="AC136" s="183">
        <f>SUMIFS('октябрь 2025'!$G$2:$G$2619,'октябрь 2025'!$D$2:$D$2619,$B136,'октябрь 2025'!$J$2:$J$2619,AC$1)</f>
        <v>0</v>
      </c>
      <c r="AD136" s="183">
        <f>SUMIFS('октябрь 2025'!$G$2:$G$2619,'октябрь 2025'!$D$2:$D$2619,$B136,'октябрь 2025'!$J$2:$J$2619,AD$1)</f>
        <v>0</v>
      </c>
      <c r="AE136" s="183">
        <f>SUMIFS('октябрь 2025'!$G$2:$G$2619,'октябрь 2025'!$D$2:$D$2619,$B136,'октябрь 2025'!$J$2:$J$2619,AE$1)</f>
        <v>0</v>
      </c>
      <c r="AF136" s="183">
        <f>SUMIFS('октябрь 2025'!$G$2:$G$2619,'октябрь 2025'!$D$2:$D$2619,$B136,'октябрь 2025'!$J$2:$J$2619,AF$1)</f>
        <v>0</v>
      </c>
      <c r="AG136" s="183">
        <f>SUMIFS('октябрь 2025'!$G$2:$G$2619,'октябрь 2025'!$D$2:$D$2619,$B136,'октябрь 2025'!$J$2:$J$2619,AG$1)</f>
        <v>0</v>
      </c>
      <c r="AH136" s="183">
        <f>SUMIFS('октябрь 2025'!$G$2:$G$2619,'октябрь 2025'!$D$2:$D$2619,$B136,'октябрь 2025'!$J$2:$J$2619,AH$1)</f>
        <v>0</v>
      </c>
      <c r="AI136" s="20">
        <f t="shared" si="1"/>
        <v>180</v>
      </c>
    </row>
    <row r="137" spans="2:35" ht="15" customHeight="1" x14ac:dyDescent="0.25">
      <c r="B137" s="84" t="s">
        <v>305</v>
      </c>
      <c r="C137" s="83">
        <v>180</v>
      </c>
      <c r="D137" s="183">
        <f>SUMIFS('октябрь 2025'!$G$2:$G$2619,'октябрь 2025'!$D$2:$D$2619,$B137,'октябрь 2025'!$J$2:$J$2619,D$1)</f>
        <v>0</v>
      </c>
      <c r="E137" s="183">
        <f>SUMIFS('октябрь 2025'!$G$2:$G$2619,'октябрь 2025'!$D$2:$D$2619,$B137,'октябрь 2025'!$J$2:$J$2619,E$1)</f>
        <v>0</v>
      </c>
      <c r="F137" s="183">
        <f>SUMIFS('октябрь 2025'!$G$2:$G$2619,'октябрь 2025'!$D$2:$D$2619,$B137,'октябрь 2025'!$J$2:$J$2619,F$1)</f>
        <v>0</v>
      </c>
      <c r="G137" s="183">
        <f>SUMIFS('октябрь 2025'!$G$2:$G$2619,'октябрь 2025'!$D$2:$D$2619,$B137,'октябрь 2025'!$J$2:$J$2619,G$1)</f>
        <v>0</v>
      </c>
      <c r="H137" s="183">
        <f>SUMIFS('октябрь 2025'!$G$2:$G$2619,'октябрь 2025'!$D$2:$D$2619,$B137,'октябрь 2025'!$J$2:$J$2619,H$1)</f>
        <v>0</v>
      </c>
      <c r="I137" s="183">
        <f>SUMIFS('октябрь 2025'!$G$2:$G$2619,'октябрь 2025'!$D$2:$D$2619,$B137,'октябрь 2025'!$J$2:$J$2619,I$1)</f>
        <v>0</v>
      </c>
      <c r="J137" s="183">
        <f>SUMIFS('октябрь 2025'!$G$2:$G$2619,'октябрь 2025'!$D$2:$D$2619,$B137,'октябрь 2025'!$J$2:$J$2619,J$1)</f>
        <v>0</v>
      </c>
      <c r="K137" s="183">
        <f>SUMIFS('октябрь 2025'!$G$2:$G$2619,'октябрь 2025'!$D$2:$D$2619,$B137,'октябрь 2025'!$J$2:$J$2619,K$1)</f>
        <v>0</v>
      </c>
      <c r="L137" s="183">
        <f>SUMIFS('октябрь 2025'!$G$2:$G$2619,'октябрь 2025'!$D$2:$D$2619,$B137,'октябрь 2025'!$J$2:$J$2619,L$1)</f>
        <v>0</v>
      </c>
      <c r="M137" s="183">
        <f>SUMIFS('октябрь 2025'!$G$2:$G$2619,'октябрь 2025'!$D$2:$D$2619,$B137,'октябрь 2025'!$J$2:$J$2619,M$1)</f>
        <v>0</v>
      </c>
      <c r="N137" s="183">
        <f>SUMIFS('октябрь 2025'!$G$2:$G$2619,'октябрь 2025'!$D$2:$D$2619,$B137,'октябрь 2025'!$J$2:$J$2619,N$1)</f>
        <v>0</v>
      </c>
      <c r="O137" s="183">
        <f>SUMIFS('октябрь 2025'!$G$2:$G$2619,'октябрь 2025'!$D$2:$D$2619,$B137,'октябрь 2025'!$J$2:$J$2619,O$1)</f>
        <v>0</v>
      </c>
      <c r="P137" s="183">
        <f>SUMIFS('октябрь 2025'!$G$2:$G$2619,'октябрь 2025'!$D$2:$D$2619,$B137,'октябрь 2025'!$J$2:$J$2619,P$1)</f>
        <v>0</v>
      </c>
      <c r="Q137" s="183">
        <f>SUMIFS('октябрь 2025'!$G$2:$G$2619,'октябрь 2025'!$D$2:$D$2619,$B137,'октябрь 2025'!$J$2:$J$2619,Q$1)</f>
        <v>0</v>
      </c>
      <c r="R137" s="183">
        <f>SUMIFS('октябрь 2025'!$G$2:$G$2619,'октябрь 2025'!$D$2:$D$2619,$B137,'октябрь 2025'!$J$2:$J$2619,R$1)</f>
        <v>0</v>
      </c>
      <c r="S137" s="183">
        <f>SUMIFS('октябрь 2025'!$G$2:$G$2619,'октябрь 2025'!$D$2:$D$2619,$B137,'октябрь 2025'!$J$2:$J$2619,S$1)</f>
        <v>0</v>
      </c>
      <c r="T137" s="183">
        <f>SUMIFS('октябрь 2025'!$G$2:$G$2619,'октябрь 2025'!$D$2:$D$2619,$B137,'октябрь 2025'!$J$2:$J$2619,T$1)</f>
        <v>0</v>
      </c>
      <c r="U137" s="183">
        <f>SUMIFS('октябрь 2025'!$G$2:$G$2619,'октябрь 2025'!$D$2:$D$2619,$B137,'октябрь 2025'!$J$2:$J$2619,U$1)</f>
        <v>0</v>
      </c>
      <c r="V137" s="183">
        <f>SUMIFS('октябрь 2025'!$G$2:$G$2619,'октябрь 2025'!$D$2:$D$2619,$B137,'октябрь 2025'!$J$2:$J$2619,V$1)</f>
        <v>0</v>
      </c>
      <c r="W137" s="183">
        <f>SUMIFS('октябрь 2025'!$G$2:$G$2619,'октябрь 2025'!$D$2:$D$2619,$B137,'октябрь 2025'!$J$2:$J$2619,W$1)</f>
        <v>0</v>
      </c>
      <c r="X137" s="183">
        <f>SUMIFS('октябрь 2025'!$G$2:$G$2619,'октябрь 2025'!$D$2:$D$2619,$B137,'октябрь 2025'!$J$2:$J$2619,X$1)</f>
        <v>0</v>
      </c>
      <c r="Y137" s="183">
        <f>SUMIFS('октябрь 2025'!$G$2:$G$2619,'октябрь 2025'!$D$2:$D$2619,$B137,'октябрь 2025'!$J$2:$J$2619,Y$1)</f>
        <v>0</v>
      </c>
      <c r="Z137" s="183">
        <f>SUMIFS('октябрь 2025'!$G$2:$G$2619,'октябрь 2025'!$D$2:$D$2619,$B137,'октябрь 2025'!$J$2:$J$2619,Z$1)</f>
        <v>0</v>
      </c>
      <c r="AA137" s="183">
        <f>SUMIFS('октябрь 2025'!$G$2:$G$2619,'октябрь 2025'!$D$2:$D$2619,$B137,'октябрь 2025'!$J$2:$J$2619,AA$1)</f>
        <v>0</v>
      </c>
      <c r="AB137" s="183">
        <f>SUMIFS('октябрь 2025'!$G$2:$G$2619,'октябрь 2025'!$D$2:$D$2619,$B137,'октябрь 2025'!$J$2:$J$2619,AB$1)</f>
        <v>0</v>
      </c>
      <c r="AC137" s="183">
        <f>SUMIFS('октябрь 2025'!$G$2:$G$2619,'октябрь 2025'!$D$2:$D$2619,$B137,'октябрь 2025'!$J$2:$J$2619,AC$1)</f>
        <v>0</v>
      </c>
      <c r="AD137" s="183">
        <f>SUMIFS('октябрь 2025'!$G$2:$G$2619,'октябрь 2025'!$D$2:$D$2619,$B137,'октябрь 2025'!$J$2:$J$2619,AD$1)</f>
        <v>0</v>
      </c>
      <c r="AE137" s="183">
        <f>SUMIFS('октябрь 2025'!$G$2:$G$2619,'октябрь 2025'!$D$2:$D$2619,$B137,'октябрь 2025'!$J$2:$J$2619,AE$1)</f>
        <v>0</v>
      </c>
      <c r="AF137" s="183">
        <f>SUMIFS('октябрь 2025'!$G$2:$G$2619,'октябрь 2025'!$D$2:$D$2619,$B137,'октябрь 2025'!$J$2:$J$2619,AF$1)</f>
        <v>0</v>
      </c>
      <c r="AG137" s="183">
        <f>SUMIFS('октябрь 2025'!$G$2:$G$2619,'октябрь 2025'!$D$2:$D$2619,$B137,'октябрь 2025'!$J$2:$J$2619,AG$1)</f>
        <v>0</v>
      </c>
      <c r="AH137" s="183">
        <f>SUMIFS('октябрь 2025'!$G$2:$G$2619,'октябрь 2025'!$D$2:$D$2619,$B137,'октябрь 2025'!$J$2:$J$2619,AH$1)</f>
        <v>0</v>
      </c>
      <c r="AI137" s="20"/>
    </row>
    <row r="138" spans="2:35" ht="15" customHeight="1" x14ac:dyDescent="0.25">
      <c r="B138" s="84" t="s">
        <v>171</v>
      </c>
      <c r="C138" s="83">
        <v>200</v>
      </c>
      <c r="D138" s="183">
        <f>SUMIFS('октябрь 2025'!$G$2:$G$2619,'октябрь 2025'!$D$2:$D$2619,$B138,'октябрь 2025'!$J$2:$J$2619,D$1)</f>
        <v>0</v>
      </c>
      <c r="E138" s="183">
        <f>SUMIFS('октябрь 2025'!$G$2:$G$2619,'октябрь 2025'!$D$2:$D$2619,$B138,'октябрь 2025'!$J$2:$J$2619,E$1)</f>
        <v>0</v>
      </c>
      <c r="F138" s="183">
        <f>SUMIFS('октябрь 2025'!$G$2:$G$2619,'октябрь 2025'!$D$2:$D$2619,$B138,'октябрь 2025'!$J$2:$J$2619,F$1)</f>
        <v>0</v>
      </c>
      <c r="G138" s="183">
        <f>SUMIFS('октябрь 2025'!$G$2:$G$2619,'октябрь 2025'!$D$2:$D$2619,$B138,'октябрь 2025'!$J$2:$J$2619,G$1)</f>
        <v>0</v>
      </c>
      <c r="H138" s="183">
        <f>SUMIFS('октябрь 2025'!$G$2:$G$2619,'октябрь 2025'!$D$2:$D$2619,$B138,'октябрь 2025'!$J$2:$J$2619,H$1)</f>
        <v>0</v>
      </c>
      <c r="I138" s="183">
        <f>SUMIFS('октябрь 2025'!$G$2:$G$2619,'октябрь 2025'!$D$2:$D$2619,$B138,'октябрь 2025'!$J$2:$J$2619,I$1)</f>
        <v>0</v>
      </c>
      <c r="J138" s="183">
        <f>SUMIFS('октябрь 2025'!$G$2:$G$2619,'октябрь 2025'!$D$2:$D$2619,$B138,'октябрь 2025'!$J$2:$J$2619,J$1)</f>
        <v>0</v>
      </c>
      <c r="K138" s="183">
        <f>SUMIFS('октябрь 2025'!$G$2:$G$2619,'октябрь 2025'!$D$2:$D$2619,$B138,'октябрь 2025'!$J$2:$J$2619,K$1)</f>
        <v>0</v>
      </c>
      <c r="L138" s="183">
        <f>SUMIFS('октябрь 2025'!$G$2:$G$2619,'октябрь 2025'!$D$2:$D$2619,$B138,'октябрь 2025'!$J$2:$J$2619,L$1)</f>
        <v>0</v>
      </c>
      <c r="M138" s="183">
        <f>SUMIFS('октябрь 2025'!$G$2:$G$2619,'октябрь 2025'!$D$2:$D$2619,$B138,'октябрь 2025'!$J$2:$J$2619,M$1)</f>
        <v>0</v>
      </c>
      <c r="N138" s="183">
        <f>SUMIFS('октябрь 2025'!$G$2:$G$2619,'октябрь 2025'!$D$2:$D$2619,$B138,'октябрь 2025'!$J$2:$J$2619,N$1)</f>
        <v>0</v>
      </c>
      <c r="O138" s="183">
        <f>SUMIFS('октябрь 2025'!$G$2:$G$2619,'октябрь 2025'!$D$2:$D$2619,$B138,'октябрь 2025'!$J$2:$J$2619,O$1)</f>
        <v>0</v>
      </c>
      <c r="P138" s="183">
        <f>SUMIFS('октябрь 2025'!$G$2:$G$2619,'октябрь 2025'!$D$2:$D$2619,$B138,'октябрь 2025'!$J$2:$J$2619,P$1)</f>
        <v>0</v>
      </c>
      <c r="Q138" s="183">
        <f>SUMIFS('октябрь 2025'!$G$2:$G$2619,'октябрь 2025'!$D$2:$D$2619,$B138,'октябрь 2025'!$J$2:$J$2619,Q$1)</f>
        <v>0</v>
      </c>
      <c r="R138" s="183">
        <f>SUMIFS('октябрь 2025'!$G$2:$G$2619,'октябрь 2025'!$D$2:$D$2619,$B138,'октябрь 2025'!$J$2:$J$2619,R$1)</f>
        <v>0</v>
      </c>
      <c r="S138" s="183">
        <f>SUMIFS('октябрь 2025'!$G$2:$G$2619,'октябрь 2025'!$D$2:$D$2619,$B138,'октябрь 2025'!$J$2:$J$2619,S$1)</f>
        <v>0</v>
      </c>
      <c r="T138" s="183">
        <f>SUMIFS('октябрь 2025'!$G$2:$G$2619,'октябрь 2025'!$D$2:$D$2619,$B138,'октябрь 2025'!$J$2:$J$2619,T$1)</f>
        <v>0</v>
      </c>
      <c r="U138" s="183">
        <f>SUMIFS('октябрь 2025'!$G$2:$G$2619,'октябрь 2025'!$D$2:$D$2619,$B138,'октябрь 2025'!$J$2:$J$2619,U$1)</f>
        <v>0</v>
      </c>
      <c r="V138" s="183">
        <f>SUMIFS('октябрь 2025'!$G$2:$G$2619,'октябрь 2025'!$D$2:$D$2619,$B138,'октябрь 2025'!$J$2:$J$2619,V$1)</f>
        <v>0</v>
      </c>
      <c r="W138" s="183">
        <f>SUMIFS('октябрь 2025'!$G$2:$G$2619,'октябрь 2025'!$D$2:$D$2619,$B138,'октябрь 2025'!$J$2:$J$2619,W$1)</f>
        <v>0</v>
      </c>
      <c r="X138" s="183">
        <f>SUMIFS('октябрь 2025'!$G$2:$G$2619,'октябрь 2025'!$D$2:$D$2619,$B138,'октябрь 2025'!$J$2:$J$2619,X$1)</f>
        <v>0</v>
      </c>
      <c r="Y138" s="183">
        <f>SUMIFS('октябрь 2025'!$G$2:$G$2619,'октябрь 2025'!$D$2:$D$2619,$B138,'октябрь 2025'!$J$2:$J$2619,Y$1)</f>
        <v>0</v>
      </c>
      <c r="Z138" s="183">
        <f>SUMIFS('октябрь 2025'!$G$2:$G$2619,'октябрь 2025'!$D$2:$D$2619,$B138,'октябрь 2025'!$J$2:$J$2619,Z$1)</f>
        <v>0</v>
      </c>
      <c r="AA138" s="183">
        <f>SUMIFS('октябрь 2025'!$G$2:$G$2619,'октябрь 2025'!$D$2:$D$2619,$B138,'октябрь 2025'!$J$2:$J$2619,AA$1)</f>
        <v>0</v>
      </c>
      <c r="AB138" s="183">
        <f>SUMIFS('октябрь 2025'!$G$2:$G$2619,'октябрь 2025'!$D$2:$D$2619,$B138,'октябрь 2025'!$J$2:$J$2619,AB$1)</f>
        <v>0</v>
      </c>
      <c r="AC138" s="183">
        <f>SUMIFS('октябрь 2025'!$G$2:$G$2619,'октябрь 2025'!$D$2:$D$2619,$B138,'октябрь 2025'!$J$2:$J$2619,AC$1)</f>
        <v>0</v>
      </c>
      <c r="AD138" s="183">
        <f>SUMIFS('октябрь 2025'!$G$2:$G$2619,'октябрь 2025'!$D$2:$D$2619,$B138,'октябрь 2025'!$J$2:$J$2619,AD$1)</f>
        <v>0</v>
      </c>
      <c r="AE138" s="183">
        <f>SUMIFS('октябрь 2025'!$G$2:$G$2619,'октябрь 2025'!$D$2:$D$2619,$B138,'октябрь 2025'!$J$2:$J$2619,AE$1)</f>
        <v>0</v>
      </c>
      <c r="AF138" s="183">
        <f>SUMIFS('октябрь 2025'!$G$2:$G$2619,'октябрь 2025'!$D$2:$D$2619,$B138,'октябрь 2025'!$J$2:$J$2619,AF$1)</f>
        <v>0</v>
      </c>
      <c r="AG138" s="183">
        <f>SUMIFS('октябрь 2025'!$G$2:$G$2619,'октябрь 2025'!$D$2:$D$2619,$B138,'октябрь 2025'!$J$2:$J$2619,AG$1)</f>
        <v>0</v>
      </c>
      <c r="AH138" s="183">
        <f>SUMIFS('октябрь 2025'!$G$2:$G$2619,'октябрь 2025'!$D$2:$D$2619,$B138,'октябрь 2025'!$J$2:$J$2619,AH$1)</f>
        <v>0</v>
      </c>
      <c r="AI138" s="20">
        <f t="shared" si="1"/>
        <v>0</v>
      </c>
    </row>
    <row r="139" spans="2:35" ht="15" customHeight="1" x14ac:dyDescent="0.25">
      <c r="B139" s="84" t="s">
        <v>172</v>
      </c>
      <c r="C139" s="83">
        <v>200</v>
      </c>
      <c r="D139" s="183">
        <f>SUMIFS('октябрь 2025'!$G$2:$G$2619,'октябрь 2025'!$D$2:$D$2619,$B139,'октябрь 2025'!$J$2:$J$2619,D$1)</f>
        <v>0</v>
      </c>
      <c r="E139" s="183">
        <f>SUMIFS('октябрь 2025'!$G$2:$G$2619,'октябрь 2025'!$D$2:$D$2619,$B139,'октябрь 2025'!$J$2:$J$2619,E$1)</f>
        <v>0</v>
      </c>
      <c r="F139" s="183">
        <f>SUMIFS('октябрь 2025'!$G$2:$G$2619,'октябрь 2025'!$D$2:$D$2619,$B139,'октябрь 2025'!$J$2:$J$2619,F$1)</f>
        <v>0</v>
      </c>
      <c r="G139" s="183">
        <f>SUMIFS('октябрь 2025'!$G$2:$G$2619,'октябрь 2025'!$D$2:$D$2619,$B139,'октябрь 2025'!$J$2:$J$2619,G$1)</f>
        <v>0</v>
      </c>
      <c r="H139" s="183">
        <f>SUMIFS('октябрь 2025'!$G$2:$G$2619,'октябрь 2025'!$D$2:$D$2619,$B139,'октябрь 2025'!$J$2:$J$2619,H$1)</f>
        <v>0</v>
      </c>
      <c r="I139" s="183">
        <f>SUMIFS('октябрь 2025'!$G$2:$G$2619,'октябрь 2025'!$D$2:$D$2619,$B139,'октябрь 2025'!$J$2:$J$2619,I$1)</f>
        <v>0</v>
      </c>
      <c r="J139" s="183">
        <f>SUMIFS('октябрь 2025'!$G$2:$G$2619,'октябрь 2025'!$D$2:$D$2619,$B139,'октябрь 2025'!$J$2:$J$2619,J$1)</f>
        <v>0</v>
      </c>
      <c r="K139" s="183">
        <f>SUMIFS('октябрь 2025'!$G$2:$G$2619,'октябрь 2025'!$D$2:$D$2619,$B139,'октябрь 2025'!$J$2:$J$2619,K$1)</f>
        <v>0</v>
      </c>
      <c r="L139" s="183">
        <f>SUMIFS('октябрь 2025'!$G$2:$G$2619,'октябрь 2025'!$D$2:$D$2619,$B139,'октябрь 2025'!$J$2:$J$2619,L$1)</f>
        <v>0</v>
      </c>
      <c r="M139" s="183">
        <f>SUMIFS('октябрь 2025'!$G$2:$G$2619,'октябрь 2025'!$D$2:$D$2619,$B139,'октябрь 2025'!$J$2:$J$2619,M$1)</f>
        <v>0</v>
      </c>
      <c r="N139" s="183">
        <f>SUMIFS('октябрь 2025'!$G$2:$G$2619,'октябрь 2025'!$D$2:$D$2619,$B139,'октябрь 2025'!$J$2:$J$2619,N$1)</f>
        <v>0</v>
      </c>
      <c r="O139" s="183">
        <f>SUMIFS('октябрь 2025'!$G$2:$G$2619,'октябрь 2025'!$D$2:$D$2619,$B139,'октябрь 2025'!$J$2:$J$2619,O$1)</f>
        <v>0</v>
      </c>
      <c r="P139" s="183">
        <f>SUMIFS('октябрь 2025'!$G$2:$G$2619,'октябрь 2025'!$D$2:$D$2619,$B139,'октябрь 2025'!$J$2:$J$2619,P$1)</f>
        <v>0</v>
      </c>
      <c r="Q139" s="183">
        <f>SUMIFS('октябрь 2025'!$G$2:$G$2619,'октябрь 2025'!$D$2:$D$2619,$B139,'октябрь 2025'!$J$2:$J$2619,Q$1)</f>
        <v>0</v>
      </c>
      <c r="R139" s="183">
        <f>SUMIFS('октябрь 2025'!$G$2:$G$2619,'октябрь 2025'!$D$2:$D$2619,$B139,'октябрь 2025'!$J$2:$J$2619,R$1)</f>
        <v>0</v>
      </c>
      <c r="S139" s="183">
        <f>SUMIFS('октябрь 2025'!$G$2:$G$2619,'октябрь 2025'!$D$2:$D$2619,$B139,'октябрь 2025'!$J$2:$J$2619,S$1)</f>
        <v>0</v>
      </c>
      <c r="T139" s="183">
        <f>SUMIFS('октябрь 2025'!$G$2:$G$2619,'октябрь 2025'!$D$2:$D$2619,$B139,'октябрь 2025'!$J$2:$J$2619,T$1)</f>
        <v>0</v>
      </c>
      <c r="U139" s="183">
        <f>SUMIFS('октябрь 2025'!$G$2:$G$2619,'октябрь 2025'!$D$2:$D$2619,$B139,'октябрь 2025'!$J$2:$J$2619,U$1)</f>
        <v>0</v>
      </c>
      <c r="V139" s="183">
        <f>SUMIFS('октябрь 2025'!$G$2:$G$2619,'октябрь 2025'!$D$2:$D$2619,$B139,'октябрь 2025'!$J$2:$J$2619,V$1)</f>
        <v>0</v>
      </c>
      <c r="W139" s="183">
        <f>SUMIFS('октябрь 2025'!$G$2:$G$2619,'октябрь 2025'!$D$2:$D$2619,$B139,'октябрь 2025'!$J$2:$J$2619,W$1)</f>
        <v>0</v>
      </c>
      <c r="X139" s="183">
        <f>SUMIFS('октябрь 2025'!$G$2:$G$2619,'октябрь 2025'!$D$2:$D$2619,$B139,'октябрь 2025'!$J$2:$J$2619,X$1)</f>
        <v>0</v>
      </c>
      <c r="Y139" s="183">
        <f>SUMIFS('октябрь 2025'!$G$2:$G$2619,'октябрь 2025'!$D$2:$D$2619,$B139,'октябрь 2025'!$J$2:$J$2619,Y$1)</f>
        <v>0</v>
      </c>
      <c r="Z139" s="183">
        <f>SUMIFS('октябрь 2025'!$G$2:$G$2619,'октябрь 2025'!$D$2:$D$2619,$B139,'октябрь 2025'!$J$2:$J$2619,Z$1)</f>
        <v>0</v>
      </c>
      <c r="AA139" s="183">
        <f>SUMIFS('октябрь 2025'!$G$2:$G$2619,'октябрь 2025'!$D$2:$D$2619,$B139,'октябрь 2025'!$J$2:$J$2619,AA$1)</f>
        <v>0</v>
      </c>
      <c r="AB139" s="183">
        <f>SUMIFS('октябрь 2025'!$G$2:$G$2619,'октябрь 2025'!$D$2:$D$2619,$B139,'октябрь 2025'!$J$2:$J$2619,AB$1)</f>
        <v>0</v>
      </c>
      <c r="AC139" s="183">
        <f>SUMIFS('октябрь 2025'!$G$2:$G$2619,'октябрь 2025'!$D$2:$D$2619,$B139,'октябрь 2025'!$J$2:$J$2619,AC$1)</f>
        <v>0</v>
      </c>
      <c r="AD139" s="183">
        <f>SUMIFS('октябрь 2025'!$G$2:$G$2619,'октябрь 2025'!$D$2:$D$2619,$B139,'октябрь 2025'!$J$2:$J$2619,AD$1)</f>
        <v>0</v>
      </c>
      <c r="AE139" s="183">
        <f>SUMIFS('октябрь 2025'!$G$2:$G$2619,'октябрь 2025'!$D$2:$D$2619,$B139,'октябрь 2025'!$J$2:$J$2619,AE$1)</f>
        <v>0</v>
      </c>
      <c r="AF139" s="183">
        <f>SUMIFS('октябрь 2025'!$G$2:$G$2619,'октябрь 2025'!$D$2:$D$2619,$B139,'октябрь 2025'!$J$2:$J$2619,AF$1)</f>
        <v>0</v>
      </c>
      <c r="AG139" s="183">
        <f>SUMIFS('октябрь 2025'!$G$2:$G$2619,'октябрь 2025'!$D$2:$D$2619,$B139,'октябрь 2025'!$J$2:$J$2619,AG$1)</f>
        <v>0</v>
      </c>
      <c r="AH139" s="183">
        <f>SUMIFS('октябрь 2025'!$G$2:$G$2619,'октябрь 2025'!$D$2:$D$2619,$B139,'октябрь 2025'!$J$2:$J$2619,AH$1)</f>
        <v>0</v>
      </c>
      <c r="AI139" s="20">
        <f t="shared" si="1"/>
        <v>0</v>
      </c>
    </row>
    <row r="140" spans="2:35" ht="15" customHeight="1" x14ac:dyDescent="0.25">
      <c r="B140" s="84" t="s">
        <v>174</v>
      </c>
      <c r="C140" s="83">
        <v>200</v>
      </c>
      <c r="D140" s="183">
        <f>SUMIFS('октябрь 2025'!$G$2:$G$2619,'октябрь 2025'!$D$2:$D$2619,$B140,'октябрь 2025'!$J$2:$J$2619,D$1)</f>
        <v>0</v>
      </c>
      <c r="E140" s="183">
        <f>SUMIFS('октябрь 2025'!$G$2:$G$2619,'октябрь 2025'!$D$2:$D$2619,$B140,'октябрь 2025'!$J$2:$J$2619,E$1)</f>
        <v>0</v>
      </c>
      <c r="F140" s="183">
        <f>SUMIFS('октябрь 2025'!$G$2:$G$2619,'октябрь 2025'!$D$2:$D$2619,$B140,'октябрь 2025'!$J$2:$J$2619,F$1)</f>
        <v>0</v>
      </c>
      <c r="G140" s="183">
        <f>SUMIFS('октябрь 2025'!$G$2:$G$2619,'октябрь 2025'!$D$2:$D$2619,$B140,'октябрь 2025'!$J$2:$J$2619,G$1)</f>
        <v>0</v>
      </c>
      <c r="H140" s="183">
        <f>SUMIFS('октябрь 2025'!$G$2:$G$2619,'октябрь 2025'!$D$2:$D$2619,$B140,'октябрь 2025'!$J$2:$J$2619,H$1)</f>
        <v>0</v>
      </c>
      <c r="I140" s="183">
        <f>SUMIFS('октябрь 2025'!$G$2:$G$2619,'октябрь 2025'!$D$2:$D$2619,$B140,'октябрь 2025'!$J$2:$J$2619,I$1)</f>
        <v>0</v>
      </c>
      <c r="J140" s="183">
        <f>SUMIFS('октябрь 2025'!$G$2:$G$2619,'октябрь 2025'!$D$2:$D$2619,$B140,'октябрь 2025'!$J$2:$J$2619,J$1)</f>
        <v>0</v>
      </c>
      <c r="K140" s="183">
        <f>SUMIFS('октябрь 2025'!$G$2:$G$2619,'октябрь 2025'!$D$2:$D$2619,$B140,'октябрь 2025'!$J$2:$J$2619,K$1)</f>
        <v>0</v>
      </c>
      <c r="L140" s="183">
        <f>SUMIFS('октябрь 2025'!$G$2:$G$2619,'октябрь 2025'!$D$2:$D$2619,$B140,'октябрь 2025'!$J$2:$J$2619,L$1)</f>
        <v>0</v>
      </c>
      <c r="M140" s="183">
        <f>SUMIFS('октябрь 2025'!$G$2:$G$2619,'октябрь 2025'!$D$2:$D$2619,$B140,'октябрь 2025'!$J$2:$J$2619,M$1)</f>
        <v>0</v>
      </c>
      <c r="N140" s="183">
        <f>SUMIFS('октябрь 2025'!$G$2:$G$2619,'октябрь 2025'!$D$2:$D$2619,$B140,'октябрь 2025'!$J$2:$J$2619,N$1)</f>
        <v>0</v>
      </c>
      <c r="O140" s="183">
        <f>SUMIFS('октябрь 2025'!$G$2:$G$2619,'октябрь 2025'!$D$2:$D$2619,$B140,'октябрь 2025'!$J$2:$J$2619,O$1)</f>
        <v>0</v>
      </c>
      <c r="P140" s="183">
        <f>SUMIFS('октябрь 2025'!$G$2:$G$2619,'октябрь 2025'!$D$2:$D$2619,$B140,'октябрь 2025'!$J$2:$J$2619,P$1)</f>
        <v>0</v>
      </c>
      <c r="Q140" s="183">
        <f>SUMIFS('октябрь 2025'!$G$2:$G$2619,'октябрь 2025'!$D$2:$D$2619,$B140,'октябрь 2025'!$J$2:$J$2619,Q$1)</f>
        <v>0</v>
      </c>
      <c r="R140" s="183">
        <f>SUMIFS('октябрь 2025'!$G$2:$G$2619,'октябрь 2025'!$D$2:$D$2619,$B140,'октябрь 2025'!$J$2:$J$2619,R$1)</f>
        <v>0</v>
      </c>
      <c r="S140" s="183">
        <f>SUMIFS('октябрь 2025'!$G$2:$G$2619,'октябрь 2025'!$D$2:$D$2619,$B140,'октябрь 2025'!$J$2:$J$2619,S$1)</f>
        <v>0</v>
      </c>
      <c r="T140" s="183">
        <f>SUMIFS('октябрь 2025'!$G$2:$G$2619,'октябрь 2025'!$D$2:$D$2619,$B140,'октябрь 2025'!$J$2:$J$2619,T$1)</f>
        <v>0</v>
      </c>
      <c r="U140" s="183">
        <f>SUMIFS('октябрь 2025'!$G$2:$G$2619,'октябрь 2025'!$D$2:$D$2619,$B140,'октябрь 2025'!$J$2:$J$2619,U$1)</f>
        <v>0</v>
      </c>
      <c r="V140" s="183">
        <f>SUMIFS('октябрь 2025'!$G$2:$G$2619,'октябрь 2025'!$D$2:$D$2619,$B140,'октябрь 2025'!$J$2:$J$2619,V$1)</f>
        <v>0</v>
      </c>
      <c r="W140" s="183">
        <f>SUMIFS('октябрь 2025'!$G$2:$G$2619,'октябрь 2025'!$D$2:$D$2619,$B140,'октябрь 2025'!$J$2:$J$2619,W$1)</f>
        <v>0</v>
      </c>
      <c r="X140" s="183">
        <f>SUMIFS('октябрь 2025'!$G$2:$G$2619,'октябрь 2025'!$D$2:$D$2619,$B140,'октябрь 2025'!$J$2:$J$2619,X$1)</f>
        <v>0</v>
      </c>
      <c r="Y140" s="183">
        <f>SUMIFS('октябрь 2025'!$G$2:$G$2619,'октябрь 2025'!$D$2:$D$2619,$B140,'октябрь 2025'!$J$2:$J$2619,Y$1)</f>
        <v>0</v>
      </c>
      <c r="Z140" s="183">
        <f>SUMIFS('октябрь 2025'!$G$2:$G$2619,'октябрь 2025'!$D$2:$D$2619,$B140,'октябрь 2025'!$J$2:$J$2619,Z$1)</f>
        <v>0</v>
      </c>
      <c r="AA140" s="183">
        <f>SUMIFS('октябрь 2025'!$G$2:$G$2619,'октябрь 2025'!$D$2:$D$2619,$B140,'октябрь 2025'!$J$2:$J$2619,AA$1)</f>
        <v>0</v>
      </c>
      <c r="AB140" s="183">
        <f>SUMIFS('октябрь 2025'!$G$2:$G$2619,'октябрь 2025'!$D$2:$D$2619,$B140,'октябрь 2025'!$J$2:$J$2619,AB$1)</f>
        <v>0</v>
      </c>
      <c r="AC140" s="183">
        <f>SUMIFS('октябрь 2025'!$G$2:$G$2619,'октябрь 2025'!$D$2:$D$2619,$B140,'октябрь 2025'!$J$2:$J$2619,AC$1)</f>
        <v>0</v>
      </c>
      <c r="AD140" s="183">
        <f>SUMIFS('октябрь 2025'!$G$2:$G$2619,'октябрь 2025'!$D$2:$D$2619,$B140,'октябрь 2025'!$J$2:$J$2619,AD$1)</f>
        <v>0</v>
      </c>
      <c r="AE140" s="183">
        <f>SUMIFS('октябрь 2025'!$G$2:$G$2619,'октябрь 2025'!$D$2:$D$2619,$B140,'октябрь 2025'!$J$2:$J$2619,AE$1)</f>
        <v>0</v>
      </c>
      <c r="AF140" s="183">
        <f>SUMIFS('октябрь 2025'!$G$2:$G$2619,'октябрь 2025'!$D$2:$D$2619,$B140,'октябрь 2025'!$J$2:$J$2619,AF$1)</f>
        <v>0</v>
      </c>
      <c r="AG140" s="183">
        <f>SUMIFS('октябрь 2025'!$G$2:$G$2619,'октябрь 2025'!$D$2:$D$2619,$B140,'октябрь 2025'!$J$2:$J$2619,AG$1)</f>
        <v>0</v>
      </c>
      <c r="AH140" s="183">
        <f>SUMIFS('октябрь 2025'!$G$2:$G$2619,'октябрь 2025'!$D$2:$D$2619,$B140,'октябрь 2025'!$J$2:$J$2619,AH$1)</f>
        <v>0</v>
      </c>
      <c r="AI140" s="20">
        <f t="shared" si="1"/>
        <v>0</v>
      </c>
    </row>
    <row r="141" spans="2:35" ht="15" customHeight="1" x14ac:dyDescent="0.25">
      <c r="B141" s="89" t="s">
        <v>184</v>
      </c>
      <c r="C141" s="90">
        <v>180</v>
      </c>
      <c r="D141" s="183">
        <f>SUMIFS('октябрь 2025'!$G$2:$G$2619,'октябрь 2025'!$D$2:$D$2619,$B141,'октябрь 2025'!$J$2:$J$2619,D$1)</f>
        <v>0</v>
      </c>
      <c r="E141" s="183">
        <f>SUMIFS('октябрь 2025'!$G$2:$G$2619,'октябрь 2025'!$D$2:$D$2619,$B141,'октябрь 2025'!$J$2:$J$2619,E$1)</f>
        <v>0</v>
      </c>
      <c r="F141" s="183">
        <f>SUMIFS('октябрь 2025'!$G$2:$G$2619,'октябрь 2025'!$D$2:$D$2619,$B141,'октябрь 2025'!$J$2:$J$2619,F$1)</f>
        <v>0</v>
      </c>
      <c r="G141" s="183">
        <f>SUMIFS('октябрь 2025'!$G$2:$G$2619,'октябрь 2025'!$D$2:$D$2619,$B141,'октябрь 2025'!$J$2:$J$2619,G$1)</f>
        <v>0</v>
      </c>
      <c r="H141" s="183">
        <f>SUMIFS('октябрь 2025'!$G$2:$G$2619,'октябрь 2025'!$D$2:$D$2619,$B141,'октябрь 2025'!$J$2:$J$2619,H$1)</f>
        <v>0</v>
      </c>
      <c r="I141" s="183">
        <f>SUMIFS('октябрь 2025'!$G$2:$G$2619,'октябрь 2025'!$D$2:$D$2619,$B141,'октябрь 2025'!$J$2:$J$2619,I$1)</f>
        <v>0</v>
      </c>
      <c r="J141" s="183">
        <f>SUMIFS('октябрь 2025'!$G$2:$G$2619,'октябрь 2025'!$D$2:$D$2619,$B141,'октябрь 2025'!$J$2:$J$2619,J$1)</f>
        <v>0</v>
      </c>
      <c r="K141" s="183">
        <f>SUMIFS('октябрь 2025'!$G$2:$G$2619,'октябрь 2025'!$D$2:$D$2619,$B141,'октябрь 2025'!$J$2:$J$2619,K$1)</f>
        <v>0</v>
      </c>
      <c r="L141" s="183">
        <f>SUMIFS('октябрь 2025'!$G$2:$G$2619,'октябрь 2025'!$D$2:$D$2619,$B141,'октябрь 2025'!$J$2:$J$2619,L$1)</f>
        <v>0</v>
      </c>
      <c r="M141" s="183">
        <f>SUMIFS('октябрь 2025'!$G$2:$G$2619,'октябрь 2025'!$D$2:$D$2619,$B141,'октябрь 2025'!$J$2:$J$2619,M$1)</f>
        <v>0</v>
      </c>
      <c r="N141" s="183">
        <f>SUMIFS('октябрь 2025'!$G$2:$G$2619,'октябрь 2025'!$D$2:$D$2619,$B141,'октябрь 2025'!$J$2:$J$2619,N$1)</f>
        <v>0</v>
      </c>
      <c r="O141" s="183">
        <f>SUMIFS('октябрь 2025'!$G$2:$G$2619,'октябрь 2025'!$D$2:$D$2619,$B141,'октябрь 2025'!$J$2:$J$2619,O$1)</f>
        <v>0</v>
      </c>
      <c r="P141" s="183">
        <f>SUMIFS('октябрь 2025'!$G$2:$G$2619,'октябрь 2025'!$D$2:$D$2619,$B141,'октябрь 2025'!$J$2:$J$2619,P$1)</f>
        <v>0</v>
      </c>
      <c r="Q141" s="183">
        <f>SUMIFS('октябрь 2025'!$G$2:$G$2619,'октябрь 2025'!$D$2:$D$2619,$B141,'октябрь 2025'!$J$2:$J$2619,Q$1)</f>
        <v>0</v>
      </c>
      <c r="R141" s="183">
        <f>SUMIFS('октябрь 2025'!$G$2:$G$2619,'октябрь 2025'!$D$2:$D$2619,$B141,'октябрь 2025'!$J$2:$J$2619,R$1)</f>
        <v>0</v>
      </c>
      <c r="S141" s="183">
        <f>SUMIFS('октябрь 2025'!$G$2:$G$2619,'октябрь 2025'!$D$2:$D$2619,$B141,'октябрь 2025'!$J$2:$J$2619,S$1)</f>
        <v>0</v>
      </c>
      <c r="T141" s="183">
        <f>SUMIFS('октябрь 2025'!$G$2:$G$2619,'октябрь 2025'!$D$2:$D$2619,$B141,'октябрь 2025'!$J$2:$J$2619,T$1)</f>
        <v>0</v>
      </c>
      <c r="U141" s="183">
        <f>SUMIFS('октябрь 2025'!$G$2:$G$2619,'октябрь 2025'!$D$2:$D$2619,$B141,'октябрь 2025'!$J$2:$J$2619,U$1)</f>
        <v>0</v>
      </c>
      <c r="V141" s="183">
        <f>SUMIFS('октябрь 2025'!$G$2:$G$2619,'октябрь 2025'!$D$2:$D$2619,$B141,'октябрь 2025'!$J$2:$J$2619,V$1)</f>
        <v>0</v>
      </c>
      <c r="W141" s="183">
        <f>SUMIFS('октябрь 2025'!$G$2:$G$2619,'октябрь 2025'!$D$2:$D$2619,$B141,'октябрь 2025'!$J$2:$J$2619,W$1)</f>
        <v>0</v>
      </c>
      <c r="X141" s="183">
        <f>SUMIFS('октябрь 2025'!$G$2:$G$2619,'октябрь 2025'!$D$2:$D$2619,$B141,'октябрь 2025'!$J$2:$J$2619,X$1)</f>
        <v>0</v>
      </c>
      <c r="Y141" s="183">
        <f>SUMIFS('октябрь 2025'!$G$2:$G$2619,'октябрь 2025'!$D$2:$D$2619,$B141,'октябрь 2025'!$J$2:$J$2619,Y$1)</f>
        <v>0</v>
      </c>
      <c r="Z141" s="183">
        <f>SUMIFS('октябрь 2025'!$G$2:$G$2619,'октябрь 2025'!$D$2:$D$2619,$B141,'октябрь 2025'!$J$2:$J$2619,Z$1)</f>
        <v>0</v>
      </c>
      <c r="AA141" s="183">
        <f>SUMIFS('октябрь 2025'!$G$2:$G$2619,'октябрь 2025'!$D$2:$D$2619,$B141,'октябрь 2025'!$J$2:$J$2619,AA$1)</f>
        <v>0</v>
      </c>
      <c r="AB141" s="183">
        <f>SUMIFS('октябрь 2025'!$G$2:$G$2619,'октябрь 2025'!$D$2:$D$2619,$B141,'октябрь 2025'!$J$2:$J$2619,AB$1)</f>
        <v>0</v>
      </c>
      <c r="AC141" s="183">
        <f>SUMIFS('октябрь 2025'!$G$2:$G$2619,'октябрь 2025'!$D$2:$D$2619,$B141,'октябрь 2025'!$J$2:$J$2619,AC$1)</f>
        <v>0</v>
      </c>
      <c r="AD141" s="183">
        <f>SUMIFS('октябрь 2025'!$G$2:$G$2619,'октябрь 2025'!$D$2:$D$2619,$B141,'октябрь 2025'!$J$2:$J$2619,AD$1)</f>
        <v>0</v>
      </c>
      <c r="AE141" s="183">
        <f>SUMIFS('октябрь 2025'!$G$2:$G$2619,'октябрь 2025'!$D$2:$D$2619,$B141,'октябрь 2025'!$J$2:$J$2619,AE$1)</f>
        <v>0</v>
      </c>
      <c r="AF141" s="183">
        <f>SUMIFS('октябрь 2025'!$G$2:$G$2619,'октябрь 2025'!$D$2:$D$2619,$B141,'октябрь 2025'!$J$2:$J$2619,AF$1)</f>
        <v>0</v>
      </c>
      <c r="AG141" s="183">
        <f>SUMIFS('октябрь 2025'!$G$2:$G$2619,'октябрь 2025'!$D$2:$D$2619,$B141,'октябрь 2025'!$J$2:$J$2619,AG$1)</f>
        <v>0</v>
      </c>
      <c r="AH141" s="183">
        <f>SUMIFS('октябрь 2025'!$G$2:$G$2619,'октябрь 2025'!$D$2:$D$2619,$B141,'октябрь 2025'!$J$2:$J$2619,AH$1)</f>
        <v>0</v>
      </c>
      <c r="AI141" s="20">
        <f t="shared" si="1"/>
        <v>0</v>
      </c>
    </row>
    <row r="142" spans="2:35" ht="15" customHeight="1" x14ac:dyDescent="0.25">
      <c r="B142" s="84" t="s">
        <v>268</v>
      </c>
      <c r="C142" s="86">
        <v>180</v>
      </c>
      <c r="D142" s="183">
        <f>SUMIFS('октябрь 2025'!$G$2:$G$2619,'октябрь 2025'!$D$2:$D$2619,$B142,'октябрь 2025'!$J$2:$J$2619,D$1)</f>
        <v>0</v>
      </c>
      <c r="E142" s="183">
        <f>SUMIFS('октябрь 2025'!$G$2:$G$2619,'октябрь 2025'!$D$2:$D$2619,$B142,'октябрь 2025'!$J$2:$J$2619,E$1)</f>
        <v>0</v>
      </c>
      <c r="F142" s="183">
        <f>SUMIFS('октябрь 2025'!$G$2:$G$2619,'октябрь 2025'!$D$2:$D$2619,$B142,'октябрь 2025'!$J$2:$J$2619,F$1)</f>
        <v>0</v>
      </c>
      <c r="G142" s="183">
        <f>SUMIFS('октябрь 2025'!$G$2:$G$2619,'октябрь 2025'!$D$2:$D$2619,$B142,'октябрь 2025'!$J$2:$J$2619,G$1)</f>
        <v>0</v>
      </c>
      <c r="H142" s="183">
        <f>SUMIFS('октябрь 2025'!$G$2:$G$2619,'октябрь 2025'!$D$2:$D$2619,$B142,'октябрь 2025'!$J$2:$J$2619,H$1)</f>
        <v>0</v>
      </c>
      <c r="I142" s="183">
        <f>SUMIFS('октябрь 2025'!$G$2:$G$2619,'октябрь 2025'!$D$2:$D$2619,$B142,'октябрь 2025'!$J$2:$J$2619,I$1)</f>
        <v>0</v>
      </c>
      <c r="J142" s="183">
        <f>SUMIFS('октябрь 2025'!$G$2:$G$2619,'октябрь 2025'!$D$2:$D$2619,$B142,'октябрь 2025'!$J$2:$J$2619,J$1)</f>
        <v>0</v>
      </c>
      <c r="K142" s="183">
        <f>SUMIFS('октябрь 2025'!$G$2:$G$2619,'октябрь 2025'!$D$2:$D$2619,$B142,'октябрь 2025'!$J$2:$J$2619,K$1)</f>
        <v>0</v>
      </c>
      <c r="L142" s="183">
        <f>SUMIFS('октябрь 2025'!$G$2:$G$2619,'октябрь 2025'!$D$2:$D$2619,$B142,'октябрь 2025'!$J$2:$J$2619,L$1)</f>
        <v>0</v>
      </c>
      <c r="M142" s="183">
        <f>SUMIFS('октябрь 2025'!$G$2:$G$2619,'октябрь 2025'!$D$2:$D$2619,$B142,'октябрь 2025'!$J$2:$J$2619,M$1)</f>
        <v>0</v>
      </c>
      <c r="N142" s="183">
        <f>SUMIFS('октябрь 2025'!$G$2:$G$2619,'октябрь 2025'!$D$2:$D$2619,$B142,'октябрь 2025'!$J$2:$J$2619,N$1)</f>
        <v>0</v>
      </c>
      <c r="O142" s="183">
        <f>SUMIFS('октябрь 2025'!$G$2:$G$2619,'октябрь 2025'!$D$2:$D$2619,$B142,'октябрь 2025'!$J$2:$J$2619,O$1)</f>
        <v>0</v>
      </c>
      <c r="P142" s="183">
        <f>SUMIFS('октябрь 2025'!$G$2:$G$2619,'октябрь 2025'!$D$2:$D$2619,$B142,'октябрь 2025'!$J$2:$J$2619,P$1)</f>
        <v>0</v>
      </c>
      <c r="Q142" s="183">
        <f>SUMIFS('октябрь 2025'!$G$2:$G$2619,'октябрь 2025'!$D$2:$D$2619,$B142,'октябрь 2025'!$J$2:$J$2619,Q$1)</f>
        <v>0</v>
      </c>
      <c r="R142" s="183">
        <f>SUMIFS('октябрь 2025'!$G$2:$G$2619,'октябрь 2025'!$D$2:$D$2619,$B142,'октябрь 2025'!$J$2:$J$2619,R$1)</f>
        <v>0</v>
      </c>
      <c r="S142" s="183">
        <f>SUMIFS('октябрь 2025'!$G$2:$G$2619,'октябрь 2025'!$D$2:$D$2619,$B142,'октябрь 2025'!$J$2:$J$2619,S$1)</f>
        <v>0</v>
      </c>
      <c r="T142" s="183">
        <f>SUMIFS('октябрь 2025'!$G$2:$G$2619,'октябрь 2025'!$D$2:$D$2619,$B142,'октябрь 2025'!$J$2:$J$2619,T$1)</f>
        <v>0</v>
      </c>
      <c r="U142" s="183">
        <f>SUMIFS('октябрь 2025'!$G$2:$G$2619,'октябрь 2025'!$D$2:$D$2619,$B142,'октябрь 2025'!$J$2:$J$2619,U$1)</f>
        <v>0</v>
      </c>
      <c r="V142" s="183">
        <f>SUMIFS('октябрь 2025'!$G$2:$G$2619,'октябрь 2025'!$D$2:$D$2619,$B142,'октябрь 2025'!$J$2:$J$2619,V$1)</f>
        <v>0</v>
      </c>
      <c r="W142" s="183">
        <f>SUMIFS('октябрь 2025'!$G$2:$G$2619,'октябрь 2025'!$D$2:$D$2619,$B142,'октябрь 2025'!$J$2:$J$2619,W$1)</f>
        <v>0</v>
      </c>
      <c r="X142" s="183">
        <f>SUMIFS('октябрь 2025'!$G$2:$G$2619,'октябрь 2025'!$D$2:$D$2619,$B142,'октябрь 2025'!$J$2:$J$2619,X$1)</f>
        <v>0</v>
      </c>
      <c r="Y142" s="183">
        <f>SUMIFS('октябрь 2025'!$G$2:$G$2619,'октябрь 2025'!$D$2:$D$2619,$B142,'октябрь 2025'!$J$2:$J$2619,Y$1)</f>
        <v>0</v>
      </c>
      <c r="Z142" s="183">
        <f>SUMIFS('октябрь 2025'!$G$2:$G$2619,'октябрь 2025'!$D$2:$D$2619,$B142,'октябрь 2025'!$J$2:$J$2619,Z$1)</f>
        <v>0</v>
      </c>
      <c r="AA142" s="183">
        <f>SUMIFS('октябрь 2025'!$G$2:$G$2619,'октябрь 2025'!$D$2:$D$2619,$B142,'октябрь 2025'!$J$2:$J$2619,AA$1)</f>
        <v>0</v>
      </c>
      <c r="AB142" s="183">
        <f>SUMIFS('октябрь 2025'!$G$2:$G$2619,'октябрь 2025'!$D$2:$D$2619,$B142,'октябрь 2025'!$J$2:$J$2619,AB$1)</f>
        <v>0</v>
      </c>
      <c r="AC142" s="183">
        <f>SUMIFS('октябрь 2025'!$G$2:$G$2619,'октябрь 2025'!$D$2:$D$2619,$B142,'октябрь 2025'!$J$2:$J$2619,AC$1)</f>
        <v>0</v>
      </c>
      <c r="AD142" s="183">
        <f>SUMIFS('октябрь 2025'!$G$2:$G$2619,'октябрь 2025'!$D$2:$D$2619,$B142,'октябрь 2025'!$J$2:$J$2619,AD$1)</f>
        <v>0</v>
      </c>
      <c r="AE142" s="183">
        <f>SUMIFS('октябрь 2025'!$G$2:$G$2619,'октябрь 2025'!$D$2:$D$2619,$B142,'октябрь 2025'!$J$2:$J$2619,AE$1)</f>
        <v>0</v>
      </c>
      <c r="AF142" s="183">
        <f>SUMIFS('октябрь 2025'!$G$2:$G$2619,'октябрь 2025'!$D$2:$D$2619,$B142,'октябрь 2025'!$J$2:$J$2619,AF$1)</f>
        <v>0</v>
      </c>
      <c r="AG142" s="183">
        <f>SUMIFS('октябрь 2025'!$G$2:$G$2619,'октябрь 2025'!$D$2:$D$2619,$B142,'октябрь 2025'!$J$2:$J$2619,AG$1)</f>
        <v>0</v>
      </c>
      <c r="AH142" s="183">
        <f>SUMIFS('октябрь 2025'!$G$2:$G$2619,'октябрь 2025'!$D$2:$D$2619,$B142,'октябрь 2025'!$J$2:$J$2619,AH$1)</f>
        <v>0</v>
      </c>
      <c r="AI142" s="20">
        <f t="shared" si="1"/>
        <v>0</v>
      </c>
    </row>
    <row r="143" spans="2:35" ht="15" customHeight="1" x14ac:dyDescent="0.25">
      <c r="B143" s="84" t="s">
        <v>278</v>
      </c>
      <c r="C143" s="86">
        <v>180</v>
      </c>
      <c r="D143" s="183">
        <f>SUMIFS('октябрь 2025'!$G$2:$G$2619,'октябрь 2025'!$D$2:$D$2619,$B143,'октябрь 2025'!$J$2:$J$2619,D$1)</f>
        <v>0</v>
      </c>
      <c r="E143" s="183">
        <f>SUMIFS('октябрь 2025'!$G$2:$G$2619,'октябрь 2025'!$D$2:$D$2619,$B143,'октябрь 2025'!$J$2:$J$2619,E$1)</f>
        <v>0</v>
      </c>
      <c r="F143" s="183">
        <f>SUMIFS('октябрь 2025'!$G$2:$G$2619,'октябрь 2025'!$D$2:$D$2619,$B143,'октябрь 2025'!$J$2:$J$2619,F$1)</f>
        <v>0</v>
      </c>
      <c r="G143" s="183">
        <f>SUMIFS('октябрь 2025'!$G$2:$G$2619,'октябрь 2025'!$D$2:$D$2619,$B143,'октябрь 2025'!$J$2:$J$2619,G$1)</f>
        <v>0</v>
      </c>
      <c r="H143" s="183">
        <f>SUMIFS('октябрь 2025'!$G$2:$G$2619,'октябрь 2025'!$D$2:$D$2619,$B143,'октябрь 2025'!$J$2:$J$2619,H$1)</f>
        <v>0</v>
      </c>
      <c r="I143" s="183">
        <f>SUMIFS('октябрь 2025'!$G$2:$G$2619,'октябрь 2025'!$D$2:$D$2619,$B143,'октябрь 2025'!$J$2:$J$2619,I$1)</f>
        <v>0</v>
      </c>
      <c r="J143" s="183">
        <f>SUMIFS('октябрь 2025'!$G$2:$G$2619,'октябрь 2025'!$D$2:$D$2619,$B143,'октябрь 2025'!$J$2:$J$2619,J$1)</f>
        <v>0</v>
      </c>
      <c r="K143" s="183">
        <f>SUMIFS('октябрь 2025'!$G$2:$G$2619,'октябрь 2025'!$D$2:$D$2619,$B143,'октябрь 2025'!$J$2:$J$2619,K$1)</f>
        <v>0</v>
      </c>
      <c r="L143" s="183">
        <f>SUMIFS('октябрь 2025'!$G$2:$G$2619,'октябрь 2025'!$D$2:$D$2619,$B143,'октябрь 2025'!$J$2:$J$2619,L$1)</f>
        <v>0</v>
      </c>
      <c r="M143" s="183">
        <f>SUMIFS('октябрь 2025'!$G$2:$G$2619,'октябрь 2025'!$D$2:$D$2619,$B143,'октябрь 2025'!$J$2:$J$2619,M$1)</f>
        <v>0</v>
      </c>
      <c r="N143" s="183">
        <f>SUMIFS('октябрь 2025'!$G$2:$G$2619,'октябрь 2025'!$D$2:$D$2619,$B143,'октябрь 2025'!$J$2:$J$2619,N$1)</f>
        <v>0</v>
      </c>
      <c r="O143" s="183">
        <f>SUMIFS('октябрь 2025'!$G$2:$G$2619,'октябрь 2025'!$D$2:$D$2619,$B143,'октябрь 2025'!$J$2:$J$2619,O$1)</f>
        <v>0</v>
      </c>
      <c r="P143" s="183">
        <f>SUMIFS('октябрь 2025'!$G$2:$G$2619,'октябрь 2025'!$D$2:$D$2619,$B143,'октябрь 2025'!$J$2:$J$2619,P$1)</f>
        <v>0</v>
      </c>
      <c r="Q143" s="183">
        <f>SUMIFS('октябрь 2025'!$G$2:$G$2619,'октябрь 2025'!$D$2:$D$2619,$B143,'октябрь 2025'!$J$2:$J$2619,Q$1)</f>
        <v>0</v>
      </c>
      <c r="R143" s="183">
        <f>SUMIFS('октябрь 2025'!$G$2:$G$2619,'октябрь 2025'!$D$2:$D$2619,$B143,'октябрь 2025'!$J$2:$J$2619,R$1)</f>
        <v>0</v>
      </c>
      <c r="S143" s="183">
        <f>SUMIFS('октябрь 2025'!$G$2:$G$2619,'октябрь 2025'!$D$2:$D$2619,$B143,'октябрь 2025'!$J$2:$J$2619,S$1)</f>
        <v>0</v>
      </c>
      <c r="T143" s="183">
        <f>SUMIFS('октябрь 2025'!$G$2:$G$2619,'октябрь 2025'!$D$2:$D$2619,$B143,'октябрь 2025'!$J$2:$J$2619,T$1)</f>
        <v>0</v>
      </c>
      <c r="U143" s="183">
        <f>SUMIFS('октябрь 2025'!$G$2:$G$2619,'октябрь 2025'!$D$2:$D$2619,$B143,'октябрь 2025'!$J$2:$J$2619,U$1)</f>
        <v>0</v>
      </c>
      <c r="V143" s="183">
        <f>SUMIFS('октябрь 2025'!$G$2:$G$2619,'октябрь 2025'!$D$2:$D$2619,$B143,'октябрь 2025'!$J$2:$J$2619,V$1)</f>
        <v>0</v>
      </c>
      <c r="W143" s="183">
        <f>SUMIFS('октябрь 2025'!$G$2:$G$2619,'октябрь 2025'!$D$2:$D$2619,$B143,'октябрь 2025'!$J$2:$J$2619,W$1)</f>
        <v>0</v>
      </c>
      <c r="X143" s="183">
        <f>SUMIFS('октябрь 2025'!$G$2:$G$2619,'октябрь 2025'!$D$2:$D$2619,$B143,'октябрь 2025'!$J$2:$J$2619,X$1)</f>
        <v>0</v>
      </c>
      <c r="Y143" s="183">
        <f>SUMIFS('октябрь 2025'!$G$2:$G$2619,'октябрь 2025'!$D$2:$D$2619,$B143,'октябрь 2025'!$J$2:$J$2619,Y$1)</f>
        <v>0</v>
      </c>
      <c r="Z143" s="183">
        <f>SUMIFS('октябрь 2025'!$G$2:$G$2619,'октябрь 2025'!$D$2:$D$2619,$B143,'октябрь 2025'!$J$2:$J$2619,Z$1)</f>
        <v>0</v>
      </c>
      <c r="AA143" s="183">
        <f>SUMIFS('октябрь 2025'!$G$2:$G$2619,'октябрь 2025'!$D$2:$D$2619,$B143,'октябрь 2025'!$J$2:$J$2619,AA$1)</f>
        <v>0</v>
      </c>
      <c r="AB143" s="183">
        <f>SUMIFS('октябрь 2025'!$G$2:$G$2619,'октябрь 2025'!$D$2:$D$2619,$B143,'октябрь 2025'!$J$2:$J$2619,AB$1)</f>
        <v>0</v>
      </c>
      <c r="AC143" s="183">
        <f>SUMIFS('октябрь 2025'!$G$2:$G$2619,'октябрь 2025'!$D$2:$D$2619,$B143,'октябрь 2025'!$J$2:$J$2619,AC$1)</f>
        <v>0</v>
      </c>
      <c r="AD143" s="183">
        <f>SUMIFS('октябрь 2025'!$G$2:$G$2619,'октябрь 2025'!$D$2:$D$2619,$B143,'октябрь 2025'!$J$2:$J$2619,AD$1)</f>
        <v>0</v>
      </c>
      <c r="AE143" s="183">
        <f>SUMIFS('октябрь 2025'!$G$2:$G$2619,'октябрь 2025'!$D$2:$D$2619,$B143,'октябрь 2025'!$J$2:$J$2619,AE$1)</f>
        <v>0</v>
      </c>
      <c r="AF143" s="183">
        <f>SUMIFS('октябрь 2025'!$G$2:$G$2619,'октябрь 2025'!$D$2:$D$2619,$B143,'октябрь 2025'!$J$2:$J$2619,AF$1)</f>
        <v>0</v>
      </c>
      <c r="AG143" s="183">
        <f>SUMIFS('октябрь 2025'!$G$2:$G$2619,'октябрь 2025'!$D$2:$D$2619,$B143,'октябрь 2025'!$J$2:$J$2619,AG$1)</f>
        <v>0</v>
      </c>
      <c r="AH143" s="183">
        <f>SUMIFS('октябрь 2025'!$G$2:$G$2619,'октябрь 2025'!$D$2:$D$2619,$B143,'октябрь 2025'!$J$2:$J$2619,AH$1)</f>
        <v>0</v>
      </c>
      <c r="AI143" s="20">
        <f t="shared" si="1"/>
        <v>0</v>
      </c>
    </row>
    <row r="144" spans="2:35" ht="15" customHeight="1" x14ac:dyDescent="0.25">
      <c r="B144" s="84" t="s">
        <v>295</v>
      </c>
      <c r="C144" s="86">
        <v>190</v>
      </c>
      <c r="D144" s="183">
        <f>SUMIFS('октябрь 2025'!$G$2:$G$2619,'октябрь 2025'!$D$2:$D$2619,$B144,'октябрь 2025'!$J$2:$J$2619,D$1)</f>
        <v>0</v>
      </c>
      <c r="E144" s="183">
        <f>SUMIFS('октябрь 2025'!$G$2:$G$2619,'октябрь 2025'!$D$2:$D$2619,$B144,'октябрь 2025'!$J$2:$J$2619,E$1)</f>
        <v>0</v>
      </c>
      <c r="F144" s="183">
        <f>SUMIFS('октябрь 2025'!$G$2:$G$2619,'октябрь 2025'!$D$2:$D$2619,$B144,'октябрь 2025'!$J$2:$J$2619,F$1)</f>
        <v>0</v>
      </c>
      <c r="G144" s="183">
        <f>SUMIFS('октябрь 2025'!$G$2:$G$2619,'октябрь 2025'!$D$2:$D$2619,$B144,'октябрь 2025'!$J$2:$J$2619,G$1)</f>
        <v>0</v>
      </c>
      <c r="H144" s="183">
        <f>SUMIFS('октябрь 2025'!$G$2:$G$2619,'октябрь 2025'!$D$2:$D$2619,$B144,'октябрь 2025'!$J$2:$J$2619,H$1)</f>
        <v>0</v>
      </c>
      <c r="I144" s="183">
        <f>SUMIFS('октябрь 2025'!$G$2:$G$2619,'октябрь 2025'!$D$2:$D$2619,$B144,'октябрь 2025'!$J$2:$J$2619,I$1)</f>
        <v>0</v>
      </c>
      <c r="J144" s="183">
        <f>SUMIFS('октябрь 2025'!$G$2:$G$2619,'октябрь 2025'!$D$2:$D$2619,$B144,'октябрь 2025'!$J$2:$J$2619,J$1)</f>
        <v>0</v>
      </c>
      <c r="K144" s="183">
        <f>SUMIFS('октябрь 2025'!$G$2:$G$2619,'октябрь 2025'!$D$2:$D$2619,$B144,'октябрь 2025'!$J$2:$J$2619,K$1)</f>
        <v>0</v>
      </c>
      <c r="L144" s="183">
        <f>SUMIFS('октябрь 2025'!$G$2:$G$2619,'октябрь 2025'!$D$2:$D$2619,$B144,'октябрь 2025'!$J$2:$J$2619,L$1)</f>
        <v>0</v>
      </c>
      <c r="M144" s="183">
        <f>SUMIFS('октябрь 2025'!$G$2:$G$2619,'октябрь 2025'!$D$2:$D$2619,$B144,'октябрь 2025'!$J$2:$J$2619,M$1)</f>
        <v>0</v>
      </c>
      <c r="N144" s="183">
        <f>SUMIFS('октябрь 2025'!$G$2:$G$2619,'октябрь 2025'!$D$2:$D$2619,$B144,'октябрь 2025'!$J$2:$J$2619,N$1)</f>
        <v>0</v>
      </c>
      <c r="O144" s="183">
        <f>SUMIFS('октябрь 2025'!$G$2:$G$2619,'октябрь 2025'!$D$2:$D$2619,$B144,'октябрь 2025'!$J$2:$J$2619,O$1)</f>
        <v>0</v>
      </c>
      <c r="P144" s="183">
        <f>SUMIFS('октябрь 2025'!$G$2:$G$2619,'октябрь 2025'!$D$2:$D$2619,$B144,'октябрь 2025'!$J$2:$J$2619,P$1)</f>
        <v>0</v>
      </c>
      <c r="Q144" s="183">
        <f>SUMIFS('октябрь 2025'!$G$2:$G$2619,'октябрь 2025'!$D$2:$D$2619,$B144,'октябрь 2025'!$J$2:$J$2619,Q$1)</f>
        <v>0</v>
      </c>
      <c r="R144" s="183">
        <f>SUMIFS('октябрь 2025'!$G$2:$G$2619,'октябрь 2025'!$D$2:$D$2619,$B144,'октябрь 2025'!$J$2:$J$2619,R$1)</f>
        <v>0</v>
      </c>
      <c r="S144" s="183">
        <f>SUMIFS('октябрь 2025'!$G$2:$G$2619,'октябрь 2025'!$D$2:$D$2619,$B144,'октябрь 2025'!$J$2:$J$2619,S$1)</f>
        <v>0</v>
      </c>
      <c r="T144" s="183">
        <f>SUMIFS('октябрь 2025'!$G$2:$G$2619,'октябрь 2025'!$D$2:$D$2619,$B144,'октябрь 2025'!$J$2:$J$2619,T$1)</f>
        <v>0</v>
      </c>
      <c r="U144" s="183">
        <f>SUMIFS('октябрь 2025'!$G$2:$G$2619,'октябрь 2025'!$D$2:$D$2619,$B144,'октябрь 2025'!$J$2:$J$2619,U$1)</f>
        <v>0</v>
      </c>
      <c r="V144" s="183">
        <f>SUMIFS('октябрь 2025'!$G$2:$G$2619,'октябрь 2025'!$D$2:$D$2619,$B144,'октябрь 2025'!$J$2:$J$2619,V$1)</f>
        <v>0</v>
      </c>
      <c r="W144" s="183">
        <f>SUMIFS('октябрь 2025'!$G$2:$G$2619,'октябрь 2025'!$D$2:$D$2619,$B144,'октябрь 2025'!$J$2:$J$2619,W$1)</f>
        <v>0</v>
      </c>
      <c r="X144" s="183">
        <f>SUMIFS('октябрь 2025'!$G$2:$G$2619,'октябрь 2025'!$D$2:$D$2619,$B144,'октябрь 2025'!$J$2:$J$2619,X$1)</f>
        <v>0</v>
      </c>
      <c r="Y144" s="183">
        <f>SUMIFS('октябрь 2025'!$G$2:$G$2619,'октябрь 2025'!$D$2:$D$2619,$B144,'октябрь 2025'!$J$2:$J$2619,Y$1)</f>
        <v>0</v>
      </c>
      <c r="Z144" s="183">
        <f>SUMIFS('октябрь 2025'!$G$2:$G$2619,'октябрь 2025'!$D$2:$D$2619,$B144,'октябрь 2025'!$J$2:$J$2619,Z$1)</f>
        <v>0</v>
      </c>
      <c r="AA144" s="183">
        <f>SUMIFS('октябрь 2025'!$G$2:$G$2619,'октябрь 2025'!$D$2:$D$2619,$B144,'октябрь 2025'!$J$2:$J$2619,AA$1)</f>
        <v>0</v>
      </c>
      <c r="AB144" s="183">
        <f>SUMIFS('октябрь 2025'!$G$2:$G$2619,'октябрь 2025'!$D$2:$D$2619,$B144,'октябрь 2025'!$J$2:$J$2619,AB$1)</f>
        <v>0</v>
      </c>
      <c r="AC144" s="183">
        <f>SUMIFS('октябрь 2025'!$G$2:$G$2619,'октябрь 2025'!$D$2:$D$2619,$B144,'октябрь 2025'!$J$2:$J$2619,AC$1)</f>
        <v>0</v>
      </c>
      <c r="AD144" s="183">
        <f>SUMIFS('октябрь 2025'!$G$2:$G$2619,'октябрь 2025'!$D$2:$D$2619,$B144,'октябрь 2025'!$J$2:$J$2619,AD$1)</f>
        <v>0</v>
      </c>
      <c r="AE144" s="183">
        <f>SUMIFS('октябрь 2025'!$G$2:$G$2619,'октябрь 2025'!$D$2:$D$2619,$B144,'октябрь 2025'!$J$2:$J$2619,AE$1)</f>
        <v>0</v>
      </c>
      <c r="AF144" s="183">
        <f>SUMIFS('октябрь 2025'!$G$2:$G$2619,'октябрь 2025'!$D$2:$D$2619,$B144,'октябрь 2025'!$J$2:$J$2619,AF$1)</f>
        <v>0</v>
      </c>
      <c r="AG144" s="183">
        <f>SUMIFS('октябрь 2025'!$G$2:$G$2619,'октябрь 2025'!$D$2:$D$2619,$B144,'октябрь 2025'!$J$2:$J$2619,AG$1)</f>
        <v>0</v>
      </c>
      <c r="AH144" s="183">
        <f>SUMIFS('октябрь 2025'!$G$2:$G$2619,'октябрь 2025'!$D$2:$D$2619,$B144,'октябрь 2025'!$J$2:$J$2619,AH$1)</f>
        <v>0</v>
      </c>
      <c r="AI144" s="20">
        <f t="shared" si="1"/>
        <v>0</v>
      </c>
    </row>
    <row r="145" spans="2:35" ht="15" customHeight="1" x14ac:dyDescent="0.25">
      <c r="B145" s="84" t="s">
        <v>269</v>
      </c>
      <c r="C145" s="86">
        <v>200</v>
      </c>
      <c r="D145" s="183">
        <f>SUMIFS('октябрь 2025'!$G$2:$G$2619,'октябрь 2025'!$D$2:$D$2619,$B145,'октябрь 2025'!$J$2:$J$2619,D$1)</f>
        <v>0</v>
      </c>
      <c r="E145" s="183">
        <f>SUMIFS('октябрь 2025'!$G$2:$G$2619,'октябрь 2025'!$D$2:$D$2619,$B145,'октябрь 2025'!$J$2:$J$2619,E$1)</f>
        <v>0</v>
      </c>
      <c r="F145" s="183">
        <f>SUMIFS('октябрь 2025'!$G$2:$G$2619,'октябрь 2025'!$D$2:$D$2619,$B145,'октябрь 2025'!$J$2:$J$2619,F$1)</f>
        <v>0</v>
      </c>
      <c r="G145" s="183">
        <f>SUMIFS('октябрь 2025'!$G$2:$G$2619,'октябрь 2025'!$D$2:$D$2619,$B145,'октябрь 2025'!$J$2:$J$2619,G$1)</f>
        <v>0</v>
      </c>
      <c r="H145" s="183">
        <f>SUMIFS('октябрь 2025'!$G$2:$G$2619,'октябрь 2025'!$D$2:$D$2619,$B145,'октябрь 2025'!$J$2:$J$2619,H$1)</f>
        <v>0</v>
      </c>
      <c r="I145" s="183">
        <f>SUMIFS('октябрь 2025'!$G$2:$G$2619,'октябрь 2025'!$D$2:$D$2619,$B145,'октябрь 2025'!$J$2:$J$2619,I$1)</f>
        <v>0</v>
      </c>
      <c r="J145" s="183">
        <f>SUMIFS('октябрь 2025'!$G$2:$G$2619,'октябрь 2025'!$D$2:$D$2619,$B145,'октябрь 2025'!$J$2:$J$2619,J$1)</f>
        <v>0</v>
      </c>
      <c r="K145" s="183">
        <f>SUMIFS('октябрь 2025'!$G$2:$G$2619,'октябрь 2025'!$D$2:$D$2619,$B145,'октябрь 2025'!$J$2:$J$2619,K$1)</f>
        <v>0</v>
      </c>
      <c r="L145" s="183">
        <f>SUMIFS('октябрь 2025'!$G$2:$G$2619,'октябрь 2025'!$D$2:$D$2619,$B145,'октябрь 2025'!$J$2:$J$2619,L$1)</f>
        <v>0</v>
      </c>
      <c r="M145" s="183">
        <f>SUMIFS('октябрь 2025'!$G$2:$G$2619,'октябрь 2025'!$D$2:$D$2619,$B145,'октябрь 2025'!$J$2:$J$2619,M$1)</f>
        <v>0</v>
      </c>
      <c r="N145" s="183">
        <f>SUMIFS('октябрь 2025'!$G$2:$G$2619,'октябрь 2025'!$D$2:$D$2619,$B145,'октябрь 2025'!$J$2:$J$2619,N$1)</f>
        <v>0</v>
      </c>
      <c r="O145" s="183">
        <f>SUMIFS('октябрь 2025'!$G$2:$G$2619,'октябрь 2025'!$D$2:$D$2619,$B145,'октябрь 2025'!$J$2:$J$2619,O$1)</f>
        <v>0</v>
      </c>
      <c r="P145" s="183">
        <f>SUMIFS('октябрь 2025'!$G$2:$G$2619,'октябрь 2025'!$D$2:$D$2619,$B145,'октябрь 2025'!$J$2:$J$2619,P$1)</f>
        <v>0</v>
      </c>
      <c r="Q145" s="183">
        <f>SUMIFS('октябрь 2025'!$G$2:$G$2619,'октябрь 2025'!$D$2:$D$2619,$B145,'октябрь 2025'!$J$2:$J$2619,Q$1)</f>
        <v>0</v>
      </c>
      <c r="R145" s="183">
        <f>SUMIFS('октябрь 2025'!$G$2:$G$2619,'октябрь 2025'!$D$2:$D$2619,$B145,'октябрь 2025'!$J$2:$J$2619,R$1)</f>
        <v>0</v>
      </c>
      <c r="S145" s="183">
        <f>SUMIFS('октябрь 2025'!$G$2:$G$2619,'октябрь 2025'!$D$2:$D$2619,$B145,'октябрь 2025'!$J$2:$J$2619,S$1)</f>
        <v>0</v>
      </c>
      <c r="T145" s="183">
        <f>SUMIFS('октябрь 2025'!$G$2:$G$2619,'октябрь 2025'!$D$2:$D$2619,$B145,'октябрь 2025'!$J$2:$J$2619,T$1)</f>
        <v>0</v>
      </c>
      <c r="U145" s="183">
        <f>SUMIFS('октябрь 2025'!$G$2:$G$2619,'октябрь 2025'!$D$2:$D$2619,$B145,'октябрь 2025'!$J$2:$J$2619,U$1)</f>
        <v>0</v>
      </c>
      <c r="V145" s="183">
        <f>SUMIFS('октябрь 2025'!$G$2:$G$2619,'октябрь 2025'!$D$2:$D$2619,$B145,'октябрь 2025'!$J$2:$J$2619,V$1)</f>
        <v>0</v>
      </c>
      <c r="W145" s="183">
        <f>SUMIFS('октябрь 2025'!$G$2:$G$2619,'октябрь 2025'!$D$2:$D$2619,$B145,'октябрь 2025'!$J$2:$J$2619,W$1)</f>
        <v>0</v>
      </c>
      <c r="X145" s="183">
        <f>SUMIFS('октябрь 2025'!$G$2:$G$2619,'октябрь 2025'!$D$2:$D$2619,$B145,'октябрь 2025'!$J$2:$J$2619,X$1)</f>
        <v>0</v>
      </c>
      <c r="Y145" s="183">
        <f>SUMIFS('октябрь 2025'!$G$2:$G$2619,'октябрь 2025'!$D$2:$D$2619,$B145,'октябрь 2025'!$J$2:$J$2619,Y$1)</f>
        <v>0</v>
      </c>
      <c r="Z145" s="183">
        <f>SUMIFS('октябрь 2025'!$G$2:$G$2619,'октябрь 2025'!$D$2:$D$2619,$B145,'октябрь 2025'!$J$2:$J$2619,Z$1)</f>
        <v>0</v>
      </c>
      <c r="AA145" s="183">
        <f>SUMIFS('октябрь 2025'!$G$2:$G$2619,'октябрь 2025'!$D$2:$D$2619,$B145,'октябрь 2025'!$J$2:$J$2619,AA$1)</f>
        <v>0</v>
      </c>
      <c r="AB145" s="183">
        <f>SUMIFS('октябрь 2025'!$G$2:$G$2619,'октябрь 2025'!$D$2:$D$2619,$B145,'октябрь 2025'!$J$2:$J$2619,AB$1)</f>
        <v>0</v>
      </c>
      <c r="AC145" s="183">
        <f>SUMIFS('октябрь 2025'!$G$2:$G$2619,'октябрь 2025'!$D$2:$D$2619,$B145,'октябрь 2025'!$J$2:$J$2619,AC$1)</f>
        <v>0</v>
      </c>
      <c r="AD145" s="183">
        <f>SUMIFS('октябрь 2025'!$G$2:$G$2619,'октябрь 2025'!$D$2:$D$2619,$B145,'октябрь 2025'!$J$2:$J$2619,AD$1)</f>
        <v>0</v>
      </c>
      <c r="AE145" s="183">
        <f>SUMIFS('октябрь 2025'!$G$2:$G$2619,'октябрь 2025'!$D$2:$D$2619,$B145,'октябрь 2025'!$J$2:$J$2619,AE$1)</f>
        <v>0</v>
      </c>
      <c r="AF145" s="183">
        <f>SUMIFS('октябрь 2025'!$G$2:$G$2619,'октябрь 2025'!$D$2:$D$2619,$B145,'октябрь 2025'!$J$2:$J$2619,AF$1)</f>
        <v>0</v>
      </c>
      <c r="AG145" s="183">
        <f>SUMIFS('октябрь 2025'!$G$2:$G$2619,'октябрь 2025'!$D$2:$D$2619,$B145,'октябрь 2025'!$J$2:$J$2619,AG$1)</f>
        <v>0</v>
      </c>
      <c r="AH145" s="183">
        <f>SUMIFS('октябрь 2025'!$G$2:$G$2619,'октябрь 2025'!$D$2:$D$2619,$B145,'октябрь 2025'!$J$2:$J$2619,AH$1)</f>
        <v>0</v>
      </c>
      <c r="AI145" s="20">
        <f t="shared" si="1"/>
        <v>0</v>
      </c>
    </row>
    <row r="146" spans="2:35" ht="15" customHeight="1" x14ac:dyDescent="0.25">
      <c r="B146" s="84" t="s">
        <v>279</v>
      </c>
      <c r="C146" s="86">
        <v>200</v>
      </c>
      <c r="D146" s="183">
        <f>SUMIFS('октябрь 2025'!$G$2:$G$2619,'октябрь 2025'!$D$2:$D$2619,$B146,'октябрь 2025'!$J$2:$J$2619,D$1)</f>
        <v>0</v>
      </c>
      <c r="E146" s="183">
        <f>SUMIFS('октябрь 2025'!$G$2:$G$2619,'октябрь 2025'!$D$2:$D$2619,$B146,'октябрь 2025'!$J$2:$J$2619,E$1)</f>
        <v>0</v>
      </c>
      <c r="F146" s="183">
        <f>SUMIFS('октябрь 2025'!$G$2:$G$2619,'октябрь 2025'!$D$2:$D$2619,$B146,'октябрь 2025'!$J$2:$J$2619,F$1)</f>
        <v>0</v>
      </c>
      <c r="G146" s="183">
        <f>SUMIFS('октябрь 2025'!$G$2:$G$2619,'октябрь 2025'!$D$2:$D$2619,$B146,'октябрь 2025'!$J$2:$J$2619,G$1)</f>
        <v>0</v>
      </c>
      <c r="H146" s="183">
        <f>SUMIFS('октябрь 2025'!$G$2:$G$2619,'октябрь 2025'!$D$2:$D$2619,$B146,'октябрь 2025'!$J$2:$J$2619,H$1)</f>
        <v>0</v>
      </c>
      <c r="I146" s="183">
        <f>SUMIFS('октябрь 2025'!$G$2:$G$2619,'октябрь 2025'!$D$2:$D$2619,$B146,'октябрь 2025'!$J$2:$J$2619,I$1)</f>
        <v>0</v>
      </c>
      <c r="J146" s="183">
        <f>SUMIFS('октябрь 2025'!$G$2:$G$2619,'октябрь 2025'!$D$2:$D$2619,$B146,'октябрь 2025'!$J$2:$J$2619,J$1)</f>
        <v>0</v>
      </c>
      <c r="K146" s="183">
        <f>SUMIFS('октябрь 2025'!$G$2:$G$2619,'октябрь 2025'!$D$2:$D$2619,$B146,'октябрь 2025'!$J$2:$J$2619,K$1)</f>
        <v>0</v>
      </c>
      <c r="L146" s="183">
        <f>SUMIFS('октябрь 2025'!$G$2:$G$2619,'октябрь 2025'!$D$2:$D$2619,$B146,'октябрь 2025'!$J$2:$J$2619,L$1)</f>
        <v>0</v>
      </c>
      <c r="M146" s="183">
        <f>SUMIFS('октябрь 2025'!$G$2:$G$2619,'октябрь 2025'!$D$2:$D$2619,$B146,'октябрь 2025'!$J$2:$J$2619,M$1)</f>
        <v>0</v>
      </c>
      <c r="N146" s="183">
        <f>SUMIFS('октябрь 2025'!$G$2:$G$2619,'октябрь 2025'!$D$2:$D$2619,$B146,'октябрь 2025'!$J$2:$J$2619,N$1)</f>
        <v>0</v>
      </c>
      <c r="O146" s="183">
        <f>SUMIFS('октябрь 2025'!$G$2:$G$2619,'октябрь 2025'!$D$2:$D$2619,$B146,'октябрь 2025'!$J$2:$J$2619,O$1)</f>
        <v>0</v>
      </c>
      <c r="P146" s="183">
        <f>SUMIFS('октябрь 2025'!$G$2:$G$2619,'октябрь 2025'!$D$2:$D$2619,$B146,'октябрь 2025'!$J$2:$J$2619,P$1)</f>
        <v>0</v>
      </c>
      <c r="Q146" s="183">
        <f>SUMIFS('октябрь 2025'!$G$2:$G$2619,'октябрь 2025'!$D$2:$D$2619,$B146,'октябрь 2025'!$J$2:$J$2619,Q$1)</f>
        <v>0</v>
      </c>
      <c r="R146" s="183">
        <f>SUMIFS('октябрь 2025'!$G$2:$G$2619,'октябрь 2025'!$D$2:$D$2619,$B146,'октябрь 2025'!$J$2:$J$2619,R$1)</f>
        <v>0</v>
      </c>
      <c r="S146" s="183">
        <f>SUMIFS('октябрь 2025'!$G$2:$G$2619,'октябрь 2025'!$D$2:$D$2619,$B146,'октябрь 2025'!$J$2:$J$2619,S$1)</f>
        <v>0</v>
      </c>
      <c r="T146" s="183">
        <f>SUMIFS('октябрь 2025'!$G$2:$G$2619,'октябрь 2025'!$D$2:$D$2619,$B146,'октябрь 2025'!$J$2:$J$2619,T$1)</f>
        <v>0</v>
      </c>
      <c r="U146" s="183">
        <f>SUMIFS('октябрь 2025'!$G$2:$G$2619,'октябрь 2025'!$D$2:$D$2619,$B146,'октябрь 2025'!$J$2:$J$2619,U$1)</f>
        <v>0</v>
      </c>
      <c r="V146" s="183">
        <f>SUMIFS('октябрь 2025'!$G$2:$G$2619,'октябрь 2025'!$D$2:$D$2619,$B146,'октябрь 2025'!$J$2:$J$2619,V$1)</f>
        <v>0</v>
      </c>
      <c r="W146" s="183">
        <f>SUMIFS('октябрь 2025'!$G$2:$G$2619,'октябрь 2025'!$D$2:$D$2619,$B146,'октябрь 2025'!$J$2:$J$2619,W$1)</f>
        <v>0</v>
      </c>
      <c r="X146" s="183">
        <f>SUMIFS('октябрь 2025'!$G$2:$G$2619,'октябрь 2025'!$D$2:$D$2619,$B146,'октябрь 2025'!$J$2:$J$2619,X$1)</f>
        <v>0</v>
      </c>
      <c r="Y146" s="183">
        <f>SUMIFS('октябрь 2025'!$G$2:$G$2619,'октябрь 2025'!$D$2:$D$2619,$B146,'октябрь 2025'!$J$2:$J$2619,Y$1)</f>
        <v>0</v>
      </c>
      <c r="Z146" s="183">
        <f>SUMIFS('октябрь 2025'!$G$2:$G$2619,'октябрь 2025'!$D$2:$D$2619,$B146,'октябрь 2025'!$J$2:$J$2619,Z$1)</f>
        <v>0</v>
      </c>
      <c r="AA146" s="183">
        <f>SUMIFS('октябрь 2025'!$G$2:$G$2619,'октябрь 2025'!$D$2:$D$2619,$B146,'октябрь 2025'!$J$2:$J$2619,AA$1)</f>
        <v>0</v>
      </c>
      <c r="AB146" s="183">
        <f>SUMIFS('октябрь 2025'!$G$2:$G$2619,'октябрь 2025'!$D$2:$D$2619,$B146,'октябрь 2025'!$J$2:$J$2619,AB$1)</f>
        <v>0</v>
      </c>
      <c r="AC146" s="183">
        <f>SUMIFS('октябрь 2025'!$G$2:$G$2619,'октябрь 2025'!$D$2:$D$2619,$B146,'октябрь 2025'!$J$2:$J$2619,AC$1)</f>
        <v>0</v>
      </c>
      <c r="AD146" s="183">
        <f>SUMIFS('октябрь 2025'!$G$2:$G$2619,'октябрь 2025'!$D$2:$D$2619,$B146,'октябрь 2025'!$J$2:$J$2619,AD$1)</f>
        <v>0</v>
      </c>
      <c r="AE146" s="183">
        <f>SUMIFS('октябрь 2025'!$G$2:$G$2619,'октябрь 2025'!$D$2:$D$2619,$B146,'октябрь 2025'!$J$2:$J$2619,AE$1)</f>
        <v>0</v>
      </c>
      <c r="AF146" s="183">
        <f>SUMIFS('октябрь 2025'!$G$2:$G$2619,'октябрь 2025'!$D$2:$D$2619,$B146,'октябрь 2025'!$J$2:$J$2619,AF$1)</f>
        <v>0</v>
      </c>
      <c r="AG146" s="183">
        <f>SUMIFS('октябрь 2025'!$G$2:$G$2619,'октябрь 2025'!$D$2:$D$2619,$B146,'октябрь 2025'!$J$2:$J$2619,AG$1)</f>
        <v>0</v>
      </c>
      <c r="AH146" s="183">
        <f>SUMIFS('октябрь 2025'!$G$2:$G$2619,'октябрь 2025'!$D$2:$D$2619,$B146,'октябрь 2025'!$J$2:$J$2619,AH$1)</f>
        <v>0</v>
      </c>
      <c r="AI146" s="20">
        <f t="shared" si="1"/>
        <v>0</v>
      </c>
    </row>
    <row r="147" spans="2:35" ht="15" customHeight="1" x14ac:dyDescent="0.25">
      <c r="B147" s="84" t="s">
        <v>197</v>
      </c>
      <c r="C147" s="86">
        <v>180</v>
      </c>
      <c r="D147" s="183">
        <f>SUMIFS('октябрь 2025'!$G$2:$G$2619,'октябрь 2025'!$D$2:$D$2619,$B147,'октябрь 2025'!$J$2:$J$2619,D$1)</f>
        <v>0</v>
      </c>
      <c r="E147" s="183">
        <f>SUMIFS('октябрь 2025'!$G$2:$G$2619,'октябрь 2025'!$D$2:$D$2619,$B147,'октябрь 2025'!$J$2:$J$2619,E$1)</f>
        <v>0</v>
      </c>
      <c r="F147" s="183">
        <f>SUMIFS('октябрь 2025'!$G$2:$G$2619,'октябрь 2025'!$D$2:$D$2619,$B147,'октябрь 2025'!$J$2:$J$2619,F$1)</f>
        <v>0</v>
      </c>
      <c r="G147" s="183">
        <f>SUMIFS('октябрь 2025'!$G$2:$G$2619,'октябрь 2025'!$D$2:$D$2619,$B147,'октябрь 2025'!$J$2:$J$2619,G$1)</f>
        <v>0</v>
      </c>
      <c r="H147" s="183">
        <f>SUMIFS('октябрь 2025'!$G$2:$G$2619,'октябрь 2025'!$D$2:$D$2619,$B147,'октябрь 2025'!$J$2:$J$2619,H$1)</f>
        <v>0</v>
      </c>
      <c r="I147" s="183">
        <f>SUMIFS('октябрь 2025'!$G$2:$G$2619,'октябрь 2025'!$D$2:$D$2619,$B147,'октябрь 2025'!$J$2:$J$2619,I$1)</f>
        <v>0</v>
      </c>
      <c r="J147" s="183">
        <f>SUMIFS('октябрь 2025'!$G$2:$G$2619,'октябрь 2025'!$D$2:$D$2619,$B147,'октябрь 2025'!$J$2:$J$2619,J$1)</f>
        <v>0</v>
      </c>
      <c r="K147" s="183">
        <f>SUMIFS('октябрь 2025'!$G$2:$G$2619,'октябрь 2025'!$D$2:$D$2619,$B147,'октябрь 2025'!$J$2:$J$2619,K$1)</f>
        <v>0</v>
      </c>
      <c r="L147" s="183">
        <f>SUMIFS('октябрь 2025'!$G$2:$G$2619,'октябрь 2025'!$D$2:$D$2619,$B147,'октябрь 2025'!$J$2:$J$2619,L$1)</f>
        <v>0</v>
      </c>
      <c r="M147" s="183">
        <f>SUMIFS('октябрь 2025'!$G$2:$G$2619,'октябрь 2025'!$D$2:$D$2619,$B147,'октябрь 2025'!$J$2:$J$2619,M$1)</f>
        <v>0</v>
      </c>
      <c r="N147" s="183">
        <f>SUMIFS('октябрь 2025'!$G$2:$G$2619,'октябрь 2025'!$D$2:$D$2619,$B147,'октябрь 2025'!$J$2:$J$2619,N$1)</f>
        <v>0</v>
      </c>
      <c r="O147" s="183">
        <f>SUMIFS('октябрь 2025'!$G$2:$G$2619,'октябрь 2025'!$D$2:$D$2619,$B147,'октябрь 2025'!$J$2:$J$2619,O$1)</f>
        <v>0</v>
      </c>
      <c r="P147" s="183">
        <f>SUMIFS('октябрь 2025'!$G$2:$G$2619,'октябрь 2025'!$D$2:$D$2619,$B147,'октябрь 2025'!$J$2:$J$2619,P$1)</f>
        <v>0</v>
      </c>
      <c r="Q147" s="183">
        <f>SUMIFS('октябрь 2025'!$G$2:$G$2619,'октябрь 2025'!$D$2:$D$2619,$B147,'октябрь 2025'!$J$2:$J$2619,Q$1)</f>
        <v>0</v>
      </c>
      <c r="R147" s="183">
        <f>SUMIFS('октябрь 2025'!$G$2:$G$2619,'октябрь 2025'!$D$2:$D$2619,$B147,'октябрь 2025'!$J$2:$J$2619,R$1)</f>
        <v>0</v>
      </c>
      <c r="S147" s="183">
        <f>SUMIFS('октябрь 2025'!$G$2:$G$2619,'октябрь 2025'!$D$2:$D$2619,$B147,'октябрь 2025'!$J$2:$J$2619,S$1)</f>
        <v>0</v>
      </c>
      <c r="T147" s="183">
        <f>SUMIFS('октябрь 2025'!$G$2:$G$2619,'октябрь 2025'!$D$2:$D$2619,$B147,'октябрь 2025'!$J$2:$J$2619,T$1)</f>
        <v>0</v>
      </c>
      <c r="U147" s="183">
        <f>SUMIFS('октябрь 2025'!$G$2:$G$2619,'октябрь 2025'!$D$2:$D$2619,$B147,'октябрь 2025'!$J$2:$J$2619,U$1)</f>
        <v>0</v>
      </c>
      <c r="V147" s="183">
        <f>SUMIFS('октябрь 2025'!$G$2:$G$2619,'октябрь 2025'!$D$2:$D$2619,$B147,'октябрь 2025'!$J$2:$J$2619,V$1)</f>
        <v>0</v>
      </c>
      <c r="W147" s="183">
        <f>SUMIFS('октябрь 2025'!$G$2:$G$2619,'октябрь 2025'!$D$2:$D$2619,$B147,'октябрь 2025'!$J$2:$J$2619,W$1)</f>
        <v>0</v>
      </c>
      <c r="X147" s="183">
        <f>SUMIFS('октябрь 2025'!$G$2:$G$2619,'октябрь 2025'!$D$2:$D$2619,$B147,'октябрь 2025'!$J$2:$J$2619,X$1)</f>
        <v>0</v>
      </c>
      <c r="Y147" s="183">
        <f>SUMIFS('октябрь 2025'!$G$2:$G$2619,'октябрь 2025'!$D$2:$D$2619,$B147,'октябрь 2025'!$J$2:$J$2619,Y$1)</f>
        <v>0</v>
      </c>
      <c r="Z147" s="183">
        <f>SUMIFS('октябрь 2025'!$G$2:$G$2619,'октябрь 2025'!$D$2:$D$2619,$B147,'октябрь 2025'!$J$2:$J$2619,Z$1)</f>
        <v>0</v>
      </c>
      <c r="AA147" s="183">
        <f>SUMIFS('октябрь 2025'!$G$2:$G$2619,'октябрь 2025'!$D$2:$D$2619,$B147,'октябрь 2025'!$J$2:$J$2619,AA$1)</f>
        <v>0</v>
      </c>
      <c r="AB147" s="183">
        <f>SUMIFS('октябрь 2025'!$G$2:$G$2619,'октябрь 2025'!$D$2:$D$2619,$B147,'октябрь 2025'!$J$2:$J$2619,AB$1)</f>
        <v>0</v>
      </c>
      <c r="AC147" s="183">
        <f>SUMIFS('октябрь 2025'!$G$2:$G$2619,'октябрь 2025'!$D$2:$D$2619,$B147,'октябрь 2025'!$J$2:$J$2619,AC$1)</f>
        <v>0</v>
      </c>
      <c r="AD147" s="183">
        <f>SUMIFS('октябрь 2025'!$G$2:$G$2619,'октябрь 2025'!$D$2:$D$2619,$B147,'октябрь 2025'!$J$2:$J$2619,AD$1)</f>
        <v>0</v>
      </c>
      <c r="AE147" s="183">
        <f>SUMIFS('октябрь 2025'!$G$2:$G$2619,'октябрь 2025'!$D$2:$D$2619,$B147,'октябрь 2025'!$J$2:$J$2619,AE$1)</f>
        <v>0</v>
      </c>
      <c r="AF147" s="183">
        <f>SUMIFS('октябрь 2025'!$G$2:$G$2619,'октябрь 2025'!$D$2:$D$2619,$B147,'октябрь 2025'!$J$2:$J$2619,AF$1)</f>
        <v>0</v>
      </c>
      <c r="AG147" s="183">
        <f>SUMIFS('октябрь 2025'!$G$2:$G$2619,'октябрь 2025'!$D$2:$D$2619,$B147,'октябрь 2025'!$J$2:$J$2619,AG$1)</f>
        <v>0</v>
      </c>
      <c r="AH147" s="183">
        <f>SUMIFS('октябрь 2025'!$G$2:$G$2619,'октябрь 2025'!$D$2:$D$2619,$B147,'октябрь 2025'!$J$2:$J$2619,AH$1)</f>
        <v>0</v>
      </c>
      <c r="AI147" s="20">
        <f t="shared" si="1"/>
        <v>0</v>
      </c>
    </row>
    <row r="148" spans="2:35" ht="15" customHeight="1" x14ac:dyDescent="0.25">
      <c r="B148" s="88" t="s">
        <v>293</v>
      </c>
      <c r="C148" s="86">
        <v>180</v>
      </c>
      <c r="D148" s="183">
        <f>SUMIFS('октябрь 2025'!$G$2:$G$2619,'октябрь 2025'!$D$2:$D$2619,$B148,'октябрь 2025'!$J$2:$J$2619,D$1)</f>
        <v>0</v>
      </c>
      <c r="E148" s="183">
        <f>SUMIFS('октябрь 2025'!$G$2:$G$2619,'октябрь 2025'!$D$2:$D$2619,$B148,'октябрь 2025'!$J$2:$J$2619,E$1)</f>
        <v>0</v>
      </c>
      <c r="F148" s="183">
        <f>SUMIFS('октябрь 2025'!$G$2:$G$2619,'октябрь 2025'!$D$2:$D$2619,$B148,'октябрь 2025'!$J$2:$J$2619,F$1)</f>
        <v>0</v>
      </c>
      <c r="G148" s="183">
        <f>SUMIFS('октябрь 2025'!$G$2:$G$2619,'октябрь 2025'!$D$2:$D$2619,$B148,'октябрь 2025'!$J$2:$J$2619,G$1)</f>
        <v>0</v>
      </c>
      <c r="H148" s="183">
        <f>SUMIFS('октябрь 2025'!$G$2:$G$2619,'октябрь 2025'!$D$2:$D$2619,$B148,'октябрь 2025'!$J$2:$J$2619,H$1)</f>
        <v>0</v>
      </c>
      <c r="I148" s="183">
        <f>SUMIFS('октябрь 2025'!$G$2:$G$2619,'октябрь 2025'!$D$2:$D$2619,$B148,'октябрь 2025'!$J$2:$J$2619,I$1)</f>
        <v>0</v>
      </c>
      <c r="J148" s="183">
        <f>SUMIFS('октябрь 2025'!$G$2:$G$2619,'октябрь 2025'!$D$2:$D$2619,$B148,'октябрь 2025'!$J$2:$J$2619,J$1)</f>
        <v>0</v>
      </c>
      <c r="K148" s="183">
        <f>SUMIFS('октябрь 2025'!$G$2:$G$2619,'октябрь 2025'!$D$2:$D$2619,$B148,'октябрь 2025'!$J$2:$J$2619,K$1)</f>
        <v>0</v>
      </c>
      <c r="L148" s="183">
        <f>SUMIFS('октябрь 2025'!$G$2:$G$2619,'октябрь 2025'!$D$2:$D$2619,$B148,'октябрь 2025'!$J$2:$J$2619,L$1)</f>
        <v>0</v>
      </c>
      <c r="M148" s="183">
        <f>SUMIFS('октябрь 2025'!$G$2:$G$2619,'октябрь 2025'!$D$2:$D$2619,$B148,'октябрь 2025'!$J$2:$J$2619,M$1)</f>
        <v>0</v>
      </c>
      <c r="N148" s="183">
        <f>SUMIFS('октябрь 2025'!$G$2:$G$2619,'октябрь 2025'!$D$2:$D$2619,$B148,'октябрь 2025'!$J$2:$J$2619,N$1)</f>
        <v>0</v>
      </c>
      <c r="O148" s="183">
        <f>SUMIFS('октябрь 2025'!$G$2:$G$2619,'октябрь 2025'!$D$2:$D$2619,$B148,'октябрь 2025'!$J$2:$J$2619,O$1)</f>
        <v>0</v>
      </c>
      <c r="P148" s="183">
        <f>SUMIFS('октябрь 2025'!$G$2:$G$2619,'октябрь 2025'!$D$2:$D$2619,$B148,'октябрь 2025'!$J$2:$J$2619,P$1)</f>
        <v>0</v>
      </c>
      <c r="Q148" s="183">
        <f>SUMIFS('октябрь 2025'!$G$2:$G$2619,'октябрь 2025'!$D$2:$D$2619,$B148,'октябрь 2025'!$J$2:$J$2619,Q$1)</f>
        <v>0</v>
      </c>
      <c r="R148" s="183">
        <f>SUMIFS('октябрь 2025'!$G$2:$G$2619,'октябрь 2025'!$D$2:$D$2619,$B148,'октябрь 2025'!$J$2:$J$2619,R$1)</f>
        <v>0</v>
      </c>
      <c r="S148" s="183">
        <f>SUMIFS('октябрь 2025'!$G$2:$G$2619,'октябрь 2025'!$D$2:$D$2619,$B148,'октябрь 2025'!$J$2:$J$2619,S$1)</f>
        <v>0</v>
      </c>
      <c r="T148" s="183">
        <f>SUMIFS('октябрь 2025'!$G$2:$G$2619,'октябрь 2025'!$D$2:$D$2619,$B148,'октябрь 2025'!$J$2:$J$2619,T$1)</f>
        <v>0</v>
      </c>
      <c r="U148" s="183">
        <f>SUMIFS('октябрь 2025'!$G$2:$G$2619,'октябрь 2025'!$D$2:$D$2619,$B148,'октябрь 2025'!$J$2:$J$2619,U$1)</f>
        <v>0</v>
      </c>
      <c r="V148" s="183">
        <f>SUMIFS('октябрь 2025'!$G$2:$G$2619,'октябрь 2025'!$D$2:$D$2619,$B148,'октябрь 2025'!$J$2:$J$2619,V$1)</f>
        <v>0</v>
      </c>
      <c r="W148" s="183">
        <f>SUMIFS('октябрь 2025'!$G$2:$G$2619,'октябрь 2025'!$D$2:$D$2619,$B148,'октябрь 2025'!$J$2:$J$2619,W$1)</f>
        <v>0</v>
      </c>
      <c r="X148" s="183">
        <f>SUMIFS('октябрь 2025'!$G$2:$G$2619,'октябрь 2025'!$D$2:$D$2619,$B148,'октябрь 2025'!$J$2:$J$2619,X$1)</f>
        <v>0</v>
      </c>
      <c r="Y148" s="183">
        <f>SUMIFS('октябрь 2025'!$G$2:$G$2619,'октябрь 2025'!$D$2:$D$2619,$B148,'октябрь 2025'!$J$2:$J$2619,Y$1)</f>
        <v>0</v>
      </c>
      <c r="Z148" s="183">
        <f>SUMIFS('октябрь 2025'!$G$2:$G$2619,'октябрь 2025'!$D$2:$D$2619,$B148,'октябрь 2025'!$J$2:$J$2619,Z$1)</f>
        <v>0</v>
      </c>
      <c r="AA148" s="183">
        <f>SUMIFS('октябрь 2025'!$G$2:$G$2619,'октябрь 2025'!$D$2:$D$2619,$B148,'октябрь 2025'!$J$2:$J$2619,AA$1)</f>
        <v>0</v>
      </c>
      <c r="AB148" s="183">
        <f>SUMIFS('октябрь 2025'!$G$2:$G$2619,'октябрь 2025'!$D$2:$D$2619,$B148,'октябрь 2025'!$J$2:$J$2619,AB$1)</f>
        <v>0</v>
      </c>
      <c r="AC148" s="183">
        <f>SUMIFS('октябрь 2025'!$G$2:$G$2619,'октябрь 2025'!$D$2:$D$2619,$B148,'октябрь 2025'!$J$2:$J$2619,AC$1)</f>
        <v>0</v>
      </c>
      <c r="AD148" s="183">
        <f>SUMIFS('октябрь 2025'!$G$2:$G$2619,'октябрь 2025'!$D$2:$D$2619,$B148,'октябрь 2025'!$J$2:$J$2619,AD$1)</f>
        <v>0</v>
      </c>
      <c r="AE148" s="183">
        <f>SUMIFS('октябрь 2025'!$G$2:$G$2619,'октябрь 2025'!$D$2:$D$2619,$B148,'октябрь 2025'!$J$2:$J$2619,AE$1)</f>
        <v>0</v>
      </c>
      <c r="AF148" s="183">
        <f>SUMIFS('октябрь 2025'!$G$2:$G$2619,'октябрь 2025'!$D$2:$D$2619,$B148,'октябрь 2025'!$J$2:$J$2619,AF$1)</f>
        <v>0</v>
      </c>
      <c r="AG148" s="183">
        <f>SUMIFS('октябрь 2025'!$G$2:$G$2619,'октябрь 2025'!$D$2:$D$2619,$B148,'октябрь 2025'!$J$2:$J$2619,AG$1)</f>
        <v>0</v>
      </c>
      <c r="AH148" s="183">
        <f>SUMIFS('октябрь 2025'!$G$2:$G$2619,'октябрь 2025'!$D$2:$D$2619,$B148,'октябрь 2025'!$J$2:$J$2619,AH$1)</f>
        <v>0</v>
      </c>
      <c r="AI148" s="20">
        <f t="shared" si="1"/>
        <v>0</v>
      </c>
    </row>
    <row r="149" spans="2:35" ht="15" customHeight="1" x14ac:dyDescent="0.25">
      <c r="B149" s="88" t="s">
        <v>181</v>
      </c>
      <c r="C149" s="86">
        <v>190</v>
      </c>
      <c r="D149" s="183">
        <f>SUMIFS('октябрь 2025'!$G$2:$G$2619,'октябрь 2025'!$D$2:$D$2619,$B149,'октябрь 2025'!$J$2:$J$2619,D$1)</f>
        <v>0</v>
      </c>
      <c r="E149" s="183">
        <f>SUMIFS('октябрь 2025'!$G$2:$G$2619,'октябрь 2025'!$D$2:$D$2619,$B149,'октябрь 2025'!$J$2:$J$2619,E$1)</f>
        <v>0</v>
      </c>
      <c r="F149" s="183">
        <f>SUMIFS('октябрь 2025'!$G$2:$G$2619,'октябрь 2025'!$D$2:$D$2619,$B149,'октябрь 2025'!$J$2:$J$2619,F$1)</f>
        <v>0</v>
      </c>
      <c r="G149" s="183">
        <f>SUMIFS('октябрь 2025'!$G$2:$G$2619,'октябрь 2025'!$D$2:$D$2619,$B149,'октябрь 2025'!$J$2:$J$2619,G$1)</f>
        <v>0</v>
      </c>
      <c r="H149" s="183">
        <f>SUMIFS('октябрь 2025'!$G$2:$G$2619,'октябрь 2025'!$D$2:$D$2619,$B149,'октябрь 2025'!$J$2:$J$2619,H$1)</f>
        <v>0</v>
      </c>
      <c r="I149" s="183">
        <f>SUMIFS('октябрь 2025'!$G$2:$G$2619,'октябрь 2025'!$D$2:$D$2619,$B149,'октябрь 2025'!$J$2:$J$2619,I$1)</f>
        <v>0</v>
      </c>
      <c r="J149" s="183">
        <f>SUMIFS('октябрь 2025'!$G$2:$G$2619,'октябрь 2025'!$D$2:$D$2619,$B149,'октябрь 2025'!$J$2:$J$2619,J$1)</f>
        <v>0</v>
      </c>
      <c r="K149" s="183">
        <f>SUMIFS('октябрь 2025'!$G$2:$G$2619,'октябрь 2025'!$D$2:$D$2619,$B149,'октябрь 2025'!$J$2:$J$2619,K$1)</f>
        <v>0</v>
      </c>
      <c r="L149" s="183">
        <f>SUMIFS('октябрь 2025'!$G$2:$G$2619,'октябрь 2025'!$D$2:$D$2619,$B149,'октябрь 2025'!$J$2:$J$2619,L$1)</f>
        <v>0</v>
      </c>
      <c r="M149" s="183">
        <f>SUMIFS('октябрь 2025'!$G$2:$G$2619,'октябрь 2025'!$D$2:$D$2619,$B149,'октябрь 2025'!$J$2:$J$2619,M$1)</f>
        <v>0</v>
      </c>
      <c r="N149" s="183">
        <f>SUMIFS('октябрь 2025'!$G$2:$G$2619,'октябрь 2025'!$D$2:$D$2619,$B149,'октябрь 2025'!$J$2:$J$2619,N$1)</f>
        <v>0</v>
      </c>
      <c r="O149" s="183">
        <f>SUMIFS('октябрь 2025'!$G$2:$G$2619,'октябрь 2025'!$D$2:$D$2619,$B149,'октябрь 2025'!$J$2:$J$2619,O$1)</f>
        <v>0</v>
      </c>
      <c r="P149" s="183">
        <f>SUMIFS('октябрь 2025'!$G$2:$G$2619,'октябрь 2025'!$D$2:$D$2619,$B149,'октябрь 2025'!$J$2:$J$2619,P$1)</f>
        <v>0</v>
      </c>
      <c r="Q149" s="183">
        <f>SUMIFS('октябрь 2025'!$G$2:$G$2619,'октябрь 2025'!$D$2:$D$2619,$B149,'октябрь 2025'!$J$2:$J$2619,Q$1)</f>
        <v>0</v>
      </c>
      <c r="R149" s="183">
        <f>SUMIFS('октябрь 2025'!$G$2:$G$2619,'октябрь 2025'!$D$2:$D$2619,$B149,'октябрь 2025'!$J$2:$J$2619,R$1)</f>
        <v>0</v>
      </c>
      <c r="S149" s="183">
        <f>SUMIFS('октябрь 2025'!$G$2:$G$2619,'октябрь 2025'!$D$2:$D$2619,$B149,'октябрь 2025'!$J$2:$J$2619,S$1)</f>
        <v>0</v>
      </c>
      <c r="T149" s="183">
        <f>SUMIFS('октябрь 2025'!$G$2:$G$2619,'октябрь 2025'!$D$2:$D$2619,$B149,'октябрь 2025'!$J$2:$J$2619,T$1)</f>
        <v>0</v>
      </c>
      <c r="U149" s="183">
        <f>SUMIFS('октябрь 2025'!$G$2:$G$2619,'октябрь 2025'!$D$2:$D$2619,$B149,'октябрь 2025'!$J$2:$J$2619,U$1)</f>
        <v>0</v>
      </c>
      <c r="V149" s="183">
        <f>SUMIFS('октябрь 2025'!$G$2:$G$2619,'октябрь 2025'!$D$2:$D$2619,$B149,'октябрь 2025'!$J$2:$J$2619,V$1)</f>
        <v>0</v>
      </c>
      <c r="W149" s="183">
        <f>SUMIFS('октябрь 2025'!$G$2:$G$2619,'октябрь 2025'!$D$2:$D$2619,$B149,'октябрь 2025'!$J$2:$J$2619,W$1)</f>
        <v>0</v>
      </c>
      <c r="X149" s="183">
        <f>SUMIFS('октябрь 2025'!$G$2:$G$2619,'октябрь 2025'!$D$2:$D$2619,$B149,'октябрь 2025'!$J$2:$J$2619,X$1)</f>
        <v>0</v>
      </c>
      <c r="Y149" s="183">
        <f>SUMIFS('октябрь 2025'!$G$2:$G$2619,'октябрь 2025'!$D$2:$D$2619,$B149,'октябрь 2025'!$J$2:$J$2619,Y$1)</f>
        <v>0</v>
      </c>
      <c r="Z149" s="183">
        <f>SUMIFS('октябрь 2025'!$G$2:$G$2619,'октябрь 2025'!$D$2:$D$2619,$B149,'октябрь 2025'!$J$2:$J$2619,Z$1)</f>
        <v>0</v>
      </c>
      <c r="AA149" s="183">
        <f>SUMIFS('октябрь 2025'!$G$2:$G$2619,'октябрь 2025'!$D$2:$D$2619,$B149,'октябрь 2025'!$J$2:$J$2619,AA$1)</f>
        <v>0</v>
      </c>
      <c r="AB149" s="183">
        <f>SUMIFS('октябрь 2025'!$G$2:$G$2619,'октябрь 2025'!$D$2:$D$2619,$B149,'октябрь 2025'!$J$2:$J$2619,AB$1)</f>
        <v>0</v>
      </c>
      <c r="AC149" s="183">
        <f>SUMIFS('октябрь 2025'!$G$2:$G$2619,'октябрь 2025'!$D$2:$D$2619,$B149,'октябрь 2025'!$J$2:$J$2619,AC$1)</f>
        <v>0</v>
      </c>
      <c r="AD149" s="183">
        <f>SUMIFS('октябрь 2025'!$G$2:$G$2619,'октябрь 2025'!$D$2:$D$2619,$B149,'октябрь 2025'!$J$2:$J$2619,AD$1)</f>
        <v>0</v>
      </c>
      <c r="AE149" s="183">
        <f>SUMIFS('октябрь 2025'!$G$2:$G$2619,'октябрь 2025'!$D$2:$D$2619,$B149,'октябрь 2025'!$J$2:$J$2619,AE$1)</f>
        <v>0</v>
      </c>
      <c r="AF149" s="183">
        <f>SUMIFS('октябрь 2025'!$G$2:$G$2619,'октябрь 2025'!$D$2:$D$2619,$B149,'октябрь 2025'!$J$2:$J$2619,AF$1)</f>
        <v>0</v>
      </c>
      <c r="AG149" s="183">
        <f>SUMIFS('октябрь 2025'!$G$2:$G$2619,'октябрь 2025'!$D$2:$D$2619,$B149,'октябрь 2025'!$J$2:$J$2619,AG$1)</f>
        <v>0</v>
      </c>
      <c r="AH149" s="183">
        <f>SUMIFS('октябрь 2025'!$G$2:$G$2619,'октябрь 2025'!$D$2:$D$2619,$B149,'октябрь 2025'!$J$2:$J$2619,AH$1)</f>
        <v>0</v>
      </c>
      <c r="AI149" s="20">
        <f t="shared" si="1"/>
        <v>0</v>
      </c>
    </row>
    <row r="150" spans="2:35" ht="15" customHeight="1" x14ac:dyDescent="0.25">
      <c r="B150" s="88" t="s">
        <v>270</v>
      </c>
      <c r="C150" s="86">
        <v>190</v>
      </c>
      <c r="D150" s="183">
        <f>SUMIFS('октябрь 2025'!$G$2:$G$2619,'октябрь 2025'!$D$2:$D$2619,$B150,'октябрь 2025'!$J$2:$J$2619,D$1)</f>
        <v>0</v>
      </c>
      <c r="E150" s="183">
        <f>SUMIFS('октябрь 2025'!$G$2:$G$2619,'октябрь 2025'!$D$2:$D$2619,$B150,'октябрь 2025'!$J$2:$J$2619,E$1)</f>
        <v>0</v>
      </c>
      <c r="F150" s="183">
        <f>SUMIFS('октябрь 2025'!$G$2:$G$2619,'октябрь 2025'!$D$2:$D$2619,$B150,'октябрь 2025'!$J$2:$J$2619,F$1)</f>
        <v>0</v>
      </c>
      <c r="G150" s="183">
        <f>SUMIFS('октябрь 2025'!$G$2:$G$2619,'октябрь 2025'!$D$2:$D$2619,$B150,'октябрь 2025'!$J$2:$J$2619,G$1)</f>
        <v>0</v>
      </c>
      <c r="H150" s="183">
        <f>SUMIFS('октябрь 2025'!$G$2:$G$2619,'октябрь 2025'!$D$2:$D$2619,$B150,'октябрь 2025'!$J$2:$J$2619,H$1)</f>
        <v>0</v>
      </c>
      <c r="I150" s="183">
        <f>SUMIFS('октябрь 2025'!$G$2:$G$2619,'октябрь 2025'!$D$2:$D$2619,$B150,'октябрь 2025'!$J$2:$J$2619,I$1)</f>
        <v>0</v>
      </c>
      <c r="J150" s="183">
        <f>SUMIFS('октябрь 2025'!$G$2:$G$2619,'октябрь 2025'!$D$2:$D$2619,$B150,'октябрь 2025'!$J$2:$J$2619,J$1)</f>
        <v>0</v>
      </c>
      <c r="K150" s="183">
        <f>SUMIFS('октябрь 2025'!$G$2:$G$2619,'октябрь 2025'!$D$2:$D$2619,$B150,'октябрь 2025'!$J$2:$J$2619,K$1)</f>
        <v>0</v>
      </c>
      <c r="L150" s="183">
        <f>SUMIFS('октябрь 2025'!$G$2:$G$2619,'октябрь 2025'!$D$2:$D$2619,$B150,'октябрь 2025'!$J$2:$J$2619,L$1)</f>
        <v>0</v>
      </c>
      <c r="M150" s="183">
        <f>SUMIFS('октябрь 2025'!$G$2:$G$2619,'октябрь 2025'!$D$2:$D$2619,$B150,'октябрь 2025'!$J$2:$J$2619,M$1)</f>
        <v>0</v>
      </c>
      <c r="N150" s="183">
        <f>SUMIFS('октябрь 2025'!$G$2:$G$2619,'октябрь 2025'!$D$2:$D$2619,$B150,'октябрь 2025'!$J$2:$J$2619,N$1)</f>
        <v>0</v>
      </c>
      <c r="O150" s="183">
        <f>SUMIFS('октябрь 2025'!$G$2:$G$2619,'октябрь 2025'!$D$2:$D$2619,$B150,'октябрь 2025'!$J$2:$J$2619,O$1)</f>
        <v>0</v>
      </c>
      <c r="P150" s="183">
        <f>SUMIFS('октябрь 2025'!$G$2:$G$2619,'октябрь 2025'!$D$2:$D$2619,$B150,'октябрь 2025'!$J$2:$J$2619,P$1)</f>
        <v>0</v>
      </c>
      <c r="Q150" s="183">
        <f>SUMIFS('октябрь 2025'!$G$2:$G$2619,'октябрь 2025'!$D$2:$D$2619,$B150,'октябрь 2025'!$J$2:$J$2619,Q$1)</f>
        <v>0</v>
      </c>
      <c r="R150" s="183">
        <f>SUMIFS('октябрь 2025'!$G$2:$G$2619,'октябрь 2025'!$D$2:$D$2619,$B150,'октябрь 2025'!$J$2:$J$2619,R$1)</f>
        <v>0</v>
      </c>
      <c r="S150" s="183">
        <f>SUMIFS('октябрь 2025'!$G$2:$G$2619,'октябрь 2025'!$D$2:$D$2619,$B150,'октябрь 2025'!$J$2:$J$2619,S$1)</f>
        <v>0</v>
      </c>
      <c r="T150" s="183">
        <f>SUMIFS('октябрь 2025'!$G$2:$G$2619,'октябрь 2025'!$D$2:$D$2619,$B150,'октябрь 2025'!$J$2:$J$2619,T$1)</f>
        <v>0</v>
      </c>
      <c r="U150" s="183">
        <f>SUMIFS('октябрь 2025'!$G$2:$G$2619,'октябрь 2025'!$D$2:$D$2619,$B150,'октябрь 2025'!$J$2:$J$2619,U$1)</f>
        <v>0</v>
      </c>
      <c r="V150" s="183">
        <f>SUMIFS('октябрь 2025'!$G$2:$G$2619,'октябрь 2025'!$D$2:$D$2619,$B150,'октябрь 2025'!$J$2:$J$2619,V$1)</f>
        <v>0</v>
      </c>
      <c r="W150" s="183">
        <f>SUMIFS('октябрь 2025'!$G$2:$G$2619,'октябрь 2025'!$D$2:$D$2619,$B150,'октябрь 2025'!$J$2:$J$2619,W$1)</f>
        <v>0</v>
      </c>
      <c r="X150" s="183">
        <f>SUMIFS('октябрь 2025'!$G$2:$G$2619,'октябрь 2025'!$D$2:$D$2619,$B150,'октябрь 2025'!$J$2:$J$2619,X$1)</f>
        <v>0</v>
      </c>
      <c r="Y150" s="183">
        <f>SUMIFS('октябрь 2025'!$G$2:$G$2619,'октябрь 2025'!$D$2:$D$2619,$B150,'октябрь 2025'!$J$2:$J$2619,Y$1)</f>
        <v>0</v>
      </c>
      <c r="Z150" s="183">
        <f>SUMIFS('октябрь 2025'!$G$2:$G$2619,'октябрь 2025'!$D$2:$D$2619,$B150,'октябрь 2025'!$J$2:$J$2619,Z$1)</f>
        <v>0</v>
      </c>
      <c r="AA150" s="183">
        <f>SUMIFS('октябрь 2025'!$G$2:$G$2619,'октябрь 2025'!$D$2:$D$2619,$B150,'октябрь 2025'!$J$2:$J$2619,AA$1)</f>
        <v>0</v>
      </c>
      <c r="AB150" s="183">
        <f>SUMIFS('октябрь 2025'!$G$2:$G$2619,'октябрь 2025'!$D$2:$D$2619,$B150,'октябрь 2025'!$J$2:$J$2619,AB$1)</f>
        <v>0</v>
      </c>
      <c r="AC150" s="183">
        <f>SUMIFS('октябрь 2025'!$G$2:$G$2619,'октябрь 2025'!$D$2:$D$2619,$B150,'октябрь 2025'!$J$2:$J$2619,AC$1)</f>
        <v>0</v>
      </c>
      <c r="AD150" s="183">
        <f>SUMIFS('октябрь 2025'!$G$2:$G$2619,'октябрь 2025'!$D$2:$D$2619,$B150,'октябрь 2025'!$J$2:$J$2619,AD$1)</f>
        <v>0</v>
      </c>
      <c r="AE150" s="183">
        <f>SUMIFS('октябрь 2025'!$G$2:$G$2619,'октябрь 2025'!$D$2:$D$2619,$B150,'октябрь 2025'!$J$2:$J$2619,AE$1)</f>
        <v>0</v>
      </c>
      <c r="AF150" s="183">
        <f>SUMIFS('октябрь 2025'!$G$2:$G$2619,'октябрь 2025'!$D$2:$D$2619,$B150,'октябрь 2025'!$J$2:$J$2619,AF$1)</f>
        <v>0</v>
      </c>
      <c r="AG150" s="183">
        <f>SUMIFS('октябрь 2025'!$G$2:$G$2619,'октябрь 2025'!$D$2:$D$2619,$B150,'октябрь 2025'!$J$2:$J$2619,AG$1)</f>
        <v>0</v>
      </c>
      <c r="AH150" s="183">
        <f>SUMIFS('октябрь 2025'!$G$2:$G$2619,'октябрь 2025'!$D$2:$D$2619,$B150,'октябрь 2025'!$J$2:$J$2619,AH$1)</f>
        <v>0</v>
      </c>
      <c r="AI150" s="20">
        <f t="shared" si="1"/>
        <v>0</v>
      </c>
    </row>
    <row r="151" spans="2:35" ht="16.899999999999999" customHeight="1" x14ac:dyDescent="0.25">
      <c r="B151" s="84" t="s">
        <v>271</v>
      </c>
      <c r="C151" s="83">
        <v>200</v>
      </c>
      <c r="D151" s="183">
        <f>SUMIFS('октябрь 2025'!$G$2:$G$2619,'октябрь 2025'!$D$2:$D$2619,$B151,'октябрь 2025'!$J$2:$J$2619,D$1)</f>
        <v>0</v>
      </c>
      <c r="E151" s="183">
        <f>SUMIFS('октябрь 2025'!$G$2:$G$2619,'октябрь 2025'!$D$2:$D$2619,$B151,'октябрь 2025'!$J$2:$J$2619,E$1)</f>
        <v>0</v>
      </c>
      <c r="F151" s="183">
        <f>SUMIFS('октябрь 2025'!$G$2:$G$2619,'октябрь 2025'!$D$2:$D$2619,$B151,'октябрь 2025'!$J$2:$J$2619,F$1)</f>
        <v>0</v>
      </c>
      <c r="G151" s="183">
        <f>SUMIFS('октябрь 2025'!$G$2:$G$2619,'октябрь 2025'!$D$2:$D$2619,$B151,'октябрь 2025'!$J$2:$J$2619,G$1)</f>
        <v>0</v>
      </c>
      <c r="H151" s="183">
        <f>SUMIFS('октябрь 2025'!$G$2:$G$2619,'октябрь 2025'!$D$2:$D$2619,$B151,'октябрь 2025'!$J$2:$J$2619,H$1)</f>
        <v>0</v>
      </c>
      <c r="I151" s="183">
        <f>SUMIFS('октябрь 2025'!$G$2:$G$2619,'октябрь 2025'!$D$2:$D$2619,$B151,'октябрь 2025'!$J$2:$J$2619,I$1)</f>
        <v>0</v>
      </c>
      <c r="J151" s="183">
        <f>SUMIFS('октябрь 2025'!$G$2:$G$2619,'октябрь 2025'!$D$2:$D$2619,$B151,'октябрь 2025'!$J$2:$J$2619,J$1)</f>
        <v>0</v>
      </c>
      <c r="K151" s="183">
        <f>SUMIFS('октябрь 2025'!$G$2:$G$2619,'октябрь 2025'!$D$2:$D$2619,$B151,'октябрь 2025'!$J$2:$J$2619,K$1)</f>
        <v>0</v>
      </c>
      <c r="L151" s="183">
        <f>SUMIFS('октябрь 2025'!$G$2:$G$2619,'октябрь 2025'!$D$2:$D$2619,$B151,'октябрь 2025'!$J$2:$J$2619,L$1)</f>
        <v>0</v>
      </c>
      <c r="M151" s="183">
        <f>SUMIFS('октябрь 2025'!$G$2:$G$2619,'октябрь 2025'!$D$2:$D$2619,$B151,'октябрь 2025'!$J$2:$J$2619,M$1)</f>
        <v>0</v>
      </c>
      <c r="N151" s="183">
        <f>SUMIFS('октябрь 2025'!$G$2:$G$2619,'октябрь 2025'!$D$2:$D$2619,$B151,'октябрь 2025'!$J$2:$J$2619,N$1)</f>
        <v>0</v>
      </c>
      <c r="O151" s="183">
        <f>SUMIFS('октябрь 2025'!$G$2:$G$2619,'октябрь 2025'!$D$2:$D$2619,$B151,'октябрь 2025'!$J$2:$J$2619,O$1)</f>
        <v>0</v>
      </c>
      <c r="P151" s="183">
        <f>SUMIFS('октябрь 2025'!$G$2:$G$2619,'октябрь 2025'!$D$2:$D$2619,$B151,'октябрь 2025'!$J$2:$J$2619,P$1)</f>
        <v>0</v>
      </c>
      <c r="Q151" s="183">
        <f>SUMIFS('октябрь 2025'!$G$2:$G$2619,'октябрь 2025'!$D$2:$D$2619,$B151,'октябрь 2025'!$J$2:$J$2619,Q$1)</f>
        <v>0</v>
      </c>
      <c r="R151" s="183">
        <f>SUMIFS('октябрь 2025'!$G$2:$G$2619,'октябрь 2025'!$D$2:$D$2619,$B151,'октябрь 2025'!$J$2:$J$2619,R$1)</f>
        <v>0</v>
      </c>
      <c r="S151" s="183">
        <f>SUMIFS('октябрь 2025'!$G$2:$G$2619,'октябрь 2025'!$D$2:$D$2619,$B151,'октябрь 2025'!$J$2:$J$2619,S$1)</f>
        <v>0</v>
      </c>
      <c r="T151" s="183">
        <f>SUMIFS('октябрь 2025'!$G$2:$G$2619,'октябрь 2025'!$D$2:$D$2619,$B151,'октябрь 2025'!$J$2:$J$2619,T$1)</f>
        <v>0</v>
      </c>
      <c r="U151" s="183">
        <f>SUMIFS('октябрь 2025'!$G$2:$G$2619,'октябрь 2025'!$D$2:$D$2619,$B151,'октябрь 2025'!$J$2:$J$2619,U$1)</f>
        <v>0</v>
      </c>
      <c r="V151" s="183">
        <f>SUMIFS('октябрь 2025'!$G$2:$G$2619,'октябрь 2025'!$D$2:$D$2619,$B151,'октябрь 2025'!$J$2:$J$2619,V$1)</f>
        <v>0</v>
      </c>
      <c r="W151" s="183">
        <f>SUMIFS('октябрь 2025'!$G$2:$G$2619,'октябрь 2025'!$D$2:$D$2619,$B151,'октябрь 2025'!$J$2:$J$2619,W$1)</f>
        <v>0</v>
      </c>
      <c r="X151" s="183">
        <f>SUMIFS('октябрь 2025'!$G$2:$G$2619,'октябрь 2025'!$D$2:$D$2619,$B151,'октябрь 2025'!$J$2:$J$2619,X$1)</f>
        <v>0</v>
      </c>
      <c r="Y151" s="183">
        <f>SUMIFS('октябрь 2025'!$G$2:$G$2619,'октябрь 2025'!$D$2:$D$2619,$B151,'октябрь 2025'!$J$2:$J$2619,Y$1)</f>
        <v>0</v>
      </c>
      <c r="Z151" s="183">
        <f>SUMIFS('октябрь 2025'!$G$2:$G$2619,'октябрь 2025'!$D$2:$D$2619,$B151,'октябрь 2025'!$J$2:$J$2619,Z$1)</f>
        <v>0</v>
      </c>
      <c r="AA151" s="183">
        <f>SUMIFS('октябрь 2025'!$G$2:$G$2619,'октябрь 2025'!$D$2:$D$2619,$B151,'октябрь 2025'!$J$2:$J$2619,AA$1)</f>
        <v>0</v>
      </c>
      <c r="AB151" s="183">
        <f>SUMIFS('октябрь 2025'!$G$2:$G$2619,'октябрь 2025'!$D$2:$D$2619,$B151,'октябрь 2025'!$J$2:$J$2619,AB$1)</f>
        <v>0</v>
      </c>
      <c r="AC151" s="183">
        <f>SUMIFS('октябрь 2025'!$G$2:$G$2619,'октябрь 2025'!$D$2:$D$2619,$B151,'октябрь 2025'!$J$2:$J$2619,AC$1)</f>
        <v>0</v>
      </c>
      <c r="AD151" s="183">
        <f>SUMIFS('октябрь 2025'!$G$2:$G$2619,'октябрь 2025'!$D$2:$D$2619,$B151,'октябрь 2025'!$J$2:$J$2619,AD$1)</f>
        <v>0</v>
      </c>
      <c r="AE151" s="183">
        <f>SUMIFS('октябрь 2025'!$G$2:$G$2619,'октябрь 2025'!$D$2:$D$2619,$B151,'октябрь 2025'!$J$2:$J$2619,AE$1)</f>
        <v>0</v>
      </c>
      <c r="AF151" s="183">
        <f>SUMIFS('октябрь 2025'!$G$2:$G$2619,'октябрь 2025'!$D$2:$D$2619,$B151,'октябрь 2025'!$J$2:$J$2619,AF$1)</f>
        <v>0</v>
      </c>
      <c r="AG151" s="183">
        <f>SUMIFS('октябрь 2025'!$G$2:$G$2619,'октябрь 2025'!$D$2:$D$2619,$B151,'октябрь 2025'!$J$2:$J$2619,AG$1)</f>
        <v>0</v>
      </c>
      <c r="AH151" s="183">
        <f>SUMIFS('октябрь 2025'!$G$2:$G$2619,'октябрь 2025'!$D$2:$D$2619,$B151,'октябрь 2025'!$J$2:$J$2619,AH$1)</f>
        <v>0</v>
      </c>
      <c r="AI151" s="20">
        <f t="shared" si="1"/>
        <v>0</v>
      </c>
    </row>
    <row r="152" spans="2:35" ht="16.899999999999999" customHeight="1" x14ac:dyDescent="0.25">
      <c r="B152" s="84" t="s">
        <v>276</v>
      </c>
      <c r="C152" s="83">
        <v>200</v>
      </c>
      <c r="D152" s="183">
        <f>SUMIFS('октябрь 2025'!$G$2:$G$2619,'октябрь 2025'!$D$2:$D$2619,$B152,'октябрь 2025'!$J$2:$J$2619,D$1)</f>
        <v>0</v>
      </c>
      <c r="E152" s="183">
        <f>SUMIFS('октябрь 2025'!$G$2:$G$2619,'октябрь 2025'!$D$2:$D$2619,$B152,'октябрь 2025'!$J$2:$J$2619,E$1)</f>
        <v>0</v>
      </c>
      <c r="F152" s="183">
        <f>SUMIFS('октябрь 2025'!$G$2:$G$2619,'октябрь 2025'!$D$2:$D$2619,$B152,'октябрь 2025'!$J$2:$J$2619,F$1)</f>
        <v>0</v>
      </c>
      <c r="G152" s="183">
        <f>SUMIFS('октябрь 2025'!$G$2:$G$2619,'октябрь 2025'!$D$2:$D$2619,$B152,'октябрь 2025'!$J$2:$J$2619,G$1)</f>
        <v>0</v>
      </c>
      <c r="H152" s="183">
        <f>SUMIFS('октябрь 2025'!$G$2:$G$2619,'октябрь 2025'!$D$2:$D$2619,$B152,'октябрь 2025'!$J$2:$J$2619,H$1)</f>
        <v>0</v>
      </c>
      <c r="I152" s="183">
        <f>SUMIFS('октябрь 2025'!$G$2:$G$2619,'октябрь 2025'!$D$2:$D$2619,$B152,'октябрь 2025'!$J$2:$J$2619,I$1)</f>
        <v>0</v>
      </c>
      <c r="J152" s="183">
        <f>SUMIFS('октябрь 2025'!$G$2:$G$2619,'октябрь 2025'!$D$2:$D$2619,$B152,'октябрь 2025'!$J$2:$J$2619,J$1)</f>
        <v>0</v>
      </c>
      <c r="K152" s="183">
        <f>SUMIFS('октябрь 2025'!$G$2:$G$2619,'октябрь 2025'!$D$2:$D$2619,$B152,'октябрь 2025'!$J$2:$J$2619,K$1)</f>
        <v>0</v>
      </c>
      <c r="L152" s="183">
        <f>SUMIFS('октябрь 2025'!$G$2:$G$2619,'октябрь 2025'!$D$2:$D$2619,$B152,'октябрь 2025'!$J$2:$J$2619,L$1)</f>
        <v>0</v>
      </c>
      <c r="M152" s="183">
        <f>SUMIFS('октябрь 2025'!$G$2:$G$2619,'октябрь 2025'!$D$2:$D$2619,$B152,'октябрь 2025'!$J$2:$J$2619,M$1)</f>
        <v>0</v>
      </c>
      <c r="N152" s="183">
        <f>SUMIFS('октябрь 2025'!$G$2:$G$2619,'октябрь 2025'!$D$2:$D$2619,$B152,'октябрь 2025'!$J$2:$J$2619,N$1)</f>
        <v>0</v>
      </c>
      <c r="O152" s="183">
        <f>SUMIFS('октябрь 2025'!$G$2:$G$2619,'октябрь 2025'!$D$2:$D$2619,$B152,'октябрь 2025'!$J$2:$J$2619,O$1)</f>
        <v>0</v>
      </c>
      <c r="P152" s="183">
        <f>SUMIFS('октябрь 2025'!$G$2:$G$2619,'октябрь 2025'!$D$2:$D$2619,$B152,'октябрь 2025'!$J$2:$J$2619,P$1)</f>
        <v>0</v>
      </c>
      <c r="Q152" s="183">
        <f>SUMIFS('октябрь 2025'!$G$2:$G$2619,'октябрь 2025'!$D$2:$D$2619,$B152,'октябрь 2025'!$J$2:$J$2619,Q$1)</f>
        <v>0</v>
      </c>
      <c r="R152" s="183">
        <f>SUMIFS('октябрь 2025'!$G$2:$G$2619,'октябрь 2025'!$D$2:$D$2619,$B152,'октябрь 2025'!$J$2:$J$2619,R$1)</f>
        <v>0</v>
      </c>
      <c r="S152" s="183">
        <f>SUMIFS('октябрь 2025'!$G$2:$G$2619,'октябрь 2025'!$D$2:$D$2619,$B152,'октябрь 2025'!$J$2:$J$2619,S$1)</f>
        <v>0</v>
      </c>
      <c r="T152" s="183">
        <f>SUMIFS('октябрь 2025'!$G$2:$G$2619,'октябрь 2025'!$D$2:$D$2619,$B152,'октябрь 2025'!$J$2:$J$2619,T$1)</f>
        <v>0</v>
      </c>
      <c r="U152" s="183">
        <f>SUMIFS('октябрь 2025'!$G$2:$G$2619,'октябрь 2025'!$D$2:$D$2619,$B152,'октябрь 2025'!$J$2:$J$2619,U$1)</f>
        <v>0</v>
      </c>
      <c r="V152" s="183">
        <f>SUMIFS('октябрь 2025'!$G$2:$G$2619,'октябрь 2025'!$D$2:$D$2619,$B152,'октябрь 2025'!$J$2:$J$2619,V$1)</f>
        <v>0</v>
      </c>
      <c r="W152" s="183">
        <f>SUMIFS('октябрь 2025'!$G$2:$G$2619,'октябрь 2025'!$D$2:$D$2619,$B152,'октябрь 2025'!$J$2:$J$2619,W$1)</f>
        <v>0</v>
      </c>
      <c r="X152" s="183">
        <f>SUMIFS('октябрь 2025'!$G$2:$G$2619,'октябрь 2025'!$D$2:$D$2619,$B152,'октябрь 2025'!$J$2:$J$2619,X$1)</f>
        <v>0</v>
      </c>
      <c r="Y152" s="183">
        <f>SUMIFS('октябрь 2025'!$G$2:$G$2619,'октябрь 2025'!$D$2:$D$2619,$B152,'октябрь 2025'!$J$2:$J$2619,Y$1)</f>
        <v>0</v>
      </c>
      <c r="Z152" s="183">
        <f>SUMIFS('октябрь 2025'!$G$2:$G$2619,'октябрь 2025'!$D$2:$D$2619,$B152,'октябрь 2025'!$J$2:$J$2619,Z$1)</f>
        <v>0</v>
      </c>
      <c r="AA152" s="183">
        <f>SUMIFS('октябрь 2025'!$G$2:$G$2619,'октябрь 2025'!$D$2:$D$2619,$B152,'октябрь 2025'!$J$2:$J$2619,AA$1)</f>
        <v>0</v>
      </c>
      <c r="AB152" s="183">
        <f>SUMIFS('октябрь 2025'!$G$2:$G$2619,'октябрь 2025'!$D$2:$D$2619,$B152,'октябрь 2025'!$J$2:$J$2619,AB$1)</f>
        <v>0</v>
      </c>
      <c r="AC152" s="183">
        <f>SUMIFS('октябрь 2025'!$G$2:$G$2619,'октябрь 2025'!$D$2:$D$2619,$B152,'октябрь 2025'!$J$2:$J$2619,AC$1)</f>
        <v>0</v>
      </c>
      <c r="AD152" s="183">
        <f>SUMIFS('октябрь 2025'!$G$2:$G$2619,'октябрь 2025'!$D$2:$D$2619,$B152,'октябрь 2025'!$J$2:$J$2619,AD$1)</f>
        <v>0</v>
      </c>
      <c r="AE152" s="183">
        <f>SUMIFS('октябрь 2025'!$G$2:$G$2619,'октябрь 2025'!$D$2:$D$2619,$B152,'октябрь 2025'!$J$2:$J$2619,AE$1)</f>
        <v>0</v>
      </c>
      <c r="AF152" s="183">
        <f>SUMIFS('октябрь 2025'!$G$2:$G$2619,'октябрь 2025'!$D$2:$D$2619,$B152,'октябрь 2025'!$J$2:$J$2619,AF$1)</f>
        <v>0</v>
      </c>
      <c r="AG152" s="183">
        <f>SUMIFS('октябрь 2025'!$G$2:$G$2619,'октябрь 2025'!$D$2:$D$2619,$B152,'октябрь 2025'!$J$2:$J$2619,AG$1)</f>
        <v>0</v>
      </c>
      <c r="AH152" s="183">
        <f>SUMIFS('октябрь 2025'!$G$2:$G$2619,'октябрь 2025'!$D$2:$D$2619,$B152,'октябрь 2025'!$J$2:$J$2619,AH$1)</f>
        <v>0</v>
      </c>
      <c r="AI152" s="20">
        <f t="shared" si="1"/>
        <v>0</v>
      </c>
    </row>
    <row r="153" spans="2:35" ht="16.899999999999999" customHeight="1" x14ac:dyDescent="0.25">
      <c r="B153" s="84" t="s">
        <v>272</v>
      </c>
      <c r="C153" s="83">
        <v>200</v>
      </c>
      <c r="D153" s="183">
        <f>SUMIFS('октябрь 2025'!$G$2:$G$2619,'октябрь 2025'!$D$2:$D$2619,$B153,'октябрь 2025'!$J$2:$J$2619,D$1)</f>
        <v>0</v>
      </c>
      <c r="E153" s="183">
        <f>SUMIFS('октябрь 2025'!$G$2:$G$2619,'октябрь 2025'!$D$2:$D$2619,$B153,'октябрь 2025'!$J$2:$J$2619,E$1)</f>
        <v>0</v>
      </c>
      <c r="F153" s="183">
        <f>SUMIFS('октябрь 2025'!$G$2:$G$2619,'октябрь 2025'!$D$2:$D$2619,$B153,'октябрь 2025'!$J$2:$J$2619,F$1)</f>
        <v>0</v>
      </c>
      <c r="G153" s="183">
        <f>SUMIFS('октябрь 2025'!$G$2:$G$2619,'октябрь 2025'!$D$2:$D$2619,$B153,'октябрь 2025'!$J$2:$J$2619,G$1)</f>
        <v>0</v>
      </c>
      <c r="H153" s="183">
        <f>SUMIFS('октябрь 2025'!$G$2:$G$2619,'октябрь 2025'!$D$2:$D$2619,$B153,'октябрь 2025'!$J$2:$J$2619,H$1)</f>
        <v>0</v>
      </c>
      <c r="I153" s="183">
        <f>SUMIFS('октябрь 2025'!$G$2:$G$2619,'октябрь 2025'!$D$2:$D$2619,$B153,'октябрь 2025'!$J$2:$J$2619,I$1)</f>
        <v>0</v>
      </c>
      <c r="J153" s="183">
        <f>SUMIFS('октябрь 2025'!$G$2:$G$2619,'октябрь 2025'!$D$2:$D$2619,$B153,'октябрь 2025'!$J$2:$J$2619,J$1)</f>
        <v>0</v>
      </c>
      <c r="K153" s="183">
        <f>SUMIFS('октябрь 2025'!$G$2:$G$2619,'октябрь 2025'!$D$2:$D$2619,$B153,'октябрь 2025'!$J$2:$J$2619,K$1)</f>
        <v>0</v>
      </c>
      <c r="L153" s="183">
        <f>SUMIFS('октябрь 2025'!$G$2:$G$2619,'октябрь 2025'!$D$2:$D$2619,$B153,'октябрь 2025'!$J$2:$J$2619,L$1)</f>
        <v>0</v>
      </c>
      <c r="M153" s="183">
        <f>SUMIFS('октябрь 2025'!$G$2:$G$2619,'октябрь 2025'!$D$2:$D$2619,$B153,'октябрь 2025'!$J$2:$J$2619,M$1)</f>
        <v>0</v>
      </c>
      <c r="N153" s="183">
        <f>SUMIFS('октябрь 2025'!$G$2:$G$2619,'октябрь 2025'!$D$2:$D$2619,$B153,'октябрь 2025'!$J$2:$J$2619,N$1)</f>
        <v>0</v>
      </c>
      <c r="O153" s="183">
        <f>SUMIFS('октябрь 2025'!$G$2:$G$2619,'октябрь 2025'!$D$2:$D$2619,$B153,'октябрь 2025'!$J$2:$J$2619,O$1)</f>
        <v>0</v>
      </c>
      <c r="P153" s="183">
        <f>SUMIFS('октябрь 2025'!$G$2:$G$2619,'октябрь 2025'!$D$2:$D$2619,$B153,'октябрь 2025'!$J$2:$J$2619,P$1)</f>
        <v>0</v>
      </c>
      <c r="Q153" s="183">
        <f>SUMIFS('октябрь 2025'!$G$2:$G$2619,'октябрь 2025'!$D$2:$D$2619,$B153,'октябрь 2025'!$J$2:$J$2619,Q$1)</f>
        <v>0</v>
      </c>
      <c r="R153" s="183">
        <f>SUMIFS('октябрь 2025'!$G$2:$G$2619,'октябрь 2025'!$D$2:$D$2619,$B153,'октябрь 2025'!$J$2:$J$2619,R$1)</f>
        <v>0</v>
      </c>
      <c r="S153" s="183">
        <f>SUMIFS('октябрь 2025'!$G$2:$G$2619,'октябрь 2025'!$D$2:$D$2619,$B153,'октябрь 2025'!$J$2:$J$2619,S$1)</f>
        <v>0</v>
      </c>
      <c r="T153" s="183">
        <f>SUMIFS('октябрь 2025'!$G$2:$G$2619,'октябрь 2025'!$D$2:$D$2619,$B153,'октябрь 2025'!$J$2:$J$2619,T$1)</f>
        <v>0</v>
      </c>
      <c r="U153" s="183">
        <f>SUMIFS('октябрь 2025'!$G$2:$G$2619,'октябрь 2025'!$D$2:$D$2619,$B153,'октябрь 2025'!$J$2:$J$2619,U$1)</f>
        <v>0</v>
      </c>
      <c r="V153" s="183">
        <f>SUMIFS('октябрь 2025'!$G$2:$G$2619,'октябрь 2025'!$D$2:$D$2619,$B153,'октябрь 2025'!$J$2:$J$2619,V$1)</f>
        <v>0</v>
      </c>
      <c r="W153" s="183">
        <f>SUMIFS('октябрь 2025'!$G$2:$G$2619,'октябрь 2025'!$D$2:$D$2619,$B153,'октябрь 2025'!$J$2:$J$2619,W$1)</f>
        <v>0</v>
      </c>
      <c r="X153" s="183">
        <f>SUMIFS('октябрь 2025'!$G$2:$G$2619,'октябрь 2025'!$D$2:$D$2619,$B153,'октябрь 2025'!$J$2:$J$2619,X$1)</f>
        <v>0</v>
      </c>
      <c r="Y153" s="183">
        <f>SUMIFS('октябрь 2025'!$G$2:$G$2619,'октябрь 2025'!$D$2:$D$2619,$B153,'октябрь 2025'!$J$2:$J$2619,Y$1)</f>
        <v>0</v>
      </c>
      <c r="Z153" s="183">
        <f>SUMIFS('октябрь 2025'!$G$2:$G$2619,'октябрь 2025'!$D$2:$D$2619,$B153,'октябрь 2025'!$J$2:$J$2619,Z$1)</f>
        <v>0</v>
      </c>
      <c r="AA153" s="183">
        <f>SUMIFS('октябрь 2025'!$G$2:$G$2619,'октябрь 2025'!$D$2:$D$2619,$B153,'октябрь 2025'!$J$2:$J$2619,AA$1)</f>
        <v>0</v>
      </c>
      <c r="AB153" s="183">
        <f>SUMIFS('октябрь 2025'!$G$2:$G$2619,'октябрь 2025'!$D$2:$D$2619,$B153,'октябрь 2025'!$J$2:$J$2619,AB$1)</f>
        <v>0</v>
      </c>
      <c r="AC153" s="183">
        <f>SUMIFS('октябрь 2025'!$G$2:$G$2619,'октябрь 2025'!$D$2:$D$2619,$B153,'октябрь 2025'!$J$2:$J$2619,AC$1)</f>
        <v>0</v>
      </c>
      <c r="AD153" s="183">
        <f>SUMIFS('октябрь 2025'!$G$2:$G$2619,'октябрь 2025'!$D$2:$D$2619,$B153,'октябрь 2025'!$J$2:$J$2619,AD$1)</f>
        <v>0</v>
      </c>
      <c r="AE153" s="183">
        <f>SUMIFS('октябрь 2025'!$G$2:$G$2619,'октябрь 2025'!$D$2:$D$2619,$B153,'октябрь 2025'!$J$2:$J$2619,AE$1)</f>
        <v>0</v>
      </c>
      <c r="AF153" s="183">
        <f>SUMIFS('октябрь 2025'!$G$2:$G$2619,'октябрь 2025'!$D$2:$D$2619,$B153,'октябрь 2025'!$J$2:$J$2619,AF$1)</f>
        <v>0</v>
      </c>
      <c r="AG153" s="183">
        <f>SUMIFS('октябрь 2025'!$G$2:$G$2619,'октябрь 2025'!$D$2:$D$2619,$B153,'октябрь 2025'!$J$2:$J$2619,AG$1)</f>
        <v>0</v>
      </c>
      <c r="AH153" s="183">
        <f>SUMIFS('октябрь 2025'!$G$2:$G$2619,'октябрь 2025'!$D$2:$D$2619,$B153,'октябрь 2025'!$J$2:$J$2619,AH$1)</f>
        <v>0</v>
      </c>
      <c r="AI153" s="20">
        <f t="shared" si="1"/>
        <v>0</v>
      </c>
    </row>
    <row r="154" spans="2:35" ht="15" customHeight="1" x14ac:dyDescent="0.25">
      <c r="B154" s="84" t="s">
        <v>277</v>
      </c>
      <c r="C154" s="83">
        <v>200</v>
      </c>
      <c r="D154" s="183">
        <f>SUMIFS('октябрь 2025'!$G$2:$G$2619,'октябрь 2025'!$D$2:$D$2619,$B154,'октябрь 2025'!$J$2:$J$2619,D$1)</f>
        <v>0</v>
      </c>
      <c r="E154" s="183">
        <f>SUMIFS('октябрь 2025'!$G$2:$G$2619,'октябрь 2025'!$D$2:$D$2619,$B154,'октябрь 2025'!$J$2:$J$2619,E$1)</f>
        <v>0</v>
      </c>
      <c r="F154" s="183">
        <f>SUMIFS('октябрь 2025'!$G$2:$G$2619,'октябрь 2025'!$D$2:$D$2619,$B154,'октябрь 2025'!$J$2:$J$2619,F$1)</f>
        <v>0</v>
      </c>
      <c r="G154" s="183">
        <f>SUMIFS('октябрь 2025'!$G$2:$G$2619,'октябрь 2025'!$D$2:$D$2619,$B154,'октябрь 2025'!$J$2:$J$2619,G$1)</f>
        <v>0</v>
      </c>
      <c r="H154" s="183">
        <f>SUMIFS('октябрь 2025'!$G$2:$G$2619,'октябрь 2025'!$D$2:$D$2619,$B154,'октябрь 2025'!$J$2:$J$2619,H$1)</f>
        <v>0</v>
      </c>
      <c r="I154" s="183">
        <f>SUMIFS('октябрь 2025'!$G$2:$G$2619,'октябрь 2025'!$D$2:$D$2619,$B154,'октябрь 2025'!$J$2:$J$2619,I$1)</f>
        <v>0</v>
      </c>
      <c r="J154" s="183">
        <f>SUMIFS('октябрь 2025'!$G$2:$G$2619,'октябрь 2025'!$D$2:$D$2619,$B154,'октябрь 2025'!$J$2:$J$2619,J$1)</f>
        <v>0</v>
      </c>
      <c r="K154" s="183">
        <f>SUMIFS('октябрь 2025'!$G$2:$G$2619,'октябрь 2025'!$D$2:$D$2619,$B154,'октябрь 2025'!$J$2:$J$2619,K$1)</f>
        <v>0</v>
      </c>
      <c r="L154" s="183">
        <f>SUMIFS('октябрь 2025'!$G$2:$G$2619,'октябрь 2025'!$D$2:$D$2619,$B154,'октябрь 2025'!$J$2:$J$2619,L$1)</f>
        <v>0</v>
      </c>
      <c r="M154" s="183">
        <f>SUMIFS('октябрь 2025'!$G$2:$G$2619,'октябрь 2025'!$D$2:$D$2619,$B154,'октябрь 2025'!$J$2:$J$2619,M$1)</f>
        <v>0</v>
      </c>
      <c r="N154" s="183">
        <f>SUMIFS('октябрь 2025'!$G$2:$G$2619,'октябрь 2025'!$D$2:$D$2619,$B154,'октябрь 2025'!$J$2:$J$2619,N$1)</f>
        <v>0</v>
      </c>
      <c r="O154" s="183">
        <f>SUMIFS('октябрь 2025'!$G$2:$G$2619,'октябрь 2025'!$D$2:$D$2619,$B154,'октябрь 2025'!$J$2:$J$2619,O$1)</f>
        <v>0</v>
      </c>
      <c r="P154" s="183">
        <f>SUMIFS('октябрь 2025'!$G$2:$G$2619,'октябрь 2025'!$D$2:$D$2619,$B154,'октябрь 2025'!$J$2:$J$2619,P$1)</f>
        <v>0</v>
      </c>
      <c r="Q154" s="183">
        <f>SUMIFS('октябрь 2025'!$G$2:$G$2619,'октябрь 2025'!$D$2:$D$2619,$B154,'октябрь 2025'!$J$2:$J$2619,Q$1)</f>
        <v>0</v>
      </c>
      <c r="R154" s="183">
        <f>SUMIFS('октябрь 2025'!$G$2:$G$2619,'октябрь 2025'!$D$2:$D$2619,$B154,'октябрь 2025'!$J$2:$J$2619,R$1)</f>
        <v>0</v>
      </c>
      <c r="S154" s="183">
        <f>SUMIFS('октябрь 2025'!$G$2:$G$2619,'октябрь 2025'!$D$2:$D$2619,$B154,'октябрь 2025'!$J$2:$J$2619,S$1)</f>
        <v>0</v>
      </c>
      <c r="T154" s="183">
        <f>SUMIFS('октябрь 2025'!$G$2:$G$2619,'октябрь 2025'!$D$2:$D$2619,$B154,'октябрь 2025'!$J$2:$J$2619,T$1)</f>
        <v>0</v>
      </c>
      <c r="U154" s="183">
        <f>SUMIFS('октябрь 2025'!$G$2:$G$2619,'октябрь 2025'!$D$2:$D$2619,$B154,'октябрь 2025'!$J$2:$J$2619,U$1)</f>
        <v>0</v>
      </c>
      <c r="V154" s="183">
        <f>SUMIFS('октябрь 2025'!$G$2:$G$2619,'октябрь 2025'!$D$2:$D$2619,$B154,'октябрь 2025'!$J$2:$J$2619,V$1)</f>
        <v>0</v>
      </c>
      <c r="W154" s="183">
        <f>SUMIFS('октябрь 2025'!$G$2:$G$2619,'октябрь 2025'!$D$2:$D$2619,$B154,'октябрь 2025'!$J$2:$J$2619,W$1)</f>
        <v>0</v>
      </c>
      <c r="X154" s="183">
        <f>SUMIFS('октябрь 2025'!$G$2:$G$2619,'октябрь 2025'!$D$2:$D$2619,$B154,'октябрь 2025'!$J$2:$J$2619,X$1)</f>
        <v>0</v>
      </c>
      <c r="Y154" s="183">
        <f>SUMIFS('октябрь 2025'!$G$2:$G$2619,'октябрь 2025'!$D$2:$D$2619,$B154,'октябрь 2025'!$J$2:$J$2619,Y$1)</f>
        <v>0</v>
      </c>
      <c r="Z154" s="183">
        <f>SUMIFS('октябрь 2025'!$G$2:$G$2619,'октябрь 2025'!$D$2:$D$2619,$B154,'октябрь 2025'!$J$2:$J$2619,Z$1)</f>
        <v>0</v>
      </c>
      <c r="AA154" s="183">
        <f>SUMIFS('октябрь 2025'!$G$2:$G$2619,'октябрь 2025'!$D$2:$D$2619,$B154,'октябрь 2025'!$J$2:$J$2619,AA$1)</f>
        <v>0</v>
      </c>
      <c r="AB154" s="183">
        <f>SUMIFS('октябрь 2025'!$G$2:$G$2619,'октябрь 2025'!$D$2:$D$2619,$B154,'октябрь 2025'!$J$2:$J$2619,AB$1)</f>
        <v>0</v>
      </c>
      <c r="AC154" s="183">
        <f>SUMIFS('октябрь 2025'!$G$2:$G$2619,'октябрь 2025'!$D$2:$D$2619,$B154,'октябрь 2025'!$J$2:$J$2619,AC$1)</f>
        <v>0</v>
      </c>
      <c r="AD154" s="183">
        <f>SUMIFS('октябрь 2025'!$G$2:$G$2619,'октябрь 2025'!$D$2:$D$2619,$B154,'октябрь 2025'!$J$2:$J$2619,AD$1)</f>
        <v>0</v>
      </c>
      <c r="AE154" s="183">
        <f>SUMIFS('октябрь 2025'!$G$2:$G$2619,'октябрь 2025'!$D$2:$D$2619,$B154,'октябрь 2025'!$J$2:$J$2619,AE$1)</f>
        <v>0</v>
      </c>
      <c r="AF154" s="183">
        <f>SUMIFS('октябрь 2025'!$G$2:$G$2619,'октябрь 2025'!$D$2:$D$2619,$B154,'октябрь 2025'!$J$2:$J$2619,AF$1)</f>
        <v>0</v>
      </c>
      <c r="AG154" s="183">
        <f>SUMIFS('октябрь 2025'!$G$2:$G$2619,'октябрь 2025'!$D$2:$D$2619,$B154,'октябрь 2025'!$J$2:$J$2619,AG$1)</f>
        <v>0</v>
      </c>
      <c r="AH154" s="183">
        <f>SUMIFS('октябрь 2025'!$G$2:$G$2619,'октябрь 2025'!$D$2:$D$2619,$B154,'октябрь 2025'!$J$2:$J$2619,AH$1)</f>
        <v>0</v>
      </c>
      <c r="AI154" s="20">
        <f t="shared" si="1"/>
        <v>0</v>
      </c>
    </row>
    <row r="155" spans="2:35" ht="15" customHeight="1" x14ac:dyDescent="0.25">
      <c r="B155" s="84" t="s">
        <v>273</v>
      </c>
      <c r="C155" s="83">
        <v>200</v>
      </c>
      <c r="D155" s="183">
        <f>SUMIFS('октябрь 2025'!$G$2:$G$2619,'октябрь 2025'!$D$2:$D$2619,$B155,'октябрь 2025'!$J$2:$J$2619,D$1)</f>
        <v>0</v>
      </c>
      <c r="E155" s="183">
        <f>SUMIFS('октябрь 2025'!$G$2:$G$2619,'октябрь 2025'!$D$2:$D$2619,$B155,'октябрь 2025'!$J$2:$J$2619,E$1)</f>
        <v>0</v>
      </c>
      <c r="F155" s="183">
        <f>SUMIFS('октябрь 2025'!$G$2:$G$2619,'октябрь 2025'!$D$2:$D$2619,$B155,'октябрь 2025'!$J$2:$J$2619,F$1)</f>
        <v>0</v>
      </c>
      <c r="G155" s="183">
        <f>SUMIFS('октябрь 2025'!$G$2:$G$2619,'октябрь 2025'!$D$2:$D$2619,$B155,'октябрь 2025'!$J$2:$J$2619,G$1)</f>
        <v>0</v>
      </c>
      <c r="H155" s="183">
        <f>SUMIFS('октябрь 2025'!$G$2:$G$2619,'октябрь 2025'!$D$2:$D$2619,$B155,'октябрь 2025'!$J$2:$J$2619,H$1)</f>
        <v>0</v>
      </c>
      <c r="I155" s="183">
        <f>SUMIFS('октябрь 2025'!$G$2:$G$2619,'октябрь 2025'!$D$2:$D$2619,$B155,'октябрь 2025'!$J$2:$J$2619,I$1)</f>
        <v>0</v>
      </c>
      <c r="J155" s="183">
        <f>SUMIFS('октябрь 2025'!$G$2:$G$2619,'октябрь 2025'!$D$2:$D$2619,$B155,'октябрь 2025'!$J$2:$J$2619,J$1)</f>
        <v>0</v>
      </c>
      <c r="K155" s="183">
        <f>SUMIFS('октябрь 2025'!$G$2:$G$2619,'октябрь 2025'!$D$2:$D$2619,$B155,'октябрь 2025'!$J$2:$J$2619,K$1)</f>
        <v>0</v>
      </c>
      <c r="L155" s="183">
        <f>SUMIFS('октябрь 2025'!$G$2:$G$2619,'октябрь 2025'!$D$2:$D$2619,$B155,'октябрь 2025'!$J$2:$J$2619,L$1)</f>
        <v>0</v>
      </c>
      <c r="M155" s="183">
        <f>SUMIFS('октябрь 2025'!$G$2:$G$2619,'октябрь 2025'!$D$2:$D$2619,$B155,'октябрь 2025'!$J$2:$J$2619,M$1)</f>
        <v>0</v>
      </c>
      <c r="N155" s="183">
        <f>SUMIFS('октябрь 2025'!$G$2:$G$2619,'октябрь 2025'!$D$2:$D$2619,$B155,'октябрь 2025'!$J$2:$J$2619,N$1)</f>
        <v>0</v>
      </c>
      <c r="O155" s="183">
        <f>SUMIFS('октябрь 2025'!$G$2:$G$2619,'октябрь 2025'!$D$2:$D$2619,$B155,'октябрь 2025'!$J$2:$J$2619,O$1)</f>
        <v>0</v>
      </c>
      <c r="P155" s="183">
        <f>SUMIFS('октябрь 2025'!$G$2:$G$2619,'октябрь 2025'!$D$2:$D$2619,$B155,'октябрь 2025'!$J$2:$J$2619,P$1)</f>
        <v>0</v>
      </c>
      <c r="Q155" s="183">
        <f>SUMIFS('октябрь 2025'!$G$2:$G$2619,'октябрь 2025'!$D$2:$D$2619,$B155,'октябрь 2025'!$J$2:$J$2619,Q$1)</f>
        <v>0</v>
      </c>
      <c r="R155" s="183">
        <f>SUMIFS('октябрь 2025'!$G$2:$G$2619,'октябрь 2025'!$D$2:$D$2619,$B155,'октябрь 2025'!$J$2:$J$2619,R$1)</f>
        <v>0</v>
      </c>
      <c r="S155" s="183">
        <f>SUMIFS('октябрь 2025'!$G$2:$G$2619,'октябрь 2025'!$D$2:$D$2619,$B155,'октябрь 2025'!$J$2:$J$2619,S$1)</f>
        <v>0</v>
      </c>
      <c r="T155" s="183">
        <f>SUMIFS('октябрь 2025'!$G$2:$G$2619,'октябрь 2025'!$D$2:$D$2619,$B155,'октябрь 2025'!$J$2:$J$2619,T$1)</f>
        <v>0</v>
      </c>
      <c r="U155" s="183">
        <f>SUMIFS('октябрь 2025'!$G$2:$G$2619,'октябрь 2025'!$D$2:$D$2619,$B155,'октябрь 2025'!$J$2:$J$2619,U$1)</f>
        <v>0</v>
      </c>
      <c r="V155" s="183">
        <f>SUMIFS('октябрь 2025'!$G$2:$G$2619,'октябрь 2025'!$D$2:$D$2619,$B155,'октябрь 2025'!$J$2:$J$2619,V$1)</f>
        <v>0</v>
      </c>
      <c r="W155" s="183">
        <f>SUMIFS('октябрь 2025'!$G$2:$G$2619,'октябрь 2025'!$D$2:$D$2619,$B155,'октябрь 2025'!$J$2:$J$2619,W$1)</f>
        <v>0</v>
      </c>
      <c r="X155" s="183">
        <f>SUMIFS('октябрь 2025'!$G$2:$G$2619,'октябрь 2025'!$D$2:$D$2619,$B155,'октябрь 2025'!$J$2:$J$2619,X$1)</f>
        <v>0</v>
      </c>
      <c r="Y155" s="183">
        <f>SUMIFS('октябрь 2025'!$G$2:$G$2619,'октябрь 2025'!$D$2:$D$2619,$B155,'октябрь 2025'!$J$2:$J$2619,Y$1)</f>
        <v>0</v>
      </c>
      <c r="Z155" s="183">
        <f>SUMIFS('октябрь 2025'!$G$2:$G$2619,'октябрь 2025'!$D$2:$D$2619,$B155,'октябрь 2025'!$J$2:$J$2619,Z$1)</f>
        <v>0</v>
      </c>
      <c r="AA155" s="183">
        <f>SUMIFS('октябрь 2025'!$G$2:$G$2619,'октябрь 2025'!$D$2:$D$2619,$B155,'октябрь 2025'!$J$2:$J$2619,AA$1)</f>
        <v>0</v>
      </c>
      <c r="AB155" s="183">
        <f>SUMIFS('октябрь 2025'!$G$2:$G$2619,'октябрь 2025'!$D$2:$D$2619,$B155,'октябрь 2025'!$J$2:$J$2619,AB$1)</f>
        <v>0</v>
      </c>
      <c r="AC155" s="183">
        <f>SUMIFS('октябрь 2025'!$G$2:$G$2619,'октябрь 2025'!$D$2:$D$2619,$B155,'октябрь 2025'!$J$2:$J$2619,AC$1)</f>
        <v>0</v>
      </c>
      <c r="AD155" s="183">
        <f>SUMIFS('октябрь 2025'!$G$2:$G$2619,'октябрь 2025'!$D$2:$D$2619,$B155,'октябрь 2025'!$J$2:$J$2619,AD$1)</f>
        <v>0</v>
      </c>
      <c r="AE155" s="183">
        <f>SUMIFS('октябрь 2025'!$G$2:$G$2619,'октябрь 2025'!$D$2:$D$2619,$B155,'октябрь 2025'!$J$2:$J$2619,AE$1)</f>
        <v>0</v>
      </c>
      <c r="AF155" s="183">
        <f>SUMIFS('октябрь 2025'!$G$2:$G$2619,'октябрь 2025'!$D$2:$D$2619,$B155,'октябрь 2025'!$J$2:$J$2619,AF$1)</f>
        <v>0</v>
      </c>
      <c r="AG155" s="183">
        <f>SUMIFS('октябрь 2025'!$G$2:$G$2619,'октябрь 2025'!$D$2:$D$2619,$B155,'октябрь 2025'!$J$2:$J$2619,AG$1)</f>
        <v>0</v>
      </c>
      <c r="AH155" s="183">
        <f>SUMIFS('октябрь 2025'!$G$2:$G$2619,'октябрь 2025'!$D$2:$D$2619,$B155,'октябрь 2025'!$J$2:$J$2619,AH$1)</f>
        <v>0</v>
      </c>
      <c r="AI155" s="20">
        <f t="shared" si="1"/>
        <v>0</v>
      </c>
    </row>
    <row r="156" spans="2:35" ht="15" customHeight="1" x14ac:dyDescent="0.25">
      <c r="B156" s="84" t="s">
        <v>274</v>
      </c>
      <c r="C156" s="83">
        <v>200</v>
      </c>
      <c r="D156" s="183">
        <f>SUMIFS('октябрь 2025'!$G$2:$G$2619,'октябрь 2025'!$D$2:$D$2619,$B156,'октябрь 2025'!$J$2:$J$2619,D$1)</f>
        <v>0</v>
      </c>
      <c r="E156" s="183">
        <f>SUMIFS('октябрь 2025'!$G$2:$G$2619,'октябрь 2025'!$D$2:$D$2619,$B156,'октябрь 2025'!$J$2:$J$2619,E$1)</f>
        <v>0</v>
      </c>
      <c r="F156" s="183">
        <f>SUMIFS('октябрь 2025'!$G$2:$G$2619,'октябрь 2025'!$D$2:$D$2619,$B156,'октябрь 2025'!$J$2:$J$2619,F$1)</f>
        <v>0</v>
      </c>
      <c r="G156" s="183">
        <f>SUMIFS('октябрь 2025'!$G$2:$G$2619,'октябрь 2025'!$D$2:$D$2619,$B156,'октябрь 2025'!$J$2:$J$2619,G$1)</f>
        <v>0</v>
      </c>
      <c r="H156" s="183">
        <f>SUMIFS('октябрь 2025'!$G$2:$G$2619,'октябрь 2025'!$D$2:$D$2619,$B156,'октябрь 2025'!$J$2:$J$2619,H$1)</f>
        <v>0</v>
      </c>
      <c r="I156" s="183">
        <f>SUMIFS('октябрь 2025'!$G$2:$G$2619,'октябрь 2025'!$D$2:$D$2619,$B156,'октябрь 2025'!$J$2:$J$2619,I$1)</f>
        <v>0</v>
      </c>
      <c r="J156" s="183">
        <f>SUMIFS('октябрь 2025'!$G$2:$G$2619,'октябрь 2025'!$D$2:$D$2619,$B156,'октябрь 2025'!$J$2:$J$2619,J$1)</f>
        <v>0</v>
      </c>
      <c r="K156" s="183">
        <f>SUMIFS('октябрь 2025'!$G$2:$G$2619,'октябрь 2025'!$D$2:$D$2619,$B156,'октябрь 2025'!$J$2:$J$2619,K$1)</f>
        <v>0</v>
      </c>
      <c r="L156" s="183">
        <f>SUMIFS('октябрь 2025'!$G$2:$G$2619,'октябрь 2025'!$D$2:$D$2619,$B156,'октябрь 2025'!$J$2:$J$2619,L$1)</f>
        <v>0</v>
      </c>
      <c r="M156" s="183">
        <f>SUMIFS('октябрь 2025'!$G$2:$G$2619,'октябрь 2025'!$D$2:$D$2619,$B156,'октябрь 2025'!$J$2:$J$2619,M$1)</f>
        <v>0</v>
      </c>
      <c r="N156" s="183">
        <f>SUMIFS('октябрь 2025'!$G$2:$G$2619,'октябрь 2025'!$D$2:$D$2619,$B156,'октябрь 2025'!$J$2:$J$2619,N$1)</f>
        <v>0</v>
      </c>
      <c r="O156" s="183">
        <f>SUMIFS('октябрь 2025'!$G$2:$G$2619,'октябрь 2025'!$D$2:$D$2619,$B156,'октябрь 2025'!$J$2:$J$2619,O$1)</f>
        <v>0</v>
      </c>
      <c r="P156" s="183">
        <f>SUMIFS('октябрь 2025'!$G$2:$G$2619,'октябрь 2025'!$D$2:$D$2619,$B156,'октябрь 2025'!$J$2:$J$2619,P$1)</f>
        <v>0</v>
      </c>
      <c r="Q156" s="183">
        <f>SUMIFS('октябрь 2025'!$G$2:$G$2619,'октябрь 2025'!$D$2:$D$2619,$B156,'октябрь 2025'!$J$2:$J$2619,Q$1)</f>
        <v>0</v>
      </c>
      <c r="R156" s="183">
        <f>SUMIFS('октябрь 2025'!$G$2:$G$2619,'октябрь 2025'!$D$2:$D$2619,$B156,'октябрь 2025'!$J$2:$J$2619,R$1)</f>
        <v>0</v>
      </c>
      <c r="S156" s="183">
        <f>SUMIFS('октябрь 2025'!$G$2:$G$2619,'октябрь 2025'!$D$2:$D$2619,$B156,'октябрь 2025'!$J$2:$J$2619,S$1)</f>
        <v>0</v>
      </c>
      <c r="T156" s="183">
        <f>SUMIFS('октябрь 2025'!$G$2:$G$2619,'октябрь 2025'!$D$2:$D$2619,$B156,'октябрь 2025'!$J$2:$J$2619,T$1)</f>
        <v>0</v>
      </c>
      <c r="U156" s="183">
        <f>SUMIFS('октябрь 2025'!$G$2:$G$2619,'октябрь 2025'!$D$2:$D$2619,$B156,'октябрь 2025'!$J$2:$J$2619,U$1)</f>
        <v>0</v>
      </c>
      <c r="V156" s="183">
        <f>SUMIFS('октябрь 2025'!$G$2:$G$2619,'октябрь 2025'!$D$2:$D$2619,$B156,'октябрь 2025'!$J$2:$J$2619,V$1)</f>
        <v>0</v>
      </c>
      <c r="W156" s="183">
        <f>SUMIFS('октябрь 2025'!$G$2:$G$2619,'октябрь 2025'!$D$2:$D$2619,$B156,'октябрь 2025'!$J$2:$J$2619,W$1)</f>
        <v>0</v>
      </c>
      <c r="X156" s="183">
        <f>SUMIFS('октябрь 2025'!$G$2:$G$2619,'октябрь 2025'!$D$2:$D$2619,$B156,'октябрь 2025'!$J$2:$J$2619,X$1)</f>
        <v>0</v>
      </c>
      <c r="Y156" s="183">
        <f>SUMIFS('октябрь 2025'!$G$2:$G$2619,'октябрь 2025'!$D$2:$D$2619,$B156,'октябрь 2025'!$J$2:$J$2619,Y$1)</f>
        <v>0</v>
      </c>
      <c r="Z156" s="183">
        <f>SUMIFS('октябрь 2025'!$G$2:$G$2619,'октябрь 2025'!$D$2:$D$2619,$B156,'октябрь 2025'!$J$2:$J$2619,Z$1)</f>
        <v>0</v>
      </c>
      <c r="AA156" s="183">
        <f>SUMIFS('октябрь 2025'!$G$2:$G$2619,'октябрь 2025'!$D$2:$D$2619,$B156,'октябрь 2025'!$J$2:$J$2619,AA$1)</f>
        <v>0</v>
      </c>
      <c r="AB156" s="183">
        <f>SUMIFS('октябрь 2025'!$G$2:$G$2619,'октябрь 2025'!$D$2:$D$2619,$B156,'октябрь 2025'!$J$2:$J$2619,AB$1)</f>
        <v>0</v>
      </c>
      <c r="AC156" s="183">
        <f>SUMIFS('октябрь 2025'!$G$2:$G$2619,'октябрь 2025'!$D$2:$D$2619,$B156,'октябрь 2025'!$J$2:$J$2619,AC$1)</f>
        <v>0</v>
      </c>
      <c r="AD156" s="183">
        <f>SUMIFS('октябрь 2025'!$G$2:$G$2619,'октябрь 2025'!$D$2:$D$2619,$B156,'октябрь 2025'!$J$2:$J$2619,AD$1)</f>
        <v>0</v>
      </c>
      <c r="AE156" s="183">
        <f>SUMIFS('октябрь 2025'!$G$2:$G$2619,'октябрь 2025'!$D$2:$D$2619,$B156,'октябрь 2025'!$J$2:$J$2619,AE$1)</f>
        <v>0</v>
      </c>
      <c r="AF156" s="183">
        <f>SUMIFS('октябрь 2025'!$G$2:$G$2619,'октябрь 2025'!$D$2:$D$2619,$B156,'октябрь 2025'!$J$2:$J$2619,AF$1)</f>
        <v>0</v>
      </c>
      <c r="AG156" s="183">
        <f>SUMIFS('октябрь 2025'!$G$2:$G$2619,'октябрь 2025'!$D$2:$D$2619,$B156,'октябрь 2025'!$J$2:$J$2619,AG$1)</f>
        <v>0</v>
      </c>
      <c r="AH156" s="183">
        <f>SUMIFS('октябрь 2025'!$G$2:$G$2619,'октябрь 2025'!$D$2:$D$2619,$B156,'октябрь 2025'!$J$2:$J$2619,AH$1)</f>
        <v>0</v>
      </c>
      <c r="AI156" s="20">
        <f t="shared" si="1"/>
        <v>0</v>
      </c>
    </row>
    <row r="157" spans="2:35" ht="15" customHeight="1" x14ac:dyDescent="0.25">
      <c r="B157" s="84" t="s">
        <v>313</v>
      </c>
      <c r="C157" s="83">
        <v>1000</v>
      </c>
      <c r="D157" s="183">
        <f>SUMIFS('октябрь 2025'!$G$2:$G$2619,'октябрь 2025'!$D$2:$D$2619,$B157,'октябрь 2025'!$J$2:$J$2619,D$1)</f>
        <v>0</v>
      </c>
      <c r="E157" s="183">
        <f>SUMIFS('октябрь 2025'!$G$2:$G$2619,'октябрь 2025'!$D$2:$D$2619,$B157,'октябрь 2025'!$J$2:$J$2619,E$1)</f>
        <v>0</v>
      </c>
      <c r="F157" s="183">
        <f>SUMIFS('октябрь 2025'!$G$2:$G$2619,'октябрь 2025'!$D$2:$D$2619,$B157,'октябрь 2025'!$J$2:$J$2619,F$1)</f>
        <v>0</v>
      </c>
      <c r="G157" s="183">
        <f>SUMIFS('октябрь 2025'!$G$2:$G$2619,'октябрь 2025'!$D$2:$D$2619,$B157,'октябрь 2025'!$J$2:$J$2619,G$1)</f>
        <v>0</v>
      </c>
      <c r="H157" s="183">
        <f>SUMIFS('октябрь 2025'!$G$2:$G$2619,'октябрь 2025'!$D$2:$D$2619,$B157,'октябрь 2025'!$J$2:$J$2619,H$1)</f>
        <v>0</v>
      </c>
      <c r="I157" s="183">
        <f>SUMIFS('октябрь 2025'!$G$2:$G$2619,'октябрь 2025'!$D$2:$D$2619,$B157,'октябрь 2025'!$J$2:$J$2619,I$1)</f>
        <v>0</v>
      </c>
      <c r="J157" s="183">
        <f>SUMIFS('октябрь 2025'!$G$2:$G$2619,'октябрь 2025'!$D$2:$D$2619,$B157,'октябрь 2025'!$J$2:$J$2619,J$1)</f>
        <v>0</v>
      </c>
      <c r="K157" s="183">
        <f>SUMIFS('октябрь 2025'!$G$2:$G$2619,'октябрь 2025'!$D$2:$D$2619,$B157,'октябрь 2025'!$J$2:$J$2619,K$1)</f>
        <v>0</v>
      </c>
      <c r="L157" s="183">
        <f>SUMIFS('октябрь 2025'!$G$2:$G$2619,'октябрь 2025'!$D$2:$D$2619,$B157,'октябрь 2025'!$J$2:$J$2619,L$1)</f>
        <v>0</v>
      </c>
      <c r="M157" s="183">
        <f>SUMIFS('октябрь 2025'!$G$2:$G$2619,'октябрь 2025'!$D$2:$D$2619,$B157,'октябрь 2025'!$J$2:$J$2619,M$1)</f>
        <v>0</v>
      </c>
      <c r="N157" s="183">
        <f>SUMIFS('октябрь 2025'!$G$2:$G$2619,'октябрь 2025'!$D$2:$D$2619,$B157,'октябрь 2025'!$J$2:$J$2619,N$1)</f>
        <v>0</v>
      </c>
      <c r="O157" s="183">
        <f>SUMIFS('октябрь 2025'!$G$2:$G$2619,'октябрь 2025'!$D$2:$D$2619,$B157,'октябрь 2025'!$J$2:$J$2619,O$1)</f>
        <v>0</v>
      </c>
      <c r="P157" s="183">
        <f>SUMIFS('октябрь 2025'!$G$2:$G$2619,'октябрь 2025'!$D$2:$D$2619,$B157,'октябрь 2025'!$J$2:$J$2619,P$1)</f>
        <v>0</v>
      </c>
      <c r="Q157" s="183">
        <f>SUMIFS('октябрь 2025'!$G$2:$G$2619,'октябрь 2025'!$D$2:$D$2619,$B157,'октябрь 2025'!$J$2:$J$2619,Q$1)</f>
        <v>0</v>
      </c>
      <c r="R157" s="183">
        <f>SUMIFS('октябрь 2025'!$G$2:$G$2619,'октябрь 2025'!$D$2:$D$2619,$B157,'октябрь 2025'!$J$2:$J$2619,R$1)</f>
        <v>0</v>
      </c>
      <c r="S157" s="183">
        <f>SUMIFS('октябрь 2025'!$G$2:$G$2619,'октябрь 2025'!$D$2:$D$2619,$B157,'октябрь 2025'!$J$2:$J$2619,S$1)</f>
        <v>0</v>
      </c>
      <c r="T157" s="183">
        <f>SUMIFS('октябрь 2025'!$G$2:$G$2619,'октябрь 2025'!$D$2:$D$2619,$B157,'октябрь 2025'!$J$2:$J$2619,T$1)</f>
        <v>0</v>
      </c>
      <c r="U157" s="183">
        <f>SUMIFS('октябрь 2025'!$G$2:$G$2619,'октябрь 2025'!$D$2:$D$2619,$B157,'октябрь 2025'!$J$2:$J$2619,U$1)</f>
        <v>0</v>
      </c>
      <c r="V157" s="183">
        <f>SUMIFS('октябрь 2025'!$G$2:$G$2619,'октябрь 2025'!$D$2:$D$2619,$B157,'октябрь 2025'!$J$2:$J$2619,V$1)</f>
        <v>0</v>
      </c>
      <c r="W157" s="183">
        <f>SUMIFS('октябрь 2025'!$G$2:$G$2619,'октябрь 2025'!$D$2:$D$2619,$B157,'октябрь 2025'!$J$2:$J$2619,W$1)</f>
        <v>0</v>
      </c>
      <c r="X157" s="183">
        <f>SUMIFS('октябрь 2025'!$G$2:$G$2619,'октябрь 2025'!$D$2:$D$2619,$B157,'октябрь 2025'!$J$2:$J$2619,X$1)</f>
        <v>0</v>
      </c>
      <c r="Y157" s="183">
        <f>SUMIFS('октябрь 2025'!$G$2:$G$2619,'октябрь 2025'!$D$2:$D$2619,$B157,'октябрь 2025'!$J$2:$J$2619,Y$1)</f>
        <v>0</v>
      </c>
      <c r="Z157" s="183">
        <f>SUMIFS('октябрь 2025'!$G$2:$G$2619,'октябрь 2025'!$D$2:$D$2619,$B157,'октябрь 2025'!$J$2:$J$2619,Z$1)</f>
        <v>0</v>
      </c>
      <c r="AA157" s="183">
        <f>SUMIFS('октябрь 2025'!$G$2:$G$2619,'октябрь 2025'!$D$2:$D$2619,$B157,'октябрь 2025'!$J$2:$J$2619,AA$1)</f>
        <v>0</v>
      </c>
      <c r="AB157" s="183">
        <f>SUMIFS('октябрь 2025'!$G$2:$G$2619,'октябрь 2025'!$D$2:$D$2619,$B157,'октябрь 2025'!$J$2:$J$2619,AB$1)</f>
        <v>0</v>
      </c>
      <c r="AC157" s="183">
        <f>SUMIFS('октябрь 2025'!$G$2:$G$2619,'октябрь 2025'!$D$2:$D$2619,$B157,'октябрь 2025'!$J$2:$J$2619,AC$1)</f>
        <v>0</v>
      </c>
      <c r="AD157" s="183">
        <f>SUMIFS('октябрь 2025'!$G$2:$G$2619,'октябрь 2025'!$D$2:$D$2619,$B157,'октябрь 2025'!$J$2:$J$2619,AD$1)</f>
        <v>0</v>
      </c>
      <c r="AE157" s="183">
        <f>SUMIFS('октябрь 2025'!$G$2:$G$2619,'октябрь 2025'!$D$2:$D$2619,$B157,'октябрь 2025'!$J$2:$J$2619,AE$1)</f>
        <v>0</v>
      </c>
      <c r="AF157" s="183">
        <f>SUMIFS('октябрь 2025'!$G$2:$G$2619,'октябрь 2025'!$D$2:$D$2619,$B157,'октябрь 2025'!$J$2:$J$2619,AF$1)</f>
        <v>0</v>
      </c>
      <c r="AG157" s="183">
        <f>SUMIFS('октябрь 2025'!$G$2:$G$2619,'октябрь 2025'!$D$2:$D$2619,$B157,'октябрь 2025'!$J$2:$J$2619,AG$1)</f>
        <v>0</v>
      </c>
      <c r="AH157" s="183">
        <f>SUMIFS('октябрь 2025'!$G$2:$G$2619,'октябрь 2025'!$D$2:$D$2619,$B157,'октябрь 2025'!$J$2:$J$2619,AH$1)</f>
        <v>0</v>
      </c>
      <c r="AI157" s="20">
        <f t="shared" si="1"/>
        <v>0</v>
      </c>
    </row>
    <row r="158" spans="2:35" ht="15" customHeight="1" x14ac:dyDescent="0.25">
      <c r="B158" s="84" t="s">
        <v>200</v>
      </c>
      <c r="C158" s="83">
        <v>200</v>
      </c>
      <c r="D158" s="183">
        <f>SUMIFS('октябрь 2025'!$G$2:$G$2619,'октябрь 2025'!$D$2:$D$2619,$B158,'октябрь 2025'!$J$2:$J$2619,D$1)</f>
        <v>0</v>
      </c>
      <c r="E158" s="183">
        <f>SUMIFS('октябрь 2025'!$G$2:$G$2619,'октябрь 2025'!$D$2:$D$2619,$B158,'октябрь 2025'!$J$2:$J$2619,E$1)</f>
        <v>0</v>
      </c>
      <c r="F158" s="183">
        <f>SUMIFS('октябрь 2025'!$G$2:$G$2619,'октябрь 2025'!$D$2:$D$2619,$B158,'октябрь 2025'!$J$2:$J$2619,F$1)</f>
        <v>0</v>
      </c>
      <c r="G158" s="183">
        <f>SUMIFS('октябрь 2025'!$G$2:$G$2619,'октябрь 2025'!$D$2:$D$2619,$B158,'октябрь 2025'!$J$2:$J$2619,G$1)</f>
        <v>0</v>
      </c>
      <c r="H158" s="183">
        <f>SUMIFS('октябрь 2025'!$G$2:$G$2619,'октябрь 2025'!$D$2:$D$2619,$B158,'октябрь 2025'!$J$2:$J$2619,H$1)</f>
        <v>0</v>
      </c>
      <c r="I158" s="183">
        <f>SUMIFS('октябрь 2025'!$G$2:$G$2619,'октябрь 2025'!$D$2:$D$2619,$B158,'октябрь 2025'!$J$2:$J$2619,I$1)</f>
        <v>0</v>
      </c>
      <c r="J158" s="183">
        <f>SUMIFS('октябрь 2025'!$G$2:$G$2619,'октябрь 2025'!$D$2:$D$2619,$B158,'октябрь 2025'!$J$2:$J$2619,J$1)</f>
        <v>0</v>
      </c>
      <c r="K158" s="183">
        <f>SUMIFS('октябрь 2025'!$G$2:$G$2619,'октябрь 2025'!$D$2:$D$2619,$B158,'октябрь 2025'!$J$2:$J$2619,K$1)</f>
        <v>0</v>
      </c>
      <c r="L158" s="183">
        <f>SUMIFS('октябрь 2025'!$G$2:$G$2619,'октябрь 2025'!$D$2:$D$2619,$B158,'октябрь 2025'!$J$2:$J$2619,L$1)</f>
        <v>0</v>
      </c>
      <c r="M158" s="183">
        <f>SUMIFS('октябрь 2025'!$G$2:$G$2619,'октябрь 2025'!$D$2:$D$2619,$B158,'октябрь 2025'!$J$2:$J$2619,M$1)</f>
        <v>0</v>
      </c>
      <c r="N158" s="183">
        <f>SUMIFS('октябрь 2025'!$G$2:$G$2619,'октябрь 2025'!$D$2:$D$2619,$B158,'октябрь 2025'!$J$2:$J$2619,N$1)</f>
        <v>0</v>
      </c>
      <c r="O158" s="183">
        <f>SUMIFS('октябрь 2025'!$G$2:$G$2619,'октябрь 2025'!$D$2:$D$2619,$B158,'октябрь 2025'!$J$2:$J$2619,O$1)</f>
        <v>0</v>
      </c>
      <c r="P158" s="183">
        <f>SUMIFS('октябрь 2025'!$G$2:$G$2619,'октябрь 2025'!$D$2:$D$2619,$B158,'октябрь 2025'!$J$2:$J$2619,P$1)</f>
        <v>0</v>
      </c>
      <c r="Q158" s="183">
        <f>SUMIFS('октябрь 2025'!$G$2:$G$2619,'октябрь 2025'!$D$2:$D$2619,$B158,'октябрь 2025'!$J$2:$J$2619,Q$1)</f>
        <v>0</v>
      </c>
      <c r="R158" s="183">
        <f>SUMIFS('октябрь 2025'!$G$2:$G$2619,'октябрь 2025'!$D$2:$D$2619,$B158,'октябрь 2025'!$J$2:$J$2619,R$1)</f>
        <v>0</v>
      </c>
      <c r="S158" s="183">
        <f>SUMIFS('октябрь 2025'!$G$2:$G$2619,'октябрь 2025'!$D$2:$D$2619,$B158,'октябрь 2025'!$J$2:$J$2619,S$1)</f>
        <v>0</v>
      </c>
      <c r="T158" s="183">
        <f>SUMIFS('октябрь 2025'!$G$2:$G$2619,'октябрь 2025'!$D$2:$D$2619,$B158,'октябрь 2025'!$J$2:$J$2619,T$1)</f>
        <v>0</v>
      </c>
      <c r="U158" s="183">
        <f>SUMIFS('октябрь 2025'!$G$2:$G$2619,'октябрь 2025'!$D$2:$D$2619,$B158,'октябрь 2025'!$J$2:$J$2619,U$1)</f>
        <v>0</v>
      </c>
      <c r="V158" s="183">
        <f>SUMIFS('октябрь 2025'!$G$2:$G$2619,'октябрь 2025'!$D$2:$D$2619,$B158,'октябрь 2025'!$J$2:$J$2619,V$1)</f>
        <v>0</v>
      </c>
      <c r="W158" s="183">
        <f>SUMIFS('октябрь 2025'!$G$2:$G$2619,'октябрь 2025'!$D$2:$D$2619,$B158,'октябрь 2025'!$J$2:$J$2619,W$1)</f>
        <v>0</v>
      </c>
      <c r="X158" s="183">
        <f>SUMIFS('октябрь 2025'!$G$2:$G$2619,'октябрь 2025'!$D$2:$D$2619,$B158,'октябрь 2025'!$J$2:$J$2619,X$1)</f>
        <v>0</v>
      </c>
      <c r="Y158" s="183">
        <f>SUMIFS('октябрь 2025'!$G$2:$G$2619,'октябрь 2025'!$D$2:$D$2619,$B158,'октябрь 2025'!$J$2:$J$2619,Y$1)</f>
        <v>0</v>
      </c>
      <c r="Z158" s="183">
        <f>SUMIFS('октябрь 2025'!$G$2:$G$2619,'октябрь 2025'!$D$2:$D$2619,$B158,'октябрь 2025'!$J$2:$J$2619,Z$1)</f>
        <v>0</v>
      </c>
      <c r="AA158" s="183">
        <f>SUMIFS('октябрь 2025'!$G$2:$G$2619,'октябрь 2025'!$D$2:$D$2619,$B158,'октябрь 2025'!$J$2:$J$2619,AA$1)</f>
        <v>0</v>
      </c>
      <c r="AB158" s="183">
        <f>SUMIFS('октябрь 2025'!$G$2:$G$2619,'октябрь 2025'!$D$2:$D$2619,$B158,'октябрь 2025'!$J$2:$J$2619,AB$1)</f>
        <v>0</v>
      </c>
      <c r="AC158" s="183">
        <f>SUMIFS('октябрь 2025'!$G$2:$G$2619,'октябрь 2025'!$D$2:$D$2619,$B158,'октябрь 2025'!$J$2:$J$2619,AC$1)</f>
        <v>0</v>
      </c>
      <c r="AD158" s="183">
        <f>SUMIFS('октябрь 2025'!$G$2:$G$2619,'октябрь 2025'!$D$2:$D$2619,$B158,'октябрь 2025'!$J$2:$J$2619,AD$1)</f>
        <v>0</v>
      </c>
      <c r="AE158" s="183">
        <f>SUMIFS('октябрь 2025'!$G$2:$G$2619,'октябрь 2025'!$D$2:$D$2619,$B158,'октябрь 2025'!$J$2:$J$2619,AE$1)</f>
        <v>0</v>
      </c>
      <c r="AF158" s="183">
        <f>SUMIFS('октябрь 2025'!$G$2:$G$2619,'октябрь 2025'!$D$2:$D$2619,$B158,'октябрь 2025'!$J$2:$J$2619,AF$1)</f>
        <v>0</v>
      </c>
      <c r="AG158" s="183">
        <f>SUMIFS('октябрь 2025'!$G$2:$G$2619,'октябрь 2025'!$D$2:$D$2619,$B158,'октябрь 2025'!$J$2:$J$2619,AG$1)</f>
        <v>0</v>
      </c>
      <c r="AH158" s="183">
        <f>SUMIFS('октябрь 2025'!$G$2:$G$2619,'октябрь 2025'!$D$2:$D$2619,$B158,'октябрь 2025'!$J$2:$J$2619,AH$1)</f>
        <v>0</v>
      </c>
      <c r="AI158" s="20">
        <f t="shared" si="1"/>
        <v>0</v>
      </c>
    </row>
    <row r="159" spans="2:35" ht="15" customHeight="1" x14ac:dyDescent="0.25">
      <c r="B159" s="84" t="s">
        <v>275</v>
      </c>
      <c r="C159" s="83">
        <v>200</v>
      </c>
      <c r="D159" s="183">
        <f>SUMIFS('октябрь 2025'!$G$2:$G$2619,'октябрь 2025'!$D$2:$D$2619,$B159,'октябрь 2025'!$J$2:$J$2619,D$1)</f>
        <v>0</v>
      </c>
      <c r="E159" s="183">
        <f>SUMIFS('октябрь 2025'!$G$2:$G$2619,'октябрь 2025'!$D$2:$D$2619,$B159,'октябрь 2025'!$J$2:$J$2619,E$1)</f>
        <v>0</v>
      </c>
      <c r="F159" s="183">
        <f>SUMIFS('октябрь 2025'!$G$2:$G$2619,'октябрь 2025'!$D$2:$D$2619,$B159,'октябрь 2025'!$J$2:$J$2619,F$1)</f>
        <v>0</v>
      </c>
      <c r="G159" s="183">
        <f>SUMIFS('октябрь 2025'!$G$2:$G$2619,'октябрь 2025'!$D$2:$D$2619,$B159,'октябрь 2025'!$J$2:$J$2619,G$1)</f>
        <v>0</v>
      </c>
      <c r="H159" s="183">
        <f>SUMIFS('октябрь 2025'!$G$2:$G$2619,'октябрь 2025'!$D$2:$D$2619,$B159,'октябрь 2025'!$J$2:$J$2619,H$1)</f>
        <v>0</v>
      </c>
      <c r="I159" s="183">
        <f>SUMIFS('октябрь 2025'!$G$2:$G$2619,'октябрь 2025'!$D$2:$D$2619,$B159,'октябрь 2025'!$J$2:$J$2619,I$1)</f>
        <v>0</v>
      </c>
      <c r="J159" s="183">
        <f>SUMIFS('октябрь 2025'!$G$2:$G$2619,'октябрь 2025'!$D$2:$D$2619,$B159,'октябрь 2025'!$J$2:$J$2619,J$1)</f>
        <v>0</v>
      </c>
      <c r="K159" s="183">
        <f>SUMIFS('октябрь 2025'!$G$2:$G$2619,'октябрь 2025'!$D$2:$D$2619,$B159,'октябрь 2025'!$J$2:$J$2619,K$1)</f>
        <v>0</v>
      </c>
      <c r="L159" s="183">
        <f>SUMIFS('октябрь 2025'!$G$2:$G$2619,'октябрь 2025'!$D$2:$D$2619,$B159,'октябрь 2025'!$J$2:$J$2619,L$1)</f>
        <v>0</v>
      </c>
      <c r="M159" s="183">
        <f>SUMIFS('октябрь 2025'!$G$2:$G$2619,'октябрь 2025'!$D$2:$D$2619,$B159,'октябрь 2025'!$J$2:$J$2619,M$1)</f>
        <v>0</v>
      </c>
      <c r="N159" s="183">
        <f>SUMIFS('октябрь 2025'!$G$2:$G$2619,'октябрь 2025'!$D$2:$D$2619,$B159,'октябрь 2025'!$J$2:$J$2619,N$1)</f>
        <v>0</v>
      </c>
      <c r="O159" s="183">
        <f>SUMIFS('октябрь 2025'!$G$2:$G$2619,'октябрь 2025'!$D$2:$D$2619,$B159,'октябрь 2025'!$J$2:$J$2619,O$1)</f>
        <v>0</v>
      </c>
      <c r="P159" s="183">
        <f>SUMIFS('октябрь 2025'!$G$2:$G$2619,'октябрь 2025'!$D$2:$D$2619,$B159,'октябрь 2025'!$J$2:$J$2619,P$1)</f>
        <v>0</v>
      </c>
      <c r="Q159" s="183">
        <f>SUMIFS('октябрь 2025'!$G$2:$G$2619,'октябрь 2025'!$D$2:$D$2619,$B159,'октябрь 2025'!$J$2:$J$2619,Q$1)</f>
        <v>0</v>
      </c>
      <c r="R159" s="183">
        <f>SUMIFS('октябрь 2025'!$G$2:$G$2619,'октябрь 2025'!$D$2:$D$2619,$B159,'октябрь 2025'!$J$2:$J$2619,R$1)</f>
        <v>0</v>
      </c>
      <c r="S159" s="183">
        <f>SUMIFS('октябрь 2025'!$G$2:$G$2619,'октябрь 2025'!$D$2:$D$2619,$B159,'октябрь 2025'!$J$2:$J$2619,S$1)</f>
        <v>0</v>
      </c>
      <c r="T159" s="183">
        <f>SUMIFS('октябрь 2025'!$G$2:$G$2619,'октябрь 2025'!$D$2:$D$2619,$B159,'октябрь 2025'!$J$2:$J$2619,T$1)</f>
        <v>0</v>
      </c>
      <c r="U159" s="183">
        <f>SUMIFS('октябрь 2025'!$G$2:$G$2619,'октябрь 2025'!$D$2:$D$2619,$B159,'октябрь 2025'!$J$2:$J$2619,U$1)</f>
        <v>0</v>
      </c>
      <c r="V159" s="183">
        <f>SUMIFS('октябрь 2025'!$G$2:$G$2619,'октябрь 2025'!$D$2:$D$2619,$B159,'октябрь 2025'!$J$2:$J$2619,V$1)</f>
        <v>0</v>
      </c>
      <c r="W159" s="183">
        <f>SUMIFS('октябрь 2025'!$G$2:$G$2619,'октябрь 2025'!$D$2:$D$2619,$B159,'октябрь 2025'!$J$2:$J$2619,W$1)</f>
        <v>0</v>
      </c>
      <c r="X159" s="183">
        <f>SUMIFS('октябрь 2025'!$G$2:$G$2619,'октябрь 2025'!$D$2:$D$2619,$B159,'октябрь 2025'!$J$2:$J$2619,X$1)</f>
        <v>0</v>
      </c>
      <c r="Y159" s="183">
        <f>SUMIFS('октябрь 2025'!$G$2:$G$2619,'октябрь 2025'!$D$2:$D$2619,$B159,'октябрь 2025'!$J$2:$J$2619,Y$1)</f>
        <v>0</v>
      </c>
      <c r="Z159" s="183">
        <f>SUMIFS('октябрь 2025'!$G$2:$G$2619,'октябрь 2025'!$D$2:$D$2619,$B159,'октябрь 2025'!$J$2:$J$2619,Z$1)</f>
        <v>0</v>
      </c>
      <c r="AA159" s="183">
        <f>SUMIFS('октябрь 2025'!$G$2:$G$2619,'октябрь 2025'!$D$2:$D$2619,$B159,'октябрь 2025'!$J$2:$J$2619,AA$1)</f>
        <v>0</v>
      </c>
      <c r="AB159" s="183">
        <f>SUMIFS('октябрь 2025'!$G$2:$G$2619,'октябрь 2025'!$D$2:$D$2619,$B159,'октябрь 2025'!$J$2:$J$2619,AB$1)</f>
        <v>0</v>
      </c>
      <c r="AC159" s="183">
        <f>SUMIFS('октябрь 2025'!$G$2:$G$2619,'октябрь 2025'!$D$2:$D$2619,$B159,'октябрь 2025'!$J$2:$J$2619,AC$1)</f>
        <v>0</v>
      </c>
      <c r="AD159" s="183">
        <f>SUMIFS('октябрь 2025'!$G$2:$G$2619,'октябрь 2025'!$D$2:$D$2619,$B159,'октябрь 2025'!$J$2:$J$2619,AD$1)</f>
        <v>0</v>
      </c>
      <c r="AE159" s="183">
        <f>SUMIFS('октябрь 2025'!$G$2:$G$2619,'октябрь 2025'!$D$2:$D$2619,$B159,'октябрь 2025'!$J$2:$J$2619,AE$1)</f>
        <v>0</v>
      </c>
      <c r="AF159" s="183">
        <f>SUMIFS('октябрь 2025'!$G$2:$G$2619,'октябрь 2025'!$D$2:$D$2619,$B159,'октябрь 2025'!$J$2:$J$2619,AF$1)</f>
        <v>0</v>
      </c>
      <c r="AG159" s="183">
        <f>SUMIFS('октябрь 2025'!$G$2:$G$2619,'октябрь 2025'!$D$2:$D$2619,$B159,'октябрь 2025'!$J$2:$J$2619,AG$1)</f>
        <v>0</v>
      </c>
      <c r="AH159" s="183">
        <f>SUMIFS('октябрь 2025'!$G$2:$G$2619,'октябрь 2025'!$D$2:$D$2619,$B159,'октябрь 2025'!$J$2:$J$2619,AH$1)</f>
        <v>0</v>
      </c>
      <c r="AI159" s="20">
        <f t="shared" si="1"/>
        <v>0</v>
      </c>
    </row>
    <row r="160" spans="2:35" ht="15" customHeight="1" x14ac:dyDescent="0.25">
      <c r="B160" s="84" t="s">
        <v>204</v>
      </c>
      <c r="C160" s="86">
        <v>200</v>
      </c>
      <c r="D160" s="183">
        <f>SUMIFS('октябрь 2025'!$G$2:$G$2619,'октябрь 2025'!$D$2:$D$2619,$B160,'октябрь 2025'!$J$2:$J$2619,D$1)</f>
        <v>0</v>
      </c>
      <c r="E160" s="183">
        <f>SUMIFS('октябрь 2025'!$G$2:$G$2619,'октябрь 2025'!$D$2:$D$2619,$B160,'октябрь 2025'!$J$2:$J$2619,E$1)</f>
        <v>0</v>
      </c>
      <c r="F160" s="183">
        <f>SUMIFS('октябрь 2025'!$G$2:$G$2619,'октябрь 2025'!$D$2:$D$2619,$B160,'октябрь 2025'!$J$2:$J$2619,F$1)</f>
        <v>0</v>
      </c>
      <c r="G160" s="183">
        <f>SUMIFS('октябрь 2025'!$G$2:$G$2619,'октябрь 2025'!$D$2:$D$2619,$B160,'октябрь 2025'!$J$2:$J$2619,G$1)</f>
        <v>0</v>
      </c>
      <c r="H160" s="183">
        <f>SUMIFS('октябрь 2025'!$G$2:$G$2619,'октябрь 2025'!$D$2:$D$2619,$B160,'октябрь 2025'!$J$2:$J$2619,H$1)</f>
        <v>0</v>
      </c>
      <c r="I160" s="183">
        <f>SUMIFS('октябрь 2025'!$G$2:$G$2619,'октябрь 2025'!$D$2:$D$2619,$B160,'октябрь 2025'!$J$2:$J$2619,I$1)</f>
        <v>0</v>
      </c>
      <c r="J160" s="183">
        <f>SUMIFS('октябрь 2025'!$G$2:$G$2619,'октябрь 2025'!$D$2:$D$2619,$B160,'октябрь 2025'!$J$2:$J$2619,J$1)</f>
        <v>0</v>
      </c>
      <c r="K160" s="183">
        <f>SUMIFS('октябрь 2025'!$G$2:$G$2619,'октябрь 2025'!$D$2:$D$2619,$B160,'октябрь 2025'!$J$2:$J$2619,K$1)</f>
        <v>0</v>
      </c>
      <c r="L160" s="183">
        <f>SUMIFS('октябрь 2025'!$G$2:$G$2619,'октябрь 2025'!$D$2:$D$2619,$B160,'октябрь 2025'!$J$2:$J$2619,L$1)</f>
        <v>0</v>
      </c>
      <c r="M160" s="183">
        <f>SUMIFS('октябрь 2025'!$G$2:$G$2619,'октябрь 2025'!$D$2:$D$2619,$B160,'октябрь 2025'!$J$2:$J$2619,M$1)</f>
        <v>0</v>
      </c>
      <c r="N160" s="183">
        <f>SUMIFS('октябрь 2025'!$G$2:$G$2619,'октябрь 2025'!$D$2:$D$2619,$B160,'октябрь 2025'!$J$2:$J$2619,N$1)</f>
        <v>0</v>
      </c>
      <c r="O160" s="183">
        <f>SUMIFS('октябрь 2025'!$G$2:$G$2619,'октябрь 2025'!$D$2:$D$2619,$B160,'октябрь 2025'!$J$2:$J$2619,O$1)</f>
        <v>0</v>
      </c>
      <c r="P160" s="183">
        <f>SUMIFS('октябрь 2025'!$G$2:$G$2619,'октябрь 2025'!$D$2:$D$2619,$B160,'октябрь 2025'!$J$2:$J$2619,P$1)</f>
        <v>0</v>
      </c>
      <c r="Q160" s="183">
        <f>SUMIFS('октябрь 2025'!$G$2:$G$2619,'октябрь 2025'!$D$2:$D$2619,$B160,'октябрь 2025'!$J$2:$J$2619,Q$1)</f>
        <v>0</v>
      </c>
      <c r="R160" s="183">
        <f>SUMIFS('октябрь 2025'!$G$2:$G$2619,'октябрь 2025'!$D$2:$D$2619,$B160,'октябрь 2025'!$J$2:$J$2619,R$1)</f>
        <v>0</v>
      </c>
      <c r="S160" s="183">
        <f>SUMIFS('октябрь 2025'!$G$2:$G$2619,'октябрь 2025'!$D$2:$D$2619,$B160,'октябрь 2025'!$J$2:$J$2619,S$1)</f>
        <v>0</v>
      </c>
      <c r="T160" s="183">
        <f>SUMIFS('октябрь 2025'!$G$2:$G$2619,'октябрь 2025'!$D$2:$D$2619,$B160,'октябрь 2025'!$J$2:$J$2619,T$1)</f>
        <v>0</v>
      </c>
      <c r="U160" s="183">
        <f>SUMIFS('октябрь 2025'!$G$2:$G$2619,'октябрь 2025'!$D$2:$D$2619,$B160,'октябрь 2025'!$J$2:$J$2619,U$1)</f>
        <v>0</v>
      </c>
      <c r="V160" s="183">
        <f>SUMIFS('октябрь 2025'!$G$2:$G$2619,'октябрь 2025'!$D$2:$D$2619,$B160,'октябрь 2025'!$J$2:$J$2619,V$1)</f>
        <v>0</v>
      </c>
      <c r="W160" s="183">
        <f>SUMIFS('октябрь 2025'!$G$2:$G$2619,'октябрь 2025'!$D$2:$D$2619,$B160,'октябрь 2025'!$J$2:$J$2619,W$1)</f>
        <v>0</v>
      </c>
      <c r="X160" s="183">
        <f>SUMIFS('октябрь 2025'!$G$2:$G$2619,'октябрь 2025'!$D$2:$D$2619,$B160,'октябрь 2025'!$J$2:$J$2619,X$1)</f>
        <v>0</v>
      </c>
      <c r="Y160" s="183">
        <f>SUMIFS('октябрь 2025'!$G$2:$G$2619,'октябрь 2025'!$D$2:$D$2619,$B160,'октябрь 2025'!$J$2:$J$2619,Y$1)</f>
        <v>0</v>
      </c>
      <c r="Z160" s="183">
        <f>SUMIFS('октябрь 2025'!$G$2:$G$2619,'октябрь 2025'!$D$2:$D$2619,$B160,'октябрь 2025'!$J$2:$J$2619,Z$1)</f>
        <v>0</v>
      </c>
      <c r="AA160" s="183">
        <f>SUMIFS('октябрь 2025'!$G$2:$G$2619,'октябрь 2025'!$D$2:$D$2619,$B160,'октябрь 2025'!$J$2:$J$2619,AA$1)</f>
        <v>0</v>
      </c>
      <c r="AB160" s="183">
        <f>SUMIFS('октябрь 2025'!$G$2:$G$2619,'октябрь 2025'!$D$2:$D$2619,$B160,'октябрь 2025'!$J$2:$J$2619,AB$1)</f>
        <v>0</v>
      </c>
      <c r="AC160" s="183">
        <f>SUMIFS('октябрь 2025'!$G$2:$G$2619,'октябрь 2025'!$D$2:$D$2619,$B160,'октябрь 2025'!$J$2:$J$2619,AC$1)</f>
        <v>0</v>
      </c>
      <c r="AD160" s="183">
        <f>SUMIFS('октябрь 2025'!$G$2:$G$2619,'октябрь 2025'!$D$2:$D$2619,$B160,'октябрь 2025'!$J$2:$J$2619,AD$1)</f>
        <v>0</v>
      </c>
      <c r="AE160" s="183">
        <f>SUMIFS('октябрь 2025'!$G$2:$G$2619,'октябрь 2025'!$D$2:$D$2619,$B160,'октябрь 2025'!$J$2:$J$2619,AE$1)</f>
        <v>0</v>
      </c>
      <c r="AF160" s="183">
        <f>SUMIFS('октябрь 2025'!$G$2:$G$2619,'октябрь 2025'!$D$2:$D$2619,$B160,'октябрь 2025'!$J$2:$J$2619,AF$1)</f>
        <v>0</v>
      </c>
      <c r="AG160" s="183">
        <f>SUMIFS('октябрь 2025'!$G$2:$G$2619,'октябрь 2025'!$D$2:$D$2619,$B160,'октябрь 2025'!$J$2:$J$2619,AG$1)</f>
        <v>0</v>
      </c>
      <c r="AH160" s="183">
        <f>SUMIFS('октябрь 2025'!$G$2:$G$2619,'октябрь 2025'!$D$2:$D$2619,$B160,'октябрь 2025'!$J$2:$J$2619,AH$1)</f>
        <v>0</v>
      </c>
      <c r="AI160" s="20">
        <f t="shared" si="1"/>
        <v>0</v>
      </c>
    </row>
    <row r="161" spans="2:35" ht="15" customHeight="1" x14ac:dyDescent="0.25">
      <c r="B161" s="84" t="s">
        <v>290</v>
      </c>
      <c r="C161" s="86">
        <v>200</v>
      </c>
      <c r="D161" s="183">
        <f>SUMIFS('октябрь 2025'!$G$2:$G$2619,'октябрь 2025'!$D$2:$D$2619,$B161,'октябрь 2025'!$J$2:$J$2619,D$1)</f>
        <v>0</v>
      </c>
      <c r="E161" s="183">
        <f>SUMIFS('октябрь 2025'!$G$2:$G$2619,'октябрь 2025'!$D$2:$D$2619,$B161,'октябрь 2025'!$J$2:$J$2619,E$1)</f>
        <v>0</v>
      </c>
      <c r="F161" s="183">
        <f>SUMIFS('октябрь 2025'!$G$2:$G$2619,'октябрь 2025'!$D$2:$D$2619,$B161,'октябрь 2025'!$J$2:$J$2619,F$1)</f>
        <v>0</v>
      </c>
      <c r="G161" s="183">
        <f>SUMIFS('октябрь 2025'!$G$2:$G$2619,'октябрь 2025'!$D$2:$D$2619,$B161,'октябрь 2025'!$J$2:$J$2619,G$1)</f>
        <v>0</v>
      </c>
      <c r="H161" s="183">
        <f>SUMIFS('октябрь 2025'!$G$2:$G$2619,'октябрь 2025'!$D$2:$D$2619,$B161,'октябрь 2025'!$J$2:$J$2619,H$1)</f>
        <v>0</v>
      </c>
      <c r="I161" s="183">
        <f>SUMIFS('октябрь 2025'!$G$2:$G$2619,'октябрь 2025'!$D$2:$D$2619,$B161,'октябрь 2025'!$J$2:$J$2619,I$1)</f>
        <v>0</v>
      </c>
      <c r="J161" s="183">
        <f>SUMIFS('октябрь 2025'!$G$2:$G$2619,'октябрь 2025'!$D$2:$D$2619,$B161,'октябрь 2025'!$J$2:$J$2619,J$1)</f>
        <v>0</v>
      </c>
      <c r="K161" s="183">
        <f>SUMIFS('октябрь 2025'!$G$2:$G$2619,'октябрь 2025'!$D$2:$D$2619,$B161,'октябрь 2025'!$J$2:$J$2619,K$1)</f>
        <v>0</v>
      </c>
      <c r="L161" s="183">
        <f>SUMIFS('октябрь 2025'!$G$2:$G$2619,'октябрь 2025'!$D$2:$D$2619,$B161,'октябрь 2025'!$J$2:$J$2619,L$1)</f>
        <v>0</v>
      </c>
      <c r="M161" s="183">
        <f>SUMIFS('октябрь 2025'!$G$2:$G$2619,'октябрь 2025'!$D$2:$D$2619,$B161,'октябрь 2025'!$J$2:$J$2619,M$1)</f>
        <v>0</v>
      </c>
      <c r="N161" s="183">
        <f>SUMIFS('октябрь 2025'!$G$2:$G$2619,'октябрь 2025'!$D$2:$D$2619,$B161,'октябрь 2025'!$J$2:$J$2619,N$1)</f>
        <v>0</v>
      </c>
      <c r="O161" s="183">
        <f>SUMIFS('октябрь 2025'!$G$2:$G$2619,'октябрь 2025'!$D$2:$D$2619,$B161,'октябрь 2025'!$J$2:$J$2619,O$1)</f>
        <v>0</v>
      </c>
      <c r="P161" s="183">
        <f>SUMIFS('октябрь 2025'!$G$2:$G$2619,'октябрь 2025'!$D$2:$D$2619,$B161,'октябрь 2025'!$J$2:$J$2619,P$1)</f>
        <v>0</v>
      </c>
      <c r="Q161" s="183">
        <f>SUMIFS('октябрь 2025'!$G$2:$G$2619,'октябрь 2025'!$D$2:$D$2619,$B161,'октябрь 2025'!$J$2:$J$2619,Q$1)</f>
        <v>0</v>
      </c>
      <c r="R161" s="183">
        <f>SUMIFS('октябрь 2025'!$G$2:$G$2619,'октябрь 2025'!$D$2:$D$2619,$B161,'октябрь 2025'!$J$2:$J$2619,R$1)</f>
        <v>0</v>
      </c>
      <c r="S161" s="183">
        <f>SUMIFS('октябрь 2025'!$G$2:$G$2619,'октябрь 2025'!$D$2:$D$2619,$B161,'октябрь 2025'!$J$2:$J$2619,S$1)</f>
        <v>0</v>
      </c>
      <c r="T161" s="183">
        <f>SUMIFS('октябрь 2025'!$G$2:$G$2619,'октябрь 2025'!$D$2:$D$2619,$B161,'октябрь 2025'!$J$2:$J$2619,T$1)</f>
        <v>0</v>
      </c>
      <c r="U161" s="183">
        <f>SUMIFS('октябрь 2025'!$G$2:$G$2619,'октябрь 2025'!$D$2:$D$2619,$B161,'октябрь 2025'!$J$2:$J$2619,U$1)</f>
        <v>0</v>
      </c>
      <c r="V161" s="183">
        <f>SUMIFS('октябрь 2025'!$G$2:$G$2619,'октябрь 2025'!$D$2:$D$2619,$B161,'октябрь 2025'!$J$2:$J$2619,V$1)</f>
        <v>0</v>
      </c>
      <c r="W161" s="183">
        <f>SUMIFS('октябрь 2025'!$G$2:$G$2619,'октябрь 2025'!$D$2:$D$2619,$B161,'октябрь 2025'!$J$2:$J$2619,W$1)</f>
        <v>0</v>
      </c>
      <c r="X161" s="183">
        <f>SUMIFS('октябрь 2025'!$G$2:$G$2619,'октябрь 2025'!$D$2:$D$2619,$B161,'октябрь 2025'!$J$2:$J$2619,X$1)</f>
        <v>0</v>
      </c>
      <c r="Y161" s="183">
        <f>SUMIFS('октябрь 2025'!$G$2:$G$2619,'октябрь 2025'!$D$2:$D$2619,$B161,'октябрь 2025'!$J$2:$J$2619,Y$1)</f>
        <v>0</v>
      </c>
      <c r="Z161" s="183">
        <f>SUMIFS('октябрь 2025'!$G$2:$G$2619,'октябрь 2025'!$D$2:$D$2619,$B161,'октябрь 2025'!$J$2:$J$2619,Z$1)</f>
        <v>0</v>
      </c>
      <c r="AA161" s="183">
        <f>SUMIFS('октябрь 2025'!$G$2:$G$2619,'октябрь 2025'!$D$2:$D$2619,$B161,'октябрь 2025'!$J$2:$J$2619,AA$1)</f>
        <v>0</v>
      </c>
      <c r="AB161" s="183">
        <f>SUMIFS('октябрь 2025'!$G$2:$G$2619,'октябрь 2025'!$D$2:$D$2619,$B161,'октябрь 2025'!$J$2:$J$2619,AB$1)</f>
        <v>0</v>
      </c>
      <c r="AC161" s="183">
        <f>SUMIFS('октябрь 2025'!$G$2:$G$2619,'октябрь 2025'!$D$2:$D$2619,$B161,'октябрь 2025'!$J$2:$J$2619,AC$1)</f>
        <v>0</v>
      </c>
      <c r="AD161" s="183">
        <f>SUMIFS('октябрь 2025'!$G$2:$G$2619,'октябрь 2025'!$D$2:$D$2619,$B161,'октябрь 2025'!$J$2:$J$2619,AD$1)</f>
        <v>0</v>
      </c>
      <c r="AE161" s="183">
        <f>SUMIFS('октябрь 2025'!$G$2:$G$2619,'октябрь 2025'!$D$2:$D$2619,$B161,'октябрь 2025'!$J$2:$J$2619,AE$1)</f>
        <v>0</v>
      </c>
      <c r="AF161" s="183">
        <f>SUMIFS('октябрь 2025'!$G$2:$G$2619,'октябрь 2025'!$D$2:$D$2619,$B161,'октябрь 2025'!$J$2:$J$2619,AF$1)</f>
        <v>0</v>
      </c>
      <c r="AG161" s="183">
        <f>SUMIFS('октябрь 2025'!$G$2:$G$2619,'октябрь 2025'!$D$2:$D$2619,$B161,'октябрь 2025'!$J$2:$J$2619,AG$1)</f>
        <v>0</v>
      </c>
      <c r="AH161" s="183">
        <f>SUMIFS('октябрь 2025'!$G$2:$G$2619,'октябрь 2025'!$D$2:$D$2619,$B161,'октябрь 2025'!$J$2:$J$2619,AH$1)</f>
        <v>0</v>
      </c>
      <c r="AI161" s="20">
        <f t="shared" si="1"/>
        <v>0</v>
      </c>
    </row>
    <row r="162" spans="2:35" ht="15" customHeight="1" x14ac:dyDescent="0.25">
      <c r="B162" s="88" t="s">
        <v>177</v>
      </c>
      <c r="C162" s="86">
        <v>25</v>
      </c>
      <c r="D162" s="183">
        <f>SUMIFS('октябрь 2025'!$G$2:$G$2619,'октябрь 2025'!$D$2:$D$2619,$B162,'октябрь 2025'!$J$2:$J$2619,D$1)</f>
        <v>0</v>
      </c>
      <c r="E162" s="183">
        <f>SUMIFS('октябрь 2025'!$G$2:$G$2619,'октябрь 2025'!$D$2:$D$2619,$B162,'октябрь 2025'!$J$2:$J$2619,E$1)</f>
        <v>0</v>
      </c>
      <c r="F162" s="183">
        <f>SUMIFS('октябрь 2025'!$G$2:$G$2619,'октябрь 2025'!$D$2:$D$2619,$B162,'октябрь 2025'!$J$2:$J$2619,F$1)</f>
        <v>0</v>
      </c>
      <c r="G162" s="183">
        <f>SUMIFS('октябрь 2025'!$G$2:$G$2619,'октябрь 2025'!$D$2:$D$2619,$B162,'октябрь 2025'!$J$2:$J$2619,G$1)</f>
        <v>0</v>
      </c>
      <c r="H162" s="183">
        <f>SUMIFS('октябрь 2025'!$G$2:$G$2619,'октябрь 2025'!$D$2:$D$2619,$B162,'октябрь 2025'!$J$2:$J$2619,H$1)</f>
        <v>0</v>
      </c>
      <c r="I162" s="183">
        <f>SUMIFS('октябрь 2025'!$G$2:$G$2619,'октябрь 2025'!$D$2:$D$2619,$B162,'октябрь 2025'!$J$2:$J$2619,I$1)</f>
        <v>0</v>
      </c>
      <c r="J162" s="183">
        <f>SUMIFS('октябрь 2025'!$G$2:$G$2619,'октябрь 2025'!$D$2:$D$2619,$B162,'октябрь 2025'!$J$2:$J$2619,J$1)</f>
        <v>0</v>
      </c>
      <c r="K162" s="183">
        <f>SUMIFS('октябрь 2025'!$G$2:$G$2619,'октябрь 2025'!$D$2:$D$2619,$B162,'октябрь 2025'!$J$2:$J$2619,K$1)</f>
        <v>0</v>
      </c>
      <c r="L162" s="183">
        <f>SUMIFS('октябрь 2025'!$G$2:$G$2619,'октябрь 2025'!$D$2:$D$2619,$B162,'октябрь 2025'!$J$2:$J$2619,L$1)</f>
        <v>0</v>
      </c>
      <c r="M162" s="183">
        <f>SUMIFS('октябрь 2025'!$G$2:$G$2619,'октябрь 2025'!$D$2:$D$2619,$B162,'октябрь 2025'!$J$2:$J$2619,M$1)</f>
        <v>0</v>
      </c>
      <c r="N162" s="183">
        <f>SUMIFS('октябрь 2025'!$G$2:$G$2619,'октябрь 2025'!$D$2:$D$2619,$B162,'октябрь 2025'!$J$2:$J$2619,N$1)</f>
        <v>0</v>
      </c>
      <c r="O162" s="183">
        <f>SUMIFS('октябрь 2025'!$G$2:$G$2619,'октябрь 2025'!$D$2:$D$2619,$B162,'октябрь 2025'!$J$2:$J$2619,O$1)</f>
        <v>0</v>
      </c>
      <c r="P162" s="183">
        <f>SUMIFS('октябрь 2025'!$G$2:$G$2619,'октябрь 2025'!$D$2:$D$2619,$B162,'октябрь 2025'!$J$2:$J$2619,P$1)</f>
        <v>0</v>
      </c>
      <c r="Q162" s="183">
        <f>SUMIFS('октябрь 2025'!$G$2:$G$2619,'октябрь 2025'!$D$2:$D$2619,$B162,'октябрь 2025'!$J$2:$J$2619,Q$1)</f>
        <v>0</v>
      </c>
      <c r="R162" s="183">
        <f>SUMIFS('октябрь 2025'!$G$2:$G$2619,'октябрь 2025'!$D$2:$D$2619,$B162,'октябрь 2025'!$J$2:$J$2619,R$1)</f>
        <v>0</v>
      </c>
      <c r="S162" s="183">
        <f>SUMIFS('октябрь 2025'!$G$2:$G$2619,'октябрь 2025'!$D$2:$D$2619,$B162,'октябрь 2025'!$J$2:$J$2619,S$1)</f>
        <v>0</v>
      </c>
      <c r="T162" s="183">
        <f>SUMIFS('октябрь 2025'!$G$2:$G$2619,'октябрь 2025'!$D$2:$D$2619,$B162,'октябрь 2025'!$J$2:$J$2619,T$1)</f>
        <v>0</v>
      </c>
      <c r="U162" s="183">
        <f>SUMIFS('октябрь 2025'!$G$2:$G$2619,'октябрь 2025'!$D$2:$D$2619,$B162,'октябрь 2025'!$J$2:$J$2619,U$1)</f>
        <v>0</v>
      </c>
      <c r="V162" s="183">
        <f>SUMIFS('октябрь 2025'!$G$2:$G$2619,'октябрь 2025'!$D$2:$D$2619,$B162,'октябрь 2025'!$J$2:$J$2619,V$1)</f>
        <v>0</v>
      </c>
      <c r="W162" s="183">
        <f>SUMIFS('октябрь 2025'!$G$2:$G$2619,'октябрь 2025'!$D$2:$D$2619,$B162,'октябрь 2025'!$J$2:$J$2619,W$1)</f>
        <v>0</v>
      </c>
      <c r="X162" s="183">
        <f>SUMIFS('октябрь 2025'!$G$2:$G$2619,'октябрь 2025'!$D$2:$D$2619,$B162,'октябрь 2025'!$J$2:$J$2619,X$1)</f>
        <v>0</v>
      </c>
      <c r="Y162" s="183">
        <f>SUMIFS('октябрь 2025'!$G$2:$G$2619,'октябрь 2025'!$D$2:$D$2619,$B162,'октябрь 2025'!$J$2:$J$2619,Y$1)</f>
        <v>0</v>
      </c>
      <c r="Z162" s="183">
        <f>SUMIFS('октябрь 2025'!$G$2:$G$2619,'октябрь 2025'!$D$2:$D$2619,$B162,'октябрь 2025'!$J$2:$J$2619,Z$1)</f>
        <v>0</v>
      </c>
      <c r="AA162" s="183">
        <f>SUMIFS('октябрь 2025'!$G$2:$G$2619,'октябрь 2025'!$D$2:$D$2619,$B162,'октябрь 2025'!$J$2:$J$2619,AA$1)</f>
        <v>0</v>
      </c>
      <c r="AB162" s="183">
        <f>SUMIFS('октябрь 2025'!$G$2:$G$2619,'октябрь 2025'!$D$2:$D$2619,$B162,'октябрь 2025'!$J$2:$J$2619,AB$1)</f>
        <v>0</v>
      </c>
      <c r="AC162" s="183">
        <f>SUMIFS('октябрь 2025'!$G$2:$G$2619,'октябрь 2025'!$D$2:$D$2619,$B162,'октябрь 2025'!$J$2:$J$2619,AC$1)</f>
        <v>0</v>
      </c>
      <c r="AD162" s="183">
        <f>SUMIFS('октябрь 2025'!$G$2:$G$2619,'октябрь 2025'!$D$2:$D$2619,$B162,'октябрь 2025'!$J$2:$J$2619,AD$1)</f>
        <v>0</v>
      </c>
      <c r="AE162" s="183">
        <f>SUMIFS('октябрь 2025'!$G$2:$G$2619,'октябрь 2025'!$D$2:$D$2619,$B162,'октябрь 2025'!$J$2:$J$2619,AE$1)</f>
        <v>0</v>
      </c>
      <c r="AF162" s="183">
        <f>SUMIFS('октябрь 2025'!$G$2:$G$2619,'октябрь 2025'!$D$2:$D$2619,$B162,'октябрь 2025'!$J$2:$J$2619,AF$1)</f>
        <v>0</v>
      </c>
      <c r="AG162" s="183">
        <f>SUMIFS('октябрь 2025'!$G$2:$G$2619,'октябрь 2025'!$D$2:$D$2619,$B162,'октябрь 2025'!$J$2:$J$2619,AG$1)</f>
        <v>0</v>
      </c>
      <c r="AH162" s="183">
        <f>SUMIFS('октябрь 2025'!$G$2:$G$2619,'октябрь 2025'!$D$2:$D$2619,$B162,'октябрь 2025'!$J$2:$J$2619,AH$1)</f>
        <v>0</v>
      </c>
      <c r="AI162" s="20">
        <f t="shared" si="1"/>
        <v>0</v>
      </c>
    </row>
    <row r="163" spans="2:35" ht="15" customHeight="1" x14ac:dyDescent="0.25">
      <c r="B163" s="84" t="s">
        <v>175</v>
      </c>
      <c r="C163" s="83">
        <v>25</v>
      </c>
      <c r="D163" s="183">
        <f>SUMIFS('октябрь 2025'!$G$2:$G$2619,'октябрь 2025'!$D$2:$D$2619,$B163,'октябрь 2025'!$J$2:$J$2619,D$1)</f>
        <v>0</v>
      </c>
      <c r="E163" s="183">
        <f>SUMIFS('октябрь 2025'!$G$2:$G$2619,'октябрь 2025'!$D$2:$D$2619,$B163,'октябрь 2025'!$J$2:$J$2619,E$1)</f>
        <v>0</v>
      </c>
      <c r="F163" s="183">
        <f>SUMIFS('октябрь 2025'!$G$2:$G$2619,'октябрь 2025'!$D$2:$D$2619,$B163,'октябрь 2025'!$J$2:$J$2619,F$1)</f>
        <v>0</v>
      </c>
      <c r="G163" s="183">
        <f>SUMIFS('октябрь 2025'!$G$2:$G$2619,'октябрь 2025'!$D$2:$D$2619,$B163,'октябрь 2025'!$J$2:$J$2619,G$1)</f>
        <v>0</v>
      </c>
      <c r="H163" s="183">
        <f>SUMIFS('октябрь 2025'!$G$2:$G$2619,'октябрь 2025'!$D$2:$D$2619,$B163,'октябрь 2025'!$J$2:$J$2619,H$1)</f>
        <v>0</v>
      </c>
      <c r="I163" s="183">
        <f>SUMIFS('октябрь 2025'!$G$2:$G$2619,'октябрь 2025'!$D$2:$D$2619,$B163,'октябрь 2025'!$J$2:$J$2619,I$1)</f>
        <v>0</v>
      </c>
      <c r="J163" s="183">
        <f>SUMIFS('октябрь 2025'!$G$2:$G$2619,'октябрь 2025'!$D$2:$D$2619,$B163,'октябрь 2025'!$J$2:$J$2619,J$1)</f>
        <v>0</v>
      </c>
      <c r="K163" s="183">
        <f>SUMIFS('октябрь 2025'!$G$2:$G$2619,'октябрь 2025'!$D$2:$D$2619,$B163,'октябрь 2025'!$J$2:$J$2619,K$1)</f>
        <v>0</v>
      </c>
      <c r="L163" s="183">
        <f>SUMIFS('октябрь 2025'!$G$2:$G$2619,'октябрь 2025'!$D$2:$D$2619,$B163,'октябрь 2025'!$J$2:$J$2619,L$1)</f>
        <v>0</v>
      </c>
      <c r="M163" s="183">
        <f>SUMIFS('октябрь 2025'!$G$2:$G$2619,'октябрь 2025'!$D$2:$D$2619,$B163,'октябрь 2025'!$J$2:$J$2619,M$1)</f>
        <v>0</v>
      </c>
      <c r="N163" s="183">
        <f>SUMIFS('октябрь 2025'!$G$2:$G$2619,'октябрь 2025'!$D$2:$D$2619,$B163,'октябрь 2025'!$J$2:$J$2619,N$1)</f>
        <v>0</v>
      </c>
      <c r="O163" s="183">
        <f>SUMIFS('октябрь 2025'!$G$2:$G$2619,'октябрь 2025'!$D$2:$D$2619,$B163,'октябрь 2025'!$J$2:$J$2619,O$1)</f>
        <v>0</v>
      </c>
      <c r="P163" s="183">
        <f>SUMIFS('октябрь 2025'!$G$2:$G$2619,'октябрь 2025'!$D$2:$D$2619,$B163,'октябрь 2025'!$J$2:$J$2619,P$1)</f>
        <v>0</v>
      </c>
      <c r="Q163" s="183">
        <f>SUMIFS('октябрь 2025'!$G$2:$G$2619,'октябрь 2025'!$D$2:$D$2619,$B163,'октябрь 2025'!$J$2:$J$2619,Q$1)</f>
        <v>0</v>
      </c>
      <c r="R163" s="183">
        <f>SUMIFS('октябрь 2025'!$G$2:$G$2619,'октябрь 2025'!$D$2:$D$2619,$B163,'октябрь 2025'!$J$2:$J$2619,R$1)</f>
        <v>0</v>
      </c>
      <c r="S163" s="183">
        <f>SUMIFS('октябрь 2025'!$G$2:$G$2619,'октябрь 2025'!$D$2:$D$2619,$B163,'октябрь 2025'!$J$2:$J$2619,S$1)</f>
        <v>0</v>
      </c>
      <c r="T163" s="183">
        <f>SUMIFS('октябрь 2025'!$G$2:$G$2619,'октябрь 2025'!$D$2:$D$2619,$B163,'октябрь 2025'!$J$2:$J$2619,T$1)</f>
        <v>0</v>
      </c>
      <c r="U163" s="183">
        <f>SUMIFS('октябрь 2025'!$G$2:$G$2619,'октябрь 2025'!$D$2:$D$2619,$B163,'октябрь 2025'!$J$2:$J$2619,U$1)</f>
        <v>0</v>
      </c>
      <c r="V163" s="183">
        <f>SUMIFS('октябрь 2025'!$G$2:$G$2619,'октябрь 2025'!$D$2:$D$2619,$B163,'октябрь 2025'!$J$2:$J$2619,V$1)</f>
        <v>0</v>
      </c>
      <c r="W163" s="183">
        <f>SUMIFS('октябрь 2025'!$G$2:$G$2619,'октябрь 2025'!$D$2:$D$2619,$B163,'октябрь 2025'!$J$2:$J$2619,W$1)</f>
        <v>0</v>
      </c>
      <c r="X163" s="183">
        <f>SUMIFS('октябрь 2025'!$G$2:$G$2619,'октябрь 2025'!$D$2:$D$2619,$B163,'октябрь 2025'!$J$2:$J$2619,X$1)</f>
        <v>0</v>
      </c>
      <c r="Y163" s="183">
        <f>SUMIFS('октябрь 2025'!$G$2:$G$2619,'октябрь 2025'!$D$2:$D$2619,$B163,'октябрь 2025'!$J$2:$J$2619,Y$1)</f>
        <v>0</v>
      </c>
      <c r="Z163" s="183">
        <f>SUMIFS('октябрь 2025'!$G$2:$G$2619,'октябрь 2025'!$D$2:$D$2619,$B163,'октябрь 2025'!$J$2:$J$2619,Z$1)</f>
        <v>0</v>
      </c>
      <c r="AA163" s="183">
        <f>SUMIFS('октябрь 2025'!$G$2:$G$2619,'октябрь 2025'!$D$2:$D$2619,$B163,'октябрь 2025'!$J$2:$J$2619,AA$1)</f>
        <v>0</v>
      </c>
      <c r="AB163" s="183">
        <f>SUMIFS('октябрь 2025'!$G$2:$G$2619,'октябрь 2025'!$D$2:$D$2619,$B163,'октябрь 2025'!$J$2:$J$2619,AB$1)</f>
        <v>0</v>
      </c>
      <c r="AC163" s="183">
        <f>SUMIFS('октябрь 2025'!$G$2:$G$2619,'октябрь 2025'!$D$2:$D$2619,$B163,'октябрь 2025'!$J$2:$J$2619,AC$1)</f>
        <v>0</v>
      </c>
      <c r="AD163" s="183">
        <f>SUMIFS('октябрь 2025'!$G$2:$G$2619,'октябрь 2025'!$D$2:$D$2619,$B163,'октябрь 2025'!$J$2:$J$2619,AD$1)</f>
        <v>0</v>
      </c>
      <c r="AE163" s="183">
        <f>SUMIFS('октябрь 2025'!$G$2:$G$2619,'октябрь 2025'!$D$2:$D$2619,$B163,'октябрь 2025'!$J$2:$J$2619,AE$1)</f>
        <v>0</v>
      </c>
      <c r="AF163" s="183">
        <f>SUMIFS('октябрь 2025'!$G$2:$G$2619,'октябрь 2025'!$D$2:$D$2619,$B163,'октябрь 2025'!$J$2:$J$2619,AF$1)</f>
        <v>0</v>
      </c>
      <c r="AG163" s="183">
        <f>SUMIFS('октябрь 2025'!$G$2:$G$2619,'октябрь 2025'!$D$2:$D$2619,$B163,'октябрь 2025'!$J$2:$J$2619,AG$1)</f>
        <v>0</v>
      </c>
      <c r="AH163" s="183">
        <f>SUMIFS('октябрь 2025'!$G$2:$G$2619,'октябрь 2025'!$D$2:$D$2619,$B163,'октябрь 2025'!$J$2:$J$2619,AH$1)</f>
        <v>0</v>
      </c>
      <c r="AI163" s="20">
        <f t="shared" si="1"/>
        <v>0</v>
      </c>
    </row>
    <row r="164" spans="2:35" ht="15" customHeight="1" x14ac:dyDescent="0.25">
      <c r="B164" s="84" t="s">
        <v>176</v>
      </c>
      <c r="C164" s="83">
        <v>25</v>
      </c>
      <c r="D164" s="183">
        <f>SUMIFS('октябрь 2025'!$G$2:$G$2619,'октябрь 2025'!$D$2:$D$2619,$B164,'октябрь 2025'!$J$2:$J$2619,D$1)</f>
        <v>0</v>
      </c>
      <c r="E164" s="183">
        <f>SUMIFS('октябрь 2025'!$G$2:$G$2619,'октябрь 2025'!$D$2:$D$2619,$B164,'октябрь 2025'!$J$2:$J$2619,E$1)</f>
        <v>0</v>
      </c>
      <c r="F164" s="183">
        <f>SUMIFS('октябрь 2025'!$G$2:$G$2619,'октябрь 2025'!$D$2:$D$2619,$B164,'октябрь 2025'!$J$2:$J$2619,F$1)</f>
        <v>0</v>
      </c>
      <c r="G164" s="183">
        <f>SUMIFS('октябрь 2025'!$G$2:$G$2619,'октябрь 2025'!$D$2:$D$2619,$B164,'октябрь 2025'!$J$2:$J$2619,G$1)</f>
        <v>0</v>
      </c>
      <c r="H164" s="183">
        <f>SUMIFS('октябрь 2025'!$G$2:$G$2619,'октябрь 2025'!$D$2:$D$2619,$B164,'октябрь 2025'!$J$2:$J$2619,H$1)</f>
        <v>0</v>
      </c>
      <c r="I164" s="183">
        <f>SUMIFS('октябрь 2025'!$G$2:$G$2619,'октябрь 2025'!$D$2:$D$2619,$B164,'октябрь 2025'!$J$2:$J$2619,I$1)</f>
        <v>0</v>
      </c>
      <c r="J164" s="183">
        <f>SUMIFS('октябрь 2025'!$G$2:$G$2619,'октябрь 2025'!$D$2:$D$2619,$B164,'октябрь 2025'!$J$2:$J$2619,J$1)</f>
        <v>0</v>
      </c>
      <c r="K164" s="183">
        <f>SUMIFS('октябрь 2025'!$G$2:$G$2619,'октябрь 2025'!$D$2:$D$2619,$B164,'октябрь 2025'!$J$2:$J$2619,K$1)</f>
        <v>0</v>
      </c>
      <c r="L164" s="183">
        <f>SUMIFS('октябрь 2025'!$G$2:$G$2619,'октябрь 2025'!$D$2:$D$2619,$B164,'октябрь 2025'!$J$2:$J$2619,L$1)</f>
        <v>0</v>
      </c>
      <c r="M164" s="183">
        <f>SUMIFS('октябрь 2025'!$G$2:$G$2619,'октябрь 2025'!$D$2:$D$2619,$B164,'октябрь 2025'!$J$2:$J$2619,M$1)</f>
        <v>0</v>
      </c>
      <c r="N164" s="183">
        <f>SUMIFS('октябрь 2025'!$G$2:$G$2619,'октябрь 2025'!$D$2:$D$2619,$B164,'октябрь 2025'!$J$2:$J$2619,N$1)</f>
        <v>0</v>
      </c>
      <c r="O164" s="183">
        <f>SUMIFS('октябрь 2025'!$G$2:$G$2619,'октябрь 2025'!$D$2:$D$2619,$B164,'октябрь 2025'!$J$2:$J$2619,O$1)</f>
        <v>0</v>
      </c>
      <c r="P164" s="183">
        <f>SUMIFS('октябрь 2025'!$G$2:$G$2619,'октябрь 2025'!$D$2:$D$2619,$B164,'октябрь 2025'!$J$2:$J$2619,P$1)</f>
        <v>0</v>
      </c>
      <c r="Q164" s="183">
        <f>SUMIFS('октябрь 2025'!$G$2:$G$2619,'октябрь 2025'!$D$2:$D$2619,$B164,'октябрь 2025'!$J$2:$J$2619,Q$1)</f>
        <v>0</v>
      </c>
      <c r="R164" s="183">
        <f>SUMIFS('октябрь 2025'!$G$2:$G$2619,'октябрь 2025'!$D$2:$D$2619,$B164,'октябрь 2025'!$J$2:$J$2619,R$1)</f>
        <v>0</v>
      </c>
      <c r="S164" s="183">
        <f>SUMIFS('октябрь 2025'!$G$2:$G$2619,'октябрь 2025'!$D$2:$D$2619,$B164,'октябрь 2025'!$J$2:$J$2619,S$1)</f>
        <v>0</v>
      </c>
      <c r="T164" s="183">
        <f>SUMIFS('октябрь 2025'!$G$2:$G$2619,'октябрь 2025'!$D$2:$D$2619,$B164,'октябрь 2025'!$J$2:$J$2619,T$1)</f>
        <v>0</v>
      </c>
      <c r="U164" s="183">
        <f>SUMIFS('октябрь 2025'!$G$2:$G$2619,'октябрь 2025'!$D$2:$D$2619,$B164,'октябрь 2025'!$J$2:$J$2619,U$1)</f>
        <v>0</v>
      </c>
      <c r="V164" s="183">
        <f>SUMIFS('октябрь 2025'!$G$2:$G$2619,'октябрь 2025'!$D$2:$D$2619,$B164,'октябрь 2025'!$J$2:$J$2619,V$1)</f>
        <v>0</v>
      </c>
      <c r="W164" s="183">
        <f>SUMIFS('октябрь 2025'!$G$2:$G$2619,'октябрь 2025'!$D$2:$D$2619,$B164,'октябрь 2025'!$J$2:$J$2619,W$1)</f>
        <v>0</v>
      </c>
      <c r="X164" s="183">
        <f>SUMIFS('октябрь 2025'!$G$2:$G$2619,'октябрь 2025'!$D$2:$D$2619,$B164,'октябрь 2025'!$J$2:$J$2619,X$1)</f>
        <v>0</v>
      </c>
      <c r="Y164" s="183">
        <f>SUMIFS('октябрь 2025'!$G$2:$G$2619,'октябрь 2025'!$D$2:$D$2619,$B164,'октябрь 2025'!$J$2:$J$2619,Y$1)</f>
        <v>0</v>
      </c>
      <c r="Z164" s="183">
        <f>SUMIFS('октябрь 2025'!$G$2:$G$2619,'октябрь 2025'!$D$2:$D$2619,$B164,'октябрь 2025'!$J$2:$J$2619,Z$1)</f>
        <v>0</v>
      </c>
      <c r="AA164" s="183">
        <f>SUMIFS('октябрь 2025'!$G$2:$G$2619,'октябрь 2025'!$D$2:$D$2619,$B164,'октябрь 2025'!$J$2:$J$2619,AA$1)</f>
        <v>0</v>
      </c>
      <c r="AB164" s="183">
        <f>SUMIFS('октябрь 2025'!$G$2:$G$2619,'октябрь 2025'!$D$2:$D$2619,$B164,'октябрь 2025'!$J$2:$J$2619,AB$1)</f>
        <v>0</v>
      </c>
      <c r="AC164" s="183">
        <f>SUMIFS('октябрь 2025'!$G$2:$G$2619,'октябрь 2025'!$D$2:$D$2619,$B164,'октябрь 2025'!$J$2:$J$2619,AC$1)</f>
        <v>0</v>
      </c>
      <c r="AD164" s="183">
        <f>SUMIFS('октябрь 2025'!$G$2:$G$2619,'октябрь 2025'!$D$2:$D$2619,$B164,'октябрь 2025'!$J$2:$J$2619,AD$1)</f>
        <v>0</v>
      </c>
      <c r="AE164" s="183">
        <f>SUMIFS('октябрь 2025'!$G$2:$G$2619,'октябрь 2025'!$D$2:$D$2619,$B164,'октябрь 2025'!$J$2:$J$2619,AE$1)</f>
        <v>0</v>
      </c>
      <c r="AF164" s="183">
        <f>SUMIFS('октябрь 2025'!$G$2:$G$2619,'октябрь 2025'!$D$2:$D$2619,$B164,'октябрь 2025'!$J$2:$J$2619,AF$1)</f>
        <v>0</v>
      </c>
      <c r="AG164" s="183">
        <f>SUMIFS('октябрь 2025'!$G$2:$G$2619,'октябрь 2025'!$D$2:$D$2619,$B164,'октябрь 2025'!$J$2:$J$2619,AG$1)</f>
        <v>0</v>
      </c>
      <c r="AH164" s="183">
        <f>SUMIFS('октябрь 2025'!$G$2:$G$2619,'октябрь 2025'!$D$2:$D$2619,$B164,'октябрь 2025'!$J$2:$J$2619,AH$1)</f>
        <v>0</v>
      </c>
      <c r="AI164" s="20">
        <f t="shared" si="1"/>
        <v>0</v>
      </c>
    </row>
    <row r="165" spans="2:35" ht="15" customHeight="1" x14ac:dyDescent="0.25">
      <c r="B165" s="84" t="s">
        <v>201</v>
      </c>
      <c r="C165" s="83">
        <v>25</v>
      </c>
      <c r="D165" s="183">
        <f>SUMIFS('октябрь 2025'!$G$2:$G$2619,'октябрь 2025'!$D$2:$D$2619,$B165,'октябрь 2025'!$J$2:$J$2619,D$1)</f>
        <v>0</v>
      </c>
      <c r="E165" s="183">
        <f>SUMIFS('октябрь 2025'!$G$2:$G$2619,'октябрь 2025'!$D$2:$D$2619,$B165,'октябрь 2025'!$J$2:$J$2619,E$1)</f>
        <v>0</v>
      </c>
      <c r="F165" s="183">
        <f>SUMIFS('октябрь 2025'!$G$2:$G$2619,'октябрь 2025'!$D$2:$D$2619,$B165,'октябрь 2025'!$J$2:$J$2619,F$1)</f>
        <v>0</v>
      </c>
      <c r="G165" s="183">
        <f>SUMIFS('октябрь 2025'!$G$2:$G$2619,'октябрь 2025'!$D$2:$D$2619,$B165,'октябрь 2025'!$J$2:$J$2619,G$1)</f>
        <v>0</v>
      </c>
      <c r="H165" s="183">
        <f>SUMIFS('октябрь 2025'!$G$2:$G$2619,'октябрь 2025'!$D$2:$D$2619,$B165,'октябрь 2025'!$J$2:$J$2619,H$1)</f>
        <v>0</v>
      </c>
      <c r="I165" s="183">
        <f>SUMIFS('октябрь 2025'!$G$2:$G$2619,'октябрь 2025'!$D$2:$D$2619,$B165,'октябрь 2025'!$J$2:$J$2619,I$1)</f>
        <v>0</v>
      </c>
      <c r="J165" s="183">
        <f>SUMIFS('октябрь 2025'!$G$2:$G$2619,'октябрь 2025'!$D$2:$D$2619,$B165,'октябрь 2025'!$J$2:$J$2619,J$1)</f>
        <v>0</v>
      </c>
      <c r="K165" s="183">
        <f>SUMIFS('октябрь 2025'!$G$2:$G$2619,'октябрь 2025'!$D$2:$D$2619,$B165,'октябрь 2025'!$J$2:$J$2619,K$1)</f>
        <v>0</v>
      </c>
      <c r="L165" s="183">
        <f>SUMIFS('октябрь 2025'!$G$2:$G$2619,'октябрь 2025'!$D$2:$D$2619,$B165,'октябрь 2025'!$J$2:$J$2619,L$1)</f>
        <v>0</v>
      </c>
      <c r="M165" s="183">
        <f>SUMIFS('октябрь 2025'!$G$2:$G$2619,'октябрь 2025'!$D$2:$D$2619,$B165,'октябрь 2025'!$J$2:$J$2619,M$1)</f>
        <v>0</v>
      </c>
      <c r="N165" s="183">
        <f>SUMIFS('октябрь 2025'!$G$2:$G$2619,'октябрь 2025'!$D$2:$D$2619,$B165,'октябрь 2025'!$J$2:$J$2619,N$1)</f>
        <v>0</v>
      </c>
      <c r="O165" s="183">
        <f>SUMIFS('октябрь 2025'!$G$2:$G$2619,'октябрь 2025'!$D$2:$D$2619,$B165,'октябрь 2025'!$J$2:$J$2619,O$1)</f>
        <v>0</v>
      </c>
      <c r="P165" s="183">
        <f>SUMIFS('октябрь 2025'!$G$2:$G$2619,'октябрь 2025'!$D$2:$D$2619,$B165,'октябрь 2025'!$J$2:$J$2619,P$1)</f>
        <v>0</v>
      </c>
      <c r="Q165" s="183">
        <f>SUMIFS('октябрь 2025'!$G$2:$G$2619,'октябрь 2025'!$D$2:$D$2619,$B165,'октябрь 2025'!$J$2:$J$2619,Q$1)</f>
        <v>0</v>
      </c>
      <c r="R165" s="183">
        <f>SUMIFS('октябрь 2025'!$G$2:$G$2619,'октябрь 2025'!$D$2:$D$2619,$B165,'октябрь 2025'!$J$2:$J$2619,R$1)</f>
        <v>0</v>
      </c>
      <c r="S165" s="183">
        <f>SUMIFS('октябрь 2025'!$G$2:$G$2619,'октябрь 2025'!$D$2:$D$2619,$B165,'октябрь 2025'!$J$2:$J$2619,S$1)</f>
        <v>0</v>
      </c>
      <c r="T165" s="183">
        <f>SUMIFS('октябрь 2025'!$G$2:$G$2619,'октябрь 2025'!$D$2:$D$2619,$B165,'октябрь 2025'!$J$2:$J$2619,T$1)</f>
        <v>0</v>
      </c>
      <c r="U165" s="183">
        <f>SUMIFS('октябрь 2025'!$G$2:$G$2619,'октябрь 2025'!$D$2:$D$2619,$B165,'октябрь 2025'!$J$2:$J$2619,U$1)</f>
        <v>0</v>
      </c>
      <c r="V165" s="183">
        <f>SUMIFS('октябрь 2025'!$G$2:$G$2619,'октябрь 2025'!$D$2:$D$2619,$B165,'октябрь 2025'!$J$2:$J$2619,V$1)</f>
        <v>0</v>
      </c>
      <c r="W165" s="183">
        <f>SUMIFS('октябрь 2025'!$G$2:$G$2619,'октябрь 2025'!$D$2:$D$2619,$B165,'октябрь 2025'!$J$2:$J$2619,W$1)</f>
        <v>0</v>
      </c>
      <c r="X165" s="183">
        <f>SUMIFS('октябрь 2025'!$G$2:$G$2619,'октябрь 2025'!$D$2:$D$2619,$B165,'октябрь 2025'!$J$2:$J$2619,X$1)</f>
        <v>0</v>
      </c>
      <c r="Y165" s="183">
        <f>SUMIFS('октябрь 2025'!$G$2:$G$2619,'октябрь 2025'!$D$2:$D$2619,$B165,'октябрь 2025'!$J$2:$J$2619,Y$1)</f>
        <v>0</v>
      </c>
      <c r="Z165" s="183">
        <f>SUMIFS('октябрь 2025'!$G$2:$G$2619,'октябрь 2025'!$D$2:$D$2619,$B165,'октябрь 2025'!$J$2:$J$2619,Z$1)</f>
        <v>0</v>
      </c>
      <c r="AA165" s="183">
        <f>SUMIFS('октябрь 2025'!$G$2:$G$2619,'октябрь 2025'!$D$2:$D$2619,$B165,'октябрь 2025'!$J$2:$J$2619,AA$1)</f>
        <v>0</v>
      </c>
      <c r="AB165" s="183">
        <f>SUMIFS('октябрь 2025'!$G$2:$G$2619,'октябрь 2025'!$D$2:$D$2619,$B165,'октябрь 2025'!$J$2:$J$2619,AB$1)</f>
        <v>0</v>
      </c>
      <c r="AC165" s="183">
        <f>SUMIFS('октябрь 2025'!$G$2:$G$2619,'октябрь 2025'!$D$2:$D$2619,$B165,'октябрь 2025'!$J$2:$J$2619,AC$1)</f>
        <v>0</v>
      </c>
      <c r="AD165" s="183">
        <f>SUMIFS('октябрь 2025'!$G$2:$G$2619,'октябрь 2025'!$D$2:$D$2619,$B165,'октябрь 2025'!$J$2:$J$2619,AD$1)</f>
        <v>0</v>
      </c>
      <c r="AE165" s="183">
        <f>SUMIFS('октябрь 2025'!$G$2:$G$2619,'октябрь 2025'!$D$2:$D$2619,$B165,'октябрь 2025'!$J$2:$J$2619,AE$1)</f>
        <v>0</v>
      </c>
      <c r="AF165" s="183">
        <f>SUMIFS('октябрь 2025'!$G$2:$G$2619,'октябрь 2025'!$D$2:$D$2619,$B165,'октябрь 2025'!$J$2:$J$2619,AF$1)</f>
        <v>0</v>
      </c>
      <c r="AG165" s="183">
        <f>SUMIFS('октябрь 2025'!$G$2:$G$2619,'октябрь 2025'!$D$2:$D$2619,$B165,'октябрь 2025'!$J$2:$J$2619,AG$1)</f>
        <v>0</v>
      </c>
      <c r="AH165" s="183">
        <f>SUMIFS('октябрь 2025'!$G$2:$G$2619,'октябрь 2025'!$D$2:$D$2619,$B165,'октябрь 2025'!$J$2:$J$2619,AH$1)</f>
        <v>0</v>
      </c>
      <c r="AI165" s="20">
        <f t="shared" si="1"/>
        <v>0</v>
      </c>
    </row>
    <row r="166" spans="2:35" ht="15" customHeight="1" x14ac:dyDescent="0.25">
      <c r="B166" s="84" t="s">
        <v>300</v>
      </c>
      <c r="C166" s="83">
        <v>200</v>
      </c>
      <c r="D166" s="183">
        <f>SUMIFS('октябрь 2025'!$G$2:$G$2619,'октябрь 2025'!$D$2:$D$2619,$B166,'октябрь 2025'!$J$2:$J$2619,D$1)</f>
        <v>0</v>
      </c>
      <c r="E166" s="183">
        <f>SUMIFS('октябрь 2025'!$G$2:$G$2619,'октябрь 2025'!$D$2:$D$2619,$B166,'октябрь 2025'!$J$2:$J$2619,E$1)</f>
        <v>0</v>
      </c>
      <c r="F166" s="183">
        <f>SUMIFS('октябрь 2025'!$G$2:$G$2619,'октябрь 2025'!$D$2:$D$2619,$B166,'октябрь 2025'!$J$2:$J$2619,F$1)</f>
        <v>0</v>
      </c>
      <c r="G166" s="183">
        <f>SUMIFS('октябрь 2025'!$G$2:$G$2619,'октябрь 2025'!$D$2:$D$2619,$B166,'октябрь 2025'!$J$2:$J$2619,G$1)</f>
        <v>0</v>
      </c>
      <c r="H166" s="183">
        <f>SUMIFS('октябрь 2025'!$G$2:$G$2619,'октябрь 2025'!$D$2:$D$2619,$B166,'октябрь 2025'!$J$2:$J$2619,H$1)</f>
        <v>0</v>
      </c>
      <c r="I166" s="183">
        <f>SUMIFS('октябрь 2025'!$G$2:$G$2619,'октябрь 2025'!$D$2:$D$2619,$B166,'октябрь 2025'!$J$2:$J$2619,I$1)</f>
        <v>0</v>
      </c>
      <c r="J166" s="183">
        <f>SUMIFS('октябрь 2025'!$G$2:$G$2619,'октябрь 2025'!$D$2:$D$2619,$B166,'октябрь 2025'!$J$2:$J$2619,J$1)</f>
        <v>0</v>
      </c>
      <c r="K166" s="183">
        <f>SUMIFS('октябрь 2025'!$G$2:$G$2619,'октябрь 2025'!$D$2:$D$2619,$B166,'октябрь 2025'!$J$2:$J$2619,K$1)</f>
        <v>0</v>
      </c>
      <c r="L166" s="183">
        <f>SUMIFS('октябрь 2025'!$G$2:$G$2619,'октябрь 2025'!$D$2:$D$2619,$B166,'октябрь 2025'!$J$2:$J$2619,L$1)</f>
        <v>0</v>
      </c>
      <c r="M166" s="183">
        <f>SUMIFS('октябрь 2025'!$G$2:$G$2619,'октябрь 2025'!$D$2:$D$2619,$B166,'октябрь 2025'!$J$2:$J$2619,M$1)</f>
        <v>0</v>
      </c>
      <c r="N166" s="183">
        <f>SUMIFS('октябрь 2025'!$G$2:$G$2619,'октябрь 2025'!$D$2:$D$2619,$B166,'октябрь 2025'!$J$2:$J$2619,N$1)</f>
        <v>0</v>
      </c>
      <c r="O166" s="183">
        <f>SUMIFS('октябрь 2025'!$G$2:$G$2619,'октябрь 2025'!$D$2:$D$2619,$B166,'октябрь 2025'!$J$2:$J$2619,O$1)</f>
        <v>0</v>
      </c>
      <c r="P166" s="183">
        <f>SUMIFS('октябрь 2025'!$G$2:$G$2619,'октябрь 2025'!$D$2:$D$2619,$B166,'октябрь 2025'!$J$2:$J$2619,P$1)</f>
        <v>0</v>
      </c>
      <c r="Q166" s="183">
        <f>SUMIFS('октябрь 2025'!$G$2:$G$2619,'октябрь 2025'!$D$2:$D$2619,$B166,'октябрь 2025'!$J$2:$J$2619,Q$1)</f>
        <v>0</v>
      </c>
      <c r="R166" s="183">
        <f>SUMIFS('октябрь 2025'!$G$2:$G$2619,'октябрь 2025'!$D$2:$D$2619,$B166,'октябрь 2025'!$J$2:$J$2619,R$1)</f>
        <v>0</v>
      </c>
      <c r="S166" s="183">
        <f>SUMIFS('октябрь 2025'!$G$2:$G$2619,'октябрь 2025'!$D$2:$D$2619,$B166,'октябрь 2025'!$J$2:$J$2619,S$1)</f>
        <v>0</v>
      </c>
      <c r="T166" s="183">
        <f>SUMIFS('октябрь 2025'!$G$2:$G$2619,'октябрь 2025'!$D$2:$D$2619,$B166,'октябрь 2025'!$J$2:$J$2619,T$1)</f>
        <v>0</v>
      </c>
      <c r="U166" s="183">
        <f>SUMIFS('октябрь 2025'!$G$2:$G$2619,'октябрь 2025'!$D$2:$D$2619,$B166,'октябрь 2025'!$J$2:$J$2619,U$1)</f>
        <v>0</v>
      </c>
      <c r="V166" s="183">
        <f>SUMIFS('октябрь 2025'!$G$2:$G$2619,'октябрь 2025'!$D$2:$D$2619,$B166,'октябрь 2025'!$J$2:$J$2619,V$1)</f>
        <v>0</v>
      </c>
      <c r="W166" s="183">
        <f>SUMIFS('октябрь 2025'!$G$2:$G$2619,'октябрь 2025'!$D$2:$D$2619,$B166,'октябрь 2025'!$J$2:$J$2619,W$1)</f>
        <v>0</v>
      </c>
      <c r="X166" s="183">
        <f>SUMIFS('октябрь 2025'!$G$2:$G$2619,'октябрь 2025'!$D$2:$D$2619,$B166,'октябрь 2025'!$J$2:$J$2619,X$1)</f>
        <v>0</v>
      </c>
      <c r="Y166" s="183">
        <f>SUMIFS('октябрь 2025'!$G$2:$G$2619,'октябрь 2025'!$D$2:$D$2619,$B166,'октябрь 2025'!$J$2:$J$2619,Y$1)</f>
        <v>0</v>
      </c>
      <c r="Z166" s="183">
        <f>SUMIFS('октябрь 2025'!$G$2:$G$2619,'октябрь 2025'!$D$2:$D$2619,$B166,'октябрь 2025'!$J$2:$J$2619,Z$1)</f>
        <v>0</v>
      </c>
      <c r="AA166" s="183">
        <f>SUMIFS('октябрь 2025'!$G$2:$G$2619,'октябрь 2025'!$D$2:$D$2619,$B166,'октябрь 2025'!$J$2:$J$2619,AA$1)</f>
        <v>0</v>
      </c>
      <c r="AB166" s="183">
        <f>SUMIFS('октябрь 2025'!$G$2:$G$2619,'октябрь 2025'!$D$2:$D$2619,$B166,'октябрь 2025'!$J$2:$J$2619,AB$1)</f>
        <v>0</v>
      </c>
      <c r="AC166" s="183">
        <f>SUMIFS('октябрь 2025'!$G$2:$G$2619,'октябрь 2025'!$D$2:$D$2619,$B166,'октябрь 2025'!$J$2:$J$2619,AC$1)</f>
        <v>0</v>
      </c>
      <c r="AD166" s="183">
        <f>SUMIFS('октябрь 2025'!$G$2:$G$2619,'октябрь 2025'!$D$2:$D$2619,$B166,'октябрь 2025'!$J$2:$J$2619,AD$1)</f>
        <v>0</v>
      </c>
      <c r="AE166" s="183">
        <f>SUMIFS('октябрь 2025'!$G$2:$G$2619,'октябрь 2025'!$D$2:$D$2619,$B166,'октябрь 2025'!$J$2:$J$2619,AE$1)</f>
        <v>0</v>
      </c>
      <c r="AF166" s="183">
        <f>SUMIFS('октябрь 2025'!$G$2:$G$2619,'октябрь 2025'!$D$2:$D$2619,$B166,'октябрь 2025'!$J$2:$J$2619,AF$1)</f>
        <v>0</v>
      </c>
      <c r="AG166" s="183">
        <f>SUMIFS('октябрь 2025'!$G$2:$G$2619,'октябрь 2025'!$D$2:$D$2619,$B166,'октябрь 2025'!$J$2:$J$2619,AG$1)</f>
        <v>0</v>
      </c>
      <c r="AH166" s="183">
        <f>SUMIFS('октябрь 2025'!$G$2:$G$2619,'октябрь 2025'!$D$2:$D$2619,$B166,'октябрь 2025'!$J$2:$J$2619,AH$1)</f>
        <v>0</v>
      </c>
      <c r="AI166" s="20">
        <f>SUM(D166:AH166)</f>
        <v>0</v>
      </c>
    </row>
    <row r="167" spans="2:35" ht="15" customHeight="1" x14ac:dyDescent="0.25">
      <c r="B167" s="84" t="s">
        <v>307</v>
      </c>
      <c r="C167" s="83">
        <v>175</v>
      </c>
      <c r="D167" s="183">
        <f>SUMIFS('октябрь 2025'!$G$2:$G$2619,'октябрь 2025'!$D$2:$D$2619,$B167,'октябрь 2025'!$J$2:$J$2619,D$1)</f>
        <v>0</v>
      </c>
      <c r="E167" s="183">
        <f>SUMIFS('октябрь 2025'!$G$2:$G$2619,'октябрь 2025'!$D$2:$D$2619,$B167,'октябрь 2025'!$J$2:$J$2619,E$1)</f>
        <v>0</v>
      </c>
      <c r="F167" s="183">
        <f>SUMIFS('октябрь 2025'!$G$2:$G$2619,'октябрь 2025'!$D$2:$D$2619,$B167,'октябрь 2025'!$J$2:$J$2619,F$1)</f>
        <v>0</v>
      </c>
      <c r="G167" s="183">
        <f>SUMIFS('октябрь 2025'!$G$2:$G$2619,'октябрь 2025'!$D$2:$D$2619,$B167,'октябрь 2025'!$J$2:$J$2619,G$1)</f>
        <v>0</v>
      </c>
      <c r="H167" s="183">
        <f>SUMIFS('октябрь 2025'!$G$2:$G$2619,'октябрь 2025'!$D$2:$D$2619,$B167,'октябрь 2025'!$J$2:$J$2619,H$1)</f>
        <v>0</v>
      </c>
      <c r="I167" s="183">
        <f>SUMIFS('октябрь 2025'!$G$2:$G$2619,'октябрь 2025'!$D$2:$D$2619,$B167,'октябрь 2025'!$J$2:$J$2619,I$1)</f>
        <v>0</v>
      </c>
      <c r="J167" s="183">
        <f>SUMIFS('октябрь 2025'!$G$2:$G$2619,'октябрь 2025'!$D$2:$D$2619,$B167,'октябрь 2025'!$J$2:$J$2619,J$1)</f>
        <v>0</v>
      </c>
      <c r="K167" s="183">
        <f>SUMIFS('октябрь 2025'!$G$2:$G$2619,'октябрь 2025'!$D$2:$D$2619,$B167,'октябрь 2025'!$J$2:$J$2619,K$1)</f>
        <v>0</v>
      </c>
      <c r="L167" s="183">
        <f>SUMIFS('октябрь 2025'!$G$2:$G$2619,'октябрь 2025'!$D$2:$D$2619,$B167,'октябрь 2025'!$J$2:$J$2619,L$1)</f>
        <v>0</v>
      </c>
      <c r="M167" s="183">
        <f>SUMIFS('октябрь 2025'!$G$2:$G$2619,'октябрь 2025'!$D$2:$D$2619,$B167,'октябрь 2025'!$J$2:$J$2619,M$1)</f>
        <v>0</v>
      </c>
      <c r="N167" s="183">
        <f>SUMIFS('октябрь 2025'!$G$2:$G$2619,'октябрь 2025'!$D$2:$D$2619,$B167,'октябрь 2025'!$J$2:$J$2619,N$1)</f>
        <v>0</v>
      </c>
      <c r="O167" s="183">
        <f>SUMIFS('октябрь 2025'!$G$2:$G$2619,'октябрь 2025'!$D$2:$D$2619,$B167,'октябрь 2025'!$J$2:$J$2619,O$1)</f>
        <v>0</v>
      </c>
      <c r="P167" s="183">
        <f>SUMIFS('октябрь 2025'!$G$2:$G$2619,'октябрь 2025'!$D$2:$D$2619,$B167,'октябрь 2025'!$J$2:$J$2619,P$1)</f>
        <v>0</v>
      </c>
      <c r="Q167" s="183">
        <f>SUMIFS('октябрь 2025'!$G$2:$G$2619,'октябрь 2025'!$D$2:$D$2619,$B167,'октябрь 2025'!$J$2:$J$2619,Q$1)</f>
        <v>0</v>
      </c>
      <c r="R167" s="183">
        <f>SUMIFS('октябрь 2025'!$G$2:$G$2619,'октябрь 2025'!$D$2:$D$2619,$B167,'октябрь 2025'!$J$2:$J$2619,R$1)</f>
        <v>0</v>
      </c>
      <c r="S167" s="183">
        <f>SUMIFS('октябрь 2025'!$G$2:$G$2619,'октябрь 2025'!$D$2:$D$2619,$B167,'октябрь 2025'!$J$2:$J$2619,S$1)</f>
        <v>0</v>
      </c>
      <c r="T167" s="183">
        <f>SUMIFS('октябрь 2025'!$G$2:$G$2619,'октябрь 2025'!$D$2:$D$2619,$B167,'октябрь 2025'!$J$2:$J$2619,T$1)</f>
        <v>0</v>
      </c>
      <c r="U167" s="183">
        <f>SUMIFS('октябрь 2025'!$G$2:$G$2619,'октябрь 2025'!$D$2:$D$2619,$B167,'октябрь 2025'!$J$2:$J$2619,U$1)</f>
        <v>0</v>
      </c>
      <c r="V167" s="183">
        <f>SUMIFS('октябрь 2025'!$G$2:$G$2619,'октябрь 2025'!$D$2:$D$2619,$B167,'октябрь 2025'!$J$2:$J$2619,V$1)</f>
        <v>0</v>
      </c>
      <c r="W167" s="183">
        <f>SUMIFS('октябрь 2025'!$G$2:$G$2619,'октябрь 2025'!$D$2:$D$2619,$B167,'октябрь 2025'!$J$2:$J$2619,W$1)</f>
        <v>0</v>
      </c>
      <c r="X167" s="183">
        <f>SUMIFS('октябрь 2025'!$G$2:$G$2619,'октябрь 2025'!$D$2:$D$2619,$B167,'октябрь 2025'!$J$2:$J$2619,X$1)</f>
        <v>0</v>
      </c>
      <c r="Y167" s="183">
        <f>SUMIFS('октябрь 2025'!$G$2:$G$2619,'октябрь 2025'!$D$2:$D$2619,$B167,'октябрь 2025'!$J$2:$J$2619,Y$1)</f>
        <v>0</v>
      </c>
      <c r="Z167" s="183">
        <f>SUMIFS('октябрь 2025'!$G$2:$G$2619,'октябрь 2025'!$D$2:$D$2619,$B167,'октябрь 2025'!$J$2:$J$2619,Z$1)</f>
        <v>0</v>
      </c>
      <c r="AA167" s="183">
        <f>SUMIFS('октябрь 2025'!$G$2:$G$2619,'октябрь 2025'!$D$2:$D$2619,$B167,'октябрь 2025'!$J$2:$J$2619,AA$1)</f>
        <v>0</v>
      </c>
      <c r="AB167" s="183">
        <f>SUMIFS('октябрь 2025'!$G$2:$G$2619,'октябрь 2025'!$D$2:$D$2619,$B167,'октябрь 2025'!$J$2:$J$2619,AB$1)</f>
        <v>0</v>
      </c>
      <c r="AC167" s="183">
        <f>SUMIFS('октябрь 2025'!$G$2:$G$2619,'октябрь 2025'!$D$2:$D$2619,$B167,'октябрь 2025'!$J$2:$J$2619,AC$1)</f>
        <v>0</v>
      </c>
      <c r="AD167" s="183">
        <f>SUMIFS('октябрь 2025'!$G$2:$G$2619,'октябрь 2025'!$D$2:$D$2619,$B167,'октябрь 2025'!$J$2:$J$2619,AD$1)</f>
        <v>0</v>
      </c>
      <c r="AE167" s="183">
        <f>SUMIFS('октябрь 2025'!$G$2:$G$2619,'октябрь 2025'!$D$2:$D$2619,$B167,'октябрь 2025'!$J$2:$J$2619,AE$1)</f>
        <v>0</v>
      </c>
      <c r="AF167" s="183">
        <f>SUMIFS('октябрь 2025'!$G$2:$G$2619,'октябрь 2025'!$D$2:$D$2619,$B167,'октябрь 2025'!$J$2:$J$2619,AF$1)</f>
        <v>0</v>
      </c>
      <c r="AG167" s="183">
        <f>SUMIFS('октябрь 2025'!$G$2:$G$2619,'октябрь 2025'!$D$2:$D$2619,$B167,'октябрь 2025'!$J$2:$J$2619,AG$1)</f>
        <v>0</v>
      </c>
      <c r="AH167" s="183">
        <f>SUMIFS('октябрь 2025'!$G$2:$G$2619,'октябрь 2025'!$D$2:$D$2619,$B167,'октябрь 2025'!$J$2:$J$2619,AH$1)</f>
        <v>0</v>
      </c>
      <c r="AI167" s="20">
        <f>SUM(D167:AH167)</f>
        <v>0</v>
      </c>
    </row>
    <row r="168" spans="2:35" ht="15" customHeight="1" x14ac:dyDescent="0.25">
      <c r="B168" s="84" t="s">
        <v>324</v>
      </c>
      <c r="C168" s="83">
        <v>950</v>
      </c>
      <c r="D168" s="183">
        <f>SUMIFS('октябрь 2025'!$G$2:$G$2619,'октябрь 2025'!$D$2:$D$2619,$B168,'октябрь 2025'!$J$2:$J$2619,D$1)</f>
        <v>0</v>
      </c>
      <c r="E168" s="183">
        <f>SUMIFS('октябрь 2025'!$G$2:$G$2619,'октябрь 2025'!$D$2:$D$2619,$B168,'октябрь 2025'!$J$2:$J$2619,E$1)</f>
        <v>0</v>
      </c>
      <c r="F168" s="183">
        <f>SUMIFS('октябрь 2025'!$G$2:$G$2619,'октябрь 2025'!$D$2:$D$2619,$B168,'октябрь 2025'!$J$2:$J$2619,F$1)</f>
        <v>0</v>
      </c>
      <c r="G168" s="183">
        <f>SUMIFS('октябрь 2025'!$G$2:$G$2619,'октябрь 2025'!$D$2:$D$2619,$B168,'октябрь 2025'!$J$2:$J$2619,G$1)</f>
        <v>0</v>
      </c>
      <c r="H168" s="183">
        <f>SUMIFS('октябрь 2025'!$G$2:$G$2619,'октябрь 2025'!$D$2:$D$2619,$B168,'октябрь 2025'!$J$2:$J$2619,H$1)</f>
        <v>0</v>
      </c>
      <c r="I168" s="183">
        <f>SUMIFS('октябрь 2025'!$G$2:$G$2619,'октябрь 2025'!$D$2:$D$2619,$B168,'октябрь 2025'!$J$2:$J$2619,I$1)</f>
        <v>0</v>
      </c>
      <c r="J168" s="183">
        <f>SUMIFS('октябрь 2025'!$G$2:$G$2619,'октябрь 2025'!$D$2:$D$2619,$B168,'октябрь 2025'!$J$2:$J$2619,J$1)</f>
        <v>0</v>
      </c>
      <c r="K168" s="183">
        <f>SUMIFS('октябрь 2025'!$G$2:$G$2619,'октябрь 2025'!$D$2:$D$2619,$B168,'октябрь 2025'!$J$2:$J$2619,K$1)</f>
        <v>0</v>
      </c>
      <c r="L168" s="183">
        <f>SUMIFS('октябрь 2025'!$G$2:$G$2619,'октябрь 2025'!$D$2:$D$2619,$B168,'октябрь 2025'!$J$2:$J$2619,L$1)</f>
        <v>0</v>
      </c>
      <c r="M168" s="183">
        <f>SUMIFS('октябрь 2025'!$G$2:$G$2619,'октябрь 2025'!$D$2:$D$2619,$B168,'октябрь 2025'!$J$2:$J$2619,M$1)</f>
        <v>0</v>
      </c>
      <c r="N168" s="183">
        <f>SUMIFS('октябрь 2025'!$G$2:$G$2619,'октябрь 2025'!$D$2:$D$2619,$B168,'октябрь 2025'!$J$2:$J$2619,N$1)</f>
        <v>0</v>
      </c>
      <c r="O168" s="183">
        <f>SUMIFS('октябрь 2025'!$G$2:$G$2619,'октябрь 2025'!$D$2:$D$2619,$B168,'октябрь 2025'!$J$2:$J$2619,O$1)</f>
        <v>0</v>
      </c>
      <c r="P168" s="183">
        <f>SUMIFS('октябрь 2025'!$G$2:$G$2619,'октябрь 2025'!$D$2:$D$2619,$B168,'октябрь 2025'!$J$2:$J$2619,P$1)</f>
        <v>0</v>
      </c>
      <c r="Q168" s="183">
        <f>SUMIFS('октябрь 2025'!$G$2:$G$2619,'октябрь 2025'!$D$2:$D$2619,$B168,'октябрь 2025'!$J$2:$J$2619,Q$1)</f>
        <v>0</v>
      </c>
      <c r="R168" s="183">
        <f>SUMIFS('октябрь 2025'!$G$2:$G$2619,'октябрь 2025'!$D$2:$D$2619,$B168,'октябрь 2025'!$J$2:$J$2619,R$1)</f>
        <v>0</v>
      </c>
      <c r="S168" s="183">
        <f>SUMIFS('октябрь 2025'!$G$2:$G$2619,'октябрь 2025'!$D$2:$D$2619,$B168,'октябрь 2025'!$J$2:$J$2619,S$1)</f>
        <v>0</v>
      </c>
      <c r="T168" s="183">
        <f>SUMIFS('октябрь 2025'!$G$2:$G$2619,'октябрь 2025'!$D$2:$D$2619,$B168,'октябрь 2025'!$J$2:$J$2619,T$1)</f>
        <v>0</v>
      </c>
      <c r="U168" s="183">
        <f>SUMIFS('октябрь 2025'!$G$2:$G$2619,'октябрь 2025'!$D$2:$D$2619,$B168,'октябрь 2025'!$J$2:$J$2619,U$1)</f>
        <v>0</v>
      </c>
      <c r="V168" s="183">
        <f>SUMIFS('октябрь 2025'!$G$2:$G$2619,'октябрь 2025'!$D$2:$D$2619,$B168,'октябрь 2025'!$J$2:$J$2619,V$1)</f>
        <v>0</v>
      </c>
      <c r="W168" s="183">
        <f>SUMIFS('октябрь 2025'!$G$2:$G$2619,'октябрь 2025'!$D$2:$D$2619,$B168,'октябрь 2025'!$J$2:$J$2619,W$1)</f>
        <v>0</v>
      </c>
      <c r="X168" s="183">
        <f>SUMIFS('октябрь 2025'!$G$2:$G$2619,'октябрь 2025'!$D$2:$D$2619,$B168,'октябрь 2025'!$J$2:$J$2619,X$1)</f>
        <v>0</v>
      </c>
      <c r="Y168" s="183">
        <f>SUMIFS('октябрь 2025'!$G$2:$G$2619,'октябрь 2025'!$D$2:$D$2619,$B168,'октябрь 2025'!$J$2:$J$2619,Y$1)</f>
        <v>0</v>
      </c>
      <c r="Z168" s="183">
        <f>SUMIFS('октябрь 2025'!$G$2:$G$2619,'октябрь 2025'!$D$2:$D$2619,$B168,'октябрь 2025'!$J$2:$J$2619,Z$1)</f>
        <v>0</v>
      </c>
      <c r="AA168" s="183">
        <f>SUMIFS('октябрь 2025'!$G$2:$G$2619,'октябрь 2025'!$D$2:$D$2619,$B168,'октябрь 2025'!$J$2:$J$2619,AA$1)</f>
        <v>0</v>
      </c>
      <c r="AB168" s="183">
        <f>SUMIFS('октябрь 2025'!$G$2:$G$2619,'октябрь 2025'!$D$2:$D$2619,$B168,'октябрь 2025'!$J$2:$J$2619,AB$1)</f>
        <v>0</v>
      </c>
      <c r="AC168" s="183">
        <f>SUMIFS('октябрь 2025'!$G$2:$G$2619,'октябрь 2025'!$D$2:$D$2619,$B168,'октябрь 2025'!$J$2:$J$2619,AC$1)</f>
        <v>0</v>
      </c>
      <c r="AD168" s="183">
        <f>SUMIFS('октябрь 2025'!$G$2:$G$2619,'октябрь 2025'!$D$2:$D$2619,$B168,'октябрь 2025'!$J$2:$J$2619,AD$1)</f>
        <v>0</v>
      </c>
      <c r="AE168" s="183">
        <f>SUMIFS('октябрь 2025'!$G$2:$G$2619,'октябрь 2025'!$D$2:$D$2619,$B168,'октябрь 2025'!$J$2:$J$2619,AE$1)</f>
        <v>0</v>
      </c>
      <c r="AF168" s="183">
        <f>SUMIFS('октябрь 2025'!$G$2:$G$2619,'октябрь 2025'!$D$2:$D$2619,$B168,'октябрь 2025'!$J$2:$J$2619,AF$1)</f>
        <v>0</v>
      </c>
      <c r="AG168" s="183">
        <f>SUMIFS('октябрь 2025'!$G$2:$G$2619,'октябрь 2025'!$D$2:$D$2619,$B168,'октябрь 2025'!$J$2:$J$2619,AG$1)</f>
        <v>0</v>
      </c>
      <c r="AH168" s="183">
        <f>SUMIFS('октябрь 2025'!$G$2:$G$2619,'октябрь 2025'!$D$2:$D$2619,$B168,'октябрь 2025'!$J$2:$J$2619,AH$1)</f>
        <v>0</v>
      </c>
      <c r="AI168" s="20">
        <f t="shared" ref="AI168:AI170" si="2">SUM(D168:AH168)</f>
        <v>0</v>
      </c>
    </row>
    <row r="169" spans="2:35" ht="15" customHeight="1" x14ac:dyDescent="0.25">
      <c r="B169" s="84" t="s">
        <v>322</v>
      </c>
      <c r="C169" s="83">
        <v>200</v>
      </c>
      <c r="D169" s="183">
        <f>SUMIFS('октябрь 2025'!$G$2:$G$2619,'октябрь 2025'!$D$2:$D$2619,$B169,'октябрь 2025'!$J$2:$J$2619,D$1)</f>
        <v>0</v>
      </c>
      <c r="E169" s="183">
        <f>SUMIFS('октябрь 2025'!$G$2:$G$2619,'октябрь 2025'!$D$2:$D$2619,$B169,'октябрь 2025'!$J$2:$J$2619,E$1)</f>
        <v>0</v>
      </c>
      <c r="F169" s="183">
        <f>SUMIFS('октябрь 2025'!$G$2:$G$2619,'октябрь 2025'!$D$2:$D$2619,$B169,'октябрь 2025'!$J$2:$J$2619,F$1)</f>
        <v>0</v>
      </c>
      <c r="G169" s="183">
        <f>SUMIFS('октябрь 2025'!$G$2:$G$2619,'октябрь 2025'!$D$2:$D$2619,$B169,'октябрь 2025'!$J$2:$J$2619,G$1)</f>
        <v>0</v>
      </c>
      <c r="H169" s="183">
        <f>SUMIFS('октябрь 2025'!$G$2:$G$2619,'октябрь 2025'!$D$2:$D$2619,$B169,'октябрь 2025'!$J$2:$J$2619,H$1)</f>
        <v>0</v>
      </c>
      <c r="I169" s="183">
        <f>SUMIFS('октябрь 2025'!$G$2:$G$2619,'октябрь 2025'!$D$2:$D$2619,$B169,'октябрь 2025'!$J$2:$J$2619,I$1)</f>
        <v>0</v>
      </c>
      <c r="J169" s="183">
        <f>SUMIFS('октябрь 2025'!$G$2:$G$2619,'октябрь 2025'!$D$2:$D$2619,$B169,'октябрь 2025'!$J$2:$J$2619,J$1)</f>
        <v>0</v>
      </c>
      <c r="K169" s="183">
        <f>SUMIFS('октябрь 2025'!$G$2:$G$2619,'октябрь 2025'!$D$2:$D$2619,$B169,'октябрь 2025'!$J$2:$J$2619,K$1)</f>
        <v>0</v>
      </c>
      <c r="L169" s="183">
        <f>SUMIFS('октябрь 2025'!$G$2:$G$2619,'октябрь 2025'!$D$2:$D$2619,$B169,'октябрь 2025'!$J$2:$J$2619,L$1)</f>
        <v>0</v>
      </c>
      <c r="M169" s="183">
        <f>SUMIFS('октябрь 2025'!$G$2:$G$2619,'октябрь 2025'!$D$2:$D$2619,$B169,'октябрь 2025'!$J$2:$J$2619,M$1)</f>
        <v>0</v>
      </c>
      <c r="N169" s="183">
        <f>SUMIFS('октябрь 2025'!$G$2:$G$2619,'октябрь 2025'!$D$2:$D$2619,$B169,'октябрь 2025'!$J$2:$J$2619,N$1)</f>
        <v>0</v>
      </c>
      <c r="O169" s="183">
        <f>SUMIFS('октябрь 2025'!$G$2:$G$2619,'октябрь 2025'!$D$2:$D$2619,$B169,'октябрь 2025'!$J$2:$J$2619,O$1)</f>
        <v>0</v>
      </c>
      <c r="P169" s="183">
        <f>SUMIFS('октябрь 2025'!$G$2:$G$2619,'октябрь 2025'!$D$2:$D$2619,$B169,'октябрь 2025'!$J$2:$J$2619,P$1)</f>
        <v>0</v>
      </c>
      <c r="Q169" s="183">
        <f>SUMIFS('октябрь 2025'!$G$2:$G$2619,'октябрь 2025'!$D$2:$D$2619,$B169,'октябрь 2025'!$J$2:$J$2619,Q$1)</f>
        <v>0</v>
      </c>
      <c r="R169" s="183">
        <f>SUMIFS('октябрь 2025'!$G$2:$G$2619,'октябрь 2025'!$D$2:$D$2619,$B169,'октябрь 2025'!$J$2:$J$2619,R$1)</f>
        <v>0</v>
      </c>
      <c r="S169" s="183">
        <f>SUMIFS('октябрь 2025'!$G$2:$G$2619,'октябрь 2025'!$D$2:$D$2619,$B169,'октябрь 2025'!$J$2:$J$2619,S$1)</f>
        <v>0</v>
      </c>
      <c r="T169" s="183">
        <f>SUMIFS('октябрь 2025'!$G$2:$G$2619,'октябрь 2025'!$D$2:$D$2619,$B169,'октябрь 2025'!$J$2:$J$2619,T$1)</f>
        <v>0</v>
      </c>
      <c r="U169" s="183">
        <f>SUMIFS('октябрь 2025'!$G$2:$G$2619,'октябрь 2025'!$D$2:$D$2619,$B169,'октябрь 2025'!$J$2:$J$2619,U$1)</f>
        <v>0</v>
      </c>
      <c r="V169" s="183">
        <f>SUMIFS('октябрь 2025'!$G$2:$G$2619,'октябрь 2025'!$D$2:$D$2619,$B169,'октябрь 2025'!$J$2:$J$2619,V$1)</f>
        <v>0</v>
      </c>
      <c r="W169" s="183">
        <f>SUMIFS('октябрь 2025'!$G$2:$G$2619,'октябрь 2025'!$D$2:$D$2619,$B169,'октябрь 2025'!$J$2:$J$2619,W$1)</f>
        <v>0</v>
      </c>
      <c r="X169" s="183">
        <f>SUMIFS('октябрь 2025'!$G$2:$G$2619,'октябрь 2025'!$D$2:$D$2619,$B169,'октябрь 2025'!$J$2:$J$2619,X$1)</f>
        <v>0</v>
      </c>
      <c r="Y169" s="183">
        <f>SUMIFS('октябрь 2025'!$G$2:$G$2619,'октябрь 2025'!$D$2:$D$2619,$B169,'октябрь 2025'!$J$2:$J$2619,Y$1)</f>
        <v>0</v>
      </c>
      <c r="Z169" s="183">
        <f>SUMIFS('октябрь 2025'!$G$2:$G$2619,'октябрь 2025'!$D$2:$D$2619,$B169,'октябрь 2025'!$J$2:$J$2619,Z$1)</f>
        <v>0</v>
      </c>
      <c r="AA169" s="183">
        <f>SUMIFS('октябрь 2025'!$G$2:$G$2619,'октябрь 2025'!$D$2:$D$2619,$B169,'октябрь 2025'!$J$2:$J$2619,AA$1)</f>
        <v>0</v>
      </c>
      <c r="AB169" s="183">
        <f>SUMIFS('октябрь 2025'!$G$2:$G$2619,'октябрь 2025'!$D$2:$D$2619,$B169,'октябрь 2025'!$J$2:$J$2619,AB$1)</f>
        <v>0</v>
      </c>
      <c r="AC169" s="183">
        <f>SUMIFS('октябрь 2025'!$G$2:$G$2619,'октябрь 2025'!$D$2:$D$2619,$B169,'октябрь 2025'!$J$2:$J$2619,AC$1)</f>
        <v>0</v>
      </c>
      <c r="AD169" s="183">
        <f>SUMIFS('октябрь 2025'!$G$2:$G$2619,'октябрь 2025'!$D$2:$D$2619,$B169,'октябрь 2025'!$J$2:$J$2619,AD$1)</f>
        <v>0</v>
      </c>
      <c r="AE169" s="183">
        <f>SUMIFS('октябрь 2025'!$G$2:$G$2619,'октябрь 2025'!$D$2:$D$2619,$B169,'октябрь 2025'!$J$2:$J$2619,AE$1)</f>
        <v>0</v>
      </c>
      <c r="AF169" s="183">
        <f>SUMIFS('октябрь 2025'!$G$2:$G$2619,'октябрь 2025'!$D$2:$D$2619,$B169,'октябрь 2025'!$J$2:$J$2619,AF$1)</f>
        <v>0</v>
      </c>
      <c r="AG169" s="183">
        <f>SUMIFS('октябрь 2025'!$G$2:$G$2619,'октябрь 2025'!$D$2:$D$2619,$B169,'октябрь 2025'!$J$2:$J$2619,AG$1)</f>
        <v>0</v>
      </c>
      <c r="AH169" s="183">
        <f>SUMIFS('октябрь 2025'!$G$2:$G$2619,'октябрь 2025'!$D$2:$D$2619,$B169,'октябрь 2025'!$J$2:$J$2619,AH$1)</f>
        <v>0</v>
      </c>
      <c r="AI169" s="20">
        <f t="shared" si="2"/>
        <v>0</v>
      </c>
    </row>
    <row r="170" spans="2:35" ht="15" customHeight="1" x14ac:dyDescent="0.25">
      <c r="B170" s="84" t="s">
        <v>810</v>
      </c>
      <c r="C170" s="83">
        <v>200</v>
      </c>
      <c r="D170" s="183">
        <f>SUMIFS('октябрь 2025'!$G$2:$G$2619,'октябрь 2025'!$D$2:$D$2619,$B170,'октябрь 2025'!$J$2:$J$2619,D$1)</f>
        <v>0</v>
      </c>
      <c r="E170" s="183">
        <f>SUMIFS('октябрь 2025'!$G$2:$G$2619,'октябрь 2025'!$D$2:$D$2619,$B170,'октябрь 2025'!$J$2:$J$2619,E$1)</f>
        <v>0</v>
      </c>
      <c r="F170" s="183">
        <f>SUMIFS('октябрь 2025'!$G$2:$G$2619,'октябрь 2025'!$D$2:$D$2619,$B170,'октябрь 2025'!$J$2:$J$2619,F$1)</f>
        <v>0</v>
      </c>
      <c r="G170" s="183">
        <f>SUMIFS('октябрь 2025'!$G$2:$G$2619,'октябрь 2025'!$D$2:$D$2619,$B170,'октябрь 2025'!$J$2:$J$2619,G$1)</f>
        <v>0</v>
      </c>
      <c r="H170" s="183">
        <f>SUMIFS('октябрь 2025'!$G$2:$G$2619,'октябрь 2025'!$D$2:$D$2619,$B170,'октябрь 2025'!$J$2:$J$2619,H$1)</f>
        <v>0</v>
      </c>
      <c r="I170" s="183">
        <f>SUMIFS('октябрь 2025'!$G$2:$G$2619,'октябрь 2025'!$D$2:$D$2619,$B170,'октябрь 2025'!$J$2:$J$2619,I$1)</f>
        <v>0</v>
      </c>
      <c r="J170" s="183">
        <f>SUMIFS('октябрь 2025'!$G$2:$G$2619,'октябрь 2025'!$D$2:$D$2619,$B170,'октябрь 2025'!$J$2:$J$2619,J$1)</f>
        <v>0</v>
      </c>
      <c r="K170" s="183">
        <f>SUMIFS('октябрь 2025'!$G$2:$G$2619,'октябрь 2025'!$D$2:$D$2619,$B170,'октябрь 2025'!$J$2:$J$2619,K$1)</f>
        <v>0</v>
      </c>
      <c r="L170" s="183">
        <f>SUMIFS('октябрь 2025'!$G$2:$G$2619,'октябрь 2025'!$D$2:$D$2619,$B170,'октябрь 2025'!$J$2:$J$2619,L$1)</f>
        <v>0</v>
      </c>
      <c r="M170" s="183">
        <f>SUMIFS('октябрь 2025'!$G$2:$G$2619,'октябрь 2025'!$D$2:$D$2619,$B170,'октябрь 2025'!$J$2:$J$2619,M$1)</f>
        <v>0</v>
      </c>
      <c r="N170" s="183">
        <f>SUMIFS('октябрь 2025'!$G$2:$G$2619,'октябрь 2025'!$D$2:$D$2619,$B170,'октябрь 2025'!$J$2:$J$2619,N$1)</f>
        <v>0</v>
      </c>
      <c r="O170" s="183">
        <f>SUMIFS('октябрь 2025'!$G$2:$G$2619,'октябрь 2025'!$D$2:$D$2619,$B170,'октябрь 2025'!$J$2:$J$2619,O$1)</f>
        <v>0</v>
      </c>
      <c r="P170" s="183">
        <f>SUMIFS('октябрь 2025'!$G$2:$G$2619,'октябрь 2025'!$D$2:$D$2619,$B170,'октябрь 2025'!$J$2:$J$2619,P$1)</f>
        <v>0</v>
      </c>
      <c r="Q170" s="183">
        <f>SUMIFS('октябрь 2025'!$G$2:$G$2619,'октябрь 2025'!$D$2:$D$2619,$B170,'октябрь 2025'!$J$2:$J$2619,Q$1)</f>
        <v>0</v>
      </c>
      <c r="R170" s="183">
        <f>SUMIFS('октябрь 2025'!$G$2:$G$2619,'октябрь 2025'!$D$2:$D$2619,$B170,'октябрь 2025'!$J$2:$J$2619,R$1)</f>
        <v>0</v>
      </c>
      <c r="S170" s="183">
        <f>SUMIFS('октябрь 2025'!$G$2:$G$2619,'октябрь 2025'!$D$2:$D$2619,$B170,'октябрь 2025'!$J$2:$J$2619,S$1)</f>
        <v>0</v>
      </c>
      <c r="T170" s="183">
        <f>SUMIFS('октябрь 2025'!$G$2:$G$2619,'октябрь 2025'!$D$2:$D$2619,$B170,'октябрь 2025'!$J$2:$J$2619,T$1)</f>
        <v>0</v>
      </c>
      <c r="U170" s="183">
        <f>SUMIFS('октябрь 2025'!$G$2:$G$2619,'октябрь 2025'!$D$2:$D$2619,$B170,'октябрь 2025'!$J$2:$J$2619,U$1)</f>
        <v>0</v>
      </c>
      <c r="V170" s="183">
        <f>SUMIFS('октябрь 2025'!$G$2:$G$2619,'октябрь 2025'!$D$2:$D$2619,$B170,'октябрь 2025'!$J$2:$J$2619,V$1)</f>
        <v>0</v>
      </c>
      <c r="W170" s="183">
        <f>SUMIFS('октябрь 2025'!$G$2:$G$2619,'октябрь 2025'!$D$2:$D$2619,$B170,'октябрь 2025'!$J$2:$J$2619,W$1)</f>
        <v>0</v>
      </c>
      <c r="X170" s="183">
        <f>SUMIFS('октябрь 2025'!$G$2:$G$2619,'октябрь 2025'!$D$2:$D$2619,$B170,'октябрь 2025'!$J$2:$J$2619,X$1)</f>
        <v>0</v>
      </c>
      <c r="Y170" s="183">
        <f>SUMIFS('октябрь 2025'!$G$2:$G$2619,'октябрь 2025'!$D$2:$D$2619,$B170,'октябрь 2025'!$J$2:$J$2619,Y$1)</f>
        <v>0</v>
      </c>
      <c r="Z170" s="183">
        <f>SUMIFS('октябрь 2025'!$G$2:$G$2619,'октябрь 2025'!$D$2:$D$2619,$B170,'октябрь 2025'!$J$2:$J$2619,Z$1)</f>
        <v>0</v>
      </c>
      <c r="AA170" s="183">
        <f>SUMIFS('октябрь 2025'!$G$2:$G$2619,'октябрь 2025'!$D$2:$D$2619,$B170,'октябрь 2025'!$J$2:$J$2619,AA$1)</f>
        <v>0</v>
      </c>
      <c r="AB170" s="183">
        <f>SUMIFS('октябрь 2025'!$G$2:$G$2619,'октябрь 2025'!$D$2:$D$2619,$B170,'октябрь 2025'!$J$2:$J$2619,AB$1)</f>
        <v>0</v>
      </c>
      <c r="AC170" s="183">
        <f>SUMIFS('октябрь 2025'!$G$2:$G$2619,'октябрь 2025'!$D$2:$D$2619,$B170,'октябрь 2025'!$J$2:$J$2619,AC$1)</f>
        <v>0</v>
      </c>
      <c r="AD170" s="183">
        <f>SUMIFS('октябрь 2025'!$G$2:$G$2619,'октябрь 2025'!$D$2:$D$2619,$B170,'октябрь 2025'!$J$2:$J$2619,AD$1)</f>
        <v>0</v>
      </c>
      <c r="AE170" s="183">
        <f>SUMIFS('октябрь 2025'!$G$2:$G$2619,'октябрь 2025'!$D$2:$D$2619,$B170,'октябрь 2025'!$J$2:$J$2619,AE$1)</f>
        <v>0</v>
      </c>
      <c r="AF170" s="183">
        <f>SUMIFS('октябрь 2025'!$G$2:$G$2619,'октябрь 2025'!$D$2:$D$2619,$B170,'октябрь 2025'!$J$2:$J$2619,AF$1)</f>
        <v>0</v>
      </c>
      <c r="AG170" s="183">
        <f>SUMIFS('октябрь 2025'!$G$2:$G$2619,'октябрь 2025'!$D$2:$D$2619,$B170,'октябрь 2025'!$J$2:$J$2619,AG$1)</f>
        <v>0</v>
      </c>
      <c r="AH170" s="183">
        <f>SUMIFS('октябрь 2025'!$G$2:$G$2619,'октябрь 2025'!$D$2:$D$2619,$B170,'октябрь 2025'!$J$2:$J$2619,AH$1)</f>
        <v>0</v>
      </c>
      <c r="AI170" s="20">
        <f t="shared" si="2"/>
        <v>0</v>
      </c>
    </row>
    <row r="171" spans="2:35" ht="15" customHeight="1" x14ac:dyDescent="0.25">
      <c r="B171" s="84" t="s">
        <v>995</v>
      </c>
      <c r="C171" s="83">
        <v>200</v>
      </c>
      <c r="D171" s="183">
        <f>SUMIFS('октябрь 2025'!$G$2:$G$2619,'октябрь 2025'!$D$2:$D$2619,$B171,'октябрь 2025'!$J$2:$J$2619,D$1)</f>
        <v>0</v>
      </c>
      <c r="E171" s="183">
        <f>SUMIFS('октябрь 2025'!$G$2:$G$2619,'октябрь 2025'!$D$2:$D$2619,$B171,'октябрь 2025'!$J$2:$J$2619,E$1)</f>
        <v>0</v>
      </c>
      <c r="F171" s="183">
        <f>SUMIFS('октябрь 2025'!$G$2:$G$2619,'октябрь 2025'!$D$2:$D$2619,$B171,'октябрь 2025'!$J$2:$J$2619,F$1)</f>
        <v>0</v>
      </c>
      <c r="G171" s="183">
        <f>SUMIFS('октябрь 2025'!$G$2:$G$2619,'октябрь 2025'!$D$2:$D$2619,$B171,'октябрь 2025'!$J$2:$J$2619,G$1)</f>
        <v>0</v>
      </c>
      <c r="H171" s="183">
        <f>SUMIFS('октябрь 2025'!$G$2:$G$2619,'октябрь 2025'!$D$2:$D$2619,$B171,'октябрь 2025'!$J$2:$J$2619,H$1)</f>
        <v>0</v>
      </c>
      <c r="I171" s="183">
        <f>SUMIFS('октябрь 2025'!$G$2:$G$2619,'октябрь 2025'!$D$2:$D$2619,$B171,'октябрь 2025'!$J$2:$J$2619,I$1)</f>
        <v>0</v>
      </c>
      <c r="J171" s="183">
        <f>SUMIFS('октябрь 2025'!$G$2:$G$2619,'октябрь 2025'!$D$2:$D$2619,$B171,'октябрь 2025'!$J$2:$J$2619,J$1)</f>
        <v>0</v>
      </c>
      <c r="K171" s="183">
        <f>SUMIFS('октябрь 2025'!$G$2:$G$2619,'октябрь 2025'!$D$2:$D$2619,$B171,'октябрь 2025'!$J$2:$J$2619,K$1)</f>
        <v>0</v>
      </c>
      <c r="L171" s="183">
        <f>SUMIFS('октябрь 2025'!$G$2:$G$2619,'октябрь 2025'!$D$2:$D$2619,$B171,'октябрь 2025'!$J$2:$J$2619,L$1)</f>
        <v>0</v>
      </c>
      <c r="M171" s="183">
        <f>SUMIFS('октябрь 2025'!$G$2:$G$2619,'октябрь 2025'!$D$2:$D$2619,$B171,'октябрь 2025'!$J$2:$J$2619,M$1)</f>
        <v>0</v>
      </c>
      <c r="N171" s="183">
        <f>SUMIFS('октябрь 2025'!$G$2:$G$2619,'октябрь 2025'!$D$2:$D$2619,$B171,'октябрь 2025'!$J$2:$J$2619,N$1)</f>
        <v>0</v>
      </c>
      <c r="O171" s="183">
        <f>SUMIFS('октябрь 2025'!$G$2:$G$2619,'октябрь 2025'!$D$2:$D$2619,$B171,'октябрь 2025'!$J$2:$J$2619,O$1)</f>
        <v>0</v>
      </c>
      <c r="P171" s="183">
        <f>SUMIFS('октябрь 2025'!$G$2:$G$2619,'октябрь 2025'!$D$2:$D$2619,$B171,'октябрь 2025'!$J$2:$J$2619,P$1)</f>
        <v>0</v>
      </c>
      <c r="Q171" s="183">
        <f>SUMIFS('октябрь 2025'!$G$2:$G$2619,'октябрь 2025'!$D$2:$D$2619,$B171,'октябрь 2025'!$J$2:$J$2619,Q$1)</f>
        <v>0</v>
      </c>
      <c r="R171" s="183">
        <f>SUMIFS('октябрь 2025'!$G$2:$G$2619,'октябрь 2025'!$D$2:$D$2619,$B171,'октябрь 2025'!$J$2:$J$2619,R$1)</f>
        <v>0</v>
      </c>
      <c r="S171" s="183">
        <f>SUMIFS('октябрь 2025'!$G$2:$G$2619,'октябрь 2025'!$D$2:$D$2619,$B171,'октябрь 2025'!$J$2:$J$2619,S$1)</f>
        <v>0</v>
      </c>
      <c r="T171" s="183">
        <f>SUMIFS('октябрь 2025'!$G$2:$G$2619,'октябрь 2025'!$D$2:$D$2619,$B171,'октябрь 2025'!$J$2:$J$2619,T$1)</f>
        <v>0</v>
      </c>
      <c r="U171" s="183">
        <f>SUMIFS('октябрь 2025'!$G$2:$G$2619,'октябрь 2025'!$D$2:$D$2619,$B171,'октябрь 2025'!$J$2:$J$2619,U$1)</f>
        <v>0</v>
      </c>
      <c r="V171" s="183">
        <f>SUMIFS('октябрь 2025'!$G$2:$G$2619,'октябрь 2025'!$D$2:$D$2619,$B171,'октябрь 2025'!$J$2:$J$2619,V$1)</f>
        <v>0</v>
      </c>
      <c r="W171" s="183">
        <f>SUMIFS('октябрь 2025'!$G$2:$G$2619,'октябрь 2025'!$D$2:$D$2619,$B171,'октябрь 2025'!$J$2:$J$2619,W$1)</f>
        <v>0</v>
      </c>
      <c r="X171" s="183">
        <f>SUMIFS('октябрь 2025'!$G$2:$G$2619,'октябрь 2025'!$D$2:$D$2619,$B171,'октябрь 2025'!$J$2:$J$2619,X$1)</f>
        <v>0</v>
      </c>
      <c r="Y171" s="183">
        <f>SUMIFS('октябрь 2025'!$G$2:$G$2619,'октябрь 2025'!$D$2:$D$2619,$B171,'октябрь 2025'!$J$2:$J$2619,Y$1)</f>
        <v>0</v>
      </c>
      <c r="Z171" s="183">
        <f>SUMIFS('октябрь 2025'!$G$2:$G$2619,'октябрь 2025'!$D$2:$D$2619,$B171,'октябрь 2025'!$J$2:$J$2619,Z$1)</f>
        <v>0</v>
      </c>
      <c r="AA171" s="183">
        <f>SUMIFS('октябрь 2025'!$G$2:$G$2619,'октябрь 2025'!$D$2:$D$2619,$B171,'октябрь 2025'!$J$2:$J$2619,AA$1)</f>
        <v>0</v>
      </c>
      <c r="AB171" s="183">
        <f>SUMIFS('октябрь 2025'!$G$2:$G$2619,'октябрь 2025'!$D$2:$D$2619,$B171,'октябрь 2025'!$J$2:$J$2619,AB$1)</f>
        <v>0</v>
      </c>
      <c r="AC171" s="183">
        <f>SUMIFS('октябрь 2025'!$G$2:$G$2619,'октябрь 2025'!$D$2:$D$2619,$B171,'октябрь 2025'!$J$2:$J$2619,AC$1)</f>
        <v>0</v>
      </c>
      <c r="AD171" s="183">
        <f>SUMIFS('октябрь 2025'!$G$2:$G$2619,'октябрь 2025'!$D$2:$D$2619,$B171,'октябрь 2025'!$J$2:$J$2619,AD$1)</f>
        <v>0</v>
      </c>
      <c r="AE171" s="183">
        <f>SUMIFS('октябрь 2025'!$G$2:$G$2619,'октябрь 2025'!$D$2:$D$2619,$B171,'октябрь 2025'!$J$2:$J$2619,AE$1)</f>
        <v>0</v>
      </c>
      <c r="AF171" s="183">
        <f>SUMIFS('октябрь 2025'!$G$2:$G$2619,'октябрь 2025'!$D$2:$D$2619,$B171,'октябрь 2025'!$J$2:$J$2619,AF$1)</f>
        <v>0</v>
      </c>
      <c r="AG171" s="183">
        <f>SUMIFS('октябрь 2025'!$G$2:$G$2619,'октябрь 2025'!$D$2:$D$2619,$B171,'октябрь 2025'!$J$2:$J$2619,AG$1)</f>
        <v>0</v>
      </c>
      <c r="AH171" s="183">
        <f>SUMIFS('октябрь 2025'!$G$2:$G$2619,'октябрь 2025'!$D$2:$D$2619,$B171,'октябрь 2025'!$J$2:$J$2619,AH$1)</f>
        <v>0</v>
      </c>
      <c r="AI171" s="20">
        <f t="shared" ref="AI171:AI172" si="3">SUM(D171:AH171)</f>
        <v>0</v>
      </c>
    </row>
    <row r="172" spans="2:35" ht="15" customHeight="1" x14ac:dyDescent="0.25">
      <c r="B172" s="84" t="s">
        <v>1895</v>
      </c>
      <c r="C172" s="83">
        <v>30</v>
      </c>
      <c r="D172" s="183">
        <f>SUMIFS('октябрь 2025'!$G$2:$G$2619,'октябрь 2025'!$D$2:$D$2619,$B172,'октябрь 2025'!$J$2:$J$2619,D$1)</f>
        <v>0</v>
      </c>
      <c r="E172" s="183">
        <f>SUMIFS('октябрь 2025'!$G$2:$G$2619,'октябрь 2025'!$D$2:$D$2619,$B172,'октябрь 2025'!$J$2:$J$2619,E$1)</f>
        <v>0</v>
      </c>
      <c r="F172" s="183">
        <f>SUMIFS('октябрь 2025'!$G$2:$G$2619,'октябрь 2025'!$D$2:$D$2619,$B172,'октябрь 2025'!$J$2:$J$2619,F$1)</f>
        <v>0</v>
      </c>
      <c r="G172" s="183">
        <f>SUMIFS('октябрь 2025'!$G$2:$G$2619,'октябрь 2025'!$D$2:$D$2619,$B172,'октябрь 2025'!$J$2:$J$2619,G$1)</f>
        <v>0</v>
      </c>
      <c r="H172" s="183">
        <f>SUMIFS('октябрь 2025'!$G$2:$G$2619,'октябрь 2025'!$D$2:$D$2619,$B172,'октябрь 2025'!$J$2:$J$2619,H$1)</f>
        <v>0</v>
      </c>
      <c r="I172" s="183">
        <f>SUMIFS('октябрь 2025'!$G$2:$G$2619,'октябрь 2025'!$D$2:$D$2619,$B172,'октябрь 2025'!$J$2:$J$2619,I$1)</f>
        <v>0</v>
      </c>
      <c r="J172" s="183">
        <f>SUMIFS('октябрь 2025'!$G$2:$G$2619,'октябрь 2025'!$D$2:$D$2619,$B172,'октябрь 2025'!$J$2:$J$2619,J$1)</f>
        <v>0</v>
      </c>
      <c r="K172" s="183">
        <f>SUMIFS('октябрь 2025'!$G$2:$G$2619,'октябрь 2025'!$D$2:$D$2619,$B172,'октябрь 2025'!$J$2:$J$2619,K$1)</f>
        <v>0</v>
      </c>
      <c r="L172" s="183">
        <f>SUMIFS('октябрь 2025'!$G$2:$G$2619,'октябрь 2025'!$D$2:$D$2619,$B172,'октябрь 2025'!$J$2:$J$2619,L$1)</f>
        <v>0</v>
      </c>
      <c r="M172" s="183">
        <f>SUMIFS('октябрь 2025'!$G$2:$G$2619,'октябрь 2025'!$D$2:$D$2619,$B172,'октябрь 2025'!$J$2:$J$2619,M$1)</f>
        <v>0</v>
      </c>
      <c r="N172" s="183">
        <f>SUMIFS('октябрь 2025'!$G$2:$G$2619,'октябрь 2025'!$D$2:$D$2619,$B172,'октябрь 2025'!$J$2:$J$2619,N$1)</f>
        <v>0</v>
      </c>
      <c r="O172" s="183">
        <f>SUMIFS('октябрь 2025'!$G$2:$G$2619,'октябрь 2025'!$D$2:$D$2619,$B172,'октябрь 2025'!$J$2:$J$2619,O$1)</f>
        <v>0</v>
      </c>
      <c r="P172" s="183">
        <f>SUMIFS('октябрь 2025'!$G$2:$G$2619,'октябрь 2025'!$D$2:$D$2619,$B172,'октябрь 2025'!$J$2:$J$2619,P$1)</f>
        <v>0</v>
      </c>
      <c r="Q172" s="183">
        <f>SUMIFS('октябрь 2025'!$G$2:$G$2619,'октябрь 2025'!$D$2:$D$2619,$B172,'октябрь 2025'!$J$2:$J$2619,Q$1)</f>
        <v>0</v>
      </c>
      <c r="R172" s="183">
        <f>SUMIFS('октябрь 2025'!$G$2:$G$2619,'октябрь 2025'!$D$2:$D$2619,$B172,'октябрь 2025'!$J$2:$J$2619,R$1)</f>
        <v>0</v>
      </c>
      <c r="S172" s="183">
        <f>SUMIFS('октябрь 2025'!$G$2:$G$2619,'октябрь 2025'!$D$2:$D$2619,$B172,'октябрь 2025'!$J$2:$J$2619,S$1)</f>
        <v>0</v>
      </c>
      <c r="T172" s="183">
        <f>SUMIFS('октябрь 2025'!$G$2:$G$2619,'октябрь 2025'!$D$2:$D$2619,$B172,'октябрь 2025'!$J$2:$J$2619,T$1)</f>
        <v>0</v>
      </c>
      <c r="U172" s="183">
        <f>SUMIFS('октябрь 2025'!$G$2:$G$2619,'октябрь 2025'!$D$2:$D$2619,$B172,'октябрь 2025'!$J$2:$J$2619,U$1)</f>
        <v>0</v>
      </c>
      <c r="V172" s="183">
        <f>SUMIFS('октябрь 2025'!$G$2:$G$2619,'октябрь 2025'!$D$2:$D$2619,$B172,'октябрь 2025'!$J$2:$J$2619,V$1)</f>
        <v>0</v>
      </c>
      <c r="W172" s="183">
        <f>SUMIFS('октябрь 2025'!$G$2:$G$2619,'октябрь 2025'!$D$2:$D$2619,$B172,'октябрь 2025'!$J$2:$J$2619,W$1)</f>
        <v>0</v>
      </c>
      <c r="X172" s="183">
        <f>SUMIFS('октябрь 2025'!$G$2:$G$2619,'октябрь 2025'!$D$2:$D$2619,$B172,'октябрь 2025'!$J$2:$J$2619,X$1)</f>
        <v>0</v>
      </c>
      <c r="Y172" s="183">
        <f>SUMIFS('октябрь 2025'!$G$2:$G$2619,'октябрь 2025'!$D$2:$D$2619,$B172,'октябрь 2025'!$J$2:$J$2619,Y$1)</f>
        <v>0</v>
      </c>
      <c r="Z172" s="183">
        <f>SUMIFS('октябрь 2025'!$G$2:$G$2619,'октябрь 2025'!$D$2:$D$2619,$B172,'октябрь 2025'!$J$2:$J$2619,Z$1)</f>
        <v>0</v>
      </c>
      <c r="AA172" s="183">
        <f>SUMIFS('октябрь 2025'!$G$2:$G$2619,'октябрь 2025'!$D$2:$D$2619,$B172,'октябрь 2025'!$J$2:$J$2619,AA$1)</f>
        <v>0</v>
      </c>
      <c r="AB172" s="183">
        <f>SUMIFS('октябрь 2025'!$G$2:$G$2619,'октябрь 2025'!$D$2:$D$2619,$B172,'октябрь 2025'!$J$2:$J$2619,AB$1)</f>
        <v>0</v>
      </c>
      <c r="AC172" s="183">
        <f>SUMIFS('октябрь 2025'!$G$2:$G$2619,'октябрь 2025'!$D$2:$D$2619,$B172,'октябрь 2025'!$J$2:$J$2619,AC$1)</f>
        <v>0</v>
      </c>
      <c r="AD172" s="183">
        <f>SUMIFS('октябрь 2025'!$G$2:$G$2619,'октябрь 2025'!$D$2:$D$2619,$B172,'октябрь 2025'!$J$2:$J$2619,AD$1)</f>
        <v>0</v>
      </c>
      <c r="AE172" s="183">
        <f>SUMIFS('октябрь 2025'!$G$2:$G$2619,'октябрь 2025'!$D$2:$D$2619,$B172,'октябрь 2025'!$J$2:$J$2619,AE$1)</f>
        <v>0</v>
      </c>
      <c r="AF172" s="183">
        <f>SUMIFS('октябрь 2025'!$G$2:$G$2619,'октябрь 2025'!$D$2:$D$2619,$B172,'октябрь 2025'!$J$2:$J$2619,AF$1)</f>
        <v>4</v>
      </c>
      <c r="AG172" s="183">
        <f>SUMIFS('октябрь 2025'!$G$2:$G$2619,'октябрь 2025'!$D$2:$D$2619,$B172,'октябрь 2025'!$J$2:$J$2619,AG$1)</f>
        <v>0</v>
      </c>
      <c r="AH172" s="183">
        <f>SUMIFS('октябрь 2025'!$G$2:$G$2619,'октябрь 2025'!$D$2:$D$2619,$B172,'октябрь 2025'!$J$2:$J$2619,AH$1)</f>
        <v>0</v>
      </c>
      <c r="AI172" s="20">
        <f t="shared" si="3"/>
        <v>4</v>
      </c>
    </row>
    <row r="173" spans="2:35" ht="15" customHeight="1" x14ac:dyDescent="0.25">
      <c r="B173" s="84"/>
      <c r="C173" s="83"/>
      <c r="D173" s="183">
        <f>SUMIFS('июнь 2025'!$G$5:$G$2470,'июнь 2025'!$D$5:$D$2470,$B173,'июнь 2025'!$J$5:$J$2470,D$1)</f>
        <v>0</v>
      </c>
      <c r="E173" s="183">
        <f>SUMIFS('июнь 2025'!$G$5:$G$2470,'июнь 2025'!$D$5:$D$2470,$B173,'июнь 2025'!$J$5:$J$2470,E$1)</f>
        <v>0</v>
      </c>
      <c r="F173" s="183">
        <f>SUMIFS('июнь 2025'!$G$5:$G$2470,'июнь 2025'!$D$5:$D$2470,$B173,'июнь 2025'!$J$5:$J$2470,F$1)</f>
        <v>0</v>
      </c>
      <c r="G173" s="183">
        <f>SUMIFS('июнь 2025'!$G$5:$G$2470,'июнь 2025'!$D$5:$D$2470,$B173,'июнь 2025'!$J$5:$J$2470,G$1)</f>
        <v>0</v>
      </c>
      <c r="H173" s="183">
        <f>SUMIFS('июнь 2025'!$G$5:$G$2470,'июнь 2025'!$D$5:$D$2470,$B173,'июнь 2025'!$J$5:$J$2470,H$1)</f>
        <v>0</v>
      </c>
      <c r="I173" s="183">
        <f>SUMIFS('июнь 2025'!$G$5:$G$2470,'июнь 2025'!$D$5:$D$2470,$B173,'июнь 2025'!$J$5:$J$2470,I$1)</f>
        <v>0</v>
      </c>
      <c r="J173" s="183">
        <f>SUMIFS('июнь 2025'!$G$5:$G$2470,'июнь 2025'!$D$5:$D$2470,$B173,'июнь 2025'!$J$5:$J$2470,J$1)</f>
        <v>0</v>
      </c>
      <c r="K173" s="183">
        <f>SUMIFS('июнь 2025'!$G$5:$G$2470,'июнь 2025'!$D$5:$D$2470,$B173,'июнь 2025'!$J$5:$J$2470,K$1)</f>
        <v>0</v>
      </c>
      <c r="L173" s="183">
        <f>SUMIFS('июнь 2025'!$G$5:$G$2470,'июнь 2025'!$D$5:$D$2470,$B173,'июнь 2025'!$J$5:$J$2470,L$1)</f>
        <v>0</v>
      </c>
      <c r="M173" s="183">
        <f>SUMIFS('июнь 2025'!$G$5:$G$2470,'июнь 2025'!$D$5:$D$2470,$B173,'июнь 2025'!$J$5:$J$2470,M$1)</f>
        <v>0</v>
      </c>
      <c r="N173" s="183">
        <f>SUMIFS('июнь 2025'!$G$5:$G$2470,'июнь 2025'!$D$5:$D$2470,$B173,'июнь 2025'!$J$5:$J$2470,N$1)</f>
        <v>0</v>
      </c>
      <c r="O173" s="183">
        <f>SUMIFS('июнь 2025'!$G$5:$G$2470,'июнь 2025'!$D$5:$D$2470,$B173,'июнь 2025'!$J$5:$J$2470,O$1)</f>
        <v>0</v>
      </c>
      <c r="P173" s="183">
        <f>SUMIFS('июнь 2025'!$G$5:$G$2470,'июнь 2025'!$D$5:$D$2470,$B173,'июнь 2025'!$J$5:$J$2470,P$1)</f>
        <v>0</v>
      </c>
      <c r="Q173" s="183">
        <f>SUMIFS('июнь 2025'!$G$5:$G$2470,'июнь 2025'!$D$5:$D$2470,$B173,'июнь 2025'!$J$5:$J$2470,Q$1)</f>
        <v>0</v>
      </c>
      <c r="R173" s="183">
        <f>SUMIFS('июнь 2025'!$G$5:$G$2470,'июнь 2025'!$D$5:$D$2470,$B173,'июнь 2025'!$J$5:$J$2470,R$1)</f>
        <v>0</v>
      </c>
      <c r="S173" s="183">
        <f>SUMIFS('июнь 2025'!$G$5:$G$2470,'июнь 2025'!$D$5:$D$2470,$B173,'июнь 2025'!$J$5:$J$2470,S$1)</f>
        <v>0</v>
      </c>
      <c r="T173" s="183">
        <f>SUMIFS('июнь 2025'!$G$5:$G$2470,'июнь 2025'!$D$5:$D$2470,$B173,'июнь 2025'!$J$5:$J$2470,T$1)</f>
        <v>0</v>
      </c>
      <c r="U173" s="183">
        <f>SUMIFS('июнь 2025'!$G$5:$G$2470,'июнь 2025'!$D$5:$D$2470,$B173,'июнь 2025'!$J$5:$J$2470,U$1)</f>
        <v>0</v>
      </c>
      <c r="V173" s="183">
        <f>SUMIFS('июнь 2025'!$G$5:$G$2470,'июнь 2025'!$D$5:$D$2470,$B173,'июнь 2025'!$J$5:$J$2470,V$1)</f>
        <v>0</v>
      </c>
      <c r="W173" s="183">
        <f>SUMIFS('июнь 2025'!$G$5:$G$2470,'июнь 2025'!$D$5:$D$2470,$B173,'июнь 2025'!$J$5:$J$2470,W$1)</f>
        <v>0</v>
      </c>
      <c r="X173" s="183">
        <f>SUMIFS('июнь 2025'!$G$5:$G$2470,'июнь 2025'!$D$5:$D$2470,$B173,'июнь 2025'!$J$5:$J$2470,X$1)</f>
        <v>0</v>
      </c>
      <c r="Y173" s="183">
        <f>SUMIFS('июнь 2025'!$G$5:$G$2470,'июнь 2025'!$D$5:$D$2470,$B173,'июнь 2025'!$J$5:$J$2470,Y$1)</f>
        <v>0</v>
      </c>
      <c r="Z173" s="183">
        <f>SUMIFS('июнь 2025'!$G$5:$G$2470,'июнь 2025'!$D$5:$D$2470,$B173,'июнь 2025'!$J$5:$J$2470,Z$1)</f>
        <v>0</v>
      </c>
      <c r="AA173" s="183">
        <f>SUMIFS('июнь 2025'!$G$5:$G$2470,'июнь 2025'!$D$5:$D$2470,$B173,'июнь 2025'!$J$5:$J$2470,AA$1)</f>
        <v>0</v>
      </c>
      <c r="AB173" s="183">
        <f>SUMIFS('июнь 2025'!$G$5:$G$2470,'июнь 2025'!$D$5:$D$2470,$B173,'июнь 2025'!$J$5:$J$2470,AB$1)</f>
        <v>0</v>
      </c>
      <c r="AC173" s="183">
        <f>SUMIFS('июнь 2025'!$G$5:$G$2470,'июнь 2025'!$D$5:$D$2470,$B173,'июнь 2025'!$J$5:$J$2470,AC$1)</f>
        <v>0</v>
      </c>
      <c r="AD173" s="183">
        <f>SUMIFS('июнь 2025'!$G$5:$G$2470,'июнь 2025'!$D$5:$D$2470,$B173,'июнь 2025'!$J$5:$J$2470,AD$1)</f>
        <v>0</v>
      </c>
      <c r="AE173" s="183">
        <f>SUMIFS('июнь 2025'!$G$5:$G$2470,'июнь 2025'!$D$5:$D$2470,$B173,'июнь 2025'!$J$5:$J$2470,AE$1)</f>
        <v>0</v>
      </c>
      <c r="AF173" s="183">
        <f>SUMIFS('июнь 2025'!$G$5:$G$2470,'июнь 2025'!$D$5:$D$2470,$B173,'июнь 2025'!$J$5:$J$2470,AF$1)</f>
        <v>0</v>
      </c>
      <c r="AG173" s="183">
        <f>SUMIFS('июнь 2025'!$G$5:$G$2470,'июнь 2025'!$D$5:$D$2470,$B173,'июнь 2025'!$J$5:$J$2470,AG$1)</f>
        <v>0</v>
      </c>
      <c r="AH173" s="183">
        <f>SUMIFS('июнь 2025'!$G$5:$G$2470,'июнь 2025'!$D$5:$D$2470,$B173,'июнь 2025'!$J$5:$J$2470,AH$1)</f>
        <v>0</v>
      </c>
      <c r="AI173" s="20"/>
    </row>
    <row r="174" spans="2:35" ht="15" customHeight="1" x14ac:dyDescent="0.25">
      <c r="B174" s="84"/>
      <c r="C174" s="83"/>
      <c r="D174" s="183">
        <f>SUMIFS('июнь 2025'!$G$5:$G$2470,'июнь 2025'!$D$5:$D$2470,$B174,'июнь 2025'!$J$5:$J$2470,D$1)</f>
        <v>0</v>
      </c>
      <c r="E174" s="183">
        <f>SUMIFS('июнь 2025'!$G$5:$G$2470,'июнь 2025'!$D$5:$D$2470,$B174,'июнь 2025'!$J$5:$J$2470,E$1)</f>
        <v>0</v>
      </c>
      <c r="F174" s="183">
        <f>SUMIFS('июнь 2025'!$G$5:$G$2470,'июнь 2025'!$D$5:$D$2470,$B174,'июнь 2025'!$J$5:$J$2470,F$1)</f>
        <v>0</v>
      </c>
      <c r="G174" s="183">
        <f>SUMIFS('июнь 2025'!$G$5:$G$2470,'июнь 2025'!$D$5:$D$2470,$B174,'июнь 2025'!$J$5:$J$2470,G$1)</f>
        <v>0</v>
      </c>
      <c r="H174" s="183">
        <f>SUMIFS('июнь 2025'!$G$5:$G$2470,'июнь 2025'!$D$5:$D$2470,$B174,'июнь 2025'!$J$5:$J$2470,H$1)</f>
        <v>0</v>
      </c>
      <c r="I174" s="183">
        <f>SUMIFS('июнь 2025'!$G$5:$G$2470,'июнь 2025'!$D$5:$D$2470,$B174,'июнь 2025'!$J$5:$J$2470,I$1)</f>
        <v>0</v>
      </c>
      <c r="J174" s="183">
        <f>SUMIFS('июнь 2025'!$G$5:$G$2470,'июнь 2025'!$D$5:$D$2470,$B174,'июнь 2025'!$J$5:$J$2470,J$1)</f>
        <v>0</v>
      </c>
      <c r="K174" s="183">
        <f>SUMIFS('июнь 2025'!$G$5:$G$2470,'июнь 2025'!$D$5:$D$2470,$B174,'июнь 2025'!$J$5:$J$2470,K$1)</f>
        <v>0</v>
      </c>
      <c r="L174" s="183">
        <f>SUMIFS('июнь 2025'!$G$5:$G$2470,'июнь 2025'!$D$5:$D$2470,$B174,'июнь 2025'!$J$5:$J$2470,L$1)</f>
        <v>0</v>
      </c>
      <c r="M174" s="183">
        <f>SUMIFS('июнь 2025'!$G$5:$G$2470,'июнь 2025'!$D$5:$D$2470,$B174,'июнь 2025'!$J$5:$J$2470,M$1)</f>
        <v>0</v>
      </c>
      <c r="N174" s="183">
        <f>SUMIFS('июнь 2025'!$G$5:$G$2470,'июнь 2025'!$D$5:$D$2470,$B174,'июнь 2025'!$J$5:$J$2470,N$1)</f>
        <v>0</v>
      </c>
      <c r="O174" s="183">
        <f>SUMIFS('июнь 2025'!$G$5:$G$2470,'июнь 2025'!$D$5:$D$2470,$B174,'июнь 2025'!$J$5:$J$2470,O$1)</f>
        <v>0</v>
      </c>
      <c r="P174" s="183">
        <f>SUMIFS('июнь 2025'!$G$5:$G$2470,'июнь 2025'!$D$5:$D$2470,$B174,'июнь 2025'!$J$5:$J$2470,P$1)</f>
        <v>0</v>
      </c>
      <c r="Q174" s="183">
        <f>SUMIFS('июнь 2025'!$G$5:$G$2470,'июнь 2025'!$D$5:$D$2470,$B174,'июнь 2025'!$J$5:$J$2470,Q$1)</f>
        <v>0</v>
      </c>
      <c r="R174" s="183">
        <f>SUMIFS('июнь 2025'!$G$5:$G$2470,'июнь 2025'!$D$5:$D$2470,$B174,'июнь 2025'!$J$5:$J$2470,R$1)</f>
        <v>0</v>
      </c>
      <c r="S174" s="183">
        <f>SUMIFS('июнь 2025'!$G$5:$G$2470,'июнь 2025'!$D$5:$D$2470,$B174,'июнь 2025'!$J$5:$J$2470,S$1)</f>
        <v>0</v>
      </c>
      <c r="T174" s="183">
        <f>SUMIFS('июнь 2025'!$G$5:$G$2470,'июнь 2025'!$D$5:$D$2470,$B174,'июнь 2025'!$J$5:$J$2470,T$1)</f>
        <v>0</v>
      </c>
      <c r="U174" s="183">
        <f>SUMIFS('июнь 2025'!$G$5:$G$2470,'июнь 2025'!$D$5:$D$2470,$B174,'июнь 2025'!$J$5:$J$2470,U$1)</f>
        <v>0</v>
      </c>
      <c r="V174" s="183">
        <f>SUMIFS('июнь 2025'!$G$5:$G$2470,'июнь 2025'!$D$5:$D$2470,$B174,'июнь 2025'!$J$5:$J$2470,V$1)</f>
        <v>0</v>
      </c>
      <c r="W174" s="183">
        <f>SUMIFS('июнь 2025'!$G$5:$G$2470,'июнь 2025'!$D$5:$D$2470,$B174,'июнь 2025'!$J$5:$J$2470,W$1)</f>
        <v>0</v>
      </c>
      <c r="X174" s="183">
        <f>SUMIFS('июнь 2025'!$G$5:$G$2470,'июнь 2025'!$D$5:$D$2470,$B174,'июнь 2025'!$J$5:$J$2470,X$1)</f>
        <v>0</v>
      </c>
      <c r="Y174" s="183">
        <f>SUMIFS('июнь 2025'!$G$5:$G$2470,'июнь 2025'!$D$5:$D$2470,$B174,'июнь 2025'!$J$5:$J$2470,Y$1)</f>
        <v>0</v>
      </c>
      <c r="Z174" s="183">
        <f>SUMIFS('июнь 2025'!$G$5:$G$2470,'июнь 2025'!$D$5:$D$2470,$B174,'июнь 2025'!$J$5:$J$2470,Z$1)</f>
        <v>0</v>
      </c>
      <c r="AA174" s="183">
        <f>SUMIFS('июнь 2025'!$G$5:$G$2470,'июнь 2025'!$D$5:$D$2470,$B174,'июнь 2025'!$J$5:$J$2470,AA$1)</f>
        <v>0</v>
      </c>
      <c r="AB174" s="183">
        <f>SUMIFS('июнь 2025'!$G$5:$G$2470,'июнь 2025'!$D$5:$D$2470,$B174,'июнь 2025'!$J$5:$J$2470,AB$1)</f>
        <v>0</v>
      </c>
      <c r="AC174" s="183">
        <f>SUMIFS('июнь 2025'!$G$5:$G$2470,'июнь 2025'!$D$5:$D$2470,$B174,'июнь 2025'!$J$5:$J$2470,AC$1)</f>
        <v>0</v>
      </c>
      <c r="AD174" s="183">
        <f>SUMIFS('июнь 2025'!$G$5:$G$2470,'июнь 2025'!$D$5:$D$2470,$B174,'июнь 2025'!$J$5:$J$2470,AD$1)</f>
        <v>0</v>
      </c>
      <c r="AE174" s="183">
        <f>SUMIFS('июнь 2025'!$G$5:$G$2470,'июнь 2025'!$D$5:$D$2470,$B174,'июнь 2025'!$J$5:$J$2470,AE$1)</f>
        <v>0</v>
      </c>
      <c r="AF174" s="183">
        <f>SUMIFS('июнь 2025'!$G$5:$G$2470,'июнь 2025'!$D$5:$D$2470,$B174,'июнь 2025'!$J$5:$J$2470,AF$1)</f>
        <v>0</v>
      </c>
      <c r="AG174" s="183">
        <f>SUMIFS('июнь 2025'!$G$5:$G$2470,'июнь 2025'!$D$5:$D$2470,$B174,'июнь 2025'!$J$5:$J$2470,AG$1)</f>
        <v>0</v>
      </c>
      <c r="AH174" s="183">
        <f>SUMIFS('июнь 2025'!$G$5:$G$2470,'июнь 2025'!$D$5:$D$2470,$B174,'июнь 2025'!$J$5:$J$2470,AH$1)</f>
        <v>0</v>
      </c>
      <c r="AI174" s="20"/>
    </row>
    <row r="175" spans="2:35" ht="15" customHeight="1" x14ac:dyDescent="0.25">
      <c r="B175" s="84"/>
      <c r="C175" s="83"/>
      <c r="D175" s="183">
        <f>SUMIFS('июнь 2025'!$G$5:$G$2470,'июнь 2025'!$D$5:$D$2470,$B175,'июнь 2025'!$J$5:$J$2470,D$1)</f>
        <v>0</v>
      </c>
      <c r="E175" s="183">
        <f>SUMIFS('июнь 2025'!$G$5:$G$2470,'июнь 2025'!$D$5:$D$2470,$B175,'июнь 2025'!$J$5:$J$2470,E$1)</f>
        <v>0</v>
      </c>
      <c r="F175" s="183">
        <f>SUMIFS('июнь 2025'!$G$5:$G$2470,'июнь 2025'!$D$5:$D$2470,$B175,'июнь 2025'!$J$5:$J$2470,F$1)</f>
        <v>0</v>
      </c>
      <c r="G175" s="183">
        <f>SUMIFS('июнь 2025'!$G$5:$G$2470,'июнь 2025'!$D$5:$D$2470,$B175,'июнь 2025'!$J$5:$J$2470,G$1)</f>
        <v>0</v>
      </c>
      <c r="H175" s="183">
        <f>SUMIFS('июнь 2025'!$G$5:$G$2470,'июнь 2025'!$D$5:$D$2470,$B175,'июнь 2025'!$J$5:$J$2470,H$1)</f>
        <v>0</v>
      </c>
      <c r="I175" s="183">
        <f>SUMIFS('июнь 2025'!$G$5:$G$2470,'июнь 2025'!$D$5:$D$2470,$B175,'июнь 2025'!$J$5:$J$2470,I$1)</f>
        <v>0</v>
      </c>
      <c r="J175" s="183">
        <f>SUMIFS('июнь 2025'!$G$5:$G$2470,'июнь 2025'!$D$5:$D$2470,$B175,'июнь 2025'!$J$5:$J$2470,J$1)</f>
        <v>0</v>
      </c>
      <c r="K175" s="183">
        <f>SUMIFS('июнь 2025'!$G$5:$G$2470,'июнь 2025'!$D$5:$D$2470,$B175,'июнь 2025'!$J$5:$J$2470,K$1)</f>
        <v>0</v>
      </c>
      <c r="L175" s="183">
        <f>SUMIFS('июнь 2025'!$G$5:$G$2470,'июнь 2025'!$D$5:$D$2470,$B175,'июнь 2025'!$J$5:$J$2470,L$1)</f>
        <v>0</v>
      </c>
      <c r="M175" s="183">
        <f>SUMIFS('июнь 2025'!$G$5:$G$2470,'июнь 2025'!$D$5:$D$2470,$B175,'июнь 2025'!$J$5:$J$2470,M$1)</f>
        <v>0</v>
      </c>
      <c r="N175" s="183">
        <f>SUMIFS('июнь 2025'!$G$5:$G$2470,'июнь 2025'!$D$5:$D$2470,$B175,'июнь 2025'!$J$5:$J$2470,N$1)</f>
        <v>0</v>
      </c>
      <c r="O175" s="183">
        <f>SUMIFS('июнь 2025'!$G$5:$G$2470,'июнь 2025'!$D$5:$D$2470,$B175,'июнь 2025'!$J$5:$J$2470,O$1)</f>
        <v>0</v>
      </c>
      <c r="P175" s="183">
        <f>SUMIFS('июнь 2025'!$G$5:$G$2470,'июнь 2025'!$D$5:$D$2470,$B175,'июнь 2025'!$J$5:$J$2470,P$1)</f>
        <v>0</v>
      </c>
      <c r="Q175" s="183">
        <f>SUMIFS('июнь 2025'!$G$5:$G$2470,'июнь 2025'!$D$5:$D$2470,$B175,'июнь 2025'!$J$5:$J$2470,Q$1)</f>
        <v>0</v>
      </c>
      <c r="R175" s="183">
        <f>SUMIFS('июнь 2025'!$G$5:$G$2470,'июнь 2025'!$D$5:$D$2470,$B175,'июнь 2025'!$J$5:$J$2470,R$1)</f>
        <v>0</v>
      </c>
      <c r="S175" s="183">
        <f>SUMIFS('июнь 2025'!$G$5:$G$2470,'июнь 2025'!$D$5:$D$2470,$B175,'июнь 2025'!$J$5:$J$2470,S$1)</f>
        <v>0</v>
      </c>
      <c r="T175" s="183">
        <f>SUMIFS('июнь 2025'!$G$5:$G$2470,'июнь 2025'!$D$5:$D$2470,$B175,'июнь 2025'!$J$5:$J$2470,T$1)</f>
        <v>0</v>
      </c>
      <c r="U175" s="183">
        <f>SUMIFS('июнь 2025'!$G$5:$G$2470,'июнь 2025'!$D$5:$D$2470,$B175,'июнь 2025'!$J$5:$J$2470,U$1)</f>
        <v>0</v>
      </c>
      <c r="V175" s="183">
        <f>SUMIFS('июнь 2025'!$G$5:$G$2470,'июнь 2025'!$D$5:$D$2470,$B175,'июнь 2025'!$J$5:$J$2470,V$1)</f>
        <v>0</v>
      </c>
      <c r="W175" s="183">
        <f>SUMIFS('июнь 2025'!$G$5:$G$2470,'июнь 2025'!$D$5:$D$2470,$B175,'июнь 2025'!$J$5:$J$2470,W$1)</f>
        <v>0</v>
      </c>
      <c r="X175" s="183">
        <f>SUMIFS('июнь 2025'!$G$5:$G$2470,'июнь 2025'!$D$5:$D$2470,$B175,'июнь 2025'!$J$5:$J$2470,X$1)</f>
        <v>0</v>
      </c>
      <c r="Y175" s="183">
        <f>SUMIFS('июнь 2025'!$G$5:$G$2470,'июнь 2025'!$D$5:$D$2470,$B175,'июнь 2025'!$J$5:$J$2470,Y$1)</f>
        <v>0</v>
      </c>
      <c r="Z175" s="183">
        <f>SUMIFS('июнь 2025'!$G$5:$G$2470,'июнь 2025'!$D$5:$D$2470,$B175,'июнь 2025'!$J$5:$J$2470,Z$1)</f>
        <v>0</v>
      </c>
      <c r="AA175" s="183">
        <f>SUMIFS('июнь 2025'!$G$5:$G$2470,'июнь 2025'!$D$5:$D$2470,$B175,'июнь 2025'!$J$5:$J$2470,AA$1)</f>
        <v>0</v>
      </c>
      <c r="AB175" s="183">
        <f>SUMIFS('июнь 2025'!$G$5:$G$2470,'июнь 2025'!$D$5:$D$2470,$B175,'июнь 2025'!$J$5:$J$2470,AB$1)</f>
        <v>0</v>
      </c>
      <c r="AC175" s="183">
        <f>SUMIFS('июнь 2025'!$G$5:$G$2470,'июнь 2025'!$D$5:$D$2470,$B175,'июнь 2025'!$J$5:$J$2470,AC$1)</f>
        <v>0</v>
      </c>
      <c r="AD175" s="183">
        <f>SUMIFS('июнь 2025'!$G$5:$G$2470,'июнь 2025'!$D$5:$D$2470,$B175,'июнь 2025'!$J$5:$J$2470,AD$1)</f>
        <v>0</v>
      </c>
      <c r="AE175" s="183">
        <f>SUMIFS('июнь 2025'!$G$5:$G$2470,'июнь 2025'!$D$5:$D$2470,$B175,'июнь 2025'!$J$5:$J$2470,AE$1)</f>
        <v>0</v>
      </c>
      <c r="AF175" s="183">
        <f>SUMIFS('июнь 2025'!$G$5:$G$2470,'июнь 2025'!$D$5:$D$2470,$B175,'июнь 2025'!$J$5:$J$2470,AF$1)</f>
        <v>0</v>
      </c>
      <c r="AG175" s="183">
        <f>SUMIFS('июнь 2025'!$G$5:$G$2470,'июнь 2025'!$D$5:$D$2470,$B175,'июнь 2025'!$J$5:$J$2470,AG$1)</f>
        <v>0</v>
      </c>
      <c r="AH175" s="183">
        <f>SUMIFS('июнь 2025'!$G$5:$G$2470,'июнь 2025'!$D$5:$D$2470,$B175,'июнь 2025'!$J$5:$J$2470,AH$1)</f>
        <v>0</v>
      </c>
      <c r="AI175" s="20"/>
    </row>
    <row r="176" spans="2:35" ht="15" customHeight="1" x14ac:dyDescent="0.25">
      <c r="B176" s="84"/>
      <c r="C176" s="83"/>
      <c r="D176" s="183">
        <f>SUMIFS('июнь 2025'!$G$5:$G$2470,'июнь 2025'!$D$5:$D$2470,$B176,'июнь 2025'!$J$5:$J$2470,D$1)</f>
        <v>0</v>
      </c>
      <c r="E176" s="183">
        <f>SUMIFS('июнь 2025'!$G$5:$G$2470,'июнь 2025'!$D$5:$D$2470,$B176,'июнь 2025'!$J$5:$J$2470,E$1)</f>
        <v>0</v>
      </c>
      <c r="F176" s="183">
        <f>SUMIFS('июнь 2025'!$G$5:$G$2470,'июнь 2025'!$D$5:$D$2470,$B176,'июнь 2025'!$J$5:$J$2470,F$1)</f>
        <v>0</v>
      </c>
      <c r="G176" s="183">
        <f>SUMIFS('июнь 2025'!$G$5:$G$2470,'июнь 2025'!$D$5:$D$2470,$B176,'июнь 2025'!$J$5:$J$2470,G$1)</f>
        <v>0</v>
      </c>
      <c r="H176" s="183">
        <f>SUMIFS('июнь 2025'!$G$5:$G$2470,'июнь 2025'!$D$5:$D$2470,$B176,'июнь 2025'!$J$5:$J$2470,H$1)</f>
        <v>0</v>
      </c>
      <c r="I176" s="183">
        <f>SUMIFS('июнь 2025'!$G$5:$G$2470,'июнь 2025'!$D$5:$D$2470,$B176,'июнь 2025'!$J$5:$J$2470,I$1)</f>
        <v>0</v>
      </c>
      <c r="J176" s="183">
        <f>SUMIFS('июнь 2025'!$G$5:$G$2470,'июнь 2025'!$D$5:$D$2470,$B176,'июнь 2025'!$J$5:$J$2470,J$1)</f>
        <v>0</v>
      </c>
      <c r="K176" s="183">
        <f>SUMIFS('июнь 2025'!$G$5:$G$2470,'июнь 2025'!$D$5:$D$2470,$B176,'июнь 2025'!$J$5:$J$2470,K$1)</f>
        <v>0</v>
      </c>
      <c r="L176" s="183">
        <f>SUMIFS('июнь 2025'!$G$5:$G$2470,'июнь 2025'!$D$5:$D$2470,$B176,'июнь 2025'!$J$5:$J$2470,L$1)</f>
        <v>0</v>
      </c>
      <c r="M176" s="183">
        <f>SUMIFS('июнь 2025'!$G$5:$G$2470,'июнь 2025'!$D$5:$D$2470,$B176,'июнь 2025'!$J$5:$J$2470,M$1)</f>
        <v>0</v>
      </c>
      <c r="N176" s="183">
        <f>SUMIFS('июнь 2025'!$G$5:$G$2470,'июнь 2025'!$D$5:$D$2470,$B176,'июнь 2025'!$J$5:$J$2470,N$1)</f>
        <v>0</v>
      </c>
      <c r="O176" s="183">
        <f>SUMIFS('июнь 2025'!$G$5:$G$2470,'июнь 2025'!$D$5:$D$2470,$B176,'июнь 2025'!$J$5:$J$2470,O$1)</f>
        <v>0</v>
      </c>
      <c r="P176" s="183">
        <f>SUMIFS('июнь 2025'!$G$5:$G$2470,'июнь 2025'!$D$5:$D$2470,$B176,'июнь 2025'!$J$5:$J$2470,P$1)</f>
        <v>0</v>
      </c>
      <c r="Q176" s="183">
        <f>SUMIFS('июнь 2025'!$G$5:$G$2470,'июнь 2025'!$D$5:$D$2470,$B176,'июнь 2025'!$J$5:$J$2470,Q$1)</f>
        <v>0</v>
      </c>
      <c r="R176" s="183">
        <f>SUMIFS('июнь 2025'!$G$5:$G$2470,'июнь 2025'!$D$5:$D$2470,$B176,'июнь 2025'!$J$5:$J$2470,R$1)</f>
        <v>0</v>
      </c>
      <c r="S176" s="183">
        <f>SUMIFS('июнь 2025'!$G$5:$G$2470,'июнь 2025'!$D$5:$D$2470,$B176,'июнь 2025'!$J$5:$J$2470,S$1)</f>
        <v>0</v>
      </c>
      <c r="T176" s="183">
        <f>SUMIFS('июнь 2025'!$G$5:$G$2470,'июнь 2025'!$D$5:$D$2470,$B176,'июнь 2025'!$J$5:$J$2470,T$1)</f>
        <v>0</v>
      </c>
      <c r="U176" s="183">
        <f>SUMIFS('июнь 2025'!$G$5:$G$2470,'июнь 2025'!$D$5:$D$2470,$B176,'июнь 2025'!$J$5:$J$2470,U$1)</f>
        <v>0</v>
      </c>
      <c r="V176" s="183">
        <f>SUMIFS('июнь 2025'!$G$5:$G$2470,'июнь 2025'!$D$5:$D$2470,$B176,'июнь 2025'!$J$5:$J$2470,V$1)</f>
        <v>0</v>
      </c>
      <c r="W176" s="183">
        <f>SUMIFS('июнь 2025'!$G$5:$G$2470,'июнь 2025'!$D$5:$D$2470,$B176,'июнь 2025'!$J$5:$J$2470,W$1)</f>
        <v>0</v>
      </c>
      <c r="X176" s="183">
        <f>SUMIFS('июнь 2025'!$G$5:$G$2470,'июнь 2025'!$D$5:$D$2470,$B176,'июнь 2025'!$J$5:$J$2470,X$1)</f>
        <v>0</v>
      </c>
      <c r="Y176" s="183">
        <f>SUMIFS('июнь 2025'!$G$5:$G$2470,'июнь 2025'!$D$5:$D$2470,$B176,'июнь 2025'!$J$5:$J$2470,Y$1)</f>
        <v>0</v>
      </c>
      <c r="Z176" s="183">
        <f>SUMIFS('июнь 2025'!$G$5:$G$2470,'июнь 2025'!$D$5:$D$2470,$B176,'июнь 2025'!$J$5:$J$2470,Z$1)</f>
        <v>0</v>
      </c>
      <c r="AA176" s="183">
        <f>SUMIFS('июнь 2025'!$G$5:$G$2470,'июнь 2025'!$D$5:$D$2470,$B176,'июнь 2025'!$J$5:$J$2470,AA$1)</f>
        <v>0</v>
      </c>
      <c r="AB176" s="183">
        <f>SUMIFS('июнь 2025'!$G$5:$G$2470,'июнь 2025'!$D$5:$D$2470,$B176,'июнь 2025'!$J$5:$J$2470,AB$1)</f>
        <v>0</v>
      </c>
      <c r="AC176" s="183">
        <f>SUMIFS('июнь 2025'!$G$5:$G$2470,'июнь 2025'!$D$5:$D$2470,$B176,'июнь 2025'!$J$5:$J$2470,AC$1)</f>
        <v>0</v>
      </c>
      <c r="AD176" s="183">
        <f>SUMIFS('июнь 2025'!$G$5:$G$2470,'июнь 2025'!$D$5:$D$2470,$B176,'июнь 2025'!$J$5:$J$2470,AD$1)</f>
        <v>0</v>
      </c>
      <c r="AE176" s="183">
        <f>SUMIFS('июнь 2025'!$G$5:$G$2470,'июнь 2025'!$D$5:$D$2470,$B176,'июнь 2025'!$J$5:$J$2470,AE$1)</f>
        <v>0</v>
      </c>
      <c r="AF176" s="183">
        <f>SUMIFS('июнь 2025'!$G$5:$G$2470,'июнь 2025'!$D$5:$D$2470,$B176,'июнь 2025'!$J$5:$J$2470,AF$1)</f>
        <v>0</v>
      </c>
      <c r="AG176" s="183">
        <f>SUMIFS('июнь 2025'!$G$5:$G$2470,'июнь 2025'!$D$5:$D$2470,$B176,'июнь 2025'!$J$5:$J$2470,AG$1)</f>
        <v>0</v>
      </c>
      <c r="AH176" s="183">
        <f>SUMIFS('июнь 2025'!$G$5:$G$2470,'июнь 2025'!$D$5:$D$2470,$B176,'июнь 2025'!$J$5:$J$2470,AH$1)</f>
        <v>0</v>
      </c>
      <c r="AI176" s="20"/>
    </row>
    <row r="177" spans="2:35" ht="15" customHeight="1" x14ac:dyDescent="0.25">
      <c r="B177" s="84"/>
      <c r="C177" s="83"/>
      <c r="D177" s="183"/>
      <c r="E177" s="183"/>
      <c r="F177" s="183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  <c r="AA177" s="183"/>
      <c r="AB177" s="183"/>
      <c r="AC177" s="183"/>
      <c r="AD177" s="183"/>
      <c r="AE177" s="183"/>
      <c r="AF177" s="183"/>
      <c r="AG177" s="183"/>
      <c r="AH177" s="183"/>
      <c r="AI177" s="20"/>
    </row>
    <row r="178" spans="2:35" ht="15" customHeight="1" x14ac:dyDescent="0.25">
      <c r="B178" s="84"/>
      <c r="C178" s="83"/>
      <c r="D178" s="183"/>
      <c r="E178" s="183"/>
      <c r="F178" s="183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  <c r="AA178" s="183"/>
      <c r="AB178" s="183"/>
      <c r="AC178" s="183"/>
      <c r="AD178" s="183"/>
      <c r="AE178" s="183"/>
      <c r="AF178" s="183"/>
      <c r="AG178" s="183"/>
      <c r="AH178" s="183"/>
      <c r="AI178" s="20"/>
    </row>
    <row r="179" spans="2:35" ht="15" customHeight="1" x14ac:dyDescent="0.25">
      <c r="B179" s="84"/>
      <c r="C179" s="83"/>
      <c r="D179" s="183"/>
      <c r="E179" s="183"/>
      <c r="F179" s="183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  <c r="AA179" s="183"/>
      <c r="AB179" s="183"/>
      <c r="AC179" s="183"/>
      <c r="AD179" s="183"/>
      <c r="AE179" s="183"/>
      <c r="AF179" s="183"/>
      <c r="AG179" s="183"/>
      <c r="AH179" s="183"/>
      <c r="AI179" s="20"/>
    </row>
    <row r="180" spans="2:35" ht="15" customHeight="1" x14ac:dyDescent="0.25">
      <c r="B180" s="84"/>
      <c r="C180" s="83"/>
      <c r="D180" s="183"/>
      <c r="E180" s="183"/>
      <c r="F180" s="183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  <c r="AA180" s="183"/>
      <c r="AB180" s="183"/>
      <c r="AC180" s="183"/>
      <c r="AD180" s="183"/>
      <c r="AE180" s="183"/>
      <c r="AF180" s="183"/>
      <c r="AG180" s="183"/>
      <c r="AH180" s="183"/>
      <c r="AI180" s="20"/>
    </row>
    <row r="181" spans="2:35" ht="15" customHeight="1" x14ac:dyDescent="0.25">
      <c r="B181" s="84"/>
      <c r="C181" s="83"/>
      <c r="D181" s="183"/>
      <c r="E181" s="183"/>
      <c r="F181" s="183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  <c r="AA181" s="183"/>
      <c r="AB181" s="183"/>
      <c r="AC181" s="183"/>
      <c r="AD181" s="183"/>
      <c r="AE181" s="183"/>
      <c r="AF181" s="183"/>
      <c r="AG181" s="183"/>
      <c r="AH181" s="183"/>
      <c r="AI181" s="20"/>
    </row>
    <row r="182" spans="2:35" ht="15" customHeight="1" x14ac:dyDescent="0.25">
      <c r="B182" s="84"/>
      <c r="C182" s="83"/>
      <c r="D182" s="183"/>
      <c r="E182" s="183"/>
      <c r="F182" s="183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  <c r="AA182" s="183"/>
      <c r="AB182" s="183"/>
      <c r="AC182" s="183"/>
      <c r="AD182" s="183"/>
      <c r="AE182" s="183"/>
      <c r="AF182" s="183"/>
      <c r="AG182" s="183"/>
      <c r="AH182" s="183"/>
      <c r="AI182" s="20"/>
    </row>
    <row r="183" spans="2:35" ht="15" customHeight="1" x14ac:dyDescent="0.25">
      <c r="B183" s="84"/>
      <c r="C183" s="83"/>
      <c r="D183" s="183"/>
      <c r="E183" s="183"/>
      <c r="F183" s="183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  <c r="AA183" s="183"/>
      <c r="AB183" s="183"/>
      <c r="AC183" s="183"/>
      <c r="AD183" s="183"/>
      <c r="AE183" s="183"/>
      <c r="AF183" s="183"/>
      <c r="AG183" s="183"/>
      <c r="AH183" s="183"/>
      <c r="AI183" s="20"/>
    </row>
    <row r="184" spans="2:35" ht="15" customHeight="1" x14ac:dyDescent="0.25">
      <c r="B184" s="84"/>
      <c r="C184" s="83"/>
      <c r="D184" s="183"/>
      <c r="E184" s="183"/>
      <c r="F184" s="183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  <c r="AA184" s="183"/>
      <c r="AB184" s="183"/>
      <c r="AC184" s="183"/>
      <c r="AD184" s="183"/>
      <c r="AE184" s="183"/>
      <c r="AF184" s="183"/>
      <c r="AG184" s="183"/>
      <c r="AH184" s="183"/>
      <c r="AI184" s="20"/>
    </row>
    <row r="185" spans="2:35" ht="15" customHeight="1" x14ac:dyDescent="0.25">
      <c r="B185" s="84"/>
      <c r="C185" s="83"/>
      <c r="D185" s="183"/>
      <c r="E185" s="183"/>
      <c r="F185" s="183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  <c r="AA185" s="183"/>
      <c r="AB185" s="183"/>
      <c r="AC185" s="183"/>
      <c r="AD185" s="183"/>
      <c r="AE185" s="183"/>
      <c r="AF185" s="183"/>
      <c r="AG185" s="183"/>
      <c r="AH185" s="183"/>
      <c r="AI185" s="20"/>
    </row>
    <row r="186" spans="2:35" ht="15" customHeight="1" x14ac:dyDescent="0.25">
      <c r="B186" s="84"/>
      <c r="C186" s="83"/>
      <c r="D186" s="183"/>
      <c r="E186" s="183"/>
      <c r="F186" s="183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  <c r="AA186" s="183"/>
      <c r="AB186" s="183"/>
      <c r="AC186" s="183"/>
      <c r="AD186" s="183"/>
      <c r="AE186" s="183"/>
      <c r="AF186" s="183"/>
      <c r="AG186" s="183"/>
      <c r="AH186" s="183"/>
      <c r="AI186" s="20"/>
    </row>
    <row r="187" spans="2:35" ht="15" customHeight="1" x14ac:dyDescent="0.25">
      <c r="B187" s="84"/>
      <c r="C187" s="83"/>
      <c r="D187" s="183"/>
      <c r="E187" s="183"/>
      <c r="F187" s="183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  <c r="AA187" s="183"/>
      <c r="AB187" s="183"/>
      <c r="AC187" s="183"/>
      <c r="AD187" s="183"/>
      <c r="AE187" s="183"/>
      <c r="AF187" s="183"/>
      <c r="AG187" s="183"/>
      <c r="AH187" s="183"/>
      <c r="AI187" s="20"/>
    </row>
    <row r="188" spans="2:35" ht="15" customHeight="1" x14ac:dyDescent="0.25">
      <c r="B188" s="84"/>
      <c r="C188" s="83"/>
      <c r="D188" s="183"/>
      <c r="E188" s="183"/>
      <c r="F188" s="183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  <c r="AA188" s="183"/>
      <c r="AB188" s="183"/>
      <c r="AC188" s="183"/>
      <c r="AD188" s="183"/>
      <c r="AE188" s="183"/>
      <c r="AF188" s="183"/>
      <c r="AG188" s="183"/>
      <c r="AH188" s="183"/>
      <c r="AI188" s="20"/>
    </row>
    <row r="189" spans="2:35" ht="15" customHeight="1" x14ac:dyDescent="0.25">
      <c r="B189" s="84"/>
      <c r="C189" s="83"/>
      <c r="D189" s="183"/>
      <c r="E189" s="183"/>
      <c r="F189" s="183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  <c r="AA189" s="183"/>
      <c r="AB189" s="183"/>
      <c r="AC189" s="183"/>
      <c r="AD189" s="183"/>
      <c r="AE189" s="183"/>
      <c r="AF189" s="183"/>
      <c r="AG189" s="183"/>
      <c r="AH189" s="183"/>
      <c r="AI189" s="20"/>
    </row>
    <row r="190" spans="2:35" ht="15" customHeight="1" x14ac:dyDescent="0.25">
      <c r="B190" s="84"/>
      <c r="C190" s="83"/>
      <c r="D190" s="183"/>
      <c r="E190" s="183"/>
      <c r="F190" s="183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  <c r="AA190" s="183"/>
      <c r="AB190" s="183"/>
      <c r="AC190" s="183"/>
      <c r="AD190" s="183"/>
      <c r="AE190" s="183"/>
      <c r="AF190" s="183"/>
      <c r="AG190" s="183"/>
      <c r="AH190" s="183"/>
      <c r="AI190" s="20"/>
    </row>
    <row r="191" spans="2:35" ht="15" customHeight="1" x14ac:dyDescent="0.25">
      <c r="B191" s="84"/>
      <c r="C191" s="83"/>
      <c r="D191" s="183"/>
      <c r="E191" s="183"/>
      <c r="F191" s="183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  <c r="AA191" s="183"/>
      <c r="AB191" s="183"/>
      <c r="AC191" s="183"/>
      <c r="AD191" s="183"/>
      <c r="AE191" s="183"/>
      <c r="AF191" s="183"/>
      <c r="AG191" s="183"/>
      <c r="AH191" s="183"/>
      <c r="AI191" s="20"/>
    </row>
    <row r="192" spans="2:35" ht="15" customHeight="1" x14ac:dyDescent="0.25">
      <c r="B192" s="84"/>
      <c r="C192" s="83"/>
      <c r="D192" s="183"/>
      <c r="E192" s="183"/>
      <c r="F192" s="183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  <c r="AA192" s="183"/>
      <c r="AB192" s="183"/>
      <c r="AC192" s="183"/>
      <c r="AD192" s="183"/>
      <c r="AE192" s="183"/>
      <c r="AF192" s="183"/>
      <c r="AG192" s="183"/>
      <c r="AH192" s="183"/>
      <c r="AI192" s="20"/>
    </row>
    <row r="193" spans="2:35" ht="15" customHeight="1" x14ac:dyDescent="0.25">
      <c r="B193" s="84"/>
      <c r="C193" s="83"/>
      <c r="D193" s="183"/>
      <c r="E193" s="183"/>
      <c r="F193" s="183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  <c r="AA193" s="183"/>
      <c r="AB193" s="183"/>
      <c r="AC193" s="183"/>
      <c r="AD193" s="183"/>
      <c r="AE193" s="183"/>
      <c r="AF193" s="183"/>
      <c r="AG193" s="183"/>
      <c r="AH193" s="183"/>
      <c r="AI193" s="20"/>
    </row>
    <row r="194" spans="2:35" ht="15" customHeight="1" x14ac:dyDescent="0.25">
      <c r="B194" s="84"/>
      <c r="C194" s="83"/>
      <c r="D194" s="183"/>
      <c r="E194" s="183"/>
      <c r="F194" s="183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  <c r="AA194" s="183"/>
      <c r="AB194" s="183"/>
      <c r="AC194" s="183"/>
      <c r="AD194" s="183"/>
      <c r="AE194" s="183"/>
      <c r="AF194" s="183"/>
      <c r="AG194" s="183"/>
      <c r="AH194" s="183"/>
      <c r="AI194" s="20"/>
    </row>
    <row r="195" spans="2:35" ht="15" customHeight="1" x14ac:dyDescent="0.25">
      <c r="B195" s="84"/>
      <c r="C195" s="83"/>
      <c r="D195" s="183"/>
      <c r="E195" s="183"/>
      <c r="F195" s="183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  <c r="AA195" s="183"/>
      <c r="AB195" s="183"/>
      <c r="AC195" s="183"/>
      <c r="AD195" s="183"/>
      <c r="AE195" s="183"/>
      <c r="AF195" s="183"/>
      <c r="AG195" s="183"/>
      <c r="AH195" s="183"/>
      <c r="AI195" s="20"/>
    </row>
    <row r="196" spans="2:35" ht="15" customHeight="1" x14ac:dyDescent="0.25">
      <c r="B196" s="84"/>
      <c r="C196" s="83"/>
      <c r="D196" s="183"/>
      <c r="E196" s="183"/>
      <c r="F196" s="183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  <c r="AA196" s="183"/>
      <c r="AB196" s="183"/>
      <c r="AC196" s="183"/>
      <c r="AD196" s="183"/>
      <c r="AE196" s="183"/>
      <c r="AF196" s="183"/>
      <c r="AG196" s="183"/>
      <c r="AH196" s="183"/>
      <c r="AI196" s="20"/>
    </row>
    <row r="197" spans="2:35" ht="15" customHeight="1" x14ac:dyDescent="0.25">
      <c r="B197" s="84"/>
      <c r="C197" s="83"/>
      <c r="D197" s="183"/>
      <c r="E197" s="183"/>
      <c r="F197" s="183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  <c r="AA197" s="183"/>
      <c r="AB197" s="183"/>
      <c r="AC197" s="183"/>
      <c r="AD197" s="183"/>
      <c r="AE197" s="183"/>
      <c r="AF197" s="183"/>
      <c r="AG197" s="183"/>
      <c r="AH197" s="183"/>
      <c r="AI197" s="20"/>
    </row>
    <row r="198" spans="2:35" ht="15" customHeight="1" x14ac:dyDescent="0.25">
      <c r="B198" s="84"/>
      <c r="C198" s="83"/>
      <c r="D198" s="183"/>
      <c r="E198" s="183"/>
      <c r="F198" s="183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20"/>
    </row>
    <row r="199" spans="2:35" ht="15" customHeight="1" x14ac:dyDescent="0.25">
      <c r="B199" s="84"/>
      <c r="C199" s="83"/>
      <c r="D199" s="183"/>
      <c r="E199" s="183"/>
      <c r="F199" s="183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  <c r="AA199" s="183"/>
      <c r="AB199" s="183"/>
      <c r="AC199" s="183"/>
      <c r="AD199" s="183"/>
      <c r="AE199" s="183"/>
      <c r="AF199" s="183"/>
      <c r="AG199" s="183"/>
      <c r="AH199" s="183"/>
      <c r="AI199" s="20"/>
    </row>
    <row r="200" spans="2:35" ht="15" customHeight="1" x14ac:dyDescent="0.25">
      <c r="B200" s="84"/>
      <c r="C200" s="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  <c r="AA200" s="183"/>
      <c r="AB200" s="183"/>
      <c r="AC200" s="183"/>
      <c r="AD200" s="183"/>
      <c r="AE200" s="183"/>
      <c r="AF200" s="183"/>
      <c r="AG200" s="183"/>
      <c r="AH200" s="183"/>
      <c r="AI200" s="20"/>
    </row>
    <row r="201" spans="2:35" ht="15" customHeight="1" x14ac:dyDescent="0.25">
      <c r="B201" s="84"/>
      <c r="C201" s="83"/>
      <c r="D201" s="183"/>
      <c r="E201" s="183"/>
      <c r="F201" s="183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  <c r="AA201" s="183"/>
      <c r="AB201" s="183"/>
      <c r="AC201" s="183"/>
      <c r="AD201" s="183"/>
      <c r="AE201" s="183"/>
      <c r="AF201" s="183"/>
      <c r="AG201" s="183"/>
      <c r="AH201" s="183"/>
      <c r="AI201" s="20"/>
    </row>
    <row r="202" spans="2:35" ht="15" customHeight="1" x14ac:dyDescent="0.25">
      <c r="B202" s="84"/>
      <c r="C202" s="83"/>
      <c r="D202" s="183"/>
      <c r="E202" s="183"/>
      <c r="F202" s="183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  <c r="AA202" s="183"/>
      <c r="AB202" s="183"/>
      <c r="AC202" s="183"/>
      <c r="AD202" s="183"/>
      <c r="AE202" s="183"/>
      <c r="AF202" s="183"/>
      <c r="AG202" s="183"/>
      <c r="AH202" s="183"/>
      <c r="AI202" s="20"/>
    </row>
    <row r="203" spans="2:35" ht="15" customHeight="1" x14ac:dyDescent="0.25">
      <c r="B203" s="84"/>
      <c r="C203" s="83"/>
      <c r="D203" s="183"/>
      <c r="E203" s="183"/>
      <c r="F203" s="183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  <c r="AA203" s="183"/>
      <c r="AB203" s="183"/>
      <c r="AC203" s="183"/>
      <c r="AD203" s="183"/>
      <c r="AE203" s="183"/>
      <c r="AF203" s="183"/>
      <c r="AG203" s="183"/>
      <c r="AH203" s="183"/>
      <c r="AI203" s="20"/>
    </row>
    <row r="204" spans="2:35" ht="15" customHeight="1" x14ac:dyDescent="0.25">
      <c r="B204" s="84"/>
      <c r="C204" s="83"/>
      <c r="D204" s="183"/>
      <c r="E204" s="183"/>
      <c r="F204" s="183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  <c r="AA204" s="183"/>
      <c r="AB204" s="183"/>
      <c r="AC204" s="183"/>
      <c r="AD204" s="183"/>
      <c r="AE204" s="183"/>
      <c r="AF204" s="183"/>
      <c r="AG204" s="183"/>
      <c r="AH204" s="183"/>
      <c r="AI204" s="20"/>
    </row>
    <row r="205" spans="2:35" ht="15" customHeight="1" x14ac:dyDescent="0.25">
      <c r="B205" s="84"/>
      <c r="C205" s="83"/>
      <c r="D205" s="183"/>
      <c r="E205" s="183"/>
      <c r="F205" s="183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  <c r="AA205" s="183"/>
      <c r="AB205" s="183"/>
      <c r="AC205" s="183"/>
      <c r="AD205" s="183"/>
      <c r="AE205" s="183"/>
      <c r="AF205" s="183"/>
      <c r="AG205" s="183"/>
      <c r="AH205" s="183"/>
      <c r="AI205" s="20"/>
    </row>
    <row r="206" spans="2:35" ht="15" customHeight="1" x14ac:dyDescent="0.25">
      <c r="B206" s="84"/>
      <c r="C206" s="83"/>
      <c r="D206" s="183"/>
      <c r="E206" s="183"/>
      <c r="F206" s="183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  <c r="AA206" s="183"/>
      <c r="AB206" s="183"/>
      <c r="AC206" s="183"/>
      <c r="AD206" s="183"/>
      <c r="AE206" s="183"/>
      <c r="AF206" s="183"/>
      <c r="AG206" s="183"/>
      <c r="AH206" s="183"/>
      <c r="AI206" s="20"/>
    </row>
    <row r="207" spans="2:35" ht="15" customHeight="1" x14ac:dyDescent="0.25">
      <c r="B207" s="84"/>
      <c r="C207" s="83"/>
      <c r="D207" s="183"/>
      <c r="E207" s="183"/>
      <c r="F207" s="183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  <c r="AA207" s="183"/>
      <c r="AB207" s="183"/>
      <c r="AC207" s="183"/>
      <c r="AD207" s="183"/>
      <c r="AE207" s="183"/>
      <c r="AF207" s="183"/>
      <c r="AG207" s="183"/>
      <c r="AH207" s="183"/>
      <c r="AI207" s="20"/>
    </row>
    <row r="208" spans="2:35" ht="15" customHeight="1" x14ac:dyDescent="0.25">
      <c r="B208" s="84"/>
      <c r="C208" s="83"/>
      <c r="D208" s="183"/>
      <c r="E208" s="183"/>
      <c r="F208" s="183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  <c r="AA208" s="183"/>
      <c r="AB208" s="183"/>
      <c r="AC208" s="183"/>
      <c r="AD208" s="183"/>
      <c r="AE208" s="183"/>
      <c r="AF208" s="183"/>
      <c r="AG208" s="183"/>
      <c r="AH208" s="183"/>
      <c r="AI208" s="20"/>
    </row>
    <row r="209" spans="2:35" ht="15" customHeight="1" x14ac:dyDescent="0.25">
      <c r="B209" s="84"/>
      <c r="C209" s="83"/>
      <c r="D209" s="183"/>
      <c r="E209" s="183"/>
      <c r="F209" s="183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  <c r="AA209" s="183"/>
      <c r="AB209" s="183"/>
      <c r="AC209" s="183"/>
      <c r="AD209" s="183"/>
      <c r="AE209" s="183"/>
      <c r="AF209" s="183"/>
      <c r="AG209" s="183"/>
      <c r="AH209" s="183"/>
      <c r="AI209" s="20"/>
    </row>
    <row r="210" spans="2:35" ht="15" customHeight="1" x14ac:dyDescent="0.25">
      <c r="B210" s="84"/>
      <c r="C210" s="83"/>
      <c r="D210" s="183"/>
      <c r="E210" s="183"/>
      <c r="F210" s="183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  <c r="AA210" s="183"/>
      <c r="AB210" s="183"/>
      <c r="AC210" s="183"/>
      <c r="AD210" s="183"/>
      <c r="AE210" s="183"/>
      <c r="AF210" s="183"/>
      <c r="AG210" s="183"/>
      <c r="AH210" s="183"/>
      <c r="AI210" s="20"/>
    </row>
    <row r="211" spans="2:35" ht="15" customHeight="1" x14ac:dyDescent="0.25">
      <c r="B211" s="84"/>
      <c r="C211" s="83"/>
      <c r="D211" s="183"/>
      <c r="E211" s="183"/>
      <c r="F211" s="183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  <c r="AA211" s="183"/>
      <c r="AB211" s="183"/>
      <c r="AC211" s="183"/>
      <c r="AD211" s="183"/>
      <c r="AE211" s="183"/>
      <c r="AF211" s="183"/>
      <c r="AG211" s="183"/>
      <c r="AH211" s="183"/>
      <c r="AI211" s="20"/>
    </row>
    <row r="212" spans="2:35" ht="15.75" x14ac:dyDescent="0.25">
      <c r="B212" s="84"/>
      <c r="C212" s="83"/>
      <c r="D212" s="183"/>
      <c r="E212" s="183"/>
      <c r="F212" s="183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  <c r="AA212" s="183"/>
      <c r="AB212" s="183"/>
      <c r="AC212" s="183"/>
      <c r="AD212" s="183"/>
      <c r="AE212" s="183"/>
      <c r="AF212" s="183"/>
      <c r="AG212" s="183"/>
      <c r="AH212" s="183"/>
      <c r="AI212" s="20"/>
    </row>
    <row r="213" spans="2:35" ht="15.75" x14ac:dyDescent="0.25">
      <c r="B213" s="84"/>
      <c r="C213" s="83"/>
      <c r="D213" s="183"/>
      <c r="E213" s="183"/>
      <c r="F213" s="183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  <c r="AA213" s="183"/>
      <c r="AB213" s="183"/>
      <c r="AC213" s="183"/>
      <c r="AD213" s="183"/>
      <c r="AE213" s="183"/>
      <c r="AF213" s="183"/>
      <c r="AG213" s="183"/>
      <c r="AH213" s="183"/>
      <c r="AI213" s="20"/>
    </row>
    <row r="214" spans="2:35" ht="15.75" x14ac:dyDescent="0.25">
      <c r="B214" s="84"/>
      <c r="C214" s="83"/>
      <c r="D214" s="183"/>
      <c r="E214" s="183"/>
      <c r="F214" s="183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  <c r="AA214" s="183"/>
      <c r="AB214" s="183"/>
      <c r="AC214" s="183"/>
      <c r="AD214" s="183"/>
      <c r="AE214" s="183"/>
      <c r="AF214" s="183"/>
      <c r="AG214" s="183"/>
      <c r="AH214" s="183"/>
      <c r="AI214" s="20"/>
    </row>
    <row r="215" spans="2:35" ht="15.75" x14ac:dyDescent="0.25">
      <c r="B215" s="84"/>
      <c r="C215" s="83"/>
      <c r="D215" s="183"/>
      <c r="E215" s="183"/>
      <c r="F215" s="183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  <c r="AA215" s="183"/>
      <c r="AB215" s="183"/>
      <c r="AC215" s="183"/>
      <c r="AD215" s="183"/>
      <c r="AE215" s="183"/>
      <c r="AF215" s="183"/>
      <c r="AG215" s="183"/>
      <c r="AH215" s="183"/>
      <c r="AI215" s="20"/>
    </row>
    <row r="216" spans="2:35" ht="15.75" x14ac:dyDescent="0.25">
      <c r="B216" s="84"/>
      <c r="C216" s="83"/>
      <c r="D216" s="183"/>
      <c r="E216" s="183"/>
      <c r="F216" s="183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  <c r="AA216" s="183"/>
      <c r="AB216" s="183"/>
      <c r="AC216" s="183"/>
      <c r="AD216" s="183"/>
      <c r="AE216" s="183"/>
      <c r="AF216" s="183"/>
      <c r="AG216" s="183"/>
      <c r="AH216" s="183"/>
      <c r="AI216" s="20"/>
    </row>
    <row r="217" spans="2:35" ht="15.75" x14ac:dyDescent="0.25">
      <c r="B217" s="84"/>
      <c r="C217" s="83"/>
      <c r="D217" s="183"/>
      <c r="E217" s="183"/>
      <c r="F217" s="183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  <c r="AA217" s="183"/>
      <c r="AB217" s="183"/>
      <c r="AC217" s="183"/>
      <c r="AD217" s="183"/>
      <c r="AE217" s="183"/>
      <c r="AF217" s="183"/>
      <c r="AG217" s="183"/>
      <c r="AH217" s="183"/>
      <c r="AI217" s="20"/>
    </row>
    <row r="218" spans="2:35" ht="15.75" x14ac:dyDescent="0.25">
      <c r="B218" s="84"/>
      <c r="C218" s="83"/>
      <c r="D218" s="183"/>
      <c r="E218" s="183"/>
      <c r="F218" s="183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  <c r="AA218" s="183"/>
      <c r="AB218" s="183"/>
      <c r="AC218" s="183"/>
      <c r="AD218" s="183"/>
      <c r="AE218" s="183"/>
      <c r="AF218" s="183"/>
      <c r="AG218" s="183"/>
      <c r="AH218" s="183"/>
      <c r="AI218" s="20"/>
    </row>
    <row r="219" spans="2:35" ht="15.75" x14ac:dyDescent="0.25">
      <c r="B219" s="84"/>
      <c r="C219" s="83"/>
      <c r="D219" s="183"/>
      <c r="E219" s="183"/>
      <c r="F219" s="183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  <c r="AA219" s="183"/>
      <c r="AB219" s="183"/>
      <c r="AC219" s="183"/>
      <c r="AD219" s="183"/>
      <c r="AE219" s="183"/>
      <c r="AF219" s="183"/>
      <c r="AG219" s="183"/>
      <c r="AH219" s="183"/>
      <c r="AI219" s="20"/>
    </row>
    <row r="220" spans="2:35" ht="15.75" x14ac:dyDescent="0.25">
      <c r="B220" s="84"/>
      <c r="C220" s="83"/>
      <c r="D220" s="183"/>
      <c r="E220" s="183"/>
      <c r="F220" s="183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  <c r="AA220" s="183"/>
      <c r="AB220" s="183"/>
      <c r="AC220" s="183"/>
      <c r="AD220" s="183"/>
      <c r="AE220" s="183"/>
      <c r="AF220" s="183"/>
      <c r="AG220" s="183"/>
      <c r="AH220" s="183"/>
      <c r="AI220" s="20"/>
    </row>
    <row r="221" spans="2:35" ht="15.75" x14ac:dyDescent="0.25">
      <c r="B221" s="84"/>
      <c r="C221" s="83"/>
      <c r="D221" s="183"/>
      <c r="E221" s="183"/>
      <c r="F221" s="183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  <c r="AA221" s="183"/>
      <c r="AB221" s="183"/>
      <c r="AC221" s="183"/>
      <c r="AD221" s="183"/>
      <c r="AE221" s="183"/>
      <c r="AF221" s="183"/>
      <c r="AG221" s="183"/>
      <c r="AH221" s="183"/>
      <c r="AI221" s="20"/>
    </row>
    <row r="222" spans="2:35" ht="15.75" x14ac:dyDescent="0.25">
      <c r="B222" s="84"/>
      <c r="C222" s="83"/>
      <c r="D222" s="183"/>
      <c r="E222" s="183"/>
      <c r="F222" s="183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  <c r="AA222" s="183"/>
      <c r="AB222" s="183"/>
      <c r="AC222" s="183"/>
      <c r="AD222" s="183"/>
      <c r="AE222" s="183"/>
      <c r="AF222" s="183"/>
      <c r="AG222" s="183"/>
      <c r="AH222" s="183"/>
      <c r="AI222" s="20"/>
    </row>
    <row r="223" spans="2:35" ht="15.75" x14ac:dyDescent="0.25">
      <c r="B223" s="84"/>
      <c r="C223" s="83"/>
      <c r="D223" s="183"/>
      <c r="E223" s="183"/>
      <c r="F223" s="183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  <c r="AA223" s="183"/>
      <c r="AB223" s="183"/>
      <c r="AC223" s="183"/>
      <c r="AD223" s="183"/>
      <c r="AE223" s="183"/>
      <c r="AF223" s="183"/>
      <c r="AG223" s="183"/>
      <c r="AH223" s="183"/>
      <c r="AI223" s="20"/>
    </row>
    <row r="224" spans="2:35" ht="15.75" x14ac:dyDescent="0.25">
      <c r="B224" s="84"/>
      <c r="C224" s="83"/>
      <c r="D224" s="183"/>
      <c r="E224" s="183"/>
      <c r="F224" s="183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  <c r="AA224" s="183"/>
      <c r="AB224" s="183"/>
      <c r="AC224" s="183"/>
      <c r="AD224" s="183"/>
      <c r="AE224" s="183"/>
      <c r="AF224" s="183"/>
      <c r="AG224" s="183"/>
      <c r="AH224" s="183"/>
      <c r="AI224" s="20"/>
    </row>
    <row r="225" spans="2:35" ht="15.75" x14ac:dyDescent="0.25">
      <c r="B225" s="84"/>
      <c r="C225" s="83"/>
      <c r="D225" s="183"/>
      <c r="E225" s="183"/>
      <c r="F225" s="183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  <c r="AA225" s="183"/>
      <c r="AB225" s="183"/>
      <c r="AC225" s="183"/>
      <c r="AD225" s="183"/>
      <c r="AE225" s="183"/>
      <c r="AF225" s="183"/>
      <c r="AG225" s="183"/>
      <c r="AH225" s="183"/>
      <c r="AI225" s="20"/>
    </row>
    <row r="226" spans="2:35" ht="15.75" x14ac:dyDescent="0.25">
      <c r="B226" s="84"/>
      <c r="C226" s="83"/>
      <c r="D226" s="183"/>
      <c r="E226" s="183"/>
      <c r="F226" s="183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  <c r="AA226" s="183"/>
      <c r="AB226" s="183"/>
      <c r="AC226" s="183"/>
      <c r="AD226" s="183"/>
      <c r="AE226" s="183"/>
      <c r="AF226" s="183"/>
      <c r="AG226" s="183"/>
      <c r="AH226" s="183"/>
      <c r="AI226" s="20"/>
    </row>
    <row r="227" spans="2:35" ht="15.75" x14ac:dyDescent="0.25">
      <c r="B227" s="84"/>
      <c r="C227" s="83"/>
      <c r="D227" s="183"/>
      <c r="E227" s="183"/>
      <c r="F227" s="183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  <c r="AA227" s="183"/>
      <c r="AB227" s="183"/>
      <c r="AC227" s="183"/>
      <c r="AD227" s="183"/>
      <c r="AE227" s="183"/>
      <c r="AF227" s="183"/>
      <c r="AG227" s="183"/>
      <c r="AH227" s="183"/>
      <c r="AI227" s="20"/>
    </row>
    <row r="228" spans="2:35" ht="15.75" x14ac:dyDescent="0.25">
      <c r="B228" s="84"/>
      <c r="C228" s="83"/>
      <c r="D228" s="183"/>
      <c r="E228" s="183"/>
      <c r="F228" s="183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  <c r="AA228" s="183"/>
      <c r="AB228" s="183"/>
      <c r="AC228" s="183"/>
      <c r="AD228" s="183"/>
      <c r="AE228" s="183"/>
      <c r="AF228" s="183"/>
      <c r="AG228" s="183"/>
      <c r="AH228" s="183"/>
      <c r="AI228" s="20"/>
    </row>
    <row r="229" spans="2:35" ht="15.75" x14ac:dyDescent="0.25">
      <c r="B229" s="84"/>
      <c r="C229" s="83"/>
      <c r="D229" s="183"/>
      <c r="E229" s="183"/>
      <c r="F229" s="183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  <c r="AA229" s="183"/>
      <c r="AB229" s="183"/>
      <c r="AC229" s="183"/>
      <c r="AD229" s="183"/>
      <c r="AE229" s="183"/>
      <c r="AF229" s="183"/>
      <c r="AG229" s="183"/>
      <c r="AH229" s="183"/>
      <c r="AI229" s="20"/>
    </row>
    <row r="230" spans="2:35" ht="15.75" x14ac:dyDescent="0.25">
      <c r="B230" s="84"/>
      <c r="C230" s="83"/>
      <c r="D230" s="183"/>
      <c r="E230" s="183"/>
      <c r="F230" s="183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  <c r="AA230" s="183"/>
      <c r="AB230" s="183"/>
      <c r="AC230" s="183"/>
      <c r="AD230" s="183"/>
      <c r="AE230" s="183"/>
      <c r="AF230" s="183"/>
      <c r="AG230" s="183"/>
      <c r="AH230" s="183"/>
      <c r="AI230" s="20"/>
    </row>
    <row r="231" spans="2:35" ht="15.75" x14ac:dyDescent="0.25">
      <c r="B231" s="84"/>
      <c r="C231" s="83"/>
      <c r="D231" s="183"/>
      <c r="E231" s="183"/>
      <c r="F231" s="183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  <c r="Z231" s="183"/>
      <c r="AA231" s="183"/>
      <c r="AB231" s="183"/>
      <c r="AC231" s="183"/>
      <c r="AD231" s="183"/>
      <c r="AE231" s="183"/>
      <c r="AF231" s="183"/>
      <c r="AG231" s="183"/>
      <c r="AH231" s="183"/>
      <c r="AI231" s="20"/>
    </row>
    <row r="232" spans="2:35" ht="15.75" x14ac:dyDescent="0.25">
      <c r="B232" s="84"/>
      <c r="C232" s="83"/>
      <c r="D232" s="183"/>
      <c r="E232" s="183"/>
      <c r="F232" s="183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3"/>
      <c r="V232" s="183"/>
      <c r="W232" s="183"/>
      <c r="X232" s="183"/>
      <c r="Y232" s="183"/>
      <c r="Z232" s="183"/>
      <c r="AA232" s="183"/>
      <c r="AB232" s="183"/>
      <c r="AC232" s="183"/>
      <c r="AD232" s="183"/>
      <c r="AE232" s="183"/>
      <c r="AF232" s="183"/>
      <c r="AG232" s="183"/>
      <c r="AH232" s="183"/>
      <c r="AI232" s="20"/>
    </row>
    <row r="233" spans="2:35" ht="15.75" x14ac:dyDescent="0.25">
      <c r="B233" s="84"/>
      <c r="C233" s="83"/>
      <c r="D233" s="183"/>
      <c r="E233" s="183"/>
      <c r="F233" s="183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  <c r="Z233" s="183"/>
      <c r="AA233" s="183"/>
      <c r="AB233" s="183"/>
      <c r="AC233" s="183"/>
      <c r="AD233" s="183"/>
      <c r="AE233" s="183"/>
      <c r="AF233" s="183"/>
      <c r="AG233" s="183"/>
      <c r="AH233" s="183"/>
      <c r="AI233" s="20"/>
    </row>
    <row r="234" spans="2:35" ht="15.75" x14ac:dyDescent="0.25">
      <c r="B234" s="84"/>
      <c r="C234" s="83"/>
      <c r="D234" s="183"/>
      <c r="E234" s="183"/>
      <c r="F234" s="183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83"/>
      <c r="Z234" s="183"/>
      <c r="AA234" s="183"/>
      <c r="AB234" s="183"/>
      <c r="AC234" s="183"/>
      <c r="AD234" s="183"/>
      <c r="AE234" s="183"/>
      <c r="AF234" s="183"/>
      <c r="AG234" s="183"/>
      <c r="AH234" s="183"/>
      <c r="AI234" s="20"/>
    </row>
    <row r="235" spans="2:35" ht="15.75" x14ac:dyDescent="0.25">
      <c r="B235" s="84"/>
      <c r="C235" s="83"/>
      <c r="D235" s="183"/>
      <c r="E235" s="183"/>
      <c r="F235" s="183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3"/>
      <c r="V235" s="183"/>
      <c r="W235" s="183"/>
      <c r="X235" s="183"/>
      <c r="Y235" s="183"/>
      <c r="Z235" s="183"/>
      <c r="AA235" s="183"/>
      <c r="AB235" s="183"/>
      <c r="AC235" s="183"/>
      <c r="AD235" s="183"/>
      <c r="AE235" s="183"/>
      <c r="AF235" s="183"/>
      <c r="AG235" s="183"/>
      <c r="AH235" s="183"/>
      <c r="AI235" s="20"/>
    </row>
    <row r="236" spans="2:35" ht="15.75" x14ac:dyDescent="0.25">
      <c r="B236" s="84"/>
      <c r="C236" s="83"/>
      <c r="D236" s="183"/>
      <c r="E236" s="183"/>
      <c r="F236" s="183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3"/>
      <c r="V236" s="183"/>
      <c r="W236" s="183"/>
      <c r="X236" s="183"/>
      <c r="Y236" s="183"/>
      <c r="Z236" s="183"/>
      <c r="AA236" s="183"/>
      <c r="AB236" s="183"/>
      <c r="AC236" s="183"/>
      <c r="AD236" s="183"/>
      <c r="AE236" s="183"/>
      <c r="AF236" s="183"/>
      <c r="AG236" s="183"/>
      <c r="AH236" s="183"/>
      <c r="AI236" s="20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0000000}">
          <x14:formula1>
            <xm:f>справочник!$E$2:$E$172</xm:f>
          </x14:formula1>
          <xm:sqref>B3:B236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AI236"/>
  <sheetViews>
    <sheetView showZeros="0" zoomScale="70" zoomScaleNormal="70" workbookViewId="0">
      <selection activeCell="W32" sqref="W32"/>
    </sheetView>
  </sheetViews>
  <sheetFormatPr defaultRowHeight="15" x14ac:dyDescent="0.25"/>
  <cols>
    <col min="1" max="1" width="2.140625" customWidth="1"/>
    <col min="2" max="2" width="53.5703125" customWidth="1"/>
    <col min="4" max="34" width="6.7109375" customWidth="1"/>
  </cols>
  <sheetData>
    <row r="1" spans="2:35" ht="15" customHeight="1" thickBot="1" x14ac:dyDescent="0.3">
      <c r="B1" s="67">
        <v>45901</v>
      </c>
      <c r="C1" s="68"/>
      <c r="D1" s="69">
        <f>B1</f>
        <v>45901</v>
      </c>
      <c r="E1" s="69">
        <f>D1+1</f>
        <v>45902</v>
      </c>
      <c r="F1" s="69">
        <f t="shared" ref="F1:AH1" si="0">E1+1</f>
        <v>45903</v>
      </c>
      <c r="G1" s="69">
        <f t="shared" si="0"/>
        <v>45904</v>
      </c>
      <c r="H1" s="69">
        <f t="shared" si="0"/>
        <v>45905</v>
      </c>
      <c r="I1" s="69">
        <f t="shared" si="0"/>
        <v>45906</v>
      </c>
      <c r="J1" s="69">
        <f t="shared" si="0"/>
        <v>45907</v>
      </c>
      <c r="K1" s="69">
        <f t="shared" si="0"/>
        <v>45908</v>
      </c>
      <c r="L1" s="69">
        <f t="shared" si="0"/>
        <v>45909</v>
      </c>
      <c r="M1" s="69">
        <f t="shared" si="0"/>
        <v>45910</v>
      </c>
      <c r="N1" s="69">
        <f t="shared" si="0"/>
        <v>45911</v>
      </c>
      <c r="O1" s="69">
        <f t="shared" si="0"/>
        <v>45912</v>
      </c>
      <c r="P1" s="69">
        <f t="shared" si="0"/>
        <v>45913</v>
      </c>
      <c r="Q1" s="69">
        <f t="shared" si="0"/>
        <v>45914</v>
      </c>
      <c r="R1" s="69">
        <f t="shared" si="0"/>
        <v>45915</v>
      </c>
      <c r="S1" s="69">
        <f t="shared" si="0"/>
        <v>45916</v>
      </c>
      <c r="T1" s="69">
        <f t="shared" si="0"/>
        <v>45917</v>
      </c>
      <c r="U1" s="69">
        <f t="shared" si="0"/>
        <v>45918</v>
      </c>
      <c r="V1" s="69">
        <f t="shared" si="0"/>
        <v>45919</v>
      </c>
      <c r="W1" s="69">
        <f t="shared" si="0"/>
        <v>45920</v>
      </c>
      <c r="X1" s="69">
        <f t="shared" si="0"/>
        <v>45921</v>
      </c>
      <c r="Y1" s="69">
        <f t="shared" si="0"/>
        <v>45922</v>
      </c>
      <c r="Z1" s="69">
        <f t="shared" si="0"/>
        <v>45923</v>
      </c>
      <c r="AA1" s="69">
        <f t="shared" si="0"/>
        <v>45924</v>
      </c>
      <c r="AB1" s="69">
        <f t="shared" si="0"/>
        <v>45925</v>
      </c>
      <c r="AC1" s="69">
        <f t="shared" si="0"/>
        <v>45926</v>
      </c>
      <c r="AD1" s="69">
        <f t="shared" si="0"/>
        <v>45927</v>
      </c>
      <c r="AE1" s="69">
        <f t="shared" si="0"/>
        <v>45928</v>
      </c>
      <c r="AF1" s="69">
        <f t="shared" si="0"/>
        <v>45929</v>
      </c>
      <c r="AG1" s="69">
        <f t="shared" si="0"/>
        <v>45930</v>
      </c>
      <c r="AH1" s="69">
        <f t="shared" si="0"/>
        <v>45931</v>
      </c>
      <c r="AI1" s="70"/>
    </row>
    <row r="2" spans="2:35" ht="15" customHeight="1" thickBot="1" x14ac:dyDescent="0.3">
      <c r="B2" s="71"/>
      <c r="C2" s="68"/>
      <c r="D2" s="72">
        <v>1</v>
      </c>
      <c r="E2" s="73">
        <v>2</v>
      </c>
      <c r="F2" s="73">
        <v>3</v>
      </c>
      <c r="G2" s="73">
        <v>4</v>
      </c>
      <c r="H2" s="73">
        <v>5</v>
      </c>
      <c r="I2" s="73">
        <v>6</v>
      </c>
      <c r="J2" s="73">
        <v>7</v>
      </c>
      <c r="K2" s="73">
        <v>8</v>
      </c>
      <c r="L2" s="73">
        <v>9</v>
      </c>
      <c r="M2" s="73">
        <v>10</v>
      </c>
      <c r="N2" s="73">
        <v>11</v>
      </c>
      <c r="O2" s="73">
        <v>12</v>
      </c>
      <c r="P2" s="73">
        <v>13</v>
      </c>
      <c r="Q2" s="73">
        <v>14</v>
      </c>
      <c r="R2" s="73">
        <v>15</v>
      </c>
      <c r="S2" s="73">
        <v>16</v>
      </c>
      <c r="T2" s="73">
        <v>17</v>
      </c>
      <c r="U2" s="73">
        <v>18</v>
      </c>
      <c r="V2" s="73">
        <v>19</v>
      </c>
      <c r="W2" s="73">
        <v>20</v>
      </c>
      <c r="X2" s="73">
        <v>21</v>
      </c>
      <c r="Y2" s="73">
        <v>22</v>
      </c>
      <c r="Z2" s="73">
        <v>23</v>
      </c>
      <c r="AA2" s="73">
        <v>24</v>
      </c>
      <c r="AB2" s="73">
        <v>25</v>
      </c>
      <c r="AC2" s="73">
        <v>26</v>
      </c>
      <c r="AD2" s="73">
        <v>27</v>
      </c>
      <c r="AE2" s="73">
        <v>28</v>
      </c>
      <c r="AF2" s="73">
        <v>29</v>
      </c>
      <c r="AG2" s="73">
        <v>30</v>
      </c>
      <c r="AH2" s="73">
        <v>31</v>
      </c>
      <c r="AI2" s="70"/>
    </row>
    <row r="3" spans="2:35" ht="15" customHeight="1" x14ac:dyDescent="0.25">
      <c r="B3" s="74" t="s">
        <v>212</v>
      </c>
      <c r="C3" s="75">
        <v>25</v>
      </c>
      <c r="D3" s="76">
        <f>SUMIFS('сентябрь 2025'!$G$2:$G$2497,'сентябрь 2025'!$D$2:$D$2497,$B3,'сентябрь 2025'!$J$2:$J$2497,D$1)</f>
        <v>0</v>
      </c>
      <c r="E3" s="76">
        <f>SUMIFS('сентябрь 2025'!$G$2:$G$2497,'сентябрь 2025'!$D$2:$D$2497,$B3,'сентябрь 2025'!$J$2:$J$2497,E$1)</f>
        <v>0</v>
      </c>
      <c r="F3" s="76">
        <f>SUMIFS('сентябрь 2025'!$G$2:$G$2497,'сентябрь 2025'!$D$2:$D$2497,$B3,'сентябрь 2025'!$J$2:$J$2497,F$1)</f>
        <v>0</v>
      </c>
      <c r="G3" s="76">
        <f>SUMIFS('сентябрь 2025'!$G$2:$G$2497,'сентябрь 2025'!$D$2:$D$2497,$B3,'сентябрь 2025'!$J$2:$J$2497,G$1)</f>
        <v>0</v>
      </c>
      <c r="H3" s="76">
        <f>SUMIFS('сентябрь 2025'!$G$2:$G$2497,'сентябрь 2025'!$D$2:$D$2497,$B3,'сентябрь 2025'!$J$2:$J$2497,H$1)</f>
        <v>0</v>
      </c>
      <c r="I3" s="76">
        <f>SUMIFS('сентябрь 2025'!$G$2:$G$2497,'сентябрь 2025'!$D$2:$D$2497,$B3,'сентябрь 2025'!$J$2:$J$2497,I$1)</f>
        <v>0</v>
      </c>
      <c r="J3" s="76">
        <f>SUMIFS('сентябрь 2025'!$G$2:$G$2497,'сентябрь 2025'!$D$2:$D$2497,$B3,'сентябрь 2025'!$J$2:$J$2497,J$1)</f>
        <v>0</v>
      </c>
      <c r="K3" s="76">
        <f>SUMIFS('сентябрь 2025'!$G$2:$G$2497,'сентябрь 2025'!$D$2:$D$2497,$B3,'сентябрь 2025'!$J$2:$J$2497,K$1)</f>
        <v>0</v>
      </c>
      <c r="L3" s="76">
        <f>SUMIFS('сентябрь 2025'!$G$2:$G$2497,'сентябрь 2025'!$D$2:$D$2497,$B3,'сентябрь 2025'!$J$2:$J$2497,L$1)</f>
        <v>0</v>
      </c>
      <c r="M3" s="76">
        <f>SUMIFS('сентябрь 2025'!$G$2:$G$2497,'сентябрь 2025'!$D$2:$D$2497,$B3,'сентябрь 2025'!$J$2:$J$2497,M$1)</f>
        <v>0</v>
      </c>
      <c r="N3" s="76">
        <f>SUMIFS('сентябрь 2025'!$G$2:$G$2497,'сентябрь 2025'!$D$2:$D$2497,$B3,'сентябрь 2025'!$J$2:$J$2497,N$1)</f>
        <v>0</v>
      </c>
      <c r="O3" s="76">
        <f>SUMIFS('сентябрь 2025'!$G$2:$G$2497,'сентябрь 2025'!$D$2:$D$2497,$B3,'сентябрь 2025'!$J$2:$J$2497,O$1)</f>
        <v>0</v>
      </c>
      <c r="P3" s="76">
        <f>SUMIFS('сентябрь 2025'!$G$2:$G$2497,'сентябрь 2025'!$D$2:$D$2497,$B3,'сентябрь 2025'!$J$2:$J$2497,P$1)</f>
        <v>0</v>
      </c>
      <c r="Q3" s="76">
        <f>SUMIFS('сентябрь 2025'!$G$2:$G$2497,'сентябрь 2025'!$D$2:$D$2497,$B3,'сентябрь 2025'!$J$2:$J$2497,Q$1)</f>
        <v>0</v>
      </c>
      <c r="R3" s="76">
        <f>SUMIFS('сентябрь 2025'!$G$2:$G$2497,'сентябрь 2025'!$D$2:$D$2497,$B3,'сентябрь 2025'!$J$2:$J$2497,R$1)</f>
        <v>0</v>
      </c>
      <c r="S3" s="76">
        <f>SUMIFS('сентябрь 2025'!$G$2:$G$2497,'сентябрь 2025'!$D$2:$D$2497,$B3,'сентябрь 2025'!$J$2:$J$2497,S$1)</f>
        <v>0</v>
      </c>
      <c r="T3" s="76">
        <f>SUMIFS('сентябрь 2025'!$G$2:$G$2497,'сентябрь 2025'!$D$2:$D$2497,$B3,'сентябрь 2025'!$J$2:$J$2497,T$1)</f>
        <v>0</v>
      </c>
      <c r="U3" s="76">
        <f>SUMIFS('сентябрь 2025'!$G$2:$G$2497,'сентябрь 2025'!$D$2:$D$2497,$B3,'сентябрь 2025'!$J$2:$J$2497,U$1)</f>
        <v>0</v>
      </c>
      <c r="V3" s="76">
        <f>SUMIFS('сентябрь 2025'!$G$2:$G$2497,'сентябрь 2025'!$D$2:$D$2497,$B3,'сентябрь 2025'!$J$2:$J$2497,V$1)</f>
        <v>0</v>
      </c>
      <c r="W3" s="76">
        <f>SUMIFS('сентябрь 2025'!$G$2:$G$2497,'сентябрь 2025'!$D$2:$D$2497,$B3,'сентябрь 2025'!$J$2:$J$2497,W$1)</f>
        <v>0</v>
      </c>
      <c r="X3" s="76">
        <f>SUMIFS('сентябрь 2025'!$G$2:$G$2497,'сентябрь 2025'!$D$2:$D$2497,$B3,'сентябрь 2025'!$J$2:$J$2497,X$1)</f>
        <v>0</v>
      </c>
      <c r="Y3" s="76">
        <f>SUMIFS('сентябрь 2025'!$G$2:$G$2497,'сентябрь 2025'!$D$2:$D$2497,$B3,'сентябрь 2025'!$J$2:$J$2497,Y$1)</f>
        <v>0</v>
      </c>
      <c r="Z3" s="76">
        <f>SUMIFS('сентябрь 2025'!$G$2:$G$2497,'сентябрь 2025'!$D$2:$D$2497,$B3,'сентябрь 2025'!$J$2:$J$2497,Z$1)</f>
        <v>0</v>
      </c>
      <c r="AA3" s="76">
        <f>SUMIFS('сентябрь 2025'!$G$2:$G$2497,'сентябрь 2025'!$D$2:$D$2497,$B3,'сентябрь 2025'!$J$2:$J$2497,AA$1)</f>
        <v>0</v>
      </c>
      <c r="AB3" s="76">
        <f>SUMIFS('сентябрь 2025'!$G$2:$G$2497,'сентябрь 2025'!$D$2:$D$2497,$B3,'сентябрь 2025'!$J$2:$J$2497,AB$1)</f>
        <v>0</v>
      </c>
      <c r="AC3" s="76">
        <f>SUMIFS('сентябрь 2025'!$G$2:$G$2497,'сентябрь 2025'!$D$2:$D$2497,$B3,'сентябрь 2025'!$J$2:$J$2497,AC$1)</f>
        <v>0</v>
      </c>
      <c r="AD3" s="76">
        <f>SUMIFS('сентябрь 2025'!$G$2:$G$2497,'сентябрь 2025'!$D$2:$D$2497,$B3,'сентябрь 2025'!$J$2:$J$2497,AD$1)</f>
        <v>0</v>
      </c>
      <c r="AE3" s="76">
        <f>SUMIFS('сентябрь 2025'!$G$2:$G$2497,'сентябрь 2025'!$D$2:$D$2497,$B3,'сентябрь 2025'!$J$2:$J$2497,AE$1)</f>
        <v>0</v>
      </c>
      <c r="AF3" s="76">
        <f>SUMIFS('сентябрь 2025'!$G$2:$G$2497,'сентябрь 2025'!$D$2:$D$2497,$B3,'сентябрь 2025'!$J$2:$J$2497,AF$1)</f>
        <v>0</v>
      </c>
      <c r="AG3" s="76">
        <f>SUMIFS('сентябрь 2025'!$G$2:$G$2497,'сентябрь 2025'!$D$2:$D$2497,$B3,'сентябрь 2025'!$J$2:$J$2497,AG$1)</f>
        <v>0</v>
      </c>
      <c r="AH3" s="76">
        <f>SUMIFS('сентябрь 2025'!$G$2:$G$2497,'сентябрь 2025'!$D$2:$D$2497,$B3,'сентябрь 2025'!$J$2:$J$2497,AH$1)</f>
        <v>0</v>
      </c>
      <c r="AI3" s="48">
        <f t="shared" ref="AI3:AI165" si="1">SUM(D3:AH3)</f>
        <v>0</v>
      </c>
    </row>
    <row r="4" spans="2:35" ht="15" customHeight="1" x14ac:dyDescent="0.25">
      <c r="B4" s="276" t="s">
        <v>1574</v>
      </c>
      <c r="C4" s="277">
        <v>25</v>
      </c>
      <c r="D4" s="76">
        <f>SUMIFS('сентябрь 2025'!$G$2:$G$2497,'сентябрь 2025'!$D$2:$D$2497,$B4,'сентябрь 2025'!$J$2:$J$2497,D$1)</f>
        <v>0</v>
      </c>
      <c r="E4" s="76">
        <f>SUMIFS('сентябрь 2025'!$G$2:$G$2497,'сентябрь 2025'!$D$2:$D$2497,$B4,'сентябрь 2025'!$J$2:$J$2497,E$1)</f>
        <v>0</v>
      </c>
      <c r="F4" s="76">
        <f>SUMIFS('сентябрь 2025'!$G$2:$G$2497,'сентябрь 2025'!$D$2:$D$2497,$B4,'сентябрь 2025'!$J$2:$J$2497,F$1)</f>
        <v>0</v>
      </c>
      <c r="G4" s="76">
        <f>SUMIFS('сентябрь 2025'!$G$2:$G$2497,'сентябрь 2025'!$D$2:$D$2497,$B4,'сентябрь 2025'!$J$2:$J$2497,G$1)</f>
        <v>0</v>
      </c>
      <c r="H4" s="76">
        <f>SUMIFS('сентябрь 2025'!$G$2:$G$2497,'сентябрь 2025'!$D$2:$D$2497,$B4,'сентябрь 2025'!$J$2:$J$2497,H$1)</f>
        <v>0</v>
      </c>
      <c r="I4" s="76">
        <f>SUMIFS('сентябрь 2025'!$G$2:$G$2497,'сентябрь 2025'!$D$2:$D$2497,$B4,'сентябрь 2025'!$J$2:$J$2497,I$1)</f>
        <v>0</v>
      </c>
      <c r="J4" s="76">
        <f>SUMIFS('сентябрь 2025'!$G$2:$G$2497,'сентябрь 2025'!$D$2:$D$2497,$B4,'сентябрь 2025'!$J$2:$J$2497,J$1)</f>
        <v>0</v>
      </c>
      <c r="K4" s="76">
        <f>SUMIFS('сентябрь 2025'!$G$2:$G$2497,'сентябрь 2025'!$D$2:$D$2497,$B4,'сентябрь 2025'!$J$2:$J$2497,K$1)</f>
        <v>0</v>
      </c>
      <c r="L4" s="76">
        <f>SUMIFS('сентябрь 2025'!$G$2:$G$2497,'сентябрь 2025'!$D$2:$D$2497,$B4,'сентябрь 2025'!$J$2:$J$2497,L$1)</f>
        <v>1400</v>
      </c>
      <c r="M4" s="76">
        <f>SUMIFS('сентябрь 2025'!$G$2:$G$2497,'сентябрь 2025'!$D$2:$D$2497,$B4,'сентябрь 2025'!$J$2:$J$2497,M$1)</f>
        <v>0</v>
      </c>
      <c r="N4" s="76">
        <f>SUMIFS('сентябрь 2025'!$G$2:$G$2497,'сентябрь 2025'!$D$2:$D$2497,$B4,'сентябрь 2025'!$J$2:$J$2497,N$1)</f>
        <v>0</v>
      </c>
      <c r="O4" s="76">
        <f>SUMIFS('сентябрь 2025'!$G$2:$G$2497,'сентябрь 2025'!$D$2:$D$2497,$B4,'сентябрь 2025'!$J$2:$J$2497,O$1)</f>
        <v>0</v>
      </c>
      <c r="P4" s="76">
        <f>SUMIFS('сентябрь 2025'!$G$2:$G$2497,'сентябрь 2025'!$D$2:$D$2497,$B4,'сентябрь 2025'!$J$2:$J$2497,P$1)</f>
        <v>0</v>
      </c>
      <c r="Q4" s="76">
        <f>SUMIFS('сентябрь 2025'!$G$2:$G$2497,'сентябрь 2025'!$D$2:$D$2497,$B4,'сентябрь 2025'!$J$2:$J$2497,Q$1)</f>
        <v>0</v>
      </c>
      <c r="R4" s="76">
        <f>SUMIFS('сентябрь 2025'!$G$2:$G$2497,'сентябрь 2025'!$D$2:$D$2497,$B4,'сентябрь 2025'!$J$2:$J$2497,R$1)</f>
        <v>0</v>
      </c>
      <c r="S4" s="76">
        <f>SUMIFS('сентябрь 2025'!$G$2:$G$2497,'сентябрь 2025'!$D$2:$D$2497,$B4,'сентябрь 2025'!$J$2:$J$2497,S$1)</f>
        <v>0</v>
      </c>
      <c r="T4" s="76">
        <f>SUMIFS('сентябрь 2025'!$G$2:$G$2497,'сентябрь 2025'!$D$2:$D$2497,$B4,'сентябрь 2025'!$J$2:$J$2497,T$1)</f>
        <v>0</v>
      </c>
      <c r="U4" s="76">
        <f>SUMIFS('сентябрь 2025'!$G$2:$G$2497,'сентябрь 2025'!$D$2:$D$2497,$B4,'сентябрь 2025'!$J$2:$J$2497,U$1)</f>
        <v>0</v>
      </c>
      <c r="V4" s="76">
        <f>SUMIFS('сентябрь 2025'!$G$2:$G$2497,'сентябрь 2025'!$D$2:$D$2497,$B4,'сентябрь 2025'!$J$2:$J$2497,V$1)</f>
        <v>0</v>
      </c>
      <c r="W4" s="76">
        <f>SUMIFS('сентябрь 2025'!$G$2:$G$2497,'сентябрь 2025'!$D$2:$D$2497,$B4,'сентябрь 2025'!$J$2:$J$2497,W$1)</f>
        <v>0</v>
      </c>
      <c r="X4" s="76">
        <f>SUMIFS('сентябрь 2025'!$G$2:$G$2497,'сентябрь 2025'!$D$2:$D$2497,$B4,'сентябрь 2025'!$J$2:$J$2497,X$1)</f>
        <v>0</v>
      </c>
      <c r="Y4" s="76">
        <f>SUMIFS('сентябрь 2025'!$G$2:$G$2497,'сентябрь 2025'!$D$2:$D$2497,$B4,'сентябрь 2025'!$J$2:$J$2497,Y$1)</f>
        <v>0</v>
      </c>
      <c r="Z4" s="76">
        <f>SUMIFS('сентябрь 2025'!$G$2:$G$2497,'сентябрь 2025'!$D$2:$D$2497,$B4,'сентябрь 2025'!$J$2:$J$2497,Z$1)</f>
        <v>0</v>
      </c>
      <c r="AA4" s="76">
        <f>SUMIFS('сентябрь 2025'!$G$2:$G$2497,'сентябрь 2025'!$D$2:$D$2497,$B4,'сентябрь 2025'!$J$2:$J$2497,AA$1)</f>
        <v>0</v>
      </c>
      <c r="AB4" s="76">
        <f>SUMIFS('сентябрь 2025'!$G$2:$G$2497,'сентябрь 2025'!$D$2:$D$2497,$B4,'сентябрь 2025'!$J$2:$J$2497,AB$1)</f>
        <v>700</v>
      </c>
      <c r="AC4" s="76">
        <f>SUMIFS('сентябрь 2025'!$G$2:$G$2497,'сентябрь 2025'!$D$2:$D$2497,$B4,'сентябрь 2025'!$J$2:$J$2497,AC$1)</f>
        <v>0</v>
      </c>
      <c r="AD4" s="76">
        <f>SUMIFS('сентябрь 2025'!$G$2:$G$2497,'сентябрь 2025'!$D$2:$D$2497,$B4,'сентябрь 2025'!$J$2:$J$2497,AD$1)</f>
        <v>0</v>
      </c>
      <c r="AE4" s="76">
        <f>SUMIFS('сентябрь 2025'!$G$2:$G$2497,'сентябрь 2025'!$D$2:$D$2497,$B4,'сентябрь 2025'!$J$2:$J$2497,AE$1)</f>
        <v>0</v>
      </c>
      <c r="AF4" s="76">
        <f>SUMIFS('сентябрь 2025'!$G$2:$G$2497,'сентябрь 2025'!$D$2:$D$2497,$B4,'сентябрь 2025'!$J$2:$J$2497,AF$1)</f>
        <v>0</v>
      </c>
      <c r="AG4" s="76">
        <f>SUMIFS('сентябрь 2025'!$G$2:$G$2497,'сентябрь 2025'!$D$2:$D$2497,$B4,'сентябрь 2025'!$J$2:$J$2497,AG$1)</f>
        <v>0</v>
      </c>
      <c r="AH4" s="76">
        <f>SUMIFS('сентябрь 2025'!$G$2:$G$2497,'сентябрь 2025'!$D$2:$D$2497,$B4,'сентябрь 2025'!$J$2:$J$2497,AH$1)</f>
        <v>0</v>
      </c>
      <c r="AI4" s="278">
        <f t="shared" si="1"/>
        <v>2100</v>
      </c>
    </row>
    <row r="5" spans="2:35" ht="15" customHeight="1" x14ac:dyDescent="0.25">
      <c r="B5" s="77" t="s">
        <v>214</v>
      </c>
      <c r="C5" s="78">
        <v>25</v>
      </c>
      <c r="D5" s="76">
        <f>SUMIFS('сентябрь 2025'!$G$2:$G$2497,'сентябрь 2025'!$D$2:$D$2497,$B5,'сентябрь 2025'!$J$2:$J$2497,D$1)</f>
        <v>0</v>
      </c>
      <c r="E5" s="76">
        <f>SUMIFS('сентябрь 2025'!$G$2:$G$2497,'сентябрь 2025'!$D$2:$D$2497,$B5,'сентябрь 2025'!$J$2:$J$2497,E$1)</f>
        <v>0</v>
      </c>
      <c r="F5" s="76">
        <f>SUMIFS('сентябрь 2025'!$G$2:$G$2497,'сентябрь 2025'!$D$2:$D$2497,$B5,'сентябрь 2025'!$J$2:$J$2497,F$1)</f>
        <v>0</v>
      </c>
      <c r="G5" s="76">
        <f>SUMIFS('сентябрь 2025'!$G$2:$G$2497,'сентябрь 2025'!$D$2:$D$2497,$B5,'сентябрь 2025'!$J$2:$J$2497,G$1)</f>
        <v>0</v>
      </c>
      <c r="H5" s="76">
        <f>SUMIFS('сентябрь 2025'!$G$2:$G$2497,'сентябрь 2025'!$D$2:$D$2497,$B5,'сентябрь 2025'!$J$2:$J$2497,H$1)</f>
        <v>0</v>
      </c>
      <c r="I5" s="76">
        <f>SUMIFS('сентябрь 2025'!$G$2:$G$2497,'сентябрь 2025'!$D$2:$D$2497,$B5,'сентябрь 2025'!$J$2:$J$2497,I$1)</f>
        <v>0</v>
      </c>
      <c r="J5" s="76">
        <f>SUMIFS('сентябрь 2025'!$G$2:$G$2497,'сентябрь 2025'!$D$2:$D$2497,$B5,'сентябрь 2025'!$J$2:$J$2497,J$1)</f>
        <v>0</v>
      </c>
      <c r="K5" s="76">
        <f>SUMIFS('сентябрь 2025'!$G$2:$G$2497,'сентябрь 2025'!$D$2:$D$2497,$B5,'сентябрь 2025'!$J$2:$J$2497,K$1)</f>
        <v>0</v>
      </c>
      <c r="L5" s="76">
        <f>SUMIFS('сентябрь 2025'!$G$2:$G$2497,'сентябрь 2025'!$D$2:$D$2497,$B5,'сентябрь 2025'!$J$2:$J$2497,L$1)</f>
        <v>0</v>
      </c>
      <c r="M5" s="76">
        <f>SUMIFS('сентябрь 2025'!$G$2:$G$2497,'сентябрь 2025'!$D$2:$D$2497,$B5,'сентябрь 2025'!$J$2:$J$2497,M$1)</f>
        <v>0</v>
      </c>
      <c r="N5" s="76">
        <f>SUMIFS('сентябрь 2025'!$G$2:$G$2497,'сентябрь 2025'!$D$2:$D$2497,$B5,'сентябрь 2025'!$J$2:$J$2497,N$1)</f>
        <v>0</v>
      </c>
      <c r="O5" s="76">
        <f>SUMIFS('сентябрь 2025'!$G$2:$G$2497,'сентябрь 2025'!$D$2:$D$2497,$B5,'сентябрь 2025'!$J$2:$J$2497,O$1)</f>
        <v>0</v>
      </c>
      <c r="P5" s="76">
        <f>SUMIFS('сентябрь 2025'!$G$2:$G$2497,'сентябрь 2025'!$D$2:$D$2497,$B5,'сентябрь 2025'!$J$2:$J$2497,P$1)</f>
        <v>0</v>
      </c>
      <c r="Q5" s="76">
        <f>SUMIFS('сентябрь 2025'!$G$2:$G$2497,'сентябрь 2025'!$D$2:$D$2497,$B5,'сентябрь 2025'!$J$2:$J$2497,Q$1)</f>
        <v>0</v>
      </c>
      <c r="R5" s="76">
        <f>SUMIFS('сентябрь 2025'!$G$2:$G$2497,'сентябрь 2025'!$D$2:$D$2497,$B5,'сентябрь 2025'!$J$2:$J$2497,R$1)</f>
        <v>0</v>
      </c>
      <c r="S5" s="76">
        <f>SUMIFS('сентябрь 2025'!$G$2:$G$2497,'сентябрь 2025'!$D$2:$D$2497,$B5,'сентябрь 2025'!$J$2:$J$2497,S$1)</f>
        <v>0</v>
      </c>
      <c r="T5" s="76">
        <f>SUMIFS('сентябрь 2025'!$G$2:$G$2497,'сентябрь 2025'!$D$2:$D$2497,$B5,'сентябрь 2025'!$J$2:$J$2497,T$1)</f>
        <v>0</v>
      </c>
      <c r="U5" s="76">
        <f>SUMIFS('сентябрь 2025'!$G$2:$G$2497,'сентябрь 2025'!$D$2:$D$2497,$B5,'сентябрь 2025'!$J$2:$J$2497,U$1)</f>
        <v>0</v>
      </c>
      <c r="V5" s="76">
        <f>SUMIFS('сентябрь 2025'!$G$2:$G$2497,'сентябрь 2025'!$D$2:$D$2497,$B5,'сентябрь 2025'!$J$2:$J$2497,V$1)</f>
        <v>0</v>
      </c>
      <c r="W5" s="76">
        <f>SUMIFS('сентябрь 2025'!$G$2:$G$2497,'сентябрь 2025'!$D$2:$D$2497,$B5,'сентябрь 2025'!$J$2:$J$2497,W$1)</f>
        <v>0</v>
      </c>
      <c r="X5" s="76">
        <f>SUMIFS('сентябрь 2025'!$G$2:$G$2497,'сентябрь 2025'!$D$2:$D$2497,$B5,'сентябрь 2025'!$J$2:$J$2497,X$1)</f>
        <v>0</v>
      </c>
      <c r="Y5" s="76">
        <f>SUMIFS('сентябрь 2025'!$G$2:$G$2497,'сентябрь 2025'!$D$2:$D$2497,$B5,'сентябрь 2025'!$J$2:$J$2497,Y$1)</f>
        <v>0</v>
      </c>
      <c r="Z5" s="76">
        <f>SUMIFS('сентябрь 2025'!$G$2:$G$2497,'сентябрь 2025'!$D$2:$D$2497,$B5,'сентябрь 2025'!$J$2:$J$2497,Z$1)</f>
        <v>0</v>
      </c>
      <c r="AA5" s="76">
        <f>SUMIFS('сентябрь 2025'!$G$2:$G$2497,'сентябрь 2025'!$D$2:$D$2497,$B5,'сентябрь 2025'!$J$2:$J$2497,AA$1)</f>
        <v>0</v>
      </c>
      <c r="AB5" s="76">
        <f>SUMIFS('сентябрь 2025'!$G$2:$G$2497,'сентябрь 2025'!$D$2:$D$2497,$B5,'сентябрь 2025'!$J$2:$J$2497,AB$1)</f>
        <v>0</v>
      </c>
      <c r="AC5" s="76">
        <f>SUMIFS('сентябрь 2025'!$G$2:$G$2497,'сентябрь 2025'!$D$2:$D$2497,$B5,'сентябрь 2025'!$J$2:$J$2497,AC$1)</f>
        <v>0</v>
      </c>
      <c r="AD5" s="76">
        <f>SUMIFS('сентябрь 2025'!$G$2:$G$2497,'сентябрь 2025'!$D$2:$D$2497,$B5,'сентябрь 2025'!$J$2:$J$2497,AD$1)</f>
        <v>0</v>
      </c>
      <c r="AE5" s="76">
        <f>SUMIFS('сентябрь 2025'!$G$2:$G$2497,'сентябрь 2025'!$D$2:$D$2497,$B5,'сентябрь 2025'!$J$2:$J$2497,AE$1)</f>
        <v>0</v>
      </c>
      <c r="AF5" s="76">
        <f>SUMIFS('сентябрь 2025'!$G$2:$G$2497,'сентябрь 2025'!$D$2:$D$2497,$B5,'сентябрь 2025'!$J$2:$J$2497,AF$1)</f>
        <v>0</v>
      </c>
      <c r="AG5" s="76">
        <f>SUMIFS('сентябрь 2025'!$G$2:$G$2497,'сентябрь 2025'!$D$2:$D$2497,$B5,'сентябрь 2025'!$J$2:$J$2497,AG$1)</f>
        <v>0</v>
      </c>
      <c r="AH5" s="76">
        <f>SUMIFS('сентябрь 2025'!$G$2:$G$2497,'сентябрь 2025'!$D$2:$D$2497,$B5,'сентябрь 2025'!$J$2:$J$2497,AH$1)</f>
        <v>0</v>
      </c>
      <c r="AI5" s="20">
        <f t="shared" si="1"/>
        <v>0</v>
      </c>
    </row>
    <row r="6" spans="2:35" ht="15" customHeight="1" x14ac:dyDescent="0.25">
      <c r="B6" s="77" t="s">
        <v>216</v>
      </c>
      <c r="C6" s="78">
        <v>25</v>
      </c>
      <c r="D6" s="76">
        <f>SUMIFS('сентябрь 2025'!$G$2:$G$2497,'сентябрь 2025'!$D$2:$D$2497,$B6,'сентябрь 2025'!$J$2:$J$2497,D$1)</f>
        <v>0</v>
      </c>
      <c r="E6" s="76">
        <f>SUMIFS('сентябрь 2025'!$G$2:$G$2497,'сентябрь 2025'!$D$2:$D$2497,$B6,'сентябрь 2025'!$J$2:$J$2497,E$1)</f>
        <v>0</v>
      </c>
      <c r="F6" s="76">
        <f>SUMIFS('сентябрь 2025'!$G$2:$G$2497,'сентябрь 2025'!$D$2:$D$2497,$B6,'сентябрь 2025'!$J$2:$J$2497,F$1)</f>
        <v>0</v>
      </c>
      <c r="G6" s="76">
        <f>SUMIFS('сентябрь 2025'!$G$2:$G$2497,'сентябрь 2025'!$D$2:$D$2497,$B6,'сентябрь 2025'!$J$2:$J$2497,G$1)</f>
        <v>0</v>
      </c>
      <c r="H6" s="76">
        <f>SUMIFS('сентябрь 2025'!$G$2:$G$2497,'сентябрь 2025'!$D$2:$D$2497,$B6,'сентябрь 2025'!$J$2:$J$2497,H$1)</f>
        <v>0</v>
      </c>
      <c r="I6" s="76">
        <f>SUMIFS('сентябрь 2025'!$G$2:$G$2497,'сентябрь 2025'!$D$2:$D$2497,$B6,'сентябрь 2025'!$J$2:$J$2497,I$1)</f>
        <v>0</v>
      </c>
      <c r="J6" s="76">
        <f>SUMIFS('сентябрь 2025'!$G$2:$G$2497,'сентябрь 2025'!$D$2:$D$2497,$B6,'сентябрь 2025'!$J$2:$J$2497,J$1)</f>
        <v>0</v>
      </c>
      <c r="K6" s="76">
        <f>SUMIFS('сентябрь 2025'!$G$2:$G$2497,'сентябрь 2025'!$D$2:$D$2497,$B6,'сентябрь 2025'!$J$2:$J$2497,K$1)</f>
        <v>0</v>
      </c>
      <c r="L6" s="76">
        <f>SUMIFS('сентябрь 2025'!$G$2:$G$2497,'сентябрь 2025'!$D$2:$D$2497,$B6,'сентябрь 2025'!$J$2:$J$2497,L$1)</f>
        <v>0</v>
      </c>
      <c r="M6" s="76">
        <f>SUMIFS('сентябрь 2025'!$G$2:$G$2497,'сентябрь 2025'!$D$2:$D$2497,$B6,'сентябрь 2025'!$J$2:$J$2497,M$1)</f>
        <v>0</v>
      </c>
      <c r="N6" s="76">
        <f>SUMIFS('сентябрь 2025'!$G$2:$G$2497,'сентябрь 2025'!$D$2:$D$2497,$B6,'сентябрь 2025'!$J$2:$J$2497,N$1)</f>
        <v>0</v>
      </c>
      <c r="O6" s="76">
        <f>SUMIFS('сентябрь 2025'!$G$2:$G$2497,'сентябрь 2025'!$D$2:$D$2497,$B6,'сентябрь 2025'!$J$2:$J$2497,O$1)</f>
        <v>0</v>
      </c>
      <c r="P6" s="76">
        <f>SUMIFS('сентябрь 2025'!$G$2:$G$2497,'сентябрь 2025'!$D$2:$D$2497,$B6,'сентябрь 2025'!$J$2:$J$2497,P$1)</f>
        <v>0</v>
      </c>
      <c r="Q6" s="76">
        <f>SUMIFS('сентябрь 2025'!$G$2:$G$2497,'сентябрь 2025'!$D$2:$D$2497,$B6,'сентябрь 2025'!$J$2:$J$2497,Q$1)</f>
        <v>0</v>
      </c>
      <c r="R6" s="76">
        <f>SUMIFS('сентябрь 2025'!$G$2:$G$2497,'сентябрь 2025'!$D$2:$D$2497,$B6,'сентябрь 2025'!$J$2:$J$2497,R$1)</f>
        <v>0</v>
      </c>
      <c r="S6" s="76">
        <f>SUMIFS('сентябрь 2025'!$G$2:$G$2497,'сентябрь 2025'!$D$2:$D$2497,$B6,'сентябрь 2025'!$J$2:$J$2497,S$1)</f>
        <v>0</v>
      </c>
      <c r="T6" s="76">
        <f>SUMIFS('сентябрь 2025'!$G$2:$G$2497,'сентябрь 2025'!$D$2:$D$2497,$B6,'сентябрь 2025'!$J$2:$J$2497,T$1)</f>
        <v>0</v>
      </c>
      <c r="U6" s="76">
        <f>SUMIFS('сентябрь 2025'!$G$2:$G$2497,'сентябрь 2025'!$D$2:$D$2497,$B6,'сентябрь 2025'!$J$2:$J$2497,U$1)</f>
        <v>0</v>
      </c>
      <c r="V6" s="76">
        <f>SUMIFS('сентябрь 2025'!$G$2:$G$2497,'сентябрь 2025'!$D$2:$D$2497,$B6,'сентябрь 2025'!$J$2:$J$2497,V$1)</f>
        <v>0</v>
      </c>
      <c r="W6" s="76">
        <f>SUMIFS('сентябрь 2025'!$G$2:$G$2497,'сентябрь 2025'!$D$2:$D$2497,$B6,'сентябрь 2025'!$J$2:$J$2497,W$1)</f>
        <v>0</v>
      </c>
      <c r="X6" s="76">
        <f>SUMIFS('сентябрь 2025'!$G$2:$G$2497,'сентябрь 2025'!$D$2:$D$2497,$B6,'сентябрь 2025'!$J$2:$J$2497,X$1)</f>
        <v>0</v>
      </c>
      <c r="Y6" s="76">
        <f>SUMIFS('сентябрь 2025'!$G$2:$G$2497,'сентябрь 2025'!$D$2:$D$2497,$B6,'сентябрь 2025'!$J$2:$J$2497,Y$1)</f>
        <v>0</v>
      </c>
      <c r="Z6" s="76">
        <f>SUMIFS('сентябрь 2025'!$G$2:$G$2497,'сентябрь 2025'!$D$2:$D$2497,$B6,'сентябрь 2025'!$J$2:$J$2497,Z$1)</f>
        <v>0</v>
      </c>
      <c r="AA6" s="76">
        <f>SUMIFS('сентябрь 2025'!$G$2:$G$2497,'сентябрь 2025'!$D$2:$D$2497,$B6,'сентябрь 2025'!$J$2:$J$2497,AA$1)</f>
        <v>0</v>
      </c>
      <c r="AB6" s="76">
        <f>SUMIFS('сентябрь 2025'!$G$2:$G$2497,'сентябрь 2025'!$D$2:$D$2497,$B6,'сентябрь 2025'!$J$2:$J$2497,AB$1)</f>
        <v>0</v>
      </c>
      <c r="AC6" s="76">
        <f>SUMIFS('сентябрь 2025'!$G$2:$G$2497,'сентябрь 2025'!$D$2:$D$2497,$B6,'сентябрь 2025'!$J$2:$J$2497,AC$1)</f>
        <v>0</v>
      </c>
      <c r="AD6" s="76">
        <f>SUMIFS('сентябрь 2025'!$G$2:$G$2497,'сентябрь 2025'!$D$2:$D$2497,$B6,'сентябрь 2025'!$J$2:$J$2497,AD$1)</f>
        <v>0</v>
      </c>
      <c r="AE6" s="76">
        <f>SUMIFS('сентябрь 2025'!$G$2:$G$2497,'сентябрь 2025'!$D$2:$D$2497,$B6,'сентябрь 2025'!$J$2:$J$2497,AE$1)</f>
        <v>0</v>
      </c>
      <c r="AF6" s="76">
        <f>SUMIFS('сентябрь 2025'!$G$2:$G$2497,'сентябрь 2025'!$D$2:$D$2497,$B6,'сентябрь 2025'!$J$2:$J$2497,AF$1)</f>
        <v>0</v>
      </c>
      <c r="AG6" s="76">
        <f>SUMIFS('сентябрь 2025'!$G$2:$G$2497,'сентябрь 2025'!$D$2:$D$2497,$B6,'сентябрь 2025'!$J$2:$J$2497,AG$1)</f>
        <v>0</v>
      </c>
      <c r="AH6" s="76">
        <f>SUMIFS('сентябрь 2025'!$G$2:$G$2497,'сентябрь 2025'!$D$2:$D$2497,$B6,'сентябрь 2025'!$J$2:$J$2497,AH$1)</f>
        <v>0</v>
      </c>
      <c r="AI6" s="20">
        <f t="shared" si="1"/>
        <v>0</v>
      </c>
    </row>
    <row r="7" spans="2:35" ht="15" customHeight="1" x14ac:dyDescent="0.25">
      <c r="B7" s="77" t="s">
        <v>218</v>
      </c>
      <c r="C7" s="78">
        <v>22.7</v>
      </c>
      <c r="D7" s="76">
        <f>SUMIFS('сентябрь 2025'!$G$2:$G$2497,'сентябрь 2025'!$D$2:$D$2497,$B7,'сентябрь 2025'!$J$2:$J$2497,D$1)</f>
        <v>0</v>
      </c>
      <c r="E7" s="76">
        <f>SUMIFS('сентябрь 2025'!$G$2:$G$2497,'сентябрь 2025'!$D$2:$D$2497,$B7,'сентябрь 2025'!$J$2:$J$2497,E$1)</f>
        <v>0</v>
      </c>
      <c r="F7" s="76">
        <f>SUMIFS('сентябрь 2025'!$G$2:$G$2497,'сентябрь 2025'!$D$2:$D$2497,$B7,'сентябрь 2025'!$J$2:$J$2497,F$1)</f>
        <v>0</v>
      </c>
      <c r="G7" s="76">
        <f>SUMIFS('сентябрь 2025'!$G$2:$G$2497,'сентябрь 2025'!$D$2:$D$2497,$B7,'сентябрь 2025'!$J$2:$J$2497,G$1)</f>
        <v>0</v>
      </c>
      <c r="H7" s="76">
        <f>SUMIFS('сентябрь 2025'!$G$2:$G$2497,'сентябрь 2025'!$D$2:$D$2497,$B7,'сентябрь 2025'!$J$2:$J$2497,H$1)</f>
        <v>0</v>
      </c>
      <c r="I7" s="76">
        <f>SUMIFS('сентябрь 2025'!$G$2:$G$2497,'сентябрь 2025'!$D$2:$D$2497,$B7,'сентябрь 2025'!$J$2:$J$2497,I$1)</f>
        <v>0</v>
      </c>
      <c r="J7" s="76">
        <f>SUMIFS('сентябрь 2025'!$G$2:$G$2497,'сентябрь 2025'!$D$2:$D$2497,$B7,'сентябрь 2025'!$J$2:$J$2497,J$1)</f>
        <v>0</v>
      </c>
      <c r="K7" s="76">
        <f>SUMIFS('сентябрь 2025'!$G$2:$G$2497,'сентябрь 2025'!$D$2:$D$2497,$B7,'сентябрь 2025'!$J$2:$J$2497,K$1)</f>
        <v>0</v>
      </c>
      <c r="L7" s="76">
        <f>SUMIFS('сентябрь 2025'!$G$2:$G$2497,'сентябрь 2025'!$D$2:$D$2497,$B7,'сентябрь 2025'!$J$2:$J$2497,L$1)</f>
        <v>0</v>
      </c>
      <c r="M7" s="76">
        <f>SUMIFS('сентябрь 2025'!$G$2:$G$2497,'сентябрь 2025'!$D$2:$D$2497,$B7,'сентябрь 2025'!$J$2:$J$2497,M$1)</f>
        <v>0</v>
      </c>
      <c r="N7" s="76">
        <f>SUMIFS('сентябрь 2025'!$G$2:$G$2497,'сентябрь 2025'!$D$2:$D$2497,$B7,'сентябрь 2025'!$J$2:$J$2497,N$1)</f>
        <v>0</v>
      </c>
      <c r="O7" s="76">
        <f>SUMIFS('сентябрь 2025'!$G$2:$G$2497,'сентябрь 2025'!$D$2:$D$2497,$B7,'сентябрь 2025'!$J$2:$J$2497,O$1)</f>
        <v>0</v>
      </c>
      <c r="P7" s="76">
        <f>SUMIFS('сентябрь 2025'!$G$2:$G$2497,'сентябрь 2025'!$D$2:$D$2497,$B7,'сентябрь 2025'!$J$2:$J$2497,P$1)</f>
        <v>0</v>
      </c>
      <c r="Q7" s="76">
        <f>SUMIFS('сентябрь 2025'!$G$2:$G$2497,'сентябрь 2025'!$D$2:$D$2497,$B7,'сентябрь 2025'!$J$2:$J$2497,Q$1)</f>
        <v>0</v>
      </c>
      <c r="R7" s="76">
        <f>SUMIFS('сентябрь 2025'!$G$2:$G$2497,'сентябрь 2025'!$D$2:$D$2497,$B7,'сентябрь 2025'!$J$2:$J$2497,R$1)</f>
        <v>0</v>
      </c>
      <c r="S7" s="76">
        <f>SUMIFS('сентябрь 2025'!$G$2:$G$2497,'сентябрь 2025'!$D$2:$D$2497,$B7,'сентябрь 2025'!$J$2:$J$2497,S$1)</f>
        <v>0</v>
      </c>
      <c r="T7" s="76">
        <f>SUMIFS('сентябрь 2025'!$G$2:$G$2497,'сентябрь 2025'!$D$2:$D$2497,$B7,'сентябрь 2025'!$J$2:$J$2497,T$1)</f>
        <v>0</v>
      </c>
      <c r="U7" s="76">
        <f>SUMIFS('сентябрь 2025'!$G$2:$G$2497,'сентябрь 2025'!$D$2:$D$2497,$B7,'сентябрь 2025'!$J$2:$J$2497,U$1)</f>
        <v>0</v>
      </c>
      <c r="V7" s="76">
        <f>SUMIFS('сентябрь 2025'!$G$2:$G$2497,'сентябрь 2025'!$D$2:$D$2497,$B7,'сентябрь 2025'!$J$2:$J$2497,V$1)</f>
        <v>0</v>
      </c>
      <c r="W7" s="76">
        <f>SUMIFS('сентябрь 2025'!$G$2:$G$2497,'сентябрь 2025'!$D$2:$D$2497,$B7,'сентябрь 2025'!$J$2:$J$2497,W$1)</f>
        <v>0</v>
      </c>
      <c r="X7" s="76">
        <f>SUMIFS('сентябрь 2025'!$G$2:$G$2497,'сентябрь 2025'!$D$2:$D$2497,$B7,'сентябрь 2025'!$J$2:$J$2497,X$1)</f>
        <v>0</v>
      </c>
      <c r="Y7" s="76">
        <f>SUMIFS('сентябрь 2025'!$G$2:$G$2497,'сентябрь 2025'!$D$2:$D$2497,$B7,'сентябрь 2025'!$J$2:$J$2497,Y$1)</f>
        <v>0</v>
      </c>
      <c r="Z7" s="76">
        <f>SUMIFS('сентябрь 2025'!$G$2:$G$2497,'сентябрь 2025'!$D$2:$D$2497,$B7,'сентябрь 2025'!$J$2:$J$2497,Z$1)</f>
        <v>0</v>
      </c>
      <c r="AA7" s="76">
        <f>SUMIFS('сентябрь 2025'!$G$2:$G$2497,'сентябрь 2025'!$D$2:$D$2497,$B7,'сентябрь 2025'!$J$2:$J$2497,AA$1)</f>
        <v>0</v>
      </c>
      <c r="AB7" s="76">
        <f>SUMIFS('сентябрь 2025'!$G$2:$G$2497,'сентябрь 2025'!$D$2:$D$2497,$B7,'сентябрь 2025'!$J$2:$J$2497,AB$1)</f>
        <v>0</v>
      </c>
      <c r="AC7" s="76">
        <f>SUMIFS('сентябрь 2025'!$G$2:$G$2497,'сентябрь 2025'!$D$2:$D$2497,$B7,'сентябрь 2025'!$J$2:$J$2497,AC$1)</f>
        <v>0</v>
      </c>
      <c r="AD7" s="76">
        <f>SUMIFS('сентябрь 2025'!$G$2:$G$2497,'сентябрь 2025'!$D$2:$D$2497,$B7,'сентябрь 2025'!$J$2:$J$2497,AD$1)</f>
        <v>0</v>
      </c>
      <c r="AE7" s="76">
        <f>SUMIFS('сентябрь 2025'!$G$2:$G$2497,'сентябрь 2025'!$D$2:$D$2497,$B7,'сентябрь 2025'!$J$2:$J$2497,AE$1)</f>
        <v>0</v>
      </c>
      <c r="AF7" s="76">
        <f>SUMIFS('сентябрь 2025'!$G$2:$G$2497,'сентябрь 2025'!$D$2:$D$2497,$B7,'сентябрь 2025'!$J$2:$J$2497,AF$1)</f>
        <v>0</v>
      </c>
      <c r="AG7" s="76">
        <f>SUMIFS('сентябрь 2025'!$G$2:$G$2497,'сентябрь 2025'!$D$2:$D$2497,$B7,'сентябрь 2025'!$J$2:$J$2497,AG$1)</f>
        <v>0</v>
      </c>
      <c r="AH7" s="76">
        <f>SUMIFS('сентябрь 2025'!$G$2:$G$2497,'сентябрь 2025'!$D$2:$D$2497,$B7,'сентябрь 2025'!$J$2:$J$2497,AH$1)</f>
        <v>0</v>
      </c>
      <c r="AI7" s="20">
        <f t="shared" si="1"/>
        <v>0</v>
      </c>
    </row>
    <row r="8" spans="2:35" ht="15" customHeight="1" x14ac:dyDescent="0.25">
      <c r="B8" s="77" t="s">
        <v>220</v>
      </c>
      <c r="C8" s="78">
        <v>22.7</v>
      </c>
      <c r="D8" s="76">
        <f>SUMIFS('сентябрь 2025'!$G$2:$G$2497,'сентябрь 2025'!$D$2:$D$2497,$B8,'сентябрь 2025'!$J$2:$J$2497,D$1)</f>
        <v>0</v>
      </c>
      <c r="E8" s="76">
        <f>SUMIFS('сентябрь 2025'!$G$2:$G$2497,'сентябрь 2025'!$D$2:$D$2497,$B8,'сентябрь 2025'!$J$2:$J$2497,E$1)</f>
        <v>0</v>
      </c>
      <c r="F8" s="76">
        <f>SUMIFS('сентябрь 2025'!$G$2:$G$2497,'сентябрь 2025'!$D$2:$D$2497,$B8,'сентябрь 2025'!$J$2:$J$2497,F$1)</f>
        <v>0</v>
      </c>
      <c r="G8" s="76">
        <f>SUMIFS('сентябрь 2025'!$G$2:$G$2497,'сентябрь 2025'!$D$2:$D$2497,$B8,'сентябрь 2025'!$J$2:$J$2497,G$1)</f>
        <v>0</v>
      </c>
      <c r="H8" s="76">
        <f>SUMIFS('сентябрь 2025'!$G$2:$G$2497,'сентябрь 2025'!$D$2:$D$2497,$B8,'сентябрь 2025'!$J$2:$J$2497,H$1)</f>
        <v>0</v>
      </c>
      <c r="I8" s="76">
        <f>SUMIFS('сентябрь 2025'!$G$2:$G$2497,'сентябрь 2025'!$D$2:$D$2497,$B8,'сентябрь 2025'!$J$2:$J$2497,I$1)</f>
        <v>0</v>
      </c>
      <c r="J8" s="76">
        <f>SUMIFS('сентябрь 2025'!$G$2:$G$2497,'сентябрь 2025'!$D$2:$D$2497,$B8,'сентябрь 2025'!$J$2:$J$2497,J$1)</f>
        <v>0</v>
      </c>
      <c r="K8" s="76">
        <f>SUMIFS('сентябрь 2025'!$G$2:$G$2497,'сентябрь 2025'!$D$2:$D$2497,$B8,'сентябрь 2025'!$J$2:$J$2497,K$1)</f>
        <v>0</v>
      </c>
      <c r="L8" s="76">
        <f>SUMIFS('сентябрь 2025'!$G$2:$G$2497,'сентябрь 2025'!$D$2:$D$2497,$B8,'сентябрь 2025'!$J$2:$J$2497,L$1)</f>
        <v>0</v>
      </c>
      <c r="M8" s="76">
        <f>SUMIFS('сентябрь 2025'!$G$2:$G$2497,'сентябрь 2025'!$D$2:$D$2497,$B8,'сентябрь 2025'!$J$2:$J$2497,M$1)</f>
        <v>0</v>
      </c>
      <c r="N8" s="76">
        <f>SUMIFS('сентябрь 2025'!$G$2:$G$2497,'сентябрь 2025'!$D$2:$D$2497,$B8,'сентябрь 2025'!$J$2:$J$2497,N$1)</f>
        <v>0</v>
      </c>
      <c r="O8" s="76">
        <f>SUMIFS('сентябрь 2025'!$G$2:$G$2497,'сентябрь 2025'!$D$2:$D$2497,$B8,'сентябрь 2025'!$J$2:$J$2497,O$1)</f>
        <v>0</v>
      </c>
      <c r="P8" s="76">
        <f>SUMIFS('сентябрь 2025'!$G$2:$G$2497,'сентябрь 2025'!$D$2:$D$2497,$B8,'сентябрь 2025'!$J$2:$J$2497,P$1)</f>
        <v>0</v>
      </c>
      <c r="Q8" s="76">
        <f>SUMIFS('сентябрь 2025'!$G$2:$G$2497,'сентябрь 2025'!$D$2:$D$2497,$B8,'сентябрь 2025'!$J$2:$J$2497,Q$1)</f>
        <v>0</v>
      </c>
      <c r="R8" s="76">
        <f>SUMIFS('сентябрь 2025'!$G$2:$G$2497,'сентябрь 2025'!$D$2:$D$2497,$B8,'сентябрь 2025'!$J$2:$J$2497,R$1)</f>
        <v>0</v>
      </c>
      <c r="S8" s="76">
        <f>SUMIFS('сентябрь 2025'!$G$2:$G$2497,'сентябрь 2025'!$D$2:$D$2497,$B8,'сентябрь 2025'!$J$2:$J$2497,S$1)</f>
        <v>0</v>
      </c>
      <c r="T8" s="76">
        <f>SUMIFS('сентябрь 2025'!$G$2:$G$2497,'сентябрь 2025'!$D$2:$D$2497,$B8,'сентябрь 2025'!$J$2:$J$2497,T$1)</f>
        <v>0</v>
      </c>
      <c r="U8" s="76">
        <f>SUMIFS('сентябрь 2025'!$G$2:$G$2497,'сентябрь 2025'!$D$2:$D$2497,$B8,'сентябрь 2025'!$J$2:$J$2497,U$1)</f>
        <v>0</v>
      </c>
      <c r="V8" s="76">
        <f>SUMIFS('сентябрь 2025'!$G$2:$G$2497,'сентябрь 2025'!$D$2:$D$2497,$B8,'сентябрь 2025'!$J$2:$J$2497,V$1)</f>
        <v>0</v>
      </c>
      <c r="W8" s="76">
        <f>SUMIFS('сентябрь 2025'!$G$2:$G$2497,'сентябрь 2025'!$D$2:$D$2497,$B8,'сентябрь 2025'!$J$2:$J$2497,W$1)</f>
        <v>0</v>
      </c>
      <c r="X8" s="76">
        <f>SUMIFS('сентябрь 2025'!$G$2:$G$2497,'сентябрь 2025'!$D$2:$D$2497,$B8,'сентябрь 2025'!$J$2:$J$2497,X$1)</f>
        <v>0</v>
      </c>
      <c r="Y8" s="76">
        <f>SUMIFS('сентябрь 2025'!$G$2:$G$2497,'сентябрь 2025'!$D$2:$D$2497,$B8,'сентябрь 2025'!$J$2:$J$2497,Y$1)</f>
        <v>0</v>
      </c>
      <c r="Z8" s="76">
        <f>SUMIFS('сентябрь 2025'!$G$2:$G$2497,'сентябрь 2025'!$D$2:$D$2497,$B8,'сентябрь 2025'!$J$2:$J$2497,Z$1)</f>
        <v>0</v>
      </c>
      <c r="AA8" s="76">
        <f>SUMIFS('сентябрь 2025'!$G$2:$G$2497,'сентябрь 2025'!$D$2:$D$2497,$B8,'сентябрь 2025'!$J$2:$J$2497,AA$1)</f>
        <v>0</v>
      </c>
      <c r="AB8" s="76">
        <f>SUMIFS('сентябрь 2025'!$G$2:$G$2497,'сентябрь 2025'!$D$2:$D$2497,$B8,'сентябрь 2025'!$J$2:$J$2497,AB$1)</f>
        <v>0</v>
      </c>
      <c r="AC8" s="76">
        <f>SUMIFS('сентябрь 2025'!$G$2:$G$2497,'сентябрь 2025'!$D$2:$D$2497,$B8,'сентябрь 2025'!$J$2:$J$2497,AC$1)</f>
        <v>0</v>
      </c>
      <c r="AD8" s="76">
        <f>SUMIFS('сентябрь 2025'!$G$2:$G$2497,'сентябрь 2025'!$D$2:$D$2497,$B8,'сентябрь 2025'!$J$2:$J$2497,AD$1)</f>
        <v>0</v>
      </c>
      <c r="AE8" s="76">
        <f>SUMIFS('сентябрь 2025'!$G$2:$G$2497,'сентябрь 2025'!$D$2:$D$2497,$B8,'сентябрь 2025'!$J$2:$J$2497,AE$1)</f>
        <v>0</v>
      </c>
      <c r="AF8" s="76">
        <f>SUMIFS('сентябрь 2025'!$G$2:$G$2497,'сентябрь 2025'!$D$2:$D$2497,$B8,'сентябрь 2025'!$J$2:$J$2497,AF$1)</f>
        <v>0</v>
      </c>
      <c r="AG8" s="76">
        <f>SUMIFS('сентябрь 2025'!$G$2:$G$2497,'сентябрь 2025'!$D$2:$D$2497,$B8,'сентябрь 2025'!$J$2:$J$2497,AG$1)</f>
        <v>0</v>
      </c>
      <c r="AH8" s="76">
        <f>SUMIFS('сентябрь 2025'!$G$2:$G$2497,'сентябрь 2025'!$D$2:$D$2497,$B8,'сентябрь 2025'!$J$2:$J$2497,AH$1)</f>
        <v>0</v>
      </c>
      <c r="AI8" s="20">
        <f t="shared" si="1"/>
        <v>0</v>
      </c>
    </row>
    <row r="9" spans="2:35" ht="15" customHeight="1" x14ac:dyDescent="0.25">
      <c r="B9" s="79" t="s">
        <v>222</v>
      </c>
      <c r="C9" s="78">
        <v>25</v>
      </c>
      <c r="D9" s="76">
        <f>SUMIFS('сентябрь 2025'!$G$2:$G$2497,'сентябрь 2025'!$D$2:$D$2497,$B9,'сентябрь 2025'!$J$2:$J$2497,D$1)</f>
        <v>0</v>
      </c>
      <c r="E9" s="76">
        <f>SUMIFS('сентябрь 2025'!$G$2:$G$2497,'сентябрь 2025'!$D$2:$D$2497,$B9,'сентябрь 2025'!$J$2:$J$2497,E$1)</f>
        <v>0</v>
      </c>
      <c r="F9" s="76">
        <f>SUMIFS('сентябрь 2025'!$G$2:$G$2497,'сентябрь 2025'!$D$2:$D$2497,$B9,'сентябрь 2025'!$J$2:$J$2497,F$1)</f>
        <v>0</v>
      </c>
      <c r="G9" s="76">
        <f>SUMIFS('сентябрь 2025'!$G$2:$G$2497,'сентябрь 2025'!$D$2:$D$2497,$B9,'сентябрь 2025'!$J$2:$J$2497,G$1)</f>
        <v>0</v>
      </c>
      <c r="H9" s="76">
        <f>SUMIFS('сентябрь 2025'!$G$2:$G$2497,'сентябрь 2025'!$D$2:$D$2497,$B9,'сентябрь 2025'!$J$2:$J$2497,H$1)</f>
        <v>320</v>
      </c>
      <c r="I9" s="76">
        <f>SUMIFS('сентябрь 2025'!$G$2:$G$2497,'сентябрь 2025'!$D$2:$D$2497,$B9,'сентябрь 2025'!$J$2:$J$2497,I$1)</f>
        <v>0</v>
      </c>
      <c r="J9" s="76">
        <f>SUMIFS('сентябрь 2025'!$G$2:$G$2497,'сентябрь 2025'!$D$2:$D$2497,$B9,'сентябрь 2025'!$J$2:$J$2497,J$1)</f>
        <v>0</v>
      </c>
      <c r="K9" s="76">
        <f>SUMIFS('сентябрь 2025'!$G$2:$G$2497,'сентябрь 2025'!$D$2:$D$2497,$B9,'сентябрь 2025'!$J$2:$J$2497,K$1)</f>
        <v>1600</v>
      </c>
      <c r="L9" s="76">
        <f>SUMIFS('сентябрь 2025'!$G$2:$G$2497,'сентябрь 2025'!$D$2:$D$2497,$B9,'сентябрь 2025'!$J$2:$J$2497,L$1)</f>
        <v>2040</v>
      </c>
      <c r="M9" s="76">
        <f>SUMIFS('сентябрь 2025'!$G$2:$G$2497,'сентябрь 2025'!$D$2:$D$2497,$B9,'сентябрь 2025'!$J$2:$J$2497,M$1)</f>
        <v>0</v>
      </c>
      <c r="N9" s="76">
        <f>SUMIFS('сентябрь 2025'!$G$2:$G$2497,'сентябрь 2025'!$D$2:$D$2497,$B9,'сентябрь 2025'!$J$2:$J$2497,N$1)</f>
        <v>80</v>
      </c>
      <c r="O9" s="76">
        <f>SUMIFS('сентябрь 2025'!$G$2:$G$2497,'сентябрь 2025'!$D$2:$D$2497,$B9,'сентябрь 2025'!$J$2:$J$2497,O$1)</f>
        <v>0</v>
      </c>
      <c r="P9" s="76">
        <f>SUMIFS('сентябрь 2025'!$G$2:$G$2497,'сентябрь 2025'!$D$2:$D$2497,$B9,'сентябрь 2025'!$J$2:$J$2497,P$1)</f>
        <v>0</v>
      </c>
      <c r="Q9" s="76">
        <f>SUMIFS('сентябрь 2025'!$G$2:$G$2497,'сентябрь 2025'!$D$2:$D$2497,$B9,'сентябрь 2025'!$J$2:$J$2497,Q$1)</f>
        <v>0</v>
      </c>
      <c r="R9" s="76">
        <f>SUMIFS('сентябрь 2025'!$G$2:$G$2497,'сентябрь 2025'!$D$2:$D$2497,$B9,'сентябрь 2025'!$J$2:$J$2497,R$1)</f>
        <v>0</v>
      </c>
      <c r="S9" s="76">
        <f>SUMIFS('сентябрь 2025'!$G$2:$G$2497,'сентябрь 2025'!$D$2:$D$2497,$B9,'сентябрь 2025'!$J$2:$J$2497,S$1)</f>
        <v>0</v>
      </c>
      <c r="T9" s="76">
        <f>SUMIFS('сентябрь 2025'!$G$2:$G$2497,'сентябрь 2025'!$D$2:$D$2497,$B9,'сентябрь 2025'!$J$2:$J$2497,T$1)</f>
        <v>0</v>
      </c>
      <c r="U9" s="76">
        <f>SUMIFS('сентябрь 2025'!$G$2:$G$2497,'сентябрь 2025'!$D$2:$D$2497,$B9,'сентябрь 2025'!$J$2:$J$2497,U$1)</f>
        <v>0</v>
      </c>
      <c r="V9" s="76">
        <f>SUMIFS('сентябрь 2025'!$G$2:$G$2497,'сентябрь 2025'!$D$2:$D$2497,$B9,'сентябрь 2025'!$J$2:$J$2497,V$1)</f>
        <v>0</v>
      </c>
      <c r="W9" s="76">
        <f>SUMIFS('сентябрь 2025'!$G$2:$G$2497,'сентябрь 2025'!$D$2:$D$2497,$B9,'сентябрь 2025'!$J$2:$J$2497,W$1)</f>
        <v>0</v>
      </c>
      <c r="X9" s="76">
        <f>SUMIFS('сентябрь 2025'!$G$2:$G$2497,'сентябрь 2025'!$D$2:$D$2497,$B9,'сентябрь 2025'!$J$2:$J$2497,X$1)</f>
        <v>0</v>
      </c>
      <c r="Y9" s="76">
        <f>SUMIFS('сентябрь 2025'!$G$2:$G$2497,'сентябрь 2025'!$D$2:$D$2497,$B9,'сентябрь 2025'!$J$2:$J$2497,Y$1)</f>
        <v>0</v>
      </c>
      <c r="Z9" s="76">
        <f>SUMIFS('сентябрь 2025'!$G$2:$G$2497,'сентябрь 2025'!$D$2:$D$2497,$B9,'сентябрь 2025'!$J$2:$J$2497,Z$1)</f>
        <v>0</v>
      </c>
      <c r="AA9" s="76">
        <f>SUMIFS('сентябрь 2025'!$G$2:$G$2497,'сентябрь 2025'!$D$2:$D$2497,$B9,'сентябрь 2025'!$J$2:$J$2497,AA$1)</f>
        <v>0</v>
      </c>
      <c r="AB9" s="76">
        <f>SUMIFS('сентябрь 2025'!$G$2:$G$2497,'сентябрь 2025'!$D$2:$D$2497,$B9,'сентябрь 2025'!$J$2:$J$2497,AB$1)</f>
        <v>0</v>
      </c>
      <c r="AC9" s="76">
        <f>SUMIFS('сентябрь 2025'!$G$2:$G$2497,'сентябрь 2025'!$D$2:$D$2497,$B9,'сентябрь 2025'!$J$2:$J$2497,AC$1)</f>
        <v>0</v>
      </c>
      <c r="AD9" s="76">
        <f>SUMIFS('сентябрь 2025'!$G$2:$G$2497,'сентябрь 2025'!$D$2:$D$2497,$B9,'сентябрь 2025'!$J$2:$J$2497,AD$1)</f>
        <v>0</v>
      </c>
      <c r="AE9" s="76">
        <f>SUMIFS('сентябрь 2025'!$G$2:$G$2497,'сентябрь 2025'!$D$2:$D$2497,$B9,'сентябрь 2025'!$J$2:$J$2497,AE$1)</f>
        <v>0</v>
      </c>
      <c r="AF9" s="76">
        <f>SUMIFS('сентябрь 2025'!$G$2:$G$2497,'сентябрь 2025'!$D$2:$D$2497,$B9,'сентябрь 2025'!$J$2:$J$2497,AF$1)</f>
        <v>0</v>
      </c>
      <c r="AG9" s="76">
        <f>SUMIFS('сентябрь 2025'!$G$2:$G$2497,'сентябрь 2025'!$D$2:$D$2497,$B9,'сентябрь 2025'!$J$2:$J$2497,AG$1)</f>
        <v>0</v>
      </c>
      <c r="AH9" s="76">
        <f>SUMIFS('сентябрь 2025'!$G$2:$G$2497,'сентябрь 2025'!$D$2:$D$2497,$B9,'сентябрь 2025'!$J$2:$J$2497,AH$1)</f>
        <v>0</v>
      </c>
      <c r="AI9" s="20">
        <f t="shared" si="1"/>
        <v>4040</v>
      </c>
    </row>
    <row r="10" spans="2:35" ht="15" customHeight="1" x14ac:dyDescent="0.25">
      <c r="B10" s="77" t="s">
        <v>224</v>
      </c>
      <c r="C10" s="78">
        <v>25</v>
      </c>
      <c r="D10" s="76">
        <f>SUMIFS('сентябрь 2025'!$G$2:$G$2497,'сентябрь 2025'!$D$2:$D$2497,$B10,'сентябрь 2025'!$J$2:$J$2497,D$1)</f>
        <v>0</v>
      </c>
      <c r="E10" s="76">
        <f>SUMIFS('сентябрь 2025'!$G$2:$G$2497,'сентябрь 2025'!$D$2:$D$2497,$B10,'сентябрь 2025'!$J$2:$J$2497,E$1)</f>
        <v>0</v>
      </c>
      <c r="F10" s="76">
        <f>SUMIFS('сентябрь 2025'!$G$2:$G$2497,'сентябрь 2025'!$D$2:$D$2497,$B10,'сентябрь 2025'!$J$2:$J$2497,F$1)</f>
        <v>0</v>
      </c>
      <c r="G10" s="76">
        <f>SUMIFS('сентябрь 2025'!$G$2:$G$2497,'сентябрь 2025'!$D$2:$D$2497,$B10,'сентябрь 2025'!$J$2:$J$2497,G$1)</f>
        <v>0</v>
      </c>
      <c r="H10" s="76">
        <f>SUMIFS('сентябрь 2025'!$G$2:$G$2497,'сентябрь 2025'!$D$2:$D$2497,$B10,'сентябрь 2025'!$J$2:$J$2497,H$1)</f>
        <v>0</v>
      </c>
      <c r="I10" s="76">
        <f>SUMIFS('сентябрь 2025'!$G$2:$G$2497,'сентябрь 2025'!$D$2:$D$2497,$B10,'сентябрь 2025'!$J$2:$J$2497,I$1)</f>
        <v>0</v>
      </c>
      <c r="J10" s="76">
        <f>SUMIFS('сентябрь 2025'!$G$2:$G$2497,'сентябрь 2025'!$D$2:$D$2497,$B10,'сентябрь 2025'!$J$2:$J$2497,J$1)</f>
        <v>0</v>
      </c>
      <c r="K10" s="76">
        <f>SUMIFS('сентябрь 2025'!$G$2:$G$2497,'сентябрь 2025'!$D$2:$D$2497,$B10,'сентябрь 2025'!$J$2:$J$2497,K$1)</f>
        <v>0</v>
      </c>
      <c r="L10" s="76">
        <f>SUMIFS('сентябрь 2025'!$G$2:$G$2497,'сентябрь 2025'!$D$2:$D$2497,$B10,'сентябрь 2025'!$J$2:$J$2497,L$1)</f>
        <v>0</v>
      </c>
      <c r="M10" s="76">
        <f>SUMIFS('сентябрь 2025'!$G$2:$G$2497,'сентябрь 2025'!$D$2:$D$2497,$B10,'сентябрь 2025'!$J$2:$J$2497,M$1)</f>
        <v>0</v>
      </c>
      <c r="N10" s="76">
        <f>SUMIFS('сентябрь 2025'!$G$2:$G$2497,'сентябрь 2025'!$D$2:$D$2497,$B10,'сентябрь 2025'!$J$2:$J$2497,N$1)</f>
        <v>0</v>
      </c>
      <c r="O10" s="76">
        <f>SUMIFS('сентябрь 2025'!$G$2:$G$2497,'сентябрь 2025'!$D$2:$D$2497,$B10,'сентябрь 2025'!$J$2:$J$2497,O$1)</f>
        <v>0</v>
      </c>
      <c r="P10" s="76">
        <f>SUMIFS('сентябрь 2025'!$G$2:$G$2497,'сентябрь 2025'!$D$2:$D$2497,$B10,'сентябрь 2025'!$J$2:$J$2497,P$1)</f>
        <v>0</v>
      </c>
      <c r="Q10" s="76">
        <f>SUMIFS('сентябрь 2025'!$G$2:$G$2497,'сентябрь 2025'!$D$2:$D$2497,$B10,'сентябрь 2025'!$J$2:$J$2497,Q$1)</f>
        <v>0</v>
      </c>
      <c r="R10" s="76">
        <f>SUMIFS('сентябрь 2025'!$G$2:$G$2497,'сентябрь 2025'!$D$2:$D$2497,$B10,'сентябрь 2025'!$J$2:$J$2497,R$1)</f>
        <v>0</v>
      </c>
      <c r="S10" s="76">
        <f>SUMIFS('сентябрь 2025'!$G$2:$G$2497,'сентябрь 2025'!$D$2:$D$2497,$B10,'сентябрь 2025'!$J$2:$J$2497,S$1)</f>
        <v>0</v>
      </c>
      <c r="T10" s="76">
        <f>SUMIFS('сентябрь 2025'!$G$2:$G$2497,'сентябрь 2025'!$D$2:$D$2497,$B10,'сентябрь 2025'!$J$2:$J$2497,T$1)</f>
        <v>0</v>
      </c>
      <c r="U10" s="76">
        <f>SUMIFS('сентябрь 2025'!$G$2:$G$2497,'сентябрь 2025'!$D$2:$D$2497,$B10,'сентябрь 2025'!$J$2:$J$2497,U$1)</f>
        <v>0</v>
      </c>
      <c r="V10" s="76">
        <f>SUMIFS('сентябрь 2025'!$G$2:$G$2497,'сентябрь 2025'!$D$2:$D$2497,$B10,'сентябрь 2025'!$J$2:$J$2497,V$1)</f>
        <v>0</v>
      </c>
      <c r="W10" s="76">
        <f>SUMIFS('сентябрь 2025'!$G$2:$G$2497,'сентябрь 2025'!$D$2:$D$2497,$B10,'сентябрь 2025'!$J$2:$J$2497,W$1)</f>
        <v>0</v>
      </c>
      <c r="X10" s="76">
        <f>SUMIFS('сентябрь 2025'!$G$2:$G$2497,'сентябрь 2025'!$D$2:$D$2497,$B10,'сентябрь 2025'!$J$2:$J$2497,X$1)</f>
        <v>0</v>
      </c>
      <c r="Y10" s="76">
        <f>SUMIFS('сентябрь 2025'!$G$2:$G$2497,'сентябрь 2025'!$D$2:$D$2497,$B10,'сентябрь 2025'!$J$2:$J$2497,Y$1)</f>
        <v>0</v>
      </c>
      <c r="Z10" s="76">
        <f>SUMIFS('сентябрь 2025'!$G$2:$G$2497,'сентябрь 2025'!$D$2:$D$2497,$B10,'сентябрь 2025'!$J$2:$J$2497,Z$1)</f>
        <v>0</v>
      </c>
      <c r="AA10" s="76">
        <f>SUMIFS('сентябрь 2025'!$G$2:$G$2497,'сентябрь 2025'!$D$2:$D$2497,$B10,'сентябрь 2025'!$J$2:$J$2497,AA$1)</f>
        <v>0</v>
      </c>
      <c r="AB10" s="76">
        <f>SUMIFS('сентябрь 2025'!$G$2:$G$2497,'сентябрь 2025'!$D$2:$D$2497,$B10,'сентябрь 2025'!$J$2:$J$2497,AB$1)</f>
        <v>0</v>
      </c>
      <c r="AC10" s="76">
        <f>SUMIFS('сентябрь 2025'!$G$2:$G$2497,'сентябрь 2025'!$D$2:$D$2497,$B10,'сентябрь 2025'!$J$2:$J$2497,AC$1)</f>
        <v>0</v>
      </c>
      <c r="AD10" s="76">
        <f>SUMIFS('сентябрь 2025'!$G$2:$G$2497,'сентябрь 2025'!$D$2:$D$2497,$B10,'сентябрь 2025'!$J$2:$J$2497,AD$1)</f>
        <v>0</v>
      </c>
      <c r="AE10" s="76">
        <f>SUMIFS('сентябрь 2025'!$G$2:$G$2497,'сентябрь 2025'!$D$2:$D$2497,$B10,'сентябрь 2025'!$J$2:$J$2497,AE$1)</f>
        <v>0</v>
      </c>
      <c r="AF10" s="76">
        <f>SUMIFS('сентябрь 2025'!$G$2:$G$2497,'сентябрь 2025'!$D$2:$D$2497,$B10,'сентябрь 2025'!$J$2:$J$2497,AF$1)</f>
        <v>0</v>
      </c>
      <c r="AG10" s="76">
        <f>SUMIFS('сентябрь 2025'!$G$2:$G$2497,'сентябрь 2025'!$D$2:$D$2497,$B10,'сентябрь 2025'!$J$2:$J$2497,AG$1)</f>
        <v>0</v>
      </c>
      <c r="AH10" s="76">
        <f>SUMIFS('сентябрь 2025'!$G$2:$G$2497,'сентябрь 2025'!$D$2:$D$2497,$B10,'сентябрь 2025'!$J$2:$J$2497,AH$1)</f>
        <v>0</v>
      </c>
      <c r="AI10" s="20">
        <f t="shared" si="1"/>
        <v>0</v>
      </c>
    </row>
    <row r="11" spans="2:35" ht="15" customHeight="1" x14ac:dyDescent="0.25">
      <c r="B11" s="77" t="s">
        <v>226</v>
      </c>
      <c r="C11" s="78">
        <v>25</v>
      </c>
      <c r="D11" s="76">
        <f>SUMIFS('сентябрь 2025'!$G$2:$G$2497,'сентябрь 2025'!$D$2:$D$2497,$B11,'сентябрь 2025'!$J$2:$J$2497,D$1)</f>
        <v>0</v>
      </c>
      <c r="E11" s="76">
        <f>SUMIFS('сентябрь 2025'!$G$2:$G$2497,'сентябрь 2025'!$D$2:$D$2497,$B11,'сентябрь 2025'!$J$2:$J$2497,E$1)</f>
        <v>0</v>
      </c>
      <c r="F11" s="76">
        <f>SUMIFS('сентябрь 2025'!$G$2:$G$2497,'сентябрь 2025'!$D$2:$D$2497,$B11,'сентябрь 2025'!$J$2:$J$2497,F$1)</f>
        <v>0</v>
      </c>
      <c r="G11" s="76">
        <f>SUMIFS('сентябрь 2025'!$G$2:$G$2497,'сентябрь 2025'!$D$2:$D$2497,$B11,'сентябрь 2025'!$J$2:$J$2497,G$1)</f>
        <v>0</v>
      </c>
      <c r="H11" s="76">
        <f>SUMIFS('сентябрь 2025'!$G$2:$G$2497,'сентябрь 2025'!$D$2:$D$2497,$B11,'сентябрь 2025'!$J$2:$J$2497,H$1)</f>
        <v>0</v>
      </c>
      <c r="I11" s="76">
        <f>SUMIFS('сентябрь 2025'!$G$2:$G$2497,'сентябрь 2025'!$D$2:$D$2497,$B11,'сентябрь 2025'!$J$2:$J$2497,I$1)</f>
        <v>0</v>
      </c>
      <c r="J11" s="76">
        <f>SUMIFS('сентябрь 2025'!$G$2:$G$2497,'сентябрь 2025'!$D$2:$D$2497,$B11,'сентябрь 2025'!$J$2:$J$2497,J$1)</f>
        <v>0</v>
      </c>
      <c r="K11" s="76">
        <f>SUMIFS('сентябрь 2025'!$G$2:$G$2497,'сентябрь 2025'!$D$2:$D$2497,$B11,'сентябрь 2025'!$J$2:$J$2497,K$1)</f>
        <v>0</v>
      </c>
      <c r="L11" s="76">
        <f>SUMIFS('сентябрь 2025'!$G$2:$G$2497,'сентябрь 2025'!$D$2:$D$2497,$B11,'сентябрь 2025'!$J$2:$J$2497,L$1)</f>
        <v>0</v>
      </c>
      <c r="M11" s="76">
        <f>SUMIFS('сентябрь 2025'!$G$2:$G$2497,'сентябрь 2025'!$D$2:$D$2497,$B11,'сентябрь 2025'!$J$2:$J$2497,M$1)</f>
        <v>0</v>
      </c>
      <c r="N11" s="76">
        <f>SUMIFS('сентябрь 2025'!$G$2:$G$2497,'сентябрь 2025'!$D$2:$D$2497,$B11,'сентябрь 2025'!$J$2:$J$2497,N$1)</f>
        <v>0</v>
      </c>
      <c r="O11" s="76">
        <f>SUMIFS('сентябрь 2025'!$G$2:$G$2497,'сентябрь 2025'!$D$2:$D$2497,$B11,'сентябрь 2025'!$J$2:$J$2497,O$1)</f>
        <v>1680</v>
      </c>
      <c r="P11" s="76">
        <f>SUMIFS('сентябрь 2025'!$G$2:$G$2497,'сентябрь 2025'!$D$2:$D$2497,$B11,'сентябрь 2025'!$J$2:$J$2497,P$1)</f>
        <v>0</v>
      </c>
      <c r="Q11" s="76">
        <f>SUMIFS('сентябрь 2025'!$G$2:$G$2497,'сентябрь 2025'!$D$2:$D$2497,$B11,'сентябрь 2025'!$J$2:$J$2497,Q$1)</f>
        <v>0</v>
      </c>
      <c r="R11" s="76">
        <f>SUMIFS('сентябрь 2025'!$G$2:$G$2497,'сентябрь 2025'!$D$2:$D$2497,$B11,'сентябрь 2025'!$J$2:$J$2497,R$1)</f>
        <v>840</v>
      </c>
      <c r="S11" s="76">
        <f>SUMIFS('сентябрь 2025'!$G$2:$G$2497,'сентябрь 2025'!$D$2:$D$2497,$B11,'сентябрь 2025'!$J$2:$J$2497,S$1)</f>
        <v>840</v>
      </c>
      <c r="T11" s="76">
        <f>SUMIFS('сентябрь 2025'!$G$2:$G$2497,'сентябрь 2025'!$D$2:$D$2497,$B11,'сентябрь 2025'!$J$2:$J$2497,T$1)</f>
        <v>840</v>
      </c>
      <c r="U11" s="76">
        <f>SUMIFS('сентябрь 2025'!$G$2:$G$2497,'сентябрь 2025'!$D$2:$D$2497,$B11,'сентябрь 2025'!$J$2:$J$2497,U$1)</f>
        <v>0</v>
      </c>
      <c r="V11" s="76">
        <f>SUMIFS('сентябрь 2025'!$G$2:$G$2497,'сентябрь 2025'!$D$2:$D$2497,$B11,'сентябрь 2025'!$J$2:$J$2497,V$1)</f>
        <v>0</v>
      </c>
      <c r="W11" s="76">
        <f>SUMIFS('сентябрь 2025'!$G$2:$G$2497,'сентябрь 2025'!$D$2:$D$2497,$B11,'сентябрь 2025'!$J$2:$J$2497,W$1)</f>
        <v>0</v>
      </c>
      <c r="X11" s="76">
        <f>SUMIFS('сентябрь 2025'!$G$2:$G$2497,'сентябрь 2025'!$D$2:$D$2497,$B11,'сентябрь 2025'!$J$2:$J$2497,X$1)</f>
        <v>0</v>
      </c>
      <c r="Y11" s="76">
        <f>SUMIFS('сентябрь 2025'!$G$2:$G$2497,'сентябрь 2025'!$D$2:$D$2497,$B11,'сентябрь 2025'!$J$2:$J$2497,Y$1)</f>
        <v>0</v>
      </c>
      <c r="Z11" s="76">
        <f>SUMIFS('сентябрь 2025'!$G$2:$G$2497,'сентябрь 2025'!$D$2:$D$2497,$B11,'сентябрь 2025'!$J$2:$J$2497,Z$1)</f>
        <v>280</v>
      </c>
      <c r="AA11" s="76">
        <f>SUMIFS('сентябрь 2025'!$G$2:$G$2497,'сентябрь 2025'!$D$2:$D$2497,$B11,'сентябрь 2025'!$J$2:$J$2497,AA$1)</f>
        <v>720</v>
      </c>
      <c r="AB11" s="76">
        <f>SUMIFS('сентябрь 2025'!$G$2:$G$2497,'сентябрь 2025'!$D$2:$D$2497,$B11,'сентябрь 2025'!$J$2:$J$2497,AB$1)</f>
        <v>0</v>
      </c>
      <c r="AC11" s="76">
        <f>SUMIFS('сентябрь 2025'!$G$2:$G$2497,'сентябрь 2025'!$D$2:$D$2497,$B11,'сентябрь 2025'!$J$2:$J$2497,AC$1)</f>
        <v>0</v>
      </c>
      <c r="AD11" s="76">
        <f>SUMIFS('сентябрь 2025'!$G$2:$G$2497,'сентябрь 2025'!$D$2:$D$2497,$B11,'сентябрь 2025'!$J$2:$J$2497,AD$1)</f>
        <v>0</v>
      </c>
      <c r="AE11" s="76">
        <f>SUMIFS('сентябрь 2025'!$G$2:$G$2497,'сентябрь 2025'!$D$2:$D$2497,$B11,'сентябрь 2025'!$J$2:$J$2497,AE$1)</f>
        <v>0</v>
      </c>
      <c r="AF11" s="76">
        <f>SUMIFS('сентябрь 2025'!$G$2:$G$2497,'сентябрь 2025'!$D$2:$D$2497,$B11,'сентябрь 2025'!$J$2:$J$2497,AF$1)</f>
        <v>0</v>
      </c>
      <c r="AG11" s="76">
        <f>SUMIFS('сентябрь 2025'!$G$2:$G$2497,'сентябрь 2025'!$D$2:$D$2497,$B11,'сентябрь 2025'!$J$2:$J$2497,AG$1)</f>
        <v>0</v>
      </c>
      <c r="AH11" s="76">
        <f>SUMIFS('сентябрь 2025'!$G$2:$G$2497,'сентябрь 2025'!$D$2:$D$2497,$B11,'сентябрь 2025'!$J$2:$J$2497,AH$1)</f>
        <v>0</v>
      </c>
      <c r="AI11" s="20">
        <f t="shared" si="1"/>
        <v>5200</v>
      </c>
    </row>
    <row r="12" spans="2:35" ht="15" customHeight="1" x14ac:dyDescent="0.25">
      <c r="B12" s="80" t="s">
        <v>228</v>
      </c>
      <c r="C12" s="81">
        <v>22.68</v>
      </c>
      <c r="D12" s="76">
        <f>SUMIFS('сентябрь 2025'!$G$2:$G$2497,'сентябрь 2025'!$D$2:$D$2497,$B12,'сентябрь 2025'!$J$2:$J$2497,D$1)</f>
        <v>0</v>
      </c>
      <c r="E12" s="76">
        <f>SUMIFS('сентябрь 2025'!$G$2:$G$2497,'сентябрь 2025'!$D$2:$D$2497,$B12,'сентябрь 2025'!$J$2:$J$2497,E$1)</f>
        <v>0</v>
      </c>
      <c r="F12" s="76">
        <f>SUMIFS('сентябрь 2025'!$G$2:$G$2497,'сентябрь 2025'!$D$2:$D$2497,$B12,'сентябрь 2025'!$J$2:$J$2497,F$1)</f>
        <v>0</v>
      </c>
      <c r="G12" s="76">
        <f>SUMIFS('сентябрь 2025'!$G$2:$G$2497,'сентябрь 2025'!$D$2:$D$2497,$B12,'сентябрь 2025'!$J$2:$J$2497,G$1)</f>
        <v>0</v>
      </c>
      <c r="H12" s="76">
        <f>SUMIFS('сентябрь 2025'!$G$2:$G$2497,'сентябрь 2025'!$D$2:$D$2497,$B12,'сентябрь 2025'!$J$2:$J$2497,H$1)</f>
        <v>0</v>
      </c>
      <c r="I12" s="76">
        <f>SUMIFS('сентябрь 2025'!$G$2:$G$2497,'сентябрь 2025'!$D$2:$D$2497,$B12,'сентябрь 2025'!$J$2:$J$2497,I$1)</f>
        <v>0</v>
      </c>
      <c r="J12" s="76">
        <f>SUMIFS('сентябрь 2025'!$G$2:$G$2497,'сентябрь 2025'!$D$2:$D$2497,$B12,'сентябрь 2025'!$J$2:$J$2497,J$1)</f>
        <v>0</v>
      </c>
      <c r="K12" s="76">
        <f>SUMIFS('сентябрь 2025'!$G$2:$G$2497,'сентябрь 2025'!$D$2:$D$2497,$B12,'сентябрь 2025'!$J$2:$J$2497,K$1)</f>
        <v>0</v>
      </c>
      <c r="L12" s="76">
        <f>SUMIFS('сентябрь 2025'!$G$2:$G$2497,'сентябрь 2025'!$D$2:$D$2497,$B12,'сентябрь 2025'!$J$2:$J$2497,L$1)</f>
        <v>0</v>
      </c>
      <c r="M12" s="76">
        <f>SUMIFS('сентябрь 2025'!$G$2:$G$2497,'сентябрь 2025'!$D$2:$D$2497,$B12,'сентябрь 2025'!$J$2:$J$2497,M$1)</f>
        <v>0</v>
      </c>
      <c r="N12" s="76">
        <f>SUMIFS('сентябрь 2025'!$G$2:$G$2497,'сентябрь 2025'!$D$2:$D$2497,$B12,'сентябрь 2025'!$J$2:$J$2497,N$1)</f>
        <v>0</v>
      </c>
      <c r="O12" s="76">
        <f>SUMIFS('сентябрь 2025'!$G$2:$G$2497,'сентябрь 2025'!$D$2:$D$2497,$B12,'сентябрь 2025'!$J$2:$J$2497,O$1)</f>
        <v>0</v>
      </c>
      <c r="P12" s="76">
        <f>SUMIFS('сентябрь 2025'!$G$2:$G$2497,'сентябрь 2025'!$D$2:$D$2497,$B12,'сентябрь 2025'!$J$2:$J$2497,P$1)</f>
        <v>0</v>
      </c>
      <c r="Q12" s="76">
        <f>SUMIFS('сентябрь 2025'!$G$2:$G$2497,'сентябрь 2025'!$D$2:$D$2497,$B12,'сентябрь 2025'!$J$2:$J$2497,Q$1)</f>
        <v>0</v>
      </c>
      <c r="R12" s="76">
        <f>SUMIFS('сентябрь 2025'!$G$2:$G$2497,'сентябрь 2025'!$D$2:$D$2497,$B12,'сентябрь 2025'!$J$2:$J$2497,R$1)</f>
        <v>0</v>
      </c>
      <c r="S12" s="76">
        <f>SUMIFS('сентябрь 2025'!$G$2:$G$2497,'сентябрь 2025'!$D$2:$D$2497,$B12,'сентябрь 2025'!$J$2:$J$2497,S$1)</f>
        <v>0</v>
      </c>
      <c r="T12" s="76">
        <f>SUMIFS('сентябрь 2025'!$G$2:$G$2497,'сентябрь 2025'!$D$2:$D$2497,$B12,'сентябрь 2025'!$J$2:$J$2497,T$1)</f>
        <v>0</v>
      </c>
      <c r="U12" s="76">
        <f>SUMIFS('сентябрь 2025'!$G$2:$G$2497,'сентябрь 2025'!$D$2:$D$2497,$B12,'сентябрь 2025'!$J$2:$J$2497,U$1)</f>
        <v>0</v>
      </c>
      <c r="V12" s="76">
        <f>SUMIFS('сентябрь 2025'!$G$2:$G$2497,'сентябрь 2025'!$D$2:$D$2497,$B12,'сентябрь 2025'!$J$2:$J$2497,V$1)</f>
        <v>0</v>
      </c>
      <c r="W12" s="76">
        <f>SUMIFS('сентябрь 2025'!$G$2:$G$2497,'сентябрь 2025'!$D$2:$D$2497,$B12,'сентябрь 2025'!$J$2:$J$2497,W$1)</f>
        <v>0</v>
      </c>
      <c r="X12" s="76">
        <f>SUMIFS('сентябрь 2025'!$G$2:$G$2497,'сентябрь 2025'!$D$2:$D$2497,$B12,'сентябрь 2025'!$J$2:$J$2497,X$1)</f>
        <v>0</v>
      </c>
      <c r="Y12" s="76">
        <f>SUMIFS('сентябрь 2025'!$G$2:$G$2497,'сентябрь 2025'!$D$2:$D$2497,$B12,'сентябрь 2025'!$J$2:$J$2497,Y$1)</f>
        <v>0</v>
      </c>
      <c r="Z12" s="76">
        <f>SUMIFS('сентябрь 2025'!$G$2:$G$2497,'сентябрь 2025'!$D$2:$D$2497,$B12,'сентябрь 2025'!$J$2:$J$2497,Z$1)</f>
        <v>0</v>
      </c>
      <c r="AA12" s="76">
        <f>SUMIFS('сентябрь 2025'!$G$2:$G$2497,'сентябрь 2025'!$D$2:$D$2497,$B12,'сентябрь 2025'!$J$2:$J$2497,AA$1)</f>
        <v>0</v>
      </c>
      <c r="AB12" s="76">
        <f>SUMIFS('сентябрь 2025'!$G$2:$G$2497,'сентябрь 2025'!$D$2:$D$2497,$B12,'сентябрь 2025'!$J$2:$J$2497,AB$1)</f>
        <v>0</v>
      </c>
      <c r="AC12" s="76">
        <f>SUMIFS('сентябрь 2025'!$G$2:$G$2497,'сентябрь 2025'!$D$2:$D$2497,$B12,'сентябрь 2025'!$J$2:$J$2497,AC$1)</f>
        <v>0</v>
      </c>
      <c r="AD12" s="76">
        <f>SUMIFS('сентябрь 2025'!$G$2:$G$2497,'сентябрь 2025'!$D$2:$D$2497,$B12,'сентябрь 2025'!$J$2:$J$2497,AD$1)</f>
        <v>0</v>
      </c>
      <c r="AE12" s="76">
        <f>SUMIFS('сентябрь 2025'!$G$2:$G$2497,'сентябрь 2025'!$D$2:$D$2497,$B12,'сентябрь 2025'!$J$2:$J$2497,AE$1)</f>
        <v>0</v>
      </c>
      <c r="AF12" s="76">
        <f>SUMIFS('сентябрь 2025'!$G$2:$G$2497,'сентябрь 2025'!$D$2:$D$2497,$B12,'сентябрь 2025'!$J$2:$J$2497,AF$1)</f>
        <v>0</v>
      </c>
      <c r="AG12" s="76">
        <f>SUMIFS('сентябрь 2025'!$G$2:$G$2497,'сентябрь 2025'!$D$2:$D$2497,$B12,'сентябрь 2025'!$J$2:$J$2497,AG$1)</f>
        <v>0</v>
      </c>
      <c r="AH12" s="76">
        <f>SUMIFS('сентябрь 2025'!$G$2:$G$2497,'сентябрь 2025'!$D$2:$D$2497,$B12,'сентябрь 2025'!$J$2:$J$2497,AH$1)</f>
        <v>0</v>
      </c>
      <c r="AI12" s="20">
        <f t="shared" si="1"/>
        <v>0</v>
      </c>
    </row>
    <row r="13" spans="2:35" ht="15" customHeight="1" x14ac:dyDescent="0.25">
      <c r="B13" s="80" t="s">
        <v>328</v>
      </c>
      <c r="C13" s="81">
        <v>22.7</v>
      </c>
      <c r="D13" s="76">
        <f>SUMIFS('сентябрь 2025'!$G$2:$G$2497,'сентябрь 2025'!$D$2:$D$2497,$B13,'сентябрь 2025'!$J$2:$J$2497,D$1)</f>
        <v>0</v>
      </c>
      <c r="E13" s="76">
        <f>SUMIFS('сентябрь 2025'!$G$2:$G$2497,'сентябрь 2025'!$D$2:$D$2497,$B13,'сентябрь 2025'!$J$2:$J$2497,E$1)</f>
        <v>0</v>
      </c>
      <c r="F13" s="76">
        <f>SUMIFS('сентябрь 2025'!$G$2:$G$2497,'сентябрь 2025'!$D$2:$D$2497,$B13,'сентябрь 2025'!$J$2:$J$2497,F$1)</f>
        <v>0</v>
      </c>
      <c r="G13" s="76">
        <f>SUMIFS('сентябрь 2025'!$G$2:$G$2497,'сентябрь 2025'!$D$2:$D$2497,$B13,'сентябрь 2025'!$J$2:$J$2497,G$1)</f>
        <v>0</v>
      </c>
      <c r="H13" s="76">
        <f>SUMIFS('сентябрь 2025'!$G$2:$G$2497,'сентябрь 2025'!$D$2:$D$2497,$B13,'сентябрь 2025'!$J$2:$J$2497,H$1)</f>
        <v>0</v>
      </c>
      <c r="I13" s="76">
        <f>SUMIFS('сентябрь 2025'!$G$2:$G$2497,'сентябрь 2025'!$D$2:$D$2497,$B13,'сентябрь 2025'!$J$2:$J$2497,I$1)</f>
        <v>0</v>
      </c>
      <c r="J13" s="76">
        <f>SUMIFS('сентябрь 2025'!$G$2:$G$2497,'сентябрь 2025'!$D$2:$D$2497,$B13,'сентябрь 2025'!$J$2:$J$2497,J$1)</f>
        <v>0</v>
      </c>
      <c r="K13" s="76">
        <f>SUMIFS('сентябрь 2025'!$G$2:$G$2497,'сентябрь 2025'!$D$2:$D$2497,$B13,'сентябрь 2025'!$J$2:$J$2497,K$1)</f>
        <v>0</v>
      </c>
      <c r="L13" s="76">
        <f>SUMIFS('сентябрь 2025'!$G$2:$G$2497,'сентябрь 2025'!$D$2:$D$2497,$B13,'сентябрь 2025'!$J$2:$J$2497,L$1)</f>
        <v>0</v>
      </c>
      <c r="M13" s="76">
        <f>SUMIFS('сентябрь 2025'!$G$2:$G$2497,'сентябрь 2025'!$D$2:$D$2497,$B13,'сентябрь 2025'!$J$2:$J$2497,M$1)</f>
        <v>0</v>
      </c>
      <c r="N13" s="76">
        <f>SUMIFS('сентябрь 2025'!$G$2:$G$2497,'сентябрь 2025'!$D$2:$D$2497,$B13,'сентябрь 2025'!$J$2:$J$2497,N$1)</f>
        <v>0</v>
      </c>
      <c r="O13" s="76">
        <f>SUMIFS('сентябрь 2025'!$G$2:$G$2497,'сентябрь 2025'!$D$2:$D$2497,$B13,'сентябрь 2025'!$J$2:$J$2497,O$1)</f>
        <v>0</v>
      </c>
      <c r="P13" s="76">
        <f>SUMIFS('сентябрь 2025'!$G$2:$G$2497,'сентябрь 2025'!$D$2:$D$2497,$B13,'сентябрь 2025'!$J$2:$J$2497,P$1)</f>
        <v>0</v>
      </c>
      <c r="Q13" s="76">
        <f>SUMIFS('сентябрь 2025'!$G$2:$G$2497,'сентябрь 2025'!$D$2:$D$2497,$B13,'сентябрь 2025'!$J$2:$J$2497,Q$1)</f>
        <v>0</v>
      </c>
      <c r="R13" s="76">
        <f>SUMIFS('сентябрь 2025'!$G$2:$G$2497,'сентябрь 2025'!$D$2:$D$2497,$B13,'сентябрь 2025'!$J$2:$J$2497,R$1)</f>
        <v>0</v>
      </c>
      <c r="S13" s="76">
        <f>SUMIFS('сентябрь 2025'!$G$2:$G$2497,'сентябрь 2025'!$D$2:$D$2497,$B13,'сентябрь 2025'!$J$2:$J$2497,S$1)</f>
        <v>0</v>
      </c>
      <c r="T13" s="76">
        <f>SUMIFS('сентябрь 2025'!$G$2:$G$2497,'сентябрь 2025'!$D$2:$D$2497,$B13,'сентябрь 2025'!$J$2:$J$2497,T$1)</f>
        <v>0</v>
      </c>
      <c r="U13" s="76">
        <f>SUMIFS('сентябрь 2025'!$G$2:$G$2497,'сентябрь 2025'!$D$2:$D$2497,$B13,'сентябрь 2025'!$J$2:$J$2497,U$1)</f>
        <v>0</v>
      </c>
      <c r="V13" s="76">
        <f>SUMIFS('сентябрь 2025'!$G$2:$G$2497,'сентябрь 2025'!$D$2:$D$2497,$B13,'сентябрь 2025'!$J$2:$J$2497,V$1)</f>
        <v>0</v>
      </c>
      <c r="W13" s="76">
        <f>SUMIFS('сентябрь 2025'!$G$2:$G$2497,'сентябрь 2025'!$D$2:$D$2497,$B13,'сентябрь 2025'!$J$2:$J$2497,W$1)</f>
        <v>0</v>
      </c>
      <c r="X13" s="76">
        <f>SUMIFS('сентябрь 2025'!$G$2:$G$2497,'сентябрь 2025'!$D$2:$D$2497,$B13,'сентябрь 2025'!$J$2:$J$2497,X$1)</f>
        <v>0</v>
      </c>
      <c r="Y13" s="76">
        <f>SUMIFS('сентябрь 2025'!$G$2:$G$2497,'сентябрь 2025'!$D$2:$D$2497,$B13,'сентябрь 2025'!$J$2:$J$2497,Y$1)</f>
        <v>0</v>
      </c>
      <c r="Z13" s="76">
        <f>SUMIFS('сентябрь 2025'!$G$2:$G$2497,'сентябрь 2025'!$D$2:$D$2497,$B13,'сентябрь 2025'!$J$2:$J$2497,Z$1)</f>
        <v>0</v>
      </c>
      <c r="AA13" s="76">
        <f>SUMIFS('сентябрь 2025'!$G$2:$G$2497,'сентябрь 2025'!$D$2:$D$2497,$B13,'сентябрь 2025'!$J$2:$J$2497,AA$1)</f>
        <v>0</v>
      </c>
      <c r="AB13" s="76">
        <f>SUMIFS('сентябрь 2025'!$G$2:$G$2497,'сентябрь 2025'!$D$2:$D$2497,$B13,'сентябрь 2025'!$J$2:$J$2497,AB$1)</f>
        <v>0</v>
      </c>
      <c r="AC13" s="76">
        <f>SUMIFS('сентябрь 2025'!$G$2:$G$2497,'сентябрь 2025'!$D$2:$D$2497,$B13,'сентябрь 2025'!$J$2:$J$2497,AC$1)</f>
        <v>0</v>
      </c>
      <c r="AD13" s="76">
        <f>SUMIFS('сентябрь 2025'!$G$2:$G$2497,'сентябрь 2025'!$D$2:$D$2497,$B13,'сентябрь 2025'!$J$2:$J$2497,AD$1)</f>
        <v>0</v>
      </c>
      <c r="AE13" s="76">
        <f>SUMIFS('сентябрь 2025'!$G$2:$G$2497,'сентябрь 2025'!$D$2:$D$2497,$B13,'сентябрь 2025'!$J$2:$J$2497,AE$1)</f>
        <v>0</v>
      </c>
      <c r="AF13" s="76">
        <f>SUMIFS('сентябрь 2025'!$G$2:$G$2497,'сентябрь 2025'!$D$2:$D$2497,$B13,'сентябрь 2025'!$J$2:$J$2497,AF$1)</f>
        <v>0</v>
      </c>
      <c r="AG13" s="76">
        <f>SUMIFS('сентябрь 2025'!$G$2:$G$2497,'сентябрь 2025'!$D$2:$D$2497,$B13,'сентябрь 2025'!$J$2:$J$2497,AG$1)</f>
        <v>0</v>
      </c>
      <c r="AH13" s="76">
        <f>SUMIFS('сентябрь 2025'!$G$2:$G$2497,'сентябрь 2025'!$D$2:$D$2497,$B13,'сентябрь 2025'!$J$2:$J$2497,AH$1)</f>
        <v>0</v>
      </c>
      <c r="AI13" s="20">
        <f t="shared" si="1"/>
        <v>0</v>
      </c>
    </row>
    <row r="14" spans="2:35" ht="15" customHeight="1" x14ac:dyDescent="0.25">
      <c r="B14" s="80" t="s">
        <v>1732</v>
      </c>
      <c r="C14" s="81">
        <v>25</v>
      </c>
      <c r="D14" s="76">
        <f>SUMIFS('сентябрь 2025'!$G$2:$G$2497,'сентябрь 2025'!$D$2:$D$2497,$B14,'сентябрь 2025'!$J$2:$J$2497,D$1)</f>
        <v>0</v>
      </c>
      <c r="E14" s="76">
        <f>SUMIFS('сентябрь 2025'!$G$2:$G$2497,'сентябрь 2025'!$D$2:$D$2497,$B14,'сентябрь 2025'!$J$2:$J$2497,E$1)</f>
        <v>0</v>
      </c>
      <c r="F14" s="76">
        <f>SUMIFS('сентябрь 2025'!$G$2:$G$2497,'сентябрь 2025'!$D$2:$D$2497,$B14,'сентябрь 2025'!$J$2:$J$2497,F$1)</f>
        <v>0</v>
      </c>
      <c r="G14" s="76">
        <f>SUMIFS('сентябрь 2025'!$G$2:$G$2497,'сентябрь 2025'!$D$2:$D$2497,$B14,'сентябрь 2025'!$J$2:$J$2497,G$1)</f>
        <v>0</v>
      </c>
      <c r="H14" s="76">
        <f>SUMIFS('сентябрь 2025'!$G$2:$G$2497,'сентябрь 2025'!$D$2:$D$2497,$B14,'сентябрь 2025'!$J$2:$J$2497,H$1)</f>
        <v>0</v>
      </c>
      <c r="I14" s="76">
        <f>SUMIFS('сентябрь 2025'!$G$2:$G$2497,'сентябрь 2025'!$D$2:$D$2497,$B14,'сентябрь 2025'!$J$2:$J$2497,I$1)</f>
        <v>0</v>
      </c>
      <c r="J14" s="76">
        <f>SUMIFS('сентябрь 2025'!$G$2:$G$2497,'сентябрь 2025'!$D$2:$D$2497,$B14,'сентябрь 2025'!$J$2:$J$2497,J$1)</f>
        <v>0</v>
      </c>
      <c r="K14" s="76">
        <f>SUMIFS('сентябрь 2025'!$G$2:$G$2497,'сентябрь 2025'!$D$2:$D$2497,$B14,'сентябрь 2025'!$J$2:$J$2497,K$1)</f>
        <v>0</v>
      </c>
      <c r="L14" s="76">
        <f>SUMIFS('сентябрь 2025'!$G$2:$G$2497,'сентябрь 2025'!$D$2:$D$2497,$B14,'сентябрь 2025'!$J$2:$J$2497,L$1)</f>
        <v>0</v>
      </c>
      <c r="M14" s="76">
        <f>SUMIFS('сентябрь 2025'!$G$2:$G$2497,'сентябрь 2025'!$D$2:$D$2497,$B14,'сентябрь 2025'!$J$2:$J$2497,M$1)</f>
        <v>0</v>
      </c>
      <c r="N14" s="76">
        <f>SUMIFS('сентябрь 2025'!$G$2:$G$2497,'сентябрь 2025'!$D$2:$D$2497,$B14,'сентябрь 2025'!$J$2:$J$2497,N$1)</f>
        <v>0</v>
      </c>
      <c r="O14" s="76">
        <f>SUMIFS('сентябрь 2025'!$G$2:$G$2497,'сентябрь 2025'!$D$2:$D$2497,$B14,'сентябрь 2025'!$J$2:$J$2497,O$1)</f>
        <v>0</v>
      </c>
      <c r="P14" s="76">
        <f>SUMIFS('сентябрь 2025'!$G$2:$G$2497,'сентябрь 2025'!$D$2:$D$2497,$B14,'сентябрь 2025'!$J$2:$J$2497,P$1)</f>
        <v>0</v>
      </c>
      <c r="Q14" s="76">
        <f>SUMIFS('сентябрь 2025'!$G$2:$G$2497,'сентябрь 2025'!$D$2:$D$2497,$B14,'сентябрь 2025'!$J$2:$J$2497,Q$1)</f>
        <v>0</v>
      </c>
      <c r="R14" s="76">
        <f>SUMIFS('сентябрь 2025'!$G$2:$G$2497,'сентябрь 2025'!$D$2:$D$2497,$B14,'сентябрь 2025'!$J$2:$J$2497,R$1)</f>
        <v>0</v>
      </c>
      <c r="S14" s="76">
        <f>SUMIFS('сентябрь 2025'!$G$2:$G$2497,'сентябрь 2025'!$D$2:$D$2497,$B14,'сентябрь 2025'!$J$2:$J$2497,S$1)</f>
        <v>0</v>
      </c>
      <c r="T14" s="76">
        <f>SUMIFS('сентябрь 2025'!$G$2:$G$2497,'сентябрь 2025'!$D$2:$D$2497,$B14,'сентябрь 2025'!$J$2:$J$2497,T$1)</f>
        <v>0</v>
      </c>
      <c r="U14" s="76">
        <f>SUMIFS('сентябрь 2025'!$G$2:$G$2497,'сентябрь 2025'!$D$2:$D$2497,$B14,'сентябрь 2025'!$J$2:$J$2497,U$1)</f>
        <v>0</v>
      </c>
      <c r="V14" s="76">
        <f>SUMIFS('сентябрь 2025'!$G$2:$G$2497,'сентябрь 2025'!$D$2:$D$2497,$B14,'сентябрь 2025'!$J$2:$J$2497,V$1)</f>
        <v>0</v>
      </c>
      <c r="W14" s="76">
        <f>SUMIFS('сентябрь 2025'!$G$2:$G$2497,'сентябрь 2025'!$D$2:$D$2497,$B14,'сентябрь 2025'!$J$2:$J$2497,W$1)</f>
        <v>0</v>
      </c>
      <c r="X14" s="76">
        <f>SUMIFS('сентябрь 2025'!$G$2:$G$2497,'сентябрь 2025'!$D$2:$D$2497,$B14,'сентябрь 2025'!$J$2:$J$2497,X$1)</f>
        <v>0</v>
      </c>
      <c r="Y14" s="76">
        <f>SUMIFS('сентябрь 2025'!$G$2:$G$2497,'сентябрь 2025'!$D$2:$D$2497,$B14,'сентябрь 2025'!$J$2:$J$2497,Y$1)</f>
        <v>0</v>
      </c>
      <c r="Z14" s="76">
        <f>SUMIFS('сентябрь 2025'!$G$2:$G$2497,'сентябрь 2025'!$D$2:$D$2497,$B14,'сентябрь 2025'!$J$2:$J$2497,Z$1)</f>
        <v>0</v>
      </c>
      <c r="AA14" s="76">
        <f>SUMIFS('сентябрь 2025'!$G$2:$G$2497,'сентябрь 2025'!$D$2:$D$2497,$B14,'сентябрь 2025'!$J$2:$J$2497,AA$1)</f>
        <v>0</v>
      </c>
      <c r="AB14" s="76">
        <f>SUMIFS('сентябрь 2025'!$G$2:$G$2497,'сентябрь 2025'!$D$2:$D$2497,$B14,'сентябрь 2025'!$J$2:$J$2497,AB$1)</f>
        <v>0</v>
      </c>
      <c r="AC14" s="76">
        <f>SUMIFS('сентябрь 2025'!$G$2:$G$2497,'сентябрь 2025'!$D$2:$D$2497,$B14,'сентябрь 2025'!$J$2:$J$2497,AC$1)</f>
        <v>700</v>
      </c>
      <c r="AD14" s="76">
        <f>SUMIFS('сентябрь 2025'!$G$2:$G$2497,'сентябрь 2025'!$D$2:$D$2497,$B14,'сентябрь 2025'!$J$2:$J$2497,AD$1)</f>
        <v>0</v>
      </c>
      <c r="AE14" s="76">
        <f>SUMIFS('сентябрь 2025'!$G$2:$G$2497,'сентябрь 2025'!$D$2:$D$2497,$B14,'сентябрь 2025'!$J$2:$J$2497,AE$1)</f>
        <v>0</v>
      </c>
      <c r="AF14" s="76">
        <f>SUMIFS('сентябрь 2025'!$G$2:$G$2497,'сентябрь 2025'!$D$2:$D$2497,$B14,'сентябрь 2025'!$J$2:$J$2497,AF$1)</f>
        <v>0</v>
      </c>
      <c r="AG14" s="76">
        <f>SUMIFS('сентябрь 2025'!$G$2:$G$2497,'сентябрь 2025'!$D$2:$D$2497,$B14,'сентябрь 2025'!$J$2:$J$2497,AG$1)</f>
        <v>0</v>
      </c>
      <c r="AH14" s="76">
        <f>SUMIFS('сентябрь 2025'!$G$2:$G$2497,'сентябрь 2025'!$D$2:$D$2497,$B14,'сентябрь 2025'!$J$2:$J$2497,AH$1)</f>
        <v>0</v>
      </c>
      <c r="AI14" s="20">
        <f t="shared" ref="AI14" si="2">SUM(D14:AH14)</f>
        <v>700</v>
      </c>
    </row>
    <row r="15" spans="2:35" ht="15" customHeight="1" x14ac:dyDescent="0.25">
      <c r="B15" s="80" t="s">
        <v>302</v>
      </c>
      <c r="C15" s="81">
        <v>25</v>
      </c>
      <c r="D15" s="76">
        <f>SUMIFS('сентябрь 2025'!$G$2:$G$2497,'сентябрь 2025'!$D$2:$D$2497,$B15,'сентябрь 2025'!$J$2:$J$2497,D$1)</f>
        <v>0</v>
      </c>
      <c r="E15" s="76">
        <f>SUMIFS('сентябрь 2025'!$G$2:$G$2497,'сентябрь 2025'!$D$2:$D$2497,$B15,'сентябрь 2025'!$J$2:$J$2497,E$1)</f>
        <v>0</v>
      </c>
      <c r="F15" s="76">
        <f>SUMIFS('сентябрь 2025'!$G$2:$G$2497,'сентябрь 2025'!$D$2:$D$2497,$B15,'сентябрь 2025'!$J$2:$J$2497,F$1)</f>
        <v>0</v>
      </c>
      <c r="G15" s="76">
        <f>SUMIFS('сентябрь 2025'!$G$2:$G$2497,'сентябрь 2025'!$D$2:$D$2497,$B15,'сентябрь 2025'!$J$2:$J$2497,G$1)</f>
        <v>0</v>
      </c>
      <c r="H15" s="76">
        <f>SUMIFS('сентябрь 2025'!$G$2:$G$2497,'сентябрь 2025'!$D$2:$D$2497,$B15,'сентябрь 2025'!$J$2:$J$2497,H$1)</f>
        <v>0</v>
      </c>
      <c r="I15" s="76">
        <f>SUMIFS('сентябрь 2025'!$G$2:$G$2497,'сентябрь 2025'!$D$2:$D$2497,$B15,'сентябрь 2025'!$J$2:$J$2497,I$1)</f>
        <v>0</v>
      </c>
      <c r="J15" s="76">
        <f>SUMIFS('сентябрь 2025'!$G$2:$G$2497,'сентябрь 2025'!$D$2:$D$2497,$B15,'сентябрь 2025'!$J$2:$J$2497,J$1)</f>
        <v>0</v>
      </c>
      <c r="K15" s="76">
        <f>SUMIFS('сентябрь 2025'!$G$2:$G$2497,'сентябрь 2025'!$D$2:$D$2497,$B15,'сентябрь 2025'!$J$2:$J$2497,K$1)</f>
        <v>0</v>
      </c>
      <c r="L15" s="76">
        <f>SUMIFS('сентябрь 2025'!$G$2:$G$2497,'сентябрь 2025'!$D$2:$D$2497,$B15,'сентябрь 2025'!$J$2:$J$2497,L$1)</f>
        <v>0</v>
      </c>
      <c r="M15" s="76">
        <f>SUMIFS('сентябрь 2025'!$G$2:$G$2497,'сентябрь 2025'!$D$2:$D$2497,$B15,'сентябрь 2025'!$J$2:$J$2497,M$1)</f>
        <v>0</v>
      </c>
      <c r="N15" s="76">
        <f>SUMIFS('сентябрь 2025'!$G$2:$G$2497,'сентябрь 2025'!$D$2:$D$2497,$B15,'сентябрь 2025'!$J$2:$J$2497,N$1)</f>
        <v>0</v>
      </c>
      <c r="O15" s="76">
        <f>SUMIFS('сентябрь 2025'!$G$2:$G$2497,'сентябрь 2025'!$D$2:$D$2497,$B15,'сентябрь 2025'!$J$2:$J$2497,O$1)</f>
        <v>0</v>
      </c>
      <c r="P15" s="76">
        <f>SUMIFS('сентябрь 2025'!$G$2:$G$2497,'сентябрь 2025'!$D$2:$D$2497,$B15,'сентябрь 2025'!$J$2:$J$2497,P$1)</f>
        <v>0</v>
      </c>
      <c r="Q15" s="76">
        <f>SUMIFS('сентябрь 2025'!$G$2:$G$2497,'сентябрь 2025'!$D$2:$D$2497,$B15,'сентябрь 2025'!$J$2:$J$2497,Q$1)</f>
        <v>0</v>
      </c>
      <c r="R15" s="76">
        <f>SUMIFS('сентябрь 2025'!$G$2:$G$2497,'сентябрь 2025'!$D$2:$D$2497,$B15,'сентябрь 2025'!$J$2:$J$2497,R$1)</f>
        <v>0</v>
      </c>
      <c r="S15" s="76">
        <f>SUMIFS('сентябрь 2025'!$G$2:$G$2497,'сентябрь 2025'!$D$2:$D$2497,$B15,'сентябрь 2025'!$J$2:$J$2497,S$1)</f>
        <v>0</v>
      </c>
      <c r="T15" s="76">
        <f>SUMIFS('сентябрь 2025'!$G$2:$G$2497,'сентябрь 2025'!$D$2:$D$2497,$B15,'сентябрь 2025'!$J$2:$J$2497,T$1)</f>
        <v>0</v>
      </c>
      <c r="U15" s="76">
        <f>SUMIFS('сентябрь 2025'!$G$2:$G$2497,'сентябрь 2025'!$D$2:$D$2497,$B15,'сентябрь 2025'!$J$2:$J$2497,U$1)</f>
        <v>0</v>
      </c>
      <c r="V15" s="76">
        <f>SUMIFS('сентябрь 2025'!$G$2:$G$2497,'сентябрь 2025'!$D$2:$D$2497,$B15,'сентябрь 2025'!$J$2:$J$2497,V$1)</f>
        <v>0</v>
      </c>
      <c r="W15" s="76">
        <f>SUMIFS('сентябрь 2025'!$G$2:$G$2497,'сентябрь 2025'!$D$2:$D$2497,$B15,'сентябрь 2025'!$J$2:$J$2497,W$1)</f>
        <v>0</v>
      </c>
      <c r="X15" s="76">
        <f>SUMIFS('сентябрь 2025'!$G$2:$G$2497,'сентябрь 2025'!$D$2:$D$2497,$B15,'сентябрь 2025'!$J$2:$J$2497,X$1)</f>
        <v>0</v>
      </c>
      <c r="Y15" s="76">
        <f>SUMIFS('сентябрь 2025'!$G$2:$G$2497,'сентябрь 2025'!$D$2:$D$2497,$B15,'сентябрь 2025'!$J$2:$J$2497,Y$1)</f>
        <v>0</v>
      </c>
      <c r="Z15" s="76">
        <f>SUMIFS('сентябрь 2025'!$G$2:$G$2497,'сентябрь 2025'!$D$2:$D$2497,$B15,'сентябрь 2025'!$J$2:$J$2497,Z$1)</f>
        <v>0</v>
      </c>
      <c r="AA15" s="76">
        <f>SUMIFS('сентябрь 2025'!$G$2:$G$2497,'сентябрь 2025'!$D$2:$D$2497,$B15,'сентябрь 2025'!$J$2:$J$2497,AA$1)</f>
        <v>0</v>
      </c>
      <c r="AB15" s="76">
        <f>SUMIFS('сентябрь 2025'!$G$2:$G$2497,'сентябрь 2025'!$D$2:$D$2497,$B15,'сентябрь 2025'!$J$2:$J$2497,AB$1)</f>
        <v>0</v>
      </c>
      <c r="AC15" s="76">
        <f>SUMIFS('сентябрь 2025'!$G$2:$G$2497,'сентябрь 2025'!$D$2:$D$2497,$B15,'сентябрь 2025'!$J$2:$J$2497,AC$1)</f>
        <v>0</v>
      </c>
      <c r="AD15" s="76">
        <f>SUMIFS('сентябрь 2025'!$G$2:$G$2497,'сентябрь 2025'!$D$2:$D$2497,$B15,'сентябрь 2025'!$J$2:$J$2497,AD$1)</f>
        <v>0</v>
      </c>
      <c r="AE15" s="76">
        <f>SUMIFS('сентябрь 2025'!$G$2:$G$2497,'сентябрь 2025'!$D$2:$D$2497,$B15,'сентябрь 2025'!$J$2:$J$2497,AE$1)</f>
        <v>0</v>
      </c>
      <c r="AF15" s="76">
        <f>SUMIFS('сентябрь 2025'!$G$2:$G$2497,'сентябрь 2025'!$D$2:$D$2497,$B15,'сентябрь 2025'!$J$2:$J$2497,AF$1)</f>
        <v>0</v>
      </c>
      <c r="AG15" s="76">
        <f>SUMIFS('сентябрь 2025'!$G$2:$G$2497,'сентябрь 2025'!$D$2:$D$2497,$B15,'сентябрь 2025'!$J$2:$J$2497,AG$1)</f>
        <v>0</v>
      </c>
      <c r="AH15" s="76">
        <f>SUMIFS('сентябрь 2025'!$G$2:$G$2497,'сентябрь 2025'!$D$2:$D$2497,$B15,'сентябрь 2025'!$J$2:$J$2497,AH$1)</f>
        <v>0</v>
      </c>
      <c r="AI15" s="20">
        <f t="shared" si="1"/>
        <v>0</v>
      </c>
    </row>
    <row r="16" spans="2:35" ht="15" customHeight="1" x14ac:dyDescent="0.25">
      <c r="B16" s="80" t="s">
        <v>306</v>
      </c>
      <c r="C16" s="81">
        <v>25</v>
      </c>
      <c r="D16" s="76">
        <f>SUMIFS('сентябрь 2025'!$G$2:$G$2497,'сентябрь 2025'!$D$2:$D$2497,$B16,'сентябрь 2025'!$J$2:$J$2497,D$1)</f>
        <v>840</v>
      </c>
      <c r="E16" s="76">
        <f>SUMIFS('сентябрь 2025'!$G$2:$G$2497,'сентябрь 2025'!$D$2:$D$2497,$B16,'сентябрь 2025'!$J$2:$J$2497,E$1)</f>
        <v>840</v>
      </c>
      <c r="F16" s="76">
        <f>SUMIFS('сентябрь 2025'!$G$2:$G$2497,'сентябрь 2025'!$D$2:$D$2497,$B16,'сентябрь 2025'!$J$2:$J$2497,F$1)</f>
        <v>0</v>
      </c>
      <c r="G16" s="76">
        <f>SUMIFS('сентябрь 2025'!$G$2:$G$2497,'сентябрь 2025'!$D$2:$D$2497,$B16,'сентябрь 2025'!$J$2:$J$2497,G$1)</f>
        <v>0</v>
      </c>
      <c r="H16" s="76">
        <f>SUMIFS('сентябрь 2025'!$G$2:$G$2497,'сентябрь 2025'!$D$2:$D$2497,$B16,'сентябрь 2025'!$J$2:$J$2497,H$1)</f>
        <v>140</v>
      </c>
      <c r="I16" s="76">
        <f>SUMIFS('сентябрь 2025'!$G$2:$G$2497,'сентябрь 2025'!$D$2:$D$2497,$B16,'сентябрь 2025'!$J$2:$J$2497,I$1)</f>
        <v>0</v>
      </c>
      <c r="J16" s="76">
        <f>SUMIFS('сентябрь 2025'!$G$2:$G$2497,'сентябрь 2025'!$D$2:$D$2497,$B16,'сентябрь 2025'!$J$2:$J$2497,J$1)</f>
        <v>0</v>
      </c>
      <c r="K16" s="76">
        <f>SUMIFS('сентябрь 2025'!$G$2:$G$2497,'сентябрь 2025'!$D$2:$D$2497,$B16,'сентябрь 2025'!$J$2:$J$2497,K$1)</f>
        <v>0</v>
      </c>
      <c r="L16" s="76">
        <f>SUMIFS('сентябрь 2025'!$G$2:$G$2497,'сентябрь 2025'!$D$2:$D$2497,$B16,'сентябрь 2025'!$J$2:$J$2497,L$1)</f>
        <v>0</v>
      </c>
      <c r="M16" s="76">
        <f>SUMIFS('сентябрь 2025'!$G$2:$G$2497,'сентябрь 2025'!$D$2:$D$2497,$B16,'сентябрь 2025'!$J$2:$J$2497,M$1)</f>
        <v>0</v>
      </c>
      <c r="N16" s="76">
        <f>SUMIFS('сентябрь 2025'!$G$2:$G$2497,'сентябрь 2025'!$D$2:$D$2497,$B16,'сентябрь 2025'!$J$2:$J$2497,N$1)</f>
        <v>0</v>
      </c>
      <c r="O16" s="76">
        <f>SUMIFS('сентябрь 2025'!$G$2:$G$2497,'сентябрь 2025'!$D$2:$D$2497,$B16,'сентябрь 2025'!$J$2:$J$2497,O$1)</f>
        <v>0</v>
      </c>
      <c r="P16" s="76">
        <f>SUMIFS('сентябрь 2025'!$G$2:$G$2497,'сентябрь 2025'!$D$2:$D$2497,$B16,'сентябрь 2025'!$J$2:$J$2497,P$1)</f>
        <v>0</v>
      </c>
      <c r="Q16" s="76">
        <f>SUMIFS('сентябрь 2025'!$G$2:$G$2497,'сентябрь 2025'!$D$2:$D$2497,$B16,'сентябрь 2025'!$J$2:$J$2497,Q$1)</f>
        <v>0</v>
      </c>
      <c r="R16" s="76">
        <f>SUMIFS('сентябрь 2025'!$G$2:$G$2497,'сентябрь 2025'!$D$2:$D$2497,$B16,'сентябрь 2025'!$J$2:$J$2497,R$1)</f>
        <v>0</v>
      </c>
      <c r="S16" s="76">
        <f>SUMIFS('сентябрь 2025'!$G$2:$G$2497,'сентябрь 2025'!$D$2:$D$2497,$B16,'сентябрь 2025'!$J$2:$J$2497,S$1)</f>
        <v>0</v>
      </c>
      <c r="T16" s="76">
        <f>SUMIFS('сентябрь 2025'!$G$2:$G$2497,'сентябрь 2025'!$D$2:$D$2497,$B16,'сентябрь 2025'!$J$2:$J$2497,T$1)</f>
        <v>0</v>
      </c>
      <c r="U16" s="76">
        <f>SUMIFS('сентябрь 2025'!$G$2:$G$2497,'сентябрь 2025'!$D$2:$D$2497,$B16,'сентябрь 2025'!$J$2:$J$2497,U$1)</f>
        <v>0</v>
      </c>
      <c r="V16" s="76">
        <f>SUMIFS('сентябрь 2025'!$G$2:$G$2497,'сентябрь 2025'!$D$2:$D$2497,$B16,'сентябрь 2025'!$J$2:$J$2497,V$1)</f>
        <v>0</v>
      </c>
      <c r="W16" s="76">
        <f>SUMIFS('сентябрь 2025'!$G$2:$G$2497,'сентябрь 2025'!$D$2:$D$2497,$B16,'сентябрь 2025'!$J$2:$J$2497,W$1)</f>
        <v>0</v>
      </c>
      <c r="X16" s="76">
        <f>SUMIFS('сентябрь 2025'!$G$2:$G$2497,'сентябрь 2025'!$D$2:$D$2497,$B16,'сентябрь 2025'!$J$2:$J$2497,X$1)</f>
        <v>0</v>
      </c>
      <c r="Y16" s="76">
        <f>SUMIFS('сентябрь 2025'!$G$2:$G$2497,'сентябрь 2025'!$D$2:$D$2497,$B16,'сентябрь 2025'!$J$2:$J$2497,Y$1)</f>
        <v>0</v>
      </c>
      <c r="Z16" s="76">
        <f>SUMIFS('сентябрь 2025'!$G$2:$G$2497,'сентябрь 2025'!$D$2:$D$2497,$B16,'сентябрь 2025'!$J$2:$J$2497,Z$1)</f>
        <v>0</v>
      </c>
      <c r="AA16" s="76">
        <f>SUMIFS('сентябрь 2025'!$G$2:$G$2497,'сентябрь 2025'!$D$2:$D$2497,$B16,'сентябрь 2025'!$J$2:$J$2497,AA$1)</f>
        <v>1400</v>
      </c>
      <c r="AB16" s="76">
        <f>SUMIFS('сентябрь 2025'!$G$2:$G$2497,'сентябрь 2025'!$D$2:$D$2497,$B16,'сентябрь 2025'!$J$2:$J$2497,AB$1)</f>
        <v>1610</v>
      </c>
      <c r="AC16" s="76">
        <f>SUMIFS('сентябрь 2025'!$G$2:$G$2497,'сентябрь 2025'!$D$2:$D$2497,$B16,'сентябрь 2025'!$J$2:$J$2497,AC$1)</f>
        <v>1610</v>
      </c>
      <c r="AD16" s="76">
        <f>SUMIFS('сентябрь 2025'!$G$2:$G$2497,'сентябрь 2025'!$D$2:$D$2497,$B16,'сентябрь 2025'!$J$2:$J$2497,AD$1)</f>
        <v>0</v>
      </c>
      <c r="AE16" s="76">
        <f>SUMIFS('сентябрь 2025'!$G$2:$G$2497,'сентябрь 2025'!$D$2:$D$2497,$B16,'сентябрь 2025'!$J$2:$J$2497,AE$1)</f>
        <v>0</v>
      </c>
      <c r="AF16" s="76">
        <f>SUMIFS('сентябрь 2025'!$G$2:$G$2497,'сентябрь 2025'!$D$2:$D$2497,$B16,'сентябрь 2025'!$J$2:$J$2497,AF$1)</f>
        <v>0</v>
      </c>
      <c r="AG16" s="76">
        <f>SUMIFS('сентябрь 2025'!$G$2:$G$2497,'сентябрь 2025'!$D$2:$D$2497,$B16,'сентябрь 2025'!$J$2:$J$2497,AG$1)</f>
        <v>0</v>
      </c>
      <c r="AH16" s="76">
        <f>SUMIFS('сентябрь 2025'!$G$2:$G$2497,'сентябрь 2025'!$D$2:$D$2497,$B16,'сентябрь 2025'!$J$2:$J$2497,AH$1)</f>
        <v>0</v>
      </c>
      <c r="AI16" s="20">
        <f t="shared" si="1"/>
        <v>6440</v>
      </c>
    </row>
    <row r="17" spans="2:35" ht="15" customHeight="1" x14ac:dyDescent="0.25">
      <c r="B17" s="80" t="s">
        <v>231</v>
      </c>
      <c r="C17" s="81">
        <v>22.7</v>
      </c>
      <c r="D17" s="76">
        <f>SUMIFS('сентябрь 2025'!$G$2:$G$2497,'сентябрь 2025'!$D$2:$D$2497,$B17,'сентябрь 2025'!$J$2:$J$2497,D$1)</f>
        <v>0</v>
      </c>
      <c r="E17" s="76">
        <f>SUMIFS('сентябрь 2025'!$G$2:$G$2497,'сентябрь 2025'!$D$2:$D$2497,$B17,'сентябрь 2025'!$J$2:$J$2497,E$1)</f>
        <v>0</v>
      </c>
      <c r="F17" s="76">
        <f>SUMIFS('сентябрь 2025'!$G$2:$G$2497,'сентябрь 2025'!$D$2:$D$2497,$B17,'сентябрь 2025'!$J$2:$J$2497,F$1)</f>
        <v>0</v>
      </c>
      <c r="G17" s="76">
        <f>SUMIFS('сентябрь 2025'!$G$2:$G$2497,'сентябрь 2025'!$D$2:$D$2497,$B17,'сентябрь 2025'!$J$2:$J$2497,G$1)</f>
        <v>0</v>
      </c>
      <c r="H17" s="76">
        <f>SUMIFS('сентябрь 2025'!$G$2:$G$2497,'сентябрь 2025'!$D$2:$D$2497,$B17,'сентябрь 2025'!$J$2:$J$2497,H$1)</f>
        <v>0</v>
      </c>
      <c r="I17" s="76">
        <f>SUMIFS('сентябрь 2025'!$G$2:$G$2497,'сентябрь 2025'!$D$2:$D$2497,$B17,'сентябрь 2025'!$J$2:$J$2497,I$1)</f>
        <v>0</v>
      </c>
      <c r="J17" s="76">
        <f>SUMIFS('сентябрь 2025'!$G$2:$G$2497,'сентябрь 2025'!$D$2:$D$2497,$B17,'сентябрь 2025'!$J$2:$J$2497,J$1)</f>
        <v>0</v>
      </c>
      <c r="K17" s="76">
        <f>SUMIFS('сентябрь 2025'!$G$2:$G$2497,'сентябрь 2025'!$D$2:$D$2497,$B17,'сентябрь 2025'!$J$2:$J$2497,K$1)</f>
        <v>0</v>
      </c>
      <c r="L17" s="76">
        <f>SUMIFS('сентябрь 2025'!$G$2:$G$2497,'сентябрь 2025'!$D$2:$D$2497,$B17,'сентябрь 2025'!$J$2:$J$2497,L$1)</f>
        <v>0</v>
      </c>
      <c r="M17" s="76">
        <f>SUMIFS('сентябрь 2025'!$G$2:$G$2497,'сентябрь 2025'!$D$2:$D$2497,$B17,'сентябрь 2025'!$J$2:$J$2497,M$1)</f>
        <v>0</v>
      </c>
      <c r="N17" s="76">
        <f>SUMIFS('сентябрь 2025'!$G$2:$G$2497,'сентябрь 2025'!$D$2:$D$2497,$B17,'сентябрь 2025'!$J$2:$J$2497,N$1)</f>
        <v>0</v>
      </c>
      <c r="O17" s="76">
        <f>SUMIFS('сентябрь 2025'!$G$2:$G$2497,'сентябрь 2025'!$D$2:$D$2497,$B17,'сентябрь 2025'!$J$2:$J$2497,O$1)</f>
        <v>0</v>
      </c>
      <c r="P17" s="76">
        <f>SUMIFS('сентябрь 2025'!$G$2:$G$2497,'сентябрь 2025'!$D$2:$D$2497,$B17,'сентябрь 2025'!$J$2:$J$2497,P$1)</f>
        <v>0</v>
      </c>
      <c r="Q17" s="76">
        <f>SUMIFS('сентябрь 2025'!$G$2:$G$2497,'сентябрь 2025'!$D$2:$D$2497,$B17,'сентябрь 2025'!$J$2:$J$2497,Q$1)</f>
        <v>0</v>
      </c>
      <c r="R17" s="76">
        <f>SUMIFS('сентябрь 2025'!$G$2:$G$2497,'сентябрь 2025'!$D$2:$D$2497,$B17,'сентябрь 2025'!$J$2:$J$2497,R$1)</f>
        <v>0</v>
      </c>
      <c r="S17" s="76">
        <f>SUMIFS('сентябрь 2025'!$G$2:$G$2497,'сентябрь 2025'!$D$2:$D$2497,$B17,'сентябрь 2025'!$J$2:$J$2497,S$1)</f>
        <v>0</v>
      </c>
      <c r="T17" s="76">
        <f>SUMIFS('сентябрь 2025'!$G$2:$G$2497,'сентябрь 2025'!$D$2:$D$2497,$B17,'сентябрь 2025'!$J$2:$J$2497,T$1)</f>
        <v>0</v>
      </c>
      <c r="U17" s="76">
        <f>SUMIFS('сентябрь 2025'!$G$2:$G$2497,'сентябрь 2025'!$D$2:$D$2497,$B17,'сентябрь 2025'!$J$2:$J$2497,U$1)</f>
        <v>0</v>
      </c>
      <c r="V17" s="76">
        <f>SUMIFS('сентябрь 2025'!$G$2:$G$2497,'сентябрь 2025'!$D$2:$D$2497,$B17,'сентябрь 2025'!$J$2:$J$2497,V$1)</f>
        <v>0</v>
      </c>
      <c r="W17" s="76">
        <f>SUMIFS('сентябрь 2025'!$G$2:$G$2497,'сентябрь 2025'!$D$2:$D$2497,$B17,'сентябрь 2025'!$J$2:$J$2497,W$1)</f>
        <v>0</v>
      </c>
      <c r="X17" s="76">
        <f>SUMIFS('сентябрь 2025'!$G$2:$G$2497,'сентябрь 2025'!$D$2:$D$2497,$B17,'сентябрь 2025'!$J$2:$J$2497,X$1)</f>
        <v>0</v>
      </c>
      <c r="Y17" s="76">
        <f>SUMIFS('сентябрь 2025'!$G$2:$G$2497,'сентябрь 2025'!$D$2:$D$2497,$B17,'сентябрь 2025'!$J$2:$J$2497,Y$1)</f>
        <v>0</v>
      </c>
      <c r="Z17" s="76">
        <f>SUMIFS('сентябрь 2025'!$G$2:$G$2497,'сентябрь 2025'!$D$2:$D$2497,$B17,'сентябрь 2025'!$J$2:$J$2497,Z$1)</f>
        <v>0</v>
      </c>
      <c r="AA17" s="76">
        <f>SUMIFS('сентябрь 2025'!$G$2:$G$2497,'сентябрь 2025'!$D$2:$D$2497,$B17,'сентябрь 2025'!$J$2:$J$2497,AA$1)</f>
        <v>0</v>
      </c>
      <c r="AB17" s="76">
        <f>SUMIFS('сентябрь 2025'!$G$2:$G$2497,'сентябрь 2025'!$D$2:$D$2497,$B17,'сентябрь 2025'!$J$2:$J$2497,AB$1)</f>
        <v>0</v>
      </c>
      <c r="AC17" s="76">
        <f>SUMIFS('сентябрь 2025'!$G$2:$G$2497,'сентябрь 2025'!$D$2:$D$2497,$B17,'сентябрь 2025'!$J$2:$J$2497,AC$1)</f>
        <v>0</v>
      </c>
      <c r="AD17" s="76">
        <f>SUMIFS('сентябрь 2025'!$G$2:$G$2497,'сентябрь 2025'!$D$2:$D$2497,$B17,'сентябрь 2025'!$J$2:$J$2497,AD$1)</f>
        <v>0</v>
      </c>
      <c r="AE17" s="76">
        <f>SUMIFS('сентябрь 2025'!$G$2:$G$2497,'сентябрь 2025'!$D$2:$D$2497,$B17,'сентябрь 2025'!$J$2:$J$2497,AE$1)</f>
        <v>0</v>
      </c>
      <c r="AF17" s="76">
        <f>SUMIFS('сентябрь 2025'!$G$2:$G$2497,'сентябрь 2025'!$D$2:$D$2497,$B17,'сентябрь 2025'!$J$2:$J$2497,AF$1)</f>
        <v>0</v>
      </c>
      <c r="AG17" s="76">
        <f>SUMIFS('сентябрь 2025'!$G$2:$G$2497,'сентябрь 2025'!$D$2:$D$2497,$B17,'сентябрь 2025'!$J$2:$J$2497,AG$1)</f>
        <v>0</v>
      </c>
      <c r="AH17" s="76">
        <f>SUMIFS('сентябрь 2025'!$G$2:$G$2497,'сентябрь 2025'!$D$2:$D$2497,$B17,'сентябрь 2025'!$J$2:$J$2497,AH$1)</f>
        <v>0</v>
      </c>
      <c r="AI17" s="20">
        <f t="shared" si="1"/>
        <v>0</v>
      </c>
    </row>
    <row r="18" spans="2:35" ht="15" customHeight="1" x14ac:dyDescent="0.25">
      <c r="B18" s="77" t="s">
        <v>233</v>
      </c>
      <c r="C18" s="78">
        <v>22.7</v>
      </c>
      <c r="D18" s="76">
        <f>SUMIFS('сентябрь 2025'!$G$2:$G$2497,'сентябрь 2025'!$D$2:$D$2497,$B18,'сентябрь 2025'!$J$2:$J$2497,D$1)</f>
        <v>0</v>
      </c>
      <c r="E18" s="76">
        <f>SUMIFS('сентябрь 2025'!$G$2:$G$2497,'сентябрь 2025'!$D$2:$D$2497,$B18,'сентябрь 2025'!$J$2:$J$2497,E$1)</f>
        <v>0</v>
      </c>
      <c r="F18" s="76">
        <f>SUMIFS('сентябрь 2025'!$G$2:$G$2497,'сентябрь 2025'!$D$2:$D$2497,$B18,'сентябрь 2025'!$J$2:$J$2497,F$1)</f>
        <v>0</v>
      </c>
      <c r="G18" s="76">
        <f>SUMIFS('сентябрь 2025'!$G$2:$G$2497,'сентябрь 2025'!$D$2:$D$2497,$B18,'сентябрь 2025'!$J$2:$J$2497,G$1)</f>
        <v>0</v>
      </c>
      <c r="H18" s="76">
        <f>SUMIFS('сентябрь 2025'!$G$2:$G$2497,'сентябрь 2025'!$D$2:$D$2497,$B18,'сентябрь 2025'!$J$2:$J$2497,H$1)</f>
        <v>0</v>
      </c>
      <c r="I18" s="76">
        <f>SUMIFS('сентябрь 2025'!$G$2:$G$2497,'сентябрь 2025'!$D$2:$D$2497,$B18,'сентябрь 2025'!$J$2:$J$2497,I$1)</f>
        <v>0</v>
      </c>
      <c r="J18" s="76">
        <f>SUMIFS('сентябрь 2025'!$G$2:$G$2497,'сентябрь 2025'!$D$2:$D$2497,$B18,'сентябрь 2025'!$J$2:$J$2497,J$1)</f>
        <v>0</v>
      </c>
      <c r="K18" s="76">
        <f>SUMIFS('сентябрь 2025'!$G$2:$G$2497,'сентябрь 2025'!$D$2:$D$2497,$B18,'сентябрь 2025'!$J$2:$J$2497,K$1)</f>
        <v>0</v>
      </c>
      <c r="L18" s="76">
        <f>SUMIFS('сентябрь 2025'!$G$2:$G$2497,'сентябрь 2025'!$D$2:$D$2497,$B18,'сентябрь 2025'!$J$2:$J$2497,L$1)</f>
        <v>0</v>
      </c>
      <c r="M18" s="76">
        <f>SUMIFS('сентябрь 2025'!$G$2:$G$2497,'сентябрь 2025'!$D$2:$D$2497,$B18,'сентябрь 2025'!$J$2:$J$2497,M$1)</f>
        <v>0</v>
      </c>
      <c r="N18" s="76">
        <f>SUMIFS('сентябрь 2025'!$G$2:$G$2497,'сентябрь 2025'!$D$2:$D$2497,$B18,'сентябрь 2025'!$J$2:$J$2497,N$1)</f>
        <v>0</v>
      </c>
      <c r="O18" s="76">
        <f>SUMIFS('сентябрь 2025'!$G$2:$G$2497,'сентябрь 2025'!$D$2:$D$2497,$B18,'сентябрь 2025'!$J$2:$J$2497,O$1)</f>
        <v>0</v>
      </c>
      <c r="P18" s="76">
        <f>SUMIFS('сентябрь 2025'!$G$2:$G$2497,'сентябрь 2025'!$D$2:$D$2497,$B18,'сентябрь 2025'!$J$2:$J$2497,P$1)</f>
        <v>0</v>
      </c>
      <c r="Q18" s="76">
        <f>SUMIFS('сентябрь 2025'!$G$2:$G$2497,'сентябрь 2025'!$D$2:$D$2497,$B18,'сентябрь 2025'!$J$2:$J$2497,Q$1)</f>
        <v>0</v>
      </c>
      <c r="R18" s="76">
        <f>SUMIFS('сентябрь 2025'!$G$2:$G$2497,'сентябрь 2025'!$D$2:$D$2497,$B18,'сентябрь 2025'!$J$2:$J$2497,R$1)</f>
        <v>0</v>
      </c>
      <c r="S18" s="76">
        <f>SUMIFS('сентябрь 2025'!$G$2:$G$2497,'сентябрь 2025'!$D$2:$D$2497,$B18,'сентябрь 2025'!$J$2:$J$2497,S$1)</f>
        <v>0</v>
      </c>
      <c r="T18" s="76">
        <f>SUMIFS('сентябрь 2025'!$G$2:$G$2497,'сентябрь 2025'!$D$2:$D$2497,$B18,'сентябрь 2025'!$J$2:$J$2497,T$1)</f>
        <v>0</v>
      </c>
      <c r="U18" s="76">
        <f>SUMIFS('сентябрь 2025'!$G$2:$G$2497,'сентябрь 2025'!$D$2:$D$2497,$B18,'сентябрь 2025'!$J$2:$J$2497,U$1)</f>
        <v>0</v>
      </c>
      <c r="V18" s="76">
        <f>SUMIFS('сентябрь 2025'!$G$2:$G$2497,'сентябрь 2025'!$D$2:$D$2497,$B18,'сентябрь 2025'!$J$2:$J$2497,V$1)</f>
        <v>0</v>
      </c>
      <c r="W18" s="76">
        <f>SUMIFS('сентябрь 2025'!$G$2:$G$2497,'сентябрь 2025'!$D$2:$D$2497,$B18,'сентябрь 2025'!$J$2:$J$2497,W$1)</f>
        <v>0</v>
      </c>
      <c r="X18" s="76">
        <f>SUMIFS('сентябрь 2025'!$G$2:$G$2497,'сентябрь 2025'!$D$2:$D$2497,$B18,'сентябрь 2025'!$J$2:$J$2497,X$1)</f>
        <v>0</v>
      </c>
      <c r="Y18" s="76">
        <f>SUMIFS('сентябрь 2025'!$G$2:$G$2497,'сентябрь 2025'!$D$2:$D$2497,$B18,'сентябрь 2025'!$J$2:$J$2497,Y$1)</f>
        <v>0</v>
      </c>
      <c r="Z18" s="76">
        <f>SUMIFS('сентябрь 2025'!$G$2:$G$2497,'сентябрь 2025'!$D$2:$D$2497,$B18,'сентябрь 2025'!$J$2:$J$2497,Z$1)</f>
        <v>0</v>
      </c>
      <c r="AA18" s="76">
        <f>SUMIFS('сентябрь 2025'!$G$2:$G$2497,'сентябрь 2025'!$D$2:$D$2497,$B18,'сентябрь 2025'!$J$2:$J$2497,AA$1)</f>
        <v>0</v>
      </c>
      <c r="AB18" s="76">
        <f>SUMIFS('сентябрь 2025'!$G$2:$G$2497,'сентябрь 2025'!$D$2:$D$2497,$B18,'сентябрь 2025'!$J$2:$J$2497,AB$1)</f>
        <v>0</v>
      </c>
      <c r="AC18" s="76">
        <f>SUMIFS('сентябрь 2025'!$G$2:$G$2497,'сентябрь 2025'!$D$2:$D$2497,$B18,'сентябрь 2025'!$J$2:$J$2497,AC$1)</f>
        <v>0</v>
      </c>
      <c r="AD18" s="76">
        <f>SUMIFS('сентябрь 2025'!$G$2:$G$2497,'сентябрь 2025'!$D$2:$D$2497,$B18,'сентябрь 2025'!$J$2:$J$2497,AD$1)</f>
        <v>0</v>
      </c>
      <c r="AE18" s="76">
        <f>SUMIFS('сентябрь 2025'!$G$2:$G$2497,'сентябрь 2025'!$D$2:$D$2497,$B18,'сентябрь 2025'!$J$2:$J$2497,AE$1)</f>
        <v>0</v>
      </c>
      <c r="AF18" s="76">
        <f>SUMIFS('сентябрь 2025'!$G$2:$G$2497,'сентябрь 2025'!$D$2:$D$2497,$B18,'сентябрь 2025'!$J$2:$J$2497,AF$1)</f>
        <v>0</v>
      </c>
      <c r="AG18" s="76">
        <f>SUMIFS('сентябрь 2025'!$G$2:$G$2497,'сентябрь 2025'!$D$2:$D$2497,$B18,'сентябрь 2025'!$J$2:$J$2497,AG$1)</f>
        <v>0</v>
      </c>
      <c r="AH18" s="76">
        <f>SUMIFS('сентябрь 2025'!$G$2:$G$2497,'сентябрь 2025'!$D$2:$D$2497,$B18,'сентябрь 2025'!$J$2:$J$2497,AH$1)</f>
        <v>0</v>
      </c>
      <c r="AI18" s="20">
        <f t="shared" si="1"/>
        <v>0</v>
      </c>
    </row>
    <row r="19" spans="2:35" ht="15" customHeight="1" x14ac:dyDescent="0.25">
      <c r="B19" s="80" t="s">
        <v>235</v>
      </c>
      <c r="C19" s="81">
        <v>22.7</v>
      </c>
      <c r="D19" s="76">
        <f>SUMIFS('сентябрь 2025'!$G$2:$G$2497,'сентябрь 2025'!$D$2:$D$2497,$B19,'сентябрь 2025'!$J$2:$J$2497,D$1)</f>
        <v>0</v>
      </c>
      <c r="E19" s="76">
        <f>SUMIFS('сентябрь 2025'!$G$2:$G$2497,'сентябрь 2025'!$D$2:$D$2497,$B19,'сентябрь 2025'!$J$2:$J$2497,E$1)</f>
        <v>0</v>
      </c>
      <c r="F19" s="76">
        <f>SUMIFS('сентябрь 2025'!$G$2:$G$2497,'сентябрь 2025'!$D$2:$D$2497,$B19,'сентябрь 2025'!$J$2:$J$2497,F$1)</f>
        <v>0</v>
      </c>
      <c r="G19" s="76">
        <f>SUMIFS('сентябрь 2025'!$G$2:$G$2497,'сентябрь 2025'!$D$2:$D$2497,$B19,'сентябрь 2025'!$J$2:$J$2497,G$1)</f>
        <v>0</v>
      </c>
      <c r="H19" s="76">
        <f>SUMIFS('сентябрь 2025'!$G$2:$G$2497,'сентябрь 2025'!$D$2:$D$2497,$B19,'сентябрь 2025'!$J$2:$J$2497,H$1)</f>
        <v>0</v>
      </c>
      <c r="I19" s="76">
        <f>SUMIFS('сентябрь 2025'!$G$2:$G$2497,'сентябрь 2025'!$D$2:$D$2497,$B19,'сентябрь 2025'!$J$2:$J$2497,I$1)</f>
        <v>0</v>
      </c>
      <c r="J19" s="76">
        <f>SUMIFS('сентябрь 2025'!$G$2:$G$2497,'сентябрь 2025'!$D$2:$D$2497,$B19,'сентябрь 2025'!$J$2:$J$2497,J$1)</f>
        <v>0</v>
      </c>
      <c r="K19" s="76">
        <f>SUMIFS('сентябрь 2025'!$G$2:$G$2497,'сентябрь 2025'!$D$2:$D$2497,$B19,'сентябрь 2025'!$J$2:$J$2497,K$1)</f>
        <v>0</v>
      </c>
      <c r="L19" s="76">
        <f>SUMIFS('сентябрь 2025'!$G$2:$G$2497,'сентябрь 2025'!$D$2:$D$2497,$B19,'сентябрь 2025'!$J$2:$J$2497,L$1)</f>
        <v>0</v>
      </c>
      <c r="M19" s="76">
        <f>SUMIFS('сентябрь 2025'!$G$2:$G$2497,'сентябрь 2025'!$D$2:$D$2497,$B19,'сентябрь 2025'!$J$2:$J$2497,M$1)</f>
        <v>0</v>
      </c>
      <c r="N19" s="76">
        <f>SUMIFS('сентябрь 2025'!$G$2:$G$2497,'сентябрь 2025'!$D$2:$D$2497,$B19,'сентябрь 2025'!$J$2:$J$2497,N$1)</f>
        <v>0</v>
      </c>
      <c r="O19" s="76">
        <f>SUMIFS('сентябрь 2025'!$G$2:$G$2497,'сентябрь 2025'!$D$2:$D$2497,$B19,'сентябрь 2025'!$J$2:$J$2497,O$1)</f>
        <v>0</v>
      </c>
      <c r="P19" s="76">
        <f>SUMIFS('сентябрь 2025'!$G$2:$G$2497,'сентябрь 2025'!$D$2:$D$2497,$B19,'сентябрь 2025'!$J$2:$J$2497,P$1)</f>
        <v>0</v>
      </c>
      <c r="Q19" s="76">
        <f>SUMIFS('сентябрь 2025'!$G$2:$G$2497,'сентябрь 2025'!$D$2:$D$2497,$B19,'сентябрь 2025'!$J$2:$J$2497,Q$1)</f>
        <v>0</v>
      </c>
      <c r="R19" s="76">
        <f>SUMIFS('сентябрь 2025'!$G$2:$G$2497,'сентябрь 2025'!$D$2:$D$2497,$B19,'сентябрь 2025'!$J$2:$J$2497,R$1)</f>
        <v>0</v>
      </c>
      <c r="S19" s="76">
        <f>SUMIFS('сентябрь 2025'!$G$2:$G$2497,'сентябрь 2025'!$D$2:$D$2497,$B19,'сентябрь 2025'!$J$2:$J$2497,S$1)</f>
        <v>0</v>
      </c>
      <c r="T19" s="76">
        <f>SUMIFS('сентябрь 2025'!$G$2:$G$2497,'сентябрь 2025'!$D$2:$D$2497,$B19,'сентябрь 2025'!$J$2:$J$2497,T$1)</f>
        <v>0</v>
      </c>
      <c r="U19" s="76">
        <f>SUMIFS('сентябрь 2025'!$G$2:$G$2497,'сентябрь 2025'!$D$2:$D$2497,$B19,'сентябрь 2025'!$J$2:$J$2497,U$1)</f>
        <v>0</v>
      </c>
      <c r="V19" s="76">
        <f>SUMIFS('сентябрь 2025'!$G$2:$G$2497,'сентябрь 2025'!$D$2:$D$2497,$B19,'сентябрь 2025'!$J$2:$J$2497,V$1)</f>
        <v>0</v>
      </c>
      <c r="W19" s="76">
        <f>SUMIFS('сентябрь 2025'!$G$2:$G$2497,'сентябрь 2025'!$D$2:$D$2497,$B19,'сентябрь 2025'!$J$2:$J$2497,W$1)</f>
        <v>0</v>
      </c>
      <c r="X19" s="76">
        <f>SUMIFS('сентябрь 2025'!$G$2:$G$2497,'сентябрь 2025'!$D$2:$D$2497,$B19,'сентябрь 2025'!$J$2:$J$2497,X$1)</f>
        <v>0</v>
      </c>
      <c r="Y19" s="76">
        <f>SUMIFS('сентябрь 2025'!$G$2:$G$2497,'сентябрь 2025'!$D$2:$D$2497,$B19,'сентябрь 2025'!$J$2:$J$2497,Y$1)</f>
        <v>0</v>
      </c>
      <c r="Z19" s="76">
        <f>SUMIFS('сентябрь 2025'!$G$2:$G$2497,'сентябрь 2025'!$D$2:$D$2497,$B19,'сентябрь 2025'!$J$2:$J$2497,Z$1)</f>
        <v>0</v>
      </c>
      <c r="AA19" s="76">
        <f>SUMIFS('сентябрь 2025'!$G$2:$G$2497,'сентябрь 2025'!$D$2:$D$2497,$B19,'сентябрь 2025'!$J$2:$J$2497,AA$1)</f>
        <v>0</v>
      </c>
      <c r="AB19" s="76">
        <f>SUMIFS('сентябрь 2025'!$G$2:$G$2497,'сентябрь 2025'!$D$2:$D$2497,$B19,'сентябрь 2025'!$J$2:$J$2497,AB$1)</f>
        <v>0</v>
      </c>
      <c r="AC19" s="76">
        <f>SUMIFS('сентябрь 2025'!$G$2:$G$2497,'сентябрь 2025'!$D$2:$D$2497,$B19,'сентябрь 2025'!$J$2:$J$2497,AC$1)</f>
        <v>0</v>
      </c>
      <c r="AD19" s="76">
        <f>SUMIFS('сентябрь 2025'!$G$2:$G$2497,'сентябрь 2025'!$D$2:$D$2497,$B19,'сентябрь 2025'!$J$2:$J$2497,AD$1)</f>
        <v>0</v>
      </c>
      <c r="AE19" s="76">
        <f>SUMIFS('сентябрь 2025'!$G$2:$G$2497,'сентябрь 2025'!$D$2:$D$2497,$B19,'сентябрь 2025'!$J$2:$J$2497,AE$1)</f>
        <v>0</v>
      </c>
      <c r="AF19" s="76">
        <f>SUMIFS('сентябрь 2025'!$G$2:$G$2497,'сентябрь 2025'!$D$2:$D$2497,$B19,'сентябрь 2025'!$J$2:$J$2497,AF$1)</f>
        <v>0</v>
      </c>
      <c r="AG19" s="76">
        <f>SUMIFS('сентябрь 2025'!$G$2:$G$2497,'сентябрь 2025'!$D$2:$D$2497,$B19,'сентябрь 2025'!$J$2:$J$2497,AG$1)</f>
        <v>0</v>
      </c>
      <c r="AH19" s="76">
        <f>SUMIFS('сентябрь 2025'!$G$2:$G$2497,'сентябрь 2025'!$D$2:$D$2497,$B19,'сентябрь 2025'!$J$2:$J$2497,AH$1)</f>
        <v>0</v>
      </c>
      <c r="AI19" s="20">
        <f t="shared" si="1"/>
        <v>0</v>
      </c>
    </row>
    <row r="20" spans="2:35" ht="15" customHeight="1" x14ac:dyDescent="0.25">
      <c r="B20" s="80" t="s">
        <v>237</v>
      </c>
      <c r="C20" s="81">
        <v>25</v>
      </c>
      <c r="D20" s="76">
        <f>SUMIFS('сентябрь 2025'!$G$2:$G$2497,'сентябрь 2025'!$D$2:$D$2497,$B20,'сентябрь 2025'!$J$2:$J$2497,D$1)</f>
        <v>0</v>
      </c>
      <c r="E20" s="76">
        <f>SUMIFS('сентябрь 2025'!$G$2:$G$2497,'сентябрь 2025'!$D$2:$D$2497,$B20,'сентябрь 2025'!$J$2:$J$2497,E$1)</f>
        <v>0</v>
      </c>
      <c r="F20" s="76">
        <f>SUMIFS('сентябрь 2025'!$G$2:$G$2497,'сентябрь 2025'!$D$2:$D$2497,$B20,'сентябрь 2025'!$J$2:$J$2497,F$1)</f>
        <v>0</v>
      </c>
      <c r="G20" s="76">
        <f>SUMIFS('сентябрь 2025'!$G$2:$G$2497,'сентябрь 2025'!$D$2:$D$2497,$B20,'сентябрь 2025'!$J$2:$J$2497,G$1)</f>
        <v>0</v>
      </c>
      <c r="H20" s="76">
        <f>SUMIFS('сентябрь 2025'!$G$2:$G$2497,'сентябрь 2025'!$D$2:$D$2497,$B20,'сентябрь 2025'!$J$2:$J$2497,H$1)</f>
        <v>0</v>
      </c>
      <c r="I20" s="76">
        <f>SUMIFS('сентябрь 2025'!$G$2:$G$2497,'сентябрь 2025'!$D$2:$D$2497,$B20,'сентябрь 2025'!$J$2:$J$2497,I$1)</f>
        <v>0</v>
      </c>
      <c r="J20" s="76">
        <f>SUMIFS('сентябрь 2025'!$G$2:$G$2497,'сентябрь 2025'!$D$2:$D$2497,$B20,'сентябрь 2025'!$J$2:$J$2497,J$1)</f>
        <v>0</v>
      </c>
      <c r="K20" s="76">
        <f>SUMIFS('сентябрь 2025'!$G$2:$G$2497,'сентябрь 2025'!$D$2:$D$2497,$B20,'сентябрь 2025'!$J$2:$J$2497,K$1)</f>
        <v>0</v>
      </c>
      <c r="L20" s="76">
        <f>SUMIFS('сентябрь 2025'!$G$2:$G$2497,'сентябрь 2025'!$D$2:$D$2497,$B20,'сентябрь 2025'!$J$2:$J$2497,L$1)</f>
        <v>0</v>
      </c>
      <c r="M20" s="76">
        <f>SUMIFS('сентябрь 2025'!$G$2:$G$2497,'сентябрь 2025'!$D$2:$D$2497,$B20,'сентябрь 2025'!$J$2:$J$2497,M$1)</f>
        <v>0</v>
      </c>
      <c r="N20" s="76">
        <f>SUMIFS('сентябрь 2025'!$G$2:$G$2497,'сентябрь 2025'!$D$2:$D$2497,$B20,'сентябрь 2025'!$J$2:$J$2497,N$1)</f>
        <v>0</v>
      </c>
      <c r="O20" s="76">
        <f>SUMIFS('сентябрь 2025'!$G$2:$G$2497,'сентябрь 2025'!$D$2:$D$2497,$B20,'сентябрь 2025'!$J$2:$J$2497,O$1)</f>
        <v>0</v>
      </c>
      <c r="P20" s="76">
        <f>SUMIFS('сентябрь 2025'!$G$2:$G$2497,'сентябрь 2025'!$D$2:$D$2497,$B20,'сентябрь 2025'!$J$2:$J$2497,P$1)</f>
        <v>0</v>
      </c>
      <c r="Q20" s="76">
        <f>SUMIFS('сентябрь 2025'!$G$2:$G$2497,'сентябрь 2025'!$D$2:$D$2497,$B20,'сентябрь 2025'!$J$2:$J$2497,Q$1)</f>
        <v>0</v>
      </c>
      <c r="R20" s="76">
        <f>SUMIFS('сентябрь 2025'!$G$2:$G$2497,'сентябрь 2025'!$D$2:$D$2497,$B20,'сентябрь 2025'!$J$2:$J$2497,R$1)</f>
        <v>0</v>
      </c>
      <c r="S20" s="76">
        <f>SUMIFS('сентябрь 2025'!$G$2:$G$2497,'сентябрь 2025'!$D$2:$D$2497,$B20,'сентябрь 2025'!$J$2:$J$2497,S$1)</f>
        <v>0</v>
      </c>
      <c r="T20" s="76">
        <f>SUMIFS('сентябрь 2025'!$G$2:$G$2497,'сентябрь 2025'!$D$2:$D$2497,$B20,'сентябрь 2025'!$J$2:$J$2497,T$1)</f>
        <v>0</v>
      </c>
      <c r="U20" s="76">
        <f>SUMIFS('сентябрь 2025'!$G$2:$G$2497,'сентябрь 2025'!$D$2:$D$2497,$B20,'сентябрь 2025'!$J$2:$J$2497,U$1)</f>
        <v>0</v>
      </c>
      <c r="V20" s="76">
        <f>SUMIFS('сентябрь 2025'!$G$2:$G$2497,'сентябрь 2025'!$D$2:$D$2497,$B20,'сентябрь 2025'!$J$2:$J$2497,V$1)</f>
        <v>0</v>
      </c>
      <c r="W20" s="76">
        <f>SUMIFS('сентябрь 2025'!$G$2:$G$2497,'сентябрь 2025'!$D$2:$D$2497,$B20,'сентябрь 2025'!$J$2:$J$2497,W$1)</f>
        <v>0</v>
      </c>
      <c r="X20" s="76">
        <f>SUMIFS('сентябрь 2025'!$G$2:$G$2497,'сентябрь 2025'!$D$2:$D$2497,$B20,'сентябрь 2025'!$J$2:$J$2497,X$1)</f>
        <v>0</v>
      </c>
      <c r="Y20" s="76">
        <f>SUMIFS('сентябрь 2025'!$G$2:$G$2497,'сентябрь 2025'!$D$2:$D$2497,$B20,'сентябрь 2025'!$J$2:$J$2497,Y$1)</f>
        <v>0</v>
      </c>
      <c r="Z20" s="76">
        <f>SUMIFS('сентябрь 2025'!$G$2:$G$2497,'сентябрь 2025'!$D$2:$D$2497,$B20,'сентябрь 2025'!$J$2:$J$2497,Z$1)</f>
        <v>0</v>
      </c>
      <c r="AA20" s="76">
        <f>SUMIFS('сентябрь 2025'!$G$2:$G$2497,'сентябрь 2025'!$D$2:$D$2497,$B20,'сентябрь 2025'!$J$2:$J$2497,AA$1)</f>
        <v>0</v>
      </c>
      <c r="AB20" s="76">
        <f>SUMIFS('сентябрь 2025'!$G$2:$G$2497,'сентябрь 2025'!$D$2:$D$2497,$B20,'сентябрь 2025'!$J$2:$J$2497,AB$1)</f>
        <v>0</v>
      </c>
      <c r="AC20" s="76">
        <f>SUMIFS('сентябрь 2025'!$G$2:$G$2497,'сентябрь 2025'!$D$2:$D$2497,$B20,'сентябрь 2025'!$J$2:$J$2497,AC$1)</f>
        <v>0</v>
      </c>
      <c r="AD20" s="76">
        <f>SUMIFS('сентябрь 2025'!$G$2:$G$2497,'сентябрь 2025'!$D$2:$D$2497,$B20,'сентябрь 2025'!$J$2:$J$2497,AD$1)</f>
        <v>0</v>
      </c>
      <c r="AE20" s="76">
        <f>SUMIFS('сентябрь 2025'!$G$2:$G$2497,'сентябрь 2025'!$D$2:$D$2497,$B20,'сентябрь 2025'!$J$2:$J$2497,AE$1)</f>
        <v>0</v>
      </c>
      <c r="AF20" s="76">
        <f>SUMIFS('сентябрь 2025'!$G$2:$G$2497,'сентябрь 2025'!$D$2:$D$2497,$B20,'сентябрь 2025'!$J$2:$J$2497,AF$1)</f>
        <v>0</v>
      </c>
      <c r="AG20" s="76">
        <f>SUMIFS('сентябрь 2025'!$G$2:$G$2497,'сентябрь 2025'!$D$2:$D$2497,$B20,'сентябрь 2025'!$J$2:$J$2497,AG$1)</f>
        <v>0</v>
      </c>
      <c r="AH20" s="76">
        <f>SUMIFS('сентябрь 2025'!$G$2:$G$2497,'сентябрь 2025'!$D$2:$D$2497,$B20,'сентябрь 2025'!$J$2:$J$2497,AH$1)</f>
        <v>0</v>
      </c>
      <c r="AI20" s="20">
        <f t="shared" si="1"/>
        <v>0</v>
      </c>
    </row>
    <row r="21" spans="2:35" ht="15" customHeight="1" x14ac:dyDescent="0.25">
      <c r="B21" s="77" t="s">
        <v>239</v>
      </c>
      <c r="C21" s="78">
        <v>25</v>
      </c>
      <c r="D21" s="76">
        <f>SUMIFS('сентябрь 2025'!$G$2:$G$2497,'сентябрь 2025'!$D$2:$D$2497,$B21,'сентябрь 2025'!$J$2:$J$2497,D$1)</f>
        <v>0</v>
      </c>
      <c r="E21" s="76">
        <f>SUMIFS('сентябрь 2025'!$G$2:$G$2497,'сентябрь 2025'!$D$2:$D$2497,$B21,'сентябрь 2025'!$J$2:$J$2497,E$1)</f>
        <v>0</v>
      </c>
      <c r="F21" s="76">
        <f>SUMIFS('сентябрь 2025'!$G$2:$G$2497,'сентябрь 2025'!$D$2:$D$2497,$B21,'сентябрь 2025'!$J$2:$J$2497,F$1)</f>
        <v>0</v>
      </c>
      <c r="G21" s="76">
        <f>SUMIFS('сентябрь 2025'!$G$2:$G$2497,'сентябрь 2025'!$D$2:$D$2497,$B21,'сентябрь 2025'!$J$2:$J$2497,G$1)</f>
        <v>0</v>
      </c>
      <c r="H21" s="76">
        <f>SUMIFS('сентябрь 2025'!$G$2:$G$2497,'сентябрь 2025'!$D$2:$D$2497,$B21,'сентябрь 2025'!$J$2:$J$2497,H$1)</f>
        <v>0</v>
      </c>
      <c r="I21" s="76">
        <f>SUMIFS('сентябрь 2025'!$G$2:$G$2497,'сентябрь 2025'!$D$2:$D$2497,$B21,'сентябрь 2025'!$J$2:$J$2497,I$1)</f>
        <v>0</v>
      </c>
      <c r="J21" s="76">
        <f>SUMIFS('сентябрь 2025'!$G$2:$G$2497,'сентябрь 2025'!$D$2:$D$2497,$B21,'сентябрь 2025'!$J$2:$J$2497,J$1)</f>
        <v>0</v>
      </c>
      <c r="K21" s="76">
        <f>SUMIFS('сентябрь 2025'!$G$2:$G$2497,'сентябрь 2025'!$D$2:$D$2497,$B21,'сентябрь 2025'!$J$2:$J$2497,K$1)</f>
        <v>0</v>
      </c>
      <c r="L21" s="76">
        <f>SUMIFS('сентябрь 2025'!$G$2:$G$2497,'сентябрь 2025'!$D$2:$D$2497,$B21,'сентябрь 2025'!$J$2:$J$2497,L$1)</f>
        <v>0</v>
      </c>
      <c r="M21" s="76">
        <f>SUMIFS('сентябрь 2025'!$G$2:$G$2497,'сентябрь 2025'!$D$2:$D$2497,$B21,'сентябрь 2025'!$J$2:$J$2497,M$1)</f>
        <v>0</v>
      </c>
      <c r="N21" s="76">
        <f>SUMIFS('сентябрь 2025'!$G$2:$G$2497,'сентябрь 2025'!$D$2:$D$2497,$B21,'сентябрь 2025'!$J$2:$J$2497,N$1)</f>
        <v>0</v>
      </c>
      <c r="O21" s="76">
        <f>SUMIFS('сентябрь 2025'!$G$2:$G$2497,'сентябрь 2025'!$D$2:$D$2497,$B21,'сентябрь 2025'!$J$2:$J$2497,O$1)</f>
        <v>0</v>
      </c>
      <c r="P21" s="76">
        <f>SUMIFS('сентябрь 2025'!$G$2:$G$2497,'сентябрь 2025'!$D$2:$D$2497,$B21,'сентябрь 2025'!$J$2:$J$2497,P$1)</f>
        <v>0</v>
      </c>
      <c r="Q21" s="76">
        <f>SUMIFS('сентябрь 2025'!$G$2:$G$2497,'сентябрь 2025'!$D$2:$D$2497,$B21,'сентябрь 2025'!$J$2:$J$2497,Q$1)</f>
        <v>0</v>
      </c>
      <c r="R21" s="76">
        <f>SUMIFS('сентябрь 2025'!$G$2:$G$2497,'сентябрь 2025'!$D$2:$D$2497,$B21,'сентябрь 2025'!$J$2:$J$2497,R$1)</f>
        <v>0</v>
      </c>
      <c r="S21" s="76">
        <f>SUMIFS('сентябрь 2025'!$G$2:$G$2497,'сентябрь 2025'!$D$2:$D$2497,$B21,'сентябрь 2025'!$J$2:$J$2497,S$1)</f>
        <v>0</v>
      </c>
      <c r="T21" s="76">
        <f>SUMIFS('сентябрь 2025'!$G$2:$G$2497,'сентябрь 2025'!$D$2:$D$2497,$B21,'сентябрь 2025'!$J$2:$J$2497,T$1)</f>
        <v>0</v>
      </c>
      <c r="U21" s="76">
        <f>SUMIFS('сентябрь 2025'!$G$2:$G$2497,'сентябрь 2025'!$D$2:$D$2497,$B21,'сентябрь 2025'!$J$2:$J$2497,U$1)</f>
        <v>0</v>
      </c>
      <c r="V21" s="76">
        <f>SUMIFS('сентябрь 2025'!$G$2:$G$2497,'сентябрь 2025'!$D$2:$D$2497,$B21,'сентябрь 2025'!$J$2:$J$2497,V$1)</f>
        <v>0</v>
      </c>
      <c r="W21" s="76">
        <f>SUMIFS('сентябрь 2025'!$G$2:$G$2497,'сентябрь 2025'!$D$2:$D$2497,$B21,'сентябрь 2025'!$J$2:$J$2497,W$1)</f>
        <v>0</v>
      </c>
      <c r="X21" s="76">
        <f>SUMIFS('сентябрь 2025'!$G$2:$G$2497,'сентябрь 2025'!$D$2:$D$2497,$B21,'сентябрь 2025'!$J$2:$J$2497,X$1)</f>
        <v>0</v>
      </c>
      <c r="Y21" s="76">
        <f>SUMIFS('сентябрь 2025'!$G$2:$G$2497,'сентябрь 2025'!$D$2:$D$2497,$B21,'сентябрь 2025'!$J$2:$J$2497,Y$1)</f>
        <v>0</v>
      </c>
      <c r="Z21" s="76">
        <f>SUMIFS('сентябрь 2025'!$G$2:$G$2497,'сентябрь 2025'!$D$2:$D$2497,$B21,'сентябрь 2025'!$J$2:$J$2497,Z$1)</f>
        <v>0</v>
      </c>
      <c r="AA21" s="76">
        <f>SUMIFS('сентябрь 2025'!$G$2:$G$2497,'сентябрь 2025'!$D$2:$D$2497,$B21,'сентябрь 2025'!$J$2:$J$2497,AA$1)</f>
        <v>0</v>
      </c>
      <c r="AB21" s="76">
        <f>SUMIFS('сентябрь 2025'!$G$2:$G$2497,'сентябрь 2025'!$D$2:$D$2497,$B21,'сентябрь 2025'!$J$2:$J$2497,AB$1)</f>
        <v>0</v>
      </c>
      <c r="AC21" s="76">
        <f>SUMIFS('сентябрь 2025'!$G$2:$G$2497,'сентябрь 2025'!$D$2:$D$2497,$B21,'сентябрь 2025'!$J$2:$J$2497,AC$1)</f>
        <v>0</v>
      </c>
      <c r="AD21" s="76">
        <f>SUMIFS('сентябрь 2025'!$G$2:$G$2497,'сентябрь 2025'!$D$2:$D$2497,$B21,'сентябрь 2025'!$J$2:$J$2497,AD$1)</f>
        <v>0</v>
      </c>
      <c r="AE21" s="76">
        <f>SUMIFS('сентябрь 2025'!$G$2:$G$2497,'сентябрь 2025'!$D$2:$D$2497,$B21,'сентябрь 2025'!$J$2:$J$2497,AE$1)</f>
        <v>0</v>
      </c>
      <c r="AF21" s="76">
        <f>SUMIFS('сентябрь 2025'!$G$2:$G$2497,'сентябрь 2025'!$D$2:$D$2497,$B21,'сентябрь 2025'!$J$2:$J$2497,AF$1)</f>
        <v>0</v>
      </c>
      <c r="AG21" s="76">
        <f>SUMIFS('сентябрь 2025'!$G$2:$G$2497,'сентябрь 2025'!$D$2:$D$2497,$B21,'сентябрь 2025'!$J$2:$J$2497,AG$1)</f>
        <v>0</v>
      </c>
      <c r="AH21" s="76">
        <f>SUMIFS('сентябрь 2025'!$G$2:$G$2497,'сентябрь 2025'!$D$2:$D$2497,$B21,'сентябрь 2025'!$J$2:$J$2497,AH$1)</f>
        <v>0</v>
      </c>
      <c r="AI21" s="20">
        <f t="shared" si="1"/>
        <v>0</v>
      </c>
    </row>
    <row r="22" spans="2:35" ht="15" customHeight="1" x14ac:dyDescent="0.25">
      <c r="B22" s="77" t="s">
        <v>241</v>
      </c>
      <c r="C22" s="78">
        <v>25</v>
      </c>
      <c r="D22" s="76">
        <f>SUMIFS('сентябрь 2025'!$G$2:$G$2497,'сентябрь 2025'!$D$2:$D$2497,$B22,'сентябрь 2025'!$J$2:$J$2497,D$1)</f>
        <v>0</v>
      </c>
      <c r="E22" s="76">
        <f>SUMIFS('сентябрь 2025'!$G$2:$G$2497,'сентябрь 2025'!$D$2:$D$2497,$B22,'сентябрь 2025'!$J$2:$J$2497,E$1)</f>
        <v>0</v>
      </c>
      <c r="F22" s="76">
        <f>SUMIFS('сентябрь 2025'!$G$2:$G$2497,'сентябрь 2025'!$D$2:$D$2497,$B22,'сентябрь 2025'!$J$2:$J$2497,F$1)</f>
        <v>0</v>
      </c>
      <c r="G22" s="76">
        <f>SUMIFS('сентябрь 2025'!$G$2:$G$2497,'сентябрь 2025'!$D$2:$D$2497,$B22,'сентябрь 2025'!$J$2:$J$2497,G$1)</f>
        <v>0</v>
      </c>
      <c r="H22" s="76">
        <f>SUMIFS('сентябрь 2025'!$G$2:$G$2497,'сентябрь 2025'!$D$2:$D$2497,$B22,'сентябрь 2025'!$J$2:$J$2497,H$1)</f>
        <v>0</v>
      </c>
      <c r="I22" s="76">
        <f>SUMIFS('сентябрь 2025'!$G$2:$G$2497,'сентябрь 2025'!$D$2:$D$2497,$B22,'сентябрь 2025'!$J$2:$J$2497,I$1)</f>
        <v>0</v>
      </c>
      <c r="J22" s="76">
        <f>SUMIFS('сентябрь 2025'!$G$2:$G$2497,'сентябрь 2025'!$D$2:$D$2497,$B22,'сентябрь 2025'!$J$2:$J$2497,J$1)</f>
        <v>0</v>
      </c>
      <c r="K22" s="76">
        <f>SUMIFS('сентябрь 2025'!$G$2:$G$2497,'сентябрь 2025'!$D$2:$D$2497,$B22,'сентябрь 2025'!$J$2:$J$2497,K$1)</f>
        <v>0</v>
      </c>
      <c r="L22" s="76">
        <f>SUMIFS('сентябрь 2025'!$G$2:$G$2497,'сентябрь 2025'!$D$2:$D$2497,$B22,'сентябрь 2025'!$J$2:$J$2497,L$1)</f>
        <v>0</v>
      </c>
      <c r="M22" s="76">
        <f>SUMIFS('сентябрь 2025'!$G$2:$G$2497,'сентябрь 2025'!$D$2:$D$2497,$B22,'сентябрь 2025'!$J$2:$J$2497,M$1)</f>
        <v>0</v>
      </c>
      <c r="N22" s="76">
        <f>SUMIFS('сентябрь 2025'!$G$2:$G$2497,'сентябрь 2025'!$D$2:$D$2497,$B22,'сентябрь 2025'!$J$2:$J$2497,N$1)</f>
        <v>0</v>
      </c>
      <c r="O22" s="76">
        <f>SUMIFS('сентябрь 2025'!$G$2:$G$2497,'сентябрь 2025'!$D$2:$D$2497,$B22,'сентябрь 2025'!$J$2:$J$2497,O$1)</f>
        <v>0</v>
      </c>
      <c r="P22" s="76">
        <f>SUMIFS('сентябрь 2025'!$G$2:$G$2497,'сентябрь 2025'!$D$2:$D$2497,$B22,'сентябрь 2025'!$J$2:$J$2497,P$1)</f>
        <v>0</v>
      </c>
      <c r="Q22" s="76">
        <f>SUMIFS('сентябрь 2025'!$G$2:$G$2497,'сентябрь 2025'!$D$2:$D$2497,$B22,'сентябрь 2025'!$J$2:$J$2497,Q$1)</f>
        <v>0</v>
      </c>
      <c r="R22" s="76">
        <f>SUMIFS('сентябрь 2025'!$G$2:$G$2497,'сентябрь 2025'!$D$2:$D$2497,$B22,'сентябрь 2025'!$J$2:$J$2497,R$1)</f>
        <v>0</v>
      </c>
      <c r="S22" s="76">
        <f>SUMIFS('сентябрь 2025'!$G$2:$G$2497,'сентябрь 2025'!$D$2:$D$2497,$B22,'сентябрь 2025'!$J$2:$J$2497,S$1)</f>
        <v>0</v>
      </c>
      <c r="T22" s="76">
        <f>SUMIFS('сентябрь 2025'!$G$2:$G$2497,'сентябрь 2025'!$D$2:$D$2497,$B22,'сентябрь 2025'!$J$2:$J$2497,T$1)</f>
        <v>0</v>
      </c>
      <c r="U22" s="76">
        <f>SUMIFS('сентябрь 2025'!$G$2:$G$2497,'сентябрь 2025'!$D$2:$D$2497,$B22,'сентябрь 2025'!$J$2:$J$2497,U$1)</f>
        <v>0</v>
      </c>
      <c r="V22" s="76">
        <f>SUMIFS('сентябрь 2025'!$G$2:$G$2497,'сентябрь 2025'!$D$2:$D$2497,$B22,'сентябрь 2025'!$J$2:$J$2497,V$1)</f>
        <v>0</v>
      </c>
      <c r="W22" s="76">
        <f>SUMIFS('сентябрь 2025'!$G$2:$G$2497,'сентябрь 2025'!$D$2:$D$2497,$B22,'сентябрь 2025'!$J$2:$J$2497,W$1)</f>
        <v>0</v>
      </c>
      <c r="X22" s="76">
        <f>SUMIFS('сентябрь 2025'!$G$2:$G$2497,'сентябрь 2025'!$D$2:$D$2497,$B22,'сентябрь 2025'!$J$2:$J$2497,X$1)</f>
        <v>0</v>
      </c>
      <c r="Y22" s="76">
        <f>SUMIFS('сентябрь 2025'!$G$2:$G$2497,'сентябрь 2025'!$D$2:$D$2497,$B22,'сентябрь 2025'!$J$2:$J$2497,Y$1)</f>
        <v>0</v>
      </c>
      <c r="Z22" s="76">
        <f>SUMIFS('сентябрь 2025'!$G$2:$G$2497,'сентябрь 2025'!$D$2:$D$2497,$B22,'сентябрь 2025'!$J$2:$J$2497,Z$1)</f>
        <v>0</v>
      </c>
      <c r="AA22" s="76">
        <f>SUMIFS('сентябрь 2025'!$G$2:$G$2497,'сентябрь 2025'!$D$2:$D$2497,$B22,'сентябрь 2025'!$J$2:$J$2497,AA$1)</f>
        <v>0</v>
      </c>
      <c r="AB22" s="76">
        <f>SUMIFS('сентябрь 2025'!$G$2:$G$2497,'сентябрь 2025'!$D$2:$D$2497,$B22,'сентябрь 2025'!$J$2:$J$2497,AB$1)</f>
        <v>0</v>
      </c>
      <c r="AC22" s="76">
        <f>SUMIFS('сентябрь 2025'!$G$2:$G$2497,'сентябрь 2025'!$D$2:$D$2497,$B22,'сентябрь 2025'!$J$2:$J$2497,AC$1)</f>
        <v>0</v>
      </c>
      <c r="AD22" s="76">
        <f>SUMIFS('сентябрь 2025'!$G$2:$G$2497,'сентябрь 2025'!$D$2:$D$2497,$B22,'сентябрь 2025'!$J$2:$J$2497,AD$1)</f>
        <v>0</v>
      </c>
      <c r="AE22" s="76">
        <f>SUMIFS('сентябрь 2025'!$G$2:$G$2497,'сентябрь 2025'!$D$2:$D$2497,$B22,'сентябрь 2025'!$J$2:$J$2497,AE$1)</f>
        <v>0</v>
      </c>
      <c r="AF22" s="76">
        <f>SUMIFS('сентябрь 2025'!$G$2:$G$2497,'сентябрь 2025'!$D$2:$D$2497,$B22,'сентябрь 2025'!$J$2:$J$2497,AF$1)</f>
        <v>0</v>
      </c>
      <c r="AG22" s="76">
        <f>SUMIFS('сентябрь 2025'!$G$2:$G$2497,'сентябрь 2025'!$D$2:$D$2497,$B22,'сентябрь 2025'!$J$2:$J$2497,AG$1)</f>
        <v>0</v>
      </c>
      <c r="AH22" s="76">
        <f>SUMIFS('сентябрь 2025'!$G$2:$G$2497,'сентябрь 2025'!$D$2:$D$2497,$B22,'сентябрь 2025'!$J$2:$J$2497,AH$1)</f>
        <v>0</v>
      </c>
      <c r="AI22" s="20">
        <f t="shared" si="1"/>
        <v>0</v>
      </c>
    </row>
    <row r="23" spans="2:35" ht="15" customHeight="1" x14ac:dyDescent="0.25">
      <c r="B23" s="77" t="s">
        <v>243</v>
      </c>
      <c r="C23" s="78">
        <v>25</v>
      </c>
      <c r="D23" s="76">
        <f>SUMIFS('сентябрь 2025'!$G$2:$G$2497,'сентябрь 2025'!$D$2:$D$2497,$B23,'сентябрь 2025'!$J$2:$J$2497,D$1)</f>
        <v>0</v>
      </c>
      <c r="E23" s="76">
        <f>SUMIFS('сентябрь 2025'!$G$2:$G$2497,'сентябрь 2025'!$D$2:$D$2497,$B23,'сентябрь 2025'!$J$2:$J$2497,E$1)</f>
        <v>0</v>
      </c>
      <c r="F23" s="76">
        <f>SUMIFS('сентябрь 2025'!$G$2:$G$2497,'сентябрь 2025'!$D$2:$D$2497,$B23,'сентябрь 2025'!$J$2:$J$2497,F$1)</f>
        <v>0</v>
      </c>
      <c r="G23" s="76">
        <f>SUMIFS('сентябрь 2025'!$G$2:$G$2497,'сентябрь 2025'!$D$2:$D$2497,$B23,'сентябрь 2025'!$J$2:$J$2497,G$1)</f>
        <v>0</v>
      </c>
      <c r="H23" s="76">
        <f>SUMIFS('сентябрь 2025'!$G$2:$G$2497,'сентябрь 2025'!$D$2:$D$2497,$B23,'сентябрь 2025'!$J$2:$J$2497,H$1)</f>
        <v>0</v>
      </c>
      <c r="I23" s="76">
        <f>SUMIFS('сентябрь 2025'!$G$2:$G$2497,'сентябрь 2025'!$D$2:$D$2497,$B23,'сентябрь 2025'!$J$2:$J$2497,I$1)</f>
        <v>0</v>
      </c>
      <c r="J23" s="76">
        <f>SUMIFS('сентябрь 2025'!$G$2:$G$2497,'сентябрь 2025'!$D$2:$D$2497,$B23,'сентябрь 2025'!$J$2:$J$2497,J$1)</f>
        <v>0</v>
      </c>
      <c r="K23" s="76">
        <f>SUMIFS('сентябрь 2025'!$G$2:$G$2497,'сентябрь 2025'!$D$2:$D$2497,$B23,'сентябрь 2025'!$J$2:$J$2497,K$1)</f>
        <v>0</v>
      </c>
      <c r="L23" s="76">
        <f>SUMIFS('сентябрь 2025'!$G$2:$G$2497,'сентябрь 2025'!$D$2:$D$2497,$B23,'сентябрь 2025'!$J$2:$J$2497,L$1)</f>
        <v>0</v>
      </c>
      <c r="M23" s="76">
        <f>SUMIFS('сентябрь 2025'!$G$2:$G$2497,'сентябрь 2025'!$D$2:$D$2497,$B23,'сентябрь 2025'!$J$2:$J$2497,M$1)</f>
        <v>0</v>
      </c>
      <c r="N23" s="76">
        <f>SUMIFS('сентябрь 2025'!$G$2:$G$2497,'сентябрь 2025'!$D$2:$D$2497,$B23,'сентябрь 2025'!$J$2:$J$2497,N$1)</f>
        <v>0</v>
      </c>
      <c r="O23" s="76">
        <f>SUMIFS('сентябрь 2025'!$G$2:$G$2497,'сентябрь 2025'!$D$2:$D$2497,$B23,'сентябрь 2025'!$J$2:$J$2497,O$1)</f>
        <v>0</v>
      </c>
      <c r="P23" s="76">
        <f>SUMIFS('сентябрь 2025'!$G$2:$G$2497,'сентябрь 2025'!$D$2:$D$2497,$B23,'сентябрь 2025'!$J$2:$J$2497,P$1)</f>
        <v>0</v>
      </c>
      <c r="Q23" s="76">
        <f>SUMIFS('сентябрь 2025'!$G$2:$G$2497,'сентябрь 2025'!$D$2:$D$2497,$B23,'сентябрь 2025'!$J$2:$J$2497,Q$1)</f>
        <v>0</v>
      </c>
      <c r="R23" s="76">
        <f>SUMIFS('сентябрь 2025'!$G$2:$G$2497,'сентябрь 2025'!$D$2:$D$2497,$B23,'сентябрь 2025'!$J$2:$J$2497,R$1)</f>
        <v>0</v>
      </c>
      <c r="S23" s="76">
        <f>SUMIFS('сентябрь 2025'!$G$2:$G$2497,'сентябрь 2025'!$D$2:$D$2497,$B23,'сентябрь 2025'!$J$2:$J$2497,S$1)</f>
        <v>0</v>
      </c>
      <c r="T23" s="76">
        <f>SUMIFS('сентябрь 2025'!$G$2:$G$2497,'сентябрь 2025'!$D$2:$D$2497,$B23,'сентябрь 2025'!$J$2:$J$2497,T$1)</f>
        <v>0</v>
      </c>
      <c r="U23" s="76">
        <f>SUMIFS('сентябрь 2025'!$G$2:$G$2497,'сентябрь 2025'!$D$2:$D$2497,$B23,'сентябрь 2025'!$J$2:$J$2497,U$1)</f>
        <v>0</v>
      </c>
      <c r="V23" s="76">
        <f>SUMIFS('сентябрь 2025'!$G$2:$G$2497,'сентябрь 2025'!$D$2:$D$2497,$B23,'сентябрь 2025'!$J$2:$J$2497,V$1)</f>
        <v>0</v>
      </c>
      <c r="W23" s="76">
        <f>SUMIFS('сентябрь 2025'!$G$2:$G$2497,'сентябрь 2025'!$D$2:$D$2497,$B23,'сентябрь 2025'!$J$2:$J$2497,W$1)</f>
        <v>0</v>
      </c>
      <c r="X23" s="76">
        <f>SUMIFS('сентябрь 2025'!$G$2:$G$2497,'сентябрь 2025'!$D$2:$D$2497,$B23,'сентябрь 2025'!$J$2:$J$2497,X$1)</f>
        <v>0</v>
      </c>
      <c r="Y23" s="76">
        <f>SUMIFS('сентябрь 2025'!$G$2:$G$2497,'сентябрь 2025'!$D$2:$D$2497,$B23,'сентябрь 2025'!$J$2:$J$2497,Y$1)</f>
        <v>0</v>
      </c>
      <c r="Z23" s="76">
        <f>SUMIFS('сентябрь 2025'!$G$2:$G$2497,'сентябрь 2025'!$D$2:$D$2497,$B23,'сентябрь 2025'!$J$2:$J$2497,Z$1)</f>
        <v>0</v>
      </c>
      <c r="AA23" s="76">
        <f>SUMIFS('сентябрь 2025'!$G$2:$G$2497,'сентябрь 2025'!$D$2:$D$2497,$B23,'сентябрь 2025'!$J$2:$J$2497,AA$1)</f>
        <v>0</v>
      </c>
      <c r="AB23" s="76">
        <f>SUMIFS('сентябрь 2025'!$G$2:$G$2497,'сентябрь 2025'!$D$2:$D$2497,$B23,'сентябрь 2025'!$J$2:$J$2497,AB$1)</f>
        <v>0</v>
      </c>
      <c r="AC23" s="76">
        <f>SUMIFS('сентябрь 2025'!$G$2:$G$2497,'сентябрь 2025'!$D$2:$D$2497,$B23,'сентябрь 2025'!$J$2:$J$2497,AC$1)</f>
        <v>0</v>
      </c>
      <c r="AD23" s="76">
        <f>SUMIFS('сентябрь 2025'!$G$2:$G$2497,'сентябрь 2025'!$D$2:$D$2497,$B23,'сентябрь 2025'!$J$2:$J$2497,AD$1)</f>
        <v>0</v>
      </c>
      <c r="AE23" s="76">
        <f>SUMIFS('сентябрь 2025'!$G$2:$G$2497,'сентябрь 2025'!$D$2:$D$2497,$B23,'сентябрь 2025'!$J$2:$J$2497,AE$1)</f>
        <v>0</v>
      </c>
      <c r="AF23" s="76">
        <f>SUMIFS('сентябрь 2025'!$G$2:$G$2497,'сентябрь 2025'!$D$2:$D$2497,$B23,'сентябрь 2025'!$J$2:$J$2497,AF$1)</f>
        <v>0</v>
      </c>
      <c r="AG23" s="76">
        <f>SUMIFS('сентябрь 2025'!$G$2:$G$2497,'сентябрь 2025'!$D$2:$D$2497,$B23,'сентябрь 2025'!$J$2:$J$2497,AG$1)</f>
        <v>0</v>
      </c>
      <c r="AH23" s="76">
        <f>SUMIFS('сентябрь 2025'!$G$2:$G$2497,'сентябрь 2025'!$D$2:$D$2497,$B23,'сентябрь 2025'!$J$2:$J$2497,AH$1)</f>
        <v>0</v>
      </c>
      <c r="AI23" s="20">
        <f t="shared" si="1"/>
        <v>0</v>
      </c>
    </row>
    <row r="24" spans="2:35" ht="15" customHeight="1" x14ac:dyDescent="0.25">
      <c r="B24" s="77" t="s">
        <v>245</v>
      </c>
      <c r="C24" s="78">
        <v>25</v>
      </c>
      <c r="D24" s="76">
        <f>SUMIFS('сентябрь 2025'!$G$2:$G$2497,'сентябрь 2025'!$D$2:$D$2497,$B24,'сентябрь 2025'!$J$2:$J$2497,D$1)</f>
        <v>0</v>
      </c>
      <c r="E24" s="76">
        <f>SUMIFS('сентябрь 2025'!$G$2:$G$2497,'сентябрь 2025'!$D$2:$D$2497,$B24,'сентябрь 2025'!$J$2:$J$2497,E$1)</f>
        <v>0</v>
      </c>
      <c r="F24" s="76">
        <f>SUMIFS('сентябрь 2025'!$G$2:$G$2497,'сентябрь 2025'!$D$2:$D$2497,$B24,'сентябрь 2025'!$J$2:$J$2497,F$1)</f>
        <v>0</v>
      </c>
      <c r="G24" s="76">
        <f>SUMIFS('сентябрь 2025'!$G$2:$G$2497,'сентябрь 2025'!$D$2:$D$2497,$B24,'сентябрь 2025'!$J$2:$J$2497,G$1)</f>
        <v>0</v>
      </c>
      <c r="H24" s="76">
        <f>SUMIFS('сентябрь 2025'!$G$2:$G$2497,'сентябрь 2025'!$D$2:$D$2497,$B24,'сентябрь 2025'!$J$2:$J$2497,H$1)</f>
        <v>0</v>
      </c>
      <c r="I24" s="76">
        <f>SUMIFS('сентябрь 2025'!$G$2:$G$2497,'сентябрь 2025'!$D$2:$D$2497,$B24,'сентябрь 2025'!$J$2:$J$2497,I$1)</f>
        <v>0</v>
      </c>
      <c r="J24" s="76">
        <f>SUMIFS('сентябрь 2025'!$G$2:$G$2497,'сентябрь 2025'!$D$2:$D$2497,$B24,'сентябрь 2025'!$J$2:$J$2497,J$1)</f>
        <v>0</v>
      </c>
      <c r="K24" s="76">
        <f>SUMIFS('сентябрь 2025'!$G$2:$G$2497,'сентябрь 2025'!$D$2:$D$2497,$B24,'сентябрь 2025'!$J$2:$J$2497,K$1)</f>
        <v>0</v>
      </c>
      <c r="L24" s="76">
        <f>SUMIFS('сентябрь 2025'!$G$2:$G$2497,'сентябрь 2025'!$D$2:$D$2497,$B24,'сентябрь 2025'!$J$2:$J$2497,L$1)</f>
        <v>0</v>
      </c>
      <c r="M24" s="76">
        <f>SUMIFS('сентябрь 2025'!$G$2:$G$2497,'сентябрь 2025'!$D$2:$D$2497,$B24,'сентябрь 2025'!$J$2:$J$2497,M$1)</f>
        <v>0</v>
      </c>
      <c r="N24" s="76">
        <f>SUMIFS('сентябрь 2025'!$G$2:$G$2497,'сентябрь 2025'!$D$2:$D$2497,$B24,'сентябрь 2025'!$J$2:$J$2497,N$1)</f>
        <v>0</v>
      </c>
      <c r="O24" s="76">
        <f>SUMIFS('сентябрь 2025'!$G$2:$G$2497,'сентябрь 2025'!$D$2:$D$2497,$B24,'сентябрь 2025'!$J$2:$J$2497,O$1)</f>
        <v>0</v>
      </c>
      <c r="P24" s="76">
        <f>SUMIFS('сентябрь 2025'!$G$2:$G$2497,'сентябрь 2025'!$D$2:$D$2497,$B24,'сентябрь 2025'!$J$2:$J$2497,P$1)</f>
        <v>0</v>
      </c>
      <c r="Q24" s="76">
        <f>SUMIFS('сентябрь 2025'!$G$2:$G$2497,'сентябрь 2025'!$D$2:$D$2497,$B24,'сентябрь 2025'!$J$2:$J$2497,Q$1)</f>
        <v>0</v>
      </c>
      <c r="R24" s="76">
        <f>SUMIFS('сентябрь 2025'!$G$2:$G$2497,'сентябрь 2025'!$D$2:$D$2497,$B24,'сентябрь 2025'!$J$2:$J$2497,R$1)</f>
        <v>0</v>
      </c>
      <c r="S24" s="76">
        <f>SUMIFS('сентябрь 2025'!$G$2:$G$2497,'сентябрь 2025'!$D$2:$D$2497,$B24,'сентябрь 2025'!$J$2:$J$2497,S$1)</f>
        <v>0</v>
      </c>
      <c r="T24" s="76">
        <f>SUMIFS('сентябрь 2025'!$G$2:$G$2497,'сентябрь 2025'!$D$2:$D$2497,$B24,'сентябрь 2025'!$J$2:$J$2497,T$1)</f>
        <v>0</v>
      </c>
      <c r="U24" s="76">
        <f>SUMIFS('сентябрь 2025'!$G$2:$G$2497,'сентябрь 2025'!$D$2:$D$2497,$B24,'сентябрь 2025'!$J$2:$J$2497,U$1)</f>
        <v>0</v>
      </c>
      <c r="V24" s="76">
        <f>SUMIFS('сентябрь 2025'!$G$2:$G$2497,'сентябрь 2025'!$D$2:$D$2497,$B24,'сентябрь 2025'!$J$2:$J$2497,V$1)</f>
        <v>0</v>
      </c>
      <c r="W24" s="76">
        <f>SUMIFS('сентябрь 2025'!$G$2:$G$2497,'сентябрь 2025'!$D$2:$D$2497,$B24,'сентябрь 2025'!$J$2:$J$2497,W$1)</f>
        <v>0</v>
      </c>
      <c r="X24" s="76">
        <f>SUMIFS('сентябрь 2025'!$G$2:$G$2497,'сентябрь 2025'!$D$2:$D$2497,$B24,'сентябрь 2025'!$J$2:$J$2497,X$1)</f>
        <v>0</v>
      </c>
      <c r="Y24" s="76">
        <f>SUMIFS('сентябрь 2025'!$G$2:$G$2497,'сентябрь 2025'!$D$2:$D$2497,$B24,'сентябрь 2025'!$J$2:$J$2497,Y$1)</f>
        <v>0</v>
      </c>
      <c r="Z24" s="76">
        <f>SUMIFS('сентябрь 2025'!$G$2:$G$2497,'сентябрь 2025'!$D$2:$D$2497,$B24,'сентябрь 2025'!$J$2:$J$2497,Z$1)</f>
        <v>0</v>
      </c>
      <c r="AA24" s="76">
        <f>SUMIFS('сентябрь 2025'!$G$2:$G$2497,'сентябрь 2025'!$D$2:$D$2497,$B24,'сентябрь 2025'!$J$2:$J$2497,AA$1)</f>
        <v>0</v>
      </c>
      <c r="AB24" s="76">
        <f>SUMIFS('сентябрь 2025'!$G$2:$G$2497,'сентябрь 2025'!$D$2:$D$2497,$B24,'сентябрь 2025'!$J$2:$J$2497,AB$1)</f>
        <v>0</v>
      </c>
      <c r="AC24" s="76">
        <f>SUMIFS('сентябрь 2025'!$G$2:$G$2497,'сентябрь 2025'!$D$2:$D$2497,$B24,'сентябрь 2025'!$J$2:$J$2497,AC$1)</f>
        <v>0</v>
      </c>
      <c r="AD24" s="76">
        <f>SUMIFS('сентябрь 2025'!$G$2:$G$2497,'сентябрь 2025'!$D$2:$D$2497,$B24,'сентябрь 2025'!$J$2:$J$2497,AD$1)</f>
        <v>0</v>
      </c>
      <c r="AE24" s="76">
        <f>SUMIFS('сентябрь 2025'!$G$2:$G$2497,'сентябрь 2025'!$D$2:$D$2497,$B24,'сентябрь 2025'!$J$2:$J$2497,AE$1)</f>
        <v>0</v>
      </c>
      <c r="AF24" s="76">
        <f>SUMIFS('сентябрь 2025'!$G$2:$G$2497,'сентябрь 2025'!$D$2:$D$2497,$B24,'сентябрь 2025'!$J$2:$J$2497,AF$1)</f>
        <v>0</v>
      </c>
      <c r="AG24" s="76">
        <f>SUMIFS('сентябрь 2025'!$G$2:$G$2497,'сентябрь 2025'!$D$2:$D$2497,$B24,'сентябрь 2025'!$J$2:$J$2497,AG$1)</f>
        <v>0</v>
      </c>
      <c r="AH24" s="76">
        <f>SUMIFS('сентябрь 2025'!$G$2:$G$2497,'сентябрь 2025'!$D$2:$D$2497,$B24,'сентябрь 2025'!$J$2:$J$2497,AH$1)</f>
        <v>0</v>
      </c>
      <c r="AI24" s="20">
        <f t="shared" si="1"/>
        <v>0</v>
      </c>
    </row>
    <row r="25" spans="2:35" ht="15" customHeight="1" x14ac:dyDescent="0.25">
      <c r="B25" s="80" t="s">
        <v>247</v>
      </c>
      <c r="C25" s="96">
        <v>25</v>
      </c>
      <c r="D25" s="76">
        <f>SUMIFS('сентябрь 2025'!$G$2:$G$2497,'сентябрь 2025'!$D$2:$D$2497,$B25,'сентябрь 2025'!$J$2:$J$2497,D$1)</f>
        <v>0</v>
      </c>
      <c r="E25" s="76">
        <f>SUMIFS('сентябрь 2025'!$G$2:$G$2497,'сентябрь 2025'!$D$2:$D$2497,$B25,'сентябрь 2025'!$J$2:$J$2497,E$1)</f>
        <v>0</v>
      </c>
      <c r="F25" s="76">
        <f>SUMIFS('сентябрь 2025'!$G$2:$G$2497,'сентябрь 2025'!$D$2:$D$2497,$B25,'сентябрь 2025'!$J$2:$J$2497,F$1)</f>
        <v>0</v>
      </c>
      <c r="G25" s="76">
        <f>SUMIFS('сентябрь 2025'!$G$2:$G$2497,'сентябрь 2025'!$D$2:$D$2497,$B25,'сентябрь 2025'!$J$2:$J$2497,G$1)</f>
        <v>0</v>
      </c>
      <c r="H25" s="76">
        <f>SUMIFS('сентябрь 2025'!$G$2:$G$2497,'сентябрь 2025'!$D$2:$D$2497,$B25,'сентябрь 2025'!$J$2:$J$2497,H$1)</f>
        <v>0</v>
      </c>
      <c r="I25" s="76">
        <f>SUMIFS('сентябрь 2025'!$G$2:$G$2497,'сентябрь 2025'!$D$2:$D$2497,$B25,'сентябрь 2025'!$J$2:$J$2497,I$1)</f>
        <v>0</v>
      </c>
      <c r="J25" s="76">
        <f>SUMIFS('сентябрь 2025'!$G$2:$G$2497,'сентябрь 2025'!$D$2:$D$2497,$B25,'сентябрь 2025'!$J$2:$J$2497,J$1)</f>
        <v>0</v>
      </c>
      <c r="K25" s="76">
        <f>SUMIFS('сентябрь 2025'!$G$2:$G$2497,'сентябрь 2025'!$D$2:$D$2497,$B25,'сентябрь 2025'!$J$2:$J$2497,K$1)</f>
        <v>0</v>
      </c>
      <c r="L25" s="76">
        <f>SUMIFS('сентябрь 2025'!$G$2:$G$2497,'сентябрь 2025'!$D$2:$D$2497,$B25,'сентябрь 2025'!$J$2:$J$2497,L$1)</f>
        <v>0</v>
      </c>
      <c r="M25" s="76">
        <f>SUMIFS('сентябрь 2025'!$G$2:$G$2497,'сентябрь 2025'!$D$2:$D$2497,$B25,'сентябрь 2025'!$J$2:$J$2497,M$1)</f>
        <v>0</v>
      </c>
      <c r="N25" s="76">
        <f>SUMIFS('сентябрь 2025'!$G$2:$G$2497,'сентябрь 2025'!$D$2:$D$2497,$B25,'сентябрь 2025'!$J$2:$J$2497,N$1)</f>
        <v>0</v>
      </c>
      <c r="O25" s="76">
        <f>SUMIFS('сентябрь 2025'!$G$2:$G$2497,'сентябрь 2025'!$D$2:$D$2497,$B25,'сентябрь 2025'!$J$2:$J$2497,O$1)</f>
        <v>0</v>
      </c>
      <c r="P25" s="76">
        <f>SUMIFS('сентябрь 2025'!$G$2:$G$2497,'сентябрь 2025'!$D$2:$D$2497,$B25,'сентябрь 2025'!$J$2:$J$2497,P$1)</f>
        <v>0</v>
      </c>
      <c r="Q25" s="76">
        <f>SUMIFS('сентябрь 2025'!$G$2:$G$2497,'сентябрь 2025'!$D$2:$D$2497,$B25,'сентябрь 2025'!$J$2:$J$2497,Q$1)</f>
        <v>0</v>
      </c>
      <c r="R25" s="76">
        <f>SUMIFS('сентябрь 2025'!$G$2:$G$2497,'сентябрь 2025'!$D$2:$D$2497,$B25,'сентябрь 2025'!$J$2:$J$2497,R$1)</f>
        <v>0</v>
      </c>
      <c r="S25" s="76">
        <f>SUMIFS('сентябрь 2025'!$G$2:$G$2497,'сентябрь 2025'!$D$2:$D$2497,$B25,'сентябрь 2025'!$J$2:$J$2497,S$1)</f>
        <v>0</v>
      </c>
      <c r="T25" s="76">
        <f>SUMIFS('сентябрь 2025'!$G$2:$G$2497,'сентябрь 2025'!$D$2:$D$2497,$B25,'сентябрь 2025'!$J$2:$J$2497,T$1)</f>
        <v>0</v>
      </c>
      <c r="U25" s="76">
        <f>SUMIFS('сентябрь 2025'!$G$2:$G$2497,'сентябрь 2025'!$D$2:$D$2497,$B25,'сентябрь 2025'!$J$2:$J$2497,U$1)</f>
        <v>0</v>
      </c>
      <c r="V25" s="76">
        <f>SUMIFS('сентябрь 2025'!$G$2:$G$2497,'сентябрь 2025'!$D$2:$D$2497,$B25,'сентябрь 2025'!$J$2:$J$2497,V$1)</f>
        <v>0</v>
      </c>
      <c r="W25" s="76">
        <f>SUMIFS('сентябрь 2025'!$G$2:$G$2497,'сентябрь 2025'!$D$2:$D$2497,$B25,'сентябрь 2025'!$J$2:$J$2497,W$1)</f>
        <v>0</v>
      </c>
      <c r="X25" s="76">
        <f>SUMIFS('сентябрь 2025'!$G$2:$G$2497,'сентябрь 2025'!$D$2:$D$2497,$B25,'сентябрь 2025'!$J$2:$J$2497,X$1)</f>
        <v>0</v>
      </c>
      <c r="Y25" s="76">
        <f>SUMIFS('сентябрь 2025'!$G$2:$G$2497,'сентябрь 2025'!$D$2:$D$2497,$B25,'сентябрь 2025'!$J$2:$J$2497,Y$1)</f>
        <v>0</v>
      </c>
      <c r="Z25" s="76">
        <f>SUMIFS('сентябрь 2025'!$G$2:$G$2497,'сентябрь 2025'!$D$2:$D$2497,$B25,'сентябрь 2025'!$J$2:$J$2497,Z$1)</f>
        <v>0</v>
      </c>
      <c r="AA25" s="76">
        <f>SUMIFS('сентябрь 2025'!$G$2:$G$2497,'сентябрь 2025'!$D$2:$D$2497,$B25,'сентябрь 2025'!$J$2:$J$2497,AA$1)</f>
        <v>0</v>
      </c>
      <c r="AB25" s="76">
        <f>SUMIFS('сентябрь 2025'!$G$2:$G$2497,'сентябрь 2025'!$D$2:$D$2497,$B25,'сентябрь 2025'!$J$2:$J$2497,AB$1)</f>
        <v>0</v>
      </c>
      <c r="AC25" s="76">
        <f>SUMIFS('сентябрь 2025'!$G$2:$G$2497,'сентябрь 2025'!$D$2:$D$2497,$B25,'сентябрь 2025'!$J$2:$J$2497,AC$1)</f>
        <v>0</v>
      </c>
      <c r="AD25" s="76">
        <f>SUMIFS('сентябрь 2025'!$G$2:$G$2497,'сентябрь 2025'!$D$2:$D$2497,$B25,'сентябрь 2025'!$J$2:$J$2497,AD$1)</f>
        <v>0</v>
      </c>
      <c r="AE25" s="76">
        <f>SUMIFS('сентябрь 2025'!$G$2:$G$2497,'сентябрь 2025'!$D$2:$D$2497,$B25,'сентябрь 2025'!$J$2:$J$2497,AE$1)</f>
        <v>0</v>
      </c>
      <c r="AF25" s="76">
        <f>SUMIFS('сентябрь 2025'!$G$2:$G$2497,'сентябрь 2025'!$D$2:$D$2497,$B25,'сентябрь 2025'!$J$2:$J$2497,AF$1)</f>
        <v>0</v>
      </c>
      <c r="AG25" s="76">
        <f>SUMIFS('сентябрь 2025'!$G$2:$G$2497,'сентябрь 2025'!$D$2:$D$2497,$B25,'сентябрь 2025'!$J$2:$J$2497,AG$1)</f>
        <v>0</v>
      </c>
      <c r="AH25" s="76">
        <f>SUMIFS('сентябрь 2025'!$G$2:$G$2497,'сентябрь 2025'!$D$2:$D$2497,$B25,'сентябрь 2025'!$J$2:$J$2497,AH$1)</f>
        <v>0</v>
      </c>
      <c r="AI25" s="20">
        <f t="shared" si="1"/>
        <v>0</v>
      </c>
    </row>
    <row r="26" spans="2:35" ht="15" customHeight="1" x14ac:dyDescent="0.25">
      <c r="B26" s="80" t="s">
        <v>248</v>
      </c>
      <c r="C26" s="78">
        <v>25</v>
      </c>
      <c r="D26" s="76">
        <f>SUMIFS('сентябрь 2025'!$G$2:$G$2497,'сентябрь 2025'!$D$2:$D$2497,$B26,'сентябрь 2025'!$J$2:$J$2497,D$1)</f>
        <v>0</v>
      </c>
      <c r="E26" s="76">
        <f>SUMIFS('сентябрь 2025'!$G$2:$G$2497,'сентябрь 2025'!$D$2:$D$2497,$B26,'сентябрь 2025'!$J$2:$J$2497,E$1)</f>
        <v>0</v>
      </c>
      <c r="F26" s="76">
        <f>SUMIFS('сентябрь 2025'!$G$2:$G$2497,'сентябрь 2025'!$D$2:$D$2497,$B26,'сентябрь 2025'!$J$2:$J$2497,F$1)</f>
        <v>0</v>
      </c>
      <c r="G26" s="76">
        <f>SUMIFS('сентябрь 2025'!$G$2:$G$2497,'сентябрь 2025'!$D$2:$D$2497,$B26,'сентябрь 2025'!$J$2:$J$2497,G$1)</f>
        <v>0</v>
      </c>
      <c r="H26" s="76">
        <f>SUMIFS('сентябрь 2025'!$G$2:$G$2497,'сентябрь 2025'!$D$2:$D$2497,$B26,'сентябрь 2025'!$J$2:$J$2497,H$1)</f>
        <v>0</v>
      </c>
      <c r="I26" s="76">
        <f>SUMIFS('сентябрь 2025'!$G$2:$G$2497,'сентябрь 2025'!$D$2:$D$2497,$B26,'сентябрь 2025'!$J$2:$J$2497,I$1)</f>
        <v>0</v>
      </c>
      <c r="J26" s="76">
        <f>SUMIFS('сентябрь 2025'!$G$2:$G$2497,'сентябрь 2025'!$D$2:$D$2497,$B26,'сентябрь 2025'!$J$2:$J$2497,J$1)</f>
        <v>0</v>
      </c>
      <c r="K26" s="76">
        <f>SUMIFS('сентябрь 2025'!$G$2:$G$2497,'сентябрь 2025'!$D$2:$D$2497,$B26,'сентябрь 2025'!$J$2:$J$2497,K$1)</f>
        <v>0</v>
      </c>
      <c r="L26" s="76">
        <f>SUMIFS('сентябрь 2025'!$G$2:$G$2497,'сентябрь 2025'!$D$2:$D$2497,$B26,'сентябрь 2025'!$J$2:$J$2497,L$1)</f>
        <v>0</v>
      </c>
      <c r="M26" s="76">
        <f>SUMIFS('сентябрь 2025'!$G$2:$G$2497,'сентябрь 2025'!$D$2:$D$2497,$B26,'сентябрь 2025'!$J$2:$J$2497,M$1)</f>
        <v>0</v>
      </c>
      <c r="N26" s="76">
        <f>SUMIFS('сентябрь 2025'!$G$2:$G$2497,'сентябрь 2025'!$D$2:$D$2497,$B26,'сентябрь 2025'!$J$2:$J$2497,N$1)</f>
        <v>0</v>
      </c>
      <c r="O26" s="76">
        <f>SUMIFS('сентябрь 2025'!$G$2:$G$2497,'сентябрь 2025'!$D$2:$D$2497,$B26,'сентябрь 2025'!$J$2:$J$2497,O$1)</f>
        <v>0</v>
      </c>
      <c r="P26" s="76">
        <f>SUMIFS('сентябрь 2025'!$G$2:$G$2497,'сентябрь 2025'!$D$2:$D$2497,$B26,'сентябрь 2025'!$J$2:$J$2497,P$1)</f>
        <v>0</v>
      </c>
      <c r="Q26" s="76">
        <f>SUMIFS('сентябрь 2025'!$G$2:$G$2497,'сентябрь 2025'!$D$2:$D$2497,$B26,'сентябрь 2025'!$J$2:$J$2497,Q$1)</f>
        <v>0</v>
      </c>
      <c r="R26" s="76">
        <f>SUMIFS('сентябрь 2025'!$G$2:$G$2497,'сентябрь 2025'!$D$2:$D$2497,$B26,'сентябрь 2025'!$J$2:$J$2497,R$1)</f>
        <v>0</v>
      </c>
      <c r="S26" s="76">
        <f>SUMIFS('сентябрь 2025'!$G$2:$G$2497,'сентябрь 2025'!$D$2:$D$2497,$B26,'сентябрь 2025'!$J$2:$J$2497,S$1)</f>
        <v>0</v>
      </c>
      <c r="T26" s="76">
        <f>SUMIFS('сентябрь 2025'!$G$2:$G$2497,'сентябрь 2025'!$D$2:$D$2497,$B26,'сентябрь 2025'!$J$2:$J$2497,T$1)</f>
        <v>0</v>
      </c>
      <c r="U26" s="76">
        <f>SUMIFS('сентябрь 2025'!$G$2:$G$2497,'сентябрь 2025'!$D$2:$D$2497,$B26,'сентябрь 2025'!$J$2:$J$2497,U$1)</f>
        <v>0</v>
      </c>
      <c r="V26" s="76">
        <f>SUMIFS('сентябрь 2025'!$G$2:$G$2497,'сентябрь 2025'!$D$2:$D$2497,$B26,'сентябрь 2025'!$J$2:$J$2497,V$1)</f>
        <v>0</v>
      </c>
      <c r="W26" s="76">
        <f>SUMIFS('сентябрь 2025'!$G$2:$G$2497,'сентябрь 2025'!$D$2:$D$2497,$B26,'сентябрь 2025'!$J$2:$J$2497,W$1)</f>
        <v>0</v>
      </c>
      <c r="X26" s="76">
        <f>SUMIFS('сентябрь 2025'!$G$2:$G$2497,'сентябрь 2025'!$D$2:$D$2497,$B26,'сентябрь 2025'!$J$2:$J$2497,X$1)</f>
        <v>0</v>
      </c>
      <c r="Y26" s="76">
        <f>SUMIFS('сентябрь 2025'!$G$2:$G$2497,'сентябрь 2025'!$D$2:$D$2497,$B26,'сентябрь 2025'!$J$2:$J$2497,Y$1)</f>
        <v>0</v>
      </c>
      <c r="Z26" s="76">
        <f>SUMIFS('сентябрь 2025'!$G$2:$G$2497,'сентябрь 2025'!$D$2:$D$2497,$B26,'сентябрь 2025'!$J$2:$J$2497,Z$1)</f>
        <v>0</v>
      </c>
      <c r="AA26" s="76">
        <f>SUMIFS('сентябрь 2025'!$G$2:$G$2497,'сентябрь 2025'!$D$2:$D$2497,$B26,'сентябрь 2025'!$J$2:$J$2497,AA$1)</f>
        <v>0</v>
      </c>
      <c r="AB26" s="76">
        <f>SUMIFS('сентябрь 2025'!$G$2:$G$2497,'сентябрь 2025'!$D$2:$D$2497,$B26,'сентябрь 2025'!$J$2:$J$2497,AB$1)</f>
        <v>0</v>
      </c>
      <c r="AC26" s="76">
        <f>SUMIFS('сентябрь 2025'!$G$2:$G$2497,'сентябрь 2025'!$D$2:$D$2497,$B26,'сентябрь 2025'!$J$2:$J$2497,AC$1)</f>
        <v>0</v>
      </c>
      <c r="AD26" s="76">
        <f>SUMIFS('сентябрь 2025'!$G$2:$G$2497,'сентябрь 2025'!$D$2:$D$2497,$B26,'сентябрь 2025'!$J$2:$J$2497,AD$1)</f>
        <v>0</v>
      </c>
      <c r="AE26" s="76">
        <f>SUMIFS('сентябрь 2025'!$G$2:$G$2497,'сентябрь 2025'!$D$2:$D$2497,$B26,'сентябрь 2025'!$J$2:$J$2497,AE$1)</f>
        <v>0</v>
      </c>
      <c r="AF26" s="76">
        <f>SUMIFS('сентябрь 2025'!$G$2:$G$2497,'сентябрь 2025'!$D$2:$D$2497,$B26,'сентябрь 2025'!$J$2:$J$2497,AF$1)</f>
        <v>0</v>
      </c>
      <c r="AG26" s="76">
        <f>SUMIFS('сентябрь 2025'!$G$2:$G$2497,'сентябрь 2025'!$D$2:$D$2497,$B26,'сентябрь 2025'!$J$2:$J$2497,AG$1)</f>
        <v>0</v>
      </c>
      <c r="AH26" s="76">
        <f>SUMIFS('сентябрь 2025'!$G$2:$G$2497,'сентябрь 2025'!$D$2:$D$2497,$B26,'сентябрь 2025'!$J$2:$J$2497,AH$1)</f>
        <v>0</v>
      </c>
      <c r="AI26" s="20">
        <f t="shared" si="1"/>
        <v>0</v>
      </c>
    </row>
    <row r="27" spans="2:35" ht="15" customHeight="1" x14ac:dyDescent="0.25">
      <c r="B27" s="80" t="s">
        <v>249</v>
      </c>
      <c r="C27" s="78">
        <v>25</v>
      </c>
      <c r="D27" s="76">
        <f>SUMIFS('сентябрь 2025'!$G$2:$G$2497,'сентябрь 2025'!$D$2:$D$2497,$B27,'сентябрь 2025'!$J$2:$J$2497,D$1)</f>
        <v>0</v>
      </c>
      <c r="E27" s="76">
        <f>SUMIFS('сентябрь 2025'!$G$2:$G$2497,'сентябрь 2025'!$D$2:$D$2497,$B27,'сентябрь 2025'!$J$2:$J$2497,E$1)</f>
        <v>0</v>
      </c>
      <c r="F27" s="76">
        <f>SUMIFS('сентябрь 2025'!$G$2:$G$2497,'сентябрь 2025'!$D$2:$D$2497,$B27,'сентябрь 2025'!$J$2:$J$2497,F$1)</f>
        <v>0</v>
      </c>
      <c r="G27" s="76">
        <f>SUMIFS('сентябрь 2025'!$G$2:$G$2497,'сентябрь 2025'!$D$2:$D$2497,$B27,'сентябрь 2025'!$J$2:$J$2497,G$1)</f>
        <v>0</v>
      </c>
      <c r="H27" s="76">
        <f>SUMIFS('сентябрь 2025'!$G$2:$G$2497,'сентябрь 2025'!$D$2:$D$2497,$B27,'сентябрь 2025'!$J$2:$J$2497,H$1)</f>
        <v>0</v>
      </c>
      <c r="I27" s="76">
        <f>SUMIFS('сентябрь 2025'!$G$2:$G$2497,'сентябрь 2025'!$D$2:$D$2497,$B27,'сентябрь 2025'!$J$2:$J$2497,I$1)</f>
        <v>0</v>
      </c>
      <c r="J27" s="76">
        <f>SUMIFS('сентябрь 2025'!$G$2:$G$2497,'сентябрь 2025'!$D$2:$D$2497,$B27,'сентябрь 2025'!$J$2:$J$2497,J$1)</f>
        <v>0</v>
      </c>
      <c r="K27" s="76">
        <f>SUMIFS('сентябрь 2025'!$G$2:$G$2497,'сентябрь 2025'!$D$2:$D$2497,$B27,'сентябрь 2025'!$J$2:$J$2497,K$1)</f>
        <v>0</v>
      </c>
      <c r="L27" s="76">
        <f>SUMIFS('сентябрь 2025'!$G$2:$G$2497,'сентябрь 2025'!$D$2:$D$2497,$B27,'сентябрь 2025'!$J$2:$J$2497,L$1)</f>
        <v>0</v>
      </c>
      <c r="M27" s="76">
        <f>SUMIFS('сентябрь 2025'!$G$2:$G$2497,'сентябрь 2025'!$D$2:$D$2497,$B27,'сентябрь 2025'!$J$2:$J$2497,M$1)</f>
        <v>0</v>
      </c>
      <c r="N27" s="76">
        <f>SUMIFS('сентябрь 2025'!$G$2:$G$2497,'сентябрь 2025'!$D$2:$D$2497,$B27,'сентябрь 2025'!$J$2:$J$2497,N$1)</f>
        <v>0</v>
      </c>
      <c r="O27" s="76">
        <f>SUMIFS('сентябрь 2025'!$G$2:$G$2497,'сентябрь 2025'!$D$2:$D$2497,$B27,'сентябрь 2025'!$J$2:$J$2497,O$1)</f>
        <v>0</v>
      </c>
      <c r="P27" s="76">
        <f>SUMIFS('сентябрь 2025'!$G$2:$G$2497,'сентябрь 2025'!$D$2:$D$2497,$B27,'сентябрь 2025'!$J$2:$J$2497,P$1)</f>
        <v>0</v>
      </c>
      <c r="Q27" s="76">
        <f>SUMIFS('сентябрь 2025'!$G$2:$G$2497,'сентябрь 2025'!$D$2:$D$2497,$B27,'сентябрь 2025'!$J$2:$J$2497,Q$1)</f>
        <v>0</v>
      </c>
      <c r="R27" s="76">
        <f>SUMIFS('сентябрь 2025'!$G$2:$G$2497,'сентябрь 2025'!$D$2:$D$2497,$B27,'сентябрь 2025'!$J$2:$J$2497,R$1)</f>
        <v>0</v>
      </c>
      <c r="S27" s="76">
        <f>SUMIFS('сентябрь 2025'!$G$2:$G$2497,'сентябрь 2025'!$D$2:$D$2497,$B27,'сентябрь 2025'!$J$2:$J$2497,S$1)</f>
        <v>0</v>
      </c>
      <c r="T27" s="76">
        <f>SUMIFS('сентябрь 2025'!$G$2:$G$2497,'сентябрь 2025'!$D$2:$D$2497,$B27,'сентябрь 2025'!$J$2:$J$2497,T$1)</f>
        <v>0</v>
      </c>
      <c r="U27" s="76">
        <f>SUMIFS('сентябрь 2025'!$G$2:$G$2497,'сентябрь 2025'!$D$2:$D$2497,$B27,'сентябрь 2025'!$J$2:$J$2497,U$1)</f>
        <v>0</v>
      </c>
      <c r="V27" s="76">
        <f>SUMIFS('сентябрь 2025'!$G$2:$G$2497,'сентябрь 2025'!$D$2:$D$2497,$B27,'сентябрь 2025'!$J$2:$J$2497,V$1)</f>
        <v>0</v>
      </c>
      <c r="W27" s="76">
        <f>SUMIFS('сентябрь 2025'!$G$2:$G$2497,'сентябрь 2025'!$D$2:$D$2497,$B27,'сентябрь 2025'!$J$2:$J$2497,W$1)</f>
        <v>0</v>
      </c>
      <c r="X27" s="76">
        <f>SUMIFS('сентябрь 2025'!$G$2:$G$2497,'сентябрь 2025'!$D$2:$D$2497,$B27,'сентябрь 2025'!$J$2:$J$2497,X$1)</f>
        <v>0</v>
      </c>
      <c r="Y27" s="76">
        <f>SUMIFS('сентябрь 2025'!$G$2:$G$2497,'сентябрь 2025'!$D$2:$D$2497,$B27,'сентябрь 2025'!$J$2:$J$2497,Y$1)</f>
        <v>0</v>
      </c>
      <c r="Z27" s="76">
        <f>SUMIFS('сентябрь 2025'!$G$2:$G$2497,'сентябрь 2025'!$D$2:$D$2497,$B27,'сентябрь 2025'!$J$2:$J$2497,Z$1)</f>
        <v>0</v>
      </c>
      <c r="AA27" s="76">
        <f>SUMIFS('сентябрь 2025'!$G$2:$G$2497,'сентябрь 2025'!$D$2:$D$2497,$B27,'сентябрь 2025'!$J$2:$J$2497,AA$1)</f>
        <v>0</v>
      </c>
      <c r="AB27" s="76">
        <f>SUMIFS('сентябрь 2025'!$G$2:$G$2497,'сентябрь 2025'!$D$2:$D$2497,$B27,'сентябрь 2025'!$J$2:$J$2497,AB$1)</f>
        <v>0</v>
      </c>
      <c r="AC27" s="76">
        <f>SUMIFS('сентябрь 2025'!$G$2:$G$2497,'сентябрь 2025'!$D$2:$D$2497,$B27,'сентябрь 2025'!$J$2:$J$2497,AC$1)</f>
        <v>0</v>
      </c>
      <c r="AD27" s="76">
        <f>SUMIFS('сентябрь 2025'!$G$2:$G$2497,'сентябрь 2025'!$D$2:$D$2497,$B27,'сентябрь 2025'!$J$2:$J$2497,AD$1)</f>
        <v>0</v>
      </c>
      <c r="AE27" s="76">
        <f>SUMIFS('сентябрь 2025'!$G$2:$G$2497,'сентябрь 2025'!$D$2:$D$2497,$B27,'сентябрь 2025'!$J$2:$J$2497,AE$1)</f>
        <v>0</v>
      </c>
      <c r="AF27" s="76">
        <f>SUMIFS('сентябрь 2025'!$G$2:$G$2497,'сентябрь 2025'!$D$2:$D$2497,$B27,'сентябрь 2025'!$J$2:$J$2497,AF$1)</f>
        <v>0</v>
      </c>
      <c r="AG27" s="76">
        <f>SUMIFS('сентябрь 2025'!$G$2:$G$2497,'сентябрь 2025'!$D$2:$D$2497,$B27,'сентябрь 2025'!$J$2:$J$2497,AG$1)</f>
        <v>0</v>
      </c>
      <c r="AH27" s="76">
        <f>SUMIFS('сентябрь 2025'!$G$2:$G$2497,'сентябрь 2025'!$D$2:$D$2497,$B27,'сентябрь 2025'!$J$2:$J$2497,AH$1)</f>
        <v>0</v>
      </c>
      <c r="AI27" s="20">
        <f t="shared" si="1"/>
        <v>0</v>
      </c>
    </row>
    <row r="28" spans="2:35" ht="15" customHeight="1" x14ac:dyDescent="0.25">
      <c r="B28" s="80" t="s">
        <v>250</v>
      </c>
      <c r="C28" s="78">
        <v>25</v>
      </c>
      <c r="D28" s="76">
        <f>SUMIFS('сентябрь 2025'!$G$2:$G$2497,'сентябрь 2025'!$D$2:$D$2497,$B28,'сентябрь 2025'!$J$2:$J$2497,D$1)</f>
        <v>0</v>
      </c>
      <c r="E28" s="76">
        <f>SUMIFS('сентябрь 2025'!$G$2:$G$2497,'сентябрь 2025'!$D$2:$D$2497,$B28,'сентябрь 2025'!$J$2:$J$2497,E$1)</f>
        <v>0</v>
      </c>
      <c r="F28" s="76">
        <f>SUMIFS('сентябрь 2025'!$G$2:$G$2497,'сентябрь 2025'!$D$2:$D$2497,$B28,'сентябрь 2025'!$J$2:$J$2497,F$1)</f>
        <v>0</v>
      </c>
      <c r="G28" s="76">
        <f>SUMIFS('сентябрь 2025'!$G$2:$G$2497,'сентябрь 2025'!$D$2:$D$2497,$B28,'сентябрь 2025'!$J$2:$J$2497,G$1)</f>
        <v>0</v>
      </c>
      <c r="H28" s="76">
        <f>SUMIFS('сентябрь 2025'!$G$2:$G$2497,'сентябрь 2025'!$D$2:$D$2497,$B28,'сентябрь 2025'!$J$2:$J$2497,H$1)</f>
        <v>0</v>
      </c>
      <c r="I28" s="76">
        <f>SUMIFS('сентябрь 2025'!$G$2:$G$2497,'сентябрь 2025'!$D$2:$D$2497,$B28,'сентябрь 2025'!$J$2:$J$2497,I$1)</f>
        <v>0</v>
      </c>
      <c r="J28" s="76">
        <f>SUMIFS('сентябрь 2025'!$G$2:$G$2497,'сентябрь 2025'!$D$2:$D$2497,$B28,'сентябрь 2025'!$J$2:$J$2497,J$1)</f>
        <v>0</v>
      </c>
      <c r="K28" s="76">
        <f>SUMIFS('сентябрь 2025'!$G$2:$G$2497,'сентябрь 2025'!$D$2:$D$2497,$B28,'сентябрь 2025'!$J$2:$J$2497,K$1)</f>
        <v>0</v>
      </c>
      <c r="L28" s="76">
        <f>SUMIFS('сентябрь 2025'!$G$2:$G$2497,'сентябрь 2025'!$D$2:$D$2497,$B28,'сентябрь 2025'!$J$2:$J$2497,L$1)</f>
        <v>0</v>
      </c>
      <c r="M28" s="76">
        <f>SUMIFS('сентябрь 2025'!$G$2:$G$2497,'сентябрь 2025'!$D$2:$D$2497,$B28,'сентябрь 2025'!$J$2:$J$2497,M$1)</f>
        <v>0</v>
      </c>
      <c r="N28" s="76">
        <f>SUMIFS('сентябрь 2025'!$G$2:$G$2497,'сентябрь 2025'!$D$2:$D$2497,$B28,'сентябрь 2025'!$J$2:$J$2497,N$1)</f>
        <v>0</v>
      </c>
      <c r="O28" s="76">
        <f>SUMIFS('сентябрь 2025'!$G$2:$G$2497,'сентябрь 2025'!$D$2:$D$2497,$B28,'сентябрь 2025'!$J$2:$J$2497,O$1)</f>
        <v>0</v>
      </c>
      <c r="P28" s="76">
        <f>SUMIFS('сентябрь 2025'!$G$2:$G$2497,'сентябрь 2025'!$D$2:$D$2497,$B28,'сентябрь 2025'!$J$2:$J$2497,P$1)</f>
        <v>0</v>
      </c>
      <c r="Q28" s="76">
        <f>SUMIFS('сентябрь 2025'!$G$2:$G$2497,'сентябрь 2025'!$D$2:$D$2497,$B28,'сентябрь 2025'!$J$2:$J$2497,Q$1)</f>
        <v>0</v>
      </c>
      <c r="R28" s="76">
        <f>SUMIFS('сентябрь 2025'!$G$2:$G$2497,'сентябрь 2025'!$D$2:$D$2497,$B28,'сентябрь 2025'!$J$2:$J$2497,R$1)</f>
        <v>0</v>
      </c>
      <c r="S28" s="76">
        <f>SUMIFS('сентябрь 2025'!$G$2:$G$2497,'сентябрь 2025'!$D$2:$D$2497,$B28,'сентябрь 2025'!$J$2:$J$2497,S$1)</f>
        <v>0</v>
      </c>
      <c r="T28" s="76">
        <f>SUMIFS('сентябрь 2025'!$G$2:$G$2497,'сентябрь 2025'!$D$2:$D$2497,$B28,'сентябрь 2025'!$J$2:$J$2497,T$1)</f>
        <v>0</v>
      </c>
      <c r="U28" s="76">
        <f>SUMIFS('сентябрь 2025'!$G$2:$G$2497,'сентябрь 2025'!$D$2:$D$2497,$B28,'сентябрь 2025'!$J$2:$J$2497,U$1)</f>
        <v>0</v>
      </c>
      <c r="V28" s="76">
        <f>SUMIFS('сентябрь 2025'!$G$2:$G$2497,'сентябрь 2025'!$D$2:$D$2497,$B28,'сентябрь 2025'!$J$2:$J$2497,V$1)</f>
        <v>0</v>
      </c>
      <c r="W28" s="76">
        <f>SUMIFS('сентябрь 2025'!$G$2:$G$2497,'сентябрь 2025'!$D$2:$D$2497,$B28,'сентябрь 2025'!$J$2:$J$2497,W$1)</f>
        <v>0</v>
      </c>
      <c r="X28" s="76">
        <f>SUMIFS('сентябрь 2025'!$G$2:$G$2497,'сентябрь 2025'!$D$2:$D$2497,$B28,'сентябрь 2025'!$J$2:$J$2497,X$1)</f>
        <v>0</v>
      </c>
      <c r="Y28" s="76">
        <f>SUMIFS('сентябрь 2025'!$G$2:$G$2497,'сентябрь 2025'!$D$2:$D$2497,$B28,'сентябрь 2025'!$J$2:$J$2497,Y$1)</f>
        <v>0</v>
      </c>
      <c r="Z28" s="76">
        <f>SUMIFS('сентябрь 2025'!$G$2:$G$2497,'сентябрь 2025'!$D$2:$D$2497,$B28,'сентябрь 2025'!$J$2:$J$2497,Z$1)</f>
        <v>0</v>
      </c>
      <c r="AA28" s="76">
        <f>SUMIFS('сентябрь 2025'!$G$2:$G$2497,'сентябрь 2025'!$D$2:$D$2497,$B28,'сентябрь 2025'!$J$2:$J$2497,AA$1)</f>
        <v>0</v>
      </c>
      <c r="AB28" s="76">
        <f>SUMIFS('сентябрь 2025'!$G$2:$G$2497,'сентябрь 2025'!$D$2:$D$2497,$B28,'сентябрь 2025'!$J$2:$J$2497,AB$1)</f>
        <v>0</v>
      </c>
      <c r="AC28" s="76">
        <f>SUMIFS('сентябрь 2025'!$G$2:$G$2497,'сентябрь 2025'!$D$2:$D$2497,$B28,'сентябрь 2025'!$J$2:$J$2497,AC$1)</f>
        <v>0</v>
      </c>
      <c r="AD28" s="76">
        <f>SUMIFS('сентябрь 2025'!$G$2:$G$2497,'сентябрь 2025'!$D$2:$D$2497,$B28,'сентябрь 2025'!$J$2:$J$2497,AD$1)</f>
        <v>0</v>
      </c>
      <c r="AE28" s="76">
        <f>SUMIFS('сентябрь 2025'!$G$2:$G$2497,'сентябрь 2025'!$D$2:$D$2497,$B28,'сентябрь 2025'!$J$2:$J$2497,AE$1)</f>
        <v>0</v>
      </c>
      <c r="AF28" s="76">
        <f>SUMIFS('сентябрь 2025'!$G$2:$G$2497,'сентябрь 2025'!$D$2:$D$2497,$B28,'сентябрь 2025'!$J$2:$J$2497,AF$1)</f>
        <v>0</v>
      </c>
      <c r="AG28" s="76">
        <f>SUMIFS('сентябрь 2025'!$G$2:$G$2497,'сентябрь 2025'!$D$2:$D$2497,$B28,'сентябрь 2025'!$J$2:$J$2497,AG$1)</f>
        <v>0</v>
      </c>
      <c r="AH28" s="76">
        <f>SUMIFS('сентябрь 2025'!$G$2:$G$2497,'сентябрь 2025'!$D$2:$D$2497,$B28,'сентябрь 2025'!$J$2:$J$2497,AH$1)</f>
        <v>0</v>
      </c>
      <c r="AI28" s="20">
        <f t="shared" si="1"/>
        <v>0</v>
      </c>
    </row>
    <row r="29" spans="2:35" ht="15" customHeight="1" x14ac:dyDescent="0.25">
      <c r="B29" s="80" t="s">
        <v>251</v>
      </c>
      <c r="C29" s="78">
        <v>25</v>
      </c>
      <c r="D29" s="76">
        <f>SUMIFS('сентябрь 2025'!$G$2:$G$2497,'сентябрь 2025'!$D$2:$D$2497,$B29,'сентябрь 2025'!$J$2:$J$2497,D$1)</f>
        <v>0</v>
      </c>
      <c r="E29" s="76">
        <f>SUMIFS('сентябрь 2025'!$G$2:$G$2497,'сентябрь 2025'!$D$2:$D$2497,$B29,'сентябрь 2025'!$J$2:$J$2497,E$1)</f>
        <v>0</v>
      </c>
      <c r="F29" s="76">
        <f>SUMIFS('сентябрь 2025'!$G$2:$G$2497,'сентябрь 2025'!$D$2:$D$2497,$B29,'сентябрь 2025'!$J$2:$J$2497,F$1)</f>
        <v>0</v>
      </c>
      <c r="G29" s="76">
        <f>SUMIFS('сентябрь 2025'!$G$2:$G$2497,'сентябрь 2025'!$D$2:$D$2497,$B29,'сентябрь 2025'!$J$2:$J$2497,G$1)</f>
        <v>0</v>
      </c>
      <c r="H29" s="76">
        <f>SUMIFS('сентябрь 2025'!$G$2:$G$2497,'сентябрь 2025'!$D$2:$D$2497,$B29,'сентябрь 2025'!$J$2:$J$2497,H$1)</f>
        <v>0</v>
      </c>
      <c r="I29" s="76">
        <f>SUMIFS('сентябрь 2025'!$G$2:$G$2497,'сентябрь 2025'!$D$2:$D$2497,$B29,'сентябрь 2025'!$J$2:$J$2497,I$1)</f>
        <v>0</v>
      </c>
      <c r="J29" s="76">
        <f>SUMIFS('сентябрь 2025'!$G$2:$G$2497,'сентябрь 2025'!$D$2:$D$2497,$B29,'сентябрь 2025'!$J$2:$J$2497,J$1)</f>
        <v>0</v>
      </c>
      <c r="K29" s="76">
        <f>SUMIFS('сентябрь 2025'!$G$2:$G$2497,'сентябрь 2025'!$D$2:$D$2497,$B29,'сентябрь 2025'!$J$2:$J$2497,K$1)</f>
        <v>0</v>
      </c>
      <c r="L29" s="76">
        <f>SUMIFS('сентябрь 2025'!$G$2:$G$2497,'сентябрь 2025'!$D$2:$D$2497,$B29,'сентябрь 2025'!$J$2:$J$2497,L$1)</f>
        <v>0</v>
      </c>
      <c r="M29" s="76">
        <f>SUMIFS('сентябрь 2025'!$G$2:$G$2497,'сентябрь 2025'!$D$2:$D$2497,$B29,'сентябрь 2025'!$J$2:$J$2497,M$1)</f>
        <v>0</v>
      </c>
      <c r="N29" s="76">
        <f>SUMIFS('сентябрь 2025'!$G$2:$G$2497,'сентябрь 2025'!$D$2:$D$2497,$B29,'сентябрь 2025'!$J$2:$J$2497,N$1)</f>
        <v>0</v>
      </c>
      <c r="O29" s="76">
        <f>SUMIFS('сентябрь 2025'!$G$2:$G$2497,'сентябрь 2025'!$D$2:$D$2497,$B29,'сентябрь 2025'!$J$2:$J$2497,O$1)</f>
        <v>0</v>
      </c>
      <c r="P29" s="76">
        <f>SUMIFS('сентябрь 2025'!$G$2:$G$2497,'сентябрь 2025'!$D$2:$D$2497,$B29,'сентябрь 2025'!$J$2:$J$2497,P$1)</f>
        <v>0</v>
      </c>
      <c r="Q29" s="76">
        <f>SUMIFS('сентябрь 2025'!$G$2:$G$2497,'сентябрь 2025'!$D$2:$D$2497,$B29,'сентябрь 2025'!$J$2:$J$2497,Q$1)</f>
        <v>0</v>
      </c>
      <c r="R29" s="76">
        <f>SUMIFS('сентябрь 2025'!$G$2:$G$2497,'сентябрь 2025'!$D$2:$D$2497,$B29,'сентябрь 2025'!$J$2:$J$2497,R$1)</f>
        <v>0</v>
      </c>
      <c r="S29" s="76">
        <f>SUMIFS('сентябрь 2025'!$G$2:$G$2497,'сентябрь 2025'!$D$2:$D$2497,$B29,'сентябрь 2025'!$J$2:$J$2497,S$1)</f>
        <v>0</v>
      </c>
      <c r="T29" s="76">
        <f>SUMIFS('сентябрь 2025'!$G$2:$G$2497,'сентябрь 2025'!$D$2:$D$2497,$B29,'сентябрь 2025'!$J$2:$J$2497,T$1)</f>
        <v>0</v>
      </c>
      <c r="U29" s="76">
        <f>SUMIFS('сентябрь 2025'!$G$2:$G$2497,'сентябрь 2025'!$D$2:$D$2497,$B29,'сентябрь 2025'!$J$2:$J$2497,U$1)</f>
        <v>0</v>
      </c>
      <c r="V29" s="76">
        <f>SUMIFS('сентябрь 2025'!$G$2:$G$2497,'сентябрь 2025'!$D$2:$D$2497,$B29,'сентябрь 2025'!$J$2:$J$2497,V$1)</f>
        <v>0</v>
      </c>
      <c r="W29" s="76">
        <f>SUMIFS('сентябрь 2025'!$G$2:$G$2497,'сентябрь 2025'!$D$2:$D$2497,$B29,'сентябрь 2025'!$J$2:$J$2497,W$1)</f>
        <v>0</v>
      </c>
      <c r="X29" s="76">
        <f>SUMIFS('сентябрь 2025'!$G$2:$G$2497,'сентябрь 2025'!$D$2:$D$2497,$B29,'сентябрь 2025'!$J$2:$J$2497,X$1)</f>
        <v>0</v>
      </c>
      <c r="Y29" s="76">
        <f>SUMIFS('сентябрь 2025'!$G$2:$G$2497,'сентябрь 2025'!$D$2:$D$2497,$B29,'сентябрь 2025'!$J$2:$J$2497,Y$1)</f>
        <v>0</v>
      </c>
      <c r="Z29" s="76">
        <f>SUMIFS('сентябрь 2025'!$G$2:$G$2497,'сентябрь 2025'!$D$2:$D$2497,$B29,'сентябрь 2025'!$J$2:$J$2497,Z$1)</f>
        <v>0</v>
      </c>
      <c r="AA29" s="76">
        <f>SUMIFS('сентябрь 2025'!$G$2:$G$2497,'сентябрь 2025'!$D$2:$D$2497,$B29,'сентябрь 2025'!$J$2:$J$2497,AA$1)</f>
        <v>0</v>
      </c>
      <c r="AB29" s="76">
        <f>SUMIFS('сентябрь 2025'!$G$2:$G$2497,'сентябрь 2025'!$D$2:$D$2497,$B29,'сентябрь 2025'!$J$2:$J$2497,AB$1)</f>
        <v>0</v>
      </c>
      <c r="AC29" s="76">
        <f>SUMIFS('сентябрь 2025'!$G$2:$G$2497,'сентябрь 2025'!$D$2:$D$2497,$B29,'сентябрь 2025'!$J$2:$J$2497,AC$1)</f>
        <v>0</v>
      </c>
      <c r="AD29" s="76">
        <f>SUMIFS('сентябрь 2025'!$G$2:$G$2497,'сентябрь 2025'!$D$2:$D$2497,$B29,'сентябрь 2025'!$J$2:$J$2497,AD$1)</f>
        <v>0</v>
      </c>
      <c r="AE29" s="76">
        <f>SUMIFS('сентябрь 2025'!$G$2:$G$2497,'сентябрь 2025'!$D$2:$D$2497,$B29,'сентябрь 2025'!$J$2:$J$2497,AE$1)</f>
        <v>0</v>
      </c>
      <c r="AF29" s="76">
        <f>SUMIFS('сентябрь 2025'!$G$2:$G$2497,'сентябрь 2025'!$D$2:$D$2497,$B29,'сентябрь 2025'!$J$2:$J$2497,AF$1)</f>
        <v>0</v>
      </c>
      <c r="AG29" s="76">
        <f>SUMIFS('сентябрь 2025'!$G$2:$G$2497,'сентябрь 2025'!$D$2:$D$2497,$B29,'сентябрь 2025'!$J$2:$J$2497,AG$1)</f>
        <v>0</v>
      </c>
      <c r="AH29" s="76">
        <f>SUMIFS('сентябрь 2025'!$G$2:$G$2497,'сентябрь 2025'!$D$2:$D$2497,$B29,'сентябрь 2025'!$J$2:$J$2497,AH$1)</f>
        <v>0</v>
      </c>
      <c r="AI29" s="20">
        <f t="shared" si="1"/>
        <v>0</v>
      </c>
    </row>
    <row r="30" spans="2:35" ht="15" customHeight="1" x14ac:dyDescent="0.25">
      <c r="B30" s="80" t="s">
        <v>383</v>
      </c>
      <c r="C30" s="78">
        <v>25</v>
      </c>
      <c r="D30" s="76">
        <f>SUMIFS('сентябрь 2025'!$G$2:$G$2497,'сентябрь 2025'!$D$2:$D$2497,$B30,'сентябрь 2025'!$J$2:$J$2497,D$1)</f>
        <v>0</v>
      </c>
      <c r="E30" s="76">
        <f>SUMIFS('сентябрь 2025'!$G$2:$G$2497,'сентябрь 2025'!$D$2:$D$2497,$B30,'сентябрь 2025'!$J$2:$J$2497,E$1)</f>
        <v>0</v>
      </c>
      <c r="F30" s="76">
        <f>SUMIFS('сентябрь 2025'!$G$2:$G$2497,'сентябрь 2025'!$D$2:$D$2497,$B30,'сентябрь 2025'!$J$2:$J$2497,F$1)</f>
        <v>0</v>
      </c>
      <c r="G30" s="76">
        <f>SUMIFS('сентябрь 2025'!$G$2:$G$2497,'сентябрь 2025'!$D$2:$D$2497,$B30,'сентябрь 2025'!$J$2:$J$2497,G$1)</f>
        <v>0</v>
      </c>
      <c r="H30" s="76">
        <f>SUMIFS('сентябрь 2025'!$G$2:$G$2497,'сентябрь 2025'!$D$2:$D$2497,$B30,'сентябрь 2025'!$J$2:$J$2497,H$1)</f>
        <v>0</v>
      </c>
      <c r="I30" s="76">
        <f>SUMIFS('сентябрь 2025'!$G$2:$G$2497,'сентябрь 2025'!$D$2:$D$2497,$B30,'сентябрь 2025'!$J$2:$J$2497,I$1)</f>
        <v>0</v>
      </c>
      <c r="J30" s="76">
        <f>SUMIFS('сентябрь 2025'!$G$2:$G$2497,'сентябрь 2025'!$D$2:$D$2497,$B30,'сентябрь 2025'!$J$2:$J$2497,J$1)</f>
        <v>0</v>
      </c>
      <c r="K30" s="76">
        <f>SUMIFS('сентябрь 2025'!$G$2:$G$2497,'сентябрь 2025'!$D$2:$D$2497,$B30,'сентябрь 2025'!$J$2:$J$2497,K$1)</f>
        <v>0</v>
      </c>
      <c r="L30" s="76">
        <f>SUMIFS('сентябрь 2025'!$G$2:$G$2497,'сентябрь 2025'!$D$2:$D$2497,$B30,'сентябрь 2025'!$J$2:$J$2497,L$1)</f>
        <v>0</v>
      </c>
      <c r="M30" s="76">
        <f>SUMIFS('сентябрь 2025'!$G$2:$G$2497,'сентябрь 2025'!$D$2:$D$2497,$B30,'сентябрь 2025'!$J$2:$J$2497,M$1)</f>
        <v>0</v>
      </c>
      <c r="N30" s="76">
        <f>SUMIFS('сентябрь 2025'!$G$2:$G$2497,'сентябрь 2025'!$D$2:$D$2497,$B30,'сентябрь 2025'!$J$2:$J$2497,N$1)</f>
        <v>0</v>
      </c>
      <c r="O30" s="76">
        <f>SUMIFS('сентябрь 2025'!$G$2:$G$2497,'сентябрь 2025'!$D$2:$D$2497,$B30,'сентябрь 2025'!$J$2:$J$2497,O$1)</f>
        <v>0</v>
      </c>
      <c r="P30" s="76">
        <f>SUMIFS('сентябрь 2025'!$G$2:$G$2497,'сентябрь 2025'!$D$2:$D$2497,$B30,'сентябрь 2025'!$J$2:$J$2497,P$1)</f>
        <v>0</v>
      </c>
      <c r="Q30" s="76">
        <f>SUMIFS('сентябрь 2025'!$G$2:$G$2497,'сентябрь 2025'!$D$2:$D$2497,$B30,'сентябрь 2025'!$J$2:$J$2497,Q$1)</f>
        <v>0</v>
      </c>
      <c r="R30" s="76">
        <f>SUMIFS('сентябрь 2025'!$G$2:$G$2497,'сентябрь 2025'!$D$2:$D$2497,$B30,'сентябрь 2025'!$J$2:$J$2497,R$1)</f>
        <v>0</v>
      </c>
      <c r="S30" s="76">
        <f>SUMIFS('сентябрь 2025'!$G$2:$G$2497,'сентябрь 2025'!$D$2:$D$2497,$B30,'сентябрь 2025'!$J$2:$J$2497,S$1)</f>
        <v>0</v>
      </c>
      <c r="T30" s="76">
        <f>SUMIFS('сентябрь 2025'!$G$2:$G$2497,'сентябрь 2025'!$D$2:$D$2497,$B30,'сентябрь 2025'!$J$2:$J$2497,T$1)</f>
        <v>0</v>
      </c>
      <c r="U30" s="76">
        <f>SUMIFS('сентябрь 2025'!$G$2:$G$2497,'сентябрь 2025'!$D$2:$D$2497,$B30,'сентябрь 2025'!$J$2:$J$2497,U$1)</f>
        <v>0</v>
      </c>
      <c r="V30" s="76">
        <f>SUMIFS('сентябрь 2025'!$G$2:$G$2497,'сентябрь 2025'!$D$2:$D$2497,$B30,'сентябрь 2025'!$J$2:$J$2497,V$1)</f>
        <v>0</v>
      </c>
      <c r="W30" s="76">
        <f>SUMIFS('сентябрь 2025'!$G$2:$G$2497,'сентябрь 2025'!$D$2:$D$2497,$B30,'сентябрь 2025'!$J$2:$J$2497,W$1)</f>
        <v>0</v>
      </c>
      <c r="X30" s="76">
        <f>SUMIFS('сентябрь 2025'!$G$2:$G$2497,'сентябрь 2025'!$D$2:$D$2497,$B30,'сентябрь 2025'!$J$2:$J$2497,X$1)</f>
        <v>0</v>
      </c>
      <c r="Y30" s="76">
        <f>SUMIFS('сентябрь 2025'!$G$2:$G$2497,'сентябрь 2025'!$D$2:$D$2497,$B30,'сентябрь 2025'!$J$2:$J$2497,Y$1)</f>
        <v>0</v>
      </c>
      <c r="Z30" s="76">
        <f>SUMIFS('сентябрь 2025'!$G$2:$G$2497,'сентябрь 2025'!$D$2:$D$2497,$B30,'сентябрь 2025'!$J$2:$J$2497,Z$1)</f>
        <v>0</v>
      </c>
      <c r="AA30" s="76">
        <f>SUMIFS('сентябрь 2025'!$G$2:$G$2497,'сентябрь 2025'!$D$2:$D$2497,$B30,'сентябрь 2025'!$J$2:$J$2497,AA$1)</f>
        <v>0</v>
      </c>
      <c r="AB30" s="76">
        <f>SUMIFS('сентябрь 2025'!$G$2:$G$2497,'сентябрь 2025'!$D$2:$D$2497,$B30,'сентябрь 2025'!$J$2:$J$2497,AB$1)</f>
        <v>0</v>
      </c>
      <c r="AC30" s="76">
        <f>SUMIFS('сентябрь 2025'!$G$2:$G$2497,'сентябрь 2025'!$D$2:$D$2497,$B30,'сентябрь 2025'!$J$2:$J$2497,AC$1)</f>
        <v>0</v>
      </c>
      <c r="AD30" s="76">
        <f>SUMIFS('сентябрь 2025'!$G$2:$G$2497,'сентябрь 2025'!$D$2:$D$2497,$B30,'сентябрь 2025'!$J$2:$J$2497,AD$1)</f>
        <v>0</v>
      </c>
      <c r="AE30" s="76">
        <f>SUMIFS('сентябрь 2025'!$G$2:$G$2497,'сентябрь 2025'!$D$2:$D$2497,$B30,'сентябрь 2025'!$J$2:$J$2497,AE$1)</f>
        <v>0</v>
      </c>
      <c r="AF30" s="76">
        <f>SUMIFS('сентябрь 2025'!$G$2:$G$2497,'сентябрь 2025'!$D$2:$D$2497,$B30,'сентябрь 2025'!$J$2:$J$2497,AF$1)</f>
        <v>0</v>
      </c>
      <c r="AG30" s="76">
        <f>SUMIFS('сентябрь 2025'!$G$2:$G$2497,'сентябрь 2025'!$D$2:$D$2497,$B30,'сентябрь 2025'!$J$2:$J$2497,AG$1)</f>
        <v>0</v>
      </c>
      <c r="AH30" s="76">
        <f>SUMIFS('сентябрь 2025'!$G$2:$G$2497,'сентябрь 2025'!$D$2:$D$2497,$B30,'сентябрь 2025'!$J$2:$J$2497,AH$1)</f>
        <v>0</v>
      </c>
      <c r="AI30" s="20">
        <f t="shared" si="1"/>
        <v>0</v>
      </c>
    </row>
    <row r="31" spans="2:35" ht="15" customHeight="1" x14ac:dyDescent="0.25">
      <c r="B31" s="80"/>
      <c r="C31" s="78"/>
      <c r="D31" s="76">
        <f>SUMIFS('сентябрь 2025'!$G$2:$G$2497,'сентябрь 2025'!$D$2:$D$2497,$B31,'сентябрь 2025'!$J$2:$J$2497,D$1)</f>
        <v>0</v>
      </c>
      <c r="E31" s="76">
        <f>SUMIFS('сентябрь 2025'!$G$2:$G$2497,'сентябрь 2025'!$D$2:$D$2497,$B31,'сентябрь 2025'!$J$2:$J$2497,E$1)</f>
        <v>0</v>
      </c>
      <c r="F31" s="76">
        <f>SUMIFS('сентябрь 2025'!$G$2:$G$2497,'сентябрь 2025'!$D$2:$D$2497,$B31,'сентябрь 2025'!$J$2:$J$2497,F$1)</f>
        <v>0</v>
      </c>
      <c r="G31" s="76">
        <f>SUMIFS('сентябрь 2025'!$G$2:$G$2497,'сентябрь 2025'!$D$2:$D$2497,$B31,'сентябрь 2025'!$J$2:$J$2497,G$1)</f>
        <v>0</v>
      </c>
      <c r="H31" s="76">
        <f>SUMIFS('сентябрь 2025'!$G$2:$G$2497,'сентябрь 2025'!$D$2:$D$2497,$B31,'сентябрь 2025'!$J$2:$J$2497,H$1)</f>
        <v>0</v>
      </c>
      <c r="I31" s="76">
        <f>SUMIFS('сентябрь 2025'!$G$2:$G$2497,'сентябрь 2025'!$D$2:$D$2497,$B31,'сентябрь 2025'!$J$2:$J$2497,I$1)</f>
        <v>0</v>
      </c>
      <c r="J31" s="76">
        <f>SUMIFS('сентябрь 2025'!$G$2:$G$2497,'сентябрь 2025'!$D$2:$D$2497,$B31,'сентябрь 2025'!$J$2:$J$2497,J$1)</f>
        <v>0</v>
      </c>
      <c r="K31" s="76">
        <f>SUMIFS('сентябрь 2025'!$G$2:$G$2497,'сентябрь 2025'!$D$2:$D$2497,$B31,'сентябрь 2025'!$J$2:$J$2497,K$1)</f>
        <v>0</v>
      </c>
      <c r="L31" s="76">
        <f>SUMIFS('сентябрь 2025'!$G$2:$G$2497,'сентябрь 2025'!$D$2:$D$2497,$B31,'сентябрь 2025'!$J$2:$J$2497,L$1)</f>
        <v>0</v>
      </c>
      <c r="M31" s="76">
        <f>SUMIFS('сентябрь 2025'!$G$2:$G$2497,'сентябрь 2025'!$D$2:$D$2497,$B31,'сентябрь 2025'!$J$2:$J$2497,M$1)</f>
        <v>0</v>
      </c>
      <c r="N31" s="76">
        <f>SUMIFS('сентябрь 2025'!$G$2:$G$2497,'сентябрь 2025'!$D$2:$D$2497,$B31,'сентябрь 2025'!$J$2:$J$2497,N$1)</f>
        <v>0</v>
      </c>
      <c r="O31" s="76">
        <f>SUMIFS('сентябрь 2025'!$G$2:$G$2497,'сентябрь 2025'!$D$2:$D$2497,$B31,'сентябрь 2025'!$J$2:$J$2497,O$1)</f>
        <v>0</v>
      </c>
      <c r="P31" s="76">
        <f>SUMIFS('сентябрь 2025'!$G$2:$G$2497,'сентябрь 2025'!$D$2:$D$2497,$B31,'сентябрь 2025'!$J$2:$J$2497,P$1)</f>
        <v>0</v>
      </c>
      <c r="Q31" s="76">
        <f>SUMIFS('сентябрь 2025'!$G$2:$G$2497,'сентябрь 2025'!$D$2:$D$2497,$B31,'сентябрь 2025'!$J$2:$J$2497,Q$1)</f>
        <v>0</v>
      </c>
      <c r="R31" s="76">
        <f>SUMIFS('сентябрь 2025'!$G$2:$G$2497,'сентябрь 2025'!$D$2:$D$2497,$B31,'сентябрь 2025'!$J$2:$J$2497,R$1)</f>
        <v>0</v>
      </c>
      <c r="S31" s="76">
        <f>SUMIFS('сентябрь 2025'!$G$2:$G$2497,'сентябрь 2025'!$D$2:$D$2497,$B31,'сентябрь 2025'!$J$2:$J$2497,S$1)</f>
        <v>0</v>
      </c>
      <c r="T31" s="76">
        <f>SUMIFS('сентябрь 2025'!$G$2:$G$2497,'сентябрь 2025'!$D$2:$D$2497,$B31,'сентябрь 2025'!$J$2:$J$2497,T$1)</f>
        <v>0</v>
      </c>
      <c r="U31" s="76">
        <f>SUMIFS('сентябрь 2025'!$G$2:$G$2497,'сентябрь 2025'!$D$2:$D$2497,$B31,'сентябрь 2025'!$J$2:$J$2497,U$1)</f>
        <v>0</v>
      </c>
      <c r="V31" s="76">
        <f>SUMIFS('сентябрь 2025'!$G$2:$G$2497,'сентябрь 2025'!$D$2:$D$2497,$B31,'сентябрь 2025'!$J$2:$J$2497,V$1)</f>
        <v>0</v>
      </c>
      <c r="W31" s="76">
        <f>SUMIFS('сентябрь 2025'!$G$2:$G$2497,'сентябрь 2025'!$D$2:$D$2497,$B31,'сентябрь 2025'!$J$2:$J$2497,W$1)</f>
        <v>0</v>
      </c>
      <c r="X31" s="76">
        <f>SUMIFS('сентябрь 2025'!$G$2:$G$2497,'сентябрь 2025'!$D$2:$D$2497,$B31,'сентябрь 2025'!$J$2:$J$2497,X$1)</f>
        <v>0</v>
      </c>
      <c r="Y31" s="76">
        <f>SUMIFS('сентябрь 2025'!$G$2:$G$2497,'сентябрь 2025'!$D$2:$D$2497,$B31,'сентябрь 2025'!$J$2:$J$2497,Y$1)</f>
        <v>0</v>
      </c>
      <c r="Z31" s="76">
        <f>SUMIFS('сентябрь 2025'!$G$2:$G$2497,'сентябрь 2025'!$D$2:$D$2497,$B31,'сентябрь 2025'!$J$2:$J$2497,Z$1)</f>
        <v>0</v>
      </c>
      <c r="AA31" s="76">
        <f>SUMIFS('сентябрь 2025'!$G$2:$G$2497,'сентябрь 2025'!$D$2:$D$2497,$B31,'сентябрь 2025'!$J$2:$J$2497,AA$1)</f>
        <v>0</v>
      </c>
      <c r="AB31" s="76">
        <f>SUMIFS('сентябрь 2025'!$G$2:$G$2497,'сентябрь 2025'!$D$2:$D$2497,$B31,'сентябрь 2025'!$J$2:$J$2497,AB$1)</f>
        <v>0</v>
      </c>
      <c r="AC31" s="76">
        <f>SUMIFS('сентябрь 2025'!$G$2:$G$2497,'сентябрь 2025'!$D$2:$D$2497,$B31,'сентябрь 2025'!$J$2:$J$2497,AC$1)</f>
        <v>0</v>
      </c>
      <c r="AD31" s="76">
        <f>SUMIFS('сентябрь 2025'!$G$2:$G$2497,'сентябрь 2025'!$D$2:$D$2497,$B31,'сентябрь 2025'!$J$2:$J$2497,AD$1)</f>
        <v>0</v>
      </c>
      <c r="AE31" s="76">
        <f>SUMIFS('сентябрь 2025'!$G$2:$G$2497,'сентябрь 2025'!$D$2:$D$2497,$B31,'сентябрь 2025'!$J$2:$J$2497,AE$1)</f>
        <v>0</v>
      </c>
      <c r="AF31" s="76">
        <f>SUMIFS('сентябрь 2025'!$G$2:$G$2497,'сентябрь 2025'!$D$2:$D$2497,$B31,'сентябрь 2025'!$J$2:$J$2497,AF$1)</f>
        <v>0</v>
      </c>
      <c r="AG31" s="76">
        <f>SUMIFS('сентябрь 2025'!$G$2:$G$2497,'сентябрь 2025'!$D$2:$D$2497,$B31,'сентябрь 2025'!$J$2:$J$2497,AG$1)</f>
        <v>0</v>
      </c>
      <c r="AH31" s="76">
        <f>SUMIFS('сентябрь 2025'!$G$2:$G$2497,'сентябрь 2025'!$D$2:$D$2497,$B31,'сентябрь 2025'!$J$2:$J$2497,AH$1)</f>
        <v>0</v>
      </c>
      <c r="AI31" s="20">
        <f t="shared" si="1"/>
        <v>0</v>
      </c>
    </row>
    <row r="32" spans="2:35" ht="15" customHeight="1" x14ac:dyDescent="0.25">
      <c r="B32" s="80"/>
      <c r="C32" s="78"/>
      <c r="D32" s="76">
        <f>SUMIFS('сентябрь 2025'!$G$2:$G$2497,'сентябрь 2025'!$D$2:$D$2497,$B32,'сентябрь 2025'!$J$2:$J$2497,D$1)</f>
        <v>0</v>
      </c>
      <c r="E32" s="76">
        <f>SUMIFS('сентябрь 2025'!$G$2:$G$2497,'сентябрь 2025'!$D$2:$D$2497,$B32,'сентябрь 2025'!$J$2:$J$2497,E$1)</f>
        <v>0</v>
      </c>
      <c r="F32" s="76">
        <f>SUMIFS('сентябрь 2025'!$G$2:$G$2497,'сентябрь 2025'!$D$2:$D$2497,$B32,'сентябрь 2025'!$J$2:$J$2497,F$1)</f>
        <v>0</v>
      </c>
      <c r="G32" s="76">
        <f>SUMIFS('сентябрь 2025'!$G$2:$G$2497,'сентябрь 2025'!$D$2:$D$2497,$B32,'сентябрь 2025'!$J$2:$J$2497,G$1)</f>
        <v>0</v>
      </c>
      <c r="H32" s="76">
        <f>SUMIFS('сентябрь 2025'!$G$2:$G$2497,'сентябрь 2025'!$D$2:$D$2497,$B32,'сентябрь 2025'!$J$2:$J$2497,H$1)</f>
        <v>0</v>
      </c>
      <c r="I32" s="76">
        <f>SUMIFS('сентябрь 2025'!$G$2:$G$2497,'сентябрь 2025'!$D$2:$D$2497,$B32,'сентябрь 2025'!$J$2:$J$2497,I$1)</f>
        <v>0</v>
      </c>
      <c r="J32" s="76">
        <f>SUMIFS('сентябрь 2025'!$G$2:$G$2497,'сентябрь 2025'!$D$2:$D$2497,$B32,'сентябрь 2025'!$J$2:$J$2497,J$1)</f>
        <v>0</v>
      </c>
      <c r="K32" s="76">
        <f>SUMIFS('сентябрь 2025'!$G$2:$G$2497,'сентябрь 2025'!$D$2:$D$2497,$B32,'сентябрь 2025'!$J$2:$J$2497,K$1)</f>
        <v>0</v>
      </c>
      <c r="L32" s="76">
        <f>SUMIFS('сентябрь 2025'!$G$2:$G$2497,'сентябрь 2025'!$D$2:$D$2497,$B32,'сентябрь 2025'!$J$2:$J$2497,L$1)</f>
        <v>0</v>
      </c>
      <c r="M32" s="76">
        <f>SUMIFS('сентябрь 2025'!$G$2:$G$2497,'сентябрь 2025'!$D$2:$D$2497,$B32,'сентябрь 2025'!$J$2:$J$2497,M$1)</f>
        <v>0</v>
      </c>
      <c r="N32" s="76">
        <f>SUMIFS('сентябрь 2025'!$G$2:$G$2497,'сентябрь 2025'!$D$2:$D$2497,$B32,'сентябрь 2025'!$J$2:$J$2497,N$1)</f>
        <v>0</v>
      </c>
      <c r="O32" s="76">
        <f>SUMIFS('сентябрь 2025'!$G$2:$G$2497,'сентябрь 2025'!$D$2:$D$2497,$B32,'сентябрь 2025'!$J$2:$J$2497,O$1)</f>
        <v>0</v>
      </c>
      <c r="P32" s="76">
        <f>SUMIFS('сентябрь 2025'!$G$2:$G$2497,'сентябрь 2025'!$D$2:$D$2497,$B32,'сентябрь 2025'!$J$2:$J$2497,P$1)</f>
        <v>0</v>
      </c>
      <c r="Q32" s="76">
        <f>SUMIFS('сентябрь 2025'!$G$2:$G$2497,'сентябрь 2025'!$D$2:$D$2497,$B32,'сентябрь 2025'!$J$2:$J$2497,Q$1)</f>
        <v>0</v>
      </c>
      <c r="R32" s="76">
        <f>SUMIFS('сентябрь 2025'!$G$2:$G$2497,'сентябрь 2025'!$D$2:$D$2497,$B32,'сентябрь 2025'!$J$2:$J$2497,R$1)</f>
        <v>0</v>
      </c>
      <c r="S32" s="76">
        <f>SUMIFS('сентябрь 2025'!$G$2:$G$2497,'сентябрь 2025'!$D$2:$D$2497,$B32,'сентябрь 2025'!$J$2:$J$2497,S$1)</f>
        <v>0</v>
      </c>
      <c r="T32" s="76">
        <f>SUMIFS('сентябрь 2025'!$G$2:$G$2497,'сентябрь 2025'!$D$2:$D$2497,$B32,'сентябрь 2025'!$J$2:$J$2497,T$1)</f>
        <v>0</v>
      </c>
      <c r="U32" s="76">
        <f>SUMIFS('сентябрь 2025'!$G$2:$G$2497,'сентябрь 2025'!$D$2:$D$2497,$B32,'сентябрь 2025'!$J$2:$J$2497,U$1)</f>
        <v>0</v>
      </c>
      <c r="V32" s="76">
        <f>SUMIFS('сентябрь 2025'!$G$2:$G$2497,'сентябрь 2025'!$D$2:$D$2497,$B32,'сентябрь 2025'!$J$2:$J$2497,V$1)</f>
        <v>0</v>
      </c>
      <c r="W32" s="76">
        <f>SUMIFS('сентябрь 2025'!$G$2:$G$2497,'сентябрь 2025'!$D$2:$D$2497,$B32,'сентябрь 2025'!$J$2:$J$2497,W$1)</f>
        <v>0</v>
      </c>
      <c r="X32" s="76">
        <f>SUMIFS('сентябрь 2025'!$G$2:$G$2497,'сентябрь 2025'!$D$2:$D$2497,$B32,'сентябрь 2025'!$J$2:$J$2497,X$1)</f>
        <v>0</v>
      </c>
      <c r="Y32" s="76">
        <f>SUMIFS('сентябрь 2025'!$G$2:$G$2497,'сентябрь 2025'!$D$2:$D$2497,$B32,'сентябрь 2025'!$J$2:$J$2497,Y$1)</f>
        <v>0</v>
      </c>
      <c r="Z32" s="76">
        <f>SUMIFS('сентябрь 2025'!$G$2:$G$2497,'сентябрь 2025'!$D$2:$D$2497,$B32,'сентябрь 2025'!$J$2:$J$2497,Z$1)</f>
        <v>0</v>
      </c>
      <c r="AA32" s="76">
        <f>SUMIFS('сентябрь 2025'!$G$2:$G$2497,'сентябрь 2025'!$D$2:$D$2497,$B32,'сентябрь 2025'!$J$2:$J$2497,AA$1)</f>
        <v>0</v>
      </c>
      <c r="AB32" s="76">
        <f>SUMIFS('сентябрь 2025'!$G$2:$G$2497,'сентябрь 2025'!$D$2:$D$2497,$B32,'сентябрь 2025'!$J$2:$J$2497,AB$1)</f>
        <v>0</v>
      </c>
      <c r="AC32" s="76">
        <f>SUMIFS('сентябрь 2025'!$G$2:$G$2497,'сентябрь 2025'!$D$2:$D$2497,$B32,'сентябрь 2025'!$J$2:$J$2497,AC$1)</f>
        <v>0</v>
      </c>
      <c r="AD32" s="76">
        <f>SUMIFS('сентябрь 2025'!$G$2:$G$2497,'сентябрь 2025'!$D$2:$D$2497,$B32,'сентябрь 2025'!$J$2:$J$2497,AD$1)</f>
        <v>0</v>
      </c>
      <c r="AE32" s="76">
        <f>SUMIFS('сентябрь 2025'!$G$2:$G$2497,'сентябрь 2025'!$D$2:$D$2497,$B32,'сентябрь 2025'!$J$2:$J$2497,AE$1)</f>
        <v>0</v>
      </c>
      <c r="AF32" s="76">
        <f>SUMIFS('сентябрь 2025'!$G$2:$G$2497,'сентябрь 2025'!$D$2:$D$2497,$B32,'сентябрь 2025'!$J$2:$J$2497,AF$1)</f>
        <v>0</v>
      </c>
      <c r="AG32" s="76">
        <f>SUMIFS('сентябрь 2025'!$G$2:$G$2497,'сентябрь 2025'!$D$2:$D$2497,$B32,'сентябрь 2025'!$J$2:$J$2497,AG$1)</f>
        <v>0</v>
      </c>
      <c r="AH32" s="76">
        <f>SUMIFS('сентябрь 2025'!$G$2:$G$2497,'сентябрь 2025'!$D$2:$D$2497,$B32,'сентябрь 2025'!$J$2:$J$2497,AH$1)</f>
        <v>0</v>
      </c>
      <c r="AI32" s="20">
        <f t="shared" si="1"/>
        <v>0</v>
      </c>
    </row>
    <row r="33" spans="2:35" ht="15" customHeight="1" x14ac:dyDescent="0.25">
      <c r="B33" s="80"/>
      <c r="C33" s="78"/>
      <c r="D33" s="76">
        <f>SUMIFS('сентябрь 2025'!$G$2:$G$2497,'сентябрь 2025'!$D$2:$D$2497,$B33,'сентябрь 2025'!$J$2:$J$2497,D$1)</f>
        <v>0</v>
      </c>
      <c r="E33" s="76">
        <f>SUMIFS('сентябрь 2025'!$G$2:$G$2497,'сентябрь 2025'!$D$2:$D$2497,$B33,'сентябрь 2025'!$J$2:$J$2497,E$1)</f>
        <v>0</v>
      </c>
      <c r="F33" s="76">
        <f>SUMIFS('сентябрь 2025'!$G$2:$G$2497,'сентябрь 2025'!$D$2:$D$2497,$B33,'сентябрь 2025'!$J$2:$J$2497,F$1)</f>
        <v>0</v>
      </c>
      <c r="G33" s="76">
        <f>SUMIFS('сентябрь 2025'!$G$2:$G$2497,'сентябрь 2025'!$D$2:$D$2497,$B33,'сентябрь 2025'!$J$2:$J$2497,G$1)</f>
        <v>0</v>
      </c>
      <c r="H33" s="76">
        <f>SUMIFS('сентябрь 2025'!$G$2:$G$2497,'сентябрь 2025'!$D$2:$D$2497,$B33,'сентябрь 2025'!$J$2:$J$2497,H$1)</f>
        <v>0</v>
      </c>
      <c r="I33" s="76">
        <f>SUMIFS('сентябрь 2025'!$G$2:$G$2497,'сентябрь 2025'!$D$2:$D$2497,$B33,'сентябрь 2025'!$J$2:$J$2497,I$1)</f>
        <v>0</v>
      </c>
      <c r="J33" s="76">
        <f>SUMIFS('сентябрь 2025'!$G$2:$G$2497,'сентябрь 2025'!$D$2:$D$2497,$B33,'сентябрь 2025'!$J$2:$J$2497,J$1)</f>
        <v>0</v>
      </c>
      <c r="K33" s="76">
        <f>SUMIFS('сентябрь 2025'!$G$2:$G$2497,'сентябрь 2025'!$D$2:$D$2497,$B33,'сентябрь 2025'!$J$2:$J$2497,K$1)</f>
        <v>0</v>
      </c>
      <c r="L33" s="76">
        <f>SUMIFS('сентябрь 2025'!$G$2:$G$2497,'сентябрь 2025'!$D$2:$D$2497,$B33,'сентябрь 2025'!$J$2:$J$2497,L$1)</f>
        <v>0</v>
      </c>
      <c r="M33" s="76">
        <f>SUMIFS('сентябрь 2025'!$G$2:$G$2497,'сентябрь 2025'!$D$2:$D$2497,$B33,'сентябрь 2025'!$J$2:$J$2497,M$1)</f>
        <v>0</v>
      </c>
      <c r="N33" s="76">
        <f>SUMIFS('сентябрь 2025'!$G$2:$G$2497,'сентябрь 2025'!$D$2:$D$2497,$B33,'сентябрь 2025'!$J$2:$J$2497,N$1)</f>
        <v>0</v>
      </c>
      <c r="O33" s="76">
        <f>SUMIFS('сентябрь 2025'!$G$2:$G$2497,'сентябрь 2025'!$D$2:$D$2497,$B33,'сентябрь 2025'!$J$2:$J$2497,O$1)</f>
        <v>0</v>
      </c>
      <c r="P33" s="76">
        <f>SUMIFS('сентябрь 2025'!$G$2:$G$2497,'сентябрь 2025'!$D$2:$D$2497,$B33,'сентябрь 2025'!$J$2:$J$2497,P$1)</f>
        <v>0</v>
      </c>
      <c r="Q33" s="76">
        <f>SUMIFS('сентябрь 2025'!$G$2:$G$2497,'сентябрь 2025'!$D$2:$D$2497,$B33,'сентябрь 2025'!$J$2:$J$2497,Q$1)</f>
        <v>0</v>
      </c>
      <c r="R33" s="76">
        <f>SUMIFS('сентябрь 2025'!$G$2:$G$2497,'сентябрь 2025'!$D$2:$D$2497,$B33,'сентябрь 2025'!$J$2:$J$2497,R$1)</f>
        <v>0</v>
      </c>
      <c r="S33" s="76">
        <f>SUMIFS('сентябрь 2025'!$G$2:$G$2497,'сентябрь 2025'!$D$2:$D$2497,$B33,'сентябрь 2025'!$J$2:$J$2497,S$1)</f>
        <v>0</v>
      </c>
      <c r="T33" s="76">
        <f>SUMIFS('сентябрь 2025'!$G$2:$G$2497,'сентябрь 2025'!$D$2:$D$2497,$B33,'сентябрь 2025'!$J$2:$J$2497,T$1)</f>
        <v>0</v>
      </c>
      <c r="U33" s="76">
        <f>SUMIFS('сентябрь 2025'!$G$2:$G$2497,'сентябрь 2025'!$D$2:$D$2497,$B33,'сентябрь 2025'!$J$2:$J$2497,U$1)</f>
        <v>0</v>
      </c>
      <c r="V33" s="76">
        <f>SUMIFS('сентябрь 2025'!$G$2:$G$2497,'сентябрь 2025'!$D$2:$D$2497,$B33,'сентябрь 2025'!$J$2:$J$2497,V$1)</f>
        <v>0</v>
      </c>
      <c r="W33" s="76">
        <f>SUMIFS('сентябрь 2025'!$G$2:$G$2497,'сентябрь 2025'!$D$2:$D$2497,$B33,'сентябрь 2025'!$J$2:$J$2497,W$1)</f>
        <v>0</v>
      </c>
      <c r="X33" s="76">
        <f>SUMIFS('сентябрь 2025'!$G$2:$G$2497,'сентябрь 2025'!$D$2:$D$2497,$B33,'сентябрь 2025'!$J$2:$J$2497,X$1)</f>
        <v>0</v>
      </c>
      <c r="Y33" s="76">
        <f>SUMIFS('сентябрь 2025'!$G$2:$G$2497,'сентябрь 2025'!$D$2:$D$2497,$B33,'сентябрь 2025'!$J$2:$J$2497,Y$1)</f>
        <v>0</v>
      </c>
      <c r="Z33" s="76">
        <f>SUMIFS('сентябрь 2025'!$G$2:$G$2497,'сентябрь 2025'!$D$2:$D$2497,$B33,'сентябрь 2025'!$J$2:$J$2497,Z$1)</f>
        <v>0</v>
      </c>
      <c r="AA33" s="76">
        <f>SUMIFS('сентябрь 2025'!$G$2:$G$2497,'сентябрь 2025'!$D$2:$D$2497,$B33,'сентябрь 2025'!$J$2:$J$2497,AA$1)</f>
        <v>0</v>
      </c>
      <c r="AB33" s="76">
        <f>SUMIFS('сентябрь 2025'!$G$2:$G$2497,'сентябрь 2025'!$D$2:$D$2497,$B33,'сентябрь 2025'!$J$2:$J$2497,AB$1)</f>
        <v>0</v>
      </c>
      <c r="AC33" s="76">
        <f>SUMIFS('сентябрь 2025'!$G$2:$G$2497,'сентябрь 2025'!$D$2:$D$2497,$B33,'сентябрь 2025'!$J$2:$J$2497,AC$1)</f>
        <v>0</v>
      </c>
      <c r="AD33" s="76">
        <f>SUMIFS('сентябрь 2025'!$G$2:$G$2497,'сентябрь 2025'!$D$2:$D$2497,$B33,'сентябрь 2025'!$J$2:$J$2497,AD$1)</f>
        <v>0</v>
      </c>
      <c r="AE33" s="76">
        <f>SUMIFS('сентябрь 2025'!$G$2:$G$2497,'сентябрь 2025'!$D$2:$D$2497,$B33,'сентябрь 2025'!$J$2:$J$2497,AE$1)</f>
        <v>0</v>
      </c>
      <c r="AF33" s="76">
        <f>SUMIFS('сентябрь 2025'!$G$2:$G$2497,'сентябрь 2025'!$D$2:$D$2497,$B33,'сентябрь 2025'!$J$2:$J$2497,AF$1)</f>
        <v>0</v>
      </c>
      <c r="AG33" s="76">
        <f>SUMIFS('сентябрь 2025'!$G$2:$G$2497,'сентябрь 2025'!$D$2:$D$2497,$B33,'сентябрь 2025'!$J$2:$J$2497,AG$1)</f>
        <v>0</v>
      </c>
      <c r="AH33" s="76">
        <f>SUMIFS('сентябрь 2025'!$G$2:$G$2497,'сентябрь 2025'!$D$2:$D$2497,$B33,'сентябрь 2025'!$J$2:$J$2497,AH$1)</f>
        <v>0</v>
      </c>
      <c r="AI33" s="20">
        <f t="shared" si="1"/>
        <v>0</v>
      </c>
    </row>
    <row r="34" spans="2:35" ht="15" customHeight="1" x14ac:dyDescent="0.25">
      <c r="B34" s="80"/>
      <c r="C34" s="78"/>
      <c r="D34" s="76">
        <f>SUMIFS('сентябрь 2025'!$G$2:$G$2497,'сентябрь 2025'!$D$2:$D$2497,$B34,'сентябрь 2025'!$J$2:$J$2497,D$1)</f>
        <v>0</v>
      </c>
      <c r="E34" s="76">
        <f>SUMIFS('сентябрь 2025'!$G$2:$G$2497,'сентябрь 2025'!$D$2:$D$2497,$B34,'сентябрь 2025'!$J$2:$J$2497,E$1)</f>
        <v>0</v>
      </c>
      <c r="F34" s="76">
        <f>SUMIFS('сентябрь 2025'!$G$2:$G$2497,'сентябрь 2025'!$D$2:$D$2497,$B34,'сентябрь 2025'!$J$2:$J$2497,F$1)</f>
        <v>0</v>
      </c>
      <c r="G34" s="76">
        <f>SUMIFS('сентябрь 2025'!$G$2:$G$2497,'сентябрь 2025'!$D$2:$D$2497,$B34,'сентябрь 2025'!$J$2:$J$2497,G$1)</f>
        <v>0</v>
      </c>
      <c r="H34" s="76">
        <f>SUMIFS('сентябрь 2025'!$G$2:$G$2497,'сентябрь 2025'!$D$2:$D$2497,$B34,'сентябрь 2025'!$J$2:$J$2497,H$1)</f>
        <v>0</v>
      </c>
      <c r="I34" s="76">
        <f>SUMIFS('сентябрь 2025'!$G$2:$G$2497,'сентябрь 2025'!$D$2:$D$2497,$B34,'сентябрь 2025'!$J$2:$J$2497,I$1)</f>
        <v>0</v>
      </c>
      <c r="J34" s="76">
        <f>SUMIFS('сентябрь 2025'!$G$2:$G$2497,'сентябрь 2025'!$D$2:$D$2497,$B34,'сентябрь 2025'!$J$2:$J$2497,J$1)</f>
        <v>0</v>
      </c>
      <c r="K34" s="76">
        <f>SUMIFS('сентябрь 2025'!$G$2:$G$2497,'сентябрь 2025'!$D$2:$D$2497,$B34,'сентябрь 2025'!$J$2:$J$2497,K$1)</f>
        <v>0</v>
      </c>
      <c r="L34" s="76">
        <f>SUMIFS('сентябрь 2025'!$G$2:$G$2497,'сентябрь 2025'!$D$2:$D$2497,$B34,'сентябрь 2025'!$J$2:$J$2497,L$1)</f>
        <v>0</v>
      </c>
      <c r="M34" s="76">
        <f>SUMIFS('сентябрь 2025'!$G$2:$G$2497,'сентябрь 2025'!$D$2:$D$2497,$B34,'сентябрь 2025'!$J$2:$J$2497,M$1)</f>
        <v>0</v>
      </c>
      <c r="N34" s="76">
        <f>SUMIFS('сентябрь 2025'!$G$2:$G$2497,'сентябрь 2025'!$D$2:$D$2497,$B34,'сентябрь 2025'!$J$2:$J$2497,N$1)</f>
        <v>0</v>
      </c>
      <c r="O34" s="76">
        <f>SUMIFS('сентябрь 2025'!$G$2:$G$2497,'сентябрь 2025'!$D$2:$D$2497,$B34,'сентябрь 2025'!$J$2:$J$2497,O$1)</f>
        <v>0</v>
      </c>
      <c r="P34" s="76">
        <f>SUMIFS('сентябрь 2025'!$G$2:$G$2497,'сентябрь 2025'!$D$2:$D$2497,$B34,'сентябрь 2025'!$J$2:$J$2497,P$1)</f>
        <v>0</v>
      </c>
      <c r="Q34" s="76">
        <f>SUMIFS('сентябрь 2025'!$G$2:$G$2497,'сентябрь 2025'!$D$2:$D$2497,$B34,'сентябрь 2025'!$J$2:$J$2497,Q$1)</f>
        <v>0</v>
      </c>
      <c r="R34" s="76">
        <f>SUMIFS('сентябрь 2025'!$G$2:$G$2497,'сентябрь 2025'!$D$2:$D$2497,$B34,'сентябрь 2025'!$J$2:$J$2497,R$1)</f>
        <v>0</v>
      </c>
      <c r="S34" s="76">
        <f>SUMIFS('сентябрь 2025'!$G$2:$G$2497,'сентябрь 2025'!$D$2:$D$2497,$B34,'сентябрь 2025'!$J$2:$J$2497,S$1)</f>
        <v>0</v>
      </c>
      <c r="T34" s="76">
        <f>SUMIFS('сентябрь 2025'!$G$2:$G$2497,'сентябрь 2025'!$D$2:$D$2497,$B34,'сентябрь 2025'!$J$2:$J$2497,T$1)</f>
        <v>0</v>
      </c>
      <c r="U34" s="76">
        <f>SUMIFS('сентябрь 2025'!$G$2:$G$2497,'сентябрь 2025'!$D$2:$D$2497,$B34,'сентябрь 2025'!$J$2:$J$2497,U$1)</f>
        <v>0</v>
      </c>
      <c r="V34" s="76">
        <f>SUMIFS('сентябрь 2025'!$G$2:$G$2497,'сентябрь 2025'!$D$2:$D$2497,$B34,'сентябрь 2025'!$J$2:$J$2497,V$1)</f>
        <v>0</v>
      </c>
      <c r="W34" s="76">
        <f>SUMIFS('сентябрь 2025'!$G$2:$G$2497,'сентябрь 2025'!$D$2:$D$2497,$B34,'сентябрь 2025'!$J$2:$J$2497,W$1)</f>
        <v>0</v>
      </c>
      <c r="X34" s="76">
        <f>SUMIFS('сентябрь 2025'!$G$2:$G$2497,'сентябрь 2025'!$D$2:$D$2497,$B34,'сентябрь 2025'!$J$2:$J$2497,X$1)</f>
        <v>0</v>
      </c>
      <c r="Y34" s="76">
        <f>SUMIFS('сентябрь 2025'!$G$2:$G$2497,'сентябрь 2025'!$D$2:$D$2497,$B34,'сентябрь 2025'!$J$2:$J$2497,Y$1)</f>
        <v>0</v>
      </c>
      <c r="Z34" s="76">
        <f>SUMIFS('сентябрь 2025'!$G$2:$G$2497,'сентябрь 2025'!$D$2:$D$2497,$B34,'сентябрь 2025'!$J$2:$J$2497,Z$1)</f>
        <v>0</v>
      </c>
      <c r="AA34" s="76">
        <f>SUMIFS('сентябрь 2025'!$G$2:$G$2497,'сентябрь 2025'!$D$2:$D$2497,$B34,'сентябрь 2025'!$J$2:$J$2497,AA$1)</f>
        <v>0</v>
      </c>
      <c r="AB34" s="76">
        <f>SUMIFS('сентябрь 2025'!$G$2:$G$2497,'сентябрь 2025'!$D$2:$D$2497,$B34,'сентябрь 2025'!$J$2:$J$2497,AB$1)</f>
        <v>0</v>
      </c>
      <c r="AC34" s="76">
        <f>SUMIFS('сентябрь 2025'!$G$2:$G$2497,'сентябрь 2025'!$D$2:$D$2497,$B34,'сентябрь 2025'!$J$2:$J$2497,AC$1)</f>
        <v>0</v>
      </c>
      <c r="AD34" s="76">
        <f>SUMIFS('сентябрь 2025'!$G$2:$G$2497,'сентябрь 2025'!$D$2:$D$2497,$B34,'сентябрь 2025'!$J$2:$J$2497,AD$1)</f>
        <v>0</v>
      </c>
      <c r="AE34" s="76">
        <f>SUMIFS('сентябрь 2025'!$G$2:$G$2497,'сентябрь 2025'!$D$2:$D$2497,$B34,'сентябрь 2025'!$J$2:$J$2497,AE$1)</f>
        <v>0</v>
      </c>
      <c r="AF34" s="76">
        <f>SUMIFS('сентябрь 2025'!$G$2:$G$2497,'сентябрь 2025'!$D$2:$D$2497,$B34,'сентябрь 2025'!$J$2:$J$2497,AF$1)</f>
        <v>0</v>
      </c>
      <c r="AG34" s="76">
        <f>SUMIFS('сентябрь 2025'!$G$2:$G$2497,'сентябрь 2025'!$D$2:$D$2497,$B34,'сентябрь 2025'!$J$2:$J$2497,AG$1)</f>
        <v>0</v>
      </c>
      <c r="AH34" s="76">
        <f>SUMIFS('сентябрь 2025'!$G$2:$G$2497,'сентябрь 2025'!$D$2:$D$2497,$B34,'сентябрь 2025'!$J$2:$J$2497,AH$1)</f>
        <v>0</v>
      </c>
      <c r="AI34" s="20">
        <f t="shared" si="1"/>
        <v>0</v>
      </c>
    </row>
    <row r="35" spans="2:35" ht="15" customHeight="1" x14ac:dyDescent="0.25">
      <c r="B35" s="125" t="s">
        <v>213</v>
      </c>
      <c r="C35" s="126">
        <v>25</v>
      </c>
      <c r="D35" s="182">
        <f>SUMIFS('сентябрь 2025'!$G$2:$G$2497,'сентябрь 2025'!$D$2:$D$2497,$B35,'сентябрь 2025'!$J$2:$J$2497,D$1)</f>
        <v>0</v>
      </c>
      <c r="E35" s="182">
        <f>SUMIFS('сентябрь 2025'!$G$2:$G$2497,'сентябрь 2025'!$D$2:$D$2497,$B35,'сентябрь 2025'!$J$2:$J$2497,E$1)</f>
        <v>0</v>
      </c>
      <c r="F35" s="182">
        <f>SUMIFS('сентябрь 2025'!$G$2:$G$2497,'сентябрь 2025'!$D$2:$D$2497,$B35,'сентябрь 2025'!$J$2:$J$2497,F$1)</f>
        <v>0</v>
      </c>
      <c r="G35" s="182">
        <f>SUMIFS('сентябрь 2025'!$G$2:$G$2497,'сентябрь 2025'!$D$2:$D$2497,$B35,'сентябрь 2025'!$J$2:$J$2497,G$1)</f>
        <v>0</v>
      </c>
      <c r="H35" s="182">
        <f>SUMIFS('сентябрь 2025'!$G$2:$G$2497,'сентябрь 2025'!$D$2:$D$2497,$B35,'сентябрь 2025'!$J$2:$J$2497,H$1)</f>
        <v>0</v>
      </c>
      <c r="I35" s="182">
        <f>SUMIFS('сентябрь 2025'!$G$2:$G$2497,'сентябрь 2025'!$D$2:$D$2497,$B35,'сентябрь 2025'!$J$2:$J$2497,I$1)</f>
        <v>0</v>
      </c>
      <c r="J35" s="182">
        <f>SUMIFS('сентябрь 2025'!$G$2:$G$2497,'сентябрь 2025'!$D$2:$D$2497,$B35,'сентябрь 2025'!$J$2:$J$2497,J$1)</f>
        <v>0</v>
      </c>
      <c r="K35" s="182">
        <f>SUMIFS('сентябрь 2025'!$G$2:$G$2497,'сентябрь 2025'!$D$2:$D$2497,$B35,'сентябрь 2025'!$J$2:$J$2497,K$1)</f>
        <v>0</v>
      </c>
      <c r="L35" s="182">
        <f>SUMIFS('сентябрь 2025'!$G$2:$G$2497,'сентябрь 2025'!$D$2:$D$2497,$B35,'сентябрь 2025'!$J$2:$J$2497,L$1)</f>
        <v>0</v>
      </c>
      <c r="M35" s="182">
        <f>SUMIFS('сентябрь 2025'!$G$2:$G$2497,'сентябрь 2025'!$D$2:$D$2497,$B35,'сентябрь 2025'!$J$2:$J$2497,M$1)</f>
        <v>0</v>
      </c>
      <c r="N35" s="182">
        <f>SUMIFS('сентябрь 2025'!$G$2:$G$2497,'сентябрь 2025'!$D$2:$D$2497,$B35,'сентябрь 2025'!$J$2:$J$2497,N$1)</f>
        <v>0</v>
      </c>
      <c r="O35" s="182">
        <f>SUMIFS('сентябрь 2025'!$G$2:$G$2497,'сентябрь 2025'!$D$2:$D$2497,$B35,'сентябрь 2025'!$J$2:$J$2497,O$1)</f>
        <v>0</v>
      </c>
      <c r="P35" s="182">
        <f>SUMIFS('сентябрь 2025'!$G$2:$G$2497,'сентябрь 2025'!$D$2:$D$2497,$B35,'сентябрь 2025'!$J$2:$J$2497,P$1)</f>
        <v>0</v>
      </c>
      <c r="Q35" s="182">
        <f>SUMIFS('сентябрь 2025'!$G$2:$G$2497,'сентябрь 2025'!$D$2:$D$2497,$B35,'сентябрь 2025'!$J$2:$J$2497,Q$1)</f>
        <v>0</v>
      </c>
      <c r="R35" s="182">
        <f>SUMIFS('сентябрь 2025'!$G$2:$G$2497,'сентябрь 2025'!$D$2:$D$2497,$B35,'сентябрь 2025'!$J$2:$J$2497,R$1)</f>
        <v>0</v>
      </c>
      <c r="S35" s="182">
        <f>SUMIFS('сентябрь 2025'!$G$2:$G$2497,'сентябрь 2025'!$D$2:$D$2497,$B35,'сентябрь 2025'!$J$2:$J$2497,S$1)</f>
        <v>0</v>
      </c>
      <c r="T35" s="182">
        <f>SUMIFS('сентябрь 2025'!$G$2:$G$2497,'сентябрь 2025'!$D$2:$D$2497,$B35,'сентябрь 2025'!$J$2:$J$2497,T$1)</f>
        <v>0</v>
      </c>
      <c r="U35" s="182">
        <f>SUMIFS('сентябрь 2025'!$G$2:$G$2497,'сентябрь 2025'!$D$2:$D$2497,$B35,'сентябрь 2025'!$J$2:$J$2497,U$1)</f>
        <v>0</v>
      </c>
      <c r="V35" s="182">
        <f>SUMIFS('сентябрь 2025'!$G$2:$G$2497,'сентябрь 2025'!$D$2:$D$2497,$B35,'сентябрь 2025'!$J$2:$J$2497,V$1)</f>
        <v>0</v>
      </c>
      <c r="W35" s="182">
        <f>SUMIFS('сентябрь 2025'!$G$2:$G$2497,'сентябрь 2025'!$D$2:$D$2497,$B35,'сентябрь 2025'!$J$2:$J$2497,W$1)</f>
        <v>0</v>
      </c>
      <c r="X35" s="182">
        <f>SUMIFS('сентябрь 2025'!$G$2:$G$2497,'сентябрь 2025'!$D$2:$D$2497,$B35,'сентябрь 2025'!$J$2:$J$2497,X$1)</f>
        <v>0</v>
      </c>
      <c r="Y35" s="182">
        <f>SUMIFS('сентябрь 2025'!$G$2:$G$2497,'сентябрь 2025'!$D$2:$D$2497,$B35,'сентябрь 2025'!$J$2:$J$2497,Y$1)</f>
        <v>0</v>
      </c>
      <c r="Z35" s="182">
        <f>SUMIFS('сентябрь 2025'!$G$2:$G$2497,'сентябрь 2025'!$D$2:$D$2497,$B35,'сентябрь 2025'!$J$2:$J$2497,Z$1)</f>
        <v>0</v>
      </c>
      <c r="AA35" s="182">
        <f>SUMIFS('сентябрь 2025'!$G$2:$G$2497,'сентябрь 2025'!$D$2:$D$2497,$B35,'сентябрь 2025'!$J$2:$J$2497,AA$1)</f>
        <v>0</v>
      </c>
      <c r="AB35" s="182">
        <f>SUMIFS('сентябрь 2025'!$G$2:$G$2497,'сентябрь 2025'!$D$2:$D$2497,$B35,'сентябрь 2025'!$J$2:$J$2497,AB$1)</f>
        <v>0</v>
      </c>
      <c r="AC35" s="182">
        <f>SUMIFS('сентябрь 2025'!$G$2:$G$2497,'сентябрь 2025'!$D$2:$D$2497,$B35,'сентябрь 2025'!$J$2:$J$2497,AC$1)</f>
        <v>0</v>
      </c>
      <c r="AD35" s="182">
        <f>SUMIFS('сентябрь 2025'!$G$2:$G$2497,'сентябрь 2025'!$D$2:$D$2497,$B35,'сентябрь 2025'!$J$2:$J$2497,AD$1)</f>
        <v>0</v>
      </c>
      <c r="AE35" s="182">
        <f>SUMIFS('сентябрь 2025'!$G$2:$G$2497,'сентябрь 2025'!$D$2:$D$2497,$B35,'сентябрь 2025'!$J$2:$J$2497,AE$1)</f>
        <v>0</v>
      </c>
      <c r="AF35" s="182">
        <f>SUMIFS('сентябрь 2025'!$G$2:$G$2497,'сентябрь 2025'!$D$2:$D$2497,$B35,'сентябрь 2025'!$J$2:$J$2497,AF$1)</f>
        <v>0</v>
      </c>
      <c r="AG35" s="182">
        <f>SUMIFS('сентябрь 2025'!$G$2:$G$2497,'сентябрь 2025'!$D$2:$D$2497,$B35,'сентябрь 2025'!$J$2:$J$2497,AG$1)</f>
        <v>0</v>
      </c>
      <c r="AH35" s="182">
        <f>SUMIFS('сентябрь 2025'!$G$2:$G$2497,'сентябрь 2025'!$D$2:$D$2497,$B35,'сентябрь 2025'!$J$2:$J$2497,AH$1)</f>
        <v>0</v>
      </c>
      <c r="AI35" s="20">
        <f t="shared" si="1"/>
        <v>0</v>
      </c>
    </row>
    <row r="36" spans="2:35" ht="15" customHeight="1" x14ac:dyDescent="0.25">
      <c r="B36" s="127" t="s">
        <v>215</v>
      </c>
      <c r="C36" s="126">
        <v>25</v>
      </c>
      <c r="D36" s="182">
        <f>SUMIFS('сентябрь 2025'!$G$2:$G$2497,'сентябрь 2025'!$D$2:$D$2497,$B36,'сентябрь 2025'!$J$2:$J$2497,D$1)</f>
        <v>0</v>
      </c>
      <c r="E36" s="182">
        <f>SUMIFS('сентябрь 2025'!$G$2:$G$2497,'сентябрь 2025'!$D$2:$D$2497,$B36,'сентябрь 2025'!$J$2:$J$2497,E$1)</f>
        <v>0</v>
      </c>
      <c r="F36" s="182">
        <f>SUMIFS('сентябрь 2025'!$G$2:$G$2497,'сентябрь 2025'!$D$2:$D$2497,$B36,'сентябрь 2025'!$J$2:$J$2497,F$1)</f>
        <v>0</v>
      </c>
      <c r="G36" s="182">
        <f>SUMIFS('сентябрь 2025'!$G$2:$G$2497,'сентябрь 2025'!$D$2:$D$2497,$B36,'сентябрь 2025'!$J$2:$J$2497,G$1)</f>
        <v>0</v>
      </c>
      <c r="H36" s="182">
        <f>SUMIFS('сентябрь 2025'!$G$2:$G$2497,'сентябрь 2025'!$D$2:$D$2497,$B36,'сентябрь 2025'!$J$2:$J$2497,H$1)</f>
        <v>0</v>
      </c>
      <c r="I36" s="182">
        <f>SUMIFS('сентябрь 2025'!$G$2:$G$2497,'сентябрь 2025'!$D$2:$D$2497,$B36,'сентябрь 2025'!$J$2:$J$2497,I$1)</f>
        <v>0</v>
      </c>
      <c r="J36" s="182">
        <f>SUMIFS('сентябрь 2025'!$G$2:$G$2497,'сентябрь 2025'!$D$2:$D$2497,$B36,'сентябрь 2025'!$J$2:$J$2497,J$1)</f>
        <v>0</v>
      </c>
      <c r="K36" s="182">
        <f>SUMIFS('сентябрь 2025'!$G$2:$G$2497,'сентябрь 2025'!$D$2:$D$2497,$B36,'сентябрь 2025'!$J$2:$J$2497,K$1)</f>
        <v>0</v>
      </c>
      <c r="L36" s="182">
        <f>SUMIFS('сентябрь 2025'!$G$2:$G$2497,'сентябрь 2025'!$D$2:$D$2497,$B36,'сентябрь 2025'!$J$2:$J$2497,L$1)</f>
        <v>0</v>
      </c>
      <c r="M36" s="182">
        <f>SUMIFS('сентябрь 2025'!$G$2:$G$2497,'сентябрь 2025'!$D$2:$D$2497,$B36,'сентябрь 2025'!$J$2:$J$2497,M$1)</f>
        <v>0</v>
      </c>
      <c r="N36" s="182">
        <f>SUMIFS('сентябрь 2025'!$G$2:$G$2497,'сентябрь 2025'!$D$2:$D$2497,$B36,'сентябрь 2025'!$J$2:$J$2497,N$1)</f>
        <v>0</v>
      </c>
      <c r="O36" s="182">
        <f>SUMIFS('сентябрь 2025'!$G$2:$G$2497,'сентябрь 2025'!$D$2:$D$2497,$B36,'сентябрь 2025'!$J$2:$J$2497,O$1)</f>
        <v>0</v>
      </c>
      <c r="P36" s="182">
        <f>SUMIFS('сентябрь 2025'!$G$2:$G$2497,'сентябрь 2025'!$D$2:$D$2497,$B36,'сентябрь 2025'!$J$2:$J$2497,P$1)</f>
        <v>0</v>
      </c>
      <c r="Q36" s="182">
        <f>SUMIFS('сентябрь 2025'!$G$2:$G$2497,'сентябрь 2025'!$D$2:$D$2497,$B36,'сентябрь 2025'!$J$2:$J$2497,Q$1)</f>
        <v>0</v>
      </c>
      <c r="R36" s="182">
        <f>SUMIFS('сентябрь 2025'!$G$2:$G$2497,'сентябрь 2025'!$D$2:$D$2497,$B36,'сентябрь 2025'!$J$2:$J$2497,R$1)</f>
        <v>0</v>
      </c>
      <c r="S36" s="182">
        <f>SUMIFS('сентябрь 2025'!$G$2:$G$2497,'сентябрь 2025'!$D$2:$D$2497,$B36,'сентябрь 2025'!$J$2:$J$2497,S$1)</f>
        <v>0</v>
      </c>
      <c r="T36" s="182">
        <f>SUMIFS('сентябрь 2025'!$G$2:$G$2497,'сентябрь 2025'!$D$2:$D$2497,$B36,'сентябрь 2025'!$J$2:$J$2497,T$1)</f>
        <v>0</v>
      </c>
      <c r="U36" s="182">
        <f>SUMIFS('сентябрь 2025'!$G$2:$G$2497,'сентябрь 2025'!$D$2:$D$2497,$B36,'сентябрь 2025'!$J$2:$J$2497,U$1)</f>
        <v>0</v>
      </c>
      <c r="V36" s="182">
        <f>SUMIFS('сентябрь 2025'!$G$2:$G$2497,'сентябрь 2025'!$D$2:$D$2497,$B36,'сентябрь 2025'!$J$2:$J$2497,V$1)</f>
        <v>0</v>
      </c>
      <c r="W36" s="182">
        <f>SUMIFS('сентябрь 2025'!$G$2:$G$2497,'сентябрь 2025'!$D$2:$D$2497,$B36,'сентябрь 2025'!$J$2:$J$2497,W$1)</f>
        <v>0</v>
      </c>
      <c r="X36" s="182">
        <f>SUMIFS('сентябрь 2025'!$G$2:$G$2497,'сентябрь 2025'!$D$2:$D$2497,$B36,'сентябрь 2025'!$J$2:$J$2497,X$1)</f>
        <v>0</v>
      </c>
      <c r="Y36" s="182">
        <f>SUMIFS('сентябрь 2025'!$G$2:$G$2497,'сентябрь 2025'!$D$2:$D$2497,$B36,'сентябрь 2025'!$J$2:$J$2497,Y$1)</f>
        <v>0</v>
      </c>
      <c r="Z36" s="182">
        <f>SUMIFS('сентябрь 2025'!$G$2:$G$2497,'сентябрь 2025'!$D$2:$D$2497,$B36,'сентябрь 2025'!$J$2:$J$2497,Z$1)</f>
        <v>0</v>
      </c>
      <c r="AA36" s="182">
        <f>SUMIFS('сентябрь 2025'!$G$2:$G$2497,'сентябрь 2025'!$D$2:$D$2497,$B36,'сентябрь 2025'!$J$2:$J$2497,AA$1)</f>
        <v>0</v>
      </c>
      <c r="AB36" s="182">
        <f>SUMIFS('сентябрь 2025'!$G$2:$G$2497,'сентябрь 2025'!$D$2:$D$2497,$B36,'сентябрь 2025'!$J$2:$J$2497,AB$1)</f>
        <v>0</v>
      </c>
      <c r="AC36" s="182">
        <f>SUMIFS('сентябрь 2025'!$G$2:$G$2497,'сентябрь 2025'!$D$2:$D$2497,$B36,'сентябрь 2025'!$J$2:$J$2497,AC$1)</f>
        <v>0</v>
      </c>
      <c r="AD36" s="182">
        <f>SUMIFS('сентябрь 2025'!$G$2:$G$2497,'сентябрь 2025'!$D$2:$D$2497,$B36,'сентябрь 2025'!$J$2:$J$2497,AD$1)</f>
        <v>0</v>
      </c>
      <c r="AE36" s="182">
        <f>SUMIFS('сентябрь 2025'!$G$2:$G$2497,'сентябрь 2025'!$D$2:$D$2497,$B36,'сентябрь 2025'!$J$2:$J$2497,AE$1)</f>
        <v>0</v>
      </c>
      <c r="AF36" s="182">
        <f>SUMIFS('сентябрь 2025'!$G$2:$G$2497,'сентябрь 2025'!$D$2:$D$2497,$B36,'сентябрь 2025'!$J$2:$J$2497,AF$1)</f>
        <v>0</v>
      </c>
      <c r="AG36" s="182">
        <f>SUMIFS('сентябрь 2025'!$G$2:$G$2497,'сентябрь 2025'!$D$2:$D$2497,$B36,'сентябрь 2025'!$J$2:$J$2497,AG$1)</f>
        <v>0</v>
      </c>
      <c r="AH36" s="182">
        <f>SUMIFS('сентябрь 2025'!$G$2:$G$2497,'сентябрь 2025'!$D$2:$D$2497,$B36,'сентябрь 2025'!$J$2:$J$2497,AH$1)</f>
        <v>0</v>
      </c>
      <c r="AI36" s="20">
        <f t="shared" si="1"/>
        <v>0</v>
      </c>
    </row>
    <row r="37" spans="2:35" ht="15" customHeight="1" x14ac:dyDescent="0.25">
      <c r="B37" s="128" t="s">
        <v>384</v>
      </c>
      <c r="C37" s="126">
        <v>25</v>
      </c>
      <c r="D37" s="182">
        <f>SUMIFS('сентябрь 2025'!$G$2:$G$2497,'сентябрь 2025'!$D$2:$D$2497,$B37,'сентябрь 2025'!$J$2:$J$2497,D$1)</f>
        <v>0</v>
      </c>
      <c r="E37" s="182">
        <f>SUMIFS('сентябрь 2025'!$G$2:$G$2497,'сентябрь 2025'!$D$2:$D$2497,$B37,'сентябрь 2025'!$J$2:$J$2497,E$1)</f>
        <v>0</v>
      </c>
      <c r="F37" s="182">
        <f>SUMIFS('сентябрь 2025'!$G$2:$G$2497,'сентябрь 2025'!$D$2:$D$2497,$B37,'сентябрь 2025'!$J$2:$J$2497,F$1)</f>
        <v>0</v>
      </c>
      <c r="G37" s="182">
        <f>SUMIFS('сентябрь 2025'!$G$2:$G$2497,'сентябрь 2025'!$D$2:$D$2497,$B37,'сентябрь 2025'!$J$2:$J$2497,G$1)</f>
        <v>0</v>
      </c>
      <c r="H37" s="182">
        <f>SUMIFS('сентябрь 2025'!$G$2:$G$2497,'сентябрь 2025'!$D$2:$D$2497,$B37,'сентябрь 2025'!$J$2:$J$2497,H$1)</f>
        <v>0</v>
      </c>
      <c r="I37" s="182">
        <f>SUMIFS('сентябрь 2025'!$G$2:$G$2497,'сентябрь 2025'!$D$2:$D$2497,$B37,'сентябрь 2025'!$J$2:$J$2497,I$1)</f>
        <v>0</v>
      </c>
      <c r="J37" s="182">
        <f>SUMIFS('сентябрь 2025'!$G$2:$G$2497,'сентябрь 2025'!$D$2:$D$2497,$B37,'сентябрь 2025'!$J$2:$J$2497,J$1)</f>
        <v>0</v>
      </c>
      <c r="K37" s="182">
        <f>SUMIFS('сентябрь 2025'!$G$2:$G$2497,'сентябрь 2025'!$D$2:$D$2497,$B37,'сентябрь 2025'!$J$2:$J$2497,K$1)</f>
        <v>0</v>
      </c>
      <c r="L37" s="182">
        <f>SUMIFS('сентябрь 2025'!$G$2:$G$2497,'сентябрь 2025'!$D$2:$D$2497,$B37,'сентябрь 2025'!$J$2:$J$2497,L$1)</f>
        <v>0</v>
      </c>
      <c r="M37" s="182">
        <f>SUMIFS('сентябрь 2025'!$G$2:$G$2497,'сентябрь 2025'!$D$2:$D$2497,$B37,'сентябрь 2025'!$J$2:$J$2497,M$1)</f>
        <v>0</v>
      </c>
      <c r="N37" s="182">
        <f>SUMIFS('сентябрь 2025'!$G$2:$G$2497,'сентябрь 2025'!$D$2:$D$2497,$B37,'сентябрь 2025'!$J$2:$J$2497,N$1)</f>
        <v>0</v>
      </c>
      <c r="O37" s="182">
        <f>SUMIFS('сентябрь 2025'!$G$2:$G$2497,'сентябрь 2025'!$D$2:$D$2497,$B37,'сентябрь 2025'!$J$2:$J$2497,O$1)</f>
        <v>0</v>
      </c>
      <c r="P37" s="182">
        <f>SUMIFS('сентябрь 2025'!$G$2:$G$2497,'сентябрь 2025'!$D$2:$D$2497,$B37,'сентябрь 2025'!$J$2:$J$2497,P$1)</f>
        <v>0</v>
      </c>
      <c r="Q37" s="182">
        <f>SUMIFS('сентябрь 2025'!$G$2:$G$2497,'сентябрь 2025'!$D$2:$D$2497,$B37,'сентябрь 2025'!$J$2:$J$2497,Q$1)</f>
        <v>0</v>
      </c>
      <c r="R37" s="182">
        <f>SUMIFS('сентябрь 2025'!$G$2:$G$2497,'сентябрь 2025'!$D$2:$D$2497,$B37,'сентябрь 2025'!$J$2:$J$2497,R$1)</f>
        <v>0</v>
      </c>
      <c r="S37" s="182">
        <f>SUMIFS('сентябрь 2025'!$G$2:$G$2497,'сентябрь 2025'!$D$2:$D$2497,$B37,'сентябрь 2025'!$J$2:$J$2497,S$1)</f>
        <v>0</v>
      </c>
      <c r="T37" s="182">
        <f>SUMIFS('сентябрь 2025'!$G$2:$G$2497,'сентябрь 2025'!$D$2:$D$2497,$B37,'сентябрь 2025'!$J$2:$J$2497,T$1)</f>
        <v>0</v>
      </c>
      <c r="U37" s="182">
        <f>SUMIFS('сентябрь 2025'!$G$2:$G$2497,'сентябрь 2025'!$D$2:$D$2497,$B37,'сентябрь 2025'!$J$2:$J$2497,U$1)</f>
        <v>0</v>
      </c>
      <c r="V37" s="182">
        <f>SUMIFS('сентябрь 2025'!$G$2:$G$2497,'сентябрь 2025'!$D$2:$D$2497,$B37,'сентябрь 2025'!$J$2:$J$2497,V$1)</f>
        <v>0</v>
      </c>
      <c r="W37" s="182">
        <f>SUMIFS('сентябрь 2025'!$G$2:$G$2497,'сентябрь 2025'!$D$2:$D$2497,$B37,'сентябрь 2025'!$J$2:$J$2497,W$1)</f>
        <v>0</v>
      </c>
      <c r="X37" s="182">
        <f>SUMIFS('сентябрь 2025'!$G$2:$G$2497,'сентябрь 2025'!$D$2:$D$2497,$B37,'сентябрь 2025'!$J$2:$J$2497,X$1)</f>
        <v>0</v>
      </c>
      <c r="Y37" s="182">
        <f>SUMIFS('сентябрь 2025'!$G$2:$G$2497,'сентябрь 2025'!$D$2:$D$2497,$B37,'сентябрь 2025'!$J$2:$J$2497,Y$1)</f>
        <v>0</v>
      </c>
      <c r="Z37" s="182">
        <f>SUMIFS('сентябрь 2025'!$G$2:$G$2497,'сентябрь 2025'!$D$2:$D$2497,$B37,'сентябрь 2025'!$J$2:$J$2497,Z$1)</f>
        <v>0</v>
      </c>
      <c r="AA37" s="182">
        <f>SUMIFS('сентябрь 2025'!$G$2:$G$2497,'сентябрь 2025'!$D$2:$D$2497,$B37,'сентябрь 2025'!$J$2:$J$2497,AA$1)</f>
        <v>0</v>
      </c>
      <c r="AB37" s="182">
        <f>SUMIFS('сентябрь 2025'!$G$2:$G$2497,'сентябрь 2025'!$D$2:$D$2497,$B37,'сентябрь 2025'!$J$2:$J$2497,AB$1)</f>
        <v>0</v>
      </c>
      <c r="AC37" s="182">
        <f>SUMIFS('сентябрь 2025'!$G$2:$G$2497,'сентябрь 2025'!$D$2:$D$2497,$B37,'сентябрь 2025'!$J$2:$J$2497,AC$1)</f>
        <v>0</v>
      </c>
      <c r="AD37" s="182">
        <f>SUMIFS('сентябрь 2025'!$G$2:$G$2497,'сентябрь 2025'!$D$2:$D$2497,$B37,'сентябрь 2025'!$J$2:$J$2497,AD$1)</f>
        <v>0</v>
      </c>
      <c r="AE37" s="182">
        <f>SUMIFS('сентябрь 2025'!$G$2:$G$2497,'сентябрь 2025'!$D$2:$D$2497,$B37,'сентябрь 2025'!$J$2:$J$2497,AE$1)</f>
        <v>0</v>
      </c>
      <c r="AF37" s="182">
        <f>SUMIFS('сентябрь 2025'!$G$2:$G$2497,'сентябрь 2025'!$D$2:$D$2497,$B37,'сентябрь 2025'!$J$2:$J$2497,AF$1)</f>
        <v>0</v>
      </c>
      <c r="AG37" s="182">
        <f>SUMIFS('сентябрь 2025'!$G$2:$G$2497,'сентябрь 2025'!$D$2:$D$2497,$B37,'сентябрь 2025'!$J$2:$J$2497,AG$1)</f>
        <v>0</v>
      </c>
      <c r="AH37" s="182">
        <f>SUMIFS('сентябрь 2025'!$G$2:$G$2497,'сентябрь 2025'!$D$2:$D$2497,$B37,'сентябрь 2025'!$J$2:$J$2497,AH$1)</f>
        <v>0</v>
      </c>
      <c r="AI37" s="20">
        <f t="shared" si="1"/>
        <v>0</v>
      </c>
    </row>
    <row r="38" spans="2:35" ht="15" customHeight="1" x14ac:dyDescent="0.25">
      <c r="B38" s="128" t="s">
        <v>217</v>
      </c>
      <c r="C38" s="126">
        <v>25</v>
      </c>
      <c r="D38" s="182">
        <f>SUMIFS('сентябрь 2025'!$G$2:$G$2497,'сентябрь 2025'!$D$2:$D$2497,$B38,'сентябрь 2025'!$J$2:$J$2497,D$1)</f>
        <v>0</v>
      </c>
      <c r="E38" s="182">
        <f>SUMIFS('сентябрь 2025'!$G$2:$G$2497,'сентябрь 2025'!$D$2:$D$2497,$B38,'сентябрь 2025'!$J$2:$J$2497,E$1)</f>
        <v>0</v>
      </c>
      <c r="F38" s="182">
        <f>SUMIFS('сентябрь 2025'!$G$2:$G$2497,'сентябрь 2025'!$D$2:$D$2497,$B38,'сентябрь 2025'!$J$2:$J$2497,F$1)</f>
        <v>0</v>
      </c>
      <c r="G38" s="182">
        <f>SUMIFS('сентябрь 2025'!$G$2:$G$2497,'сентябрь 2025'!$D$2:$D$2497,$B38,'сентябрь 2025'!$J$2:$J$2497,G$1)</f>
        <v>0</v>
      </c>
      <c r="H38" s="182">
        <f>SUMIFS('сентябрь 2025'!$G$2:$G$2497,'сентябрь 2025'!$D$2:$D$2497,$B38,'сентябрь 2025'!$J$2:$J$2497,H$1)</f>
        <v>0</v>
      </c>
      <c r="I38" s="182">
        <f>SUMIFS('сентябрь 2025'!$G$2:$G$2497,'сентябрь 2025'!$D$2:$D$2497,$B38,'сентябрь 2025'!$J$2:$J$2497,I$1)</f>
        <v>0</v>
      </c>
      <c r="J38" s="182">
        <f>SUMIFS('сентябрь 2025'!$G$2:$G$2497,'сентябрь 2025'!$D$2:$D$2497,$B38,'сентябрь 2025'!$J$2:$J$2497,J$1)</f>
        <v>0</v>
      </c>
      <c r="K38" s="182">
        <f>SUMIFS('сентябрь 2025'!$G$2:$G$2497,'сентябрь 2025'!$D$2:$D$2497,$B38,'сентябрь 2025'!$J$2:$J$2497,K$1)</f>
        <v>0</v>
      </c>
      <c r="L38" s="182">
        <f>SUMIFS('сентябрь 2025'!$G$2:$G$2497,'сентябрь 2025'!$D$2:$D$2497,$B38,'сентябрь 2025'!$J$2:$J$2497,L$1)</f>
        <v>0</v>
      </c>
      <c r="M38" s="182">
        <f>SUMIFS('сентябрь 2025'!$G$2:$G$2497,'сентябрь 2025'!$D$2:$D$2497,$B38,'сентябрь 2025'!$J$2:$J$2497,M$1)</f>
        <v>0</v>
      </c>
      <c r="N38" s="182">
        <f>SUMIFS('сентябрь 2025'!$G$2:$G$2497,'сентябрь 2025'!$D$2:$D$2497,$B38,'сентябрь 2025'!$J$2:$J$2497,N$1)</f>
        <v>0</v>
      </c>
      <c r="O38" s="182">
        <f>SUMIFS('сентябрь 2025'!$G$2:$G$2497,'сентябрь 2025'!$D$2:$D$2497,$B38,'сентябрь 2025'!$J$2:$J$2497,O$1)</f>
        <v>0</v>
      </c>
      <c r="P38" s="182">
        <f>SUMIFS('сентябрь 2025'!$G$2:$G$2497,'сентябрь 2025'!$D$2:$D$2497,$B38,'сентябрь 2025'!$J$2:$J$2497,P$1)</f>
        <v>0</v>
      </c>
      <c r="Q38" s="182">
        <f>SUMIFS('сентябрь 2025'!$G$2:$G$2497,'сентябрь 2025'!$D$2:$D$2497,$B38,'сентябрь 2025'!$J$2:$J$2497,Q$1)</f>
        <v>0</v>
      </c>
      <c r="R38" s="182">
        <f>SUMIFS('сентябрь 2025'!$G$2:$G$2497,'сентябрь 2025'!$D$2:$D$2497,$B38,'сентябрь 2025'!$J$2:$J$2497,R$1)</f>
        <v>0</v>
      </c>
      <c r="S38" s="182">
        <f>SUMIFS('сентябрь 2025'!$G$2:$G$2497,'сентябрь 2025'!$D$2:$D$2497,$B38,'сентябрь 2025'!$J$2:$J$2497,S$1)</f>
        <v>0</v>
      </c>
      <c r="T38" s="182">
        <f>SUMIFS('сентябрь 2025'!$G$2:$G$2497,'сентябрь 2025'!$D$2:$D$2497,$B38,'сентябрь 2025'!$J$2:$J$2497,T$1)</f>
        <v>0</v>
      </c>
      <c r="U38" s="182">
        <f>SUMIFS('сентябрь 2025'!$G$2:$G$2497,'сентябрь 2025'!$D$2:$D$2497,$B38,'сентябрь 2025'!$J$2:$J$2497,U$1)</f>
        <v>0</v>
      </c>
      <c r="V38" s="182">
        <f>SUMIFS('сентябрь 2025'!$G$2:$G$2497,'сентябрь 2025'!$D$2:$D$2497,$B38,'сентябрь 2025'!$J$2:$J$2497,V$1)</f>
        <v>0</v>
      </c>
      <c r="W38" s="182">
        <f>SUMIFS('сентябрь 2025'!$G$2:$G$2497,'сентябрь 2025'!$D$2:$D$2497,$B38,'сентябрь 2025'!$J$2:$J$2497,W$1)</f>
        <v>0</v>
      </c>
      <c r="X38" s="182">
        <f>SUMIFS('сентябрь 2025'!$G$2:$G$2497,'сентябрь 2025'!$D$2:$D$2497,$B38,'сентябрь 2025'!$J$2:$J$2497,X$1)</f>
        <v>0</v>
      </c>
      <c r="Y38" s="182">
        <f>SUMIFS('сентябрь 2025'!$G$2:$G$2497,'сентябрь 2025'!$D$2:$D$2497,$B38,'сентябрь 2025'!$J$2:$J$2497,Y$1)</f>
        <v>0</v>
      </c>
      <c r="Z38" s="182">
        <f>SUMIFS('сентябрь 2025'!$G$2:$G$2497,'сентябрь 2025'!$D$2:$D$2497,$B38,'сентябрь 2025'!$J$2:$J$2497,Z$1)</f>
        <v>0</v>
      </c>
      <c r="AA38" s="182">
        <f>SUMIFS('сентябрь 2025'!$G$2:$G$2497,'сентябрь 2025'!$D$2:$D$2497,$B38,'сентябрь 2025'!$J$2:$J$2497,AA$1)</f>
        <v>0</v>
      </c>
      <c r="AB38" s="182">
        <f>SUMIFS('сентябрь 2025'!$G$2:$G$2497,'сентябрь 2025'!$D$2:$D$2497,$B38,'сентябрь 2025'!$J$2:$J$2497,AB$1)</f>
        <v>0</v>
      </c>
      <c r="AC38" s="182">
        <f>SUMIFS('сентябрь 2025'!$G$2:$G$2497,'сентябрь 2025'!$D$2:$D$2497,$B38,'сентябрь 2025'!$J$2:$J$2497,AC$1)</f>
        <v>0</v>
      </c>
      <c r="AD38" s="182">
        <f>SUMIFS('сентябрь 2025'!$G$2:$G$2497,'сентябрь 2025'!$D$2:$D$2497,$B38,'сентябрь 2025'!$J$2:$J$2497,AD$1)</f>
        <v>0</v>
      </c>
      <c r="AE38" s="182">
        <f>SUMIFS('сентябрь 2025'!$G$2:$G$2497,'сентябрь 2025'!$D$2:$D$2497,$B38,'сентябрь 2025'!$J$2:$J$2497,AE$1)</f>
        <v>0</v>
      </c>
      <c r="AF38" s="182">
        <f>SUMIFS('сентябрь 2025'!$G$2:$G$2497,'сентябрь 2025'!$D$2:$D$2497,$B38,'сентябрь 2025'!$J$2:$J$2497,AF$1)</f>
        <v>0</v>
      </c>
      <c r="AG38" s="182">
        <f>SUMIFS('сентябрь 2025'!$G$2:$G$2497,'сентябрь 2025'!$D$2:$D$2497,$B38,'сентябрь 2025'!$J$2:$J$2497,AG$1)</f>
        <v>0</v>
      </c>
      <c r="AH38" s="182">
        <f>SUMIFS('сентябрь 2025'!$G$2:$G$2497,'сентябрь 2025'!$D$2:$D$2497,$B38,'сентябрь 2025'!$J$2:$J$2497,AH$1)</f>
        <v>0</v>
      </c>
      <c r="AI38" s="20">
        <f t="shared" si="1"/>
        <v>0</v>
      </c>
    </row>
    <row r="39" spans="2:35" ht="15" customHeight="1" x14ac:dyDescent="0.25">
      <c r="B39" s="129" t="s">
        <v>219</v>
      </c>
      <c r="C39" s="130">
        <v>25</v>
      </c>
      <c r="D39" s="182">
        <f>SUMIFS('сентябрь 2025'!$G$2:$G$2497,'сентябрь 2025'!$D$2:$D$2497,$B39,'сентябрь 2025'!$J$2:$J$2497,D$1)</f>
        <v>0</v>
      </c>
      <c r="E39" s="182">
        <f>SUMIFS('сентябрь 2025'!$G$2:$G$2497,'сентябрь 2025'!$D$2:$D$2497,$B39,'сентябрь 2025'!$J$2:$J$2497,E$1)</f>
        <v>0</v>
      </c>
      <c r="F39" s="182">
        <f>SUMIFS('сентябрь 2025'!$G$2:$G$2497,'сентябрь 2025'!$D$2:$D$2497,$B39,'сентябрь 2025'!$J$2:$J$2497,F$1)</f>
        <v>0</v>
      </c>
      <c r="G39" s="182">
        <f>SUMIFS('сентябрь 2025'!$G$2:$G$2497,'сентябрь 2025'!$D$2:$D$2497,$B39,'сентябрь 2025'!$J$2:$J$2497,G$1)</f>
        <v>0</v>
      </c>
      <c r="H39" s="182">
        <f>SUMIFS('сентябрь 2025'!$G$2:$G$2497,'сентябрь 2025'!$D$2:$D$2497,$B39,'сентябрь 2025'!$J$2:$J$2497,H$1)</f>
        <v>0</v>
      </c>
      <c r="I39" s="182">
        <f>SUMIFS('сентябрь 2025'!$G$2:$G$2497,'сентябрь 2025'!$D$2:$D$2497,$B39,'сентябрь 2025'!$J$2:$J$2497,I$1)</f>
        <v>0</v>
      </c>
      <c r="J39" s="182">
        <f>SUMIFS('сентябрь 2025'!$G$2:$G$2497,'сентябрь 2025'!$D$2:$D$2497,$B39,'сентябрь 2025'!$J$2:$J$2497,J$1)</f>
        <v>0</v>
      </c>
      <c r="K39" s="182">
        <f>SUMIFS('сентябрь 2025'!$G$2:$G$2497,'сентябрь 2025'!$D$2:$D$2497,$B39,'сентябрь 2025'!$J$2:$J$2497,K$1)</f>
        <v>0</v>
      </c>
      <c r="L39" s="182">
        <f>SUMIFS('сентябрь 2025'!$G$2:$G$2497,'сентябрь 2025'!$D$2:$D$2497,$B39,'сентябрь 2025'!$J$2:$J$2497,L$1)</f>
        <v>0</v>
      </c>
      <c r="M39" s="182">
        <f>SUMIFS('сентябрь 2025'!$G$2:$G$2497,'сентябрь 2025'!$D$2:$D$2497,$B39,'сентябрь 2025'!$J$2:$J$2497,M$1)</f>
        <v>0</v>
      </c>
      <c r="N39" s="182">
        <f>SUMIFS('сентябрь 2025'!$G$2:$G$2497,'сентябрь 2025'!$D$2:$D$2497,$B39,'сентябрь 2025'!$J$2:$J$2497,N$1)</f>
        <v>0</v>
      </c>
      <c r="O39" s="182">
        <f>SUMIFS('сентябрь 2025'!$G$2:$G$2497,'сентябрь 2025'!$D$2:$D$2497,$B39,'сентябрь 2025'!$J$2:$J$2497,O$1)</f>
        <v>0</v>
      </c>
      <c r="P39" s="182">
        <f>SUMIFS('сентябрь 2025'!$G$2:$G$2497,'сентябрь 2025'!$D$2:$D$2497,$B39,'сентябрь 2025'!$J$2:$J$2497,P$1)</f>
        <v>0</v>
      </c>
      <c r="Q39" s="182">
        <f>SUMIFS('сентябрь 2025'!$G$2:$G$2497,'сентябрь 2025'!$D$2:$D$2497,$B39,'сентябрь 2025'!$J$2:$J$2497,Q$1)</f>
        <v>0</v>
      </c>
      <c r="R39" s="182">
        <f>SUMIFS('сентябрь 2025'!$G$2:$G$2497,'сентябрь 2025'!$D$2:$D$2497,$B39,'сентябрь 2025'!$J$2:$J$2497,R$1)</f>
        <v>0</v>
      </c>
      <c r="S39" s="182">
        <f>SUMIFS('сентябрь 2025'!$G$2:$G$2497,'сентябрь 2025'!$D$2:$D$2497,$B39,'сентябрь 2025'!$J$2:$J$2497,S$1)</f>
        <v>0</v>
      </c>
      <c r="T39" s="182">
        <f>SUMIFS('сентябрь 2025'!$G$2:$G$2497,'сентябрь 2025'!$D$2:$D$2497,$B39,'сентябрь 2025'!$J$2:$J$2497,T$1)</f>
        <v>0</v>
      </c>
      <c r="U39" s="182">
        <f>SUMIFS('сентябрь 2025'!$G$2:$G$2497,'сентябрь 2025'!$D$2:$D$2497,$B39,'сентябрь 2025'!$J$2:$J$2497,U$1)</f>
        <v>0</v>
      </c>
      <c r="V39" s="182">
        <f>SUMIFS('сентябрь 2025'!$G$2:$G$2497,'сентябрь 2025'!$D$2:$D$2497,$B39,'сентябрь 2025'!$J$2:$J$2497,V$1)</f>
        <v>0</v>
      </c>
      <c r="W39" s="182">
        <f>SUMIFS('сентябрь 2025'!$G$2:$G$2497,'сентябрь 2025'!$D$2:$D$2497,$B39,'сентябрь 2025'!$J$2:$J$2497,W$1)</f>
        <v>0</v>
      </c>
      <c r="X39" s="182">
        <f>SUMIFS('сентябрь 2025'!$G$2:$G$2497,'сентябрь 2025'!$D$2:$D$2497,$B39,'сентябрь 2025'!$J$2:$J$2497,X$1)</f>
        <v>0</v>
      </c>
      <c r="Y39" s="182">
        <f>SUMIFS('сентябрь 2025'!$G$2:$G$2497,'сентябрь 2025'!$D$2:$D$2497,$B39,'сентябрь 2025'!$J$2:$J$2497,Y$1)</f>
        <v>0</v>
      </c>
      <c r="Z39" s="182">
        <f>SUMIFS('сентябрь 2025'!$G$2:$G$2497,'сентябрь 2025'!$D$2:$D$2497,$B39,'сентябрь 2025'!$J$2:$J$2497,Z$1)</f>
        <v>0</v>
      </c>
      <c r="AA39" s="182">
        <f>SUMIFS('сентябрь 2025'!$G$2:$G$2497,'сентябрь 2025'!$D$2:$D$2497,$B39,'сентябрь 2025'!$J$2:$J$2497,AA$1)</f>
        <v>0</v>
      </c>
      <c r="AB39" s="182">
        <f>SUMIFS('сентябрь 2025'!$G$2:$G$2497,'сентябрь 2025'!$D$2:$D$2497,$B39,'сентябрь 2025'!$J$2:$J$2497,AB$1)</f>
        <v>0</v>
      </c>
      <c r="AC39" s="182">
        <f>SUMIFS('сентябрь 2025'!$G$2:$G$2497,'сентябрь 2025'!$D$2:$D$2497,$B39,'сентябрь 2025'!$J$2:$J$2497,AC$1)</f>
        <v>0</v>
      </c>
      <c r="AD39" s="182">
        <f>SUMIFS('сентябрь 2025'!$G$2:$G$2497,'сентябрь 2025'!$D$2:$D$2497,$B39,'сентябрь 2025'!$J$2:$J$2497,AD$1)</f>
        <v>0</v>
      </c>
      <c r="AE39" s="182">
        <f>SUMIFS('сентябрь 2025'!$G$2:$G$2497,'сентябрь 2025'!$D$2:$D$2497,$B39,'сентябрь 2025'!$J$2:$J$2497,AE$1)</f>
        <v>0</v>
      </c>
      <c r="AF39" s="182">
        <f>SUMIFS('сентябрь 2025'!$G$2:$G$2497,'сентябрь 2025'!$D$2:$D$2497,$B39,'сентябрь 2025'!$J$2:$J$2497,AF$1)</f>
        <v>0</v>
      </c>
      <c r="AG39" s="182">
        <f>SUMIFS('сентябрь 2025'!$G$2:$G$2497,'сентябрь 2025'!$D$2:$D$2497,$B39,'сентябрь 2025'!$J$2:$J$2497,AG$1)</f>
        <v>0</v>
      </c>
      <c r="AH39" s="182">
        <f>SUMIFS('сентябрь 2025'!$G$2:$G$2497,'сентябрь 2025'!$D$2:$D$2497,$B39,'сентябрь 2025'!$J$2:$J$2497,AH$1)</f>
        <v>0</v>
      </c>
      <c r="AI39" s="20">
        <f t="shared" si="1"/>
        <v>0</v>
      </c>
    </row>
    <row r="40" spans="2:35" ht="15" customHeight="1" x14ac:dyDescent="0.25">
      <c r="B40" s="131" t="s">
        <v>221</v>
      </c>
      <c r="C40" s="132">
        <v>22.68</v>
      </c>
      <c r="D40" s="182">
        <f>SUMIFS('сентябрь 2025'!$G$2:$G$2497,'сентябрь 2025'!$D$2:$D$2497,$B40,'сентябрь 2025'!$J$2:$J$2497,D$1)</f>
        <v>0</v>
      </c>
      <c r="E40" s="182">
        <f>SUMIFS('сентябрь 2025'!$G$2:$G$2497,'сентябрь 2025'!$D$2:$D$2497,$B40,'сентябрь 2025'!$J$2:$J$2497,E$1)</f>
        <v>0</v>
      </c>
      <c r="F40" s="182">
        <f>SUMIFS('сентябрь 2025'!$G$2:$G$2497,'сентябрь 2025'!$D$2:$D$2497,$B40,'сентябрь 2025'!$J$2:$J$2497,F$1)</f>
        <v>0</v>
      </c>
      <c r="G40" s="182">
        <f>SUMIFS('сентябрь 2025'!$G$2:$G$2497,'сентябрь 2025'!$D$2:$D$2497,$B40,'сентябрь 2025'!$J$2:$J$2497,G$1)</f>
        <v>0</v>
      </c>
      <c r="H40" s="182">
        <f>SUMIFS('сентябрь 2025'!$G$2:$G$2497,'сентябрь 2025'!$D$2:$D$2497,$B40,'сентябрь 2025'!$J$2:$J$2497,H$1)</f>
        <v>0</v>
      </c>
      <c r="I40" s="182">
        <f>SUMIFS('сентябрь 2025'!$G$2:$G$2497,'сентябрь 2025'!$D$2:$D$2497,$B40,'сентябрь 2025'!$J$2:$J$2497,I$1)</f>
        <v>0</v>
      </c>
      <c r="J40" s="182">
        <f>SUMIFS('сентябрь 2025'!$G$2:$G$2497,'сентябрь 2025'!$D$2:$D$2497,$B40,'сентябрь 2025'!$J$2:$J$2497,J$1)</f>
        <v>0</v>
      </c>
      <c r="K40" s="182">
        <f>SUMIFS('сентябрь 2025'!$G$2:$G$2497,'сентябрь 2025'!$D$2:$D$2497,$B40,'сентябрь 2025'!$J$2:$J$2497,K$1)</f>
        <v>0</v>
      </c>
      <c r="L40" s="182">
        <f>SUMIFS('сентябрь 2025'!$G$2:$G$2497,'сентябрь 2025'!$D$2:$D$2497,$B40,'сентябрь 2025'!$J$2:$J$2497,L$1)</f>
        <v>0</v>
      </c>
      <c r="M40" s="182">
        <f>SUMIFS('сентябрь 2025'!$G$2:$G$2497,'сентябрь 2025'!$D$2:$D$2497,$B40,'сентябрь 2025'!$J$2:$J$2497,M$1)</f>
        <v>0</v>
      </c>
      <c r="N40" s="182">
        <f>SUMIFS('сентябрь 2025'!$G$2:$G$2497,'сентябрь 2025'!$D$2:$D$2497,$B40,'сентябрь 2025'!$J$2:$J$2497,N$1)</f>
        <v>0</v>
      </c>
      <c r="O40" s="182">
        <f>SUMIFS('сентябрь 2025'!$G$2:$G$2497,'сентябрь 2025'!$D$2:$D$2497,$B40,'сентябрь 2025'!$J$2:$J$2497,O$1)</f>
        <v>0</v>
      </c>
      <c r="P40" s="182">
        <f>SUMIFS('сентябрь 2025'!$G$2:$G$2497,'сентябрь 2025'!$D$2:$D$2497,$B40,'сентябрь 2025'!$J$2:$J$2497,P$1)</f>
        <v>0</v>
      </c>
      <c r="Q40" s="182">
        <f>SUMIFS('сентябрь 2025'!$G$2:$G$2497,'сентябрь 2025'!$D$2:$D$2497,$B40,'сентябрь 2025'!$J$2:$J$2497,Q$1)</f>
        <v>0</v>
      </c>
      <c r="R40" s="182">
        <f>SUMIFS('сентябрь 2025'!$G$2:$G$2497,'сентябрь 2025'!$D$2:$D$2497,$B40,'сентябрь 2025'!$J$2:$J$2497,R$1)</f>
        <v>0</v>
      </c>
      <c r="S40" s="182">
        <f>SUMIFS('сентябрь 2025'!$G$2:$G$2497,'сентябрь 2025'!$D$2:$D$2497,$B40,'сентябрь 2025'!$J$2:$J$2497,S$1)</f>
        <v>0</v>
      </c>
      <c r="T40" s="182">
        <f>SUMIFS('сентябрь 2025'!$G$2:$G$2497,'сентябрь 2025'!$D$2:$D$2497,$B40,'сентябрь 2025'!$J$2:$J$2497,T$1)</f>
        <v>0</v>
      </c>
      <c r="U40" s="182">
        <f>SUMIFS('сентябрь 2025'!$G$2:$G$2497,'сентябрь 2025'!$D$2:$D$2497,$B40,'сентябрь 2025'!$J$2:$J$2497,U$1)</f>
        <v>0</v>
      </c>
      <c r="V40" s="182">
        <f>SUMIFS('сентябрь 2025'!$G$2:$G$2497,'сентябрь 2025'!$D$2:$D$2497,$B40,'сентябрь 2025'!$J$2:$J$2497,V$1)</f>
        <v>0</v>
      </c>
      <c r="W40" s="182">
        <f>SUMIFS('сентябрь 2025'!$G$2:$G$2497,'сентябрь 2025'!$D$2:$D$2497,$B40,'сентябрь 2025'!$J$2:$J$2497,W$1)</f>
        <v>0</v>
      </c>
      <c r="X40" s="182">
        <f>SUMIFS('сентябрь 2025'!$G$2:$G$2497,'сентябрь 2025'!$D$2:$D$2497,$B40,'сентябрь 2025'!$J$2:$J$2497,X$1)</f>
        <v>0</v>
      </c>
      <c r="Y40" s="182">
        <f>SUMIFS('сентябрь 2025'!$G$2:$G$2497,'сентябрь 2025'!$D$2:$D$2497,$B40,'сентябрь 2025'!$J$2:$J$2497,Y$1)</f>
        <v>0</v>
      </c>
      <c r="Z40" s="182">
        <f>SUMIFS('сентябрь 2025'!$G$2:$G$2497,'сентябрь 2025'!$D$2:$D$2497,$B40,'сентябрь 2025'!$J$2:$J$2497,Z$1)</f>
        <v>0</v>
      </c>
      <c r="AA40" s="182">
        <f>SUMIFS('сентябрь 2025'!$G$2:$G$2497,'сентябрь 2025'!$D$2:$D$2497,$B40,'сентябрь 2025'!$J$2:$J$2497,AA$1)</f>
        <v>0</v>
      </c>
      <c r="AB40" s="182">
        <f>SUMIFS('сентябрь 2025'!$G$2:$G$2497,'сентябрь 2025'!$D$2:$D$2497,$B40,'сентябрь 2025'!$J$2:$J$2497,AB$1)</f>
        <v>0</v>
      </c>
      <c r="AC40" s="182">
        <f>SUMIFS('сентябрь 2025'!$G$2:$G$2497,'сентябрь 2025'!$D$2:$D$2497,$B40,'сентябрь 2025'!$J$2:$J$2497,AC$1)</f>
        <v>0</v>
      </c>
      <c r="AD40" s="182">
        <f>SUMIFS('сентябрь 2025'!$G$2:$G$2497,'сентябрь 2025'!$D$2:$D$2497,$B40,'сентябрь 2025'!$J$2:$J$2497,AD$1)</f>
        <v>0</v>
      </c>
      <c r="AE40" s="182">
        <f>SUMIFS('сентябрь 2025'!$G$2:$G$2497,'сентябрь 2025'!$D$2:$D$2497,$B40,'сентябрь 2025'!$J$2:$J$2497,AE$1)</f>
        <v>0</v>
      </c>
      <c r="AF40" s="182">
        <f>SUMIFS('сентябрь 2025'!$G$2:$G$2497,'сентябрь 2025'!$D$2:$D$2497,$B40,'сентябрь 2025'!$J$2:$J$2497,AF$1)</f>
        <v>0</v>
      </c>
      <c r="AG40" s="182">
        <f>SUMIFS('сентябрь 2025'!$G$2:$G$2497,'сентябрь 2025'!$D$2:$D$2497,$B40,'сентябрь 2025'!$J$2:$J$2497,AG$1)</f>
        <v>0</v>
      </c>
      <c r="AH40" s="182">
        <f>SUMIFS('сентябрь 2025'!$G$2:$G$2497,'сентябрь 2025'!$D$2:$D$2497,$B40,'сентябрь 2025'!$J$2:$J$2497,AH$1)</f>
        <v>0</v>
      </c>
      <c r="AI40" s="20">
        <f t="shared" si="1"/>
        <v>0</v>
      </c>
    </row>
    <row r="41" spans="2:35" ht="15" customHeight="1" x14ac:dyDescent="0.25">
      <c r="B41" s="131" t="s">
        <v>1016</v>
      </c>
      <c r="C41" s="133">
        <v>20</v>
      </c>
      <c r="D41" s="182">
        <f>SUMIFS('сентябрь 2025'!$G$2:$G$2497,'сентябрь 2025'!$D$2:$D$2497,$B41,'сентябрь 2025'!$J$2:$J$2497,D$1)</f>
        <v>0</v>
      </c>
      <c r="E41" s="182">
        <f>SUMIFS('сентябрь 2025'!$G$2:$G$2497,'сентябрь 2025'!$D$2:$D$2497,$B41,'сентябрь 2025'!$J$2:$J$2497,E$1)</f>
        <v>0</v>
      </c>
      <c r="F41" s="182">
        <f>SUMIFS('сентябрь 2025'!$G$2:$G$2497,'сентябрь 2025'!$D$2:$D$2497,$B41,'сентябрь 2025'!$J$2:$J$2497,F$1)</f>
        <v>0</v>
      </c>
      <c r="G41" s="182">
        <f>SUMIFS('сентябрь 2025'!$G$2:$G$2497,'сентябрь 2025'!$D$2:$D$2497,$B41,'сентябрь 2025'!$J$2:$J$2497,G$1)</f>
        <v>0</v>
      </c>
      <c r="H41" s="182">
        <f>SUMIFS('сентябрь 2025'!$G$2:$G$2497,'сентябрь 2025'!$D$2:$D$2497,$B41,'сентябрь 2025'!$J$2:$J$2497,H$1)</f>
        <v>0</v>
      </c>
      <c r="I41" s="182">
        <f>SUMIFS('сентябрь 2025'!$G$2:$G$2497,'сентябрь 2025'!$D$2:$D$2497,$B41,'сентябрь 2025'!$J$2:$J$2497,I$1)</f>
        <v>0</v>
      </c>
      <c r="J41" s="182">
        <f>SUMIFS('сентябрь 2025'!$G$2:$G$2497,'сентябрь 2025'!$D$2:$D$2497,$B41,'сентябрь 2025'!$J$2:$J$2497,J$1)</f>
        <v>0</v>
      </c>
      <c r="K41" s="182">
        <f>SUMIFS('сентябрь 2025'!$G$2:$G$2497,'сентябрь 2025'!$D$2:$D$2497,$B41,'сентябрь 2025'!$J$2:$J$2497,K$1)</f>
        <v>0</v>
      </c>
      <c r="L41" s="182">
        <f>SUMIFS('сентябрь 2025'!$G$2:$G$2497,'сентябрь 2025'!$D$2:$D$2497,$B41,'сентябрь 2025'!$J$2:$J$2497,L$1)</f>
        <v>0</v>
      </c>
      <c r="M41" s="182">
        <f>SUMIFS('сентябрь 2025'!$G$2:$G$2497,'сентябрь 2025'!$D$2:$D$2497,$B41,'сентябрь 2025'!$J$2:$J$2497,M$1)</f>
        <v>0</v>
      </c>
      <c r="N41" s="182">
        <f>SUMIFS('сентябрь 2025'!$G$2:$G$2497,'сентябрь 2025'!$D$2:$D$2497,$B41,'сентябрь 2025'!$J$2:$J$2497,N$1)</f>
        <v>0</v>
      </c>
      <c r="O41" s="182">
        <f>SUMIFS('сентябрь 2025'!$G$2:$G$2497,'сентябрь 2025'!$D$2:$D$2497,$B41,'сентябрь 2025'!$J$2:$J$2497,O$1)</f>
        <v>0</v>
      </c>
      <c r="P41" s="182">
        <f>SUMIFS('сентябрь 2025'!$G$2:$G$2497,'сентябрь 2025'!$D$2:$D$2497,$B41,'сентябрь 2025'!$J$2:$J$2497,P$1)</f>
        <v>0</v>
      </c>
      <c r="Q41" s="182">
        <f>SUMIFS('сентябрь 2025'!$G$2:$G$2497,'сентябрь 2025'!$D$2:$D$2497,$B41,'сентябрь 2025'!$J$2:$J$2497,Q$1)</f>
        <v>0</v>
      </c>
      <c r="R41" s="182">
        <f>SUMIFS('сентябрь 2025'!$G$2:$G$2497,'сентябрь 2025'!$D$2:$D$2497,$B41,'сентябрь 2025'!$J$2:$J$2497,R$1)</f>
        <v>0</v>
      </c>
      <c r="S41" s="182">
        <f>SUMIFS('сентябрь 2025'!$G$2:$G$2497,'сентябрь 2025'!$D$2:$D$2497,$B41,'сентябрь 2025'!$J$2:$J$2497,S$1)</f>
        <v>0</v>
      </c>
      <c r="T41" s="182">
        <f>SUMIFS('сентябрь 2025'!$G$2:$G$2497,'сентябрь 2025'!$D$2:$D$2497,$B41,'сентябрь 2025'!$J$2:$J$2497,T$1)</f>
        <v>0</v>
      </c>
      <c r="U41" s="182">
        <f>SUMIFS('сентябрь 2025'!$G$2:$G$2497,'сентябрь 2025'!$D$2:$D$2497,$B41,'сентябрь 2025'!$J$2:$J$2497,U$1)</f>
        <v>0</v>
      </c>
      <c r="V41" s="182">
        <f>SUMIFS('сентябрь 2025'!$G$2:$G$2497,'сентябрь 2025'!$D$2:$D$2497,$B41,'сентябрь 2025'!$J$2:$J$2497,V$1)</f>
        <v>0</v>
      </c>
      <c r="W41" s="182">
        <f>SUMIFS('сентябрь 2025'!$G$2:$G$2497,'сентябрь 2025'!$D$2:$D$2497,$B41,'сентябрь 2025'!$J$2:$J$2497,W$1)</f>
        <v>0</v>
      </c>
      <c r="X41" s="182">
        <f>SUMIFS('сентябрь 2025'!$G$2:$G$2497,'сентябрь 2025'!$D$2:$D$2497,$B41,'сентябрь 2025'!$J$2:$J$2497,X$1)</f>
        <v>0</v>
      </c>
      <c r="Y41" s="182">
        <f>SUMIFS('сентябрь 2025'!$G$2:$G$2497,'сентябрь 2025'!$D$2:$D$2497,$B41,'сентябрь 2025'!$J$2:$J$2497,Y$1)</f>
        <v>0</v>
      </c>
      <c r="Z41" s="182">
        <f>SUMIFS('сентябрь 2025'!$G$2:$G$2497,'сентябрь 2025'!$D$2:$D$2497,$B41,'сентябрь 2025'!$J$2:$J$2497,Z$1)</f>
        <v>0</v>
      </c>
      <c r="AA41" s="182">
        <f>SUMIFS('сентябрь 2025'!$G$2:$G$2497,'сентябрь 2025'!$D$2:$D$2497,$B41,'сентябрь 2025'!$J$2:$J$2497,AA$1)</f>
        <v>0</v>
      </c>
      <c r="AB41" s="182">
        <f>SUMIFS('сентябрь 2025'!$G$2:$G$2497,'сентябрь 2025'!$D$2:$D$2497,$B41,'сентябрь 2025'!$J$2:$J$2497,AB$1)</f>
        <v>0</v>
      </c>
      <c r="AC41" s="182">
        <f>SUMIFS('сентябрь 2025'!$G$2:$G$2497,'сентябрь 2025'!$D$2:$D$2497,$B41,'сентябрь 2025'!$J$2:$J$2497,AC$1)</f>
        <v>0</v>
      </c>
      <c r="AD41" s="182">
        <f>SUMIFS('сентябрь 2025'!$G$2:$G$2497,'сентябрь 2025'!$D$2:$D$2497,$B41,'сентябрь 2025'!$J$2:$J$2497,AD$1)</f>
        <v>0</v>
      </c>
      <c r="AE41" s="182">
        <f>SUMIFS('сентябрь 2025'!$G$2:$G$2497,'сентябрь 2025'!$D$2:$D$2497,$B41,'сентябрь 2025'!$J$2:$J$2497,AE$1)</f>
        <v>0</v>
      </c>
      <c r="AF41" s="182">
        <f>SUMIFS('сентябрь 2025'!$G$2:$G$2497,'сентябрь 2025'!$D$2:$D$2497,$B41,'сентябрь 2025'!$J$2:$J$2497,AF$1)</f>
        <v>0</v>
      </c>
      <c r="AG41" s="182">
        <f>SUMIFS('сентябрь 2025'!$G$2:$G$2497,'сентябрь 2025'!$D$2:$D$2497,$B41,'сентябрь 2025'!$J$2:$J$2497,AG$1)</f>
        <v>0</v>
      </c>
      <c r="AH41" s="182">
        <f>SUMIFS('сентябрь 2025'!$G$2:$G$2497,'сентябрь 2025'!$D$2:$D$2497,$B41,'сентябрь 2025'!$J$2:$J$2497,AH$1)</f>
        <v>0</v>
      </c>
      <c r="AI41" s="20">
        <f t="shared" si="1"/>
        <v>0</v>
      </c>
    </row>
    <row r="42" spans="2:35" ht="15" customHeight="1" x14ac:dyDescent="0.25">
      <c r="B42" s="131" t="s">
        <v>223</v>
      </c>
      <c r="C42" s="133">
        <v>25</v>
      </c>
      <c r="D42" s="182">
        <f>SUMIFS('сентябрь 2025'!$G$2:$G$2497,'сентябрь 2025'!$D$2:$D$2497,$B42,'сентябрь 2025'!$J$2:$J$2497,D$1)</f>
        <v>0</v>
      </c>
      <c r="E42" s="182">
        <f>SUMIFS('сентябрь 2025'!$G$2:$G$2497,'сентябрь 2025'!$D$2:$D$2497,$B42,'сентябрь 2025'!$J$2:$J$2497,E$1)</f>
        <v>0</v>
      </c>
      <c r="F42" s="182">
        <f>SUMIFS('сентябрь 2025'!$G$2:$G$2497,'сентябрь 2025'!$D$2:$D$2497,$B42,'сентябрь 2025'!$J$2:$J$2497,F$1)</f>
        <v>0</v>
      </c>
      <c r="G42" s="182">
        <f>SUMIFS('сентябрь 2025'!$G$2:$G$2497,'сентябрь 2025'!$D$2:$D$2497,$B42,'сентябрь 2025'!$J$2:$J$2497,G$1)</f>
        <v>0</v>
      </c>
      <c r="H42" s="182">
        <f>SUMIFS('сентябрь 2025'!$G$2:$G$2497,'сентябрь 2025'!$D$2:$D$2497,$B42,'сентябрь 2025'!$J$2:$J$2497,H$1)</f>
        <v>320</v>
      </c>
      <c r="I42" s="182">
        <f>SUMIFS('сентябрь 2025'!$G$2:$G$2497,'сентябрь 2025'!$D$2:$D$2497,$B42,'сентябрь 2025'!$J$2:$J$2497,I$1)</f>
        <v>0</v>
      </c>
      <c r="J42" s="182">
        <f>SUMIFS('сентябрь 2025'!$G$2:$G$2497,'сентябрь 2025'!$D$2:$D$2497,$B42,'сентябрь 2025'!$J$2:$J$2497,J$1)</f>
        <v>0</v>
      </c>
      <c r="K42" s="182">
        <f>SUMIFS('сентябрь 2025'!$G$2:$G$2497,'сентябрь 2025'!$D$2:$D$2497,$B42,'сентябрь 2025'!$J$2:$J$2497,K$1)</f>
        <v>0</v>
      </c>
      <c r="L42" s="182">
        <f>SUMIFS('сентябрь 2025'!$G$2:$G$2497,'сентябрь 2025'!$D$2:$D$2497,$B42,'сентябрь 2025'!$J$2:$J$2497,L$1)</f>
        <v>0</v>
      </c>
      <c r="M42" s="182">
        <f>SUMIFS('сентябрь 2025'!$G$2:$G$2497,'сентябрь 2025'!$D$2:$D$2497,$B42,'сентябрь 2025'!$J$2:$J$2497,M$1)</f>
        <v>0</v>
      </c>
      <c r="N42" s="182">
        <f>SUMIFS('сентябрь 2025'!$G$2:$G$2497,'сентябрь 2025'!$D$2:$D$2497,$B42,'сентябрь 2025'!$J$2:$J$2497,N$1)</f>
        <v>720</v>
      </c>
      <c r="O42" s="182">
        <f>SUMIFS('сентябрь 2025'!$G$2:$G$2497,'сентябрь 2025'!$D$2:$D$2497,$B42,'сентябрь 2025'!$J$2:$J$2497,O$1)</f>
        <v>0</v>
      </c>
      <c r="P42" s="182">
        <f>SUMIFS('сентябрь 2025'!$G$2:$G$2497,'сентябрь 2025'!$D$2:$D$2497,$B42,'сентябрь 2025'!$J$2:$J$2497,P$1)</f>
        <v>0</v>
      </c>
      <c r="Q42" s="182">
        <f>SUMIFS('сентябрь 2025'!$G$2:$G$2497,'сентябрь 2025'!$D$2:$D$2497,$B42,'сентябрь 2025'!$J$2:$J$2497,Q$1)</f>
        <v>0</v>
      </c>
      <c r="R42" s="182">
        <f>SUMIFS('сентябрь 2025'!$G$2:$G$2497,'сентябрь 2025'!$D$2:$D$2497,$B42,'сентябрь 2025'!$J$2:$J$2497,R$1)</f>
        <v>0</v>
      </c>
      <c r="S42" s="182">
        <f>SUMIFS('сентябрь 2025'!$G$2:$G$2497,'сентябрь 2025'!$D$2:$D$2497,$B42,'сентябрь 2025'!$J$2:$J$2497,S$1)</f>
        <v>0</v>
      </c>
      <c r="T42" s="182">
        <f>SUMIFS('сентябрь 2025'!$G$2:$G$2497,'сентябрь 2025'!$D$2:$D$2497,$B42,'сентябрь 2025'!$J$2:$J$2497,T$1)</f>
        <v>0</v>
      </c>
      <c r="U42" s="182">
        <f>SUMIFS('сентябрь 2025'!$G$2:$G$2497,'сентябрь 2025'!$D$2:$D$2497,$B42,'сентябрь 2025'!$J$2:$J$2497,U$1)</f>
        <v>0</v>
      </c>
      <c r="V42" s="182">
        <f>SUMIFS('сентябрь 2025'!$G$2:$G$2497,'сентябрь 2025'!$D$2:$D$2497,$B42,'сентябрь 2025'!$J$2:$J$2497,V$1)</f>
        <v>0</v>
      </c>
      <c r="W42" s="182">
        <f>SUMIFS('сентябрь 2025'!$G$2:$G$2497,'сентябрь 2025'!$D$2:$D$2497,$B42,'сентябрь 2025'!$J$2:$J$2497,W$1)</f>
        <v>0</v>
      </c>
      <c r="X42" s="182">
        <f>SUMIFS('сентябрь 2025'!$G$2:$G$2497,'сентябрь 2025'!$D$2:$D$2497,$B42,'сентябрь 2025'!$J$2:$J$2497,X$1)</f>
        <v>0</v>
      </c>
      <c r="Y42" s="182">
        <f>SUMIFS('сентябрь 2025'!$G$2:$G$2497,'сентябрь 2025'!$D$2:$D$2497,$B42,'сентябрь 2025'!$J$2:$J$2497,Y$1)</f>
        <v>0</v>
      </c>
      <c r="Z42" s="182">
        <f>SUMIFS('сентябрь 2025'!$G$2:$G$2497,'сентябрь 2025'!$D$2:$D$2497,$B42,'сентябрь 2025'!$J$2:$J$2497,Z$1)</f>
        <v>320</v>
      </c>
      <c r="AA42" s="182">
        <f>SUMIFS('сентябрь 2025'!$G$2:$G$2497,'сентябрь 2025'!$D$2:$D$2497,$B42,'сентябрь 2025'!$J$2:$J$2497,AA$1)</f>
        <v>40</v>
      </c>
      <c r="AB42" s="182">
        <f>SUMIFS('сентябрь 2025'!$G$2:$G$2497,'сентябрь 2025'!$D$2:$D$2497,$B42,'сентябрь 2025'!$J$2:$J$2497,AB$1)</f>
        <v>0</v>
      </c>
      <c r="AC42" s="182">
        <f>SUMIFS('сентябрь 2025'!$G$2:$G$2497,'сентябрь 2025'!$D$2:$D$2497,$B42,'сентябрь 2025'!$J$2:$J$2497,AC$1)</f>
        <v>0</v>
      </c>
      <c r="AD42" s="182">
        <f>SUMIFS('сентябрь 2025'!$G$2:$G$2497,'сентябрь 2025'!$D$2:$D$2497,$B42,'сентябрь 2025'!$J$2:$J$2497,AD$1)</f>
        <v>0</v>
      </c>
      <c r="AE42" s="182">
        <f>SUMIFS('сентябрь 2025'!$G$2:$G$2497,'сентябрь 2025'!$D$2:$D$2497,$B42,'сентябрь 2025'!$J$2:$J$2497,AE$1)</f>
        <v>0</v>
      </c>
      <c r="AF42" s="182">
        <f>SUMIFS('сентябрь 2025'!$G$2:$G$2497,'сентябрь 2025'!$D$2:$D$2497,$B42,'сентябрь 2025'!$J$2:$J$2497,AF$1)</f>
        <v>0</v>
      </c>
      <c r="AG42" s="182">
        <f>SUMIFS('сентябрь 2025'!$G$2:$G$2497,'сентябрь 2025'!$D$2:$D$2497,$B42,'сентябрь 2025'!$J$2:$J$2497,AG$1)</f>
        <v>0</v>
      </c>
      <c r="AH42" s="182">
        <f>SUMIFS('сентябрь 2025'!$G$2:$G$2497,'сентябрь 2025'!$D$2:$D$2497,$B42,'сентябрь 2025'!$J$2:$J$2497,AH$1)</f>
        <v>0</v>
      </c>
      <c r="AI42" s="20">
        <f t="shared" si="1"/>
        <v>1400</v>
      </c>
    </row>
    <row r="43" spans="2:35" ht="15" customHeight="1" x14ac:dyDescent="0.25">
      <c r="B43" s="131" t="s">
        <v>225</v>
      </c>
      <c r="C43" s="134">
        <v>25</v>
      </c>
      <c r="D43" s="182">
        <f>SUMIFS('сентябрь 2025'!$G$2:$G$2497,'сентябрь 2025'!$D$2:$D$2497,$B43,'сентябрь 2025'!$J$2:$J$2497,D$1)</f>
        <v>0</v>
      </c>
      <c r="E43" s="182">
        <f>SUMIFS('сентябрь 2025'!$G$2:$G$2497,'сентябрь 2025'!$D$2:$D$2497,$B43,'сентябрь 2025'!$J$2:$J$2497,E$1)</f>
        <v>0</v>
      </c>
      <c r="F43" s="182">
        <f>SUMIFS('сентябрь 2025'!$G$2:$G$2497,'сентябрь 2025'!$D$2:$D$2497,$B43,'сентябрь 2025'!$J$2:$J$2497,F$1)</f>
        <v>0</v>
      </c>
      <c r="G43" s="182">
        <f>SUMIFS('сентябрь 2025'!$G$2:$G$2497,'сентябрь 2025'!$D$2:$D$2497,$B43,'сентябрь 2025'!$J$2:$J$2497,G$1)</f>
        <v>0</v>
      </c>
      <c r="H43" s="182">
        <f>SUMIFS('сентябрь 2025'!$G$2:$G$2497,'сентябрь 2025'!$D$2:$D$2497,$B43,'сентябрь 2025'!$J$2:$J$2497,H$1)</f>
        <v>0</v>
      </c>
      <c r="I43" s="182">
        <f>SUMIFS('сентябрь 2025'!$G$2:$G$2497,'сентябрь 2025'!$D$2:$D$2497,$B43,'сентябрь 2025'!$J$2:$J$2497,I$1)</f>
        <v>0</v>
      </c>
      <c r="J43" s="182">
        <f>SUMIFS('сентябрь 2025'!$G$2:$G$2497,'сентябрь 2025'!$D$2:$D$2497,$B43,'сентябрь 2025'!$J$2:$J$2497,J$1)</f>
        <v>0</v>
      </c>
      <c r="K43" s="182">
        <f>SUMIFS('сентябрь 2025'!$G$2:$G$2497,'сентябрь 2025'!$D$2:$D$2497,$B43,'сентябрь 2025'!$J$2:$J$2497,K$1)</f>
        <v>0</v>
      </c>
      <c r="L43" s="182">
        <f>SUMIFS('сентябрь 2025'!$G$2:$G$2497,'сентябрь 2025'!$D$2:$D$2497,$B43,'сентябрь 2025'!$J$2:$J$2497,L$1)</f>
        <v>0</v>
      </c>
      <c r="M43" s="182">
        <f>SUMIFS('сентябрь 2025'!$G$2:$G$2497,'сентябрь 2025'!$D$2:$D$2497,$B43,'сентябрь 2025'!$J$2:$J$2497,M$1)</f>
        <v>0</v>
      </c>
      <c r="N43" s="182">
        <f>SUMIFS('сентябрь 2025'!$G$2:$G$2497,'сентябрь 2025'!$D$2:$D$2497,$B43,'сентябрь 2025'!$J$2:$J$2497,N$1)</f>
        <v>0</v>
      </c>
      <c r="O43" s="182">
        <f>SUMIFS('сентябрь 2025'!$G$2:$G$2497,'сентябрь 2025'!$D$2:$D$2497,$B43,'сентябрь 2025'!$J$2:$J$2497,O$1)</f>
        <v>0</v>
      </c>
      <c r="P43" s="182">
        <f>SUMIFS('сентябрь 2025'!$G$2:$G$2497,'сентябрь 2025'!$D$2:$D$2497,$B43,'сентябрь 2025'!$J$2:$J$2497,P$1)</f>
        <v>0</v>
      </c>
      <c r="Q43" s="182">
        <f>SUMIFS('сентябрь 2025'!$G$2:$G$2497,'сентябрь 2025'!$D$2:$D$2497,$B43,'сентябрь 2025'!$J$2:$J$2497,Q$1)</f>
        <v>0</v>
      </c>
      <c r="R43" s="182">
        <f>SUMIFS('сентябрь 2025'!$G$2:$G$2497,'сентябрь 2025'!$D$2:$D$2497,$B43,'сентябрь 2025'!$J$2:$J$2497,R$1)</f>
        <v>0</v>
      </c>
      <c r="S43" s="182">
        <f>SUMIFS('сентябрь 2025'!$G$2:$G$2497,'сентябрь 2025'!$D$2:$D$2497,$B43,'сентябрь 2025'!$J$2:$J$2497,S$1)</f>
        <v>0</v>
      </c>
      <c r="T43" s="182">
        <f>SUMIFS('сентябрь 2025'!$G$2:$G$2497,'сентябрь 2025'!$D$2:$D$2497,$B43,'сентябрь 2025'!$J$2:$J$2497,T$1)</f>
        <v>0</v>
      </c>
      <c r="U43" s="182">
        <f>SUMIFS('сентябрь 2025'!$G$2:$G$2497,'сентябрь 2025'!$D$2:$D$2497,$B43,'сентябрь 2025'!$J$2:$J$2497,U$1)</f>
        <v>0</v>
      </c>
      <c r="V43" s="182">
        <f>SUMIFS('сентябрь 2025'!$G$2:$G$2497,'сентябрь 2025'!$D$2:$D$2497,$B43,'сентябрь 2025'!$J$2:$J$2497,V$1)</f>
        <v>0</v>
      </c>
      <c r="W43" s="182">
        <f>SUMIFS('сентябрь 2025'!$G$2:$G$2497,'сентябрь 2025'!$D$2:$D$2497,$B43,'сентябрь 2025'!$J$2:$J$2497,W$1)</f>
        <v>0</v>
      </c>
      <c r="X43" s="182">
        <f>SUMIFS('сентябрь 2025'!$G$2:$G$2497,'сентябрь 2025'!$D$2:$D$2497,$B43,'сентябрь 2025'!$J$2:$J$2497,X$1)</f>
        <v>0</v>
      </c>
      <c r="Y43" s="182">
        <f>SUMIFS('сентябрь 2025'!$G$2:$G$2497,'сентябрь 2025'!$D$2:$D$2497,$B43,'сентябрь 2025'!$J$2:$J$2497,Y$1)</f>
        <v>0</v>
      </c>
      <c r="Z43" s="182">
        <f>SUMIFS('сентябрь 2025'!$G$2:$G$2497,'сентябрь 2025'!$D$2:$D$2497,$B43,'сентябрь 2025'!$J$2:$J$2497,Z$1)</f>
        <v>0</v>
      </c>
      <c r="AA43" s="182">
        <f>SUMIFS('сентябрь 2025'!$G$2:$G$2497,'сентябрь 2025'!$D$2:$D$2497,$B43,'сентябрь 2025'!$J$2:$J$2497,AA$1)</f>
        <v>0</v>
      </c>
      <c r="AB43" s="182">
        <f>SUMIFS('сентябрь 2025'!$G$2:$G$2497,'сентябрь 2025'!$D$2:$D$2497,$B43,'сентябрь 2025'!$J$2:$J$2497,AB$1)</f>
        <v>0</v>
      </c>
      <c r="AC43" s="182">
        <f>SUMIFS('сентябрь 2025'!$G$2:$G$2497,'сентябрь 2025'!$D$2:$D$2497,$B43,'сентябрь 2025'!$J$2:$J$2497,AC$1)</f>
        <v>0</v>
      </c>
      <c r="AD43" s="182">
        <f>SUMIFS('сентябрь 2025'!$G$2:$G$2497,'сентябрь 2025'!$D$2:$D$2497,$B43,'сентябрь 2025'!$J$2:$J$2497,AD$1)</f>
        <v>0</v>
      </c>
      <c r="AE43" s="182">
        <f>SUMIFS('сентябрь 2025'!$G$2:$G$2497,'сентябрь 2025'!$D$2:$D$2497,$B43,'сентябрь 2025'!$J$2:$J$2497,AE$1)</f>
        <v>0</v>
      </c>
      <c r="AF43" s="182">
        <f>SUMIFS('сентябрь 2025'!$G$2:$G$2497,'сентябрь 2025'!$D$2:$D$2497,$B43,'сентябрь 2025'!$J$2:$J$2497,AF$1)</f>
        <v>0</v>
      </c>
      <c r="AG43" s="182">
        <f>SUMIFS('сентябрь 2025'!$G$2:$G$2497,'сентябрь 2025'!$D$2:$D$2497,$B43,'сентябрь 2025'!$J$2:$J$2497,AG$1)</f>
        <v>0</v>
      </c>
      <c r="AH43" s="182">
        <f>SUMIFS('сентябрь 2025'!$G$2:$G$2497,'сентябрь 2025'!$D$2:$D$2497,$B43,'сентябрь 2025'!$J$2:$J$2497,AH$1)</f>
        <v>0</v>
      </c>
      <c r="AI43" s="20">
        <f t="shared" si="1"/>
        <v>0</v>
      </c>
    </row>
    <row r="44" spans="2:35" ht="15" customHeight="1" x14ac:dyDescent="0.25">
      <c r="B44" s="131" t="s">
        <v>227</v>
      </c>
      <c r="C44" s="130">
        <v>22.68</v>
      </c>
      <c r="D44" s="182">
        <f>SUMIFS('сентябрь 2025'!$G$2:$G$2497,'сентябрь 2025'!$D$2:$D$2497,$B44,'сентябрь 2025'!$J$2:$J$2497,D$1)</f>
        <v>0</v>
      </c>
      <c r="E44" s="182">
        <f>SUMIFS('сентябрь 2025'!$G$2:$G$2497,'сентябрь 2025'!$D$2:$D$2497,$B44,'сентябрь 2025'!$J$2:$J$2497,E$1)</f>
        <v>0</v>
      </c>
      <c r="F44" s="182">
        <f>SUMIFS('сентябрь 2025'!$G$2:$G$2497,'сентябрь 2025'!$D$2:$D$2497,$B44,'сентябрь 2025'!$J$2:$J$2497,F$1)</f>
        <v>0</v>
      </c>
      <c r="G44" s="182">
        <f>SUMIFS('сентябрь 2025'!$G$2:$G$2497,'сентябрь 2025'!$D$2:$D$2497,$B44,'сентябрь 2025'!$J$2:$J$2497,G$1)</f>
        <v>0</v>
      </c>
      <c r="H44" s="182">
        <f>SUMIFS('сентябрь 2025'!$G$2:$G$2497,'сентябрь 2025'!$D$2:$D$2497,$B44,'сентябрь 2025'!$J$2:$J$2497,H$1)</f>
        <v>0</v>
      </c>
      <c r="I44" s="182">
        <f>SUMIFS('сентябрь 2025'!$G$2:$G$2497,'сентябрь 2025'!$D$2:$D$2497,$B44,'сентябрь 2025'!$J$2:$J$2497,I$1)</f>
        <v>0</v>
      </c>
      <c r="J44" s="182">
        <f>SUMIFS('сентябрь 2025'!$G$2:$G$2497,'сентябрь 2025'!$D$2:$D$2497,$B44,'сентябрь 2025'!$J$2:$J$2497,J$1)</f>
        <v>0</v>
      </c>
      <c r="K44" s="182">
        <f>SUMIFS('сентябрь 2025'!$G$2:$G$2497,'сентябрь 2025'!$D$2:$D$2497,$B44,'сентябрь 2025'!$J$2:$J$2497,K$1)</f>
        <v>0</v>
      </c>
      <c r="L44" s="182">
        <f>SUMIFS('сентябрь 2025'!$G$2:$G$2497,'сентябрь 2025'!$D$2:$D$2497,$B44,'сентябрь 2025'!$J$2:$J$2497,L$1)</f>
        <v>0</v>
      </c>
      <c r="M44" s="182">
        <f>SUMIFS('сентябрь 2025'!$G$2:$G$2497,'сентябрь 2025'!$D$2:$D$2497,$B44,'сентябрь 2025'!$J$2:$J$2497,M$1)</f>
        <v>0</v>
      </c>
      <c r="N44" s="182">
        <f>SUMIFS('сентябрь 2025'!$G$2:$G$2497,'сентябрь 2025'!$D$2:$D$2497,$B44,'сентябрь 2025'!$J$2:$J$2497,N$1)</f>
        <v>0</v>
      </c>
      <c r="O44" s="182">
        <f>SUMIFS('сентябрь 2025'!$G$2:$G$2497,'сентябрь 2025'!$D$2:$D$2497,$B44,'сентябрь 2025'!$J$2:$J$2497,O$1)</f>
        <v>0</v>
      </c>
      <c r="P44" s="182">
        <f>SUMIFS('сентябрь 2025'!$G$2:$G$2497,'сентябрь 2025'!$D$2:$D$2497,$B44,'сентябрь 2025'!$J$2:$J$2497,P$1)</f>
        <v>0</v>
      </c>
      <c r="Q44" s="182">
        <f>SUMIFS('сентябрь 2025'!$G$2:$G$2497,'сентябрь 2025'!$D$2:$D$2497,$B44,'сентябрь 2025'!$J$2:$J$2497,Q$1)</f>
        <v>0</v>
      </c>
      <c r="R44" s="182">
        <f>SUMIFS('сентябрь 2025'!$G$2:$G$2497,'сентябрь 2025'!$D$2:$D$2497,$B44,'сентябрь 2025'!$J$2:$J$2497,R$1)</f>
        <v>0</v>
      </c>
      <c r="S44" s="182">
        <f>SUMIFS('сентябрь 2025'!$G$2:$G$2497,'сентябрь 2025'!$D$2:$D$2497,$B44,'сентябрь 2025'!$J$2:$J$2497,S$1)</f>
        <v>0</v>
      </c>
      <c r="T44" s="182">
        <f>SUMIFS('сентябрь 2025'!$G$2:$G$2497,'сентябрь 2025'!$D$2:$D$2497,$B44,'сентябрь 2025'!$J$2:$J$2497,T$1)</f>
        <v>0</v>
      </c>
      <c r="U44" s="182">
        <f>SUMIFS('сентябрь 2025'!$G$2:$G$2497,'сентябрь 2025'!$D$2:$D$2497,$B44,'сентябрь 2025'!$J$2:$J$2497,U$1)</f>
        <v>0</v>
      </c>
      <c r="V44" s="182">
        <f>SUMIFS('сентябрь 2025'!$G$2:$G$2497,'сентябрь 2025'!$D$2:$D$2497,$B44,'сентябрь 2025'!$J$2:$J$2497,V$1)</f>
        <v>0</v>
      </c>
      <c r="W44" s="182">
        <f>SUMIFS('сентябрь 2025'!$G$2:$G$2497,'сентябрь 2025'!$D$2:$D$2497,$B44,'сентябрь 2025'!$J$2:$J$2497,W$1)</f>
        <v>0</v>
      </c>
      <c r="X44" s="182">
        <f>SUMIFS('сентябрь 2025'!$G$2:$G$2497,'сентябрь 2025'!$D$2:$D$2497,$B44,'сентябрь 2025'!$J$2:$J$2497,X$1)</f>
        <v>0</v>
      </c>
      <c r="Y44" s="182">
        <f>SUMIFS('сентябрь 2025'!$G$2:$G$2497,'сентябрь 2025'!$D$2:$D$2497,$B44,'сентябрь 2025'!$J$2:$J$2497,Y$1)</f>
        <v>0</v>
      </c>
      <c r="Z44" s="182">
        <f>SUMIFS('сентябрь 2025'!$G$2:$G$2497,'сентябрь 2025'!$D$2:$D$2497,$B44,'сентябрь 2025'!$J$2:$J$2497,Z$1)</f>
        <v>0</v>
      </c>
      <c r="AA44" s="182">
        <f>SUMIFS('сентябрь 2025'!$G$2:$G$2497,'сентябрь 2025'!$D$2:$D$2497,$B44,'сентябрь 2025'!$J$2:$J$2497,AA$1)</f>
        <v>0</v>
      </c>
      <c r="AB44" s="182">
        <f>SUMIFS('сентябрь 2025'!$G$2:$G$2497,'сентябрь 2025'!$D$2:$D$2497,$B44,'сентябрь 2025'!$J$2:$J$2497,AB$1)</f>
        <v>0</v>
      </c>
      <c r="AC44" s="182">
        <f>SUMIFS('сентябрь 2025'!$G$2:$G$2497,'сентябрь 2025'!$D$2:$D$2497,$B44,'сентябрь 2025'!$J$2:$J$2497,AC$1)</f>
        <v>0</v>
      </c>
      <c r="AD44" s="182">
        <f>SUMIFS('сентябрь 2025'!$G$2:$G$2497,'сентябрь 2025'!$D$2:$D$2497,$B44,'сентябрь 2025'!$J$2:$J$2497,AD$1)</f>
        <v>0</v>
      </c>
      <c r="AE44" s="182">
        <f>SUMIFS('сентябрь 2025'!$G$2:$G$2497,'сентябрь 2025'!$D$2:$D$2497,$B44,'сентябрь 2025'!$J$2:$J$2497,AE$1)</f>
        <v>0</v>
      </c>
      <c r="AF44" s="182">
        <f>SUMIFS('сентябрь 2025'!$G$2:$G$2497,'сентябрь 2025'!$D$2:$D$2497,$B44,'сентябрь 2025'!$J$2:$J$2497,AF$1)</f>
        <v>0</v>
      </c>
      <c r="AG44" s="182">
        <f>SUMIFS('сентябрь 2025'!$G$2:$G$2497,'сентябрь 2025'!$D$2:$D$2497,$B44,'сентябрь 2025'!$J$2:$J$2497,AG$1)</f>
        <v>0</v>
      </c>
      <c r="AH44" s="182">
        <f>SUMIFS('сентябрь 2025'!$G$2:$G$2497,'сентябрь 2025'!$D$2:$D$2497,$B44,'сентябрь 2025'!$J$2:$J$2497,AH$1)</f>
        <v>0</v>
      </c>
      <c r="AI44" s="20">
        <f t="shared" si="1"/>
        <v>0</v>
      </c>
    </row>
    <row r="45" spans="2:35" ht="15" customHeight="1" x14ac:dyDescent="0.25">
      <c r="B45" s="135" t="s">
        <v>229</v>
      </c>
      <c r="C45" s="132">
        <v>25</v>
      </c>
      <c r="D45" s="182">
        <f>SUMIFS('сентябрь 2025'!$G$2:$G$2497,'сентябрь 2025'!$D$2:$D$2497,$B45,'сентябрь 2025'!$J$2:$J$2497,D$1)</f>
        <v>0</v>
      </c>
      <c r="E45" s="182">
        <f>SUMIFS('сентябрь 2025'!$G$2:$G$2497,'сентябрь 2025'!$D$2:$D$2497,$B45,'сентябрь 2025'!$J$2:$J$2497,E$1)</f>
        <v>0</v>
      </c>
      <c r="F45" s="182">
        <f>SUMIFS('сентябрь 2025'!$G$2:$G$2497,'сентябрь 2025'!$D$2:$D$2497,$B45,'сентябрь 2025'!$J$2:$J$2497,F$1)</f>
        <v>0</v>
      </c>
      <c r="G45" s="182">
        <f>SUMIFS('сентябрь 2025'!$G$2:$G$2497,'сентябрь 2025'!$D$2:$D$2497,$B45,'сентябрь 2025'!$J$2:$J$2497,G$1)</f>
        <v>0</v>
      </c>
      <c r="H45" s="182">
        <f>SUMIFS('сентябрь 2025'!$G$2:$G$2497,'сентябрь 2025'!$D$2:$D$2497,$B45,'сентябрь 2025'!$J$2:$J$2497,H$1)</f>
        <v>0</v>
      </c>
      <c r="I45" s="182">
        <f>SUMIFS('сентябрь 2025'!$G$2:$G$2497,'сентябрь 2025'!$D$2:$D$2497,$B45,'сентябрь 2025'!$J$2:$J$2497,I$1)</f>
        <v>0</v>
      </c>
      <c r="J45" s="182">
        <f>SUMIFS('сентябрь 2025'!$G$2:$G$2497,'сентябрь 2025'!$D$2:$D$2497,$B45,'сентябрь 2025'!$J$2:$J$2497,J$1)</f>
        <v>0</v>
      </c>
      <c r="K45" s="182">
        <f>SUMIFS('сентябрь 2025'!$G$2:$G$2497,'сентябрь 2025'!$D$2:$D$2497,$B45,'сентябрь 2025'!$J$2:$J$2497,K$1)</f>
        <v>0</v>
      </c>
      <c r="L45" s="182">
        <f>SUMIFS('сентябрь 2025'!$G$2:$G$2497,'сентябрь 2025'!$D$2:$D$2497,$B45,'сентябрь 2025'!$J$2:$J$2497,L$1)</f>
        <v>0</v>
      </c>
      <c r="M45" s="182">
        <f>SUMIFS('сентябрь 2025'!$G$2:$G$2497,'сентябрь 2025'!$D$2:$D$2497,$B45,'сентябрь 2025'!$J$2:$J$2497,M$1)</f>
        <v>0</v>
      </c>
      <c r="N45" s="182">
        <f>SUMIFS('сентябрь 2025'!$G$2:$G$2497,'сентябрь 2025'!$D$2:$D$2497,$B45,'сентябрь 2025'!$J$2:$J$2497,N$1)</f>
        <v>0</v>
      </c>
      <c r="O45" s="182">
        <f>SUMIFS('сентябрь 2025'!$G$2:$G$2497,'сентябрь 2025'!$D$2:$D$2497,$B45,'сентябрь 2025'!$J$2:$J$2497,O$1)</f>
        <v>0</v>
      </c>
      <c r="P45" s="182">
        <f>SUMIFS('сентябрь 2025'!$G$2:$G$2497,'сентябрь 2025'!$D$2:$D$2497,$B45,'сентябрь 2025'!$J$2:$J$2497,P$1)</f>
        <v>0</v>
      </c>
      <c r="Q45" s="182">
        <f>SUMIFS('сентябрь 2025'!$G$2:$G$2497,'сентябрь 2025'!$D$2:$D$2497,$B45,'сентябрь 2025'!$J$2:$J$2497,Q$1)</f>
        <v>0</v>
      </c>
      <c r="R45" s="182">
        <f>SUMIFS('сентябрь 2025'!$G$2:$G$2497,'сентябрь 2025'!$D$2:$D$2497,$B45,'сентябрь 2025'!$J$2:$J$2497,R$1)</f>
        <v>0</v>
      </c>
      <c r="S45" s="182">
        <f>SUMIFS('сентябрь 2025'!$G$2:$G$2497,'сентябрь 2025'!$D$2:$D$2497,$B45,'сентябрь 2025'!$J$2:$J$2497,S$1)</f>
        <v>0</v>
      </c>
      <c r="T45" s="182">
        <f>SUMIFS('сентябрь 2025'!$G$2:$G$2497,'сентябрь 2025'!$D$2:$D$2497,$B45,'сентябрь 2025'!$J$2:$J$2497,T$1)</f>
        <v>0</v>
      </c>
      <c r="U45" s="182">
        <f>SUMIFS('сентябрь 2025'!$G$2:$G$2497,'сентябрь 2025'!$D$2:$D$2497,$B45,'сентябрь 2025'!$J$2:$J$2497,U$1)</f>
        <v>0</v>
      </c>
      <c r="V45" s="182">
        <f>SUMIFS('сентябрь 2025'!$G$2:$G$2497,'сентябрь 2025'!$D$2:$D$2497,$B45,'сентябрь 2025'!$J$2:$J$2497,V$1)</f>
        <v>0</v>
      </c>
      <c r="W45" s="182">
        <f>SUMIFS('сентябрь 2025'!$G$2:$G$2497,'сентябрь 2025'!$D$2:$D$2497,$B45,'сентябрь 2025'!$J$2:$J$2497,W$1)</f>
        <v>0</v>
      </c>
      <c r="X45" s="182">
        <f>SUMIFS('сентябрь 2025'!$G$2:$G$2497,'сентябрь 2025'!$D$2:$D$2497,$B45,'сентябрь 2025'!$J$2:$J$2497,X$1)</f>
        <v>0</v>
      </c>
      <c r="Y45" s="182">
        <f>SUMIFS('сентябрь 2025'!$G$2:$G$2497,'сентябрь 2025'!$D$2:$D$2497,$B45,'сентябрь 2025'!$J$2:$J$2497,Y$1)</f>
        <v>0</v>
      </c>
      <c r="Z45" s="182">
        <f>SUMIFS('сентябрь 2025'!$G$2:$G$2497,'сентябрь 2025'!$D$2:$D$2497,$B45,'сентябрь 2025'!$J$2:$J$2497,Z$1)</f>
        <v>0</v>
      </c>
      <c r="AA45" s="182">
        <f>SUMIFS('сентябрь 2025'!$G$2:$G$2497,'сентябрь 2025'!$D$2:$D$2497,$B45,'сентябрь 2025'!$J$2:$J$2497,AA$1)</f>
        <v>0</v>
      </c>
      <c r="AB45" s="182">
        <f>SUMIFS('сентябрь 2025'!$G$2:$G$2497,'сентябрь 2025'!$D$2:$D$2497,$B45,'сентябрь 2025'!$J$2:$J$2497,AB$1)</f>
        <v>0</v>
      </c>
      <c r="AC45" s="182">
        <f>SUMIFS('сентябрь 2025'!$G$2:$G$2497,'сентябрь 2025'!$D$2:$D$2497,$B45,'сентябрь 2025'!$J$2:$J$2497,AC$1)</f>
        <v>0</v>
      </c>
      <c r="AD45" s="182">
        <f>SUMIFS('сентябрь 2025'!$G$2:$G$2497,'сентябрь 2025'!$D$2:$D$2497,$B45,'сентябрь 2025'!$J$2:$J$2497,AD$1)</f>
        <v>0</v>
      </c>
      <c r="AE45" s="182">
        <f>SUMIFS('сентябрь 2025'!$G$2:$G$2497,'сентябрь 2025'!$D$2:$D$2497,$B45,'сентябрь 2025'!$J$2:$J$2497,AE$1)</f>
        <v>0</v>
      </c>
      <c r="AF45" s="182">
        <f>SUMIFS('сентябрь 2025'!$G$2:$G$2497,'сентябрь 2025'!$D$2:$D$2497,$B45,'сентябрь 2025'!$J$2:$J$2497,AF$1)</f>
        <v>0</v>
      </c>
      <c r="AG45" s="182">
        <f>SUMIFS('сентябрь 2025'!$G$2:$G$2497,'сентябрь 2025'!$D$2:$D$2497,$B45,'сентябрь 2025'!$J$2:$J$2497,AG$1)</f>
        <v>0</v>
      </c>
      <c r="AH45" s="182">
        <f>SUMIFS('сентябрь 2025'!$G$2:$G$2497,'сентябрь 2025'!$D$2:$D$2497,$B45,'сентябрь 2025'!$J$2:$J$2497,AH$1)</f>
        <v>0</v>
      </c>
      <c r="AI45" s="20">
        <f t="shared" si="1"/>
        <v>0</v>
      </c>
    </row>
    <row r="46" spans="2:35" ht="15" customHeight="1" x14ac:dyDescent="0.25">
      <c r="B46" s="131" t="s">
        <v>230</v>
      </c>
      <c r="C46" s="134">
        <v>25</v>
      </c>
      <c r="D46" s="182">
        <f>SUMIFS('сентябрь 2025'!$G$2:$G$2497,'сентябрь 2025'!$D$2:$D$2497,$B46,'сентябрь 2025'!$J$2:$J$2497,D$1)</f>
        <v>0</v>
      </c>
      <c r="E46" s="182">
        <f>SUMIFS('сентябрь 2025'!$G$2:$G$2497,'сентябрь 2025'!$D$2:$D$2497,$B46,'сентябрь 2025'!$J$2:$J$2497,E$1)</f>
        <v>0</v>
      </c>
      <c r="F46" s="182">
        <f>SUMIFS('сентябрь 2025'!$G$2:$G$2497,'сентябрь 2025'!$D$2:$D$2497,$B46,'сентябрь 2025'!$J$2:$J$2497,F$1)</f>
        <v>0</v>
      </c>
      <c r="G46" s="182">
        <f>SUMIFS('сентябрь 2025'!$G$2:$G$2497,'сентябрь 2025'!$D$2:$D$2497,$B46,'сентябрь 2025'!$J$2:$J$2497,G$1)</f>
        <v>0</v>
      </c>
      <c r="H46" s="182">
        <f>SUMIFS('сентябрь 2025'!$G$2:$G$2497,'сентябрь 2025'!$D$2:$D$2497,$B46,'сентябрь 2025'!$J$2:$J$2497,H$1)</f>
        <v>0</v>
      </c>
      <c r="I46" s="182">
        <f>SUMIFS('сентябрь 2025'!$G$2:$G$2497,'сентябрь 2025'!$D$2:$D$2497,$B46,'сентябрь 2025'!$J$2:$J$2497,I$1)</f>
        <v>0</v>
      </c>
      <c r="J46" s="182">
        <f>SUMIFS('сентябрь 2025'!$G$2:$G$2497,'сентябрь 2025'!$D$2:$D$2497,$B46,'сентябрь 2025'!$J$2:$J$2497,J$1)</f>
        <v>0</v>
      </c>
      <c r="K46" s="182">
        <f>SUMIFS('сентябрь 2025'!$G$2:$G$2497,'сентябрь 2025'!$D$2:$D$2497,$B46,'сентябрь 2025'!$J$2:$J$2497,K$1)</f>
        <v>0</v>
      </c>
      <c r="L46" s="182">
        <f>SUMIFS('сентябрь 2025'!$G$2:$G$2497,'сентябрь 2025'!$D$2:$D$2497,$B46,'сентябрь 2025'!$J$2:$J$2497,L$1)</f>
        <v>0</v>
      </c>
      <c r="M46" s="182">
        <f>SUMIFS('сентябрь 2025'!$G$2:$G$2497,'сентябрь 2025'!$D$2:$D$2497,$B46,'сентябрь 2025'!$J$2:$J$2497,M$1)</f>
        <v>0</v>
      </c>
      <c r="N46" s="182">
        <f>SUMIFS('сентябрь 2025'!$G$2:$G$2497,'сентябрь 2025'!$D$2:$D$2497,$B46,'сентябрь 2025'!$J$2:$J$2497,N$1)</f>
        <v>0</v>
      </c>
      <c r="O46" s="182">
        <f>SUMIFS('сентябрь 2025'!$G$2:$G$2497,'сентябрь 2025'!$D$2:$D$2497,$B46,'сентябрь 2025'!$J$2:$J$2497,O$1)</f>
        <v>0</v>
      </c>
      <c r="P46" s="182">
        <f>SUMIFS('сентябрь 2025'!$G$2:$G$2497,'сентябрь 2025'!$D$2:$D$2497,$B46,'сентябрь 2025'!$J$2:$J$2497,P$1)</f>
        <v>0</v>
      </c>
      <c r="Q46" s="182">
        <f>SUMIFS('сентябрь 2025'!$G$2:$G$2497,'сентябрь 2025'!$D$2:$D$2497,$B46,'сентябрь 2025'!$J$2:$J$2497,Q$1)</f>
        <v>0</v>
      </c>
      <c r="R46" s="182">
        <f>SUMIFS('сентябрь 2025'!$G$2:$G$2497,'сентябрь 2025'!$D$2:$D$2497,$B46,'сентябрь 2025'!$J$2:$J$2497,R$1)</f>
        <v>0</v>
      </c>
      <c r="S46" s="182">
        <f>SUMIFS('сентябрь 2025'!$G$2:$G$2497,'сентябрь 2025'!$D$2:$D$2497,$B46,'сентябрь 2025'!$J$2:$J$2497,S$1)</f>
        <v>0</v>
      </c>
      <c r="T46" s="182">
        <f>SUMIFS('сентябрь 2025'!$G$2:$G$2497,'сентябрь 2025'!$D$2:$D$2497,$B46,'сентябрь 2025'!$J$2:$J$2497,T$1)</f>
        <v>0</v>
      </c>
      <c r="U46" s="182">
        <f>SUMIFS('сентябрь 2025'!$G$2:$G$2497,'сентябрь 2025'!$D$2:$D$2497,$B46,'сентябрь 2025'!$J$2:$J$2497,U$1)</f>
        <v>0</v>
      </c>
      <c r="V46" s="182">
        <f>SUMIFS('сентябрь 2025'!$G$2:$G$2497,'сентябрь 2025'!$D$2:$D$2497,$B46,'сентябрь 2025'!$J$2:$J$2497,V$1)</f>
        <v>0</v>
      </c>
      <c r="W46" s="182">
        <f>SUMIFS('сентябрь 2025'!$G$2:$G$2497,'сентябрь 2025'!$D$2:$D$2497,$B46,'сентябрь 2025'!$J$2:$J$2497,W$1)</f>
        <v>0</v>
      </c>
      <c r="X46" s="182">
        <f>SUMIFS('сентябрь 2025'!$G$2:$G$2497,'сентябрь 2025'!$D$2:$D$2497,$B46,'сентябрь 2025'!$J$2:$J$2497,X$1)</f>
        <v>0</v>
      </c>
      <c r="Y46" s="182">
        <f>SUMIFS('сентябрь 2025'!$G$2:$G$2497,'сентябрь 2025'!$D$2:$D$2497,$B46,'сентябрь 2025'!$J$2:$J$2497,Y$1)</f>
        <v>0</v>
      </c>
      <c r="Z46" s="182">
        <f>SUMIFS('сентябрь 2025'!$G$2:$G$2497,'сентябрь 2025'!$D$2:$D$2497,$B46,'сентябрь 2025'!$J$2:$J$2497,Z$1)</f>
        <v>0</v>
      </c>
      <c r="AA46" s="182">
        <f>SUMIFS('сентябрь 2025'!$G$2:$G$2497,'сентябрь 2025'!$D$2:$D$2497,$B46,'сентябрь 2025'!$J$2:$J$2497,AA$1)</f>
        <v>0</v>
      </c>
      <c r="AB46" s="182">
        <f>SUMIFS('сентябрь 2025'!$G$2:$G$2497,'сентябрь 2025'!$D$2:$D$2497,$B46,'сентябрь 2025'!$J$2:$J$2497,AB$1)</f>
        <v>0</v>
      </c>
      <c r="AC46" s="182">
        <f>SUMIFS('сентябрь 2025'!$G$2:$G$2497,'сентябрь 2025'!$D$2:$D$2497,$B46,'сентябрь 2025'!$J$2:$J$2497,AC$1)</f>
        <v>0</v>
      </c>
      <c r="AD46" s="182">
        <f>SUMIFS('сентябрь 2025'!$G$2:$G$2497,'сентябрь 2025'!$D$2:$D$2497,$B46,'сентябрь 2025'!$J$2:$J$2497,AD$1)</f>
        <v>0</v>
      </c>
      <c r="AE46" s="182">
        <f>SUMIFS('сентябрь 2025'!$G$2:$G$2497,'сентябрь 2025'!$D$2:$D$2497,$B46,'сентябрь 2025'!$J$2:$J$2497,AE$1)</f>
        <v>0</v>
      </c>
      <c r="AF46" s="182">
        <f>SUMIFS('сентябрь 2025'!$G$2:$G$2497,'сентябрь 2025'!$D$2:$D$2497,$B46,'сентябрь 2025'!$J$2:$J$2497,AF$1)</f>
        <v>0</v>
      </c>
      <c r="AG46" s="182">
        <f>SUMIFS('сентябрь 2025'!$G$2:$G$2497,'сентябрь 2025'!$D$2:$D$2497,$B46,'сентябрь 2025'!$J$2:$J$2497,AG$1)</f>
        <v>0</v>
      </c>
      <c r="AH46" s="182">
        <f>SUMIFS('сентябрь 2025'!$G$2:$G$2497,'сентябрь 2025'!$D$2:$D$2497,$B46,'сентябрь 2025'!$J$2:$J$2497,AH$1)</f>
        <v>0</v>
      </c>
      <c r="AI46" s="20">
        <f t="shared" si="1"/>
        <v>0</v>
      </c>
    </row>
    <row r="47" spans="2:35" ht="15" customHeight="1" x14ac:dyDescent="0.25">
      <c r="B47" s="135" t="s">
        <v>288</v>
      </c>
      <c r="C47" s="137">
        <v>25</v>
      </c>
      <c r="D47" s="182">
        <f>SUMIFS('сентябрь 2025'!$G$2:$G$2497,'сентябрь 2025'!$D$2:$D$2497,$B47,'сентябрь 2025'!$J$2:$J$2497,D$1)</f>
        <v>0</v>
      </c>
      <c r="E47" s="182">
        <f>SUMIFS('сентябрь 2025'!$G$2:$G$2497,'сентябрь 2025'!$D$2:$D$2497,$B47,'сентябрь 2025'!$J$2:$J$2497,E$1)</f>
        <v>0</v>
      </c>
      <c r="F47" s="182">
        <f>SUMIFS('сентябрь 2025'!$G$2:$G$2497,'сентябрь 2025'!$D$2:$D$2497,$B47,'сентябрь 2025'!$J$2:$J$2497,F$1)</f>
        <v>0</v>
      </c>
      <c r="G47" s="182">
        <f>SUMIFS('сентябрь 2025'!$G$2:$G$2497,'сентябрь 2025'!$D$2:$D$2497,$B47,'сентябрь 2025'!$J$2:$J$2497,G$1)</f>
        <v>0</v>
      </c>
      <c r="H47" s="182">
        <f>SUMIFS('сентябрь 2025'!$G$2:$G$2497,'сентябрь 2025'!$D$2:$D$2497,$B47,'сентябрь 2025'!$J$2:$J$2497,H$1)</f>
        <v>0</v>
      </c>
      <c r="I47" s="182">
        <f>SUMIFS('сентябрь 2025'!$G$2:$G$2497,'сентябрь 2025'!$D$2:$D$2497,$B47,'сентябрь 2025'!$J$2:$J$2497,I$1)</f>
        <v>0</v>
      </c>
      <c r="J47" s="182">
        <f>SUMIFS('сентябрь 2025'!$G$2:$G$2497,'сентябрь 2025'!$D$2:$D$2497,$B47,'сентябрь 2025'!$J$2:$J$2497,J$1)</f>
        <v>0</v>
      </c>
      <c r="K47" s="182">
        <f>SUMIFS('сентябрь 2025'!$G$2:$G$2497,'сентябрь 2025'!$D$2:$D$2497,$B47,'сентябрь 2025'!$J$2:$J$2497,K$1)</f>
        <v>0</v>
      </c>
      <c r="L47" s="182">
        <f>SUMIFS('сентябрь 2025'!$G$2:$G$2497,'сентябрь 2025'!$D$2:$D$2497,$B47,'сентябрь 2025'!$J$2:$J$2497,L$1)</f>
        <v>0</v>
      </c>
      <c r="M47" s="182">
        <f>SUMIFS('сентябрь 2025'!$G$2:$G$2497,'сентябрь 2025'!$D$2:$D$2497,$B47,'сентябрь 2025'!$J$2:$J$2497,M$1)</f>
        <v>0</v>
      </c>
      <c r="N47" s="182">
        <f>SUMIFS('сентябрь 2025'!$G$2:$G$2497,'сентябрь 2025'!$D$2:$D$2497,$B47,'сентябрь 2025'!$J$2:$J$2497,N$1)</f>
        <v>0</v>
      </c>
      <c r="O47" s="182">
        <f>SUMIFS('сентябрь 2025'!$G$2:$G$2497,'сентябрь 2025'!$D$2:$D$2497,$B47,'сентябрь 2025'!$J$2:$J$2497,O$1)</f>
        <v>0</v>
      </c>
      <c r="P47" s="182">
        <f>SUMIFS('сентябрь 2025'!$G$2:$G$2497,'сентябрь 2025'!$D$2:$D$2497,$B47,'сентябрь 2025'!$J$2:$J$2497,P$1)</f>
        <v>0</v>
      </c>
      <c r="Q47" s="182">
        <f>SUMIFS('сентябрь 2025'!$G$2:$G$2497,'сентябрь 2025'!$D$2:$D$2497,$B47,'сентябрь 2025'!$J$2:$J$2497,Q$1)</f>
        <v>0</v>
      </c>
      <c r="R47" s="182">
        <f>SUMIFS('сентябрь 2025'!$G$2:$G$2497,'сентябрь 2025'!$D$2:$D$2497,$B47,'сентябрь 2025'!$J$2:$J$2497,R$1)</f>
        <v>0</v>
      </c>
      <c r="S47" s="182">
        <f>SUMIFS('сентябрь 2025'!$G$2:$G$2497,'сентябрь 2025'!$D$2:$D$2497,$B47,'сентябрь 2025'!$J$2:$J$2497,S$1)</f>
        <v>0</v>
      </c>
      <c r="T47" s="182">
        <f>SUMIFS('сентябрь 2025'!$G$2:$G$2497,'сентябрь 2025'!$D$2:$D$2497,$B47,'сентябрь 2025'!$J$2:$J$2497,T$1)</f>
        <v>0</v>
      </c>
      <c r="U47" s="182">
        <f>SUMIFS('сентябрь 2025'!$G$2:$G$2497,'сентябрь 2025'!$D$2:$D$2497,$B47,'сентябрь 2025'!$J$2:$J$2497,U$1)</f>
        <v>0</v>
      </c>
      <c r="V47" s="182">
        <f>SUMIFS('сентябрь 2025'!$G$2:$G$2497,'сентябрь 2025'!$D$2:$D$2497,$B47,'сентябрь 2025'!$J$2:$J$2497,V$1)</f>
        <v>0</v>
      </c>
      <c r="W47" s="182">
        <f>SUMIFS('сентябрь 2025'!$G$2:$G$2497,'сентябрь 2025'!$D$2:$D$2497,$B47,'сентябрь 2025'!$J$2:$J$2497,W$1)</f>
        <v>0</v>
      </c>
      <c r="X47" s="182">
        <f>SUMIFS('сентябрь 2025'!$G$2:$G$2497,'сентябрь 2025'!$D$2:$D$2497,$B47,'сентябрь 2025'!$J$2:$J$2497,X$1)</f>
        <v>0</v>
      </c>
      <c r="Y47" s="182">
        <f>SUMIFS('сентябрь 2025'!$G$2:$G$2497,'сентябрь 2025'!$D$2:$D$2497,$B47,'сентябрь 2025'!$J$2:$J$2497,Y$1)</f>
        <v>0</v>
      </c>
      <c r="Z47" s="182">
        <f>SUMIFS('сентябрь 2025'!$G$2:$G$2497,'сентябрь 2025'!$D$2:$D$2497,$B47,'сентябрь 2025'!$J$2:$J$2497,Z$1)</f>
        <v>0</v>
      </c>
      <c r="AA47" s="182">
        <f>SUMIFS('сентябрь 2025'!$G$2:$G$2497,'сентябрь 2025'!$D$2:$D$2497,$B47,'сентябрь 2025'!$J$2:$J$2497,AA$1)</f>
        <v>0</v>
      </c>
      <c r="AB47" s="182">
        <f>SUMIFS('сентябрь 2025'!$G$2:$G$2497,'сентябрь 2025'!$D$2:$D$2497,$B47,'сентябрь 2025'!$J$2:$J$2497,AB$1)</f>
        <v>0</v>
      </c>
      <c r="AC47" s="182">
        <f>SUMIFS('сентябрь 2025'!$G$2:$G$2497,'сентябрь 2025'!$D$2:$D$2497,$B47,'сентябрь 2025'!$J$2:$J$2497,AC$1)</f>
        <v>0</v>
      </c>
      <c r="AD47" s="182">
        <f>SUMIFS('сентябрь 2025'!$G$2:$G$2497,'сентябрь 2025'!$D$2:$D$2497,$B47,'сентябрь 2025'!$J$2:$J$2497,AD$1)</f>
        <v>0</v>
      </c>
      <c r="AE47" s="182">
        <f>SUMIFS('сентябрь 2025'!$G$2:$G$2497,'сентябрь 2025'!$D$2:$D$2497,$B47,'сентябрь 2025'!$J$2:$J$2497,AE$1)</f>
        <v>0</v>
      </c>
      <c r="AF47" s="182">
        <f>SUMIFS('сентябрь 2025'!$G$2:$G$2497,'сентябрь 2025'!$D$2:$D$2497,$B47,'сентябрь 2025'!$J$2:$J$2497,AF$1)</f>
        <v>0</v>
      </c>
      <c r="AG47" s="182">
        <f>SUMIFS('сентябрь 2025'!$G$2:$G$2497,'сентябрь 2025'!$D$2:$D$2497,$B47,'сентябрь 2025'!$J$2:$J$2497,AG$1)</f>
        <v>0</v>
      </c>
      <c r="AH47" s="182">
        <f>SUMIFS('сентябрь 2025'!$G$2:$G$2497,'сентябрь 2025'!$D$2:$D$2497,$B47,'сентябрь 2025'!$J$2:$J$2497,AH$1)</f>
        <v>0</v>
      </c>
      <c r="AI47" s="20">
        <f t="shared" si="1"/>
        <v>0</v>
      </c>
    </row>
    <row r="48" spans="2:35" ht="15" customHeight="1" x14ac:dyDescent="0.25">
      <c r="B48" s="135" t="s">
        <v>232</v>
      </c>
      <c r="C48" s="132">
        <v>25</v>
      </c>
      <c r="D48" s="182">
        <f>SUMIFS('сентябрь 2025'!$G$2:$G$2497,'сентябрь 2025'!$D$2:$D$2497,$B48,'сентябрь 2025'!$J$2:$J$2497,D$1)</f>
        <v>0</v>
      </c>
      <c r="E48" s="182">
        <f>SUMIFS('сентябрь 2025'!$G$2:$G$2497,'сентябрь 2025'!$D$2:$D$2497,$B48,'сентябрь 2025'!$J$2:$J$2497,E$1)</f>
        <v>0</v>
      </c>
      <c r="F48" s="182">
        <f>SUMIFS('сентябрь 2025'!$G$2:$G$2497,'сентябрь 2025'!$D$2:$D$2497,$B48,'сентябрь 2025'!$J$2:$J$2497,F$1)</f>
        <v>0</v>
      </c>
      <c r="G48" s="182">
        <f>SUMIFS('сентябрь 2025'!$G$2:$G$2497,'сентябрь 2025'!$D$2:$D$2497,$B48,'сентябрь 2025'!$J$2:$J$2497,G$1)</f>
        <v>0</v>
      </c>
      <c r="H48" s="182">
        <f>SUMIFS('сентябрь 2025'!$G$2:$G$2497,'сентябрь 2025'!$D$2:$D$2497,$B48,'сентябрь 2025'!$J$2:$J$2497,H$1)</f>
        <v>700</v>
      </c>
      <c r="I48" s="182">
        <f>SUMIFS('сентябрь 2025'!$G$2:$G$2497,'сентябрь 2025'!$D$2:$D$2497,$B48,'сентябрь 2025'!$J$2:$J$2497,I$1)</f>
        <v>0</v>
      </c>
      <c r="J48" s="182">
        <f>SUMIFS('сентябрь 2025'!$G$2:$G$2497,'сентябрь 2025'!$D$2:$D$2497,$B48,'сентябрь 2025'!$J$2:$J$2497,J$1)</f>
        <v>0</v>
      </c>
      <c r="K48" s="182">
        <f>SUMIFS('сентябрь 2025'!$G$2:$G$2497,'сентябрь 2025'!$D$2:$D$2497,$B48,'сентябрь 2025'!$J$2:$J$2497,K$1)</f>
        <v>0</v>
      </c>
      <c r="L48" s="182">
        <f>SUMIFS('сентябрь 2025'!$G$2:$G$2497,'сентябрь 2025'!$D$2:$D$2497,$B48,'сентябрь 2025'!$J$2:$J$2497,L$1)</f>
        <v>0</v>
      </c>
      <c r="M48" s="182">
        <f>SUMIFS('сентябрь 2025'!$G$2:$G$2497,'сентябрь 2025'!$D$2:$D$2497,$B48,'сентябрь 2025'!$J$2:$J$2497,M$1)</f>
        <v>0</v>
      </c>
      <c r="N48" s="182">
        <f>SUMIFS('сентябрь 2025'!$G$2:$G$2497,'сентябрь 2025'!$D$2:$D$2497,$B48,'сентябрь 2025'!$J$2:$J$2497,N$1)</f>
        <v>0</v>
      </c>
      <c r="O48" s="182">
        <f>SUMIFS('сентябрь 2025'!$G$2:$G$2497,'сентябрь 2025'!$D$2:$D$2497,$B48,'сентябрь 2025'!$J$2:$J$2497,O$1)</f>
        <v>0</v>
      </c>
      <c r="P48" s="182">
        <f>SUMIFS('сентябрь 2025'!$G$2:$G$2497,'сентябрь 2025'!$D$2:$D$2497,$B48,'сентябрь 2025'!$J$2:$J$2497,P$1)</f>
        <v>0</v>
      </c>
      <c r="Q48" s="182">
        <f>SUMIFS('сентябрь 2025'!$G$2:$G$2497,'сентябрь 2025'!$D$2:$D$2497,$B48,'сентябрь 2025'!$J$2:$J$2497,Q$1)</f>
        <v>0</v>
      </c>
      <c r="R48" s="182">
        <f>SUMIFS('сентябрь 2025'!$G$2:$G$2497,'сентябрь 2025'!$D$2:$D$2497,$B48,'сентябрь 2025'!$J$2:$J$2497,R$1)</f>
        <v>0</v>
      </c>
      <c r="S48" s="182">
        <f>SUMIFS('сентябрь 2025'!$G$2:$G$2497,'сентябрь 2025'!$D$2:$D$2497,$B48,'сентябрь 2025'!$J$2:$J$2497,S$1)</f>
        <v>0</v>
      </c>
      <c r="T48" s="182">
        <f>SUMIFS('сентябрь 2025'!$G$2:$G$2497,'сентябрь 2025'!$D$2:$D$2497,$B48,'сентябрь 2025'!$J$2:$J$2497,T$1)</f>
        <v>0</v>
      </c>
      <c r="U48" s="182">
        <f>SUMIFS('сентябрь 2025'!$G$2:$G$2497,'сентябрь 2025'!$D$2:$D$2497,$B48,'сентябрь 2025'!$J$2:$J$2497,U$1)</f>
        <v>0</v>
      </c>
      <c r="V48" s="182">
        <f>SUMIFS('сентябрь 2025'!$G$2:$G$2497,'сентябрь 2025'!$D$2:$D$2497,$B48,'сентябрь 2025'!$J$2:$J$2497,V$1)</f>
        <v>0</v>
      </c>
      <c r="W48" s="182">
        <f>SUMIFS('сентябрь 2025'!$G$2:$G$2497,'сентябрь 2025'!$D$2:$D$2497,$B48,'сентябрь 2025'!$J$2:$J$2497,W$1)</f>
        <v>0</v>
      </c>
      <c r="X48" s="182">
        <f>SUMIFS('сентябрь 2025'!$G$2:$G$2497,'сентябрь 2025'!$D$2:$D$2497,$B48,'сентябрь 2025'!$J$2:$J$2497,X$1)</f>
        <v>0</v>
      </c>
      <c r="Y48" s="182">
        <f>SUMIFS('сентябрь 2025'!$G$2:$G$2497,'сентябрь 2025'!$D$2:$D$2497,$B48,'сентябрь 2025'!$J$2:$J$2497,Y$1)</f>
        <v>0</v>
      </c>
      <c r="Z48" s="182">
        <f>SUMIFS('сентябрь 2025'!$G$2:$G$2497,'сентябрь 2025'!$D$2:$D$2497,$B48,'сентябрь 2025'!$J$2:$J$2497,Z$1)</f>
        <v>0</v>
      </c>
      <c r="AA48" s="182">
        <f>SUMIFS('сентябрь 2025'!$G$2:$G$2497,'сентябрь 2025'!$D$2:$D$2497,$B48,'сентябрь 2025'!$J$2:$J$2497,AA$1)</f>
        <v>0</v>
      </c>
      <c r="AB48" s="182">
        <f>SUMIFS('сентябрь 2025'!$G$2:$G$2497,'сентябрь 2025'!$D$2:$D$2497,$B48,'сентябрь 2025'!$J$2:$J$2497,AB$1)</f>
        <v>0</v>
      </c>
      <c r="AC48" s="182">
        <f>SUMIFS('сентябрь 2025'!$G$2:$G$2497,'сентябрь 2025'!$D$2:$D$2497,$B48,'сентябрь 2025'!$J$2:$J$2497,AC$1)</f>
        <v>0</v>
      </c>
      <c r="AD48" s="182">
        <f>SUMIFS('сентябрь 2025'!$G$2:$G$2497,'сентябрь 2025'!$D$2:$D$2497,$B48,'сентябрь 2025'!$J$2:$J$2497,AD$1)</f>
        <v>0</v>
      </c>
      <c r="AE48" s="182">
        <f>SUMIFS('сентябрь 2025'!$G$2:$G$2497,'сентябрь 2025'!$D$2:$D$2497,$B48,'сентябрь 2025'!$J$2:$J$2497,AE$1)</f>
        <v>0</v>
      </c>
      <c r="AF48" s="182">
        <f>SUMIFS('сентябрь 2025'!$G$2:$G$2497,'сентябрь 2025'!$D$2:$D$2497,$B48,'сентябрь 2025'!$J$2:$J$2497,AF$1)</f>
        <v>0</v>
      </c>
      <c r="AG48" s="182">
        <f>SUMIFS('сентябрь 2025'!$G$2:$G$2497,'сентябрь 2025'!$D$2:$D$2497,$B48,'сентябрь 2025'!$J$2:$J$2497,AG$1)</f>
        <v>0</v>
      </c>
      <c r="AH48" s="182">
        <f>SUMIFS('сентябрь 2025'!$G$2:$G$2497,'сентябрь 2025'!$D$2:$D$2497,$B48,'сентябрь 2025'!$J$2:$J$2497,AH$1)</f>
        <v>0</v>
      </c>
      <c r="AI48" s="20">
        <f t="shared" si="1"/>
        <v>700</v>
      </c>
    </row>
    <row r="49" spans="2:35" ht="15" customHeight="1" x14ac:dyDescent="0.25">
      <c r="B49" s="135" t="s">
        <v>234</v>
      </c>
      <c r="C49" s="132">
        <v>18</v>
      </c>
      <c r="D49" s="182">
        <f>SUMIFS('сентябрь 2025'!$G$2:$G$2497,'сентябрь 2025'!$D$2:$D$2497,$B49,'сентябрь 2025'!$J$2:$J$2497,D$1)</f>
        <v>0</v>
      </c>
      <c r="E49" s="182">
        <f>SUMIFS('сентябрь 2025'!$G$2:$G$2497,'сентябрь 2025'!$D$2:$D$2497,$B49,'сентябрь 2025'!$J$2:$J$2497,E$1)</f>
        <v>0</v>
      </c>
      <c r="F49" s="182">
        <f>SUMIFS('сентябрь 2025'!$G$2:$G$2497,'сентябрь 2025'!$D$2:$D$2497,$B49,'сентябрь 2025'!$J$2:$J$2497,F$1)</f>
        <v>0</v>
      </c>
      <c r="G49" s="182">
        <f>SUMIFS('сентябрь 2025'!$G$2:$G$2497,'сентябрь 2025'!$D$2:$D$2497,$B49,'сентябрь 2025'!$J$2:$J$2497,G$1)</f>
        <v>0</v>
      </c>
      <c r="H49" s="182">
        <f>SUMIFS('сентябрь 2025'!$G$2:$G$2497,'сентябрь 2025'!$D$2:$D$2497,$B49,'сентябрь 2025'!$J$2:$J$2497,H$1)</f>
        <v>0</v>
      </c>
      <c r="I49" s="182">
        <f>SUMIFS('сентябрь 2025'!$G$2:$G$2497,'сентябрь 2025'!$D$2:$D$2497,$B49,'сентябрь 2025'!$J$2:$J$2497,I$1)</f>
        <v>0</v>
      </c>
      <c r="J49" s="182">
        <f>SUMIFS('сентябрь 2025'!$G$2:$G$2497,'сентябрь 2025'!$D$2:$D$2497,$B49,'сентябрь 2025'!$J$2:$J$2497,J$1)</f>
        <v>0</v>
      </c>
      <c r="K49" s="182">
        <f>SUMIFS('сентябрь 2025'!$G$2:$G$2497,'сентябрь 2025'!$D$2:$D$2497,$B49,'сентябрь 2025'!$J$2:$J$2497,K$1)</f>
        <v>0</v>
      </c>
      <c r="L49" s="182">
        <f>SUMIFS('сентябрь 2025'!$G$2:$G$2497,'сентябрь 2025'!$D$2:$D$2497,$B49,'сентябрь 2025'!$J$2:$J$2497,L$1)</f>
        <v>0</v>
      </c>
      <c r="M49" s="182">
        <f>SUMIFS('сентябрь 2025'!$G$2:$G$2497,'сентябрь 2025'!$D$2:$D$2497,$B49,'сентябрь 2025'!$J$2:$J$2497,M$1)</f>
        <v>0</v>
      </c>
      <c r="N49" s="182">
        <f>SUMIFS('сентябрь 2025'!$G$2:$G$2497,'сентябрь 2025'!$D$2:$D$2497,$B49,'сентябрь 2025'!$J$2:$J$2497,N$1)</f>
        <v>0</v>
      </c>
      <c r="O49" s="182">
        <f>SUMIFS('сентябрь 2025'!$G$2:$G$2497,'сентябрь 2025'!$D$2:$D$2497,$B49,'сентябрь 2025'!$J$2:$J$2497,O$1)</f>
        <v>0</v>
      </c>
      <c r="P49" s="182">
        <f>SUMIFS('сентябрь 2025'!$G$2:$G$2497,'сентябрь 2025'!$D$2:$D$2497,$B49,'сентябрь 2025'!$J$2:$J$2497,P$1)</f>
        <v>0</v>
      </c>
      <c r="Q49" s="182">
        <f>SUMIFS('сентябрь 2025'!$G$2:$G$2497,'сентябрь 2025'!$D$2:$D$2497,$B49,'сентябрь 2025'!$J$2:$J$2497,Q$1)</f>
        <v>0</v>
      </c>
      <c r="R49" s="182">
        <f>SUMIFS('сентябрь 2025'!$G$2:$G$2497,'сентябрь 2025'!$D$2:$D$2497,$B49,'сентябрь 2025'!$J$2:$J$2497,R$1)</f>
        <v>0</v>
      </c>
      <c r="S49" s="182">
        <f>SUMIFS('сентябрь 2025'!$G$2:$G$2497,'сентябрь 2025'!$D$2:$D$2497,$B49,'сентябрь 2025'!$J$2:$J$2497,S$1)</f>
        <v>0</v>
      </c>
      <c r="T49" s="182">
        <f>SUMIFS('сентябрь 2025'!$G$2:$G$2497,'сентябрь 2025'!$D$2:$D$2497,$B49,'сентябрь 2025'!$J$2:$J$2497,T$1)</f>
        <v>0</v>
      </c>
      <c r="U49" s="182">
        <f>SUMIFS('сентябрь 2025'!$G$2:$G$2497,'сентябрь 2025'!$D$2:$D$2497,$B49,'сентябрь 2025'!$J$2:$J$2497,U$1)</f>
        <v>0</v>
      </c>
      <c r="V49" s="182">
        <f>SUMIFS('сентябрь 2025'!$G$2:$G$2497,'сентябрь 2025'!$D$2:$D$2497,$B49,'сентябрь 2025'!$J$2:$J$2497,V$1)</f>
        <v>0</v>
      </c>
      <c r="W49" s="182">
        <f>SUMIFS('сентябрь 2025'!$G$2:$G$2497,'сентябрь 2025'!$D$2:$D$2497,$B49,'сентябрь 2025'!$J$2:$J$2497,W$1)</f>
        <v>0</v>
      </c>
      <c r="X49" s="182">
        <f>SUMIFS('сентябрь 2025'!$G$2:$G$2497,'сентябрь 2025'!$D$2:$D$2497,$B49,'сентябрь 2025'!$J$2:$J$2497,X$1)</f>
        <v>0</v>
      </c>
      <c r="Y49" s="182">
        <f>SUMIFS('сентябрь 2025'!$G$2:$G$2497,'сентябрь 2025'!$D$2:$D$2497,$B49,'сентябрь 2025'!$J$2:$J$2497,Y$1)</f>
        <v>0</v>
      </c>
      <c r="Z49" s="182">
        <f>SUMIFS('сентябрь 2025'!$G$2:$G$2497,'сентябрь 2025'!$D$2:$D$2497,$B49,'сентябрь 2025'!$J$2:$J$2497,Z$1)</f>
        <v>0</v>
      </c>
      <c r="AA49" s="182">
        <f>SUMIFS('сентябрь 2025'!$G$2:$G$2497,'сентябрь 2025'!$D$2:$D$2497,$B49,'сентябрь 2025'!$J$2:$J$2497,AA$1)</f>
        <v>0</v>
      </c>
      <c r="AB49" s="182">
        <f>SUMIFS('сентябрь 2025'!$G$2:$G$2497,'сентябрь 2025'!$D$2:$D$2497,$B49,'сентябрь 2025'!$J$2:$J$2497,AB$1)</f>
        <v>0</v>
      </c>
      <c r="AC49" s="182">
        <f>SUMIFS('сентябрь 2025'!$G$2:$G$2497,'сентябрь 2025'!$D$2:$D$2497,$B49,'сентябрь 2025'!$J$2:$J$2497,AC$1)</f>
        <v>0</v>
      </c>
      <c r="AD49" s="182">
        <f>SUMIFS('сентябрь 2025'!$G$2:$G$2497,'сентябрь 2025'!$D$2:$D$2497,$B49,'сентябрь 2025'!$J$2:$J$2497,AD$1)</f>
        <v>0</v>
      </c>
      <c r="AE49" s="182">
        <f>SUMIFS('сентябрь 2025'!$G$2:$G$2497,'сентябрь 2025'!$D$2:$D$2497,$B49,'сентябрь 2025'!$J$2:$J$2497,AE$1)</f>
        <v>0</v>
      </c>
      <c r="AF49" s="182">
        <f>SUMIFS('сентябрь 2025'!$G$2:$G$2497,'сентябрь 2025'!$D$2:$D$2497,$B49,'сентябрь 2025'!$J$2:$J$2497,AF$1)</f>
        <v>0</v>
      </c>
      <c r="AG49" s="182">
        <f>SUMIFS('сентябрь 2025'!$G$2:$G$2497,'сентябрь 2025'!$D$2:$D$2497,$B49,'сентябрь 2025'!$J$2:$J$2497,AG$1)</f>
        <v>0</v>
      </c>
      <c r="AH49" s="182">
        <f>SUMIFS('сентябрь 2025'!$G$2:$G$2497,'сентябрь 2025'!$D$2:$D$2497,$B49,'сентябрь 2025'!$J$2:$J$2497,AH$1)</f>
        <v>0</v>
      </c>
      <c r="AI49" s="20">
        <f t="shared" si="1"/>
        <v>0</v>
      </c>
    </row>
    <row r="50" spans="2:35" ht="15" customHeight="1" x14ac:dyDescent="0.25">
      <c r="B50" s="135" t="s">
        <v>1079</v>
      </c>
      <c r="C50" s="132">
        <v>18</v>
      </c>
      <c r="D50" s="182">
        <f>SUMIFS('сентябрь 2025'!$G$2:$G$2497,'сентябрь 2025'!$D$2:$D$2497,$B50,'сентябрь 2025'!$J$2:$J$2497,D$1)</f>
        <v>0</v>
      </c>
      <c r="E50" s="182">
        <f>SUMIFS('сентябрь 2025'!$G$2:$G$2497,'сентябрь 2025'!$D$2:$D$2497,$B50,'сентябрь 2025'!$J$2:$J$2497,E$1)</f>
        <v>0</v>
      </c>
      <c r="F50" s="182">
        <f>SUMIFS('сентябрь 2025'!$G$2:$G$2497,'сентябрь 2025'!$D$2:$D$2497,$B50,'сентябрь 2025'!$J$2:$J$2497,F$1)</f>
        <v>0</v>
      </c>
      <c r="G50" s="182">
        <f>SUMIFS('сентябрь 2025'!$G$2:$G$2497,'сентябрь 2025'!$D$2:$D$2497,$B50,'сентябрь 2025'!$J$2:$J$2497,G$1)</f>
        <v>0</v>
      </c>
      <c r="H50" s="182">
        <f>SUMIFS('сентябрь 2025'!$G$2:$G$2497,'сентябрь 2025'!$D$2:$D$2497,$B50,'сентябрь 2025'!$J$2:$J$2497,H$1)</f>
        <v>0</v>
      </c>
      <c r="I50" s="182">
        <f>SUMIFS('сентябрь 2025'!$G$2:$G$2497,'сентябрь 2025'!$D$2:$D$2497,$B50,'сентябрь 2025'!$J$2:$J$2497,I$1)</f>
        <v>0</v>
      </c>
      <c r="J50" s="182">
        <f>SUMIFS('сентябрь 2025'!$G$2:$G$2497,'сентябрь 2025'!$D$2:$D$2497,$B50,'сентябрь 2025'!$J$2:$J$2497,J$1)</f>
        <v>0</v>
      </c>
      <c r="K50" s="182">
        <f>SUMIFS('сентябрь 2025'!$G$2:$G$2497,'сентябрь 2025'!$D$2:$D$2497,$B50,'сентябрь 2025'!$J$2:$J$2497,K$1)</f>
        <v>0</v>
      </c>
      <c r="L50" s="182">
        <f>SUMIFS('сентябрь 2025'!$G$2:$G$2497,'сентябрь 2025'!$D$2:$D$2497,$B50,'сентябрь 2025'!$J$2:$J$2497,L$1)</f>
        <v>0</v>
      </c>
      <c r="M50" s="182">
        <f>SUMIFS('сентябрь 2025'!$G$2:$G$2497,'сентябрь 2025'!$D$2:$D$2497,$B50,'сентябрь 2025'!$J$2:$J$2497,M$1)</f>
        <v>0</v>
      </c>
      <c r="N50" s="182">
        <f>SUMIFS('сентябрь 2025'!$G$2:$G$2497,'сентябрь 2025'!$D$2:$D$2497,$B50,'сентябрь 2025'!$J$2:$J$2497,N$1)</f>
        <v>0</v>
      </c>
      <c r="O50" s="182">
        <f>SUMIFS('сентябрь 2025'!$G$2:$G$2497,'сентябрь 2025'!$D$2:$D$2497,$B50,'сентябрь 2025'!$J$2:$J$2497,O$1)</f>
        <v>0</v>
      </c>
      <c r="P50" s="182">
        <f>SUMIFS('сентябрь 2025'!$G$2:$G$2497,'сентябрь 2025'!$D$2:$D$2497,$B50,'сентябрь 2025'!$J$2:$J$2497,P$1)</f>
        <v>0</v>
      </c>
      <c r="Q50" s="182">
        <f>SUMIFS('сентябрь 2025'!$G$2:$G$2497,'сентябрь 2025'!$D$2:$D$2497,$B50,'сентябрь 2025'!$J$2:$J$2497,Q$1)</f>
        <v>0</v>
      </c>
      <c r="R50" s="182">
        <f>SUMIFS('сентябрь 2025'!$G$2:$G$2497,'сентябрь 2025'!$D$2:$D$2497,$B50,'сентябрь 2025'!$J$2:$J$2497,R$1)</f>
        <v>0</v>
      </c>
      <c r="S50" s="182">
        <f>SUMIFS('сентябрь 2025'!$G$2:$G$2497,'сентябрь 2025'!$D$2:$D$2497,$B50,'сентябрь 2025'!$J$2:$J$2497,S$1)</f>
        <v>0</v>
      </c>
      <c r="T50" s="182">
        <f>SUMIFS('сентябрь 2025'!$G$2:$G$2497,'сентябрь 2025'!$D$2:$D$2497,$B50,'сентябрь 2025'!$J$2:$J$2497,T$1)</f>
        <v>0</v>
      </c>
      <c r="U50" s="182">
        <f>SUMIFS('сентябрь 2025'!$G$2:$G$2497,'сентябрь 2025'!$D$2:$D$2497,$B50,'сентябрь 2025'!$J$2:$J$2497,U$1)</f>
        <v>0</v>
      </c>
      <c r="V50" s="182">
        <f>SUMIFS('сентябрь 2025'!$G$2:$G$2497,'сентябрь 2025'!$D$2:$D$2497,$B50,'сентябрь 2025'!$J$2:$J$2497,V$1)</f>
        <v>0</v>
      </c>
      <c r="W50" s="182">
        <f>SUMIFS('сентябрь 2025'!$G$2:$G$2497,'сентябрь 2025'!$D$2:$D$2497,$B50,'сентябрь 2025'!$J$2:$J$2497,W$1)</f>
        <v>0</v>
      </c>
      <c r="X50" s="182">
        <f>SUMIFS('сентябрь 2025'!$G$2:$G$2497,'сентябрь 2025'!$D$2:$D$2497,$B50,'сентябрь 2025'!$J$2:$J$2497,X$1)</f>
        <v>0</v>
      </c>
      <c r="Y50" s="182">
        <f>SUMIFS('сентябрь 2025'!$G$2:$G$2497,'сентябрь 2025'!$D$2:$D$2497,$B50,'сентябрь 2025'!$J$2:$J$2497,Y$1)</f>
        <v>0</v>
      </c>
      <c r="Z50" s="182">
        <f>SUMIFS('сентябрь 2025'!$G$2:$G$2497,'сентябрь 2025'!$D$2:$D$2497,$B50,'сентябрь 2025'!$J$2:$J$2497,Z$1)</f>
        <v>0</v>
      </c>
      <c r="AA50" s="182">
        <f>SUMIFS('сентябрь 2025'!$G$2:$G$2497,'сентябрь 2025'!$D$2:$D$2497,$B50,'сентябрь 2025'!$J$2:$J$2497,AA$1)</f>
        <v>0</v>
      </c>
      <c r="AB50" s="182">
        <f>SUMIFS('сентябрь 2025'!$G$2:$G$2497,'сентябрь 2025'!$D$2:$D$2497,$B50,'сентябрь 2025'!$J$2:$J$2497,AB$1)</f>
        <v>0</v>
      </c>
      <c r="AC50" s="182">
        <f>SUMIFS('сентябрь 2025'!$G$2:$G$2497,'сентябрь 2025'!$D$2:$D$2497,$B50,'сентябрь 2025'!$J$2:$J$2497,AC$1)</f>
        <v>0</v>
      </c>
      <c r="AD50" s="182">
        <f>SUMIFS('сентябрь 2025'!$G$2:$G$2497,'сентябрь 2025'!$D$2:$D$2497,$B50,'сентябрь 2025'!$J$2:$J$2497,AD$1)</f>
        <v>0</v>
      </c>
      <c r="AE50" s="182">
        <f>SUMIFS('сентябрь 2025'!$G$2:$G$2497,'сентябрь 2025'!$D$2:$D$2497,$B50,'сентябрь 2025'!$J$2:$J$2497,AE$1)</f>
        <v>0</v>
      </c>
      <c r="AF50" s="182">
        <f>SUMIFS('сентябрь 2025'!$G$2:$G$2497,'сентябрь 2025'!$D$2:$D$2497,$B50,'сентябрь 2025'!$J$2:$J$2497,AF$1)</f>
        <v>0</v>
      </c>
      <c r="AG50" s="182">
        <f>SUMIFS('сентябрь 2025'!$G$2:$G$2497,'сентябрь 2025'!$D$2:$D$2497,$B50,'сентябрь 2025'!$J$2:$J$2497,AG$1)</f>
        <v>0</v>
      </c>
      <c r="AH50" s="182">
        <f>SUMIFS('сентябрь 2025'!$G$2:$G$2497,'сентябрь 2025'!$D$2:$D$2497,$B50,'сентябрь 2025'!$J$2:$J$2497,AH$1)</f>
        <v>0</v>
      </c>
      <c r="AI50" s="20">
        <f t="shared" si="1"/>
        <v>0</v>
      </c>
    </row>
    <row r="51" spans="2:35" ht="15" customHeight="1" x14ac:dyDescent="0.25">
      <c r="B51" s="135" t="s">
        <v>236</v>
      </c>
      <c r="C51" s="132">
        <v>20</v>
      </c>
      <c r="D51" s="182">
        <f>SUMIFS('сентябрь 2025'!$G$2:$G$2497,'сентябрь 2025'!$D$2:$D$2497,$B51,'сентябрь 2025'!$J$2:$J$2497,D$1)</f>
        <v>0</v>
      </c>
      <c r="E51" s="182">
        <f>SUMIFS('сентябрь 2025'!$G$2:$G$2497,'сентябрь 2025'!$D$2:$D$2497,$B51,'сентябрь 2025'!$J$2:$J$2497,E$1)</f>
        <v>0</v>
      </c>
      <c r="F51" s="182">
        <f>SUMIFS('сентябрь 2025'!$G$2:$G$2497,'сентябрь 2025'!$D$2:$D$2497,$B51,'сентябрь 2025'!$J$2:$J$2497,F$1)</f>
        <v>0</v>
      </c>
      <c r="G51" s="182">
        <f>SUMIFS('сентябрь 2025'!$G$2:$G$2497,'сентябрь 2025'!$D$2:$D$2497,$B51,'сентябрь 2025'!$J$2:$J$2497,G$1)</f>
        <v>0</v>
      </c>
      <c r="H51" s="182">
        <f>SUMIFS('сентябрь 2025'!$G$2:$G$2497,'сентябрь 2025'!$D$2:$D$2497,$B51,'сентябрь 2025'!$J$2:$J$2497,H$1)</f>
        <v>0</v>
      </c>
      <c r="I51" s="182">
        <f>SUMIFS('сентябрь 2025'!$G$2:$G$2497,'сентябрь 2025'!$D$2:$D$2497,$B51,'сентябрь 2025'!$J$2:$J$2497,I$1)</f>
        <v>0</v>
      </c>
      <c r="J51" s="182">
        <f>SUMIFS('сентябрь 2025'!$G$2:$G$2497,'сентябрь 2025'!$D$2:$D$2497,$B51,'сентябрь 2025'!$J$2:$J$2497,J$1)</f>
        <v>0</v>
      </c>
      <c r="K51" s="182">
        <f>SUMIFS('сентябрь 2025'!$G$2:$G$2497,'сентябрь 2025'!$D$2:$D$2497,$B51,'сентябрь 2025'!$J$2:$J$2497,K$1)</f>
        <v>0</v>
      </c>
      <c r="L51" s="182">
        <f>SUMIFS('сентябрь 2025'!$G$2:$G$2497,'сентябрь 2025'!$D$2:$D$2497,$B51,'сентябрь 2025'!$J$2:$J$2497,L$1)</f>
        <v>0</v>
      </c>
      <c r="M51" s="182">
        <f>SUMIFS('сентябрь 2025'!$G$2:$G$2497,'сентябрь 2025'!$D$2:$D$2497,$B51,'сентябрь 2025'!$J$2:$J$2497,M$1)</f>
        <v>0</v>
      </c>
      <c r="N51" s="182">
        <f>SUMIFS('сентябрь 2025'!$G$2:$G$2497,'сентябрь 2025'!$D$2:$D$2497,$B51,'сентябрь 2025'!$J$2:$J$2497,N$1)</f>
        <v>0</v>
      </c>
      <c r="O51" s="182">
        <f>SUMIFS('сентябрь 2025'!$G$2:$G$2497,'сентябрь 2025'!$D$2:$D$2497,$B51,'сентябрь 2025'!$J$2:$J$2497,O$1)</f>
        <v>0</v>
      </c>
      <c r="P51" s="182">
        <f>SUMIFS('сентябрь 2025'!$G$2:$G$2497,'сентябрь 2025'!$D$2:$D$2497,$B51,'сентябрь 2025'!$J$2:$J$2497,P$1)</f>
        <v>0</v>
      </c>
      <c r="Q51" s="182">
        <f>SUMIFS('сентябрь 2025'!$G$2:$G$2497,'сентябрь 2025'!$D$2:$D$2497,$B51,'сентябрь 2025'!$J$2:$J$2497,Q$1)</f>
        <v>0</v>
      </c>
      <c r="R51" s="182">
        <f>SUMIFS('сентябрь 2025'!$G$2:$G$2497,'сентябрь 2025'!$D$2:$D$2497,$B51,'сентябрь 2025'!$J$2:$J$2497,R$1)</f>
        <v>0</v>
      </c>
      <c r="S51" s="182">
        <f>SUMIFS('сентябрь 2025'!$G$2:$G$2497,'сентябрь 2025'!$D$2:$D$2497,$B51,'сентябрь 2025'!$J$2:$J$2497,S$1)</f>
        <v>0</v>
      </c>
      <c r="T51" s="182">
        <f>SUMIFS('сентябрь 2025'!$G$2:$G$2497,'сентябрь 2025'!$D$2:$D$2497,$B51,'сентябрь 2025'!$J$2:$J$2497,T$1)</f>
        <v>0</v>
      </c>
      <c r="U51" s="182">
        <f>SUMIFS('сентябрь 2025'!$G$2:$G$2497,'сентябрь 2025'!$D$2:$D$2497,$B51,'сентябрь 2025'!$J$2:$J$2497,U$1)</f>
        <v>0</v>
      </c>
      <c r="V51" s="182">
        <f>SUMIFS('сентябрь 2025'!$G$2:$G$2497,'сентябрь 2025'!$D$2:$D$2497,$B51,'сентябрь 2025'!$J$2:$J$2497,V$1)</f>
        <v>0</v>
      </c>
      <c r="W51" s="182">
        <f>SUMIFS('сентябрь 2025'!$G$2:$G$2497,'сентябрь 2025'!$D$2:$D$2497,$B51,'сентябрь 2025'!$J$2:$J$2497,W$1)</f>
        <v>0</v>
      </c>
      <c r="X51" s="182">
        <f>SUMIFS('сентябрь 2025'!$G$2:$G$2497,'сентябрь 2025'!$D$2:$D$2497,$B51,'сентябрь 2025'!$J$2:$J$2497,X$1)</f>
        <v>0</v>
      </c>
      <c r="Y51" s="182">
        <f>SUMIFS('сентябрь 2025'!$G$2:$G$2497,'сентябрь 2025'!$D$2:$D$2497,$B51,'сентябрь 2025'!$J$2:$J$2497,Y$1)</f>
        <v>0</v>
      </c>
      <c r="Z51" s="182">
        <f>SUMIFS('сентябрь 2025'!$G$2:$G$2497,'сентябрь 2025'!$D$2:$D$2497,$B51,'сентябрь 2025'!$J$2:$J$2497,Z$1)</f>
        <v>0</v>
      </c>
      <c r="AA51" s="182">
        <f>SUMIFS('сентябрь 2025'!$G$2:$G$2497,'сентябрь 2025'!$D$2:$D$2497,$B51,'сентябрь 2025'!$J$2:$J$2497,AA$1)</f>
        <v>0</v>
      </c>
      <c r="AB51" s="182">
        <f>SUMIFS('сентябрь 2025'!$G$2:$G$2497,'сентябрь 2025'!$D$2:$D$2497,$B51,'сентябрь 2025'!$J$2:$J$2497,AB$1)</f>
        <v>0</v>
      </c>
      <c r="AC51" s="182">
        <f>SUMIFS('сентябрь 2025'!$G$2:$G$2497,'сентябрь 2025'!$D$2:$D$2497,$B51,'сентябрь 2025'!$J$2:$J$2497,AC$1)</f>
        <v>0</v>
      </c>
      <c r="AD51" s="182">
        <f>SUMIFS('сентябрь 2025'!$G$2:$G$2497,'сентябрь 2025'!$D$2:$D$2497,$B51,'сентябрь 2025'!$J$2:$J$2497,AD$1)</f>
        <v>0</v>
      </c>
      <c r="AE51" s="182">
        <f>SUMIFS('сентябрь 2025'!$G$2:$G$2497,'сентябрь 2025'!$D$2:$D$2497,$B51,'сентябрь 2025'!$J$2:$J$2497,AE$1)</f>
        <v>0</v>
      </c>
      <c r="AF51" s="182">
        <f>SUMIFS('сентябрь 2025'!$G$2:$G$2497,'сентябрь 2025'!$D$2:$D$2497,$B51,'сентябрь 2025'!$J$2:$J$2497,AF$1)</f>
        <v>0</v>
      </c>
      <c r="AG51" s="182">
        <f>SUMIFS('сентябрь 2025'!$G$2:$G$2497,'сентябрь 2025'!$D$2:$D$2497,$B51,'сентябрь 2025'!$J$2:$J$2497,AG$1)</f>
        <v>0</v>
      </c>
      <c r="AH51" s="182">
        <f>SUMIFS('сентябрь 2025'!$G$2:$G$2497,'сентябрь 2025'!$D$2:$D$2497,$B51,'сентябрь 2025'!$J$2:$J$2497,AH$1)</f>
        <v>0</v>
      </c>
      <c r="AI51" s="20">
        <f t="shared" si="1"/>
        <v>0</v>
      </c>
    </row>
    <row r="52" spans="2:35" ht="15" customHeight="1" x14ac:dyDescent="0.25">
      <c r="B52" s="131" t="s">
        <v>238</v>
      </c>
      <c r="C52" s="134">
        <v>20</v>
      </c>
      <c r="D52" s="182">
        <f>SUMIFS('сентябрь 2025'!$G$2:$G$2497,'сентябрь 2025'!$D$2:$D$2497,$B52,'сентябрь 2025'!$J$2:$J$2497,D$1)</f>
        <v>0</v>
      </c>
      <c r="E52" s="182">
        <f>SUMIFS('сентябрь 2025'!$G$2:$G$2497,'сентябрь 2025'!$D$2:$D$2497,$B52,'сентябрь 2025'!$J$2:$J$2497,E$1)</f>
        <v>0</v>
      </c>
      <c r="F52" s="182">
        <f>SUMIFS('сентябрь 2025'!$G$2:$G$2497,'сентябрь 2025'!$D$2:$D$2497,$B52,'сентябрь 2025'!$J$2:$J$2497,F$1)</f>
        <v>0</v>
      </c>
      <c r="G52" s="182">
        <f>SUMIFS('сентябрь 2025'!$G$2:$G$2497,'сентябрь 2025'!$D$2:$D$2497,$B52,'сентябрь 2025'!$J$2:$J$2497,G$1)</f>
        <v>0</v>
      </c>
      <c r="H52" s="182">
        <f>SUMIFS('сентябрь 2025'!$G$2:$G$2497,'сентябрь 2025'!$D$2:$D$2497,$B52,'сентябрь 2025'!$J$2:$J$2497,H$1)</f>
        <v>0</v>
      </c>
      <c r="I52" s="182">
        <f>SUMIFS('сентябрь 2025'!$G$2:$G$2497,'сентябрь 2025'!$D$2:$D$2497,$B52,'сентябрь 2025'!$J$2:$J$2497,I$1)</f>
        <v>0</v>
      </c>
      <c r="J52" s="182">
        <f>SUMIFS('сентябрь 2025'!$G$2:$G$2497,'сентябрь 2025'!$D$2:$D$2497,$B52,'сентябрь 2025'!$J$2:$J$2497,J$1)</f>
        <v>0</v>
      </c>
      <c r="K52" s="182">
        <f>SUMIFS('сентябрь 2025'!$G$2:$G$2497,'сентябрь 2025'!$D$2:$D$2497,$B52,'сентябрь 2025'!$J$2:$J$2497,K$1)</f>
        <v>0</v>
      </c>
      <c r="L52" s="182">
        <f>SUMIFS('сентябрь 2025'!$G$2:$G$2497,'сентябрь 2025'!$D$2:$D$2497,$B52,'сентябрь 2025'!$J$2:$J$2497,L$1)</f>
        <v>0</v>
      </c>
      <c r="M52" s="182">
        <f>SUMIFS('сентябрь 2025'!$G$2:$G$2497,'сентябрь 2025'!$D$2:$D$2497,$B52,'сентябрь 2025'!$J$2:$J$2497,M$1)</f>
        <v>0</v>
      </c>
      <c r="N52" s="182">
        <f>SUMIFS('сентябрь 2025'!$G$2:$G$2497,'сентябрь 2025'!$D$2:$D$2497,$B52,'сентябрь 2025'!$J$2:$J$2497,N$1)</f>
        <v>0</v>
      </c>
      <c r="O52" s="182">
        <f>SUMIFS('сентябрь 2025'!$G$2:$G$2497,'сентябрь 2025'!$D$2:$D$2497,$B52,'сентябрь 2025'!$J$2:$J$2497,O$1)</f>
        <v>0</v>
      </c>
      <c r="P52" s="182">
        <f>SUMIFS('сентябрь 2025'!$G$2:$G$2497,'сентябрь 2025'!$D$2:$D$2497,$B52,'сентябрь 2025'!$J$2:$J$2497,P$1)</f>
        <v>0</v>
      </c>
      <c r="Q52" s="182">
        <f>SUMIFS('сентябрь 2025'!$G$2:$G$2497,'сентябрь 2025'!$D$2:$D$2497,$B52,'сентябрь 2025'!$J$2:$J$2497,Q$1)</f>
        <v>0</v>
      </c>
      <c r="R52" s="182">
        <f>SUMIFS('сентябрь 2025'!$G$2:$G$2497,'сентябрь 2025'!$D$2:$D$2497,$B52,'сентябрь 2025'!$J$2:$J$2497,R$1)</f>
        <v>0</v>
      </c>
      <c r="S52" s="182">
        <f>SUMIFS('сентябрь 2025'!$G$2:$G$2497,'сентябрь 2025'!$D$2:$D$2497,$B52,'сентябрь 2025'!$J$2:$J$2497,S$1)</f>
        <v>0</v>
      </c>
      <c r="T52" s="182">
        <f>SUMIFS('сентябрь 2025'!$G$2:$G$2497,'сентябрь 2025'!$D$2:$D$2497,$B52,'сентябрь 2025'!$J$2:$J$2497,T$1)</f>
        <v>0</v>
      </c>
      <c r="U52" s="182">
        <f>SUMIFS('сентябрь 2025'!$G$2:$G$2497,'сентябрь 2025'!$D$2:$D$2497,$B52,'сентябрь 2025'!$J$2:$J$2497,U$1)</f>
        <v>0</v>
      </c>
      <c r="V52" s="182">
        <f>SUMIFS('сентябрь 2025'!$G$2:$G$2497,'сентябрь 2025'!$D$2:$D$2497,$B52,'сентябрь 2025'!$J$2:$J$2497,V$1)</f>
        <v>0</v>
      </c>
      <c r="W52" s="182">
        <f>SUMIFS('сентябрь 2025'!$G$2:$G$2497,'сентябрь 2025'!$D$2:$D$2497,$B52,'сентябрь 2025'!$J$2:$J$2497,W$1)</f>
        <v>0</v>
      </c>
      <c r="X52" s="182">
        <f>SUMIFS('сентябрь 2025'!$G$2:$G$2497,'сентябрь 2025'!$D$2:$D$2497,$B52,'сентябрь 2025'!$J$2:$J$2497,X$1)</f>
        <v>0</v>
      </c>
      <c r="Y52" s="182">
        <f>SUMIFS('сентябрь 2025'!$G$2:$G$2497,'сентябрь 2025'!$D$2:$D$2497,$B52,'сентябрь 2025'!$J$2:$J$2497,Y$1)</f>
        <v>0</v>
      </c>
      <c r="Z52" s="182">
        <f>SUMIFS('сентябрь 2025'!$G$2:$G$2497,'сентябрь 2025'!$D$2:$D$2497,$B52,'сентябрь 2025'!$J$2:$J$2497,Z$1)</f>
        <v>0</v>
      </c>
      <c r="AA52" s="182">
        <f>SUMIFS('сентябрь 2025'!$G$2:$G$2497,'сентябрь 2025'!$D$2:$D$2497,$B52,'сентябрь 2025'!$J$2:$J$2497,AA$1)</f>
        <v>0</v>
      </c>
      <c r="AB52" s="182">
        <f>SUMIFS('сентябрь 2025'!$G$2:$G$2497,'сентябрь 2025'!$D$2:$D$2497,$B52,'сентябрь 2025'!$J$2:$J$2497,AB$1)</f>
        <v>0</v>
      </c>
      <c r="AC52" s="182">
        <f>SUMIFS('сентябрь 2025'!$G$2:$G$2497,'сентябрь 2025'!$D$2:$D$2497,$B52,'сентябрь 2025'!$J$2:$J$2497,AC$1)</f>
        <v>0</v>
      </c>
      <c r="AD52" s="182">
        <f>SUMIFS('сентябрь 2025'!$G$2:$G$2497,'сентябрь 2025'!$D$2:$D$2497,$B52,'сентябрь 2025'!$J$2:$J$2497,AD$1)</f>
        <v>0</v>
      </c>
      <c r="AE52" s="182">
        <f>SUMIFS('сентябрь 2025'!$G$2:$G$2497,'сентябрь 2025'!$D$2:$D$2497,$B52,'сентябрь 2025'!$J$2:$J$2497,AE$1)</f>
        <v>0</v>
      </c>
      <c r="AF52" s="182">
        <f>SUMIFS('сентябрь 2025'!$G$2:$G$2497,'сентябрь 2025'!$D$2:$D$2497,$B52,'сентябрь 2025'!$J$2:$J$2497,AF$1)</f>
        <v>0</v>
      </c>
      <c r="AG52" s="182">
        <f>SUMIFS('сентябрь 2025'!$G$2:$G$2497,'сентябрь 2025'!$D$2:$D$2497,$B52,'сентябрь 2025'!$J$2:$J$2497,AG$1)</f>
        <v>0</v>
      </c>
      <c r="AH52" s="182">
        <f>SUMIFS('сентябрь 2025'!$G$2:$G$2497,'сентябрь 2025'!$D$2:$D$2497,$B52,'сентябрь 2025'!$J$2:$J$2497,AH$1)</f>
        <v>0</v>
      </c>
      <c r="AI52" s="20">
        <f t="shared" si="1"/>
        <v>0</v>
      </c>
    </row>
    <row r="53" spans="2:35" ht="15" customHeight="1" x14ac:dyDescent="0.25">
      <c r="B53" s="131" t="s">
        <v>240</v>
      </c>
      <c r="C53" s="130">
        <v>20</v>
      </c>
      <c r="D53" s="182">
        <f>SUMIFS('сентябрь 2025'!$G$2:$G$2497,'сентябрь 2025'!$D$2:$D$2497,$B53,'сентябрь 2025'!$J$2:$J$2497,D$1)</f>
        <v>0</v>
      </c>
      <c r="E53" s="182">
        <f>SUMIFS('сентябрь 2025'!$G$2:$G$2497,'сентябрь 2025'!$D$2:$D$2497,$B53,'сентябрь 2025'!$J$2:$J$2497,E$1)</f>
        <v>0</v>
      </c>
      <c r="F53" s="182">
        <f>SUMIFS('сентябрь 2025'!$G$2:$G$2497,'сентябрь 2025'!$D$2:$D$2497,$B53,'сентябрь 2025'!$J$2:$J$2497,F$1)</f>
        <v>0</v>
      </c>
      <c r="G53" s="182">
        <f>SUMIFS('сентябрь 2025'!$G$2:$G$2497,'сентябрь 2025'!$D$2:$D$2497,$B53,'сентябрь 2025'!$J$2:$J$2497,G$1)</f>
        <v>0</v>
      </c>
      <c r="H53" s="182">
        <f>SUMIFS('сентябрь 2025'!$G$2:$G$2497,'сентябрь 2025'!$D$2:$D$2497,$B53,'сентябрь 2025'!$J$2:$J$2497,H$1)</f>
        <v>0</v>
      </c>
      <c r="I53" s="182">
        <f>SUMIFS('сентябрь 2025'!$G$2:$G$2497,'сентябрь 2025'!$D$2:$D$2497,$B53,'сентябрь 2025'!$J$2:$J$2497,I$1)</f>
        <v>0</v>
      </c>
      <c r="J53" s="182">
        <f>SUMIFS('сентябрь 2025'!$G$2:$G$2497,'сентябрь 2025'!$D$2:$D$2497,$B53,'сентябрь 2025'!$J$2:$J$2497,J$1)</f>
        <v>0</v>
      </c>
      <c r="K53" s="182">
        <f>SUMIFS('сентябрь 2025'!$G$2:$G$2497,'сентябрь 2025'!$D$2:$D$2497,$B53,'сентябрь 2025'!$J$2:$J$2497,K$1)</f>
        <v>0</v>
      </c>
      <c r="L53" s="182">
        <f>SUMIFS('сентябрь 2025'!$G$2:$G$2497,'сентябрь 2025'!$D$2:$D$2497,$B53,'сентябрь 2025'!$J$2:$J$2497,L$1)</f>
        <v>0</v>
      </c>
      <c r="M53" s="182">
        <f>SUMIFS('сентябрь 2025'!$G$2:$G$2497,'сентябрь 2025'!$D$2:$D$2497,$B53,'сентябрь 2025'!$J$2:$J$2497,M$1)</f>
        <v>0</v>
      </c>
      <c r="N53" s="182">
        <f>SUMIFS('сентябрь 2025'!$G$2:$G$2497,'сентябрь 2025'!$D$2:$D$2497,$B53,'сентябрь 2025'!$J$2:$J$2497,N$1)</f>
        <v>0</v>
      </c>
      <c r="O53" s="182">
        <f>SUMIFS('сентябрь 2025'!$G$2:$G$2497,'сентябрь 2025'!$D$2:$D$2497,$B53,'сентябрь 2025'!$J$2:$J$2497,O$1)</f>
        <v>0</v>
      </c>
      <c r="P53" s="182">
        <f>SUMIFS('сентябрь 2025'!$G$2:$G$2497,'сентябрь 2025'!$D$2:$D$2497,$B53,'сентябрь 2025'!$J$2:$J$2497,P$1)</f>
        <v>0</v>
      </c>
      <c r="Q53" s="182">
        <f>SUMIFS('сентябрь 2025'!$G$2:$G$2497,'сентябрь 2025'!$D$2:$D$2497,$B53,'сентябрь 2025'!$J$2:$J$2497,Q$1)</f>
        <v>0</v>
      </c>
      <c r="R53" s="182">
        <f>SUMIFS('сентябрь 2025'!$G$2:$G$2497,'сентябрь 2025'!$D$2:$D$2497,$B53,'сентябрь 2025'!$J$2:$J$2497,R$1)</f>
        <v>0</v>
      </c>
      <c r="S53" s="182">
        <f>SUMIFS('сентябрь 2025'!$G$2:$G$2497,'сентябрь 2025'!$D$2:$D$2497,$B53,'сентябрь 2025'!$J$2:$J$2497,S$1)</f>
        <v>0</v>
      </c>
      <c r="T53" s="182">
        <f>SUMIFS('сентябрь 2025'!$G$2:$G$2497,'сентябрь 2025'!$D$2:$D$2497,$B53,'сентябрь 2025'!$J$2:$J$2497,T$1)</f>
        <v>0</v>
      </c>
      <c r="U53" s="182">
        <f>SUMIFS('сентябрь 2025'!$G$2:$G$2497,'сентябрь 2025'!$D$2:$D$2497,$B53,'сентябрь 2025'!$J$2:$J$2497,U$1)</f>
        <v>0</v>
      </c>
      <c r="V53" s="182">
        <f>SUMIFS('сентябрь 2025'!$G$2:$G$2497,'сентябрь 2025'!$D$2:$D$2497,$B53,'сентябрь 2025'!$J$2:$J$2497,V$1)</f>
        <v>0</v>
      </c>
      <c r="W53" s="182">
        <f>SUMIFS('сентябрь 2025'!$G$2:$G$2497,'сентябрь 2025'!$D$2:$D$2497,$B53,'сентябрь 2025'!$J$2:$J$2497,W$1)</f>
        <v>0</v>
      </c>
      <c r="X53" s="182">
        <f>SUMIFS('сентябрь 2025'!$G$2:$G$2497,'сентябрь 2025'!$D$2:$D$2497,$B53,'сентябрь 2025'!$J$2:$J$2497,X$1)</f>
        <v>0</v>
      </c>
      <c r="Y53" s="182">
        <f>SUMIFS('сентябрь 2025'!$G$2:$G$2497,'сентябрь 2025'!$D$2:$D$2497,$B53,'сентябрь 2025'!$J$2:$J$2497,Y$1)</f>
        <v>0</v>
      </c>
      <c r="Z53" s="182">
        <f>SUMIFS('сентябрь 2025'!$G$2:$G$2497,'сентябрь 2025'!$D$2:$D$2497,$B53,'сентябрь 2025'!$J$2:$J$2497,Z$1)</f>
        <v>0</v>
      </c>
      <c r="AA53" s="182">
        <f>SUMIFS('сентябрь 2025'!$G$2:$G$2497,'сентябрь 2025'!$D$2:$D$2497,$B53,'сентябрь 2025'!$J$2:$J$2497,AA$1)</f>
        <v>0</v>
      </c>
      <c r="AB53" s="182">
        <f>SUMIFS('сентябрь 2025'!$G$2:$G$2497,'сентябрь 2025'!$D$2:$D$2497,$B53,'сентябрь 2025'!$J$2:$J$2497,AB$1)</f>
        <v>0</v>
      </c>
      <c r="AC53" s="182">
        <f>SUMIFS('сентябрь 2025'!$G$2:$G$2497,'сентябрь 2025'!$D$2:$D$2497,$B53,'сентябрь 2025'!$J$2:$J$2497,AC$1)</f>
        <v>0</v>
      </c>
      <c r="AD53" s="182">
        <f>SUMIFS('сентябрь 2025'!$G$2:$G$2497,'сентябрь 2025'!$D$2:$D$2497,$B53,'сентябрь 2025'!$J$2:$J$2497,AD$1)</f>
        <v>0</v>
      </c>
      <c r="AE53" s="182">
        <f>SUMIFS('сентябрь 2025'!$G$2:$G$2497,'сентябрь 2025'!$D$2:$D$2497,$B53,'сентябрь 2025'!$J$2:$J$2497,AE$1)</f>
        <v>0</v>
      </c>
      <c r="AF53" s="182">
        <f>SUMIFS('сентябрь 2025'!$G$2:$G$2497,'сентябрь 2025'!$D$2:$D$2497,$B53,'сентябрь 2025'!$J$2:$J$2497,AF$1)</f>
        <v>0</v>
      </c>
      <c r="AG53" s="182">
        <f>SUMIFS('сентябрь 2025'!$G$2:$G$2497,'сентябрь 2025'!$D$2:$D$2497,$B53,'сентябрь 2025'!$J$2:$J$2497,AG$1)</f>
        <v>0</v>
      </c>
      <c r="AH53" s="182">
        <f>SUMIFS('сентябрь 2025'!$G$2:$G$2497,'сентябрь 2025'!$D$2:$D$2497,$B53,'сентябрь 2025'!$J$2:$J$2497,AH$1)</f>
        <v>0</v>
      </c>
      <c r="AI53" s="20">
        <f t="shared" si="1"/>
        <v>0</v>
      </c>
    </row>
    <row r="54" spans="2:35" ht="15" customHeight="1" x14ac:dyDescent="0.25">
      <c r="B54" s="131" t="s">
        <v>242</v>
      </c>
      <c r="C54" s="132">
        <v>20</v>
      </c>
      <c r="D54" s="182">
        <f>SUMIFS('сентябрь 2025'!$G$2:$G$2497,'сентябрь 2025'!$D$2:$D$2497,$B54,'сентябрь 2025'!$J$2:$J$2497,D$1)</f>
        <v>0</v>
      </c>
      <c r="E54" s="182">
        <f>SUMIFS('сентябрь 2025'!$G$2:$G$2497,'сентябрь 2025'!$D$2:$D$2497,$B54,'сентябрь 2025'!$J$2:$J$2497,E$1)</f>
        <v>0</v>
      </c>
      <c r="F54" s="182">
        <f>SUMIFS('сентябрь 2025'!$G$2:$G$2497,'сентябрь 2025'!$D$2:$D$2497,$B54,'сентябрь 2025'!$J$2:$J$2497,F$1)</f>
        <v>0</v>
      </c>
      <c r="G54" s="182">
        <f>SUMIFS('сентябрь 2025'!$G$2:$G$2497,'сентябрь 2025'!$D$2:$D$2497,$B54,'сентябрь 2025'!$J$2:$J$2497,G$1)</f>
        <v>0</v>
      </c>
      <c r="H54" s="182">
        <f>SUMIFS('сентябрь 2025'!$G$2:$G$2497,'сентябрь 2025'!$D$2:$D$2497,$B54,'сентябрь 2025'!$J$2:$J$2497,H$1)</f>
        <v>0</v>
      </c>
      <c r="I54" s="182">
        <f>SUMIFS('сентябрь 2025'!$G$2:$G$2497,'сентябрь 2025'!$D$2:$D$2497,$B54,'сентябрь 2025'!$J$2:$J$2497,I$1)</f>
        <v>0</v>
      </c>
      <c r="J54" s="182">
        <f>SUMIFS('сентябрь 2025'!$G$2:$G$2497,'сентябрь 2025'!$D$2:$D$2497,$B54,'сентябрь 2025'!$J$2:$J$2497,J$1)</f>
        <v>0</v>
      </c>
      <c r="K54" s="182">
        <f>SUMIFS('сентябрь 2025'!$G$2:$G$2497,'сентябрь 2025'!$D$2:$D$2497,$B54,'сентябрь 2025'!$J$2:$J$2497,K$1)</f>
        <v>0</v>
      </c>
      <c r="L54" s="182">
        <f>SUMIFS('сентябрь 2025'!$G$2:$G$2497,'сентябрь 2025'!$D$2:$D$2497,$B54,'сентябрь 2025'!$J$2:$J$2497,L$1)</f>
        <v>0</v>
      </c>
      <c r="M54" s="182">
        <f>SUMIFS('сентябрь 2025'!$G$2:$G$2497,'сентябрь 2025'!$D$2:$D$2497,$B54,'сентябрь 2025'!$J$2:$J$2497,M$1)</f>
        <v>0</v>
      </c>
      <c r="N54" s="182">
        <f>SUMIFS('сентябрь 2025'!$G$2:$G$2497,'сентябрь 2025'!$D$2:$D$2497,$B54,'сентябрь 2025'!$J$2:$J$2497,N$1)</f>
        <v>0</v>
      </c>
      <c r="O54" s="182">
        <f>SUMIFS('сентябрь 2025'!$G$2:$G$2497,'сентябрь 2025'!$D$2:$D$2497,$B54,'сентябрь 2025'!$J$2:$J$2497,O$1)</f>
        <v>0</v>
      </c>
      <c r="P54" s="182">
        <f>SUMIFS('сентябрь 2025'!$G$2:$G$2497,'сентябрь 2025'!$D$2:$D$2497,$B54,'сентябрь 2025'!$J$2:$J$2497,P$1)</f>
        <v>0</v>
      </c>
      <c r="Q54" s="182">
        <f>SUMIFS('сентябрь 2025'!$G$2:$G$2497,'сентябрь 2025'!$D$2:$D$2497,$B54,'сентябрь 2025'!$J$2:$J$2497,Q$1)</f>
        <v>0</v>
      </c>
      <c r="R54" s="182">
        <f>SUMIFS('сентябрь 2025'!$G$2:$G$2497,'сентябрь 2025'!$D$2:$D$2497,$B54,'сентябрь 2025'!$J$2:$J$2497,R$1)</f>
        <v>0</v>
      </c>
      <c r="S54" s="182">
        <f>SUMIFS('сентябрь 2025'!$G$2:$G$2497,'сентябрь 2025'!$D$2:$D$2497,$B54,'сентябрь 2025'!$J$2:$J$2497,S$1)</f>
        <v>0</v>
      </c>
      <c r="T54" s="182">
        <f>SUMIFS('сентябрь 2025'!$G$2:$G$2497,'сентябрь 2025'!$D$2:$D$2497,$B54,'сентябрь 2025'!$J$2:$J$2497,T$1)</f>
        <v>0</v>
      </c>
      <c r="U54" s="182">
        <f>SUMIFS('сентябрь 2025'!$G$2:$G$2497,'сентябрь 2025'!$D$2:$D$2497,$B54,'сентябрь 2025'!$J$2:$J$2497,U$1)</f>
        <v>0</v>
      </c>
      <c r="V54" s="182">
        <f>SUMIFS('сентябрь 2025'!$G$2:$G$2497,'сентябрь 2025'!$D$2:$D$2497,$B54,'сентябрь 2025'!$J$2:$J$2497,V$1)</f>
        <v>0</v>
      </c>
      <c r="W54" s="182">
        <f>SUMIFS('сентябрь 2025'!$G$2:$G$2497,'сентябрь 2025'!$D$2:$D$2497,$B54,'сентябрь 2025'!$J$2:$J$2497,W$1)</f>
        <v>0</v>
      </c>
      <c r="X54" s="182">
        <f>SUMIFS('сентябрь 2025'!$G$2:$G$2497,'сентябрь 2025'!$D$2:$D$2497,$B54,'сентябрь 2025'!$J$2:$J$2497,X$1)</f>
        <v>0</v>
      </c>
      <c r="Y54" s="182">
        <f>SUMIFS('сентябрь 2025'!$G$2:$G$2497,'сентябрь 2025'!$D$2:$D$2497,$B54,'сентябрь 2025'!$J$2:$J$2497,Y$1)</f>
        <v>0</v>
      </c>
      <c r="Z54" s="182">
        <f>SUMIFS('сентябрь 2025'!$G$2:$G$2497,'сентябрь 2025'!$D$2:$D$2497,$B54,'сентябрь 2025'!$J$2:$J$2497,Z$1)</f>
        <v>0</v>
      </c>
      <c r="AA54" s="182">
        <f>SUMIFS('сентябрь 2025'!$G$2:$G$2497,'сентябрь 2025'!$D$2:$D$2497,$B54,'сентябрь 2025'!$J$2:$J$2497,AA$1)</f>
        <v>0</v>
      </c>
      <c r="AB54" s="182">
        <f>SUMIFS('сентябрь 2025'!$G$2:$G$2497,'сентябрь 2025'!$D$2:$D$2497,$B54,'сентябрь 2025'!$J$2:$J$2497,AB$1)</f>
        <v>0</v>
      </c>
      <c r="AC54" s="182">
        <f>SUMIFS('сентябрь 2025'!$G$2:$G$2497,'сентябрь 2025'!$D$2:$D$2497,$B54,'сентябрь 2025'!$J$2:$J$2497,AC$1)</f>
        <v>0</v>
      </c>
      <c r="AD54" s="182">
        <f>SUMIFS('сентябрь 2025'!$G$2:$G$2497,'сентябрь 2025'!$D$2:$D$2497,$B54,'сентябрь 2025'!$J$2:$J$2497,AD$1)</f>
        <v>0</v>
      </c>
      <c r="AE54" s="182">
        <f>SUMIFS('сентябрь 2025'!$G$2:$G$2497,'сентябрь 2025'!$D$2:$D$2497,$B54,'сентябрь 2025'!$J$2:$J$2497,AE$1)</f>
        <v>0</v>
      </c>
      <c r="AF54" s="182">
        <f>SUMIFS('сентябрь 2025'!$G$2:$G$2497,'сентябрь 2025'!$D$2:$D$2497,$B54,'сентябрь 2025'!$J$2:$J$2497,AF$1)</f>
        <v>0</v>
      </c>
      <c r="AG54" s="182">
        <f>SUMIFS('сентябрь 2025'!$G$2:$G$2497,'сентябрь 2025'!$D$2:$D$2497,$B54,'сентябрь 2025'!$J$2:$J$2497,AG$1)</f>
        <v>0</v>
      </c>
      <c r="AH54" s="182">
        <f>SUMIFS('сентябрь 2025'!$G$2:$G$2497,'сентябрь 2025'!$D$2:$D$2497,$B54,'сентябрь 2025'!$J$2:$J$2497,AH$1)</f>
        <v>0</v>
      </c>
      <c r="AI54" s="20">
        <f t="shared" si="1"/>
        <v>0</v>
      </c>
    </row>
    <row r="55" spans="2:35" ht="15" customHeight="1" x14ac:dyDescent="0.25">
      <c r="B55" s="131" t="s">
        <v>244</v>
      </c>
      <c r="C55" s="132">
        <v>14</v>
      </c>
      <c r="D55" s="182">
        <f>SUMIFS('сентябрь 2025'!$G$2:$G$2497,'сентябрь 2025'!$D$2:$D$2497,$B55,'сентябрь 2025'!$J$2:$J$2497,D$1)</f>
        <v>0</v>
      </c>
      <c r="E55" s="182">
        <f>SUMIFS('сентябрь 2025'!$G$2:$G$2497,'сентябрь 2025'!$D$2:$D$2497,$B55,'сентябрь 2025'!$J$2:$J$2497,E$1)</f>
        <v>0</v>
      </c>
      <c r="F55" s="182">
        <f>SUMIFS('сентябрь 2025'!$G$2:$G$2497,'сентябрь 2025'!$D$2:$D$2497,$B55,'сентябрь 2025'!$J$2:$J$2497,F$1)</f>
        <v>0</v>
      </c>
      <c r="G55" s="182">
        <f>SUMIFS('сентябрь 2025'!$G$2:$G$2497,'сентябрь 2025'!$D$2:$D$2497,$B55,'сентябрь 2025'!$J$2:$J$2497,G$1)</f>
        <v>0</v>
      </c>
      <c r="H55" s="182">
        <f>SUMIFS('сентябрь 2025'!$G$2:$G$2497,'сентябрь 2025'!$D$2:$D$2497,$B55,'сентябрь 2025'!$J$2:$J$2497,H$1)</f>
        <v>0</v>
      </c>
      <c r="I55" s="182">
        <f>SUMIFS('сентябрь 2025'!$G$2:$G$2497,'сентябрь 2025'!$D$2:$D$2497,$B55,'сентябрь 2025'!$J$2:$J$2497,I$1)</f>
        <v>0</v>
      </c>
      <c r="J55" s="182">
        <f>SUMIFS('сентябрь 2025'!$G$2:$G$2497,'сентябрь 2025'!$D$2:$D$2497,$B55,'сентябрь 2025'!$J$2:$J$2497,J$1)</f>
        <v>0</v>
      </c>
      <c r="K55" s="182">
        <f>SUMIFS('сентябрь 2025'!$G$2:$G$2497,'сентябрь 2025'!$D$2:$D$2497,$B55,'сентябрь 2025'!$J$2:$J$2497,K$1)</f>
        <v>0</v>
      </c>
      <c r="L55" s="182">
        <f>SUMIFS('сентябрь 2025'!$G$2:$G$2497,'сентябрь 2025'!$D$2:$D$2497,$B55,'сентябрь 2025'!$J$2:$J$2497,L$1)</f>
        <v>0</v>
      </c>
      <c r="M55" s="182">
        <f>SUMIFS('сентябрь 2025'!$G$2:$G$2497,'сентябрь 2025'!$D$2:$D$2497,$B55,'сентябрь 2025'!$J$2:$J$2497,M$1)</f>
        <v>0</v>
      </c>
      <c r="N55" s="182">
        <f>SUMIFS('сентябрь 2025'!$G$2:$G$2497,'сентябрь 2025'!$D$2:$D$2497,$B55,'сентябрь 2025'!$J$2:$J$2497,N$1)</f>
        <v>0</v>
      </c>
      <c r="O55" s="182">
        <f>SUMIFS('сентябрь 2025'!$G$2:$G$2497,'сентябрь 2025'!$D$2:$D$2497,$B55,'сентябрь 2025'!$J$2:$J$2497,O$1)</f>
        <v>0</v>
      </c>
      <c r="P55" s="182">
        <f>SUMIFS('сентябрь 2025'!$G$2:$G$2497,'сентябрь 2025'!$D$2:$D$2497,$B55,'сентябрь 2025'!$J$2:$J$2497,P$1)</f>
        <v>0</v>
      </c>
      <c r="Q55" s="182">
        <f>SUMIFS('сентябрь 2025'!$G$2:$G$2497,'сентябрь 2025'!$D$2:$D$2497,$B55,'сентябрь 2025'!$J$2:$J$2497,Q$1)</f>
        <v>0</v>
      </c>
      <c r="R55" s="182">
        <f>SUMIFS('сентябрь 2025'!$G$2:$G$2497,'сентябрь 2025'!$D$2:$D$2497,$B55,'сентябрь 2025'!$J$2:$J$2497,R$1)</f>
        <v>0</v>
      </c>
      <c r="S55" s="182">
        <f>SUMIFS('сентябрь 2025'!$G$2:$G$2497,'сентябрь 2025'!$D$2:$D$2497,$B55,'сентябрь 2025'!$J$2:$J$2497,S$1)</f>
        <v>0</v>
      </c>
      <c r="T55" s="182">
        <f>SUMIFS('сентябрь 2025'!$G$2:$G$2497,'сентябрь 2025'!$D$2:$D$2497,$B55,'сентябрь 2025'!$J$2:$J$2497,T$1)</f>
        <v>0</v>
      </c>
      <c r="U55" s="182">
        <f>SUMIFS('сентябрь 2025'!$G$2:$G$2497,'сентябрь 2025'!$D$2:$D$2497,$B55,'сентябрь 2025'!$J$2:$J$2497,U$1)</f>
        <v>0</v>
      </c>
      <c r="V55" s="182">
        <f>SUMIFS('сентябрь 2025'!$G$2:$G$2497,'сентябрь 2025'!$D$2:$D$2497,$B55,'сентябрь 2025'!$J$2:$J$2497,V$1)</f>
        <v>0</v>
      </c>
      <c r="W55" s="182">
        <f>SUMIFS('сентябрь 2025'!$G$2:$G$2497,'сентябрь 2025'!$D$2:$D$2497,$B55,'сентябрь 2025'!$J$2:$J$2497,W$1)</f>
        <v>0</v>
      </c>
      <c r="X55" s="182">
        <f>SUMIFS('сентябрь 2025'!$G$2:$G$2497,'сентябрь 2025'!$D$2:$D$2497,$B55,'сентябрь 2025'!$J$2:$J$2497,X$1)</f>
        <v>0</v>
      </c>
      <c r="Y55" s="182">
        <f>SUMIFS('сентябрь 2025'!$G$2:$G$2497,'сентябрь 2025'!$D$2:$D$2497,$B55,'сентябрь 2025'!$J$2:$J$2497,Y$1)</f>
        <v>0</v>
      </c>
      <c r="Z55" s="182">
        <f>SUMIFS('сентябрь 2025'!$G$2:$G$2497,'сентябрь 2025'!$D$2:$D$2497,$B55,'сентябрь 2025'!$J$2:$J$2497,Z$1)</f>
        <v>0</v>
      </c>
      <c r="AA55" s="182">
        <f>SUMIFS('сентябрь 2025'!$G$2:$G$2497,'сентябрь 2025'!$D$2:$D$2497,$B55,'сентябрь 2025'!$J$2:$J$2497,AA$1)</f>
        <v>0</v>
      </c>
      <c r="AB55" s="182">
        <f>SUMIFS('сентябрь 2025'!$G$2:$G$2497,'сентябрь 2025'!$D$2:$D$2497,$B55,'сентябрь 2025'!$J$2:$J$2497,AB$1)</f>
        <v>0</v>
      </c>
      <c r="AC55" s="182">
        <f>SUMIFS('сентябрь 2025'!$G$2:$G$2497,'сентябрь 2025'!$D$2:$D$2497,$B55,'сентябрь 2025'!$J$2:$J$2497,AC$1)</f>
        <v>0</v>
      </c>
      <c r="AD55" s="182">
        <f>SUMIFS('сентябрь 2025'!$G$2:$G$2497,'сентябрь 2025'!$D$2:$D$2497,$B55,'сентябрь 2025'!$J$2:$J$2497,AD$1)</f>
        <v>0</v>
      </c>
      <c r="AE55" s="182">
        <f>SUMIFS('сентябрь 2025'!$G$2:$G$2497,'сентябрь 2025'!$D$2:$D$2497,$B55,'сентябрь 2025'!$J$2:$J$2497,AE$1)</f>
        <v>0</v>
      </c>
      <c r="AF55" s="182">
        <f>SUMIFS('сентябрь 2025'!$G$2:$G$2497,'сентябрь 2025'!$D$2:$D$2497,$B55,'сентябрь 2025'!$J$2:$J$2497,AF$1)</f>
        <v>0</v>
      </c>
      <c r="AG55" s="182">
        <f>SUMIFS('сентябрь 2025'!$G$2:$G$2497,'сентябрь 2025'!$D$2:$D$2497,$B55,'сентябрь 2025'!$J$2:$J$2497,AG$1)</f>
        <v>0</v>
      </c>
      <c r="AH55" s="182">
        <f>SUMIFS('сентябрь 2025'!$G$2:$G$2497,'сентябрь 2025'!$D$2:$D$2497,$B55,'сентябрь 2025'!$J$2:$J$2497,AH$1)</f>
        <v>0</v>
      </c>
      <c r="AI55" s="20">
        <f t="shared" si="1"/>
        <v>0</v>
      </c>
    </row>
    <row r="56" spans="2:35" ht="15" customHeight="1" x14ac:dyDescent="0.25">
      <c r="B56" s="131" t="s">
        <v>246</v>
      </c>
      <c r="C56" s="132">
        <v>25</v>
      </c>
      <c r="D56" s="182">
        <f>SUMIFS('сентябрь 2025'!$G$2:$G$2497,'сентябрь 2025'!$D$2:$D$2497,$B56,'сентябрь 2025'!$J$2:$J$2497,D$1)</f>
        <v>0</v>
      </c>
      <c r="E56" s="182">
        <f>SUMIFS('сентябрь 2025'!$G$2:$G$2497,'сентябрь 2025'!$D$2:$D$2497,$B56,'сентябрь 2025'!$J$2:$J$2497,E$1)</f>
        <v>0</v>
      </c>
      <c r="F56" s="182">
        <f>SUMIFS('сентябрь 2025'!$G$2:$G$2497,'сентябрь 2025'!$D$2:$D$2497,$B56,'сентябрь 2025'!$J$2:$J$2497,F$1)</f>
        <v>0</v>
      </c>
      <c r="G56" s="182">
        <f>SUMIFS('сентябрь 2025'!$G$2:$G$2497,'сентябрь 2025'!$D$2:$D$2497,$B56,'сентябрь 2025'!$J$2:$J$2497,G$1)</f>
        <v>0</v>
      </c>
      <c r="H56" s="182">
        <f>SUMIFS('сентябрь 2025'!$G$2:$G$2497,'сентябрь 2025'!$D$2:$D$2497,$B56,'сентябрь 2025'!$J$2:$J$2497,H$1)</f>
        <v>0</v>
      </c>
      <c r="I56" s="182">
        <f>SUMIFS('сентябрь 2025'!$G$2:$G$2497,'сентябрь 2025'!$D$2:$D$2497,$B56,'сентябрь 2025'!$J$2:$J$2497,I$1)</f>
        <v>0</v>
      </c>
      <c r="J56" s="182">
        <f>SUMIFS('сентябрь 2025'!$G$2:$G$2497,'сентябрь 2025'!$D$2:$D$2497,$B56,'сентябрь 2025'!$J$2:$J$2497,J$1)</f>
        <v>0</v>
      </c>
      <c r="K56" s="182">
        <f>SUMIFS('сентябрь 2025'!$G$2:$G$2497,'сентябрь 2025'!$D$2:$D$2497,$B56,'сентябрь 2025'!$J$2:$J$2497,K$1)</f>
        <v>0</v>
      </c>
      <c r="L56" s="182">
        <f>SUMIFS('сентябрь 2025'!$G$2:$G$2497,'сентябрь 2025'!$D$2:$D$2497,$B56,'сентябрь 2025'!$J$2:$J$2497,L$1)</f>
        <v>0</v>
      </c>
      <c r="M56" s="182">
        <f>SUMIFS('сентябрь 2025'!$G$2:$G$2497,'сентябрь 2025'!$D$2:$D$2497,$B56,'сентябрь 2025'!$J$2:$J$2497,M$1)</f>
        <v>0</v>
      </c>
      <c r="N56" s="182">
        <f>SUMIFS('сентябрь 2025'!$G$2:$G$2497,'сентябрь 2025'!$D$2:$D$2497,$B56,'сентябрь 2025'!$J$2:$J$2497,N$1)</f>
        <v>0</v>
      </c>
      <c r="O56" s="182">
        <f>SUMIFS('сентябрь 2025'!$G$2:$G$2497,'сентябрь 2025'!$D$2:$D$2497,$B56,'сентябрь 2025'!$J$2:$J$2497,O$1)</f>
        <v>0</v>
      </c>
      <c r="P56" s="182">
        <f>SUMIFS('сентябрь 2025'!$G$2:$G$2497,'сентябрь 2025'!$D$2:$D$2497,$B56,'сентябрь 2025'!$J$2:$J$2497,P$1)</f>
        <v>0</v>
      </c>
      <c r="Q56" s="182">
        <f>SUMIFS('сентябрь 2025'!$G$2:$G$2497,'сентябрь 2025'!$D$2:$D$2497,$B56,'сентябрь 2025'!$J$2:$J$2497,Q$1)</f>
        <v>0</v>
      </c>
      <c r="R56" s="182">
        <f>SUMIFS('сентябрь 2025'!$G$2:$G$2497,'сентябрь 2025'!$D$2:$D$2497,$B56,'сентябрь 2025'!$J$2:$J$2497,R$1)</f>
        <v>0</v>
      </c>
      <c r="S56" s="182">
        <f>SUMIFS('сентябрь 2025'!$G$2:$G$2497,'сентябрь 2025'!$D$2:$D$2497,$B56,'сентябрь 2025'!$J$2:$J$2497,S$1)</f>
        <v>0</v>
      </c>
      <c r="T56" s="182">
        <f>SUMIFS('сентябрь 2025'!$G$2:$G$2497,'сентябрь 2025'!$D$2:$D$2497,$B56,'сентябрь 2025'!$J$2:$J$2497,T$1)</f>
        <v>0</v>
      </c>
      <c r="U56" s="182">
        <f>SUMIFS('сентябрь 2025'!$G$2:$G$2497,'сентябрь 2025'!$D$2:$D$2497,$B56,'сентябрь 2025'!$J$2:$J$2497,U$1)</f>
        <v>0</v>
      </c>
      <c r="V56" s="182">
        <f>SUMIFS('сентябрь 2025'!$G$2:$G$2497,'сентябрь 2025'!$D$2:$D$2497,$B56,'сентябрь 2025'!$J$2:$J$2497,V$1)</f>
        <v>0</v>
      </c>
      <c r="W56" s="182">
        <f>SUMIFS('сентябрь 2025'!$G$2:$G$2497,'сентябрь 2025'!$D$2:$D$2497,$B56,'сентябрь 2025'!$J$2:$J$2497,W$1)</f>
        <v>0</v>
      </c>
      <c r="X56" s="182">
        <f>SUMIFS('сентябрь 2025'!$G$2:$G$2497,'сентябрь 2025'!$D$2:$D$2497,$B56,'сентябрь 2025'!$J$2:$J$2497,X$1)</f>
        <v>0</v>
      </c>
      <c r="Y56" s="182">
        <f>SUMIFS('сентябрь 2025'!$G$2:$G$2497,'сентябрь 2025'!$D$2:$D$2497,$B56,'сентябрь 2025'!$J$2:$J$2497,Y$1)</f>
        <v>0</v>
      </c>
      <c r="Z56" s="182">
        <f>SUMIFS('сентябрь 2025'!$G$2:$G$2497,'сентябрь 2025'!$D$2:$D$2497,$B56,'сентябрь 2025'!$J$2:$J$2497,Z$1)</f>
        <v>0</v>
      </c>
      <c r="AA56" s="182">
        <f>SUMIFS('сентябрь 2025'!$G$2:$G$2497,'сентябрь 2025'!$D$2:$D$2497,$B56,'сентябрь 2025'!$J$2:$J$2497,AA$1)</f>
        <v>0</v>
      </c>
      <c r="AB56" s="182">
        <f>SUMIFS('сентябрь 2025'!$G$2:$G$2497,'сентябрь 2025'!$D$2:$D$2497,$B56,'сентябрь 2025'!$J$2:$J$2497,AB$1)</f>
        <v>0</v>
      </c>
      <c r="AC56" s="182">
        <f>SUMIFS('сентябрь 2025'!$G$2:$G$2497,'сентябрь 2025'!$D$2:$D$2497,$B56,'сентябрь 2025'!$J$2:$J$2497,AC$1)</f>
        <v>0</v>
      </c>
      <c r="AD56" s="182">
        <f>SUMIFS('сентябрь 2025'!$G$2:$G$2497,'сентябрь 2025'!$D$2:$D$2497,$B56,'сентябрь 2025'!$J$2:$J$2497,AD$1)</f>
        <v>0</v>
      </c>
      <c r="AE56" s="182">
        <f>SUMIFS('сентябрь 2025'!$G$2:$G$2497,'сентябрь 2025'!$D$2:$D$2497,$B56,'сентябрь 2025'!$J$2:$J$2497,AE$1)</f>
        <v>0</v>
      </c>
      <c r="AF56" s="182">
        <f>SUMIFS('сентябрь 2025'!$G$2:$G$2497,'сентябрь 2025'!$D$2:$D$2497,$B56,'сентябрь 2025'!$J$2:$J$2497,AF$1)</f>
        <v>0</v>
      </c>
      <c r="AG56" s="182">
        <f>SUMIFS('сентябрь 2025'!$G$2:$G$2497,'сентябрь 2025'!$D$2:$D$2497,$B56,'сентябрь 2025'!$J$2:$J$2497,AG$1)</f>
        <v>0</v>
      </c>
      <c r="AH56" s="182">
        <f>SUMIFS('сентябрь 2025'!$G$2:$G$2497,'сентябрь 2025'!$D$2:$D$2497,$B56,'сентябрь 2025'!$J$2:$J$2497,AH$1)</f>
        <v>0</v>
      </c>
      <c r="AI56" s="20">
        <f t="shared" si="1"/>
        <v>0</v>
      </c>
    </row>
    <row r="57" spans="2:35" ht="15" customHeight="1" x14ac:dyDescent="0.25">
      <c r="B57" s="131" t="s">
        <v>252</v>
      </c>
      <c r="C57" s="132">
        <v>20</v>
      </c>
      <c r="D57" s="182">
        <f>SUMIFS('сентябрь 2025'!$G$2:$G$2497,'сентябрь 2025'!$D$2:$D$2497,$B57,'сентябрь 2025'!$J$2:$J$2497,D$1)</f>
        <v>0</v>
      </c>
      <c r="E57" s="182">
        <f>SUMIFS('сентябрь 2025'!$G$2:$G$2497,'сентябрь 2025'!$D$2:$D$2497,$B57,'сентябрь 2025'!$J$2:$J$2497,E$1)</f>
        <v>0</v>
      </c>
      <c r="F57" s="182">
        <f>SUMIFS('сентябрь 2025'!$G$2:$G$2497,'сентябрь 2025'!$D$2:$D$2497,$B57,'сентябрь 2025'!$J$2:$J$2497,F$1)</f>
        <v>0</v>
      </c>
      <c r="G57" s="182">
        <f>SUMIFS('сентябрь 2025'!$G$2:$G$2497,'сентябрь 2025'!$D$2:$D$2497,$B57,'сентябрь 2025'!$J$2:$J$2497,G$1)</f>
        <v>0</v>
      </c>
      <c r="H57" s="182">
        <f>SUMIFS('сентябрь 2025'!$G$2:$G$2497,'сентябрь 2025'!$D$2:$D$2497,$B57,'сентябрь 2025'!$J$2:$J$2497,H$1)</f>
        <v>0</v>
      </c>
      <c r="I57" s="182">
        <f>SUMIFS('сентябрь 2025'!$G$2:$G$2497,'сентябрь 2025'!$D$2:$D$2497,$B57,'сентябрь 2025'!$J$2:$J$2497,I$1)</f>
        <v>0</v>
      </c>
      <c r="J57" s="182">
        <f>SUMIFS('сентябрь 2025'!$G$2:$G$2497,'сентябрь 2025'!$D$2:$D$2497,$B57,'сентябрь 2025'!$J$2:$J$2497,J$1)</f>
        <v>0</v>
      </c>
      <c r="K57" s="182">
        <f>SUMIFS('сентябрь 2025'!$G$2:$G$2497,'сентябрь 2025'!$D$2:$D$2497,$B57,'сентябрь 2025'!$J$2:$J$2497,K$1)</f>
        <v>400</v>
      </c>
      <c r="L57" s="182">
        <f>SUMIFS('сентябрь 2025'!$G$2:$G$2497,'сентябрь 2025'!$D$2:$D$2497,$B57,'сентябрь 2025'!$J$2:$J$2497,L$1)</f>
        <v>0</v>
      </c>
      <c r="M57" s="182">
        <f>SUMIFS('сентябрь 2025'!$G$2:$G$2497,'сентябрь 2025'!$D$2:$D$2497,$B57,'сентябрь 2025'!$J$2:$J$2497,M$1)</f>
        <v>0</v>
      </c>
      <c r="N57" s="182">
        <f>SUMIFS('сентябрь 2025'!$G$2:$G$2497,'сентябрь 2025'!$D$2:$D$2497,$B57,'сентябрь 2025'!$J$2:$J$2497,N$1)</f>
        <v>0</v>
      </c>
      <c r="O57" s="182">
        <f>SUMIFS('сентябрь 2025'!$G$2:$G$2497,'сентябрь 2025'!$D$2:$D$2497,$B57,'сентябрь 2025'!$J$2:$J$2497,O$1)</f>
        <v>0</v>
      </c>
      <c r="P57" s="182">
        <f>SUMIFS('сентябрь 2025'!$G$2:$G$2497,'сентябрь 2025'!$D$2:$D$2497,$B57,'сентябрь 2025'!$J$2:$J$2497,P$1)</f>
        <v>0</v>
      </c>
      <c r="Q57" s="182">
        <f>SUMIFS('сентябрь 2025'!$G$2:$G$2497,'сентябрь 2025'!$D$2:$D$2497,$B57,'сентябрь 2025'!$J$2:$J$2497,Q$1)</f>
        <v>0</v>
      </c>
      <c r="R57" s="182">
        <f>SUMIFS('сентябрь 2025'!$G$2:$G$2497,'сентябрь 2025'!$D$2:$D$2497,$B57,'сентябрь 2025'!$J$2:$J$2497,R$1)</f>
        <v>0</v>
      </c>
      <c r="S57" s="182">
        <f>SUMIFS('сентябрь 2025'!$G$2:$G$2497,'сентябрь 2025'!$D$2:$D$2497,$B57,'сентябрь 2025'!$J$2:$J$2497,S$1)</f>
        <v>0</v>
      </c>
      <c r="T57" s="182">
        <f>SUMIFS('сентябрь 2025'!$G$2:$G$2497,'сентябрь 2025'!$D$2:$D$2497,$B57,'сентябрь 2025'!$J$2:$J$2497,T$1)</f>
        <v>0</v>
      </c>
      <c r="U57" s="182">
        <f>SUMIFS('сентябрь 2025'!$G$2:$G$2497,'сентябрь 2025'!$D$2:$D$2497,$B57,'сентябрь 2025'!$J$2:$J$2497,U$1)</f>
        <v>0</v>
      </c>
      <c r="V57" s="182">
        <f>SUMIFS('сентябрь 2025'!$G$2:$G$2497,'сентябрь 2025'!$D$2:$D$2497,$B57,'сентябрь 2025'!$J$2:$J$2497,V$1)</f>
        <v>0</v>
      </c>
      <c r="W57" s="182">
        <f>SUMIFS('сентябрь 2025'!$G$2:$G$2497,'сентябрь 2025'!$D$2:$D$2497,$B57,'сентябрь 2025'!$J$2:$J$2497,W$1)</f>
        <v>0</v>
      </c>
      <c r="X57" s="182">
        <f>SUMIFS('сентябрь 2025'!$G$2:$G$2497,'сентябрь 2025'!$D$2:$D$2497,$B57,'сентябрь 2025'!$J$2:$J$2497,X$1)</f>
        <v>0</v>
      </c>
      <c r="Y57" s="182">
        <f>SUMIFS('сентябрь 2025'!$G$2:$G$2497,'сентябрь 2025'!$D$2:$D$2497,$B57,'сентябрь 2025'!$J$2:$J$2497,Y$1)</f>
        <v>0</v>
      </c>
      <c r="Z57" s="182">
        <f>SUMIFS('сентябрь 2025'!$G$2:$G$2497,'сентябрь 2025'!$D$2:$D$2497,$B57,'сентябрь 2025'!$J$2:$J$2497,Z$1)</f>
        <v>0</v>
      </c>
      <c r="AA57" s="182">
        <f>SUMIFS('сентябрь 2025'!$G$2:$G$2497,'сентябрь 2025'!$D$2:$D$2497,$B57,'сентябрь 2025'!$J$2:$J$2497,AA$1)</f>
        <v>0</v>
      </c>
      <c r="AB57" s="182">
        <f>SUMIFS('сентябрь 2025'!$G$2:$G$2497,'сентябрь 2025'!$D$2:$D$2497,$B57,'сентябрь 2025'!$J$2:$J$2497,AB$1)</f>
        <v>0</v>
      </c>
      <c r="AC57" s="182">
        <f>SUMIFS('сентябрь 2025'!$G$2:$G$2497,'сентябрь 2025'!$D$2:$D$2497,$B57,'сентябрь 2025'!$J$2:$J$2497,AC$1)</f>
        <v>0</v>
      </c>
      <c r="AD57" s="182">
        <f>SUMIFS('сентябрь 2025'!$G$2:$G$2497,'сентябрь 2025'!$D$2:$D$2497,$B57,'сентябрь 2025'!$J$2:$J$2497,AD$1)</f>
        <v>0</v>
      </c>
      <c r="AE57" s="182">
        <f>SUMIFS('сентябрь 2025'!$G$2:$G$2497,'сентябрь 2025'!$D$2:$D$2497,$B57,'сентябрь 2025'!$J$2:$J$2497,AE$1)</f>
        <v>0</v>
      </c>
      <c r="AF57" s="182">
        <f>SUMIFS('сентябрь 2025'!$G$2:$G$2497,'сентябрь 2025'!$D$2:$D$2497,$B57,'сентябрь 2025'!$J$2:$J$2497,AF$1)</f>
        <v>700</v>
      </c>
      <c r="AG57" s="182">
        <f>SUMIFS('сентябрь 2025'!$G$2:$G$2497,'сентябрь 2025'!$D$2:$D$2497,$B57,'сентябрь 2025'!$J$2:$J$2497,AG$1)</f>
        <v>0</v>
      </c>
      <c r="AH57" s="182">
        <f>SUMIFS('сентябрь 2025'!$G$2:$G$2497,'сентябрь 2025'!$D$2:$D$2497,$B57,'сентябрь 2025'!$J$2:$J$2497,AH$1)</f>
        <v>0</v>
      </c>
      <c r="AI57" s="20">
        <f t="shared" si="1"/>
        <v>1100</v>
      </c>
    </row>
    <row r="58" spans="2:35" ht="15" customHeight="1" x14ac:dyDescent="0.25">
      <c r="B58" s="131" t="s">
        <v>1156</v>
      </c>
      <c r="C58" s="132">
        <v>20</v>
      </c>
      <c r="D58" s="182">
        <f>SUMIFS('сентябрь 2025'!$G$2:$G$2497,'сентябрь 2025'!$D$2:$D$2497,$B58,'сентябрь 2025'!$J$2:$J$2497,D$1)</f>
        <v>0</v>
      </c>
      <c r="E58" s="182">
        <f>SUMIFS('сентябрь 2025'!$G$2:$G$2497,'сентябрь 2025'!$D$2:$D$2497,$B58,'сентябрь 2025'!$J$2:$J$2497,E$1)</f>
        <v>0</v>
      </c>
      <c r="F58" s="182">
        <f>SUMIFS('сентябрь 2025'!$G$2:$G$2497,'сентябрь 2025'!$D$2:$D$2497,$B58,'сентябрь 2025'!$J$2:$J$2497,F$1)</f>
        <v>0</v>
      </c>
      <c r="G58" s="182">
        <f>SUMIFS('сентябрь 2025'!$G$2:$G$2497,'сентябрь 2025'!$D$2:$D$2497,$B58,'сентябрь 2025'!$J$2:$J$2497,G$1)</f>
        <v>0</v>
      </c>
      <c r="H58" s="182">
        <f>SUMIFS('сентябрь 2025'!$G$2:$G$2497,'сентябрь 2025'!$D$2:$D$2497,$B58,'сентябрь 2025'!$J$2:$J$2497,H$1)</f>
        <v>0</v>
      </c>
      <c r="I58" s="182">
        <f>SUMIFS('сентябрь 2025'!$G$2:$G$2497,'сентябрь 2025'!$D$2:$D$2497,$B58,'сентябрь 2025'!$J$2:$J$2497,I$1)</f>
        <v>0</v>
      </c>
      <c r="J58" s="182">
        <f>SUMIFS('сентябрь 2025'!$G$2:$G$2497,'сентябрь 2025'!$D$2:$D$2497,$B58,'сентябрь 2025'!$J$2:$J$2497,J$1)</f>
        <v>0</v>
      </c>
      <c r="K58" s="182">
        <f>SUMIFS('сентябрь 2025'!$G$2:$G$2497,'сентябрь 2025'!$D$2:$D$2497,$B58,'сентябрь 2025'!$J$2:$J$2497,K$1)</f>
        <v>0</v>
      </c>
      <c r="L58" s="182">
        <f>SUMIFS('сентябрь 2025'!$G$2:$G$2497,'сентябрь 2025'!$D$2:$D$2497,$B58,'сентябрь 2025'!$J$2:$J$2497,L$1)</f>
        <v>0</v>
      </c>
      <c r="M58" s="182">
        <f>SUMIFS('сентябрь 2025'!$G$2:$G$2497,'сентябрь 2025'!$D$2:$D$2497,$B58,'сентябрь 2025'!$J$2:$J$2497,M$1)</f>
        <v>0</v>
      </c>
      <c r="N58" s="182">
        <f>SUMIFS('сентябрь 2025'!$G$2:$G$2497,'сентябрь 2025'!$D$2:$D$2497,$B58,'сентябрь 2025'!$J$2:$J$2497,N$1)</f>
        <v>0</v>
      </c>
      <c r="O58" s="182">
        <f>SUMIFS('сентябрь 2025'!$G$2:$G$2497,'сентябрь 2025'!$D$2:$D$2497,$B58,'сентябрь 2025'!$J$2:$J$2497,O$1)</f>
        <v>0</v>
      </c>
      <c r="P58" s="182">
        <f>SUMIFS('сентябрь 2025'!$G$2:$G$2497,'сентябрь 2025'!$D$2:$D$2497,$B58,'сентябрь 2025'!$J$2:$J$2497,P$1)</f>
        <v>0</v>
      </c>
      <c r="Q58" s="182">
        <f>SUMIFS('сентябрь 2025'!$G$2:$G$2497,'сентябрь 2025'!$D$2:$D$2497,$B58,'сентябрь 2025'!$J$2:$J$2497,Q$1)</f>
        <v>0</v>
      </c>
      <c r="R58" s="182">
        <f>SUMIFS('сентябрь 2025'!$G$2:$G$2497,'сентябрь 2025'!$D$2:$D$2497,$B58,'сентябрь 2025'!$J$2:$J$2497,R$1)</f>
        <v>0</v>
      </c>
      <c r="S58" s="182">
        <f>SUMIFS('сентябрь 2025'!$G$2:$G$2497,'сентябрь 2025'!$D$2:$D$2497,$B58,'сентябрь 2025'!$J$2:$J$2497,S$1)</f>
        <v>0</v>
      </c>
      <c r="T58" s="182">
        <f>SUMIFS('сентябрь 2025'!$G$2:$G$2497,'сентябрь 2025'!$D$2:$D$2497,$B58,'сентябрь 2025'!$J$2:$J$2497,T$1)</f>
        <v>0</v>
      </c>
      <c r="U58" s="182">
        <f>SUMIFS('сентябрь 2025'!$G$2:$G$2497,'сентябрь 2025'!$D$2:$D$2497,$B58,'сентябрь 2025'!$J$2:$J$2497,U$1)</f>
        <v>0</v>
      </c>
      <c r="V58" s="182">
        <f>SUMIFS('сентябрь 2025'!$G$2:$G$2497,'сентябрь 2025'!$D$2:$D$2497,$B58,'сентябрь 2025'!$J$2:$J$2497,V$1)</f>
        <v>0</v>
      </c>
      <c r="W58" s="182">
        <f>SUMIFS('сентябрь 2025'!$G$2:$G$2497,'сентябрь 2025'!$D$2:$D$2497,$B58,'сентябрь 2025'!$J$2:$J$2497,W$1)</f>
        <v>0</v>
      </c>
      <c r="X58" s="182">
        <f>SUMIFS('сентябрь 2025'!$G$2:$G$2497,'сентябрь 2025'!$D$2:$D$2497,$B58,'сентябрь 2025'!$J$2:$J$2497,X$1)</f>
        <v>0</v>
      </c>
      <c r="Y58" s="182">
        <f>SUMIFS('сентябрь 2025'!$G$2:$G$2497,'сентябрь 2025'!$D$2:$D$2497,$B58,'сентябрь 2025'!$J$2:$J$2497,Y$1)</f>
        <v>0</v>
      </c>
      <c r="Z58" s="182">
        <f>SUMIFS('сентябрь 2025'!$G$2:$G$2497,'сентябрь 2025'!$D$2:$D$2497,$B58,'сентябрь 2025'!$J$2:$J$2497,Z$1)</f>
        <v>0</v>
      </c>
      <c r="AA58" s="182">
        <f>SUMIFS('сентябрь 2025'!$G$2:$G$2497,'сентябрь 2025'!$D$2:$D$2497,$B58,'сентябрь 2025'!$J$2:$J$2497,AA$1)</f>
        <v>0</v>
      </c>
      <c r="AB58" s="182">
        <f>SUMIFS('сентябрь 2025'!$G$2:$G$2497,'сентябрь 2025'!$D$2:$D$2497,$B58,'сентябрь 2025'!$J$2:$J$2497,AB$1)</f>
        <v>0</v>
      </c>
      <c r="AC58" s="182">
        <f>SUMIFS('сентябрь 2025'!$G$2:$G$2497,'сентябрь 2025'!$D$2:$D$2497,$B58,'сентябрь 2025'!$J$2:$J$2497,AC$1)</f>
        <v>0</v>
      </c>
      <c r="AD58" s="182">
        <f>SUMIFS('сентябрь 2025'!$G$2:$G$2497,'сентябрь 2025'!$D$2:$D$2497,$B58,'сентябрь 2025'!$J$2:$J$2497,AD$1)</f>
        <v>0</v>
      </c>
      <c r="AE58" s="182">
        <f>SUMIFS('сентябрь 2025'!$G$2:$G$2497,'сентябрь 2025'!$D$2:$D$2497,$B58,'сентябрь 2025'!$J$2:$J$2497,AE$1)</f>
        <v>0</v>
      </c>
      <c r="AF58" s="182">
        <f>SUMIFS('сентябрь 2025'!$G$2:$G$2497,'сентябрь 2025'!$D$2:$D$2497,$B58,'сентябрь 2025'!$J$2:$J$2497,AF$1)</f>
        <v>0</v>
      </c>
      <c r="AG58" s="182">
        <f>SUMIFS('сентябрь 2025'!$G$2:$G$2497,'сентябрь 2025'!$D$2:$D$2497,$B58,'сентябрь 2025'!$J$2:$J$2497,AG$1)</f>
        <v>0</v>
      </c>
      <c r="AH58" s="182">
        <f>SUMIFS('сентябрь 2025'!$G$2:$G$2497,'сентябрь 2025'!$D$2:$D$2497,$B58,'сентябрь 2025'!$J$2:$J$2497,AH$1)</f>
        <v>0</v>
      </c>
      <c r="AI58" s="20">
        <f t="shared" si="1"/>
        <v>0</v>
      </c>
    </row>
    <row r="59" spans="2:35" ht="15" customHeight="1" x14ac:dyDescent="0.25">
      <c r="B59" s="127" t="s">
        <v>253</v>
      </c>
      <c r="C59" s="132">
        <v>20</v>
      </c>
      <c r="D59" s="182">
        <f>SUMIFS('сентябрь 2025'!$G$2:$G$2497,'сентябрь 2025'!$D$2:$D$2497,$B59,'сентябрь 2025'!$J$2:$J$2497,D$1)</f>
        <v>0</v>
      </c>
      <c r="E59" s="182">
        <f>SUMIFS('сентябрь 2025'!$G$2:$G$2497,'сентябрь 2025'!$D$2:$D$2497,$B59,'сентябрь 2025'!$J$2:$J$2497,E$1)</f>
        <v>0</v>
      </c>
      <c r="F59" s="182">
        <f>SUMIFS('сентябрь 2025'!$G$2:$G$2497,'сентябрь 2025'!$D$2:$D$2497,$B59,'сентябрь 2025'!$J$2:$J$2497,F$1)</f>
        <v>0</v>
      </c>
      <c r="G59" s="182">
        <f>SUMIFS('сентябрь 2025'!$G$2:$G$2497,'сентябрь 2025'!$D$2:$D$2497,$B59,'сентябрь 2025'!$J$2:$J$2497,G$1)</f>
        <v>0</v>
      </c>
      <c r="H59" s="182">
        <f>SUMIFS('сентябрь 2025'!$G$2:$G$2497,'сентябрь 2025'!$D$2:$D$2497,$B59,'сентябрь 2025'!$J$2:$J$2497,H$1)</f>
        <v>0</v>
      </c>
      <c r="I59" s="182">
        <f>SUMIFS('сентябрь 2025'!$G$2:$G$2497,'сентябрь 2025'!$D$2:$D$2497,$B59,'сентябрь 2025'!$J$2:$J$2497,I$1)</f>
        <v>0</v>
      </c>
      <c r="J59" s="182">
        <f>SUMIFS('сентябрь 2025'!$G$2:$G$2497,'сентябрь 2025'!$D$2:$D$2497,$B59,'сентябрь 2025'!$J$2:$J$2497,J$1)</f>
        <v>0</v>
      </c>
      <c r="K59" s="182">
        <f>SUMIFS('сентябрь 2025'!$G$2:$G$2497,'сентябрь 2025'!$D$2:$D$2497,$B59,'сентябрь 2025'!$J$2:$J$2497,K$1)</f>
        <v>0</v>
      </c>
      <c r="L59" s="182">
        <f>SUMIFS('сентябрь 2025'!$G$2:$G$2497,'сентябрь 2025'!$D$2:$D$2497,$B59,'сентябрь 2025'!$J$2:$J$2497,L$1)</f>
        <v>0</v>
      </c>
      <c r="M59" s="182">
        <f>SUMIFS('сентябрь 2025'!$G$2:$G$2497,'сентябрь 2025'!$D$2:$D$2497,$B59,'сентябрь 2025'!$J$2:$J$2497,M$1)</f>
        <v>0</v>
      </c>
      <c r="N59" s="182">
        <f>SUMIFS('сентябрь 2025'!$G$2:$G$2497,'сентябрь 2025'!$D$2:$D$2497,$B59,'сентябрь 2025'!$J$2:$J$2497,N$1)</f>
        <v>0</v>
      </c>
      <c r="O59" s="182">
        <f>SUMIFS('сентябрь 2025'!$G$2:$G$2497,'сентябрь 2025'!$D$2:$D$2497,$B59,'сентябрь 2025'!$J$2:$J$2497,O$1)</f>
        <v>0</v>
      </c>
      <c r="P59" s="182">
        <f>SUMIFS('сентябрь 2025'!$G$2:$G$2497,'сентябрь 2025'!$D$2:$D$2497,$B59,'сентябрь 2025'!$J$2:$J$2497,P$1)</f>
        <v>0</v>
      </c>
      <c r="Q59" s="182">
        <f>SUMIFS('сентябрь 2025'!$G$2:$G$2497,'сентябрь 2025'!$D$2:$D$2497,$B59,'сентябрь 2025'!$J$2:$J$2497,Q$1)</f>
        <v>0</v>
      </c>
      <c r="R59" s="182">
        <f>SUMIFS('сентябрь 2025'!$G$2:$G$2497,'сентябрь 2025'!$D$2:$D$2497,$B59,'сентябрь 2025'!$J$2:$J$2497,R$1)</f>
        <v>0</v>
      </c>
      <c r="S59" s="182">
        <f>SUMIFS('сентябрь 2025'!$G$2:$G$2497,'сентябрь 2025'!$D$2:$D$2497,$B59,'сентябрь 2025'!$J$2:$J$2497,S$1)</f>
        <v>0</v>
      </c>
      <c r="T59" s="182">
        <f>SUMIFS('сентябрь 2025'!$G$2:$G$2497,'сентябрь 2025'!$D$2:$D$2497,$B59,'сентябрь 2025'!$J$2:$J$2497,T$1)</f>
        <v>0</v>
      </c>
      <c r="U59" s="182">
        <f>SUMIFS('сентябрь 2025'!$G$2:$G$2497,'сентябрь 2025'!$D$2:$D$2497,$B59,'сентябрь 2025'!$J$2:$J$2497,U$1)</f>
        <v>0</v>
      </c>
      <c r="V59" s="182">
        <f>SUMIFS('сентябрь 2025'!$G$2:$G$2497,'сентябрь 2025'!$D$2:$D$2497,$B59,'сентябрь 2025'!$J$2:$J$2497,V$1)</f>
        <v>0</v>
      </c>
      <c r="W59" s="182">
        <f>SUMIFS('сентябрь 2025'!$G$2:$G$2497,'сентябрь 2025'!$D$2:$D$2497,$B59,'сентябрь 2025'!$J$2:$J$2497,W$1)</f>
        <v>0</v>
      </c>
      <c r="X59" s="182">
        <f>SUMIFS('сентябрь 2025'!$G$2:$G$2497,'сентябрь 2025'!$D$2:$D$2497,$B59,'сентябрь 2025'!$J$2:$J$2497,X$1)</f>
        <v>0</v>
      </c>
      <c r="Y59" s="182">
        <f>SUMIFS('сентябрь 2025'!$G$2:$G$2497,'сентябрь 2025'!$D$2:$D$2497,$B59,'сентябрь 2025'!$J$2:$J$2497,Y$1)</f>
        <v>0</v>
      </c>
      <c r="Z59" s="182">
        <f>SUMIFS('сентябрь 2025'!$G$2:$G$2497,'сентябрь 2025'!$D$2:$D$2497,$B59,'сентябрь 2025'!$J$2:$J$2497,Z$1)</f>
        <v>0</v>
      </c>
      <c r="AA59" s="182">
        <f>SUMIFS('сентябрь 2025'!$G$2:$G$2497,'сентябрь 2025'!$D$2:$D$2497,$B59,'сентябрь 2025'!$J$2:$J$2497,AA$1)</f>
        <v>0</v>
      </c>
      <c r="AB59" s="182">
        <f>SUMIFS('сентябрь 2025'!$G$2:$G$2497,'сентябрь 2025'!$D$2:$D$2497,$B59,'сентябрь 2025'!$J$2:$J$2497,AB$1)</f>
        <v>0</v>
      </c>
      <c r="AC59" s="182">
        <f>SUMIFS('сентябрь 2025'!$G$2:$G$2497,'сентябрь 2025'!$D$2:$D$2497,$B59,'сентябрь 2025'!$J$2:$J$2497,AC$1)</f>
        <v>0</v>
      </c>
      <c r="AD59" s="182">
        <f>SUMIFS('сентябрь 2025'!$G$2:$G$2497,'сентябрь 2025'!$D$2:$D$2497,$B59,'сентябрь 2025'!$J$2:$J$2497,AD$1)</f>
        <v>0</v>
      </c>
      <c r="AE59" s="182">
        <f>SUMIFS('сентябрь 2025'!$G$2:$G$2497,'сентябрь 2025'!$D$2:$D$2497,$B59,'сентябрь 2025'!$J$2:$J$2497,AE$1)</f>
        <v>0</v>
      </c>
      <c r="AF59" s="182">
        <f>SUMIFS('сентябрь 2025'!$G$2:$G$2497,'сентябрь 2025'!$D$2:$D$2497,$B59,'сентябрь 2025'!$J$2:$J$2497,AF$1)</f>
        <v>0</v>
      </c>
      <c r="AG59" s="182">
        <f>SUMIFS('сентябрь 2025'!$G$2:$G$2497,'сентябрь 2025'!$D$2:$D$2497,$B59,'сентябрь 2025'!$J$2:$J$2497,AG$1)</f>
        <v>0</v>
      </c>
      <c r="AH59" s="182">
        <f>SUMIFS('сентябрь 2025'!$G$2:$G$2497,'сентябрь 2025'!$D$2:$D$2497,$B59,'сентябрь 2025'!$J$2:$J$2497,AH$1)</f>
        <v>0</v>
      </c>
      <c r="AI59" s="20">
        <f t="shared" si="1"/>
        <v>0</v>
      </c>
    </row>
    <row r="60" spans="2:35" ht="15" customHeight="1" x14ac:dyDescent="0.25">
      <c r="B60" s="131" t="s">
        <v>254</v>
      </c>
      <c r="C60" s="132">
        <v>20</v>
      </c>
      <c r="D60" s="182">
        <f>SUMIFS('сентябрь 2025'!$G$2:$G$2497,'сентябрь 2025'!$D$2:$D$2497,$B60,'сентябрь 2025'!$J$2:$J$2497,D$1)</f>
        <v>0</v>
      </c>
      <c r="E60" s="182">
        <f>SUMIFS('сентябрь 2025'!$G$2:$G$2497,'сентябрь 2025'!$D$2:$D$2497,$B60,'сентябрь 2025'!$J$2:$J$2497,E$1)</f>
        <v>0</v>
      </c>
      <c r="F60" s="182">
        <f>SUMIFS('сентябрь 2025'!$G$2:$G$2497,'сентябрь 2025'!$D$2:$D$2497,$B60,'сентябрь 2025'!$J$2:$J$2497,F$1)</f>
        <v>0</v>
      </c>
      <c r="G60" s="182">
        <f>SUMIFS('сентябрь 2025'!$G$2:$G$2497,'сентябрь 2025'!$D$2:$D$2497,$B60,'сентябрь 2025'!$J$2:$J$2497,G$1)</f>
        <v>0</v>
      </c>
      <c r="H60" s="182">
        <f>SUMIFS('сентябрь 2025'!$G$2:$G$2497,'сентябрь 2025'!$D$2:$D$2497,$B60,'сентябрь 2025'!$J$2:$J$2497,H$1)</f>
        <v>0</v>
      </c>
      <c r="I60" s="182">
        <f>SUMIFS('сентябрь 2025'!$G$2:$G$2497,'сентябрь 2025'!$D$2:$D$2497,$B60,'сентябрь 2025'!$J$2:$J$2497,I$1)</f>
        <v>0</v>
      </c>
      <c r="J60" s="182">
        <f>SUMIFS('сентябрь 2025'!$G$2:$G$2497,'сентябрь 2025'!$D$2:$D$2497,$B60,'сентябрь 2025'!$J$2:$J$2497,J$1)</f>
        <v>0</v>
      </c>
      <c r="K60" s="182">
        <f>SUMIFS('сентябрь 2025'!$G$2:$G$2497,'сентябрь 2025'!$D$2:$D$2497,$B60,'сентябрь 2025'!$J$2:$J$2497,K$1)</f>
        <v>0</v>
      </c>
      <c r="L60" s="182">
        <f>SUMIFS('сентябрь 2025'!$G$2:$G$2497,'сентябрь 2025'!$D$2:$D$2497,$B60,'сентябрь 2025'!$J$2:$J$2497,L$1)</f>
        <v>0</v>
      </c>
      <c r="M60" s="182">
        <f>SUMIFS('сентябрь 2025'!$G$2:$G$2497,'сентябрь 2025'!$D$2:$D$2497,$B60,'сентябрь 2025'!$J$2:$J$2497,M$1)</f>
        <v>0</v>
      </c>
      <c r="N60" s="182">
        <f>SUMIFS('сентябрь 2025'!$G$2:$G$2497,'сентябрь 2025'!$D$2:$D$2497,$B60,'сентябрь 2025'!$J$2:$J$2497,N$1)</f>
        <v>0</v>
      </c>
      <c r="O60" s="182">
        <f>SUMIFS('сентябрь 2025'!$G$2:$G$2497,'сентябрь 2025'!$D$2:$D$2497,$B60,'сентябрь 2025'!$J$2:$J$2497,O$1)</f>
        <v>0</v>
      </c>
      <c r="P60" s="182">
        <f>SUMIFS('сентябрь 2025'!$G$2:$G$2497,'сентябрь 2025'!$D$2:$D$2497,$B60,'сентябрь 2025'!$J$2:$J$2497,P$1)</f>
        <v>0</v>
      </c>
      <c r="Q60" s="182">
        <f>SUMIFS('сентябрь 2025'!$G$2:$G$2497,'сентябрь 2025'!$D$2:$D$2497,$B60,'сентябрь 2025'!$J$2:$J$2497,Q$1)</f>
        <v>0</v>
      </c>
      <c r="R60" s="182">
        <f>SUMIFS('сентябрь 2025'!$G$2:$G$2497,'сентябрь 2025'!$D$2:$D$2497,$B60,'сентябрь 2025'!$J$2:$J$2497,R$1)</f>
        <v>0</v>
      </c>
      <c r="S60" s="182">
        <f>SUMIFS('сентябрь 2025'!$G$2:$G$2497,'сентябрь 2025'!$D$2:$D$2497,$B60,'сентябрь 2025'!$J$2:$J$2497,S$1)</f>
        <v>0</v>
      </c>
      <c r="T60" s="182">
        <f>SUMIFS('сентябрь 2025'!$G$2:$G$2497,'сентябрь 2025'!$D$2:$D$2497,$B60,'сентябрь 2025'!$J$2:$J$2497,T$1)</f>
        <v>0</v>
      </c>
      <c r="U60" s="182">
        <f>SUMIFS('сентябрь 2025'!$G$2:$G$2497,'сентябрь 2025'!$D$2:$D$2497,$B60,'сентябрь 2025'!$J$2:$J$2497,U$1)</f>
        <v>0</v>
      </c>
      <c r="V60" s="182">
        <f>SUMIFS('сентябрь 2025'!$G$2:$G$2497,'сентябрь 2025'!$D$2:$D$2497,$B60,'сентябрь 2025'!$J$2:$J$2497,V$1)</f>
        <v>0</v>
      </c>
      <c r="W60" s="182">
        <f>SUMIFS('сентябрь 2025'!$G$2:$G$2497,'сентябрь 2025'!$D$2:$D$2497,$B60,'сентябрь 2025'!$J$2:$J$2497,W$1)</f>
        <v>0</v>
      </c>
      <c r="X60" s="182">
        <f>SUMIFS('сентябрь 2025'!$G$2:$G$2497,'сентябрь 2025'!$D$2:$D$2497,$B60,'сентябрь 2025'!$J$2:$J$2497,X$1)</f>
        <v>0</v>
      </c>
      <c r="Y60" s="182">
        <f>SUMIFS('сентябрь 2025'!$G$2:$G$2497,'сентябрь 2025'!$D$2:$D$2497,$B60,'сентябрь 2025'!$J$2:$J$2497,Y$1)</f>
        <v>0</v>
      </c>
      <c r="Z60" s="182">
        <f>SUMIFS('сентябрь 2025'!$G$2:$G$2497,'сентябрь 2025'!$D$2:$D$2497,$B60,'сентябрь 2025'!$J$2:$J$2497,Z$1)</f>
        <v>0</v>
      </c>
      <c r="AA60" s="182">
        <f>SUMIFS('сентябрь 2025'!$G$2:$G$2497,'сентябрь 2025'!$D$2:$D$2497,$B60,'сентябрь 2025'!$J$2:$J$2497,AA$1)</f>
        <v>0</v>
      </c>
      <c r="AB60" s="182">
        <f>SUMIFS('сентябрь 2025'!$G$2:$G$2497,'сентябрь 2025'!$D$2:$D$2497,$B60,'сентябрь 2025'!$J$2:$J$2497,AB$1)</f>
        <v>0</v>
      </c>
      <c r="AC60" s="182">
        <f>SUMIFS('сентябрь 2025'!$G$2:$G$2497,'сентябрь 2025'!$D$2:$D$2497,$B60,'сентябрь 2025'!$J$2:$J$2497,AC$1)</f>
        <v>0</v>
      </c>
      <c r="AD60" s="182">
        <f>SUMIFS('сентябрь 2025'!$G$2:$G$2497,'сентябрь 2025'!$D$2:$D$2497,$B60,'сентябрь 2025'!$J$2:$J$2497,AD$1)</f>
        <v>0</v>
      </c>
      <c r="AE60" s="182">
        <f>SUMIFS('сентябрь 2025'!$G$2:$G$2497,'сентябрь 2025'!$D$2:$D$2497,$B60,'сентябрь 2025'!$J$2:$J$2497,AE$1)</f>
        <v>0</v>
      </c>
      <c r="AF60" s="182">
        <f>SUMIFS('сентябрь 2025'!$G$2:$G$2497,'сентябрь 2025'!$D$2:$D$2497,$B60,'сентябрь 2025'!$J$2:$J$2497,AF$1)</f>
        <v>0</v>
      </c>
      <c r="AG60" s="182">
        <f>SUMIFS('сентябрь 2025'!$G$2:$G$2497,'сентябрь 2025'!$D$2:$D$2497,$B60,'сентябрь 2025'!$J$2:$J$2497,AG$1)</f>
        <v>0</v>
      </c>
      <c r="AH60" s="182">
        <f>SUMIFS('сентябрь 2025'!$G$2:$G$2497,'сентябрь 2025'!$D$2:$D$2497,$B60,'сентябрь 2025'!$J$2:$J$2497,AH$1)</f>
        <v>0</v>
      </c>
      <c r="AI60" s="20">
        <f t="shared" si="1"/>
        <v>0</v>
      </c>
    </row>
    <row r="61" spans="2:35" ht="15" customHeight="1" x14ac:dyDescent="0.25">
      <c r="B61" s="131" t="s">
        <v>255</v>
      </c>
      <c r="C61" s="132">
        <v>20</v>
      </c>
      <c r="D61" s="182">
        <f>SUMIFS('сентябрь 2025'!$G$2:$G$2497,'сентябрь 2025'!$D$2:$D$2497,$B61,'сентябрь 2025'!$J$2:$J$2497,D$1)</f>
        <v>0</v>
      </c>
      <c r="E61" s="182">
        <f>SUMIFS('сентябрь 2025'!$G$2:$G$2497,'сентябрь 2025'!$D$2:$D$2497,$B61,'сентябрь 2025'!$J$2:$J$2497,E$1)</f>
        <v>0</v>
      </c>
      <c r="F61" s="182">
        <f>SUMIFS('сентябрь 2025'!$G$2:$G$2497,'сентябрь 2025'!$D$2:$D$2497,$B61,'сентябрь 2025'!$J$2:$J$2497,F$1)</f>
        <v>0</v>
      </c>
      <c r="G61" s="182">
        <f>SUMIFS('сентябрь 2025'!$G$2:$G$2497,'сентябрь 2025'!$D$2:$D$2497,$B61,'сентябрь 2025'!$J$2:$J$2497,G$1)</f>
        <v>0</v>
      </c>
      <c r="H61" s="182">
        <f>SUMIFS('сентябрь 2025'!$G$2:$G$2497,'сентябрь 2025'!$D$2:$D$2497,$B61,'сентябрь 2025'!$J$2:$J$2497,H$1)</f>
        <v>0</v>
      </c>
      <c r="I61" s="182">
        <f>SUMIFS('сентябрь 2025'!$G$2:$G$2497,'сентябрь 2025'!$D$2:$D$2497,$B61,'сентябрь 2025'!$J$2:$J$2497,I$1)</f>
        <v>0</v>
      </c>
      <c r="J61" s="182">
        <f>SUMIFS('сентябрь 2025'!$G$2:$G$2497,'сентябрь 2025'!$D$2:$D$2497,$B61,'сентябрь 2025'!$J$2:$J$2497,J$1)</f>
        <v>0</v>
      </c>
      <c r="K61" s="182">
        <f>SUMIFS('сентябрь 2025'!$G$2:$G$2497,'сентябрь 2025'!$D$2:$D$2497,$B61,'сентябрь 2025'!$J$2:$J$2497,K$1)</f>
        <v>0</v>
      </c>
      <c r="L61" s="182">
        <f>SUMIFS('сентябрь 2025'!$G$2:$G$2497,'сентябрь 2025'!$D$2:$D$2497,$B61,'сентябрь 2025'!$J$2:$J$2497,L$1)</f>
        <v>0</v>
      </c>
      <c r="M61" s="182">
        <f>SUMIFS('сентябрь 2025'!$G$2:$G$2497,'сентябрь 2025'!$D$2:$D$2497,$B61,'сентябрь 2025'!$J$2:$J$2497,M$1)</f>
        <v>0</v>
      </c>
      <c r="N61" s="182">
        <f>SUMIFS('сентябрь 2025'!$G$2:$G$2497,'сентябрь 2025'!$D$2:$D$2497,$B61,'сентябрь 2025'!$J$2:$J$2497,N$1)</f>
        <v>0</v>
      </c>
      <c r="O61" s="182">
        <f>SUMIFS('сентябрь 2025'!$G$2:$G$2497,'сентябрь 2025'!$D$2:$D$2497,$B61,'сентябрь 2025'!$J$2:$J$2497,O$1)</f>
        <v>0</v>
      </c>
      <c r="P61" s="182">
        <f>SUMIFS('сентябрь 2025'!$G$2:$G$2497,'сентябрь 2025'!$D$2:$D$2497,$B61,'сентябрь 2025'!$J$2:$J$2497,P$1)</f>
        <v>0</v>
      </c>
      <c r="Q61" s="182">
        <f>SUMIFS('сентябрь 2025'!$G$2:$G$2497,'сентябрь 2025'!$D$2:$D$2497,$B61,'сентябрь 2025'!$J$2:$J$2497,Q$1)</f>
        <v>0</v>
      </c>
      <c r="R61" s="182">
        <f>SUMIFS('сентябрь 2025'!$G$2:$G$2497,'сентябрь 2025'!$D$2:$D$2497,$B61,'сентябрь 2025'!$J$2:$J$2497,R$1)</f>
        <v>0</v>
      </c>
      <c r="S61" s="182">
        <f>SUMIFS('сентябрь 2025'!$G$2:$G$2497,'сентябрь 2025'!$D$2:$D$2497,$B61,'сентябрь 2025'!$J$2:$J$2497,S$1)</f>
        <v>0</v>
      </c>
      <c r="T61" s="182">
        <f>SUMIFS('сентябрь 2025'!$G$2:$G$2497,'сентябрь 2025'!$D$2:$D$2497,$B61,'сентябрь 2025'!$J$2:$J$2497,T$1)</f>
        <v>0</v>
      </c>
      <c r="U61" s="182">
        <f>SUMIFS('сентябрь 2025'!$G$2:$G$2497,'сентябрь 2025'!$D$2:$D$2497,$B61,'сентябрь 2025'!$J$2:$J$2497,U$1)</f>
        <v>0</v>
      </c>
      <c r="V61" s="182">
        <f>SUMIFS('сентябрь 2025'!$G$2:$G$2497,'сентябрь 2025'!$D$2:$D$2497,$B61,'сентябрь 2025'!$J$2:$J$2497,V$1)</f>
        <v>0</v>
      </c>
      <c r="W61" s="182">
        <f>SUMIFS('сентябрь 2025'!$G$2:$G$2497,'сентябрь 2025'!$D$2:$D$2497,$B61,'сентябрь 2025'!$J$2:$J$2497,W$1)</f>
        <v>0</v>
      </c>
      <c r="X61" s="182">
        <f>SUMIFS('сентябрь 2025'!$G$2:$G$2497,'сентябрь 2025'!$D$2:$D$2497,$B61,'сентябрь 2025'!$J$2:$J$2497,X$1)</f>
        <v>0</v>
      </c>
      <c r="Y61" s="182">
        <f>SUMIFS('сентябрь 2025'!$G$2:$G$2497,'сентябрь 2025'!$D$2:$D$2497,$B61,'сентябрь 2025'!$J$2:$J$2497,Y$1)</f>
        <v>0</v>
      </c>
      <c r="Z61" s="182">
        <f>SUMIFS('сентябрь 2025'!$G$2:$G$2497,'сентябрь 2025'!$D$2:$D$2497,$B61,'сентябрь 2025'!$J$2:$J$2497,Z$1)</f>
        <v>0</v>
      </c>
      <c r="AA61" s="182">
        <f>SUMIFS('сентябрь 2025'!$G$2:$G$2497,'сентябрь 2025'!$D$2:$D$2497,$B61,'сентябрь 2025'!$J$2:$J$2497,AA$1)</f>
        <v>0</v>
      </c>
      <c r="AB61" s="182">
        <f>SUMIFS('сентябрь 2025'!$G$2:$G$2497,'сентябрь 2025'!$D$2:$D$2497,$B61,'сентябрь 2025'!$J$2:$J$2497,AB$1)</f>
        <v>0</v>
      </c>
      <c r="AC61" s="182">
        <f>SUMIFS('сентябрь 2025'!$G$2:$G$2497,'сентябрь 2025'!$D$2:$D$2497,$B61,'сентябрь 2025'!$J$2:$J$2497,AC$1)</f>
        <v>0</v>
      </c>
      <c r="AD61" s="182">
        <f>SUMIFS('сентябрь 2025'!$G$2:$G$2497,'сентябрь 2025'!$D$2:$D$2497,$B61,'сентябрь 2025'!$J$2:$J$2497,AD$1)</f>
        <v>0</v>
      </c>
      <c r="AE61" s="182">
        <f>SUMIFS('сентябрь 2025'!$G$2:$G$2497,'сентябрь 2025'!$D$2:$D$2497,$B61,'сентябрь 2025'!$J$2:$J$2497,AE$1)</f>
        <v>0</v>
      </c>
      <c r="AF61" s="182">
        <f>SUMIFS('сентябрь 2025'!$G$2:$G$2497,'сентябрь 2025'!$D$2:$D$2497,$B61,'сентябрь 2025'!$J$2:$J$2497,AF$1)</f>
        <v>0</v>
      </c>
      <c r="AG61" s="182">
        <f>SUMIFS('сентябрь 2025'!$G$2:$G$2497,'сентябрь 2025'!$D$2:$D$2497,$B61,'сентябрь 2025'!$J$2:$J$2497,AG$1)</f>
        <v>0</v>
      </c>
      <c r="AH61" s="182">
        <f>SUMIFS('сентябрь 2025'!$G$2:$G$2497,'сентябрь 2025'!$D$2:$D$2497,$B61,'сентябрь 2025'!$J$2:$J$2497,AH$1)</f>
        <v>0</v>
      </c>
      <c r="AI61" s="20">
        <f t="shared" si="1"/>
        <v>0</v>
      </c>
    </row>
    <row r="62" spans="2:35" ht="15.75" x14ac:dyDescent="0.25">
      <c r="B62" s="131" t="s">
        <v>1258</v>
      </c>
      <c r="C62" s="132">
        <v>10</v>
      </c>
      <c r="D62" s="182">
        <f>SUMIFS('сентябрь 2025'!$G$2:$G$2497,'сентябрь 2025'!$D$2:$D$2497,$B62,'сентябрь 2025'!$J$2:$J$2497,D$1)</f>
        <v>0</v>
      </c>
      <c r="E62" s="182">
        <f>SUMIFS('сентябрь 2025'!$G$2:$G$2497,'сентябрь 2025'!$D$2:$D$2497,$B62,'сентябрь 2025'!$J$2:$J$2497,E$1)</f>
        <v>0</v>
      </c>
      <c r="F62" s="182">
        <f>SUMIFS('сентябрь 2025'!$G$2:$G$2497,'сентябрь 2025'!$D$2:$D$2497,$B62,'сентябрь 2025'!$J$2:$J$2497,F$1)</f>
        <v>0</v>
      </c>
      <c r="G62" s="182">
        <f>SUMIFS('сентябрь 2025'!$G$2:$G$2497,'сентябрь 2025'!$D$2:$D$2497,$B62,'сентябрь 2025'!$J$2:$J$2497,G$1)</f>
        <v>0</v>
      </c>
      <c r="H62" s="182">
        <f>SUMIFS('сентябрь 2025'!$G$2:$G$2497,'сентябрь 2025'!$D$2:$D$2497,$B62,'сентябрь 2025'!$J$2:$J$2497,H$1)</f>
        <v>0</v>
      </c>
      <c r="I62" s="182">
        <f>SUMIFS('сентябрь 2025'!$G$2:$G$2497,'сентябрь 2025'!$D$2:$D$2497,$B62,'сентябрь 2025'!$J$2:$J$2497,I$1)</f>
        <v>0</v>
      </c>
      <c r="J62" s="182">
        <f>SUMIFS('сентябрь 2025'!$G$2:$G$2497,'сентябрь 2025'!$D$2:$D$2497,$B62,'сентябрь 2025'!$J$2:$J$2497,J$1)</f>
        <v>0</v>
      </c>
      <c r="K62" s="182">
        <f>SUMIFS('сентябрь 2025'!$G$2:$G$2497,'сентябрь 2025'!$D$2:$D$2497,$B62,'сентябрь 2025'!$J$2:$J$2497,K$1)</f>
        <v>0</v>
      </c>
      <c r="L62" s="182">
        <f>SUMIFS('сентябрь 2025'!$G$2:$G$2497,'сентябрь 2025'!$D$2:$D$2497,$B62,'сентябрь 2025'!$J$2:$J$2497,L$1)</f>
        <v>0</v>
      </c>
      <c r="M62" s="182">
        <f>SUMIFS('сентябрь 2025'!$G$2:$G$2497,'сентябрь 2025'!$D$2:$D$2497,$B62,'сентябрь 2025'!$J$2:$J$2497,M$1)</f>
        <v>0</v>
      </c>
      <c r="N62" s="182">
        <f>SUMIFS('сентябрь 2025'!$G$2:$G$2497,'сентябрь 2025'!$D$2:$D$2497,$B62,'сентябрь 2025'!$J$2:$J$2497,N$1)</f>
        <v>0</v>
      </c>
      <c r="O62" s="182">
        <f>SUMIFS('сентябрь 2025'!$G$2:$G$2497,'сентябрь 2025'!$D$2:$D$2497,$B62,'сентябрь 2025'!$J$2:$J$2497,O$1)</f>
        <v>0</v>
      </c>
      <c r="P62" s="182">
        <f>SUMIFS('сентябрь 2025'!$G$2:$G$2497,'сентябрь 2025'!$D$2:$D$2497,$B62,'сентябрь 2025'!$J$2:$J$2497,P$1)</f>
        <v>0</v>
      </c>
      <c r="Q62" s="182">
        <f>SUMIFS('сентябрь 2025'!$G$2:$G$2497,'сентябрь 2025'!$D$2:$D$2497,$B62,'сентябрь 2025'!$J$2:$J$2497,Q$1)</f>
        <v>0</v>
      </c>
      <c r="R62" s="182">
        <f>SUMIFS('сентябрь 2025'!$G$2:$G$2497,'сентябрь 2025'!$D$2:$D$2497,$B62,'сентябрь 2025'!$J$2:$J$2497,R$1)</f>
        <v>0</v>
      </c>
      <c r="S62" s="182">
        <f>SUMIFS('сентябрь 2025'!$G$2:$G$2497,'сентябрь 2025'!$D$2:$D$2497,$B62,'сентябрь 2025'!$J$2:$J$2497,S$1)</f>
        <v>0</v>
      </c>
      <c r="T62" s="182">
        <f>SUMIFS('сентябрь 2025'!$G$2:$G$2497,'сентябрь 2025'!$D$2:$D$2497,$B62,'сентябрь 2025'!$J$2:$J$2497,T$1)</f>
        <v>0</v>
      </c>
      <c r="U62" s="182">
        <f>SUMIFS('сентябрь 2025'!$G$2:$G$2497,'сентябрь 2025'!$D$2:$D$2497,$B62,'сентябрь 2025'!$J$2:$J$2497,U$1)</f>
        <v>0</v>
      </c>
      <c r="V62" s="182">
        <f>SUMIFS('сентябрь 2025'!$G$2:$G$2497,'сентябрь 2025'!$D$2:$D$2497,$B62,'сентябрь 2025'!$J$2:$J$2497,V$1)</f>
        <v>0</v>
      </c>
      <c r="W62" s="182">
        <f>SUMIFS('сентябрь 2025'!$G$2:$G$2497,'сентябрь 2025'!$D$2:$D$2497,$B62,'сентябрь 2025'!$J$2:$J$2497,W$1)</f>
        <v>0</v>
      </c>
      <c r="X62" s="182">
        <f>SUMIFS('сентябрь 2025'!$G$2:$G$2497,'сентябрь 2025'!$D$2:$D$2497,$B62,'сентябрь 2025'!$J$2:$J$2497,X$1)</f>
        <v>0</v>
      </c>
      <c r="Y62" s="182">
        <f>SUMIFS('сентябрь 2025'!$G$2:$G$2497,'сентябрь 2025'!$D$2:$D$2497,$B62,'сентябрь 2025'!$J$2:$J$2497,Y$1)</f>
        <v>0</v>
      </c>
      <c r="Z62" s="182">
        <f>SUMIFS('сентябрь 2025'!$G$2:$G$2497,'сентябрь 2025'!$D$2:$D$2497,$B62,'сентябрь 2025'!$J$2:$J$2497,Z$1)</f>
        <v>0</v>
      </c>
      <c r="AA62" s="182">
        <f>SUMIFS('сентябрь 2025'!$G$2:$G$2497,'сентябрь 2025'!$D$2:$D$2497,$B62,'сентябрь 2025'!$J$2:$J$2497,AA$1)</f>
        <v>0</v>
      </c>
      <c r="AB62" s="182">
        <f>SUMIFS('сентябрь 2025'!$G$2:$G$2497,'сентябрь 2025'!$D$2:$D$2497,$B62,'сентябрь 2025'!$J$2:$J$2497,AB$1)</f>
        <v>0</v>
      </c>
      <c r="AC62" s="182">
        <f>SUMIFS('сентябрь 2025'!$G$2:$G$2497,'сентябрь 2025'!$D$2:$D$2497,$B62,'сентябрь 2025'!$J$2:$J$2497,AC$1)</f>
        <v>0</v>
      </c>
      <c r="AD62" s="182">
        <f>SUMIFS('сентябрь 2025'!$G$2:$G$2497,'сентябрь 2025'!$D$2:$D$2497,$B62,'сентябрь 2025'!$J$2:$J$2497,AD$1)</f>
        <v>0</v>
      </c>
      <c r="AE62" s="182">
        <f>SUMIFS('сентябрь 2025'!$G$2:$G$2497,'сентябрь 2025'!$D$2:$D$2497,$B62,'сентябрь 2025'!$J$2:$J$2497,AE$1)</f>
        <v>0</v>
      </c>
      <c r="AF62" s="182">
        <f>SUMIFS('сентябрь 2025'!$G$2:$G$2497,'сентябрь 2025'!$D$2:$D$2497,$B62,'сентябрь 2025'!$J$2:$J$2497,AF$1)</f>
        <v>0</v>
      </c>
      <c r="AG62" s="182">
        <f>SUMIFS('сентябрь 2025'!$G$2:$G$2497,'сентябрь 2025'!$D$2:$D$2497,$B62,'сентябрь 2025'!$J$2:$J$2497,AG$1)</f>
        <v>0</v>
      </c>
      <c r="AH62" s="182">
        <f>SUMIFS('сентябрь 2025'!$G$2:$G$2497,'сентябрь 2025'!$D$2:$D$2497,$B62,'сентябрь 2025'!$J$2:$J$2497,AH$1)</f>
        <v>0</v>
      </c>
      <c r="AI62" s="20">
        <f t="shared" si="1"/>
        <v>0</v>
      </c>
    </row>
    <row r="63" spans="2:35" ht="15" customHeight="1" x14ac:dyDescent="0.25">
      <c r="B63" s="131" t="s">
        <v>1259</v>
      </c>
      <c r="C63" s="132">
        <v>10</v>
      </c>
      <c r="D63" s="182">
        <f>SUMIFS('сентябрь 2025'!$G$2:$G$2497,'сентябрь 2025'!$D$2:$D$2497,$B63,'сентябрь 2025'!$J$2:$J$2497,D$1)</f>
        <v>0</v>
      </c>
      <c r="E63" s="182">
        <f>SUMIFS('сентябрь 2025'!$G$2:$G$2497,'сентябрь 2025'!$D$2:$D$2497,$B63,'сентябрь 2025'!$J$2:$J$2497,E$1)</f>
        <v>0</v>
      </c>
      <c r="F63" s="182">
        <f>SUMIFS('сентябрь 2025'!$G$2:$G$2497,'сентябрь 2025'!$D$2:$D$2497,$B63,'сентябрь 2025'!$J$2:$J$2497,F$1)</f>
        <v>0</v>
      </c>
      <c r="G63" s="182">
        <f>SUMIFS('сентябрь 2025'!$G$2:$G$2497,'сентябрь 2025'!$D$2:$D$2497,$B63,'сентябрь 2025'!$J$2:$J$2497,G$1)</f>
        <v>0</v>
      </c>
      <c r="H63" s="182">
        <f>SUMIFS('сентябрь 2025'!$G$2:$G$2497,'сентябрь 2025'!$D$2:$D$2497,$B63,'сентябрь 2025'!$J$2:$J$2497,H$1)</f>
        <v>0</v>
      </c>
      <c r="I63" s="182">
        <f>SUMIFS('сентябрь 2025'!$G$2:$G$2497,'сентябрь 2025'!$D$2:$D$2497,$B63,'сентябрь 2025'!$J$2:$J$2497,I$1)</f>
        <v>0</v>
      </c>
      <c r="J63" s="182">
        <f>SUMIFS('сентябрь 2025'!$G$2:$G$2497,'сентябрь 2025'!$D$2:$D$2497,$B63,'сентябрь 2025'!$J$2:$J$2497,J$1)</f>
        <v>0</v>
      </c>
      <c r="K63" s="182">
        <f>SUMIFS('сентябрь 2025'!$G$2:$G$2497,'сентябрь 2025'!$D$2:$D$2497,$B63,'сентябрь 2025'!$J$2:$J$2497,K$1)</f>
        <v>0</v>
      </c>
      <c r="L63" s="182">
        <f>SUMIFS('сентябрь 2025'!$G$2:$G$2497,'сентябрь 2025'!$D$2:$D$2497,$B63,'сентябрь 2025'!$J$2:$J$2497,L$1)</f>
        <v>0</v>
      </c>
      <c r="M63" s="182">
        <f>SUMIFS('сентябрь 2025'!$G$2:$G$2497,'сентябрь 2025'!$D$2:$D$2497,$B63,'сентябрь 2025'!$J$2:$J$2497,M$1)</f>
        <v>0</v>
      </c>
      <c r="N63" s="182">
        <f>SUMIFS('сентябрь 2025'!$G$2:$G$2497,'сентябрь 2025'!$D$2:$D$2497,$B63,'сентябрь 2025'!$J$2:$J$2497,N$1)</f>
        <v>0</v>
      </c>
      <c r="O63" s="182">
        <f>SUMIFS('сентябрь 2025'!$G$2:$G$2497,'сентябрь 2025'!$D$2:$D$2497,$B63,'сентябрь 2025'!$J$2:$J$2497,O$1)</f>
        <v>0</v>
      </c>
      <c r="P63" s="182">
        <f>SUMIFS('сентябрь 2025'!$G$2:$G$2497,'сентябрь 2025'!$D$2:$D$2497,$B63,'сентябрь 2025'!$J$2:$J$2497,P$1)</f>
        <v>0</v>
      </c>
      <c r="Q63" s="182">
        <f>SUMIFS('сентябрь 2025'!$G$2:$G$2497,'сентябрь 2025'!$D$2:$D$2497,$B63,'сентябрь 2025'!$J$2:$J$2497,Q$1)</f>
        <v>0</v>
      </c>
      <c r="R63" s="182">
        <f>SUMIFS('сентябрь 2025'!$G$2:$G$2497,'сентябрь 2025'!$D$2:$D$2497,$B63,'сентябрь 2025'!$J$2:$J$2497,R$1)</f>
        <v>0</v>
      </c>
      <c r="S63" s="182">
        <f>SUMIFS('сентябрь 2025'!$G$2:$G$2497,'сентябрь 2025'!$D$2:$D$2497,$B63,'сентябрь 2025'!$J$2:$J$2497,S$1)</f>
        <v>0</v>
      </c>
      <c r="T63" s="182">
        <f>SUMIFS('сентябрь 2025'!$G$2:$G$2497,'сентябрь 2025'!$D$2:$D$2497,$B63,'сентябрь 2025'!$J$2:$J$2497,T$1)</f>
        <v>0</v>
      </c>
      <c r="U63" s="182">
        <f>SUMIFS('сентябрь 2025'!$G$2:$G$2497,'сентябрь 2025'!$D$2:$D$2497,$B63,'сентябрь 2025'!$J$2:$J$2497,U$1)</f>
        <v>0</v>
      </c>
      <c r="V63" s="182">
        <f>SUMIFS('сентябрь 2025'!$G$2:$G$2497,'сентябрь 2025'!$D$2:$D$2497,$B63,'сентябрь 2025'!$J$2:$J$2497,V$1)</f>
        <v>0</v>
      </c>
      <c r="W63" s="182">
        <f>SUMIFS('сентябрь 2025'!$G$2:$G$2497,'сентябрь 2025'!$D$2:$D$2497,$B63,'сентябрь 2025'!$J$2:$J$2497,W$1)</f>
        <v>0</v>
      </c>
      <c r="X63" s="182">
        <f>SUMIFS('сентябрь 2025'!$G$2:$G$2497,'сентябрь 2025'!$D$2:$D$2497,$B63,'сентябрь 2025'!$J$2:$J$2497,X$1)</f>
        <v>0</v>
      </c>
      <c r="Y63" s="182">
        <f>SUMIFS('сентябрь 2025'!$G$2:$G$2497,'сентябрь 2025'!$D$2:$D$2497,$B63,'сентябрь 2025'!$J$2:$J$2497,Y$1)</f>
        <v>0</v>
      </c>
      <c r="Z63" s="182">
        <f>SUMIFS('сентябрь 2025'!$G$2:$G$2497,'сентябрь 2025'!$D$2:$D$2497,$B63,'сентябрь 2025'!$J$2:$J$2497,Z$1)</f>
        <v>0</v>
      </c>
      <c r="AA63" s="182">
        <f>SUMIFS('сентябрь 2025'!$G$2:$G$2497,'сентябрь 2025'!$D$2:$D$2497,$B63,'сентябрь 2025'!$J$2:$J$2497,AA$1)</f>
        <v>0</v>
      </c>
      <c r="AB63" s="182">
        <f>SUMIFS('сентябрь 2025'!$G$2:$G$2497,'сентябрь 2025'!$D$2:$D$2497,$B63,'сентябрь 2025'!$J$2:$J$2497,AB$1)</f>
        <v>0</v>
      </c>
      <c r="AC63" s="182">
        <f>SUMIFS('сентябрь 2025'!$G$2:$G$2497,'сентябрь 2025'!$D$2:$D$2497,$B63,'сентябрь 2025'!$J$2:$J$2497,AC$1)</f>
        <v>0</v>
      </c>
      <c r="AD63" s="182">
        <f>SUMIFS('сентябрь 2025'!$G$2:$G$2497,'сентябрь 2025'!$D$2:$D$2497,$B63,'сентябрь 2025'!$J$2:$J$2497,AD$1)</f>
        <v>0</v>
      </c>
      <c r="AE63" s="182">
        <f>SUMIFS('сентябрь 2025'!$G$2:$G$2497,'сентябрь 2025'!$D$2:$D$2497,$B63,'сентябрь 2025'!$J$2:$J$2497,AE$1)</f>
        <v>0</v>
      </c>
      <c r="AF63" s="182">
        <f>SUMIFS('сентябрь 2025'!$G$2:$G$2497,'сентябрь 2025'!$D$2:$D$2497,$B63,'сентябрь 2025'!$J$2:$J$2497,AF$1)</f>
        <v>0</v>
      </c>
      <c r="AG63" s="182">
        <f>SUMIFS('сентябрь 2025'!$G$2:$G$2497,'сентябрь 2025'!$D$2:$D$2497,$B63,'сентябрь 2025'!$J$2:$J$2497,AG$1)</f>
        <v>0</v>
      </c>
      <c r="AH63" s="182">
        <f>SUMIFS('сентябрь 2025'!$G$2:$G$2497,'сентябрь 2025'!$D$2:$D$2497,$B63,'сентябрь 2025'!$J$2:$J$2497,AH$1)</f>
        <v>0</v>
      </c>
      <c r="AI63" s="20">
        <f t="shared" si="1"/>
        <v>0</v>
      </c>
    </row>
    <row r="64" spans="2:35" ht="15" customHeight="1" x14ac:dyDescent="0.25">
      <c r="B64" s="136" t="s">
        <v>1260</v>
      </c>
      <c r="C64" s="132">
        <v>10</v>
      </c>
      <c r="D64" s="182">
        <f>SUMIFS('сентябрь 2025'!$G$2:$G$2497,'сентябрь 2025'!$D$2:$D$2497,$B64,'сентябрь 2025'!$J$2:$J$2497,D$1)</f>
        <v>0</v>
      </c>
      <c r="E64" s="182">
        <f>SUMIFS('сентябрь 2025'!$G$2:$G$2497,'сентябрь 2025'!$D$2:$D$2497,$B64,'сентябрь 2025'!$J$2:$J$2497,E$1)</f>
        <v>0</v>
      </c>
      <c r="F64" s="182">
        <f>SUMIFS('сентябрь 2025'!$G$2:$G$2497,'сентябрь 2025'!$D$2:$D$2497,$B64,'сентябрь 2025'!$J$2:$J$2497,F$1)</f>
        <v>0</v>
      </c>
      <c r="G64" s="182">
        <f>SUMIFS('сентябрь 2025'!$G$2:$G$2497,'сентябрь 2025'!$D$2:$D$2497,$B64,'сентябрь 2025'!$J$2:$J$2497,G$1)</f>
        <v>0</v>
      </c>
      <c r="H64" s="182">
        <f>SUMIFS('сентябрь 2025'!$G$2:$G$2497,'сентябрь 2025'!$D$2:$D$2497,$B64,'сентябрь 2025'!$J$2:$J$2497,H$1)</f>
        <v>0</v>
      </c>
      <c r="I64" s="182">
        <f>SUMIFS('сентябрь 2025'!$G$2:$G$2497,'сентябрь 2025'!$D$2:$D$2497,$B64,'сентябрь 2025'!$J$2:$J$2497,I$1)</f>
        <v>0</v>
      </c>
      <c r="J64" s="182">
        <f>SUMIFS('сентябрь 2025'!$G$2:$G$2497,'сентябрь 2025'!$D$2:$D$2497,$B64,'сентябрь 2025'!$J$2:$J$2497,J$1)</f>
        <v>0</v>
      </c>
      <c r="K64" s="182">
        <f>SUMIFS('сентябрь 2025'!$G$2:$G$2497,'сентябрь 2025'!$D$2:$D$2497,$B64,'сентябрь 2025'!$J$2:$J$2497,K$1)</f>
        <v>0</v>
      </c>
      <c r="L64" s="182">
        <f>SUMIFS('сентябрь 2025'!$G$2:$G$2497,'сентябрь 2025'!$D$2:$D$2497,$B64,'сентябрь 2025'!$J$2:$J$2497,L$1)</f>
        <v>0</v>
      </c>
      <c r="M64" s="182">
        <f>SUMIFS('сентябрь 2025'!$G$2:$G$2497,'сентябрь 2025'!$D$2:$D$2497,$B64,'сентябрь 2025'!$J$2:$J$2497,M$1)</f>
        <v>0</v>
      </c>
      <c r="N64" s="182">
        <f>SUMIFS('сентябрь 2025'!$G$2:$G$2497,'сентябрь 2025'!$D$2:$D$2497,$B64,'сентябрь 2025'!$J$2:$J$2497,N$1)</f>
        <v>0</v>
      </c>
      <c r="O64" s="182">
        <f>SUMIFS('сентябрь 2025'!$G$2:$G$2497,'сентябрь 2025'!$D$2:$D$2497,$B64,'сентябрь 2025'!$J$2:$J$2497,O$1)</f>
        <v>0</v>
      </c>
      <c r="P64" s="182">
        <f>SUMIFS('сентябрь 2025'!$G$2:$G$2497,'сентябрь 2025'!$D$2:$D$2497,$B64,'сентябрь 2025'!$J$2:$J$2497,P$1)</f>
        <v>0</v>
      </c>
      <c r="Q64" s="182">
        <f>SUMIFS('сентябрь 2025'!$G$2:$G$2497,'сентябрь 2025'!$D$2:$D$2497,$B64,'сентябрь 2025'!$J$2:$J$2497,Q$1)</f>
        <v>0</v>
      </c>
      <c r="R64" s="182">
        <f>SUMIFS('сентябрь 2025'!$G$2:$G$2497,'сентябрь 2025'!$D$2:$D$2497,$B64,'сентябрь 2025'!$J$2:$J$2497,R$1)</f>
        <v>0</v>
      </c>
      <c r="S64" s="182">
        <f>SUMIFS('сентябрь 2025'!$G$2:$G$2497,'сентябрь 2025'!$D$2:$D$2497,$B64,'сентябрь 2025'!$J$2:$J$2497,S$1)</f>
        <v>0</v>
      </c>
      <c r="T64" s="182">
        <f>SUMIFS('сентябрь 2025'!$G$2:$G$2497,'сентябрь 2025'!$D$2:$D$2497,$B64,'сентябрь 2025'!$J$2:$J$2497,T$1)</f>
        <v>0</v>
      </c>
      <c r="U64" s="182">
        <f>SUMIFS('сентябрь 2025'!$G$2:$G$2497,'сентябрь 2025'!$D$2:$D$2497,$B64,'сентябрь 2025'!$J$2:$J$2497,U$1)</f>
        <v>0</v>
      </c>
      <c r="V64" s="182">
        <f>SUMIFS('сентябрь 2025'!$G$2:$G$2497,'сентябрь 2025'!$D$2:$D$2497,$B64,'сентябрь 2025'!$J$2:$J$2497,V$1)</f>
        <v>0</v>
      </c>
      <c r="W64" s="182">
        <f>SUMIFS('сентябрь 2025'!$G$2:$G$2497,'сентябрь 2025'!$D$2:$D$2497,$B64,'сентябрь 2025'!$J$2:$J$2497,W$1)</f>
        <v>0</v>
      </c>
      <c r="X64" s="182">
        <f>SUMIFS('сентябрь 2025'!$G$2:$G$2497,'сентябрь 2025'!$D$2:$D$2497,$B64,'сентябрь 2025'!$J$2:$J$2497,X$1)</f>
        <v>0</v>
      </c>
      <c r="Y64" s="182">
        <f>SUMIFS('сентябрь 2025'!$G$2:$G$2497,'сентябрь 2025'!$D$2:$D$2497,$B64,'сентябрь 2025'!$J$2:$J$2497,Y$1)</f>
        <v>0</v>
      </c>
      <c r="Z64" s="182">
        <f>SUMIFS('сентябрь 2025'!$G$2:$G$2497,'сентябрь 2025'!$D$2:$D$2497,$B64,'сентябрь 2025'!$J$2:$J$2497,Z$1)</f>
        <v>0</v>
      </c>
      <c r="AA64" s="182">
        <f>SUMIFS('сентябрь 2025'!$G$2:$G$2497,'сентябрь 2025'!$D$2:$D$2497,$B64,'сентябрь 2025'!$J$2:$J$2497,AA$1)</f>
        <v>0</v>
      </c>
      <c r="AB64" s="182">
        <f>SUMIFS('сентябрь 2025'!$G$2:$G$2497,'сентябрь 2025'!$D$2:$D$2497,$B64,'сентябрь 2025'!$J$2:$J$2497,AB$1)</f>
        <v>0</v>
      </c>
      <c r="AC64" s="182">
        <f>SUMIFS('сентябрь 2025'!$G$2:$G$2497,'сентябрь 2025'!$D$2:$D$2497,$B64,'сентябрь 2025'!$J$2:$J$2497,AC$1)</f>
        <v>0</v>
      </c>
      <c r="AD64" s="182">
        <f>SUMIFS('сентябрь 2025'!$G$2:$G$2497,'сентябрь 2025'!$D$2:$D$2497,$B64,'сентябрь 2025'!$J$2:$J$2497,AD$1)</f>
        <v>0</v>
      </c>
      <c r="AE64" s="182">
        <f>SUMIFS('сентябрь 2025'!$G$2:$G$2497,'сентябрь 2025'!$D$2:$D$2497,$B64,'сентябрь 2025'!$J$2:$J$2497,AE$1)</f>
        <v>0</v>
      </c>
      <c r="AF64" s="182">
        <f>SUMIFS('сентябрь 2025'!$G$2:$G$2497,'сентябрь 2025'!$D$2:$D$2497,$B64,'сентябрь 2025'!$J$2:$J$2497,AF$1)</f>
        <v>0</v>
      </c>
      <c r="AG64" s="182">
        <f>SUMIFS('сентябрь 2025'!$G$2:$G$2497,'сентябрь 2025'!$D$2:$D$2497,$B64,'сентябрь 2025'!$J$2:$J$2497,AG$1)</f>
        <v>0</v>
      </c>
      <c r="AH64" s="182">
        <f>SUMIFS('сентябрь 2025'!$G$2:$G$2497,'сентябрь 2025'!$D$2:$D$2497,$B64,'сентябрь 2025'!$J$2:$J$2497,AH$1)</f>
        <v>0</v>
      </c>
      <c r="AI64" s="20">
        <f t="shared" si="1"/>
        <v>0</v>
      </c>
    </row>
    <row r="65" spans="2:35" ht="15" customHeight="1" x14ac:dyDescent="0.25">
      <c r="B65" s="136" t="s">
        <v>1261</v>
      </c>
      <c r="C65" s="132">
        <v>10</v>
      </c>
      <c r="D65" s="182">
        <f>SUMIFS('сентябрь 2025'!$G$2:$G$2497,'сентябрь 2025'!$D$2:$D$2497,$B65,'сентябрь 2025'!$J$2:$J$2497,D$1)</f>
        <v>0</v>
      </c>
      <c r="E65" s="182">
        <f>SUMIFS('сентябрь 2025'!$G$2:$G$2497,'сентябрь 2025'!$D$2:$D$2497,$B65,'сентябрь 2025'!$J$2:$J$2497,E$1)</f>
        <v>0</v>
      </c>
      <c r="F65" s="182">
        <f>SUMIFS('сентябрь 2025'!$G$2:$G$2497,'сентябрь 2025'!$D$2:$D$2497,$B65,'сентябрь 2025'!$J$2:$J$2497,F$1)</f>
        <v>0</v>
      </c>
      <c r="G65" s="182">
        <f>SUMIFS('сентябрь 2025'!$G$2:$G$2497,'сентябрь 2025'!$D$2:$D$2497,$B65,'сентябрь 2025'!$J$2:$J$2497,G$1)</f>
        <v>0</v>
      </c>
      <c r="H65" s="182">
        <f>SUMIFS('сентябрь 2025'!$G$2:$G$2497,'сентябрь 2025'!$D$2:$D$2497,$B65,'сентябрь 2025'!$J$2:$J$2497,H$1)</f>
        <v>0</v>
      </c>
      <c r="I65" s="182">
        <f>SUMIFS('сентябрь 2025'!$G$2:$G$2497,'сентябрь 2025'!$D$2:$D$2497,$B65,'сентябрь 2025'!$J$2:$J$2497,I$1)</f>
        <v>0</v>
      </c>
      <c r="J65" s="182">
        <f>SUMIFS('сентябрь 2025'!$G$2:$G$2497,'сентябрь 2025'!$D$2:$D$2497,$B65,'сентябрь 2025'!$J$2:$J$2497,J$1)</f>
        <v>0</v>
      </c>
      <c r="K65" s="182">
        <f>SUMIFS('сентябрь 2025'!$G$2:$G$2497,'сентябрь 2025'!$D$2:$D$2497,$B65,'сентябрь 2025'!$J$2:$J$2497,K$1)</f>
        <v>0</v>
      </c>
      <c r="L65" s="182">
        <f>SUMIFS('сентябрь 2025'!$G$2:$G$2497,'сентябрь 2025'!$D$2:$D$2497,$B65,'сентябрь 2025'!$J$2:$J$2497,L$1)</f>
        <v>0</v>
      </c>
      <c r="M65" s="182">
        <f>SUMIFS('сентябрь 2025'!$G$2:$G$2497,'сентябрь 2025'!$D$2:$D$2497,$B65,'сентябрь 2025'!$J$2:$J$2497,M$1)</f>
        <v>0</v>
      </c>
      <c r="N65" s="182">
        <f>SUMIFS('сентябрь 2025'!$G$2:$G$2497,'сентябрь 2025'!$D$2:$D$2497,$B65,'сентябрь 2025'!$J$2:$J$2497,N$1)</f>
        <v>0</v>
      </c>
      <c r="O65" s="182">
        <f>SUMIFS('сентябрь 2025'!$G$2:$G$2497,'сентябрь 2025'!$D$2:$D$2497,$B65,'сентябрь 2025'!$J$2:$J$2497,O$1)</f>
        <v>0</v>
      </c>
      <c r="P65" s="182">
        <f>SUMIFS('сентябрь 2025'!$G$2:$G$2497,'сентябрь 2025'!$D$2:$D$2497,$B65,'сентябрь 2025'!$J$2:$J$2497,P$1)</f>
        <v>0</v>
      </c>
      <c r="Q65" s="182">
        <f>SUMIFS('сентябрь 2025'!$G$2:$G$2497,'сентябрь 2025'!$D$2:$D$2497,$B65,'сентябрь 2025'!$J$2:$J$2497,Q$1)</f>
        <v>0</v>
      </c>
      <c r="R65" s="182">
        <f>SUMIFS('сентябрь 2025'!$G$2:$G$2497,'сентябрь 2025'!$D$2:$D$2497,$B65,'сентябрь 2025'!$J$2:$J$2497,R$1)</f>
        <v>0</v>
      </c>
      <c r="S65" s="182">
        <f>SUMIFS('сентябрь 2025'!$G$2:$G$2497,'сентябрь 2025'!$D$2:$D$2497,$B65,'сентябрь 2025'!$J$2:$J$2497,S$1)</f>
        <v>0</v>
      </c>
      <c r="T65" s="182">
        <f>SUMIFS('сентябрь 2025'!$G$2:$G$2497,'сентябрь 2025'!$D$2:$D$2497,$B65,'сентябрь 2025'!$J$2:$J$2497,T$1)</f>
        <v>0</v>
      </c>
      <c r="U65" s="182">
        <f>SUMIFS('сентябрь 2025'!$G$2:$G$2497,'сентябрь 2025'!$D$2:$D$2497,$B65,'сентябрь 2025'!$J$2:$J$2497,U$1)</f>
        <v>0</v>
      </c>
      <c r="V65" s="182">
        <f>SUMIFS('сентябрь 2025'!$G$2:$G$2497,'сентябрь 2025'!$D$2:$D$2497,$B65,'сентябрь 2025'!$J$2:$J$2497,V$1)</f>
        <v>0</v>
      </c>
      <c r="W65" s="182">
        <f>SUMIFS('сентябрь 2025'!$G$2:$G$2497,'сентябрь 2025'!$D$2:$D$2497,$B65,'сентябрь 2025'!$J$2:$J$2497,W$1)</f>
        <v>0</v>
      </c>
      <c r="X65" s="182">
        <f>SUMIFS('сентябрь 2025'!$G$2:$G$2497,'сентябрь 2025'!$D$2:$D$2497,$B65,'сентябрь 2025'!$J$2:$J$2497,X$1)</f>
        <v>0</v>
      </c>
      <c r="Y65" s="182">
        <f>SUMIFS('сентябрь 2025'!$G$2:$G$2497,'сентябрь 2025'!$D$2:$D$2497,$B65,'сентябрь 2025'!$J$2:$J$2497,Y$1)</f>
        <v>0</v>
      </c>
      <c r="Z65" s="182">
        <f>SUMIFS('сентябрь 2025'!$G$2:$G$2497,'сентябрь 2025'!$D$2:$D$2497,$B65,'сентябрь 2025'!$J$2:$J$2497,Z$1)</f>
        <v>0</v>
      </c>
      <c r="AA65" s="182">
        <f>SUMIFS('сентябрь 2025'!$G$2:$G$2497,'сентябрь 2025'!$D$2:$D$2497,$B65,'сентябрь 2025'!$J$2:$J$2497,AA$1)</f>
        <v>0</v>
      </c>
      <c r="AB65" s="182">
        <f>SUMIFS('сентябрь 2025'!$G$2:$G$2497,'сентябрь 2025'!$D$2:$D$2497,$B65,'сентябрь 2025'!$J$2:$J$2497,AB$1)</f>
        <v>0</v>
      </c>
      <c r="AC65" s="182">
        <f>SUMIFS('сентябрь 2025'!$G$2:$G$2497,'сентябрь 2025'!$D$2:$D$2497,$B65,'сентябрь 2025'!$J$2:$J$2497,AC$1)</f>
        <v>0</v>
      </c>
      <c r="AD65" s="182">
        <f>SUMIFS('сентябрь 2025'!$G$2:$G$2497,'сентябрь 2025'!$D$2:$D$2497,$B65,'сентябрь 2025'!$J$2:$J$2497,AD$1)</f>
        <v>0</v>
      </c>
      <c r="AE65" s="182">
        <f>SUMIFS('сентябрь 2025'!$G$2:$G$2497,'сентябрь 2025'!$D$2:$D$2497,$B65,'сентябрь 2025'!$J$2:$J$2497,AE$1)</f>
        <v>0</v>
      </c>
      <c r="AF65" s="182">
        <f>SUMIFS('сентябрь 2025'!$G$2:$G$2497,'сентябрь 2025'!$D$2:$D$2497,$B65,'сентябрь 2025'!$J$2:$J$2497,AF$1)</f>
        <v>0</v>
      </c>
      <c r="AG65" s="182">
        <f>SUMIFS('сентябрь 2025'!$G$2:$G$2497,'сентябрь 2025'!$D$2:$D$2497,$B65,'сентябрь 2025'!$J$2:$J$2497,AG$1)</f>
        <v>0</v>
      </c>
      <c r="AH65" s="182">
        <f>SUMIFS('сентябрь 2025'!$G$2:$G$2497,'сентябрь 2025'!$D$2:$D$2497,$B65,'сентябрь 2025'!$J$2:$J$2497,AH$1)</f>
        <v>0</v>
      </c>
      <c r="AI65" s="20">
        <f t="shared" si="1"/>
        <v>0</v>
      </c>
    </row>
    <row r="66" spans="2:35" ht="15" customHeight="1" x14ac:dyDescent="0.25">
      <c r="B66" s="136"/>
      <c r="C66" s="132"/>
      <c r="D66" s="182">
        <f>SUMIFS('сентябрь 2025'!$G$2:$G$2497,'сентябрь 2025'!$D$2:$D$2497,$B66,'сентябрь 2025'!$J$2:$J$2497,D$1)</f>
        <v>0</v>
      </c>
      <c r="E66" s="182">
        <f>SUMIFS('сентябрь 2025'!$G$2:$G$2497,'сентябрь 2025'!$D$2:$D$2497,$B66,'сентябрь 2025'!$J$2:$J$2497,E$1)</f>
        <v>0</v>
      </c>
      <c r="F66" s="182">
        <f>SUMIFS('сентябрь 2025'!$G$2:$G$2497,'сентябрь 2025'!$D$2:$D$2497,$B66,'сентябрь 2025'!$J$2:$J$2497,F$1)</f>
        <v>0</v>
      </c>
      <c r="G66" s="182">
        <f>SUMIFS('сентябрь 2025'!$G$2:$G$2497,'сентябрь 2025'!$D$2:$D$2497,$B66,'сентябрь 2025'!$J$2:$J$2497,G$1)</f>
        <v>0</v>
      </c>
      <c r="H66" s="182">
        <f>SUMIFS('сентябрь 2025'!$G$2:$G$2497,'сентябрь 2025'!$D$2:$D$2497,$B66,'сентябрь 2025'!$J$2:$J$2497,H$1)</f>
        <v>0</v>
      </c>
      <c r="I66" s="182">
        <f>SUMIFS('сентябрь 2025'!$G$2:$G$2497,'сентябрь 2025'!$D$2:$D$2497,$B66,'сентябрь 2025'!$J$2:$J$2497,I$1)</f>
        <v>0</v>
      </c>
      <c r="J66" s="182">
        <f>SUMIFS('сентябрь 2025'!$G$2:$G$2497,'сентябрь 2025'!$D$2:$D$2497,$B66,'сентябрь 2025'!$J$2:$J$2497,J$1)</f>
        <v>0</v>
      </c>
      <c r="K66" s="182">
        <f>SUMIFS('сентябрь 2025'!$G$2:$G$2497,'сентябрь 2025'!$D$2:$D$2497,$B66,'сентябрь 2025'!$J$2:$J$2497,K$1)</f>
        <v>0</v>
      </c>
      <c r="L66" s="182">
        <f>SUMIFS('сентябрь 2025'!$G$2:$G$2497,'сентябрь 2025'!$D$2:$D$2497,$B66,'сентябрь 2025'!$J$2:$J$2497,L$1)</f>
        <v>0</v>
      </c>
      <c r="M66" s="182">
        <f>SUMIFS('сентябрь 2025'!$G$2:$G$2497,'сентябрь 2025'!$D$2:$D$2497,$B66,'сентябрь 2025'!$J$2:$J$2497,M$1)</f>
        <v>0</v>
      </c>
      <c r="N66" s="182">
        <f>SUMIFS('сентябрь 2025'!$G$2:$G$2497,'сентябрь 2025'!$D$2:$D$2497,$B66,'сентябрь 2025'!$J$2:$J$2497,N$1)</f>
        <v>0</v>
      </c>
      <c r="O66" s="182">
        <f>SUMIFS('сентябрь 2025'!$G$2:$G$2497,'сентябрь 2025'!$D$2:$D$2497,$B66,'сентябрь 2025'!$J$2:$J$2497,O$1)</f>
        <v>0</v>
      </c>
      <c r="P66" s="182">
        <f>SUMIFS('сентябрь 2025'!$G$2:$G$2497,'сентябрь 2025'!$D$2:$D$2497,$B66,'сентябрь 2025'!$J$2:$J$2497,P$1)</f>
        <v>0</v>
      </c>
      <c r="Q66" s="182">
        <f>SUMIFS('сентябрь 2025'!$G$2:$G$2497,'сентябрь 2025'!$D$2:$D$2497,$B66,'сентябрь 2025'!$J$2:$J$2497,Q$1)</f>
        <v>0</v>
      </c>
      <c r="R66" s="182">
        <f>SUMIFS('сентябрь 2025'!$G$2:$G$2497,'сентябрь 2025'!$D$2:$D$2497,$B66,'сентябрь 2025'!$J$2:$J$2497,R$1)</f>
        <v>0</v>
      </c>
      <c r="S66" s="182">
        <f>SUMIFS('сентябрь 2025'!$G$2:$G$2497,'сентябрь 2025'!$D$2:$D$2497,$B66,'сентябрь 2025'!$J$2:$J$2497,S$1)</f>
        <v>0</v>
      </c>
      <c r="T66" s="182">
        <f>SUMIFS('сентябрь 2025'!$G$2:$G$2497,'сентябрь 2025'!$D$2:$D$2497,$B66,'сентябрь 2025'!$J$2:$J$2497,T$1)</f>
        <v>0</v>
      </c>
      <c r="U66" s="182">
        <f>SUMIFS('сентябрь 2025'!$G$2:$G$2497,'сентябрь 2025'!$D$2:$D$2497,$B66,'сентябрь 2025'!$J$2:$J$2497,U$1)</f>
        <v>0</v>
      </c>
      <c r="V66" s="182">
        <f>SUMIFS('сентябрь 2025'!$G$2:$G$2497,'сентябрь 2025'!$D$2:$D$2497,$B66,'сентябрь 2025'!$J$2:$J$2497,V$1)</f>
        <v>0</v>
      </c>
      <c r="W66" s="182">
        <f>SUMIFS('сентябрь 2025'!$G$2:$G$2497,'сентябрь 2025'!$D$2:$D$2497,$B66,'сентябрь 2025'!$J$2:$J$2497,W$1)</f>
        <v>0</v>
      </c>
      <c r="X66" s="182">
        <f>SUMIFS('сентябрь 2025'!$G$2:$G$2497,'сентябрь 2025'!$D$2:$D$2497,$B66,'сентябрь 2025'!$J$2:$J$2497,X$1)</f>
        <v>0</v>
      </c>
      <c r="Y66" s="182">
        <f>SUMIFS('сентябрь 2025'!$G$2:$G$2497,'сентябрь 2025'!$D$2:$D$2497,$B66,'сентябрь 2025'!$J$2:$J$2497,Y$1)</f>
        <v>0</v>
      </c>
      <c r="Z66" s="182">
        <f>SUMIFS('сентябрь 2025'!$G$2:$G$2497,'сентябрь 2025'!$D$2:$D$2497,$B66,'сентябрь 2025'!$J$2:$J$2497,Z$1)</f>
        <v>0</v>
      </c>
      <c r="AA66" s="182">
        <f>SUMIFS('сентябрь 2025'!$G$2:$G$2497,'сентябрь 2025'!$D$2:$D$2497,$B66,'сентябрь 2025'!$J$2:$J$2497,AA$1)</f>
        <v>0</v>
      </c>
      <c r="AB66" s="182">
        <f>SUMIFS('сентябрь 2025'!$G$2:$G$2497,'сентябрь 2025'!$D$2:$D$2497,$B66,'сентябрь 2025'!$J$2:$J$2497,AB$1)</f>
        <v>0</v>
      </c>
      <c r="AC66" s="182">
        <f>SUMIFS('сентябрь 2025'!$G$2:$G$2497,'сентябрь 2025'!$D$2:$D$2497,$B66,'сентябрь 2025'!$J$2:$J$2497,AC$1)</f>
        <v>0</v>
      </c>
      <c r="AD66" s="182">
        <f>SUMIFS('сентябрь 2025'!$G$2:$G$2497,'сентябрь 2025'!$D$2:$D$2497,$B66,'сентябрь 2025'!$J$2:$J$2497,AD$1)</f>
        <v>0</v>
      </c>
      <c r="AE66" s="182">
        <f>SUMIFS('сентябрь 2025'!$G$2:$G$2497,'сентябрь 2025'!$D$2:$D$2497,$B66,'сентябрь 2025'!$J$2:$J$2497,AE$1)</f>
        <v>0</v>
      </c>
      <c r="AF66" s="182">
        <f>SUMIFS('сентябрь 2025'!$G$2:$G$2497,'сентябрь 2025'!$D$2:$D$2497,$B66,'сентябрь 2025'!$J$2:$J$2497,AF$1)</f>
        <v>0</v>
      </c>
      <c r="AG66" s="182">
        <f>SUMIFS('сентябрь 2025'!$G$2:$G$2497,'сентябрь 2025'!$D$2:$D$2497,$B66,'сентябрь 2025'!$J$2:$J$2497,AG$1)</f>
        <v>0</v>
      </c>
      <c r="AH66" s="182">
        <f>SUMIFS('сентябрь 2025'!$G$2:$G$2497,'сентябрь 2025'!$D$2:$D$2497,$B66,'сентябрь 2025'!$J$2:$J$2497,AH$1)</f>
        <v>0</v>
      </c>
      <c r="AI66" s="20">
        <f t="shared" si="1"/>
        <v>0</v>
      </c>
    </row>
    <row r="67" spans="2:35" ht="15" customHeight="1" x14ac:dyDescent="0.25">
      <c r="B67" s="87" t="s">
        <v>160</v>
      </c>
      <c r="C67" s="86">
        <v>200</v>
      </c>
      <c r="D67" s="183">
        <f>SUMIFS('сентябрь 2025'!$G$2:$G$2497,'сентябрь 2025'!$D$2:$D$2497,$B67,'сентябрь 2025'!$J$2:$J$2497,D$1)</f>
        <v>0</v>
      </c>
      <c r="E67" s="183">
        <f>SUMIFS('сентябрь 2025'!$G$2:$G$2497,'сентябрь 2025'!$D$2:$D$2497,$B67,'сентябрь 2025'!$J$2:$J$2497,E$1)</f>
        <v>0</v>
      </c>
      <c r="F67" s="183">
        <f>SUMIFS('сентябрь 2025'!$G$2:$G$2497,'сентябрь 2025'!$D$2:$D$2497,$B67,'сентябрь 2025'!$J$2:$J$2497,F$1)</f>
        <v>0</v>
      </c>
      <c r="G67" s="183">
        <f>SUMIFS('сентябрь 2025'!$G$2:$G$2497,'сентябрь 2025'!$D$2:$D$2497,$B67,'сентябрь 2025'!$J$2:$J$2497,G$1)</f>
        <v>0</v>
      </c>
      <c r="H67" s="183">
        <f>SUMIFS('сентябрь 2025'!$G$2:$G$2497,'сентябрь 2025'!$D$2:$D$2497,$B67,'сентябрь 2025'!$J$2:$J$2497,H$1)</f>
        <v>0</v>
      </c>
      <c r="I67" s="183">
        <f>SUMIFS('сентябрь 2025'!$G$2:$G$2497,'сентябрь 2025'!$D$2:$D$2497,$B67,'сентябрь 2025'!$J$2:$J$2497,I$1)</f>
        <v>0</v>
      </c>
      <c r="J67" s="183">
        <f>SUMIFS('сентябрь 2025'!$G$2:$G$2497,'сентябрь 2025'!$D$2:$D$2497,$B67,'сентябрь 2025'!$J$2:$J$2497,J$1)</f>
        <v>0</v>
      </c>
      <c r="K67" s="183">
        <f>SUMIFS('сентябрь 2025'!$G$2:$G$2497,'сентябрь 2025'!$D$2:$D$2497,$B67,'сентябрь 2025'!$J$2:$J$2497,K$1)</f>
        <v>0</v>
      </c>
      <c r="L67" s="183">
        <f>SUMIFS('сентябрь 2025'!$G$2:$G$2497,'сентябрь 2025'!$D$2:$D$2497,$B67,'сентябрь 2025'!$J$2:$J$2497,L$1)</f>
        <v>0</v>
      </c>
      <c r="M67" s="183">
        <f>SUMIFS('сентябрь 2025'!$G$2:$G$2497,'сентябрь 2025'!$D$2:$D$2497,$B67,'сентябрь 2025'!$J$2:$J$2497,M$1)</f>
        <v>0</v>
      </c>
      <c r="N67" s="183">
        <f>SUMIFS('сентябрь 2025'!$G$2:$G$2497,'сентябрь 2025'!$D$2:$D$2497,$B67,'сентябрь 2025'!$J$2:$J$2497,N$1)</f>
        <v>0</v>
      </c>
      <c r="O67" s="183">
        <f>SUMIFS('сентябрь 2025'!$G$2:$G$2497,'сентябрь 2025'!$D$2:$D$2497,$B67,'сентябрь 2025'!$J$2:$J$2497,O$1)</f>
        <v>0</v>
      </c>
      <c r="P67" s="183">
        <f>SUMIFS('сентябрь 2025'!$G$2:$G$2497,'сентябрь 2025'!$D$2:$D$2497,$B67,'сентябрь 2025'!$J$2:$J$2497,P$1)</f>
        <v>0</v>
      </c>
      <c r="Q67" s="183">
        <f>SUMIFS('сентябрь 2025'!$G$2:$G$2497,'сентябрь 2025'!$D$2:$D$2497,$B67,'сентябрь 2025'!$J$2:$J$2497,Q$1)</f>
        <v>0</v>
      </c>
      <c r="R67" s="183">
        <f>SUMIFS('сентябрь 2025'!$G$2:$G$2497,'сентябрь 2025'!$D$2:$D$2497,$B67,'сентябрь 2025'!$J$2:$J$2497,R$1)</f>
        <v>0</v>
      </c>
      <c r="S67" s="183">
        <f>SUMIFS('сентябрь 2025'!$G$2:$G$2497,'сентябрь 2025'!$D$2:$D$2497,$B67,'сентябрь 2025'!$J$2:$J$2497,S$1)</f>
        <v>0</v>
      </c>
      <c r="T67" s="183">
        <f>SUMIFS('сентябрь 2025'!$G$2:$G$2497,'сентябрь 2025'!$D$2:$D$2497,$B67,'сентябрь 2025'!$J$2:$J$2497,T$1)</f>
        <v>0</v>
      </c>
      <c r="U67" s="183">
        <f>SUMIFS('сентябрь 2025'!$G$2:$G$2497,'сентябрь 2025'!$D$2:$D$2497,$B67,'сентябрь 2025'!$J$2:$J$2497,U$1)</f>
        <v>0</v>
      </c>
      <c r="V67" s="183">
        <f>SUMIFS('сентябрь 2025'!$G$2:$G$2497,'сентябрь 2025'!$D$2:$D$2497,$B67,'сентябрь 2025'!$J$2:$J$2497,V$1)</f>
        <v>0</v>
      </c>
      <c r="W67" s="183">
        <f>SUMIFS('сентябрь 2025'!$G$2:$G$2497,'сентябрь 2025'!$D$2:$D$2497,$B67,'сентябрь 2025'!$J$2:$J$2497,W$1)</f>
        <v>0</v>
      </c>
      <c r="X67" s="183">
        <f>SUMIFS('сентябрь 2025'!$G$2:$G$2497,'сентябрь 2025'!$D$2:$D$2497,$B67,'сентябрь 2025'!$J$2:$J$2497,X$1)</f>
        <v>0</v>
      </c>
      <c r="Y67" s="183">
        <f>SUMIFS('сентябрь 2025'!$G$2:$G$2497,'сентябрь 2025'!$D$2:$D$2497,$B67,'сентябрь 2025'!$J$2:$J$2497,Y$1)</f>
        <v>0</v>
      </c>
      <c r="Z67" s="183">
        <f>SUMIFS('сентябрь 2025'!$G$2:$G$2497,'сентябрь 2025'!$D$2:$D$2497,$B67,'сентябрь 2025'!$J$2:$J$2497,Z$1)</f>
        <v>0</v>
      </c>
      <c r="AA67" s="183">
        <f>SUMIFS('сентябрь 2025'!$G$2:$G$2497,'сентябрь 2025'!$D$2:$D$2497,$B67,'сентябрь 2025'!$J$2:$J$2497,AA$1)</f>
        <v>0</v>
      </c>
      <c r="AB67" s="183">
        <f>SUMIFS('сентябрь 2025'!$G$2:$G$2497,'сентябрь 2025'!$D$2:$D$2497,$B67,'сентябрь 2025'!$J$2:$J$2497,AB$1)</f>
        <v>0</v>
      </c>
      <c r="AC67" s="183">
        <f>SUMIFS('сентябрь 2025'!$G$2:$G$2497,'сентябрь 2025'!$D$2:$D$2497,$B67,'сентябрь 2025'!$J$2:$J$2497,AC$1)</f>
        <v>0</v>
      </c>
      <c r="AD67" s="183">
        <f>SUMIFS('сентябрь 2025'!$G$2:$G$2497,'сентябрь 2025'!$D$2:$D$2497,$B67,'сентябрь 2025'!$J$2:$J$2497,AD$1)</f>
        <v>0</v>
      </c>
      <c r="AE67" s="183">
        <f>SUMIFS('сентябрь 2025'!$G$2:$G$2497,'сентябрь 2025'!$D$2:$D$2497,$B67,'сентябрь 2025'!$J$2:$J$2497,AE$1)</f>
        <v>0</v>
      </c>
      <c r="AF67" s="183">
        <f>SUMIFS('сентябрь 2025'!$G$2:$G$2497,'сентябрь 2025'!$D$2:$D$2497,$B67,'сентябрь 2025'!$J$2:$J$2497,AF$1)</f>
        <v>0</v>
      </c>
      <c r="AG67" s="183">
        <f>SUMIFS('сентябрь 2025'!$G$2:$G$2497,'сентябрь 2025'!$D$2:$D$2497,$B67,'сентябрь 2025'!$J$2:$J$2497,AG$1)</f>
        <v>0</v>
      </c>
      <c r="AH67" s="183">
        <f>SUMIFS('сентябрь 2025'!$G$2:$G$2497,'сентябрь 2025'!$D$2:$D$2497,$B67,'сентябрь 2025'!$J$2:$J$2497,AH$1)</f>
        <v>0</v>
      </c>
      <c r="AI67" s="20">
        <f t="shared" si="1"/>
        <v>0</v>
      </c>
    </row>
    <row r="68" spans="2:35" ht="15" customHeight="1" x14ac:dyDescent="0.25">
      <c r="B68" s="87" t="s">
        <v>308</v>
      </c>
      <c r="C68" s="86">
        <v>50</v>
      </c>
      <c r="D68" s="183">
        <f>SUMIFS('сентябрь 2025'!$G$2:$G$2497,'сентябрь 2025'!$D$2:$D$2497,$B68,'сентябрь 2025'!$J$2:$J$2497,D$1)</f>
        <v>0</v>
      </c>
      <c r="E68" s="183">
        <f>SUMIFS('сентябрь 2025'!$G$2:$G$2497,'сентябрь 2025'!$D$2:$D$2497,$B68,'сентябрь 2025'!$J$2:$J$2497,E$1)</f>
        <v>0</v>
      </c>
      <c r="F68" s="183">
        <f>SUMIFS('сентябрь 2025'!$G$2:$G$2497,'сентябрь 2025'!$D$2:$D$2497,$B68,'сентябрь 2025'!$J$2:$J$2497,F$1)</f>
        <v>0</v>
      </c>
      <c r="G68" s="183">
        <f>SUMIFS('сентябрь 2025'!$G$2:$G$2497,'сентябрь 2025'!$D$2:$D$2497,$B68,'сентябрь 2025'!$J$2:$J$2497,G$1)</f>
        <v>0</v>
      </c>
      <c r="H68" s="183">
        <f>SUMIFS('сентябрь 2025'!$G$2:$G$2497,'сентябрь 2025'!$D$2:$D$2497,$B68,'сентябрь 2025'!$J$2:$J$2497,H$1)</f>
        <v>0</v>
      </c>
      <c r="I68" s="183">
        <f>SUMIFS('сентябрь 2025'!$G$2:$G$2497,'сентябрь 2025'!$D$2:$D$2497,$B68,'сентябрь 2025'!$J$2:$J$2497,I$1)</f>
        <v>0</v>
      </c>
      <c r="J68" s="183">
        <f>SUMIFS('сентябрь 2025'!$G$2:$G$2497,'сентябрь 2025'!$D$2:$D$2497,$B68,'сентябрь 2025'!$J$2:$J$2497,J$1)</f>
        <v>0</v>
      </c>
      <c r="K68" s="183">
        <f>SUMIFS('сентябрь 2025'!$G$2:$G$2497,'сентябрь 2025'!$D$2:$D$2497,$B68,'сентябрь 2025'!$J$2:$J$2497,K$1)</f>
        <v>0</v>
      </c>
      <c r="L68" s="183">
        <f>SUMIFS('сентябрь 2025'!$G$2:$G$2497,'сентябрь 2025'!$D$2:$D$2497,$B68,'сентябрь 2025'!$J$2:$J$2497,L$1)</f>
        <v>0</v>
      </c>
      <c r="M68" s="183">
        <f>SUMIFS('сентябрь 2025'!$G$2:$G$2497,'сентябрь 2025'!$D$2:$D$2497,$B68,'сентябрь 2025'!$J$2:$J$2497,M$1)</f>
        <v>0</v>
      </c>
      <c r="N68" s="183">
        <f>SUMIFS('сентябрь 2025'!$G$2:$G$2497,'сентябрь 2025'!$D$2:$D$2497,$B68,'сентябрь 2025'!$J$2:$J$2497,N$1)</f>
        <v>0</v>
      </c>
      <c r="O68" s="183">
        <f>SUMIFS('сентябрь 2025'!$G$2:$G$2497,'сентябрь 2025'!$D$2:$D$2497,$B68,'сентябрь 2025'!$J$2:$J$2497,O$1)</f>
        <v>0</v>
      </c>
      <c r="P68" s="183">
        <f>SUMIFS('сентябрь 2025'!$G$2:$G$2497,'сентябрь 2025'!$D$2:$D$2497,$B68,'сентябрь 2025'!$J$2:$J$2497,P$1)</f>
        <v>0</v>
      </c>
      <c r="Q68" s="183">
        <f>SUMIFS('сентябрь 2025'!$G$2:$G$2497,'сентябрь 2025'!$D$2:$D$2497,$B68,'сентябрь 2025'!$J$2:$J$2497,Q$1)</f>
        <v>0</v>
      </c>
      <c r="R68" s="183">
        <f>SUMIFS('сентябрь 2025'!$G$2:$G$2497,'сентябрь 2025'!$D$2:$D$2497,$B68,'сентябрь 2025'!$J$2:$J$2497,R$1)</f>
        <v>0</v>
      </c>
      <c r="S68" s="183">
        <f>SUMIFS('сентябрь 2025'!$G$2:$G$2497,'сентябрь 2025'!$D$2:$D$2497,$B68,'сентябрь 2025'!$J$2:$J$2497,S$1)</f>
        <v>0</v>
      </c>
      <c r="T68" s="183">
        <f>SUMIFS('сентябрь 2025'!$G$2:$G$2497,'сентябрь 2025'!$D$2:$D$2497,$B68,'сентябрь 2025'!$J$2:$J$2497,T$1)</f>
        <v>0</v>
      </c>
      <c r="U68" s="183">
        <f>SUMIFS('сентябрь 2025'!$G$2:$G$2497,'сентябрь 2025'!$D$2:$D$2497,$B68,'сентябрь 2025'!$J$2:$J$2497,U$1)</f>
        <v>0</v>
      </c>
      <c r="V68" s="183">
        <f>SUMIFS('сентябрь 2025'!$G$2:$G$2497,'сентябрь 2025'!$D$2:$D$2497,$B68,'сентябрь 2025'!$J$2:$J$2497,V$1)</f>
        <v>0</v>
      </c>
      <c r="W68" s="183">
        <f>SUMIFS('сентябрь 2025'!$G$2:$G$2497,'сентябрь 2025'!$D$2:$D$2497,$B68,'сентябрь 2025'!$J$2:$J$2497,W$1)</f>
        <v>0</v>
      </c>
      <c r="X68" s="183">
        <f>SUMIFS('сентябрь 2025'!$G$2:$G$2497,'сентябрь 2025'!$D$2:$D$2497,$B68,'сентябрь 2025'!$J$2:$J$2497,X$1)</f>
        <v>0</v>
      </c>
      <c r="Y68" s="183">
        <f>SUMIFS('сентябрь 2025'!$G$2:$G$2497,'сентябрь 2025'!$D$2:$D$2497,$B68,'сентябрь 2025'!$J$2:$J$2497,Y$1)</f>
        <v>0</v>
      </c>
      <c r="Z68" s="183">
        <f>SUMIFS('сентябрь 2025'!$G$2:$G$2497,'сентябрь 2025'!$D$2:$D$2497,$B68,'сентябрь 2025'!$J$2:$J$2497,Z$1)</f>
        <v>0</v>
      </c>
      <c r="AA68" s="183">
        <f>SUMIFS('сентябрь 2025'!$G$2:$G$2497,'сентябрь 2025'!$D$2:$D$2497,$B68,'сентябрь 2025'!$J$2:$J$2497,AA$1)</f>
        <v>0</v>
      </c>
      <c r="AB68" s="183">
        <f>SUMIFS('сентябрь 2025'!$G$2:$G$2497,'сентябрь 2025'!$D$2:$D$2497,$B68,'сентябрь 2025'!$J$2:$J$2497,AB$1)</f>
        <v>0</v>
      </c>
      <c r="AC68" s="183">
        <f>SUMIFS('сентябрь 2025'!$G$2:$G$2497,'сентябрь 2025'!$D$2:$D$2497,$B68,'сентябрь 2025'!$J$2:$J$2497,AC$1)</f>
        <v>0</v>
      </c>
      <c r="AD68" s="183">
        <f>SUMIFS('сентябрь 2025'!$G$2:$G$2497,'сентябрь 2025'!$D$2:$D$2497,$B68,'сентябрь 2025'!$J$2:$J$2497,AD$1)</f>
        <v>0</v>
      </c>
      <c r="AE68" s="183">
        <f>SUMIFS('сентябрь 2025'!$G$2:$G$2497,'сентябрь 2025'!$D$2:$D$2497,$B68,'сентябрь 2025'!$J$2:$J$2497,AE$1)</f>
        <v>0</v>
      </c>
      <c r="AF68" s="183">
        <f>SUMIFS('сентябрь 2025'!$G$2:$G$2497,'сентябрь 2025'!$D$2:$D$2497,$B68,'сентябрь 2025'!$J$2:$J$2497,AF$1)</f>
        <v>0</v>
      </c>
      <c r="AG68" s="183">
        <f>SUMIFS('сентябрь 2025'!$G$2:$G$2497,'сентябрь 2025'!$D$2:$D$2497,$B68,'сентябрь 2025'!$J$2:$J$2497,AG$1)</f>
        <v>0</v>
      </c>
      <c r="AH68" s="183">
        <f>SUMIFS('сентябрь 2025'!$G$2:$G$2497,'сентябрь 2025'!$D$2:$D$2497,$B68,'сентябрь 2025'!$J$2:$J$2497,AH$1)</f>
        <v>0</v>
      </c>
      <c r="AI68" s="20">
        <f t="shared" si="1"/>
        <v>0</v>
      </c>
    </row>
    <row r="69" spans="2:35" ht="15" customHeight="1" x14ac:dyDescent="0.25">
      <c r="B69" s="88" t="s">
        <v>198</v>
      </c>
      <c r="C69" s="86">
        <v>200</v>
      </c>
      <c r="D69" s="183">
        <f>SUMIFS('сентябрь 2025'!$G$2:$G$2497,'сентябрь 2025'!$D$2:$D$2497,$B69,'сентябрь 2025'!$J$2:$J$2497,D$1)</f>
        <v>0</v>
      </c>
      <c r="E69" s="183">
        <f>SUMIFS('сентябрь 2025'!$G$2:$G$2497,'сентябрь 2025'!$D$2:$D$2497,$B69,'сентябрь 2025'!$J$2:$J$2497,E$1)</f>
        <v>0</v>
      </c>
      <c r="F69" s="183">
        <f>SUMIFS('сентябрь 2025'!$G$2:$G$2497,'сентябрь 2025'!$D$2:$D$2497,$B69,'сентябрь 2025'!$J$2:$J$2497,F$1)</f>
        <v>0</v>
      </c>
      <c r="G69" s="183">
        <f>SUMIFS('сентябрь 2025'!$G$2:$G$2497,'сентябрь 2025'!$D$2:$D$2497,$B69,'сентябрь 2025'!$J$2:$J$2497,G$1)</f>
        <v>0</v>
      </c>
      <c r="H69" s="183">
        <f>SUMIFS('сентябрь 2025'!$G$2:$G$2497,'сентябрь 2025'!$D$2:$D$2497,$B69,'сентябрь 2025'!$J$2:$J$2497,H$1)</f>
        <v>0</v>
      </c>
      <c r="I69" s="183">
        <f>SUMIFS('сентябрь 2025'!$G$2:$G$2497,'сентябрь 2025'!$D$2:$D$2497,$B69,'сентябрь 2025'!$J$2:$J$2497,I$1)</f>
        <v>0</v>
      </c>
      <c r="J69" s="183">
        <f>SUMIFS('сентябрь 2025'!$G$2:$G$2497,'сентябрь 2025'!$D$2:$D$2497,$B69,'сентябрь 2025'!$J$2:$J$2497,J$1)</f>
        <v>0</v>
      </c>
      <c r="K69" s="183">
        <f>SUMIFS('сентябрь 2025'!$G$2:$G$2497,'сентябрь 2025'!$D$2:$D$2497,$B69,'сентябрь 2025'!$J$2:$J$2497,K$1)</f>
        <v>0</v>
      </c>
      <c r="L69" s="183">
        <f>SUMIFS('сентябрь 2025'!$G$2:$G$2497,'сентябрь 2025'!$D$2:$D$2497,$B69,'сентябрь 2025'!$J$2:$J$2497,L$1)</f>
        <v>0</v>
      </c>
      <c r="M69" s="183">
        <f>SUMIFS('сентябрь 2025'!$G$2:$G$2497,'сентябрь 2025'!$D$2:$D$2497,$B69,'сентябрь 2025'!$J$2:$J$2497,M$1)</f>
        <v>0</v>
      </c>
      <c r="N69" s="183">
        <f>SUMIFS('сентябрь 2025'!$G$2:$G$2497,'сентябрь 2025'!$D$2:$D$2497,$B69,'сентябрь 2025'!$J$2:$J$2497,N$1)</f>
        <v>0</v>
      </c>
      <c r="O69" s="183">
        <f>SUMIFS('сентябрь 2025'!$G$2:$G$2497,'сентябрь 2025'!$D$2:$D$2497,$B69,'сентябрь 2025'!$J$2:$J$2497,O$1)</f>
        <v>0</v>
      </c>
      <c r="P69" s="183">
        <f>SUMIFS('сентябрь 2025'!$G$2:$G$2497,'сентябрь 2025'!$D$2:$D$2497,$B69,'сентябрь 2025'!$J$2:$J$2497,P$1)</f>
        <v>0</v>
      </c>
      <c r="Q69" s="183">
        <f>SUMIFS('сентябрь 2025'!$G$2:$G$2497,'сентябрь 2025'!$D$2:$D$2497,$B69,'сентябрь 2025'!$J$2:$J$2497,Q$1)</f>
        <v>0</v>
      </c>
      <c r="R69" s="183">
        <f>SUMIFS('сентябрь 2025'!$G$2:$G$2497,'сентябрь 2025'!$D$2:$D$2497,$B69,'сентябрь 2025'!$J$2:$J$2497,R$1)</f>
        <v>0</v>
      </c>
      <c r="S69" s="183">
        <f>SUMIFS('сентябрь 2025'!$G$2:$G$2497,'сентябрь 2025'!$D$2:$D$2497,$B69,'сентябрь 2025'!$J$2:$J$2497,S$1)</f>
        <v>0</v>
      </c>
      <c r="T69" s="183">
        <f>SUMIFS('сентябрь 2025'!$G$2:$G$2497,'сентябрь 2025'!$D$2:$D$2497,$B69,'сентябрь 2025'!$J$2:$J$2497,T$1)</f>
        <v>0</v>
      </c>
      <c r="U69" s="183">
        <f>SUMIFS('сентябрь 2025'!$G$2:$G$2497,'сентябрь 2025'!$D$2:$D$2497,$B69,'сентябрь 2025'!$J$2:$J$2497,U$1)</f>
        <v>0</v>
      </c>
      <c r="V69" s="183">
        <f>SUMIFS('сентябрь 2025'!$G$2:$G$2497,'сентябрь 2025'!$D$2:$D$2497,$B69,'сентябрь 2025'!$J$2:$J$2497,V$1)</f>
        <v>0</v>
      </c>
      <c r="W69" s="183">
        <f>SUMIFS('сентябрь 2025'!$G$2:$G$2497,'сентябрь 2025'!$D$2:$D$2497,$B69,'сентябрь 2025'!$J$2:$J$2497,W$1)</f>
        <v>0</v>
      </c>
      <c r="X69" s="183">
        <f>SUMIFS('сентябрь 2025'!$G$2:$G$2497,'сентябрь 2025'!$D$2:$D$2497,$B69,'сентябрь 2025'!$J$2:$J$2497,X$1)</f>
        <v>0</v>
      </c>
      <c r="Y69" s="183">
        <f>SUMIFS('сентябрь 2025'!$G$2:$G$2497,'сентябрь 2025'!$D$2:$D$2497,$B69,'сентябрь 2025'!$J$2:$J$2497,Y$1)</f>
        <v>0</v>
      </c>
      <c r="Z69" s="183">
        <f>SUMIFS('сентябрь 2025'!$G$2:$G$2497,'сентябрь 2025'!$D$2:$D$2497,$B69,'сентябрь 2025'!$J$2:$J$2497,Z$1)</f>
        <v>0</v>
      </c>
      <c r="AA69" s="183">
        <f>SUMIFS('сентябрь 2025'!$G$2:$G$2497,'сентябрь 2025'!$D$2:$D$2497,$B69,'сентябрь 2025'!$J$2:$J$2497,AA$1)</f>
        <v>0</v>
      </c>
      <c r="AB69" s="183">
        <f>SUMIFS('сентябрь 2025'!$G$2:$G$2497,'сентябрь 2025'!$D$2:$D$2497,$B69,'сентябрь 2025'!$J$2:$J$2497,AB$1)</f>
        <v>0</v>
      </c>
      <c r="AC69" s="183">
        <f>SUMIFS('сентябрь 2025'!$G$2:$G$2497,'сентябрь 2025'!$D$2:$D$2497,$B69,'сентябрь 2025'!$J$2:$J$2497,AC$1)</f>
        <v>0</v>
      </c>
      <c r="AD69" s="183">
        <f>SUMIFS('сентябрь 2025'!$G$2:$G$2497,'сентябрь 2025'!$D$2:$D$2497,$B69,'сентябрь 2025'!$J$2:$J$2497,AD$1)</f>
        <v>0</v>
      </c>
      <c r="AE69" s="183">
        <f>SUMIFS('сентябрь 2025'!$G$2:$G$2497,'сентябрь 2025'!$D$2:$D$2497,$B69,'сентябрь 2025'!$J$2:$J$2497,AE$1)</f>
        <v>0</v>
      </c>
      <c r="AF69" s="183">
        <f>SUMIFS('сентябрь 2025'!$G$2:$G$2497,'сентябрь 2025'!$D$2:$D$2497,$B69,'сентябрь 2025'!$J$2:$J$2497,AF$1)</f>
        <v>0</v>
      </c>
      <c r="AG69" s="183">
        <f>SUMIFS('сентябрь 2025'!$G$2:$G$2497,'сентябрь 2025'!$D$2:$D$2497,$B69,'сентябрь 2025'!$J$2:$J$2497,AG$1)</f>
        <v>0</v>
      </c>
      <c r="AH69" s="183">
        <f>SUMIFS('сентябрь 2025'!$G$2:$G$2497,'сентябрь 2025'!$D$2:$D$2497,$B69,'сентябрь 2025'!$J$2:$J$2497,AH$1)</f>
        <v>0</v>
      </c>
      <c r="AI69" s="20">
        <f t="shared" si="1"/>
        <v>0</v>
      </c>
    </row>
    <row r="70" spans="2:35" ht="15" customHeight="1" x14ac:dyDescent="0.25">
      <c r="B70" s="88" t="s">
        <v>207</v>
      </c>
      <c r="C70" s="86">
        <v>25</v>
      </c>
      <c r="D70" s="183">
        <f>SUMIFS('сентябрь 2025'!$G$2:$G$2497,'сентябрь 2025'!$D$2:$D$2497,$B70,'сентябрь 2025'!$J$2:$J$2497,D$1)</f>
        <v>0</v>
      </c>
      <c r="E70" s="183">
        <f>SUMIFS('сентябрь 2025'!$G$2:$G$2497,'сентябрь 2025'!$D$2:$D$2497,$B70,'сентябрь 2025'!$J$2:$J$2497,E$1)</f>
        <v>0</v>
      </c>
      <c r="F70" s="183">
        <f>SUMIFS('сентябрь 2025'!$G$2:$G$2497,'сентябрь 2025'!$D$2:$D$2497,$B70,'сентябрь 2025'!$J$2:$J$2497,F$1)</f>
        <v>0</v>
      </c>
      <c r="G70" s="183">
        <f>SUMIFS('сентябрь 2025'!$G$2:$G$2497,'сентябрь 2025'!$D$2:$D$2497,$B70,'сентябрь 2025'!$J$2:$J$2497,G$1)</f>
        <v>0</v>
      </c>
      <c r="H70" s="183">
        <f>SUMIFS('сентябрь 2025'!$G$2:$G$2497,'сентябрь 2025'!$D$2:$D$2497,$B70,'сентябрь 2025'!$J$2:$J$2497,H$1)</f>
        <v>0</v>
      </c>
      <c r="I70" s="183">
        <f>SUMIFS('сентябрь 2025'!$G$2:$G$2497,'сентябрь 2025'!$D$2:$D$2497,$B70,'сентябрь 2025'!$J$2:$J$2497,I$1)</f>
        <v>0</v>
      </c>
      <c r="J70" s="183">
        <f>SUMIFS('сентябрь 2025'!$G$2:$G$2497,'сентябрь 2025'!$D$2:$D$2497,$B70,'сентябрь 2025'!$J$2:$J$2497,J$1)</f>
        <v>0</v>
      </c>
      <c r="K70" s="183">
        <f>SUMIFS('сентябрь 2025'!$G$2:$G$2497,'сентябрь 2025'!$D$2:$D$2497,$B70,'сентябрь 2025'!$J$2:$J$2497,K$1)</f>
        <v>0</v>
      </c>
      <c r="L70" s="183">
        <f>SUMIFS('сентябрь 2025'!$G$2:$G$2497,'сентябрь 2025'!$D$2:$D$2497,$B70,'сентябрь 2025'!$J$2:$J$2497,L$1)</f>
        <v>0</v>
      </c>
      <c r="M70" s="183">
        <f>SUMIFS('сентябрь 2025'!$G$2:$G$2497,'сентябрь 2025'!$D$2:$D$2497,$B70,'сентябрь 2025'!$J$2:$J$2497,M$1)</f>
        <v>0</v>
      </c>
      <c r="N70" s="183">
        <f>SUMIFS('сентябрь 2025'!$G$2:$G$2497,'сентябрь 2025'!$D$2:$D$2497,$B70,'сентябрь 2025'!$J$2:$J$2497,N$1)</f>
        <v>0</v>
      </c>
      <c r="O70" s="183">
        <f>SUMIFS('сентябрь 2025'!$G$2:$G$2497,'сентябрь 2025'!$D$2:$D$2497,$B70,'сентябрь 2025'!$J$2:$J$2497,O$1)</f>
        <v>0</v>
      </c>
      <c r="P70" s="183">
        <f>SUMIFS('сентябрь 2025'!$G$2:$G$2497,'сентябрь 2025'!$D$2:$D$2497,$B70,'сентябрь 2025'!$J$2:$J$2497,P$1)</f>
        <v>0</v>
      </c>
      <c r="Q70" s="183">
        <f>SUMIFS('сентябрь 2025'!$G$2:$G$2497,'сентябрь 2025'!$D$2:$D$2497,$B70,'сентябрь 2025'!$J$2:$J$2497,Q$1)</f>
        <v>0</v>
      </c>
      <c r="R70" s="183">
        <f>SUMIFS('сентябрь 2025'!$G$2:$G$2497,'сентябрь 2025'!$D$2:$D$2497,$B70,'сентябрь 2025'!$J$2:$J$2497,R$1)</f>
        <v>0</v>
      </c>
      <c r="S70" s="183">
        <f>SUMIFS('сентябрь 2025'!$G$2:$G$2497,'сентябрь 2025'!$D$2:$D$2497,$B70,'сентябрь 2025'!$J$2:$J$2497,S$1)</f>
        <v>0</v>
      </c>
      <c r="T70" s="183">
        <f>SUMIFS('сентябрь 2025'!$G$2:$G$2497,'сентябрь 2025'!$D$2:$D$2497,$B70,'сентябрь 2025'!$J$2:$J$2497,T$1)</f>
        <v>0</v>
      </c>
      <c r="U70" s="183">
        <f>SUMIFS('сентябрь 2025'!$G$2:$G$2497,'сентябрь 2025'!$D$2:$D$2497,$B70,'сентябрь 2025'!$J$2:$J$2497,U$1)</f>
        <v>0</v>
      </c>
      <c r="V70" s="183">
        <f>SUMIFS('сентябрь 2025'!$G$2:$G$2497,'сентябрь 2025'!$D$2:$D$2497,$B70,'сентябрь 2025'!$J$2:$J$2497,V$1)</f>
        <v>0</v>
      </c>
      <c r="W70" s="183">
        <f>SUMIFS('сентябрь 2025'!$G$2:$G$2497,'сентябрь 2025'!$D$2:$D$2497,$B70,'сентябрь 2025'!$J$2:$J$2497,W$1)</f>
        <v>0</v>
      </c>
      <c r="X70" s="183">
        <f>SUMIFS('сентябрь 2025'!$G$2:$G$2497,'сентябрь 2025'!$D$2:$D$2497,$B70,'сентябрь 2025'!$J$2:$J$2497,X$1)</f>
        <v>0</v>
      </c>
      <c r="Y70" s="183">
        <f>SUMIFS('сентябрь 2025'!$G$2:$G$2497,'сентябрь 2025'!$D$2:$D$2497,$B70,'сентябрь 2025'!$J$2:$J$2497,Y$1)</f>
        <v>0</v>
      </c>
      <c r="Z70" s="183">
        <f>SUMIFS('сентябрь 2025'!$G$2:$G$2497,'сентябрь 2025'!$D$2:$D$2497,$B70,'сентябрь 2025'!$J$2:$J$2497,Z$1)</f>
        <v>0</v>
      </c>
      <c r="AA70" s="183">
        <f>SUMIFS('сентябрь 2025'!$G$2:$G$2497,'сентябрь 2025'!$D$2:$D$2497,$B70,'сентябрь 2025'!$J$2:$J$2497,AA$1)</f>
        <v>0</v>
      </c>
      <c r="AB70" s="183">
        <f>SUMIFS('сентябрь 2025'!$G$2:$G$2497,'сентябрь 2025'!$D$2:$D$2497,$B70,'сентябрь 2025'!$J$2:$J$2497,AB$1)</f>
        <v>0</v>
      </c>
      <c r="AC70" s="183">
        <f>SUMIFS('сентябрь 2025'!$G$2:$G$2497,'сентябрь 2025'!$D$2:$D$2497,$B70,'сентябрь 2025'!$J$2:$J$2497,AC$1)</f>
        <v>0</v>
      </c>
      <c r="AD70" s="183">
        <f>SUMIFS('сентябрь 2025'!$G$2:$G$2497,'сентябрь 2025'!$D$2:$D$2497,$B70,'сентябрь 2025'!$J$2:$J$2497,AD$1)</f>
        <v>0</v>
      </c>
      <c r="AE70" s="183">
        <f>SUMIFS('сентябрь 2025'!$G$2:$G$2497,'сентябрь 2025'!$D$2:$D$2497,$B70,'сентябрь 2025'!$J$2:$J$2497,AE$1)</f>
        <v>0</v>
      </c>
      <c r="AF70" s="183">
        <f>SUMIFS('сентябрь 2025'!$G$2:$G$2497,'сентябрь 2025'!$D$2:$D$2497,$B70,'сентябрь 2025'!$J$2:$J$2497,AF$1)</f>
        <v>0</v>
      </c>
      <c r="AG70" s="183">
        <f>SUMIFS('сентябрь 2025'!$G$2:$G$2497,'сентябрь 2025'!$D$2:$D$2497,$B70,'сентябрь 2025'!$J$2:$J$2497,AG$1)</f>
        <v>0</v>
      </c>
      <c r="AH70" s="183">
        <f>SUMIFS('сентябрь 2025'!$G$2:$G$2497,'сентябрь 2025'!$D$2:$D$2497,$B70,'сентябрь 2025'!$J$2:$J$2497,AH$1)</f>
        <v>0</v>
      </c>
      <c r="AI70" s="20">
        <f t="shared" si="1"/>
        <v>0</v>
      </c>
    </row>
    <row r="71" spans="2:35" ht="15" customHeight="1" x14ac:dyDescent="0.25">
      <c r="B71" s="88" t="s">
        <v>179</v>
      </c>
      <c r="C71" s="86">
        <v>50</v>
      </c>
      <c r="D71" s="183">
        <f>SUMIFS('сентябрь 2025'!$G$2:$G$2497,'сентябрь 2025'!$D$2:$D$2497,$B71,'сентябрь 2025'!$J$2:$J$2497,D$1)</f>
        <v>0</v>
      </c>
      <c r="E71" s="183">
        <f>SUMIFS('сентябрь 2025'!$G$2:$G$2497,'сентябрь 2025'!$D$2:$D$2497,$B71,'сентябрь 2025'!$J$2:$J$2497,E$1)</f>
        <v>0</v>
      </c>
      <c r="F71" s="183">
        <f>SUMIFS('сентябрь 2025'!$G$2:$G$2497,'сентябрь 2025'!$D$2:$D$2497,$B71,'сентябрь 2025'!$J$2:$J$2497,F$1)</f>
        <v>0</v>
      </c>
      <c r="G71" s="183">
        <f>SUMIFS('сентябрь 2025'!$G$2:$G$2497,'сентябрь 2025'!$D$2:$D$2497,$B71,'сентябрь 2025'!$J$2:$J$2497,G$1)</f>
        <v>0</v>
      </c>
      <c r="H71" s="183">
        <f>SUMIFS('сентябрь 2025'!$G$2:$G$2497,'сентябрь 2025'!$D$2:$D$2497,$B71,'сентябрь 2025'!$J$2:$J$2497,H$1)</f>
        <v>0</v>
      </c>
      <c r="I71" s="183">
        <f>SUMIFS('сентябрь 2025'!$G$2:$G$2497,'сентябрь 2025'!$D$2:$D$2497,$B71,'сентябрь 2025'!$J$2:$J$2497,I$1)</f>
        <v>0</v>
      </c>
      <c r="J71" s="183">
        <f>SUMIFS('сентябрь 2025'!$G$2:$G$2497,'сентябрь 2025'!$D$2:$D$2497,$B71,'сентябрь 2025'!$J$2:$J$2497,J$1)</f>
        <v>0</v>
      </c>
      <c r="K71" s="183">
        <f>SUMIFS('сентябрь 2025'!$G$2:$G$2497,'сентябрь 2025'!$D$2:$D$2497,$B71,'сентябрь 2025'!$J$2:$J$2497,K$1)</f>
        <v>0</v>
      </c>
      <c r="L71" s="183">
        <f>SUMIFS('сентябрь 2025'!$G$2:$G$2497,'сентябрь 2025'!$D$2:$D$2497,$B71,'сентябрь 2025'!$J$2:$J$2497,L$1)</f>
        <v>0</v>
      </c>
      <c r="M71" s="183">
        <f>SUMIFS('сентябрь 2025'!$G$2:$G$2497,'сентябрь 2025'!$D$2:$D$2497,$B71,'сентябрь 2025'!$J$2:$J$2497,M$1)</f>
        <v>0</v>
      </c>
      <c r="N71" s="183">
        <f>SUMIFS('сентябрь 2025'!$G$2:$G$2497,'сентябрь 2025'!$D$2:$D$2497,$B71,'сентябрь 2025'!$J$2:$J$2497,N$1)</f>
        <v>0</v>
      </c>
      <c r="O71" s="183">
        <f>SUMIFS('сентябрь 2025'!$G$2:$G$2497,'сентябрь 2025'!$D$2:$D$2497,$B71,'сентябрь 2025'!$J$2:$J$2497,O$1)</f>
        <v>0</v>
      </c>
      <c r="P71" s="183">
        <f>SUMIFS('сентябрь 2025'!$G$2:$G$2497,'сентябрь 2025'!$D$2:$D$2497,$B71,'сентябрь 2025'!$J$2:$J$2497,P$1)</f>
        <v>0</v>
      </c>
      <c r="Q71" s="183">
        <f>SUMIFS('сентябрь 2025'!$G$2:$G$2497,'сентябрь 2025'!$D$2:$D$2497,$B71,'сентябрь 2025'!$J$2:$J$2497,Q$1)</f>
        <v>0</v>
      </c>
      <c r="R71" s="183">
        <f>SUMIFS('сентябрь 2025'!$G$2:$G$2497,'сентябрь 2025'!$D$2:$D$2497,$B71,'сентябрь 2025'!$J$2:$J$2497,R$1)</f>
        <v>0</v>
      </c>
      <c r="S71" s="183">
        <f>SUMIFS('сентябрь 2025'!$G$2:$G$2497,'сентябрь 2025'!$D$2:$D$2497,$B71,'сентябрь 2025'!$J$2:$J$2497,S$1)</f>
        <v>0</v>
      </c>
      <c r="T71" s="183">
        <f>SUMIFS('сентябрь 2025'!$G$2:$G$2497,'сентябрь 2025'!$D$2:$D$2497,$B71,'сентябрь 2025'!$J$2:$J$2497,T$1)</f>
        <v>0</v>
      </c>
      <c r="U71" s="183">
        <f>SUMIFS('сентябрь 2025'!$G$2:$G$2497,'сентябрь 2025'!$D$2:$D$2497,$B71,'сентябрь 2025'!$J$2:$J$2497,U$1)</f>
        <v>0</v>
      </c>
      <c r="V71" s="183">
        <f>SUMIFS('сентябрь 2025'!$G$2:$G$2497,'сентябрь 2025'!$D$2:$D$2497,$B71,'сентябрь 2025'!$J$2:$J$2497,V$1)</f>
        <v>0</v>
      </c>
      <c r="W71" s="183">
        <f>SUMIFS('сентябрь 2025'!$G$2:$G$2497,'сентябрь 2025'!$D$2:$D$2497,$B71,'сентябрь 2025'!$J$2:$J$2497,W$1)</f>
        <v>0</v>
      </c>
      <c r="X71" s="183">
        <f>SUMIFS('сентябрь 2025'!$G$2:$G$2497,'сентябрь 2025'!$D$2:$D$2497,$B71,'сентябрь 2025'!$J$2:$J$2497,X$1)</f>
        <v>0</v>
      </c>
      <c r="Y71" s="183">
        <f>SUMIFS('сентябрь 2025'!$G$2:$G$2497,'сентябрь 2025'!$D$2:$D$2497,$B71,'сентябрь 2025'!$J$2:$J$2497,Y$1)</f>
        <v>0</v>
      </c>
      <c r="Z71" s="183">
        <f>SUMIFS('сентябрь 2025'!$G$2:$G$2497,'сентябрь 2025'!$D$2:$D$2497,$B71,'сентябрь 2025'!$J$2:$J$2497,Z$1)</f>
        <v>0</v>
      </c>
      <c r="AA71" s="183">
        <f>SUMIFS('сентябрь 2025'!$G$2:$G$2497,'сентябрь 2025'!$D$2:$D$2497,$B71,'сентябрь 2025'!$J$2:$J$2497,AA$1)</f>
        <v>0</v>
      </c>
      <c r="AB71" s="183">
        <f>SUMIFS('сентябрь 2025'!$G$2:$G$2497,'сентябрь 2025'!$D$2:$D$2497,$B71,'сентябрь 2025'!$J$2:$J$2497,AB$1)</f>
        <v>0</v>
      </c>
      <c r="AC71" s="183">
        <f>SUMIFS('сентябрь 2025'!$G$2:$G$2497,'сентябрь 2025'!$D$2:$D$2497,$B71,'сентябрь 2025'!$J$2:$J$2497,AC$1)</f>
        <v>0</v>
      </c>
      <c r="AD71" s="183">
        <f>SUMIFS('сентябрь 2025'!$G$2:$G$2497,'сентябрь 2025'!$D$2:$D$2497,$B71,'сентябрь 2025'!$J$2:$J$2497,AD$1)</f>
        <v>0</v>
      </c>
      <c r="AE71" s="183">
        <f>SUMIFS('сентябрь 2025'!$G$2:$G$2497,'сентябрь 2025'!$D$2:$D$2497,$B71,'сентябрь 2025'!$J$2:$J$2497,AE$1)</f>
        <v>0</v>
      </c>
      <c r="AF71" s="183">
        <f>SUMIFS('сентябрь 2025'!$G$2:$G$2497,'сентябрь 2025'!$D$2:$D$2497,$B71,'сентябрь 2025'!$J$2:$J$2497,AF$1)</f>
        <v>0</v>
      </c>
      <c r="AG71" s="183">
        <f>SUMIFS('сентябрь 2025'!$G$2:$G$2497,'сентябрь 2025'!$D$2:$D$2497,$B71,'сентябрь 2025'!$J$2:$J$2497,AG$1)</f>
        <v>0</v>
      </c>
      <c r="AH71" s="183">
        <f>SUMIFS('сентябрь 2025'!$G$2:$G$2497,'сентябрь 2025'!$D$2:$D$2497,$B71,'сентябрь 2025'!$J$2:$J$2497,AH$1)</f>
        <v>0</v>
      </c>
      <c r="AI71" s="20">
        <f t="shared" si="1"/>
        <v>0</v>
      </c>
    </row>
    <row r="72" spans="2:35" ht="15.75" x14ac:dyDescent="0.25">
      <c r="B72" s="84" t="s">
        <v>158</v>
      </c>
      <c r="C72" s="83">
        <v>200</v>
      </c>
      <c r="D72" s="183">
        <f>SUMIFS('сентябрь 2025'!$G$2:$G$2497,'сентябрь 2025'!$D$2:$D$2497,$B72,'сентябрь 2025'!$J$2:$J$2497,D$1)</f>
        <v>0</v>
      </c>
      <c r="E72" s="183">
        <f>SUMIFS('сентябрь 2025'!$G$2:$G$2497,'сентябрь 2025'!$D$2:$D$2497,$B72,'сентябрь 2025'!$J$2:$J$2497,E$1)</f>
        <v>0</v>
      </c>
      <c r="F72" s="183">
        <f>SUMIFS('сентябрь 2025'!$G$2:$G$2497,'сентябрь 2025'!$D$2:$D$2497,$B72,'сентябрь 2025'!$J$2:$J$2497,F$1)</f>
        <v>0</v>
      </c>
      <c r="G72" s="183">
        <f>SUMIFS('сентябрь 2025'!$G$2:$G$2497,'сентябрь 2025'!$D$2:$D$2497,$B72,'сентябрь 2025'!$J$2:$J$2497,G$1)</f>
        <v>0</v>
      </c>
      <c r="H72" s="183">
        <f>SUMIFS('сентябрь 2025'!$G$2:$G$2497,'сентябрь 2025'!$D$2:$D$2497,$B72,'сентябрь 2025'!$J$2:$J$2497,H$1)</f>
        <v>0</v>
      </c>
      <c r="I72" s="183">
        <f>SUMIFS('сентябрь 2025'!$G$2:$G$2497,'сентябрь 2025'!$D$2:$D$2497,$B72,'сентябрь 2025'!$J$2:$J$2497,I$1)</f>
        <v>0</v>
      </c>
      <c r="J72" s="183">
        <f>SUMIFS('сентябрь 2025'!$G$2:$G$2497,'сентябрь 2025'!$D$2:$D$2497,$B72,'сентябрь 2025'!$J$2:$J$2497,J$1)</f>
        <v>0</v>
      </c>
      <c r="K72" s="183">
        <f>SUMIFS('сентябрь 2025'!$G$2:$G$2497,'сентябрь 2025'!$D$2:$D$2497,$B72,'сентябрь 2025'!$J$2:$J$2497,K$1)</f>
        <v>0</v>
      </c>
      <c r="L72" s="183">
        <f>SUMIFS('сентябрь 2025'!$G$2:$G$2497,'сентябрь 2025'!$D$2:$D$2497,$B72,'сентябрь 2025'!$J$2:$J$2497,L$1)</f>
        <v>0</v>
      </c>
      <c r="M72" s="183">
        <f>SUMIFS('сентябрь 2025'!$G$2:$G$2497,'сентябрь 2025'!$D$2:$D$2497,$B72,'сентябрь 2025'!$J$2:$J$2497,M$1)</f>
        <v>0</v>
      </c>
      <c r="N72" s="183">
        <f>SUMIFS('сентябрь 2025'!$G$2:$G$2497,'сентябрь 2025'!$D$2:$D$2497,$B72,'сентябрь 2025'!$J$2:$J$2497,N$1)</f>
        <v>0</v>
      </c>
      <c r="O72" s="183">
        <f>SUMIFS('сентябрь 2025'!$G$2:$G$2497,'сентябрь 2025'!$D$2:$D$2497,$B72,'сентябрь 2025'!$J$2:$J$2497,O$1)</f>
        <v>0</v>
      </c>
      <c r="P72" s="183">
        <f>SUMIFS('сентябрь 2025'!$G$2:$G$2497,'сентябрь 2025'!$D$2:$D$2497,$B72,'сентябрь 2025'!$J$2:$J$2497,P$1)</f>
        <v>0</v>
      </c>
      <c r="Q72" s="183">
        <f>SUMIFS('сентябрь 2025'!$G$2:$G$2497,'сентябрь 2025'!$D$2:$D$2497,$B72,'сентябрь 2025'!$J$2:$J$2497,Q$1)</f>
        <v>0</v>
      </c>
      <c r="R72" s="183">
        <f>SUMIFS('сентябрь 2025'!$G$2:$G$2497,'сентябрь 2025'!$D$2:$D$2497,$B72,'сентябрь 2025'!$J$2:$J$2497,R$1)</f>
        <v>0</v>
      </c>
      <c r="S72" s="183">
        <f>SUMIFS('сентябрь 2025'!$G$2:$G$2497,'сентябрь 2025'!$D$2:$D$2497,$B72,'сентябрь 2025'!$J$2:$J$2497,S$1)</f>
        <v>0</v>
      </c>
      <c r="T72" s="183">
        <f>SUMIFS('сентябрь 2025'!$G$2:$G$2497,'сентябрь 2025'!$D$2:$D$2497,$B72,'сентябрь 2025'!$J$2:$J$2497,T$1)</f>
        <v>0</v>
      </c>
      <c r="U72" s="183">
        <f>SUMIFS('сентябрь 2025'!$G$2:$G$2497,'сентябрь 2025'!$D$2:$D$2497,$B72,'сентябрь 2025'!$J$2:$J$2497,U$1)</f>
        <v>0</v>
      </c>
      <c r="V72" s="183">
        <f>SUMIFS('сентябрь 2025'!$G$2:$G$2497,'сентябрь 2025'!$D$2:$D$2497,$B72,'сентябрь 2025'!$J$2:$J$2497,V$1)</f>
        <v>0</v>
      </c>
      <c r="W72" s="183">
        <f>SUMIFS('сентябрь 2025'!$G$2:$G$2497,'сентябрь 2025'!$D$2:$D$2497,$B72,'сентябрь 2025'!$J$2:$J$2497,W$1)</f>
        <v>0</v>
      </c>
      <c r="X72" s="183">
        <f>SUMIFS('сентябрь 2025'!$G$2:$G$2497,'сентябрь 2025'!$D$2:$D$2497,$B72,'сентябрь 2025'!$J$2:$J$2497,X$1)</f>
        <v>0</v>
      </c>
      <c r="Y72" s="183">
        <f>SUMIFS('сентябрь 2025'!$G$2:$G$2497,'сентябрь 2025'!$D$2:$D$2497,$B72,'сентябрь 2025'!$J$2:$J$2497,Y$1)</f>
        <v>0</v>
      </c>
      <c r="Z72" s="183">
        <f>SUMIFS('сентябрь 2025'!$G$2:$G$2497,'сентябрь 2025'!$D$2:$D$2497,$B72,'сентябрь 2025'!$J$2:$J$2497,Z$1)</f>
        <v>0</v>
      </c>
      <c r="AA72" s="183">
        <f>SUMIFS('сентябрь 2025'!$G$2:$G$2497,'сентябрь 2025'!$D$2:$D$2497,$B72,'сентябрь 2025'!$J$2:$J$2497,AA$1)</f>
        <v>0</v>
      </c>
      <c r="AB72" s="183">
        <f>SUMIFS('сентябрь 2025'!$G$2:$G$2497,'сентябрь 2025'!$D$2:$D$2497,$B72,'сентябрь 2025'!$J$2:$J$2497,AB$1)</f>
        <v>0</v>
      </c>
      <c r="AC72" s="183">
        <f>SUMIFS('сентябрь 2025'!$G$2:$G$2497,'сентябрь 2025'!$D$2:$D$2497,$B72,'сентябрь 2025'!$J$2:$J$2497,AC$1)</f>
        <v>0</v>
      </c>
      <c r="AD72" s="183">
        <f>SUMIFS('сентябрь 2025'!$G$2:$G$2497,'сентябрь 2025'!$D$2:$D$2497,$B72,'сентябрь 2025'!$J$2:$J$2497,AD$1)</f>
        <v>0</v>
      </c>
      <c r="AE72" s="183">
        <f>SUMIFS('сентябрь 2025'!$G$2:$G$2497,'сентябрь 2025'!$D$2:$D$2497,$B72,'сентябрь 2025'!$J$2:$J$2497,AE$1)</f>
        <v>0</v>
      </c>
      <c r="AF72" s="183">
        <f>SUMIFS('сентябрь 2025'!$G$2:$G$2497,'сентябрь 2025'!$D$2:$D$2497,$B72,'сентябрь 2025'!$J$2:$J$2497,AF$1)</f>
        <v>0</v>
      </c>
      <c r="AG72" s="183">
        <f>SUMIFS('сентябрь 2025'!$G$2:$G$2497,'сентябрь 2025'!$D$2:$D$2497,$B72,'сентябрь 2025'!$J$2:$J$2497,AG$1)</f>
        <v>0</v>
      </c>
      <c r="AH72" s="183">
        <f>SUMIFS('сентябрь 2025'!$G$2:$G$2497,'сентябрь 2025'!$D$2:$D$2497,$B72,'сентябрь 2025'!$J$2:$J$2497,AH$1)</f>
        <v>0</v>
      </c>
      <c r="AI72" s="20">
        <f t="shared" si="1"/>
        <v>0</v>
      </c>
    </row>
    <row r="73" spans="2:35" ht="15.75" x14ac:dyDescent="0.25">
      <c r="B73" s="88" t="s">
        <v>157</v>
      </c>
      <c r="C73" s="86">
        <v>200</v>
      </c>
      <c r="D73" s="183">
        <f>SUMIFS('сентябрь 2025'!$G$2:$G$2497,'сентябрь 2025'!$D$2:$D$2497,$B73,'сентябрь 2025'!$J$2:$J$2497,D$1)</f>
        <v>0</v>
      </c>
      <c r="E73" s="183">
        <f>SUMIFS('сентябрь 2025'!$G$2:$G$2497,'сентябрь 2025'!$D$2:$D$2497,$B73,'сентябрь 2025'!$J$2:$J$2497,E$1)</f>
        <v>0</v>
      </c>
      <c r="F73" s="183">
        <f>SUMIFS('сентябрь 2025'!$G$2:$G$2497,'сентябрь 2025'!$D$2:$D$2497,$B73,'сентябрь 2025'!$J$2:$J$2497,F$1)</f>
        <v>0</v>
      </c>
      <c r="G73" s="183">
        <f>SUMIFS('сентябрь 2025'!$G$2:$G$2497,'сентябрь 2025'!$D$2:$D$2497,$B73,'сентябрь 2025'!$J$2:$J$2497,G$1)</f>
        <v>0</v>
      </c>
      <c r="H73" s="183">
        <f>SUMIFS('сентябрь 2025'!$G$2:$G$2497,'сентябрь 2025'!$D$2:$D$2497,$B73,'сентябрь 2025'!$J$2:$J$2497,H$1)</f>
        <v>0</v>
      </c>
      <c r="I73" s="183">
        <f>SUMIFS('сентябрь 2025'!$G$2:$G$2497,'сентябрь 2025'!$D$2:$D$2497,$B73,'сентябрь 2025'!$J$2:$J$2497,I$1)</f>
        <v>0</v>
      </c>
      <c r="J73" s="183">
        <f>SUMIFS('сентябрь 2025'!$G$2:$G$2497,'сентябрь 2025'!$D$2:$D$2497,$B73,'сентябрь 2025'!$J$2:$J$2497,J$1)</f>
        <v>0</v>
      </c>
      <c r="K73" s="183">
        <f>SUMIFS('сентябрь 2025'!$G$2:$G$2497,'сентябрь 2025'!$D$2:$D$2497,$B73,'сентябрь 2025'!$J$2:$J$2497,K$1)</f>
        <v>0</v>
      </c>
      <c r="L73" s="183">
        <f>SUMIFS('сентябрь 2025'!$G$2:$G$2497,'сентябрь 2025'!$D$2:$D$2497,$B73,'сентябрь 2025'!$J$2:$J$2497,L$1)</f>
        <v>0</v>
      </c>
      <c r="M73" s="183">
        <f>SUMIFS('сентябрь 2025'!$G$2:$G$2497,'сентябрь 2025'!$D$2:$D$2497,$B73,'сентябрь 2025'!$J$2:$J$2497,M$1)</f>
        <v>0</v>
      </c>
      <c r="N73" s="183">
        <f>SUMIFS('сентябрь 2025'!$G$2:$G$2497,'сентябрь 2025'!$D$2:$D$2497,$B73,'сентябрь 2025'!$J$2:$J$2497,N$1)</f>
        <v>0</v>
      </c>
      <c r="O73" s="183">
        <f>SUMIFS('сентябрь 2025'!$G$2:$G$2497,'сентябрь 2025'!$D$2:$D$2497,$B73,'сентябрь 2025'!$J$2:$J$2497,O$1)</f>
        <v>0</v>
      </c>
      <c r="P73" s="183">
        <f>SUMIFS('сентябрь 2025'!$G$2:$G$2497,'сентябрь 2025'!$D$2:$D$2497,$B73,'сентябрь 2025'!$J$2:$J$2497,P$1)</f>
        <v>0</v>
      </c>
      <c r="Q73" s="183">
        <f>SUMIFS('сентябрь 2025'!$G$2:$G$2497,'сентябрь 2025'!$D$2:$D$2497,$B73,'сентябрь 2025'!$J$2:$J$2497,Q$1)</f>
        <v>0</v>
      </c>
      <c r="R73" s="183">
        <f>SUMIFS('сентябрь 2025'!$G$2:$G$2497,'сентябрь 2025'!$D$2:$D$2497,$B73,'сентябрь 2025'!$J$2:$J$2497,R$1)</f>
        <v>0</v>
      </c>
      <c r="S73" s="183">
        <f>SUMIFS('сентябрь 2025'!$G$2:$G$2497,'сентябрь 2025'!$D$2:$D$2497,$B73,'сентябрь 2025'!$J$2:$J$2497,S$1)</f>
        <v>0</v>
      </c>
      <c r="T73" s="183">
        <f>SUMIFS('сентябрь 2025'!$G$2:$G$2497,'сентябрь 2025'!$D$2:$D$2497,$B73,'сентябрь 2025'!$J$2:$J$2497,T$1)</f>
        <v>0</v>
      </c>
      <c r="U73" s="183">
        <f>SUMIFS('сентябрь 2025'!$G$2:$G$2497,'сентябрь 2025'!$D$2:$D$2497,$B73,'сентябрь 2025'!$J$2:$J$2497,U$1)</f>
        <v>0</v>
      </c>
      <c r="V73" s="183">
        <f>SUMIFS('сентябрь 2025'!$G$2:$G$2497,'сентябрь 2025'!$D$2:$D$2497,$B73,'сентябрь 2025'!$J$2:$J$2497,V$1)</f>
        <v>0</v>
      </c>
      <c r="W73" s="183">
        <f>SUMIFS('сентябрь 2025'!$G$2:$G$2497,'сентябрь 2025'!$D$2:$D$2497,$B73,'сентябрь 2025'!$J$2:$J$2497,W$1)</f>
        <v>0</v>
      </c>
      <c r="X73" s="183">
        <f>SUMIFS('сентябрь 2025'!$G$2:$G$2497,'сентябрь 2025'!$D$2:$D$2497,$B73,'сентябрь 2025'!$J$2:$J$2497,X$1)</f>
        <v>0</v>
      </c>
      <c r="Y73" s="183">
        <f>SUMIFS('сентябрь 2025'!$G$2:$G$2497,'сентябрь 2025'!$D$2:$D$2497,$B73,'сентябрь 2025'!$J$2:$J$2497,Y$1)</f>
        <v>0</v>
      </c>
      <c r="Z73" s="183">
        <f>SUMIFS('сентябрь 2025'!$G$2:$G$2497,'сентябрь 2025'!$D$2:$D$2497,$B73,'сентябрь 2025'!$J$2:$J$2497,Z$1)</f>
        <v>0</v>
      </c>
      <c r="AA73" s="183">
        <f>SUMIFS('сентябрь 2025'!$G$2:$G$2497,'сентябрь 2025'!$D$2:$D$2497,$B73,'сентябрь 2025'!$J$2:$J$2497,AA$1)</f>
        <v>0</v>
      </c>
      <c r="AB73" s="183">
        <f>SUMIFS('сентябрь 2025'!$G$2:$G$2497,'сентябрь 2025'!$D$2:$D$2497,$B73,'сентябрь 2025'!$J$2:$J$2497,AB$1)</f>
        <v>0</v>
      </c>
      <c r="AC73" s="183">
        <f>SUMIFS('сентябрь 2025'!$G$2:$G$2497,'сентябрь 2025'!$D$2:$D$2497,$B73,'сентябрь 2025'!$J$2:$J$2497,AC$1)</f>
        <v>0</v>
      </c>
      <c r="AD73" s="183">
        <f>SUMIFS('сентябрь 2025'!$G$2:$G$2497,'сентябрь 2025'!$D$2:$D$2497,$B73,'сентябрь 2025'!$J$2:$J$2497,AD$1)</f>
        <v>0</v>
      </c>
      <c r="AE73" s="183">
        <f>SUMIFS('сентябрь 2025'!$G$2:$G$2497,'сентябрь 2025'!$D$2:$D$2497,$B73,'сентябрь 2025'!$J$2:$J$2497,AE$1)</f>
        <v>0</v>
      </c>
      <c r="AF73" s="183">
        <f>SUMIFS('сентябрь 2025'!$G$2:$G$2497,'сентябрь 2025'!$D$2:$D$2497,$B73,'сентябрь 2025'!$J$2:$J$2497,AF$1)</f>
        <v>0</v>
      </c>
      <c r="AG73" s="183">
        <f>SUMIFS('сентябрь 2025'!$G$2:$G$2497,'сентябрь 2025'!$D$2:$D$2497,$B73,'сентябрь 2025'!$J$2:$J$2497,AG$1)</f>
        <v>0</v>
      </c>
      <c r="AH73" s="183">
        <f>SUMIFS('сентябрь 2025'!$G$2:$G$2497,'сентябрь 2025'!$D$2:$D$2497,$B73,'сентябрь 2025'!$J$2:$J$2497,AH$1)</f>
        <v>0</v>
      </c>
      <c r="AI73" s="20">
        <f t="shared" si="1"/>
        <v>0</v>
      </c>
    </row>
    <row r="74" spans="2:35" ht="15.75" x14ac:dyDescent="0.25">
      <c r="B74" s="88" t="s">
        <v>299</v>
      </c>
      <c r="C74" s="86">
        <v>200</v>
      </c>
      <c r="D74" s="183">
        <f>SUMIFS('сентябрь 2025'!$G$2:$G$2497,'сентябрь 2025'!$D$2:$D$2497,$B74,'сентябрь 2025'!$J$2:$J$2497,D$1)</f>
        <v>0</v>
      </c>
      <c r="E74" s="183">
        <f>SUMIFS('сентябрь 2025'!$G$2:$G$2497,'сентябрь 2025'!$D$2:$D$2497,$B74,'сентябрь 2025'!$J$2:$J$2497,E$1)</f>
        <v>0</v>
      </c>
      <c r="F74" s="183">
        <f>SUMIFS('сентябрь 2025'!$G$2:$G$2497,'сентябрь 2025'!$D$2:$D$2497,$B74,'сентябрь 2025'!$J$2:$J$2497,F$1)</f>
        <v>0</v>
      </c>
      <c r="G74" s="183">
        <f>SUMIFS('сентябрь 2025'!$G$2:$G$2497,'сентябрь 2025'!$D$2:$D$2497,$B74,'сентябрь 2025'!$J$2:$J$2497,G$1)</f>
        <v>0</v>
      </c>
      <c r="H74" s="183">
        <f>SUMIFS('сентябрь 2025'!$G$2:$G$2497,'сентябрь 2025'!$D$2:$D$2497,$B74,'сентябрь 2025'!$J$2:$J$2497,H$1)</f>
        <v>0</v>
      </c>
      <c r="I74" s="183">
        <f>SUMIFS('сентябрь 2025'!$G$2:$G$2497,'сентябрь 2025'!$D$2:$D$2497,$B74,'сентябрь 2025'!$J$2:$J$2497,I$1)</f>
        <v>0</v>
      </c>
      <c r="J74" s="183">
        <f>SUMIFS('сентябрь 2025'!$G$2:$G$2497,'сентябрь 2025'!$D$2:$D$2497,$B74,'сентябрь 2025'!$J$2:$J$2497,J$1)</f>
        <v>0</v>
      </c>
      <c r="K74" s="183">
        <f>SUMIFS('сентябрь 2025'!$G$2:$G$2497,'сентябрь 2025'!$D$2:$D$2497,$B74,'сентябрь 2025'!$J$2:$J$2497,K$1)</f>
        <v>0</v>
      </c>
      <c r="L74" s="183">
        <f>SUMIFS('сентябрь 2025'!$G$2:$G$2497,'сентябрь 2025'!$D$2:$D$2497,$B74,'сентябрь 2025'!$J$2:$J$2497,L$1)</f>
        <v>0</v>
      </c>
      <c r="M74" s="183">
        <f>SUMIFS('сентябрь 2025'!$G$2:$G$2497,'сентябрь 2025'!$D$2:$D$2497,$B74,'сентябрь 2025'!$J$2:$J$2497,M$1)</f>
        <v>0</v>
      </c>
      <c r="N74" s="183">
        <f>SUMIFS('сентябрь 2025'!$G$2:$G$2497,'сентябрь 2025'!$D$2:$D$2497,$B74,'сентябрь 2025'!$J$2:$J$2497,N$1)</f>
        <v>0</v>
      </c>
      <c r="O74" s="183">
        <f>SUMIFS('сентябрь 2025'!$G$2:$G$2497,'сентябрь 2025'!$D$2:$D$2497,$B74,'сентябрь 2025'!$J$2:$J$2497,O$1)</f>
        <v>0</v>
      </c>
      <c r="P74" s="183">
        <f>SUMIFS('сентябрь 2025'!$G$2:$G$2497,'сентябрь 2025'!$D$2:$D$2497,$B74,'сентябрь 2025'!$J$2:$J$2497,P$1)</f>
        <v>0</v>
      </c>
      <c r="Q74" s="183">
        <f>SUMIFS('сентябрь 2025'!$G$2:$G$2497,'сентябрь 2025'!$D$2:$D$2497,$B74,'сентябрь 2025'!$J$2:$J$2497,Q$1)</f>
        <v>0</v>
      </c>
      <c r="R74" s="183">
        <f>SUMIFS('сентябрь 2025'!$G$2:$G$2497,'сентябрь 2025'!$D$2:$D$2497,$B74,'сентябрь 2025'!$J$2:$J$2497,R$1)</f>
        <v>0</v>
      </c>
      <c r="S74" s="183">
        <f>SUMIFS('сентябрь 2025'!$G$2:$G$2497,'сентябрь 2025'!$D$2:$D$2497,$B74,'сентябрь 2025'!$J$2:$J$2497,S$1)</f>
        <v>0</v>
      </c>
      <c r="T74" s="183">
        <f>SUMIFS('сентябрь 2025'!$G$2:$G$2497,'сентябрь 2025'!$D$2:$D$2497,$B74,'сентябрь 2025'!$J$2:$J$2497,T$1)</f>
        <v>0</v>
      </c>
      <c r="U74" s="183">
        <f>SUMIFS('сентябрь 2025'!$G$2:$G$2497,'сентябрь 2025'!$D$2:$D$2497,$B74,'сентябрь 2025'!$J$2:$J$2497,U$1)</f>
        <v>0</v>
      </c>
      <c r="V74" s="183">
        <f>SUMIFS('сентябрь 2025'!$G$2:$G$2497,'сентябрь 2025'!$D$2:$D$2497,$B74,'сентябрь 2025'!$J$2:$J$2497,V$1)</f>
        <v>0</v>
      </c>
      <c r="W74" s="183">
        <f>SUMIFS('сентябрь 2025'!$G$2:$G$2497,'сентябрь 2025'!$D$2:$D$2497,$B74,'сентябрь 2025'!$J$2:$J$2497,W$1)</f>
        <v>0</v>
      </c>
      <c r="X74" s="183">
        <f>SUMIFS('сентябрь 2025'!$G$2:$G$2497,'сентябрь 2025'!$D$2:$D$2497,$B74,'сентябрь 2025'!$J$2:$J$2497,X$1)</f>
        <v>0</v>
      </c>
      <c r="Y74" s="183">
        <f>SUMIFS('сентябрь 2025'!$G$2:$G$2497,'сентябрь 2025'!$D$2:$D$2497,$B74,'сентябрь 2025'!$J$2:$J$2497,Y$1)</f>
        <v>0</v>
      </c>
      <c r="Z74" s="183">
        <f>SUMIFS('сентябрь 2025'!$G$2:$G$2497,'сентябрь 2025'!$D$2:$D$2497,$B74,'сентябрь 2025'!$J$2:$J$2497,Z$1)</f>
        <v>0</v>
      </c>
      <c r="AA74" s="183">
        <f>SUMIFS('сентябрь 2025'!$G$2:$G$2497,'сентябрь 2025'!$D$2:$D$2497,$B74,'сентябрь 2025'!$J$2:$J$2497,AA$1)</f>
        <v>0</v>
      </c>
      <c r="AB74" s="183">
        <f>SUMIFS('сентябрь 2025'!$G$2:$G$2497,'сентябрь 2025'!$D$2:$D$2497,$B74,'сентябрь 2025'!$J$2:$J$2497,AB$1)</f>
        <v>0</v>
      </c>
      <c r="AC74" s="183">
        <f>SUMIFS('сентябрь 2025'!$G$2:$G$2497,'сентябрь 2025'!$D$2:$D$2497,$B74,'сентябрь 2025'!$J$2:$J$2497,AC$1)</f>
        <v>0</v>
      </c>
      <c r="AD74" s="183">
        <f>SUMIFS('сентябрь 2025'!$G$2:$G$2497,'сентябрь 2025'!$D$2:$D$2497,$B74,'сентябрь 2025'!$J$2:$J$2497,AD$1)</f>
        <v>0</v>
      </c>
      <c r="AE74" s="183">
        <f>SUMIFS('сентябрь 2025'!$G$2:$G$2497,'сентябрь 2025'!$D$2:$D$2497,$B74,'сентябрь 2025'!$J$2:$J$2497,AE$1)</f>
        <v>0</v>
      </c>
      <c r="AF74" s="183">
        <f>SUMIFS('сентябрь 2025'!$G$2:$G$2497,'сентябрь 2025'!$D$2:$D$2497,$B74,'сентябрь 2025'!$J$2:$J$2497,AF$1)</f>
        <v>0</v>
      </c>
      <c r="AG74" s="183">
        <f>SUMIFS('сентябрь 2025'!$G$2:$G$2497,'сентябрь 2025'!$D$2:$D$2497,$B74,'сентябрь 2025'!$J$2:$J$2497,AG$1)</f>
        <v>0</v>
      </c>
      <c r="AH74" s="183">
        <f>SUMIFS('сентябрь 2025'!$G$2:$G$2497,'сентябрь 2025'!$D$2:$D$2497,$B74,'сентябрь 2025'!$J$2:$J$2497,AH$1)</f>
        <v>0</v>
      </c>
      <c r="AI74" s="20">
        <f t="shared" si="1"/>
        <v>0</v>
      </c>
    </row>
    <row r="75" spans="2:35" ht="15.75" x14ac:dyDescent="0.25">
      <c r="B75" s="88" t="s">
        <v>994</v>
      </c>
      <c r="C75" s="86">
        <v>190</v>
      </c>
      <c r="D75" s="183">
        <f>SUMIFS('сентябрь 2025'!$G$2:$G$2497,'сентябрь 2025'!$D$2:$D$2497,$B75,'сентябрь 2025'!$J$2:$J$2497,D$1)</f>
        <v>0</v>
      </c>
      <c r="E75" s="183">
        <f>SUMIFS('сентябрь 2025'!$G$2:$G$2497,'сентябрь 2025'!$D$2:$D$2497,$B75,'сентябрь 2025'!$J$2:$J$2497,E$1)</f>
        <v>0</v>
      </c>
      <c r="F75" s="183">
        <f>SUMIFS('сентябрь 2025'!$G$2:$G$2497,'сентябрь 2025'!$D$2:$D$2497,$B75,'сентябрь 2025'!$J$2:$J$2497,F$1)</f>
        <v>0</v>
      </c>
      <c r="G75" s="183">
        <f>SUMIFS('сентябрь 2025'!$G$2:$G$2497,'сентябрь 2025'!$D$2:$D$2497,$B75,'сентябрь 2025'!$J$2:$J$2497,G$1)</f>
        <v>0</v>
      </c>
      <c r="H75" s="183">
        <f>SUMIFS('сентябрь 2025'!$G$2:$G$2497,'сентябрь 2025'!$D$2:$D$2497,$B75,'сентябрь 2025'!$J$2:$J$2497,H$1)</f>
        <v>0</v>
      </c>
      <c r="I75" s="183">
        <f>SUMIFS('сентябрь 2025'!$G$2:$G$2497,'сентябрь 2025'!$D$2:$D$2497,$B75,'сентябрь 2025'!$J$2:$J$2497,I$1)</f>
        <v>0</v>
      </c>
      <c r="J75" s="183">
        <f>SUMIFS('сентябрь 2025'!$G$2:$G$2497,'сентябрь 2025'!$D$2:$D$2497,$B75,'сентябрь 2025'!$J$2:$J$2497,J$1)</f>
        <v>0</v>
      </c>
      <c r="K75" s="183">
        <f>SUMIFS('сентябрь 2025'!$G$2:$G$2497,'сентябрь 2025'!$D$2:$D$2497,$B75,'сентябрь 2025'!$J$2:$J$2497,K$1)</f>
        <v>0</v>
      </c>
      <c r="L75" s="183">
        <f>SUMIFS('сентябрь 2025'!$G$2:$G$2497,'сентябрь 2025'!$D$2:$D$2497,$B75,'сентябрь 2025'!$J$2:$J$2497,L$1)</f>
        <v>0</v>
      </c>
      <c r="M75" s="183">
        <f>SUMIFS('сентябрь 2025'!$G$2:$G$2497,'сентябрь 2025'!$D$2:$D$2497,$B75,'сентябрь 2025'!$J$2:$J$2497,M$1)</f>
        <v>0</v>
      </c>
      <c r="N75" s="183">
        <f>SUMIFS('сентябрь 2025'!$G$2:$G$2497,'сентябрь 2025'!$D$2:$D$2497,$B75,'сентябрь 2025'!$J$2:$J$2497,N$1)</f>
        <v>0</v>
      </c>
      <c r="O75" s="183">
        <f>SUMIFS('сентябрь 2025'!$G$2:$G$2497,'сентябрь 2025'!$D$2:$D$2497,$B75,'сентябрь 2025'!$J$2:$J$2497,O$1)</f>
        <v>0</v>
      </c>
      <c r="P75" s="183">
        <f>SUMIFS('сентябрь 2025'!$G$2:$G$2497,'сентябрь 2025'!$D$2:$D$2497,$B75,'сентябрь 2025'!$J$2:$J$2497,P$1)</f>
        <v>0</v>
      </c>
      <c r="Q75" s="183">
        <f>SUMIFS('сентябрь 2025'!$G$2:$G$2497,'сентябрь 2025'!$D$2:$D$2497,$B75,'сентябрь 2025'!$J$2:$J$2497,Q$1)</f>
        <v>0</v>
      </c>
      <c r="R75" s="183">
        <f>SUMIFS('сентябрь 2025'!$G$2:$G$2497,'сентябрь 2025'!$D$2:$D$2497,$B75,'сентябрь 2025'!$J$2:$J$2497,R$1)</f>
        <v>0</v>
      </c>
      <c r="S75" s="183">
        <f>SUMIFS('сентябрь 2025'!$G$2:$G$2497,'сентябрь 2025'!$D$2:$D$2497,$B75,'сентябрь 2025'!$J$2:$J$2497,S$1)</f>
        <v>0</v>
      </c>
      <c r="T75" s="183">
        <f>SUMIFS('сентябрь 2025'!$G$2:$G$2497,'сентябрь 2025'!$D$2:$D$2497,$B75,'сентябрь 2025'!$J$2:$J$2497,T$1)</f>
        <v>0</v>
      </c>
      <c r="U75" s="183">
        <f>SUMIFS('сентябрь 2025'!$G$2:$G$2497,'сентябрь 2025'!$D$2:$D$2497,$B75,'сентябрь 2025'!$J$2:$J$2497,U$1)</f>
        <v>0</v>
      </c>
      <c r="V75" s="183">
        <f>SUMIFS('сентябрь 2025'!$G$2:$G$2497,'сентябрь 2025'!$D$2:$D$2497,$B75,'сентябрь 2025'!$J$2:$J$2497,V$1)</f>
        <v>0</v>
      </c>
      <c r="W75" s="183">
        <f>SUMIFS('сентябрь 2025'!$G$2:$G$2497,'сентябрь 2025'!$D$2:$D$2497,$B75,'сентябрь 2025'!$J$2:$J$2497,W$1)</f>
        <v>0</v>
      </c>
      <c r="X75" s="183">
        <f>SUMIFS('сентябрь 2025'!$G$2:$G$2497,'сентябрь 2025'!$D$2:$D$2497,$B75,'сентябрь 2025'!$J$2:$J$2497,X$1)</f>
        <v>0</v>
      </c>
      <c r="Y75" s="183">
        <f>SUMIFS('сентябрь 2025'!$G$2:$G$2497,'сентябрь 2025'!$D$2:$D$2497,$B75,'сентябрь 2025'!$J$2:$J$2497,Y$1)</f>
        <v>0</v>
      </c>
      <c r="Z75" s="183">
        <f>SUMIFS('сентябрь 2025'!$G$2:$G$2497,'сентябрь 2025'!$D$2:$D$2497,$B75,'сентябрь 2025'!$J$2:$J$2497,Z$1)</f>
        <v>0</v>
      </c>
      <c r="AA75" s="183">
        <f>SUMIFS('сентябрь 2025'!$G$2:$G$2497,'сентябрь 2025'!$D$2:$D$2497,$B75,'сентябрь 2025'!$J$2:$J$2497,AA$1)</f>
        <v>0</v>
      </c>
      <c r="AB75" s="183">
        <f>SUMIFS('сентябрь 2025'!$G$2:$G$2497,'сентябрь 2025'!$D$2:$D$2497,$B75,'сентябрь 2025'!$J$2:$J$2497,AB$1)</f>
        <v>0</v>
      </c>
      <c r="AC75" s="183">
        <f>SUMIFS('сентябрь 2025'!$G$2:$G$2497,'сентябрь 2025'!$D$2:$D$2497,$B75,'сентябрь 2025'!$J$2:$J$2497,AC$1)</f>
        <v>0</v>
      </c>
      <c r="AD75" s="183">
        <f>SUMIFS('сентябрь 2025'!$G$2:$G$2497,'сентябрь 2025'!$D$2:$D$2497,$B75,'сентябрь 2025'!$J$2:$J$2497,AD$1)</f>
        <v>0</v>
      </c>
      <c r="AE75" s="183">
        <f>SUMIFS('сентябрь 2025'!$G$2:$G$2497,'сентябрь 2025'!$D$2:$D$2497,$B75,'сентябрь 2025'!$J$2:$J$2497,AE$1)</f>
        <v>0</v>
      </c>
      <c r="AF75" s="183">
        <f>SUMIFS('сентябрь 2025'!$G$2:$G$2497,'сентябрь 2025'!$D$2:$D$2497,$B75,'сентябрь 2025'!$J$2:$J$2497,AF$1)</f>
        <v>0</v>
      </c>
      <c r="AG75" s="183">
        <f>SUMIFS('сентябрь 2025'!$G$2:$G$2497,'сентябрь 2025'!$D$2:$D$2497,$B75,'сентябрь 2025'!$J$2:$J$2497,AG$1)</f>
        <v>0</v>
      </c>
      <c r="AH75" s="183">
        <f>SUMIFS('сентябрь 2025'!$G$2:$G$2497,'сентябрь 2025'!$D$2:$D$2497,$B75,'сентябрь 2025'!$J$2:$J$2497,AH$1)</f>
        <v>0</v>
      </c>
      <c r="AI75" s="20">
        <f t="shared" si="1"/>
        <v>0</v>
      </c>
    </row>
    <row r="76" spans="2:35" ht="15" customHeight="1" x14ac:dyDescent="0.25">
      <c r="B76" s="88" t="s">
        <v>202</v>
      </c>
      <c r="C76" s="86">
        <v>200</v>
      </c>
      <c r="D76" s="183">
        <f>SUMIFS('сентябрь 2025'!$G$2:$G$2497,'сентябрь 2025'!$D$2:$D$2497,$B76,'сентябрь 2025'!$J$2:$J$2497,D$1)</f>
        <v>0</v>
      </c>
      <c r="E76" s="183">
        <f>SUMIFS('сентябрь 2025'!$G$2:$G$2497,'сентябрь 2025'!$D$2:$D$2497,$B76,'сентябрь 2025'!$J$2:$J$2497,E$1)</f>
        <v>0</v>
      </c>
      <c r="F76" s="183">
        <f>SUMIFS('сентябрь 2025'!$G$2:$G$2497,'сентябрь 2025'!$D$2:$D$2497,$B76,'сентябрь 2025'!$J$2:$J$2497,F$1)</f>
        <v>0</v>
      </c>
      <c r="G76" s="183">
        <f>SUMIFS('сентябрь 2025'!$G$2:$G$2497,'сентябрь 2025'!$D$2:$D$2497,$B76,'сентябрь 2025'!$J$2:$J$2497,G$1)</f>
        <v>0</v>
      </c>
      <c r="H76" s="183">
        <f>SUMIFS('сентябрь 2025'!$G$2:$G$2497,'сентябрь 2025'!$D$2:$D$2497,$B76,'сентябрь 2025'!$J$2:$J$2497,H$1)</f>
        <v>0</v>
      </c>
      <c r="I76" s="183">
        <f>SUMIFS('сентябрь 2025'!$G$2:$G$2497,'сентябрь 2025'!$D$2:$D$2497,$B76,'сентябрь 2025'!$J$2:$J$2497,I$1)</f>
        <v>0</v>
      </c>
      <c r="J76" s="183">
        <f>SUMIFS('сентябрь 2025'!$G$2:$G$2497,'сентябрь 2025'!$D$2:$D$2497,$B76,'сентябрь 2025'!$J$2:$J$2497,J$1)</f>
        <v>0</v>
      </c>
      <c r="K76" s="183">
        <f>SUMIFS('сентябрь 2025'!$G$2:$G$2497,'сентябрь 2025'!$D$2:$D$2497,$B76,'сентябрь 2025'!$J$2:$J$2497,K$1)</f>
        <v>0</v>
      </c>
      <c r="L76" s="183">
        <f>SUMIFS('сентябрь 2025'!$G$2:$G$2497,'сентябрь 2025'!$D$2:$D$2497,$B76,'сентябрь 2025'!$J$2:$J$2497,L$1)</f>
        <v>0</v>
      </c>
      <c r="M76" s="183">
        <f>SUMIFS('сентябрь 2025'!$G$2:$G$2497,'сентябрь 2025'!$D$2:$D$2497,$B76,'сентябрь 2025'!$J$2:$J$2497,M$1)</f>
        <v>0</v>
      </c>
      <c r="N76" s="183">
        <f>SUMIFS('сентябрь 2025'!$G$2:$G$2497,'сентябрь 2025'!$D$2:$D$2497,$B76,'сентябрь 2025'!$J$2:$J$2497,N$1)</f>
        <v>0</v>
      </c>
      <c r="O76" s="183">
        <f>SUMIFS('сентябрь 2025'!$G$2:$G$2497,'сентябрь 2025'!$D$2:$D$2497,$B76,'сентябрь 2025'!$J$2:$J$2497,O$1)</f>
        <v>0</v>
      </c>
      <c r="P76" s="183">
        <f>SUMIFS('сентябрь 2025'!$G$2:$G$2497,'сентябрь 2025'!$D$2:$D$2497,$B76,'сентябрь 2025'!$J$2:$J$2497,P$1)</f>
        <v>0</v>
      </c>
      <c r="Q76" s="183">
        <f>SUMIFS('сентябрь 2025'!$G$2:$G$2497,'сентябрь 2025'!$D$2:$D$2497,$B76,'сентябрь 2025'!$J$2:$J$2497,Q$1)</f>
        <v>0</v>
      </c>
      <c r="R76" s="183">
        <f>SUMIFS('сентябрь 2025'!$G$2:$G$2497,'сентябрь 2025'!$D$2:$D$2497,$B76,'сентябрь 2025'!$J$2:$J$2497,R$1)</f>
        <v>0</v>
      </c>
      <c r="S76" s="183">
        <f>SUMIFS('сентябрь 2025'!$G$2:$G$2497,'сентябрь 2025'!$D$2:$D$2497,$B76,'сентябрь 2025'!$J$2:$J$2497,S$1)</f>
        <v>0</v>
      </c>
      <c r="T76" s="183">
        <f>SUMIFS('сентябрь 2025'!$G$2:$G$2497,'сентябрь 2025'!$D$2:$D$2497,$B76,'сентябрь 2025'!$J$2:$J$2497,T$1)</f>
        <v>0</v>
      </c>
      <c r="U76" s="183">
        <f>SUMIFS('сентябрь 2025'!$G$2:$G$2497,'сентябрь 2025'!$D$2:$D$2497,$B76,'сентябрь 2025'!$J$2:$J$2497,U$1)</f>
        <v>0</v>
      </c>
      <c r="V76" s="183">
        <f>SUMIFS('сентябрь 2025'!$G$2:$G$2497,'сентябрь 2025'!$D$2:$D$2497,$B76,'сентябрь 2025'!$J$2:$J$2497,V$1)</f>
        <v>0</v>
      </c>
      <c r="W76" s="183">
        <f>SUMIFS('сентябрь 2025'!$G$2:$G$2497,'сентябрь 2025'!$D$2:$D$2497,$B76,'сентябрь 2025'!$J$2:$J$2497,W$1)</f>
        <v>0</v>
      </c>
      <c r="X76" s="183">
        <f>SUMIFS('сентябрь 2025'!$G$2:$G$2497,'сентябрь 2025'!$D$2:$D$2497,$B76,'сентябрь 2025'!$J$2:$J$2497,X$1)</f>
        <v>0</v>
      </c>
      <c r="Y76" s="183">
        <f>SUMIFS('сентябрь 2025'!$G$2:$G$2497,'сентябрь 2025'!$D$2:$D$2497,$B76,'сентябрь 2025'!$J$2:$J$2497,Y$1)</f>
        <v>0</v>
      </c>
      <c r="Z76" s="183">
        <f>SUMIFS('сентябрь 2025'!$G$2:$G$2497,'сентябрь 2025'!$D$2:$D$2497,$B76,'сентябрь 2025'!$J$2:$J$2497,Z$1)</f>
        <v>0</v>
      </c>
      <c r="AA76" s="183">
        <f>SUMIFS('сентябрь 2025'!$G$2:$G$2497,'сентябрь 2025'!$D$2:$D$2497,$B76,'сентябрь 2025'!$J$2:$J$2497,AA$1)</f>
        <v>0</v>
      </c>
      <c r="AB76" s="183">
        <f>SUMIFS('сентябрь 2025'!$G$2:$G$2497,'сентябрь 2025'!$D$2:$D$2497,$B76,'сентябрь 2025'!$J$2:$J$2497,AB$1)</f>
        <v>0</v>
      </c>
      <c r="AC76" s="183">
        <f>SUMIFS('сентябрь 2025'!$G$2:$G$2497,'сентябрь 2025'!$D$2:$D$2497,$B76,'сентябрь 2025'!$J$2:$J$2497,AC$1)</f>
        <v>0</v>
      </c>
      <c r="AD76" s="183">
        <f>SUMIFS('сентябрь 2025'!$G$2:$G$2497,'сентябрь 2025'!$D$2:$D$2497,$B76,'сентябрь 2025'!$J$2:$J$2497,AD$1)</f>
        <v>0</v>
      </c>
      <c r="AE76" s="183">
        <f>SUMIFS('сентябрь 2025'!$G$2:$G$2497,'сентябрь 2025'!$D$2:$D$2497,$B76,'сентябрь 2025'!$J$2:$J$2497,AE$1)</f>
        <v>0</v>
      </c>
      <c r="AF76" s="183">
        <f>SUMIFS('сентябрь 2025'!$G$2:$G$2497,'сентябрь 2025'!$D$2:$D$2497,$B76,'сентябрь 2025'!$J$2:$J$2497,AF$1)</f>
        <v>0</v>
      </c>
      <c r="AG76" s="183">
        <f>SUMIFS('сентябрь 2025'!$G$2:$G$2497,'сентябрь 2025'!$D$2:$D$2497,$B76,'сентябрь 2025'!$J$2:$J$2497,AG$1)</f>
        <v>0</v>
      </c>
      <c r="AH76" s="183">
        <f>SUMIFS('сентябрь 2025'!$G$2:$G$2497,'сентябрь 2025'!$D$2:$D$2497,$B76,'сентябрь 2025'!$J$2:$J$2497,AH$1)</f>
        <v>0</v>
      </c>
      <c r="AI76" s="20">
        <f t="shared" si="1"/>
        <v>0</v>
      </c>
    </row>
    <row r="77" spans="2:35" ht="15" customHeight="1" x14ac:dyDescent="0.25">
      <c r="B77" s="88" t="s">
        <v>187</v>
      </c>
      <c r="C77" s="86">
        <v>200</v>
      </c>
      <c r="D77" s="183">
        <f>SUMIFS('сентябрь 2025'!$G$2:$G$2497,'сентябрь 2025'!$D$2:$D$2497,$B77,'сентябрь 2025'!$J$2:$J$2497,D$1)</f>
        <v>0</v>
      </c>
      <c r="E77" s="183">
        <f>SUMIFS('сентябрь 2025'!$G$2:$G$2497,'сентябрь 2025'!$D$2:$D$2497,$B77,'сентябрь 2025'!$J$2:$J$2497,E$1)</f>
        <v>0</v>
      </c>
      <c r="F77" s="183">
        <f>SUMIFS('сентябрь 2025'!$G$2:$G$2497,'сентябрь 2025'!$D$2:$D$2497,$B77,'сентябрь 2025'!$J$2:$J$2497,F$1)</f>
        <v>0</v>
      </c>
      <c r="G77" s="183">
        <f>SUMIFS('сентябрь 2025'!$G$2:$G$2497,'сентябрь 2025'!$D$2:$D$2497,$B77,'сентябрь 2025'!$J$2:$J$2497,G$1)</f>
        <v>0</v>
      </c>
      <c r="H77" s="183">
        <f>SUMIFS('сентябрь 2025'!$G$2:$G$2497,'сентябрь 2025'!$D$2:$D$2497,$B77,'сентябрь 2025'!$J$2:$J$2497,H$1)</f>
        <v>0</v>
      </c>
      <c r="I77" s="183">
        <f>SUMIFS('сентябрь 2025'!$G$2:$G$2497,'сентябрь 2025'!$D$2:$D$2497,$B77,'сентябрь 2025'!$J$2:$J$2497,I$1)</f>
        <v>0</v>
      </c>
      <c r="J77" s="183">
        <f>SUMIFS('сентябрь 2025'!$G$2:$G$2497,'сентябрь 2025'!$D$2:$D$2497,$B77,'сентябрь 2025'!$J$2:$J$2497,J$1)</f>
        <v>0</v>
      </c>
      <c r="K77" s="183">
        <f>SUMIFS('сентябрь 2025'!$G$2:$G$2497,'сентябрь 2025'!$D$2:$D$2497,$B77,'сентябрь 2025'!$J$2:$J$2497,K$1)</f>
        <v>0</v>
      </c>
      <c r="L77" s="183">
        <f>SUMIFS('сентябрь 2025'!$G$2:$G$2497,'сентябрь 2025'!$D$2:$D$2497,$B77,'сентябрь 2025'!$J$2:$J$2497,L$1)</f>
        <v>0</v>
      </c>
      <c r="M77" s="183">
        <f>SUMIFS('сентябрь 2025'!$G$2:$G$2497,'сентябрь 2025'!$D$2:$D$2497,$B77,'сентябрь 2025'!$J$2:$J$2497,M$1)</f>
        <v>0</v>
      </c>
      <c r="N77" s="183">
        <f>SUMIFS('сентябрь 2025'!$G$2:$G$2497,'сентябрь 2025'!$D$2:$D$2497,$B77,'сентябрь 2025'!$J$2:$J$2497,N$1)</f>
        <v>0</v>
      </c>
      <c r="O77" s="183">
        <f>SUMIFS('сентябрь 2025'!$G$2:$G$2497,'сентябрь 2025'!$D$2:$D$2497,$B77,'сентябрь 2025'!$J$2:$J$2497,O$1)</f>
        <v>0</v>
      </c>
      <c r="P77" s="183">
        <f>SUMIFS('сентябрь 2025'!$G$2:$G$2497,'сентябрь 2025'!$D$2:$D$2497,$B77,'сентябрь 2025'!$J$2:$J$2497,P$1)</f>
        <v>0</v>
      </c>
      <c r="Q77" s="183">
        <f>SUMIFS('сентябрь 2025'!$G$2:$G$2497,'сентябрь 2025'!$D$2:$D$2497,$B77,'сентябрь 2025'!$J$2:$J$2497,Q$1)</f>
        <v>0</v>
      </c>
      <c r="R77" s="183">
        <f>SUMIFS('сентябрь 2025'!$G$2:$G$2497,'сентябрь 2025'!$D$2:$D$2497,$B77,'сентябрь 2025'!$J$2:$J$2497,R$1)</f>
        <v>0</v>
      </c>
      <c r="S77" s="183">
        <f>SUMIFS('сентябрь 2025'!$G$2:$G$2497,'сентябрь 2025'!$D$2:$D$2497,$B77,'сентябрь 2025'!$J$2:$J$2497,S$1)</f>
        <v>0</v>
      </c>
      <c r="T77" s="183">
        <f>SUMIFS('сентябрь 2025'!$G$2:$G$2497,'сентябрь 2025'!$D$2:$D$2497,$B77,'сентябрь 2025'!$J$2:$J$2497,T$1)</f>
        <v>0</v>
      </c>
      <c r="U77" s="183">
        <f>SUMIFS('сентябрь 2025'!$G$2:$G$2497,'сентябрь 2025'!$D$2:$D$2497,$B77,'сентябрь 2025'!$J$2:$J$2497,U$1)</f>
        <v>0</v>
      </c>
      <c r="V77" s="183">
        <f>SUMIFS('сентябрь 2025'!$G$2:$G$2497,'сентябрь 2025'!$D$2:$D$2497,$B77,'сентябрь 2025'!$J$2:$J$2497,V$1)</f>
        <v>0</v>
      </c>
      <c r="W77" s="183">
        <f>SUMIFS('сентябрь 2025'!$G$2:$G$2497,'сентябрь 2025'!$D$2:$D$2497,$B77,'сентябрь 2025'!$J$2:$J$2497,W$1)</f>
        <v>0</v>
      </c>
      <c r="X77" s="183">
        <f>SUMIFS('сентябрь 2025'!$G$2:$G$2497,'сентябрь 2025'!$D$2:$D$2497,$B77,'сентябрь 2025'!$J$2:$J$2497,X$1)</f>
        <v>0</v>
      </c>
      <c r="Y77" s="183">
        <f>SUMIFS('сентябрь 2025'!$G$2:$G$2497,'сентябрь 2025'!$D$2:$D$2497,$B77,'сентябрь 2025'!$J$2:$J$2497,Y$1)</f>
        <v>0</v>
      </c>
      <c r="Z77" s="183">
        <f>SUMIFS('сентябрь 2025'!$G$2:$G$2497,'сентябрь 2025'!$D$2:$D$2497,$B77,'сентябрь 2025'!$J$2:$J$2497,Z$1)</f>
        <v>0</v>
      </c>
      <c r="AA77" s="183">
        <f>SUMIFS('сентябрь 2025'!$G$2:$G$2497,'сентябрь 2025'!$D$2:$D$2497,$B77,'сентябрь 2025'!$J$2:$J$2497,AA$1)</f>
        <v>0</v>
      </c>
      <c r="AB77" s="183">
        <f>SUMIFS('сентябрь 2025'!$G$2:$G$2497,'сентябрь 2025'!$D$2:$D$2497,$B77,'сентябрь 2025'!$J$2:$J$2497,AB$1)</f>
        <v>0</v>
      </c>
      <c r="AC77" s="183">
        <f>SUMIFS('сентябрь 2025'!$G$2:$G$2497,'сентябрь 2025'!$D$2:$D$2497,$B77,'сентябрь 2025'!$J$2:$J$2497,AC$1)</f>
        <v>0</v>
      </c>
      <c r="AD77" s="183">
        <f>SUMIFS('сентябрь 2025'!$G$2:$G$2497,'сентябрь 2025'!$D$2:$D$2497,$B77,'сентябрь 2025'!$J$2:$J$2497,AD$1)</f>
        <v>0</v>
      </c>
      <c r="AE77" s="183">
        <f>SUMIFS('сентябрь 2025'!$G$2:$G$2497,'сентябрь 2025'!$D$2:$D$2497,$B77,'сентябрь 2025'!$J$2:$J$2497,AE$1)</f>
        <v>0</v>
      </c>
      <c r="AF77" s="183">
        <f>SUMIFS('сентябрь 2025'!$G$2:$G$2497,'сентябрь 2025'!$D$2:$D$2497,$B77,'сентябрь 2025'!$J$2:$J$2497,AF$1)</f>
        <v>0</v>
      </c>
      <c r="AG77" s="183">
        <f>SUMIFS('сентябрь 2025'!$G$2:$G$2497,'сентябрь 2025'!$D$2:$D$2497,$B77,'сентябрь 2025'!$J$2:$J$2497,AG$1)</f>
        <v>0</v>
      </c>
      <c r="AH77" s="183">
        <f>SUMIFS('сентябрь 2025'!$G$2:$G$2497,'сентябрь 2025'!$D$2:$D$2497,$B77,'сентябрь 2025'!$J$2:$J$2497,AH$1)</f>
        <v>0</v>
      </c>
      <c r="AI77" s="20">
        <f t="shared" si="1"/>
        <v>0</v>
      </c>
    </row>
    <row r="78" spans="2:35" ht="15" customHeight="1" x14ac:dyDescent="0.25">
      <c r="B78" s="88" t="s">
        <v>188</v>
      </c>
      <c r="C78" s="86">
        <v>200</v>
      </c>
      <c r="D78" s="183">
        <f>SUMIFS('сентябрь 2025'!$G$2:$G$2497,'сентябрь 2025'!$D$2:$D$2497,$B78,'сентябрь 2025'!$J$2:$J$2497,D$1)</f>
        <v>0</v>
      </c>
      <c r="E78" s="183">
        <f>SUMIFS('сентябрь 2025'!$G$2:$G$2497,'сентябрь 2025'!$D$2:$D$2497,$B78,'сентябрь 2025'!$J$2:$J$2497,E$1)</f>
        <v>0</v>
      </c>
      <c r="F78" s="183">
        <f>SUMIFS('сентябрь 2025'!$G$2:$G$2497,'сентябрь 2025'!$D$2:$D$2497,$B78,'сентябрь 2025'!$J$2:$J$2497,F$1)</f>
        <v>0</v>
      </c>
      <c r="G78" s="183">
        <f>SUMIFS('сентябрь 2025'!$G$2:$G$2497,'сентябрь 2025'!$D$2:$D$2497,$B78,'сентябрь 2025'!$J$2:$J$2497,G$1)</f>
        <v>0</v>
      </c>
      <c r="H78" s="183">
        <f>SUMIFS('сентябрь 2025'!$G$2:$G$2497,'сентябрь 2025'!$D$2:$D$2497,$B78,'сентябрь 2025'!$J$2:$J$2497,H$1)</f>
        <v>0</v>
      </c>
      <c r="I78" s="183">
        <f>SUMIFS('сентябрь 2025'!$G$2:$G$2497,'сентябрь 2025'!$D$2:$D$2497,$B78,'сентябрь 2025'!$J$2:$J$2497,I$1)</f>
        <v>0</v>
      </c>
      <c r="J78" s="183">
        <f>SUMIFS('сентябрь 2025'!$G$2:$G$2497,'сентябрь 2025'!$D$2:$D$2497,$B78,'сентябрь 2025'!$J$2:$J$2497,J$1)</f>
        <v>0</v>
      </c>
      <c r="K78" s="183">
        <f>SUMIFS('сентябрь 2025'!$G$2:$G$2497,'сентябрь 2025'!$D$2:$D$2497,$B78,'сентябрь 2025'!$J$2:$J$2497,K$1)</f>
        <v>0</v>
      </c>
      <c r="L78" s="183">
        <f>SUMIFS('сентябрь 2025'!$G$2:$G$2497,'сентябрь 2025'!$D$2:$D$2497,$B78,'сентябрь 2025'!$J$2:$J$2497,L$1)</f>
        <v>0</v>
      </c>
      <c r="M78" s="183">
        <f>SUMIFS('сентябрь 2025'!$G$2:$G$2497,'сентябрь 2025'!$D$2:$D$2497,$B78,'сентябрь 2025'!$J$2:$J$2497,M$1)</f>
        <v>0</v>
      </c>
      <c r="N78" s="183">
        <f>SUMIFS('сентябрь 2025'!$G$2:$G$2497,'сентябрь 2025'!$D$2:$D$2497,$B78,'сентябрь 2025'!$J$2:$J$2497,N$1)</f>
        <v>0</v>
      </c>
      <c r="O78" s="183">
        <f>SUMIFS('сентябрь 2025'!$G$2:$G$2497,'сентябрь 2025'!$D$2:$D$2497,$B78,'сентябрь 2025'!$J$2:$J$2497,O$1)</f>
        <v>0</v>
      </c>
      <c r="P78" s="183">
        <f>SUMIFS('сентябрь 2025'!$G$2:$G$2497,'сентябрь 2025'!$D$2:$D$2497,$B78,'сентябрь 2025'!$J$2:$J$2497,P$1)</f>
        <v>0</v>
      </c>
      <c r="Q78" s="183">
        <f>SUMIFS('сентябрь 2025'!$G$2:$G$2497,'сентябрь 2025'!$D$2:$D$2497,$B78,'сентябрь 2025'!$J$2:$J$2497,Q$1)</f>
        <v>0</v>
      </c>
      <c r="R78" s="183">
        <f>SUMIFS('сентябрь 2025'!$G$2:$G$2497,'сентябрь 2025'!$D$2:$D$2497,$B78,'сентябрь 2025'!$J$2:$J$2497,R$1)</f>
        <v>0</v>
      </c>
      <c r="S78" s="183">
        <f>SUMIFS('сентябрь 2025'!$G$2:$G$2497,'сентябрь 2025'!$D$2:$D$2497,$B78,'сентябрь 2025'!$J$2:$J$2497,S$1)</f>
        <v>0</v>
      </c>
      <c r="T78" s="183">
        <f>SUMIFS('сентябрь 2025'!$G$2:$G$2497,'сентябрь 2025'!$D$2:$D$2497,$B78,'сентябрь 2025'!$J$2:$J$2497,T$1)</f>
        <v>0</v>
      </c>
      <c r="U78" s="183">
        <f>SUMIFS('сентябрь 2025'!$G$2:$G$2497,'сентябрь 2025'!$D$2:$D$2497,$B78,'сентябрь 2025'!$J$2:$J$2497,U$1)</f>
        <v>0</v>
      </c>
      <c r="V78" s="183">
        <f>SUMIFS('сентябрь 2025'!$G$2:$G$2497,'сентябрь 2025'!$D$2:$D$2497,$B78,'сентябрь 2025'!$J$2:$J$2497,V$1)</f>
        <v>0</v>
      </c>
      <c r="W78" s="183">
        <f>SUMIFS('сентябрь 2025'!$G$2:$G$2497,'сентябрь 2025'!$D$2:$D$2497,$B78,'сентябрь 2025'!$J$2:$J$2497,W$1)</f>
        <v>0</v>
      </c>
      <c r="X78" s="183">
        <f>SUMIFS('сентябрь 2025'!$G$2:$G$2497,'сентябрь 2025'!$D$2:$D$2497,$B78,'сентябрь 2025'!$J$2:$J$2497,X$1)</f>
        <v>0</v>
      </c>
      <c r="Y78" s="183">
        <f>SUMIFS('сентябрь 2025'!$G$2:$G$2497,'сентябрь 2025'!$D$2:$D$2497,$B78,'сентябрь 2025'!$J$2:$J$2497,Y$1)</f>
        <v>0</v>
      </c>
      <c r="Z78" s="183">
        <f>SUMIFS('сентябрь 2025'!$G$2:$G$2497,'сентябрь 2025'!$D$2:$D$2497,$B78,'сентябрь 2025'!$J$2:$J$2497,Z$1)</f>
        <v>0</v>
      </c>
      <c r="AA78" s="183">
        <f>SUMIFS('сентябрь 2025'!$G$2:$G$2497,'сентябрь 2025'!$D$2:$D$2497,$B78,'сентябрь 2025'!$J$2:$J$2497,AA$1)</f>
        <v>0</v>
      </c>
      <c r="AB78" s="183">
        <f>SUMIFS('сентябрь 2025'!$G$2:$G$2497,'сентябрь 2025'!$D$2:$D$2497,$B78,'сентябрь 2025'!$J$2:$J$2497,AB$1)</f>
        <v>0</v>
      </c>
      <c r="AC78" s="183">
        <f>SUMIFS('сентябрь 2025'!$G$2:$G$2497,'сентябрь 2025'!$D$2:$D$2497,$B78,'сентябрь 2025'!$J$2:$J$2497,AC$1)</f>
        <v>0</v>
      </c>
      <c r="AD78" s="183">
        <f>SUMIFS('сентябрь 2025'!$G$2:$G$2497,'сентябрь 2025'!$D$2:$D$2497,$B78,'сентябрь 2025'!$J$2:$J$2497,AD$1)</f>
        <v>0</v>
      </c>
      <c r="AE78" s="183">
        <f>SUMIFS('сентябрь 2025'!$G$2:$G$2497,'сентябрь 2025'!$D$2:$D$2497,$B78,'сентябрь 2025'!$J$2:$J$2497,AE$1)</f>
        <v>0</v>
      </c>
      <c r="AF78" s="183">
        <f>SUMIFS('сентябрь 2025'!$G$2:$G$2497,'сентябрь 2025'!$D$2:$D$2497,$B78,'сентябрь 2025'!$J$2:$J$2497,AF$1)</f>
        <v>0</v>
      </c>
      <c r="AG78" s="183">
        <f>SUMIFS('сентябрь 2025'!$G$2:$G$2497,'сентябрь 2025'!$D$2:$D$2497,$B78,'сентябрь 2025'!$J$2:$J$2497,AG$1)</f>
        <v>0</v>
      </c>
      <c r="AH78" s="183">
        <f>SUMIFS('сентябрь 2025'!$G$2:$G$2497,'сентябрь 2025'!$D$2:$D$2497,$B78,'сентябрь 2025'!$J$2:$J$2497,AH$1)</f>
        <v>0</v>
      </c>
      <c r="AI78" s="20">
        <f t="shared" si="1"/>
        <v>0</v>
      </c>
    </row>
    <row r="79" spans="2:35" ht="15" customHeight="1" x14ac:dyDescent="0.25">
      <c r="B79" s="88" t="s">
        <v>256</v>
      </c>
      <c r="C79" s="86">
        <v>190</v>
      </c>
      <c r="D79" s="183">
        <f>SUMIFS('сентябрь 2025'!$G$2:$G$2497,'сентябрь 2025'!$D$2:$D$2497,$B79,'сентябрь 2025'!$J$2:$J$2497,D$1)</f>
        <v>0</v>
      </c>
      <c r="E79" s="183">
        <f>SUMIFS('сентябрь 2025'!$G$2:$G$2497,'сентябрь 2025'!$D$2:$D$2497,$B79,'сентябрь 2025'!$J$2:$J$2497,E$1)</f>
        <v>0</v>
      </c>
      <c r="F79" s="183">
        <f>SUMIFS('сентябрь 2025'!$G$2:$G$2497,'сентябрь 2025'!$D$2:$D$2497,$B79,'сентябрь 2025'!$J$2:$J$2497,F$1)</f>
        <v>0</v>
      </c>
      <c r="G79" s="183">
        <f>SUMIFS('сентябрь 2025'!$G$2:$G$2497,'сентябрь 2025'!$D$2:$D$2497,$B79,'сентябрь 2025'!$J$2:$J$2497,G$1)</f>
        <v>0</v>
      </c>
      <c r="H79" s="183">
        <f>SUMIFS('сентябрь 2025'!$G$2:$G$2497,'сентябрь 2025'!$D$2:$D$2497,$B79,'сентябрь 2025'!$J$2:$J$2497,H$1)</f>
        <v>0</v>
      </c>
      <c r="I79" s="183">
        <f>SUMIFS('сентябрь 2025'!$G$2:$G$2497,'сентябрь 2025'!$D$2:$D$2497,$B79,'сентябрь 2025'!$J$2:$J$2497,I$1)</f>
        <v>0</v>
      </c>
      <c r="J79" s="183">
        <f>SUMIFS('сентябрь 2025'!$G$2:$G$2497,'сентябрь 2025'!$D$2:$D$2497,$B79,'сентябрь 2025'!$J$2:$J$2497,J$1)</f>
        <v>0</v>
      </c>
      <c r="K79" s="183">
        <f>SUMIFS('сентябрь 2025'!$G$2:$G$2497,'сентябрь 2025'!$D$2:$D$2497,$B79,'сентябрь 2025'!$J$2:$J$2497,K$1)</f>
        <v>0</v>
      </c>
      <c r="L79" s="183">
        <f>SUMIFS('сентябрь 2025'!$G$2:$G$2497,'сентябрь 2025'!$D$2:$D$2497,$B79,'сентябрь 2025'!$J$2:$J$2497,L$1)</f>
        <v>0</v>
      </c>
      <c r="M79" s="183">
        <f>SUMIFS('сентябрь 2025'!$G$2:$G$2497,'сентябрь 2025'!$D$2:$D$2497,$B79,'сентябрь 2025'!$J$2:$J$2497,M$1)</f>
        <v>0</v>
      </c>
      <c r="N79" s="183">
        <f>SUMIFS('сентябрь 2025'!$G$2:$G$2497,'сентябрь 2025'!$D$2:$D$2497,$B79,'сентябрь 2025'!$J$2:$J$2497,N$1)</f>
        <v>0</v>
      </c>
      <c r="O79" s="183">
        <f>SUMIFS('сентябрь 2025'!$G$2:$G$2497,'сентябрь 2025'!$D$2:$D$2497,$B79,'сентябрь 2025'!$J$2:$J$2497,O$1)</f>
        <v>0</v>
      </c>
      <c r="P79" s="183">
        <f>SUMIFS('сентябрь 2025'!$G$2:$G$2497,'сентябрь 2025'!$D$2:$D$2497,$B79,'сентябрь 2025'!$J$2:$J$2497,P$1)</f>
        <v>0</v>
      </c>
      <c r="Q79" s="183">
        <f>SUMIFS('сентябрь 2025'!$G$2:$G$2497,'сентябрь 2025'!$D$2:$D$2497,$B79,'сентябрь 2025'!$J$2:$J$2497,Q$1)</f>
        <v>0</v>
      </c>
      <c r="R79" s="183">
        <f>SUMIFS('сентябрь 2025'!$G$2:$G$2497,'сентябрь 2025'!$D$2:$D$2497,$B79,'сентябрь 2025'!$J$2:$J$2497,R$1)</f>
        <v>0</v>
      </c>
      <c r="S79" s="183">
        <f>SUMIFS('сентябрь 2025'!$G$2:$G$2497,'сентябрь 2025'!$D$2:$D$2497,$B79,'сентябрь 2025'!$J$2:$J$2497,S$1)</f>
        <v>0</v>
      </c>
      <c r="T79" s="183">
        <f>SUMIFS('сентябрь 2025'!$G$2:$G$2497,'сентябрь 2025'!$D$2:$D$2497,$B79,'сентябрь 2025'!$J$2:$J$2497,T$1)</f>
        <v>0</v>
      </c>
      <c r="U79" s="183">
        <f>SUMIFS('сентябрь 2025'!$G$2:$G$2497,'сентябрь 2025'!$D$2:$D$2497,$B79,'сентябрь 2025'!$J$2:$J$2497,U$1)</f>
        <v>0</v>
      </c>
      <c r="V79" s="183">
        <f>SUMIFS('сентябрь 2025'!$G$2:$G$2497,'сентябрь 2025'!$D$2:$D$2497,$B79,'сентябрь 2025'!$J$2:$J$2497,V$1)</f>
        <v>0</v>
      </c>
      <c r="W79" s="183">
        <f>SUMIFS('сентябрь 2025'!$G$2:$G$2497,'сентябрь 2025'!$D$2:$D$2497,$B79,'сентябрь 2025'!$J$2:$J$2497,W$1)</f>
        <v>0</v>
      </c>
      <c r="X79" s="183">
        <f>SUMIFS('сентябрь 2025'!$G$2:$G$2497,'сентябрь 2025'!$D$2:$D$2497,$B79,'сентябрь 2025'!$J$2:$J$2497,X$1)</f>
        <v>0</v>
      </c>
      <c r="Y79" s="183">
        <f>SUMIFS('сентябрь 2025'!$G$2:$G$2497,'сентябрь 2025'!$D$2:$D$2497,$B79,'сентябрь 2025'!$J$2:$J$2497,Y$1)</f>
        <v>0</v>
      </c>
      <c r="Z79" s="183">
        <f>SUMIFS('сентябрь 2025'!$G$2:$G$2497,'сентябрь 2025'!$D$2:$D$2497,$B79,'сентябрь 2025'!$J$2:$J$2497,Z$1)</f>
        <v>0</v>
      </c>
      <c r="AA79" s="183">
        <f>SUMIFS('сентябрь 2025'!$G$2:$G$2497,'сентябрь 2025'!$D$2:$D$2497,$B79,'сентябрь 2025'!$J$2:$J$2497,AA$1)</f>
        <v>0</v>
      </c>
      <c r="AB79" s="183">
        <f>SUMIFS('сентябрь 2025'!$G$2:$G$2497,'сентябрь 2025'!$D$2:$D$2497,$B79,'сентябрь 2025'!$J$2:$J$2497,AB$1)</f>
        <v>0</v>
      </c>
      <c r="AC79" s="183">
        <f>SUMIFS('сентябрь 2025'!$G$2:$G$2497,'сентябрь 2025'!$D$2:$D$2497,$B79,'сентябрь 2025'!$J$2:$J$2497,AC$1)</f>
        <v>0</v>
      </c>
      <c r="AD79" s="183">
        <f>SUMIFS('сентябрь 2025'!$G$2:$G$2497,'сентябрь 2025'!$D$2:$D$2497,$B79,'сентябрь 2025'!$J$2:$J$2497,AD$1)</f>
        <v>0</v>
      </c>
      <c r="AE79" s="183">
        <f>SUMIFS('сентябрь 2025'!$G$2:$G$2497,'сентябрь 2025'!$D$2:$D$2497,$B79,'сентябрь 2025'!$J$2:$J$2497,AE$1)</f>
        <v>0</v>
      </c>
      <c r="AF79" s="183">
        <f>SUMIFS('сентябрь 2025'!$G$2:$G$2497,'сентябрь 2025'!$D$2:$D$2497,$B79,'сентябрь 2025'!$J$2:$J$2497,AF$1)</f>
        <v>0</v>
      </c>
      <c r="AG79" s="183">
        <f>SUMIFS('сентябрь 2025'!$G$2:$G$2497,'сентябрь 2025'!$D$2:$D$2497,$B79,'сентябрь 2025'!$J$2:$J$2497,AG$1)</f>
        <v>0</v>
      </c>
      <c r="AH79" s="183">
        <f>SUMIFS('сентябрь 2025'!$G$2:$G$2497,'сентябрь 2025'!$D$2:$D$2497,$B79,'сентябрь 2025'!$J$2:$J$2497,AH$1)</f>
        <v>0</v>
      </c>
      <c r="AI79" s="20">
        <f t="shared" si="1"/>
        <v>0</v>
      </c>
    </row>
    <row r="80" spans="2:35" ht="15" customHeight="1" x14ac:dyDescent="0.25">
      <c r="B80" s="88" t="s">
        <v>199</v>
      </c>
      <c r="C80" s="86">
        <v>200</v>
      </c>
      <c r="D80" s="183">
        <f>SUMIFS('сентябрь 2025'!$G$2:$G$2497,'сентябрь 2025'!$D$2:$D$2497,$B80,'сентябрь 2025'!$J$2:$J$2497,D$1)</f>
        <v>0</v>
      </c>
      <c r="E80" s="183">
        <f>SUMIFS('сентябрь 2025'!$G$2:$G$2497,'сентябрь 2025'!$D$2:$D$2497,$B80,'сентябрь 2025'!$J$2:$J$2497,E$1)</f>
        <v>0</v>
      </c>
      <c r="F80" s="183">
        <f>SUMIFS('сентябрь 2025'!$G$2:$G$2497,'сентябрь 2025'!$D$2:$D$2497,$B80,'сентябрь 2025'!$J$2:$J$2497,F$1)</f>
        <v>0</v>
      </c>
      <c r="G80" s="183">
        <f>SUMIFS('сентябрь 2025'!$G$2:$G$2497,'сентябрь 2025'!$D$2:$D$2497,$B80,'сентябрь 2025'!$J$2:$J$2497,G$1)</f>
        <v>0</v>
      </c>
      <c r="H80" s="183">
        <f>SUMIFS('сентябрь 2025'!$G$2:$G$2497,'сентябрь 2025'!$D$2:$D$2497,$B80,'сентябрь 2025'!$J$2:$J$2497,H$1)</f>
        <v>0</v>
      </c>
      <c r="I80" s="183">
        <f>SUMIFS('сентябрь 2025'!$G$2:$G$2497,'сентябрь 2025'!$D$2:$D$2497,$B80,'сентябрь 2025'!$J$2:$J$2497,I$1)</f>
        <v>0</v>
      </c>
      <c r="J80" s="183">
        <f>SUMIFS('сентябрь 2025'!$G$2:$G$2497,'сентябрь 2025'!$D$2:$D$2497,$B80,'сентябрь 2025'!$J$2:$J$2497,J$1)</f>
        <v>0</v>
      </c>
      <c r="K80" s="183">
        <f>SUMIFS('сентябрь 2025'!$G$2:$G$2497,'сентябрь 2025'!$D$2:$D$2497,$B80,'сентябрь 2025'!$J$2:$J$2497,K$1)</f>
        <v>0</v>
      </c>
      <c r="L80" s="183">
        <f>SUMIFS('сентябрь 2025'!$G$2:$G$2497,'сентябрь 2025'!$D$2:$D$2497,$B80,'сентябрь 2025'!$J$2:$J$2497,L$1)</f>
        <v>0</v>
      </c>
      <c r="M80" s="183">
        <f>SUMIFS('сентябрь 2025'!$G$2:$G$2497,'сентябрь 2025'!$D$2:$D$2497,$B80,'сентябрь 2025'!$J$2:$J$2497,M$1)</f>
        <v>0</v>
      </c>
      <c r="N80" s="183">
        <f>SUMIFS('сентябрь 2025'!$G$2:$G$2497,'сентябрь 2025'!$D$2:$D$2497,$B80,'сентябрь 2025'!$J$2:$J$2497,N$1)</f>
        <v>0</v>
      </c>
      <c r="O80" s="183">
        <f>SUMIFS('сентябрь 2025'!$G$2:$G$2497,'сентябрь 2025'!$D$2:$D$2497,$B80,'сентябрь 2025'!$J$2:$J$2497,O$1)</f>
        <v>0</v>
      </c>
      <c r="P80" s="183">
        <f>SUMIFS('сентябрь 2025'!$G$2:$G$2497,'сентябрь 2025'!$D$2:$D$2497,$B80,'сентябрь 2025'!$J$2:$J$2497,P$1)</f>
        <v>0</v>
      </c>
      <c r="Q80" s="183">
        <f>SUMIFS('сентябрь 2025'!$G$2:$G$2497,'сентябрь 2025'!$D$2:$D$2497,$B80,'сентябрь 2025'!$J$2:$J$2497,Q$1)</f>
        <v>0</v>
      </c>
      <c r="R80" s="183">
        <f>SUMIFS('сентябрь 2025'!$G$2:$G$2497,'сентябрь 2025'!$D$2:$D$2497,$B80,'сентябрь 2025'!$J$2:$J$2497,R$1)</f>
        <v>0</v>
      </c>
      <c r="S80" s="183">
        <f>SUMIFS('сентябрь 2025'!$G$2:$G$2497,'сентябрь 2025'!$D$2:$D$2497,$B80,'сентябрь 2025'!$J$2:$J$2497,S$1)</f>
        <v>0</v>
      </c>
      <c r="T80" s="183">
        <f>SUMIFS('сентябрь 2025'!$G$2:$G$2497,'сентябрь 2025'!$D$2:$D$2497,$B80,'сентябрь 2025'!$J$2:$J$2497,T$1)</f>
        <v>0</v>
      </c>
      <c r="U80" s="183">
        <f>SUMIFS('сентябрь 2025'!$G$2:$G$2497,'сентябрь 2025'!$D$2:$D$2497,$B80,'сентябрь 2025'!$J$2:$J$2497,U$1)</f>
        <v>0</v>
      </c>
      <c r="V80" s="183">
        <f>SUMIFS('сентябрь 2025'!$G$2:$G$2497,'сентябрь 2025'!$D$2:$D$2497,$B80,'сентябрь 2025'!$J$2:$J$2497,V$1)</f>
        <v>0</v>
      </c>
      <c r="W80" s="183">
        <f>SUMIFS('сентябрь 2025'!$G$2:$G$2497,'сентябрь 2025'!$D$2:$D$2497,$B80,'сентябрь 2025'!$J$2:$J$2497,W$1)</f>
        <v>0</v>
      </c>
      <c r="X80" s="183">
        <f>SUMIFS('сентябрь 2025'!$G$2:$G$2497,'сентябрь 2025'!$D$2:$D$2497,$B80,'сентябрь 2025'!$J$2:$J$2497,X$1)</f>
        <v>0</v>
      </c>
      <c r="Y80" s="183">
        <f>SUMIFS('сентябрь 2025'!$G$2:$G$2497,'сентябрь 2025'!$D$2:$D$2497,$B80,'сентябрь 2025'!$J$2:$J$2497,Y$1)</f>
        <v>0</v>
      </c>
      <c r="Z80" s="183">
        <f>SUMIFS('сентябрь 2025'!$G$2:$G$2497,'сентябрь 2025'!$D$2:$D$2497,$B80,'сентябрь 2025'!$J$2:$J$2497,Z$1)</f>
        <v>0</v>
      </c>
      <c r="AA80" s="183">
        <f>SUMIFS('сентябрь 2025'!$G$2:$G$2497,'сентябрь 2025'!$D$2:$D$2497,$B80,'сентябрь 2025'!$J$2:$J$2497,AA$1)</f>
        <v>0</v>
      </c>
      <c r="AB80" s="183">
        <f>SUMIFS('сентябрь 2025'!$G$2:$G$2497,'сентябрь 2025'!$D$2:$D$2497,$B80,'сентябрь 2025'!$J$2:$J$2497,AB$1)</f>
        <v>0</v>
      </c>
      <c r="AC80" s="183">
        <f>SUMIFS('сентябрь 2025'!$G$2:$G$2497,'сентябрь 2025'!$D$2:$D$2497,$B80,'сентябрь 2025'!$J$2:$J$2497,AC$1)</f>
        <v>0</v>
      </c>
      <c r="AD80" s="183">
        <f>SUMIFS('сентябрь 2025'!$G$2:$G$2497,'сентябрь 2025'!$D$2:$D$2497,$B80,'сентябрь 2025'!$J$2:$J$2497,AD$1)</f>
        <v>0</v>
      </c>
      <c r="AE80" s="183">
        <f>SUMIFS('сентябрь 2025'!$G$2:$G$2497,'сентябрь 2025'!$D$2:$D$2497,$B80,'сентябрь 2025'!$J$2:$J$2497,AE$1)</f>
        <v>0</v>
      </c>
      <c r="AF80" s="183">
        <f>SUMIFS('сентябрь 2025'!$G$2:$G$2497,'сентябрь 2025'!$D$2:$D$2497,$B80,'сентябрь 2025'!$J$2:$J$2497,AF$1)</f>
        <v>0</v>
      </c>
      <c r="AG80" s="183">
        <f>SUMIFS('сентябрь 2025'!$G$2:$G$2497,'сентябрь 2025'!$D$2:$D$2497,$B80,'сентябрь 2025'!$J$2:$J$2497,AG$1)</f>
        <v>0</v>
      </c>
      <c r="AH80" s="183">
        <f>SUMIFS('сентябрь 2025'!$G$2:$G$2497,'сентябрь 2025'!$D$2:$D$2497,$B80,'сентябрь 2025'!$J$2:$J$2497,AH$1)</f>
        <v>0</v>
      </c>
      <c r="AI80" s="20">
        <f t="shared" si="1"/>
        <v>0</v>
      </c>
    </row>
    <row r="81" spans="2:35" ht="15" customHeight="1" x14ac:dyDescent="0.25">
      <c r="B81" s="88" t="s">
        <v>206</v>
      </c>
      <c r="C81" s="86">
        <v>25</v>
      </c>
      <c r="D81" s="183">
        <f>SUMIFS('сентябрь 2025'!$G$2:$G$2497,'сентябрь 2025'!$D$2:$D$2497,$B81,'сентябрь 2025'!$J$2:$J$2497,D$1)</f>
        <v>0</v>
      </c>
      <c r="E81" s="183">
        <f>SUMIFS('сентябрь 2025'!$G$2:$G$2497,'сентябрь 2025'!$D$2:$D$2497,$B81,'сентябрь 2025'!$J$2:$J$2497,E$1)</f>
        <v>0</v>
      </c>
      <c r="F81" s="183">
        <f>SUMIFS('сентябрь 2025'!$G$2:$G$2497,'сентябрь 2025'!$D$2:$D$2497,$B81,'сентябрь 2025'!$J$2:$J$2497,F$1)</f>
        <v>0</v>
      </c>
      <c r="G81" s="183">
        <f>SUMIFS('сентябрь 2025'!$G$2:$G$2497,'сентябрь 2025'!$D$2:$D$2497,$B81,'сентябрь 2025'!$J$2:$J$2497,G$1)</f>
        <v>0</v>
      </c>
      <c r="H81" s="183">
        <f>SUMIFS('сентябрь 2025'!$G$2:$G$2497,'сентябрь 2025'!$D$2:$D$2497,$B81,'сентябрь 2025'!$J$2:$J$2497,H$1)</f>
        <v>0</v>
      </c>
      <c r="I81" s="183">
        <f>SUMIFS('сентябрь 2025'!$G$2:$G$2497,'сентябрь 2025'!$D$2:$D$2497,$B81,'сентябрь 2025'!$J$2:$J$2497,I$1)</f>
        <v>0</v>
      </c>
      <c r="J81" s="183">
        <f>SUMIFS('сентябрь 2025'!$G$2:$G$2497,'сентябрь 2025'!$D$2:$D$2497,$B81,'сентябрь 2025'!$J$2:$J$2497,J$1)</f>
        <v>0</v>
      </c>
      <c r="K81" s="183">
        <f>SUMIFS('сентябрь 2025'!$G$2:$G$2497,'сентябрь 2025'!$D$2:$D$2497,$B81,'сентябрь 2025'!$J$2:$J$2497,K$1)</f>
        <v>0</v>
      </c>
      <c r="L81" s="183">
        <f>SUMIFS('сентябрь 2025'!$G$2:$G$2497,'сентябрь 2025'!$D$2:$D$2497,$B81,'сентябрь 2025'!$J$2:$J$2497,L$1)</f>
        <v>0</v>
      </c>
      <c r="M81" s="183">
        <f>SUMIFS('сентябрь 2025'!$G$2:$G$2497,'сентябрь 2025'!$D$2:$D$2497,$B81,'сентябрь 2025'!$J$2:$J$2497,M$1)</f>
        <v>0</v>
      </c>
      <c r="N81" s="183">
        <f>SUMIFS('сентябрь 2025'!$G$2:$G$2497,'сентябрь 2025'!$D$2:$D$2497,$B81,'сентябрь 2025'!$J$2:$J$2497,N$1)</f>
        <v>0</v>
      </c>
      <c r="O81" s="183">
        <f>SUMIFS('сентябрь 2025'!$G$2:$G$2497,'сентябрь 2025'!$D$2:$D$2497,$B81,'сентябрь 2025'!$J$2:$J$2497,O$1)</f>
        <v>0</v>
      </c>
      <c r="P81" s="183">
        <f>SUMIFS('сентябрь 2025'!$G$2:$G$2497,'сентябрь 2025'!$D$2:$D$2497,$B81,'сентябрь 2025'!$J$2:$J$2497,P$1)</f>
        <v>0</v>
      </c>
      <c r="Q81" s="183">
        <f>SUMIFS('сентябрь 2025'!$G$2:$G$2497,'сентябрь 2025'!$D$2:$D$2497,$B81,'сентябрь 2025'!$J$2:$J$2497,Q$1)</f>
        <v>0</v>
      </c>
      <c r="R81" s="183">
        <f>SUMIFS('сентябрь 2025'!$G$2:$G$2497,'сентябрь 2025'!$D$2:$D$2497,$B81,'сентябрь 2025'!$J$2:$J$2497,R$1)</f>
        <v>0</v>
      </c>
      <c r="S81" s="183">
        <f>SUMIFS('сентябрь 2025'!$G$2:$G$2497,'сентябрь 2025'!$D$2:$D$2497,$B81,'сентябрь 2025'!$J$2:$J$2497,S$1)</f>
        <v>0</v>
      </c>
      <c r="T81" s="183">
        <f>SUMIFS('сентябрь 2025'!$G$2:$G$2497,'сентябрь 2025'!$D$2:$D$2497,$B81,'сентябрь 2025'!$J$2:$J$2497,T$1)</f>
        <v>0</v>
      </c>
      <c r="U81" s="183">
        <f>SUMIFS('сентябрь 2025'!$G$2:$G$2497,'сентябрь 2025'!$D$2:$D$2497,$B81,'сентябрь 2025'!$J$2:$J$2497,U$1)</f>
        <v>0</v>
      </c>
      <c r="V81" s="183">
        <f>SUMIFS('сентябрь 2025'!$G$2:$G$2497,'сентябрь 2025'!$D$2:$D$2497,$B81,'сентябрь 2025'!$J$2:$J$2497,V$1)</f>
        <v>0</v>
      </c>
      <c r="W81" s="183">
        <f>SUMIFS('сентябрь 2025'!$G$2:$G$2497,'сентябрь 2025'!$D$2:$D$2497,$B81,'сентябрь 2025'!$J$2:$J$2497,W$1)</f>
        <v>0</v>
      </c>
      <c r="X81" s="183">
        <f>SUMIFS('сентябрь 2025'!$G$2:$G$2497,'сентябрь 2025'!$D$2:$D$2497,$B81,'сентябрь 2025'!$J$2:$J$2497,X$1)</f>
        <v>0</v>
      </c>
      <c r="Y81" s="183">
        <f>SUMIFS('сентябрь 2025'!$G$2:$G$2497,'сентябрь 2025'!$D$2:$D$2497,$B81,'сентябрь 2025'!$J$2:$J$2497,Y$1)</f>
        <v>0</v>
      </c>
      <c r="Z81" s="183">
        <f>SUMIFS('сентябрь 2025'!$G$2:$G$2497,'сентябрь 2025'!$D$2:$D$2497,$B81,'сентябрь 2025'!$J$2:$J$2497,Z$1)</f>
        <v>0</v>
      </c>
      <c r="AA81" s="183">
        <f>SUMIFS('сентябрь 2025'!$G$2:$G$2497,'сентябрь 2025'!$D$2:$D$2497,$B81,'сентябрь 2025'!$J$2:$J$2497,AA$1)</f>
        <v>0</v>
      </c>
      <c r="AB81" s="183">
        <f>SUMIFS('сентябрь 2025'!$G$2:$G$2497,'сентябрь 2025'!$D$2:$D$2497,$B81,'сентябрь 2025'!$J$2:$J$2497,AB$1)</f>
        <v>0</v>
      </c>
      <c r="AC81" s="183">
        <f>SUMIFS('сентябрь 2025'!$G$2:$G$2497,'сентябрь 2025'!$D$2:$D$2497,$B81,'сентябрь 2025'!$J$2:$J$2497,AC$1)</f>
        <v>0</v>
      </c>
      <c r="AD81" s="183">
        <f>SUMIFS('сентябрь 2025'!$G$2:$G$2497,'сентябрь 2025'!$D$2:$D$2497,$B81,'сентябрь 2025'!$J$2:$J$2497,AD$1)</f>
        <v>0</v>
      </c>
      <c r="AE81" s="183">
        <f>SUMIFS('сентябрь 2025'!$G$2:$G$2497,'сентябрь 2025'!$D$2:$D$2497,$B81,'сентябрь 2025'!$J$2:$J$2497,AE$1)</f>
        <v>0</v>
      </c>
      <c r="AF81" s="183">
        <f>SUMIFS('сентябрь 2025'!$G$2:$G$2497,'сентябрь 2025'!$D$2:$D$2497,$B81,'сентябрь 2025'!$J$2:$J$2497,AF$1)</f>
        <v>0</v>
      </c>
      <c r="AG81" s="183">
        <f>SUMIFS('сентябрь 2025'!$G$2:$G$2497,'сентябрь 2025'!$D$2:$D$2497,$B81,'сентябрь 2025'!$J$2:$J$2497,AG$1)</f>
        <v>0</v>
      </c>
      <c r="AH81" s="183">
        <f>SUMIFS('сентябрь 2025'!$G$2:$G$2497,'сентябрь 2025'!$D$2:$D$2497,$B81,'сентябрь 2025'!$J$2:$J$2497,AH$1)</f>
        <v>0</v>
      </c>
      <c r="AI81" s="20">
        <f t="shared" si="1"/>
        <v>0</v>
      </c>
    </row>
    <row r="82" spans="2:35" ht="15" customHeight="1" x14ac:dyDescent="0.25">
      <c r="B82" s="88" t="s">
        <v>178</v>
      </c>
      <c r="C82" s="86">
        <v>50</v>
      </c>
      <c r="D82" s="183">
        <f>SUMIFS('сентябрь 2025'!$G$2:$G$2497,'сентябрь 2025'!$D$2:$D$2497,$B82,'сентябрь 2025'!$J$2:$J$2497,D$1)</f>
        <v>0</v>
      </c>
      <c r="E82" s="183">
        <f>SUMIFS('сентябрь 2025'!$G$2:$G$2497,'сентябрь 2025'!$D$2:$D$2497,$B82,'сентябрь 2025'!$J$2:$J$2497,E$1)</f>
        <v>0</v>
      </c>
      <c r="F82" s="183">
        <f>SUMIFS('сентябрь 2025'!$G$2:$G$2497,'сентябрь 2025'!$D$2:$D$2497,$B82,'сентябрь 2025'!$J$2:$J$2497,F$1)</f>
        <v>0</v>
      </c>
      <c r="G82" s="183">
        <f>SUMIFS('сентябрь 2025'!$G$2:$G$2497,'сентябрь 2025'!$D$2:$D$2497,$B82,'сентябрь 2025'!$J$2:$J$2497,G$1)</f>
        <v>0</v>
      </c>
      <c r="H82" s="183">
        <f>SUMIFS('сентябрь 2025'!$G$2:$G$2497,'сентябрь 2025'!$D$2:$D$2497,$B82,'сентябрь 2025'!$J$2:$J$2497,H$1)</f>
        <v>0</v>
      </c>
      <c r="I82" s="183">
        <f>SUMIFS('сентябрь 2025'!$G$2:$G$2497,'сентябрь 2025'!$D$2:$D$2497,$B82,'сентябрь 2025'!$J$2:$J$2497,I$1)</f>
        <v>0</v>
      </c>
      <c r="J82" s="183">
        <f>SUMIFS('сентябрь 2025'!$G$2:$G$2497,'сентябрь 2025'!$D$2:$D$2497,$B82,'сентябрь 2025'!$J$2:$J$2497,J$1)</f>
        <v>0</v>
      </c>
      <c r="K82" s="183">
        <f>SUMIFS('сентябрь 2025'!$G$2:$G$2497,'сентябрь 2025'!$D$2:$D$2497,$B82,'сентябрь 2025'!$J$2:$J$2497,K$1)</f>
        <v>0</v>
      </c>
      <c r="L82" s="183">
        <f>SUMIFS('сентябрь 2025'!$G$2:$G$2497,'сентябрь 2025'!$D$2:$D$2497,$B82,'сентябрь 2025'!$J$2:$J$2497,L$1)</f>
        <v>0</v>
      </c>
      <c r="M82" s="183">
        <f>SUMIFS('сентябрь 2025'!$G$2:$G$2497,'сентябрь 2025'!$D$2:$D$2497,$B82,'сентябрь 2025'!$J$2:$J$2497,M$1)</f>
        <v>0</v>
      </c>
      <c r="N82" s="183">
        <f>SUMIFS('сентябрь 2025'!$G$2:$G$2497,'сентябрь 2025'!$D$2:$D$2497,$B82,'сентябрь 2025'!$J$2:$J$2497,N$1)</f>
        <v>0</v>
      </c>
      <c r="O82" s="183">
        <f>SUMIFS('сентябрь 2025'!$G$2:$G$2497,'сентябрь 2025'!$D$2:$D$2497,$B82,'сентябрь 2025'!$J$2:$J$2497,O$1)</f>
        <v>0</v>
      </c>
      <c r="P82" s="183">
        <f>SUMIFS('сентябрь 2025'!$G$2:$G$2497,'сентябрь 2025'!$D$2:$D$2497,$B82,'сентябрь 2025'!$J$2:$J$2497,P$1)</f>
        <v>0</v>
      </c>
      <c r="Q82" s="183">
        <f>SUMIFS('сентябрь 2025'!$G$2:$G$2497,'сентябрь 2025'!$D$2:$D$2497,$B82,'сентябрь 2025'!$J$2:$J$2497,Q$1)</f>
        <v>0</v>
      </c>
      <c r="R82" s="183">
        <f>SUMIFS('сентябрь 2025'!$G$2:$G$2497,'сентябрь 2025'!$D$2:$D$2497,$B82,'сентябрь 2025'!$J$2:$J$2497,R$1)</f>
        <v>0</v>
      </c>
      <c r="S82" s="183">
        <f>SUMIFS('сентябрь 2025'!$G$2:$G$2497,'сентябрь 2025'!$D$2:$D$2497,$B82,'сентябрь 2025'!$J$2:$J$2497,S$1)</f>
        <v>0</v>
      </c>
      <c r="T82" s="183">
        <f>SUMIFS('сентябрь 2025'!$G$2:$G$2497,'сентябрь 2025'!$D$2:$D$2497,$B82,'сентябрь 2025'!$J$2:$J$2497,T$1)</f>
        <v>0</v>
      </c>
      <c r="U82" s="183">
        <f>SUMIFS('сентябрь 2025'!$G$2:$G$2497,'сентябрь 2025'!$D$2:$D$2497,$B82,'сентябрь 2025'!$J$2:$J$2497,U$1)</f>
        <v>0</v>
      </c>
      <c r="V82" s="183">
        <f>SUMIFS('сентябрь 2025'!$G$2:$G$2497,'сентябрь 2025'!$D$2:$D$2497,$B82,'сентябрь 2025'!$J$2:$J$2497,V$1)</f>
        <v>0</v>
      </c>
      <c r="W82" s="183">
        <f>SUMIFS('сентябрь 2025'!$G$2:$G$2497,'сентябрь 2025'!$D$2:$D$2497,$B82,'сентябрь 2025'!$J$2:$J$2497,W$1)</f>
        <v>0</v>
      </c>
      <c r="X82" s="183">
        <f>SUMIFS('сентябрь 2025'!$G$2:$G$2497,'сентябрь 2025'!$D$2:$D$2497,$B82,'сентябрь 2025'!$J$2:$J$2497,X$1)</f>
        <v>0</v>
      </c>
      <c r="Y82" s="183">
        <f>SUMIFS('сентябрь 2025'!$G$2:$G$2497,'сентябрь 2025'!$D$2:$D$2497,$B82,'сентябрь 2025'!$J$2:$J$2497,Y$1)</f>
        <v>0</v>
      </c>
      <c r="Z82" s="183">
        <f>SUMIFS('сентябрь 2025'!$G$2:$G$2497,'сентябрь 2025'!$D$2:$D$2497,$B82,'сентябрь 2025'!$J$2:$J$2497,Z$1)</f>
        <v>0</v>
      </c>
      <c r="AA82" s="183">
        <f>SUMIFS('сентябрь 2025'!$G$2:$G$2497,'сентябрь 2025'!$D$2:$D$2497,$B82,'сентябрь 2025'!$J$2:$J$2497,AA$1)</f>
        <v>0</v>
      </c>
      <c r="AB82" s="183">
        <f>SUMIFS('сентябрь 2025'!$G$2:$G$2497,'сентябрь 2025'!$D$2:$D$2497,$B82,'сентябрь 2025'!$J$2:$J$2497,AB$1)</f>
        <v>0</v>
      </c>
      <c r="AC82" s="183">
        <f>SUMIFS('сентябрь 2025'!$G$2:$G$2497,'сентябрь 2025'!$D$2:$D$2497,$B82,'сентябрь 2025'!$J$2:$J$2497,AC$1)</f>
        <v>0</v>
      </c>
      <c r="AD82" s="183">
        <f>SUMIFS('сентябрь 2025'!$G$2:$G$2497,'сентябрь 2025'!$D$2:$D$2497,$B82,'сентябрь 2025'!$J$2:$J$2497,AD$1)</f>
        <v>0</v>
      </c>
      <c r="AE82" s="183">
        <f>SUMIFS('сентябрь 2025'!$G$2:$G$2497,'сентябрь 2025'!$D$2:$D$2497,$B82,'сентябрь 2025'!$J$2:$J$2497,AE$1)</f>
        <v>0</v>
      </c>
      <c r="AF82" s="183">
        <f>SUMIFS('сентябрь 2025'!$G$2:$G$2497,'сентябрь 2025'!$D$2:$D$2497,$B82,'сентябрь 2025'!$J$2:$J$2497,AF$1)</f>
        <v>0</v>
      </c>
      <c r="AG82" s="183">
        <f>SUMIFS('сентябрь 2025'!$G$2:$G$2497,'сентябрь 2025'!$D$2:$D$2497,$B82,'сентябрь 2025'!$J$2:$J$2497,AG$1)</f>
        <v>0</v>
      </c>
      <c r="AH82" s="183">
        <f>SUMIFS('сентябрь 2025'!$G$2:$G$2497,'сентябрь 2025'!$D$2:$D$2497,$B82,'сентябрь 2025'!$J$2:$J$2497,AH$1)</f>
        <v>0</v>
      </c>
      <c r="AI82" s="20">
        <f t="shared" si="1"/>
        <v>0</v>
      </c>
    </row>
    <row r="83" spans="2:35" ht="15" customHeight="1" x14ac:dyDescent="0.25">
      <c r="B83" s="88" t="s">
        <v>167</v>
      </c>
      <c r="C83" s="86">
        <v>200</v>
      </c>
      <c r="D83" s="183">
        <f>SUMIFS('сентябрь 2025'!$G$2:$G$2497,'сентябрь 2025'!$D$2:$D$2497,$B83,'сентябрь 2025'!$J$2:$J$2497,D$1)</f>
        <v>0</v>
      </c>
      <c r="E83" s="183">
        <f>SUMIFS('сентябрь 2025'!$G$2:$G$2497,'сентябрь 2025'!$D$2:$D$2497,$B83,'сентябрь 2025'!$J$2:$J$2497,E$1)</f>
        <v>0</v>
      </c>
      <c r="F83" s="183">
        <f>SUMIFS('сентябрь 2025'!$G$2:$G$2497,'сентябрь 2025'!$D$2:$D$2497,$B83,'сентябрь 2025'!$J$2:$J$2497,F$1)</f>
        <v>0</v>
      </c>
      <c r="G83" s="183">
        <f>SUMIFS('сентябрь 2025'!$G$2:$G$2497,'сентябрь 2025'!$D$2:$D$2497,$B83,'сентябрь 2025'!$J$2:$J$2497,G$1)</f>
        <v>0</v>
      </c>
      <c r="H83" s="183">
        <f>SUMIFS('сентябрь 2025'!$G$2:$G$2497,'сентябрь 2025'!$D$2:$D$2497,$B83,'сентябрь 2025'!$J$2:$J$2497,H$1)</f>
        <v>0</v>
      </c>
      <c r="I83" s="183">
        <f>SUMIFS('сентябрь 2025'!$G$2:$G$2497,'сентябрь 2025'!$D$2:$D$2497,$B83,'сентябрь 2025'!$J$2:$J$2497,I$1)</f>
        <v>0</v>
      </c>
      <c r="J83" s="183">
        <f>SUMIFS('сентябрь 2025'!$G$2:$G$2497,'сентябрь 2025'!$D$2:$D$2497,$B83,'сентябрь 2025'!$J$2:$J$2497,J$1)</f>
        <v>0</v>
      </c>
      <c r="K83" s="183">
        <f>SUMIFS('сентябрь 2025'!$G$2:$G$2497,'сентябрь 2025'!$D$2:$D$2497,$B83,'сентябрь 2025'!$J$2:$J$2497,K$1)</f>
        <v>0</v>
      </c>
      <c r="L83" s="183">
        <f>SUMIFS('сентябрь 2025'!$G$2:$G$2497,'сентябрь 2025'!$D$2:$D$2497,$B83,'сентябрь 2025'!$J$2:$J$2497,L$1)</f>
        <v>0</v>
      </c>
      <c r="M83" s="183">
        <f>SUMIFS('сентябрь 2025'!$G$2:$G$2497,'сентябрь 2025'!$D$2:$D$2497,$B83,'сентябрь 2025'!$J$2:$J$2497,M$1)</f>
        <v>0</v>
      </c>
      <c r="N83" s="183">
        <f>SUMIFS('сентябрь 2025'!$G$2:$G$2497,'сентябрь 2025'!$D$2:$D$2497,$B83,'сентябрь 2025'!$J$2:$J$2497,N$1)</f>
        <v>0</v>
      </c>
      <c r="O83" s="183">
        <f>SUMIFS('сентябрь 2025'!$G$2:$G$2497,'сентябрь 2025'!$D$2:$D$2497,$B83,'сентябрь 2025'!$J$2:$J$2497,O$1)</f>
        <v>0</v>
      </c>
      <c r="P83" s="183">
        <f>SUMIFS('сентябрь 2025'!$G$2:$G$2497,'сентябрь 2025'!$D$2:$D$2497,$B83,'сентябрь 2025'!$J$2:$J$2497,P$1)</f>
        <v>0</v>
      </c>
      <c r="Q83" s="183">
        <f>SUMIFS('сентябрь 2025'!$G$2:$G$2497,'сентябрь 2025'!$D$2:$D$2497,$B83,'сентябрь 2025'!$J$2:$J$2497,Q$1)</f>
        <v>0</v>
      </c>
      <c r="R83" s="183">
        <f>SUMIFS('сентябрь 2025'!$G$2:$G$2497,'сентябрь 2025'!$D$2:$D$2497,$B83,'сентябрь 2025'!$J$2:$J$2497,R$1)</f>
        <v>0</v>
      </c>
      <c r="S83" s="183">
        <f>SUMIFS('сентябрь 2025'!$G$2:$G$2497,'сентябрь 2025'!$D$2:$D$2497,$B83,'сентябрь 2025'!$J$2:$J$2497,S$1)</f>
        <v>0</v>
      </c>
      <c r="T83" s="183">
        <f>SUMIFS('сентябрь 2025'!$G$2:$G$2497,'сентябрь 2025'!$D$2:$D$2497,$B83,'сентябрь 2025'!$J$2:$J$2497,T$1)</f>
        <v>0</v>
      </c>
      <c r="U83" s="183">
        <f>SUMIFS('сентябрь 2025'!$G$2:$G$2497,'сентябрь 2025'!$D$2:$D$2497,$B83,'сентябрь 2025'!$J$2:$J$2497,U$1)</f>
        <v>0</v>
      </c>
      <c r="V83" s="183">
        <f>SUMIFS('сентябрь 2025'!$G$2:$G$2497,'сентябрь 2025'!$D$2:$D$2497,$B83,'сентябрь 2025'!$J$2:$J$2497,V$1)</f>
        <v>0</v>
      </c>
      <c r="W83" s="183">
        <f>SUMIFS('сентябрь 2025'!$G$2:$G$2497,'сентябрь 2025'!$D$2:$D$2497,$B83,'сентябрь 2025'!$J$2:$J$2497,W$1)</f>
        <v>0</v>
      </c>
      <c r="X83" s="183">
        <f>SUMIFS('сентябрь 2025'!$G$2:$G$2497,'сентябрь 2025'!$D$2:$D$2497,$B83,'сентябрь 2025'!$J$2:$J$2497,X$1)</f>
        <v>0</v>
      </c>
      <c r="Y83" s="183">
        <f>SUMIFS('сентябрь 2025'!$G$2:$G$2497,'сентябрь 2025'!$D$2:$D$2497,$B83,'сентябрь 2025'!$J$2:$J$2497,Y$1)</f>
        <v>0</v>
      </c>
      <c r="Z83" s="183">
        <f>SUMIFS('сентябрь 2025'!$G$2:$G$2497,'сентябрь 2025'!$D$2:$D$2497,$B83,'сентябрь 2025'!$J$2:$J$2497,Z$1)</f>
        <v>0</v>
      </c>
      <c r="AA83" s="183">
        <f>SUMIFS('сентябрь 2025'!$G$2:$G$2497,'сентябрь 2025'!$D$2:$D$2497,$B83,'сентябрь 2025'!$J$2:$J$2497,AA$1)</f>
        <v>0</v>
      </c>
      <c r="AB83" s="183">
        <f>SUMIFS('сентябрь 2025'!$G$2:$G$2497,'сентябрь 2025'!$D$2:$D$2497,$B83,'сентябрь 2025'!$J$2:$J$2497,AB$1)</f>
        <v>0</v>
      </c>
      <c r="AC83" s="183">
        <f>SUMIFS('сентябрь 2025'!$G$2:$G$2497,'сентябрь 2025'!$D$2:$D$2497,$B83,'сентябрь 2025'!$J$2:$J$2497,AC$1)</f>
        <v>0</v>
      </c>
      <c r="AD83" s="183">
        <f>SUMIFS('сентябрь 2025'!$G$2:$G$2497,'сентябрь 2025'!$D$2:$D$2497,$B83,'сентябрь 2025'!$J$2:$J$2497,AD$1)</f>
        <v>0</v>
      </c>
      <c r="AE83" s="183">
        <f>SUMIFS('сентябрь 2025'!$G$2:$G$2497,'сентябрь 2025'!$D$2:$D$2497,$B83,'сентябрь 2025'!$J$2:$J$2497,AE$1)</f>
        <v>0</v>
      </c>
      <c r="AF83" s="183">
        <f>SUMIFS('сентябрь 2025'!$G$2:$G$2497,'сентябрь 2025'!$D$2:$D$2497,$B83,'сентябрь 2025'!$J$2:$J$2497,AF$1)</f>
        <v>0</v>
      </c>
      <c r="AG83" s="183">
        <f>SUMIFS('сентябрь 2025'!$G$2:$G$2497,'сентябрь 2025'!$D$2:$D$2497,$B83,'сентябрь 2025'!$J$2:$J$2497,AG$1)</f>
        <v>0</v>
      </c>
      <c r="AH83" s="183">
        <f>SUMIFS('сентябрь 2025'!$G$2:$G$2497,'сентябрь 2025'!$D$2:$D$2497,$B83,'сентябрь 2025'!$J$2:$J$2497,AH$1)</f>
        <v>0</v>
      </c>
      <c r="AI83" s="20">
        <f t="shared" si="1"/>
        <v>0</v>
      </c>
    </row>
    <row r="84" spans="2:35" ht="15" customHeight="1" x14ac:dyDescent="0.25">
      <c r="B84" s="88" t="s">
        <v>168</v>
      </c>
      <c r="C84" s="86">
        <v>200</v>
      </c>
      <c r="D84" s="183">
        <f>SUMIFS('сентябрь 2025'!$G$2:$G$2497,'сентябрь 2025'!$D$2:$D$2497,$B84,'сентябрь 2025'!$J$2:$J$2497,D$1)</f>
        <v>0</v>
      </c>
      <c r="E84" s="183">
        <f>SUMIFS('сентябрь 2025'!$G$2:$G$2497,'сентябрь 2025'!$D$2:$D$2497,$B84,'сентябрь 2025'!$J$2:$J$2497,E$1)</f>
        <v>0</v>
      </c>
      <c r="F84" s="183">
        <f>SUMIFS('сентябрь 2025'!$G$2:$G$2497,'сентябрь 2025'!$D$2:$D$2497,$B84,'сентябрь 2025'!$J$2:$J$2497,F$1)</f>
        <v>0</v>
      </c>
      <c r="G84" s="183">
        <f>SUMIFS('сентябрь 2025'!$G$2:$G$2497,'сентябрь 2025'!$D$2:$D$2497,$B84,'сентябрь 2025'!$J$2:$J$2497,G$1)</f>
        <v>0</v>
      </c>
      <c r="H84" s="183">
        <f>SUMIFS('сентябрь 2025'!$G$2:$G$2497,'сентябрь 2025'!$D$2:$D$2497,$B84,'сентябрь 2025'!$J$2:$J$2497,H$1)</f>
        <v>0</v>
      </c>
      <c r="I84" s="183">
        <f>SUMIFS('сентябрь 2025'!$G$2:$G$2497,'сентябрь 2025'!$D$2:$D$2497,$B84,'сентябрь 2025'!$J$2:$J$2497,I$1)</f>
        <v>0</v>
      </c>
      <c r="J84" s="183">
        <f>SUMIFS('сентябрь 2025'!$G$2:$G$2497,'сентябрь 2025'!$D$2:$D$2497,$B84,'сентябрь 2025'!$J$2:$J$2497,J$1)</f>
        <v>0</v>
      </c>
      <c r="K84" s="183">
        <f>SUMIFS('сентябрь 2025'!$G$2:$G$2497,'сентябрь 2025'!$D$2:$D$2497,$B84,'сентябрь 2025'!$J$2:$J$2497,K$1)</f>
        <v>0</v>
      </c>
      <c r="L84" s="183">
        <f>SUMIFS('сентябрь 2025'!$G$2:$G$2497,'сентябрь 2025'!$D$2:$D$2497,$B84,'сентябрь 2025'!$J$2:$J$2497,L$1)</f>
        <v>0</v>
      </c>
      <c r="M84" s="183">
        <f>SUMIFS('сентябрь 2025'!$G$2:$G$2497,'сентябрь 2025'!$D$2:$D$2497,$B84,'сентябрь 2025'!$J$2:$J$2497,M$1)</f>
        <v>0</v>
      </c>
      <c r="N84" s="183">
        <f>SUMIFS('сентябрь 2025'!$G$2:$G$2497,'сентябрь 2025'!$D$2:$D$2497,$B84,'сентябрь 2025'!$J$2:$J$2497,N$1)</f>
        <v>0</v>
      </c>
      <c r="O84" s="183">
        <f>SUMIFS('сентябрь 2025'!$G$2:$G$2497,'сентябрь 2025'!$D$2:$D$2497,$B84,'сентябрь 2025'!$J$2:$J$2497,O$1)</f>
        <v>0</v>
      </c>
      <c r="P84" s="183">
        <f>SUMIFS('сентябрь 2025'!$G$2:$G$2497,'сентябрь 2025'!$D$2:$D$2497,$B84,'сентябрь 2025'!$J$2:$J$2497,P$1)</f>
        <v>0</v>
      </c>
      <c r="Q84" s="183">
        <f>SUMIFS('сентябрь 2025'!$G$2:$G$2497,'сентябрь 2025'!$D$2:$D$2497,$B84,'сентябрь 2025'!$J$2:$J$2497,Q$1)</f>
        <v>0</v>
      </c>
      <c r="R84" s="183">
        <f>SUMIFS('сентябрь 2025'!$G$2:$G$2497,'сентябрь 2025'!$D$2:$D$2497,$B84,'сентябрь 2025'!$J$2:$J$2497,R$1)</f>
        <v>0</v>
      </c>
      <c r="S84" s="183">
        <f>SUMIFS('сентябрь 2025'!$G$2:$G$2497,'сентябрь 2025'!$D$2:$D$2497,$B84,'сентябрь 2025'!$J$2:$J$2497,S$1)</f>
        <v>0</v>
      </c>
      <c r="T84" s="183">
        <f>SUMIFS('сентябрь 2025'!$G$2:$G$2497,'сентябрь 2025'!$D$2:$D$2497,$B84,'сентябрь 2025'!$J$2:$J$2497,T$1)</f>
        <v>0</v>
      </c>
      <c r="U84" s="183">
        <f>SUMIFS('сентябрь 2025'!$G$2:$G$2497,'сентябрь 2025'!$D$2:$D$2497,$B84,'сентябрь 2025'!$J$2:$J$2497,U$1)</f>
        <v>0</v>
      </c>
      <c r="V84" s="183">
        <f>SUMIFS('сентябрь 2025'!$G$2:$G$2497,'сентябрь 2025'!$D$2:$D$2497,$B84,'сентябрь 2025'!$J$2:$J$2497,V$1)</f>
        <v>0</v>
      </c>
      <c r="W84" s="183">
        <f>SUMIFS('сентябрь 2025'!$G$2:$G$2497,'сентябрь 2025'!$D$2:$D$2497,$B84,'сентябрь 2025'!$J$2:$J$2497,W$1)</f>
        <v>0</v>
      </c>
      <c r="X84" s="183">
        <f>SUMIFS('сентябрь 2025'!$G$2:$G$2497,'сентябрь 2025'!$D$2:$D$2497,$B84,'сентябрь 2025'!$J$2:$J$2497,X$1)</f>
        <v>0</v>
      </c>
      <c r="Y84" s="183">
        <f>SUMIFS('сентябрь 2025'!$G$2:$G$2497,'сентябрь 2025'!$D$2:$D$2497,$B84,'сентябрь 2025'!$J$2:$J$2497,Y$1)</f>
        <v>0</v>
      </c>
      <c r="Z84" s="183">
        <f>SUMIFS('сентябрь 2025'!$G$2:$G$2497,'сентябрь 2025'!$D$2:$D$2497,$B84,'сентябрь 2025'!$J$2:$J$2497,Z$1)</f>
        <v>0</v>
      </c>
      <c r="AA84" s="183">
        <f>SUMIFS('сентябрь 2025'!$G$2:$G$2497,'сентябрь 2025'!$D$2:$D$2497,$B84,'сентябрь 2025'!$J$2:$J$2497,AA$1)</f>
        <v>8</v>
      </c>
      <c r="AB84" s="183">
        <f>SUMIFS('сентябрь 2025'!$G$2:$G$2497,'сентябрь 2025'!$D$2:$D$2497,$B84,'сентябрь 2025'!$J$2:$J$2497,AB$1)</f>
        <v>0</v>
      </c>
      <c r="AC84" s="183">
        <f>SUMIFS('сентябрь 2025'!$G$2:$G$2497,'сентябрь 2025'!$D$2:$D$2497,$B84,'сентябрь 2025'!$J$2:$J$2497,AC$1)</f>
        <v>0</v>
      </c>
      <c r="AD84" s="183">
        <f>SUMIFS('сентябрь 2025'!$G$2:$G$2497,'сентябрь 2025'!$D$2:$D$2497,$B84,'сентябрь 2025'!$J$2:$J$2497,AD$1)</f>
        <v>0</v>
      </c>
      <c r="AE84" s="183">
        <f>SUMIFS('сентябрь 2025'!$G$2:$G$2497,'сентябрь 2025'!$D$2:$D$2497,$B84,'сентябрь 2025'!$J$2:$J$2497,AE$1)</f>
        <v>0</v>
      </c>
      <c r="AF84" s="183">
        <f>SUMIFS('сентябрь 2025'!$G$2:$G$2497,'сентябрь 2025'!$D$2:$D$2497,$B84,'сентябрь 2025'!$J$2:$J$2497,AF$1)</f>
        <v>0</v>
      </c>
      <c r="AG84" s="183">
        <f>SUMIFS('сентябрь 2025'!$G$2:$G$2497,'сентябрь 2025'!$D$2:$D$2497,$B84,'сентябрь 2025'!$J$2:$J$2497,AG$1)</f>
        <v>0</v>
      </c>
      <c r="AH84" s="183">
        <f>SUMIFS('сентябрь 2025'!$G$2:$G$2497,'сентябрь 2025'!$D$2:$D$2497,$B84,'сентябрь 2025'!$J$2:$J$2497,AH$1)</f>
        <v>0</v>
      </c>
      <c r="AI84" s="20">
        <f t="shared" si="1"/>
        <v>8</v>
      </c>
    </row>
    <row r="85" spans="2:35" ht="15" customHeight="1" x14ac:dyDescent="0.25">
      <c r="B85" s="88" t="s">
        <v>1426</v>
      </c>
      <c r="C85" s="86">
        <v>215.5</v>
      </c>
      <c r="D85" s="183">
        <f>SUMIFS('сентябрь 2025'!$G$2:$G$2497,'сентябрь 2025'!$D$2:$D$2497,$B85,'сентябрь 2025'!$J$2:$J$2497,D$1)</f>
        <v>0</v>
      </c>
      <c r="E85" s="183">
        <f>SUMIFS('сентябрь 2025'!$G$2:$G$2497,'сентябрь 2025'!$D$2:$D$2497,$B85,'сентябрь 2025'!$J$2:$J$2497,E$1)</f>
        <v>88</v>
      </c>
      <c r="F85" s="183">
        <f>SUMIFS('сентябрь 2025'!$G$2:$G$2497,'сентябрь 2025'!$D$2:$D$2497,$B85,'сентябрь 2025'!$J$2:$J$2497,F$1)</f>
        <v>0</v>
      </c>
      <c r="G85" s="183">
        <f>SUMIFS('сентябрь 2025'!$G$2:$G$2497,'сентябрь 2025'!$D$2:$D$2497,$B85,'сентябрь 2025'!$J$2:$J$2497,G$1)</f>
        <v>0</v>
      </c>
      <c r="H85" s="183">
        <f>SUMIFS('сентябрь 2025'!$G$2:$G$2497,'сентябрь 2025'!$D$2:$D$2497,$B85,'сентябрь 2025'!$J$2:$J$2497,H$1)</f>
        <v>0</v>
      </c>
      <c r="I85" s="183">
        <f>SUMIFS('сентябрь 2025'!$G$2:$G$2497,'сентябрь 2025'!$D$2:$D$2497,$B85,'сентябрь 2025'!$J$2:$J$2497,I$1)</f>
        <v>0</v>
      </c>
      <c r="J85" s="183">
        <f>SUMIFS('сентябрь 2025'!$G$2:$G$2497,'сентябрь 2025'!$D$2:$D$2497,$B85,'сентябрь 2025'!$J$2:$J$2497,J$1)</f>
        <v>0</v>
      </c>
      <c r="K85" s="183">
        <f>SUMIFS('сентябрь 2025'!$G$2:$G$2497,'сентябрь 2025'!$D$2:$D$2497,$B85,'сентябрь 2025'!$J$2:$J$2497,K$1)</f>
        <v>0</v>
      </c>
      <c r="L85" s="183">
        <f>SUMIFS('сентябрь 2025'!$G$2:$G$2497,'сентябрь 2025'!$D$2:$D$2497,$B85,'сентябрь 2025'!$J$2:$J$2497,L$1)</f>
        <v>0</v>
      </c>
      <c r="M85" s="183">
        <f>SUMIFS('сентябрь 2025'!$G$2:$G$2497,'сентябрь 2025'!$D$2:$D$2497,$B85,'сентябрь 2025'!$J$2:$J$2497,M$1)</f>
        <v>0</v>
      </c>
      <c r="N85" s="183">
        <f>SUMIFS('сентябрь 2025'!$G$2:$G$2497,'сентябрь 2025'!$D$2:$D$2497,$B85,'сентябрь 2025'!$J$2:$J$2497,N$1)</f>
        <v>0</v>
      </c>
      <c r="O85" s="183">
        <f>SUMIFS('сентябрь 2025'!$G$2:$G$2497,'сентябрь 2025'!$D$2:$D$2497,$B85,'сентябрь 2025'!$J$2:$J$2497,O$1)</f>
        <v>0</v>
      </c>
      <c r="P85" s="183">
        <f>SUMIFS('сентябрь 2025'!$G$2:$G$2497,'сентябрь 2025'!$D$2:$D$2497,$B85,'сентябрь 2025'!$J$2:$J$2497,P$1)</f>
        <v>0</v>
      </c>
      <c r="Q85" s="183">
        <f>SUMIFS('сентябрь 2025'!$G$2:$G$2497,'сентябрь 2025'!$D$2:$D$2497,$B85,'сентябрь 2025'!$J$2:$J$2497,Q$1)</f>
        <v>0</v>
      </c>
      <c r="R85" s="183">
        <f>SUMIFS('сентябрь 2025'!$G$2:$G$2497,'сентябрь 2025'!$D$2:$D$2497,$B85,'сентябрь 2025'!$J$2:$J$2497,R$1)</f>
        <v>0</v>
      </c>
      <c r="S85" s="183">
        <f>SUMIFS('сентябрь 2025'!$G$2:$G$2497,'сентябрь 2025'!$D$2:$D$2497,$B85,'сентябрь 2025'!$J$2:$J$2497,S$1)</f>
        <v>0</v>
      </c>
      <c r="T85" s="183">
        <f>SUMIFS('сентябрь 2025'!$G$2:$G$2497,'сентябрь 2025'!$D$2:$D$2497,$B85,'сентябрь 2025'!$J$2:$J$2497,T$1)</f>
        <v>0</v>
      </c>
      <c r="U85" s="183">
        <f>SUMIFS('сентябрь 2025'!$G$2:$G$2497,'сентябрь 2025'!$D$2:$D$2497,$B85,'сентябрь 2025'!$J$2:$J$2497,U$1)</f>
        <v>0</v>
      </c>
      <c r="V85" s="183">
        <f>SUMIFS('сентябрь 2025'!$G$2:$G$2497,'сентябрь 2025'!$D$2:$D$2497,$B85,'сентябрь 2025'!$J$2:$J$2497,V$1)</f>
        <v>0</v>
      </c>
      <c r="W85" s="183">
        <f>SUMIFS('сентябрь 2025'!$G$2:$G$2497,'сентябрь 2025'!$D$2:$D$2497,$B85,'сентябрь 2025'!$J$2:$J$2497,W$1)</f>
        <v>0</v>
      </c>
      <c r="X85" s="183">
        <f>SUMIFS('сентябрь 2025'!$G$2:$G$2497,'сентябрь 2025'!$D$2:$D$2497,$B85,'сентябрь 2025'!$J$2:$J$2497,X$1)</f>
        <v>0</v>
      </c>
      <c r="Y85" s="183">
        <f>SUMIFS('сентябрь 2025'!$G$2:$G$2497,'сентябрь 2025'!$D$2:$D$2497,$B85,'сентябрь 2025'!$J$2:$J$2497,Y$1)</f>
        <v>0</v>
      </c>
      <c r="Z85" s="183">
        <f>SUMIFS('сентябрь 2025'!$G$2:$G$2497,'сентябрь 2025'!$D$2:$D$2497,$B85,'сентябрь 2025'!$J$2:$J$2497,Z$1)</f>
        <v>0</v>
      </c>
      <c r="AA85" s="183">
        <f>SUMIFS('сентябрь 2025'!$G$2:$G$2497,'сентябрь 2025'!$D$2:$D$2497,$B85,'сентябрь 2025'!$J$2:$J$2497,AA$1)</f>
        <v>0</v>
      </c>
      <c r="AB85" s="183">
        <f>SUMIFS('сентябрь 2025'!$G$2:$G$2497,'сентябрь 2025'!$D$2:$D$2497,$B85,'сентябрь 2025'!$J$2:$J$2497,AB$1)</f>
        <v>0</v>
      </c>
      <c r="AC85" s="183">
        <f>SUMIFS('сентябрь 2025'!$G$2:$G$2497,'сентябрь 2025'!$D$2:$D$2497,$B85,'сентябрь 2025'!$J$2:$J$2497,AC$1)</f>
        <v>0</v>
      </c>
      <c r="AD85" s="183">
        <f>SUMIFS('сентябрь 2025'!$G$2:$G$2497,'сентябрь 2025'!$D$2:$D$2497,$B85,'сентябрь 2025'!$J$2:$J$2497,AD$1)</f>
        <v>0</v>
      </c>
      <c r="AE85" s="183">
        <f>SUMIFS('сентябрь 2025'!$G$2:$G$2497,'сентябрь 2025'!$D$2:$D$2497,$B85,'сентябрь 2025'!$J$2:$J$2497,AE$1)</f>
        <v>0</v>
      </c>
      <c r="AF85" s="183">
        <f>SUMIFS('сентябрь 2025'!$G$2:$G$2497,'сентябрь 2025'!$D$2:$D$2497,$B85,'сентябрь 2025'!$J$2:$J$2497,AF$1)</f>
        <v>0</v>
      </c>
      <c r="AG85" s="183">
        <f>SUMIFS('сентябрь 2025'!$G$2:$G$2497,'сентябрь 2025'!$D$2:$D$2497,$B85,'сентябрь 2025'!$J$2:$J$2497,AG$1)</f>
        <v>0</v>
      </c>
      <c r="AH85" s="183">
        <f>SUMIFS('сентябрь 2025'!$G$2:$G$2497,'сентябрь 2025'!$D$2:$D$2497,$B85,'сентябрь 2025'!$J$2:$J$2497,AH$1)</f>
        <v>0</v>
      </c>
      <c r="AI85" s="20"/>
    </row>
    <row r="86" spans="2:35" ht="15" customHeight="1" x14ac:dyDescent="0.25">
      <c r="B86" s="88" t="s">
        <v>314</v>
      </c>
      <c r="C86" s="86">
        <v>200</v>
      </c>
      <c r="D86" s="183">
        <f>SUMIFS('сентябрь 2025'!$G$2:$G$2497,'сентябрь 2025'!$D$2:$D$2497,$B86,'сентябрь 2025'!$J$2:$J$2497,D$1)</f>
        <v>0</v>
      </c>
      <c r="E86" s="183">
        <f>SUMIFS('сентябрь 2025'!$G$2:$G$2497,'сентябрь 2025'!$D$2:$D$2497,$B86,'сентябрь 2025'!$J$2:$J$2497,E$1)</f>
        <v>0</v>
      </c>
      <c r="F86" s="183">
        <f>SUMIFS('сентябрь 2025'!$G$2:$G$2497,'сентябрь 2025'!$D$2:$D$2497,$B86,'сентябрь 2025'!$J$2:$J$2497,F$1)</f>
        <v>0</v>
      </c>
      <c r="G86" s="183">
        <f>SUMIFS('сентябрь 2025'!$G$2:$G$2497,'сентябрь 2025'!$D$2:$D$2497,$B86,'сентябрь 2025'!$J$2:$J$2497,G$1)</f>
        <v>0</v>
      </c>
      <c r="H86" s="183">
        <f>SUMIFS('сентябрь 2025'!$G$2:$G$2497,'сентябрь 2025'!$D$2:$D$2497,$B86,'сентябрь 2025'!$J$2:$J$2497,H$1)</f>
        <v>0</v>
      </c>
      <c r="I86" s="183">
        <f>SUMIFS('сентябрь 2025'!$G$2:$G$2497,'сентябрь 2025'!$D$2:$D$2497,$B86,'сентябрь 2025'!$J$2:$J$2497,I$1)</f>
        <v>0</v>
      </c>
      <c r="J86" s="183">
        <f>SUMIFS('сентябрь 2025'!$G$2:$G$2497,'сентябрь 2025'!$D$2:$D$2497,$B86,'сентябрь 2025'!$J$2:$J$2497,J$1)</f>
        <v>0</v>
      </c>
      <c r="K86" s="183">
        <f>SUMIFS('сентябрь 2025'!$G$2:$G$2497,'сентябрь 2025'!$D$2:$D$2497,$B86,'сентябрь 2025'!$J$2:$J$2497,K$1)</f>
        <v>0</v>
      </c>
      <c r="L86" s="183">
        <f>SUMIFS('сентябрь 2025'!$G$2:$G$2497,'сентябрь 2025'!$D$2:$D$2497,$B86,'сентябрь 2025'!$J$2:$J$2497,L$1)</f>
        <v>0</v>
      </c>
      <c r="M86" s="183">
        <f>SUMIFS('сентябрь 2025'!$G$2:$G$2497,'сентябрь 2025'!$D$2:$D$2497,$B86,'сентябрь 2025'!$J$2:$J$2497,M$1)</f>
        <v>0</v>
      </c>
      <c r="N86" s="183">
        <f>SUMIFS('сентябрь 2025'!$G$2:$G$2497,'сентябрь 2025'!$D$2:$D$2497,$B86,'сентябрь 2025'!$J$2:$J$2497,N$1)</f>
        <v>0</v>
      </c>
      <c r="O86" s="183">
        <f>SUMIFS('сентябрь 2025'!$G$2:$G$2497,'сентябрь 2025'!$D$2:$D$2497,$B86,'сентябрь 2025'!$J$2:$J$2497,O$1)</f>
        <v>0</v>
      </c>
      <c r="P86" s="183">
        <f>SUMIFS('сентябрь 2025'!$G$2:$G$2497,'сентябрь 2025'!$D$2:$D$2497,$B86,'сентябрь 2025'!$J$2:$J$2497,P$1)</f>
        <v>0</v>
      </c>
      <c r="Q86" s="183">
        <f>SUMIFS('сентябрь 2025'!$G$2:$G$2497,'сентябрь 2025'!$D$2:$D$2497,$B86,'сентябрь 2025'!$J$2:$J$2497,Q$1)</f>
        <v>0</v>
      </c>
      <c r="R86" s="183">
        <f>SUMIFS('сентябрь 2025'!$G$2:$G$2497,'сентябрь 2025'!$D$2:$D$2497,$B86,'сентябрь 2025'!$J$2:$J$2497,R$1)</f>
        <v>0</v>
      </c>
      <c r="S86" s="183">
        <f>SUMIFS('сентябрь 2025'!$G$2:$G$2497,'сентябрь 2025'!$D$2:$D$2497,$B86,'сентябрь 2025'!$J$2:$J$2497,S$1)</f>
        <v>0</v>
      </c>
      <c r="T86" s="183">
        <f>SUMIFS('сентябрь 2025'!$G$2:$G$2497,'сентябрь 2025'!$D$2:$D$2497,$B86,'сентябрь 2025'!$J$2:$J$2497,T$1)</f>
        <v>0</v>
      </c>
      <c r="U86" s="183">
        <f>SUMIFS('сентябрь 2025'!$G$2:$G$2497,'сентябрь 2025'!$D$2:$D$2497,$B86,'сентябрь 2025'!$J$2:$J$2497,U$1)</f>
        <v>0</v>
      </c>
      <c r="V86" s="183">
        <f>SUMIFS('сентябрь 2025'!$G$2:$G$2497,'сентябрь 2025'!$D$2:$D$2497,$B86,'сентябрь 2025'!$J$2:$J$2497,V$1)</f>
        <v>0</v>
      </c>
      <c r="W86" s="183">
        <f>SUMIFS('сентябрь 2025'!$G$2:$G$2497,'сентябрь 2025'!$D$2:$D$2497,$B86,'сентябрь 2025'!$J$2:$J$2497,W$1)</f>
        <v>0</v>
      </c>
      <c r="X86" s="183">
        <f>SUMIFS('сентябрь 2025'!$G$2:$G$2497,'сентябрь 2025'!$D$2:$D$2497,$B86,'сентябрь 2025'!$J$2:$J$2497,X$1)</f>
        <v>0</v>
      </c>
      <c r="Y86" s="183">
        <f>SUMIFS('сентябрь 2025'!$G$2:$G$2497,'сентябрь 2025'!$D$2:$D$2497,$B86,'сентябрь 2025'!$J$2:$J$2497,Y$1)</f>
        <v>0</v>
      </c>
      <c r="Z86" s="183">
        <f>SUMIFS('сентябрь 2025'!$G$2:$G$2497,'сентябрь 2025'!$D$2:$D$2497,$B86,'сентябрь 2025'!$J$2:$J$2497,Z$1)</f>
        <v>0</v>
      </c>
      <c r="AA86" s="183">
        <f>SUMIFS('сентябрь 2025'!$G$2:$G$2497,'сентябрь 2025'!$D$2:$D$2497,$B86,'сентябрь 2025'!$J$2:$J$2497,AA$1)</f>
        <v>0</v>
      </c>
      <c r="AB86" s="183">
        <f>SUMIFS('сентябрь 2025'!$G$2:$G$2497,'сентябрь 2025'!$D$2:$D$2497,$B86,'сентябрь 2025'!$J$2:$J$2497,AB$1)</f>
        <v>0</v>
      </c>
      <c r="AC86" s="183">
        <f>SUMIFS('сентябрь 2025'!$G$2:$G$2497,'сентябрь 2025'!$D$2:$D$2497,$B86,'сентябрь 2025'!$J$2:$J$2497,AC$1)</f>
        <v>0</v>
      </c>
      <c r="AD86" s="183">
        <f>SUMIFS('сентябрь 2025'!$G$2:$G$2497,'сентябрь 2025'!$D$2:$D$2497,$B86,'сентябрь 2025'!$J$2:$J$2497,AD$1)</f>
        <v>0</v>
      </c>
      <c r="AE86" s="183">
        <f>SUMIFS('сентябрь 2025'!$G$2:$G$2497,'сентябрь 2025'!$D$2:$D$2497,$B86,'сентябрь 2025'!$J$2:$J$2497,AE$1)</f>
        <v>0</v>
      </c>
      <c r="AF86" s="183">
        <f>SUMIFS('сентябрь 2025'!$G$2:$G$2497,'сентябрь 2025'!$D$2:$D$2497,$B86,'сентябрь 2025'!$J$2:$J$2497,AF$1)</f>
        <v>0</v>
      </c>
      <c r="AG86" s="183">
        <f>SUMIFS('сентябрь 2025'!$G$2:$G$2497,'сентябрь 2025'!$D$2:$D$2497,$B86,'сентябрь 2025'!$J$2:$J$2497,AG$1)</f>
        <v>0</v>
      </c>
      <c r="AH86" s="183">
        <f>SUMIFS('сентябрь 2025'!$G$2:$G$2497,'сентябрь 2025'!$D$2:$D$2497,$B86,'сентябрь 2025'!$J$2:$J$2497,AH$1)</f>
        <v>0</v>
      </c>
      <c r="AI86" s="20">
        <f t="shared" si="1"/>
        <v>0</v>
      </c>
    </row>
    <row r="87" spans="2:35" ht="15" customHeight="1" x14ac:dyDescent="0.25">
      <c r="B87" s="88" t="s">
        <v>375</v>
      </c>
      <c r="C87" s="86">
        <v>210</v>
      </c>
      <c r="D87" s="183">
        <f>SUMIFS('сентябрь 2025'!$G$2:$G$2497,'сентябрь 2025'!$D$2:$D$2497,$B87,'сентябрь 2025'!$J$2:$J$2497,D$1)</f>
        <v>0</v>
      </c>
      <c r="E87" s="183">
        <f>SUMIFS('сентябрь 2025'!$G$2:$G$2497,'сентябрь 2025'!$D$2:$D$2497,$B87,'сентябрь 2025'!$J$2:$J$2497,E$1)</f>
        <v>0</v>
      </c>
      <c r="F87" s="183">
        <f>SUMIFS('сентябрь 2025'!$G$2:$G$2497,'сентябрь 2025'!$D$2:$D$2497,$B87,'сентябрь 2025'!$J$2:$J$2497,F$1)</f>
        <v>0</v>
      </c>
      <c r="G87" s="183">
        <f>SUMIFS('сентябрь 2025'!$G$2:$G$2497,'сентябрь 2025'!$D$2:$D$2497,$B87,'сентябрь 2025'!$J$2:$J$2497,G$1)</f>
        <v>0</v>
      </c>
      <c r="H87" s="183">
        <f>SUMIFS('сентябрь 2025'!$G$2:$G$2497,'сентябрь 2025'!$D$2:$D$2497,$B87,'сентябрь 2025'!$J$2:$J$2497,H$1)</f>
        <v>0</v>
      </c>
      <c r="I87" s="183">
        <f>SUMIFS('сентябрь 2025'!$G$2:$G$2497,'сентябрь 2025'!$D$2:$D$2497,$B87,'сентябрь 2025'!$J$2:$J$2497,I$1)</f>
        <v>0</v>
      </c>
      <c r="J87" s="183">
        <f>SUMIFS('сентябрь 2025'!$G$2:$G$2497,'сентябрь 2025'!$D$2:$D$2497,$B87,'сентябрь 2025'!$J$2:$J$2497,J$1)</f>
        <v>0</v>
      </c>
      <c r="K87" s="183">
        <f>SUMIFS('сентябрь 2025'!$G$2:$G$2497,'сентябрь 2025'!$D$2:$D$2497,$B87,'сентябрь 2025'!$J$2:$J$2497,K$1)</f>
        <v>0</v>
      </c>
      <c r="L87" s="183">
        <f>SUMIFS('сентябрь 2025'!$G$2:$G$2497,'сентябрь 2025'!$D$2:$D$2497,$B87,'сентябрь 2025'!$J$2:$J$2497,L$1)</f>
        <v>0</v>
      </c>
      <c r="M87" s="183">
        <f>SUMIFS('сентябрь 2025'!$G$2:$G$2497,'сентябрь 2025'!$D$2:$D$2497,$B87,'сентябрь 2025'!$J$2:$J$2497,M$1)</f>
        <v>0</v>
      </c>
      <c r="N87" s="183">
        <f>SUMIFS('сентябрь 2025'!$G$2:$G$2497,'сентябрь 2025'!$D$2:$D$2497,$B87,'сентябрь 2025'!$J$2:$J$2497,N$1)</f>
        <v>0</v>
      </c>
      <c r="O87" s="183">
        <f>SUMIFS('сентябрь 2025'!$G$2:$G$2497,'сентябрь 2025'!$D$2:$D$2497,$B87,'сентябрь 2025'!$J$2:$J$2497,O$1)</f>
        <v>0</v>
      </c>
      <c r="P87" s="183">
        <f>SUMIFS('сентябрь 2025'!$G$2:$G$2497,'сентябрь 2025'!$D$2:$D$2497,$B87,'сентябрь 2025'!$J$2:$J$2497,P$1)</f>
        <v>0</v>
      </c>
      <c r="Q87" s="183">
        <f>SUMIFS('сентябрь 2025'!$G$2:$G$2497,'сентябрь 2025'!$D$2:$D$2497,$B87,'сентябрь 2025'!$J$2:$J$2497,Q$1)</f>
        <v>0</v>
      </c>
      <c r="R87" s="183">
        <f>SUMIFS('сентябрь 2025'!$G$2:$G$2497,'сентябрь 2025'!$D$2:$D$2497,$B87,'сентябрь 2025'!$J$2:$J$2497,R$1)</f>
        <v>0</v>
      </c>
      <c r="S87" s="183">
        <f>SUMIFS('сентябрь 2025'!$G$2:$G$2497,'сентябрь 2025'!$D$2:$D$2497,$B87,'сентябрь 2025'!$J$2:$J$2497,S$1)</f>
        <v>0</v>
      </c>
      <c r="T87" s="183">
        <f>SUMIFS('сентябрь 2025'!$G$2:$G$2497,'сентябрь 2025'!$D$2:$D$2497,$B87,'сентябрь 2025'!$J$2:$J$2497,T$1)</f>
        <v>0</v>
      </c>
      <c r="U87" s="183">
        <f>SUMIFS('сентябрь 2025'!$G$2:$G$2497,'сентябрь 2025'!$D$2:$D$2497,$B87,'сентябрь 2025'!$J$2:$J$2497,U$1)</f>
        <v>0</v>
      </c>
      <c r="V87" s="183">
        <f>SUMIFS('сентябрь 2025'!$G$2:$G$2497,'сентябрь 2025'!$D$2:$D$2497,$B87,'сентябрь 2025'!$J$2:$J$2497,V$1)</f>
        <v>0</v>
      </c>
      <c r="W87" s="183">
        <f>SUMIFS('сентябрь 2025'!$G$2:$G$2497,'сентябрь 2025'!$D$2:$D$2497,$B87,'сентябрь 2025'!$J$2:$J$2497,W$1)</f>
        <v>0</v>
      </c>
      <c r="X87" s="183">
        <f>SUMIFS('сентябрь 2025'!$G$2:$G$2497,'сентябрь 2025'!$D$2:$D$2497,$B87,'сентябрь 2025'!$J$2:$J$2497,X$1)</f>
        <v>0</v>
      </c>
      <c r="Y87" s="183">
        <f>SUMIFS('сентябрь 2025'!$G$2:$G$2497,'сентябрь 2025'!$D$2:$D$2497,$B87,'сентябрь 2025'!$J$2:$J$2497,Y$1)</f>
        <v>0</v>
      </c>
      <c r="Z87" s="183">
        <f>SUMIFS('сентябрь 2025'!$G$2:$G$2497,'сентябрь 2025'!$D$2:$D$2497,$B87,'сентябрь 2025'!$J$2:$J$2497,Z$1)</f>
        <v>0</v>
      </c>
      <c r="AA87" s="183">
        <f>SUMIFS('сентябрь 2025'!$G$2:$G$2497,'сентябрь 2025'!$D$2:$D$2497,$B87,'сентябрь 2025'!$J$2:$J$2497,AA$1)</f>
        <v>0</v>
      </c>
      <c r="AB87" s="183">
        <f>SUMIFS('сентябрь 2025'!$G$2:$G$2497,'сентябрь 2025'!$D$2:$D$2497,$B87,'сентябрь 2025'!$J$2:$J$2497,AB$1)</f>
        <v>0</v>
      </c>
      <c r="AC87" s="183">
        <f>SUMIFS('сентябрь 2025'!$G$2:$G$2497,'сентябрь 2025'!$D$2:$D$2497,$B87,'сентябрь 2025'!$J$2:$J$2497,AC$1)</f>
        <v>0</v>
      </c>
      <c r="AD87" s="183">
        <f>SUMIFS('сентябрь 2025'!$G$2:$G$2497,'сентябрь 2025'!$D$2:$D$2497,$B87,'сентябрь 2025'!$J$2:$J$2497,AD$1)</f>
        <v>0</v>
      </c>
      <c r="AE87" s="183">
        <f>SUMIFS('сентябрь 2025'!$G$2:$G$2497,'сентябрь 2025'!$D$2:$D$2497,$B87,'сентябрь 2025'!$J$2:$J$2497,AE$1)</f>
        <v>0</v>
      </c>
      <c r="AF87" s="183">
        <f>SUMIFS('сентябрь 2025'!$G$2:$G$2497,'сентябрь 2025'!$D$2:$D$2497,$B87,'сентябрь 2025'!$J$2:$J$2497,AF$1)</f>
        <v>0</v>
      </c>
      <c r="AG87" s="183">
        <f>SUMIFS('сентябрь 2025'!$G$2:$G$2497,'сентябрь 2025'!$D$2:$D$2497,$B87,'сентябрь 2025'!$J$2:$J$2497,AG$1)</f>
        <v>0</v>
      </c>
      <c r="AH87" s="183">
        <f>SUMIFS('сентябрь 2025'!$G$2:$G$2497,'сентябрь 2025'!$D$2:$D$2497,$B87,'сентябрь 2025'!$J$2:$J$2497,AH$1)</f>
        <v>0</v>
      </c>
      <c r="AI87" s="20">
        <f t="shared" si="1"/>
        <v>0</v>
      </c>
    </row>
    <row r="88" spans="2:35" ht="15" customHeight="1" x14ac:dyDescent="0.25">
      <c r="B88" s="88" t="s">
        <v>1255</v>
      </c>
      <c r="C88" s="86">
        <v>1000</v>
      </c>
      <c r="D88" s="183">
        <f>SUMIFS('сентябрь 2025'!$G$2:$G$2497,'сентябрь 2025'!$D$2:$D$2497,$B88,'сентябрь 2025'!$J$2:$J$2497,D$1)</f>
        <v>0</v>
      </c>
      <c r="E88" s="183">
        <f>SUMIFS('сентябрь 2025'!$G$2:$G$2497,'сентябрь 2025'!$D$2:$D$2497,$B88,'сентябрь 2025'!$J$2:$J$2497,E$1)</f>
        <v>0</v>
      </c>
      <c r="F88" s="183">
        <f>SUMIFS('сентябрь 2025'!$G$2:$G$2497,'сентябрь 2025'!$D$2:$D$2497,$B88,'сентябрь 2025'!$J$2:$J$2497,F$1)</f>
        <v>0</v>
      </c>
      <c r="G88" s="183">
        <f>SUMIFS('сентябрь 2025'!$G$2:$G$2497,'сентябрь 2025'!$D$2:$D$2497,$B88,'сентябрь 2025'!$J$2:$J$2497,G$1)</f>
        <v>0</v>
      </c>
      <c r="H88" s="183">
        <f>SUMIFS('сентябрь 2025'!$G$2:$G$2497,'сентябрь 2025'!$D$2:$D$2497,$B88,'сентябрь 2025'!$J$2:$J$2497,H$1)</f>
        <v>0</v>
      </c>
      <c r="I88" s="183">
        <f>SUMIFS('сентябрь 2025'!$G$2:$G$2497,'сентябрь 2025'!$D$2:$D$2497,$B88,'сентябрь 2025'!$J$2:$J$2497,I$1)</f>
        <v>0</v>
      </c>
      <c r="J88" s="183">
        <f>SUMIFS('сентябрь 2025'!$G$2:$G$2497,'сентябрь 2025'!$D$2:$D$2497,$B88,'сентябрь 2025'!$J$2:$J$2497,J$1)</f>
        <v>0</v>
      </c>
      <c r="K88" s="183">
        <f>SUMIFS('сентябрь 2025'!$G$2:$G$2497,'сентябрь 2025'!$D$2:$D$2497,$B88,'сентябрь 2025'!$J$2:$J$2497,K$1)</f>
        <v>0</v>
      </c>
      <c r="L88" s="183">
        <f>SUMIFS('сентябрь 2025'!$G$2:$G$2497,'сентябрь 2025'!$D$2:$D$2497,$B88,'сентябрь 2025'!$J$2:$J$2497,L$1)</f>
        <v>0</v>
      </c>
      <c r="M88" s="183">
        <f>SUMIFS('сентябрь 2025'!$G$2:$G$2497,'сентябрь 2025'!$D$2:$D$2497,$B88,'сентябрь 2025'!$J$2:$J$2497,M$1)</f>
        <v>0</v>
      </c>
      <c r="N88" s="183">
        <f>SUMIFS('сентябрь 2025'!$G$2:$G$2497,'сентябрь 2025'!$D$2:$D$2497,$B88,'сентябрь 2025'!$J$2:$J$2497,N$1)</f>
        <v>0</v>
      </c>
      <c r="O88" s="183">
        <f>SUMIFS('сентябрь 2025'!$G$2:$G$2497,'сентябрь 2025'!$D$2:$D$2497,$B88,'сентябрь 2025'!$J$2:$J$2497,O$1)</f>
        <v>0</v>
      </c>
      <c r="P88" s="183">
        <f>SUMIFS('сентябрь 2025'!$G$2:$G$2497,'сентябрь 2025'!$D$2:$D$2497,$B88,'сентябрь 2025'!$J$2:$J$2497,P$1)</f>
        <v>0</v>
      </c>
      <c r="Q88" s="183">
        <f>SUMIFS('сентябрь 2025'!$G$2:$G$2497,'сентябрь 2025'!$D$2:$D$2497,$B88,'сентябрь 2025'!$J$2:$J$2497,Q$1)</f>
        <v>0</v>
      </c>
      <c r="R88" s="183">
        <f>SUMIFS('сентябрь 2025'!$G$2:$G$2497,'сентябрь 2025'!$D$2:$D$2497,$B88,'сентябрь 2025'!$J$2:$J$2497,R$1)</f>
        <v>0</v>
      </c>
      <c r="S88" s="183">
        <f>SUMIFS('сентябрь 2025'!$G$2:$G$2497,'сентябрь 2025'!$D$2:$D$2497,$B88,'сентябрь 2025'!$J$2:$J$2497,S$1)</f>
        <v>0</v>
      </c>
      <c r="T88" s="183">
        <f>SUMIFS('сентябрь 2025'!$G$2:$G$2497,'сентябрь 2025'!$D$2:$D$2497,$B88,'сентябрь 2025'!$J$2:$J$2497,T$1)</f>
        <v>0</v>
      </c>
      <c r="U88" s="183">
        <f>SUMIFS('сентябрь 2025'!$G$2:$G$2497,'сентябрь 2025'!$D$2:$D$2497,$B88,'сентябрь 2025'!$J$2:$J$2497,U$1)</f>
        <v>0</v>
      </c>
      <c r="V88" s="183">
        <f>SUMIFS('сентябрь 2025'!$G$2:$G$2497,'сентябрь 2025'!$D$2:$D$2497,$B88,'сентябрь 2025'!$J$2:$J$2497,V$1)</f>
        <v>0</v>
      </c>
      <c r="W88" s="183">
        <f>SUMIFS('сентябрь 2025'!$G$2:$G$2497,'сентябрь 2025'!$D$2:$D$2497,$B88,'сентябрь 2025'!$J$2:$J$2497,W$1)</f>
        <v>0</v>
      </c>
      <c r="X88" s="183">
        <f>SUMIFS('сентябрь 2025'!$G$2:$G$2497,'сентябрь 2025'!$D$2:$D$2497,$B88,'сентябрь 2025'!$J$2:$J$2497,X$1)</f>
        <v>0</v>
      </c>
      <c r="Y88" s="183">
        <f>SUMIFS('сентябрь 2025'!$G$2:$G$2497,'сентябрь 2025'!$D$2:$D$2497,$B88,'сентябрь 2025'!$J$2:$J$2497,Y$1)</f>
        <v>0</v>
      </c>
      <c r="Z88" s="183">
        <f>SUMIFS('сентябрь 2025'!$G$2:$G$2497,'сентябрь 2025'!$D$2:$D$2497,$B88,'сентябрь 2025'!$J$2:$J$2497,Z$1)</f>
        <v>0</v>
      </c>
      <c r="AA88" s="183">
        <f>SUMIFS('сентябрь 2025'!$G$2:$G$2497,'сентябрь 2025'!$D$2:$D$2497,$B88,'сентябрь 2025'!$J$2:$J$2497,AA$1)</f>
        <v>0</v>
      </c>
      <c r="AB88" s="183">
        <f>SUMIFS('сентябрь 2025'!$G$2:$G$2497,'сентябрь 2025'!$D$2:$D$2497,$B88,'сентябрь 2025'!$J$2:$J$2497,AB$1)</f>
        <v>0</v>
      </c>
      <c r="AC88" s="183">
        <f>SUMIFS('сентябрь 2025'!$G$2:$G$2497,'сентябрь 2025'!$D$2:$D$2497,$B88,'сентябрь 2025'!$J$2:$J$2497,AC$1)</f>
        <v>0</v>
      </c>
      <c r="AD88" s="183">
        <f>SUMIFS('сентябрь 2025'!$G$2:$G$2497,'сентябрь 2025'!$D$2:$D$2497,$B88,'сентябрь 2025'!$J$2:$J$2497,AD$1)</f>
        <v>0</v>
      </c>
      <c r="AE88" s="183">
        <f>SUMIFS('сентябрь 2025'!$G$2:$G$2497,'сентябрь 2025'!$D$2:$D$2497,$B88,'сентябрь 2025'!$J$2:$J$2497,AE$1)</f>
        <v>0</v>
      </c>
      <c r="AF88" s="183">
        <f>SUMIFS('сентябрь 2025'!$G$2:$G$2497,'сентябрь 2025'!$D$2:$D$2497,$B88,'сентябрь 2025'!$J$2:$J$2497,AF$1)</f>
        <v>0</v>
      </c>
      <c r="AG88" s="183">
        <f>SUMIFS('сентябрь 2025'!$G$2:$G$2497,'сентябрь 2025'!$D$2:$D$2497,$B88,'сентябрь 2025'!$J$2:$J$2497,AG$1)</f>
        <v>0</v>
      </c>
      <c r="AH88" s="183">
        <f>SUMIFS('сентябрь 2025'!$G$2:$G$2497,'сентябрь 2025'!$D$2:$D$2497,$B88,'сентябрь 2025'!$J$2:$J$2497,AH$1)</f>
        <v>0</v>
      </c>
      <c r="AI88" s="20">
        <f t="shared" si="1"/>
        <v>0</v>
      </c>
    </row>
    <row r="89" spans="2:35" ht="15" customHeight="1" x14ac:dyDescent="0.25">
      <c r="B89" s="88" t="s">
        <v>257</v>
      </c>
      <c r="C89" s="86">
        <v>190</v>
      </c>
      <c r="D89" s="183">
        <f>SUMIFS('сентябрь 2025'!$G$2:$G$2497,'сентябрь 2025'!$D$2:$D$2497,$B89,'сентябрь 2025'!$J$2:$J$2497,D$1)</f>
        <v>0</v>
      </c>
      <c r="E89" s="183">
        <f>SUMIFS('сентябрь 2025'!$G$2:$G$2497,'сентябрь 2025'!$D$2:$D$2497,$B89,'сентябрь 2025'!$J$2:$J$2497,E$1)</f>
        <v>0</v>
      </c>
      <c r="F89" s="183">
        <f>SUMIFS('сентябрь 2025'!$G$2:$G$2497,'сентябрь 2025'!$D$2:$D$2497,$B89,'сентябрь 2025'!$J$2:$J$2497,F$1)</f>
        <v>0</v>
      </c>
      <c r="G89" s="183">
        <f>SUMIFS('сентябрь 2025'!$G$2:$G$2497,'сентябрь 2025'!$D$2:$D$2497,$B89,'сентябрь 2025'!$J$2:$J$2497,G$1)</f>
        <v>0</v>
      </c>
      <c r="H89" s="183">
        <f>SUMIFS('сентябрь 2025'!$G$2:$G$2497,'сентябрь 2025'!$D$2:$D$2497,$B89,'сентябрь 2025'!$J$2:$J$2497,H$1)</f>
        <v>0</v>
      </c>
      <c r="I89" s="183">
        <f>SUMIFS('сентябрь 2025'!$G$2:$G$2497,'сентябрь 2025'!$D$2:$D$2497,$B89,'сентябрь 2025'!$J$2:$J$2497,I$1)</f>
        <v>0</v>
      </c>
      <c r="J89" s="183">
        <f>SUMIFS('сентябрь 2025'!$G$2:$G$2497,'сентябрь 2025'!$D$2:$D$2497,$B89,'сентябрь 2025'!$J$2:$J$2497,J$1)</f>
        <v>0</v>
      </c>
      <c r="K89" s="183">
        <f>SUMIFS('сентябрь 2025'!$G$2:$G$2497,'сентябрь 2025'!$D$2:$D$2497,$B89,'сентябрь 2025'!$J$2:$J$2497,K$1)</f>
        <v>0</v>
      </c>
      <c r="L89" s="183">
        <f>SUMIFS('сентябрь 2025'!$G$2:$G$2497,'сентябрь 2025'!$D$2:$D$2497,$B89,'сентябрь 2025'!$J$2:$J$2497,L$1)</f>
        <v>0</v>
      </c>
      <c r="M89" s="183">
        <f>SUMIFS('сентябрь 2025'!$G$2:$G$2497,'сентябрь 2025'!$D$2:$D$2497,$B89,'сентябрь 2025'!$J$2:$J$2497,M$1)</f>
        <v>0</v>
      </c>
      <c r="N89" s="183">
        <f>SUMIFS('сентябрь 2025'!$G$2:$G$2497,'сентябрь 2025'!$D$2:$D$2497,$B89,'сентябрь 2025'!$J$2:$J$2497,N$1)</f>
        <v>0</v>
      </c>
      <c r="O89" s="183">
        <f>SUMIFS('сентябрь 2025'!$G$2:$G$2497,'сентябрь 2025'!$D$2:$D$2497,$B89,'сентябрь 2025'!$J$2:$J$2497,O$1)</f>
        <v>0</v>
      </c>
      <c r="P89" s="183">
        <f>SUMIFS('сентябрь 2025'!$G$2:$G$2497,'сентябрь 2025'!$D$2:$D$2497,$B89,'сентябрь 2025'!$J$2:$J$2497,P$1)</f>
        <v>0</v>
      </c>
      <c r="Q89" s="183">
        <f>SUMIFS('сентябрь 2025'!$G$2:$G$2497,'сентябрь 2025'!$D$2:$D$2497,$B89,'сентябрь 2025'!$J$2:$J$2497,Q$1)</f>
        <v>0</v>
      </c>
      <c r="R89" s="183">
        <f>SUMIFS('сентябрь 2025'!$G$2:$G$2497,'сентябрь 2025'!$D$2:$D$2497,$B89,'сентябрь 2025'!$J$2:$J$2497,R$1)</f>
        <v>0</v>
      </c>
      <c r="S89" s="183">
        <f>SUMIFS('сентябрь 2025'!$G$2:$G$2497,'сентябрь 2025'!$D$2:$D$2497,$B89,'сентябрь 2025'!$J$2:$J$2497,S$1)</f>
        <v>0</v>
      </c>
      <c r="T89" s="183">
        <f>SUMIFS('сентябрь 2025'!$G$2:$G$2497,'сентябрь 2025'!$D$2:$D$2497,$B89,'сентябрь 2025'!$J$2:$J$2497,T$1)</f>
        <v>0</v>
      </c>
      <c r="U89" s="183">
        <f>SUMIFS('сентябрь 2025'!$G$2:$G$2497,'сентябрь 2025'!$D$2:$D$2497,$B89,'сентябрь 2025'!$J$2:$J$2497,U$1)</f>
        <v>0</v>
      </c>
      <c r="V89" s="183">
        <f>SUMIFS('сентябрь 2025'!$G$2:$G$2497,'сентябрь 2025'!$D$2:$D$2497,$B89,'сентябрь 2025'!$J$2:$J$2497,V$1)</f>
        <v>0</v>
      </c>
      <c r="W89" s="183">
        <f>SUMIFS('сентябрь 2025'!$G$2:$G$2497,'сентябрь 2025'!$D$2:$D$2497,$B89,'сентябрь 2025'!$J$2:$J$2497,W$1)</f>
        <v>0</v>
      </c>
      <c r="X89" s="183">
        <f>SUMIFS('сентябрь 2025'!$G$2:$G$2497,'сентябрь 2025'!$D$2:$D$2497,$B89,'сентябрь 2025'!$J$2:$J$2497,X$1)</f>
        <v>0</v>
      </c>
      <c r="Y89" s="183">
        <f>SUMIFS('сентябрь 2025'!$G$2:$G$2497,'сентябрь 2025'!$D$2:$D$2497,$B89,'сентябрь 2025'!$J$2:$J$2497,Y$1)</f>
        <v>0</v>
      </c>
      <c r="Z89" s="183">
        <f>SUMIFS('сентябрь 2025'!$G$2:$G$2497,'сентябрь 2025'!$D$2:$D$2497,$B89,'сентябрь 2025'!$J$2:$J$2497,Z$1)</f>
        <v>0</v>
      </c>
      <c r="AA89" s="183">
        <f>SUMIFS('сентябрь 2025'!$G$2:$G$2497,'сентябрь 2025'!$D$2:$D$2497,$B89,'сентябрь 2025'!$J$2:$J$2497,AA$1)</f>
        <v>0</v>
      </c>
      <c r="AB89" s="183">
        <f>SUMIFS('сентябрь 2025'!$G$2:$G$2497,'сентябрь 2025'!$D$2:$D$2497,$B89,'сентябрь 2025'!$J$2:$J$2497,AB$1)</f>
        <v>0</v>
      </c>
      <c r="AC89" s="183">
        <f>SUMIFS('сентябрь 2025'!$G$2:$G$2497,'сентябрь 2025'!$D$2:$D$2497,$B89,'сентябрь 2025'!$J$2:$J$2497,AC$1)</f>
        <v>0</v>
      </c>
      <c r="AD89" s="183">
        <f>SUMIFS('сентябрь 2025'!$G$2:$G$2497,'сентябрь 2025'!$D$2:$D$2497,$B89,'сентябрь 2025'!$J$2:$J$2497,AD$1)</f>
        <v>0</v>
      </c>
      <c r="AE89" s="183">
        <f>SUMIFS('сентябрь 2025'!$G$2:$G$2497,'сентябрь 2025'!$D$2:$D$2497,$B89,'сентябрь 2025'!$J$2:$J$2497,AE$1)</f>
        <v>0</v>
      </c>
      <c r="AF89" s="183">
        <f>SUMIFS('сентябрь 2025'!$G$2:$G$2497,'сентябрь 2025'!$D$2:$D$2497,$B89,'сентябрь 2025'!$J$2:$J$2497,AF$1)</f>
        <v>0</v>
      </c>
      <c r="AG89" s="183">
        <f>SUMIFS('сентябрь 2025'!$G$2:$G$2497,'сентябрь 2025'!$D$2:$D$2497,$B89,'сентябрь 2025'!$J$2:$J$2497,AG$1)</f>
        <v>0</v>
      </c>
      <c r="AH89" s="183">
        <f>SUMIFS('сентябрь 2025'!$G$2:$G$2497,'сентябрь 2025'!$D$2:$D$2497,$B89,'сентябрь 2025'!$J$2:$J$2497,AH$1)</f>
        <v>0</v>
      </c>
      <c r="AI89" s="20">
        <f t="shared" si="1"/>
        <v>0</v>
      </c>
    </row>
    <row r="90" spans="2:35" ht="15" customHeight="1" x14ac:dyDescent="0.25">
      <c r="B90" s="84" t="s">
        <v>1396</v>
      </c>
      <c r="C90" s="86">
        <v>180</v>
      </c>
      <c r="D90" s="183">
        <f>SUMIFS('сентябрь 2025'!$G$2:$G$2497,'сентябрь 2025'!$D$2:$D$2497,$B90,'сентябрь 2025'!$J$2:$J$2497,D$1)</f>
        <v>0</v>
      </c>
      <c r="E90" s="183">
        <f>SUMIFS('сентябрь 2025'!$G$2:$G$2497,'сентябрь 2025'!$D$2:$D$2497,$B90,'сентябрь 2025'!$J$2:$J$2497,E$1)</f>
        <v>0</v>
      </c>
      <c r="F90" s="183">
        <f>SUMIFS('сентябрь 2025'!$G$2:$G$2497,'сентябрь 2025'!$D$2:$D$2497,$B90,'сентябрь 2025'!$J$2:$J$2497,F$1)</f>
        <v>0</v>
      </c>
      <c r="G90" s="183">
        <f>SUMIFS('сентябрь 2025'!$G$2:$G$2497,'сентябрь 2025'!$D$2:$D$2497,$B90,'сентябрь 2025'!$J$2:$J$2497,G$1)</f>
        <v>0</v>
      </c>
      <c r="H90" s="183">
        <f>SUMIFS('сентябрь 2025'!$G$2:$G$2497,'сентябрь 2025'!$D$2:$D$2497,$B90,'сентябрь 2025'!$J$2:$J$2497,H$1)</f>
        <v>0</v>
      </c>
      <c r="I90" s="183">
        <f>SUMIFS('сентябрь 2025'!$G$2:$G$2497,'сентябрь 2025'!$D$2:$D$2497,$B90,'сентябрь 2025'!$J$2:$J$2497,I$1)</f>
        <v>0</v>
      </c>
      <c r="J90" s="183">
        <f>SUMIFS('сентябрь 2025'!$G$2:$G$2497,'сентябрь 2025'!$D$2:$D$2497,$B90,'сентябрь 2025'!$J$2:$J$2497,J$1)</f>
        <v>0</v>
      </c>
      <c r="K90" s="183">
        <f>SUMIFS('сентябрь 2025'!$G$2:$G$2497,'сентябрь 2025'!$D$2:$D$2497,$B90,'сентябрь 2025'!$J$2:$J$2497,K$1)</f>
        <v>0</v>
      </c>
      <c r="L90" s="183">
        <f>SUMIFS('сентябрь 2025'!$G$2:$G$2497,'сентябрь 2025'!$D$2:$D$2497,$B90,'сентябрь 2025'!$J$2:$J$2497,L$1)</f>
        <v>0</v>
      </c>
      <c r="M90" s="183">
        <f>SUMIFS('сентябрь 2025'!$G$2:$G$2497,'сентябрь 2025'!$D$2:$D$2497,$B90,'сентябрь 2025'!$J$2:$J$2497,M$1)</f>
        <v>0</v>
      </c>
      <c r="N90" s="183">
        <f>SUMIFS('сентябрь 2025'!$G$2:$G$2497,'сентябрь 2025'!$D$2:$D$2497,$B90,'сентябрь 2025'!$J$2:$J$2497,N$1)</f>
        <v>0</v>
      </c>
      <c r="O90" s="183">
        <f>SUMIFS('сентябрь 2025'!$G$2:$G$2497,'сентябрь 2025'!$D$2:$D$2497,$B90,'сентябрь 2025'!$J$2:$J$2497,O$1)</f>
        <v>0</v>
      </c>
      <c r="P90" s="183">
        <f>SUMIFS('сентябрь 2025'!$G$2:$G$2497,'сентябрь 2025'!$D$2:$D$2497,$B90,'сентябрь 2025'!$J$2:$J$2497,P$1)</f>
        <v>0</v>
      </c>
      <c r="Q90" s="183">
        <f>SUMIFS('сентябрь 2025'!$G$2:$G$2497,'сентябрь 2025'!$D$2:$D$2497,$B90,'сентябрь 2025'!$J$2:$J$2497,Q$1)</f>
        <v>0</v>
      </c>
      <c r="R90" s="183">
        <f>SUMIFS('сентябрь 2025'!$G$2:$G$2497,'сентябрь 2025'!$D$2:$D$2497,$B90,'сентябрь 2025'!$J$2:$J$2497,R$1)</f>
        <v>0</v>
      </c>
      <c r="S90" s="183">
        <f>SUMIFS('сентябрь 2025'!$G$2:$G$2497,'сентябрь 2025'!$D$2:$D$2497,$B90,'сентябрь 2025'!$J$2:$J$2497,S$1)</f>
        <v>0</v>
      </c>
      <c r="T90" s="183">
        <f>SUMIFS('сентябрь 2025'!$G$2:$G$2497,'сентябрь 2025'!$D$2:$D$2497,$B90,'сентябрь 2025'!$J$2:$J$2497,T$1)</f>
        <v>0</v>
      </c>
      <c r="U90" s="183">
        <f>SUMIFS('сентябрь 2025'!$G$2:$G$2497,'сентябрь 2025'!$D$2:$D$2497,$B90,'сентябрь 2025'!$J$2:$J$2497,U$1)</f>
        <v>0</v>
      </c>
      <c r="V90" s="183">
        <f>SUMIFS('сентябрь 2025'!$G$2:$G$2497,'сентябрь 2025'!$D$2:$D$2497,$B90,'сентябрь 2025'!$J$2:$J$2497,V$1)</f>
        <v>0</v>
      </c>
      <c r="W90" s="183">
        <f>SUMIFS('сентябрь 2025'!$G$2:$G$2497,'сентябрь 2025'!$D$2:$D$2497,$B90,'сентябрь 2025'!$J$2:$J$2497,W$1)</f>
        <v>0</v>
      </c>
      <c r="X90" s="183">
        <f>SUMIFS('сентябрь 2025'!$G$2:$G$2497,'сентябрь 2025'!$D$2:$D$2497,$B90,'сентябрь 2025'!$J$2:$J$2497,X$1)</f>
        <v>0</v>
      </c>
      <c r="Y90" s="183">
        <f>SUMIFS('сентябрь 2025'!$G$2:$G$2497,'сентябрь 2025'!$D$2:$D$2497,$B90,'сентябрь 2025'!$J$2:$J$2497,Y$1)</f>
        <v>0</v>
      </c>
      <c r="Z90" s="183">
        <f>SUMIFS('сентябрь 2025'!$G$2:$G$2497,'сентябрь 2025'!$D$2:$D$2497,$B90,'сентябрь 2025'!$J$2:$J$2497,Z$1)</f>
        <v>0</v>
      </c>
      <c r="AA90" s="183">
        <f>SUMIFS('сентябрь 2025'!$G$2:$G$2497,'сентябрь 2025'!$D$2:$D$2497,$B90,'сентябрь 2025'!$J$2:$J$2497,AA$1)</f>
        <v>0</v>
      </c>
      <c r="AB90" s="183">
        <f>SUMIFS('сентябрь 2025'!$G$2:$G$2497,'сентябрь 2025'!$D$2:$D$2497,$B90,'сентябрь 2025'!$J$2:$J$2497,AB$1)</f>
        <v>0</v>
      </c>
      <c r="AC90" s="183">
        <f>SUMIFS('сентябрь 2025'!$G$2:$G$2497,'сентябрь 2025'!$D$2:$D$2497,$B90,'сентябрь 2025'!$J$2:$J$2497,AC$1)</f>
        <v>0</v>
      </c>
      <c r="AD90" s="183">
        <f>SUMIFS('сентябрь 2025'!$G$2:$G$2497,'сентябрь 2025'!$D$2:$D$2497,$B90,'сентябрь 2025'!$J$2:$J$2497,AD$1)</f>
        <v>0</v>
      </c>
      <c r="AE90" s="183">
        <f>SUMIFS('сентябрь 2025'!$G$2:$G$2497,'сентябрь 2025'!$D$2:$D$2497,$B90,'сентябрь 2025'!$J$2:$J$2497,AE$1)</f>
        <v>0</v>
      </c>
      <c r="AF90" s="183">
        <f>SUMIFS('сентябрь 2025'!$G$2:$G$2497,'сентябрь 2025'!$D$2:$D$2497,$B90,'сентябрь 2025'!$J$2:$J$2497,AF$1)</f>
        <v>0</v>
      </c>
      <c r="AG90" s="183">
        <f>SUMIFS('сентябрь 2025'!$G$2:$G$2497,'сентябрь 2025'!$D$2:$D$2497,$B90,'сентябрь 2025'!$J$2:$J$2497,AG$1)</f>
        <v>0</v>
      </c>
      <c r="AH90" s="183">
        <f>SUMIFS('сентябрь 2025'!$G$2:$G$2497,'сентябрь 2025'!$D$2:$D$2497,$B90,'сентябрь 2025'!$J$2:$J$2497,AH$1)</f>
        <v>0</v>
      </c>
      <c r="AI90" s="20">
        <f t="shared" si="1"/>
        <v>0</v>
      </c>
    </row>
    <row r="91" spans="2:35" ht="15" customHeight="1" x14ac:dyDescent="0.25">
      <c r="B91" s="84" t="s">
        <v>189</v>
      </c>
      <c r="C91" s="83">
        <v>180</v>
      </c>
      <c r="D91" s="183">
        <f>SUMIFS('сентябрь 2025'!$G$2:$G$2497,'сентябрь 2025'!$D$2:$D$2497,$B91,'сентябрь 2025'!$J$2:$J$2497,D$1)</f>
        <v>0</v>
      </c>
      <c r="E91" s="183">
        <f>SUMIFS('сентябрь 2025'!$G$2:$G$2497,'сентябрь 2025'!$D$2:$D$2497,$B91,'сентябрь 2025'!$J$2:$J$2497,E$1)</f>
        <v>0</v>
      </c>
      <c r="F91" s="183">
        <f>SUMIFS('сентябрь 2025'!$G$2:$G$2497,'сентябрь 2025'!$D$2:$D$2497,$B91,'сентябрь 2025'!$J$2:$J$2497,F$1)</f>
        <v>0</v>
      </c>
      <c r="G91" s="183">
        <f>SUMIFS('сентябрь 2025'!$G$2:$G$2497,'сентябрь 2025'!$D$2:$D$2497,$B91,'сентябрь 2025'!$J$2:$J$2497,G$1)</f>
        <v>0</v>
      </c>
      <c r="H91" s="183">
        <f>SUMIFS('сентябрь 2025'!$G$2:$G$2497,'сентябрь 2025'!$D$2:$D$2497,$B91,'сентябрь 2025'!$J$2:$J$2497,H$1)</f>
        <v>0</v>
      </c>
      <c r="I91" s="183">
        <f>SUMIFS('сентябрь 2025'!$G$2:$G$2497,'сентябрь 2025'!$D$2:$D$2497,$B91,'сентябрь 2025'!$J$2:$J$2497,I$1)</f>
        <v>0</v>
      </c>
      <c r="J91" s="183">
        <f>SUMIFS('сентябрь 2025'!$G$2:$G$2497,'сентябрь 2025'!$D$2:$D$2497,$B91,'сентябрь 2025'!$J$2:$J$2497,J$1)</f>
        <v>0</v>
      </c>
      <c r="K91" s="183">
        <f>SUMIFS('сентябрь 2025'!$G$2:$G$2497,'сентябрь 2025'!$D$2:$D$2497,$B91,'сентябрь 2025'!$J$2:$J$2497,K$1)</f>
        <v>0</v>
      </c>
      <c r="L91" s="183">
        <f>SUMIFS('сентябрь 2025'!$G$2:$G$2497,'сентябрь 2025'!$D$2:$D$2497,$B91,'сентябрь 2025'!$J$2:$J$2497,L$1)</f>
        <v>0</v>
      </c>
      <c r="M91" s="183">
        <f>SUMIFS('сентябрь 2025'!$G$2:$G$2497,'сентябрь 2025'!$D$2:$D$2497,$B91,'сентябрь 2025'!$J$2:$J$2497,M$1)</f>
        <v>0</v>
      </c>
      <c r="N91" s="183">
        <f>SUMIFS('сентябрь 2025'!$G$2:$G$2497,'сентябрь 2025'!$D$2:$D$2497,$B91,'сентябрь 2025'!$J$2:$J$2497,N$1)</f>
        <v>0</v>
      </c>
      <c r="O91" s="183">
        <f>SUMIFS('сентябрь 2025'!$G$2:$G$2497,'сентябрь 2025'!$D$2:$D$2497,$B91,'сентябрь 2025'!$J$2:$J$2497,O$1)</f>
        <v>0</v>
      </c>
      <c r="P91" s="183">
        <f>SUMIFS('сентябрь 2025'!$G$2:$G$2497,'сентябрь 2025'!$D$2:$D$2497,$B91,'сентябрь 2025'!$J$2:$J$2497,P$1)</f>
        <v>0</v>
      </c>
      <c r="Q91" s="183">
        <f>SUMIFS('сентябрь 2025'!$G$2:$G$2497,'сентябрь 2025'!$D$2:$D$2497,$B91,'сентябрь 2025'!$J$2:$J$2497,Q$1)</f>
        <v>0</v>
      </c>
      <c r="R91" s="183">
        <f>SUMIFS('сентябрь 2025'!$G$2:$G$2497,'сентябрь 2025'!$D$2:$D$2497,$B91,'сентябрь 2025'!$J$2:$J$2497,R$1)</f>
        <v>0</v>
      </c>
      <c r="S91" s="183">
        <f>SUMIFS('сентябрь 2025'!$G$2:$G$2497,'сентябрь 2025'!$D$2:$D$2497,$B91,'сентябрь 2025'!$J$2:$J$2497,S$1)</f>
        <v>0</v>
      </c>
      <c r="T91" s="183">
        <f>SUMIFS('сентябрь 2025'!$G$2:$G$2497,'сентябрь 2025'!$D$2:$D$2497,$B91,'сентябрь 2025'!$J$2:$J$2497,T$1)</f>
        <v>0</v>
      </c>
      <c r="U91" s="183">
        <f>SUMIFS('сентябрь 2025'!$G$2:$G$2497,'сентябрь 2025'!$D$2:$D$2497,$B91,'сентябрь 2025'!$J$2:$J$2497,U$1)</f>
        <v>0</v>
      </c>
      <c r="V91" s="183">
        <f>SUMIFS('сентябрь 2025'!$G$2:$G$2497,'сентябрь 2025'!$D$2:$D$2497,$B91,'сентябрь 2025'!$J$2:$J$2497,V$1)</f>
        <v>0</v>
      </c>
      <c r="W91" s="183">
        <f>SUMIFS('сентябрь 2025'!$G$2:$G$2497,'сентябрь 2025'!$D$2:$D$2497,$B91,'сентябрь 2025'!$J$2:$J$2497,W$1)</f>
        <v>0</v>
      </c>
      <c r="X91" s="183">
        <f>SUMIFS('сентябрь 2025'!$G$2:$G$2497,'сентябрь 2025'!$D$2:$D$2497,$B91,'сентябрь 2025'!$J$2:$J$2497,X$1)</f>
        <v>0</v>
      </c>
      <c r="Y91" s="183">
        <f>SUMIFS('сентябрь 2025'!$G$2:$G$2497,'сентябрь 2025'!$D$2:$D$2497,$B91,'сентябрь 2025'!$J$2:$J$2497,Y$1)</f>
        <v>0</v>
      </c>
      <c r="Z91" s="183">
        <f>SUMIFS('сентябрь 2025'!$G$2:$G$2497,'сентябрь 2025'!$D$2:$D$2497,$B91,'сентябрь 2025'!$J$2:$J$2497,Z$1)</f>
        <v>0</v>
      </c>
      <c r="AA91" s="183">
        <f>SUMIFS('сентябрь 2025'!$G$2:$G$2497,'сентябрь 2025'!$D$2:$D$2497,$B91,'сентябрь 2025'!$J$2:$J$2497,AA$1)</f>
        <v>0</v>
      </c>
      <c r="AB91" s="183">
        <f>SUMIFS('сентябрь 2025'!$G$2:$G$2497,'сентябрь 2025'!$D$2:$D$2497,$B91,'сентябрь 2025'!$J$2:$J$2497,AB$1)</f>
        <v>0</v>
      </c>
      <c r="AC91" s="183">
        <f>SUMIFS('сентябрь 2025'!$G$2:$G$2497,'сентябрь 2025'!$D$2:$D$2497,$B91,'сентябрь 2025'!$J$2:$J$2497,AC$1)</f>
        <v>0</v>
      </c>
      <c r="AD91" s="183">
        <f>SUMIFS('сентябрь 2025'!$G$2:$G$2497,'сентябрь 2025'!$D$2:$D$2497,$B91,'сентябрь 2025'!$J$2:$J$2497,AD$1)</f>
        <v>0</v>
      </c>
      <c r="AE91" s="183">
        <f>SUMIFS('сентябрь 2025'!$G$2:$G$2497,'сентябрь 2025'!$D$2:$D$2497,$B91,'сентябрь 2025'!$J$2:$J$2497,AE$1)</f>
        <v>0</v>
      </c>
      <c r="AF91" s="183">
        <f>SUMIFS('сентябрь 2025'!$G$2:$G$2497,'сентябрь 2025'!$D$2:$D$2497,$B91,'сентябрь 2025'!$J$2:$J$2497,AF$1)</f>
        <v>80</v>
      </c>
      <c r="AG91" s="183">
        <f>SUMIFS('сентябрь 2025'!$G$2:$G$2497,'сентябрь 2025'!$D$2:$D$2497,$B91,'сентябрь 2025'!$J$2:$J$2497,AG$1)</f>
        <v>0</v>
      </c>
      <c r="AH91" s="183">
        <f>SUMIFS('сентябрь 2025'!$G$2:$G$2497,'сентябрь 2025'!$D$2:$D$2497,$B91,'сентябрь 2025'!$J$2:$J$2497,AH$1)</f>
        <v>0</v>
      </c>
      <c r="AI91" s="20">
        <f t="shared" si="1"/>
        <v>80</v>
      </c>
    </row>
    <row r="92" spans="2:35" ht="15" customHeight="1" x14ac:dyDescent="0.25">
      <c r="B92" s="88" t="s">
        <v>190</v>
      </c>
      <c r="C92" s="86">
        <v>190</v>
      </c>
      <c r="D92" s="183">
        <f>SUMIFS('сентябрь 2025'!$G$2:$G$2497,'сентябрь 2025'!$D$2:$D$2497,$B92,'сентябрь 2025'!$J$2:$J$2497,D$1)</f>
        <v>0</v>
      </c>
      <c r="E92" s="183">
        <f>SUMIFS('сентябрь 2025'!$G$2:$G$2497,'сентябрь 2025'!$D$2:$D$2497,$B92,'сентябрь 2025'!$J$2:$J$2497,E$1)</f>
        <v>0</v>
      </c>
      <c r="F92" s="183">
        <f>SUMIFS('сентябрь 2025'!$G$2:$G$2497,'сентябрь 2025'!$D$2:$D$2497,$B92,'сентябрь 2025'!$J$2:$J$2497,F$1)</f>
        <v>0</v>
      </c>
      <c r="G92" s="183">
        <f>SUMIFS('сентябрь 2025'!$G$2:$G$2497,'сентябрь 2025'!$D$2:$D$2497,$B92,'сентябрь 2025'!$J$2:$J$2497,G$1)</f>
        <v>0</v>
      </c>
      <c r="H92" s="183">
        <f>SUMIFS('сентябрь 2025'!$G$2:$G$2497,'сентябрь 2025'!$D$2:$D$2497,$B92,'сентябрь 2025'!$J$2:$J$2497,H$1)</f>
        <v>0</v>
      </c>
      <c r="I92" s="183">
        <f>SUMIFS('сентябрь 2025'!$G$2:$G$2497,'сентябрь 2025'!$D$2:$D$2497,$B92,'сентябрь 2025'!$J$2:$J$2497,I$1)</f>
        <v>0</v>
      </c>
      <c r="J92" s="183">
        <f>SUMIFS('сентябрь 2025'!$G$2:$G$2497,'сентябрь 2025'!$D$2:$D$2497,$B92,'сентябрь 2025'!$J$2:$J$2497,J$1)</f>
        <v>0</v>
      </c>
      <c r="K92" s="183">
        <f>SUMIFS('сентябрь 2025'!$G$2:$G$2497,'сентябрь 2025'!$D$2:$D$2497,$B92,'сентябрь 2025'!$J$2:$J$2497,K$1)</f>
        <v>0</v>
      </c>
      <c r="L92" s="183">
        <f>SUMIFS('сентябрь 2025'!$G$2:$G$2497,'сентябрь 2025'!$D$2:$D$2497,$B92,'сентябрь 2025'!$J$2:$J$2497,L$1)</f>
        <v>0</v>
      </c>
      <c r="M92" s="183">
        <f>SUMIFS('сентябрь 2025'!$G$2:$G$2497,'сентябрь 2025'!$D$2:$D$2497,$B92,'сентябрь 2025'!$J$2:$J$2497,M$1)</f>
        <v>0</v>
      </c>
      <c r="N92" s="183">
        <f>SUMIFS('сентябрь 2025'!$G$2:$G$2497,'сентябрь 2025'!$D$2:$D$2497,$B92,'сентябрь 2025'!$J$2:$J$2497,N$1)</f>
        <v>0</v>
      </c>
      <c r="O92" s="183">
        <f>SUMIFS('сентябрь 2025'!$G$2:$G$2497,'сентябрь 2025'!$D$2:$D$2497,$B92,'сентябрь 2025'!$J$2:$J$2497,O$1)</f>
        <v>0</v>
      </c>
      <c r="P92" s="183">
        <f>SUMIFS('сентябрь 2025'!$G$2:$G$2497,'сентябрь 2025'!$D$2:$D$2497,$B92,'сентябрь 2025'!$J$2:$J$2497,P$1)</f>
        <v>0</v>
      </c>
      <c r="Q92" s="183">
        <f>SUMIFS('сентябрь 2025'!$G$2:$G$2497,'сентябрь 2025'!$D$2:$D$2497,$B92,'сентябрь 2025'!$J$2:$J$2497,Q$1)</f>
        <v>0</v>
      </c>
      <c r="R92" s="183">
        <f>SUMIFS('сентябрь 2025'!$G$2:$G$2497,'сентябрь 2025'!$D$2:$D$2497,$B92,'сентябрь 2025'!$J$2:$J$2497,R$1)</f>
        <v>0</v>
      </c>
      <c r="S92" s="183">
        <f>SUMIFS('сентябрь 2025'!$G$2:$G$2497,'сентябрь 2025'!$D$2:$D$2497,$B92,'сентябрь 2025'!$J$2:$J$2497,S$1)</f>
        <v>0</v>
      </c>
      <c r="T92" s="183">
        <f>SUMIFS('сентябрь 2025'!$G$2:$G$2497,'сентябрь 2025'!$D$2:$D$2497,$B92,'сентябрь 2025'!$J$2:$J$2497,T$1)</f>
        <v>0</v>
      </c>
      <c r="U92" s="183">
        <f>SUMIFS('сентябрь 2025'!$G$2:$G$2497,'сентябрь 2025'!$D$2:$D$2497,$B92,'сентябрь 2025'!$J$2:$J$2497,U$1)</f>
        <v>0</v>
      </c>
      <c r="V92" s="183">
        <f>SUMIFS('сентябрь 2025'!$G$2:$G$2497,'сентябрь 2025'!$D$2:$D$2497,$B92,'сентябрь 2025'!$J$2:$J$2497,V$1)</f>
        <v>0</v>
      </c>
      <c r="W92" s="183">
        <f>SUMIFS('сентябрь 2025'!$G$2:$G$2497,'сентябрь 2025'!$D$2:$D$2497,$B92,'сентябрь 2025'!$J$2:$J$2497,W$1)</f>
        <v>0</v>
      </c>
      <c r="X92" s="183">
        <f>SUMIFS('сентябрь 2025'!$G$2:$G$2497,'сентябрь 2025'!$D$2:$D$2497,$B92,'сентябрь 2025'!$J$2:$J$2497,X$1)</f>
        <v>0</v>
      </c>
      <c r="Y92" s="183">
        <f>SUMIFS('сентябрь 2025'!$G$2:$G$2497,'сентябрь 2025'!$D$2:$D$2497,$B92,'сентябрь 2025'!$J$2:$J$2497,Y$1)</f>
        <v>0</v>
      </c>
      <c r="Z92" s="183">
        <f>SUMIFS('сентябрь 2025'!$G$2:$G$2497,'сентябрь 2025'!$D$2:$D$2497,$B92,'сентябрь 2025'!$J$2:$J$2497,Z$1)</f>
        <v>0</v>
      </c>
      <c r="AA92" s="183">
        <f>SUMIFS('сентябрь 2025'!$G$2:$G$2497,'сентябрь 2025'!$D$2:$D$2497,$B92,'сентябрь 2025'!$J$2:$J$2497,AA$1)</f>
        <v>0</v>
      </c>
      <c r="AB92" s="183">
        <f>SUMIFS('сентябрь 2025'!$G$2:$G$2497,'сентябрь 2025'!$D$2:$D$2497,$B92,'сентябрь 2025'!$J$2:$J$2497,AB$1)</f>
        <v>0</v>
      </c>
      <c r="AC92" s="183">
        <f>SUMIFS('сентябрь 2025'!$G$2:$G$2497,'сентябрь 2025'!$D$2:$D$2497,$B92,'сентябрь 2025'!$J$2:$J$2497,AC$1)</f>
        <v>0</v>
      </c>
      <c r="AD92" s="183">
        <f>SUMIFS('сентябрь 2025'!$G$2:$G$2497,'сентябрь 2025'!$D$2:$D$2497,$B92,'сентябрь 2025'!$J$2:$J$2497,AD$1)</f>
        <v>0</v>
      </c>
      <c r="AE92" s="183">
        <f>SUMIFS('сентябрь 2025'!$G$2:$G$2497,'сентябрь 2025'!$D$2:$D$2497,$B92,'сентябрь 2025'!$J$2:$J$2497,AE$1)</f>
        <v>0</v>
      </c>
      <c r="AF92" s="183">
        <f>SUMIFS('сентябрь 2025'!$G$2:$G$2497,'сентябрь 2025'!$D$2:$D$2497,$B92,'сентябрь 2025'!$J$2:$J$2497,AF$1)</f>
        <v>0</v>
      </c>
      <c r="AG92" s="183">
        <f>SUMIFS('сентябрь 2025'!$G$2:$G$2497,'сентябрь 2025'!$D$2:$D$2497,$B92,'сентябрь 2025'!$J$2:$J$2497,AG$1)</f>
        <v>0</v>
      </c>
      <c r="AH92" s="183">
        <f>SUMIFS('сентябрь 2025'!$G$2:$G$2497,'сентябрь 2025'!$D$2:$D$2497,$B92,'сентябрь 2025'!$J$2:$J$2497,AH$1)</f>
        <v>0</v>
      </c>
      <c r="AI92" s="20">
        <f t="shared" si="1"/>
        <v>0</v>
      </c>
    </row>
    <row r="93" spans="2:35" ht="15" customHeight="1" x14ac:dyDescent="0.25">
      <c r="B93" s="88" t="s">
        <v>191</v>
      </c>
      <c r="C93" s="86">
        <v>190</v>
      </c>
      <c r="D93" s="183">
        <f>SUMIFS('сентябрь 2025'!$G$2:$G$2497,'сентябрь 2025'!$D$2:$D$2497,$B93,'сентябрь 2025'!$J$2:$J$2497,D$1)</f>
        <v>0</v>
      </c>
      <c r="E93" s="183">
        <f>SUMIFS('сентябрь 2025'!$G$2:$G$2497,'сентябрь 2025'!$D$2:$D$2497,$B93,'сентябрь 2025'!$J$2:$J$2497,E$1)</f>
        <v>0</v>
      </c>
      <c r="F93" s="183">
        <f>SUMIFS('сентябрь 2025'!$G$2:$G$2497,'сентябрь 2025'!$D$2:$D$2497,$B93,'сентябрь 2025'!$J$2:$J$2497,F$1)</f>
        <v>0</v>
      </c>
      <c r="G93" s="183">
        <f>SUMIFS('сентябрь 2025'!$G$2:$G$2497,'сентябрь 2025'!$D$2:$D$2497,$B93,'сентябрь 2025'!$J$2:$J$2497,G$1)</f>
        <v>0</v>
      </c>
      <c r="H93" s="183">
        <f>SUMIFS('сентябрь 2025'!$G$2:$G$2497,'сентябрь 2025'!$D$2:$D$2497,$B93,'сентябрь 2025'!$J$2:$J$2497,H$1)</f>
        <v>0</v>
      </c>
      <c r="I93" s="183">
        <f>SUMIFS('сентябрь 2025'!$G$2:$G$2497,'сентябрь 2025'!$D$2:$D$2497,$B93,'сентябрь 2025'!$J$2:$J$2497,I$1)</f>
        <v>0</v>
      </c>
      <c r="J93" s="183">
        <f>SUMIFS('сентябрь 2025'!$G$2:$G$2497,'сентябрь 2025'!$D$2:$D$2497,$B93,'сентябрь 2025'!$J$2:$J$2497,J$1)</f>
        <v>0</v>
      </c>
      <c r="K93" s="183">
        <f>SUMIFS('сентябрь 2025'!$G$2:$G$2497,'сентябрь 2025'!$D$2:$D$2497,$B93,'сентябрь 2025'!$J$2:$J$2497,K$1)</f>
        <v>0</v>
      </c>
      <c r="L93" s="183">
        <f>SUMIFS('сентябрь 2025'!$G$2:$G$2497,'сентябрь 2025'!$D$2:$D$2497,$B93,'сентябрь 2025'!$J$2:$J$2497,L$1)</f>
        <v>0</v>
      </c>
      <c r="M93" s="183">
        <f>SUMIFS('сентябрь 2025'!$G$2:$G$2497,'сентябрь 2025'!$D$2:$D$2497,$B93,'сентябрь 2025'!$J$2:$J$2497,M$1)</f>
        <v>0</v>
      </c>
      <c r="N93" s="183">
        <f>SUMIFS('сентябрь 2025'!$G$2:$G$2497,'сентябрь 2025'!$D$2:$D$2497,$B93,'сентябрь 2025'!$J$2:$J$2497,N$1)</f>
        <v>0</v>
      </c>
      <c r="O93" s="183">
        <f>SUMIFS('сентябрь 2025'!$G$2:$G$2497,'сентябрь 2025'!$D$2:$D$2497,$B93,'сентябрь 2025'!$J$2:$J$2497,O$1)</f>
        <v>0</v>
      </c>
      <c r="P93" s="183">
        <f>SUMIFS('сентябрь 2025'!$G$2:$G$2497,'сентябрь 2025'!$D$2:$D$2497,$B93,'сентябрь 2025'!$J$2:$J$2497,P$1)</f>
        <v>0</v>
      </c>
      <c r="Q93" s="183">
        <f>SUMIFS('сентябрь 2025'!$G$2:$G$2497,'сентябрь 2025'!$D$2:$D$2497,$B93,'сентябрь 2025'!$J$2:$J$2497,Q$1)</f>
        <v>0</v>
      </c>
      <c r="R93" s="183">
        <f>SUMIFS('сентябрь 2025'!$G$2:$G$2497,'сентябрь 2025'!$D$2:$D$2497,$B93,'сентябрь 2025'!$J$2:$J$2497,R$1)</f>
        <v>0</v>
      </c>
      <c r="S93" s="183">
        <f>SUMIFS('сентябрь 2025'!$G$2:$G$2497,'сентябрь 2025'!$D$2:$D$2497,$B93,'сентябрь 2025'!$J$2:$J$2497,S$1)</f>
        <v>0</v>
      </c>
      <c r="T93" s="183">
        <f>SUMIFS('сентябрь 2025'!$G$2:$G$2497,'сентябрь 2025'!$D$2:$D$2497,$B93,'сентябрь 2025'!$J$2:$J$2497,T$1)</f>
        <v>0</v>
      </c>
      <c r="U93" s="183">
        <f>SUMIFS('сентябрь 2025'!$G$2:$G$2497,'сентябрь 2025'!$D$2:$D$2497,$B93,'сентябрь 2025'!$J$2:$J$2497,U$1)</f>
        <v>0</v>
      </c>
      <c r="V93" s="183">
        <f>SUMIFS('сентябрь 2025'!$G$2:$G$2497,'сентябрь 2025'!$D$2:$D$2497,$B93,'сентябрь 2025'!$J$2:$J$2497,V$1)</f>
        <v>0</v>
      </c>
      <c r="W93" s="183">
        <f>SUMIFS('сентябрь 2025'!$G$2:$G$2497,'сентябрь 2025'!$D$2:$D$2497,$B93,'сентябрь 2025'!$J$2:$J$2497,W$1)</f>
        <v>0</v>
      </c>
      <c r="X93" s="183">
        <f>SUMIFS('сентябрь 2025'!$G$2:$G$2497,'сентябрь 2025'!$D$2:$D$2497,$B93,'сентябрь 2025'!$J$2:$J$2497,X$1)</f>
        <v>0</v>
      </c>
      <c r="Y93" s="183">
        <f>SUMIFS('сентябрь 2025'!$G$2:$G$2497,'сентябрь 2025'!$D$2:$D$2497,$B93,'сентябрь 2025'!$J$2:$J$2497,Y$1)</f>
        <v>0</v>
      </c>
      <c r="Z93" s="183">
        <f>SUMIFS('сентябрь 2025'!$G$2:$G$2497,'сентябрь 2025'!$D$2:$D$2497,$B93,'сентябрь 2025'!$J$2:$J$2497,Z$1)</f>
        <v>0</v>
      </c>
      <c r="AA93" s="183">
        <f>SUMIFS('сентябрь 2025'!$G$2:$G$2497,'сентябрь 2025'!$D$2:$D$2497,$B93,'сентябрь 2025'!$J$2:$J$2497,AA$1)</f>
        <v>0</v>
      </c>
      <c r="AB93" s="183">
        <f>SUMIFS('сентябрь 2025'!$G$2:$G$2497,'сентябрь 2025'!$D$2:$D$2497,$B93,'сентябрь 2025'!$J$2:$J$2497,AB$1)</f>
        <v>0</v>
      </c>
      <c r="AC93" s="183">
        <f>SUMIFS('сентябрь 2025'!$G$2:$G$2497,'сентябрь 2025'!$D$2:$D$2497,$B93,'сентябрь 2025'!$J$2:$J$2497,AC$1)</f>
        <v>0</v>
      </c>
      <c r="AD93" s="183">
        <f>SUMIFS('сентябрь 2025'!$G$2:$G$2497,'сентябрь 2025'!$D$2:$D$2497,$B93,'сентябрь 2025'!$J$2:$J$2497,AD$1)</f>
        <v>0</v>
      </c>
      <c r="AE93" s="183">
        <f>SUMIFS('сентябрь 2025'!$G$2:$G$2497,'сентябрь 2025'!$D$2:$D$2497,$B93,'сентябрь 2025'!$J$2:$J$2497,AE$1)</f>
        <v>0</v>
      </c>
      <c r="AF93" s="183">
        <f>SUMIFS('сентябрь 2025'!$G$2:$G$2497,'сентябрь 2025'!$D$2:$D$2497,$B93,'сентябрь 2025'!$J$2:$J$2497,AF$1)</f>
        <v>0</v>
      </c>
      <c r="AG93" s="183">
        <f>SUMIFS('сентябрь 2025'!$G$2:$G$2497,'сентябрь 2025'!$D$2:$D$2497,$B93,'сентябрь 2025'!$J$2:$J$2497,AG$1)</f>
        <v>0</v>
      </c>
      <c r="AH93" s="183">
        <f>SUMIFS('сентябрь 2025'!$G$2:$G$2497,'сентябрь 2025'!$D$2:$D$2497,$B93,'сентябрь 2025'!$J$2:$J$2497,AH$1)</f>
        <v>0</v>
      </c>
      <c r="AI93" s="20">
        <f t="shared" si="1"/>
        <v>0</v>
      </c>
    </row>
    <row r="94" spans="2:35" ht="15" customHeight="1" x14ac:dyDescent="0.25">
      <c r="B94" s="88" t="s">
        <v>309</v>
      </c>
      <c r="C94" s="86">
        <v>200</v>
      </c>
      <c r="D94" s="183">
        <f>SUMIFS('сентябрь 2025'!$G$2:$G$2497,'сентябрь 2025'!$D$2:$D$2497,$B94,'сентябрь 2025'!$J$2:$J$2497,D$1)</f>
        <v>0</v>
      </c>
      <c r="E94" s="183">
        <f>SUMIFS('сентябрь 2025'!$G$2:$G$2497,'сентябрь 2025'!$D$2:$D$2497,$B94,'сентябрь 2025'!$J$2:$J$2497,E$1)</f>
        <v>0</v>
      </c>
      <c r="F94" s="183">
        <f>SUMIFS('сентябрь 2025'!$G$2:$G$2497,'сентябрь 2025'!$D$2:$D$2497,$B94,'сентябрь 2025'!$J$2:$J$2497,F$1)</f>
        <v>0</v>
      </c>
      <c r="G94" s="183">
        <f>SUMIFS('сентябрь 2025'!$G$2:$G$2497,'сентябрь 2025'!$D$2:$D$2497,$B94,'сентябрь 2025'!$J$2:$J$2497,G$1)</f>
        <v>0</v>
      </c>
      <c r="H94" s="183">
        <f>SUMIFS('сентябрь 2025'!$G$2:$G$2497,'сентябрь 2025'!$D$2:$D$2497,$B94,'сентябрь 2025'!$J$2:$J$2497,H$1)</f>
        <v>0</v>
      </c>
      <c r="I94" s="183">
        <f>SUMIFS('сентябрь 2025'!$G$2:$G$2497,'сентябрь 2025'!$D$2:$D$2497,$B94,'сентябрь 2025'!$J$2:$J$2497,I$1)</f>
        <v>0</v>
      </c>
      <c r="J94" s="183">
        <f>SUMIFS('сентябрь 2025'!$G$2:$G$2497,'сентябрь 2025'!$D$2:$D$2497,$B94,'сентябрь 2025'!$J$2:$J$2497,J$1)</f>
        <v>0</v>
      </c>
      <c r="K94" s="183">
        <f>SUMIFS('сентябрь 2025'!$G$2:$G$2497,'сентябрь 2025'!$D$2:$D$2497,$B94,'сентябрь 2025'!$J$2:$J$2497,K$1)</f>
        <v>0</v>
      </c>
      <c r="L94" s="183">
        <f>SUMIFS('сентябрь 2025'!$G$2:$G$2497,'сентябрь 2025'!$D$2:$D$2497,$B94,'сентябрь 2025'!$J$2:$J$2497,L$1)</f>
        <v>0</v>
      </c>
      <c r="M94" s="183">
        <f>SUMIFS('сентябрь 2025'!$G$2:$G$2497,'сентябрь 2025'!$D$2:$D$2497,$B94,'сентябрь 2025'!$J$2:$J$2497,M$1)</f>
        <v>0</v>
      </c>
      <c r="N94" s="183">
        <f>SUMIFS('сентябрь 2025'!$G$2:$G$2497,'сентябрь 2025'!$D$2:$D$2497,$B94,'сентябрь 2025'!$J$2:$J$2497,N$1)</f>
        <v>0</v>
      </c>
      <c r="O94" s="183">
        <f>SUMIFS('сентябрь 2025'!$G$2:$G$2497,'сентябрь 2025'!$D$2:$D$2497,$B94,'сентябрь 2025'!$J$2:$J$2497,O$1)</f>
        <v>0</v>
      </c>
      <c r="P94" s="183">
        <f>SUMIFS('сентябрь 2025'!$G$2:$G$2497,'сентябрь 2025'!$D$2:$D$2497,$B94,'сентябрь 2025'!$J$2:$J$2497,P$1)</f>
        <v>0</v>
      </c>
      <c r="Q94" s="183">
        <f>SUMIFS('сентябрь 2025'!$G$2:$G$2497,'сентябрь 2025'!$D$2:$D$2497,$B94,'сентябрь 2025'!$J$2:$J$2497,Q$1)</f>
        <v>0</v>
      </c>
      <c r="R94" s="183">
        <f>SUMIFS('сентябрь 2025'!$G$2:$G$2497,'сентябрь 2025'!$D$2:$D$2497,$B94,'сентябрь 2025'!$J$2:$J$2497,R$1)</f>
        <v>0</v>
      </c>
      <c r="S94" s="183">
        <f>SUMIFS('сентябрь 2025'!$G$2:$G$2497,'сентябрь 2025'!$D$2:$D$2497,$B94,'сентябрь 2025'!$J$2:$J$2497,S$1)</f>
        <v>0</v>
      </c>
      <c r="T94" s="183">
        <f>SUMIFS('сентябрь 2025'!$G$2:$G$2497,'сентябрь 2025'!$D$2:$D$2497,$B94,'сентябрь 2025'!$J$2:$J$2497,T$1)</f>
        <v>0</v>
      </c>
      <c r="U94" s="183">
        <f>SUMIFS('сентябрь 2025'!$G$2:$G$2497,'сентябрь 2025'!$D$2:$D$2497,$B94,'сентябрь 2025'!$J$2:$J$2497,U$1)</f>
        <v>0</v>
      </c>
      <c r="V94" s="183">
        <f>SUMIFS('сентябрь 2025'!$G$2:$G$2497,'сентябрь 2025'!$D$2:$D$2497,$B94,'сентябрь 2025'!$J$2:$J$2497,V$1)</f>
        <v>0</v>
      </c>
      <c r="W94" s="183">
        <f>SUMIFS('сентябрь 2025'!$G$2:$G$2497,'сентябрь 2025'!$D$2:$D$2497,$B94,'сентябрь 2025'!$J$2:$J$2497,W$1)</f>
        <v>0</v>
      </c>
      <c r="X94" s="183">
        <f>SUMIFS('сентябрь 2025'!$G$2:$G$2497,'сентябрь 2025'!$D$2:$D$2497,$B94,'сентябрь 2025'!$J$2:$J$2497,X$1)</f>
        <v>0</v>
      </c>
      <c r="Y94" s="183">
        <f>SUMIFS('сентябрь 2025'!$G$2:$G$2497,'сентябрь 2025'!$D$2:$D$2497,$B94,'сентябрь 2025'!$J$2:$J$2497,Y$1)</f>
        <v>0</v>
      </c>
      <c r="Z94" s="183">
        <f>SUMIFS('сентябрь 2025'!$G$2:$G$2497,'сентябрь 2025'!$D$2:$D$2497,$B94,'сентябрь 2025'!$J$2:$J$2497,Z$1)</f>
        <v>0</v>
      </c>
      <c r="AA94" s="183">
        <f>SUMIFS('сентябрь 2025'!$G$2:$G$2497,'сентябрь 2025'!$D$2:$D$2497,$B94,'сентябрь 2025'!$J$2:$J$2497,AA$1)</f>
        <v>0</v>
      </c>
      <c r="AB94" s="183">
        <f>SUMIFS('сентябрь 2025'!$G$2:$G$2497,'сентябрь 2025'!$D$2:$D$2497,$B94,'сентябрь 2025'!$J$2:$J$2497,AB$1)</f>
        <v>0</v>
      </c>
      <c r="AC94" s="183">
        <f>SUMIFS('сентябрь 2025'!$G$2:$G$2497,'сентябрь 2025'!$D$2:$D$2497,$B94,'сентябрь 2025'!$J$2:$J$2497,AC$1)</f>
        <v>0</v>
      </c>
      <c r="AD94" s="183">
        <f>SUMIFS('сентябрь 2025'!$G$2:$G$2497,'сентябрь 2025'!$D$2:$D$2497,$B94,'сентябрь 2025'!$J$2:$J$2497,AD$1)</f>
        <v>0</v>
      </c>
      <c r="AE94" s="183">
        <f>SUMIFS('сентябрь 2025'!$G$2:$G$2497,'сентябрь 2025'!$D$2:$D$2497,$B94,'сентябрь 2025'!$J$2:$J$2497,AE$1)</f>
        <v>0</v>
      </c>
      <c r="AF94" s="183">
        <f>SUMIFS('сентябрь 2025'!$G$2:$G$2497,'сентябрь 2025'!$D$2:$D$2497,$B94,'сентябрь 2025'!$J$2:$J$2497,AF$1)</f>
        <v>0</v>
      </c>
      <c r="AG94" s="183">
        <f>SUMIFS('сентябрь 2025'!$G$2:$G$2497,'сентябрь 2025'!$D$2:$D$2497,$B94,'сентябрь 2025'!$J$2:$J$2497,AG$1)</f>
        <v>0</v>
      </c>
      <c r="AH94" s="183">
        <f>SUMIFS('сентябрь 2025'!$G$2:$G$2497,'сентябрь 2025'!$D$2:$D$2497,$B94,'сентябрь 2025'!$J$2:$J$2497,AH$1)</f>
        <v>0</v>
      </c>
      <c r="AI94" s="20">
        <f t="shared" si="1"/>
        <v>0</v>
      </c>
    </row>
    <row r="95" spans="2:35" ht="15" customHeight="1" x14ac:dyDescent="0.25">
      <c r="B95" s="88" t="s">
        <v>192</v>
      </c>
      <c r="C95" s="86">
        <v>900</v>
      </c>
      <c r="D95" s="183">
        <f>SUMIFS('сентябрь 2025'!$G$2:$G$2497,'сентябрь 2025'!$D$2:$D$2497,$B95,'сентябрь 2025'!$J$2:$J$2497,D$1)</f>
        <v>0</v>
      </c>
      <c r="E95" s="183">
        <f>SUMIFS('сентябрь 2025'!$G$2:$G$2497,'сентябрь 2025'!$D$2:$D$2497,$B95,'сентябрь 2025'!$J$2:$J$2497,E$1)</f>
        <v>0</v>
      </c>
      <c r="F95" s="183">
        <f>SUMIFS('сентябрь 2025'!$G$2:$G$2497,'сентябрь 2025'!$D$2:$D$2497,$B95,'сентябрь 2025'!$J$2:$J$2497,F$1)</f>
        <v>0</v>
      </c>
      <c r="G95" s="183">
        <f>SUMIFS('сентябрь 2025'!$G$2:$G$2497,'сентябрь 2025'!$D$2:$D$2497,$B95,'сентябрь 2025'!$J$2:$J$2497,G$1)</f>
        <v>0</v>
      </c>
      <c r="H95" s="183">
        <f>SUMIFS('сентябрь 2025'!$G$2:$G$2497,'сентябрь 2025'!$D$2:$D$2497,$B95,'сентябрь 2025'!$J$2:$J$2497,H$1)</f>
        <v>0</v>
      </c>
      <c r="I95" s="183">
        <f>SUMIFS('сентябрь 2025'!$G$2:$G$2497,'сентябрь 2025'!$D$2:$D$2497,$B95,'сентябрь 2025'!$J$2:$J$2497,I$1)</f>
        <v>0</v>
      </c>
      <c r="J95" s="183">
        <f>SUMIFS('сентябрь 2025'!$G$2:$G$2497,'сентябрь 2025'!$D$2:$D$2497,$B95,'сентябрь 2025'!$J$2:$J$2497,J$1)</f>
        <v>0</v>
      </c>
      <c r="K95" s="183">
        <f>SUMIFS('сентябрь 2025'!$G$2:$G$2497,'сентябрь 2025'!$D$2:$D$2497,$B95,'сентябрь 2025'!$J$2:$J$2497,K$1)</f>
        <v>0</v>
      </c>
      <c r="L95" s="183">
        <f>SUMIFS('сентябрь 2025'!$G$2:$G$2497,'сентябрь 2025'!$D$2:$D$2497,$B95,'сентябрь 2025'!$J$2:$J$2497,L$1)</f>
        <v>0</v>
      </c>
      <c r="M95" s="183">
        <f>SUMIFS('сентябрь 2025'!$G$2:$G$2497,'сентябрь 2025'!$D$2:$D$2497,$B95,'сентябрь 2025'!$J$2:$J$2497,M$1)</f>
        <v>0</v>
      </c>
      <c r="N95" s="183">
        <f>SUMIFS('сентябрь 2025'!$G$2:$G$2497,'сентябрь 2025'!$D$2:$D$2497,$B95,'сентябрь 2025'!$J$2:$J$2497,N$1)</f>
        <v>0</v>
      </c>
      <c r="O95" s="183">
        <f>SUMIFS('сентябрь 2025'!$G$2:$G$2497,'сентябрь 2025'!$D$2:$D$2497,$B95,'сентябрь 2025'!$J$2:$J$2497,O$1)</f>
        <v>0</v>
      </c>
      <c r="P95" s="183">
        <f>SUMIFS('сентябрь 2025'!$G$2:$G$2497,'сентябрь 2025'!$D$2:$D$2497,$B95,'сентябрь 2025'!$J$2:$J$2497,P$1)</f>
        <v>0</v>
      </c>
      <c r="Q95" s="183">
        <f>SUMIFS('сентябрь 2025'!$G$2:$G$2497,'сентябрь 2025'!$D$2:$D$2497,$B95,'сентябрь 2025'!$J$2:$J$2497,Q$1)</f>
        <v>0</v>
      </c>
      <c r="R95" s="183">
        <f>SUMIFS('сентябрь 2025'!$G$2:$G$2497,'сентябрь 2025'!$D$2:$D$2497,$B95,'сентябрь 2025'!$J$2:$J$2497,R$1)</f>
        <v>0</v>
      </c>
      <c r="S95" s="183">
        <f>SUMIFS('сентябрь 2025'!$G$2:$G$2497,'сентябрь 2025'!$D$2:$D$2497,$B95,'сентябрь 2025'!$J$2:$J$2497,S$1)</f>
        <v>0</v>
      </c>
      <c r="T95" s="183">
        <f>SUMIFS('сентябрь 2025'!$G$2:$G$2497,'сентябрь 2025'!$D$2:$D$2497,$B95,'сентябрь 2025'!$J$2:$J$2497,T$1)</f>
        <v>0</v>
      </c>
      <c r="U95" s="183">
        <f>SUMIFS('сентябрь 2025'!$G$2:$G$2497,'сентябрь 2025'!$D$2:$D$2497,$B95,'сентябрь 2025'!$J$2:$J$2497,U$1)</f>
        <v>0</v>
      </c>
      <c r="V95" s="183">
        <f>SUMIFS('сентябрь 2025'!$G$2:$G$2497,'сентябрь 2025'!$D$2:$D$2497,$B95,'сентябрь 2025'!$J$2:$J$2497,V$1)</f>
        <v>0</v>
      </c>
      <c r="W95" s="183">
        <f>SUMIFS('сентябрь 2025'!$G$2:$G$2497,'сентябрь 2025'!$D$2:$D$2497,$B95,'сентябрь 2025'!$J$2:$J$2497,W$1)</f>
        <v>0</v>
      </c>
      <c r="X95" s="183">
        <f>SUMIFS('сентябрь 2025'!$G$2:$G$2497,'сентябрь 2025'!$D$2:$D$2497,$B95,'сентябрь 2025'!$J$2:$J$2497,X$1)</f>
        <v>0</v>
      </c>
      <c r="Y95" s="183">
        <f>SUMIFS('сентябрь 2025'!$G$2:$G$2497,'сентябрь 2025'!$D$2:$D$2497,$B95,'сентябрь 2025'!$J$2:$J$2497,Y$1)</f>
        <v>0</v>
      </c>
      <c r="Z95" s="183">
        <f>SUMIFS('сентябрь 2025'!$G$2:$G$2497,'сентябрь 2025'!$D$2:$D$2497,$B95,'сентябрь 2025'!$J$2:$J$2497,Z$1)</f>
        <v>0</v>
      </c>
      <c r="AA95" s="183">
        <f>SUMIFS('сентябрь 2025'!$G$2:$G$2497,'сентябрь 2025'!$D$2:$D$2497,$B95,'сентябрь 2025'!$J$2:$J$2497,AA$1)</f>
        <v>0</v>
      </c>
      <c r="AB95" s="183">
        <f>SUMIFS('сентябрь 2025'!$G$2:$G$2497,'сентябрь 2025'!$D$2:$D$2497,$B95,'сентябрь 2025'!$J$2:$J$2497,AB$1)</f>
        <v>0</v>
      </c>
      <c r="AC95" s="183">
        <f>SUMIFS('сентябрь 2025'!$G$2:$G$2497,'сентябрь 2025'!$D$2:$D$2497,$B95,'сентябрь 2025'!$J$2:$J$2497,AC$1)</f>
        <v>0</v>
      </c>
      <c r="AD95" s="183">
        <f>SUMIFS('сентябрь 2025'!$G$2:$G$2497,'сентябрь 2025'!$D$2:$D$2497,$B95,'сентябрь 2025'!$J$2:$J$2497,AD$1)</f>
        <v>0</v>
      </c>
      <c r="AE95" s="183">
        <f>SUMIFS('сентябрь 2025'!$G$2:$G$2497,'сентябрь 2025'!$D$2:$D$2497,$B95,'сентябрь 2025'!$J$2:$J$2497,AE$1)</f>
        <v>0</v>
      </c>
      <c r="AF95" s="183">
        <f>SUMIFS('сентябрь 2025'!$G$2:$G$2497,'сентябрь 2025'!$D$2:$D$2497,$B95,'сентябрь 2025'!$J$2:$J$2497,AF$1)</f>
        <v>0</v>
      </c>
      <c r="AG95" s="183">
        <f>SUMIFS('сентябрь 2025'!$G$2:$G$2497,'сентябрь 2025'!$D$2:$D$2497,$B95,'сентябрь 2025'!$J$2:$J$2497,AG$1)</f>
        <v>0</v>
      </c>
      <c r="AH95" s="183">
        <f>SUMIFS('сентябрь 2025'!$G$2:$G$2497,'сентябрь 2025'!$D$2:$D$2497,$B95,'сентябрь 2025'!$J$2:$J$2497,AH$1)</f>
        <v>0</v>
      </c>
      <c r="AI95" s="20">
        <f t="shared" si="1"/>
        <v>0</v>
      </c>
    </row>
    <row r="96" spans="2:35" ht="15" customHeight="1" x14ac:dyDescent="0.25">
      <c r="B96" s="84" t="s">
        <v>186</v>
      </c>
      <c r="C96" s="83">
        <v>190</v>
      </c>
      <c r="D96" s="183">
        <f>SUMIFS('сентябрь 2025'!$G$2:$G$2497,'сентябрь 2025'!$D$2:$D$2497,$B96,'сентябрь 2025'!$J$2:$J$2497,D$1)</f>
        <v>0</v>
      </c>
      <c r="E96" s="183">
        <f>SUMIFS('сентябрь 2025'!$G$2:$G$2497,'сентябрь 2025'!$D$2:$D$2497,$B96,'сентябрь 2025'!$J$2:$J$2497,E$1)</f>
        <v>0</v>
      </c>
      <c r="F96" s="183">
        <f>SUMIFS('сентябрь 2025'!$G$2:$G$2497,'сентябрь 2025'!$D$2:$D$2497,$B96,'сентябрь 2025'!$J$2:$J$2497,F$1)</f>
        <v>0</v>
      </c>
      <c r="G96" s="183">
        <f>SUMIFS('сентябрь 2025'!$G$2:$G$2497,'сентябрь 2025'!$D$2:$D$2497,$B96,'сентябрь 2025'!$J$2:$J$2497,G$1)</f>
        <v>0</v>
      </c>
      <c r="H96" s="183">
        <f>SUMIFS('сентябрь 2025'!$G$2:$G$2497,'сентябрь 2025'!$D$2:$D$2497,$B96,'сентябрь 2025'!$J$2:$J$2497,H$1)</f>
        <v>0</v>
      </c>
      <c r="I96" s="183">
        <f>SUMIFS('сентябрь 2025'!$G$2:$G$2497,'сентябрь 2025'!$D$2:$D$2497,$B96,'сентябрь 2025'!$J$2:$J$2497,I$1)</f>
        <v>0</v>
      </c>
      <c r="J96" s="183">
        <f>SUMIFS('сентябрь 2025'!$G$2:$G$2497,'сентябрь 2025'!$D$2:$D$2497,$B96,'сентябрь 2025'!$J$2:$J$2497,J$1)</f>
        <v>0</v>
      </c>
      <c r="K96" s="183">
        <f>SUMIFS('сентябрь 2025'!$G$2:$G$2497,'сентябрь 2025'!$D$2:$D$2497,$B96,'сентябрь 2025'!$J$2:$J$2497,K$1)</f>
        <v>0</v>
      </c>
      <c r="L96" s="183">
        <f>SUMIFS('сентябрь 2025'!$G$2:$G$2497,'сентябрь 2025'!$D$2:$D$2497,$B96,'сентябрь 2025'!$J$2:$J$2497,L$1)</f>
        <v>0</v>
      </c>
      <c r="M96" s="183">
        <f>SUMIFS('сентябрь 2025'!$G$2:$G$2497,'сентябрь 2025'!$D$2:$D$2497,$B96,'сентябрь 2025'!$J$2:$J$2497,M$1)</f>
        <v>0</v>
      </c>
      <c r="N96" s="183">
        <f>SUMIFS('сентябрь 2025'!$G$2:$G$2497,'сентябрь 2025'!$D$2:$D$2497,$B96,'сентябрь 2025'!$J$2:$J$2497,N$1)</f>
        <v>0</v>
      </c>
      <c r="O96" s="183">
        <f>SUMIFS('сентябрь 2025'!$G$2:$G$2497,'сентябрь 2025'!$D$2:$D$2497,$B96,'сентябрь 2025'!$J$2:$J$2497,O$1)</f>
        <v>0</v>
      </c>
      <c r="P96" s="183">
        <f>SUMIFS('сентябрь 2025'!$G$2:$G$2497,'сентябрь 2025'!$D$2:$D$2497,$B96,'сентябрь 2025'!$J$2:$J$2497,P$1)</f>
        <v>0</v>
      </c>
      <c r="Q96" s="183">
        <f>SUMIFS('сентябрь 2025'!$G$2:$G$2497,'сентябрь 2025'!$D$2:$D$2497,$B96,'сентябрь 2025'!$J$2:$J$2497,Q$1)</f>
        <v>0</v>
      </c>
      <c r="R96" s="183">
        <f>SUMIFS('сентябрь 2025'!$G$2:$G$2497,'сентябрь 2025'!$D$2:$D$2497,$B96,'сентябрь 2025'!$J$2:$J$2497,R$1)</f>
        <v>0</v>
      </c>
      <c r="S96" s="183">
        <f>SUMIFS('сентябрь 2025'!$G$2:$G$2497,'сентябрь 2025'!$D$2:$D$2497,$B96,'сентябрь 2025'!$J$2:$J$2497,S$1)</f>
        <v>0</v>
      </c>
      <c r="T96" s="183">
        <f>SUMIFS('сентябрь 2025'!$G$2:$G$2497,'сентябрь 2025'!$D$2:$D$2497,$B96,'сентябрь 2025'!$J$2:$J$2497,T$1)</f>
        <v>0</v>
      </c>
      <c r="U96" s="183">
        <f>SUMIFS('сентябрь 2025'!$G$2:$G$2497,'сентябрь 2025'!$D$2:$D$2497,$B96,'сентябрь 2025'!$J$2:$J$2497,U$1)</f>
        <v>0</v>
      </c>
      <c r="V96" s="183">
        <f>SUMIFS('сентябрь 2025'!$G$2:$G$2497,'сентябрь 2025'!$D$2:$D$2497,$B96,'сентябрь 2025'!$J$2:$J$2497,V$1)</f>
        <v>0</v>
      </c>
      <c r="W96" s="183">
        <f>SUMIFS('сентябрь 2025'!$G$2:$G$2497,'сентябрь 2025'!$D$2:$D$2497,$B96,'сентябрь 2025'!$J$2:$J$2497,W$1)</f>
        <v>0</v>
      </c>
      <c r="X96" s="183">
        <f>SUMIFS('сентябрь 2025'!$G$2:$G$2497,'сентябрь 2025'!$D$2:$D$2497,$B96,'сентябрь 2025'!$J$2:$J$2497,X$1)</f>
        <v>0</v>
      </c>
      <c r="Y96" s="183">
        <f>SUMIFS('сентябрь 2025'!$G$2:$G$2497,'сентябрь 2025'!$D$2:$D$2497,$B96,'сентябрь 2025'!$J$2:$J$2497,Y$1)</f>
        <v>0</v>
      </c>
      <c r="Z96" s="183">
        <f>SUMIFS('сентябрь 2025'!$G$2:$G$2497,'сентябрь 2025'!$D$2:$D$2497,$B96,'сентябрь 2025'!$J$2:$J$2497,Z$1)</f>
        <v>0</v>
      </c>
      <c r="AA96" s="183">
        <f>SUMIFS('сентябрь 2025'!$G$2:$G$2497,'сентябрь 2025'!$D$2:$D$2497,$B96,'сентябрь 2025'!$J$2:$J$2497,AA$1)</f>
        <v>0</v>
      </c>
      <c r="AB96" s="183">
        <f>SUMIFS('сентябрь 2025'!$G$2:$G$2497,'сентябрь 2025'!$D$2:$D$2497,$B96,'сентябрь 2025'!$J$2:$J$2497,AB$1)</f>
        <v>0</v>
      </c>
      <c r="AC96" s="183">
        <f>SUMIFS('сентябрь 2025'!$G$2:$G$2497,'сентябрь 2025'!$D$2:$D$2497,$B96,'сентябрь 2025'!$J$2:$J$2497,AC$1)</f>
        <v>0</v>
      </c>
      <c r="AD96" s="183">
        <f>SUMIFS('сентябрь 2025'!$G$2:$G$2497,'сентябрь 2025'!$D$2:$D$2497,$B96,'сентябрь 2025'!$J$2:$J$2497,AD$1)</f>
        <v>0</v>
      </c>
      <c r="AE96" s="183">
        <f>SUMIFS('сентябрь 2025'!$G$2:$G$2497,'сентябрь 2025'!$D$2:$D$2497,$B96,'сентябрь 2025'!$J$2:$J$2497,AE$1)</f>
        <v>0</v>
      </c>
      <c r="AF96" s="183">
        <f>SUMIFS('сентябрь 2025'!$G$2:$G$2497,'сентябрь 2025'!$D$2:$D$2497,$B96,'сентябрь 2025'!$J$2:$J$2497,AF$1)</f>
        <v>0</v>
      </c>
      <c r="AG96" s="183">
        <f>SUMIFS('сентябрь 2025'!$G$2:$G$2497,'сентябрь 2025'!$D$2:$D$2497,$B96,'сентябрь 2025'!$J$2:$J$2497,AG$1)</f>
        <v>0</v>
      </c>
      <c r="AH96" s="183">
        <f>SUMIFS('сентябрь 2025'!$G$2:$G$2497,'сентябрь 2025'!$D$2:$D$2497,$B96,'сентябрь 2025'!$J$2:$J$2497,AH$1)</f>
        <v>0</v>
      </c>
      <c r="AI96" s="20">
        <f t="shared" si="1"/>
        <v>0</v>
      </c>
    </row>
    <row r="97" spans="2:35" ht="15" customHeight="1" x14ac:dyDescent="0.25">
      <c r="B97" s="84" t="s">
        <v>205</v>
      </c>
      <c r="C97" s="83">
        <v>190</v>
      </c>
      <c r="D97" s="183">
        <f>SUMIFS('сентябрь 2025'!$G$2:$G$2497,'сентябрь 2025'!$D$2:$D$2497,$B97,'сентябрь 2025'!$J$2:$J$2497,D$1)</f>
        <v>0</v>
      </c>
      <c r="E97" s="183">
        <f>SUMIFS('сентябрь 2025'!$G$2:$G$2497,'сентябрь 2025'!$D$2:$D$2497,$B97,'сентябрь 2025'!$J$2:$J$2497,E$1)</f>
        <v>0</v>
      </c>
      <c r="F97" s="183">
        <f>SUMIFS('сентябрь 2025'!$G$2:$G$2497,'сентябрь 2025'!$D$2:$D$2497,$B97,'сентябрь 2025'!$J$2:$J$2497,F$1)</f>
        <v>0</v>
      </c>
      <c r="G97" s="183">
        <f>SUMIFS('сентябрь 2025'!$G$2:$G$2497,'сентябрь 2025'!$D$2:$D$2497,$B97,'сентябрь 2025'!$J$2:$J$2497,G$1)</f>
        <v>0</v>
      </c>
      <c r="H97" s="183">
        <f>SUMIFS('сентябрь 2025'!$G$2:$G$2497,'сентябрь 2025'!$D$2:$D$2497,$B97,'сентябрь 2025'!$J$2:$J$2497,H$1)</f>
        <v>0</v>
      </c>
      <c r="I97" s="183">
        <f>SUMIFS('сентябрь 2025'!$G$2:$G$2497,'сентябрь 2025'!$D$2:$D$2497,$B97,'сентябрь 2025'!$J$2:$J$2497,I$1)</f>
        <v>0</v>
      </c>
      <c r="J97" s="183">
        <f>SUMIFS('сентябрь 2025'!$G$2:$G$2497,'сентябрь 2025'!$D$2:$D$2497,$B97,'сентябрь 2025'!$J$2:$J$2497,J$1)</f>
        <v>0</v>
      </c>
      <c r="K97" s="183">
        <f>SUMIFS('сентябрь 2025'!$G$2:$G$2497,'сентябрь 2025'!$D$2:$D$2497,$B97,'сентябрь 2025'!$J$2:$J$2497,K$1)</f>
        <v>0</v>
      </c>
      <c r="L97" s="183">
        <f>SUMIFS('сентябрь 2025'!$G$2:$G$2497,'сентябрь 2025'!$D$2:$D$2497,$B97,'сентябрь 2025'!$J$2:$J$2497,L$1)</f>
        <v>0</v>
      </c>
      <c r="M97" s="183">
        <f>SUMIFS('сентябрь 2025'!$G$2:$G$2497,'сентябрь 2025'!$D$2:$D$2497,$B97,'сентябрь 2025'!$J$2:$J$2497,M$1)</f>
        <v>0</v>
      </c>
      <c r="N97" s="183">
        <f>SUMIFS('сентябрь 2025'!$G$2:$G$2497,'сентябрь 2025'!$D$2:$D$2497,$B97,'сентябрь 2025'!$J$2:$J$2497,N$1)</f>
        <v>0</v>
      </c>
      <c r="O97" s="183">
        <f>SUMIFS('сентябрь 2025'!$G$2:$G$2497,'сентябрь 2025'!$D$2:$D$2497,$B97,'сентябрь 2025'!$J$2:$J$2497,O$1)</f>
        <v>0</v>
      </c>
      <c r="P97" s="183">
        <f>SUMIFS('сентябрь 2025'!$G$2:$G$2497,'сентябрь 2025'!$D$2:$D$2497,$B97,'сентябрь 2025'!$J$2:$J$2497,P$1)</f>
        <v>0</v>
      </c>
      <c r="Q97" s="183">
        <f>SUMIFS('сентябрь 2025'!$G$2:$G$2497,'сентябрь 2025'!$D$2:$D$2497,$B97,'сентябрь 2025'!$J$2:$J$2497,Q$1)</f>
        <v>0</v>
      </c>
      <c r="R97" s="183">
        <f>SUMIFS('сентябрь 2025'!$G$2:$G$2497,'сентябрь 2025'!$D$2:$D$2497,$B97,'сентябрь 2025'!$J$2:$J$2497,R$1)</f>
        <v>0</v>
      </c>
      <c r="S97" s="183">
        <f>SUMIFS('сентябрь 2025'!$G$2:$G$2497,'сентябрь 2025'!$D$2:$D$2497,$B97,'сентябрь 2025'!$J$2:$J$2497,S$1)</f>
        <v>0</v>
      </c>
      <c r="T97" s="183">
        <f>SUMIFS('сентябрь 2025'!$G$2:$G$2497,'сентябрь 2025'!$D$2:$D$2497,$B97,'сентябрь 2025'!$J$2:$J$2497,T$1)</f>
        <v>0</v>
      </c>
      <c r="U97" s="183">
        <f>SUMIFS('сентябрь 2025'!$G$2:$G$2497,'сентябрь 2025'!$D$2:$D$2497,$B97,'сентябрь 2025'!$J$2:$J$2497,U$1)</f>
        <v>0</v>
      </c>
      <c r="V97" s="183">
        <f>SUMIFS('сентябрь 2025'!$G$2:$G$2497,'сентябрь 2025'!$D$2:$D$2497,$B97,'сентябрь 2025'!$J$2:$J$2497,V$1)</f>
        <v>0</v>
      </c>
      <c r="W97" s="183">
        <f>SUMIFS('сентябрь 2025'!$G$2:$G$2497,'сентябрь 2025'!$D$2:$D$2497,$B97,'сентябрь 2025'!$J$2:$J$2497,W$1)</f>
        <v>0</v>
      </c>
      <c r="X97" s="183">
        <f>SUMIFS('сентябрь 2025'!$G$2:$G$2497,'сентябрь 2025'!$D$2:$D$2497,$B97,'сентябрь 2025'!$J$2:$J$2497,X$1)</f>
        <v>0</v>
      </c>
      <c r="Y97" s="183">
        <f>SUMIFS('сентябрь 2025'!$G$2:$G$2497,'сентябрь 2025'!$D$2:$D$2497,$B97,'сентябрь 2025'!$J$2:$J$2497,Y$1)</f>
        <v>0</v>
      </c>
      <c r="Z97" s="183">
        <f>SUMIFS('сентябрь 2025'!$G$2:$G$2497,'сентябрь 2025'!$D$2:$D$2497,$B97,'сентябрь 2025'!$J$2:$J$2497,Z$1)</f>
        <v>0</v>
      </c>
      <c r="AA97" s="183">
        <f>SUMIFS('сентябрь 2025'!$G$2:$G$2497,'сентябрь 2025'!$D$2:$D$2497,$B97,'сентябрь 2025'!$J$2:$J$2497,AA$1)</f>
        <v>0</v>
      </c>
      <c r="AB97" s="183">
        <f>SUMIFS('сентябрь 2025'!$G$2:$G$2497,'сентябрь 2025'!$D$2:$D$2497,$B97,'сентябрь 2025'!$J$2:$J$2497,AB$1)</f>
        <v>0</v>
      </c>
      <c r="AC97" s="183">
        <f>SUMIFS('сентябрь 2025'!$G$2:$G$2497,'сентябрь 2025'!$D$2:$D$2497,$B97,'сентябрь 2025'!$J$2:$J$2497,AC$1)</f>
        <v>0</v>
      </c>
      <c r="AD97" s="183">
        <f>SUMIFS('сентябрь 2025'!$G$2:$G$2497,'сентябрь 2025'!$D$2:$D$2497,$B97,'сентябрь 2025'!$J$2:$J$2497,AD$1)</f>
        <v>0</v>
      </c>
      <c r="AE97" s="183">
        <f>SUMIFS('сентябрь 2025'!$G$2:$G$2497,'сентябрь 2025'!$D$2:$D$2497,$B97,'сентябрь 2025'!$J$2:$J$2497,AE$1)</f>
        <v>0</v>
      </c>
      <c r="AF97" s="183">
        <f>SUMIFS('сентябрь 2025'!$G$2:$G$2497,'сентябрь 2025'!$D$2:$D$2497,$B97,'сентябрь 2025'!$J$2:$J$2497,AF$1)</f>
        <v>0</v>
      </c>
      <c r="AG97" s="183">
        <f>SUMIFS('сентябрь 2025'!$G$2:$G$2497,'сентябрь 2025'!$D$2:$D$2497,$B97,'сентябрь 2025'!$J$2:$J$2497,AG$1)</f>
        <v>0</v>
      </c>
      <c r="AH97" s="183">
        <f>SUMIFS('сентябрь 2025'!$G$2:$G$2497,'сентябрь 2025'!$D$2:$D$2497,$B97,'сентябрь 2025'!$J$2:$J$2497,AH$1)</f>
        <v>0</v>
      </c>
      <c r="AI97" s="20">
        <f t="shared" si="1"/>
        <v>0</v>
      </c>
    </row>
    <row r="98" spans="2:35" ht="15" customHeight="1" x14ac:dyDescent="0.25">
      <c r="B98" s="88" t="s">
        <v>173</v>
      </c>
      <c r="C98" s="83">
        <v>190</v>
      </c>
      <c r="D98" s="183">
        <f>SUMIFS('сентябрь 2025'!$G$2:$G$2497,'сентябрь 2025'!$D$2:$D$2497,$B98,'сентябрь 2025'!$J$2:$J$2497,D$1)</f>
        <v>0</v>
      </c>
      <c r="E98" s="183">
        <f>SUMIFS('сентябрь 2025'!$G$2:$G$2497,'сентябрь 2025'!$D$2:$D$2497,$B98,'сентябрь 2025'!$J$2:$J$2497,E$1)</f>
        <v>0</v>
      </c>
      <c r="F98" s="183">
        <f>SUMIFS('сентябрь 2025'!$G$2:$G$2497,'сентябрь 2025'!$D$2:$D$2497,$B98,'сентябрь 2025'!$J$2:$J$2497,F$1)</f>
        <v>0</v>
      </c>
      <c r="G98" s="183">
        <f>SUMIFS('сентябрь 2025'!$G$2:$G$2497,'сентябрь 2025'!$D$2:$D$2497,$B98,'сентябрь 2025'!$J$2:$J$2497,G$1)</f>
        <v>0</v>
      </c>
      <c r="H98" s="183">
        <f>SUMIFS('сентябрь 2025'!$G$2:$G$2497,'сентябрь 2025'!$D$2:$D$2497,$B98,'сентябрь 2025'!$J$2:$J$2497,H$1)</f>
        <v>0</v>
      </c>
      <c r="I98" s="183">
        <f>SUMIFS('сентябрь 2025'!$G$2:$G$2497,'сентябрь 2025'!$D$2:$D$2497,$B98,'сентябрь 2025'!$J$2:$J$2497,I$1)</f>
        <v>0</v>
      </c>
      <c r="J98" s="183">
        <f>SUMIFS('сентябрь 2025'!$G$2:$G$2497,'сентябрь 2025'!$D$2:$D$2497,$B98,'сентябрь 2025'!$J$2:$J$2497,J$1)</f>
        <v>0</v>
      </c>
      <c r="K98" s="183">
        <f>SUMIFS('сентябрь 2025'!$G$2:$G$2497,'сентябрь 2025'!$D$2:$D$2497,$B98,'сентябрь 2025'!$J$2:$J$2497,K$1)</f>
        <v>0</v>
      </c>
      <c r="L98" s="183">
        <f>SUMIFS('сентябрь 2025'!$G$2:$G$2497,'сентябрь 2025'!$D$2:$D$2497,$B98,'сентябрь 2025'!$J$2:$J$2497,L$1)</f>
        <v>0</v>
      </c>
      <c r="M98" s="183">
        <f>SUMIFS('сентябрь 2025'!$G$2:$G$2497,'сентябрь 2025'!$D$2:$D$2497,$B98,'сентябрь 2025'!$J$2:$J$2497,M$1)</f>
        <v>0</v>
      </c>
      <c r="N98" s="183">
        <f>SUMIFS('сентябрь 2025'!$G$2:$G$2497,'сентябрь 2025'!$D$2:$D$2497,$B98,'сентябрь 2025'!$J$2:$J$2497,N$1)</f>
        <v>0</v>
      </c>
      <c r="O98" s="183">
        <f>SUMIFS('сентябрь 2025'!$G$2:$G$2497,'сентябрь 2025'!$D$2:$D$2497,$B98,'сентябрь 2025'!$J$2:$J$2497,O$1)</f>
        <v>0</v>
      </c>
      <c r="P98" s="183">
        <f>SUMIFS('сентябрь 2025'!$G$2:$G$2497,'сентябрь 2025'!$D$2:$D$2497,$B98,'сентябрь 2025'!$J$2:$J$2497,P$1)</f>
        <v>0</v>
      </c>
      <c r="Q98" s="183">
        <f>SUMIFS('сентябрь 2025'!$G$2:$G$2497,'сентябрь 2025'!$D$2:$D$2497,$B98,'сентябрь 2025'!$J$2:$J$2497,Q$1)</f>
        <v>0</v>
      </c>
      <c r="R98" s="183">
        <f>SUMIFS('сентябрь 2025'!$G$2:$G$2497,'сентябрь 2025'!$D$2:$D$2497,$B98,'сентябрь 2025'!$J$2:$J$2497,R$1)</f>
        <v>0</v>
      </c>
      <c r="S98" s="183">
        <f>SUMIFS('сентябрь 2025'!$G$2:$G$2497,'сентябрь 2025'!$D$2:$D$2497,$B98,'сентябрь 2025'!$J$2:$J$2497,S$1)</f>
        <v>0</v>
      </c>
      <c r="T98" s="183">
        <f>SUMIFS('сентябрь 2025'!$G$2:$G$2497,'сентябрь 2025'!$D$2:$D$2497,$B98,'сентябрь 2025'!$J$2:$J$2497,T$1)</f>
        <v>0</v>
      </c>
      <c r="U98" s="183">
        <f>SUMIFS('сентябрь 2025'!$G$2:$G$2497,'сентябрь 2025'!$D$2:$D$2497,$B98,'сентябрь 2025'!$J$2:$J$2497,U$1)</f>
        <v>0</v>
      </c>
      <c r="V98" s="183">
        <f>SUMIFS('сентябрь 2025'!$G$2:$G$2497,'сентябрь 2025'!$D$2:$D$2497,$B98,'сентябрь 2025'!$J$2:$J$2497,V$1)</f>
        <v>0</v>
      </c>
      <c r="W98" s="183">
        <f>SUMIFS('сентябрь 2025'!$G$2:$G$2497,'сентябрь 2025'!$D$2:$D$2497,$B98,'сентябрь 2025'!$J$2:$J$2497,W$1)</f>
        <v>0</v>
      </c>
      <c r="X98" s="183">
        <f>SUMIFS('сентябрь 2025'!$G$2:$G$2497,'сентябрь 2025'!$D$2:$D$2497,$B98,'сентябрь 2025'!$J$2:$J$2497,X$1)</f>
        <v>0</v>
      </c>
      <c r="Y98" s="183">
        <f>SUMIFS('сентябрь 2025'!$G$2:$G$2497,'сентябрь 2025'!$D$2:$D$2497,$B98,'сентябрь 2025'!$J$2:$J$2497,Y$1)</f>
        <v>0</v>
      </c>
      <c r="Z98" s="183">
        <f>SUMIFS('сентябрь 2025'!$G$2:$G$2497,'сентябрь 2025'!$D$2:$D$2497,$B98,'сентябрь 2025'!$J$2:$J$2497,Z$1)</f>
        <v>0</v>
      </c>
      <c r="AA98" s="183">
        <f>SUMIFS('сентябрь 2025'!$G$2:$G$2497,'сентябрь 2025'!$D$2:$D$2497,$B98,'сентябрь 2025'!$J$2:$J$2497,AA$1)</f>
        <v>0</v>
      </c>
      <c r="AB98" s="183">
        <f>SUMIFS('сентябрь 2025'!$G$2:$G$2497,'сентябрь 2025'!$D$2:$D$2497,$B98,'сентябрь 2025'!$J$2:$J$2497,AB$1)</f>
        <v>0</v>
      </c>
      <c r="AC98" s="183">
        <f>SUMIFS('сентябрь 2025'!$G$2:$G$2497,'сентябрь 2025'!$D$2:$D$2497,$B98,'сентябрь 2025'!$J$2:$J$2497,AC$1)</f>
        <v>0</v>
      </c>
      <c r="AD98" s="183">
        <f>SUMIFS('сентябрь 2025'!$G$2:$G$2497,'сентябрь 2025'!$D$2:$D$2497,$B98,'сентябрь 2025'!$J$2:$J$2497,AD$1)</f>
        <v>0</v>
      </c>
      <c r="AE98" s="183">
        <f>SUMIFS('сентябрь 2025'!$G$2:$G$2497,'сентябрь 2025'!$D$2:$D$2497,$B98,'сентябрь 2025'!$J$2:$J$2497,AE$1)</f>
        <v>0</v>
      </c>
      <c r="AF98" s="183">
        <f>SUMIFS('сентябрь 2025'!$G$2:$G$2497,'сентябрь 2025'!$D$2:$D$2497,$B98,'сентябрь 2025'!$J$2:$J$2497,AF$1)</f>
        <v>0</v>
      </c>
      <c r="AG98" s="183">
        <f>SUMIFS('сентябрь 2025'!$G$2:$G$2497,'сентябрь 2025'!$D$2:$D$2497,$B98,'сентябрь 2025'!$J$2:$J$2497,AG$1)</f>
        <v>0</v>
      </c>
      <c r="AH98" s="183">
        <f>SUMIFS('сентябрь 2025'!$G$2:$G$2497,'сентябрь 2025'!$D$2:$D$2497,$B98,'сентябрь 2025'!$J$2:$J$2497,AH$1)</f>
        <v>0</v>
      </c>
      <c r="AI98" s="20">
        <f t="shared" si="1"/>
        <v>0</v>
      </c>
    </row>
    <row r="99" spans="2:35" ht="15" customHeight="1" x14ac:dyDescent="0.25">
      <c r="B99" s="88" t="s">
        <v>182</v>
      </c>
      <c r="C99" s="86">
        <v>180</v>
      </c>
      <c r="D99" s="183">
        <f>SUMIFS('сентябрь 2025'!$G$2:$G$2497,'сентябрь 2025'!$D$2:$D$2497,$B99,'сентябрь 2025'!$J$2:$J$2497,D$1)</f>
        <v>0</v>
      </c>
      <c r="E99" s="183">
        <f>SUMIFS('сентябрь 2025'!$G$2:$G$2497,'сентябрь 2025'!$D$2:$D$2497,$B99,'сентябрь 2025'!$J$2:$J$2497,E$1)</f>
        <v>0</v>
      </c>
      <c r="F99" s="183">
        <f>SUMIFS('сентябрь 2025'!$G$2:$G$2497,'сентябрь 2025'!$D$2:$D$2497,$B99,'сентябрь 2025'!$J$2:$J$2497,F$1)</f>
        <v>0</v>
      </c>
      <c r="G99" s="183">
        <f>SUMIFS('сентябрь 2025'!$G$2:$G$2497,'сентябрь 2025'!$D$2:$D$2497,$B99,'сентябрь 2025'!$J$2:$J$2497,G$1)</f>
        <v>0</v>
      </c>
      <c r="H99" s="183">
        <f>SUMIFS('сентябрь 2025'!$G$2:$G$2497,'сентябрь 2025'!$D$2:$D$2497,$B99,'сентябрь 2025'!$J$2:$J$2497,H$1)</f>
        <v>0</v>
      </c>
      <c r="I99" s="183">
        <f>SUMIFS('сентябрь 2025'!$G$2:$G$2497,'сентябрь 2025'!$D$2:$D$2497,$B99,'сентябрь 2025'!$J$2:$J$2497,I$1)</f>
        <v>0</v>
      </c>
      <c r="J99" s="183">
        <f>SUMIFS('сентябрь 2025'!$G$2:$G$2497,'сентябрь 2025'!$D$2:$D$2497,$B99,'сентябрь 2025'!$J$2:$J$2497,J$1)</f>
        <v>0</v>
      </c>
      <c r="K99" s="183">
        <f>SUMIFS('сентябрь 2025'!$G$2:$G$2497,'сентябрь 2025'!$D$2:$D$2497,$B99,'сентябрь 2025'!$J$2:$J$2497,K$1)</f>
        <v>0</v>
      </c>
      <c r="L99" s="183">
        <f>SUMIFS('сентябрь 2025'!$G$2:$G$2497,'сентябрь 2025'!$D$2:$D$2497,$B99,'сентябрь 2025'!$J$2:$J$2497,L$1)</f>
        <v>0</v>
      </c>
      <c r="M99" s="183">
        <f>SUMIFS('сентябрь 2025'!$G$2:$G$2497,'сентябрь 2025'!$D$2:$D$2497,$B99,'сентябрь 2025'!$J$2:$J$2497,M$1)</f>
        <v>0</v>
      </c>
      <c r="N99" s="183">
        <f>SUMIFS('сентябрь 2025'!$G$2:$G$2497,'сентябрь 2025'!$D$2:$D$2497,$B99,'сентябрь 2025'!$J$2:$J$2497,N$1)</f>
        <v>0</v>
      </c>
      <c r="O99" s="183">
        <f>SUMIFS('сентябрь 2025'!$G$2:$G$2497,'сентябрь 2025'!$D$2:$D$2497,$B99,'сентябрь 2025'!$J$2:$J$2497,O$1)</f>
        <v>0</v>
      </c>
      <c r="P99" s="183">
        <f>SUMIFS('сентябрь 2025'!$G$2:$G$2497,'сентябрь 2025'!$D$2:$D$2497,$B99,'сентябрь 2025'!$J$2:$J$2497,P$1)</f>
        <v>0</v>
      </c>
      <c r="Q99" s="183">
        <f>SUMIFS('сентябрь 2025'!$G$2:$G$2497,'сентябрь 2025'!$D$2:$D$2497,$B99,'сентябрь 2025'!$J$2:$J$2497,Q$1)</f>
        <v>0</v>
      </c>
      <c r="R99" s="183">
        <f>SUMIFS('сентябрь 2025'!$G$2:$G$2497,'сентябрь 2025'!$D$2:$D$2497,$B99,'сентябрь 2025'!$J$2:$J$2497,R$1)</f>
        <v>0</v>
      </c>
      <c r="S99" s="183">
        <f>SUMIFS('сентябрь 2025'!$G$2:$G$2497,'сентябрь 2025'!$D$2:$D$2497,$B99,'сентябрь 2025'!$J$2:$J$2497,S$1)</f>
        <v>0</v>
      </c>
      <c r="T99" s="183">
        <f>SUMIFS('сентябрь 2025'!$G$2:$G$2497,'сентябрь 2025'!$D$2:$D$2497,$B99,'сентябрь 2025'!$J$2:$J$2497,T$1)</f>
        <v>0</v>
      </c>
      <c r="U99" s="183">
        <f>SUMIFS('сентябрь 2025'!$G$2:$G$2497,'сентябрь 2025'!$D$2:$D$2497,$B99,'сентябрь 2025'!$J$2:$J$2497,U$1)</f>
        <v>0</v>
      </c>
      <c r="V99" s="183">
        <f>SUMIFS('сентябрь 2025'!$G$2:$G$2497,'сентябрь 2025'!$D$2:$D$2497,$B99,'сентябрь 2025'!$J$2:$J$2497,V$1)</f>
        <v>0</v>
      </c>
      <c r="W99" s="183">
        <f>SUMIFS('сентябрь 2025'!$G$2:$G$2497,'сентябрь 2025'!$D$2:$D$2497,$B99,'сентябрь 2025'!$J$2:$J$2497,W$1)</f>
        <v>0</v>
      </c>
      <c r="X99" s="183">
        <f>SUMIFS('сентябрь 2025'!$G$2:$G$2497,'сентябрь 2025'!$D$2:$D$2497,$B99,'сентябрь 2025'!$J$2:$J$2497,X$1)</f>
        <v>0</v>
      </c>
      <c r="Y99" s="183">
        <f>SUMIFS('сентябрь 2025'!$G$2:$G$2497,'сентябрь 2025'!$D$2:$D$2497,$B99,'сентябрь 2025'!$J$2:$J$2497,Y$1)</f>
        <v>0</v>
      </c>
      <c r="Z99" s="183">
        <f>SUMIFS('сентябрь 2025'!$G$2:$G$2497,'сентябрь 2025'!$D$2:$D$2497,$B99,'сентябрь 2025'!$J$2:$J$2497,Z$1)</f>
        <v>0</v>
      </c>
      <c r="AA99" s="183">
        <f>SUMIFS('сентябрь 2025'!$G$2:$G$2497,'сентябрь 2025'!$D$2:$D$2497,$B99,'сентябрь 2025'!$J$2:$J$2497,AA$1)</f>
        <v>0</v>
      </c>
      <c r="AB99" s="183">
        <f>SUMIFS('сентябрь 2025'!$G$2:$G$2497,'сентябрь 2025'!$D$2:$D$2497,$B99,'сентябрь 2025'!$J$2:$J$2497,AB$1)</f>
        <v>0</v>
      </c>
      <c r="AC99" s="183">
        <f>SUMIFS('сентябрь 2025'!$G$2:$G$2497,'сентябрь 2025'!$D$2:$D$2497,$B99,'сентябрь 2025'!$J$2:$J$2497,AC$1)</f>
        <v>0</v>
      </c>
      <c r="AD99" s="183">
        <f>SUMIFS('сентябрь 2025'!$G$2:$G$2497,'сентябрь 2025'!$D$2:$D$2497,$B99,'сентябрь 2025'!$J$2:$J$2497,AD$1)</f>
        <v>0</v>
      </c>
      <c r="AE99" s="183">
        <f>SUMIFS('сентябрь 2025'!$G$2:$G$2497,'сентябрь 2025'!$D$2:$D$2497,$B99,'сентябрь 2025'!$J$2:$J$2497,AE$1)</f>
        <v>0</v>
      </c>
      <c r="AF99" s="183">
        <f>SUMIFS('сентябрь 2025'!$G$2:$G$2497,'сентябрь 2025'!$D$2:$D$2497,$B99,'сентябрь 2025'!$J$2:$J$2497,AF$1)</f>
        <v>0</v>
      </c>
      <c r="AG99" s="183">
        <f>SUMIFS('сентябрь 2025'!$G$2:$G$2497,'сентябрь 2025'!$D$2:$D$2497,$B99,'сентябрь 2025'!$J$2:$J$2497,AG$1)</f>
        <v>0</v>
      </c>
      <c r="AH99" s="183">
        <f>SUMIFS('сентябрь 2025'!$G$2:$G$2497,'сентябрь 2025'!$D$2:$D$2497,$B99,'сентябрь 2025'!$J$2:$J$2497,AH$1)</f>
        <v>0</v>
      </c>
      <c r="AI99" s="20">
        <f t="shared" si="1"/>
        <v>0</v>
      </c>
    </row>
    <row r="100" spans="2:35" ht="15" customHeight="1" x14ac:dyDescent="0.25">
      <c r="B100" s="88" t="s">
        <v>298</v>
      </c>
      <c r="C100" s="86">
        <v>190</v>
      </c>
      <c r="D100" s="183">
        <f>SUMIFS('сентябрь 2025'!$G$2:$G$2497,'сентябрь 2025'!$D$2:$D$2497,$B100,'сентябрь 2025'!$J$2:$J$2497,D$1)</f>
        <v>0</v>
      </c>
      <c r="E100" s="183">
        <f>SUMIFS('сентябрь 2025'!$G$2:$G$2497,'сентябрь 2025'!$D$2:$D$2497,$B100,'сентябрь 2025'!$J$2:$J$2497,E$1)</f>
        <v>0</v>
      </c>
      <c r="F100" s="183">
        <f>SUMIFS('сентябрь 2025'!$G$2:$G$2497,'сентябрь 2025'!$D$2:$D$2497,$B100,'сентябрь 2025'!$J$2:$J$2497,F$1)</f>
        <v>0</v>
      </c>
      <c r="G100" s="183">
        <f>SUMIFS('сентябрь 2025'!$G$2:$G$2497,'сентябрь 2025'!$D$2:$D$2497,$B100,'сентябрь 2025'!$J$2:$J$2497,G$1)</f>
        <v>0</v>
      </c>
      <c r="H100" s="183">
        <f>SUMIFS('сентябрь 2025'!$G$2:$G$2497,'сентябрь 2025'!$D$2:$D$2497,$B100,'сентябрь 2025'!$J$2:$J$2497,H$1)</f>
        <v>0</v>
      </c>
      <c r="I100" s="183">
        <f>SUMIFS('сентябрь 2025'!$G$2:$G$2497,'сентябрь 2025'!$D$2:$D$2497,$B100,'сентябрь 2025'!$J$2:$J$2497,I$1)</f>
        <v>0</v>
      </c>
      <c r="J100" s="183">
        <f>SUMIFS('сентябрь 2025'!$G$2:$G$2497,'сентябрь 2025'!$D$2:$D$2497,$B100,'сентябрь 2025'!$J$2:$J$2497,J$1)</f>
        <v>0</v>
      </c>
      <c r="K100" s="183">
        <f>SUMIFS('сентябрь 2025'!$G$2:$G$2497,'сентябрь 2025'!$D$2:$D$2497,$B100,'сентябрь 2025'!$J$2:$J$2497,K$1)</f>
        <v>0</v>
      </c>
      <c r="L100" s="183">
        <f>SUMIFS('сентябрь 2025'!$G$2:$G$2497,'сентябрь 2025'!$D$2:$D$2497,$B100,'сентябрь 2025'!$J$2:$J$2497,L$1)</f>
        <v>0</v>
      </c>
      <c r="M100" s="183">
        <f>SUMIFS('сентябрь 2025'!$G$2:$G$2497,'сентябрь 2025'!$D$2:$D$2497,$B100,'сентябрь 2025'!$J$2:$J$2497,M$1)</f>
        <v>0</v>
      </c>
      <c r="N100" s="183">
        <f>SUMIFS('сентябрь 2025'!$G$2:$G$2497,'сентябрь 2025'!$D$2:$D$2497,$B100,'сентябрь 2025'!$J$2:$J$2497,N$1)</f>
        <v>0</v>
      </c>
      <c r="O100" s="183">
        <f>SUMIFS('сентябрь 2025'!$G$2:$G$2497,'сентябрь 2025'!$D$2:$D$2497,$B100,'сентябрь 2025'!$J$2:$J$2497,O$1)</f>
        <v>0</v>
      </c>
      <c r="P100" s="183">
        <f>SUMIFS('сентябрь 2025'!$G$2:$G$2497,'сентябрь 2025'!$D$2:$D$2497,$B100,'сентябрь 2025'!$J$2:$J$2497,P$1)</f>
        <v>0</v>
      </c>
      <c r="Q100" s="183">
        <f>SUMIFS('сентябрь 2025'!$G$2:$G$2497,'сентябрь 2025'!$D$2:$D$2497,$B100,'сентябрь 2025'!$J$2:$J$2497,Q$1)</f>
        <v>0</v>
      </c>
      <c r="R100" s="183">
        <f>SUMIFS('сентябрь 2025'!$G$2:$G$2497,'сентябрь 2025'!$D$2:$D$2497,$B100,'сентябрь 2025'!$J$2:$J$2497,R$1)</f>
        <v>0</v>
      </c>
      <c r="S100" s="183">
        <f>SUMIFS('сентябрь 2025'!$G$2:$G$2497,'сентябрь 2025'!$D$2:$D$2497,$B100,'сентябрь 2025'!$J$2:$J$2497,S$1)</f>
        <v>0</v>
      </c>
      <c r="T100" s="183">
        <f>SUMIFS('сентябрь 2025'!$G$2:$G$2497,'сентябрь 2025'!$D$2:$D$2497,$B100,'сентябрь 2025'!$J$2:$J$2497,T$1)</f>
        <v>0</v>
      </c>
      <c r="U100" s="183">
        <f>SUMIFS('сентябрь 2025'!$G$2:$G$2497,'сентябрь 2025'!$D$2:$D$2497,$B100,'сентябрь 2025'!$J$2:$J$2497,U$1)</f>
        <v>0</v>
      </c>
      <c r="V100" s="183">
        <f>SUMIFS('сентябрь 2025'!$G$2:$G$2497,'сентябрь 2025'!$D$2:$D$2497,$B100,'сентябрь 2025'!$J$2:$J$2497,V$1)</f>
        <v>0</v>
      </c>
      <c r="W100" s="183">
        <f>SUMIFS('сентябрь 2025'!$G$2:$G$2497,'сентябрь 2025'!$D$2:$D$2497,$B100,'сентябрь 2025'!$J$2:$J$2497,W$1)</f>
        <v>0</v>
      </c>
      <c r="X100" s="183">
        <f>SUMIFS('сентябрь 2025'!$G$2:$G$2497,'сентябрь 2025'!$D$2:$D$2497,$B100,'сентябрь 2025'!$J$2:$J$2497,X$1)</f>
        <v>0</v>
      </c>
      <c r="Y100" s="183">
        <f>SUMIFS('сентябрь 2025'!$G$2:$G$2497,'сентябрь 2025'!$D$2:$D$2497,$B100,'сентябрь 2025'!$J$2:$J$2497,Y$1)</f>
        <v>0</v>
      </c>
      <c r="Z100" s="183">
        <f>SUMIFS('сентябрь 2025'!$G$2:$G$2497,'сентябрь 2025'!$D$2:$D$2497,$B100,'сентябрь 2025'!$J$2:$J$2497,Z$1)</f>
        <v>0</v>
      </c>
      <c r="AA100" s="183">
        <f>SUMIFS('сентябрь 2025'!$G$2:$G$2497,'сентябрь 2025'!$D$2:$D$2497,$B100,'сентябрь 2025'!$J$2:$J$2497,AA$1)</f>
        <v>0</v>
      </c>
      <c r="AB100" s="183">
        <f>SUMIFS('сентябрь 2025'!$G$2:$G$2497,'сентябрь 2025'!$D$2:$D$2497,$B100,'сентябрь 2025'!$J$2:$J$2497,AB$1)</f>
        <v>0</v>
      </c>
      <c r="AC100" s="183">
        <f>SUMIFS('сентябрь 2025'!$G$2:$G$2497,'сентябрь 2025'!$D$2:$D$2497,$B100,'сентябрь 2025'!$J$2:$J$2497,AC$1)</f>
        <v>0</v>
      </c>
      <c r="AD100" s="183">
        <f>SUMIFS('сентябрь 2025'!$G$2:$G$2497,'сентябрь 2025'!$D$2:$D$2497,$B100,'сентябрь 2025'!$J$2:$J$2497,AD$1)</f>
        <v>0</v>
      </c>
      <c r="AE100" s="183">
        <f>SUMIFS('сентябрь 2025'!$G$2:$G$2497,'сентябрь 2025'!$D$2:$D$2497,$B100,'сентябрь 2025'!$J$2:$J$2497,AE$1)</f>
        <v>0</v>
      </c>
      <c r="AF100" s="183">
        <f>SUMIFS('сентябрь 2025'!$G$2:$G$2497,'сентябрь 2025'!$D$2:$D$2497,$B100,'сентябрь 2025'!$J$2:$J$2497,AF$1)</f>
        <v>0</v>
      </c>
      <c r="AG100" s="183">
        <f>SUMIFS('сентябрь 2025'!$G$2:$G$2497,'сентябрь 2025'!$D$2:$D$2497,$B100,'сентябрь 2025'!$J$2:$J$2497,AG$1)</f>
        <v>0</v>
      </c>
      <c r="AH100" s="183">
        <f>SUMIFS('сентябрь 2025'!$G$2:$G$2497,'сентябрь 2025'!$D$2:$D$2497,$B100,'сентябрь 2025'!$J$2:$J$2497,AH$1)</f>
        <v>0</v>
      </c>
      <c r="AI100" s="20">
        <f t="shared" si="1"/>
        <v>0</v>
      </c>
    </row>
    <row r="101" spans="2:35" ht="15" customHeight="1" x14ac:dyDescent="0.25">
      <c r="B101" s="88" t="s">
        <v>312</v>
      </c>
      <c r="C101" s="86">
        <v>190</v>
      </c>
      <c r="D101" s="183">
        <f>SUMIFS('сентябрь 2025'!$G$2:$G$2497,'сентябрь 2025'!$D$2:$D$2497,$B101,'сентябрь 2025'!$J$2:$J$2497,D$1)</f>
        <v>0</v>
      </c>
      <c r="E101" s="183">
        <f>SUMIFS('сентябрь 2025'!$G$2:$G$2497,'сентябрь 2025'!$D$2:$D$2497,$B101,'сентябрь 2025'!$J$2:$J$2497,E$1)</f>
        <v>0</v>
      </c>
      <c r="F101" s="183">
        <f>SUMIFS('сентябрь 2025'!$G$2:$G$2497,'сентябрь 2025'!$D$2:$D$2497,$B101,'сентябрь 2025'!$J$2:$J$2497,F$1)</f>
        <v>0</v>
      </c>
      <c r="G101" s="183">
        <f>SUMIFS('сентябрь 2025'!$G$2:$G$2497,'сентябрь 2025'!$D$2:$D$2497,$B101,'сентябрь 2025'!$J$2:$J$2497,G$1)</f>
        <v>0</v>
      </c>
      <c r="H101" s="183">
        <f>SUMIFS('сентябрь 2025'!$G$2:$G$2497,'сентябрь 2025'!$D$2:$D$2497,$B101,'сентябрь 2025'!$J$2:$J$2497,H$1)</f>
        <v>0</v>
      </c>
      <c r="I101" s="183">
        <f>SUMIFS('сентябрь 2025'!$G$2:$G$2497,'сентябрь 2025'!$D$2:$D$2497,$B101,'сентябрь 2025'!$J$2:$J$2497,I$1)</f>
        <v>0</v>
      </c>
      <c r="J101" s="183">
        <f>SUMIFS('сентябрь 2025'!$G$2:$G$2497,'сентябрь 2025'!$D$2:$D$2497,$B101,'сентябрь 2025'!$J$2:$J$2497,J$1)</f>
        <v>0</v>
      </c>
      <c r="K101" s="183">
        <f>SUMIFS('сентябрь 2025'!$G$2:$G$2497,'сентябрь 2025'!$D$2:$D$2497,$B101,'сентябрь 2025'!$J$2:$J$2497,K$1)</f>
        <v>0</v>
      </c>
      <c r="L101" s="183">
        <f>SUMIFS('сентябрь 2025'!$G$2:$G$2497,'сентябрь 2025'!$D$2:$D$2497,$B101,'сентябрь 2025'!$J$2:$J$2497,L$1)</f>
        <v>0</v>
      </c>
      <c r="M101" s="183">
        <f>SUMIFS('сентябрь 2025'!$G$2:$G$2497,'сентябрь 2025'!$D$2:$D$2497,$B101,'сентябрь 2025'!$J$2:$J$2497,M$1)</f>
        <v>0</v>
      </c>
      <c r="N101" s="183">
        <f>SUMIFS('сентябрь 2025'!$G$2:$G$2497,'сентябрь 2025'!$D$2:$D$2497,$B101,'сентябрь 2025'!$J$2:$J$2497,N$1)</f>
        <v>0</v>
      </c>
      <c r="O101" s="183">
        <f>SUMIFS('сентябрь 2025'!$G$2:$G$2497,'сентябрь 2025'!$D$2:$D$2497,$B101,'сентябрь 2025'!$J$2:$J$2497,O$1)</f>
        <v>0</v>
      </c>
      <c r="P101" s="183">
        <f>SUMIFS('сентябрь 2025'!$G$2:$G$2497,'сентябрь 2025'!$D$2:$D$2497,$B101,'сентябрь 2025'!$J$2:$J$2497,P$1)</f>
        <v>0</v>
      </c>
      <c r="Q101" s="183">
        <f>SUMIFS('сентябрь 2025'!$G$2:$G$2497,'сентябрь 2025'!$D$2:$D$2497,$B101,'сентябрь 2025'!$J$2:$J$2497,Q$1)</f>
        <v>0</v>
      </c>
      <c r="R101" s="183">
        <f>SUMIFS('сентябрь 2025'!$G$2:$G$2497,'сентябрь 2025'!$D$2:$D$2497,$B101,'сентябрь 2025'!$J$2:$J$2497,R$1)</f>
        <v>0</v>
      </c>
      <c r="S101" s="183">
        <f>SUMIFS('сентябрь 2025'!$G$2:$G$2497,'сентябрь 2025'!$D$2:$D$2497,$B101,'сентябрь 2025'!$J$2:$J$2497,S$1)</f>
        <v>0</v>
      </c>
      <c r="T101" s="183">
        <f>SUMIFS('сентябрь 2025'!$G$2:$G$2497,'сентябрь 2025'!$D$2:$D$2497,$B101,'сентябрь 2025'!$J$2:$J$2497,T$1)</f>
        <v>0</v>
      </c>
      <c r="U101" s="183">
        <f>SUMIFS('сентябрь 2025'!$G$2:$G$2497,'сентябрь 2025'!$D$2:$D$2497,$B101,'сентябрь 2025'!$J$2:$J$2497,U$1)</f>
        <v>0</v>
      </c>
      <c r="V101" s="183">
        <f>SUMIFS('сентябрь 2025'!$G$2:$G$2497,'сентябрь 2025'!$D$2:$D$2497,$B101,'сентябрь 2025'!$J$2:$J$2497,V$1)</f>
        <v>0</v>
      </c>
      <c r="W101" s="183">
        <f>SUMIFS('сентябрь 2025'!$G$2:$G$2497,'сентябрь 2025'!$D$2:$D$2497,$B101,'сентябрь 2025'!$J$2:$J$2497,W$1)</f>
        <v>0</v>
      </c>
      <c r="X101" s="183">
        <f>SUMIFS('сентябрь 2025'!$G$2:$G$2497,'сентябрь 2025'!$D$2:$D$2497,$B101,'сентябрь 2025'!$J$2:$J$2497,X$1)</f>
        <v>0</v>
      </c>
      <c r="Y101" s="183">
        <f>SUMIFS('сентябрь 2025'!$G$2:$G$2497,'сентябрь 2025'!$D$2:$D$2497,$B101,'сентябрь 2025'!$J$2:$J$2497,Y$1)</f>
        <v>0</v>
      </c>
      <c r="Z101" s="183">
        <f>SUMIFS('сентябрь 2025'!$G$2:$G$2497,'сентябрь 2025'!$D$2:$D$2497,$B101,'сентябрь 2025'!$J$2:$J$2497,Z$1)</f>
        <v>0</v>
      </c>
      <c r="AA101" s="183">
        <f>SUMIFS('сентябрь 2025'!$G$2:$G$2497,'сентябрь 2025'!$D$2:$D$2497,$B101,'сентябрь 2025'!$J$2:$J$2497,AA$1)</f>
        <v>0</v>
      </c>
      <c r="AB101" s="183">
        <f>SUMIFS('сентябрь 2025'!$G$2:$G$2497,'сентябрь 2025'!$D$2:$D$2497,$B101,'сентябрь 2025'!$J$2:$J$2497,AB$1)</f>
        <v>0</v>
      </c>
      <c r="AC101" s="183">
        <f>SUMIFS('сентябрь 2025'!$G$2:$G$2497,'сентябрь 2025'!$D$2:$D$2497,$B101,'сентябрь 2025'!$J$2:$J$2497,AC$1)</f>
        <v>0</v>
      </c>
      <c r="AD101" s="183">
        <f>SUMIFS('сентябрь 2025'!$G$2:$G$2497,'сентябрь 2025'!$D$2:$D$2497,$B101,'сентябрь 2025'!$J$2:$J$2497,AD$1)</f>
        <v>0</v>
      </c>
      <c r="AE101" s="183">
        <f>SUMIFS('сентябрь 2025'!$G$2:$G$2497,'сентябрь 2025'!$D$2:$D$2497,$B101,'сентябрь 2025'!$J$2:$J$2497,AE$1)</f>
        <v>0</v>
      </c>
      <c r="AF101" s="183">
        <f>SUMIFS('сентябрь 2025'!$G$2:$G$2497,'сентябрь 2025'!$D$2:$D$2497,$B101,'сентябрь 2025'!$J$2:$J$2497,AF$1)</f>
        <v>0</v>
      </c>
      <c r="AG101" s="183">
        <f>SUMIFS('сентябрь 2025'!$G$2:$G$2497,'сентябрь 2025'!$D$2:$D$2497,$B101,'сентябрь 2025'!$J$2:$J$2497,AG$1)</f>
        <v>0</v>
      </c>
      <c r="AH101" s="183">
        <f>SUMIFS('сентябрь 2025'!$G$2:$G$2497,'сентябрь 2025'!$D$2:$D$2497,$B101,'сентябрь 2025'!$J$2:$J$2497,AH$1)</f>
        <v>0</v>
      </c>
      <c r="AI101" s="20">
        <f t="shared" si="1"/>
        <v>0</v>
      </c>
    </row>
    <row r="102" spans="2:35" ht="15" customHeight="1" x14ac:dyDescent="0.25">
      <c r="B102" s="88" t="s">
        <v>1397</v>
      </c>
      <c r="C102" s="86">
        <v>200</v>
      </c>
      <c r="D102" s="183">
        <f>SUMIFS('сентябрь 2025'!$G$2:$G$2497,'сентябрь 2025'!$D$2:$D$2497,$B102,'сентябрь 2025'!$J$2:$J$2497,D$1)</f>
        <v>0</v>
      </c>
      <c r="E102" s="183">
        <f>SUMIFS('сентябрь 2025'!$G$2:$G$2497,'сентябрь 2025'!$D$2:$D$2497,$B102,'сентябрь 2025'!$J$2:$J$2497,E$1)</f>
        <v>0</v>
      </c>
      <c r="F102" s="183">
        <f>SUMIFS('сентябрь 2025'!$G$2:$G$2497,'сентябрь 2025'!$D$2:$D$2497,$B102,'сентябрь 2025'!$J$2:$J$2497,F$1)</f>
        <v>0</v>
      </c>
      <c r="G102" s="183">
        <f>SUMIFS('сентябрь 2025'!$G$2:$G$2497,'сентябрь 2025'!$D$2:$D$2497,$B102,'сентябрь 2025'!$J$2:$J$2497,G$1)</f>
        <v>0</v>
      </c>
      <c r="H102" s="183">
        <f>SUMIFS('сентябрь 2025'!$G$2:$G$2497,'сентябрь 2025'!$D$2:$D$2497,$B102,'сентябрь 2025'!$J$2:$J$2497,H$1)</f>
        <v>0</v>
      </c>
      <c r="I102" s="183">
        <f>SUMIFS('сентябрь 2025'!$G$2:$G$2497,'сентябрь 2025'!$D$2:$D$2497,$B102,'сентябрь 2025'!$J$2:$J$2497,I$1)</f>
        <v>0</v>
      </c>
      <c r="J102" s="183">
        <f>SUMIFS('сентябрь 2025'!$G$2:$G$2497,'сентябрь 2025'!$D$2:$D$2497,$B102,'сентябрь 2025'!$J$2:$J$2497,J$1)</f>
        <v>0</v>
      </c>
      <c r="K102" s="183">
        <f>SUMIFS('сентябрь 2025'!$G$2:$G$2497,'сентябрь 2025'!$D$2:$D$2497,$B102,'сентябрь 2025'!$J$2:$J$2497,K$1)</f>
        <v>0</v>
      </c>
      <c r="L102" s="183">
        <f>SUMIFS('сентябрь 2025'!$G$2:$G$2497,'сентябрь 2025'!$D$2:$D$2497,$B102,'сентябрь 2025'!$J$2:$J$2497,L$1)</f>
        <v>0</v>
      </c>
      <c r="M102" s="183">
        <f>SUMIFS('сентябрь 2025'!$G$2:$G$2497,'сентябрь 2025'!$D$2:$D$2497,$B102,'сентябрь 2025'!$J$2:$J$2497,M$1)</f>
        <v>0</v>
      </c>
      <c r="N102" s="183">
        <f>SUMIFS('сентябрь 2025'!$G$2:$G$2497,'сентябрь 2025'!$D$2:$D$2497,$B102,'сентябрь 2025'!$J$2:$J$2497,N$1)</f>
        <v>0</v>
      </c>
      <c r="O102" s="183">
        <f>SUMIFS('сентябрь 2025'!$G$2:$G$2497,'сентябрь 2025'!$D$2:$D$2497,$B102,'сентябрь 2025'!$J$2:$J$2497,O$1)</f>
        <v>0</v>
      </c>
      <c r="P102" s="183">
        <f>SUMIFS('сентябрь 2025'!$G$2:$G$2497,'сентябрь 2025'!$D$2:$D$2497,$B102,'сентябрь 2025'!$J$2:$J$2497,P$1)</f>
        <v>0</v>
      </c>
      <c r="Q102" s="183">
        <f>SUMIFS('сентябрь 2025'!$G$2:$G$2497,'сентябрь 2025'!$D$2:$D$2497,$B102,'сентябрь 2025'!$J$2:$J$2497,Q$1)</f>
        <v>0</v>
      </c>
      <c r="R102" s="183">
        <f>SUMIFS('сентябрь 2025'!$G$2:$G$2497,'сентябрь 2025'!$D$2:$D$2497,$B102,'сентябрь 2025'!$J$2:$J$2497,R$1)</f>
        <v>0</v>
      </c>
      <c r="S102" s="183">
        <f>SUMIFS('сентябрь 2025'!$G$2:$G$2497,'сентябрь 2025'!$D$2:$D$2497,$B102,'сентябрь 2025'!$J$2:$J$2497,S$1)</f>
        <v>0</v>
      </c>
      <c r="T102" s="183">
        <f>SUMIFS('сентябрь 2025'!$G$2:$G$2497,'сентябрь 2025'!$D$2:$D$2497,$B102,'сентябрь 2025'!$J$2:$J$2497,T$1)</f>
        <v>0</v>
      </c>
      <c r="U102" s="183">
        <f>SUMIFS('сентябрь 2025'!$G$2:$G$2497,'сентябрь 2025'!$D$2:$D$2497,$B102,'сентябрь 2025'!$J$2:$J$2497,U$1)</f>
        <v>0</v>
      </c>
      <c r="V102" s="183">
        <f>SUMIFS('сентябрь 2025'!$G$2:$G$2497,'сентябрь 2025'!$D$2:$D$2497,$B102,'сентябрь 2025'!$J$2:$J$2497,V$1)</f>
        <v>0</v>
      </c>
      <c r="W102" s="183">
        <f>SUMIFS('сентябрь 2025'!$G$2:$G$2497,'сентябрь 2025'!$D$2:$D$2497,$B102,'сентябрь 2025'!$J$2:$J$2497,W$1)</f>
        <v>0</v>
      </c>
      <c r="X102" s="183">
        <f>SUMIFS('сентябрь 2025'!$G$2:$G$2497,'сентябрь 2025'!$D$2:$D$2497,$B102,'сентябрь 2025'!$J$2:$J$2497,X$1)</f>
        <v>0</v>
      </c>
      <c r="Y102" s="183">
        <f>SUMIFS('сентябрь 2025'!$G$2:$G$2497,'сентябрь 2025'!$D$2:$D$2497,$B102,'сентябрь 2025'!$J$2:$J$2497,Y$1)</f>
        <v>0</v>
      </c>
      <c r="Z102" s="183">
        <f>SUMIFS('сентябрь 2025'!$G$2:$G$2497,'сентябрь 2025'!$D$2:$D$2497,$B102,'сентябрь 2025'!$J$2:$J$2497,Z$1)</f>
        <v>0</v>
      </c>
      <c r="AA102" s="183">
        <f>SUMIFS('сентябрь 2025'!$G$2:$G$2497,'сентябрь 2025'!$D$2:$D$2497,$B102,'сентябрь 2025'!$J$2:$J$2497,AA$1)</f>
        <v>0</v>
      </c>
      <c r="AB102" s="183">
        <f>SUMIFS('сентябрь 2025'!$G$2:$G$2497,'сентябрь 2025'!$D$2:$D$2497,$B102,'сентябрь 2025'!$J$2:$J$2497,AB$1)</f>
        <v>0</v>
      </c>
      <c r="AC102" s="183">
        <f>SUMIFS('сентябрь 2025'!$G$2:$G$2497,'сентябрь 2025'!$D$2:$D$2497,$B102,'сентябрь 2025'!$J$2:$J$2497,AC$1)</f>
        <v>0</v>
      </c>
      <c r="AD102" s="183">
        <f>SUMIFS('сентябрь 2025'!$G$2:$G$2497,'сентябрь 2025'!$D$2:$D$2497,$B102,'сентябрь 2025'!$J$2:$J$2497,AD$1)</f>
        <v>0</v>
      </c>
      <c r="AE102" s="183">
        <f>SUMIFS('сентябрь 2025'!$G$2:$G$2497,'сентябрь 2025'!$D$2:$D$2497,$B102,'сентябрь 2025'!$J$2:$J$2497,AE$1)</f>
        <v>0</v>
      </c>
      <c r="AF102" s="183">
        <f>SUMIFS('сентябрь 2025'!$G$2:$G$2497,'сентябрь 2025'!$D$2:$D$2497,$B102,'сентябрь 2025'!$J$2:$J$2497,AF$1)</f>
        <v>0</v>
      </c>
      <c r="AG102" s="183">
        <f>SUMIFS('сентябрь 2025'!$G$2:$G$2497,'сентябрь 2025'!$D$2:$D$2497,$B102,'сентябрь 2025'!$J$2:$J$2497,AG$1)</f>
        <v>0</v>
      </c>
      <c r="AH102" s="183">
        <f>SUMIFS('сентябрь 2025'!$G$2:$G$2497,'сентябрь 2025'!$D$2:$D$2497,$B102,'сентябрь 2025'!$J$2:$J$2497,AH$1)</f>
        <v>0</v>
      </c>
      <c r="AI102" s="20">
        <f t="shared" si="1"/>
        <v>0</v>
      </c>
    </row>
    <row r="103" spans="2:35" ht="15" customHeight="1" x14ac:dyDescent="0.25">
      <c r="B103" s="88" t="s">
        <v>1437</v>
      </c>
      <c r="C103" s="86">
        <v>190</v>
      </c>
      <c r="D103" s="183">
        <f>SUMIFS('сентябрь 2025'!$G$2:$G$2497,'сентябрь 2025'!$D$2:$D$2497,$B103,'сентябрь 2025'!$J$2:$J$2497,D$1)</f>
        <v>0</v>
      </c>
      <c r="E103" s="183">
        <f>SUMIFS('сентябрь 2025'!$G$2:$G$2497,'сентябрь 2025'!$D$2:$D$2497,$B103,'сентябрь 2025'!$J$2:$J$2497,E$1)</f>
        <v>0</v>
      </c>
      <c r="F103" s="183">
        <f>SUMIFS('сентябрь 2025'!$G$2:$G$2497,'сентябрь 2025'!$D$2:$D$2497,$B103,'сентябрь 2025'!$J$2:$J$2497,F$1)</f>
        <v>0</v>
      </c>
      <c r="G103" s="183">
        <f>SUMIFS('сентябрь 2025'!$G$2:$G$2497,'сентябрь 2025'!$D$2:$D$2497,$B103,'сентябрь 2025'!$J$2:$J$2497,G$1)</f>
        <v>0</v>
      </c>
      <c r="H103" s="183">
        <f>SUMIFS('сентябрь 2025'!$G$2:$G$2497,'сентябрь 2025'!$D$2:$D$2497,$B103,'сентябрь 2025'!$J$2:$J$2497,H$1)</f>
        <v>0</v>
      </c>
      <c r="I103" s="183">
        <f>SUMIFS('сентябрь 2025'!$G$2:$G$2497,'сентябрь 2025'!$D$2:$D$2497,$B103,'сентябрь 2025'!$J$2:$J$2497,I$1)</f>
        <v>0</v>
      </c>
      <c r="J103" s="183">
        <f>SUMIFS('сентябрь 2025'!$G$2:$G$2497,'сентябрь 2025'!$D$2:$D$2497,$B103,'сентябрь 2025'!$J$2:$J$2497,J$1)</f>
        <v>0</v>
      </c>
      <c r="K103" s="183">
        <f>SUMIFS('сентябрь 2025'!$G$2:$G$2497,'сентябрь 2025'!$D$2:$D$2497,$B103,'сентябрь 2025'!$J$2:$J$2497,K$1)</f>
        <v>0</v>
      </c>
      <c r="L103" s="183">
        <f>SUMIFS('сентябрь 2025'!$G$2:$G$2497,'сентябрь 2025'!$D$2:$D$2497,$B103,'сентябрь 2025'!$J$2:$J$2497,L$1)</f>
        <v>0</v>
      </c>
      <c r="M103" s="183">
        <f>SUMIFS('сентябрь 2025'!$G$2:$G$2497,'сентябрь 2025'!$D$2:$D$2497,$B103,'сентябрь 2025'!$J$2:$J$2497,M$1)</f>
        <v>0</v>
      </c>
      <c r="N103" s="183">
        <f>SUMIFS('сентябрь 2025'!$G$2:$G$2497,'сентябрь 2025'!$D$2:$D$2497,$B103,'сентябрь 2025'!$J$2:$J$2497,N$1)</f>
        <v>0</v>
      </c>
      <c r="O103" s="183">
        <f>SUMIFS('сентябрь 2025'!$G$2:$G$2497,'сентябрь 2025'!$D$2:$D$2497,$B103,'сентябрь 2025'!$J$2:$J$2497,O$1)</f>
        <v>0</v>
      </c>
      <c r="P103" s="183">
        <f>SUMIFS('сентябрь 2025'!$G$2:$G$2497,'сентябрь 2025'!$D$2:$D$2497,$B103,'сентябрь 2025'!$J$2:$J$2497,P$1)</f>
        <v>0</v>
      </c>
      <c r="Q103" s="183">
        <f>SUMIFS('сентябрь 2025'!$G$2:$G$2497,'сентябрь 2025'!$D$2:$D$2497,$B103,'сентябрь 2025'!$J$2:$J$2497,Q$1)</f>
        <v>0</v>
      </c>
      <c r="R103" s="183">
        <f>SUMIFS('сентябрь 2025'!$G$2:$G$2497,'сентябрь 2025'!$D$2:$D$2497,$B103,'сентябрь 2025'!$J$2:$J$2497,R$1)</f>
        <v>0</v>
      </c>
      <c r="S103" s="183">
        <f>SUMIFS('сентябрь 2025'!$G$2:$G$2497,'сентябрь 2025'!$D$2:$D$2497,$B103,'сентябрь 2025'!$J$2:$J$2497,S$1)</f>
        <v>0</v>
      </c>
      <c r="T103" s="183">
        <f>SUMIFS('сентябрь 2025'!$G$2:$G$2497,'сентябрь 2025'!$D$2:$D$2497,$B103,'сентябрь 2025'!$J$2:$J$2497,T$1)</f>
        <v>0</v>
      </c>
      <c r="U103" s="183">
        <f>SUMIFS('сентябрь 2025'!$G$2:$G$2497,'сентябрь 2025'!$D$2:$D$2497,$B103,'сентябрь 2025'!$J$2:$J$2497,U$1)</f>
        <v>0</v>
      </c>
      <c r="V103" s="183">
        <f>SUMIFS('сентябрь 2025'!$G$2:$G$2497,'сентябрь 2025'!$D$2:$D$2497,$B103,'сентябрь 2025'!$J$2:$J$2497,V$1)</f>
        <v>0</v>
      </c>
      <c r="W103" s="183">
        <f>SUMIFS('сентябрь 2025'!$G$2:$G$2497,'сентябрь 2025'!$D$2:$D$2497,$B103,'сентябрь 2025'!$J$2:$J$2497,W$1)</f>
        <v>0</v>
      </c>
      <c r="X103" s="183">
        <f>SUMIFS('сентябрь 2025'!$G$2:$G$2497,'сентябрь 2025'!$D$2:$D$2497,$B103,'сентябрь 2025'!$J$2:$J$2497,X$1)</f>
        <v>0</v>
      </c>
      <c r="Y103" s="183">
        <f>SUMIFS('сентябрь 2025'!$G$2:$G$2497,'сентябрь 2025'!$D$2:$D$2497,$B103,'сентябрь 2025'!$J$2:$J$2497,Y$1)</f>
        <v>0</v>
      </c>
      <c r="Z103" s="183">
        <f>SUMIFS('сентябрь 2025'!$G$2:$G$2497,'сентябрь 2025'!$D$2:$D$2497,$B103,'сентябрь 2025'!$J$2:$J$2497,Z$1)</f>
        <v>0</v>
      </c>
      <c r="AA103" s="183">
        <f>SUMIFS('сентябрь 2025'!$G$2:$G$2497,'сентябрь 2025'!$D$2:$D$2497,$B103,'сентябрь 2025'!$J$2:$J$2497,AA$1)</f>
        <v>0</v>
      </c>
      <c r="AB103" s="183">
        <f>SUMIFS('сентябрь 2025'!$G$2:$G$2497,'сентябрь 2025'!$D$2:$D$2497,$B103,'сентябрь 2025'!$J$2:$J$2497,AB$1)</f>
        <v>0</v>
      </c>
      <c r="AC103" s="183">
        <f>SUMIFS('сентябрь 2025'!$G$2:$G$2497,'сентябрь 2025'!$D$2:$D$2497,$B103,'сентябрь 2025'!$J$2:$J$2497,AC$1)</f>
        <v>0</v>
      </c>
      <c r="AD103" s="183">
        <f>SUMIFS('сентябрь 2025'!$G$2:$G$2497,'сентябрь 2025'!$D$2:$D$2497,$B103,'сентябрь 2025'!$J$2:$J$2497,AD$1)</f>
        <v>0</v>
      </c>
      <c r="AE103" s="183">
        <f>SUMIFS('сентябрь 2025'!$G$2:$G$2497,'сентябрь 2025'!$D$2:$D$2497,$B103,'сентябрь 2025'!$J$2:$J$2497,AE$1)</f>
        <v>0</v>
      </c>
      <c r="AF103" s="183">
        <f>SUMIFS('сентябрь 2025'!$G$2:$G$2497,'сентябрь 2025'!$D$2:$D$2497,$B103,'сентябрь 2025'!$J$2:$J$2497,AF$1)</f>
        <v>0</v>
      </c>
      <c r="AG103" s="183">
        <f>SUMIFS('сентябрь 2025'!$G$2:$G$2497,'сентябрь 2025'!$D$2:$D$2497,$B103,'сентябрь 2025'!$J$2:$J$2497,AG$1)</f>
        <v>0</v>
      </c>
      <c r="AH103" s="183">
        <f>SUMIFS('сентябрь 2025'!$G$2:$G$2497,'сентябрь 2025'!$D$2:$D$2497,$B103,'сентябрь 2025'!$J$2:$J$2497,AH$1)</f>
        <v>0</v>
      </c>
      <c r="AI103" s="20">
        <f t="shared" si="1"/>
        <v>0</v>
      </c>
    </row>
    <row r="104" spans="2:35" ht="15" customHeight="1" x14ac:dyDescent="0.25">
      <c r="B104" s="88" t="s">
        <v>282</v>
      </c>
      <c r="C104" s="86">
        <v>190</v>
      </c>
      <c r="D104" s="183">
        <f>SUMIFS('сентябрь 2025'!$G$2:$G$2497,'сентябрь 2025'!$D$2:$D$2497,$B104,'сентябрь 2025'!$J$2:$J$2497,D$1)</f>
        <v>0</v>
      </c>
      <c r="E104" s="183">
        <f>SUMIFS('сентябрь 2025'!$G$2:$G$2497,'сентябрь 2025'!$D$2:$D$2497,$B104,'сентябрь 2025'!$J$2:$J$2497,E$1)</f>
        <v>0</v>
      </c>
      <c r="F104" s="183">
        <f>SUMIFS('сентябрь 2025'!$G$2:$G$2497,'сентябрь 2025'!$D$2:$D$2497,$B104,'сентябрь 2025'!$J$2:$J$2497,F$1)</f>
        <v>0</v>
      </c>
      <c r="G104" s="183">
        <f>SUMIFS('сентябрь 2025'!$G$2:$G$2497,'сентябрь 2025'!$D$2:$D$2497,$B104,'сентябрь 2025'!$J$2:$J$2497,G$1)</f>
        <v>0</v>
      </c>
      <c r="H104" s="183">
        <f>SUMIFS('сентябрь 2025'!$G$2:$G$2497,'сентябрь 2025'!$D$2:$D$2497,$B104,'сентябрь 2025'!$J$2:$J$2497,H$1)</f>
        <v>0</v>
      </c>
      <c r="I104" s="183">
        <f>SUMIFS('сентябрь 2025'!$G$2:$G$2497,'сентябрь 2025'!$D$2:$D$2497,$B104,'сентябрь 2025'!$J$2:$J$2497,I$1)</f>
        <v>0</v>
      </c>
      <c r="J104" s="183">
        <f>SUMIFS('сентябрь 2025'!$G$2:$G$2497,'сентябрь 2025'!$D$2:$D$2497,$B104,'сентябрь 2025'!$J$2:$J$2497,J$1)</f>
        <v>0</v>
      </c>
      <c r="K104" s="183">
        <f>SUMIFS('сентябрь 2025'!$G$2:$G$2497,'сентябрь 2025'!$D$2:$D$2497,$B104,'сентябрь 2025'!$J$2:$J$2497,K$1)</f>
        <v>0</v>
      </c>
      <c r="L104" s="183">
        <f>SUMIFS('сентябрь 2025'!$G$2:$G$2497,'сентябрь 2025'!$D$2:$D$2497,$B104,'сентябрь 2025'!$J$2:$J$2497,L$1)</f>
        <v>0</v>
      </c>
      <c r="M104" s="183">
        <f>SUMIFS('сентябрь 2025'!$G$2:$G$2497,'сентябрь 2025'!$D$2:$D$2497,$B104,'сентябрь 2025'!$J$2:$J$2497,M$1)</f>
        <v>0</v>
      </c>
      <c r="N104" s="183">
        <f>SUMIFS('сентябрь 2025'!$G$2:$G$2497,'сентябрь 2025'!$D$2:$D$2497,$B104,'сентябрь 2025'!$J$2:$J$2497,N$1)</f>
        <v>0</v>
      </c>
      <c r="O104" s="183">
        <f>SUMIFS('сентябрь 2025'!$G$2:$G$2497,'сентябрь 2025'!$D$2:$D$2497,$B104,'сентябрь 2025'!$J$2:$J$2497,O$1)</f>
        <v>0</v>
      </c>
      <c r="P104" s="183">
        <f>SUMIFS('сентябрь 2025'!$G$2:$G$2497,'сентябрь 2025'!$D$2:$D$2497,$B104,'сентябрь 2025'!$J$2:$J$2497,P$1)</f>
        <v>0</v>
      </c>
      <c r="Q104" s="183">
        <f>SUMIFS('сентябрь 2025'!$G$2:$G$2497,'сентябрь 2025'!$D$2:$D$2497,$B104,'сентябрь 2025'!$J$2:$J$2497,Q$1)</f>
        <v>0</v>
      </c>
      <c r="R104" s="183">
        <f>SUMIFS('сентябрь 2025'!$G$2:$G$2497,'сентябрь 2025'!$D$2:$D$2497,$B104,'сентябрь 2025'!$J$2:$J$2497,R$1)</f>
        <v>0</v>
      </c>
      <c r="S104" s="183">
        <f>SUMIFS('сентябрь 2025'!$G$2:$G$2497,'сентябрь 2025'!$D$2:$D$2497,$B104,'сентябрь 2025'!$J$2:$J$2497,S$1)</f>
        <v>0</v>
      </c>
      <c r="T104" s="183">
        <f>SUMIFS('сентябрь 2025'!$G$2:$G$2497,'сентябрь 2025'!$D$2:$D$2497,$B104,'сентябрь 2025'!$J$2:$J$2497,T$1)</f>
        <v>0</v>
      </c>
      <c r="U104" s="183">
        <f>SUMIFS('сентябрь 2025'!$G$2:$G$2497,'сентябрь 2025'!$D$2:$D$2497,$B104,'сентябрь 2025'!$J$2:$J$2497,U$1)</f>
        <v>0</v>
      </c>
      <c r="V104" s="183">
        <f>SUMIFS('сентябрь 2025'!$G$2:$G$2497,'сентябрь 2025'!$D$2:$D$2497,$B104,'сентябрь 2025'!$J$2:$J$2497,V$1)</f>
        <v>0</v>
      </c>
      <c r="W104" s="183">
        <f>SUMIFS('сентябрь 2025'!$G$2:$G$2497,'сентябрь 2025'!$D$2:$D$2497,$B104,'сентябрь 2025'!$J$2:$J$2497,W$1)</f>
        <v>0</v>
      </c>
      <c r="X104" s="183">
        <f>SUMIFS('сентябрь 2025'!$G$2:$G$2497,'сентябрь 2025'!$D$2:$D$2497,$B104,'сентябрь 2025'!$J$2:$J$2497,X$1)</f>
        <v>0</v>
      </c>
      <c r="Y104" s="183">
        <f>SUMIFS('сентябрь 2025'!$G$2:$G$2497,'сентябрь 2025'!$D$2:$D$2497,$B104,'сентябрь 2025'!$J$2:$J$2497,Y$1)</f>
        <v>0</v>
      </c>
      <c r="Z104" s="183">
        <f>SUMIFS('сентябрь 2025'!$G$2:$G$2497,'сентябрь 2025'!$D$2:$D$2497,$B104,'сентябрь 2025'!$J$2:$J$2497,Z$1)</f>
        <v>0</v>
      </c>
      <c r="AA104" s="183">
        <f>SUMIFS('сентябрь 2025'!$G$2:$G$2497,'сентябрь 2025'!$D$2:$D$2497,$B104,'сентябрь 2025'!$J$2:$J$2497,AA$1)</f>
        <v>0</v>
      </c>
      <c r="AB104" s="183">
        <f>SUMIFS('сентябрь 2025'!$G$2:$G$2497,'сентябрь 2025'!$D$2:$D$2497,$B104,'сентябрь 2025'!$J$2:$J$2497,AB$1)</f>
        <v>0</v>
      </c>
      <c r="AC104" s="183">
        <f>SUMIFS('сентябрь 2025'!$G$2:$G$2497,'сентябрь 2025'!$D$2:$D$2497,$B104,'сентябрь 2025'!$J$2:$J$2497,AC$1)</f>
        <v>0</v>
      </c>
      <c r="AD104" s="183">
        <f>SUMIFS('сентябрь 2025'!$G$2:$G$2497,'сентябрь 2025'!$D$2:$D$2497,$B104,'сентябрь 2025'!$J$2:$J$2497,AD$1)</f>
        <v>0</v>
      </c>
      <c r="AE104" s="183">
        <f>SUMIFS('сентябрь 2025'!$G$2:$G$2497,'сентябрь 2025'!$D$2:$D$2497,$B104,'сентябрь 2025'!$J$2:$J$2497,AE$1)</f>
        <v>0</v>
      </c>
      <c r="AF104" s="183">
        <f>SUMIFS('сентябрь 2025'!$G$2:$G$2497,'сентябрь 2025'!$D$2:$D$2497,$B104,'сентябрь 2025'!$J$2:$J$2497,AF$1)</f>
        <v>0</v>
      </c>
      <c r="AG104" s="183">
        <f>SUMIFS('сентябрь 2025'!$G$2:$G$2497,'сентябрь 2025'!$D$2:$D$2497,$B104,'сентябрь 2025'!$J$2:$J$2497,AG$1)</f>
        <v>0</v>
      </c>
      <c r="AH104" s="183">
        <f>SUMIFS('сентябрь 2025'!$G$2:$G$2497,'сентябрь 2025'!$D$2:$D$2497,$B104,'сентябрь 2025'!$J$2:$J$2497,AH$1)</f>
        <v>0</v>
      </c>
      <c r="AI104" s="20">
        <f t="shared" si="1"/>
        <v>0</v>
      </c>
    </row>
    <row r="105" spans="2:35" ht="15" customHeight="1" x14ac:dyDescent="0.25">
      <c r="B105" s="88" t="s">
        <v>258</v>
      </c>
      <c r="C105" s="86">
        <v>180</v>
      </c>
      <c r="D105" s="183">
        <f>SUMIFS('сентябрь 2025'!$G$2:$G$2497,'сентябрь 2025'!$D$2:$D$2497,$B105,'сентябрь 2025'!$J$2:$J$2497,D$1)</f>
        <v>0</v>
      </c>
      <c r="E105" s="183">
        <f>SUMIFS('сентябрь 2025'!$G$2:$G$2497,'сентябрь 2025'!$D$2:$D$2497,$B105,'сентябрь 2025'!$J$2:$J$2497,E$1)</f>
        <v>0</v>
      </c>
      <c r="F105" s="183">
        <f>SUMIFS('сентябрь 2025'!$G$2:$G$2497,'сентябрь 2025'!$D$2:$D$2497,$B105,'сентябрь 2025'!$J$2:$J$2497,F$1)</f>
        <v>0</v>
      </c>
      <c r="G105" s="183">
        <f>SUMIFS('сентябрь 2025'!$G$2:$G$2497,'сентябрь 2025'!$D$2:$D$2497,$B105,'сентябрь 2025'!$J$2:$J$2497,G$1)</f>
        <v>0</v>
      </c>
      <c r="H105" s="183">
        <f>SUMIFS('сентябрь 2025'!$G$2:$G$2497,'сентябрь 2025'!$D$2:$D$2497,$B105,'сентябрь 2025'!$J$2:$J$2497,H$1)</f>
        <v>0</v>
      </c>
      <c r="I105" s="183">
        <f>SUMIFS('сентябрь 2025'!$G$2:$G$2497,'сентябрь 2025'!$D$2:$D$2497,$B105,'сентябрь 2025'!$J$2:$J$2497,I$1)</f>
        <v>0</v>
      </c>
      <c r="J105" s="183">
        <f>SUMIFS('сентябрь 2025'!$G$2:$G$2497,'сентябрь 2025'!$D$2:$D$2497,$B105,'сентябрь 2025'!$J$2:$J$2497,J$1)</f>
        <v>0</v>
      </c>
      <c r="K105" s="183">
        <f>SUMIFS('сентябрь 2025'!$G$2:$G$2497,'сентябрь 2025'!$D$2:$D$2497,$B105,'сентябрь 2025'!$J$2:$J$2497,K$1)</f>
        <v>0</v>
      </c>
      <c r="L105" s="183">
        <f>SUMIFS('сентябрь 2025'!$G$2:$G$2497,'сентябрь 2025'!$D$2:$D$2497,$B105,'сентябрь 2025'!$J$2:$J$2497,L$1)</f>
        <v>0</v>
      </c>
      <c r="M105" s="183">
        <f>SUMIFS('сентябрь 2025'!$G$2:$G$2497,'сентябрь 2025'!$D$2:$D$2497,$B105,'сентябрь 2025'!$J$2:$J$2497,M$1)</f>
        <v>0</v>
      </c>
      <c r="N105" s="183">
        <f>SUMIFS('сентябрь 2025'!$G$2:$G$2497,'сентябрь 2025'!$D$2:$D$2497,$B105,'сентябрь 2025'!$J$2:$J$2497,N$1)</f>
        <v>0</v>
      </c>
      <c r="O105" s="183">
        <f>SUMIFS('сентябрь 2025'!$G$2:$G$2497,'сентябрь 2025'!$D$2:$D$2497,$B105,'сентябрь 2025'!$J$2:$J$2497,O$1)</f>
        <v>0</v>
      </c>
      <c r="P105" s="183">
        <f>SUMIFS('сентябрь 2025'!$G$2:$G$2497,'сентябрь 2025'!$D$2:$D$2497,$B105,'сентябрь 2025'!$J$2:$J$2497,P$1)</f>
        <v>0</v>
      </c>
      <c r="Q105" s="183">
        <f>SUMIFS('сентябрь 2025'!$G$2:$G$2497,'сентябрь 2025'!$D$2:$D$2497,$B105,'сентябрь 2025'!$J$2:$J$2497,Q$1)</f>
        <v>0</v>
      </c>
      <c r="R105" s="183">
        <f>SUMIFS('сентябрь 2025'!$G$2:$G$2497,'сентябрь 2025'!$D$2:$D$2497,$B105,'сентябрь 2025'!$J$2:$J$2497,R$1)</f>
        <v>0</v>
      </c>
      <c r="S105" s="183">
        <f>SUMIFS('сентябрь 2025'!$G$2:$G$2497,'сентябрь 2025'!$D$2:$D$2497,$B105,'сентябрь 2025'!$J$2:$J$2497,S$1)</f>
        <v>0</v>
      </c>
      <c r="T105" s="183">
        <f>SUMIFS('сентябрь 2025'!$G$2:$G$2497,'сентябрь 2025'!$D$2:$D$2497,$B105,'сентябрь 2025'!$J$2:$J$2497,T$1)</f>
        <v>0</v>
      </c>
      <c r="U105" s="183">
        <f>SUMIFS('сентябрь 2025'!$G$2:$G$2497,'сентябрь 2025'!$D$2:$D$2497,$B105,'сентябрь 2025'!$J$2:$J$2497,U$1)</f>
        <v>0</v>
      </c>
      <c r="V105" s="183">
        <f>SUMIFS('сентябрь 2025'!$G$2:$G$2497,'сентябрь 2025'!$D$2:$D$2497,$B105,'сентябрь 2025'!$J$2:$J$2497,V$1)</f>
        <v>0</v>
      </c>
      <c r="W105" s="183">
        <f>SUMIFS('сентябрь 2025'!$G$2:$G$2497,'сентябрь 2025'!$D$2:$D$2497,$B105,'сентябрь 2025'!$J$2:$J$2497,W$1)</f>
        <v>0</v>
      </c>
      <c r="X105" s="183">
        <f>SUMIFS('сентябрь 2025'!$G$2:$G$2497,'сентябрь 2025'!$D$2:$D$2497,$B105,'сентябрь 2025'!$J$2:$J$2497,X$1)</f>
        <v>0</v>
      </c>
      <c r="Y105" s="183">
        <f>SUMIFS('сентябрь 2025'!$G$2:$G$2497,'сентябрь 2025'!$D$2:$D$2497,$B105,'сентябрь 2025'!$J$2:$J$2497,Y$1)</f>
        <v>0</v>
      </c>
      <c r="Z105" s="183">
        <f>SUMIFS('сентябрь 2025'!$G$2:$G$2497,'сентябрь 2025'!$D$2:$D$2497,$B105,'сентябрь 2025'!$J$2:$J$2497,Z$1)</f>
        <v>0</v>
      </c>
      <c r="AA105" s="183">
        <f>SUMIFS('сентябрь 2025'!$G$2:$G$2497,'сентябрь 2025'!$D$2:$D$2497,$B105,'сентябрь 2025'!$J$2:$J$2497,AA$1)</f>
        <v>0</v>
      </c>
      <c r="AB105" s="183">
        <f>SUMIFS('сентябрь 2025'!$G$2:$G$2497,'сентябрь 2025'!$D$2:$D$2497,$B105,'сентябрь 2025'!$J$2:$J$2497,AB$1)</f>
        <v>0</v>
      </c>
      <c r="AC105" s="183">
        <f>SUMIFS('сентябрь 2025'!$G$2:$G$2497,'сентябрь 2025'!$D$2:$D$2497,$B105,'сентябрь 2025'!$J$2:$J$2497,AC$1)</f>
        <v>0</v>
      </c>
      <c r="AD105" s="183">
        <f>SUMIFS('сентябрь 2025'!$G$2:$G$2497,'сентябрь 2025'!$D$2:$D$2497,$B105,'сентябрь 2025'!$J$2:$J$2497,AD$1)</f>
        <v>0</v>
      </c>
      <c r="AE105" s="183">
        <f>SUMIFS('сентябрь 2025'!$G$2:$G$2497,'сентябрь 2025'!$D$2:$D$2497,$B105,'сентябрь 2025'!$J$2:$J$2497,AE$1)</f>
        <v>0</v>
      </c>
      <c r="AF105" s="183">
        <f>SUMIFS('сентябрь 2025'!$G$2:$G$2497,'сентябрь 2025'!$D$2:$D$2497,$B105,'сентябрь 2025'!$J$2:$J$2497,AF$1)</f>
        <v>0</v>
      </c>
      <c r="AG105" s="183">
        <f>SUMIFS('сентябрь 2025'!$G$2:$G$2497,'сентябрь 2025'!$D$2:$D$2497,$B105,'сентябрь 2025'!$J$2:$J$2497,AG$1)</f>
        <v>0</v>
      </c>
      <c r="AH105" s="183">
        <f>SUMIFS('сентябрь 2025'!$G$2:$G$2497,'сентябрь 2025'!$D$2:$D$2497,$B105,'сентябрь 2025'!$J$2:$J$2497,AH$1)</f>
        <v>0</v>
      </c>
      <c r="AI105" s="20">
        <f t="shared" si="1"/>
        <v>0</v>
      </c>
    </row>
    <row r="106" spans="2:35" ht="15" customHeight="1" x14ac:dyDescent="0.25">
      <c r="B106" s="88" t="s">
        <v>259</v>
      </c>
      <c r="C106" s="86">
        <v>180</v>
      </c>
      <c r="D106" s="183">
        <f>SUMIFS('сентябрь 2025'!$G$2:$G$2497,'сентябрь 2025'!$D$2:$D$2497,$B106,'сентябрь 2025'!$J$2:$J$2497,D$1)</f>
        <v>0</v>
      </c>
      <c r="E106" s="183">
        <f>SUMIFS('сентябрь 2025'!$G$2:$G$2497,'сентябрь 2025'!$D$2:$D$2497,$B106,'сентябрь 2025'!$J$2:$J$2497,E$1)</f>
        <v>0</v>
      </c>
      <c r="F106" s="183">
        <f>SUMIFS('сентябрь 2025'!$G$2:$G$2497,'сентябрь 2025'!$D$2:$D$2497,$B106,'сентябрь 2025'!$J$2:$J$2497,F$1)</f>
        <v>0</v>
      </c>
      <c r="G106" s="183">
        <f>SUMIFS('сентябрь 2025'!$G$2:$G$2497,'сентябрь 2025'!$D$2:$D$2497,$B106,'сентябрь 2025'!$J$2:$J$2497,G$1)</f>
        <v>0</v>
      </c>
      <c r="H106" s="183">
        <f>SUMIFS('сентябрь 2025'!$G$2:$G$2497,'сентябрь 2025'!$D$2:$D$2497,$B106,'сентябрь 2025'!$J$2:$J$2497,H$1)</f>
        <v>0</v>
      </c>
      <c r="I106" s="183">
        <f>SUMIFS('сентябрь 2025'!$G$2:$G$2497,'сентябрь 2025'!$D$2:$D$2497,$B106,'сентябрь 2025'!$J$2:$J$2497,I$1)</f>
        <v>0</v>
      </c>
      <c r="J106" s="183">
        <f>SUMIFS('сентябрь 2025'!$G$2:$G$2497,'сентябрь 2025'!$D$2:$D$2497,$B106,'сентябрь 2025'!$J$2:$J$2497,J$1)</f>
        <v>0</v>
      </c>
      <c r="K106" s="183">
        <f>SUMIFS('сентябрь 2025'!$G$2:$G$2497,'сентябрь 2025'!$D$2:$D$2497,$B106,'сентябрь 2025'!$J$2:$J$2497,K$1)</f>
        <v>0</v>
      </c>
      <c r="L106" s="183">
        <f>SUMIFS('сентябрь 2025'!$G$2:$G$2497,'сентябрь 2025'!$D$2:$D$2497,$B106,'сентябрь 2025'!$J$2:$J$2497,L$1)</f>
        <v>0</v>
      </c>
      <c r="M106" s="183">
        <f>SUMIFS('сентябрь 2025'!$G$2:$G$2497,'сентябрь 2025'!$D$2:$D$2497,$B106,'сентябрь 2025'!$J$2:$J$2497,M$1)</f>
        <v>0</v>
      </c>
      <c r="N106" s="183">
        <f>SUMIFS('сентябрь 2025'!$G$2:$G$2497,'сентябрь 2025'!$D$2:$D$2497,$B106,'сентябрь 2025'!$J$2:$J$2497,N$1)</f>
        <v>0</v>
      </c>
      <c r="O106" s="183">
        <f>SUMIFS('сентябрь 2025'!$G$2:$G$2497,'сентябрь 2025'!$D$2:$D$2497,$B106,'сентябрь 2025'!$J$2:$J$2497,O$1)</f>
        <v>0</v>
      </c>
      <c r="P106" s="183">
        <f>SUMIFS('сентябрь 2025'!$G$2:$G$2497,'сентябрь 2025'!$D$2:$D$2497,$B106,'сентябрь 2025'!$J$2:$J$2497,P$1)</f>
        <v>0</v>
      </c>
      <c r="Q106" s="183">
        <f>SUMIFS('сентябрь 2025'!$G$2:$G$2497,'сентябрь 2025'!$D$2:$D$2497,$B106,'сентябрь 2025'!$J$2:$J$2497,Q$1)</f>
        <v>0</v>
      </c>
      <c r="R106" s="183">
        <f>SUMIFS('сентябрь 2025'!$G$2:$G$2497,'сентябрь 2025'!$D$2:$D$2497,$B106,'сентябрь 2025'!$J$2:$J$2497,R$1)</f>
        <v>0</v>
      </c>
      <c r="S106" s="183">
        <f>SUMIFS('сентябрь 2025'!$G$2:$G$2497,'сентябрь 2025'!$D$2:$D$2497,$B106,'сентябрь 2025'!$J$2:$J$2497,S$1)</f>
        <v>0</v>
      </c>
      <c r="T106" s="183">
        <f>SUMIFS('сентябрь 2025'!$G$2:$G$2497,'сентябрь 2025'!$D$2:$D$2497,$B106,'сентябрь 2025'!$J$2:$J$2497,T$1)</f>
        <v>0</v>
      </c>
      <c r="U106" s="183">
        <f>SUMIFS('сентябрь 2025'!$G$2:$G$2497,'сентябрь 2025'!$D$2:$D$2497,$B106,'сентябрь 2025'!$J$2:$J$2497,U$1)</f>
        <v>0</v>
      </c>
      <c r="V106" s="183">
        <f>SUMIFS('сентябрь 2025'!$G$2:$G$2497,'сентябрь 2025'!$D$2:$D$2497,$B106,'сентябрь 2025'!$J$2:$J$2497,V$1)</f>
        <v>0</v>
      </c>
      <c r="W106" s="183">
        <f>SUMIFS('сентябрь 2025'!$G$2:$G$2497,'сентябрь 2025'!$D$2:$D$2497,$B106,'сентябрь 2025'!$J$2:$J$2497,W$1)</f>
        <v>0</v>
      </c>
      <c r="X106" s="183">
        <f>SUMIFS('сентябрь 2025'!$G$2:$G$2497,'сентябрь 2025'!$D$2:$D$2497,$B106,'сентябрь 2025'!$J$2:$J$2497,X$1)</f>
        <v>0</v>
      </c>
      <c r="Y106" s="183">
        <f>SUMIFS('сентябрь 2025'!$G$2:$G$2497,'сентябрь 2025'!$D$2:$D$2497,$B106,'сентябрь 2025'!$J$2:$J$2497,Y$1)</f>
        <v>0</v>
      </c>
      <c r="Z106" s="183">
        <f>SUMIFS('сентябрь 2025'!$G$2:$G$2497,'сентябрь 2025'!$D$2:$D$2497,$B106,'сентябрь 2025'!$J$2:$J$2497,Z$1)</f>
        <v>0</v>
      </c>
      <c r="AA106" s="183">
        <f>SUMIFS('сентябрь 2025'!$G$2:$G$2497,'сентябрь 2025'!$D$2:$D$2497,$B106,'сентябрь 2025'!$J$2:$J$2497,AA$1)</f>
        <v>0</v>
      </c>
      <c r="AB106" s="183">
        <f>SUMIFS('сентябрь 2025'!$G$2:$G$2497,'сентябрь 2025'!$D$2:$D$2497,$B106,'сентябрь 2025'!$J$2:$J$2497,AB$1)</f>
        <v>0</v>
      </c>
      <c r="AC106" s="183">
        <f>SUMIFS('сентябрь 2025'!$G$2:$G$2497,'сентябрь 2025'!$D$2:$D$2497,$B106,'сентябрь 2025'!$J$2:$J$2497,AC$1)</f>
        <v>0</v>
      </c>
      <c r="AD106" s="183">
        <f>SUMIFS('сентябрь 2025'!$G$2:$G$2497,'сентябрь 2025'!$D$2:$D$2497,$B106,'сентябрь 2025'!$J$2:$J$2497,AD$1)</f>
        <v>0</v>
      </c>
      <c r="AE106" s="183">
        <f>SUMIFS('сентябрь 2025'!$G$2:$G$2497,'сентябрь 2025'!$D$2:$D$2497,$B106,'сентябрь 2025'!$J$2:$J$2497,AE$1)</f>
        <v>0</v>
      </c>
      <c r="AF106" s="183">
        <f>SUMIFS('сентябрь 2025'!$G$2:$G$2497,'сентябрь 2025'!$D$2:$D$2497,$B106,'сентябрь 2025'!$J$2:$J$2497,AF$1)</f>
        <v>0</v>
      </c>
      <c r="AG106" s="183">
        <f>SUMIFS('сентябрь 2025'!$G$2:$G$2497,'сентябрь 2025'!$D$2:$D$2497,$B106,'сентябрь 2025'!$J$2:$J$2497,AG$1)</f>
        <v>0</v>
      </c>
      <c r="AH106" s="183">
        <f>SUMIFS('сентябрь 2025'!$G$2:$G$2497,'сентябрь 2025'!$D$2:$D$2497,$B106,'сентябрь 2025'!$J$2:$J$2497,AH$1)</f>
        <v>0</v>
      </c>
      <c r="AI106" s="20">
        <f t="shared" si="1"/>
        <v>0</v>
      </c>
    </row>
    <row r="107" spans="2:35" ht="15" customHeight="1" x14ac:dyDescent="0.25">
      <c r="B107" s="88" t="s">
        <v>289</v>
      </c>
      <c r="C107" s="86">
        <v>20</v>
      </c>
      <c r="D107" s="183">
        <f>SUMIFS('сентябрь 2025'!$G$2:$G$2497,'сентябрь 2025'!$D$2:$D$2497,$B107,'сентябрь 2025'!$J$2:$J$2497,D$1)</f>
        <v>0</v>
      </c>
      <c r="E107" s="183">
        <f>SUMIFS('сентябрь 2025'!$G$2:$G$2497,'сентябрь 2025'!$D$2:$D$2497,$B107,'сентябрь 2025'!$J$2:$J$2497,E$1)</f>
        <v>0</v>
      </c>
      <c r="F107" s="183">
        <f>SUMIFS('сентябрь 2025'!$G$2:$G$2497,'сентябрь 2025'!$D$2:$D$2497,$B107,'сентябрь 2025'!$J$2:$J$2497,F$1)</f>
        <v>0</v>
      </c>
      <c r="G107" s="183">
        <f>SUMIFS('сентябрь 2025'!$G$2:$G$2497,'сентябрь 2025'!$D$2:$D$2497,$B107,'сентябрь 2025'!$J$2:$J$2497,G$1)</f>
        <v>0</v>
      </c>
      <c r="H107" s="183">
        <f>SUMIFS('сентябрь 2025'!$G$2:$G$2497,'сентябрь 2025'!$D$2:$D$2497,$B107,'сентябрь 2025'!$J$2:$J$2497,H$1)</f>
        <v>0</v>
      </c>
      <c r="I107" s="183">
        <f>SUMIFS('сентябрь 2025'!$G$2:$G$2497,'сентябрь 2025'!$D$2:$D$2497,$B107,'сентябрь 2025'!$J$2:$J$2497,I$1)</f>
        <v>0</v>
      </c>
      <c r="J107" s="183">
        <f>SUMIFS('сентябрь 2025'!$G$2:$G$2497,'сентябрь 2025'!$D$2:$D$2497,$B107,'сентябрь 2025'!$J$2:$J$2497,J$1)</f>
        <v>0</v>
      </c>
      <c r="K107" s="183">
        <f>SUMIFS('сентябрь 2025'!$G$2:$G$2497,'сентябрь 2025'!$D$2:$D$2497,$B107,'сентябрь 2025'!$J$2:$J$2497,K$1)</f>
        <v>0</v>
      </c>
      <c r="L107" s="183">
        <f>SUMIFS('сентябрь 2025'!$G$2:$G$2497,'сентябрь 2025'!$D$2:$D$2497,$B107,'сентябрь 2025'!$J$2:$J$2497,L$1)</f>
        <v>0</v>
      </c>
      <c r="M107" s="183">
        <f>SUMIFS('сентябрь 2025'!$G$2:$G$2497,'сентябрь 2025'!$D$2:$D$2497,$B107,'сентябрь 2025'!$J$2:$J$2497,M$1)</f>
        <v>0</v>
      </c>
      <c r="N107" s="183">
        <f>SUMIFS('сентябрь 2025'!$G$2:$G$2497,'сентябрь 2025'!$D$2:$D$2497,$B107,'сентябрь 2025'!$J$2:$J$2497,N$1)</f>
        <v>0</v>
      </c>
      <c r="O107" s="183">
        <f>SUMIFS('сентябрь 2025'!$G$2:$G$2497,'сентябрь 2025'!$D$2:$D$2497,$B107,'сентябрь 2025'!$J$2:$J$2497,O$1)</f>
        <v>0</v>
      </c>
      <c r="P107" s="183">
        <f>SUMIFS('сентябрь 2025'!$G$2:$G$2497,'сентябрь 2025'!$D$2:$D$2497,$B107,'сентябрь 2025'!$J$2:$J$2497,P$1)</f>
        <v>0</v>
      </c>
      <c r="Q107" s="183">
        <f>SUMIFS('сентябрь 2025'!$G$2:$G$2497,'сентябрь 2025'!$D$2:$D$2497,$B107,'сентябрь 2025'!$J$2:$J$2497,Q$1)</f>
        <v>0</v>
      </c>
      <c r="R107" s="183">
        <f>SUMIFS('сентябрь 2025'!$G$2:$G$2497,'сентябрь 2025'!$D$2:$D$2497,$B107,'сентябрь 2025'!$J$2:$J$2497,R$1)</f>
        <v>0</v>
      </c>
      <c r="S107" s="183">
        <f>SUMIFS('сентябрь 2025'!$G$2:$G$2497,'сентябрь 2025'!$D$2:$D$2497,$B107,'сентябрь 2025'!$J$2:$J$2497,S$1)</f>
        <v>0</v>
      </c>
      <c r="T107" s="183">
        <f>SUMIFS('сентябрь 2025'!$G$2:$G$2497,'сентябрь 2025'!$D$2:$D$2497,$B107,'сентябрь 2025'!$J$2:$J$2497,T$1)</f>
        <v>0</v>
      </c>
      <c r="U107" s="183">
        <f>SUMIFS('сентябрь 2025'!$G$2:$G$2497,'сентябрь 2025'!$D$2:$D$2497,$B107,'сентябрь 2025'!$J$2:$J$2497,U$1)</f>
        <v>0</v>
      </c>
      <c r="V107" s="183">
        <f>SUMIFS('сентябрь 2025'!$G$2:$G$2497,'сентябрь 2025'!$D$2:$D$2497,$B107,'сентябрь 2025'!$J$2:$J$2497,V$1)</f>
        <v>0</v>
      </c>
      <c r="W107" s="183">
        <f>SUMIFS('сентябрь 2025'!$G$2:$G$2497,'сентябрь 2025'!$D$2:$D$2497,$B107,'сентябрь 2025'!$J$2:$J$2497,W$1)</f>
        <v>0</v>
      </c>
      <c r="X107" s="183">
        <f>SUMIFS('сентябрь 2025'!$G$2:$G$2497,'сентябрь 2025'!$D$2:$D$2497,$B107,'сентябрь 2025'!$J$2:$J$2497,X$1)</f>
        <v>0</v>
      </c>
      <c r="Y107" s="183">
        <f>SUMIFS('сентябрь 2025'!$G$2:$G$2497,'сентябрь 2025'!$D$2:$D$2497,$B107,'сентябрь 2025'!$J$2:$J$2497,Y$1)</f>
        <v>0</v>
      </c>
      <c r="Z107" s="183">
        <f>SUMIFS('сентябрь 2025'!$G$2:$G$2497,'сентябрь 2025'!$D$2:$D$2497,$B107,'сентябрь 2025'!$J$2:$J$2497,Z$1)</f>
        <v>0</v>
      </c>
      <c r="AA107" s="183">
        <f>SUMIFS('сентябрь 2025'!$G$2:$G$2497,'сентябрь 2025'!$D$2:$D$2497,$B107,'сентябрь 2025'!$J$2:$J$2497,AA$1)</f>
        <v>0</v>
      </c>
      <c r="AB107" s="183">
        <f>SUMIFS('сентябрь 2025'!$G$2:$G$2497,'сентябрь 2025'!$D$2:$D$2497,$B107,'сентябрь 2025'!$J$2:$J$2497,AB$1)</f>
        <v>0</v>
      </c>
      <c r="AC107" s="183">
        <f>SUMIFS('сентябрь 2025'!$G$2:$G$2497,'сентябрь 2025'!$D$2:$D$2497,$B107,'сентябрь 2025'!$J$2:$J$2497,AC$1)</f>
        <v>0</v>
      </c>
      <c r="AD107" s="183">
        <f>SUMIFS('сентябрь 2025'!$G$2:$G$2497,'сентябрь 2025'!$D$2:$D$2497,$B107,'сентябрь 2025'!$J$2:$J$2497,AD$1)</f>
        <v>0</v>
      </c>
      <c r="AE107" s="183">
        <f>SUMIFS('сентябрь 2025'!$G$2:$G$2497,'сентябрь 2025'!$D$2:$D$2497,$B107,'сентябрь 2025'!$J$2:$J$2497,AE$1)</f>
        <v>0</v>
      </c>
      <c r="AF107" s="183">
        <f>SUMIFS('сентябрь 2025'!$G$2:$G$2497,'сентябрь 2025'!$D$2:$D$2497,$B107,'сентябрь 2025'!$J$2:$J$2497,AF$1)</f>
        <v>0</v>
      </c>
      <c r="AG107" s="183">
        <f>SUMIFS('сентябрь 2025'!$G$2:$G$2497,'сентябрь 2025'!$D$2:$D$2497,$B107,'сентябрь 2025'!$J$2:$J$2497,AG$1)</f>
        <v>0</v>
      </c>
      <c r="AH107" s="183">
        <f>SUMIFS('сентябрь 2025'!$G$2:$G$2497,'сентябрь 2025'!$D$2:$D$2497,$B107,'сентябрь 2025'!$J$2:$J$2497,AH$1)</f>
        <v>0</v>
      </c>
      <c r="AI107" s="20">
        <f t="shared" si="1"/>
        <v>0</v>
      </c>
    </row>
    <row r="108" spans="2:35" ht="15" customHeight="1" x14ac:dyDescent="0.25">
      <c r="B108" s="88" t="s">
        <v>315</v>
      </c>
      <c r="C108" s="86">
        <v>25</v>
      </c>
      <c r="D108" s="183">
        <f>SUMIFS('сентябрь 2025'!$G$2:$G$2497,'сентябрь 2025'!$D$2:$D$2497,$B108,'сентябрь 2025'!$J$2:$J$2497,D$1)</f>
        <v>0</v>
      </c>
      <c r="E108" s="183">
        <f>SUMIFS('сентябрь 2025'!$G$2:$G$2497,'сентябрь 2025'!$D$2:$D$2497,$B108,'сентябрь 2025'!$J$2:$J$2497,E$1)</f>
        <v>0</v>
      </c>
      <c r="F108" s="183">
        <f>SUMIFS('сентябрь 2025'!$G$2:$G$2497,'сентябрь 2025'!$D$2:$D$2497,$B108,'сентябрь 2025'!$J$2:$J$2497,F$1)</f>
        <v>0</v>
      </c>
      <c r="G108" s="183">
        <f>SUMIFS('сентябрь 2025'!$G$2:$G$2497,'сентябрь 2025'!$D$2:$D$2497,$B108,'сентябрь 2025'!$J$2:$J$2497,G$1)</f>
        <v>0</v>
      </c>
      <c r="H108" s="183">
        <f>SUMIFS('сентябрь 2025'!$G$2:$G$2497,'сентябрь 2025'!$D$2:$D$2497,$B108,'сентябрь 2025'!$J$2:$J$2497,H$1)</f>
        <v>0</v>
      </c>
      <c r="I108" s="183">
        <f>SUMIFS('сентябрь 2025'!$G$2:$G$2497,'сентябрь 2025'!$D$2:$D$2497,$B108,'сентябрь 2025'!$J$2:$J$2497,I$1)</f>
        <v>0</v>
      </c>
      <c r="J108" s="183">
        <f>SUMIFS('сентябрь 2025'!$G$2:$G$2497,'сентябрь 2025'!$D$2:$D$2497,$B108,'сентябрь 2025'!$J$2:$J$2497,J$1)</f>
        <v>0</v>
      </c>
      <c r="K108" s="183">
        <f>SUMIFS('сентябрь 2025'!$G$2:$G$2497,'сентябрь 2025'!$D$2:$D$2497,$B108,'сентябрь 2025'!$J$2:$J$2497,K$1)</f>
        <v>0</v>
      </c>
      <c r="L108" s="183">
        <f>SUMIFS('сентябрь 2025'!$G$2:$G$2497,'сентябрь 2025'!$D$2:$D$2497,$B108,'сентябрь 2025'!$J$2:$J$2497,L$1)</f>
        <v>0</v>
      </c>
      <c r="M108" s="183">
        <f>SUMIFS('сентябрь 2025'!$G$2:$G$2497,'сентябрь 2025'!$D$2:$D$2497,$B108,'сентябрь 2025'!$J$2:$J$2497,M$1)</f>
        <v>0</v>
      </c>
      <c r="N108" s="183">
        <f>SUMIFS('сентябрь 2025'!$G$2:$G$2497,'сентябрь 2025'!$D$2:$D$2497,$B108,'сентябрь 2025'!$J$2:$J$2497,N$1)</f>
        <v>0</v>
      </c>
      <c r="O108" s="183">
        <f>SUMIFS('сентябрь 2025'!$G$2:$G$2497,'сентябрь 2025'!$D$2:$D$2497,$B108,'сентябрь 2025'!$J$2:$J$2497,O$1)</f>
        <v>0</v>
      </c>
      <c r="P108" s="183">
        <f>SUMIFS('сентябрь 2025'!$G$2:$G$2497,'сентябрь 2025'!$D$2:$D$2497,$B108,'сентябрь 2025'!$J$2:$J$2497,P$1)</f>
        <v>0</v>
      </c>
      <c r="Q108" s="183">
        <f>SUMIFS('сентябрь 2025'!$G$2:$G$2497,'сентябрь 2025'!$D$2:$D$2497,$B108,'сентябрь 2025'!$J$2:$J$2497,Q$1)</f>
        <v>0</v>
      </c>
      <c r="R108" s="183">
        <f>SUMIFS('сентябрь 2025'!$G$2:$G$2497,'сентябрь 2025'!$D$2:$D$2497,$B108,'сентябрь 2025'!$J$2:$J$2497,R$1)</f>
        <v>0</v>
      </c>
      <c r="S108" s="183">
        <f>SUMIFS('сентябрь 2025'!$G$2:$G$2497,'сентябрь 2025'!$D$2:$D$2497,$B108,'сентябрь 2025'!$J$2:$J$2497,S$1)</f>
        <v>0</v>
      </c>
      <c r="T108" s="183">
        <f>SUMIFS('сентябрь 2025'!$G$2:$G$2497,'сентябрь 2025'!$D$2:$D$2497,$B108,'сентябрь 2025'!$J$2:$J$2497,T$1)</f>
        <v>0</v>
      </c>
      <c r="U108" s="183">
        <f>SUMIFS('сентябрь 2025'!$G$2:$G$2497,'сентябрь 2025'!$D$2:$D$2497,$B108,'сентябрь 2025'!$J$2:$J$2497,U$1)</f>
        <v>0</v>
      </c>
      <c r="V108" s="183">
        <f>SUMIFS('сентябрь 2025'!$G$2:$G$2497,'сентябрь 2025'!$D$2:$D$2497,$B108,'сентябрь 2025'!$J$2:$J$2497,V$1)</f>
        <v>0</v>
      </c>
      <c r="W108" s="183">
        <f>SUMIFS('сентябрь 2025'!$G$2:$G$2497,'сентябрь 2025'!$D$2:$D$2497,$B108,'сентябрь 2025'!$J$2:$J$2497,W$1)</f>
        <v>0</v>
      </c>
      <c r="X108" s="183">
        <f>SUMIFS('сентябрь 2025'!$G$2:$G$2497,'сентябрь 2025'!$D$2:$D$2497,$B108,'сентябрь 2025'!$J$2:$J$2497,X$1)</f>
        <v>0</v>
      </c>
      <c r="Y108" s="183">
        <f>SUMIFS('сентябрь 2025'!$G$2:$G$2497,'сентябрь 2025'!$D$2:$D$2497,$B108,'сентябрь 2025'!$J$2:$J$2497,Y$1)</f>
        <v>0</v>
      </c>
      <c r="Z108" s="183">
        <f>SUMIFS('сентябрь 2025'!$G$2:$G$2497,'сентябрь 2025'!$D$2:$D$2497,$B108,'сентябрь 2025'!$J$2:$J$2497,Z$1)</f>
        <v>0</v>
      </c>
      <c r="AA108" s="183">
        <f>SUMIFS('сентябрь 2025'!$G$2:$G$2497,'сентябрь 2025'!$D$2:$D$2497,$B108,'сентябрь 2025'!$J$2:$J$2497,AA$1)</f>
        <v>0</v>
      </c>
      <c r="AB108" s="183">
        <f>SUMIFS('сентябрь 2025'!$G$2:$G$2497,'сентябрь 2025'!$D$2:$D$2497,$B108,'сентябрь 2025'!$J$2:$J$2497,AB$1)</f>
        <v>0</v>
      </c>
      <c r="AC108" s="183">
        <f>SUMIFS('сентябрь 2025'!$G$2:$G$2497,'сентябрь 2025'!$D$2:$D$2497,$B108,'сентябрь 2025'!$J$2:$J$2497,AC$1)</f>
        <v>0</v>
      </c>
      <c r="AD108" s="183">
        <f>SUMIFS('сентябрь 2025'!$G$2:$G$2497,'сентябрь 2025'!$D$2:$D$2497,$B108,'сентябрь 2025'!$J$2:$J$2497,AD$1)</f>
        <v>0</v>
      </c>
      <c r="AE108" s="183">
        <f>SUMIFS('сентябрь 2025'!$G$2:$G$2497,'сентябрь 2025'!$D$2:$D$2497,$B108,'сентябрь 2025'!$J$2:$J$2497,AE$1)</f>
        <v>0</v>
      </c>
      <c r="AF108" s="183">
        <f>SUMIFS('сентябрь 2025'!$G$2:$G$2497,'сентябрь 2025'!$D$2:$D$2497,$B108,'сентябрь 2025'!$J$2:$J$2497,AF$1)</f>
        <v>0</v>
      </c>
      <c r="AG108" s="183">
        <f>SUMIFS('сентябрь 2025'!$G$2:$G$2497,'сентябрь 2025'!$D$2:$D$2497,$B108,'сентябрь 2025'!$J$2:$J$2497,AG$1)</f>
        <v>0</v>
      </c>
      <c r="AH108" s="183">
        <f>SUMIFS('сентябрь 2025'!$G$2:$G$2497,'сентябрь 2025'!$D$2:$D$2497,$B108,'сентябрь 2025'!$J$2:$J$2497,AH$1)</f>
        <v>0</v>
      </c>
      <c r="AI108" s="20">
        <f t="shared" si="1"/>
        <v>0</v>
      </c>
    </row>
    <row r="109" spans="2:35" ht="15" customHeight="1" x14ac:dyDescent="0.25">
      <c r="B109" s="88" t="s">
        <v>385</v>
      </c>
      <c r="C109" s="86">
        <v>28</v>
      </c>
      <c r="D109" s="183">
        <f>SUMIFS('сентябрь 2025'!$G$2:$G$2497,'сентябрь 2025'!$D$2:$D$2497,$B109,'сентябрь 2025'!$J$2:$J$2497,D$1)</f>
        <v>0</v>
      </c>
      <c r="E109" s="183">
        <f>SUMIFS('сентябрь 2025'!$G$2:$G$2497,'сентябрь 2025'!$D$2:$D$2497,$B109,'сентябрь 2025'!$J$2:$J$2497,E$1)</f>
        <v>0</v>
      </c>
      <c r="F109" s="183">
        <f>SUMIFS('сентябрь 2025'!$G$2:$G$2497,'сентябрь 2025'!$D$2:$D$2497,$B109,'сентябрь 2025'!$J$2:$J$2497,F$1)</f>
        <v>0</v>
      </c>
      <c r="G109" s="183">
        <f>SUMIFS('сентябрь 2025'!$G$2:$G$2497,'сентябрь 2025'!$D$2:$D$2497,$B109,'сентябрь 2025'!$J$2:$J$2497,G$1)</f>
        <v>0</v>
      </c>
      <c r="H109" s="183">
        <f>SUMIFS('сентябрь 2025'!$G$2:$G$2497,'сентябрь 2025'!$D$2:$D$2497,$B109,'сентябрь 2025'!$J$2:$J$2497,H$1)</f>
        <v>0</v>
      </c>
      <c r="I109" s="183">
        <f>SUMIFS('сентябрь 2025'!$G$2:$G$2497,'сентябрь 2025'!$D$2:$D$2497,$B109,'сентябрь 2025'!$J$2:$J$2497,I$1)</f>
        <v>0</v>
      </c>
      <c r="J109" s="183">
        <f>SUMIFS('сентябрь 2025'!$G$2:$G$2497,'сентябрь 2025'!$D$2:$D$2497,$B109,'сентябрь 2025'!$J$2:$J$2497,J$1)</f>
        <v>0</v>
      </c>
      <c r="K109" s="183">
        <f>SUMIFS('сентябрь 2025'!$G$2:$G$2497,'сентябрь 2025'!$D$2:$D$2497,$B109,'сентябрь 2025'!$J$2:$J$2497,K$1)</f>
        <v>0</v>
      </c>
      <c r="L109" s="183">
        <f>SUMIFS('сентябрь 2025'!$G$2:$G$2497,'сентябрь 2025'!$D$2:$D$2497,$B109,'сентябрь 2025'!$J$2:$J$2497,L$1)</f>
        <v>0</v>
      </c>
      <c r="M109" s="183">
        <f>SUMIFS('сентябрь 2025'!$G$2:$G$2497,'сентябрь 2025'!$D$2:$D$2497,$B109,'сентябрь 2025'!$J$2:$J$2497,M$1)</f>
        <v>0</v>
      </c>
      <c r="N109" s="183">
        <f>SUMIFS('сентябрь 2025'!$G$2:$G$2497,'сентябрь 2025'!$D$2:$D$2497,$B109,'сентябрь 2025'!$J$2:$J$2497,N$1)</f>
        <v>0</v>
      </c>
      <c r="O109" s="183">
        <f>SUMIFS('сентябрь 2025'!$G$2:$G$2497,'сентябрь 2025'!$D$2:$D$2497,$B109,'сентябрь 2025'!$J$2:$J$2497,O$1)</f>
        <v>0</v>
      </c>
      <c r="P109" s="183">
        <f>SUMIFS('сентябрь 2025'!$G$2:$G$2497,'сентябрь 2025'!$D$2:$D$2497,$B109,'сентябрь 2025'!$J$2:$J$2497,P$1)</f>
        <v>0</v>
      </c>
      <c r="Q109" s="183">
        <f>SUMIFS('сентябрь 2025'!$G$2:$G$2497,'сентябрь 2025'!$D$2:$D$2497,$B109,'сентябрь 2025'!$J$2:$J$2497,Q$1)</f>
        <v>0</v>
      </c>
      <c r="R109" s="183">
        <f>SUMIFS('сентябрь 2025'!$G$2:$G$2497,'сентябрь 2025'!$D$2:$D$2497,$B109,'сентябрь 2025'!$J$2:$J$2497,R$1)</f>
        <v>0</v>
      </c>
      <c r="S109" s="183">
        <f>SUMIFS('сентябрь 2025'!$G$2:$G$2497,'сентябрь 2025'!$D$2:$D$2497,$B109,'сентябрь 2025'!$J$2:$J$2497,S$1)</f>
        <v>0</v>
      </c>
      <c r="T109" s="183">
        <f>SUMIFS('сентябрь 2025'!$G$2:$G$2497,'сентябрь 2025'!$D$2:$D$2497,$B109,'сентябрь 2025'!$J$2:$J$2497,T$1)</f>
        <v>0</v>
      </c>
      <c r="U109" s="183">
        <f>SUMIFS('сентябрь 2025'!$G$2:$G$2497,'сентябрь 2025'!$D$2:$D$2497,$B109,'сентябрь 2025'!$J$2:$J$2497,U$1)</f>
        <v>0</v>
      </c>
      <c r="V109" s="183">
        <f>SUMIFS('сентябрь 2025'!$G$2:$G$2497,'сентябрь 2025'!$D$2:$D$2497,$B109,'сентябрь 2025'!$J$2:$J$2497,V$1)</f>
        <v>0</v>
      </c>
      <c r="W109" s="183">
        <f>SUMIFS('сентябрь 2025'!$G$2:$G$2497,'сентябрь 2025'!$D$2:$D$2497,$B109,'сентябрь 2025'!$J$2:$J$2497,W$1)</f>
        <v>0</v>
      </c>
      <c r="X109" s="183">
        <f>SUMIFS('сентябрь 2025'!$G$2:$G$2497,'сентябрь 2025'!$D$2:$D$2497,$B109,'сентябрь 2025'!$J$2:$J$2497,X$1)</f>
        <v>0</v>
      </c>
      <c r="Y109" s="183">
        <f>SUMIFS('сентябрь 2025'!$G$2:$G$2497,'сентябрь 2025'!$D$2:$D$2497,$B109,'сентябрь 2025'!$J$2:$J$2497,Y$1)</f>
        <v>0</v>
      </c>
      <c r="Z109" s="183">
        <f>SUMIFS('сентябрь 2025'!$G$2:$G$2497,'сентябрь 2025'!$D$2:$D$2497,$B109,'сентябрь 2025'!$J$2:$J$2497,Z$1)</f>
        <v>0</v>
      </c>
      <c r="AA109" s="183">
        <f>SUMIFS('сентябрь 2025'!$G$2:$G$2497,'сентябрь 2025'!$D$2:$D$2497,$B109,'сентябрь 2025'!$J$2:$J$2497,AA$1)</f>
        <v>0</v>
      </c>
      <c r="AB109" s="183">
        <f>SUMIFS('сентябрь 2025'!$G$2:$G$2497,'сентябрь 2025'!$D$2:$D$2497,$B109,'сентябрь 2025'!$J$2:$J$2497,AB$1)</f>
        <v>0</v>
      </c>
      <c r="AC109" s="183">
        <f>SUMIFS('сентябрь 2025'!$G$2:$G$2497,'сентябрь 2025'!$D$2:$D$2497,$B109,'сентябрь 2025'!$J$2:$J$2497,AC$1)</f>
        <v>0</v>
      </c>
      <c r="AD109" s="183">
        <f>SUMIFS('сентябрь 2025'!$G$2:$G$2497,'сентябрь 2025'!$D$2:$D$2497,$B109,'сентябрь 2025'!$J$2:$J$2497,AD$1)</f>
        <v>0</v>
      </c>
      <c r="AE109" s="183">
        <f>SUMIFS('сентябрь 2025'!$G$2:$G$2497,'сентябрь 2025'!$D$2:$D$2497,$B109,'сентябрь 2025'!$J$2:$J$2497,AE$1)</f>
        <v>0</v>
      </c>
      <c r="AF109" s="183">
        <f>SUMIFS('сентябрь 2025'!$G$2:$G$2497,'сентябрь 2025'!$D$2:$D$2497,$B109,'сентябрь 2025'!$J$2:$J$2497,AF$1)</f>
        <v>0</v>
      </c>
      <c r="AG109" s="183">
        <f>SUMIFS('сентябрь 2025'!$G$2:$G$2497,'сентябрь 2025'!$D$2:$D$2497,$B109,'сентябрь 2025'!$J$2:$J$2497,AG$1)</f>
        <v>0</v>
      </c>
      <c r="AH109" s="183">
        <f>SUMIFS('сентябрь 2025'!$G$2:$G$2497,'сентябрь 2025'!$D$2:$D$2497,$B109,'сентябрь 2025'!$J$2:$J$2497,AH$1)</f>
        <v>0</v>
      </c>
      <c r="AI109" s="20">
        <f t="shared" si="1"/>
        <v>0</v>
      </c>
    </row>
    <row r="110" spans="2:35" ht="15" customHeight="1" x14ac:dyDescent="0.25">
      <c r="B110" s="88" t="s">
        <v>193</v>
      </c>
      <c r="C110" s="86">
        <v>180</v>
      </c>
      <c r="D110" s="183">
        <f>SUMIFS('сентябрь 2025'!$G$2:$G$2497,'сентябрь 2025'!$D$2:$D$2497,$B110,'сентябрь 2025'!$J$2:$J$2497,D$1)</f>
        <v>0</v>
      </c>
      <c r="E110" s="183">
        <f>SUMIFS('сентябрь 2025'!$G$2:$G$2497,'сентябрь 2025'!$D$2:$D$2497,$B110,'сентябрь 2025'!$J$2:$J$2497,E$1)</f>
        <v>0</v>
      </c>
      <c r="F110" s="183">
        <f>SUMIFS('сентябрь 2025'!$G$2:$G$2497,'сентябрь 2025'!$D$2:$D$2497,$B110,'сентябрь 2025'!$J$2:$J$2497,F$1)</f>
        <v>0</v>
      </c>
      <c r="G110" s="183">
        <f>SUMIFS('сентябрь 2025'!$G$2:$G$2497,'сентябрь 2025'!$D$2:$D$2497,$B110,'сентябрь 2025'!$J$2:$J$2497,G$1)</f>
        <v>0</v>
      </c>
      <c r="H110" s="183">
        <f>SUMIFS('сентябрь 2025'!$G$2:$G$2497,'сентябрь 2025'!$D$2:$D$2497,$B110,'сентябрь 2025'!$J$2:$J$2497,H$1)</f>
        <v>0</v>
      </c>
      <c r="I110" s="183">
        <f>SUMIFS('сентябрь 2025'!$G$2:$G$2497,'сентябрь 2025'!$D$2:$D$2497,$B110,'сентябрь 2025'!$J$2:$J$2497,I$1)</f>
        <v>0</v>
      </c>
      <c r="J110" s="183">
        <f>SUMIFS('сентябрь 2025'!$G$2:$G$2497,'сентябрь 2025'!$D$2:$D$2497,$B110,'сентябрь 2025'!$J$2:$J$2497,J$1)</f>
        <v>0</v>
      </c>
      <c r="K110" s="183">
        <f>SUMIFS('сентябрь 2025'!$G$2:$G$2497,'сентябрь 2025'!$D$2:$D$2497,$B110,'сентябрь 2025'!$J$2:$J$2497,K$1)</f>
        <v>0</v>
      </c>
      <c r="L110" s="183">
        <f>SUMIFS('сентябрь 2025'!$G$2:$G$2497,'сентябрь 2025'!$D$2:$D$2497,$B110,'сентябрь 2025'!$J$2:$J$2497,L$1)</f>
        <v>0</v>
      </c>
      <c r="M110" s="183">
        <f>SUMIFS('сентябрь 2025'!$G$2:$G$2497,'сентябрь 2025'!$D$2:$D$2497,$B110,'сентябрь 2025'!$J$2:$J$2497,M$1)</f>
        <v>0</v>
      </c>
      <c r="N110" s="183">
        <f>SUMIFS('сентябрь 2025'!$G$2:$G$2497,'сентябрь 2025'!$D$2:$D$2497,$B110,'сентябрь 2025'!$J$2:$J$2497,N$1)</f>
        <v>0</v>
      </c>
      <c r="O110" s="183">
        <f>SUMIFS('сентябрь 2025'!$G$2:$G$2497,'сентябрь 2025'!$D$2:$D$2497,$B110,'сентябрь 2025'!$J$2:$J$2497,O$1)</f>
        <v>0</v>
      </c>
      <c r="P110" s="183">
        <f>SUMIFS('сентябрь 2025'!$G$2:$G$2497,'сентябрь 2025'!$D$2:$D$2497,$B110,'сентябрь 2025'!$J$2:$J$2497,P$1)</f>
        <v>0</v>
      </c>
      <c r="Q110" s="183">
        <f>SUMIFS('сентябрь 2025'!$G$2:$G$2497,'сентябрь 2025'!$D$2:$D$2497,$B110,'сентябрь 2025'!$J$2:$J$2497,Q$1)</f>
        <v>0</v>
      </c>
      <c r="R110" s="183">
        <f>SUMIFS('сентябрь 2025'!$G$2:$G$2497,'сентябрь 2025'!$D$2:$D$2497,$B110,'сентябрь 2025'!$J$2:$J$2497,R$1)</f>
        <v>0</v>
      </c>
      <c r="S110" s="183">
        <f>SUMIFS('сентябрь 2025'!$G$2:$G$2497,'сентябрь 2025'!$D$2:$D$2497,$B110,'сентябрь 2025'!$J$2:$J$2497,S$1)</f>
        <v>0</v>
      </c>
      <c r="T110" s="183">
        <f>SUMIFS('сентябрь 2025'!$G$2:$G$2497,'сентябрь 2025'!$D$2:$D$2497,$B110,'сентябрь 2025'!$J$2:$J$2497,T$1)</f>
        <v>0</v>
      </c>
      <c r="U110" s="183">
        <f>SUMIFS('сентябрь 2025'!$G$2:$G$2497,'сентябрь 2025'!$D$2:$D$2497,$B110,'сентябрь 2025'!$J$2:$J$2497,U$1)</f>
        <v>0</v>
      </c>
      <c r="V110" s="183">
        <f>SUMIFS('сентябрь 2025'!$G$2:$G$2497,'сентябрь 2025'!$D$2:$D$2497,$B110,'сентябрь 2025'!$J$2:$J$2497,V$1)</f>
        <v>0</v>
      </c>
      <c r="W110" s="183">
        <f>SUMIFS('сентябрь 2025'!$G$2:$G$2497,'сентябрь 2025'!$D$2:$D$2497,$B110,'сентябрь 2025'!$J$2:$J$2497,W$1)</f>
        <v>0</v>
      </c>
      <c r="X110" s="183">
        <f>SUMIFS('сентябрь 2025'!$G$2:$G$2497,'сентябрь 2025'!$D$2:$D$2497,$B110,'сентябрь 2025'!$J$2:$J$2497,X$1)</f>
        <v>0</v>
      </c>
      <c r="Y110" s="183">
        <f>SUMIFS('сентябрь 2025'!$G$2:$G$2497,'сентябрь 2025'!$D$2:$D$2497,$B110,'сентябрь 2025'!$J$2:$J$2497,Y$1)</f>
        <v>0</v>
      </c>
      <c r="Z110" s="183">
        <f>SUMIFS('сентябрь 2025'!$G$2:$G$2497,'сентябрь 2025'!$D$2:$D$2497,$B110,'сентябрь 2025'!$J$2:$J$2497,Z$1)</f>
        <v>0</v>
      </c>
      <c r="AA110" s="183">
        <f>SUMIFS('сентябрь 2025'!$G$2:$G$2497,'сентябрь 2025'!$D$2:$D$2497,$B110,'сентябрь 2025'!$J$2:$J$2497,AA$1)</f>
        <v>0</v>
      </c>
      <c r="AB110" s="183">
        <f>SUMIFS('сентябрь 2025'!$G$2:$G$2497,'сентябрь 2025'!$D$2:$D$2497,$B110,'сентябрь 2025'!$J$2:$J$2497,AB$1)</f>
        <v>0</v>
      </c>
      <c r="AC110" s="183">
        <f>SUMIFS('сентябрь 2025'!$G$2:$G$2497,'сентябрь 2025'!$D$2:$D$2497,$B110,'сентябрь 2025'!$J$2:$J$2497,AC$1)</f>
        <v>0</v>
      </c>
      <c r="AD110" s="183">
        <f>SUMIFS('сентябрь 2025'!$G$2:$G$2497,'сентябрь 2025'!$D$2:$D$2497,$B110,'сентябрь 2025'!$J$2:$J$2497,AD$1)</f>
        <v>0</v>
      </c>
      <c r="AE110" s="183">
        <f>SUMIFS('сентябрь 2025'!$G$2:$G$2497,'сентябрь 2025'!$D$2:$D$2497,$B110,'сентябрь 2025'!$J$2:$J$2497,AE$1)</f>
        <v>0</v>
      </c>
      <c r="AF110" s="183">
        <f>SUMIFS('сентябрь 2025'!$G$2:$G$2497,'сентябрь 2025'!$D$2:$D$2497,$B110,'сентябрь 2025'!$J$2:$J$2497,AF$1)</f>
        <v>0</v>
      </c>
      <c r="AG110" s="183">
        <f>SUMIFS('сентябрь 2025'!$G$2:$G$2497,'сентябрь 2025'!$D$2:$D$2497,$B110,'сентябрь 2025'!$J$2:$J$2497,AG$1)</f>
        <v>0</v>
      </c>
      <c r="AH110" s="183">
        <f>SUMIFS('сентябрь 2025'!$G$2:$G$2497,'сентябрь 2025'!$D$2:$D$2497,$B110,'сентябрь 2025'!$J$2:$J$2497,AH$1)</f>
        <v>0</v>
      </c>
      <c r="AI110" s="20">
        <f t="shared" si="1"/>
        <v>0</v>
      </c>
    </row>
    <row r="111" spans="2:35" ht="15" customHeight="1" x14ac:dyDescent="0.25">
      <c r="B111" s="84" t="s">
        <v>194</v>
      </c>
      <c r="C111" s="83">
        <v>200</v>
      </c>
      <c r="D111" s="183">
        <f>SUMIFS('сентябрь 2025'!$G$2:$G$2497,'сентябрь 2025'!$D$2:$D$2497,$B111,'сентябрь 2025'!$J$2:$J$2497,D$1)</f>
        <v>0</v>
      </c>
      <c r="E111" s="183">
        <f>SUMIFS('сентябрь 2025'!$G$2:$G$2497,'сентябрь 2025'!$D$2:$D$2497,$B111,'сентябрь 2025'!$J$2:$J$2497,E$1)</f>
        <v>0</v>
      </c>
      <c r="F111" s="183">
        <f>SUMIFS('сентябрь 2025'!$G$2:$G$2497,'сентябрь 2025'!$D$2:$D$2497,$B111,'сентябрь 2025'!$J$2:$J$2497,F$1)</f>
        <v>0</v>
      </c>
      <c r="G111" s="183">
        <f>SUMIFS('сентябрь 2025'!$G$2:$G$2497,'сентябрь 2025'!$D$2:$D$2497,$B111,'сентябрь 2025'!$J$2:$J$2497,G$1)</f>
        <v>0</v>
      </c>
      <c r="H111" s="183">
        <f>SUMIFS('сентябрь 2025'!$G$2:$G$2497,'сентябрь 2025'!$D$2:$D$2497,$B111,'сентябрь 2025'!$J$2:$J$2497,H$1)</f>
        <v>20</v>
      </c>
      <c r="I111" s="183">
        <f>SUMIFS('сентябрь 2025'!$G$2:$G$2497,'сентябрь 2025'!$D$2:$D$2497,$B111,'сентябрь 2025'!$J$2:$J$2497,I$1)</f>
        <v>0</v>
      </c>
      <c r="J111" s="183">
        <f>SUMIFS('сентябрь 2025'!$G$2:$G$2497,'сентябрь 2025'!$D$2:$D$2497,$B111,'сентябрь 2025'!$J$2:$J$2497,J$1)</f>
        <v>0</v>
      </c>
      <c r="K111" s="183">
        <f>SUMIFS('сентябрь 2025'!$G$2:$G$2497,'сентябрь 2025'!$D$2:$D$2497,$B111,'сентябрь 2025'!$J$2:$J$2497,K$1)</f>
        <v>60</v>
      </c>
      <c r="L111" s="183">
        <f>SUMIFS('сентябрь 2025'!$G$2:$G$2497,'сентябрь 2025'!$D$2:$D$2497,$B111,'сентябрь 2025'!$J$2:$J$2497,L$1)</f>
        <v>40</v>
      </c>
      <c r="M111" s="183">
        <f>SUMIFS('сентябрь 2025'!$G$2:$G$2497,'сентябрь 2025'!$D$2:$D$2497,$B111,'сентябрь 2025'!$J$2:$J$2497,M$1)</f>
        <v>0</v>
      </c>
      <c r="N111" s="183">
        <f>SUMIFS('сентябрь 2025'!$G$2:$G$2497,'сентябрь 2025'!$D$2:$D$2497,$B111,'сентябрь 2025'!$J$2:$J$2497,N$1)</f>
        <v>0</v>
      </c>
      <c r="O111" s="183">
        <f>SUMIFS('сентябрь 2025'!$G$2:$G$2497,'сентябрь 2025'!$D$2:$D$2497,$B111,'сентябрь 2025'!$J$2:$J$2497,O$1)</f>
        <v>0</v>
      </c>
      <c r="P111" s="183">
        <f>SUMIFS('сентябрь 2025'!$G$2:$G$2497,'сентябрь 2025'!$D$2:$D$2497,$B111,'сентябрь 2025'!$J$2:$J$2497,P$1)</f>
        <v>0</v>
      </c>
      <c r="Q111" s="183">
        <f>SUMIFS('сентябрь 2025'!$G$2:$G$2497,'сентябрь 2025'!$D$2:$D$2497,$B111,'сентябрь 2025'!$J$2:$J$2497,Q$1)</f>
        <v>0</v>
      </c>
      <c r="R111" s="183">
        <f>SUMIFS('сентябрь 2025'!$G$2:$G$2497,'сентябрь 2025'!$D$2:$D$2497,$B111,'сентябрь 2025'!$J$2:$J$2497,R$1)</f>
        <v>0</v>
      </c>
      <c r="S111" s="183">
        <f>SUMIFS('сентябрь 2025'!$G$2:$G$2497,'сентябрь 2025'!$D$2:$D$2497,$B111,'сентябрь 2025'!$J$2:$J$2497,S$1)</f>
        <v>0</v>
      </c>
      <c r="T111" s="183">
        <f>SUMIFS('сентябрь 2025'!$G$2:$G$2497,'сентябрь 2025'!$D$2:$D$2497,$B111,'сентябрь 2025'!$J$2:$J$2497,T$1)</f>
        <v>0</v>
      </c>
      <c r="U111" s="183">
        <f>SUMIFS('сентябрь 2025'!$G$2:$G$2497,'сентябрь 2025'!$D$2:$D$2497,$B111,'сентябрь 2025'!$J$2:$J$2497,U$1)</f>
        <v>0</v>
      </c>
      <c r="V111" s="183">
        <f>SUMIFS('сентябрь 2025'!$G$2:$G$2497,'сентябрь 2025'!$D$2:$D$2497,$B111,'сентябрь 2025'!$J$2:$J$2497,V$1)</f>
        <v>0</v>
      </c>
      <c r="W111" s="183">
        <f>SUMIFS('сентябрь 2025'!$G$2:$G$2497,'сентябрь 2025'!$D$2:$D$2497,$B111,'сентябрь 2025'!$J$2:$J$2497,W$1)</f>
        <v>0</v>
      </c>
      <c r="X111" s="183">
        <f>SUMIFS('сентябрь 2025'!$G$2:$G$2497,'сентябрь 2025'!$D$2:$D$2497,$B111,'сентябрь 2025'!$J$2:$J$2497,X$1)</f>
        <v>0</v>
      </c>
      <c r="Y111" s="183">
        <f>SUMIFS('сентябрь 2025'!$G$2:$G$2497,'сентябрь 2025'!$D$2:$D$2497,$B111,'сентябрь 2025'!$J$2:$J$2497,Y$1)</f>
        <v>0</v>
      </c>
      <c r="Z111" s="183">
        <f>SUMIFS('сентябрь 2025'!$G$2:$G$2497,'сентябрь 2025'!$D$2:$D$2497,$B111,'сентябрь 2025'!$J$2:$J$2497,Z$1)</f>
        <v>28</v>
      </c>
      <c r="AA111" s="183">
        <f>SUMIFS('сентябрь 2025'!$G$2:$G$2497,'сентябрь 2025'!$D$2:$D$2497,$B111,'сентябрь 2025'!$J$2:$J$2497,AA$1)</f>
        <v>0</v>
      </c>
      <c r="AB111" s="183">
        <f>SUMIFS('сентябрь 2025'!$G$2:$G$2497,'сентябрь 2025'!$D$2:$D$2497,$B111,'сентябрь 2025'!$J$2:$J$2497,AB$1)</f>
        <v>0</v>
      </c>
      <c r="AC111" s="183">
        <f>SUMIFS('сентябрь 2025'!$G$2:$G$2497,'сентябрь 2025'!$D$2:$D$2497,$B111,'сентябрь 2025'!$J$2:$J$2497,AC$1)</f>
        <v>0</v>
      </c>
      <c r="AD111" s="183">
        <f>SUMIFS('сентябрь 2025'!$G$2:$G$2497,'сентябрь 2025'!$D$2:$D$2497,$B111,'сентябрь 2025'!$J$2:$J$2497,AD$1)</f>
        <v>0</v>
      </c>
      <c r="AE111" s="183">
        <f>SUMIFS('сентябрь 2025'!$G$2:$G$2497,'сентябрь 2025'!$D$2:$D$2497,$B111,'сентябрь 2025'!$J$2:$J$2497,AE$1)</f>
        <v>0</v>
      </c>
      <c r="AF111" s="183">
        <f>SUMIFS('сентябрь 2025'!$G$2:$G$2497,'сентябрь 2025'!$D$2:$D$2497,$B111,'сентябрь 2025'!$J$2:$J$2497,AF$1)</f>
        <v>32</v>
      </c>
      <c r="AG111" s="183">
        <f>SUMIFS('сентябрь 2025'!$G$2:$G$2497,'сентябрь 2025'!$D$2:$D$2497,$B111,'сентябрь 2025'!$J$2:$J$2497,AG$1)</f>
        <v>0</v>
      </c>
      <c r="AH111" s="183">
        <f>SUMIFS('сентябрь 2025'!$G$2:$G$2497,'сентябрь 2025'!$D$2:$D$2497,$B111,'сентябрь 2025'!$J$2:$J$2497,AH$1)</f>
        <v>0</v>
      </c>
      <c r="AI111" s="20">
        <f t="shared" si="1"/>
        <v>180</v>
      </c>
    </row>
    <row r="112" spans="2:35" ht="15" customHeight="1" x14ac:dyDescent="0.25">
      <c r="B112" s="87" t="s">
        <v>169</v>
      </c>
      <c r="C112" s="86">
        <v>180</v>
      </c>
      <c r="D112" s="183">
        <f>SUMIFS('сентябрь 2025'!$G$2:$G$2497,'сентябрь 2025'!$D$2:$D$2497,$B112,'сентябрь 2025'!$J$2:$J$2497,D$1)</f>
        <v>0</v>
      </c>
      <c r="E112" s="183">
        <f>SUMIFS('сентябрь 2025'!$G$2:$G$2497,'сентябрь 2025'!$D$2:$D$2497,$B112,'сентябрь 2025'!$J$2:$J$2497,E$1)</f>
        <v>0</v>
      </c>
      <c r="F112" s="183">
        <f>SUMIFS('сентябрь 2025'!$G$2:$G$2497,'сентябрь 2025'!$D$2:$D$2497,$B112,'сентябрь 2025'!$J$2:$J$2497,F$1)</f>
        <v>0</v>
      </c>
      <c r="G112" s="183">
        <f>SUMIFS('сентябрь 2025'!$G$2:$G$2497,'сентябрь 2025'!$D$2:$D$2497,$B112,'сентябрь 2025'!$J$2:$J$2497,G$1)</f>
        <v>0</v>
      </c>
      <c r="H112" s="183">
        <f>SUMIFS('сентябрь 2025'!$G$2:$G$2497,'сентябрь 2025'!$D$2:$D$2497,$B112,'сентябрь 2025'!$J$2:$J$2497,H$1)</f>
        <v>0</v>
      </c>
      <c r="I112" s="183">
        <f>SUMIFS('сентябрь 2025'!$G$2:$G$2497,'сентябрь 2025'!$D$2:$D$2497,$B112,'сентябрь 2025'!$J$2:$J$2497,I$1)</f>
        <v>0</v>
      </c>
      <c r="J112" s="183">
        <f>SUMIFS('сентябрь 2025'!$G$2:$G$2497,'сентябрь 2025'!$D$2:$D$2497,$B112,'сентябрь 2025'!$J$2:$J$2497,J$1)</f>
        <v>0</v>
      </c>
      <c r="K112" s="183">
        <f>SUMIFS('сентябрь 2025'!$G$2:$G$2497,'сентябрь 2025'!$D$2:$D$2497,$B112,'сентябрь 2025'!$J$2:$J$2497,K$1)</f>
        <v>0</v>
      </c>
      <c r="L112" s="183">
        <f>SUMIFS('сентябрь 2025'!$G$2:$G$2497,'сентябрь 2025'!$D$2:$D$2497,$B112,'сентябрь 2025'!$J$2:$J$2497,L$1)</f>
        <v>0</v>
      </c>
      <c r="M112" s="183">
        <f>SUMIFS('сентябрь 2025'!$G$2:$G$2497,'сентябрь 2025'!$D$2:$D$2497,$B112,'сентябрь 2025'!$J$2:$J$2497,M$1)</f>
        <v>0</v>
      </c>
      <c r="N112" s="183">
        <f>SUMIFS('сентябрь 2025'!$G$2:$G$2497,'сентябрь 2025'!$D$2:$D$2497,$B112,'сентябрь 2025'!$J$2:$J$2497,N$1)</f>
        <v>0</v>
      </c>
      <c r="O112" s="183">
        <f>SUMIFS('сентябрь 2025'!$G$2:$G$2497,'сентябрь 2025'!$D$2:$D$2497,$B112,'сентябрь 2025'!$J$2:$J$2497,O$1)</f>
        <v>0</v>
      </c>
      <c r="P112" s="183">
        <f>SUMIFS('сентябрь 2025'!$G$2:$G$2497,'сентябрь 2025'!$D$2:$D$2497,$B112,'сентябрь 2025'!$J$2:$J$2497,P$1)</f>
        <v>0</v>
      </c>
      <c r="Q112" s="183">
        <f>SUMIFS('сентябрь 2025'!$G$2:$G$2497,'сентябрь 2025'!$D$2:$D$2497,$B112,'сентябрь 2025'!$J$2:$J$2497,Q$1)</f>
        <v>0</v>
      </c>
      <c r="R112" s="183">
        <f>SUMIFS('сентябрь 2025'!$G$2:$G$2497,'сентябрь 2025'!$D$2:$D$2497,$B112,'сентябрь 2025'!$J$2:$J$2497,R$1)</f>
        <v>0</v>
      </c>
      <c r="S112" s="183">
        <f>SUMIFS('сентябрь 2025'!$G$2:$G$2497,'сентябрь 2025'!$D$2:$D$2497,$B112,'сентябрь 2025'!$J$2:$J$2497,S$1)</f>
        <v>0</v>
      </c>
      <c r="T112" s="183">
        <f>SUMIFS('сентябрь 2025'!$G$2:$G$2497,'сентябрь 2025'!$D$2:$D$2497,$B112,'сентябрь 2025'!$J$2:$J$2497,T$1)</f>
        <v>0</v>
      </c>
      <c r="U112" s="183">
        <f>SUMIFS('сентябрь 2025'!$G$2:$G$2497,'сентябрь 2025'!$D$2:$D$2497,$B112,'сентябрь 2025'!$J$2:$J$2497,U$1)</f>
        <v>0</v>
      </c>
      <c r="V112" s="183">
        <f>SUMIFS('сентябрь 2025'!$G$2:$G$2497,'сентябрь 2025'!$D$2:$D$2497,$B112,'сентябрь 2025'!$J$2:$J$2497,V$1)</f>
        <v>0</v>
      </c>
      <c r="W112" s="183">
        <f>SUMIFS('сентябрь 2025'!$G$2:$G$2497,'сентябрь 2025'!$D$2:$D$2497,$B112,'сентябрь 2025'!$J$2:$J$2497,W$1)</f>
        <v>0</v>
      </c>
      <c r="X112" s="183">
        <f>SUMIFS('сентябрь 2025'!$G$2:$G$2497,'сентябрь 2025'!$D$2:$D$2497,$B112,'сентябрь 2025'!$J$2:$J$2497,X$1)</f>
        <v>0</v>
      </c>
      <c r="Y112" s="183">
        <f>SUMIFS('сентябрь 2025'!$G$2:$G$2497,'сентябрь 2025'!$D$2:$D$2497,$B112,'сентябрь 2025'!$J$2:$J$2497,Y$1)</f>
        <v>0</v>
      </c>
      <c r="Z112" s="183">
        <f>SUMIFS('сентябрь 2025'!$G$2:$G$2497,'сентябрь 2025'!$D$2:$D$2497,$B112,'сентябрь 2025'!$J$2:$J$2497,Z$1)</f>
        <v>0</v>
      </c>
      <c r="AA112" s="183">
        <f>SUMIFS('сентябрь 2025'!$G$2:$G$2497,'сентябрь 2025'!$D$2:$D$2497,$B112,'сентябрь 2025'!$J$2:$J$2497,AA$1)</f>
        <v>0</v>
      </c>
      <c r="AB112" s="183">
        <f>SUMIFS('сентябрь 2025'!$G$2:$G$2497,'сентябрь 2025'!$D$2:$D$2497,$B112,'сентябрь 2025'!$J$2:$J$2497,AB$1)</f>
        <v>0</v>
      </c>
      <c r="AC112" s="183">
        <f>SUMIFS('сентябрь 2025'!$G$2:$G$2497,'сентябрь 2025'!$D$2:$D$2497,$B112,'сентябрь 2025'!$J$2:$J$2497,AC$1)</f>
        <v>0</v>
      </c>
      <c r="AD112" s="183">
        <f>SUMIFS('сентябрь 2025'!$G$2:$G$2497,'сентябрь 2025'!$D$2:$D$2497,$B112,'сентябрь 2025'!$J$2:$J$2497,AD$1)</f>
        <v>0</v>
      </c>
      <c r="AE112" s="183">
        <f>SUMIFS('сентябрь 2025'!$G$2:$G$2497,'сентябрь 2025'!$D$2:$D$2497,$B112,'сентябрь 2025'!$J$2:$J$2497,AE$1)</f>
        <v>0</v>
      </c>
      <c r="AF112" s="183">
        <f>SUMIFS('сентябрь 2025'!$G$2:$G$2497,'сентябрь 2025'!$D$2:$D$2497,$B112,'сентябрь 2025'!$J$2:$J$2497,AF$1)</f>
        <v>0</v>
      </c>
      <c r="AG112" s="183">
        <f>SUMIFS('сентябрь 2025'!$G$2:$G$2497,'сентябрь 2025'!$D$2:$D$2497,$B112,'сентябрь 2025'!$J$2:$J$2497,AG$1)</f>
        <v>0</v>
      </c>
      <c r="AH112" s="183">
        <f>SUMIFS('сентябрь 2025'!$G$2:$G$2497,'сентябрь 2025'!$D$2:$D$2497,$B112,'сентябрь 2025'!$J$2:$J$2497,AH$1)</f>
        <v>0</v>
      </c>
      <c r="AI112" s="20">
        <f t="shared" si="1"/>
        <v>0</v>
      </c>
    </row>
    <row r="113" spans="2:35" ht="15" customHeight="1" x14ac:dyDescent="0.25">
      <c r="B113" s="84" t="s">
        <v>170</v>
      </c>
      <c r="C113" s="86">
        <v>200</v>
      </c>
      <c r="D113" s="183">
        <f>SUMIFS('сентябрь 2025'!$G$2:$G$2497,'сентябрь 2025'!$D$2:$D$2497,$B113,'сентябрь 2025'!$J$2:$J$2497,D$1)</f>
        <v>0</v>
      </c>
      <c r="E113" s="183">
        <f>SUMIFS('сентябрь 2025'!$G$2:$G$2497,'сентябрь 2025'!$D$2:$D$2497,$B113,'сентябрь 2025'!$J$2:$J$2497,E$1)</f>
        <v>0</v>
      </c>
      <c r="F113" s="183">
        <f>SUMIFS('сентябрь 2025'!$G$2:$G$2497,'сентябрь 2025'!$D$2:$D$2497,$B113,'сентябрь 2025'!$J$2:$J$2497,F$1)</f>
        <v>0</v>
      </c>
      <c r="G113" s="183">
        <f>SUMIFS('сентябрь 2025'!$G$2:$G$2497,'сентябрь 2025'!$D$2:$D$2497,$B113,'сентябрь 2025'!$J$2:$J$2497,G$1)</f>
        <v>0</v>
      </c>
      <c r="H113" s="183">
        <f>SUMIFS('сентябрь 2025'!$G$2:$G$2497,'сентябрь 2025'!$D$2:$D$2497,$B113,'сентябрь 2025'!$J$2:$J$2497,H$1)</f>
        <v>0</v>
      </c>
      <c r="I113" s="183">
        <f>SUMIFS('сентябрь 2025'!$G$2:$G$2497,'сентябрь 2025'!$D$2:$D$2497,$B113,'сентябрь 2025'!$J$2:$J$2497,I$1)</f>
        <v>0</v>
      </c>
      <c r="J113" s="183">
        <f>SUMIFS('сентябрь 2025'!$G$2:$G$2497,'сентябрь 2025'!$D$2:$D$2497,$B113,'сентябрь 2025'!$J$2:$J$2497,J$1)</f>
        <v>0</v>
      </c>
      <c r="K113" s="183">
        <f>SUMIFS('сентябрь 2025'!$G$2:$G$2497,'сентябрь 2025'!$D$2:$D$2497,$B113,'сентябрь 2025'!$J$2:$J$2497,K$1)</f>
        <v>0</v>
      </c>
      <c r="L113" s="183">
        <f>SUMIFS('сентябрь 2025'!$G$2:$G$2497,'сентябрь 2025'!$D$2:$D$2497,$B113,'сентябрь 2025'!$J$2:$J$2497,L$1)</f>
        <v>0</v>
      </c>
      <c r="M113" s="183">
        <f>SUMIFS('сентябрь 2025'!$G$2:$G$2497,'сентябрь 2025'!$D$2:$D$2497,$B113,'сентябрь 2025'!$J$2:$J$2497,M$1)</f>
        <v>0</v>
      </c>
      <c r="N113" s="183">
        <f>SUMIFS('сентябрь 2025'!$G$2:$G$2497,'сентябрь 2025'!$D$2:$D$2497,$B113,'сентябрь 2025'!$J$2:$J$2497,N$1)</f>
        <v>0</v>
      </c>
      <c r="O113" s="183">
        <f>SUMIFS('сентябрь 2025'!$G$2:$G$2497,'сентябрь 2025'!$D$2:$D$2497,$B113,'сентябрь 2025'!$J$2:$J$2497,O$1)</f>
        <v>0</v>
      </c>
      <c r="P113" s="183">
        <f>SUMIFS('сентябрь 2025'!$G$2:$G$2497,'сентябрь 2025'!$D$2:$D$2497,$B113,'сентябрь 2025'!$J$2:$J$2497,P$1)</f>
        <v>0</v>
      </c>
      <c r="Q113" s="183">
        <f>SUMIFS('сентябрь 2025'!$G$2:$G$2497,'сентябрь 2025'!$D$2:$D$2497,$B113,'сентябрь 2025'!$J$2:$J$2497,Q$1)</f>
        <v>0</v>
      </c>
      <c r="R113" s="183">
        <f>SUMIFS('сентябрь 2025'!$G$2:$G$2497,'сентябрь 2025'!$D$2:$D$2497,$B113,'сентябрь 2025'!$J$2:$J$2497,R$1)</f>
        <v>0</v>
      </c>
      <c r="S113" s="183">
        <f>SUMIFS('сентябрь 2025'!$G$2:$G$2497,'сентябрь 2025'!$D$2:$D$2497,$B113,'сентябрь 2025'!$J$2:$J$2497,S$1)</f>
        <v>0</v>
      </c>
      <c r="T113" s="183">
        <f>SUMIFS('сентябрь 2025'!$G$2:$G$2497,'сентябрь 2025'!$D$2:$D$2497,$B113,'сентябрь 2025'!$J$2:$J$2497,T$1)</f>
        <v>0</v>
      </c>
      <c r="U113" s="183">
        <f>SUMIFS('сентябрь 2025'!$G$2:$G$2497,'сентябрь 2025'!$D$2:$D$2497,$B113,'сентябрь 2025'!$J$2:$J$2497,U$1)</f>
        <v>0</v>
      </c>
      <c r="V113" s="183">
        <f>SUMIFS('сентябрь 2025'!$G$2:$G$2497,'сентябрь 2025'!$D$2:$D$2497,$B113,'сентябрь 2025'!$J$2:$J$2497,V$1)</f>
        <v>0</v>
      </c>
      <c r="W113" s="183">
        <f>SUMIFS('сентябрь 2025'!$G$2:$G$2497,'сентябрь 2025'!$D$2:$D$2497,$B113,'сентябрь 2025'!$J$2:$J$2497,W$1)</f>
        <v>0</v>
      </c>
      <c r="X113" s="183">
        <f>SUMIFS('сентябрь 2025'!$G$2:$G$2497,'сентябрь 2025'!$D$2:$D$2497,$B113,'сентябрь 2025'!$J$2:$J$2497,X$1)</f>
        <v>0</v>
      </c>
      <c r="Y113" s="183">
        <f>SUMIFS('сентябрь 2025'!$G$2:$G$2497,'сентябрь 2025'!$D$2:$D$2497,$B113,'сентябрь 2025'!$J$2:$J$2497,Y$1)</f>
        <v>0</v>
      </c>
      <c r="Z113" s="183">
        <f>SUMIFS('сентябрь 2025'!$G$2:$G$2497,'сентябрь 2025'!$D$2:$D$2497,$B113,'сентябрь 2025'!$J$2:$J$2497,Z$1)</f>
        <v>0</v>
      </c>
      <c r="AA113" s="183">
        <f>SUMIFS('сентябрь 2025'!$G$2:$G$2497,'сентябрь 2025'!$D$2:$D$2497,$B113,'сентябрь 2025'!$J$2:$J$2497,AA$1)</f>
        <v>0</v>
      </c>
      <c r="AB113" s="183">
        <f>SUMIFS('сентябрь 2025'!$G$2:$G$2497,'сентябрь 2025'!$D$2:$D$2497,$B113,'сентябрь 2025'!$J$2:$J$2497,AB$1)</f>
        <v>0</v>
      </c>
      <c r="AC113" s="183">
        <f>SUMIFS('сентябрь 2025'!$G$2:$G$2497,'сентябрь 2025'!$D$2:$D$2497,$B113,'сентябрь 2025'!$J$2:$J$2497,AC$1)</f>
        <v>0</v>
      </c>
      <c r="AD113" s="183">
        <f>SUMIFS('сентябрь 2025'!$G$2:$G$2497,'сентябрь 2025'!$D$2:$D$2497,$B113,'сентябрь 2025'!$J$2:$J$2497,AD$1)</f>
        <v>0</v>
      </c>
      <c r="AE113" s="183">
        <f>SUMIFS('сентябрь 2025'!$G$2:$G$2497,'сентябрь 2025'!$D$2:$D$2497,$B113,'сентябрь 2025'!$J$2:$J$2497,AE$1)</f>
        <v>0</v>
      </c>
      <c r="AF113" s="183">
        <f>SUMIFS('сентябрь 2025'!$G$2:$G$2497,'сентябрь 2025'!$D$2:$D$2497,$B113,'сентябрь 2025'!$J$2:$J$2497,AF$1)</f>
        <v>0</v>
      </c>
      <c r="AG113" s="183">
        <f>SUMIFS('сентябрь 2025'!$G$2:$G$2497,'сентябрь 2025'!$D$2:$D$2497,$B113,'сентябрь 2025'!$J$2:$J$2497,AG$1)</f>
        <v>0</v>
      </c>
      <c r="AH113" s="183">
        <f>SUMIFS('сентябрь 2025'!$G$2:$G$2497,'сентябрь 2025'!$D$2:$D$2497,$B113,'сентябрь 2025'!$J$2:$J$2497,AH$1)</f>
        <v>0</v>
      </c>
      <c r="AI113" s="20">
        <f t="shared" si="1"/>
        <v>0</v>
      </c>
    </row>
    <row r="114" spans="2:35" ht="15" customHeight="1" x14ac:dyDescent="0.25">
      <c r="B114" s="84" t="s">
        <v>195</v>
      </c>
      <c r="C114" s="83">
        <v>185</v>
      </c>
      <c r="D114" s="183">
        <f>SUMIFS('сентябрь 2025'!$G$2:$G$2497,'сентябрь 2025'!$D$2:$D$2497,$B114,'сентябрь 2025'!$J$2:$J$2497,D$1)</f>
        <v>0</v>
      </c>
      <c r="E114" s="183">
        <f>SUMIFS('сентябрь 2025'!$G$2:$G$2497,'сентябрь 2025'!$D$2:$D$2497,$B114,'сентябрь 2025'!$J$2:$J$2497,E$1)</f>
        <v>0</v>
      </c>
      <c r="F114" s="183">
        <f>SUMIFS('сентябрь 2025'!$G$2:$G$2497,'сентябрь 2025'!$D$2:$D$2497,$B114,'сентябрь 2025'!$J$2:$J$2497,F$1)</f>
        <v>0</v>
      </c>
      <c r="G114" s="183">
        <f>SUMIFS('сентябрь 2025'!$G$2:$G$2497,'сентябрь 2025'!$D$2:$D$2497,$B114,'сентябрь 2025'!$J$2:$J$2497,G$1)</f>
        <v>0</v>
      </c>
      <c r="H114" s="183">
        <f>SUMIFS('сентябрь 2025'!$G$2:$G$2497,'сентябрь 2025'!$D$2:$D$2497,$B114,'сентябрь 2025'!$J$2:$J$2497,H$1)</f>
        <v>0</v>
      </c>
      <c r="I114" s="183">
        <f>SUMIFS('сентябрь 2025'!$G$2:$G$2497,'сентябрь 2025'!$D$2:$D$2497,$B114,'сентябрь 2025'!$J$2:$J$2497,I$1)</f>
        <v>0</v>
      </c>
      <c r="J114" s="183">
        <f>SUMIFS('сентябрь 2025'!$G$2:$G$2497,'сентябрь 2025'!$D$2:$D$2497,$B114,'сентябрь 2025'!$J$2:$J$2497,J$1)</f>
        <v>0</v>
      </c>
      <c r="K114" s="183">
        <f>SUMIFS('сентябрь 2025'!$G$2:$G$2497,'сентябрь 2025'!$D$2:$D$2497,$B114,'сентябрь 2025'!$J$2:$J$2497,K$1)</f>
        <v>0</v>
      </c>
      <c r="L114" s="183">
        <f>SUMIFS('сентябрь 2025'!$G$2:$G$2497,'сентябрь 2025'!$D$2:$D$2497,$B114,'сентябрь 2025'!$J$2:$J$2497,L$1)</f>
        <v>0</v>
      </c>
      <c r="M114" s="183">
        <f>SUMIFS('сентябрь 2025'!$G$2:$G$2497,'сентябрь 2025'!$D$2:$D$2497,$B114,'сентябрь 2025'!$J$2:$J$2497,M$1)</f>
        <v>80</v>
      </c>
      <c r="N114" s="183">
        <f>SUMIFS('сентябрь 2025'!$G$2:$G$2497,'сентябрь 2025'!$D$2:$D$2497,$B114,'сентябрь 2025'!$J$2:$J$2497,N$1)</f>
        <v>0</v>
      </c>
      <c r="O114" s="183">
        <f>SUMIFS('сентябрь 2025'!$G$2:$G$2497,'сентябрь 2025'!$D$2:$D$2497,$B114,'сентябрь 2025'!$J$2:$J$2497,O$1)</f>
        <v>0</v>
      </c>
      <c r="P114" s="183">
        <f>SUMIFS('сентябрь 2025'!$G$2:$G$2497,'сентябрь 2025'!$D$2:$D$2497,$B114,'сентябрь 2025'!$J$2:$J$2497,P$1)</f>
        <v>0</v>
      </c>
      <c r="Q114" s="183">
        <f>SUMIFS('сентябрь 2025'!$G$2:$G$2497,'сентябрь 2025'!$D$2:$D$2497,$B114,'сентябрь 2025'!$J$2:$J$2497,Q$1)</f>
        <v>0</v>
      </c>
      <c r="R114" s="183">
        <f>SUMIFS('сентябрь 2025'!$G$2:$G$2497,'сентябрь 2025'!$D$2:$D$2497,$B114,'сентябрь 2025'!$J$2:$J$2497,R$1)</f>
        <v>0</v>
      </c>
      <c r="S114" s="183">
        <f>SUMIFS('сентябрь 2025'!$G$2:$G$2497,'сентябрь 2025'!$D$2:$D$2497,$B114,'сентябрь 2025'!$J$2:$J$2497,S$1)</f>
        <v>0</v>
      </c>
      <c r="T114" s="183">
        <f>SUMIFS('сентябрь 2025'!$G$2:$G$2497,'сентябрь 2025'!$D$2:$D$2497,$B114,'сентябрь 2025'!$J$2:$J$2497,T$1)</f>
        <v>0</v>
      </c>
      <c r="U114" s="183">
        <f>SUMIFS('сентябрь 2025'!$G$2:$G$2497,'сентябрь 2025'!$D$2:$D$2497,$B114,'сентябрь 2025'!$J$2:$J$2497,U$1)</f>
        <v>0</v>
      </c>
      <c r="V114" s="183">
        <f>SUMIFS('сентябрь 2025'!$G$2:$G$2497,'сентябрь 2025'!$D$2:$D$2497,$B114,'сентябрь 2025'!$J$2:$J$2497,V$1)</f>
        <v>0</v>
      </c>
      <c r="W114" s="183">
        <f>SUMIFS('сентябрь 2025'!$G$2:$G$2497,'сентябрь 2025'!$D$2:$D$2497,$B114,'сентябрь 2025'!$J$2:$J$2497,W$1)</f>
        <v>0</v>
      </c>
      <c r="X114" s="183">
        <f>SUMIFS('сентябрь 2025'!$G$2:$G$2497,'сентябрь 2025'!$D$2:$D$2497,$B114,'сентябрь 2025'!$J$2:$J$2497,X$1)</f>
        <v>0</v>
      </c>
      <c r="Y114" s="183">
        <f>SUMIFS('сентябрь 2025'!$G$2:$G$2497,'сентябрь 2025'!$D$2:$D$2497,$B114,'сентябрь 2025'!$J$2:$J$2497,Y$1)</f>
        <v>0</v>
      </c>
      <c r="Z114" s="183">
        <f>SUMIFS('сентябрь 2025'!$G$2:$G$2497,'сентябрь 2025'!$D$2:$D$2497,$B114,'сентябрь 2025'!$J$2:$J$2497,Z$1)</f>
        <v>0</v>
      </c>
      <c r="AA114" s="183">
        <f>SUMIFS('сентябрь 2025'!$G$2:$G$2497,'сентябрь 2025'!$D$2:$D$2497,$B114,'сентябрь 2025'!$J$2:$J$2497,AA$1)</f>
        <v>0</v>
      </c>
      <c r="AB114" s="183">
        <f>SUMIFS('сентябрь 2025'!$G$2:$G$2497,'сентябрь 2025'!$D$2:$D$2497,$B114,'сентябрь 2025'!$J$2:$J$2497,AB$1)</f>
        <v>0</v>
      </c>
      <c r="AC114" s="183">
        <f>SUMIFS('сентябрь 2025'!$G$2:$G$2497,'сентябрь 2025'!$D$2:$D$2497,$B114,'сентябрь 2025'!$J$2:$J$2497,AC$1)</f>
        <v>0</v>
      </c>
      <c r="AD114" s="183">
        <f>SUMIFS('сентябрь 2025'!$G$2:$G$2497,'сентябрь 2025'!$D$2:$D$2497,$B114,'сентябрь 2025'!$J$2:$J$2497,AD$1)</f>
        <v>0</v>
      </c>
      <c r="AE114" s="183">
        <f>SUMIFS('сентябрь 2025'!$G$2:$G$2497,'сентябрь 2025'!$D$2:$D$2497,$B114,'сентябрь 2025'!$J$2:$J$2497,AE$1)</f>
        <v>0</v>
      </c>
      <c r="AF114" s="183">
        <f>SUMIFS('сентябрь 2025'!$G$2:$G$2497,'сентябрь 2025'!$D$2:$D$2497,$B114,'сентябрь 2025'!$J$2:$J$2497,AF$1)</f>
        <v>0</v>
      </c>
      <c r="AG114" s="183">
        <f>SUMIFS('сентябрь 2025'!$G$2:$G$2497,'сентябрь 2025'!$D$2:$D$2497,$B114,'сентябрь 2025'!$J$2:$J$2497,AG$1)</f>
        <v>0</v>
      </c>
      <c r="AH114" s="183">
        <f>SUMIFS('сентябрь 2025'!$G$2:$G$2497,'сентябрь 2025'!$D$2:$D$2497,$B114,'сентябрь 2025'!$J$2:$J$2497,AH$1)</f>
        <v>0</v>
      </c>
      <c r="AI114" s="20">
        <f t="shared" si="1"/>
        <v>80</v>
      </c>
    </row>
    <row r="115" spans="2:35" ht="15" customHeight="1" x14ac:dyDescent="0.25">
      <c r="B115" s="84" t="s">
        <v>196</v>
      </c>
      <c r="C115" s="83">
        <v>185</v>
      </c>
      <c r="D115" s="183">
        <f>SUMIFS('сентябрь 2025'!$G$2:$G$2497,'сентябрь 2025'!$D$2:$D$2497,$B115,'сентябрь 2025'!$J$2:$J$2497,D$1)</f>
        <v>0</v>
      </c>
      <c r="E115" s="183">
        <f>SUMIFS('сентябрь 2025'!$G$2:$G$2497,'сентябрь 2025'!$D$2:$D$2497,$B115,'сентябрь 2025'!$J$2:$J$2497,E$1)</f>
        <v>0</v>
      </c>
      <c r="F115" s="183">
        <f>SUMIFS('сентябрь 2025'!$G$2:$G$2497,'сентябрь 2025'!$D$2:$D$2497,$B115,'сентябрь 2025'!$J$2:$J$2497,F$1)</f>
        <v>0</v>
      </c>
      <c r="G115" s="183">
        <f>SUMIFS('сентябрь 2025'!$G$2:$G$2497,'сентябрь 2025'!$D$2:$D$2497,$B115,'сентябрь 2025'!$J$2:$J$2497,G$1)</f>
        <v>0</v>
      </c>
      <c r="H115" s="183">
        <f>SUMIFS('сентябрь 2025'!$G$2:$G$2497,'сентябрь 2025'!$D$2:$D$2497,$B115,'сентябрь 2025'!$J$2:$J$2497,H$1)</f>
        <v>0</v>
      </c>
      <c r="I115" s="183">
        <f>SUMIFS('сентябрь 2025'!$G$2:$G$2497,'сентябрь 2025'!$D$2:$D$2497,$B115,'сентябрь 2025'!$J$2:$J$2497,I$1)</f>
        <v>0</v>
      </c>
      <c r="J115" s="183">
        <f>SUMIFS('сентябрь 2025'!$G$2:$G$2497,'сентябрь 2025'!$D$2:$D$2497,$B115,'сентябрь 2025'!$J$2:$J$2497,J$1)</f>
        <v>0</v>
      </c>
      <c r="K115" s="183">
        <f>SUMIFS('сентябрь 2025'!$G$2:$G$2497,'сентябрь 2025'!$D$2:$D$2497,$B115,'сентябрь 2025'!$J$2:$J$2497,K$1)</f>
        <v>0</v>
      </c>
      <c r="L115" s="183">
        <f>SUMIFS('сентябрь 2025'!$G$2:$G$2497,'сентябрь 2025'!$D$2:$D$2497,$B115,'сентябрь 2025'!$J$2:$J$2497,L$1)</f>
        <v>0</v>
      </c>
      <c r="M115" s="183">
        <f>SUMIFS('сентябрь 2025'!$G$2:$G$2497,'сентябрь 2025'!$D$2:$D$2497,$B115,'сентябрь 2025'!$J$2:$J$2497,M$1)</f>
        <v>0</v>
      </c>
      <c r="N115" s="183">
        <f>SUMIFS('сентябрь 2025'!$G$2:$G$2497,'сентябрь 2025'!$D$2:$D$2497,$B115,'сентябрь 2025'!$J$2:$J$2497,N$1)</f>
        <v>0</v>
      </c>
      <c r="O115" s="183">
        <f>SUMIFS('сентябрь 2025'!$G$2:$G$2497,'сентябрь 2025'!$D$2:$D$2497,$B115,'сентябрь 2025'!$J$2:$J$2497,O$1)</f>
        <v>0</v>
      </c>
      <c r="P115" s="183">
        <f>SUMIFS('сентябрь 2025'!$G$2:$G$2497,'сентябрь 2025'!$D$2:$D$2497,$B115,'сентябрь 2025'!$J$2:$J$2497,P$1)</f>
        <v>0</v>
      </c>
      <c r="Q115" s="183">
        <f>SUMIFS('сентябрь 2025'!$G$2:$G$2497,'сентябрь 2025'!$D$2:$D$2497,$B115,'сентябрь 2025'!$J$2:$J$2497,Q$1)</f>
        <v>0</v>
      </c>
      <c r="R115" s="183">
        <f>SUMIFS('сентябрь 2025'!$G$2:$G$2497,'сентябрь 2025'!$D$2:$D$2497,$B115,'сентябрь 2025'!$J$2:$J$2497,R$1)</f>
        <v>0</v>
      </c>
      <c r="S115" s="183">
        <f>SUMIFS('сентябрь 2025'!$G$2:$G$2497,'сентябрь 2025'!$D$2:$D$2497,$B115,'сентябрь 2025'!$J$2:$J$2497,S$1)</f>
        <v>0</v>
      </c>
      <c r="T115" s="183">
        <f>SUMIFS('сентябрь 2025'!$G$2:$G$2497,'сентябрь 2025'!$D$2:$D$2497,$B115,'сентябрь 2025'!$J$2:$J$2497,T$1)</f>
        <v>0</v>
      </c>
      <c r="U115" s="183">
        <f>SUMIFS('сентябрь 2025'!$G$2:$G$2497,'сентябрь 2025'!$D$2:$D$2497,$B115,'сентябрь 2025'!$J$2:$J$2497,U$1)</f>
        <v>0</v>
      </c>
      <c r="V115" s="183">
        <f>SUMIFS('сентябрь 2025'!$G$2:$G$2497,'сентябрь 2025'!$D$2:$D$2497,$B115,'сентябрь 2025'!$J$2:$J$2497,V$1)</f>
        <v>0</v>
      </c>
      <c r="W115" s="183">
        <f>SUMIFS('сентябрь 2025'!$G$2:$G$2497,'сентябрь 2025'!$D$2:$D$2497,$B115,'сентябрь 2025'!$J$2:$J$2497,W$1)</f>
        <v>0</v>
      </c>
      <c r="X115" s="183">
        <f>SUMIFS('сентябрь 2025'!$G$2:$G$2497,'сентябрь 2025'!$D$2:$D$2497,$B115,'сентябрь 2025'!$J$2:$J$2497,X$1)</f>
        <v>0</v>
      </c>
      <c r="Y115" s="183">
        <f>SUMIFS('сентябрь 2025'!$G$2:$G$2497,'сентябрь 2025'!$D$2:$D$2497,$B115,'сентябрь 2025'!$J$2:$J$2497,Y$1)</f>
        <v>0</v>
      </c>
      <c r="Z115" s="183">
        <f>SUMIFS('сентябрь 2025'!$G$2:$G$2497,'сентябрь 2025'!$D$2:$D$2497,$B115,'сентябрь 2025'!$J$2:$J$2497,Z$1)</f>
        <v>0</v>
      </c>
      <c r="AA115" s="183">
        <f>SUMIFS('сентябрь 2025'!$G$2:$G$2497,'сентябрь 2025'!$D$2:$D$2497,$B115,'сентябрь 2025'!$J$2:$J$2497,AA$1)</f>
        <v>0</v>
      </c>
      <c r="AB115" s="183">
        <f>SUMIFS('сентябрь 2025'!$G$2:$G$2497,'сентябрь 2025'!$D$2:$D$2497,$B115,'сентябрь 2025'!$J$2:$J$2497,AB$1)</f>
        <v>0</v>
      </c>
      <c r="AC115" s="183">
        <f>SUMIFS('сентябрь 2025'!$G$2:$G$2497,'сентябрь 2025'!$D$2:$D$2497,$B115,'сентябрь 2025'!$J$2:$J$2497,AC$1)</f>
        <v>0</v>
      </c>
      <c r="AD115" s="183">
        <f>SUMIFS('сентябрь 2025'!$G$2:$G$2497,'сентябрь 2025'!$D$2:$D$2497,$B115,'сентябрь 2025'!$J$2:$J$2497,AD$1)</f>
        <v>0</v>
      </c>
      <c r="AE115" s="183">
        <f>SUMIFS('сентябрь 2025'!$G$2:$G$2497,'сентябрь 2025'!$D$2:$D$2497,$B115,'сентябрь 2025'!$J$2:$J$2497,AE$1)</f>
        <v>0</v>
      </c>
      <c r="AF115" s="183">
        <f>SUMIFS('сентябрь 2025'!$G$2:$G$2497,'сентябрь 2025'!$D$2:$D$2497,$B115,'сентябрь 2025'!$J$2:$J$2497,AF$1)</f>
        <v>0</v>
      </c>
      <c r="AG115" s="183">
        <f>SUMIFS('сентябрь 2025'!$G$2:$G$2497,'сентябрь 2025'!$D$2:$D$2497,$B115,'сентябрь 2025'!$J$2:$J$2497,AG$1)</f>
        <v>0</v>
      </c>
      <c r="AH115" s="183">
        <f>SUMIFS('сентябрь 2025'!$G$2:$G$2497,'сентябрь 2025'!$D$2:$D$2497,$B115,'сентябрь 2025'!$J$2:$J$2497,AH$1)</f>
        <v>0</v>
      </c>
      <c r="AI115" s="20">
        <f t="shared" si="1"/>
        <v>0</v>
      </c>
    </row>
    <row r="116" spans="2:35" ht="15" customHeight="1" x14ac:dyDescent="0.25">
      <c r="B116" s="84" t="s">
        <v>260</v>
      </c>
      <c r="C116" s="83">
        <v>180</v>
      </c>
      <c r="D116" s="183">
        <f>SUMIFS('сентябрь 2025'!$G$2:$G$2497,'сентябрь 2025'!$D$2:$D$2497,$B116,'сентябрь 2025'!$J$2:$J$2497,D$1)</f>
        <v>0</v>
      </c>
      <c r="E116" s="183">
        <f>SUMIFS('сентябрь 2025'!$G$2:$G$2497,'сентябрь 2025'!$D$2:$D$2497,$B116,'сентябрь 2025'!$J$2:$J$2497,E$1)</f>
        <v>0</v>
      </c>
      <c r="F116" s="183">
        <f>SUMIFS('сентябрь 2025'!$G$2:$G$2497,'сентябрь 2025'!$D$2:$D$2497,$B116,'сентябрь 2025'!$J$2:$J$2497,F$1)</f>
        <v>0</v>
      </c>
      <c r="G116" s="183">
        <f>SUMIFS('сентябрь 2025'!$G$2:$G$2497,'сентябрь 2025'!$D$2:$D$2497,$B116,'сентябрь 2025'!$J$2:$J$2497,G$1)</f>
        <v>0</v>
      </c>
      <c r="H116" s="183">
        <f>SUMIFS('сентябрь 2025'!$G$2:$G$2497,'сентябрь 2025'!$D$2:$D$2497,$B116,'сентябрь 2025'!$J$2:$J$2497,H$1)</f>
        <v>0</v>
      </c>
      <c r="I116" s="183">
        <f>SUMIFS('сентябрь 2025'!$G$2:$G$2497,'сентябрь 2025'!$D$2:$D$2497,$B116,'сентябрь 2025'!$J$2:$J$2497,I$1)</f>
        <v>0</v>
      </c>
      <c r="J116" s="183">
        <f>SUMIFS('сентябрь 2025'!$G$2:$G$2497,'сентябрь 2025'!$D$2:$D$2497,$B116,'сентябрь 2025'!$J$2:$J$2497,J$1)</f>
        <v>0</v>
      </c>
      <c r="K116" s="183">
        <f>SUMIFS('сентябрь 2025'!$G$2:$G$2497,'сентябрь 2025'!$D$2:$D$2497,$B116,'сентябрь 2025'!$J$2:$J$2497,K$1)</f>
        <v>0</v>
      </c>
      <c r="L116" s="183">
        <f>SUMIFS('сентябрь 2025'!$G$2:$G$2497,'сентябрь 2025'!$D$2:$D$2497,$B116,'сентябрь 2025'!$J$2:$J$2497,L$1)</f>
        <v>0</v>
      </c>
      <c r="M116" s="183">
        <f>SUMIFS('сентябрь 2025'!$G$2:$G$2497,'сентябрь 2025'!$D$2:$D$2497,$B116,'сентябрь 2025'!$J$2:$J$2497,M$1)</f>
        <v>0</v>
      </c>
      <c r="N116" s="183">
        <f>SUMIFS('сентябрь 2025'!$G$2:$G$2497,'сентябрь 2025'!$D$2:$D$2497,$B116,'сентябрь 2025'!$J$2:$J$2497,N$1)</f>
        <v>0</v>
      </c>
      <c r="O116" s="183">
        <f>SUMIFS('сентябрь 2025'!$G$2:$G$2497,'сентябрь 2025'!$D$2:$D$2497,$B116,'сентябрь 2025'!$J$2:$J$2497,O$1)</f>
        <v>0</v>
      </c>
      <c r="P116" s="183">
        <f>SUMIFS('сентябрь 2025'!$G$2:$G$2497,'сентябрь 2025'!$D$2:$D$2497,$B116,'сентябрь 2025'!$J$2:$J$2497,P$1)</f>
        <v>0</v>
      </c>
      <c r="Q116" s="183">
        <f>SUMIFS('сентябрь 2025'!$G$2:$G$2497,'сентябрь 2025'!$D$2:$D$2497,$B116,'сентябрь 2025'!$J$2:$J$2497,Q$1)</f>
        <v>0</v>
      </c>
      <c r="R116" s="183">
        <f>SUMIFS('сентябрь 2025'!$G$2:$G$2497,'сентябрь 2025'!$D$2:$D$2497,$B116,'сентябрь 2025'!$J$2:$J$2497,R$1)</f>
        <v>0</v>
      </c>
      <c r="S116" s="183">
        <f>SUMIFS('сентябрь 2025'!$G$2:$G$2497,'сентябрь 2025'!$D$2:$D$2497,$B116,'сентябрь 2025'!$J$2:$J$2497,S$1)</f>
        <v>0</v>
      </c>
      <c r="T116" s="183">
        <f>SUMIFS('сентябрь 2025'!$G$2:$G$2497,'сентябрь 2025'!$D$2:$D$2497,$B116,'сентябрь 2025'!$J$2:$J$2497,T$1)</f>
        <v>0</v>
      </c>
      <c r="U116" s="183">
        <f>SUMIFS('сентябрь 2025'!$G$2:$G$2497,'сентябрь 2025'!$D$2:$D$2497,$B116,'сентябрь 2025'!$J$2:$J$2497,U$1)</f>
        <v>0</v>
      </c>
      <c r="V116" s="183">
        <f>SUMIFS('сентябрь 2025'!$G$2:$G$2497,'сентябрь 2025'!$D$2:$D$2497,$B116,'сентябрь 2025'!$J$2:$J$2497,V$1)</f>
        <v>0</v>
      </c>
      <c r="W116" s="183">
        <f>SUMIFS('сентябрь 2025'!$G$2:$G$2497,'сентябрь 2025'!$D$2:$D$2497,$B116,'сентябрь 2025'!$J$2:$J$2497,W$1)</f>
        <v>0</v>
      </c>
      <c r="X116" s="183">
        <f>SUMIFS('сентябрь 2025'!$G$2:$G$2497,'сентябрь 2025'!$D$2:$D$2497,$B116,'сентябрь 2025'!$J$2:$J$2497,X$1)</f>
        <v>0</v>
      </c>
      <c r="Y116" s="183">
        <f>SUMIFS('сентябрь 2025'!$G$2:$G$2497,'сентябрь 2025'!$D$2:$D$2497,$B116,'сентябрь 2025'!$J$2:$J$2497,Y$1)</f>
        <v>0</v>
      </c>
      <c r="Z116" s="183">
        <f>SUMIFS('сентябрь 2025'!$G$2:$G$2497,'сентябрь 2025'!$D$2:$D$2497,$B116,'сентябрь 2025'!$J$2:$J$2497,Z$1)</f>
        <v>0</v>
      </c>
      <c r="AA116" s="183">
        <f>SUMIFS('сентябрь 2025'!$G$2:$G$2497,'сентябрь 2025'!$D$2:$D$2497,$B116,'сентябрь 2025'!$J$2:$J$2497,AA$1)</f>
        <v>0</v>
      </c>
      <c r="AB116" s="183">
        <f>SUMIFS('сентябрь 2025'!$G$2:$G$2497,'сентябрь 2025'!$D$2:$D$2497,$B116,'сентябрь 2025'!$J$2:$J$2497,AB$1)</f>
        <v>0</v>
      </c>
      <c r="AC116" s="183">
        <f>SUMIFS('сентябрь 2025'!$G$2:$G$2497,'сентябрь 2025'!$D$2:$D$2497,$B116,'сентябрь 2025'!$J$2:$J$2497,AC$1)</f>
        <v>0</v>
      </c>
      <c r="AD116" s="183">
        <f>SUMIFS('сентябрь 2025'!$G$2:$G$2497,'сентябрь 2025'!$D$2:$D$2497,$B116,'сентябрь 2025'!$J$2:$J$2497,AD$1)</f>
        <v>0</v>
      </c>
      <c r="AE116" s="183">
        <f>SUMIFS('сентябрь 2025'!$G$2:$G$2497,'сентябрь 2025'!$D$2:$D$2497,$B116,'сентябрь 2025'!$J$2:$J$2497,AE$1)</f>
        <v>0</v>
      </c>
      <c r="AF116" s="183">
        <f>SUMIFS('сентябрь 2025'!$G$2:$G$2497,'сентябрь 2025'!$D$2:$D$2497,$B116,'сентябрь 2025'!$J$2:$J$2497,AF$1)</f>
        <v>0</v>
      </c>
      <c r="AG116" s="183">
        <f>SUMIFS('сентябрь 2025'!$G$2:$G$2497,'сентябрь 2025'!$D$2:$D$2497,$B116,'сентябрь 2025'!$J$2:$J$2497,AG$1)</f>
        <v>0</v>
      </c>
      <c r="AH116" s="183">
        <f>SUMIFS('сентябрь 2025'!$G$2:$G$2497,'сентябрь 2025'!$D$2:$D$2497,$B116,'сентябрь 2025'!$J$2:$J$2497,AH$1)</f>
        <v>0</v>
      </c>
      <c r="AI116" s="20">
        <f t="shared" si="1"/>
        <v>0</v>
      </c>
    </row>
    <row r="117" spans="2:35" ht="15" customHeight="1" x14ac:dyDescent="0.25">
      <c r="B117" s="88" t="s">
        <v>261</v>
      </c>
      <c r="C117" s="86">
        <v>200</v>
      </c>
      <c r="D117" s="183">
        <f>SUMIFS('сентябрь 2025'!$G$2:$G$2497,'сентябрь 2025'!$D$2:$D$2497,$B117,'сентябрь 2025'!$J$2:$J$2497,D$1)</f>
        <v>0</v>
      </c>
      <c r="E117" s="183">
        <f>SUMIFS('сентябрь 2025'!$G$2:$G$2497,'сентябрь 2025'!$D$2:$D$2497,$B117,'сентябрь 2025'!$J$2:$J$2497,E$1)</f>
        <v>0</v>
      </c>
      <c r="F117" s="183">
        <f>SUMIFS('сентябрь 2025'!$G$2:$G$2497,'сентябрь 2025'!$D$2:$D$2497,$B117,'сентябрь 2025'!$J$2:$J$2497,F$1)</f>
        <v>0</v>
      </c>
      <c r="G117" s="183">
        <f>SUMIFS('сентябрь 2025'!$G$2:$G$2497,'сентябрь 2025'!$D$2:$D$2497,$B117,'сентябрь 2025'!$J$2:$J$2497,G$1)</f>
        <v>0</v>
      </c>
      <c r="H117" s="183">
        <f>SUMIFS('сентябрь 2025'!$G$2:$G$2497,'сентябрь 2025'!$D$2:$D$2497,$B117,'сентябрь 2025'!$J$2:$J$2497,H$1)</f>
        <v>0</v>
      </c>
      <c r="I117" s="183">
        <f>SUMIFS('сентябрь 2025'!$G$2:$G$2497,'сентябрь 2025'!$D$2:$D$2497,$B117,'сентябрь 2025'!$J$2:$J$2497,I$1)</f>
        <v>0</v>
      </c>
      <c r="J117" s="183">
        <f>SUMIFS('сентябрь 2025'!$G$2:$G$2497,'сентябрь 2025'!$D$2:$D$2497,$B117,'сентябрь 2025'!$J$2:$J$2497,J$1)</f>
        <v>0</v>
      </c>
      <c r="K117" s="183">
        <f>SUMIFS('сентябрь 2025'!$G$2:$G$2497,'сентябрь 2025'!$D$2:$D$2497,$B117,'сентябрь 2025'!$J$2:$J$2497,K$1)</f>
        <v>0</v>
      </c>
      <c r="L117" s="183">
        <f>SUMIFS('сентябрь 2025'!$G$2:$G$2497,'сентябрь 2025'!$D$2:$D$2497,$B117,'сентябрь 2025'!$J$2:$J$2497,L$1)</f>
        <v>0</v>
      </c>
      <c r="M117" s="183">
        <f>SUMIFS('сентябрь 2025'!$G$2:$G$2497,'сентябрь 2025'!$D$2:$D$2497,$B117,'сентябрь 2025'!$J$2:$J$2497,M$1)</f>
        <v>0</v>
      </c>
      <c r="N117" s="183">
        <f>SUMIFS('сентябрь 2025'!$G$2:$G$2497,'сентябрь 2025'!$D$2:$D$2497,$B117,'сентябрь 2025'!$J$2:$J$2497,N$1)</f>
        <v>0</v>
      </c>
      <c r="O117" s="183">
        <f>SUMIFS('сентябрь 2025'!$G$2:$G$2497,'сентябрь 2025'!$D$2:$D$2497,$B117,'сентябрь 2025'!$J$2:$J$2497,O$1)</f>
        <v>0</v>
      </c>
      <c r="P117" s="183">
        <f>SUMIFS('сентябрь 2025'!$G$2:$G$2497,'сентябрь 2025'!$D$2:$D$2497,$B117,'сентябрь 2025'!$J$2:$J$2497,P$1)</f>
        <v>0</v>
      </c>
      <c r="Q117" s="183">
        <f>SUMIFS('сентябрь 2025'!$G$2:$G$2497,'сентябрь 2025'!$D$2:$D$2497,$B117,'сентябрь 2025'!$J$2:$J$2497,Q$1)</f>
        <v>0</v>
      </c>
      <c r="R117" s="183">
        <f>SUMIFS('сентябрь 2025'!$G$2:$G$2497,'сентябрь 2025'!$D$2:$D$2497,$B117,'сентябрь 2025'!$J$2:$J$2497,R$1)</f>
        <v>0</v>
      </c>
      <c r="S117" s="183">
        <f>SUMIFS('сентябрь 2025'!$G$2:$G$2497,'сентябрь 2025'!$D$2:$D$2497,$B117,'сентябрь 2025'!$J$2:$J$2497,S$1)</f>
        <v>0</v>
      </c>
      <c r="T117" s="183">
        <f>SUMIFS('сентябрь 2025'!$G$2:$G$2497,'сентябрь 2025'!$D$2:$D$2497,$B117,'сентябрь 2025'!$J$2:$J$2497,T$1)</f>
        <v>0</v>
      </c>
      <c r="U117" s="183">
        <f>SUMIFS('сентябрь 2025'!$G$2:$G$2497,'сентябрь 2025'!$D$2:$D$2497,$B117,'сентябрь 2025'!$J$2:$J$2497,U$1)</f>
        <v>0</v>
      </c>
      <c r="V117" s="183">
        <f>SUMIFS('сентябрь 2025'!$G$2:$G$2497,'сентябрь 2025'!$D$2:$D$2497,$B117,'сентябрь 2025'!$J$2:$J$2497,V$1)</f>
        <v>0</v>
      </c>
      <c r="W117" s="183">
        <f>SUMIFS('сентябрь 2025'!$G$2:$G$2497,'сентябрь 2025'!$D$2:$D$2497,$B117,'сентябрь 2025'!$J$2:$J$2497,W$1)</f>
        <v>0</v>
      </c>
      <c r="X117" s="183">
        <f>SUMIFS('сентябрь 2025'!$G$2:$G$2497,'сентябрь 2025'!$D$2:$D$2497,$B117,'сентябрь 2025'!$J$2:$J$2497,X$1)</f>
        <v>0</v>
      </c>
      <c r="Y117" s="183">
        <f>SUMIFS('сентябрь 2025'!$G$2:$G$2497,'сентябрь 2025'!$D$2:$D$2497,$B117,'сентябрь 2025'!$J$2:$J$2497,Y$1)</f>
        <v>0</v>
      </c>
      <c r="Z117" s="183">
        <f>SUMIFS('сентябрь 2025'!$G$2:$G$2497,'сентябрь 2025'!$D$2:$D$2497,$B117,'сентябрь 2025'!$J$2:$J$2497,Z$1)</f>
        <v>0</v>
      </c>
      <c r="AA117" s="183">
        <f>SUMIFS('сентябрь 2025'!$G$2:$G$2497,'сентябрь 2025'!$D$2:$D$2497,$B117,'сентябрь 2025'!$J$2:$J$2497,AA$1)</f>
        <v>0</v>
      </c>
      <c r="AB117" s="183">
        <f>SUMIFS('сентябрь 2025'!$G$2:$G$2497,'сентябрь 2025'!$D$2:$D$2497,$B117,'сентябрь 2025'!$J$2:$J$2497,AB$1)</f>
        <v>0</v>
      </c>
      <c r="AC117" s="183">
        <f>SUMIFS('сентябрь 2025'!$G$2:$G$2497,'сентябрь 2025'!$D$2:$D$2497,$B117,'сентябрь 2025'!$J$2:$J$2497,AC$1)</f>
        <v>0</v>
      </c>
      <c r="AD117" s="183">
        <f>SUMIFS('сентябрь 2025'!$G$2:$G$2497,'сентябрь 2025'!$D$2:$D$2497,$B117,'сентябрь 2025'!$J$2:$J$2497,AD$1)</f>
        <v>0</v>
      </c>
      <c r="AE117" s="183">
        <f>SUMIFS('сентябрь 2025'!$G$2:$G$2497,'сентябрь 2025'!$D$2:$D$2497,$B117,'сентябрь 2025'!$J$2:$J$2497,AE$1)</f>
        <v>0</v>
      </c>
      <c r="AF117" s="183">
        <f>SUMIFS('сентябрь 2025'!$G$2:$G$2497,'сентябрь 2025'!$D$2:$D$2497,$B117,'сентябрь 2025'!$J$2:$J$2497,AF$1)</f>
        <v>0</v>
      </c>
      <c r="AG117" s="183">
        <f>SUMIFS('сентябрь 2025'!$G$2:$G$2497,'сентябрь 2025'!$D$2:$D$2497,$B117,'сентябрь 2025'!$J$2:$J$2497,AG$1)</f>
        <v>0</v>
      </c>
      <c r="AH117" s="183">
        <f>SUMIFS('сентябрь 2025'!$G$2:$G$2497,'сентябрь 2025'!$D$2:$D$2497,$B117,'сентябрь 2025'!$J$2:$J$2497,AH$1)</f>
        <v>0</v>
      </c>
      <c r="AI117" s="20">
        <f t="shared" si="1"/>
        <v>0</v>
      </c>
    </row>
    <row r="118" spans="2:35" ht="15" customHeight="1" x14ac:dyDescent="0.25">
      <c r="B118" s="88" t="s">
        <v>180</v>
      </c>
      <c r="C118" s="86">
        <v>200</v>
      </c>
      <c r="D118" s="183">
        <f>SUMIFS('сентябрь 2025'!$G$2:$G$2497,'сентябрь 2025'!$D$2:$D$2497,$B118,'сентябрь 2025'!$J$2:$J$2497,D$1)</f>
        <v>0</v>
      </c>
      <c r="E118" s="183">
        <f>SUMIFS('сентябрь 2025'!$G$2:$G$2497,'сентябрь 2025'!$D$2:$D$2497,$B118,'сентябрь 2025'!$J$2:$J$2497,E$1)</f>
        <v>0</v>
      </c>
      <c r="F118" s="183">
        <f>SUMIFS('сентябрь 2025'!$G$2:$G$2497,'сентябрь 2025'!$D$2:$D$2497,$B118,'сентябрь 2025'!$J$2:$J$2497,F$1)</f>
        <v>0</v>
      </c>
      <c r="G118" s="183">
        <f>SUMIFS('сентябрь 2025'!$G$2:$G$2497,'сентябрь 2025'!$D$2:$D$2497,$B118,'сентябрь 2025'!$J$2:$J$2497,G$1)</f>
        <v>0</v>
      </c>
      <c r="H118" s="183">
        <f>SUMIFS('сентябрь 2025'!$G$2:$G$2497,'сентябрь 2025'!$D$2:$D$2497,$B118,'сентябрь 2025'!$J$2:$J$2497,H$1)</f>
        <v>0</v>
      </c>
      <c r="I118" s="183">
        <f>SUMIFS('сентябрь 2025'!$G$2:$G$2497,'сентябрь 2025'!$D$2:$D$2497,$B118,'сентябрь 2025'!$J$2:$J$2497,I$1)</f>
        <v>0</v>
      </c>
      <c r="J118" s="183">
        <f>SUMIFS('сентябрь 2025'!$G$2:$G$2497,'сентябрь 2025'!$D$2:$D$2497,$B118,'сентябрь 2025'!$J$2:$J$2497,J$1)</f>
        <v>0</v>
      </c>
      <c r="K118" s="183">
        <f>SUMIFS('сентябрь 2025'!$G$2:$G$2497,'сентябрь 2025'!$D$2:$D$2497,$B118,'сентябрь 2025'!$J$2:$J$2497,K$1)</f>
        <v>0</v>
      </c>
      <c r="L118" s="183">
        <f>SUMIFS('сентябрь 2025'!$G$2:$G$2497,'сентябрь 2025'!$D$2:$D$2497,$B118,'сентябрь 2025'!$J$2:$J$2497,L$1)</f>
        <v>0</v>
      </c>
      <c r="M118" s="183">
        <f>SUMIFS('сентябрь 2025'!$G$2:$G$2497,'сентябрь 2025'!$D$2:$D$2497,$B118,'сентябрь 2025'!$J$2:$J$2497,M$1)</f>
        <v>0</v>
      </c>
      <c r="N118" s="183">
        <f>SUMIFS('сентябрь 2025'!$G$2:$G$2497,'сентябрь 2025'!$D$2:$D$2497,$B118,'сентябрь 2025'!$J$2:$J$2497,N$1)</f>
        <v>0</v>
      </c>
      <c r="O118" s="183">
        <f>SUMIFS('сентябрь 2025'!$G$2:$G$2497,'сентябрь 2025'!$D$2:$D$2497,$B118,'сентябрь 2025'!$J$2:$J$2497,O$1)</f>
        <v>0</v>
      </c>
      <c r="P118" s="183">
        <f>SUMIFS('сентябрь 2025'!$G$2:$G$2497,'сентябрь 2025'!$D$2:$D$2497,$B118,'сентябрь 2025'!$J$2:$J$2497,P$1)</f>
        <v>0</v>
      </c>
      <c r="Q118" s="183">
        <f>SUMIFS('сентябрь 2025'!$G$2:$G$2497,'сентябрь 2025'!$D$2:$D$2497,$B118,'сентябрь 2025'!$J$2:$J$2497,Q$1)</f>
        <v>0</v>
      </c>
      <c r="R118" s="183">
        <f>SUMIFS('сентябрь 2025'!$G$2:$G$2497,'сентябрь 2025'!$D$2:$D$2497,$B118,'сентябрь 2025'!$J$2:$J$2497,R$1)</f>
        <v>0</v>
      </c>
      <c r="S118" s="183">
        <f>SUMIFS('сентябрь 2025'!$G$2:$G$2497,'сентябрь 2025'!$D$2:$D$2497,$B118,'сентябрь 2025'!$J$2:$J$2497,S$1)</f>
        <v>0</v>
      </c>
      <c r="T118" s="183">
        <f>SUMIFS('сентябрь 2025'!$G$2:$G$2497,'сентябрь 2025'!$D$2:$D$2497,$B118,'сентябрь 2025'!$J$2:$J$2497,T$1)</f>
        <v>0</v>
      </c>
      <c r="U118" s="183">
        <f>SUMIFS('сентябрь 2025'!$G$2:$G$2497,'сентябрь 2025'!$D$2:$D$2497,$B118,'сентябрь 2025'!$J$2:$J$2497,U$1)</f>
        <v>0</v>
      </c>
      <c r="V118" s="183">
        <f>SUMIFS('сентябрь 2025'!$G$2:$G$2497,'сентябрь 2025'!$D$2:$D$2497,$B118,'сентябрь 2025'!$J$2:$J$2497,V$1)</f>
        <v>0</v>
      </c>
      <c r="W118" s="183">
        <f>SUMIFS('сентябрь 2025'!$G$2:$G$2497,'сентябрь 2025'!$D$2:$D$2497,$B118,'сентябрь 2025'!$J$2:$J$2497,W$1)</f>
        <v>0</v>
      </c>
      <c r="X118" s="183">
        <f>SUMIFS('сентябрь 2025'!$G$2:$G$2497,'сентябрь 2025'!$D$2:$D$2497,$B118,'сентябрь 2025'!$J$2:$J$2497,X$1)</f>
        <v>0</v>
      </c>
      <c r="Y118" s="183">
        <f>SUMIFS('сентябрь 2025'!$G$2:$G$2497,'сентябрь 2025'!$D$2:$D$2497,$B118,'сентябрь 2025'!$J$2:$J$2497,Y$1)</f>
        <v>0</v>
      </c>
      <c r="Z118" s="183">
        <f>SUMIFS('сентябрь 2025'!$G$2:$G$2497,'сентябрь 2025'!$D$2:$D$2497,$B118,'сентябрь 2025'!$J$2:$J$2497,Z$1)</f>
        <v>0</v>
      </c>
      <c r="AA118" s="183">
        <f>SUMIFS('сентябрь 2025'!$G$2:$G$2497,'сентябрь 2025'!$D$2:$D$2497,$B118,'сентябрь 2025'!$J$2:$J$2497,AA$1)</f>
        <v>0</v>
      </c>
      <c r="AB118" s="183">
        <f>SUMIFS('сентябрь 2025'!$G$2:$G$2497,'сентябрь 2025'!$D$2:$D$2497,$B118,'сентябрь 2025'!$J$2:$J$2497,AB$1)</f>
        <v>0</v>
      </c>
      <c r="AC118" s="183">
        <f>SUMIFS('сентябрь 2025'!$G$2:$G$2497,'сентябрь 2025'!$D$2:$D$2497,$B118,'сентябрь 2025'!$J$2:$J$2497,AC$1)</f>
        <v>0</v>
      </c>
      <c r="AD118" s="183">
        <f>SUMIFS('сентябрь 2025'!$G$2:$G$2497,'сентябрь 2025'!$D$2:$D$2497,$B118,'сентябрь 2025'!$J$2:$J$2497,AD$1)</f>
        <v>0</v>
      </c>
      <c r="AE118" s="183">
        <f>SUMIFS('сентябрь 2025'!$G$2:$G$2497,'сентябрь 2025'!$D$2:$D$2497,$B118,'сентябрь 2025'!$J$2:$J$2497,AE$1)</f>
        <v>0</v>
      </c>
      <c r="AF118" s="183">
        <f>SUMIFS('сентябрь 2025'!$G$2:$G$2497,'сентябрь 2025'!$D$2:$D$2497,$B118,'сентябрь 2025'!$J$2:$J$2497,AF$1)</f>
        <v>0</v>
      </c>
      <c r="AG118" s="183">
        <f>SUMIFS('сентябрь 2025'!$G$2:$G$2497,'сентябрь 2025'!$D$2:$D$2497,$B118,'сентябрь 2025'!$J$2:$J$2497,AG$1)</f>
        <v>0</v>
      </c>
      <c r="AH118" s="183">
        <f>SUMIFS('сентябрь 2025'!$G$2:$G$2497,'сентябрь 2025'!$D$2:$D$2497,$B118,'сентябрь 2025'!$J$2:$J$2497,AH$1)</f>
        <v>0</v>
      </c>
      <c r="AI118" s="20">
        <f t="shared" si="1"/>
        <v>0</v>
      </c>
    </row>
    <row r="119" spans="2:35" ht="15" customHeight="1" x14ac:dyDescent="0.25">
      <c r="B119" s="88" t="s">
        <v>262</v>
      </c>
      <c r="C119" s="86">
        <v>200</v>
      </c>
      <c r="D119" s="183">
        <f>SUMIFS('сентябрь 2025'!$G$2:$G$2497,'сентябрь 2025'!$D$2:$D$2497,$B119,'сентябрь 2025'!$J$2:$J$2497,D$1)</f>
        <v>0</v>
      </c>
      <c r="E119" s="183">
        <f>SUMIFS('сентябрь 2025'!$G$2:$G$2497,'сентябрь 2025'!$D$2:$D$2497,$B119,'сентябрь 2025'!$J$2:$J$2497,E$1)</f>
        <v>0</v>
      </c>
      <c r="F119" s="183">
        <f>SUMIFS('сентябрь 2025'!$G$2:$G$2497,'сентябрь 2025'!$D$2:$D$2497,$B119,'сентябрь 2025'!$J$2:$J$2497,F$1)</f>
        <v>0</v>
      </c>
      <c r="G119" s="183">
        <f>SUMIFS('сентябрь 2025'!$G$2:$G$2497,'сентябрь 2025'!$D$2:$D$2497,$B119,'сентябрь 2025'!$J$2:$J$2497,G$1)</f>
        <v>0</v>
      </c>
      <c r="H119" s="183">
        <f>SUMIFS('сентябрь 2025'!$G$2:$G$2497,'сентябрь 2025'!$D$2:$D$2497,$B119,'сентябрь 2025'!$J$2:$J$2497,H$1)</f>
        <v>0</v>
      </c>
      <c r="I119" s="183">
        <f>SUMIFS('сентябрь 2025'!$G$2:$G$2497,'сентябрь 2025'!$D$2:$D$2497,$B119,'сентябрь 2025'!$J$2:$J$2497,I$1)</f>
        <v>0</v>
      </c>
      <c r="J119" s="183">
        <f>SUMIFS('сентябрь 2025'!$G$2:$G$2497,'сентябрь 2025'!$D$2:$D$2497,$B119,'сентябрь 2025'!$J$2:$J$2497,J$1)</f>
        <v>0</v>
      </c>
      <c r="K119" s="183">
        <f>SUMIFS('сентябрь 2025'!$G$2:$G$2497,'сентябрь 2025'!$D$2:$D$2497,$B119,'сентябрь 2025'!$J$2:$J$2497,K$1)</f>
        <v>0</v>
      </c>
      <c r="L119" s="183">
        <f>SUMIFS('сентябрь 2025'!$G$2:$G$2497,'сентябрь 2025'!$D$2:$D$2497,$B119,'сентябрь 2025'!$J$2:$J$2497,L$1)</f>
        <v>0</v>
      </c>
      <c r="M119" s="183">
        <f>SUMIFS('сентябрь 2025'!$G$2:$G$2497,'сентябрь 2025'!$D$2:$D$2497,$B119,'сентябрь 2025'!$J$2:$J$2497,M$1)</f>
        <v>0</v>
      </c>
      <c r="N119" s="183">
        <f>SUMIFS('сентябрь 2025'!$G$2:$G$2497,'сентябрь 2025'!$D$2:$D$2497,$B119,'сентябрь 2025'!$J$2:$J$2497,N$1)</f>
        <v>0</v>
      </c>
      <c r="O119" s="183">
        <f>SUMIFS('сентябрь 2025'!$G$2:$G$2497,'сентябрь 2025'!$D$2:$D$2497,$B119,'сентябрь 2025'!$J$2:$J$2497,O$1)</f>
        <v>0</v>
      </c>
      <c r="P119" s="183">
        <f>SUMIFS('сентябрь 2025'!$G$2:$G$2497,'сентябрь 2025'!$D$2:$D$2497,$B119,'сентябрь 2025'!$J$2:$J$2497,P$1)</f>
        <v>0</v>
      </c>
      <c r="Q119" s="183">
        <f>SUMIFS('сентябрь 2025'!$G$2:$G$2497,'сентябрь 2025'!$D$2:$D$2497,$B119,'сентябрь 2025'!$J$2:$J$2497,Q$1)</f>
        <v>0</v>
      </c>
      <c r="R119" s="183">
        <f>SUMIFS('сентябрь 2025'!$G$2:$G$2497,'сентябрь 2025'!$D$2:$D$2497,$B119,'сентябрь 2025'!$J$2:$J$2497,R$1)</f>
        <v>0</v>
      </c>
      <c r="S119" s="183">
        <f>SUMIFS('сентябрь 2025'!$G$2:$G$2497,'сентябрь 2025'!$D$2:$D$2497,$B119,'сентябрь 2025'!$J$2:$J$2497,S$1)</f>
        <v>0</v>
      </c>
      <c r="T119" s="183">
        <f>SUMIFS('сентябрь 2025'!$G$2:$G$2497,'сентябрь 2025'!$D$2:$D$2497,$B119,'сентябрь 2025'!$J$2:$J$2497,T$1)</f>
        <v>0</v>
      </c>
      <c r="U119" s="183">
        <f>SUMIFS('сентябрь 2025'!$G$2:$G$2497,'сентябрь 2025'!$D$2:$D$2497,$B119,'сентябрь 2025'!$J$2:$J$2497,U$1)</f>
        <v>0</v>
      </c>
      <c r="V119" s="183">
        <f>SUMIFS('сентябрь 2025'!$G$2:$G$2497,'сентябрь 2025'!$D$2:$D$2497,$B119,'сентябрь 2025'!$J$2:$J$2497,V$1)</f>
        <v>0</v>
      </c>
      <c r="W119" s="183">
        <f>SUMIFS('сентябрь 2025'!$G$2:$G$2497,'сентябрь 2025'!$D$2:$D$2497,$B119,'сентябрь 2025'!$J$2:$J$2497,W$1)</f>
        <v>0</v>
      </c>
      <c r="X119" s="183">
        <f>SUMIFS('сентябрь 2025'!$G$2:$G$2497,'сентябрь 2025'!$D$2:$D$2497,$B119,'сентябрь 2025'!$J$2:$J$2497,X$1)</f>
        <v>0</v>
      </c>
      <c r="Y119" s="183">
        <f>SUMIFS('сентябрь 2025'!$G$2:$G$2497,'сентябрь 2025'!$D$2:$D$2497,$B119,'сентябрь 2025'!$J$2:$J$2497,Y$1)</f>
        <v>0</v>
      </c>
      <c r="Z119" s="183">
        <f>SUMIFS('сентябрь 2025'!$G$2:$G$2497,'сентябрь 2025'!$D$2:$D$2497,$B119,'сентябрь 2025'!$J$2:$J$2497,Z$1)</f>
        <v>0</v>
      </c>
      <c r="AA119" s="183">
        <f>SUMIFS('сентябрь 2025'!$G$2:$G$2497,'сентябрь 2025'!$D$2:$D$2497,$B119,'сентябрь 2025'!$J$2:$J$2497,AA$1)</f>
        <v>0</v>
      </c>
      <c r="AB119" s="183">
        <f>SUMIFS('сентябрь 2025'!$G$2:$G$2497,'сентябрь 2025'!$D$2:$D$2497,$B119,'сентябрь 2025'!$J$2:$J$2497,AB$1)</f>
        <v>0</v>
      </c>
      <c r="AC119" s="183">
        <f>SUMIFS('сентябрь 2025'!$G$2:$G$2497,'сентябрь 2025'!$D$2:$D$2497,$B119,'сентябрь 2025'!$J$2:$J$2497,AC$1)</f>
        <v>0</v>
      </c>
      <c r="AD119" s="183">
        <f>SUMIFS('сентябрь 2025'!$G$2:$G$2497,'сентябрь 2025'!$D$2:$D$2497,$B119,'сентябрь 2025'!$J$2:$J$2497,AD$1)</f>
        <v>0</v>
      </c>
      <c r="AE119" s="183">
        <f>SUMIFS('сентябрь 2025'!$G$2:$G$2497,'сентябрь 2025'!$D$2:$D$2497,$B119,'сентябрь 2025'!$J$2:$J$2497,AE$1)</f>
        <v>0</v>
      </c>
      <c r="AF119" s="183">
        <f>SUMIFS('сентябрь 2025'!$G$2:$G$2497,'сентябрь 2025'!$D$2:$D$2497,$B119,'сентябрь 2025'!$J$2:$J$2497,AF$1)</f>
        <v>0</v>
      </c>
      <c r="AG119" s="183">
        <f>SUMIFS('сентябрь 2025'!$G$2:$G$2497,'сентябрь 2025'!$D$2:$D$2497,$B119,'сентябрь 2025'!$J$2:$J$2497,AG$1)</f>
        <v>0</v>
      </c>
      <c r="AH119" s="183">
        <f>SUMIFS('сентябрь 2025'!$G$2:$G$2497,'сентябрь 2025'!$D$2:$D$2497,$B119,'сентябрь 2025'!$J$2:$J$2497,AH$1)</f>
        <v>0</v>
      </c>
      <c r="AI119" s="20">
        <f t="shared" si="1"/>
        <v>0</v>
      </c>
    </row>
    <row r="120" spans="2:35" ht="15" customHeight="1" x14ac:dyDescent="0.25">
      <c r="B120" s="88" t="s">
        <v>263</v>
      </c>
      <c r="C120" s="86">
        <v>200</v>
      </c>
      <c r="D120" s="183">
        <f>SUMIFS('сентябрь 2025'!$G$2:$G$2497,'сентябрь 2025'!$D$2:$D$2497,$B120,'сентябрь 2025'!$J$2:$J$2497,D$1)</f>
        <v>0</v>
      </c>
      <c r="E120" s="183">
        <f>SUMIFS('сентябрь 2025'!$G$2:$G$2497,'сентябрь 2025'!$D$2:$D$2497,$B120,'сентябрь 2025'!$J$2:$J$2497,E$1)</f>
        <v>0</v>
      </c>
      <c r="F120" s="183">
        <f>SUMIFS('сентябрь 2025'!$G$2:$G$2497,'сентябрь 2025'!$D$2:$D$2497,$B120,'сентябрь 2025'!$J$2:$J$2497,F$1)</f>
        <v>0</v>
      </c>
      <c r="G120" s="183">
        <f>SUMIFS('сентябрь 2025'!$G$2:$G$2497,'сентябрь 2025'!$D$2:$D$2497,$B120,'сентябрь 2025'!$J$2:$J$2497,G$1)</f>
        <v>0</v>
      </c>
      <c r="H120" s="183">
        <f>SUMIFS('сентябрь 2025'!$G$2:$G$2497,'сентябрь 2025'!$D$2:$D$2497,$B120,'сентябрь 2025'!$J$2:$J$2497,H$1)</f>
        <v>0</v>
      </c>
      <c r="I120" s="183">
        <f>SUMIFS('сентябрь 2025'!$G$2:$G$2497,'сентябрь 2025'!$D$2:$D$2497,$B120,'сентябрь 2025'!$J$2:$J$2497,I$1)</f>
        <v>0</v>
      </c>
      <c r="J120" s="183">
        <f>SUMIFS('сентябрь 2025'!$G$2:$G$2497,'сентябрь 2025'!$D$2:$D$2497,$B120,'сентябрь 2025'!$J$2:$J$2497,J$1)</f>
        <v>0</v>
      </c>
      <c r="K120" s="183">
        <f>SUMIFS('сентябрь 2025'!$G$2:$G$2497,'сентябрь 2025'!$D$2:$D$2497,$B120,'сентябрь 2025'!$J$2:$J$2497,K$1)</f>
        <v>0</v>
      </c>
      <c r="L120" s="183">
        <f>SUMIFS('сентябрь 2025'!$G$2:$G$2497,'сентябрь 2025'!$D$2:$D$2497,$B120,'сентябрь 2025'!$J$2:$J$2497,L$1)</f>
        <v>0</v>
      </c>
      <c r="M120" s="183">
        <f>SUMIFS('сентябрь 2025'!$G$2:$G$2497,'сентябрь 2025'!$D$2:$D$2497,$B120,'сентябрь 2025'!$J$2:$J$2497,M$1)</f>
        <v>0</v>
      </c>
      <c r="N120" s="183">
        <f>SUMIFS('сентябрь 2025'!$G$2:$G$2497,'сентябрь 2025'!$D$2:$D$2497,$B120,'сентябрь 2025'!$J$2:$J$2497,N$1)</f>
        <v>0</v>
      </c>
      <c r="O120" s="183">
        <f>SUMIFS('сентябрь 2025'!$G$2:$G$2497,'сентябрь 2025'!$D$2:$D$2497,$B120,'сентябрь 2025'!$J$2:$J$2497,O$1)</f>
        <v>0</v>
      </c>
      <c r="P120" s="183">
        <f>SUMIFS('сентябрь 2025'!$G$2:$G$2497,'сентябрь 2025'!$D$2:$D$2497,$B120,'сентябрь 2025'!$J$2:$J$2497,P$1)</f>
        <v>0</v>
      </c>
      <c r="Q120" s="183">
        <f>SUMIFS('сентябрь 2025'!$G$2:$G$2497,'сентябрь 2025'!$D$2:$D$2497,$B120,'сентябрь 2025'!$J$2:$J$2497,Q$1)</f>
        <v>0</v>
      </c>
      <c r="R120" s="183">
        <f>SUMIFS('сентябрь 2025'!$G$2:$G$2497,'сентябрь 2025'!$D$2:$D$2497,$B120,'сентябрь 2025'!$J$2:$J$2497,R$1)</f>
        <v>0</v>
      </c>
      <c r="S120" s="183">
        <f>SUMIFS('сентябрь 2025'!$G$2:$G$2497,'сентябрь 2025'!$D$2:$D$2497,$B120,'сентябрь 2025'!$J$2:$J$2497,S$1)</f>
        <v>0</v>
      </c>
      <c r="T120" s="183">
        <f>SUMIFS('сентябрь 2025'!$G$2:$G$2497,'сентябрь 2025'!$D$2:$D$2497,$B120,'сентябрь 2025'!$J$2:$J$2497,T$1)</f>
        <v>0</v>
      </c>
      <c r="U120" s="183">
        <f>SUMIFS('сентябрь 2025'!$G$2:$G$2497,'сентябрь 2025'!$D$2:$D$2497,$B120,'сентябрь 2025'!$J$2:$J$2497,U$1)</f>
        <v>0</v>
      </c>
      <c r="V120" s="183">
        <f>SUMIFS('сентябрь 2025'!$G$2:$G$2497,'сентябрь 2025'!$D$2:$D$2497,$B120,'сентябрь 2025'!$J$2:$J$2497,V$1)</f>
        <v>0</v>
      </c>
      <c r="W120" s="183">
        <f>SUMIFS('сентябрь 2025'!$G$2:$G$2497,'сентябрь 2025'!$D$2:$D$2497,$B120,'сентябрь 2025'!$J$2:$J$2497,W$1)</f>
        <v>0</v>
      </c>
      <c r="X120" s="183">
        <f>SUMIFS('сентябрь 2025'!$G$2:$G$2497,'сентябрь 2025'!$D$2:$D$2497,$B120,'сентябрь 2025'!$J$2:$J$2497,X$1)</f>
        <v>0</v>
      </c>
      <c r="Y120" s="183">
        <f>SUMIFS('сентябрь 2025'!$G$2:$G$2497,'сентябрь 2025'!$D$2:$D$2497,$B120,'сентябрь 2025'!$J$2:$J$2497,Y$1)</f>
        <v>0</v>
      </c>
      <c r="Z120" s="183">
        <f>SUMIFS('сентябрь 2025'!$G$2:$G$2497,'сентябрь 2025'!$D$2:$D$2497,$B120,'сентябрь 2025'!$J$2:$J$2497,Z$1)</f>
        <v>0</v>
      </c>
      <c r="AA120" s="183">
        <f>SUMIFS('сентябрь 2025'!$G$2:$G$2497,'сентябрь 2025'!$D$2:$D$2497,$B120,'сентябрь 2025'!$J$2:$J$2497,AA$1)</f>
        <v>0</v>
      </c>
      <c r="AB120" s="183">
        <f>SUMIFS('сентябрь 2025'!$G$2:$G$2497,'сентябрь 2025'!$D$2:$D$2497,$B120,'сентябрь 2025'!$J$2:$J$2497,AB$1)</f>
        <v>0</v>
      </c>
      <c r="AC120" s="183">
        <f>SUMIFS('сентябрь 2025'!$G$2:$G$2497,'сентябрь 2025'!$D$2:$D$2497,$B120,'сентябрь 2025'!$J$2:$J$2497,AC$1)</f>
        <v>0</v>
      </c>
      <c r="AD120" s="183">
        <f>SUMIFS('сентябрь 2025'!$G$2:$G$2497,'сентябрь 2025'!$D$2:$D$2497,$B120,'сентябрь 2025'!$J$2:$J$2497,AD$1)</f>
        <v>0</v>
      </c>
      <c r="AE120" s="183">
        <f>SUMIFS('сентябрь 2025'!$G$2:$G$2497,'сентябрь 2025'!$D$2:$D$2497,$B120,'сентябрь 2025'!$J$2:$J$2497,AE$1)</f>
        <v>0</v>
      </c>
      <c r="AF120" s="183">
        <f>SUMIFS('сентябрь 2025'!$G$2:$G$2497,'сентябрь 2025'!$D$2:$D$2497,$B120,'сентябрь 2025'!$J$2:$J$2497,AF$1)</f>
        <v>0</v>
      </c>
      <c r="AG120" s="183">
        <f>SUMIFS('сентябрь 2025'!$G$2:$G$2497,'сентябрь 2025'!$D$2:$D$2497,$B120,'сентябрь 2025'!$J$2:$J$2497,AG$1)</f>
        <v>0</v>
      </c>
      <c r="AH120" s="183">
        <f>SUMIFS('сентябрь 2025'!$G$2:$G$2497,'сентябрь 2025'!$D$2:$D$2497,$B120,'сентябрь 2025'!$J$2:$J$2497,AH$1)</f>
        <v>0</v>
      </c>
      <c r="AI120" s="20">
        <f t="shared" si="1"/>
        <v>0</v>
      </c>
    </row>
    <row r="121" spans="2:35" ht="15" customHeight="1" x14ac:dyDescent="0.25">
      <c r="B121" s="84" t="s">
        <v>208</v>
      </c>
      <c r="C121" s="83">
        <v>25</v>
      </c>
      <c r="D121" s="183">
        <f>SUMIFS('сентябрь 2025'!$G$2:$G$2497,'сентябрь 2025'!$D$2:$D$2497,$B121,'сентябрь 2025'!$J$2:$J$2497,D$1)</f>
        <v>0</v>
      </c>
      <c r="E121" s="183">
        <f>SUMIFS('сентябрь 2025'!$G$2:$G$2497,'сентябрь 2025'!$D$2:$D$2497,$B121,'сентябрь 2025'!$J$2:$J$2497,E$1)</f>
        <v>0</v>
      </c>
      <c r="F121" s="183">
        <f>SUMIFS('сентябрь 2025'!$G$2:$G$2497,'сентябрь 2025'!$D$2:$D$2497,$B121,'сентябрь 2025'!$J$2:$J$2497,F$1)</f>
        <v>0</v>
      </c>
      <c r="G121" s="183">
        <f>SUMIFS('сентябрь 2025'!$G$2:$G$2497,'сентябрь 2025'!$D$2:$D$2497,$B121,'сентябрь 2025'!$J$2:$J$2497,G$1)</f>
        <v>0</v>
      </c>
      <c r="H121" s="183">
        <f>SUMIFS('сентябрь 2025'!$G$2:$G$2497,'сентябрь 2025'!$D$2:$D$2497,$B121,'сентябрь 2025'!$J$2:$J$2497,H$1)</f>
        <v>0</v>
      </c>
      <c r="I121" s="183">
        <f>SUMIFS('сентябрь 2025'!$G$2:$G$2497,'сентябрь 2025'!$D$2:$D$2497,$B121,'сентябрь 2025'!$J$2:$J$2497,I$1)</f>
        <v>0</v>
      </c>
      <c r="J121" s="183">
        <f>SUMIFS('сентябрь 2025'!$G$2:$G$2497,'сентябрь 2025'!$D$2:$D$2497,$B121,'сентябрь 2025'!$J$2:$J$2497,J$1)</f>
        <v>0</v>
      </c>
      <c r="K121" s="183">
        <f>SUMIFS('сентябрь 2025'!$G$2:$G$2497,'сентябрь 2025'!$D$2:$D$2497,$B121,'сентябрь 2025'!$J$2:$J$2497,K$1)</f>
        <v>0</v>
      </c>
      <c r="L121" s="183">
        <f>SUMIFS('сентябрь 2025'!$G$2:$G$2497,'сентябрь 2025'!$D$2:$D$2497,$B121,'сентябрь 2025'!$J$2:$J$2497,L$1)</f>
        <v>0</v>
      </c>
      <c r="M121" s="183">
        <f>SUMIFS('сентябрь 2025'!$G$2:$G$2497,'сентябрь 2025'!$D$2:$D$2497,$B121,'сентябрь 2025'!$J$2:$J$2497,M$1)</f>
        <v>0</v>
      </c>
      <c r="N121" s="183">
        <f>SUMIFS('сентябрь 2025'!$G$2:$G$2497,'сентябрь 2025'!$D$2:$D$2497,$B121,'сентябрь 2025'!$J$2:$J$2497,N$1)</f>
        <v>0</v>
      </c>
      <c r="O121" s="183">
        <f>SUMIFS('сентябрь 2025'!$G$2:$G$2497,'сентябрь 2025'!$D$2:$D$2497,$B121,'сентябрь 2025'!$J$2:$J$2497,O$1)</f>
        <v>0</v>
      </c>
      <c r="P121" s="183">
        <f>SUMIFS('сентябрь 2025'!$G$2:$G$2497,'сентябрь 2025'!$D$2:$D$2497,$B121,'сентябрь 2025'!$J$2:$J$2497,P$1)</f>
        <v>0</v>
      </c>
      <c r="Q121" s="183">
        <f>SUMIFS('сентябрь 2025'!$G$2:$G$2497,'сентябрь 2025'!$D$2:$D$2497,$B121,'сентябрь 2025'!$J$2:$J$2497,Q$1)</f>
        <v>0</v>
      </c>
      <c r="R121" s="183">
        <f>SUMIFS('сентябрь 2025'!$G$2:$G$2497,'сентябрь 2025'!$D$2:$D$2497,$B121,'сентябрь 2025'!$J$2:$J$2497,R$1)</f>
        <v>0</v>
      </c>
      <c r="S121" s="183">
        <f>SUMIFS('сентябрь 2025'!$G$2:$G$2497,'сентябрь 2025'!$D$2:$D$2497,$B121,'сентябрь 2025'!$J$2:$J$2497,S$1)</f>
        <v>0</v>
      </c>
      <c r="T121" s="183">
        <f>SUMIFS('сентябрь 2025'!$G$2:$G$2497,'сентябрь 2025'!$D$2:$D$2497,$B121,'сентябрь 2025'!$J$2:$J$2497,T$1)</f>
        <v>0</v>
      </c>
      <c r="U121" s="183">
        <f>SUMIFS('сентябрь 2025'!$G$2:$G$2497,'сентябрь 2025'!$D$2:$D$2497,$B121,'сентябрь 2025'!$J$2:$J$2497,U$1)</f>
        <v>0</v>
      </c>
      <c r="V121" s="183">
        <f>SUMIFS('сентябрь 2025'!$G$2:$G$2497,'сентябрь 2025'!$D$2:$D$2497,$B121,'сентябрь 2025'!$J$2:$J$2497,V$1)</f>
        <v>0</v>
      </c>
      <c r="W121" s="183">
        <f>SUMIFS('сентябрь 2025'!$G$2:$G$2497,'сентябрь 2025'!$D$2:$D$2497,$B121,'сентябрь 2025'!$J$2:$J$2497,W$1)</f>
        <v>0</v>
      </c>
      <c r="X121" s="183">
        <f>SUMIFS('сентябрь 2025'!$G$2:$G$2497,'сентябрь 2025'!$D$2:$D$2497,$B121,'сентябрь 2025'!$J$2:$J$2497,X$1)</f>
        <v>0</v>
      </c>
      <c r="Y121" s="183">
        <f>SUMIFS('сентябрь 2025'!$G$2:$G$2497,'сентябрь 2025'!$D$2:$D$2497,$B121,'сентябрь 2025'!$J$2:$J$2497,Y$1)</f>
        <v>0</v>
      </c>
      <c r="Z121" s="183">
        <f>SUMIFS('сентябрь 2025'!$G$2:$G$2497,'сентябрь 2025'!$D$2:$D$2497,$B121,'сентябрь 2025'!$J$2:$J$2497,Z$1)</f>
        <v>0</v>
      </c>
      <c r="AA121" s="183">
        <f>SUMIFS('сентябрь 2025'!$G$2:$G$2497,'сентябрь 2025'!$D$2:$D$2497,$B121,'сентябрь 2025'!$J$2:$J$2497,AA$1)</f>
        <v>0</v>
      </c>
      <c r="AB121" s="183">
        <f>SUMIFS('сентябрь 2025'!$G$2:$G$2497,'сентябрь 2025'!$D$2:$D$2497,$B121,'сентябрь 2025'!$J$2:$J$2497,AB$1)</f>
        <v>0</v>
      </c>
      <c r="AC121" s="183">
        <f>SUMIFS('сентябрь 2025'!$G$2:$G$2497,'сентябрь 2025'!$D$2:$D$2497,$B121,'сентябрь 2025'!$J$2:$J$2497,AC$1)</f>
        <v>0</v>
      </c>
      <c r="AD121" s="183">
        <f>SUMIFS('сентябрь 2025'!$G$2:$G$2497,'сентябрь 2025'!$D$2:$D$2497,$B121,'сентябрь 2025'!$J$2:$J$2497,AD$1)</f>
        <v>0</v>
      </c>
      <c r="AE121" s="183">
        <f>SUMIFS('сентябрь 2025'!$G$2:$G$2497,'сентябрь 2025'!$D$2:$D$2497,$B121,'сентябрь 2025'!$J$2:$J$2497,AE$1)</f>
        <v>0</v>
      </c>
      <c r="AF121" s="183">
        <f>SUMIFS('сентябрь 2025'!$G$2:$G$2497,'сентябрь 2025'!$D$2:$D$2497,$B121,'сентябрь 2025'!$J$2:$J$2497,AF$1)</f>
        <v>0</v>
      </c>
      <c r="AG121" s="183">
        <f>SUMIFS('сентябрь 2025'!$G$2:$G$2497,'сентябрь 2025'!$D$2:$D$2497,$B121,'сентябрь 2025'!$J$2:$J$2497,AG$1)</f>
        <v>0</v>
      </c>
      <c r="AH121" s="183">
        <f>SUMIFS('сентябрь 2025'!$G$2:$G$2497,'сентябрь 2025'!$D$2:$D$2497,$B121,'сентябрь 2025'!$J$2:$J$2497,AH$1)</f>
        <v>0</v>
      </c>
      <c r="AI121" s="20">
        <f t="shared" si="1"/>
        <v>0</v>
      </c>
    </row>
    <row r="122" spans="2:35" ht="15" customHeight="1" x14ac:dyDescent="0.25">
      <c r="B122" s="88" t="s">
        <v>264</v>
      </c>
      <c r="C122" s="86">
        <v>50</v>
      </c>
      <c r="D122" s="183">
        <f>SUMIFS('сентябрь 2025'!$G$2:$G$2497,'сентябрь 2025'!$D$2:$D$2497,$B122,'сентябрь 2025'!$J$2:$J$2497,D$1)</f>
        <v>0</v>
      </c>
      <c r="E122" s="183">
        <f>SUMIFS('сентябрь 2025'!$G$2:$G$2497,'сентябрь 2025'!$D$2:$D$2497,$B122,'сентябрь 2025'!$J$2:$J$2497,E$1)</f>
        <v>0</v>
      </c>
      <c r="F122" s="183">
        <f>SUMIFS('сентябрь 2025'!$G$2:$G$2497,'сентябрь 2025'!$D$2:$D$2497,$B122,'сентябрь 2025'!$J$2:$J$2497,F$1)</f>
        <v>0</v>
      </c>
      <c r="G122" s="183">
        <f>SUMIFS('сентябрь 2025'!$G$2:$G$2497,'сентябрь 2025'!$D$2:$D$2497,$B122,'сентябрь 2025'!$J$2:$J$2497,G$1)</f>
        <v>0</v>
      </c>
      <c r="H122" s="183">
        <f>SUMIFS('сентябрь 2025'!$G$2:$G$2497,'сентябрь 2025'!$D$2:$D$2497,$B122,'сентябрь 2025'!$J$2:$J$2497,H$1)</f>
        <v>0</v>
      </c>
      <c r="I122" s="183">
        <f>SUMIFS('сентябрь 2025'!$G$2:$G$2497,'сентябрь 2025'!$D$2:$D$2497,$B122,'сентябрь 2025'!$J$2:$J$2497,I$1)</f>
        <v>0</v>
      </c>
      <c r="J122" s="183">
        <f>SUMIFS('сентябрь 2025'!$G$2:$G$2497,'сентябрь 2025'!$D$2:$D$2497,$B122,'сентябрь 2025'!$J$2:$J$2497,J$1)</f>
        <v>0</v>
      </c>
      <c r="K122" s="183">
        <f>SUMIFS('сентябрь 2025'!$G$2:$G$2497,'сентябрь 2025'!$D$2:$D$2497,$B122,'сентябрь 2025'!$J$2:$J$2497,K$1)</f>
        <v>0</v>
      </c>
      <c r="L122" s="183">
        <f>SUMIFS('сентябрь 2025'!$G$2:$G$2497,'сентябрь 2025'!$D$2:$D$2497,$B122,'сентябрь 2025'!$J$2:$J$2497,L$1)</f>
        <v>0</v>
      </c>
      <c r="M122" s="183">
        <f>SUMIFS('сентябрь 2025'!$G$2:$G$2497,'сентябрь 2025'!$D$2:$D$2497,$B122,'сентябрь 2025'!$J$2:$J$2497,M$1)</f>
        <v>0</v>
      </c>
      <c r="N122" s="183">
        <f>SUMIFS('сентябрь 2025'!$G$2:$G$2497,'сентябрь 2025'!$D$2:$D$2497,$B122,'сентябрь 2025'!$J$2:$J$2497,N$1)</f>
        <v>0</v>
      </c>
      <c r="O122" s="183">
        <f>SUMIFS('сентябрь 2025'!$G$2:$G$2497,'сентябрь 2025'!$D$2:$D$2497,$B122,'сентябрь 2025'!$J$2:$J$2497,O$1)</f>
        <v>0</v>
      </c>
      <c r="P122" s="183">
        <f>SUMIFS('сентябрь 2025'!$G$2:$G$2497,'сентябрь 2025'!$D$2:$D$2497,$B122,'сентябрь 2025'!$J$2:$J$2497,P$1)</f>
        <v>0</v>
      </c>
      <c r="Q122" s="183">
        <f>SUMIFS('сентябрь 2025'!$G$2:$G$2497,'сентябрь 2025'!$D$2:$D$2497,$B122,'сентябрь 2025'!$J$2:$J$2497,Q$1)</f>
        <v>0</v>
      </c>
      <c r="R122" s="183">
        <f>SUMIFS('сентябрь 2025'!$G$2:$G$2497,'сентябрь 2025'!$D$2:$D$2497,$B122,'сентябрь 2025'!$J$2:$J$2497,R$1)</f>
        <v>0</v>
      </c>
      <c r="S122" s="183">
        <f>SUMIFS('сентябрь 2025'!$G$2:$G$2497,'сентябрь 2025'!$D$2:$D$2497,$B122,'сентябрь 2025'!$J$2:$J$2497,S$1)</f>
        <v>0</v>
      </c>
      <c r="T122" s="183">
        <f>SUMIFS('сентябрь 2025'!$G$2:$G$2497,'сентябрь 2025'!$D$2:$D$2497,$B122,'сентябрь 2025'!$J$2:$J$2497,T$1)</f>
        <v>0</v>
      </c>
      <c r="U122" s="183">
        <f>SUMIFS('сентябрь 2025'!$G$2:$G$2497,'сентябрь 2025'!$D$2:$D$2497,$B122,'сентябрь 2025'!$J$2:$J$2497,U$1)</f>
        <v>0</v>
      </c>
      <c r="V122" s="183">
        <f>SUMIFS('сентябрь 2025'!$G$2:$G$2497,'сентябрь 2025'!$D$2:$D$2497,$B122,'сентябрь 2025'!$J$2:$J$2497,V$1)</f>
        <v>0</v>
      </c>
      <c r="W122" s="183">
        <f>SUMIFS('сентябрь 2025'!$G$2:$G$2497,'сентябрь 2025'!$D$2:$D$2497,$B122,'сентябрь 2025'!$J$2:$J$2497,W$1)</f>
        <v>0</v>
      </c>
      <c r="X122" s="183">
        <f>SUMIFS('сентябрь 2025'!$G$2:$G$2497,'сентябрь 2025'!$D$2:$D$2497,$B122,'сентябрь 2025'!$J$2:$J$2497,X$1)</f>
        <v>0</v>
      </c>
      <c r="Y122" s="183">
        <f>SUMIFS('сентябрь 2025'!$G$2:$G$2497,'сентябрь 2025'!$D$2:$D$2497,$B122,'сентябрь 2025'!$J$2:$J$2497,Y$1)</f>
        <v>0</v>
      </c>
      <c r="Z122" s="183">
        <f>SUMIFS('сентябрь 2025'!$G$2:$G$2497,'сентябрь 2025'!$D$2:$D$2497,$B122,'сентябрь 2025'!$J$2:$J$2497,Z$1)</f>
        <v>0</v>
      </c>
      <c r="AA122" s="183">
        <f>SUMIFS('сентябрь 2025'!$G$2:$G$2497,'сентябрь 2025'!$D$2:$D$2497,$B122,'сентябрь 2025'!$J$2:$J$2497,AA$1)</f>
        <v>0</v>
      </c>
      <c r="AB122" s="183">
        <f>SUMIFS('сентябрь 2025'!$G$2:$G$2497,'сентябрь 2025'!$D$2:$D$2497,$B122,'сентябрь 2025'!$J$2:$J$2497,AB$1)</f>
        <v>0</v>
      </c>
      <c r="AC122" s="183">
        <f>SUMIFS('сентябрь 2025'!$G$2:$G$2497,'сентябрь 2025'!$D$2:$D$2497,$B122,'сентябрь 2025'!$J$2:$J$2497,AC$1)</f>
        <v>0</v>
      </c>
      <c r="AD122" s="183">
        <f>SUMIFS('сентябрь 2025'!$G$2:$G$2497,'сентябрь 2025'!$D$2:$D$2497,$B122,'сентябрь 2025'!$J$2:$J$2497,AD$1)</f>
        <v>0</v>
      </c>
      <c r="AE122" s="183">
        <f>SUMIFS('сентябрь 2025'!$G$2:$G$2497,'сентябрь 2025'!$D$2:$D$2497,$B122,'сентябрь 2025'!$J$2:$J$2497,AE$1)</f>
        <v>0</v>
      </c>
      <c r="AF122" s="183">
        <f>SUMIFS('сентябрь 2025'!$G$2:$G$2497,'сентябрь 2025'!$D$2:$D$2497,$B122,'сентябрь 2025'!$J$2:$J$2497,AF$1)</f>
        <v>0</v>
      </c>
      <c r="AG122" s="183">
        <f>SUMIFS('сентябрь 2025'!$G$2:$G$2497,'сентябрь 2025'!$D$2:$D$2497,$B122,'сентябрь 2025'!$J$2:$J$2497,AG$1)</f>
        <v>0</v>
      </c>
      <c r="AH122" s="183">
        <f>SUMIFS('сентябрь 2025'!$G$2:$G$2497,'сентябрь 2025'!$D$2:$D$2497,$B122,'сентябрь 2025'!$J$2:$J$2497,AH$1)</f>
        <v>0</v>
      </c>
      <c r="AI122" s="20">
        <f t="shared" si="1"/>
        <v>0</v>
      </c>
    </row>
    <row r="123" spans="2:35" ht="15" customHeight="1" x14ac:dyDescent="0.25">
      <c r="B123" s="88" t="s">
        <v>185</v>
      </c>
      <c r="C123" s="86">
        <v>180</v>
      </c>
      <c r="D123" s="183">
        <f>SUMIFS('сентябрь 2025'!$G$2:$G$2497,'сентябрь 2025'!$D$2:$D$2497,$B123,'сентябрь 2025'!$J$2:$J$2497,D$1)</f>
        <v>0</v>
      </c>
      <c r="E123" s="183">
        <f>SUMIFS('сентябрь 2025'!$G$2:$G$2497,'сентябрь 2025'!$D$2:$D$2497,$B123,'сентябрь 2025'!$J$2:$J$2497,E$1)</f>
        <v>0</v>
      </c>
      <c r="F123" s="183">
        <f>SUMIFS('сентябрь 2025'!$G$2:$G$2497,'сентябрь 2025'!$D$2:$D$2497,$B123,'сентябрь 2025'!$J$2:$J$2497,F$1)</f>
        <v>0</v>
      </c>
      <c r="G123" s="183">
        <f>SUMIFS('сентябрь 2025'!$G$2:$G$2497,'сентябрь 2025'!$D$2:$D$2497,$B123,'сентябрь 2025'!$J$2:$J$2497,G$1)</f>
        <v>0</v>
      </c>
      <c r="H123" s="183">
        <f>SUMIFS('сентябрь 2025'!$G$2:$G$2497,'сентябрь 2025'!$D$2:$D$2497,$B123,'сентябрь 2025'!$J$2:$J$2497,H$1)</f>
        <v>0</v>
      </c>
      <c r="I123" s="183">
        <f>SUMIFS('сентябрь 2025'!$G$2:$G$2497,'сентябрь 2025'!$D$2:$D$2497,$B123,'сентябрь 2025'!$J$2:$J$2497,I$1)</f>
        <v>0</v>
      </c>
      <c r="J123" s="183">
        <f>SUMIFS('сентябрь 2025'!$G$2:$G$2497,'сентябрь 2025'!$D$2:$D$2497,$B123,'сентябрь 2025'!$J$2:$J$2497,J$1)</f>
        <v>0</v>
      </c>
      <c r="K123" s="183">
        <f>SUMIFS('сентябрь 2025'!$G$2:$G$2497,'сентябрь 2025'!$D$2:$D$2497,$B123,'сентябрь 2025'!$J$2:$J$2497,K$1)</f>
        <v>0</v>
      </c>
      <c r="L123" s="183">
        <f>SUMIFS('сентябрь 2025'!$G$2:$G$2497,'сентябрь 2025'!$D$2:$D$2497,$B123,'сентябрь 2025'!$J$2:$J$2497,L$1)</f>
        <v>0</v>
      </c>
      <c r="M123" s="183">
        <f>SUMIFS('сентябрь 2025'!$G$2:$G$2497,'сентябрь 2025'!$D$2:$D$2497,$B123,'сентябрь 2025'!$J$2:$J$2497,M$1)</f>
        <v>0</v>
      </c>
      <c r="N123" s="183">
        <f>SUMIFS('сентябрь 2025'!$G$2:$G$2497,'сентябрь 2025'!$D$2:$D$2497,$B123,'сентябрь 2025'!$J$2:$J$2497,N$1)</f>
        <v>0</v>
      </c>
      <c r="O123" s="183">
        <f>SUMIFS('сентябрь 2025'!$G$2:$G$2497,'сентябрь 2025'!$D$2:$D$2497,$B123,'сентябрь 2025'!$J$2:$J$2497,O$1)</f>
        <v>0</v>
      </c>
      <c r="P123" s="183">
        <f>SUMIFS('сентябрь 2025'!$G$2:$G$2497,'сентябрь 2025'!$D$2:$D$2497,$B123,'сентябрь 2025'!$J$2:$J$2497,P$1)</f>
        <v>0</v>
      </c>
      <c r="Q123" s="183">
        <f>SUMIFS('сентябрь 2025'!$G$2:$G$2497,'сентябрь 2025'!$D$2:$D$2497,$B123,'сентябрь 2025'!$J$2:$J$2497,Q$1)</f>
        <v>0</v>
      </c>
      <c r="R123" s="183">
        <f>SUMIFS('сентябрь 2025'!$G$2:$G$2497,'сентябрь 2025'!$D$2:$D$2497,$B123,'сентябрь 2025'!$J$2:$J$2497,R$1)</f>
        <v>0</v>
      </c>
      <c r="S123" s="183">
        <f>SUMIFS('сентябрь 2025'!$G$2:$G$2497,'сентябрь 2025'!$D$2:$D$2497,$B123,'сентябрь 2025'!$J$2:$J$2497,S$1)</f>
        <v>0</v>
      </c>
      <c r="T123" s="183">
        <f>SUMIFS('сентябрь 2025'!$G$2:$G$2497,'сентябрь 2025'!$D$2:$D$2497,$B123,'сентябрь 2025'!$J$2:$J$2497,T$1)</f>
        <v>0</v>
      </c>
      <c r="U123" s="183">
        <f>SUMIFS('сентябрь 2025'!$G$2:$G$2497,'сентябрь 2025'!$D$2:$D$2497,$B123,'сентябрь 2025'!$J$2:$J$2497,U$1)</f>
        <v>0</v>
      </c>
      <c r="V123" s="183">
        <f>SUMIFS('сентябрь 2025'!$G$2:$G$2497,'сентябрь 2025'!$D$2:$D$2497,$B123,'сентябрь 2025'!$J$2:$J$2497,V$1)</f>
        <v>0</v>
      </c>
      <c r="W123" s="183">
        <f>SUMIFS('сентябрь 2025'!$G$2:$G$2497,'сентябрь 2025'!$D$2:$D$2497,$B123,'сентябрь 2025'!$J$2:$J$2497,W$1)</f>
        <v>0</v>
      </c>
      <c r="X123" s="183">
        <f>SUMIFS('сентябрь 2025'!$G$2:$G$2497,'сентябрь 2025'!$D$2:$D$2497,$B123,'сентябрь 2025'!$J$2:$J$2497,X$1)</f>
        <v>0</v>
      </c>
      <c r="Y123" s="183">
        <f>SUMIFS('сентябрь 2025'!$G$2:$G$2497,'сентябрь 2025'!$D$2:$D$2497,$B123,'сентябрь 2025'!$J$2:$J$2497,Y$1)</f>
        <v>0</v>
      </c>
      <c r="Z123" s="183">
        <f>SUMIFS('сентябрь 2025'!$G$2:$G$2497,'сентябрь 2025'!$D$2:$D$2497,$B123,'сентябрь 2025'!$J$2:$J$2497,Z$1)</f>
        <v>0</v>
      </c>
      <c r="AA123" s="183">
        <f>SUMIFS('сентябрь 2025'!$G$2:$G$2497,'сентябрь 2025'!$D$2:$D$2497,$B123,'сентябрь 2025'!$J$2:$J$2497,AA$1)</f>
        <v>0</v>
      </c>
      <c r="AB123" s="183">
        <f>SUMIFS('сентябрь 2025'!$G$2:$G$2497,'сентябрь 2025'!$D$2:$D$2497,$B123,'сентябрь 2025'!$J$2:$J$2497,AB$1)</f>
        <v>0</v>
      </c>
      <c r="AC123" s="183">
        <f>SUMIFS('сентябрь 2025'!$G$2:$G$2497,'сентябрь 2025'!$D$2:$D$2497,$B123,'сентябрь 2025'!$J$2:$J$2497,AC$1)</f>
        <v>0</v>
      </c>
      <c r="AD123" s="183">
        <f>SUMIFS('сентябрь 2025'!$G$2:$G$2497,'сентябрь 2025'!$D$2:$D$2497,$B123,'сентябрь 2025'!$J$2:$J$2497,AD$1)</f>
        <v>0</v>
      </c>
      <c r="AE123" s="183">
        <f>SUMIFS('сентябрь 2025'!$G$2:$G$2497,'сентябрь 2025'!$D$2:$D$2497,$B123,'сентябрь 2025'!$J$2:$J$2497,AE$1)</f>
        <v>0</v>
      </c>
      <c r="AF123" s="183">
        <f>SUMIFS('сентябрь 2025'!$G$2:$G$2497,'сентябрь 2025'!$D$2:$D$2497,$B123,'сентябрь 2025'!$J$2:$J$2497,AF$1)</f>
        <v>0</v>
      </c>
      <c r="AG123" s="183">
        <f>SUMIFS('сентябрь 2025'!$G$2:$G$2497,'сентябрь 2025'!$D$2:$D$2497,$B123,'сентябрь 2025'!$J$2:$J$2497,AG$1)</f>
        <v>0</v>
      </c>
      <c r="AH123" s="183">
        <f>SUMIFS('сентябрь 2025'!$G$2:$G$2497,'сентябрь 2025'!$D$2:$D$2497,$B123,'сентябрь 2025'!$J$2:$J$2497,AH$1)</f>
        <v>0</v>
      </c>
      <c r="AI123" s="20">
        <f t="shared" si="1"/>
        <v>0</v>
      </c>
    </row>
    <row r="124" spans="2:35" ht="15" customHeight="1" x14ac:dyDescent="0.25">
      <c r="B124" s="88" t="s">
        <v>203</v>
      </c>
      <c r="C124" s="86">
        <v>185</v>
      </c>
      <c r="D124" s="183">
        <f>SUMIFS('сентябрь 2025'!$G$2:$G$2497,'сентябрь 2025'!$D$2:$D$2497,$B124,'сентябрь 2025'!$J$2:$J$2497,D$1)</f>
        <v>0</v>
      </c>
      <c r="E124" s="183">
        <f>SUMIFS('сентябрь 2025'!$G$2:$G$2497,'сентябрь 2025'!$D$2:$D$2497,$B124,'сентябрь 2025'!$J$2:$J$2497,E$1)</f>
        <v>0</v>
      </c>
      <c r="F124" s="183">
        <f>SUMIFS('сентябрь 2025'!$G$2:$G$2497,'сентябрь 2025'!$D$2:$D$2497,$B124,'сентябрь 2025'!$J$2:$J$2497,F$1)</f>
        <v>0</v>
      </c>
      <c r="G124" s="183">
        <f>SUMIFS('сентябрь 2025'!$G$2:$G$2497,'сентябрь 2025'!$D$2:$D$2497,$B124,'сентябрь 2025'!$J$2:$J$2497,G$1)</f>
        <v>0</v>
      </c>
      <c r="H124" s="183">
        <f>SUMIFS('сентябрь 2025'!$G$2:$G$2497,'сентябрь 2025'!$D$2:$D$2497,$B124,'сентябрь 2025'!$J$2:$J$2497,H$1)</f>
        <v>0</v>
      </c>
      <c r="I124" s="183">
        <f>SUMIFS('сентябрь 2025'!$G$2:$G$2497,'сентябрь 2025'!$D$2:$D$2497,$B124,'сентябрь 2025'!$J$2:$J$2497,I$1)</f>
        <v>0</v>
      </c>
      <c r="J124" s="183">
        <f>SUMIFS('сентябрь 2025'!$G$2:$G$2497,'сентябрь 2025'!$D$2:$D$2497,$B124,'сентябрь 2025'!$J$2:$J$2497,J$1)</f>
        <v>0</v>
      </c>
      <c r="K124" s="183">
        <f>SUMIFS('сентябрь 2025'!$G$2:$G$2497,'сентябрь 2025'!$D$2:$D$2497,$B124,'сентябрь 2025'!$J$2:$J$2497,K$1)</f>
        <v>0</v>
      </c>
      <c r="L124" s="183">
        <f>SUMIFS('сентябрь 2025'!$G$2:$G$2497,'сентябрь 2025'!$D$2:$D$2497,$B124,'сентябрь 2025'!$J$2:$J$2497,L$1)</f>
        <v>0</v>
      </c>
      <c r="M124" s="183">
        <f>SUMIFS('сентябрь 2025'!$G$2:$G$2497,'сентябрь 2025'!$D$2:$D$2497,$B124,'сентябрь 2025'!$J$2:$J$2497,M$1)</f>
        <v>0</v>
      </c>
      <c r="N124" s="183">
        <f>SUMIFS('сентябрь 2025'!$G$2:$G$2497,'сентябрь 2025'!$D$2:$D$2497,$B124,'сентябрь 2025'!$J$2:$J$2497,N$1)</f>
        <v>0</v>
      </c>
      <c r="O124" s="183">
        <f>SUMIFS('сентябрь 2025'!$G$2:$G$2497,'сентябрь 2025'!$D$2:$D$2497,$B124,'сентябрь 2025'!$J$2:$J$2497,O$1)</f>
        <v>0</v>
      </c>
      <c r="P124" s="183">
        <f>SUMIFS('сентябрь 2025'!$G$2:$G$2497,'сентябрь 2025'!$D$2:$D$2497,$B124,'сентябрь 2025'!$J$2:$J$2497,P$1)</f>
        <v>0</v>
      </c>
      <c r="Q124" s="183">
        <f>SUMIFS('сентябрь 2025'!$G$2:$G$2497,'сентябрь 2025'!$D$2:$D$2497,$B124,'сентябрь 2025'!$J$2:$J$2497,Q$1)</f>
        <v>0</v>
      </c>
      <c r="R124" s="183">
        <f>SUMIFS('сентябрь 2025'!$G$2:$G$2497,'сентябрь 2025'!$D$2:$D$2497,$B124,'сентябрь 2025'!$J$2:$J$2497,R$1)</f>
        <v>0</v>
      </c>
      <c r="S124" s="183">
        <f>SUMIFS('сентябрь 2025'!$G$2:$G$2497,'сентябрь 2025'!$D$2:$D$2497,$B124,'сентябрь 2025'!$J$2:$J$2497,S$1)</f>
        <v>0</v>
      </c>
      <c r="T124" s="183">
        <f>SUMIFS('сентябрь 2025'!$G$2:$G$2497,'сентябрь 2025'!$D$2:$D$2497,$B124,'сентябрь 2025'!$J$2:$J$2497,T$1)</f>
        <v>0</v>
      </c>
      <c r="U124" s="183">
        <f>SUMIFS('сентябрь 2025'!$G$2:$G$2497,'сентябрь 2025'!$D$2:$D$2497,$B124,'сентябрь 2025'!$J$2:$J$2497,U$1)</f>
        <v>0</v>
      </c>
      <c r="V124" s="183">
        <f>SUMIFS('сентябрь 2025'!$G$2:$G$2497,'сентябрь 2025'!$D$2:$D$2497,$B124,'сентябрь 2025'!$J$2:$J$2497,V$1)</f>
        <v>0</v>
      </c>
      <c r="W124" s="183">
        <f>SUMIFS('сентябрь 2025'!$G$2:$G$2497,'сентябрь 2025'!$D$2:$D$2497,$B124,'сентябрь 2025'!$J$2:$J$2497,W$1)</f>
        <v>0</v>
      </c>
      <c r="X124" s="183">
        <f>SUMIFS('сентябрь 2025'!$G$2:$G$2497,'сентябрь 2025'!$D$2:$D$2497,$B124,'сентябрь 2025'!$J$2:$J$2497,X$1)</f>
        <v>0</v>
      </c>
      <c r="Y124" s="183">
        <f>SUMIFS('сентябрь 2025'!$G$2:$G$2497,'сентябрь 2025'!$D$2:$D$2497,$B124,'сентябрь 2025'!$J$2:$J$2497,Y$1)</f>
        <v>0</v>
      </c>
      <c r="Z124" s="183">
        <f>SUMIFS('сентябрь 2025'!$G$2:$G$2497,'сентябрь 2025'!$D$2:$D$2497,$B124,'сентябрь 2025'!$J$2:$J$2497,Z$1)</f>
        <v>0</v>
      </c>
      <c r="AA124" s="183">
        <f>SUMIFS('сентябрь 2025'!$G$2:$G$2497,'сентябрь 2025'!$D$2:$D$2497,$B124,'сентябрь 2025'!$J$2:$J$2497,AA$1)</f>
        <v>0</v>
      </c>
      <c r="AB124" s="183">
        <f>SUMIFS('сентябрь 2025'!$G$2:$G$2497,'сентябрь 2025'!$D$2:$D$2497,$B124,'сентябрь 2025'!$J$2:$J$2497,AB$1)</f>
        <v>0</v>
      </c>
      <c r="AC124" s="183">
        <f>SUMIFS('сентябрь 2025'!$G$2:$G$2497,'сентябрь 2025'!$D$2:$D$2497,$B124,'сентябрь 2025'!$J$2:$J$2497,AC$1)</f>
        <v>0</v>
      </c>
      <c r="AD124" s="183">
        <f>SUMIFS('сентябрь 2025'!$G$2:$G$2497,'сентябрь 2025'!$D$2:$D$2497,$B124,'сентябрь 2025'!$J$2:$J$2497,AD$1)</f>
        <v>0</v>
      </c>
      <c r="AE124" s="183">
        <f>SUMIFS('сентябрь 2025'!$G$2:$G$2497,'сентябрь 2025'!$D$2:$D$2497,$B124,'сентябрь 2025'!$J$2:$J$2497,AE$1)</f>
        <v>0</v>
      </c>
      <c r="AF124" s="183">
        <f>SUMIFS('сентябрь 2025'!$G$2:$G$2497,'сентябрь 2025'!$D$2:$D$2497,$B124,'сентябрь 2025'!$J$2:$J$2497,AF$1)</f>
        <v>0</v>
      </c>
      <c r="AG124" s="183">
        <f>SUMIFS('сентябрь 2025'!$G$2:$G$2497,'сентябрь 2025'!$D$2:$D$2497,$B124,'сентябрь 2025'!$J$2:$J$2497,AG$1)</f>
        <v>0</v>
      </c>
      <c r="AH124" s="183">
        <f>SUMIFS('сентябрь 2025'!$G$2:$G$2497,'сентябрь 2025'!$D$2:$D$2497,$B124,'сентябрь 2025'!$J$2:$J$2497,AH$1)</f>
        <v>0</v>
      </c>
      <c r="AI124" s="20">
        <f t="shared" si="1"/>
        <v>0</v>
      </c>
    </row>
    <row r="125" spans="2:35" ht="15" customHeight="1" x14ac:dyDescent="0.25">
      <c r="B125" s="88" t="s">
        <v>304</v>
      </c>
      <c r="C125" s="86">
        <v>175</v>
      </c>
      <c r="D125" s="183">
        <f>SUMIFS('сентябрь 2025'!$G$2:$G$2497,'сентябрь 2025'!$D$2:$D$2497,$B125,'сентябрь 2025'!$J$2:$J$2497,D$1)</f>
        <v>0</v>
      </c>
      <c r="E125" s="183">
        <f>SUMIFS('сентябрь 2025'!$G$2:$G$2497,'сентябрь 2025'!$D$2:$D$2497,$B125,'сентябрь 2025'!$J$2:$J$2497,E$1)</f>
        <v>0</v>
      </c>
      <c r="F125" s="183">
        <f>SUMIFS('сентябрь 2025'!$G$2:$G$2497,'сентябрь 2025'!$D$2:$D$2497,$B125,'сентябрь 2025'!$J$2:$J$2497,F$1)</f>
        <v>0</v>
      </c>
      <c r="G125" s="183">
        <f>SUMIFS('сентябрь 2025'!$G$2:$G$2497,'сентябрь 2025'!$D$2:$D$2497,$B125,'сентябрь 2025'!$J$2:$J$2497,G$1)</f>
        <v>0</v>
      </c>
      <c r="H125" s="183">
        <f>SUMIFS('сентябрь 2025'!$G$2:$G$2497,'сентябрь 2025'!$D$2:$D$2497,$B125,'сентябрь 2025'!$J$2:$J$2497,H$1)</f>
        <v>0</v>
      </c>
      <c r="I125" s="183">
        <f>SUMIFS('сентябрь 2025'!$G$2:$G$2497,'сентябрь 2025'!$D$2:$D$2497,$B125,'сентябрь 2025'!$J$2:$J$2497,I$1)</f>
        <v>0</v>
      </c>
      <c r="J125" s="183">
        <f>SUMIFS('сентябрь 2025'!$G$2:$G$2497,'сентябрь 2025'!$D$2:$D$2497,$B125,'сентябрь 2025'!$J$2:$J$2497,J$1)</f>
        <v>0</v>
      </c>
      <c r="K125" s="183">
        <f>SUMIFS('сентябрь 2025'!$G$2:$G$2497,'сентябрь 2025'!$D$2:$D$2497,$B125,'сентябрь 2025'!$J$2:$J$2497,K$1)</f>
        <v>0</v>
      </c>
      <c r="L125" s="183">
        <f>SUMIFS('сентябрь 2025'!$G$2:$G$2497,'сентябрь 2025'!$D$2:$D$2497,$B125,'сентябрь 2025'!$J$2:$J$2497,L$1)</f>
        <v>0</v>
      </c>
      <c r="M125" s="183">
        <f>SUMIFS('сентябрь 2025'!$G$2:$G$2497,'сентябрь 2025'!$D$2:$D$2497,$B125,'сентябрь 2025'!$J$2:$J$2497,M$1)</f>
        <v>0</v>
      </c>
      <c r="N125" s="183">
        <f>SUMIFS('сентябрь 2025'!$G$2:$G$2497,'сентябрь 2025'!$D$2:$D$2497,$B125,'сентябрь 2025'!$J$2:$J$2497,N$1)</f>
        <v>0</v>
      </c>
      <c r="O125" s="183">
        <f>SUMIFS('сентябрь 2025'!$G$2:$G$2497,'сентябрь 2025'!$D$2:$D$2497,$B125,'сентябрь 2025'!$J$2:$J$2497,O$1)</f>
        <v>0</v>
      </c>
      <c r="P125" s="183">
        <f>SUMIFS('сентябрь 2025'!$G$2:$G$2497,'сентябрь 2025'!$D$2:$D$2497,$B125,'сентябрь 2025'!$J$2:$J$2497,P$1)</f>
        <v>0</v>
      </c>
      <c r="Q125" s="183">
        <f>SUMIFS('сентябрь 2025'!$G$2:$G$2497,'сентябрь 2025'!$D$2:$D$2497,$B125,'сентябрь 2025'!$J$2:$J$2497,Q$1)</f>
        <v>0</v>
      </c>
      <c r="R125" s="183">
        <f>SUMIFS('сентябрь 2025'!$G$2:$G$2497,'сентябрь 2025'!$D$2:$D$2497,$B125,'сентябрь 2025'!$J$2:$J$2497,R$1)</f>
        <v>0</v>
      </c>
      <c r="S125" s="183">
        <f>SUMIFS('сентябрь 2025'!$G$2:$G$2497,'сентябрь 2025'!$D$2:$D$2497,$B125,'сентябрь 2025'!$J$2:$J$2497,S$1)</f>
        <v>0</v>
      </c>
      <c r="T125" s="183">
        <f>SUMIFS('сентябрь 2025'!$G$2:$G$2497,'сентябрь 2025'!$D$2:$D$2497,$B125,'сентябрь 2025'!$J$2:$J$2497,T$1)</f>
        <v>0</v>
      </c>
      <c r="U125" s="183">
        <f>SUMIFS('сентябрь 2025'!$G$2:$G$2497,'сентябрь 2025'!$D$2:$D$2497,$B125,'сентябрь 2025'!$J$2:$J$2497,U$1)</f>
        <v>0</v>
      </c>
      <c r="V125" s="183">
        <f>SUMIFS('сентябрь 2025'!$G$2:$G$2497,'сентябрь 2025'!$D$2:$D$2497,$B125,'сентябрь 2025'!$J$2:$J$2497,V$1)</f>
        <v>0</v>
      </c>
      <c r="W125" s="183">
        <f>SUMIFS('сентябрь 2025'!$G$2:$G$2497,'сентябрь 2025'!$D$2:$D$2497,$B125,'сентябрь 2025'!$J$2:$J$2497,W$1)</f>
        <v>0</v>
      </c>
      <c r="X125" s="183">
        <f>SUMIFS('сентябрь 2025'!$G$2:$G$2497,'сентябрь 2025'!$D$2:$D$2497,$B125,'сентябрь 2025'!$J$2:$J$2497,X$1)</f>
        <v>0</v>
      </c>
      <c r="Y125" s="183">
        <f>SUMIFS('сентябрь 2025'!$G$2:$G$2497,'сентябрь 2025'!$D$2:$D$2497,$B125,'сентябрь 2025'!$J$2:$J$2497,Y$1)</f>
        <v>0</v>
      </c>
      <c r="Z125" s="183">
        <f>SUMIFS('сентябрь 2025'!$G$2:$G$2497,'сентябрь 2025'!$D$2:$D$2497,$B125,'сентябрь 2025'!$J$2:$J$2497,Z$1)</f>
        <v>0</v>
      </c>
      <c r="AA125" s="183">
        <f>SUMIFS('сентябрь 2025'!$G$2:$G$2497,'сентябрь 2025'!$D$2:$D$2497,$B125,'сентябрь 2025'!$J$2:$J$2497,AA$1)</f>
        <v>0</v>
      </c>
      <c r="AB125" s="183">
        <f>SUMIFS('сентябрь 2025'!$G$2:$G$2497,'сентябрь 2025'!$D$2:$D$2497,$B125,'сентябрь 2025'!$J$2:$J$2497,AB$1)</f>
        <v>0</v>
      </c>
      <c r="AC125" s="183">
        <f>SUMIFS('сентябрь 2025'!$G$2:$G$2497,'сентябрь 2025'!$D$2:$D$2497,$B125,'сентябрь 2025'!$J$2:$J$2497,AC$1)</f>
        <v>0</v>
      </c>
      <c r="AD125" s="183">
        <f>SUMIFS('сентябрь 2025'!$G$2:$G$2497,'сентябрь 2025'!$D$2:$D$2497,$B125,'сентябрь 2025'!$J$2:$J$2497,AD$1)</f>
        <v>0</v>
      </c>
      <c r="AE125" s="183">
        <f>SUMIFS('сентябрь 2025'!$G$2:$G$2497,'сентябрь 2025'!$D$2:$D$2497,$B125,'сентябрь 2025'!$J$2:$J$2497,AE$1)</f>
        <v>0</v>
      </c>
      <c r="AF125" s="183">
        <f>SUMIFS('сентябрь 2025'!$G$2:$G$2497,'сентябрь 2025'!$D$2:$D$2497,$B125,'сентябрь 2025'!$J$2:$J$2497,AF$1)</f>
        <v>0</v>
      </c>
      <c r="AG125" s="183">
        <f>SUMIFS('сентябрь 2025'!$G$2:$G$2497,'сентябрь 2025'!$D$2:$D$2497,$B125,'сентябрь 2025'!$J$2:$J$2497,AG$1)</f>
        <v>0</v>
      </c>
      <c r="AH125" s="183">
        <f>SUMIFS('сентябрь 2025'!$G$2:$G$2497,'сентябрь 2025'!$D$2:$D$2497,$B125,'сентябрь 2025'!$J$2:$J$2497,AH$1)</f>
        <v>0</v>
      </c>
      <c r="AI125" s="20">
        <f t="shared" si="1"/>
        <v>0</v>
      </c>
    </row>
    <row r="126" spans="2:35" ht="15" customHeight="1" x14ac:dyDescent="0.25">
      <c r="B126" s="88" t="s">
        <v>310</v>
      </c>
      <c r="C126" s="86">
        <v>200</v>
      </c>
      <c r="D126" s="183">
        <f>SUMIFS('сентябрь 2025'!$G$2:$G$2497,'сентябрь 2025'!$D$2:$D$2497,$B126,'сентябрь 2025'!$J$2:$J$2497,D$1)</f>
        <v>0</v>
      </c>
      <c r="E126" s="183">
        <f>SUMIFS('сентябрь 2025'!$G$2:$G$2497,'сентябрь 2025'!$D$2:$D$2497,$B126,'сентябрь 2025'!$J$2:$J$2497,E$1)</f>
        <v>0</v>
      </c>
      <c r="F126" s="183">
        <f>SUMIFS('сентябрь 2025'!$G$2:$G$2497,'сентябрь 2025'!$D$2:$D$2497,$B126,'сентябрь 2025'!$J$2:$J$2497,F$1)</f>
        <v>0</v>
      </c>
      <c r="G126" s="183">
        <f>SUMIFS('сентябрь 2025'!$G$2:$G$2497,'сентябрь 2025'!$D$2:$D$2497,$B126,'сентябрь 2025'!$J$2:$J$2497,G$1)</f>
        <v>0</v>
      </c>
      <c r="H126" s="183">
        <f>SUMIFS('сентябрь 2025'!$G$2:$G$2497,'сентябрь 2025'!$D$2:$D$2497,$B126,'сентябрь 2025'!$J$2:$J$2497,H$1)</f>
        <v>0</v>
      </c>
      <c r="I126" s="183">
        <f>SUMIFS('сентябрь 2025'!$G$2:$G$2497,'сентябрь 2025'!$D$2:$D$2497,$B126,'сентябрь 2025'!$J$2:$J$2497,I$1)</f>
        <v>0</v>
      </c>
      <c r="J126" s="183">
        <f>SUMIFS('сентябрь 2025'!$G$2:$G$2497,'сентябрь 2025'!$D$2:$D$2497,$B126,'сентябрь 2025'!$J$2:$J$2497,J$1)</f>
        <v>0</v>
      </c>
      <c r="K126" s="183">
        <f>SUMIFS('сентябрь 2025'!$G$2:$G$2497,'сентябрь 2025'!$D$2:$D$2497,$B126,'сентябрь 2025'!$J$2:$J$2497,K$1)</f>
        <v>0</v>
      </c>
      <c r="L126" s="183">
        <f>SUMIFS('сентябрь 2025'!$G$2:$G$2497,'сентябрь 2025'!$D$2:$D$2497,$B126,'сентябрь 2025'!$J$2:$J$2497,L$1)</f>
        <v>0</v>
      </c>
      <c r="M126" s="183">
        <f>SUMIFS('сентябрь 2025'!$G$2:$G$2497,'сентябрь 2025'!$D$2:$D$2497,$B126,'сентябрь 2025'!$J$2:$J$2497,M$1)</f>
        <v>0</v>
      </c>
      <c r="N126" s="183">
        <f>SUMIFS('сентябрь 2025'!$G$2:$G$2497,'сентябрь 2025'!$D$2:$D$2497,$B126,'сентябрь 2025'!$J$2:$J$2497,N$1)</f>
        <v>0</v>
      </c>
      <c r="O126" s="183">
        <f>SUMIFS('сентябрь 2025'!$G$2:$G$2497,'сентябрь 2025'!$D$2:$D$2497,$B126,'сентябрь 2025'!$J$2:$J$2497,O$1)</f>
        <v>0</v>
      </c>
      <c r="P126" s="183">
        <f>SUMIFS('сентябрь 2025'!$G$2:$G$2497,'сентябрь 2025'!$D$2:$D$2497,$B126,'сентябрь 2025'!$J$2:$J$2497,P$1)</f>
        <v>0</v>
      </c>
      <c r="Q126" s="183">
        <f>SUMIFS('сентябрь 2025'!$G$2:$G$2497,'сентябрь 2025'!$D$2:$D$2497,$B126,'сентябрь 2025'!$J$2:$J$2497,Q$1)</f>
        <v>0</v>
      </c>
      <c r="R126" s="183">
        <f>SUMIFS('сентябрь 2025'!$G$2:$G$2497,'сентябрь 2025'!$D$2:$D$2497,$B126,'сентябрь 2025'!$J$2:$J$2497,R$1)</f>
        <v>0</v>
      </c>
      <c r="S126" s="183">
        <f>SUMIFS('сентябрь 2025'!$G$2:$G$2497,'сентябрь 2025'!$D$2:$D$2497,$B126,'сентябрь 2025'!$J$2:$J$2497,S$1)</f>
        <v>0</v>
      </c>
      <c r="T126" s="183">
        <f>SUMIFS('сентябрь 2025'!$G$2:$G$2497,'сентябрь 2025'!$D$2:$D$2497,$B126,'сентябрь 2025'!$J$2:$J$2497,T$1)</f>
        <v>0</v>
      </c>
      <c r="U126" s="183">
        <f>SUMIFS('сентябрь 2025'!$G$2:$G$2497,'сентябрь 2025'!$D$2:$D$2497,$B126,'сентябрь 2025'!$J$2:$J$2497,U$1)</f>
        <v>0</v>
      </c>
      <c r="V126" s="183">
        <f>SUMIFS('сентябрь 2025'!$G$2:$G$2497,'сентябрь 2025'!$D$2:$D$2497,$B126,'сентябрь 2025'!$J$2:$J$2497,V$1)</f>
        <v>0</v>
      </c>
      <c r="W126" s="183">
        <f>SUMIFS('сентябрь 2025'!$G$2:$G$2497,'сентябрь 2025'!$D$2:$D$2497,$B126,'сентябрь 2025'!$J$2:$J$2497,W$1)</f>
        <v>0</v>
      </c>
      <c r="X126" s="183">
        <f>SUMIFS('сентябрь 2025'!$G$2:$G$2497,'сентябрь 2025'!$D$2:$D$2497,$B126,'сентябрь 2025'!$J$2:$J$2497,X$1)</f>
        <v>0</v>
      </c>
      <c r="Y126" s="183">
        <f>SUMIFS('сентябрь 2025'!$G$2:$G$2497,'сентябрь 2025'!$D$2:$D$2497,$B126,'сентябрь 2025'!$J$2:$J$2497,Y$1)</f>
        <v>0</v>
      </c>
      <c r="Z126" s="183">
        <f>SUMIFS('сентябрь 2025'!$G$2:$G$2497,'сентябрь 2025'!$D$2:$D$2497,$B126,'сентябрь 2025'!$J$2:$J$2497,Z$1)</f>
        <v>0</v>
      </c>
      <c r="AA126" s="183">
        <f>SUMIFS('сентябрь 2025'!$G$2:$G$2497,'сентябрь 2025'!$D$2:$D$2497,$B126,'сентябрь 2025'!$J$2:$J$2497,AA$1)</f>
        <v>0</v>
      </c>
      <c r="AB126" s="183">
        <f>SUMIFS('сентябрь 2025'!$G$2:$G$2497,'сентябрь 2025'!$D$2:$D$2497,$B126,'сентябрь 2025'!$J$2:$J$2497,AB$1)</f>
        <v>0</v>
      </c>
      <c r="AC126" s="183">
        <f>SUMIFS('сентябрь 2025'!$G$2:$G$2497,'сентябрь 2025'!$D$2:$D$2497,$B126,'сентябрь 2025'!$J$2:$J$2497,AC$1)</f>
        <v>0</v>
      </c>
      <c r="AD126" s="183">
        <f>SUMIFS('сентябрь 2025'!$G$2:$G$2497,'сентябрь 2025'!$D$2:$D$2497,$B126,'сентябрь 2025'!$J$2:$J$2497,AD$1)</f>
        <v>0</v>
      </c>
      <c r="AE126" s="183">
        <f>SUMIFS('сентябрь 2025'!$G$2:$G$2497,'сентябрь 2025'!$D$2:$D$2497,$B126,'сентябрь 2025'!$J$2:$J$2497,AE$1)</f>
        <v>0</v>
      </c>
      <c r="AF126" s="183">
        <f>SUMIFS('сентябрь 2025'!$G$2:$G$2497,'сентябрь 2025'!$D$2:$D$2497,$B126,'сентябрь 2025'!$J$2:$J$2497,AF$1)</f>
        <v>0</v>
      </c>
      <c r="AG126" s="183">
        <f>SUMIFS('сентябрь 2025'!$G$2:$G$2497,'сентябрь 2025'!$D$2:$D$2497,$B126,'сентябрь 2025'!$J$2:$J$2497,AG$1)</f>
        <v>0</v>
      </c>
      <c r="AH126" s="183">
        <f>SUMIFS('сентябрь 2025'!$G$2:$G$2497,'сентябрь 2025'!$D$2:$D$2497,$B126,'сентябрь 2025'!$J$2:$J$2497,AH$1)</f>
        <v>0</v>
      </c>
      <c r="AI126" s="20">
        <f t="shared" si="1"/>
        <v>0</v>
      </c>
    </row>
    <row r="127" spans="2:35" ht="15" customHeight="1" x14ac:dyDescent="0.25">
      <c r="B127" s="88" t="s">
        <v>1256</v>
      </c>
      <c r="C127" s="86">
        <v>200</v>
      </c>
      <c r="D127" s="183">
        <f>SUMIFS('сентябрь 2025'!$G$2:$G$2497,'сентябрь 2025'!$D$2:$D$2497,$B127,'сентябрь 2025'!$J$2:$J$2497,D$1)</f>
        <v>0</v>
      </c>
      <c r="E127" s="183">
        <f>SUMIFS('сентябрь 2025'!$G$2:$G$2497,'сентябрь 2025'!$D$2:$D$2497,$B127,'сентябрь 2025'!$J$2:$J$2497,E$1)</f>
        <v>0</v>
      </c>
      <c r="F127" s="183">
        <f>SUMIFS('сентябрь 2025'!$G$2:$G$2497,'сентябрь 2025'!$D$2:$D$2497,$B127,'сентябрь 2025'!$J$2:$J$2497,F$1)</f>
        <v>0</v>
      </c>
      <c r="G127" s="183">
        <f>SUMIFS('сентябрь 2025'!$G$2:$G$2497,'сентябрь 2025'!$D$2:$D$2497,$B127,'сентябрь 2025'!$J$2:$J$2497,G$1)</f>
        <v>0</v>
      </c>
      <c r="H127" s="183">
        <f>SUMIFS('сентябрь 2025'!$G$2:$G$2497,'сентябрь 2025'!$D$2:$D$2497,$B127,'сентябрь 2025'!$J$2:$J$2497,H$1)</f>
        <v>0</v>
      </c>
      <c r="I127" s="183">
        <f>SUMIFS('сентябрь 2025'!$G$2:$G$2497,'сентябрь 2025'!$D$2:$D$2497,$B127,'сентябрь 2025'!$J$2:$J$2497,I$1)</f>
        <v>0</v>
      </c>
      <c r="J127" s="183">
        <f>SUMIFS('сентябрь 2025'!$G$2:$G$2497,'сентябрь 2025'!$D$2:$D$2497,$B127,'сентябрь 2025'!$J$2:$J$2497,J$1)</f>
        <v>0</v>
      </c>
      <c r="K127" s="183">
        <f>SUMIFS('сентябрь 2025'!$G$2:$G$2497,'сентябрь 2025'!$D$2:$D$2497,$B127,'сентябрь 2025'!$J$2:$J$2497,K$1)</f>
        <v>0</v>
      </c>
      <c r="L127" s="183">
        <f>SUMIFS('сентябрь 2025'!$G$2:$G$2497,'сентябрь 2025'!$D$2:$D$2497,$B127,'сентябрь 2025'!$J$2:$J$2497,L$1)</f>
        <v>0</v>
      </c>
      <c r="M127" s="183">
        <f>SUMIFS('сентябрь 2025'!$G$2:$G$2497,'сентябрь 2025'!$D$2:$D$2497,$B127,'сентябрь 2025'!$J$2:$J$2497,M$1)</f>
        <v>0</v>
      </c>
      <c r="N127" s="183">
        <f>SUMIFS('сентябрь 2025'!$G$2:$G$2497,'сентябрь 2025'!$D$2:$D$2497,$B127,'сентябрь 2025'!$J$2:$J$2497,N$1)</f>
        <v>0</v>
      </c>
      <c r="O127" s="183">
        <f>SUMIFS('сентябрь 2025'!$G$2:$G$2497,'сентябрь 2025'!$D$2:$D$2497,$B127,'сентябрь 2025'!$J$2:$J$2497,O$1)</f>
        <v>0</v>
      </c>
      <c r="P127" s="183">
        <f>SUMIFS('сентябрь 2025'!$G$2:$G$2497,'сентябрь 2025'!$D$2:$D$2497,$B127,'сентябрь 2025'!$J$2:$J$2497,P$1)</f>
        <v>0</v>
      </c>
      <c r="Q127" s="183">
        <f>SUMIFS('сентябрь 2025'!$G$2:$G$2497,'сентябрь 2025'!$D$2:$D$2497,$B127,'сентябрь 2025'!$J$2:$J$2497,Q$1)</f>
        <v>0</v>
      </c>
      <c r="R127" s="183">
        <f>SUMIFS('сентябрь 2025'!$G$2:$G$2497,'сентябрь 2025'!$D$2:$D$2497,$B127,'сентябрь 2025'!$J$2:$J$2497,R$1)</f>
        <v>0</v>
      </c>
      <c r="S127" s="183">
        <f>SUMIFS('сентябрь 2025'!$G$2:$G$2497,'сентябрь 2025'!$D$2:$D$2497,$B127,'сентябрь 2025'!$J$2:$J$2497,S$1)</f>
        <v>0</v>
      </c>
      <c r="T127" s="183">
        <f>SUMIFS('сентябрь 2025'!$G$2:$G$2497,'сентябрь 2025'!$D$2:$D$2497,$B127,'сентябрь 2025'!$J$2:$J$2497,T$1)</f>
        <v>0</v>
      </c>
      <c r="U127" s="183">
        <f>SUMIFS('сентябрь 2025'!$G$2:$G$2497,'сентябрь 2025'!$D$2:$D$2497,$B127,'сентябрь 2025'!$J$2:$J$2497,U$1)</f>
        <v>0</v>
      </c>
      <c r="V127" s="183">
        <f>SUMIFS('сентябрь 2025'!$G$2:$G$2497,'сентябрь 2025'!$D$2:$D$2497,$B127,'сентябрь 2025'!$J$2:$J$2497,V$1)</f>
        <v>0</v>
      </c>
      <c r="W127" s="183">
        <f>SUMIFS('сентябрь 2025'!$G$2:$G$2497,'сентябрь 2025'!$D$2:$D$2497,$B127,'сентябрь 2025'!$J$2:$J$2497,W$1)</f>
        <v>0</v>
      </c>
      <c r="X127" s="183">
        <f>SUMIFS('сентябрь 2025'!$G$2:$G$2497,'сентябрь 2025'!$D$2:$D$2497,$B127,'сентябрь 2025'!$J$2:$J$2497,X$1)</f>
        <v>0</v>
      </c>
      <c r="Y127" s="183">
        <f>SUMIFS('сентябрь 2025'!$G$2:$G$2497,'сентябрь 2025'!$D$2:$D$2497,$B127,'сентябрь 2025'!$J$2:$J$2497,Y$1)</f>
        <v>0</v>
      </c>
      <c r="Z127" s="183">
        <f>SUMIFS('сентябрь 2025'!$G$2:$G$2497,'сентябрь 2025'!$D$2:$D$2497,$B127,'сентябрь 2025'!$J$2:$J$2497,Z$1)</f>
        <v>0</v>
      </c>
      <c r="AA127" s="183">
        <f>SUMIFS('сентябрь 2025'!$G$2:$G$2497,'сентябрь 2025'!$D$2:$D$2497,$B127,'сентябрь 2025'!$J$2:$J$2497,AA$1)</f>
        <v>0</v>
      </c>
      <c r="AB127" s="183">
        <f>SUMIFS('сентябрь 2025'!$G$2:$G$2497,'сентябрь 2025'!$D$2:$D$2497,$B127,'сентябрь 2025'!$J$2:$J$2497,AB$1)</f>
        <v>0</v>
      </c>
      <c r="AC127" s="183">
        <f>SUMIFS('сентябрь 2025'!$G$2:$G$2497,'сентябрь 2025'!$D$2:$D$2497,$B127,'сентябрь 2025'!$J$2:$J$2497,AC$1)</f>
        <v>0</v>
      </c>
      <c r="AD127" s="183">
        <f>SUMIFS('сентябрь 2025'!$G$2:$G$2497,'сентябрь 2025'!$D$2:$D$2497,$B127,'сентябрь 2025'!$J$2:$J$2497,AD$1)</f>
        <v>0</v>
      </c>
      <c r="AE127" s="183">
        <f>SUMIFS('сентябрь 2025'!$G$2:$G$2497,'сентябрь 2025'!$D$2:$D$2497,$B127,'сентябрь 2025'!$J$2:$J$2497,AE$1)</f>
        <v>0</v>
      </c>
      <c r="AF127" s="183">
        <f>SUMIFS('сентябрь 2025'!$G$2:$G$2497,'сентябрь 2025'!$D$2:$D$2497,$B127,'сентябрь 2025'!$J$2:$J$2497,AF$1)</f>
        <v>0</v>
      </c>
      <c r="AG127" s="183">
        <f>SUMIFS('сентябрь 2025'!$G$2:$G$2497,'сентябрь 2025'!$D$2:$D$2497,$B127,'сентябрь 2025'!$J$2:$J$2497,AG$1)</f>
        <v>0</v>
      </c>
      <c r="AH127" s="183">
        <f>SUMIFS('сентябрь 2025'!$G$2:$G$2497,'сентябрь 2025'!$D$2:$D$2497,$B127,'сентябрь 2025'!$J$2:$J$2497,AH$1)</f>
        <v>0</v>
      </c>
      <c r="AI127" s="20">
        <f t="shared" si="1"/>
        <v>0</v>
      </c>
    </row>
    <row r="128" spans="2:35" ht="15" customHeight="1" x14ac:dyDescent="0.25">
      <c r="B128" s="88" t="s">
        <v>265</v>
      </c>
      <c r="C128" s="86">
        <v>180</v>
      </c>
      <c r="D128" s="183">
        <f>SUMIFS('сентябрь 2025'!$G$2:$G$2497,'сентябрь 2025'!$D$2:$D$2497,$B128,'сентябрь 2025'!$J$2:$J$2497,D$1)</f>
        <v>0</v>
      </c>
      <c r="E128" s="183">
        <f>SUMIFS('сентябрь 2025'!$G$2:$G$2497,'сентябрь 2025'!$D$2:$D$2497,$B128,'сентябрь 2025'!$J$2:$J$2497,E$1)</f>
        <v>0</v>
      </c>
      <c r="F128" s="183">
        <f>SUMIFS('сентябрь 2025'!$G$2:$G$2497,'сентябрь 2025'!$D$2:$D$2497,$B128,'сентябрь 2025'!$J$2:$J$2497,F$1)</f>
        <v>0</v>
      </c>
      <c r="G128" s="183">
        <f>SUMIFS('сентябрь 2025'!$G$2:$G$2497,'сентябрь 2025'!$D$2:$D$2497,$B128,'сентябрь 2025'!$J$2:$J$2497,G$1)</f>
        <v>0</v>
      </c>
      <c r="H128" s="183">
        <f>SUMIFS('сентябрь 2025'!$G$2:$G$2497,'сентябрь 2025'!$D$2:$D$2497,$B128,'сентябрь 2025'!$J$2:$J$2497,H$1)</f>
        <v>0</v>
      </c>
      <c r="I128" s="183">
        <f>SUMIFS('сентябрь 2025'!$G$2:$G$2497,'сентябрь 2025'!$D$2:$D$2497,$B128,'сентябрь 2025'!$J$2:$J$2497,I$1)</f>
        <v>0</v>
      </c>
      <c r="J128" s="183">
        <f>SUMIFS('сентябрь 2025'!$G$2:$G$2497,'сентябрь 2025'!$D$2:$D$2497,$B128,'сентябрь 2025'!$J$2:$J$2497,J$1)</f>
        <v>0</v>
      </c>
      <c r="K128" s="183">
        <f>SUMIFS('сентябрь 2025'!$G$2:$G$2497,'сентябрь 2025'!$D$2:$D$2497,$B128,'сентябрь 2025'!$J$2:$J$2497,K$1)</f>
        <v>0</v>
      </c>
      <c r="L128" s="183">
        <f>SUMIFS('сентябрь 2025'!$G$2:$G$2497,'сентябрь 2025'!$D$2:$D$2497,$B128,'сентябрь 2025'!$J$2:$J$2497,L$1)</f>
        <v>0</v>
      </c>
      <c r="M128" s="183">
        <f>SUMIFS('сентябрь 2025'!$G$2:$G$2497,'сентябрь 2025'!$D$2:$D$2497,$B128,'сентябрь 2025'!$J$2:$J$2497,M$1)</f>
        <v>0</v>
      </c>
      <c r="N128" s="183">
        <f>SUMIFS('сентябрь 2025'!$G$2:$G$2497,'сентябрь 2025'!$D$2:$D$2497,$B128,'сентябрь 2025'!$J$2:$J$2497,N$1)</f>
        <v>0</v>
      </c>
      <c r="O128" s="183">
        <f>SUMIFS('сентябрь 2025'!$G$2:$G$2497,'сентябрь 2025'!$D$2:$D$2497,$B128,'сентябрь 2025'!$J$2:$J$2497,O$1)</f>
        <v>0</v>
      </c>
      <c r="P128" s="183">
        <f>SUMIFS('сентябрь 2025'!$G$2:$G$2497,'сентябрь 2025'!$D$2:$D$2497,$B128,'сентябрь 2025'!$J$2:$J$2497,P$1)</f>
        <v>0</v>
      </c>
      <c r="Q128" s="183">
        <f>SUMIFS('сентябрь 2025'!$G$2:$G$2497,'сентябрь 2025'!$D$2:$D$2497,$B128,'сентябрь 2025'!$J$2:$J$2497,Q$1)</f>
        <v>0</v>
      </c>
      <c r="R128" s="183">
        <f>SUMIFS('сентябрь 2025'!$G$2:$G$2497,'сентябрь 2025'!$D$2:$D$2497,$B128,'сентябрь 2025'!$J$2:$J$2497,R$1)</f>
        <v>0</v>
      </c>
      <c r="S128" s="183">
        <f>SUMIFS('сентябрь 2025'!$G$2:$G$2497,'сентябрь 2025'!$D$2:$D$2497,$B128,'сентябрь 2025'!$J$2:$J$2497,S$1)</f>
        <v>0</v>
      </c>
      <c r="T128" s="183">
        <f>SUMIFS('сентябрь 2025'!$G$2:$G$2497,'сентябрь 2025'!$D$2:$D$2497,$B128,'сентябрь 2025'!$J$2:$J$2497,T$1)</f>
        <v>0</v>
      </c>
      <c r="U128" s="183">
        <f>SUMIFS('сентябрь 2025'!$G$2:$G$2497,'сентябрь 2025'!$D$2:$D$2497,$B128,'сентябрь 2025'!$J$2:$J$2497,U$1)</f>
        <v>0</v>
      </c>
      <c r="V128" s="183">
        <f>SUMIFS('сентябрь 2025'!$G$2:$G$2497,'сентябрь 2025'!$D$2:$D$2497,$B128,'сентябрь 2025'!$J$2:$J$2497,V$1)</f>
        <v>0</v>
      </c>
      <c r="W128" s="183">
        <f>SUMIFS('сентябрь 2025'!$G$2:$G$2497,'сентябрь 2025'!$D$2:$D$2497,$B128,'сентябрь 2025'!$J$2:$J$2497,W$1)</f>
        <v>0</v>
      </c>
      <c r="X128" s="183">
        <f>SUMIFS('сентябрь 2025'!$G$2:$G$2497,'сентябрь 2025'!$D$2:$D$2497,$B128,'сентябрь 2025'!$J$2:$J$2497,X$1)</f>
        <v>0</v>
      </c>
      <c r="Y128" s="183">
        <f>SUMIFS('сентябрь 2025'!$G$2:$G$2497,'сентябрь 2025'!$D$2:$D$2497,$B128,'сентябрь 2025'!$J$2:$J$2497,Y$1)</f>
        <v>0</v>
      </c>
      <c r="Z128" s="183">
        <f>SUMIFS('сентябрь 2025'!$G$2:$G$2497,'сентябрь 2025'!$D$2:$D$2497,$B128,'сентябрь 2025'!$J$2:$J$2497,Z$1)</f>
        <v>0</v>
      </c>
      <c r="AA128" s="183">
        <f>SUMIFS('сентябрь 2025'!$G$2:$G$2497,'сентябрь 2025'!$D$2:$D$2497,$B128,'сентябрь 2025'!$J$2:$J$2497,AA$1)</f>
        <v>0</v>
      </c>
      <c r="AB128" s="183">
        <f>SUMIFS('сентябрь 2025'!$G$2:$G$2497,'сентябрь 2025'!$D$2:$D$2497,$B128,'сентябрь 2025'!$J$2:$J$2497,AB$1)</f>
        <v>0</v>
      </c>
      <c r="AC128" s="183">
        <f>SUMIFS('сентябрь 2025'!$G$2:$G$2497,'сентябрь 2025'!$D$2:$D$2497,$B128,'сентябрь 2025'!$J$2:$J$2497,AC$1)</f>
        <v>0</v>
      </c>
      <c r="AD128" s="183">
        <f>SUMIFS('сентябрь 2025'!$G$2:$G$2497,'сентябрь 2025'!$D$2:$D$2497,$B128,'сентябрь 2025'!$J$2:$J$2497,AD$1)</f>
        <v>0</v>
      </c>
      <c r="AE128" s="183">
        <f>SUMIFS('сентябрь 2025'!$G$2:$G$2497,'сентябрь 2025'!$D$2:$D$2497,$B128,'сентябрь 2025'!$J$2:$J$2497,AE$1)</f>
        <v>0</v>
      </c>
      <c r="AF128" s="183">
        <f>SUMIFS('сентябрь 2025'!$G$2:$G$2497,'сентябрь 2025'!$D$2:$D$2497,$B128,'сентябрь 2025'!$J$2:$J$2497,AF$1)</f>
        <v>0</v>
      </c>
      <c r="AG128" s="183">
        <f>SUMIFS('сентябрь 2025'!$G$2:$G$2497,'сентябрь 2025'!$D$2:$D$2497,$B128,'сентябрь 2025'!$J$2:$J$2497,AG$1)</f>
        <v>0</v>
      </c>
      <c r="AH128" s="183">
        <f>SUMIFS('сентябрь 2025'!$G$2:$G$2497,'сентябрь 2025'!$D$2:$D$2497,$B128,'сентябрь 2025'!$J$2:$J$2497,AH$1)</f>
        <v>0</v>
      </c>
      <c r="AI128" s="20">
        <f t="shared" si="1"/>
        <v>0</v>
      </c>
    </row>
    <row r="129" spans="2:35" ht="15" customHeight="1" x14ac:dyDescent="0.25">
      <c r="B129" s="88" t="s">
        <v>326</v>
      </c>
      <c r="C129" s="86">
        <v>200</v>
      </c>
      <c r="D129" s="183">
        <f>SUMIFS('сентябрь 2025'!$G$2:$G$2497,'сентябрь 2025'!$D$2:$D$2497,$B129,'сентябрь 2025'!$J$2:$J$2497,D$1)</f>
        <v>0</v>
      </c>
      <c r="E129" s="183">
        <f>SUMIFS('сентябрь 2025'!$G$2:$G$2497,'сентябрь 2025'!$D$2:$D$2497,$B129,'сентябрь 2025'!$J$2:$J$2497,E$1)</f>
        <v>0</v>
      </c>
      <c r="F129" s="183">
        <f>SUMIFS('сентябрь 2025'!$G$2:$G$2497,'сентябрь 2025'!$D$2:$D$2497,$B129,'сентябрь 2025'!$J$2:$J$2497,F$1)</f>
        <v>0</v>
      </c>
      <c r="G129" s="183">
        <f>SUMIFS('сентябрь 2025'!$G$2:$G$2497,'сентябрь 2025'!$D$2:$D$2497,$B129,'сентябрь 2025'!$J$2:$J$2497,G$1)</f>
        <v>0</v>
      </c>
      <c r="H129" s="183">
        <f>SUMIFS('сентябрь 2025'!$G$2:$G$2497,'сентябрь 2025'!$D$2:$D$2497,$B129,'сентябрь 2025'!$J$2:$J$2497,H$1)</f>
        <v>0</v>
      </c>
      <c r="I129" s="183">
        <f>SUMIFS('сентябрь 2025'!$G$2:$G$2497,'сентябрь 2025'!$D$2:$D$2497,$B129,'сентябрь 2025'!$J$2:$J$2497,I$1)</f>
        <v>0</v>
      </c>
      <c r="J129" s="183">
        <f>SUMIFS('сентябрь 2025'!$G$2:$G$2497,'сентябрь 2025'!$D$2:$D$2497,$B129,'сентябрь 2025'!$J$2:$J$2497,J$1)</f>
        <v>0</v>
      </c>
      <c r="K129" s="183">
        <f>SUMIFS('сентябрь 2025'!$G$2:$G$2497,'сентябрь 2025'!$D$2:$D$2497,$B129,'сентябрь 2025'!$J$2:$J$2497,K$1)</f>
        <v>0</v>
      </c>
      <c r="L129" s="183">
        <f>SUMIFS('сентябрь 2025'!$G$2:$G$2497,'сентябрь 2025'!$D$2:$D$2497,$B129,'сентябрь 2025'!$J$2:$J$2497,L$1)</f>
        <v>0</v>
      </c>
      <c r="M129" s="183">
        <f>SUMIFS('сентябрь 2025'!$G$2:$G$2497,'сентябрь 2025'!$D$2:$D$2497,$B129,'сентябрь 2025'!$J$2:$J$2497,M$1)</f>
        <v>0</v>
      </c>
      <c r="N129" s="183">
        <f>SUMIFS('сентябрь 2025'!$G$2:$G$2497,'сентябрь 2025'!$D$2:$D$2497,$B129,'сентябрь 2025'!$J$2:$J$2497,N$1)</f>
        <v>0</v>
      </c>
      <c r="O129" s="183">
        <f>SUMIFS('сентябрь 2025'!$G$2:$G$2497,'сентябрь 2025'!$D$2:$D$2497,$B129,'сентябрь 2025'!$J$2:$J$2497,O$1)</f>
        <v>0</v>
      </c>
      <c r="P129" s="183">
        <f>SUMIFS('сентябрь 2025'!$G$2:$G$2497,'сентябрь 2025'!$D$2:$D$2497,$B129,'сентябрь 2025'!$J$2:$J$2497,P$1)</f>
        <v>0</v>
      </c>
      <c r="Q129" s="183">
        <f>SUMIFS('сентябрь 2025'!$G$2:$G$2497,'сентябрь 2025'!$D$2:$D$2497,$B129,'сентябрь 2025'!$J$2:$J$2497,Q$1)</f>
        <v>0</v>
      </c>
      <c r="R129" s="183">
        <f>SUMIFS('сентябрь 2025'!$G$2:$G$2497,'сентябрь 2025'!$D$2:$D$2497,$B129,'сентябрь 2025'!$J$2:$J$2497,R$1)</f>
        <v>0</v>
      </c>
      <c r="S129" s="183">
        <f>SUMIFS('сентябрь 2025'!$G$2:$G$2497,'сентябрь 2025'!$D$2:$D$2497,$B129,'сентябрь 2025'!$J$2:$J$2497,S$1)</f>
        <v>0</v>
      </c>
      <c r="T129" s="183">
        <f>SUMIFS('сентябрь 2025'!$G$2:$G$2497,'сентябрь 2025'!$D$2:$D$2497,$B129,'сентябрь 2025'!$J$2:$J$2497,T$1)</f>
        <v>0</v>
      </c>
      <c r="U129" s="183">
        <f>SUMIFS('сентябрь 2025'!$G$2:$G$2497,'сентябрь 2025'!$D$2:$D$2497,$B129,'сентябрь 2025'!$J$2:$J$2497,U$1)</f>
        <v>0</v>
      </c>
      <c r="V129" s="183">
        <f>SUMIFS('сентябрь 2025'!$G$2:$G$2497,'сентябрь 2025'!$D$2:$D$2497,$B129,'сентябрь 2025'!$J$2:$J$2497,V$1)</f>
        <v>0</v>
      </c>
      <c r="W129" s="183">
        <f>SUMIFS('сентябрь 2025'!$G$2:$G$2497,'сентябрь 2025'!$D$2:$D$2497,$B129,'сентябрь 2025'!$J$2:$J$2497,W$1)</f>
        <v>0</v>
      </c>
      <c r="X129" s="183">
        <f>SUMIFS('сентябрь 2025'!$G$2:$G$2497,'сентябрь 2025'!$D$2:$D$2497,$B129,'сентябрь 2025'!$J$2:$J$2497,X$1)</f>
        <v>0</v>
      </c>
      <c r="Y129" s="183">
        <f>SUMIFS('сентябрь 2025'!$G$2:$G$2497,'сентябрь 2025'!$D$2:$D$2497,$B129,'сентябрь 2025'!$J$2:$J$2497,Y$1)</f>
        <v>0</v>
      </c>
      <c r="Z129" s="183">
        <f>SUMIFS('сентябрь 2025'!$G$2:$G$2497,'сентябрь 2025'!$D$2:$D$2497,$B129,'сентябрь 2025'!$J$2:$J$2497,Z$1)</f>
        <v>0</v>
      </c>
      <c r="AA129" s="183">
        <f>SUMIFS('сентябрь 2025'!$G$2:$G$2497,'сентябрь 2025'!$D$2:$D$2497,$B129,'сентябрь 2025'!$J$2:$J$2497,AA$1)</f>
        <v>0</v>
      </c>
      <c r="AB129" s="183">
        <f>SUMIFS('сентябрь 2025'!$G$2:$G$2497,'сентябрь 2025'!$D$2:$D$2497,$B129,'сентябрь 2025'!$J$2:$J$2497,AB$1)</f>
        <v>0</v>
      </c>
      <c r="AC129" s="183">
        <f>SUMIFS('сентябрь 2025'!$G$2:$G$2497,'сентябрь 2025'!$D$2:$D$2497,$B129,'сентябрь 2025'!$J$2:$J$2497,AC$1)</f>
        <v>0</v>
      </c>
      <c r="AD129" s="183">
        <f>SUMIFS('сентябрь 2025'!$G$2:$G$2497,'сентябрь 2025'!$D$2:$D$2497,$B129,'сентябрь 2025'!$J$2:$J$2497,AD$1)</f>
        <v>0</v>
      </c>
      <c r="AE129" s="183">
        <f>SUMIFS('сентябрь 2025'!$G$2:$G$2497,'сентябрь 2025'!$D$2:$D$2497,$B129,'сентябрь 2025'!$J$2:$J$2497,AE$1)</f>
        <v>0</v>
      </c>
      <c r="AF129" s="183">
        <f>SUMIFS('сентябрь 2025'!$G$2:$G$2497,'сентябрь 2025'!$D$2:$D$2497,$B129,'сентябрь 2025'!$J$2:$J$2497,AF$1)</f>
        <v>0</v>
      </c>
      <c r="AG129" s="183">
        <f>SUMIFS('сентябрь 2025'!$G$2:$G$2497,'сентябрь 2025'!$D$2:$D$2497,$B129,'сентябрь 2025'!$J$2:$J$2497,AG$1)</f>
        <v>0</v>
      </c>
      <c r="AH129" s="183">
        <f>SUMIFS('сентябрь 2025'!$G$2:$G$2497,'сентябрь 2025'!$D$2:$D$2497,$B129,'сентябрь 2025'!$J$2:$J$2497,AH$1)</f>
        <v>0</v>
      </c>
      <c r="AI129" s="20">
        <f t="shared" si="1"/>
        <v>0</v>
      </c>
    </row>
    <row r="130" spans="2:35" ht="15" customHeight="1" x14ac:dyDescent="0.25">
      <c r="B130" s="88" t="s">
        <v>280</v>
      </c>
      <c r="C130" s="86">
        <v>185</v>
      </c>
      <c r="D130" s="183">
        <f>SUMIFS('сентябрь 2025'!$G$2:$G$2497,'сентябрь 2025'!$D$2:$D$2497,$B130,'сентябрь 2025'!$J$2:$J$2497,D$1)</f>
        <v>0</v>
      </c>
      <c r="E130" s="183">
        <f>SUMIFS('сентябрь 2025'!$G$2:$G$2497,'сентябрь 2025'!$D$2:$D$2497,$B130,'сентябрь 2025'!$J$2:$J$2497,E$1)</f>
        <v>0</v>
      </c>
      <c r="F130" s="183">
        <f>SUMIFS('сентябрь 2025'!$G$2:$G$2497,'сентябрь 2025'!$D$2:$D$2497,$B130,'сентябрь 2025'!$J$2:$J$2497,F$1)</f>
        <v>0</v>
      </c>
      <c r="G130" s="183">
        <f>SUMIFS('сентябрь 2025'!$G$2:$G$2497,'сентябрь 2025'!$D$2:$D$2497,$B130,'сентябрь 2025'!$J$2:$J$2497,G$1)</f>
        <v>0</v>
      </c>
      <c r="H130" s="183">
        <f>SUMIFS('сентябрь 2025'!$G$2:$G$2497,'сентябрь 2025'!$D$2:$D$2497,$B130,'сентябрь 2025'!$J$2:$J$2497,H$1)</f>
        <v>0</v>
      </c>
      <c r="I130" s="183">
        <f>SUMIFS('сентябрь 2025'!$G$2:$G$2497,'сентябрь 2025'!$D$2:$D$2497,$B130,'сентябрь 2025'!$J$2:$J$2497,I$1)</f>
        <v>0</v>
      </c>
      <c r="J130" s="183">
        <f>SUMIFS('сентябрь 2025'!$G$2:$G$2497,'сентябрь 2025'!$D$2:$D$2497,$B130,'сентябрь 2025'!$J$2:$J$2497,J$1)</f>
        <v>0</v>
      </c>
      <c r="K130" s="183">
        <f>SUMIFS('сентябрь 2025'!$G$2:$G$2497,'сентябрь 2025'!$D$2:$D$2497,$B130,'сентябрь 2025'!$J$2:$J$2497,K$1)</f>
        <v>0</v>
      </c>
      <c r="L130" s="183">
        <f>SUMIFS('сентябрь 2025'!$G$2:$G$2497,'сентябрь 2025'!$D$2:$D$2497,$B130,'сентябрь 2025'!$J$2:$J$2497,L$1)</f>
        <v>0</v>
      </c>
      <c r="M130" s="183">
        <f>SUMIFS('сентябрь 2025'!$G$2:$G$2497,'сентябрь 2025'!$D$2:$D$2497,$B130,'сентябрь 2025'!$J$2:$J$2497,M$1)</f>
        <v>0</v>
      </c>
      <c r="N130" s="183">
        <f>SUMIFS('сентябрь 2025'!$G$2:$G$2497,'сентябрь 2025'!$D$2:$D$2497,$B130,'сентябрь 2025'!$J$2:$J$2497,N$1)</f>
        <v>0</v>
      </c>
      <c r="O130" s="183">
        <f>SUMIFS('сентябрь 2025'!$G$2:$G$2497,'сентябрь 2025'!$D$2:$D$2497,$B130,'сентябрь 2025'!$J$2:$J$2497,O$1)</f>
        <v>0</v>
      </c>
      <c r="P130" s="183">
        <f>SUMIFS('сентябрь 2025'!$G$2:$G$2497,'сентябрь 2025'!$D$2:$D$2497,$B130,'сентябрь 2025'!$J$2:$J$2497,P$1)</f>
        <v>0</v>
      </c>
      <c r="Q130" s="183">
        <f>SUMIFS('сентябрь 2025'!$G$2:$G$2497,'сентябрь 2025'!$D$2:$D$2497,$B130,'сентябрь 2025'!$J$2:$J$2497,Q$1)</f>
        <v>0</v>
      </c>
      <c r="R130" s="183">
        <f>SUMIFS('сентябрь 2025'!$G$2:$G$2497,'сентябрь 2025'!$D$2:$D$2497,$B130,'сентябрь 2025'!$J$2:$J$2497,R$1)</f>
        <v>0</v>
      </c>
      <c r="S130" s="183">
        <f>SUMIFS('сентябрь 2025'!$G$2:$G$2497,'сентябрь 2025'!$D$2:$D$2497,$B130,'сентябрь 2025'!$J$2:$J$2497,S$1)</f>
        <v>0</v>
      </c>
      <c r="T130" s="183">
        <f>SUMIFS('сентябрь 2025'!$G$2:$G$2497,'сентябрь 2025'!$D$2:$D$2497,$B130,'сентябрь 2025'!$J$2:$J$2497,T$1)</f>
        <v>0</v>
      </c>
      <c r="U130" s="183">
        <f>SUMIFS('сентябрь 2025'!$G$2:$G$2497,'сентябрь 2025'!$D$2:$D$2497,$B130,'сентябрь 2025'!$J$2:$J$2497,U$1)</f>
        <v>0</v>
      </c>
      <c r="V130" s="183">
        <f>SUMIFS('сентябрь 2025'!$G$2:$G$2497,'сентябрь 2025'!$D$2:$D$2497,$B130,'сентябрь 2025'!$J$2:$J$2497,V$1)</f>
        <v>0</v>
      </c>
      <c r="W130" s="183">
        <f>SUMIFS('сентябрь 2025'!$G$2:$G$2497,'сентябрь 2025'!$D$2:$D$2497,$B130,'сентябрь 2025'!$J$2:$J$2497,W$1)</f>
        <v>0</v>
      </c>
      <c r="X130" s="183">
        <f>SUMIFS('сентябрь 2025'!$G$2:$G$2497,'сентябрь 2025'!$D$2:$D$2497,$B130,'сентябрь 2025'!$J$2:$J$2497,X$1)</f>
        <v>0</v>
      </c>
      <c r="Y130" s="183">
        <f>SUMIFS('сентябрь 2025'!$G$2:$G$2497,'сентябрь 2025'!$D$2:$D$2497,$B130,'сентябрь 2025'!$J$2:$J$2497,Y$1)</f>
        <v>0</v>
      </c>
      <c r="Z130" s="183">
        <f>SUMIFS('сентябрь 2025'!$G$2:$G$2497,'сентябрь 2025'!$D$2:$D$2497,$B130,'сентябрь 2025'!$J$2:$J$2497,Z$1)</f>
        <v>0</v>
      </c>
      <c r="AA130" s="183">
        <f>SUMIFS('сентябрь 2025'!$G$2:$G$2497,'сентябрь 2025'!$D$2:$D$2497,$B130,'сентябрь 2025'!$J$2:$J$2497,AA$1)</f>
        <v>0</v>
      </c>
      <c r="AB130" s="183">
        <f>SUMIFS('сентябрь 2025'!$G$2:$G$2497,'сентябрь 2025'!$D$2:$D$2497,$B130,'сентябрь 2025'!$J$2:$J$2497,AB$1)</f>
        <v>0</v>
      </c>
      <c r="AC130" s="183">
        <f>SUMIFS('сентябрь 2025'!$G$2:$G$2497,'сентябрь 2025'!$D$2:$D$2497,$B130,'сентябрь 2025'!$J$2:$J$2497,AC$1)</f>
        <v>0</v>
      </c>
      <c r="AD130" s="183">
        <f>SUMIFS('сентябрь 2025'!$G$2:$G$2497,'сентябрь 2025'!$D$2:$D$2497,$B130,'сентябрь 2025'!$J$2:$J$2497,AD$1)</f>
        <v>0</v>
      </c>
      <c r="AE130" s="183">
        <f>SUMIFS('сентябрь 2025'!$G$2:$G$2497,'сентябрь 2025'!$D$2:$D$2497,$B130,'сентябрь 2025'!$J$2:$J$2497,AE$1)</f>
        <v>0</v>
      </c>
      <c r="AF130" s="183">
        <f>SUMIFS('сентябрь 2025'!$G$2:$G$2497,'сентябрь 2025'!$D$2:$D$2497,$B130,'сентябрь 2025'!$J$2:$J$2497,AF$1)</f>
        <v>0</v>
      </c>
      <c r="AG130" s="183">
        <f>SUMIFS('сентябрь 2025'!$G$2:$G$2497,'сентябрь 2025'!$D$2:$D$2497,$B130,'сентябрь 2025'!$J$2:$J$2497,AG$1)</f>
        <v>0</v>
      </c>
      <c r="AH130" s="183">
        <f>SUMIFS('сентябрь 2025'!$G$2:$G$2497,'сентябрь 2025'!$D$2:$D$2497,$B130,'сентябрь 2025'!$J$2:$J$2497,AH$1)</f>
        <v>0</v>
      </c>
      <c r="AI130" s="20">
        <f t="shared" si="1"/>
        <v>0</v>
      </c>
    </row>
    <row r="131" spans="2:35" ht="15" customHeight="1" x14ac:dyDescent="0.25">
      <c r="B131" s="88" t="s">
        <v>283</v>
      </c>
      <c r="C131" s="86">
        <v>185</v>
      </c>
      <c r="D131" s="183">
        <f>SUMIFS('сентябрь 2025'!$G$2:$G$2497,'сентябрь 2025'!$D$2:$D$2497,$B131,'сентябрь 2025'!$J$2:$J$2497,D$1)</f>
        <v>0</v>
      </c>
      <c r="E131" s="183">
        <f>SUMIFS('сентябрь 2025'!$G$2:$G$2497,'сентябрь 2025'!$D$2:$D$2497,$B131,'сентябрь 2025'!$J$2:$J$2497,E$1)</f>
        <v>0</v>
      </c>
      <c r="F131" s="183">
        <f>SUMIFS('сентябрь 2025'!$G$2:$G$2497,'сентябрь 2025'!$D$2:$D$2497,$B131,'сентябрь 2025'!$J$2:$J$2497,F$1)</f>
        <v>0</v>
      </c>
      <c r="G131" s="183">
        <f>SUMIFS('сентябрь 2025'!$G$2:$G$2497,'сентябрь 2025'!$D$2:$D$2497,$B131,'сентябрь 2025'!$J$2:$J$2497,G$1)</f>
        <v>0</v>
      </c>
      <c r="H131" s="183">
        <f>SUMIFS('сентябрь 2025'!$G$2:$G$2497,'сентябрь 2025'!$D$2:$D$2497,$B131,'сентябрь 2025'!$J$2:$J$2497,H$1)</f>
        <v>0</v>
      </c>
      <c r="I131" s="183">
        <f>SUMIFS('сентябрь 2025'!$G$2:$G$2497,'сентябрь 2025'!$D$2:$D$2497,$B131,'сентябрь 2025'!$J$2:$J$2497,I$1)</f>
        <v>0</v>
      </c>
      <c r="J131" s="183">
        <f>SUMIFS('сентябрь 2025'!$G$2:$G$2497,'сентябрь 2025'!$D$2:$D$2497,$B131,'сентябрь 2025'!$J$2:$J$2497,J$1)</f>
        <v>0</v>
      </c>
      <c r="K131" s="183">
        <f>SUMIFS('сентябрь 2025'!$G$2:$G$2497,'сентябрь 2025'!$D$2:$D$2497,$B131,'сентябрь 2025'!$J$2:$J$2497,K$1)</f>
        <v>0</v>
      </c>
      <c r="L131" s="183">
        <f>SUMIFS('сентябрь 2025'!$G$2:$G$2497,'сентябрь 2025'!$D$2:$D$2497,$B131,'сентябрь 2025'!$J$2:$J$2497,L$1)</f>
        <v>0</v>
      </c>
      <c r="M131" s="183">
        <f>SUMIFS('сентябрь 2025'!$G$2:$G$2497,'сентябрь 2025'!$D$2:$D$2497,$B131,'сентябрь 2025'!$J$2:$J$2497,M$1)</f>
        <v>0</v>
      </c>
      <c r="N131" s="183">
        <f>SUMIFS('сентябрь 2025'!$G$2:$G$2497,'сентябрь 2025'!$D$2:$D$2497,$B131,'сентябрь 2025'!$J$2:$J$2497,N$1)</f>
        <v>0</v>
      </c>
      <c r="O131" s="183">
        <f>SUMIFS('сентябрь 2025'!$G$2:$G$2497,'сентябрь 2025'!$D$2:$D$2497,$B131,'сентябрь 2025'!$J$2:$J$2497,O$1)</f>
        <v>0</v>
      </c>
      <c r="P131" s="183">
        <f>SUMIFS('сентябрь 2025'!$G$2:$G$2497,'сентябрь 2025'!$D$2:$D$2497,$B131,'сентябрь 2025'!$J$2:$J$2497,P$1)</f>
        <v>0</v>
      </c>
      <c r="Q131" s="183">
        <f>SUMIFS('сентябрь 2025'!$G$2:$G$2497,'сентябрь 2025'!$D$2:$D$2497,$B131,'сентябрь 2025'!$J$2:$J$2497,Q$1)</f>
        <v>0</v>
      </c>
      <c r="R131" s="183">
        <f>SUMIFS('сентябрь 2025'!$G$2:$G$2497,'сентябрь 2025'!$D$2:$D$2497,$B131,'сентябрь 2025'!$J$2:$J$2497,R$1)</f>
        <v>0</v>
      </c>
      <c r="S131" s="183">
        <f>SUMIFS('сентябрь 2025'!$G$2:$G$2497,'сентябрь 2025'!$D$2:$D$2497,$B131,'сентябрь 2025'!$J$2:$J$2497,S$1)</f>
        <v>0</v>
      </c>
      <c r="T131" s="183">
        <f>SUMIFS('сентябрь 2025'!$G$2:$G$2497,'сентябрь 2025'!$D$2:$D$2497,$B131,'сентябрь 2025'!$J$2:$J$2497,T$1)</f>
        <v>0</v>
      </c>
      <c r="U131" s="183">
        <f>SUMIFS('сентябрь 2025'!$G$2:$G$2497,'сентябрь 2025'!$D$2:$D$2497,$B131,'сентябрь 2025'!$J$2:$J$2497,U$1)</f>
        <v>0</v>
      </c>
      <c r="V131" s="183">
        <f>SUMIFS('сентябрь 2025'!$G$2:$G$2497,'сентябрь 2025'!$D$2:$D$2497,$B131,'сентябрь 2025'!$J$2:$J$2497,V$1)</f>
        <v>0</v>
      </c>
      <c r="W131" s="183">
        <f>SUMIFS('сентябрь 2025'!$G$2:$G$2497,'сентябрь 2025'!$D$2:$D$2497,$B131,'сентябрь 2025'!$J$2:$J$2497,W$1)</f>
        <v>0</v>
      </c>
      <c r="X131" s="183">
        <f>SUMIFS('сентябрь 2025'!$G$2:$G$2497,'сентябрь 2025'!$D$2:$D$2497,$B131,'сентябрь 2025'!$J$2:$J$2497,X$1)</f>
        <v>0</v>
      </c>
      <c r="Y131" s="183">
        <f>SUMIFS('сентябрь 2025'!$G$2:$G$2497,'сентябрь 2025'!$D$2:$D$2497,$B131,'сентябрь 2025'!$J$2:$J$2497,Y$1)</f>
        <v>0</v>
      </c>
      <c r="Z131" s="183">
        <f>SUMIFS('сентябрь 2025'!$G$2:$G$2497,'сентябрь 2025'!$D$2:$D$2497,$B131,'сентябрь 2025'!$J$2:$J$2497,Z$1)</f>
        <v>0</v>
      </c>
      <c r="AA131" s="183">
        <f>SUMIFS('сентябрь 2025'!$G$2:$G$2497,'сентябрь 2025'!$D$2:$D$2497,$B131,'сентябрь 2025'!$J$2:$J$2497,AA$1)</f>
        <v>0</v>
      </c>
      <c r="AB131" s="183">
        <f>SUMIFS('сентябрь 2025'!$G$2:$G$2497,'сентябрь 2025'!$D$2:$D$2497,$B131,'сентябрь 2025'!$J$2:$J$2497,AB$1)</f>
        <v>0</v>
      </c>
      <c r="AC131" s="183">
        <f>SUMIFS('сентябрь 2025'!$G$2:$G$2497,'сентябрь 2025'!$D$2:$D$2497,$B131,'сентябрь 2025'!$J$2:$J$2497,AC$1)</f>
        <v>0</v>
      </c>
      <c r="AD131" s="183">
        <f>SUMIFS('сентябрь 2025'!$G$2:$G$2497,'сентябрь 2025'!$D$2:$D$2497,$B131,'сентябрь 2025'!$J$2:$J$2497,AD$1)</f>
        <v>0</v>
      </c>
      <c r="AE131" s="183">
        <f>SUMIFS('сентябрь 2025'!$G$2:$G$2497,'сентябрь 2025'!$D$2:$D$2497,$B131,'сентябрь 2025'!$J$2:$J$2497,AE$1)</f>
        <v>0</v>
      </c>
      <c r="AF131" s="183">
        <f>SUMIFS('сентябрь 2025'!$G$2:$G$2497,'сентябрь 2025'!$D$2:$D$2497,$B131,'сентябрь 2025'!$J$2:$J$2497,AF$1)</f>
        <v>0</v>
      </c>
      <c r="AG131" s="183">
        <f>SUMIFS('сентябрь 2025'!$G$2:$G$2497,'сентябрь 2025'!$D$2:$D$2497,$B131,'сентябрь 2025'!$J$2:$J$2497,AG$1)</f>
        <v>0</v>
      </c>
      <c r="AH131" s="183">
        <f>SUMIFS('сентябрь 2025'!$G$2:$G$2497,'сентябрь 2025'!$D$2:$D$2497,$B131,'сентябрь 2025'!$J$2:$J$2497,AH$1)</f>
        <v>0</v>
      </c>
      <c r="AI131" s="20">
        <f t="shared" si="1"/>
        <v>0</v>
      </c>
    </row>
    <row r="132" spans="2:35" ht="15" customHeight="1" x14ac:dyDescent="0.25">
      <c r="B132" s="88" t="s">
        <v>866</v>
      </c>
      <c r="C132" s="86">
        <v>185</v>
      </c>
      <c r="D132" s="183">
        <f>SUMIFS('сентябрь 2025'!$G$2:$G$2497,'сентябрь 2025'!$D$2:$D$2497,$B132,'сентябрь 2025'!$J$2:$J$2497,D$1)</f>
        <v>0</v>
      </c>
      <c r="E132" s="183">
        <f>SUMIFS('сентябрь 2025'!$G$2:$G$2497,'сентябрь 2025'!$D$2:$D$2497,$B132,'сентябрь 2025'!$J$2:$J$2497,E$1)</f>
        <v>0</v>
      </c>
      <c r="F132" s="183">
        <f>SUMIFS('сентябрь 2025'!$G$2:$G$2497,'сентябрь 2025'!$D$2:$D$2497,$B132,'сентябрь 2025'!$J$2:$J$2497,F$1)</f>
        <v>0</v>
      </c>
      <c r="G132" s="183">
        <f>SUMIFS('сентябрь 2025'!$G$2:$G$2497,'сентябрь 2025'!$D$2:$D$2497,$B132,'сентябрь 2025'!$J$2:$J$2497,G$1)</f>
        <v>0</v>
      </c>
      <c r="H132" s="183">
        <f>SUMIFS('сентябрь 2025'!$G$2:$G$2497,'сентябрь 2025'!$D$2:$D$2497,$B132,'сентябрь 2025'!$J$2:$J$2497,H$1)</f>
        <v>0</v>
      </c>
      <c r="I132" s="183">
        <f>SUMIFS('сентябрь 2025'!$G$2:$G$2497,'сентябрь 2025'!$D$2:$D$2497,$B132,'сентябрь 2025'!$J$2:$J$2497,I$1)</f>
        <v>0</v>
      </c>
      <c r="J132" s="183">
        <f>SUMIFS('сентябрь 2025'!$G$2:$G$2497,'сентябрь 2025'!$D$2:$D$2497,$B132,'сентябрь 2025'!$J$2:$J$2497,J$1)</f>
        <v>0</v>
      </c>
      <c r="K132" s="183">
        <f>SUMIFS('сентябрь 2025'!$G$2:$G$2497,'сентябрь 2025'!$D$2:$D$2497,$B132,'сентябрь 2025'!$J$2:$J$2497,K$1)</f>
        <v>0</v>
      </c>
      <c r="L132" s="183">
        <f>SUMIFS('сентябрь 2025'!$G$2:$G$2497,'сентябрь 2025'!$D$2:$D$2497,$B132,'сентябрь 2025'!$J$2:$J$2497,L$1)</f>
        <v>0</v>
      </c>
      <c r="M132" s="183">
        <f>SUMIFS('сентябрь 2025'!$G$2:$G$2497,'сентябрь 2025'!$D$2:$D$2497,$B132,'сентябрь 2025'!$J$2:$J$2497,M$1)</f>
        <v>0</v>
      </c>
      <c r="N132" s="183">
        <f>SUMIFS('сентябрь 2025'!$G$2:$G$2497,'сентябрь 2025'!$D$2:$D$2497,$B132,'сентябрь 2025'!$J$2:$J$2497,N$1)</f>
        <v>0</v>
      </c>
      <c r="O132" s="183">
        <f>SUMIFS('сентябрь 2025'!$G$2:$G$2497,'сентябрь 2025'!$D$2:$D$2497,$B132,'сентябрь 2025'!$J$2:$J$2497,O$1)</f>
        <v>0</v>
      </c>
      <c r="P132" s="183">
        <f>SUMIFS('сентябрь 2025'!$G$2:$G$2497,'сентябрь 2025'!$D$2:$D$2497,$B132,'сентябрь 2025'!$J$2:$J$2497,P$1)</f>
        <v>0</v>
      </c>
      <c r="Q132" s="183">
        <f>SUMIFS('сентябрь 2025'!$G$2:$G$2497,'сентябрь 2025'!$D$2:$D$2497,$B132,'сентябрь 2025'!$J$2:$J$2497,Q$1)</f>
        <v>0</v>
      </c>
      <c r="R132" s="183">
        <f>SUMIFS('сентябрь 2025'!$G$2:$G$2497,'сентябрь 2025'!$D$2:$D$2497,$B132,'сентябрь 2025'!$J$2:$J$2497,R$1)</f>
        <v>0</v>
      </c>
      <c r="S132" s="183">
        <f>SUMIFS('сентябрь 2025'!$G$2:$G$2497,'сентябрь 2025'!$D$2:$D$2497,$B132,'сентябрь 2025'!$J$2:$J$2497,S$1)</f>
        <v>0</v>
      </c>
      <c r="T132" s="183">
        <f>SUMIFS('сентябрь 2025'!$G$2:$G$2497,'сентябрь 2025'!$D$2:$D$2497,$B132,'сентябрь 2025'!$J$2:$J$2497,T$1)</f>
        <v>0</v>
      </c>
      <c r="U132" s="183">
        <f>SUMIFS('сентябрь 2025'!$G$2:$G$2497,'сентябрь 2025'!$D$2:$D$2497,$B132,'сентябрь 2025'!$J$2:$J$2497,U$1)</f>
        <v>0</v>
      </c>
      <c r="V132" s="183">
        <f>SUMIFS('сентябрь 2025'!$G$2:$G$2497,'сентябрь 2025'!$D$2:$D$2497,$B132,'сентябрь 2025'!$J$2:$J$2497,V$1)</f>
        <v>0</v>
      </c>
      <c r="W132" s="183">
        <f>SUMIFS('сентябрь 2025'!$G$2:$G$2497,'сентябрь 2025'!$D$2:$D$2497,$B132,'сентябрь 2025'!$J$2:$J$2497,W$1)</f>
        <v>0</v>
      </c>
      <c r="X132" s="183">
        <f>SUMIFS('сентябрь 2025'!$G$2:$G$2497,'сентябрь 2025'!$D$2:$D$2497,$B132,'сентябрь 2025'!$J$2:$J$2497,X$1)</f>
        <v>0</v>
      </c>
      <c r="Y132" s="183">
        <f>SUMIFS('сентябрь 2025'!$G$2:$G$2497,'сентябрь 2025'!$D$2:$D$2497,$B132,'сентябрь 2025'!$J$2:$J$2497,Y$1)</f>
        <v>0</v>
      </c>
      <c r="Z132" s="183">
        <f>SUMIFS('сентябрь 2025'!$G$2:$G$2497,'сентябрь 2025'!$D$2:$D$2497,$B132,'сентябрь 2025'!$J$2:$J$2497,Z$1)</f>
        <v>0</v>
      </c>
      <c r="AA132" s="183">
        <f>SUMIFS('сентябрь 2025'!$G$2:$G$2497,'сентябрь 2025'!$D$2:$D$2497,$B132,'сентябрь 2025'!$J$2:$J$2497,AA$1)</f>
        <v>0</v>
      </c>
      <c r="AB132" s="183">
        <f>SUMIFS('сентябрь 2025'!$G$2:$G$2497,'сентябрь 2025'!$D$2:$D$2497,$B132,'сентябрь 2025'!$J$2:$J$2497,AB$1)</f>
        <v>0</v>
      </c>
      <c r="AC132" s="183">
        <f>SUMIFS('сентябрь 2025'!$G$2:$G$2497,'сентябрь 2025'!$D$2:$D$2497,$B132,'сентябрь 2025'!$J$2:$J$2497,AC$1)</f>
        <v>0</v>
      </c>
      <c r="AD132" s="183">
        <f>SUMIFS('сентябрь 2025'!$G$2:$G$2497,'сентябрь 2025'!$D$2:$D$2497,$B132,'сентябрь 2025'!$J$2:$J$2497,AD$1)</f>
        <v>0</v>
      </c>
      <c r="AE132" s="183">
        <f>SUMIFS('сентябрь 2025'!$G$2:$G$2497,'сентябрь 2025'!$D$2:$D$2497,$B132,'сентябрь 2025'!$J$2:$J$2497,AE$1)</f>
        <v>0</v>
      </c>
      <c r="AF132" s="183">
        <f>SUMIFS('сентябрь 2025'!$G$2:$G$2497,'сентябрь 2025'!$D$2:$D$2497,$B132,'сентябрь 2025'!$J$2:$J$2497,AF$1)</f>
        <v>0</v>
      </c>
      <c r="AG132" s="183">
        <f>SUMIFS('сентябрь 2025'!$G$2:$G$2497,'сентябрь 2025'!$D$2:$D$2497,$B132,'сентябрь 2025'!$J$2:$J$2497,AG$1)</f>
        <v>0</v>
      </c>
      <c r="AH132" s="183">
        <f>SUMIFS('сентябрь 2025'!$G$2:$G$2497,'сентябрь 2025'!$D$2:$D$2497,$B132,'сентябрь 2025'!$J$2:$J$2497,AH$1)</f>
        <v>0</v>
      </c>
      <c r="AI132" s="20">
        <f t="shared" si="1"/>
        <v>0</v>
      </c>
    </row>
    <row r="133" spans="2:35" ht="15" customHeight="1" x14ac:dyDescent="0.25">
      <c r="B133" s="88" t="s">
        <v>266</v>
      </c>
      <c r="C133" s="86">
        <v>180</v>
      </c>
      <c r="D133" s="183">
        <f>SUMIFS('сентябрь 2025'!$G$2:$G$2497,'сентябрь 2025'!$D$2:$D$2497,$B133,'сентябрь 2025'!$J$2:$J$2497,D$1)</f>
        <v>0</v>
      </c>
      <c r="E133" s="183">
        <f>SUMIFS('сентябрь 2025'!$G$2:$G$2497,'сентябрь 2025'!$D$2:$D$2497,$B133,'сентябрь 2025'!$J$2:$J$2497,E$1)</f>
        <v>0</v>
      </c>
      <c r="F133" s="183">
        <f>SUMIFS('сентябрь 2025'!$G$2:$G$2497,'сентябрь 2025'!$D$2:$D$2497,$B133,'сентябрь 2025'!$J$2:$J$2497,F$1)</f>
        <v>0</v>
      </c>
      <c r="G133" s="183">
        <f>SUMIFS('сентябрь 2025'!$G$2:$G$2497,'сентябрь 2025'!$D$2:$D$2497,$B133,'сентябрь 2025'!$J$2:$J$2497,G$1)</f>
        <v>0</v>
      </c>
      <c r="H133" s="183">
        <f>SUMIFS('сентябрь 2025'!$G$2:$G$2497,'сентябрь 2025'!$D$2:$D$2497,$B133,'сентябрь 2025'!$J$2:$J$2497,H$1)</f>
        <v>0</v>
      </c>
      <c r="I133" s="183">
        <f>SUMIFS('сентябрь 2025'!$G$2:$G$2497,'сентябрь 2025'!$D$2:$D$2497,$B133,'сентябрь 2025'!$J$2:$J$2497,I$1)</f>
        <v>0</v>
      </c>
      <c r="J133" s="183">
        <f>SUMIFS('сентябрь 2025'!$G$2:$G$2497,'сентябрь 2025'!$D$2:$D$2497,$B133,'сентябрь 2025'!$J$2:$J$2497,J$1)</f>
        <v>0</v>
      </c>
      <c r="K133" s="183">
        <f>SUMIFS('сентябрь 2025'!$G$2:$G$2497,'сентябрь 2025'!$D$2:$D$2497,$B133,'сентябрь 2025'!$J$2:$J$2497,K$1)</f>
        <v>0</v>
      </c>
      <c r="L133" s="183">
        <f>SUMIFS('сентябрь 2025'!$G$2:$G$2497,'сентябрь 2025'!$D$2:$D$2497,$B133,'сентябрь 2025'!$J$2:$J$2497,L$1)</f>
        <v>0</v>
      </c>
      <c r="M133" s="183">
        <f>SUMIFS('сентябрь 2025'!$G$2:$G$2497,'сентябрь 2025'!$D$2:$D$2497,$B133,'сентябрь 2025'!$J$2:$J$2497,M$1)</f>
        <v>0</v>
      </c>
      <c r="N133" s="183">
        <f>SUMIFS('сентябрь 2025'!$G$2:$G$2497,'сентябрь 2025'!$D$2:$D$2497,$B133,'сентябрь 2025'!$J$2:$J$2497,N$1)</f>
        <v>0</v>
      </c>
      <c r="O133" s="183">
        <f>SUMIFS('сентябрь 2025'!$G$2:$G$2497,'сентябрь 2025'!$D$2:$D$2497,$B133,'сентябрь 2025'!$J$2:$J$2497,O$1)</f>
        <v>0</v>
      </c>
      <c r="P133" s="183">
        <f>SUMIFS('сентябрь 2025'!$G$2:$G$2497,'сентябрь 2025'!$D$2:$D$2497,$B133,'сентябрь 2025'!$J$2:$J$2497,P$1)</f>
        <v>0</v>
      </c>
      <c r="Q133" s="183">
        <f>SUMIFS('сентябрь 2025'!$G$2:$G$2497,'сентябрь 2025'!$D$2:$D$2497,$B133,'сентябрь 2025'!$J$2:$J$2497,Q$1)</f>
        <v>0</v>
      </c>
      <c r="R133" s="183">
        <f>SUMIFS('сентябрь 2025'!$G$2:$G$2497,'сентябрь 2025'!$D$2:$D$2497,$B133,'сентябрь 2025'!$J$2:$J$2497,R$1)</f>
        <v>0</v>
      </c>
      <c r="S133" s="183">
        <f>SUMIFS('сентябрь 2025'!$G$2:$G$2497,'сентябрь 2025'!$D$2:$D$2497,$B133,'сентябрь 2025'!$J$2:$J$2497,S$1)</f>
        <v>0</v>
      </c>
      <c r="T133" s="183">
        <f>SUMIFS('сентябрь 2025'!$G$2:$G$2497,'сентябрь 2025'!$D$2:$D$2497,$B133,'сентябрь 2025'!$J$2:$J$2497,T$1)</f>
        <v>0</v>
      </c>
      <c r="U133" s="183">
        <f>SUMIFS('сентябрь 2025'!$G$2:$G$2497,'сентябрь 2025'!$D$2:$D$2497,$B133,'сентябрь 2025'!$J$2:$J$2497,U$1)</f>
        <v>0</v>
      </c>
      <c r="V133" s="183">
        <f>SUMIFS('сентябрь 2025'!$G$2:$G$2497,'сентябрь 2025'!$D$2:$D$2497,$B133,'сентябрь 2025'!$J$2:$J$2497,V$1)</f>
        <v>0</v>
      </c>
      <c r="W133" s="183">
        <f>SUMIFS('сентябрь 2025'!$G$2:$G$2497,'сентябрь 2025'!$D$2:$D$2497,$B133,'сентябрь 2025'!$J$2:$J$2497,W$1)</f>
        <v>0</v>
      </c>
      <c r="X133" s="183">
        <f>SUMIFS('сентябрь 2025'!$G$2:$G$2497,'сентябрь 2025'!$D$2:$D$2497,$B133,'сентябрь 2025'!$J$2:$J$2497,X$1)</f>
        <v>0</v>
      </c>
      <c r="Y133" s="183">
        <f>SUMIFS('сентябрь 2025'!$G$2:$G$2497,'сентябрь 2025'!$D$2:$D$2497,$B133,'сентябрь 2025'!$J$2:$J$2497,Y$1)</f>
        <v>0</v>
      </c>
      <c r="Z133" s="183">
        <f>SUMIFS('сентябрь 2025'!$G$2:$G$2497,'сентябрь 2025'!$D$2:$D$2497,$B133,'сентябрь 2025'!$J$2:$J$2497,Z$1)</f>
        <v>0</v>
      </c>
      <c r="AA133" s="183">
        <f>SUMIFS('сентябрь 2025'!$G$2:$G$2497,'сентябрь 2025'!$D$2:$D$2497,$B133,'сентябрь 2025'!$J$2:$J$2497,AA$1)</f>
        <v>0</v>
      </c>
      <c r="AB133" s="183">
        <f>SUMIFS('сентябрь 2025'!$G$2:$G$2497,'сентябрь 2025'!$D$2:$D$2497,$B133,'сентябрь 2025'!$J$2:$J$2497,AB$1)</f>
        <v>0</v>
      </c>
      <c r="AC133" s="183">
        <f>SUMIFS('сентябрь 2025'!$G$2:$G$2497,'сентябрь 2025'!$D$2:$D$2497,$B133,'сентябрь 2025'!$J$2:$J$2497,AC$1)</f>
        <v>0</v>
      </c>
      <c r="AD133" s="183">
        <f>SUMIFS('сентябрь 2025'!$G$2:$G$2497,'сентябрь 2025'!$D$2:$D$2497,$B133,'сентябрь 2025'!$J$2:$J$2497,AD$1)</f>
        <v>0</v>
      </c>
      <c r="AE133" s="183">
        <f>SUMIFS('сентябрь 2025'!$G$2:$G$2497,'сентябрь 2025'!$D$2:$D$2497,$B133,'сентябрь 2025'!$J$2:$J$2497,AE$1)</f>
        <v>0</v>
      </c>
      <c r="AF133" s="183">
        <f>SUMIFS('сентябрь 2025'!$G$2:$G$2497,'сентябрь 2025'!$D$2:$D$2497,$B133,'сентябрь 2025'!$J$2:$J$2497,AF$1)</f>
        <v>0</v>
      </c>
      <c r="AG133" s="183">
        <f>SUMIFS('сентябрь 2025'!$G$2:$G$2497,'сентябрь 2025'!$D$2:$D$2497,$B133,'сентябрь 2025'!$J$2:$J$2497,AG$1)</f>
        <v>0</v>
      </c>
      <c r="AH133" s="183">
        <f>SUMIFS('сентябрь 2025'!$G$2:$G$2497,'сентябрь 2025'!$D$2:$D$2497,$B133,'сентябрь 2025'!$J$2:$J$2497,AH$1)</f>
        <v>0</v>
      </c>
      <c r="AI133" s="20">
        <f t="shared" si="1"/>
        <v>0</v>
      </c>
    </row>
    <row r="134" spans="2:35" ht="15" customHeight="1" x14ac:dyDescent="0.25">
      <c r="B134" s="88" t="s">
        <v>267</v>
      </c>
      <c r="C134" s="86">
        <v>200</v>
      </c>
      <c r="D134" s="183">
        <f>SUMIFS('сентябрь 2025'!$G$2:$G$2497,'сентябрь 2025'!$D$2:$D$2497,$B134,'сентябрь 2025'!$J$2:$J$2497,D$1)</f>
        <v>88</v>
      </c>
      <c r="E134" s="183">
        <f>SUMIFS('сентябрь 2025'!$G$2:$G$2497,'сентябрь 2025'!$D$2:$D$2497,$B134,'сентябрь 2025'!$J$2:$J$2497,E$1)</f>
        <v>88</v>
      </c>
      <c r="F134" s="183">
        <f>SUMIFS('сентябрь 2025'!$G$2:$G$2497,'сентябрь 2025'!$D$2:$D$2497,$B134,'сентябрь 2025'!$J$2:$J$2497,F$1)</f>
        <v>0</v>
      </c>
      <c r="G134" s="183">
        <f>SUMIFS('сентябрь 2025'!$G$2:$G$2497,'сентябрь 2025'!$D$2:$D$2497,$B134,'сентябрь 2025'!$J$2:$J$2497,G$1)</f>
        <v>0</v>
      </c>
      <c r="H134" s="183">
        <f>SUMIFS('сентябрь 2025'!$G$2:$G$2497,'сентябрь 2025'!$D$2:$D$2497,$B134,'сентябрь 2025'!$J$2:$J$2497,H$1)</f>
        <v>0</v>
      </c>
      <c r="I134" s="183">
        <f>SUMIFS('сентябрь 2025'!$G$2:$G$2497,'сентябрь 2025'!$D$2:$D$2497,$B134,'сентябрь 2025'!$J$2:$J$2497,I$1)</f>
        <v>0</v>
      </c>
      <c r="J134" s="183">
        <f>SUMIFS('сентябрь 2025'!$G$2:$G$2497,'сентябрь 2025'!$D$2:$D$2497,$B134,'сентябрь 2025'!$J$2:$J$2497,J$1)</f>
        <v>0</v>
      </c>
      <c r="K134" s="183">
        <f>SUMIFS('сентябрь 2025'!$G$2:$G$2497,'сентябрь 2025'!$D$2:$D$2497,$B134,'сентябрь 2025'!$J$2:$J$2497,K$1)</f>
        <v>0</v>
      </c>
      <c r="L134" s="183">
        <f>SUMIFS('сентябрь 2025'!$G$2:$G$2497,'сентябрь 2025'!$D$2:$D$2497,$B134,'сентябрь 2025'!$J$2:$J$2497,L$1)</f>
        <v>0</v>
      </c>
      <c r="M134" s="183">
        <f>SUMIFS('сентябрь 2025'!$G$2:$G$2497,'сентябрь 2025'!$D$2:$D$2497,$B134,'сентябрь 2025'!$J$2:$J$2497,M$1)</f>
        <v>0</v>
      </c>
      <c r="N134" s="183">
        <f>SUMIFS('сентябрь 2025'!$G$2:$G$2497,'сентябрь 2025'!$D$2:$D$2497,$B134,'сентябрь 2025'!$J$2:$J$2497,N$1)</f>
        <v>0</v>
      </c>
      <c r="O134" s="183">
        <f>SUMIFS('сентябрь 2025'!$G$2:$G$2497,'сентябрь 2025'!$D$2:$D$2497,$B134,'сентябрь 2025'!$J$2:$J$2497,O$1)</f>
        <v>0</v>
      </c>
      <c r="P134" s="183">
        <f>SUMIFS('сентябрь 2025'!$G$2:$G$2497,'сентябрь 2025'!$D$2:$D$2497,$B134,'сентябрь 2025'!$J$2:$J$2497,P$1)</f>
        <v>0</v>
      </c>
      <c r="Q134" s="183">
        <f>SUMIFS('сентябрь 2025'!$G$2:$G$2497,'сентябрь 2025'!$D$2:$D$2497,$B134,'сентябрь 2025'!$J$2:$J$2497,Q$1)</f>
        <v>0</v>
      </c>
      <c r="R134" s="183">
        <f>SUMIFS('сентябрь 2025'!$G$2:$G$2497,'сентябрь 2025'!$D$2:$D$2497,$B134,'сентябрь 2025'!$J$2:$J$2497,R$1)</f>
        <v>0</v>
      </c>
      <c r="S134" s="183">
        <f>SUMIFS('сентябрь 2025'!$G$2:$G$2497,'сентябрь 2025'!$D$2:$D$2497,$B134,'сентябрь 2025'!$J$2:$J$2497,S$1)</f>
        <v>0</v>
      </c>
      <c r="T134" s="183">
        <f>SUMIFS('сентябрь 2025'!$G$2:$G$2497,'сентябрь 2025'!$D$2:$D$2497,$B134,'сентябрь 2025'!$J$2:$J$2497,T$1)</f>
        <v>0</v>
      </c>
      <c r="U134" s="183">
        <f>SUMIFS('сентябрь 2025'!$G$2:$G$2497,'сентябрь 2025'!$D$2:$D$2497,$B134,'сентябрь 2025'!$J$2:$J$2497,U$1)</f>
        <v>0</v>
      </c>
      <c r="V134" s="183">
        <f>SUMIFS('сентябрь 2025'!$G$2:$G$2497,'сентябрь 2025'!$D$2:$D$2497,$B134,'сентябрь 2025'!$J$2:$J$2497,V$1)</f>
        <v>0</v>
      </c>
      <c r="W134" s="183">
        <f>SUMIFS('сентябрь 2025'!$G$2:$G$2497,'сентябрь 2025'!$D$2:$D$2497,$B134,'сентябрь 2025'!$J$2:$J$2497,W$1)</f>
        <v>0</v>
      </c>
      <c r="X134" s="183">
        <f>SUMIFS('сентябрь 2025'!$G$2:$G$2497,'сентябрь 2025'!$D$2:$D$2497,$B134,'сентябрь 2025'!$J$2:$J$2497,X$1)</f>
        <v>0</v>
      </c>
      <c r="Y134" s="183">
        <f>SUMIFS('сентябрь 2025'!$G$2:$G$2497,'сентябрь 2025'!$D$2:$D$2497,$B134,'сентябрь 2025'!$J$2:$J$2497,Y$1)</f>
        <v>0</v>
      </c>
      <c r="Z134" s="183">
        <f>SUMIFS('сентябрь 2025'!$G$2:$G$2497,'сентябрь 2025'!$D$2:$D$2497,$B134,'сентябрь 2025'!$J$2:$J$2497,Z$1)</f>
        <v>0</v>
      </c>
      <c r="AA134" s="183">
        <f>SUMIFS('сентябрь 2025'!$G$2:$G$2497,'сентябрь 2025'!$D$2:$D$2497,$B134,'сентябрь 2025'!$J$2:$J$2497,AA$1)</f>
        <v>0</v>
      </c>
      <c r="AB134" s="183">
        <f>SUMIFS('сентябрь 2025'!$G$2:$G$2497,'сентябрь 2025'!$D$2:$D$2497,$B134,'сентябрь 2025'!$J$2:$J$2497,AB$1)</f>
        <v>0</v>
      </c>
      <c r="AC134" s="183">
        <f>SUMIFS('сентябрь 2025'!$G$2:$G$2497,'сентябрь 2025'!$D$2:$D$2497,$B134,'сентябрь 2025'!$J$2:$J$2497,AC$1)</f>
        <v>88</v>
      </c>
      <c r="AD134" s="183">
        <f>SUMIFS('сентябрь 2025'!$G$2:$G$2497,'сентябрь 2025'!$D$2:$D$2497,$B134,'сентябрь 2025'!$J$2:$J$2497,AD$1)</f>
        <v>0</v>
      </c>
      <c r="AE134" s="183">
        <f>SUMIFS('сентябрь 2025'!$G$2:$G$2497,'сентябрь 2025'!$D$2:$D$2497,$B134,'сентябрь 2025'!$J$2:$J$2497,AE$1)</f>
        <v>0</v>
      </c>
      <c r="AF134" s="183">
        <f>SUMIFS('сентябрь 2025'!$G$2:$G$2497,'сентябрь 2025'!$D$2:$D$2497,$B134,'сентябрь 2025'!$J$2:$J$2497,AF$1)</f>
        <v>0</v>
      </c>
      <c r="AG134" s="183">
        <f>SUMIFS('сентябрь 2025'!$G$2:$G$2497,'сентябрь 2025'!$D$2:$D$2497,$B134,'сентябрь 2025'!$J$2:$J$2497,AG$1)</f>
        <v>0</v>
      </c>
      <c r="AH134" s="183">
        <f>SUMIFS('сентябрь 2025'!$G$2:$G$2497,'сентябрь 2025'!$D$2:$D$2497,$B134,'сентябрь 2025'!$J$2:$J$2497,AH$1)</f>
        <v>0</v>
      </c>
      <c r="AI134" s="20">
        <f t="shared" si="1"/>
        <v>264</v>
      </c>
    </row>
    <row r="135" spans="2:35" ht="15" customHeight="1" x14ac:dyDescent="0.25">
      <c r="B135" s="84" t="s">
        <v>163</v>
      </c>
      <c r="C135" s="83">
        <v>950</v>
      </c>
      <c r="D135" s="183">
        <f>SUMIFS('сентябрь 2025'!$G$2:$G$2497,'сентябрь 2025'!$D$2:$D$2497,$B135,'сентябрь 2025'!$J$2:$J$2497,D$1)</f>
        <v>0</v>
      </c>
      <c r="E135" s="183">
        <f>SUMIFS('сентябрь 2025'!$G$2:$G$2497,'сентябрь 2025'!$D$2:$D$2497,$B135,'сентябрь 2025'!$J$2:$J$2497,E$1)</f>
        <v>0</v>
      </c>
      <c r="F135" s="183">
        <f>SUMIFS('сентябрь 2025'!$G$2:$G$2497,'сентябрь 2025'!$D$2:$D$2497,$B135,'сентябрь 2025'!$J$2:$J$2497,F$1)</f>
        <v>0</v>
      </c>
      <c r="G135" s="183">
        <f>SUMIFS('сентябрь 2025'!$G$2:$G$2497,'сентябрь 2025'!$D$2:$D$2497,$B135,'сентябрь 2025'!$J$2:$J$2497,G$1)</f>
        <v>0</v>
      </c>
      <c r="H135" s="183">
        <f>SUMIFS('сентябрь 2025'!$G$2:$G$2497,'сентябрь 2025'!$D$2:$D$2497,$B135,'сентябрь 2025'!$J$2:$J$2497,H$1)</f>
        <v>0</v>
      </c>
      <c r="I135" s="183">
        <f>SUMIFS('сентябрь 2025'!$G$2:$G$2497,'сентябрь 2025'!$D$2:$D$2497,$B135,'сентябрь 2025'!$J$2:$J$2497,I$1)</f>
        <v>0</v>
      </c>
      <c r="J135" s="183">
        <f>SUMIFS('сентябрь 2025'!$G$2:$G$2497,'сентябрь 2025'!$D$2:$D$2497,$B135,'сентябрь 2025'!$J$2:$J$2497,J$1)</f>
        <v>0</v>
      </c>
      <c r="K135" s="183">
        <f>SUMIFS('сентябрь 2025'!$G$2:$G$2497,'сентябрь 2025'!$D$2:$D$2497,$B135,'сентябрь 2025'!$J$2:$J$2497,K$1)</f>
        <v>0</v>
      </c>
      <c r="L135" s="183">
        <f>SUMIFS('сентябрь 2025'!$G$2:$G$2497,'сентябрь 2025'!$D$2:$D$2497,$B135,'сентябрь 2025'!$J$2:$J$2497,L$1)</f>
        <v>0</v>
      </c>
      <c r="M135" s="183">
        <f>SUMIFS('сентябрь 2025'!$G$2:$G$2497,'сентябрь 2025'!$D$2:$D$2497,$B135,'сентябрь 2025'!$J$2:$J$2497,M$1)</f>
        <v>0</v>
      </c>
      <c r="N135" s="183">
        <f>SUMIFS('сентябрь 2025'!$G$2:$G$2497,'сентябрь 2025'!$D$2:$D$2497,$B135,'сентябрь 2025'!$J$2:$J$2497,N$1)</f>
        <v>0</v>
      </c>
      <c r="O135" s="183">
        <f>SUMIFS('сентябрь 2025'!$G$2:$G$2497,'сентябрь 2025'!$D$2:$D$2497,$B135,'сентябрь 2025'!$J$2:$J$2497,O$1)</f>
        <v>0</v>
      </c>
      <c r="P135" s="183">
        <f>SUMIFS('сентябрь 2025'!$G$2:$G$2497,'сентябрь 2025'!$D$2:$D$2497,$B135,'сентябрь 2025'!$J$2:$J$2497,P$1)</f>
        <v>0</v>
      </c>
      <c r="Q135" s="183">
        <f>SUMIFS('сентябрь 2025'!$G$2:$G$2497,'сентябрь 2025'!$D$2:$D$2497,$B135,'сентябрь 2025'!$J$2:$J$2497,Q$1)</f>
        <v>0</v>
      </c>
      <c r="R135" s="183">
        <f>SUMIFS('сентябрь 2025'!$G$2:$G$2497,'сентябрь 2025'!$D$2:$D$2497,$B135,'сентябрь 2025'!$J$2:$J$2497,R$1)</f>
        <v>0</v>
      </c>
      <c r="S135" s="183">
        <f>SUMIFS('сентябрь 2025'!$G$2:$G$2497,'сентябрь 2025'!$D$2:$D$2497,$B135,'сентябрь 2025'!$J$2:$J$2497,S$1)</f>
        <v>0</v>
      </c>
      <c r="T135" s="183">
        <f>SUMIFS('сентябрь 2025'!$G$2:$G$2497,'сентябрь 2025'!$D$2:$D$2497,$B135,'сентябрь 2025'!$J$2:$J$2497,T$1)</f>
        <v>0</v>
      </c>
      <c r="U135" s="183">
        <f>SUMIFS('сентябрь 2025'!$G$2:$G$2497,'сентябрь 2025'!$D$2:$D$2497,$B135,'сентябрь 2025'!$J$2:$J$2497,U$1)</f>
        <v>0</v>
      </c>
      <c r="V135" s="183">
        <f>SUMIFS('сентябрь 2025'!$G$2:$G$2497,'сентябрь 2025'!$D$2:$D$2497,$B135,'сентябрь 2025'!$J$2:$J$2497,V$1)</f>
        <v>0</v>
      </c>
      <c r="W135" s="183">
        <f>SUMIFS('сентябрь 2025'!$G$2:$G$2497,'сентябрь 2025'!$D$2:$D$2497,$B135,'сентябрь 2025'!$J$2:$J$2497,W$1)</f>
        <v>0</v>
      </c>
      <c r="X135" s="183">
        <f>SUMIFS('сентябрь 2025'!$G$2:$G$2497,'сентябрь 2025'!$D$2:$D$2497,$B135,'сентябрь 2025'!$J$2:$J$2497,X$1)</f>
        <v>0</v>
      </c>
      <c r="Y135" s="183">
        <f>SUMIFS('сентябрь 2025'!$G$2:$G$2497,'сентябрь 2025'!$D$2:$D$2497,$B135,'сентябрь 2025'!$J$2:$J$2497,Y$1)</f>
        <v>0</v>
      </c>
      <c r="Z135" s="183">
        <f>SUMIFS('сентябрь 2025'!$G$2:$G$2497,'сентябрь 2025'!$D$2:$D$2497,$B135,'сентябрь 2025'!$J$2:$J$2497,Z$1)</f>
        <v>0</v>
      </c>
      <c r="AA135" s="183">
        <f>SUMIFS('сентябрь 2025'!$G$2:$G$2497,'сентябрь 2025'!$D$2:$D$2497,$B135,'сентябрь 2025'!$J$2:$J$2497,AA$1)</f>
        <v>0</v>
      </c>
      <c r="AB135" s="183">
        <f>SUMIFS('сентябрь 2025'!$G$2:$G$2497,'сентябрь 2025'!$D$2:$D$2497,$B135,'сентябрь 2025'!$J$2:$J$2497,AB$1)</f>
        <v>0</v>
      </c>
      <c r="AC135" s="183">
        <f>SUMIFS('сентябрь 2025'!$G$2:$G$2497,'сентябрь 2025'!$D$2:$D$2497,$B135,'сентябрь 2025'!$J$2:$J$2497,AC$1)</f>
        <v>0</v>
      </c>
      <c r="AD135" s="183">
        <f>SUMIFS('сентябрь 2025'!$G$2:$G$2497,'сентябрь 2025'!$D$2:$D$2497,$B135,'сентябрь 2025'!$J$2:$J$2497,AD$1)</f>
        <v>0</v>
      </c>
      <c r="AE135" s="183">
        <f>SUMIFS('сентябрь 2025'!$G$2:$G$2497,'сентябрь 2025'!$D$2:$D$2497,$B135,'сентябрь 2025'!$J$2:$J$2497,AE$1)</f>
        <v>0</v>
      </c>
      <c r="AF135" s="183">
        <f>SUMIFS('сентябрь 2025'!$G$2:$G$2497,'сентябрь 2025'!$D$2:$D$2497,$B135,'сентябрь 2025'!$J$2:$J$2497,AF$1)</f>
        <v>0</v>
      </c>
      <c r="AG135" s="183">
        <f>SUMIFS('сентябрь 2025'!$G$2:$G$2497,'сентябрь 2025'!$D$2:$D$2497,$B135,'сентябрь 2025'!$J$2:$J$2497,AG$1)</f>
        <v>0</v>
      </c>
      <c r="AH135" s="183">
        <f>SUMIFS('сентябрь 2025'!$G$2:$G$2497,'сентябрь 2025'!$D$2:$D$2497,$B135,'сентябрь 2025'!$J$2:$J$2497,AH$1)</f>
        <v>0</v>
      </c>
      <c r="AI135" s="20">
        <f t="shared" si="1"/>
        <v>0</v>
      </c>
    </row>
    <row r="136" spans="2:35" ht="15" customHeight="1" x14ac:dyDescent="0.25">
      <c r="B136" s="84" t="s">
        <v>183</v>
      </c>
      <c r="C136" s="83">
        <v>180</v>
      </c>
      <c r="D136" s="183">
        <f>SUMIFS('сентябрь 2025'!$G$2:$G$2497,'сентябрь 2025'!$D$2:$D$2497,$B136,'сентябрь 2025'!$J$2:$J$2497,D$1)</f>
        <v>0</v>
      </c>
      <c r="E136" s="183">
        <f>SUMIFS('сентябрь 2025'!$G$2:$G$2497,'сентябрь 2025'!$D$2:$D$2497,$B136,'сентябрь 2025'!$J$2:$J$2497,E$1)</f>
        <v>0</v>
      </c>
      <c r="F136" s="183">
        <f>SUMIFS('сентябрь 2025'!$G$2:$G$2497,'сентябрь 2025'!$D$2:$D$2497,$B136,'сентябрь 2025'!$J$2:$J$2497,F$1)</f>
        <v>0</v>
      </c>
      <c r="G136" s="183">
        <f>SUMIFS('сентябрь 2025'!$G$2:$G$2497,'сентябрь 2025'!$D$2:$D$2497,$B136,'сентябрь 2025'!$J$2:$J$2497,G$1)</f>
        <v>0</v>
      </c>
      <c r="H136" s="183">
        <f>SUMIFS('сентябрь 2025'!$G$2:$G$2497,'сентябрь 2025'!$D$2:$D$2497,$B136,'сентябрь 2025'!$J$2:$J$2497,H$1)</f>
        <v>0</v>
      </c>
      <c r="I136" s="183">
        <f>SUMIFS('сентябрь 2025'!$G$2:$G$2497,'сентябрь 2025'!$D$2:$D$2497,$B136,'сентябрь 2025'!$J$2:$J$2497,I$1)</f>
        <v>0</v>
      </c>
      <c r="J136" s="183">
        <f>SUMIFS('сентябрь 2025'!$G$2:$G$2497,'сентябрь 2025'!$D$2:$D$2497,$B136,'сентябрь 2025'!$J$2:$J$2497,J$1)</f>
        <v>0</v>
      </c>
      <c r="K136" s="183">
        <f>SUMIFS('сентябрь 2025'!$G$2:$G$2497,'сентябрь 2025'!$D$2:$D$2497,$B136,'сентябрь 2025'!$J$2:$J$2497,K$1)</f>
        <v>0</v>
      </c>
      <c r="L136" s="183">
        <f>SUMIFS('сентябрь 2025'!$G$2:$G$2497,'сентябрь 2025'!$D$2:$D$2497,$B136,'сентябрь 2025'!$J$2:$J$2497,L$1)</f>
        <v>0</v>
      </c>
      <c r="M136" s="183">
        <f>SUMIFS('сентябрь 2025'!$G$2:$G$2497,'сентябрь 2025'!$D$2:$D$2497,$B136,'сентябрь 2025'!$J$2:$J$2497,M$1)</f>
        <v>0</v>
      </c>
      <c r="N136" s="183">
        <f>SUMIFS('сентябрь 2025'!$G$2:$G$2497,'сентябрь 2025'!$D$2:$D$2497,$B136,'сентябрь 2025'!$J$2:$J$2497,N$1)</f>
        <v>0</v>
      </c>
      <c r="O136" s="183">
        <f>SUMIFS('сентябрь 2025'!$G$2:$G$2497,'сентябрь 2025'!$D$2:$D$2497,$B136,'сентябрь 2025'!$J$2:$J$2497,O$1)</f>
        <v>0</v>
      </c>
      <c r="P136" s="183">
        <f>SUMIFS('сентябрь 2025'!$G$2:$G$2497,'сентябрь 2025'!$D$2:$D$2497,$B136,'сентябрь 2025'!$J$2:$J$2497,P$1)</f>
        <v>0</v>
      </c>
      <c r="Q136" s="183">
        <f>SUMIFS('сентябрь 2025'!$G$2:$G$2497,'сентябрь 2025'!$D$2:$D$2497,$B136,'сентябрь 2025'!$J$2:$J$2497,Q$1)</f>
        <v>0</v>
      </c>
      <c r="R136" s="183">
        <f>SUMIFS('сентябрь 2025'!$G$2:$G$2497,'сентябрь 2025'!$D$2:$D$2497,$B136,'сентябрь 2025'!$J$2:$J$2497,R$1)</f>
        <v>0</v>
      </c>
      <c r="S136" s="183">
        <f>SUMIFS('сентябрь 2025'!$G$2:$G$2497,'сентябрь 2025'!$D$2:$D$2497,$B136,'сентябрь 2025'!$J$2:$J$2497,S$1)</f>
        <v>0</v>
      </c>
      <c r="T136" s="183">
        <f>SUMIFS('сентябрь 2025'!$G$2:$G$2497,'сентябрь 2025'!$D$2:$D$2497,$B136,'сентябрь 2025'!$J$2:$J$2497,T$1)</f>
        <v>0</v>
      </c>
      <c r="U136" s="183">
        <f>SUMIFS('сентябрь 2025'!$G$2:$G$2497,'сентябрь 2025'!$D$2:$D$2497,$B136,'сентябрь 2025'!$J$2:$J$2497,U$1)</f>
        <v>0</v>
      </c>
      <c r="V136" s="183">
        <f>SUMIFS('сентябрь 2025'!$G$2:$G$2497,'сентябрь 2025'!$D$2:$D$2497,$B136,'сентябрь 2025'!$J$2:$J$2497,V$1)</f>
        <v>0</v>
      </c>
      <c r="W136" s="183">
        <f>SUMIFS('сентябрь 2025'!$G$2:$G$2497,'сентябрь 2025'!$D$2:$D$2497,$B136,'сентябрь 2025'!$J$2:$J$2497,W$1)</f>
        <v>0</v>
      </c>
      <c r="X136" s="183">
        <f>SUMIFS('сентябрь 2025'!$G$2:$G$2497,'сентябрь 2025'!$D$2:$D$2497,$B136,'сентябрь 2025'!$J$2:$J$2497,X$1)</f>
        <v>0</v>
      </c>
      <c r="Y136" s="183">
        <f>SUMIFS('сентябрь 2025'!$G$2:$G$2497,'сентябрь 2025'!$D$2:$D$2497,$B136,'сентябрь 2025'!$J$2:$J$2497,Y$1)</f>
        <v>0</v>
      </c>
      <c r="Z136" s="183">
        <f>SUMIFS('сентябрь 2025'!$G$2:$G$2497,'сентябрь 2025'!$D$2:$D$2497,$B136,'сентябрь 2025'!$J$2:$J$2497,Z$1)</f>
        <v>0</v>
      </c>
      <c r="AA136" s="183">
        <f>SUMIFS('сентябрь 2025'!$G$2:$G$2497,'сентябрь 2025'!$D$2:$D$2497,$B136,'сентябрь 2025'!$J$2:$J$2497,AA$1)</f>
        <v>0</v>
      </c>
      <c r="AB136" s="183">
        <f>SUMIFS('сентябрь 2025'!$G$2:$G$2497,'сентябрь 2025'!$D$2:$D$2497,$B136,'сентябрь 2025'!$J$2:$J$2497,AB$1)</f>
        <v>0</v>
      </c>
      <c r="AC136" s="183">
        <f>SUMIFS('сентябрь 2025'!$G$2:$G$2497,'сентябрь 2025'!$D$2:$D$2497,$B136,'сентябрь 2025'!$J$2:$J$2497,AC$1)</f>
        <v>0</v>
      </c>
      <c r="AD136" s="183">
        <f>SUMIFS('сентябрь 2025'!$G$2:$G$2497,'сентябрь 2025'!$D$2:$D$2497,$B136,'сентябрь 2025'!$J$2:$J$2497,AD$1)</f>
        <v>0</v>
      </c>
      <c r="AE136" s="183">
        <f>SUMIFS('сентябрь 2025'!$G$2:$G$2497,'сентябрь 2025'!$D$2:$D$2497,$B136,'сентябрь 2025'!$J$2:$J$2497,AE$1)</f>
        <v>0</v>
      </c>
      <c r="AF136" s="183">
        <f>SUMIFS('сентябрь 2025'!$G$2:$G$2497,'сентябрь 2025'!$D$2:$D$2497,$B136,'сентябрь 2025'!$J$2:$J$2497,AF$1)</f>
        <v>80</v>
      </c>
      <c r="AG136" s="183">
        <f>SUMIFS('сентябрь 2025'!$G$2:$G$2497,'сентябрь 2025'!$D$2:$D$2497,$B136,'сентябрь 2025'!$J$2:$J$2497,AG$1)</f>
        <v>0</v>
      </c>
      <c r="AH136" s="183">
        <f>SUMIFS('сентябрь 2025'!$G$2:$G$2497,'сентябрь 2025'!$D$2:$D$2497,$B136,'сентябрь 2025'!$J$2:$J$2497,AH$1)</f>
        <v>0</v>
      </c>
      <c r="AI136" s="20">
        <f t="shared" si="1"/>
        <v>80</v>
      </c>
    </row>
    <row r="137" spans="2:35" ht="15" customHeight="1" x14ac:dyDescent="0.25">
      <c r="B137" s="84" t="s">
        <v>305</v>
      </c>
      <c r="C137" s="83">
        <v>180</v>
      </c>
      <c r="D137" s="183">
        <f>SUMIFS('сентябрь 2025'!$G$2:$G$2497,'сентябрь 2025'!$D$2:$D$2497,$B137,'сентябрь 2025'!$J$2:$J$2497,D$1)</f>
        <v>0</v>
      </c>
      <c r="E137" s="183">
        <f>SUMIFS('сентябрь 2025'!$G$2:$G$2497,'сентябрь 2025'!$D$2:$D$2497,$B137,'сентябрь 2025'!$J$2:$J$2497,E$1)</f>
        <v>0</v>
      </c>
      <c r="F137" s="183">
        <f>SUMIFS('сентябрь 2025'!$G$2:$G$2497,'сентябрь 2025'!$D$2:$D$2497,$B137,'сентябрь 2025'!$J$2:$J$2497,F$1)</f>
        <v>0</v>
      </c>
      <c r="G137" s="183">
        <f>SUMIFS('сентябрь 2025'!$G$2:$G$2497,'сентябрь 2025'!$D$2:$D$2497,$B137,'сентябрь 2025'!$J$2:$J$2497,G$1)</f>
        <v>0</v>
      </c>
      <c r="H137" s="183">
        <f>SUMIFS('сентябрь 2025'!$G$2:$G$2497,'сентябрь 2025'!$D$2:$D$2497,$B137,'сентябрь 2025'!$J$2:$J$2497,H$1)</f>
        <v>0</v>
      </c>
      <c r="I137" s="183">
        <f>SUMIFS('сентябрь 2025'!$G$2:$G$2497,'сентябрь 2025'!$D$2:$D$2497,$B137,'сентябрь 2025'!$J$2:$J$2497,I$1)</f>
        <v>0</v>
      </c>
      <c r="J137" s="183">
        <f>SUMIFS('сентябрь 2025'!$G$2:$G$2497,'сентябрь 2025'!$D$2:$D$2497,$B137,'сентябрь 2025'!$J$2:$J$2497,J$1)</f>
        <v>0</v>
      </c>
      <c r="K137" s="183">
        <f>SUMIFS('сентябрь 2025'!$G$2:$G$2497,'сентябрь 2025'!$D$2:$D$2497,$B137,'сентябрь 2025'!$J$2:$J$2497,K$1)</f>
        <v>0</v>
      </c>
      <c r="L137" s="183">
        <f>SUMIFS('сентябрь 2025'!$G$2:$G$2497,'сентябрь 2025'!$D$2:$D$2497,$B137,'сентябрь 2025'!$J$2:$J$2497,L$1)</f>
        <v>0</v>
      </c>
      <c r="M137" s="183">
        <f>SUMIFS('сентябрь 2025'!$G$2:$G$2497,'сентябрь 2025'!$D$2:$D$2497,$B137,'сентябрь 2025'!$J$2:$J$2497,M$1)</f>
        <v>0</v>
      </c>
      <c r="N137" s="183">
        <f>SUMIFS('сентябрь 2025'!$G$2:$G$2497,'сентябрь 2025'!$D$2:$D$2497,$B137,'сентябрь 2025'!$J$2:$J$2497,N$1)</f>
        <v>0</v>
      </c>
      <c r="O137" s="183">
        <f>SUMIFS('сентябрь 2025'!$G$2:$G$2497,'сентябрь 2025'!$D$2:$D$2497,$B137,'сентябрь 2025'!$J$2:$J$2497,O$1)</f>
        <v>0</v>
      </c>
      <c r="P137" s="183">
        <f>SUMIFS('сентябрь 2025'!$G$2:$G$2497,'сентябрь 2025'!$D$2:$D$2497,$B137,'сентябрь 2025'!$J$2:$J$2497,P$1)</f>
        <v>0</v>
      </c>
      <c r="Q137" s="183">
        <f>SUMIFS('сентябрь 2025'!$G$2:$G$2497,'сентябрь 2025'!$D$2:$D$2497,$B137,'сентябрь 2025'!$J$2:$J$2497,Q$1)</f>
        <v>0</v>
      </c>
      <c r="R137" s="183">
        <f>SUMIFS('сентябрь 2025'!$G$2:$G$2497,'сентябрь 2025'!$D$2:$D$2497,$B137,'сентябрь 2025'!$J$2:$J$2497,R$1)</f>
        <v>0</v>
      </c>
      <c r="S137" s="183">
        <f>SUMIFS('сентябрь 2025'!$G$2:$G$2497,'сентябрь 2025'!$D$2:$D$2497,$B137,'сентябрь 2025'!$J$2:$J$2497,S$1)</f>
        <v>0</v>
      </c>
      <c r="T137" s="183">
        <f>SUMIFS('сентябрь 2025'!$G$2:$G$2497,'сентябрь 2025'!$D$2:$D$2497,$B137,'сентябрь 2025'!$J$2:$J$2497,T$1)</f>
        <v>0</v>
      </c>
      <c r="U137" s="183">
        <f>SUMIFS('сентябрь 2025'!$G$2:$G$2497,'сентябрь 2025'!$D$2:$D$2497,$B137,'сентябрь 2025'!$J$2:$J$2497,U$1)</f>
        <v>0</v>
      </c>
      <c r="V137" s="183">
        <f>SUMIFS('сентябрь 2025'!$G$2:$G$2497,'сентябрь 2025'!$D$2:$D$2497,$B137,'сентябрь 2025'!$J$2:$J$2497,V$1)</f>
        <v>0</v>
      </c>
      <c r="W137" s="183">
        <f>SUMIFS('сентябрь 2025'!$G$2:$G$2497,'сентябрь 2025'!$D$2:$D$2497,$B137,'сентябрь 2025'!$J$2:$J$2497,W$1)</f>
        <v>0</v>
      </c>
      <c r="X137" s="183">
        <f>SUMIFS('сентябрь 2025'!$G$2:$G$2497,'сентябрь 2025'!$D$2:$D$2497,$B137,'сентябрь 2025'!$J$2:$J$2497,X$1)</f>
        <v>0</v>
      </c>
      <c r="Y137" s="183">
        <f>SUMIFS('сентябрь 2025'!$G$2:$G$2497,'сентябрь 2025'!$D$2:$D$2497,$B137,'сентябрь 2025'!$J$2:$J$2497,Y$1)</f>
        <v>0</v>
      </c>
      <c r="Z137" s="183">
        <f>SUMIFS('сентябрь 2025'!$G$2:$G$2497,'сентябрь 2025'!$D$2:$D$2497,$B137,'сентябрь 2025'!$J$2:$J$2497,Z$1)</f>
        <v>0</v>
      </c>
      <c r="AA137" s="183">
        <f>SUMIFS('сентябрь 2025'!$G$2:$G$2497,'сентябрь 2025'!$D$2:$D$2497,$B137,'сентябрь 2025'!$J$2:$J$2497,AA$1)</f>
        <v>0</v>
      </c>
      <c r="AB137" s="183">
        <f>SUMIFS('сентябрь 2025'!$G$2:$G$2497,'сентябрь 2025'!$D$2:$D$2497,$B137,'сентябрь 2025'!$J$2:$J$2497,AB$1)</f>
        <v>0</v>
      </c>
      <c r="AC137" s="183">
        <f>SUMIFS('сентябрь 2025'!$G$2:$G$2497,'сентябрь 2025'!$D$2:$D$2497,$B137,'сентябрь 2025'!$J$2:$J$2497,AC$1)</f>
        <v>0</v>
      </c>
      <c r="AD137" s="183">
        <f>SUMIFS('сентябрь 2025'!$G$2:$G$2497,'сентябрь 2025'!$D$2:$D$2497,$B137,'сентябрь 2025'!$J$2:$J$2497,AD$1)</f>
        <v>0</v>
      </c>
      <c r="AE137" s="183">
        <f>SUMIFS('сентябрь 2025'!$G$2:$G$2497,'сентябрь 2025'!$D$2:$D$2497,$B137,'сентябрь 2025'!$J$2:$J$2497,AE$1)</f>
        <v>0</v>
      </c>
      <c r="AF137" s="183">
        <f>SUMIFS('сентябрь 2025'!$G$2:$G$2497,'сентябрь 2025'!$D$2:$D$2497,$B137,'сентябрь 2025'!$J$2:$J$2497,AF$1)</f>
        <v>0</v>
      </c>
      <c r="AG137" s="183">
        <f>SUMIFS('сентябрь 2025'!$G$2:$G$2497,'сентябрь 2025'!$D$2:$D$2497,$B137,'сентябрь 2025'!$J$2:$J$2497,AG$1)</f>
        <v>0</v>
      </c>
      <c r="AH137" s="183">
        <f>SUMIFS('сентябрь 2025'!$G$2:$G$2497,'сентябрь 2025'!$D$2:$D$2497,$B137,'сентябрь 2025'!$J$2:$J$2497,AH$1)</f>
        <v>0</v>
      </c>
      <c r="AI137" s="20"/>
    </row>
    <row r="138" spans="2:35" ht="15" customHeight="1" x14ac:dyDescent="0.25">
      <c r="B138" s="84" t="s">
        <v>171</v>
      </c>
      <c r="C138" s="83">
        <v>200</v>
      </c>
      <c r="D138" s="183">
        <f>SUMIFS('сентябрь 2025'!$G$2:$G$2497,'сентябрь 2025'!$D$2:$D$2497,$B138,'сентябрь 2025'!$J$2:$J$2497,D$1)</f>
        <v>0</v>
      </c>
      <c r="E138" s="183">
        <f>SUMIFS('сентябрь 2025'!$G$2:$G$2497,'сентябрь 2025'!$D$2:$D$2497,$B138,'сентябрь 2025'!$J$2:$J$2497,E$1)</f>
        <v>0</v>
      </c>
      <c r="F138" s="183">
        <f>SUMIFS('сентябрь 2025'!$G$2:$G$2497,'сентябрь 2025'!$D$2:$D$2497,$B138,'сентябрь 2025'!$J$2:$J$2497,F$1)</f>
        <v>0</v>
      </c>
      <c r="G138" s="183">
        <f>SUMIFS('сентябрь 2025'!$G$2:$G$2497,'сентябрь 2025'!$D$2:$D$2497,$B138,'сентябрь 2025'!$J$2:$J$2497,G$1)</f>
        <v>0</v>
      </c>
      <c r="H138" s="183">
        <f>SUMIFS('сентябрь 2025'!$G$2:$G$2497,'сентябрь 2025'!$D$2:$D$2497,$B138,'сентябрь 2025'!$J$2:$J$2497,H$1)</f>
        <v>0</v>
      </c>
      <c r="I138" s="183">
        <f>SUMIFS('сентябрь 2025'!$G$2:$G$2497,'сентябрь 2025'!$D$2:$D$2497,$B138,'сентябрь 2025'!$J$2:$J$2497,I$1)</f>
        <v>0</v>
      </c>
      <c r="J138" s="183">
        <f>SUMIFS('сентябрь 2025'!$G$2:$G$2497,'сентябрь 2025'!$D$2:$D$2497,$B138,'сентябрь 2025'!$J$2:$J$2497,J$1)</f>
        <v>0</v>
      </c>
      <c r="K138" s="183">
        <f>SUMIFS('сентябрь 2025'!$G$2:$G$2497,'сентябрь 2025'!$D$2:$D$2497,$B138,'сентябрь 2025'!$J$2:$J$2497,K$1)</f>
        <v>0</v>
      </c>
      <c r="L138" s="183">
        <f>SUMIFS('сентябрь 2025'!$G$2:$G$2497,'сентябрь 2025'!$D$2:$D$2497,$B138,'сентябрь 2025'!$J$2:$J$2497,L$1)</f>
        <v>0</v>
      </c>
      <c r="M138" s="183">
        <f>SUMIFS('сентябрь 2025'!$G$2:$G$2497,'сентябрь 2025'!$D$2:$D$2497,$B138,'сентябрь 2025'!$J$2:$J$2497,M$1)</f>
        <v>0</v>
      </c>
      <c r="N138" s="183">
        <f>SUMIFS('сентябрь 2025'!$G$2:$G$2497,'сентябрь 2025'!$D$2:$D$2497,$B138,'сентябрь 2025'!$J$2:$J$2497,N$1)</f>
        <v>0</v>
      </c>
      <c r="O138" s="183">
        <f>SUMIFS('сентябрь 2025'!$G$2:$G$2497,'сентябрь 2025'!$D$2:$D$2497,$B138,'сентябрь 2025'!$J$2:$J$2497,O$1)</f>
        <v>0</v>
      </c>
      <c r="P138" s="183">
        <f>SUMIFS('сентябрь 2025'!$G$2:$G$2497,'сентябрь 2025'!$D$2:$D$2497,$B138,'сентябрь 2025'!$J$2:$J$2497,P$1)</f>
        <v>0</v>
      </c>
      <c r="Q138" s="183">
        <f>SUMIFS('сентябрь 2025'!$G$2:$G$2497,'сентябрь 2025'!$D$2:$D$2497,$B138,'сентябрь 2025'!$J$2:$J$2497,Q$1)</f>
        <v>0</v>
      </c>
      <c r="R138" s="183">
        <f>SUMIFS('сентябрь 2025'!$G$2:$G$2497,'сентябрь 2025'!$D$2:$D$2497,$B138,'сентябрь 2025'!$J$2:$J$2497,R$1)</f>
        <v>0</v>
      </c>
      <c r="S138" s="183">
        <f>SUMIFS('сентябрь 2025'!$G$2:$G$2497,'сентябрь 2025'!$D$2:$D$2497,$B138,'сентябрь 2025'!$J$2:$J$2497,S$1)</f>
        <v>0</v>
      </c>
      <c r="T138" s="183">
        <f>SUMIFS('сентябрь 2025'!$G$2:$G$2497,'сентябрь 2025'!$D$2:$D$2497,$B138,'сентябрь 2025'!$J$2:$J$2497,T$1)</f>
        <v>0</v>
      </c>
      <c r="U138" s="183">
        <f>SUMIFS('сентябрь 2025'!$G$2:$G$2497,'сентябрь 2025'!$D$2:$D$2497,$B138,'сентябрь 2025'!$J$2:$J$2497,U$1)</f>
        <v>0</v>
      </c>
      <c r="V138" s="183">
        <f>SUMIFS('сентябрь 2025'!$G$2:$G$2497,'сентябрь 2025'!$D$2:$D$2497,$B138,'сентябрь 2025'!$J$2:$J$2497,V$1)</f>
        <v>0</v>
      </c>
      <c r="W138" s="183">
        <f>SUMIFS('сентябрь 2025'!$G$2:$G$2497,'сентябрь 2025'!$D$2:$D$2497,$B138,'сентябрь 2025'!$J$2:$J$2497,W$1)</f>
        <v>0</v>
      </c>
      <c r="X138" s="183">
        <f>SUMIFS('сентябрь 2025'!$G$2:$G$2497,'сентябрь 2025'!$D$2:$D$2497,$B138,'сентябрь 2025'!$J$2:$J$2497,X$1)</f>
        <v>0</v>
      </c>
      <c r="Y138" s="183">
        <f>SUMIFS('сентябрь 2025'!$G$2:$G$2497,'сентябрь 2025'!$D$2:$D$2497,$B138,'сентябрь 2025'!$J$2:$J$2497,Y$1)</f>
        <v>0</v>
      </c>
      <c r="Z138" s="183">
        <f>SUMIFS('сентябрь 2025'!$G$2:$G$2497,'сентябрь 2025'!$D$2:$D$2497,$B138,'сентябрь 2025'!$J$2:$J$2497,Z$1)</f>
        <v>0</v>
      </c>
      <c r="AA138" s="183">
        <f>SUMIFS('сентябрь 2025'!$G$2:$G$2497,'сентябрь 2025'!$D$2:$D$2497,$B138,'сентябрь 2025'!$J$2:$J$2497,AA$1)</f>
        <v>0</v>
      </c>
      <c r="AB138" s="183">
        <f>SUMIFS('сентябрь 2025'!$G$2:$G$2497,'сентябрь 2025'!$D$2:$D$2497,$B138,'сентябрь 2025'!$J$2:$J$2497,AB$1)</f>
        <v>0</v>
      </c>
      <c r="AC138" s="183">
        <f>SUMIFS('сентябрь 2025'!$G$2:$G$2497,'сентябрь 2025'!$D$2:$D$2497,$B138,'сентябрь 2025'!$J$2:$J$2497,AC$1)</f>
        <v>0</v>
      </c>
      <c r="AD138" s="183">
        <f>SUMIFS('сентябрь 2025'!$G$2:$G$2497,'сентябрь 2025'!$D$2:$D$2497,$B138,'сентябрь 2025'!$J$2:$J$2497,AD$1)</f>
        <v>0</v>
      </c>
      <c r="AE138" s="183">
        <f>SUMIFS('сентябрь 2025'!$G$2:$G$2497,'сентябрь 2025'!$D$2:$D$2497,$B138,'сентябрь 2025'!$J$2:$J$2497,AE$1)</f>
        <v>0</v>
      </c>
      <c r="AF138" s="183">
        <f>SUMIFS('сентябрь 2025'!$G$2:$G$2497,'сентябрь 2025'!$D$2:$D$2497,$B138,'сентябрь 2025'!$J$2:$J$2497,AF$1)</f>
        <v>0</v>
      </c>
      <c r="AG138" s="183">
        <f>SUMIFS('сентябрь 2025'!$G$2:$G$2497,'сентябрь 2025'!$D$2:$D$2497,$B138,'сентябрь 2025'!$J$2:$J$2497,AG$1)</f>
        <v>0</v>
      </c>
      <c r="AH138" s="183">
        <f>SUMIFS('сентябрь 2025'!$G$2:$G$2497,'сентябрь 2025'!$D$2:$D$2497,$B138,'сентябрь 2025'!$J$2:$J$2497,AH$1)</f>
        <v>0</v>
      </c>
      <c r="AI138" s="20">
        <f t="shared" si="1"/>
        <v>0</v>
      </c>
    </row>
    <row r="139" spans="2:35" ht="15" customHeight="1" x14ac:dyDescent="0.25">
      <c r="B139" s="84" t="s">
        <v>172</v>
      </c>
      <c r="C139" s="83">
        <v>200</v>
      </c>
      <c r="D139" s="183">
        <f>SUMIFS('сентябрь 2025'!$G$2:$G$2497,'сентябрь 2025'!$D$2:$D$2497,$B139,'сентябрь 2025'!$J$2:$J$2497,D$1)</f>
        <v>0</v>
      </c>
      <c r="E139" s="183">
        <f>SUMIFS('сентябрь 2025'!$G$2:$G$2497,'сентябрь 2025'!$D$2:$D$2497,$B139,'сентябрь 2025'!$J$2:$J$2497,E$1)</f>
        <v>0</v>
      </c>
      <c r="F139" s="183">
        <f>SUMIFS('сентябрь 2025'!$G$2:$G$2497,'сентябрь 2025'!$D$2:$D$2497,$B139,'сентябрь 2025'!$J$2:$J$2497,F$1)</f>
        <v>0</v>
      </c>
      <c r="G139" s="183">
        <f>SUMIFS('сентябрь 2025'!$G$2:$G$2497,'сентябрь 2025'!$D$2:$D$2497,$B139,'сентябрь 2025'!$J$2:$J$2497,G$1)</f>
        <v>0</v>
      </c>
      <c r="H139" s="183">
        <f>SUMIFS('сентябрь 2025'!$G$2:$G$2497,'сентябрь 2025'!$D$2:$D$2497,$B139,'сентябрь 2025'!$J$2:$J$2497,H$1)</f>
        <v>0</v>
      </c>
      <c r="I139" s="183">
        <f>SUMIFS('сентябрь 2025'!$G$2:$G$2497,'сентябрь 2025'!$D$2:$D$2497,$B139,'сентябрь 2025'!$J$2:$J$2497,I$1)</f>
        <v>0</v>
      </c>
      <c r="J139" s="183">
        <f>SUMIFS('сентябрь 2025'!$G$2:$G$2497,'сентябрь 2025'!$D$2:$D$2497,$B139,'сентябрь 2025'!$J$2:$J$2497,J$1)</f>
        <v>0</v>
      </c>
      <c r="K139" s="183">
        <f>SUMIFS('сентябрь 2025'!$G$2:$G$2497,'сентябрь 2025'!$D$2:$D$2497,$B139,'сентябрь 2025'!$J$2:$J$2497,K$1)</f>
        <v>0</v>
      </c>
      <c r="L139" s="183">
        <f>SUMIFS('сентябрь 2025'!$G$2:$G$2497,'сентябрь 2025'!$D$2:$D$2497,$B139,'сентябрь 2025'!$J$2:$J$2497,L$1)</f>
        <v>0</v>
      </c>
      <c r="M139" s="183">
        <f>SUMIFS('сентябрь 2025'!$G$2:$G$2497,'сентябрь 2025'!$D$2:$D$2497,$B139,'сентябрь 2025'!$J$2:$J$2497,M$1)</f>
        <v>0</v>
      </c>
      <c r="N139" s="183">
        <f>SUMIFS('сентябрь 2025'!$G$2:$G$2497,'сентябрь 2025'!$D$2:$D$2497,$B139,'сентябрь 2025'!$J$2:$J$2497,N$1)</f>
        <v>0</v>
      </c>
      <c r="O139" s="183">
        <f>SUMIFS('сентябрь 2025'!$G$2:$G$2497,'сентябрь 2025'!$D$2:$D$2497,$B139,'сентябрь 2025'!$J$2:$J$2497,O$1)</f>
        <v>0</v>
      </c>
      <c r="P139" s="183">
        <f>SUMIFS('сентябрь 2025'!$G$2:$G$2497,'сентябрь 2025'!$D$2:$D$2497,$B139,'сентябрь 2025'!$J$2:$J$2497,P$1)</f>
        <v>0</v>
      </c>
      <c r="Q139" s="183">
        <f>SUMIFS('сентябрь 2025'!$G$2:$G$2497,'сентябрь 2025'!$D$2:$D$2497,$B139,'сентябрь 2025'!$J$2:$J$2497,Q$1)</f>
        <v>0</v>
      </c>
      <c r="R139" s="183">
        <f>SUMIFS('сентябрь 2025'!$G$2:$G$2497,'сентябрь 2025'!$D$2:$D$2497,$B139,'сентябрь 2025'!$J$2:$J$2497,R$1)</f>
        <v>0</v>
      </c>
      <c r="S139" s="183">
        <f>SUMIFS('сентябрь 2025'!$G$2:$G$2497,'сентябрь 2025'!$D$2:$D$2497,$B139,'сентябрь 2025'!$J$2:$J$2497,S$1)</f>
        <v>0</v>
      </c>
      <c r="T139" s="183">
        <f>SUMIFS('сентябрь 2025'!$G$2:$G$2497,'сентябрь 2025'!$D$2:$D$2497,$B139,'сентябрь 2025'!$J$2:$J$2497,T$1)</f>
        <v>0</v>
      </c>
      <c r="U139" s="183">
        <f>SUMIFS('сентябрь 2025'!$G$2:$G$2497,'сентябрь 2025'!$D$2:$D$2497,$B139,'сентябрь 2025'!$J$2:$J$2497,U$1)</f>
        <v>0</v>
      </c>
      <c r="V139" s="183">
        <f>SUMIFS('сентябрь 2025'!$G$2:$G$2497,'сентябрь 2025'!$D$2:$D$2497,$B139,'сентябрь 2025'!$J$2:$J$2497,V$1)</f>
        <v>0</v>
      </c>
      <c r="W139" s="183">
        <f>SUMIFS('сентябрь 2025'!$G$2:$G$2497,'сентябрь 2025'!$D$2:$D$2497,$B139,'сентябрь 2025'!$J$2:$J$2497,W$1)</f>
        <v>0</v>
      </c>
      <c r="X139" s="183">
        <f>SUMIFS('сентябрь 2025'!$G$2:$G$2497,'сентябрь 2025'!$D$2:$D$2497,$B139,'сентябрь 2025'!$J$2:$J$2497,X$1)</f>
        <v>0</v>
      </c>
      <c r="Y139" s="183">
        <f>SUMIFS('сентябрь 2025'!$G$2:$G$2497,'сентябрь 2025'!$D$2:$D$2497,$B139,'сентябрь 2025'!$J$2:$J$2497,Y$1)</f>
        <v>0</v>
      </c>
      <c r="Z139" s="183">
        <f>SUMIFS('сентябрь 2025'!$G$2:$G$2497,'сентябрь 2025'!$D$2:$D$2497,$B139,'сентябрь 2025'!$J$2:$J$2497,Z$1)</f>
        <v>0</v>
      </c>
      <c r="AA139" s="183">
        <f>SUMIFS('сентябрь 2025'!$G$2:$G$2497,'сентябрь 2025'!$D$2:$D$2497,$B139,'сентябрь 2025'!$J$2:$J$2497,AA$1)</f>
        <v>0</v>
      </c>
      <c r="AB139" s="183">
        <f>SUMIFS('сентябрь 2025'!$G$2:$G$2497,'сентябрь 2025'!$D$2:$D$2497,$B139,'сентябрь 2025'!$J$2:$J$2497,AB$1)</f>
        <v>0</v>
      </c>
      <c r="AC139" s="183">
        <f>SUMIFS('сентябрь 2025'!$G$2:$G$2497,'сентябрь 2025'!$D$2:$D$2497,$B139,'сентябрь 2025'!$J$2:$J$2497,AC$1)</f>
        <v>0</v>
      </c>
      <c r="AD139" s="183">
        <f>SUMIFS('сентябрь 2025'!$G$2:$G$2497,'сентябрь 2025'!$D$2:$D$2497,$B139,'сентябрь 2025'!$J$2:$J$2497,AD$1)</f>
        <v>0</v>
      </c>
      <c r="AE139" s="183">
        <f>SUMIFS('сентябрь 2025'!$G$2:$G$2497,'сентябрь 2025'!$D$2:$D$2497,$B139,'сентябрь 2025'!$J$2:$J$2497,AE$1)</f>
        <v>0</v>
      </c>
      <c r="AF139" s="183">
        <f>SUMIFS('сентябрь 2025'!$G$2:$G$2497,'сентябрь 2025'!$D$2:$D$2497,$B139,'сентябрь 2025'!$J$2:$J$2497,AF$1)</f>
        <v>0</v>
      </c>
      <c r="AG139" s="183">
        <f>SUMIFS('сентябрь 2025'!$G$2:$G$2497,'сентябрь 2025'!$D$2:$D$2497,$B139,'сентябрь 2025'!$J$2:$J$2497,AG$1)</f>
        <v>0</v>
      </c>
      <c r="AH139" s="183">
        <f>SUMIFS('сентябрь 2025'!$G$2:$G$2497,'сентябрь 2025'!$D$2:$D$2497,$B139,'сентябрь 2025'!$J$2:$J$2497,AH$1)</f>
        <v>0</v>
      </c>
      <c r="AI139" s="20">
        <f t="shared" si="1"/>
        <v>0</v>
      </c>
    </row>
    <row r="140" spans="2:35" ht="15" customHeight="1" x14ac:dyDescent="0.25">
      <c r="B140" s="84" t="s">
        <v>174</v>
      </c>
      <c r="C140" s="83">
        <v>200</v>
      </c>
      <c r="D140" s="183">
        <f>SUMIFS('сентябрь 2025'!$G$2:$G$2497,'сентябрь 2025'!$D$2:$D$2497,$B140,'сентябрь 2025'!$J$2:$J$2497,D$1)</f>
        <v>0</v>
      </c>
      <c r="E140" s="183">
        <f>SUMIFS('сентябрь 2025'!$G$2:$G$2497,'сентябрь 2025'!$D$2:$D$2497,$B140,'сентябрь 2025'!$J$2:$J$2497,E$1)</f>
        <v>0</v>
      </c>
      <c r="F140" s="183">
        <f>SUMIFS('сентябрь 2025'!$G$2:$G$2497,'сентябрь 2025'!$D$2:$D$2497,$B140,'сентябрь 2025'!$J$2:$J$2497,F$1)</f>
        <v>0</v>
      </c>
      <c r="G140" s="183">
        <f>SUMIFS('сентябрь 2025'!$G$2:$G$2497,'сентябрь 2025'!$D$2:$D$2497,$B140,'сентябрь 2025'!$J$2:$J$2497,G$1)</f>
        <v>0</v>
      </c>
      <c r="H140" s="183">
        <f>SUMIFS('сентябрь 2025'!$G$2:$G$2497,'сентябрь 2025'!$D$2:$D$2497,$B140,'сентябрь 2025'!$J$2:$J$2497,H$1)</f>
        <v>0</v>
      </c>
      <c r="I140" s="183">
        <f>SUMIFS('сентябрь 2025'!$G$2:$G$2497,'сентябрь 2025'!$D$2:$D$2497,$B140,'сентябрь 2025'!$J$2:$J$2497,I$1)</f>
        <v>0</v>
      </c>
      <c r="J140" s="183">
        <f>SUMIFS('сентябрь 2025'!$G$2:$G$2497,'сентябрь 2025'!$D$2:$D$2497,$B140,'сентябрь 2025'!$J$2:$J$2497,J$1)</f>
        <v>0</v>
      </c>
      <c r="K140" s="183">
        <f>SUMIFS('сентябрь 2025'!$G$2:$G$2497,'сентябрь 2025'!$D$2:$D$2497,$B140,'сентябрь 2025'!$J$2:$J$2497,K$1)</f>
        <v>0</v>
      </c>
      <c r="L140" s="183">
        <f>SUMIFS('сентябрь 2025'!$G$2:$G$2497,'сентябрь 2025'!$D$2:$D$2497,$B140,'сентябрь 2025'!$J$2:$J$2497,L$1)</f>
        <v>0</v>
      </c>
      <c r="M140" s="183">
        <f>SUMIFS('сентябрь 2025'!$G$2:$G$2497,'сентябрь 2025'!$D$2:$D$2497,$B140,'сентябрь 2025'!$J$2:$J$2497,M$1)</f>
        <v>0</v>
      </c>
      <c r="N140" s="183">
        <f>SUMIFS('сентябрь 2025'!$G$2:$G$2497,'сентябрь 2025'!$D$2:$D$2497,$B140,'сентябрь 2025'!$J$2:$J$2497,N$1)</f>
        <v>0</v>
      </c>
      <c r="O140" s="183">
        <f>SUMIFS('сентябрь 2025'!$G$2:$G$2497,'сентябрь 2025'!$D$2:$D$2497,$B140,'сентябрь 2025'!$J$2:$J$2497,O$1)</f>
        <v>0</v>
      </c>
      <c r="P140" s="183">
        <f>SUMIFS('сентябрь 2025'!$G$2:$G$2497,'сентябрь 2025'!$D$2:$D$2497,$B140,'сентябрь 2025'!$J$2:$J$2497,P$1)</f>
        <v>0</v>
      </c>
      <c r="Q140" s="183">
        <f>SUMIFS('сентябрь 2025'!$G$2:$G$2497,'сентябрь 2025'!$D$2:$D$2497,$B140,'сентябрь 2025'!$J$2:$J$2497,Q$1)</f>
        <v>0</v>
      </c>
      <c r="R140" s="183">
        <f>SUMIFS('сентябрь 2025'!$G$2:$G$2497,'сентябрь 2025'!$D$2:$D$2497,$B140,'сентябрь 2025'!$J$2:$J$2497,R$1)</f>
        <v>0</v>
      </c>
      <c r="S140" s="183">
        <f>SUMIFS('сентябрь 2025'!$G$2:$G$2497,'сентябрь 2025'!$D$2:$D$2497,$B140,'сентябрь 2025'!$J$2:$J$2497,S$1)</f>
        <v>0</v>
      </c>
      <c r="T140" s="183">
        <f>SUMIFS('сентябрь 2025'!$G$2:$G$2497,'сентябрь 2025'!$D$2:$D$2497,$B140,'сентябрь 2025'!$J$2:$J$2497,T$1)</f>
        <v>0</v>
      </c>
      <c r="U140" s="183">
        <f>SUMIFS('сентябрь 2025'!$G$2:$G$2497,'сентябрь 2025'!$D$2:$D$2497,$B140,'сентябрь 2025'!$J$2:$J$2497,U$1)</f>
        <v>0</v>
      </c>
      <c r="V140" s="183">
        <f>SUMIFS('сентябрь 2025'!$G$2:$G$2497,'сентябрь 2025'!$D$2:$D$2497,$B140,'сентябрь 2025'!$J$2:$J$2497,V$1)</f>
        <v>0</v>
      </c>
      <c r="W140" s="183">
        <f>SUMIFS('сентябрь 2025'!$G$2:$G$2497,'сентябрь 2025'!$D$2:$D$2497,$B140,'сентябрь 2025'!$J$2:$J$2497,W$1)</f>
        <v>0</v>
      </c>
      <c r="X140" s="183">
        <f>SUMIFS('сентябрь 2025'!$G$2:$G$2497,'сентябрь 2025'!$D$2:$D$2497,$B140,'сентябрь 2025'!$J$2:$J$2497,X$1)</f>
        <v>0</v>
      </c>
      <c r="Y140" s="183">
        <f>SUMIFS('сентябрь 2025'!$G$2:$G$2497,'сентябрь 2025'!$D$2:$D$2497,$B140,'сентябрь 2025'!$J$2:$J$2497,Y$1)</f>
        <v>0</v>
      </c>
      <c r="Z140" s="183">
        <f>SUMIFS('сентябрь 2025'!$G$2:$G$2497,'сентябрь 2025'!$D$2:$D$2497,$B140,'сентябрь 2025'!$J$2:$J$2497,Z$1)</f>
        <v>0</v>
      </c>
      <c r="AA140" s="183">
        <f>SUMIFS('сентябрь 2025'!$G$2:$G$2497,'сентябрь 2025'!$D$2:$D$2497,$B140,'сентябрь 2025'!$J$2:$J$2497,AA$1)</f>
        <v>0</v>
      </c>
      <c r="AB140" s="183">
        <f>SUMIFS('сентябрь 2025'!$G$2:$G$2497,'сентябрь 2025'!$D$2:$D$2497,$B140,'сентябрь 2025'!$J$2:$J$2497,AB$1)</f>
        <v>0</v>
      </c>
      <c r="AC140" s="183">
        <f>SUMIFS('сентябрь 2025'!$G$2:$G$2497,'сентябрь 2025'!$D$2:$D$2497,$B140,'сентябрь 2025'!$J$2:$J$2497,AC$1)</f>
        <v>0</v>
      </c>
      <c r="AD140" s="183">
        <f>SUMIFS('сентябрь 2025'!$G$2:$G$2497,'сентябрь 2025'!$D$2:$D$2497,$B140,'сентябрь 2025'!$J$2:$J$2497,AD$1)</f>
        <v>0</v>
      </c>
      <c r="AE140" s="183">
        <f>SUMIFS('сентябрь 2025'!$G$2:$G$2497,'сентябрь 2025'!$D$2:$D$2497,$B140,'сентябрь 2025'!$J$2:$J$2497,AE$1)</f>
        <v>0</v>
      </c>
      <c r="AF140" s="183">
        <f>SUMIFS('сентябрь 2025'!$G$2:$G$2497,'сентябрь 2025'!$D$2:$D$2497,$B140,'сентябрь 2025'!$J$2:$J$2497,AF$1)</f>
        <v>0</v>
      </c>
      <c r="AG140" s="183">
        <f>SUMIFS('сентябрь 2025'!$G$2:$G$2497,'сентябрь 2025'!$D$2:$D$2497,$B140,'сентябрь 2025'!$J$2:$J$2497,AG$1)</f>
        <v>0</v>
      </c>
      <c r="AH140" s="183">
        <f>SUMIFS('сентябрь 2025'!$G$2:$G$2497,'сентябрь 2025'!$D$2:$D$2497,$B140,'сентябрь 2025'!$J$2:$J$2497,AH$1)</f>
        <v>0</v>
      </c>
      <c r="AI140" s="20">
        <f t="shared" si="1"/>
        <v>0</v>
      </c>
    </row>
    <row r="141" spans="2:35" ht="15" customHeight="1" x14ac:dyDescent="0.25">
      <c r="B141" s="89" t="s">
        <v>184</v>
      </c>
      <c r="C141" s="90">
        <v>180</v>
      </c>
      <c r="D141" s="183">
        <f>SUMIFS('сентябрь 2025'!$G$2:$G$2497,'сентябрь 2025'!$D$2:$D$2497,$B141,'сентябрь 2025'!$J$2:$J$2497,D$1)</f>
        <v>0</v>
      </c>
      <c r="E141" s="183">
        <f>SUMIFS('сентябрь 2025'!$G$2:$G$2497,'сентябрь 2025'!$D$2:$D$2497,$B141,'сентябрь 2025'!$J$2:$J$2497,E$1)</f>
        <v>0</v>
      </c>
      <c r="F141" s="183">
        <f>SUMIFS('сентябрь 2025'!$G$2:$G$2497,'сентябрь 2025'!$D$2:$D$2497,$B141,'сентябрь 2025'!$J$2:$J$2497,F$1)</f>
        <v>0</v>
      </c>
      <c r="G141" s="183">
        <f>SUMIFS('сентябрь 2025'!$G$2:$G$2497,'сентябрь 2025'!$D$2:$D$2497,$B141,'сентябрь 2025'!$J$2:$J$2497,G$1)</f>
        <v>0</v>
      </c>
      <c r="H141" s="183">
        <f>SUMIFS('сентябрь 2025'!$G$2:$G$2497,'сентябрь 2025'!$D$2:$D$2497,$B141,'сентябрь 2025'!$J$2:$J$2497,H$1)</f>
        <v>0</v>
      </c>
      <c r="I141" s="183">
        <f>SUMIFS('сентябрь 2025'!$G$2:$G$2497,'сентябрь 2025'!$D$2:$D$2497,$B141,'сентябрь 2025'!$J$2:$J$2497,I$1)</f>
        <v>0</v>
      </c>
      <c r="J141" s="183">
        <f>SUMIFS('сентябрь 2025'!$G$2:$G$2497,'сентябрь 2025'!$D$2:$D$2497,$B141,'сентябрь 2025'!$J$2:$J$2497,J$1)</f>
        <v>0</v>
      </c>
      <c r="K141" s="183">
        <f>SUMIFS('сентябрь 2025'!$G$2:$G$2497,'сентябрь 2025'!$D$2:$D$2497,$B141,'сентябрь 2025'!$J$2:$J$2497,K$1)</f>
        <v>0</v>
      </c>
      <c r="L141" s="183">
        <f>SUMIFS('сентябрь 2025'!$G$2:$G$2497,'сентябрь 2025'!$D$2:$D$2497,$B141,'сентябрь 2025'!$J$2:$J$2497,L$1)</f>
        <v>0</v>
      </c>
      <c r="M141" s="183">
        <f>SUMIFS('сентябрь 2025'!$G$2:$G$2497,'сентябрь 2025'!$D$2:$D$2497,$B141,'сентябрь 2025'!$J$2:$J$2497,M$1)</f>
        <v>0</v>
      </c>
      <c r="N141" s="183">
        <f>SUMIFS('сентябрь 2025'!$G$2:$G$2497,'сентябрь 2025'!$D$2:$D$2497,$B141,'сентябрь 2025'!$J$2:$J$2497,N$1)</f>
        <v>0</v>
      </c>
      <c r="O141" s="183">
        <f>SUMIFS('сентябрь 2025'!$G$2:$G$2497,'сентябрь 2025'!$D$2:$D$2497,$B141,'сентябрь 2025'!$J$2:$J$2497,O$1)</f>
        <v>0</v>
      </c>
      <c r="P141" s="183">
        <f>SUMIFS('сентябрь 2025'!$G$2:$G$2497,'сентябрь 2025'!$D$2:$D$2497,$B141,'сентябрь 2025'!$J$2:$J$2497,P$1)</f>
        <v>0</v>
      </c>
      <c r="Q141" s="183">
        <f>SUMIFS('сентябрь 2025'!$G$2:$G$2497,'сентябрь 2025'!$D$2:$D$2497,$B141,'сентябрь 2025'!$J$2:$J$2497,Q$1)</f>
        <v>0</v>
      </c>
      <c r="R141" s="183">
        <f>SUMIFS('сентябрь 2025'!$G$2:$G$2497,'сентябрь 2025'!$D$2:$D$2497,$B141,'сентябрь 2025'!$J$2:$J$2497,R$1)</f>
        <v>0</v>
      </c>
      <c r="S141" s="183">
        <f>SUMIFS('сентябрь 2025'!$G$2:$G$2497,'сентябрь 2025'!$D$2:$D$2497,$B141,'сентябрь 2025'!$J$2:$J$2497,S$1)</f>
        <v>0</v>
      </c>
      <c r="T141" s="183">
        <f>SUMIFS('сентябрь 2025'!$G$2:$G$2497,'сентябрь 2025'!$D$2:$D$2497,$B141,'сентябрь 2025'!$J$2:$J$2497,T$1)</f>
        <v>0</v>
      </c>
      <c r="U141" s="183">
        <f>SUMIFS('сентябрь 2025'!$G$2:$G$2497,'сентябрь 2025'!$D$2:$D$2497,$B141,'сентябрь 2025'!$J$2:$J$2497,U$1)</f>
        <v>0</v>
      </c>
      <c r="V141" s="183">
        <f>SUMIFS('сентябрь 2025'!$G$2:$G$2497,'сентябрь 2025'!$D$2:$D$2497,$B141,'сентябрь 2025'!$J$2:$J$2497,V$1)</f>
        <v>0</v>
      </c>
      <c r="W141" s="183">
        <f>SUMIFS('сентябрь 2025'!$G$2:$G$2497,'сентябрь 2025'!$D$2:$D$2497,$B141,'сентябрь 2025'!$J$2:$J$2497,W$1)</f>
        <v>0</v>
      </c>
      <c r="X141" s="183">
        <f>SUMIFS('сентябрь 2025'!$G$2:$G$2497,'сентябрь 2025'!$D$2:$D$2497,$B141,'сентябрь 2025'!$J$2:$J$2497,X$1)</f>
        <v>0</v>
      </c>
      <c r="Y141" s="183">
        <f>SUMIFS('сентябрь 2025'!$G$2:$G$2497,'сентябрь 2025'!$D$2:$D$2497,$B141,'сентябрь 2025'!$J$2:$J$2497,Y$1)</f>
        <v>0</v>
      </c>
      <c r="Z141" s="183">
        <f>SUMIFS('сентябрь 2025'!$G$2:$G$2497,'сентябрь 2025'!$D$2:$D$2497,$B141,'сентябрь 2025'!$J$2:$J$2497,Z$1)</f>
        <v>0</v>
      </c>
      <c r="AA141" s="183">
        <f>SUMIFS('сентябрь 2025'!$G$2:$G$2497,'сентябрь 2025'!$D$2:$D$2497,$B141,'сентябрь 2025'!$J$2:$J$2497,AA$1)</f>
        <v>0</v>
      </c>
      <c r="AB141" s="183">
        <f>SUMIFS('сентябрь 2025'!$G$2:$G$2497,'сентябрь 2025'!$D$2:$D$2497,$B141,'сентябрь 2025'!$J$2:$J$2497,AB$1)</f>
        <v>0</v>
      </c>
      <c r="AC141" s="183">
        <f>SUMIFS('сентябрь 2025'!$G$2:$G$2497,'сентябрь 2025'!$D$2:$D$2497,$B141,'сентябрь 2025'!$J$2:$J$2497,AC$1)</f>
        <v>0</v>
      </c>
      <c r="AD141" s="183">
        <f>SUMIFS('сентябрь 2025'!$G$2:$G$2497,'сентябрь 2025'!$D$2:$D$2497,$B141,'сентябрь 2025'!$J$2:$J$2497,AD$1)</f>
        <v>0</v>
      </c>
      <c r="AE141" s="183">
        <f>SUMIFS('сентябрь 2025'!$G$2:$G$2497,'сентябрь 2025'!$D$2:$D$2497,$B141,'сентябрь 2025'!$J$2:$J$2497,AE$1)</f>
        <v>0</v>
      </c>
      <c r="AF141" s="183">
        <f>SUMIFS('сентябрь 2025'!$G$2:$G$2497,'сентябрь 2025'!$D$2:$D$2497,$B141,'сентябрь 2025'!$J$2:$J$2497,AF$1)</f>
        <v>0</v>
      </c>
      <c r="AG141" s="183">
        <f>SUMIFS('сентябрь 2025'!$G$2:$G$2497,'сентябрь 2025'!$D$2:$D$2497,$B141,'сентябрь 2025'!$J$2:$J$2497,AG$1)</f>
        <v>0</v>
      </c>
      <c r="AH141" s="183">
        <f>SUMIFS('сентябрь 2025'!$G$2:$G$2497,'сентябрь 2025'!$D$2:$D$2497,$B141,'сентябрь 2025'!$J$2:$J$2497,AH$1)</f>
        <v>0</v>
      </c>
      <c r="AI141" s="20">
        <f t="shared" si="1"/>
        <v>0</v>
      </c>
    </row>
    <row r="142" spans="2:35" ht="15" customHeight="1" x14ac:dyDescent="0.25">
      <c r="B142" s="84" t="s">
        <v>268</v>
      </c>
      <c r="C142" s="86">
        <v>180</v>
      </c>
      <c r="D142" s="183">
        <f>SUMIFS('сентябрь 2025'!$G$2:$G$2497,'сентябрь 2025'!$D$2:$D$2497,$B142,'сентябрь 2025'!$J$2:$J$2497,D$1)</f>
        <v>0</v>
      </c>
      <c r="E142" s="183">
        <f>SUMIFS('сентябрь 2025'!$G$2:$G$2497,'сентябрь 2025'!$D$2:$D$2497,$B142,'сентябрь 2025'!$J$2:$J$2497,E$1)</f>
        <v>0</v>
      </c>
      <c r="F142" s="183">
        <f>SUMIFS('сентябрь 2025'!$G$2:$G$2497,'сентябрь 2025'!$D$2:$D$2497,$B142,'сентябрь 2025'!$J$2:$J$2497,F$1)</f>
        <v>0</v>
      </c>
      <c r="G142" s="183">
        <f>SUMIFS('сентябрь 2025'!$G$2:$G$2497,'сентябрь 2025'!$D$2:$D$2497,$B142,'сентябрь 2025'!$J$2:$J$2497,G$1)</f>
        <v>0</v>
      </c>
      <c r="H142" s="183">
        <f>SUMIFS('сентябрь 2025'!$G$2:$G$2497,'сентябрь 2025'!$D$2:$D$2497,$B142,'сентябрь 2025'!$J$2:$J$2497,H$1)</f>
        <v>0</v>
      </c>
      <c r="I142" s="183">
        <f>SUMIFS('сентябрь 2025'!$G$2:$G$2497,'сентябрь 2025'!$D$2:$D$2497,$B142,'сентябрь 2025'!$J$2:$J$2497,I$1)</f>
        <v>0</v>
      </c>
      <c r="J142" s="183">
        <f>SUMIFS('сентябрь 2025'!$G$2:$G$2497,'сентябрь 2025'!$D$2:$D$2497,$B142,'сентябрь 2025'!$J$2:$J$2497,J$1)</f>
        <v>0</v>
      </c>
      <c r="K142" s="183">
        <f>SUMIFS('сентябрь 2025'!$G$2:$G$2497,'сентябрь 2025'!$D$2:$D$2497,$B142,'сентябрь 2025'!$J$2:$J$2497,K$1)</f>
        <v>0</v>
      </c>
      <c r="L142" s="183">
        <f>SUMIFS('сентябрь 2025'!$G$2:$G$2497,'сентябрь 2025'!$D$2:$D$2497,$B142,'сентябрь 2025'!$J$2:$J$2497,L$1)</f>
        <v>0</v>
      </c>
      <c r="M142" s="183">
        <f>SUMIFS('сентябрь 2025'!$G$2:$G$2497,'сентябрь 2025'!$D$2:$D$2497,$B142,'сентябрь 2025'!$J$2:$J$2497,M$1)</f>
        <v>0</v>
      </c>
      <c r="N142" s="183">
        <f>SUMIFS('сентябрь 2025'!$G$2:$G$2497,'сентябрь 2025'!$D$2:$D$2497,$B142,'сентябрь 2025'!$J$2:$J$2497,N$1)</f>
        <v>0</v>
      </c>
      <c r="O142" s="183">
        <f>SUMIFS('сентябрь 2025'!$G$2:$G$2497,'сентябрь 2025'!$D$2:$D$2497,$B142,'сентябрь 2025'!$J$2:$J$2497,O$1)</f>
        <v>0</v>
      </c>
      <c r="P142" s="183">
        <f>SUMIFS('сентябрь 2025'!$G$2:$G$2497,'сентябрь 2025'!$D$2:$D$2497,$B142,'сентябрь 2025'!$J$2:$J$2497,P$1)</f>
        <v>0</v>
      </c>
      <c r="Q142" s="183">
        <f>SUMIFS('сентябрь 2025'!$G$2:$G$2497,'сентябрь 2025'!$D$2:$D$2497,$B142,'сентябрь 2025'!$J$2:$J$2497,Q$1)</f>
        <v>0</v>
      </c>
      <c r="R142" s="183">
        <f>SUMIFS('сентябрь 2025'!$G$2:$G$2497,'сентябрь 2025'!$D$2:$D$2497,$B142,'сентябрь 2025'!$J$2:$J$2497,R$1)</f>
        <v>0</v>
      </c>
      <c r="S142" s="183">
        <f>SUMIFS('сентябрь 2025'!$G$2:$G$2497,'сентябрь 2025'!$D$2:$D$2497,$B142,'сентябрь 2025'!$J$2:$J$2497,S$1)</f>
        <v>0</v>
      </c>
      <c r="T142" s="183">
        <f>SUMIFS('сентябрь 2025'!$G$2:$G$2497,'сентябрь 2025'!$D$2:$D$2497,$B142,'сентябрь 2025'!$J$2:$J$2497,T$1)</f>
        <v>0</v>
      </c>
      <c r="U142" s="183">
        <f>SUMIFS('сентябрь 2025'!$G$2:$G$2497,'сентябрь 2025'!$D$2:$D$2497,$B142,'сентябрь 2025'!$J$2:$J$2497,U$1)</f>
        <v>0</v>
      </c>
      <c r="V142" s="183">
        <f>SUMIFS('сентябрь 2025'!$G$2:$G$2497,'сентябрь 2025'!$D$2:$D$2497,$B142,'сентябрь 2025'!$J$2:$J$2497,V$1)</f>
        <v>0</v>
      </c>
      <c r="W142" s="183">
        <f>SUMIFS('сентябрь 2025'!$G$2:$G$2497,'сентябрь 2025'!$D$2:$D$2497,$B142,'сентябрь 2025'!$J$2:$J$2497,W$1)</f>
        <v>0</v>
      </c>
      <c r="X142" s="183">
        <f>SUMIFS('сентябрь 2025'!$G$2:$G$2497,'сентябрь 2025'!$D$2:$D$2497,$B142,'сентябрь 2025'!$J$2:$J$2497,X$1)</f>
        <v>0</v>
      </c>
      <c r="Y142" s="183">
        <f>SUMIFS('сентябрь 2025'!$G$2:$G$2497,'сентябрь 2025'!$D$2:$D$2497,$B142,'сентябрь 2025'!$J$2:$J$2497,Y$1)</f>
        <v>0</v>
      </c>
      <c r="Z142" s="183">
        <f>SUMIFS('сентябрь 2025'!$G$2:$G$2497,'сентябрь 2025'!$D$2:$D$2497,$B142,'сентябрь 2025'!$J$2:$J$2497,Z$1)</f>
        <v>0</v>
      </c>
      <c r="AA142" s="183">
        <f>SUMIFS('сентябрь 2025'!$G$2:$G$2497,'сентябрь 2025'!$D$2:$D$2497,$B142,'сентябрь 2025'!$J$2:$J$2497,AA$1)</f>
        <v>0</v>
      </c>
      <c r="AB142" s="183">
        <f>SUMIFS('сентябрь 2025'!$G$2:$G$2497,'сентябрь 2025'!$D$2:$D$2497,$B142,'сентябрь 2025'!$J$2:$J$2497,AB$1)</f>
        <v>0</v>
      </c>
      <c r="AC142" s="183">
        <f>SUMIFS('сентябрь 2025'!$G$2:$G$2497,'сентябрь 2025'!$D$2:$D$2497,$B142,'сентябрь 2025'!$J$2:$J$2497,AC$1)</f>
        <v>0</v>
      </c>
      <c r="AD142" s="183">
        <f>SUMIFS('сентябрь 2025'!$G$2:$G$2497,'сентябрь 2025'!$D$2:$D$2497,$B142,'сентябрь 2025'!$J$2:$J$2497,AD$1)</f>
        <v>0</v>
      </c>
      <c r="AE142" s="183">
        <f>SUMIFS('сентябрь 2025'!$G$2:$G$2497,'сентябрь 2025'!$D$2:$D$2497,$B142,'сентябрь 2025'!$J$2:$J$2497,AE$1)</f>
        <v>0</v>
      </c>
      <c r="AF142" s="183">
        <f>SUMIFS('сентябрь 2025'!$G$2:$G$2497,'сентябрь 2025'!$D$2:$D$2497,$B142,'сентябрь 2025'!$J$2:$J$2497,AF$1)</f>
        <v>0</v>
      </c>
      <c r="AG142" s="183">
        <f>SUMIFS('сентябрь 2025'!$G$2:$G$2497,'сентябрь 2025'!$D$2:$D$2497,$B142,'сентябрь 2025'!$J$2:$J$2497,AG$1)</f>
        <v>0</v>
      </c>
      <c r="AH142" s="183">
        <f>SUMIFS('сентябрь 2025'!$G$2:$G$2497,'сентябрь 2025'!$D$2:$D$2497,$B142,'сентябрь 2025'!$J$2:$J$2497,AH$1)</f>
        <v>0</v>
      </c>
      <c r="AI142" s="20">
        <f t="shared" si="1"/>
        <v>0</v>
      </c>
    </row>
    <row r="143" spans="2:35" ht="15" customHeight="1" x14ac:dyDescent="0.25">
      <c r="B143" s="84" t="s">
        <v>278</v>
      </c>
      <c r="C143" s="86">
        <v>180</v>
      </c>
      <c r="D143" s="183">
        <f>SUMIFS('сентябрь 2025'!$G$2:$G$2497,'сентябрь 2025'!$D$2:$D$2497,$B143,'сентябрь 2025'!$J$2:$J$2497,D$1)</f>
        <v>0</v>
      </c>
      <c r="E143" s="183">
        <f>SUMIFS('сентябрь 2025'!$G$2:$G$2497,'сентябрь 2025'!$D$2:$D$2497,$B143,'сентябрь 2025'!$J$2:$J$2497,E$1)</f>
        <v>0</v>
      </c>
      <c r="F143" s="183">
        <f>SUMIFS('сентябрь 2025'!$G$2:$G$2497,'сентябрь 2025'!$D$2:$D$2497,$B143,'сентябрь 2025'!$J$2:$J$2497,F$1)</f>
        <v>0</v>
      </c>
      <c r="G143" s="183">
        <f>SUMIFS('сентябрь 2025'!$G$2:$G$2497,'сентябрь 2025'!$D$2:$D$2497,$B143,'сентябрь 2025'!$J$2:$J$2497,G$1)</f>
        <v>0</v>
      </c>
      <c r="H143" s="183">
        <f>SUMIFS('сентябрь 2025'!$G$2:$G$2497,'сентябрь 2025'!$D$2:$D$2497,$B143,'сентябрь 2025'!$J$2:$J$2497,H$1)</f>
        <v>0</v>
      </c>
      <c r="I143" s="183">
        <f>SUMIFS('сентябрь 2025'!$G$2:$G$2497,'сентябрь 2025'!$D$2:$D$2497,$B143,'сентябрь 2025'!$J$2:$J$2497,I$1)</f>
        <v>0</v>
      </c>
      <c r="J143" s="183">
        <f>SUMIFS('сентябрь 2025'!$G$2:$G$2497,'сентябрь 2025'!$D$2:$D$2497,$B143,'сентябрь 2025'!$J$2:$J$2497,J$1)</f>
        <v>0</v>
      </c>
      <c r="K143" s="183">
        <f>SUMIFS('сентябрь 2025'!$G$2:$G$2497,'сентябрь 2025'!$D$2:$D$2497,$B143,'сентябрь 2025'!$J$2:$J$2497,K$1)</f>
        <v>0</v>
      </c>
      <c r="L143" s="183">
        <f>SUMIFS('сентябрь 2025'!$G$2:$G$2497,'сентябрь 2025'!$D$2:$D$2497,$B143,'сентябрь 2025'!$J$2:$J$2497,L$1)</f>
        <v>0</v>
      </c>
      <c r="M143" s="183">
        <f>SUMIFS('сентябрь 2025'!$G$2:$G$2497,'сентябрь 2025'!$D$2:$D$2497,$B143,'сентябрь 2025'!$J$2:$J$2497,M$1)</f>
        <v>0</v>
      </c>
      <c r="N143" s="183">
        <f>SUMIFS('сентябрь 2025'!$G$2:$G$2497,'сентябрь 2025'!$D$2:$D$2497,$B143,'сентябрь 2025'!$J$2:$J$2497,N$1)</f>
        <v>0</v>
      </c>
      <c r="O143" s="183">
        <f>SUMIFS('сентябрь 2025'!$G$2:$G$2497,'сентябрь 2025'!$D$2:$D$2497,$B143,'сентябрь 2025'!$J$2:$J$2497,O$1)</f>
        <v>0</v>
      </c>
      <c r="P143" s="183">
        <f>SUMIFS('сентябрь 2025'!$G$2:$G$2497,'сентябрь 2025'!$D$2:$D$2497,$B143,'сентябрь 2025'!$J$2:$J$2497,P$1)</f>
        <v>0</v>
      </c>
      <c r="Q143" s="183">
        <f>SUMIFS('сентябрь 2025'!$G$2:$G$2497,'сентябрь 2025'!$D$2:$D$2497,$B143,'сентябрь 2025'!$J$2:$J$2497,Q$1)</f>
        <v>0</v>
      </c>
      <c r="R143" s="183">
        <f>SUMIFS('сентябрь 2025'!$G$2:$G$2497,'сентябрь 2025'!$D$2:$D$2497,$B143,'сентябрь 2025'!$J$2:$J$2497,R$1)</f>
        <v>0</v>
      </c>
      <c r="S143" s="183">
        <f>SUMIFS('сентябрь 2025'!$G$2:$G$2497,'сентябрь 2025'!$D$2:$D$2497,$B143,'сентябрь 2025'!$J$2:$J$2497,S$1)</f>
        <v>0</v>
      </c>
      <c r="T143" s="183">
        <f>SUMIFS('сентябрь 2025'!$G$2:$G$2497,'сентябрь 2025'!$D$2:$D$2497,$B143,'сентябрь 2025'!$J$2:$J$2497,T$1)</f>
        <v>0</v>
      </c>
      <c r="U143" s="183">
        <f>SUMIFS('сентябрь 2025'!$G$2:$G$2497,'сентябрь 2025'!$D$2:$D$2497,$B143,'сентябрь 2025'!$J$2:$J$2497,U$1)</f>
        <v>0</v>
      </c>
      <c r="V143" s="183">
        <f>SUMIFS('сентябрь 2025'!$G$2:$G$2497,'сентябрь 2025'!$D$2:$D$2497,$B143,'сентябрь 2025'!$J$2:$J$2497,V$1)</f>
        <v>0</v>
      </c>
      <c r="W143" s="183">
        <f>SUMIFS('сентябрь 2025'!$G$2:$G$2497,'сентябрь 2025'!$D$2:$D$2497,$B143,'сентябрь 2025'!$J$2:$J$2497,W$1)</f>
        <v>0</v>
      </c>
      <c r="X143" s="183">
        <f>SUMIFS('сентябрь 2025'!$G$2:$G$2497,'сентябрь 2025'!$D$2:$D$2497,$B143,'сентябрь 2025'!$J$2:$J$2497,X$1)</f>
        <v>0</v>
      </c>
      <c r="Y143" s="183">
        <f>SUMIFS('сентябрь 2025'!$G$2:$G$2497,'сентябрь 2025'!$D$2:$D$2497,$B143,'сентябрь 2025'!$J$2:$J$2497,Y$1)</f>
        <v>0</v>
      </c>
      <c r="Z143" s="183">
        <f>SUMIFS('сентябрь 2025'!$G$2:$G$2497,'сентябрь 2025'!$D$2:$D$2497,$B143,'сентябрь 2025'!$J$2:$J$2497,Z$1)</f>
        <v>0</v>
      </c>
      <c r="AA143" s="183">
        <f>SUMIFS('сентябрь 2025'!$G$2:$G$2497,'сентябрь 2025'!$D$2:$D$2497,$B143,'сентябрь 2025'!$J$2:$J$2497,AA$1)</f>
        <v>0</v>
      </c>
      <c r="AB143" s="183">
        <f>SUMIFS('сентябрь 2025'!$G$2:$G$2497,'сентябрь 2025'!$D$2:$D$2497,$B143,'сентябрь 2025'!$J$2:$J$2497,AB$1)</f>
        <v>0</v>
      </c>
      <c r="AC143" s="183">
        <f>SUMIFS('сентябрь 2025'!$G$2:$G$2497,'сентябрь 2025'!$D$2:$D$2497,$B143,'сентябрь 2025'!$J$2:$J$2497,AC$1)</f>
        <v>0</v>
      </c>
      <c r="AD143" s="183">
        <f>SUMIFS('сентябрь 2025'!$G$2:$G$2497,'сентябрь 2025'!$D$2:$D$2497,$B143,'сентябрь 2025'!$J$2:$J$2497,AD$1)</f>
        <v>0</v>
      </c>
      <c r="AE143" s="183">
        <f>SUMIFS('сентябрь 2025'!$G$2:$G$2497,'сентябрь 2025'!$D$2:$D$2497,$B143,'сентябрь 2025'!$J$2:$J$2497,AE$1)</f>
        <v>0</v>
      </c>
      <c r="AF143" s="183">
        <f>SUMIFS('сентябрь 2025'!$G$2:$G$2497,'сентябрь 2025'!$D$2:$D$2497,$B143,'сентябрь 2025'!$J$2:$J$2497,AF$1)</f>
        <v>0</v>
      </c>
      <c r="AG143" s="183">
        <f>SUMIFS('сентябрь 2025'!$G$2:$G$2497,'сентябрь 2025'!$D$2:$D$2497,$B143,'сентябрь 2025'!$J$2:$J$2497,AG$1)</f>
        <v>0</v>
      </c>
      <c r="AH143" s="183">
        <f>SUMIFS('сентябрь 2025'!$G$2:$G$2497,'сентябрь 2025'!$D$2:$D$2497,$B143,'сентябрь 2025'!$J$2:$J$2497,AH$1)</f>
        <v>0</v>
      </c>
      <c r="AI143" s="20">
        <f t="shared" si="1"/>
        <v>0</v>
      </c>
    </row>
    <row r="144" spans="2:35" ht="15" customHeight="1" x14ac:dyDescent="0.25">
      <c r="B144" s="84" t="s">
        <v>295</v>
      </c>
      <c r="C144" s="86">
        <v>190</v>
      </c>
      <c r="D144" s="183">
        <f>SUMIFS('сентябрь 2025'!$G$2:$G$2497,'сентябрь 2025'!$D$2:$D$2497,$B144,'сентябрь 2025'!$J$2:$J$2497,D$1)</f>
        <v>0</v>
      </c>
      <c r="E144" s="183">
        <f>SUMIFS('сентябрь 2025'!$G$2:$G$2497,'сентябрь 2025'!$D$2:$D$2497,$B144,'сентябрь 2025'!$J$2:$J$2497,E$1)</f>
        <v>0</v>
      </c>
      <c r="F144" s="183">
        <f>SUMIFS('сентябрь 2025'!$G$2:$G$2497,'сентябрь 2025'!$D$2:$D$2497,$B144,'сентябрь 2025'!$J$2:$J$2497,F$1)</f>
        <v>0</v>
      </c>
      <c r="G144" s="183">
        <f>SUMIFS('сентябрь 2025'!$G$2:$G$2497,'сентябрь 2025'!$D$2:$D$2497,$B144,'сентябрь 2025'!$J$2:$J$2497,G$1)</f>
        <v>0</v>
      </c>
      <c r="H144" s="183">
        <f>SUMIFS('сентябрь 2025'!$G$2:$G$2497,'сентябрь 2025'!$D$2:$D$2497,$B144,'сентябрь 2025'!$J$2:$J$2497,H$1)</f>
        <v>0</v>
      </c>
      <c r="I144" s="183">
        <f>SUMIFS('сентябрь 2025'!$G$2:$G$2497,'сентябрь 2025'!$D$2:$D$2497,$B144,'сентябрь 2025'!$J$2:$J$2497,I$1)</f>
        <v>0</v>
      </c>
      <c r="J144" s="183">
        <f>SUMIFS('сентябрь 2025'!$G$2:$G$2497,'сентябрь 2025'!$D$2:$D$2497,$B144,'сентябрь 2025'!$J$2:$J$2497,J$1)</f>
        <v>0</v>
      </c>
      <c r="K144" s="183">
        <f>SUMIFS('сентябрь 2025'!$G$2:$G$2497,'сентябрь 2025'!$D$2:$D$2497,$B144,'сентябрь 2025'!$J$2:$J$2497,K$1)</f>
        <v>0</v>
      </c>
      <c r="L144" s="183">
        <f>SUMIFS('сентябрь 2025'!$G$2:$G$2497,'сентябрь 2025'!$D$2:$D$2497,$B144,'сентябрь 2025'!$J$2:$J$2497,L$1)</f>
        <v>0</v>
      </c>
      <c r="M144" s="183">
        <f>SUMIFS('сентябрь 2025'!$G$2:$G$2497,'сентябрь 2025'!$D$2:$D$2497,$B144,'сентябрь 2025'!$J$2:$J$2497,M$1)</f>
        <v>0</v>
      </c>
      <c r="N144" s="183">
        <f>SUMIFS('сентябрь 2025'!$G$2:$G$2497,'сентябрь 2025'!$D$2:$D$2497,$B144,'сентябрь 2025'!$J$2:$J$2497,N$1)</f>
        <v>0</v>
      </c>
      <c r="O144" s="183">
        <f>SUMIFS('сентябрь 2025'!$G$2:$G$2497,'сентябрь 2025'!$D$2:$D$2497,$B144,'сентябрь 2025'!$J$2:$J$2497,O$1)</f>
        <v>0</v>
      </c>
      <c r="P144" s="183">
        <f>SUMIFS('сентябрь 2025'!$G$2:$G$2497,'сентябрь 2025'!$D$2:$D$2497,$B144,'сентябрь 2025'!$J$2:$J$2497,P$1)</f>
        <v>0</v>
      </c>
      <c r="Q144" s="183">
        <f>SUMIFS('сентябрь 2025'!$G$2:$G$2497,'сентябрь 2025'!$D$2:$D$2497,$B144,'сентябрь 2025'!$J$2:$J$2497,Q$1)</f>
        <v>0</v>
      </c>
      <c r="R144" s="183">
        <f>SUMIFS('сентябрь 2025'!$G$2:$G$2497,'сентябрь 2025'!$D$2:$D$2497,$B144,'сентябрь 2025'!$J$2:$J$2497,R$1)</f>
        <v>0</v>
      </c>
      <c r="S144" s="183">
        <f>SUMIFS('сентябрь 2025'!$G$2:$G$2497,'сентябрь 2025'!$D$2:$D$2497,$B144,'сентябрь 2025'!$J$2:$J$2497,S$1)</f>
        <v>0</v>
      </c>
      <c r="T144" s="183">
        <f>SUMIFS('сентябрь 2025'!$G$2:$G$2497,'сентябрь 2025'!$D$2:$D$2497,$B144,'сентябрь 2025'!$J$2:$J$2497,T$1)</f>
        <v>0</v>
      </c>
      <c r="U144" s="183">
        <f>SUMIFS('сентябрь 2025'!$G$2:$G$2497,'сентябрь 2025'!$D$2:$D$2497,$B144,'сентябрь 2025'!$J$2:$J$2497,U$1)</f>
        <v>0</v>
      </c>
      <c r="V144" s="183">
        <f>SUMIFS('сентябрь 2025'!$G$2:$G$2497,'сентябрь 2025'!$D$2:$D$2497,$B144,'сентябрь 2025'!$J$2:$J$2497,V$1)</f>
        <v>0</v>
      </c>
      <c r="W144" s="183">
        <f>SUMIFS('сентябрь 2025'!$G$2:$G$2497,'сентябрь 2025'!$D$2:$D$2497,$B144,'сентябрь 2025'!$J$2:$J$2497,W$1)</f>
        <v>0</v>
      </c>
      <c r="X144" s="183">
        <f>SUMIFS('сентябрь 2025'!$G$2:$G$2497,'сентябрь 2025'!$D$2:$D$2497,$B144,'сентябрь 2025'!$J$2:$J$2497,X$1)</f>
        <v>0</v>
      </c>
      <c r="Y144" s="183">
        <f>SUMIFS('сентябрь 2025'!$G$2:$G$2497,'сентябрь 2025'!$D$2:$D$2497,$B144,'сентябрь 2025'!$J$2:$J$2497,Y$1)</f>
        <v>0</v>
      </c>
      <c r="Z144" s="183">
        <f>SUMIFS('сентябрь 2025'!$G$2:$G$2497,'сентябрь 2025'!$D$2:$D$2497,$B144,'сентябрь 2025'!$J$2:$J$2497,Z$1)</f>
        <v>0</v>
      </c>
      <c r="AA144" s="183">
        <f>SUMIFS('сентябрь 2025'!$G$2:$G$2497,'сентябрь 2025'!$D$2:$D$2497,$B144,'сентябрь 2025'!$J$2:$J$2497,AA$1)</f>
        <v>0</v>
      </c>
      <c r="AB144" s="183">
        <f>SUMIFS('сентябрь 2025'!$G$2:$G$2497,'сентябрь 2025'!$D$2:$D$2497,$B144,'сентябрь 2025'!$J$2:$J$2497,AB$1)</f>
        <v>0</v>
      </c>
      <c r="AC144" s="183">
        <f>SUMIFS('сентябрь 2025'!$G$2:$G$2497,'сентябрь 2025'!$D$2:$D$2497,$B144,'сентябрь 2025'!$J$2:$J$2497,AC$1)</f>
        <v>0</v>
      </c>
      <c r="AD144" s="183">
        <f>SUMIFS('сентябрь 2025'!$G$2:$G$2497,'сентябрь 2025'!$D$2:$D$2497,$B144,'сентябрь 2025'!$J$2:$J$2497,AD$1)</f>
        <v>0</v>
      </c>
      <c r="AE144" s="183">
        <f>SUMIFS('сентябрь 2025'!$G$2:$G$2497,'сентябрь 2025'!$D$2:$D$2497,$B144,'сентябрь 2025'!$J$2:$J$2497,AE$1)</f>
        <v>0</v>
      </c>
      <c r="AF144" s="183">
        <f>SUMIFS('сентябрь 2025'!$G$2:$G$2497,'сентябрь 2025'!$D$2:$D$2497,$B144,'сентябрь 2025'!$J$2:$J$2497,AF$1)</f>
        <v>0</v>
      </c>
      <c r="AG144" s="183">
        <f>SUMIFS('сентябрь 2025'!$G$2:$G$2497,'сентябрь 2025'!$D$2:$D$2497,$B144,'сентябрь 2025'!$J$2:$J$2497,AG$1)</f>
        <v>0</v>
      </c>
      <c r="AH144" s="183">
        <f>SUMIFS('сентябрь 2025'!$G$2:$G$2497,'сентябрь 2025'!$D$2:$D$2497,$B144,'сентябрь 2025'!$J$2:$J$2497,AH$1)</f>
        <v>0</v>
      </c>
      <c r="AI144" s="20">
        <f t="shared" si="1"/>
        <v>0</v>
      </c>
    </row>
    <row r="145" spans="2:35" ht="15" customHeight="1" x14ac:dyDescent="0.25">
      <c r="B145" s="84" t="s">
        <v>269</v>
      </c>
      <c r="C145" s="86">
        <v>200</v>
      </c>
      <c r="D145" s="183">
        <f>SUMIFS('сентябрь 2025'!$G$2:$G$2497,'сентябрь 2025'!$D$2:$D$2497,$B145,'сентябрь 2025'!$J$2:$J$2497,D$1)</f>
        <v>0</v>
      </c>
      <c r="E145" s="183">
        <f>SUMIFS('сентябрь 2025'!$G$2:$G$2497,'сентябрь 2025'!$D$2:$D$2497,$B145,'сентябрь 2025'!$J$2:$J$2497,E$1)</f>
        <v>0</v>
      </c>
      <c r="F145" s="183">
        <f>SUMIFS('сентябрь 2025'!$G$2:$G$2497,'сентябрь 2025'!$D$2:$D$2497,$B145,'сентябрь 2025'!$J$2:$J$2497,F$1)</f>
        <v>0</v>
      </c>
      <c r="G145" s="183">
        <f>SUMIFS('сентябрь 2025'!$G$2:$G$2497,'сентябрь 2025'!$D$2:$D$2497,$B145,'сентябрь 2025'!$J$2:$J$2497,G$1)</f>
        <v>0</v>
      </c>
      <c r="H145" s="183">
        <f>SUMIFS('сентябрь 2025'!$G$2:$G$2497,'сентябрь 2025'!$D$2:$D$2497,$B145,'сентябрь 2025'!$J$2:$J$2497,H$1)</f>
        <v>0</v>
      </c>
      <c r="I145" s="183">
        <f>SUMIFS('сентябрь 2025'!$G$2:$G$2497,'сентябрь 2025'!$D$2:$D$2497,$B145,'сентябрь 2025'!$J$2:$J$2497,I$1)</f>
        <v>0</v>
      </c>
      <c r="J145" s="183">
        <f>SUMIFS('сентябрь 2025'!$G$2:$G$2497,'сентябрь 2025'!$D$2:$D$2497,$B145,'сентябрь 2025'!$J$2:$J$2497,J$1)</f>
        <v>0</v>
      </c>
      <c r="K145" s="183">
        <f>SUMIFS('сентябрь 2025'!$G$2:$G$2497,'сентябрь 2025'!$D$2:$D$2497,$B145,'сентябрь 2025'!$J$2:$J$2497,K$1)</f>
        <v>0</v>
      </c>
      <c r="L145" s="183">
        <f>SUMIFS('сентябрь 2025'!$G$2:$G$2497,'сентябрь 2025'!$D$2:$D$2497,$B145,'сентябрь 2025'!$J$2:$J$2497,L$1)</f>
        <v>0</v>
      </c>
      <c r="M145" s="183">
        <f>SUMIFS('сентябрь 2025'!$G$2:$G$2497,'сентябрь 2025'!$D$2:$D$2497,$B145,'сентябрь 2025'!$J$2:$J$2497,M$1)</f>
        <v>0</v>
      </c>
      <c r="N145" s="183">
        <f>SUMIFS('сентябрь 2025'!$G$2:$G$2497,'сентябрь 2025'!$D$2:$D$2497,$B145,'сентябрь 2025'!$J$2:$J$2497,N$1)</f>
        <v>0</v>
      </c>
      <c r="O145" s="183">
        <f>SUMIFS('сентябрь 2025'!$G$2:$G$2497,'сентябрь 2025'!$D$2:$D$2497,$B145,'сентябрь 2025'!$J$2:$J$2497,O$1)</f>
        <v>0</v>
      </c>
      <c r="P145" s="183">
        <f>SUMIFS('сентябрь 2025'!$G$2:$G$2497,'сентябрь 2025'!$D$2:$D$2497,$B145,'сентябрь 2025'!$J$2:$J$2497,P$1)</f>
        <v>0</v>
      </c>
      <c r="Q145" s="183">
        <f>SUMIFS('сентябрь 2025'!$G$2:$G$2497,'сентябрь 2025'!$D$2:$D$2497,$B145,'сентябрь 2025'!$J$2:$J$2497,Q$1)</f>
        <v>0</v>
      </c>
      <c r="R145" s="183">
        <f>SUMIFS('сентябрь 2025'!$G$2:$G$2497,'сентябрь 2025'!$D$2:$D$2497,$B145,'сентябрь 2025'!$J$2:$J$2497,R$1)</f>
        <v>0</v>
      </c>
      <c r="S145" s="183">
        <f>SUMIFS('сентябрь 2025'!$G$2:$G$2497,'сентябрь 2025'!$D$2:$D$2497,$B145,'сентябрь 2025'!$J$2:$J$2497,S$1)</f>
        <v>0</v>
      </c>
      <c r="T145" s="183">
        <f>SUMIFS('сентябрь 2025'!$G$2:$G$2497,'сентябрь 2025'!$D$2:$D$2497,$B145,'сентябрь 2025'!$J$2:$J$2497,T$1)</f>
        <v>0</v>
      </c>
      <c r="U145" s="183">
        <f>SUMIFS('сентябрь 2025'!$G$2:$G$2497,'сентябрь 2025'!$D$2:$D$2497,$B145,'сентябрь 2025'!$J$2:$J$2497,U$1)</f>
        <v>0</v>
      </c>
      <c r="V145" s="183">
        <f>SUMIFS('сентябрь 2025'!$G$2:$G$2497,'сентябрь 2025'!$D$2:$D$2497,$B145,'сентябрь 2025'!$J$2:$J$2497,V$1)</f>
        <v>0</v>
      </c>
      <c r="W145" s="183">
        <f>SUMIFS('сентябрь 2025'!$G$2:$G$2497,'сентябрь 2025'!$D$2:$D$2497,$B145,'сентябрь 2025'!$J$2:$J$2497,W$1)</f>
        <v>0</v>
      </c>
      <c r="X145" s="183">
        <f>SUMIFS('сентябрь 2025'!$G$2:$G$2497,'сентябрь 2025'!$D$2:$D$2497,$B145,'сентябрь 2025'!$J$2:$J$2497,X$1)</f>
        <v>0</v>
      </c>
      <c r="Y145" s="183">
        <f>SUMIFS('сентябрь 2025'!$G$2:$G$2497,'сентябрь 2025'!$D$2:$D$2497,$B145,'сентябрь 2025'!$J$2:$J$2497,Y$1)</f>
        <v>0</v>
      </c>
      <c r="Z145" s="183">
        <f>SUMIFS('сентябрь 2025'!$G$2:$G$2497,'сентябрь 2025'!$D$2:$D$2497,$B145,'сентябрь 2025'!$J$2:$J$2497,Z$1)</f>
        <v>0</v>
      </c>
      <c r="AA145" s="183">
        <f>SUMIFS('сентябрь 2025'!$G$2:$G$2497,'сентябрь 2025'!$D$2:$D$2497,$B145,'сентябрь 2025'!$J$2:$J$2497,AA$1)</f>
        <v>0</v>
      </c>
      <c r="AB145" s="183">
        <f>SUMIFS('сентябрь 2025'!$G$2:$G$2497,'сентябрь 2025'!$D$2:$D$2497,$B145,'сентябрь 2025'!$J$2:$J$2497,AB$1)</f>
        <v>0</v>
      </c>
      <c r="AC145" s="183">
        <f>SUMIFS('сентябрь 2025'!$G$2:$G$2497,'сентябрь 2025'!$D$2:$D$2497,$B145,'сентябрь 2025'!$J$2:$J$2497,AC$1)</f>
        <v>0</v>
      </c>
      <c r="AD145" s="183">
        <f>SUMIFS('сентябрь 2025'!$G$2:$G$2497,'сентябрь 2025'!$D$2:$D$2497,$B145,'сентябрь 2025'!$J$2:$J$2497,AD$1)</f>
        <v>0</v>
      </c>
      <c r="AE145" s="183">
        <f>SUMIFS('сентябрь 2025'!$G$2:$G$2497,'сентябрь 2025'!$D$2:$D$2497,$B145,'сентябрь 2025'!$J$2:$J$2497,AE$1)</f>
        <v>0</v>
      </c>
      <c r="AF145" s="183">
        <f>SUMIFS('сентябрь 2025'!$G$2:$G$2497,'сентябрь 2025'!$D$2:$D$2497,$B145,'сентябрь 2025'!$J$2:$J$2497,AF$1)</f>
        <v>0</v>
      </c>
      <c r="AG145" s="183">
        <f>SUMIFS('сентябрь 2025'!$G$2:$G$2497,'сентябрь 2025'!$D$2:$D$2497,$B145,'сентябрь 2025'!$J$2:$J$2497,AG$1)</f>
        <v>0</v>
      </c>
      <c r="AH145" s="183">
        <f>SUMIFS('сентябрь 2025'!$G$2:$G$2497,'сентябрь 2025'!$D$2:$D$2497,$B145,'сентябрь 2025'!$J$2:$J$2497,AH$1)</f>
        <v>0</v>
      </c>
      <c r="AI145" s="20">
        <f t="shared" si="1"/>
        <v>0</v>
      </c>
    </row>
    <row r="146" spans="2:35" ht="15" customHeight="1" x14ac:dyDescent="0.25">
      <c r="B146" s="84" t="s">
        <v>279</v>
      </c>
      <c r="C146" s="86">
        <v>200</v>
      </c>
      <c r="D146" s="183">
        <f>SUMIFS('сентябрь 2025'!$G$2:$G$2497,'сентябрь 2025'!$D$2:$D$2497,$B146,'сентябрь 2025'!$J$2:$J$2497,D$1)</f>
        <v>0</v>
      </c>
      <c r="E146" s="183">
        <f>SUMIFS('сентябрь 2025'!$G$2:$G$2497,'сентябрь 2025'!$D$2:$D$2497,$B146,'сентябрь 2025'!$J$2:$J$2497,E$1)</f>
        <v>0</v>
      </c>
      <c r="F146" s="183">
        <f>SUMIFS('сентябрь 2025'!$G$2:$G$2497,'сентябрь 2025'!$D$2:$D$2497,$B146,'сентябрь 2025'!$J$2:$J$2497,F$1)</f>
        <v>0</v>
      </c>
      <c r="G146" s="183">
        <f>SUMIFS('сентябрь 2025'!$G$2:$G$2497,'сентябрь 2025'!$D$2:$D$2497,$B146,'сентябрь 2025'!$J$2:$J$2497,G$1)</f>
        <v>0</v>
      </c>
      <c r="H146" s="183">
        <f>SUMIFS('сентябрь 2025'!$G$2:$G$2497,'сентябрь 2025'!$D$2:$D$2497,$B146,'сентябрь 2025'!$J$2:$J$2497,H$1)</f>
        <v>0</v>
      </c>
      <c r="I146" s="183">
        <f>SUMIFS('сентябрь 2025'!$G$2:$G$2497,'сентябрь 2025'!$D$2:$D$2497,$B146,'сентябрь 2025'!$J$2:$J$2497,I$1)</f>
        <v>0</v>
      </c>
      <c r="J146" s="183">
        <f>SUMIFS('сентябрь 2025'!$G$2:$G$2497,'сентябрь 2025'!$D$2:$D$2497,$B146,'сентябрь 2025'!$J$2:$J$2497,J$1)</f>
        <v>0</v>
      </c>
      <c r="K146" s="183">
        <f>SUMIFS('сентябрь 2025'!$G$2:$G$2497,'сентябрь 2025'!$D$2:$D$2497,$B146,'сентябрь 2025'!$J$2:$J$2497,K$1)</f>
        <v>0</v>
      </c>
      <c r="L146" s="183">
        <f>SUMIFS('сентябрь 2025'!$G$2:$G$2497,'сентябрь 2025'!$D$2:$D$2497,$B146,'сентябрь 2025'!$J$2:$J$2497,L$1)</f>
        <v>0</v>
      </c>
      <c r="M146" s="183">
        <f>SUMIFS('сентябрь 2025'!$G$2:$G$2497,'сентябрь 2025'!$D$2:$D$2497,$B146,'сентябрь 2025'!$J$2:$J$2497,M$1)</f>
        <v>0</v>
      </c>
      <c r="N146" s="183">
        <f>SUMIFS('сентябрь 2025'!$G$2:$G$2497,'сентябрь 2025'!$D$2:$D$2497,$B146,'сентябрь 2025'!$J$2:$J$2497,N$1)</f>
        <v>0</v>
      </c>
      <c r="O146" s="183">
        <f>SUMIFS('сентябрь 2025'!$G$2:$G$2497,'сентябрь 2025'!$D$2:$D$2497,$B146,'сентябрь 2025'!$J$2:$J$2497,O$1)</f>
        <v>0</v>
      </c>
      <c r="P146" s="183">
        <f>SUMIFS('сентябрь 2025'!$G$2:$G$2497,'сентябрь 2025'!$D$2:$D$2497,$B146,'сентябрь 2025'!$J$2:$J$2497,P$1)</f>
        <v>0</v>
      </c>
      <c r="Q146" s="183">
        <f>SUMIFS('сентябрь 2025'!$G$2:$G$2497,'сентябрь 2025'!$D$2:$D$2497,$B146,'сентябрь 2025'!$J$2:$J$2497,Q$1)</f>
        <v>0</v>
      </c>
      <c r="R146" s="183">
        <f>SUMIFS('сентябрь 2025'!$G$2:$G$2497,'сентябрь 2025'!$D$2:$D$2497,$B146,'сентябрь 2025'!$J$2:$J$2497,R$1)</f>
        <v>0</v>
      </c>
      <c r="S146" s="183">
        <f>SUMIFS('сентябрь 2025'!$G$2:$G$2497,'сентябрь 2025'!$D$2:$D$2497,$B146,'сентябрь 2025'!$J$2:$J$2497,S$1)</f>
        <v>0</v>
      </c>
      <c r="T146" s="183">
        <f>SUMIFS('сентябрь 2025'!$G$2:$G$2497,'сентябрь 2025'!$D$2:$D$2497,$B146,'сентябрь 2025'!$J$2:$J$2497,T$1)</f>
        <v>0</v>
      </c>
      <c r="U146" s="183">
        <f>SUMIFS('сентябрь 2025'!$G$2:$G$2497,'сентябрь 2025'!$D$2:$D$2497,$B146,'сентябрь 2025'!$J$2:$J$2497,U$1)</f>
        <v>0</v>
      </c>
      <c r="V146" s="183">
        <f>SUMIFS('сентябрь 2025'!$G$2:$G$2497,'сентябрь 2025'!$D$2:$D$2497,$B146,'сентябрь 2025'!$J$2:$J$2497,V$1)</f>
        <v>0</v>
      </c>
      <c r="W146" s="183">
        <f>SUMIFS('сентябрь 2025'!$G$2:$G$2497,'сентябрь 2025'!$D$2:$D$2497,$B146,'сентябрь 2025'!$J$2:$J$2497,W$1)</f>
        <v>0</v>
      </c>
      <c r="X146" s="183">
        <f>SUMIFS('сентябрь 2025'!$G$2:$G$2497,'сентябрь 2025'!$D$2:$D$2497,$B146,'сентябрь 2025'!$J$2:$J$2497,X$1)</f>
        <v>0</v>
      </c>
      <c r="Y146" s="183">
        <f>SUMIFS('сентябрь 2025'!$G$2:$G$2497,'сентябрь 2025'!$D$2:$D$2497,$B146,'сентябрь 2025'!$J$2:$J$2497,Y$1)</f>
        <v>0</v>
      </c>
      <c r="Z146" s="183">
        <f>SUMIFS('сентябрь 2025'!$G$2:$G$2497,'сентябрь 2025'!$D$2:$D$2497,$B146,'сентябрь 2025'!$J$2:$J$2497,Z$1)</f>
        <v>0</v>
      </c>
      <c r="AA146" s="183">
        <f>SUMIFS('сентябрь 2025'!$G$2:$G$2497,'сентябрь 2025'!$D$2:$D$2497,$B146,'сентябрь 2025'!$J$2:$J$2497,AA$1)</f>
        <v>0</v>
      </c>
      <c r="AB146" s="183">
        <f>SUMIFS('сентябрь 2025'!$G$2:$G$2497,'сентябрь 2025'!$D$2:$D$2497,$B146,'сентябрь 2025'!$J$2:$J$2497,AB$1)</f>
        <v>0</v>
      </c>
      <c r="AC146" s="183">
        <f>SUMIFS('сентябрь 2025'!$G$2:$G$2497,'сентябрь 2025'!$D$2:$D$2497,$B146,'сентябрь 2025'!$J$2:$J$2497,AC$1)</f>
        <v>0</v>
      </c>
      <c r="AD146" s="183">
        <f>SUMIFS('сентябрь 2025'!$G$2:$G$2497,'сентябрь 2025'!$D$2:$D$2497,$B146,'сентябрь 2025'!$J$2:$J$2497,AD$1)</f>
        <v>0</v>
      </c>
      <c r="AE146" s="183">
        <f>SUMIFS('сентябрь 2025'!$G$2:$G$2497,'сентябрь 2025'!$D$2:$D$2497,$B146,'сентябрь 2025'!$J$2:$J$2497,AE$1)</f>
        <v>0</v>
      </c>
      <c r="AF146" s="183">
        <f>SUMIFS('сентябрь 2025'!$G$2:$G$2497,'сентябрь 2025'!$D$2:$D$2497,$B146,'сентябрь 2025'!$J$2:$J$2497,AF$1)</f>
        <v>0</v>
      </c>
      <c r="AG146" s="183">
        <f>SUMIFS('сентябрь 2025'!$G$2:$G$2497,'сентябрь 2025'!$D$2:$D$2497,$B146,'сентябрь 2025'!$J$2:$J$2497,AG$1)</f>
        <v>0</v>
      </c>
      <c r="AH146" s="183">
        <f>SUMIFS('сентябрь 2025'!$G$2:$G$2497,'сентябрь 2025'!$D$2:$D$2497,$B146,'сентябрь 2025'!$J$2:$J$2497,AH$1)</f>
        <v>0</v>
      </c>
      <c r="AI146" s="20">
        <f t="shared" si="1"/>
        <v>0</v>
      </c>
    </row>
    <row r="147" spans="2:35" ht="15" customHeight="1" x14ac:dyDescent="0.25">
      <c r="B147" s="84" t="s">
        <v>197</v>
      </c>
      <c r="C147" s="86">
        <v>180</v>
      </c>
      <c r="D147" s="183">
        <f>SUMIFS('сентябрь 2025'!$G$2:$G$2497,'сентябрь 2025'!$D$2:$D$2497,$B147,'сентябрь 2025'!$J$2:$J$2497,D$1)</f>
        <v>0</v>
      </c>
      <c r="E147" s="183">
        <f>SUMIFS('сентябрь 2025'!$G$2:$G$2497,'сентябрь 2025'!$D$2:$D$2497,$B147,'сентябрь 2025'!$J$2:$J$2497,E$1)</f>
        <v>0</v>
      </c>
      <c r="F147" s="183">
        <f>SUMIFS('сентябрь 2025'!$G$2:$G$2497,'сентябрь 2025'!$D$2:$D$2497,$B147,'сентябрь 2025'!$J$2:$J$2497,F$1)</f>
        <v>0</v>
      </c>
      <c r="G147" s="183">
        <f>SUMIFS('сентябрь 2025'!$G$2:$G$2497,'сентябрь 2025'!$D$2:$D$2497,$B147,'сентябрь 2025'!$J$2:$J$2497,G$1)</f>
        <v>0</v>
      </c>
      <c r="H147" s="183">
        <f>SUMIFS('сентябрь 2025'!$G$2:$G$2497,'сентябрь 2025'!$D$2:$D$2497,$B147,'сентябрь 2025'!$J$2:$J$2497,H$1)</f>
        <v>0</v>
      </c>
      <c r="I147" s="183">
        <f>SUMIFS('сентябрь 2025'!$G$2:$G$2497,'сентябрь 2025'!$D$2:$D$2497,$B147,'сентябрь 2025'!$J$2:$J$2497,I$1)</f>
        <v>0</v>
      </c>
      <c r="J147" s="183">
        <f>SUMIFS('сентябрь 2025'!$G$2:$G$2497,'сентябрь 2025'!$D$2:$D$2497,$B147,'сентябрь 2025'!$J$2:$J$2497,J$1)</f>
        <v>0</v>
      </c>
      <c r="K147" s="183">
        <f>SUMIFS('сентябрь 2025'!$G$2:$G$2497,'сентябрь 2025'!$D$2:$D$2497,$B147,'сентябрь 2025'!$J$2:$J$2497,K$1)</f>
        <v>0</v>
      </c>
      <c r="L147" s="183">
        <f>SUMIFS('сентябрь 2025'!$G$2:$G$2497,'сентябрь 2025'!$D$2:$D$2497,$B147,'сентябрь 2025'!$J$2:$J$2497,L$1)</f>
        <v>0</v>
      </c>
      <c r="M147" s="183">
        <f>SUMIFS('сентябрь 2025'!$G$2:$G$2497,'сентябрь 2025'!$D$2:$D$2497,$B147,'сентябрь 2025'!$J$2:$J$2497,M$1)</f>
        <v>0</v>
      </c>
      <c r="N147" s="183">
        <f>SUMIFS('сентябрь 2025'!$G$2:$G$2497,'сентябрь 2025'!$D$2:$D$2497,$B147,'сентябрь 2025'!$J$2:$J$2497,N$1)</f>
        <v>0</v>
      </c>
      <c r="O147" s="183">
        <f>SUMIFS('сентябрь 2025'!$G$2:$G$2497,'сентябрь 2025'!$D$2:$D$2497,$B147,'сентябрь 2025'!$J$2:$J$2497,O$1)</f>
        <v>0</v>
      </c>
      <c r="P147" s="183">
        <f>SUMIFS('сентябрь 2025'!$G$2:$G$2497,'сентябрь 2025'!$D$2:$D$2497,$B147,'сентябрь 2025'!$J$2:$J$2497,P$1)</f>
        <v>0</v>
      </c>
      <c r="Q147" s="183">
        <f>SUMIFS('сентябрь 2025'!$G$2:$G$2497,'сентябрь 2025'!$D$2:$D$2497,$B147,'сентябрь 2025'!$J$2:$J$2497,Q$1)</f>
        <v>0</v>
      </c>
      <c r="R147" s="183">
        <f>SUMIFS('сентябрь 2025'!$G$2:$G$2497,'сентябрь 2025'!$D$2:$D$2497,$B147,'сентябрь 2025'!$J$2:$J$2497,R$1)</f>
        <v>0</v>
      </c>
      <c r="S147" s="183">
        <f>SUMIFS('сентябрь 2025'!$G$2:$G$2497,'сентябрь 2025'!$D$2:$D$2497,$B147,'сентябрь 2025'!$J$2:$J$2497,S$1)</f>
        <v>0</v>
      </c>
      <c r="T147" s="183">
        <f>SUMIFS('сентябрь 2025'!$G$2:$G$2497,'сентябрь 2025'!$D$2:$D$2497,$B147,'сентябрь 2025'!$J$2:$J$2497,T$1)</f>
        <v>0</v>
      </c>
      <c r="U147" s="183">
        <f>SUMIFS('сентябрь 2025'!$G$2:$G$2497,'сентябрь 2025'!$D$2:$D$2497,$B147,'сентябрь 2025'!$J$2:$J$2497,U$1)</f>
        <v>0</v>
      </c>
      <c r="V147" s="183">
        <f>SUMIFS('сентябрь 2025'!$G$2:$G$2497,'сентябрь 2025'!$D$2:$D$2497,$B147,'сентябрь 2025'!$J$2:$J$2497,V$1)</f>
        <v>0</v>
      </c>
      <c r="W147" s="183">
        <f>SUMIFS('сентябрь 2025'!$G$2:$G$2497,'сентябрь 2025'!$D$2:$D$2497,$B147,'сентябрь 2025'!$J$2:$J$2497,W$1)</f>
        <v>0</v>
      </c>
      <c r="X147" s="183">
        <f>SUMIFS('сентябрь 2025'!$G$2:$G$2497,'сентябрь 2025'!$D$2:$D$2497,$B147,'сентябрь 2025'!$J$2:$J$2497,X$1)</f>
        <v>0</v>
      </c>
      <c r="Y147" s="183">
        <f>SUMIFS('сентябрь 2025'!$G$2:$G$2497,'сентябрь 2025'!$D$2:$D$2497,$B147,'сентябрь 2025'!$J$2:$J$2497,Y$1)</f>
        <v>0</v>
      </c>
      <c r="Z147" s="183">
        <f>SUMIFS('сентябрь 2025'!$G$2:$G$2497,'сентябрь 2025'!$D$2:$D$2497,$B147,'сентябрь 2025'!$J$2:$J$2497,Z$1)</f>
        <v>0</v>
      </c>
      <c r="AA147" s="183">
        <f>SUMIFS('сентябрь 2025'!$G$2:$G$2497,'сентябрь 2025'!$D$2:$D$2497,$B147,'сентябрь 2025'!$J$2:$J$2497,AA$1)</f>
        <v>0</v>
      </c>
      <c r="AB147" s="183">
        <f>SUMIFS('сентябрь 2025'!$G$2:$G$2497,'сентябрь 2025'!$D$2:$D$2497,$B147,'сентябрь 2025'!$J$2:$J$2497,AB$1)</f>
        <v>0</v>
      </c>
      <c r="AC147" s="183">
        <f>SUMIFS('сентябрь 2025'!$G$2:$G$2497,'сентябрь 2025'!$D$2:$D$2497,$B147,'сентябрь 2025'!$J$2:$J$2497,AC$1)</f>
        <v>0</v>
      </c>
      <c r="AD147" s="183">
        <f>SUMIFS('сентябрь 2025'!$G$2:$G$2497,'сентябрь 2025'!$D$2:$D$2497,$B147,'сентябрь 2025'!$J$2:$J$2497,AD$1)</f>
        <v>0</v>
      </c>
      <c r="AE147" s="183">
        <f>SUMIFS('сентябрь 2025'!$G$2:$G$2497,'сентябрь 2025'!$D$2:$D$2497,$B147,'сентябрь 2025'!$J$2:$J$2497,AE$1)</f>
        <v>0</v>
      </c>
      <c r="AF147" s="183">
        <f>SUMIFS('сентябрь 2025'!$G$2:$G$2497,'сентябрь 2025'!$D$2:$D$2497,$B147,'сентябрь 2025'!$J$2:$J$2497,AF$1)</f>
        <v>0</v>
      </c>
      <c r="AG147" s="183">
        <f>SUMIFS('сентябрь 2025'!$G$2:$G$2497,'сентябрь 2025'!$D$2:$D$2497,$B147,'сентябрь 2025'!$J$2:$J$2497,AG$1)</f>
        <v>0</v>
      </c>
      <c r="AH147" s="183">
        <f>SUMIFS('сентябрь 2025'!$G$2:$G$2497,'сентябрь 2025'!$D$2:$D$2497,$B147,'сентябрь 2025'!$J$2:$J$2497,AH$1)</f>
        <v>0</v>
      </c>
      <c r="AI147" s="20">
        <f t="shared" si="1"/>
        <v>0</v>
      </c>
    </row>
    <row r="148" spans="2:35" ht="15" customHeight="1" x14ac:dyDescent="0.25">
      <c r="B148" s="88" t="s">
        <v>293</v>
      </c>
      <c r="C148" s="86">
        <v>180</v>
      </c>
      <c r="D148" s="183">
        <f>SUMIFS('сентябрь 2025'!$G$2:$G$2497,'сентябрь 2025'!$D$2:$D$2497,$B148,'сентябрь 2025'!$J$2:$J$2497,D$1)</f>
        <v>0</v>
      </c>
      <c r="E148" s="183">
        <f>SUMIFS('сентябрь 2025'!$G$2:$G$2497,'сентябрь 2025'!$D$2:$D$2497,$B148,'сентябрь 2025'!$J$2:$J$2497,E$1)</f>
        <v>0</v>
      </c>
      <c r="F148" s="183">
        <f>SUMIFS('сентябрь 2025'!$G$2:$G$2497,'сентябрь 2025'!$D$2:$D$2497,$B148,'сентябрь 2025'!$J$2:$J$2497,F$1)</f>
        <v>0</v>
      </c>
      <c r="G148" s="183">
        <f>SUMIFS('сентябрь 2025'!$G$2:$G$2497,'сентябрь 2025'!$D$2:$D$2497,$B148,'сентябрь 2025'!$J$2:$J$2497,G$1)</f>
        <v>0</v>
      </c>
      <c r="H148" s="183">
        <f>SUMIFS('сентябрь 2025'!$G$2:$G$2497,'сентябрь 2025'!$D$2:$D$2497,$B148,'сентябрь 2025'!$J$2:$J$2497,H$1)</f>
        <v>0</v>
      </c>
      <c r="I148" s="183">
        <f>SUMIFS('сентябрь 2025'!$G$2:$G$2497,'сентябрь 2025'!$D$2:$D$2497,$B148,'сентябрь 2025'!$J$2:$J$2497,I$1)</f>
        <v>0</v>
      </c>
      <c r="J148" s="183">
        <f>SUMIFS('сентябрь 2025'!$G$2:$G$2497,'сентябрь 2025'!$D$2:$D$2497,$B148,'сентябрь 2025'!$J$2:$J$2497,J$1)</f>
        <v>0</v>
      </c>
      <c r="K148" s="183">
        <f>SUMIFS('сентябрь 2025'!$G$2:$G$2497,'сентябрь 2025'!$D$2:$D$2497,$B148,'сентябрь 2025'!$J$2:$J$2497,K$1)</f>
        <v>0</v>
      </c>
      <c r="L148" s="183">
        <f>SUMIFS('сентябрь 2025'!$G$2:$G$2497,'сентябрь 2025'!$D$2:$D$2497,$B148,'сентябрь 2025'!$J$2:$J$2497,L$1)</f>
        <v>0</v>
      </c>
      <c r="M148" s="183">
        <f>SUMIFS('сентябрь 2025'!$G$2:$G$2497,'сентябрь 2025'!$D$2:$D$2497,$B148,'сентябрь 2025'!$J$2:$J$2497,M$1)</f>
        <v>0</v>
      </c>
      <c r="N148" s="183">
        <f>SUMIFS('сентябрь 2025'!$G$2:$G$2497,'сентябрь 2025'!$D$2:$D$2497,$B148,'сентябрь 2025'!$J$2:$J$2497,N$1)</f>
        <v>0</v>
      </c>
      <c r="O148" s="183">
        <f>SUMIFS('сентябрь 2025'!$G$2:$G$2497,'сентябрь 2025'!$D$2:$D$2497,$B148,'сентябрь 2025'!$J$2:$J$2497,O$1)</f>
        <v>0</v>
      </c>
      <c r="P148" s="183">
        <f>SUMIFS('сентябрь 2025'!$G$2:$G$2497,'сентябрь 2025'!$D$2:$D$2497,$B148,'сентябрь 2025'!$J$2:$J$2497,P$1)</f>
        <v>0</v>
      </c>
      <c r="Q148" s="183">
        <f>SUMIFS('сентябрь 2025'!$G$2:$G$2497,'сентябрь 2025'!$D$2:$D$2497,$B148,'сентябрь 2025'!$J$2:$J$2497,Q$1)</f>
        <v>0</v>
      </c>
      <c r="R148" s="183">
        <f>SUMIFS('сентябрь 2025'!$G$2:$G$2497,'сентябрь 2025'!$D$2:$D$2497,$B148,'сентябрь 2025'!$J$2:$J$2497,R$1)</f>
        <v>0</v>
      </c>
      <c r="S148" s="183">
        <f>SUMIFS('сентябрь 2025'!$G$2:$G$2497,'сентябрь 2025'!$D$2:$D$2497,$B148,'сентябрь 2025'!$J$2:$J$2497,S$1)</f>
        <v>0</v>
      </c>
      <c r="T148" s="183">
        <f>SUMIFS('сентябрь 2025'!$G$2:$G$2497,'сентябрь 2025'!$D$2:$D$2497,$B148,'сентябрь 2025'!$J$2:$J$2497,T$1)</f>
        <v>0</v>
      </c>
      <c r="U148" s="183">
        <f>SUMIFS('сентябрь 2025'!$G$2:$G$2497,'сентябрь 2025'!$D$2:$D$2497,$B148,'сентябрь 2025'!$J$2:$J$2497,U$1)</f>
        <v>0</v>
      </c>
      <c r="V148" s="183">
        <f>SUMIFS('сентябрь 2025'!$G$2:$G$2497,'сентябрь 2025'!$D$2:$D$2497,$B148,'сентябрь 2025'!$J$2:$J$2497,V$1)</f>
        <v>0</v>
      </c>
      <c r="W148" s="183">
        <f>SUMIFS('сентябрь 2025'!$G$2:$G$2497,'сентябрь 2025'!$D$2:$D$2497,$B148,'сентябрь 2025'!$J$2:$J$2497,W$1)</f>
        <v>0</v>
      </c>
      <c r="X148" s="183">
        <f>SUMIFS('сентябрь 2025'!$G$2:$G$2497,'сентябрь 2025'!$D$2:$D$2497,$B148,'сентябрь 2025'!$J$2:$J$2497,X$1)</f>
        <v>0</v>
      </c>
      <c r="Y148" s="183">
        <f>SUMIFS('сентябрь 2025'!$G$2:$G$2497,'сентябрь 2025'!$D$2:$D$2497,$B148,'сентябрь 2025'!$J$2:$J$2497,Y$1)</f>
        <v>0</v>
      </c>
      <c r="Z148" s="183">
        <f>SUMIFS('сентябрь 2025'!$G$2:$G$2497,'сентябрь 2025'!$D$2:$D$2497,$B148,'сентябрь 2025'!$J$2:$J$2497,Z$1)</f>
        <v>0</v>
      </c>
      <c r="AA148" s="183">
        <f>SUMIFS('сентябрь 2025'!$G$2:$G$2497,'сентябрь 2025'!$D$2:$D$2497,$B148,'сентябрь 2025'!$J$2:$J$2497,AA$1)</f>
        <v>0</v>
      </c>
      <c r="AB148" s="183">
        <f>SUMIFS('сентябрь 2025'!$G$2:$G$2497,'сентябрь 2025'!$D$2:$D$2497,$B148,'сентябрь 2025'!$J$2:$J$2497,AB$1)</f>
        <v>0</v>
      </c>
      <c r="AC148" s="183">
        <f>SUMIFS('сентябрь 2025'!$G$2:$G$2497,'сентябрь 2025'!$D$2:$D$2497,$B148,'сентябрь 2025'!$J$2:$J$2497,AC$1)</f>
        <v>0</v>
      </c>
      <c r="AD148" s="183">
        <f>SUMIFS('сентябрь 2025'!$G$2:$G$2497,'сентябрь 2025'!$D$2:$D$2497,$B148,'сентябрь 2025'!$J$2:$J$2497,AD$1)</f>
        <v>0</v>
      </c>
      <c r="AE148" s="183">
        <f>SUMIFS('сентябрь 2025'!$G$2:$G$2497,'сентябрь 2025'!$D$2:$D$2497,$B148,'сентябрь 2025'!$J$2:$J$2497,AE$1)</f>
        <v>0</v>
      </c>
      <c r="AF148" s="183">
        <f>SUMIFS('сентябрь 2025'!$G$2:$G$2497,'сентябрь 2025'!$D$2:$D$2497,$B148,'сентябрь 2025'!$J$2:$J$2497,AF$1)</f>
        <v>0</v>
      </c>
      <c r="AG148" s="183">
        <f>SUMIFS('сентябрь 2025'!$G$2:$G$2497,'сентябрь 2025'!$D$2:$D$2497,$B148,'сентябрь 2025'!$J$2:$J$2497,AG$1)</f>
        <v>0</v>
      </c>
      <c r="AH148" s="183">
        <f>SUMIFS('сентябрь 2025'!$G$2:$G$2497,'сентябрь 2025'!$D$2:$D$2497,$B148,'сентябрь 2025'!$J$2:$J$2497,AH$1)</f>
        <v>0</v>
      </c>
      <c r="AI148" s="20">
        <f t="shared" si="1"/>
        <v>0</v>
      </c>
    </row>
    <row r="149" spans="2:35" ht="15" customHeight="1" x14ac:dyDescent="0.25">
      <c r="B149" s="88" t="s">
        <v>181</v>
      </c>
      <c r="C149" s="86">
        <v>190</v>
      </c>
      <c r="D149" s="183">
        <f>SUMIFS('сентябрь 2025'!$G$2:$G$2497,'сентябрь 2025'!$D$2:$D$2497,$B149,'сентябрь 2025'!$J$2:$J$2497,D$1)</f>
        <v>0</v>
      </c>
      <c r="E149" s="183">
        <f>SUMIFS('сентябрь 2025'!$G$2:$G$2497,'сентябрь 2025'!$D$2:$D$2497,$B149,'сентябрь 2025'!$J$2:$J$2497,E$1)</f>
        <v>0</v>
      </c>
      <c r="F149" s="183">
        <f>SUMIFS('сентябрь 2025'!$G$2:$G$2497,'сентябрь 2025'!$D$2:$D$2497,$B149,'сентябрь 2025'!$J$2:$J$2497,F$1)</f>
        <v>0</v>
      </c>
      <c r="G149" s="183">
        <f>SUMIFS('сентябрь 2025'!$G$2:$G$2497,'сентябрь 2025'!$D$2:$D$2497,$B149,'сентябрь 2025'!$J$2:$J$2497,G$1)</f>
        <v>0</v>
      </c>
      <c r="H149" s="183">
        <f>SUMIFS('сентябрь 2025'!$G$2:$G$2497,'сентябрь 2025'!$D$2:$D$2497,$B149,'сентябрь 2025'!$J$2:$J$2497,H$1)</f>
        <v>0</v>
      </c>
      <c r="I149" s="183">
        <f>SUMIFS('сентябрь 2025'!$G$2:$G$2497,'сентябрь 2025'!$D$2:$D$2497,$B149,'сентябрь 2025'!$J$2:$J$2497,I$1)</f>
        <v>0</v>
      </c>
      <c r="J149" s="183">
        <f>SUMIFS('сентябрь 2025'!$G$2:$G$2497,'сентябрь 2025'!$D$2:$D$2497,$B149,'сентябрь 2025'!$J$2:$J$2497,J$1)</f>
        <v>0</v>
      </c>
      <c r="K149" s="183">
        <f>SUMIFS('сентябрь 2025'!$G$2:$G$2497,'сентябрь 2025'!$D$2:$D$2497,$B149,'сентябрь 2025'!$J$2:$J$2497,K$1)</f>
        <v>0</v>
      </c>
      <c r="L149" s="183">
        <f>SUMIFS('сентябрь 2025'!$G$2:$G$2497,'сентябрь 2025'!$D$2:$D$2497,$B149,'сентябрь 2025'!$J$2:$J$2497,L$1)</f>
        <v>0</v>
      </c>
      <c r="M149" s="183">
        <f>SUMIFS('сентябрь 2025'!$G$2:$G$2497,'сентябрь 2025'!$D$2:$D$2497,$B149,'сентябрь 2025'!$J$2:$J$2497,M$1)</f>
        <v>0</v>
      </c>
      <c r="N149" s="183">
        <f>SUMIFS('сентябрь 2025'!$G$2:$G$2497,'сентябрь 2025'!$D$2:$D$2497,$B149,'сентябрь 2025'!$J$2:$J$2497,N$1)</f>
        <v>0</v>
      </c>
      <c r="O149" s="183">
        <f>SUMIFS('сентябрь 2025'!$G$2:$G$2497,'сентябрь 2025'!$D$2:$D$2497,$B149,'сентябрь 2025'!$J$2:$J$2497,O$1)</f>
        <v>0</v>
      </c>
      <c r="P149" s="183">
        <f>SUMIFS('сентябрь 2025'!$G$2:$G$2497,'сентябрь 2025'!$D$2:$D$2497,$B149,'сентябрь 2025'!$J$2:$J$2497,P$1)</f>
        <v>0</v>
      </c>
      <c r="Q149" s="183">
        <f>SUMIFS('сентябрь 2025'!$G$2:$G$2497,'сентябрь 2025'!$D$2:$D$2497,$B149,'сентябрь 2025'!$J$2:$J$2497,Q$1)</f>
        <v>0</v>
      </c>
      <c r="R149" s="183">
        <f>SUMIFS('сентябрь 2025'!$G$2:$G$2497,'сентябрь 2025'!$D$2:$D$2497,$B149,'сентябрь 2025'!$J$2:$J$2497,R$1)</f>
        <v>0</v>
      </c>
      <c r="S149" s="183">
        <f>SUMIFS('сентябрь 2025'!$G$2:$G$2497,'сентябрь 2025'!$D$2:$D$2497,$B149,'сентябрь 2025'!$J$2:$J$2497,S$1)</f>
        <v>0</v>
      </c>
      <c r="T149" s="183">
        <f>SUMIFS('сентябрь 2025'!$G$2:$G$2497,'сентябрь 2025'!$D$2:$D$2497,$B149,'сентябрь 2025'!$J$2:$J$2497,T$1)</f>
        <v>0</v>
      </c>
      <c r="U149" s="183">
        <f>SUMIFS('сентябрь 2025'!$G$2:$G$2497,'сентябрь 2025'!$D$2:$D$2497,$B149,'сентябрь 2025'!$J$2:$J$2497,U$1)</f>
        <v>0</v>
      </c>
      <c r="V149" s="183">
        <f>SUMIFS('сентябрь 2025'!$G$2:$G$2497,'сентябрь 2025'!$D$2:$D$2497,$B149,'сентябрь 2025'!$J$2:$J$2497,V$1)</f>
        <v>0</v>
      </c>
      <c r="W149" s="183">
        <f>SUMIFS('сентябрь 2025'!$G$2:$G$2497,'сентябрь 2025'!$D$2:$D$2497,$B149,'сентябрь 2025'!$J$2:$J$2497,W$1)</f>
        <v>0</v>
      </c>
      <c r="X149" s="183">
        <f>SUMIFS('сентябрь 2025'!$G$2:$G$2497,'сентябрь 2025'!$D$2:$D$2497,$B149,'сентябрь 2025'!$J$2:$J$2497,X$1)</f>
        <v>0</v>
      </c>
      <c r="Y149" s="183">
        <f>SUMIFS('сентябрь 2025'!$G$2:$G$2497,'сентябрь 2025'!$D$2:$D$2497,$B149,'сентябрь 2025'!$J$2:$J$2497,Y$1)</f>
        <v>0</v>
      </c>
      <c r="Z149" s="183">
        <f>SUMIFS('сентябрь 2025'!$G$2:$G$2497,'сентябрь 2025'!$D$2:$D$2497,$B149,'сентябрь 2025'!$J$2:$J$2497,Z$1)</f>
        <v>0</v>
      </c>
      <c r="AA149" s="183">
        <f>SUMIFS('сентябрь 2025'!$G$2:$G$2497,'сентябрь 2025'!$D$2:$D$2497,$B149,'сентябрь 2025'!$J$2:$J$2497,AA$1)</f>
        <v>0</v>
      </c>
      <c r="AB149" s="183">
        <f>SUMIFS('сентябрь 2025'!$G$2:$G$2497,'сентябрь 2025'!$D$2:$D$2497,$B149,'сентябрь 2025'!$J$2:$J$2497,AB$1)</f>
        <v>0</v>
      </c>
      <c r="AC149" s="183">
        <f>SUMIFS('сентябрь 2025'!$G$2:$G$2497,'сентябрь 2025'!$D$2:$D$2497,$B149,'сентябрь 2025'!$J$2:$J$2497,AC$1)</f>
        <v>0</v>
      </c>
      <c r="AD149" s="183">
        <f>SUMIFS('сентябрь 2025'!$G$2:$G$2497,'сентябрь 2025'!$D$2:$D$2497,$B149,'сентябрь 2025'!$J$2:$J$2497,AD$1)</f>
        <v>0</v>
      </c>
      <c r="AE149" s="183">
        <f>SUMIFS('сентябрь 2025'!$G$2:$G$2497,'сентябрь 2025'!$D$2:$D$2497,$B149,'сентябрь 2025'!$J$2:$J$2497,AE$1)</f>
        <v>0</v>
      </c>
      <c r="AF149" s="183">
        <f>SUMIFS('сентябрь 2025'!$G$2:$G$2497,'сентябрь 2025'!$D$2:$D$2497,$B149,'сентябрь 2025'!$J$2:$J$2497,AF$1)</f>
        <v>0</v>
      </c>
      <c r="AG149" s="183">
        <f>SUMIFS('сентябрь 2025'!$G$2:$G$2497,'сентябрь 2025'!$D$2:$D$2497,$B149,'сентябрь 2025'!$J$2:$J$2497,AG$1)</f>
        <v>0</v>
      </c>
      <c r="AH149" s="183">
        <f>SUMIFS('сентябрь 2025'!$G$2:$G$2497,'сентябрь 2025'!$D$2:$D$2497,$B149,'сентябрь 2025'!$J$2:$J$2497,AH$1)</f>
        <v>0</v>
      </c>
      <c r="AI149" s="20">
        <f t="shared" si="1"/>
        <v>0</v>
      </c>
    </row>
    <row r="150" spans="2:35" ht="15" customHeight="1" x14ac:dyDescent="0.25">
      <c r="B150" s="88" t="s">
        <v>270</v>
      </c>
      <c r="C150" s="86">
        <v>190</v>
      </c>
      <c r="D150" s="183">
        <f>SUMIFS('сентябрь 2025'!$G$2:$G$2497,'сентябрь 2025'!$D$2:$D$2497,$B150,'сентябрь 2025'!$J$2:$J$2497,D$1)</f>
        <v>0</v>
      </c>
      <c r="E150" s="183">
        <f>SUMIFS('сентябрь 2025'!$G$2:$G$2497,'сентябрь 2025'!$D$2:$D$2497,$B150,'сентябрь 2025'!$J$2:$J$2497,E$1)</f>
        <v>0</v>
      </c>
      <c r="F150" s="183">
        <f>SUMIFS('сентябрь 2025'!$G$2:$G$2497,'сентябрь 2025'!$D$2:$D$2497,$B150,'сентябрь 2025'!$J$2:$J$2497,F$1)</f>
        <v>0</v>
      </c>
      <c r="G150" s="183">
        <f>SUMIFS('сентябрь 2025'!$G$2:$G$2497,'сентябрь 2025'!$D$2:$D$2497,$B150,'сентябрь 2025'!$J$2:$J$2497,G$1)</f>
        <v>0</v>
      </c>
      <c r="H150" s="183">
        <f>SUMIFS('сентябрь 2025'!$G$2:$G$2497,'сентябрь 2025'!$D$2:$D$2497,$B150,'сентябрь 2025'!$J$2:$J$2497,H$1)</f>
        <v>0</v>
      </c>
      <c r="I150" s="183">
        <f>SUMIFS('сентябрь 2025'!$G$2:$G$2497,'сентябрь 2025'!$D$2:$D$2497,$B150,'сентябрь 2025'!$J$2:$J$2497,I$1)</f>
        <v>0</v>
      </c>
      <c r="J150" s="183">
        <f>SUMIFS('сентябрь 2025'!$G$2:$G$2497,'сентябрь 2025'!$D$2:$D$2497,$B150,'сентябрь 2025'!$J$2:$J$2497,J$1)</f>
        <v>0</v>
      </c>
      <c r="K150" s="183">
        <f>SUMIFS('сентябрь 2025'!$G$2:$G$2497,'сентябрь 2025'!$D$2:$D$2497,$B150,'сентябрь 2025'!$J$2:$J$2497,K$1)</f>
        <v>0</v>
      </c>
      <c r="L150" s="183">
        <f>SUMIFS('сентябрь 2025'!$G$2:$G$2497,'сентябрь 2025'!$D$2:$D$2497,$B150,'сентябрь 2025'!$J$2:$J$2497,L$1)</f>
        <v>0</v>
      </c>
      <c r="M150" s="183">
        <f>SUMIFS('сентябрь 2025'!$G$2:$G$2497,'сентябрь 2025'!$D$2:$D$2497,$B150,'сентябрь 2025'!$J$2:$J$2497,M$1)</f>
        <v>0</v>
      </c>
      <c r="N150" s="183">
        <f>SUMIFS('сентябрь 2025'!$G$2:$G$2497,'сентябрь 2025'!$D$2:$D$2497,$B150,'сентябрь 2025'!$J$2:$J$2497,N$1)</f>
        <v>0</v>
      </c>
      <c r="O150" s="183">
        <f>SUMIFS('сентябрь 2025'!$G$2:$G$2497,'сентябрь 2025'!$D$2:$D$2497,$B150,'сентябрь 2025'!$J$2:$J$2497,O$1)</f>
        <v>0</v>
      </c>
      <c r="P150" s="183">
        <f>SUMIFS('сентябрь 2025'!$G$2:$G$2497,'сентябрь 2025'!$D$2:$D$2497,$B150,'сентябрь 2025'!$J$2:$J$2497,P$1)</f>
        <v>0</v>
      </c>
      <c r="Q150" s="183">
        <f>SUMIFS('сентябрь 2025'!$G$2:$G$2497,'сентябрь 2025'!$D$2:$D$2497,$B150,'сентябрь 2025'!$J$2:$J$2497,Q$1)</f>
        <v>0</v>
      </c>
      <c r="R150" s="183">
        <f>SUMIFS('сентябрь 2025'!$G$2:$G$2497,'сентябрь 2025'!$D$2:$D$2497,$B150,'сентябрь 2025'!$J$2:$J$2497,R$1)</f>
        <v>0</v>
      </c>
      <c r="S150" s="183">
        <f>SUMIFS('сентябрь 2025'!$G$2:$G$2497,'сентябрь 2025'!$D$2:$D$2497,$B150,'сентябрь 2025'!$J$2:$J$2497,S$1)</f>
        <v>0</v>
      </c>
      <c r="T150" s="183">
        <f>SUMIFS('сентябрь 2025'!$G$2:$G$2497,'сентябрь 2025'!$D$2:$D$2497,$B150,'сентябрь 2025'!$J$2:$J$2497,T$1)</f>
        <v>0</v>
      </c>
      <c r="U150" s="183">
        <f>SUMIFS('сентябрь 2025'!$G$2:$G$2497,'сентябрь 2025'!$D$2:$D$2497,$B150,'сентябрь 2025'!$J$2:$J$2497,U$1)</f>
        <v>0</v>
      </c>
      <c r="V150" s="183">
        <f>SUMIFS('сентябрь 2025'!$G$2:$G$2497,'сентябрь 2025'!$D$2:$D$2497,$B150,'сентябрь 2025'!$J$2:$J$2497,V$1)</f>
        <v>0</v>
      </c>
      <c r="W150" s="183">
        <f>SUMIFS('сентябрь 2025'!$G$2:$G$2497,'сентябрь 2025'!$D$2:$D$2497,$B150,'сентябрь 2025'!$J$2:$J$2497,W$1)</f>
        <v>0</v>
      </c>
      <c r="X150" s="183">
        <f>SUMIFS('сентябрь 2025'!$G$2:$G$2497,'сентябрь 2025'!$D$2:$D$2497,$B150,'сентябрь 2025'!$J$2:$J$2497,X$1)</f>
        <v>0</v>
      </c>
      <c r="Y150" s="183">
        <f>SUMIFS('сентябрь 2025'!$G$2:$G$2497,'сентябрь 2025'!$D$2:$D$2497,$B150,'сентябрь 2025'!$J$2:$J$2497,Y$1)</f>
        <v>0</v>
      </c>
      <c r="Z150" s="183">
        <f>SUMIFS('сентябрь 2025'!$G$2:$G$2497,'сентябрь 2025'!$D$2:$D$2497,$B150,'сентябрь 2025'!$J$2:$J$2497,Z$1)</f>
        <v>0</v>
      </c>
      <c r="AA150" s="183">
        <f>SUMIFS('сентябрь 2025'!$G$2:$G$2497,'сентябрь 2025'!$D$2:$D$2497,$B150,'сентябрь 2025'!$J$2:$J$2497,AA$1)</f>
        <v>0</v>
      </c>
      <c r="AB150" s="183">
        <f>SUMIFS('сентябрь 2025'!$G$2:$G$2497,'сентябрь 2025'!$D$2:$D$2497,$B150,'сентябрь 2025'!$J$2:$J$2497,AB$1)</f>
        <v>0</v>
      </c>
      <c r="AC150" s="183">
        <f>SUMIFS('сентябрь 2025'!$G$2:$G$2497,'сентябрь 2025'!$D$2:$D$2497,$B150,'сентябрь 2025'!$J$2:$J$2497,AC$1)</f>
        <v>0</v>
      </c>
      <c r="AD150" s="183">
        <f>SUMIFS('сентябрь 2025'!$G$2:$G$2497,'сентябрь 2025'!$D$2:$D$2497,$B150,'сентябрь 2025'!$J$2:$J$2497,AD$1)</f>
        <v>0</v>
      </c>
      <c r="AE150" s="183">
        <f>SUMIFS('сентябрь 2025'!$G$2:$G$2497,'сентябрь 2025'!$D$2:$D$2497,$B150,'сентябрь 2025'!$J$2:$J$2497,AE$1)</f>
        <v>0</v>
      </c>
      <c r="AF150" s="183">
        <f>SUMIFS('сентябрь 2025'!$G$2:$G$2497,'сентябрь 2025'!$D$2:$D$2497,$B150,'сентябрь 2025'!$J$2:$J$2497,AF$1)</f>
        <v>0</v>
      </c>
      <c r="AG150" s="183">
        <f>SUMIFS('сентябрь 2025'!$G$2:$G$2497,'сентябрь 2025'!$D$2:$D$2497,$B150,'сентябрь 2025'!$J$2:$J$2497,AG$1)</f>
        <v>0</v>
      </c>
      <c r="AH150" s="183">
        <f>SUMIFS('сентябрь 2025'!$G$2:$G$2497,'сентябрь 2025'!$D$2:$D$2497,$B150,'сентябрь 2025'!$J$2:$J$2497,AH$1)</f>
        <v>0</v>
      </c>
      <c r="AI150" s="20">
        <f t="shared" si="1"/>
        <v>0</v>
      </c>
    </row>
    <row r="151" spans="2:35" ht="16.899999999999999" customHeight="1" x14ac:dyDescent="0.25">
      <c r="B151" s="84" t="s">
        <v>271</v>
      </c>
      <c r="C151" s="83">
        <v>200</v>
      </c>
      <c r="D151" s="183">
        <f>SUMIFS('сентябрь 2025'!$G$2:$G$2497,'сентябрь 2025'!$D$2:$D$2497,$B151,'сентябрь 2025'!$J$2:$J$2497,D$1)</f>
        <v>0</v>
      </c>
      <c r="E151" s="183">
        <f>SUMIFS('сентябрь 2025'!$G$2:$G$2497,'сентябрь 2025'!$D$2:$D$2497,$B151,'сентябрь 2025'!$J$2:$J$2497,E$1)</f>
        <v>0</v>
      </c>
      <c r="F151" s="183">
        <f>SUMIFS('сентябрь 2025'!$G$2:$G$2497,'сентябрь 2025'!$D$2:$D$2497,$B151,'сентябрь 2025'!$J$2:$J$2497,F$1)</f>
        <v>0</v>
      </c>
      <c r="G151" s="183">
        <f>SUMIFS('сентябрь 2025'!$G$2:$G$2497,'сентябрь 2025'!$D$2:$D$2497,$B151,'сентябрь 2025'!$J$2:$J$2497,G$1)</f>
        <v>0</v>
      </c>
      <c r="H151" s="183">
        <f>SUMIFS('сентябрь 2025'!$G$2:$G$2497,'сентябрь 2025'!$D$2:$D$2497,$B151,'сентябрь 2025'!$J$2:$J$2497,H$1)</f>
        <v>0</v>
      </c>
      <c r="I151" s="183">
        <f>SUMIFS('сентябрь 2025'!$G$2:$G$2497,'сентябрь 2025'!$D$2:$D$2497,$B151,'сентябрь 2025'!$J$2:$J$2497,I$1)</f>
        <v>0</v>
      </c>
      <c r="J151" s="183">
        <f>SUMIFS('сентябрь 2025'!$G$2:$G$2497,'сентябрь 2025'!$D$2:$D$2497,$B151,'сентябрь 2025'!$J$2:$J$2497,J$1)</f>
        <v>0</v>
      </c>
      <c r="K151" s="183">
        <f>SUMIFS('сентябрь 2025'!$G$2:$G$2497,'сентябрь 2025'!$D$2:$D$2497,$B151,'сентябрь 2025'!$J$2:$J$2497,K$1)</f>
        <v>0</v>
      </c>
      <c r="L151" s="183">
        <f>SUMIFS('сентябрь 2025'!$G$2:$G$2497,'сентябрь 2025'!$D$2:$D$2497,$B151,'сентябрь 2025'!$J$2:$J$2497,L$1)</f>
        <v>0</v>
      </c>
      <c r="M151" s="183">
        <f>SUMIFS('сентябрь 2025'!$G$2:$G$2497,'сентябрь 2025'!$D$2:$D$2497,$B151,'сентябрь 2025'!$J$2:$J$2497,M$1)</f>
        <v>0</v>
      </c>
      <c r="N151" s="183">
        <f>SUMIFS('сентябрь 2025'!$G$2:$G$2497,'сентябрь 2025'!$D$2:$D$2497,$B151,'сентябрь 2025'!$J$2:$J$2497,N$1)</f>
        <v>0</v>
      </c>
      <c r="O151" s="183">
        <f>SUMIFS('сентябрь 2025'!$G$2:$G$2497,'сентябрь 2025'!$D$2:$D$2497,$B151,'сентябрь 2025'!$J$2:$J$2497,O$1)</f>
        <v>0</v>
      </c>
      <c r="P151" s="183">
        <f>SUMIFS('сентябрь 2025'!$G$2:$G$2497,'сентябрь 2025'!$D$2:$D$2497,$B151,'сентябрь 2025'!$J$2:$J$2497,P$1)</f>
        <v>0</v>
      </c>
      <c r="Q151" s="183">
        <f>SUMIFS('сентябрь 2025'!$G$2:$G$2497,'сентябрь 2025'!$D$2:$D$2497,$B151,'сентябрь 2025'!$J$2:$J$2497,Q$1)</f>
        <v>0</v>
      </c>
      <c r="R151" s="183">
        <f>SUMIFS('сентябрь 2025'!$G$2:$G$2497,'сентябрь 2025'!$D$2:$D$2497,$B151,'сентябрь 2025'!$J$2:$J$2497,R$1)</f>
        <v>0</v>
      </c>
      <c r="S151" s="183">
        <f>SUMIFS('сентябрь 2025'!$G$2:$G$2497,'сентябрь 2025'!$D$2:$D$2497,$B151,'сентябрь 2025'!$J$2:$J$2497,S$1)</f>
        <v>0</v>
      </c>
      <c r="T151" s="183">
        <f>SUMIFS('сентябрь 2025'!$G$2:$G$2497,'сентябрь 2025'!$D$2:$D$2497,$B151,'сентябрь 2025'!$J$2:$J$2497,T$1)</f>
        <v>0</v>
      </c>
      <c r="U151" s="183">
        <f>SUMIFS('сентябрь 2025'!$G$2:$G$2497,'сентябрь 2025'!$D$2:$D$2497,$B151,'сентябрь 2025'!$J$2:$J$2497,U$1)</f>
        <v>0</v>
      </c>
      <c r="V151" s="183">
        <f>SUMIFS('сентябрь 2025'!$G$2:$G$2497,'сентябрь 2025'!$D$2:$D$2497,$B151,'сентябрь 2025'!$J$2:$J$2497,V$1)</f>
        <v>0</v>
      </c>
      <c r="W151" s="183">
        <f>SUMIFS('сентябрь 2025'!$G$2:$G$2497,'сентябрь 2025'!$D$2:$D$2497,$B151,'сентябрь 2025'!$J$2:$J$2497,W$1)</f>
        <v>0</v>
      </c>
      <c r="X151" s="183">
        <f>SUMIFS('сентябрь 2025'!$G$2:$G$2497,'сентябрь 2025'!$D$2:$D$2497,$B151,'сентябрь 2025'!$J$2:$J$2497,X$1)</f>
        <v>0</v>
      </c>
      <c r="Y151" s="183">
        <f>SUMIFS('сентябрь 2025'!$G$2:$G$2497,'сентябрь 2025'!$D$2:$D$2497,$B151,'сентябрь 2025'!$J$2:$J$2497,Y$1)</f>
        <v>0</v>
      </c>
      <c r="Z151" s="183">
        <f>SUMIFS('сентябрь 2025'!$G$2:$G$2497,'сентябрь 2025'!$D$2:$D$2497,$B151,'сентябрь 2025'!$J$2:$J$2497,Z$1)</f>
        <v>0</v>
      </c>
      <c r="AA151" s="183">
        <f>SUMIFS('сентябрь 2025'!$G$2:$G$2497,'сентябрь 2025'!$D$2:$D$2497,$B151,'сентябрь 2025'!$J$2:$J$2497,AA$1)</f>
        <v>0</v>
      </c>
      <c r="AB151" s="183">
        <f>SUMIFS('сентябрь 2025'!$G$2:$G$2497,'сентябрь 2025'!$D$2:$D$2497,$B151,'сентябрь 2025'!$J$2:$J$2497,AB$1)</f>
        <v>0</v>
      </c>
      <c r="AC151" s="183">
        <f>SUMIFS('сентябрь 2025'!$G$2:$G$2497,'сентябрь 2025'!$D$2:$D$2497,$B151,'сентябрь 2025'!$J$2:$J$2497,AC$1)</f>
        <v>0</v>
      </c>
      <c r="AD151" s="183">
        <f>SUMIFS('сентябрь 2025'!$G$2:$G$2497,'сентябрь 2025'!$D$2:$D$2497,$B151,'сентябрь 2025'!$J$2:$J$2497,AD$1)</f>
        <v>0</v>
      </c>
      <c r="AE151" s="183">
        <f>SUMIFS('сентябрь 2025'!$G$2:$G$2497,'сентябрь 2025'!$D$2:$D$2497,$B151,'сентябрь 2025'!$J$2:$J$2497,AE$1)</f>
        <v>0</v>
      </c>
      <c r="AF151" s="183">
        <f>SUMIFS('сентябрь 2025'!$G$2:$G$2497,'сентябрь 2025'!$D$2:$D$2497,$B151,'сентябрь 2025'!$J$2:$J$2497,AF$1)</f>
        <v>0</v>
      </c>
      <c r="AG151" s="183">
        <f>SUMIFS('сентябрь 2025'!$G$2:$G$2497,'сентябрь 2025'!$D$2:$D$2497,$B151,'сентябрь 2025'!$J$2:$J$2497,AG$1)</f>
        <v>0</v>
      </c>
      <c r="AH151" s="183">
        <f>SUMIFS('сентябрь 2025'!$G$2:$G$2497,'сентябрь 2025'!$D$2:$D$2497,$B151,'сентябрь 2025'!$J$2:$J$2497,AH$1)</f>
        <v>0</v>
      </c>
      <c r="AI151" s="20">
        <f t="shared" si="1"/>
        <v>0</v>
      </c>
    </row>
    <row r="152" spans="2:35" ht="16.899999999999999" customHeight="1" x14ac:dyDescent="0.25">
      <c r="B152" s="84" t="s">
        <v>276</v>
      </c>
      <c r="C152" s="83">
        <v>200</v>
      </c>
      <c r="D152" s="183">
        <f>SUMIFS('сентябрь 2025'!$G$2:$G$2497,'сентябрь 2025'!$D$2:$D$2497,$B152,'сентябрь 2025'!$J$2:$J$2497,D$1)</f>
        <v>0</v>
      </c>
      <c r="E152" s="183">
        <f>SUMIFS('сентябрь 2025'!$G$2:$G$2497,'сентябрь 2025'!$D$2:$D$2497,$B152,'сентябрь 2025'!$J$2:$J$2497,E$1)</f>
        <v>0</v>
      </c>
      <c r="F152" s="183">
        <f>SUMIFS('сентябрь 2025'!$G$2:$G$2497,'сентябрь 2025'!$D$2:$D$2497,$B152,'сентябрь 2025'!$J$2:$J$2497,F$1)</f>
        <v>0</v>
      </c>
      <c r="G152" s="183">
        <f>SUMIFS('сентябрь 2025'!$G$2:$G$2497,'сентябрь 2025'!$D$2:$D$2497,$B152,'сентябрь 2025'!$J$2:$J$2497,G$1)</f>
        <v>0</v>
      </c>
      <c r="H152" s="183">
        <f>SUMIFS('сентябрь 2025'!$G$2:$G$2497,'сентябрь 2025'!$D$2:$D$2497,$B152,'сентябрь 2025'!$J$2:$J$2497,H$1)</f>
        <v>0</v>
      </c>
      <c r="I152" s="183">
        <f>SUMIFS('сентябрь 2025'!$G$2:$G$2497,'сентябрь 2025'!$D$2:$D$2497,$B152,'сентябрь 2025'!$J$2:$J$2497,I$1)</f>
        <v>0</v>
      </c>
      <c r="J152" s="183">
        <f>SUMIFS('сентябрь 2025'!$G$2:$G$2497,'сентябрь 2025'!$D$2:$D$2497,$B152,'сентябрь 2025'!$J$2:$J$2497,J$1)</f>
        <v>0</v>
      </c>
      <c r="K152" s="183">
        <f>SUMIFS('сентябрь 2025'!$G$2:$G$2497,'сентябрь 2025'!$D$2:$D$2497,$B152,'сентябрь 2025'!$J$2:$J$2497,K$1)</f>
        <v>0</v>
      </c>
      <c r="L152" s="183">
        <f>SUMIFS('сентябрь 2025'!$G$2:$G$2497,'сентябрь 2025'!$D$2:$D$2497,$B152,'сентябрь 2025'!$J$2:$J$2497,L$1)</f>
        <v>0</v>
      </c>
      <c r="M152" s="183">
        <f>SUMIFS('сентябрь 2025'!$G$2:$G$2497,'сентябрь 2025'!$D$2:$D$2497,$B152,'сентябрь 2025'!$J$2:$J$2497,M$1)</f>
        <v>0</v>
      </c>
      <c r="N152" s="183">
        <f>SUMIFS('сентябрь 2025'!$G$2:$G$2497,'сентябрь 2025'!$D$2:$D$2497,$B152,'сентябрь 2025'!$J$2:$J$2497,N$1)</f>
        <v>0</v>
      </c>
      <c r="O152" s="183">
        <f>SUMIFS('сентябрь 2025'!$G$2:$G$2497,'сентябрь 2025'!$D$2:$D$2497,$B152,'сентябрь 2025'!$J$2:$J$2497,O$1)</f>
        <v>0</v>
      </c>
      <c r="P152" s="183">
        <f>SUMIFS('сентябрь 2025'!$G$2:$G$2497,'сентябрь 2025'!$D$2:$D$2497,$B152,'сентябрь 2025'!$J$2:$J$2497,P$1)</f>
        <v>0</v>
      </c>
      <c r="Q152" s="183">
        <f>SUMIFS('сентябрь 2025'!$G$2:$G$2497,'сентябрь 2025'!$D$2:$D$2497,$B152,'сентябрь 2025'!$J$2:$J$2497,Q$1)</f>
        <v>0</v>
      </c>
      <c r="R152" s="183">
        <f>SUMIFS('сентябрь 2025'!$G$2:$G$2497,'сентябрь 2025'!$D$2:$D$2497,$B152,'сентябрь 2025'!$J$2:$J$2497,R$1)</f>
        <v>0</v>
      </c>
      <c r="S152" s="183">
        <f>SUMIFS('сентябрь 2025'!$G$2:$G$2497,'сентябрь 2025'!$D$2:$D$2497,$B152,'сентябрь 2025'!$J$2:$J$2497,S$1)</f>
        <v>0</v>
      </c>
      <c r="T152" s="183">
        <f>SUMIFS('сентябрь 2025'!$G$2:$G$2497,'сентябрь 2025'!$D$2:$D$2497,$B152,'сентябрь 2025'!$J$2:$J$2497,T$1)</f>
        <v>0</v>
      </c>
      <c r="U152" s="183">
        <f>SUMIFS('сентябрь 2025'!$G$2:$G$2497,'сентябрь 2025'!$D$2:$D$2497,$B152,'сентябрь 2025'!$J$2:$J$2497,U$1)</f>
        <v>0</v>
      </c>
      <c r="V152" s="183">
        <f>SUMIFS('сентябрь 2025'!$G$2:$G$2497,'сентябрь 2025'!$D$2:$D$2497,$B152,'сентябрь 2025'!$J$2:$J$2497,V$1)</f>
        <v>0</v>
      </c>
      <c r="W152" s="183">
        <f>SUMIFS('сентябрь 2025'!$G$2:$G$2497,'сентябрь 2025'!$D$2:$D$2497,$B152,'сентябрь 2025'!$J$2:$J$2497,W$1)</f>
        <v>0</v>
      </c>
      <c r="X152" s="183">
        <f>SUMIFS('сентябрь 2025'!$G$2:$G$2497,'сентябрь 2025'!$D$2:$D$2497,$B152,'сентябрь 2025'!$J$2:$J$2497,X$1)</f>
        <v>0</v>
      </c>
      <c r="Y152" s="183">
        <f>SUMIFS('сентябрь 2025'!$G$2:$G$2497,'сентябрь 2025'!$D$2:$D$2497,$B152,'сентябрь 2025'!$J$2:$J$2497,Y$1)</f>
        <v>0</v>
      </c>
      <c r="Z152" s="183">
        <f>SUMIFS('сентябрь 2025'!$G$2:$G$2497,'сентябрь 2025'!$D$2:$D$2497,$B152,'сентябрь 2025'!$J$2:$J$2497,Z$1)</f>
        <v>0</v>
      </c>
      <c r="AA152" s="183">
        <f>SUMIFS('сентябрь 2025'!$G$2:$G$2497,'сентябрь 2025'!$D$2:$D$2497,$B152,'сентябрь 2025'!$J$2:$J$2497,AA$1)</f>
        <v>0</v>
      </c>
      <c r="AB152" s="183">
        <f>SUMIFS('сентябрь 2025'!$G$2:$G$2497,'сентябрь 2025'!$D$2:$D$2497,$B152,'сентябрь 2025'!$J$2:$J$2497,AB$1)</f>
        <v>0</v>
      </c>
      <c r="AC152" s="183">
        <f>SUMIFS('сентябрь 2025'!$G$2:$G$2497,'сентябрь 2025'!$D$2:$D$2497,$B152,'сентябрь 2025'!$J$2:$J$2497,AC$1)</f>
        <v>0</v>
      </c>
      <c r="AD152" s="183">
        <f>SUMIFS('сентябрь 2025'!$G$2:$G$2497,'сентябрь 2025'!$D$2:$D$2497,$B152,'сентябрь 2025'!$J$2:$J$2497,AD$1)</f>
        <v>0</v>
      </c>
      <c r="AE152" s="183">
        <f>SUMIFS('сентябрь 2025'!$G$2:$G$2497,'сентябрь 2025'!$D$2:$D$2497,$B152,'сентябрь 2025'!$J$2:$J$2497,AE$1)</f>
        <v>0</v>
      </c>
      <c r="AF152" s="183">
        <f>SUMIFS('сентябрь 2025'!$G$2:$G$2497,'сентябрь 2025'!$D$2:$D$2497,$B152,'сентябрь 2025'!$J$2:$J$2497,AF$1)</f>
        <v>0</v>
      </c>
      <c r="AG152" s="183">
        <f>SUMIFS('сентябрь 2025'!$G$2:$G$2497,'сентябрь 2025'!$D$2:$D$2497,$B152,'сентябрь 2025'!$J$2:$J$2497,AG$1)</f>
        <v>0</v>
      </c>
      <c r="AH152" s="183">
        <f>SUMIFS('сентябрь 2025'!$G$2:$G$2497,'сентябрь 2025'!$D$2:$D$2497,$B152,'сентябрь 2025'!$J$2:$J$2497,AH$1)</f>
        <v>0</v>
      </c>
      <c r="AI152" s="20">
        <f t="shared" si="1"/>
        <v>0</v>
      </c>
    </row>
    <row r="153" spans="2:35" ht="16.899999999999999" customHeight="1" x14ac:dyDescent="0.25">
      <c r="B153" s="84" t="s">
        <v>272</v>
      </c>
      <c r="C153" s="83">
        <v>200</v>
      </c>
      <c r="D153" s="183">
        <f>SUMIFS('сентябрь 2025'!$G$2:$G$2497,'сентябрь 2025'!$D$2:$D$2497,$B153,'сентябрь 2025'!$J$2:$J$2497,D$1)</f>
        <v>0</v>
      </c>
      <c r="E153" s="183">
        <f>SUMIFS('сентябрь 2025'!$G$2:$G$2497,'сентябрь 2025'!$D$2:$D$2497,$B153,'сентябрь 2025'!$J$2:$J$2497,E$1)</f>
        <v>0</v>
      </c>
      <c r="F153" s="183">
        <f>SUMIFS('сентябрь 2025'!$G$2:$G$2497,'сентябрь 2025'!$D$2:$D$2497,$B153,'сентябрь 2025'!$J$2:$J$2497,F$1)</f>
        <v>0</v>
      </c>
      <c r="G153" s="183">
        <f>SUMIFS('сентябрь 2025'!$G$2:$G$2497,'сентябрь 2025'!$D$2:$D$2497,$B153,'сентябрь 2025'!$J$2:$J$2497,G$1)</f>
        <v>0</v>
      </c>
      <c r="H153" s="183">
        <f>SUMIFS('сентябрь 2025'!$G$2:$G$2497,'сентябрь 2025'!$D$2:$D$2497,$B153,'сентябрь 2025'!$J$2:$J$2497,H$1)</f>
        <v>0</v>
      </c>
      <c r="I153" s="183">
        <f>SUMIFS('сентябрь 2025'!$G$2:$G$2497,'сентябрь 2025'!$D$2:$D$2497,$B153,'сентябрь 2025'!$J$2:$J$2497,I$1)</f>
        <v>0</v>
      </c>
      <c r="J153" s="183">
        <f>SUMIFS('сентябрь 2025'!$G$2:$G$2497,'сентябрь 2025'!$D$2:$D$2497,$B153,'сентябрь 2025'!$J$2:$J$2497,J$1)</f>
        <v>0</v>
      </c>
      <c r="K153" s="183">
        <f>SUMIFS('сентябрь 2025'!$G$2:$G$2497,'сентябрь 2025'!$D$2:$D$2497,$B153,'сентябрь 2025'!$J$2:$J$2497,K$1)</f>
        <v>0</v>
      </c>
      <c r="L153" s="183">
        <f>SUMIFS('сентябрь 2025'!$G$2:$G$2497,'сентябрь 2025'!$D$2:$D$2497,$B153,'сентябрь 2025'!$J$2:$J$2497,L$1)</f>
        <v>0</v>
      </c>
      <c r="M153" s="183">
        <f>SUMIFS('сентябрь 2025'!$G$2:$G$2497,'сентябрь 2025'!$D$2:$D$2497,$B153,'сентябрь 2025'!$J$2:$J$2497,M$1)</f>
        <v>0</v>
      </c>
      <c r="N153" s="183">
        <f>SUMIFS('сентябрь 2025'!$G$2:$G$2497,'сентябрь 2025'!$D$2:$D$2497,$B153,'сентябрь 2025'!$J$2:$J$2497,N$1)</f>
        <v>0</v>
      </c>
      <c r="O153" s="183">
        <f>SUMIFS('сентябрь 2025'!$G$2:$G$2497,'сентябрь 2025'!$D$2:$D$2497,$B153,'сентябрь 2025'!$J$2:$J$2497,O$1)</f>
        <v>0</v>
      </c>
      <c r="P153" s="183">
        <f>SUMIFS('сентябрь 2025'!$G$2:$G$2497,'сентябрь 2025'!$D$2:$D$2497,$B153,'сентябрь 2025'!$J$2:$J$2497,P$1)</f>
        <v>0</v>
      </c>
      <c r="Q153" s="183">
        <f>SUMIFS('сентябрь 2025'!$G$2:$G$2497,'сентябрь 2025'!$D$2:$D$2497,$B153,'сентябрь 2025'!$J$2:$J$2497,Q$1)</f>
        <v>0</v>
      </c>
      <c r="R153" s="183">
        <f>SUMIFS('сентябрь 2025'!$G$2:$G$2497,'сентябрь 2025'!$D$2:$D$2497,$B153,'сентябрь 2025'!$J$2:$J$2497,R$1)</f>
        <v>0</v>
      </c>
      <c r="S153" s="183">
        <f>SUMIFS('сентябрь 2025'!$G$2:$G$2497,'сентябрь 2025'!$D$2:$D$2497,$B153,'сентябрь 2025'!$J$2:$J$2497,S$1)</f>
        <v>0</v>
      </c>
      <c r="T153" s="183">
        <f>SUMIFS('сентябрь 2025'!$G$2:$G$2497,'сентябрь 2025'!$D$2:$D$2497,$B153,'сентябрь 2025'!$J$2:$J$2497,T$1)</f>
        <v>0</v>
      </c>
      <c r="U153" s="183">
        <f>SUMIFS('сентябрь 2025'!$G$2:$G$2497,'сентябрь 2025'!$D$2:$D$2497,$B153,'сентябрь 2025'!$J$2:$J$2497,U$1)</f>
        <v>0</v>
      </c>
      <c r="V153" s="183">
        <f>SUMIFS('сентябрь 2025'!$G$2:$G$2497,'сентябрь 2025'!$D$2:$D$2497,$B153,'сентябрь 2025'!$J$2:$J$2497,V$1)</f>
        <v>0</v>
      </c>
      <c r="W153" s="183">
        <f>SUMIFS('сентябрь 2025'!$G$2:$G$2497,'сентябрь 2025'!$D$2:$D$2497,$B153,'сентябрь 2025'!$J$2:$J$2497,W$1)</f>
        <v>0</v>
      </c>
      <c r="X153" s="183">
        <f>SUMIFS('сентябрь 2025'!$G$2:$G$2497,'сентябрь 2025'!$D$2:$D$2497,$B153,'сентябрь 2025'!$J$2:$J$2497,X$1)</f>
        <v>0</v>
      </c>
      <c r="Y153" s="183">
        <f>SUMIFS('сентябрь 2025'!$G$2:$G$2497,'сентябрь 2025'!$D$2:$D$2497,$B153,'сентябрь 2025'!$J$2:$J$2497,Y$1)</f>
        <v>0</v>
      </c>
      <c r="Z153" s="183">
        <f>SUMIFS('сентябрь 2025'!$G$2:$G$2497,'сентябрь 2025'!$D$2:$D$2497,$B153,'сентябрь 2025'!$J$2:$J$2497,Z$1)</f>
        <v>0</v>
      </c>
      <c r="AA153" s="183">
        <f>SUMIFS('сентябрь 2025'!$G$2:$G$2497,'сентябрь 2025'!$D$2:$D$2497,$B153,'сентябрь 2025'!$J$2:$J$2497,AA$1)</f>
        <v>0</v>
      </c>
      <c r="AB153" s="183">
        <f>SUMIFS('сентябрь 2025'!$G$2:$G$2497,'сентябрь 2025'!$D$2:$D$2497,$B153,'сентябрь 2025'!$J$2:$J$2497,AB$1)</f>
        <v>0</v>
      </c>
      <c r="AC153" s="183">
        <f>SUMIFS('сентябрь 2025'!$G$2:$G$2497,'сентябрь 2025'!$D$2:$D$2497,$B153,'сентябрь 2025'!$J$2:$J$2497,AC$1)</f>
        <v>0</v>
      </c>
      <c r="AD153" s="183">
        <f>SUMIFS('сентябрь 2025'!$G$2:$G$2497,'сентябрь 2025'!$D$2:$D$2497,$B153,'сентябрь 2025'!$J$2:$J$2497,AD$1)</f>
        <v>0</v>
      </c>
      <c r="AE153" s="183">
        <f>SUMIFS('сентябрь 2025'!$G$2:$G$2497,'сентябрь 2025'!$D$2:$D$2497,$B153,'сентябрь 2025'!$J$2:$J$2497,AE$1)</f>
        <v>0</v>
      </c>
      <c r="AF153" s="183">
        <f>SUMIFS('сентябрь 2025'!$G$2:$G$2497,'сентябрь 2025'!$D$2:$D$2497,$B153,'сентябрь 2025'!$J$2:$J$2497,AF$1)</f>
        <v>0</v>
      </c>
      <c r="AG153" s="183">
        <f>SUMIFS('сентябрь 2025'!$G$2:$G$2497,'сентябрь 2025'!$D$2:$D$2497,$B153,'сентябрь 2025'!$J$2:$J$2497,AG$1)</f>
        <v>0</v>
      </c>
      <c r="AH153" s="183">
        <f>SUMIFS('сентябрь 2025'!$G$2:$G$2497,'сентябрь 2025'!$D$2:$D$2497,$B153,'сентябрь 2025'!$J$2:$J$2497,AH$1)</f>
        <v>0</v>
      </c>
      <c r="AI153" s="20">
        <f t="shared" si="1"/>
        <v>0</v>
      </c>
    </row>
    <row r="154" spans="2:35" ht="15" customHeight="1" x14ac:dyDescent="0.25">
      <c r="B154" s="84" t="s">
        <v>277</v>
      </c>
      <c r="C154" s="83">
        <v>200</v>
      </c>
      <c r="D154" s="183">
        <f>SUMIFS('сентябрь 2025'!$G$2:$G$2497,'сентябрь 2025'!$D$2:$D$2497,$B154,'сентябрь 2025'!$J$2:$J$2497,D$1)</f>
        <v>0</v>
      </c>
      <c r="E154" s="183">
        <f>SUMIFS('сентябрь 2025'!$G$2:$G$2497,'сентябрь 2025'!$D$2:$D$2497,$B154,'сентябрь 2025'!$J$2:$J$2497,E$1)</f>
        <v>0</v>
      </c>
      <c r="F154" s="183">
        <f>SUMIFS('сентябрь 2025'!$G$2:$G$2497,'сентябрь 2025'!$D$2:$D$2497,$B154,'сентябрь 2025'!$J$2:$J$2497,F$1)</f>
        <v>0</v>
      </c>
      <c r="G154" s="183">
        <f>SUMIFS('сентябрь 2025'!$G$2:$G$2497,'сентябрь 2025'!$D$2:$D$2497,$B154,'сентябрь 2025'!$J$2:$J$2497,G$1)</f>
        <v>0</v>
      </c>
      <c r="H154" s="183">
        <f>SUMIFS('сентябрь 2025'!$G$2:$G$2497,'сентябрь 2025'!$D$2:$D$2497,$B154,'сентябрь 2025'!$J$2:$J$2497,H$1)</f>
        <v>0</v>
      </c>
      <c r="I154" s="183">
        <f>SUMIFS('сентябрь 2025'!$G$2:$G$2497,'сентябрь 2025'!$D$2:$D$2497,$B154,'сентябрь 2025'!$J$2:$J$2497,I$1)</f>
        <v>0</v>
      </c>
      <c r="J154" s="183">
        <f>SUMIFS('сентябрь 2025'!$G$2:$G$2497,'сентябрь 2025'!$D$2:$D$2497,$B154,'сентябрь 2025'!$J$2:$J$2497,J$1)</f>
        <v>0</v>
      </c>
      <c r="K154" s="183">
        <f>SUMIFS('сентябрь 2025'!$G$2:$G$2497,'сентябрь 2025'!$D$2:$D$2497,$B154,'сентябрь 2025'!$J$2:$J$2497,K$1)</f>
        <v>0</v>
      </c>
      <c r="L154" s="183">
        <f>SUMIFS('сентябрь 2025'!$G$2:$G$2497,'сентябрь 2025'!$D$2:$D$2497,$B154,'сентябрь 2025'!$J$2:$J$2497,L$1)</f>
        <v>0</v>
      </c>
      <c r="M154" s="183">
        <f>SUMIFS('сентябрь 2025'!$G$2:$G$2497,'сентябрь 2025'!$D$2:$D$2497,$B154,'сентябрь 2025'!$J$2:$J$2497,M$1)</f>
        <v>0</v>
      </c>
      <c r="N154" s="183">
        <f>SUMIFS('сентябрь 2025'!$G$2:$G$2497,'сентябрь 2025'!$D$2:$D$2497,$B154,'сентябрь 2025'!$J$2:$J$2497,N$1)</f>
        <v>0</v>
      </c>
      <c r="O154" s="183">
        <f>SUMIFS('сентябрь 2025'!$G$2:$G$2497,'сентябрь 2025'!$D$2:$D$2497,$B154,'сентябрь 2025'!$J$2:$J$2497,O$1)</f>
        <v>0</v>
      </c>
      <c r="P154" s="183">
        <f>SUMIFS('сентябрь 2025'!$G$2:$G$2497,'сентябрь 2025'!$D$2:$D$2497,$B154,'сентябрь 2025'!$J$2:$J$2497,P$1)</f>
        <v>0</v>
      </c>
      <c r="Q154" s="183">
        <f>SUMIFS('сентябрь 2025'!$G$2:$G$2497,'сентябрь 2025'!$D$2:$D$2497,$B154,'сентябрь 2025'!$J$2:$J$2497,Q$1)</f>
        <v>0</v>
      </c>
      <c r="R154" s="183">
        <f>SUMIFS('сентябрь 2025'!$G$2:$G$2497,'сентябрь 2025'!$D$2:$D$2497,$B154,'сентябрь 2025'!$J$2:$J$2497,R$1)</f>
        <v>0</v>
      </c>
      <c r="S154" s="183">
        <f>SUMIFS('сентябрь 2025'!$G$2:$G$2497,'сентябрь 2025'!$D$2:$D$2497,$B154,'сентябрь 2025'!$J$2:$J$2497,S$1)</f>
        <v>0</v>
      </c>
      <c r="T154" s="183">
        <f>SUMIFS('сентябрь 2025'!$G$2:$G$2497,'сентябрь 2025'!$D$2:$D$2497,$B154,'сентябрь 2025'!$J$2:$J$2497,T$1)</f>
        <v>0</v>
      </c>
      <c r="U154" s="183">
        <f>SUMIFS('сентябрь 2025'!$G$2:$G$2497,'сентябрь 2025'!$D$2:$D$2497,$B154,'сентябрь 2025'!$J$2:$J$2497,U$1)</f>
        <v>0</v>
      </c>
      <c r="V154" s="183">
        <f>SUMIFS('сентябрь 2025'!$G$2:$G$2497,'сентябрь 2025'!$D$2:$D$2497,$B154,'сентябрь 2025'!$J$2:$J$2497,V$1)</f>
        <v>0</v>
      </c>
      <c r="W154" s="183">
        <f>SUMIFS('сентябрь 2025'!$G$2:$G$2497,'сентябрь 2025'!$D$2:$D$2497,$B154,'сентябрь 2025'!$J$2:$J$2497,W$1)</f>
        <v>0</v>
      </c>
      <c r="X154" s="183">
        <f>SUMIFS('сентябрь 2025'!$G$2:$G$2497,'сентябрь 2025'!$D$2:$D$2497,$B154,'сентябрь 2025'!$J$2:$J$2497,X$1)</f>
        <v>0</v>
      </c>
      <c r="Y154" s="183">
        <f>SUMIFS('сентябрь 2025'!$G$2:$G$2497,'сентябрь 2025'!$D$2:$D$2497,$B154,'сентябрь 2025'!$J$2:$J$2497,Y$1)</f>
        <v>0</v>
      </c>
      <c r="Z154" s="183">
        <f>SUMIFS('сентябрь 2025'!$G$2:$G$2497,'сентябрь 2025'!$D$2:$D$2497,$B154,'сентябрь 2025'!$J$2:$J$2497,Z$1)</f>
        <v>0</v>
      </c>
      <c r="AA154" s="183">
        <f>SUMIFS('сентябрь 2025'!$G$2:$G$2497,'сентябрь 2025'!$D$2:$D$2497,$B154,'сентябрь 2025'!$J$2:$J$2497,AA$1)</f>
        <v>0</v>
      </c>
      <c r="AB154" s="183">
        <f>SUMIFS('сентябрь 2025'!$G$2:$G$2497,'сентябрь 2025'!$D$2:$D$2497,$B154,'сентябрь 2025'!$J$2:$J$2497,AB$1)</f>
        <v>0</v>
      </c>
      <c r="AC154" s="183">
        <f>SUMIFS('сентябрь 2025'!$G$2:$G$2497,'сентябрь 2025'!$D$2:$D$2497,$B154,'сентябрь 2025'!$J$2:$J$2497,AC$1)</f>
        <v>0</v>
      </c>
      <c r="AD154" s="183">
        <f>SUMIFS('сентябрь 2025'!$G$2:$G$2497,'сентябрь 2025'!$D$2:$D$2497,$B154,'сентябрь 2025'!$J$2:$J$2497,AD$1)</f>
        <v>0</v>
      </c>
      <c r="AE154" s="183">
        <f>SUMIFS('сентябрь 2025'!$G$2:$G$2497,'сентябрь 2025'!$D$2:$D$2497,$B154,'сентябрь 2025'!$J$2:$J$2497,AE$1)</f>
        <v>0</v>
      </c>
      <c r="AF154" s="183">
        <f>SUMIFS('сентябрь 2025'!$G$2:$G$2497,'сентябрь 2025'!$D$2:$D$2497,$B154,'сентябрь 2025'!$J$2:$J$2497,AF$1)</f>
        <v>0</v>
      </c>
      <c r="AG154" s="183">
        <f>SUMIFS('сентябрь 2025'!$G$2:$G$2497,'сентябрь 2025'!$D$2:$D$2497,$B154,'сентябрь 2025'!$J$2:$J$2497,AG$1)</f>
        <v>0</v>
      </c>
      <c r="AH154" s="183">
        <f>SUMIFS('сентябрь 2025'!$G$2:$G$2497,'сентябрь 2025'!$D$2:$D$2497,$B154,'сентябрь 2025'!$J$2:$J$2497,AH$1)</f>
        <v>0</v>
      </c>
      <c r="AI154" s="20">
        <f t="shared" si="1"/>
        <v>0</v>
      </c>
    </row>
    <row r="155" spans="2:35" ht="15" customHeight="1" x14ac:dyDescent="0.25">
      <c r="B155" s="84" t="s">
        <v>273</v>
      </c>
      <c r="C155" s="83">
        <v>200</v>
      </c>
      <c r="D155" s="183">
        <f>SUMIFS('сентябрь 2025'!$G$2:$G$2497,'сентябрь 2025'!$D$2:$D$2497,$B155,'сентябрь 2025'!$J$2:$J$2497,D$1)</f>
        <v>0</v>
      </c>
      <c r="E155" s="183">
        <f>SUMIFS('сентябрь 2025'!$G$2:$G$2497,'сентябрь 2025'!$D$2:$D$2497,$B155,'сентябрь 2025'!$J$2:$J$2497,E$1)</f>
        <v>0</v>
      </c>
      <c r="F155" s="183">
        <f>SUMIFS('сентябрь 2025'!$G$2:$G$2497,'сентябрь 2025'!$D$2:$D$2497,$B155,'сентябрь 2025'!$J$2:$J$2497,F$1)</f>
        <v>0</v>
      </c>
      <c r="G155" s="183">
        <f>SUMIFS('сентябрь 2025'!$G$2:$G$2497,'сентябрь 2025'!$D$2:$D$2497,$B155,'сентябрь 2025'!$J$2:$J$2497,G$1)</f>
        <v>0</v>
      </c>
      <c r="H155" s="183">
        <f>SUMIFS('сентябрь 2025'!$G$2:$G$2497,'сентябрь 2025'!$D$2:$D$2497,$B155,'сентябрь 2025'!$J$2:$J$2497,H$1)</f>
        <v>0</v>
      </c>
      <c r="I155" s="183">
        <f>SUMIFS('сентябрь 2025'!$G$2:$G$2497,'сентябрь 2025'!$D$2:$D$2497,$B155,'сентябрь 2025'!$J$2:$J$2497,I$1)</f>
        <v>0</v>
      </c>
      <c r="J155" s="183">
        <f>SUMIFS('сентябрь 2025'!$G$2:$G$2497,'сентябрь 2025'!$D$2:$D$2497,$B155,'сентябрь 2025'!$J$2:$J$2497,J$1)</f>
        <v>0</v>
      </c>
      <c r="K155" s="183">
        <f>SUMIFS('сентябрь 2025'!$G$2:$G$2497,'сентябрь 2025'!$D$2:$D$2497,$B155,'сентябрь 2025'!$J$2:$J$2497,K$1)</f>
        <v>0</v>
      </c>
      <c r="L155" s="183">
        <f>SUMIFS('сентябрь 2025'!$G$2:$G$2497,'сентябрь 2025'!$D$2:$D$2497,$B155,'сентябрь 2025'!$J$2:$J$2497,L$1)</f>
        <v>0</v>
      </c>
      <c r="M155" s="183">
        <f>SUMIFS('сентябрь 2025'!$G$2:$G$2497,'сентябрь 2025'!$D$2:$D$2497,$B155,'сентябрь 2025'!$J$2:$J$2497,M$1)</f>
        <v>0</v>
      </c>
      <c r="N155" s="183">
        <f>SUMIFS('сентябрь 2025'!$G$2:$G$2497,'сентябрь 2025'!$D$2:$D$2497,$B155,'сентябрь 2025'!$J$2:$J$2497,N$1)</f>
        <v>0</v>
      </c>
      <c r="O155" s="183">
        <f>SUMIFS('сентябрь 2025'!$G$2:$G$2497,'сентябрь 2025'!$D$2:$D$2497,$B155,'сентябрь 2025'!$J$2:$J$2497,O$1)</f>
        <v>0</v>
      </c>
      <c r="P155" s="183">
        <f>SUMIFS('сентябрь 2025'!$G$2:$G$2497,'сентябрь 2025'!$D$2:$D$2497,$B155,'сентябрь 2025'!$J$2:$J$2497,P$1)</f>
        <v>0</v>
      </c>
      <c r="Q155" s="183">
        <f>SUMIFS('сентябрь 2025'!$G$2:$G$2497,'сентябрь 2025'!$D$2:$D$2497,$B155,'сентябрь 2025'!$J$2:$J$2497,Q$1)</f>
        <v>0</v>
      </c>
      <c r="R155" s="183">
        <f>SUMIFS('сентябрь 2025'!$G$2:$G$2497,'сентябрь 2025'!$D$2:$D$2497,$B155,'сентябрь 2025'!$J$2:$J$2497,R$1)</f>
        <v>0</v>
      </c>
      <c r="S155" s="183">
        <f>SUMIFS('сентябрь 2025'!$G$2:$G$2497,'сентябрь 2025'!$D$2:$D$2497,$B155,'сентябрь 2025'!$J$2:$J$2497,S$1)</f>
        <v>0</v>
      </c>
      <c r="T155" s="183">
        <f>SUMIFS('сентябрь 2025'!$G$2:$G$2497,'сентябрь 2025'!$D$2:$D$2497,$B155,'сентябрь 2025'!$J$2:$J$2497,T$1)</f>
        <v>0</v>
      </c>
      <c r="U155" s="183">
        <f>SUMIFS('сентябрь 2025'!$G$2:$G$2497,'сентябрь 2025'!$D$2:$D$2497,$B155,'сентябрь 2025'!$J$2:$J$2497,U$1)</f>
        <v>0</v>
      </c>
      <c r="V155" s="183">
        <f>SUMIFS('сентябрь 2025'!$G$2:$G$2497,'сентябрь 2025'!$D$2:$D$2497,$B155,'сентябрь 2025'!$J$2:$J$2497,V$1)</f>
        <v>0</v>
      </c>
      <c r="W155" s="183">
        <f>SUMIFS('сентябрь 2025'!$G$2:$G$2497,'сентябрь 2025'!$D$2:$D$2497,$B155,'сентябрь 2025'!$J$2:$J$2497,W$1)</f>
        <v>0</v>
      </c>
      <c r="X155" s="183">
        <f>SUMIFS('сентябрь 2025'!$G$2:$G$2497,'сентябрь 2025'!$D$2:$D$2497,$B155,'сентябрь 2025'!$J$2:$J$2497,X$1)</f>
        <v>0</v>
      </c>
      <c r="Y155" s="183">
        <f>SUMIFS('сентябрь 2025'!$G$2:$G$2497,'сентябрь 2025'!$D$2:$D$2497,$B155,'сентябрь 2025'!$J$2:$J$2497,Y$1)</f>
        <v>0</v>
      </c>
      <c r="Z155" s="183">
        <f>SUMIFS('сентябрь 2025'!$G$2:$G$2497,'сентябрь 2025'!$D$2:$D$2497,$B155,'сентябрь 2025'!$J$2:$J$2497,Z$1)</f>
        <v>0</v>
      </c>
      <c r="AA155" s="183">
        <f>SUMIFS('сентябрь 2025'!$G$2:$G$2497,'сентябрь 2025'!$D$2:$D$2497,$B155,'сентябрь 2025'!$J$2:$J$2497,AA$1)</f>
        <v>0</v>
      </c>
      <c r="AB155" s="183">
        <f>SUMIFS('сентябрь 2025'!$G$2:$G$2497,'сентябрь 2025'!$D$2:$D$2497,$B155,'сентябрь 2025'!$J$2:$J$2497,AB$1)</f>
        <v>0</v>
      </c>
      <c r="AC155" s="183">
        <f>SUMIFS('сентябрь 2025'!$G$2:$G$2497,'сентябрь 2025'!$D$2:$D$2497,$B155,'сентябрь 2025'!$J$2:$J$2497,AC$1)</f>
        <v>0</v>
      </c>
      <c r="AD155" s="183">
        <f>SUMIFS('сентябрь 2025'!$G$2:$G$2497,'сентябрь 2025'!$D$2:$D$2497,$B155,'сентябрь 2025'!$J$2:$J$2497,AD$1)</f>
        <v>0</v>
      </c>
      <c r="AE155" s="183">
        <f>SUMIFS('сентябрь 2025'!$G$2:$G$2497,'сентябрь 2025'!$D$2:$D$2497,$B155,'сентябрь 2025'!$J$2:$J$2497,AE$1)</f>
        <v>0</v>
      </c>
      <c r="AF155" s="183">
        <f>SUMIFS('сентябрь 2025'!$G$2:$G$2497,'сентябрь 2025'!$D$2:$D$2497,$B155,'сентябрь 2025'!$J$2:$J$2497,AF$1)</f>
        <v>0</v>
      </c>
      <c r="AG155" s="183">
        <f>SUMIFS('сентябрь 2025'!$G$2:$G$2497,'сентябрь 2025'!$D$2:$D$2497,$B155,'сентябрь 2025'!$J$2:$J$2497,AG$1)</f>
        <v>0</v>
      </c>
      <c r="AH155" s="183">
        <f>SUMIFS('сентябрь 2025'!$G$2:$G$2497,'сентябрь 2025'!$D$2:$D$2497,$B155,'сентябрь 2025'!$J$2:$J$2497,AH$1)</f>
        <v>0</v>
      </c>
      <c r="AI155" s="20">
        <f t="shared" si="1"/>
        <v>0</v>
      </c>
    </row>
    <row r="156" spans="2:35" ht="15" customHeight="1" x14ac:dyDescent="0.25">
      <c r="B156" s="84" t="s">
        <v>274</v>
      </c>
      <c r="C156" s="83">
        <v>200</v>
      </c>
      <c r="D156" s="183">
        <f>SUMIFS('сентябрь 2025'!$G$2:$G$2497,'сентябрь 2025'!$D$2:$D$2497,$B156,'сентябрь 2025'!$J$2:$J$2497,D$1)</f>
        <v>0</v>
      </c>
      <c r="E156" s="183">
        <f>SUMIFS('сентябрь 2025'!$G$2:$G$2497,'сентябрь 2025'!$D$2:$D$2497,$B156,'сентябрь 2025'!$J$2:$J$2497,E$1)</f>
        <v>0</v>
      </c>
      <c r="F156" s="183">
        <f>SUMIFS('сентябрь 2025'!$G$2:$G$2497,'сентябрь 2025'!$D$2:$D$2497,$B156,'сентябрь 2025'!$J$2:$J$2497,F$1)</f>
        <v>0</v>
      </c>
      <c r="G156" s="183">
        <f>SUMIFS('сентябрь 2025'!$G$2:$G$2497,'сентябрь 2025'!$D$2:$D$2497,$B156,'сентябрь 2025'!$J$2:$J$2497,G$1)</f>
        <v>0</v>
      </c>
      <c r="H156" s="183">
        <f>SUMIFS('сентябрь 2025'!$G$2:$G$2497,'сентябрь 2025'!$D$2:$D$2497,$B156,'сентябрь 2025'!$J$2:$J$2497,H$1)</f>
        <v>0</v>
      </c>
      <c r="I156" s="183">
        <f>SUMIFS('сентябрь 2025'!$G$2:$G$2497,'сентябрь 2025'!$D$2:$D$2497,$B156,'сентябрь 2025'!$J$2:$J$2497,I$1)</f>
        <v>0</v>
      </c>
      <c r="J156" s="183">
        <f>SUMIFS('сентябрь 2025'!$G$2:$G$2497,'сентябрь 2025'!$D$2:$D$2497,$B156,'сентябрь 2025'!$J$2:$J$2497,J$1)</f>
        <v>0</v>
      </c>
      <c r="K156" s="183">
        <f>SUMIFS('сентябрь 2025'!$G$2:$G$2497,'сентябрь 2025'!$D$2:$D$2497,$B156,'сентябрь 2025'!$J$2:$J$2497,K$1)</f>
        <v>0</v>
      </c>
      <c r="L156" s="183">
        <f>SUMIFS('сентябрь 2025'!$G$2:$G$2497,'сентябрь 2025'!$D$2:$D$2497,$B156,'сентябрь 2025'!$J$2:$J$2497,L$1)</f>
        <v>0</v>
      </c>
      <c r="M156" s="183">
        <f>SUMIFS('сентябрь 2025'!$G$2:$G$2497,'сентябрь 2025'!$D$2:$D$2497,$B156,'сентябрь 2025'!$J$2:$J$2497,M$1)</f>
        <v>0</v>
      </c>
      <c r="N156" s="183">
        <f>SUMIFS('сентябрь 2025'!$G$2:$G$2497,'сентябрь 2025'!$D$2:$D$2497,$B156,'сентябрь 2025'!$J$2:$J$2497,N$1)</f>
        <v>0</v>
      </c>
      <c r="O156" s="183">
        <f>SUMIFS('сентябрь 2025'!$G$2:$G$2497,'сентябрь 2025'!$D$2:$D$2497,$B156,'сентябрь 2025'!$J$2:$J$2497,O$1)</f>
        <v>0</v>
      </c>
      <c r="P156" s="183">
        <f>SUMIFS('сентябрь 2025'!$G$2:$G$2497,'сентябрь 2025'!$D$2:$D$2497,$B156,'сентябрь 2025'!$J$2:$J$2497,P$1)</f>
        <v>0</v>
      </c>
      <c r="Q156" s="183">
        <f>SUMIFS('сентябрь 2025'!$G$2:$G$2497,'сентябрь 2025'!$D$2:$D$2497,$B156,'сентябрь 2025'!$J$2:$J$2497,Q$1)</f>
        <v>0</v>
      </c>
      <c r="R156" s="183">
        <f>SUMIFS('сентябрь 2025'!$G$2:$G$2497,'сентябрь 2025'!$D$2:$D$2497,$B156,'сентябрь 2025'!$J$2:$J$2497,R$1)</f>
        <v>0</v>
      </c>
      <c r="S156" s="183">
        <f>SUMIFS('сентябрь 2025'!$G$2:$G$2497,'сентябрь 2025'!$D$2:$D$2497,$B156,'сентябрь 2025'!$J$2:$J$2497,S$1)</f>
        <v>0</v>
      </c>
      <c r="T156" s="183">
        <f>SUMIFS('сентябрь 2025'!$G$2:$G$2497,'сентябрь 2025'!$D$2:$D$2497,$B156,'сентябрь 2025'!$J$2:$J$2497,T$1)</f>
        <v>0</v>
      </c>
      <c r="U156" s="183">
        <f>SUMIFS('сентябрь 2025'!$G$2:$G$2497,'сентябрь 2025'!$D$2:$D$2497,$B156,'сентябрь 2025'!$J$2:$J$2497,U$1)</f>
        <v>0</v>
      </c>
      <c r="V156" s="183">
        <f>SUMIFS('сентябрь 2025'!$G$2:$G$2497,'сентябрь 2025'!$D$2:$D$2497,$B156,'сентябрь 2025'!$J$2:$J$2497,V$1)</f>
        <v>0</v>
      </c>
      <c r="W156" s="183">
        <f>SUMIFS('сентябрь 2025'!$G$2:$G$2497,'сентябрь 2025'!$D$2:$D$2497,$B156,'сентябрь 2025'!$J$2:$J$2497,W$1)</f>
        <v>0</v>
      </c>
      <c r="X156" s="183">
        <f>SUMIFS('сентябрь 2025'!$G$2:$G$2497,'сентябрь 2025'!$D$2:$D$2497,$B156,'сентябрь 2025'!$J$2:$J$2497,X$1)</f>
        <v>0</v>
      </c>
      <c r="Y156" s="183">
        <f>SUMIFS('сентябрь 2025'!$G$2:$G$2497,'сентябрь 2025'!$D$2:$D$2497,$B156,'сентябрь 2025'!$J$2:$J$2497,Y$1)</f>
        <v>0</v>
      </c>
      <c r="Z156" s="183">
        <f>SUMIFS('сентябрь 2025'!$G$2:$G$2497,'сентябрь 2025'!$D$2:$D$2497,$B156,'сентябрь 2025'!$J$2:$J$2497,Z$1)</f>
        <v>0</v>
      </c>
      <c r="AA156" s="183">
        <f>SUMIFS('сентябрь 2025'!$G$2:$G$2497,'сентябрь 2025'!$D$2:$D$2497,$B156,'сентябрь 2025'!$J$2:$J$2497,AA$1)</f>
        <v>0</v>
      </c>
      <c r="AB156" s="183">
        <f>SUMIFS('сентябрь 2025'!$G$2:$G$2497,'сентябрь 2025'!$D$2:$D$2497,$B156,'сентябрь 2025'!$J$2:$J$2497,AB$1)</f>
        <v>0</v>
      </c>
      <c r="AC156" s="183">
        <f>SUMIFS('сентябрь 2025'!$G$2:$G$2497,'сентябрь 2025'!$D$2:$D$2497,$B156,'сентябрь 2025'!$J$2:$J$2497,AC$1)</f>
        <v>0</v>
      </c>
      <c r="AD156" s="183">
        <f>SUMIFS('сентябрь 2025'!$G$2:$G$2497,'сентябрь 2025'!$D$2:$D$2497,$B156,'сентябрь 2025'!$J$2:$J$2497,AD$1)</f>
        <v>0</v>
      </c>
      <c r="AE156" s="183">
        <f>SUMIFS('сентябрь 2025'!$G$2:$G$2497,'сентябрь 2025'!$D$2:$D$2497,$B156,'сентябрь 2025'!$J$2:$J$2497,AE$1)</f>
        <v>0</v>
      </c>
      <c r="AF156" s="183">
        <f>SUMIFS('сентябрь 2025'!$G$2:$G$2497,'сентябрь 2025'!$D$2:$D$2497,$B156,'сентябрь 2025'!$J$2:$J$2497,AF$1)</f>
        <v>0</v>
      </c>
      <c r="AG156" s="183">
        <f>SUMIFS('сентябрь 2025'!$G$2:$G$2497,'сентябрь 2025'!$D$2:$D$2497,$B156,'сентябрь 2025'!$J$2:$J$2497,AG$1)</f>
        <v>0</v>
      </c>
      <c r="AH156" s="183">
        <f>SUMIFS('сентябрь 2025'!$G$2:$G$2497,'сентябрь 2025'!$D$2:$D$2497,$B156,'сентябрь 2025'!$J$2:$J$2497,AH$1)</f>
        <v>0</v>
      </c>
      <c r="AI156" s="20">
        <f t="shared" si="1"/>
        <v>0</v>
      </c>
    </row>
    <row r="157" spans="2:35" ht="15" customHeight="1" x14ac:dyDescent="0.25">
      <c r="B157" s="84" t="s">
        <v>313</v>
      </c>
      <c r="C157" s="83">
        <v>1000</v>
      </c>
      <c r="D157" s="183">
        <f>SUMIFS('сентябрь 2025'!$G$2:$G$2497,'сентябрь 2025'!$D$2:$D$2497,$B157,'сентябрь 2025'!$J$2:$J$2497,D$1)</f>
        <v>0</v>
      </c>
      <c r="E157" s="183">
        <f>SUMIFS('сентябрь 2025'!$G$2:$G$2497,'сентябрь 2025'!$D$2:$D$2497,$B157,'сентябрь 2025'!$J$2:$J$2497,E$1)</f>
        <v>0</v>
      </c>
      <c r="F157" s="183">
        <f>SUMIFS('сентябрь 2025'!$G$2:$G$2497,'сентябрь 2025'!$D$2:$D$2497,$B157,'сентябрь 2025'!$J$2:$J$2497,F$1)</f>
        <v>0</v>
      </c>
      <c r="G157" s="183">
        <f>SUMIFS('сентябрь 2025'!$G$2:$G$2497,'сентябрь 2025'!$D$2:$D$2497,$B157,'сентябрь 2025'!$J$2:$J$2497,G$1)</f>
        <v>0</v>
      </c>
      <c r="H157" s="183">
        <f>SUMIFS('сентябрь 2025'!$G$2:$G$2497,'сентябрь 2025'!$D$2:$D$2497,$B157,'сентябрь 2025'!$J$2:$J$2497,H$1)</f>
        <v>0</v>
      </c>
      <c r="I157" s="183">
        <f>SUMIFS('сентябрь 2025'!$G$2:$G$2497,'сентябрь 2025'!$D$2:$D$2497,$B157,'сентябрь 2025'!$J$2:$J$2497,I$1)</f>
        <v>0</v>
      </c>
      <c r="J157" s="183">
        <f>SUMIFS('сентябрь 2025'!$G$2:$G$2497,'сентябрь 2025'!$D$2:$D$2497,$B157,'сентябрь 2025'!$J$2:$J$2497,J$1)</f>
        <v>0</v>
      </c>
      <c r="K157" s="183">
        <f>SUMIFS('сентябрь 2025'!$G$2:$G$2497,'сентябрь 2025'!$D$2:$D$2497,$B157,'сентябрь 2025'!$J$2:$J$2497,K$1)</f>
        <v>0</v>
      </c>
      <c r="L157" s="183">
        <f>SUMIFS('сентябрь 2025'!$G$2:$G$2497,'сентябрь 2025'!$D$2:$D$2497,$B157,'сентябрь 2025'!$J$2:$J$2497,L$1)</f>
        <v>0</v>
      </c>
      <c r="M157" s="183">
        <f>SUMIFS('сентябрь 2025'!$G$2:$G$2497,'сентябрь 2025'!$D$2:$D$2497,$B157,'сентябрь 2025'!$J$2:$J$2497,M$1)</f>
        <v>0</v>
      </c>
      <c r="N157" s="183">
        <f>SUMIFS('сентябрь 2025'!$G$2:$G$2497,'сентябрь 2025'!$D$2:$D$2497,$B157,'сентябрь 2025'!$J$2:$J$2497,N$1)</f>
        <v>0</v>
      </c>
      <c r="O157" s="183">
        <f>SUMIFS('сентябрь 2025'!$G$2:$G$2497,'сентябрь 2025'!$D$2:$D$2497,$B157,'сентябрь 2025'!$J$2:$J$2497,O$1)</f>
        <v>0</v>
      </c>
      <c r="P157" s="183">
        <f>SUMIFS('сентябрь 2025'!$G$2:$G$2497,'сентябрь 2025'!$D$2:$D$2497,$B157,'сентябрь 2025'!$J$2:$J$2497,P$1)</f>
        <v>0</v>
      </c>
      <c r="Q157" s="183">
        <f>SUMIFS('сентябрь 2025'!$G$2:$G$2497,'сентябрь 2025'!$D$2:$D$2497,$B157,'сентябрь 2025'!$J$2:$J$2497,Q$1)</f>
        <v>0</v>
      </c>
      <c r="R157" s="183">
        <f>SUMIFS('сентябрь 2025'!$G$2:$G$2497,'сентябрь 2025'!$D$2:$D$2497,$B157,'сентябрь 2025'!$J$2:$J$2497,R$1)</f>
        <v>0</v>
      </c>
      <c r="S157" s="183">
        <f>SUMIFS('сентябрь 2025'!$G$2:$G$2497,'сентябрь 2025'!$D$2:$D$2497,$B157,'сентябрь 2025'!$J$2:$J$2497,S$1)</f>
        <v>0</v>
      </c>
      <c r="T157" s="183">
        <f>SUMIFS('сентябрь 2025'!$G$2:$G$2497,'сентябрь 2025'!$D$2:$D$2497,$B157,'сентябрь 2025'!$J$2:$J$2497,T$1)</f>
        <v>0</v>
      </c>
      <c r="U157" s="183">
        <f>SUMIFS('сентябрь 2025'!$G$2:$G$2497,'сентябрь 2025'!$D$2:$D$2497,$B157,'сентябрь 2025'!$J$2:$J$2497,U$1)</f>
        <v>0</v>
      </c>
      <c r="V157" s="183">
        <f>SUMIFS('сентябрь 2025'!$G$2:$G$2497,'сентябрь 2025'!$D$2:$D$2497,$B157,'сентябрь 2025'!$J$2:$J$2497,V$1)</f>
        <v>0</v>
      </c>
      <c r="W157" s="183">
        <f>SUMIFS('сентябрь 2025'!$G$2:$G$2497,'сентябрь 2025'!$D$2:$D$2497,$B157,'сентябрь 2025'!$J$2:$J$2497,W$1)</f>
        <v>0</v>
      </c>
      <c r="X157" s="183">
        <f>SUMIFS('сентябрь 2025'!$G$2:$G$2497,'сентябрь 2025'!$D$2:$D$2497,$B157,'сентябрь 2025'!$J$2:$J$2497,X$1)</f>
        <v>0</v>
      </c>
      <c r="Y157" s="183">
        <f>SUMIFS('сентябрь 2025'!$G$2:$G$2497,'сентябрь 2025'!$D$2:$D$2497,$B157,'сентябрь 2025'!$J$2:$J$2497,Y$1)</f>
        <v>0</v>
      </c>
      <c r="Z157" s="183">
        <f>SUMIFS('сентябрь 2025'!$G$2:$G$2497,'сентябрь 2025'!$D$2:$D$2497,$B157,'сентябрь 2025'!$J$2:$J$2497,Z$1)</f>
        <v>0</v>
      </c>
      <c r="AA157" s="183">
        <f>SUMIFS('сентябрь 2025'!$G$2:$G$2497,'сентябрь 2025'!$D$2:$D$2497,$B157,'сентябрь 2025'!$J$2:$J$2497,AA$1)</f>
        <v>0</v>
      </c>
      <c r="AB157" s="183">
        <f>SUMIFS('сентябрь 2025'!$G$2:$G$2497,'сентябрь 2025'!$D$2:$D$2497,$B157,'сентябрь 2025'!$J$2:$J$2497,AB$1)</f>
        <v>0</v>
      </c>
      <c r="AC157" s="183">
        <f>SUMIFS('сентябрь 2025'!$G$2:$G$2497,'сентябрь 2025'!$D$2:$D$2497,$B157,'сентябрь 2025'!$J$2:$J$2497,AC$1)</f>
        <v>0</v>
      </c>
      <c r="AD157" s="183">
        <f>SUMIFS('сентябрь 2025'!$G$2:$G$2497,'сентябрь 2025'!$D$2:$D$2497,$B157,'сентябрь 2025'!$J$2:$J$2497,AD$1)</f>
        <v>0</v>
      </c>
      <c r="AE157" s="183">
        <f>SUMIFS('сентябрь 2025'!$G$2:$G$2497,'сентябрь 2025'!$D$2:$D$2497,$B157,'сентябрь 2025'!$J$2:$J$2497,AE$1)</f>
        <v>0</v>
      </c>
      <c r="AF157" s="183">
        <f>SUMIFS('сентябрь 2025'!$G$2:$G$2497,'сентябрь 2025'!$D$2:$D$2497,$B157,'сентябрь 2025'!$J$2:$J$2497,AF$1)</f>
        <v>0</v>
      </c>
      <c r="AG157" s="183">
        <f>SUMIFS('сентябрь 2025'!$G$2:$G$2497,'сентябрь 2025'!$D$2:$D$2497,$B157,'сентябрь 2025'!$J$2:$J$2497,AG$1)</f>
        <v>0</v>
      </c>
      <c r="AH157" s="183">
        <f>SUMIFS('сентябрь 2025'!$G$2:$G$2497,'сентябрь 2025'!$D$2:$D$2497,$B157,'сентябрь 2025'!$J$2:$J$2497,AH$1)</f>
        <v>0</v>
      </c>
      <c r="AI157" s="20">
        <f t="shared" si="1"/>
        <v>0</v>
      </c>
    </row>
    <row r="158" spans="2:35" ht="15" customHeight="1" x14ac:dyDescent="0.25">
      <c r="B158" s="84" t="s">
        <v>200</v>
      </c>
      <c r="C158" s="83">
        <v>200</v>
      </c>
      <c r="D158" s="183">
        <f>SUMIFS('сентябрь 2025'!$G$2:$G$2497,'сентябрь 2025'!$D$2:$D$2497,$B158,'сентябрь 2025'!$J$2:$J$2497,D$1)</f>
        <v>0</v>
      </c>
      <c r="E158" s="183">
        <f>SUMIFS('сентябрь 2025'!$G$2:$G$2497,'сентябрь 2025'!$D$2:$D$2497,$B158,'сентябрь 2025'!$J$2:$J$2497,E$1)</f>
        <v>0</v>
      </c>
      <c r="F158" s="183">
        <f>SUMIFS('сентябрь 2025'!$G$2:$G$2497,'сентябрь 2025'!$D$2:$D$2497,$B158,'сентябрь 2025'!$J$2:$J$2497,F$1)</f>
        <v>0</v>
      </c>
      <c r="G158" s="183">
        <f>SUMIFS('сентябрь 2025'!$G$2:$G$2497,'сентябрь 2025'!$D$2:$D$2497,$B158,'сентябрь 2025'!$J$2:$J$2497,G$1)</f>
        <v>0</v>
      </c>
      <c r="H158" s="183">
        <f>SUMIFS('сентябрь 2025'!$G$2:$G$2497,'сентябрь 2025'!$D$2:$D$2497,$B158,'сентябрь 2025'!$J$2:$J$2497,H$1)</f>
        <v>0</v>
      </c>
      <c r="I158" s="183">
        <f>SUMIFS('сентябрь 2025'!$G$2:$G$2497,'сентябрь 2025'!$D$2:$D$2497,$B158,'сентябрь 2025'!$J$2:$J$2497,I$1)</f>
        <v>0</v>
      </c>
      <c r="J158" s="183">
        <f>SUMIFS('сентябрь 2025'!$G$2:$G$2497,'сентябрь 2025'!$D$2:$D$2497,$B158,'сентябрь 2025'!$J$2:$J$2497,J$1)</f>
        <v>0</v>
      </c>
      <c r="K158" s="183">
        <f>SUMIFS('сентябрь 2025'!$G$2:$G$2497,'сентябрь 2025'!$D$2:$D$2497,$B158,'сентябрь 2025'!$J$2:$J$2497,K$1)</f>
        <v>0</v>
      </c>
      <c r="L158" s="183">
        <f>SUMIFS('сентябрь 2025'!$G$2:$G$2497,'сентябрь 2025'!$D$2:$D$2497,$B158,'сентябрь 2025'!$J$2:$J$2497,L$1)</f>
        <v>0</v>
      </c>
      <c r="M158" s="183">
        <f>SUMIFS('сентябрь 2025'!$G$2:$G$2497,'сентябрь 2025'!$D$2:$D$2497,$B158,'сентябрь 2025'!$J$2:$J$2497,M$1)</f>
        <v>0</v>
      </c>
      <c r="N158" s="183">
        <f>SUMIFS('сентябрь 2025'!$G$2:$G$2497,'сентябрь 2025'!$D$2:$D$2497,$B158,'сентябрь 2025'!$J$2:$J$2497,N$1)</f>
        <v>0</v>
      </c>
      <c r="O158" s="183">
        <f>SUMIFS('сентябрь 2025'!$G$2:$G$2497,'сентябрь 2025'!$D$2:$D$2497,$B158,'сентябрь 2025'!$J$2:$J$2497,O$1)</f>
        <v>0</v>
      </c>
      <c r="P158" s="183">
        <f>SUMIFS('сентябрь 2025'!$G$2:$G$2497,'сентябрь 2025'!$D$2:$D$2497,$B158,'сентябрь 2025'!$J$2:$J$2497,P$1)</f>
        <v>0</v>
      </c>
      <c r="Q158" s="183">
        <f>SUMIFS('сентябрь 2025'!$G$2:$G$2497,'сентябрь 2025'!$D$2:$D$2497,$B158,'сентябрь 2025'!$J$2:$J$2497,Q$1)</f>
        <v>0</v>
      </c>
      <c r="R158" s="183">
        <f>SUMIFS('сентябрь 2025'!$G$2:$G$2497,'сентябрь 2025'!$D$2:$D$2497,$B158,'сентябрь 2025'!$J$2:$J$2497,R$1)</f>
        <v>0</v>
      </c>
      <c r="S158" s="183">
        <f>SUMIFS('сентябрь 2025'!$G$2:$G$2497,'сентябрь 2025'!$D$2:$D$2497,$B158,'сентябрь 2025'!$J$2:$J$2497,S$1)</f>
        <v>0</v>
      </c>
      <c r="T158" s="183">
        <f>SUMIFS('сентябрь 2025'!$G$2:$G$2497,'сентябрь 2025'!$D$2:$D$2497,$B158,'сентябрь 2025'!$J$2:$J$2497,T$1)</f>
        <v>0</v>
      </c>
      <c r="U158" s="183">
        <f>SUMIFS('сентябрь 2025'!$G$2:$G$2497,'сентябрь 2025'!$D$2:$D$2497,$B158,'сентябрь 2025'!$J$2:$J$2497,U$1)</f>
        <v>0</v>
      </c>
      <c r="V158" s="183">
        <f>SUMIFS('сентябрь 2025'!$G$2:$G$2497,'сентябрь 2025'!$D$2:$D$2497,$B158,'сентябрь 2025'!$J$2:$J$2497,V$1)</f>
        <v>0</v>
      </c>
      <c r="W158" s="183">
        <f>SUMIFS('сентябрь 2025'!$G$2:$G$2497,'сентябрь 2025'!$D$2:$D$2497,$B158,'сентябрь 2025'!$J$2:$J$2497,W$1)</f>
        <v>0</v>
      </c>
      <c r="X158" s="183">
        <f>SUMIFS('сентябрь 2025'!$G$2:$G$2497,'сентябрь 2025'!$D$2:$D$2497,$B158,'сентябрь 2025'!$J$2:$J$2497,X$1)</f>
        <v>0</v>
      </c>
      <c r="Y158" s="183">
        <f>SUMIFS('сентябрь 2025'!$G$2:$G$2497,'сентябрь 2025'!$D$2:$D$2497,$B158,'сентябрь 2025'!$J$2:$J$2497,Y$1)</f>
        <v>0</v>
      </c>
      <c r="Z158" s="183">
        <f>SUMIFS('сентябрь 2025'!$G$2:$G$2497,'сентябрь 2025'!$D$2:$D$2497,$B158,'сентябрь 2025'!$J$2:$J$2497,Z$1)</f>
        <v>0</v>
      </c>
      <c r="AA158" s="183">
        <f>SUMIFS('сентябрь 2025'!$G$2:$G$2497,'сентябрь 2025'!$D$2:$D$2497,$B158,'сентябрь 2025'!$J$2:$J$2497,AA$1)</f>
        <v>0</v>
      </c>
      <c r="AB158" s="183">
        <f>SUMIFS('сентябрь 2025'!$G$2:$G$2497,'сентябрь 2025'!$D$2:$D$2497,$B158,'сентябрь 2025'!$J$2:$J$2497,AB$1)</f>
        <v>0</v>
      </c>
      <c r="AC158" s="183">
        <f>SUMIFS('сентябрь 2025'!$G$2:$G$2497,'сентябрь 2025'!$D$2:$D$2497,$B158,'сентябрь 2025'!$J$2:$J$2497,AC$1)</f>
        <v>0</v>
      </c>
      <c r="AD158" s="183">
        <f>SUMIFS('сентябрь 2025'!$G$2:$G$2497,'сентябрь 2025'!$D$2:$D$2497,$B158,'сентябрь 2025'!$J$2:$J$2497,AD$1)</f>
        <v>0</v>
      </c>
      <c r="AE158" s="183">
        <f>SUMIFS('сентябрь 2025'!$G$2:$G$2497,'сентябрь 2025'!$D$2:$D$2497,$B158,'сентябрь 2025'!$J$2:$J$2497,AE$1)</f>
        <v>0</v>
      </c>
      <c r="AF158" s="183">
        <f>SUMIFS('сентябрь 2025'!$G$2:$G$2497,'сентябрь 2025'!$D$2:$D$2497,$B158,'сентябрь 2025'!$J$2:$J$2497,AF$1)</f>
        <v>0</v>
      </c>
      <c r="AG158" s="183">
        <f>SUMIFS('сентябрь 2025'!$G$2:$G$2497,'сентябрь 2025'!$D$2:$D$2497,$B158,'сентябрь 2025'!$J$2:$J$2497,AG$1)</f>
        <v>0</v>
      </c>
      <c r="AH158" s="183">
        <f>SUMIFS('сентябрь 2025'!$G$2:$G$2497,'сентябрь 2025'!$D$2:$D$2497,$B158,'сентябрь 2025'!$J$2:$J$2497,AH$1)</f>
        <v>0</v>
      </c>
      <c r="AI158" s="20">
        <f t="shared" si="1"/>
        <v>0</v>
      </c>
    </row>
    <row r="159" spans="2:35" ht="15" customHeight="1" x14ac:dyDescent="0.25">
      <c r="B159" s="84" t="s">
        <v>275</v>
      </c>
      <c r="C159" s="83">
        <v>200</v>
      </c>
      <c r="D159" s="183">
        <f>SUMIFS('сентябрь 2025'!$G$2:$G$2497,'сентябрь 2025'!$D$2:$D$2497,$B159,'сентябрь 2025'!$J$2:$J$2497,D$1)</f>
        <v>0</v>
      </c>
      <c r="E159" s="183">
        <f>SUMIFS('сентябрь 2025'!$G$2:$G$2497,'сентябрь 2025'!$D$2:$D$2497,$B159,'сентябрь 2025'!$J$2:$J$2497,E$1)</f>
        <v>0</v>
      </c>
      <c r="F159" s="183">
        <f>SUMIFS('сентябрь 2025'!$G$2:$G$2497,'сентябрь 2025'!$D$2:$D$2497,$B159,'сентябрь 2025'!$J$2:$J$2497,F$1)</f>
        <v>0</v>
      </c>
      <c r="G159" s="183">
        <f>SUMIFS('сентябрь 2025'!$G$2:$G$2497,'сентябрь 2025'!$D$2:$D$2497,$B159,'сентябрь 2025'!$J$2:$J$2497,G$1)</f>
        <v>0</v>
      </c>
      <c r="H159" s="183">
        <f>SUMIFS('сентябрь 2025'!$G$2:$G$2497,'сентябрь 2025'!$D$2:$D$2497,$B159,'сентябрь 2025'!$J$2:$J$2497,H$1)</f>
        <v>0</v>
      </c>
      <c r="I159" s="183">
        <f>SUMIFS('сентябрь 2025'!$G$2:$G$2497,'сентябрь 2025'!$D$2:$D$2497,$B159,'сентябрь 2025'!$J$2:$J$2497,I$1)</f>
        <v>0</v>
      </c>
      <c r="J159" s="183">
        <f>SUMIFS('сентябрь 2025'!$G$2:$G$2497,'сентябрь 2025'!$D$2:$D$2497,$B159,'сентябрь 2025'!$J$2:$J$2497,J$1)</f>
        <v>0</v>
      </c>
      <c r="K159" s="183">
        <f>SUMIFS('сентябрь 2025'!$G$2:$G$2497,'сентябрь 2025'!$D$2:$D$2497,$B159,'сентябрь 2025'!$J$2:$J$2497,K$1)</f>
        <v>0</v>
      </c>
      <c r="L159" s="183">
        <f>SUMIFS('сентябрь 2025'!$G$2:$G$2497,'сентябрь 2025'!$D$2:$D$2497,$B159,'сентябрь 2025'!$J$2:$J$2497,L$1)</f>
        <v>0</v>
      </c>
      <c r="M159" s="183">
        <f>SUMIFS('сентябрь 2025'!$G$2:$G$2497,'сентябрь 2025'!$D$2:$D$2497,$B159,'сентябрь 2025'!$J$2:$J$2497,M$1)</f>
        <v>0</v>
      </c>
      <c r="N159" s="183">
        <f>SUMIFS('сентябрь 2025'!$G$2:$G$2497,'сентябрь 2025'!$D$2:$D$2497,$B159,'сентябрь 2025'!$J$2:$J$2497,N$1)</f>
        <v>0</v>
      </c>
      <c r="O159" s="183">
        <f>SUMIFS('сентябрь 2025'!$G$2:$G$2497,'сентябрь 2025'!$D$2:$D$2497,$B159,'сентябрь 2025'!$J$2:$J$2497,O$1)</f>
        <v>0</v>
      </c>
      <c r="P159" s="183">
        <f>SUMIFS('сентябрь 2025'!$G$2:$G$2497,'сентябрь 2025'!$D$2:$D$2497,$B159,'сентябрь 2025'!$J$2:$J$2497,P$1)</f>
        <v>0</v>
      </c>
      <c r="Q159" s="183">
        <f>SUMIFS('сентябрь 2025'!$G$2:$G$2497,'сентябрь 2025'!$D$2:$D$2497,$B159,'сентябрь 2025'!$J$2:$J$2497,Q$1)</f>
        <v>0</v>
      </c>
      <c r="R159" s="183">
        <f>SUMIFS('сентябрь 2025'!$G$2:$G$2497,'сентябрь 2025'!$D$2:$D$2497,$B159,'сентябрь 2025'!$J$2:$J$2497,R$1)</f>
        <v>0</v>
      </c>
      <c r="S159" s="183">
        <f>SUMIFS('сентябрь 2025'!$G$2:$G$2497,'сентябрь 2025'!$D$2:$D$2497,$B159,'сентябрь 2025'!$J$2:$J$2497,S$1)</f>
        <v>0</v>
      </c>
      <c r="T159" s="183">
        <f>SUMIFS('сентябрь 2025'!$G$2:$G$2497,'сентябрь 2025'!$D$2:$D$2497,$B159,'сентябрь 2025'!$J$2:$J$2497,T$1)</f>
        <v>0</v>
      </c>
      <c r="U159" s="183">
        <f>SUMIFS('сентябрь 2025'!$G$2:$G$2497,'сентябрь 2025'!$D$2:$D$2497,$B159,'сентябрь 2025'!$J$2:$J$2497,U$1)</f>
        <v>0</v>
      </c>
      <c r="V159" s="183">
        <f>SUMIFS('сентябрь 2025'!$G$2:$G$2497,'сентябрь 2025'!$D$2:$D$2497,$B159,'сентябрь 2025'!$J$2:$J$2497,V$1)</f>
        <v>0</v>
      </c>
      <c r="W159" s="183">
        <f>SUMIFS('сентябрь 2025'!$G$2:$G$2497,'сентябрь 2025'!$D$2:$D$2497,$B159,'сентябрь 2025'!$J$2:$J$2497,W$1)</f>
        <v>0</v>
      </c>
      <c r="X159" s="183">
        <f>SUMIFS('сентябрь 2025'!$G$2:$G$2497,'сентябрь 2025'!$D$2:$D$2497,$B159,'сентябрь 2025'!$J$2:$J$2497,X$1)</f>
        <v>0</v>
      </c>
      <c r="Y159" s="183">
        <f>SUMIFS('сентябрь 2025'!$G$2:$G$2497,'сентябрь 2025'!$D$2:$D$2497,$B159,'сентябрь 2025'!$J$2:$J$2497,Y$1)</f>
        <v>0</v>
      </c>
      <c r="Z159" s="183">
        <f>SUMIFS('сентябрь 2025'!$G$2:$G$2497,'сентябрь 2025'!$D$2:$D$2497,$B159,'сентябрь 2025'!$J$2:$J$2497,Z$1)</f>
        <v>0</v>
      </c>
      <c r="AA159" s="183">
        <f>SUMIFS('сентябрь 2025'!$G$2:$G$2497,'сентябрь 2025'!$D$2:$D$2497,$B159,'сентябрь 2025'!$J$2:$J$2497,AA$1)</f>
        <v>0</v>
      </c>
      <c r="AB159" s="183">
        <f>SUMIFS('сентябрь 2025'!$G$2:$G$2497,'сентябрь 2025'!$D$2:$D$2497,$B159,'сентябрь 2025'!$J$2:$J$2497,AB$1)</f>
        <v>0</v>
      </c>
      <c r="AC159" s="183">
        <f>SUMIFS('сентябрь 2025'!$G$2:$G$2497,'сентябрь 2025'!$D$2:$D$2497,$B159,'сентябрь 2025'!$J$2:$J$2497,AC$1)</f>
        <v>0</v>
      </c>
      <c r="AD159" s="183">
        <f>SUMIFS('сентябрь 2025'!$G$2:$G$2497,'сентябрь 2025'!$D$2:$D$2497,$B159,'сентябрь 2025'!$J$2:$J$2497,AD$1)</f>
        <v>0</v>
      </c>
      <c r="AE159" s="183">
        <f>SUMIFS('сентябрь 2025'!$G$2:$G$2497,'сентябрь 2025'!$D$2:$D$2497,$B159,'сентябрь 2025'!$J$2:$J$2497,AE$1)</f>
        <v>0</v>
      </c>
      <c r="AF159" s="183">
        <f>SUMIFS('сентябрь 2025'!$G$2:$G$2497,'сентябрь 2025'!$D$2:$D$2497,$B159,'сентябрь 2025'!$J$2:$J$2497,AF$1)</f>
        <v>0</v>
      </c>
      <c r="AG159" s="183">
        <f>SUMIFS('сентябрь 2025'!$G$2:$G$2497,'сентябрь 2025'!$D$2:$D$2497,$B159,'сентябрь 2025'!$J$2:$J$2497,AG$1)</f>
        <v>0</v>
      </c>
      <c r="AH159" s="183">
        <f>SUMIFS('сентябрь 2025'!$G$2:$G$2497,'сентябрь 2025'!$D$2:$D$2497,$B159,'сентябрь 2025'!$J$2:$J$2497,AH$1)</f>
        <v>0</v>
      </c>
      <c r="AI159" s="20">
        <f t="shared" si="1"/>
        <v>0</v>
      </c>
    </row>
    <row r="160" spans="2:35" ht="15" customHeight="1" x14ac:dyDescent="0.25">
      <c r="B160" s="84" t="s">
        <v>204</v>
      </c>
      <c r="C160" s="86">
        <v>200</v>
      </c>
      <c r="D160" s="183">
        <f>SUMIFS('сентябрь 2025'!$G$2:$G$2497,'сентябрь 2025'!$D$2:$D$2497,$B160,'сентябрь 2025'!$J$2:$J$2497,D$1)</f>
        <v>0</v>
      </c>
      <c r="E160" s="183">
        <f>SUMIFS('сентябрь 2025'!$G$2:$G$2497,'сентябрь 2025'!$D$2:$D$2497,$B160,'сентябрь 2025'!$J$2:$J$2497,E$1)</f>
        <v>0</v>
      </c>
      <c r="F160" s="183">
        <f>SUMIFS('сентябрь 2025'!$G$2:$G$2497,'сентябрь 2025'!$D$2:$D$2497,$B160,'сентябрь 2025'!$J$2:$J$2497,F$1)</f>
        <v>0</v>
      </c>
      <c r="G160" s="183">
        <f>SUMIFS('сентябрь 2025'!$G$2:$G$2497,'сентябрь 2025'!$D$2:$D$2497,$B160,'сентябрь 2025'!$J$2:$J$2497,G$1)</f>
        <v>0</v>
      </c>
      <c r="H160" s="183">
        <f>SUMIFS('сентябрь 2025'!$G$2:$G$2497,'сентябрь 2025'!$D$2:$D$2497,$B160,'сентябрь 2025'!$J$2:$J$2497,H$1)</f>
        <v>0</v>
      </c>
      <c r="I160" s="183">
        <f>SUMIFS('сентябрь 2025'!$G$2:$G$2497,'сентябрь 2025'!$D$2:$D$2497,$B160,'сентябрь 2025'!$J$2:$J$2497,I$1)</f>
        <v>0</v>
      </c>
      <c r="J160" s="183">
        <f>SUMIFS('сентябрь 2025'!$G$2:$G$2497,'сентябрь 2025'!$D$2:$D$2497,$B160,'сентябрь 2025'!$J$2:$J$2497,J$1)</f>
        <v>0</v>
      </c>
      <c r="K160" s="183">
        <f>SUMIFS('сентябрь 2025'!$G$2:$G$2497,'сентябрь 2025'!$D$2:$D$2497,$B160,'сентябрь 2025'!$J$2:$J$2497,K$1)</f>
        <v>0</v>
      </c>
      <c r="L160" s="183">
        <f>SUMIFS('сентябрь 2025'!$G$2:$G$2497,'сентябрь 2025'!$D$2:$D$2497,$B160,'сентябрь 2025'!$J$2:$J$2497,L$1)</f>
        <v>0</v>
      </c>
      <c r="M160" s="183">
        <f>SUMIFS('сентябрь 2025'!$G$2:$G$2497,'сентябрь 2025'!$D$2:$D$2497,$B160,'сентябрь 2025'!$J$2:$J$2497,M$1)</f>
        <v>0</v>
      </c>
      <c r="N160" s="183">
        <f>SUMIFS('сентябрь 2025'!$G$2:$G$2497,'сентябрь 2025'!$D$2:$D$2497,$B160,'сентябрь 2025'!$J$2:$J$2497,N$1)</f>
        <v>0</v>
      </c>
      <c r="O160" s="183">
        <f>SUMIFS('сентябрь 2025'!$G$2:$G$2497,'сентябрь 2025'!$D$2:$D$2497,$B160,'сентябрь 2025'!$J$2:$J$2497,O$1)</f>
        <v>0</v>
      </c>
      <c r="P160" s="183">
        <f>SUMIFS('сентябрь 2025'!$G$2:$G$2497,'сентябрь 2025'!$D$2:$D$2497,$B160,'сентябрь 2025'!$J$2:$J$2497,P$1)</f>
        <v>0</v>
      </c>
      <c r="Q160" s="183">
        <f>SUMIFS('сентябрь 2025'!$G$2:$G$2497,'сентябрь 2025'!$D$2:$D$2497,$B160,'сентябрь 2025'!$J$2:$J$2497,Q$1)</f>
        <v>0</v>
      </c>
      <c r="R160" s="183">
        <f>SUMIFS('сентябрь 2025'!$G$2:$G$2497,'сентябрь 2025'!$D$2:$D$2497,$B160,'сентябрь 2025'!$J$2:$J$2497,R$1)</f>
        <v>0</v>
      </c>
      <c r="S160" s="183">
        <f>SUMIFS('сентябрь 2025'!$G$2:$G$2497,'сентябрь 2025'!$D$2:$D$2497,$B160,'сентябрь 2025'!$J$2:$J$2497,S$1)</f>
        <v>0</v>
      </c>
      <c r="T160" s="183">
        <f>SUMIFS('сентябрь 2025'!$G$2:$G$2497,'сентябрь 2025'!$D$2:$D$2497,$B160,'сентябрь 2025'!$J$2:$J$2497,T$1)</f>
        <v>0</v>
      </c>
      <c r="U160" s="183">
        <f>SUMIFS('сентябрь 2025'!$G$2:$G$2497,'сентябрь 2025'!$D$2:$D$2497,$B160,'сентябрь 2025'!$J$2:$J$2497,U$1)</f>
        <v>0</v>
      </c>
      <c r="V160" s="183">
        <f>SUMIFS('сентябрь 2025'!$G$2:$G$2497,'сентябрь 2025'!$D$2:$D$2497,$B160,'сентябрь 2025'!$J$2:$J$2497,V$1)</f>
        <v>0</v>
      </c>
      <c r="W160" s="183">
        <f>SUMIFS('сентябрь 2025'!$G$2:$G$2497,'сентябрь 2025'!$D$2:$D$2497,$B160,'сентябрь 2025'!$J$2:$J$2497,W$1)</f>
        <v>0</v>
      </c>
      <c r="X160" s="183">
        <f>SUMIFS('сентябрь 2025'!$G$2:$G$2497,'сентябрь 2025'!$D$2:$D$2497,$B160,'сентябрь 2025'!$J$2:$J$2497,X$1)</f>
        <v>0</v>
      </c>
      <c r="Y160" s="183">
        <f>SUMIFS('сентябрь 2025'!$G$2:$G$2497,'сентябрь 2025'!$D$2:$D$2497,$B160,'сентябрь 2025'!$J$2:$J$2497,Y$1)</f>
        <v>0</v>
      </c>
      <c r="Z160" s="183">
        <f>SUMIFS('сентябрь 2025'!$G$2:$G$2497,'сентябрь 2025'!$D$2:$D$2497,$B160,'сентябрь 2025'!$J$2:$J$2497,Z$1)</f>
        <v>0</v>
      </c>
      <c r="AA160" s="183">
        <f>SUMIFS('сентябрь 2025'!$G$2:$G$2497,'сентябрь 2025'!$D$2:$D$2497,$B160,'сентябрь 2025'!$J$2:$J$2497,AA$1)</f>
        <v>0</v>
      </c>
      <c r="AB160" s="183">
        <f>SUMIFS('сентябрь 2025'!$G$2:$G$2497,'сентябрь 2025'!$D$2:$D$2497,$B160,'сентябрь 2025'!$J$2:$J$2497,AB$1)</f>
        <v>0</v>
      </c>
      <c r="AC160" s="183">
        <f>SUMIFS('сентябрь 2025'!$G$2:$G$2497,'сентябрь 2025'!$D$2:$D$2497,$B160,'сентябрь 2025'!$J$2:$J$2497,AC$1)</f>
        <v>0</v>
      </c>
      <c r="AD160" s="183">
        <f>SUMIFS('сентябрь 2025'!$G$2:$G$2497,'сентябрь 2025'!$D$2:$D$2497,$B160,'сентябрь 2025'!$J$2:$J$2497,AD$1)</f>
        <v>0</v>
      </c>
      <c r="AE160" s="183">
        <f>SUMIFS('сентябрь 2025'!$G$2:$G$2497,'сентябрь 2025'!$D$2:$D$2497,$B160,'сентябрь 2025'!$J$2:$J$2497,AE$1)</f>
        <v>0</v>
      </c>
      <c r="AF160" s="183">
        <f>SUMIFS('сентябрь 2025'!$G$2:$G$2497,'сентябрь 2025'!$D$2:$D$2497,$B160,'сентябрь 2025'!$J$2:$J$2497,AF$1)</f>
        <v>0</v>
      </c>
      <c r="AG160" s="183">
        <f>SUMIFS('сентябрь 2025'!$G$2:$G$2497,'сентябрь 2025'!$D$2:$D$2497,$B160,'сентябрь 2025'!$J$2:$J$2497,AG$1)</f>
        <v>0</v>
      </c>
      <c r="AH160" s="183">
        <f>SUMIFS('сентябрь 2025'!$G$2:$G$2497,'сентябрь 2025'!$D$2:$D$2497,$B160,'сентябрь 2025'!$J$2:$J$2497,AH$1)</f>
        <v>0</v>
      </c>
      <c r="AI160" s="20">
        <f t="shared" si="1"/>
        <v>0</v>
      </c>
    </row>
    <row r="161" spans="2:35" ht="15" customHeight="1" x14ac:dyDescent="0.25">
      <c r="B161" s="84" t="s">
        <v>290</v>
      </c>
      <c r="C161" s="86">
        <v>200</v>
      </c>
      <c r="D161" s="183">
        <f>SUMIFS('сентябрь 2025'!$G$2:$G$2497,'сентябрь 2025'!$D$2:$D$2497,$B161,'сентябрь 2025'!$J$2:$J$2497,D$1)</f>
        <v>0</v>
      </c>
      <c r="E161" s="183">
        <f>SUMIFS('сентябрь 2025'!$G$2:$G$2497,'сентябрь 2025'!$D$2:$D$2497,$B161,'сентябрь 2025'!$J$2:$J$2497,E$1)</f>
        <v>0</v>
      </c>
      <c r="F161" s="183">
        <f>SUMIFS('сентябрь 2025'!$G$2:$G$2497,'сентябрь 2025'!$D$2:$D$2497,$B161,'сентябрь 2025'!$J$2:$J$2497,F$1)</f>
        <v>0</v>
      </c>
      <c r="G161" s="183">
        <f>SUMIFS('сентябрь 2025'!$G$2:$G$2497,'сентябрь 2025'!$D$2:$D$2497,$B161,'сентябрь 2025'!$J$2:$J$2497,G$1)</f>
        <v>0</v>
      </c>
      <c r="H161" s="183">
        <f>SUMIFS('сентябрь 2025'!$G$2:$G$2497,'сентябрь 2025'!$D$2:$D$2497,$B161,'сентябрь 2025'!$J$2:$J$2497,H$1)</f>
        <v>0</v>
      </c>
      <c r="I161" s="183">
        <f>SUMIFS('сентябрь 2025'!$G$2:$G$2497,'сентябрь 2025'!$D$2:$D$2497,$B161,'сентябрь 2025'!$J$2:$J$2497,I$1)</f>
        <v>0</v>
      </c>
      <c r="J161" s="183">
        <f>SUMIFS('сентябрь 2025'!$G$2:$G$2497,'сентябрь 2025'!$D$2:$D$2497,$B161,'сентябрь 2025'!$J$2:$J$2497,J$1)</f>
        <v>0</v>
      </c>
      <c r="K161" s="183">
        <f>SUMIFS('сентябрь 2025'!$G$2:$G$2497,'сентябрь 2025'!$D$2:$D$2497,$B161,'сентябрь 2025'!$J$2:$J$2497,K$1)</f>
        <v>0</v>
      </c>
      <c r="L161" s="183">
        <f>SUMIFS('сентябрь 2025'!$G$2:$G$2497,'сентябрь 2025'!$D$2:$D$2497,$B161,'сентябрь 2025'!$J$2:$J$2497,L$1)</f>
        <v>0</v>
      </c>
      <c r="M161" s="183">
        <f>SUMIFS('сентябрь 2025'!$G$2:$G$2497,'сентябрь 2025'!$D$2:$D$2497,$B161,'сентябрь 2025'!$J$2:$J$2497,M$1)</f>
        <v>0</v>
      </c>
      <c r="N161" s="183">
        <f>SUMIFS('сентябрь 2025'!$G$2:$G$2497,'сентябрь 2025'!$D$2:$D$2497,$B161,'сентябрь 2025'!$J$2:$J$2497,N$1)</f>
        <v>0</v>
      </c>
      <c r="O161" s="183">
        <f>SUMIFS('сентябрь 2025'!$G$2:$G$2497,'сентябрь 2025'!$D$2:$D$2497,$B161,'сентябрь 2025'!$J$2:$J$2497,O$1)</f>
        <v>0</v>
      </c>
      <c r="P161" s="183">
        <f>SUMIFS('сентябрь 2025'!$G$2:$G$2497,'сентябрь 2025'!$D$2:$D$2497,$B161,'сентябрь 2025'!$J$2:$J$2497,P$1)</f>
        <v>0</v>
      </c>
      <c r="Q161" s="183">
        <f>SUMIFS('сентябрь 2025'!$G$2:$G$2497,'сентябрь 2025'!$D$2:$D$2497,$B161,'сентябрь 2025'!$J$2:$J$2497,Q$1)</f>
        <v>0</v>
      </c>
      <c r="R161" s="183">
        <f>SUMIFS('сентябрь 2025'!$G$2:$G$2497,'сентябрь 2025'!$D$2:$D$2497,$B161,'сентябрь 2025'!$J$2:$J$2497,R$1)</f>
        <v>0</v>
      </c>
      <c r="S161" s="183">
        <f>SUMIFS('сентябрь 2025'!$G$2:$G$2497,'сентябрь 2025'!$D$2:$D$2497,$B161,'сентябрь 2025'!$J$2:$J$2497,S$1)</f>
        <v>0</v>
      </c>
      <c r="T161" s="183">
        <f>SUMIFS('сентябрь 2025'!$G$2:$G$2497,'сентябрь 2025'!$D$2:$D$2497,$B161,'сентябрь 2025'!$J$2:$J$2497,T$1)</f>
        <v>0</v>
      </c>
      <c r="U161" s="183">
        <f>SUMIFS('сентябрь 2025'!$G$2:$G$2497,'сентябрь 2025'!$D$2:$D$2497,$B161,'сентябрь 2025'!$J$2:$J$2497,U$1)</f>
        <v>0</v>
      </c>
      <c r="V161" s="183">
        <f>SUMIFS('сентябрь 2025'!$G$2:$G$2497,'сентябрь 2025'!$D$2:$D$2497,$B161,'сентябрь 2025'!$J$2:$J$2497,V$1)</f>
        <v>0</v>
      </c>
      <c r="W161" s="183">
        <f>SUMIFS('сентябрь 2025'!$G$2:$G$2497,'сентябрь 2025'!$D$2:$D$2497,$B161,'сентябрь 2025'!$J$2:$J$2497,W$1)</f>
        <v>0</v>
      </c>
      <c r="X161" s="183">
        <f>SUMIFS('сентябрь 2025'!$G$2:$G$2497,'сентябрь 2025'!$D$2:$D$2497,$B161,'сентябрь 2025'!$J$2:$J$2497,X$1)</f>
        <v>0</v>
      </c>
      <c r="Y161" s="183">
        <f>SUMIFS('сентябрь 2025'!$G$2:$G$2497,'сентябрь 2025'!$D$2:$D$2497,$B161,'сентябрь 2025'!$J$2:$J$2497,Y$1)</f>
        <v>0</v>
      </c>
      <c r="Z161" s="183">
        <f>SUMIFS('сентябрь 2025'!$G$2:$G$2497,'сентябрь 2025'!$D$2:$D$2497,$B161,'сентябрь 2025'!$J$2:$J$2497,Z$1)</f>
        <v>0</v>
      </c>
      <c r="AA161" s="183">
        <f>SUMIFS('сентябрь 2025'!$G$2:$G$2497,'сентябрь 2025'!$D$2:$D$2497,$B161,'сентябрь 2025'!$J$2:$J$2497,AA$1)</f>
        <v>0</v>
      </c>
      <c r="AB161" s="183">
        <f>SUMIFS('сентябрь 2025'!$G$2:$G$2497,'сентябрь 2025'!$D$2:$D$2497,$B161,'сентябрь 2025'!$J$2:$J$2497,AB$1)</f>
        <v>0</v>
      </c>
      <c r="AC161" s="183">
        <f>SUMIFS('сентябрь 2025'!$G$2:$G$2497,'сентябрь 2025'!$D$2:$D$2497,$B161,'сентябрь 2025'!$J$2:$J$2497,AC$1)</f>
        <v>0</v>
      </c>
      <c r="AD161" s="183">
        <f>SUMIFS('сентябрь 2025'!$G$2:$G$2497,'сентябрь 2025'!$D$2:$D$2497,$B161,'сентябрь 2025'!$J$2:$J$2497,AD$1)</f>
        <v>0</v>
      </c>
      <c r="AE161" s="183">
        <f>SUMIFS('сентябрь 2025'!$G$2:$G$2497,'сентябрь 2025'!$D$2:$D$2497,$B161,'сентябрь 2025'!$J$2:$J$2497,AE$1)</f>
        <v>0</v>
      </c>
      <c r="AF161" s="183">
        <f>SUMIFS('сентябрь 2025'!$G$2:$G$2497,'сентябрь 2025'!$D$2:$D$2497,$B161,'сентябрь 2025'!$J$2:$J$2497,AF$1)</f>
        <v>0</v>
      </c>
      <c r="AG161" s="183">
        <f>SUMIFS('сентябрь 2025'!$G$2:$G$2497,'сентябрь 2025'!$D$2:$D$2497,$B161,'сентябрь 2025'!$J$2:$J$2497,AG$1)</f>
        <v>0</v>
      </c>
      <c r="AH161" s="183">
        <f>SUMIFS('сентябрь 2025'!$G$2:$G$2497,'сентябрь 2025'!$D$2:$D$2497,$B161,'сентябрь 2025'!$J$2:$J$2497,AH$1)</f>
        <v>0</v>
      </c>
      <c r="AI161" s="20">
        <f t="shared" si="1"/>
        <v>0</v>
      </c>
    </row>
    <row r="162" spans="2:35" ht="15" customHeight="1" x14ac:dyDescent="0.25">
      <c r="B162" s="88" t="s">
        <v>177</v>
      </c>
      <c r="C162" s="86">
        <v>25</v>
      </c>
      <c r="D162" s="183">
        <f>SUMIFS('сентябрь 2025'!$G$2:$G$2497,'сентябрь 2025'!$D$2:$D$2497,$B162,'сентябрь 2025'!$J$2:$J$2497,D$1)</f>
        <v>0</v>
      </c>
      <c r="E162" s="183">
        <f>SUMIFS('сентябрь 2025'!$G$2:$G$2497,'сентябрь 2025'!$D$2:$D$2497,$B162,'сентябрь 2025'!$J$2:$J$2497,E$1)</f>
        <v>0</v>
      </c>
      <c r="F162" s="183">
        <f>SUMIFS('сентябрь 2025'!$G$2:$G$2497,'сентябрь 2025'!$D$2:$D$2497,$B162,'сентябрь 2025'!$J$2:$J$2497,F$1)</f>
        <v>0</v>
      </c>
      <c r="G162" s="183">
        <f>SUMIFS('сентябрь 2025'!$G$2:$G$2497,'сентябрь 2025'!$D$2:$D$2497,$B162,'сентябрь 2025'!$J$2:$J$2497,G$1)</f>
        <v>0</v>
      </c>
      <c r="H162" s="183">
        <f>SUMIFS('сентябрь 2025'!$G$2:$G$2497,'сентябрь 2025'!$D$2:$D$2497,$B162,'сентябрь 2025'!$J$2:$J$2497,H$1)</f>
        <v>0</v>
      </c>
      <c r="I162" s="183">
        <f>SUMIFS('сентябрь 2025'!$G$2:$G$2497,'сентябрь 2025'!$D$2:$D$2497,$B162,'сентябрь 2025'!$J$2:$J$2497,I$1)</f>
        <v>0</v>
      </c>
      <c r="J162" s="183">
        <f>SUMIFS('сентябрь 2025'!$G$2:$G$2497,'сентябрь 2025'!$D$2:$D$2497,$B162,'сентябрь 2025'!$J$2:$J$2497,J$1)</f>
        <v>0</v>
      </c>
      <c r="K162" s="183">
        <f>SUMIFS('сентябрь 2025'!$G$2:$G$2497,'сентябрь 2025'!$D$2:$D$2497,$B162,'сентябрь 2025'!$J$2:$J$2497,K$1)</f>
        <v>0</v>
      </c>
      <c r="L162" s="183">
        <f>SUMIFS('сентябрь 2025'!$G$2:$G$2497,'сентябрь 2025'!$D$2:$D$2497,$B162,'сентябрь 2025'!$J$2:$J$2497,L$1)</f>
        <v>0</v>
      </c>
      <c r="M162" s="183">
        <f>SUMIFS('сентябрь 2025'!$G$2:$G$2497,'сентябрь 2025'!$D$2:$D$2497,$B162,'сентябрь 2025'!$J$2:$J$2497,M$1)</f>
        <v>0</v>
      </c>
      <c r="N162" s="183">
        <f>SUMIFS('сентябрь 2025'!$G$2:$G$2497,'сентябрь 2025'!$D$2:$D$2497,$B162,'сентябрь 2025'!$J$2:$J$2497,N$1)</f>
        <v>0</v>
      </c>
      <c r="O162" s="183">
        <f>SUMIFS('сентябрь 2025'!$G$2:$G$2497,'сентябрь 2025'!$D$2:$D$2497,$B162,'сентябрь 2025'!$J$2:$J$2497,O$1)</f>
        <v>0</v>
      </c>
      <c r="P162" s="183">
        <f>SUMIFS('сентябрь 2025'!$G$2:$G$2497,'сентябрь 2025'!$D$2:$D$2497,$B162,'сентябрь 2025'!$J$2:$J$2497,P$1)</f>
        <v>0</v>
      </c>
      <c r="Q162" s="183">
        <f>SUMIFS('сентябрь 2025'!$G$2:$G$2497,'сентябрь 2025'!$D$2:$D$2497,$B162,'сентябрь 2025'!$J$2:$J$2497,Q$1)</f>
        <v>0</v>
      </c>
      <c r="R162" s="183">
        <f>SUMIFS('сентябрь 2025'!$G$2:$G$2497,'сентябрь 2025'!$D$2:$D$2497,$B162,'сентябрь 2025'!$J$2:$J$2497,R$1)</f>
        <v>0</v>
      </c>
      <c r="S162" s="183">
        <f>SUMIFS('сентябрь 2025'!$G$2:$G$2497,'сентябрь 2025'!$D$2:$D$2497,$B162,'сентябрь 2025'!$J$2:$J$2497,S$1)</f>
        <v>0</v>
      </c>
      <c r="T162" s="183">
        <f>SUMIFS('сентябрь 2025'!$G$2:$G$2497,'сентябрь 2025'!$D$2:$D$2497,$B162,'сентябрь 2025'!$J$2:$J$2497,T$1)</f>
        <v>0</v>
      </c>
      <c r="U162" s="183">
        <f>SUMIFS('сентябрь 2025'!$G$2:$G$2497,'сентябрь 2025'!$D$2:$D$2497,$B162,'сентябрь 2025'!$J$2:$J$2497,U$1)</f>
        <v>0</v>
      </c>
      <c r="V162" s="183">
        <f>SUMIFS('сентябрь 2025'!$G$2:$G$2497,'сентябрь 2025'!$D$2:$D$2497,$B162,'сентябрь 2025'!$J$2:$J$2497,V$1)</f>
        <v>0</v>
      </c>
      <c r="W162" s="183">
        <f>SUMIFS('сентябрь 2025'!$G$2:$G$2497,'сентябрь 2025'!$D$2:$D$2497,$B162,'сентябрь 2025'!$J$2:$J$2497,W$1)</f>
        <v>0</v>
      </c>
      <c r="X162" s="183">
        <f>SUMIFS('сентябрь 2025'!$G$2:$G$2497,'сентябрь 2025'!$D$2:$D$2497,$B162,'сентябрь 2025'!$J$2:$J$2497,X$1)</f>
        <v>0</v>
      </c>
      <c r="Y162" s="183">
        <f>SUMIFS('сентябрь 2025'!$G$2:$G$2497,'сентябрь 2025'!$D$2:$D$2497,$B162,'сентябрь 2025'!$J$2:$J$2497,Y$1)</f>
        <v>0</v>
      </c>
      <c r="Z162" s="183">
        <f>SUMIFS('сентябрь 2025'!$G$2:$G$2497,'сентябрь 2025'!$D$2:$D$2497,$B162,'сентябрь 2025'!$J$2:$J$2497,Z$1)</f>
        <v>0</v>
      </c>
      <c r="AA162" s="183">
        <f>SUMIFS('сентябрь 2025'!$G$2:$G$2497,'сентябрь 2025'!$D$2:$D$2497,$B162,'сентябрь 2025'!$J$2:$J$2497,AA$1)</f>
        <v>0</v>
      </c>
      <c r="AB162" s="183">
        <f>SUMIFS('сентябрь 2025'!$G$2:$G$2497,'сентябрь 2025'!$D$2:$D$2497,$B162,'сентябрь 2025'!$J$2:$J$2497,AB$1)</f>
        <v>0</v>
      </c>
      <c r="AC162" s="183">
        <f>SUMIFS('сентябрь 2025'!$G$2:$G$2497,'сентябрь 2025'!$D$2:$D$2497,$B162,'сентябрь 2025'!$J$2:$J$2497,AC$1)</f>
        <v>0</v>
      </c>
      <c r="AD162" s="183">
        <f>SUMIFS('сентябрь 2025'!$G$2:$G$2497,'сентябрь 2025'!$D$2:$D$2497,$B162,'сентябрь 2025'!$J$2:$J$2497,AD$1)</f>
        <v>0</v>
      </c>
      <c r="AE162" s="183">
        <f>SUMIFS('сентябрь 2025'!$G$2:$G$2497,'сентябрь 2025'!$D$2:$D$2497,$B162,'сентябрь 2025'!$J$2:$J$2497,AE$1)</f>
        <v>0</v>
      </c>
      <c r="AF162" s="183">
        <f>SUMIFS('сентябрь 2025'!$G$2:$G$2497,'сентябрь 2025'!$D$2:$D$2497,$B162,'сентябрь 2025'!$J$2:$J$2497,AF$1)</f>
        <v>0</v>
      </c>
      <c r="AG162" s="183">
        <f>SUMIFS('сентябрь 2025'!$G$2:$G$2497,'сентябрь 2025'!$D$2:$D$2497,$B162,'сентябрь 2025'!$J$2:$J$2497,AG$1)</f>
        <v>0</v>
      </c>
      <c r="AH162" s="183">
        <f>SUMIFS('сентябрь 2025'!$G$2:$G$2497,'сентябрь 2025'!$D$2:$D$2497,$B162,'сентябрь 2025'!$J$2:$J$2497,AH$1)</f>
        <v>0</v>
      </c>
      <c r="AI162" s="20">
        <f t="shared" si="1"/>
        <v>0</v>
      </c>
    </row>
    <row r="163" spans="2:35" ht="15" customHeight="1" x14ac:dyDescent="0.25">
      <c r="B163" s="84" t="s">
        <v>175</v>
      </c>
      <c r="C163" s="83">
        <v>25</v>
      </c>
      <c r="D163" s="183">
        <f>SUMIFS('сентябрь 2025'!$G$2:$G$2497,'сентябрь 2025'!$D$2:$D$2497,$B163,'сентябрь 2025'!$J$2:$J$2497,D$1)</f>
        <v>0</v>
      </c>
      <c r="E163" s="183">
        <f>SUMIFS('сентябрь 2025'!$G$2:$G$2497,'сентябрь 2025'!$D$2:$D$2497,$B163,'сентябрь 2025'!$J$2:$J$2497,E$1)</f>
        <v>0</v>
      </c>
      <c r="F163" s="183">
        <f>SUMIFS('сентябрь 2025'!$G$2:$G$2497,'сентябрь 2025'!$D$2:$D$2497,$B163,'сентябрь 2025'!$J$2:$J$2497,F$1)</f>
        <v>0</v>
      </c>
      <c r="G163" s="183">
        <f>SUMIFS('сентябрь 2025'!$G$2:$G$2497,'сентябрь 2025'!$D$2:$D$2497,$B163,'сентябрь 2025'!$J$2:$J$2497,G$1)</f>
        <v>0</v>
      </c>
      <c r="H163" s="183">
        <f>SUMIFS('сентябрь 2025'!$G$2:$G$2497,'сентябрь 2025'!$D$2:$D$2497,$B163,'сентябрь 2025'!$J$2:$J$2497,H$1)</f>
        <v>0</v>
      </c>
      <c r="I163" s="183">
        <f>SUMIFS('сентябрь 2025'!$G$2:$G$2497,'сентябрь 2025'!$D$2:$D$2497,$B163,'сентябрь 2025'!$J$2:$J$2497,I$1)</f>
        <v>0</v>
      </c>
      <c r="J163" s="183">
        <f>SUMIFS('сентябрь 2025'!$G$2:$G$2497,'сентябрь 2025'!$D$2:$D$2497,$B163,'сентябрь 2025'!$J$2:$J$2497,J$1)</f>
        <v>0</v>
      </c>
      <c r="K163" s="183">
        <f>SUMIFS('сентябрь 2025'!$G$2:$G$2497,'сентябрь 2025'!$D$2:$D$2497,$B163,'сентябрь 2025'!$J$2:$J$2497,K$1)</f>
        <v>0</v>
      </c>
      <c r="L163" s="183">
        <f>SUMIFS('сентябрь 2025'!$G$2:$G$2497,'сентябрь 2025'!$D$2:$D$2497,$B163,'сентябрь 2025'!$J$2:$J$2497,L$1)</f>
        <v>0</v>
      </c>
      <c r="M163" s="183">
        <f>SUMIFS('сентябрь 2025'!$G$2:$G$2497,'сентябрь 2025'!$D$2:$D$2497,$B163,'сентябрь 2025'!$J$2:$J$2497,M$1)</f>
        <v>0</v>
      </c>
      <c r="N163" s="183">
        <f>SUMIFS('сентябрь 2025'!$G$2:$G$2497,'сентябрь 2025'!$D$2:$D$2497,$B163,'сентябрь 2025'!$J$2:$J$2497,N$1)</f>
        <v>0</v>
      </c>
      <c r="O163" s="183">
        <f>SUMIFS('сентябрь 2025'!$G$2:$G$2497,'сентябрь 2025'!$D$2:$D$2497,$B163,'сентябрь 2025'!$J$2:$J$2497,O$1)</f>
        <v>0</v>
      </c>
      <c r="P163" s="183">
        <f>SUMIFS('сентябрь 2025'!$G$2:$G$2497,'сентябрь 2025'!$D$2:$D$2497,$B163,'сентябрь 2025'!$J$2:$J$2497,P$1)</f>
        <v>0</v>
      </c>
      <c r="Q163" s="183">
        <f>SUMIFS('сентябрь 2025'!$G$2:$G$2497,'сентябрь 2025'!$D$2:$D$2497,$B163,'сентябрь 2025'!$J$2:$J$2497,Q$1)</f>
        <v>0</v>
      </c>
      <c r="R163" s="183">
        <f>SUMIFS('сентябрь 2025'!$G$2:$G$2497,'сентябрь 2025'!$D$2:$D$2497,$B163,'сентябрь 2025'!$J$2:$J$2497,R$1)</f>
        <v>0</v>
      </c>
      <c r="S163" s="183">
        <f>SUMIFS('сентябрь 2025'!$G$2:$G$2497,'сентябрь 2025'!$D$2:$D$2497,$B163,'сентябрь 2025'!$J$2:$J$2497,S$1)</f>
        <v>0</v>
      </c>
      <c r="T163" s="183">
        <f>SUMIFS('сентябрь 2025'!$G$2:$G$2497,'сентябрь 2025'!$D$2:$D$2497,$B163,'сентябрь 2025'!$J$2:$J$2497,T$1)</f>
        <v>0</v>
      </c>
      <c r="U163" s="183">
        <f>SUMIFS('сентябрь 2025'!$G$2:$G$2497,'сентябрь 2025'!$D$2:$D$2497,$B163,'сентябрь 2025'!$J$2:$J$2497,U$1)</f>
        <v>0</v>
      </c>
      <c r="V163" s="183">
        <f>SUMIFS('сентябрь 2025'!$G$2:$G$2497,'сентябрь 2025'!$D$2:$D$2497,$B163,'сентябрь 2025'!$J$2:$J$2497,V$1)</f>
        <v>0</v>
      </c>
      <c r="W163" s="183">
        <f>SUMIFS('сентябрь 2025'!$G$2:$G$2497,'сентябрь 2025'!$D$2:$D$2497,$B163,'сентябрь 2025'!$J$2:$J$2497,W$1)</f>
        <v>0</v>
      </c>
      <c r="X163" s="183">
        <f>SUMIFS('сентябрь 2025'!$G$2:$G$2497,'сентябрь 2025'!$D$2:$D$2497,$B163,'сентябрь 2025'!$J$2:$J$2497,X$1)</f>
        <v>0</v>
      </c>
      <c r="Y163" s="183">
        <f>SUMIFS('сентябрь 2025'!$G$2:$G$2497,'сентябрь 2025'!$D$2:$D$2497,$B163,'сентябрь 2025'!$J$2:$J$2497,Y$1)</f>
        <v>0</v>
      </c>
      <c r="Z163" s="183">
        <f>SUMIFS('сентябрь 2025'!$G$2:$G$2497,'сентябрь 2025'!$D$2:$D$2497,$B163,'сентябрь 2025'!$J$2:$J$2497,Z$1)</f>
        <v>0</v>
      </c>
      <c r="AA163" s="183">
        <f>SUMIFS('сентябрь 2025'!$G$2:$G$2497,'сентябрь 2025'!$D$2:$D$2497,$B163,'сентябрь 2025'!$J$2:$J$2497,AA$1)</f>
        <v>0</v>
      </c>
      <c r="AB163" s="183">
        <f>SUMIFS('сентябрь 2025'!$G$2:$G$2497,'сентябрь 2025'!$D$2:$D$2497,$B163,'сентябрь 2025'!$J$2:$J$2497,AB$1)</f>
        <v>0</v>
      </c>
      <c r="AC163" s="183">
        <f>SUMIFS('сентябрь 2025'!$G$2:$G$2497,'сентябрь 2025'!$D$2:$D$2497,$B163,'сентябрь 2025'!$J$2:$J$2497,AC$1)</f>
        <v>0</v>
      </c>
      <c r="AD163" s="183">
        <f>SUMIFS('сентябрь 2025'!$G$2:$G$2497,'сентябрь 2025'!$D$2:$D$2497,$B163,'сентябрь 2025'!$J$2:$J$2497,AD$1)</f>
        <v>0</v>
      </c>
      <c r="AE163" s="183">
        <f>SUMIFS('сентябрь 2025'!$G$2:$G$2497,'сентябрь 2025'!$D$2:$D$2497,$B163,'сентябрь 2025'!$J$2:$J$2497,AE$1)</f>
        <v>0</v>
      </c>
      <c r="AF163" s="183">
        <f>SUMIFS('сентябрь 2025'!$G$2:$G$2497,'сентябрь 2025'!$D$2:$D$2497,$B163,'сентябрь 2025'!$J$2:$J$2497,AF$1)</f>
        <v>0</v>
      </c>
      <c r="AG163" s="183">
        <f>SUMIFS('сентябрь 2025'!$G$2:$G$2497,'сентябрь 2025'!$D$2:$D$2497,$B163,'сентябрь 2025'!$J$2:$J$2497,AG$1)</f>
        <v>0</v>
      </c>
      <c r="AH163" s="183">
        <f>SUMIFS('сентябрь 2025'!$G$2:$G$2497,'сентябрь 2025'!$D$2:$D$2497,$B163,'сентябрь 2025'!$J$2:$J$2497,AH$1)</f>
        <v>0</v>
      </c>
      <c r="AI163" s="20">
        <f t="shared" si="1"/>
        <v>0</v>
      </c>
    </row>
    <row r="164" spans="2:35" ht="15" customHeight="1" x14ac:dyDescent="0.25">
      <c r="B164" s="84" t="s">
        <v>176</v>
      </c>
      <c r="C164" s="83">
        <v>25</v>
      </c>
      <c r="D164" s="183">
        <f>SUMIFS('сентябрь 2025'!$G$2:$G$2497,'сентябрь 2025'!$D$2:$D$2497,$B164,'сентябрь 2025'!$J$2:$J$2497,D$1)</f>
        <v>0</v>
      </c>
      <c r="E164" s="183">
        <f>SUMIFS('сентябрь 2025'!$G$2:$G$2497,'сентябрь 2025'!$D$2:$D$2497,$B164,'сентябрь 2025'!$J$2:$J$2497,E$1)</f>
        <v>0</v>
      </c>
      <c r="F164" s="183">
        <f>SUMIFS('сентябрь 2025'!$G$2:$G$2497,'сентябрь 2025'!$D$2:$D$2497,$B164,'сентябрь 2025'!$J$2:$J$2497,F$1)</f>
        <v>0</v>
      </c>
      <c r="G164" s="183">
        <f>SUMIFS('сентябрь 2025'!$G$2:$G$2497,'сентябрь 2025'!$D$2:$D$2497,$B164,'сентябрь 2025'!$J$2:$J$2497,G$1)</f>
        <v>0</v>
      </c>
      <c r="H164" s="183">
        <f>SUMIFS('сентябрь 2025'!$G$2:$G$2497,'сентябрь 2025'!$D$2:$D$2497,$B164,'сентябрь 2025'!$J$2:$J$2497,H$1)</f>
        <v>0</v>
      </c>
      <c r="I164" s="183">
        <f>SUMIFS('сентябрь 2025'!$G$2:$G$2497,'сентябрь 2025'!$D$2:$D$2497,$B164,'сентябрь 2025'!$J$2:$J$2497,I$1)</f>
        <v>0</v>
      </c>
      <c r="J164" s="183">
        <f>SUMIFS('сентябрь 2025'!$G$2:$G$2497,'сентябрь 2025'!$D$2:$D$2497,$B164,'сентябрь 2025'!$J$2:$J$2497,J$1)</f>
        <v>0</v>
      </c>
      <c r="K164" s="183">
        <f>SUMIFS('сентябрь 2025'!$G$2:$G$2497,'сентябрь 2025'!$D$2:$D$2497,$B164,'сентябрь 2025'!$J$2:$J$2497,K$1)</f>
        <v>0</v>
      </c>
      <c r="L164" s="183">
        <f>SUMIFS('сентябрь 2025'!$G$2:$G$2497,'сентябрь 2025'!$D$2:$D$2497,$B164,'сентябрь 2025'!$J$2:$J$2497,L$1)</f>
        <v>0</v>
      </c>
      <c r="M164" s="183">
        <f>SUMIFS('сентябрь 2025'!$G$2:$G$2497,'сентябрь 2025'!$D$2:$D$2497,$B164,'сентябрь 2025'!$J$2:$J$2497,M$1)</f>
        <v>0</v>
      </c>
      <c r="N164" s="183">
        <f>SUMIFS('сентябрь 2025'!$G$2:$G$2497,'сентябрь 2025'!$D$2:$D$2497,$B164,'сентябрь 2025'!$J$2:$J$2497,N$1)</f>
        <v>0</v>
      </c>
      <c r="O164" s="183">
        <f>SUMIFS('сентябрь 2025'!$G$2:$G$2497,'сентябрь 2025'!$D$2:$D$2497,$B164,'сентябрь 2025'!$J$2:$J$2497,O$1)</f>
        <v>0</v>
      </c>
      <c r="P164" s="183">
        <f>SUMIFS('сентябрь 2025'!$G$2:$G$2497,'сентябрь 2025'!$D$2:$D$2497,$B164,'сентябрь 2025'!$J$2:$J$2497,P$1)</f>
        <v>0</v>
      </c>
      <c r="Q164" s="183">
        <f>SUMIFS('сентябрь 2025'!$G$2:$G$2497,'сентябрь 2025'!$D$2:$D$2497,$B164,'сентябрь 2025'!$J$2:$J$2497,Q$1)</f>
        <v>0</v>
      </c>
      <c r="R164" s="183">
        <f>SUMIFS('сентябрь 2025'!$G$2:$G$2497,'сентябрь 2025'!$D$2:$D$2497,$B164,'сентябрь 2025'!$J$2:$J$2497,R$1)</f>
        <v>0</v>
      </c>
      <c r="S164" s="183">
        <f>SUMIFS('сентябрь 2025'!$G$2:$G$2497,'сентябрь 2025'!$D$2:$D$2497,$B164,'сентябрь 2025'!$J$2:$J$2497,S$1)</f>
        <v>0</v>
      </c>
      <c r="T164" s="183">
        <f>SUMIFS('сентябрь 2025'!$G$2:$G$2497,'сентябрь 2025'!$D$2:$D$2497,$B164,'сентябрь 2025'!$J$2:$J$2497,T$1)</f>
        <v>0</v>
      </c>
      <c r="U164" s="183">
        <f>SUMIFS('сентябрь 2025'!$G$2:$G$2497,'сентябрь 2025'!$D$2:$D$2497,$B164,'сентябрь 2025'!$J$2:$J$2497,U$1)</f>
        <v>0</v>
      </c>
      <c r="V164" s="183">
        <f>SUMIFS('сентябрь 2025'!$G$2:$G$2497,'сентябрь 2025'!$D$2:$D$2497,$B164,'сентябрь 2025'!$J$2:$J$2497,V$1)</f>
        <v>0</v>
      </c>
      <c r="W164" s="183">
        <f>SUMIFS('сентябрь 2025'!$G$2:$G$2497,'сентябрь 2025'!$D$2:$D$2497,$B164,'сентябрь 2025'!$J$2:$J$2497,W$1)</f>
        <v>0</v>
      </c>
      <c r="X164" s="183">
        <f>SUMIFS('сентябрь 2025'!$G$2:$G$2497,'сентябрь 2025'!$D$2:$D$2497,$B164,'сентябрь 2025'!$J$2:$J$2497,X$1)</f>
        <v>0</v>
      </c>
      <c r="Y164" s="183">
        <f>SUMIFS('сентябрь 2025'!$G$2:$G$2497,'сентябрь 2025'!$D$2:$D$2497,$B164,'сентябрь 2025'!$J$2:$J$2497,Y$1)</f>
        <v>0</v>
      </c>
      <c r="Z164" s="183">
        <f>SUMIFS('сентябрь 2025'!$G$2:$G$2497,'сентябрь 2025'!$D$2:$D$2497,$B164,'сентябрь 2025'!$J$2:$J$2497,Z$1)</f>
        <v>0</v>
      </c>
      <c r="AA164" s="183">
        <f>SUMIFS('сентябрь 2025'!$G$2:$G$2497,'сентябрь 2025'!$D$2:$D$2497,$B164,'сентябрь 2025'!$J$2:$J$2497,AA$1)</f>
        <v>0</v>
      </c>
      <c r="AB164" s="183">
        <f>SUMIFS('сентябрь 2025'!$G$2:$G$2497,'сентябрь 2025'!$D$2:$D$2497,$B164,'сентябрь 2025'!$J$2:$J$2497,AB$1)</f>
        <v>0</v>
      </c>
      <c r="AC164" s="183">
        <f>SUMIFS('сентябрь 2025'!$G$2:$G$2497,'сентябрь 2025'!$D$2:$D$2497,$B164,'сентябрь 2025'!$J$2:$J$2497,AC$1)</f>
        <v>0</v>
      </c>
      <c r="AD164" s="183">
        <f>SUMIFS('сентябрь 2025'!$G$2:$G$2497,'сентябрь 2025'!$D$2:$D$2497,$B164,'сентябрь 2025'!$J$2:$J$2497,AD$1)</f>
        <v>0</v>
      </c>
      <c r="AE164" s="183">
        <f>SUMIFS('сентябрь 2025'!$G$2:$G$2497,'сентябрь 2025'!$D$2:$D$2497,$B164,'сентябрь 2025'!$J$2:$J$2497,AE$1)</f>
        <v>0</v>
      </c>
      <c r="AF164" s="183">
        <f>SUMIFS('сентябрь 2025'!$G$2:$G$2497,'сентябрь 2025'!$D$2:$D$2497,$B164,'сентябрь 2025'!$J$2:$J$2497,AF$1)</f>
        <v>0</v>
      </c>
      <c r="AG164" s="183">
        <f>SUMIFS('сентябрь 2025'!$G$2:$G$2497,'сентябрь 2025'!$D$2:$D$2497,$B164,'сентябрь 2025'!$J$2:$J$2497,AG$1)</f>
        <v>0</v>
      </c>
      <c r="AH164" s="183">
        <f>SUMIFS('сентябрь 2025'!$G$2:$G$2497,'сентябрь 2025'!$D$2:$D$2497,$B164,'сентябрь 2025'!$J$2:$J$2497,AH$1)</f>
        <v>0</v>
      </c>
      <c r="AI164" s="20">
        <f t="shared" si="1"/>
        <v>0</v>
      </c>
    </row>
    <row r="165" spans="2:35" ht="15" customHeight="1" x14ac:dyDescent="0.25">
      <c r="B165" s="84" t="s">
        <v>201</v>
      </c>
      <c r="C165" s="83">
        <v>25</v>
      </c>
      <c r="D165" s="183">
        <f>SUMIFS('сентябрь 2025'!$G$2:$G$2497,'сентябрь 2025'!$D$2:$D$2497,$B165,'сентябрь 2025'!$J$2:$J$2497,D$1)</f>
        <v>0</v>
      </c>
      <c r="E165" s="183">
        <f>SUMIFS('сентябрь 2025'!$G$2:$G$2497,'сентябрь 2025'!$D$2:$D$2497,$B165,'сентябрь 2025'!$J$2:$J$2497,E$1)</f>
        <v>0</v>
      </c>
      <c r="F165" s="183">
        <f>SUMIFS('сентябрь 2025'!$G$2:$G$2497,'сентябрь 2025'!$D$2:$D$2497,$B165,'сентябрь 2025'!$J$2:$J$2497,F$1)</f>
        <v>0</v>
      </c>
      <c r="G165" s="183">
        <f>SUMIFS('сентябрь 2025'!$G$2:$G$2497,'сентябрь 2025'!$D$2:$D$2497,$B165,'сентябрь 2025'!$J$2:$J$2497,G$1)</f>
        <v>0</v>
      </c>
      <c r="H165" s="183">
        <f>SUMIFS('сентябрь 2025'!$G$2:$G$2497,'сентябрь 2025'!$D$2:$D$2497,$B165,'сентябрь 2025'!$J$2:$J$2497,H$1)</f>
        <v>0</v>
      </c>
      <c r="I165" s="183">
        <f>SUMIFS('сентябрь 2025'!$G$2:$G$2497,'сентябрь 2025'!$D$2:$D$2497,$B165,'сентябрь 2025'!$J$2:$J$2497,I$1)</f>
        <v>0</v>
      </c>
      <c r="J165" s="183">
        <f>SUMIFS('сентябрь 2025'!$G$2:$G$2497,'сентябрь 2025'!$D$2:$D$2497,$B165,'сентябрь 2025'!$J$2:$J$2497,J$1)</f>
        <v>0</v>
      </c>
      <c r="K165" s="183">
        <f>SUMIFS('сентябрь 2025'!$G$2:$G$2497,'сентябрь 2025'!$D$2:$D$2497,$B165,'сентябрь 2025'!$J$2:$J$2497,K$1)</f>
        <v>0</v>
      </c>
      <c r="L165" s="183">
        <f>SUMIFS('сентябрь 2025'!$G$2:$G$2497,'сентябрь 2025'!$D$2:$D$2497,$B165,'сентябрь 2025'!$J$2:$J$2497,L$1)</f>
        <v>0</v>
      </c>
      <c r="M165" s="183">
        <f>SUMIFS('сентябрь 2025'!$G$2:$G$2497,'сентябрь 2025'!$D$2:$D$2497,$B165,'сентябрь 2025'!$J$2:$J$2497,M$1)</f>
        <v>0</v>
      </c>
      <c r="N165" s="183">
        <f>SUMIFS('сентябрь 2025'!$G$2:$G$2497,'сентябрь 2025'!$D$2:$D$2497,$B165,'сентябрь 2025'!$J$2:$J$2497,N$1)</f>
        <v>0</v>
      </c>
      <c r="O165" s="183">
        <f>SUMIFS('сентябрь 2025'!$G$2:$G$2497,'сентябрь 2025'!$D$2:$D$2497,$B165,'сентябрь 2025'!$J$2:$J$2497,O$1)</f>
        <v>0</v>
      </c>
      <c r="P165" s="183">
        <f>SUMIFS('сентябрь 2025'!$G$2:$G$2497,'сентябрь 2025'!$D$2:$D$2497,$B165,'сентябрь 2025'!$J$2:$J$2497,P$1)</f>
        <v>0</v>
      </c>
      <c r="Q165" s="183">
        <f>SUMIFS('сентябрь 2025'!$G$2:$G$2497,'сентябрь 2025'!$D$2:$D$2497,$B165,'сентябрь 2025'!$J$2:$J$2497,Q$1)</f>
        <v>0</v>
      </c>
      <c r="R165" s="183">
        <f>SUMIFS('сентябрь 2025'!$G$2:$G$2497,'сентябрь 2025'!$D$2:$D$2497,$B165,'сентябрь 2025'!$J$2:$J$2497,R$1)</f>
        <v>0</v>
      </c>
      <c r="S165" s="183">
        <f>SUMIFS('сентябрь 2025'!$G$2:$G$2497,'сентябрь 2025'!$D$2:$D$2497,$B165,'сентябрь 2025'!$J$2:$J$2497,S$1)</f>
        <v>0</v>
      </c>
      <c r="T165" s="183">
        <f>SUMIFS('сентябрь 2025'!$G$2:$G$2497,'сентябрь 2025'!$D$2:$D$2497,$B165,'сентябрь 2025'!$J$2:$J$2497,T$1)</f>
        <v>0</v>
      </c>
      <c r="U165" s="183">
        <f>SUMIFS('сентябрь 2025'!$G$2:$G$2497,'сентябрь 2025'!$D$2:$D$2497,$B165,'сентябрь 2025'!$J$2:$J$2497,U$1)</f>
        <v>0</v>
      </c>
      <c r="V165" s="183">
        <f>SUMIFS('сентябрь 2025'!$G$2:$G$2497,'сентябрь 2025'!$D$2:$D$2497,$B165,'сентябрь 2025'!$J$2:$J$2497,V$1)</f>
        <v>0</v>
      </c>
      <c r="W165" s="183">
        <f>SUMIFS('сентябрь 2025'!$G$2:$G$2497,'сентябрь 2025'!$D$2:$D$2497,$B165,'сентябрь 2025'!$J$2:$J$2497,W$1)</f>
        <v>0</v>
      </c>
      <c r="X165" s="183">
        <f>SUMIFS('сентябрь 2025'!$G$2:$G$2497,'сентябрь 2025'!$D$2:$D$2497,$B165,'сентябрь 2025'!$J$2:$J$2497,X$1)</f>
        <v>0</v>
      </c>
      <c r="Y165" s="183">
        <f>SUMIFS('сентябрь 2025'!$G$2:$G$2497,'сентябрь 2025'!$D$2:$D$2497,$B165,'сентябрь 2025'!$J$2:$J$2497,Y$1)</f>
        <v>0</v>
      </c>
      <c r="Z165" s="183">
        <f>SUMIFS('сентябрь 2025'!$G$2:$G$2497,'сентябрь 2025'!$D$2:$D$2497,$B165,'сентябрь 2025'!$J$2:$J$2497,Z$1)</f>
        <v>0</v>
      </c>
      <c r="AA165" s="183">
        <f>SUMIFS('сентябрь 2025'!$G$2:$G$2497,'сентябрь 2025'!$D$2:$D$2497,$B165,'сентябрь 2025'!$J$2:$J$2497,AA$1)</f>
        <v>0</v>
      </c>
      <c r="AB165" s="183">
        <f>SUMIFS('сентябрь 2025'!$G$2:$G$2497,'сентябрь 2025'!$D$2:$D$2497,$B165,'сентябрь 2025'!$J$2:$J$2497,AB$1)</f>
        <v>0</v>
      </c>
      <c r="AC165" s="183">
        <f>SUMIFS('сентябрь 2025'!$G$2:$G$2497,'сентябрь 2025'!$D$2:$D$2497,$B165,'сентябрь 2025'!$J$2:$J$2497,AC$1)</f>
        <v>0</v>
      </c>
      <c r="AD165" s="183">
        <f>SUMIFS('сентябрь 2025'!$G$2:$G$2497,'сентябрь 2025'!$D$2:$D$2497,$B165,'сентябрь 2025'!$J$2:$J$2497,AD$1)</f>
        <v>0</v>
      </c>
      <c r="AE165" s="183">
        <f>SUMIFS('сентябрь 2025'!$G$2:$G$2497,'сентябрь 2025'!$D$2:$D$2497,$B165,'сентябрь 2025'!$J$2:$J$2497,AE$1)</f>
        <v>0</v>
      </c>
      <c r="AF165" s="183">
        <f>SUMIFS('сентябрь 2025'!$G$2:$G$2497,'сентябрь 2025'!$D$2:$D$2497,$B165,'сентябрь 2025'!$J$2:$J$2497,AF$1)</f>
        <v>0</v>
      </c>
      <c r="AG165" s="183">
        <f>SUMIFS('сентябрь 2025'!$G$2:$G$2497,'сентябрь 2025'!$D$2:$D$2497,$B165,'сентябрь 2025'!$J$2:$J$2497,AG$1)</f>
        <v>0</v>
      </c>
      <c r="AH165" s="183">
        <f>SUMIFS('сентябрь 2025'!$G$2:$G$2497,'сентябрь 2025'!$D$2:$D$2497,$B165,'сентябрь 2025'!$J$2:$J$2497,AH$1)</f>
        <v>0</v>
      </c>
      <c r="AI165" s="20">
        <f t="shared" si="1"/>
        <v>0</v>
      </c>
    </row>
    <row r="166" spans="2:35" ht="15" customHeight="1" x14ac:dyDescent="0.25">
      <c r="B166" s="84" t="s">
        <v>300</v>
      </c>
      <c r="C166" s="83">
        <v>200</v>
      </c>
      <c r="D166" s="183">
        <f>SUMIFS('сентябрь 2025'!$G$2:$G$2497,'сентябрь 2025'!$D$2:$D$2497,$B166,'сентябрь 2025'!$J$2:$J$2497,D$1)</f>
        <v>0</v>
      </c>
      <c r="E166" s="183">
        <f>SUMIFS('сентябрь 2025'!$G$2:$G$2497,'сентябрь 2025'!$D$2:$D$2497,$B166,'сентябрь 2025'!$J$2:$J$2497,E$1)</f>
        <v>0</v>
      </c>
      <c r="F166" s="183">
        <f>SUMIFS('сентябрь 2025'!$G$2:$G$2497,'сентябрь 2025'!$D$2:$D$2497,$B166,'сентябрь 2025'!$J$2:$J$2497,F$1)</f>
        <v>0</v>
      </c>
      <c r="G166" s="183">
        <f>SUMIFS('сентябрь 2025'!$G$2:$G$2497,'сентябрь 2025'!$D$2:$D$2497,$B166,'сентябрь 2025'!$J$2:$J$2497,G$1)</f>
        <v>0</v>
      </c>
      <c r="H166" s="183">
        <f>SUMIFS('сентябрь 2025'!$G$2:$G$2497,'сентябрь 2025'!$D$2:$D$2497,$B166,'сентябрь 2025'!$J$2:$J$2497,H$1)</f>
        <v>0</v>
      </c>
      <c r="I166" s="183">
        <f>SUMIFS('сентябрь 2025'!$G$2:$G$2497,'сентябрь 2025'!$D$2:$D$2497,$B166,'сентябрь 2025'!$J$2:$J$2497,I$1)</f>
        <v>0</v>
      </c>
      <c r="J166" s="183">
        <f>SUMIFS('сентябрь 2025'!$G$2:$G$2497,'сентябрь 2025'!$D$2:$D$2497,$B166,'сентябрь 2025'!$J$2:$J$2497,J$1)</f>
        <v>0</v>
      </c>
      <c r="K166" s="183">
        <f>SUMIFS('сентябрь 2025'!$G$2:$G$2497,'сентябрь 2025'!$D$2:$D$2497,$B166,'сентябрь 2025'!$J$2:$J$2497,K$1)</f>
        <v>0</v>
      </c>
      <c r="L166" s="183">
        <f>SUMIFS('сентябрь 2025'!$G$2:$G$2497,'сентябрь 2025'!$D$2:$D$2497,$B166,'сентябрь 2025'!$J$2:$J$2497,L$1)</f>
        <v>0</v>
      </c>
      <c r="M166" s="183">
        <f>SUMIFS('сентябрь 2025'!$G$2:$G$2497,'сентябрь 2025'!$D$2:$D$2497,$B166,'сентябрь 2025'!$J$2:$J$2497,M$1)</f>
        <v>0</v>
      </c>
      <c r="N166" s="183">
        <f>SUMIFS('сентябрь 2025'!$G$2:$G$2497,'сентябрь 2025'!$D$2:$D$2497,$B166,'сентябрь 2025'!$J$2:$J$2497,N$1)</f>
        <v>0</v>
      </c>
      <c r="O166" s="183">
        <f>SUMIFS('сентябрь 2025'!$G$2:$G$2497,'сентябрь 2025'!$D$2:$D$2497,$B166,'сентябрь 2025'!$J$2:$J$2497,O$1)</f>
        <v>0</v>
      </c>
      <c r="P166" s="183">
        <f>SUMIFS('сентябрь 2025'!$G$2:$G$2497,'сентябрь 2025'!$D$2:$D$2497,$B166,'сентябрь 2025'!$J$2:$J$2497,P$1)</f>
        <v>0</v>
      </c>
      <c r="Q166" s="183">
        <f>SUMIFS('сентябрь 2025'!$G$2:$G$2497,'сентябрь 2025'!$D$2:$D$2497,$B166,'сентябрь 2025'!$J$2:$J$2497,Q$1)</f>
        <v>0</v>
      </c>
      <c r="R166" s="183">
        <f>SUMIFS('сентябрь 2025'!$G$2:$G$2497,'сентябрь 2025'!$D$2:$D$2497,$B166,'сентябрь 2025'!$J$2:$J$2497,R$1)</f>
        <v>0</v>
      </c>
      <c r="S166" s="183">
        <f>SUMIFS('сентябрь 2025'!$G$2:$G$2497,'сентябрь 2025'!$D$2:$D$2497,$B166,'сентябрь 2025'!$J$2:$J$2497,S$1)</f>
        <v>0</v>
      </c>
      <c r="T166" s="183">
        <f>SUMIFS('сентябрь 2025'!$G$2:$G$2497,'сентябрь 2025'!$D$2:$D$2497,$B166,'сентябрь 2025'!$J$2:$J$2497,T$1)</f>
        <v>0</v>
      </c>
      <c r="U166" s="183">
        <f>SUMIFS('сентябрь 2025'!$G$2:$G$2497,'сентябрь 2025'!$D$2:$D$2497,$B166,'сентябрь 2025'!$J$2:$J$2497,U$1)</f>
        <v>0</v>
      </c>
      <c r="V166" s="183">
        <f>SUMIFS('сентябрь 2025'!$G$2:$G$2497,'сентябрь 2025'!$D$2:$D$2497,$B166,'сентябрь 2025'!$J$2:$J$2497,V$1)</f>
        <v>0</v>
      </c>
      <c r="W166" s="183">
        <f>SUMIFS('сентябрь 2025'!$G$2:$G$2497,'сентябрь 2025'!$D$2:$D$2497,$B166,'сентябрь 2025'!$J$2:$J$2497,W$1)</f>
        <v>0</v>
      </c>
      <c r="X166" s="183">
        <f>SUMIFS('сентябрь 2025'!$G$2:$G$2497,'сентябрь 2025'!$D$2:$D$2497,$B166,'сентябрь 2025'!$J$2:$J$2497,X$1)</f>
        <v>0</v>
      </c>
      <c r="Y166" s="183">
        <f>SUMIFS('сентябрь 2025'!$G$2:$G$2497,'сентябрь 2025'!$D$2:$D$2497,$B166,'сентябрь 2025'!$J$2:$J$2497,Y$1)</f>
        <v>0</v>
      </c>
      <c r="Z166" s="183">
        <f>SUMIFS('сентябрь 2025'!$G$2:$G$2497,'сентябрь 2025'!$D$2:$D$2497,$B166,'сентябрь 2025'!$J$2:$J$2497,Z$1)</f>
        <v>0</v>
      </c>
      <c r="AA166" s="183">
        <f>SUMIFS('сентябрь 2025'!$G$2:$G$2497,'сентябрь 2025'!$D$2:$D$2497,$B166,'сентябрь 2025'!$J$2:$J$2497,AA$1)</f>
        <v>0</v>
      </c>
      <c r="AB166" s="183">
        <f>SUMIFS('сентябрь 2025'!$G$2:$G$2497,'сентябрь 2025'!$D$2:$D$2497,$B166,'сентябрь 2025'!$J$2:$J$2497,AB$1)</f>
        <v>0</v>
      </c>
      <c r="AC166" s="183">
        <f>SUMIFS('сентябрь 2025'!$G$2:$G$2497,'сентябрь 2025'!$D$2:$D$2497,$B166,'сентябрь 2025'!$J$2:$J$2497,AC$1)</f>
        <v>0</v>
      </c>
      <c r="AD166" s="183">
        <f>SUMIFS('сентябрь 2025'!$G$2:$G$2497,'сентябрь 2025'!$D$2:$D$2497,$B166,'сентябрь 2025'!$J$2:$J$2497,AD$1)</f>
        <v>0</v>
      </c>
      <c r="AE166" s="183">
        <f>SUMIFS('сентябрь 2025'!$G$2:$G$2497,'сентябрь 2025'!$D$2:$D$2497,$B166,'сентябрь 2025'!$J$2:$J$2497,AE$1)</f>
        <v>0</v>
      </c>
      <c r="AF166" s="183">
        <f>SUMIFS('сентябрь 2025'!$G$2:$G$2497,'сентябрь 2025'!$D$2:$D$2497,$B166,'сентябрь 2025'!$J$2:$J$2497,AF$1)</f>
        <v>0</v>
      </c>
      <c r="AG166" s="183">
        <f>SUMIFS('сентябрь 2025'!$G$2:$G$2497,'сентябрь 2025'!$D$2:$D$2497,$B166,'сентябрь 2025'!$J$2:$J$2497,AG$1)</f>
        <v>0</v>
      </c>
      <c r="AH166" s="183">
        <f>SUMIFS('сентябрь 2025'!$G$2:$G$2497,'сентябрь 2025'!$D$2:$D$2497,$B166,'сентябрь 2025'!$J$2:$J$2497,AH$1)</f>
        <v>0</v>
      </c>
      <c r="AI166" s="20">
        <f>SUM(D166:AH166)</f>
        <v>0</v>
      </c>
    </row>
    <row r="167" spans="2:35" ht="15" customHeight="1" x14ac:dyDescent="0.25">
      <c r="B167" s="84" t="s">
        <v>307</v>
      </c>
      <c r="C167" s="83">
        <v>175</v>
      </c>
      <c r="D167" s="183">
        <f>SUMIFS('сентябрь 2025'!$G$2:$G$2497,'сентябрь 2025'!$D$2:$D$2497,$B167,'сентябрь 2025'!$J$2:$J$2497,D$1)</f>
        <v>0</v>
      </c>
      <c r="E167" s="183">
        <f>SUMIFS('сентябрь 2025'!$G$2:$G$2497,'сентябрь 2025'!$D$2:$D$2497,$B167,'сентябрь 2025'!$J$2:$J$2497,E$1)</f>
        <v>0</v>
      </c>
      <c r="F167" s="183">
        <f>SUMIFS('сентябрь 2025'!$G$2:$G$2497,'сентябрь 2025'!$D$2:$D$2497,$B167,'сентябрь 2025'!$J$2:$J$2497,F$1)</f>
        <v>0</v>
      </c>
      <c r="G167" s="183">
        <f>SUMIFS('сентябрь 2025'!$G$2:$G$2497,'сентябрь 2025'!$D$2:$D$2497,$B167,'сентябрь 2025'!$J$2:$J$2497,G$1)</f>
        <v>0</v>
      </c>
      <c r="H167" s="183">
        <f>SUMIFS('сентябрь 2025'!$G$2:$G$2497,'сентябрь 2025'!$D$2:$D$2497,$B167,'сентябрь 2025'!$J$2:$J$2497,H$1)</f>
        <v>0</v>
      </c>
      <c r="I167" s="183">
        <f>SUMIFS('сентябрь 2025'!$G$2:$G$2497,'сентябрь 2025'!$D$2:$D$2497,$B167,'сентябрь 2025'!$J$2:$J$2497,I$1)</f>
        <v>0</v>
      </c>
      <c r="J167" s="183">
        <f>SUMIFS('сентябрь 2025'!$G$2:$G$2497,'сентябрь 2025'!$D$2:$D$2497,$B167,'сентябрь 2025'!$J$2:$J$2497,J$1)</f>
        <v>0</v>
      </c>
      <c r="K167" s="183">
        <f>SUMIFS('сентябрь 2025'!$G$2:$G$2497,'сентябрь 2025'!$D$2:$D$2497,$B167,'сентябрь 2025'!$J$2:$J$2497,K$1)</f>
        <v>0</v>
      </c>
      <c r="L167" s="183">
        <f>SUMIFS('сентябрь 2025'!$G$2:$G$2497,'сентябрь 2025'!$D$2:$D$2497,$B167,'сентябрь 2025'!$J$2:$J$2497,L$1)</f>
        <v>0</v>
      </c>
      <c r="M167" s="183">
        <f>SUMIFS('сентябрь 2025'!$G$2:$G$2497,'сентябрь 2025'!$D$2:$D$2497,$B167,'сентябрь 2025'!$J$2:$J$2497,M$1)</f>
        <v>0</v>
      </c>
      <c r="N167" s="183">
        <f>SUMIFS('сентябрь 2025'!$G$2:$G$2497,'сентябрь 2025'!$D$2:$D$2497,$B167,'сентябрь 2025'!$J$2:$J$2497,N$1)</f>
        <v>0</v>
      </c>
      <c r="O167" s="183">
        <f>SUMIFS('сентябрь 2025'!$G$2:$G$2497,'сентябрь 2025'!$D$2:$D$2497,$B167,'сентябрь 2025'!$J$2:$J$2497,O$1)</f>
        <v>0</v>
      </c>
      <c r="P167" s="183">
        <f>SUMIFS('сентябрь 2025'!$G$2:$G$2497,'сентябрь 2025'!$D$2:$D$2497,$B167,'сентябрь 2025'!$J$2:$J$2497,P$1)</f>
        <v>0</v>
      </c>
      <c r="Q167" s="183">
        <f>SUMIFS('сентябрь 2025'!$G$2:$G$2497,'сентябрь 2025'!$D$2:$D$2497,$B167,'сентябрь 2025'!$J$2:$J$2497,Q$1)</f>
        <v>0</v>
      </c>
      <c r="R167" s="183">
        <f>SUMIFS('сентябрь 2025'!$G$2:$G$2497,'сентябрь 2025'!$D$2:$D$2497,$B167,'сентябрь 2025'!$J$2:$J$2497,R$1)</f>
        <v>0</v>
      </c>
      <c r="S167" s="183">
        <f>SUMIFS('сентябрь 2025'!$G$2:$G$2497,'сентябрь 2025'!$D$2:$D$2497,$B167,'сентябрь 2025'!$J$2:$J$2497,S$1)</f>
        <v>0</v>
      </c>
      <c r="T167" s="183">
        <f>SUMIFS('сентябрь 2025'!$G$2:$G$2497,'сентябрь 2025'!$D$2:$D$2497,$B167,'сентябрь 2025'!$J$2:$J$2497,T$1)</f>
        <v>0</v>
      </c>
      <c r="U167" s="183">
        <f>SUMIFS('сентябрь 2025'!$G$2:$G$2497,'сентябрь 2025'!$D$2:$D$2497,$B167,'сентябрь 2025'!$J$2:$J$2497,U$1)</f>
        <v>0</v>
      </c>
      <c r="V167" s="183">
        <f>SUMIFS('сентябрь 2025'!$G$2:$G$2497,'сентябрь 2025'!$D$2:$D$2497,$B167,'сентябрь 2025'!$J$2:$J$2497,V$1)</f>
        <v>0</v>
      </c>
      <c r="W167" s="183">
        <f>SUMIFS('сентябрь 2025'!$G$2:$G$2497,'сентябрь 2025'!$D$2:$D$2497,$B167,'сентябрь 2025'!$J$2:$J$2497,W$1)</f>
        <v>0</v>
      </c>
      <c r="X167" s="183">
        <f>SUMIFS('сентябрь 2025'!$G$2:$G$2497,'сентябрь 2025'!$D$2:$D$2497,$B167,'сентябрь 2025'!$J$2:$J$2497,X$1)</f>
        <v>0</v>
      </c>
      <c r="Y167" s="183">
        <f>SUMIFS('сентябрь 2025'!$G$2:$G$2497,'сентябрь 2025'!$D$2:$D$2497,$B167,'сентябрь 2025'!$J$2:$J$2497,Y$1)</f>
        <v>0</v>
      </c>
      <c r="Z167" s="183">
        <f>SUMIFS('сентябрь 2025'!$G$2:$G$2497,'сентябрь 2025'!$D$2:$D$2497,$B167,'сентябрь 2025'!$J$2:$J$2497,Z$1)</f>
        <v>0</v>
      </c>
      <c r="AA167" s="183">
        <f>SUMIFS('сентябрь 2025'!$G$2:$G$2497,'сентябрь 2025'!$D$2:$D$2497,$B167,'сентябрь 2025'!$J$2:$J$2497,AA$1)</f>
        <v>0</v>
      </c>
      <c r="AB167" s="183">
        <f>SUMIFS('сентябрь 2025'!$G$2:$G$2497,'сентябрь 2025'!$D$2:$D$2497,$B167,'сентябрь 2025'!$J$2:$J$2497,AB$1)</f>
        <v>0</v>
      </c>
      <c r="AC167" s="183">
        <f>SUMIFS('сентябрь 2025'!$G$2:$G$2497,'сентябрь 2025'!$D$2:$D$2497,$B167,'сентябрь 2025'!$J$2:$J$2497,AC$1)</f>
        <v>0</v>
      </c>
      <c r="AD167" s="183">
        <f>SUMIFS('сентябрь 2025'!$G$2:$G$2497,'сентябрь 2025'!$D$2:$D$2497,$B167,'сентябрь 2025'!$J$2:$J$2497,AD$1)</f>
        <v>0</v>
      </c>
      <c r="AE167" s="183">
        <f>SUMIFS('сентябрь 2025'!$G$2:$G$2497,'сентябрь 2025'!$D$2:$D$2497,$B167,'сентябрь 2025'!$J$2:$J$2497,AE$1)</f>
        <v>0</v>
      </c>
      <c r="AF167" s="183">
        <f>SUMIFS('сентябрь 2025'!$G$2:$G$2497,'сентябрь 2025'!$D$2:$D$2497,$B167,'сентябрь 2025'!$J$2:$J$2497,AF$1)</f>
        <v>0</v>
      </c>
      <c r="AG167" s="183">
        <f>SUMIFS('сентябрь 2025'!$G$2:$G$2497,'сентябрь 2025'!$D$2:$D$2497,$B167,'сентябрь 2025'!$J$2:$J$2497,AG$1)</f>
        <v>0</v>
      </c>
      <c r="AH167" s="183">
        <f>SUMIFS('сентябрь 2025'!$G$2:$G$2497,'сентябрь 2025'!$D$2:$D$2497,$B167,'сентябрь 2025'!$J$2:$J$2497,AH$1)</f>
        <v>0</v>
      </c>
      <c r="AI167" s="20">
        <f>SUM(D167:AH167)</f>
        <v>0</v>
      </c>
    </row>
    <row r="168" spans="2:35" ht="15" customHeight="1" x14ac:dyDescent="0.25">
      <c r="B168" s="84" t="s">
        <v>324</v>
      </c>
      <c r="C168" s="83">
        <v>950</v>
      </c>
      <c r="D168" s="183">
        <f>SUMIFS('сентябрь 2025'!$G$2:$G$2497,'сентябрь 2025'!$D$2:$D$2497,$B168,'сентябрь 2025'!$J$2:$J$2497,D$1)</f>
        <v>0</v>
      </c>
      <c r="E168" s="183">
        <f>SUMIFS('сентябрь 2025'!$G$2:$G$2497,'сентябрь 2025'!$D$2:$D$2497,$B168,'сентябрь 2025'!$J$2:$J$2497,E$1)</f>
        <v>0</v>
      </c>
      <c r="F168" s="183">
        <f>SUMIFS('сентябрь 2025'!$G$2:$G$2497,'сентябрь 2025'!$D$2:$D$2497,$B168,'сентябрь 2025'!$J$2:$J$2497,F$1)</f>
        <v>0</v>
      </c>
      <c r="G168" s="183">
        <f>SUMIFS('сентябрь 2025'!$G$2:$G$2497,'сентябрь 2025'!$D$2:$D$2497,$B168,'сентябрь 2025'!$J$2:$J$2497,G$1)</f>
        <v>0</v>
      </c>
      <c r="H168" s="183">
        <f>SUMIFS('сентябрь 2025'!$G$2:$G$2497,'сентябрь 2025'!$D$2:$D$2497,$B168,'сентябрь 2025'!$J$2:$J$2497,H$1)</f>
        <v>0</v>
      </c>
      <c r="I168" s="183">
        <f>SUMIFS('сентябрь 2025'!$G$2:$G$2497,'сентябрь 2025'!$D$2:$D$2497,$B168,'сентябрь 2025'!$J$2:$J$2497,I$1)</f>
        <v>0</v>
      </c>
      <c r="J168" s="183">
        <f>SUMIFS('сентябрь 2025'!$G$2:$G$2497,'сентябрь 2025'!$D$2:$D$2497,$B168,'сентябрь 2025'!$J$2:$J$2497,J$1)</f>
        <v>0</v>
      </c>
      <c r="K168" s="183">
        <f>SUMIFS('сентябрь 2025'!$G$2:$G$2497,'сентябрь 2025'!$D$2:$D$2497,$B168,'сентябрь 2025'!$J$2:$J$2497,K$1)</f>
        <v>0</v>
      </c>
      <c r="L168" s="183">
        <f>SUMIFS('сентябрь 2025'!$G$2:$G$2497,'сентябрь 2025'!$D$2:$D$2497,$B168,'сентябрь 2025'!$J$2:$J$2497,L$1)</f>
        <v>0</v>
      </c>
      <c r="M168" s="183">
        <f>SUMIFS('сентябрь 2025'!$G$2:$G$2497,'сентябрь 2025'!$D$2:$D$2497,$B168,'сентябрь 2025'!$J$2:$J$2497,M$1)</f>
        <v>0</v>
      </c>
      <c r="N168" s="183">
        <f>SUMIFS('сентябрь 2025'!$G$2:$G$2497,'сентябрь 2025'!$D$2:$D$2497,$B168,'сентябрь 2025'!$J$2:$J$2497,N$1)</f>
        <v>0</v>
      </c>
      <c r="O168" s="183">
        <f>SUMIFS('сентябрь 2025'!$G$2:$G$2497,'сентябрь 2025'!$D$2:$D$2497,$B168,'сентябрь 2025'!$J$2:$J$2497,O$1)</f>
        <v>0</v>
      </c>
      <c r="P168" s="183">
        <f>SUMIFS('сентябрь 2025'!$G$2:$G$2497,'сентябрь 2025'!$D$2:$D$2497,$B168,'сентябрь 2025'!$J$2:$J$2497,P$1)</f>
        <v>0</v>
      </c>
      <c r="Q168" s="183">
        <f>SUMIFS('сентябрь 2025'!$G$2:$G$2497,'сентябрь 2025'!$D$2:$D$2497,$B168,'сентябрь 2025'!$J$2:$J$2497,Q$1)</f>
        <v>0</v>
      </c>
      <c r="R168" s="183">
        <f>SUMIFS('сентябрь 2025'!$G$2:$G$2497,'сентябрь 2025'!$D$2:$D$2497,$B168,'сентябрь 2025'!$J$2:$J$2497,R$1)</f>
        <v>0</v>
      </c>
      <c r="S168" s="183">
        <f>SUMIFS('сентябрь 2025'!$G$2:$G$2497,'сентябрь 2025'!$D$2:$D$2497,$B168,'сентябрь 2025'!$J$2:$J$2497,S$1)</f>
        <v>0</v>
      </c>
      <c r="T168" s="183">
        <f>SUMIFS('сентябрь 2025'!$G$2:$G$2497,'сентябрь 2025'!$D$2:$D$2497,$B168,'сентябрь 2025'!$J$2:$J$2497,T$1)</f>
        <v>0</v>
      </c>
      <c r="U168" s="183">
        <f>SUMIFS('сентябрь 2025'!$G$2:$G$2497,'сентябрь 2025'!$D$2:$D$2497,$B168,'сентябрь 2025'!$J$2:$J$2497,U$1)</f>
        <v>0</v>
      </c>
      <c r="V168" s="183">
        <f>SUMIFS('сентябрь 2025'!$G$2:$G$2497,'сентябрь 2025'!$D$2:$D$2497,$B168,'сентябрь 2025'!$J$2:$J$2497,V$1)</f>
        <v>0</v>
      </c>
      <c r="W168" s="183">
        <f>SUMIFS('сентябрь 2025'!$G$2:$G$2497,'сентябрь 2025'!$D$2:$D$2497,$B168,'сентябрь 2025'!$J$2:$J$2497,W$1)</f>
        <v>0</v>
      </c>
      <c r="X168" s="183">
        <f>SUMIFS('сентябрь 2025'!$G$2:$G$2497,'сентябрь 2025'!$D$2:$D$2497,$B168,'сентябрь 2025'!$J$2:$J$2497,X$1)</f>
        <v>0</v>
      </c>
      <c r="Y168" s="183">
        <f>SUMIFS('сентябрь 2025'!$G$2:$G$2497,'сентябрь 2025'!$D$2:$D$2497,$B168,'сентябрь 2025'!$J$2:$J$2497,Y$1)</f>
        <v>0</v>
      </c>
      <c r="Z168" s="183">
        <f>SUMIFS('сентябрь 2025'!$G$2:$G$2497,'сентябрь 2025'!$D$2:$D$2497,$B168,'сентябрь 2025'!$J$2:$J$2497,Z$1)</f>
        <v>0</v>
      </c>
      <c r="AA168" s="183">
        <f>SUMIFS('сентябрь 2025'!$G$2:$G$2497,'сентябрь 2025'!$D$2:$D$2497,$B168,'сентябрь 2025'!$J$2:$J$2497,AA$1)</f>
        <v>0</v>
      </c>
      <c r="AB168" s="183">
        <f>SUMIFS('сентябрь 2025'!$G$2:$G$2497,'сентябрь 2025'!$D$2:$D$2497,$B168,'сентябрь 2025'!$J$2:$J$2497,AB$1)</f>
        <v>0</v>
      </c>
      <c r="AC168" s="183">
        <f>SUMIFS('сентябрь 2025'!$G$2:$G$2497,'сентябрь 2025'!$D$2:$D$2497,$B168,'сентябрь 2025'!$J$2:$J$2497,AC$1)</f>
        <v>0</v>
      </c>
      <c r="AD168" s="183">
        <f>SUMIFS('сентябрь 2025'!$G$2:$G$2497,'сентябрь 2025'!$D$2:$D$2497,$B168,'сентябрь 2025'!$J$2:$J$2497,AD$1)</f>
        <v>0</v>
      </c>
      <c r="AE168" s="183">
        <f>SUMIFS('сентябрь 2025'!$G$2:$G$2497,'сентябрь 2025'!$D$2:$D$2497,$B168,'сентябрь 2025'!$J$2:$J$2497,AE$1)</f>
        <v>0</v>
      </c>
      <c r="AF168" s="183">
        <f>SUMIFS('сентябрь 2025'!$G$2:$G$2497,'сентябрь 2025'!$D$2:$D$2497,$B168,'сентябрь 2025'!$J$2:$J$2497,AF$1)</f>
        <v>0</v>
      </c>
      <c r="AG168" s="183">
        <f>SUMIFS('сентябрь 2025'!$G$2:$G$2497,'сентябрь 2025'!$D$2:$D$2497,$B168,'сентябрь 2025'!$J$2:$J$2497,AG$1)</f>
        <v>0</v>
      </c>
      <c r="AH168" s="183">
        <f>SUMIFS('сентябрь 2025'!$G$2:$G$2497,'сентябрь 2025'!$D$2:$D$2497,$B168,'сентябрь 2025'!$J$2:$J$2497,AH$1)</f>
        <v>0</v>
      </c>
      <c r="AI168" s="20">
        <f t="shared" ref="AI168:AI171" si="3">SUM(D168:AH168)</f>
        <v>0</v>
      </c>
    </row>
    <row r="169" spans="2:35" ht="15" customHeight="1" x14ac:dyDescent="0.25">
      <c r="B169" s="84" t="s">
        <v>322</v>
      </c>
      <c r="C169" s="83">
        <v>200</v>
      </c>
      <c r="D169" s="183">
        <f>SUMIFS('сентябрь 2025'!$G$2:$G$2497,'сентябрь 2025'!$D$2:$D$2497,$B169,'сентябрь 2025'!$J$2:$J$2497,D$1)</f>
        <v>0</v>
      </c>
      <c r="E169" s="183">
        <f>SUMIFS('сентябрь 2025'!$G$2:$G$2497,'сентябрь 2025'!$D$2:$D$2497,$B169,'сентябрь 2025'!$J$2:$J$2497,E$1)</f>
        <v>0</v>
      </c>
      <c r="F169" s="183">
        <f>SUMIFS('сентябрь 2025'!$G$2:$G$2497,'сентябрь 2025'!$D$2:$D$2497,$B169,'сентябрь 2025'!$J$2:$J$2497,F$1)</f>
        <v>0</v>
      </c>
      <c r="G169" s="183">
        <f>SUMIFS('сентябрь 2025'!$G$2:$G$2497,'сентябрь 2025'!$D$2:$D$2497,$B169,'сентябрь 2025'!$J$2:$J$2497,G$1)</f>
        <v>0</v>
      </c>
      <c r="H169" s="183">
        <f>SUMIFS('сентябрь 2025'!$G$2:$G$2497,'сентябрь 2025'!$D$2:$D$2497,$B169,'сентябрь 2025'!$J$2:$J$2497,H$1)</f>
        <v>0</v>
      </c>
      <c r="I169" s="183">
        <f>SUMIFS('сентябрь 2025'!$G$2:$G$2497,'сентябрь 2025'!$D$2:$D$2497,$B169,'сентябрь 2025'!$J$2:$J$2497,I$1)</f>
        <v>0</v>
      </c>
      <c r="J169" s="183">
        <f>SUMIFS('сентябрь 2025'!$G$2:$G$2497,'сентябрь 2025'!$D$2:$D$2497,$B169,'сентябрь 2025'!$J$2:$J$2497,J$1)</f>
        <v>0</v>
      </c>
      <c r="K169" s="183">
        <f>SUMIFS('сентябрь 2025'!$G$2:$G$2497,'сентябрь 2025'!$D$2:$D$2497,$B169,'сентябрь 2025'!$J$2:$J$2497,K$1)</f>
        <v>0</v>
      </c>
      <c r="L169" s="183">
        <f>SUMIFS('сентябрь 2025'!$G$2:$G$2497,'сентябрь 2025'!$D$2:$D$2497,$B169,'сентябрь 2025'!$J$2:$J$2497,L$1)</f>
        <v>0</v>
      </c>
      <c r="M169" s="183">
        <f>SUMIFS('сентябрь 2025'!$G$2:$G$2497,'сентябрь 2025'!$D$2:$D$2497,$B169,'сентябрь 2025'!$J$2:$J$2497,M$1)</f>
        <v>0</v>
      </c>
      <c r="N169" s="183">
        <f>SUMIFS('сентябрь 2025'!$G$2:$G$2497,'сентябрь 2025'!$D$2:$D$2497,$B169,'сентябрь 2025'!$J$2:$J$2497,N$1)</f>
        <v>0</v>
      </c>
      <c r="O169" s="183">
        <f>SUMIFS('сентябрь 2025'!$G$2:$G$2497,'сентябрь 2025'!$D$2:$D$2497,$B169,'сентябрь 2025'!$J$2:$J$2497,O$1)</f>
        <v>0</v>
      </c>
      <c r="P169" s="183">
        <f>SUMIFS('сентябрь 2025'!$G$2:$G$2497,'сентябрь 2025'!$D$2:$D$2497,$B169,'сентябрь 2025'!$J$2:$J$2497,P$1)</f>
        <v>0</v>
      </c>
      <c r="Q169" s="183">
        <f>SUMIFS('сентябрь 2025'!$G$2:$G$2497,'сентябрь 2025'!$D$2:$D$2497,$B169,'сентябрь 2025'!$J$2:$J$2497,Q$1)</f>
        <v>0</v>
      </c>
      <c r="R169" s="183">
        <f>SUMIFS('сентябрь 2025'!$G$2:$G$2497,'сентябрь 2025'!$D$2:$D$2497,$B169,'сентябрь 2025'!$J$2:$J$2497,R$1)</f>
        <v>0</v>
      </c>
      <c r="S169" s="183">
        <f>SUMIFS('сентябрь 2025'!$G$2:$G$2497,'сентябрь 2025'!$D$2:$D$2497,$B169,'сентябрь 2025'!$J$2:$J$2497,S$1)</f>
        <v>0</v>
      </c>
      <c r="T169" s="183">
        <f>SUMIFS('сентябрь 2025'!$G$2:$G$2497,'сентябрь 2025'!$D$2:$D$2497,$B169,'сентябрь 2025'!$J$2:$J$2497,T$1)</f>
        <v>0</v>
      </c>
      <c r="U169" s="183">
        <f>SUMIFS('сентябрь 2025'!$G$2:$G$2497,'сентябрь 2025'!$D$2:$D$2497,$B169,'сентябрь 2025'!$J$2:$J$2497,U$1)</f>
        <v>0</v>
      </c>
      <c r="V169" s="183">
        <f>SUMIFS('сентябрь 2025'!$G$2:$G$2497,'сентябрь 2025'!$D$2:$D$2497,$B169,'сентябрь 2025'!$J$2:$J$2497,V$1)</f>
        <v>0</v>
      </c>
      <c r="W169" s="183">
        <f>SUMIFS('сентябрь 2025'!$G$2:$G$2497,'сентябрь 2025'!$D$2:$D$2497,$B169,'сентябрь 2025'!$J$2:$J$2497,W$1)</f>
        <v>0</v>
      </c>
      <c r="X169" s="183">
        <f>SUMIFS('сентябрь 2025'!$G$2:$G$2497,'сентябрь 2025'!$D$2:$D$2497,$B169,'сентябрь 2025'!$J$2:$J$2497,X$1)</f>
        <v>0</v>
      </c>
      <c r="Y169" s="183">
        <f>SUMIFS('сентябрь 2025'!$G$2:$G$2497,'сентябрь 2025'!$D$2:$D$2497,$B169,'сентябрь 2025'!$J$2:$J$2497,Y$1)</f>
        <v>0</v>
      </c>
      <c r="Z169" s="183">
        <f>SUMIFS('сентябрь 2025'!$G$2:$G$2497,'сентябрь 2025'!$D$2:$D$2497,$B169,'сентябрь 2025'!$J$2:$J$2497,Z$1)</f>
        <v>0</v>
      </c>
      <c r="AA169" s="183">
        <f>SUMIFS('сентябрь 2025'!$G$2:$G$2497,'сентябрь 2025'!$D$2:$D$2497,$B169,'сентябрь 2025'!$J$2:$J$2497,AA$1)</f>
        <v>0</v>
      </c>
      <c r="AB169" s="183">
        <f>SUMIFS('сентябрь 2025'!$G$2:$G$2497,'сентябрь 2025'!$D$2:$D$2497,$B169,'сентябрь 2025'!$J$2:$J$2497,AB$1)</f>
        <v>0</v>
      </c>
      <c r="AC169" s="183">
        <f>SUMIFS('сентябрь 2025'!$G$2:$G$2497,'сентябрь 2025'!$D$2:$D$2497,$B169,'сентябрь 2025'!$J$2:$J$2497,AC$1)</f>
        <v>0</v>
      </c>
      <c r="AD169" s="183">
        <f>SUMIFS('сентябрь 2025'!$G$2:$G$2497,'сентябрь 2025'!$D$2:$D$2497,$B169,'сентябрь 2025'!$J$2:$J$2497,AD$1)</f>
        <v>0</v>
      </c>
      <c r="AE169" s="183">
        <f>SUMIFS('сентябрь 2025'!$G$2:$G$2497,'сентябрь 2025'!$D$2:$D$2497,$B169,'сентябрь 2025'!$J$2:$J$2497,AE$1)</f>
        <v>0</v>
      </c>
      <c r="AF169" s="183">
        <f>SUMIFS('сентябрь 2025'!$G$2:$G$2497,'сентябрь 2025'!$D$2:$D$2497,$B169,'сентябрь 2025'!$J$2:$J$2497,AF$1)</f>
        <v>0</v>
      </c>
      <c r="AG169" s="183">
        <f>SUMIFS('сентябрь 2025'!$G$2:$G$2497,'сентябрь 2025'!$D$2:$D$2497,$B169,'сентябрь 2025'!$J$2:$J$2497,AG$1)</f>
        <v>0</v>
      </c>
      <c r="AH169" s="183">
        <f>SUMIFS('сентябрь 2025'!$G$2:$G$2497,'сентябрь 2025'!$D$2:$D$2497,$B169,'сентябрь 2025'!$J$2:$J$2497,AH$1)</f>
        <v>0</v>
      </c>
      <c r="AI169" s="20">
        <f t="shared" si="3"/>
        <v>0</v>
      </c>
    </row>
    <row r="170" spans="2:35" ht="15" customHeight="1" x14ac:dyDescent="0.25">
      <c r="B170" s="84" t="s">
        <v>810</v>
      </c>
      <c r="C170" s="83">
        <v>200</v>
      </c>
      <c r="D170" s="183">
        <f>SUMIFS('сентябрь 2025'!$G$2:$G$2497,'сентябрь 2025'!$D$2:$D$2497,$B170,'сентябрь 2025'!$J$2:$J$2497,D$1)</f>
        <v>0</v>
      </c>
      <c r="E170" s="183">
        <f>SUMIFS('сентябрь 2025'!$G$2:$G$2497,'сентябрь 2025'!$D$2:$D$2497,$B170,'сентябрь 2025'!$J$2:$J$2497,E$1)</f>
        <v>0</v>
      </c>
      <c r="F170" s="183">
        <f>SUMIFS('сентябрь 2025'!$G$2:$G$2497,'сентябрь 2025'!$D$2:$D$2497,$B170,'сентябрь 2025'!$J$2:$J$2497,F$1)</f>
        <v>0</v>
      </c>
      <c r="G170" s="183">
        <f>SUMIFS('сентябрь 2025'!$G$2:$G$2497,'сентябрь 2025'!$D$2:$D$2497,$B170,'сентябрь 2025'!$J$2:$J$2497,G$1)</f>
        <v>0</v>
      </c>
      <c r="H170" s="183">
        <f>SUMIFS('сентябрь 2025'!$G$2:$G$2497,'сентябрь 2025'!$D$2:$D$2497,$B170,'сентябрь 2025'!$J$2:$J$2497,H$1)</f>
        <v>0</v>
      </c>
      <c r="I170" s="183">
        <f>SUMIFS('сентябрь 2025'!$G$2:$G$2497,'сентябрь 2025'!$D$2:$D$2497,$B170,'сентябрь 2025'!$J$2:$J$2497,I$1)</f>
        <v>0</v>
      </c>
      <c r="J170" s="183">
        <f>SUMIFS('сентябрь 2025'!$G$2:$G$2497,'сентябрь 2025'!$D$2:$D$2497,$B170,'сентябрь 2025'!$J$2:$J$2497,J$1)</f>
        <v>0</v>
      </c>
      <c r="K170" s="183">
        <f>SUMIFS('сентябрь 2025'!$G$2:$G$2497,'сентябрь 2025'!$D$2:$D$2497,$B170,'сентябрь 2025'!$J$2:$J$2497,K$1)</f>
        <v>0</v>
      </c>
      <c r="L170" s="183">
        <f>SUMIFS('сентябрь 2025'!$G$2:$G$2497,'сентябрь 2025'!$D$2:$D$2497,$B170,'сентябрь 2025'!$J$2:$J$2497,L$1)</f>
        <v>0</v>
      </c>
      <c r="M170" s="183">
        <f>SUMIFS('сентябрь 2025'!$G$2:$G$2497,'сентябрь 2025'!$D$2:$D$2497,$B170,'сентябрь 2025'!$J$2:$J$2497,M$1)</f>
        <v>0</v>
      </c>
      <c r="N170" s="183">
        <f>SUMIFS('сентябрь 2025'!$G$2:$G$2497,'сентябрь 2025'!$D$2:$D$2497,$B170,'сентябрь 2025'!$J$2:$J$2497,N$1)</f>
        <v>0</v>
      </c>
      <c r="O170" s="183">
        <f>SUMIFS('сентябрь 2025'!$G$2:$G$2497,'сентябрь 2025'!$D$2:$D$2497,$B170,'сентябрь 2025'!$J$2:$J$2497,O$1)</f>
        <v>0</v>
      </c>
      <c r="P170" s="183">
        <f>SUMIFS('сентябрь 2025'!$G$2:$G$2497,'сентябрь 2025'!$D$2:$D$2497,$B170,'сентябрь 2025'!$J$2:$J$2497,P$1)</f>
        <v>0</v>
      </c>
      <c r="Q170" s="183">
        <f>SUMIFS('сентябрь 2025'!$G$2:$G$2497,'сентябрь 2025'!$D$2:$D$2497,$B170,'сентябрь 2025'!$J$2:$J$2497,Q$1)</f>
        <v>0</v>
      </c>
      <c r="R170" s="183">
        <f>SUMIFS('сентябрь 2025'!$G$2:$G$2497,'сентябрь 2025'!$D$2:$D$2497,$B170,'сентябрь 2025'!$J$2:$J$2497,R$1)</f>
        <v>0</v>
      </c>
      <c r="S170" s="183">
        <f>SUMIFS('сентябрь 2025'!$G$2:$G$2497,'сентябрь 2025'!$D$2:$D$2497,$B170,'сентябрь 2025'!$J$2:$J$2497,S$1)</f>
        <v>0</v>
      </c>
      <c r="T170" s="183">
        <f>SUMIFS('сентябрь 2025'!$G$2:$G$2497,'сентябрь 2025'!$D$2:$D$2497,$B170,'сентябрь 2025'!$J$2:$J$2497,T$1)</f>
        <v>0</v>
      </c>
      <c r="U170" s="183">
        <f>SUMIFS('сентябрь 2025'!$G$2:$G$2497,'сентябрь 2025'!$D$2:$D$2497,$B170,'сентябрь 2025'!$J$2:$J$2497,U$1)</f>
        <v>0</v>
      </c>
      <c r="V170" s="183">
        <f>SUMIFS('сентябрь 2025'!$G$2:$G$2497,'сентябрь 2025'!$D$2:$D$2497,$B170,'сентябрь 2025'!$J$2:$J$2497,V$1)</f>
        <v>0</v>
      </c>
      <c r="W170" s="183">
        <f>SUMIFS('сентябрь 2025'!$G$2:$G$2497,'сентябрь 2025'!$D$2:$D$2497,$B170,'сентябрь 2025'!$J$2:$J$2497,W$1)</f>
        <v>0</v>
      </c>
      <c r="X170" s="183">
        <f>SUMIFS('сентябрь 2025'!$G$2:$G$2497,'сентябрь 2025'!$D$2:$D$2497,$B170,'сентябрь 2025'!$J$2:$J$2497,X$1)</f>
        <v>0</v>
      </c>
      <c r="Y170" s="183">
        <f>SUMIFS('сентябрь 2025'!$G$2:$G$2497,'сентябрь 2025'!$D$2:$D$2497,$B170,'сентябрь 2025'!$J$2:$J$2497,Y$1)</f>
        <v>0</v>
      </c>
      <c r="Z170" s="183">
        <f>SUMIFS('сентябрь 2025'!$G$2:$G$2497,'сентябрь 2025'!$D$2:$D$2497,$B170,'сентябрь 2025'!$J$2:$J$2497,Z$1)</f>
        <v>0</v>
      </c>
      <c r="AA170" s="183">
        <f>SUMIFS('сентябрь 2025'!$G$2:$G$2497,'сентябрь 2025'!$D$2:$D$2497,$B170,'сентябрь 2025'!$J$2:$J$2497,AA$1)</f>
        <v>0</v>
      </c>
      <c r="AB170" s="183">
        <f>SUMIFS('сентябрь 2025'!$G$2:$G$2497,'сентябрь 2025'!$D$2:$D$2497,$B170,'сентябрь 2025'!$J$2:$J$2497,AB$1)</f>
        <v>0</v>
      </c>
      <c r="AC170" s="183">
        <f>SUMIFS('сентябрь 2025'!$G$2:$G$2497,'сентябрь 2025'!$D$2:$D$2497,$B170,'сентябрь 2025'!$J$2:$J$2497,AC$1)</f>
        <v>0</v>
      </c>
      <c r="AD170" s="183">
        <f>SUMIFS('сентябрь 2025'!$G$2:$G$2497,'сентябрь 2025'!$D$2:$D$2497,$B170,'сентябрь 2025'!$J$2:$J$2497,AD$1)</f>
        <v>0</v>
      </c>
      <c r="AE170" s="183">
        <f>SUMIFS('сентябрь 2025'!$G$2:$G$2497,'сентябрь 2025'!$D$2:$D$2497,$B170,'сентябрь 2025'!$J$2:$J$2497,AE$1)</f>
        <v>0</v>
      </c>
      <c r="AF170" s="183">
        <f>SUMIFS('сентябрь 2025'!$G$2:$G$2497,'сентябрь 2025'!$D$2:$D$2497,$B170,'сентябрь 2025'!$J$2:$J$2497,AF$1)</f>
        <v>0</v>
      </c>
      <c r="AG170" s="183">
        <f>SUMIFS('сентябрь 2025'!$G$2:$G$2497,'сентябрь 2025'!$D$2:$D$2497,$B170,'сентябрь 2025'!$J$2:$J$2497,AG$1)</f>
        <v>0</v>
      </c>
      <c r="AH170" s="183">
        <f>SUMIFS('сентябрь 2025'!$G$2:$G$2497,'сентябрь 2025'!$D$2:$D$2497,$B170,'сентябрь 2025'!$J$2:$J$2497,AH$1)</f>
        <v>0</v>
      </c>
      <c r="AI170" s="20">
        <f t="shared" si="3"/>
        <v>0</v>
      </c>
    </row>
    <row r="171" spans="2:35" ht="15" customHeight="1" x14ac:dyDescent="0.25">
      <c r="B171" s="84" t="s">
        <v>995</v>
      </c>
      <c r="C171" s="83">
        <v>200</v>
      </c>
      <c r="D171" s="183">
        <f>SUMIFS('сентябрь 2025'!$G$2:$G$2497,'сентябрь 2025'!$D$2:$D$2497,$B171,'сентябрь 2025'!$J$2:$J$2497,D$1)</f>
        <v>0</v>
      </c>
      <c r="E171" s="183">
        <f>SUMIFS('сентябрь 2025'!$G$2:$G$2497,'сентябрь 2025'!$D$2:$D$2497,$B171,'сентябрь 2025'!$J$2:$J$2497,E$1)</f>
        <v>0</v>
      </c>
      <c r="F171" s="183">
        <f>SUMIFS('сентябрь 2025'!$G$2:$G$2497,'сентябрь 2025'!$D$2:$D$2497,$B171,'сентябрь 2025'!$J$2:$J$2497,F$1)</f>
        <v>0</v>
      </c>
      <c r="G171" s="183">
        <f>SUMIFS('сентябрь 2025'!$G$2:$G$2497,'сентябрь 2025'!$D$2:$D$2497,$B171,'сентябрь 2025'!$J$2:$J$2497,G$1)</f>
        <v>0</v>
      </c>
      <c r="H171" s="183">
        <f>SUMIFS('сентябрь 2025'!$G$2:$G$2497,'сентябрь 2025'!$D$2:$D$2497,$B171,'сентябрь 2025'!$J$2:$J$2497,H$1)</f>
        <v>0</v>
      </c>
      <c r="I171" s="183">
        <f>SUMIFS('сентябрь 2025'!$G$2:$G$2497,'сентябрь 2025'!$D$2:$D$2497,$B171,'сентябрь 2025'!$J$2:$J$2497,I$1)</f>
        <v>0</v>
      </c>
      <c r="J171" s="183">
        <f>SUMIFS('сентябрь 2025'!$G$2:$G$2497,'сентябрь 2025'!$D$2:$D$2497,$B171,'сентябрь 2025'!$J$2:$J$2497,J$1)</f>
        <v>0</v>
      </c>
      <c r="K171" s="183">
        <f>SUMIFS('сентябрь 2025'!$G$2:$G$2497,'сентябрь 2025'!$D$2:$D$2497,$B171,'сентябрь 2025'!$J$2:$J$2497,K$1)</f>
        <v>0</v>
      </c>
      <c r="L171" s="183">
        <f>SUMIFS('сентябрь 2025'!$G$2:$G$2497,'сентябрь 2025'!$D$2:$D$2497,$B171,'сентябрь 2025'!$J$2:$J$2497,L$1)</f>
        <v>0</v>
      </c>
      <c r="M171" s="183">
        <f>SUMIFS('сентябрь 2025'!$G$2:$G$2497,'сентябрь 2025'!$D$2:$D$2497,$B171,'сентябрь 2025'!$J$2:$J$2497,M$1)</f>
        <v>0</v>
      </c>
      <c r="N171" s="183">
        <f>SUMIFS('сентябрь 2025'!$G$2:$G$2497,'сентябрь 2025'!$D$2:$D$2497,$B171,'сентябрь 2025'!$J$2:$J$2497,N$1)</f>
        <v>0</v>
      </c>
      <c r="O171" s="183">
        <f>SUMIFS('сентябрь 2025'!$G$2:$G$2497,'сентябрь 2025'!$D$2:$D$2497,$B171,'сентябрь 2025'!$J$2:$J$2497,O$1)</f>
        <v>0</v>
      </c>
      <c r="P171" s="183">
        <f>SUMIFS('сентябрь 2025'!$G$2:$G$2497,'сентябрь 2025'!$D$2:$D$2497,$B171,'сентябрь 2025'!$J$2:$J$2497,P$1)</f>
        <v>0</v>
      </c>
      <c r="Q171" s="183">
        <f>SUMIFS('сентябрь 2025'!$G$2:$G$2497,'сентябрь 2025'!$D$2:$D$2497,$B171,'сентябрь 2025'!$J$2:$J$2497,Q$1)</f>
        <v>0</v>
      </c>
      <c r="R171" s="183">
        <f>SUMIFS('сентябрь 2025'!$G$2:$G$2497,'сентябрь 2025'!$D$2:$D$2497,$B171,'сентябрь 2025'!$J$2:$J$2497,R$1)</f>
        <v>0</v>
      </c>
      <c r="S171" s="183">
        <f>SUMIFS('сентябрь 2025'!$G$2:$G$2497,'сентябрь 2025'!$D$2:$D$2497,$B171,'сентябрь 2025'!$J$2:$J$2497,S$1)</f>
        <v>0</v>
      </c>
      <c r="T171" s="183">
        <f>SUMIFS('сентябрь 2025'!$G$2:$G$2497,'сентябрь 2025'!$D$2:$D$2497,$B171,'сентябрь 2025'!$J$2:$J$2497,T$1)</f>
        <v>0</v>
      </c>
      <c r="U171" s="183">
        <f>SUMIFS('сентябрь 2025'!$G$2:$G$2497,'сентябрь 2025'!$D$2:$D$2497,$B171,'сентябрь 2025'!$J$2:$J$2497,U$1)</f>
        <v>0</v>
      </c>
      <c r="V171" s="183">
        <f>SUMIFS('сентябрь 2025'!$G$2:$G$2497,'сентябрь 2025'!$D$2:$D$2497,$B171,'сентябрь 2025'!$J$2:$J$2497,V$1)</f>
        <v>0</v>
      </c>
      <c r="W171" s="183">
        <f>SUMIFS('сентябрь 2025'!$G$2:$G$2497,'сентябрь 2025'!$D$2:$D$2497,$B171,'сентябрь 2025'!$J$2:$J$2497,W$1)</f>
        <v>0</v>
      </c>
      <c r="X171" s="183">
        <f>SUMIFS('сентябрь 2025'!$G$2:$G$2497,'сентябрь 2025'!$D$2:$D$2497,$B171,'сентябрь 2025'!$J$2:$J$2497,X$1)</f>
        <v>0</v>
      </c>
      <c r="Y171" s="183">
        <f>SUMIFS('сентябрь 2025'!$G$2:$G$2497,'сентябрь 2025'!$D$2:$D$2497,$B171,'сентябрь 2025'!$J$2:$J$2497,Y$1)</f>
        <v>0</v>
      </c>
      <c r="Z171" s="183">
        <f>SUMIFS('сентябрь 2025'!$G$2:$G$2497,'сентябрь 2025'!$D$2:$D$2497,$B171,'сентябрь 2025'!$J$2:$J$2497,Z$1)</f>
        <v>0</v>
      </c>
      <c r="AA171" s="183">
        <f>SUMIFS('сентябрь 2025'!$G$2:$G$2497,'сентябрь 2025'!$D$2:$D$2497,$B171,'сентябрь 2025'!$J$2:$J$2497,AA$1)</f>
        <v>0</v>
      </c>
      <c r="AB171" s="183">
        <f>SUMIFS('сентябрь 2025'!$G$2:$G$2497,'сентябрь 2025'!$D$2:$D$2497,$B171,'сентябрь 2025'!$J$2:$J$2497,AB$1)</f>
        <v>0</v>
      </c>
      <c r="AC171" s="183">
        <f>SUMIFS('сентябрь 2025'!$G$2:$G$2497,'сентябрь 2025'!$D$2:$D$2497,$B171,'сентябрь 2025'!$J$2:$J$2497,AC$1)</f>
        <v>0</v>
      </c>
      <c r="AD171" s="183">
        <f>SUMIFS('сентябрь 2025'!$G$2:$G$2497,'сентябрь 2025'!$D$2:$D$2497,$B171,'сентябрь 2025'!$J$2:$J$2497,AD$1)</f>
        <v>0</v>
      </c>
      <c r="AE171" s="183">
        <f>SUMIFS('сентябрь 2025'!$G$2:$G$2497,'сентябрь 2025'!$D$2:$D$2497,$B171,'сентябрь 2025'!$J$2:$J$2497,AE$1)</f>
        <v>0</v>
      </c>
      <c r="AF171" s="183">
        <f>SUMIFS('сентябрь 2025'!$G$2:$G$2497,'сентябрь 2025'!$D$2:$D$2497,$B171,'сентябрь 2025'!$J$2:$J$2497,AF$1)</f>
        <v>0</v>
      </c>
      <c r="AG171" s="183">
        <f>SUMIFS('сентябрь 2025'!$G$2:$G$2497,'сентябрь 2025'!$D$2:$D$2497,$B171,'сентябрь 2025'!$J$2:$J$2497,AG$1)</f>
        <v>0</v>
      </c>
      <c r="AH171" s="183">
        <f>SUMIFS('сентябрь 2025'!$G$2:$G$2497,'сентябрь 2025'!$D$2:$D$2497,$B171,'сентябрь 2025'!$J$2:$J$2497,AH$1)</f>
        <v>0</v>
      </c>
      <c r="AI171" s="20">
        <f t="shared" si="3"/>
        <v>0</v>
      </c>
    </row>
    <row r="172" spans="2:35" ht="15" customHeight="1" x14ac:dyDescent="0.25">
      <c r="B172" s="84"/>
      <c r="C172" s="83"/>
      <c r="D172" s="183">
        <f>SUMIFS('июнь 2025'!$G$5:$G$2470,'июнь 2025'!$D$5:$D$2470,$B172,'июнь 2025'!$J$5:$J$2470,D$1)</f>
        <v>0</v>
      </c>
      <c r="E172" s="183">
        <f>SUMIFS('июнь 2025'!$G$5:$G$2470,'июнь 2025'!$D$5:$D$2470,$B172,'июнь 2025'!$J$5:$J$2470,E$1)</f>
        <v>0</v>
      </c>
      <c r="F172" s="183">
        <f>SUMIFS('июнь 2025'!$G$5:$G$2470,'июнь 2025'!$D$5:$D$2470,$B172,'июнь 2025'!$J$5:$J$2470,F$1)</f>
        <v>0</v>
      </c>
      <c r="G172" s="183">
        <f>SUMIFS('июнь 2025'!$G$5:$G$2470,'июнь 2025'!$D$5:$D$2470,$B172,'июнь 2025'!$J$5:$J$2470,G$1)</f>
        <v>0</v>
      </c>
      <c r="H172" s="183">
        <f>SUMIFS('июнь 2025'!$G$5:$G$2470,'июнь 2025'!$D$5:$D$2470,$B172,'июнь 2025'!$J$5:$J$2470,H$1)</f>
        <v>0</v>
      </c>
      <c r="I172" s="183">
        <f>SUMIFS('июнь 2025'!$G$5:$G$2470,'июнь 2025'!$D$5:$D$2470,$B172,'июнь 2025'!$J$5:$J$2470,I$1)</f>
        <v>0</v>
      </c>
      <c r="J172" s="183">
        <f>SUMIFS('июнь 2025'!$G$5:$G$2470,'июнь 2025'!$D$5:$D$2470,$B172,'июнь 2025'!$J$5:$J$2470,J$1)</f>
        <v>0</v>
      </c>
      <c r="K172" s="183">
        <f>SUMIFS('июнь 2025'!$G$5:$G$2470,'июнь 2025'!$D$5:$D$2470,$B172,'июнь 2025'!$J$5:$J$2470,K$1)</f>
        <v>0</v>
      </c>
      <c r="L172" s="183">
        <f>SUMIFS('июнь 2025'!$G$5:$G$2470,'июнь 2025'!$D$5:$D$2470,$B172,'июнь 2025'!$J$5:$J$2470,L$1)</f>
        <v>0</v>
      </c>
      <c r="M172" s="183">
        <f>SUMIFS('июнь 2025'!$G$5:$G$2470,'июнь 2025'!$D$5:$D$2470,$B172,'июнь 2025'!$J$5:$J$2470,M$1)</f>
        <v>0</v>
      </c>
      <c r="N172" s="183">
        <f>SUMIFS('июнь 2025'!$G$5:$G$2470,'июнь 2025'!$D$5:$D$2470,$B172,'июнь 2025'!$J$5:$J$2470,N$1)</f>
        <v>0</v>
      </c>
      <c r="O172" s="183">
        <f>SUMIFS('июнь 2025'!$G$5:$G$2470,'июнь 2025'!$D$5:$D$2470,$B172,'июнь 2025'!$J$5:$J$2470,O$1)</f>
        <v>0</v>
      </c>
      <c r="P172" s="183">
        <f>SUMIFS('июнь 2025'!$G$5:$G$2470,'июнь 2025'!$D$5:$D$2470,$B172,'июнь 2025'!$J$5:$J$2470,P$1)</f>
        <v>0</v>
      </c>
      <c r="Q172" s="183">
        <f>SUMIFS('июнь 2025'!$G$5:$G$2470,'июнь 2025'!$D$5:$D$2470,$B172,'июнь 2025'!$J$5:$J$2470,Q$1)</f>
        <v>0</v>
      </c>
      <c r="R172" s="183">
        <f>SUMIFS('июнь 2025'!$G$5:$G$2470,'июнь 2025'!$D$5:$D$2470,$B172,'июнь 2025'!$J$5:$J$2470,R$1)</f>
        <v>0</v>
      </c>
      <c r="S172" s="183">
        <f>SUMIFS('июнь 2025'!$G$5:$G$2470,'июнь 2025'!$D$5:$D$2470,$B172,'июнь 2025'!$J$5:$J$2470,S$1)</f>
        <v>0</v>
      </c>
      <c r="T172" s="183">
        <f>SUMIFS('июнь 2025'!$G$5:$G$2470,'июнь 2025'!$D$5:$D$2470,$B172,'июнь 2025'!$J$5:$J$2470,T$1)</f>
        <v>0</v>
      </c>
      <c r="U172" s="183">
        <f>SUMIFS('июнь 2025'!$G$5:$G$2470,'июнь 2025'!$D$5:$D$2470,$B172,'июнь 2025'!$J$5:$J$2470,U$1)</f>
        <v>0</v>
      </c>
      <c r="V172" s="183">
        <f>SUMIFS('июнь 2025'!$G$5:$G$2470,'июнь 2025'!$D$5:$D$2470,$B172,'июнь 2025'!$J$5:$J$2470,V$1)</f>
        <v>0</v>
      </c>
      <c r="W172" s="183">
        <f>SUMIFS('июнь 2025'!$G$5:$G$2470,'июнь 2025'!$D$5:$D$2470,$B172,'июнь 2025'!$J$5:$J$2470,W$1)</f>
        <v>0</v>
      </c>
      <c r="X172" s="183">
        <f>SUMIFS('июнь 2025'!$G$5:$G$2470,'июнь 2025'!$D$5:$D$2470,$B172,'июнь 2025'!$J$5:$J$2470,X$1)</f>
        <v>0</v>
      </c>
      <c r="Y172" s="183">
        <f>SUMIFS('июнь 2025'!$G$5:$G$2470,'июнь 2025'!$D$5:$D$2470,$B172,'июнь 2025'!$J$5:$J$2470,Y$1)</f>
        <v>0</v>
      </c>
      <c r="Z172" s="183">
        <f>SUMIFS('июнь 2025'!$G$5:$G$2470,'июнь 2025'!$D$5:$D$2470,$B172,'июнь 2025'!$J$5:$J$2470,Z$1)</f>
        <v>0</v>
      </c>
      <c r="AA172" s="183">
        <f>SUMIFS('июнь 2025'!$G$5:$G$2470,'июнь 2025'!$D$5:$D$2470,$B172,'июнь 2025'!$J$5:$J$2470,AA$1)</f>
        <v>0</v>
      </c>
      <c r="AB172" s="183">
        <f>SUMIFS('июнь 2025'!$G$5:$G$2470,'июнь 2025'!$D$5:$D$2470,$B172,'июнь 2025'!$J$5:$J$2470,AB$1)</f>
        <v>0</v>
      </c>
      <c r="AC172" s="183">
        <f>SUMIFS('июнь 2025'!$G$5:$G$2470,'июнь 2025'!$D$5:$D$2470,$B172,'июнь 2025'!$J$5:$J$2470,AC$1)</f>
        <v>0</v>
      </c>
      <c r="AD172" s="183">
        <f>SUMIFS('июнь 2025'!$G$5:$G$2470,'июнь 2025'!$D$5:$D$2470,$B172,'июнь 2025'!$J$5:$J$2470,AD$1)</f>
        <v>0</v>
      </c>
      <c r="AE172" s="183">
        <f>SUMIFS('июнь 2025'!$G$5:$G$2470,'июнь 2025'!$D$5:$D$2470,$B172,'июнь 2025'!$J$5:$J$2470,AE$1)</f>
        <v>0</v>
      </c>
      <c r="AF172" s="183">
        <f>SUMIFS('июнь 2025'!$G$5:$G$2470,'июнь 2025'!$D$5:$D$2470,$B172,'июнь 2025'!$J$5:$J$2470,AF$1)</f>
        <v>0</v>
      </c>
      <c r="AG172" s="183">
        <f>SUMIFS('июнь 2025'!$G$5:$G$2470,'июнь 2025'!$D$5:$D$2470,$B172,'июнь 2025'!$J$5:$J$2470,AG$1)</f>
        <v>0</v>
      </c>
      <c r="AH172" s="183">
        <f>SUMIFS('июнь 2025'!$G$5:$G$2470,'июнь 2025'!$D$5:$D$2470,$B172,'июнь 2025'!$J$5:$J$2470,AH$1)</f>
        <v>0</v>
      </c>
      <c r="AI172" s="20"/>
    </row>
    <row r="173" spans="2:35" ht="15" customHeight="1" x14ac:dyDescent="0.25">
      <c r="B173" s="84"/>
      <c r="C173" s="83"/>
      <c r="D173" s="183">
        <f>SUMIFS('июнь 2025'!$G$5:$G$2470,'июнь 2025'!$D$5:$D$2470,$B173,'июнь 2025'!$J$5:$J$2470,D$1)</f>
        <v>0</v>
      </c>
      <c r="E173" s="183">
        <f>SUMIFS('июнь 2025'!$G$5:$G$2470,'июнь 2025'!$D$5:$D$2470,$B173,'июнь 2025'!$J$5:$J$2470,E$1)</f>
        <v>0</v>
      </c>
      <c r="F173" s="183">
        <f>SUMIFS('июнь 2025'!$G$5:$G$2470,'июнь 2025'!$D$5:$D$2470,$B173,'июнь 2025'!$J$5:$J$2470,F$1)</f>
        <v>0</v>
      </c>
      <c r="G173" s="183">
        <f>SUMIFS('июнь 2025'!$G$5:$G$2470,'июнь 2025'!$D$5:$D$2470,$B173,'июнь 2025'!$J$5:$J$2470,G$1)</f>
        <v>0</v>
      </c>
      <c r="H173" s="183">
        <f>SUMIFS('июнь 2025'!$G$5:$G$2470,'июнь 2025'!$D$5:$D$2470,$B173,'июнь 2025'!$J$5:$J$2470,H$1)</f>
        <v>0</v>
      </c>
      <c r="I173" s="183">
        <f>SUMIFS('июнь 2025'!$G$5:$G$2470,'июнь 2025'!$D$5:$D$2470,$B173,'июнь 2025'!$J$5:$J$2470,I$1)</f>
        <v>0</v>
      </c>
      <c r="J173" s="183">
        <f>SUMIFS('июнь 2025'!$G$5:$G$2470,'июнь 2025'!$D$5:$D$2470,$B173,'июнь 2025'!$J$5:$J$2470,J$1)</f>
        <v>0</v>
      </c>
      <c r="K173" s="183">
        <f>SUMIFS('июнь 2025'!$G$5:$G$2470,'июнь 2025'!$D$5:$D$2470,$B173,'июнь 2025'!$J$5:$J$2470,K$1)</f>
        <v>0</v>
      </c>
      <c r="L173" s="183">
        <f>SUMIFS('июнь 2025'!$G$5:$G$2470,'июнь 2025'!$D$5:$D$2470,$B173,'июнь 2025'!$J$5:$J$2470,L$1)</f>
        <v>0</v>
      </c>
      <c r="M173" s="183">
        <f>SUMIFS('июнь 2025'!$G$5:$G$2470,'июнь 2025'!$D$5:$D$2470,$B173,'июнь 2025'!$J$5:$J$2470,M$1)</f>
        <v>0</v>
      </c>
      <c r="N173" s="183">
        <f>SUMIFS('июнь 2025'!$G$5:$G$2470,'июнь 2025'!$D$5:$D$2470,$B173,'июнь 2025'!$J$5:$J$2470,N$1)</f>
        <v>0</v>
      </c>
      <c r="O173" s="183">
        <f>SUMIFS('июнь 2025'!$G$5:$G$2470,'июнь 2025'!$D$5:$D$2470,$B173,'июнь 2025'!$J$5:$J$2470,O$1)</f>
        <v>0</v>
      </c>
      <c r="P173" s="183">
        <f>SUMIFS('июнь 2025'!$G$5:$G$2470,'июнь 2025'!$D$5:$D$2470,$B173,'июнь 2025'!$J$5:$J$2470,P$1)</f>
        <v>0</v>
      </c>
      <c r="Q173" s="183">
        <f>SUMIFS('июнь 2025'!$G$5:$G$2470,'июнь 2025'!$D$5:$D$2470,$B173,'июнь 2025'!$J$5:$J$2470,Q$1)</f>
        <v>0</v>
      </c>
      <c r="R173" s="183">
        <f>SUMIFS('июнь 2025'!$G$5:$G$2470,'июнь 2025'!$D$5:$D$2470,$B173,'июнь 2025'!$J$5:$J$2470,R$1)</f>
        <v>0</v>
      </c>
      <c r="S173" s="183">
        <f>SUMIFS('июнь 2025'!$G$5:$G$2470,'июнь 2025'!$D$5:$D$2470,$B173,'июнь 2025'!$J$5:$J$2470,S$1)</f>
        <v>0</v>
      </c>
      <c r="T173" s="183">
        <f>SUMIFS('июнь 2025'!$G$5:$G$2470,'июнь 2025'!$D$5:$D$2470,$B173,'июнь 2025'!$J$5:$J$2470,T$1)</f>
        <v>0</v>
      </c>
      <c r="U173" s="183">
        <f>SUMIFS('июнь 2025'!$G$5:$G$2470,'июнь 2025'!$D$5:$D$2470,$B173,'июнь 2025'!$J$5:$J$2470,U$1)</f>
        <v>0</v>
      </c>
      <c r="V173" s="183">
        <f>SUMIFS('июнь 2025'!$G$5:$G$2470,'июнь 2025'!$D$5:$D$2470,$B173,'июнь 2025'!$J$5:$J$2470,V$1)</f>
        <v>0</v>
      </c>
      <c r="W173" s="183">
        <f>SUMIFS('июнь 2025'!$G$5:$G$2470,'июнь 2025'!$D$5:$D$2470,$B173,'июнь 2025'!$J$5:$J$2470,W$1)</f>
        <v>0</v>
      </c>
      <c r="X173" s="183">
        <f>SUMIFS('июнь 2025'!$G$5:$G$2470,'июнь 2025'!$D$5:$D$2470,$B173,'июнь 2025'!$J$5:$J$2470,X$1)</f>
        <v>0</v>
      </c>
      <c r="Y173" s="183">
        <f>SUMIFS('июнь 2025'!$G$5:$G$2470,'июнь 2025'!$D$5:$D$2470,$B173,'июнь 2025'!$J$5:$J$2470,Y$1)</f>
        <v>0</v>
      </c>
      <c r="Z173" s="183">
        <f>SUMIFS('июнь 2025'!$G$5:$G$2470,'июнь 2025'!$D$5:$D$2470,$B173,'июнь 2025'!$J$5:$J$2470,Z$1)</f>
        <v>0</v>
      </c>
      <c r="AA173" s="183">
        <f>SUMIFS('июнь 2025'!$G$5:$G$2470,'июнь 2025'!$D$5:$D$2470,$B173,'июнь 2025'!$J$5:$J$2470,AA$1)</f>
        <v>0</v>
      </c>
      <c r="AB173" s="183">
        <f>SUMIFS('июнь 2025'!$G$5:$G$2470,'июнь 2025'!$D$5:$D$2470,$B173,'июнь 2025'!$J$5:$J$2470,AB$1)</f>
        <v>0</v>
      </c>
      <c r="AC173" s="183">
        <f>SUMIFS('июнь 2025'!$G$5:$G$2470,'июнь 2025'!$D$5:$D$2470,$B173,'июнь 2025'!$J$5:$J$2470,AC$1)</f>
        <v>0</v>
      </c>
      <c r="AD173" s="183">
        <f>SUMIFS('июнь 2025'!$G$5:$G$2470,'июнь 2025'!$D$5:$D$2470,$B173,'июнь 2025'!$J$5:$J$2470,AD$1)</f>
        <v>0</v>
      </c>
      <c r="AE173" s="183">
        <f>SUMIFS('июнь 2025'!$G$5:$G$2470,'июнь 2025'!$D$5:$D$2470,$B173,'июнь 2025'!$J$5:$J$2470,AE$1)</f>
        <v>0</v>
      </c>
      <c r="AF173" s="183">
        <f>SUMIFS('июнь 2025'!$G$5:$G$2470,'июнь 2025'!$D$5:$D$2470,$B173,'июнь 2025'!$J$5:$J$2470,AF$1)</f>
        <v>0</v>
      </c>
      <c r="AG173" s="183">
        <f>SUMIFS('июнь 2025'!$G$5:$G$2470,'июнь 2025'!$D$5:$D$2470,$B173,'июнь 2025'!$J$5:$J$2470,AG$1)</f>
        <v>0</v>
      </c>
      <c r="AH173" s="183">
        <f>SUMIFS('июнь 2025'!$G$5:$G$2470,'июнь 2025'!$D$5:$D$2470,$B173,'июнь 2025'!$J$5:$J$2470,AH$1)</f>
        <v>0</v>
      </c>
      <c r="AI173" s="20"/>
    </row>
    <row r="174" spans="2:35" ht="15" customHeight="1" x14ac:dyDescent="0.25">
      <c r="B174" s="84"/>
      <c r="C174" s="83"/>
      <c r="D174" s="183">
        <f>SUMIFS('июнь 2025'!$G$5:$G$2470,'июнь 2025'!$D$5:$D$2470,$B174,'июнь 2025'!$J$5:$J$2470,D$1)</f>
        <v>0</v>
      </c>
      <c r="E174" s="183">
        <f>SUMIFS('июнь 2025'!$G$5:$G$2470,'июнь 2025'!$D$5:$D$2470,$B174,'июнь 2025'!$J$5:$J$2470,E$1)</f>
        <v>0</v>
      </c>
      <c r="F174" s="183">
        <f>SUMIFS('июнь 2025'!$G$5:$G$2470,'июнь 2025'!$D$5:$D$2470,$B174,'июнь 2025'!$J$5:$J$2470,F$1)</f>
        <v>0</v>
      </c>
      <c r="G174" s="183">
        <f>SUMIFS('июнь 2025'!$G$5:$G$2470,'июнь 2025'!$D$5:$D$2470,$B174,'июнь 2025'!$J$5:$J$2470,G$1)</f>
        <v>0</v>
      </c>
      <c r="H174" s="183">
        <f>SUMIFS('июнь 2025'!$G$5:$G$2470,'июнь 2025'!$D$5:$D$2470,$B174,'июнь 2025'!$J$5:$J$2470,H$1)</f>
        <v>0</v>
      </c>
      <c r="I174" s="183">
        <f>SUMIFS('июнь 2025'!$G$5:$G$2470,'июнь 2025'!$D$5:$D$2470,$B174,'июнь 2025'!$J$5:$J$2470,I$1)</f>
        <v>0</v>
      </c>
      <c r="J174" s="183">
        <f>SUMIFS('июнь 2025'!$G$5:$G$2470,'июнь 2025'!$D$5:$D$2470,$B174,'июнь 2025'!$J$5:$J$2470,J$1)</f>
        <v>0</v>
      </c>
      <c r="K174" s="183">
        <f>SUMIFS('июнь 2025'!$G$5:$G$2470,'июнь 2025'!$D$5:$D$2470,$B174,'июнь 2025'!$J$5:$J$2470,K$1)</f>
        <v>0</v>
      </c>
      <c r="L174" s="183">
        <f>SUMIFS('июнь 2025'!$G$5:$G$2470,'июнь 2025'!$D$5:$D$2470,$B174,'июнь 2025'!$J$5:$J$2470,L$1)</f>
        <v>0</v>
      </c>
      <c r="M174" s="183">
        <f>SUMIFS('июнь 2025'!$G$5:$G$2470,'июнь 2025'!$D$5:$D$2470,$B174,'июнь 2025'!$J$5:$J$2470,M$1)</f>
        <v>0</v>
      </c>
      <c r="N174" s="183">
        <f>SUMIFS('июнь 2025'!$G$5:$G$2470,'июнь 2025'!$D$5:$D$2470,$B174,'июнь 2025'!$J$5:$J$2470,N$1)</f>
        <v>0</v>
      </c>
      <c r="O174" s="183">
        <f>SUMIFS('июнь 2025'!$G$5:$G$2470,'июнь 2025'!$D$5:$D$2470,$B174,'июнь 2025'!$J$5:$J$2470,O$1)</f>
        <v>0</v>
      </c>
      <c r="P174" s="183">
        <f>SUMIFS('июнь 2025'!$G$5:$G$2470,'июнь 2025'!$D$5:$D$2470,$B174,'июнь 2025'!$J$5:$J$2470,P$1)</f>
        <v>0</v>
      </c>
      <c r="Q174" s="183">
        <f>SUMIFS('июнь 2025'!$G$5:$G$2470,'июнь 2025'!$D$5:$D$2470,$B174,'июнь 2025'!$J$5:$J$2470,Q$1)</f>
        <v>0</v>
      </c>
      <c r="R174" s="183">
        <f>SUMIFS('июнь 2025'!$G$5:$G$2470,'июнь 2025'!$D$5:$D$2470,$B174,'июнь 2025'!$J$5:$J$2470,R$1)</f>
        <v>0</v>
      </c>
      <c r="S174" s="183">
        <f>SUMIFS('июнь 2025'!$G$5:$G$2470,'июнь 2025'!$D$5:$D$2470,$B174,'июнь 2025'!$J$5:$J$2470,S$1)</f>
        <v>0</v>
      </c>
      <c r="T174" s="183">
        <f>SUMIFS('июнь 2025'!$G$5:$G$2470,'июнь 2025'!$D$5:$D$2470,$B174,'июнь 2025'!$J$5:$J$2470,T$1)</f>
        <v>0</v>
      </c>
      <c r="U174" s="183">
        <f>SUMIFS('июнь 2025'!$G$5:$G$2470,'июнь 2025'!$D$5:$D$2470,$B174,'июнь 2025'!$J$5:$J$2470,U$1)</f>
        <v>0</v>
      </c>
      <c r="V174" s="183">
        <f>SUMIFS('июнь 2025'!$G$5:$G$2470,'июнь 2025'!$D$5:$D$2470,$B174,'июнь 2025'!$J$5:$J$2470,V$1)</f>
        <v>0</v>
      </c>
      <c r="W174" s="183">
        <f>SUMIFS('июнь 2025'!$G$5:$G$2470,'июнь 2025'!$D$5:$D$2470,$B174,'июнь 2025'!$J$5:$J$2470,W$1)</f>
        <v>0</v>
      </c>
      <c r="X174" s="183">
        <f>SUMIFS('июнь 2025'!$G$5:$G$2470,'июнь 2025'!$D$5:$D$2470,$B174,'июнь 2025'!$J$5:$J$2470,X$1)</f>
        <v>0</v>
      </c>
      <c r="Y174" s="183">
        <f>SUMIFS('июнь 2025'!$G$5:$G$2470,'июнь 2025'!$D$5:$D$2470,$B174,'июнь 2025'!$J$5:$J$2470,Y$1)</f>
        <v>0</v>
      </c>
      <c r="Z174" s="183">
        <f>SUMIFS('июнь 2025'!$G$5:$G$2470,'июнь 2025'!$D$5:$D$2470,$B174,'июнь 2025'!$J$5:$J$2470,Z$1)</f>
        <v>0</v>
      </c>
      <c r="AA174" s="183">
        <f>SUMIFS('июнь 2025'!$G$5:$G$2470,'июнь 2025'!$D$5:$D$2470,$B174,'июнь 2025'!$J$5:$J$2470,AA$1)</f>
        <v>0</v>
      </c>
      <c r="AB174" s="183">
        <f>SUMIFS('июнь 2025'!$G$5:$G$2470,'июнь 2025'!$D$5:$D$2470,$B174,'июнь 2025'!$J$5:$J$2470,AB$1)</f>
        <v>0</v>
      </c>
      <c r="AC174" s="183">
        <f>SUMIFS('июнь 2025'!$G$5:$G$2470,'июнь 2025'!$D$5:$D$2470,$B174,'июнь 2025'!$J$5:$J$2470,AC$1)</f>
        <v>0</v>
      </c>
      <c r="AD174" s="183">
        <f>SUMIFS('июнь 2025'!$G$5:$G$2470,'июнь 2025'!$D$5:$D$2470,$B174,'июнь 2025'!$J$5:$J$2470,AD$1)</f>
        <v>0</v>
      </c>
      <c r="AE174" s="183">
        <f>SUMIFS('июнь 2025'!$G$5:$G$2470,'июнь 2025'!$D$5:$D$2470,$B174,'июнь 2025'!$J$5:$J$2470,AE$1)</f>
        <v>0</v>
      </c>
      <c r="AF174" s="183">
        <f>SUMIFS('июнь 2025'!$G$5:$G$2470,'июнь 2025'!$D$5:$D$2470,$B174,'июнь 2025'!$J$5:$J$2470,AF$1)</f>
        <v>0</v>
      </c>
      <c r="AG174" s="183">
        <f>SUMIFS('июнь 2025'!$G$5:$G$2470,'июнь 2025'!$D$5:$D$2470,$B174,'июнь 2025'!$J$5:$J$2470,AG$1)</f>
        <v>0</v>
      </c>
      <c r="AH174" s="183">
        <f>SUMIFS('июнь 2025'!$G$5:$G$2470,'июнь 2025'!$D$5:$D$2470,$B174,'июнь 2025'!$J$5:$J$2470,AH$1)</f>
        <v>0</v>
      </c>
      <c r="AI174" s="20"/>
    </row>
    <row r="175" spans="2:35" ht="15" customHeight="1" x14ac:dyDescent="0.25">
      <c r="B175" s="84"/>
      <c r="C175" s="83"/>
      <c r="D175" s="183">
        <f>SUMIFS('июнь 2025'!$G$5:$G$2470,'июнь 2025'!$D$5:$D$2470,$B175,'июнь 2025'!$J$5:$J$2470,D$1)</f>
        <v>0</v>
      </c>
      <c r="E175" s="183">
        <f>SUMIFS('июнь 2025'!$G$5:$G$2470,'июнь 2025'!$D$5:$D$2470,$B175,'июнь 2025'!$J$5:$J$2470,E$1)</f>
        <v>0</v>
      </c>
      <c r="F175" s="183">
        <f>SUMIFS('июнь 2025'!$G$5:$G$2470,'июнь 2025'!$D$5:$D$2470,$B175,'июнь 2025'!$J$5:$J$2470,F$1)</f>
        <v>0</v>
      </c>
      <c r="G175" s="183">
        <f>SUMIFS('июнь 2025'!$G$5:$G$2470,'июнь 2025'!$D$5:$D$2470,$B175,'июнь 2025'!$J$5:$J$2470,G$1)</f>
        <v>0</v>
      </c>
      <c r="H175" s="183">
        <f>SUMIFS('июнь 2025'!$G$5:$G$2470,'июнь 2025'!$D$5:$D$2470,$B175,'июнь 2025'!$J$5:$J$2470,H$1)</f>
        <v>0</v>
      </c>
      <c r="I175" s="183">
        <f>SUMIFS('июнь 2025'!$G$5:$G$2470,'июнь 2025'!$D$5:$D$2470,$B175,'июнь 2025'!$J$5:$J$2470,I$1)</f>
        <v>0</v>
      </c>
      <c r="J175" s="183">
        <f>SUMIFS('июнь 2025'!$G$5:$G$2470,'июнь 2025'!$D$5:$D$2470,$B175,'июнь 2025'!$J$5:$J$2470,J$1)</f>
        <v>0</v>
      </c>
      <c r="K175" s="183">
        <f>SUMIFS('июнь 2025'!$G$5:$G$2470,'июнь 2025'!$D$5:$D$2470,$B175,'июнь 2025'!$J$5:$J$2470,K$1)</f>
        <v>0</v>
      </c>
      <c r="L175" s="183">
        <f>SUMIFS('июнь 2025'!$G$5:$G$2470,'июнь 2025'!$D$5:$D$2470,$B175,'июнь 2025'!$J$5:$J$2470,L$1)</f>
        <v>0</v>
      </c>
      <c r="M175" s="183">
        <f>SUMIFS('июнь 2025'!$G$5:$G$2470,'июнь 2025'!$D$5:$D$2470,$B175,'июнь 2025'!$J$5:$J$2470,M$1)</f>
        <v>0</v>
      </c>
      <c r="N175" s="183">
        <f>SUMIFS('июнь 2025'!$G$5:$G$2470,'июнь 2025'!$D$5:$D$2470,$B175,'июнь 2025'!$J$5:$J$2470,N$1)</f>
        <v>0</v>
      </c>
      <c r="O175" s="183">
        <f>SUMIFS('июнь 2025'!$G$5:$G$2470,'июнь 2025'!$D$5:$D$2470,$B175,'июнь 2025'!$J$5:$J$2470,O$1)</f>
        <v>0</v>
      </c>
      <c r="P175" s="183">
        <f>SUMIFS('июнь 2025'!$G$5:$G$2470,'июнь 2025'!$D$5:$D$2470,$B175,'июнь 2025'!$J$5:$J$2470,P$1)</f>
        <v>0</v>
      </c>
      <c r="Q175" s="183">
        <f>SUMIFS('июнь 2025'!$G$5:$G$2470,'июнь 2025'!$D$5:$D$2470,$B175,'июнь 2025'!$J$5:$J$2470,Q$1)</f>
        <v>0</v>
      </c>
      <c r="R175" s="183">
        <f>SUMIFS('июнь 2025'!$G$5:$G$2470,'июнь 2025'!$D$5:$D$2470,$B175,'июнь 2025'!$J$5:$J$2470,R$1)</f>
        <v>0</v>
      </c>
      <c r="S175" s="183">
        <f>SUMIFS('июнь 2025'!$G$5:$G$2470,'июнь 2025'!$D$5:$D$2470,$B175,'июнь 2025'!$J$5:$J$2470,S$1)</f>
        <v>0</v>
      </c>
      <c r="T175" s="183">
        <f>SUMIFS('июнь 2025'!$G$5:$G$2470,'июнь 2025'!$D$5:$D$2470,$B175,'июнь 2025'!$J$5:$J$2470,T$1)</f>
        <v>0</v>
      </c>
      <c r="U175" s="183">
        <f>SUMIFS('июнь 2025'!$G$5:$G$2470,'июнь 2025'!$D$5:$D$2470,$B175,'июнь 2025'!$J$5:$J$2470,U$1)</f>
        <v>0</v>
      </c>
      <c r="V175" s="183">
        <f>SUMIFS('июнь 2025'!$G$5:$G$2470,'июнь 2025'!$D$5:$D$2470,$B175,'июнь 2025'!$J$5:$J$2470,V$1)</f>
        <v>0</v>
      </c>
      <c r="W175" s="183">
        <f>SUMIFS('июнь 2025'!$G$5:$G$2470,'июнь 2025'!$D$5:$D$2470,$B175,'июнь 2025'!$J$5:$J$2470,W$1)</f>
        <v>0</v>
      </c>
      <c r="X175" s="183">
        <f>SUMIFS('июнь 2025'!$G$5:$G$2470,'июнь 2025'!$D$5:$D$2470,$B175,'июнь 2025'!$J$5:$J$2470,X$1)</f>
        <v>0</v>
      </c>
      <c r="Y175" s="183">
        <f>SUMIFS('июнь 2025'!$G$5:$G$2470,'июнь 2025'!$D$5:$D$2470,$B175,'июнь 2025'!$J$5:$J$2470,Y$1)</f>
        <v>0</v>
      </c>
      <c r="Z175" s="183">
        <f>SUMIFS('июнь 2025'!$G$5:$G$2470,'июнь 2025'!$D$5:$D$2470,$B175,'июнь 2025'!$J$5:$J$2470,Z$1)</f>
        <v>0</v>
      </c>
      <c r="AA175" s="183">
        <f>SUMIFS('июнь 2025'!$G$5:$G$2470,'июнь 2025'!$D$5:$D$2470,$B175,'июнь 2025'!$J$5:$J$2470,AA$1)</f>
        <v>0</v>
      </c>
      <c r="AB175" s="183">
        <f>SUMIFS('июнь 2025'!$G$5:$G$2470,'июнь 2025'!$D$5:$D$2470,$B175,'июнь 2025'!$J$5:$J$2470,AB$1)</f>
        <v>0</v>
      </c>
      <c r="AC175" s="183">
        <f>SUMIFS('июнь 2025'!$G$5:$G$2470,'июнь 2025'!$D$5:$D$2470,$B175,'июнь 2025'!$J$5:$J$2470,AC$1)</f>
        <v>0</v>
      </c>
      <c r="AD175" s="183">
        <f>SUMIFS('июнь 2025'!$G$5:$G$2470,'июнь 2025'!$D$5:$D$2470,$B175,'июнь 2025'!$J$5:$J$2470,AD$1)</f>
        <v>0</v>
      </c>
      <c r="AE175" s="183">
        <f>SUMIFS('июнь 2025'!$G$5:$G$2470,'июнь 2025'!$D$5:$D$2470,$B175,'июнь 2025'!$J$5:$J$2470,AE$1)</f>
        <v>0</v>
      </c>
      <c r="AF175" s="183">
        <f>SUMIFS('июнь 2025'!$G$5:$G$2470,'июнь 2025'!$D$5:$D$2470,$B175,'июнь 2025'!$J$5:$J$2470,AF$1)</f>
        <v>0</v>
      </c>
      <c r="AG175" s="183">
        <f>SUMIFS('июнь 2025'!$G$5:$G$2470,'июнь 2025'!$D$5:$D$2470,$B175,'июнь 2025'!$J$5:$J$2470,AG$1)</f>
        <v>0</v>
      </c>
      <c r="AH175" s="183">
        <f>SUMIFS('июнь 2025'!$G$5:$G$2470,'июнь 2025'!$D$5:$D$2470,$B175,'июнь 2025'!$J$5:$J$2470,AH$1)</f>
        <v>0</v>
      </c>
      <c r="AI175" s="20"/>
    </row>
    <row r="176" spans="2:35" ht="15" customHeight="1" x14ac:dyDescent="0.25">
      <c r="B176" s="84"/>
      <c r="C176" s="83"/>
      <c r="D176" s="183">
        <f>SUMIFS('июнь 2025'!$G$5:$G$2470,'июнь 2025'!$D$5:$D$2470,$B176,'июнь 2025'!$J$5:$J$2470,D$1)</f>
        <v>0</v>
      </c>
      <c r="E176" s="183">
        <f>SUMIFS('июнь 2025'!$G$5:$G$2470,'июнь 2025'!$D$5:$D$2470,$B176,'июнь 2025'!$J$5:$J$2470,E$1)</f>
        <v>0</v>
      </c>
      <c r="F176" s="183">
        <f>SUMIFS('июнь 2025'!$G$5:$G$2470,'июнь 2025'!$D$5:$D$2470,$B176,'июнь 2025'!$J$5:$J$2470,F$1)</f>
        <v>0</v>
      </c>
      <c r="G176" s="183">
        <f>SUMIFS('июнь 2025'!$G$5:$G$2470,'июнь 2025'!$D$5:$D$2470,$B176,'июнь 2025'!$J$5:$J$2470,G$1)</f>
        <v>0</v>
      </c>
      <c r="H176" s="183">
        <f>SUMIFS('июнь 2025'!$G$5:$G$2470,'июнь 2025'!$D$5:$D$2470,$B176,'июнь 2025'!$J$5:$J$2470,H$1)</f>
        <v>0</v>
      </c>
      <c r="I176" s="183">
        <f>SUMIFS('июнь 2025'!$G$5:$G$2470,'июнь 2025'!$D$5:$D$2470,$B176,'июнь 2025'!$J$5:$J$2470,I$1)</f>
        <v>0</v>
      </c>
      <c r="J176" s="183">
        <f>SUMIFS('июнь 2025'!$G$5:$G$2470,'июнь 2025'!$D$5:$D$2470,$B176,'июнь 2025'!$J$5:$J$2470,J$1)</f>
        <v>0</v>
      </c>
      <c r="K176" s="183">
        <f>SUMIFS('июнь 2025'!$G$5:$G$2470,'июнь 2025'!$D$5:$D$2470,$B176,'июнь 2025'!$J$5:$J$2470,K$1)</f>
        <v>0</v>
      </c>
      <c r="L176" s="183">
        <f>SUMIFS('июнь 2025'!$G$5:$G$2470,'июнь 2025'!$D$5:$D$2470,$B176,'июнь 2025'!$J$5:$J$2470,L$1)</f>
        <v>0</v>
      </c>
      <c r="M176" s="183">
        <f>SUMIFS('июнь 2025'!$G$5:$G$2470,'июнь 2025'!$D$5:$D$2470,$B176,'июнь 2025'!$J$5:$J$2470,M$1)</f>
        <v>0</v>
      </c>
      <c r="N176" s="183">
        <f>SUMIFS('июнь 2025'!$G$5:$G$2470,'июнь 2025'!$D$5:$D$2470,$B176,'июнь 2025'!$J$5:$J$2470,N$1)</f>
        <v>0</v>
      </c>
      <c r="O176" s="183">
        <f>SUMIFS('июнь 2025'!$G$5:$G$2470,'июнь 2025'!$D$5:$D$2470,$B176,'июнь 2025'!$J$5:$J$2470,O$1)</f>
        <v>0</v>
      </c>
      <c r="P176" s="183">
        <f>SUMIFS('июнь 2025'!$G$5:$G$2470,'июнь 2025'!$D$5:$D$2470,$B176,'июнь 2025'!$J$5:$J$2470,P$1)</f>
        <v>0</v>
      </c>
      <c r="Q176" s="183">
        <f>SUMIFS('июнь 2025'!$G$5:$G$2470,'июнь 2025'!$D$5:$D$2470,$B176,'июнь 2025'!$J$5:$J$2470,Q$1)</f>
        <v>0</v>
      </c>
      <c r="R176" s="183">
        <f>SUMIFS('июнь 2025'!$G$5:$G$2470,'июнь 2025'!$D$5:$D$2470,$B176,'июнь 2025'!$J$5:$J$2470,R$1)</f>
        <v>0</v>
      </c>
      <c r="S176" s="183">
        <f>SUMIFS('июнь 2025'!$G$5:$G$2470,'июнь 2025'!$D$5:$D$2470,$B176,'июнь 2025'!$J$5:$J$2470,S$1)</f>
        <v>0</v>
      </c>
      <c r="T176" s="183">
        <f>SUMIFS('июнь 2025'!$G$5:$G$2470,'июнь 2025'!$D$5:$D$2470,$B176,'июнь 2025'!$J$5:$J$2470,T$1)</f>
        <v>0</v>
      </c>
      <c r="U176" s="183">
        <f>SUMIFS('июнь 2025'!$G$5:$G$2470,'июнь 2025'!$D$5:$D$2470,$B176,'июнь 2025'!$J$5:$J$2470,U$1)</f>
        <v>0</v>
      </c>
      <c r="V176" s="183">
        <f>SUMIFS('июнь 2025'!$G$5:$G$2470,'июнь 2025'!$D$5:$D$2470,$B176,'июнь 2025'!$J$5:$J$2470,V$1)</f>
        <v>0</v>
      </c>
      <c r="W176" s="183">
        <f>SUMIFS('июнь 2025'!$G$5:$G$2470,'июнь 2025'!$D$5:$D$2470,$B176,'июнь 2025'!$J$5:$J$2470,W$1)</f>
        <v>0</v>
      </c>
      <c r="X176" s="183">
        <f>SUMIFS('июнь 2025'!$G$5:$G$2470,'июнь 2025'!$D$5:$D$2470,$B176,'июнь 2025'!$J$5:$J$2470,X$1)</f>
        <v>0</v>
      </c>
      <c r="Y176" s="183">
        <f>SUMIFS('июнь 2025'!$G$5:$G$2470,'июнь 2025'!$D$5:$D$2470,$B176,'июнь 2025'!$J$5:$J$2470,Y$1)</f>
        <v>0</v>
      </c>
      <c r="Z176" s="183">
        <f>SUMIFS('июнь 2025'!$G$5:$G$2470,'июнь 2025'!$D$5:$D$2470,$B176,'июнь 2025'!$J$5:$J$2470,Z$1)</f>
        <v>0</v>
      </c>
      <c r="AA176" s="183">
        <f>SUMIFS('июнь 2025'!$G$5:$G$2470,'июнь 2025'!$D$5:$D$2470,$B176,'июнь 2025'!$J$5:$J$2470,AA$1)</f>
        <v>0</v>
      </c>
      <c r="AB176" s="183">
        <f>SUMIFS('июнь 2025'!$G$5:$G$2470,'июнь 2025'!$D$5:$D$2470,$B176,'июнь 2025'!$J$5:$J$2470,AB$1)</f>
        <v>0</v>
      </c>
      <c r="AC176" s="183">
        <f>SUMIFS('июнь 2025'!$G$5:$G$2470,'июнь 2025'!$D$5:$D$2470,$B176,'июнь 2025'!$J$5:$J$2470,AC$1)</f>
        <v>0</v>
      </c>
      <c r="AD176" s="183">
        <f>SUMIFS('июнь 2025'!$G$5:$G$2470,'июнь 2025'!$D$5:$D$2470,$B176,'июнь 2025'!$J$5:$J$2470,AD$1)</f>
        <v>0</v>
      </c>
      <c r="AE176" s="183">
        <f>SUMIFS('июнь 2025'!$G$5:$G$2470,'июнь 2025'!$D$5:$D$2470,$B176,'июнь 2025'!$J$5:$J$2470,AE$1)</f>
        <v>0</v>
      </c>
      <c r="AF176" s="183">
        <f>SUMIFS('июнь 2025'!$G$5:$G$2470,'июнь 2025'!$D$5:$D$2470,$B176,'июнь 2025'!$J$5:$J$2470,AF$1)</f>
        <v>0</v>
      </c>
      <c r="AG176" s="183">
        <f>SUMIFS('июнь 2025'!$G$5:$G$2470,'июнь 2025'!$D$5:$D$2470,$B176,'июнь 2025'!$J$5:$J$2470,AG$1)</f>
        <v>0</v>
      </c>
      <c r="AH176" s="183">
        <f>SUMIFS('июнь 2025'!$G$5:$G$2470,'июнь 2025'!$D$5:$D$2470,$B176,'июнь 2025'!$J$5:$J$2470,AH$1)</f>
        <v>0</v>
      </c>
      <c r="AI176" s="20"/>
    </row>
    <row r="177" spans="2:35" ht="15" customHeight="1" x14ac:dyDescent="0.25">
      <c r="B177" s="84"/>
      <c r="C177" s="83"/>
      <c r="D177" s="183"/>
      <c r="E177" s="183"/>
      <c r="F177" s="183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  <c r="AA177" s="183"/>
      <c r="AB177" s="183"/>
      <c r="AC177" s="183"/>
      <c r="AD177" s="183"/>
      <c r="AE177" s="183"/>
      <c r="AF177" s="183"/>
      <c r="AG177" s="183"/>
      <c r="AH177" s="183"/>
      <c r="AI177" s="20"/>
    </row>
    <row r="178" spans="2:35" ht="15" customHeight="1" x14ac:dyDescent="0.25">
      <c r="B178" s="84"/>
      <c r="C178" s="83"/>
      <c r="D178" s="183"/>
      <c r="E178" s="183"/>
      <c r="F178" s="183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  <c r="AA178" s="183"/>
      <c r="AB178" s="183"/>
      <c r="AC178" s="183"/>
      <c r="AD178" s="183"/>
      <c r="AE178" s="183"/>
      <c r="AF178" s="183"/>
      <c r="AG178" s="183"/>
      <c r="AH178" s="183"/>
      <c r="AI178" s="20"/>
    </row>
    <row r="179" spans="2:35" ht="15" customHeight="1" x14ac:dyDescent="0.25">
      <c r="B179" s="84"/>
      <c r="C179" s="83"/>
      <c r="D179" s="183"/>
      <c r="E179" s="183"/>
      <c r="F179" s="183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  <c r="AA179" s="183"/>
      <c r="AB179" s="183"/>
      <c r="AC179" s="183"/>
      <c r="AD179" s="183"/>
      <c r="AE179" s="183"/>
      <c r="AF179" s="183"/>
      <c r="AG179" s="183"/>
      <c r="AH179" s="183"/>
      <c r="AI179" s="20"/>
    </row>
    <row r="180" spans="2:35" ht="15" customHeight="1" x14ac:dyDescent="0.25">
      <c r="B180" s="84"/>
      <c r="C180" s="83"/>
      <c r="D180" s="183"/>
      <c r="E180" s="183"/>
      <c r="F180" s="183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  <c r="AA180" s="183"/>
      <c r="AB180" s="183"/>
      <c r="AC180" s="183"/>
      <c r="AD180" s="183"/>
      <c r="AE180" s="183"/>
      <c r="AF180" s="183"/>
      <c r="AG180" s="183"/>
      <c r="AH180" s="183"/>
      <c r="AI180" s="20"/>
    </row>
    <row r="181" spans="2:35" ht="15" customHeight="1" x14ac:dyDescent="0.25">
      <c r="B181" s="84"/>
      <c r="C181" s="83"/>
      <c r="D181" s="183"/>
      <c r="E181" s="183"/>
      <c r="F181" s="183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  <c r="AA181" s="183"/>
      <c r="AB181" s="183"/>
      <c r="AC181" s="183"/>
      <c r="AD181" s="183"/>
      <c r="AE181" s="183"/>
      <c r="AF181" s="183"/>
      <c r="AG181" s="183"/>
      <c r="AH181" s="183"/>
      <c r="AI181" s="20"/>
    </row>
    <row r="182" spans="2:35" ht="15" customHeight="1" x14ac:dyDescent="0.25">
      <c r="B182" s="84"/>
      <c r="C182" s="83"/>
      <c r="D182" s="183"/>
      <c r="E182" s="183"/>
      <c r="F182" s="183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  <c r="AA182" s="183"/>
      <c r="AB182" s="183"/>
      <c r="AC182" s="183"/>
      <c r="AD182" s="183"/>
      <c r="AE182" s="183"/>
      <c r="AF182" s="183"/>
      <c r="AG182" s="183"/>
      <c r="AH182" s="183"/>
      <c r="AI182" s="20"/>
    </row>
    <row r="183" spans="2:35" ht="15" customHeight="1" x14ac:dyDescent="0.25">
      <c r="B183" s="84"/>
      <c r="C183" s="83"/>
      <c r="D183" s="183"/>
      <c r="E183" s="183"/>
      <c r="F183" s="183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  <c r="AA183" s="183"/>
      <c r="AB183" s="183"/>
      <c r="AC183" s="183"/>
      <c r="AD183" s="183"/>
      <c r="AE183" s="183"/>
      <c r="AF183" s="183"/>
      <c r="AG183" s="183"/>
      <c r="AH183" s="183"/>
      <c r="AI183" s="20"/>
    </row>
    <row r="184" spans="2:35" ht="15" customHeight="1" x14ac:dyDescent="0.25">
      <c r="B184" s="84"/>
      <c r="C184" s="83"/>
      <c r="D184" s="183"/>
      <c r="E184" s="183"/>
      <c r="F184" s="183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  <c r="AA184" s="183"/>
      <c r="AB184" s="183"/>
      <c r="AC184" s="183"/>
      <c r="AD184" s="183"/>
      <c r="AE184" s="183"/>
      <c r="AF184" s="183"/>
      <c r="AG184" s="183"/>
      <c r="AH184" s="183"/>
      <c r="AI184" s="20"/>
    </row>
    <row r="185" spans="2:35" ht="15" customHeight="1" x14ac:dyDescent="0.25">
      <c r="B185" s="84"/>
      <c r="C185" s="83"/>
      <c r="D185" s="183"/>
      <c r="E185" s="183"/>
      <c r="F185" s="183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  <c r="AA185" s="183"/>
      <c r="AB185" s="183"/>
      <c r="AC185" s="183"/>
      <c r="AD185" s="183"/>
      <c r="AE185" s="183"/>
      <c r="AF185" s="183"/>
      <c r="AG185" s="183"/>
      <c r="AH185" s="183"/>
      <c r="AI185" s="20"/>
    </row>
    <row r="186" spans="2:35" ht="15" customHeight="1" x14ac:dyDescent="0.25">
      <c r="B186" s="84"/>
      <c r="C186" s="83"/>
      <c r="D186" s="183"/>
      <c r="E186" s="183"/>
      <c r="F186" s="183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  <c r="AA186" s="183"/>
      <c r="AB186" s="183"/>
      <c r="AC186" s="183"/>
      <c r="AD186" s="183"/>
      <c r="AE186" s="183"/>
      <c r="AF186" s="183"/>
      <c r="AG186" s="183"/>
      <c r="AH186" s="183"/>
      <c r="AI186" s="20"/>
    </row>
    <row r="187" spans="2:35" ht="15" customHeight="1" x14ac:dyDescent="0.25">
      <c r="B187" s="84"/>
      <c r="C187" s="83"/>
      <c r="D187" s="183"/>
      <c r="E187" s="183"/>
      <c r="F187" s="183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  <c r="AA187" s="183"/>
      <c r="AB187" s="183"/>
      <c r="AC187" s="183"/>
      <c r="AD187" s="183"/>
      <c r="AE187" s="183"/>
      <c r="AF187" s="183"/>
      <c r="AG187" s="183"/>
      <c r="AH187" s="183"/>
      <c r="AI187" s="20"/>
    </row>
    <row r="188" spans="2:35" ht="15" customHeight="1" x14ac:dyDescent="0.25">
      <c r="B188" s="84"/>
      <c r="C188" s="83"/>
      <c r="D188" s="183"/>
      <c r="E188" s="183"/>
      <c r="F188" s="183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  <c r="AA188" s="183"/>
      <c r="AB188" s="183"/>
      <c r="AC188" s="183"/>
      <c r="AD188" s="183"/>
      <c r="AE188" s="183"/>
      <c r="AF188" s="183"/>
      <c r="AG188" s="183"/>
      <c r="AH188" s="183"/>
      <c r="AI188" s="20"/>
    </row>
    <row r="189" spans="2:35" ht="15" customHeight="1" x14ac:dyDescent="0.25">
      <c r="B189" s="84"/>
      <c r="C189" s="83"/>
      <c r="D189" s="183"/>
      <c r="E189" s="183"/>
      <c r="F189" s="183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  <c r="AA189" s="183"/>
      <c r="AB189" s="183"/>
      <c r="AC189" s="183"/>
      <c r="AD189" s="183"/>
      <c r="AE189" s="183"/>
      <c r="AF189" s="183"/>
      <c r="AG189" s="183"/>
      <c r="AH189" s="183"/>
      <c r="AI189" s="20"/>
    </row>
    <row r="190" spans="2:35" ht="15" customHeight="1" x14ac:dyDescent="0.25">
      <c r="B190" s="84"/>
      <c r="C190" s="83"/>
      <c r="D190" s="183"/>
      <c r="E190" s="183"/>
      <c r="F190" s="183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  <c r="AA190" s="183"/>
      <c r="AB190" s="183"/>
      <c r="AC190" s="183"/>
      <c r="AD190" s="183"/>
      <c r="AE190" s="183"/>
      <c r="AF190" s="183"/>
      <c r="AG190" s="183"/>
      <c r="AH190" s="183"/>
      <c r="AI190" s="20"/>
    </row>
    <row r="191" spans="2:35" ht="15" customHeight="1" x14ac:dyDescent="0.25">
      <c r="B191" s="84"/>
      <c r="C191" s="83"/>
      <c r="D191" s="183"/>
      <c r="E191" s="183"/>
      <c r="F191" s="183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  <c r="AA191" s="183"/>
      <c r="AB191" s="183"/>
      <c r="AC191" s="183"/>
      <c r="AD191" s="183"/>
      <c r="AE191" s="183"/>
      <c r="AF191" s="183"/>
      <c r="AG191" s="183"/>
      <c r="AH191" s="183"/>
      <c r="AI191" s="20"/>
    </row>
    <row r="192" spans="2:35" ht="15" customHeight="1" x14ac:dyDescent="0.25">
      <c r="B192" s="84"/>
      <c r="C192" s="83"/>
      <c r="D192" s="183"/>
      <c r="E192" s="183"/>
      <c r="F192" s="183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  <c r="AA192" s="183"/>
      <c r="AB192" s="183"/>
      <c r="AC192" s="183"/>
      <c r="AD192" s="183"/>
      <c r="AE192" s="183"/>
      <c r="AF192" s="183"/>
      <c r="AG192" s="183"/>
      <c r="AH192" s="183"/>
      <c r="AI192" s="20"/>
    </row>
    <row r="193" spans="2:35" ht="15" customHeight="1" x14ac:dyDescent="0.25">
      <c r="B193" s="84"/>
      <c r="C193" s="83"/>
      <c r="D193" s="183"/>
      <c r="E193" s="183"/>
      <c r="F193" s="183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  <c r="AA193" s="183"/>
      <c r="AB193" s="183"/>
      <c r="AC193" s="183"/>
      <c r="AD193" s="183"/>
      <c r="AE193" s="183"/>
      <c r="AF193" s="183"/>
      <c r="AG193" s="183"/>
      <c r="AH193" s="183"/>
      <c r="AI193" s="20"/>
    </row>
    <row r="194" spans="2:35" ht="15" customHeight="1" x14ac:dyDescent="0.25">
      <c r="B194" s="84"/>
      <c r="C194" s="83"/>
      <c r="D194" s="183"/>
      <c r="E194" s="183"/>
      <c r="F194" s="183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  <c r="AA194" s="183"/>
      <c r="AB194" s="183"/>
      <c r="AC194" s="183"/>
      <c r="AD194" s="183"/>
      <c r="AE194" s="183"/>
      <c r="AF194" s="183"/>
      <c r="AG194" s="183"/>
      <c r="AH194" s="183"/>
      <c r="AI194" s="20"/>
    </row>
    <row r="195" spans="2:35" ht="15" customHeight="1" x14ac:dyDescent="0.25">
      <c r="B195" s="84"/>
      <c r="C195" s="83"/>
      <c r="D195" s="183"/>
      <c r="E195" s="183"/>
      <c r="F195" s="183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  <c r="AA195" s="183"/>
      <c r="AB195" s="183"/>
      <c r="AC195" s="183"/>
      <c r="AD195" s="183"/>
      <c r="AE195" s="183"/>
      <c r="AF195" s="183"/>
      <c r="AG195" s="183"/>
      <c r="AH195" s="183"/>
      <c r="AI195" s="20"/>
    </row>
    <row r="196" spans="2:35" ht="15" customHeight="1" x14ac:dyDescent="0.25">
      <c r="B196" s="84"/>
      <c r="C196" s="83"/>
      <c r="D196" s="183"/>
      <c r="E196" s="183"/>
      <c r="F196" s="183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  <c r="AA196" s="183"/>
      <c r="AB196" s="183"/>
      <c r="AC196" s="183"/>
      <c r="AD196" s="183"/>
      <c r="AE196" s="183"/>
      <c r="AF196" s="183"/>
      <c r="AG196" s="183"/>
      <c r="AH196" s="183"/>
      <c r="AI196" s="20"/>
    </row>
    <row r="197" spans="2:35" ht="15" customHeight="1" x14ac:dyDescent="0.25">
      <c r="B197" s="84"/>
      <c r="C197" s="83"/>
      <c r="D197" s="183"/>
      <c r="E197" s="183"/>
      <c r="F197" s="183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  <c r="AA197" s="183"/>
      <c r="AB197" s="183"/>
      <c r="AC197" s="183"/>
      <c r="AD197" s="183"/>
      <c r="AE197" s="183"/>
      <c r="AF197" s="183"/>
      <c r="AG197" s="183"/>
      <c r="AH197" s="183"/>
      <c r="AI197" s="20"/>
    </row>
    <row r="198" spans="2:35" ht="15" customHeight="1" x14ac:dyDescent="0.25">
      <c r="B198" s="84"/>
      <c r="C198" s="83"/>
      <c r="D198" s="183"/>
      <c r="E198" s="183"/>
      <c r="F198" s="183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20"/>
    </row>
    <row r="199" spans="2:35" ht="15" customHeight="1" x14ac:dyDescent="0.25">
      <c r="B199" s="84"/>
      <c r="C199" s="83"/>
      <c r="D199" s="183"/>
      <c r="E199" s="183"/>
      <c r="F199" s="183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  <c r="AA199" s="183"/>
      <c r="AB199" s="183"/>
      <c r="AC199" s="183"/>
      <c r="AD199" s="183"/>
      <c r="AE199" s="183"/>
      <c r="AF199" s="183"/>
      <c r="AG199" s="183"/>
      <c r="AH199" s="183"/>
      <c r="AI199" s="20"/>
    </row>
    <row r="200" spans="2:35" ht="15" customHeight="1" x14ac:dyDescent="0.25">
      <c r="B200" s="84"/>
      <c r="C200" s="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  <c r="AA200" s="183"/>
      <c r="AB200" s="183"/>
      <c r="AC200" s="183"/>
      <c r="AD200" s="183"/>
      <c r="AE200" s="183"/>
      <c r="AF200" s="183"/>
      <c r="AG200" s="183"/>
      <c r="AH200" s="183"/>
      <c r="AI200" s="20"/>
    </row>
    <row r="201" spans="2:35" ht="15" customHeight="1" x14ac:dyDescent="0.25">
      <c r="B201" s="84"/>
      <c r="C201" s="83"/>
      <c r="D201" s="183"/>
      <c r="E201" s="183"/>
      <c r="F201" s="183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  <c r="AA201" s="183"/>
      <c r="AB201" s="183"/>
      <c r="AC201" s="183"/>
      <c r="AD201" s="183"/>
      <c r="AE201" s="183"/>
      <c r="AF201" s="183"/>
      <c r="AG201" s="183"/>
      <c r="AH201" s="183"/>
      <c r="AI201" s="20"/>
    </row>
    <row r="202" spans="2:35" ht="15" customHeight="1" x14ac:dyDescent="0.25">
      <c r="B202" s="84"/>
      <c r="C202" s="83"/>
      <c r="D202" s="183"/>
      <c r="E202" s="183"/>
      <c r="F202" s="183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  <c r="AA202" s="183"/>
      <c r="AB202" s="183"/>
      <c r="AC202" s="183"/>
      <c r="AD202" s="183"/>
      <c r="AE202" s="183"/>
      <c r="AF202" s="183"/>
      <c r="AG202" s="183"/>
      <c r="AH202" s="183"/>
      <c r="AI202" s="20"/>
    </row>
    <row r="203" spans="2:35" ht="15" customHeight="1" x14ac:dyDescent="0.25">
      <c r="B203" s="84"/>
      <c r="C203" s="83"/>
      <c r="D203" s="183"/>
      <c r="E203" s="183"/>
      <c r="F203" s="183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  <c r="AA203" s="183"/>
      <c r="AB203" s="183"/>
      <c r="AC203" s="183"/>
      <c r="AD203" s="183"/>
      <c r="AE203" s="183"/>
      <c r="AF203" s="183"/>
      <c r="AG203" s="183"/>
      <c r="AH203" s="183"/>
      <c r="AI203" s="20"/>
    </row>
    <row r="204" spans="2:35" ht="15" customHeight="1" x14ac:dyDescent="0.25">
      <c r="B204" s="84"/>
      <c r="C204" s="83"/>
      <c r="D204" s="183"/>
      <c r="E204" s="183"/>
      <c r="F204" s="183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  <c r="AA204" s="183"/>
      <c r="AB204" s="183"/>
      <c r="AC204" s="183"/>
      <c r="AD204" s="183"/>
      <c r="AE204" s="183"/>
      <c r="AF204" s="183"/>
      <c r="AG204" s="183"/>
      <c r="AH204" s="183"/>
      <c r="AI204" s="20"/>
    </row>
    <row r="205" spans="2:35" ht="15" customHeight="1" x14ac:dyDescent="0.25">
      <c r="B205" s="84"/>
      <c r="C205" s="83"/>
      <c r="D205" s="183"/>
      <c r="E205" s="183"/>
      <c r="F205" s="183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  <c r="AA205" s="183"/>
      <c r="AB205" s="183"/>
      <c r="AC205" s="183"/>
      <c r="AD205" s="183"/>
      <c r="AE205" s="183"/>
      <c r="AF205" s="183"/>
      <c r="AG205" s="183"/>
      <c r="AH205" s="183"/>
      <c r="AI205" s="20"/>
    </row>
    <row r="206" spans="2:35" ht="15" customHeight="1" x14ac:dyDescent="0.25">
      <c r="B206" s="84"/>
      <c r="C206" s="83"/>
      <c r="D206" s="183"/>
      <c r="E206" s="183"/>
      <c r="F206" s="183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  <c r="AA206" s="183"/>
      <c r="AB206" s="183"/>
      <c r="AC206" s="183"/>
      <c r="AD206" s="183"/>
      <c r="AE206" s="183"/>
      <c r="AF206" s="183"/>
      <c r="AG206" s="183"/>
      <c r="AH206" s="183"/>
      <c r="AI206" s="20"/>
    </row>
    <row r="207" spans="2:35" ht="15" customHeight="1" x14ac:dyDescent="0.25">
      <c r="B207" s="84"/>
      <c r="C207" s="83"/>
      <c r="D207" s="183"/>
      <c r="E207" s="183"/>
      <c r="F207" s="183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  <c r="AA207" s="183"/>
      <c r="AB207" s="183"/>
      <c r="AC207" s="183"/>
      <c r="AD207" s="183"/>
      <c r="AE207" s="183"/>
      <c r="AF207" s="183"/>
      <c r="AG207" s="183"/>
      <c r="AH207" s="183"/>
      <c r="AI207" s="20"/>
    </row>
    <row r="208" spans="2:35" ht="15" customHeight="1" x14ac:dyDescent="0.25">
      <c r="B208" s="84"/>
      <c r="C208" s="83"/>
      <c r="D208" s="183"/>
      <c r="E208" s="183"/>
      <c r="F208" s="183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  <c r="AA208" s="183"/>
      <c r="AB208" s="183"/>
      <c r="AC208" s="183"/>
      <c r="AD208" s="183"/>
      <c r="AE208" s="183"/>
      <c r="AF208" s="183"/>
      <c r="AG208" s="183"/>
      <c r="AH208" s="183"/>
      <c r="AI208" s="20"/>
    </row>
    <row r="209" spans="2:35" ht="15" customHeight="1" x14ac:dyDescent="0.25">
      <c r="B209" s="84"/>
      <c r="C209" s="83"/>
      <c r="D209" s="183"/>
      <c r="E209" s="183"/>
      <c r="F209" s="183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  <c r="AA209" s="183"/>
      <c r="AB209" s="183"/>
      <c r="AC209" s="183"/>
      <c r="AD209" s="183"/>
      <c r="AE209" s="183"/>
      <c r="AF209" s="183"/>
      <c r="AG209" s="183"/>
      <c r="AH209" s="183"/>
      <c r="AI209" s="20"/>
    </row>
    <row r="210" spans="2:35" ht="15" customHeight="1" x14ac:dyDescent="0.25">
      <c r="B210" s="84"/>
      <c r="C210" s="83"/>
      <c r="D210" s="183"/>
      <c r="E210" s="183"/>
      <c r="F210" s="183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  <c r="AA210" s="183"/>
      <c r="AB210" s="183"/>
      <c r="AC210" s="183"/>
      <c r="AD210" s="183"/>
      <c r="AE210" s="183"/>
      <c r="AF210" s="183"/>
      <c r="AG210" s="183"/>
      <c r="AH210" s="183"/>
      <c r="AI210" s="20"/>
    </row>
    <row r="211" spans="2:35" ht="15" customHeight="1" x14ac:dyDescent="0.25">
      <c r="B211" s="84"/>
      <c r="C211" s="83"/>
      <c r="D211" s="183"/>
      <c r="E211" s="183"/>
      <c r="F211" s="183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  <c r="AA211" s="183"/>
      <c r="AB211" s="183"/>
      <c r="AC211" s="183"/>
      <c r="AD211" s="183"/>
      <c r="AE211" s="183"/>
      <c r="AF211" s="183"/>
      <c r="AG211" s="183"/>
      <c r="AH211" s="183"/>
      <c r="AI211" s="20"/>
    </row>
    <row r="212" spans="2:35" ht="15.75" x14ac:dyDescent="0.25">
      <c r="B212" s="84"/>
      <c r="C212" s="83"/>
      <c r="D212" s="183"/>
      <c r="E212" s="183"/>
      <c r="F212" s="183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  <c r="AA212" s="183"/>
      <c r="AB212" s="183"/>
      <c r="AC212" s="183"/>
      <c r="AD212" s="183"/>
      <c r="AE212" s="183"/>
      <c r="AF212" s="183"/>
      <c r="AG212" s="183"/>
      <c r="AH212" s="183"/>
      <c r="AI212" s="20"/>
    </row>
    <row r="213" spans="2:35" ht="15.75" x14ac:dyDescent="0.25">
      <c r="B213" s="84"/>
      <c r="C213" s="83"/>
      <c r="D213" s="183"/>
      <c r="E213" s="183"/>
      <c r="F213" s="183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  <c r="AA213" s="183"/>
      <c r="AB213" s="183"/>
      <c r="AC213" s="183"/>
      <c r="AD213" s="183"/>
      <c r="AE213" s="183"/>
      <c r="AF213" s="183"/>
      <c r="AG213" s="183"/>
      <c r="AH213" s="183"/>
      <c r="AI213" s="20"/>
    </row>
    <row r="214" spans="2:35" ht="15.75" x14ac:dyDescent="0.25">
      <c r="B214" s="84"/>
      <c r="C214" s="83"/>
      <c r="D214" s="183"/>
      <c r="E214" s="183"/>
      <c r="F214" s="183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  <c r="AA214" s="183"/>
      <c r="AB214" s="183"/>
      <c r="AC214" s="183"/>
      <c r="AD214" s="183"/>
      <c r="AE214" s="183"/>
      <c r="AF214" s="183"/>
      <c r="AG214" s="183"/>
      <c r="AH214" s="183"/>
      <c r="AI214" s="20"/>
    </row>
    <row r="215" spans="2:35" ht="15.75" x14ac:dyDescent="0.25">
      <c r="B215" s="84"/>
      <c r="C215" s="83"/>
      <c r="D215" s="183"/>
      <c r="E215" s="183"/>
      <c r="F215" s="183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  <c r="AA215" s="183"/>
      <c r="AB215" s="183"/>
      <c r="AC215" s="183"/>
      <c r="AD215" s="183"/>
      <c r="AE215" s="183"/>
      <c r="AF215" s="183"/>
      <c r="AG215" s="183"/>
      <c r="AH215" s="183"/>
      <c r="AI215" s="20"/>
    </row>
    <row r="216" spans="2:35" ht="15.75" x14ac:dyDescent="0.25">
      <c r="B216" s="84"/>
      <c r="C216" s="83"/>
      <c r="D216" s="183"/>
      <c r="E216" s="183"/>
      <c r="F216" s="183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  <c r="AA216" s="183"/>
      <c r="AB216" s="183"/>
      <c r="AC216" s="183"/>
      <c r="AD216" s="183"/>
      <c r="AE216" s="183"/>
      <c r="AF216" s="183"/>
      <c r="AG216" s="183"/>
      <c r="AH216" s="183"/>
      <c r="AI216" s="20"/>
    </row>
    <row r="217" spans="2:35" ht="15.75" x14ac:dyDescent="0.25">
      <c r="B217" s="84"/>
      <c r="C217" s="83"/>
      <c r="D217" s="183"/>
      <c r="E217" s="183"/>
      <c r="F217" s="183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  <c r="AA217" s="183"/>
      <c r="AB217" s="183"/>
      <c r="AC217" s="183"/>
      <c r="AD217" s="183"/>
      <c r="AE217" s="183"/>
      <c r="AF217" s="183"/>
      <c r="AG217" s="183"/>
      <c r="AH217" s="183"/>
      <c r="AI217" s="20"/>
    </row>
    <row r="218" spans="2:35" ht="15.75" x14ac:dyDescent="0.25">
      <c r="B218" s="84"/>
      <c r="C218" s="83"/>
      <c r="D218" s="183"/>
      <c r="E218" s="183"/>
      <c r="F218" s="183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  <c r="AA218" s="183"/>
      <c r="AB218" s="183"/>
      <c r="AC218" s="183"/>
      <c r="AD218" s="183"/>
      <c r="AE218" s="183"/>
      <c r="AF218" s="183"/>
      <c r="AG218" s="183"/>
      <c r="AH218" s="183"/>
      <c r="AI218" s="20"/>
    </row>
    <row r="219" spans="2:35" ht="15.75" x14ac:dyDescent="0.25">
      <c r="B219" s="84"/>
      <c r="C219" s="83"/>
      <c r="D219" s="183"/>
      <c r="E219" s="183"/>
      <c r="F219" s="183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  <c r="AA219" s="183"/>
      <c r="AB219" s="183"/>
      <c r="AC219" s="183"/>
      <c r="AD219" s="183"/>
      <c r="AE219" s="183"/>
      <c r="AF219" s="183"/>
      <c r="AG219" s="183"/>
      <c r="AH219" s="183"/>
      <c r="AI219" s="20"/>
    </row>
    <row r="220" spans="2:35" ht="15.75" x14ac:dyDescent="0.25">
      <c r="B220" s="84"/>
      <c r="C220" s="83"/>
      <c r="D220" s="183"/>
      <c r="E220" s="183"/>
      <c r="F220" s="183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  <c r="AA220" s="183"/>
      <c r="AB220" s="183"/>
      <c r="AC220" s="183"/>
      <c r="AD220" s="183"/>
      <c r="AE220" s="183"/>
      <c r="AF220" s="183"/>
      <c r="AG220" s="183"/>
      <c r="AH220" s="183"/>
      <c r="AI220" s="20"/>
    </row>
    <row r="221" spans="2:35" ht="15.75" x14ac:dyDescent="0.25">
      <c r="B221" s="84"/>
      <c r="C221" s="83"/>
      <c r="D221" s="183"/>
      <c r="E221" s="183"/>
      <c r="F221" s="183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  <c r="AA221" s="183"/>
      <c r="AB221" s="183"/>
      <c r="AC221" s="183"/>
      <c r="AD221" s="183"/>
      <c r="AE221" s="183"/>
      <c r="AF221" s="183"/>
      <c r="AG221" s="183"/>
      <c r="AH221" s="183"/>
      <c r="AI221" s="20"/>
    </row>
    <row r="222" spans="2:35" ht="15.75" x14ac:dyDescent="0.25">
      <c r="B222" s="84"/>
      <c r="C222" s="83"/>
      <c r="D222" s="183"/>
      <c r="E222" s="183"/>
      <c r="F222" s="183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  <c r="AA222" s="183"/>
      <c r="AB222" s="183"/>
      <c r="AC222" s="183"/>
      <c r="AD222" s="183"/>
      <c r="AE222" s="183"/>
      <c r="AF222" s="183"/>
      <c r="AG222" s="183"/>
      <c r="AH222" s="183"/>
      <c r="AI222" s="20"/>
    </row>
    <row r="223" spans="2:35" ht="15.75" x14ac:dyDescent="0.25">
      <c r="B223" s="84"/>
      <c r="C223" s="83"/>
      <c r="D223" s="183"/>
      <c r="E223" s="183"/>
      <c r="F223" s="183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  <c r="AA223" s="183"/>
      <c r="AB223" s="183"/>
      <c r="AC223" s="183"/>
      <c r="AD223" s="183"/>
      <c r="AE223" s="183"/>
      <c r="AF223" s="183"/>
      <c r="AG223" s="183"/>
      <c r="AH223" s="183"/>
      <c r="AI223" s="20"/>
    </row>
    <row r="224" spans="2:35" ht="15.75" x14ac:dyDescent="0.25">
      <c r="B224" s="84"/>
      <c r="C224" s="83"/>
      <c r="D224" s="183"/>
      <c r="E224" s="183"/>
      <c r="F224" s="183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  <c r="AA224" s="183"/>
      <c r="AB224" s="183"/>
      <c r="AC224" s="183"/>
      <c r="AD224" s="183"/>
      <c r="AE224" s="183"/>
      <c r="AF224" s="183"/>
      <c r="AG224" s="183"/>
      <c r="AH224" s="183"/>
      <c r="AI224" s="20"/>
    </row>
    <row r="225" spans="2:35" ht="15.75" x14ac:dyDescent="0.25">
      <c r="B225" s="84"/>
      <c r="C225" s="83"/>
      <c r="D225" s="183"/>
      <c r="E225" s="183"/>
      <c r="F225" s="183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  <c r="AA225" s="183"/>
      <c r="AB225" s="183"/>
      <c r="AC225" s="183"/>
      <c r="AD225" s="183"/>
      <c r="AE225" s="183"/>
      <c r="AF225" s="183"/>
      <c r="AG225" s="183"/>
      <c r="AH225" s="183"/>
      <c r="AI225" s="20"/>
    </row>
    <row r="226" spans="2:35" ht="15.75" x14ac:dyDescent="0.25">
      <c r="B226" s="84"/>
      <c r="C226" s="83"/>
      <c r="D226" s="183"/>
      <c r="E226" s="183"/>
      <c r="F226" s="183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  <c r="AA226" s="183"/>
      <c r="AB226" s="183"/>
      <c r="AC226" s="183"/>
      <c r="AD226" s="183"/>
      <c r="AE226" s="183"/>
      <c r="AF226" s="183"/>
      <c r="AG226" s="183"/>
      <c r="AH226" s="183"/>
      <c r="AI226" s="20"/>
    </row>
    <row r="227" spans="2:35" ht="15.75" x14ac:dyDescent="0.25">
      <c r="B227" s="84"/>
      <c r="C227" s="83"/>
      <c r="D227" s="183"/>
      <c r="E227" s="183"/>
      <c r="F227" s="183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  <c r="AA227" s="183"/>
      <c r="AB227" s="183"/>
      <c r="AC227" s="183"/>
      <c r="AD227" s="183"/>
      <c r="AE227" s="183"/>
      <c r="AF227" s="183"/>
      <c r="AG227" s="183"/>
      <c r="AH227" s="183"/>
      <c r="AI227" s="20"/>
    </row>
    <row r="228" spans="2:35" ht="15.75" x14ac:dyDescent="0.25">
      <c r="B228" s="84"/>
      <c r="C228" s="83"/>
      <c r="D228" s="183"/>
      <c r="E228" s="183"/>
      <c r="F228" s="183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  <c r="AA228" s="183"/>
      <c r="AB228" s="183"/>
      <c r="AC228" s="183"/>
      <c r="AD228" s="183"/>
      <c r="AE228" s="183"/>
      <c r="AF228" s="183"/>
      <c r="AG228" s="183"/>
      <c r="AH228" s="183"/>
      <c r="AI228" s="20"/>
    </row>
    <row r="229" spans="2:35" ht="15.75" x14ac:dyDescent="0.25">
      <c r="B229" s="84"/>
      <c r="C229" s="83"/>
      <c r="D229" s="183"/>
      <c r="E229" s="183"/>
      <c r="F229" s="183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  <c r="AA229" s="183"/>
      <c r="AB229" s="183"/>
      <c r="AC229" s="183"/>
      <c r="AD229" s="183"/>
      <c r="AE229" s="183"/>
      <c r="AF229" s="183"/>
      <c r="AG229" s="183"/>
      <c r="AH229" s="183"/>
      <c r="AI229" s="20"/>
    </row>
    <row r="230" spans="2:35" ht="15.75" x14ac:dyDescent="0.25">
      <c r="B230" s="84"/>
      <c r="C230" s="83"/>
      <c r="D230" s="183"/>
      <c r="E230" s="183"/>
      <c r="F230" s="183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  <c r="AA230" s="183"/>
      <c r="AB230" s="183"/>
      <c r="AC230" s="183"/>
      <c r="AD230" s="183"/>
      <c r="AE230" s="183"/>
      <c r="AF230" s="183"/>
      <c r="AG230" s="183"/>
      <c r="AH230" s="183"/>
      <c r="AI230" s="20"/>
    </row>
    <row r="231" spans="2:35" ht="15.75" x14ac:dyDescent="0.25">
      <c r="B231" s="84"/>
      <c r="C231" s="83"/>
      <c r="D231" s="183"/>
      <c r="E231" s="183"/>
      <c r="F231" s="183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  <c r="Z231" s="183"/>
      <c r="AA231" s="183"/>
      <c r="AB231" s="183"/>
      <c r="AC231" s="183"/>
      <c r="AD231" s="183"/>
      <c r="AE231" s="183"/>
      <c r="AF231" s="183"/>
      <c r="AG231" s="183"/>
      <c r="AH231" s="183"/>
      <c r="AI231" s="20"/>
    </row>
    <row r="232" spans="2:35" ht="15.75" x14ac:dyDescent="0.25">
      <c r="B232" s="84"/>
      <c r="C232" s="83"/>
      <c r="D232" s="183"/>
      <c r="E232" s="183"/>
      <c r="F232" s="183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3"/>
      <c r="V232" s="183"/>
      <c r="W232" s="183"/>
      <c r="X232" s="183"/>
      <c r="Y232" s="183"/>
      <c r="Z232" s="183"/>
      <c r="AA232" s="183"/>
      <c r="AB232" s="183"/>
      <c r="AC232" s="183"/>
      <c r="AD232" s="183"/>
      <c r="AE232" s="183"/>
      <c r="AF232" s="183"/>
      <c r="AG232" s="183"/>
      <c r="AH232" s="183"/>
      <c r="AI232" s="20"/>
    </row>
    <row r="233" spans="2:35" ht="15.75" x14ac:dyDescent="0.25">
      <c r="B233" s="84"/>
      <c r="C233" s="83"/>
      <c r="D233" s="183"/>
      <c r="E233" s="183"/>
      <c r="F233" s="183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  <c r="Z233" s="183"/>
      <c r="AA233" s="183"/>
      <c r="AB233" s="183"/>
      <c r="AC233" s="183"/>
      <c r="AD233" s="183"/>
      <c r="AE233" s="183"/>
      <c r="AF233" s="183"/>
      <c r="AG233" s="183"/>
      <c r="AH233" s="183"/>
      <c r="AI233" s="20"/>
    </row>
    <row r="234" spans="2:35" ht="15.75" x14ac:dyDescent="0.25">
      <c r="B234" s="84"/>
      <c r="C234" s="83"/>
      <c r="D234" s="183"/>
      <c r="E234" s="183"/>
      <c r="F234" s="183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83"/>
      <c r="Z234" s="183"/>
      <c r="AA234" s="183"/>
      <c r="AB234" s="183"/>
      <c r="AC234" s="183"/>
      <c r="AD234" s="183"/>
      <c r="AE234" s="183"/>
      <c r="AF234" s="183"/>
      <c r="AG234" s="183"/>
      <c r="AH234" s="183"/>
      <c r="AI234" s="20"/>
    </row>
    <row r="235" spans="2:35" ht="15.75" x14ac:dyDescent="0.25">
      <c r="B235" s="84"/>
      <c r="C235" s="83"/>
      <c r="D235" s="183"/>
      <c r="E235" s="183"/>
      <c r="F235" s="183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3"/>
      <c r="V235" s="183"/>
      <c r="W235" s="183"/>
      <c r="X235" s="183"/>
      <c r="Y235" s="183"/>
      <c r="Z235" s="183"/>
      <c r="AA235" s="183"/>
      <c r="AB235" s="183"/>
      <c r="AC235" s="183"/>
      <c r="AD235" s="183"/>
      <c r="AE235" s="183"/>
      <c r="AF235" s="183"/>
      <c r="AG235" s="183"/>
      <c r="AH235" s="183"/>
      <c r="AI235" s="20"/>
    </row>
    <row r="236" spans="2:35" ht="15.75" x14ac:dyDescent="0.25">
      <c r="B236" s="84"/>
      <c r="C236" s="83"/>
      <c r="D236" s="183"/>
      <c r="E236" s="183"/>
      <c r="F236" s="183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3"/>
      <c r="V236" s="183"/>
      <c r="W236" s="183"/>
      <c r="X236" s="183"/>
      <c r="Y236" s="183"/>
      <c r="Z236" s="183"/>
      <c r="AA236" s="183"/>
      <c r="AB236" s="183"/>
      <c r="AC236" s="183"/>
      <c r="AD236" s="183"/>
      <c r="AE236" s="183"/>
      <c r="AF236" s="183"/>
      <c r="AG236" s="183"/>
      <c r="AH236" s="183"/>
      <c r="AI236" s="20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0000000}">
          <x14:formula1>
            <xm:f>справочник!$E$2:$E$172</xm:f>
          </x14:formula1>
          <xm:sqref>B3:B236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AI235"/>
  <sheetViews>
    <sheetView showZeros="0" topLeftCell="A97" zoomScale="70" zoomScaleNormal="70" workbookViewId="0">
      <selection activeCell="S177" sqref="S177"/>
    </sheetView>
  </sheetViews>
  <sheetFormatPr defaultRowHeight="15" x14ac:dyDescent="0.25"/>
  <cols>
    <col min="1" max="1" width="2.140625" customWidth="1"/>
    <col min="2" max="2" width="53.5703125" customWidth="1"/>
    <col min="4" max="34" width="6.7109375" customWidth="1"/>
  </cols>
  <sheetData>
    <row r="1" spans="2:35" ht="15" customHeight="1" thickBot="1" x14ac:dyDescent="0.3">
      <c r="B1" s="67">
        <v>45870</v>
      </c>
      <c r="C1" s="68"/>
      <c r="D1" s="69">
        <f>B1</f>
        <v>45870</v>
      </c>
      <c r="E1" s="69">
        <f>D1+1</f>
        <v>45871</v>
      </c>
      <c r="F1" s="69">
        <f t="shared" ref="F1:AH1" si="0">E1+1</f>
        <v>45872</v>
      </c>
      <c r="G1" s="69">
        <f t="shared" si="0"/>
        <v>45873</v>
      </c>
      <c r="H1" s="69">
        <f t="shared" si="0"/>
        <v>45874</v>
      </c>
      <c r="I1" s="69">
        <f t="shared" si="0"/>
        <v>45875</v>
      </c>
      <c r="J1" s="69">
        <f t="shared" si="0"/>
        <v>45876</v>
      </c>
      <c r="K1" s="69">
        <f t="shared" si="0"/>
        <v>45877</v>
      </c>
      <c r="L1" s="69">
        <f t="shared" si="0"/>
        <v>45878</v>
      </c>
      <c r="M1" s="69">
        <f t="shared" si="0"/>
        <v>45879</v>
      </c>
      <c r="N1" s="69">
        <f t="shared" si="0"/>
        <v>45880</v>
      </c>
      <c r="O1" s="69">
        <f t="shared" si="0"/>
        <v>45881</v>
      </c>
      <c r="P1" s="69">
        <f t="shared" si="0"/>
        <v>45882</v>
      </c>
      <c r="Q1" s="69">
        <f t="shared" si="0"/>
        <v>45883</v>
      </c>
      <c r="R1" s="69">
        <f t="shared" si="0"/>
        <v>45884</v>
      </c>
      <c r="S1" s="69">
        <f t="shared" si="0"/>
        <v>45885</v>
      </c>
      <c r="T1" s="69">
        <f t="shared" si="0"/>
        <v>45886</v>
      </c>
      <c r="U1" s="69">
        <f t="shared" si="0"/>
        <v>45887</v>
      </c>
      <c r="V1" s="69">
        <f t="shared" si="0"/>
        <v>45888</v>
      </c>
      <c r="W1" s="69">
        <f t="shared" si="0"/>
        <v>45889</v>
      </c>
      <c r="X1" s="69">
        <f t="shared" si="0"/>
        <v>45890</v>
      </c>
      <c r="Y1" s="69">
        <f t="shared" si="0"/>
        <v>45891</v>
      </c>
      <c r="Z1" s="69">
        <f t="shared" si="0"/>
        <v>45892</v>
      </c>
      <c r="AA1" s="69">
        <f t="shared" si="0"/>
        <v>45893</v>
      </c>
      <c r="AB1" s="69">
        <f t="shared" si="0"/>
        <v>45894</v>
      </c>
      <c r="AC1" s="69">
        <f t="shared" si="0"/>
        <v>45895</v>
      </c>
      <c r="AD1" s="69">
        <f t="shared" si="0"/>
        <v>45896</v>
      </c>
      <c r="AE1" s="69">
        <f t="shared" si="0"/>
        <v>45897</v>
      </c>
      <c r="AF1" s="69">
        <f t="shared" si="0"/>
        <v>45898</v>
      </c>
      <c r="AG1" s="69">
        <f t="shared" si="0"/>
        <v>45899</v>
      </c>
      <c r="AH1" s="69">
        <f t="shared" si="0"/>
        <v>45900</v>
      </c>
      <c r="AI1" s="70"/>
    </row>
    <row r="2" spans="2:35" ht="15" customHeight="1" thickBot="1" x14ac:dyDescent="0.3">
      <c r="B2" s="71"/>
      <c r="C2" s="68"/>
      <c r="D2" s="72">
        <v>1</v>
      </c>
      <c r="E2" s="73">
        <v>2</v>
      </c>
      <c r="F2" s="73">
        <v>3</v>
      </c>
      <c r="G2" s="73">
        <v>4</v>
      </c>
      <c r="H2" s="73">
        <v>5</v>
      </c>
      <c r="I2" s="73">
        <v>6</v>
      </c>
      <c r="J2" s="73">
        <v>7</v>
      </c>
      <c r="K2" s="73">
        <v>8</v>
      </c>
      <c r="L2" s="73">
        <v>9</v>
      </c>
      <c r="M2" s="73">
        <v>10</v>
      </c>
      <c r="N2" s="73">
        <v>11</v>
      </c>
      <c r="O2" s="73">
        <v>12</v>
      </c>
      <c r="P2" s="73">
        <v>13</v>
      </c>
      <c r="Q2" s="73">
        <v>14</v>
      </c>
      <c r="R2" s="73">
        <v>15</v>
      </c>
      <c r="S2" s="73">
        <v>16</v>
      </c>
      <c r="T2" s="73">
        <v>17</v>
      </c>
      <c r="U2" s="73">
        <v>18</v>
      </c>
      <c r="V2" s="73">
        <v>19</v>
      </c>
      <c r="W2" s="73">
        <v>20</v>
      </c>
      <c r="X2" s="73">
        <v>21</v>
      </c>
      <c r="Y2" s="73">
        <v>22</v>
      </c>
      <c r="Z2" s="73">
        <v>23</v>
      </c>
      <c r="AA2" s="73">
        <v>24</v>
      </c>
      <c r="AB2" s="73">
        <v>25</v>
      </c>
      <c r="AC2" s="73">
        <v>26</v>
      </c>
      <c r="AD2" s="73">
        <v>27</v>
      </c>
      <c r="AE2" s="73">
        <v>28</v>
      </c>
      <c r="AF2" s="73">
        <v>29</v>
      </c>
      <c r="AG2" s="73">
        <v>30</v>
      </c>
      <c r="AH2" s="73">
        <v>31</v>
      </c>
      <c r="AI2" s="70"/>
    </row>
    <row r="3" spans="2:35" ht="15" customHeight="1" x14ac:dyDescent="0.25">
      <c r="B3" s="74" t="s">
        <v>212</v>
      </c>
      <c r="C3" s="75">
        <v>25</v>
      </c>
      <c r="D3" s="76">
        <f>SUMIFS('август 2025'!$G$2:$G$2407,'август 2025'!$D$2:$D$2407,$B3,'август 2025'!$J$2:$J$2407,D$1)</f>
        <v>800</v>
      </c>
      <c r="E3" s="76">
        <f>SUMIFS('август 2025'!$G$2:$G$2407,'август 2025'!$D$2:$D$2407,$B3,'август 2025'!$J$2:$J$2407,E$1)</f>
        <v>0</v>
      </c>
      <c r="F3" s="76">
        <f>SUMIFS('август 2025'!$G$2:$G$2407,'август 2025'!$D$2:$D$2407,$B3,'август 2025'!$J$2:$J$2407,F$1)</f>
        <v>0</v>
      </c>
      <c r="G3" s="76">
        <f>SUMIFS('август 2025'!$G$2:$G$2407,'август 2025'!$D$2:$D$2407,$B3,'август 2025'!$J$2:$J$2407,G$1)</f>
        <v>0</v>
      </c>
      <c r="H3" s="76">
        <f>SUMIFS('август 2025'!$G$2:$G$2407,'август 2025'!$D$2:$D$2407,$B3,'август 2025'!$J$2:$J$2407,H$1)</f>
        <v>800</v>
      </c>
      <c r="I3" s="76">
        <f>SUMIFS('август 2025'!$G$2:$G$2407,'август 2025'!$D$2:$D$2407,$B3,'август 2025'!$J$2:$J$2407,I$1)</f>
        <v>0</v>
      </c>
      <c r="J3" s="76">
        <f>SUMIFS('август 2025'!$G$2:$G$2407,'август 2025'!$D$2:$D$2407,$B3,'август 2025'!$J$2:$J$2407,J$1)</f>
        <v>0</v>
      </c>
      <c r="K3" s="76">
        <f>SUMIFS('август 2025'!$G$2:$G$2407,'август 2025'!$D$2:$D$2407,$B3,'август 2025'!$J$2:$J$2407,K$1)</f>
        <v>0</v>
      </c>
      <c r="L3" s="76">
        <f>SUMIFS('август 2025'!$G$2:$G$2407,'август 2025'!$D$2:$D$2407,$B3,'август 2025'!$J$2:$J$2407,L$1)</f>
        <v>0</v>
      </c>
      <c r="M3" s="76">
        <f>SUMIFS('август 2025'!$G$2:$G$2407,'август 2025'!$D$2:$D$2407,$B3,'август 2025'!$J$2:$J$2407,M$1)</f>
        <v>0</v>
      </c>
      <c r="N3" s="76">
        <f>SUMIFS('август 2025'!$G$2:$G$2407,'август 2025'!$D$2:$D$2407,$B3,'август 2025'!$J$2:$J$2407,N$1)</f>
        <v>0</v>
      </c>
      <c r="O3" s="76">
        <f>SUMIFS('август 2025'!$G$2:$G$2407,'август 2025'!$D$2:$D$2407,$B3,'август 2025'!$J$2:$J$2407,O$1)</f>
        <v>0</v>
      </c>
      <c r="P3" s="76">
        <f>SUMIFS('август 2025'!$G$2:$G$2407,'август 2025'!$D$2:$D$2407,$B3,'август 2025'!$J$2:$J$2407,P$1)</f>
        <v>0</v>
      </c>
      <c r="Q3" s="76">
        <f>SUMIFS('август 2025'!$G$2:$G$2407,'август 2025'!$D$2:$D$2407,$B3,'август 2025'!$J$2:$J$2407,Q$1)</f>
        <v>0</v>
      </c>
      <c r="R3" s="76">
        <f>SUMIFS('август 2025'!$G$2:$G$2407,'август 2025'!$D$2:$D$2407,$B3,'август 2025'!$J$2:$J$2407,R$1)</f>
        <v>0</v>
      </c>
      <c r="S3" s="76">
        <f>SUMIFS('август 2025'!$G$2:$G$2407,'август 2025'!$D$2:$D$2407,$B3,'август 2025'!$J$2:$J$2407,S$1)</f>
        <v>0</v>
      </c>
      <c r="T3" s="76">
        <f>SUMIFS('август 2025'!$G$2:$G$2407,'август 2025'!$D$2:$D$2407,$B3,'август 2025'!$J$2:$J$2407,T$1)</f>
        <v>0</v>
      </c>
      <c r="U3" s="76">
        <f>SUMIFS('август 2025'!$G$2:$G$2407,'август 2025'!$D$2:$D$2407,$B3,'август 2025'!$J$2:$J$2407,U$1)</f>
        <v>0</v>
      </c>
      <c r="V3" s="76">
        <f>SUMIFS('август 2025'!$G$2:$G$2407,'август 2025'!$D$2:$D$2407,$B3,'август 2025'!$J$2:$J$2407,V$1)</f>
        <v>0</v>
      </c>
      <c r="W3" s="76">
        <f>SUMIFS('август 2025'!$G$2:$G$2407,'август 2025'!$D$2:$D$2407,$B3,'август 2025'!$J$2:$J$2407,W$1)</f>
        <v>0</v>
      </c>
      <c r="X3" s="76">
        <f>SUMIFS('август 2025'!$G$2:$G$2407,'август 2025'!$D$2:$D$2407,$B3,'август 2025'!$J$2:$J$2407,X$1)</f>
        <v>0</v>
      </c>
      <c r="Y3" s="76">
        <f>SUMIFS('август 2025'!$G$2:$G$2407,'август 2025'!$D$2:$D$2407,$B3,'август 2025'!$J$2:$J$2407,Y$1)</f>
        <v>0</v>
      </c>
      <c r="Z3" s="76">
        <f>SUMIFS('август 2025'!$G$2:$G$2407,'август 2025'!$D$2:$D$2407,$B3,'август 2025'!$J$2:$J$2407,Z$1)</f>
        <v>0</v>
      </c>
      <c r="AA3" s="76">
        <f>SUMIFS('август 2025'!$G$2:$G$2407,'август 2025'!$D$2:$D$2407,$B3,'август 2025'!$J$2:$J$2407,AA$1)</f>
        <v>0</v>
      </c>
      <c r="AB3" s="76">
        <f>SUMIFS('август 2025'!$G$2:$G$2407,'август 2025'!$D$2:$D$2407,$B3,'август 2025'!$J$2:$J$2407,AB$1)</f>
        <v>800</v>
      </c>
      <c r="AC3" s="76">
        <f>SUMIFS('август 2025'!$G$2:$G$2407,'август 2025'!$D$2:$D$2407,$B3,'август 2025'!$J$2:$J$2407,AC$1)</f>
        <v>0</v>
      </c>
      <c r="AD3" s="76">
        <f>SUMIFS('август 2025'!$G$2:$G$2407,'август 2025'!$D$2:$D$2407,$B3,'август 2025'!$J$2:$J$2407,AD$1)</f>
        <v>0</v>
      </c>
      <c r="AE3" s="76">
        <f>SUMIFS('август 2025'!$G$2:$G$2407,'август 2025'!$D$2:$D$2407,$B3,'август 2025'!$J$2:$J$2407,AE$1)</f>
        <v>0</v>
      </c>
      <c r="AF3" s="76">
        <f>SUMIFS('август 2025'!$G$2:$G$2407,'август 2025'!$D$2:$D$2407,$B3,'август 2025'!$J$2:$J$2407,AF$1)</f>
        <v>0</v>
      </c>
      <c r="AG3" s="76">
        <f>SUMIFS('август 2025'!$G$2:$G$2407,'август 2025'!$D$2:$D$2407,$B3,'август 2025'!$J$2:$J$2407,AG$1)</f>
        <v>0</v>
      </c>
      <c r="AH3" s="76">
        <f>SUMIFS('август 2025'!$G$2:$G$2407,'август 2025'!$D$2:$D$2407,$B3,'август 2025'!$J$2:$J$2407,AH$1)</f>
        <v>0</v>
      </c>
      <c r="AI3" s="48">
        <f t="shared" ref="AI3:AI164" si="1">SUM(D3:AH3)</f>
        <v>2400</v>
      </c>
    </row>
    <row r="4" spans="2:35" ht="15" customHeight="1" x14ac:dyDescent="0.25">
      <c r="B4" s="276" t="s">
        <v>1574</v>
      </c>
      <c r="C4" s="277">
        <v>25</v>
      </c>
      <c r="D4" s="76">
        <f>SUMIFS('август 2025'!$G$2:$G$2407,'август 2025'!$D$2:$D$2407,$B4,'август 2025'!$J$2:$J$2407,D$1)</f>
        <v>800</v>
      </c>
      <c r="E4" s="76">
        <f>SUMIFS('август 2025'!$G$2:$G$2407,'август 2025'!$D$2:$D$2407,$B4,'август 2025'!$J$2:$J$2407,E$1)</f>
        <v>0</v>
      </c>
      <c r="F4" s="76">
        <f>SUMIFS('август 2025'!$G$2:$G$2407,'август 2025'!$D$2:$D$2407,$B4,'август 2025'!$J$2:$J$2407,F$1)</f>
        <v>0</v>
      </c>
      <c r="G4" s="76">
        <f>SUMIFS('август 2025'!$G$2:$G$2407,'август 2025'!$D$2:$D$2407,$B4,'август 2025'!$J$2:$J$2407,G$1)</f>
        <v>0</v>
      </c>
      <c r="H4" s="76">
        <f>SUMIFS('август 2025'!$G$2:$G$2407,'август 2025'!$D$2:$D$2407,$B4,'август 2025'!$J$2:$J$2407,H$1)</f>
        <v>0</v>
      </c>
      <c r="I4" s="76">
        <f>SUMIFS('август 2025'!$G$2:$G$2407,'август 2025'!$D$2:$D$2407,$B4,'август 2025'!$J$2:$J$2407,I$1)</f>
        <v>0</v>
      </c>
      <c r="J4" s="76">
        <f>SUMIFS('август 2025'!$G$2:$G$2407,'август 2025'!$D$2:$D$2407,$B4,'август 2025'!$J$2:$J$2407,J$1)</f>
        <v>0</v>
      </c>
      <c r="K4" s="76">
        <f>SUMIFS('август 2025'!$G$2:$G$2407,'август 2025'!$D$2:$D$2407,$B4,'август 2025'!$J$2:$J$2407,K$1)</f>
        <v>0</v>
      </c>
      <c r="L4" s="76">
        <f>SUMIFS('август 2025'!$G$2:$G$2407,'август 2025'!$D$2:$D$2407,$B4,'август 2025'!$J$2:$J$2407,L$1)</f>
        <v>0</v>
      </c>
      <c r="M4" s="76">
        <f>SUMIFS('август 2025'!$G$2:$G$2407,'август 2025'!$D$2:$D$2407,$B4,'август 2025'!$J$2:$J$2407,M$1)</f>
        <v>0</v>
      </c>
      <c r="N4" s="76">
        <f>SUMIFS('август 2025'!$G$2:$G$2407,'август 2025'!$D$2:$D$2407,$B4,'август 2025'!$J$2:$J$2407,N$1)</f>
        <v>0</v>
      </c>
      <c r="O4" s="76">
        <f>SUMIFS('август 2025'!$G$2:$G$2407,'август 2025'!$D$2:$D$2407,$B4,'август 2025'!$J$2:$J$2407,O$1)</f>
        <v>0</v>
      </c>
      <c r="P4" s="76">
        <f>SUMIFS('август 2025'!$G$2:$G$2407,'август 2025'!$D$2:$D$2407,$B4,'август 2025'!$J$2:$J$2407,P$1)</f>
        <v>0</v>
      </c>
      <c r="Q4" s="76">
        <f>SUMIFS('август 2025'!$G$2:$G$2407,'август 2025'!$D$2:$D$2407,$B4,'август 2025'!$J$2:$J$2407,Q$1)</f>
        <v>0</v>
      </c>
      <c r="R4" s="76">
        <f>SUMIFS('август 2025'!$G$2:$G$2407,'август 2025'!$D$2:$D$2407,$B4,'август 2025'!$J$2:$J$2407,R$1)</f>
        <v>0</v>
      </c>
      <c r="S4" s="76">
        <f>SUMIFS('август 2025'!$G$2:$G$2407,'август 2025'!$D$2:$D$2407,$B4,'август 2025'!$J$2:$J$2407,S$1)</f>
        <v>0</v>
      </c>
      <c r="T4" s="76">
        <f>SUMIFS('август 2025'!$G$2:$G$2407,'август 2025'!$D$2:$D$2407,$B4,'август 2025'!$J$2:$J$2407,T$1)</f>
        <v>0</v>
      </c>
      <c r="U4" s="76">
        <f>SUMIFS('август 2025'!$G$2:$G$2407,'август 2025'!$D$2:$D$2407,$B4,'август 2025'!$J$2:$J$2407,U$1)</f>
        <v>0</v>
      </c>
      <c r="V4" s="76">
        <f>SUMIFS('август 2025'!$G$2:$G$2407,'август 2025'!$D$2:$D$2407,$B4,'август 2025'!$J$2:$J$2407,V$1)</f>
        <v>0</v>
      </c>
      <c r="W4" s="76">
        <f>SUMIFS('август 2025'!$G$2:$G$2407,'август 2025'!$D$2:$D$2407,$B4,'август 2025'!$J$2:$J$2407,W$1)</f>
        <v>0</v>
      </c>
      <c r="X4" s="76">
        <f>SUMIFS('август 2025'!$G$2:$G$2407,'август 2025'!$D$2:$D$2407,$B4,'август 2025'!$J$2:$J$2407,X$1)</f>
        <v>0</v>
      </c>
      <c r="Y4" s="76">
        <f>SUMIFS('август 2025'!$G$2:$G$2407,'август 2025'!$D$2:$D$2407,$B4,'август 2025'!$J$2:$J$2407,Y$1)</f>
        <v>0</v>
      </c>
      <c r="Z4" s="76">
        <f>SUMIFS('август 2025'!$G$2:$G$2407,'август 2025'!$D$2:$D$2407,$B4,'август 2025'!$J$2:$J$2407,Z$1)</f>
        <v>0</v>
      </c>
      <c r="AA4" s="76">
        <f>SUMIFS('август 2025'!$G$2:$G$2407,'август 2025'!$D$2:$D$2407,$B4,'август 2025'!$J$2:$J$2407,AA$1)</f>
        <v>0</v>
      </c>
      <c r="AB4" s="76">
        <f>SUMIFS('август 2025'!$G$2:$G$2407,'август 2025'!$D$2:$D$2407,$B4,'август 2025'!$J$2:$J$2407,AB$1)</f>
        <v>0</v>
      </c>
      <c r="AC4" s="76">
        <f>SUMIFS('август 2025'!$G$2:$G$2407,'август 2025'!$D$2:$D$2407,$B4,'август 2025'!$J$2:$J$2407,AC$1)</f>
        <v>0</v>
      </c>
      <c r="AD4" s="76">
        <f>SUMIFS('август 2025'!$G$2:$G$2407,'август 2025'!$D$2:$D$2407,$B4,'август 2025'!$J$2:$J$2407,AD$1)</f>
        <v>0</v>
      </c>
      <c r="AE4" s="76">
        <f>SUMIFS('август 2025'!$G$2:$G$2407,'август 2025'!$D$2:$D$2407,$B4,'август 2025'!$J$2:$J$2407,AE$1)</f>
        <v>0</v>
      </c>
      <c r="AF4" s="76">
        <f>SUMIFS('август 2025'!$G$2:$G$2407,'август 2025'!$D$2:$D$2407,$B4,'август 2025'!$J$2:$J$2407,AF$1)</f>
        <v>0</v>
      </c>
      <c r="AG4" s="76">
        <f>SUMIFS('август 2025'!$G$2:$G$2407,'август 2025'!$D$2:$D$2407,$B4,'август 2025'!$J$2:$J$2407,AG$1)</f>
        <v>0</v>
      </c>
      <c r="AH4" s="76">
        <f>SUMIFS('август 2025'!$G$2:$G$2407,'август 2025'!$D$2:$D$2407,$B4,'август 2025'!$J$2:$J$2407,AH$1)</f>
        <v>0</v>
      </c>
      <c r="AI4" s="278">
        <f t="shared" ref="AI4" si="2">SUM(D4:AH4)</f>
        <v>800</v>
      </c>
    </row>
    <row r="5" spans="2:35" ht="15" customHeight="1" x14ac:dyDescent="0.25">
      <c r="B5" s="77" t="s">
        <v>214</v>
      </c>
      <c r="C5" s="78">
        <v>25</v>
      </c>
      <c r="D5" s="76">
        <f>SUMIFS('август 2025'!$G$2:$G$2407,'август 2025'!$D$2:$D$2407,$B5,'август 2025'!$J$2:$J$2407,D$1)</f>
        <v>0</v>
      </c>
      <c r="E5" s="76">
        <f>SUMIFS('август 2025'!$G$2:$G$2407,'август 2025'!$D$2:$D$2407,$B5,'август 2025'!$J$2:$J$2407,E$1)</f>
        <v>0</v>
      </c>
      <c r="F5" s="76">
        <f>SUMIFS('август 2025'!$G$2:$G$2407,'август 2025'!$D$2:$D$2407,$B5,'август 2025'!$J$2:$J$2407,F$1)</f>
        <v>0</v>
      </c>
      <c r="G5" s="76">
        <f>SUMIFS('август 2025'!$G$2:$G$2407,'август 2025'!$D$2:$D$2407,$B5,'август 2025'!$J$2:$J$2407,G$1)</f>
        <v>0</v>
      </c>
      <c r="H5" s="76">
        <f>SUMIFS('август 2025'!$G$2:$G$2407,'август 2025'!$D$2:$D$2407,$B5,'август 2025'!$J$2:$J$2407,H$1)</f>
        <v>0</v>
      </c>
      <c r="I5" s="76">
        <f>SUMIFS('август 2025'!$G$2:$G$2407,'август 2025'!$D$2:$D$2407,$B5,'август 2025'!$J$2:$J$2407,I$1)</f>
        <v>0</v>
      </c>
      <c r="J5" s="76">
        <f>SUMIFS('август 2025'!$G$2:$G$2407,'август 2025'!$D$2:$D$2407,$B5,'август 2025'!$J$2:$J$2407,J$1)</f>
        <v>0</v>
      </c>
      <c r="K5" s="76">
        <f>SUMIFS('август 2025'!$G$2:$G$2407,'август 2025'!$D$2:$D$2407,$B5,'август 2025'!$J$2:$J$2407,K$1)</f>
        <v>0</v>
      </c>
      <c r="L5" s="76">
        <f>SUMIFS('август 2025'!$G$2:$G$2407,'август 2025'!$D$2:$D$2407,$B5,'август 2025'!$J$2:$J$2407,L$1)</f>
        <v>0</v>
      </c>
      <c r="M5" s="76">
        <f>SUMIFS('август 2025'!$G$2:$G$2407,'август 2025'!$D$2:$D$2407,$B5,'август 2025'!$J$2:$J$2407,M$1)</f>
        <v>0</v>
      </c>
      <c r="N5" s="76">
        <f>SUMIFS('август 2025'!$G$2:$G$2407,'август 2025'!$D$2:$D$2407,$B5,'август 2025'!$J$2:$J$2407,N$1)</f>
        <v>0</v>
      </c>
      <c r="O5" s="76">
        <f>SUMIFS('август 2025'!$G$2:$G$2407,'август 2025'!$D$2:$D$2407,$B5,'август 2025'!$J$2:$J$2407,O$1)</f>
        <v>0</v>
      </c>
      <c r="P5" s="76">
        <f>SUMIFS('август 2025'!$G$2:$G$2407,'август 2025'!$D$2:$D$2407,$B5,'август 2025'!$J$2:$J$2407,P$1)</f>
        <v>0</v>
      </c>
      <c r="Q5" s="76">
        <f>SUMIFS('август 2025'!$G$2:$G$2407,'август 2025'!$D$2:$D$2407,$B5,'август 2025'!$J$2:$J$2407,Q$1)</f>
        <v>0</v>
      </c>
      <c r="R5" s="76">
        <f>SUMIFS('август 2025'!$G$2:$G$2407,'август 2025'!$D$2:$D$2407,$B5,'август 2025'!$J$2:$J$2407,R$1)</f>
        <v>0</v>
      </c>
      <c r="S5" s="76">
        <f>SUMIFS('август 2025'!$G$2:$G$2407,'август 2025'!$D$2:$D$2407,$B5,'август 2025'!$J$2:$J$2407,S$1)</f>
        <v>0</v>
      </c>
      <c r="T5" s="76">
        <f>SUMIFS('август 2025'!$G$2:$G$2407,'август 2025'!$D$2:$D$2407,$B5,'август 2025'!$J$2:$J$2407,T$1)</f>
        <v>0</v>
      </c>
      <c r="U5" s="76">
        <f>SUMIFS('август 2025'!$G$2:$G$2407,'август 2025'!$D$2:$D$2407,$B5,'август 2025'!$J$2:$J$2407,U$1)</f>
        <v>0</v>
      </c>
      <c r="V5" s="76">
        <f>SUMIFS('август 2025'!$G$2:$G$2407,'август 2025'!$D$2:$D$2407,$B5,'август 2025'!$J$2:$J$2407,V$1)</f>
        <v>0</v>
      </c>
      <c r="W5" s="76">
        <f>SUMIFS('август 2025'!$G$2:$G$2407,'август 2025'!$D$2:$D$2407,$B5,'август 2025'!$J$2:$J$2407,W$1)</f>
        <v>0</v>
      </c>
      <c r="X5" s="76">
        <f>SUMIFS('август 2025'!$G$2:$G$2407,'август 2025'!$D$2:$D$2407,$B5,'август 2025'!$J$2:$J$2407,X$1)</f>
        <v>0</v>
      </c>
      <c r="Y5" s="76">
        <f>SUMIFS('август 2025'!$G$2:$G$2407,'август 2025'!$D$2:$D$2407,$B5,'август 2025'!$J$2:$J$2407,Y$1)</f>
        <v>0</v>
      </c>
      <c r="Z5" s="76">
        <f>SUMIFS('август 2025'!$G$2:$G$2407,'август 2025'!$D$2:$D$2407,$B5,'август 2025'!$J$2:$J$2407,Z$1)</f>
        <v>0</v>
      </c>
      <c r="AA5" s="76">
        <f>SUMIFS('август 2025'!$G$2:$G$2407,'август 2025'!$D$2:$D$2407,$B5,'август 2025'!$J$2:$J$2407,AA$1)</f>
        <v>0</v>
      </c>
      <c r="AB5" s="76">
        <f>SUMIFS('август 2025'!$G$2:$G$2407,'август 2025'!$D$2:$D$2407,$B5,'август 2025'!$J$2:$J$2407,AB$1)</f>
        <v>0</v>
      </c>
      <c r="AC5" s="76">
        <f>SUMIFS('август 2025'!$G$2:$G$2407,'август 2025'!$D$2:$D$2407,$B5,'август 2025'!$J$2:$J$2407,AC$1)</f>
        <v>0</v>
      </c>
      <c r="AD5" s="76">
        <f>SUMIFS('август 2025'!$G$2:$G$2407,'август 2025'!$D$2:$D$2407,$B5,'август 2025'!$J$2:$J$2407,AD$1)</f>
        <v>0</v>
      </c>
      <c r="AE5" s="76">
        <f>SUMIFS('август 2025'!$G$2:$G$2407,'август 2025'!$D$2:$D$2407,$B5,'август 2025'!$J$2:$J$2407,AE$1)</f>
        <v>0</v>
      </c>
      <c r="AF5" s="76">
        <f>SUMIFS('август 2025'!$G$2:$G$2407,'август 2025'!$D$2:$D$2407,$B5,'август 2025'!$J$2:$J$2407,AF$1)</f>
        <v>0</v>
      </c>
      <c r="AG5" s="76">
        <f>SUMIFS('август 2025'!$G$2:$G$2407,'август 2025'!$D$2:$D$2407,$B5,'август 2025'!$J$2:$J$2407,AG$1)</f>
        <v>0</v>
      </c>
      <c r="AH5" s="76">
        <f>SUMIFS('август 2025'!$G$2:$G$2407,'август 2025'!$D$2:$D$2407,$B5,'август 2025'!$J$2:$J$2407,AH$1)</f>
        <v>0</v>
      </c>
      <c r="AI5" s="20">
        <f t="shared" si="1"/>
        <v>0</v>
      </c>
    </row>
    <row r="6" spans="2:35" ht="15" customHeight="1" x14ac:dyDescent="0.25">
      <c r="B6" s="77" t="s">
        <v>216</v>
      </c>
      <c r="C6" s="78">
        <v>25</v>
      </c>
      <c r="D6" s="76">
        <f>SUMIFS('август 2025'!$G$2:$G$2407,'август 2025'!$D$2:$D$2407,$B6,'август 2025'!$J$2:$J$2407,D$1)</f>
        <v>0</v>
      </c>
      <c r="E6" s="76">
        <f>SUMIFS('август 2025'!$G$2:$G$2407,'август 2025'!$D$2:$D$2407,$B6,'август 2025'!$J$2:$J$2407,E$1)</f>
        <v>0</v>
      </c>
      <c r="F6" s="76">
        <f>SUMIFS('август 2025'!$G$2:$G$2407,'август 2025'!$D$2:$D$2407,$B6,'август 2025'!$J$2:$J$2407,F$1)</f>
        <v>0</v>
      </c>
      <c r="G6" s="76">
        <f>SUMIFS('август 2025'!$G$2:$G$2407,'август 2025'!$D$2:$D$2407,$B6,'август 2025'!$J$2:$J$2407,G$1)</f>
        <v>0</v>
      </c>
      <c r="H6" s="76">
        <f>SUMIFS('август 2025'!$G$2:$G$2407,'август 2025'!$D$2:$D$2407,$B6,'август 2025'!$J$2:$J$2407,H$1)</f>
        <v>0</v>
      </c>
      <c r="I6" s="76">
        <f>SUMIFS('август 2025'!$G$2:$G$2407,'август 2025'!$D$2:$D$2407,$B6,'август 2025'!$J$2:$J$2407,I$1)</f>
        <v>0</v>
      </c>
      <c r="J6" s="76">
        <f>SUMIFS('август 2025'!$G$2:$G$2407,'август 2025'!$D$2:$D$2407,$B6,'август 2025'!$J$2:$J$2407,J$1)</f>
        <v>0</v>
      </c>
      <c r="K6" s="76">
        <f>SUMIFS('август 2025'!$G$2:$G$2407,'август 2025'!$D$2:$D$2407,$B6,'август 2025'!$J$2:$J$2407,K$1)</f>
        <v>0</v>
      </c>
      <c r="L6" s="76">
        <f>SUMIFS('август 2025'!$G$2:$G$2407,'август 2025'!$D$2:$D$2407,$B6,'август 2025'!$J$2:$J$2407,L$1)</f>
        <v>0</v>
      </c>
      <c r="M6" s="76">
        <f>SUMIFS('август 2025'!$G$2:$G$2407,'август 2025'!$D$2:$D$2407,$B6,'август 2025'!$J$2:$J$2407,M$1)</f>
        <v>0</v>
      </c>
      <c r="N6" s="76">
        <f>SUMIFS('август 2025'!$G$2:$G$2407,'август 2025'!$D$2:$D$2407,$B6,'август 2025'!$J$2:$J$2407,N$1)</f>
        <v>0</v>
      </c>
      <c r="O6" s="76">
        <f>SUMIFS('август 2025'!$G$2:$G$2407,'август 2025'!$D$2:$D$2407,$B6,'август 2025'!$J$2:$J$2407,O$1)</f>
        <v>0</v>
      </c>
      <c r="P6" s="76">
        <f>SUMIFS('август 2025'!$G$2:$G$2407,'август 2025'!$D$2:$D$2407,$B6,'август 2025'!$J$2:$J$2407,P$1)</f>
        <v>0</v>
      </c>
      <c r="Q6" s="76">
        <f>SUMIFS('август 2025'!$G$2:$G$2407,'август 2025'!$D$2:$D$2407,$B6,'август 2025'!$J$2:$J$2407,Q$1)</f>
        <v>0</v>
      </c>
      <c r="R6" s="76">
        <f>SUMIFS('август 2025'!$G$2:$G$2407,'август 2025'!$D$2:$D$2407,$B6,'август 2025'!$J$2:$J$2407,R$1)</f>
        <v>0</v>
      </c>
      <c r="S6" s="76">
        <f>SUMIFS('август 2025'!$G$2:$G$2407,'август 2025'!$D$2:$D$2407,$B6,'август 2025'!$J$2:$J$2407,S$1)</f>
        <v>0</v>
      </c>
      <c r="T6" s="76">
        <f>SUMIFS('август 2025'!$G$2:$G$2407,'август 2025'!$D$2:$D$2407,$B6,'август 2025'!$J$2:$J$2407,T$1)</f>
        <v>0</v>
      </c>
      <c r="U6" s="76">
        <f>SUMIFS('август 2025'!$G$2:$G$2407,'август 2025'!$D$2:$D$2407,$B6,'август 2025'!$J$2:$J$2407,U$1)</f>
        <v>0</v>
      </c>
      <c r="V6" s="76">
        <f>SUMIFS('август 2025'!$G$2:$G$2407,'август 2025'!$D$2:$D$2407,$B6,'август 2025'!$J$2:$J$2407,V$1)</f>
        <v>0</v>
      </c>
      <c r="W6" s="76">
        <f>SUMIFS('август 2025'!$G$2:$G$2407,'август 2025'!$D$2:$D$2407,$B6,'август 2025'!$J$2:$J$2407,W$1)</f>
        <v>0</v>
      </c>
      <c r="X6" s="76">
        <f>SUMIFS('август 2025'!$G$2:$G$2407,'август 2025'!$D$2:$D$2407,$B6,'август 2025'!$J$2:$J$2407,X$1)</f>
        <v>0</v>
      </c>
      <c r="Y6" s="76">
        <f>SUMIFS('август 2025'!$G$2:$G$2407,'август 2025'!$D$2:$D$2407,$B6,'август 2025'!$J$2:$J$2407,Y$1)</f>
        <v>0</v>
      </c>
      <c r="Z6" s="76">
        <f>SUMIFS('август 2025'!$G$2:$G$2407,'август 2025'!$D$2:$D$2407,$B6,'август 2025'!$J$2:$J$2407,Z$1)</f>
        <v>0</v>
      </c>
      <c r="AA6" s="76">
        <f>SUMIFS('август 2025'!$G$2:$G$2407,'август 2025'!$D$2:$D$2407,$B6,'август 2025'!$J$2:$J$2407,AA$1)</f>
        <v>0</v>
      </c>
      <c r="AB6" s="76">
        <f>SUMIFS('август 2025'!$G$2:$G$2407,'август 2025'!$D$2:$D$2407,$B6,'август 2025'!$J$2:$J$2407,AB$1)</f>
        <v>0</v>
      </c>
      <c r="AC6" s="76">
        <f>SUMIFS('август 2025'!$G$2:$G$2407,'август 2025'!$D$2:$D$2407,$B6,'август 2025'!$J$2:$J$2407,AC$1)</f>
        <v>0</v>
      </c>
      <c r="AD6" s="76">
        <f>SUMIFS('август 2025'!$G$2:$G$2407,'август 2025'!$D$2:$D$2407,$B6,'август 2025'!$J$2:$J$2407,AD$1)</f>
        <v>0</v>
      </c>
      <c r="AE6" s="76">
        <f>SUMIFS('август 2025'!$G$2:$G$2407,'август 2025'!$D$2:$D$2407,$B6,'август 2025'!$J$2:$J$2407,AE$1)</f>
        <v>0</v>
      </c>
      <c r="AF6" s="76">
        <f>SUMIFS('август 2025'!$G$2:$G$2407,'август 2025'!$D$2:$D$2407,$B6,'август 2025'!$J$2:$J$2407,AF$1)</f>
        <v>0</v>
      </c>
      <c r="AG6" s="76">
        <f>SUMIFS('август 2025'!$G$2:$G$2407,'август 2025'!$D$2:$D$2407,$B6,'август 2025'!$J$2:$J$2407,AG$1)</f>
        <v>0</v>
      </c>
      <c r="AH6" s="76">
        <f>SUMIFS('август 2025'!$G$2:$G$2407,'август 2025'!$D$2:$D$2407,$B6,'август 2025'!$J$2:$J$2407,AH$1)</f>
        <v>0</v>
      </c>
      <c r="AI6" s="20">
        <f t="shared" si="1"/>
        <v>0</v>
      </c>
    </row>
    <row r="7" spans="2:35" ht="15" customHeight="1" x14ac:dyDescent="0.25">
      <c r="B7" s="77" t="s">
        <v>218</v>
      </c>
      <c r="C7" s="78">
        <v>22.7</v>
      </c>
      <c r="D7" s="76">
        <f>SUMIFS('август 2025'!$G$2:$G$2407,'август 2025'!$D$2:$D$2407,$B7,'август 2025'!$J$2:$J$2407,D$1)</f>
        <v>0</v>
      </c>
      <c r="E7" s="76">
        <f>SUMIFS('август 2025'!$G$2:$G$2407,'август 2025'!$D$2:$D$2407,$B7,'август 2025'!$J$2:$J$2407,E$1)</f>
        <v>0</v>
      </c>
      <c r="F7" s="76">
        <f>SUMIFS('август 2025'!$G$2:$G$2407,'август 2025'!$D$2:$D$2407,$B7,'август 2025'!$J$2:$J$2407,F$1)</f>
        <v>0</v>
      </c>
      <c r="G7" s="76">
        <f>SUMIFS('август 2025'!$G$2:$G$2407,'август 2025'!$D$2:$D$2407,$B7,'август 2025'!$J$2:$J$2407,G$1)</f>
        <v>0</v>
      </c>
      <c r="H7" s="76">
        <f>SUMIFS('август 2025'!$G$2:$G$2407,'август 2025'!$D$2:$D$2407,$B7,'август 2025'!$J$2:$J$2407,H$1)</f>
        <v>0</v>
      </c>
      <c r="I7" s="76">
        <f>SUMIFS('август 2025'!$G$2:$G$2407,'август 2025'!$D$2:$D$2407,$B7,'август 2025'!$J$2:$J$2407,I$1)</f>
        <v>0</v>
      </c>
      <c r="J7" s="76">
        <f>SUMIFS('август 2025'!$G$2:$G$2407,'август 2025'!$D$2:$D$2407,$B7,'август 2025'!$J$2:$J$2407,J$1)</f>
        <v>0</v>
      </c>
      <c r="K7" s="76">
        <f>SUMIFS('август 2025'!$G$2:$G$2407,'август 2025'!$D$2:$D$2407,$B7,'август 2025'!$J$2:$J$2407,K$1)</f>
        <v>0</v>
      </c>
      <c r="L7" s="76">
        <f>SUMIFS('август 2025'!$G$2:$G$2407,'август 2025'!$D$2:$D$2407,$B7,'август 2025'!$J$2:$J$2407,L$1)</f>
        <v>0</v>
      </c>
      <c r="M7" s="76">
        <f>SUMIFS('август 2025'!$G$2:$G$2407,'август 2025'!$D$2:$D$2407,$B7,'август 2025'!$J$2:$J$2407,M$1)</f>
        <v>0</v>
      </c>
      <c r="N7" s="76">
        <f>SUMIFS('август 2025'!$G$2:$G$2407,'август 2025'!$D$2:$D$2407,$B7,'август 2025'!$J$2:$J$2407,N$1)</f>
        <v>0</v>
      </c>
      <c r="O7" s="76">
        <f>SUMIFS('август 2025'!$G$2:$G$2407,'август 2025'!$D$2:$D$2407,$B7,'август 2025'!$J$2:$J$2407,O$1)</f>
        <v>0</v>
      </c>
      <c r="P7" s="76">
        <f>SUMIFS('август 2025'!$G$2:$G$2407,'август 2025'!$D$2:$D$2407,$B7,'август 2025'!$J$2:$J$2407,P$1)</f>
        <v>0</v>
      </c>
      <c r="Q7" s="76">
        <f>SUMIFS('август 2025'!$G$2:$G$2407,'август 2025'!$D$2:$D$2407,$B7,'август 2025'!$J$2:$J$2407,Q$1)</f>
        <v>0</v>
      </c>
      <c r="R7" s="76">
        <f>SUMIFS('август 2025'!$G$2:$G$2407,'август 2025'!$D$2:$D$2407,$B7,'август 2025'!$J$2:$J$2407,R$1)</f>
        <v>0</v>
      </c>
      <c r="S7" s="76">
        <f>SUMIFS('август 2025'!$G$2:$G$2407,'август 2025'!$D$2:$D$2407,$B7,'август 2025'!$J$2:$J$2407,S$1)</f>
        <v>0</v>
      </c>
      <c r="T7" s="76">
        <f>SUMIFS('август 2025'!$G$2:$G$2407,'август 2025'!$D$2:$D$2407,$B7,'август 2025'!$J$2:$J$2407,T$1)</f>
        <v>0</v>
      </c>
      <c r="U7" s="76">
        <f>SUMIFS('август 2025'!$G$2:$G$2407,'август 2025'!$D$2:$D$2407,$B7,'август 2025'!$J$2:$J$2407,U$1)</f>
        <v>600</v>
      </c>
      <c r="V7" s="76">
        <f>SUMIFS('август 2025'!$G$2:$G$2407,'август 2025'!$D$2:$D$2407,$B7,'август 2025'!$J$2:$J$2407,V$1)</f>
        <v>0</v>
      </c>
      <c r="W7" s="76">
        <f>SUMIFS('август 2025'!$G$2:$G$2407,'август 2025'!$D$2:$D$2407,$B7,'август 2025'!$J$2:$J$2407,W$1)</f>
        <v>0</v>
      </c>
      <c r="X7" s="76">
        <f>SUMIFS('август 2025'!$G$2:$G$2407,'август 2025'!$D$2:$D$2407,$B7,'август 2025'!$J$2:$J$2407,X$1)</f>
        <v>0</v>
      </c>
      <c r="Y7" s="76">
        <f>SUMIFS('август 2025'!$G$2:$G$2407,'август 2025'!$D$2:$D$2407,$B7,'август 2025'!$J$2:$J$2407,Y$1)</f>
        <v>0</v>
      </c>
      <c r="Z7" s="76">
        <f>SUMIFS('август 2025'!$G$2:$G$2407,'август 2025'!$D$2:$D$2407,$B7,'август 2025'!$J$2:$J$2407,Z$1)</f>
        <v>0</v>
      </c>
      <c r="AA7" s="76">
        <f>SUMIFS('август 2025'!$G$2:$G$2407,'август 2025'!$D$2:$D$2407,$B7,'август 2025'!$J$2:$J$2407,AA$1)</f>
        <v>0</v>
      </c>
      <c r="AB7" s="76">
        <f>SUMIFS('август 2025'!$G$2:$G$2407,'август 2025'!$D$2:$D$2407,$B7,'август 2025'!$J$2:$J$2407,AB$1)</f>
        <v>0</v>
      </c>
      <c r="AC7" s="76">
        <f>SUMIFS('август 2025'!$G$2:$G$2407,'август 2025'!$D$2:$D$2407,$B7,'август 2025'!$J$2:$J$2407,AC$1)</f>
        <v>0</v>
      </c>
      <c r="AD7" s="76">
        <f>SUMIFS('август 2025'!$G$2:$G$2407,'август 2025'!$D$2:$D$2407,$B7,'август 2025'!$J$2:$J$2407,AD$1)</f>
        <v>0</v>
      </c>
      <c r="AE7" s="76">
        <f>SUMIFS('август 2025'!$G$2:$G$2407,'август 2025'!$D$2:$D$2407,$B7,'август 2025'!$J$2:$J$2407,AE$1)</f>
        <v>0</v>
      </c>
      <c r="AF7" s="76">
        <f>SUMIFS('август 2025'!$G$2:$G$2407,'август 2025'!$D$2:$D$2407,$B7,'август 2025'!$J$2:$J$2407,AF$1)</f>
        <v>0</v>
      </c>
      <c r="AG7" s="76">
        <f>SUMIFS('август 2025'!$G$2:$G$2407,'август 2025'!$D$2:$D$2407,$B7,'август 2025'!$J$2:$J$2407,AG$1)</f>
        <v>0</v>
      </c>
      <c r="AH7" s="76">
        <f>SUMIFS('август 2025'!$G$2:$G$2407,'август 2025'!$D$2:$D$2407,$B7,'август 2025'!$J$2:$J$2407,AH$1)</f>
        <v>0</v>
      </c>
      <c r="AI7" s="20">
        <f t="shared" si="1"/>
        <v>600</v>
      </c>
    </row>
    <row r="8" spans="2:35" ht="15" customHeight="1" x14ac:dyDescent="0.25">
      <c r="B8" s="77" t="s">
        <v>220</v>
      </c>
      <c r="C8" s="78">
        <v>22.7</v>
      </c>
      <c r="D8" s="76">
        <f>SUMIFS('август 2025'!$G$2:$G$2407,'август 2025'!$D$2:$D$2407,$B8,'август 2025'!$J$2:$J$2407,D$1)</f>
        <v>0</v>
      </c>
      <c r="E8" s="76">
        <f>SUMIFS('август 2025'!$G$2:$G$2407,'август 2025'!$D$2:$D$2407,$B8,'август 2025'!$J$2:$J$2407,E$1)</f>
        <v>0</v>
      </c>
      <c r="F8" s="76">
        <f>SUMIFS('август 2025'!$G$2:$G$2407,'август 2025'!$D$2:$D$2407,$B8,'август 2025'!$J$2:$J$2407,F$1)</f>
        <v>0</v>
      </c>
      <c r="G8" s="76">
        <f>SUMIFS('август 2025'!$G$2:$G$2407,'август 2025'!$D$2:$D$2407,$B8,'август 2025'!$J$2:$J$2407,G$1)</f>
        <v>0</v>
      </c>
      <c r="H8" s="76">
        <f>SUMIFS('август 2025'!$G$2:$G$2407,'август 2025'!$D$2:$D$2407,$B8,'август 2025'!$J$2:$J$2407,H$1)</f>
        <v>0</v>
      </c>
      <c r="I8" s="76">
        <f>SUMIFS('август 2025'!$G$2:$G$2407,'август 2025'!$D$2:$D$2407,$B8,'август 2025'!$J$2:$J$2407,I$1)</f>
        <v>0</v>
      </c>
      <c r="J8" s="76">
        <f>SUMIFS('август 2025'!$G$2:$G$2407,'август 2025'!$D$2:$D$2407,$B8,'август 2025'!$J$2:$J$2407,J$1)</f>
        <v>0</v>
      </c>
      <c r="K8" s="76">
        <f>SUMIFS('август 2025'!$G$2:$G$2407,'август 2025'!$D$2:$D$2407,$B8,'август 2025'!$J$2:$J$2407,K$1)</f>
        <v>0</v>
      </c>
      <c r="L8" s="76">
        <f>SUMIFS('август 2025'!$G$2:$G$2407,'август 2025'!$D$2:$D$2407,$B8,'август 2025'!$J$2:$J$2407,L$1)</f>
        <v>0</v>
      </c>
      <c r="M8" s="76">
        <f>SUMIFS('август 2025'!$G$2:$G$2407,'август 2025'!$D$2:$D$2407,$B8,'август 2025'!$J$2:$J$2407,M$1)</f>
        <v>0</v>
      </c>
      <c r="N8" s="76">
        <f>SUMIFS('август 2025'!$G$2:$G$2407,'август 2025'!$D$2:$D$2407,$B8,'август 2025'!$J$2:$J$2407,N$1)</f>
        <v>0</v>
      </c>
      <c r="O8" s="76">
        <f>SUMIFS('август 2025'!$G$2:$G$2407,'август 2025'!$D$2:$D$2407,$B8,'август 2025'!$J$2:$J$2407,O$1)</f>
        <v>0</v>
      </c>
      <c r="P8" s="76">
        <f>SUMIFS('август 2025'!$G$2:$G$2407,'август 2025'!$D$2:$D$2407,$B8,'август 2025'!$J$2:$J$2407,P$1)</f>
        <v>0</v>
      </c>
      <c r="Q8" s="76">
        <f>SUMIFS('август 2025'!$G$2:$G$2407,'август 2025'!$D$2:$D$2407,$B8,'август 2025'!$J$2:$J$2407,Q$1)</f>
        <v>0</v>
      </c>
      <c r="R8" s="76">
        <f>SUMIFS('август 2025'!$G$2:$G$2407,'август 2025'!$D$2:$D$2407,$B8,'август 2025'!$J$2:$J$2407,R$1)</f>
        <v>0</v>
      </c>
      <c r="S8" s="76">
        <f>SUMIFS('август 2025'!$G$2:$G$2407,'август 2025'!$D$2:$D$2407,$B8,'август 2025'!$J$2:$J$2407,S$1)</f>
        <v>0</v>
      </c>
      <c r="T8" s="76">
        <f>SUMIFS('август 2025'!$G$2:$G$2407,'август 2025'!$D$2:$D$2407,$B8,'август 2025'!$J$2:$J$2407,T$1)</f>
        <v>0</v>
      </c>
      <c r="U8" s="76">
        <f>SUMIFS('август 2025'!$G$2:$G$2407,'август 2025'!$D$2:$D$2407,$B8,'август 2025'!$J$2:$J$2407,U$1)</f>
        <v>0</v>
      </c>
      <c r="V8" s="76">
        <f>SUMIFS('август 2025'!$G$2:$G$2407,'август 2025'!$D$2:$D$2407,$B8,'август 2025'!$J$2:$J$2407,V$1)</f>
        <v>0</v>
      </c>
      <c r="W8" s="76">
        <f>SUMIFS('август 2025'!$G$2:$G$2407,'август 2025'!$D$2:$D$2407,$B8,'август 2025'!$J$2:$J$2407,W$1)</f>
        <v>0</v>
      </c>
      <c r="X8" s="76">
        <f>SUMIFS('август 2025'!$G$2:$G$2407,'август 2025'!$D$2:$D$2407,$B8,'август 2025'!$J$2:$J$2407,X$1)</f>
        <v>0</v>
      </c>
      <c r="Y8" s="76">
        <f>SUMIFS('август 2025'!$G$2:$G$2407,'август 2025'!$D$2:$D$2407,$B8,'август 2025'!$J$2:$J$2407,Y$1)</f>
        <v>0</v>
      </c>
      <c r="Z8" s="76">
        <f>SUMIFS('август 2025'!$G$2:$G$2407,'август 2025'!$D$2:$D$2407,$B8,'август 2025'!$J$2:$J$2407,Z$1)</f>
        <v>0</v>
      </c>
      <c r="AA8" s="76">
        <f>SUMIFS('август 2025'!$G$2:$G$2407,'август 2025'!$D$2:$D$2407,$B8,'август 2025'!$J$2:$J$2407,AA$1)</f>
        <v>0</v>
      </c>
      <c r="AB8" s="76">
        <f>SUMIFS('август 2025'!$G$2:$G$2407,'август 2025'!$D$2:$D$2407,$B8,'август 2025'!$J$2:$J$2407,AB$1)</f>
        <v>0</v>
      </c>
      <c r="AC8" s="76">
        <f>SUMIFS('август 2025'!$G$2:$G$2407,'август 2025'!$D$2:$D$2407,$B8,'август 2025'!$J$2:$J$2407,AC$1)</f>
        <v>0</v>
      </c>
      <c r="AD8" s="76">
        <f>SUMIFS('август 2025'!$G$2:$G$2407,'август 2025'!$D$2:$D$2407,$B8,'август 2025'!$J$2:$J$2407,AD$1)</f>
        <v>0</v>
      </c>
      <c r="AE8" s="76">
        <f>SUMIFS('август 2025'!$G$2:$G$2407,'август 2025'!$D$2:$D$2407,$B8,'август 2025'!$J$2:$J$2407,AE$1)</f>
        <v>0</v>
      </c>
      <c r="AF8" s="76">
        <f>SUMIFS('август 2025'!$G$2:$G$2407,'август 2025'!$D$2:$D$2407,$B8,'август 2025'!$J$2:$J$2407,AF$1)</f>
        <v>0</v>
      </c>
      <c r="AG8" s="76">
        <f>SUMIFS('август 2025'!$G$2:$G$2407,'август 2025'!$D$2:$D$2407,$B8,'август 2025'!$J$2:$J$2407,AG$1)</f>
        <v>0</v>
      </c>
      <c r="AH8" s="76">
        <f>SUMIFS('август 2025'!$G$2:$G$2407,'август 2025'!$D$2:$D$2407,$B8,'август 2025'!$J$2:$J$2407,AH$1)</f>
        <v>0</v>
      </c>
      <c r="AI8" s="20">
        <f t="shared" si="1"/>
        <v>0</v>
      </c>
    </row>
    <row r="9" spans="2:35" ht="15" customHeight="1" x14ac:dyDescent="0.25">
      <c r="B9" s="79" t="s">
        <v>222</v>
      </c>
      <c r="C9" s="78">
        <v>25</v>
      </c>
      <c r="D9" s="76">
        <f>SUMIFS('август 2025'!$G$2:$G$2407,'август 2025'!$D$2:$D$2407,$B9,'август 2025'!$J$2:$J$2407,D$1)</f>
        <v>0</v>
      </c>
      <c r="E9" s="76">
        <f>SUMIFS('август 2025'!$G$2:$G$2407,'август 2025'!$D$2:$D$2407,$B9,'август 2025'!$J$2:$J$2407,E$1)</f>
        <v>0</v>
      </c>
      <c r="F9" s="76">
        <f>SUMIFS('август 2025'!$G$2:$G$2407,'август 2025'!$D$2:$D$2407,$B9,'август 2025'!$J$2:$J$2407,F$1)</f>
        <v>0</v>
      </c>
      <c r="G9" s="76">
        <f>SUMIFS('август 2025'!$G$2:$G$2407,'август 2025'!$D$2:$D$2407,$B9,'август 2025'!$J$2:$J$2407,G$1)</f>
        <v>0</v>
      </c>
      <c r="H9" s="76">
        <f>SUMIFS('август 2025'!$G$2:$G$2407,'август 2025'!$D$2:$D$2407,$B9,'август 2025'!$J$2:$J$2407,H$1)</f>
        <v>0</v>
      </c>
      <c r="I9" s="76">
        <f>SUMIFS('август 2025'!$G$2:$G$2407,'август 2025'!$D$2:$D$2407,$B9,'август 2025'!$J$2:$J$2407,I$1)</f>
        <v>0</v>
      </c>
      <c r="J9" s="76">
        <f>SUMIFS('август 2025'!$G$2:$G$2407,'август 2025'!$D$2:$D$2407,$B9,'август 2025'!$J$2:$J$2407,J$1)</f>
        <v>0</v>
      </c>
      <c r="K9" s="76">
        <f>SUMIFS('август 2025'!$G$2:$G$2407,'август 2025'!$D$2:$D$2407,$B9,'август 2025'!$J$2:$J$2407,K$1)</f>
        <v>0</v>
      </c>
      <c r="L9" s="76">
        <f>SUMIFS('август 2025'!$G$2:$G$2407,'август 2025'!$D$2:$D$2407,$B9,'август 2025'!$J$2:$J$2407,L$1)</f>
        <v>0</v>
      </c>
      <c r="M9" s="76">
        <f>SUMIFS('август 2025'!$G$2:$G$2407,'август 2025'!$D$2:$D$2407,$B9,'август 2025'!$J$2:$J$2407,M$1)</f>
        <v>0</v>
      </c>
      <c r="N9" s="76">
        <f>SUMIFS('август 2025'!$G$2:$G$2407,'август 2025'!$D$2:$D$2407,$B9,'август 2025'!$J$2:$J$2407,N$1)</f>
        <v>0</v>
      </c>
      <c r="O9" s="76">
        <f>SUMIFS('август 2025'!$G$2:$G$2407,'август 2025'!$D$2:$D$2407,$B9,'август 2025'!$J$2:$J$2407,O$1)</f>
        <v>0</v>
      </c>
      <c r="P9" s="76">
        <f>SUMIFS('август 2025'!$G$2:$G$2407,'август 2025'!$D$2:$D$2407,$B9,'август 2025'!$J$2:$J$2407,P$1)</f>
        <v>0</v>
      </c>
      <c r="Q9" s="76">
        <f>SUMIFS('август 2025'!$G$2:$G$2407,'август 2025'!$D$2:$D$2407,$B9,'август 2025'!$J$2:$J$2407,Q$1)</f>
        <v>0</v>
      </c>
      <c r="R9" s="76">
        <f>SUMIFS('август 2025'!$G$2:$G$2407,'август 2025'!$D$2:$D$2407,$B9,'август 2025'!$J$2:$J$2407,R$1)</f>
        <v>0</v>
      </c>
      <c r="S9" s="76">
        <f>SUMIFS('август 2025'!$G$2:$G$2407,'август 2025'!$D$2:$D$2407,$B9,'август 2025'!$J$2:$J$2407,S$1)</f>
        <v>0</v>
      </c>
      <c r="T9" s="76">
        <f>SUMIFS('август 2025'!$G$2:$G$2407,'август 2025'!$D$2:$D$2407,$B9,'август 2025'!$J$2:$J$2407,T$1)</f>
        <v>0</v>
      </c>
      <c r="U9" s="76">
        <f>SUMIFS('август 2025'!$G$2:$G$2407,'август 2025'!$D$2:$D$2407,$B9,'август 2025'!$J$2:$J$2407,U$1)</f>
        <v>0</v>
      </c>
      <c r="V9" s="76">
        <f>SUMIFS('август 2025'!$G$2:$G$2407,'август 2025'!$D$2:$D$2407,$B9,'август 2025'!$J$2:$J$2407,V$1)</f>
        <v>0</v>
      </c>
      <c r="W9" s="76">
        <f>SUMIFS('август 2025'!$G$2:$G$2407,'август 2025'!$D$2:$D$2407,$B9,'август 2025'!$J$2:$J$2407,W$1)</f>
        <v>0</v>
      </c>
      <c r="X9" s="76">
        <f>SUMIFS('август 2025'!$G$2:$G$2407,'август 2025'!$D$2:$D$2407,$B9,'август 2025'!$J$2:$J$2407,X$1)</f>
        <v>0</v>
      </c>
      <c r="Y9" s="76">
        <f>SUMIFS('август 2025'!$G$2:$G$2407,'август 2025'!$D$2:$D$2407,$B9,'август 2025'!$J$2:$J$2407,Y$1)</f>
        <v>0</v>
      </c>
      <c r="Z9" s="76">
        <f>SUMIFS('август 2025'!$G$2:$G$2407,'август 2025'!$D$2:$D$2407,$B9,'август 2025'!$J$2:$J$2407,Z$1)</f>
        <v>0</v>
      </c>
      <c r="AA9" s="76">
        <f>SUMIFS('август 2025'!$G$2:$G$2407,'август 2025'!$D$2:$D$2407,$B9,'август 2025'!$J$2:$J$2407,AA$1)</f>
        <v>0</v>
      </c>
      <c r="AB9" s="76">
        <f>SUMIFS('август 2025'!$G$2:$G$2407,'август 2025'!$D$2:$D$2407,$B9,'август 2025'!$J$2:$J$2407,AB$1)</f>
        <v>0</v>
      </c>
      <c r="AC9" s="76">
        <f>SUMIFS('август 2025'!$G$2:$G$2407,'август 2025'!$D$2:$D$2407,$B9,'август 2025'!$J$2:$J$2407,AC$1)</f>
        <v>0</v>
      </c>
      <c r="AD9" s="76">
        <f>SUMIFS('август 2025'!$G$2:$G$2407,'август 2025'!$D$2:$D$2407,$B9,'август 2025'!$J$2:$J$2407,AD$1)</f>
        <v>0</v>
      </c>
      <c r="AE9" s="76">
        <f>SUMIFS('август 2025'!$G$2:$G$2407,'август 2025'!$D$2:$D$2407,$B9,'август 2025'!$J$2:$J$2407,AE$1)</f>
        <v>0</v>
      </c>
      <c r="AF9" s="76">
        <f>SUMIFS('август 2025'!$G$2:$G$2407,'август 2025'!$D$2:$D$2407,$B9,'август 2025'!$J$2:$J$2407,AF$1)</f>
        <v>0</v>
      </c>
      <c r="AG9" s="76">
        <f>SUMIFS('август 2025'!$G$2:$G$2407,'август 2025'!$D$2:$D$2407,$B9,'август 2025'!$J$2:$J$2407,AG$1)</f>
        <v>0</v>
      </c>
      <c r="AH9" s="76">
        <f>SUMIFS('август 2025'!$G$2:$G$2407,'август 2025'!$D$2:$D$2407,$B9,'август 2025'!$J$2:$J$2407,AH$1)</f>
        <v>0</v>
      </c>
      <c r="AI9" s="20">
        <f t="shared" si="1"/>
        <v>0</v>
      </c>
    </row>
    <row r="10" spans="2:35" ht="15" customHeight="1" x14ac:dyDescent="0.25">
      <c r="B10" s="77" t="s">
        <v>224</v>
      </c>
      <c r="C10" s="78">
        <v>25</v>
      </c>
      <c r="D10" s="76">
        <f>SUMIFS('август 2025'!$G$2:$G$2407,'август 2025'!$D$2:$D$2407,$B10,'август 2025'!$J$2:$J$2407,D$1)</f>
        <v>0</v>
      </c>
      <c r="E10" s="76">
        <f>SUMIFS('август 2025'!$G$2:$G$2407,'август 2025'!$D$2:$D$2407,$B10,'август 2025'!$J$2:$J$2407,E$1)</f>
        <v>0</v>
      </c>
      <c r="F10" s="76">
        <f>SUMIFS('август 2025'!$G$2:$G$2407,'август 2025'!$D$2:$D$2407,$B10,'август 2025'!$J$2:$J$2407,F$1)</f>
        <v>0</v>
      </c>
      <c r="G10" s="76">
        <f>SUMIFS('август 2025'!$G$2:$G$2407,'август 2025'!$D$2:$D$2407,$B10,'август 2025'!$J$2:$J$2407,G$1)</f>
        <v>0</v>
      </c>
      <c r="H10" s="76">
        <f>SUMIFS('август 2025'!$G$2:$G$2407,'август 2025'!$D$2:$D$2407,$B10,'август 2025'!$J$2:$J$2407,H$1)</f>
        <v>0</v>
      </c>
      <c r="I10" s="76">
        <f>SUMIFS('август 2025'!$G$2:$G$2407,'август 2025'!$D$2:$D$2407,$B10,'август 2025'!$J$2:$J$2407,I$1)</f>
        <v>0</v>
      </c>
      <c r="J10" s="76">
        <f>SUMIFS('август 2025'!$G$2:$G$2407,'август 2025'!$D$2:$D$2407,$B10,'август 2025'!$J$2:$J$2407,J$1)</f>
        <v>0</v>
      </c>
      <c r="K10" s="76">
        <f>SUMIFS('август 2025'!$G$2:$G$2407,'август 2025'!$D$2:$D$2407,$B10,'август 2025'!$J$2:$J$2407,K$1)</f>
        <v>0</v>
      </c>
      <c r="L10" s="76">
        <f>SUMIFS('август 2025'!$G$2:$G$2407,'август 2025'!$D$2:$D$2407,$B10,'август 2025'!$J$2:$J$2407,L$1)</f>
        <v>0</v>
      </c>
      <c r="M10" s="76">
        <f>SUMIFS('август 2025'!$G$2:$G$2407,'август 2025'!$D$2:$D$2407,$B10,'август 2025'!$J$2:$J$2407,M$1)</f>
        <v>0</v>
      </c>
      <c r="N10" s="76">
        <f>SUMIFS('август 2025'!$G$2:$G$2407,'август 2025'!$D$2:$D$2407,$B10,'август 2025'!$J$2:$J$2407,N$1)</f>
        <v>0</v>
      </c>
      <c r="O10" s="76">
        <f>SUMIFS('август 2025'!$G$2:$G$2407,'август 2025'!$D$2:$D$2407,$B10,'август 2025'!$J$2:$J$2407,O$1)</f>
        <v>0</v>
      </c>
      <c r="P10" s="76">
        <f>SUMIFS('август 2025'!$G$2:$G$2407,'август 2025'!$D$2:$D$2407,$B10,'август 2025'!$J$2:$J$2407,P$1)</f>
        <v>0</v>
      </c>
      <c r="Q10" s="76">
        <f>SUMIFS('август 2025'!$G$2:$G$2407,'август 2025'!$D$2:$D$2407,$B10,'август 2025'!$J$2:$J$2407,Q$1)</f>
        <v>0</v>
      </c>
      <c r="R10" s="76">
        <f>SUMIFS('август 2025'!$G$2:$G$2407,'август 2025'!$D$2:$D$2407,$B10,'август 2025'!$J$2:$J$2407,R$1)</f>
        <v>0</v>
      </c>
      <c r="S10" s="76">
        <f>SUMIFS('август 2025'!$G$2:$G$2407,'август 2025'!$D$2:$D$2407,$B10,'август 2025'!$J$2:$J$2407,S$1)</f>
        <v>0</v>
      </c>
      <c r="T10" s="76">
        <f>SUMIFS('август 2025'!$G$2:$G$2407,'август 2025'!$D$2:$D$2407,$B10,'август 2025'!$J$2:$J$2407,T$1)</f>
        <v>0</v>
      </c>
      <c r="U10" s="76">
        <f>SUMIFS('август 2025'!$G$2:$G$2407,'август 2025'!$D$2:$D$2407,$B10,'август 2025'!$J$2:$J$2407,U$1)</f>
        <v>0</v>
      </c>
      <c r="V10" s="76">
        <f>SUMIFS('август 2025'!$G$2:$G$2407,'август 2025'!$D$2:$D$2407,$B10,'август 2025'!$J$2:$J$2407,V$1)</f>
        <v>0</v>
      </c>
      <c r="W10" s="76">
        <f>SUMIFS('август 2025'!$G$2:$G$2407,'август 2025'!$D$2:$D$2407,$B10,'август 2025'!$J$2:$J$2407,W$1)</f>
        <v>0</v>
      </c>
      <c r="X10" s="76">
        <f>SUMIFS('август 2025'!$G$2:$G$2407,'август 2025'!$D$2:$D$2407,$B10,'август 2025'!$J$2:$J$2407,X$1)</f>
        <v>0</v>
      </c>
      <c r="Y10" s="76">
        <f>SUMIFS('август 2025'!$G$2:$G$2407,'август 2025'!$D$2:$D$2407,$B10,'август 2025'!$J$2:$J$2407,Y$1)</f>
        <v>0</v>
      </c>
      <c r="Z10" s="76">
        <f>SUMIFS('август 2025'!$G$2:$G$2407,'август 2025'!$D$2:$D$2407,$B10,'август 2025'!$J$2:$J$2407,Z$1)</f>
        <v>0</v>
      </c>
      <c r="AA10" s="76">
        <f>SUMIFS('август 2025'!$G$2:$G$2407,'август 2025'!$D$2:$D$2407,$B10,'август 2025'!$J$2:$J$2407,AA$1)</f>
        <v>0</v>
      </c>
      <c r="AB10" s="76">
        <f>SUMIFS('август 2025'!$G$2:$G$2407,'август 2025'!$D$2:$D$2407,$B10,'август 2025'!$J$2:$J$2407,AB$1)</f>
        <v>0</v>
      </c>
      <c r="AC10" s="76">
        <f>SUMIFS('август 2025'!$G$2:$G$2407,'август 2025'!$D$2:$D$2407,$B10,'август 2025'!$J$2:$J$2407,AC$1)</f>
        <v>0</v>
      </c>
      <c r="AD10" s="76">
        <f>SUMIFS('август 2025'!$G$2:$G$2407,'август 2025'!$D$2:$D$2407,$B10,'август 2025'!$J$2:$J$2407,AD$1)</f>
        <v>0</v>
      </c>
      <c r="AE10" s="76">
        <f>SUMIFS('август 2025'!$G$2:$G$2407,'август 2025'!$D$2:$D$2407,$B10,'август 2025'!$J$2:$J$2407,AE$1)</f>
        <v>0</v>
      </c>
      <c r="AF10" s="76">
        <f>SUMIFS('август 2025'!$G$2:$G$2407,'август 2025'!$D$2:$D$2407,$B10,'август 2025'!$J$2:$J$2407,AF$1)</f>
        <v>0</v>
      </c>
      <c r="AG10" s="76">
        <f>SUMIFS('август 2025'!$G$2:$G$2407,'август 2025'!$D$2:$D$2407,$B10,'август 2025'!$J$2:$J$2407,AG$1)</f>
        <v>0</v>
      </c>
      <c r="AH10" s="76">
        <f>SUMIFS('август 2025'!$G$2:$G$2407,'август 2025'!$D$2:$D$2407,$B10,'август 2025'!$J$2:$J$2407,AH$1)</f>
        <v>0</v>
      </c>
      <c r="AI10" s="20">
        <f t="shared" si="1"/>
        <v>0</v>
      </c>
    </row>
    <row r="11" spans="2:35" ht="15" customHeight="1" x14ac:dyDescent="0.25">
      <c r="B11" s="77" t="s">
        <v>226</v>
      </c>
      <c r="C11" s="78">
        <v>25</v>
      </c>
      <c r="D11" s="76">
        <f>SUMIFS('август 2025'!$G$2:$G$2407,'август 2025'!$D$2:$D$2407,$B11,'август 2025'!$J$2:$J$2407,D$1)</f>
        <v>0</v>
      </c>
      <c r="E11" s="76">
        <f>SUMIFS('август 2025'!$G$2:$G$2407,'август 2025'!$D$2:$D$2407,$B11,'август 2025'!$J$2:$J$2407,E$1)</f>
        <v>0</v>
      </c>
      <c r="F11" s="76">
        <f>SUMIFS('август 2025'!$G$2:$G$2407,'август 2025'!$D$2:$D$2407,$B11,'август 2025'!$J$2:$J$2407,F$1)</f>
        <v>0</v>
      </c>
      <c r="G11" s="76">
        <f>SUMIFS('август 2025'!$G$2:$G$2407,'август 2025'!$D$2:$D$2407,$B11,'август 2025'!$J$2:$J$2407,G$1)</f>
        <v>0</v>
      </c>
      <c r="H11" s="76">
        <f>SUMIFS('август 2025'!$G$2:$G$2407,'август 2025'!$D$2:$D$2407,$B11,'август 2025'!$J$2:$J$2407,H$1)</f>
        <v>0</v>
      </c>
      <c r="I11" s="76">
        <f>SUMIFS('август 2025'!$G$2:$G$2407,'август 2025'!$D$2:$D$2407,$B11,'август 2025'!$J$2:$J$2407,I$1)</f>
        <v>0</v>
      </c>
      <c r="J11" s="76">
        <f>SUMIFS('август 2025'!$G$2:$G$2407,'август 2025'!$D$2:$D$2407,$B11,'август 2025'!$J$2:$J$2407,J$1)</f>
        <v>0</v>
      </c>
      <c r="K11" s="76">
        <f>SUMIFS('август 2025'!$G$2:$G$2407,'август 2025'!$D$2:$D$2407,$B11,'август 2025'!$J$2:$J$2407,K$1)</f>
        <v>0</v>
      </c>
      <c r="L11" s="76">
        <f>SUMIFS('август 2025'!$G$2:$G$2407,'август 2025'!$D$2:$D$2407,$B11,'август 2025'!$J$2:$J$2407,L$1)</f>
        <v>0</v>
      </c>
      <c r="M11" s="76">
        <f>SUMIFS('август 2025'!$G$2:$G$2407,'август 2025'!$D$2:$D$2407,$B11,'август 2025'!$J$2:$J$2407,M$1)</f>
        <v>0</v>
      </c>
      <c r="N11" s="76">
        <f>SUMIFS('август 2025'!$G$2:$G$2407,'август 2025'!$D$2:$D$2407,$B11,'август 2025'!$J$2:$J$2407,N$1)</f>
        <v>0</v>
      </c>
      <c r="O11" s="76">
        <f>SUMIFS('август 2025'!$G$2:$G$2407,'август 2025'!$D$2:$D$2407,$B11,'август 2025'!$J$2:$J$2407,O$1)</f>
        <v>0</v>
      </c>
      <c r="P11" s="76">
        <f>SUMIFS('август 2025'!$G$2:$G$2407,'август 2025'!$D$2:$D$2407,$B11,'август 2025'!$J$2:$J$2407,P$1)</f>
        <v>0</v>
      </c>
      <c r="Q11" s="76">
        <f>SUMIFS('август 2025'!$G$2:$G$2407,'август 2025'!$D$2:$D$2407,$B11,'август 2025'!$J$2:$J$2407,Q$1)</f>
        <v>0</v>
      </c>
      <c r="R11" s="76">
        <f>SUMIFS('август 2025'!$G$2:$G$2407,'август 2025'!$D$2:$D$2407,$B11,'август 2025'!$J$2:$J$2407,R$1)</f>
        <v>0</v>
      </c>
      <c r="S11" s="76">
        <f>SUMIFS('август 2025'!$G$2:$G$2407,'август 2025'!$D$2:$D$2407,$B11,'август 2025'!$J$2:$J$2407,S$1)</f>
        <v>0</v>
      </c>
      <c r="T11" s="76">
        <f>SUMIFS('август 2025'!$G$2:$G$2407,'август 2025'!$D$2:$D$2407,$B11,'август 2025'!$J$2:$J$2407,T$1)</f>
        <v>0</v>
      </c>
      <c r="U11" s="76">
        <f>SUMIFS('август 2025'!$G$2:$G$2407,'август 2025'!$D$2:$D$2407,$B11,'август 2025'!$J$2:$J$2407,U$1)</f>
        <v>0</v>
      </c>
      <c r="V11" s="76">
        <f>SUMIFS('август 2025'!$G$2:$G$2407,'август 2025'!$D$2:$D$2407,$B11,'август 2025'!$J$2:$J$2407,V$1)</f>
        <v>0</v>
      </c>
      <c r="W11" s="76">
        <f>SUMIFS('август 2025'!$G$2:$G$2407,'август 2025'!$D$2:$D$2407,$B11,'август 2025'!$J$2:$J$2407,W$1)</f>
        <v>1600</v>
      </c>
      <c r="X11" s="76">
        <f>SUMIFS('август 2025'!$G$2:$G$2407,'август 2025'!$D$2:$D$2407,$B11,'август 2025'!$J$2:$J$2407,X$1)</f>
        <v>800</v>
      </c>
      <c r="Y11" s="76">
        <f>SUMIFS('август 2025'!$G$2:$G$2407,'август 2025'!$D$2:$D$2407,$B11,'август 2025'!$J$2:$J$2407,Y$1)</f>
        <v>0</v>
      </c>
      <c r="Z11" s="76">
        <f>SUMIFS('август 2025'!$G$2:$G$2407,'август 2025'!$D$2:$D$2407,$B11,'август 2025'!$J$2:$J$2407,Z$1)</f>
        <v>0</v>
      </c>
      <c r="AA11" s="76">
        <f>SUMIFS('август 2025'!$G$2:$G$2407,'август 2025'!$D$2:$D$2407,$B11,'август 2025'!$J$2:$J$2407,AA$1)</f>
        <v>0</v>
      </c>
      <c r="AB11" s="76">
        <f>SUMIFS('август 2025'!$G$2:$G$2407,'август 2025'!$D$2:$D$2407,$B11,'август 2025'!$J$2:$J$2407,AB$1)</f>
        <v>0</v>
      </c>
      <c r="AC11" s="76">
        <f>SUMIFS('август 2025'!$G$2:$G$2407,'август 2025'!$D$2:$D$2407,$B11,'август 2025'!$J$2:$J$2407,AC$1)</f>
        <v>0</v>
      </c>
      <c r="AD11" s="76">
        <f>SUMIFS('август 2025'!$G$2:$G$2407,'август 2025'!$D$2:$D$2407,$B11,'август 2025'!$J$2:$J$2407,AD$1)</f>
        <v>0</v>
      </c>
      <c r="AE11" s="76">
        <f>SUMIFS('август 2025'!$G$2:$G$2407,'август 2025'!$D$2:$D$2407,$B11,'август 2025'!$J$2:$J$2407,AE$1)</f>
        <v>0</v>
      </c>
      <c r="AF11" s="76">
        <f>SUMIFS('август 2025'!$G$2:$G$2407,'август 2025'!$D$2:$D$2407,$B11,'август 2025'!$J$2:$J$2407,AF$1)</f>
        <v>0</v>
      </c>
      <c r="AG11" s="76">
        <f>SUMIFS('август 2025'!$G$2:$G$2407,'август 2025'!$D$2:$D$2407,$B11,'август 2025'!$J$2:$J$2407,AG$1)</f>
        <v>0</v>
      </c>
      <c r="AH11" s="76">
        <f>SUMIFS('август 2025'!$G$2:$G$2407,'август 2025'!$D$2:$D$2407,$B11,'август 2025'!$J$2:$J$2407,AH$1)</f>
        <v>0</v>
      </c>
      <c r="AI11" s="20">
        <f t="shared" si="1"/>
        <v>2400</v>
      </c>
    </row>
    <row r="12" spans="2:35" ht="15" customHeight="1" x14ac:dyDescent="0.25">
      <c r="B12" s="80" t="s">
        <v>228</v>
      </c>
      <c r="C12" s="81">
        <v>22.68</v>
      </c>
      <c r="D12" s="76">
        <f>SUMIFS('август 2025'!$G$2:$G$2407,'август 2025'!$D$2:$D$2407,$B12,'август 2025'!$J$2:$J$2407,D$1)</f>
        <v>0</v>
      </c>
      <c r="E12" s="76">
        <f>SUMIFS('август 2025'!$G$2:$G$2407,'август 2025'!$D$2:$D$2407,$B12,'август 2025'!$J$2:$J$2407,E$1)</f>
        <v>0</v>
      </c>
      <c r="F12" s="76">
        <f>SUMIFS('август 2025'!$G$2:$G$2407,'август 2025'!$D$2:$D$2407,$B12,'август 2025'!$J$2:$J$2407,F$1)</f>
        <v>0</v>
      </c>
      <c r="G12" s="76">
        <f>SUMIFS('август 2025'!$G$2:$G$2407,'август 2025'!$D$2:$D$2407,$B12,'август 2025'!$J$2:$J$2407,G$1)</f>
        <v>0</v>
      </c>
      <c r="H12" s="76">
        <f>SUMIFS('август 2025'!$G$2:$G$2407,'август 2025'!$D$2:$D$2407,$B12,'август 2025'!$J$2:$J$2407,H$1)</f>
        <v>0</v>
      </c>
      <c r="I12" s="76">
        <f>SUMIFS('август 2025'!$G$2:$G$2407,'август 2025'!$D$2:$D$2407,$B12,'август 2025'!$J$2:$J$2407,I$1)</f>
        <v>0</v>
      </c>
      <c r="J12" s="76">
        <f>SUMIFS('август 2025'!$G$2:$G$2407,'август 2025'!$D$2:$D$2407,$B12,'август 2025'!$J$2:$J$2407,J$1)</f>
        <v>0</v>
      </c>
      <c r="K12" s="76">
        <f>SUMIFS('август 2025'!$G$2:$G$2407,'август 2025'!$D$2:$D$2407,$B12,'август 2025'!$J$2:$J$2407,K$1)</f>
        <v>0</v>
      </c>
      <c r="L12" s="76">
        <f>SUMIFS('август 2025'!$G$2:$G$2407,'август 2025'!$D$2:$D$2407,$B12,'август 2025'!$J$2:$J$2407,L$1)</f>
        <v>0</v>
      </c>
      <c r="M12" s="76">
        <f>SUMIFS('август 2025'!$G$2:$G$2407,'август 2025'!$D$2:$D$2407,$B12,'август 2025'!$J$2:$J$2407,M$1)</f>
        <v>0</v>
      </c>
      <c r="N12" s="76">
        <f>SUMIFS('август 2025'!$G$2:$G$2407,'август 2025'!$D$2:$D$2407,$B12,'август 2025'!$J$2:$J$2407,N$1)</f>
        <v>0</v>
      </c>
      <c r="O12" s="76">
        <f>SUMIFS('август 2025'!$G$2:$G$2407,'август 2025'!$D$2:$D$2407,$B12,'август 2025'!$J$2:$J$2407,O$1)</f>
        <v>0</v>
      </c>
      <c r="P12" s="76">
        <f>SUMIFS('август 2025'!$G$2:$G$2407,'август 2025'!$D$2:$D$2407,$B12,'август 2025'!$J$2:$J$2407,P$1)</f>
        <v>0</v>
      </c>
      <c r="Q12" s="76">
        <f>SUMIFS('август 2025'!$G$2:$G$2407,'август 2025'!$D$2:$D$2407,$B12,'август 2025'!$J$2:$J$2407,Q$1)</f>
        <v>0</v>
      </c>
      <c r="R12" s="76">
        <f>SUMIFS('август 2025'!$G$2:$G$2407,'август 2025'!$D$2:$D$2407,$B12,'август 2025'!$J$2:$J$2407,R$1)</f>
        <v>0</v>
      </c>
      <c r="S12" s="76">
        <f>SUMIFS('август 2025'!$G$2:$G$2407,'август 2025'!$D$2:$D$2407,$B12,'август 2025'!$J$2:$J$2407,S$1)</f>
        <v>0</v>
      </c>
      <c r="T12" s="76">
        <f>SUMIFS('август 2025'!$G$2:$G$2407,'август 2025'!$D$2:$D$2407,$B12,'август 2025'!$J$2:$J$2407,T$1)</f>
        <v>0</v>
      </c>
      <c r="U12" s="76">
        <f>SUMIFS('август 2025'!$G$2:$G$2407,'август 2025'!$D$2:$D$2407,$B12,'август 2025'!$J$2:$J$2407,U$1)</f>
        <v>0</v>
      </c>
      <c r="V12" s="76">
        <f>SUMIFS('август 2025'!$G$2:$G$2407,'август 2025'!$D$2:$D$2407,$B12,'август 2025'!$J$2:$J$2407,V$1)</f>
        <v>0</v>
      </c>
      <c r="W12" s="76">
        <f>SUMIFS('август 2025'!$G$2:$G$2407,'август 2025'!$D$2:$D$2407,$B12,'август 2025'!$J$2:$J$2407,W$1)</f>
        <v>0</v>
      </c>
      <c r="X12" s="76">
        <f>SUMIFS('август 2025'!$G$2:$G$2407,'август 2025'!$D$2:$D$2407,$B12,'август 2025'!$J$2:$J$2407,X$1)</f>
        <v>0</v>
      </c>
      <c r="Y12" s="76">
        <f>SUMIFS('август 2025'!$G$2:$G$2407,'август 2025'!$D$2:$D$2407,$B12,'август 2025'!$J$2:$J$2407,Y$1)</f>
        <v>0</v>
      </c>
      <c r="Z12" s="76">
        <f>SUMIFS('август 2025'!$G$2:$G$2407,'август 2025'!$D$2:$D$2407,$B12,'август 2025'!$J$2:$J$2407,Z$1)</f>
        <v>0</v>
      </c>
      <c r="AA12" s="76">
        <f>SUMIFS('август 2025'!$G$2:$G$2407,'август 2025'!$D$2:$D$2407,$B12,'август 2025'!$J$2:$J$2407,AA$1)</f>
        <v>0</v>
      </c>
      <c r="AB12" s="76">
        <f>SUMIFS('август 2025'!$G$2:$G$2407,'август 2025'!$D$2:$D$2407,$B12,'август 2025'!$J$2:$J$2407,AB$1)</f>
        <v>0</v>
      </c>
      <c r="AC12" s="76">
        <f>SUMIFS('август 2025'!$G$2:$G$2407,'август 2025'!$D$2:$D$2407,$B12,'август 2025'!$J$2:$J$2407,AC$1)</f>
        <v>0</v>
      </c>
      <c r="AD12" s="76">
        <f>SUMIFS('август 2025'!$G$2:$G$2407,'август 2025'!$D$2:$D$2407,$B12,'август 2025'!$J$2:$J$2407,AD$1)</f>
        <v>0</v>
      </c>
      <c r="AE12" s="76">
        <f>SUMIFS('август 2025'!$G$2:$G$2407,'август 2025'!$D$2:$D$2407,$B12,'август 2025'!$J$2:$J$2407,AE$1)</f>
        <v>0</v>
      </c>
      <c r="AF12" s="76">
        <f>SUMIFS('август 2025'!$G$2:$G$2407,'август 2025'!$D$2:$D$2407,$B12,'август 2025'!$J$2:$J$2407,AF$1)</f>
        <v>0</v>
      </c>
      <c r="AG12" s="76">
        <f>SUMIFS('август 2025'!$G$2:$G$2407,'август 2025'!$D$2:$D$2407,$B12,'август 2025'!$J$2:$J$2407,AG$1)</f>
        <v>0</v>
      </c>
      <c r="AH12" s="76">
        <f>SUMIFS('август 2025'!$G$2:$G$2407,'август 2025'!$D$2:$D$2407,$B12,'август 2025'!$J$2:$J$2407,AH$1)</f>
        <v>0</v>
      </c>
      <c r="AI12" s="20">
        <f t="shared" si="1"/>
        <v>0</v>
      </c>
    </row>
    <row r="13" spans="2:35" ht="15" customHeight="1" x14ac:dyDescent="0.25">
      <c r="B13" s="80" t="s">
        <v>328</v>
      </c>
      <c r="C13" s="81">
        <v>22.7</v>
      </c>
      <c r="D13" s="76">
        <f>SUMIFS('август 2025'!$G$2:$G$2407,'август 2025'!$D$2:$D$2407,$B13,'август 2025'!$J$2:$J$2407,D$1)</f>
        <v>0</v>
      </c>
      <c r="E13" s="76">
        <f>SUMIFS('август 2025'!$G$2:$G$2407,'август 2025'!$D$2:$D$2407,$B13,'август 2025'!$J$2:$J$2407,E$1)</f>
        <v>0</v>
      </c>
      <c r="F13" s="76">
        <f>SUMIFS('август 2025'!$G$2:$G$2407,'август 2025'!$D$2:$D$2407,$B13,'август 2025'!$J$2:$J$2407,F$1)</f>
        <v>0</v>
      </c>
      <c r="G13" s="76">
        <f>SUMIFS('август 2025'!$G$2:$G$2407,'август 2025'!$D$2:$D$2407,$B13,'август 2025'!$J$2:$J$2407,G$1)</f>
        <v>0</v>
      </c>
      <c r="H13" s="76">
        <f>SUMIFS('август 2025'!$G$2:$G$2407,'август 2025'!$D$2:$D$2407,$B13,'август 2025'!$J$2:$J$2407,H$1)</f>
        <v>0</v>
      </c>
      <c r="I13" s="76">
        <f>SUMIFS('август 2025'!$G$2:$G$2407,'август 2025'!$D$2:$D$2407,$B13,'август 2025'!$J$2:$J$2407,I$1)</f>
        <v>0</v>
      </c>
      <c r="J13" s="76">
        <f>SUMIFS('август 2025'!$G$2:$G$2407,'август 2025'!$D$2:$D$2407,$B13,'август 2025'!$J$2:$J$2407,J$1)</f>
        <v>0</v>
      </c>
      <c r="K13" s="76">
        <f>SUMIFS('август 2025'!$G$2:$G$2407,'август 2025'!$D$2:$D$2407,$B13,'август 2025'!$J$2:$J$2407,K$1)</f>
        <v>0</v>
      </c>
      <c r="L13" s="76">
        <f>SUMIFS('август 2025'!$G$2:$G$2407,'август 2025'!$D$2:$D$2407,$B13,'август 2025'!$J$2:$J$2407,L$1)</f>
        <v>0</v>
      </c>
      <c r="M13" s="76">
        <f>SUMIFS('август 2025'!$G$2:$G$2407,'август 2025'!$D$2:$D$2407,$B13,'август 2025'!$J$2:$J$2407,M$1)</f>
        <v>0</v>
      </c>
      <c r="N13" s="76">
        <f>SUMIFS('август 2025'!$G$2:$G$2407,'август 2025'!$D$2:$D$2407,$B13,'август 2025'!$J$2:$J$2407,N$1)</f>
        <v>0</v>
      </c>
      <c r="O13" s="76">
        <f>SUMIFS('август 2025'!$G$2:$G$2407,'август 2025'!$D$2:$D$2407,$B13,'август 2025'!$J$2:$J$2407,O$1)</f>
        <v>0</v>
      </c>
      <c r="P13" s="76">
        <f>SUMIFS('август 2025'!$G$2:$G$2407,'август 2025'!$D$2:$D$2407,$B13,'август 2025'!$J$2:$J$2407,P$1)</f>
        <v>0</v>
      </c>
      <c r="Q13" s="76">
        <f>SUMIFS('август 2025'!$G$2:$G$2407,'август 2025'!$D$2:$D$2407,$B13,'август 2025'!$J$2:$J$2407,Q$1)</f>
        <v>0</v>
      </c>
      <c r="R13" s="76">
        <f>SUMIFS('август 2025'!$G$2:$G$2407,'август 2025'!$D$2:$D$2407,$B13,'август 2025'!$J$2:$J$2407,R$1)</f>
        <v>0</v>
      </c>
      <c r="S13" s="76">
        <f>SUMIFS('август 2025'!$G$2:$G$2407,'август 2025'!$D$2:$D$2407,$B13,'август 2025'!$J$2:$J$2407,S$1)</f>
        <v>0</v>
      </c>
      <c r="T13" s="76">
        <f>SUMIFS('август 2025'!$G$2:$G$2407,'август 2025'!$D$2:$D$2407,$B13,'август 2025'!$J$2:$J$2407,T$1)</f>
        <v>0</v>
      </c>
      <c r="U13" s="76">
        <f>SUMIFS('август 2025'!$G$2:$G$2407,'август 2025'!$D$2:$D$2407,$B13,'август 2025'!$J$2:$J$2407,U$1)</f>
        <v>0</v>
      </c>
      <c r="V13" s="76">
        <f>SUMIFS('август 2025'!$G$2:$G$2407,'август 2025'!$D$2:$D$2407,$B13,'август 2025'!$J$2:$J$2407,V$1)</f>
        <v>0</v>
      </c>
      <c r="W13" s="76">
        <f>SUMIFS('август 2025'!$G$2:$G$2407,'август 2025'!$D$2:$D$2407,$B13,'август 2025'!$J$2:$J$2407,W$1)</f>
        <v>0</v>
      </c>
      <c r="X13" s="76">
        <f>SUMIFS('август 2025'!$G$2:$G$2407,'август 2025'!$D$2:$D$2407,$B13,'август 2025'!$J$2:$J$2407,X$1)</f>
        <v>0</v>
      </c>
      <c r="Y13" s="76">
        <f>SUMIFS('август 2025'!$G$2:$G$2407,'август 2025'!$D$2:$D$2407,$B13,'август 2025'!$J$2:$J$2407,Y$1)</f>
        <v>0</v>
      </c>
      <c r="Z13" s="76">
        <f>SUMIFS('август 2025'!$G$2:$G$2407,'август 2025'!$D$2:$D$2407,$B13,'август 2025'!$J$2:$J$2407,Z$1)</f>
        <v>0</v>
      </c>
      <c r="AA13" s="76">
        <f>SUMIFS('август 2025'!$G$2:$G$2407,'август 2025'!$D$2:$D$2407,$B13,'август 2025'!$J$2:$J$2407,AA$1)</f>
        <v>0</v>
      </c>
      <c r="AB13" s="76">
        <f>SUMIFS('август 2025'!$G$2:$G$2407,'август 2025'!$D$2:$D$2407,$B13,'август 2025'!$J$2:$J$2407,AB$1)</f>
        <v>0</v>
      </c>
      <c r="AC13" s="76">
        <f>SUMIFS('август 2025'!$G$2:$G$2407,'август 2025'!$D$2:$D$2407,$B13,'август 2025'!$J$2:$J$2407,AC$1)</f>
        <v>0</v>
      </c>
      <c r="AD13" s="76">
        <f>SUMIFS('август 2025'!$G$2:$G$2407,'август 2025'!$D$2:$D$2407,$B13,'август 2025'!$J$2:$J$2407,AD$1)</f>
        <v>0</v>
      </c>
      <c r="AE13" s="76">
        <f>SUMIFS('август 2025'!$G$2:$G$2407,'август 2025'!$D$2:$D$2407,$B13,'август 2025'!$J$2:$J$2407,AE$1)</f>
        <v>0</v>
      </c>
      <c r="AF13" s="76">
        <f>SUMIFS('август 2025'!$G$2:$G$2407,'август 2025'!$D$2:$D$2407,$B13,'август 2025'!$J$2:$J$2407,AF$1)</f>
        <v>0</v>
      </c>
      <c r="AG13" s="76">
        <f>SUMIFS('август 2025'!$G$2:$G$2407,'август 2025'!$D$2:$D$2407,$B13,'август 2025'!$J$2:$J$2407,AG$1)</f>
        <v>0</v>
      </c>
      <c r="AH13" s="76">
        <f>SUMIFS('август 2025'!$G$2:$G$2407,'август 2025'!$D$2:$D$2407,$B13,'август 2025'!$J$2:$J$2407,AH$1)</f>
        <v>0</v>
      </c>
      <c r="AI13" s="20">
        <f t="shared" si="1"/>
        <v>0</v>
      </c>
    </row>
    <row r="14" spans="2:35" ht="15" customHeight="1" x14ac:dyDescent="0.25">
      <c r="B14" s="80" t="s">
        <v>302</v>
      </c>
      <c r="C14" s="81">
        <v>25</v>
      </c>
      <c r="D14" s="76">
        <f>SUMIFS('август 2025'!$G$2:$G$2407,'август 2025'!$D$2:$D$2407,$B14,'август 2025'!$J$2:$J$2407,D$1)</f>
        <v>0</v>
      </c>
      <c r="E14" s="76">
        <f>SUMIFS('август 2025'!$G$2:$G$2407,'август 2025'!$D$2:$D$2407,$B14,'август 2025'!$J$2:$J$2407,E$1)</f>
        <v>0</v>
      </c>
      <c r="F14" s="76">
        <f>SUMIFS('август 2025'!$G$2:$G$2407,'август 2025'!$D$2:$D$2407,$B14,'август 2025'!$J$2:$J$2407,F$1)</f>
        <v>0</v>
      </c>
      <c r="G14" s="76">
        <f>SUMIFS('август 2025'!$G$2:$G$2407,'август 2025'!$D$2:$D$2407,$B14,'август 2025'!$J$2:$J$2407,G$1)</f>
        <v>0</v>
      </c>
      <c r="H14" s="76">
        <f>SUMIFS('август 2025'!$G$2:$G$2407,'август 2025'!$D$2:$D$2407,$B14,'август 2025'!$J$2:$J$2407,H$1)</f>
        <v>0</v>
      </c>
      <c r="I14" s="76">
        <f>SUMIFS('август 2025'!$G$2:$G$2407,'август 2025'!$D$2:$D$2407,$B14,'август 2025'!$J$2:$J$2407,I$1)</f>
        <v>0</v>
      </c>
      <c r="J14" s="76">
        <f>SUMIFS('август 2025'!$G$2:$G$2407,'август 2025'!$D$2:$D$2407,$B14,'август 2025'!$J$2:$J$2407,J$1)</f>
        <v>0</v>
      </c>
      <c r="K14" s="76">
        <f>SUMIFS('август 2025'!$G$2:$G$2407,'август 2025'!$D$2:$D$2407,$B14,'август 2025'!$J$2:$J$2407,K$1)</f>
        <v>0</v>
      </c>
      <c r="L14" s="76">
        <f>SUMIFS('август 2025'!$G$2:$G$2407,'август 2025'!$D$2:$D$2407,$B14,'август 2025'!$J$2:$J$2407,L$1)</f>
        <v>0</v>
      </c>
      <c r="M14" s="76">
        <f>SUMIFS('август 2025'!$G$2:$G$2407,'август 2025'!$D$2:$D$2407,$B14,'август 2025'!$J$2:$J$2407,M$1)</f>
        <v>0</v>
      </c>
      <c r="N14" s="76">
        <f>SUMIFS('август 2025'!$G$2:$G$2407,'август 2025'!$D$2:$D$2407,$B14,'август 2025'!$J$2:$J$2407,N$1)</f>
        <v>0</v>
      </c>
      <c r="O14" s="76">
        <f>SUMIFS('август 2025'!$G$2:$G$2407,'август 2025'!$D$2:$D$2407,$B14,'август 2025'!$J$2:$J$2407,O$1)</f>
        <v>0</v>
      </c>
      <c r="P14" s="76">
        <f>SUMIFS('август 2025'!$G$2:$G$2407,'август 2025'!$D$2:$D$2407,$B14,'август 2025'!$J$2:$J$2407,P$1)</f>
        <v>0</v>
      </c>
      <c r="Q14" s="76">
        <f>SUMIFS('август 2025'!$G$2:$G$2407,'август 2025'!$D$2:$D$2407,$B14,'август 2025'!$J$2:$J$2407,Q$1)</f>
        <v>0</v>
      </c>
      <c r="R14" s="76">
        <f>SUMIFS('август 2025'!$G$2:$G$2407,'август 2025'!$D$2:$D$2407,$B14,'август 2025'!$J$2:$J$2407,R$1)</f>
        <v>0</v>
      </c>
      <c r="S14" s="76">
        <f>SUMIFS('август 2025'!$G$2:$G$2407,'август 2025'!$D$2:$D$2407,$B14,'август 2025'!$J$2:$J$2407,S$1)</f>
        <v>0</v>
      </c>
      <c r="T14" s="76">
        <f>SUMIFS('август 2025'!$G$2:$G$2407,'август 2025'!$D$2:$D$2407,$B14,'август 2025'!$J$2:$J$2407,T$1)</f>
        <v>0</v>
      </c>
      <c r="U14" s="76">
        <f>SUMIFS('август 2025'!$G$2:$G$2407,'август 2025'!$D$2:$D$2407,$B14,'август 2025'!$J$2:$J$2407,U$1)</f>
        <v>0</v>
      </c>
      <c r="V14" s="76">
        <f>SUMIFS('август 2025'!$G$2:$G$2407,'август 2025'!$D$2:$D$2407,$B14,'август 2025'!$J$2:$J$2407,V$1)</f>
        <v>0</v>
      </c>
      <c r="W14" s="76">
        <f>SUMIFS('август 2025'!$G$2:$G$2407,'август 2025'!$D$2:$D$2407,$B14,'август 2025'!$J$2:$J$2407,W$1)</f>
        <v>0</v>
      </c>
      <c r="X14" s="76">
        <f>SUMIFS('август 2025'!$G$2:$G$2407,'август 2025'!$D$2:$D$2407,$B14,'август 2025'!$J$2:$J$2407,X$1)</f>
        <v>0</v>
      </c>
      <c r="Y14" s="76">
        <f>SUMIFS('август 2025'!$G$2:$G$2407,'август 2025'!$D$2:$D$2407,$B14,'август 2025'!$J$2:$J$2407,Y$1)</f>
        <v>0</v>
      </c>
      <c r="Z14" s="76">
        <f>SUMIFS('август 2025'!$G$2:$G$2407,'август 2025'!$D$2:$D$2407,$B14,'август 2025'!$J$2:$J$2407,Z$1)</f>
        <v>0</v>
      </c>
      <c r="AA14" s="76">
        <f>SUMIFS('август 2025'!$G$2:$G$2407,'август 2025'!$D$2:$D$2407,$B14,'август 2025'!$J$2:$J$2407,AA$1)</f>
        <v>0</v>
      </c>
      <c r="AB14" s="76">
        <f>SUMIFS('август 2025'!$G$2:$G$2407,'август 2025'!$D$2:$D$2407,$B14,'август 2025'!$J$2:$J$2407,AB$1)</f>
        <v>0</v>
      </c>
      <c r="AC14" s="76">
        <f>SUMIFS('август 2025'!$G$2:$G$2407,'август 2025'!$D$2:$D$2407,$B14,'август 2025'!$J$2:$J$2407,AC$1)</f>
        <v>0</v>
      </c>
      <c r="AD14" s="76">
        <f>SUMIFS('август 2025'!$G$2:$G$2407,'август 2025'!$D$2:$D$2407,$B14,'август 2025'!$J$2:$J$2407,AD$1)</f>
        <v>0</v>
      </c>
      <c r="AE14" s="76">
        <f>SUMIFS('август 2025'!$G$2:$G$2407,'август 2025'!$D$2:$D$2407,$B14,'август 2025'!$J$2:$J$2407,AE$1)</f>
        <v>0</v>
      </c>
      <c r="AF14" s="76">
        <f>SUMIFS('август 2025'!$G$2:$G$2407,'август 2025'!$D$2:$D$2407,$B14,'август 2025'!$J$2:$J$2407,AF$1)</f>
        <v>0</v>
      </c>
      <c r="AG14" s="76">
        <f>SUMIFS('август 2025'!$G$2:$G$2407,'август 2025'!$D$2:$D$2407,$B14,'август 2025'!$J$2:$J$2407,AG$1)</f>
        <v>0</v>
      </c>
      <c r="AH14" s="76">
        <f>SUMIFS('август 2025'!$G$2:$G$2407,'август 2025'!$D$2:$D$2407,$B14,'август 2025'!$J$2:$J$2407,AH$1)</f>
        <v>0</v>
      </c>
      <c r="AI14" s="20">
        <f t="shared" si="1"/>
        <v>0</v>
      </c>
    </row>
    <row r="15" spans="2:35" ht="15" customHeight="1" x14ac:dyDescent="0.25">
      <c r="B15" s="80" t="s">
        <v>306</v>
      </c>
      <c r="C15" s="81">
        <v>25</v>
      </c>
      <c r="D15" s="76">
        <f>SUMIFS('август 2025'!$G$2:$G$2407,'август 2025'!$D$2:$D$2407,$B15,'август 2025'!$J$2:$J$2407,D$1)</f>
        <v>1610</v>
      </c>
      <c r="E15" s="76">
        <f>SUMIFS('август 2025'!$G$2:$G$2407,'август 2025'!$D$2:$D$2407,$B15,'август 2025'!$J$2:$J$2407,E$1)</f>
        <v>0</v>
      </c>
      <c r="F15" s="76">
        <f>SUMIFS('август 2025'!$G$2:$G$2407,'август 2025'!$D$2:$D$2407,$B15,'август 2025'!$J$2:$J$2407,F$1)</f>
        <v>0</v>
      </c>
      <c r="G15" s="76">
        <f>SUMIFS('август 2025'!$G$2:$G$2407,'август 2025'!$D$2:$D$2407,$B15,'август 2025'!$J$2:$J$2407,G$1)</f>
        <v>1610</v>
      </c>
      <c r="H15" s="76">
        <f>SUMIFS('август 2025'!$G$2:$G$2407,'август 2025'!$D$2:$D$2407,$B15,'август 2025'!$J$2:$J$2407,H$1)</f>
        <v>0</v>
      </c>
      <c r="I15" s="76">
        <f>SUMIFS('август 2025'!$G$2:$G$2407,'август 2025'!$D$2:$D$2407,$B15,'август 2025'!$J$2:$J$2407,I$1)</f>
        <v>0</v>
      </c>
      <c r="J15" s="76">
        <f>SUMIFS('август 2025'!$G$2:$G$2407,'август 2025'!$D$2:$D$2407,$B15,'август 2025'!$J$2:$J$2407,J$1)</f>
        <v>1400</v>
      </c>
      <c r="K15" s="76">
        <f>SUMIFS('август 2025'!$G$2:$G$2407,'август 2025'!$D$2:$D$2407,$B15,'август 2025'!$J$2:$J$2407,K$1)</f>
        <v>0</v>
      </c>
      <c r="L15" s="76">
        <f>SUMIFS('август 2025'!$G$2:$G$2407,'август 2025'!$D$2:$D$2407,$B15,'август 2025'!$J$2:$J$2407,L$1)</f>
        <v>0</v>
      </c>
      <c r="M15" s="76">
        <f>SUMIFS('август 2025'!$G$2:$G$2407,'август 2025'!$D$2:$D$2407,$B15,'август 2025'!$J$2:$J$2407,M$1)</f>
        <v>0</v>
      </c>
      <c r="N15" s="76">
        <f>SUMIFS('август 2025'!$G$2:$G$2407,'август 2025'!$D$2:$D$2407,$B15,'август 2025'!$J$2:$J$2407,N$1)</f>
        <v>0</v>
      </c>
      <c r="O15" s="76">
        <f>SUMIFS('август 2025'!$G$2:$G$2407,'август 2025'!$D$2:$D$2407,$B15,'август 2025'!$J$2:$J$2407,O$1)</f>
        <v>0</v>
      </c>
      <c r="P15" s="76">
        <f>SUMIFS('август 2025'!$G$2:$G$2407,'август 2025'!$D$2:$D$2407,$B15,'август 2025'!$J$2:$J$2407,P$1)</f>
        <v>0</v>
      </c>
      <c r="Q15" s="76">
        <f>SUMIFS('август 2025'!$G$2:$G$2407,'август 2025'!$D$2:$D$2407,$B15,'август 2025'!$J$2:$J$2407,Q$1)</f>
        <v>0</v>
      </c>
      <c r="R15" s="76">
        <f>SUMIFS('август 2025'!$G$2:$G$2407,'август 2025'!$D$2:$D$2407,$B15,'август 2025'!$J$2:$J$2407,R$1)</f>
        <v>0</v>
      </c>
      <c r="S15" s="76">
        <f>SUMIFS('август 2025'!$G$2:$G$2407,'август 2025'!$D$2:$D$2407,$B15,'август 2025'!$J$2:$J$2407,S$1)</f>
        <v>0</v>
      </c>
      <c r="T15" s="76">
        <f>SUMIFS('август 2025'!$G$2:$G$2407,'август 2025'!$D$2:$D$2407,$B15,'август 2025'!$J$2:$J$2407,T$1)</f>
        <v>0</v>
      </c>
      <c r="U15" s="76">
        <f>SUMIFS('август 2025'!$G$2:$G$2407,'август 2025'!$D$2:$D$2407,$B15,'август 2025'!$J$2:$J$2407,U$1)</f>
        <v>0</v>
      </c>
      <c r="V15" s="76">
        <f>SUMIFS('август 2025'!$G$2:$G$2407,'август 2025'!$D$2:$D$2407,$B15,'август 2025'!$J$2:$J$2407,V$1)</f>
        <v>0</v>
      </c>
      <c r="W15" s="76">
        <f>SUMIFS('август 2025'!$G$2:$G$2407,'август 2025'!$D$2:$D$2407,$B15,'август 2025'!$J$2:$J$2407,W$1)</f>
        <v>840</v>
      </c>
      <c r="X15" s="76">
        <f>SUMIFS('август 2025'!$G$2:$G$2407,'август 2025'!$D$2:$D$2407,$B15,'август 2025'!$J$2:$J$2407,X$1)</f>
        <v>700</v>
      </c>
      <c r="Y15" s="76">
        <f>SUMIFS('август 2025'!$G$2:$G$2407,'август 2025'!$D$2:$D$2407,$B15,'август 2025'!$J$2:$J$2407,Y$1)</f>
        <v>0</v>
      </c>
      <c r="Z15" s="76">
        <f>SUMIFS('август 2025'!$G$2:$G$2407,'август 2025'!$D$2:$D$2407,$B15,'август 2025'!$J$2:$J$2407,Z$1)</f>
        <v>0</v>
      </c>
      <c r="AA15" s="76">
        <f>SUMIFS('август 2025'!$G$2:$G$2407,'август 2025'!$D$2:$D$2407,$B15,'август 2025'!$J$2:$J$2407,AA$1)</f>
        <v>0</v>
      </c>
      <c r="AB15" s="76">
        <f>SUMIFS('август 2025'!$G$2:$G$2407,'август 2025'!$D$2:$D$2407,$B15,'август 2025'!$J$2:$J$2407,AB$1)</f>
        <v>0</v>
      </c>
      <c r="AC15" s="76">
        <f>SUMIFS('август 2025'!$G$2:$G$2407,'август 2025'!$D$2:$D$2407,$B15,'август 2025'!$J$2:$J$2407,AC$1)</f>
        <v>0</v>
      </c>
      <c r="AD15" s="76">
        <f>SUMIFS('август 2025'!$G$2:$G$2407,'август 2025'!$D$2:$D$2407,$B15,'август 2025'!$J$2:$J$2407,AD$1)</f>
        <v>840</v>
      </c>
      <c r="AE15" s="76">
        <f>SUMIFS('август 2025'!$G$2:$G$2407,'август 2025'!$D$2:$D$2407,$B15,'август 2025'!$J$2:$J$2407,AE$1)</f>
        <v>1400</v>
      </c>
      <c r="AF15" s="76">
        <f>SUMIFS('август 2025'!$G$2:$G$2407,'август 2025'!$D$2:$D$2407,$B15,'август 2025'!$J$2:$J$2407,AF$1)</f>
        <v>0</v>
      </c>
      <c r="AG15" s="76">
        <f>SUMIFS('август 2025'!$G$2:$G$2407,'август 2025'!$D$2:$D$2407,$B15,'август 2025'!$J$2:$J$2407,AG$1)</f>
        <v>0</v>
      </c>
      <c r="AH15" s="76">
        <f>SUMIFS('август 2025'!$G$2:$G$2407,'август 2025'!$D$2:$D$2407,$B15,'август 2025'!$J$2:$J$2407,AH$1)</f>
        <v>0</v>
      </c>
      <c r="AI15" s="20">
        <f t="shared" si="1"/>
        <v>8400</v>
      </c>
    </row>
    <row r="16" spans="2:35" ht="15" customHeight="1" x14ac:dyDescent="0.25">
      <c r="B16" s="80" t="s">
        <v>231</v>
      </c>
      <c r="C16" s="81">
        <v>22.7</v>
      </c>
      <c r="D16" s="76">
        <f>SUMIFS('август 2025'!$G$2:$G$2407,'август 2025'!$D$2:$D$2407,$B16,'август 2025'!$J$2:$J$2407,D$1)</f>
        <v>0</v>
      </c>
      <c r="E16" s="76">
        <f>SUMIFS('август 2025'!$G$2:$G$2407,'август 2025'!$D$2:$D$2407,$B16,'август 2025'!$J$2:$J$2407,E$1)</f>
        <v>0</v>
      </c>
      <c r="F16" s="76">
        <f>SUMIFS('август 2025'!$G$2:$G$2407,'август 2025'!$D$2:$D$2407,$B16,'август 2025'!$J$2:$J$2407,F$1)</f>
        <v>0</v>
      </c>
      <c r="G16" s="76">
        <f>SUMIFS('август 2025'!$G$2:$G$2407,'август 2025'!$D$2:$D$2407,$B16,'август 2025'!$J$2:$J$2407,G$1)</f>
        <v>0</v>
      </c>
      <c r="H16" s="76">
        <f>SUMIFS('август 2025'!$G$2:$G$2407,'август 2025'!$D$2:$D$2407,$B16,'август 2025'!$J$2:$J$2407,H$1)</f>
        <v>0</v>
      </c>
      <c r="I16" s="76">
        <f>SUMIFS('август 2025'!$G$2:$G$2407,'август 2025'!$D$2:$D$2407,$B16,'август 2025'!$J$2:$J$2407,I$1)</f>
        <v>0</v>
      </c>
      <c r="J16" s="76">
        <f>SUMIFS('август 2025'!$G$2:$G$2407,'август 2025'!$D$2:$D$2407,$B16,'август 2025'!$J$2:$J$2407,J$1)</f>
        <v>0</v>
      </c>
      <c r="K16" s="76">
        <f>SUMIFS('август 2025'!$G$2:$G$2407,'август 2025'!$D$2:$D$2407,$B16,'август 2025'!$J$2:$J$2407,K$1)</f>
        <v>0</v>
      </c>
      <c r="L16" s="76">
        <f>SUMIFS('август 2025'!$G$2:$G$2407,'август 2025'!$D$2:$D$2407,$B16,'август 2025'!$J$2:$J$2407,L$1)</f>
        <v>0</v>
      </c>
      <c r="M16" s="76">
        <f>SUMIFS('август 2025'!$G$2:$G$2407,'август 2025'!$D$2:$D$2407,$B16,'август 2025'!$J$2:$J$2407,M$1)</f>
        <v>0</v>
      </c>
      <c r="N16" s="76">
        <f>SUMIFS('август 2025'!$G$2:$G$2407,'август 2025'!$D$2:$D$2407,$B16,'август 2025'!$J$2:$J$2407,N$1)</f>
        <v>0</v>
      </c>
      <c r="O16" s="76">
        <f>SUMIFS('август 2025'!$G$2:$G$2407,'август 2025'!$D$2:$D$2407,$B16,'август 2025'!$J$2:$J$2407,O$1)</f>
        <v>0</v>
      </c>
      <c r="P16" s="76">
        <f>SUMIFS('август 2025'!$G$2:$G$2407,'август 2025'!$D$2:$D$2407,$B16,'август 2025'!$J$2:$J$2407,P$1)</f>
        <v>0</v>
      </c>
      <c r="Q16" s="76">
        <f>SUMIFS('август 2025'!$G$2:$G$2407,'август 2025'!$D$2:$D$2407,$B16,'август 2025'!$J$2:$J$2407,Q$1)</f>
        <v>0</v>
      </c>
      <c r="R16" s="76">
        <f>SUMIFS('август 2025'!$G$2:$G$2407,'август 2025'!$D$2:$D$2407,$B16,'август 2025'!$J$2:$J$2407,R$1)</f>
        <v>0</v>
      </c>
      <c r="S16" s="76">
        <f>SUMIFS('август 2025'!$G$2:$G$2407,'август 2025'!$D$2:$D$2407,$B16,'август 2025'!$J$2:$J$2407,S$1)</f>
        <v>0</v>
      </c>
      <c r="T16" s="76">
        <f>SUMIFS('август 2025'!$G$2:$G$2407,'август 2025'!$D$2:$D$2407,$B16,'август 2025'!$J$2:$J$2407,T$1)</f>
        <v>0</v>
      </c>
      <c r="U16" s="76">
        <f>SUMIFS('август 2025'!$G$2:$G$2407,'август 2025'!$D$2:$D$2407,$B16,'август 2025'!$J$2:$J$2407,U$1)</f>
        <v>0</v>
      </c>
      <c r="V16" s="76">
        <f>SUMIFS('август 2025'!$G$2:$G$2407,'август 2025'!$D$2:$D$2407,$B16,'август 2025'!$J$2:$J$2407,V$1)</f>
        <v>0</v>
      </c>
      <c r="W16" s="76">
        <f>SUMIFS('август 2025'!$G$2:$G$2407,'август 2025'!$D$2:$D$2407,$B16,'август 2025'!$J$2:$J$2407,W$1)</f>
        <v>0</v>
      </c>
      <c r="X16" s="76">
        <f>SUMIFS('август 2025'!$G$2:$G$2407,'август 2025'!$D$2:$D$2407,$B16,'август 2025'!$J$2:$J$2407,X$1)</f>
        <v>0</v>
      </c>
      <c r="Y16" s="76">
        <f>SUMIFS('август 2025'!$G$2:$G$2407,'август 2025'!$D$2:$D$2407,$B16,'август 2025'!$J$2:$J$2407,Y$1)</f>
        <v>0</v>
      </c>
      <c r="Z16" s="76">
        <f>SUMIFS('август 2025'!$G$2:$G$2407,'август 2025'!$D$2:$D$2407,$B16,'август 2025'!$J$2:$J$2407,Z$1)</f>
        <v>0</v>
      </c>
      <c r="AA16" s="76">
        <f>SUMIFS('август 2025'!$G$2:$G$2407,'август 2025'!$D$2:$D$2407,$B16,'август 2025'!$J$2:$J$2407,AA$1)</f>
        <v>0</v>
      </c>
      <c r="AB16" s="76">
        <f>SUMIFS('август 2025'!$G$2:$G$2407,'август 2025'!$D$2:$D$2407,$B16,'август 2025'!$J$2:$J$2407,AB$1)</f>
        <v>0</v>
      </c>
      <c r="AC16" s="76">
        <f>SUMIFS('август 2025'!$G$2:$G$2407,'август 2025'!$D$2:$D$2407,$B16,'август 2025'!$J$2:$J$2407,AC$1)</f>
        <v>0</v>
      </c>
      <c r="AD16" s="76">
        <f>SUMIFS('август 2025'!$G$2:$G$2407,'август 2025'!$D$2:$D$2407,$B16,'август 2025'!$J$2:$J$2407,AD$1)</f>
        <v>0</v>
      </c>
      <c r="AE16" s="76">
        <f>SUMIFS('август 2025'!$G$2:$G$2407,'август 2025'!$D$2:$D$2407,$B16,'август 2025'!$J$2:$J$2407,AE$1)</f>
        <v>0</v>
      </c>
      <c r="AF16" s="76">
        <f>SUMIFS('август 2025'!$G$2:$G$2407,'август 2025'!$D$2:$D$2407,$B16,'август 2025'!$J$2:$J$2407,AF$1)</f>
        <v>0</v>
      </c>
      <c r="AG16" s="76">
        <f>SUMIFS('август 2025'!$G$2:$G$2407,'август 2025'!$D$2:$D$2407,$B16,'август 2025'!$J$2:$J$2407,AG$1)</f>
        <v>0</v>
      </c>
      <c r="AH16" s="76">
        <f>SUMIFS('август 2025'!$G$2:$G$2407,'август 2025'!$D$2:$D$2407,$B16,'август 2025'!$J$2:$J$2407,AH$1)</f>
        <v>0</v>
      </c>
      <c r="AI16" s="20">
        <f t="shared" si="1"/>
        <v>0</v>
      </c>
    </row>
    <row r="17" spans="2:35" ht="15" customHeight="1" x14ac:dyDescent="0.25">
      <c r="B17" s="77" t="s">
        <v>233</v>
      </c>
      <c r="C17" s="78">
        <v>22.7</v>
      </c>
      <c r="D17" s="76">
        <f>SUMIFS('август 2025'!$G$2:$G$2407,'август 2025'!$D$2:$D$2407,$B17,'август 2025'!$J$2:$J$2407,D$1)</f>
        <v>0</v>
      </c>
      <c r="E17" s="76">
        <f>SUMIFS('август 2025'!$G$2:$G$2407,'август 2025'!$D$2:$D$2407,$B17,'август 2025'!$J$2:$J$2407,E$1)</f>
        <v>0</v>
      </c>
      <c r="F17" s="76">
        <f>SUMIFS('август 2025'!$G$2:$G$2407,'август 2025'!$D$2:$D$2407,$B17,'август 2025'!$J$2:$J$2407,F$1)</f>
        <v>0</v>
      </c>
      <c r="G17" s="76">
        <f>SUMIFS('август 2025'!$G$2:$G$2407,'август 2025'!$D$2:$D$2407,$B17,'август 2025'!$J$2:$J$2407,G$1)</f>
        <v>0</v>
      </c>
      <c r="H17" s="76">
        <f>SUMIFS('август 2025'!$G$2:$G$2407,'август 2025'!$D$2:$D$2407,$B17,'август 2025'!$J$2:$J$2407,H$1)</f>
        <v>0</v>
      </c>
      <c r="I17" s="76">
        <f>SUMIFS('август 2025'!$G$2:$G$2407,'август 2025'!$D$2:$D$2407,$B17,'август 2025'!$J$2:$J$2407,I$1)</f>
        <v>0</v>
      </c>
      <c r="J17" s="76">
        <f>SUMIFS('август 2025'!$G$2:$G$2407,'август 2025'!$D$2:$D$2407,$B17,'август 2025'!$J$2:$J$2407,J$1)</f>
        <v>0</v>
      </c>
      <c r="K17" s="76">
        <f>SUMIFS('август 2025'!$G$2:$G$2407,'август 2025'!$D$2:$D$2407,$B17,'август 2025'!$J$2:$J$2407,K$1)</f>
        <v>0</v>
      </c>
      <c r="L17" s="76">
        <f>SUMIFS('август 2025'!$G$2:$G$2407,'август 2025'!$D$2:$D$2407,$B17,'август 2025'!$J$2:$J$2407,L$1)</f>
        <v>0</v>
      </c>
      <c r="M17" s="76">
        <f>SUMIFS('август 2025'!$G$2:$G$2407,'август 2025'!$D$2:$D$2407,$B17,'август 2025'!$J$2:$J$2407,M$1)</f>
        <v>0</v>
      </c>
      <c r="N17" s="76">
        <f>SUMIFS('август 2025'!$G$2:$G$2407,'август 2025'!$D$2:$D$2407,$B17,'август 2025'!$J$2:$J$2407,N$1)</f>
        <v>0</v>
      </c>
      <c r="O17" s="76">
        <f>SUMIFS('август 2025'!$G$2:$G$2407,'август 2025'!$D$2:$D$2407,$B17,'август 2025'!$J$2:$J$2407,O$1)</f>
        <v>0</v>
      </c>
      <c r="P17" s="76">
        <f>SUMIFS('август 2025'!$G$2:$G$2407,'август 2025'!$D$2:$D$2407,$B17,'август 2025'!$J$2:$J$2407,P$1)</f>
        <v>0</v>
      </c>
      <c r="Q17" s="76">
        <f>SUMIFS('август 2025'!$G$2:$G$2407,'август 2025'!$D$2:$D$2407,$B17,'август 2025'!$J$2:$J$2407,Q$1)</f>
        <v>0</v>
      </c>
      <c r="R17" s="76">
        <f>SUMIFS('август 2025'!$G$2:$G$2407,'август 2025'!$D$2:$D$2407,$B17,'август 2025'!$J$2:$J$2407,R$1)</f>
        <v>0</v>
      </c>
      <c r="S17" s="76">
        <f>SUMIFS('август 2025'!$G$2:$G$2407,'август 2025'!$D$2:$D$2407,$B17,'август 2025'!$J$2:$J$2407,S$1)</f>
        <v>0</v>
      </c>
      <c r="T17" s="76">
        <f>SUMIFS('август 2025'!$G$2:$G$2407,'август 2025'!$D$2:$D$2407,$B17,'август 2025'!$J$2:$J$2407,T$1)</f>
        <v>0</v>
      </c>
      <c r="U17" s="76">
        <f>SUMIFS('август 2025'!$G$2:$G$2407,'август 2025'!$D$2:$D$2407,$B17,'август 2025'!$J$2:$J$2407,U$1)</f>
        <v>0</v>
      </c>
      <c r="V17" s="76">
        <f>SUMIFS('август 2025'!$G$2:$G$2407,'август 2025'!$D$2:$D$2407,$B17,'август 2025'!$J$2:$J$2407,V$1)</f>
        <v>0</v>
      </c>
      <c r="W17" s="76">
        <f>SUMIFS('август 2025'!$G$2:$G$2407,'август 2025'!$D$2:$D$2407,$B17,'август 2025'!$J$2:$J$2407,W$1)</f>
        <v>0</v>
      </c>
      <c r="X17" s="76">
        <f>SUMIFS('август 2025'!$G$2:$G$2407,'август 2025'!$D$2:$D$2407,$B17,'август 2025'!$J$2:$J$2407,X$1)</f>
        <v>0</v>
      </c>
      <c r="Y17" s="76">
        <f>SUMIFS('август 2025'!$G$2:$G$2407,'август 2025'!$D$2:$D$2407,$B17,'август 2025'!$J$2:$J$2407,Y$1)</f>
        <v>0</v>
      </c>
      <c r="Z17" s="76">
        <f>SUMIFS('август 2025'!$G$2:$G$2407,'август 2025'!$D$2:$D$2407,$B17,'август 2025'!$J$2:$J$2407,Z$1)</f>
        <v>0</v>
      </c>
      <c r="AA17" s="76">
        <f>SUMIFS('август 2025'!$G$2:$G$2407,'август 2025'!$D$2:$D$2407,$B17,'август 2025'!$J$2:$J$2407,AA$1)</f>
        <v>0</v>
      </c>
      <c r="AB17" s="76">
        <f>SUMIFS('август 2025'!$G$2:$G$2407,'август 2025'!$D$2:$D$2407,$B17,'август 2025'!$J$2:$J$2407,AB$1)</f>
        <v>0</v>
      </c>
      <c r="AC17" s="76">
        <f>SUMIFS('август 2025'!$G$2:$G$2407,'август 2025'!$D$2:$D$2407,$B17,'август 2025'!$J$2:$J$2407,AC$1)</f>
        <v>0</v>
      </c>
      <c r="AD17" s="76">
        <f>SUMIFS('август 2025'!$G$2:$G$2407,'август 2025'!$D$2:$D$2407,$B17,'август 2025'!$J$2:$J$2407,AD$1)</f>
        <v>0</v>
      </c>
      <c r="AE17" s="76">
        <f>SUMIFS('август 2025'!$G$2:$G$2407,'август 2025'!$D$2:$D$2407,$B17,'август 2025'!$J$2:$J$2407,AE$1)</f>
        <v>0</v>
      </c>
      <c r="AF17" s="76">
        <f>SUMIFS('август 2025'!$G$2:$G$2407,'август 2025'!$D$2:$D$2407,$B17,'август 2025'!$J$2:$J$2407,AF$1)</f>
        <v>0</v>
      </c>
      <c r="AG17" s="76">
        <f>SUMIFS('август 2025'!$G$2:$G$2407,'август 2025'!$D$2:$D$2407,$B17,'август 2025'!$J$2:$J$2407,AG$1)</f>
        <v>0</v>
      </c>
      <c r="AH17" s="76">
        <f>SUMIFS('август 2025'!$G$2:$G$2407,'август 2025'!$D$2:$D$2407,$B17,'август 2025'!$J$2:$J$2407,AH$1)</f>
        <v>0</v>
      </c>
      <c r="AI17" s="20">
        <f t="shared" si="1"/>
        <v>0</v>
      </c>
    </row>
    <row r="18" spans="2:35" ht="15" customHeight="1" x14ac:dyDescent="0.25">
      <c r="B18" s="80" t="s">
        <v>235</v>
      </c>
      <c r="C18" s="81">
        <v>22.7</v>
      </c>
      <c r="D18" s="76">
        <f>SUMIFS('август 2025'!$G$2:$G$2407,'август 2025'!$D$2:$D$2407,$B18,'август 2025'!$J$2:$J$2407,D$1)</f>
        <v>0</v>
      </c>
      <c r="E18" s="76">
        <f>SUMIFS('август 2025'!$G$2:$G$2407,'август 2025'!$D$2:$D$2407,$B18,'август 2025'!$J$2:$J$2407,E$1)</f>
        <v>0</v>
      </c>
      <c r="F18" s="76">
        <f>SUMIFS('август 2025'!$G$2:$G$2407,'август 2025'!$D$2:$D$2407,$B18,'август 2025'!$J$2:$J$2407,F$1)</f>
        <v>0</v>
      </c>
      <c r="G18" s="76">
        <f>SUMIFS('август 2025'!$G$2:$G$2407,'август 2025'!$D$2:$D$2407,$B18,'август 2025'!$J$2:$J$2407,G$1)</f>
        <v>0</v>
      </c>
      <c r="H18" s="76">
        <f>SUMIFS('август 2025'!$G$2:$G$2407,'август 2025'!$D$2:$D$2407,$B18,'август 2025'!$J$2:$J$2407,H$1)</f>
        <v>0</v>
      </c>
      <c r="I18" s="76">
        <f>SUMIFS('август 2025'!$G$2:$G$2407,'август 2025'!$D$2:$D$2407,$B18,'август 2025'!$J$2:$J$2407,I$1)</f>
        <v>0</v>
      </c>
      <c r="J18" s="76">
        <f>SUMIFS('август 2025'!$G$2:$G$2407,'август 2025'!$D$2:$D$2407,$B18,'август 2025'!$J$2:$J$2407,J$1)</f>
        <v>0</v>
      </c>
      <c r="K18" s="76">
        <f>SUMIFS('август 2025'!$G$2:$G$2407,'август 2025'!$D$2:$D$2407,$B18,'август 2025'!$J$2:$J$2407,K$1)</f>
        <v>0</v>
      </c>
      <c r="L18" s="76">
        <f>SUMIFS('август 2025'!$G$2:$G$2407,'август 2025'!$D$2:$D$2407,$B18,'август 2025'!$J$2:$J$2407,L$1)</f>
        <v>0</v>
      </c>
      <c r="M18" s="76">
        <f>SUMIFS('август 2025'!$G$2:$G$2407,'август 2025'!$D$2:$D$2407,$B18,'август 2025'!$J$2:$J$2407,M$1)</f>
        <v>0</v>
      </c>
      <c r="N18" s="76">
        <f>SUMIFS('август 2025'!$G$2:$G$2407,'август 2025'!$D$2:$D$2407,$B18,'август 2025'!$J$2:$J$2407,N$1)</f>
        <v>0</v>
      </c>
      <c r="O18" s="76">
        <f>SUMIFS('август 2025'!$G$2:$G$2407,'август 2025'!$D$2:$D$2407,$B18,'август 2025'!$J$2:$J$2407,O$1)</f>
        <v>0</v>
      </c>
      <c r="P18" s="76">
        <f>SUMIFS('август 2025'!$G$2:$G$2407,'август 2025'!$D$2:$D$2407,$B18,'август 2025'!$J$2:$J$2407,P$1)</f>
        <v>0</v>
      </c>
      <c r="Q18" s="76">
        <f>SUMIFS('август 2025'!$G$2:$G$2407,'август 2025'!$D$2:$D$2407,$B18,'август 2025'!$J$2:$J$2407,Q$1)</f>
        <v>0</v>
      </c>
      <c r="R18" s="76">
        <f>SUMIFS('август 2025'!$G$2:$G$2407,'август 2025'!$D$2:$D$2407,$B18,'август 2025'!$J$2:$J$2407,R$1)</f>
        <v>0</v>
      </c>
      <c r="S18" s="76">
        <f>SUMIFS('август 2025'!$G$2:$G$2407,'август 2025'!$D$2:$D$2407,$B18,'август 2025'!$J$2:$J$2407,S$1)</f>
        <v>0</v>
      </c>
      <c r="T18" s="76">
        <f>SUMIFS('август 2025'!$G$2:$G$2407,'август 2025'!$D$2:$D$2407,$B18,'август 2025'!$J$2:$J$2407,T$1)</f>
        <v>0</v>
      </c>
      <c r="U18" s="76">
        <f>SUMIFS('август 2025'!$G$2:$G$2407,'август 2025'!$D$2:$D$2407,$B18,'август 2025'!$J$2:$J$2407,U$1)</f>
        <v>0</v>
      </c>
      <c r="V18" s="76">
        <f>SUMIFS('август 2025'!$G$2:$G$2407,'август 2025'!$D$2:$D$2407,$B18,'август 2025'!$J$2:$J$2407,V$1)</f>
        <v>0</v>
      </c>
      <c r="W18" s="76">
        <f>SUMIFS('август 2025'!$G$2:$G$2407,'август 2025'!$D$2:$D$2407,$B18,'август 2025'!$J$2:$J$2407,W$1)</f>
        <v>0</v>
      </c>
      <c r="X18" s="76">
        <f>SUMIFS('август 2025'!$G$2:$G$2407,'август 2025'!$D$2:$D$2407,$B18,'август 2025'!$J$2:$J$2407,X$1)</f>
        <v>0</v>
      </c>
      <c r="Y18" s="76">
        <f>SUMIFS('август 2025'!$G$2:$G$2407,'август 2025'!$D$2:$D$2407,$B18,'август 2025'!$J$2:$J$2407,Y$1)</f>
        <v>0</v>
      </c>
      <c r="Z18" s="76">
        <f>SUMIFS('август 2025'!$G$2:$G$2407,'август 2025'!$D$2:$D$2407,$B18,'август 2025'!$J$2:$J$2407,Z$1)</f>
        <v>0</v>
      </c>
      <c r="AA18" s="76">
        <f>SUMIFS('август 2025'!$G$2:$G$2407,'август 2025'!$D$2:$D$2407,$B18,'август 2025'!$J$2:$J$2407,AA$1)</f>
        <v>0</v>
      </c>
      <c r="AB18" s="76">
        <f>SUMIFS('август 2025'!$G$2:$G$2407,'август 2025'!$D$2:$D$2407,$B18,'август 2025'!$J$2:$J$2407,AB$1)</f>
        <v>0</v>
      </c>
      <c r="AC18" s="76">
        <f>SUMIFS('август 2025'!$G$2:$G$2407,'август 2025'!$D$2:$D$2407,$B18,'август 2025'!$J$2:$J$2407,AC$1)</f>
        <v>0</v>
      </c>
      <c r="AD18" s="76">
        <f>SUMIFS('август 2025'!$G$2:$G$2407,'август 2025'!$D$2:$D$2407,$B18,'август 2025'!$J$2:$J$2407,AD$1)</f>
        <v>0</v>
      </c>
      <c r="AE18" s="76">
        <f>SUMIFS('август 2025'!$G$2:$G$2407,'август 2025'!$D$2:$D$2407,$B18,'август 2025'!$J$2:$J$2407,AE$1)</f>
        <v>0</v>
      </c>
      <c r="AF18" s="76">
        <f>SUMIFS('август 2025'!$G$2:$G$2407,'август 2025'!$D$2:$D$2407,$B18,'август 2025'!$J$2:$J$2407,AF$1)</f>
        <v>0</v>
      </c>
      <c r="AG18" s="76">
        <f>SUMIFS('август 2025'!$G$2:$G$2407,'август 2025'!$D$2:$D$2407,$B18,'август 2025'!$J$2:$J$2407,AG$1)</f>
        <v>0</v>
      </c>
      <c r="AH18" s="76">
        <f>SUMIFS('август 2025'!$G$2:$G$2407,'август 2025'!$D$2:$D$2407,$B18,'август 2025'!$J$2:$J$2407,AH$1)</f>
        <v>0</v>
      </c>
      <c r="AI18" s="20">
        <f t="shared" si="1"/>
        <v>0</v>
      </c>
    </row>
    <row r="19" spans="2:35" ht="15" customHeight="1" x14ac:dyDescent="0.25">
      <c r="B19" s="80" t="s">
        <v>237</v>
      </c>
      <c r="C19" s="81">
        <v>25</v>
      </c>
      <c r="D19" s="76">
        <f>SUMIFS('август 2025'!$G$2:$G$2407,'август 2025'!$D$2:$D$2407,$B19,'август 2025'!$J$2:$J$2407,D$1)</f>
        <v>0</v>
      </c>
      <c r="E19" s="76">
        <f>SUMIFS('август 2025'!$G$2:$G$2407,'август 2025'!$D$2:$D$2407,$B19,'август 2025'!$J$2:$J$2407,E$1)</f>
        <v>0</v>
      </c>
      <c r="F19" s="76">
        <f>SUMIFS('август 2025'!$G$2:$G$2407,'август 2025'!$D$2:$D$2407,$B19,'август 2025'!$J$2:$J$2407,F$1)</f>
        <v>0</v>
      </c>
      <c r="G19" s="76">
        <f>SUMIFS('август 2025'!$G$2:$G$2407,'август 2025'!$D$2:$D$2407,$B19,'август 2025'!$J$2:$J$2407,G$1)</f>
        <v>0</v>
      </c>
      <c r="H19" s="76">
        <f>SUMIFS('август 2025'!$G$2:$G$2407,'август 2025'!$D$2:$D$2407,$B19,'август 2025'!$J$2:$J$2407,H$1)</f>
        <v>0</v>
      </c>
      <c r="I19" s="76">
        <f>SUMIFS('август 2025'!$G$2:$G$2407,'август 2025'!$D$2:$D$2407,$B19,'август 2025'!$J$2:$J$2407,I$1)</f>
        <v>0</v>
      </c>
      <c r="J19" s="76">
        <f>SUMIFS('август 2025'!$G$2:$G$2407,'август 2025'!$D$2:$D$2407,$B19,'август 2025'!$J$2:$J$2407,J$1)</f>
        <v>0</v>
      </c>
      <c r="K19" s="76">
        <f>SUMIFS('август 2025'!$G$2:$G$2407,'август 2025'!$D$2:$D$2407,$B19,'август 2025'!$J$2:$J$2407,K$1)</f>
        <v>0</v>
      </c>
      <c r="L19" s="76">
        <f>SUMIFS('август 2025'!$G$2:$G$2407,'август 2025'!$D$2:$D$2407,$B19,'август 2025'!$J$2:$J$2407,L$1)</f>
        <v>0</v>
      </c>
      <c r="M19" s="76">
        <f>SUMIFS('август 2025'!$G$2:$G$2407,'август 2025'!$D$2:$D$2407,$B19,'август 2025'!$J$2:$J$2407,M$1)</f>
        <v>0</v>
      </c>
      <c r="N19" s="76">
        <f>SUMIFS('август 2025'!$G$2:$G$2407,'август 2025'!$D$2:$D$2407,$B19,'август 2025'!$J$2:$J$2407,N$1)</f>
        <v>0</v>
      </c>
      <c r="O19" s="76">
        <f>SUMIFS('август 2025'!$G$2:$G$2407,'август 2025'!$D$2:$D$2407,$B19,'август 2025'!$J$2:$J$2407,O$1)</f>
        <v>0</v>
      </c>
      <c r="P19" s="76">
        <f>SUMIFS('август 2025'!$G$2:$G$2407,'август 2025'!$D$2:$D$2407,$B19,'август 2025'!$J$2:$J$2407,P$1)</f>
        <v>0</v>
      </c>
      <c r="Q19" s="76">
        <f>SUMIFS('август 2025'!$G$2:$G$2407,'август 2025'!$D$2:$D$2407,$B19,'август 2025'!$J$2:$J$2407,Q$1)</f>
        <v>0</v>
      </c>
      <c r="R19" s="76">
        <f>SUMIFS('август 2025'!$G$2:$G$2407,'август 2025'!$D$2:$D$2407,$B19,'август 2025'!$J$2:$J$2407,R$1)</f>
        <v>0</v>
      </c>
      <c r="S19" s="76">
        <f>SUMIFS('август 2025'!$G$2:$G$2407,'август 2025'!$D$2:$D$2407,$B19,'август 2025'!$J$2:$J$2407,S$1)</f>
        <v>0</v>
      </c>
      <c r="T19" s="76">
        <f>SUMIFS('август 2025'!$G$2:$G$2407,'август 2025'!$D$2:$D$2407,$B19,'август 2025'!$J$2:$J$2407,T$1)</f>
        <v>0</v>
      </c>
      <c r="U19" s="76">
        <f>SUMIFS('август 2025'!$G$2:$G$2407,'август 2025'!$D$2:$D$2407,$B19,'август 2025'!$J$2:$J$2407,U$1)</f>
        <v>0</v>
      </c>
      <c r="V19" s="76">
        <f>SUMIFS('август 2025'!$G$2:$G$2407,'август 2025'!$D$2:$D$2407,$B19,'август 2025'!$J$2:$J$2407,V$1)</f>
        <v>0</v>
      </c>
      <c r="W19" s="76">
        <f>SUMIFS('август 2025'!$G$2:$G$2407,'август 2025'!$D$2:$D$2407,$B19,'август 2025'!$J$2:$J$2407,W$1)</f>
        <v>0</v>
      </c>
      <c r="X19" s="76">
        <f>SUMIFS('август 2025'!$G$2:$G$2407,'август 2025'!$D$2:$D$2407,$B19,'август 2025'!$J$2:$J$2407,X$1)</f>
        <v>0</v>
      </c>
      <c r="Y19" s="76">
        <f>SUMIFS('август 2025'!$G$2:$G$2407,'август 2025'!$D$2:$D$2407,$B19,'август 2025'!$J$2:$J$2407,Y$1)</f>
        <v>0</v>
      </c>
      <c r="Z19" s="76">
        <f>SUMIFS('август 2025'!$G$2:$G$2407,'август 2025'!$D$2:$D$2407,$B19,'август 2025'!$J$2:$J$2407,Z$1)</f>
        <v>0</v>
      </c>
      <c r="AA19" s="76">
        <f>SUMIFS('август 2025'!$G$2:$G$2407,'август 2025'!$D$2:$D$2407,$B19,'август 2025'!$J$2:$J$2407,AA$1)</f>
        <v>0</v>
      </c>
      <c r="AB19" s="76">
        <f>SUMIFS('август 2025'!$G$2:$G$2407,'август 2025'!$D$2:$D$2407,$B19,'август 2025'!$J$2:$J$2407,AB$1)</f>
        <v>0</v>
      </c>
      <c r="AC19" s="76">
        <f>SUMIFS('август 2025'!$G$2:$G$2407,'август 2025'!$D$2:$D$2407,$B19,'август 2025'!$J$2:$J$2407,AC$1)</f>
        <v>0</v>
      </c>
      <c r="AD19" s="76">
        <f>SUMIFS('август 2025'!$G$2:$G$2407,'август 2025'!$D$2:$D$2407,$B19,'август 2025'!$J$2:$J$2407,AD$1)</f>
        <v>0</v>
      </c>
      <c r="AE19" s="76">
        <f>SUMIFS('август 2025'!$G$2:$G$2407,'август 2025'!$D$2:$D$2407,$B19,'август 2025'!$J$2:$J$2407,AE$1)</f>
        <v>0</v>
      </c>
      <c r="AF19" s="76">
        <f>SUMIFS('август 2025'!$G$2:$G$2407,'август 2025'!$D$2:$D$2407,$B19,'август 2025'!$J$2:$J$2407,AF$1)</f>
        <v>0</v>
      </c>
      <c r="AG19" s="76">
        <f>SUMIFS('август 2025'!$G$2:$G$2407,'август 2025'!$D$2:$D$2407,$B19,'август 2025'!$J$2:$J$2407,AG$1)</f>
        <v>0</v>
      </c>
      <c r="AH19" s="76">
        <f>SUMIFS('август 2025'!$G$2:$G$2407,'август 2025'!$D$2:$D$2407,$B19,'август 2025'!$J$2:$J$2407,AH$1)</f>
        <v>0</v>
      </c>
      <c r="AI19" s="20">
        <f t="shared" si="1"/>
        <v>0</v>
      </c>
    </row>
    <row r="20" spans="2:35" ht="15" customHeight="1" x14ac:dyDescent="0.25">
      <c r="B20" s="77" t="s">
        <v>239</v>
      </c>
      <c r="C20" s="78">
        <v>25</v>
      </c>
      <c r="D20" s="76">
        <f>SUMIFS('август 2025'!$G$2:$G$2407,'август 2025'!$D$2:$D$2407,$B20,'август 2025'!$J$2:$J$2407,D$1)</f>
        <v>0</v>
      </c>
      <c r="E20" s="76">
        <f>SUMIFS('август 2025'!$G$2:$G$2407,'август 2025'!$D$2:$D$2407,$B20,'август 2025'!$J$2:$J$2407,E$1)</f>
        <v>0</v>
      </c>
      <c r="F20" s="76">
        <f>SUMIFS('август 2025'!$G$2:$G$2407,'август 2025'!$D$2:$D$2407,$B20,'август 2025'!$J$2:$J$2407,F$1)</f>
        <v>0</v>
      </c>
      <c r="G20" s="76">
        <f>SUMIFS('август 2025'!$G$2:$G$2407,'август 2025'!$D$2:$D$2407,$B20,'август 2025'!$J$2:$J$2407,G$1)</f>
        <v>0</v>
      </c>
      <c r="H20" s="76">
        <f>SUMIFS('август 2025'!$G$2:$G$2407,'август 2025'!$D$2:$D$2407,$B20,'август 2025'!$J$2:$J$2407,H$1)</f>
        <v>0</v>
      </c>
      <c r="I20" s="76">
        <f>SUMIFS('август 2025'!$G$2:$G$2407,'август 2025'!$D$2:$D$2407,$B20,'август 2025'!$J$2:$J$2407,I$1)</f>
        <v>0</v>
      </c>
      <c r="J20" s="76">
        <f>SUMIFS('август 2025'!$G$2:$G$2407,'август 2025'!$D$2:$D$2407,$B20,'август 2025'!$J$2:$J$2407,J$1)</f>
        <v>0</v>
      </c>
      <c r="K20" s="76">
        <f>SUMIFS('август 2025'!$G$2:$G$2407,'август 2025'!$D$2:$D$2407,$B20,'август 2025'!$J$2:$J$2407,K$1)</f>
        <v>0</v>
      </c>
      <c r="L20" s="76">
        <f>SUMIFS('август 2025'!$G$2:$G$2407,'август 2025'!$D$2:$D$2407,$B20,'август 2025'!$J$2:$J$2407,L$1)</f>
        <v>0</v>
      </c>
      <c r="M20" s="76">
        <f>SUMIFS('август 2025'!$G$2:$G$2407,'август 2025'!$D$2:$D$2407,$B20,'август 2025'!$J$2:$J$2407,M$1)</f>
        <v>0</v>
      </c>
      <c r="N20" s="76">
        <f>SUMIFS('август 2025'!$G$2:$G$2407,'август 2025'!$D$2:$D$2407,$B20,'август 2025'!$J$2:$J$2407,N$1)</f>
        <v>0</v>
      </c>
      <c r="O20" s="76">
        <f>SUMIFS('август 2025'!$G$2:$G$2407,'август 2025'!$D$2:$D$2407,$B20,'август 2025'!$J$2:$J$2407,O$1)</f>
        <v>0</v>
      </c>
      <c r="P20" s="76">
        <f>SUMIFS('август 2025'!$G$2:$G$2407,'август 2025'!$D$2:$D$2407,$B20,'август 2025'!$J$2:$J$2407,P$1)</f>
        <v>0</v>
      </c>
      <c r="Q20" s="76">
        <f>SUMIFS('август 2025'!$G$2:$G$2407,'август 2025'!$D$2:$D$2407,$B20,'август 2025'!$J$2:$J$2407,Q$1)</f>
        <v>0</v>
      </c>
      <c r="R20" s="76">
        <f>SUMIFS('август 2025'!$G$2:$G$2407,'август 2025'!$D$2:$D$2407,$B20,'август 2025'!$J$2:$J$2407,R$1)</f>
        <v>0</v>
      </c>
      <c r="S20" s="76">
        <f>SUMIFS('август 2025'!$G$2:$G$2407,'август 2025'!$D$2:$D$2407,$B20,'август 2025'!$J$2:$J$2407,S$1)</f>
        <v>0</v>
      </c>
      <c r="T20" s="76">
        <f>SUMIFS('август 2025'!$G$2:$G$2407,'август 2025'!$D$2:$D$2407,$B20,'август 2025'!$J$2:$J$2407,T$1)</f>
        <v>0</v>
      </c>
      <c r="U20" s="76">
        <f>SUMIFS('август 2025'!$G$2:$G$2407,'август 2025'!$D$2:$D$2407,$B20,'август 2025'!$J$2:$J$2407,U$1)</f>
        <v>0</v>
      </c>
      <c r="V20" s="76">
        <f>SUMIFS('август 2025'!$G$2:$G$2407,'август 2025'!$D$2:$D$2407,$B20,'август 2025'!$J$2:$J$2407,V$1)</f>
        <v>0</v>
      </c>
      <c r="W20" s="76">
        <f>SUMIFS('август 2025'!$G$2:$G$2407,'август 2025'!$D$2:$D$2407,$B20,'август 2025'!$J$2:$J$2407,W$1)</f>
        <v>0</v>
      </c>
      <c r="X20" s="76">
        <f>SUMIFS('август 2025'!$G$2:$G$2407,'август 2025'!$D$2:$D$2407,$B20,'август 2025'!$J$2:$J$2407,X$1)</f>
        <v>0</v>
      </c>
      <c r="Y20" s="76">
        <f>SUMIFS('август 2025'!$G$2:$G$2407,'август 2025'!$D$2:$D$2407,$B20,'август 2025'!$J$2:$J$2407,Y$1)</f>
        <v>0</v>
      </c>
      <c r="Z20" s="76">
        <f>SUMIFS('август 2025'!$G$2:$G$2407,'август 2025'!$D$2:$D$2407,$B20,'август 2025'!$J$2:$J$2407,Z$1)</f>
        <v>0</v>
      </c>
      <c r="AA20" s="76">
        <f>SUMIFS('август 2025'!$G$2:$G$2407,'август 2025'!$D$2:$D$2407,$B20,'август 2025'!$J$2:$J$2407,AA$1)</f>
        <v>0</v>
      </c>
      <c r="AB20" s="76">
        <f>SUMIFS('август 2025'!$G$2:$G$2407,'август 2025'!$D$2:$D$2407,$B20,'август 2025'!$J$2:$J$2407,AB$1)</f>
        <v>0</v>
      </c>
      <c r="AC20" s="76">
        <f>SUMIFS('август 2025'!$G$2:$G$2407,'август 2025'!$D$2:$D$2407,$B20,'август 2025'!$J$2:$J$2407,AC$1)</f>
        <v>0</v>
      </c>
      <c r="AD20" s="76">
        <f>SUMIFS('август 2025'!$G$2:$G$2407,'август 2025'!$D$2:$D$2407,$B20,'август 2025'!$J$2:$J$2407,AD$1)</f>
        <v>0</v>
      </c>
      <c r="AE20" s="76">
        <f>SUMIFS('август 2025'!$G$2:$G$2407,'август 2025'!$D$2:$D$2407,$B20,'август 2025'!$J$2:$J$2407,AE$1)</f>
        <v>0</v>
      </c>
      <c r="AF20" s="76">
        <f>SUMIFS('август 2025'!$G$2:$G$2407,'август 2025'!$D$2:$D$2407,$B20,'август 2025'!$J$2:$J$2407,AF$1)</f>
        <v>0</v>
      </c>
      <c r="AG20" s="76">
        <f>SUMIFS('август 2025'!$G$2:$G$2407,'август 2025'!$D$2:$D$2407,$B20,'август 2025'!$J$2:$J$2407,AG$1)</f>
        <v>0</v>
      </c>
      <c r="AH20" s="76">
        <f>SUMIFS('август 2025'!$G$2:$G$2407,'август 2025'!$D$2:$D$2407,$B20,'август 2025'!$J$2:$J$2407,AH$1)</f>
        <v>0</v>
      </c>
      <c r="AI20" s="20">
        <f t="shared" si="1"/>
        <v>0</v>
      </c>
    </row>
    <row r="21" spans="2:35" ht="15" customHeight="1" x14ac:dyDescent="0.25">
      <c r="B21" s="77" t="s">
        <v>241</v>
      </c>
      <c r="C21" s="78">
        <v>25</v>
      </c>
      <c r="D21" s="76">
        <f>SUMIFS('август 2025'!$G$2:$G$2407,'август 2025'!$D$2:$D$2407,$B21,'август 2025'!$J$2:$J$2407,D$1)</f>
        <v>0</v>
      </c>
      <c r="E21" s="76">
        <f>SUMIFS('август 2025'!$G$2:$G$2407,'август 2025'!$D$2:$D$2407,$B21,'август 2025'!$J$2:$J$2407,E$1)</f>
        <v>0</v>
      </c>
      <c r="F21" s="76">
        <f>SUMIFS('август 2025'!$G$2:$G$2407,'август 2025'!$D$2:$D$2407,$B21,'август 2025'!$J$2:$J$2407,F$1)</f>
        <v>0</v>
      </c>
      <c r="G21" s="76">
        <f>SUMIFS('август 2025'!$G$2:$G$2407,'август 2025'!$D$2:$D$2407,$B21,'август 2025'!$J$2:$J$2407,G$1)</f>
        <v>0</v>
      </c>
      <c r="H21" s="76">
        <f>SUMIFS('август 2025'!$G$2:$G$2407,'август 2025'!$D$2:$D$2407,$B21,'август 2025'!$J$2:$J$2407,H$1)</f>
        <v>0</v>
      </c>
      <c r="I21" s="76">
        <f>SUMIFS('август 2025'!$G$2:$G$2407,'август 2025'!$D$2:$D$2407,$B21,'август 2025'!$J$2:$J$2407,I$1)</f>
        <v>0</v>
      </c>
      <c r="J21" s="76">
        <f>SUMIFS('август 2025'!$G$2:$G$2407,'август 2025'!$D$2:$D$2407,$B21,'август 2025'!$J$2:$J$2407,J$1)</f>
        <v>0</v>
      </c>
      <c r="K21" s="76">
        <f>SUMIFS('август 2025'!$G$2:$G$2407,'август 2025'!$D$2:$D$2407,$B21,'август 2025'!$J$2:$J$2407,K$1)</f>
        <v>0</v>
      </c>
      <c r="L21" s="76">
        <f>SUMIFS('август 2025'!$G$2:$G$2407,'август 2025'!$D$2:$D$2407,$B21,'август 2025'!$J$2:$J$2407,L$1)</f>
        <v>0</v>
      </c>
      <c r="M21" s="76">
        <f>SUMIFS('август 2025'!$G$2:$G$2407,'август 2025'!$D$2:$D$2407,$B21,'август 2025'!$J$2:$J$2407,M$1)</f>
        <v>0</v>
      </c>
      <c r="N21" s="76">
        <f>SUMIFS('август 2025'!$G$2:$G$2407,'август 2025'!$D$2:$D$2407,$B21,'август 2025'!$J$2:$J$2407,N$1)</f>
        <v>0</v>
      </c>
      <c r="O21" s="76">
        <f>SUMIFS('август 2025'!$G$2:$G$2407,'август 2025'!$D$2:$D$2407,$B21,'август 2025'!$J$2:$J$2407,O$1)</f>
        <v>0</v>
      </c>
      <c r="P21" s="76">
        <f>SUMIFS('август 2025'!$G$2:$G$2407,'август 2025'!$D$2:$D$2407,$B21,'август 2025'!$J$2:$J$2407,P$1)</f>
        <v>0</v>
      </c>
      <c r="Q21" s="76">
        <f>SUMIFS('август 2025'!$G$2:$G$2407,'август 2025'!$D$2:$D$2407,$B21,'август 2025'!$J$2:$J$2407,Q$1)</f>
        <v>0</v>
      </c>
      <c r="R21" s="76">
        <f>SUMIFS('август 2025'!$G$2:$G$2407,'август 2025'!$D$2:$D$2407,$B21,'август 2025'!$J$2:$J$2407,R$1)</f>
        <v>0</v>
      </c>
      <c r="S21" s="76">
        <f>SUMIFS('август 2025'!$G$2:$G$2407,'август 2025'!$D$2:$D$2407,$B21,'август 2025'!$J$2:$J$2407,S$1)</f>
        <v>0</v>
      </c>
      <c r="T21" s="76">
        <f>SUMIFS('август 2025'!$G$2:$G$2407,'август 2025'!$D$2:$D$2407,$B21,'август 2025'!$J$2:$J$2407,T$1)</f>
        <v>0</v>
      </c>
      <c r="U21" s="76">
        <f>SUMIFS('август 2025'!$G$2:$G$2407,'август 2025'!$D$2:$D$2407,$B21,'август 2025'!$J$2:$J$2407,U$1)</f>
        <v>0</v>
      </c>
      <c r="V21" s="76">
        <f>SUMIFS('август 2025'!$G$2:$G$2407,'август 2025'!$D$2:$D$2407,$B21,'август 2025'!$J$2:$J$2407,V$1)</f>
        <v>0</v>
      </c>
      <c r="W21" s="76">
        <f>SUMIFS('август 2025'!$G$2:$G$2407,'август 2025'!$D$2:$D$2407,$B21,'август 2025'!$J$2:$J$2407,W$1)</f>
        <v>0</v>
      </c>
      <c r="X21" s="76">
        <f>SUMIFS('август 2025'!$G$2:$G$2407,'август 2025'!$D$2:$D$2407,$B21,'август 2025'!$J$2:$J$2407,X$1)</f>
        <v>0</v>
      </c>
      <c r="Y21" s="76">
        <f>SUMIFS('август 2025'!$G$2:$G$2407,'август 2025'!$D$2:$D$2407,$B21,'август 2025'!$J$2:$J$2407,Y$1)</f>
        <v>0</v>
      </c>
      <c r="Z21" s="76">
        <f>SUMIFS('август 2025'!$G$2:$G$2407,'август 2025'!$D$2:$D$2407,$B21,'август 2025'!$J$2:$J$2407,Z$1)</f>
        <v>0</v>
      </c>
      <c r="AA21" s="76">
        <f>SUMIFS('август 2025'!$G$2:$G$2407,'август 2025'!$D$2:$D$2407,$B21,'август 2025'!$J$2:$J$2407,AA$1)</f>
        <v>0</v>
      </c>
      <c r="AB21" s="76">
        <f>SUMIFS('август 2025'!$G$2:$G$2407,'август 2025'!$D$2:$D$2407,$B21,'август 2025'!$J$2:$J$2407,AB$1)</f>
        <v>0</v>
      </c>
      <c r="AC21" s="76">
        <f>SUMIFS('август 2025'!$G$2:$G$2407,'август 2025'!$D$2:$D$2407,$B21,'август 2025'!$J$2:$J$2407,AC$1)</f>
        <v>0</v>
      </c>
      <c r="AD21" s="76">
        <f>SUMIFS('август 2025'!$G$2:$G$2407,'август 2025'!$D$2:$D$2407,$B21,'август 2025'!$J$2:$J$2407,AD$1)</f>
        <v>0</v>
      </c>
      <c r="AE21" s="76">
        <f>SUMIFS('август 2025'!$G$2:$G$2407,'август 2025'!$D$2:$D$2407,$B21,'август 2025'!$J$2:$J$2407,AE$1)</f>
        <v>0</v>
      </c>
      <c r="AF21" s="76">
        <f>SUMIFS('август 2025'!$G$2:$G$2407,'август 2025'!$D$2:$D$2407,$B21,'август 2025'!$J$2:$J$2407,AF$1)</f>
        <v>0</v>
      </c>
      <c r="AG21" s="76">
        <f>SUMIFS('август 2025'!$G$2:$G$2407,'август 2025'!$D$2:$D$2407,$B21,'август 2025'!$J$2:$J$2407,AG$1)</f>
        <v>0</v>
      </c>
      <c r="AH21" s="76">
        <f>SUMIFS('август 2025'!$G$2:$G$2407,'август 2025'!$D$2:$D$2407,$B21,'август 2025'!$J$2:$J$2407,AH$1)</f>
        <v>0</v>
      </c>
      <c r="AI21" s="20">
        <f t="shared" si="1"/>
        <v>0</v>
      </c>
    </row>
    <row r="22" spans="2:35" ht="15" customHeight="1" x14ac:dyDescent="0.25">
      <c r="B22" s="77" t="s">
        <v>243</v>
      </c>
      <c r="C22" s="78">
        <v>25</v>
      </c>
      <c r="D22" s="76">
        <f>SUMIFS('август 2025'!$G$2:$G$2407,'август 2025'!$D$2:$D$2407,$B22,'август 2025'!$J$2:$J$2407,D$1)</f>
        <v>0</v>
      </c>
      <c r="E22" s="76">
        <f>SUMIFS('август 2025'!$G$2:$G$2407,'август 2025'!$D$2:$D$2407,$B22,'август 2025'!$J$2:$J$2407,E$1)</f>
        <v>0</v>
      </c>
      <c r="F22" s="76">
        <f>SUMIFS('август 2025'!$G$2:$G$2407,'август 2025'!$D$2:$D$2407,$B22,'август 2025'!$J$2:$J$2407,F$1)</f>
        <v>0</v>
      </c>
      <c r="G22" s="76">
        <f>SUMIFS('август 2025'!$G$2:$G$2407,'август 2025'!$D$2:$D$2407,$B22,'август 2025'!$J$2:$J$2407,G$1)</f>
        <v>0</v>
      </c>
      <c r="H22" s="76">
        <f>SUMIFS('август 2025'!$G$2:$G$2407,'август 2025'!$D$2:$D$2407,$B22,'август 2025'!$J$2:$J$2407,H$1)</f>
        <v>0</v>
      </c>
      <c r="I22" s="76">
        <f>SUMIFS('август 2025'!$G$2:$G$2407,'август 2025'!$D$2:$D$2407,$B22,'август 2025'!$J$2:$J$2407,I$1)</f>
        <v>0</v>
      </c>
      <c r="J22" s="76">
        <f>SUMIFS('август 2025'!$G$2:$G$2407,'август 2025'!$D$2:$D$2407,$B22,'август 2025'!$J$2:$J$2407,J$1)</f>
        <v>0</v>
      </c>
      <c r="K22" s="76">
        <f>SUMIFS('август 2025'!$G$2:$G$2407,'август 2025'!$D$2:$D$2407,$B22,'август 2025'!$J$2:$J$2407,K$1)</f>
        <v>0</v>
      </c>
      <c r="L22" s="76">
        <f>SUMIFS('август 2025'!$G$2:$G$2407,'август 2025'!$D$2:$D$2407,$B22,'август 2025'!$J$2:$J$2407,L$1)</f>
        <v>0</v>
      </c>
      <c r="M22" s="76">
        <f>SUMIFS('август 2025'!$G$2:$G$2407,'август 2025'!$D$2:$D$2407,$B22,'август 2025'!$J$2:$J$2407,M$1)</f>
        <v>0</v>
      </c>
      <c r="N22" s="76">
        <f>SUMIFS('август 2025'!$G$2:$G$2407,'август 2025'!$D$2:$D$2407,$B22,'август 2025'!$J$2:$J$2407,N$1)</f>
        <v>0</v>
      </c>
      <c r="O22" s="76">
        <f>SUMIFS('август 2025'!$G$2:$G$2407,'август 2025'!$D$2:$D$2407,$B22,'август 2025'!$J$2:$J$2407,O$1)</f>
        <v>0</v>
      </c>
      <c r="P22" s="76">
        <f>SUMIFS('август 2025'!$G$2:$G$2407,'август 2025'!$D$2:$D$2407,$B22,'август 2025'!$J$2:$J$2407,P$1)</f>
        <v>0</v>
      </c>
      <c r="Q22" s="76">
        <f>SUMIFS('август 2025'!$G$2:$G$2407,'август 2025'!$D$2:$D$2407,$B22,'август 2025'!$J$2:$J$2407,Q$1)</f>
        <v>0</v>
      </c>
      <c r="R22" s="76">
        <f>SUMIFS('август 2025'!$G$2:$G$2407,'август 2025'!$D$2:$D$2407,$B22,'август 2025'!$J$2:$J$2407,R$1)</f>
        <v>0</v>
      </c>
      <c r="S22" s="76">
        <f>SUMIFS('август 2025'!$G$2:$G$2407,'август 2025'!$D$2:$D$2407,$B22,'август 2025'!$J$2:$J$2407,S$1)</f>
        <v>0</v>
      </c>
      <c r="T22" s="76">
        <f>SUMIFS('август 2025'!$G$2:$G$2407,'август 2025'!$D$2:$D$2407,$B22,'август 2025'!$J$2:$J$2407,T$1)</f>
        <v>0</v>
      </c>
      <c r="U22" s="76">
        <f>SUMIFS('август 2025'!$G$2:$G$2407,'август 2025'!$D$2:$D$2407,$B22,'август 2025'!$J$2:$J$2407,U$1)</f>
        <v>0</v>
      </c>
      <c r="V22" s="76">
        <f>SUMIFS('август 2025'!$G$2:$G$2407,'август 2025'!$D$2:$D$2407,$B22,'август 2025'!$J$2:$J$2407,V$1)</f>
        <v>0</v>
      </c>
      <c r="W22" s="76">
        <f>SUMIFS('август 2025'!$G$2:$G$2407,'август 2025'!$D$2:$D$2407,$B22,'август 2025'!$J$2:$J$2407,W$1)</f>
        <v>0</v>
      </c>
      <c r="X22" s="76">
        <f>SUMIFS('август 2025'!$G$2:$G$2407,'август 2025'!$D$2:$D$2407,$B22,'август 2025'!$J$2:$J$2407,X$1)</f>
        <v>0</v>
      </c>
      <c r="Y22" s="76">
        <f>SUMIFS('август 2025'!$G$2:$G$2407,'август 2025'!$D$2:$D$2407,$B22,'август 2025'!$J$2:$J$2407,Y$1)</f>
        <v>0</v>
      </c>
      <c r="Z22" s="76">
        <f>SUMIFS('август 2025'!$G$2:$G$2407,'август 2025'!$D$2:$D$2407,$B22,'август 2025'!$J$2:$J$2407,Z$1)</f>
        <v>0</v>
      </c>
      <c r="AA22" s="76">
        <f>SUMIFS('август 2025'!$G$2:$G$2407,'август 2025'!$D$2:$D$2407,$B22,'август 2025'!$J$2:$J$2407,AA$1)</f>
        <v>0</v>
      </c>
      <c r="AB22" s="76">
        <f>SUMIFS('август 2025'!$G$2:$G$2407,'август 2025'!$D$2:$D$2407,$B22,'август 2025'!$J$2:$J$2407,AB$1)</f>
        <v>0</v>
      </c>
      <c r="AC22" s="76">
        <f>SUMIFS('август 2025'!$G$2:$G$2407,'август 2025'!$D$2:$D$2407,$B22,'август 2025'!$J$2:$J$2407,AC$1)</f>
        <v>0</v>
      </c>
      <c r="AD22" s="76">
        <f>SUMIFS('август 2025'!$G$2:$G$2407,'август 2025'!$D$2:$D$2407,$B22,'август 2025'!$J$2:$J$2407,AD$1)</f>
        <v>0</v>
      </c>
      <c r="AE22" s="76">
        <f>SUMIFS('август 2025'!$G$2:$G$2407,'август 2025'!$D$2:$D$2407,$B22,'август 2025'!$J$2:$J$2407,AE$1)</f>
        <v>0</v>
      </c>
      <c r="AF22" s="76">
        <f>SUMIFS('август 2025'!$G$2:$G$2407,'август 2025'!$D$2:$D$2407,$B22,'август 2025'!$J$2:$J$2407,AF$1)</f>
        <v>0</v>
      </c>
      <c r="AG22" s="76">
        <f>SUMIFS('август 2025'!$G$2:$G$2407,'август 2025'!$D$2:$D$2407,$B22,'август 2025'!$J$2:$J$2407,AG$1)</f>
        <v>0</v>
      </c>
      <c r="AH22" s="76">
        <f>SUMIFS('август 2025'!$G$2:$G$2407,'август 2025'!$D$2:$D$2407,$B22,'август 2025'!$J$2:$J$2407,AH$1)</f>
        <v>0</v>
      </c>
      <c r="AI22" s="20">
        <f t="shared" si="1"/>
        <v>0</v>
      </c>
    </row>
    <row r="23" spans="2:35" ht="15" customHeight="1" x14ac:dyDescent="0.25">
      <c r="B23" s="77" t="s">
        <v>245</v>
      </c>
      <c r="C23" s="78">
        <v>25</v>
      </c>
      <c r="D23" s="76">
        <f>SUMIFS('август 2025'!$G$2:$G$2407,'август 2025'!$D$2:$D$2407,$B23,'август 2025'!$J$2:$J$2407,D$1)</f>
        <v>0</v>
      </c>
      <c r="E23" s="76">
        <f>SUMIFS('август 2025'!$G$2:$G$2407,'август 2025'!$D$2:$D$2407,$B23,'август 2025'!$J$2:$J$2407,E$1)</f>
        <v>0</v>
      </c>
      <c r="F23" s="76">
        <f>SUMIFS('август 2025'!$G$2:$G$2407,'август 2025'!$D$2:$D$2407,$B23,'август 2025'!$J$2:$J$2407,F$1)</f>
        <v>0</v>
      </c>
      <c r="G23" s="76">
        <f>SUMIFS('август 2025'!$G$2:$G$2407,'август 2025'!$D$2:$D$2407,$B23,'август 2025'!$J$2:$J$2407,G$1)</f>
        <v>0</v>
      </c>
      <c r="H23" s="76">
        <f>SUMIFS('август 2025'!$G$2:$G$2407,'август 2025'!$D$2:$D$2407,$B23,'август 2025'!$J$2:$J$2407,H$1)</f>
        <v>0</v>
      </c>
      <c r="I23" s="76">
        <f>SUMIFS('август 2025'!$G$2:$G$2407,'август 2025'!$D$2:$D$2407,$B23,'август 2025'!$J$2:$J$2407,I$1)</f>
        <v>0</v>
      </c>
      <c r="J23" s="76">
        <f>SUMIFS('август 2025'!$G$2:$G$2407,'август 2025'!$D$2:$D$2407,$B23,'август 2025'!$J$2:$J$2407,J$1)</f>
        <v>0</v>
      </c>
      <c r="K23" s="76">
        <f>SUMIFS('август 2025'!$G$2:$G$2407,'август 2025'!$D$2:$D$2407,$B23,'август 2025'!$J$2:$J$2407,K$1)</f>
        <v>0</v>
      </c>
      <c r="L23" s="76">
        <f>SUMIFS('август 2025'!$G$2:$G$2407,'август 2025'!$D$2:$D$2407,$B23,'август 2025'!$J$2:$J$2407,L$1)</f>
        <v>0</v>
      </c>
      <c r="M23" s="76">
        <f>SUMIFS('август 2025'!$G$2:$G$2407,'август 2025'!$D$2:$D$2407,$B23,'август 2025'!$J$2:$J$2407,M$1)</f>
        <v>0</v>
      </c>
      <c r="N23" s="76">
        <f>SUMIFS('август 2025'!$G$2:$G$2407,'август 2025'!$D$2:$D$2407,$B23,'август 2025'!$J$2:$J$2407,N$1)</f>
        <v>0</v>
      </c>
      <c r="O23" s="76">
        <f>SUMIFS('август 2025'!$G$2:$G$2407,'август 2025'!$D$2:$D$2407,$B23,'август 2025'!$J$2:$J$2407,O$1)</f>
        <v>0</v>
      </c>
      <c r="P23" s="76">
        <f>SUMIFS('август 2025'!$G$2:$G$2407,'август 2025'!$D$2:$D$2407,$B23,'август 2025'!$J$2:$J$2407,P$1)</f>
        <v>0</v>
      </c>
      <c r="Q23" s="76">
        <f>SUMIFS('август 2025'!$G$2:$G$2407,'август 2025'!$D$2:$D$2407,$B23,'август 2025'!$J$2:$J$2407,Q$1)</f>
        <v>0</v>
      </c>
      <c r="R23" s="76">
        <f>SUMIFS('август 2025'!$G$2:$G$2407,'август 2025'!$D$2:$D$2407,$B23,'август 2025'!$J$2:$J$2407,R$1)</f>
        <v>0</v>
      </c>
      <c r="S23" s="76">
        <f>SUMIFS('август 2025'!$G$2:$G$2407,'август 2025'!$D$2:$D$2407,$B23,'август 2025'!$J$2:$J$2407,S$1)</f>
        <v>0</v>
      </c>
      <c r="T23" s="76">
        <f>SUMIFS('август 2025'!$G$2:$G$2407,'август 2025'!$D$2:$D$2407,$B23,'август 2025'!$J$2:$J$2407,T$1)</f>
        <v>0</v>
      </c>
      <c r="U23" s="76">
        <f>SUMIFS('август 2025'!$G$2:$G$2407,'август 2025'!$D$2:$D$2407,$B23,'август 2025'!$J$2:$J$2407,U$1)</f>
        <v>0</v>
      </c>
      <c r="V23" s="76">
        <f>SUMIFS('август 2025'!$G$2:$G$2407,'август 2025'!$D$2:$D$2407,$B23,'август 2025'!$J$2:$J$2407,V$1)</f>
        <v>0</v>
      </c>
      <c r="W23" s="76">
        <f>SUMIFS('август 2025'!$G$2:$G$2407,'август 2025'!$D$2:$D$2407,$B23,'август 2025'!$J$2:$J$2407,W$1)</f>
        <v>0</v>
      </c>
      <c r="X23" s="76">
        <f>SUMIFS('август 2025'!$G$2:$G$2407,'август 2025'!$D$2:$D$2407,$B23,'август 2025'!$J$2:$J$2407,X$1)</f>
        <v>0</v>
      </c>
      <c r="Y23" s="76">
        <f>SUMIFS('август 2025'!$G$2:$G$2407,'август 2025'!$D$2:$D$2407,$B23,'август 2025'!$J$2:$J$2407,Y$1)</f>
        <v>0</v>
      </c>
      <c r="Z23" s="76">
        <f>SUMIFS('август 2025'!$G$2:$G$2407,'август 2025'!$D$2:$D$2407,$B23,'август 2025'!$J$2:$J$2407,Z$1)</f>
        <v>0</v>
      </c>
      <c r="AA23" s="76">
        <f>SUMIFS('август 2025'!$G$2:$G$2407,'август 2025'!$D$2:$D$2407,$B23,'август 2025'!$J$2:$J$2407,AA$1)</f>
        <v>0</v>
      </c>
      <c r="AB23" s="76">
        <f>SUMIFS('август 2025'!$G$2:$G$2407,'август 2025'!$D$2:$D$2407,$B23,'август 2025'!$J$2:$J$2407,AB$1)</f>
        <v>0</v>
      </c>
      <c r="AC23" s="76">
        <f>SUMIFS('август 2025'!$G$2:$G$2407,'август 2025'!$D$2:$D$2407,$B23,'август 2025'!$J$2:$J$2407,AC$1)</f>
        <v>0</v>
      </c>
      <c r="AD23" s="76">
        <f>SUMIFS('август 2025'!$G$2:$G$2407,'август 2025'!$D$2:$D$2407,$B23,'август 2025'!$J$2:$J$2407,AD$1)</f>
        <v>0</v>
      </c>
      <c r="AE23" s="76">
        <f>SUMIFS('август 2025'!$G$2:$G$2407,'август 2025'!$D$2:$D$2407,$B23,'август 2025'!$J$2:$J$2407,AE$1)</f>
        <v>0</v>
      </c>
      <c r="AF23" s="76">
        <f>SUMIFS('август 2025'!$G$2:$G$2407,'август 2025'!$D$2:$D$2407,$B23,'август 2025'!$J$2:$J$2407,AF$1)</f>
        <v>0</v>
      </c>
      <c r="AG23" s="76">
        <f>SUMIFS('август 2025'!$G$2:$G$2407,'август 2025'!$D$2:$D$2407,$B23,'август 2025'!$J$2:$J$2407,AG$1)</f>
        <v>0</v>
      </c>
      <c r="AH23" s="76">
        <f>SUMIFS('август 2025'!$G$2:$G$2407,'август 2025'!$D$2:$D$2407,$B23,'август 2025'!$J$2:$J$2407,AH$1)</f>
        <v>0</v>
      </c>
      <c r="AI23" s="20">
        <f t="shared" si="1"/>
        <v>0</v>
      </c>
    </row>
    <row r="24" spans="2:35" ht="15" customHeight="1" x14ac:dyDescent="0.25">
      <c r="B24" s="80" t="s">
        <v>247</v>
      </c>
      <c r="C24" s="96">
        <v>25</v>
      </c>
      <c r="D24" s="76">
        <f>SUMIFS('август 2025'!$G$2:$G$2407,'август 2025'!$D$2:$D$2407,$B24,'август 2025'!$J$2:$J$2407,D$1)</f>
        <v>0</v>
      </c>
      <c r="E24" s="76">
        <f>SUMIFS('август 2025'!$G$2:$G$2407,'август 2025'!$D$2:$D$2407,$B24,'август 2025'!$J$2:$J$2407,E$1)</f>
        <v>0</v>
      </c>
      <c r="F24" s="76">
        <f>SUMIFS('август 2025'!$G$2:$G$2407,'август 2025'!$D$2:$D$2407,$B24,'август 2025'!$J$2:$J$2407,F$1)</f>
        <v>0</v>
      </c>
      <c r="G24" s="76">
        <f>SUMIFS('август 2025'!$G$2:$G$2407,'август 2025'!$D$2:$D$2407,$B24,'август 2025'!$J$2:$J$2407,G$1)</f>
        <v>0</v>
      </c>
      <c r="H24" s="76">
        <f>SUMIFS('август 2025'!$G$2:$G$2407,'август 2025'!$D$2:$D$2407,$B24,'август 2025'!$J$2:$J$2407,H$1)</f>
        <v>0</v>
      </c>
      <c r="I24" s="76">
        <f>SUMIFS('август 2025'!$G$2:$G$2407,'август 2025'!$D$2:$D$2407,$B24,'август 2025'!$J$2:$J$2407,I$1)</f>
        <v>0</v>
      </c>
      <c r="J24" s="76">
        <f>SUMIFS('август 2025'!$G$2:$G$2407,'август 2025'!$D$2:$D$2407,$B24,'август 2025'!$J$2:$J$2407,J$1)</f>
        <v>0</v>
      </c>
      <c r="K24" s="76">
        <f>SUMIFS('август 2025'!$G$2:$G$2407,'август 2025'!$D$2:$D$2407,$B24,'август 2025'!$J$2:$J$2407,K$1)</f>
        <v>0</v>
      </c>
      <c r="L24" s="76">
        <f>SUMIFS('август 2025'!$G$2:$G$2407,'август 2025'!$D$2:$D$2407,$B24,'август 2025'!$J$2:$J$2407,L$1)</f>
        <v>0</v>
      </c>
      <c r="M24" s="76">
        <f>SUMIFS('август 2025'!$G$2:$G$2407,'август 2025'!$D$2:$D$2407,$B24,'август 2025'!$J$2:$J$2407,M$1)</f>
        <v>0</v>
      </c>
      <c r="N24" s="76">
        <f>SUMIFS('август 2025'!$G$2:$G$2407,'август 2025'!$D$2:$D$2407,$B24,'август 2025'!$J$2:$J$2407,N$1)</f>
        <v>0</v>
      </c>
      <c r="O24" s="76">
        <f>SUMIFS('август 2025'!$G$2:$G$2407,'август 2025'!$D$2:$D$2407,$B24,'август 2025'!$J$2:$J$2407,O$1)</f>
        <v>0</v>
      </c>
      <c r="P24" s="76">
        <f>SUMIFS('август 2025'!$G$2:$G$2407,'август 2025'!$D$2:$D$2407,$B24,'август 2025'!$J$2:$J$2407,P$1)</f>
        <v>0</v>
      </c>
      <c r="Q24" s="76">
        <f>SUMIFS('август 2025'!$G$2:$G$2407,'август 2025'!$D$2:$D$2407,$B24,'август 2025'!$J$2:$J$2407,Q$1)</f>
        <v>0</v>
      </c>
      <c r="R24" s="76">
        <f>SUMIFS('август 2025'!$G$2:$G$2407,'август 2025'!$D$2:$D$2407,$B24,'август 2025'!$J$2:$J$2407,R$1)</f>
        <v>0</v>
      </c>
      <c r="S24" s="76">
        <f>SUMIFS('август 2025'!$G$2:$G$2407,'август 2025'!$D$2:$D$2407,$B24,'август 2025'!$J$2:$J$2407,S$1)</f>
        <v>0</v>
      </c>
      <c r="T24" s="76">
        <f>SUMIFS('август 2025'!$G$2:$G$2407,'август 2025'!$D$2:$D$2407,$B24,'август 2025'!$J$2:$J$2407,T$1)</f>
        <v>0</v>
      </c>
      <c r="U24" s="76">
        <f>SUMIFS('август 2025'!$G$2:$G$2407,'август 2025'!$D$2:$D$2407,$B24,'август 2025'!$J$2:$J$2407,U$1)</f>
        <v>0</v>
      </c>
      <c r="V24" s="76">
        <f>SUMIFS('август 2025'!$G$2:$G$2407,'август 2025'!$D$2:$D$2407,$B24,'август 2025'!$J$2:$J$2407,V$1)</f>
        <v>0</v>
      </c>
      <c r="W24" s="76">
        <f>SUMIFS('август 2025'!$G$2:$G$2407,'август 2025'!$D$2:$D$2407,$B24,'август 2025'!$J$2:$J$2407,W$1)</f>
        <v>0</v>
      </c>
      <c r="X24" s="76">
        <f>SUMIFS('август 2025'!$G$2:$G$2407,'август 2025'!$D$2:$D$2407,$B24,'август 2025'!$J$2:$J$2407,X$1)</f>
        <v>0</v>
      </c>
      <c r="Y24" s="76">
        <f>SUMIFS('август 2025'!$G$2:$G$2407,'август 2025'!$D$2:$D$2407,$B24,'август 2025'!$J$2:$J$2407,Y$1)</f>
        <v>0</v>
      </c>
      <c r="Z24" s="76">
        <f>SUMIFS('август 2025'!$G$2:$G$2407,'август 2025'!$D$2:$D$2407,$B24,'август 2025'!$J$2:$J$2407,Z$1)</f>
        <v>0</v>
      </c>
      <c r="AA24" s="76">
        <f>SUMIFS('август 2025'!$G$2:$G$2407,'август 2025'!$D$2:$D$2407,$B24,'август 2025'!$J$2:$J$2407,AA$1)</f>
        <v>0</v>
      </c>
      <c r="AB24" s="76">
        <f>SUMIFS('август 2025'!$G$2:$G$2407,'август 2025'!$D$2:$D$2407,$B24,'август 2025'!$J$2:$J$2407,AB$1)</f>
        <v>0</v>
      </c>
      <c r="AC24" s="76">
        <f>SUMIFS('август 2025'!$G$2:$G$2407,'август 2025'!$D$2:$D$2407,$B24,'август 2025'!$J$2:$J$2407,AC$1)</f>
        <v>0</v>
      </c>
      <c r="AD24" s="76">
        <f>SUMIFS('август 2025'!$G$2:$G$2407,'август 2025'!$D$2:$D$2407,$B24,'август 2025'!$J$2:$J$2407,AD$1)</f>
        <v>0</v>
      </c>
      <c r="AE24" s="76">
        <f>SUMIFS('август 2025'!$G$2:$G$2407,'август 2025'!$D$2:$D$2407,$B24,'август 2025'!$J$2:$J$2407,AE$1)</f>
        <v>0</v>
      </c>
      <c r="AF24" s="76">
        <f>SUMIFS('август 2025'!$G$2:$G$2407,'август 2025'!$D$2:$D$2407,$B24,'август 2025'!$J$2:$J$2407,AF$1)</f>
        <v>0</v>
      </c>
      <c r="AG24" s="76">
        <f>SUMIFS('август 2025'!$G$2:$G$2407,'август 2025'!$D$2:$D$2407,$B24,'август 2025'!$J$2:$J$2407,AG$1)</f>
        <v>0</v>
      </c>
      <c r="AH24" s="76">
        <f>SUMIFS('август 2025'!$G$2:$G$2407,'август 2025'!$D$2:$D$2407,$B24,'август 2025'!$J$2:$J$2407,AH$1)</f>
        <v>0</v>
      </c>
      <c r="AI24" s="20">
        <f t="shared" si="1"/>
        <v>0</v>
      </c>
    </row>
    <row r="25" spans="2:35" ht="15" customHeight="1" x14ac:dyDescent="0.25">
      <c r="B25" s="80" t="s">
        <v>248</v>
      </c>
      <c r="C25" s="78">
        <v>25</v>
      </c>
      <c r="D25" s="76">
        <f>SUMIFS('август 2025'!$G$2:$G$2407,'август 2025'!$D$2:$D$2407,$B25,'август 2025'!$J$2:$J$2407,D$1)</f>
        <v>0</v>
      </c>
      <c r="E25" s="76">
        <f>SUMIFS('август 2025'!$G$2:$G$2407,'август 2025'!$D$2:$D$2407,$B25,'август 2025'!$J$2:$J$2407,E$1)</f>
        <v>0</v>
      </c>
      <c r="F25" s="76">
        <f>SUMIFS('август 2025'!$G$2:$G$2407,'август 2025'!$D$2:$D$2407,$B25,'август 2025'!$J$2:$J$2407,F$1)</f>
        <v>0</v>
      </c>
      <c r="G25" s="76">
        <f>SUMIFS('август 2025'!$G$2:$G$2407,'август 2025'!$D$2:$D$2407,$B25,'август 2025'!$J$2:$J$2407,G$1)</f>
        <v>0</v>
      </c>
      <c r="H25" s="76">
        <f>SUMIFS('август 2025'!$G$2:$G$2407,'август 2025'!$D$2:$D$2407,$B25,'август 2025'!$J$2:$J$2407,H$1)</f>
        <v>0</v>
      </c>
      <c r="I25" s="76">
        <f>SUMIFS('август 2025'!$G$2:$G$2407,'август 2025'!$D$2:$D$2407,$B25,'август 2025'!$J$2:$J$2407,I$1)</f>
        <v>0</v>
      </c>
      <c r="J25" s="76">
        <f>SUMIFS('август 2025'!$G$2:$G$2407,'август 2025'!$D$2:$D$2407,$B25,'август 2025'!$J$2:$J$2407,J$1)</f>
        <v>0</v>
      </c>
      <c r="K25" s="76">
        <f>SUMIFS('август 2025'!$G$2:$G$2407,'август 2025'!$D$2:$D$2407,$B25,'август 2025'!$J$2:$J$2407,K$1)</f>
        <v>0</v>
      </c>
      <c r="L25" s="76">
        <f>SUMIFS('август 2025'!$G$2:$G$2407,'август 2025'!$D$2:$D$2407,$B25,'август 2025'!$J$2:$J$2407,L$1)</f>
        <v>0</v>
      </c>
      <c r="M25" s="76">
        <f>SUMIFS('август 2025'!$G$2:$G$2407,'август 2025'!$D$2:$D$2407,$B25,'август 2025'!$J$2:$J$2407,M$1)</f>
        <v>0</v>
      </c>
      <c r="N25" s="76">
        <f>SUMIFS('август 2025'!$G$2:$G$2407,'август 2025'!$D$2:$D$2407,$B25,'август 2025'!$J$2:$J$2407,N$1)</f>
        <v>0</v>
      </c>
      <c r="O25" s="76">
        <f>SUMIFS('август 2025'!$G$2:$G$2407,'август 2025'!$D$2:$D$2407,$B25,'август 2025'!$J$2:$J$2407,O$1)</f>
        <v>0</v>
      </c>
      <c r="P25" s="76">
        <f>SUMIFS('август 2025'!$G$2:$G$2407,'август 2025'!$D$2:$D$2407,$B25,'август 2025'!$J$2:$J$2407,P$1)</f>
        <v>0</v>
      </c>
      <c r="Q25" s="76">
        <f>SUMIFS('август 2025'!$G$2:$G$2407,'август 2025'!$D$2:$D$2407,$B25,'август 2025'!$J$2:$J$2407,Q$1)</f>
        <v>0</v>
      </c>
      <c r="R25" s="76">
        <f>SUMIFS('август 2025'!$G$2:$G$2407,'август 2025'!$D$2:$D$2407,$B25,'август 2025'!$J$2:$J$2407,R$1)</f>
        <v>0</v>
      </c>
      <c r="S25" s="76">
        <f>SUMIFS('август 2025'!$G$2:$G$2407,'август 2025'!$D$2:$D$2407,$B25,'август 2025'!$J$2:$J$2407,S$1)</f>
        <v>0</v>
      </c>
      <c r="T25" s="76">
        <f>SUMIFS('август 2025'!$G$2:$G$2407,'август 2025'!$D$2:$D$2407,$B25,'август 2025'!$J$2:$J$2407,T$1)</f>
        <v>0</v>
      </c>
      <c r="U25" s="76">
        <f>SUMIFS('август 2025'!$G$2:$G$2407,'август 2025'!$D$2:$D$2407,$B25,'август 2025'!$J$2:$J$2407,U$1)</f>
        <v>0</v>
      </c>
      <c r="V25" s="76">
        <f>SUMIFS('август 2025'!$G$2:$G$2407,'август 2025'!$D$2:$D$2407,$B25,'август 2025'!$J$2:$J$2407,V$1)</f>
        <v>0</v>
      </c>
      <c r="W25" s="76">
        <f>SUMIFS('август 2025'!$G$2:$G$2407,'август 2025'!$D$2:$D$2407,$B25,'август 2025'!$J$2:$J$2407,W$1)</f>
        <v>0</v>
      </c>
      <c r="X25" s="76">
        <f>SUMIFS('август 2025'!$G$2:$G$2407,'август 2025'!$D$2:$D$2407,$B25,'август 2025'!$J$2:$J$2407,X$1)</f>
        <v>0</v>
      </c>
      <c r="Y25" s="76">
        <f>SUMIFS('август 2025'!$G$2:$G$2407,'август 2025'!$D$2:$D$2407,$B25,'август 2025'!$J$2:$J$2407,Y$1)</f>
        <v>0</v>
      </c>
      <c r="Z25" s="76">
        <f>SUMIFS('август 2025'!$G$2:$G$2407,'август 2025'!$D$2:$D$2407,$B25,'август 2025'!$J$2:$J$2407,Z$1)</f>
        <v>0</v>
      </c>
      <c r="AA25" s="76">
        <f>SUMIFS('август 2025'!$G$2:$G$2407,'август 2025'!$D$2:$D$2407,$B25,'август 2025'!$J$2:$J$2407,AA$1)</f>
        <v>0</v>
      </c>
      <c r="AB25" s="76">
        <f>SUMIFS('август 2025'!$G$2:$G$2407,'август 2025'!$D$2:$D$2407,$B25,'август 2025'!$J$2:$J$2407,AB$1)</f>
        <v>0</v>
      </c>
      <c r="AC25" s="76">
        <f>SUMIFS('август 2025'!$G$2:$G$2407,'август 2025'!$D$2:$D$2407,$B25,'август 2025'!$J$2:$J$2407,AC$1)</f>
        <v>0</v>
      </c>
      <c r="AD25" s="76">
        <f>SUMIFS('август 2025'!$G$2:$G$2407,'август 2025'!$D$2:$D$2407,$B25,'август 2025'!$J$2:$J$2407,AD$1)</f>
        <v>0</v>
      </c>
      <c r="AE25" s="76">
        <f>SUMIFS('август 2025'!$G$2:$G$2407,'август 2025'!$D$2:$D$2407,$B25,'август 2025'!$J$2:$J$2407,AE$1)</f>
        <v>0</v>
      </c>
      <c r="AF25" s="76">
        <f>SUMIFS('август 2025'!$G$2:$G$2407,'август 2025'!$D$2:$D$2407,$B25,'август 2025'!$J$2:$J$2407,AF$1)</f>
        <v>0</v>
      </c>
      <c r="AG25" s="76">
        <f>SUMIFS('август 2025'!$G$2:$G$2407,'август 2025'!$D$2:$D$2407,$B25,'август 2025'!$J$2:$J$2407,AG$1)</f>
        <v>0</v>
      </c>
      <c r="AH25" s="76">
        <f>SUMIFS('август 2025'!$G$2:$G$2407,'август 2025'!$D$2:$D$2407,$B25,'август 2025'!$J$2:$J$2407,AH$1)</f>
        <v>0</v>
      </c>
      <c r="AI25" s="20">
        <f t="shared" si="1"/>
        <v>0</v>
      </c>
    </row>
    <row r="26" spans="2:35" ht="15" customHeight="1" x14ac:dyDescent="0.25">
      <c r="B26" s="80" t="s">
        <v>249</v>
      </c>
      <c r="C26" s="78">
        <v>25</v>
      </c>
      <c r="D26" s="76">
        <f>SUMIFS('август 2025'!$G$2:$G$2407,'август 2025'!$D$2:$D$2407,$B26,'август 2025'!$J$2:$J$2407,D$1)</f>
        <v>0</v>
      </c>
      <c r="E26" s="76">
        <f>SUMIFS('август 2025'!$G$2:$G$2407,'август 2025'!$D$2:$D$2407,$B26,'август 2025'!$J$2:$J$2407,E$1)</f>
        <v>0</v>
      </c>
      <c r="F26" s="76">
        <f>SUMIFS('август 2025'!$G$2:$G$2407,'август 2025'!$D$2:$D$2407,$B26,'август 2025'!$J$2:$J$2407,F$1)</f>
        <v>0</v>
      </c>
      <c r="G26" s="76">
        <f>SUMIFS('август 2025'!$G$2:$G$2407,'август 2025'!$D$2:$D$2407,$B26,'август 2025'!$J$2:$J$2407,G$1)</f>
        <v>0</v>
      </c>
      <c r="H26" s="76">
        <f>SUMIFS('август 2025'!$G$2:$G$2407,'август 2025'!$D$2:$D$2407,$B26,'август 2025'!$J$2:$J$2407,H$1)</f>
        <v>0</v>
      </c>
      <c r="I26" s="76">
        <f>SUMIFS('август 2025'!$G$2:$G$2407,'август 2025'!$D$2:$D$2407,$B26,'август 2025'!$J$2:$J$2407,I$1)</f>
        <v>0</v>
      </c>
      <c r="J26" s="76">
        <f>SUMIFS('август 2025'!$G$2:$G$2407,'август 2025'!$D$2:$D$2407,$B26,'август 2025'!$J$2:$J$2407,J$1)</f>
        <v>0</v>
      </c>
      <c r="K26" s="76">
        <f>SUMIFS('август 2025'!$G$2:$G$2407,'август 2025'!$D$2:$D$2407,$B26,'август 2025'!$J$2:$J$2407,K$1)</f>
        <v>0</v>
      </c>
      <c r="L26" s="76">
        <f>SUMIFS('август 2025'!$G$2:$G$2407,'август 2025'!$D$2:$D$2407,$B26,'август 2025'!$J$2:$J$2407,L$1)</f>
        <v>0</v>
      </c>
      <c r="M26" s="76">
        <f>SUMIFS('август 2025'!$G$2:$G$2407,'август 2025'!$D$2:$D$2407,$B26,'август 2025'!$J$2:$J$2407,M$1)</f>
        <v>0</v>
      </c>
      <c r="N26" s="76">
        <f>SUMIFS('август 2025'!$G$2:$G$2407,'август 2025'!$D$2:$D$2407,$B26,'август 2025'!$J$2:$J$2407,N$1)</f>
        <v>0</v>
      </c>
      <c r="O26" s="76">
        <f>SUMIFS('август 2025'!$G$2:$G$2407,'август 2025'!$D$2:$D$2407,$B26,'август 2025'!$J$2:$J$2407,O$1)</f>
        <v>0</v>
      </c>
      <c r="P26" s="76">
        <f>SUMIFS('август 2025'!$G$2:$G$2407,'август 2025'!$D$2:$D$2407,$B26,'август 2025'!$J$2:$J$2407,P$1)</f>
        <v>0</v>
      </c>
      <c r="Q26" s="76">
        <f>SUMIFS('август 2025'!$G$2:$G$2407,'август 2025'!$D$2:$D$2407,$B26,'август 2025'!$J$2:$J$2407,Q$1)</f>
        <v>0</v>
      </c>
      <c r="R26" s="76">
        <f>SUMIFS('август 2025'!$G$2:$G$2407,'август 2025'!$D$2:$D$2407,$B26,'август 2025'!$J$2:$J$2407,R$1)</f>
        <v>0</v>
      </c>
      <c r="S26" s="76">
        <f>SUMIFS('август 2025'!$G$2:$G$2407,'август 2025'!$D$2:$D$2407,$B26,'август 2025'!$J$2:$J$2407,S$1)</f>
        <v>0</v>
      </c>
      <c r="T26" s="76">
        <f>SUMIFS('август 2025'!$G$2:$G$2407,'август 2025'!$D$2:$D$2407,$B26,'август 2025'!$J$2:$J$2407,T$1)</f>
        <v>0</v>
      </c>
      <c r="U26" s="76">
        <f>SUMIFS('август 2025'!$G$2:$G$2407,'август 2025'!$D$2:$D$2407,$B26,'август 2025'!$J$2:$J$2407,U$1)</f>
        <v>0</v>
      </c>
      <c r="V26" s="76">
        <f>SUMIFS('август 2025'!$G$2:$G$2407,'август 2025'!$D$2:$D$2407,$B26,'август 2025'!$J$2:$J$2407,V$1)</f>
        <v>0</v>
      </c>
      <c r="W26" s="76">
        <f>SUMIFS('август 2025'!$G$2:$G$2407,'август 2025'!$D$2:$D$2407,$B26,'август 2025'!$J$2:$J$2407,W$1)</f>
        <v>0</v>
      </c>
      <c r="X26" s="76">
        <f>SUMIFS('август 2025'!$G$2:$G$2407,'август 2025'!$D$2:$D$2407,$B26,'август 2025'!$J$2:$J$2407,X$1)</f>
        <v>0</v>
      </c>
      <c r="Y26" s="76">
        <f>SUMIFS('август 2025'!$G$2:$G$2407,'август 2025'!$D$2:$D$2407,$B26,'август 2025'!$J$2:$J$2407,Y$1)</f>
        <v>0</v>
      </c>
      <c r="Z26" s="76">
        <f>SUMIFS('август 2025'!$G$2:$G$2407,'август 2025'!$D$2:$D$2407,$B26,'август 2025'!$J$2:$J$2407,Z$1)</f>
        <v>0</v>
      </c>
      <c r="AA26" s="76">
        <f>SUMIFS('август 2025'!$G$2:$G$2407,'август 2025'!$D$2:$D$2407,$B26,'август 2025'!$J$2:$J$2407,AA$1)</f>
        <v>0</v>
      </c>
      <c r="AB26" s="76">
        <f>SUMIFS('август 2025'!$G$2:$G$2407,'август 2025'!$D$2:$D$2407,$B26,'август 2025'!$J$2:$J$2407,AB$1)</f>
        <v>0</v>
      </c>
      <c r="AC26" s="76">
        <f>SUMIFS('август 2025'!$G$2:$G$2407,'август 2025'!$D$2:$D$2407,$B26,'август 2025'!$J$2:$J$2407,AC$1)</f>
        <v>0</v>
      </c>
      <c r="AD26" s="76">
        <f>SUMIFS('август 2025'!$G$2:$G$2407,'август 2025'!$D$2:$D$2407,$B26,'август 2025'!$J$2:$J$2407,AD$1)</f>
        <v>0</v>
      </c>
      <c r="AE26" s="76">
        <f>SUMIFS('август 2025'!$G$2:$G$2407,'август 2025'!$D$2:$D$2407,$B26,'август 2025'!$J$2:$J$2407,AE$1)</f>
        <v>0</v>
      </c>
      <c r="AF26" s="76">
        <f>SUMIFS('август 2025'!$G$2:$G$2407,'август 2025'!$D$2:$D$2407,$B26,'август 2025'!$J$2:$J$2407,AF$1)</f>
        <v>0</v>
      </c>
      <c r="AG26" s="76">
        <f>SUMIFS('август 2025'!$G$2:$G$2407,'август 2025'!$D$2:$D$2407,$B26,'август 2025'!$J$2:$J$2407,AG$1)</f>
        <v>0</v>
      </c>
      <c r="AH26" s="76">
        <f>SUMIFS('август 2025'!$G$2:$G$2407,'август 2025'!$D$2:$D$2407,$B26,'август 2025'!$J$2:$J$2407,AH$1)</f>
        <v>0</v>
      </c>
      <c r="AI26" s="20">
        <f t="shared" si="1"/>
        <v>0</v>
      </c>
    </row>
    <row r="27" spans="2:35" ht="15" customHeight="1" x14ac:dyDescent="0.25">
      <c r="B27" s="80" t="s">
        <v>250</v>
      </c>
      <c r="C27" s="78">
        <v>25</v>
      </c>
      <c r="D27" s="76">
        <f>SUMIFS('август 2025'!$G$2:$G$2407,'август 2025'!$D$2:$D$2407,$B27,'август 2025'!$J$2:$J$2407,D$1)</f>
        <v>0</v>
      </c>
      <c r="E27" s="76">
        <f>SUMIFS('август 2025'!$G$2:$G$2407,'август 2025'!$D$2:$D$2407,$B27,'август 2025'!$J$2:$J$2407,E$1)</f>
        <v>0</v>
      </c>
      <c r="F27" s="76">
        <f>SUMIFS('август 2025'!$G$2:$G$2407,'август 2025'!$D$2:$D$2407,$B27,'август 2025'!$J$2:$J$2407,F$1)</f>
        <v>0</v>
      </c>
      <c r="G27" s="76">
        <f>SUMIFS('август 2025'!$G$2:$G$2407,'август 2025'!$D$2:$D$2407,$B27,'август 2025'!$J$2:$J$2407,G$1)</f>
        <v>0</v>
      </c>
      <c r="H27" s="76">
        <f>SUMIFS('август 2025'!$G$2:$G$2407,'август 2025'!$D$2:$D$2407,$B27,'август 2025'!$J$2:$J$2407,H$1)</f>
        <v>0</v>
      </c>
      <c r="I27" s="76">
        <f>SUMIFS('август 2025'!$G$2:$G$2407,'август 2025'!$D$2:$D$2407,$B27,'август 2025'!$J$2:$J$2407,I$1)</f>
        <v>0</v>
      </c>
      <c r="J27" s="76">
        <f>SUMIFS('август 2025'!$G$2:$G$2407,'август 2025'!$D$2:$D$2407,$B27,'август 2025'!$J$2:$J$2407,J$1)</f>
        <v>0</v>
      </c>
      <c r="K27" s="76">
        <f>SUMIFS('август 2025'!$G$2:$G$2407,'август 2025'!$D$2:$D$2407,$B27,'август 2025'!$J$2:$J$2407,K$1)</f>
        <v>0</v>
      </c>
      <c r="L27" s="76">
        <f>SUMIFS('август 2025'!$G$2:$G$2407,'август 2025'!$D$2:$D$2407,$B27,'август 2025'!$J$2:$J$2407,L$1)</f>
        <v>0</v>
      </c>
      <c r="M27" s="76">
        <f>SUMIFS('август 2025'!$G$2:$G$2407,'август 2025'!$D$2:$D$2407,$B27,'август 2025'!$J$2:$J$2407,M$1)</f>
        <v>0</v>
      </c>
      <c r="N27" s="76">
        <f>SUMIFS('август 2025'!$G$2:$G$2407,'август 2025'!$D$2:$D$2407,$B27,'август 2025'!$J$2:$J$2407,N$1)</f>
        <v>0</v>
      </c>
      <c r="O27" s="76">
        <f>SUMIFS('август 2025'!$G$2:$G$2407,'август 2025'!$D$2:$D$2407,$B27,'август 2025'!$J$2:$J$2407,O$1)</f>
        <v>0</v>
      </c>
      <c r="P27" s="76">
        <f>SUMIFS('август 2025'!$G$2:$G$2407,'август 2025'!$D$2:$D$2407,$B27,'август 2025'!$J$2:$J$2407,P$1)</f>
        <v>0</v>
      </c>
      <c r="Q27" s="76">
        <f>SUMIFS('август 2025'!$G$2:$G$2407,'август 2025'!$D$2:$D$2407,$B27,'август 2025'!$J$2:$J$2407,Q$1)</f>
        <v>0</v>
      </c>
      <c r="R27" s="76">
        <f>SUMIFS('август 2025'!$G$2:$G$2407,'август 2025'!$D$2:$D$2407,$B27,'август 2025'!$J$2:$J$2407,R$1)</f>
        <v>0</v>
      </c>
      <c r="S27" s="76">
        <f>SUMIFS('август 2025'!$G$2:$G$2407,'август 2025'!$D$2:$D$2407,$B27,'август 2025'!$J$2:$J$2407,S$1)</f>
        <v>0</v>
      </c>
      <c r="T27" s="76">
        <f>SUMIFS('август 2025'!$G$2:$G$2407,'август 2025'!$D$2:$D$2407,$B27,'август 2025'!$J$2:$J$2407,T$1)</f>
        <v>0</v>
      </c>
      <c r="U27" s="76">
        <f>SUMIFS('август 2025'!$G$2:$G$2407,'август 2025'!$D$2:$D$2407,$B27,'август 2025'!$J$2:$J$2407,U$1)</f>
        <v>0</v>
      </c>
      <c r="V27" s="76">
        <f>SUMIFS('август 2025'!$G$2:$G$2407,'август 2025'!$D$2:$D$2407,$B27,'август 2025'!$J$2:$J$2407,V$1)</f>
        <v>0</v>
      </c>
      <c r="W27" s="76">
        <f>SUMIFS('август 2025'!$G$2:$G$2407,'август 2025'!$D$2:$D$2407,$B27,'август 2025'!$J$2:$J$2407,W$1)</f>
        <v>0</v>
      </c>
      <c r="X27" s="76">
        <f>SUMIFS('август 2025'!$G$2:$G$2407,'август 2025'!$D$2:$D$2407,$B27,'август 2025'!$J$2:$J$2407,X$1)</f>
        <v>0</v>
      </c>
      <c r="Y27" s="76">
        <f>SUMIFS('август 2025'!$G$2:$G$2407,'август 2025'!$D$2:$D$2407,$B27,'август 2025'!$J$2:$J$2407,Y$1)</f>
        <v>0</v>
      </c>
      <c r="Z27" s="76">
        <f>SUMIFS('август 2025'!$G$2:$G$2407,'август 2025'!$D$2:$D$2407,$B27,'август 2025'!$J$2:$J$2407,Z$1)</f>
        <v>0</v>
      </c>
      <c r="AA27" s="76">
        <f>SUMIFS('август 2025'!$G$2:$G$2407,'август 2025'!$D$2:$D$2407,$B27,'август 2025'!$J$2:$J$2407,AA$1)</f>
        <v>0</v>
      </c>
      <c r="AB27" s="76">
        <f>SUMIFS('август 2025'!$G$2:$G$2407,'август 2025'!$D$2:$D$2407,$B27,'август 2025'!$J$2:$J$2407,AB$1)</f>
        <v>0</v>
      </c>
      <c r="AC27" s="76">
        <f>SUMIFS('август 2025'!$G$2:$G$2407,'август 2025'!$D$2:$D$2407,$B27,'август 2025'!$J$2:$J$2407,AC$1)</f>
        <v>0</v>
      </c>
      <c r="AD27" s="76">
        <f>SUMIFS('август 2025'!$G$2:$G$2407,'август 2025'!$D$2:$D$2407,$B27,'август 2025'!$J$2:$J$2407,AD$1)</f>
        <v>0</v>
      </c>
      <c r="AE27" s="76">
        <f>SUMIFS('август 2025'!$G$2:$G$2407,'август 2025'!$D$2:$D$2407,$B27,'август 2025'!$J$2:$J$2407,AE$1)</f>
        <v>0</v>
      </c>
      <c r="AF27" s="76">
        <f>SUMIFS('август 2025'!$G$2:$G$2407,'август 2025'!$D$2:$D$2407,$B27,'август 2025'!$J$2:$J$2407,AF$1)</f>
        <v>0</v>
      </c>
      <c r="AG27" s="76">
        <f>SUMIFS('август 2025'!$G$2:$G$2407,'август 2025'!$D$2:$D$2407,$B27,'август 2025'!$J$2:$J$2407,AG$1)</f>
        <v>0</v>
      </c>
      <c r="AH27" s="76">
        <f>SUMIFS('август 2025'!$G$2:$G$2407,'август 2025'!$D$2:$D$2407,$B27,'август 2025'!$J$2:$J$2407,AH$1)</f>
        <v>0</v>
      </c>
      <c r="AI27" s="20">
        <f t="shared" si="1"/>
        <v>0</v>
      </c>
    </row>
    <row r="28" spans="2:35" ht="15" customHeight="1" x14ac:dyDescent="0.25">
      <c r="B28" s="80" t="s">
        <v>251</v>
      </c>
      <c r="C28" s="78">
        <v>25</v>
      </c>
      <c r="D28" s="76">
        <f>SUMIFS('август 2025'!$G$2:$G$2407,'август 2025'!$D$2:$D$2407,$B28,'август 2025'!$J$2:$J$2407,D$1)</f>
        <v>0</v>
      </c>
      <c r="E28" s="76">
        <f>SUMIFS('август 2025'!$G$2:$G$2407,'август 2025'!$D$2:$D$2407,$B28,'август 2025'!$J$2:$J$2407,E$1)</f>
        <v>0</v>
      </c>
      <c r="F28" s="76">
        <f>SUMIFS('август 2025'!$G$2:$G$2407,'август 2025'!$D$2:$D$2407,$B28,'август 2025'!$J$2:$J$2407,F$1)</f>
        <v>0</v>
      </c>
      <c r="G28" s="76">
        <f>SUMIFS('август 2025'!$G$2:$G$2407,'август 2025'!$D$2:$D$2407,$B28,'август 2025'!$J$2:$J$2407,G$1)</f>
        <v>0</v>
      </c>
      <c r="H28" s="76">
        <f>SUMIFS('август 2025'!$G$2:$G$2407,'август 2025'!$D$2:$D$2407,$B28,'август 2025'!$J$2:$J$2407,H$1)</f>
        <v>0</v>
      </c>
      <c r="I28" s="76">
        <f>SUMIFS('август 2025'!$G$2:$G$2407,'август 2025'!$D$2:$D$2407,$B28,'август 2025'!$J$2:$J$2407,I$1)</f>
        <v>0</v>
      </c>
      <c r="J28" s="76">
        <f>SUMIFS('август 2025'!$G$2:$G$2407,'август 2025'!$D$2:$D$2407,$B28,'август 2025'!$J$2:$J$2407,J$1)</f>
        <v>0</v>
      </c>
      <c r="K28" s="76">
        <f>SUMIFS('август 2025'!$G$2:$G$2407,'август 2025'!$D$2:$D$2407,$B28,'август 2025'!$J$2:$J$2407,K$1)</f>
        <v>0</v>
      </c>
      <c r="L28" s="76">
        <f>SUMIFS('август 2025'!$G$2:$G$2407,'август 2025'!$D$2:$D$2407,$B28,'август 2025'!$J$2:$J$2407,L$1)</f>
        <v>0</v>
      </c>
      <c r="M28" s="76">
        <f>SUMIFS('август 2025'!$G$2:$G$2407,'август 2025'!$D$2:$D$2407,$B28,'август 2025'!$J$2:$J$2407,M$1)</f>
        <v>0</v>
      </c>
      <c r="N28" s="76">
        <f>SUMIFS('август 2025'!$G$2:$G$2407,'август 2025'!$D$2:$D$2407,$B28,'август 2025'!$J$2:$J$2407,N$1)</f>
        <v>0</v>
      </c>
      <c r="O28" s="76">
        <f>SUMIFS('август 2025'!$G$2:$G$2407,'август 2025'!$D$2:$D$2407,$B28,'август 2025'!$J$2:$J$2407,O$1)</f>
        <v>0</v>
      </c>
      <c r="P28" s="76">
        <f>SUMIFS('август 2025'!$G$2:$G$2407,'август 2025'!$D$2:$D$2407,$B28,'август 2025'!$J$2:$J$2407,P$1)</f>
        <v>0</v>
      </c>
      <c r="Q28" s="76">
        <f>SUMIFS('август 2025'!$G$2:$G$2407,'август 2025'!$D$2:$D$2407,$B28,'август 2025'!$J$2:$J$2407,Q$1)</f>
        <v>0</v>
      </c>
      <c r="R28" s="76">
        <f>SUMIFS('август 2025'!$G$2:$G$2407,'август 2025'!$D$2:$D$2407,$B28,'август 2025'!$J$2:$J$2407,R$1)</f>
        <v>0</v>
      </c>
      <c r="S28" s="76">
        <f>SUMIFS('август 2025'!$G$2:$G$2407,'август 2025'!$D$2:$D$2407,$B28,'август 2025'!$J$2:$J$2407,S$1)</f>
        <v>0</v>
      </c>
      <c r="T28" s="76">
        <f>SUMIFS('август 2025'!$G$2:$G$2407,'август 2025'!$D$2:$D$2407,$B28,'август 2025'!$J$2:$J$2407,T$1)</f>
        <v>0</v>
      </c>
      <c r="U28" s="76">
        <f>SUMIFS('август 2025'!$G$2:$G$2407,'август 2025'!$D$2:$D$2407,$B28,'август 2025'!$J$2:$J$2407,U$1)</f>
        <v>0</v>
      </c>
      <c r="V28" s="76">
        <f>SUMIFS('август 2025'!$G$2:$G$2407,'август 2025'!$D$2:$D$2407,$B28,'август 2025'!$J$2:$J$2407,V$1)</f>
        <v>0</v>
      </c>
      <c r="W28" s="76">
        <f>SUMIFS('август 2025'!$G$2:$G$2407,'август 2025'!$D$2:$D$2407,$B28,'август 2025'!$J$2:$J$2407,W$1)</f>
        <v>0</v>
      </c>
      <c r="X28" s="76">
        <f>SUMIFS('август 2025'!$G$2:$G$2407,'август 2025'!$D$2:$D$2407,$B28,'август 2025'!$J$2:$J$2407,X$1)</f>
        <v>0</v>
      </c>
      <c r="Y28" s="76">
        <f>SUMIFS('август 2025'!$G$2:$G$2407,'август 2025'!$D$2:$D$2407,$B28,'август 2025'!$J$2:$J$2407,Y$1)</f>
        <v>0</v>
      </c>
      <c r="Z28" s="76">
        <f>SUMIFS('август 2025'!$G$2:$G$2407,'август 2025'!$D$2:$D$2407,$B28,'август 2025'!$J$2:$J$2407,Z$1)</f>
        <v>0</v>
      </c>
      <c r="AA28" s="76">
        <f>SUMIFS('август 2025'!$G$2:$G$2407,'август 2025'!$D$2:$D$2407,$B28,'август 2025'!$J$2:$J$2407,AA$1)</f>
        <v>0</v>
      </c>
      <c r="AB28" s="76">
        <f>SUMIFS('август 2025'!$G$2:$G$2407,'август 2025'!$D$2:$D$2407,$B28,'август 2025'!$J$2:$J$2407,AB$1)</f>
        <v>0</v>
      </c>
      <c r="AC28" s="76">
        <f>SUMIFS('август 2025'!$G$2:$G$2407,'август 2025'!$D$2:$D$2407,$B28,'август 2025'!$J$2:$J$2407,AC$1)</f>
        <v>0</v>
      </c>
      <c r="AD28" s="76">
        <f>SUMIFS('август 2025'!$G$2:$G$2407,'август 2025'!$D$2:$D$2407,$B28,'август 2025'!$J$2:$J$2407,AD$1)</f>
        <v>0</v>
      </c>
      <c r="AE28" s="76">
        <f>SUMIFS('август 2025'!$G$2:$G$2407,'август 2025'!$D$2:$D$2407,$B28,'август 2025'!$J$2:$J$2407,AE$1)</f>
        <v>0</v>
      </c>
      <c r="AF28" s="76">
        <f>SUMIFS('август 2025'!$G$2:$G$2407,'август 2025'!$D$2:$D$2407,$B28,'август 2025'!$J$2:$J$2407,AF$1)</f>
        <v>0</v>
      </c>
      <c r="AG28" s="76">
        <f>SUMIFS('август 2025'!$G$2:$G$2407,'август 2025'!$D$2:$D$2407,$B28,'август 2025'!$J$2:$J$2407,AG$1)</f>
        <v>0</v>
      </c>
      <c r="AH28" s="76">
        <f>SUMIFS('август 2025'!$G$2:$G$2407,'август 2025'!$D$2:$D$2407,$B28,'август 2025'!$J$2:$J$2407,AH$1)</f>
        <v>0</v>
      </c>
      <c r="AI28" s="20">
        <f t="shared" si="1"/>
        <v>0</v>
      </c>
    </row>
    <row r="29" spans="2:35" ht="15" customHeight="1" x14ac:dyDescent="0.25">
      <c r="B29" s="80" t="s">
        <v>383</v>
      </c>
      <c r="C29" s="78">
        <v>25</v>
      </c>
      <c r="D29" s="76">
        <f>SUMIFS('август 2025'!$G$2:$G$2407,'август 2025'!$D$2:$D$2407,$B29,'август 2025'!$J$2:$J$2407,D$1)</f>
        <v>0</v>
      </c>
      <c r="E29" s="76">
        <f>SUMIFS('август 2025'!$G$2:$G$2407,'август 2025'!$D$2:$D$2407,$B29,'август 2025'!$J$2:$J$2407,E$1)</f>
        <v>0</v>
      </c>
      <c r="F29" s="76">
        <f>SUMIFS('август 2025'!$G$2:$G$2407,'август 2025'!$D$2:$D$2407,$B29,'август 2025'!$J$2:$J$2407,F$1)</f>
        <v>0</v>
      </c>
      <c r="G29" s="76">
        <f>SUMIFS('август 2025'!$G$2:$G$2407,'август 2025'!$D$2:$D$2407,$B29,'август 2025'!$J$2:$J$2407,G$1)</f>
        <v>0</v>
      </c>
      <c r="H29" s="76">
        <f>SUMIFS('август 2025'!$G$2:$G$2407,'август 2025'!$D$2:$D$2407,$B29,'август 2025'!$J$2:$J$2407,H$1)</f>
        <v>0</v>
      </c>
      <c r="I29" s="76">
        <f>SUMIFS('август 2025'!$G$2:$G$2407,'август 2025'!$D$2:$D$2407,$B29,'август 2025'!$J$2:$J$2407,I$1)</f>
        <v>0</v>
      </c>
      <c r="J29" s="76">
        <f>SUMIFS('август 2025'!$G$2:$G$2407,'август 2025'!$D$2:$D$2407,$B29,'август 2025'!$J$2:$J$2407,J$1)</f>
        <v>0</v>
      </c>
      <c r="K29" s="76">
        <f>SUMIFS('август 2025'!$G$2:$G$2407,'август 2025'!$D$2:$D$2407,$B29,'август 2025'!$J$2:$J$2407,K$1)</f>
        <v>0</v>
      </c>
      <c r="L29" s="76">
        <f>SUMIFS('август 2025'!$G$2:$G$2407,'август 2025'!$D$2:$D$2407,$B29,'август 2025'!$J$2:$J$2407,L$1)</f>
        <v>0</v>
      </c>
      <c r="M29" s="76">
        <f>SUMIFS('август 2025'!$G$2:$G$2407,'август 2025'!$D$2:$D$2407,$B29,'август 2025'!$J$2:$J$2407,M$1)</f>
        <v>0</v>
      </c>
      <c r="N29" s="76">
        <f>SUMIFS('август 2025'!$G$2:$G$2407,'август 2025'!$D$2:$D$2407,$B29,'август 2025'!$J$2:$J$2407,N$1)</f>
        <v>0</v>
      </c>
      <c r="O29" s="76">
        <f>SUMIFS('август 2025'!$G$2:$G$2407,'август 2025'!$D$2:$D$2407,$B29,'август 2025'!$J$2:$J$2407,O$1)</f>
        <v>0</v>
      </c>
      <c r="P29" s="76">
        <f>SUMIFS('август 2025'!$G$2:$G$2407,'август 2025'!$D$2:$D$2407,$B29,'август 2025'!$J$2:$J$2407,P$1)</f>
        <v>0</v>
      </c>
      <c r="Q29" s="76">
        <f>SUMIFS('август 2025'!$G$2:$G$2407,'август 2025'!$D$2:$D$2407,$B29,'август 2025'!$J$2:$J$2407,Q$1)</f>
        <v>0</v>
      </c>
      <c r="R29" s="76">
        <f>SUMIFS('август 2025'!$G$2:$G$2407,'август 2025'!$D$2:$D$2407,$B29,'август 2025'!$J$2:$J$2407,R$1)</f>
        <v>0</v>
      </c>
      <c r="S29" s="76">
        <f>SUMIFS('август 2025'!$G$2:$G$2407,'август 2025'!$D$2:$D$2407,$B29,'август 2025'!$J$2:$J$2407,S$1)</f>
        <v>0</v>
      </c>
      <c r="T29" s="76">
        <f>SUMIFS('август 2025'!$G$2:$G$2407,'август 2025'!$D$2:$D$2407,$B29,'август 2025'!$J$2:$J$2407,T$1)</f>
        <v>0</v>
      </c>
      <c r="U29" s="76">
        <f>SUMIFS('август 2025'!$G$2:$G$2407,'август 2025'!$D$2:$D$2407,$B29,'август 2025'!$J$2:$J$2407,U$1)</f>
        <v>0</v>
      </c>
      <c r="V29" s="76">
        <f>SUMIFS('август 2025'!$G$2:$G$2407,'август 2025'!$D$2:$D$2407,$B29,'август 2025'!$J$2:$J$2407,V$1)</f>
        <v>0</v>
      </c>
      <c r="W29" s="76">
        <f>SUMIFS('август 2025'!$G$2:$G$2407,'август 2025'!$D$2:$D$2407,$B29,'август 2025'!$J$2:$J$2407,W$1)</f>
        <v>0</v>
      </c>
      <c r="X29" s="76">
        <f>SUMIFS('август 2025'!$G$2:$G$2407,'август 2025'!$D$2:$D$2407,$B29,'август 2025'!$J$2:$J$2407,X$1)</f>
        <v>0</v>
      </c>
      <c r="Y29" s="76">
        <f>SUMIFS('август 2025'!$G$2:$G$2407,'август 2025'!$D$2:$D$2407,$B29,'август 2025'!$J$2:$J$2407,Y$1)</f>
        <v>0</v>
      </c>
      <c r="Z29" s="76">
        <f>SUMIFS('август 2025'!$G$2:$G$2407,'август 2025'!$D$2:$D$2407,$B29,'август 2025'!$J$2:$J$2407,Z$1)</f>
        <v>0</v>
      </c>
      <c r="AA29" s="76">
        <f>SUMIFS('август 2025'!$G$2:$G$2407,'август 2025'!$D$2:$D$2407,$B29,'август 2025'!$J$2:$J$2407,AA$1)</f>
        <v>0</v>
      </c>
      <c r="AB29" s="76">
        <f>SUMIFS('август 2025'!$G$2:$G$2407,'август 2025'!$D$2:$D$2407,$B29,'август 2025'!$J$2:$J$2407,AB$1)</f>
        <v>0</v>
      </c>
      <c r="AC29" s="76">
        <f>SUMIFS('август 2025'!$G$2:$G$2407,'август 2025'!$D$2:$D$2407,$B29,'август 2025'!$J$2:$J$2407,AC$1)</f>
        <v>0</v>
      </c>
      <c r="AD29" s="76">
        <f>SUMIFS('август 2025'!$G$2:$G$2407,'август 2025'!$D$2:$D$2407,$B29,'август 2025'!$J$2:$J$2407,AD$1)</f>
        <v>0</v>
      </c>
      <c r="AE29" s="76">
        <f>SUMIFS('август 2025'!$G$2:$G$2407,'август 2025'!$D$2:$D$2407,$B29,'август 2025'!$J$2:$J$2407,AE$1)</f>
        <v>0</v>
      </c>
      <c r="AF29" s="76">
        <f>SUMIFS('август 2025'!$G$2:$G$2407,'август 2025'!$D$2:$D$2407,$B29,'август 2025'!$J$2:$J$2407,AF$1)</f>
        <v>0</v>
      </c>
      <c r="AG29" s="76">
        <f>SUMIFS('август 2025'!$G$2:$G$2407,'август 2025'!$D$2:$D$2407,$B29,'август 2025'!$J$2:$J$2407,AG$1)</f>
        <v>0</v>
      </c>
      <c r="AH29" s="76">
        <f>SUMIFS('август 2025'!$G$2:$G$2407,'август 2025'!$D$2:$D$2407,$B29,'август 2025'!$J$2:$J$2407,AH$1)</f>
        <v>0</v>
      </c>
      <c r="AI29" s="20">
        <f t="shared" si="1"/>
        <v>0</v>
      </c>
    </row>
    <row r="30" spans="2:35" ht="15" customHeight="1" x14ac:dyDescent="0.25">
      <c r="B30" s="80"/>
      <c r="C30" s="78"/>
      <c r="D30" s="76">
        <f>SUMIFS('август 2025'!$G$2:$G$2407,'август 2025'!$D$2:$D$2407,$B30,'август 2025'!$J$2:$J$2407,D$1)</f>
        <v>0</v>
      </c>
      <c r="E30" s="76">
        <f>SUMIFS('август 2025'!$G$2:$G$2407,'август 2025'!$D$2:$D$2407,$B30,'август 2025'!$J$2:$J$2407,E$1)</f>
        <v>0</v>
      </c>
      <c r="F30" s="76">
        <f>SUMIFS('август 2025'!$G$2:$G$2407,'август 2025'!$D$2:$D$2407,$B30,'август 2025'!$J$2:$J$2407,F$1)</f>
        <v>0</v>
      </c>
      <c r="G30" s="76">
        <f>SUMIFS('август 2025'!$G$2:$G$2407,'август 2025'!$D$2:$D$2407,$B30,'август 2025'!$J$2:$J$2407,G$1)</f>
        <v>0</v>
      </c>
      <c r="H30" s="76">
        <f>SUMIFS('август 2025'!$G$2:$G$2407,'август 2025'!$D$2:$D$2407,$B30,'август 2025'!$J$2:$J$2407,H$1)</f>
        <v>0</v>
      </c>
      <c r="I30" s="76">
        <f>SUMIFS('август 2025'!$G$2:$G$2407,'август 2025'!$D$2:$D$2407,$B30,'август 2025'!$J$2:$J$2407,I$1)</f>
        <v>0</v>
      </c>
      <c r="J30" s="76">
        <f>SUMIFS('август 2025'!$G$2:$G$2407,'август 2025'!$D$2:$D$2407,$B30,'август 2025'!$J$2:$J$2407,J$1)</f>
        <v>0</v>
      </c>
      <c r="K30" s="76">
        <f>SUMIFS('август 2025'!$G$2:$G$2407,'август 2025'!$D$2:$D$2407,$B30,'август 2025'!$J$2:$J$2407,K$1)</f>
        <v>0</v>
      </c>
      <c r="L30" s="76">
        <f>SUMIFS('август 2025'!$G$2:$G$2407,'август 2025'!$D$2:$D$2407,$B30,'август 2025'!$J$2:$J$2407,L$1)</f>
        <v>0</v>
      </c>
      <c r="M30" s="76">
        <f>SUMIFS('август 2025'!$G$2:$G$2407,'август 2025'!$D$2:$D$2407,$B30,'август 2025'!$J$2:$J$2407,M$1)</f>
        <v>0</v>
      </c>
      <c r="N30" s="76">
        <f>SUMIFS('август 2025'!$G$2:$G$2407,'август 2025'!$D$2:$D$2407,$B30,'август 2025'!$J$2:$J$2407,N$1)</f>
        <v>0</v>
      </c>
      <c r="O30" s="76">
        <f>SUMIFS('август 2025'!$G$2:$G$2407,'август 2025'!$D$2:$D$2407,$B30,'август 2025'!$J$2:$J$2407,O$1)</f>
        <v>0</v>
      </c>
      <c r="P30" s="76">
        <f>SUMIFS('август 2025'!$G$2:$G$2407,'август 2025'!$D$2:$D$2407,$B30,'август 2025'!$J$2:$J$2407,P$1)</f>
        <v>0</v>
      </c>
      <c r="Q30" s="76">
        <f>SUMIFS('август 2025'!$G$2:$G$2407,'август 2025'!$D$2:$D$2407,$B30,'август 2025'!$J$2:$J$2407,Q$1)</f>
        <v>0</v>
      </c>
      <c r="R30" s="76">
        <f>SUMIFS('август 2025'!$G$2:$G$2407,'август 2025'!$D$2:$D$2407,$B30,'август 2025'!$J$2:$J$2407,R$1)</f>
        <v>0</v>
      </c>
      <c r="S30" s="76">
        <f>SUMIFS('август 2025'!$G$2:$G$2407,'август 2025'!$D$2:$D$2407,$B30,'август 2025'!$J$2:$J$2407,S$1)</f>
        <v>0</v>
      </c>
      <c r="T30" s="76">
        <f>SUMIFS('август 2025'!$G$2:$G$2407,'август 2025'!$D$2:$D$2407,$B30,'август 2025'!$J$2:$J$2407,T$1)</f>
        <v>0</v>
      </c>
      <c r="U30" s="76">
        <f>SUMIFS('август 2025'!$G$2:$G$2407,'август 2025'!$D$2:$D$2407,$B30,'август 2025'!$J$2:$J$2407,U$1)</f>
        <v>0</v>
      </c>
      <c r="V30" s="76">
        <f>SUMIFS('август 2025'!$G$2:$G$2407,'август 2025'!$D$2:$D$2407,$B30,'август 2025'!$J$2:$J$2407,V$1)</f>
        <v>0</v>
      </c>
      <c r="W30" s="76">
        <f>SUMIFS('август 2025'!$G$2:$G$2407,'август 2025'!$D$2:$D$2407,$B30,'август 2025'!$J$2:$J$2407,W$1)</f>
        <v>0</v>
      </c>
      <c r="X30" s="76">
        <f>SUMIFS('август 2025'!$G$2:$G$2407,'август 2025'!$D$2:$D$2407,$B30,'август 2025'!$J$2:$J$2407,X$1)</f>
        <v>0</v>
      </c>
      <c r="Y30" s="76">
        <f>SUMIFS('август 2025'!$G$2:$G$2407,'август 2025'!$D$2:$D$2407,$B30,'август 2025'!$J$2:$J$2407,Y$1)</f>
        <v>0</v>
      </c>
      <c r="Z30" s="76">
        <f>SUMIFS('август 2025'!$G$2:$G$2407,'август 2025'!$D$2:$D$2407,$B30,'август 2025'!$J$2:$J$2407,Z$1)</f>
        <v>0</v>
      </c>
      <c r="AA30" s="76">
        <f>SUMIFS('август 2025'!$G$2:$G$2407,'август 2025'!$D$2:$D$2407,$B30,'август 2025'!$J$2:$J$2407,AA$1)</f>
        <v>0</v>
      </c>
      <c r="AB30" s="76">
        <f>SUMIFS('август 2025'!$G$2:$G$2407,'август 2025'!$D$2:$D$2407,$B30,'август 2025'!$J$2:$J$2407,AB$1)</f>
        <v>0</v>
      </c>
      <c r="AC30" s="76">
        <f>SUMIFS('август 2025'!$G$2:$G$2407,'август 2025'!$D$2:$D$2407,$B30,'август 2025'!$J$2:$J$2407,AC$1)</f>
        <v>0</v>
      </c>
      <c r="AD30" s="76">
        <f>SUMIFS('август 2025'!$G$2:$G$2407,'август 2025'!$D$2:$D$2407,$B30,'август 2025'!$J$2:$J$2407,AD$1)</f>
        <v>0</v>
      </c>
      <c r="AE30" s="76">
        <f>SUMIFS('август 2025'!$G$2:$G$2407,'август 2025'!$D$2:$D$2407,$B30,'август 2025'!$J$2:$J$2407,AE$1)</f>
        <v>0</v>
      </c>
      <c r="AF30" s="76">
        <f>SUMIFS('август 2025'!$G$2:$G$2407,'август 2025'!$D$2:$D$2407,$B30,'август 2025'!$J$2:$J$2407,AF$1)</f>
        <v>0</v>
      </c>
      <c r="AG30" s="76">
        <f>SUMIFS('август 2025'!$G$2:$G$2407,'август 2025'!$D$2:$D$2407,$B30,'август 2025'!$J$2:$J$2407,AG$1)</f>
        <v>0</v>
      </c>
      <c r="AH30" s="76">
        <f>SUMIFS('август 2025'!$G$2:$G$2407,'август 2025'!$D$2:$D$2407,$B30,'август 2025'!$J$2:$J$2407,AH$1)</f>
        <v>0</v>
      </c>
      <c r="AI30" s="20">
        <f t="shared" si="1"/>
        <v>0</v>
      </c>
    </row>
    <row r="31" spans="2:35" ht="15" customHeight="1" x14ac:dyDescent="0.25">
      <c r="B31" s="80"/>
      <c r="C31" s="78"/>
      <c r="D31" s="76">
        <f>SUMIFS('август 2025'!$G$2:$G$2407,'август 2025'!$D$2:$D$2407,$B31,'август 2025'!$J$2:$J$2407,D$1)</f>
        <v>0</v>
      </c>
      <c r="E31" s="76">
        <f>SUMIFS('август 2025'!$G$2:$G$2407,'август 2025'!$D$2:$D$2407,$B31,'август 2025'!$J$2:$J$2407,E$1)</f>
        <v>0</v>
      </c>
      <c r="F31" s="76">
        <f>SUMIFS('август 2025'!$G$2:$G$2407,'август 2025'!$D$2:$D$2407,$B31,'август 2025'!$J$2:$J$2407,F$1)</f>
        <v>0</v>
      </c>
      <c r="G31" s="76">
        <f>SUMIFS('август 2025'!$G$2:$G$2407,'август 2025'!$D$2:$D$2407,$B31,'август 2025'!$J$2:$J$2407,G$1)</f>
        <v>0</v>
      </c>
      <c r="H31" s="76">
        <f>SUMIFS('август 2025'!$G$2:$G$2407,'август 2025'!$D$2:$D$2407,$B31,'август 2025'!$J$2:$J$2407,H$1)</f>
        <v>0</v>
      </c>
      <c r="I31" s="76">
        <f>SUMIFS('август 2025'!$G$2:$G$2407,'август 2025'!$D$2:$D$2407,$B31,'август 2025'!$J$2:$J$2407,I$1)</f>
        <v>0</v>
      </c>
      <c r="J31" s="76">
        <f>SUMIFS('август 2025'!$G$2:$G$2407,'август 2025'!$D$2:$D$2407,$B31,'август 2025'!$J$2:$J$2407,J$1)</f>
        <v>0</v>
      </c>
      <c r="K31" s="76">
        <f>SUMIFS('август 2025'!$G$2:$G$2407,'август 2025'!$D$2:$D$2407,$B31,'август 2025'!$J$2:$J$2407,K$1)</f>
        <v>0</v>
      </c>
      <c r="L31" s="76">
        <f>SUMIFS('август 2025'!$G$2:$G$2407,'август 2025'!$D$2:$D$2407,$B31,'август 2025'!$J$2:$J$2407,L$1)</f>
        <v>0</v>
      </c>
      <c r="M31" s="76">
        <f>SUMIFS('август 2025'!$G$2:$G$2407,'август 2025'!$D$2:$D$2407,$B31,'август 2025'!$J$2:$J$2407,M$1)</f>
        <v>0</v>
      </c>
      <c r="N31" s="76">
        <f>SUMIFS('август 2025'!$G$2:$G$2407,'август 2025'!$D$2:$D$2407,$B31,'август 2025'!$J$2:$J$2407,N$1)</f>
        <v>0</v>
      </c>
      <c r="O31" s="76">
        <f>SUMIFS('август 2025'!$G$2:$G$2407,'август 2025'!$D$2:$D$2407,$B31,'август 2025'!$J$2:$J$2407,O$1)</f>
        <v>0</v>
      </c>
      <c r="P31" s="76">
        <f>SUMIFS('август 2025'!$G$2:$G$2407,'август 2025'!$D$2:$D$2407,$B31,'август 2025'!$J$2:$J$2407,P$1)</f>
        <v>0</v>
      </c>
      <c r="Q31" s="76">
        <f>SUMIFS('август 2025'!$G$2:$G$2407,'август 2025'!$D$2:$D$2407,$B31,'август 2025'!$J$2:$J$2407,Q$1)</f>
        <v>0</v>
      </c>
      <c r="R31" s="76">
        <f>SUMIFS('август 2025'!$G$2:$G$2407,'август 2025'!$D$2:$D$2407,$B31,'август 2025'!$J$2:$J$2407,R$1)</f>
        <v>0</v>
      </c>
      <c r="S31" s="76">
        <f>SUMIFS('август 2025'!$G$2:$G$2407,'август 2025'!$D$2:$D$2407,$B31,'август 2025'!$J$2:$J$2407,S$1)</f>
        <v>0</v>
      </c>
      <c r="T31" s="76">
        <f>SUMIFS('август 2025'!$G$2:$G$2407,'август 2025'!$D$2:$D$2407,$B31,'август 2025'!$J$2:$J$2407,T$1)</f>
        <v>0</v>
      </c>
      <c r="U31" s="76">
        <f>SUMIFS('август 2025'!$G$2:$G$2407,'август 2025'!$D$2:$D$2407,$B31,'август 2025'!$J$2:$J$2407,U$1)</f>
        <v>0</v>
      </c>
      <c r="V31" s="76">
        <f>SUMIFS('август 2025'!$G$2:$G$2407,'август 2025'!$D$2:$D$2407,$B31,'август 2025'!$J$2:$J$2407,V$1)</f>
        <v>0</v>
      </c>
      <c r="W31" s="76">
        <f>SUMIFS('август 2025'!$G$2:$G$2407,'август 2025'!$D$2:$D$2407,$B31,'август 2025'!$J$2:$J$2407,W$1)</f>
        <v>0</v>
      </c>
      <c r="X31" s="76">
        <f>SUMIFS('август 2025'!$G$2:$G$2407,'август 2025'!$D$2:$D$2407,$B31,'август 2025'!$J$2:$J$2407,X$1)</f>
        <v>0</v>
      </c>
      <c r="Y31" s="76">
        <f>SUMIFS('август 2025'!$G$2:$G$2407,'август 2025'!$D$2:$D$2407,$B31,'август 2025'!$J$2:$J$2407,Y$1)</f>
        <v>0</v>
      </c>
      <c r="Z31" s="76">
        <f>SUMIFS('август 2025'!$G$2:$G$2407,'август 2025'!$D$2:$D$2407,$B31,'август 2025'!$J$2:$J$2407,Z$1)</f>
        <v>0</v>
      </c>
      <c r="AA31" s="76">
        <f>SUMIFS('август 2025'!$G$2:$G$2407,'август 2025'!$D$2:$D$2407,$B31,'август 2025'!$J$2:$J$2407,AA$1)</f>
        <v>0</v>
      </c>
      <c r="AB31" s="76">
        <f>SUMIFS('август 2025'!$G$2:$G$2407,'август 2025'!$D$2:$D$2407,$B31,'август 2025'!$J$2:$J$2407,AB$1)</f>
        <v>0</v>
      </c>
      <c r="AC31" s="76">
        <f>SUMIFS('август 2025'!$G$2:$G$2407,'август 2025'!$D$2:$D$2407,$B31,'август 2025'!$J$2:$J$2407,AC$1)</f>
        <v>0</v>
      </c>
      <c r="AD31" s="76">
        <f>SUMIFS('август 2025'!$G$2:$G$2407,'август 2025'!$D$2:$D$2407,$B31,'август 2025'!$J$2:$J$2407,AD$1)</f>
        <v>0</v>
      </c>
      <c r="AE31" s="76">
        <f>SUMIFS('август 2025'!$G$2:$G$2407,'август 2025'!$D$2:$D$2407,$B31,'август 2025'!$J$2:$J$2407,AE$1)</f>
        <v>0</v>
      </c>
      <c r="AF31" s="76">
        <f>SUMIFS('август 2025'!$G$2:$G$2407,'август 2025'!$D$2:$D$2407,$B31,'август 2025'!$J$2:$J$2407,AF$1)</f>
        <v>0</v>
      </c>
      <c r="AG31" s="76">
        <f>SUMIFS('август 2025'!$G$2:$G$2407,'август 2025'!$D$2:$D$2407,$B31,'август 2025'!$J$2:$J$2407,AG$1)</f>
        <v>0</v>
      </c>
      <c r="AH31" s="76">
        <f>SUMIFS('август 2025'!$G$2:$G$2407,'август 2025'!$D$2:$D$2407,$B31,'август 2025'!$J$2:$J$2407,AH$1)</f>
        <v>0</v>
      </c>
      <c r="AI31" s="20">
        <f t="shared" si="1"/>
        <v>0</v>
      </c>
    </row>
    <row r="32" spans="2:35" ht="15" customHeight="1" x14ac:dyDescent="0.25">
      <c r="B32" s="80"/>
      <c r="C32" s="78"/>
      <c r="D32" s="76">
        <f>SUMIFS('август 2025'!$G$2:$G$2407,'август 2025'!$D$2:$D$2407,$B32,'август 2025'!$J$2:$J$2407,D$1)</f>
        <v>0</v>
      </c>
      <c r="E32" s="76">
        <f>SUMIFS('август 2025'!$G$2:$G$2407,'август 2025'!$D$2:$D$2407,$B32,'август 2025'!$J$2:$J$2407,E$1)</f>
        <v>0</v>
      </c>
      <c r="F32" s="76">
        <f>SUMIFS('август 2025'!$G$2:$G$2407,'август 2025'!$D$2:$D$2407,$B32,'август 2025'!$J$2:$J$2407,F$1)</f>
        <v>0</v>
      </c>
      <c r="G32" s="76">
        <f>SUMIFS('август 2025'!$G$2:$G$2407,'август 2025'!$D$2:$D$2407,$B32,'август 2025'!$J$2:$J$2407,G$1)</f>
        <v>0</v>
      </c>
      <c r="H32" s="76">
        <f>SUMIFS('август 2025'!$G$2:$G$2407,'август 2025'!$D$2:$D$2407,$B32,'август 2025'!$J$2:$J$2407,H$1)</f>
        <v>0</v>
      </c>
      <c r="I32" s="76">
        <f>SUMIFS('август 2025'!$G$2:$G$2407,'август 2025'!$D$2:$D$2407,$B32,'август 2025'!$J$2:$J$2407,I$1)</f>
        <v>0</v>
      </c>
      <c r="J32" s="76">
        <f>SUMIFS('август 2025'!$G$2:$G$2407,'август 2025'!$D$2:$D$2407,$B32,'август 2025'!$J$2:$J$2407,J$1)</f>
        <v>0</v>
      </c>
      <c r="K32" s="76">
        <f>SUMIFS('август 2025'!$G$2:$G$2407,'август 2025'!$D$2:$D$2407,$B32,'август 2025'!$J$2:$J$2407,K$1)</f>
        <v>0</v>
      </c>
      <c r="L32" s="76">
        <f>SUMIFS('август 2025'!$G$2:$G$2407,'август 2025'!$D$2:$D$2407,$B32,'август 2025'!$J$2:$J$2407,L$1)</f>
        <v>0</v>
      </c>
      <c r="M32" s="76">
        <f>SUMIFS('август 2025'!$G$2:$G$2407,'август 2025'!$D$2:$D$2407,$B32,'август 2025'!$J$2:$J$2407,M$1)</f>
        <v>0</v>
      </c>
      <c r="N32" s="76">
        <f>SUMIFS('август 2025'!$G$2:$G$2407,'август 2025'!$D$2:$D$2407,$B32,'август 2025'!$J$2:$J$2407,N$1)</f>
        <v>0</v>
      </c>
      <c r="O32" s="76">
        <f>SUMIFS('август 2025'!$G$2:$G$2407,'август 2025'!$D$2:$D$2407,$B32,'август 2025'!$J$2:$J$2407,O$1)</f>
        <v>0</v>
      </c>
      <c r="P32" s="76">
        <f>SUMIFS('август 2025'!$G$2:$G$2407,'август 2025'!$D$2:$D$2407,$B32,'август 2025'!$J$2:$J$2407,P$1)</f>
        <v>0</v>
      </c>
      <c r="Q32" s="76">
        <f>SUMIFS('август 2025'!$G$2:$G$2407,'август 2025'!$D$2:$D$2407,$B32,'август 2025'!$J$2:$J$2407,Q$1)</f>
        <v>0</v>
      </c>
      <c r="R32" s="76">
        <f>SUMIFS('август 2025'!$G$2:$G$2407,'август 2025'!$D$2:$D$2407,$B32,'август 2025'!$J$2:$J$2407,R$1)</f>
        <v>0</v>
      </c>
      <c r="S32" s="76">
        <f>SUMIFS('август 2025'!$G$2:$G$2407,'август 2025'!$D$2:$D$2407,$B32,'август 2025'!$J$2:$J$2407,S$1)</f>
        <v>0</v>
      </c>
      <c r="T32" s="76">
        <f>SUMIFS('август 2025'!$G$2:$G$2407,'август 2025'!$D$2:$D$2407,$B32,'август 2025'!$J$2:$J$2407,T$1)</f>
        <v>0</v>
      </c>
      <c r="U32" s="76">
        <f>SUMIFS('август 2025'!$G$2:$G$2407,'август 2025'!$D$2:$D$2407,$B32,'август 2025'!$J$2:$J$2407,U$1)</f>
        <v>0</v>
      </c>
      <c r="V32" s="76">
        <f>SUMIFS('август 2025'!$G$2:$G$2407,'август 2025'!$D$2:$D$2407,$B32,'август 2025'!$J$2:$J$2407,V$1)</f>
        <v>0</v>
      </c>
      <c r="W32" s="76">
        <f>SUMIFS('август 2025'!$G$2:$G$2407,'август 2025'!$D$2:$D$2407,$B32,'август 2025'!$J$2:$J$2407,W$1)</f>
        <v>0</v>
      </c>
      <c r="X32" s="76">
        <f>SUMIFS('август 2025'!$G$2:$G$2407,'август 2025'!$D$2:$D$2407,$B32,'август 2025'!$J$2:$J$2407,X$1)</f>
        <v>0</v>
      </c>
      <c r="Y32" s="76">
        <f>SUMIFS('август 2025'!$G$2:$G$2407,'август 2025'!$D$2:$D$2407,$B32,'август 2025'!$J$2:$J$2407,Y$1)</f>
        <v>0</v>
      </c>
      <c r="Z32" s="76">
        <f>SUMIFS('август 2025'!$G$2:$G$2407,'август 2025'!$D$2:$D$2407,$B32,'август 2025'!$J$2:$J$2407,Z$1)</f>
        <v>0</v>
      </c>
      <c r="AA32" s="76">
        <f>SUMIFS('август 2025'!$G$2:$G$2407,'август 2025'!$D$2:$D$2407,$B32,'август 2025'!$J$2:$J$2407,AA$1)</f>
        <v>0</v>
      </c>
      <c r="AB32" s="76">
        <f>SUMIFS('август 2025'!$G$2:$G$2407,'август 2025'!$D$2:$D$2407,$B32,'август 2025'!$J$2:$J$2407,AB$1)</f>
        <v>0</v>
      </c>
      <c r="AC32" s="76">
        <f>SUMIFS('август 2025'!$G$2:$G$2407,'август 2025'!$D$2:$D$2407,$B32,'август 2025'!$J$2:$J$2407,AC$1)</f>
        <v>0</v>
      </c>
      <c r="AD32" s="76">
        <f>SUMIFS('август 2025'!$G$2:$G$2407,'август 2025'!$D$2:$D$2407,$B32,'август 2025'!$J$2:$J$2407,AD$1)</f>
        <v>0</v>
      </c>
      <c r="AE32" s="76">
        <f>SUMIFS('август 2025'!$G$2:$G$2407,'август 2025'!$D$2:$D$2407,$B32,'август 2025'!$J$2:$J$2407,AE$1)</f>
        <v>0</v>
      </c>
      <c r="AF32" s="76">
        <f>SUMIFS('август 2025'!$G$2:$G$2407,'август 2025'!$D$2:$D$2407,$B32,'август 2025'!$J$2:$J$2407,AF$1)</f>
        <v>0</v>
      </c>
      <c r="AG32" s="76">
        <f>SUMIFS('август 2025'!$G$2:$G$2407,'август 2025'!$D$2:$D$2407,$B32,'август 2025'!$J$2:$J$2407,AG$1)</f>
        <v>0</v>
      </c>
      <c r="AH32" s="76">
        <f>SUMIFS('август 2025'!$G$2:$G$2407,'август 2025'!$D$2:$D$2407,$B32,'август 2025'!$J$2:$J$2407,AH$1)</f>
        <v>0</v>
      </c>
      <c r="AI32" s="20">
        <f t="shared" si="1"/>
        <v>0</v>
      </c>
    </row>
    <row r="33" spans="2:35" ht="15" customHeight="1" x14ac:dyDescent="0.25">
      <c r="B33" s="80"/>
      <c r="C33" s="78"/>
      <c r="D33" s="76">
        <f>SUMIFS('август 2025'!$G$2:$G$2407,'август 2025'!$D$2:$D$2407,$B33,'август 2025'!$J$2:$J$2407,D$1)</f>
        <v>0</v>
      </c>
      <c r="E33" s="76">
        <f>SUMIFS('август 2025'!$G$2:$G$2407,'август 2025'!$D$2:$D$2407,$B33,'август 2025'!$J$2:$J$2407,E$1)</f>
        <v>0</v>
      </c>
      <c r="F33" s="76">
        <f>SUMIFS('август 2025'!$G$2:$G$2407,'август 2025'!$D$2:$D$2407,$B33,'август 2025'!$J$2:$J$2407,F$1)</f>
        <v>0</v>
      </c>
      <c r="G33" s="76">
        <f>SUMIFS('август 2025'!$G$2:$G$2407,'август 2025'!$D$2:$D$2407,$B33,'август 2025'!$J$2:$J$2407,G$1)</f>
        <v>0</v>
      </c>
      <c r="H33" s="76">
        <f>SUMIFS('август 2025'!$G$2:$G$2407,'август 2025'!$D$2:$D$2407,$B33,'август 2025'!$J$2:$J$2407,H$1)</f>
        <v>0</v>
      </c>
      <c r="I33" s="76">
        <f>SUMIFS('август 2025'!$G$2:$G$2407,'август 2025'!$D$2:$D$2407,$B33,'август 2025'!$J$2:$J$2407,I$1)</f>
        <v>0</v>
      </c>
      <c r="J33" s="76">
        <f>SUMIFS('август 2025'!$G$2:$G$2407,'август 2025'!$D$2:$D$2407,$B33,'август 2025'!$J$2:$J$2407,J$1)</f>
        <v>0</v>
      </c>
      <c r="K33" s="76">
        <f>SUMIFS('август 2025'!$G$2:$G$2407,'август 2025'!$D$2:$D$2407,$B33,'август 2025'!$J$2:$J$2407,K$1)</f>
        <v>0</v>
      </c>
      <c r="L33" s="76">
        <f>SUMIFS('август 2025'!$G$2:$G$2407,'август 2025'!$D$2:$D$2407,$B33,'август 2025'!$J$2:$J$2407,L$1)</f>
        <v>0</v>
      </c>
      <c r="M33" s="76">
        <f>SUMIFS('август 2025'!$G$2:$G$2407,'август 2025'!$D$2:$D$2407,$B33,'август 2025'!$J$2:$J$2407,M$1)</f>
        <v>0</v>
      </c>
      <c r="N33" s="76">
        <f>SUMIFS('август 2025'!$G$2:$G$2407,'август 2025'!$D$2:$D$2407,$B33,'август 2025'!$J$2:$J$2407,N$1)</f>
        <v>0</v>
      </c>
      <c r="O33" s="76">
        <f>SUMIFS('август 2025'!$G$2:$G$2407,'август 2025'!$D$2:$D$2407,$B33,'август 2025'!$J$2:$J$2407,O$1)</f>
        <v>0</v>
      </c>
      <c r="P33" s="76">
        <f>SUMIFS('август 2025'!$G$2:$G$2407,'август 2025'!$D$2:$D$2407,$B33,'август 2025'!$J$2:$J$2407,P$1)</f>
        <v>0</v>
      </c>
      <c r="Q33" s="76">
        <f>SUMIFS('август 2025'!$G$2:$G$2407,'август 2025'!$D$2:$D$2407,$B33,'август 2025'!$J$2:$J$2407,Q$1)</f>
        <v>0</v>
      </c>
      <c r="R33" s="76">
        <f>SUMIFS('август 2025'!$G$2:$G$2407,'август 2025'!$D$2:$D$2407,$B33,'август 2025'!$J$2:$J$2407,R$1)</f>
        <v>0</v>
      </c>
      <c r="S33" s="76">
        <f>SUMIFS('август 2025'!$G$2:$G$2407,'август 2025'!$D$2:$D$2407,$B33,'август 2025'!$J$2:$J$2407,S$1)</f>
        <v>0</v>
      </c>
      <c r="T33" s="76">
        <f>SUMIFS('август 2025'!$G$2:$G$2407,'август 2025'!$D$2:$D$2407,$B33,'август 2025'!$J$2:$J$2407,T$1)</f>
        <v>0</v>
      </c>
      <c r="U33" s="76">
        <f>SUMIFS('август 2025'!$G$2:$G$2407,'август 2025'!$D$2:$D$2407,$B33,'август 2025'!$J$2:$J$2407,U$1)</f>
        <v>0</v>
      </c>
      <c r="V33" s="76">
        <f>SUMIFS('август 2025'!$G$2:$G$2407,'август 2025'!$D$2:$D$2407,$B33,'август 2025'!$J$2:$J$2407,V$1)</f>
        <v>0</v>
      </c>
      <c r="W33" s="76">
        <f>SUMIFS('август 2025'!$G$2:$G$2407,'август 2025'!$D$2:$D$2407,$B33,'август 2025'!$J$2:$J$2407,W$1)</f>
        <v>0</v>
      </c>
      <c r="X33" s="76">
        <f>SUMIFS('август 2025'!$G$2:$G$2407,'август 2025'!$D$2:$D$2407,$B33,'август 2025'!$J$2:$J$2407,X$1)</f>
        <v>0</v>
      </c>
      <c r="Y33" s="76">
        <f>SUMIFS('август 2025'!$G$2:$G$2407,'август 2025'!$D$2:$D$2407,$B33,'август 2025'!$J$2:$J$2407,Y$1)</f>
        <v>0</v>
      </c>
      <c r="Z33" s="76">
        <f>SUMIFS('август 2025'!$G$2:$G$2407,'август 2025'!$D$2:$D$2407,$B33,'август 2025'!$J$2:$J$2407,Z$1)</f>
        <v>0</v>
      </c>
      <c r="AA33" s="76">
        <f>SUMIFS('август 2025'!$G$2:$G$2407,'август 2025'!$D$2:$D$2407,$B33,'август 2025'!$J$2:$J$2407,AA$1)</f>
        <v>0</v>
      </c>
      <c r="AB33" s="76">
        <f>SUMIFS('август 2025'!$G$2:$G$2407,'август 2025'!$D$2:$D$2407,$B33,'август 2025'!$J$2:$J$2407,AB$1)</f>
        <v>0</v>
      </c>
      <c r="AC33" s="76">
        <f>SUMIFS('август 2025'!$G$2:$G$2407,'август 2025'!$D$2:$D$2407,$B33,'август 2025'!$J$2:$J$2407,AC$1)</f>
        <v>0</v>
      </c>
      <c r="AD33" s="76">
        <f>SUMIFS('август 2025'!$G$2:$G$2407,'август 2025'!$D$2:$D$2407,$B33,'август 2025'!$J$2:$J$2407,AD$1)</f>
        <v>0</v>
      </c>
      <c r="AE33" s="76">
        <f>SUMIFS('август 2025'!$G$2:$G$2407,'август 2025'!$D$2:$D$2407,$B33,'август 2025'!$J$2:$J$2407,AE$1)</f>
        <v>0</v>
      </c>
      <c r="AF33" s="76">
        <f>SUMIFS('август 2025'!$G$2:$G$2407,'август 2025'!$D$2:$D$2407,$B33,'август 2025'!$J$2:$J$2407,AF$1)</f>
        <v>0</v>
      </c>
      <c r="AG33" s="76">
        <f>SUMIFS('август 2025'!$G$2:$G$2407,'август 2025'!$D$2:$D$2407,$B33,'август 2025'!$J$2:$J$2407,AG$1)</f>
        <v>0</v>
      </c>
      <c r="AH33" s="76">
        <f>SUMIFS('август 2025'!$G$2:$G$2407,'август 2025'!$D$2:$D$2407,$B33,'август 2025'!$J$2:$J$2407,AH$1)</f>
        <v>0</v>
      </c>
      <c r="AI33" s="20">
        <f t="shared" si="1"/>
        <v>0</v>
      </c>
    </row>
    <row r="34" spans="2:35" ht="15" customHeight="1" x14ac:dyDescent="0.25">
      <c r="B34" s="125" t="s">
        <v>213</v>
      </c>
      <c r="C34" s="126">
        <v>25</v>
      </c>
      <c r="D34" s="76">
        <f>SUMIFS('август 2025'!$G$2:$G$2407,'август 2025'!$D$2:$D$2407,$B34,'август 2025'!$J$2:$J$2407,D$1)</f>
        <v>0</v>
      </c>
      <c r="E34" s="76">
        <f>SUMIFS('август 2025'!$G$2:$G$2407,'август 2025'!$D$2:$D$2407,$B34,'август 2025'!$J$2:$J$2407,E$1)</f>
        <v>0</v>
      </c>
      <c r="F34" s="76">
        <f>SUMIFS('август 2025'!$G$2:$G$2407,'август 2025'!$D$2:$D$2407,$B34,'август 2025'!$J$2:$J$2407,F$1)</f>
        <v>0</v>
      </c>
      <c r="G34" s="76">
        <f>SUMIFS('август 2025'!$G$2:$G$2407,'август 2025'!$D$2:$D$2407,$B34,'август 2025'!$J$2:$J$2407,G$1)</f>
        <v>0</v>
      </c>
      <c r="H34" s="76">
        <f>SUMIFS('август 2025'!$G$2:$G$2407,'август 2025'!$D$2:$D$2407,$B34,'август 2025'!$J$2:$J$2407,H$1)</f>
        <v>0</v>
      </c>
      <c r="I34" s="76">
        <f>SUMIFS('август 2025'!$G$2:$G$2407,'август 2025'!$D$2:$D$2407,$B34,'август 2025'!$J$2:$J$2407,I$1)</f>
        <v>0</v>
      </c>
      <c r="J34" s="76">
        <f>SUMIFS('август 2025'!$G$2:$G$2407,'август 2025'!$D$2:$D$2407,$B34,'август 2025'!$J$2:$J$2407,J$1)</f>
        <v>0</v>
      </c>
      <c r="K34" s="76">
        <f>SUMIFS('август 2025'!$G$2:$G$2407,'август 2025'!$D$2:$D$2407,$B34,'август 2025'!$J$2:$J$2407,K$1)</f>
        <v>0</v>
      </c>
      <c r="L34" s="76">
        <f>SUMIFS('август 2025'!$G$2:$G$2407,'август 2025'!$D$2:$D$2407,$B34,'август 2025'!$J$2:$J$2407,L$1)</f>
        <v>0</v>
      </c>
      <c r="M34" s="76">
        <f>SUMIFS('август 2025'!$G$2:$G$2407,'август 2025'!$D$2:$D$2407,$B34,'август 2025'!$J$2:$J$2407,M$1)</f>
        <v>0</v>
      </c>
      <c r="N34" s="76">
        <f>SUMIFS('август 2025'!$G$2:$G$2407,'август 2025'!$D$2:$D$2407,$B34,'август 2025'!$J$2:$J$2407,N$1)</f>
        <v>0</v>
      </c>
      <c r="O34" s="76">
        <f>SUMIFS('август 2025'!$G$2:$G$2407,'август 2025'!$D$2:$D$2407,$B34,'август 2025'!$J$2:$J$2407,O$1)</f>
        <v>0</v>
      </c>
      <c r="P34" s="76">
        <f>SUMIFS('август 2025'!$G$2:$G$2407,'август 2025'!$D$2:$D$2407,$B34,'август 2025'!$J$2:$J$2407,P$1)</f>
        <v>0</v>
      </c>
      <c r="Q34" s="76">
        <f>SUMIFS('август 2025'!$G$2:$G$2407,'август 2025'!$D$2:$D$2407,$B34,'август 2025'!$J$2:$J$2407,Q$1)</f>
        <v>0</v>
      </c>
      <c r="R34" s="76">
        <f>SUMIFS('август 2025'!$G$2:$G$2407,'август 2025'!$D$2:$D$2407,$B34,'август 2025'!$J$2:$J$2407,R$1)</f>
        <v>0</v>
      </c>
      <c r="S34" s="76">
        <f>SUMIFS('август 2025'!$G$2:$G$2407,'август 2025'!$D$2:$D$2407,$B34,'август 2025'!$J$2:$J$2407,S$1)</f>
        <v>0</v>
      </c>
      <c r="T34" s="76">
        <f>SUMIFS('август 2025'!$G$2:$G$2407,'август 2025'!$D$2:$D$2407,$B34,'август 2025'!$J$2:$J$2407,T$1)</f>
        <v>0</v>
      </c>
      <c r="U34" s="76">
        <f>SUMIFS('август 2025'!$G$2:$G$2407,'август 2025'!$D$2:$D$2407,$B34,'август 2025'!$J$2:$J$2407,U$1)</f>
        <v>0</v>
      </c>
      <c r="V34" s="76">
        <f>SUMIFS('август 2025'!$G$2:$G$2407,'август 2025'!$D$2:$D$2407,$B34,'август 2025'!$J$2:$J$2407,V$1)</f>
        <v>0</v>
      </c>
      <c r="W34" s="76">
        <f>SUMIFS('август 2025'!$G$2:$G$2407,'август 2025'!$D$2:$D$2407,$B34,'август 2025'!$J$2:$J$2407,W$1)</f>
        <v>0</v>
      </c>
      <c r="X34" s="76">
        <f>SUMIFS('август 2025'!$G$2:$G$2407,'август 2025'!$D$2:$D$2407,$B34,'август 2025'!$J$2:$J$2407,X$1)</f>
        <v>0</v>
      </c>
      <c r="Y34" s="76">
        <f>SUMIFS('август 2025'!$G$2:$G$2407,'август 2025'!$D$2:$D$2407,$B34,'август 2025'!$J$2:$J$2407,Y$1)</f>
        <v>0</v>
      </c>
      <c r="Z34" s="76">
        <f>SUMIFS('август 2025'!$G$2:$G$2407,'август 2025'!$D$2:$D$2407,$B34,'август 2025'!$J$2:$J$2407,Z$1)</f>
        <v>0</v>
      </c>
      <c r="AA34" s="76">
        <f>SUMIFS('август 2025'!$G$2:$G$2407,'август 2025'!$D$2:$D$2407,$B34,'август 2025'!$J$2:$J$2407,AA$1)</f>
        <v>0</v>
      </c>
      <c r="AB34" s="76">
        <f>SUMIFS('август 2025'!$G$2:$G$2407,'август 2025'!$D$2:$D$2407,$B34,'август 2025'!$J$2:$J$2407,AB$1)</f>
        <v>0</v>
      </c>
      <c r="AC34" s="76">
        <f>SUMIFS('август 2025'!$G$2:$G$2407,'август 2025'!$D$2:$D$2407,$B34,'август 2025'!$J$2:$J$2407,AC$1)</f>
        <v>0</v>
      </c>
      <c r="AD34" s="76">
        <f>SUMIFS('август 2025'!$G$2:$G$2407,'август 2025'!$D$2:$D$2407,$B34,'август 2025'!$J$2:$J$2407,AD$1)</f>
        <v>0</v>
      </c>
      <c r="AE34" s="76">
        <f>SUMIFS('август 2025'!$G$2:$G$2407,'август 2025'!$D$2:$D$2407,$B34,'август 2025'!$J$2:$J$2407,AE$1)</f>
        <v>0</v>
      </c>
      <c r="AF34" s="76">
        <f>SUMIFS('август 2025'!$G$2:$G$2407,'август 2025'!$D$2:$D$2407,$B34,'август 2025'!$J$2:$J$2407,AF$1)</f>
        <v>0</v>
      </c>
      <c r="AG34" s="76">
        <f>SUMIFS('август 2025'!$G$2:$G$2407,'август 2025'!$D$2:$D$2407,$B34,'август 2025'!$J$2:$J$2407,AG$1)</f>
        <v>0</v>
      </c>
      <c r="AH34" s="76">
        <f>SUMIFS('август 2025'!$G$2:$G$2407,'август 2025'!$D$2:$D$2407,$B34,'август 2025'!$J$2:$J$2407,AH$1)</f>
        <v>0</v>
      </c>
      <c r="AI34" s="20">
        <f t="shared" si="1"/>
        <v>0</v>
      </c>
    </row>
    <row r="35" spans="2:35" ht="15" customHeight="1" x14ac:dyDescent="0.25">
      <c r="B35" s="127" t="s">
        <v>215</v>
      </c>
      <c r="C35" s="126">
        <v>25</v>
      </c>
      <c r="D35" s="76">
        <f>SUMIFS('август 2025'!$G$2:$G$2407,'август 2025'!$D$2:$D$2407,$B35,'август 2025'!$J$2:$J$2407,D$1)</f>
        <v>0</v>
      </c>
      <c r="E35" s="76">
        <f>SUMIFS('август 2025'!$G$2:$G$2407,'август 2025'!$D$2:$D$2407,$B35,'август 2025'!$J$2:$J$2407,E$1)</f>
        <v>0</v>
      </c>
      <c r="F35" s="76">
        <f>SUMIFS('август 2025'!$G$2:$G$2407,'август 2025'!$D$2:$D$2407,$B35,'август 2025'!$J$2:$J$2407,F$1)</f>
        <v>0</v>
      </c>
      <c r="G35" s="76">
        <f>SUMIFS('август 2025'!$G$2:$G$2407,'август 2025'!$D$2:$D$2407,$B35,'август 2025'!$J$2:$J$2407,G$1)</f>
        <v>0</v>
      </c>
      <c r="H35" s="76">
        <f>SUMIFS('август 2025'!$G$2:$G$2407,'август 2025'!$D$2:$D$2407,$B35,'август 2025'!$J$2:$J$2407,H$1)</f>
        <v>0</v>
      </c>
      <c r="I35" s="76">
        <f>SUMIFS('август 2025'!$G$2:$G$2407,'август 2025'!$D$2:$D$2407,$B35,'август 2025'!$J$2:$J$2407,I$1)</f>
        <v>0</v>
      </c>
      <c r="J35" s="76">
        <f>SUMIFS('август 2025'!$G$2:$G$2407,'август 2025'!$D$2:$D$2407,$B35,'август 2025'!$J$2:$J$2407,J$1)</f>
        <v>0</v>
      </c>
      <c r="K35" s="76">
        <f>SUMIFS('август 2025'!$G$2:$G$2407,'август 2025'!$D$2:$D$2407,$B35,'август 2025'!$J$2:$J$2407,K$1)</f>
        <v>0</v>
      </c>
      <c r="L35" s="76">
        <f>SUMIFS('август 2025'!$G$2:$G$2407,'август 2025'!$D$2:$D$2407,$B35,'август 2025'!$J$2:$J$2407,L$1)</f>
        <v>0</v>
      </c>
      <c r="M35" s="76">
        <f>SUMIFS('август 2025'!$G$2:$G$2407,'август 2025'!$D$2:$D$2407,$B35,'август 2025'!$J$2:$J$2407,M$1)</f>
        <v>0</v>
      </c>
      <c r="N35" s="76">
        <f>SUMIFS('август 2025'!$G$2:$G$2407,'август 2025'!$D$2:$D$2407,$B35,'август 2025'!$J$2:$J$2407,N$1)</f>
        <v>0</v>
      </c>
      <c r="O35" s="76">
        <f>SUMIFS('август 2025'!$G$2:$G$2407,'август 2025'!$D$2:$D$2407,$B35,'август 2025'!$J$2:$J$2407,O$1)</f>
        <v>0</v>
      </c>
      <c r="P35" s="76">
        <f>SUMIFS('август 2025'!$G$2:$G$2407,'август 2025'!$D$2:$D$2407,$B35,'август 2025'!$J$2:$J$2407,P$1)</f>
        <v>0</v>
      </c>
      <c r="Q35" s="76">
        <f>SUMIFS('август 2025'!$G$2:$G$2407,'август 2025'!$D$2:$D$2407,$B35,'август 2025'!$J$2:$J$2407,Q$1)</f>
        <v>0</v>
      </c>
      <c r="R35" s="76">
        <f>SUMIFS('август 2025'!$G$2:$G$2407,'август 2025'!$D$2:$D$2407,$B35,'август 2025'!$J$2:$J$2407,R$1)</f>
        <v>0</v>
      </c>
      <c r="S35" s="76">
        <f>SUMIFS('август 2025'!$G$2:$G$2407,'август 2025'!$D$2:$D$2407,$B35,'август 2025'!$J$2:$J$2407,S$1)</f>
        <v>0</v>
      </c>
      <c r="T35" s="76">
        <f>SUMIFS('август 2025'!$G$2:$G$2407,'август 2025'!$D$2:$D$2407,$B35,'август 2025'!$J$2:$J$2407,T$1)</f>
        <v>0</v>
      </c>
      <c r="U35" s="76">
        <f>SUMIFS('август 2025'!$G$2:$G$2407,'август 2025'!$D$2:$D$2407,$B35,'август 2025'!$J$2:$J$2407,U$1)</f>
        <v>0</v>
      </c>
      <c r="V35" s="76">
        <f>SUMIFS('август 2025'!$G$2:$G$2407,'август 2025'!$D$2:$D$2407,$B35,'август 2025'!$J$2:$J$2407,V$1)</f>
        <v>0</v>
      </c>
      <c r="W35" s="76">
        <f>SUMIFS('август 2025'!$G$2:$G$2407,'август 2025'!$D$2:$D$2407,$B35,'август 2025'!$J$2:$J$2407,W$1)</f>
        <v>0</v>
      </c>
      <c r="X35" s="76">
        <f>SUMIFS('август 2025'!$G$2:$G$2407,'август 2025'!$D$2:$D$2407,$B35,'август 2025'!$J$2:$J$2407,X$1)</f>
        <v>0</v>
      </c>
      <c r="Y35" s="76">
        <f>SUMIFS('август 2025'!$G$2:$G$2407,'август 2025'!$D$2:$D$2407,$B35,'август 2025'!$J$2:$J$2407,Y$1)</f>
        <v>0</v>
      </c>
      <c r="Z35" s="76">
        <f>SUMIFS('август 2025'!$G$2:$G$2407,'август 2025'!$D$2:$D$2407,$B35,'август 2025'!$J$2:$J$2407,Z$1)</f>
        <v>0</v>
      </c>
      <c r="AA35" s="76">
        <f>SUMIFS('август 2025'!$G$2:$G$2407,'август 2025'!$D$2:$D$2407,$B35,'август 2025'!$J$2:$J$2407,AA$1)</f>
        <v>0</v>
      </c>
      <c r="AB35" s="76">
        <f>SUMIFS('август 2025'!$G$2:$G$2407,'август 2025'!$D$2:$D$2407,$B35,'август 2025'!$J$2:$J$2407,AB$1)</f>
        <v>0</v>
      </c>
      <c r="AC35" s="76">
        <f>SUMIFS('август 2025'!$G$2:$G$2407,'август 2025'!$D$2:$D$2407,$B35,'август 2025'!$J$2:$J$2407,AC$1)</f>
        <v>0</v>
      </c>
      <c r="AD35" s="76">
        <f>SUMIFS('август 2025'!$G$2:$G$2407,'август 2025'!$D$2:$D$2407,$B35,'август 2025'!$J$2:$J$2407,AD$1)</f>
        <v>0</v>
      </c>
      <c r="AE35" s="76">
        <f>SUMIFS('август 2025'!$G$2:$G$2407,'август 2025'!$D$2:$D$2407,$B35,'август 2025'!$J$2:$J$2407,AE$1)</f>
        <v>0</v>
      </c>
      <c r="AF35" s="76">
        <f>SUMIFS('август 2025'!$G$2:$G$2407,'август 2025'!$D$2:$D$2407,$B35,'август 2025'!$J$2:$J$2407,AF$1)</f>
        <v>0</v>
      </c>
      <c r="AG35" s="76">
        <f>SUMIFS('август 2025'!$G$2:$G$2407,'август 2025'!$D$2:$D$2407,$B35,'август 2025'!$J$2:$J$2407,AG$1)</f>
        <v>0</v>
      </c>
      <c r="AH35" s="76">
        <f>SUMIFS('август 2025'!$G$2:$G$2407,'август 2025'!$D$2:$D$2407,$B35,'август 2025'!$J$2:$J$2407,AH$1)</f>
        <v>0</v>
      </c>
      <c r="AI35" s="20">
        <f t="shared" si="1"/>
        <v>0</v>
      </c>
    </row>
    <row r="36" spans="2:35" ht="15" customHeight="1" x14ac:dyDescent="0.25">
      <c r="B36" s="128" t="s">
        <v>384</v>
      </c>
      <c r="C36" s="126">
        <v>25</v>
      </c>
      <c r="D36" s="76">
        <f>SUMIFS('август 2025'!$G$2:$G$2407,'август 2025'!$D$2:$D$2407,$B36,'август 2025'!$J$2:$J$2407,D$1)</f>
        <v>0</v>
      </c>
      <c r="E36" s="76">
        <f>SUMIFS('август 2025'!$G$2:$G$2407,'август 2025'!$D$2:$D$2407,$B36,'август 2025'!$J$2:$J$2407,E$1)</f>
        <v>0</v>
      </c>
      <c r="F36" s="76">
        <f>SUMIFS('август 2025'!$G$2:$G$2407,'август 2025'!$D$2:$D$2407,$B36,'август 2025'!$J$2:$J$2407,F$1)</f>
        <v>0</v>
      </c>
      <c r="G36" s="76">
        <f>SUMIFS('август 2025'!$G$2:$G$2407,'август 2025'!$D$2:$D$2407,$B36,'август 2025'!$J$2:$J$2407,G$1)</f>
        <v>0</v>
      </c>
      <c r="H36" s="76">
        <f>SUMIFS('август 2025'!$G$2:$G$2407,'август 2025'!$D$2:$D$2407,$B36,'август 2025'!$J$2:$J$2407,H$1)</f>
        <v>0</v>
      </c>
      <c r="I36" s="76">
        <f>SUMIFS('август 2025'!$G$2:$G$2407,'август 2025'!$D$2:$D$2407,$B36,'август 2025'!$J$2:$J$2407,I$1)</f>
        <v>0</v>
      </c>
      <c r="J36" s="76">
        <f>SUMIFS('август 2025'!$G$2:$G$2407,'август 2025'!$D$2:$D$2407,$B36,'август 2025'!$J$2:$J$2407,J$1)</f>
        <v>0</v>
      </c>
      <c r="K36" s="76">
        <f>SUMIFS('август 2025'!$G$2:$G$2407,'август 2025'!$D$2:$D$2407,$B36,'август 2025'!$J$2:$J$2407,K$1)</f>
        <v>0</v>
      </c>
      <c r="L36" s="76">
        <f>SUMIFS('август 2025'!$G$2:$G$2407,'август 2025'!$D$2:$D$2407,$B36,'август 2025'!$J$2:$J$2407,L$1)</f>
        <v>0</v>
      </c>
      <c r="M36" s="76">
        <f>SUMIFS('август 2025'!$G$2:$G$2407,'август 2025'!$D$2:$D$2407,$B36,'август 2025'!$J$2:$J$2407,M$1)</f>
        <v>0</v>
      </c>
      <c r="N36" s="76">
        <f>SUMIFS('август 2025'!$G$2:$G$2407,'август 2025'!$D$2:$D$2407,$B36,'август 2025'!$J$2:$J$2407,N$1)</f>
        <v>0</v>
      </c>
      <c r="O36" s="76">
        <f>SUMIFS('август 2025'!$G$2:$G$2407,'август 2025'!$D$2:$D$2407,$B36,'август 2025'!$J$2:$J$2407,O$1)</f>
        <v>0</v>
      </c>
      <c r="P36" s="76">
        <f>SUMIFS('август 2025'!$G$2:$G$2407,'август 2025'!$D$2:$D$2407,$B36,'август 2025'!$J$2:$J$2407,P$1)</f>
        <v>0</v>
      </c>
      <c r="Q36" s="76">
        <f>SUMIFS('август 2025'!$G$2:$G$2407,'август 2025'!$D$2:$D$2407,$B36,'август 2025'!$J$2:$J$2407,Q$1)</f>
        <v>0</v>
      </c>
      <c r="R36" s="76">
        <f>SUMIFS('август 2025'!$G$2:$G$2407,'август 2025'!$D$2:$D$2407,$B36,'август 2025'!$J$2:$J$2407,R$1)</f>
        <v>0</v>
      </c>
      <c r="S36" s="76">
        <f>SUMIFS('август 2025'!$G$2:$G$2407,'август 2025'!$D$2:$D$2407,$B36,'август 2025'!$J$2:$J$2407,S$1)</f>
        <v>0</v>
      </c>
      <c r="T36" s="76">
        <f>SUMIFS('август 2025'!$G$2:$G$2407,'август 2025'!$D$2:$D$2407,$B36,'август 2025'!$J$2:$J$2407,T$1)</f>
        <v>0</v>
      </c>
      <c r="U36" s="76">
        <f>SUMIFS('август 2025'!$G$2:$G$2407,'август 2025'!$D$2:$D$2407,$B36,'август 2025'!$J$2:$J$2407,U$1)</f>
        <v>0</v>
      </c>
      <c r="V36" s="76">
        <f>SUMIFS('август 2025'!$G$2:$G$2407,'август 2025'!$D$2:$D$2407,$B36,'август 2025'!$J$2:$J$2407,V$1)</f>
        <v>0</v>
      </c>
      <c r="W36" s="76">
        <f>SUMIFS('август 2025'!$G$2:$G$2407,'август 2025'!$D$2:$D$2407,$B36,'август 2025'!$J$2:$J$2407,W$1)</f>
        <v>0</v>
      </c>
      <c r="X36" s="76">
        <f>SUMIFS('август 2025'!$G$2:$G$2407,'август 2025'!$D$2:$D$2407,$B36,'август 2025'!$J$2:$J$2407,X$1)</f>
        <v>0</v>
      </c>
      <c r="Y36" s="76">
        <f>SUMIFS('август 2025'!$G$2:$G$2407,'август 2025'!$D$2:$D$2407,$B36,'август 2025'!$J$2:$J$2407,Y$1)</f>
        <v>0</v>
      </c>
      <c r="Z36" s="76">
        <f>SUMIFS('август 2025'!$G$2:$G$2407,'август 2025'!$D$2:$D$2407,$B36,'август 2025'!$J$2:$J$2407,Z$1)</f>
        <v>0</v>
      </c>
      <c r="AA36" s="76">
        <f>SUMIFS('август 2025'!$G$2:$G$2407,'август 2025'!$D$2:$D$2407,$B36,'август 2025'!$J$2:$J$2407,AA$1)</f>
        <v>0</v>
      </c>
      <c r="AB36" s="76">
        <f>SUMIFS('август 2025'!$G$2:$G$2407,'август 2025'!$D$2:$D$2407,$B36,'август 2025'!$J$2:$J$2407,AB$1)</f>
        <v>0</v>
      </c>
      <c r="AC36" s="76">
        <f>SUMIFS('август 2025'!$G$2:$G$2407,'август 2025'!$D$2:$D$2407,$B36,'август 2025'!$J$2:$J$2407,AC$1)</f>
        <v>0</v>
      </c>
      <c r="AD36" s="76">
        <f>SUMIFS('август 2025'!$G$2:$G$2407,'август 2025'!$D$2:$D$2407,$B36,'август 2025'!$J$2:$J$2407,AD$1)</f>
        <v>0</v>
      </c>
      <c r="AE36" s="76">
        <f>SUMIFS('август 2025'!$G$2:$G$2407,'август 2025'!$D$2:$D$2407,$B36,'август 2025'!$J$2:$J$2407,AE$1)</f>
        <v>0</v>
      </c>
      <c r="AF36" s="76">
        <f>SUMIFS('август 2025'!$G$2:$G$2407,'август 2025'!$D$2:$D$2407,$B36,'август 2025'!$J$2:$J$2407,AF$1)</f>
        <v>0</v>
      </c>
      <c r="AG36" s="76">
        <f>SUMIFS('август 2025'!$G$2:$G$2407,'август 2025'!$D$2:$D$2407,$B36,'август 2025'!$J$2:$J$2407,AG$1)</f>
        <v>0</v>
      </c>
      <c r="AH36" s="76">
        <f>SUMIFS('август 2025'!$G$2:$G$2407,'август 2025'!$D$2:$D$2407,$B36,'август 2025'!$J$2:$J$2407,AH$1)</f>
        <v>0</v>
      </c>
      <c r="AI36" s="20">
        <f t="shared" si="1"/>
        <v>0</v>
      </c>
    </row>
    <row r="37" spans="2:35" ht="15" customHeight="1" x14ac:dyDescent="0.25">
      <c r="B37" s="128" t="s">
        <v>217</v>
      </c>
      <c r="C37" s="126">
        <v>25</v>
      </c>
      <c r="D37" s="76">
        <f>SUMIFS('август 2025'!$G$2:$G$2407,'август 2025'!$D$2:$D$2407,$B37,'август 2025'!$J$2:$J$2407,D$1)</f>
        <v>0</v>
      </c>
      <c r="E37" s="76">
        <f>SUMIFS('август 2025'!$G$2:$G$2407,'август 2025'!$D$2:$D$2407,$B37,'август 2025'!$J$2:$J$2407,E$1)</f>
        <v>0</v>
      </c>
      <c r="F37" s="76">
        <f>SUMIFS('август 2025'!$G$2:$G$2407,'август 2025'!$D$2:$D$2407,$B37,'август 2025'!$J$2:$J$2407,F$1)</f>
        <v>0</v>
      </c>
      <c r="G37" s="76">
        <f>SUMIFS('август 2025'!$G$2:$G$2407,'август 2025'!$D$2:$D$2407,$B37,'август 2025'!$J$2:$J$2407,G$1)</f>
        <v>0</v>
      </c>
      <c r="H37" s="76">
        <f>SUMIFS('август 2025'!$G$2:$G$2407,'август 2025'!$D$2:$D$2407,$B37,'август 2025'!$J$2:$J$2407,H$1)</f>
        <v>0</v>
      </c>
      <c r="I37" s="76">
        <f>SUMIFS('август 2025'!$G$2:$G$2407,'август 2025'!$D$2:$D$2407,$B37,'август 2025'!$J$2:$J$2407,I$1)</f>
        <v>0</v>
      </c>
      <c r="J37" s="76">
        <f>SUMIFS('август 2025'!$G$2:$G$2407,'август 2025'!$D$2:$D$2407,$B37,'август 2025'!$J$2:$J$2407,J$1)</f>
        <v>0</v>
      </c>
      <c r="K37" s="76">
        <f>SUMIFS('август 2025'!$G$2:$G$2407,'август 2025'!$D$2:$D$2407,$B37,'август 2025'!$J$2:$J$2407,K$1)</f>
        <v>0</v>
      </c>
      <c r="L37" s="76">
        <f>SUMIFS('август 2025'!$G$2:$G$2407,'август 2025'!$D$2:$D$2407,$B37,'август 2025'!$J$2:$J$2407,L$1)</f>
        <v>0</v>
      </c>
      <c r="M37" s="76">
        <f>SUMIFS('август 2025'!$G$2:$G$2407,'август 2025'!$D$2:$D$2407,$B37,'август 2025'!$J$2:$J$2407,M$1)</f>
        <v>0</v>
      </c>
      <c r="N37" s="76">
        <f>SUMIFS('август 2025'!$G$2:$G$2407,'август 2025'!$D$2:$D$2407,$B37,'август 2025'!$J$2:$J$2407,N$1)</f>
        <v>0</v>
      </c>
      <c r="O37" s="76">
        <f>SUMIFS('август 2025'!$G$2:$G$2407,'август 2025'!$D$2:$D$2407,$B37,'август 2025'!$J$2:$J$2407,O$1)</f>
        <v>0</v>
      </c>
      <c r="P37" s="76">
        <f>SUMIFS('август 2025'!$G$2:$G$2407,'август 2025'!$D$2:$D$2407,$B37,'август 2025'!$J$2:$J$2407,P$1)</f>
        <v>0</v>
      </c>
      <c r="Q37" s="76">
        <f>SUMIFS('август 2025'!$G$2:$G$2407,'август 2025'!$D$2:$D$2407,$B37,'август 2025'!$J$2:$J$2407,Q$1)</f>
        <v>0</v>
      </c>
      <c r="R37" s="76">
        <f>SUMIFS('август 2025'!$G$2:$G$2407,'август 2025'!$D$2:$D$2407,$B37,'август 2025'!$J$2:$J$2407,R$1)</f>
        <v>0</v>
      </c>
      <c r="S37" s="76">
        <f>SUMIFS('август 2025'!$G$2:$G$2407,'август 2025'!$D$2:$D$2407,$B37,'август 2025'!$J$2:$J$2407,S$1)</f>
        <v>0</v>
      </c>
      <c r="T37" s="76">
        <f>SUMIFS('август 2025'!$G$2:$G$2407,'август 2025'!$D$2:$D$2407,$B37,'август 2025'!$J$2:$J$2407,T$1)</f>
        <v>0</v>
      </c>
      <c r="U37" s="76">
        <f>SUMIFS('август 2025'!$G$2:$G$2407,'август 2025'!$D$2:$D$2407,$B37,'август 2025'!$J$2:$J$2407,U$1)</f>
        <v>0</v>
      </c>
      <c r="V37" s="76">
        <f>SUMIFS('август 2025'!$G$2:$G$2407,'август 2025'!$D$2:$D$2407,$B37,'август 2025'!$J$2:$J$2407,V$1)</f>
        <v>0</v>
      </c>
      <c r="W37" s="76">
        <f>SUMIFS('август 2025'!$G$2:$G$2407,'август 2025'!$D$2:$D$2407,$B37,'август 2025'!$J$2:$J$2407,W$1)</f>
        <v>0</v>
      </c>
      <c r="X37" s="76">
        <f>SUMIFS('август 2025'!$G$2:$G$2407,'август 2025'!$D$2:$D$2407,$B37,'август 2025'!$J$2:$J$2407,X$1)</f>
        <v>0</v>
      </c>
      <c r="Y37" s="76">
        <f>SUMIFS('август 2025'!$G$2:$G$2407,'август 2025'!$D$2:$D$2407,$B37,'август 2025'!$J$2:$J$2407,Y$1)</f>
        <v>0</v>
      </c>
      <c r="Z37" s="76">
        <f>SUMIFS('август 2025'!$G$2:$G$2407,'август 2025'!$D$2:$D$2407,$B37,'август 2025'!$J$2:$J$2407,Z$1)</f>
        <v>0</v>
      </c>
      <c r="AA37" s="76">
        <f>SUMIFS('август 2025'!$G$2:$G$2407,'август 2025'!$D$2:$D$2407,$B37,'август 2025'!$J$2:$J$2407,AA$1)</f>
        <v>0</v>
      </c>
      <c r="AB37" s="76">
        <f>SUMIFS('август 2025'!$G$2:$G$2407,'август 2025'!$D$2:$D$2407,$B37,'август 2025'!$J$2:$J$2407,AB$1)</f>
        <v>0</v>
      </c>
      <c r="AC37" s="76">
        <f>SUMIFS('август 2025'!$G$2:$G$2407,'август 2025'!$D$2:$D$2407,$B37,'август 2025'!$J$2:$J$2407,AC$1)</f>
        <v>0</v>
      </c>
      <c r="AD37" s="76">
        <f>SUMIFS('август 2025'!$G$2:$G$2407,'август 2025'!$D$2:$D$2407,$B37,'август 2025'!$J$2:$J$2407,AD$1)</f>
        <v>0</v>
      </c>
      <c r="AE37" s="76">
        <f>SUMIFS('август 2025'!$G$2:$G$2407,'август 2025'!$D$2:$D$2407,$B37,'август 2025'!$J$2:$J$2407,AE$1)</f>
        <v>0</v>
      </c>
      <c r="AF37" s="76">
        <f>SUMIFS('август 2025'!$G$2:$G$2407,'август 2025'!$D$2:$D$2407,$B37,'август 2025'!$J$2:$J$2407,AF$1)</f>
        <v>0</v>
      </c>
      <c r="AG37" s="76">
        <f>SUMIFS('август 2025'!$G$2:$G$2407,'август 2025'!$D$2:$D$2407,$B37,'август 2025'!$J$2:$J$2407,AG$1)</f>
        <v>0</v>
      </c>
      <c r="AH37" s="76">
        <f>SUMIFS('август 2025'!$G$2:$G$2407,'август 2025'!$D$2:$D$2407,$B37,'август 2025'!$J$2:$J$2407,AH$1)</f>
        <v>0</v>
      </c>
      <c r="AI37" s="20">
        <f t="shared" si="1"/>
        <v>0</v>
      </c>
    </row>
    <row r="38" spans="2:35" ht="15" customHeight="1" x14ac:dyDescent="0.25">
      <c r="B38" s="129" t="s">
        <v>219</v>
      </c>
      <c r="C38" s="130">
        <v>25</v>
      </c>
      <c r="D38" s="76">
        <f>SUMIFS('август 2025'!$G$2:$G$2407,'август 2025'!$D$2:$D$2407,$B38,'август 2025'!$J$2:$J$2407,D$1)</f>
        <v>0</v>
      </c>
      <c r="E38" s="76">
        <f>SUMIFS('август 2025'!$G$2:$G$2407,'август 2025'!$D$2:$D$2407,$B38,'август 2025'!$J$2:$J$2407,E$1)</f>
        <v>0</v>
      </c>
      <c r="F38" s="76">
        <f>SUMIFS('август 2025'!$G$2:$G$2407,'август 2025'!$D$2:$D$2407,$B38,'август 2025'!$J$2:$J$2407,F$1)</f>
        <v>0</v>
      </c>
      <c r="G38" s="76">
        <f>SUMIFS('август 2025'!$G$2:$G$2407,'август 2025'!$D$2:$D$2407,$B38,'август 2025'!$J$2:$J$2407,G$1)</f>
        <v>0</v>
      </c>
      <c r="H38" s="76">
        <f>SUMIFS('август 2025'!$G$2:$G$2407,'август 2025'!$D$2:$D$2407,$B38,'август 2025'!$J$2:$J$2407,H$1)</f>
        <v>0</v>
      </c>
      <c r="I38" s="76">
        <f>SUMIFS('август 2025'!$G$2:$G$2407,'август 2025'!$D$2:$D$2407,$B38,'август 2025'!$J$2:$J$2407,I$1)</f>
        <v>0</v>
      </c>
      <c r="J38" s="76">
        <f>SUMIFS('август 2025'!$G$2:$G$2407,'август 2025'!$D$2:$D$2407,$B38,'август 2025'!$J$2:$J$2407,J$1)</f>
        <v>0</v>
      </c>
      <c r="K38" s="76">
        <f>SUMIFS('август 2025'!$G$2:$G$2407,'август 2025'!$D$2:$D$2407,$B38,'август 2025'!$J$2:$J$2407,K$1)</f>
        <v>0</v>
      </c>
      <c r="L38" s="76">
        <f>SUMIFS('август 2025'!$G$2:$G$2407,'август 2025'!$D$2:$D$2407,$B38,'август 2025'!$J$2:$J$2407,L$1)</f>
        <v>0</v>
      </c>
      <c r="M38" s="76">
        <f>SUMIFS('август 2025'!$G$2:$G$2407,'август 2025'!$D$2:$D$2407,$B38,'август 2025'!$J$2:$J$2407,M$1)</f>
        <v>0</v>
      </c>
      <c r="N38" s="76">
        <f>SUMIFS('август 2025'!$G$2:$G$2407,'август 2025'!$D$2:$D$2407,$B38,'август 2025'!$J$2:$J$2407,N$1)</f>
        <v>0</v>
      </c>
      <c r="O38" s="76">
        <f>SUMIFS('август 2025'!$G$2:$G$2407,'август 2025'!$D$2:$D$2407,$B38,'август 2025'!$J$2:$J$2407,O$1)</f>
        <v>0</v>
      </c>
      <c r="P38" s="76">
        <f>SUMIFS('август 2025'!$G$2:$G$2407,'август 2025'!$D$2:$D$2407,$B38,'август 2025'!$J$2:$J$2407,P$1)</f>
        <v>0</v>
      </c>
      <c r="Q38" s="76">
        <f>SUMIFS('август 2025'!$G$2:$G$2407,'август 2025'!$D$2:$D$2407,$B38,'август 2025'!$J$2:$J$2407,Q$1)</f>
        <v>0</v>
      </c>
      <c r="R38" s="76">
        <f>SUMIFS('август 2025'!$G$2:$G$2407,'август 2025'!$D$2:$D$2407,$B38,'август 2025'!$J$2:$J$2407,R$1)</f>
        <v>0</v>
      </c>
      <c r="S38" s="76">
        <f>SUMIFS('август 2025'!$G$2:$G$2407,'август 2025'!$D$2:$D$2407,$B38,'август 2025'!$J$2:$J$2407,S$1)</f>
        <v>0</v>
      </c>
      <c r="T38" s="76">
        <f>SUMIFS('август 2025'!$G$2:$G$2407,'август 2025'!$D$2:$D$2407,$B38,'август 2025'!$J$2:$J$2407,T$1)</f>
        <v>0</v>
      </c>
      <c r="U38" s="76">
        <f>SUMIFS('август 2025'!$G$2:$G$2407,'август 2025'!$D$2:$D$2407,$B38,'август 2025'!$J$2:$J$2407,U$1)</f>
        <v>0</v>
      </c>
      <c r="V38" s="76">
        <f>SUMIFS('август 2025'!$G$2:$G$2407,'август 2025'!$D$2:$D$2407,$B38,'август 2025'!$J$2:$J$2407,V$1)</f>
        <v>0</v>
      </c>
      <c r="W38" s="76">
        <f>SUMIFS('август 2025'!$G$2:$G$2407,'август 2025'!$D$2:$D$2407,$B38,'август 2025'!$J$2:$J$2407,W$1)</f>
        <v>0</v>
      </c>
      <c r="X38" s="76">
        <f>SUMIFS('август 2025'!$G$2:$G$2407,'август 2025'!$D$2:$D$2407,$B38,'август 2025'!$J$2:$J$2407,X$1)</f>
        <v>0</v>
      </c>
      <c r="Y38" s="76">
        <f>SUMIFS('август 2025'!$G$2:$G$2407,'август 2025'!$D$2:$D$2407,$B38,'август 2025'!$J$2:$J$2407,Y$1)</f>
        <v>0</v>
      </c>
      <c r="Z38" s="76">
        <f>SUMIFS('август 2025'!$G$2:$G$2407,'август 2025'!$D$2:$D$2407,$B38,'август 2025'!$J$2:$J$2407,Z$1)</f>
        <v>0</v>
      </c>
      <c r="AA38" s="76">
        <f>SUMIFS('август 2025'!$G$2:$G$2407,'август 2025'!$D$2:$D$2407,$B38,'август 2025'!$J$2:$J$2407,AA$1)</f>
        <v>0</v>
      </c>
      <c r="AB38" s="76">
        <f>SUMIFS('август 2025'!$G$2:$G$2407,'август 2025'!$D$2:$D$2407,$B38,'август 2025'!$J$2:$J$2407,AB$1)</f>
        <v>0</v>
      </c>
      <c r="AC38" s="76">
        <f>SUMIFS('август 2025'!$G$2:$G$2407,'август 2025'!$D$2:$D$2407,$B38,'август 2025'!$J$2:$J$2407,AC$1)</f>
        <v>0</v>
      </c>
      <c r="AD38" s="76">
        <f>SUMIFS('август 2025'!$G$2:$G$2407,'август 2025'!$D$2:$D$2407,$B38,'август 2025'!$J$2:$J$2407,AD$1)</f>
        <v>0</v>
      </c>
      <c r="AE38" s="76">
        <f>SUMIFS('август 2025'!$G$2:$G$2407,'август 2025'!$D$2:$D$2407,$B38,'август 2025'!$J$2:$J$2407,AE$1)</f>
        <v>0</v>
      </c>
      <c r="AF38" s="76">
        <f>SUMIFS('август 2025'!$G$2:$G$2407,'август 2025'!$D$2:$D$2407,$B38,'август 2025'!$J$2:$J$2407,AF$1)</f>
        <v>0</v>
      </c>
      <c r="AG38" s="76">
        <f>SUMIFS('август 2025'!$G$2:$G$2407,'август 2025'!$D$2:$D$2407,$B38,'август 2025'!$J$2:$J$2407,AG$1)</f>
        <v>0</v>
      </c>
      <c r="AH38" s="76">
        <f>SUMIFS('август 2025'!$G$2:$G$2407,'август 2025'!$D$2:$D$2407,$B38,'август 2025'!$J$2:$J$2407,AH$1)</f>
        <v>0</v>
      </c>
      <c r="AI38" s="20">
        <f t="shared" si="1"/>
        <v>0</v>
      </c>
    </row>
    <row r="39" spans="2:35" ht="15" customHeight="1" x14ac:dyDescent="0.25">
      <c r="B39" s="131" t="s">
        <v>221</v>
      </c>
      <c r="C39" s="132">
        <v>22.68</v>
      </c>
      <c r="D39" s="76">
        <f>SUMIFS('август 2025'!$G$2:$G$2407,'август 2025'!$D$2:$D$2407,$B39,'август 2025'!$J$2:$J$2407,D$1)</f>
        <v>0</v>
      </c>
      <c r="E39" s="76">
        <f>SUMIFS('август 2025'!$G$2:$G$2407,'август 2025'!$D$2:$D$2407,$B39,'август 2025'!$J$2:$J$2407,E$1)</f>
        <v>0</v>
      </c>
      <c r="F39" s="76">
        <f>SUMIFS('август 2025'!$G$2:$G$2407,'август 2025'!$D$2:$D$2407,$B39,'август 2025'!$J$2:$J$2407,F$1)</f>
        <v>0</v>
      </c>
      <c r="G39" s="76">
        <f>SUMIFS('август 2025'!$G$2:$G$2407,'август 2025'!$D$2:$D$2407,$B39,'август 2025'!$J$2:$J$2407,G$1)</f>
        <v>0</v>
      </c>
      <c r="H39" s="76">
        <f>SUMIFS('август 2025'!$G$2:$G$2407,'август 2025'!$D$2:$D$2407,$B39,'август 2025'!$J$2:$J$2407,H$1)</f>
        <v>0</v>
      </c>
      <c r="I39" s="76">
        <f>SUMIFS('август 2025'!$G$2:$G$2407,'август 2025'!$D$2:$D$2407,$B39,'август 2025'!$J$2:$J$2407,I$1)</f>
        <v>0</v>
      </c>
      <c r="J39" s="76">
        <f>SUMIFS('август 2025'!$G$2:$G$2407,'август 2025'!$D$2:$D$2407,$B39,'август 2025'!$J$2:$J$2407,J$1)</f>
        <v>0</v>
      </c>
      <c r="K39" s="76">
        <f>SUMIFS('август 2025'!$G$2:$G$2407,'август 2025'!$D$2:$D$2407,$B39,'август 2025'!$J$2:$J$2407,K$1)</f>
        <v>0</v>
      </c>
      <c r="L39" s="76">
        <f>SUMIFS('август 2025'!$G$2:$G$2407,'август 2025'!$D$2:$D$2407,$B39,'август 2025'!$J$2:$J$2407,L$1)</f>
        <v>0</v>
      </c>
      <c r="M39" s="76">
        <f>SUMIFS('август 2025'!$G$2:$G$2407,'август 2025'!$D$2:$D$2407,$B39,'август 2025'!$J$2:$J$2407,M$1)</f>
        <v>0</v>
      </c>
      <c r="N39" s="76">
        <f>SUMIFS('август 2025'!$G$2:$G$2407,'август 2025'!$D$2:$D$2407,$B39,'август 2025'!$J$2:$J$2407,N$1)</f>
        <v>0</v>
      </c>
      <c r="O39" s="76">
        <f>SUMIFS('август 2025'!$G$2:$G$2407,'август 2025'!$D$2:$D$2407,$B39,'август 2025'!$J$2:$J$2407,O$1)</f>
        <v>0</v>
      </c>
      <c r="P39" s="76">
        <f>SUMIFS('август 2025'!$G$2:$G$2407,'август 2025'!$D$2:$D$2407,$B39,'август 2025'!$J$2:$J$2407,P$1)</f>
        <v>0</v>
      </c>
      <c r="Q39" s="76">
        <f>SUMIFS('август 2025'!$G$2:$G$2407,'август 2025'!$D$2:$D$2407,$B39,'август 2025'!$J$2:$J$2407,Q$1)</f>
        <v>0</v>
      </c>
      <c r="R39" s="76">
        <f>SUMIFS('август 2025'!$G$2:$G$2407,'август 2025'!$D$2:$D$2407,$B39,'август 2025'!$J$2:$J$2407,R$1)</f>
        <v>0</v>
      </c>
      <c r="S39" s="76">
        <f>SUMIFS('август 2025'!$G$2:$G$2407,'август 2025'!$D$2:$D$2407,$B39,'август 2025'!$J$2:$J$2407,S$1)</f>
        <v>0</v>
      </c>
      <c r="T39" s="76">
        <f>SUMIFS('август 2025'!$G$2:$G$2407,'август 2025'!$D$2:$D$2407,$B39,'август 2025'!$J$2:$J$2407,T$1)</f>
        <v>0</v>
      </c>
      <c r="U39" s="76">
        <f>SUMIFS('август 2025'!$G$2:$G$2407,'август 2025'!$D$2:$D$2407,$B39,'август 2025'!$J$2:$J$2407,U$1)</f>
        <v>0</v>
      </c>
      <c r="V39" s="76">
        <f>SUMIFS('август 2025'!$G$2:$G$2407,'август 2025'!$D$2:$D$2407,$B39,'август 2025'!$J$2:$J$2407,V$1)</f>
        <v>0</v>
      </c>
      <c r="W39" s="76">
        <f>SUMIFS('август 2025'!$G$2:$G$2407,'август 2025'!$D$2:$D$2407,$B39,'август 2025'!$J$2:$J$2407,W$1)</f>
        <v>0</v>
      </c>
      <c r="X39" s="76">
        <f>SUMIFS('август 2025'!$G$2:$G$2407,'август 2025'!$D$2:$D$2407,$B39,'август 2025'!$J$2:$J$2407,X$1)</f>
        <v>0</v>
      </c>
      <c r="Y39" s="76">
        <f>SUMIFS('август 2025'!$G$2:$G$2407,'август 2025'!$D$2:$D$2407,$B39,'август 2025'!$J$2:$J$2407,Y$1)</f>
        <v>0</v>
      </c>
      <c r="Z39" s="76">
        <f>SUMIFS('август 2025'!$G$2:$G$2407,'август 2025'!$D$2:$D$2407,$B39,'август 2025'!$J$2:$J$2407,Z$1)</f>
        <v>0</v>
      </c>
      <c r="AA39" s="76">
        <f>SUMIFS('август 2025'!$G$2:$G$2407,'август 2025'!$D$2:$D$2407,$B39,'август 2025'!$J$2:$J$2407,AA$1)</f>
        <v>0</v>
      </c>
      <c r="AB39" s="76">
        <f>SUMIFS('август 2025'!$G$2:$G$2407,'август 2025'!$D$2:$D$2407,$B39,'август 2025'!$J$2:$J$2407,AB$1)</f>
        <v>0</v>
      </c>
      <c r="AC39" s="76">
        <f>SUMIFS('август 2025'!$G$2:$G$2407,'август 2025'!$D$2:$D$2407,$B39,'август 2025'!$J$2:$J$2407,AC$1)</f>
        <v>0</v>
      </c>
      <c r="AD39" s="76">
        <f>SUMIFS('август 2025'!$G$2:$G$2407,'август 2025'!$D$2:$D$2407,$B39,'август 2025'!$J$2:$J$2407,AD$1)</f>
        <v>0</v>
      </c>
      <c r="AE39" s="76">
        <f>SUMIFS('август 2025'!$G$2:$G$2407,'август 2025'!$D$2:$D$2407,$B39,'август 2025'!$J$2:$J$2407,AE$1)</f>
        <v>0</v>
      </c>
      <c r="AF39" s="76">
        <f>SUMIFS('август 2025'!$G$2:$G$2407,'август 2025'!$D$2:$D$2407,$B39,'август 2025'!$J$2:$J$2407,AF$1)</f>
        <v>0</v>
      </c>
      <c r="AG39" s="76">
        <f>SUMIFS('август 2025'!$G$2:$G$2407,'август 2025'!$D$2:$D$2407,$B39,'август 2025'!$J$2:$J$2407,AG$1)</f>
        <v>0</v>
      </c>
      <c r="AH39" s="76">
        <f>SUMIFS('август 2025'!$G$2:$G$2407,'август 2025'!$D$2:$D$2407,$B39,'август 2025'!$J$2:$J$2407,AH$1)</f>
        <v>0</v>
      </c>
      <c r="AI39" s="20">
        <f t="shared" si="1"/>
        <v>0</v>
      </c>
    </row>
    <row r="40" spans="2:35" ht="15" customHeight="1" x14ac:dyDescent="0.25">
      <c r="B40" s="131" t="s">
        <v>1016</v>
      </c>
      <c r="C40" s="133">
        <v>20</v>
      </c>
      <c r="D40" s="76">
        <f>SUMIFS('август 2025'!$G$2:$G$2407,'август 2025'!$D$2:$D$2407,$B40,'август 2025'!$J$2:$J$2407,D$1)</f>
        <v>0</v>
      </c>
      <c r="E40" s="76">
        <f>SUMIFS('август 2025'!$G$2:$G$2407,'август 2025'!$D$2:$D$2407,$B40,'август 2025'!$J$2:$J$2407,E$1)</f>
        <v>0</v>
      </c>
      <c r="F40" s="76">
        <f>SUMIFS('август 2025'!$G$2:$G$2407,'август 2025'!$D$2:$D$2407,$B40,'август 2025'!$J$2:$J$2407,F$1)</f>
        <v>0</v>
      </c>
      <c r="G40" s="76">
        <f>SUMIFS('август 2025'!$G$2:$G$2407,'август 2025'!$D$2:$D$2407,$B40,'август 2025'!$J$2:$J$2407,G$1)</f>
        <v>0</v>
      </c>
      <c r="H40" s="76">
        <f>SUMIFS('август 2025'!$G$2:$G$2407,'август 2025'!$D$2:$D$2407,$B40,'август 2025'!$J$2:$J$2407,H$1)</f>
        <v>0</v>
      </c>
      <c r="I40" s="76">
        <f>SUMIFS('август 2025'!$G$2:$G$2407,'август 2025'!$D$2:$D$2407,$B40,'август 2025'!$J$2:$J$2407,I$1)</f>
        <v>0</v>
      </c>
      <c r="J40" s="76">
        <f>SUMIFS('август 2025'!$G$2:$G$2407,'август 2025'!$D$2:$D$2407,$B40,'август 2025'!$J$2:$J$2407,J$1)</f>
        <v>0</v>
      </c>
      <c r="K40" s="76">
        <f>SUMIFS('август 2025'!$G$2:$G$2407,'август 2025'!$D$2:$D$2407,$B40,'август 2025'!$J$2:$J$2407,K$1)</f>
        <v>0</v>
      </c>
      <c r="L40" s="76">
        <f>SUMIFS('август 2025'!$G$2:$G$2407,'август 2025'!$D$2:$D$2407,$B40,'август 2025'!$J$2:$J$2407,L$1)</f>
        <v>0</v>
      </c>
      <c r="M40" s="76">
        <f>SUMIFS('август 2025'!$G$2:$G$2407,'август 2025'!$D$2:$D$2407,$B40,'август 2025'!$J$2:$J$2407,M$1)</f>
        <v>0</v>
      </c>
      <c r="N40" s="76">
        <f>SUMIFS('август 2025'!$G$2:$G$2407,'август 2025'!$D$2:$D$2407,$B40,'август 2025'!$J$2:$J$2407,N$1)</f>
        <v>0</v>
      </c>
      <c r="O40" s="76">
        <f>SUMIFS('август 2025'!$G$2:$G$2407,'август 2025'!$D$2:$D$2407,$B40,'август 2025'!$J$2:$J$2407,O$1)</f>
        <v>0</v>
      </c>
      <c r="P40" s="76">
        <f>SUMIFS('август 2025'!$G$2:$G$2407,'август 2025'!$D$2:$D$2407,$B40,'август 2025'!$J$2:$J$2407,P$1)</f>
        <v>0</v>
      </c>
      <c r="Q40" s="76">
        <f>SUMIFS('август 2025'!$G$2:$G$2407,'август 2025'!$D$2:$D$2407,$B40,'август 2025'!$J$2:$J$2407,Q$1)</f>
        <v>0</v>
      </c>
      <c r="R40" s="76">
        <f>SUMIFS('август 2025'!$G$2:$G$2407,'август 2025'!$D$2:$D$2407,$B40,'август 2025'!$J$2:$J$2407,R$1)</f>
        <v>0</v>
      </c>
      <c r="S40" s="76">
        <f>SUMIFS('август 2025'!$G$2:$G$2407,'август 2025'!$D$2:$D$2407,$B40,'август 2025'!$J$2:$J$2407,S$1)</f>
        <v>0</v>
      </c>
      <c r="T40" s="76">
        <f>SUMIFS('август 2025'!$G$2:$G$2407,'август 2025'!$D$2:$D$2407,$B40,'август 2025'!$J$2:$J$2407,T$1)</f>
        <v>0</v>
      </c>
      <c r="U40" s="76">
        <f>SUMIFS('август 2025'!$G$2:$G$2407,'август 2025'!$D$2:$D$2407,$B40,'август 2025'!$J$2:$J$2407,U$1)</f>
        <v>0</v>
      </c>
      <c r="V40" s="76">
        <f>SUMIFS('август 2025'!$G$2:$G$2407,'август 2025'!$D$2:$D$2407,$B40,'август 2025'!$J$2:$J$2407,V$1)</f>
        <v>0</v>
      </c>
      <c r="W40" s="76">
        <f>SUMIFS('август 2025'!$G$2:$G$2407,'август 2025'!$D$2:$D$2407,$B40,'август 2025'!$J$2:$J$2407,W$1)</f>
        <v>0</v>
      </c>
      <c r="X40" s="76">
        <f>SUMIFS('август 2025'!$G$2:$G$2407,'август 2025'!$D$2:$D$2407,$B40,'август 2025'!$J$2:$J$2407,X$1)</f>
        <v>0</v>
      </c>
      <c r="Y40" s="76">
        <f>SUMIFS('август 2025'!$G$2:$G$2407,'август 2025'!$D$2:$D$2407,$B40,'август 2025'!$J$2:$J$2407,Y$1)</f>
        <v>0</v>
      </c>
      <c r="Z40" s="76">
        <f>SUMIFS('август 2025'!$G$2:$G$2407,'август 2025'!$D$2:$D$2407,$B40,'август 2025'!$J$2:$J$2407,Z$1)</f>
        <v>0</v>
      </c>
      <c r="AA40" s="76">
        <f>SUMIFS('август 2025'!$G$2:$G$2407,'август 2025'!$D$2:$D$2407,$B40,'август 2025'!$J$2:$J$2407,AA$1)</f>
        <v>0</v>
      </c>
      <c r="AB40" s="76">
        <f>SUMIFS('август 2025'!$G$2:$G$2407,'август 2025'!$D$2:$D$2407,$B40,'август 2025'!$J$2:$J$2407,AB$1)</f>
        <v>0</v>
      </c>
      <c r="AC40" s="76">
        <f>SUMIFS('август 2025'!$G$2:$G$2407,'август 2025'!$D$2:$D$2407,$B40,'август 2025'!$J$2:$J$2407,AC$1)</f>
        <v>0</v>
      </c>
      <c r="AD40" s="76">
        <f>SUMIFS('август 2025'!$G$2:$G$2407,'август 2025'!$D$2:$D$2407,$B40,'август 2025'!$J$2:$J$2407,AD$1)</f>
        <v>0</v>
      </c>
      <c r="AE40" s="76">
        <f>SUMIFS('август 2025'!$G$2:$G$2407,'август 2025'!$D$2:$D$2407,$B40,'август 2025'!$J$2:$J$2407,AE$1)</f>
        <v>0</v>
      </c>
      <c r="AF40" s="76">
        <f>SUMIFS('август 2025'!$G$2:$G$2407,'август 2025'!$D$2:$D$2407,$B40,'август 2025'!$J$2:$J$2407,AF$1)</f>
        <v>0</v>
      </c>
      <c r="AG40" s="76">
        <f>SUMIFS('август 2025'!$G$2:$G$2407,'август 2025'!$D$2:$D$2407,$B40,'август 2025'!$J$2:$J$2407,AG$1)</f>
        <v>0</v>
      </c>
      <c r="AH40" s="76">
        <f>SUMIFS('август 2025'!$G$2:$G$2407,'август 2025'!$D$2:$D$2407,$B40,'август 2025'!$J$2:$J$2407,AH$1)</f>
        <v>0</v>
      </c>
      <c r="AI40" s="20">
        <f t="shared" si="1"/>
        <v>0</v>
      </c>
    </row>
    <row r="41" spans="2:35" ht="15" customHeight="1" x14ac:dyDescent="0.25">
      <c r="B41" s="131" t="s">
        <v>223</v>
      </c>
      <c r="C41" s="133">
        <v>25</v>
      </c>
      <c r="D41" s="76">
        <f>SUMIFS('август 2025'!$G$2:$G$2407,'август 2025'!$D$2:$D$2407,$B41,'август 2025'!$J$2:$J$2407,D$1)</f>
        <v>0</v>
      </c>
      <c r="E41" s="76">
        <f>SUMIFS('август 2025'!$G$2:$G$2407,'август 2025'!$D$2:$D$2407,$B41,'август 2025'!$J$2:$J$2407,E$1)</f>
        <v>0</v>
      </c>
      <c r="F41" s="76">
        <f>SUMIFS('август 2025'!$G$2:$G$2407,'август 2025'!$D$2:$D$2407,$B41,'август 2025'!$J$2:$J$2407,F$1)</f>
        <v>0</v>
      </c>
      <c r="G41" s="76">
        <f>SUMIFS('август 2025'!$G$2:$G$2407,'август 2025'!$D$2:$D$2407,$B41,'август 2025'!$J$2:$J$2407,G$1)</f>
        <v>0</v>
      </c>
      <c r="H41" s="76">
        <f>SUMIFS('август 2025'!$G$2:$G$2407,'август 2025'!$D$2:$D$2407,$B41,'август 2025'!$J$2:$J$2407,H$1)</f>
        <v>0</v>
      </c>
      <c r="I41" s="76">
        <f>SUMIFS('август 2025'!$G$2:$G$2407,'август 2025'!$D$2:$D$2407,$B41,'август 2025'!$J$2:$J$2407,I$1)</f>
        <v>0</v>
      </c>
      <c r="J41" s="76">
        <f>SUMIFS('август 2025'!$G$2:$G$2407,'август 2025'!$D$2:$D$2407,$B41,'август 2025'!$J$2:$J$2407,J$1)</f>
        <v>0</v>
      </c>
      <c r="K41" s="76">
        <f>SUMIFS('август 2025'!$G$2:$G$2407,'август 2025'!$D$2:$D$2407,$B41,'август 2025'!$J$2:$J$2407,K$1)</f>
        <v>0</v>
      </c>
      <c r="L41" s="76">
        <f>SUMIFS('август 2025'!$G$2:$G$2407,'август 2025'!$D$2:$D$2407,$B41,'август 2025'!$J$2:$J$2407,L$1)</f>
        <v>0</v>
      </c>
      <c r="M41" s="76">
        <f>SUMIFS('август 2025'!$G$2:$G$2407,'август 2025'!$D$2:$D$2407,$B41,'август 2025'!$J$2:$J$2407,M$1)</f>
        <v>0</v>
      </c>
      <c r="N41" s="76">
        <f>SUMIFS('август 2025'!$G$2:$G$2407,'август 2025'!$D$2:$D$2407,$B41,'август 2025'!$J$2:$J$2407,N$1)</f>
        <v>0</v>
      </c>
      <c r="O41" s="76">
        <f>SUMIFS('август 2025'!$G$2:$G$2407,'август 2025'!$D$2:$D$2407,$B41,'август 2025'!$J$2:$J$2407,O$1)</f>
        <v>0</v>
      </c>
      <c r="P41" s="76">
        <f>SUMIFS('август 2025'!$G$2:$G$2407,'август 2025'!$D$2:$D$2407,$B41,'август 2025'!$J$2:$J$2407,P$1)</f>
        <v>0</v>
      </c>
      <c r="Q41" s="76">
        <f>SUMIFS('август 2025'!$G$2:$G$2407,'август 2025'!$D$2:$D$2407,$B41,'август 2025'!$J$2:$J$2407,Q$1)</f>
        <v>0</v>
      </c>
      <c r="R41" s="76">
        <f>SUMIFS('август 2025'!$G$2:$G$2407,'август 2025'!$D$2:$D$2407,$B41,'август 2025'!$J$2:$J$2407,R$1)</f>
        <v>0</v>
      </c>
      <c r="S41" s="76">
        <f>SUMIFS('август 2025'!$G$2:$G$2407,'август 2025'!$D$2:$D$2407,$B41,'август 2025'!$J$2:$J$2407,S$1)</f>
        <v>0</v>
      </c>
      <c r="T41" s="76">
        <f>SUMIFS('август 2025'!$G$2:$G$2407,'август 2025'!$D$2:$D$2407,$B41,'август 2025'!$J$2:$J$2407,T$1)</f>
        <v>0</v>
      </c>
      <c r="U41" s="76">
        <f>SUMIFS('август 2025'!$G$2:$G$2407,'август 2025'!$D$2:$D$2407,$B41,'август 2025'!$J$2:$J$2407,U$1)</f>
        <v>0</v>
      </c>
      <c r="V41" s="76">
        <f>SUMIFS('август 2025'!$G$2:$G$2407,'август 2025'!$D$2:$D$2407,$B41,'август 2025'!$J$2:$J$2407,V$1)</f>
        <v>0</v>
      </c>
      <c r="W41" s="76">
        <f>SUMIFS('август 2025'!$G$2:$G$2407,'август 2025'!$D$2:$D$2407,$B41,'август 2025'!$J$2:$J$2407,W$1)</f>
        <v>0</v>
      </c>
      <c r="X41" s="76">
        <f>SUMIFS('август 2025'!$G$2:$G$2407,'август 2025'!$D$2:$D$2407,$B41,'август 2025'!$J$2:$J$2407,X$1)</f>
        <v>0</v>
      </c>
      <c r="Y41" s="76">
        <f>SUMIFS('август 2025'!$G$2:$G$2407,'август 2025'!$D$2:$D$2407,$B41,'август 2025'!$J$2:$J$2407,Y$1)</f>
        <v>800</v>
      </c>
      <c r="Z41" s="76">
        <f>SUMIFS('август 2025'!$G$2:$G$2407,'август 2025'!$D$2:$D$2407,$B41,'август 2025'!$J$2:$J$2407,Z$1)</f>
        <v>0</v>
      </c>
      <c r="AA41" s="76">
        <f>SUMIFS('август 2025'!$G$2:$G$2407,'август 2025'!$D$2:$D$2407,$B41,'август 2025'!$J$2:$J$2407,AA$1)</f>
        <v>0</v>
      </c>
      <c r="AB41" s="76">
        <f>SUMIFS('август 2025'!$G$2:$G$2407,'август 2025'!$D$2:$D$2407,$B41,'август 2025'!$J$2:$J$2407,AB$1)</f>
        <v>0</v>
      </c>
      <c r="AC41" s="76">
        <f>SUMIFS('август 2025'!$G$2:$G$2407,'август 2025'!$D$2:$D$2407,$B41,'август 2025'!$J$2:$J$2407,AC$1)</f>
        <v>0</v>
      </c>
      <c r="AD41" s="76">
        <f>SUMIFS('август 2025'!$G$2:$G$2407,'август 2025'!$D$2:$D$2407,$B41,'август 2025'!$J$2:$J$2407,AD$1)</f>
        <v>0</v>
      </c>
      <c r="AE41" s="76">
        <f>SUMIFS('август 2025'!$G$2:$G$2407,'август 2025'!$D$2:$D$2407,$B41,'август 2025'!$J$2:$J$2407,AE$1)</f>
        <v>0</v>
      </c>
      <c r="AF41" s="76">
        <f>SUMIFS('август 2025'!$G$2:$G$2407,'август 2025'!$D$2:$D$2407,$B41,'август 2025'!$J$2:$J$2407,AF$1)</f>
        <v>0</v>
      </c>
      <c r="AG41" s="76">
        <f>SUMIFS('август 2025'!$G$2:$G$2407,'август 2025'!$D$2:$D$2407,$B41,'август 2025'!$J$2:$J$2407,AG$1)</f>
        <v>0</v>
      </c>
      <c r="AH41" s="76">
        <f>SUMIFS('август 2025'!$G$2:$G$2407,'август 2025'!$D$2:$D$2407,$B41,'август 2025'!$J$2:$J$2407,AH$1)</f>
        <v>0</v>
      </c>
      <c r="AI41" s="20">
        <f t="shared" si="1"/>
        <v>800</v>
      </c>
    </row>
    <row r="42" spans="2:35" ht="15" customHeight="1" x14ac:dyDescent="0.25">
      <c r="B42" s="131" t="s">
        <v>225</v>
      </c>
      <c r="C42" s="134">
        <v>25</v>
      </c>
      <c r="D42" s="76">
        <f>SUMIFS('август 2025'!$G$2:$G$2407,'август 2025'!$D$2:$D$2407,$B42,'август 2025'!$J$2:$J$2407,D$1)</f>
        <v>0</v>
      </c>
      <c r="E42" s="76">
        <f>SUMIFS('август 2025'!$G$2:$G$2407,'август 2025'!$D$2:$D$2407,$B42,'август 2025'!$J$2:$J$2407,E$1)</f>
        <v>0</v>
      </c>
      <c r="F42" s="76">
        <f>SUMIFS('август 2025'!$G$2:$G$2407,'август 2025'!$D$2:$D$2407,$B42,'август 2025'!$J$2:$J$2407,F$1)</f>
        <v>0</v>
      </c>
      <c r="G42" s="76">
        <f>SUMIFS('август 2025'!$G$2:$G$2407,'август 2025'!$D$2:$D$2407,$B42,'август 2025'!$J$2:$J$2407,G$1)</f>
        <v>0</v>
      </c>
      <c r="H42" s="76">
        <f>SUMIFS('август 2025'!$G$2:$G$2407,'август 2025'!$D$2:$D$2407,$B42,'август 2025'!$J$2:$J$2407,H$1)</f>
        <v>0</v>
      </c>
      <c r="I42" s="76">
        <f>SUMIFS('август 2025'!$G$2:$G$2407,'август 2025'!$D$2:$D$2407,$B42,'август 2025'!$J$2:$J$2407,I$1)</f>
        <v>0</v>
      </c>
      <c r="J42" s="76">
        <f>SUMIFS('август 2025'!$G$2:$G$2407,'август 2025'!$D$2:$D$2407,$B42,'август 2025'!$J$2:$J$2407,J$1)</f>
        <v>0</v>
      </c>
      <c r="K42" s="76">
        <f>SUMIFS('август 2025'!$G$2:$G$2407,'август 2025'!$D$2:$D$2407,$B42,'август 2025'!$J$2:$J$2407,K$1)</f>
        <v>0</v>
      </c>
      <c r="L42" s="76">
        <f>SUMIFS('август 2025'!$G$2:$G$2407,'август 2025'!$D$2:$D$2407,$B42,'август 2025'!$J$2:$J$2407,L$1)</f>
        <v>0</v>
      </c>
      <c r="M42" s="76">
        <f>SUMIFS('август 2025'!$G$2:$G$2407,'август 2025'!$D$2:$D$2407,$B42,'август 2025'!$J$2:$J$2407,M$1)</f>
        <v>0</v>
      </c>
      <c r="N42" s="76">
        <f>SUMIFS('август 2025'!$G$2:$G$2407,'август 2025'!$D$2:$D$2407,$B42,'август 2025'!$J$2:$J$2407,N$1)</f>
        <v>0</v>
      </c>
      <c r="O42" s="76">
        <f>SUMIFS('август 2025'!$G$2:$G$2407,'август 2025'!$D$2:$D$2407,$B42,'август 2025'!$J$2:$J$2407,O$1)</f>
        <v>0</v>
      </c>
      <c r="P42" s="76">
        <f>SUMIFS('август 2025'!$G$2:$G$2407,'август 2025'!$D$2:$D$2407,$B42,'август 2025'!$J$2:$J$2407,P$1)</f>
        <v>0</v>
      </c>
      <c r="Q42" s="76">
        <f>SUMIFS('август 2025'!$G$2:$G$2407,'август 2025'!$D$2:$D$2407,$B42,'август 2025'!$J$2:$J$2407,Q$1)</f>
        <v>0</v>
      </c>
      <c r="R42" s="76">
        <f>SUMIFS('август 2025'!$G$2:$G$2407,'август 2025'!$D$2:$D$2407,$B42,'август 2025'!$J$2:$J$2407,R$1)</f>
        <v>0</v>
      </c>
      <c r="S42" s="76">
        <f>SUMIFS('август 2025'!$G$2:$G$2407,'август 2025'!$D$2:$D$2407,$B42,'август 2025'!$J$2:$J$2407,S$1)</f>
        <v>0</v>
      </c>
      <c r="T42" s="76">
        <f>SUMIFS('август 2025'!$G$2:$G$2407,'август 2025'!$D$2:$D$2407,$B42,'август 2025'!$J$2:$J$2407,T$1)</f>
        <v>0</v>
      </c>
      <c r="U42" s="76">
        <f>SUMIFS('август 2025'!$G$2:$G$2407,'август 2025'!$D$2:$D$2407,$B42,'август 2025'!$J$2:$J$2407,U$1)</f>
        <v>0</v>
      </c>
      <c r="V42" s="76">
        <f>SUMIFS('август 2025'!$G$2:$G$2407,'август 2025'!$D$2:$D$2407,$B42,'август 2025'!$J$2:$J$2407,V$1)</f>
        <v>0</v>
      </c>
      <c r="W42" s="76">
        <f>SUMIFS('август 2025'!$G$2:$G$2407,'август 2025'!$D$2:$D$2407,$B42,'август 2025'!$J$2:$J$2407,W$1)</f>
        <v>0</v>
      </c>
      <c r="X42" s="76">
        <f>SUMIFS('август 2025'!$G$2:$G$2407,'август 2025'!$D$2:$D$2407,$B42,'август 2025'!$J$2:$J$2407,X$1)</f>
        <v>0</v>
      </c>
      <c r="Y42" s="76">
        <f>SUMIFS('август 2025'!$G$2:$G$2407,'август 2025'!$D$2:$D$2407,$B42,'август 2025'!$J$2:$J$2407,Y$1)</f>
        <v>0</v>
      </c>
      <c r="Z42" s="76">
        <f>SUMIFS('август 2025'!$G$2:$G$2407,'август 2025'!$D$2:$D$2407,$B42,'август 2025'!$J$2:$J$2407,Z$1)</f>
        <v>0</v>
      </c>
      <c r="AA42" s="76">
        <f>SUMIFS('август 2025'!$G$2:$G$2407,'август 2025'!$D$2:$D$2407,$B42,'август 2025'!$J$2:$J$2407,AA$1)</f>
        <v>0</v>
      </c>
      <c r="AB42" s="76">
        <f>SUMIFS('август 2025'!$G$2:$G$2407,'август 2025'!$D$2:$D$2407,$B42,'август 2025'!$J$2:$J$2407,AB$1)</f>
        <v>0</v>
      </c>
      <c r="AC42" s="76">
        <f>SUMIFS('август 2025'!$G$2:$G$2407,'август 2025'!$D$2:$D$2407,$B42,'август 2025'!$J$2:$J$2407,AC$1)</f>
        <v>0</v>
      </c>
      <c r="AD42" s="76">
        <f>SUMIFS('август 2025'!$G$2:$G$2407,'август 2025'!$D$2:$D$2407,$B42,'август 2025'!$J$2:$J$2407,AD$1)</f>
        <v>0</v>
      </c>
      <c r="AE42" s="76">
        <f>SUMIFS('август 2025'!$G$2:$G$2407,'август 2025'!$D$2:$D$2407,$B42,'август 2025'!$J$2:$J$2407,AE$1)</f>
        <v>0</v>
      </c>
      <c r="AF42" s="76">
        <f>SUMIFS('август 2025'!$G$2:$G$2407,'август 2025'!$D$2:$D$2407,$B42,'август 2025'!$J$2:$J$2407,AF$1)</f>
        <v>0</v>
      </c>
      <c r="AG42" s="76">
        <f>SUMIFS('август 2025'!$G$2:$G$2407,'август 2025'!$D$2:$D$2407,$B42,'август 2025'!$J$2:$J$2407,AG$1)</f>
        <v>0</v>
      </c>
      <c r="AH42" s="76">
        <f>SUMIFS('август 2025'!$G$2:$G$2407,'август 2025'!$D$2:$D$2407,$B42,'август 2025'!$J$2:$J$2407,AH$1)</f>
        <v>0</v>
      </c>
      <c r="AI42" s="20">
        <f t="shared" si="1"/>
        <v>0</v>
      </c>
    </row>
    <row r="43" spans="2:35" ht="15" customHeight="1" x14ac:dyDescent="0.25">
      <c r="B43" s="131" t="s">
        <v>227</v>
      </c>
      <c r="C43" s="130">
        <v>22.68</v>
      </c>
      <c r="D43" s="76">
        <f>SUMIFS('август 2025'!$G$2:$G$2407,'август 2025'!$D$2:$D$2407,$B43,'август 2025'!$J$2:$J$2407,D$1)</f>
        <v>0</v>
      </c>
      <c r="E43" s="76">
        <f>SUMIFS('август 2025'!$G$2:$G$2407,'август 2025'!$D$2:$D$2407,$B43,'август 2025'!$J$2:$J$2407,E$1)</f>
        <v>0</v>
      </c>
      <c r="F43" s="76">
        <f>SUMIFS('август 2025'!$G$2:$G$2407,'август 2025'!$D$2:$D$2407,$B43,'август 2025'!$J$2:$J$2407,F$1)</f>
        <v>0</v>
      </c>
      <c r="G43" s="76">
        <f>SUMIFS('август 2025'!$G$2:$G$2407,'август 2025'!$D$2:$D$2407,$B43,'август 2025'!$J$2:$J$2407,G$1)</f>
        <v>0</v>
      </c>
      <c r="H43" s="76">
        <f>SUMIFS('август 2025'!$G$2:$G$2407,'август 2025'!$D$2:$D$2407,$B43,'август 2025'!$J$2:$J$2407,H$1)</f>
        <v>0</v>
      </c>
      <c r="I43" s="76">
        <f>SUMIFS('август 2025'!$G$2:$G$2407,'август 2025'!$D$2:$D$2407,$B43,'август 2025'!$J$2:$J$2407,I$1)</f>
        <v>0</v>
      </c>
      <c r="J43" s="76">
        <f>SUMIFS('август 2025'!$G$2:$G$2407,'август 2025'!$D$2:$D$2407,$B43,'август 2025'!$J$2:$J$2407,J$1)</f>
        <v>0</v>
      </c>
      <c r="K43" s="76">
        <f>SUMIFS('август 2025'!$G$2:$G$2407,'август 2025'!$D$2:$D$2407,$B43,'август 2025'!$J$2:$J$2407,K$1)</f>
        <v>0</v>
      </c>
      <c r="L43" s="76">
        <f>SUMIFS('август 2025'!$G$2:$G$2407,'август 2025'!$D$2:$D$2407,$B43,'август 2025'!$J$2:$J$2407,L$1)</f>
        <v>0</v>
      </c>
      <c r="M43" s="76">
        <f>SUMIFS('август 2025'!$G$2:$G$2407,'август 2025'!$D$2:$D$2407,$B43,'август 2025'!$J$2:$J$2407,M$1)</f>
        <v>0</v>
      </c>
      <c r="N43" s="76">
        <f>SUMIFS('август 2025'!$G$2:$G$2407,'август 2025'!$D$2:$D$2407,$B43,'август 2025'!$J$2:$J$2407,N$1)</f>
        <v>0</v>
      </c>
      <c r="O43" s="76">
        <f>SUMIFS('август 2025'!$G$2:$G$2407,'август 2025'!$D$2:$D$2407,$B43,'август 2025'!$J$2:$J$2407,O$1)</f>
        <v>0</v>
      </c>
      <c r="P43" s="76">
        <f>SUMIFS('август 2025'!$G$2:$G$2407,'август 2025'!$D$2:$D$2407,$B43,'август 2025'!$J$2:$J$2407,P$1)</f>
        <v>0</v>
      </c>
      <c r="Q43" s="76">
        <f>SUMIFS('август 2025'!$G$2:$G$2407,'август 2025'!$D$2:$D$2407,$B43,'август 2025'!$J$2:$J$2407,Q$1)</f>
        <v>0</v>
      </c>
      <c r="R43" s="76">
        <f>SUMIFS('август 2025'!$G$2:$G$2407,'август 2025'!$D$2:$D$2407,$B43,'август 2025'!$J$2:$J$2407,R$1)</f>
        <v>0</v>
      </c>
      <c r="S43" s="76">
        <f>SUMIFS('август 2025'!$G$2:$G$2407,'август 2025'!$D$2:$D$2407,$B43,'август 2025'!$J$2:$J$2407,S$1)</f>
        <v>0</v>
      </c>
      <c r="T43" s="76">
        <f>SUMIFS('август 2025'!$G$2:$G$2407,'август 2025'!$D$2:$D$2407,$B43,'август 2025'!$J$2:$J$2407,T$1)</f>
        <v>0</v>
      </c>
      <c r="U43" s="76">
        <f>SUMIFS('август 2025'!$G$2:$G$2407,'август 2025'!$D$2:$D$2407,$B43,'август 2025'!$J$2:$J$2407,U$1)</f>
        <v>0</v>
      </c>
      <c r="V43" s="76">
        <f>SUMIFS('август 2025'!$G$2:$G$2407,'август 2025'!$D$2:$D$2407,$B43,'август 2025'!$J$2:$J$2407,V$1)</f>
        <v>0</v>
      </c>
      <c r="W43" s="76">
        <f>SUMIFS('август 2025'!$G$2:$G$2407,'август 2025'!$D$2:$D$2407,$B43,'август 2025'!$J$2:$J$2407,W$1)</f>
        <v>0</v>
      </c>
      <c r="X43" s="76">
        <f>SUMIFS('август 2025'!$G$2:$G$2407,'август 2025'!$D$2:$D$2407,$B43,'август 2025'!$J$2:$J$2407,X$1)</f>
        <v>0</v>
      </c>
      <c r="Y43" s="76">
        <f>SUMIFS('август 2025'!$G$2:$G$2407,'август 2025'!$D$2:$D$2407,$B43,'август 2025'!$J$2:$J$2407,Y$1)</f>
        <v>0</v>
      </c>
      <c r="Z43" s="76">
        <f>SUMIFS('август 2025'!$G$2:$G$2407,'август 2025'!$D$2:$D$2407,$B43,'август 2025'!$J$2:$J$2407,Z$1)</f>
        <v>0</v>
      </c>
      <c r="AA43" s="76">
        <f>SUMIFS('август 2025'!$G$2:$G$2407,'август 2025'!$D$2:$D$2407,$B43,'август 2025'!$J$2:$J$2407,AA$1)</f>
        <v>0</v>
      </c>
      <c r="AB43" s="76">
        <f>SUMIFS('август 2025'!$G$2:$G$2407,'август 2025'!$D$2:$D$2407,$B43,'август 2025'!$J$2:$J$2407,AB$1)</f>
        <v>0</v>
      </c>
      <c r="AC43" s="76">
        <f>SUMIFS('август 2025'!$G$2:$G$2407,'август 2025'!$D$2:$D$2407,$B43,'август 2025'!$J$2:$J$2407,AC$1)</f>
        <v>0</v>
      </c>
      <c r="AD43" s="76">
        <f>SUMIFS('август 2025'!$G$2:$G$2407,'август 2025'!$D$2:$D$2407,$B43,'август 2025'!$J$2:$J$2407,AD$1)</f>
        <v>0</v>
      </c>
      <c r="AE43" s="76">
        <f>SUMIFS('август 2025'!$G$2:$G$2407,'август 2025'!$D$2:$D$2407,$B43,'август 2025'!$J$2:$J$2407,AE$1)</f>
        <v>0</v>
      </c>
      <c r="AF43" s="76">
        <f>SUMIFS('август 2025'!$G$2:$G$2407,'август 2025'!$D$2:$D$2407,$B43,'август 2025'!$J$2:$J$2407,AF$1)</f>
        <v>0</v>
      </c>
      <c r="AG43" s="76">
        <f>SUMIFS('август 2025'!$G$2:$G$2407,'август 2025'!$D$2:$D$2407,$B43,'август 2025'!$J$2:$J$2407,AG$1)</f>
        <v>0</v>
      </c>
      <c r="AH43" s="76">
        <f>SUMIFS('август 2025'!$G$2:$G$2407,'август 2025'!$D$2:$D$2407,$B43,'август 2025'!$J$2:$J$2407,AH$1)</f>
        <v>0</v>
      </c>
      <c r="AI43" s="20">
        <f t="shared" si="1"/>
        <v>0</v>
      </c>
    </row>
    <row r="44" spans="2:35" ht="15" customHeight="1" x14ac:dyDescent="0.25">
      <c r="B44" s="135" t="s">
        <v>229</v>
      </c>
      <c r="C44" s="132">
        <v>25</v>
      </c>
      <c r="D44" s="76">
        <f>SUMIFS('август 2025'!$G$2:$G$2407,'август 2025'!$D$2:$D$2407,$B44,'август 2025'!$J$2:$J$2407,D$1)</f>
        <v>0</v>
      </c>
      <c r="E44" s="76">
        <f>SUMIFS('август 2025'!$G$2:$G$2407,'август 2025'!$D$2:$D$2407,$B44,'август 2025'!$J$2:$J$2407,E$1)</f>
        <v>0</v>
      </c>
      <c r="F44" s="76">
        <f>SUMIFS('август 2025'!$G$2:$G$2407,'август 2025'!$D$2:$D$2407,$B44,'август 2025'!$J$2:$J$2407,F$1)</f>
        <v>0</v>
      </c>
      <c r="G44" s="76">
        <f>SUMIFS('август 2025'!$G$2:$G$2407,'август 2025'!$D$2:$D$2407,$B44,'август 2025'!$J$2:$J$2407,G$1)</f>
        <v>0</v>
      </c>
      <c r="H44" s="76">
        <f>SUMIFS('август 2025'!$G$2:$G$2407,'август 2025'!$D$2:$D$2407,$B44,'август 2025'!$J$2:$J$2407,H$1)</f>
        <v>0</v>
      </c>
      <c r="I44" s="76">
        <f>SUMIFS('август 2025'!$G$2:$G$2407,'август 2025'!$D$2:$D$2407,$B44,'август 2025'!$J$2:$J$2407,I$1)</f>
        <v>0</v>
      </c>
      <c r="J44" s="76">
        <f>SUMIFS('август 2025'!$G$2:$G$2407,'август 2025'!$D$2:$D$2407,$B44,'август 2025'!$J$2:$J$2407,J$1)</f>
        <v>0</v>
      </c>
      <c r="K44" s="76">
        <f>SUMIFS('август 2025'!$G$2:$G$2407,'август 2025'!$D$2:$D$2407,$B44,'август 2025'!$J$2:$J$2407,K$1)</f>
        <v>0</v>
      </c>
      <c r="L44" s="76">
        <f>SUMIFS('август 2025'!$G$2:$G$2407,'август 2025'!$D$2:$D$2407,$B44,'август 2025'!$J$2:$J$2407,L$1)</f>
        <v>0</v>
      </c>
      <c r="M44" s="76">
        <f>SUMIFS('август 2025'!$G$2:$G$2407,'август 2025'!$D$2:$D$2407,$B44,'август 2025'!$J$2:$J$2407,M$1)</f>
        <v>0</v>
      </c>
      <c r="N44" s="76">
        <f>SUMIFS('август 2025'!$G$2:$G$2407,'август 2025'!$D$2:$D$2407,$B44,'август 2025'!$J$2:$J$2407,N$1)</f>
        <v>0</v>
      </c>
      <c r="O44" s="76">
        <f>SUMIFS('август 2025'!$G$2:$G$2407,'август 2025'!$D$2:$D$2407,$B44,'август 2025'!$J$2:$J$2407,O$1)</f>
        <v>0</v>
      </c>
      <c r="P44" s="76">
        <f>SUMIFS('август 2025'!$G$2:$G$2407,'август 2025'!$D$2:$D$2407,$B44,'август 2025'!$J$2:$J$2407,P$1)</f>
        <v>0</v>
      </c>
      <c r="Q44" s="76">
        <f>SUMIFS('август 2025'!$G$2:$G$2407,'август 2025'!$D$2:$D$2407,$B44,'август 2025'!$J$2:$J$2407,Q$1)</f>
        <v>0</v>
      </c>
      <c r="R44" s="76">
        <f>SUMIFS('август 2025'!$G$2:$G$2407,'август 2025'!$D$2:$D$2407,$B44,'август 2025'!$J$2:$J$2407,R$1)</f>
        <v>0</v>
      </c>
      <c r="S44" s="76">
        <f>SUMIFS('август 2025'!$G$2:$G$2407,'август 2025'!$D$2:$D$2407,$B44,'август 2025'!$J$2:$J$2407,S$1)</f>
        <v>0</v>
      </c>
      <c r="T44" s="76">
        <f>SUMIFS('август 2025'!$G$2:$G$2407,'август 2025'!$D$2:$D$2407,$B44,'август 2025'!$J$2:$J$2407,T$1)</f>
        <v>0</v>
      </c>
      <c r="U44" s="76">
        <f>SUMIFS('август 2025'!$G$2:$G$2407,'август 2025'!$D$2:$D$2407,$B44,'август 2025'!$J$2:$J$2407,U$1)</f>
        <v>0</v>
      </c>
      <c r="V44" s="76">
        <f>SUMIFS('август 2025'!$G$2:$G$2407,'август 2025'!$D$2:$D$2407,$B44,'август 2025'!$J$2:$J$2407,V$1)</f>
        <v>0</v>
      </c>
      <c r="W44" s="76">
        <f>SUMIFS('август 2025'!$G$2:$G$2407,'август 2025'!$D$2:$D$2407,$B44,'август 2025'!$J$2:$J$2407,W$1)</f>
        <v>0</v>
      </c>
      <c r="X44" s="76">
        <f>SUMIFS('август 2025'!$G$2:$G$2407,'август 2025'!$D$2:$D$2407,$B44,'август 2025'!$J$2:$J$2407,X$1)</f>
        <v>0</v>
      </c>
      <c r="Y44" s="76">
        <f>SUMIFS('август 2025'!$G$2:$G$2407,'август 2025'!$D$2:$D$2407,$B44,'август 2025'!$J$2:$J$2407,Y$1)</f>
        <v>0</v>
      </c>
      <c r="Z44" s="76">
        <f>SUMIFS('август 2025'!$G$2:$G$2407,'август 2025'!$D$2:$D$2407,$B44,'август 2025'!$J$2:$J$2407,Z$1)</f>
        <v>0</v>
      </c>
      <c r="AA44" s="76">
        <f>SUMIFS('август 2025'!$G$2:$G$2407,'август 2025'!$D$2:$D$2407,$B44,'август 2025'!$J$2:$J$2407,AA$1)</f>
        <v>0</v>
      </c>
      <c r="AB44" s="76">
        <f>SUMIFS('август 2025'!$G$2:$G$2407,'август 2025'!$D$2:$D$2407,$B44,'август 2025'!$J$2:$J$2407,AB$1)</f>
        <v>0</v>
      </c>
      <c r="AC44" s="76">
        <f>SUMIFS('август 2025'!$G$2:$G$2407,'август 2025'!$D$2:$D$2407,$B44,'август 2025'!$J$2:$J$2407,AC$1)</f>
        <v>0</v>
      </c>
      <c r="AD44" s="76">
        <f>SUMIFS('август 2025'!$G$2:$G$2407,'август 2025'!$D$2:$D$2407,$B44,'август 2025'!$J$2:$J$2407,AD$1)</f>
        <v>0</v>
      </c>
      <c r="AE44" s="76">
        <f>SUMIFS('август 2025'!$G$2:$G$2407,'август 2025'!$D$2:$D$2407,$B44,'август 2025'!$J$2:$J$2407,AE$1)</f>
        <v>0</v>
      </c>
      <c r="AF44" s="76">
        <f>SUMIFS('август 2025'!$G$2:$G$2407,'август 2025'!$D$2:$D$2407,$B44,'август 2025'!$J$2:$J$2407,AF$1)</f>
        <v>0</v>
      </c>
      <c r="AG44" s="76">
        <f>SUMIFS('август 2025'!$G$2:$G$2407,'август 2025'!$D$2:$D$2407,$B44,'август 2025'!$J$2:$J$2407,AG$1)</f>
        <v>0</v>
      </c>
      <c r="AH44" s="76">
        <f>SUMIFS('август 2025'!$G$2:$G$2407,'август 2025'!$D$2:$D$2407,$B44,'август 2025'!$J$2:$J$2407,AH$1)</f>
        <v>0</v>
      </c>
      <c r="AI44" s="20">
        <f t="shared" si="1"/>
        <v>0</v>
      </c>
    </row>
    <row r="45" spans="2:35" ht="15" customHeight="1" x14ac:dyDescent="0.25">
      <c r="B45" s="131" t="s">
        <v>230</v>
      </c>
      <c r="C45" s="134">
        <v>25</v>
      </c>
      <c r="D45" s="76">
        <f>SUMIFS('август 2025'!$G$2:$G$2407,'август 2025'!$D$2:$D$2407,$B45,'август 2025'!$J$2:$J$2407,D$1)</f>
        <v>0</v>
      </c>
      <c r="E45" s="76">
        <f>SUMIFS('август 2025'!$G$2:$G$2407,'август 2025'!$D$2:$D$2407,$B45,'август 2025'!$J$2:$J$2407,E$1)</f>
        <v>0</v>
      </c>
      <c r="F45" s="76">
        <f>SUMIFS('август 2025'!$G$2:$G$2407,'август 2025'!$D$2:$D$2407,$B45,'август 2025'!$J$2:$J$2407,F$1)</f>
        <v>0</v>
      </c>
      <c r="G45" s="76">
        <f>SUMIFS('август 2025'!$G$2:$G$2407,'август 2025'!$D$2:$D$2407,$B45,'август 2025'!$J$2:$J$2407,G$1)</f>
        <v>0</v>
      </c>
      <c r="H45" s="76">
        <f>SUMIFS('август 2025'!$G$2:$G$2407,'август 2025'!$D$2:$D$2407,$B45,'август 2025'!$J$2:$J$2407,H$1)</f>
        <v>0</v>
      </c>
      <c r="I45" s="76">
        <f>SUMIFS('август 2025'!$G$2:$G$2407,'август 2025'!$D$2:$D$2407,$B45,'август 2025'!$J$2:$J$2407,I$1)</f>
        <v>0</v>
      </c>
      <c r="J45" s="76">
        <f>SUMIFS('август 2025'!$G$2:$G$2407,'август 2025'!$D$2:$D$2407,$B45,'август 2025'!$J$2:$J$2407,J$1)</f>
        <v>0</v>
      </c>
      <c r="K45" s="76">
        <f>SUMIFS('август 2025'!$G$2:$G$2407,'август 2025'!$D$2:$D$2407,$B45,'август 2025'!$J$2:$J$2407,K$1)</f>
        <v>0</v>
      </c>
      <c r="L45" s="76">
        <f>SUMIFS('август 2025'!$G$2:$G$2407,'август 2025'!$D$2:$D$2407,$B45,'август 2025'!$J$2:$J$2407,L$1)</f>
        <v>0</v>
      </c>
      <c r="M45" s="76">
        <f>SUMIFS('август 2025'!$G$2:$G$2407,'август 2025'!$D$2:$D$2407,$B45,'август 2025'!$J$2:$J$2407,M$1)</f>
        <v>0</v>
      </c>
      <c r="N45" s="76">
        <f>SUMIFS('август 2025'!$G$2:$G$2407,'август 2025'!$D$2:$D$2407,$B45,'август 2025'!$J$2:$J$2407,N$1)</f>
        <v>0</v>
      </c>
      <c r="O45" s="76">
        <f>SUMIFS('август 2025'!$G$2:$G$2407,'август 2025'!$D$2:$D$2407,$B45,'август 2025'!$J$2:$J$2407,O$1)</f>
        <v>0</v>
      </c>
      <c r="P45" s="76">
        <f>SUMIFS('август 2025'!$G$2:$G$2407,'август 2025'!$D$2:$D$2407,$B45,'август 2025'!$J$2:$J$2407,P$1)</f>
        <v>0</v>
      </c>
      <c r="Q45" s="76">
        <f>SUMIFS('август 2025'!$G$2:$G$2407,'август 2025'!$D$2:$D$2407,$B45,'август 2025'!$J$2:$J$2407,Q$1)</f>
        <v>0</v>
      </c>
      <c r="R45" s="76">
        <f>SUMIFS('август 2025'!$G$2:$G$2407,'август 2025'!$D$2:$D$2407,$B45,'август 2025'!$J$2:$J$2407,R$1)</f>
        <v>0</v>
      </c>
      <c r="S45" s="76">
        <f>SUMIFS('август 2025'!$G$2:$G$2407,'август 2025'!$D$2:$D$2407,$B45,'август 2025'!$J$2:$J$2407,S$1)</f>
        <v>0</v>
      </c>
      <c r="T45" s="76">
        <f>SUMIFS('август 2025'!$G$2:$G$2407,'август 2025'!$D$2:$D$2407,$B45,'август 2025'!$J$2:$J$2407,T$1)</f>
        <v>0</v>
      </c>
      <c r="U45" s="76">
        <f>SUMIFS('август 2025'!$G$2:$G$2407,'август 2025'!$D$2:$D$2407,$B45,'август 2025'!$J$2:$J$2407,U$1)</f>
        <v>0</v>
      </c>
      <c r="V45" s="76">
        <f>SUMIFS('август 2025'!$G$2:$G$2407,'август 2025'!$D$2:$D$2407,$B45,'август 2025'!$J$2:$J$2407,V$1)</f>
        <v>0</v>
      </c>
      <c r="W45" s="76">
        <f>SUMIFS('август 2025'!$G$2:$G$2407,'август 2025'!$D$2:$D$2407,$B45,'август 2025'!$J$2:$J$2407,W$1)</f>
        <v>0</v>
      </c>
      <c r="X45" s="76">
        <f>SUMIFS('август 2025'!$G$2:$G$2407,'август 2025'!$D$2:$D$2407,$B45,'август 2025'!$J$2:$J$2407,X$1)</f>
        <v>0</v>
      </c>
      <c r="Y45" s="76">
        <f>SUMIFS('август 2025'!$G$2:$G$2407,'август 2025'!$D$2:$D$2407,$B45,'август 2025'!$J$2:$J$2407,Y$1)</f>
        <v>0</v>
      </c>
      <c r="Z45" s="76">
        <f>SUMIFS('август 2025'!$G$2:$G$2407,'август 2025'!$D$2:$D$2407,$B45,'август 2025'!$J$2:$J$2407,Z$1)</f>
        <v>0</v>
      </c>
      <c r="AA45" s="76">
        <f>SUMIFS('август 2025'!$G$2:$G$2407,'август 2025'!$D$2:$D$2407,$B45,'август 2025'!$J$2:$J$2407,AA$1)</f>
        <v>0</v>
      </c>
      <c r="AB45" s="76">
        <f>SUMIFS('август 2025'!$G$2:$G$2407,'август 2025'!$D$2:$D$2407,$B45,'август 2025'!$J$2:$J$2407,AB$1)</f>
        <v>0</v>
      </c>
      <c r="AC45" s="76">
        <f>SUMIFS('август 2025'!$G$2:$G$2407,'август 2025'!$D$2:$D$2407,$B45,'август 2025'!$J$2:$J$2407,AC$1)</f>
        <v>0</v>
      </c>
      <c r="AD45" s="76">
        <f>SUMIFS('август 2025'!$G$2:$G$2407,'август 2025'!$D$2:$D$2407,$B45,'август 2025'!$J$2:$J$2407,AD$1)</f>
        <v>0</v>
      </c>
      <c r="AE45" s="76">
        <f>SUMIFS('август 2025'!$G$2:$G$2407,'август 2025'!$D$2:$D$2407,$B45,'август 2025'!$J$2:$J$2407,AE$1)</f>
        <v>0</v>
      </c>
      <c r="AF45" s="76">
        <f>SUMIFS('август 2025'!$G$2:$G$2407,'август 2025'!$D$2:$D$2407,$B45,'август 2025'!$J$2:$J$2407,AF$1)</f>
        <v>0</v>
      </c>
      <c r="AG45" s="76">
        <f>SUMIFS('август 2025'!$G$2:$G$2407,'август 2025'!$D$2:$D$2407,$B45,'август 2025'!$J$2:$J$2407,AG$1)</f>
        <v>0</v>
      </c>
      <c r="AH45" s="76">
        <f>SUMIFS('август 2025'!$G$2:$G$2407,'август 2025'!$D$2:$D$2407,$B45,'август 2025'!$J$2:$J$2407,AH$1)</f>
        <v>0</v>
      </c>
      <c r="AI45" s="20">
        <f t="shared" si="1"/>
        <v>0</v>
      </c>
    </row>
    <row r="46" spans="2:35" ht="15" customHeight="1" x14ac:dyDescent="0.25">
      <c r="B46" s="135" t="s">
        <v>288</v>
      </c>
      <c r="C46" s="137">
        <v>25</v>
      </c>
      <c r="D46" s="76">
        <f>SUMIFS('август 2025'!$G$2:$G$2407,'август 2025'!$D$2:$D$2407,$B46,'август 2025'!$J$2:$J$2407,D$1)</f>
        <v>0</v>
      </c>
      <c r="E46" s="76">
        <f>SUMIFS('август 2025'!$G$2:$G$2407,'август 2025'!$D$2:$D$2407,$B46,'август 2025'!$J$2:$J$2407,E$1)</f>
        <v>0</v>
      </c>
      <c r="F46" s="76">
        <f>SUMIFS('август 2025'!$G$2:$G$2407,'август 2025'!$D$2:$D$2407,$B46,'август 2025'!$J$2:$J$2407,F$1)</f>
        <v>0</v>
      </c>
      <c r="G46" s="76">
        <f>SUMIFS('август 2025'!$G$2:$G$2407,'август 2025'!$D$2:$D$2407,$B46,'август 2025'!$J$2:$J$2407,G$1)</f>
        <v>0</v>
      </c>
      <c r="H46" s="76">
        <f>SUMIFS('август 2025'!$G$2:$G$2407,'август 2025'!$D$2:$D$2407,$B46,'август 2025'!$J$2:$J$2407,H$1)</f>
        <v>0</v>
      </c>
      <c r="I46" s="76">
        <f>SUMIFS('август 2025'!$G$2:$G$2407,'август 2025'!$D$2:$D$2407,$B46,'август 2025'!$J$2:$J$2407,I$1)</f>
        <v>0</v>
      </c>
      <c r="J46" s="76">
        <f>SUMIFS('август 2025'!$G$2:$G$2407,'август 2025'!$D$2:$D$2407,$B46,'август 2025'!$J$2:$J$2407,J$1)</f>
        <v>0</v>
      </c>
      <c r="K46" s="76">
        <f>SUMIFS('август 2025'!$G$2:$G$2407,'август 2025'!$D$2:$D$2407,$B46,'август 2025'!$J$2:$J$2407,K$1)</f>
        <v>0</v>
      </c>
      <c r="L46" s="76">
        <f>SUMIFS('август 2025'!$G$2:$G$2407,'август 2025'!$D$2:$D$2407,$B46,'август 2025'!$J$2:$J$2407,L$1)</f>
        <v>0</v>
      </c>
      <c r="M46" s="76">
        <f>SUMIFS('август 2025'!$G$2:$G$2407,'август 2025'!$D$2:$D$2407,$B46,'август 2025'!$J$2:$J$2407,M$1)</f>
        <v>0</v>
      </c>
      <c r="N46" s="76">
        <f>SUMIFS('август 2025'!$G$2:$G$2407,'август 2025'!$D$2:$D$2407,$B46,'август 2025'!$J$2:$J$2407,N$1)</f>
        <v>0</v>
      </c>
      <c r="O46" s="76">
        <f>SUMIFS('август 2025'!$G$2:$G$2407,'август 2025'!$D$2:$D$2407,$B46,'август 2025'!$J$2:$J$2407,O$1)</f>
        <v>0</v>
      </c>
      <c r="P46" s="76">
        <f>SUMIFS('август 2025'!$G$2:$G$2407,'август 2025'!$D$2:$D$2407,$B46,'август 2025'!$J$2:$J$2407,P$1)</f>
        <v>0</v>
      </c>
      <c r="Q46" s="76">
        <f>SUMIFS('август 2025'!$G$2:$G$2407,'август 2025'!$D$2:$D$2407,$B46,'август 2025'!$J$2:$J$2407,Q$1)</f>
        <v>0</v>
      </c>
      <c r="R46" s="76">
        <f>SUMIFS('август 2025'!$G$2:$G$2407,'август 2025'!$D$2:$D$2407,$B46,'август 2025'!$J$2:$J$2407,R$1)</f>
        <v>0</v>
      </c>
      <c r="S46" s="76">
        <f>SUMIFS('август 2025'!$G$2:$G$2407,'август 2025'!$D$2:$D$2407,$B46,'август 2025'!$J$2:$J$2407,S$1)</f>
        <v>0</v>
      </c>
      <c r="T46" s="76">
        <f>SUMIFS('август 2025'!$G$2:$G$2407,'август 2025'!$D$2:$D$2407,$B46,'август 2025'!$J$2:$J$2407,T$1)</f>
        <v>0</v>
      </c>
      <c r="U46" s="76">
        <f>SUMIFS('август 2025'!$G$2:$G$2407,'август 2025'!$D$2:$D$2407,$B46,'август 2025'!$J$2:$J$2407,U$1)</f>
        <v>0</v>
      </c>
      <c r="V46" s="76">
        <f>SUMIFS('август 2025'!$G$2:$G$2407,'август 2025'!$D$2:$D$2407,$B46,'август 2025'!$J$2:$J$2407,V$1)</f>
        <v>0</v>
      </c>
      <c r="W46" s="76">
        <f>SUMIFS('август 2025'!$G$2:$G$2407,'август 2025'!$D$2:$D$2407,$B46,'август 2025'!$J$2:$J$2407,W$1)</f>
        <v>0</v>
      </c>
      <c r="X46" s="76">
        <f>SUMIFS('август 2025'!$G$2:$G$2407,'август 2025'!$D$2:$D$2407,$B46,'август 2025'!$J$2:$J$2407,X$1)</f>
        <v>0</v>
      </c>
      <c r="Y46" s="76">
        <f>SUMIFS('август 2025'!$G$2:$G$2407,'август 2025'!$D$2:$D$2407,$B46,'август 2025'!$J$2:$J$2407,Y$1)</f>
        <v>0</v>
      </c>
      <c r="Z46" s="76">
        <f>SUMIFS('август 2025'!$G$2:$G$2407,'август 2025'!$D$2:$D$2407,$B46,'август 2025'!$J$2:$J$2407,Z$1)</f>
        <v>0</v>
      </c>
      <c r="AA46" s="76">
        <f>SUMIFS('август 2025'!$G$2:$G$2407,'август 2025'!$D$2:$D$2407,$B46,'август 2025'!$J$2:$J$2407,AA$1)</f>
        <v>0</v>
      </c>
      <c r="AB46" s="76">
        <f>SUMIFS('август 2025'!$G$2:$G$2407,'август 2025'!$D$2:$D$2407,$B46,'август 2025'!$J$2:$J$2407,AB$1)</f>
        <v>0</v>
      </c>
      <c r="AC46" s="76">
        <f>SUMIFS('август 2025'!$G$2:$G$2407,'август 2025'!$D$2:$D$2407,$B46,'август 2025'!$J$2:$J$2407,AC$1)</f>
        <v>0</v>
      </c>
      <c r="AD46" s="76">
        <f>SUMIFS('август 2025'!$G$2:$G$2407,'август 2025'!$D$2:$D$2407,$B46,'август 2025'!$J$2:$J$2407,AD$1)</f>
        <v>0</v>
      </c>
      <c r="AE46" s="76">
        <f>SUMIFS('август 2025'!$G$2:$G$2407,'август 2025'!$D$2:$D$2407,$B46,'август 2025'!$J$2:$J$2407,AE$1)</f>
        <v>0</v>
      </c>
      <c r="AF46" s="76">
        <f>SUMIFS('август 2025'!$G$2:$G$2407,'август 2025'!$D$2:$D$2407,$B46,'август 2025'!$J$2:$J$2407,AF$1)</f>
        <v>0</v>
      </c>
      <c r="AG46" s="76">
        <f>SUMIFS('август 2025'!$G$2:$G$2407,'август 2025'!$D$2:$D$2407,$B46,'август 2025'!$J$2:$J$2407,AG$1)</f>
        <v>0</v>
      </c>
      <c r="AH46" s="76">
        <f>SUMIFS('август 2025'!$G$2:$G$2407,'август 2025'!$D$2:$D$2407,$B46,'август 2025'!$J$2:$J$2407,AH$1)</f>
        <v>0</v>
      </c>
      <c r="AI46" s="20">
        <f t="shared" si="1"/>
        <v>0</v>
      </c>
    </row>
    <row r="47" spans="2:35" ht="15" customHeight="1" x14ac:dyDescent="0.25">
      <c r="B47" s="135" t="s">
        <v>232</v>
      </c>
      <c r="C47" s="132">
        <v>25</v>
      </c>
      <c r="D47" s="76">
        <f>SUMIFS('август 2025'!$G$2:$G$2407,'август 2025'!$D$2:$D$2407,$B47,'август 2025'!$J$2:$J$2407,D$1)</f>
        <v>0</v>
      </c>
      <c r="E47" s="76">
        <f>SUMIFS('август 2025'!$G$2:$G$2407,'август 2025'!$D$2:$D$2407,$B47,'август 2025'!$J$2:$J$2407,E$1)</f>
        <v>0</v>
      </c>
      <c r="F47" s="76">
        <f>SUMIFS('август 2025'!$G$2:$G$2407,'август 2025'!$D$2:$D$2407,$B47,'август 2025'!$J$2:$J$2407,F$1)</f>
        <v>0</v>
      </c>
      <c r="G47" s="76">
        <f>SUMIFS('август 2025'!$G$2:$G$2407,'август 2025'!$D$2:$D$2407,$B47,'август 2025'!$J$2:$J$2407,G$1)</f>
        <v>0</v>
      </c>
      <c r="H47" s="76">
        <f>SUMIFS('август 2025'!$G$2:$G$2407,'август 2025'!$D$2:$D$2407,$B47,'август 2025'!$J$2:$J$2407,H$1)</f>
        <v>0</v>
      </c>
      <c r="I47" s="76">
        <f>SUMIFS('август 2025'!$G$2:$G$2407,'август 2025'!$D$2:$D$2407,$B47,'август 2025'!$J$2:$J$2407,I$1)</f>
        <v>0</v>
      </c>
      <c r="J47" s="76">
        <f>SUMIFS('август 2025'!$G$2:$G$2407,'август 2025'!$D$2:$D$2407,$B47,'август 2025'!$J$2:$J$2407,J$1)</f>
        <v>0</v>
      </c>
      <c r="K47" s="76">
        <f>SUMIFS('август 2025'!$G$2:$G$2407,'август 2025'!$D$2:$D$2407,$B47,'август 2025'!$J$2:$J$2407,K$1)</f>
        <v>0</v>
      </c>
      <c r="L47" s="76">
        <f>SUMIFS('август 2025'!$G$2:$G$2407,'август 2025'!$D$2:$D$2407,$B47,'август 2025'!$J$2:$J$2407,L$1)</f>
        <v>0</v>
      </c>
      <c r="M47" s="76">
        <f>SUMIFS('август 2025'!$G$2:$G$2407,'август 2025'!$D$2:$D$2407,$B47,'август 2025'!$J$2:$J$2407,M$1)</f>
        <v>0</v>
      </c>
      <c r="N47" s="76">
        <f>SUMIFS('август 2025'!$G$2:$G$2407,'август 2025'!$D$2:$D$2407,$B47,'август 2025'!$J$2:$J$2407,N$1)</f>
        <v>0</v>
      </c>
      <c r="O47" s="76">
        <f>SUMIFS('август 2025'!$G$2:$G$2407,'август 2025'!$D$2:$D$2407,$B47,'август 2025'!$J$2:$J$2407,O$1)</f>
        <v>0</v>
      </c>
      <c r="P47" s="76">
        <f>SUMIFS('август 2025'!$G$2:$G$2407,'август 2025'!$D$2:$D$2407,$B47,'август 2025'!$J$2:$J$2407,P$1)</f>
        <v>0</v>
      </c>
      <c r="Q47" s="76">
        <f>SUMIFS('август 2025'!$G$2:$G$2407,'август 2025'!$D$2:$D$2407,$B47,'август 2025'!$J$2:$J$2407,Q$1)</f>
        <v>0</v>
      </c>
      <c r="R47" s="76">
        <f>SUMIFS('август 2025'!$G$2:$G$2407,'август 2025'!$D$2:$D$2407,$B47,'август 2025'!$J$2:$J$2407,R$1)</f>
        <v>0</v>
      </c>
      <c r="S47" s="76">
        <f>SUMIFS('август 2025'!$G$2:$G$2407,'август 2025'!$D$2:$D$2407,$B47,'август 2025'!$J$2:$J$2407,S$1)</f>
        <v>0</v>
      </c>
      <c r="T47" s="76">
        <f>SUMIFS('август 2025'!$G$2:$G$2407,'август 2025'!$D$2:$D$2407,$B47,'август 2025'!$J$2:$J$2407,T$1)</f>
        <v>0</v>
      </c>
      <c r="U47" s="76">
        <f>SUMIFS('август 2025'!$G$2:$G$2407,'август 2025'!$D$2:$D$2407,$B47,'август 2025'!$J$2:$J$2407,U$1)</f>
        <v>0</v>
      </c>
      <c r="V47" s="76">
        <f>SUMIFS('август 2025'!$G$2:$G$2407,'август 2025'!$D$2:$D$2407,$B47,'август 2025'!$J$2:$J$2407,V$1)</f>
        <v>0</v>
      </c>
      <c r="W47" s="76">
        <f>SUMIFS('август 2025'!$G$2:$G$2407,'август 2025'!$D$2:$D$2407,$B47,'август 2025'!$J$2:$J$2407,W$1)</f>
        <v>0</v>
      </c>
      <c r="X47" s="76">
        <f>SUMIFS('август 2025'!$G$2:$G$2407,'август 2025'!$D$2:$D$2407,$B47,'август 2025'!$J$2:$J$2407,X$1)</f>
        <v>700</v>
      </c>
      <c r="Y47" s="76">
        <f>SUMIFS('август 2025'!$G$2:$G$2407,'август 2025'!$D$2:$D$2407,$B47,'август 2025'!$J$2:$J$2407,Y$1)</f>
        <v>0</v>
      </c>
      <c r="Z47" s="76">
        <f>SUMIFS('август 2025'!$G$2:$G$2407,'август 2025'!$D$2:$D$2407,$B47,'август 2025'!$J$2:$J$2407,Z$1)</f>
        <v>0</v>
      </c>
      <c r="AA47" s="76">
        <f>SUMIFS('август 2025'!$G$2:$G$2407,'август 2025'!$D$2:$D$2407,$B47,'август 2025'!$J$2:$J$2407,AA$1)</f>
        <v>0</v>
      </c>
      <c r="AB47" s="76">
        <f>SUMIFS('август 2025'!$G$2:$G$2407,'август 2025'!$D$2:$D$2407,$B47,'август 2025'!$J$2:$J$2407,AB$1)</f>
        <v>0</v>
      </c>
      <c r="AC47" s="76">
        <f>SUMIFS('август 2025'!$G$2:$G$2407,'август 2025'!$D$2:$D$2407,$B47,'август 2025'!$J$2:$J$2407,AC$1)</f>
        <v>0</v>
      </c>
      <c r="AD47" s="76">
        <f>SUMIFS('август 2025'!$G$2:$G$2407,'август 2025'!$D$2:$D$2407,$B47,'август 2025'!$J$2:$J$2407,AD$1)</f>
        <v>0</v>
      </c>
      <c r="AE47" s="76">
        <f>SUMIFS('август 2025'!$G$2:$G$2407,'август 2025'!$D$2:$D$2407,$B47,'август 2025'!$J$2:$J$2407,AE$1)</f>
        <v>0</v>
      </c>
      <c r="AF47" s="76">
        <f>SUMIFS('август 2025'!$G$2:$G$2407,'август 2025'!$D$2:$D$2407,$B47,'август 2025'!$J$2:$J$2407,AF$1)</f>
        <v>0</v>
      </c>
      <c r="AG47" s="76">
        <f>SUMIFS('август 2025'!$G$2:$G$2407,'август 2025'!$D$2:$D$2407,$B47,'август 2025'!$J$2:$J$2407,AG$1)</f>
        <v>0</v>
      </c>
      <c r="AH47" s="76">
        <f>SUMIFS('август 2025'!$G$2:$G$2407,'август 2025'!$D$2:$D$2407,$B47,'август 2025'!$J$2:$J$2407,AH$1)</f>
        <v>0</v>
      </c>
      <c r="AI47" s="20">
        <f t="shared" si="1"/>
        <v>700</v>
      </c>
    </row>
    <row r="48" spans="2:35" ht="15" customHeight="1" x14ac:dyDescent="0.25">
      <c r="B48" s="135" t="s">
        <v>234</v>
      </c>
      <c r="C48" s="132">
        <v>18</v>
      </c>
      <c r="D48" s="76">
        <f>SUMIFS('август 2025'!$G$2:$G$2407,'август 2025'!$D$2:$D$2407,$B48,'август 2025'!$J$2:$J$2407,D$1)</f>
        <v>0</v>
      </c>
      <c r="E48" s="76">
        <f>SUMIFS('август 2025'!$G$2:$G$2407,'август 2025'!$D$2:$D$2407,$B48,'август 2025'!$J$2:$J$2407,E$1)</f>
        <v>0</v>
      </c>
      <c r="F48" s="76">
        <f>SUMIFS('август 2025'!$G$2:$G$2407,'август 2025'!$D$2:$D$2407,$B48,'август 2025'!$J$2:$J$2407,F$1)</f>
        <v>0</v>
      </c>
      <c r="G48" s="76">
        <f>SUMIFS('август 2025'!$G$2:$G$2407,'август 2025'!$D$2:$D$2407,$B48,'август 2025'!$J$2:$J$2407,G$1)</f>
        <v>0</v>
      </c>
      <c r="H48" s="76">
        <f>SUMIFS('август 2025'!$G$2:$G$2407,'август 2025'!$D$2:$D$2407,$B48,'август 2025'!$J$2:$J$2407,H$1)</f>
        <v>0</v>
      </c>
      <c r="I48" s="76">
        <f>SUMIFS('август 2025'!$G$2:$G$2407,'август 2025'!$D$2:$D$2407,$B48,'август 2025'!$J$2:$J$2407,I$1)</f>
        <v>0</v>
      </c>
      <c r="J48" s="76">
        <f>SUMIFS('август 2025'!$G$2:$G$2407,'август 2025'!$D$2:$D$2407,$B48,'август 2025'!$J$2:$J$2407,J$1)</f>
        <v>0</v>
      </c>
      <c r="K48" s="76">
        <f>SUMIFS('август 2025'!$G$2:$G$2407,'август 2025'!$D$2:$D$2407,$B48,'август 2025'!$J$2:$J$2407,K$1)</f>
        <v>0</v>
      </c>
      <c r="L48" s="76">
        <f>SUMIFS('август 2025'!$G$2:$G$2407,'август 2025'!$D$2:$D$2407,$B48,'август 2025'!$J$2:$J$2407,L$1)</f>
        <v>0</v>
      </c>
      <c r="M48" s="76">
        <f>SUMIFS('август 2025'!$G$2:$G$2407,'август 2025'!$D$2:$D$2407,$B48,'август 2025'!$J$2:$J$2407,M$1)</f>
        <v>0</v>
      </c>
      <c r="N48" s="76">
        <f>SUMIFS('август 2025'!$G$2:$G$2407,'август 2025'!$D$2:$D$2407,$B48,'август 2025'!$J$2:$J$2407,N$1)</f>
        <v>0</v>
      </c>
      <c r="O48" s="76">
        <f>SUMIFS('август 2025'!$G$2:$G$2407,'август 2025'!$D$2:$D$2407,$B48,'август 2025'!$J$2:$J$2407,O$1)</f>
        <v>0</v>
      </c>
      <c r="P48" s="76">
        <f>SUMIFS('август 2025'!$G$2:$G$2407,'август 2025'!$D$2:$D$2407,$B48,'август 2025'!$J$2:$J$2407,P$1)</f>
        <v>0</v>
      </c>
      <c r="Q48" s="76">
        <f>SUMIFS('август 2025'!$G$2:$G$2407,'август 2025'!$D$2:$D$2407,$B48,'август 2025'!$J$2:$J$2407,Q$1)</f>
        <v>0</v>
      </c>
      <c r="R48" s="76">
        <f>SUMIFS('август 2025'!$G$2:$G$2407,'август 2025'!$D$2:$D$2407,$B48,'август 2025'!$J$2:$J$2407,R$1)</f>
        <v>0</v>
      </c>
      <c r="S48" s="76">
        <f>SUMIFS('август 2025'!$G$2:$G$2407,'август 2025'!$D$2:$D$2407,$B48,'август 2025'!$J$2:$J$2407,S$1)</f>
        <v>0</v>
      </c>
      <c r="T48" s="76">
        <f>SUMIFS('август 2025'!$G$2:$G$2407,'август 2025'!$D$2:$D$2407,$B48,'август 2025'!$J$2:$J$2407,T$1)</f>
        <v>0</v>
      </c>
      <c r="U48" s="76">
        <f>SUMIFS('август 2025'!$G$2:$G$2407,'август 2025'!$D$2:$D$2407,$B48,'август 2025'!$J$2:$J$2407,U$1)</f>
        <v>0</v>
      </c>
      <c r="V48" s="76">
        <f>SUMIFS('август 2025'!$G$2:$G$2407,'август 2025'!$D$2:$D$2407,$B48,'август 2025'!$J$2:$J$2407,V$1)</f>
        <v>0</v>
      </c>
      <c r="W48" s="76">
        <f>SUMIFS('август 2025'!$G$2:$G$2407,'август 2025'!$D$2:$D$2407,$B48,'август 2025'!$J$2:$J$2407,W$1)</f>
        <v>0</v>
      </c>
      <c r="X48" s="76">
        <f>SUMIFS('август 2025'!$G$2:$G$2407,'август 2025'!$D$2:$D$2407,$B48,'август 2025'!$J$2:$J$2407,X$1)</f>
        <v>0</v>
      </c>
      <c r="Y48" s="76">
        <f>SUMIFS('август 2025'!$G$2:$G$2407,'август 2025'!$D$2:$D$2407,$B48,'август 2025'!$J$2:$J$2407,Y$1)</f>
        <v>0</v>
      </c>
      <c r="Z48" s="76">
        <f>SUMIFS('август 2025'!$G$2:$G$2407,'август 2025'!$D$2:$D$2407,$B48,'август 2025'!$J$2:$J$2407,Z$1)</f>
        <v>0</v>
      </c>
      <c r="AA48" s="76">
        <f>SUMIFS('август 2025'!$G$2:$G$2407,'август 2025'!$D$2:$D$2407,$B48,'август 2025'!$J$2:$J$2407,AA$1)</f>
        <v>0</v>
      </c>
      <c r="AB48" s="76">
        <f>SUMIFS('август 2025'!$G$2:$G$2407,'август 2025'!$D$2:$D$2407,$B48,'август 2025'!$J$2:$J$2407,AB$1)</f>
        <v>0</v>
      </c>
      <c r="AC48" s="76">
        <f>SUMIFS('август 2025'!$G$2:$G$2407,'август 2025'!$D$2:$D$2407,$B48,'август 2025'!$J$2:$J$2407,AC$1)</f>
        <v>0</v>
      </c>
      <c r="AD48" s="76">
        <f>SUMIFS('август 2025'!$G$2:$G$2407,'август 2025'!$D$2:$D$2407,$B48,'август 2025'!$J$2:$J$2407,AD$1)</f>
        <v>0</v>
      </c>
      <c r="AE48" s="76">
        <f>SUMIFS('август 2025'!$G$2:$G$2407,'август 2025'!$D$2:$D$2407,$B48,'август 2025'!$J$2:$J$2407,AE$1)</f>
        <v>0</v>
      </c>
      <c r="AF48" s="76">
        <f>SUMIFS('август 2025'!$G$2:$G$2407,'август 2025'!$D$2:$D$2407,$B48,'август 2025'!$J$2:$J$2407,AF$1)</f>
        <v>0</v>
      </c>
      <c r="AG48" s="76">
        <f>SUMIFS('август 2025'!$G$2:$G$2407,'август 2025'!$D$2:$D$2407,$B48,'август 2025'!$J$2:$J$2407,AG$1)</f>
        <v>0</v>
      </c>
      <c r="AH48" s="76">
        <f>SUMIFS('август 2025'!$G$2:$G$2407,'август 2025'!$D$2:$D$2407,$B48,'август 2025'!$J$2:$J$2407,AH$1)</f>
        <v>0</v>
      </c>
      <c r="AI48" s="20">
        <f t="shared" si="1"/>
        <v>0</v>
      </c>
    </row>
    <row r="49" spans="2:35" ht="15" customHeight="1" x14ac:dyDescent="0.25">
      <c r="B49" s="135" t="s">
        <v>1079</v>
      </c>
      <c r="C49" s="132">
        <v>18</v>
      </c>
      <c r="D49" s="76">
        <f>SUMIFS('август 2025'!$G$2:$G$2407,'август 2025'!$D$2:$D$2407,$B49,'август 2025'!$J$2:$J$2407,D$1)</f>
        <v>0</v>
      </c>
      <c r="E49" s="76">
        <f>SUMIFS('август 2025'!$G$2:$G$2407,'август 2025'!$D$2:$D$2407,$B49,'август 2025'!$J$2:$J$2407,E$1)</f>
        <v>0</v>
      </c>
      <c r="F49" s="76">
        <f>SUMIFS('август 2025'!$G$2:$G$2407,'август 2025'!$D$2:$D$2407,$B49,'август 2025'!$J$2:$J$2407,F$1)</f>
        <v>0</v>
      </c>
      <c r="G49" s="76">
        <f>SUMIFS('август 2025'!$G$2:$G$2407,'август 2025'!$D$2:$D$2407,$B49,'август 2025'!$J$2:$J$2407,G$1)</f>
        <v>0</v>
      </c>
      <c r="H49" s="76">
        <f>SUMIFS('август 2025'!$G$2:$G$2407,'август 2025'!$D$2:$D$2407,$B49,'август 2025'!$J$2:$J$2407,H$1)</f>
        <v>0</v>
      </c>
      <c r="I49" s="76">
        <f>SUMIFS('август 2025'!$G$2:$G$2407,'август 2025'!$D$2:$D$2407,$B49,'август 2025'!$J$2:$J$2407,I$1)</f>
        <v>0</v>
      </c>
      <c r="J49" s="76">
        <f>SUMIFS('август 2025'!$G$2:$G$2407,'август 2025'!$D$2:$D$2407,$B49,'август 2025'!$J$2:$J$2407,J$1)</f>
        <v>0</v>
      </c>
      <c r="K49" s="76">
        <f>SUMIFS('август 2025'!$G$2:$G$2407,'август 2025'!$D$2:$D$2407,$B49,'август 2025'!$J$2:$J$2407,K$1)</f>
        <v>0</v>
      </c>
      <c r="L49" s="76">
        <f>SUMIFS('август 2025'!$G$2:$G$2407,'август 2025'!$D$2:$D$2407,$B49,'август 2025'!$J$2:$J$2407,L$1)</f>
        <v>0</v>
      </c>
      <c r="M49" s="76">
        <f>SUMIFS('август 2025'!$G$2:$G$2407,'август 2025'!$D$2:$D$2407,$B49,'август 2025'!$J$2:$J$2407,M$1)</f>
        <v>0</v>
      </c>
      <c r="N49" s="76">
        <f>SUMIFS('август 2025'!$G$2:$G$2407,'август 2025'!$D$2:$D$2407,$B49,'август 2025'!$J$2:$J$2407,N$1)</f>
        <v>0</v>
      </c>
      <c r="O49" s="76">
        <f>SUMIFS('август 2025'!$G$2:$G$2407,'август 2025'!$D$2:$D$2407,$B49,'август 2025'!$J$2:$J$2407,O$1)</f>
        <v>0</v>
      </c>
      <c r="P49" s="76">
        <f>SUMIFS('август 2025'!$G$2:$G$2407,'август 2025'!$D$2:$D$2407,$B49,'август 2025'!$J$2:$J$2407,P$1)</f>
        <v>0</v>
      </c>
      <c r="Q49" s="76">
        <f>SUMIFS('август 2025'!$G$2:$G$2407,'август 2025'!$D$2:$D$2407,$B49,'август 2025'!$J$2:$J$2407,Q$1)</f>
        <v>0</v>
      </c>
      <c r="R49" s="76">
        <f>SUMIFS('август 2025'!$G$2:$G$2407,'август 2025'!$D$2:$D$2407,$B49,'август 2025'!$J$2:$J$2407,R$1)</f>
        <v>0</v>
      </c>
      <c r="S49" s="76">
        <f>SUMIFS('август 2025'!$G$2:$G$2407,'август 2025'!$D$2:$D$2407,$B49,'август 2025'!$J$2:$J$2407,S$1)</f>
        <v>0</v>
      </c>
      <c r="T49" s="76">
        <f>SUMIFS('август 2025'!$G$2:$G$2407,'август 2025'!$D$2:$D$2407,$B49,'август 2025'!$J$2:$J$2407,T$1)</f>
        <v>0</v>
      </c>
      <c r="U49" s="76">
        <f>SUMIFS('август 2025'!$G$2:$G$2407,'август 2025'!$D$2:$D$2407,$B49,'август 2025'!$J$2:$J$2407,U$1)</f>
        <v>0</v>
      </c>
      <c r="V49" s="76">
        <f>SUMIFS('август 2025'!$G$2:$G$2407,'август 2025'!$D$2:$D$2407,$B49,'август 2025'!$J$2:$J$2407,V$1)</f>
        <v>0</v>
      </c>
      <c r="W49" s="76">
        <f>SUMIFS('август 2025'!$G$2:$G$2407,'август 2025'!$D$2:$D$2407,$B49,'август 2025'!$J$2:$J$2407,W$1)</f>
        <v>0</v>
      </c>
      <c r="X49" s="76">
        <f>SUMIFS('август 2025'!$G$2:$G$2407,'август 2025'!$D$2:$D$2407,$B49,'август 2025'!$J$2:$J$2407,X$1)</f>
        <v>0</v>
      </c>
      <c r="Y49" s="76">
        <f>SUMIFS('август 2025'!$G$2:$G$2407,'август 2025'!$D$2:$D$2407,$B49,'август 2025'!$J$2:$J$2407,Y$1)</f>
        <v>0</v>
      </c>
      <c r="Z49" s="76">
        <f>SUMIFS('август 2025'!$G$2:$G$2407,'август 2025'!$D$2:$D$2407,$B49,'август 2025'!$J$2:$J$2407,Z$1)</f>
        <v>0</v>
      </c>
      <c r="AA49" s="76">
        <f>SUMIFS('август 2025'!$G$2:$G$2407,'август 2025'!$D$2:$D$2407,$B49,'август 2025'!$J$2:$J$2407,AA$1)</f>
        <v>0</v>
      </c>
      <c r="AB49" s="76">
        <f>SUMIFS('август 2025'!$G$2:$G$2407,'август 2025'!$D$2:$D$2407,$B49,'август 2025'!$J$2:$J$2407,AB$1)</f>
        <v>0</v>
      </c>
      <c r="AC49" s="76">
        <f>SUMIFS('август 2025'!$G$2:$G$2407,'август 2025'!$D$2:$D$2407,$B49,'август 2025'!$J$2:$J$2407,AC$1)</f>
        <v>0</v>
      </c>
      <c r="AD49" s="76">
        <f>SUMIFS('август 2025'!$G$2:$G$2407,'август 2025'!$D$2:$D$2407,$B49,'август 2025'!$J$2:$J$2407,AD$1)</f>
        <v>0</v>
      </c>
      <c r="AE49" s="76">
        <f>SUMIFS('август 2025'!$G$2:$G$2407,'август 2025'!$D$2:$D$2407,$B49,'август 2025'!$J$2:$J$2407,AE$1)</f>
        <v>0</v>
      </c>
      <c r="AF49" s="76">
        <f>SUMIFS('август 2025'!$G$2:$G$2407,'август 2025'!$D$2:$D$2407,$B49,'август 2025'!$J$2:$J$2407,AF$1)</f>
        <v>0</v>
      </c>
      <c r="AG49" s="76">
        <f>SUMIFS('август 2025'!$G$2:$G$2407,'август 2025'!$D$2:$D$2407,$B49,'август 2025'!$J$2:$J$2407,AG$1)</f>
        <v>0</v>
      </c>
      <c r="AH49" s="76">
        <f>SUMIFS('август 2025'!$G$2:$G$2407,'август 2025'!$D$2:$D$2407,$B49,'август 2025'!$J$2:$J$2407,AH$1)</f>
        <v>0</v>
      </c>
      <c r="AI49" s="20">
        <f t="shared" si="1"/>
        <v>0</v>
      </c>
    </row>
    <row r="50" spans="2:35" ht="15" customHeight="1" x14ac:dyDescent="0.25">
      <c r="B50" s="135" t="s">
        <v>236</v>
      </c>
      <c r="C50" s="132">
        <v>20</v>
      </c>
      <c r="D50" s="76">
        <f>SUMIFS('август 2025'!$G$2:$G$2407,'август 2025'!$D$2:$D$2407,$B50,'август 2025'!$J$2:$J$2407,D$1)</f>
        <v>0</v>
      </c>
      <c r="E50" s="76">
        <f>SUMIFS('август 2025'!$G$2:$G$2407,'август 2025'!$D$2:$D$2407,$B50,'август 2025'!$J$2:$J$2407,E$1)</f>
        <v>0</v>
      </c>
      <c r="F50" s="76">
        <f>SUMIFS('август 2025'!$G$2:$G$2407,'август 2025'!$D$2:$D$2407,$B50,'август 2025'!$J$2:$J$2407,F$1)</f>
        <v>0</v>
      </c>
      <c r="G50" s="76">
        <f>SUMIFS('август 2025'!$G$2:$G$2407,'август 2025'!$D$2:$D$2407,$B50,'август 2025'!$J$2:$J$2407,G$1)</f>
        <v>0</v>
      </c>
      <c r="H50" s="76">
        <f>SUMIFS('август 2025'!$G$2:$G$2407,'август 2025'!$D$2:$D$2407,$B50,'август 2025'!$J$2:$J$2407,H$1)</f>
        <v>0</v>
      </c>
      <c r="I50" s="76">
        <f>SUMIFS('август 2025'!$G$2:$G$2407,'август 2025'!$D$2:$D$2407,$B50,'август 2025'!$J$2:$J$2407,I$1)</f>
        <v>0</v>
      </c>
      <c r="J50" s="76">
        <f>SUMIFS('август 2025'!$G$2:$G$2407,'август 2025'!$D$2:$D$2407,$B50,'август 2025'!$J$2:$J$2407,J$1)</f>
        <v>0</v>
      </c>
      <c r="K50" s="76">
        <f>SUMIFS('август 2025'!$G$2:$G$2407,'август 2025'!$D$2:$D$2407,$B50,'август 2025'!$J$2:$J$2407,K$1)</f>
        <v>0</v>
      </c>
      <c r="L50" s="76">
        <f>SUMIFS('август 2025'!$G$2:$G$2407,'август 2025'!$D$2:$D$2407,$B50,'август 2025'!$J$2:$J$2407,L$1)</f>
        <v>0</v>
      </c>
      <c r="M50" s="76">
        <f>SUMIFS('август 2025'!$G$2:$G$2407,'август 2025'!$D$2:$D$2407,$B50,'август 2025'!$J$2:$J$2407,M$1)</f>
        <v>0</v>
      </c>
      <c r="N50" s="76">
        <f>SUMIFS('август 2025'!$G$2:$G$2407,'август 2025'!$D$2:$D$2407,$B50,'август 2025'!$J$2:$J$2407,N$1)</f>
        <v>0</v>
      </c>
      <c r="O50" s="76">
        <f>SUMIFS('август 2025'!$G$2:$G$2407,'август 2025'!$D$2:$D$2407,$B50,'август 2025'!$J$2:$J$2407,O$1)</f>
        <v>0</v>
      </c>
      <c r="P50" s="76">
        <f>SUMIFS('август 2025'!$G$2:$G$2407,'август 2025'!$D$2:$D$2407,$B50,'август 2025'!$J$2:$J$2407,P$1)</f>
        <v>0</v>
      </c>
      <c r="Q50" s="76">
        <f>SUMIFS('август 2025'!$G$2:$G$2407,'август 2025'!$D$2:$D$2407,$B50,'август 2025'!$J$2:$J$2407,Q$1)</f>
        <v>0</v>
      </c>
      <c r="R50" s="76">
        <f>SUMIFS('август 2025'!$G$2:$G$2407,'август 2025'!$D$2:$D$2407,$B50,'август 2025'!$J$2:$J$2407,R$1)</f>
        <v>0</v>
      </c>
      <c r="S50" s="76">
        <f>SUMIFS('август 2025'!$G$2:$G$2407,'август 2025'!$D$2:$D$2407,$B50,'август 2025'!$J$2:$J$2407,S$1)</f>
        <v>0</v>
      </c>
      <c r="T50" s="76">
        <f>SUMIFS('август 2025'!$G$2:$G$2407,'август 2025'!$D$2:$D$2407,$B50,'август 2025'!$J$2:$J$2407,T$1)</f>
        <v>0</v>
      </c>
      <c r="U50" s="76">
        <f>SUMIFS('август 2025'!$G$2:$G$2407,'август 2025'!$D$2:$D$2407,$B50,'август 2025'!$J$2:$J$2407,U$1)</f>
        <v>0</v>
      </c>
      <c r="V50" s="76">
        <f>SUMIFS('август 2025'!$G$2:$G$2407,'август 2025'!$D$2:$D$2407,$B50,'август 2025'!$J$2:$J$2407,V$1)</f>
        <v>0</v>
      </c>
      <c r="W50" s="76">
        <f>SUMIFS('август 2025'!$G$2:$G$2407,'август 2025'!$D$2:$D$2407,$B50,'август 2025'!$J$2:$J$2407,W$1)</f>
        <v>0</v>
      </c>
      <c r="X50" s="76">
        <f>SUMIFS('август 2025'!$G$2:$G$2407,'август 2025'!$D$2:$D$2407,$B50,'август 2025'!$J$2:$J$2407,X$1)</f>
        <v>0</v>
      </c>
      <c r="Y50" s="76">
        <f>SUMIFS('август 2025'!$G$2:$G$2407,'август 2025'!$D$2:$D$2407,$B50,'август 2025'!$J$2:$J$2407,Y$1)</f>
        <v>0</v>
      </c>
      <c r="Z50" s="76">
        <f>SUMIFS('август 2025'!$G$2:$G$2407,'август 2025'!$D$2:$D$2407,$B50,'август 2025'!$J$2:$J$2407,Z$1)</f>
        <v>0</v>
      </c>
      <c r="AA50" s="76">
        <f>SUMIFS('август 2025'!$G$2:$G$2407,'август 2025'!$D$2:$D$2407,$B50,'август 2025'!$J$2:$J$2407,AA$1)</f>
        <v>0</v>
      </c>
      <c r="AB50" s="76">
        <f>SUMIFS('август 2025'!$G$2:$G$2407,'август 2025'!$D$2:$D$2407,$B50,'август 2025'!$J$2:$J$2407,AB$1)</f>
        <v>0</v>
      </c>
      <c r="AC50" s="76">
        <f>SUMIFS('август 2025'!$G$2:$G$2407,'август 2025'!$D$2:$D$2407,$B50,'август 2025'!$J$2:$J$2407,AC$1)</f>
        <v>0</v>
      </c>
      <c r="AD50" s="76">
        <f>SUMIFS('август 2025'!$G$2:$G$2407,'август 2025'!$D$2:$D$2407,$B50,'август 2025'!$J$2:$J$2407,AD$1)</f>
        <v>0</v>
      </c>
      <c r="AE50" s="76">
        <f>SUMIFS('август 2025'!$G$2:$G$2407,'август 2025'!$D$2:$D$2407,$B50,'август 2025'!$J$2:$J$2407,AE$1)</f>
        <v>0</v>
      </c>
      <c r="AF50" s="76">
        <f>SUMIFS('август 2025'!$G$2:$G$2407,'август 2025'!$D$2:$D$2407,$B50,'август 2025'!$J$2:$J$2407,AF$1)</f>
        <v>0</v>
      </c>
      <c r="AG50" s="76">
        <f>SUMIFS('август 2025'!$G$2:$G$2407,'август 2025'!$D$2:$D$2407,$B50,'август 2025'!$J$2:$J$2407,AG$1)</f>
        <v>0</v>
      </c>
      <c r="AH50" s="76">
        <f>SUMIFS('август 2025'!$G$2:$G$2407,'август 2025'!$D$2:$D$2407,$B50,'август 2025'!$J$2:$J$2407,AH$1)</f>
        <v>0</v>
      </c>
      <c r="AI50" s="20">
        <f t="shared" si="1"/>
        <v>0</v>
      </c>
    </row>
    <row r="51" spans="2:35" ht="15" customHeight="1" x14ac:dyDescent="0.25">
      <c r="B51" s="131" t="s">
        <v>238</v>
      </c>
      <c r="C51" s="134">
        <v>20</v>
      </c>
      <c r="D51" s="76">
        <f>SUMIFS('август 2025'!$G$2:$G$2407,'август 2025'!$D$2:$D$2407,$B51,'август 2025'!$J$2:$J$2407,D$1)</f>
        <v>0</v>
      </c>
      <c r="E51" s="76">
        <f>SUMIFS('август 2025'!$G$2:$G$2407,'август 2025'!$D$2:$D$2407,$B51,'август 2025'!$J$2:$J$2407,E$1)</f>
        <v>0</v>
      </c>
      <c r="F51" s="76">
        <f>SUMIFS('август 2025'!$G$2:$G$2407,'август 2025'!$D$2:$D$2407,$B51,'август 2025'!$J$2:$J$2407,F$1)</f>
        <v>0</v>
      </c>
      <c r="G51" s="76">
        <f>SUMIFS('август 2025'!$G$2:$G$2407,'август 2025'!$D$2:$D$2407,$B51,'август 2025'!$J$2:$J$2407,G$1)</f>
        <v>0</v>
      </c>
      <c r="H51" s="76">
        <f>SUMIFS('август 2025'!$G$2:$G$2407,'август 2025'!$D$2:$D$2407,$B51,'август 2025'!$J$2:$J$2407,H$1)</f>
        <v>0</v>
      </c>
      <c r="I51" s="76">
        <f>SUMIFS('август 2025'!$G$2:$G$2407,'август 2025'!$D$2:$D$2407,$B51,'август 2025'!$J$2:$J$2407,I$1)</f>
        <v>0</v>
      </c>
      <c r="J51" s="76">
        <f>SUMIFS('август 2025'!$G$2:$G$2407,'август 2025'!$D$2:$D$2407,$B51,'август 2025'!$J$2:$J$2407,J$1)</f>
        <v>0</v>
      </c>
      <c r="K51" s="76">
        <f>SUMIFS('август 2025'!$G$2:$G$2407,'август 2025'!$D$2:$D$2407,$B51,'август 2025'!$J$2:$J$2407,K$1)</f>
        <v>0</v>
      </c>
      <c r="L51" s="76">
        <f>SUMIFS('август 2025'!$G$2:$G$2407,'август 2025'!$D$2:$D$2407,$B51,'август 2025'!$J$2:$J$2407,L$1)</f>
        <v>0</v>
      </c>
      <c r="M51" s="76">
        <f>SUMIFS('август 2025'!$G$2:$G$2407,'август 2025'!$D$2:$D$2407,$B51,'август 2025'!$J$2:$J$2407,M$1)</f>
        <v>0</v>
      </c>
      <c r="N51" s="76">
        <f>SUMIFS('август 2025'!$G$2:$G$2407,'август 2025'!$D$2:$D$2407,$B51,'август 2025'!$J$2:$J$2407,N$1)</f>
        <v>0</v>
      </c>
      <c r="O51" s="76">
        <f>SUMIFS('август 2025'!$G$2:$G$2407,'август 2025'!$D$2:$D$2407,$B51,'август 2025'!$J$2:$J$2407,O$1)</f>
        <v>0</v>
      </c>
      <c r="P51" s="76">
        <f>SUMIFS('август 2025'!$G$2:$G$2407,'август 2025'!$D$2:$D$2407,$B51,'август 2025'!$J$2:$J$2407,P$1)</f>
        <v>0</v>
      </c>
      <c r="Q51" s="76">
        <f>SUMIFS('август 2025'!$G$2:$G$2407,'август 2025'!$D$2:$D$2407,$B51,'август 2025'!$J$2:$J$2407,Q$1)</f>
        <v>0</v>
      </c>
      <c r="R51" s="76">
        <f>SUMIFS('август 2025'!$G$2:$G$2407,'август 2025'!$D$2:$D$2407,$B51,'август 2025'!$J$2:$J$2407,R$1)</f>
        <v>0</v>
      </c>
      <c r="S51" s="76">
        <f>SUMIFS('август 2025'!$G$2:$G$2407,'август 2025'!$D$2:$D$2407,$B51,'август 2025'!$J$2:$J$2407,S$1)</f>
        <v>0</v>
      </c>
      <c r="T51" s="76">
        <f>SUMIFS('август 2025'!$G$2:$G$2407,'август 2025'!$D$2:$D$2407,$B51,'август 2025'!$J$2:$J$2407,T$1)</f>
        <v>0</v>
      </c>
      <c r="U51" s="76">
        <f>SUMIFS('август 2025'!$G$2:$G$2407,'август 2025'!$D$2:$D$2407,$B51,'август 2025'!$J$2:$J$2407,U$1)</f>
        <v>0</v>
      </c>
      <c r="V51" s="76">
        <f>SUMIFS('август 2025'!$G$2:$G$2407,'август 2025'!$D$2:$D$2407,$B51,'август 2025'!$J$2:$J$2407,V$1)</f>
        <v>0</v>
      </c>
      <c r="W51" s="76">
        <f>SUMIFS('август 2025'!$G$2:$G$2407,'август 2025'!$D$2:$D$2407,$B51,'август 2025'!$J$2:$J$2407,W$1)</f>
        <v>0</v>
      </c>
      <c r="X51" s="76">
        <f>SUMIFS('август 2025'!$G$2:$G$2407,'август 2025'!$D$2:$D$2407,$B51,'август 2025'!$J$2:$J$2407,X$1)</f>
        <v>0</v>
      </c>
      <c r="Y51" s="76">
        <f>SUMIFS('август 2025'!$G$2:$G$2407,'август 2025'!$D$2:$D$2407,$B51,'август 2025'!$J$2:$J$2407,Y$1)</f>
        <v>0</v>
      </c>
      <c r="Z51" s="76">
        <f>SUMIFS('август 2025'!$G$2:$G$2407,'август 2025'!$D$2:$D$2407,$B51,'август 2025'!$J$2:$J$2407,Z$1)</f>
        <v>0</v>
      </c>
      <c r="AA51" s="76">
        <f>SUMIFS('август 2025'!$G$2:$G$2407,'август 2025'!$D$2:$D$2407,$B51,'август 2025'!$J$2:$J$2407,AA$1)</f>
        <v>0</v>
      </c>
      <c r="AB51" s="76">
        <f>SUMIFS('август 2025'!$G$2:$G$2407,'август 2025'!$D$2:$D$2407,$B51,'август 2025'!$J$2:$J$2407,AB$1)</f>
        <v>0</v>
      </c>
      <c r="AC51" s="76">
        <f>SUMIFS('август 2025'!$G$2:$G$2407,'август 2025'!$D$2:$D$2407,$B51,'август 2025'!$J$2:$J$2407,AC$1)</f>
        <v>0</v>
      </c>
      <c r="AD51" s="76">
        <f>SUMIFS('август 2025'!$G$2:$G$2407,'август 2025'!$D$2:$D$2407,$B51,'август 2025'!$J$2:$J$2407,AD$1)</f>
        <v>0</v>
      </c>
      <c r="AE51" s="76">
        <f>SUMIFS('август 2025'!$G$2:$G$2407,'август 2025'!$D$2:$D$2407,$B51,'август 2025'!$J$2:$J$2407,AE$1)</f>
        <v>0</v>
      </c>
      <c r="AF51" s="76">
        <f>SUMIFS('август 2025'!$G$2:$G$2407,'август 2025'!$D$2:$D$2407,$B51,'август 2025'!$J$2:$J$2407,AF$1)</f>
        <v>0</v>
      </c>
      <c r="AG51" s="76">
        <f>SUMIFS('август 2025'!$G$2:$G$2407,'август 2025'!$D$2:$D$2407,$B51,'август 2025'!$J$2:$J$2407,AG$1)</f>
        <v>0</v>
      </c>
      <c r="AH51" s="76">
        <f>SUMIFS('август 2025'!$G$2:$G$2407,'август 2025'!$D$2:$D$2407,$B51,'август 2025'!$J$2:$J$2407,AH$1)</f>
        <v>0</v>
      </c>
      <c r="AI51" s="20">
        <f t="shared" si="1"/>
        <v>0</v>
      </c>
    </row>
    <row r="52" spans="2:35" ht="15" customHeight="1" x14ac:dyDescent="0.25">
      <c r="B52" s="131" t="s">
        <v>240</v>
      </c>
      <c r="C52" s="130">
        <v>20</v>
      </c>
      <c r="D52" s="76">
        <f>SUMIFS('август 2025'!$G$2:$G$2407,'август 2025'!$D$2:$D$2407,$B52,'август 2025'!$J$2:$J$2407,D$1)</f>
        <v>0</v>
      </c>
      <c r="E52" s="76">
        <f>SUMIFS('август 2025'!$G$2:$G$2407,'август 2025'!$D$2:$D$2407,$B52,'август 2025'!$J$2:$J$2407,E$1)</f>
        <v>0</v>
      </c>
      <c r="F52" s="76">
        <f>SUMIFS('август 2025'!$G$2:$G$2407,'август 2025'!$D$2:$D$2407,$B52,'август 2025'!$J$2:$J$2407,F$1)</f>
        <v>0</v>
      </c>
      <c r="G52" s="76">
        <f>SUMIFS('август 2025'!$G$2:$G$2407,'август 2025'!$D$2:$D$2407,$B52,'август 2025'!$J$2:$J$2407,G$1)</f>
        <v>0</v>
      </c>
      <c r="H52" s="76">
        <f>SUMIFS('август 2025'!$G$2:$G$2407,'август 2025'!$D$2:$D$2407,$B52,'август 2025'!$J$2:$J$2407,H$1)</f>
        <v>0</v>
      </c>
      <c r="I52" s="76">
        <f>SUMIFS('август 2025'!$G$2:$G$2407,'август 2025'!$D$2:$D$2407,$B52,'август 2025'!$J$2:$J$2407,I$1)</f>
        <v>0</v>
      </c>
      <c r="J52" s="76">
        <f>SUMIFS('август 2025'!$G$2:$G$2407,'август 2025'!$D$2:$D$2407,$B52,'август 2025'!$J$2:$J$2407,J$1)</f>
        <v>0</v>
      </c>
      <c r="K52" s="76">
        <f>SUMIFS('август 2025'!$G$2:$G$2407,'август 2025'!$D$2:$D$2407,$B52,'август 2025'!$J$2:$J$2407,K$1)</f>
        <v>0</v>
      </c>
      <c r="L52" s="76">
        <f>SUMIFS('август 2025'!$G$2:$G$2407,'август 2025'!$D$2:$D$2407,$B52,'август 2025'!$J$2:$J$2407,L$1)</f>
        <v>0</v>
      </c>
      <c r="M52" s="76">
        <f>SUMIFS('август 2025'!$G$2:$G$2407,'август 2025'!$D$2:$D$2407,$B52,'август 2025'!$J$2:$J$2407,M$1)</f>
        <v>0</v>
      </c>
      <c r="N52" s="76">
        <f>SUMIFS('август 2025'!$G$2:$G$2407,'август 2025'!$D$2:$D$2407,$B52,'август 2025'!$J$2:$J$2407,N$1)</f>
        <v>0</v>
      </c>
      <c r="O52" s="76">
        <f>SUMIFS('август 2025'!$G$2:$G$2407,'август 2025'!$D$2:$D$2407,$B52,'август 2025'!$J$2:$J$2407,O$1)</f>
        <v>0</v>
      </c>
      <c r="P52" s="76">
        <f>SUMIFS('август 2025'!$G$2:$G$2407,'август 2025'!$D$2:$D$2407,$B52,'август 2025'!$J$2:$J$2407,P$1)</f>
        <v>0</v>
      </c>
      <c r="Q52" s="76">
        <f>SUMIFS('август 2025'!$G$2:$G$2407,'август 2025'!$D$2:$D$2407,$B52,'август 2025'!$J$2:$J$2407,Q$1)</f>
        <v>0</v>
      </c>
      <c r="R52" s="76">
        <f>SUMIFS('август 2025'!$G$2:$G$2407,'август 2025'!$D$2:$D$2407,$B52,'август 2025'!$J$2:$J$2407,R$1)</f>
        <v>0</v>
      </c>
      <c r="S52" s="76">
        <f>SUMIFS('август 2025'!$G$2:$G$2407,'август 2025'!$D$2:$D$2407,$B52,'август 2025'!$J$2:$J$2407,S$1)</f>
        <v>0</v>
      </c>
      <c r="T52" s="76">
        <f>SUMIFS('август 2025'!$G$2:$G$2407,'август 2025'!$D$2:$D$2407,$B52,'август 2025'!$J$2:$J$2407,T$1)</f>
        <v>0</v>
      </c>
      <c r="U52" s="76">
        <f>SUMIFS('август 2025'!$G$2:$G$2407,'август 2025'!$D$2:$D$2407,$B52,'август 2025'!$J$2:$J$2407,U$1)</f>
        <v>0</v>
      </c>
      <c r="V52" s="76">
        <f>SUMIFS('август 2025'!$G$2:$G$2407,'август 2025'!$D$2:$D$2407,$B52,'август 2025'!$J$2:$J$2407,V$1)</f>
        <v>0</v>
      </c>
      <c r="W52" s="76">
        <f>SUMIFS('август 2025'!$G$2:$G$2407,'август 2025'!$D$2:$D$2407,$B52,'август 2025'!$J$2:$J$2407,W$1)</f>
        <v>0</v>
      </c>
      <c r="X52" s="76">
        <f>SUMIFS('август 2025'!$G$2:$G$2407,'август 2025'!$D$2:$D$2407,$B52,'август 2025'!$J$2:$J$2407,X$1)</f>
        <v>0</v>
      </c>
      <c r="Y52" s="76">
        <f>SUMIFS('август 2025'!$G$2:$G$2407,'август 2025'!$D$2:$D$2407,$B52,'август 2025'!$J$2:$J$2407,Y$1)</f>
        <v>0</v>
      </c>
      <c r="Z52" s="76">
        <f>SUMIFS('август 2025'!$G$2:$G$2407,'август 2025'!$D$2:$D$2407,$B52,'август 2025'!$J$2:$J$2407,Z$1)</f>
        <v>0</v>
      </c>
      <c r="AA52" s="76">
        <f>SUMIFS('август 2025'!$G$2:$G$2407,'август 2025'!$D$2:$D$2407,$B52,'август 2025'!$J$2:$J$2407,AA$1)</f>
        <v>0</v>
      </c>
      <c r="AB52" s="76">
        <f>SUMIFS('август 2025'!$G$2:$G$2407,'август 2025'!$D$2:$D$2407,$B52,'август 2025'!$J$2:$J$2407,AB$1)</f>
        <v>0</v>
      </c>
      <c r="AC52" s="76">
        <f>SUMIFS('август 2025'!$G$2:$G$2407,'август 2025'!$D$2:$D$2407,$B52,'август 2025'!$J$2:$J$2407,AC$1)</f>
        <v>0</v>
      </c>
      <c r="AD52" s="76">
        <f>SUMIFS('август 2025'!$G$2:$G$2407,'август 2025'!$D$2:$D$2407,$B52,'август 2025'!$J$2:$J$2407,AD$1)</f>
        <v>0</v>
      </c>
      <c r="AE52" s="76">
        <f>SUMIFS('август 2025'!$G$2:$G$2407,'август 2025'!$D$2:$D$2407,$B52,'август 2025'!$J$2:$J$2407,AE$1)</f>
        <v>0</v>
      </c>
      <c r="AF52" s="76">
        <f>SUMIFS('август 2025'!$G$2:$G$2407,'август 2025'!$D$2:$D$2407,$B52,'август 2025'!$J$2:$J$2407,AF$1)</f>
        <v>0</v>
      </c>
      <c r="AG52" s="76">
        <f>SUMIFS('август 2025'!$G$2:$G$2407,'август 2025'!$D$2:$D$2407,$B52,'август 2025'!$J$2:$J$2407,AG$1)</f>
        <v>0</v>
      </c>
      <c r="AH52" s="76">
        <f>SUMIFS('август 2025'!$G$2:$G$2407,'август 2025'!$D$2:$D$2407,$B52,'август 2025'!$J$2:$J$2407,AH$1)</f>
        <v>0</v>
      </c>
      <c r="AI52" s="20">
        <f t="shared" si="1"/>
        <v>0</v>
      </c>
    </row>
    <row r="53" spans="2:35" ht="15" customHeight="1" x14ac:dyDescent="0.25">
      <c r="B53" s="131" t="s">
        <v>242</v>
      </c>
      <c r="C53" s="132">
        <v>20</v>
      </c>
      <c r="D53" s="76">
        <f>SUMIFS('август 2025'!$G$2:$G$2407,'август 2025'!$D$2:$D$2407,$B53,'август 2025'!$J$2:$J$2407,D$1)</f>
        <v>0</v>
      </c>
      <c r="E53" s="76">
        <f>SUMIFS('август 2025'!$G$2:$G$2407,'август 2025'!$D$2:$D$2407,$B53,'август 2025'!$J$2:$J$2407,E$1)</f>
        <v>0</v>
      </c>
      <c r="F53" s="76">
        <f>SUMIFS('август 2025'!$G$2:$G$2407,'август 2025'!$D$2:$D$2407,$B53,'август 2025'!$J$2:$J$2407,F$1)</f>
        <v>0</v>
      </c>
      <c r="G53" s="76">
        <f>SUMIFS('август 2025'!$G$2:$G$2407,'август 2025'!$D$2:$D$2407,$B53,'август 2025'!$J$2:$J$2407,G$1)</f>
        <v>0</v>
      </c>
      <c r="H53" s="76">
        <f>SUMIFS('август 2025'!$G$2:$G$2407,'август 2025'!$D$2:$D$2407,$B53,'август 2025'!$J$2:$J$2407,H$1)</f>
        <v>0</v>
      </c>
      <c r="I53" s="76">
        <f>SUMIFS('август 2025'!$G$2:$G$2407,'август 2025'!$D$2:$D$2407,$B53,'август 2025'!$J$2:$J$2407,I$1)</f>
        <v>0</v>
      </c>
      <c r="J53" s="76">
        <f>SUMIFS('август 2025'!$G$2:$G$2407,'август 2025'!$D$2:$D$2407,$B53,'август 2025'!$J$2:$J$2407,J$1)</f>
        <v>0</v>
      </c>
      <c r="K53" s="76">
        <f>SUMIFS('август 2025'!$G$2:$G$2407,'август 2025'!$D$2:$D$2407,$B53,'август 2025'!$J$2:$J$2407,K$1)</f>
        <v>0</v>
      </c>
      <c r="L53" s="76">
        <f>SUMIFS('август 2025'!$G$2:$G$2407,'август 2025'!$D$2:$D$2407,$B53,'август 2025'!$J$2:$J$2407,L$1)</f>
        <v>0</v>
      </c>
      <c r="M53" s="76">
        <f>SUMIFS('август 2025'!$G$2:$G$2407,'август 2025'!$D$2:$D$2407,$B53,'август 2025'!$J$2:$J$2407,M$1)</f>
        <v>0</v>
      </c>
      <c r="N53" s="76">
        <f>SUMIFS('август 2025'!$G$2:$G$2407,'август 2025'!$D$2:$D$2407,$B53,'август 2025'!$J$2:$J$2407,N$1)</f>
        <v>0</v>
      </c>
      <c r="O53" s="76">
        <f>SUMIFS('август 2025'!$G$2:$G$2407,'август 2025'!$D$2:$D$2407,$B53,'август 2025'!$J$2:$J$2407,O$1)</f>
        <v>0</v>
      </c>
      <c r="P53" s="76">
        <f>SUMIFS('август 2025'!$G$2:$G$2407,'август 2025'!$D$2:$D$2407,$B53,'август 2025'!$J$2:$J$2407,P$1)</f>
        <v>0</v>
      </c>
      <c r="Q53" s="76">
        <f>SUMIFS('август 2025'!$G$2:$G$2407,'август 2025'!$D$2:$D$2407,$B53,'август 2025'!$J$2:$J$2407,Q$1)</f>
        <v>0</v>
      </c>
      <c r="R53" s="76">
        <f>SUMIFS('август 2025'!$G$2:$G$2407,'август 2025'!$D$2:$D$2407,$B53,'август 2025'!$J$2:$J$2407,R$1)</f>
        <v>0</v>
      </c>
      <c r="S53" s="76">
        <f>SUMIFS('август 2025'!$G$2:$G$2407,'август 2025'!$D$2:$D$2407,$B53,'август 2025'!$J$2:$J$2407,S$1)</f>
        <v>0</v>
      </c>
      <c r="T53" s="76">
        <f>SUMIFS('август 2025'!$G$2:$G$2407,'август 2025'!$D$2:$D$2407,$B53,'август 2025'!$J$2:$J$2407,T$1)</f>
        <v>0</v>
      </c>
      <c r="U53" s="76">
        <f>SUMIFS('август 2025'!$G$2:$G$2407,'август 2025'!$D$2:$D$2407,$B53,'август 2025'!$J$2:$J$2407,U$1)</f>
        <v>0</v>
      </c>
      <c r="V53" s="76">
        <f>SUMIFS('август 2025'!$G$2:$G$2407,'август 2025'!$D$2:$D$2407,$B53,'август 2025'!$J$2:$J$2407,V$1)</f>
        <v>0</v>
      </c>
      <c r="W53" s="76">
        <f>SUMIFS('август 2025'!$G$2:$G$2407,'август 2025'!$D$2:$D$2407,$B53,'август 2025'!$J$2:$J$2407,W$1)</f>
        <v>0</v>
      </c>
      <c r="X53" s="76">
        <f>SUMIFS('август 2025'!$G$2:$G$2407,'август 2025'!$D$2:$D$2407,$B53,'август 2025'!$J$2:$J$2407,X$1)</f>
        <v>0</v>
      </c>
      <c r="Y53" s="76">
        <f>SUMIFS('август 2025'!$G$2:$G$2407,'август 2025'!$D$2:$D$2407,$B53,'август 2025'!$J$2:$J$2407,Y$1)</f>
        <v>0</v>
      </c>
      <c r="Z53" s="76">
        <f>SUMIFS('август 2025'!$G$2:$G$2407,'август 2025'!$D$2:$D$2407,$B53,'август 2025'!$J$2:$J$2407,Z$1)</f>
        <v>0</v>
      </c>
      <c r="AA53" s="76">
        <f>SUMIFS('август 2025'!$G$2:$G$2407,'август 2025'!$D$2:$D$2407,$B53,'август 2025'!$J$2:$J$2407,AA$1)</f>
        <v>0</v>
      </c>
      <c r="AB53" s="76">
        <f>SUMIFS('август 2025'!$G$2:$G$2407,'август 2025'!$D$2:$D$2407,$B53,'август 2025'!$J$2:$J$2407,AB$1)</f>
        <v>0</v>
      </c>
      <c r="AC53" s="76">
        <f>SUMIFS('август 2025'!$G$2:$G$2407,'август 2025'!$D$2:$D$2407,$B53,'август 2025'!$J$2:$J$2407,AC$1)</f>
        <v>0</v>
      </c>
      <c r="AD53" s="76">
        <f>SUMIFS('август 2025'!$G$2:$G$2407,'август 2025'!$D$2:$D$2407,$B53,'август 2025'!$J$2:$J$2407,AD$1)</f>
        <v>0</v>
      </c>
      <c r="AE53" s="76">
        <f>SUMIFS('август 2025'!$G$2:$G$2407,'август 2025'!$D$2:$D$2407,$B53,'август 2025'!$J$2:$J$2407,AE$1)</f>
        <v>0</v>
      </c>
      <c r="AF53" s="76">
        <f>SUMIFS('август 2025'!$G$2:$G$2407,'август 2025'!$D$2:$D$2407,$B53,'август 2025'!$J$2:$J$2407,AF$1)</f>
        <v>0</v>
      </c>
      <c r="AG53" s="76">
        <f>SUMIFS('август 2025'!$G$2:$G$2407,'август 2025'!$D$2:$D$2407,$B53,'август 2025'!$J$2:$J$2407,AG$1)</f>
        <v>0</v>
      </c>
      <c r="AH53" s="76">
        <f>SUMIFS('август 2025'!$G$2:$G$2407,'август 2025'!$D$2:$D$2407,$B53,'август 2025'!$J$2:$J$2407,AH$1)</f>
        <v>0</v>
      </c>
      <c r="AI53" s="20">
        <f t="shared" si="1"/>
        <v>0</v>
      </c>
    </row>
    <row r="54" spans="2:35" ht="15" customHeight="1" x14ac:dyDescent="0.25">
      <c r="B54" s="131" t="s">
        <v>244</v>
      </c>
      <c r="C54" s="132">
        <v>14</v>
      </c>
      <c r="D54" s="76">
        <f>SUMIFS('август 2025'!$G$2:$G$2407,'август 2025'!$D$2:$D$2407,$B54,'август 2025'!$J$2:$J$2407,D$1)</f>
        <v>0</v>
      </c>
      <c r="E54" s="76">
        <f>SUMIFS('август 2025'!$G$2:$G$2407,'август 2025'!$D$2:$D$2407,$B54,'август 2025'!$J$2:$J$2407,E$1)</f>
        <v>0</v>
      </c>
      <c r="F54" s="76">
        <f>SUMIFS('август 2025'!$G$2:$G$2407,'август 2025'!$D$2:$D$2407,$B54,'август 2025'!$J$2:$J$2407,F$1)</f>
        <v>0</v>
      </c>
      <c r="G54" s="76">
        <f>SUMIFS('август 2025'!$G$2:$G$2407,'август 2025'!$D$2:$D$2407,$B54,'август 2025'!$J$2:$J$2407,G$1)</f>
        <v>0</v>
      </c>
      <c r="H54" s="76">
        <f>SUMIFS('август 2025'!$G$2:$G$2407,'август 2025'!$D$2:$D$2407,$B54,'август 2025'!$J$2:$J$2407,H$1)</f>
        <v>0</v>
      </c>
      <c r="I54" s="76">
        <f>SUMIFS('август 2025'!$G$2:$G$2407,'август 2025'!$D$2:$D$2407,$B54,'август 2025'!$J$2:$J$2407,I$1)</f>
        <v>0</v>
      </c>
      <c r="J54" s="76">
        <f>SUMIFS('август 2025'!$G$2:$G$2407,'август 2025'!$D$2:$D$2407,$B54,'август 2025'!$J$2:$J$2407,J$1)</f>
        <v>0</v>
      </c>
      <c r="K54" s="76">
        <f>SUMIFS('август 2025'!$G$2:$G$2407,'август 2025'!$D$2:$D$2407,$B54,'август 2025'!$J$2:$J$2407,K$1)</f>
        <v>0</v>
      </c>
      <c r="L54" s="76">
        <f>SUMIFS('август 2025'!$G$2:$G$2407,'август 2025'!$D$2:$D$2407,$B54,'август 2025'!$J$2:$J$2407,L$1)</f>
        <v>0</v>
      </c>
      <c r="M54" s="76">
        <f>SUMIFS('август 2025'!$G$2:$G$2407,'август 2025'!$D$2:$D$2407,$B54,'август 2025'!$J$2:$J$2407,M$1)</f>
        <v>0</v>
      </c>
      <c r="N54" s="76">
        <f>SUMIFS('август 2025'!$G$2:$G$2407,'август 2025'!$D$2:$D$2407,$B54,'август 2025'!$J$2:$J$2407,N$1)</f>
        <v>0</v>
      </c>
      <c r="O54" s="76">
        <f>SUMIFS('август 2025'!$G$2:$G$2407,'август 2025'!$D$2:$D$2407,$B54,'август 2025'!$J$2:$J$2407,O$1)</f>
        <v>0</v>
      </c>
      <c r="P54" s="76">
        <f>SUMIFS('август 2025'!$G$2:$G$2407,'август 2025'!$D$2:$D$2407,$B54,'август 2025'!$J$2:$J$2407,P$1)</f>
        <v>0</v>
      </c>
      <c r="Q54" s="76">
        <f>SUMIFS('август 2025'!$G$2:$G$2407,'август 2025'!$D$2:$D$2407,$B54,'август 2025'!$J$2:$J$2407,Q$1)</f>
        <v>0</v>
      </c>
      <c r="R54" s="76">
        <f>SUMIFS('август 2025'!$G$2:$G$2407,'август 2025'!$D$2:$D$2407,$B54,'август 2025'!$J$2:$J$2407,R$1)</f>
        <v>0</v>
      </c>
      <c r="S54" s="76">
        <f>SUMIFS('август 2025'!$G$2:$G$2407,'август 2025'!$D$2:$D$2407,$B54,'август 2025'!$J$2:$J$2407,S$1)</f>
        <v>0</v>
      </c>
      <c r="T54" s="76">
        <f>SUMIFS('август 2025'!$G$2:$G$2407,'август 2025'!$D$2:$D$2407,$B54,'август 2025'!$J$2:$J$2407,T$1)</f>
        <v>0</v>
      </c>
      <c r="U54" s="76">
        <f>SUMIFS('август 2025'!$G$2:$G$2407,'август 2025'!$D$2:$D$2407,$B54,'август 2025'!$J$2:$J$2407,U$1)</f>
        <v>0</v>
      </c>
      <c r="V54" s="76">
        <f>SUMIFS('август 2025'!$G$2:$G$2407,'август 2025'!$D$2:$D$2407,$B54,'август 2025'!$J$2:$J$2407,V$1)</f>
        <v>0</v>
      </c>
      <c r="W54" s="76">
        <f>SUMIFS('август 2025'!$G$2:$G$2407,'август 2025'!$D$2:$D$2407,$B54,'август 2025'!$J$2:$J$2407,W$1)</f>
        <v>0</v>
      </c>
      <c r="X54" s="76">
        <f>SUMIFS('август 2025'!$G$2:$G$2407,'август 2025'!$D$2:$D$2407,$B54,'август 2025'!$J$2:$J$2407,X$1)</f>
        <v>0</v>
      </c>
      <c r="Y54" s="76">
        <f>SUMIFS('август 2025'!$G$2:$G$2407,'август 2025'!$D$2:$D$2407,$B54,'август 2025'!$J$2:$J$2407,Y$1)</f>
        <v>0</v>
      </c>
      <c r="Z54" s="76">
        <f>SUMIFS('август 2025'!$G$2:$G$2407,'август 2025'!$D$2:$D$2407,$B54,'август 2025'!$J$2:$J$2407,Z$1)</f>
        <v>0</v>
      </c>
      <c r="AA54" s="76">
        <f>SUMIFS('август 2025'!$G$2:$G$2407,'август 2025'!$D$2:$D$2407,$B54,'август 2025'!$J$2:$J$2407,AA$1)</f>
        <v>0</v>
      </c>
      <c r="AB54" s="76">
        <f>SUMIFS('август 2025'!$G$2:$G$2407,'август 2025'!$D$2:$D$2407,$B54,'август 2025'!$J$2:$J$2407,AB$1)</f>
        <v>0</v>
      </c>
      <c r="AC54" s="76">
        <f>SUMIFS('август 2025'!$G$2:$G$2407,'август 2025'!$D$2:$D$2407,$B54,'август 2025'!$J$2:$J$2407,AC$1)</f>
        <v>0</v>
      </c>
      <c r="AD54" s="76">
        <f>SUMIFS('август 2025'!$G$2:$G$2407,'август 2025'!$D$2:$D$2407,$B54,'август 2025'!$J$2:$J$2407,AD$1)</f>
        <v>0</v>
      </c>
      <c r="AE54" s="76">
        <f>SUMIFS('август 2025'!$G$2:$G$2407,'август 2025'!$D$2:$D$2407,$B54,'август 2025'!$J$2:$J$2407,AE$1)</f>
        <v>0</v>
      </c>
      <c r="AF54" s="76">
        <f>SUMIFS('август 2025'!$G$2:$G$2407,'август 2025'!$D$2:$D$2407,$B54,'август 2025'!$J$2:$J$2407,AF$1)</f>
        <v>0</v>
      </c>
      <c r="AG54" s="76">
        <f>SUMIFS('август 2025'!$G$2:$G$2407,'август 2025'!$D$2:$D$2407,$B54,'август 2025'!$J$2:$J$2407,AG$1)</f>
        <v>0</v>
      </c>
      <c r="AH54" s="76">
        <f>SUMIFS('август 2025'!$G$2:$G$2407,'август 2025'!$D$2:$D$2407,$B54,'август 2025'!$J$2:$J$2407,AH$1)</f>
        <v>0</v>
      </c>
      <c r="AI54" s="20">
        <f t="shared" si="1"/>
        <v>0</v>
      </c>
    </row>
    <row r="55" spans="2:35" ht="15" customHeight="1" x14ac:dyDescent="0.25">
      <c r="B55" s="131" t="s">
        <v>246</v>
      </c>
      <c r="C55" s="132">
        <v>25</v>
      </c>
      <c r="D55" s="76">
        <f>SUMIFS('август 2025'!$G$2:$G$2407,'август 2025'!$D$2:$D$2407,$B55,'август 2025'!$J$2:$J$2407,D$1)</f>
        <v>0</v>
      </c>
      <c r="E55" s="76">
        <f>SUMIFS('август 2025'!$G$2:$G$2407,'август 2025'!$D$2:$D$2407,$B55,'август 2025'!$J$2:$J$2407,E$1)</f>
        <v>0</v>
      </c>
      <c r="F55" s="76">
        <f>SUMIFS('август 2025'!$G$2:$G$2407,'август 2025'!$D$2:$D$2407,$B55,'август 2025'!$J$2:$J$2407,F$1)</f>
        <v>0</v>
      </c>
      <c r="G55" s="76">
        <f>SUMIFS('август 2025'!$G$2:$G$2407,'август 2025'!$D$2:$D$2407,$B55,'август 2025'!$J$2:$J$2407,G$1)</f>
        <v>0</v>
      </c>
      <c r="H55" s="76">
        <f>SUMIFS('август 2025'!$G$2:$G$2407,'август 2025'!$D$2:$D$2407,$B55,'август 2025'!$J$2:$J$2407,H$1)</f>
        <v>0</v>
      </c>
      <c r="I55" s="76">
        <f>SUMIFS('август 2025'!$G$2:$G$2407,'август 2025'!$D$2:$D$2407,$B55,'август 2025'!$J$2:$J$2407,I$1)</f>
        <v>0</v>
      </c>
      <c r="J55" s="76">
        <f>SUMIFS('август 2025'!$G$2:$G$2407,'август 2025'!$D$2:$D$2407,$B55,'август 2025'!$J$2:$J$2407,J$1)</f>
        <v>0</v>
      </c>
      <c r="K55" s="76">
        <f>SUMIFS('август 2025'!$G$2:$G$2407,'август 2025'!$D$2:$D$2407,$B55,'август 2025'!$J$2:$J$2407,K$1)</f>
        <v>0</v>
      </c>
      <c r="L55" s="76">
        <f>SUMIFS('август 2025'!$G$2:$G$2407,'август 2025'!$D$2:$D$2407,$B55,'август 2025'!$J$2:$J$2407,L$1)</f>
        <v>0</v>
      </c>
      <c r="M55" s="76">
        <f>SUMIFS('август 2025'!$G$2:$G$2407,'август 2025'!$D$2:$D$2407,$B55,'август 2025'!$J$2:$J$2407,M$1)</f>
        <v>0</v>
      </c>
      <c r="N55" s="76">
        <f>SUMIFS('август 2025'!$G$2:$G$2407,'август 2025'!$D$2:$D$2407,$B55,'август 2025'!$J$2:$J$2407,N$1)</f>
        <v>0</v>
      </c>
      <c r="O55" s="76">
        <f>SUMIFS('август 2025'!$G$2:$G$2407,'август 2025'!$D$2:$D$2407,$B55,'август 2025'!$J$2:$J$2407,O$1)</f>
        <v>0</v>
      </c>
      <c r="P55" s="76">
        <f>SUMIFS('август 2025'!$G$2:$G$2407,'август 2025'!$D$2:$D$2407,$B55,'август 2025'!$J$2:$J$2407,P$1)</f>
        <v>0</v>
      </c>
      <c r="Q55" s="76">
        <f>SUMIFS('август 2025'!$G$2:$G$2407,'август 2025'!$D$2:$D$2407,$B55,'август 2025'!$J$2:$J$2407,Q$1)</f>
        <v>0</v>
      </c>
      <c r="R55" s="76">
        <f>SUMIFS('август 2025'!$G$2:$G$2407,'август 2025'!$D$2:$D$2407,$B55,'август 2025'!$J$2:$J$2407,R$1)</f>
        <v>0</v>
      </c>
      <c r="S55" s="76">
        <f>SUMIFS('август 2025'!$G$2:$G$2407,'август 2025'!$D$2:$D$2407,$B55,'август 2025'!$J$2:$J$2407,S$1)</f>
        <v>0</v>
      </c>
      <c r="T55" s="76">
        <f>SUMIFS('август 2025'!$G$2:$G$2407,'август 2025'!$D$2:$D$2407,$B55,'август 2025'!$J$2:$J$2407,T$1)</f>
        <v>0</v>
      </c>
      <c r="U55" s="76">
        <f>SUMIFS('август 2025'!$G$2:$G$2407,'август 2025'!$D$2:$D$2407,$B55,'август 2025'!$J$2:$J$2407,U$1)</f>
        <v>0</v>
      </c>
      <c r="V55" s="76">
        <f>SUMIFS('август 2025'!$G$2:$G$2407,'август 2025'!$D$2:$D$2407,$B55,'август 2025'!$J$2:$J$2407,V$1)</f>
        <v>0</v>
      </c>
      <c r="W55" s="76">
        <f>SUMIFS('август 2025'!$G$2:$G$2407,'август 2025'!$D$2:$D$2407,$B55,'август 2025'!$J$2:$J$2407,W$1)</f>
        <v>0</v>
      </c>
      <c r="X55" s="76">
        <f>SUMIFS('август 2025'!$G$2:$G$2407,'август 2025'!$D$2:$D$2407,$B55,'август 2025'!$J$2:$J$2407,X$1)</f>
        <v>0</v>
      </c>
      <c r="Y55" s="76">
        <f>SUMIFS('август 2025'!$G$2:$G$2407,'август 2025'!$D$2:$D$2407,$B55,'август 2025'!$J$2:$J$2407,Y$1)</f>
        <v>0</v>
      </c>
      <c r="Z55" s="76">
        <f>SUMIFS('август 2025'!$G$2:$G$2407,'август 2025'!$D$2:$D$2407,$B55,'август 2025'!$J$2:$J$2407,Z$1)</f>
        <v>0</v>
      </c>
      <c r="AA55" s="76">
        <f>SUMIFS('август 2025'!$G$2:$G$2407,'август 2025'!$D$2:$D$2407,$B55,'август 2025'!$J$2:$J$2407,AA$1)</f>
        <v>0</v>
      </c>
      <c r="AB55" s="76">
        <f>SUMIFS('август 2025'!$G$2:$G$2407,'август 2025'!$D$2:$D$2407,$B55,'август 2025'!$J$2:$J$2407,AB$1)</f>
        <v>0</v>
      </c>
      <c r="AC55" s="76">
        <f>SUMIFS('август 2025'!$G$2:$G$2407,'август 2025'!$D$2:$D$2407,$B55,'август 2025'!$J$2:$J$2407,AC$1)</f>
        <v>0</v>
      </c>
      <c r="AD55" s="76">
        <f>SUMIFS('август 2025'!$G$2:$G$2407,'август 2025'!$D$2:$D$2407,$B55,'август 2025'!$J$2:$J$2407,AD$1)</f>
        <v>0</v>
      </c>
      <c r="AE55" s="76">
        <f>SUMIFS('август 2025'!$G$2:$G$2407,'август 2025'!$D$2:$D$2407,$B55,'август 2025'!$J$2:$J$2407,AE$1)</f>
        <v>0</v>
      </c>
      <c r="AF55" s="76">
        <f>SUMIFS('август 2025'!$G$2:$G$2407,'август 2025'!$D$2:$D$2407,$B55,'август 2025'!$J$2:$J$2407,AF$1)</f>
        <v>0</v>
      </c>
      <c r="AG55" s="76">
        <f>SUMIFS('август 2025'!$G$2:$G$2407,'август 2025'!$D$2:$D$2407,$B55,'август 2025'!$J$2:$J$2407,AG$1)</f>
        <v>0</v>
      </c>
      <c r="AH55" s="76">
        <f>SUMIFS('август 2025'!$G$2:$G$2407,'август 2025'!$D$2:$D$2407,$B55,'август 2025'!$J$2:$J$2407,AH$1)</f>
        <v>0</v>
      </c>
      <c r="AI55" s="20">
        <f t="shared" si="1"/>
        <v>0</v>
      </c>
    </row>
    <row r="56" spans="2:35" ht="15" customHeight="1" x14ac:dyDescent="0.25">
      <c r="B56" s="131" t="s">
        <v>252</v>
      </c>
      <c r="C56" s="132">
        <v>20</v>
      </c>
      <c r="D56" s="76">
        <f>SUMIFS('август 2025'!$G$2:$G$2407,'август 2025'!$D$2:$D$2407,$B56,'август 2025'!$J$2:$J$2407,D$1)</f>
        <v>0</v>
      </c>
      <c r="E56" s="76">
        <f>SUMIFS('август 2025'!$G$2:$G$2407,'август 2025'!$D$2:$D$2407,$B56,'август 2025'!$J$2:$J$2407,E$1)</f>
        <v>0</v>
      </c>
      <c r="F56" s="76">
        <f>SUMIFS('август 2025'!$G$2:$G$2407,'август 2025'!$D$2:$D$2407,$B56,'август 2025'!$J$2:$J$2407,F$1)</f>
        <v>0</v>
      </c>
      <c r="G56" s="76">
        <f>SUMIFS('август 2025'!$G$2:$G$2407,'август 2025'!$D$2:$D$2407,$B56,'август 2025'!$J$2:$J$2407,G$1)</f>
        <v>0</v>
      </c>
      <c r="H56" s="76">
        <f>SUMIFS('август 2025'!$G$2:$G$2407,'август 2025'!$D$2:$D$2407,$B56,'август 2025'!$J$2:$J$2407,H$1)</f>
        <v>0</v>
      </c>
      <c r="I56" s="76">
        <f>SUMIFS('август 2025'!$G$2:$G$2407,'август 2025'!$D$2:$D$2407,$B56,'август 2025'!$J$2:$J$2407,I$1)</f>
        <v>0</v>
      </c>
      <c r="J56" s="76">
        <f>SUMIFS('август 2025'!$G$2:$G$2407,'август 2025'!$D$2:$D$2407,$B56,'август 2025'!$J$2:$J$2407,J$1)</f>
        <v>0</v>
      </c>
      <c r="K56" s="76">
        <f>SUMIFS('август 2025'!$G$2:$G$2407,'август 2025'!$D$2:$D$2407,$B56,'август 2025'!$J$2:$J$2407,K$1)</f>
        <v>0</v>
      </c>
      <c r="L56" s="76">
        <f>SUMIFS('август 2025'!$G$2:$G$2407,'август 2025'!$D$2:$D$2407,$B56,'август 2025'!$J$2:$J$2407,L$1)</f>
        <v>0</v>
      </c>
      <c r="M56" s="76">
        <f>SUMIFS('август 2025'!$G$2:$G$2407,'август 2025'!$D$2:$D$2407,$B56,'август 2025'!$J$2:$J$2407,M$1)</f>
        <v>0</v>
      </c>
      <c r="N56" s="76">
        <f>SUMIFS('август 2025'!$G$2:$G$2407,'август 2025'!$D$2:$D$2407,$B56,'август 2025'!$J$2:$J$2407,N$1)</f>
        <v>0</v>
      </c>
      <c r="O56" s="76">
        <f>SUMIFS('август 2025'!$G$2:$G$2407,'август 2025'!$D$2:$D$2407,$B56,'август 2025'!$J$2:$J$2407,O$1)</f>
        <v>0</v>
      </c>
      <c r="P56" s="76">
        <f>SUMIFS('август 2025'!$G$2:$G$2407,'август 2025'!$D$2:$D$2407,$B56,'август 2025'!$J$2:$J$2407,P$1)</f>
        <v>0</v>
      </c>
      <c r="Q56" s="76">
        <f>SUMIFS('август 2025'!$G$2:$G$2407,'август 2025'!$D$2:$D$2407,$B56,'август 2025'!$J$2:$J$2407,Q$1)</f>
        <v>0</v>
      </c>
      <c r="R56" s="76">
        <f>SUMIFS('август 2025'!$G$2:$G$2407,'август 2025'!$D$2:$D$2407,$B56,'август 2025'!$J$2:$J$2407,R$1)</f>
        <v>0</v>
      </c>
      <c r="S56" s="76">
        <f>SUMIFS('август 2025'!$G$2:$G$2407,'август 2025'!$D$2:$D$2407,$B56,'август 2025'!$J$2:$J$2407,S$1)</f>
        <v>0</v>
      </c>
      <c r="T56" s="76">
        <f>SUMIFS('август 2025'!$G$2:$G$2407,'август 2025'!$D$2:$D$2407,$B56,'август 2025'!$J$2:$J$2407,T$1)</f>
        <v>0</v>
      </c>
      <c r="U56" s="76">
        <f>SUMIFS('август 2025'!$G$2:$G$2407,'август 2025'!$D$2:$D$2407,$B56,'август 2025'!$J$2:$J$2407,U$1)</f>
        <v>0</v>
      </c>
      <c r="V56" s="76">
        <f>SUMIFS('август 2025'!$G$2:$G$2407,'август 2025'!$D$2:$D$2407,$B56,'август 2025'!$J$2:$J$2407,V$1)</f>
        <v>0</v>
      </c>
      <c r="W56" s="76">
        <f>SUMIFS('август 2025'!$G$2:$G$2407,'август 2025'!$D$2:$D$2407,$B56,'август 2025'!$J$2:$J$2407,W$1)</f>
        <v>0</v>
      </c>
      <c r="X56" s="76">
        <f>SUMIFS('август 2025'!$G$2:$G$2407,'август 2025'!$D$2:$D$2407,$B56,'август 2025'!$J$2:$J$2407,X$1)</f>
        <v>0</v>
      </c>
      <c r="Y56" s="76">
        <f>SUMIFS('август 2025'!$G$2:$G$2407,'август 2025'!$D$2:$D$2407,$B56,'август 2025'!$J$2:$J$2407,Y$1)</f>
        <v>0</v>
      </c>
      <c r="Z56" s="76">
        <f>SUMIFS('август 2025'!$G$2:$G$2407,'август 2025'!$D$2:$D$2407,$B56,'август 2025'!$J$2:$J$2407,Z$1)</f>
        <v>0</v>
      </c>
      <c r="AA56" s="76">
        <f>SUMIFS('август 2025'!$G$2:$G$2407,'август 2025'!$D$2:$D$2407,$B56,'август 2025'!$J$2:$J$2407,AA$1)</f>
        <v>0</v>
      </c>
      <c r="AB56" s="76">
        <f>SUMIFS('август 2025'!$G$2:$G$2407,'август 2025'!$D$2:$D$2407,$B56,'август 2025'!$J$2:$J$2407,AB$1)</f>
        <v>0</v>
      </c>
      <c r="AC56" s="76">
        <f>SUMIFS('август 2025'!$G$2:$G$2407,'август 2025'!$D$2:$D$2407,$B56,'август 2025'!$J$2:$J$2407,AC$1)</f>
        <v>0</v>
      </c>
      <c r="AD56" s="76">
        <f>SUMIFS('август 2025'!$G$2:$G$2407,'август 2025'!$D$2:$D$2407,$B56,'август 2025'!$J$2:$J$2407,AD$1)</f>
        <v>0</v>
      </c>
      <c r="AE56" s="76">
        <f>SUMIFS('август 2025'!$G$2:$G$2407,'август 2025'!$D$2:$D$2407,$B56,'август 2025'!$J$2:$J$2407,AE$1)</f>
        <v>0</v>
      </c>
      <c r="AF56" s="76">
        <f>SUMIFS('август 2025'!$G$2:$G$2407,'август 2025'!$D$2:$D$2407,$B56,'август 2025'!$J$2:$J$2407,AF$1)</f>
        <v>0</v>
      </c>
      <c r="AG56" s="76">
        <f>SUMIFS('август 2025'!$G$2:$G$2407,'август 2025'!$D$2:$D$2407,$B56,'август 2025'!$J$2:$J$2407,AG$1)</f>
        <v>0</v>
      </c>
      <c r="AH56" s="76">
        <f>SUMIFS('август 2025'!$G$2:$G$2407,'август 2025'!$D$2:$D$2407,$B56,'август 2025'!$J$2:$J$2407,AH$1)</f>
        <v>0</v>
      </c>
      <c r="AI56" s="20">
        <f t="shared" si="1"/>
        <v>0</v>
      </c>
    </row>
    <row r="57" spans="2:35" ht="15" customHeight="1" x14ac:dyDescent="0.25">
      <c r="B57" s="131" t="s">
        <v>1156</v>
      </c>
      <c r="C57" s="132">
        <v>20</v>
      </c>
      <c r="D57" s="76">
        <f>SUMIFS('август 2025'!$G$2:$G$2407,'август 2025'!$D$2:$D$2407,$B57,'август 2025'!$J$2:$J$2407,D$1)</f>
        <v>0</v>
      </c>
      <c r="E57" s="76">
        <f>SUMIFS('август 2025'!$G$2:$G$2407,'август 2025'!$D$2:$D$2407,$B57,'август 2025'!$J$2:$J$2407,E$1)</f>
        <v>0</v>
      </c>
      <c r="F57" s="76">
        <f>SUMIFS('август 2025'!$G$2:$G$2407,'август 2025'!$D$2:$D$2407,$B57,'август 2025'!$J$2:$J$2407,F$1)</f>
        <v>0</v>
      </c>
      <c r="G57" s="76">
        <f>SUMIFS('август 2025'!$G$2:$G$2407,'август 2025'!$D$2:$D$2407,$B57,'август 2025'!$J$2:$J$2407,G$1)</f>
        <v>0</v>
      </c>
      <c r="H57" s="76">
        <f>SUMIFS('август 2025'!$G$2:$G$2407,'август 2025'!$D$2:$D$2407,$B57,'август 2025'!$J$2:$J$2407,H$1)</f>
        <v>0</v>
      </c>
      <c r="I57" s="76">
        <f>SUMIFS('август 2025'!$G$2:$G$2407,'август 2025'!$D$2:$D$2407,$B57,'август 2025'!$J$2:$J$2407,I$1)</f>
        <v>0</v>
      </c>
      <c r="J57" s="76">
        <f>SUMIFS('август 2025'!$G$2:$G$2407,'август 2025'!$D$2:$D$2407,$B57,'август 2025'!$J$2:$J$2407,J$1)</f>
        <v>0</v>
      </c>
      <c r="K57" s="76">
        <f>SUMIFS('август 2025'!$G$2:$G$2407,'август 2025'!$D$2:$D$2407,$B57,'август 2025'!$J$2:$J$2407,K$1)</f>
        <v>0</v>
      </c>
      <c r="L57" s="76">
        <f>SUMIFS('август 2025'!$G$2:$G$2407,'август 2025'!$D$2:$D$2407,$B57,'август 2025'!$J$2:$J$2407,L$1)</f>
        <v>0</v>
      </c>
      <c r="M57" s="76">
        <f>SUMIFS('август 2025'!$G$2:$G$2407,'август 2025'!$D$2:$D$2407,$B57,'август 2025'!$J$2:$J$2407,M$1)</f>
        <v>0</v>
      </c>
      <c r="N57" s="76">
        <f>SUMIFS('август 2025'!$G$2:$G$2407,'август 2025'!$D$2:$D$2407,$B57,'август 2025'!$J$2:$J$2407,N$1)</f>
        <v>0</v>
      </c>
      <c r="O57" s="76">
        <f>SUMIFS('август 2025'!$G$2:$G$2407,'август 2025'!$D$2:$D$2407,$B57,'август 2025'!$J$2:$J$2407,O$1)</f>
        <v>0</v>
      </c>
      <c r="P57" s="76">
        <f>SUMIFS('август 2025'!$G$2:$G$2407,'август 2025'!$D$2:$D$2407,$B57,'август 2025'!$J$2:$J$2407,P$1)</f>
        <v>0</v>
      </c>
      <c r="Q57" s="76">
        <f>SUMIFS('август 2025'!$G$2:$G$2407,'август 2025'!$D$2:$D$2407,$B57,'август 2025'!$J$2:$J$2407,Q$1)</f>
        <v>0</v>
      </c>
      <c r="R57" s="76">
        <f>SUMIFS('август 2025'!$G$2:$G$2407,'август 2025'!$D$2:$D$2407,$B57,'август 2025'!$J$2:$J$2407,R$1)</f>
        <v>0</v>
      </c>
      <c r="S57" s="76">
        <f>SUMIFS('август 2025'!$G$2:$G$2407,'август 2025'!$D$2:$D$2407,$B57,'август 2025'!$J$2:$J$2407,S$1)</f>
        <v>0</v>
      </c>
      <c r="T57" s="76">
        <f>SUMIFS('август 2025'!$G$2:$G$2407,'август 2025'!$D$2:$D$2407,$B57,'август 2025'!$J$2:$J$2407,T$1)</f>
        <v>0</v>
      </c>
      <c r="U57" s="76">
        <f>SUMIFS('август 2025'!$G$2:$G$2407,'август 2025'!$D$2:$D$2407,$B57,'август 2025'!$J$2:$J$2407,U$1)</f>
        <v>0</v>
      </c>
      <c r="V57" s="76">
        <f>SUMIFS('август 2025'!$G$2:$G$2407,'август 2025'!$D$2:$D$2407,$B57,'август 2025'!$J$2:$J$2407,V$1)</f>
        <v>0</v>
      </c>
      <c r="W57" s="76">
        <f>SUMIFS('август 2025'!$G$2:$G$2407,'август 2025'!$D$2:$D$2407,$B57,'август 2025'!$J$2:$J$2407,W$1)</f>
        <v>0</v>
      </c>
      <c r="X57" s="76">
        <f>SUMIFS('август 2025'!$G$2:$G$2407,'август 2025'!$D$2:$D$2407,$B57,'август 2025'!$J$2:$J$2407,X$1)</f>
        <v>0</v>
      </c>
      <c r="Y57" s="76">
        <f>SUMIFS('август 2025'!$G$2:$G$2407,'август 2025'!$D$2:$D$2407,$B57,'август 2025'!$J$2:$J$2407,Y$1)</f>
        <v>0</v>
      </c>
      <c r="Z57" s="76">
        <f>SUMIFS('август 2025'!$G$2:$G$2407,'август 2025'!$D$2:$D$2407,$B57,'август 2025'!$J$2:$J$2407,Z$1)</f>
        <v>0</v>
      </c>
      <c r="AA57" s="76">
        <f>SUMIFS('август 2025'!$G$2:$G$2407,'август 2025'!$D$2:$D$2407,$B57,'август 2025'!$J$2:$J$2407,AA$1)</f>
        <v>0</v>
      </c>
      <c r="AB57" s="76">
        <f>SUMIFS('август 2025'!$G$2:$G$2407,'август 2025'!$D$2:$D$2407,$B57,'август 2025'!$J$2:$J$2407,AB$1)</f>
        <v>0</v>
      </c>
      <c r="AC57" s="76">
        <f>SUMIFS('август 2025'!$G$2:$G$2407,'август 2025'!$D$2:$D$2407,$B57,'август 2025'!$J$2:$J$2407,AC$1)</f>
        <v>0</v>
      </c>
      <c r="AD57" s="76">
        <f>SUMIFS('август 2025'!$G$2:$G$2407,'август 2025'!$D$2:$D$2407,$B57,'август 2025'!$J$2:$J$2407,AD$1)</f>
        <v>0</v>
      </c>
      <c r="AE57" s="76">
        <f>SUMIFS('август 2025'!$G$2:$G$2407,'август 2025'!$D$2:$D$2407,$B57,'август 2025'!$J$2:$J$2407,AE$1)</f>
        <v>0</v>
      </c>
      <c r="AF57" s="76">
        <f>SUMIFS('август 2025'!$G$2:$G$2407,'август 2025'!$D$2:$D$2407,$B57,'август 2025'!$J$2:$J$2407,AF$1)</f>
        <v>0</v>
      </c>
      <c r="AG57" s="76">
        <f>SUMIFS('август 2025'!$G$2:$G$2407,'август 2025'!$D$2:$D$2407,$B57,'август 2025'!$J$2:$J$2407,AG$1)</f>
        <v>0</v>
      </c>
      <c r="AH57" s="76">
        <f>SUMIFS('август 2025'!$G$2:$G$2407,'август 2025'!$D$2:$D$2407,$B57,'август 2025'!$J$2:$J$2407,AH$1)</f>
        <v>0</v>
      </c>
      <c r="AI57" s="20">
        <f t="shared" si="1"/>
        <v>0</v>
      </c>
    </row>
    <row r="58" spans="2:35" ht="15" customHeight="1" x14ac:dyDescent="0.25">
      <c r="B58" s="127" t="s">
        <v>253</v>
      </c>
      <c r="C58" s="132">
        <v>20</v>
      </c>
      <c r="D58" s="76">
        <f>SUMIFS('август 2025'!$G$2:$G$2407,'август 2025'!$D$2:$D$2407,$B58,'август 2025'!$J$2:$J$2407,D$1)</f>
        <v>0</v>
      </c>
      <c r="E58" s="76">
        <f>SUMIFS('август 2025'!$G$2:$G$2407,'август 2025'!$D$2:$D$2407,$B58,'август 2025'!$J$2:$J$2407,E$1)</f>
        <v>0</v>
      </c>
      <c r="F58" s="76">
        <f>SUMIFS('август 2025'!$G$2:$G$2407,'август 2025'!$D$2:$D$2407,$B58,'август 2025'!$J$2:$J$2407,F$1)</f>
        <v>0</v>
      </c>
      <c r="G58" s="76">
        <f>SUMIFS('август 2025'!$G$2:$G$2407,'август 2025'!$D$2:$D$2407,$B58,'август 2025'!$J$2:$J$2407,G$1)</f>
        <v>0</v>
      </c>
      <c r="H58" s="76">
        <f>SUMIFS('август 2025'!$G$2:$G$2407,'август 2025'!$D$2:$D$2407,$B58,'август 2025'!$J$2:$J$2407,H$1)</f>
        <v>0</v>
      </c>
      <c r="I58" s="76">
        <f>SUMIFS('август 2025'!$G$2:$G$2407,'август 2025'!$D$2:$D$2407,$B58,'август 2025'!$J$2:$J$2407,I$1)</f>
        <v>0</v>
      </c>
      <c r="J58" s="76">
        <f>SUMIFS('август 2025'!$G$2:$G$2407,'август 2025'!$D$2:$D$2407,$B58,'август 2025'!$J$2:$J$2407,J$1)</f>
        <v>0</v>
      </c>
      <c r="K58" s="76">
        <f>SUMIFS('август 2025'!$G$2:$G$2407,'август 2025'!$D$2:$D$2407,$B58,'август 2025'!$J$2:$J$2407,K$1)</f>
        <v>0</v>
      </c>
      <c r="L58" s="76">
        <f>SUMIFS('август 2025'!$G$2:$G$2407,'август 2025'!$D$2:$D$2407,$B58,'август 2025'!$J$2:$J$2407,L$1)</f>
        <v>0</v>
      </c>
      <c r="M58" s="76">
        <f>SUMIFS('август 2025'!$G$2:$G$2407,'август 2025'!$D$2:$D$2407,$B58,'август 2025'!$J$2:$J$2407,M$1)</f>
        <v>0</v>
      </c>
      <c r="N58" s="76">
        <f>SUMIFS('август 2025'!$G$2:$G$2407,'август 2025'!$D$2:$D$2407,$B58,'август 2025'!$J$2:$J$2407,N$1)</f>
        <v>0</v>
      </c>
      <c r="O58" s="76">
        <f>SUMIFS('август 2025'!$G$2:$G$2407,'август 2025'!$D$2:$D$2407,$B58,'август 2025'!$J$2:$J$2407,O$1)</f>
        <v>0</v>
      </c>
      <c r="P58" s="76">
        <f>SUMIFS('август 2025'!$G$2:$G$2407,'август 2025'!$D$2:$D$2407,$B58,'август 2025'!$J$2:$J$2407,P$1)</f>
        <v>0</v>
      </c>
      <c r="Q58" s="76">
        <f>SUMIFS('август 2025'!$G$2:$G$2407,'август 2025'!$D$2:$D$2407,$B58,'август 2025'!$J$2:$J$2407,Q$1)</f>
        <v>0</v>
      </c>
      <c r="R58" s="76">
        <f>SUMIFS('август 2025'!$G$2:$G$2407,'август 2025'!$D$2:$D$2407,$B58,'август 2025'!$J$2:$J$2407,R$1)</f>
        <v>0</v>
      </c>
      <c r="S58" s="76">
        <f>SUMIFS('август 2025'!$G$2:$G$2407,'август 2025'!$D$2:$D$2407,$B58,'август 2025'!$J$2:$J$2407,S$1)</f>
        <v>0</v>
      </c>
      <c r="T58" s="76">
        <f>SUMIFS('август 2025'!$G$2:$G$2407,'август 2025'!$D$2:$D$2407,$B58,'август 2025'!$J$2:$J$2407,T$1)</f>
        <v>0</v>
      </c>
      <c r="U58" s="76">
        <f>SUMIFS('август 2025'!$G$2:$G$2407,'август 2025'!$D$2:$D$2407,$B58,'август 2025'!$J$2:$J$2407,U$1)</f>
        <v>0</v>
      </c>
      <c r="V58" s="76">
        <f>SUMIFS('август 2025'!$G$2:$G$2407,'август 2025'!$D$2:$D$2407,$B58,'август 2025'!$J$2:$J$2407,V$1)</f>
        <v>0</v>
      </c>
      <c r="W58" s="76">
        <f>SUMIFS('август 2025'!$G$2:$G$2407,'август 2025'!$D$2:$D$2407,$B58,'август 2025'!$J$2:$J$2407,W$1)</f>
        <v>0</v>
      </c>
      <c r="X58" s="76">
        <f>SUMIFS('август 2025'!$G$2:$G$2407,'август 2025'!$D$2:$D$2407,$B58,'август 2025'!$J$2:$J$2407,X$1)</f>
        <v>0</v>
      </c>
      <c r="Y58" s="76">
        <f>SUMIFS('август 2025'!$G$2:$G$2407,'август 2025'!$D$2:$D$2407,$B58,'август 2025'!$J$2:$J$2407,Y$1)</f>
        <v>0</v>
      </c>
      <c r="Z58" s="76">
        <f>SUMIFS('август 2025'!$G$2:$G$2407,'август 2025'!$D$2:$D$2407,$B58,'август 2025'!$J$2:$J$2407,Z$1)</f>
        <v>0</v>
      </c>
      <c r="AA58" s="76">
        <f>SUMIFS('август 2025'!$G$2:$G$2407,'август 2025'!$D$2:$D$2407,$B58,'август 2025'!$J$2:$J$2407,AA$1)</f>
        <v>0</v>
      </c>
      <c r="AB58" s="76">
        <f>SUMIFS('август 2025'!$G$2:$G$2407,'август 2025'!$D$2:$D$2407,$B58,'август 2025'!$J$2:$J$2407,AB$1)</f>
        <v>0</v>
      </c>
      <c r="AC58" s="76">
        <f>SUMIFS('август 2025'!$G$2:$G$2407,'август 2025'!$D$2:$D$2407,$B58,'август 2025'!$J$2:$J$2407,AC$1)</f>
        <v>0</v>
      </c>
      <c r="AD58" s="76">
        <f>SUMIFS('август 2025'!$G$2:$G$2407,'август 2025'!$D$2:$D$2407,$B58,'август 2025'!$J$2:$J$2407,AD$1)</f>
        <v>0</v>
      </c>
      <c r="AE58" s="76">
        <f>SUMIFS('август 2025'!$G$2:$G$2407,'август 2025'!$D$2:$D$2407,$B58,'август 2025'!$J$2:$J$2407,AE$1)</f>
        <v>0</v>
      </c>
      <c r="AF58" s="76">
        <f>SUMIFS('август 2025'!$G$2:$G$2407,'август 2025'!$D$2:$D$2407,$B58,'август 2025'!$J$2:$J$2407,AF$1)</f>
        <v>0</v>
      </c>
      <c r="AG58" s="76">
        <f>SUMIFS('август 2025'!$G$2:$G$2407,'август 2025'!$D$2:$D$2407,$B58,'август 2025'!$J$2:$J$2407,AG$1)</f>
        <v>0</v>
      </c>
      <c r="AH58" s="76">
        <f>SUMIFS('август 2025'!$G$2:$G$2407,'август 2025'!$D$2:$D$2407,$B58,'август 2025'!$J$2:$J$2407,AH$1)</f>
        <v>0</v>
      </c>
      <c r="AI58" s="20">
        <f t="shared" si="1"/>
        <v>0</v>
      </c>
    </row>
    <row r="59" spans="2:35" ht="15" customHeight="1" x14ac:dyDescent="0.25">
      <c r="B59" s="131" t="s">
        <v>254</v>
      </c>
      <c r="C59" s="132">
        <v>20</v>
      </c>
      <c r="D59" s="76">
        <f>SUMIFS('август 2025'!$G$2:$G$2407,'август 2025'!$D$2:$D$2407,$B59,'август 2025'!$J$2:$J$2407,D$1)</f>
        <v>0</v>
      </c>
      <c r="E59" s="76">
        <f>SUMIFS('август 2025'!$G$2:$G$2407,'август 2025'!$D$2:$D$2407,$B59,'август 2025'!$J$2:$J$2407,E$1)</f>
        <v>0</v>
      </c>
      <c r="F59" s="76">
        <f>SUMIFS('август 2025'!$G$2:$G$2407,'август 2025'!$D$2:$D$2407,$B59,'август 2025'!$J$2:$J$2407,F$1)</f>
        <v>0</v>
      </c>
      <c r="G59" s="76">
        <f>SUMIFS('август 2025'!$G$2:$G$2407,'август 2025'!$D$2:$D$2407,$B59,'август 2025'!$J$2:$J$2407,G$1)</f>
        <v>0</v>
      </c>
      <c r="H59" s="76">
        <f>SUMIFS('август 2025'!$G$2:$G$2407,'август 2025'!$D$2:$D$2407,$B59,'август 2025'!$J$2:$J$2407,H$1)</f>
        <v>0</v>
      </c>
      <c r="I59" s="76">
        <f>SUMIFS('август 2025'!$G$2:$G$2407,'август 2025'!$D$2:$D$2407,$B59,'август 2025'!$J$2:$J$2407,I$1)</f>
        <v>0</v>
      </c>
      <c r="J59" s="76">
        <f>SUMIFS('август 2025'!$G$2:$G$2407,'август 2025'!$D$2:$D$2407,$B59,'август 2025'!$J$2:$J$2407,J$1)</f>
        <v>0</v>
      </c>
      <c r="K59" s="76">
        <f>SUMIFS('август 2025'!$G$2:$G$2407,'август 2025'!$D$2:$D$2407,$B59,'август 2025'!$J$2:$J$2407,K$1)</f>
        <v>0</v>
      </c>
      <c r="L59" s="76">
        <f>SUMIFS('август 2025'!$G$2:$G$2407,'август 2025'!$D$2:$D$2407,$B59,'август 2025'!$J$2:$J$2407,L$1)</f>
        <v>0</v>
      </c>
      <c r="M59" s="76">
        <f>SUMIFS('август 2025'!$G$2:$G$2407,'август 2025'!$D$2:$D$2407,$B59,'август 2025'!$J$2:$J$2407,M$1)</f>
        <v>0</v>
      </c>
      <c r="N59" s="76">
        <f>SUMIFS('август 2025'!$G$2:$G$2407,'август 2025'!$D$2:$D$2407,$B59,'август 2025'!$J$2:$J$2407,N$1)</f>
        <v>0</v>
      </c>
      <c r="O59" s="76">
        <f>SUMIFS('август 2025'!$G$2:$G$2407,'август 2025'!$D$2:$D$2407,$B59,'август 2025'!$J$2:$J$2407,O$1)</f>
        <v>0</v>
      </c>
      <c r="P59" s="76">
        <f>SUMIFS('август 2025'!$G$2:$G$2407,'август 2025'!$D$2:$D$2407,$B59,'август 2025'!$J$2:$J$2407,P$1)</f>
        <v>0</v>
      </c>
      <c r="Q59" s="76">
        <f>SUMIFS('август 2025'!$G$2:$G$2407,'август 2025'!$D$2:$D$2407,$B59,'август 2025'!$J$2:$J$2407,Q$1)</f>
        <v>0</v>
      </c>
      <c r="R59" s="76">
        <f>SUMIFS('август 2025'!$G$2:$G$2407,'август 2025'!$D$2:$D$2407,$B59,'август 2025'!$J$2:$J$2407,R$1)</f>
        <v>0</v>
      </c>
      <c r="S59" s="76">
        <f>SUMIFS('август 2025'!$G$2:$G$2407,'август 2025'!$D$2:$D$2407,$B59,'август 2025'!$J$2:$J$2407,S$1)</f>
        <v>0</v>
      </c>
      <c r="T59" s="76">
        <f>SUMIFS('август 2025'!$G$2:$G$2407,'август 2025'!$D$2:$D$2407,$B59,'август 2025'!$J$2:$J$2407,T$1)</f>
        <v>0</v>
      </c>
      <c r="U59" s="76">
        <f>SUMIFS('август 2025'!$G$2:$G$2407,'август 2025'!$D$2:$D$2407,$B59,'август 2025'!$J$2:$J$2407,U$1)</f>
        <v>0</v>
      </c>
      <c r="V59" s="76">
        <f>SUMIFS('август 2025'!$G$2:$G$2407,'август 2025'!$D$2:$D$2407,$B59,'август 2025'!$J$2:$J$2407,V$1)</f>
        <v>0</v>
      </c>
      <c r="W59" s="76">
        <f>SUMIFS('август 2025'!$G$2:$G$2407,'август 2025'!$D$2:$D$2407,$B59,'август 2025'!$J$2:$J$2407,W$1)</f>
        <v>0</v>
      </c>
      <c r="X59" s="76">
        <f>SUMIFS('август 2025'!$G$2:$G$2407,'август 2025'!$D$2:$D$2407,$B59,'август 2025'!$J$2:$J$2407,X$1)</f>
        <v>0</v>
      </c>
      <c r="Y59" s="76">
        <f>SUMIFS('август 2025'!$G$2:$G$2407,'август 2025'!$D$2:$D$2407,$B59,'август 2025'!$J$2:$J$2407,Y$1)</f>
        <v>0</v>
      </c>
      <c r="Z59" s="76">
        <f>SUMIFS('август 2025'!$G$2:$G$2407,'август 2025'!$D$2:$D$2407,$B59,'август 2025'!$J$2:$J$2407,Z$1)</f>
        <v>0</v>
      </c>
      <c r="AA59" s="76">
        <f>SUMIFS('август 2025'!$G$2:$G$2407,'август 2025'!$D$2:$D$2407,$B59,'август 2025'!$J$2:$J$2407,AA$1)</f>
        <v>0</v>
      </c>
      <c r="AB59" s="76">
        <f>SUMIFS('август 2025'!$G$2:$G$2407,'август 2025'!$D$2:$D$2407,$B59,'август 2025'!$J$2:$J$2407,AB$1)</f>
        <v>0</v>
      </c>
      <c r="AC59" s="76">
        <f>SUMIFS('август 2025'!$G$2:$G$2407,'август 2025'!$D$2:$D$2407,$B59,'август 2025'!$J$2:$J$2407,AC$1)</f>
        <v>0</v>
      </c>
      <c r="AD59" s="76">
        <f>SUMIFS('август 2025'!$G$2:$G$2407,'август 2025'!$D$2:$D$2407,$B59,'август 2025'!$J$2:$J$2407,AD$1)</f>
        <v>0</v>
      </c>
      <c r="AE59" s="76">
        <f>SUMIFS('август 2025'!$G$2:$G$2407,'август 2025'!$D$2:$D$2407,$B59,'август 2025'!$J$2:$J$2407,AE$1)</f>
        <v>0</v>
      </c>
      <c r="AF59" s="76">
        <f>SUMIFS('август 2025'!$G$2:$G$2407,'август 2025'!$D$2:$D$2407,$B59,'август 2025'!$J$2:$J$2407,AF$1)</f>
        <v>0</v>
      </c>
      <c r="AG59" s="76">
        <f>SUMIFS('август 2025'!$G$2:$G$2407,'август 2025'!$D$2:$D$2407,$B59,'август 2025'!$J$2:$J$2407,AG$1)</f>
        <v>0</v>
      </c>
      <c r="AH59" s="76">
        <f>SUMIFS('август 2025'!$G$2:$G$2407,'август 2025'!$D$2:$D$2407,$B59,'август 2025'!$J$2:$J$2407,AH$1)</f>
        <v>0</v>
      </c>
      <c r="AI59" s="20">
        <f t="shared" si="1"/>
        <v>0</v>
      </c>
    </row>
    <row r="60" spans="2:35" ht="15" customHeight="1" x14ac:dyDescent="0.25">
      <c r="B60" s="131" t="s">
        <v>255</v>
      </c>
      <c r="C60" s="132">
        <v>20</v>
      </c>
      <c r="D60" s="76">
        <f>SUMIFS('август 2025'!$G$2:$G$2407,'август 2025'!$D$2:$D$2407,$B60,'август 2025'!$J$2:$J$2407,D$1)</f>
        <v>0</v>
      </c>
      <c r="E60" s="76">
        <f>SUMIFS('август 2025'!$G$2:$G$2407,'август 2025'!$D$2:$D$2407,$B60,'август 2025'!$J$2:$J$2407,E$1)</f>
        <v>0</v>
      </c>
      <c r="F60" s="76">
        <f>SUMIFS('август 2025'!$G$2:$G$2407,'август 2025'!$D$2:$D$2407,$B60,'август 2025'!$J$2:$J$2407,F$1)</f>
        <v>0</v>
      </c>
      <c r="G60" s="76">
        <f>SUMIFS('август 2025'!$G$2:$G$2407,'август 2025'!$D$2:$D$2407,$B60,'август 2025'!$J$2:$J$2407,G$1)</f>
        <v>0</v>
      </c>
      <c r="H60" s="76">
        <f>SUMIFS('август 2025'!$G$2:$G$2407,'август 2025'!$D$2:$D$2407,$B60,'август 2025'!$J$2:$J$2407,H$1)</f>
        <v>0</v>
      </c>
      <c r="I60" s="76">
        <f>SUMIFS('август 2025'!$G$2:$G$2407,'август 2025'!$D$2:$D$2407,$B60,'август 2025'!$J$2:$J$2407,I$1)</f>
        <v>0</v>
      </c>
      <c r="J60" s="76">
        <f>SUMIFS('август 2025'!$G$2:$G$2407,'август 2025'!$D$2:$D$2407,$B60,'август 2025'!$J$2:$J$2407,J$1)</f>
        <v>0</v>
      </c>
      <c r="K60" s="76">
        <f>SUMIFS('август 2025'!$G$2:$G$2407,'август 2025'!$D$2:$D$2407,$B60,'август 2025'!$J$2:$J$2407,K$1)</f>
        <v>0</v>
      </c>
      <c r="L60" s="76">
        <f>SUMIFS('август 2025'!$G$2:$G$2407,'август 2025'!$D$2:$D$2407,$B60,'август 2025'!$J$2:$J$2407,L$1)</f>
        <v>0</v>
      </c>
      <c r="M60" s="76">
        <f>SUMIFS('август 2025'!$G$2:$G$2407,'август 2025'!$D$2:$D$2407,$B60,'август 2025'!$J$2:$J$2407,M$1)</f>
        <v>0</v>
      </c>
      <c r="N60" s="76">
        <f>SUMIFS('август 2025'!$G$2:$G$2407,'август 2025'!$D$2:$D$2407,$B60,'август 2025'!$J$2:$J$2407,N$1)</f>
        <v>0</v>
      </c>
      <c r="O60" s="76">
        <f>SUMIFS('август 2025'!$G$2:$G$2407,'август 2025'!$D$2:$D$2407,$B60,'август 2025'!$J$2:$J$2407,O$1)</f>
        <v>0</v>
      </c>
      <c r="P60" s="76">
        <f>SUMIFS('август 2025'!$G$2:$G$2407,'август 2025'!$D$2:$D$2407,$B60,'август 2025'!$J$2:$J$2407,P$1)</f>
        <v>0</v>
      </c>
      <c r="Q60" s="76">
        <f>SUMIFS('август 2025'!$G$2:$G$2407,'август 2025'!$D$2:$D$2407,$B60,'август 2025'!$J$2:$J$2407,Q$1)</f>
        <v>0</v>
      </c>
      <c r="R60" s="76">
        <f>SUMIFS('август 2025'!$G$2:$G$2407,'август 2025'!$D$2:$D$2407,$B60,'август 2025'!$J$2:$J$2407,R$1)</f>
        <v>0</v>
      </c>
      <c r="S60" s="76">
        <f>SUMIFS('август 2025'!$G$2:$G$2407,'август 2025'!$D$2:$D$2407,$B60,'август 2025'!$J$2:$J$2407,S$1)</f>
        <v>0</v>
      </c>
      <c r="T60" s="76">
        <f>SUMIFS('август 2025'!$G$2:$G$2407,'август 2025'!$D$2:$D$2407,$B60,'август 2025'!$J$2:$J$2407,T$1)</f>
        <v>0</v>
      </c>
      <c r="U60" s="76">
        <f>SUMIFS('август 2025'!$G$2:$G$2407,'август 2025'!$D$2:$D$2407,$B60,'август 2025'!$J$2:$J$2407,U$1)</f>
        <v>0</v>
      </c>
      <c r="V60" s="76">
        <f>SUMIFS('август 2025'!$G$2:$G$2407,'август 2025'!$D$2:$D$2407,$B60,'август 2025'!$J$2:$J$2407,V$1)</f>
        <v>0</v>
      </c>
      <c r="W60" s="76">
        <f>SUMIFS('август 2025'!$G$2:$G$2407,'август 2025'!$D$2:$D$2407,$B60,'август 2025'!$J$2:$J$2407,W$1)</f>
        <v>0</v>
      </c>
      <c r="X60" s="76">
        <f>SUMIFS('август 2025'!$G$2:$G$2407,'август 2025'!$D$2:$D$2407,$B60,'август 2025'!$J$2:$J$2407,X$1)</f>
        <v>0</v>
      </c>
      <c r="Y60" s="76">
        <f>SUMIFS('август 2025'!$G$2:$G$2407,'август 2025'!$D$2:$D$2407,$B60,'август 2025'!$J$2:$J$2407,Y$1)</f>
        <v>0</v>
      </c>
      <c r="Z60" s="76">
        <f>SUMIFS('август 2025'!$G$2:$G$2407,'август 2025'!$D$2:$D$2407,$B60,'август 2025'!$J$2:$J$2407,Z$1)</f>
        <v>0</v>
      </c>
      <c r="AA60" s="76">
        <f>SUMIFS('август 2025'!$G$2:$G$2407,'август 2025'!$D$2:$D$2407,$B60,'август 2025'!$J$2:$J$2407,AA$1)</f>
        <v>0</v>
      </c>
      <c r="AB60" s="76">
        <f>SUMIFS('август 2025'!$G$2:$G$2407,'август 2025'!$D$2:$D$2407,$B60,'август 2025'!$J$2:$J$2407,AB$1)</f>
        <v>0</v>
      </c>
      <c r="AC60" s="76">
        <f>SUMIFS('август 2025'!$G$2:$G$2407,'август 2025'!$D$2:$D$2407,$B60,'август 2025'!$J$2:$J$2407,AC$1)</f>
        <v>0</v>
      </c>
      <c r="AD60" s="76">
        <f>SUMIFS('август 2025'!$G$2:$G$2407,'август 2025'!$D$2:$D$2407,$B60,'август 2025'!$J$2:$J$2407,AD$1)</f>
        <v>0</v>
      </c>
      <c r="AE60" s="76">
        <f>SUMIFS('август 2025'!$G$2:$G$2407,'август 2025'!$D$2:$D$2407,$B60,'август 2025'!$J$2:$J$2407,AE$1)</f>
        <v>0</v>
      </c>
      <c r="AF60" s="76">
        <f>SUMIFS('август 2025'!$G$2:$G$2407,'август 2025'!$D$2:$D$2407,$B60,'август 2025'!$J$2:$J$2407,AF$1)</f>
        <v>0</v>
      </c>
      <c r="AG60" s="76">
        <f>SUMIFS('август 2025'!$G$2:$G$2407,'август 2025'!$D$2:$D$2407,$B60,'август 2025'!$J$2:$J$2407,AG$1)</f>
        <v>0</v>
      </c>
      <c r="AH60" s="76">
        <f>SUMIFS('август 2025'!$G$2:$G$2407,'август 2025'!$D$2:$D$2407,$B60,'август 2025'!$J$2:$J$2407,AH$1)</f>
        <v>0</v>
      </c>
      <c r="AI60" s="20">
        <f t="shared" si="1"/>
        <v>0</v>
      </c>
    </row>
    <row r="61" spans="2:35" ht="15.75" x14ac:dyDescent="0.25">
      <c r="B61" s="131" t="s">
        <v>1258</v>
      </c>
      <c r="C61" s="132">
        <v>10</v>
      </c>
      <c r="D61" s="76">
        <f>SUMIFS('август 2025'!$G$2:$G$2407,'август 2025'!$D$2:$D$2407,$B61,'август 2025'!$J$2:$J$2407,D$1)</f>
        <v>0</v>
      </c>
      <c r="E61" s="76">
        <f>SUMIFS('август 2025'!$G$2:$G$2407,'август 2025'!$D$2:$D$2407,$B61,'август 2025'!$J$2:$J$2407,E$1)</f>
        <v>0</v>
      </c>
      <c r="F61" s="76">
        <f>SUMIFS('август 2025'!$G$2:$G$2407,'август 2025'!$D$2:$D$2407,$B61,'август 2025'!$J$2:$J$2407,F$1)</f>
        <v>0</v>
      </c>
      <c r="G61" s="76">
        <f>SUMIFS('август 2025'!$G$2:$G$2407,'август 2025'!$D$2:$D$2407,$B61,'август 2025'!$J$2:$J$2407,G$1)</f>
        <v>0</v>
      </c>
      <c r="H61" s="76">
        <f>SUMIFS('август 2025'!$G$2:$G$2407,'август 2025'!$D$2:$D$2407,$B61,'август 2025'!$J$2:$J$2407,H$1)</f>
        <v>0</v>
      </c>
      <c r="I61" s="76">
        <f>SUMIFS('август 2025'!$G$2:$G$2407,'август 2025'!$D$2:$D$2407,$B61,'август 2025'!$J$2:$J$2407,I$1)</f>
        <v>0</v>
      </c>
      <c r="J61" s="76">
        <f>SUMIFS('август 2025'!$G$2:$G$2407,'август 2025'!$D$2:$D$2407,$B61,'август 2025'!$J$2:$J$2407,J$1)</f>
        <v>0</v>
      </c>
      <c r="K61" s="76">
        <f>SUMIFS('август 2025'!$G$2:$G$2407,'август 2025'!$D$2:$D$2407,$B61,'август 2025'!$J$2:$J$2407,K$1)</f>
        <v>0</v>
      </c>
      <c r="L61" s="76">
        <f>SUMIFS('август 2025'!$G$2:$G$2407,'август 2025'!$D$2:$D$2407,$B61,'август 2025'!$J$2:$J$2407,L$1)</f>
        <v>0</v>
      </c>
      <c r="M61" s="76">
        <f>SUMIFS('август 2025'!$G$2:$G$2407,'август 2025'!$D$2:$D$2407,$B61,'август 2025'!$J$2:$J$2407,M$1)</f>
        <v>0</v>
      </c>
      <c r="N61" s="76">
        <f>SUMIFS('август 2025'!$G$2:$G$2407,'август 2025'!$D$2:$D$2407,$B61,'август 2025'!$J$2:$J$2407,N$1)</f>
        <v>0</v>
      </c>
      <c r="O61" s="76">
        <f>SUMIFS('август 2025'!$G$2:$G$2407,'август 2025'!$D$2:$D$2407,$B61,'август 2025'!$J$2:$J$2407,O$1)</f>
        <v>0</v>
      </c>
      <c r="P61" s="76">
        <f>SUMIFS('август 2025'!$G$2:$G$2407,'август 2025'!$D$2:$D$2407,$B61,'август 2025'!$J$2:$J$2407,P$1)</f>
        <v>0</v>
      </c>
      <c r="Q61" s="76">
        <f>SUMIFS('август 2025'!$G$2:$G$2407,'август 2025'!$D$2:$D$2407,$B61,'август 2025'!$J$2:$J$2407,Q$1)</f>
        <v>0</v>
      </c>
      <c r="R61" s="76">
        <f>SUMIFS('август 2025'!$G$2:$G$2407,'август 2025'!$D$2:$D$2407,$B61,'август 2025'!$J$2:$J$2407,R$1)</f>
        <v>0</v>
      </c>
      <c r="S61" s="76">
        <f>SUMIFS('август 2025'!$G$2:$G$2407,'август 2025'!$D$2:$D$2407,$B61,'август 2025'!$J$2:$J$2407,S$1)</f>
        <v>0</v>
      </c>
      <c r="T61" s="76">
        <f>SUMIFS('август 2025'!$G$2:$G$2407,'август 2025'!$D$2:$D$2407,$B61,'август 2025'!$J$2:$J$2407,T$1)</f>
        <v>0</v>
      </c>
      <c r="U61" s="76">
        <f>SUMIFS('август 2025'!$G$2:$G$2407,'август 2025'!$D$2:$D$2407,$B61,'август 2025'!$J$2:$J$2407,U$1)</f>
        <v>0</v>
      </c>
      <c r="V61" s="76">
        <f>SUMIFS('август 2025'!$G$2:$G$2407,'август 2025'!$D$2:$D$2407,$B61,'август 2025'!$J$2:$J$2407,V$1)</f>
        <v>0</v>
      </c>
      <c r="W61" s="76">
        <f>SUMIFS('август 2025'!$G$2:$G$2407,'август 2025'!$D$2:$D$2407,$B61,'август 2025'!$J$2:$J$2407,W$1)</f>
        <v>0</v>
      </c>
      <c r="X61" s="76">
        <f>SUMIFS('август 2025'!$G$2:$G$2407,'август 2025'!$D$2:$D$2407,$B61,'август 2025'!$J$2:$J$2407,X$1)</f>
        <v>0</v>
      </c>
      <c r="Y61" s="76">
        <f>SUMIFS('август 2025'!$G$2:$G$2407,'август 2025'!$D$2:$D$2407,$B61,'август 2025'!$J$2:$J$2407,Y$1)</f>
        <v>0</v>
      </c>
      <c r="Z61" s="76">
        <f>SUMIFS('август 2025'!$G$2:$G$2407,'август 2025'!$D$2:$D$2407,$B61,'август 2025'!$J$2:$J$2407,Z$1)</f>
        <v>0</v>
      </c>
      <c r="AA61" s="76">
        <f>SUMIFS('август 2025'!$G$2:$G$2407,'август 2025'!$D$2:$D$2407,$B61,'август 2025'!$J$2:$J$2407,AA$1)</f>
        <v>0</v>
      </c>
      <c r="AB61" s="76">
        <f>SUMIFS('август 2025'!$G$2:$G$2407,'август 2025'!$D$2:$D$2407,$B61,'август 2025'!$J$2:$J$2407,AB$1)</f>
        <v>0</v>
      </c>
      <c r="AC61" s="76">
        <f>SUMIFS('август 2025'!$G$2:$G$2407,'август 2025'!$D$2:$D$2407,$B61,'август 2025'!$J$2:$J$2407,AC$1)</f>
        <v>0</v>
      </c>
      <c r="AD61" s="76">
        <f>SUMIFS('август 2025'!$G$2:$G$2407,'август 2025'!$D$2:$D$2407,$B61,'август 2025'!$J$2:$J$2407,AD$1)</f>
        <v>0</v>
      </c>
      <c r="AE61" s="76">
        <f>SUMIFS('август 2025'!$G$2:$G$2407,'август 2025'!$D$2:$D$2407,$B61,'август 2025'!$J$2:$J$2407,AE$1)</f>
        <v>0</v>
      </c>
      <c r="AF61" s="76">
        <f>SUMIFS('август 2025'!$G$2:$G$2407,'август 2025'!$D$2:$D$2407,$B61,'август 2025'!$J$2:$J$2407,AF$1)</f>
        <v>0</v>
      </c>
      <c r="AG61" s="76">
        <f>SUMIFS('август 2025'!$G$2:$G$2407,'август 2025'!$D$2:$D$2407,$B61,'август 2025'!$J$2:$J$2407,AG$1)</f>
        <v>0</v>
      </c>
      <c r="AH61" s="76">
        <f>SUMIFS('август 2025'!$G$2:$G$2407,'август 2025'!$D$2:$D$2407,$B61,'август 2025'!$J$2:$J$2407,AH$1)</f>
        <v>0</v>
      </c>
      <c r="AI61" s="20">
        <f t="shared" si="1"/>
        <v>0</v>
      </c>
    </row>
    <row r="62" spans="2:35" ht="15" customHeight="1" x14ac:dyDescent="0.25">
      <c r="B62" s="131" t="s">
        <v>1259</v>
      </c>
      <c r="C62" s="132">
        <v>10</v>
      </c>
      <c r="D62" s="76">
        <f>SUMIFS('август 2025'!$G$2:$G$2407,'август 2025'!$D$2:$D$2407,$B62,'август 2025'!$J$2:$J$2407,D$1)</f>
        <v>0</v>
      </c>
      <c r="E62" s="76">
        <f>SUMIFS('август 2025'!$G$2:$G$2407,'август 2025'!$D$2:$D$2407,$B62,'август 2025'!$J$2:$J$2407,E$1)</f>
        <v>0</v>
      </c>
      <c r="F62" s="76">
        <f>SUMIFS('август 2025'!$G$2:$G$2407,'август 2025'!$D$2:$D$2407,$B62,'август 2025'!$J$2:$J$2407,F$1)</f>
        <v>0</v>
      </c>
      <c r="G62" s="76">
        <f>SUMIFS('август 2025'!$G$2:$G$2407,'август 2025'!$D$2:$D$2407,$B62,'август 2025'!$J$2:$J$2407,G$1)</f>
        <v>0</v>
      </c>
      <c r="H62" s="76">
        <f>SUMIFS('август 2025'!$G$2:$G$2407,'август 2025'!$D$2:$D$2407,$B62,'август 2025'!$J$2:$J$2407,H$1)</f>
        <v>0</v>
      </c>
      <c r="I62" s="76">
        <f>SUMIFS('август 2025'!$G$2:$G$2407,'август 2025'!$D$2:$D$2407,$B62,'август 2025'!$J$2:$J$2407,I$1)</f>
        <v>0</v>
      </c>
      <c r="J62" s="76">
        <f>SUMIFS('август 2025'!$G$2:$G$2407,'август 2025'!$D$2:$D$2407,$B62,'август 2025'!$J$2:$J$2407,J$1)</f>
        <v>0</v>
      </c>
      <c r="K62" s="76">
        <f>SUMIFS('август 2025'!$G$2:$G$2407,'август 2025'!$D$2:$D$2407,$B62,'август 2025'!$J$2:$J$2407,K$1)</f>
        <v>0</v>
      </c>
      <c r="L62" s="76">
        <f>SUMIFS('август 2025'!$G$2:$G$2407,'август 2025'!$D$2:$D$2407,$B62,'август 2025'!$J$2:$J$2407,L$1)</f>
        <v>0</v>
      </c>
      <c r="M62" s="76">
        <f>SUMIFS('август 2025'!$G$2:$G$2407,'август 2025'!$D$2:$D$2407,$B62,'август 2025'!$J$2:$J$2407,M$1)</f>
        <v>0</v>
      </c>
      <c r="N62" s="76">
        <f>SUMIFS('август 2025'!$G$2:$G$2407,'август 2025'!$D$2:$D$2407,$B62,'август 2025'!$J$2:$J$2407,N$1)</f>
        <v>0</v>
      </c>
      <c r="O62" s="76">
        <f>SUMIFS('август 2025'!$G$2:$G$2407,'август 2025'!$D$2:$D$2407,$B62,'август 2025'!$J$2:$J$2407,O$1)</f>
        <v>0</v>
      </c>
      <c r="P62" s="76">
        <f>SUMIFS('август 2025'!$G$2:$G$2407,'август 2025'!$D$2:$D$2407,$B62,'август 2025'!$J$2:$J$2407,P$1)</f>
        <v>0</v>
      </c>
      <c r="Q62" s="76">
        <f>SUMIFS('август 2025'!$G$2:$G$2407,'август 2025'!$D$2:$D$2407,$B62,'август 2025'!$J$2:$J$2407,Q$1)</f>
        <v>0</v>
      </c>
      <c r="R62" s="76">
        <f>SUMIFS('август 2025'!$G$2:$G$2407,'август 2025'!$D$2:$D$2407,$B62,'август 2025'!$J$2:$J$2407,R$1)</f>
        <v>0</v>
      </c>
      <c r="S62" s="76">
        <f>SUMIFS('август 2025'!$G$2:$G$2407,'август 2025'!$D$2:$D$2407,$B62,'август 2025'!$J$2:$J$2407,S$1)</f>
        <v>0</v>
      </c>
      <c r="T62" s="76">
        <f>SUMIFS('август 2025'!$G$2:$G$2407,'август 2025'!$D$2:$D$2407,$B62,'август 2025'!$J$2:$J$2407,T$1)</f>
        <v>0</v>
      </c>
      <c r="U62" s="76">
        <f>SUMIFS('август 2025'!$G$2:$G$2407,'август 2025'!$D$2:$D$2407,$B62,'август 2025'!$J$2:$J$2407,U$1)</f>
        <v>0</v>
      </c>
      <c r="V62" s="76">
        <f>SUMIFS('август 2025'!$G$2:$G$2407,'август 2025'!$D$2:$D$2407,$B62,'август 2025'!$J$2:$J$2407,V$1)</f>
        <v>0</v>
      </c>
      <c r="W62" s="76">
        <f>SUMIFS('август 2025'!$G$2:$G$2407,'август 2025'!$D$2:$D$2407,$B62,'август 2025'!$J$2:$J$2407,W$1)</f>
        <v>0</v>
      </c>
      <c r="X62" s="76">
        <f>SUMIFS('август 2025'!$G$2:$G$2407,'август 2025'!$D$2:$D$2407,$B62,'август 2025'!$J$2:$J$2407,X$1)</f>
        <v>0</v>
      </c>
      <c r="Y62" s="76">
        <f>SUMIFS('август 2025'!$G$2:$G$2407,'август 2025'!$D$2:$D$2407,$B62,'август 2025'!$J$2:$J$2407,Y$1)</f>
        <v>0</v>
      </c>
      <c r="Z62" s="76">
        <f>SUMIFS('август 2025'!$G$2:$G$2407,'август 2025'!$D$2:$D$2407,$B62,'август 2025'!$J$2:$J$2407,Z$1)</f>
        <v>0</v>
      </c>
      <c r="AA62" s="76">
        <f>SUMIFS('август 2025'!$G$2:$G$2407,'август 2025'!$D$2:$D$2407,$B62,'август 2025'!$J$2:$J$2407,AA$1)</f>
        <v>0</v>
      </c>
      <c r="AB62" s="76">
        <f>SUMIFS('август 2025'!$G$2:$G$2407,'август 2025'!$D$2:$D$2407,$B62,'август 2025'!$J$2:$J$2407,AB$1)</f>
        <v>0</v>
      </c>
      <c r="AC62" s="76">
        <f>SUMIFS('август 2025'!$G$2:$G$2407,'август 2025'!$D$2:$D$2407,$B62,'август 2025'!$J$2:$J$2407,AC$1)</f>
        <v>0</v>
      </c>
      <c r="AD62" s="76">
        <f>SUMIFS('август 2025'!$G$2:$G$2407,'август 2025'!$D$2:$D$2407,$B62,'август 2025'!$J$2:$J$2407,AD$1)</f>
        <v>0</v>
      </c>
      <c r="AE62" s="76">
        <f>SUMIFS('август 2025'!$G$2:$G$2407,'август 2025'!$D$2:$D$2407,$B62,'август 2025'!$J$2:$J$2407,AE$1)</f>
        <v>0</v>
      </c>
      <c r="AF62" s="76">
        <f>SUMIFS('август 2025'!$G$2:$G$2407,'август 2025'!$D$2:$D$2407,$B62,'август 2025'!$J$2:$J$2407,AF$1)</f>
        <v>0</v>
      </c>
      <c r="AG62" s="76">
        <f>SUMIFS('август 2025'!$G$2:$G$2407,'август 2025'!$D$2:$D$2407,$B62,'август 2025'!$J$2:$J$2407,AG$1)</f>
        <v>0</v>
      </c>
      <c r="AH62" s="76">
        <f>SUMIFS('август 2025'!$G$2:$G$2407,'август 2025'!$D$2:$D$2407,$B62,'август 2025'!$J$2:$J$2407,AH$1)</f>
        <v>0</v>
      </c>
      <c r="AI62" s="20">
        <f t="shared" si="1"/>
        <v>0</v>
      </c>
    </row>
    <row r="63" spans="2:35" ht="15" customHeight="1" x14ac:dyDescent="0.25">
      <c r="B63" s="136" t="s">
        <v>1260</v>
      </c>
      <c r="C63" s="132">
        <v>10</v>
      </c>
      <c r="D63" s="76">
        <f>SUMIFS('август 2025'!$G$2:$G$2407,'август 2025'!$D$2:$D$2407,$B63,'август 2025'!$J$2:$J$2407,D$1)</f>
        <v>0</v>
      </c>
      <c r="E63" s="76">
        <f>SUMIFS('август 2025'!$G$2:$G$2407,'август 2025'!$D$2:$D$2407,$B63,'август 2025'!$J$2:$J$2407,E$1)</f>
        <v>0</v>
      </c>
      <c r="F63" s="76">
        <f>SUMIFS('август 2025'!$G$2:$G$2407,'август 2025'!$D$2:$D$2407,$B63,'август 2025'!$J$2:$J$2407,F$1)</f>
        <v>0</v>
      </c>
      <c r="G63" s="76">
        <f>SUMIFS('август 2025'!$G$2:$G$2407,'август 2025'!$D$2:$D$2407,$B63,'август 2025'!$J$2:$J$2407,G$1)</f>
        <v>0</v>
      </c>
      <c r="H63" s="76">
        <f>SUMIFS('август 2025'!$G$2:$G$2407,'август 2025'!$D$2:$D$2407,$B63,'август 2025'!$J$2:$J$2407,H$1)</f>
        <v>0</v>
      </c>
      <c r="I63" s="76">
        <f>SUMIFS('август 2025'!$G$2:$G$2407,'август 2025'!$D$2:$D$2407,$B63,'август 2025'!$J$2:$J$2407,I$1)</f>
        <v>0</v>
      </c>
      <c r="J63" s="76">
        <f>SUMIFS('август 2025'!$G$2:$G$2407,'август 2025'!$D$2:$D$2407,$B63,'август 2025'!$J$2:$J$2407,J$1)</f>
        <v>0</v>
      </c>
      <c r="K63" s="76">
        <f>SUMIFS('август 2025'!$G$2:$G$2407,'август 2025'!$D$2:$D$2407,$B63,'август 2025'!$J$2:$J$2407,K$1)</f>
        <v>0</v>
      </c>
      <c r="L63" s="76">
        <f>SUMIFS('август 2025'!$G$2:$G$2407,'август 2025'!$D$2:$D$2407,$B63,'август 2025'!$J$2:$J$2407,L$1)</f>
        <v>0</v>
      </c>
      <c r="M63" s="76">
        <f>SUMIFS('август 2025'!$G$2:$G$2407,'август 2025'!$D$2:$D$2407,$B63,'август 2025'!$J$2:$J$2407,M$1)</f>
        <v>0</v>
      </c>
      <c r="N63" s="76">
        <f>SUMIFS('август 2025'!$G$2:$G$2407,'август 2025'!$D$2:$D$2407,$B63,'август 2025'!$J$2:$J$2407,N$1)</f>
        <v>0</v>
      </c>
      <c r="O63" s="76">
        <f>SUMIFS('август 2025'!$G$2:$G$2407,'август 2025'!$D$2:$D$2407,$B63,'август 2025'!$J$2:$J$2407,O$1)</f>
        <v>0</v>
      </c>
      <c r="P63" s="76">
        <f>SUMIFS('август 2025'!$G$2:$G$2407,'август 2025'!$D$2:$D$2407,$B63,'август 2025'!$J$2:$J$2407,P$1)</f>
        <v>0</v>
      </c>
      <c r="Q63" s="76">
        <f>SUMIFS('август 2025'!$G$2:$G$2407,'август 2025'!$D$2:$D$2407,$B63,'август 2025'!$J$2:$J$2407,Q$1)</f>
        <v>0</v>
      </c>
      <c r="R63" s="76">
        <f>SUMIFS('август 2025'!$G$2:$G$2407,'август 2025'!$D$2:$D$2407,$B63,'август 2025'!$J$2:$J$2407,R$1)</f>
        <v>0</v>
      </c>
      <c r="S63" s="76">
        <f>SUMIFS('август 2025'!$G$2:$G$2407,'август 2025'!$D$2:$D$2407,$B63,'август 2025'!$J$2:$J$2407,S$1)</f>
        <v>0</v>
      </c>
      <c r="T63" s="76">
        <f>SUMIFS('август 2025'!$G$2:$G$2407,'август 2025'!$D$2:$D$2407,$B63,'август 2025'!$J$2:$J$2407,T$1)</f>
        <v>0</v>
      </c>
      <c r="U63" s="76">
        <f>SUMIFS('август 2025'!$G$2:$G$2407,'август 2025'!$D$2:$D$2407,$B63,'август 2025'!$J$2:$J$2407,U$1)</f>
        <v>0</v>
      </c>
      <c r="V63" s="76">
        <f>SUMIFS('август 2025'!$G$2:$G$2407,'август 2025'!$D$2:$D$2407,$B63,'август 2025'!$J$2:$J$2407,V$1)</f>
        <v>0</v>
      </c>
      <c r="W63" s="76">
        <f>SUMIFS('август 2025'!$G$2:$G$2407,'август 2025'!$D$2:$D$2407,$B63,'август 2025'!$J$2:$J$2407,W$1)</f>
        <v>0</v>
      </c>
      <c r="X63" s="76">
        <f>SUMIFS('август 2025'!$G$2:$G$2407,'август 2025'!$D$2:$D$2407,$B63,'август 2025'!$J$2:$J$2407,X$1)</f>
        <v>0</v>
      </c>
      <c r="Y63" s="76">
        <f>SUMIFS('август 2025'!$G$2:$G$2407,'август 2025'!$D$2:$D$2407,$B63,'август 2025'!$J$2:$J$2407,Y$1)</f>
        <v>0</v>
      </c>
      <c r="Z63" s="76">
        <f>SUMIFS('август 2025'!$G$2:$G$2407,'август 2025'!$D$2:$D$2407,$B63,'август 2025'!$J$2:$J$2407,Z$1)</f>
        <v>0</v>
      </c>
      <c r="AA63" s="76">
        <f>SUMIFS('август 2025'!$G$2:$G$2407,'август 2025'!$D$2:$D$2407,$B63,'август 2025'!$J$2:$J$2407,AA$1)</f>
        <v>0</v>
      </c>
      <c r="AB63" s="76">
        <f>SUMIFS('август 2025'!$G$2:$G$2407,'август 2025'!$D$2:$D$2407,$B63,'август 2025'!$J$2:$J$2407,AB$1)</f>
        <v>0</v>
      </c>
      <c r="AC63" s="76">
        <f>SUMIFS('август 2025'!$G$2:$G$2407,'август 2025'!$D$2:$D$2407,$B63,'август 2025'!$J$2:$J$2407,AC$1)</f>
        <v>0</v>
      </c>
      <c r="AD63" s="76">
        <f>SUMIFS('август 2025'!$G$2:$G$2407,'август 2025'!$D$2:$D$2407,$B63,'август 2025'!$J$2:$J$2407,AD$1)</f>
        <v>0</v>
      </c>
      <c r="AE63" s="76">
        <f>SUMIFS('август 2025'!$G$2:$G$2407,'август 2025'!$D$2:$D$2407,$B63,'август 2025'!$J$2:$J$2407,AE$1)</f>
        <v>0</v>
      </c>
      <c r="AF63" s="76">
        <f>SUMIFS('август 2025'!$G$2:$G$2407,'август 2025'!$D$2:$D$2407,$B63,'август 2025'!$J$2:$J$2407,AF$1)</f>
        <v>0</v>
      </c>
      <c r="AG63" s="76">
        <f>SUMIFS('август 2025'!$G$2:$G$2407,'август 2025'!$D$2:$D$2407,$B63,'август 2025'!$J$2:$J$2407,AG$1)</f>
        <v>0</v>
      </c>
      <c r="AH63" s="76">
        <f>SUMIFS('август 2025'!$G$2:$G$2407,'август 2025'!$D$2:$D$2407,$B63,'август 2025'!$J$2:$J$2407,AH$1)</f>
        <v>0</v>
      </c>
      <c r="AI63" s="20">
        <f t="shared" si="1"/>
        <v>0</v>
      </c>
    </row>
    <row r="64" spans="2:35" ht="15" customHeight="1" x14ac:dyDescent="0.25">
      <c r="B64" s="136" t="s">
        <v>1261</v>
      </c>
      <c r="C64" s="132">
        <v>10</v>
      </c>
      <c r="D64" s="76">
        <f>SUMIFS('август 2025'!$G$2:$G$2407,'август 2025'!$D$2:$D$2407,$B64,'август 2025'!$J$2:$J$2407,D$1)</f>
        <v>0</v>
      </c>
      <c r="E64" s="76">
        <f>SUMIFS('август 2025'!$G$2:$G$2407,'август 2025'!$D$2:$D$2407,$B64,'август 2025'!$J$2:$J$2407,E$1)</f>
        <v>0</v>
      </c>
      <c r="F64" s="76">
        <f>SUMIFS('август 2025'!$G$2:$G$2407,'август 2025'!$D$2:$D$2407,$B64,'август 2025'!$J$2:$J$2407,F$1)</f>
        <v>0</v>
      </c>
      <c r="G64" s="76">
        <f>SUMIFS('август 2025'!$G$2:$G$2407,'август 2025'!$D$2:$D$2407,$B64,'август 2025'!$J$2:$J$2407,G$1)</f>
        <v>0</v>
      </c>
      <c r="H64" s="76">
        <f>SUMIFS('август 2025'!$G$2:$G$2407,'август 2025'!$D$2:$D$2407,$B64,'август 2025'!$J$2:$J$2407,H$1)</f>
        <v>0</v>
      </c>
      <c r="I64" s="76">
        <f>SUMIFS('август 2025'!$G$2:$G$2407,'август 2025'!$D$2:$D$2407,$B64,'август 2025'!$J$2:$J$2407,I$1)</f>
        <v>0</v>
      </c>
      <c r="J64" s="76">
        <f>SUMIFS('август 2025'!$G$2:$G$2407,'август 2025'!$D$2:$D$2407,$B64,'август 2025'!$J$2:$J$2407,J$1)</f>
        <v>0</v>
      </c>
      <c r="K64" s="76">
        <f>SUMIFS('август 2025'!$G$2:$G$2407,'август 2025'!$D$2:$D$2407,$B64,'август 2025'!$J$2:$J$2407,K$1)</f>
        <v>0</v>
      </c>
      <c r="L64" s="76">
        <f>SUMIFS('август 2025'!$G$2:$G$2407,'август 2025'!$D$2:$D$2407,$B64,'август 2025'!$J$2:$J$2407,L$1)</f>
        <v>0</v>
      </c>
      <c r="M64" s="76">
        <f>SUMIFS('август 2025'!$G$2:$G$2407,'август 2025'!$D$2:$D$2407,$B64,'август 2025'!$J$2:$J$2407,M$1)</f>
        <v>0</v>
      </c>
      <c r="N64" s="76">
        <f>SUMIFS('август 2025'!$G$2:$G$2407,'август 2025'!$D$2:$D$2407,$B64,'август 2025'!$J$2:$J$2407,N$1)</f>
        <v>0</v>
      </c>
      <c r="O64" s="76">
        <f>SUMIFS('август 2025'!$G$2:$G$2407,'август 2025'!$D$2:$D$2407,$B64,'август 2025'!$J$2:$J$2407,O$1)</f>
        <v>0</v>
      </c>
      <c r="P64" s="76">
        <f>SUMIFS('август 2025'!$G$2:$G$2407,'август 2025'!$D$2:$D$2407,$B64,'август 2025'!$J$2:$J$2407,P$1)</f>
        <v>0</v>
      </c>
      <c r="Q64" s="76">
        <f>SUMIFS('август 2025'!$G$2:$G$2407,'август 2025'!$D$2:$D$2407,$B64,'август 2025'!$J$2:$J$2407,Q$1)</f>
        <v>0</v>
      </c>
      <c r="R64" s="76">
        <f>SUMIFS('август 2025'!$G$2:$G$2407,'август 2025'!$D$2:$D$2407,$B64,'август 2025'!$J$2:$J$2407,R$1)</f>
        <v>0</v>
      </c>
      <c r="S64" s="76">
        <f>SUMIFS('август 2025'!$G$2:$G$2407,'август 2025'!$D$2:$D$2407,$B64,'август 2025'!$J$2:$J$2407,S$1)</f>
        <v>0</v>
      </c>
      <c r="T64" s="76">
        <f>SUMIFS('август 2025'!$G$2:$G$2407,'август 2025'!$D$2:$D$2407,$B64,'август 2025'!$J$2:$J$2407,T$1)</f>
        <v>0</v>
      </c>
      <c r="U64" s="76">
        <f>SUMIFS('август 2025'!$G$2:$G$2407,'август 2025'!$D$2:$D$2407,$B64,'август 2025'!$J$2:$J$2407,U$1)</f>
        <v>0</v>
      </c>
      <c r="V64" s="76">
        <f>SUMIFS('август 2025'!$G$2:$G$2407,'август 2025'!$D$2:$D$2407,$B64,'август 2025'!$J$2:$J$2407,V$1)</f>
        <v>0</v>
      </c>
      <c r="W64" s="76">
        <f>SUMIFS('август 2025'!$G$2:$G$2407,'август 2025'!$D$2:$D$2407,$B64,'август 2025'!$J$2:$J$2407,W$1)</f>
        <v>0</v>
      </c>
      <c r="X64" s="76">
        <f>SUMIFS('август 2025'!$G$2:$G$2407,'август 2025'!$D$2:$D$2407,$B64,'август 2025'!$J$2:$J$2407,X$1)</f>
        <v>0</v>
      </c>
      <c r="Y64" s="76">
        <f>SUMIFS('август 2025'!$G$2:$G$2407,'август 2025'!$D$2:$D$2407,$B64,'август 2025'!$J$2:$J$2407,Y$1)</f>
        <v>0</v>
      </c>
      <c r="Z64" s="76">
        <f>SUMIFS('август 2025'!$G$2:$G$2407,'август 2025'!$D$2:$D$2407,$B64,'август 2025'!$J$2:$J$2407,Z$1)</f>
        <v>0</v>
      </c>
      <c r="AA64" s="76">
        <f>SUMIFS('август 2025'!$G$2:$G$2407,'август 2025'!$D$2:$D$2407,$B64,'август 2025'!$J$2:$J$2407,AA$1)</f>
        <v>0</v>
      </c>
      <c r="AB64" s="76">
        <f>SUMIFS('август 2025'!$G$2:$G$2407,'август 2025'!$D$2:$D$2407,$B64,'август 2025'!$J$2:$J$2407,AB$1)</f>
        <v>0</v>
      </c>
      <c r="AC64" s="76">
        <f>SUMIFS('август 2025'!$G$2:$G$2407,'август 2025'!$D$2:$D$2407,$B64,'август 2025'!$J$2:$J$2407,AC$1)</f>
        <v>0</v>
      </c>
      <c r="AD64" s="76">
        <f>SUMIFS('август 2025'!$G$2:$G$2407,'август 2025'!$D$2:$D$2407,$B64,'август 2025'!$J$2:$J$2407,AD$1)</f>
        <v>0</v>
      </c>
      <c r="AE64" s="76">
        <f>SUMIFS('август 2025'!$G$2:$G$2407,'август 2025'!$D$2:$D$2407,$B64,'август 2025'!$J$2:$J$2407,AE$1)</f>
        <v>0</v>
      </c>
      <c r="AF64" s="76">
        <f>SUMIFS('август 2025'!$G$2:$G$2407,'август 2025'!$D$2:$D$2407,$B64,'август 2025'!$J$2:$J$2407,AF$1)</f>
        <v>0</v>
      </c>
      <c r="AG64" s="76">
        <f>SUMIFS('август 2025'!$G$2:$G$2407,'август 2025'!$D$2:$D$2407,$B64,'август 2025'!$J$2:$J$2407,AG$1)</f>
        <v>0</v>
      </c>
      <c r="AH64" s="76">
        <f>SUMIFS('август 2025'!$G$2:$G$2407,'август 2025'!$D$2:$D$2407,$B64,'август 2025'!$J$2:$J$2407,AH$1)</f>
        <v>0</v>
      </c>
      <c r="AI64" s="20">
        <f t="shared" si="1"/>
        <v>0</v>
      </c>
    </row>
    <row r="65" spans="2:35" ht="15" customHeight="1" x14ac:dyDescent="0.25">
      <c r="B65" s="136"/>
      <c r="C65" s="132"/>
      <c r="D65" s="76">
        <f>SUMIFS('август 2025'!$G$2:$G$2407,'август 2025'!$D$2:$D$2407,$B65,'август 2025'!$J$2:$J$2407,D$1)</f>
        <v>0</v>
      </c>
      <c r="E65" s="76">
        <f>SUMIFS('август 2025'!$G$2:$G$2407,'август 2025'!$D$2:$D$2407,$B65,'август 2025'!$J$2:$J$2407,E$1)</f>
        <v>0</v>
      </c>
      <c r="F65" s="76">
        <f>SUMIFS('август 2025'!$G$2:$G$2407,'август 2025'!$D$2:$D$2407,$B65,'август 2025'!$J$2:$J$2407,F$1)</f>
        <v>0</v>
      </c>
      <c r="G65" s="76">
        <f>SUMIFS('август 2025'!$G$2:$G$2407,'август 2025'!$D$2:$D$2407,$B65,'август 2025'!$J$2:$J$2407,G$1)</f>
        <v>0</v>
      </c>
      <c r="H65" s="76">
        <f>SUMIFS('август 2025'!$G$2:$G$2407,'август 2025'!$D$2:$D$2407,$B65,'август 2025'!$J$2:$J$2407,H$1)</f>
        <v>0</v>
      </c>
      <c r="I65" s="76">
        <f>SUMIFS('август 2025'!$G$2:$G$2407,'август 2025'!$D$2:$D$2407,$B65,'август 2025'!$J$2:$J$2407,I$1)</f>
        <v>0</v>
      </c>
      <c r="J65" s="76">
        <f>SUMIFS('август 2025'!$G$2:$G$2407,'август 2025'!$D$2:$D$2407,$B65,'август 2025'!$J$2:$J$2407,J$1)</f>
        <v>0</v>
      </c>
      <c r="K65" s="76">
        <f>SUMIFS('август 2025'!$G$2:$G$2407,'август 2025'!$D$2:$D$2407,$B65,'август 2025'!$J$2:$J$2407,K$1)</f>
        <v>0</v>
      </c>
      <c r="L65" s="76">
        <f>SUMIFS('август 2025'!$G$2:$G$2407,'август 2025'!$D$2:$D$2407,$B65,'август 2025'!$J$2:$J$2407,L$1)</f>
        <v>0</v>
      </c>
      <c r="M65" s="76">
        <f>SUMIFS('август 2025'!$G$2:$G$2407,'август 2025'!$D$2:$D$2407,$B65,'август 2025'!$J$2:$J$2407,M$1)</f>
        <v>0</v>
      </c>
      <c r="N65" s="76">
        <f>SUMIFS('август 2025'!$G$2:$G$2407,'август 2025'!$D$2:$D$2407,$B65,'август 2025'!$J$2:$J$2407,N$1)</f>
        <v>0</v>
      </c>
      <c r="O65" s="76">
        <f>SUMIFS('август 2025'!$G$2:$G$2407,'август 2025'!$D$2:$D$2407,$B65,'август 2025'!$J$2:$J$2407,O$1)</f>
        <v>0</v>
      </c>
      <c r="P65" s="76">
        <f>SUMIFS('август 2025'!$G$2:$G$2407,'август 2025'!$D$2:$D$2407,$B65,'август 2025'!$J$2:$J$2407,P$1)</f>
        <v>0</v>
      </c>
      <c r="Q65" s="76">
        <f>SUMIFS('август 2025'!$G$2:$G$2407,'август 2025'!$D$2:$D$2407,$B65,'август 2025'!$J$2:$J$2407,Q$1)</f>
        <v>0</v>
      </c>
      <c r="R65" s="76">
        <f>SUMIFS('август 2025'!$G$2:$G$2407,'август 2025'!$D$2:$D$2407,$B65,'август 2025'!$J$2:$J$2407,R$1)</f>
        <v>0</v>
      </c>
      <c r="S65" s="76">
        <f>SUMIFS('август 2025'!$G$2:$G$2407,'август 2025'!$D$2:$D$2407,$B65,'август 2025'!$J$2:$J$2407,S$1)</f>
        <v>0</v>
      </c>
      <c r="T65" s="76">
        <f>SUMIFS('август 2025'!$G$2:$G$2407,'август 2025'!$D$2:$D$2407,$B65,'август 2025'!$J$2:$J$2407,T$1)</f>
        <v>0</v>
      </c>
      <c r="U65" s="76">
        <f>SUMIFS('август 2025'!$G$2:$G$2407,'август 2025'!$D$2:$D$2407,$B65,'август 2025'!$J$2:$J$2407,U$1)</f>
        <v>0</v>
      </c>
      <c r="V65" s="76">
        <f>SUMIFS('август 2025'!$G$2:$G$2407,'август 2025'!$D$2:$D$2407,$B65,'август 2025'!$J$2:$J$2407,V$1)</f>
        <v>0</v>
      </c>
      <c r="W65" s="76">
        <f>SUMIFS('август 2025'!$G$2:$G$2407,'август 2025'!$D$2:$D$2407,$B65,'август 2025'!$J$2:$J$2407,W$1)</f>
        <v>0</v>
      </c>
      <c r="X65" s="76">
        <f>SUMIFS('август 2025'!$G$2:$G$2407,'август 2025'!$D$2:$D$2407,$B65,'август 2025'!$J$2:$J$2407,X$1)</f>
        <v>0</v>
      </c>
      <c r="Y65" s="76">
        <f>SUMIFS('август 2025'!$G$2:$G$2407,'август 2025'!$D$2:$D$2407,$B65,'август 2025'!$J$2:$J$2407,Y$1)</f>
        <v>0</v>
      </c>
      <c r="Z65" s="76">
        <f>SUMIFS('август 2025'!$G$2:$G$2407,'август 2025'!$D$2:$D$2407,$B65,'август 2025'!$J$2:$J$2407,Z$1)</f>
        <v>0</v>
      </c>
      <c r="AA65" s="76">
        <f>SUMIFS('август 2025'!$G$2:$G$2407,'август 2025'!$D$2:$D$2407,$B65,'август 2025'!$J$2:$J$2407,AA$1)</f>
        <v>0</v>
      </c>
      <c r="AB65" s="76">
        <f>SUMIFS('август 2025'!$G$2:$G$2407,'август 2025'!$D$2:$D$2407,$B65,'август 2025'!$J$2:$J$2407,AB$1)</f>
        <v>0</v>
      </c>
      <c r="AC65" s="76">
        <f>SUMIFS('август 2025'!$G$2:$G$2407,'август 2025'!$D$2:$D$2407,$B65,'август 2025'!$J$2:$J$2407,AC$1)</f>
        <v>0</v>
      </c>
      <c r="AD65" s="76">
        <f>SUMIFS('август 2025'!$G$2:$G$2407,'август 2025'!$D$2:$D$2407,$B65,'август 2025'!$J$2:$J$2407,AD$1)</f>
        <v>0</v>
      </c>
      <c r="AE65" s="76">
        <f>SUMIFS('август 2025'!$G$2:$G$2407,'август 2025'!$D$2:$D$2407,$B65,'август 2025'!$J$2:$J$2407,AE$1)</f>
        <v>0</v>
      </c>
      <c r="AF65" s="76">
        <f>SUMIFS('август 2025'!$G$2:$G$2407,'август 2025'!$D$2:$D$2407,$B65,'август 2025'!$J$2:$J$2407,AF$1)</f>
        <v>0</v>
      </c>
      <c r="AG65" s="76">
        <f>SUMIFS('август 2025'!$G$2:$G$2407,'август 2025'!$D$2:$D$2407,$B65,'август 2025'!$J$2:$J$2407,AG$1)</f>
        <v>0</v>
      </c>
      <c r="AH65" s="76">
        <f>SUMIFS('август 2025'!$G$2:$G$2407,'август 2025'!$D$2:$D$2407,$B65,'август 2025'!$J$2:$J$2407,AH$1)</f>
        <v>0</v>
      </c>
      <c r="AI65" s="20">
        <f t="shared" si="1"/>
        <v>0</v>
      </c>
    </row>
    <row r="66" spans="2:35" ht="15" customHeight="1" x14ac:dyDescent="0.25">
      <c r="B66" s="87" t="s">
        <v>160</v>
      </c>
      <c r="C66" s="86">
        <v>200</v>
      </c>
      <c r="D66" s="76">
        <f>SUMIFS('август 2025'!$G$2:$G$2407,'август 2025'!$D$2:$D$2407,$B66,'август 2025'!$J$2:$J$2407,D$1)</f>
        <v>0</v>
      </c>
      <c r="E66" s="76">
        <f>SUMIFS('август 2025'!$G$2:$G$2407,'август 2025'!$D$2:$D$2407,$B66,'август 2025'!$J$2:$J$2407,E$1)</f>
        <v>0</v>
      </c>
      <c r="F66" s="76">
        <f>SUMIFS('август 2025'!$G$2:$G$2407,'август 2025'!$D$2:$D$2407,$B66,'август 2025'!$J$2:$J$2407,F$1)</f>
        <v>0</v>
      </c>
      <c r="G66" s="76">
        <f>SUMIFS('август 2025'!$G$2:$G$2407,'август 2025'!$D$2:$D$2407,$B66,'август 2025'!$J$2:$J$2407,G$1)</f>
        <v>0</v>
      </c>
      <c r="H66" s="76">
        <f>SUMIFS('август 2025'!$G$2:$G$2407,'август 2025'!$D$2:$D$2407,$B66,'август 2025'!$J$2:$J$2407,H$1)</f>
        <v>0</v>
      </c>
      <c r="I66" s="76">
        <f>SUMIFS('август 2025'!$G$2:$G$2407,'август 2025'!$D$2:$D$2407,$B66,'август 2025'!$J$2:$J$2407,I$1)</f>
        <v>0</v>
      </c>
      <c r="J66" s="76">
        <f>SUMIFS('август 2025'!$G$2:$G$2407,'август 2025'!$D$2:$D$2407,$B66,'август 2025'!$J$2:$J$2407,J$1)</f>
        <v>0</v>
      </c>
      <c r="K66" s="76">
        <f>SUMIFS('август 2025'!$G$2:$G$2407,'август 2025'!$D$2:$D$2407,$B66,'август 2025'!$J$2:$J$2407,K$1)</f>
        <v>0</v>
      </c>
      <c r="L66" s="76">
        <f>SUMIFS('август 2025'!$G$2:$G$2407,'август 2025'!$D$2:$D$2407,$B66,'август 2025'!$J$2:$J$2407,L$1)</f>
        <v>0</v>
      </c>
      <c r="M66" s="76">
        <f>SUMIFS('август 2025'!$G$2:$G$2407,'август 2025'!$D$2:$D$2407,$B66,'август 2025'!$J$2:$J$2407,M$1)</f>
        <v>0</v>
      </c>
      <c r="N66" s="76">
        <f>SUMIFS('август 2025'!$G$2:$G$2407,'август 2025'!$D$2:$D$2407,$B66,'август 2025'!$J$2:$J$2407,N$1)</f>
        <v>0</v>
      </c>
      <c r="O66" s="76">
        <f>SUMIFS('август 2025'!$G$2:$G$2407,'август 2025'!$D$2:$D$2407,$B66,'август 2025'!$J$2:$J$2407,O$1)</f>
        <v>0</v>
      </c>
      <c r="P66" s="76">
        <f>SUMIFS('август 2025'!$G$2:$G$2407,'август 2025'!$D$2:$D$2407,$B66,'август 2025'!$J$2:$J$2407,P$1)</f>
        <v>0</v>
      </c>
      <c r="Q66" s="76">
        <f>SUMIFS('август 2025'!$G$2:$G$2407,'август 2025'!$D$2:$D$2407,$B66,'август 2025'!$J$2:$J$2407,Q$1)</f>
        <v>0</v>
      </c>
      <c r="R66" s="76">
        <f>SUMIFS('август 2025'!$G$2:$G$2407,'август 2025'!$D$2:$D$2407,$B66,'август 2025'!$J$2:$J$2407,R$1)</f>
        <v>0</v>
      </c>
      <c r="S66" s="76">
        <f>SUMIFS('август 2025'!$G$2:$G$2407,'август 2025'!$D$2:$D$2407,$B66,'август 2025'!$J$2:$J$2407,S$1)</f>
        <v>0</v>
      </c>
      <c r="T66" s="76">
        <f>SUMIFS('август 2025'!$G$2:$G$2407,'август 2025'!$D$2:$D$2407,$B66,'август 2025'!$J$2:$J$2407,T$1)</f>
        <v>0</v>
      </c>
      <c r="U66" s="76">
        <f>SUMIFS('август 2025'!$G$2:$G$2407,'август 2025'!$D$2:$D$2407,$B66,'август 2025'!$J$2:$J$2407,U$1)</f>
        <v>0</v>
      </c>
      <c r="V66" s="76">
        <f>SUMIFS('август 2025'!$G$2:$G$2407,'август 2025'!$D$2:$D$2407,$B66,'август 2025'!$J$2:$J$2407,V$1)</f>
        <v>0</v>
      </c>
      <c r="W66" s="76">
        <f>SUMIFS('август 2025'!$G$2:$G$2407,'август 2025'!$D$2:$D$2407,$B66,'август 2025'!$J$2:$J$2407,W$1)</f>
        <v>0</v>
      </c>
      <c r="X66" s="76">
        <f>SUMIFS('август 2025'!$G$2:$G$2407,'август 2025'!$D$2:$D$2407,$B66,'август 2025'!$J$2:$J$2407,X$1)</f>
        <v>0</v>
      </c>
      <c r="Y66" s="76">
        <f>SUMIFS('август 2025'!$G$2:$G$2407,'август 2025'!$D$2:$D$2407,$B66,'август 2025'!$J$2:$J$2407,Y$1)</f>
        <v>0</v>
      </c>
      <c r="Z66" s="76">
        <f>SUMIFS('август 2025'!$G$2:$G$2407,'август 2025'!$D$2:$D$2407,$B66,'август 2025'!$J$2:$J$2407,Z$1)</f>
        <v>0</v>
      </c>
      <c r="AA66" s="76">
        <f>SUMIFS('август 2025'!$G$2:$G$2407,'август 2025'!$D$2:$D$2407,$B66,'август 2025'!$J$2:$J$2407,AA$1)</f>
        <v>0</v>
      </c>
      <c r="AB66" s="76">
        <f>SUMIFS('август 2025'!$G$2:$G$2407,'август 2025'!$D$2:$D$2407,$B66,'август 2025'!$J$2:$J$2407,AB$1)</f>
        <v>0</v>
      </c>
      <c r="AC66" s="76">
        <f>SUMIFS('август 2025'!$G$2:$G$2407,'август 2025'!$D$2:$D$2407,$B66,'август 2025'!$J$2:$J$2407,AC$1)</f>
        <v>0</v>
      </c>
      <c r="AD66" s="76">
        <f>SUMIFS('август 2025'!$G$2:$G$2407,'август 2025'!$D$2:$D$2407,$B66,'август 2025'!$J$2:$J$2407,AD$1)</f>
        <v>0</v>
      </c>
      <c r="AE66" s="76">
        <f>SUMIFS('август 2025'!$G$2:$G$2407,'август 2025'!$D$2:$D$2407,$B66,'август 2025'!$J$2:$J$2407,AE$1)</f>
        <v>0</v>
      </c>
      <c r="AF66" s="76">
        <f>SUMIFS('август 2025'!$G$2:$G$2407,'август 2025'!$D$2:$D$2407,$B66,'август 2025'!$J$2:$J$2407,AF$1)</f>
        <v>0</v>
      </c>
      <c r="AG66" s="76">
        <f>SUMIFS('август 2025'!$G$2:$G$2407,'август 2025'!$D$2:$D$2407,$B66,'август 2025'!$J$2:$J$2407,AG$1)</f>
        <v>0</v>
      </c>
      <c r="AH66" s="76">
        <f>SUMIFS('август 2025'!$G$2:$G$2407,'август 2025'!$D$2:$D$2407,$B66,'август 2025'!$J$2:$J$2407,AH$1)</f>
        <v>0</v>
      </c>
      <c r="AI66" s="20">
        <f t="shared" si="1"/>
        <v>0</v>
      </c>
    </row>
    <row r="67" spans="2:35" ht="15" customHeight="1" x14ac:dyDescent="0.25">
      <c r="B67" s="87" t="s">
        <v>308</v>
      </c>
      <c r="C67" s="86">
        <v>50</v>
      </c>
      <c r="D67" s="76">
        <f>SUMIFS('август 2025'!$G$2:$G$2407,'август 2025'!$D$2:$D$2407,$B67,'август 2025'!$J$2:$J$2407,D$1)</f>
        <v>0</v>
      </c>
      <c r="E67" s="76">
        <f>SUMIFS('август 2025'!$G$2:$G$2407,'август 2025'!$D$2:$D$2407,$B67,'август 2025'!$J$2:$J$2407,E$1)</f>
        <v>0</v>
      </c>
      <c r="F67" s="76">
        <f>SUMIFS('август 2025'!$G$2:$G$2407,'август 2025'!$D$2:$D$2407,$B67,'август 2025'!$J$2:$J$2407,F$1)</f>
        <v>0</v>
      </c>
      <c r="G67" s="76">
        <f>SUMIFS('август 2025'!$G$2:$G$2407,'август 2025'!$D$2:$D$2407,$B67,'август 2025'!$J$2:$J$2407,G$1)</f>
        <v>0</v>
      </c>
      <c r="H67" s="76">
        <f>SUMIFS('август 2025'!$G$2:$G$2407,'август 2025'!$D$2:$D$2407,$B67,'август 2025'!$J$2:$J$2407,H$1)</f>
        <v>0</v>
      </c>
      <c r="I67" s="76">
        <f>SUMIFS('август 2025'!$G$2:$G$2407,'август 2025'!$D$2:$D$2407,$B67,'август 2025'!$J$2:$J$2407,I$1)</f>
        <v>0</v>
      </c>
      <c r="J67" s="76">
        <f>SUMIFS('август 2025'!$G$2:$G$2407,'август 2025'!$D$2:$D$2407,$B67,'август 2025'!$J$2:$J$2407,J$1)</f>
        <v>0</v>
      </c>
      <c r="K67" s="76">
        <f>SUMIFS('август 2025'!$G$2:$G$2407,'август 2025'!$D$2:$D$2407,$B67,'август 2025'!$J$2:$J$2407,K$1)</f>
        <v>0</v>
      </c>
      <c r="L67" s="76">
        <f>SUMIFS('август 2025'!$G$2:$G$2407,'август 2025'!$D$2:$D$2407,$B67,'август 2025'!$J$2:$J$2407,L$1)</f>
        <v>0</v>
      </c>
      <c r="M67" s="76">
        <f>SUMIFS('август 2025'!$G$2:$G$2407,'август 2025'!$D$2:$D$2407,$B67,'август 2025'!$J$2:$J$2407,M$1)</f>
        <v>0</v>
      </c>
      <c r="N67" s="76">
        <f>SUMIFS('август 2025'!$G$2:$G$2407,'август 2025'!$D$2:$D$2407,$B67,'август 2025'!$J$2:$J$2407,N$1)</f>
        <v>0</v>
      </c>
      <c r="O67" s="76">
        <f>SUMIFS('август 2025'!$G$2:$G$2407,'август 2025'!$D$2:$D$2407,$B67,'август 2025'!$J$2:$J$2407,O$1)</f>
        <v>0</v>
      </c>
      <c r="P67" s="76">
        <f>SUMIFS('август 2025'!$G$2:$G$2407,'август 2025'!$D$2:$D$2407,$B67,'август 2025'!$J$2:$J$2407,P$1)</f>
        <v>0</v>
      </c>
      <c r="Q67" s="76">
        <f>SUMIFS('август 2025'!$G$2:$G$2407,'август 2025'!$D$2:$D$2407,$B67,'август 2025'!$J$2:$J$2407,Q$1)</f>
        <v>0</v>
      </c>
      <c r="R67" s="76">
        <f>SUMIFS('август 2025'!$G$2:$G$2407,'август 2025'!$D$2:$D$2407,$B67,'август 2025'!$J$2:$J$2407,R$1)</f>
        <v>0</v>
      </c>
      <c r="S67" s="76">
        <f>SUMIFS('август 2025'!$G$2:$G$2407,'август 2025'!$D$2:$D$2407,$B67,'август 2025'!$J$2:$J$2407,S$1)</f>
        <v>0</v>
      </c>
      <c r="T67" s="76">
        <f>SUMIFS('август 2025'!$G$2:$G$2407,'август 2025'!$D$2:$D$2407,$B67,'август 2025'!$J$2:$J$2407,T$1)</f>
        <v>0</v>
      </c>
      <c r="U67" s="76">
        <f>SUMIFS('август 2025'!$G$2:$G$2407,'август 2025'!$D$2:$D$2407,$B67,'август 2025'!$J$2:$J$2407,U$1)</f>
        <v>0</v>
      </c>
      <c r="V67" s="76">
        <f>SUMIFS('август 2025'!$G$2:$G$2407,'август 2025'!$D$2:$D$2407,$B67,'август 2025'!$J$2:$J$2407,V$1)</f>
        <v>0</v>
      </c>
      <c r="W67" s="76">
        <f>SUMIFS('август 2025'!$G$2:$G$2407,'август 2025'!$D$2:$D$2407,$B67,'август 2025'!$J$2:$J$2407,W$1)</f>
        <v>0</v>
      </c>
      <c r="X67" s="76">
        <f>SUMIFS('август 2025'!$G$2:$G$2407,'август 2025'!$D$2:$D$2407,$B67,'август 2025'!$J$2:$J$2407,X$1)</f>
        <v>0</v>
      </c>
      <c r="Y67" s="76">
        <f>SUMIFS('август 2025'!$G$2:$G$2407,'август 2025'!$D$2:$D$2407,$B67,'август 2025'!$J$2:$J$2407,Y$1)</f>
        <v>0</v>
      </c>
      <c r="Z67" s="76">
        <f>SUMIFS('август 2025'!$G$2:$G$2407,'август 2025'!$D$2:$D$2407,$B67,'август 2025'!$J$2:$J$2407,Z$1)</f>
        <v>0</v>
      </c>
      <c r="AA67" s="76">
        <f>SUMIFS('август 2025'!$G$2:$G$2407,'август 2025'!$D$2:$D$2407,$B67,'август 2025'!$J$2:$J$2407,AA$1)</f>
        <v>0</v>
      </c>
      <c r="AB67" s="76">
        <f>SUMIFS('август 2025'!$G$2:$G$2407,'август 2025'!$D$2:$D$2407,$B67,'август 2025'!$J$2:$J$2407,AB$1)</f>
        <v>0</v>
      </c>
      <c r="AC67" s="76">
        <f>SUMIFS('август 2025'!$G$2:$G$2407,'август 2025'!$D$2:$D$2407,$B67,'август 2025'!$J$2:$J$2407,AC$1)</f>
        <v>0</v>
      </c>
      <c r="AD67" s="76">
        <f>SUMIFS('август 2025'!$G$2:$G$2407,'август 2025'!$D$2:$D$2407,$B67,'август 2025'!$J$2:$J$2407,AD$1)</f>
        <v>0</v>
      </c>
      <c r="AE67" s="76">
        <f>SUMIFS('август 2025'!$G$2:$G$2407,'август 2025'!$D$2:$D$2407,$B67,'август 2025'!$J$2:$J$2407,AE$1)</f>
        <v>0</v>
      </c>
      <c r="AF67" s="76">
        <f>SUMIFS('август 2025'!$G$2:$G$2407,'август 2025'!$D$2:$D$2407,$B67,'август 2025'!$J$2:$J$2407,AF$1)</f>
        <v>0</v>
      </c>
      <c r="AG67" s="76">
        <f>SUMIFS('август 2025'!$G$2:$G$2407,'август 2025'!$D$2:$D$2407,$B67,'август 2025'!$J$2:$J$2407,AG$1)</f>
        <v>0</v>
      </c>
      <c r="AH67" s="76">
        <f>SUMIFS('август 2025'!$G$2:$G$2407,'август 2025'!$D$2:$D$2407,$B67,'август 2025'!$J$2:$J$2407,AH$1)</f>
        <v>0</v>
      </c>
      <c r="AI67" s="20">
        <f t="shared" si="1"/>
        <v>0</v>
      </c>
    </row>
    <row r="68" spans="2:35" ht="15" customHeight="1" x14ac:dyDescent="0.25">
      <c r="B68" s="88" t="s">
        <v>198</v>
      </c>
      <c r="C68" s="86">
        <v>200</v>
      </c>
      <c r="D68" s="76">
        <f>SUMIFS('август 2025'!$G$2:$G$2407,'август 2025'!$D$2:$D$2407,$B68,'август 2025'!$J$2:$J$2407,D$1)</f>
        <v>0</v>
      </c>
      <c r="E68" s="76">
        <f>SUMIFS('август 2025'!$G$2:$G$2407,'август 2025'!$D$2:$D$2407,$B68,'август 2025'!$J$2:$J$2407,E$1)</f>
        <v>0</v>
      </c>
      <c r="F68" s="76">
        <f>SUMIFS('август 2025'!$G$2:$G$2407,'август 2025'!$D$2:$D$2407,$B68,'август 2025'!$J$2:$J$2407,F$1)</f>
        <v>0</v>
      </c>
      <c r="G68" s="76">
        <f>SUMIFS('август 2025'!$G$2:$G$2407,'август 2025'!$D$2:$D$2407,$B68,'август 2025'!$J$2:$J$2407,G$1)</f>
        <v>0</v>
      </c>
      <c r="H68" s="76">
        <f>SUMIFS('август 2025'!$G$2:$G$2407,'август 2025'!$D$2:$D$2407,$B68,'август 2025'!$J$2:$J$2407,H$1)</f>
        <v>0</v>
      </c>
      <c r="I68" s="76">
        <f>SUMIFS('август 2025'!$G$2:$G$2407,'август 2025'!$D$2:$D$2407,$B68,'август 2025'!$J$2:$J$2407,I$1)</f>
        <v>0</v>
      </c>
      <c r="J68" s="76">
        <f>SUMIFS('август 2025'!$G$2:$G$2407,'август 2025'!$D$2:$D$2407,$B68,'август 2025'!$J$2:$J$2407,J$1)</f>
        <v>0</v>
      </c>
      <c r="K68" s="76">
        <f>SUMIFS('август 2025'!$G$2:$G$2407,'август 2025'!$D$2:$D$2407,$B68,'август 2025'!$J$2:$J$2407,K$1)</f>
        <v>0</v>
      </c>
      <c r="L68" s="76">
        <f>SUMIFS('август 2025'!$G$2:$G$2407,'август 2025'!$D$2:$D$2407,$B68,'август 2025'!$J$2:$J$2407,L$1)</f>
        <v>0</v>
      </c>
      <c r="M68" s="76">
        <f>SUMIFS('август 2025'!$G$2:$G$2407,'август 2025'!$D$2:$D$2407,$B68,'август 2025'!$J$2:$J$2407,M$1)</f>
        <v>0</v>
      </c>
      <c r="N68" s="76">
        <f>SUMIFS('август 2025'!$G$2:$G$2407,'август 2025'!$D$2:$D$2407,$B68,'август 2025'!$J$2:$J$2407,N$1)</f>
        <v>0</v>
      </c>
      <c r="O68" s="76">
        <f>SUMIFS('август 2025'!$G$2:$G$2407,'август 2025'!$D$2:$D$2407,$B68,'август 2025'!$J$2:$J$2407,O$1)</f>
        <v>0</v>
      </c>
      <c r="P68" s="76">
        <f>SUMIFS('август 2025'!$G$2:$G$2407,'август 2025'!$D$2:$D$2407,$B68,'август 2025'!$J$2:$J$2407,P$1)</f>
        <v>0</v>
      </c>
      <c r="Q68" s="76">
        <f>SUMIFS('август 2025'!$G$2:$G$2407,'август 2025'!$D$2:$D$2407,$B68,'август 2025'!$J$2:$J$2407,Q$1)</f>
        <v>0</v>
      </c>
      <c r="R68" s="76">
        <f>SUMIFS('август 2025'!$G$2:$G$2407,'август 2025'!$D$2:$D$2407,$B68,'август 2025'!$J$2:$J$2407,R$1)</f>
        <v>0</v>
      </c>
      <c r="S68" s="76">
        <f>SUMIFS('август 2025'!$G$2:$G$2407,'август 2025'!$D$2:$D$2407,$B68,'август 2025'!$J$2:$J$2407,S$1)</f>
        <v>0</v>
      </c>
      <c r="T68" s="76">
        <f>SUMIFS('август 2025'!$G$2:$G$2407,'август 2025'!$D$2:$D$2407,$B68,'август 2025'!$J$2:$J$2407,T$1)</f>
        <v>0</v>
      </c>
      <c r="U68" s="76">
        <f>SUMIFS('август 2025'!$G$2:$G$2407,'август 2025'!$D$2:$D$2407,$B68,'август 2025'!$J$2:$J$2407,U$1)</f>
        <v>0</v>
      </c>
      <c r="V68" s="76">
        <f>SUMIFS('август 2025'!$G$2:$G$2407,'август 2025'!$D$2:$D$2407,$B68,'август 2025'!$J$2:$J$2407,V$1)</f>
        <v>0</v>
      </c>
      <c r="W68" s="76">
        <f>SUMIFS('август 2025'!$G$2:$G$2407,'август 2025'!$D$2:$D$2407,$B68,'август 2025'!$J$2:$J$2407,W$1)</f>
        <v>0</v>
      </c>
      <c r="X68" s="76">
        <f>SUMIFS('август 2025'!$G$2:$G$2407,'август 2025'!$D$2:$D$2407,$B68,'август 2025'!$J$2:$J$2407,X$1)</f>
        <v>0</v>
      </c>
      <c r="Y68" s="76">
        <f>SUMIFS('август 2025'!$G$2:$G$2407,'август 2025'!$D$2:$D$2407,$B68,'август 2025'!$J$2:$J$2407,Y$1)</f>
        <v>0</v>
      </c>
      <c r="Z68" s="76">
        <f>SUMIFS('август 2025'!$G$2:$G$2407,'август 2025'!$D$2:$D$2407,$B68,'август 2025'!$J$2:$J$2407,Z$1)</f>
        <v>0</v>
      </c>
      <c r="AA68" s="76">
        <f>SUMIFS('август 2025'!$G$2:$G$2407,'август 2025'!$D$2:$D$2407,$B68,'август 2025'!$J$2:$J$2407,AA$1)</f>
        <v>0</v>
      </c>
      <c r="AB68" s="76">
        <f>SUMIFS('август 2025'!$G$2:$G$2407,'август 2025'!$D$2:$D$2407,$B68,'август 2025'!$J$2:$J$2407,AB$1)</f>
        <v>0</v>
      </c>
      <c r="AC68" s="76">
        <f>SUMIFS('август 2025'!$G$2:$G$2407,'август 2025'!$D$2:$D$2407,$B68,'август 2025'!$J$2:$J$2407,AC$1)</f>
        <v>0</v>
      </c>
      <c r="AD68" s="76">
        <f>SUMIFS('август 2025'!$G$2:$G$2407,'август 2025'!$D$2:$D$2407,$B68,'август 2025'!$J$2:$J$2407,AD$1)</f>
        <v>0</v>
      </c>
      <c r="AE68" s="76">
        <f>SUMIFS('август 2025'!$G$2:$G$2407,'август 2025'!$D$2:$D$2407,$B68,'август 2025'!$J$2:$J$2407,AE$1)</f>
        <v>0</v>
      </c>
      <c r="AF68" s="76">
        <f>SUMIFS('август 2025'!$G$2:$G$2407,'август 2025'!$D$2:$D$2407,$B68,'август 2025'!$J$2:$J$2407,AF$1)</f>
        <v>0</v>
      </c>
      <c r="AG68" s="76">
        <f>SUMIFS('август 2025'!$G$2:$G$2407,'август 2025'!$D$2:$D$2407,$B68,'август 2025'!$J$2:$J$2407,AG$1)</f>
        <v>0</v>
      </c>
      <c r="AH68" s="76">
        <f>SUMIFS('август 2025'!$G$2:$G$2407,'август 2025'!$D$2:$D$2407,$B68,'август 2025'!$J$2:$J$2407,AH$1)</f>
        <v>0</v>
      </c>
      <c r="AI68" s="20">
        <f t="shared" si="1"/>
        <v>0</v>
      </c>
    </row>
    <row r="69" spans="2:35" ht="15" customHeight="1" x14ac:dyDescent="0.25">
      <c r="B69" s="88" t="s">
        <v>207</v>
      </c>
      <c r="C69" s="86">
        <v>25</v>
      </c>
      <c r="D69" s="76">
        <f>SUMIFS('август 2025'!$G$2:$G$2407,'август 2025'!$D$2:$D$2407,$B69,'август 2025'!$J$2:$J$2407,D$1)</f>
        <v>0</v>
      </c>
      <c r="E69" s="76">
        <f>SUMIFS('август 2025'!$G$2:$G$2407,'август 2025'!$D$2:$D$2407,$B69,'август 2025'!$J$2:$J$2407,E$1)</f>
        <v>0</v>
      </c>
      <c r="F69" s="76">
        <f>SUMIFS('август 2025'!$G$2:$G$2407,'август 2025'!$D$2:$D$2407,$B69,'август 2025'!$J$2:$J$2407,F$1)</f>
        <v>0</v>
      </c>
      <c r="G69" s="76">
        <f>SUMIFS('август 2025'!$G$2:$G$2407,'август 2025'!$D$2:$D$2407,$B69,'август 2025'!$J$2:$J$2407,G$1)</f>
        <v>0</v>
      </c>
      <c r="H69" s="76">
        <f>SUMIFS('август 2025'!$G$2:$G$2407,'август 2025'!$D$2:$D$2407,$B69,'август 2025'!$J$2:$J$2407,H$1)</f>
        <v>0</v>
      </c>
      <c r="I69" s="76">
        <f>SUMIFS('август 2025'!$G$2:$G$2407,'август 2025'!$D$2:$D$2407,$B69,'август 2025'!$J$2:$J$2407,I$1)</f>
        <v>0</v>
      </c>
      <c r="J69" s="76">
        <f>SUMIFS('август 2025'!$G$2:$G$2407,'август 2025'!$D$2:$D$2407,$B69,'август 2025'!$J$2:$J$2407,J$1)</f>
        <v>0</v>
      </c>
      <c r="K69" s="76">
        <f>SUMIFS('август 2025'!$G$2:$G$2407,'август 2025'!$D$2:$D$2407,$B69,'август 2025'!$J$2:$J$2407,K$1)</f>
        <v>0</v>
      </c>
      <c r="L69" s="76">
        <f>SUMIFS('август 2025'!$G$2:$G$2407,'август 2025'!$D$2:$D$2407,$B69,'август 2025'!$J$2:$J$2407,L$1)</f>
        <v>0</v>
      </c>
      <c r="M69" s="76">
        <f>SUMIFS('август 2025'!$G$2:$G$2407,'август 2025'!$D$2:$D$2407,$B69,'август 2025'!$J$2:$J$2407,M$1)</f>
        <v>0</v>
      </c>
      <c r="N69" s="76">
        <f>SUMIFS('август 2025'!$G$2:$G$2407,'август 2025'!$D$2:$D$2407,$B69,'август 2025'!$J$2:$J$2407,N$1)</f>
        <v>0</v>
      </c>
      <c r="O69" s="76">
        <f>SUMIFS('август 2025'!$G$2:$G$2407,'август 2025'!$D$2:$D$2407,$B69,'август 2025'!$J$2:$J$2407,O$1)</f>
        <v>0</v>
      </c>
      <c r="P69" s="76">
        <f>SUMIFS('август 2025'!$G$2:$G$2407,'август 2025'!$D$2:$D$2407,$B69,'август 2025'!$J$2:$J$2407,P$1)</f>
        <v>0</v>
      </c>
      <c r="Q69" s="76">
        <f>SUMIFS('август 2025'!$G$2:$G$2407,'август 2025'!$D$2:$D$2407,$B69,'август 2025'!$J$2:$J$2407,Q$1)</f>
        <v>0</v>
      </c>
      <c r="R69" s="76">
        <f>SUMIFS('август 2025'!$G$2:$G$2407,'август 2025'!$D$2:$D$2407,$B69,'август 2025'!$J$2:$J$2407,R$1)</f>
        <v>0</v>
      </c>
      <c r="S69" s="76">
        <f>SUMIFS('август 2025'!$G$2:$G$2407,'август 2025'!$D$2:$D$2407,$B69,'август 2025'!$J$2:$J$2407,S$1)</f>
        <v>0</v>
      </c>
      <c r="T69" s="76">
        <f>SUMIFS('август 2025'!$G$2:$G$2407,'август 2025'!$D$2:$D$2407,$B69,'август 2025'!$J$2:$J$2407,T$1)</f>
        <v>0</v>
      </c>
      <c r="U69" s="76">
        <f>SUMIFS('август 2025'!$G$2:$G$2407,'август 2025'!$D$2:$D$2407,$B69,'август 2025'!$J$2:$J$2407,U$1)</f>
        <v>0</v>
      </c>
      <c r="V69" s="76">
        <f>SUMIFS('август 2025'!$G$2:$G$2407,'август 2025'!$D$2:$D$2407,$B69,'август 2025'!$J$2:$J$2407,V$1)</f>
        <v>0</v>
      </c>
      <c r="W69" s="76">
        <f>SUMIFS('август 2025'!$G$2:$G$2407,'август 2025'!$D$2:$D$2407,$B69,'август 2025'!$J$2:$J$2407,W$1)</f>
        <v>0</v>
      </c>
      <c r="X69" s="76">
        <f>SUMIFS('август 2025'!$G$2:$G$2407,'август 2025'!$D$2:$D$2407,$B69,'август 2025'!$J$2:$J$2407,X$1)</f>
        <v>0</v>
      </c>
      <c r="Y69" s="76">
        <f>SUMIFS('август 2025'!$G$2:$G$2407,'август 2025'!$D$2:$D$2407,$B69,'август 2025'!$J$2:$J$2407,Y$1)</f>
        <v>0</v>
      </c>
      <c r="Z69" s="76">
        <f>SUMIFS('август 2025'!$G$2:$G$2407,'август 2025'!$D$2:$D$2407,$B69,'август 2025'!$J$2:$J$2407,Z$1)</f>
        <v>0</v>
      </c>
      <c r="AA69" s="76">
        <f>SUMIFS('август 2025'!$G$2:$G$2407,'август 2025'!$D$2:$D$2407,$B69,'август 2025'!$J$2:$J$2407,AA$1)</f>
        <v>0</v>
      </c>
      <c r="AB69" s="76">
        <f>SUMIFS('август 2025'!$G$2:$G$2407,'август 2025'!$D$2:$D$2407,$B69,'август 2025'!$J$2:$J$2407,AB$1)</f>
        <v>0</v>
      </c>
      <c r="AC69" s="76">
        <f>SUMIFS('август 2025'!$G$2:$G$2407,'август 2025'!$D$2:$D$2407,$B69,'август 2025'!$J$2:$J$2407,AC$1)</f>
        <v>0</v>
      </c>
      <c r="AD69" s="76">
        <f>SUMIFS('август 2025'!$G$2:$G$2407,'август 2025'!$D$2:$D$2407,$B69,'август 2025'!$J$2:$J$2407,AD$1)</f>
        <v>0</v>
      </c>
      <c r="AE69" s="76">
        <f>SUMIFS('август 2025'!$G$2:$G$2407,'август 2025'!$D$2:$D$2407,$B69,'август 2025'!$J$2:$J$2407,AE$1)</f>
        <v>0</v>
      </c>
      <c r="AF69" s="76">
        <f>SUMIFS('август 2025'!$G$2:$G$2407,'август 2025'!$D$2:$D$2407,$B69,'август 2025'!$J$2:$J$2407,AF$1)</f>
        <v>0</v>
      </c>
      <c r="AG69" s="76">
        <f>SUMIFS('август 2025'!$G$2:$G$2407,'август 2025'!$D$2:$D$2407,$B69,'август 2025'!$J$2:$J$2407,AG$1)</f>
        <v>0</v>
      </c>
      <c r="AH69" s="76">
        <f>SUMIFS('август 2025'!$G$2:$G$2407,'август 2025'!$D$2:$D$2407,$B69,'август 2025'!$J$2:$J$2407,AH$1)</f>
        <v>0</v>
      </c>
      <c r="AI69" s="20">
        <f t="shared" si="1"/>
        <v>0</v>
      </c>
    </row>
    <row r="70" spans="2:35" ht="15" customHeight="1" x14ac:dyDescent="0.25">
      <c r="B70" s="88" t="s">
        <v>179</v>
      </c>
      <c r="C70" s="86">
        <v>50</v>
      </c>
      <c r="D70" s="76">
        <f>SUMIFS('август 2025'!$G$2:$G$2407,'август 2025'!$D$2:$D$2407,$B70,'август 2025'!$J$2:$J$2407,D$1)</f>
        <v>0</v>
      </c>
      <c r="E70" s="76">
        <f>SUMIFS('август 2025'!$G$2:$G$2407,'август 2025'!$D$2:$D$2407,$B70,'август 2025'!$J$2:$J$2407,E$1)</f>
        <v>0</v>
      </c>
      <c r="F70" s="76">
        <f>SUMIFS('август 2025'!$G$2:$G$2407,'август 2025'!$D$2:$D$2407,$B70,'август 2025'!$J$2:$J$2407,F$1)</f>
        <v>0</v>
      </c>
      <c r="G70" s="76">
        <f>SUMIFS('август 2025'!$G$2:$G$2407,'август 2025'!$D$2:$D$2407,$B70,'август 2025'!$J$2:$J$2407,G$1)</f>
        <v>0</v>
      </c>
      <c r="H70" s="76">
        <f>SUMIFS('август 2025'!$G$2:$G$2407,'август 2025'!$D$2:$D$2407,$B70,'август 2025'!$J$2:$J$2407,H$1)</f>
        <v>0</v>
      </c>
      <c r="I70" s="76">
        <f>SUMIFS('август 2025'!$G$2:$G$2407,'август 2025'!$D$2:$D$2407,$B70,'август 2025'!$J$2:$J$2407,I$1)</f>
        <v>0</v>
      </c>
      <c r="J70" s="76">
        <f>SUMIFS('август 2025'!$G$2:$G$2407,'август 2025'!$D$2:$D$2407,$B70,'август 2025'!$J$2:$J$2407,J$1)</f>
        <v>0</v>
      </c>
      <c r="K70" s="76">
        <f>SUMIFS('август 2025'!$G$2:$G$2407,'август 2025'!$D$2:$D$2407,$B70,'август 2025'!$J$2:$J$2407,K$1)</f>
        <v>0</v>
      </c>
      <c r="L70" s="76">
        <f>SUMIFS('август 2025'!$G$2:$G$2407,'август 2025'!$D$2:$D$2407,$B70,'август 2025'!$J$2:$J$2407,L$1)</f>
        <v>0</v>
      </c>
      <c r="M70" s="76">
        <f>SUMIFS('август 2025'!$G$2:$G$2407,'август 2025'!$D$2:$D$2407,$B70,'август 2025'!$J$2:$J$2407,M$1)</f>
        <v>0</v>
      </c>
      <c r="N70" s="76">
        <f>SUMIFS('август 2025'!$G$2:$G$2407,'август 2025'!$D$2:$D$2407,$B70,'август 2025'!$J$2:$J$2407,N$1)</f>
        <v>0</v>
      </c>
      <c r="O70" s="76">
        <f>SUMIFS('август 2025'!$G$2:$G$2407,'август 2025'!$D$2:$D$2407,$B70,'август 2025'!$J$2:$J$2407,O$1)</f>
        <v>0</v>
      </c>
      <c r="P70" s="76">
        <f>SUMIFS('август 2025'!$G$2:$G$2407,'август 2025'!$D$2:$D$2407,$B70,'август 2025'!$J$2:$J$2407,P$1)</f>
        <v>0</v>
      </c>
      <c r="Q70" s="76">
        <f>SUMIFS('август 2025'!$G$2:$G$2407,'август 2025'!$D$2:$D$2407,$B70,'август 2025'!$J$2:$J$2407,Q$1)</f>
        <v>0</v>
      </c>
      <c r="R70" s="76">
        <f>SUMIFS('август 2025'!$G$2:$G$2407,'август 2025'!$D$2:$D$2407,$B70,'август 2025'!$J$2:$J$2407,R$1)</f>
        <v>0</v>
      </c>
      <c r="S70" s="76">
        <f>SUMIFS('август 2025'!$G$2:$G$2407,'август 2025'!$D$2:$D$2407,$B70,'август 2025'!$J$2:$J$2407,S$1)</f>
        <v>0</v>
      </c>
      <c r="T70" s="76">
        <f>SUMIFS('август 2025'!$G$2:$G$2407,'август 2025'!$D$2:$D$2407,$B70,'август 2025'!$J$2:$J$2407,T$1)</f>
        <v>0</v>
      </c>
      <c r="U70" s="76">
        <f>SUMIFS('август 2025'!$G$2:$G$2407,'август 2025'!$D$2:$D$2407,$B70,'август 2025'!$J$2:$J$2407,U$1)</f>
        <v>0</v>
      </c>
      <c r="V70" s="76">
        <f>SUMIFS('август 2025'!$G$2:$G$2407,'август 2025'!$D$2:$D$2407,$B70,'август 2025'!$J$2:$J$2407,V$1)</f>
        <v>0</v>
      </c>
      <c r="W70" s="76">
        <f>SUMIFS('август 2025'!$G$2:$G$2407,'август 2025'!$D$2:$D$2407,$B70,'август 2025'!$J$2:$J$2407,W$1)</f>
        <v>0</v>
      </c>
      <c r="X70" s="76">
        <f>SUMIFS('август 2025'!$G$2:$G$2407,'август 2025'!$D$2:$D$2407,$B70,'август 2025'!$J$2:$J$2407,X$1)</f>
        <v>0</v>
      </c>
      <c r="Y70" s="76">
        <f>SUMIFS('август 2025'!$G$2:$G$2407,'август 2025'!$D$2:$D$2407,$B70,'август 2025'!$J$2:$J$2407,Y$1)</f>
        <v>0</v>
      </c>
      <c r="Z70" s="76">
        <f>SUMIFS('август 2025'!$G$2:$G$2407,'август 2025'!$D$2:$D$2407,$B70,'август 2025'!$J$2:$J$2407,Z$1)</f>
        <v>0</v>
      </c>
      <c r="AA70" s="76">
        <f>SUMIFS('август 2025'!$G$2:$G$2407,'август 2025'!$D$2:$D$2407,$B70,'август 2025'!$J$2:$J$2407,AA$1)</f>
        <v>0</v>
      </c>
      <c r="AB70" s="76">
        <f>SUMIFS('август 2025'!$G$2:$G$2407,'август 2025'!$D$2:$D$2407,$B70,'август 2025'!$J$2:$J$2407,AB$1)</f>
        <v>0</v>
      </c>
      <c r="AC70" s="76">
        <f>SUMIFS('август 2025'!$G$2:$G$2407,'август 2025'!$D$2:$D$2407,$B70,'август 2025'!$J$2:$J$2407,AC$1)</f>
        <v>0</v>
      </c>
      <c r="AD70" s="76">
        <f>SUMIFS('август 2025'!$G$2:$G$2407,'август 2025'!$D$2:$D$2407,$B70,'август 2025'!$J$2:$J$2407,AD$1)</f>
        <v>0</v>
      </c>
      <c r="AE70" s="76">
        <f>SUMIFS('август 2025'!$G$2:$G$2407,'август 2025'!$D$2:$D$2407,$B70,'август 2025'!$J$2:$J$2407,AE$1)</f>
        <v>0</v>
      </c>
      <c r="AF70" s="76">
        <f>SUMIFS('август 2025'!$G$2:$G$2407,'август 2025'!$D$2:$D$2407,$B70,'август 2025'!$J$2:$J$2407,AF$1)</f>
        <v>0</v>
      </c>
      <c r="AG70" s="76">
        <f>SUMIFS('август 2025'!$G$2:$G$2407,'август 2025'!$D$2:$D$2407,$B70,'август 2025'!$J$2:$J$2407,AG$1)</f>
        <v>0</v>
      </c>
      <c r="AH70" s="76">
        <f>SUMIFS('август 2025'!$G$2:$G$2407,'август 2025'!$D$2:$D$2407,$B70,'август 2025'!$J$2:$J$2407,AH$1)</f>
        <v>0</v>
      </c>
      <c r="AI70" s="20">
        <f t="shared" si="1"/>
        <v>0</v>
      </c>
    </row>
    <row r="71" spans="2:35" ht="15.75" x14ac:dyDescent="0.25">
      <c r="B71" s="84" t="s">
        <v>158</v>
      </c>
      <c r="C71" s="83">
        <v>200</v>
      </c>
      <c r="D71" s="76">
        <f>SUMIFS('август 2025'!$G$2:$G$2407,'август 2025'!$D$2:$D$2407,$B71,'август 2025'!$J$2:$J$2407,D$1)</f>
        <v>0</v>
      </c>
      <c r="E71" s="76">
        <f>SUMIFS('август 2025'!$G$2:$G$2407,'август 2025'!$D$2:$D$2407,$B71,'август 2025'!$J$2:$J$2407,E$1)</f>
        <v>0</v>
      </c>
      <c r="F71" s="76">
        <f>SUMIFS('август 2025'!$G$2:$G$2407,'август 2025'!$D$2:$D$2407,$B71,'август 2025'!$J$2:$J$2407,F$1)</f>
        <v>0</v>
      </c>
      <c r="G71" s="76">
        <f>SUMIFS('август 2025'!$G$2:$G$2407,'август 2025'!$D$2:$D$2407,$B71,'август 2025'!$J$2:$J$2407,G$1)</f>
        <v>0</v>
      </c>
      <c r="H71" s="76">
        <f>SUMIFS('август 2025'!$G$2:$G$2407,'август 2025'!$D$2:$D$2407,$B71,'август 2025'!$J$2:$J$2407,H$1)</f>
        <v>0</v>
      </c>
      <c r="I71" s="76">
        <f>SUMIFS('август 2025'!$G$2:$G$2407,'август 2025'!$D$2:$D$2407,$B71,'август 2025'!$J$2:$J$2407,I$1)</f>
        <v>0</v>
      </c>
      <c r="J71" s="76">
        <f>SUMIFS('август 2025'!$G$2:$G$2407,'август 2025'!$D$2:$D$2407,$B71,'август 2025'!$J$2:$J$2407,J$1)</f>
        <v>0</v>
      </c>
      <c r="K71" s="76">
        <f>SUMIFS('август 2025'!$G$2:$G$2407,'август 2025'!$D$2:$D$2407,$B71,'август 2025'!$J$2:$J$2407,K$1)</f>
        <v>0</v>
      </c>
      <c r="L71" s="76">
        <f>SUMIFS('август 2025'!$G$2:$G$2407,'август 2025'!$D$2:$D$2407,$B71,'август 2025'!$J$2:$J$2407,L$1)</f>
        <v>0</v>
      </c>
      <c r="M71" s="76">
        <f>SUMIFS('август 2025'!$G$2:$G$2407,'август 2025'!$D$2:$D$2407,$B71,'август 2025'!$J$2:$J$2407,M$1)</f>
        <v>0</v>
      </c>
      <c r="N71" s="76">
        <f>SUMIFS('август 2025'!$G$2:$G$2407,'август 2025'!$D$2:$D$2407,$B71,'август 2025'!$J$2:$J$2407,N$1)</f>
        <v>0</v>
      </c>
      <c r="O71" s="76">
        <f>SUMIFS('август 2025'!$G$2:$G$2407,'август 2025'!$D$2:$D$2407,$B71,'август 2025'!$J$2:$J$2407,O$1)</f>
        <v>0</v>
      </c>
      <c r="P71" s="76">
        <f>SUMIFS('август 2025'!$G$2:$G$2407,'август 2025'!$D$2:$D$2407,$B71,'август 2025'!$J$2:$J$2407,P$1)</f>
        <v>0</v>
      </c>
      <c r="Q71" s="76">
        <f>SUMIFS('август 2025'!$G$2:$G$2407,'август 2025'!$D$2:$D$2407,$B71,'август 2025'!$J$2:$J$2407,Q$1)</f>
        <v>0</v>
      </c>
      <c r="R71" s="76">
        <f>SUMIFS('август 2025'!$G$2:$G$2407,'август 2025'!$D$2:$D$2407,$B71,'август 2025'!$J$2:$J$2407,R$1)</f>
        <v>0</v>
      </c>
      <c r="S71" s="76">
        <f>SUMIFS('август 2025'!$G$2:$G$2407,'август 2025'!$D$2:$D$2407,$B71,'август 2025'!$J$2:$J$2407,S$1)</f>
        <v>0</v>
      </c>
      <c r="T71" s="76">
        <f>SUMIFS('август 2025'!$G$2:$G$2407,'август 2025'!$D$2:$D$2407,$B71,'август 2025'!$J$2:$J$2407,T$1)</f>
        <v>0</v>
      </c>
      <c r="U71" s="76">
        <f>SUMIFS('август 2025'!$G$2:$G$2407,'август 2025'!$D$2:$D$2407,$B71,'август 2025'!$J$2:$J$2407,U$1)</f>
        <v>0</v>
      </c>
      <c r="V71" s="76">
        <f>SUMIFS('август 2025'!$G$2:$G$2407,'август 2025'!$D$2:$D$2407,$B71,'август 2025'!$J$2:$J$2407,V$1)</f>
        <v>0</v>
      </c>
      <c r="W71" s="76">
        <f>SUMIFS('август 2025'!$G$2:$G$2407,'август 2025'!$D$2:$D$2407,$B71,'август 2025'!$J$2:$J$2407,W$1)</f>
        <v>0</v>
      </c>
      <c r="X71" s="76">
        <f>SUMIFS('август 2025'!$G$2:$G$2407,'август 2025'!$D$2:$D$2407,$B71,'август 2025'!$J$2:$J$2407,X$1)</f>
        <v>0</v>
      </c>
      <c r="Y71" s="76">
        <f>SUMIFS('август 2025'!$G$2:$G$2407,'август 2025'!$D$2:$D$2407,$B71,'август 2025'!$J$2:$J$2407,Y$1)</f>
        <v>0</v>
      </c>
      <c r="Z71" s="76">
        <f>SUMIFS('август 2025'!$G$2:$G$2407,'август 2025'!$D$2:$D$2407,$B71,'август 2025'!$J$2:$J$2407,Z$1)</f>
        <v>0</v>
      </c>
      <c r="AA71" s="76">
        <f>SUMIFS('август 2025'!$G$2:$G$2407,'август 2025'!$D$2:$D$2407,$B71,'август 2025'!$J$2:$J$2407,AA$1)</f>
        <v>0</v>
      </c>
      <c r="AB71" s="76">
        <f>SUMIFS('август 2025'!$G$2:$G$2407,'август 2025'!$D$2:$D$2407,$B71,'август 2025'!$J$2:$J$2407,AB$1)</f>
        <v>0</v>
      </c>
      <c r="AC71" s="76">
        <f>SUMIFS('август 2025'!$G$2:$G$2407,'август 2025'!$D$2:$D$2407,$B71,'август 2025'!$J$2:$J$2407,AC$1)</f>
        <v>0</v>
      </c>
      <c r="AD71" s="76">
        <f>SUMIFS('август 2025'!$G$2:$G$2407,'август 2025'!$D$2:$D$2407,$B71,'август 2025'!$J$2:$J$2407,AD$1)</f>
        <v>0</v>
      </c>
      <c r="AE71" s="76">
        <f>SUMIFS('август 2025'!$G$2:$G$2407,'август 2025'!$D$2:$D$2407,$B71,'август 2025'!$J$2:$J$2407,AE$1)</f>
        <v>0</v>
      </c>
      <c r="AF71" s="76">
        <f>SUMIFS('август 2025'!$G$2:$G$2407,'август 2025'!$D$2:$D$2407,$B71,'август 2025'!$J$2:$J$2407,AF$1)</f>
        <v>0</v>
      </c>
      <c r="AG71" s="76">
        <f>SUMIFS('август 2025'!$G$2:$G$2407,'август 2025'!$D$2:$D$2407,$B71,'август 2025'!$J$2:$J$2407,AG$1)</f>
        <v>0</v>
      </c>
      <c r="AH71" s="76">
        <f>SUMIFS('август 2025'!$G$2:$G$2407,'август 2025'!$D$2:$D$2407,$B71,'август 2025'!$J$2:$J$2407,AH$1)</f>
        <v>0</v>
      </c>
      <c r="AI71" s="20">
        <f t="shared" si="1"/>
        <v>0</v>
      </c>
    </row>
    <row r="72" spans="2:35" ht="15.75" x14ac:dyDescent="0.25">
      <c r="B72" s="88" t="s">
        <v>157</v>
      </c>
      <c r="C72" s="86">
        <v>200</v>
      </c>
      <c r="D72" s="76">
        <f>SUMIFS('август 2025'!$G$2:$G$2407,'август 2025'!$D$2:$D$2407,$B72,'август 2025'!$J$2:$J$2407,D$1)</f>
        <v>0</v>
      </c>
      <c r="E72" s="76">
        <f>SUMIFS('август 2025'!$G$2:$G$2407,'август 2025'!$D$2:$D$2407,$B72,'август 2025'!$J$2:$J$2407,E$1)</f>
        <v>0</v>
      </c>
      <c r="F72" s="76">
        <f>SUMIFS('август 2025'!$G$2:$G$2407,'август 2025'!$D$2:$D$2407,$B72,'август 2025'!$J$2:$J$2407,F$1)</f>
        <v>0</v>
      </c>
      <c r="G72" s="76">
        <f>SUMIFS('август 2025'!$G$2:$G$2407,'август 2025'!$D$2:$D$2407,$B72,'август 2025'!$J$2:$J$2407,G$1)</f>
        <v>0</v>
      </c>
      <c r="H72" s="76">
        <f>SUMIFS('август 2025'!$G$2:$G$2407,'август 2025'!$D$2:$D$2407,$B72,'август 2025'!$J$2:$J$2407,H$1)</f>
        <v>0</v>
      </c>
      <c r="I72" s="76">
        <f>SUMIFS('август 2025'!$G$2:$G$2407,'август 2025'!$D$2:$D$2407,$B72,'август 2025'!$J$2:$J$2407,I$1)</f>
        <v>0</v>
      </c>
      <c r="J72" s="76">
        <f>SUMIFS('август 2025'!$G$2:$G$2407,'август 2025'!$D$2:$D$2407,$B72,'август 2025'!$J$2:$J$2407,J$1)</f>
        <v>0</v>
      </c>
      <c r="K72" s="76">
        <f>SUMIFS('август 2025'!$G$2:$G$2407,'август 2025'!$D$2:$D$2407,$B72,'август 2025'!$J$2:$J$2407,K$1)</f>
        <v>0</v>
      </c>
      <c r="L72" s="76">
        <f>SUMIFS('август 2025'!$G$2:$G$2407,'август 2025'!$D$2:$D$2407,$B72,'август 2025'!$J$2:$J$2407,L$1)</f>
        <v>0</v>
      </c>
      <c r="M72" s="76">
        <f>SUMIFS('август 2025'!$G$2:$G$2407,'август 2025'!$D$2:$D$2407,$B72,'август 2025'!$J$2:$J$2407,M$1)</f>
        <v>0</v>
      </c>
      <c r="N72" s="76">
        <f>SUMIFS('август 2025'!$G$2:$G$2407,'август 2025'!$D$2:$D$2407,$B72,'август 2025'!$J$2:$J$2407,N$1)</f>
        <v>176</v>
      </c>
      <c r="O72" s="76">
        <f>SUMIFS('август 2025'!$G$2:$G$2407,'август 2025'!$D$2:$D$2407,$B72,'август 2025'!$J$2:$J$2407,O$1)</f>
        <v>0</v>
      </c>
      <c r="P72" s="76">
        <f>SUMIFS('август 2025'!$G$2:$G$2407,'август 2025'!$D$2:$D$2407,$B72,'август 2025'!$J$2:$J$2407,P$1)</f>
        <v>0</v>
      </c>
      <c r="Q72" s="76">
        <f>SUMIFS('август 2025'!$G$2:$G$2407,'август 2025'!$D$2:$D$2407,$B72,'август 2025'!$J$2:$J$2407,Q$1)</f>
        <v>0</v>
      </c>
      <c r="R72" s="76">
        <f>SUMIFS('август 2025'!$G$2:$G$2407,'август 2025'!$D$2:$D$2407,$B72,'август 2025'!$J$2:$J$2407,R$1)</f>
        <v>0</v>
      </c>
      <c r="S72" s="76">
        <f>SUMIFS('август 2025'!$G$2:$G$2407,'август 2025'!$D$2:$D$2407,$B72,'август 2025'!$J$2:$J$2407,S$1)</f>
        <v>0</v>
      </c>
      <c r="T72" s="76">
        <f>SUMIFS('август 2025'!$G$2:$G$2407,'август 2025'!$D$2:$D$2407,$B72,'август 2025'!$J$2:$J$2407,T$1)</f>
        <v>0</v>
      </c>
      <c r="U72" s="76">
        <f>SUMIFS('август 2025'!$G$2:$G$2407,'август 2025'!$D$2:$D$2407,$B72,'август 2025'!$J$2:$J$2407,U$1)</f>
        <v>0</v>
      </c>
      <c r="V72" s="76">
        <f>SUMIFS('август 2025'!$G$2:$G$2407,'август 2025'!$D$2:$D$2407,$B72,'август 2025'!$J$2:$J$2407,V$1)</f>
        <v>0</v>
      </c>
      <c r="W72" s="76">
        <f>SUMIFS('август 2025'!$G$2:$G$2407,'август 2025'!$D$2:$D$2407,$B72,'август 2025'!$J$2:$J$2407,W$1)</f>
        <v>0</v>
      </c>
      <c r="X72" s="76">
        <f>SUMIFS('август 2025'!$G$2:$G$2407,'август 2025'!$D$2:$D$2407,$B72,'август 2025'!$J$2:$J$2407,X$1)</f>
        <v>0</v>
      </c>
      <c r="Y72" s="76">
        <f>SUMIFS('август 2025'!$G$2:$G$2407,'август 2025'!$D$2:$D$2407,$B72,'август 2025'!$J$2:$J$2407,Y$1)</f>
        <v>0</v>
      </c>
      <c r="Z72" s="76">
        <f>SUMIFS('август 2025'!$G$2:$G$2407,'август 2025'!$D$2:$D$2407,$B72,'август 2025'!$J$2:$J$2407,Z$1)</f>
        <v>0</v>
      </c>
      <c r="AA72" s="76">
        <f>SUMIFS('август 2025'!$G$2:$G$2407,'август 2025'!$D$2:$D$2407,$B72,'август 2025'!$J$2:$J$2407,AA$1)</f>
        <v>0</v>
      </c>
      <c r="AB72" s="76">
        <f>SUMIFS('август 2025'!$G$2:$G$2407,'август 2025'!$D$2:$D$2407,$B72,'август 2025'!$J$2:$J$2407,AB$1)</f>
        <v>0</v>
      </c>
      <c r="AC72" s="76">
        <f>SUMIFS('август 2025'!$G$2:$G$2407,'август 2025'!$D$2:$D$2407,$B72,'август 2025'!$J$2:$J$2407,AC$1)</f>
        <v>0</v>
      </c>
      <c r="AD72" s="76">
        <f>SUMIFS('август 2025'!$G$2:$G$2407,'август 2025'!$D$2:$D$2407,$B72,'август 2025'!$J$2:$J$2407,AD$1)</f>
        <v>0</v>
      </c>
      <c r="AE72" s="76">
        <f>SUMIFS('август 2025'!$G$2:$G$2407,'август 2025'!$D$2:$D$2407,$B72,'август 2025'!$J$2:$J$2407,AE$1)</f>
        <v>0</v>
      </c>
      <c r="AF72" s="76">
        <f>SUMIFS('август 2025'!$G$2:$G$2407,'август 2025'!$D$2:$D$2407,$B72,'август 2025'!$J$2:$J$2407,AF$1)</f>
        <v>0</v>
      </c>
      <c r="AG72" s="76">
        <f>SUMIFS('август 2025'!$G$2:$G$2407,'август 2025'!$D$2:$D$2407,$B72,'август 2025'!$J$2:$J$2407,AG$1)</f>
        <v>0</v>
      </c>
      <c r="AH72" s="76">
        <f>SUMIFS('август 2025'!$G$2:$G$2407,'август 2025'!$D$2:$D$2407,$B72,'август 2025'!$J$2:$J$2407,AH$1)</f>
        <v>0</v>
      </c>
      <c r="AI72" s="20">
        <f t="shared" si="1"/>
        <v>176</v>
      </c>
    </row>
    <row r="73" spans="2:35" ht="15.75" x14ac:dyDescent="0.25">
      <c r="B73" s="88" t="s">
        <v>299</v>
      </c>
      <c r="C73" s="86">
        <v>200</v>
      </c>
      <c r="D73" s="76">
        <f>SUMIFS('август 2025'!$G$2:$G$2407,'август 2025'!$D$2:$D$2407,$B73,'август 2025'!$J$2:$J$2407,D$1)</f>
        <v>0</v>
      </c>
      <c r="E73" s="76">
        <f>SUMIFS('август 2025'!$G$2:$G$2407,'август 2025'!$D$2:$D$2407,$B73,'август 2025'!$J$2:$J$2407,E$1)</f>
        <v>0</v>
      </c>
      <c r="F73" s="76">
        <f>SUMIFS('август 2025'!$G$2:$G$2407,'август 2025'!$D$2:$D$2407,$B73,'август 2025'!$J$2:$J$2407,F$1)</f>
        <v>0</v>
      </c>
      <c r="G73" s="76">
        <f>SUMIFS('август 2025'!$G$2:$G$2407,'август 2025'!$D$2:$D$2407,$B73,'август 2025'!$J$2:$J$2407,G$1)</f>
        <v>0</v>
      </c>
      <c r="H73" s="76">
        <f>SUMIFS('август 2025'!$G$2:$G$2407,'август 2025'!$D$2:$D$2407,$B73,'август 2025'!$J$2:$J$2407,H$1)</f>
        <v>0</v>
      </c>
      <c r="I73" s="76">
        <f>SUMIFS('август 2025'!$G$2:$G$2407,'август 2025'!$D$2:$D$2407,$B73,'август 2025'!$J$2:$J$2407,I$1)</f>
        <v>0</v>
      </c>
      <c r="J73" s="76">
        <f>SUMIFS('август 2025'!$G$2:$G$2407,'август 2025'!$D$2:$D$2407,$B73,'август 2025'!$J$2:$J$2407,J$1)</f>
        <v>0</v>
      </c>
      <c r="K73" s="76">
        <f>SUMIFS('август 2025'!$G$2:$G$2407,'август 2025'!$D$2:$D$2407,$B73,'август 2025'!$J$2:$J$2407,K$1)</f>
        <v>0</v>
      </c>
      <c r="L73" s="76">
        <f>SUMIFS('август 2025'!$G$2:$G$2407,'август 2025'!$D$2:$D$2407,$B73,'август 2025'!$J$2:$J$2407,L$1)</f>
        <v>0</v>
      </c>
      <c r="M73" s="76">
        <f>SUMIFS('август 2025'!$G$2:$G$2407,'август 2025'!$D$2:$D$2407,$B73,'август 2025'!$J$2:$J$2407,M$1)</f>
        <v>0</v>
      </c>
      <c r="N73" s="76">
        <f>SUMIFS('август 2025'!$G$2:$G$2407,'август 2025'!$D$2:$D$2407,$B73,'август 2025'!$J$2:$J$2407,N$1)</f>
        <v>0</v>
      </c>
      <c r="O73" s="76">
        <f>SUMIFS('август 2025'!$G$2:$G$2407,'август 2025'!$D$2:$D$2407,$B73,'август 2025'!$J$2:$J$2407,O$1)</f>
        <v>0</v>
      </c>
      <c r="P73" s="76">
        <f>SUMIFS('август 2025'!$G$2:$G$2407,'август 2025'!$D$2:$D$2407,$B73,'август 2025'!$J$2:$J$2407,P$1)</f>
        <v>0</v>
      </c>
      <c r="Q73" s="76">
        <f>SUMIFS('август 2025'!$G$2:$G$2407,'август 2025'!$D$2:$D$2407,$B73,'август 2025'!$J$2:$J$2407,Q$1)</f>
        <v>0</v>
      </c>
      <c r="R73" s="76">
        <f>SUMIFS('август 2025'!$G$2:$G$2407,'август 2025'!$D$2:$D$2407,$B73,'август 2025'!$J$2:$J$2407,R$1)</f>
        <v>0</v>
      </c>
      <c r="S73" s="76">
        <f>SUMIFS('август 2025'!$G$2:$G$2407,'август 2025'!$D$2:$D$2407,$B73,'август 2025'!$J$2:$J$2407,S$1)</f>
        <v>0</v>
      </c>
      <c r="T73" s="76">
        <f>SUMIFS('август 2025'!$G$2:$G$2407,'август 2025'!$D$2:$D$2407,$B73,'август 2025'!$J$2:$J$2407,T$1)</f>
        <v>0</v>
      </c>
      <c r="U73" s="76">
        <f>SUMIFS('август 2025'!$G$2:$G$2407,'август 2025'!$D$2:$D$2407,$B73,'август 2025'!$J$2:$J$2407,U$1)</f>
        <v>0</v>
      </c>
      <c r="V73" s="76">
        <f>SUMIFS('август 2025'!$G$2:$G$2407,'август 2025'!$D$2:$D$2407,$B73,'август 2025'!$J$2:$J$2407,V$1)</f>
        <v>0</v>
      </c>
      <c r="W73" s="76">
        <f>SUMIFS('август 2025'!$G$2:$G$2407,'август 2025'!$D$2:$D$2407,$B73,'август 2025'!$J$2:$J$2407,W$1)</f>
        <v>0</v>
      </c>
      <c r="X73" s="76">
        <f>SUMIFS('август 2025'!$G$2:$G$2407,'август 2025'!$D$2:$D$2407,$B73,'август 2025'!$J$2:$J$2407,X$1)</f>
        <v>0</v>
      </c>
      <c r="Y73" s="76">
        <f>SUMIFS('август 2025'!$G$2:$G$2407,'август 2025'!$D$2:$D$2407,$B73,'август 2025'!$J$2:$J$2407,Y$1)</f>
        <v>0</v>
      </c>
      <c r="Z73" s="76">
        <f>SUMIFS('август 2025'!$G$2:$G$2407,'август 2025'!$D$2:$D$2407,$B73,'август 2025'!$J$2:$J$2407,Z$1)</f>
        <v>0</v>
      </c>
      <c r="AA73" s="76">
        <f>SUMIFS('август 2025'!$G$2:$G$2407,'август 2025'!$D$2:$D$2407,$B73,'август 2025'!$J$2:$J$2407,AA$1)</f>
        <v>0</v>
      </c>
      <c r="AB73" s="76">
        <f>SUMIFS('август 2025'!$G$2:$G$2407,'август 2025'!$D$2:$D$2407,$B73,'август 2025'!$J$2:$J$2407,AB$1)</f>
        <v>0</v>
      </c>
      <c r="AC73" s="76">
        <f>SUMIFS('август 2025'!$G$2:$G$2407,'август 2025'!$D$2:$D$2407,$B73,'август 2025'!$J$2:$J$2407,AC$1)</f>
        <v>0</v>
      </c>
      <c r="AD73" s="76">
        <f>SUMIFS('август 2025'!$G$2:$G$2407,'август 2025'!$D$2:$D$2407,$B73,'август 2025'!$J$2:$J$2407,AD$1)</f>
        <v>0</v>
      </c>
      <c r="AE73" s="76">
        <f>SUMIFS('август 2025'!$G$2:$G$2407,'август 2025'!$D$2:$D$2407,$B73,'август 2025'!$J$2:$J$2407,AE$1)</f>
        <v>0</v>
      </c>
      <c r="AF73" s="76">
        <f>SUMIFS('август 2025'!$G$2:$G$2407,'август 2025'!$D$2:$D$2407,$B73,'август 2025'!$J$2:$J$2407,AF$1)</f>
        <v>0</v>
      </c>
      <c r="AG73" s="76">
        <f>SUMIFS('август 2025'!$G$2:$G$2407,'август 2025'!$D$2:$D$2407,$B73,'август 2025'!$J$2:$J$2407,AG$1)</f>
        <v>0</v>
      </c>
      <c r="AH73" s="76">
        <f>SUMIFS('август 2025'!$G$2:$G$2407,'август 2025'!$D$2:$D$2407,$B73,'август 2025'!$J$2:$J$2407,AH$1)</f>
        <v>0</v>
      </c>
      <c r="AI73" s="20">
        <f t="shared" si="1"/>
        <v>0</v>
      </c>
    </row>
    <row r="74" spans="2:35" ht="15.75" x14ac:dyDescent="0.25">
      <c r="B74" s="88" t="s">
        <v>994</v>
      </c>
      <c r="C74" s="86">
        <v>190</v>
      </c>
      <c r="D74" s="76">
        <f>SUMIFS('август 2025'!$G$2:$G$2407,'август 2025'!$D$2:$D$2407,$B74,'август 2025'!$J$2:$J$2407,D$1)</f>
        <v>0</v>
      </c>
      <c r="E74" s="76">
        <f>SUMIFS('август 2025'!$G$2:$G$2407,'август 2025'!$D$2:$D$2407,$B74,'август 2025'!$J$2:$J$2407,E$1)</f>
        <v>0</v>
      </c>
      <c r="F74" s="76">
        <f>SUMIFS('август 2025'!$G$2:$G$2407,'август 2025'!$D$2:$D$2407,$B74,'август 2025'!$J$2:$J$2407,F$1)</f>
        <v>0</v>
      </c>
      <c r="G74" s="76">
        <f>SUMIFS('август 2025'!$G$2:$G$2407,'август 2025'!$D$2:$D$2407,$B74,'август 2025'!$J$2:$J$2407,G$1)</f>
        <v>0</v>
      </c>
      <c r="H74" s="76">
        <f>SUMIFS('август 2025'!$G$2:$G$2407,'август 2025'!$D$2:$D$2407,$B74,'август 2025'!$J$2:$J$2407,H$1)</f>
        <v>0</v>
      </c>
      <c r="I74" s="76">
        <f>SUMIFS('август 2025'!$G$2:$G$2407,'август 2025'!$D$2:$D$2407,$B74,'август 2025'!$J$2:$J$2407,I$1)</f>
        <v>0</v>
      </c>
      <c r="J74" s="76">
        <f>SUMIFS('август 2025'!$G$2:$G$2407,'август 2025'!$D$2:$D$2407,$B74,'август 2025'!$J$2:$J$2407,J$1)</f>
        <v>0</v>
      </c>
      <c r="K74" s="76">
        <f>SUMIFS('август 2025'!$G$2:$G$2407,'август 2025'!$D$2:$D$2407,$B74,'август 2025'!$J$2:$J$2407,K$1)</f>
        <v>0</v>
      </c>
      <c r="L74" s="76">
        <f>SUMIFS('август 2025'!$G$2:$G$2407,'август 2025'!$D$2:$D$2407,$B74,'август 2025'!$J$2:$J$2407,L$1)</f>
        <v>0</v>
      </c>
      <c r="M74" s="76">
        <f>SUMIFS('август 2025'!$G$2:$G$2407,'август 2025'!$D$2:$D$2407,$B74,'август 2025'!$J$2:$J$2407,M$1)</f>
        <v>0</v>
      </c>
      <c r="N74" s="76">
        <f>SUMIFS('август 2025'!$G$2:$G$2407,'август 2025'!$D$2:$D$2407,$B74,'август 2025'!$J$2:$J$2407,N$1)</f>
        <v>0</v>
      </c>
      <c r="O74" s="76">
        <f>SUMIFS('август 2025'!$G$2:$G$2407,'август 2025'!$D$2:$D$2407,$B74,'август 2025'!$J$2:$J$2407,O$1)</f>
        <v>0</v>
      </c>
      <c r="P74" s="76">
        <f>SUMIFS('август 2025'!$G$2:$G$2407,'август 2025'!$D$2:$D$2407,$B74,'август 2025'!$J$2:$J$2407,P$1)</f>
        <v>0</v>
      </c>
      <c r="Q74" s="76">
        <f>SUMIFS('август 2025'!$G$2:$G$2407,'август 2025'!$D$2:$D$2407,$B74,'август 2025'!$J$2:$J$2407,Q$1)</f>
        <v>0</v>
      </c>
      <c r="R74" s="76">
        <f>SUMIFS('август 2025'!$G$2:$G$2407,'август 2025'!$D$2:$D$2407,$B74,'август 2025'!$J$2:$J$2407,R$1)</f>
        <v>0</v>
      </c>
      <c r="S74" s="76">
        <f>SUMIFS('август 2025'!$G$2:$G$2407,'август 2025'!$D$2:$D$2407,$B74,'август 2025'!$J$2:$J$2407,S$1)</f>
        <v>0</v>
      </c>
      <c r="T74" s="76">
        <f>SUMIFS('август 2025'!$G$2:$G$2407,'август 2025'!$D$2:$D$2407,$B74,'август 2025'!$J$2:$J$2407,T$1)</f>
        <v>0</v>
      </c>
      <c r="U74" s="76">
        <f>SUMIFS('август 2025'!$G$2:$G$2407,'август 2025'!$D$2:$D$2407,$B74,'август 2025'!$J$2:$J$2407,U$1)</f>
        <v>0</v>
      </c>
      <c r="V74" s="76">
        <f>SUMIFS('август 2025'!$G$2:$G$2407,'август 2025'!$D$2:$D$2407,$B74,'август 2025'!$J$2:$J$2407,V$1)</f>
        <v>0</v>
      </c>
      <c r="W74" s="76">
        <f>SUMIFS('август 2025'!$G$2:$G$2407,'август 2025'!$D$2:$D$2407,$B74,'август 2025'!$J$2:$J$2407,W$1)</f>
        <v>0</v>
      </c>
      <c r="X74" s="76">
        <f>SUMIFS('август 2025'!$G$2:$G$2407,'август 2025'!$D$2:$D$2407,$B74,'август 2025'!$J$2:$J$2407,X$1)</f>
        <v>0</v>
      </c>
      <c r="Y74" s="76">
        <f>SUMIFS('август 2025'!$G$2:$G$2407,'август 2025'!$D$2:$D$2407,$B74,'август 2025'!$J$2:$J$2407,Y$1)</f>
        <v>0</v>
      </c>
      <c r="Z74" s="76">
        <f>SUMIFS('август 2025'!$G$2:$G$2407,'август 2025'!$D$2:$D$2407,$B74,'август 2025'!$J$2:$J$2407,Z$1)</f>
        <v>0</v>
      </c>
      <c r="AA74" s="76">
        <f>SUMIFS('август 2025'!$G$2:$G$2407,'август 2025'!$D$2:$D$2407,$B74,'август 2025'!$J$2:$J$2407,AA$1)</f>
        <v>0</v>
      </c>
      <c r="AB74" s="76">
        <f>SUMIFS('август 2025'!$G$2:$G$2407,'август 2025'!$D$2:$D$2407,$B74,'август 2025'!$J$2:$J$2407,AB$1)</f>
        <v>0</v>
      </c>
      <c r="AC74" s="76">
        <f>SUMIFS('август 2025'!$G$2:$G$2407,'август 2025'!$D$2:$D$2407,$B74,'август 2025'!$J$2:$J$2407,AC$1)</f>
        <v>0</v>
      </c>
      <c r="AD74" s="76">
        <f>SUMIFS('август 2025'!$G$2:$G$2407,'август 2025'!$D$2:$D$2407,$B74,'август 2025'!$J$2:$J$2407,AD$1)</f>
        <v>0</v>
      </c>
      <c r="AE74" s="76">
        <f>SUMIFS('август 2025'!$G$2:$G$2407,'август 2025'!$D$2:$D$2407,$B74,'август 2025'!$J$2:$J$2407,AE$1)</f>
        <v>0</v>
      </c>
      <c r="AF74" s="76">
        <f>SUMIFS('август 2025'!$G$2:$G$2407,'август 2025'!$D$2:$D$2407,$B74,'август 2025'!$J$2:$J$2407,AF$1)</f>
        <v>0</v>
      </c>
      <c r="AG74" s="76">
        <f>SUMIFS('август 2025'!$G$2:$G$2407,'август 2025'!$D$2:$D$2407,$B74,'август 2025'!$J$2:$J$2407,AG$1)</f>
        <v>0</v>
      </c>
      <c r="AH74" s="76">
        <f>SUMIFS('август 2025'!$G$2:$G$2407,'август 2025'!$D$2:$D$2407,$B74,'август 2025'!$J$2:$J$2407,AH$1)</f>
        <v>0</v>
      </c>
      <c r="AI74" s="20">
        <f t="shared" si="1"/>
        <v>0</v>
      </c>
    </row>
    <row r="75" spans="2:35" ht="15" customHeight="1" x14ac:dyDescent="0.25">
      <c r="B75" s="88" t="s">
        <v>202</v>
      </c>
      <c r="C75" s="86">
        <v>200</v>
      </c>
      <c r="D75" s="76">
        <f>SUMIFS('август 2025'!$G$2:$G$2407,'август 2025'!$D$2:$D$2407,$B75,'август 2025'!$J$2:$J$2407,D$1)</f>
        <v>0</v>
      </c>
      <c r="E75" s="76">
        <f>SUMIFS('август 2025'!$G$2:$G$2407,'август 2025'!$D$2:$D$2407,$B75,'август 2025'!$J$2:$J$2407,E$1)</f>
        <v>0</v>
      </c>
      <c r="F75" s="76">
        <f>SUMIFS('август 2025'!$G$2:$G$2407,'август 2025'!$D$2:$D$2407,$B75,'август 2025'!$J$2:$J$2407,F$1)</f>
        <v>0</v>
      </c>
      <c r="G75" s="76">
        <f>SUMIFS('август 2025'!$G$2:$G$2407,'август 2025'!$D$2:$D$2407,$B75,'август 2025'!$J$2:$J$2407,G$1)</f>
        <v>0</v>
      </c>
      <c r="H75" s="76">
        <f>SUMIFS('август 2025'!$G$2:$G$2407,'август 2025'!$D$2:$D$2407,$B75,'август 2025'!$J$2:$J$2407,H$1)</f>
        <v>0</v>
      </c>
      <c r="I75" s="76">
        <f>SUMIFS('август 2025'!$G$2:$G$2407,'август 2025'!$D$2:$D$2407,$B75,'август 2025'!$J$2:$J$2407,I$1)</f>
        <v>0</v>
      </c>
      <c r="J75" s="76">
        <f>SUMIFS('август 2025'!$G$2:$G$2407,'август 2025'!$D$2:$D$2407,$B75,'август 2025'!$J$2:$J$2407,J$1)</f>
        <v>0</v>
      </c>
      <c r="K75" s="76">
        <f>SUMIFS('август 2025'!$G$2:$G$2407,'август 2025'!$D$2:$D$2407,$B75,'август 2025'!$J$2:$J$2407,K$1)</f>
        <v>0</v>
      </c>
      <c r="L75" s="76">
        <f>SUMIFS('август 2025'!$G$2:$G$2407,'август 2025'!$D$2:$D$2407,$B75,'август 2025'!$J$2:$J$2407,L$1)</f>
        <v>0</v>
      </c>
      <c r="M75" s="76">
        <f>SUMIFS('август 2025'!$G$2:$G$2407,'август 2025'!$D$2:$D$2407,$B75,'август 2025'!$J$2:$J$2407,M$1)</f>
        <v>0</v>
      </c>
      <c r="N75" s="76">
        <f>SUMIFS('август 2025'!$G$2:$G$2407,'август 2025'!$D$2:$D$2407,$B75,'август 2025'!$J$2:$J$2407,N$1)</f>
        <v>0</v>
      </c>
      <c r="O75" s="76">
        <f>SUMIFS('август 2025'!$G$2:$G$2407,'август 2025'!$D$2:$D$2407,$B75,'август 2025'!$J$2:$J$2407,O$1)</f>
        <v>0</v>
      </c>
      <c r="P75" s="76">
        <f>SUMIFS('август 2025'!$G$2:$G$2407,'август 2025'!$D$2:$D$2407,$B75,'август 2025'!$J$2:$J$2407,P$1)</f>
        <v>0</v>
      </c>
      <c r="Q75" s="76">
        <f>SUMIFS('август 2025'!$G$2:$G$2407,'август 2025'!$D$2:$D$2407,$B75,'август 2025'!$J$2:$J$2407,Q$1)</f>
        <v>0</v>
      </c>
      <c r="R75" s="76">
        <f>SUMIFS('август 2025'!$G$2:$G$2407,'август 2025'!$D$2:$D$2407,$B75,'август 2025'!$J$2:$J$2407,R$1)</f>
        <v>0</v>
      </c>
      <c r="S75" s="76">
        <f>SUMIFS('август 2025'!$G$2:$G$2407,'август 2025'!$D$2:$D$2407,$B75,'август 2025'!$J$2:$J$2407,S$1)</f>
        <v>0</v>
      </c>
      <c r="T75" s="76">
        <f>SUMIFS('август 2025'!$G$2:$G$2407,'август 2025'!$D$2:$D$2407,$B75,'август 2025'!$J$2:$J$2407,T$1)</f>
        <v>0</v>
      </c>
      <c r="U75" s="76">
        <f>SUMIFS('август 2025'!$G$2:$G$2407,'август 2025'!$D$2:$D$2407,$B75,'август 2025'!$J$2:$J$2407,U$1)</f>
        <v>0</v>
      </c>
      <c r="V75" s="76">
        <f>SUMIFS('август 2025'!$G$2:$G$2407,'август 2025'!$D$2:$D$2407,$B75,'август 2025'!$J$2:$J$2407,V$1)</f>
        <v>0</v>
      </c>
      <c r="W75" s="76">
        <f>SUMIFS('август 2025'!$G$2:$G$2407,'август 2025'!$D$2:$D$2407,$B75,'август 2025'!$J$2:$J$2407,W$1)</f>
        <v>0</v>
      </c>
      <c r="X75" s="76">
        <f>SUMIFS('август 2025'!$G$2:$G$2407,'август 2025'!$D$2:$D$2407,$B75,'август 2025'!$J$2:$J$2407,X$1)</f>
        <v>0</v>
      </c>
      <c r="Y75" s="76">
        <f>SUMIFS('август 2025'!$G$2:$G$2407,'август 2025'!$D$2:$D$2407,$B75,'август 2025'!$J$2:$J$2407,Y$1)</f>
        <v>0</v>
      </c>
      <c r="Z75" s="76">
        <f>SUMIFS('август 2025'!$G$2:$G$2407,'август 2025'!$D$2:$D$2407,$B75,'август 2025'!$J$2:$J$2407,Z$1)</f>
        <v>0</v>
      </c>
      <c r="AA75" s="76">
        <f>SUMIFS('август 2025'!$G$2:$G$2407,'август 2025'!$D$2:$D$2407,$B75,'август 2025'!$J$2:$J$2407,AA$1)</f>
        <v>0</v>
      </c>
      <c r="AB75" s="76">
        <f>SUMIFS('август 2025'!$G$2:$G$2407,'август 2025'!$D$2:$D$2407,$B75,'август 2025'!$J$2:$J$2407,AB$1)</f>
        <v>0</v>
      </c>
      <c r="AC75" s="76">
        <f>SUMIFS('август 2025'!$G$2:$G$2407,'август 2025'!$D$2:$D$2407,$B75,'август 2025'!$J$2:$J$2407,AC$1)</f>
        <v>0</v>
      </c>
      <c r="AD75" s="76">
        <f>SUMIFS('август 2025'!$G$2:$G$2407,'август 2025'!$D$2:$D$2407,$B75,'август 2025'!$J$2:$J$2407,AD$1)</f>
        <v>0</v>
      </c>
      <c r="AE75" s="76">
        <f>SUMIFS('август 2025'!$G$2:$G$2407,'август 2025'!$D$2:$D$2407,$B75,'август 2025'!$J$2:$J$2407,AE$1)</f>
        <v>0</v>
      </c>
      <c r="AF75" s="76">
        <f>SUMIFS('август 2025'!$G$2:$G$2407,'август 2025'!$D$2:$D$2407,$B75,'август 2025'!$J$2:$J$2407,AF$1)</f>
        <v>0</v>
      </c>
      <c r="AG75" s="76">
        <f>SUMIFS('август 2025'!$G$2:$G$2407,'август 2025'!$D$2:$D$2407,$B75,'август 2025'!$J$2:$J$2407,AG$1)</f>
        <v>0</v>
      </c>
      <c r="AH75" s="76">
        <f>SUMIFS('август 2025'!$G$2:$G$2407,'август 2025'!$D$2:$D$2407,$B75,'август 2025'!$J$2:$J$2407,AH$1)</f>
        <v>0</v>
      </c>
      <c r="AI75" s="20">
        <f t="shared" si="1"/>
        <v>0</v>
      </c>
    </row>
    <row r="76" spans="2:35" ht="15" customHeight="1" x14ac:dyDescent="0.25">
      <c r="B76" s="88" t="s">
        <v>187</v>
      </c>
      <c r="C76" s="86">
        <v>200</v>
      </c>
      <c r="D76" s="76">
        <f>SUMIFS('август 2025'!$G$2:$G$2407,'август 2025'!$D$2:$D$2407,$B76,'август 2025'!$J$2:$J$2407,D$1)</f>
        <v>0</v>
      </c>
      <c r="E76" s="76">
        <f>SUMIFS('август 2025'!$G$2:$G$2407,'август 2025'!$D$2:$D$2407,$B76,'август 2025'!$J$2:$J$2407,E$1)</f>
        <v>0</v>
      </c>
      <c r="F76" s="76">
        <f>SUMIFS('август 2025'!$G$2:$G$2407,'август 2025'!$D$2:$D$2407,$B76,'август 2025'!$J$2:$J$2407,F$1)</f>
        <v>0</v>
      </c>
      <c r="G76" s="76">
        <f>SUMIFS('август 2025'!$G$2:$G$2407,'август 2025'!$D$2:$D$2407,$B76,'август 2025'!$J$2:$J$2407,G$1)</f>
        <v>0</v>
      </c>
      <c r="H76" s="76">
        <f>SUMIFS('август 2025'!$G$2:$G$2407,'август 2025'!$D$2:$D$2407,$B76,'август 2025'!$J$2:$J$2407,H$1)</f>
        <v>0</v>
      </c>
      <c r="I76" s="76">
        <f>SUMIFS('август 2025'!$G$2:$G$2407,'август 2025'!$D$2:$D$2407,$B76,'август 2025'!$J$2:$J$2407,I$1)</f>
        <v>0</v>
      </c>
      <c r="J76" s="76">
        <f>SUMIFS('август 2025'!$G$2:$G$2407,'август 2025'!$D$2:$D$2407,$B76,'август 2025'!$J$2:$J$2407,J$1)</f>
        <v>0</v>
      </c>
      <c r="K76" s="76">
        <f>SUMIFS('август 2025'!$G$2:$G$2407,'август 2025'!$D$2:$D$2407,$B76,'август 2025'!$J$2:$J$2407,K$1)</f>
        <v>0</v>
      </c>
      <c r="L76" s="76">
        <f>SUMIFS('август 2025'!$G$2:$G$2407,'август 2025'!$D$2:$D$2407,$B76,'август 2025'!$J$2:$J$2407,L$1)</f>
        <v>0</v>
      </c>
      <c r="M76" s="76">
        <f>SUMIFS('август 2025'!$G$2:$G$2407,'август 2025'!$D$2:$D$2407,$B76,'август 2025'!$J$2:$J$2407,M$1)</f>
        <v>0</v>
      </c>
      <c r="N76" s="76">
        <f>SUMIFS('август 2025'!$G$2:$G$2407,'август 2025'!$D$2:$D$2407,$B76,'август 2025'!$J$2:$J$2407,N$1)</f>
        <v>0</v>
      </c>
      <c r="O76" s="76">
        <f>SUMIFS('август 2025'!$G$2:$G$2407,'август 2025'!$D$2:$D$2407,$B76,'август 2025'!$J$2:$J$2407,O$1)</f>
        <v>0</v>
      </c>
      <c r="P76" s="76">
        <f>SUMIFS('август 2025'!$G$2:$G$2407,'август 2025'!$D$2:$D$2407,$B76,'август 2025'!$J$2:$J$2407,P$1)</f>
        <v>0</v>
      </c>
      <c r="Q76" s="76">
        <f>SUMIFS('август 2025'!$G$2:$G$2407,'август 2025'!$D$2:$D$2407,$B76,'август 2025'!$J$2:$J$2407,Q$1)</f>
        <v>0</v>
      </c>
      <c r="R76" s="76">
        <f>SUMIFS('август 2025'!$G$2:$G$2407,'август 2025'!$D$2:$D$2407,$B76,'август 2025'!$J$2:$J$2407,R$1)</f>
        <v>0</v>
      </c>
      <c r="S76" s="76">
        <f>SUMIFS('август 2025'!$G$2:$G$2407,'август 2025'!$D$2:$D$2407,$B76,'август 2025'!$J$2:$J$2407,S$1)</f>
        <v>0</v>
      </c>
      <c r="T76" s="76">
        <f>SUMIFS('август 2025'!$G$2:$G$2407,'август 2025'!$D$2:$D$2407,$B76,'август 2025'!$J$2:$J$2407,T$1)</f>
        <v>0</v>
      </c>
      <c r="U76" s="76">
        <f>SUMIFS('август 2025'!$G$2:$G$2407,'август 2025'!$D$2:$D$2407,$B76,'август 2025'!$J$2:$J$2407,U$1)</f>
        <v>0</v>
      </c>
      <c r="V76" s="76">
        <f>SUMIFS('август 2025'!$G$2:$G$2407,'август 2025'!$D$2:$D$2407,$B76,'август 2025'!$J$2:$J$2407,V$1)</f>
        <v>0</v>
      </c>
      <c r="W76" s="76">
        <f>SUMIFS('август 2025'!$G$2:$G$2407,'август 2025'!$D$2:$D$2407,$B76,'август 2025'!$J$2:$J$2407,W$1)</f>
        <v>0</v>
      </c>
      <c r="X76" s="76">
        <f>SUMIFS('август 2025'!$G$2:$G$2407,'август 2025'!$D$2:$D$2407,$B76,'август 2025'!$J$2:$J$2407,X$1)</f>
        <v>0</v>
      </c>
      <c r="Y76" s="76">
        <f>SUMIFS('август 2025'!$G$2:$G$2407,'август 2025'!$D$2:$D$2407,$B76,'август 2025'!$J$2:$J$2407,Y$1)</f>
        <v>0</v>
      </c>
      <c r="Z76" s="76">
        <f>SUMIFS('август 2025'!$G$2:$G$2407,'август 2025'!$D$2:$D$2407,$B76,'август 2025'!$J$2:$J$2407,Z$1)</f>
        <v>0</v>
      </c>
      <c r="AA76" s="76">
        <f>SUMIFS('август 2025'!$G$2:$G$2407,'август 2025'!$D$2:$D$2407,$B76,'август 2025'!$J$2:$J$2407,AA$1)</f>
        <v>0</v>
      </c>
      <c r="AB76" s="76">
        <f>SUMIFS('август 2025'!$G$2:$G$2407,'август 2025'!$D$2:$D$2407,$B76,'август 2025'!$J$2:$J$2407,AB$1)</f>
        <v>0</v>
      </c>
      <c r="AC76" s="76">
        <f>SUMIFS('август 2025'!$G$2:$G$2407,'август 2025'!$D$2:$D$2407,$B76,'август 2025'!$J$2:$J$2407,AC$1)</f>
        <v>0</v>
      </c>
      <c r="AD76" s="76">
        <f>SUMIFS('август 2025'!$G$2:$G$2407,'август 2025'!$D$2:$D$2407,$B76,'август 2025'!$J$2:$J$2407,AD$1)</f>
        <v>0</v>
      </c>
      <c r="AE76" s="76">
        <f>SUMIFS('август 2025'!$G$2:$G$2407,'август 2025'!$D$2:$D$2407,$B76,'август 2025'!$J$2:$J$2407,AE$1)</f>
        <v>0</v>
      </c>
      <c r="AF76" s="76">
        <f>SUMIFS('август 2025'!$G$2:$G$2407,'август 2025'!$D$2:$D$2407,$B76,'август 2025'!$J$2:$J$2407,AF$1)</f>
        <v>0</v>
      </c>
      <c r="AG76" s="76">
        <f>SUMIFS('август 2025'!$G$2:$G$2407,'август 2025'!$D$2:$D$2407,$B76,'август 2025'!$J$2:$J$2407,AG$1)</f>
        <v>0</v>
      </c>
      <c r="AH76" s="76">
        <f>SUMIFS('август 2025'!$G$2:$G$2407,'август 2025'!$D$2:$D$2407,$B76,'август 2025'!$J$2:$J$2407,AH$1)</f>
        <v>0</v>
      </c>
      <c r="AI76" s="20">
        <f t="shared" si="1"/>
        <v>0</v>
      </c>
    </row>
    <row r="77" spans="2:35" ht="15" customHeight="1" x14ac:dyDescent="0.25">
      <c r="B77" s="88" t="s">
        <v>188</v>
      </c>
      <c r="C77" s="86">
        <v>200</v>
      </c>
      <c r="D77" s="76">
        <f>SUMIFS('август 2025'!$G$2:$G$2407,'август 2025'!$D$2:$D$2407,$B77,'август 2025'!$J$2:$J$2407,D$1)</f>
        <v>0</v>
      </c>
      <c r="E77" s="76">
        <f>SUMIFS('август 2025'!$G$2:$G$2407,'август 2025'!$D$2:$D$2407,$B77,'август 2025'!$J$2:$J$2407,E$1)</f>
        <v>0</v>
      </c>
      <c r="F77" s="76">
        <f>SUMIFS('август 2025'!$G$2:$G$2407,'август 2025'!$D$2:$D$2407,$B77,'август 2025'!$J$2:$J$2407,F$1)</f>
        <v>0</v>
      </c>
      <c r="G77" s="76">
        <f>SUMIFS('август 2025'!$G$2:$G$2407,'август 2025'!$D$2:$D$2407,$B77,'август 2025'!$J$2:$J$2407,G$1)</f>
        <v>0</v>
      </c>
      <c r="H77" s="76">
        <f>SUMIFS('август 2025'!$G$2:$G$2407,'август 2025'!$D$2:$D$2407,$B77,'август 2025'!$J$2:$J$2407,H$1)</f>
        <v>0</v>
      </c>
      <c r="I77" s="76">
        <f>SUMIFS('август 2025'!$G$2:$G$2407,'август 2025'!$D$2:$D$2407,$B77,'август 2025'!$J$2:$J$2407,I$1)</f>
        <v>0</v>
      </c>
      <c r="J77" s="76">
        <f>SUMIFS('август 2025'!$G$2:$G$2407,'август 2025'!$D$2:$D$2407,$B77,'август 2025'!$J$2:$J$2407,J$1)</f>
        <v>0</v>
      </c>
      <c r="K77" s="76">
        <f>SUMIFS('август 2025'!$G$2:$G$2407,'август 2025'!$D$2:$D$2407,$B77,'август 2025'!$J$2:$J$2407,K$1)</f>
        <v>0</v>
      </c>
      <c r="L77" s="76">
        <f>SUMIFS('август 2025'!$G$2:$G$2407,'август 2025'!$D$2:$D$2407,$B77,'август 2025'!$J$2:$J$2407,L$1)</f>
        <v>0</v>
      </c>
      <c r="M77" s="76">
        <f>SUMIFS('август 2025'!$G$2:$G$2407,'август 2025'!$D$2:$D$2407,$B77,'август 2025'!$J$2:$J$2407,M$1)</f>
        <v>0</v>
      </c>
      <c r="N77" s="76">
        <f>SUMIFS('август 2025'!$G$2:$G$2407,'август 2025'!$D$2:$D$2407,$B77,'август 2025'!$J$2:$J$2407,N$1)</f>
        <v>0</v>
      </c>
      <c r="O77" s="76">
        <f>SUMIFS('август 2025'!$G$2:$G$2407,'август 2025'!$D$2:$D$2407,$B77,'август 2025'!$J$2:$J$2407,O$1)</f>
        <v>0</v>
      </c>
      <c r="P77" s="76">
        <f>SUMIFS('август 2025'!$G$2:$G$2407,'август 2025'!$D$2:$D$2407,$B77,'август 2025'!$J$2:$J$2407,P$1)</f>
        <v>0</v>
      </c>
      <c r="Q77" s="76">
        <f>SUMIFS('август 2025'!$G$2:$G$2407,'август 2025'!$D$2:$D$2407,$B77,'август 2025'!$J$2:$J$2407,Q$1)</f>
        <v>0</v>
      </c>
      <c r="R77" s="76">
        <f>SUMIFS('август 2025'!$G$2:$G$2407,'август 2025'!$D$2:$D$2407,$B77,'август 2025'!$J$2:$J$2407,R$1)</f>
        <v>0</v>
      </c>
      <c r="S77" s="76">
        <f>SUMIFS('август 2025'!$G$2:$G$2407,'август 2025'!$D$2:$D$2407,$B77,'август 2025'!$J$2:$J$2407,S$1)</f>
        <v>0</v>
      </c>
      <c r="T77" s="76">
        <f>SUMIFS('август 2025'!$G$2:$G$2407,'август 2025'!$D$2:$D$2407,$B77,'август 2025'!$J$2:$J$2407,T$1)</f>
        <v>0</v>
      </c>
      <c r="U77" s="76">
        <f>SUMIFS('август 2025'!$G$2:$G$2407,'август 2025'!$D$2:$D$2407,$B77,'август 2025'!$J$2:$J$2407,U$1)</f>
        <v>0</v>
      </c>
      <c r="V77" s="76">
        <f>SUMIFS('август 2025'!$G$2:$G$2407,'август 2025'!$D$2:$D$2407,$B77,'август 2025'!$J$2:$J$2407,V$1)</f>
        <v>0</v>
      </c>
      <c r="W77" s="76">
        <f>SUMIFS('август 2025'!$G$2:$G$2407,'август 2025'!$D$2:$D$2407,$B77,'август 2025'!$J$2:$J$2407,W$1)</f>
        <v>0</v>
      </c>
      <c r="X77" s="76">
        <f>SUMIFS('август 2025'!$G$2:$G$2407,'август 2025'!$D$2:$D$2407,$B77,'август 2025'!$J$2:$J$2407,X$1)</f>
        <v>0</v>
      </c>
      <c r="Y77" s="76">
        <f>SUMIFS('август 2025'!$G$2:$G$2407,'август 2025'!$D$2:$D$2407,$B77,'август 2025'!$J$2:$J$2407,Y$1)</f>
        <v>0</v>
      </c>
      <c r="Z77" s="76">
        <f>SUMIFS('август 2025'!$G$2:$G$2407,'август 2025'!$D$2:$D$2407,$B77,'август 2025'!$J$2:$J$2407,Z$1)</f>
        <v>0</v>
      </c>
      <c r="AA77" s="76">
        <f>SUMIFS('август 2025'!$G$2:$G$2407,'август 2025'!$D$2:$D$2407,$B77,'август 2025'!$J$2:$J$2407,AA$1)</f>
        <v>0</v>
      </c>
      <c r="AB77" s="76">
        <f>SUMIFS('август 2025'!$G$2:$G$2407,'август 2025'!$D$2:$D$2407,$B77,'август 2025'!$J$2:$J$2407,AB$1)</f>
        <v>0</v>
      </c>
      <c r="AC77" s="76">
        <f>SUMIFS('август 2025'!$G$2:$G$2407,'август 2025'!$D$2:$D$2407,$B77,'август 2025'!$J$2:$J$2407,AC$1)</f>
        <v>0</v>
      </c>
      <c r="AD77" s="76">
        <f>SUMIFS('август 2025'!$G$2:$G$2407,'август 2025'!$D$2:$D$2407,$B77,'август 2025'!$J$2:$J$2407,AD$1)</f>
        <v>0</v>
      </c>
      <c r="AE77" s="76">
        <f>SUMIFS('август 2025'!$G$2:$G$2407,'август 2025'!$D$2:$D$2407,$B77,'август 2025'!$J$2:$J$2407,AE$1)</f>
        <v>0</v>
      </c>
      <c r="AF77" s="76">
        <f>SUMIFS('август 2025'!$G$2:$G$2407,'август 2025'!$D$2:$D$2407,$B77,'август 2025'!$J$2:$J$2407,AF$1)</f>
        <v>0</v>
      </c>
      <c r="AG77" s="76">
        <f>SUMIFS('август 2025'!$G$2:$G$2407,'август 2025'!$D$2:$D$2407,$B77,'август 2025'!$J$2:$J$2407,AG$1)</f>
        <v>0</v>
      </c>
      <c r="AH77" s="76">
        <f>SUMIFS('август 2025'!$G$2:$G$2407,'август 2025'!$D$2:$D$2407,$B77,'август 2025'!$J$2:$J$2407,AH$1)</f>
        <v>0</v>
      </c>
      <c r="AI77" s="20">
        <f t="shared" si="1"/>
        <v>0</v>
      </c>
    </row>
    <row r="78" spans="2:35" ht="15" customHeight="1" x14ac:dyDescent="0.25">
      <c r="B78" s="88" t="s">
        <v>256</v>
      </c>
      <c r="C78" s="86">
        <v>190</v>
      </c>
      <c r="D78" s="76">
        <f>SUMIFS('август 2025'!$G$2:$G$2407,'август 2025'!$D$2:$D$2407,$B78,'август 2025'!$J$2:$J$2407,D$1)</f>
        <v>0</v>
      </c>
      <c r="E78" s="76">
        <f>SUMIFS('август 2025'!$G$2:$G$2407,'август 2025'!$D$2:$D$2407,$B78,'август 2025'!$J$2:$J$2407,E$1)</f>
        <v>0</v>
      </c>
      <c r="F78" s="76">
        <f>SUMIFS('август 2025'!$G$2:$G$2407,'август 2025'!$D$2:$D$2407,$B78,'август 2025'!$J$2:$J$2407,F$1)</f>
        <v>0</v>
      </c>
      <c r="G78" s="76">
        <f>SUMIFS('август 2025'!$G$2:$G$2407,'август 2025'!$D$2:$D$2407,$B78,'август 2025'!$J$2:$J$2407,G$1)</f>
        <v>0</v>
      </c>
      <c r="H78" s="76">
        <f>SUMIFS('август 2025'!$G$2:$G$2407,'август 2025'!$D$2:$D$2407,$B78,'август 2025'!$J$2:$J$2407,H$1)</f>
        <v>0</v>
      </c>
      <c r="I78" s="76">
        <f>SUMIFS('август 2025'!$G$2:$G$2407,'август 2025'!$D$2:$D$2407,$B78,'август 2025'!$J$2:$J$2407,I$1)</f>
        <v>0</v>
      </c>
      <c r="J78" s="76">
        <f>SUMIFS('август 2025'!$G$2:$G$2407,'август 2025'!$D$2:$D$2407,$B78,'август 2025'!$J$2:$J$2407,J$1)</f>
        <v>0</v>
      </c>
      <c r="K78" s="76">
        <f>SUMIFS('август 2025'!$G$2:$G$2407,'август 2025'!$D$2:$D$2407,$B78,'август 2025'!$J$2:$J$2407,K$1)</f>
        <v>0</v>
      </c>
      <c r="L78" s="76">
        <f>SUMIFS('август 2025'!$G$2:$G$2407,'август 2025'!$D$2:$D$2407,$B78,'август 2025'!$J$2:$J$2407,L$1)</f>
        <v>0</v>
      </c>
      <c r="M78" s="76">
        <f>SUMIFS('август 2025'!$G$2:$G$2407,'август 2025'!$D$2:$D$2407,$B78,'август 2025'!$J$2:$J$2407,M$1)</f>
        <v>0</v>
      </c>
      <c r="N78" s="76">
        <f>SUMIFS('август 2025'!$G$2:$G$2407,'август 2025'!$D$2:$D$2407,$B78,'август 2025'!$J$2:$J$2407,N$1)</f>
        <v>0</v>
      </c>
      <c r="O78" s="76">
        <f>SUMIFS('август 2025'!$G$2:$G$2407,'август 2025'!$D$2:$D$2407,$B78,'август 2025'!$J$2:$J$2407,O$1)</f>
        <v>0</v>
      </c>
      <c r="P78" s="76">
        <f>SUMIFS('август 2025'!$G$2:$G$2407,'август 2025'!$D$2:$D$2407,$B78,'август 2025'!$J$2:$J$2407,P$1)</f>
        <v>0</v>
      </c>
      <c r="Q78" s="76">
        <f>SUMIFS('август 2025'!$G$2:$G$2407,'август 2025'!$D$2:$D$2407,$B78,'август 2025'!$J$2:$J$2407,Q$1)</f>
        <v>0</v>
      </c>
      <c r="R78" s="76">
        <f>SUMIFS('август 2025'!$G$2:$G$2407,'август 2025'!$D$2:$D$2407,$B78,'август 2025'!$J$2:$J$2407,R$1)</f>
        <v>0</v>
      </c>
      <c r="S78" s="76">
        <f>SUMIFS('август 2025'!$G$2:$G$2407,'август 2025'!$D$2:$D$2407,$B78,'август 2025'!$J$2:$J$2407,S$1)</f>
        <v>0</v>
      </c>
      <c r="T78" s="76">
        <f>SUMIFS('август 2025'!$G$2:$G$2407,'август 2025'!$D$2:$D$2407,$B78,'август 2025'!$J$2:$J$2407,T$1)</f>
        <v>0</v>
      </c>
      <c r="U78" s="76">
        <f>SUMIFS('август 2025'!$G$2:$G$2407,'август 2025'!$D$2:$D$2407,$B78,'август 2025'!$J$2:$J$2407,U$1)</f>
        <v>0</v>
      </c>
      <c r="V78" s="76">
        <f>SUMIFS('август 2025'!$G$2:$G$2407,'август 2025'!$D$2:$D$2407,$B78,'август 2025'!$J$2:$J$2407,V$1)</f>
        <v>0</v>
      </c>
      <c r="W78" s="76">
        <f>SUMIFS('август 2025'!$G$2:$G$2407,'август 2025'!$D$2:$D$2407,$B78,'август 2025'!$J$2:$J$2407,W$1)</f>
        <v>0</v>
      </c>
      <c r="X78" s="76">
        <f>SUMIFS('август 2025'!$G$2:$G$2407,'август 2025'!$D$2:$D$2407,$B78,'август 2025'!$J$2:$J$2407,X$1)</f>
        <v>0</v>
      </c>
      <c r="Y78" s="76">
        <f>SUMIFS('август 2025'!$G$2:$G$2407,'август 2025'!$D$2:$D$2407,$B78,'август 2025'!$J$2:$J$2407,Y$1)</f>
        <v>0</v>
      </c>
      <c r="Z78" s="76">
        <f>SUMIFS('август 2025'!$G$2:$G$2407,'август 2025'!$D$2:$D$2407,$B78,'август 2025'!$J$2:$J$2407,Z$1)</f>
        <v>0</v>
      </c>
      <c r="AA78" s="76">
        <f>SUMIFS('август 2025'!$G$2:$G$2407,'август 2025'!$D$2:$D$2407,$B78,'август 2025'!$J$2:$J$2407,AA$1)</f>
        <v>0</v>
      </c>
      <c r="AB78" s="76">
        <f>SUMIFS('август 2025'!$G$2:$G$2407,'август 2025'!$D$2:$D$2407,$B78,'август 2025'!$J$2:$J$2407,AB$1)</f>
        <v>0</v>
      </c>
      <c r="AC78" s="76">
        <f>SUMIFS('август 2025'!$G$2:$G$2407,'август 2025'!$D$2:$D$2407,$B78,'август 2025'!$J$2:$J$2407,AC$1)</f>
        <v>0</v>
      </c>
      <c r="AD78" s="76">
        <f>SUMIFS('август 2025'!$G$2:$G$2407,'август 2025'!$D$2:$D$2407,$B78,'август 2025'!$J$2:$J$2407,AD$1)</f>
        <v>0</v>
      </c>
      <c r="AE78" s="76">
        <f>SUMIFS('август 2025'!$G$2:$G$2407,'август 2025'!$D$2:$D$2407,$B78,'август 2025'!$J$2:$J$2407,AE$1)</f>
        <v>0</v>
      </c>
      <c r="AF78" s="76">
        <f>SUMIFS('август 2025'!$G$2:$G$2407,'август 2025'!$D$2:$D$2407,$B78,'август 2025'!$J$2:$J$2407,AF$1)</f>
        <v>0</v>
      </c>
      <c r="AG78" s="76">
        <f>SUMIFS('август 2025'!$G$2:$G$2407,'август 2025'!$D$2:$D$2407,$B78,'август 2025'!$J$2:$J$2407,AG$1)</f>
        <v>0</v>
      </c>
      <c r="AH78" s="76">
        <f>SUMIFS('август 2025'!$G$2:$G$2407,'август 2025'!$D$2:$D$2407,$B78,'август 2025'!$J$2:$J$2407,AH$1)</f>
        <v>0</v>
      </c>
      <c r="AI78" s="20">
        <f t="shared" si="1"/>
        <v>0</v>
      </c>
    </row>
    <row r="79" spans="2:35" ht="15" customHeight="1" x14ac:dyDescent="0.25">
      <c r="B79" s="88" t="s">
        <v>199</v>
      </c>
      <c r="C79" s="86">
        <v>200</v>
      </c>
      <c r="D79" s="76">
        <f>SUMIFS('август 2025'!$G$2:$G$2407,'август 2025'!$D$2:$D$2407,$B79,'август 2025'!$J$2:$J$2407,D$1)</f>
        <v>0</v>
      </c>
      <c r="E79" s="76">
        <f>SUMIFS('август 2025'!$G$2:$G$2407,'август 2025'!$D$2:$D$2407,$B79,'август 2025'!$J$2:$J$2407,E$1)</f>
        <v>0</v>
      </c>
      <c r="F79" s="76">
        <f>SUMIFS('август 2025'!$G$2:$G$2407,'август 2025'!$D$2:$D$2407,$B79,'август 2025'!$J$2:$J$2407,F$1)</f>
        <v>0</v>
      </c>
      <c r="G79" s="76">
        <f>SUMIFS('август 2025'!$G$2:$G$2407,'август 2025'!$D$2:$D$2407,$B79,'август 2025'!$J$2:$J$2407,G$1)</f>
        <v>0</v>
      </c>
      <c r="H79" s="76">
        <f>SUMIFS('август 2025'!$G$2:$G$2407,'август 2025'!$D$2:$D$2407,$B79,'август 2025'!$J$2:$J$2407,H$1)</f>
        <v>0</v>
      </c>
      <c r="I79" s="76">
        <f>SUMIFS('август 2025'!$G$2:$G$2407,'август 2025'!$D$2:$D$2407,$B79,'август 2025'!$J$2:$J$2407,I$1)</f>
        <v>0</v>
      </c>
      <c r="J79" s="76">
        <f>SUMIFS('август 2025'!$G$2:$G$2407,'август 2025'!$D$2:$D$2407,$B79,'август 2025'!$J$2:$J$2407,J$1)</f>
        <v>0</v>
      </c>
      <c r="K79" s="76">
        <f>SUMIFS('август 2025'!$G$2:$G$2407,'август 2025'!$D$2:$D$2407,$B79,'август 2025'!$J$2:$J$2407,K$1)</f>
        <v>0</v>
      </c>
      <c r="L79" s="76">
        <f>SUMIFS('август 2025'!$G$2:$G$2407,'август 2025'!$D$2:$D$2407,$B79,'август 2025'!$J$2:$J$2407,L$1)</f>
        <v>0</v>
      </c>
      <c r="M79" s="76">
        <f>SUMIFS('август 2025'!$G$2:$G$2407,'август 2025'!$D$2:$D$2407,$B79,'август 2025'!$J$2:$J$2407,M$1)</f>
        <v>0</v>
      </c>
      <c r="N79" s="76">
        <f>SUMIFS('август 2025'!$G$2:$G$2407,'август 2025'!$D$2:$D$2407,$B79,'август 2025'!$J$2:$J$2407,N$1)</f>
        <v>0</v>
      </c>
      <c r="O79" s="76">
        <f>SUMIFS('август 2025'!$G$2:$G$2407,'август 2025'!$D$2:$D$2407,$B79,'август 2025'!$J$2:$J$2407,O$1)</f>
        <v>0</v>
      </c>
      <c r="P79" s="76">
        <f>SUMIFS('август 2025'!$G$2:$G$2407,'август 2025'!$D$2:$D$2407,$B79,'август 2025'!$J$2:$J$2407,P$1)</f>
        <v>0</v>
      </c>
      <c r="Q79" s="76">
        <f>SUMIFS('август 2025'!$G$2:$G$2407,'август 2025'!$D$2:$D$2407,$B79,'август 2025'!$J$2:$J$2407,Q$1)</f>
        <v>0</v>
      </c>
      <c r="R79" s="76">
        <f>SUMIFS('август 2025'!$G$2:$G$2407,'август 2025'!$D$2:$D$2407,$B79,'август 2025'!$J$2:$J$2407,R$1)</f>
        <v>0</v>
      </c>
      <c r="S79" s="76">
        <f>SUMIFS('август 2025'!$G$2:$G$2407,'август 2025'!$D$2:$D$2407,$B79,'август 2025'!$J$2:$J$2407,S$1)</f>
        <v>0</v>
      </c>
      <c r="T79" s="76">
        <f>SUMIFS('август 2025'!$G$2:$G$2407,'август 2025'!$D$2:$D$2407,$B79,'август 2025'!$J$2:$J$2407,T$1)</f>
        <v>0</v>
      </c>
      <c r="U79" s="76">
        <f>SUMIFS('август 2025'!$G$2:$G$2407,'август 2025'!$D$2:$D$2407,$B79,'август 2025'!$J$2:$J$2407,U$1)</f>
        <v>0</v>
      </c>
      <c r="V79" s="76">
        <f>SUMIFS('август 2025'!$G$2:$G$2407,'август 2025'!$D$2:$D$2407,$B79,'август 2025'!$J$2:$J$2407,V$1)</f>
        <v>0</v>
      </c>
      <c r="W79" s="76">
        <f>SUMIFS('август 2025'!$G$2:$G$2407,'август 2025'!$D$2:$D$2407,$B79,'август 2025'!$J$2:$J$2407,W$1)</f>
        <v>0</v>
      </c>
      <c r="X79" s="76">
        <f>SUMIFS('август 2025'!$G$2:$G$2407,'август 2025'!$D$2:$D$2407,$B79,'август 2025'!$J$2:$J$2407,X$1)</f>
        <v>0</v>
      </c>
      <c r="Y79" s="76">
        <f>SUMIFS('август 2025'!$G$2:$G$2407,'август 2025'!$D$2:$D$2407,$B79,'август 2025'!$J$2:$J$2407,Y$1)</f>
        <v>0</v>
      </c>
      <c r="Z79" s="76">
        <f>SUMIFS('август 2025'!$G$2:$G$2407,'август 2025'!$D$2:$D$2407,$B79,'август 2025'!$J$2:$J$2407,Z$1)</f>
        <v>0</v>
      </c>
      <c r="AA79" s="76">
        <f>SUMIFS('август 2025'!$G$2:$G$2407,'август 2025'!$D$2:$D$2407,$B79,'август 2025'!$J$2:$J$2407,AA$1)</f>
        <v>0</v>
      </c>
      <c r="AB79" s="76">
        <f>SUMIFS('август 2025'!$G$2:$G$2407,'август 2025'!$D$2:$D$2407,$B79,'август 2025'!$J$2:$J$2407,AB$1)</f>
        <v>0</v>
      </c>
      <c r="AC79" s="76">
        <f>SUMIFS('август 2025'!$G$2:$G$2407,'август 2025'!$D$2:$D$2407,$B79,'август 2025'!$J$2:$J$2407,AC$1)</f>
        <v>0</v>
      </c>
      <c r="AD79" s="76">
        <f>SUMIFS('август 2025'!$G$2:$G$2407,'август 2025'!$D$2:$D$2407,$B79,'август 2025'!$J$2:$J$2407,AD$1)</f>
        <v>0</v>
      </c>
      <c r="AE79" s="76">
        <f>SUMIFS('август 2025'!$G$2:$G$2407,'август 2025'!$D$2:$D$2407,$B79,'август 2025'!$J$2:$J$2407,AE$1)</f>
        <v>0</v>
      </c>
      <c r="AF79" s="76">
        <f>SUMIFS('август 2025'!$G$2:$G$2407,'август 2025'!$D$2:$D$2407,$B79,'август 2025'!$J$2:$J$2407,AF$1)</f>
        <v>0</v>
      </c>
      <c r="AG79" s="76">
        <f>SUMIFS('август 2025'!$G$2:$G$2407,'август 2025'!$D$2:$D$2407,$B79,'август 2025'!$J$2:$J$2407,AG$1)</f>
        <v>0</v>
      </c>
      <c r="AH79" s="76">
        <f>SUMIFS('август 2025'!$G$2:$G$2407,'август 2025'!$D$2:$D$2407,$B79,'август 2025'!$J$2:$J$2407,AH$1)</f>
        <v>0</v>
      </c>
      <c r="AI79" s="20">
        <f t="shared" si="1"/>
        <v>0</v>
      </c>
    </row>
    <row r="80" spans="2:35" ht="15" customHeight="1" x14ac:dyDescent="0.25">
      <c r="B80" s="88" t="s">
        <v>206</v>
      </c>
      <c r="C80" s="86">
        <v>25</v>
      </c>
      <c r="D80" s="76">
        <f>SUMIFS('август 2025'!$G$2:$G$2407,'август 2025'!$D$2:$D$2407,$B80,'август 2025'!$J$2:$J$2407,D$1)</f>
        <v>0</v>
      </c>
      <c r="E80" s="76">
        <f>SUMIFS('август 2025'!$G$2:$G$2407,'август 2025'!$D$2:$D$2407,$B80,'август 2025'!$J$2:$J$2407,E$1)</f>
        <v>0</v>
      </c>
      <c r="F80" s="76">
        <f>SUMIFS('август 2025'!$G$2:$G$2407,'август 2025'!$D$2:$D$2407,$B80,'август 2025'!$J$2:$J$2407,F$1)</f>
        <v>0</v>
      </c>
      <c r="G80" s="76">
        <f>SUMIFS('август 2025'!$G$2:$G$2407,'август 2025'!$D$2:$D$2407,$B80,'август 2025'!$J$2:$J$2407,G$1)</f>
        <v>0</v>
      </c>
      <c r="H80" s="76">
        <f>SUMIFS('август 2025'!$G$2:$G$2407,'август 2025'!$D$2:$D$2407,$B80,'август 2025'!$J$2:$J$2407,H$1)</f>
        <v>0</v>
      </c>
      <c r="I80" s="76">
        <f>SUMIFS('август 2025'!$G$2:$G$2407,'август 2025'!$D$2:$D$2407,$B80,'август 2025'!$J$2:$J$2407,I$1)</f>
        <v>0</v>
      </c>
      <c r="J80" s="76">
        <f>SUMIFS('август 2025'!$G$2:$G$2407,'август 2025'!$D$2:$D$2407,$B80,'август 2025'!$J$2:$J$2407,J$1)</f>
        <v>0</v>
      </c>
      <c r="K80" s="76">
        <f>SUMIFS('август 2025'!$G$2:$G$2407,'август 2025'!$D$2:$D$2407,$B80,'август 2025'!$J$2:$J$2407,K$1)</f>
        <v>0</v>
      </c>
      <c r="L80" s="76">
        <f>SUMIFS('август 2025'!$G$2:$G$2407,'август 2025'!$D$2:$D$2407,$B80,'август 2025'!$J$2:$J$2407,L$1)</f>
        <v>0</v>
      </c>
      <c r="M80" s="76">
        <f>SUMIFS('август 2025'!$G$2:$G$2407,'август 2025'!$D$2:$D$2407,$B80,'август 2025'!$J$2:$J$2407,M$1)</f>
        <v>0</v>
      </c>
      <c r="N80" s="76">
        <f>SUMIFS('август 2025'!$G$2:$G$2407,'август 2025'!$D$2:$D$2407,$B80,'август 2025'!$J$2:$J$2407,N$1)</f>
        <v>0</v>
      </c>
      <c r="O80" s="76">
        <f>SUMIFS('август 2025'!$G$2:$G$2407,'август 2025'!$D$2:$D$2407,$B80,'август 2025'!$J$2:$J$2407,O$1)</f>
        <v>0</v>
      </c>
      <c r="P80" s="76">
        <f>SUMIFS('август 2025'!$G$2:$G$2407,'август 2025'!$D$2:$D$2407,$B80,'август 2025'!$J$2:$J$2407,P$1)</f>
        <v>0</v>
      </c>
      <c r="Q80" s="76">
        <f>SUMIFS('август 2025'!$G$2:$G$2407,'август 2025'!$D$2:$D$2407,$B80,'август 2025'!$J$2:$J$2407,Q$1)</f>
        <v>0</v>
      </c>
      <c r="R80" s="76">
        <f>SUMIFS('август 2025'!$G$2:$G$2407,'август 2025'!$D$2:$D$2407,$B80,'август 2025'!$J$2:$J$2407,R$1)</f>
        <v>0</v>
      </c>
      <c r="S80" s="76">
        <f>SUMIFS('август 2025'!$G$2:$G$2407,'август 2025'!$D$2:$D$2407,$B80,'август 2025'!$J$2:$J$2407,S$1)</f>
        <v>0</v>
      </c>
      <c r="T80" s="76">
        <f>SUMIFS('август 2025'!$G$2:$G$2407,'август 2025'!$D$2:$D$2407,$B80,'август 2025'!$J$2:$J$2407,T$1)</f>
        <v>0</v>
      </c>
      <c r="U80" s="76">
        <f>SUMIFS('август 2025'!$G$2:$G$2407,'август 2025'!$D$2:$D$2407,$B80,'август 2025'!$J$2:$J$2407,U$1)</f>
        <v>0</v>
      </c>
      <c r="V80" s="76">
        <f>SUMIFS('август 2025'!$G$2:$G$2407,'август 2025'!$D$2:$D$2407,$B80,'август 2025'!$J$2:$J$2407,V$1)</f>
        <v>0</v>
      </c>
      <c r="W80" s="76">
        <f>SUMIFS('август 2025'!$G$2:$G$2407,'август 2025'!$D$2:$D$2407,$B80,'август 2025'!$J$2:$J$2407,W$1)</f>
        <v>0</v>
      </c>
      <c r="X80" s="76">
        <f>SUMIFS('август 2025'!$G$2:$G$2407,'август 2025'!$D$2:$D$2407,$B80,'август 2025'!$J$2:$J$2407,X$1)</f>
        <v>0</v>
      </c>
      <c r="Y80" s="76">
        <f>SUMIFS('август 2025'!$G$2:$G$2407,'август 2025'!$D$2:$D$2407,$B80,'август 2025'!$J$2:$J$2407,Y$1)</f>
        <v>0</v>
      </c>
      <c r="Z80" s="76">
        <f>SUMIFS('август 2025'!$G$2:$G$2407,'август 2025'!$D$2:$D$2407,$B80,'август 2025'!$J$2:$J$2407,Z$1)</f>
        <v>0</v>
      </c>
      <c r="AA80" s="76">
        <f>SUMIFS('август 2025'!$G$2:$G$2407,'август 2025'!$D$2:$D$2407,$B80,'август 2025'!$J$2:$J$2407,AA$1)</f>
        <v>0</v>
      </c>
      <c r="AB80" s="76">
        <f>SUMIFS('август 2025'!$G$2:$G$2407,'август 2025'!$D$2:$D$2407,$B80,'август 2025'!$J$2:$J$2407,AB$1)</f>
        <v>0</v>
      </c>
      <c r="AC80" s="76">
        <f>SUMIFS('август 2025'!$G$2:$G$2407,'август 2025'!$D$2:$D$2407,$B80,'август 2025'!$J$2:$J$2407,AC$1)</f>
        <v>0</v>
      </c>
      <c r="AD80" s="76">
        <f>SUMIFS('август 2025'!$G$2:$G$2407,'август 2025'!$D$2:$D$2407,$B80,'август 2025'!$J$2:$J$2407,AD$1)</f>
        <v>0</v>
      </c>
      <c r="AE80" s="76">
        <f>SUMIFS('август 2025'!$G$2:$G$2407,'август 2025'!$D$2:$D$2407,$B80,'август 2025'!$J$2:$J$2407,AE$1)</f>
        <v>0</v>
      </c>
      <c r="AF80" s="76">
        <f>SUMIFS('август 2025'!$G$2:$G$2407,'август 2025'!$D$2:$D$2407,$B80,'август 2025'!$J$2:$J$2407,AF$1)</f>
        <v>0</v>
      </c>
      <c r="AG80" s="76">
        <f>SUMIFS('август 2025'!$G$2:$G$2407,'август 2025'!$D$2:$D$2407,$B80,'август 2025'!$J$2:$J$2407,AG$1)</f>
        <v>0</v>
      </c>
      <c r="AH80" s="76">
        <f>SUMIFS('август 2025'!$G$2:$G$2407,'август 2025'!$D$2:$D$2407,$B80,'август 2025'!$J$2:$J$2407,AH$1)</f>
        <v>0</v>
      </c>
      <c r="AI80" s="20">
        <f t="shared" si="1"/>
        <v>0</v>
      </c>
    </row>
    <row r="81" spans="2:35" ht="15" customHeight="1" x14ac:dyDescent="0.25">
      <c r="B81" s="88" t="s">
        <v>178</v>
      </c>
      <c r="C81" s="86">
        <v>50</v>
      </c>
      <c r="D81" s="76">
        <f>SUMIFS('август 2025'!$G$2:$G$2407,'август 2025'!$D$2:$D$2407,$B81,'август 2025'!$J$2:$J$2407,D$1)</f>
        <v>0</v>
      </c>
      <c r="E81" s="76">
        <f>SUMIFS('август 2025'!$G$2:$G$2407,'август 2025'!$D$2:$D$2407,$B81,'август 2025'!$J$2:$J$2407,E$1)</f>
        <v>0</v>
      </c>
      <c r="F81" s="76">
        <f>SUMIFS('август 2025'!$G$2:$G$2407,'август 2025'!$D$2:$D$2407,$B81,'август 2025'!$J$2:$J$2407,F$1)</f>
        <v>0</v>
      </c>
      <c r="G81" s="76">
        <f>SUMIFS('август 2025'!$G$2:$G$2407,'август 2025'!$D$2:$D$2407,$B81,'август 2025'!$J$2:$J$2407,G$1)</f>
        <v>0</v>
      </c>
      <c r="H81" s="76">
        <f>SUMIFS('август 2025'!$G$2:$G$2407,'август 2025'!$D$2:$D$2407,$B81,'август 2025'!$J$2:$J$2407,H$1)</f>
        <v>0</v>
      </c>
      <c r="I81" s="76">
        <f>SUMIFS('август 2025'!$G$2:$G$2407,'август 2025'!$D$2:$D$2407,$B81,'август 2025'!$J$2:$J$2407,I$1)</f>
        <v>0</v>
      </c>
      <c r="J81" s="76">
        <f>SUMIFS('август 2025'!$G$2:$G$2407,'август 2025'!$D$2:$D$2407,$B81,'август 2025'!$J$2:$J$2407,J$1)</f>
        <v>0</v>
      </c>
      <c r="K81" s="76">
        <f>SUMIFS('август 2025'!$G$2:$G$2407,'август 2025'!$D$2:$D$2407,$B81,'август 2025'!$J$2:$J$2407,K$1)</f>
        <v>0</v>
      </c>
      <c r="L81" s="76">
        <f>SUMIFS('август 2025'!$G$2:$G$2407,'август 2025'!$D$2:$D$2407,$B81,'август 2025'!$J$2:$J$2407,L$1)</f>
        <v>0</v>
      </c>
      <c r="M81" s="76">
        <f>SUMIFS('август 2025'!$G$2:$G$2407,'август 2025'!$D$2:$D$2407,$B81,'август 2025'!$J$2:$J$2407,M$1)</f>
        <v>0</v>
      </c>
      <c r="N81" s="76">
        <f>SUMIFS('август 2025'!$G$2:$G$2407,'август 2025'!$D$2:$D$2407,$B81,'август 2025'!$J$2:$J$2407,N$1)</f>
        <v>0</v>
      </c>
      <c r="O81" s="76">
        <f>SUMIFS('август 2025'!$G$2:$G$2407,'август 2025'!$D$2:$D$2407,$B81,'август 2025'!$J$2:$J$2407,O$1)</f>
        <v>0</v>
      </c>
      <c r="P81" s="76">
        <f>SUMIFS('август 2025'!$G$2:$G$2407,'август 2025'!$D$2:$D$2407,$B81,'август 2025'!$J$2:$J$2407,P$1)</f>
        <v>0</v>
      </c>
      <c r="Q81" s="76">
        <f>SUMIFS('август 2025'!$G$2:$G$2407,'август 2025'!$D$2:$D$2407,$B81,'август 2025'!$J$2:$J$2407,Q$1)</f>
        <v>0</v>
      </c>
      <c r="R81" s="76">
        <f>SUMIFS('август 2025'!$G$2:$G$2407,'август 2025'!$D$2:$D$2407,$B81,'август 2025'!$J$2:$J$2407,R$1)</f>
        <v>0</v>
      </c>
      <c r="S81" s="76">
        <f>SUMIFS('август 2025'!$G$2:$G$2407,'август 2025'!$D$2:$D$2407,$B81,'август 2025'!$J$2:$J$2407,S$1)</f>
        <v>0</v>
      </c>
      <c r="T81" s="76">
        <f>SUMIFS('август 2025'!$G$2:$G$2407,'август 2025'!$D$2:$D$2407,$B81,'август 2025'!$J$2:$J$2407,T$1)</f>
        <v>0</v>
      </c>
      <c r="U81" s="76">
        <f>SUMIFS('август 2025'!$G$2:$G$2407,'август 2025'!$D$2:$D$2407,$B81,'август 2025'!$J$2:$J$2407,U$1)</f>
        <v>0</v>
      </c>
      <c r="V81" s="76">
        <f>SUMIFS('август 2025'!$G$2:$G$2407,'август 2025'!$D$2:$D$2407,$B81,'август 2025'!$J$2:$J$2407,V$1)</f>
        <v>0</v>
      </c>
      <c r="W81" s="76">
        <f>SUMIFS('август 2025'!$G$2:$G$2407,'август 2025'!$D$2:$D$2407,$B81,'август 2025'!$J$2:$J$2407,W$1)</f>
        <v>0</v>
      </c>
      <c r="X81" s="76">
        <f>SUMIFS('август 2025'!$G$2:$G$2407,'август 2025'!$D$2:$D$2407,$B81,'август 2025'!$J$2:$J$2407,X$1)</f>
        <v>0</v>
      </c>
      <c r="Y81" s="76">
        <f>SUMIFS('август 2025'!$G$2:$G$2407,'август 2025'!$D$2:$D$2407,$B81,'август 2025'!$J$2:$J$2407,Y$1)</f>
        <v>0</v>
      </c>
      <c r="Z81" s="76">
        <f>SUMIFS('август 2025'!$G$2:$G$2407,'август 2025'!$D$2:$D$2407,$B81,'август 2025'!$J$2:$J$2407,Z$1)</f>
        <v>0</v>
      </c>
      <c r="AA81" s="76">
        <f>SUMIFS('август 2025'!$G$2:$G$2407,'август 2025'!$D$2:$D$2407,$B81,'август 2025'!$J$2:$J$2407,AA$1)</f>
        <v>0</v>
      </c>
      <c r="AB81" s="76">
        <f>SUMIFS('август 2025'!$G$2:$G$2407,'август 2025'!$D$2:$D$2407,$B81,'август 2025'!$J$2:$J$2407,AB$1)</f>
        <v>0</v>
      </c>
      <c r="AC81" s="76">
        <f>SUMIFS('август 2025'!$G$2:$G$2407,'август 2025'!$D$2:$D$2407,$B81,'август 2025'!$J$2:$J$2407,AC$1)</f>
        <v>0</v>
      </c>
      <c r="AD81" s="76">
        <f>SUMIFS('август 2025'!$G$2:$G$2407,'август 2025'!$D$2:$D$2407,$B81,'август 2025'!$J$2:$J$2407,AD$1)</f>
        <v>0</v>
      </c>
      <c r="AE81" s="76">
        <f>SUMIFS('август 2025'!$G$2:$G$2407,'август 2025'!$D$2:$D$2407,$B81,'август 2025'!$J$2:$J$2407,AE$1)</f>
        <v>0</v>
      </c>
      <c r="AF81" s="76">
        <f>SUMIFS('август 2025'!$G$2:$G$2407,'август 2025'!$D$2:$D$2407,$B81,'август 2025'!$J$2:$J$2407,AF$1)</f>
        <v>0</v>
      </c>
      <c r="AG81" s="76">
        <f>SUMIFS('август 2025'!$G$2:$G$2407,'август 2025'!$D$2:$D$2407,$B81,'август 2025'!$J$2:$J$2407,AG$1)</f>
        <v>0</v>
      </c>
      <c r="AH81" s="76">
        <f>SUMIFS('август 2025'!$G$2:$G$2407,'август 2025'!$D$2:$D$2407,$B81,'август 2025'!$J$2:$J$2407,AH$1)</f>
        <v>0</v>
      </c>
      <c r="AI81" s="20">
        <f t="shared" si="1"/>
        <v>0</v>
      </c>
    </row>
    <row r="82" spans="2:35" ht="15" customHeight="1" x14ac:dyDescent="0.25">
      <c r="B82" s="88" t="s">
        <v>167</v>
      </c>
      <c r="C82" s="86">
        <v>200</v>
      </c>
      <c r="D82" s="76">
        <f>SUMIFS('август 2025'!$G$2:$G$2407,'август 2025'!$D$2:$D$2407,$B82,'август 2025'!$J$2:$J$2407,D$1)</f>
        <v>0</v>
      </c>
      <c r="E82" s="76">
        <f>SUMIFS('август 2025'!$G$2:$G$2407,'август 2025'!$D$2:$D$2407,$B82,'август 2025'!$J$2:$J$2407,E$1)</f>
        <v>0</v>
      </c>
      <c r="F82" s="76">
        <f>SUMIFS('август 2025'!$G$2:$G$2407,'август 2025'!$D$2:$D$2407,$B82,'август 2025'!$J$2:$J$2407,F$1)</f>
        <v>0</v>
      </c>
      <c r="G82" s="76">
        <f>SUMIFS('август 2025'!$G$2:$G$2407,'август 2025'!$D$2:$D$2407,$B82,'август 2025'!$J$2:$J$2407,G$1)</f>
        <v>0</v>
      </c>
      <c r="H82" s="76">
        <f>SUMIFS('август 2025'!$G$2:$G$2407,'август 2025'!$D$2:$D$2407,$B82,'август 2025'!$J$2:$J$2407,H$1)</f>
        <v>0</v>
      </c>
      <c r="I82" s="76">
        <f>SUMIFS('август 2025'!$G$2:$G$2407,'август 2025'!$D$2:$D$2407,$B82,'август 2025'!$J$2:$J$2407,I$1)</f>
        <v>0</v>
      </c>
      <c r="J82" s="76">
        <f>SUMIFS('август 2025'!$G$2:$G$2407,'август 2025'!$D$2:$D$2407,$B82,'август 2025'!$J$2:$J$2407,J$1)</f>
        <v>0</v>
      </c>
      <c r="K82" s="76">
        <f>SUMIFS('август 2025'!$G$2:$G$2407,'август 2025'!$D$2:$D$2407,$B82,'август 2025'!$J$2:$J$2407,K$1)</f>
        <v>0</v>
      </c>
      <c r="L82" s="76">
        <f>SUMIFS('август 2025'!$G$2:$G$2407,'август 2025'!$D$2:$D$2407,$B82,'август 2025'!$J$2:$J$2407,L$1)</f>
        <v>0</v>
      </c>
      <c r="M82" s="76">
        <f>SUMIFS('август 2025'!$G$2:$G$2407,'август 2025'!$D$2:$D$2407,$B82,'август 2025'!$J$2:$J$2407,M$1)</f>
        <v>0</v>
      </c>
      <c r="N82" s="76">
        <f>SUMIFS('август 2025'!$G$2:$G$2407,'август 2025'!$D$2:$D$2407,$B82,'август 2025'!$J$2:$J$2407,N$1)</f>
        <v>0</v>
      </c>
      <c r="O82" s="76">
        <f>SUMIFS('август 2025'!$G$2:$G$2407,'август 2025'!$D$2:$D$2407,$B82,'август 2025'!$J$2:$J$2407,O$1)</f>
        <v>0</v>
      </c>
      <c r="P82" s="76">
        <f>SUMIFS('август 2025'!$G$2:$G$2407,'август 2025'!$D$2:$D$2407,$B82,'август 2025'!$J$2:$J$2407,P$1)</f>
        <v>0</v>
      </c>
      <c r="Q82" s="76">
        <f>SUMIFS('август 2025'!$G$2:$G$2407,'август 2025'!$D$2:$D$2407,$B82,'август 2025'!$J$2:$J$2407,Q$1)</f>
        <v>0</v>
      </c>
      <c r="R82" s="76">
        <f>SUMIFS('август 2025'!$G$2:$G$2407,'август 2025'!$D$2:$D$2407,$B82,'август 2025'!$J$2:$J$2407,R$1)</f>
        <v>0</v>
      </c>
      <c r="S82" s="76">
        <f>SUMIFS('август 2025'!$G$2:$G$2407,'август 2025'!$D$2:$D$2407,$B82,'август 2025'!$J$2:$J$2407,S$1)</f>
        <v>0</v>
      </c>
      <c r="T82" s="76">
        <f>SUMIFS('август 2025'!$G$2:$G$2407,'август 2025'!$D$2:$D$2407,$B82,'август 2025'!$J$2:$J$2407,T$1)</f>
        <v>0</v>
      </c>
      <c r="U82" s="76">
        <f>SUMIFS('август 2025'!$G$2:$G$2407,'август 2025'!$D$2:$D$2407,$B82,'август 2025'!$J$2:$J$2407,U$1)</f>
        <v>0</v>
      </c>
      <c r="V82" s="76">
        <f>SUMIFS('август 2025'!$G$2:$G$2407,'август 2025'!$D$2:$D$2407,$B82,'август 2025'!$J$2:$J$2407,V$1)</f>
        <v>0</v>
      </c>
      <c r="W82" s="76">
        <f>SUMIFS('август 2025'!$G$2:$G$2407,'август 2025'!$D$2:$D$2407,$B82,'август 2025'!$J$2:$J$2407,W$1)</f>
        <v>0</v>
      </c>
      <c r="X82" s="76">
        <f>SUMIFS('август 2025'!$G$2:$G$2407,'август 2025'!$D$2:$D$2407,$B82,'август 2025'!$J$2:$J$2407,X$1)</f>
        <v>0</v>
      </c>
      <c r="Y82" s="76">
        <f>SUMIFS('август 2025'!$G$2:$G$2407,'август 2025'!$D$2:$D$2407,$B82,'август 2025'!$J$2:$J$2407,Y$1)</f>
        <v>0</v>
      </c>
      <c r="Z82" s="76">
        <f>SUMIFS('август 2025'!$G$2:$G$2407,'август 2025'!$D$2:$D$2407,$B82,'август 2025'!$J$2:$J$2407,Z$1)</f>
        <v>0</v>
      </c>
      <c r="AA82" s="76">
        <f>SUMIFS('август 2025'!$G$2:$G$2407,'август 2025'!$D$2:$D$2407,$B82,'август 2025'!$J$2:$J$2407,AA$1)</f>
        <v>0</v>
      </c>
      <c r="AB82" s="76">
        <f>SUMIFS('август 2025'!$G$2:$G$2407,'август 2025'!$D$2:$D$2407,$B82,'август 2025'!$J$2:$J$2407,AB$1)</f>
        <v>0</v>
      </c>
      <c r="AC82" s="76">
        <f>SUMIFS('август 2025'!$G$2:$G$2407,'август 2025'!$D$2:$D$2407,$B82,'август 2025'!$J$2:$J$2407,AC$1)</f>
        <v>0</v>
      </c>
      <c r="AD82" s="76">
        <f>SUMIFS('август 2025'!$G$2:$G$2407,'август 2025'!$D$2:$D$2407,$B82,'август 2025'!$J$2:$J$2407,AD$1)</f>
        <v>0</v>
      </c>
      <c r="AE82" s="76">
        <f>SUMIFS('август 2025'!$G$2:$G$2407,'август 2025'!$D$2:$D$2407,$B82,'август 2025'!$J$2:$J$2407,AE$1)</f>
        <v>0</v>
      </c>
      <c r="AF82" s="76">
        <f>SUMIFS('август 2025'!$G$2:$G$2407,'август 2025'!$D$2:$D$2407,$B82,'август 2025'!$J$2:$J$2407,AF$1)</f>
        <v>0</v>
      </c>
      <c r="AG82" s="76">
        <f>SUMIFS('август 2025'!$G$2:$G$2407,'август 2025'!$D$2:$D$2407,$B82,'август 2025'!$J$2:$J$2407,AG$1)</f>
        <v>0</v>
      </c>
      <c r="AH82" s="76">
        <f>SUMIFS('август 2025'!$G$2:$G$2407,'август 2025'!$D$2:$D$2407,$B82,'август 2025'!$J$2:$J$2407,AH$1)</f>
        <v>0</v>
      </c>
      <c r="AI82" s="20">
        <f t="shared" si="1"/>
        <v>0</v>
      </c>
    </row>
    <row r="83" spans="2:35" ht="15" customHeight="1" x14ac:dyDescent="0.25">
      <c r="B83" s="88" t="s">
        <v>168</v>
      </c>
      <c r="C83" s="86">
        <v>200</v>
      </c>
      <c r="D83" s="76">
        <f>SUMIFS('август 2025'!$G$2:$G$2407,'август 2025'!$D$2:$D$2407,$B83,'август 2025'!$J$2:$J$2407,D$1)</f>
        <v>0</v>
      </c>
      <c r="E83" s="76">
        <f>SUMIFS('август 2025'!$G$2:$G$2407,'август 2025'!$D$2:$D$2407,$B83,'август 2025'!$J$2:$J$2407,E$1)</f>
        <v>0</v>
      </c>
      <c r="F83" s="76">
        <f>SUMIFS('август 2025'!$G$2:$G$2407,'август 2025'!$D$2:$D$2407,$B83,'август 2025'!$J$2:$J$2407,F$1)</f>
        <v>0</v>
      </c>
      <c r="G83" s="76">
        <f>SUMIFS('август 2025'!$G$2:$G$2407,'август 2025'!$D$2:$D$2407,$B83,'август 2025'!$J$2:$J$2407,G$1)</f>
        <v>0</v>
      </c>
      <c r="H83" s="76">
        <f>SUMIFS('август 2025'!$G$2:$G$2407,'август 2025'!$D$2:$D$2407,$B83,'август 2025'!$J$2:$J$2407,H$1)</f>
        <v>0</v>
      </c>
      <c r="I83" s="76">
        <f>SUMIFS('август 2025'!$G$2:$G$2407,'август 2025'!$D$2:$D$2407,$B83,'август 2025'!$J$2:$J$2407,I$1)</f>
        <v>0</v>
      </c>
      <c r="J83" s="76">
        <f>SUMIFS('август 2025'!$G$2:$G$2407,'август 2025'!$D$2:$D$2407,$B83,'август 2025'!$J$2:$J$2407,J$1)</f>
        <v>0</v>
      </c>
      <c r="K83" s="76">
        <f>SUMIFS('август 2025'!$G$2:$G$2407,'август 2025'!$D$2:$D$2407,$B83,'август 2025'!$J$2:$J$2407,K$1)</f>
        <v>0</v>
      </c>
      <c r="L83" s="76">
        <f>SUMIFS('август 2025'!$G$2:$G$2407,'август 2025'!$D$2:$D$2407,$B83,'август 2025'!$J$2:$J$2407,L$1)</f>
        <v>0</v>
      </c>
      <c r="M83" s="76">
        <f>SUMIFS('август 2025'!$G$2:$G$2407,'август 2025'!$D$2:$D$2407,$B83,'август 2025'!$J$2:$J$2407,M$1)</f>
        <v>0</v>
      </c>
      <c r="N83" s="76">
        <f>SUMIFS('август 2025'!$G$2:$G$2407,'август 2025'!$D$2:$D$2407,$B83,'август 2025'!$J$2:$J$2407,N$1)</f>
        <v>0</v>
      </c>
      <c r="O83" s="76">
        <f>SUMIFS('август 2025'!$G$2:$G$2407,'август 2025'!$D$2:$D$2407,$B83,'август 2025'!$J$2:$J$2407,O$1)</f>
        <v>0</v>
      </c>
      <c r="P83" s="76">
        <f>SUMIFS('август 2025'!$G$2:$G$2407,'август 2025'!$D$2:$D$2407,$B83,'август 2025'!$J$2:$J$2407,P$1)</f>
        <v>0</v>
      </c>
      <c r="Q83" s="76">
        <f>SUMIFS('август 2025'!$G$2:$G$2407,'август 2025'!$D$2:$D$2407,$B83,'август 2025'!$J$2:$J$2407,Q$1)</f>
        <v>0</v>
      </c>
      <c r="R83" s="76">
        <f>SUMIFS('август 2025'!$G$2:$G$2407,'август 2025'!$D$2:$D$2407,$B83,'август 2025'!$J$2:$J$2407,R$1)</f>
        <v>0</v>
      </c>
      <c r="S83" s="76">
        <f>SUMIFS('август 2025'!$G$2:$G$2407,'август 2025'!$D$2:$D$2407,$B83,'август 2025'!$J$2:$J$2407,S$1)</f>
        <v>0</v>
      </c>
      <c r="T83" s="76">
        <f>SUMIFS('август 2025'!$G$2:$G$2407,'август 2025'!$D$2:$D$2407,$B83,'август 2025'!$J$2:$J$2407,T$1)</f>
        <v>0</v>
      </c>
      <c r="U83" s="76">
        <f>SUMIFS('август 2025'!$G$2:$G$2407,'август 2025'!$D$2:$D$2407,$B83,'август 2025'!$J$2:$J$2407,U$1)</f>
        <v>32</v>
      </c>
      <c r="V83" s="76">
        <f>SUMIFS('август 2025'!$G$2:$G$2407,'август 2025'!$D$2:$D$2407,$B83,'август 2025'!$J$2:$J$2407,V$1)</f>
        <v>0</v>
      </c>
      <c r="W83" s="76">
        <f>SUMIFS('август 2025'!$G$2:$G$2407,'август 2025'!$D$2:$D$2407,$B83,'август 2025'!$J$2:$J$2407,W$1)</f>
        <v>0</v>
      </c>
      <c r="X83" s="76">
        <f>SUMIFS('август 2025'!$G$2:$G$2407,'август 2025'!$D$2:$D$2407,$B83,'август 2025'!$J$2:$J$2407,X$1)</f>
        <v>0</v>
      </c>
      <c r="Y83" s="76">
        <f>SUMIFS('август 2025'!$G$2:$G$2407,'август 2025'!$D$2:$D$2407,$B83,'август 2025'!$J$2:$J$2407,Y$1)</f>
        <v>0</v>
      </c>
      <c r="Z83" s="76">
        <f>SUMIFS('август 2025'!$G$2:$G$2407,'август 2025'!$D$2:$D$2407,$B83,'август 2025'!$J$2:$J$2407,Z$1)</f>
        <v>0</v>
      </c>
      <c r="AA83" s="76">
        <f>SUMIFS('август 2025'!$G$2:$G$2407,'август 2025'!$D$2:$D$2407,$B83,'август 2025'!$J$2:$J$2407,AA$1)</f>
        <v>0</v>
      </c>
      <c r="AB83" s="76">
        <f>SUMIFS('август 2025'!$G$2:$G$2407,'август 2025'!$D$2:$D$2407,$B83,'август 2025'!$J$2:$J$2407,AB$1)</f>
        <v>0</v>
      </c>
      <c r="AC83" s="76">
        <f>SUMIFS('август 2025'!$G$2:$G$2407,'август 2025'!$D$2:$D$2407,$B83,'август 2025'!$J$2:$J$2407,AC$1)</f>
        <v>0</v>
      </c>
      <c r="AD83" s="76">
        <f>SUMIFS('август 2025'!$G$2:$G$2407,'август 2025'!$D$2:$D$2407,$B83,'август 2025'!$J$2:$J$2407,AD$1)</f>
        <v>0</v>
      </c>
      <c r="AE83" s="76">
        <f>SUMIFS('август 2025'!$G$2:$G$2407,'август 2025'!$D$2:$D$2407,$B83,'август 2025'!$J$2:$J$2407,AE$1)</f>
        <v>0</v>
      </c>
      <c r="AF83" s="76">
        <f>SUMIFS('август 2025'!$G$2:$G$2407,'август 2025'!$D$2:$D$2407,$B83,'август 2025'!$J$2:$J$2407,AF$1)</f>
        <v>0</v>
      </c>
      <c r="AG83" s="76">
        <f>SUMIFS('август 2025'!$G$2:$G$2407,'август 2025'!$D$2:$D$2407,$B83,'август 2025'!$J$2:$J$2407,AG$1)</f>
        <v>0</v>
      </c>
      <c r="AH83" s="76">
        <f>SUMIFS('август 2025'!$G$2:$G$2407,'август 2025'!$D$2:$D$2407,$B83,'август 2025'!$J$2:$J$2407,AH$1)</f>
        <v>0</v>
      </c>
      <c r="AI83" s="20">
        <f t="shared" si="1"/>
        <v>32</v>
      </c>
    </row>
    <row r="84" spans="2:35" ht="15" customHeight="1" x14ac:dyDescent="0.25">
      <c r="B84" s="88" t="s">
        <v>1426</v>
      </c>
      <c r="C84" s="86">
        <v>215.5</v>
      </c>
      <c r="D84" s="76">
        <f>SUMIFS('август 2025'!$G$2:$G$2407,'август 2025'!$D$2:$D$2407,$B84,'август 2025'!$J$2:$J$2407,D$1)</f>
        <v>0</v>
      </c>
      <c r="E84" s="76">
        <f>SUMIFS('август 2025'!$G$2:$G$2407,'август 2025'!$D$2:$D$2407,$B84,'август 2025'!$J$2:$J$2407,E$1)</f>
        <v>0</v>
      </c>
      <c r="F84" s="76">
        <f>SUMIFS('август 2025'!$G$2:$G$2407,'август 2025'!$D$2:$D$2407,$B84,'август 2025'!$J$2:$J$2407,F$1)</f>
        <v>0</v>
      </c>
      <c r="G84" s="76">
        <f>SUMIFS('август 2025'!$G$2:$G$2407,'август 2025'!$D$2:$D$2407,$B84,'август 2025'!$J$2:$J$2407,G$1)</f>
        <v>0</v>
      </c>
      <c r="H84" s="76">
        <f>SUMIFS('август 2025'!$G$2:$G$2407,'август 2025'!$D$2:$D$2407,$B84,'август 2025'!$J$2:$J$2407,H$1)</f>
        <v>0</v>
      </c>
      <c r="I84" s="76">
        <f>SUMIFS('август 2025'!$G$2:$G$2407,'август 2025'!$D$2:$D$2407,$B84,'август 2025'!$J$2:$J$2407,I$1)</f>
        <v>0</v>
      </c>
      <c r="J84" s="76">
        <f>SUMIFS('август 2025'!$G$2:$G$2407,'август 2025'!$D$2:$D$2407,$B84,'август 2025'!$J$2:$J$2407,J$1)</f>
        <v>0</v>
      </c>
      <c r="K84" s="76">
        <f>SUMIFS('август 2025'!$G$2:$G$2407,'август 2025'!$D$2:$D$2407,$B84,'август 2025'!$J$2:$J$2407,K$1)</f>
        <v>0</v>
      </c>
      <c r="L84" s="76">
        <f>SUMIFS('август 2025'!$G$2:$G$2407,'август 2025'!$D$2:$D$2407,$B84,'август 2025'!$J$2:$J$2407,L$1)</f>
        <v>0</v>
      </c>
      <c r="M84" s="76">
        <f>SUMIFS('август 2025'!$G$2:$G$2407,'август 2025'!$D$2:$D$2407,$B84,'август 2025'!$J$2:$J$2407,M$1)</f>
        <v>0</v>
      </c>
      <c r="N84" s="76">
        <f>SUMIFS('август 2025'!$G$2:$G$2407,'август 2025'!$D$2:$D$2407,$B84,'август 2025'!$J$2:$J$2407,N$1)</f>
        <v>0</v>
      </c>
      <c r="O84" s="76">
        <f>SUMIFS('август 2025'!$G$2:$G$2407,'август 2025'!$D$2:$D$2407,$B84,'август 2025'!$J$2:$J$2407,O$1)</f>
        <v>0</v>
      </c>
      <c r="P84" s="76">
        <f>SUMIFS('август 2025'!$G$2:$G$2407,'август 2025'!$D$2:$D$2407,$B84,'август 2025'!$J$2:$J$2407,P$1)</f>
        <v>0</v>
      </c>
      <c r="Q84" s="76">
        <f>SUMIFS('август 2025'!$G$2:$G$2407,'август 2025'!$D$2:$D$2407,$B84,'август 2025'!$J$2:$J$2407,Q$1)</f>
        <v>0</v>
      </c>
      <c r="R84" s="76">
        <f>SUMIFS('август 2025'!$G$2:$G$2407,'август 2025'!$D$2:$D$2407,$B84,'август 2025'!$J$2:$J$2407,R$1)</f>
        <v>0</v>
      </c>
      <c r="S84" s="76">
        <f>SUMIFS('август 2025'!$G$2:$G$2407,'август 2025'!$D$2:$D$2407,$B84,'август 2025'!$J$2:$J$2407,S$1)</f>
        <v>0</v>
      </c>
      <c r="T84" s="76">
        <f>SUMIFS('август 2025'!$G$2:$G$2407,'август 2025'!$D$2:$D$2407,$B84,'август 2025'!$J$2:$J$2407,T$1)</f>
        <v>0</v>
      </c>
      <c r="U84" s="76">
        <f>SUMIFS('август 2025'!$G$2:$G$2407,'август 2025'!$D$2:$D$2407,$B84,'август 2025'!$J$2:$J$2407,U$1)</f>
        <v>0</v>
      </c>
      <c r="V84" s="76">
        <f>SUMIFS('август 2025'!$G$2:$G$2407,'август 2025'!$D$2:$D$2407,$B84,'август 2025'!$J$2:$J$2407,V$1)</f>
        <v>0</v>
      </c>
      <c r="W84" s="76">
        <f>SUMIFS('август 2025'!$G$2:$G$2407,'август 2025'!$D$2:$D$2407,$B84,'август 2025'!$J$2:$J$2407,W$1)</f>
        <v>0</v>
      </c>
      <c r="X84" s="76">
        <f>SUMIFS('август 2025'!$G$2:$G$2407,'август 2025'!$D$2:$D$2407,$B84,'август 2025'!$J$2:$J$2407,X$1)</f>
        <v>0</v>
      </c>
      <c r="Y84" s="76">
        <f>SUMIFS('август 2025'!$G$2:$G$2407,'август 2025'!$D$2:$D$2407,$B84,'август 2025'!$J$2:$J$2407,Y$1)</f>
        <v>0</v>
      </c>
      <c r="Z84" s="76">
        <f>SUMIFS('август 2025'!$G$2:$G$2407,'август 2025'!$D$2:$D$2407,$B84,'август 2025'!$J$2:$J$2407,Z$1)</f>
        <v>0</v>
      </c>
      <c r="AA84" s="76">
        <f>SUMIFS('август 2025'!$G$2:$G$2407,'август 2025'!$D$2:$D$2407,$B84,'август 2025'!$J$2:$J$2407,AA$1)</f>
        <v>0</v>
      </c>
      <c r="AB84" s="76">
        <f>SUMIFS('август 2025'!$G$2:$G$2407,'август 2025'!$D$2:$D$2407,$B84,'август 2025'!$J$2:$J$2407,AB$1)</f>
        <v>0</v>
      </c>
      <c r="AC84" s="76">
        <f>SUMIFS('август 2025'!$G$2:$G$2407,'август 2025'!$D$2:$D$2407,$B84,'август 2025'!$J$2:$J$2407,AC$1)</f>
        <v>0</v>
      </c>
      <c r="AD84" s="76">
        <f>SUMIFS('август 2025'!$G$2:$G$2407,'август 2025'!$D$2:$D$2407,$B84,'август 2025'!$J$2:$J$2407,AD$1)</f>
        <v>0</v>
      </c>
      <c r="AE84" s="76">
        <f>SUMIFS('август 2025'!$G$2:$G$2407,'август 2025'!$D$2:$D$2407,$B84,'август 2025'!$J$2:$J$2407,AE$1)</f>
        <v>0</v>
      </c>
      <c r="AF84" s="76">
        <f>SUMIFS('август 2025'!$G$2:$G$2407,'август 2025'!$D$2:$D$2407,$B84,'август 2025'!$J$2:$J$2407,AF$1)</f>
        <v>0</v>
      </c>
      <c r="AG84" s="76">
        <f>SUMIFS('август 2025'!$G$2:$G$2407,'август 2025'!$D$2:$D$2407,$B84,'август 2025'!$J$2:$J$2407,AG$1)</f>
        <v>0</v>
      </c>
      <c r="AH84" s="76">
        <f>SUMIFS('август 2025'!$G$2:$G$2407,'август 2025'!$D$2:$D$2407,$B84,'август 2025'!$J$2:$J$2407,AH$1)</f>
        <v>0</v>
      </c>
      <c r="AI84" s="20"/>
    </row>
    <row r="85" spans="2:35" ht="15" customHeight="1" x14ac:dyDescent="0.25">
      <c r="B85" s="88" t="s">
        <v>314</v>
      </c>
      <c r="C85" s="86">
        <v>200</v>
      </c>
      <c r="D85" s="76">
        <f>SUMIFS('август 2025'!$G$2:$G$2407,'август 2025'!$D$2:$D$2407,$B85,'август 2025'!$J$2:$J$2407,D$1)</f>
        <v>0</v>
      </c>
      <c r="E85" s="76">
        <f>SUMIFS('август 2025'!$G$2:$G$2407,'август 2025'!$D$2:$D$2407,$B85,'август 2025'!$J$2:$J$2407,E$1)</f>
        <v>0</v>
      </c>
      <c r="F85" s="76">
        <f>SUMIFS('август 2025'!$G$2:$G$2407,'август 2025'!$D$2:$D$2407,$B85,'август 2025'!$J$2:$J$2407,F$1)</f>
        <v>0</v>
      </c>
      <c r="G85" s="76">
        <f>SUMIFS('август 2025'!$G$2:$G$2407,'август 2025'!$D$2:$D$2407,$B85,'август 2025'!$J$2:$J$2407,G$1)</f>
        <v>0</v>
      </c>
      <c r="H85" s="76">
        <f>SUMIFS('август 2025'!$G$2:$G$2407,'август 2025'!$D$2:$D$2407,$B85,'август 2025'!$J$2:$J$2407,H$1)</f>
        <v>0</v>
      </c>
      <c r="I85" s="76">
        <f>SUMIFS('август 2025'!$G$2:$G$2407,'август 2025'!$D$2:$D$2407,$B85,'август 2025'!$J$2:$J$2407,I$1)</f>
        <v>0</v>
      </c>
      <c r="J85" s="76">
        <f>SUMIFS('август 2025'!$G$2:$G$2407,'август 2025'!$D$2:$D$2407,$B85,'август 2025'!$J$2:$J$2407,J$1)</f>
        <v>0</v>
      </c>
      <c r="K85" s="76">
        <f>SUMIFS('август 2025'!$G$2:$G$2407,'август 2025'!$D$2:$D$2407,$B85,'август 2025'!$J$2:$J$2407,K$1)</f>
        <v>0</v>
      </c>
      <c r="L85" s="76">
        <f>SUMIFS('август 2025'!$G$2:$G$2407,'август 2025'!$D$2:$D$2407,$B85,'август 2025'!$J$2:$J$2407,L$1)</f>
        <v>0</v>
      </c>
      <c r="M85" s="76">
        <f>SUMIFS('август 2025'!$G$2:$G$2407,'август 2025'!$D$2:$D$2407,$B85,'август 2025'!$J$2:$J$2407,M$1)</f>
        <v>0</v>
      </c>
      <c r="N85" s="76">
        <f>SUMIFS('август 2025'!$G$2:$G$2407,'август 2025'!$D$2:$D$2407,$B85,'август 2025'!$J$2:$J$2407,N$1)</f>
        <v>0</v>
      </c>
      <c r="O85" s="76">
        <f>SUMIFS('август 2025'!$G$2:$G$2407,'август 2025'!$D$2:$D$2407,$B85,'август 2025'!$J$2:$J$2407,O$1)</f>
        <v>0</v>
      </c>
      <c r="P85" s="76">
        <f>SUMIFS('август 2025'!$G$2:$G$2407,'август 2025'!$D$2:$D$2407,$B85,'август 2025'!$J$2:$J$2407,P$1)</f>
        <v>0</v>
      </c>
      <c r="Q85" s="76">
        <f>SUMIFS('август 2025'!$G$2:$G$2407,'август 2025'!$D$2:$D$2407,$B85,'август 2025'!$J$2:$J$2407,Q$1)</f>
        <v>0</v>
      </c>
      <c r="R85" s="76">
        <f>SUMIFS('август 2025'!$G$2:$G$2407,'август 2025'!$D$2:$D$2407,$B85,'август 2025'!$J$2:$J$2407,R$1)</f>
        <v>0</v>
      </c>
      <c r="S85" s="76">
        <f>SUMIFS('август 2025'!$G$2:$G$2407,'август 2025'!$D$2:$D$2407,$B85,'август 2025'!$J$2:$J$2407,S$1)</f>
        <v>0</v>
      </c>
      <c r="T85" s="76">
        <f>SUMIFS('август 2025'!$G$2:$G$2407,'август 2025'!$D$2:$D$2407,$B85,'август 2025'!$J$2:$J$2407,T$1)</f>
        <v>0</v>
      </c>
      <c r="U85" s="76">
        <f>SUMIFS('август 2025'!$G$2:$G$2407,'август 2025'!$D$2:$D$2407,$B85,'август 2025'!$J$2:$J$2407,U$1)</f>
        <v>0</v>
      </c>
      <c r="V85" s="76">
        <f>SUMIFS('август 2025'!$G$2:$G$2407,'август 2025'!$D$2:$D$2407,$B85,'август 2025'!$J$2:$J$2407,V$1)</f>
        <v>0</v>
      </c>
      <c r="W85" s="76">
        <f>SUMIFS('август 2025'!$G$2:$G$2407,'август 2025'!$D$2:$D$2407,$B85,'август 2025'!$J$2:$J$2407,W$1)</f>
        <v>0</v>
      </c>
      <c r="X85" s="76">
        <f>SUMIFS('август 2025'!$G$2:$G$2407,'август 2025'!$D$2:$D$2407,$B85,'август 2025'!$J$2:$J$2407,X$1)</f>
        <v>0</v>
      </c>
      <c r="Y85" s="76">
        <f>SUMIFS('август 2025'!$G$2:$G$2407,'август 2025'!$D$2:$D$2407,$B85,'август 2025'!$J$2:$J$2407,Y$1)</f>
        <v>0</v>
      </c>
      <c r="Z85" s="76">
        <f>SUMIFS('август 2025'!$G$2:$G$2407,'август 2025'!$D$2:$D$2407,$B85,'август 2025'!$J$2:$J$2407,Z$1)</f>
        <v>0</v>
      </c>
      <c r="AA85" s="76">
        <f>SUMIFS('август 2025'!$G$2:$G$2407,'август 2025'!$D$2:$D$2407,$B85,'август 2025'!$J$2:$J$2407,AA$1)</f>
        <v>0</v>
      </c>
      <c r="AB85" s="76">
        <f>SUMIFS('август 2025'!$G$2:$G$2407,'август 2025'!$D$2:$D$2407,$B85,'август 2025'!$J$2:$J$2407,AB$1)</f>
        <v>0</v>
      </c>
      <c r="AC85" s="76">
        <f>SUMIFS('август 2025'!$G$2:$G$2407,'август 2025'!$D$2:$D$2407,$B85,'август 2025'!$J$2:$J$2407,AC$1)</f>
        <v>0</v>
      </c>
      <c r="AD85" s="76">
        <f>SUMIFS('август 2025'!$G$2:$G$2407,'август 2025'!$D$2:$D$2407,$B85,'август 2025'!$J$2:$J$2407,AD$1)</f>
        <v>0</v>
      </c>
      <c r="AE85" s="76">
        <f>SUMIFS('август 2025'!$G$2:$G$2407,'август 2025'!$D$2:$D$2407,$B85,'август 2025'!$J$2:$J$2407,AE$1)</f>
        <v>0</v>
      </c>
      <c r="AF85" s="76">
        <f>SUMIFS('август 2025'!$G$2:$G$2407,'август 2025'!$D$2:$D$2407,$B85,'август 2025'!$J$2:$J$2407,AF$1)</f>
        <v>0</v>
      </c>
      <c r="AG85" s="76">
        <f>SUMIFS('август 2025'!$G$2:$G$2407,'август 2025'!$D$2:$D$2407,$B85,'август 2025'!$J$2:$J$2407,AG$1)</f>
        <v>0</v>
      </c>
      <c r="AH85" s="76">
        <f>SUMIFS('август 2025'!$G$2:$G$2407,'август 2025'!$D$2:$D$2407,$B85,'август 2025'!$J$2:$J$2407,AH$1)</f>
        <v>0</v>
      </c>
      <c r="AI85" s="20">
        <f t="shared" si="1"/>
        <v>0</v>
      </c>
    </row>
    <row r="86" spans="2:35" ht="15" customHeight="1" x14ac:dyDescent="0.25">
      <c r="B86" s="88" t="s">
        <v>375</v>
      </c>
      <c r="C86" s="86">
        <v>210</v>
      </c>
      <c r="D86" s="76">
        <f>SUMIFS('август 2025'!$G$2:$G$2407,'август 2025'!$D$2:$D$2407,$B86,'август 2025'!$J$2:$J$2407,D$1)</f>
        <v>0</v>
      </c>
      <c r="E86" s="76">
        <f>SUMIFS('август 2025'!$G$2:$G$2407,'август 2025'!$D$2:$D$2407,$B86,'август 2025'!$J$2:$J$2407,E$1)</f>
        <v>0</v>
      </c>
      <c r="F86" s="76">
        <f>SUMIFS('август 2025'!$G$2:$G$2407,'август 2025'!$D$2:$D$2407,$B86,'август 2025'!$J$2:$J$2407,F$1)</f>
        <v>0</v>
      </c>
      <c r="G86" s="76">
        <f>SUMIFS('август 2025'!$G$2:$G$2407,'август 2025'!$D$2:$D$2407,$B86,'август 2025'!$J$2:$J$2407,G$1)</f>
        <v>0</v>
      </c>
      <c r="H86" s="76">
        <f>SUMIFS('август 2025'!$G$2:$G$2407,'август 2025'!$D$2:$D$2407,$B86,'август 2025'!$J$2:$J$2407,H$1)</f>
        <v>0</v>
      </c>
      <c r="I86" s="76">
        <f>SUMIFS('август 2025'!$G$2:$G$2407,'август 2025'!$D$2:$D$2407,$B86,'август 2025'!$J$2:$J$2407,I$1)</f>
        <v>0</v>
      </c>
      <c r="J86" s="76">
        <f>SUMIFS('август 2025'!$G$2:$G$2407,'август 2025'!$D$2:$D$2407,$B86,'август 2025'!$J$2:$J$2407,J$1)</f>
        <v>0</v>
      </c>
      <c r="K86" s="76">
        <f>SUMIFS('август 2025'!$G$2:$G$2407,'август 2025'!$D$2:$D$2407,$B86,'август 2025'!$J$2:$J$2407,K$1)</f>
        <v>0</v>
      </c>
      <c r="L86" s="76">
        <f>SUMIFS('август 2025'!$G$2:$G$2407,'август 2025'!$D$2:$D$2407,$B86,'август 2025'!$J$2:$J$2407,L$1)</f>
        <v>0</v>
      </c>
      <c r="M86" s="76">
        <f>SUMIFS('август 2025'!$G$2:$G$2407,'август 2025'!$D$2:$D$2407,$B86,'август 2025'!$J$2:$J$2407,M$1)</f>
        <v>0</v>
      </c>
      <c r="N86" s="76">
        <f>SUMIFS('август 2025'!$G$2:$G$2407,'август 2025'!$D$2:$D$2407,$B86,'август 2025'!$J$2:$J$2407,N$1)</f>
        <v>0</v>
      </c>
      <c r="O86" s="76">
        <f>SUMIFS('август 2025'!$G$2:$G$2407,'август 2025'!$D$2:$D$2407,$B86,'август 2025'!$J$2:$J$2407,O$1)</f>
        <v>0</v>
      </c>
      <c r="P86" s="76">
        <f>SUMIFS('август 2025'!$G$2:$G$2407,'август 2025'!$D$2:$D$2407,$B86,'август 2025'!$J$2:$J$2407,P$1)</f>
        <v>0</v>
      </c>
      <c r="Q86" s="76">
        <f>SUMIFS('август 2025'!$G$2:$G$2407,'август 2025'!$D$2:$D$2407,$B86,'август 2025'!$J$2:$J$2407,Q$1)</f>
        <v>0</v>
      </c>
      <c r="R86" s="76">
        <f>SUMIFS('август 2025'!$G$2:$G$2407,'август 2025'!$D$2:$D$2407,$B86,'август 2025'!$J$2:$J$2407,R$1)</f>
        <v>0</v>
      </c>
      <c r="S86" s="76">
        <f>SUMIFS('август 2025'!$G$2:$G$2407,'август 2025'!$D$2:$D$2407,$B86,'август 2025'!$J$2:$J$2407,S$1)</f>
        <v>0</v>
      </c>
      <c r="T86" s="76">
        <f>SUMIFS('август 2025'!$G$2:$G$2407,'август 2025'!$D$2:$D$2407,$B86,'август 2025'!$J$2:$J$2407,T$1)</f>
        <v>0</v>
      </c>
      <c r="U86" s="76">
        <f>SUMIFS('август 2025'!$G$2:$G$2407,'август 2025'!$D$2:$D$2407,$B86,'август 2025'!$J$2:$J$2407,U$1)</f>
        <v>0</v>
      </c>
      <c r="V86" s="76">
        <f>SUMIFS('август 2025'!$G$2:$G$2407,'август 2025'!$D$2:$D$2407,$B86,'август 2025'!$J$2:$J$2407,V$1)</f>
        <v>0</v>
      </c>
      <c r="W86" s="76">
        <f>SUMIFS('август 2025'!$G$2:$G$2407,'август 2025'!$D$2:$D$2407,$B86,'август 2025'!$J$2:$J$2407,W$1)</f>
        <v>0</v>
      </c>
      <c r="X86" s="76">
        <f>SUMIFS('август 2025'!$G$2:$G$2407,'август 2025'!$D$2:$D$2407,$B86,'август 2025'!$J$2:$J$2407,X$1)</f>
        <v>0</v>
      </c>
      <c r="Y86" s="76">
        <f>SUMIFS('август 2025'!$G$2:$G$2407,'август 2025'!$D$2:$D$2407,$B86,'август 2025'!$J$2:$J$2407,Y$1)</f>
        <v>0</v>
      </c>
      <c r="Z86" s="76">
        <f>SUMIFS('август 2025'!$G$2:$G$2407,'август 2025'!$D$2:$D$2407,$B86,'август 2025'!$J$2:$J$2407,Z$1)</f>
        <v>0</v>
      </c>
      <c r="AA86" s="76">
        <f>SUMIFS('август 2025'!$G$2:$G$2407,'август 2025'!$D$2:$D$2407,$B86,'август 2025'!$J$2:$J$2407,AA$1)</f>
        <v>0</v>
      </c>
      <c r="AB86" s="76">
        <f>SUMIFS('август 2025'!$G$2:$G$2407,'август 2025'!$D$2:$D$2407,$B86,'август 2025'!$J$2:$J$2407,AB$1)</f>
        <v>0</v>
      </c>
      <c r="AC86" s="76">
        <f>SUMIFS('август 2025'!$G$2:$G$2407,'август 2025'!$D$2:$D$2407,$B86,'август 2025'!$J$2:$J$2407,AC$1)</f>
        <v>0</v>
      </c>
      <c r="AD86" s="76">
        <f>SUMIFS('август 2025'!$G$2:$G$2407,'август 2025'!$D$2:$D$2407,$B86,'август 2025'!$J$2:$J$2407,AD$1)</f>
        <v>0</v>
      </c>
      <c r="AE86" s="76">
        <f>SUMIFS('август 2025'!$G$2:$G$2407,'август 2025'!$D$2:$D$2407,$B86,'август 2025'!$J$2:$J$2407,AE$1)</f>
        <v>0</v>
      </c>
      <c r="AF86" s="76">
        <f>SUMIFS('август 2025'!$G$2:$G$2407,'август 2025'!$D$2:$D$2407,$B86,'август 2025'!$J$2:$J$2407,AF$1)</f>
        <v>0</v>
      </c>
      <c r="AG86" s="76">
        <f>SUMIFS('август 2025'!$G$2:$G$2407,'август 2025'!$D$2:$D$2407,$B86,'август 2025'!$J$2:$J$2407,AG$1)</f>
        <v>0</v>
      </c>
      <c r="AH86" s="76">
        <f>SUMIFS('август 2025'!$G$2:$G$2407,'август 2025'!$D$2:$D$2407,$B86,'август 2025'!$J$2:$J$2407,AH$1)</f>
        <v>0</v>
      </c>
      <c r="AI86" s="20">
        <f t="shared" si="1"/>
        <v>0</v>
      </c>
    </row>
    <row r="87" spans="2:35" ht="15" customHeight="1" x14ac:dyDescent="0.25">
      <c r="B87" s="88" t="s">
        <v>1255</v>
      </c>
      <c r="C87" s="86">
        <v>1000</v>
      </c>
      <c r="D87" s="76">
        <f>SUMIFS('август 2025'!$G$2:$G$2407,'август 2025'!$D$2:$D$2407,$B87,'август 2025'!$J$2:$J$2407,D$1)</f>
        <v>0</v>
      </c>
      <c r="E87" s="76">
        <f>SUMIFS('август 2025'!$G$2:$G$2407,'август 2025'!$D$2:$D$2407,$B87,'август 2025'!$J$2:$J$2407,E$1)</f>
        <v>0</v>
      </c>
      <c r="F87" s="76">
        <f>SUMIFS('август 2025'!$G$2:$G$2407,'август 2025'!$D$2:$D$2407,$B87,'август 2025'!$J$2:$J$2407,F$1)</f>
        <v>0</v>
      </c>
      <c r="G87" s="76">
        <f>SUMIFS('август 2025'!$G$2:$G$2407,'август 2025'!$D$2:$D$2407,$B87,'август 2025'!$J$2:$J$2407,G$1)</f>
        <v>0</v>
      </c>
      <c r="H87" s="76">
        <f>SUMIFS('август 2025'!$G$2:$G$2407,'август 2025'!$D$2:$D$2407,$B87,'август 2025'!$J$2:$J$2407,H$1)</f>
        <v>0</v>
      </c>
      <c r="I87" s="76">
        <f>SUMIFS('август 2025'!$G$2:$G$2407,'август 2025'!$D$2:$D$2407,$B87,'август 2025'!$J$2:$J$2407,I$1)</f>
        <v>0</v>
      </c>
      <c r="J87" s="76">
        <f>SUMIFS('август 2025'!$G$2:$G$2407,'август 2025'!$D$2:$D$2407,$B87,'август 2025'!$J$2:$J$2407,J$1)</f>
        <v>0</v>
      </c>
      <c r="K87" s="76">
        <f>SUMIFS('август 2025'!$G$2:$G$2407,'август 2025'!$D$2:$D$2407,$B87,'август 2025'!$J$2:$J$2407,K$1)</f>
        <v>0</v>
      </c>
      <c r="L87" s="76">
        <f>SUMIFS('август 2025'!$G$2:$G$2407,'август 2025'!$D$2:$D$2407,$B87,'август 2025'!$J$2:$J$2407,L$1)</f>
        <v>0</v>
      </c>
      <c r="M87" s="76">
        <f>SUMIFS('август 2025'!$G$2:$G$2407,'август 2025'!$D$2:$D$2407,$B87,'август 2025'!$J$2:$J$2407,M$1)</f>
        <v>0</v>
      </c>
      <c r="N87" s="76">
        <f>SUMIFS('август 2025'!$G$2:$G$2407,'август 2025'!$D$2:$D$2407,$B87,'август 2025'!$J$2:$J$2407,N$1)</f>
        <v>0</v>
      </c>
      <c r="O87" s="76">
        <f>SUMIFS('август 2025'!$G$2:$G$2407,'август 2025'!$D$2:$D$2407,$B87,'август 2025'!$J$2:$J$2407,O$1)</f>
        <v>0</v>
      </c>
      <c r="P87" s="76">
        <f>SUMIFS('август 2025'!$G$2:$G$2407,'август 2025'!$D$2:$D$2407,$B87,'август 2025'!$J$2:$J$2407,P$1)</f>
        <v>0</v>
      </c>
      <c r="Q87" s="76">
        <f>SUMIFS('август 2025'!$G$2:$G$2407,'август 2025'!$D$2:$D$2407,$B87,'август 2025'!$J$2:$J$2407,Q$1)</f>
        <v>0</v>
      </c>
      <c r="R87" s="76">
        <f>SUMIFS('август 2025'!$G$2:$G$2407,'август 2025'!$D$2:$D$2407,$B87,'август 2025'!$J$2:$J$2407,R$1)</f>
        <v>0</v>
      </c>
      <c r="S87" s="76">
        <f>SUMIFS('август 2025'!$G$2:$G$2407,'август 2025'!$D$2:$D$2407,$B87,'август 2025'!$J$2:$J$2407,S$1)</f>
        <v>0</v>
      </c>
      <c r="T87" s="76">
        <f>SUMIFS('август 2025'!$G$2:$G$2407,'август 2025'!$D$2:$D$2407,$B87,'август 2025'!$J$2:$J$2407,T$1)</f>
        <v>0</v>
      </c>
      <c r="U87" s="76">
        <f>SUMIFS('август 2025'!$G$2:$G$2407,'август 2025'!$D$2:$D$2407,$B87,'август 2025'!$J$2:$J$2407,U$1)</f>
        <v>0</v>
      </c>
      <c r="V87" s="76">
        <f>SUMIFS('август 2025'!$G$2:$G$2407,'август 2025'!$D$2:$D$2407,$B87,'август 2025'!$J$2:$J$2407,V$1)</f>
        <v>0</v>
      </c>
      <c r="W87" s="76">
        <f>SUMIFS('август 2025'!$G$2:$G$2407,'август 2025'!$D$2:$D$2407,$B87,'август 2025'!$J$2:$J$2407,W$1)</f>
        <v>0</v>
      </c>
      <c r="X87" s="76">
        <f>SUMIFS('август 2025'!$G$2:$G$2407,'август 2025'!$D$2:$D$2407,$B87,'август 2025'!$J$2:$J$2407,X$1)</f>
        <v>0</v>
      </c>
      <c r="Y87" s="76">
        <f>SUMIFS('август 2025'!$G$2:$G$2407,'август 2025'!$D$2:$D$2407,$B87,'август 2025'!$J$2:$J$2407,Y$1)</f>
        <v>0</v>
      </c>
      <c r="Z87" s="76">
        <f>SUMIFS('август 2025'!$G$2:$G$2407,'август 2025'!$D$2:$D$2407,$B87,'август 2025'!$J$2:$J$2407,Z$1)</f>
        <v>0</v>
      </c>
      <c r="AA87" s="76">
        <f>SUMIFS('август 2025'!$G$2:$G$2407,'август 2025'!$D$2:$D$2407,$B87,'август 2025'!$J$2:$J$2407,AA$1)</f>
        <v>0</v>
      </c>
      <c r="AB87" s="76">
        <f>SUMIFS('август 2025'!$G$2:$G$2407,'август 2025'!$D$2:$D$2407,$B87,'август 2025'!$J$2:$J$2407,AB$1)</f>
        <v>0</v>
      </c>
      <c r="AC87" s="76">
        <f>SUMIFS('август 2025'!$G$2:$G$2407,'август 2025'!$D$2:$D$2407,$B87,'август 2025'!$J$2:$J$2407,AC$1)</f>
        <v>0</v>
      </c>
      <c r="AD87" s="76">
        <f>SUMIFS('август 2025'!$G$2:$G$2407,'август 2025'!$D$2:$D$2407,$B87,'август 2025'!$J$2:$J$2407,AD$1)</f>
        <v>0</v>
      </c>
      <c r="AE87" s="76">
        <f>SUMIFS('август 2025'!$G$2:$G$2407,'август 2025'!$D$2:$D$2407,$B87,'август 2025'!$J$2:$J$2407,AE$1)</f>
        <v>0</v>
      </c>
      <c r="AF87" s="76">
        <f>SUMIFS('август 2025'!$G$2:$G$2407,'август 2025'!$D$2:$D$2407,$B87,'август 2025'!$J$2:$J$2407,AF$1)</f>
        <v>0</v>
      </c>
      <c r="AG87" s="76">
        <f>SUMIFS('август 2025'!$G$2:$G$2407,'август 2025'!$D$2:$D$2407,$B87,'август 2025'!$J$2:$J$2407,AG$1)</f>
        <v>0</v>
      </c>
      <c r="AH87" s="76">
        <f>SUMIFS('август 2025'!$G$2:$G$2407,'август 2025'!$D$2:$D$2407,$B87,'август 2025'!$J$2:$J$2407,AH$1)</f>
        <v>0</v>
      </c>
      <c r="AI87" s="20">
        <f t="shared" si="1"/>
        <v>0</v>
      </c>
    </row>
    <row r="88" spans="2:35" ht="15" customHeight="1" x14ac:dyDescent="0.25">
      <c r="B88" s="88" t="s">
        <v>257</v>
      </c>
      <c r="C88" s="86">
        <v>190</v>
      </c>
      <c r="D88" s="76">
        <f>SUMIFS('август 2025'!$G$2:$G$2407,'август 2025'!$D$2:$D$2407,$B88,'август 2025'!$J$2:$J$2407,D$1)</f>
        <v>0</v>
      </c>
      <c r="E88" s="76">
        <f>SUMIFS('август 2025'!$G$2:$G$2407,'август 2025'!$D$2:$D$2407,$B88,'август 2025'!$J$2:$J$2407,E$1)</f>
        <v>0</v>
      </c>
      <c r="F88" s="76">
        <f>SUMIFS('август 2025'!$G$2:$G$2407,'август 2025'!$D$2:$D$2407,$B88,'август 2025'!$J$2:$J$2407,F$1)</f>
        <v>0</v>
      </c>
      <c r="G88" s="76">
        <f>SUMIFS('август 2025'!$G$2:$G$2407,'август 2025'!$D$2:$D$2407,$B88,'август 2025'!$J$2:$J$2407,G$1)</f>
        <v>0</v>
      </c>
      <c r="H88" s="76">
        <f>SUMIFS('август 2025'!$G$2:$G$2407,'август 2025'!$D$2:$D$2407,$B88,'август 2025'!$J$2:$J$2407,H$1)</f>
        <v>0</v>
      </c>
      <c r="I88" s="76">
        <f>SUMIFS('август 2025'!$G$2:$G$2407,'август 2025'!$D$2:$D$2407,$B88,'август 2025'!$J$2:$J$2407,I$1)</f>
        <v>0</v>
      </c>
      <c r="J88" s="76">
        <f>SUMIFS('август 2025'!$G$2:$G$2407,'август 2025'!$D$2:$D$2407,$B88,'август 2025'!$J$2:$J$2407,J$1)</f>
        <v>0</v>
      </c>
      <c r="K88" s="76">
        <f>SUMIFS('август 2025'!$G$2:$G$2407,'август 2025'!$D$2:$D$2407,$B88,'август 2025'!$J$2:$J$2407,K$1)</f>
        <v>0</v>
      </c>
      <c r="L88" s="76">
        <f>SUMIFS('август 2025'!$G$2:$G$2407,'август 2025'!$D$2:$D$2407,$B88,'август 2025'!$J$2:$J$2407,L$1)</f>
        <v>0</v>
      </c>
      <c r="M88" s="76">
        <f>SUMIFS('август 2025'!$G$2:$G$2407,'август 2025'!$D$2:$D$2407,$B88,'август 2025'!$J$2:$J$2407,M$1)</f>
        <v>0</v>
      </c>
      <c r="N88" s="76">
        <f>SUMIFS('август 2025'!$G$2:$G$2407,'август 2025'!$D$2:$D$2407,$B88,'август 2025'!$J$2:$J$2407,N$1)</f>
        <v>0</v>
      </c>
      <c r="O88" s="76">
        <f>SUMIFS('август 2025'!$G$2:$G$2407,'август 2025'!$D$2:$D$2407,$B88,'август 2025'!$J$2:$J$2407,O$1)</f>
        <v>0</v>
      </c>
      <c r="P88" s="76">
        <f>SUMIFS('август 2025'!$G$2:$G$2407,'август 2025'!$D$2:$D$2407,$B88,'август 2025'!$J$2:$J$2407,P$1)</f>
        <v>0</v>
      </c>
      <c r="Q88" s="76">
        <f>SUMIFS('август 2025'!$G$2:$G$2407,'август 2025'!$D$2:$D$2407,$B88,'август 2025'!$J$2:$J$2407,Q$1)</f>
        <v>0</v>
      </c>
      <c r="R88" s="76">
        <f>SUMIFS('август 2025'!$G$2:$G$2407,'август 2025'!$D$2:$D$2407,$B88,'август 2025'!$J$2:$J$2407,R$1)</f>
        <v>0</v>
      </c>
      <c r="S88" s="76">
        <f>SUMIFS('август 2025'!$G$2:$G$2407,'август 2025'!$D$2:$D$2407,$B88,'август 2025'!$J$2:$J$2407,S$1)</f>
        <v>0</v>
      </c>
      <c r="T88" s="76">
        <f>SUMIFS('август 2025'!$G$2:$G$2407,'август 2025'!$D$2:$D$2407,$B88,'август 2025'!$J$2:$J$2407,T$1)</f>
        <v>0</v>
      </c>
      <c r="U88" s="76">
        <f>SUMIFS('август 2025'!$G$2:$G$2407,'август 2025'!$D$2:$D$2407,$B88,'август 2025'!$J$2:$J$2407,U$1)</f>
        <v>0</v>
      </c>
      <c r="V88" s="76">
        <f>SUMIFS('август 2025'!$G$2:$G$2407,'август 2025'!$D$2:$D$2407,$B88,'август 2025'!$J$2:$J$2407,V$1)</f>
        <v>0</v>
      </c>
      <c r="W88" s="76">
        <f>SUMIFS('август 2025'!$G$2:$G$2407,'август 2025'!$D$2:$D$2407,$B88,'август 2025'!$J$2:$J$2407,W$1)</f>
        <v>0</v>
      </c>
      <c r="X88" s="76">
        <f>SUMIFS('август 2025'!$G$2:$G$2407,'август 2025'!$D$2:$D$2407,$B88,'август 2025'!$J$2:$J$2407,X$1)</f>
        <v>0</v>
      </c>
      <c r="Y88" s="76">
        <f>SUMIFS('август 2025'!$G$2:$G$2407,'август 2025'!$D$2:$D$2407,$B88,'август 2025'!$J$2:$J$2407,Y$1)</f>
        <v>0</v>
      </c>
      <c r="Z88" s="76">
        <f>SUMIFS('август 2025'!$G$2:$G$2407,'август 2025'!$D$2:$D$2407,$B88,'август 2025'!$J$2:$J$2407,Z$1)</f>
        <v>0</v>
      </c>
      <c r="AA88" s="76">
        <f>SUMIFS('август 2025'!$G$2:$G$2407,'август 2025'!$D$2:$D$2407,$B88,'август 2025'!$J$2:$J$2407,AA$1)</f>
        <v>0</v>
      </c>
      <c r="AB88" s="76">
        <f>SUMIFS('август 2025'!$G$2:$G$2407,'август 2025'!$D$2:$D$2407,$B88,'август 2025'!$J$2:$J$2407,AB$1)</f>
        <v>0</v>
      </c>
      <c r="AC88" s="76">
        <f>SUMIFS('август 2025'!$G$2:$G$2407,'август 2025'!$D$2:$D$2407,$B88,'август 2025'!$J$2:$J$2407,AC$1)</f>
        <v>0</v>
      </c>
      <c r="AD88" s="76">
        <f>SUMIFS('август 2025'!$G$2:$G$2407,'август 2025'!$D$2:$D$2407,$B88,'август 2025'!$J$2:$J$2407,AD$1)</f>
        <v>0</v>
      </c>
      <c r="AE88" s="76">
        <f>SUMIFS('август 2025'!$G$2:$G$2407,'август 2025'!$D$2:$D$2407,$B88,'август 2025'!$J$2:$J$2407,AE$1)</f>
        <v>0</v>
      </c>
      <c r="AF88" s="76">
        <f>SUMIFS('август 2025'!$G$2:$G$2407,'август 2025'!$D$2:$D$2407,$B88,'август 2025'!$J$2:$J$2407,AF$1)</f>
        <v>0</v>
      </c>
      <c r="AG88" s="76">
        <f>SUMIFS('август 2025'!$G$2:$G$2407,'август 2025'!$D$2:$D$2407,$B88,'август 2025'!$J$2:$J$2407,AG$1)</f>
        <v>0</v>
      </c>
      <c r="AH88" s="76">
        <f>SUMIFS('август 2025'!$G$2:$G$2407,'август 2025'!$D$2:$D$2407,$B88,'август 2025'!$J$2:$J$2407,AH$1)</f>
        <v>0</v>
      </c>
      <c r="AI88" s="20">
        <f t="shared" si="1"/>
        <v>0</v>
      </c>
    </row>
    <row r="89" spans="2:35" ht="15" customHeight="1" x14ac:dyDescent="0.25">
      <c r="B89" s="84" t="s">
        <v>1396</v>
      </c>
      <c r="C89" s="86">
        <v>180</v>
      </c>
      <c r="D89" s="76">
        <f>SUMIFS('август 2025'!$G$2:$G$2407,'август 2025'!$D$2:$D$2407,$B89,'август 2025'!$J$2:$J$2407,D$1)</f>
        <v>0</v>
      </c>
      <c r="E89" s="76">
        <f>SUMIFS('август 2025'!$G$2:$G$2407,'август 2025'!$D$2:$D$2407,$B89,'август 2025'!$J$2:$J$2407,E$1)</f>
        <v>0</v>
      </c>
      <c r="F89" s="76">
        <f>SUMIFS('август 2025'!$G$2:$G$2407,'август 2025'!$D$2:$D$2407,$B89,'август 2025'!$J$2:$J$2407,F$1)</f>
        <v>0</v>
      </c>
      <c r="G89" s="76">
        <f>SUMIFS('август 2025'!$G$2:$G$2407,'август 2025'!$D$2:$D$2407,$B89,'август 2025'!$J$2:$J$2407,G$1)</f>
        <v>0</v>
      </c>
      <c r="H89" s="76">
        <f>SUMIFS('август 2025'!$G$2:$G$2407,'август 2025'!$D$2:$D$2407,$B89,'август 2025'!$J$2:$J$2407,H$1)</f>
        <v>0</v>
      </c>
      <c r="I89" s="76">
        <f>SUMIFS('август 2025'!$G$2:$G$2407,'август 2025'!$D$2:$D$2407,$B89,'август 2025'!$J$2:$J$2407,I$1)</f>
        <v>0</v>
      </c>
      <c r="J89" s="76">
        <f>SUMIFS('август 2025'!$G$2:$G$2407,'август 2025'!$D$2:$D$2407,$B89,'август 2025'!$J$2:$J$2407,J$1)</f>
        <v>0</v>
      </c>
      <c r="K89" s="76">
        <f>SUMIFS('август 2025'!$G$2:$G$2407,'август 2025'!$D$2:$D$2407,$B89,'август 2025'!$J$2:$J$2407,K$1)</f>
        <v>0</v>
      </c>
      <c r="L89" s="76">
        <f>SUMIFS('август 2025'!$G$2:$G$2407,'август 2025'!$D$2:$D$2407,$B89,'август 2025'!$J$2:$J$2407,L$1)</f>
        <v>0</v>
      </c>
      <c r="M89" s="76">
        <f>SUMIFS('август 2025'!$G$2:$G$2407,'август 2025'!$D$2:$D$2407,$B89,'август 2025'!$J$2:$J$2407,M$1)</f>
        <v>0</v>
      </c>
      <c r="N89" s="76">
        <f>SUMIFS('август 2025'!$G$2:$G$2407,'август 2025'!$D$2:$D$2407,$B89,'август 2025'!$J$2:$J$2407,N$1)</f>
        <v>0</v>
      </c>
      <c r="O89" s="76">
        <f>SUMIFS('август 2025'!$G$2:$G$2407,'август 2025'!$D$2:$D$2407,$B89,'август 2025'!$J$2:$J$2407,O$1)</f>
        <v>0</v>
      </c>
      <c r="P89" s="76">
        <f>SUMIFS('август 2025'!$G$2:$G$2407,'август 2025'!$D$2:$D$2407,$B89,'август 2025'!$J$2:$J$2407,P$1)</f>
        <v>0</v>
      </c>
      <c r="Q89" s="76">
        <f>SUMIFS('август 2025'!$G$2:$G$2407,'август 2025'!$D$2:$D$2407,$B89,'август 2025'!$J$2:$J$2407,Q$1)</f>
        <v>0</v>
      </c>
      <c r="R89" s="76">
        <f>SUMIFS('август 2025'!$G$2:$G$2407,'август 2025'!$D$2:$D$2407,$B89,'август 2025'!$J$2:$J$2407,R$1)</f>
        <v>0</v>
      </c>
      <c r="S89" s="76">
        <f>SUMIFS('август 2025'!$G$2:$G$2407,'август 2025'!$D$2:$D$2407,$B89,'август 2025'!$J$2:$J$2407,S$1)</f>
        <v>0</v>
      </c>
      <c r="T89" s="76">
        <f>SUMIFS('август 2025'!$G$2:$G$2407,'август 2025'!$D$2:$D$2407,$B89,'август 2025'!$J$2:$J$2407,T$1)</f>
        <v>0</v>
      </c>
      <c r="U89" s="76">
        <f>SUMIFS('август 2025'!$G$2:$G$2407,'август 2025'!$D$2:$D$2407,$B89,'август 2025'!$J$2:$J$2407,U$1)</f>
        <v>0</v>
      </c>
      <c r="V89" s="76">
        <f>SUMIFS('август 2025'!$G$2:$G$2407,'август 2025'!$D$2:$D$2407,$B89,'август 2025'!$J$2:$J$2407,V$1)</f>
        <v>0</v>
      </c>
      <c r="W89" s="76">
        <f>SUMIFS('август 2025'!$G$2:$G$2407,'август 2025'!$D$2:$D$2407,$B89,'август 2025'!$J$2:$J$2407,W$1)</f>
        <v>0</v>
      </c>
      <c r="X89" s="76">
        <f>SUMIFS('август 2025'!$G$2:$G$2407,'август 2025'!$D$2:$D$2407,$B89,'август 2025'!$J$2:$J$2407,X$1)</f>
        <v>0</v>
      </c>
      <c r="Y89" s="76">
        <f>SUMIFS('август 2025'!$G$2:$G$2407,'август 2025'!$D$2:$D$2407,$B89,'август 2025'!$J$2:$J$2407,Y$1)</f>
        <v>0</v>
      </c>
      <c r="Z89" s="76">
        <f>SUMIFS('август 2025'!$G$2:$G$2407,'август 2025'!$D$2:$D$2407,$B89,'август 2025'!$J$2:$J$2407,Z$1)</f>
        <v>0</v>
      </c>
      <c r="AA89" s="76">
        <f>SUMIFS('август 2025'!$G$2:$G$2407,'август 2025'!$D$2:$D$2407,$B89,'август 2025'!$J$2:$J$2407,AA$1)</f>
        <v>0</v>
      </c>
      <c r="AB89" s="76">
        <f>SUMIFS('август 2025'!$G$2:$G$2407,'август 2025'!$D$2:$D$2407,$B89,'август 2025'!$J$2:$J$2407,AB$1)</f>
        <v>0</v>
      </c>
      <c r="AC89" s="76">
        <f>SUMIFS('август 2025'!$G$2:$G$2407,'август 2025'!$D$2:$D$2407,$B89,'август 2025'!$J$2:$J$2407,AC$1)</f>
        <v>0</v>
      </c>
      <c r="AD89" s="76">
        <f>SUMIFS('август 2025'!$G$2:$G$2407,'август 2025'!$D$2:$D$2407,$B89,'август 2025'!$J$2:$J$2407,AD$1)</f>
        <v>0</v>
      </c>
      <c r="AE89" s="76">
        <f>SUMIFS('август 2025'!$G$2:$G$2407,'август 2025'!$D$2:$D$2407,$B89,'август 2025'!$J$2:$J$2407,AE$1)</f>
        <v>0</v>
      </c>
      <c r="AF89" s="76">
        <f>SUMIFS('август 2025'!$G$2:$G$2407,'август 2025'!$D$2:$D$2407,$B89,'август 2025'!$J$2:$J$2407,AF$1)</f>
        <v>0</v>
      </c>
      <c r="AG89" s="76">
        <f>SUMIFS('август 2025'!$G$2:$G$2407,'август 2025'!$D$2:$D$2407,$B89,'август 2025'!$J$2:$J$2407,AG$1)</f>
        <v>0</v>
      </c>
      <c r="AH89" s="76">
        <f>SUMIFS('август 2025'!$G$2:$G$2407,'август 2025'!$D$2:$D$2407,$B89,'август 2025'!$J$2:$J$2407,AH$1)</f>
        <v>0</v>
      </c>
      <c r="AI89" s="20">
        <f t="shared" si="1"/>
        <v>0</v>
      </c>
    </row>
    <row r="90" spans="2:35" ht="15" customHeight="1" x14ac:dyDescent="0.25">
      <c r="B90" s="84" t="s">
        <v>189</v>
      </c>
      <c r="C90" s="83">
        <v>180</v>
      </c>
      <c r="D90" s="76">
        <f>SUMIFS('август 2025'!$G$2:$G$2407,'август 2025'!$D$2:$D$2407,$B90,'август 2025'!$J$2:$J$2407,D$1)</f>
        <v>0</v>
      </c>
      <c r="E90" s="76">
        <f>SUMIFS('август 2025'!$G$2:$G$2407,'август 2025'!$D$2:$D$2407,$B90,'август 2025'!$J$2:$J$2407,E$1)</f>
        <v>0</v>
      </c>
      <c r="F90" s="76">
        <f>SUMIFS('август 2025'!$G$2:$G$2407,'август 2025'!$D$2:$D$2407,$B90,'август 2025'!$J$2:$J$2407,F$1)</f>
        <v>0</v>
      </c>
      <c r="G90" s="76">
        <f>SUMIFS('август 2025'!$G$2:$G$2407,'август 2025'!$D$2:$D$2407,$B90,'август 2025'!$J$2:$J$2407,G$1)</f>
        <v>0</v>
      </c>
      <c r="H90" s="76">
        <f>SUMIFS('август 2025'!$G$2:$G$2407,'август 2025'!$D$2:$D$2407,$B90,'август 2025'!$J$2:$J$2407,H$1)</f>
        <v>0</v>
      </c>
      <c r="I90" s="76">
        <f>SUMIFS('август 2025'!$G$2:$G$2407,'август 2025'!$D$2:$D$2407,$B90,'август 2025'!$J$2:$J$2407,I$1)</f>
        <v>0</v>
      </c>
      <c r="J90" s="76">
        <f>SUMIFS('август 2025'!$G$2:$G$2407,'август 2025'!$D$2:$D$2407,$B90,'август 2025'!$J$2:$J$2407,J$1)</f>
        <v>0</v>
      </c>
      <c r="K90" s="76">
        <f>SUMIFS('август 2025'!$G$2:$G$2407,'август 2025'!$D$2:$D$2407,$B90,'август 2025'!$J$2:$J$2407,K$1)</f>
        <v>0</v>
      </c>
      <c r="L90" s="76">
        <f>SUMIFS('август 2025'!$G$2:$G$2407,'август 2025'!$D$2:$D$2407,$B90,'август 2025'!$J$2:$J$2407,L$1)</f>
        <v>0</v>
      </c>
      <c r="M90" s="76">
        <f>SUMIFS('август 2025'!$G$2:$G$2407,'август 2025'!$D$2:$D$2407,$B90,'август 2025'!$J$2:$J$2407,M$1)</f>
        <v>0</v>
      </c>
      <c r="N90" s="76">
        <f>SUMIFS('август 2025'!$G$2:$G$2407,'август 2025'!$D$2:$D$2407,$B90,'август 2025'!$J$2:$J$2407,N$1)</f>
        <v>0</v>
      </c>
      <c r="O90" s="76">
        <f>SUMIFS('август 2025'!$G$2:$G$2407,'август 2025'!$D$2:$D$2407,$B90,'август 2025'!$J$2:$J$2407,O$1)</f>
        <v>0</v>
      </c>
      <c r="P90" s="76">
        <f>SUMIFS('август 2025'!$G$2:$G$2407,'август 2025'!$D$2:$D$2407,$B90,'август 2025'!$J$2:$J$2407,P$1)</f>
        <v>0</v>
      </c>
      <c r="Q90" s="76">
        <f>SUMIFS('август 2025'!$G$2:$G$2407,'август 2025'!$D$2:$D$2407,$B90,'август 2025'!$J$2:$J$2407,Q$1)</f>
        <v>0</v>
      </c>
      <c r="R90" s="76">
        <f>SUMIFS('август 2025'!$G$2:$G$2407,'август 2025'!$D$2:$D$2407,$B90,'август 2025'!$J$2:$J$2407,R$1)</f>
        <v>0</v>
      </c>
      <c r="S90" s="76">
        <f>SUMIFS('август 2025'!$G$2:$G$2407,'август 2025'!$D$2:$D$2407,$B90,'август 2025'!$J$2:$J$2407,S$1)</f>
        <v>0</v>
      </c>
      <c r="T90" s="76">
        <f>SUMIFS('август 2025'!$G$2:$G$2407,'август 2025'!$D$2:$D$2407,$B90,'август 2025'!$J$2:$J$2407,T$1)</f>
        <v>0</v>
      </c>
      <c r="U90" s="76">
        <f>SUMIFS('август 2025'!$G$2:$G$2407,'август 2025'!$D$2:$D$2407,$B90,'август 2025'!$J$2:$J$2407,U$1)</f>
        <v>0</v>
      </c>
      <c r="V90" s="76">
        <f>SUMIFS('август 2025'!$G$2:$G$2407,'август 2025'!$D$2:$D$2407,$B90,'август 2025'!$J$2:$J$2407,V$1)</f>
        <v>0</v>
      </c>
      <c r="W90" s="76">
        <f>SUMIFS('август 2025'!$G$2:$G$2407,'август 2025'!$D$2:$D$2407,$B90,'август 2025'!$J$2:$J$2407,W$1)</f>
        <v>0</v>
      </c>
      <c r="X90" s="76">
        <f>SUMIFS('август 2025'!$G$2:$G$2407,'август 2025'!$D$2:$D$2407,$B90,'август 2025'!$J$2:$J$2407,X$1)</f>
        <v>0</v>
      </c>
      <c r="Y90" s="76">
        <f>SUMIFS('август 2025'!$G$2:$G$2407,'август 2025'!$D$2:$D$2407,$B90,'август 2025'!$J$2:$J$2407,Y$1)</f>
        <v>0</v>
      </c>
      <c r="Z90" s="76">
        <f>SUMIFS('август 2025'!$G$2:$G$2407,'август 2025'!$D$2:$D$2407,$B90,'август 2025'!$J$2:$J$2407,Z$1)</f>
        <v>0</v>
      </c>
      <c r="AA90" s="76">
        <f>SUMIFS('август 2025'!$G$2:$G$2407,'август 2025'!$D$2:$D$2407,$B90,'август 2025'!$J$2:$J$2407,AA$1)</f>
        <v>0</v>
      </c>
      <c r="AB90" s="76">
        <f>SUMIFS('август 2025'!$G$2:$G$2407,'август 2025'!$D$2:$D$2407,$B90,'август 2025'!$J$2:$J$2407,AB$1)</f>
        <v>0</v>
      </c>
      <c r="AC90" s="76">
        <f>SUMIFS('август 2025'!$G$2:$G$2407,'август 2025'!$D$2:$D$2407,$B90,'август 2025'!$J$2:$J$2407,AC$1)</f>
        <v>0</v>
      </c>
      <c r="AD90" s="76">
        <f>SUMIFS('август 2025'!$G$2:$G$2407,'август 2025'!$D$2:$D$2407,$B90,'август 2025'!$J$2:$J$2407,AD$1)</f>
        <v>0</v>
      </c>
      <c r="AE90" s="76">
        <f>SUMIFS('август 2025'!$G$2:$G$2407,'август 2025'!$D$2:$D$2407,$B90,'август 2025'!$J$2:$J$2407,AE$1)</f>
        <v>0</v>
      </c>
      <c r="AF90" s="76">
        <f>SUMIFS('август 2025'!$G$2:$G$2407,'август 2025'!$D$2:$D$2407,$B90,'август 2025'!$J$2:$J$2407,AF$1)</f>
        <v>0</v>
      </c>
      <c r="AG90" s="76">
        <f>SUMIFS('август 2025'!$G$2:$G$2407,'август 2025'!$D$2:$D$2407,$B90,'август 2025'!$J$2:$J$2407,AG$1)</f>
        <v>0</v>
      </c>
      <c r="AH90" s="76">
        <f>SUMIFS('август 2025'!$G$2:$G$2407,'август 2025'!$D$2:$D$2407,$B90,'август 2025'!$J$2:$J$2407,AH$1)</f>
        <v>0</v>
      </c>
      <c r="AI90" s="20">
        <f t="shared" si="1"/>
        <v>0</v>
      </c>
    </row>
    <row r="91" spans="2:35" ht="15" customHeight="1" x14ac:dyDescent="0.25">
      <c r="B91" s="88" t="s">
        <v>190</v>
      </c>
      <c r="C91" s="86">
        <v>190</v>
      </c>
      <c r="D91" s="76">
        <f>SUMIFS('август 2025'!$G$2:$G$2407,'август 2025'!$D$2:$D$2407,$B91,'август 2025'!$J$2:$J$2407,D$1)</f>
        <v>0</v>
      </c>
      <c r="E91" s="76">
        <f>SUMIFS('август 2025'!$G$2:$G$2407,'август 2025'!$D$2:$D$2407,$B91,'август 2025'!$J$2:$J$2407,E$1)</f>
        <v>0</v>
      </c>
      <c r="F91" s="76">
        <f>SUMIFS('август 2025'!$G$2:$G$2407,'август 2025'!$D$2:$D$2407,$B91,'август 2025'!$J$2:$J$2407,F$1)</f>
        <v>0</v>
      </c>
      <c r="G91" s="76">
        <f>SUMIFS('август 2025'!$G$2:$G$2407,'август 2025'!$D$2:$D$2407,$B91,'август 2025'!$J$2:$J$2407,G$1)</f>
        <v>0</v>
      </c>
      <c r="H91" s="76">
        <f>SUMIFS('август 2025'!$G$2:$G$2407,'август 2025'!$D$2:$D$2407,$B91,'август 2025'!$J$2:$J$2407,H$1)</f>
        <v>0</v>
      </c>
      <c r="I91" s="76">
        <f>SUMIFS('август 2025'!$G$2:$G$2407,'август 2025'!$D$2:$D$2407,$B91,'август 2025'!$J$2:$J$2407,I$1)</f>
        <v>0</v>
      </c>
      <c r="J91" s="76">
        <f>SUMIFS('август 2025'!$G$2:$G$2407,'август 2025'!$D$2:$D$2407,$B91,'август 2025'!$J$2:$J$2407,J$1)</f>
        <v>0</v>
      </c>
      <c r="K91" s="76">
        <f>SUMIFS('август 2025'!$G$2:$G$2407,'август 2025'!$D$2:$D$2407,$B91,'август 2025'!$J$2:$J$2407,K$1)</f>
        <v>0</v>
      </c>
      <c r="L91" s="76">
        <f>SUMIFS('август 2025'!$G$2:$G$2407,'август 2025'!$D$2:$D$2407,$B91,'август 2025'!$J$2:$J$2407,L$1)</f>
        <v>0</v>
      </c>
      <c r="M91" s="76">
        <f>SUMIFS('август 2025'!$G$2:$G$2407,'август 2025'!$D$2:$D$2407,$B91,'август 2025'!$J$2:$J$2407,M$1)</f>
        <v>0</v>
      </c>
      <c r="N91" s="76">
        <f>SUMIFS('август 2025'!$G$2:$G$2407,'август 2025'!$D$2:$D$2407,$B91,'август 2025'!$J$2:$J$2407,N$1)</f>
        <v>0</v>
      </c>
      <c r="O91" s="76">
        <f>SUMIFS('август 2025'!$G$2:$G$2407,'август 2025'!$D$2:$D$2407,$B91,'август 2025'!$J$2:$J$2407,O$1)</f>
        <v>0</v>
      </c>
      <c r="P91" s="76">
        <f>SUMIFS('август 2025'!$G$2:$G$2407,'август 2025'!$D$2:$D$2407,$B91,'август 2025'!$J$2:$J$2407,P$1)</f>
        <v>0</v>
      </c>
      <c r="Q91" s="76">
        <f>SUMIFS('август 2025'!$G$2:$G$2407,'август 2025'!$D$2:$D$2407,$B91,'август 2025'!$J$2:$J$2407,Q$1)</f>
        <v>0</v>
      </c>
      <c r="R91" s="76">
        <f>SUMIFS('август 2025'!$G$2:$G$2407,'август 2025'!$D$2:$D$2407,$B91,'август 2025'!$J$2:$J$2407,R$1)</f>
        <v>0</v>
      </c>
      <c r="S91" s="76">
        <f>SUMIFS('август 2025'!$G$2:$G$2407,'август 2025'!$D$2:$D$2407,$B91,'август 2025'!$J$2:$J$2407,S$1)</f>
        <v>0</v>
      </c>
      <c r="T91" s="76">
        <f>SUMIFS('август 2025'!$G$2:$G$2407,'август 2025'!$D$2:$D$2407,$B91,'август 2025'!$J$2:$J$2407,T$1)</f>
        <v>0</v>
      </c>
      <c r="U91" s="76">
        <f>SUMIFS('август 2025'!$G$2:$G$2407,'август 2025'!$D$2:$D$2407,$B91,'август 2025'!$J$2:$J$2407,U$1)</f>
        <v>0</v>
      </c>
      <c r="V91" s="76">
        <f>SUMIFS('август 2025'!$G$2:$G$2407,'август 2025'!$D$2:$D$2407,$B91,'август 2025'!$J$2:$J$2407,V$1)</f>
        <v>0</v>
      </c>
      <c r="W91" s="76">
        <f>SUMIFS('август 2025'!$G$2:$G$2407,'август 2025'!$D$2:$D$2407,$B91,'август 2025'!$J$2:$J$2407,W$1)</f>
        <v>0</v>
      </c>
      <c r="X91" s="76">
        <f>SUMIFS('август 2025'!$G$2:$G$2407,'август 2025'!$D$2:$D$2407,$B91,'август 2025'!$J$2:$J$2407,X$1)</f>
        <v>0</v>
      </c>
      <c r="Y91" s="76">
        <f>SUMIFS('август 2025'!$G$2:$G$2407,'август 2025'!$D$2:$D$2407,$B91,'август 2025'!$J$2:$J$2407,Y$1)</f>
        <v>0</v>
      </c>
      <c r="Z91" s="76">
        <f>SUMIFS('август 2025'!$G$2:$G$2407,'август 2025'!$D$2:$D$2407,$B91,'август 2025'!$J$2:$J$2407,Z$1)</f>
        <v>0</v>
      </c>
      <c r="AA91" s="76">
        <f>SUMIFS('август 2025'!$G$2:$G$2407,'август 2025'!$D$2:$D$2407,$B91,'август 2025'!$J$2:$J$2407,AA$1)</f>
        <v>0</v>
      </c>
      <c r="AB91" s="76">
        <f>SUMIFS('август 2025'!$G$2:$G$2407,'август 2025'!$D$2:$D$2407,$B91,'август 2025'!$J$2:$J$2407,AB$1)</f>
        <v>0</v>
      </c>
      <c r="AC91" s="76">
        <f>SUMIFS('август 2025'!$G$2:$G$2407,'август 2025'!$D$2:$D$2407,$B91,'август 2025'!$J$2:$J$2407,AC$1)</f>
        <v>0</v>
      </c>
      <c r="AD91" s="76">
        <f>SUMIFS('август 2025'!$G$2:$G$2407,'август 2025'!$D$2:$D$2407,$B91,'август 2025'!$J$2:$J$2407,AD$1)</f>
        <v>0</v>
      </c>
      <c r="AE91" s="76">
        <f>SUMIFS('август 2025'!$G$2:$G$2407,'август 2025'!$D$2:$D$2407,$B91,'август 2025'!$J$2:$J$2407,AE$1)</f>
        <v>0</v>
      </c>
      <c r="AF91" s="76">
        <f>SUMIFS('август 2025'!$G$2:$G$2407,'август 2025'!$D$2:$D$2407,$B91,'август 2025'!$J$2:$J$2407,AF$1)</f>
        <v>0</v>
      </c>
      <c r="AG91" s="76">
        <f>SUMIFS('август 2025'!$G$2:$G$2407,'август 2025'!$D$2:$D$2407,$B91,'август 2025'!$J$2:$J$2407,AG$1)</f>
        <v>0</v>
      </c>
      <c r="AH91" s="76">
        <f>SUMIFS('август 2025'!$G$2:$G$2407,'август 2025'!$D$2:$D$2407,$B91,'август 2025'!$J$2:$J$2407,AH$1)</f>
        <v>0</v>
      </c>
      <c r="AI91" s="20">
        <f t="shared" si="1"/>
        <v>0</v>
      </c>
    </row>
    <row r="92" spans="2:35" ht="15" customHeight="1" x14ac:dyDescent="0.25">
      <c r="B92" s="88" t="s">
        <v>191</v>
      </c>
      <c r="C92" s="86">
        <v>190</v>
      </c>
      <c r="D92" s="76">
        <f>SUMIFS('август 2025'!$G$2:$G$2407,'август 2025'!$D$2:$D$2407,$B92,'август 2025'!$J$2:$J$2407,D$1)</f>
        <v>0</v>
      </c>
      <c r="E92" s="76">
        <f>SUMIFS('август 2025'!$G$2:$G$2407,'август 2025'!$D$2:$D$2407,$B92,'август 2025'!$J$2:$J$2407,E$1)</f>
        <v>0</v>
      </c>
      <c r="F92" s="76">
        <f>SUMIFS('август 2025'!$G$2:$G$2407,'август 2025'!$D$2:$D$2407,$B92,'август 2025'!$J$2:$J$2407,F$1)</f>
        <v>0</v>
      </c>
      <c r="G92" s="76">
        <f>SUMIFS('август 2025'!$G$2:$G$2407,'август 2025'!$D$2:$D$2407,$B92,'август 2025'!$J$2:$J$2407,G$1)</f>
        <v>0</v>
      </c>
      <c r="H92" s="76">
        <f>SUMIFS('август 2025'!$G$2:$G$2407,'август 2025'!$D$2:$D$2407,$B92,'август 2025'!$J$2:$J$2407,H$1)</f>
        <v>0</v>
      </c>
      <c r="I92" s="76">
        <f>SUMIFS('август 2025'!$G$2:$G$2407,'август 2025'!$D$2:$D$2407,$B92,'август 2025'!$J$2:$J$2407,I$1)</f>
        <v>0</v>
      </c>
      <c r="J92" s="76">
        <f>SUMIFS('август 2025'!$G$2:$G$2407,'август 2025'!$D$2:$D$2407,$B92,'август 2025'!$J$2:$J$2407,J$1)</f>
        <v>0</v>
      </c>
      <c r="K92" s="76">
        <f>SUMIFS('август 2025'!$G$2:$G$2407,'август 2025'!$D$2:$D$2407,$B92,'август 2025'!$J$2:$J$2407,K$1)</f>
        <v>0</v>
      </c>
      <c r="L92" s="76">
        <f>SUMIFS('август 2025'!$G$2:$G$2407,'август 2025'!$D$2:$D$2407,$B92,'август 2025'!$J$2:$J$2407,L$1)</f>
        <v>0</v>
      </c>
      <c r="M92" s="76">
        <f>SUMIFS('август 2025'!$G$2:$G$2407,'август 2025'!$D$2:$D$2407,$B92,'август 2025'!$J$2:$J$2407,M$1)</f>
        <v>0</v>
      </c>
      <c r="N92" s="76">
        <f>SUMIFS('август 2025'!$G$2:$G$2407,'август 2025'!$D$2:$D$2407,$B92,'август 2025'!$J$2:$J$2407,N$1)</f>
        <v>0</v>
      </c>
      <c r="O92" s="76">
        <f>SUMIFS('август 2025'!$G$2:$G$2407,'август 2025'!$D$2:$D$2407,$B92,'август 2025'!$J$2:$J$2407,O$1)</f>
        <v>0</v>
      </c>
      <c r="P92" s="76">
        <f>SUMIFS('август 2025'!$G$2:$G$2407,'август 2025'!$D$2:$D$2407,$B92,'август 2025'!$J$2:$J$2407,P$1)</f>
        <v>0</v>
      </c>
      <c r="Q92" s="76">
        <f>SUMIFS('август 2025'!$G$2:$G$2407,'август 2025'!$D$2:$D$2407,$B92,'август 2025'!$J$2:$J$2407,Q$1)</f>
        <v>0</v>
      </c>
      <c r="R92" s="76">
        <f>SUMIFS('август 2025'!$G$2:$G$2407,'август 2025'!$D$2:$D$2407,$B92,'август 2025'!$J$2:$J$2407,R$1)</f>
        <v>0</v>
      </c>
      <c r="S92" s="76">
        <f>SUMIFS('август 2025'!$G$2:$G$2407,'август 2025'!$D$2:$D$2407,$B92,'август 2025'!$J$2:$J$2407,S$1)</f>
        <v>0</v>
      </c>
      <c r="T92" s="76">
        <f>SUMIFS('август 2025'!$G$2:$G$2407,'август 2025'!$D$2:$D$2407,$B92,'август 2025'!$J$2:$J$2407,T$1)</f>
        <v>0</v>
      </c>
      <c r="U92" s="76">
        <f>SUMIFS('август 2025'!$G$2:$G$2407,'август 2025'!$D$2:$D$2407,$B92,'август 2025'!$J$2:$J$2407,U$1)</f>
        <v>0</v>
      </c>
      <c r="V92" s="76">
        <f>SUMIFS('август 2025'!$G$2:$G$2407,'август 2025'!$D$2:$D$2407,$B92,'август 2025'!$J$2:$J$2407,V$1)</f>
        <v>0</v>
      </c>
      <c r="W92" s="76">
        <f>SUMIFS('август 2025'!$G$2:$G$2407,'август 2025'!$D$2:$D$2407,$B92,'август 2025'!$J$2:$J$2407,W$1)</f>
        <v>0</v>
      </c>
      <c r="X92" s="76">
        <f>SUMIFS('август 2025'!$G$2:$G$2407,'август 2025'!$D$2:$D$2407,$B92,'август 2025'!$J$2:$J$2407,X$1)</f>
        <v>0</v>
      </c>
      <c r="Y92" s="76">
        <f>SUMIFS('август 2025'!$G$2:$G$2407,'август 2025'!$D$2:$D$2407,$B92,'август 2025'!$J$2:$J$2407,Y$1)</f>
        <v>0</v>
      </c>
      <c r="Z92" s="76">
        <f>SUMIFS('август 2025'!$G$2:$G$2407,'август 2025'!$D$2:$D$2407,$B92,'август 2025'!$J$2:$J$2407,Z$1)</f>
        <v>0</v>
      </c>
      <c r="AA92" s="76">
        <f>SUMIFS('август 2025'!$G$2:$G$2407,'август 2025'!$D$2:$D$2407,$B92,'август 2025'!$J$2:$J$2407,AA$1)</f>
        <v>0</v>
      </c>
      <c r="AB92" s="76">
        <f>SUMIFS('август 2025'!$G$2:$G$2407,'август 2025'!$D$2:$D$2407,$B92,'август 2025'!$J$2:$J$2407,AB$1)</f>
        <v>0</v>
      </c>
      <c r="AC92" s="76">
        <f>SUMIFS('август 2025'!$G$2:$G$2407,'август 2025'!$D$2:$D$2407,$B92,'август 2025'!$J$2:$J$2407,AC$1)</f>
        <v>0</v>
      </c>
      <c r="AD92" s="76">
        <f>SUMIFS('август 2025'!$G$2:$G$2407,'август 2025'!$D$2:$D$2407,$B92,'август 2025'!$J$2:$J$2407,AD$1)</f>
        <v>0</v>
      </c>
      <c r="AE92" s="76">
        <f>SUMIFS('август 2025'!$G$2:$G$2407,'август 2025'!$D$2:$D$2407,$B92,'август 2025'!$J$2:$J$2407,AE$1)</f>
        <v>0</v>
      </c>
      <c r="AF92" s="76">
        <f>SUMIFS('август 2025'!$G$2:$G$2407,'август 2025'!$D$2:$D$2407,$B92,'август 2025'!$J$2:$J$2407,AF$1)</f>
        <v>0</v>
      </c>
      <c r="AG92" s="76">
        <f>SUMIFS('август 2025'!$G$2:$G$2407,'август 2025'!$D$2:$D$2407,$B92,'август 2025'!$J$2:$J$2407,AG$1)</f>
        <v>0</v>
      </c>
      <c r="AH92" s="76">
        <f>SUMIFS('август 2025'!$G$2:$G$2407,'август 2025'!$D$2:$D$2407,$B92,'август 2025'!$J$2:$J$2407,AH$1)</f>
        <v>0</v>
      </c>
      <c r="AI92" s="20">
        <f t="shared" si="1"/>
        <v>0</v>
      </c>
    </row>
    <row r="93" spans="2:35" ht="15" customHeight="1" x14ac:dyDescent="0.25">
      <c r="B93" s="88" t="s">
        <v>309</v>
      </c>
      <c r="C93" s="86">
        <v>200</v>
      </c>
      <c r="D93" s="76">
        <f>SUMIFS('август 2025'!$G$2:$G$2407,'август 2025'!$D$2:$D$2407,$B93,'август 2025'!$J$2:$J$2407,D$1)</f>
        <v>0</v>
      </c>
      <c r="E93" s="76">
        <f>SUMIFS('август 2025'!$G$2:$G$2407,'август 2025'!$D$2:$D$2407,$B93,'август 2025'!$J$2:$J$2407,E$1)</f>
        <v>0</v>
      </c>
      <c r="F93" s="76">
        <f>SUMIFS('август 2025'!$G$2:$G$2407,'август 2025'!$D$2:$D$2407,$B93,'август 2025'!$J$2:$J$2407,F$1)</f>
        <v>0</v>
      </c>
      <c r="G93" s="76">
        <f>SUMIFS('август 2025'!$G$2:$G$2407,'август 2025'!$D$2:$D$2407,$B93,'август 2025'!$J$2:$J$2407,G$1)</f>
        <v>0</v>
      </c>
      <c r="H93" s="76">
        <f>SUMIFS('август 2025'!$G$2:$G$2407,'август 2025'!$D$2:$D$2407,$B93,'август 2025'!$J$2:$J$2407,H$1)</f>
        <v>0</v>
      </c>
      <c r="I93" s="76">
        <f>SUMIFS('август 2025'!$G$2:$G$2407,'август 2025'!$D$2:$D$2407,$B93,'август 2025'!$J$2:$J$2407,I$1)</f>
        <v>0</v>
      </c>
      <c r="J93" s="76">
        <f>SUMIFS('август 2025'!$G$2:$G$2407,'август 2025'!$D$2:$D$2407,$B93,'август 2025'!$J$2:$J$2407,J$1)</f>
        <v>0</v>
      </c>
      <c r="K93" s="76">
        <f>SUMIFS('август 2025'!$G$2:$G$2407,'август 2025'!$D$2:$D$2407,$B93,'август 2025'!$J$2:$J$2407,K$1)</f>
        <v>0</v>
      </c>
      <c r="L93" s="76">
        <f>SUMIFS('август 2025'!$G$2:$G$2407,'август 2025'!$D$2:$D$2407,$B93,'август 2025'!$J$2:$J$2407,L$1)</f>
        <v>0</v>
      </c>
      <c r="M93" s="76">
        <f>SUMIFS('август 2025'!$G$2:$G$2407,'август 2025'!$D$2:$D$2407,$B93,'август 2025'!$J$2:$J$2407,M$1)</f>
        <v>0</v>
      </c>
      <c r="N93" s="76">
        <f>SUMIFS('август 2025'!$G$2:$G$2407,'август 2025'!$D$2:$D$2407,$B93,'август 2025'!$J$2:$J$2407,N$1)</f>
        <v>0</v>
      </c>
      <c r="O93" s="76">
        <f>SUMIFS('август 2025'!$G$2:$G$2407,'август 2025'!$D$2:$D$2407,$B93,'август 2025'!$J$2:$J$2407,O$1)</f>
        <v>0</v>
      </c>
      <c r="P93" s="76">
        <f>SUMIFS('август 2025'!$G$2:$G$2407,'август 2025'!$D$2:$D$2407,$B93,'август 2025'!$J$2:$J$2407,P$1)</f>
        <v>0</v>
      </c>
      <c r="Q93" s="76">
        <f>SUMIFS('август 2025'!$G$2:$G$2407,'август 2025'!$D$2:$D$2407,$B93,'август 2025'!$J$2:$J$2407,Q$1)</f>
        <v>0</v>
      </c>
      <c r="R93" s="76">
        <f>SUMIFS('август 2025'!$G$2:$G$2407,'август 2025'!$D$2:$D$2407,$B93,'август 2025'!$J$2:$J$2407,R$1)</f>
        <v>0</v>
      </c>
      <c r="S93" s="76">
        <f>SUMIFS('август 2025'!$G$2:$G$2407,'август 2025'!$D$2:$D$2407,$B93,'август 2025'!$J$2:$J$2407,S$1)</f>
        <v>0</v>
      </c>
      <c r="T93" s="76">
        <f>SUMIFS('август 2025'!$G$2:$G$2407,'август 2025'!$D$2:$D$2407,$B93,'август 2025'!$J$2:$J$2407,T$1)</f>
        <v>0</v>
      </c>
      <c r="U93" s="76">
        <f>SUMIFS('август 2025'!$G$2:$G$2407,'август 2025'!$D$2:$D$2407,$B93,'август 2025'!$J$2:$J$2407,U$1)</f>
        <v>0</v>
      </c>
      <c r="V93" s="76">
        <f>SUMIFS('август 2025'!$G$2:$G$2407,'август 2025'!$D$2:$D$2407,$B93,'август 2025'!$J$2:$J$2407,V$1)</f>
        <v>0</v>
      </c>
      <c r="W93" s="76">
        <f>SUMIFS('август 2025'!$G$2:$G$2407,'август 2025'!$D$2:$D$2407,$B93,'август 2025'!$J$2:$J$2407,W$1)</f>
        <v>0</v>
      </c>
      <c r="X93" s="76">
        <f>SUMIFS('август 2025'!$G$2:$G$2407,'август 2025'!$D$2:$D$2407,$B93,'август 2025'!$J$2:$J$2407,X$1)</f>
        <v>0</v>
      </c>
      <c r="Y93" s="76">
        <f>SUMIFS('август 2025'!$G$2:$G$2407,'август 2025'!$D$2:$D$2407,$B93,'август 2025'!$J$2:$J$2407,Y$1)</f>
        <v>0</v>
      </c>
      <c r="Z93" s="76">
        <f>SUMIFS('август 2025'!$G$2:$G$2407,'август 2025'!$D$2:$D$2407,$B93,'август 2025'!$J$2:$J$2407,Z$1)</f>
        <v>0</v>
      </c>
      <c r="AA93" s="76">
        <f>SUMIFS('август 2025'!$G$2:$G$2407,'август 2025'!$D$2:$D$2407,$B93,'август 2025'!$J$2:$J$2407,AA$1)</f>
        <v>0</v>
      </c>
      <c r="AB93" s="76">
        <f>SUMIFS('август 2025'!$G$2:$G$2407,'август 2025'!$D$2:$D$2407,$B93,'август 2025'!$J$2:$J$2407,AB$1)</f>
        <v>0</v>
      </c>
      <c r="AC93" s="76">
        <f>SUMIFS('август 2025'!$G$2:$G$2407,'август 2025'!$D$2:$D$2407,$B93,'август 2025'!$J$2:$J$2407,AC$1)</f>
        <v>0</v>
      </c>
      <c r="AD93" s="76">
        <f>SUMIFS('август 2025'!$G$2:$G$2407,'август 2025'!$D$2:$D$2407,$B93,'август 2025'!$J$2:$J$2407,AD$1)</f>
        <v>0</v>
      </c>
      <c r="AE93" s="76">
        <f>SUMIFS('август 2025'!$G$2:$G$2407,'август 2025'!$D$2:$D$2407,$B93,'август 2025'!$J$2:$J$2407,AE$1)</f>
        <v>0</v>
      </c>
      <c r="AF93" s="76">
        <f>SUMIFS('август 2025'!$G$2:$G$2407,'август 2025'!$D$2:$D$2407,$B93,'август 2025'!$J$2:$J$2407,AF$1)</f>
        <v>0</v>
      </c>
      <c r="AG93" s="76">
        <f>SUMIFS('август 2025'!$G$2:$G$2407,'август 2025'!$D$2:$D$2407,$B93,'август 2025'!$J$2:$J$2407,AG$1)</f>
        <v>0</v>
      </c>
      <c r="AH93" s="76">
        <f>SUMIFS('август 2025'!$G$2:$G$2407,'август 2025'!$D$2:$D$2407,$B93,'август 2025'!$J$2:$J$2407,AH$1)</f>
        <v>0</v>
      </c>
      <c r="AI93" s="20">
        <f t="shared" si="1"/>
        <v>0</v>
      </c>
    </row>
    <row r="94" spans="2:35" ht="15" customHeight="1" x14ac:dyDescent="0.25">
      <c r="B94" s="88" t="s">
        <v>192</v>
      </c>
      <c r="C94" s="86">
        <v>900</v>
      </c>
      <c r="D94" s="76">
        <f>SUMIFS('август 2025'!$G$2:$G$2407,'август 2025'!$D$2:$D$2407,$B94,'август 2025'!$J$2:$J$2407,D$1)</f>
        <v>0</v>
      </c>
      <c r="E94" s="76">
        <f>SUMIFS('август 2025'!$G$2:$G$2407,'август 2025'!$D$2:$D$2407,$B94,'август 2025'!$J$2:$J$2407,E$1)</f>
        <v>0</v>
      </c>
      <c r="F94" s="76">
        <f>SUMIFS('август 2025'!$G$2:$G$2407,'август 2025'!$D$2:$D$2407,$B94,'август 2025'!$J$2:$J$2407,F$1)</f>
        <v>0</v>
      </c>
      <c r="G94" s="76">
        <f>SUMIFS('август 2025'!$G$2:$G$2407,'август 2025'!$D$2:$D$2407,$B94,'август 2025'!$J$2:$J$2407,G$1)</f>
        <v>0</v>
      </c>
      <c r="H94" s="76">
        <f>SUMIFS('август 2025'!$G$2:$G$2407,'август 2025'!$D$2:$D$2407,$B94,'август 2025'!$J$2:$J$2407,H$1)</f>
        <v>0</v>
      </c>
      <c r="I94" s="76">
        <f>SUMIFS('август 2025'!$G$2:$G$2407,'август 2025'!$D$2:$D$2407,$B94,'август 2025'!$J$2:$J$2407,I$1)</f>
        <v>0</v>
      </c>
      <c r="J94" s="76">
        <f>SUMIFS('август 2025'!$G$2:$G$2407,'август 2025'!$D$2:$D$2407,$B94,'август 2025'!$J$2:$J$2407,J$1)</f>
        <v>0</v>
      </c>
      <c r="K94" s="76">
        <f>SUMIFS('август 2025'!$G$2:$G$2407,'август 2025'!$D$2:$D$2407,$B94,'август 2025'!$J$2:$J$2407,K$1)</f>
        <v>0</v>
      </c>
      <c r="L94" s="76">
        <f>SUMIFS('август 2025'!$G$2:$G$2407,'август 2025'!$D$2:$D$2407,$B94,'август 2025'!$J$2:$J$2407,L$1)</f>
        <v>0</v>
      </c>
      <c r="M94" s="76">
        <f>SUMIFS('август 2025'!$G$2:$G$2407,'август 2025'!$D$2:$D$2407,$B94,'август 2025'!$J$2:$J$2407,M$1)</f>
        <v>0</v>
      </c>
      <c r="N94" s="76">
        <f>SUMIFS('август 2025'!$G$2:$G$2407,'август 2025'!$D$2:$D$2407,$B94,'август 2025'!$J$2:$J$2407,N$1)</f>
        <v>0</v>
      </c>
      <c r="O94" s="76">
        <f>SUMIFS('август 2025'!$G$2:$G$2407,'август 2025'!$D$2:$D$2407,$B94,'август 2025'!$J$2:$J$2407,O$1)</f>
        <v>0</v>
      </c>
      <c r="P94" s="76">
        <f>SUMIFS('август 2025'!$G$2:$G$2407,'август 2025'!$D$2:$D$2407,$B94,'август 2025'!$J$2:$J$2407,P$1)</f>
        <v>0</v>
      </c>
      <c r="Q94" s="76">
        <f>SUMIFS('август 2025'!$G$2:$G$2407,'август 2025'!$D$2:$D$2407,$B94,'август 2025'!$J$2:$J$2407,Q$1)</f>
        <v>0</v>
      </c>
      <c r="R94" s="76">
        <f>SUMIFS('август 2025'!$G$2:$G$2407,'август 2025'!$D$2:$D$2407,$B94,'август 2025'!$J$2:$J$2407,R$1)</f>
        <v>0</v>
      </c>
      <c r="S94" s="76">
        <f>SUMIFS('август 2025'!$G$2:$G$2407,'август 2025'!$D$2:$D$2407,$B94,'август 2025'!$J$2:$J$2407,S$1)</f>
        <v>0</v>
      </c>
      <c r="T94" s="76">
        <f>SUMIFS('август 2025'!$G$2:$G$2407,'август 2025'!$D$2:$D$2407,$B94,'август 2025'!$J$2:$J$2407,T$1)</f>
        <v>0</v>
      </c>
      <c r="U94" s="76">
        <f>SUMIFS('август 2025'!$G$2:$G$2407,'август 2025'!$D$2:$D$2407,$B94,'август 2025'!$J$2:$J$2407,U$1)</f>
        <v>0</v>
      </c>
      <c r="V94" s="76">
        <f>SUMIFS('август 2025'!$G$2:$G$2407,'август 2025'!$D$2:$D$2407,$B94,'август 2025'!$J$2:$J$2407,V$1)</f>
        <v>0</v>
      </c>
      <c r="W94" s="76">
        <f>SUMIFS('август 2025'!$G$2:$G$2407,'август 2025'!$D$2:$D$2407,$B94,'август 2025'!$J$2:$J$2407,W$1)</f>
        <v>0</v>
      </c>
      <c r="X94" s="76">
        <f>SUMIFS('август 2025'!$G$2:$G$2407,'август 2025'!$D$2:$D$2407,$B94,'август 2025'!$J$2:$J$2407,X$1)</f>
        <v>0</v>
      </c>
      <c r="Y94" s="76">
        <f>SUMIFS('август 2025'!$G$2:$G$2407,'август 2025'!$D$2:$D$2407,$B94,'август 2025'!$J$2:$J$2407,Y$1)</f>
        <v>0</v>
      </c>
      <c r="Z94" s="76">
        <f>SUMIFS('август 2025'!$G$2:$G$2407,'август 2025'!$D$2:$D$2407,$B94,'август 2025'!$J$2:$J$2407,Z$1)</f>
        <v>0</v>
      </c>
      <c r="AA94" s="76">
        <f>SUMIFS('август 2025'!$G$2:$G$2407,'август 2025'!$D$2:$D$2407,$B94,'август 2025'!$J$2:$J$2407,AA$1)</f>
        <v>0</v>
      </c>
      <c r="AB94" s="76">
        <f>SUMIFS('август 2025'!$G$2:$G$2407,'август 2025'!$D$2:$D$2407,$B94,'август 2025'!$J$2:$J$2407,AB$1)</f>
        <v>0</v>
      </c>
      <c r="AC94" s="76">
        <f>SUMIFS('август 2025'!$G$2:$G$2407,'август 2025'!$D$2:$D$2407,$B94,'август 2025'!$J$2:$J$2407,AC$1)</f>
        <v>0</v>
      </c>
      <c r="AD94" s="76">
        <f>SUMIFS('август 2025'!$G$2:$G$2407,'август 2025'!$D$2:$D$2407,$B94,'август 2025'!$J$2:$J$2407,AD$1)</f>
        <v>0</v>
      </c>
      <c r="AE94" s="76">
        <f>SUMIFS('август 2025'!$G$2:$G$2407,'август 2025'!$D$2:$D$2407,$B94,'август 2025'!$J$2:$J$2407,AE$1)</f>
        <v>0</v>
      </c>
      <c r="AF94" s="76">
        <f>SUMIFS('август 2025'!$G$2:$G$2407,'август 2025'!$D$2:$D$2407,$B94,'август 2025'!$J$2:$J$2407,AF$1)</f>
        <v>0</v>
      </c>
      <c r="AG94" s="76">
        <f>SUMIFS('август 2025'!$G$2:$G$2407,'август 2025'!$D$2:$D$2407,$B94,'август 2025'!$J$2:$J$2407,AG$1)</f>
        <v>0</v>
      </c>
      <c r="AH94" s="76">
        <f>SUMIFS('август 2025'!$G$2:$G$2407,'август 2025'!$D$2:$D$2407,$B94,'август 2025'!$J$2:$J$2407,AH$1)</f>
        <v>0</v>
      </c>
      <c r="AI94" s="20">
        <f t="shared" si="1"/>
        <v>0</v>
      </c>
    </row>
    <row r="95" spans="2:35" ht="15" customHeight="1" x14ac:dyDescent="0.25">
      <c r="B95" s="84" t="s">
        <v>186</v>
      </c>
      <c r="C95" s="83">
        <v>190</v>
      </c>
      <c r="D95" s="76">
        <f>SUMIFS('август 2025'!$G$2:$G$2407,'август 2025'!$D$2:$D$2407,$B95,'август 2025'!$J$2:$J$2407,D$1)</f>
        <v>0</v>
      </c>
      <c r="E95" s="76">
        <f>SUMIFS('август 2025'!$G$2:$G$2407,'август 2025'!$D$2:$D$2407,$B95,'август 2025'!$J$2:$J$2407,E$1)</f>
        <v>0</v>
      </c>
      <c r="F95" s="76">
        <f>SUMIFS('август 2025'!$G$2:$G$2407,'август 2025'!$D$2:$D$2407,$B95,'август 2025'!$J$2:$J$2407,F$1)</f>
        <v>0</v>
      </c>
      <c r="G95" s="76">
        <f>SUMIFS('август 2025'!$G$2:$G$2407,'август 2025'!$D$2:$D$2407,$B95,'август 2025'!$J$2:$J$2407,G$1)</f>
        <v>0</v>
      </c>
      <c r="H95" s="76">
        <f>SUMIFS('август 2025'!$G$2:$G$2407,'август 2025'!$D$2:$D$2407,$B95,'август 2025'!$J$2:$J$2407,H$1)</f>
        <v>0</v>
      </c>
      <c r="I95" s="76">
        <f>SUMIFS('август 2025'!$G$2:$G$2407,'август 2025'!$D$2:$D$2407,$B95,'август 2025'!$J$2:$J$2407,I$1)</f>
        <v>0</v>
      </c>
      <c r="J95" s="76">
        <f>SUMIFS('август 2025'!$G$2:$G$2407,'август 2025'!$D$2:$D$2407,$B95,'август 2025'!$J$2:$J$2407,J$1)</f>
        <v>0</v>
      </c>
      <c r="K95" s="76">
        <f>SUMIFS('август 2025'!$G$2:$G$2407,'август 2025'!$D$2:$D$2407,$B95,'август 2025'!$J$2:$J$2407,K$1)</f>
        <v>0</v>
      </c>
      <c r="L95" s="76">
        <f>SUMIFS('август 2025'!$G$2:$G$2407,'август 2025'!$D$2:$D$2407,$B95,'август 2025'!$J$2:$J$2407,L$1)</f>
        <v>0</v>
      </c>
      <c r="M95" s="76">
        <f>SUMIFS('август 2025'!$G$2:$G$2407,'август 2025'!$D$2:$D$2407,$B95,'август 2025'!$J$2:$J$2407,M$1)</f>
        <v>0</v>
      </c>
      <c r="N95" s="76">
        <f>SUMIFS('август 2025'!$G$2:$G$2407,'август 2025'!$D$2:$D$2407,$B95,'август 2025'!$J$2:$J$2407,N$1)</f>
        <v>0</v>
      </c>
      <c r="O95" s="76">
        <f>SUMIFS('август 2025'!$G$2:$G$2407,'август 2025'!$D$2:$D$2407,$B95,'август 2025'!$J$2:$J$2407,O$1)</f>
        <v>0</v>
      </c>
      <c r="P95" s="76">
        <f>SUMIFS('август 2025'!$G$2:$G$2407,'август 2025'!$D$2:$D$2407,$B95,'август 2025'!$J$2:$J$2407,P$1)</f>
        <v>0</v>
      </c>
      <c r="Q95" s="76">
        <f>SUMIFS('август 2025'!$G$2:$G$2407,'август 2025'!$D$2:$D$2407,$B95,'август 2025'!$J$2:$J$2407,Q$1)</f>
        <v>0</v>
      </c>
      <c r="R95" s="76">
        <f>SUMIFS('август 2025'!$G$2:$G$2407,'август 2025'!$D$2:$D$2407,$B95,'август 2025'!$J$2:$J$2407,R$1)</f>
        <v>0</v>
      </c>
      <c r="S95" s="76">
        <f>SUMIFS('август 2025'!$G$2:$G$2407,'август 2025'!$D$2:$D$2407,$B95,'август 2025'!$J$2:$J$2407,S$1)</f>
        <v>0</v>
      </c>
      <c r="T95" s="76">
        <f>SUMIFS('август 2025'!$G$2:$G$2407,'август 2025'!$D$2:$D$2407,$B95,'август 2025'!$J$2:$J$2407,T$1)</f>
        <v>0</v>
      </c>
      <c r="U95" s="76">
        <f>SUMIFS('август 2025'!$G$2:$G$2407,'август 2025'!$D$2:$D$2407,$B95,'август 2025'!$J$2:$J$2407,U$1)</f>
        <v>0</v>
      </c>
      <c r="V95" s="76">
        <f>SUMIFS('август 2025'!$G$2:$G$2407,'август 2025'!$D$2:$D$2407,$B95,'август 2025'!$J$2:$J$2407,V$1)</f>
        <v>0</v>
      </c>
      <c r="W95" s="76">
        <f>SUMIFS('август 2025'!$G$2:$G$2407,'август 2025'!$D$2:$D$2407,$B95,'август 2025'!$J$2:$J$2407,W$1)</f>
        <v>0</v>
      </c>
      <c r="X95" s="76">
        <f>SUMIFS('август 2025'!$G$2:$G$2407,'август 2025'!$D$2:$D$2407,$B95,'август 2025'!$J$2:$J$2407,X$1)</f>
        <v>0</v>
      </c>
      <c r="Y95" s="76">
        <f>SUMIFS('август 2025'!$G$2:$G$2407,'август 2025'!$D$2:$D$2407,$B95,'август 2025'!$J$2:$J$2407,Y$1)</f>
        <v>0</v>
      </c>
      <c r="Z95" s="76">
        <f>SUMIFS('август 2025'!$G$2:$G$2407,'август 2025'!$D$2:$D$2407,$B95,'август 2025'!$J$2:$J$2407,Z$1)</f>
        <v>0</v>
      </c>
      <c r="AA95" s="76">
        <f>SUMIFS('август 2025'!$G$2:$G$2407,'август 2025'!$D$2:$D$2407,$B95,'август 2025'!$J$2:$J$2407,AA$1)</f>
        <v>0</v>
      </c>
      <c r="AB95" s="76">
        <f>SUMIFS('август 2025'!$G$2:$G$2407,'август 2025'!$D$2:$D$2407,$B95,'август 2025'!$J$2:$J$2407,AB$1)</f>
        <v>0</v>
      </c>
      <c r="AC95" s="76">
        <f>SUMIFS('август 2025'!$G$2:$G$2407,'август 2025'!$D$2:$D$2407,$B95,'август 2025'!$J$2:$J$2407,AC$1)</f>
        <v>0</v>
      </c>
      <c r="AD95" s="76">
        <f>SUMIFS('август 2025'!$G$2:$G$2407,'август 2025'!$D$2:$D$2407,$B95,'август 2025'!$J$2:$J$2407,AD$1)</f>
        <v>0</v>
      </c>
      <c r="AE95" s="76">
        <f>SUMIFS('август 2025'!$G$2:$G$2407,'август 2025'!$D$2:$D$2407,$B95,'август 2025'!$J$2:$J$2407,AE$1)</f>
        <v>0</v>
      </c>
      <c r="AF95" s="76">
        <f>SUMIFS('август 2025'!$G$2:$G$2407,'август 2025'!$D$2:$D$2407,$B95,'август 2025'!$J$2:$J$2407,AF$1)</f>
        <v>0</v>
      </c>
      <c r="AG95" s="76">
        <f>SUMIFS('август 2025'!$G$2:$G$2407,'август 2025'!$D$2:$D$2407,$B95,'август 2025'!$J$2:$J$2407,AG$1)</f>
        <v>0</v>
      </c>
      <c r="AH95" s="76">
        <f>SUMIFS('август 2025'!$G$2:$G$2407,'август 2025'!$D$2:$D$2407,$B95,'август 2025'!$J$2:$J$2407,AH$1)</f>
        <v>0</v>
      </c>
      <c r="AI95" s="20">
        <f t="shared" si="1"/>
        <v>0</v>
      </c>
    </row>
    <row r="96" spans="2:35" ht="15" customHeight="1" x14ac:dyDescent="0.25">
      <c r="B96" s="84" t="s">
        <v>205</v>
      </c>
      <c r="C96" s="83">
        <v>190</v>
      </c>
      <c r="D96" s="76">
        <f>SUMIFS('август 2025'!$G$2:$G$2407,'август 2025'!$D$2:$D$2407,$B96,'август 2025'!$J$2:$J$2407,D$1)</f>
        <v>0</v>
      </c>
      <c r="E96" s="76">
        <f>SUMIFS('август 2025'!$G$2:$G$2407,'август 2025'!$D$2:$D$2407,$B96,'август 2025'!$J$2:$J$2407,E$1)</f>
        <v>0</v>
      </c>
      <c r="F96" s="76">
        <f>SUMIFS('август 2025'!$G$2:$G$2407,'август 2025'!$D$2:$D$2407,$B96,'август 2025'!$J$2:$J$2407,F$1)</f>
        <v>0</v>
      </c>
      <c r="G96" s="76">
        <f>SUMIFS('август 2025'!$G$2:$G$2407,'август 2025'!$D$2:$D$2407,$B96,'август 2025'!$J$2:$J$2407,G$1)</f>
        <v>0</v>
      </c>
      <c r="H96" s="76">
        <f>SUMIFS('август 2025'!$G$2:$G$2407,'август 2025'!$D$2:$D$2407,$B96,'август 2025'!$J$2:$J$2407,H$1)</f>
        <v>0</v>
      </c>
      <c r="I96" s="76">
        <f>SUMIFS('август 2025'!$G$2:$G$2407,'август 2025'!$D$2:$D$2407,$B96,'август 2025'!$J$2:$J$2407,I$1)</f>
        <v>0</v>
      </c>
      <c r="J96" s="76">
        <f>SUMIFS('август 2025'!$G$2:$G$2407,'август 2025'!$D$2:$D$2407,$B96,'август 2025'!$J$2:$J$2407,J$1)</f>
        <v>0</v>
      </c>
      <c r="K96" s="76">
        <f>SUMIFS('август 2025'!$G$2:$G$2407,'август 2025'!$D$2:$D$2407,$B96,'август 2025'!$J$2:$J$2407,K$1)</f>
        <v>0</v>
      </c>
      <c r="L96" s="76">
        <f>SUMIFS('август 2025'!$G$2:$G$2407,'август 2025'!$D$2:$D$2407,$B96,'август 2025'!$J$2:$J$2407,L$1)</f>
        <v>0</v>
      </c>
      <c r="M96" s="76">
        <f>SUMIFS('август 2025'!$G$2:$G$2407,'август 2025'!$D$2:$D$2407,$B96,'август 2025'!$J$2:$J$2407,M$1)</f>
        <v>0</v>
      </c>
      <c r="N96" s="76">
        <f>SUMIFS('август 2025'!$G$2:$G$2407,'август 2025'!$D$2:$D$2407,$B96,'август 2025'!$J$2:$J$2407,N$1)</f>
        <v>0</v>
      </c>
      <c r="O96" s="76">
        <f>SUMIFS('август 2025'!$G$2:$G$2407,'август 2025'!$D$2:$D$2407,$B96,'август 2025'!$J$2:$J$2407,O$1)</f>
        <v>0</v>
      </c>
      <c r="P96" s="76">
        <f>SUMIFS('август 2025'!$G$2:$G$2407,'август 2025'!$D$2:$D$2407,$B96,'август 2025'!$J$2:$J$2407,P$1)</f>
        <v>0</v>
      </c>
      <c r="Q96" s="76">
        <f>SUMIFS('август 2025'!$G$2:$G$2407,'август 2025'!$D$2:$D$2407,$B96,'август 2025'!$J$2:$J$2407,Q$1)</f>
        <v>0</v>
      </c>
      <c r="R96" s="76">
        <f>SUMIFS('август 2025'!$G$2:$G$2407,'август 2025'!$D$2:$D$2407,$B96,'август 2025'!$J$2:$J$2407,R$1)</f>
        <v>0</v>
      </c>
      <c r="S96" s="76">
        <f>SUMIFS('август 2025'!$G$2:$G$2407,'август 2025'!$D$2:$D$2407,$B96,'август 2025'!$J$2:$J$2407,S$1)</f>
        <v>0</v>
      </c>
      <c r="T96" s="76">
        <f>SUMIFS('август 2025'!$G$2:$G$2407,'август 2025'!$D$2:$D$2407,$B96,'август 2025'!$J$2:$J$2407,T$1)</f>
        <v>0</v>
      </c>
      <c r="U96" s="76">
        <f>SUMIFS('август 2025'!$G$2:$G$2407,'август 2025'!$D$2:$D$2407,$B96,'август 2025'!$J$2:$J$2407,U$1)</f>
        <v>0</v>
      </c>
      <c r="V96" s="76">
        <f>SUMIFS('август 2025'!$G$2:$G$2407,'август 2025'!$D$2:$D$2407,$B96,'август 2025'!$J$2:$J$2407,V$1)</f>
        <v>0</v>
      </c>
      <c r="W96" s="76">
        <f>SUMIFS('август 2025'!$G$2:$G$2407,'август 2025'!$D$2:$D$2407,$B96,'август 2025'!$J$2:$J$2407,W$1)</f>
        <v>0</v>
      </c>
      <c r="X96" s="76">
        <f>SUMIFS('август 2025'!$G$2:$G$2407,'август 2025'!$D$2:$D$2407,$B96,'август 2025'!$J$2:$J$2407,X$1)</f>
        <v>0</v>
      </c>
      <c r="Y96" s="76">
        <f>SUMIFS('август 2025'!$G$2:$G$2407,'август 2025'!$D$2:$D$2407,$B96,'август 2025'!$J$2:$J$2407,Y$1)</f>
        <v>0</v>
      </c>
      <c r="Z96" s="76">
        <f>SUMIFS('август 2025'!$G$2:$G$2407,'август 2025'!$D$2:$D$2407,$B96,'август 2025'!$J$2:$J$2407,Z$1)</f>
        <v>0</v>
      </c>
      <c r="AA96" s="76">
        <f>SUMIFS('август 2025'!$G$2:$G$2407,'август 2025'!$D$2:$D$2407,$B96,'август 2025'!$J$2:$J$2407,AA$1)</f>
        <v>0</v>
      </c>
      <c r="AB96" s="76">
        <f>SUMIFS('август 2025'!$G$2:$G$2407,'август 2025'!$D$2:$D$2407,$B96,'август 2025'!$J$2:$J$2407,AB$1)</f>
        <v>0</v>
      </c>
      <c r="AC96" s="76">
        <f>SUMIFS('август 2025'!$G$2:$G$2407,'август 2025'!$D$2:$D$2407,$B96,'август 2025'!$J$2:$J$2407,AC$1)</f>
        <v>0</v>
      </c>
      <c r="AD96" s="76">
        <f>SUMIFS('август 2025'!$G$2:$G$2407,'август 2025'!$D$2:$D$2407,$B96,'август 2025'!$J$2:$J$2407,AD$1)</f>
        <v>0</v>
      </c>
      <c r="AE96" s="76">
        <f>SUMIFS('август 2025'!$G$2:$G$2407,'август 2025'!$D$2:$D$2407,$B96,'август 2025'!$J$2:$J$2407,AE$1)</f>
        <v>0</v>
      </c>
      <c r="AF96" s="76">
        <f>SUMIFS('август 2025'!$G$2:$G$2407,'август 2025'!$D$2:$D$2407,$B96,'август 2025'!$J$2:$J$2407,AF$1)</f>
        <v>0</v>
      </c>
      <c r="AG96" s="76">
        <f>SUMIFS('август 2025'!$G$2:$G$2407,'август 2025'!$D$2:$D$2407,$B96,'август 2025'!$J$2:$J$2407,AG$1)</f>
        <v>0</v>
      </c>
      <c r="AH96" s="76">
        <f>SUMIFS('август 2025'!$G$2:$G$2407,'август 2025'!$D$2:$D$2407,$B96,'август 2025'!$J$2:$J$2407,AH$1)</f>
        <v>0</v>
      </c>
      <c r="AI96" s="20">
        <f t="shared" si="1"/>
        <v>0</v>
      </c>
    </row>
    <row r="97" spans="2:35" ht="15" customHeight="1" x14ac:dyDescent="0.25">
      <c r="B97" s="88" t="s">
        <v>173</v>
      </c>
      <c r="C97" s="83">
        <v>190</v>
      </c>
      <c r="D97" s="76">
        <f>SUMIFS('август 2025'!$G$2:$G$2407,'август 2025'!$D$2:$D$2407,$B97,'август 2025'!$J$2:$J$2407,D$1)</f>
        <v>0</v>
      </c>
      <c r="E97" s="76">
        <f>SUMIFS('август 2025'!$G$2:$G$2407,'август 2025'!$D$2:$D$2407,$B97,'август 2025'!$J$2:$J$2407,E$1)</f>
        <v>0</v>
      </c>
      <c r="F97" s="76">
        <f>SUMIFS('август 2025'!$G$2:$G$2407,'август 2025'!$D$2:$D$2407,$B97,'август 2025'!$J$2:$J$2407,F$1)</f>
        <v>0</v>
      </c>
      <c r="G97" s="76">
        <f>SUMIFS('август 2025'!$G$2:$G$2407,'август 2025'!$D$2:$D$2407,$B97,'август 2025'!$J$2:$J$2407,G$1)</f>
        <v>0</v>
      </c>
      <c r="H97" s="76">
        <f>SUMIFS('август 2025'!$G$2:$G$2407,'август 2025'!$D$2:$D$2407,$B97,'август 2025'!$J$2:$J$2407,H$1)</f>
        <v>0</v>
      </c>
      <c r="I97" s="76">
        <f>SUMIFS('август 2025'!$G$2:$G$2407,'август 2025'!$D$2:$D$2407,$B97,'август 2025'!$J$2:$J$2407,I$1)</f>
        <v>0</v>
      </c>
      <c r="J97" s="76">
        <f>SUMIFS('август 2025'!$G$2:$G$2407,'август 2025'!$D$2:$D$2407,$B97,'август 2025'!$J$2:$J$2407,J$1)</f>
        <v>0</v>
      </c>
      <c r="K97" s="76">
        <f>SUMIFS('август 2025'!$G$2:$G$2407,'август 2025'!$D$2:$D$2407,$B97,'август 2025'!$J$2:$J$2407,K$1)</f>
        <v>0</v>
      </c>
      <c r="L97" s="76">
        <f>SUMIFS('август 2025'!$G$2:$G$2407,'август 2025'!$D$2:$D$2407,$B97,'август 2025'!$J$2:$J$2407,L$1)</f>
        <v>0</v>
      </c>
      <c r="M97" s="76">
        <f>SUMIFS('август 2025'!$G$2:$G$2407,'август 2025'!$D$2:$D$2407,$B97,'август 2025'!$J$2:$J$2407,M$1)</f>
        <v>0</v>
      </c>
      <c r="N97" s="76">
        <f>SUMIFS('август 2025'!$G$2:$G$2407,'август 2025'!$D$2:$D$2407,$B97,'август 2025'!$J$2:$J$2407,N$1)</f>
        <v>0</v>
      </c>
      <c r="O97" s="76">
        <f>SUMIFS('август 2025'!$G$2:$G$2407,'август 2025'!$D$2:$D$2407,$B97,'август 2025'!$J$2:$J$2407,O$1)</f>
        <v>0</v>
      </c>
      <c r="P97" s="76">
        <f>SUMIFS('август 2025'!$G$2:$G$2407,'август 2025'!$D$2:$D$2407,$B97,'август 2025'!$J$2:$J$2407,P$1)</f>
        <v>0</v>
      </c>
      <c r="Q97" s="76">
        <f>SUMIFS('август 2025'!$G$2:$G$2407,'август 2025'!$D$2:$D$2407,$B97,'август 2025'!$J$2:$J$2407,Q$1)</f>
        <v>0</v>
      </c>
      <c r="R97" s="76">
        <f>SUMIFS('август 2025'!$G$2:$G$2407,'август 2025'!$D$2:$D$2407,$B97,'август 2025'!$J$2:$J$2407,R$1)</f>
        <v>0</v>
      </c>
      <c r="S97" s="76">
        <f>SUMIFS('август 2025'!$G$2:$G$2407,'август 2025'!$D$2:$D$2407,$B97,'август 2025'!$J$2:$J$2407,S$1)</f>
        <v>0</v>
      </c>
      <c r="T97" s="76">
        <f>SUMIFS('август 2025'!$G$2:$G$2407,'август 2025'!$D$2:$D$2407,$B97,'август 2025'!$J$2:$J$2407,T$1)</f>
        <v>0</v>
      </c>
      <c r="U97" s="76">
        <f>SUMIFS('август 2025'!$G$2:$G$2407,'август 2025'!$D$2:$D$2407,$B97,'август 2025'!$J$2:$J$2407,U$1)</f>
        <v>0</v>
      </c>
      <c r="V97" s="76">
        <f>SUMIFS('август 2025'!$G$2:$G$2407,'август 2025'!$D$2:$D$2407,$B97,'август 2025'!$J$2:$J$2407,V$1)</f>
        <v>0</v>
      </c>
      <c r="W97" s="76">
        <f>SUMIFS('август 2025'!$G$2:$G$2407,'август 2025'!$D$2:$D$2407,$B97,'август 2025'!$J$2:$J$2407,W$1)</f>
        <v>0</v>
      </c>
      <c r="X97" s="76">
        <f>SUMIFS('август 2025'!$G$2:$G$2407,'август 2025'!$D$2:$D$2407,$B97,'август 2025'!$J$2:$J$2407,X$1)</f>
        <v>0</v>
      </c>
      <c r="Y97" s="76">
        <f>SUMIFS('август 2025'!$G$2:$G$2407,'август 2025'!$D$2:$D$2407,$B97,'август 2025'!$J$2:$J$2407,Y$1)</f>
        <v>0</v>
      </c>
      <c r="Z97" s="76">
        <f>SUMIFS('август 2025'!$G$2:$G$2407,'август 2025'!$D$2:$D$2407,$B97,'август 2025'!$J$2:$J$2407,Z$1)</f>
        <v>0</v>
      </c>
      <c r="AA97" s="76">
        <f>SUMIFS('август 2025'!$G$2:$G$2407,'август 2025'!$D$2:$D$2407,$B97,'август 2025'!$J$2:$J$2407,AA$1)</f>
        <v>0</v>
      </c>
      <c r="AB97" s="76">
        <f>SUMIFS('август 2025'!$G$2:$G$2407,'август 2025'!$D$2:$D$2407,$B97,'август 2025'!$J$2:$J$2407,AB$1)</f>
        <v>0</v>
      </c>
      <c r="AC97" s="76">
        <f>SUMIFS('август 2025'!$G$2:$G$2407,'август 2025'!$D$2:$D$2407,$B97,'август 2025'!$J$2:$J$2407,AC$1)</f>
        <v>0</v>
      </c>
      <c r="AD97" s="76">
        <f>SUMIFS('август 2025'!$G$2:$G$2407,'август 2025'!$D$2:$D$2407,$B97,'август 2025'!$J$2:$J$2407,AD$1)</f>
        <v>0</v>
      </c>
      <c r="AE97" s="76">
        <f>SUMIFS('август 2025'!$G$2:$G$2407,'август 2025'!$D$2:$D$2407,$B97,'август 2025'!$J$2:$J$2407,AE$1)</f>
        <v>0</v>
      </c>
      <c r="AF97" s="76">
        <f>SUMIFS('август 2025'!$G$2:$G$2407,'август 2025'!$D$2:$D$2407,$B97,'август 2025'!$J$2:$J$2407,AF$1)</f>
        <v>0</v>
      </c>
      <c r="AG97" s="76">
        <f>SUMIFS('август 2025'!$G$2:$G$2407,'август 2025'!$D$2:$D$2407,$B97,'август 2025'!$J$2:$J$2407,AG$1)</f>
        <v>0</v>
      </c>
      <c r="AH97" s="76">
        <f>SUMIFS('август 2025'!$G$2:$G$2407,'август 2025'!$D$2:$D$2407,$B97,'август 2025'!$J$2:$J$2407,AH$1)</f>
        <v>0</v>
      </c>
      <c r="AI97" s="20">
        <f t="shared" si="1"/>
        <v>0</v>
      </c>
    </row>
    <row r="98" spans="2:35" ht="15" customHeight="1" x14ac:dyDescent="0.25">
      <c r="B98" s="88" t="s">
        <v>182</v>
      </c>
      <c r="C98" s="86">
        <v>180</v>
      </c>
      <c r="D98" s="76">
        <f>SUMIFS('август 2025'!$G$2:$G$2407,'август 2025'!$D$2:$D$2407,$B98,'август 2025'!$J$2:$J$2407,D$1)</f>
        <v>0</v>
      </c>
      <c r="E98" s="76">
        <f>SUMIFS('август 2025'!$G$2:$G$2407,'август 2025'!$D$2:$D$2407,$B98,'август 2025'!$J$2:$J$2407,E$1)</f>
        <v>0</v>
      </c>
      <c r="F98" s="76">
        <f>SUMIFS('август 2025'!$G$2:$G$2407,'август 2025'!$D$2:$D$2407,$B98,'август 2025'!$J$2:$J$2407,F$1)</f>
        <v>0</v>
      </c>
      <c r="G98" s="76">
        <f>SUMIFS('август 2025'!$G$2:$G$2407,'август 2025'!$D$2:$D$2407,$B98,'август 2025'!$J$2:$J$2407,G$1)</f>
        <v>0</v>
      </c>
      <c r="H98" s="76">
        <f>SUMIFS('август 2025'!$G$2:$G$2407,'август 2025'!$D$2:$D$2407,$B98,'август 2025'!$J$2:$J$2407,H$1)</f>
        <v>0</v>
      </c>
      <c r="I98" s="76">
        <f>SUMIFS('август 2025'!$G$2:$G$2407,'август 2025'!$D$2:$D$2407,$B98,'август 2025'!$J$2:$J$2407,I$1)</f>
        <v>0</v>
      </c>
      <c r="J98" s="76">
        <f>SUMIFS('август 2025'!$G$2:$G$2407,'август 2025'!$D$2:$D$2407,$B98,'август 2025'!$J$2:$J$2407,J$1)</f>
        <v>0</v>
      </c>
      <c r="K98" s="76">
        <f>SUMIFS('август 2025'!$G$2:$G$2407,'август 2025'!$D$2:$D$2407,$B98,'август 2025'!$J$2:$J$2407,K$1)</f>
        <v>0</v>
      </c>
      <c r="L98" s="76">
        <f>SUMIFS('август 2025'!$G$2:$G$2407,'август 2025'!$D$2:$D$2407,$B98,'август 2025'!$J$2:$J$2407,L$1)</f>
        <v>0</v>
      </c>
      <c r="M98" s="76">
        <f>SUMIFS('август 2025'!$G$2:$G$2407,'август 2025'!$D$2:$D$2407,$B98,'август 2025'!$J$2:$J$2407,M$1)</f>
        <v>0</v>
      </c>
      <c r="N98" s="76">
        <f>SUMIFS('август 2025'!$G$2:$G$2407,'август 2025'!$D$2:$D$2407,$B98,'август 2025'!$J$2:$J$2407,N$1)</f>
        <v>0</v>
      </c>
      <c r="O98" s="76">
        <f>SUMIFS('август 2025'!$G$2:$G$2407,'август 2025'!$D$2:$D$2407,$B98,'август 2025'!$J$2:$J$2407,O$1)</f>
        <v>0</v>
      </c>
      <c r="P98" s="76">
        <f>SUMIFS('август 2025'!$G$2:$G$2407,'август 2025'!$D$2:$D$2407,$B98,'август 2025'!$J$2:$J$2407,P$1)</f>
        <v>0</v>
      </c>
      <c r="Q98" s="76">
        <f>SUMIFS('август 2025'!$G$2:$G$2407,'август 2025'!$D$2:$D$2407,$B98,'август 2025'!$J$2:$J$2407,Q$1)</f>
        <v>0</v>
      </c>
      <c r="R98" s="76">
        <f>SUMIFS('август 2025'!$G$2:$G$2407,'август 2025'!$D$2:$D$2407,$B98,'август 2025'!$J$2:$J$2407,R$1)</f>
        <v>0</v>
      </c>
      <c r="S98" s="76">
        <f>SUMIFS('август 2025'!$G$2:$G$2407,'август 2025'!$D$2:$D$2407,$B98,'август 2025'!$J$2:$J$2407,S$1)</f>
        <v>0</v>
      </c>
      <c r="T98" s="76">
        <f>SUMIFS('август 2025'!$G$2:$G$2407,'август 2025'!$D$2:$D$2407,$B98,'август 2025'!$J$2:$J$2407,T$1)</f>
        <v>0</v>
      </c>
      <c r="U98" s="76">
        <f>SUMIFS('август 2025'!$G$2:$G$2407,'август 2025'!$D$2:$D$2407,$B98,'август 2025'!$J$2:$J$2407,U$1)</f>
        <v>0</v>
      </c>
      <c r="V98" s="76">
        <f>SUMIFS('август 2025'!$G$2:$G$2407,'август 2025'!$D$2:$D$2407,$B98,'август 2025'!$J$2:$J$2407,V$1)</f>
        <v>0</v>
      </c>
      <c r="W98" s="76">
        <f>SUMIFS('август 2025'!$G$2:$G$2407,'август 2025'!$D$2:$D$2407,$B98,'август 2025'!$J$2:$J$2407,W$1)</f>
        <v>0</v>
      </c>
      <c r="X98" s="76">
        <f>SUMIFS('август 2025'!$G$2:$G$2407,'август 2025'!$D$2:$D$2407,$B98,'август 2025'!$J$2:$J$2407,X$1)</f>
        <v>0</v>
      </c>
      <c r="Y98" s="76">
        <f>SUMIFS('август 2025'!$G$2:$G$2407,'август 2025'!$D$2:$D$2407,$B98,'август 2025'!$J$2:$J$2407,Y$1)</f>
        <v>0</v>
      </c>
      <c r="Z98" s="76">
        <f>SUMIFS('август 2025'!$G$2:$G$2407,'август 2025'!$D$2:$D$2407,$B98,'август 2025'!$J$2:$J$2407,Z$1)</f>
        <v>0</v>
      </c>
      <c r="AA98" s="76">
        <f>SUMIFS('август 2025'!$G$2:$G$2407,'август 2025'!$D$2:$D$2407,$B98,'август 2025'!$J$2:$J$2407,AA$1)</f>
        <v>0</v>
      </c>
      <c r="AB98" s="76">
        <f>SUMIFS('август 2025'!$G$2:$G$2407,'август 2025'!$D$2:$D$2407,$B98,'август 2025'!$J$2:$J$2407,AB$1)</f>
        <v>0</v>
      </c>
      <c r="AC98" s="76">
        <f>SUMIFS('август 2025'!$G$2:$G$2407,'август 2025'!$D$2:$D$2407,$B98,'август 2025'!$J$2:$J$2407,AC$1)</f>
        <v>0</v>
      </c>
      <c r="AD98" s="76">
        <f>SUMIFS('август 2025'!$G$2:$G$2407,'август 2025'!$D$2:$D$2407,$B98,'август 2025'!$J$2:$J$2407,AD$1)</f>
        <v>0</v>
      </c>
      <c r="AE98" s="76">
        <f>SUMIFS('август 2025'!$G$2:$G$2407,'август 2025'!$D$2:$D$2407,$B98,'август 2025'!$J$2:$J$2407,AE$1)</f>
        <v>0</v>
      </c>
      <c r="AF98" s="76">
        <f>SUMIFS('август 2025'!$G$2:$G$2407,'август 2025'!$D$2:$D$2407,$B98,'август 2025'!$J$2:$J$2407,AF$1)</f>
        <v>0</v>
      </c>
      <c r="AG98" s="76">
        <f>SUMIFS('август 2025'!$G$2:$G$2407,'август 2025'!$D$2:$D$2407,$B98,'август 2025'!$J$2:$J$2407,AG$1)</f>
        <v>0</v>
      </c>
      <c r="AH98" s="76">
        <f>SUMIFS('август 2025'!$G$2:$G$2407,'август 2025'!$D$2:$D$2407,$B98,'август 2025'!$J$2:$J$2407,AH$1)</f>
        <v>0</v>
      </c>
      <c r="AI98" s="20">
        <f t="shared" si="1"/>
        <v>0</v>
      </c>
    </row>
    <row r="99" spans="2:35" ht="15" customHeight="1" x14ac:dyDescent="0.25">
      <c r="B99" s="88" t="s">
        <v>298</v>
      </c>
      <c r="C99" s="86">
        <v>190</v>
      </c>
      <c r="D99" s="76">
        <f>SUMIFS('август 2025'!$G$2:$G$2407,'август 2025'!$D$2:$D$2407,$B99,'август 2025'!$J$2:$J$2407,D$1)</f>
        <v>0</v>
      </c>
      <c r="E99" s="76">
        <f>SUMIFS('август 2025'!$G$2:$G$2407,'август 2025'!$D$2:$D$2407,$B99,'август 2025'!$J$2:$J$2407,E$1)</f>
        <v>0</v>
      </c>
      <c r="F99" s="76">
        <f>SUMIFS('август 2025'!$G$2:$G$2407,'август 2025'!$D$2:$D$2407,$B99,'август 2025'!$J$2:$J$2407,F$1)</f>
        <v>0</v>
      </c>
      <c r="G99" s="76">
        <f>SUMIFS('август 2025'!$G$2:$G$2407,'август 2025'!$D$2:$D$2407,$B99,'август 2025'!$J$2:$J$2407,G$1)</f>
        <v>0</v>
      </c>
      <c r="H99" s="76">
        <f>SUMIFS('август 2025'!$G$2:$G$2407,'август 2025'!$D$2:$D$2407,$B99,'август 2025'!$J$2:$J$2407,H$1)</f>
        <v>0</v>
      </c>
      <c r="I99" s="76">
        <f>SUMIFS('август 2025'!$G$2:$G$2407,'август 2025'!$D$2:$D$2407,$B99,'август 2025'!$J$2:$J$2407,I$1)</f>
        <v>0</v>
      </c>
      <c r="J99" s="76">
        <f>SUMIFS('август 2025'!$G$2:$G$2407,'август 2025'!$D$2:$D$2407,$B99,'август 2025'!$J$2:$J$2407,J$1)</f>
        <v>0</v>
      </c>
      <c r="K99" s="76">
        <f>SUMIFS('август 2025'!$G$2:$G$2407,'август 2025'!$D$2:$D$2407,$B99,'август 2025'!$J$2:$J$2407,K$1)</f>
        <v>0</v>
      </c>
      <c r="L99" s="76">
        <f>SUMIFS('август 2025'!$G$2:$G$2407,'август 2025'!$D$2:$D$2407,$B99,'август 2025'!$J$2:$J$2407,L$1)</f>
        <v>0</v>
      </c>
      <c r="M99" s="76">
        <f>SUMIFS('август 2025'!$G$2:$G$2407,'август 2025'!$D$2:$D$2407,$B99,'август 2025'!$J$2:$J$2407,M$1)</f>
        <v>0</v>
      </c>
      <c r="N99" s="76">
        <f>SUMIFS('август 2025'!$G$2:$G$2407,'август 2025'!$D$2:$D$2407,$B99,'август 2025'!$J$2:$J$2407,N$1)</f>
        <v>0</v>
      </c>
      <c r="O99" s="76">
        <f>SUMIFS('август 2025'!$G$2:$G$2407,'август 2025'!$D$2:$D$2407,$B99,'август 2025'!$J$2:$J$2407,O$1)</f>
        <v>0</v>
      </c>
      <c r="P99" s="76">
        <f>SUMIFS('август 2025'!$G$2:$G$2407,'август 2025'!$D$2:$D$2407,$B99,'август 2025'!$J$2:$J$2407,P$1)</f>
        <v>0</v>
      </c>
      <c r="Q99" s="76">
        <f>SUMIFS('август 2025'!$G$2:$G$2407,'август 2025'!$D$2:$D$2407,$B99,'август 2025'!$J$2:$J$2407,Q$1)</f>
        <v>0</v>
      </c>
      <c r="R99" s="76">
        <f>SUMIFS('август 2025'!$G$2:$G$2407,'август 2025'!$D$2:$D$2407,$B99,'август 2025'!$J$2:$J$2407,R$1)</f>
        <v>0</v>
      </c>
      <c r="S99" s="76">
        <f>SUMIFS('август 2025'!$G$2:$G$2407,'август 2025'!$D$2:$D$2407,$B99,'август 2025'!$J$2:$J$2407,S$1)</f>
        <v>0</v>
      </c>
      <c r="T99" s="76">
        <f>SUMIFS('август 2025'!$G$2:$G$2407,'август 2025'!$D$2:$D$2407,$B99,'август 2025'!$J$2:$J$2407,T$1)</f>
        <v>0</v>
      </c>
      <c r="U99" s="76">
        <f>SUMIFS('август 2025'!$G$2:$G$2407,'август 2025'!$D$2:$D$2407,$B99,'август 2025'!$J$2:$J$2407,U$1)</f>
        <v>0</v>
      </c>
      <c r="V99" s="76">
        <f>SUMIFS('август 2025'!$G$2:$G$2407,'август 2025'!$D$2:$D$2407,$B99,'август 2025'!$J$2:$J$2407,V$1)</f>
        <v>0</v>
      </c>
      <c r="W99" s="76">
        <f>SUMIFS('август 2025'!$G$2:$G$2407,'август 2025'!$D$2:$D$2407,$B99,'август 2025'!$J$2:$J$2407,W$1)</f>
        <v>0</v>
      </c>
      <c r="X99" s="76">
        <f>SUMIFS('август 2025'!$G$2:$G$2407,'август 2025'!$D$2:$D$2407,$B99,'август 2025'!$J$2:$J$2407,X$1)</f>
        <v>0</v>
      </c>
      <c r="Y99" s="76">
        <f>SUMIFS('август 2025'!$G$2:$G$2407,'август 2025'!$D$2:$D$2407,$B99,'август 2025'!$J$2:$J$2407,Y$1)</f>
        <v>0</v>
      </c>
      <c r="Z99" s="76">
        <f>SUMIFS('август 2025'!$G$2:$G$2407,'август 2025'!$D$2:$D$2407,$B99,'август 2025'!$J$2:$J$2407,Z$1)</f>
        <v>0</v>
      </c>
      <c r="AA99" s="76">
        <f>SUMIFS('август 2025'!$G$2:$G$2407,'август 2025'!$D$2:$D$2407,$B99,'август 2025'!$J$2:$J$2407,AA$1)</f>
        <v>0</v>
      </c>
      <c r="AB99" s="76">
        <f>SUMIFS('август 2025'!$G$2:$G$2407,'август 2025'!$D$2:$D$2407,$B99,'август 2025'!$J$2:$J$2407,AB$1)</f>
        <v>0</v>
      </c>
      <c r="AC99" s="76">
        <f>SUMIFS('август 2025'!$G$2:$G$2407,'август 2025'!$D$2:$D$2407,$B99,'август 2025'!$J$2:$J$2407,AC$1)</f>
        <v>0</v>
      </c>
      <c r="AD99" s="76">
        <f>SUMIFS('август 2025'!$G$2:$G$2407,'август 2025'!$D$2:$D$2407,$B99,'август 2025'!$J$2:$J$2407,AD$1)</f>
        <v>0</v>
      </c>
      <c r="AE99" s="76">
        <f>SUMIFS('август 2025'!$G$2:$G$2407,'август 2025'!$D$2:$D$2407,$B99,'август 2025'!$J$2:$J$2407,AE$1)</f>
        <v>0</v>
      </c>
      <c r="AF99" s="76">
        <f>SUMIFS('август 2025'!$G$2:$G$2407,'август 2025'!$D$2:$D$2407,$B99,'август 2025'!$J$2:$J$2407,AF$1)</f>
        <v>0</v>
      </c>
      <c r="AG99" s="76">
        <f>SUMIFS('август 2025'!$G$2:$G$2407,'август 2025'!$D$2:$D$2407,$B99,'август 2025'!$J$2:$J$2407,AG$1)</f>
        <v>0</v>
      </c>
      <c r="AH99" s="76">
        <f>SUMIFS('август 2025'!$G$2:$G$2407,'август 2025'!$D$2:$D$2407,$B99,'август 2025'!$J$2:$J$2407,AH$1)</f>
        <v>0</v>
      </c>
      <c r="AI99" s="20">
        <f t="shared" si="1"/>
        <v>0</v>
      </c>
    </row>
    <row r="100" spans="2:35" ht="15" customHeight="1" x14ac:dyDescent="0.25">
      <c r="B100" s="88" t="s">
        <v>312</v>
      </c>
      <c r="C100" s="86">
        <v>190</v>
      </c>
      <c r="D100" s="76">
        <f>SUMIFS('август 2025'!$G$2:$G$2407,'август 2025'!$D$2:$D$2407,$B100,'август 2025'!$J$2:$J$2407,D$1)</f>
        <v>0</v>
      </c>
      <c r="E100" s="76">
        <f>SUMIFS('август 2025'!$G$2:$G$2407,'август 2025'!$D$2:$D$2407,$B100,'август 2025'!$J$2:$J$2407,E$1)</f>
        <v>0</v>
      </c>
      <c r="F100" s="76">
        <f>SUMIFS('август 2025'!$G$2:$G$2407,'август 2025'!$D$2:$D$2407,$B100,'август 2025'!$J$2:$J$2407,F$1)</f>
        <v>0</v>
      </c>
      <c r="G100" s="76">
        <f>SUMIFS('август 2025'!$G$2:$G$2407,'август 2025'!$D$2:$D$2407,$B100,'август 2025'!$J$2:$J$2407,G$1)</f>
        <v>0</v>
      </c>
      <c r="H100" s="76">
        <f>SUMIFS('август 2025'!$G$2:$G$2407,'август 2025'!$D$2:$D$2407,$B100,'август 2025'!$J$2:$J$2407,H$1)</f>
        <v>0</v>
      </c>
      <c r="I100" s="76">
        <f>SUMIFS('август 2025'!$G$2:$G$2407,'август 2025'!$D$2:$D$2407,$B100,'август 2025'!$J$2:$J$2407,I$1)</f>
        <v>0</v>
      </c>
      <c r="J100" s="76">
        <f>SUMIFS('август 2025'!$G$2:$G$2407,'август 2025'!$D$2:$D$2407,$B100,'август 2025'!$J$2:$J$2407,J$1)</f>
        <v>0</v>
      </c>
      <c r="K100" s="76">
        <f>SUMIFS('август 2025'!$G$2:$G$2407,'август 2025'!$D$2:$D$2407,$B100,'август 2025'!$J$2:$J$2407,K$1)</f>
        <v>0</v>
      </c>
      <c r="L100" s="76">
        <f>SUMIFS('август 2025'!$G$2:$G$2407,'август 2025'!$D$2:$D$2407,$B100,'август 2025'!$J$2:$J$2407,L$1)</f>
        <v>0</v>
      </c>
      <c r="M100" s="76">
        <f>SUMIFS('август 2025'!$G$2:$G$2407,'август 2025'!$D$2:$D$2407,$B100,'август 2025'!$J$2:$J$2407,M$1)</f>
        <v>0</v>
      </c>
      <c r="N100" s="76">
        <f>SUMIFS('август 2025'!$G$2:$G$2407,'август 2025'!$D$2:$D$2407,$B100,'август 2025'!$J$2:$J$2407,N$1)</f>
        <v>0</v>
      </c>
      <c r="O100" s="76">
        <f>SUMIFS('август 2025'!$G$2:$G$2407,'август 2025'!$D$2:$D$2407,$B100,'август 2025'!$J$2:$J$2407,O$1)</f>
        <v>0</v>
      </c>
      <c r="P100" s="76">
        <f>SUMIFS('август 2025'!$G$2:$G$2407,'август 2025'!$D$2:$D$2407,$B100,'август 2025'!$J$2:$J$2407,P$1)</f>
        <v>0</v>
      </c>
      <c r="Q100" s="76">
        <f>SUMIFS('август 2025'!$G$2:$G$2407,'август 2025'!$D$2:$D$2407,$B100,'август 2025'!$J$2:$J$2407,Q$1)</f>
        <v>0</v>
      </c>
      <c r="R100" s="76">
        <f>SUMIFS('август 2025'!$G$2:$G$2407,'август 2025'!$D$2:$D$2407,$B100,'август 2025'!$J$2:$J$2407,R$1)</f>
        <v>0</v>
      </c>
      <c r="S100" s="76">
        <f>SUMIFS('август 2025'!$G$2:$G$2407,'август 2025'!$D$2:$D$2407,$B100,'август 2025'!$J$2:$J$2407,S$1)</f>
        <v>0</v>
      </c>
      <c r="T100" s="76">
        <f>SUMIFS('август 2025'!$G$2:$G$2407,'август 2025'!$D$2:$D$2407,$B100,'август 2025'!$J$2:$J$2407,T$1)</f>
        <v>0</v>
      </c>
      <c r="U100" s="76">
        <f>SUMIFS('август 2025'!$G$2:$G$2407,'август 2025'!$D$2:$D$2407,$B100,'август 2025'!$J$2:$J$2407,U$1)</f>
        <v>0</v>
      </c>
      <c r="V100" s="76">
        <f>SUMIFS('август 2025'!$G$2:$G$2407,'август 2025'!$D$2:$D$2407,$B100,'август 2025'!$J$2:$J$2407,V$1)</f>
        <v>0</v>
      </c>
      <c r="W100" s="76">
        <f>SUMIFS('август 2025'!$G$2:$G$2407,'август 2025'!$D$2:$D$2407,$B100,'август 2025'!$J$2:$J$2407,W$1)</f>
        <v>0</v>
      </c>
      <c r="X100" s="76">
        <f>SUMIFS('август 2025'!$G$2:$G$2407,'август 2025'!$D$2:$D$2407,$B100,'август 2025'!$J$2:$J$2407,X$1)</f>
        <v>0</v>
      </c>
      <c r="Y100" s="76">
        <f>SUMIFS('август 2025'!$G$2:$G$2407,'август 2025'!$D$2:$D$2407,$B100,'август 2025'!$J$2:$J$2407,Y$1)</f>
        <v>0</v>
      </c>
      <c r="Z100" s="76">
        <f>SUMIFS('август 2025'!$G$2:$G$2407,'август 2025'!$D$2:$D$2407,$B100,'август 2025'!$J$2:$J$2407,Z$1)</f>
        <v>0</v>
      </c>
      <c r="AA100" s="76">
        <f>SUMIFS('август 2025'!$G$2:$G$2407,'август 2025'!$D$2:$D$2407,$B100,'август 2025'!$J$2:$J$2407,AA$1)</f>
        <v>0</v>
      </c>
      <c r="AB100" s="76">
        <f>SUMIFS('август 2025'!$G$2:$G$2407,'август 2025'!$D$2:$D$2407,$B100,'август 2025'!$J$2:$J$2407,AB$1)</f>
        <v>0</v>
      </c>
      <c r="AC100" s="76">
        <f>SUMIFS('август 2025'!$G$2:$G$2407,'август 2025'!$D$2:$D$2407,$B100,'август 2025'!$J$2:$J$2407,AC$1)</f>
        <v>0</v>
      </c>
      <c r="AD100" s="76">
        <f>SUMIFS('август 2025'!$G$2:$G$2407,'август 2025'!$D$2:$D$2407,$B100,'август 2025'!$J$2:$J$2407,AD$1)</f>
        <v>0</v>
      </c>
      <c r="AE100" s="76">
        <f>SUMIFS('август 2025'!$G$2:$G$2407,'август 2025'!$D$2:$D$2407,$B100,'август 2025'!$J$2:$J$2407,AE$1)</f>
        <v>0</v>
      </c>
      <c r="AF100" s="76">
        <f>SUMIFS('август 2025'!$G$2:$G$2407,'август 2025'!$D$2:$D$2407,$B100,'август 2025'!$J$2:$J$2407,AF$1)</f>
        <v>0</v>
      </c>
      <c r="AG100" s="76">
        <f>SUMIFS('август 2025'!$G$2:$G$2407,'август 2025'!$D$2:$D$2407,$B100,'август 2025'!$J$2:$J$2407,AG$1)</f>
        <v>0</v>
      </c>
      <c r="AH100" s="76">
        <f>SUMIFS('август 2025'!$G$2:$G$2407,'август 2025'!$D$2:$D$2407,$B100,'август 2025'!$J$2:$J$2407,AH$1)</f>
        <v>0</v>
      </c>
      <c r="AI100" s="20">
        <f t="shared" si="1"/>
        <v>0</v>
      </c>
    </row>
    <row r="101" spans="2:35" ht="15" customHeight="1" x14ac:dyDescent="0.25">
      <c r="B101" s="88" t="s">
        <v>1397</v>
      </c>
      <c r="C101" s="86">
        <v>200</v>
      </c>
      <c r="D101" s="76">
        <f>SUMIFS('август 2025'!$G$2:$G$2407,'август 2025'!$D$2:$D$2407,$B101,'август 2025'!$J$2:$J$2407,D$1)</f>
        <v>0</v>
      </c>
      <c r="E101" s="76">
        <f>SUMIFS('август 2025'!$G$2:$G$2407,'август 2025'!$D$2:$D$2407,$B101,'август 2025'!$J$2:$J$2407,E$1)</f>
        <v>0</v>
      </c>
      <c r="F101" s="76">
        <f>SUMIFS('август 2025'!$G$2:$G$2407,'август 2025'!$D$2:$D$2407,$B101,'август 2025'!$J$2:$J$2407,F$1)</f>
        <v>0</v>
      </c>
      <c r="G101" s="76">
        <f>SUMIFS('август 2025'!$G$2:$G$2407,'август 2025'!$D$2:$D$2407,$B101,'август 2025'!$J$2:$J$2407,G$1)</f>
        <v>0</v>
      </c>
      <c r="H101" s="76">
        <f>SUMIFS('август 2025'!$G$2:$G$2407,'август 2025'!$D$2:$D$2407,$B101,'август 2025'!$J$2:$J$2407,H$1)</f>
        <v>0</v>
      </c>
      <c r="I101" s="76">
        <f>SUMIFS('август 2025'!$G$2:$G$2407,'август 2025'!$D$2:$D$2407,$B101,'август 2025'!$J$2:$J$2407,I$1)</f>
        <v>0</v>
      </c>
      <c r="J101" s="76">
        <f>SUMIFS('август 2025'!$G$2:$G$2407,'август 2025'!$D$2:$D$2407,$B101,'август 2025'!$J$2:$J$2407,J$1)</f>
        <v>0</v>
      </c>
      <c r="K101" s="76">
        <f>SUMIFS('август 2025'!$G$2:$G$2407,'август 2025'!$D$2:$D$2407,$B101,'август 2025'!$J$2:$J$2407,K$1)</f>
        <v>0</v>
      </c>
      <c r="L101" s="76">
        <f>SUMIFS('август 2025'!$G$2:$G$2407,'август 2025'!$D$2:$D$2407,$B101,'август 2025'!$J$2:$J$2407,L$1)</f>
        <v>0</v>
      </c>
      <c r="M101" s="76">
        <f>SUMIFS('август 2025'!$G$2:$G$2407,'август 2025'!$D$2:$D$2407,$B101,'август 2025'!$J$2:$J$2407,M$1)</f>
        <v>0</v>
      </c>
      <c r="N101" s="76">
        <f>SUMIFS('август 2025'!$G$2:$G$2407,'август 2025'!$D$2:$D$2407,$B101,'август 2025'!$J$2:$J$2407,N$1)</f>
        <v>0</v>
      </c>
      <c r="O101" s="76">
        <f>SUMIFS('август 2025'!$G$2:$G$2407,'август 2025'!$D$2:$D$2407,$B101,'август 2025'!$J$2:$J$2407,O$1)</f>
        <v>0</v>
      </c>
      <c r="P101" s="76">
        <f>SUMIFS('август 2025'!$G$2:$G$2407,'август 2025'!$D$2:$D$2407,$B101,'август 2025'!$J$2:$J$2407,P$1)</f>
        <v>0</v>
      </c>
      <c r="Q101" s="76">
        <f>SUMIFS('август 2025'!$G$2:$G$2407,'август 2025'!$D$2:$D$2407,$B101,'август 2025'!$J$2:$J$2407,Q$1)</f>
        <v>0</v>
      </c>
      <c r="R101" s="76">
        <f>SUMIFS('август 2025'!$G$2:$G$2407,'август 2025'!$D$2:$D$2407,$B101,'август 2025'!$J$2:$J$2407,R$1)</f>
        <v>0</v>
      </c>
      <c r="S101" s="76">
        <f>SUMIFS('август 2025'!$G$2:$G$2407,'август 2025'!$D$2:$D$2407,$B101,'август 2025'!$J$2:$J$2407,S$1)</f>
        <v>0</v>
      </c>
      <c r="T101" s="76">
        <f>SUMIFS('август 2025'!$G$2:$G$2407,'август 2025'!$D$2:$D$2407,$B101,'август 2025'!$J$2:$J$2407,T$1)</f>
        <v>0</v>
      </c>
      <c r="U101" s="76">
        <f>SUMIFS('август 2025'!$G$2:$G$2407,'август 2025'!$D$2:$D$2407,$B101,'август 2025'!$J$2:$J$2407,U$1)</f>
        <v>0</v>
      </c>
      <c r="V101" s="76">
        <f>SUMIFS('август 2025'!$G$2:$G$2407,'август 2025'!$D$2:$D$2407,$B101,'август 2025'!$J$2:$J$2407,V$1)</f>
        <v>0</v>
      </c>
      <c r="W101" s="76">
        <f>SUMIFS('август 2025'!$G$2:$G$2407,'август 2025'!$D$2:$D$2407,$B101,'август 2025'!$J$2:$J$2407,W$1)</f>
        <v>0</v>
      </c>
      <c r="X101" s="76">
        <f>SUMIFS('август 2025'!$G$2:$G$2407,'август 2025'!$D$2:$D$2407,$B101,'август 2025'!$J$2:$J$2407,X$1)</f>
        <v>0</v>
      </c>
      <c r="Y101" s="76">
        <f>SUMIFS('август 2025'!$G$2:$G$2407,'август 2025'!$D$2:$D$2407,$B101,'август 2025'!$J$2:$J$2407,Y$1)</f>
        <v>0</v>
      </c>
      <c r="Z101" s="76">
        <f>SUMIFS('август 2025'!$G$2:$G$2407,'август 2025'!$D$2:$D$2407,$B101,'август 2025'!$J$2:$J$2407,Z$1)</f>
        <v>0</v>
      </c>
      <c r="AA101" s="76">
        <f>SUMIFS('август 2025'!$G$2:$G$2407,'август 2025'!$D$2:$D$2407,$B101,'август 2025'!$J$2:$J$2407,AA$1)</f>
        <v>0</v>
      </c>
      <c r="AB101" s="76">
        <f>SUMIFS('август 2025'!$G$2:$G$2407,'август 2025'!$D$2:$D$2407,$B101,'август 2025'!$J$2:$J$2407,AB$1)</f>
        <v>0</v>
      </c>
      <c r="AC101" s="76">
        <f>SUMIFS('август 2025'!$G$2:$G$2407,'август 2025'!$D$2:$D$2407,$B101,'август 2025'!$J$2:$J$2407,AC$1)</f>
        <v>0</v>
      </c>
      <c r="AD101" s="76">
        <f>SUMIFS('август 2025'!$G$2:$G$2407,'август 2025'!$D$2:$D$2407,$B101,'август 2025'!$J$2:$J$2407,AD$1)</f>
        <v>0</v>
      </c>
      <c r="AE101" s="76">
        <f>SUMIFS('август 2025'!$G$2:$G$2407,'август 2025'!$D$2:$D$2407,$B101,'август 2025'!$J$2:$J$2407,AE$1)</f>
        <v>0</v>
      </c>
      <c r="AF101" s="76">
        <f>SUMIFS('август 2025'!$G$2:$G$2407,'август 2025'!$D$2:$D$2407,$B101,'август 2025'!$J$2:$J$2407,AF$1)</f>
        <v>0</v>
      </c>
      <c r="AG101" s="76">
        <f>SUMIFS('август 2025'!$G$2:$G$2407,'август 2025'!$D$2:$D$2407,$B101,'август 2025'!$J$2:$J$2407,AG$1)</f>
        <v>0</v>
      </c>
      <c r="AH101" s="76">
        <f>SUMIFS('август 2025'!$G$2:$G$2407,'август 2025'!$D$2:$D$2407,$B101,'август 2025'!$J$2:$J$2407,AH$1)</f>
        <v>0</v>
      </c>
      <c r="AI101" s="20">
        <f t="shared" si="1"/>
        <v>0</v>
      </c>
    </row>
    <row r="102" spans="2:35" ht="15" customHeight="1" x14ac:dyDescent="0.25">
      <c r="B102" s="88" t="s">
        <v>1437</v>
      </c>
      <c r="C102" s="86">
        <v>190</v>
      </c>
      <c r="D102" s="76">
        <f>SUMIFS('август 2025'!$G$2:$G$2407,'август 2025'!$D$2:$D$2407,$B102,'август 2025'!$J$2:$J$2407,D$1)</f>
        <v>0</v>
      </c>
      <c r="E102" s="76">
        <f>SUMIFS('август 2025'!$G$2:$G$2407,'август 2025'!$D$2:$D$2407,$B102,'август 2025'!$J$2:$J$2407,E$1)</f>
        <v>0</v>
      </c>
      <c r="F102" s="76">
        <f>SUMIFS('август 2025'!$G$2:$G$2407,'август 2025'!$D$2:$D$2407,$B102,'август 2025'!$J$2:$J$2407,F$1)</f>
        <v>0</v>
      </c>
      <c r="G102" s="76">
        <f>SUMIFS('август 2025'!$G$2:$G$2407,'август 2025'!$D$2:$D$2407,$B102,'август 2025'!$J$2:$J$2407,G$1)</f>
        <v>0</v>
      </c>
      <c r="H102" s="76">
        <f>SUMIFS('август 2025'!$G$2:$G$2407,'август 2025'!$D$2:$D$2407,$B102,'август 2025'!$J$2:$J$2407,H$1)</f>
        <v>0</v>
      </c>
      <c r="I102" s="76">
        <f>SUMIFS('август 2025'!$G$2:$G$2407,'август 2025'!$D$2:$D$2407,$B102,'август 2025'!$J$2:$J$2407,I$1)</f>
        <v>0</v>
      </c>
      <c r="J102" s="76">
        <f>SUMIFS('август 2025'!$G$2:$G$2407,'август 2025'!$D$2:$D$2407,$B102,'август 2025'!$J$2:$J$2407,J$1)</f>
        <v>0</v>
      </c>
      <c r="K102" s="76">
        <f>SUMIFS('август 2025'!$G$2:$G$2407,'август 2025'!$D$2:$D$2407,$B102,'август 2025'!$J$2:$J$2407,K$1)</f>
        <v>0</v>
      </c>
      <c r="L102" s="76">
        <f>SUMIFS('август 2025'!$G$2:$G$2407,'август 2025'!$D$2:$D$2407,$B102,'август 2025'!$J$2:$J$2407,L$1)</f>
        <v>0</v>
      </c>
      <c r="M102" s="76">
        <f>SUMIFS('август 2025'!$G$2:$G$2407,'август 2025'!$D$2:$D$2407,$B102,'август 2025'!$J$2:$J$2407,M$1)</f>
        <v>0</v>
      </c>
      <c r="N102" s="76">
        <f>SUMIFS('август 2025'!$G$2:$G$2407,'август 2025'!$D$2:$D$2407,$B102,'август 2025'!$J$2:$J$2407,N$1)</f>
        <v>0</v>
      </c>
      <c r="O102" s="76">
        <f>SUMIFS('август 2025'!$G$2:$G$2407,'август 2025'!$D$2:$D$2407,$B102,'август 2025'!$J$2:$J$2407,O$1)</f>
        <v>0</v>
      </c>
      <c r="P102" s="76">
        <f>SUMIFS('август 2025'!$G$2:$G$2407,'август 2025'!$D$2:$D$2407,$B102,'август 2025'!$J$2:$J$2407,P$1)</f>
        <v>0</v>
      </c>
      <c r="Q102" s="76">
        <f>SUMIFS('август 2025'!$G$2:$G$2407,'август 2025'!$D$2:$D$2407,$B102,'август 2025'!$J$2:$J$2407,Q$1)</f>
        <v>0</v>
      </c>
      <c r="R102" s="76">
        <f>SUMIFS('август 2025'!$G$2:$G$2407,'август 2025'!$D$2:$D$2407,$B102,'август 2025'!$J$2:$J$2407,R$1)</f>
        <v>0</v>
      </c>
      <c r="S102" s="76">
        <f>SUMIFS('август 2025'!$G$2:$G$2407,'август 2025'!$D$2:$D$2407,$B102,'август 2025'!$J$2:$J$2407,S$1)</f>
        <v>0</v>
      </c>
      <c r="T102" s="76">
        <f>SUMIFS('август 2025'!$G$2:$G$2407,'август 2025'!$D$2:$D$2407,$B102,'август 2025'!$J$2:$J$2407,T$1)</f>
        <v>0</v>
      </c>
      <c r="U102" s="76">
        <f>SUMIFS('август 2025'!$G$2:$G$2407,'август 2025'!$D$2:$D$2407,$B102,'август 2025'!$J$2:$J$2407,U$1)</f>
        <v>0</v>
      </c>
      <c r="V102" s="76">
        <f>SUMIFS('август 2025'!$G$2:$G$2407,'август 2025'!$D$2:$D$2407,$B102,'август 2025'!$J$2:$J$2407,V$1)</f>
        <v>0</v>
      </c>
      <c r="W102" s="76">
        <f>SUMIFS('август 2025'!$G$2:$G$2407,'август 2025'!$D$2:$D$2407,$B102,'август 2025'!$J$2:$J$2407,W$1)</f>
        <v>0</v>
      </c>
      <c r="X102" s="76">
        <f>SUMIFS('август 2025'!$G$2:$G$2407,'август 2025'!$D$2:$D$2407,$B102,'август 2025'!$J$2:$J$2407,X$1)</f>
        <v>0</v>
      </c>
      <c r="Y102" s="76">
        <f>SUMIFS('август 2025'!$G$2:$G$2407,'август 2025'!$D$2:$D$2407,$B102,'август 2025'!$J$2:$J$2407,Y$1)</f>
        <v>0</v>
      </c>
      <c r="Z102" s="76">
        <f>SUMIFS('август 2025'!$G$2:$G$2407,'август 2025'!$D$2:$D$2407,$B102,'август 2025'!$J$2:$J$2407,Z$1)</f>
        <v>0</v>
      </c>
      <c r="AA102" s="76">
        <f>SUMIFS('август 2025'!$G$2:$G$2407,'август 2025'!$D$2:$D$2407,$B102,'август 2025'!$J$2:$J$2407,AA$1)</f>
        <v>0</v>
      </c>
      <c r="AB102" s="76">
        <f>SUMIFS('август 2025'!$G$2:$G$2407,'август 2025'!$D$2:$D$2407,$B102,'август 2025'!$J$2:$J$2407,AB$1)</f>
        <v>0</v>
      </c>
      <c r="AC102" s="76">
        <f>SUMIFS('август 2025'!$G$2:$G$2407,'август 2025'!$D$2:$D$2407,$B102,'август 2025'!$J$2:$J$2407,AC$1)</f>
        <v>0</v>
      </c>
      <c r="AD102" s="76">
        <f>SUMIFS('август 2025'!$G$2:$G$2407,'август 2025'!$D$2:$D$2407,$B102,'август 2025'!$J$2:$J$2407,AD$1)</f>
        <v>0</v>
      </c>
      <c r="AE102" s="76">
        <f>SUMIFS('август 2025'!$G$2:$G$2407,'август 2025'!$D$2:$D$2407,$B102,'август 2025'!$J$2:$J$2407,AE$1)</f>
        <v>0</v>
      </c>
      <c r="AF102" s="76">
        <f>SUMIFS('август 2025'!$G$2:$G$2407,'август 2025'!$D$2:$D$2407,$B102,'август 2025'!$J$2:$J$2407,AF$1)</f>
        <v>0</v>
      </c>
      <c r="AG102" s="76">
        <f>SUMIFS('август 2025'!$G$2:$G$2407,'август 2025'!$D$2:$D$2407,$B102,'август 2025'!$J$2:$J$2407,AG$1)</f>
        <v>0</v>
      </c>
      <c r="AH102" s="76">
        <f>SUMIFS('август 2025'!$G$2:$G$2407,'август 2025'!$D$2:$D$2407,$B102,'август 2025'!$J$2:$J$2407,AH$1)</f>
        <v>0</v>
      </c>
      <c r="AI102" s="20">
        <f t="shared" si="1"/>
        <v>0</v>
      </c>
    </row>
    <row r="103" spans="2:35" ht="15" customHeight="1" x14ac:dyDescent="0.25">
      <c r="B103" s="88" t="s">
        <v>282</v>
      </c>
      <c r="C103" s="86">
        <v>190</v>
      </c>
      <c r="D103" s="76">
        <f>SUMIFS('август 2025'!$G$2:$G$2407,'август 2025'!$D$2:$D$2407,$B103,'август 2025'!$J$2:$J$2407,D$1)</f>
        <v>0</v>
      </c>
      <c r="E103" s="76">
        <f>SUMIFS('август 2025'!$G$2:$G$2407,'август 2025'!$D$2:$D$2407,$B103,'август 2025'!$J$2:$J$2407,E$1)</f>
        <v>0</v>
      </c>
      <c r="F103" s="76">
        <f>SUMIFS('август 2025'!$G$2:$G$2407,'август 2025'!$D$2:$D$2407,$B103,'август 2025'!$J$2:$J$2407,F$1)</f>
        <v>0</v>
      </c>
      <c r="G103" s="76">
        <f>SUMIFS('август 2025'!$G$2:$G$2407,'август 2025'!$D$2:$D$2407,$B103,'август 2025'!$J$2:$J$2407,G$1)</f>
        <v>0</v>
      </c>
      <c r="H103" s="76">
        <f>SUMIFS('август 2025'!$G$2:$G$2407,'август 2025'!$D$2:$D$2407,$B103,'август 2025'!$J$2:$J$2407,H$1)</f>
        <v>0</v>
      </c>
      <c r="I103" s="76">
        <f>SUMIFS('август 2025'!$G$2:$G$2407,'август 2025'!$D$2:$D$2407,$B103,'август 2025'!$J$2:$J$2407,I$1)</f>
        <v>0</v>
      </c>
      <c r="J103" s="76">
        <f>SUMIFS('август 2025'!$G$2:$G$2407,'август 2025'!$D$2:$D$2407,$B103,'август 2025'!$J$2:$J$2407,J$1)</f>
        <v>0</v>
      </c>
      <c r="K103" s="76">
        <f>SUMIFS('август 2025'!$G$2:$G$2407,'август 2025'!$D$2:$D$2407,$B103,'август 2025'!$J$2:$J$2407,K$1)</f>
        <v>0</v>
      </c>
      <c r="L103" s="76">
        <f>SUMIFS('август 2025'!$G$2:$G$2407,'август 2025'!$D$2:$D$2407,$B103,'август 2025'!$J$2:$J$2407,L$1)</f>
        <v>0</v>
      </c>
      <c r="M103" s="76">
        <f>SUMIFS('август 2025'!$G$2:$G$2407,'август 2025'!$D$2:$D$2407,$B103,'август 2025'!$J$2:$J$2407,M$1)</f>
        <v>0</v>
      </c>
      <c r="N103" s="76">
        <f>SUMIFS('август 2025'!$G$2:$G$2407,'август 2025'!$D$2:$D$2407,$B103,'август 2025'!$J$2:$J$2407,N$1)</f>
        <v>0</v>
      </c>
      <c r="O103" s="76">
        <f>SUMIFS('август 2025'!$G$2:$G$2407,'август 2025'!$D$2:$D$2407,$B103,'август 2025'!$J$2:$J$2407,O$1)</f>
        <v>0</v>
      </c>
      <c r="P103" s="76">
        <f>SUMIFS('август 2025'!$G$2:$G$2407,'август 2025'!$D$2:$D$2407,$B103,'август 2025'!$J$2:$J$2407,P$1)</f>
        <v>0</v>
      </c>
      <c r="Q103" s="76">
        <f>SUMIFS('август 2025'!$G$2:$G$2407,'август 2025'!$D$2:$D$2407,$B103,'август 2025'!$J$2:$J$2407,Q$1)</f>
        <v>0</v>
      </c>
      <c r="R103" s="76">
        <f>SUMIFS('август 2025'!$G$2:$G$2407,'август 2025'!$D$2:$D$2407,$B103,'август 2025'!$J$2:$J$2407,R$1)</f>
        <v>0</v>
      </c>
      <c r="S103" s="76">
        <f>SUMIFS('август 2025'!$G$2:$G$2407,'август 2025'!$D$2:$D$2407,$B103,'август 2025'!$J$2:$J$2407,S$1)</f>
        <v>0</v>
      </c>
      <c r="T103" s="76">
        <f>SUMIFS('август 2025'!$G$2:$G$2407,'август 2025'!$D$2:$D$2407,$B103,'август 2025'!$J$2:$J$2407,T$1)</f>
        <v>0</v>
      </c>
      <c r="U103" s="76">
        <f>SUMIFS('август 2025'!$G$2:$G$2407,'август 2025'!$D$2:$D$2407,$B103,'август 2025'!$J$2:$J$2407,U$1)</f>
        <v>0</v>
      </c>
      <c r="V103" s="76">
        <f>SUMIFS('август 2025'!$G$2:$G$2407,'август 2025'!$D$2:$D$2407,$B103,'август 2025'!$J$2:$J$2407,V$1)</f>
        <v>0</v>
      </c>
      <c r="W103" s="76">
        <f>SUMIFS('август 2025'!$G$2:$G$2407,'август 2025'!$D$2:$D$2407,$B103,'август 2025'!$J$2:$J$2407,W$1)</f>
        <v>0</v>
      </c>
      <c r="X103" s="76">
        <f>SUMIFS('август 2025'!$G$2:$G$2407,'август 2025'!$D$2:$D$2407,$B103,'август 2025'!$J$2:$J$2407,X$1)</f>
        <v>0</v>
      </c>
      <c r="Y103" s="76">
        <f>SUMIFS('август 2025'!$G$2:$G$2407,'август 2025'!$D$2:$D$2407,$B103,'август 2025'!$J$2:$J$2407,Y$1)</f>
        <v>0</v>
      </c>
      <c r="Z103" s="76">
        <f>SUMIFS('август 2025'!$G$2:$G$2407,'август 2025'!$D$2:$D$2407,$B103,'август 2025'!$J$2:$J$2407,Z$1)</f>
        <v>0</v>
      </c>
      <c r="AA103" s="76">
        <f>SUMIFS('август 2025'!$G$2:$G$2407,'август 2025'!$D$2:$D$2407,$B103,'август 2025'!$J$2:$J$2407,AA$1)</f>
        <v>0</v>
      </c>
      <c r="AB103" s="76">
        <f>SUMIFS('август 2025'!$G$2:$G$2407,'август 2025'!$D$2:$D$2407,$B103,'август 2025'!$J$2:$J$2407,AB$1)</f>
        <v>0</v>
      </c>
      <c r="AC103" s="76">
        <f>SUMIFS('август 2025'!$G$2:$G$2407,'август 2025'!$D$2:$D$2407,$B103,'август 2025'!$J$2:$J$2407,AC$1)</f>
        <v>0</v>
      </c>
      <c r="AD103" s="76">
        <f>SUMIFS('август 2025'!$G$2:$G$2407,'август 2025'!$D$2:$D$2407,$B103,'август 2025'!$J$2:$J$2407,AD$1)</f>
        <v>0</v>
      </c>
      <c r="AE103" s="76">
        <f>SUMIFS('август 2025'!$G$2:$G$2407,'август 2025'!$D$2:$D$2407,$B103,'август 2025'!$J$2:$J$2407,AE$1)</f>
        <v>0</v>
      </c>
      <c r="AF103" s="76">
        <f>SUMIFS('август 2025'!$G$2:$G$2407,'август 2025'!$D$2:$D$2407,$B103,'август 2025'!$J$2:$J$2407,AF$1)</f>
        <v>0</v>
      </c>
      <c r="AG103" s="76">
        <f>SUMIFS('август 2025'!$G$2:$G$2407,'август 2025'!$D$2:$D$2407,$B103,'август 2025'!$J$2:$J$2407,AG$1)</f>
        <v>0</v>
      </c>
      <c r="AH103" s="76">
        <f>SUMIFS('август 2025'!$G$2:$G$2407,'август 2025'!$D$2:$D$2407,$B103,'август 2025'!$J$2:$J$2407,AH$1)</f>
        <v>0</v>
      </c>
      <c r="AI103" s="20">
        <f t="shared" si="1"/>
        <v>0</v>
      </c>
    </row>
    <row r="104" spans="2:35" ht="15" customHeight="1" x14ac:dyDescent="0.25">
      <c r="B104" s="88" t="s">
        <v>258</v>
      </c>
      <c r="C104" s="86">
        <v>180</v>
      </c>
      <c r="D104" s="76">
        <f>SUMIFS('август 2025'!$G$2:$G$2407,'август 2025'!$D$2:$D$2407,$B104,'август 2025'!$J$2:$J$2407,D$1)</f>
        <v>0</v>
      </c>
      <c r="E104" s="76">
        <f>SUMIFS('август 2025'!$G$2:$G$2407,'август 2025'!$D$2:$D$2407,$B104,'август 2025'!$J$2:$J$2407,E$1)</f>
        <v>0</v>
      </c>
      <c r="F104" s="76">
        <f>SUMIFS('август 2025'!$G$2:$G$2407,'август 2025'!$D$2:$D$2407,$B104,'август 2025'!$J$2:$J$2407,F$1)</f>
        <v>0</v>
      </c>
      <c r="G104" s="76">
        <f>SUMIFS('август 2025'!$G$2:$G$2407,'август 2025'!$D$2:$D$2407,$B104,'август 2025'!$J$2:$J$2407,G$1)</f>
        <v>0</v>
      </c>
      <c r="H104" s="76">
        <f>SUMIFS('август 2025'!$G$2:$G$2407,'август 2025'!$D$2:$D$2407,$B104,'август 2025'!$J$2:$J$2407,H$1)</f>
        <v>0</v>
      </c>
      <c r="I104" s="76">
        <f>SUMIFS('август 2025'!$G$2:$G$2407,'август 2025'!$D$2:$D$2407,$B104,'август 2025'!$J$2:$J$2407,I$1)</f>
        <v>0</v>
      </c>
      <c r="J104" s="76">
        <f>SUMIFS('август 2025'!$G$2:$G$2407,'август 2025'!$D$2:$D$2407,$B104,'август 2025'!$J$2:$J$2407,J$1)</f>
        <v>0</v>
      </c>
      <c r="K104" s="76">
        <f>SUMIFS('август 2025'!$G$2:$G$2407,'август 2025'!$D$2:$D$2407,$B104,'август 2025'!$J$2:$J$2407,K$1)</f>
        <v>0</v>
      </c>
      <c r="L104" s="76">
        <f>SUMIFS('август 2025'!$G$2:$G$2407,'август 2025'!$D$2:$D$2407,$B104,'август 2025'!$J$2:$J$2407,L$1)</f>
        <v>0</v>
      </c>
      <c r="M104" s="76">
        <f>SUMIFS('август 2025'!$G$2:$G$2407,'август 2025'!$D$2:$D$2407,$B104,'август 2025'!$J$2:$J$2407,M$1)</f>
        <v>0</v>
      </c>
      <c r="N104" s="76">
        <f>SUMIFS('август 2025'!$G$2:$G$2407,'август 2025'!$D$2:$D$2407,$B104,'август 2025'!$J$2:$J$2407,N$1)</f>
        <v>0</v>
      </c>
      <c r="O104" s="76">
        <f>SUMIFS('август 2025'!$G$2:$G$2407,'август 2025'!$D$2:$D$2407,$B104,'август 2025'!$J$2:$J$2407,O$1)</f>
        <v>0</v>
      </c>
      <c r="P104" s="76">
        <f>SUMIFS('август 2025'!$G$2:$G$2407,'август 2025'!$D$2:$D$2407,$B104,'август 2025'!$J$2:$J$2407,P$1)</f>
        <v>0</v>
      </c>
      <c r="Q104" s="76">
        <f>SUMIFS('август 2025'!$G$2:$G$2407,'август 2025'!$D$2:$D$2407,$B104,'август 2025'!$J$2:$J$2407,Q$1)</f>
        <v>0</v>
      </c>
      <c r="R104" s="76">
        <f>SUMIFS('август 2025'!$G$2:$G$2407,'август 2025'!$D$2:$D$2407,$B104,'август 2025'!$J$2:$J$2407,R$1)</f>
        <v>0</v>
      </c>
      <c r="S104" s="76">
        <f>SUMIFS('август 2025'!$G$2:$G$2407,'август 2025'!$D$2:$D$2407,$B104,'август 2025'!$J$2:$J$2407,S$1)</f>
        <v>0</v>
      </c>
      <c r="T104" s="76">
        <f>SUMIFS('август 2025'!$G$2:$G$2407,'август 2025'!$D$2:$D$2407,$B104,'август 2025'!$J$2:$J$2407,T$1)</f>
        <v>0</v>
      </c>
      <c r="U104" s="76">
        <f>SUMIFS('август 2025'!$G$2:$G$2407,'август 2025'!$D$2:$D$2407,$B104,'август 2025'!$J$2:$J$2407,U$1)</f>
        <v>0</v>
      </c>
      <c r="V104" s="76">
        <f>SUMIFS('август 2025'!$G$2:$G$2407,'август 2025'!$D$2:$D$2407,$B104,'август 2025'!$J$2:$J$2407,V$1)</f>
        <v>0</v>
      </c>
      <c r="W104" s="76">
        <f>SUMIFS('август 2025'!$G$2:$G$2407,'август 2025'!$D$2:$D$2407,$B104,'август 2025'!$J$2:$J$2407,W$1)</f>
        <v>0</v>
      </c>
      <c r="X104" s="76">
        <f>SUMIFS('август 2025'!$G$2:$G$2407,'август 2025'!$D$2:$D$2407,$B104,'август 2025'!$J$2:$J$2407,X$1)</f>
        <v>0</v>
      </c>
      <c r="Y104" s="76">
        <f>SUMIFS('август 2025'!$G$2:$G$2407,'август 2025'!$D$2:$D$2407,$B104,'август 2025'!$J$2:$J$2407,Y$1)</f>
        <v>0</v>
      </c>
      <c r="Z104" s="76">
        <f>SUMIFS('август 2025'!$G$2:$G$2407,'август 2025'!$D$2:$D$2407,$B104,'август 2025'!$J$2:$J$2407,Z$1)</f>
        <v>0</v>
      </c>
      <c r="AA104" s="76">
        <f>SUMIFS('август 2025'!$G$2:$G$2407,'август 2025'!$D$2:$D$2407,$B104,'август 2025'!$J$2:$J$2407,AA$1)</f>
        <v>0</v>
      </c>
      <c r="AB104" s="76">
        <f>SUMIFS('август 2025'!$G$2:$G$2407,'август 2025'!$D$2:$D$2407,$B104,'август 2025'!$J$2:$J$2407,AB$1)</f>
        <v>0</v>
      </c>
      <c r="AC104" s="76">
        <f>SUMIFS('август 2025'!$G$2:$G$2407,'август 2025'!$D$2:$D$2407,$B104,'август 2025'!$J$2:$J$2407,AC$1)</f>
        <v>0</v>
      </c>
      <c r="AD104" s="76">
        <f>SUMIFS('август 2025'!$G$2:$G$2407,'август 2025'!$D$2:$D$2407,$B104,'август 2025'!$J$2:$J$2407,AD$1)</f>
        <v>0</v>
      </c>
      <c r="AE104" s="76">
        <f>SUMIFS('август 2025'!$G$2:$G$2407,'август 2025'!$D$2:$D$2407,$B104,'август 2025'!$J$2:$J$2407,AE$1)</f>
        <v>0</v>
      </c>
      <c r="AF104" s="76">
        <f>SUMIFS('август 2025'!$G$2:$G$2407,'август 2025'!$D$2:$D$2407,$B104,'август 2025'!$J$2:$J$2407,AF$1)</f>
        <v>0</v>
      </c>
      <c r="AG104" s="76">
        <f>SUMIFS('август 2025'!$G$2:$G$2407,'август 2025'!$D$2:$D$2407,$B104,'август 2025'!$J$2:$J$2407,AG$1)</f>
        <v>0</v>
      </c>
      <c r="AH104" s="76">
        <f>SUMIFS('август 2025'!$G$2:$G$2407,'август 2025'!$D$2:$D$2407,$B104,'август 2025'!$J$2:$J$2407,AH$1)</f>
        <v>0</v>
      </c>
      <c r="AI104" s="20">
        <f t="shared" si="1"/>
        <v>0</v>
      </c>
    </row>
    <row r="105" spans="2:35" ht="15" customHeight="1" x14ac:dyDescent="0.25">
      <c r="B105" s="88" t="s">
        <v>259</v>
      </c>
      <c r="C105" s="86">
        <v>180</v>
      </c>
      <c r="D105" s="76">
        <f>SUMIFS('август 2025'!$G$2:$G$2407,'август 2025'!$D$2:$D$2407,$B105,'август 2025'!$J$2:$J$2407,D$1)</f>
        <v>0</v>
      </c>
      <c r="E105" s="76">
        <f>SUMIFS('август 2025'!$G$2:$G$2407,'август 2025'!$D$2:$D$2407,$B105,'август 2025'!$J$2:$J$2407,E$1)</f>
        <v>0</v>
      </c>
      <c r="F105" s="76">
        <f>SUMIFS('август 2025'!$G$2:$G$2407,'август 2025'!$D$2:$D$2407,$B105,'август 2025'!$J$2:$J$2407,F$1)</f>
        <v>0</v>
      </c>
      <c r="G105" s="76">
        <f>SUMIFS('август 2025'!$G$2:$G$2407,'август 2025'!$D$2:$D$2407,$B105,'август 2025'!$J$2:$J$2407,G$1)</f>
        <v>0</v>
      </c>
      <c r="H105" s="76">
        <f>SUMIFS('август 2025'!$G$2:$G$2407,'август 2025'!$D$2:$D$2407,$B105,'август 2025'!$J$2:$J$2407,H$1)</f>
        <v>0</v>
      </c>
      <c r="I105" s="76">
        <f>SUMIFS('август 2025'!$G$2:$G$2407,'август 2025'!$D$2:$D$2407,$B105,'август 2025'!$J$2:$J$2407,I$1)</f>
        <v>0</v>
      </c>
      <c r="J105" s="76">
        <f>SUMIFS('август 2025'!$G$2:$G$2407,'август 2025'!$D$2:$D$2407,$B105,'август 2025'!$J$2:$J$2407,J$1)</f>
        <v>0</v>
      </c>
      <c r="K105" s="76">
        <f>SUMIFS('август 2025'!$G$2:$G$2407,'август 2025'!$D$2:$D$2407,$B105,'август 2025'!$J$2:$J$2407,K$1)</f>
        <v>0</v>
      </c>
      <c r="L105" s="76">
        <f>SUMIFS('август 2025'!$G$2:$G$2407,'август 2025'!$D$2:$D$2407,$B105,'август 2025'!$J$2:$J$2407,L$1)</f>
        <v>0</v>
      </c>
      <c r="M105" s="76">
        <f>SUMIFS('август 2025'!$G$2:$G$2407,'август 2025'!$D$2:$D$2407,$B105,'август 2025'!$J$2:$J$2407,M$1)</f>
        <v>0</v>
      </c>
      <c r="N105" s="76">
        <f>SUMIFS('август 2025'!$G$2:$G$2407,'август 2025'!$D$2:$D$2407,$B105,'август 2025'!$J$2:$J$2407,N$1)</f>
        <v>0</v>
      </c>
      <c r="O105" s="76">
        <f>SUMIFS('август 2025'!$G$2:$G$2407,'август 2025'!$D$2:$D$2407,$B105,'август 2025'!$J$2:$J$2407,O$1)</f>
        <v>0</v>
      </c>
      <c r="P105" s="76">
        <f>SUMIFS('август 2025'!$G$2:$G$2407,'август 2025'!$D$2:$D$2407,$B105,'август 2025'!$J$2:$J$2407,P$1)</f>
        <v>0</v>
      </c>
      <c r="Q105" s="76">
        <f>SUMIFS('август 2025'!$G$2:$G$2407,'август 2025'!$D$2:$D$2407,$B105,'август 2025'!$J$2:$J$2407,Q$1)</f>
        <v>0</v>
      </c>
      <c r="R105" s="76">
        <f>SUMIFS('август 2025'!$G$2:$G$2407,'август 2025'!$D$2:$D$2407,$B105,'август 2025'!$J$2:$J$2407,R$1)</f>
        <v>0</v>
      </c>
      <c r="S105" s="76">
        <f>SUMIFS('август 2025'!$G$2:$G$2407,'август 2025'!$D$2:$D$2407,$B105,'август 2025'!$J$2:$J$2407,S$1)</f>
        <v>0</v>
      </c>
      <c r="T105" s="76">
        <f>SUMIFS('август 2025'!$G$2:$G$2407,'август 2025'!$D$2:$D$2407,$B105,'август 2025'!$J$2:$J$2407,T$1)</f>
        <v>0</v>
      </c>
      <c r="U105" s="76">
        <f>SUMIFS('август 2025'!$G$2:$G$2407,'август 2025'!$D$2:$D$2407,$B105,'август 2025'!$J$2:$J$2407,U$1)</f>
        <v>0</v>
      </c>
      <c r="V105" s="76">
        <f>SUMIFS('август 2025'!$G$2:$G$2407,'август 2025'!$D$2:$D$2407,$B105,'август 2025'!$J$2:$J$2407,V$1)</f>
        <v>0</v>
      </c>
      <c r="W105" s="76">
        <f>SUMIFS('август 2025'!$G$2:$G$2407,'август 2025'!$D$2:$D$2407,$B105,'август 2025'!$J$2:$J$2407,W$1)</f>
        <v>0</v>
      </c>
      <c r="X105" s="76">
        <f>SUMIFS('август 2025'!$G$2:$G$2407,'август 2025'!$D$2:$D$2407,$B105,'август 2025'!$J$2:$J$2407,X$1)</f>
        <v>0</v>
      </c>
      <c r="Y105" s="76">
        <f>SUMIFS('август 2025'!$G$2:$G$2407,'август 2025'!$D$2:$D$2407,$B105,'август 2025'!$J$2:$J$2407,Y$1)</f>
        <v>0</v>
      </c>
      <c r="Z105" s="76">
        <f>SUMIFS('август 2025'!$G$2:$G$2407,'август 2025'!$D$2:$D$2407,$B105,'август 2025'!$J$2:$J$2407,Z$1)</f>
        <v>0</v>
      </c>
      <c r="AA105" s="76">
        <f>SUMIFS('август 2025'!$G$2:$G$2407,'август 2025'!$D$2:$D$2407,$B105,'август 2025'!$J$2:$J$2407,AA$1)</f>
        <v>0</v>
      </c>
      <c r="AB105" s="76">
        <f>SUMIFS('август 2025'!$G$2:$G$2407,'август 2025'!$D$2:$D$2407,$B105,'август 2025'!$J$2:$J$2407,AB$1)</f>
        <v>0</v>
      </c>
      <c r="AC105" s="76">
        <f>SUMIFS('август 2025'!$G$2:$G$2407,'август 2025'!$D$2:$D$2407,$B105,'август 2025'!$J$2:$J$2407,AC$1)</f>
        <v>0</v>
      </c>
      <c r="AD105" s="76">
        <f>SUMIFS('август 2025'!$G$2:$G$2407,'август 2025'!$D$2:$D$2407,$B105,'август 2025'!$J$2:$J$2407,AD$1)</f>
        <v>0</v>
      </c>
      <c r="AE105" s="76">
        <f>SUMIFS('август 2025'!$G$2:$G$2407,'август 2025'!$D$2:$D$2407,$B105,'август 2025'!$J$2:$J$2407,AE$1)</f>
        <v>0</v>
      </c>
      <c r="AF105" s="76">
        <f>SUMIFS('август 2025'!$G$2:$G$2407,'август 2025'!$D$2:$D$2407,$B105,'август 2025'!$J$2:$J$2407,AF$1)</f>
        <v>0</v>
      </c>
      <c r="AG105" s="76">
        <f>SUMIFS('август 2025'!$G$2:$G$2407,'август 2025'!$D$2:$D$2407,$B105,'август 2025'!$J$2:$J$2407,AG$1)</f>
        <v>0</v>
      </c>
      <c r="AH105" s="76">
        <f>SUMIFS('август 2025'!$G$2:$G$2407,'август 2025'!$D$2:$D$2407,$B105,'август 2025'!$J$2:$J$2407,AH$1)</f>
        <v>0</v>
      </c>
      <c r="AI105" s="20">
        <f t="shared" si="1"/>
        <v>0</v>
      </c>
    </row>
    <row r="106" spans="2:35" ht="15" customHeight="1" x14ac:dyDescent="0.25">
      <c r="B106" s="88" t="s">
        <v>289</v>
      </c>
      <c r="C106" s="86">
        <v>20</v>
      </c>
      <c r="D106" s="76">
        <f>SUMIFS('август 2025'!$G$2:$G$2407,'август 2025'!$D$2:$D$2407,$B106,'август 2025'!$J$2:$J$2407,D$1)</f>
        <v>0</v>
      </c>
      <c r="E106" s="76">
        <f>SUMIFS('август 2025'!$G$2:$G$2407,'август 2025'!$D$2:$D$2407,$B106,'август 2025'!$J$2:$J$2407,E$1)</f>
        <v>0</v>
      </c>
      <c r="F106" s="76">
        <f>SUMIFS('август 2025'!$G$2:$G$2407,'август 2025'!$D$2:$D$2407,$B106,'август 2025'!$J$2:$J$2407,F$1)</f>
        <v>0</v>
      </c>
      <c r="G106" s="76">
        <f>SUMIFS('август 2025'!$G$2:$G$2407,'август 2025'!$D$2:$D$2407,$B106,'август 2025'!$J$2:$J$2407,G$1)</f>
        <v>0</v>
      </c>
      <c r="H106" s="76">
        <f>SUMIFS('август 2025'!$G$2:$G$2407,'август 2025'!$D$2:$D$2407,$B106,'август 2025'!$J$2:$J$2407,H$1)</f>
        <v>0</v>
      </c>
      <c r="I106" s="76">
        <f>SUMIFS('август 2025'!$G$2:$G$2407,'август 2025'!$D$2:$D$2407,$B106,'август 2025'!$J$2:$J$2407,I$1)</f>
        <v>0</v>
      </c>
      <c r="J106" s="76">
        <f>SUMIFS('август 2025'!$G$2:$G$2407,'август 2025'!$D$2:$D$2407,$B106,'август 2025'!$J$2:$J$2407,J$1)</f>
        <v>0</v>
      </c>
      <c r="K106" s="76">
        <f>SUMIFS('август 2025'!$G$2:$G$2407,'август 2025'!$D$2:$D$2407,$B106,'август 2025'!$J$2:$J$2407,K$1)</f>
        <v>0</v>
      </c>
      <c r="L106" s="76">
        <f>SUMIFS('август 2025'!$G$2:$G$2407,'август 2025'!$D$2:$D$2407,$B106,'август 2025'!$J$2:$J$2407,L$1)</f>
        <v>0</v>
      </c>
      <c r="M106" s="76">
        <f>SUMIFS('август 2025'!$G$2:$G$2407,'август 2025'!$D$2:$D$2407,$B106,'август 2025'!$J$2:$J$2407,M$1)</f>
        <v>0</v>
      </c>
      <c r="N106" s="76">
        <f>SUMIFS('август 2025'!$G$2:$G$2407,'август 2025'!$D$2:$D$2407,$B106,'август 2025'!$J$2:$J$2407,N$1)</f>
        <v>0</v>
      </c>
      <c r="O106" s="76">
        <f>SUMIFS('август 2025'!$G$2:$G$2407,'август 2025'!$D$2:$D$2407,$B106,'август 2025'!$J$2:$J$2407,O$1)</f>
        <v>0</v>
      </c>
      <c r="P106" s="76">
        <f>SUMIFS('август 2025'!$G$2:$G$2407,'август 2025'!$D$2:$D$2407,$B106,'август 2025'!$J$2:$J$2407,P$1)</f>
        <v>0</v>
      </c>
      <c r="Q106" s="76">
        <f>SUMIFS('август 2025'!$G$2:$G$2407,'август 2025'!$D$2:$D$2407,$B106,'август 2025'!$J$2:$J$2407,Q$1)</f>
        <v>0</v>
      </c>
      <c r="R106" s="76">
        <f>SUMIFS('август 2025'!$G$2:$G$2407,'август 2025'!$D$2:$D$2407,$B106,'август 2025'!$J$2:$J$2407,R$1)</f>
        <v>0</v>
      </c>
      <c r="S106" s="76">
        <f>SUMIFS('август 2025'!$G$2:$G$2407,'август 2025'!$D$2:$D$2407,$B106,'август 2025'!$J$2:$J$2407,S$1)</f>
        <v>0</v>
      </c>
      <c r="T106" s="76">
        <f>SUMIFS('август 2025'!$G$2:$G$2407,'август 2025'!$D$2:$D$2407,$B106,'август 2025'!$J$2:$J$2407,T$1)</f>
        <v>0</v>
      </c>
      <c r="U106" s="76">
        <f>SUMIFS('август 2025'!$G$2:$G$2407,'август 2025'!$D$2:$D$2407,$B106,'август 2025'!$J$2:$J$2407,U$1)</f>
        <v>0</v>
      </c>
      <c r="V106" s="76">
        <f>SUMIFS('август 2025'!$G$2:$G$2407,'август 2025'!$D$2:$D$2407,$B106,'август 2025'!$J$2:$J$2407,V$1)</f>
        <v>0</v>
      </c>
      <c r="W106" s="76">
        <f>SUMIFS('август 2025'!$G$2:$G$2407,'август 2025'!$D$2:$D$2407,$B106,'август 2025'!$J$2:$J$2407,W$1)</f>
        <v>0</v>
      </c>
      <c r="X106" s="76">
        <f>SUMIFS('август 2025'!$G$2:$G$2407,'август 2025'!$D$2:$D$2407,$B106,'август 2025'!$J$2:$J$2407,X$1)</f>
        <v>0</v>
      </c>
      <c r="Y106" s="76">
        <f>SUMIFS('август 2025'!$G$2:$G$2407,'август 2025'!$D$2:$D$2407,$B106,'август 2025'!$J$2:$J$2407,Y$1)</f>
        <v>0</v>
      </c>
      <c r="Z106" s="76">
        <f>SUMIFS('август 2025'!$G$2:$G$2407,'август 2025'!$D$2:$D$2407,$B106,'август 2025'!$J$2:$J$2407,Z$1)</f>
        <v>0</v>
      </c>
      <c r="AA106" s="76">
        <f>SUMIFS('август 2025'!$G$2:$G$2407,'август 2025'!$D$2:$D$2407,$B106,'август 2025'!$J$2:$J$2407,AA$1)</f>
        <v>0</v>
      </c>
      <c r="AB106" s="76">
        <f>SUMIFS('август 2025'!$G$2:$G$2407,'август 2025'!$D$2:$D$2407,$B106,'август 2025'!$J$2:$J$2407,AB$1)</f>
        <v>0</v>
      </c>
      <c r="AC106" s="76">
        <f>SUMIFS('август 2025'!$G$2:$G$2407,'август 2025'!$D$2:$D$2407,$B106,'август 2025'!$J$2:$J$2407,AC$1)</f>
        <v>0</v>
      </c>
      <c r="AD106" s="76">
        <f>SUMIFS('август 2025'!$G$2:$G$2407,'август 2025'!$D$2:$D$2407,$B106,'август 2025'!$J$2:$J$2407,AD$1)</f>
        <v>0</v>
      </c>
      <c r="AE106" s="76">
        <f>SUMIFS('август 2025'!$G$2:$G$2407,'август 2025'!$D$2:$D$2407,$B106,'август 2025'!$J$2:$J$2407,AE$1)</f>
        <v>0</v>
      </c>
      <c r="AF106" s="76">
        <f>SUMIFS('август 2025'!$G$2:$G$2407,'август 2025'!$D$2:$D$2407,$B106,'август 2025'!$J$2:$J$2407,AF$1)</f>
        <v>0</v>
      </c>
      <c r="AG106" s="76">
        <f>SUMIFS('август 2025'!$G$2:$G$2407,'август 2025'!$D$2:$D$2407,$B106,'август 2025'!$J$2:$J$2407,AG$1)</f>
        <v>0</v>
      </c>
      <c r="AH106" s="76">
        <f>SUMIFS('август 2025'!$G$2:$G$2407,'август 2025'!$D$2:$D$2407,$B106,'август 2025'!$J$2:$J$2407,AH$1)</f>
        <v>0</v>
      </c>
      <c r="AI106" s="20">
        <f t="shared" si="1"/>
        <v>0</v>
      </c>
    </row>
    <row r="107" spans="2:35" ht="15" customHeight="1" x14ac:dyDescent="0.25">
      <c r="B107" s="88" t="s">
        <v>315</v>
      </c>
      <c r="C107" s="86">
        <v>25</v>
      </c>
      <c r="D107" s="76">
        <f>SUMIFS('август 2025'!$G$2:$G$2407,'август 2025'!$D$2:$D$2407,$B107,'август 2025'!$J$2:$J$2407,D$1)</f>
        <v>0</v>
      </c>
      <c r="E107" s="76">
        <f>SUMIFS('август 2025'!$G$2:$G$2407,'август 2025'!$D$2:$D$2407,$B107,'август 2025'!$J$2:$J$2407,E$1)</f>
        <v>0</v>
      </c>
      <c r="F107" s="76">
        <f>SUMIFS('август 2025'!$G$2:$G$2407,'август 2025'!$D$2:$D$2407,$B107,'август 2025'!$J$2:$J$2407,F$1)</f>
        <v>0</v>
      </c>
      <c r="G107" s="76">
        <f>SUMIFS('август 2025'!$G$2:$G$2407,'август 2025'!$D$2:$D$2407,$B107,'август 2025'!$J$2:$J$2407,G$1)</f>
        <v>0</v>
      </c>
      <c r="H107" s="76">
        <f>SUMIFS('август 2025'!$G$2:$G$2407,'август 2025'!$D$2:$D$2407,$B107,'август 2025'!$J$2:$J$2407,H$1)</f>
        <v>0</v>
      </c>
      <c r="I107" s="76">
        <f>SUMIFS('август 2025'!$G$2:$G$2407,'август 2025'!$D$2:$D$2407,$B107,'август 2025'!$J$2:$J$2407,I$1)</f>
        <v>0</v>
      </c>
      <c r="J107" s="76">
        <f>SUMIFS('август 2025'!$G$2:$G$2407,'август 2025'!$D$2:$D$2407,$B107,'август 2025'!$J$2:$J$2407,J$1)</f>
        <v>0</v>
      </c>
      <c r="K107" s="76">
        <f>SUMIFS('август 2025'!$G$2:$G$2407,'август 2025'!$D$2:$D$2407,$B107,'август 2025'!$J$2:$J$2407,K$1)</f>
        <v>0</v>
      </c>
      <c r="L107" s="76">
        <f>SUMIFS('август 2025'!$G$2:$G$2407,'август 2025'!$D$2:$D$2407,$B107,'август 2025'!$J$2:$J$2407,L$1)</f>
        <v>0</v>
      </c>
      <c r="M107" s="76">
        <f>SUMIFS('август 2025'!$G$2:$G$2407,'август 2025'!$D$2:$D$2407,$B107,'август 2025'!$J$2:$J$2407,M$1)</f>
        <v>0</v>
      </c>
      <c r="N107" s="76">
        <f>SUMIFS('август 2025'!$G$2:$G$2407,'август 2025'!$D$2:$D$2407,$B107,'август 2025'!$J$2:$J$2407,N$1)</f>
        <v>0</v>
      </c>
      <c r="O107" s="76">
        <f>SUMIFS('август 2025'!$G$2:$G$2407,'август 2025'!$D$2:$D$2407,$B107,'август 2025'!$J$2:$J$2407,O$1)</f>
        <v>0</v>
      </c>
      <c r="P107" s="76">
        <f>SUMIFS('август 2025'!$G$2:$G$2407,'август 2025'!$D$2:$D$2407,$B107,'август 2025'!$J$2:$J$2407,P$1)</f>
        <v>0</v>
      </c>
      <c r="Q107" s="76">
        <f>SUMIFS('август 2025'!$G$2:$G$2407,'август 2025'!$D$2:$D$2407,$B107,'август 2025'!$J$2:$J$2407,Q$1)</f>
        <v>0</v>
      </c>
      <c r="R107" s="76">
        <f>SUMIFS('август 2025'!$G$2:$G$2407,'август 2025'!$D$2:$D$2407,$B107,'август 2025'!$J$2:$J$2407,R$1)</f>
        <v>0</v>
      </c>
      <c r="S107" s="76">
        <f>SUMIFS('август 2025'!$G$2:$G$2407,'август 2025'!$D$2:$D$2407,$B107,'август 2025'!$J$2:$J$2407,S$1)</f>
        <v>0</v>
      </c>
      <c r="T107" s="76">
        <f>SUMIFS('август 2025'!$G$2:$G$2407,'август 2025'!$D$2:$D$2407,$B107,'август 2025'!$J$2:$J$2407,T$1)</f>
        <v>0</v>
      </c>
      <c r="U107" s="76">
        <f>SUMIFS('август 2025'!$G$2:$G$2407,'август 2025'!$D$2:$D$2407,$B107,'август 2025'!$J$2:$J$2407,U$1)</f>
        <v>0</v>
      </c>
      <c r="V107" s="76">
        <f>SUMIFS('август 2025'!$G$2:$G$2407,'август 2025'!$D$2:$D$2407,$B107,'август 2025'!$J$2:$J$2407,V$1)</f>
        <v>0</v>
      </c>
      <c r="W107" s="76">
        <f>SUMIFS('август 2025'!$G$2:$G$2407,'август 2025'!$D$2:$D$2407,$B107,'август 2025'!$J$2:$J$2407,W$1)</f>
        <v>0</v>
      </c>
      <c r="X107" s="76">
        <f>SUMIFS('август 2025'!$G$2:$G$2407,'август 2025'!$D$2:$D$2407,$B107,'август 2025'!$J$2:$J$2407,X$1)</f>
        <v>0</v>
      </c>
      <c r="Y107" s="76">
        <f>SUMIFS('август 2025'!$G$2:$G$2407,'август 2025'!$D$2:$D$2407,$B107,'август 2025'!$J$2:$J$2407,Y$1)</f>
        <v>0</v>
      </c>
      <c r="Z107" s="76">
        <f>SUMIFS('август 2025'!$G$2:$G$2407,'август 2025'!$D$2:$D$2407,$B107,'август 2025'!$J$2:$J$2407,Z$1)</f>
        <v>0</v>
      </c>
      <c r="AA107" s="76">
        <f>SUMIFS('август 2025'!$G$2:$G$2407,'август 2025'!$D$2:$D$2407,$B107,'август 2025'!$J$2:$J$2407,AA$1)</f>
        <v>0</v>
      </c>
      <c r="AB107" s="76">
        <f>SUMIFS('август 2025'!$G$2:$G$2407,'август 2025'!$D$2:$D$2407,$B107,'август 2025'!$J$2:$J$2407,AB$1)</f>
        <v>0</v>
      </c>
      <c r="AC107" s="76">
        <f>SUMIFS('август 2025'!$G$2:$G$2407,'август 2025'!$D$2:$D$2407,$B107,'август 2025'!$J$2:$J$2407,AC$1)</f>
        <v>0</v>
      </c>
      <c r="AD107" s="76">
        <f>SUMIFS('август 2025'!$G$2:$G$2407,'август 2025'!$D$2:$D$2407,$B107,'август 2025'!$J$2:$J$2407,AD$1)</f>
        <v>0</v>
      </c>
      <c r="AE107" s="76">
        <f>SUMIFS('август 2025'!$G$2:$G$2407,'август 2025'!$D$2:$D$2407,$B107,'август 2025'!$J$2:$J$2407,AE$1)</f>
        <v>0</v>
      </c>
      <c r="AF107" s="76">
        <f>SUMIFS('август 2025'!$G$2:$G$2407,'август 2025'!$D$2:$D$2407,$B107,'август 2025'!$J$2:$J$2407,AF$1)</f>
        <v>0</v>
      </c>
      <c r="AG107" s="76">
        <f>SUMIFS('август 2025'!$G$2:$G$2407,'август 2025'!$D$2:$D$2407,$B107,'август 2025'!$J$2:$J$2407,AG$1)</f>
        <v>0</v>
      </c>
      <c r="AH107" s="76">
        <f>SUMIFS('август 2025'!$G$2:$G$2407,'август 2025'!$D$2:$D$2407,$B107,'август 2025'!$J$2:$J$2407,AH$1)</f>
        <v>0</v>
      </c>
      <c r="AI107" s="20">
        <f t="shared" si="1"/>
        <v>0</v>
      </c>
    </row>
    <row r="108" spans="2:35" ht="15" customHeight="1" x14ac:dyDescent="0.25">
      <c r="B108" s="88" t="s">
        <v>385</v>
      </c>
      <c r="C108" s="86">
        <v>28</v>
      </c>
      <c r="D108" s="76">
        <f>SUMIFS('август 2025'!$G$2:$G$2407,'август 2025'!$D$2:$D$2407,$B108,'август 2025'!$J$2:$J$2407,D$1)</f>
        <v>0</v>
      </c>
      <c r="E108" s="76">
        <f>SUMIFS('август 2025'!$G$2:$G$2407,'август 2025'!$D$2:$D$2407,$B108,'август 2025'!$J$2:$J$2407,E$1)</f>
        <v>0</v>
      </c>
      <c r="F108" s="76">
        <f>SUMIFS('август 2025'!$G$2:$G$2407,'август 2025'!$D$2:$D$2407,$B108,'август 2025'!$J$2:$J$2407,F$1)</f>
        <v>0</v>
      </c>
      <c r="G108" s="76">
        <f>SUMIFS('август 2025'!$G$2:$G$2407,'август 2025'!$D$2:$D$2407,$B108,'август 2025'!$J$2:$J$2407,G$1)</f>
        <v>0</v>
      </c>
      <c r="H108" s="76">
        <f>SUMIFS('август 2025'!$G$2:$G$2407,'август 2025'!$D$2:$D$2407,$B108,'август 2025'!$J$2:$J$2407,H$1)</f>
        <v>0</v>
      </c>
      <c r="I108" s="76">
        <f>SUMIFS('август 2025'!$G$2:$G$2407,'август 2025'!$D$2:$D$2407,$B108,'август 2025'!$J$2:$J$2407,I$1)</f>
        <v>0</v>
      </c>
      <c r="J108" s="76">
        <f>SUMIFS('август 2025'!$G$2:$G$2407,'август 2025'!$D$2:$D$2407,$B108,'август 2025'!$J$2:$J$2407,J$1)</f>
        <v>0</v>
      </c>
      <c r="K108" s="76">
        <f>SUMIFS('август 2025'!$G$2:$G$2407,'август 2025'!$D$2:$D$2407,$B108,'август 2025'!$J$2:$J$2407,K$1)</f>
        <v>0</v>
      </c>
      <c r="L108" s="76">
        <f>SUMIFS('август 2025'!$G$2:$G$2407,'август 2025'!$D$2:$D$2407,$B108,'август 2025'!$J$2:$J$2407,L$1)</f>
        <v>0</v>
      </c>
      <c r="M108" s="76">
        <f>SUMIFS('август 2025'!$G$2:$G$2407,'август 2025'!$D$2:$D$2407,$B108,'август 2025'!$J$2:$J$2407,M$1)</f>
        <v>0</v>
      </c>
      <c r="N108" s="76">
        <f>SUMIFS('август 2025'!$G$2:$G$2407,'август 2025'!$D$2:$D$2407,$B108,'август 2025'!$J$2:$J$2407,N$1)</f>
        <v>0</v>
      </c>
      <c r="O108" s="76">
        <f>SUMIFS('август 2025'!$G$2:$G$2407,'август 2025'!$D$2:$D$2407,$B108,'август 2025'!$J$2:$J$2407,O$1)</f>
        <v>0</v>
      </c>
      <c r="P108" s="76">
        <f>SUMIFS('август 2025'!$G$2:$G$2407,'август 2025'!$D$2:$D$2407,$B108,'август 2025'!$J$2:$J$2407,P$1)</f>
        <v>0</v>
      </c>
      <c r="Q108" s="76">
        <f>SUMIFS('август 2025'!$G$2:$G$2407,'август 2025'!$D$2:$D$2407,$B108,'август 2025'!$J$2:$J$2407,Q$1)</f>
        <v>0</v>
      </c>
      <c r="R108" s="76">
        <f>SUMIFS('август 2025'!$G$2:$G$2407,'август 2025'!$D$2:$D$2407,$B108,'август 2025'!$J$2:$J$2407,R$1)</f>
        <v>0</v>
      </c>
      <c r="S108" s="76">
        <f>SUMIFS('август 2025'!$G$2:$G$2407,'август 2025'!$D$2:$D$2407,$B108,'август 2025'!$J$2:$J$2407,S$1)</f>
        <v>0</v>
      </c>
      <c r="T108" s="76">
        <f>SUMIFS('август 2025'!$G$2:$G$2407,'август 2025'!$D$2:$D$2407,$B108,'август 2025'!$J$2:$J$2407,T$1)</f>
        <v>0</v>
      </c>
      <c r="U108" s="76">
        <f>SUMIFS('август 2025'!$G$2:$G$2407,'август 2025'!$D$2:$D$2407,$B108,'август 2025'!$J$2:$J$2407,U$1)</f>
        <v>0</v>
      </c>
      <c r="V108" s="76">
        <f>SUMIFS('август 2025'!$G$2:$G$2407,'август 2025'!$D$2:$D$2407,$B108,'август 2025'!$J$2:$J$2407,V$1)</f>
        <v>0</v>
      </c>
      <c r="W108" s="76">
        <f>SUMIFS('август 2025'!$G$2:$G$2407,'август 2025'!$D$2:$D$2407,$B108,'август 2025'!$J$2:$J$2407,W$1)</f>
        <v>0</v>
      </c>
      <c r="X108" s="76">
        <f>SUMIFS('август 2025'!$G$2:$G$2407,'август 2025'!$D$2:$D$2407,$B108,'август 2025'!$J$2:$J$2407,X$1)</f>
        <v>0</v>
      </c>
      <c r="Y108" s="76">
        <f>SUMIFS('август 2025'!$G$2:$G$2407,'август 2025'!$D$2:$D$2407,$B108,'август 2025'!$J$2:$J$2407,Y$1)</f>
        <v>0</v>
      </c>
      <c r="Z108" s="76">
        <f>SUMIFS('август 2025'!$G$2:$G$2407,'август 2025'!$D$2:$D$2407,$B108,'август 2025'!$J$2:$J$2407,Z$1)</f>
        <v>0</v>
      </c>
      <c r="AA108" s="76">
        <f>SUMIFS('август 2025'!$G$2:$G$2407,'август 2025'!$D$2:$D$2407,$B108,'август 2025'!$J$2:$J$2407,AA$1)</f>
        <v>0</v>
      </c>
      <c r="AB108" s="76">
        <f>SUMIFS('август 2025'!$G$2:$G$2407,'август 2025'!$D$2:$D$2407,$B108,'август 2025'!$J$2:$J$2407,AB$1)</f>
        <v>0</v>
      </c>
      <c r="AC108" s="76">
        <f>SUMIFS('август 2025'!$G$2:$G$2407,'август 2025'!$D$2:$D$2407,$B108,'август 2025'!$J$2:$J$2407,AC$1)</f>
        <v>0</v>
      </c>
      <c r="AD108" s="76">
        <f>SUMIFS('август 2025'!$G$2:$G$2407,'август 2025'!$D$2:$D$2407,$B108,'август 2025'!$J$2:$J$2407,AD$1)</f>
        <v>0</v>
      </c>
      <c r="AE108" s="76">
        <f>SUMIFS('август 2025'!$G$2:$G$2407,'август 2025'!$D$2:$D$2407,$B108,'август 2025'!$J$2:$J$2407,AE$1)</f>
        <v>0</v>
      </c>
      <c r="AF108" s="76">
        <f>SUMIFS('август 2025'!$G$2:$G$2407,'август 2025'!$D$2:$D$2407,$B108,'август 2025'!$J$2:$J$2407,AF$1)</f>
        <v>0</v>
      </c>
      <c r="AG108" s="76">
        <f>SUMIFS('август 2025'!$G$2:$G$2407,'август 2025'!$D$2:$D$2407,$B108,'август 2025'!$J$2:$J$2407,AG$1)</f>
        <v>0</v>
      </c>
      <c r="AH108" s="76">
        <f>SUMIFS('август 2025'!$G$2:$G$2407,'август 2025'!$D$2:$D$2407,$B108,'август 2025'!$J$2:$J$2407,AH$1)</f>
        <v>0</v>
      </c>
      <c r="AI108" s="20">
        <f t="shared" si="1"/>
        <v>0</v>
      </c>
    </row>
    <row r="109" spans="2:35" ht="15" customHeight="1" x14ac:dyDescent="0.25">
      <c r="B109" s="88" t="s">
        <v>193</v>
      </c>
      <c r="C109" s="86">
        <v>180</v>
      </c>
      <c r="D109" s="76">
        <f>SUMIFS('август 2025'!$G$2:$G$2407,'август 2025'!$D$2:$D$2407,$B109,'август 2025'!$J$2:$J$2407,D$1)</f>
        <v>0</v>
      </c>
      <c r="E109" s="76">
        <f>SUMIFS('август 2025'!$G$2:$G$2407,'август 2025'!$D$2:$D$2407,$B109,'август 2025'!$J$2:$J$2407,E$1)</f>
        <v>0</v>
      </c>
      <c r="F109" s="76">
        <f>SUMIFS('август 2025'!$G$2:$G$2407,'август 2025'!$D$2:$D$2407,$B109,'август 2025'!$J$2:$J$2407,F$1)</f>
        <v>0</v>
      </c>
      <c r="G109" s="76">
        <f>SUMIFS('август 2025'!$G$2:$G$2407,'август 2025'!$D$2:$D$2407,$B109,'август 2025'!$J$2:$J$2407,G$1)</f>
        <v>0</v>
      </c>
      <c r="H109" s="76">
        <f>SUMIFS('август 2025'!$G$2:$G$2407,'август 2025'!$D$2:$D$2407,$B109,'август 2025'!$J$2:$J$2407,H$1)</f>
        <v>0</v>
      </c>
      <c r="I109" s="76">
        <f>SUMIFS('август 2025'!$G$2:$G$2407,'август 2025'!$D$2:$D$2407,$B109,'август 2025'!$J$2:$J$2407,I$1)</f>
        <v>0</v>
      </c>
      <c r="J109" s="76">
        <f>SUMIFS('август 2025'!$G$2:$G$2407,'август 2025'!$D$2:$D$2407,$B109,'август 2025'!$J$2:$J$2407,J$1)</f>
        <v>0</v>
      </c>
      <c r="K109" s="76">
        <f>SUMIFS('август 2025'!$G$2:$G$2407,'август 2025'!$D$2:$D$2407,$B109,'август 2025'!$J$2:$J$2407,K$1)</f>
        <v>0</v>
      </c>
      <c r="L109" s="76">
        <f>SUMIFS('август 2025'!$G$2:$G$2407,'август 2025'!$D$2:$D$2407,$B109,'август 2025'!$J$2:$J$2407,L$1)</f>
        <v>0</v>
      </c>
      <c r="M109" s="76">
        <f>SUMIFS('август 2025'!$G$2:$G$2407,'август 2025'!$D$2:$D$2407,$B109,'август 2025'!$J$2:$J$2407,M$1)</f>
        <v>0</v>
      </c>
      <c r="N109" s="76">
        <f>SUMIFS('август 2025'!$G$2:$G$2407,'август 2025'!$D$2:$D$2407,$B109,'август 2025'!$J$2:$J$2407,N$1)</f>
        <v>0</v>
      </c>
      <c r="O109" s="76">
        <f>SUMIFS('август 2025'!$G$2:$G$2407,'август 2025'!$D$2:$D$2407,$B109,'август 2025'!$J$2:$J$2407,O$1)</f>
        <v>0</v>
      </c>
      <c r="P109" s="76">
        <f>SUMIFS('август 2025'!$G$2:$G$2407,'август 2025'!$D$2:$D$2407,$B109,'август 2025'!$J$2:$J$2407,P$1)</f>
        <v>0</v>
      </c>
      <c r="Q109" s="76">
        <f>SUMIFS('август 2025'!$G$2:$G$2407,'август 2025'!$D$2:$D$2407,$B109,'август 2025'!$J$2:$J$2407,Q$1)</f>
        <v>0</v>
      </c>
      <c r="R109" s="76">
        <f>SUMIFS('август 2025'!$G$2:$G$2407,'август 2025'!$D$2:$D$2407,$B109,'август 2025'!$J$2:$J$2407,R$1)</f>
        <v>0</v>
      </c>
      <c r="S109" s="76">
        <f>SUMIFS('август 2025'!$G$2:$G$2407,'август 2025'!$D$2:$D$2407,$B109,'август 2025'!$J$2:$J$2407,S$1)</f>
        <v>0</v>
      </c>
      <c r="T109" s="76">
        <f>SUMIFS('август 2025'!$G$2:$G$2407,'август 2025'!$D$2:$D$2407,$B109,'август 2025'!$J$2:$J$2407,T$1)</f>
        <v>0</v>
      </c>
      <c r="U109" s="76">
        <f>SUMIFS('август 2025'!$G$2:$G$2407,'август 2025'!$D$2:$D$2407,$B109,'август 2025'!$J$2:$J$2407,U$1)</f>
        <v>0</v>
      </c>
      <c r="V109" s="76">
        <f>SUMIFS('август 2025'!$G$2:$G$2407,'август 2025'!$D$2:$D$2407,$B109,'август 2025'!$J$2:$J$2407,V$1)</f>
        <v>0</v>
      </c>
      <c r="W109" s="76">
        <f>SUMIFS('август 2025'!$G$2:$G$2407,'август 2025'!$D$2:$D$2407,$B109,'август 2025'!$J$2:$J$2407,W$1)</f>
        <v>0</v>
      </c>
      <c r="X109" s="76">
        <f>SUMIFS('август 2025'!$G$2:$G$2407,'август 2025'!$D$2:$D$2407,$B109,'август 2025'!$J$2:$J$2407,X$1)</f>
        <v>0</v>
      </c>
      <c r="Y109" s="76">
        <f>SUMIFS('август 2025'!$G$2:$G$2407,'август 2025'!$D$2:$D$2407,$B109,'август 2025'!$J$2:$J$2407,Y$1)</f>
        <v>0</v>
      </c>
      <c r="Z109" s="76">
        <f>SUMIFS('август 2025'!$G$2:$G$2407,'август 2025'!$D$2:$D$2407,$B109,'август 2025'!$J$2:$J$2407,Z$1)</f>
        <v>0</v>
      </c>
      <c r="AA109" s="76">
        <f>SUMIFS('август 2025'!$G$2:$G$2407,'август 2025'!$D$2:$D$2407,$B109,'август 2025'!$J$2:$J$2407,AA$1)</f>
        <v>0</v>
      </c>
      <c r="AB109" s="76">
        <f>SUMIFS('август 2025'!$G$2:$G$2407,'август 2025'!$D$2:$D$2407,$B109,'август 2025'!$J$2:$J$2407,AB$1)</f>
        <v>0</v>
      </c>
      <c r="AC109" s="76">
        <f>SUMIFS('август 2025'!$G$2:$G$2407,'август 2025'!$D$2:$D$2407,$B109,'август 2025'!$J$2:$J$2407,AC$1)</f>
        <v>0</v>
      </c>
      <c r="AD109" s="76">
        <f>SUMIFS('август 2025'!$G$2:$G$2407,'август 2025'!$D$2:$D$2407,$B109,'август 2025'!$J$2:$J$2407,AD$1)</f>
        <v>0</v>
      </c>
      <c r="AE109" s="76">
        <f>SUMIFS('август 2025'!$G$2:$G$2407,'август 2025'!$D$2:$D$2407,$B109,'август 2025'!$J$2:$J$2407,AE$1)</f>
        <v>0</v>
      </c>
      <c r="AF109" s="76">
        <f>SUMIFS('август 2025'!$G$2:$G$2407,'август 2025'!$D$2:$D$2407,$B109,'август 2025'!$J$2:$J$2407,AF$1)</f>
        <v>0</v>
      </c>
      <c r="AG109" s="76">
        <f>SUMIFS('август 2025'!$G$2:$G$2407,'август 2025'!$D$2:$D$2407,$B109,'август 2025'!$J$2:$J$2407,AG$1)</f>
        <v>0</v>
      </c>
      <c r="AH109" s="76">
        <f>SUMIFS('август 2025'!$G$2:$G$2407,'август 2025'!$D$2:$D$2407,$B109,'август 2025'!$J$2:$J$2407,AH$1)</f>
        <v>0</v>
      </c>
      <c r="AI109" s="20">
        <f t="shared" si="1"/>
        <v>0</v>
      </c>
    </row>
    <row r="110" spans="2:35" ht="15" customHeight="1" x14ac:dyDescent="0.25">
      <c r="B110" s="84" t="s">
        <v>194</v>
      </c>
      <c r="C110" s="83">
        <v>200</v>
      </c>
      <c r="D110" s="76">
        <f>SUMIFS('август 2025'!$G$2:$G$2407,'август 2025'!$D$2:$D$2407,$B110,'август 2025'!$J$2:$J$2407,D$1)</f>
        <v>0</v>
      </c>
      <c r="E110" s="76">
        <f>SUMIFS('август 2025'!$G$2:$G$2407,'август 2025'!$D$2:$D$2407,$B110,'август 2025'!$J$2:$J$2407,E$1)</f>
        <v>0</v>
      </c>
      <c r="F110" s="76">
        <f>SUMIFS('август 2025'!$G$2:$G$2407,'август 2025'!$D$2:$D$2407,$B110,'август 2025'!$J$2:$J$2407,F$1)</f>
        <v>0</v>
      </c>
      <c r="G110" s="76">
        <f>SUMIFS('август 2025'!$G$2:$G$2407,'август 2025'!$D$2:$D$2407,$B110,'август 2025'!$J$2:$J$2407,G$1)</f>
        <v>0</v>
      </c>
      <c r="H110" s="76">
        <f>SUMIFS('август 2025'!$G$2:$G$2407,'август 2025'!$D$2:$D$2407,$B110,'август 2025'!$J$2:$J$2407,H$1)</f>
        <v>0</v>
      </c>
      <c r="I110" s="76">
        <f>SUMIFS('август 2025'!$G$2:$G$2407,'август 2025'!$D$2:$D$2407,$B110,'август 2025'!$J$2:$J$2407,I$1)</f>
        <v>0</v>
      </c>
      <c r="J110" s="76">
        <f>SUMIFS('август 2025'!$G$2:$G$2407,'август 2025'!$D$2:$D$2407,$B110,'август 2025'!$J$2:$J$2407,J$1)</f>
        <v>0</v>
      </c>
      <c r="K110" s="76">
        <f>SUMIFS('август 2025'!$G$2:$G$2407,'август 2025'!$D$2:$D$2407,$B110,'август 2025'!$J$2:$J$2407,K$1)</f>
        <v>0</v>
      </c>
      <c r="L110" s="76">
        <f>SUMIFS('август 2025'!$G$2:$G$2407,'август 2025'!$D$2:$D$2407,$B110,'август 2025'!$J$2:$J$2407,L$1)</f>
        <v>0</v>
      </c>
      <c r="M110" s="76">
        <f>SUMIFS('август 2025'!$G$2:$G$2407,'август 2025'!$D$2:$D$2407,$B110,'август 2025'!$J$2:$J$2407,M$1)</f>
        <v>0</v>
      </c>
      <c r="N110" s="76">
        <f>SUMIFS('август 2025'!$G$2:$G$2407,'август 2025'!$D$2:$D$2407,$B110,'август 2025'!$J$2:$J$2407,N$1)</f>
        <v>0</v>
      </c>
      <c r="O110" s="76">
        <f>SUMIFS('август 2025'!$G$2:$G$2407,'август 2025'!$D$2:$D$2407,$B110,'август 2025'!$J$2:$J$2407,O$1)</f>
        <v>30</v>
      </c>
      <c r="P110" s="76">
        <f>SUMIFS('август 2025'!$G$2:$G$2407,'август 2025'!$D$2:$D$2407,$B110,'август 2025'!$J$2:$J$2407,P$1)</f>
        <v>0</v>
      </c>
      <c r="Q110" s="76">
        <f>SUMIFS('август 2025'!$G$2:$G$2407,'август 2025'!$D$2:$D$2407,$B110,'август 2025'!$J$2:$J$2407,Q$1)</f>
        <v>0</v>
      </c>
      <c r="R110" s="76">
        <f>SUMIFS('август 2025'!$G$2:$G$2407,'август 2025'!$D$2:$D$2407,$B110,'август 2025'!$J$2:$J$2407,R$1)</f>
        <v>0</v>
      </c>
      <c r="S110" s="76">
        <f>SUMIFS('август 2025'!$G$2:$G$2407,'август 2025'!$D$2:$D$2407,$B110,'август 2025'!$J$2:$J$2407,S$1)</f>
        <v>0</v>
      </c>
      <c r="T110" s="76">
        <f>SUMIFS('август 2025'!$G$2:$G$2407,'август 2025'!$D$2:$D$2407,$B110,'август 2025'!$J$2:$J$2407,T$1)</f>
        <v>0</v>
      </c>
      <c r="U110" s="76">
        <f>SUMIFS('август 2025'!$G$2:$G$2407,'август 2025'!$D$2:$D$2407,$B110,'август 2025'!$J$2:$J$2407,U$1)</f>
        <v>0</v>
      </c>
      <c r="V110" s="76">
        <f>SUMIFS('август 2025'!$G$2:$G$2407,'август 2025'!$D$2:$D$2407,$B110,'август 2025'!$J$2:$J$2407,V$1)</f>
        <v>0</v>
      </c>
      <c r="W110" s="76">
        <f>SUMIFS('август 2025'!$G$2:$G$2407,'август 2025'!$D$2:$D$2407,$B110,'август 2025'!$J$2:$J$2407,W$1)</f>
        <v>0</v>
      </c>
      <c r="X110" s="76">
        <f>SUMIFS('август 2025'!$G$2:$G$2407,'август 2025'!$D$2:$D$2407,$B110,'август 2025'!$J$2:$J$2407,X$1)</f>
        <v>0</v>
      </c>
      <c r="Y110" s="76">
        <f>SUMIFS('август 2025'!$G$2:$G$2407,'август 2025'!$D$2:$D$2407,$B110,'август 2025'!$J$2:$J$2407,Y$1)</f>
        <v>0</v>
      </c>
      <c r="Z110" s="76">
        <f>SUMIFS('август 2025'!$G$2:$G$2407,'август 2025'!$D$2:$D$2407,$B110,'август 2025'!$J$2:$J$2407,Z$1)</f>
        <v>0</v>
      </c>
      <c r="AA110" s="76">
        <f>SUMIFS('август 2025'!$G$2:$G$2407,'август 2025'!$D$2:$D$2407,$B110,'август 2025'!$J$2:$J$2407,AA$1)</f>
        <v>0</v>
      </c>
      <c r="AB110" s="76">
        <f>SUMIFS('август 2025'!$G$2:$G$2407,'август 2025'!$D$2:$D$2407,$B110,'август 2025'!$J$2:$J$2407,AB$1)</f>
        <v>0</v>
      </c>
      <c r="AC110" s="76">
        <f>SUMIFS('август 2025'!$G$2:$G$2407,'август 2025'!$D$2:$D$2407,$B110,'август 2025'!$J$2:$J$2407,AC$1)</f>
        <v>0</v>
      </c>
      <c r="AD110" s="76">
        <f>SUMIFS('август 2025'!$G$2:$G$2407,'август 2025'!$D$2:$D$2407,$B110,'август 2025'!$J$2:$J$2407,AD$1)</f>
        <v>0</v>
      </c>
      <c r="AE110" s="76">
        <f>SUMIFS('август 2025'!$G$2:$G$2407,'август 2025'!$D$2:$D$2407,$B110,'август 2025'!$J$2:$J$2407,AE$1)</f>
        <v>0</v>
      </c>
      <c r="AF110" s="76">
        <f>SUMIFS('август 2025'!$G$2:$G$2407,'август 2025'!$D$2:$D$2407,$B110,'август 2025'!$J$2:$J$2407,AF$1)</f>
        <v>0</v>
      </c>
      <c r="AG110" s="76">
        <f>SUMIFS('август 2025'!$G$2:$G$2407,'август 2025'!$D$2:$D$2407,$B110,'август 2025'!$J$2:$J$2407,AG$1)</f>
        <v>0</v>
      </c>
      <c r="AH110" s="76">
        <f>SUMIFS('август 2025'!$G$2:$G$2407,'август 2025'!$D$2:$D$2407,$B110,'август 2025'!$J$2:$J$2407,AH$1)</f>
        <v>0</v>
      </c>
      <c r="AI110" s="20">
        <f t="shared" si="1"/>
        <v>30</v>
      </c>
    </row>
    <row r="111" spans="2:35" ht="15" customHeight="1" x14ac:dyDescent="0.25">
      <c r="B111" s="87" t="s">
        <v>169</v>
      </c>
      <c r="C111" s="86">
        <v>180</v>
      </c>
      <c r="D111" s="76">
        <f>SUMIFS('август 2025'!$G$2:$G$2407,'август 2025'!$D$2:$D$2407,$B111,'август 2025'!$J$2:$J$2407,D$1)</f>
        <v>0</v>
      </c>
      <c r="E111" s="76">
        <f>SUMIFS('август 2025'!$G$2:$G$2407,'август 2025'!$D$2:$D$2407,$B111,'август 2025'!$J$2:$J$2407,E$1)</f>
        <v>0</v>
      </c>
      <c r="F111" s="76">
        <f>SUMIFS('август 2025'!$G$2:$G$2407,'август 2025'!$D$2:$D$2407,$B111,'август 2025'!$J$2:$J$2407,F$1)</f>
        <v>0</v>
      </c>
      <c r="G111" s="76">
        <f>SUMIFS('август 2025'!$G$2:$G$2407,'август 2025'!$D$2:$D$2407,$B111,'август 2025'!$J$2:$J$2407,G$1)</f>
        <v>0</v>
      </c>
      <c r="H111" s="76">
        <f>SUMIFS('август 2025'!$G$2:$G$2407,'август 2025'!$D$2:$D$2407,$B111,'август 2025'!$J$2:$J$2407,H$1)</f>
        <v>0</v>
      </c>
      <c r="I111" s="76">
        <f>SUMIFS('август 2025'!$G$2:$G$2407,'август 2025'!$D$2:$D$2407,$B111,'август 2025'!$J$2:$J$2407,I$1)</f>
        <v>0</v>
      </c>
      <c r="J111" s="76">
        <f>SUMIFS('август 2025'!$G$2:$G$2407,'август 2025'!$D$2:$D$2407,$B111,'август 2025'!$J$2:$J$2407,J$1)</f>
        <v>0</v>
      </c>
      <c r="K111" s="76">
        <f>SUMIFS('август 2025'!$G$2:$G$2407,'август 2025'!$D$2:$D$2407,$B111,'август 2025'!$J$2:$J$2407,K$1)</f>
        <v>0</v>
      </c>
      <c r="L111" s="76">
        <f>SUMIFS('август 2025'!$G$2:$G$2407,'август 2025'!$D$2:$D$2407,$B111,'август 2025'!$J$2:$J$2407,L$1)</f>
        <v>0</v>
      </c>
      <c r="M111" s="76">
        <f>SUMIFS('август 2025'!$G$2:$G$2407,'август 2025'!$D$2:$D$2407,$B111,'август 2025'!$J$2:$J$2407,M$1)</f>
        <v>0</v>
      </c>
      <c r="N111" s="76">
        <f>SUMIFS('август 2025'!$G$2:$G$2407,'август 2025'!$D$2:$D$2407,$B111,'август 2025'!$J$2:$J$2407,N$1)</f>
        <v>0</v>
      </c>
      <c r="O111" s="76">
        <f>SUMIFS('август 2025'!$G$2:$G$2407,'август 2025'!$D$2:$D$2407,$B111,'август 2025'!$J$2:$J$2407,O$1)</f>
        <v>0</v>
      </c>
      <c r="P111" s="76">
        <f>SUMIFS('август 2025'!$G$2:$G$2407,'август 2025'!$D$2:$D$2407,$B111,'август 2025'!$J$2:$J$2407,P$1)</f>
        <v>0</v>
      </c>
      <c r="Q111" s="76">
        <f>SUMIFS('август 2025'!$G$2:$G$2407,'август 2025'!$D$2:$D$2407,$B111,'август 2025'!$J$2:$J$2407,Q$1)</f>
        <v>0</v>
      </c>
      <c r="R111" s="76">
        <f>SUMIFS('август 2025'!$G$2:$G$2407,'август 2025'!$D$2:$D$2407,$B111,'август 2025'!$J$2:$J$2407,R$1)</f>
        <v>0</v>
      </c>
      <c r="S111" s="76">
        <f>SUMIFS('август 2025'!$G$2:$G$2407,'август 2025'!$D$2:$D$2407,$B111,'август 2025'!$J$2:$J$2407,S$1)</f>
        <v>0</v>
      </c>
      <c r="T111" s="76">
        <f>SUMIFS('август 2025'!$G$2:$G$2407,'август 2025'!$D$2:$D$2407,$B111,'август 2025'!$J$2:$J$2407,T$1)</f>
        <v>0</v>
      </c>
      <c r="U111" s="76">
        <f>SUMIFS('август 2025'!$G$2:$G$2407,'август 2025'!$D$2:$D$2407,$B111,'август 2025'!$J$2:$J$2407,U$1)</f>
        <v>0</v>
      </c>
      <c r="V111" s="76">
        <f>SUMIFS('август 2025'!$G$2:$G$2407,'август 2025'!$D$2:$D$2407,$B111,'август 2025'!$J$2:$J$2407,V$1)</f>
        <v>0</v>
      </c>
      <c r="W111" s="76">
        <f>SUMIFS('август 2025'!$G$2:$G$2407,'август 2025'!$D$2:$D$2407,$B111,'август 2025'!$J$2:$J$2407,W$1)</f>
        <v>0</v>
      </c>
      <c r="X111" s="76">
        <f>SUMIFS('август 2025'!$G$2:$G$2407,'август 2025'!$D$2:$D$2407,$B111,'август 2025'!$J$2:$J$2407,X$1)</f>
        <v>0</v>
      </c>
      <c r="Y111" s="76">
        <f>SUMIFS('август 2025'!$G$2:$G$2407,'август 2025'!$D$2:$D$2407,$B111,'август 2025'!$J$2:$J$2407,Y$1)</f>
        <v>0</v>
      </c>
      <c r="Z111" s="76">
        <f>SUMIFS('август 2025'!$G$2:$G$2407,'август 2025'!$D$2:$D$2407,$B111,'август 2025'!$J$2:$J$2407,Z$1)</f>
        <v>0</v>
      </c>
      <c r="AA111" s="76">
        <f>SUMIFS('август 2025'!$G$2:$G$2407,'август 2025'!$D$2:$D$2407,$B111,'август 2025'!$J$2:$J$2407,AA$1)</f>
        <v>0</v>
      </c>
      <c r="AB111" s="76">
        <f>SUMIFS('август 2025'!$G$2:$G$2407,'август 2025'!$D$2:$D$2407,$B111,'август 2025'!$J$2:$J$2407,AB$1)</f>
        <v>0</v>
      </c>
      <c r="AC111" s="76">
        <f>SUMIFS('август 2025'!$G$2:$G$2407,'август 2025'!$D$2:$D$2407,$B111,'август 2025'!$J$2:$J$2407,AC$1)</f>
        <v>0</v>
      </c>
      <c r="AD111" s="76">
        <f>SUMIFS('август 2025'!$G$2:$G$2407,'август 2025'!$D$2:$D$2407,$B111,'август 2025'!$J$2:$J$2407,AD$1)</f>
        <v>0</v>
      </c>
      <c r="AE111" s="76">
        <f>SUMIFS('август 2025'!$G$2:$G$2407,'август 2025'!$D$2:$D$2407,$B111,'август 2025'!$J$2:$J$2407,AE$1)</f>
        <v>0</v>
      </c>
      <c r="AF111" s="76">
        <f>SUMIFS('август 2025'!$G$2:$G$2407,'август 2025'!$D$2:$D$2407,$B111,'август 2025'!$J$2:$J$2407,AF$1)</f>
        <v>0</v>
      </c>
      <c r="AG111" s="76">
        <f>SUMIFS('август 2025'!$G$2:$G$2407,'август 2025'!$D$2:$D$2407,$B111,'август 2025'!$J$2:$J$2407,AG$1)</f>
        <v>0</v>
      </c>
      <c r="AH111" s="76">
        <f>SUMIFS('август 2025'!$G$2:$G$2407,'август 2025'!$D$2:$D$2407,$B111,'август 2025'!$J$2:$J$2407,AH$1)</f>
        <v>0</v>
      </c>
      <c r="AI111" s="20">
        <f t="shared" si="1"/>
        <v>0</v>
      </c>
    </row>
    <row r="112" spans="2:35" ht="15" customHeight="1" x14ac:dyDescent="0.25">
      <c r="B112" s="84" t="s">
        <v>170</v>
      </c>
      <c r="C112" s="86">
        <v>200</v>
      </c>
      <c r="D112" s="76">
        <f>SUMIFS('август 2025'!$G$2:$G$2407,'август 2025'!$D$2:$D$2407,$B112,'август 2025'!$J$2:$J$2407,D$1)</f>
        <v>0</v>
      </c>
      <c r="E112" s="76">
        <f>SUMIFS('август 2025'!$G$2:$G$2407,'август 2025'!$D$2:$D$2407,$B112,'август 2025'!$J$2:$J$2407,E$1)</f>
        <v>0</v>
      </c>
      <c r="F112" s="76">
        <f>SUMIFS('август 2025'!$G$2:$G$2407,'август 2025'!$D$2:$D$2407,$B112,'август 2025'!$J$2:$J$2407,F$1)</f>
        <v>0</v>
      </c>
      <c r="G112" s="76">
        <f>SUMIFS('август 2025'!$G$2:$G$2407,'август 2025'!$D$2:$D$2407,$B112,'август 2025'!$J$2:$J$2407,G$1)</f>
        <v>0</v>
      </c>
      <c r="H112" s="76">
        <f>SUMIFS('август 2025'!$G$2:$G$2407,'август 2025'!$D$2:$D$2407,$B112,'август 2025'!$J$2:$J$2407,H$1)</f>
        <v>0</v>
      </c>
      <c r="I112" s="76">
        <f>SUMIFS('август 2025'!$G$2:$G$2407,'август 2025'!$D$2:$D$2407,$B112,'август 2025'!$J$2:$J$2407,I$1)</f>
        <v>0</v>
      </c>
      <c r="J112" s="76">
        <f>SUMIFS('август 2025'!$G$2:$G$2407,'август 2025'!$D$2:$D$2407,$B112,'август 2025'!$J$2:$J$2407,J$1)</f>
        <v>0</v>
      </c>
      <c r="K112" s="76">
        <f>SUMIFS('август 2025'!$G$2:$G$2407,'август 2025'!$D$2:$D$2407,$B112,'август 2025'!$J$2:$J$2407,K$1)</f>
        <v>0</v>
      </c>
      <c r="L112" s="76">
        <f>SUMIFS('август 2025'!$G$2:$G$2407,'август 2025'!$D$2:$D$2407,$B112,'август 2025'!$J$2:$J$2407,L$1)</f>
        <v>0</v>
      </c>
      <c r="M112" s="76">
        <f>SUMIFS('август 2025'!$G$2:$G$2407,'август 2025'!$D$2:$D$2407,$B112,'август 2025'!$J$2:$J$2407,M$1)</f>
        <v>0</v>
      </c>
      <c r="N112" s="76">
        <f>SUMIFS('август 2025'!$G$2:$G$2407,'август 2025'!$D$2:$D$2407,$B112,'август 2025'!$J$2:$J$2407,N$1)</f>
        <v>0</v>
      </c>
      <c r="O112" s="76">
        <f>SUMIFS('август 2025'!$G$2:$G$2407,'август 2025'!$D$2:$D$2407,$B112,'август 2025'!$J$2:$J$2407,O$1)</f>
        <v>0</v>
      </c>
      <c r="P112" s="76">
        <f>SUMIFS('август 2025'!$G$2:$G$2407,'август 2025'!$D$2:$D$2407,$B112,'август 2025'!$J$2:$J$2407,P$1)</f>
        <v>0</v>
      </c>
      <c r="Q112" s="76">
        <f>SUMIFS('август 2025'!$G$2:$G$2407,'август 2025'!$D$2:$D$2407,$B112,'август 2025'!$J$2:$J$2407,Q$1)</f>
        <v>0</v>
      </c>
      <c r="R112" s="76">
        <f>SUMIFS('август 2025'!$G$2:$G$2407,'август 2025'!$D$2:$D$2407,$B112,'август 2025'!$J$2:$J$2407,R$1)</f>
        <v>0</v>
      </c>
      <c r="S112" s="76">
        <f>SUMIFS('август 2025'!$G$2:$G$2407,'август 2025'!$D$2:$D$2407,$B112,'август 2025'!$J$2:$J$2407,S$1)</f>
        <v>0</v>
      </c>
      <c r="T112" s="76">
        <f>SUMIFS('август 2025'!$G$2:$G$2407,'август 2025'!$D$2:$D$2407,$B112,'август 2025'!$J$2:$J$2407,T$1)</f>
        <v>0</v>
      </c>
      <c r="U112" s="76">
        <f>SUMIFS('август 2025'!$G$2:$G$2407,'август 2025'!$D$2:$D$2407,$B112,'август 2025'!$J$2:$J$2407,U$1)</f>
        <v>0</v>
      </c>
      <c r="V112" s="76">
        <f>SUMIFS('август 2025'!$G$2:$G$2407,'август 2025'!$D$2:$D$2407,$B112,'август 2025'!$J$2:$J$2407,V$1)</f>
        <v>0</v>
      </c>
      <c r="W112" s="76">
        <f>SUMIFS('август 2025'!$G$2:$G$2407,'август 2025'!$D$2:$D$2407,$B112,'август 2025'!$J$2:$J$2407,W$1)</f>
        <v>0</v>
      </c>
      <c r="X112" s="76">
        <f>SUMIFS('август 2025'!$G$2:$G$2407,'август 2025'!$D$2:$D$2407,$B112,'август 2025'!$J$2:$J$2407,X$1)</f>
        <v>0</v>
      </c>
      <c r="Y112" s="76">
        <f>SUMIFS('август 2025'!$G$2:$G$2407,'август 2025'!$D$2:$D$2407,$B112,'август 2025'!$J$2:$J$2407,Y$1)</f>
        <v>0</v>
      </c>
      <c r="Z112" s="76">
        <f>SUMIFS('август 2025'!$G$2:$G$2407,'август 2025'!$D$2:$D$2407,$B112,'август 2025'!$J$2:$J$2407,Z$1)</f>
        <v>0</v>
      </c>
      <c r="AA112" s="76">
        <f>SUMIFS('август 2025'!$G$2:$G$2407,'август 2025'!$D$2:$D$2407,$B112,'август 2025'!$J$2:$J$2407,AA$1)</f>
        <v>0</v>
      </c>
      <c r="AB112" s="76">
        <f>SUMIFS('август 2025'!$G$2:$G$2407,'август 2025'!$D$2:$D$2407,$B112,'август 2025'!$J$2:$J$2407,AB$1)</f>
        <v>0</v>
      </c>
      <c r="AC112" s="76">
        <f>SUMIFS('август 2025'!$G$2:$G$2407,'август 2025'!$D$2:$D$2407,$B112,'август 2025'!$J$2:$J$2407,AC$1)</f>
        <v>0</v>
      </c>
      <c r="AD112" s="76">
        <f>SUMIFS('август 2025'!$G$2:$G$2407,'август 2025'!$D$2:$D$2407,$B112,'август 2025'!$J$2:$J$2407,AD$1)</f>
        <v>0</v>
      </c>
      <c r="AE112" s="76">
        <f>SUMIFS('август 2025'!$G$2:$G$2407,'август 2025'!$D$2:$D$2407,$B112,'август 2025'!$J$2:$J$2407,AE$1)</f>
        <v>0</v>
      </c>
      <c r="AF112" s="76">
        <f>SUMIFS('август 2025'!$G$2:$G$2407,'август 2025'!$D$2:$D$2407,$B112,'август 2025'!$J$2:$J$2407,AF$1)</f>
        <v>0</v>
      </c>
      <c r="AG112" s="76">
        <f>SUMIFS('август 2025'!$G$2:$G$2407,'август 2025'!$D$2:$D$2407,$B112,'август 2025'!$J$2:$J$2407,AG$1)</f>
        <v>0</v>
      </c>
      <c r="AH112" s="76">
        <f>SUMIFS('август 2025'!$G$2:$G$2407,'август 2025'!$D$2:$D$2407,$B112,'август 2025'!$J$2:$J$2407,AH$1)</f>
        <v>0</v>
      </c>
      <c r="AI112" s="20">
        <f t="shared" si="1"/>
        <v>0</v>
      </c>
    </row>
    <row r="113" spans="2:35" ht="15" customHeight="1" x14ac:dyDescent="0.25">
      <c r="B113" s="84" t="s">
        <v>195</v>
      </c>
      <c r="C113" s="83">
        <v>185</v>
      </c>
      <c r="D113" s="76">
        <f>SUMIFS('август 2025'!$G$2:$G$2407,'август 2025'!$D$2:$D$2407,$B113,'август 2025'!$J$2:$J$2407,D$1)</f>
        <v>0</v>
      </c>
      <c r="E113" s="76">
        <f>SUMIFS('август 2025'!$G$2:$G$2407,'август 2025'!$D$2:$D$2407,$B113,'август 2025'!$J$2:$J$2407,E$1)</f>
        <v>0</v>
      </c>
      <c r="F113" s="76">
        <f>SUMIFS('август 2025'!$G$2:$G$2407,'август 2025'!$D$2:$D$2407,$B113,'август 2025'!$J$2:$J$2407,F$1)</f>
        <v>0</v>
      </c>
      <c r="G113" s="76">
        <f>SUMIFS('август 2025'!$G$2:$G$2407,'август 2025'!$D$2:$D$2407,$B113,'август 2025'!$J$2:$J$2407,G$1)</f>
        <v>0</v>
      </c>
      <c r="H113" s="76">
        <f>SUMIFS('август 2025'!$G$2:$G$2407,'август 2025'!$D$2:$D$2407,$B113,'август 2025'!$J$2:$J$2407,H$1)</f>
        <v>0</v>
      </c>
      <c r="I113" s="76">
        <f>SUMIFS('август 2025'!$G$2:$G$2407,'август 2025'!$D$2:$D$2407,$B113,'август 2025'!$J$2:$J$2407,I$1)</f>
        <v>0</v>
      </c>
      <c r="J113" s="76">
        <f>SUMIFS('август 2025'!$G$2:$G$2407,'август 2025'!$D$2:$D$2407,$B113,'август 2025'!$J$2:$J$2407,J$1)</f>
        <v>0</v>
      </c>
      <c r="K113" s="76">
        <f>SUMIFS('август 2025'!$G$2:$G$2407,'август 2025'!$D$2:$D$2407,$B113,'август 2025'!$J$2:$J$2407,K$1)</f>
        <v>0</v>
      </c>
      <c r="L113" s="76">
        <f>SUMIFS('август 2025'!$G$2:$G$2407,'август 2025'!$D$2:$D$2407,$B113,'август 2025'!$J$2:$J$2407,L$1)</f>
        <v>0</v>
      </c>
      <c r="M113" s="76">
        <f>SUMIFS('август 2025'!$G$2:$G$2407,'август 2025'!$D$2:$D$2407,$B113,'август 2025'!$J$2:$J$2407,M$1)</f>
        <v>0</v>
      </c>
      <c r="N113" s="76">
        <f>SUMIFS('август 2025'!$G$2:$G$2407,'август 2025'!$D$2:$D$2407,$B113,'август 2025'!$J$2:$J$2407,N$1)</f>
        <v>0</v>
      </c>
      <c r="O113" s="76">
        <f>SUMIFS('август 2025'!$G$2:$G$2407,'август 2025'!$D$2:$D$2407,$B113,'август 2025'!$J$2:$J$2407,O$1)</f>
        <v>0</v>
      </c>
      <c r="P113" s="76">
        <f>SUMIFS('август 2025'!$G$2:$G$2407,'август 2025'!$D$2:$D$2407,$B113,'август 2025'!$J$2:$J$2407,P$1)</f>
        <v>0</v>
      </c>
      <c r="Q113" s="76">
        <f>SUMIFS('август 2025'!$G$2:$G$2407,'август 2025'!$D$2:$D$2407,$B113,'август 2025'!$J$2:$J$2407,Q$1)</f>
        <v>0</v>
      </c>
      <c r="R113" s="76">
        <f>SUMIFS('август 2025'!$G$2:$G$2407,'август 2025'!$D$2:$D$2407,$B113,'август 2025'!$J$2:$J$2407,R$1)</f>
        <v>0</v>
      </c>
      <c r="S113" s="76">
        <f>SUMIFS('август 2025'!$G$2:$G$2407,'август 2025'!$D$2:$D$2407,$B113,'август 2025'!$J$2:$J$2407,S$1)</f>
        <v>0</v>
      </c>
      <c r="T113" s="76">
        <f>SUMIFS('август 2025'!$G$2:$G$2407,'август 2025'!$D$2:$D$2407,$B113,'август 2025'!$J$2:$J$2407,T$1)</f>
        <v>0</v>
      </c>
      <c r="U113" s="76">
        <f>SUMIFS('август 2025'!$G$2:$G$2407,'август 2025'!$D$2:$D$2407,$B113,'август 2025'!$J$2:$J$2407,U$1)</f>
        <v>0</v>
      </c>
      <c r="V113" s="76">
        <f>SUMIFS('август 2025'!$G$2:$G$2407,'август 2025'!$D$2:$D$2407,$B113,'август 2025'!$J$2:$J$2407,V$1)</f>
        <v>0</v>
      </c>
      <c r="W113" s="76">
        <f>SUMIFS('август 2025'!$G$2:$G$2407,'август 2025'!$D$2:$D$2407,$B113,'август 2025'!$J$2:$J$2407,W$1)</f>
        <v>0</v>
      </c>
      <c r="X113" s="76">
        <f>SUMIFS('август 2025'!$G$2:$G$2407,'август 2025'!$D$2:$D$2407,$B113,'август 2025'!$J$2:$J$2407,X$1)</f>
        <v>0</v>
      </c>
      <c r="Y113" s="76">
        <f>SUMIFS('август 2025'!$G$2:$G$2407,'август 2025'!$D$2:$D$2407,$B113,'август 2025'!$J$2:$J$2407,Y$1)</f>
        <v>0</v>
      </c>
      <c r="Z113" s="76">
        <f>SUMIFS('август 2025'!$G$2:$G$2407,'август 2025'!$D$2:$D$2407,$B113,'август 2025'!$J$2:$J$2407,Z$1)</f>
        <v>0</v>
      </c>
      <c r="AA113" s="76">
        <f>SUMIFS('август 2025'!$G$2:$G$2407,'август 2025'!$D$2:$D$2407,$B113,'август 2025'!$J$2:$J$2407,AA$1)</f>
        <v>0</v>
      </c>
      <c r="AB113" s="76">
        <f>SUMIFS('август 2025'!$G$2:$G$2407,'август 2025'!$D$2:$D$2407,$B113,'август 2025'!$J$2:$J$2407,AB$1)</f>
        <v>0</v>
      </c>
      <c r="AC113" s="76">
        <f>SUMIFS('август 2025'!$G$2:$G$2407,'август 2025'!$D$2:$D$2407,$B113,'август 2025'!$J$2:$J$2407,AC$1)</f>
        <v>0</v>
      </c>
      <c r="AD113" s="76">
        <f>SUMIFS('август 2025'!$G$2:$G$2407,'август 2025'!$D$2:$D$2407,$B113,'август 2025'!$J$2:$J$2407,AD$1)</f>
        <v>0</v>
      </c>
      <c r="AE113" s="76">
        <f>SUMIFS('август 2025'!$G$2:$G$2407,'август 2025'!$D$2:$D$2407,$B113,'август 2025'!$J$2:$J$2407,AE$1)</f>
        <v>0</v>
      </c>
      <c r="AF113" s="76">
        <f>SUMIFS('август 2025'!$G$2:$G$2407,'август 2025'!$D$2:$D$2407,$B113,'август 2025'!$J$2:$J$2407,AF$1)</f>
        <v>0</v>
      </c>
      <c r="AG113" s="76">
        <f>SUMIFS('август 2025'!$G$2:$G$2407,'август 2025'!$D$2:$D$2407,$B113,'август 2025'!$J$2:$J$2407,AG$1)</f>
        <v>0</v>
      </c>
      <c r="AH113" s="76">
        <f>SUMIFS('август 2025'!$G$2:$G$2407,'август 2025'!$D$2:$D$2407,$B113,'август 2025'!$J$2:$J$2407,AH$1)</f>
        <v>0</v>
      </c>
      <c r="AI113" s="20">
        <f t="shared" si="1"/>
        <v>0</v>
      </c>
    </row>
    <row r="114" spans="2:35" ht="15" customHeight="1" x14ac:dyDescent="0.25">
      <c r="B114" s="84" t="s">
        <v>196</v>
      </c>
      <c r="C114" s="83">
        <v>185</v>
      </c>
      <c r="D114" s="76">
        <f>SUMIFS('август 2025'!$G$2:$G$2407,'август 2025'!$D$2:$D$2407,$B114,'август 2025'!$J$2:$J$2407,D$1)</f>
        <v>0</v>
      </c>
      <c r="E114" s="76">
        <f>SUMIFS('август 2025'!$G$2:$G$2407,'август 2025'!$D$2:$D$2407,$B114,'август 2025'!$J$2:$J$2407,E$1)</f>
        <v>0</v>
      </c>
      <c r="F114" s="76">
        <f>SUMIFS('август 2025'!$G$2:$G$2407,'август 2025'!$D$2:$D$2407,$B114,'август 2025'!$J$2:$J$2407,F$1)</f>
        <v>0</v>
      </c>
      <c r="G114" s="76">
        <f>SUMIFS('август 2025'!$G$2:$G$2407,'август 2025'!$D$2:$D$2407,$B114,'август 2025'!$J$2:$J$2407,G$1)</f>
        <v>0</v>
      </c>
      <c r="H114" s="76">
        <f>SUMIFS('август 2025'!$G$2:$G$2407,'август 2025'!$D$2:$D$2407,$B114,'август 2025'!$J$2:$J$2407,H$1)</f>
        <v>0</v>
      </c>
      <c r="I114" s="76">
        <f>SUMIFS('август 2025'!$G$2:$G$2407,'август 2025'!$D$2:$D$2407,$B114,'август 2025'!$J$2:$J$2407,I$1)</f>
        <v>0</v>
      </c>
      <c r="J114" s="76">
        <f>SUMIFS('август 2025'!$G$2:$G$2407,'август 2025'!$D$2:$D$2407,$B114,'август 2025'!$J$2:$J$2407,J$1)</f>
        <v>0</v>
      </c>
      <c r="K114" s="76">
        <f>SUMIFS('август 2025'!$G$2:$G$2407,'август 2025'!$D$2:$D$2407,$B114,'август 2025'!$J$2:$J$2407,K$1)</f>
        <v>0</v>
      </c>
      <c r="L114" s="76">
        <f>SUMIFS('август 2025'!$G$2:$G$2407,'август 2025'!$D$2:$D$2407,$B114,'август 2025'!$J$2:$J$2407,L$1)</f>
        <v>0</v>
      </c>
      <c r="M114" s="76">
        <f>SUMIFS('август 2025'!$G$2:$G$2407,'август 2025'!$D$2:$D$2407,$B114,'август 2025'!$J$2:$J$2407,M$1)</f>
        <v>0</v>
      </c>
      <c r="N114" s="76">
        <f>SUMIFS('август 2025'!$G$2:$G$2407,'август 2025'!$D$2:$D$2407,$B114,'август 2025'!$J$2:$J$2407,N$1)</f>
        <v>0</v>
      </c>
      <c r="O114" s="76">
        <f>SUMIFS('август 2025'!$G$2:$G$2407,'август 2025'!$D$2:$D$2407,$B114,'август 2025'!$J$2:$J$2407,O$1)</f>
        <v>0</v>
      </c>
      <c r="P114" s="76">
        <f>SUMIFS('август 2025'!$G$2:$G$2407,'август 2025'!$D$2:$D$2407,$B114,'август 2025'!$J$2:$J$2407,P$1)</f>
        <v>0</v>
      </c>
      <c r="Q114" s="76">
        <f>SUMIFS('август 2025'!$G$2:$G$2407,'август 2025'!$D$2:$D$2407,$B114,'август 2025'!$J$2:$J$2407,Q$1)</f>
        <v>0</v>
      </c>
      <c r="R114" s="76">
        <f>SUMIFS('август 2025'!$G$2:$G$2407,'август 2025'!$D$2:$D$2407,$B114,'август 2025'!$J$2:$J$2407,R$1)</f>
        <v>0</v>
      </c>
      <c r="S114" s="76">
        <f>SUMIFS('август 2025'!$G$2:$G$2407,'август 2025'!$D$2:$D$2407,$B114,'август 2025'!$J$2:$J$2407,S$1)</f>
        <v>0</v>
      </c>
      <c r="T114" s="76">
        <f>SUMIFS('август 2025'!$G$2:$G$2407,'август 2025'!$D$2:$D$2407,$B114,'август 2025'!$J$2:$J$2407,T$1)</f>
        <v>0</v>
      </c>
      <c r="U114" s="76">
        <f>SUMIFS('август 2025'!$G$2:$G$2407,'август 2025'!$D$2:$D$2407,$B114,'август 2025'!$J$2:$J$2407,U$1)</f>
        <v>0</v>
      </c>
      <c r="V114" s="76">
        <f>SUMIFS('август 2025'!$G$2:$G$2407,'август 2025'!$D$2:$D$2407,$B114,'август 2025'!$J$2:$J$2407,V$1)</f>
        <v>0</v>
      </c>
      <c r="W114" s="76">
        <f>SUMIFS('август 2025'!$G$2:$G$2407,'август 2025'!$D$2:$D$2407,$B114,'август 2025'!$J$2:$J$2407,W$1)</f>
        <v>0</v>
      </c>
      <c r="X114" s="76">
        <f>SUMIFS('август 2025'!$G$2:$G$2407,'август 2025'!$D$2:$D$2407,$B114,'август 2025'!$J$2:$J$2407,X$1)</f>
        <v>0</v>
      </c>
      <c r="Y114" s="76">
        <f>SUMIFS('август 2025'!$G$2:$G$2407,'август 2025'!$D$2:$D$2407,$B114,'август 2025'!$J$2:$J$2407,Y$1)</f>
        <v>0</v>
      </c>
      <c r="Z114" s="76">
        <f>SUMIFS('август 2025'!$G$2:$G$2407,'август 2025'!$D$2:$D$2407,$B114,'август 2025'!$J$2:$J$2407,Z$1)</f>
        <v>0</v>
      </c>
      <c r="AA114" s="76">
        <f>SUMIFS('август 2025'!$G$2:$G$2407,'август 2025'!$D$2:$D$2407,$B114,'август 2025'!$J$2:$J$2407,AA$1)</f>
        <v>0</v>
      </c>
      <c r="AB114" s="76">
        <f>SUMIFS('август 2025'!$G$2:$G$2407,'август 2025'!$D$2:$D$2407,$B114,'август 2025'!$J$2:$J$2407,AB$1)</f>
        <v>0</v>
      </c>
      <c r="AC114" s="76">
        <f>SUMIFS('август 2025'!$G$2:$G$2407,'август 2025'!$D$2:$D$2407,$B114,'август 2025'!$J$2:$J$2407,AC$1)</f>
        <v>0</v>
      </c>
      <c r="AD114" s="76">
        <f>SUMIFS('август 2025'!$G$2:$G$2407,'август 2025'!$D$2:$D$2407,$B114,'август 2025'!$J$2:$J$2407,AD$1)</f>
        <v>0</v>
      </c>
      <c r="AE114" s="76">
        <f>SUMIFS('август 2025'!$G$2:$G$2407,'август 2025'!$D$2:$D$2407,$B114,'август 2025'!$J$2:$J$2407,AE$1)</f>
        <v>0</v>
      </c>
      <c r="AF114" s="76">
        <f>SUMIFS('август 2025'!$G$2:$G$2407,'август 2025'!$D$2:$D$2407,$B114,'август 2025'!$J$2:$J$2407,AF$1)</f>
        <v>0</v>
      </c>
      <c r="AG114" s="76">
        <f>SUMIFS('август 2025'!$G$2:$G$2407,'август 2025'!$D$2:$D$2407,$B114,'август 2025'!$J$2:$J$2407,AG$1)</f>
        <v>0</v>
      </c>
      <c r="AH114" s="76">
        <f>SUMIFS('август 2025'!$G$2:$G$2407,'август 2025'!$D$2:$D$2407,$B114,'август 2025'!$J$2:$J$2407,AH$1)</f>
        <v>0</v>
      </c>
      <c r="AI114" s="20">
        <f t="shared" si="1"/>
        <v>0</v>
      </c>
    </row>
    <row r="115" spans="2:35" ht="15" customHeight="1" x14ac:dyDescent="0.25">
      <c r="B115" s="84" t="s">
        <v>260</v>
      </c>
      <c r="C115" s="83">
        <v>180</v>
      </c>
      <c r="D115" s="76">
        <f>SUMIFS('август 2025'!$G$2:$G$2407,'август 2025'!$D$2:$D$2407,$B115,'август 2025'!$J$2:$J$2407,D$1)</f>
        <v>0</v>
      </c>
      <c r="E115" s="76">
        <f>SUMIFS('август 2025'!$G$2:$G$2407,'август 2025'!$D$2:$D$2407,$B115,'август 2025'!$J$2:$J$2407,E$1)</f>
        <v>0</v>
      </c>
      <c r="F115" s="76">
        <f>SUMIFS('август 2025'!$G$2:$G$2407,'август 2025'!$D$2:$D$2407,$B115,'август 2025'!$J$2:$J$2407,F$1)</f>
        <v>0</v>
      </c>
      <c r="G115" s="76">
        <f>SUMIFS('август 2025'!$G$2:$G$2407,'август 2025'!$D$2:$D$2407,$B115,'август 2025'!$J$2:$J$2407,G$1)</f>
        <v>0</v>
      </c>
      <c r="H115" s="76">
        <f>SUMIFS('август 2025'!$G$2:$G$2407,'август 2025'!$D$2:$D$2407,$B115,'август 2025'!$J$2:$J$2407,H$1)</f>
        <v>0</v>
      </c>
      <c r="I115" s="76">
        <f>SUMIFS('август 2025'!$G$2:$G$2407,'август 2025'!$D$2:$D$2407,$B115,'август 2025'!$J$2:$J$2407,I$1)</f>
        <v>0</v>
      </c>
      <c r="J115" s="76">
        <f>SUMIFS('август 2025'!$G$2:$G$2407,'август 2025'!$D$2:$D$2407,$B115,'август 2025'!$J$2:$J$2407,J$1)</f>
        <v>0</v>
      </c>
      <c r="K115" s="76">
        <f>SUMIFS('август 2025'!$G$2:$G$2407,'август 2025'!$D$2:$D$2407,$B115,'август 2025'!$J$2:$J$2407,K$1)</f>
        <v>0</v>
      </c>
      <c r="L115" s="76">
        <f>SUMIFS('август 2025'!$G$2:$G$2407,'август 2025'!$D$2:$D$2407,$B115,'август 2025'!$J$2:$J$2407,L$1)</f>
        <v>0</v>
      </c>
      <c r="M115" s="76">
        <f>SUMIFS('август 2025'!$G$2:$G$2407,'август 2025'!$D$2:$D$2407,$B115,'август 2025'!$J$2:$J$2407,M$1)</f>
        <v>0</v>
      </c>
      <c r="N115" s="76">
        <f>SUMIFS('август 2025'!$G$2:$G$2407,'август 2025'!$D$2:$D$2407,$B115,'август 2025'!$J$2:$J$2407,N$1)</f>
        <v>0</v>
      </c>
      <c r="O115" s="76">
        <f>SUMIFS('август 2025'!$G$2:$G$2407,'август 2025'!$D$2:$D$2407,$B115,'август 2025'!$J$2:$J$2407,O$1)</f>
        <v>0</v>
      </c>
      <c r="P115" s="76">
        <f>SUMIFS('август 2025'!$G$2:$G$2407,'август 2025'!$D$2:$D$2407,$B115,'август 2025'!$J$2:$J$2407,P$1)</f>
        <v>0</v>
      </c>
      <c r="Q115" s="76">
        <f>SUMIFS('август 2025'!$G$2:$G$2407,'август 2025'!$D$2:$D$2407,$B115,'август 2025'!$J$2:$J$2407,Q$1)</f>
        <v>0</v>
      </c>
      <c r="R115" s="76">
        <f>SUMIFS('август 2025'!$G$2:$G$2407,'август 2025'!$D$2:$D$2407,$B115,'август 2025'!$J$2:$J$2407,R$1)</f>
        <v>0</v>
      </c>
      <c r="S115" s="76">
        <f>SUMIFS('август 2025'!$G$2:$G$2407,'август 2025'!$D$2:$D$2407,$B115,'август 2025'!$J$2:$J$2407,S$1)</f>
        <v>0</v>
      </c>
      <c r="T115" s="76">
        <f>SUMIFS('август 2025'!$G$2:$G$2407,'август 2025'!$D$2:$D$2407,$B115,'август 2025'!$J$2:$J$2407,T$1)</f>
        <v>0</v>
      </c>
      <c r="U115" s="76">
        <f>SUMIFS('август 2025'!$G$2:$G$2407,'август 2025'!$D$2:$D$2407,$B115,'август 2025'!$J$2:$J$2407,U$1)</f>
        <v>0</v>
      </c>
      <c r="V115" s="76">
        <f>SUMIFS('август 2025'!$G$2:$G$2407,'август 2025'!$D$2:$D$2407,$B115,'август 2025'!$J$2:$J$2407,V$1)</f>
        <v>0</v>
      </c>
      <c r="W115" s="76">
        <f>SUMIFS('август 2025'!$G$2:$G$2407,'август 2025'!$D$2:$D$2407,$B115,'август 2025'!$J$2:$J$2407,W$1)</f>
        <v>0</v>
      </c>
      <c r="X115" s="76">
        <f>SUMIFS('август 2025'!$G$2:$G$2407,'август 2025'!$D$2:$D$2407,$B115,'август 2025'!$J$2:$J$2407,X$1)</f>
        <v>0</v>
      </c>
      <c r="Y115" s="76">
        <f>SUMIFS('август 2025'!$G$2:$G$2407,'август 2025'!$D$2:$D$2407,$B115,'август 2025'!$J$2:$J$2407,Y$1)</f>
        <v>0</v>
      </c>
      <c r="Z115" s="76">
        <f>SUMIFS('август 2025'!$G$2:$G$2407,'август 2025'!$D$2:$D$2407,$B115,'август 2025'!$J$2:$J$2407,Z$1)</f>
        <v>0</v>
      </c>
      <c r="AA115" s="76">
        <f>SUMIFS('август 2025'!$G$2:$G$2407,'август 2025'!$D$2:$D$2407,$B115,'август 2025'!$J$2:$J$2407,AA$1)</f>
        <v>0</v>
      </c>
      <c r="AB115" s="76">
        <f>SUMIFS('август 2025'!$G$2:$G$2407,'август 2025'!$D$2:$D$2407,$B115,'август 2025'!$J$2:$J$2407,AB$1)</f>
        <v>0</v>
      </c>
      <c r="AC115" s="76">
        <f>SUMIFS('август 2025'!$G$2:$G$2407,'август 2025'!$D$2:$D$2407,$B115,'август 2025'!$J$2:$J$2407,AC$1)</f>
        <v>0</v>
      </c>
      <c r="AD115" s="76">
        <f>SUMIFS('август 2025'!$G$2:$G$2407,'август 2025'!$D$2:$D$2407,$B115,'август 2025'!$J$2:$J$2407,AD$1)</f>
        <v>0</v>
      </c>
      <c r="AE115" s="76">
        <f>SUMIFS('август 2025'!$G$2:$G$2407,'август 2025'!$D$2:$D$2407,$B115,'август 2025'!$J$2:$J$2407,AE$1)</f>
        <v>0</v>
      </c>
      <c r="AF115" s="76">
        <f>SUMIFS('август 2025'!$G$2:$G$2407,'август 2025'!$D$2:$D$2407,$B115,'август 2025'!$J$2:$J$2407,AF$1)</f>
        <v>0</v>
      </c>
      <c r="AG115" s="76">
        <f>SUMIFS('август 2025'!$G$2:$G$2407,'август 2025'!$D$2:$D$2407,$B115,'август 2025'!$J$2:$J$2407,AG$1)</f>
        <v>0</v>
      </c>
      <c r="AH115" s="76">
        <f>SUMIFS('август 2025'!$G$2:$G$2407,'август 2025'!$D$2:$D$2407,$B115,'август 2025'!$J$2:$J$2407,AH$1)</f>
        <v>0</v>
      </c>
      <c r="AI115" s="20">
        <f t="shared" si="1"/>
        <v>0</v>
      </c>
    </row>
    <row r="116" spans="2:35" ht="15" customHeight="1" x14ac:dyDescent="0.25">
      <c r="B116" s="88" t="s">
        <v>261</v>
      </c>
      <c r="C116" s="86">
        <v>200</v>
      </c>
      <c r="D116" s="76">
        <f>SUMIFS('август 2025'!$G$2:$G$2407,'август 2025'!$D$2:$D$2407,$B116,'август 2025'!$J$2:$J$2407,D$1)</f>
        <v>0</v>
      </c>
      <c r="E116" s="76">
        <f>SUMIFS('август 2025'!$G$2:$G$2407,'август 2025'!$D$2:$D$2407,$B116,'август 2025'!$J$2:$J$2407,E$1)</f>
        <v>0</v>
      </c>
      <c r="F116" s="76">
        <f>SUMIFS('август 2025'!$G$2:$G$2407,'август 2025'!$D$2:$D$2407,$B116,'август 2025'!$J$2:$J$2407,F$1)</f>
        <v>0</v>
      </c>
      <c r="G116" s="76">
        <f>SUMIFS('август 2025'!$G$2:$G$2407,'август 2025'!$D$2:$D$2407,$B116,'август 2025'!$J$2:$J$2407,G$1)</f>
        <v>0</v>
      </c>
      <c r="H116" s="76">
        <f>SUMIFS('август 2025'!$G$2:$G$2407,'август 2025'!$D$2:$D$2407,$B116,'август 2025'!$J$2:$J$2407,H$1)</f>
        <v>0</v>
      </c>
      <c r="I116" s="76">
        <f>SUMIFS('август 2025'!$G$2:$G$2407,'август 2025'!$D$2:$D$2407,$B116,'август 2025'!$J$2:$J$2407,I$1)</f>
        <v>0</v>
      </c>
      <c r="J116" s="76">
        <f>SUMIFS('август 2025'!$G$2:$G$2407,'август 2025'!$D$2:$D$2407,$B116,'август 2025'!$J$2:$J$2407,J$1)</f>
        <v>0</v>
      </c>
      <c r="K116" s="76">
        <f>SUMIFS('август 2025'!$G$2:$G$2407,'август 2025'!$D$2:$D$2407,$B116,'август 2025'!$J$2:$J$2407,K$1)</f>
        <v>0</v>
      </c>
      <c r="L116" s="76">
        <f>SUMIFS('август 2025'!$G$2:$G$2407,'август 2025'!$D$2:$D$2407,$B116,'август 2025'!$J$2:$J$2407,L$1)</f>
        <v>0</v>
      </c>
      <c r="M116" s="76">
        <f>SUMIFS('август 2025'!$G$2:$G$2407,'август 2025'!$D$2:$D$2407,$B116,'август 2025'!$J$2:$J$2407,M$1)</f>
        <v>0</v>
      </c>
      <c r="N116" s="76">
        <f>SUMIFS('август 2025'!$G$2:$G$2407,'август 2025'!$D$2:$D$2407,$B116,'август 2025'!$J$2:$J$2407,N$1)</f>
        <v>0</v>
      </c>
      <c r="O116" s="76">
        <f>SUMIFS('август 2025'!$G$2:$G$2407,'август 2025'!$D$2:$D$2407,$B116,'август 2025'!$J$2:$J$2407,O$1)</f>
        <v>0</v>
      </c>
      <c r="P116" s="76">
        <f>SUMIFS('август 2025'!$G$2:$G$2407,'август 2025'!$D$2:$D$2407,$B116,'август 2025'!$J$2:$J$2407,P$1)</f>
        <v>0</v>
      </c>
      <c r="Q116" s="76">
        <f>SUMIFS('август 2025'!$G$2:$G$2407,'август 2025'!$D$2:$D$2407,$B116,'август 2025'!$J$2:$J$2407,Q$1)</f>
        <v>0</v>
      </c>
      <c r="R116" s="76">
        <f>SUMIFS('август 2025'!$G$2:$G$2407,'август 2025'!$D$2:$D$2407,$B116,'август 2025'!$J$2:$J$2407,R$1)</f>
        <v>0</v>
      </c>
      <c r="S116" s="76">
        <f>SUMIFS('август 2025'!$G$2:$G$2407,'август 2025'!$D$2:$D$2407,$B116,'август 2025'!$J$2:$J$2407,S$1)</f>
        <v>0</v>
      </c>
      <c r="T116" s="76">
        <f>SUMIFS('август 2025'!$G$2:$G$2407,'август 2025'!$D$2:$D$2407,$B116,'август 2025'!$J$2:$J$2407,T$1)</f>
        <v>0</v>
      </c>
      <c r="U116" s="76">
        <f>SUMIFS('август 2025'!$G$2:$G$2407,'август 2025'!$D$2:$D$2407,$B116,'август 2025'!$J$2:$J$2407,U$1)</f>
        <v>0</v>
      </c>
      <c r="V116" s="76">
        <f>SUMIFS('август 2025'!$G$2:$G$2407,'август 2025'!$D$2:$D$2407,$B116,'август 2025'!$J$2:$J$2407,V$1)</f>
        <v>0</v>
      </c>
      <c r="W116" s="76">
        <f>SUMIFS('август 2025'!$G$2:$G$2407,'август 2025'!$D$2:$D$2407,$B116,'август 2025'!$J$2:$J$2407,W$1)</f>
        <v>0</v>
      </c>
      <c r="X116" s="76">
        <f>SUMIFS('август 2025'!$G$2:$G$2407,'август 2025'!$D$2:$D$2407,$B116,'август 2025'!$J$2:$J$2407,X$1)</f>
        <v>0</v>
      </c>
      <c r="Y116" s="76">
        <f>SUMIFS('август 2025'!$G$2:$G$2407,'август 2025'!$D$2:$D$2407,$B116,'август 2025'!$J$2:$J$2407,Y$1)</f>
        <v>0</v>
      </c>
      <c r="Z116" s="76">
        <f>SUMIFS('август 2025'!$G$2:$G$2407,'август 2025'!$D$2:$D$2407,$B116,'август 2025'!$J$2:$J$2407,Z$1)</f>
        <v>0</v>
      </c>
      <c r="AA116" s="76">
        <f>SUMIFS('август 2025'!$G$2:$G$2407,'август 2025'!$D$2:$D$2407,$B116,'август 2025'!$J$2:$J$2407,AA$1)</f>
        <v>0</v>
      </c>
      <c r="AB116" s="76">
        <f>SUMIFS('август 2025'!$G$2:$G$2407,'август 2025'!$D$2:$D$2407,$B116,'август 2025'!$J$2:$J$2407,AB$1)</f>
        <v>0</v>
      </c>
      <c r="AC116" s="76">
        <f>SUMIFS('август 2025'!$G$2:$G$2407,'август 2025'!$D$2:$D$2407,$B116,'август 2025'!$J$2:$J$2407,AC$1)</f>
        <v>0</v>
      </c>
      <c r="AD116" s="76">
        <f>SUMIFS('август 2025'!$G$2:$G$2407,'август 2025'!$D$2:$D$2407,$B116,'август 2025'!$J$2:$J$2407,AD$1)</f>
        <v>0</v>
      </c>
      <c r="AE116" s="76">
        <f>SUMIFS('август 2025'!$G$2:$G$2407,'август 2025'!$D$2:$D$2407,$B116,'август 2025'!$J$2:$J$2407,AE$1)</f>
        <v>0</v>
      </c>
      <c r="AF116" s="76">
        <f>SUMIFS('август 2025'!$G$2:$G$2407,'август 2025'!$D$2:$D$2407,$B116,'август 2025'!$J$2:$J$2407,AF$1)</f>
        <v>0</v>
      </c>
      <c r="AG116" s="76">
        <f>SUMIFS('август 2025'!$G$2:$G$2407,'август 2025'!$D$2:$D$2407,$B116,'август 2025'!$J$2:$J$2407,AG$1)</f>
        <v>0</v>
      </c>
      <c r="AH116" s="76">
        <f>SUMIFS('август 2025'!$G$2:$G$2407,'август 2025'!$D$2:$D$2407,$B116,'август 2025'!$J$2:$J$2407,AH$1)</f>
        <v>0</v>
      </c>
      <c r="AI116" s="20">
        <f t="shared" si="1"/>
        <v>0</v>
      </c>
    </row>
    <row r="117" spans="2:35" ht="15" customHeight="1" x14ac:dyDescent="0.25">
      <c r="B117" s="88" t="s">
        <v>180</v>
      </c>
      <c r="C117" s="86">
        <v>200</v>
      </c>
      <c r="D117" s="76">
        <f>SUMIFS('август 2025'!$G$2:$G$2407,'август 2025'!$D$2:$D$2407,$B117,'август 2025'!$J$2:$J$2407,D$1)</f>
        <v>0</v>
      </c>
      <c r="E117" s="76">
        <f>SUMIFS('август 2025'!$G$2:$G$2407,'август 2025'!$D$2:$D$2407,$B117,'август 2025'!$J$2:$J$2407,E$1)</f>
        <v>0</v>
      </c>
      <c r="F117" s="76">
        <f>SUMIFS('август 2025'!$G$2:$G$2407,'август 2025'!$D$2:$D$2407,$B117,'август 2025'!$J$2:$J$2407,F$1)</f>
        <v>0</v>
      </c>
      <c r="G117" s="76">
        <f>SUMIFS('август 2025'!$G$2:$G$2407,'август 2025'!$D$2:$D$2407,$B117,'август 2025'!$J$2:$J$2407,G$1)</f>
        <v>0</v>
      </c>
      <c r="H117" s="76">
        <f>SUMIFS('август 2025'!$G$2:$G$2407,'август 2025'!$D$2:$D$2407,$B117,'август 2025'!$J$2:$J$2407,H$1)</f>
        <v>0</v>
      </c>
      <c r="I117" s="76">
        <f>SUMIFS('август 2025'!$G$2:$G$2407,'август 2025'!$D$2:$D$2407,$B117,'август 2025'!$J$2:$J$2407,I$1)</f>
        <v>0</v>
      </c>
      <c r="J117" s="76">
        <f>SUMIFS('август 2025'!$G$2:$G$2407,'август 2025'!$D$2:$D$2407,$B117,'август 2025'!$J$2:$J$2407,J$1)</f>
        <v>0</v>
      </c>
      <c r="K117" s="76">
        <f>SUMIFS('август 2025'!$G$2:$G$2407,'август 2025'!$D$2:$D$2407,$B117,'август 2025'!$J$2:$J$2407,K$1)</f>
        <v>0</v>
      </c>
      <c r="L117" s="76">
        <f>SUMIFS('август 2025'!$G$2:$G$2407,'август 2025'!$D$2:$D$2407,$B117,'август 2025'!$J$2:$J$2407,L$1)</f>
        <v>0</v>
      </c>
      <c r="M117" s="76">
        <f>SUMIFS('август 2025'!$G$2:$G$2407,'август 2025'!$D$2:$D$2407,$B117,'август 2025'!$J$2:$J$2407,M$1)</f>
        <v>0</v>
      </c>
      <c r="N117" s="76">
        <f>SUMIFS('август 2025'!$G$2:$G$2407,'август 2025'!$D$2:$D$2407,$B117,'август 2025'!$J$2:$J$2407,N$1)</f>
        <v>0</v>
      </c>
      <c r="O117" s="76">
        <f>SUMIFS('август 2025'!$G$2:$G$2407,'август 2025'!$D$2:$D$2407,$B117,'август 2025'!$J$2:$J$2407,O$1)</f>
        <v>0</v>
      </c>
      <c r="P117" s="76">
        <f>SUMIFS('август 2025'!$G$2:$G$2407,'август 2025'!$D$2:$D$2407,$B117,'август 2025'!$J$2:$J$2407,P$1)</f>
        <v>0</v>
      </c>
      <c r="Q117" s="76">
        <f>SUMIFS('август 2025'!$G$2:$G$2407,'август 2025'!$D$2:$D$2407,$B117,'август 2025'!$J$2:$J$2407,Q$1)</f>
        <v>0</v>
      </c>
      <c r="R117" s="76">
        <f>SUMIFS('август 2025'!$G$2:$G$2407,'август 2025'!$D$2:$D$2407,$B117,'август 2025'!$J$2:$J$2407,R$1)</f>
        <v>0</v>
      </c>
      <c r="S117" s="76">
        <f>SUMIFS('август 2025'!$G$2:$G$2407,'август 2025'!$D$2:$D$2407,$B117,'август 2025'!$J$2:$J$2407,S$1)</f>
        <v>0</v>
      </c>
      <c r="T117" s="76">
        <f>SUMIFS('август 2025'!$G$2:$G$2407,'август 2025'!$D$2:$D$2407,$B117,'август 2025'!$J$2:$J$2407,T$1)</f>
        <v>0</v>
      </c>
      <c r="U117" s="76">
        <f>SUMIFS('август 2025'!$G$2:$G$2407,'август 2025'!$D$2:$D$2407,$B117,'август 2025'!$J$2:$J$2407,U$1)</f>
        <v>0</v>
      </c>
      <c r="V117" s="76">
        <f>SUMIFS('август 2025'!$G$2:$G$2407,'август 2025'!$D$2:$D$2407,$B117,'август 2025'!$J$2:$J$2407,V$1)</f>
        <v>0</v>
      </c>
      <c r="W117" s="76">
        <f>SUMIFS('август 2025'!$G$2:$G$2407,'август 2025'!$D$2:$D$2407,$B117,'август 2025'!$J$2:$J$2407,W$1)</f>
        <v>0</v>
      </c>
      <c r="X117" s="76">
        <f>SUMIFS('август 2025'!$G$2:$G$2407,'август 2025'!$D$2:$D$2407,$B117,'август 2025'!$J$2:$J$2407,X$1)</f>
        <v>0</v>
      </c>
      <c r="Y117" s="76">
        <f>SUMIFS('август 2025'!$G$2:$G$2407,'август 2025'!$D$2:$D$2407,$B117,'август 2025'!$J$2:$J$2407,Y$1)</f>
        <v>0</v>
      </c>
      <c r="Z117" s="76">
        <f>SUMIFS('август 2025'!$G$2:$G$2407,'август 2025'!$D$2:$D$2407,$B117,'август 2025'!$J$2:$J$2407,Z$1)</f>
        <v>0</v>
      </c>
      <c r="AA117" s="76">
        <f>SUMIFS('август 2025'!$G$2:$G$2407,'август 2025'!$D$2:$D$2407,$B117,'август 2025'!$J$2:$J$2407,AA$1)</f>
        <v>0</v>
      </c>
      <c r="AB117" s="76">
        <f>SUMIFS('август 2025'!$G$2:$G$2407,'август 2025'!$D$2:$D$2407,$B117,'август 2025'!$J$2:$J$2407,AB$1)</f>
        <v>0</v>
      </c>
      <c r="AC117" s="76">
        <f>SUMIFS('август 2025'!$G$2:$G$2407,'август 2025'!$D$2:$D$2407,$B117,'август 2025'!$J$2:$J$2407,AC$1)</f>
        <v>0</v>
      </c>
      <c r="AD117" s="76">
        <f>SUMIFS('август 2025'!$G$2:$G$2407,'август 2025'!$D$2:$D$2407,$B117,'август 2025'!$J$2:$J$2407,AD$1)</f>
        <v>0</v>
      </c>
      <c r="AE117" s="76">
        <f>SUMIFS('август 2025'!$G$2:$G$2407,'август 2025'!$D$2:$D$2407,$B117,'август 2025'!$J$2:$J$2407,AE$1)</f>
        <v>0</v>
      </c>
      <c r="AF117" s="76">
        <f>SUMIFS('август 2025'!$G$2:$G$2407,'август 2025'!$D$2:$D$2407,$B117,'август 2025'!$J$2:$J$2407,AF$1)</f>
        <v>0</v>
      </c>
      <c r="AG117" s="76">
        <f>SUMIFS('август 2025'!$G$2:$G$2407,'август 2025'!$D$2:$D$2407,$B117,'август 2025'!$J$2:$J$2407,AG$1)</f>
        <v>0</v>
      </c>
      <c r="AH117" s="76">
        <f>SUMIFS('август 2025'!$G$2:$G$2407,'август 2025'!$D$2:$D$2407,$B117,'август 2025'!$J$2:$J$2407,AH$1)</f>
        <v>0</v>
      </c>
      <c r="AI117" s="20">
        <f t="shared" si="1"/>
        <v>0</v>
      </c>
    </row>
    <row r="118" spans="2:35" ht="15" customHeight="1" x14ac:dyDescent="0.25">
      <c r="B118" s="88" t="s">
        <v>262</v>
      </c>
      <c r="C118" s="86">
        <v>200</v>
      </c>
      <c r="D118" s="76">
        <f>SUMIFS('август 2025'!$G$2:$G$2407,'август 2025'!$D$2:$D$2407,$B118,'август 2025'!$J$2:$J$2407,D$1)</f>
        <v>0</v>
      </c>
      <c r="E118" s="76">
        <f>SUMIFS('август 2025'!$G$2:$G$2407,'август 2025'!$D$2:$D$2407,$B118,'август 2025'!$J$2:$J$2407,E$1)</f>
        <v>0</v>
      </c>
      <c r="F118" s="76">
        <f>SUMIFS('август 2025'!$G$2:$G$2407,'август 2025'!$D$2:$D$2407,$B118,'август 2025'!$J$2:$J$2407,F$1)</f>
        <v>0</v>
      </c>
      <c r="G118" s="76">
        <f>SUMIFS('август 2025'!$G$2:$G$2407,'август 2025'!$D$2:$D$2407,$B118,'август 2025'!$J$2:$J$2407,G$1)</f>
        <v>0</v>
      </c>
      <c r="H118" s="76">
        <f>SUMIFS('август 2025'!$G$2:$G$2407,'август 2025'!$D$2:$D$2407,$B118,'август 2025'!$J$2:$J$2407,H$1)</f>
        <v>0</v>
      </c>
      <c r="I118" s="76">
        <f>SUMIFS('август 2025'!$G$2:$G$2407,'август 2025'!$D$2:$D$2407,$B118,'август 2025'!$J$2:$J$2407,I$1)</f>
        <v>0</v>
      </c>
      <c r="J118" s="76">
        <f>SUMIFS('август 2025'!$G$2:$G$2407,'август 2025'!$D$2:$D$2407,$B118,'август 2025'!$J$2:$J$2407,J$1)</f>
        <v>0</v>
      </c>
      <c r="K118" s="76">
        <f>SUMIFS('август 2025'!$G$2:$G$2407,'август 2025'!$D$2:$D$2407,$B118,'август 2025'!$J$2:$J$2407,K$1)</f>
        <v>0</v>
      </c>
      <c r="L118" s="76">
        <f>SUMIFS('август 2025'!$G$2:$G$2407,'август 2025'!$D$2:$D$2407,$B118,'август 2025'!$J$2:$J$2407,L$1)</f>
        <v>0</v>
      </c>
      <c r="M118" s="76">
        <f>SUMIFS('август 2025'!$G$2:$G$2407,'август 2025'!$D$2:$D$2407,$B118,'август 2025'!$J$2:$J$2407,M$1)</f>
        <v>0</v>
      </c>
      <c r="N118" s="76">
        <f>SUMIFS('август 2025'!$G$2:$G$2407,'август 2025'!$D$2:$D$2407,$B118,'август 2025'!$J$2:$J$2407,N$1)</f>
        <v>0</v>
      </c>
      <c r="O118" s="76">
        <f>SUMIFS('август 2025'!$G$2:$G$2407,'август 2025'!$D$2:$D$2407,$B118,'август 2025'!$J$2:$J$2407,O$1)</f>
        <v>0</v>
      </c>
      <c r="P118" s="76">
        <f>SUMIFS('август 2025'!$G$2:$G$2407,'август 2025'!$D$2:$D$2407,$B118,'август 2025'!$J$2:$J$2407,P$1)</f>
        <v>0</v>
      </c>
      <c r="Q118" s="76">
        <f>SUMIFS('август 2025'!$G$2:$G$2407,'август 2025'!$D$2:$D$2407,$B118,'август 2025'!$J$2:$J$2407,Q$1)</f>
        <v>0</v>
      </c>
      <c r="R118" s="76">
        <f>SUMIFS('август 2025'!$G$2:$G$2407,'август 2025'!$D$2:$D$2407,$B118,'август 2025'!$J$2:$J$2407,R$1)</f>
        <v>0</v>
      </c>
      <c r="S118" s="76">
        <f>SUMIFS('август 2025'!$G$2:$G$2407,'август 2025'!$D$2:$D$2407,$B118,'август 2025'!$J$2:$J$2407,S$1)</f>
        <v>0</v>
      </c>
      <c r="T118" s="76">
        <f>SUMIFS('август 2025'!$G$2:$G$2407,'август 2025'!$D$2:$D$2407,$B118,'август 2025'!$J$2:$J$2407,T$1)</f>
        <v>0</v>
      </c>
      <c r="U118" s="76">
        <f>SUMIFS('август 2025'!$G$2:$G$2407,'август 2025'!$D$2:$D$2407,$B118,'август 2025'!$J$2:$J$2407,U$1)</f>
        <v>0</v>
      </c>
      <c r="V118" s="76">
        <f>SUMIFS('август 2025'!$G$2:$G$2407,'август 2025'!$D$2:$D$2407,$B118,'август 2025'!$J$2:$J$2407,V$1)</f>
        <v>0</v>
      </c>
      <c r="W118" s="76">
        <f>SUMIFS('август 2025'!$G$2:$G$2407,'август 2025'!$D$2:$D$2407,$B118,'август 2025'!$J$2:$J$2407,W$1)</f>
        <v>0</v>
      </c>
      <c r="X118" s="76">
        <f>SUMIFS('август 2025'!$G$2:$G$2407,'август 2025'!$D$2:$D$2407,$B118,'август 2025'!$J$2:$J$2407,X$1)</f>
        <v>0</v>
      </c>
      <c r="Y118" s="76">
        <f>SUMIFS('август 2025'!$G$2:$G$2407,'август 2025'!$D$2:$D$2407,$B118,'август 2025'!$J$2:$J$2407,Y$1)</f>
        <v>0</v>
      </c>
      <c r="Z118" s="76">
        <f>SUMIFS('август 2025'!$G$2:$G$2407,'август 2025'!$D$2:$D$2407,$B118,'август 2025'!$J$2:$J$2407,Z$1)</f>
        <v>0</v>
      </c>
      <c r="AA118" s="76">
        <f>SUMIFS('август 2025'!$G$2:$G$2407,'август 2025'!$D$2:$D$2407,$B118,'август 2025'!$J$2:$J$2407,AA$1)</f>
        <v>0</v>
      </c>
      <c r="AB118" s="76">
        <f>SUMIFS('август 2025'!$G$2:$G$2407,'август 2025'!$D$2:$D$2407,$B118,'август 2025'!$J$2:$J$2407,AB$1)</f>
        <v>0</v>
      </c>
      <c r="AC118" s="76">
        <f>SUMIFS('август 2025'!$G$2:$G$2407,'август 2025'!$D$2:$D$2407,$B118,'август 2025'!$J$2:$J$2407,AC$1)</f>
        <v>0</v>
      </c>
      <c r="AD118" s="76">
        <f>SUMIFS('август 2025'!$G$2:$G$2407,'август 2025'!$D$2:$D$2407,$B118,'август 2025'!$J$2:$J$2407,AD$1)</f>
        <v>0</v>
      </c>
      <c r="AE118" s="76">
        <f>SUMIFS('август 2025'!$G$2:$G$2407,'август 2025'!$D$2:$D$2407,$B118,'август 2025'!$J$2:$J$2407,AE$1)</f>
        <v>0</v>
      </c>
      <c r="AF118" s="76">
        <f>SUMIFS('август 2025'!$G$2:$G$2407,'август 2025'!$D$2:$D$2407,$B118,'август 2025'!$J$2:$J$2407,AF$1)</f>
        <v>0</v>
      </c>
      <c r="AG118" s="76">
        <f>SUMIFS('август 2025'!$G$2:$G$2407,'август 2025'!$D$2:$D$2407,$B118,'август 2025'!$J$2:$J$2407,AG$1)</f>
        <v>0</v>
      </c>
      <c r="AH118" s="76">
        <f>SUMIFS('август 2025'!$G$2:$G$2407,'август 2025'!$D$2:$D$2407,$B118,'август 2025'!$J$2:$J$2407,AH$1)</f>
        <v>0</v>
      </c>
      <c r="AI118" s="20">
        <f t="shared" si="1"/>
        <v>0</v>
      </c>
    </row>
    <row r="119" spans="2:35" ht="15" customHeight="1" x14ac:dyDescent="0.25">
      <c r="B119" s="88" t="s">
        <v>263</v>
      </c>
      <c r="C119" s="86">
        <v>200</v>
      </c>
      <c r="D119" s="76">
        <f>SUMIFS('август 2025'!$G$2:$G$2407,'август 2025'!$D$2:$D$2407,$B119,'август 2025'!$J$2:$J$2407,D$1)</f>
        <v>0</v>
      </c>
      <c r="E119" s="76">
        <f>SUMIFS('август 2025'!$G$2:$G$2407,'август 2025'!$D$2:$D$2407,$B119,'август 2025'!$J$2:$J$2407,E$1)</f>
        <v>0</v>
      </c>
      <c r="F119" s="76">
        <f>SUMIFS('август 2025'!$G$2:$G$2407,'август 2025'!$D$2:$D$2407,$B119,'август 2025'!$J$2:$J$2407,F$1)</f>
        <v>0</v>
      </c>
      <c r="G119" s="76">
        <f>SUMIFS('август 2025'!$G$2:$G$2407,'август 2025'!$D$2:$D$2407,$B119,'август 2025'!$J$2:$J$2407,G$1)</f>
        <v>0</v>
      </c>
      <c r="H119" s="76">
        <f>SUMIFS('август 2025'!$G$2:$G$2407,'август 2025'!$D$2:$D$2407,$B119,'август 2025'!$J$2:$J$2407,H$1)</f>
        <v>0</v>
      </c>
      <c r="I119" s="76">
        <f>SUMIFS('август 2025'!$G$2:$G$2407,'август 2025'!$D$2:$D$2407,$B119,'август 2025'!$J$2:$J$2407,I$1)</f>
        <v>0</v>
      </c>
      <c r="J119" s="76">
        <f>SUMIFS('август 2025'!$G$2:$G$2407,'август 2025'!$D$2:$D$2407,$B119,'август 2025'!$J$2:$J$2407,J$1)</f>
        <v>0</v>
      </c>
      <c r="K119" s="76">
        <f>SUMIFS('август 2025'!$G$2:$G$2407,'август 2025'!$D$2:$D$2407,$B119,'август 2025'!$J$2:$J$2407,K$1)</f>
        <v>0</v>
      </c>
      <c r="L119" s="76">
        <f>SUMIFS('август 2025'!$G$2:$G$2407,'август 2025'!$D$2:$D$2407,$B119,'август 2025'!$J$2:$J$2407,L$1)</f>
        <v>0</v>
      </c>
      <c r="M119" s="76">
        <f>SUMIFS('август 2025'!$G$2:$G$2407,'август 2025'!$D$2:$D$2407,$B119,'август 2025'!$J$2:$J$2407,M$1)</f>
        <v>0</v>
      </c>
      <c r="N119" s="76">
        <f>SUMIFS('август 2025'!$G$2:$G$2407,'август 2025'!$D$2:$D$2407,$B119,'август 2025'!$J$2:$J$2407,N$1)</f>
        <v>0</v>
      </c>
      <c r="O119" s="76">
        <f>SUMIFS('август 2025'!$G$2:$G$2407,'август 2025'!$D$2:$D$2407,$B119,'август 2025'!$J$2:$J$2407,O$1)</f>
        <v>0</v>
      </c>
      <c r="P119" s="76">
        <f>SUMIFS('август 2025'!$G$2:$G$2407,'август 2025'!$D$2:$D$2407,$B119,'август 2025'!$J$2:$J$2407,P$1)</f>
        <v>0</v>
      </c>
      <c r="Q119" s="76">
        <f>SUMIFS('август 2025'!$G$2:$G$2407,'август 2025'!$D$2:$D$2407,$B119,'август 2025'!$J$2:$J$2407,Q$1)</f>
        <v>0</v>
      </c>
      <c r="R119" s="76">
        <f>SUMIFS('август 2025'!$G$2:$G$2407,'август 2025'!$D$2:$D$2407,$B119,'август 2025'!$J$2:$J$2407,R$1)</f>
        <v>0</v>
      </c>
      <c r="S119" s="76">
        <f>SUMIFS('август 2025'!$G$2:$G$2407,'август 2025'!$D$2:$D$2407,$B119,'август 2025'!$J$2:$J$2407,S$1)</f>
        <v>0</v>
      </c>
      <c r="T119" s="76">
        <f>SUMIFS('август 2025'!$G$2:$G$2407,'август 2025'!$D$2:$D$2407,$B119,'август 2025'!$J$2:$J$2407,T$1)</f>
        <v>0</v>
      </c>
      <c r="U119" s="76">
        <f>SUMIFS('август 2025'!$G$2:$G$2407,'август 2025'!$D$2:$D$2407,$B119,'август 2025'!$J$2:$J$2407,U$1)</f>
        <v>0</v>
      </c>
      <c r="V119" s="76">
        <f>SUMIFS('август 2025'!$G$2:$G$2407,'август 2025'!$D$2:$D$2407,$B119,'август 2025'!$J$2:$J$2407,V$1)</f>
        <v>0</v>
      </c>
      <c r="W119" s="76">
        <f>SUMIFS('август 2025'!$G$2:$G$2407,'август 2025'!$D$2:$D$2407,$B119,'август 2025'!$J$2:$J$2407,W$1)</f>
        <v>0</v>
      </c>
      <c r="X119" s="76">
        <f>SUMIFS('август 2025'!$G$2:$G$2407,'август 2025'!$D$2:$D$2407,$B119,'август 2025'!$J$2:$J$2407,X$1)</f>
        <v>0</v>
      </c>
      <c r="Y119" s="76">
        <f>SUMIFS('август 2025'!$G$2:$G$2407,'август 2025'!$D$2:$D$2407,$B119,'август 2025'!$J$2:$J$2407,Y$1)</f>
        <v>0</v>
      </c>
      <c r="Z119" s="76">
        <f>SUMIFS('август 2025'!$G$2:$G$2407,'август 2025'!$D$2:$D$2407,$B119,'август 2025'!$J$2:$J$2407,Z$1)</f>
        <v>0</v>
      </c>
      <c r="AA119" s="76">
        <f>SUMIFS('август 2025'!$G$2:$G$2407,'август 2025'!$D$2:$D$2407,$B119,'август 2025'!$J$2:$J$2407,AA$1)</f>
        <v>0</v>
      </c>
      <c r="AB119" s="76">
        <f>SUMIFS('август 2025'!$G$2:$G$2407,'август 2025'!$D$2:$D$2407,$B119,'август 2025'!$J$2:$J$2407,AB$1)</f>
        <v>0</v>
      </c>
      <c r="AC119" s="76">
        <f>SUMIFS('август 2025'!$G$2:$G$2407,'август 2025'!$D$2:$D$2407,$B119,'август 2025'!$J$2:$J$2407,AC$1)</f>
        <v>0</v>
      </c>
      <c r="AD119" s="76">
        <f>SUMIFS('август 2025'!$G$2:$G$2407,'август 2025'!$D$2:$D$2407,$B119,'август 2025'!$J$2:$J$2407,AD$1)</f>
        <v>0</v>
      </c>
      <c r="AE119" s="76">
        <f>SUMIFS('август 2025'!$G$2:$G$2407,'август 2025'!$D$2:$D$2407,$B119,'август 2025'!$J$2:$J$2407,AE$1)</f>
        <v>0</v>
      </c>
      <c r="AF119" s="76">
        <f>SUMIFS('август 2025'!$G$2:$G$2407,'август 2025'!$D$2:$D$2407,$B119,'август 2025'!$J$2:$J$2407,AF$1)</f>
        <v>0</v>
      </c>
      <c r="AG119" s="76">
        <f>SUMIFS('август 2025'!$G$2:$G$2407,'август 2025'!$D$2:$D$2407,$B119,'август 2025'!$J$2:$J$2407,AG$1)</f>
        <v>0</v>
      </c>
      <c r="AH119" s="76">
        <f>SUMIFS('август 2025'!$G$2:$G$2407,'август 2025'!$D$2:$D$2407,$B119,'август 2025'!$J$2:$J$2407,AH$1)</f>
        <v>0</v>
      </c>
      <c r="AI119" s="20">
        <f t="shared" si="1"/>
        <v>0</v>
      </c>
    </row>
    <row r="120" spans="2:35" ht="15" customHeight="1" x14ac:dyDescent="0.25">
      <c r="B120" s="84" t="s">
        <v>208</v>
      </c>
      <c r="C120" s="83">
        <v>25</v>
      </c>
      <c r="D120" s="76">
        <f>SUMIFS('август 2025'!$G$2:$G$2407,'август 2025'!$D$2:$D$2407,$B120,'август 2025'!$J$2:$J$2407,D$1)</f>
        <v>0</v>
      </c>
      <c r="E120" s="76">
        <f>SUMIFS('август 2025'!$G$2:$G$2407,'август 2025'!$D$2:$D$2407,$B120,'август 2025'!$J$2:$J$2407,E$1)</f>
        <v>0</v>
      </c>
      <c r="F120" s="76">
        <f>SUMIFS('август 2025'!$G$2:$G$2407,'август 2025'!$D$2:$D$2407,$B120,'август 2025'!$J$2:$J$2407,F$1)</f>
        <v>0</v>
      </c>
      <c r="G120" s="76">
        <f>SUMIFS('август 2025'!$G$2:$G$2407,'август 2025'!$D$2:$D$2407,$B120,'август 2025'!$J$2:$J$2407,G$1)</f>
        <v>0</v>
      </c>
      <c r="H120" s="76">
        <f>SUMIFS('август 2025'!$G$2:$G$2407,'август 2025'!$D$2:$D$2407,$B120,'август 2025'!$J$2:$J$2407,H$1)</f>
        <v>0</v>
      </c>
      <c r="I120" s="76">
        <f>SUMIFS('август 2025'!$G$2:$G$2407,'август 2025'!$D$2:$D$2407,$B120,'август 2025'!$J$2:$J$2407,I$1)</f>
        <v>0</v>
      </c>
      <c r="J120" s="76">
        <f>SUMIFS('август 2025'!$G$2:$G$2407,'август 2025'!$D$2:$D$2407,$B120,'август 2025'!$J$2:$J$2407,J$1)</f>
        <v>0</v>
      </c>
      <c r="K120" s="76">
        <f>SUMIFS('август 2025'!$G$2:$G$2407,'август 2025'!$D$2:$D$2407,$B120,'август 2025'!$J$2:$J$2407,K$1)</f>
        <v>0</v>
      </c>
      <c r="L120" s="76">
        <f>SUMIFS('август 2025'!$G$2:$G$2407,'август 2025'!$D$2:$D$2407,$B120,'август 2025'!$J$2:$J$2407,L$1)</f>
        <v>0</v>
      </c>
      <c r="M120" s="76">
        <f>SUMIFS('август 2025'!$G$2:$G$2407,'август 2025'!$D$2:$D$2407,$B120,'август 2025'!$J$2:$J$2407,M$1)</f>
        <v>0</v>
      </c>
      <c r="N120" s="76">
        <f>SUMIFS('август 2025'!$G$2:$G$2407,'август 2025'!$D$2:$D$2407,$B120,'август 2025'!$J$2:$J$2407,N$1)</f>
        <v>0</v>
      </c>
      <c r="O120" s="76">
        <f>SUMIFS('август 2025'!$G$2:$G$2407,'август 2025'!$D$2:$D$2407,$B120,'август 2025'!$J$2:$J$2407,O$1)</f>
        <v>0</v>
      </c>
      <c r="P120" s="76">
        <f>SUMIFS('август 2025'!$G$2:$G$2407,'август 2025'!$D$2:$D$2407,$B120,'август 2025'!$J$2:$J$2407,P$1)</f>
        <v>0</v>
      </c>
      <c r="Q120" s="76">
        <f>SUMIFS('август 2025'!$G$2:$G$2407,'август 2025'!$D$2:$D$2407,$B120,'август 2025'!$J$2:$J$2407,Q$1)</f>
        <v>0</v>
      </c>
      <c r="R120" s="76">
        <f>SUMIFS('август 2025'!$G$2:$G$2407,'август 2025'!$D$2:$D$2407,$B120,'август 2025'!$J$2:$J$2407,R$1)</f>
        <v>0</v>
      </c>
      <c r="S120" s="76">
        <f>SUMIFS('август 2025'!$G$2:$G$2407,'август 2025'!$D$2:$D$2407,$B120,'август 2025'!$J$2:$J$2407,S$1)</f>
        <v>0</v>
      </c>
      <c r="T120" s="76">
        <f>SUMIFS('август 2025'!$G$2:$G$2407,'август 2025'!$D$2:$D$2407,$B120,'август 2025'!$J$2:$J$2407,T$1)</f>
        <v>0</v>
      </c>
      <c r="U120" s="76">
        <f>SUMIFS('август 2025'!$G$2:$G$2407,'август 2025'!$D$2:$D$2407,$B120,'август 2025'!$J$2:$J$2407,U$1)</f>
        <v>0</v>
      </c>
      <c r="V120" s="76">
        <f>SUMIFS('август 2025'!$G$2:$G$2407,'август 2025'!$D$2:$D$2407,$B120,'август 2025'!$J$2:$J$2407,V$1)</f>
        <v>0</v>
      </c>
      <c r="W120" s="76">
        <f>SUMIFS('август 2025'!$G$2:$G$2407,'август 2025'!$D$2:$D$2407,$B120,'август 2025'!$J$2:$J$2407,W$1)</f>
        <v>0</v>
      </c>
      <c r="X120" s="76">
        <f>SUMIFS('август 2025'!$G$2:$G$2407,'август 2025'!$D$2:$D$2407,$B120,'август 2025'!$J$2:$J$2407,X$1)</f>
        <v>0</v>
      </c>
      <c r="Y120" s="76">
        <f>SUMIFS('август 2025'!$G$2:$G$2407,'август 2025'!$D$2:$D$2407,$B120,'август 2025'!$J$2:$J$2407,Y$1)</f>
        <v>0</v>
      </c>
      <c r="Z120" s="76">
        <f>SUMIFS('август 2025'!$G$2:$G$2407,'август 2025'!$D$2:$D$2407,$B120,'август 2025'!$J$2:$J$2407,Z$1)</f>
        <v>0</v>
      </c>
      <c r="AA120" s="76">
        <f>SUMIFS('август 2025'!$G$2:$G$2407,'август 2025'!$D$2:$D$2407,$B120,'август 2025'!$J$2:$J$2407,AA$1)</f>
        <v>0</v>
      </c>
      <c r="AB120" s="76">
        <f>SUMIFS('август 2025'!$G$2:$G$2407,'август 2025'!$D$2:$D$2407,$B120,'август 2025'!$J$2:$J$2407,AB$1)</f>
        <v>0</v>
      </c>
      <c r="AC120" s="76">
        <f>SUMIFS('август 2025'!$G$2:$G$2407,'август 2025'!$D$2:$D$2407,$B120,'август 2025'!$J$2:$J$2407,AC$1)</f>
        <v>0</v>
      </c>
      <c r="AD120" s="76">
        <f>SUMIFS('август 2025'!$G$2:$G$2407,'август 2025'!$D$2:$D$2407,$B120,'август 2025'!$J$2:$J$2407,AD$1)</f>
        <v>0</v>
      </c>
      <c r="AE120" s="76">
        <f>SUMIFS('август 2025'!$G$2:$G$2407,'август 2025'!$D$2:$D$2407,$B120,'август 2025'!$J$2:$J$2407,AE$1)</f>
        <v>0</v>
      </c>
      <c r="AF120" s="76">
        <f>SUMIFS('август 2025'!$G$2:$G$2407,'август 2025'!$D$2:$D$2407,$B120,'август 2025'!$J$2:$J$2407,AF$1)</f>
        <v>0</v>
      </c>
      <c r="AG120" s="76">
        <f>SUMIFS('август 2025'!$G$2:$G$2407,'август 2025'!$D$2:$D$2407,$B120,'август 2025'!$J$2:$J$2407,AG$1)</f>
        <v>0</v>
      </c>
      <c r="AH120" s="76">
        <f>SUMIFS('август 2025'!$G$2:$G$2407,'август 2025'!$D$2:$D$2407,$B120,'август 2025'!$J$2:$J$2407,AH$1)</f>
        <v>0</v>
      </c>
      <c r="AI120" s="20">
        <f t="shared" si="1"/>
        <v>0</v>
      </c>
    </row>
    <row r="121" spans="2:35" ht="15" customHeight="1" x14ac:dyDescent="0.25">
      <c r="B121" s="88" t="s">
        <v>264</v>
      </c>
      <c r="C121" s="86">
        <v>50</v>
      </c>
      <c r="D121" s="76">
        <f>SUMIFS('август 2025'!$G$2:$G$2407,'август 2025'!$D$2:$D$2407,$B121,'август 2025'!$J$2:$J$2407,D$1)</f>
        <v>0</v>
      </c>
      <c r="E121" s="76">
        <f>SUMIFS('август 2025'!$G$2:$G$2407,'август 2025'!$D$2:$D$2407,$B121,'август 2025'!$J$2:$J$2407,E$1)</f>
        <v>0</v>
      </c>
      <c r="F121" s="76">
        <f>SUMIFS('август 2025'!$G$2:$G$2407,'август 2025'!$D$2:$D$2407,$B121,'август 2025'!$J$2:$J$2407,F$1)</f>
        <v>0</v>
      </c>
      <c r="G121" s="76">
        <f>SUMIFS('август 2025'!$G$2:$G$2407,'август 2025'!$D$2:$D$2407,$B121,'август 2025'!$J$2:$J$2407,G$1)</f>
        <v>0</v>
      </c>
      <c r="H121" s="76">
        <f>SUMIFS('август 2025'!$G$2:$G$2407,'август 2025'!$D$2:$D$2407,$B121,'август 2025'!$J$2:$J$2407,H$1)</f>
        <v>0</v>
      </c>
      <c r="I121" s="76">
        <f>SUMIFS('август 2025'!$G$2:$G$2407,'август 2025'!$D$2:$D$2407,$B121,'август 2025'!$J$2:$J$2407,I$1)</f>
        <v>0</v>
      </c>
      <c r="J121" s="76">
        <f>SUMIFS('август 2025'!$G$2:$G$2407,'август 2025'!$D$2:$D$2407,$B121,'август 2025'!$J$2:$J$2407,J$1)</f>
        <v>0</v>
      </c>
      <c r="K121" s="76">
        <f>SUMIFS('август 2025'!$G$2:$G$2407,'август 2025'!$D$2:$D$2407,$B121,'август 2025'!$J$2:$J$2407,K$1)</f>
        <v>0</v>
      </c>
      <c r="L121" s="76">
        <f>SUMIFS('август 2025'!$G$2:$G$2407,'август 2025'!$D$2:$D$2407,$B121,'август 2025'!$J$2:$J$2407,L$1)</f>
        <v>0</v>
      </c>
      <c r="M121" s="76">
        <f>SUMIFS('август 2025'!$G$2:$G$2407,'август 2025'!$D$2:$D$2407,$B121,'август 2025'!$J$2:$J$2407,M$1)</f>
        <v>0</v>
      </c>
      <c r="N121" s="76">
        <f>SUMIFS('август 2025'!$G$2:$G$2407,'август 2025'!$D$2:$D$2407,$B121,'август 2025'!$J$2:$J$2407,N$1)</f>
        <v>0</v>
      </c>
      <c r="O121" s="76">
        <f>SUMIFS('август 2025'!$G$2:$G$2407,'август 2025'!$D$2:$D$2407,$B121,'август 2025'!$J$2:$J$2407,O$1)</f>
        <v>0</v>
      </c>
      <c r="P121" s="76">
        <f>SUMIFS('август 2025'!$G$2:$G$2407,'август 2025'!$D$2:$D$2407,$B121,'август 2025'!$J$2:$J$2407,P$1)</f>
        <v>0</v>
      </c>
      <c r="Q121" s="76">
        <f>SUMIFS('август 2025'!$G$2:$G$2407,'август 2025'!$D$2:$D$2407,$B121,'август 2025'!$J$2:$J$2407,Q$1)</f>
        <v>0</v>
      </c>
      <c r="R121" s="76">
        <f>SUMIFS('август 2025'!$G$2:$G$2407,'август 2025'!$D$2:$D$2407,$B121,'август 2025'!$J$2:$J$2407,R$1)</f>
        <v>0</v>
      </c>
      <c r="S121" s="76">
        <f>SUMIFS('август 2025'!$G$2:$G$2407,'август 2025'!$D$2:$D$2407,$B121,'август 2025'!$J$2:$J$2407,S$1)</f>
        <v>0</v>
      </c>
      <c r="T121" s="76">
        <f>SUMIFS('август 2025'!$G$2:$G$2407,'август 2025'!$D$2:$D$2407,$B121,'август 2025'!$J$2:$J$2407,T$1)</f>
        <v>0</v>
      </c>
      <c r="U121" s="76">
        <f>SUMIFS('август 2025'!$G$2:$G$2407,'август 2025'!$D$2:$D$2407,$B121,'август 2025'!$J$2:$J$2407,U$1)</f>
        <v>0</v>
      </c>
      <c r="V121" s="76">
        <f>SUMIFS('август 2025'!$G$2:$G$2407,'август 2025'!$D$2:$D$2407,$B121,'август 2025'!$J$2:$J$2407,V$1)</f>
        <v>0</v>
      </c>
      <c r="W121" s="76">
        <f>SUMIFS('август 2025'!$G$2:$G$2407,'август 2025'!$D$2:$D$2407,$B121,'август 2025'!$J$2:$J$2407,W$1)</f>
        <v>0</v>
      </c>
      <c r="X121" s="76">
        <f>SUMIFS('август 2025'!$G$2:$G$2407,'август 2025'!$D$2:$D$2407,$B121,'август 2025'!$J$2:$J$2407,X$1)</f>
        <v>0</v>
      </c>
      <c r="Y121" s="76">
        <f>SUMIFS('август 2025'!$G$2:$G$2407,'август 2025'!$D$2:$D$2407,$B121,'август 2025'!$J$2:$J$2407,Y$1)</f>
        <v>0</v>
      </c>
      <c r="Z121" s="76">
        <f>SUMIFS('август 2025'!$G$2:$G$2407,'август 2025'!$D$2:$D$2407,$B121,'август 2025'!$J$2:$J$2407,Z$1)</f>
        <v>0</v>
      </c>
      <c r="AA121" s="76">
        <f>SUMIFS('август 2025'!$G$2:$G$2407,'август 2025'!$D$2:$D$2407,$B121,'август 2025'!$J$2:$J$2407,AA$1)</f>
        <v>0</v>
      </c>
      <c r="AB121" s="76">
        <f>SUMIFS('август 2025'!$G$2:$G$2407,'август 2025'!$D$2:$D$2407,$B121,'август 2025'!$J$2:$J$2407,AB$1)</f>
        <v>0</v>
      </c>
      <c r="AC121" s="76">
        <f>SUMIFS('август 2025'!$G$2:$G$2407,'август 2025'!$D$2:$D$2407,$B121,'август 2025'!$J$2:$J$2407,AC$1)</f>
        <v>0</v>
      </c>
      <c r="AD121" s="76">
        <f>SUMIFS('август 2025'!$G$2:$G$2407,'август 2025'!$D$2:$D$2407,$B121,'август 2025'!$J$2:$J$2407,AD$1)</f>
        <v>0</v>
      </c>
      <c r="AE121" s="76">
        <f>SUMIFS('август 2025'!$G$2:$G$2407,'август 2025'!$D$2:$D$2407,$B121,'август 2025'!$J$2:$J$2407,AE$1)</f>
        <v>0</v>
      </c>
      <c r="AF121" s="76">
        <f>SUMIFS('август 2025'!$G$2:$G$2407,'август 2025'!$D$2:$D$2407,$B121,'август 2025'!$J$2:$J$2407,AF$1)</f>
        <v>0</v>
      </c>
      <c r="AG121" s="76">
        <f>SUMIFS('август 2025'!$G$2:$G$2407,'август 2025'!$D$2:$D$2407,$B121,'август 2025'!$J$2:$J$2407,AG$1)</f>
        <v>0</v>
      </c>
      <c r="AH121" s="76">
        <f>SUMIFS('август 2025'!$G$2:$G$2407,'август 2025'!$D$2:$D$2407,$B121,'август 2025'!$J$2:$J$2407,AH$1)</f>
        <v>0</v>
      </c>
      <c r="AI121" s="20">
        <f t="shared" si="1"/>
        <v>0</v>
      </c>
    </row>
    <row r="122" spans="2:35" ht="15" customHeight="1" x14ac:dyDescent="0.25">
      <c r="B122" s="88" t="s">
        <v>185</v>
      </c>
      <c r="C122" s="86">
        <v>180</v>
      </c>
      <c r="D122" s="76">
        <f>SUMIFS('август 2025'!$G$2:$G$2407,'август 2025'!$D$2:$D$2407,$B122,'август 2025'!$J$2:$J$2407,D$1)</f>
        <v>0</v>
      </c>
      <c r="E122" s="76">
        <f>SUMIFS('август 2025'!$G$2:$G$2407,'август 2025'!$D$2:$D$2407,$B122,'август 2025'!$J$2:$J$2407,E$1)</f>
        <v>0</v>
      </c>
      <c r="F122" s="76">
        <f>SUMIFS('август 2025'!$G$2:$G$2407,'август 2025'!$D$2:$D$2407,$B122,'август 2025'!$J$2:$J$2407,F$1)</f>
        <v>0</v>
      </c>
      <c r="G122" s="76">
        <f>SUMIFS('август 2025'!$G$2:$G$2407,'август 2025'!$D$2:$D$2407,$B122,'август 2025'!$J$2:$J$2407,G$1)</f>
        <v>0</v>
      </c>
      <c r="H122" s="76">
        <f>SUMIFS('август 2025'!$G$2:$G$2407,'август 2025'!$D$2:$D$2407,$B122,'август 2025'!$J$2:$J$2407,H$1)</f>
        <v>0</v>
      </c>
      <c r="I122" s="76">
        <f>SUMIFS('август 2025'!$G$2:$G$2407,'август 2025'!$D$2:$D$2407,$B122,'август 2025'!$J$2:$J$2407,I$1)</f>
        <v>0</v>
      </c>
      <c r="J122" s="76">
        <f>SUMIFS('август 2025'!$G$2:$G$2407,'август 2025'!$D$2:$D$2407,$B122,'август 2025'!$J$2:$J$2407,J$1)</f>
        <v>0</v>
      </c>
      <c r="K122" s="76">
        <f>SUMIFS('август 2025'!$G$2:$G$2407,'август 2025'!$D$2:$D$2407,$B122,'август 2025'!$J$2:$J$2407,K$1)</f>
        <v>0</v>
      </c>
      <c r="L122" s="76">
        <f>SUMIFS('август 2025'!$G$2:$G$2407,'август 2025'!$D$2:$D$2407,$B122,'август 2025'!$J$2:$J$2407,L$1)</f>
        <v>0</v>
      </c>
      <c r="M122" s="76">
        <f>SUMIFS('август 2025'!$G$2:$G$2407,'август 2025'!$D$2:$D$2407,$B122,'август 2025'!$J$2:$J$2407,M$1)</f>
        <v>0</v>
      </c>
      <c r="N122" s="76">
        <f>SUMIFS('август 2025'!$G$2:$G$2407,'август 2025'!$D$2:$D$2407,$B122,'август 2025'!$J$2:$J$2407,N$1)</f>
        <v>0</v>
      </c>
      <c r="O122" s="76">
        <f>SUMIFS('август 2025'!$G$2:$G$2407,'август 2025'!$D$2:$D$2407,$B122,'август 2025'!$J$2:$J$2407,O$1)</f>
        <v>0</v>
      </c>
      <c r="P122" s="76">
        <f>SUMIFS('август 2025'!$G$2:$G$2407,'август 2025'!$D$2:$D$2407,$B122,'август 2025'!$J$2:$J$2407,P$1)</f>
        <v>0</v>
      </c>
      <c r="Q122" s="76">
        <f>SUMIFS('август 2025'!$G$2:$G$2407,'август 2025'!$D$2:$D$2407,$B122,'август 2025'!$J$2:$J$2407,Q$1)</f>
        <v>0</v>
      </c>
      <c r="R122" s="76">
        <f>SUMIFS('август 2025'!$G$2:$G$2407,'август 2025'!$D$2:$D$2407,$B122,'август 2025'!$J$2:$J$2407,R$1)</f>
        <v>0</v>
      </c>
      <c r="S122" s="76">
        <f>SUMIFS('август 2025'!$G$2:$G$2407,'август 2025'!$D$2:$D$2407,$B122,'август 2025'!$J$2:$J$2407,S$1)</f>
        <v>0</v>
      </c>
      <c r="T122" s="76">
        <f>SUMIFS('август 2025'!$G$2:$G$2407,'август 2025'!$D$2:$D$2407,$B122,'август 2025'!$J$2:$J$2407,T$1)</f>
        <v>0</v>
      </c>
      <c r="U122" s="76">
        <f>SUMIFS('август 2025'!$G$2:$G$2407,'август 2025'!$D$2:$D$2407,$B122,'август 2025'!$J$2:$J$2407,U$1)</f>
        <v>0</v>
      </c>
      <c r="V122" s="76">
        <f>SUMIFS('август 2025'!$G$2:$G$2407,'август 2025'!$D$2:$D$2407,$B122,'август 2025'!$J$2:$J$2407,V$1)</f>
        <v>0</v>
      </c>
      <c r="W122" s="76">
        <f>SUMIFS('август 2025'!$G$2:$G$2407,'август 2025'!$D$2:$D$2407,$B122,'август 2025'!$J$2:$J$2407,W$1)</f>
        <v>0</v>
      </c>
      <c r="X122" s="76">
        <f>SUMIFS('август 2025'!$G$2:$G$2407,'август 2025'!$D$2:$D$2407,$B122,'август 2025'!$J$2:$J$2407,X$1)</f>
        <v>0</v>
      </c>
      <c r="Y122" s="76">
        <f>SUMIFS('август 2025'!$G$2:$G$2407,'август 2025'!$D$2:$D$2407,$B122,'август 2025'!$J$2:$J$2407,Y$1)</f>
        <v>0</v>
      </c>
      <c r="Z122" s="76">
        <f>SUMIFS('август 2025'!$G$2:$G$2407,'август 2025'!$D$2:$D$2407,$B122,'август 2025'!$J$2:$J$2407,Z$1)</f>
        <v>0</v>
      </c>
      <c r="AA122" s="76">
        <f>SUMIFS('август 2025'!$G$2:$G$2407,'август 2025'!$D$2:$D$2407,$B122,'август 2025'!$J$2:$J$2407,AA$1)</f>
        <v>0</v>
      </c>
      <c r="AB122" s="76">
        <f>SUMIFS('август 2025'!$G$2:$G$2407,'август 2025'!$D$2:$D$2407,$B122,'август 2025'!$J$2:$J$2407,AB$1)</f>
        <v>0</v>
      </c>
      <c r="AC122" s="76">
        <f>SUMIFS('август 2025'!$G$2:$G$2407,'август 2025'!$D$2:$D$2407,$B122,'август 2025'!$J$2:$J$2407,AC$1)</f>
        <v>0</v>
      </c>
      <c r="AD122" s="76">
        <f>SUMIFS('август 2025'!$G$2:$G$2407,'август 2025'!$D$2:$D$2407,$B122,'август 2025'!$J$2:$J$2407,AD$1)</f>
        <v>0</v>
      </c>
      <c r="AE122" s="76">
        <f>SUMIFS('август 2025'!$G$2:$G$2407,'август 2025'!$D$2:$D$2407,$B122,'август 2025'!$J$2:$J$2407,AE$1)</f>
        <v>0</v>
      </c>
      <c r="AF122" s="76">
        <f>SUMIFS('август 2025'!$G$2:$G$2407,'август 2025'!$D$2:$D$2407,$B122,'август 2025'!$J$2:$J$2407,AF$1)</f>
        <v>0</v>
      </c>
      <c r="AG122" s="76">
        <f>SUMIFS('август 2025'!$G$2:$G$2407,'август 2025'!$D$2:$D$2407,$B122,'август 2025'!$J$2:$J$2407,AG$1)</f>
        <v>0</v>
      </c>
      <c r="AH122" s="76">
        <f>SUMIFS('август 2025'!$G$2:$G$2407,'август 2025'!$D$2:$D$2407,$B122,'август 2025'!$J$2:$J$2407,AH$1)</f>
        <v>0</v>
      </c>
      <c r="AI122" s="20">
        <f t="shared" si="1"/>
        <v>0</v>
      </c>
    </row>
    <row r="123" spans="2:35" ht="15" customHeight="1" x14ac:dyDescent="0.25">
      <c r="B123" s="88" t="s">
        <v>203</v>
      </c>
      <c r="C123" s="86">
        <v>185</v>
      </c>
      <c r="D123" s="76">
        <f>SUMIFS('август 2025'!$G$2:$G$2407,'август 2025'!$D$2:$D$2407,$B123,'август 2025'!$J$2:$J$2407,D$1)</f>
        <v>0</v>
      </c>
      <c r="E123" s="76">
        <f>SUMIFS('август 2025'!$G$2:$G$2407,'август 2025'!$D$2:$D$2407,$B123,'август 2025'!$J$2:$J$2407,E$1)</f>
        <v>0</v>
      </c>
      <c r="F123" s="76">
        <f>SUMIFS('август 2025'!$G$2:$G$2407,'август 2025'!$D$2:$D$2407,$B123,'август 2025'!$J$2:$J$2407,F$1)</f>
        <v>0</v>
      </c>
      <c r="G123" s="76">
        <f>SUMIFS('август 2025'!$G$2:$G$2407,'август 2025'!$D$2:$D$2407,$B123,'август 2025'!$J$2:$J$2407,G$1)</f>
        <v>0</v>
      </c>
      <c r="H123" s="76">
        <f>SUMIFS('август 2025'!$G$2:$G$2407,'август 2025'!$D$2:$D$2407,$B123,'август 2025'!$J$2:$J$2407,H$1)</f>
        <v>0</v>
      </c>
      <c r="I123" s="76">
        <f>SUMIFS('август 2025'!$G$2:$G$2407,'август 2025'!$D$2:$D$2407,$B123,'август 2025'!$J$2:$J$2407,I$1)</f>
        <v>0</v>
      </c>
      <c r="J123" s="76">
        <f>SUMIFS('август 2025'!$G$2:$G$2407,'август 2025'!$D$2:$D$2407,$B123,'август 2025'!$J$2:$J$2407,J$1)</f>
        <v>0</v>
      </c>
      <c r="K123" s="76">
        <f>SUMIFS('август 2025'!$G$2:$G$2407,'август 2025'!$D$2:$D$2407,$B123,'август 2025'!$J$2:$J$2407,K$1)</f>
        <v>0</v>
      </c>
      <c r="L123" s="76">
        <f>SUMIFS('август 2025'!$G$2:$G$2407,'август 2025'!$D$2:$D$2407,$B123,'август 2025'!$J$2:$J$2407,L$1)</f>
        <v>0</v>
      </c>
      <c r="M123" s="76">
        <f>SUMIFS('август 2025'!$G$2:$G$2407,'август 2025'!$D$2:$D$2407,$B123,'август 2025'!$J$2:$J$2407,M$1)</f>
        <v>0</v>
      </c>
      <c r="N123" s="76">
        <f>SUMIFS('август 2025'!$G$2:$G$2407,'август 2025'!$D$2:$D$2407,$B123,'август 2025'!$J$2:$J$2407,N$1)</f>
        <v>0</v>
      </c>
      <c r="O123" s="76">
        <f>SUMIFS('август 2025'!$G$2:$G$2407,'август 2025'!$D$2:$D$2407,$B123,'август 2025'!$J$2:$J$2407,O$1)</f>
        <v>0</v>
      </c>
      <c r="P123" s="76">
        <f>SUMIFS('август 2025'!$G$2:$G$2407,'август 2025'!$D$2:$D$2407,$B123,'август 2025'!$J$2:$J$2407,P$1)</f>
        <v>0</v>
      </c>
      <c r="Q123" s="76">
        <f>SUMIFS('август 2025'!$G$2:$G$2407,'август 2025'!$D$2:$D$2407,$B123,'август 2025'!$J$2:$J$2407,Q$1)</f>
        <v>0</v>
      </c>
      <c r="R123" s="76">
        <f>SUMIFS('август 2025'!$G$2:$G$2407,'август 2025'!$D$2:$D$2407,$B123,'август 2025'!$J$2:$J$2407,R$1)</f>
        <v>0</v>
      </c>
      <c r="S123" s="76">
        <f>SUMIFS('август 2025'!$G$2:$G$2407,'август 2025'!$D$2:$D$2407,$B123,'август 2025'!$J$2:$J$2407,S$1)</f>
        <v>0</v>
      </c>
      <c r="T123" s="76">
        <f>SUMIFS('август 2025'!$G$2:$G$2407,'август 2025'!$D$2:$D$2407,$B123,'август 2025'!$J$2:$J$2407,T$1)</f>
        <v>0</v>
      </c>
      <c r="U123" s="76">
        <f>SUMIFS('август 2025'!$G$2:$G$2407,'август 2025'!$D$2:$D$2407,$B123,'август 2025'!$J$2:$J$2407,U$1)</f>
        <v>0</v>
      </c>
      <c r="V123" s="76">
        <f>SUMIFS('август 2025'!$G$2:$G$2407,'август 2025'!$D$2:$D$2407,$B123,'август 2025'!$J$2:$J$2407,V$1)</f>
        <v>0</v>
      </c>
      <c r="W123" s="76">
        <f>SUMIFS('август 2025'!$G$2:$G$2407,'август 2025'!$D$2:$D$2407,$B123,'август 2025'!$J$2:$J$2407,W$1)</f>
        <v>0</v>
      </c>
      <c r="X123" s="76">
        <f>SUMIFS('август 2025'!$G$2:$G$2407,'август 2025'!$D$2:$D$2407,$B123,'август 2025'!$J$2:$J$2407,X$1)</f>
        <v>0</v>
      </c>
      <c r="Y123" s="76">
        <f>SUMIFS('август 2025'!$G$2:$G$2407,'август 2025'!$D$2:$D$2407,$B123,'август 2025'!$J$2:$J$2407,Y$1)</f>
        <v>0</v>
      </c>
      <c r="Z123" s="76">
        <f>SUMIFS('август 2025'!$G$2:$G$2407,'август 2025'!$D$2:$D$2407,$B123,'август 2025'!$J$2:$J$2407,Z$1)</f>
        <v>0</v>
      </c>
      <c r="AA123" s="76">
        <f>SUMIFS('август 2025'!$G$2:$G$2407,'август 2025'!$D$2:$D$2407,$B123,'август 2025'!$J$2:$J$2407,AA$1)</f>
        <v>0</v>
      </c>
      <c r="AB123" s="76">
        <f>SUMIFS('август 2025'!$G$2:$G$2407,'август 2025'!$D$2:$D$2407,$B123,'август 2025'!$J$2:$J$2407,AB$1)</f>
        <v>0</v>
      </c>
      <c r="AC123" s="76">
        <f>SUMIFS('август 2025'!$G$2:$G$2407,'август 2025'!$D$2:$D$2407,$B123,'август 2025'!$J$2:$J$2407,AC$1)</f>
        <v>0</v>
      </c>
      <c r="AD123" s="76">
        <f>SUMIFS('август 2025'!$G$2:$G$2407,'август 2025'!$D$2:$D$2407,$B123,'август 2025'!$J$2:$J$2407,AD$1)</f>
        <v>0</v>
      </c>
      <c r="AE123" s="76">
        <f>SUMIFS('август 2025'!$G$2:$G$2407,'август 2025'!$D$2:$D$2407,$B123,'август 2025'!$J$2:$J$2407,AE$1)</f>
        <v>0</v>
      </c>
      <c r="AF123" s="76">
        <f>SUMIFS('август 2025'!$G$2:$G$2407,'август 2025'!$D$2:$D$2407,$B123,'август 2025'!$J$2:$J$2407,AF$1)</f>
        <v>0</v>
      </c>
      <c r="AG123" s="76">
        <f>SUMIFS('август 2025'!$G$2:$G$2407,'август 2025'!$D$2:$D$2407,$B123,'август 2025'!$J$2:$J$2407,AG$1)</f>
        <v>0</v>
      </c>
      <c r="AH123" s="76">
        <f>SUMIFS('август 2025'!$G$2:$G$2407,'август 2025'!$D$2:$D$2407,$B123,'август 2025'!$J$2:$J$2407,AH$1)</f>
        <v>0</v>
      </c>
      <c r="AI123" s="20">
        <f t="shared" si="1"/>
        <v>0</v>
      </c>
    </row>
    <row r="124" spans="2:35" ht="15" customHeight="1" x14ac:dyDescent="0.25">
      <c r="B124" s="88" t="s">
        <v>304</v>
      </c>
      <c r="C124" s="86">
        <v>175</v>
      </c>
      <c r="D124" s="76">
        <f>SUMIFS('август 2025'!$G$2:$G$2407,'август 2025'!$D$2:$D$2407,$B124,'август 2025'!$J$2:$J$2407,D$1)</f>
        <v>0</v>
      </c>
      <c r="E124" s="76">
        <f>SUMIFS('август 2025'!$G$2:$G$2407,'август 2025'!$D$2:$D$2407,$B124,'август 2025'!$J$2:$J$2407,E$1)</f>
        <v>0</v>
      </c>
      <c r="F124" s="76">
        <f>SUMIFS('август 2025'!$G$2:$G$2407,'август 2025'!$D$2:$D$2407,$B124,'август 2025'!$J$2:$J$2407,F$1)</f>
        <v>0</v>
      </c>
      <c r="G124" s="76">
        <f>SUMIFS('август 2025'!$G$2:$G$2407,'август 2025'!$D$2:$D$2407,$B124,'август 2025'!$J$2:$J$2407,G$1)</f>
        <v>0</v>
      </c>
      <c r="H124" s="76">
        <f>SUMIFS('август 2025'!$G$2:$G$2407,'август 2025'!$D$2:$D$2407,$B124,'август 2025'!$J$2:$J$2407,H$1)</f>
        <v>0</v>
      </c>
      <c r="I124" s="76">
        <f>SUMIFS('август 2025'!$G$2:$G$2407,'август 2025'!$D$2:$D$2407,$B124,'август 2025'!$J$2:$J$2407,I$1)</f>
        <v>0</v>
      </c>
      <c r="J124" s="76">
        <f>SUMIFS('август 2025'!$G$2:$G$2407,'август 2025'!$D$2:$D$2407,$B124,'август 2025'!$J$2:$J$2407,J$1)</f>
        <v>0</v>
      </c>
      <c r="K124" s="76">
        <f>SUMIFS('август 2025'!$G$2:$G$2407,'август 2025'!$D$2:$D$2407,$B124,'август 2025'!$J$2:$J$2407,K$1)</f>
        <v>0</v>
      </c>
      <c r="L124" s="76">
        <f>SUMIFS('август 2025'!$G$2:$G$2407,'август 2025'!$D$2:$D$2407,$B124,'август 2025'!$J$2:$J$2407,L$1)</f>
        <v>0</v>
      </c>
      <c r="M124" s="76">
        <f>SUMIFS('август 2025'!$G$2:$G$2407,'август 2025'!$D$2:$D$2407,$B124,'август 2025'!$J$2:$J$2407,M$1)</f>
        <v>0</v>
      </c>
      <c r="N124" s="76">
        <f>SUMIFS('август 2025'!$G$2:$G$2407,'август 2025'!$D$2:$D$2407,$B124,'август 2025'!$J$2:$J$2407,N$1)</f>
        <v>0</v>
      </c>
      <c r="O124" s="76">
        <f>SUMIFS('август 2025'!$G$2:$G$2407,'август 2025'!$D$2:$D$2407,$B124,'август 2025'!$J$2:$J$2407,O$1)</f>
        <v>0</v>
      </c>
      <c r="P124" s="76">
        <f>SUMIFS('август 2025'!$G$2:$G$2407,'август 2025'!$D$2:$D$2407,$B124,'август 2025'!$J$2:$J$2407,P$1)</f>
        <v>0</v>
      </c>
      <c r="Q124" s="76">
        <f>SUMIFS('август 2025'!$G$2:$G$2407,'август 2025'!$D$2:$D$2407,$B124,'август 2025'!$J$2:$J$2407,Q$1)</f>
        <v>0</v>
      </c>
      <c r="R124" s="76">
        <f>SUMIFS('август 2025'!$G$2:$G$2407,'август 2025'!$D$2:$D$2407,$B124,'август 2025'!$J$2:$J$2407,R$1)</f>
        <v>0</v>
      </c>
      <c r="S124" s="76">
        <f>SUMIFS('август 2025'!$G$2:$G$2407,'август 2025'!$D$2:$D$2407,$B124,'август 2025'!$J$2:$J$2407,S$1)</f>
        <v>0</v>
      </c>
      <c r="T124" s="76">
        <f>SUMIFS('август 2025'!$G$2:$G$2407,'август 2025'!$D$2:$D$2407,$B124,'август 2025'!$J$2:$J$2407,T$1)</f>
        <v>0</v>
      </c>
      <c r="U124" s="76">
        <f>SUMIFS('август 2025'!$G$2:$G$2407,'август 2025'!$D$2:$D$2407,$B124,'август 2025'!$J$2:$J$2407,U$1)</f>
        <v>0</v>
      </c>
      <c r="V124" s="76">
        <f>SUMIFS('август 2025'!$G$2:$G$2407,'август 2025'!$D$2:$D$2407,$B124,'август 2025'!$J$2:$J$2407,V$1)</f>
        <v>0</v>
      </c>
      <c r="W124" s="76">
        <f>SUMIFS('август 2025'!$G$2:$G$2407,'август 2025'!$D$2:$D$2407,$B124,'август 2025'!$J$2:$J$2407,W$1)</f>
        <v>0</v>
      </c>
      <c r="X124" s="76">
        <f>SUMIFS('август 2025'!$G$2:$G$2407,'август 2025'!$D$2:$D$2407,$B124,'август 2025'!$J$2:$J$2407,X$1)</f>
        <v>0</v>
      </c>
      <c r="Y124" s="76">
        <f>SUMIFS('август 2025'!$G$2:$G$2407,'август 2025'!$D$2:$D$2407,$B124,'август 2025'!$J$2:$J$2407,Y$1)</f>
        <v>0</v>
      </c>
      <c r="Z124" s="76">
        <f>SUMIFS('август 2025'!$G$2:$G$2407,'август 2025'!$D$2:$D$2407,$B124,'август 2025'!$J$2:$J$2407,Z$1)</f>
        <v>0</v>
      </c>
      <c r="AA124" s="76">
        <f>SUMIFS('август 2025'!$G$2:$G$2407,'август 2025'!$D$2:$D$2407,$B124,'август 2025'!$J$2:$J$2407,AA$1)</f>
        <v>0</v>
      </c>
      <c r="AB124" s="76">
        <f>SUMIFS('август 2025'!$G$2:$G$2407,'август 2025'!$D$2:$D$2407,$B124,'август 2025'!$J$2:$J$2407,AB$1)</f>
        <v>0</v>
      </c>
      <c r="AC124" s="76">
        <f>SUMIFS('август 2025'!$G$2:$G$2407,'август 2025'!$D$2:$D$2407,$B124,'август 2025'!$J$2:$J$2407,AC$1)</f>
        <v>0</v>
      </c>
      <c r="AD124" s="76">
        <f>SUMIFS('август 2025'!$G$2:$G$2407,'август 2025'!$D$2:$D$2407,$B124,'август 2025'!$J$2:$J$2407,AD$1)</f>
        <v>0</v>
      </c>
      <c r="AE124" s="76">
        <f>SUMIFS('август 2025'!$G$2:$G$2407,'август 2025'!$D$2:$D$2407,$B124,'август 2025'!$J$2:$J$2407,AE$1)</f>
        <v>0</v>
      </c>
      <c r="AF124" s="76">
        <f>SUMIFS('август 2025'!$G$2:$G$2407,'август 2025'!$D$2:$D$2407,$B124,'август 2025'!$J$2:$J$2407,AF$1)</f>
        <v>0</v>
      </c>
      <c r="AG124" s="76">
        <f>SUMIFS('август 2025'!$G$2:$G$2407,'август 2025'!$D$2:$D$2407,$B124,'август 2025'!$J$2:$J$2407,AG$1)</f>
        <v>0</v>
      </c>
      <c r="AH124" s="76">
        <f>SUMIFS('август 2025'!$G$2:$G$2407,'август 2025'!$D$2:$D$2407,$B124,'август 2025'!$J$2:$J$2407,AH$1)</f>
        <v>0</v>
      </c>
      <c r="AI124" s="20">
        <f t="shared" si="1"/>
        <v>0</v>
      </c>
    </row>
    <row r="125" spans="2:35" ht="15" customHeight="1" x14ac:dyDescent="0.25">
      <c r="B125" s="88" t="s">
        <v>310</v>
      </c>
      <c r="C125" s="86">
        <v>200</v>
      </c>
      <c r="D125" s="76">
        <f>SUMIFS('август 2025'!$G$2:$G$2407,'август 2025'!$D$2:$D$2407,$B125,'август 2025'!$J$2:$J$2407,D$1)</f>
        <v>0</v>
      </c>
      <c r="E125" s="76">
        <f>SUMIFS('август 2025'!$G$2:$G$2407,'август 2025'!$D$2:$D$2407,$B125,'август 2025'!$J$2:$J$2407,E$1)</f>
        <v>0</v>
      </c>
      <c r="F125" s="76">
        <f>SUMIFS('август 2025'!$G$2:$G$2407,'август 2025'!$D$2:$D$2407,$B125,'август 2025'!$J$2:$J$2407,F$1)</f>
        <v>0</v>
      </c>
      <c r="G125" s="76">
        <f>SUMIFS('август 2025'!$G$2:$G$2407,'август 2025'!$D$2:$D$2407,$B125,'август 2025'!$J$2:$J$2407,G$1)</f>
        <v>0</v>
      </c>
      <c r="H125" s="76">
        <f>SUMIFS('август 2025'!$G$2:$G$2407,'август 2025'!$D$2:$D$2407,$B125,'август 2025'!$J$2:$J$2407,H$1)</f>
        <v>0</v>
      </c>
      <c r="I125" s="76">
        <f>SUMIFS('август 2025'!$G$2:$G$2407,'август 2025'!$D$2:$D$2407,$B125,'август 2025'!$J$2:$J$2407,I$1)</f>
        <v>0</v>
      </c>
      <c r="J125" s="76">
        <f>SUMIFS('август 2025'!$G$2:$G$2407,'август 2025'!$D$2:$D$2407,$B125,'август 2025'!$J$2:$J$2407,J$1)</f>
        <v>0</v>
      </c>
      <c r="K125" s="76">
        <f>SUMIFS('август 2025'!$G$2:$G$2407,'август 2025'!$D$2:$D$2407,$B125,'август 2025'!$J$2:$J$2407,K$1)</f>
        <v>0</v>
      </c>
      <c r="L125" s="76">
        <f>SUMIFS('август 2025'!$G$2:$G$2407,'август 2025'!$D$2:$D$2407,$B125,'август 2025'!$J$2:$J$2407,L$1)</f>
        <v>0</v>
      </c>
      <c r="M125" s="76">
        <f>SUMIFS('август 2025'!$G$2:$G$2407,'август 2025'!$D$2:$D$2407,$B125,'август 2025'!$J$2:$J$2407,M$1)</f>
        <v>0</v>
      </c>
      <c r="N125" s="76">
        <f>SUMIFS('август 2025'!$G$2:$G$2407,'август 2025'!$D$2:$D$2407,$B125,'август 2025'!$J$2:$J$2407,N$1)</f>
        <v>0</v>
      </c>
      <c r="O125" s="76">
        <f>SUMIFS('август 2025'!$G$2:$G$2407,'август 2025'!$D$2:$D$2407,$B125,'август 2025'!$J$2:$J$2407,O$1)</f>
        <v>0</v>
      </c>
      <c r="P125" s="76">
        <f>SUMIFS('август 2025'!$G$2:$G$2407,'август 2025'!$D$2:$D$2407,$B125,'август 2025'!$J$2:$J$2407,P$1)</f>
        <v>0</v>
      </c>
      <c r="Q125" s="76">
        <f>SUMIFS('август 2025'!$G$2:$G$2407,'август 2025'!$D$2:$D$2407,$B125,'август 2025'!$J$2:$J$2407,Q$1)</f>
        <v>0</v>
      </c>
      <c r="R125" s="76">
        <f>SUMIFS('август 2025'!$G$2:$G$2407,'август 2025'!$D$2:$D$2407,$B125,'август 2025'!$J$2:$J$2407,R$1)</f>
        <v>0</v>
      </c>
      <c r="S125" s="76">
        <f>SUMIFS('август 2025'!$G$2:$G$2407,'август 2025'!$D$2:$D$2407,$B125,'август 2025'!$J$2:$J$2407,S$1)</f>
        <v>0</v>
      </c>
      <c r="T125" s="76">
        <f>SUMIFS('август 2025'!$G$2:$G$2407,'август 2025'!$D$2:$D$2407,$B125,'август 2025'!$J$2:$J$2407,T$1)</f>
        <v>0</v>
      </c>
      <c r="U125" s="76">
        <f>SUMIFS('август 2025'!$G$2:$G$2407,'август 2025'!$D$2:$D$2407,$B125,'август 2025'!$J$2:$J$2407,U$1)</f>
        <v>0</v>
      </c>
      <c r="V125" s="76">
        <f>SUMIFS('август 2025'!$G$2:$G$2407,'август 2025'!$D$2:$D$2407,$B125,'август 2025'!$J$2:$J$2407,V$1)</f>
        <v>0</v>
      </c>
      <c r="W125" s="76">
        <f>SUMIFS('август 2025'!$G$2:$G$2407,'август 2025'!$D$2:$D$2407,$B125,'август 2025'!$J$2:$J$2407,W$1)</f>
        <v>0</v>
      </c>
      <c r="X125" s="76">
        <f>SUMIFS('август 2025'!$G$2:$G$2407,'август 2025'!$D$2:$D$2407,$B125,'август 2025'!$J$2:$J$2407,X$1)</f>
        <v>0</v>
      </c>
      <c r="Y125" s="76">
        <f>SUMIFS('август 2025'!$G$2:$G$2407,'август 2025'!$D$2:$D$2407,$B125,'август 2025'!$J$2:$J$2407,Y$1)</f>
        <v>0</v>
      </c>
      <c r="Z125" s="76">
        <f>SUMIFS('август 2025'!$G$2:$G$2407,'август 2025'!$D$2:$D$2407,$B125,'август 2025'!$J$2:$J$2407,Z$1)</f>
        <v>0</v>
      </c>
      <c r="AA125" s="76">
        <f>SUMIFS('август 2025'!$G$2:$G$2407,'август 2025'!$D$2:$D$2407,$B125,'август 2025'!$J$2:$J$2407,AA$1)</f>
        <v>0</v>
      </c>
      <c r="AB125" s="76">
        <f>SUMIFS('август 2025'!$G$2:$G$2407,'август 2025'!$D$2:$D$2407,$B125,'август 2025'!$J$2:$J$2407,AB$1)</f>
        <v>0</v>
      </c>
      <c r="AC125" s="76">
        <f>SUMIFS('август 2025'!$G$2:$G$2407,'август 2025'!$D$2:$D$2407,$B125,'август 2025'!$J$2:$J$2407,AC$1)</f>
        <v>0</v>
      </c>
      <c r="AD125" s="76">
        <f>SUMIFS('август 2025'!$G$2:$G$2407,'август 2025'!$D$2:$D$2407,$B125,'август 2025'!$J$2:$J$2407,AD$1)</f>
        <v>0</v>
      </c>
      <c r="AE125" s="76">
        <f>SUMIFS('август 2025'!$G$2:$G$2407,'август 2025'!$D$2:$D$2407,$B125,'август 2025'!$J$2:$J$2407,AE$1)</f>
        <v>0</v>
      </c>
      <c r="AF125" s="76">
        <f>SUMIFS('август 2025'!$G$2:$G$2407,'август 2025'!$D$2:$D$2407,$B125,'август 2025'!$J$2:$J$2407,AF$1)</f>
        <v>0</v>
      </c>
      <c r="AG125" s="76">
        <f>SUMIFS('август 2025'!$G$2:$G$2407,'август 2025'!$D$2:$D$2407,$B125,'август 2025'!$J$2:$J$2407,AG$1)</f>
        <v>0</v>
      </c>
      <c r="AH125" s="76">
        <f>SUMIFS('август 2025'!$G$2:$G$2407,'август 2025'!$D$2:$D$2407,$B125,'август 2025'!$J$2:$J$2407,AH$1)</f>
        <v>0</v>
      </c>
      <c r="AI125" s="20">
        <f t="shared" si="1"/>
        <v>0</v>
      </c>
    </row>
    <row r="126" spans="2:35" ht="15" customHeight="1" x14ac:dyDescent="0.25">
      <c r="B126" s="88" t="s">
        <v>1256</v>
      </c>
      <c r="C126" s="86">
        <v>200</v>
      </c>
      <c r="D126" s="76">
        <f>SUMIFS('август 2025'!$G$2:$G$2407,'август 2025'!$D$2:$D$2407,$B126,'август 2025'!$J$2:$J$2407,D$1)</f>
        <v>0</v>
      </c>
      <c r="E126" s="76">
        <f>SUMIFS('август 2025'!$G$2:$G$2407,'август 2025'!$D$2:$D$2407,$B126,'август 2025'!$J$2:$J$2407,E$1)</f>
        <v>0</v>
      </c>
      <c r="F126" s="76">
        <f>SUMIFS('август 2025'!$G$2:$G$2407,'август 2025'!$D$2:$D$2407,$B126,'август 2025'!$J$2:$J$2407,F$1)</f>
        <v>0</v>
      </c>
      <c r="G126" s="76">
        <f>SUMIFS('август 2025'!$G$2:$G$2407,'август 2025'!$D$2:$D$2407,$B126,'август 2025'!$J$2:$J$2407,G$1)</f>
        <v>0</v>
      </c>
      <c r="H126" s="76">
        <f>SUMIFS('август 2025'!$G$2:$G$2407,'август 2025'!$D$2:$D$2407,$B126,'август 2025'!$J$2:$J$2407,H$1)</f>
        <v>0</v>
      </c>
      <c r="I126" s="76">
        <f>SUMIFS('август 2025'!$G$2:$G$2407,'август 2025'!$D$2:$D$2407,$B126,'август 2025'!$J$2:$J$2407,I$1)</f>
        <v>0</v>
      </c>
      <c r="J126" s="76">
        <f>SUMIFS('август 2025'!$G$2:$G$2407,'август 2025'!$D$2:$D$2407,$B126,'август 2025'!$J$2:$J$2407,J$1)</f>
        <v>0</v>
      </c>
      <c r="K126" s="76">
        <f>SUMIFS('август 2025'!$G$2:$G$2407,'август 2025'!$D$2:$D$2407,$B126,'август 2025'!$J$2:$J$2407,K$1)</f>
        <v>0</v>
      </c>
      <c r="L126" s="76">
        <f>SUMIFS('август 2025'!$G$2:$G$2407,'август 2025'!$D$2:$D$2407,$B126,'август 2025'!$J$2:$J$2407,L$1)</f>
        <v>0</v>
      </c>
      <c r="M126" s="76">
        <f>SUMIFS('август 2025'!$G$2:$G$2407,'август 2025'!$D$2:$D$2407,$B126,'август 2025'!$J$2:$J$2407,M$1)</f>
        <v>0</v>
      </c>
      <c r="N126" s="76">
        <f>SUMIFS('август 2025'!$G$2:$G$2407,'август 2025'!$D$2:$D$2407,$B126,'август 2025'!$J$2:$J$2407,N$1)</f>
        <v>0</v>
      </c>
      <c r="O126" s="76">
        <f>SUMIFS('август 2025'!$G$2:$G$2407,'август 2025'!$D$2:$D$2407,$B126,'август 2025'!$J$2:$J$2407,O$1)</f>
        <v>0</v>
      </c>
      <c r="P126" s="76">
        <f>SUMIFS('август 2025'!$G$2:$G$2407,'август 2025'!$D$2:$D$2407,$B126,'август 2025'!$J$2:$J$2407,P$1)</f>
        <v>0</v>
      </c>
      <c r="Q126" s="76">
        <f>SUMIFS('август 2025'!$G$2:$G$2407,'август 2025'!$D$2:$D$2407,$B126,'август 2025'!$J$2:$J$2407,Q$1)</f>
        <v>0</v>
      </c>
      <c r="R126" s="76">
        <f>SUMIFS('август 2025'!$G$2:$G$2407,'август 2025'!$D$2:$D$2407,$B126,'август 2025'!$J$2:$J$2407,R$1)</f>
        <v>0</v>
      </c>
      <c r="S126" s="76">
        <f>SUMIFS('август 2025'!$G$2:$G$2407,'август 2025'!$D$2:$D$2407,$B126,'август 2025'!$J$2:$J$2407,S$1)</f>
        <v>0</v>
      </c>
      <c r="T126" s="76">
        <f>SUMIFS('август 2025'!$G$2:$G$2407,'август 2025'!$D$2:$D$2407,$B126,'август 2025'!$J$2:$J$2407,T$1)</f>
        <v>0</v>
      </c>
      <c r="U126" s="76">
        <f>SUMIFS('август 2025'!$G$2:$G$2407,'август 2025'!$D$2:$D$2407,$B126,'август 2025'!$J$2:$J$2407,U$1)</f>
        <v>0</v>
      </c>
      <c r="V126" s="76">
        <f>SUMIFS('август 2025'!$G$2:$G$2407,'август 2025'!$D$2:$D$2407,$B126,'август 2025'!$J$2:$J$2407,V$1)</f>
        <v>0</v>
      </c>
      <c r="W126" s="76">
        <f>SUMIFS('август 2025'!$G$2:$G$2407,'август 2025'!$D$2:$D$2407,$B126,'август 2025'!$J$2:$J$2407,W$1)</f>
        <v>0</v>
      </c>
      <c r="X126" s="76">
        <f>SUMIFS('август 2025'!$G$2:$G$2407,'август 2025'!$D$2:$D$2407,$B126,'август 2025'!$J$2:$J$2407,X$1)</f>
        <v>0</v>
      </c>
      <c r="Y126" s="76">
        <f>SUMIFS('август 2025'!$G$2:$G$2407,'август 2025'!$D$2:$D$2407,$B126,'август 2025'!$J$2:$J$2407,Y$1)</f>
        <v>0</v>
      </c>
      <c r="Z126" s="76">
        <f>SUMIFS('август 2025'!$G$2:$G$2407,'август 2025'!$D$2:$D$2407,$B126,'август 2025'!$J$2:$J$2407,Z$1)</f>
        <v>0</v>
      </c>
      <c r="AA126" s="76">
        <f>SUMIFS('август 2025'!$G$2:$G$2407,'август 2025'!$D$2:$D$2407,$B126,'август 2025'!$J$2:$J$2407,AA$1)</f>
        <v>0</v>
      </c>
      <c r="AB126" s="76">
        <f>SUMIFS('август 2025'!$G$2:$G$2407,'август 2025'!$D$2:$D$2407,$B126,'август 2025'!$J$2:$J$2407,AB$1)</f>
        <v>0</v>
      </c>
      <c r="AC126" s="76">
        <f>SUMIFS('август 2025'!$G$2:$G$2407,'август 2025'!$D$2:$D$2407,$B126,'август 2025'!$J$2:$J$2407,AC$1)</f>
        <v>0</v>
      </c>
      <c r="AD126" s="76">
        <f>SUMIFS('август 2025'!$G$2:$G$2407,'август 2025'!$D$2:$D$2407,$B126,'август 2025'!$J$2:$J$2407,AD$1)</f>
        <v>0</v>
      </c>
      <c r="AE126" s="76">
        <f>SUMIFS('август 2025'!$G$2:$G$2407,'август 2025'!$D$2:$D$2407,$B126,'август 2025'!$J$2:$J$2407,AE$1)</f>
        <v>0</v>
      </c>
      <c r="AF126" s="76">
        <f>SUMIFS('август 2025'!$G$2:$G$2407,'август 2025'!$D$2:$D$2407,$B126,'август 2025'!$J$2:$J$2407,AF$1)</f>
        <v>0</v>
      </c>
      <c r="AG126" s="76">
        <f>SUMIFS('август 2025'!$G$2:$G$2407,'август 2025'!$D$2:$D$2407,$B126,'август 2025'!$J$2:$J$2407,AG$1)</f>
        <v>0</v>
      </c>
      <c r="AH126" s="76">
        <f>SUMIFS('август 2025'!$G$2:$G$2407,'август 2025'!$D$2:$D$2407,$B126,'август 2025'!$J$2:$J$2407,AH$1)</f>
        <v>0</v>
      </c>
      <c r="AI126" s="20">
        <f t="shared" si="1"/>
        <v>0</v>
      </c>
    </row>
    <row r="127" spans="2:35" ht="15" customHeight="1" x14ac:dyDescent="0.25">
      <c r="B127" s="88" t="s">
        <v>265</v>
      </c>
      <c r="C127" s="86">
        <v>180</v>
      </c>
      <c r="D127" s="76">
        <f>SUMIFS('август 2025'!$G$2:$G$2407,'август 2025'!$D$2:$D$2407,$B127,'август 2025'!$J$2:$J$2407,D$1)</f>
        <v>0</v>
      </c>
      <c r="E127" s="76">
        <f>SUMIFS('август 2025'!$G$2:$G$2407,'август 2025'!$D$2:$D$2407,$B127,'август 2025'!$J$2:$J$2407,E$1)</f>
        <v>0</v>
      </c>
      <c r="F127" s="76">
        <f>SUMIFS('август 2025'!$G$2:$G$2407,'август 2025'!$D$2:$D$2407,$B127,'август 2025'!$J$2:$J$2407,F$1)</f>
        <v>0</v>
      </c>
      <c r="G127" s="76">
        <f>SUMIFS('август 2025'!$G$2:$G$2407,'август 2025'!$D$2:$D$2407,$B127,'август 2025'!$J$2:$J$2407,G$1)</f>
        <v>0</v>
      </c>
      <c r="H127" s="76">
        <f>SUMIFS('август 2025'!$G$2:$G$2407,'август 2025'!$D$2:$D$2407,$B127,'август 2025'!$J$2:$J$2407,H$1)</f>
        <v>0</v>
      </c>
      <c r="I127" s="76">
        <f>SUMIFS('август 2025'!$G$2:$G$2407,'август 2025'!$D$2:$D$2407,$B127,'август 2025'!$J$2:$J$2407,I$1)</f>
        <v>0</v>
      </c>
      <c r="J127" s="76">
        <f>SUMIFS('август 2025'!$G$2:$G$2407,'август 2025'!$D$2:$D$2407,$B127,'август 2025'!$J$2:$J$2407,J$1)</f>
        <v>0</v>
      </c>
      <c r="K127" s="76">
        <f>SUMIFS('август 2025'!$G$2:$G$2407,'август 2025'!$D$2:$D$2407,$B127,'август 2025'!$J$2:$J$2407,K$1)</f>
        <v>0</v>
      </c>
      <c r="L127" s="76">
        <f>SUMIFS('август 2025'!$G$2:$G$2407,'август 2025'!$D$2:$D$2407,$B127,'август 2025'!$J$2:$J$2407,L$1)</f>
        <v>0</v>
      </c>
      <c r="M127" s="76">
        <f>SUMIFS('август 2025'!$G$2:$G$2407,'август 2025'!$D$2:$D$2407,$B127,'август 2025'!$J$2:$J$2407,M$1)</f>
        <v>0</v>
      </c>
      <c r="N127" s="76">
        <f>SUMIFS('август 2025'!$G$2:$G$2407,'август 2025'!$D$2:$D$2407,$B127,'август 2025'!$J$2:$J$2407,N$1)</f>
        <v>0</v>
      </c>
      <c r="O127" s="76">
        <f>SUMIFS('август 2025'!$G$2:$G$2407,'август 2025'!$D$2:$D$2407,$B127,'август 2025'!$J$2:$J$2407,O$1)</f>
        <v>0</v>
      </c>
      <c r="P127" s="76">
        <f>SUMIFS('август 2025'!$G$2:$G$2407,'август 2025'!$D$2:$D$2407,$B127,'август 2025'!$J$2:$J$2407,P$1)</f>
        <v>0</v>
      </c>
      <c r="Q127" s="76">
        <f>SUMIFS('август 2025'!$G$2:$G$2407,'август 2025'!$D$2:$D$2407,$B127,'август 2025'!$J$2:$J$2407,Q$1)</f>
        <v>0</v>
      </c>
      <c r="R127" s="76">
        <f>SUMIFS('август 2025'!$G$2:$G$2407,'август 2025'!$D$2:$D$2407,$B127,'август 2025'!$J$2:$J$2407,R$1)</f>
        <v>0</v>
      </c>
      <c r="S127" s="76">
        <f>SUMIFS('август 2025'!$G$2:$G$2407,'август 2025'!$D$2:$D$2407,$B127,'август 2025'!$J$2:$J$2407,S$1)</f>
        <v>0</v>
      </c>
      <c r="T127" s="76">
        <f>SUMIFS('август 2025'!$G$2:$G$2407,'август 2025'!$D$2:$D$2407,$B127,'август 2025'!$J$2:$J$2407,T$1)</f>
        <v>0</v>
      </c>
      <c r="U127" s="76">
        <f>SUMIFS('август 2025'!$G$2:$G$2407,'август 2025'!$D$2:$D$2407,$B127,'август 2025'!$J$2:$J$2407,U$1)</f>
        <v>0</v>
      </c>
      <c r="V127" s="76">
        <f>SUMIFS('август 2025'!$G$2:$G$2407,'август 2025'!$D$2:$D$2407,$B127,'август 2025'!$J$2:$J$2407,V$1)</f>
        <v>0</v>
      </c>
      <c r="W127" s="76">
        <f>SUMIFS('август 2025'!$G$2:$G$2407,'август 2025'!$D$2:$D$2407,$B127,'август 2025'!$J$2:$J$2407,W$1)</f>
        <v>0</v>
      </c>
      <c r="X127" s="76">
        <f>SUMIFS('август 2025'!$G$2:$G$2407,'август 2025'!$D$2:$D$2407,$B127,'август 2025'!$J$2:$J$2407,X$1)</f>
        <v>0</v>
      </c>
      <c r="Y127" s="76">
        <f>SUMIFS('август 2025'!$G$2:$G$2407,'август 2025'!$D$2:$D$2407,$B127,'август 2025'!$J$2:$J$2407,Y$1)</f>
        <v>0</v>
      </c>
      <c r="Z127" s="76">
        <f>SUMIFS('август 2025'!$G$2:$G$2407,'август 2025'!$D$2:$D$2407,$B127,'август 2025'!$J$2:$J$2407,Z$1)</f>
        <v>0</v>
      </c>
      <c r="AA127" s="76">
        <f>SUMIFS('август 2025'!$G$2:$G$2407,'август 2025'!$D$2:$D$2407,$B127,'август 2025'!$J$2:$J$2407,AA$1)</f>
        <v>0</v>
      </c>
      <c r="AB127" s="76">
        <f>SUMIFS('август 2025'!$G$2:$G$2407,'август 2025'!$D$2:$D$2407,$B127,'август 2025'!$J$2:$J$2407,AB$1)</f>
        <v>0</v>
      </c>
      <c r="AC127" s="76">
        <f>SUMIFS('август 2025'!$G$2:$G$2407,'август 2025'!$D$2:$D$2407,$B127,'август 2025'!$J$2:$J$2407,AC$1)</f>
        <v>0</v>
      </c>
      <c r="AD127" s="76">
        <f>SUMIFS('август 2025'!$G$2:$G$2407,'август 2025'!$D$2:$D$2407,$B127,'август 2025'!$J$2:$J$2407,AD$1)</f>
        <v>0</v>
      </c>
      <c r="AE127" s="76">
        <f>SUMIFS('август 2025'!$G$2:$G$2407,'август 2025'!$D$2:$D$2407,$B127,'август 2025'!$J$2:$J$2407,AE$1)</f>
        <v>0</v>
      </c>
      <c r="AF127" s="76">
        <f>SUMIFS('август 2025'!$G$2:$G$2407,'август 2025'!$D$2:$D$2407,$B127,'август 2025'!$J$2:$J$2407,AF$1)</f>
        <v>0</v>
      </c>
      <c r="AG127" s="76">
        <f>SUMIFS('август 2025'!$G$2:$G$2407,'август 2025'!$D$2:$D$2407,$B127,'август 2025'!$J$2:$J$2407,AG$1)</f>
        <v>0</v>
      </c>
      <c r="AH127" s="76">
        <f>SUMIFS('август 2025'!$G$2:$G$2407,'август 2025'!$D$2:$D$2407,$B127,'август 2025'!$J$2:$J$2407,AH$1)</f>
        <v>0</v>
      </c>
      <c r="AI127" s="20">
        <f t="shared" si="1"/>
        <v>0</v>
      </c>
    </row>
    <row r="128" spans="2:35" ht="15" customHeight="1" x14ac:dyDescent="0.25">
      <c r="B128" s="88" t="s">
        <v>326</v>
      </c>
      <c r="C128" s="86">
        <v>200</v>
      </c>
      <c r="D128" s="76">
        <f>SUMIFS('август 2025'!$G$2:$G$2407,'август 2025'!$D$2:$D$2407,$B128,'август 2025'!$J$2:$J$2407,D$1)</f>
        <v>0</v>
      </c>
      <c r="E128" s="76">
        <f>SUMIFS('август 2025'!$G$2:$G$2407,'август 2025'!$D$2:$D$2407,$B128,'август 2025'!$J$2:$J$2407,E$1)</f>
        <v>0</v>
      </c>
      <c r="F128" s="76">
        <f>SUMIFS('август 2025'!$G$2:$G$2407,'август 2025'!$D$2:$D$2407,$B128,'август 2025'!$J$2:$J$2407,F$1)</f>
        <v>0</v>
      </c>
      <c r="G128" s="76">
        <f>SUMIFS('август 2025'!$G$2:$G$2407,'август 2025'!$D$2:$D$2407,$B128,'август 2025'!$J$2:$J$2407,G$1)</f>
        <v>0</v>
      </c>
      <c r="H128" s="76">
        <f>SUMIFS('август 2025'!$G$2:$G$2407,'август 2025'!$D$2:$D$2407,$B128,'август 2025'!$J$2:$J$2407,H$1)</f>
        <v>0</v>
      </c>
      <c r="I128" s="76">
        <f>SUMIFS('август 2025'!$G$2:$G$2407,'август 2025'!$D$2:$D$2407,$B128,'август 2025'!$J$2:$J$2407,I$1)</f>
        <v>0</v>
      </c>
      <c r="J128" s="76">
        <f>SUMIFS('август 2025'!$G$2:$G$2407,'август 2025'!$D$2:$D$2407,$B128,'август 2025'!$J$2:$J$2407,J$1)</f>
        <v>0</v>
      </c>
      <c r="K128" s="76">
        <f>SUMIFS('август 2025'!$G$2:$G$2407,'август 2025'!$D$2:$D$2407,$B128,'август 2025'!$J$2:$J$2407,K$1)</f>
        <v>0</v>
      </c>
      <c r="L128" s="76">
        <f>SUMIFS('август 2025'!$G$2:$G$2407,'август 2025'!$D$2:$D$2407,$B128,'август 2025'!$J$2:$J$2407,L$1)</f>
        <v>0</v>
      </c>
      <c r="M128" s="76">
        <f>SUMIFS('август 2025'!$G$2:$G$2407,'август 2025'!$D$2:$D$2407,$B128,'август 2025'!$J$2:$J$2407,M$1)</f>
        <v>0</v>
      </c>
      <c r="N128" s="76">
        <f>SUMIFS('август 2025'!$G$2:$G$2407,'август 2025'!$D$2:$D$2407,$B128,'август 2025'!$J$2:$J$2407,N$1)</f>
        <v>0</v>
      </c>
      <c r="O128" s="76">
        <f>SUMIFS('август 2025'!$G$2:$G$2407,'август 2025'!$D$2:$D$2407,$B128,'август 2025'!$J$2:$J$2407,O$1)</f>
        <v>0</v>
      </c>
      <c r="P128" s="76">
        <f>SUMIFS('август 2025'!$G$2:$G$2407,'август 2025'!$D$2:$D$2407,$B128,'август 2025'!$J$2:$J$2407,P$1)</f>
        <v>0</v>
      </c>
      <c r="Q128" s="76">
        <f>SUMIFS('август 2025'!$G$2:$G$2407,'август 2025'!$D$2:$D$2407,$B128,'август 2025'!$J$2:$J$2407,Q$1)</f>
        <v>0</v>
      </c>
      <c r="R128" s="76">
        <f>SUMIFS('август 2025'!$G$2:$G$2407,'август 2025'!$D$2:$D$2407,$B128,'август 2025'!$J$2:$J$2407,R$1)</f>
        <v>0</v>
      </c>
      <c r="S128" s="76">
        <f>SUMIFS('август 2025'!$G$2:$G$2407,'август 2025'!$D$2:$D$2407,$B128,'август 2025'!$J$2:$J$2407,S$1)</f>
        <v>0</v>
      </c>
      <c r="T128" s="76">
        <f>SUMIFS('август 2025'!$G$2:$G$2407,'август 2025'!$D$2:$D$2407,$B128,'август 2025'!$J$2:$J$2407,T$1)</f>
        <v>0</v>
      </c>
      <c r="U128" s="76">
        <f>SUMIFS('август 2025'!$G$2:$G$2407,'август 2025'!$D$2:$D$2407,$B128,'август 2025'!$J$2:$J$2407,U$1)</f>
        <v>0</v>
      </c>
      <c r="V128" s="76">
        <f>SUMIFS('август 2025'!$G$2:$G$2407,'август 2025'!$D$2:$D$2407,$B128,'август 2025'!$J$2:$J$2407,V$1)</f>
        <v>0</v>
      </c>
      <c r="W128" s="76">
        <f>SUMIFS('август 2025'!$G$2:$G$2407,'август 2025'!$D$2:$D$2407,$B128,'август 2025'!$J$2:$J$2407,W$1)</f>
        <v>0</v>
      </c>
      <c r="X128" s="76">
        <f>SUMIFS('август 2025'!$G$2:$G$2407,'август 2025'!$D$2:$D$2407,$B128,'август 2025'!$J$2:$J$2407,X$1)</f>
        <v>0</v>
      </c>
      <c r="Y128" s="76">
        <f>SUMIFS('август 2025'!$G$2:$G$2407,'август 2025'!$D$2:$D$2407,$B128,'август 2025'!$J$2:$J$2407,Y$1)</f>
        <v>0</v>
      </c>
      <c r="Z128" s="76">
        <f>SUMIFS('август 2025'!$G$2:$G$2407,'август 2025'!$D$2:$D$2407,$B128,'август 2025'!$J$2:$J$2407,Z$1)</f>
        <v>0</v>
      </c>
      <c r="AA128" s="76">
        <f>SUMIFS('август 2025'!$G$2:$G$2407,'август 2025'!$D$2:$D$2407,$B128,'август 2025'!$J$2:$J$2407,AA$1)</f>
        <v>0</v>
      </c>
      <c r="AB128" s="76">
        <f>SUMIFS('август 2025'!$G$2:$G$2407,'август 2025'!$D$2:$D$2407,$B128,'август 2025'!$J$2:$J$2407,AB$1)</f>
        <v>0</v>
      </c>
      <c r="AC128" s="76">
        <f>SUMIFS('август 2025'!$G$2:$G$2407,'август 2025'!$D$2:$D$2407,$B128,'август 2025'!$J$2:$J$2407,AC$1)</f>
        <v>0</v>
      </c>
      <c r="AD128" s="76">
        <f>SUMIFS('август 2025'!$G$2:$G$2407,'август 2025'!$D$2:$D$2407,$B128,'август 2025'!$J$2:$J$2407,AD$1)</f>
        <v>0</v>
      </c>
      <c r="AE128" s="76">
        <f>SUMIFS('август 2025'!$G$2:$G$2407,'август 2025'!$D$2:$D$2407,$B128,'август 2025'!$J$2:$J$2407,AE$1)</f>
        <v>0</v>
      </c>
      <c r="AF128" s="76">
        <f>SUMIFS('август 2025'!$G$2:$G$2407,'август 2025'!$D$2:$D$2407,$B128,'август 2025'!$J$2:$J$2407,AF$1)</f>
        <v>0</v>
      </c>
      <c r="AG128" s="76">
        <f>SUMIFS('август 2025'!$G$2:$G$2407,'август 2025'!$D$2:$D$2407,$B128,'август 2025'!$J$2:$J$2407,AG$1)</f>
        <v>0</v>
      </c>
      <c r="AH128" s="76">
        <f>SUMIFS('август 2025'!$G$2:$G$2407,'август 2025'!$D$2:$D$2407,$B128,'август 2025'!$J$2:$J$2407,AH$1)</f>
        <v>0</v>
      </c>
      <c r="AI128" s="20">
        <f t="shared" si="1"/>
        <v>0</v>
      </c>
    </row>
    <row r="129" spans="2:35" ht="15" customHeight="1" x14ac:dyDescent="0.25">
      <c r="B129" s="88" t="s">
        <v>280</v>
      </c>
      <c r="C129" s="86">
        <v>185</v>
      </c>
      <c r="D129" s="76">
        <f>SUMIFS('август 2025'!$G$2:$G$2407,'август 2025'!$D$2:$D$2407,$B129,'август 2025'!$J$2:$J$2407,D$1)</f>
        <v>0</v>
      </c>
      <c r="E129" s="76">
        <f>SUMIFS('август 2025'!$G$2:$G$2407,'август 2025'!$D$2:$D$2407,$B129,'август 2025'!$J$2:$J$2407,E$1)</f>
        <v>0</v>
      </c>
      <c r="F129" s="76">
        <f>SUMIFS('август 2025'!$G$2:$G$2407,'август 2025'!$D$2:$D$2407,$B129,'август 2025'!$J$2:$J$2407,F$1)</f>
        <v>0</v>
      </c>
      <c r="G129" s="76">
        <f>SUMIFS('август 2025'!$G$2:$G$2407,'август 2025'!$D$2:$D$2407,$B129,'август 2025'!$J$2:$J$2407,G$1)</f>
        <v>0</v>
      </c>
      <c r="H129" s="76">
        <f>SUMIFS('август 2025'!$G$2:$G$2407,'август 2025'!$D$2:$D$2407,$B129,'август 2025'!$J$2:$J$2407,H$1)</f>
        <v>0</v>
      </c>
      <c r="I129" s="76">
        <f>SUMIFS('август 2025'!$G$2:$G$2407,'август 2025'!$D$2:$D$2407,$B129,'август 2025'!$J$2:$J$2407,I$1)</f>
        <v>0</v>
      </c>
      <c r="J129" s="76">
        <f>SUMIFS('август 2025'!$G$2:$G$2407,'август 2025'!$D$2:$D$2407,$B129,'август 2025'!$J$2:$J$2407,J$1)</f>
        <v>0</v>
      </c>
      <c r="K129" s="76">
        <f>SUMIFS('август 2025'!$G$2:$G$2407,'август 2025'!$D$2:$D$2407,$B129,'август 2025'!$J$2:$J$2407,K$1)</f>
        <v>0</v>
      </c>
      <c r="L129" s="76">
        <f>SUMIFS('август 2025'!$G$2:$G$2407,'август 2025'!$D$2:$D$2407,$B129,'август 2025'!$J$2:$J$2407,L$1)</f>
        <v>0</v>
      </c>
      <c r="M129" s="76">
        <f>SUMIFS('август 2025'!$G$2:$G$2407,'август 2025'!$D$2:$D$2407,$B129,'август 2025'!$J$2:$J$2407,M$1)</f>
        <v>0</v>
      </c>
      <c r="N129" s="76">
        <f>SUMIFS('август 2025'!$G$2:$G$2407,'август 2025'!$D$2:$D$2407,$B129,'август 2025'!$J$2:$J$2407,N$1)</f>
        <v>0</v>
      </c>
      <c r="O129" s="76">
        <f>SUMIFS('август 2025'!$G$2:$G$2407,'август 2025'!$D$2:$D$2407,$B129,'август 2025'!$J$2:$J$2407,O$1)</f>
        <v>0</v>
      </c>
      <c r="P129" s="76">
        <f>SUMIFS('август 2025'!$G$2:$G$2407,'август 2025'!$D$2:$D$2407,$B129,'август 2025'!$J$2:$J$2407,P$1)</f>
        <v>0</v>
      </c>
      <c r="Q129" s="76">
        <f>SUMIFS('август 2025'!$G$2:$G$2407,'август 2025'!$D$2:$D$2407,$B129,'август 2025'!$J$2:$J$2407,Q$1)</f>
        <v>0</v>
      </c>
      <c r="R129" s="76">
        <f>SUMIFS('август 2025'!$G$2:$G$2407,'август 2025'!$D$2:$D$2407,$B129,'август 2025'!$J$2:$J$2407,R$1)</f>
        <v>0</v>
      </c>
      <c r="S129" s="76">
        <f>SUMIFS('август 2025'!$G$2:$G$2407,'август 2025'!$D$2:$D$2407,$B129,'август 2025'!$J$2:$J$2407,S$1)</f>
        <v>0</v>
      </c>
      <c r="T129" s="76">
        <f>SUMIFS('август 2025'!$G$2:$G$2407,'август 2025'!$D$2:$D$2407,$B129,'август 2025'!$J$2:$J$2407,T$1)</f>
        <v>0</v>
      </c>
      <c r="U129" s="76">
        <f>SUMIFS('август 2025'!$G$2:$G$2407,'август 2025'!$D$2:$D$2407,$B129,'август 2025'!$J$2:$J$2407,U$1)</f>
        <v>0</v>
      </c>
      <c r="V129" s="76">
        <f>SUMIFS('август 2025'!$G$2:$G$2407,'август 2025'!$D$2:$D$2407,$B129,'август 2025'!$J$2:$J$2407,V$1)</f>
        <v>0</v>
      </c>
      <c r="W129" s="76">
        <f>SUMIFS('август 2025'!$G$2:$G$2407,'август 2025'!$D$2:$D$2407,$B129,'август 2025'!$J$2:$J$2407,W$1)</f>
        <v>0</v>
      </c>
      <c r="X129" s="76">
        <f>SUMIFS('август 2025'!$G$2:$G$2407,'август 2025'!$D$2:$D$2407,$B129,'август 2025'!$J$2:$J$2407,X$1)</f>
        <v>0</v>
      </c>
      <c r="Y129" s="76">
        <f>SUMIFS('август 2025'!$G$2:$G$2407,'август 2025'!$D$2:$D$2407,$B129,'август 2025'!$J$2:$J$2407,Y$1)</f>
        <v>0</v>
      </c>
      <c r="Z129" s="76">
        <f>SUMIFS('август 2025'!$G$2:$G$2407,'август 2025'!$D$2:$D$2407,$B129,'август 2025'!$J$2:$J$2407,Z$1)</f>
        <v>0</v>
      </c>
      <c r="AA129" s="76">
        <f>SUMIFS('август 2025'!$G$2:$G$2407,'август 2025'!$D$2:$D$2407,$B129,'август 2025'!$J$2:$J$2407,AA$1)</f>
        <v>0</v>
      </c>
      <c r="AB129" s="76">
        <f>SUMIFS('август 2025'!$G$2:$G$2407,'август 2025'!$D$2:$D$2407,$B129,'август 2025'!$J$2:$J$2407,AB$1)</f>
        <v>0</v>
      </c>
      <c r="AC129" s="76">
        <f>SUMIFS('август 2025'!$G$2:$G$2407,'август 2025'!$D$2:$D$2407,$B129,'август 2025'!$J$2:$J$2407,AC$1)</f>
        <v>0</v>
      </c>
      <c r="AD129" s="76">
        <f>SUMIFS('август 2025'!$G$2:$G$2407,'август 2025'!$D$2:$D$2407,$B129,'август 2025'!$J$2:$J$2407,AD$1)</f>
        <v>0</v>
      </c>
      <c r="AE129" s="76">
        <f>SUMIFS('август 2025'!$G$2:$G$2407,'август 2025'!$D$2:$D$2407,$B129,'август 2025'!$J$2:$J$2407,AE$1)</f>
        <v>0</v>
      </c>
      <c r="AF129" s="76">
        <f>SUMIFS('август 2025'!$G$2:$G$2407,'август 2025'!$D$2:$D$2407,$B129,'август 2025'!$J$2:$J$2407,AF$1)</f>
        <v>0</v>
      </c>
      <c r="AG129" s="76">
        <f>SUMIFS('август 2025'!$G$2:$G$2407,'август 2025'!$D$2:$D$2407,$B129,'август 2025'!$J$2:$J$2407,AG$1)</f>
        <v>0</v>
      </c>
      <c r="AH129" s="76">
        <f>SUMIFS('август 2025'!$G$2:$G$2407,'август 2025'!$D$2:$D$2407,$B129,'август 2025'!$J$2:$J$2407,AH$1)</f>
        <v>0</v>
      </c>
      <c r="AI129" s="20">
        <f t="shared" si="1"/>
        <v>0</v>
      </c>
    </row>
    <row r="130" spans="2:35" ht="15" customHeight="1" x14ac:dyDescent="0.25">
      <c r="B130" s="88" t="s">
        <v>283</v>
      </c>
      <c r="C130" s="86">
        <v>185</v>
      </c>
      <c r="D130" s="76">
        <f>SUMIFS('август 2025'!$G$2:$G$2407,'август 2025'!$D$2:$D$2407,$B130,'август 2025'!$J$2:$J$2407,D$1)</f>
        <v>0</v>
      </c>
      <c r="E130" s="76">
        <f>SUMIFS('август 2025'!$G$2:$G$2407,'август 2025'!$D$2:$D$2407,$B130,'август 2025'!$J$2:$J$2407,E$1)</f>
        <v>0</v>
      </c>
      <c r="F130" s="76">
        <f>SUMIFS('август 2025'!$G$2:$G$2407,'август 2025'!$D$2:$D$2407,$B130,'август 2025'!$J$2:$J$2407,F$1)</f>
        <v>0</v>
      </c>
      <c r="G130" s="76">
        <f>SUMIFS('август 2025'!$G$2:$G$2407,'август 2025'!$D$2:$D$2407,$B130,'август 2025'!$J$2:$J$2407,G$1)</f>
        <v>0</v>
      </c>
      <c r="H130" s="76">
        <f>SUMIFS('август 2025'!$G$2:$G$2407,'август 2025'!$D$2:$D$2407,$B130,'август 2025'!$J$2:$J$2407,H$1)</f>
        <v>0</v>
      </c>
      <c r="I130" s="76">
        <f>SUMIFS('август 2025'!$G$2:$G$2407,'август 2025'!$D$2:$D$2407,$B130,'август 2025'!$J$2:$J$2407,I$1)</f>
        <v>0</v>
      </c>
      <c r="J130" s="76">
        <f>SUMIFS('август 2025'!$G$2:$G$2407,'август 2025'!$D$2:$D$2407,$B130,'август 2025'!$J$2:$J$2407,J$1)</f>
        <v>0</v>
      </c>
      <c r="K130" s="76">
        <f>SUMIFS('август 2025'!$G$2:$G$2407,'август 2025'!$D$2:$D$2407,$B130,'август 2025'!$J$2:$J$2407,K$1)</f>
        <v>0</v>
      </c>
      <c r="L130" s="76">
        <f>SUMIFS('август 2025'!$G$2:$G$2407,'август 2025'!$D$2:$D$2407,$B130,'август 2025'!$J$2:$J$2407,L$1)</f>
        <v>0</v>
      </c>
      <c r="M130" s="76">
        <f>SUMIFS('август 2025'!$G$2:$G$2407,'август 2025'!$D$2:$D$2407,$B130,'август 2025'!$J$2:$J$2407,M$1)</f>
        <v>0</v>
      </c>
      <c r="N130" s="76">
        <f>SUMIFS('август 2025'!$G$2:$G$2407,'август 2025'!$D$2:$D$2407,$B130,'август 2025'!$J$2:$J$2407,N$1)</f>
        <v>0</v>
      </c>
      <c r="O130" s="76">
        <f>SUMIFS('август 2025'!$G$2:$G$2407,'август 2025'!$D$2:$D$2407,$B130,'август 2025'!$J$2:$J$2407,O$1)</f>
        <v>0</v>
      </c>
      <c r="P130" s="76">
        <f>SUMIFS('август 2025'!$G$2:$G$2407,'август 2025'!$D$2:$D$2407,$B130,'август 2025'!$J$2:$J$2407,P$1)</f>
        <v>0</v>
      </c>
      <c r="Q130" s="76">
        <f>SUMIFS('август 2025'!$G$2:$G$2407,'август 2025'!$D$2:$D$2407,$B130,'август 2025'!$J$2:$J$2407,Q$1)</f>
        <v>0</v>
      </c>
      <c r="R130" s="76">
        <f>SUMIFS('август 2025'!$G$2:$G$2407,'август 2025'!$D$2:$D$2407,$B130,'август 2025'!$J$2:$J$2407,R$1)</f>
        <v>0</v>
      </c>
      <c r="S130" s="76">
        <f>SUMIFS('август 2025'!$G$2:$G$2407,'август 2025'!$D$2:$D$2407,$B130,'август 2025'!$J$2:$J$2407,S$1)</f>
        <v>0</v>
      </c>
      <c r="T130" s="76">
        <f>SUMIFS('август 2025'!$G$2:$G$2407,'август 2025'!$D$2:$D$2407,$B130,'август 2025'!$J$2:$J$2407,T$1)</f>
        <v>0</v>
      </c>
      <c r="U130" s="76">
        <f>SUMIFS('август 2025'!$G$2:$G$2407,'август 2025'!$D$2:$D$2407,$B130,'август 2025'!$J$2:$J$2407,U$1)</f>
        <v>0</v>
      </c>
      <c r="V130" s="76">
        <f>SUMIFS('август 2025'!$G$2:$G$2407,'август 2025'!$D$2:$D$2407,$B130,'август 2025'!$J$2:$J$2407,V$1)</f>
        <v>0</v>
      </c>
      <c r="W130" s="76">
        <f>SUMIFS('август 2025'!$G$2:$G$2407,'август 2025'!$D$2:$D$2407,$B130,'август 2025'!$J$2:$J$2407,W$1)</f>
        <v>0</v>
      </c>
      <c r="X130" s="76">
        <f>SUMIFS('август 2025'!$G$2:$G$2407,'август 2025'!$D$2:$D$2407,$B130,'август 2025'!$J$2:$J$2407,X$1)</f>
        <v>0</v>
      </c>
      <c r="Y130" s="76">
        <f>SUMIFS('август 2025'!$G$2:$G$2407,'август 2025'!$D$2:$D$2407,$B130,'август 2025'!$J$2:$J$2407,Y$1)</f>
        <v>0</v>
      </c>
      <c r="Z130" s="76">
        <f>SUMIFS('август 2025'!$G$2:$G$2407,'август 2025'!$D$2:$D$2407,$B130,'август 2025'!$J$2:$J$2407,Z$1)</f>
        <v>0</v>
      </c>
      <c r="AA130" s="76">
        <f>SUMIFS('август 2025'!$G$2:$G$2407,'август 2025'!$D$2:$D$2407,$B130,'август 2025'!$J$2:$J$2407,AA$1)</f>
        <v>0</v>
      </c>
      <c r="AB130" s="76">
        <f>SUMIFS('август 2025'!$G$2:$G$2407,'август 2025'!$D$2:$D$2407,$B130,'август 2025'!$J$2:$J$2407,AB$1)</f>
        <v>0</v>
      </c>
      <c r="AC130" s="76">
        <f>SUMIFS('август 2025'!$G$2:$G$2407,'август 2025'!$D$2:$D$2407,$B130,'август 2025'!$J$2:$J$2407,AC$1)</f>
        <v>0</v>
      </c>
      <c r="AD130" s="76">
        <f>SUMIFS('август 2025'!$G$2:$G$2407,'август 2025'!$D$2:$D$2407,$B130,'август 2025'!$J$2:$J$2407,AD$1)</f>
        <v>0</v>
      </c>
      <c r="AE130" s="76">
        <f>SUMIFS('август 2025'!$G$2:$G$2407,'август 2025'!$D$2:$D$2407,$B130,'август 2025'!$J$2:$J$2407,AE$1)</f>
        <v>0</v>
      </c>
      <c r="AF130" s="76">
        <f>SUMIFS('август 2025'!$G$2:$G$2407,'август 2025'!$D$2:$D$2407,$B130,'август 2025'!$J$2:$J$2407,AF$1)</f>
        <v>0</v>
      </c>
      <c r="AG130" s="76">
        <f>SUMIFS('август 2025'!$G$2:$G$2407,'август 2025'!$D$2:$D$2407,$B130,'август 2025'!$J$2:$J$2407,AG$1)</f>
        <v>0</v>
      </c>
      <c r="AH130" s="76">
        <f>SUMIFS('август 2025'!$G$2:$G$2407,'август 2025'!$D$2:$D$2407,$B130,'август 2025'!$J$2:$J$2407,AH$1)</f>
        <v>0</v>
      </c>
      <c r="AI130" s="20">
        <f t="shared" si="1"/>
        <v>0</v>
      </c>
    </row>
    <row r="131" spans="2:35" ht="15" customHeight="1" x14ac:dyDescent="0.25">
      <c r="B131" s="88" t="s">
        <v>866</v>
      </c>
      <c r="C131" s="86">
        <v>185</v>
      </c>
      <c r="D131" s="76">
        <f>SUMIFS('август 2025'!$G$2:$G$2407,'август 2025'!$D$2:$D$2407,$B131,'август 2025'!$J$2:$J$2407,D$1)</f>
        <v>0</v>
      </c>
      <c r="E131" s="76">
        <f>SUMIFS('август 2025'!$G$2:$G$2407,'август 2025'!$D$2:$D$2407,$B131,'август 2025'!$J$2:$J$2407,E$1)</f>
        <v>0</v>
      </c>
      <c r="F131" s="76">
        <f>SUMIFS('август 2025'!$G$2:$G$2407,'август 2025'!$D$2:$D$2407,$B131,'август 2025'!$J$2:$J$2407,F$1)</f>
        <v>0</v>
      </c>
      <c r="G131" s="76">
        <f>SUMIFS('август 2025'!$G$2:$G$2407,'август 2025'!$D$2:$D$2407,$B131,'август 2025'!$J$2:$J$2407,G$1)</f>
        <v>0</v>
      </c>
      <c r="H131" s="76">
        <f>SUMIFS('август 2025'!$G$2:$G$2407,'август 2025'!$D$2:$D$2407,$B131,'август 2025'!$J$2:$J$2407,H$1)</f>
        <v>0</v>
      </c>
      <c r="I131" s="76">
        <f>SUMIFS('август 2025'!$G$2:$G$2407,'август 2025'!$D$2:$D$2407,$B131,'август 2025'!$J$2:$J$2407,I$1)</f>
        <v>0</v>
      </c>
      <c r="J131" s="76">
        <f>SUMIFS('август 2025'!$G$2:$G$2407,'август 2025'!$D$2:$D$2407,$B131,'август 2025'!$J$2:$J$2407,J$1)</f>
        <v>0</v>
      </c>
      <c r="K131" s="76">
        <f>SUMIFS('август 2025'!$G$2:$G$2407,'август 2025'!$D$2:$D$2407,$B131,'август 2025'!$J$2:$J$2407,K$1)</f>
        <v>0</v>
      </c>
      <c r="L131" s="76">
        <f>SUMIFS('август 2025'!$G$2:$G$2407,'август 2025'!$D$2:$D$2407,$B131,'август 2025'!$J$2:$J$2407,L$1)</f>
        <v>0</v>
      </c>
      <c r="M131" s="76">
        <f>SUMIFS('август 2025'!$G$2:$G$2407,'август 2025'!$D$2:$D$2407,$B131,'август 2025'!$J$2:$J$2407,M$1)</f>
        <v>0</v>
      </c>
      <c r="N131" s="76">
        <f>SUMIFS('август 2025'!$G$2:$G$2407,'август 2025'!$D$2:$D$2407,$B131,'август 2025'!$J$2:$J$2407,N$1)</f>
        <v>0</v>
      </c>
      <c r="O131" s="76">
        <f>SUMIFS('август 2025'!$G$2:$G$2407,'август 2025'!$D$2:$D$2407,$B131,'август 2025'!$J$2:$J$2407,O$1)</f>
        <v>0</v>
      </c>
      <c r="P131" s="76">
        <f>SUMIFS('август 2025'!$G$2:$G$2407,'август 2025'!$D$2:$D$2407,$B131,'август 2025'!$J$2:$J$2407,P$1)</f>
        <v>0</v>
      </c>
      <c r="Q131" s="76">
        <f>SUMIFS('август 2025'!$G$2:$G$2407,'август 2025'!$D$2:$D$2407,$B131,'август 2025'!$J$2:$J$2407,Q$1)</f>
        <v>0</v>
      </c>
      <c r="R131" s="76">
        <f>SUMIFS('август 2025'!$G$2:$G$2407,'август 2025'!$D$2:$D$2407,$B131,'август 2025'!$J$2:$J$2407,R$1)</f>
        <v>0</v>
      </c>
      <c r="S131" s="76">
        <f>SUMIFS('август 2025'!$G$2:$G$2407,'август 2025'!$D$2:$D$2407,$B131,'август 2025'!$J$2:$J$2407,S$1)</f>
        <v>0</v>
      </c>
      <c r="T131" s="76">
        <f>SUMIFS('август 2025'!$G$2:$G$2407,'август 2025'!$D$2:$D$2407,$B131,'август 2025'!$J$2:$J$2407,T$1)</f>
        <v>0</v>
      </c>
      <c r="U131" s="76">
        <f>SUMIFS('август 2025'!$G$2:$G$2407,'август 2025'!$D$2:$D$2407,$B131,'август 2025'!$J$2:$J$2407,U$1)</f>
        <v>0</v>
      </c>
      <c r="V131" s="76">
        <f>SUMIFS('август 2025'!$G$2:$G$2407,'август 2025'!$D$2:$D$2407,$B131,'август 2025'!$J$2:$J$2407,V$1)</f>
        <v>0</v>
      </c>
      <c r="W131" s="76">
        <f>SUMIFS('август 2025'!$G$2:$G$2407,'август 2025'!$D$2:$D$2407,$B131,'август 2025'!$J$2:$J$2407,W$1)</f>
        <v>0</v>
      </c>
      <c r="X131" s="76">
        <f>SUMIFS('август 2025'!$G$2:$G$2407,'август 2025'!$D$2:$D$2407,$B131,'август 2025'!$J$2:$J$2407,X$1)</f>
        <v>0</v>
      </c>
      <c r="Y131" s="76">
        <f>SUMIFS('август 2025'!$G$2:$G$2407,'август 2025'!$D$2:$D$2407,$B131,'август 2025'!$J$2:$J$2407,Y$1)</f>
        <v>0</v>
      </c>
      <c r="Z131" s="76">
        <f>SUMIFS('август 2025'!$G$2:$G$2407,'август 2025'!$D$2:$D$2407,$B131,'август 2025'!$J$2:$J$2407,Z$1)</f>
        <v>0</v>
      </c>
      <c r="AA131" s="76">
        <f>SUMIFS('август 2025'!$G$2:$G$2407,'август 2025'!$D$2:$D$2407,$B131,'август 2025'!$J$2:$J$2407,AA$1)</f>
        <v>0</v>
      </c>
      <c r="AB131" s="76">
        <f>SUMIFS('август 2025'!$G$2:$G$2407,'август 2025'!$D$2:$D$2407,$B131,'август 2025'!$J$2:$J$2407,AB$1)</f>
        <v>0</v>
      </c>
      <c r="AC131" s="76">
        <f>SUMIFS('август 2025'!$G$2:$G$2407,'август 2025'!$D$2:$D$2407,$B131,'август 2025'!$J$2:$J$2407,AC$1)</f>
        <v>0</v>
      </c>
      <c r="AD131" s="76">
        <f>SUMIFS('август 2025'!$G$2:$G$2407,'август 2025'!$D$2:$D$2407,$B131,'август 2025'!$J$2:$J$2407,AD$1)</f>
        <v>0</v>
      </c>
      <c r="AE131" s="76">
        <f>SUMIFS('август 2025'!$G$2:$G$2407,'август 2025'!$D$2:$D$2407,$B131,'август 2025'!$J$2:$J$2407,AE$1)</f>
        <v>0</v>
      </c>
      <c r="AF131" s="76">
        <f>SUMIFS('август 2025'!$G$2:$G$2407,'август 2025'!$D$2:$D$2407,$B131,'август 2025'!$J$2:$J$2407,AF$1)</f>
        <v>0</v>
      </c>
      <c r="AG131" s="76">
        <f>SUMIFS('август 2025'!$G$2:$G$2407,'август 2025'!$D$2:$D$2407,$B131,'август 2025'!$J$2:$J$2407,AG$1)</f>
        <v>0</v>
      </c>
      <c r="AH131" s="76">
        <f>SUMIFS('август 2025'!$G$2:$G$2407,'август 2025'!$D$2:$D$2407,$B131,'август 2025'!$J$2:$J$2407,AH$1)</f>
        <v>0</v>
      </c>
      <c r="AI131" s="20">
        <f t="shared" si="1"/>
        <v>0</v>
      </c>
    </row>
    <row r="132" spans="2:35" ht="15" customHeight="1" x14ac:dyDescent="0.25">
      <c r="B132" s="88" t="s">
        <v>266</v>
      </c>
      <c r="C132" s="86">
        <v>180</v>
      </c>
      <c r="D132" s="76">
        <f>SUMIFS('август 2025'!$G$2:$G$2407,'август 2025'!$D$2:$D$2407,$B132,'август 2025'!$J$2:$J$2407,D$1)</f>
        <v>0</v>
      </c>
      <c r="E132" s="76">
        <f>SUMIFS('август 2025'!$G$2:$G$2407,'август 2025'!$D$2:$D$2407,$B132,'август 2025'!$J$2:$J$2407,E$1)</f>
        <v>0</v>
      </c>
      <c r="F132" s="76">
        <f>SUMIFS('август 2025'!$G$2:$G$2407,'август 2025'!$D$2:$D$2407,$B132,'август 2025'!$J$2:$J$2407,F$1)</f>
        <v>0</v>
      </c>
      <c r="G132" s="76">
        <f>SUMIFS('август 2025'!$G$2:$G$2407,'август 2025'!$D$2:$D$2407,$B132,'август 2025'!$J$2:$J$2407,G$1)</f>
        <v>0</v>
      </c>
      <c r="H132" s="76">
        <f>SUMIFS('август 2025'!$G$2:$G$2407,'август 2025'!$D$2:$D$2407,$B132,'август 2025'!$J$2:$J$2407,H$1)</f>
        <v>0</v>
      </c>
      <c r="I132" s="76">
        <f>SUMIFS('август 2025'!$G$2:$G$2407,'август 2025'!$D$2:$D$2407,$B132,'август 2025'!$J$2:$J$2407,I$1)</f>
        <v>0</v>
      </c>
      <c r="J132" s="76">
        <f>SUMIFS('август 2025'!$G$2:$G$2407,'август 2025'!$D$2:$D$2407,$B132,'август 2025'!$J$2:$J$2407,J$1)</f>
        <v>0</v>
      </c>
      <c r="K132" s="76">
        <f>SUMIFS('август 2025'!$G$2:$G$2407,'август 2025'!$D$2:$D$2407,$B132,'август 2025'!$J$2:$J$2407,K$1)</f>
        <v>0</v>
      </c>
      <c r="L132" s="76">
        <f>SUMIFS('август 2025'!$G$2:$G$2407,'август 2025'!$D$2:$D$2407,$B132,'август 2025'!$J$2:$J$2407,L$1)</f>
        <v>0</v>
      </c>
      <c r="M132" s="76">
        <f>SUMIFS('август 2025'!$G$2:$G$2407,'август 2025'!$D$2:$D$2407,$B132,'август 2025'!$J$2:$J$2407,M$1)</f>
        <v>0</v>
      </c>
      <c r="N132" s="76">
        <f>SUMIFS('август 2025'!$G$2:$G$2407,'август 2025'!$D$2:$D$2407,$B132,'август 2025'!$J$2:$J$2407,N$1)</f>
        <v>0</v>
      </c>
      <c r="O132" s="76">
        <f>SUMIFS('август 2025'!$G$2:$G$2407,'август 2025'!$D$2:$D$2407,$B132,'август 2025'!$J$2:$J$2407,O$1)</f>
        <v>0</v>
      </c>
      <c r="P132" s="76">
        <f>SUMIFS('август 2025'!$G$2:$G$2407,'август 2025'!$D$2:$D$2407,$B132,'август 2025'!$J$2:$J$2407,P$1)</f>
        <v>0</v>
      </c>
      <c r="Q132" s="76">
        <f>SUMIFS('август 2025'!$G$2:$G$2407,'август 2025'!$D$2:$D$2407,$B132,'август 2025'!$J$2:$J$2407,Q$1)</f>
        <v>0</v>
      </c>
      <c r="R132" s="76">
        <f>SUMIFS('август 2025'!$G$2:$G$2407,'август 2025'!$D$2:$D$2407,$B132,'август 2025'!$J$2:$J$2407,R$1)</f>
        <v>0</v>
      </c>
      <c r="S132" s="76">
        <f>SUMIFS('август 2025'!$G$2:$G$2407,'август 2025'!$D$2:$D$2407,$B132,'август 2025'!$J$2:$J$2407,S$1)</f>
        <v>0</v>
      </c>
      <c r="T132" s="76">
        <f>SUMIFS('август 2025'!$G$2:$G$2407,'август 2025'!$D$2:$D$2407,$B132,'август 2025'!$J$2:$J$2407,T$1)</f>
        <v>0</v>
      </c>
      <c r="U132" s="76">
        <f>SUMIFS('август 2025'!$G$2:$G$2407,'август 2025'!$D$2:$D$2407,$B132,'август 2025'!$J$2:$J$2407,U$1)</f>
        <v>0</v>
      </c>
      <c r="V132" s="76">
        <f>SUMIFS('август 2025'!$G$2:$G$2407,'август 2025'!$D$2:$D$2407,$B132,'август 2025'!$J$2:$J$2407,V$1)</f>
        <v>0</v>
      </c>
      <c r="W132" s="76">
        <f>SUMIFS('август 2025'!$G$2:$G$2407,'август 2025'!$D$2:$D$2407,$B132,'август 2025'!$J$2:$J$2407,W$1)</f>
        <v>0</v>
      </c>
      <c r="X132" s="76">
        <f>SUMIFS('август 2025'!$G$2:$G$2407,'август 2025'!$D$2:$D$2407,$B132,'август 2025'!$J$2:$J$2407,X$1)</f>
        <v>0</v>
      </c>
      <c r="Y132" s="76">
        <f>SUMIFS('август 2025'!$G$2:$G$2407,'август 2025'!$D$2:$D$2407,$B132,'август 2025'!$J$2:$J$2407,Y$1)</f>
        <v>0</v>
      </c>
      <c r="Z132" s="76">
        <f>SUMIFS('август 2025'!$G$2:$G$2407,'август 2025'!$D$2:$D$2407,$B132,'август 2025'!$J$2:$J$2407,Z$1)</f>
        <v>0</v>
      </c>
      <c r="AA132" s="76">
        <f>SUMIFS('август 2025'!$G$2:$G$2407,'август 2025'!$D$2:$D$2407,$B132,'август 2025'!$J$2:$J$2407,AA$1)</f>
        <v>0</v>
      </c>
      <c r="AB132" s="76">
        <f>SUMIFS('август 2025'!$G$2:$G$2407,'август 2025'!$D$2:$D$2407,$B132,'август 2025'!$J$2:$J$2407,AB$1)</f>
        <v>0</v>
      </c>
      <c r="AC132" s="76">
        <f>SUMIFS('август 2025'!$G$2:$G$2407,'август 2025'!$D$2:$D$2407,$B132,'август 2025'!$J$2:$J$2407,AC$1)</f>
        <v>0</v>
      </c>
      <c r="AD132" s="76">
        <f>SUMIFS('август 2025'!$G$2:$G$2407,'август 2025'!$D$2:$D$2407,$B132,'август 2025'!$J$2:$J$2407,AD$1)</f>
        <v>0</v>
      </c>
      <c r="AE132" s="76">
        <f>SUMIFS('август 2025'!$G$2:$G$2407,'август 2025'!$D$2:$D$2407,$B132,'август 2025'!$J$2:$J$2407,AE$1)</f>
        <v>0</v>
      </c>
      <c r="AF132" s="76">
        <f>SUMIFS('август 2025'!$G$2:$G$2407,'август 2025'!$D$2:$D$2407,$B132,'август 2025'!$J$2:$J$2407,AF$1)</f>
        <v>0</v>
      </c>
      <c r="AG132" s="76">
        <f>SUMIFS('август 2025'!$G$2:$G$2407,'август 2025'!$D$2:$D$2407,$B132,'август 2025'!$J$2:$J$2407,AG$1)</f>
        <v>0</v>
      </c>
      <c r="AH132" s="76">
        <f>SUMIFS('август 2025'!$G$2:$G$2407,'август 2025'!$D$2:$D$2407,$B132,'август 2025'!$J$2:$J$2407,AH$1)</f>
        <v>0</v>
      </c>
      <c r="AI132" s="20">
        <f t="shared" si="1"/>
        <v>0</v>
      </c>
    </row>
    <row r="133" spans="2:35" ht="15" customHeight="1" x14ac:dyDescent="0.25">
      <c r="B133" s="88" t="s">
        <v>267</v>
      </c>
      <c r="C133" s="86">
        <v>200</v>
      </c>
      <c r="D133" s="76">
        <f>SUMIFS('август 2025'!$G$2:$G$2407,'август 2025'!$D$2:$D$2407,$B133,'август 2025'!$J$2:$J$2407,D$1)</f>
        <v>0</v>
      </c>
      <c r="E133" s="76">
        <f>SUMIFS('август 2025'!$G$2:$G$2407,'август 2025'!$D$2:$D$2407,$B133,'август 2025'!$J$2:$J$2407,E$1)</f>
        <v>0</v>
      </c>
      <c r="F133" s="76">
        <f>SUMIFS('август 2025'!$G$2:$G$2407,'август 2025'!$D$2:$D$2407,$B133,'август 2025'!$J$2:$J$2407,F$1)</f>
        <v>0</v>
      </c>
      <c r="G133" s="76">
        <f>SUMIFS('август 2025'!$G$2:$G$2407,'август 2025'!$D$2:$D$2407,$B133,'август 2025'!$J$2:$J$2407,G$1)</f>
        <v>0</v>
      </c>
      <c r="H133" s="76">
        <f>SUMIFS('август 2025'!$G$2:$G$2407,'август 2025'!$D$2:$D$2407,$B133,'август 2025'!$J$2:$J$2407,H$1)</f>
        <v>0</v>
      </c>
      <c r="I133" s="76">
        <f>SUMIFS('август 2025'!$G$2:$G$2407,'август 2025'!$D$2:$D$2407,$B133,'август 2025'!$J$2:$J$2407,I$1)</f>
        <v>0</v>
      </c>
      <c r="J133" s="76">
        <f>SUMIFS('август 2025'!$G$2:$G$2407,'август 2025'!$D$2:$D$2407,$B133,'август 2025'!$J$2:$J$2407,J$1)</f>
        <v>0</v>
      </c>
      <c r="K133" s="76">
        <f>SUMIFS('август 2025'!$G$2:$G$2407,'август 2025'!$D$2:$D$2407,$B133,'август 2025'!$J$2:$J$2407,K$1)</f>
        <v>0</v>
      </c>
      <c r="L133" s="76">
        <f>SUMIFS('август 2025'!$G$2:$G$2407,'август 2025'!$D$2:$D$2407,$B133,'август 2025'!$J$2:$J$2407,L$1)</f>
        <v>0</v>
      </c>
      <c r="M133" s="76">
        <f>SUMIFS('август 2025'!$G$2:$G$2407,'август 2025'!$D$2:$D$2407,$B133,'август 2025'!$J$2:$J$2407,M$1)</f>
        <v>0</v>
      </c>
      <c r="N133" s="76">
        <f>SUMIFS('август 2025'!$G$2:$G$2407,'август 2025'!$D$2:$D$2407,$B133,'август 2025'!$J$2:$J$2407,N$1)</f>
        <v>0</v>
      </c>
      <c r="O133" s="76">
        <f>SUMIFS('август 2025'!$G$2:$G$2407,'август 2025'!$D$2:$D$2407,$B133,'август 2025'!$J$2:$J$2407,O$1)</f>
        <v>0</v>
      </c>
      <c r="P133" s="76">
        <f>SUMIFS('август 2025'!$G$2:$G$2407,'август 2025'!$D$2:$D$2407,$B133,'август 2025'!$J$2:$J$2407,P$1)</f>
        <v>0</v>
      </c>
      <c r="Q133" s="76">
        <f>SUMIFS('август 2025'!$G$2:$G$2407,'август 2025'!$D$2:$D$2407,$B133,'август 2025'!$J$2:$J$2407,Q$1)</f>
        <v>0</v>
      </c>
      <c r="R133" s="76">
        <f>SUMIFS('август 2025'!$G$2:$G$2407,'август 2025'!$D$2:$D$2407,$B133,'август 2025'!$J$2:$J$2407,R$1)</f>
        <v>0</v>
      </c>
      <c r="S133" s="76">
        <f>SUMIFS('август 2025'!$G$2:$G$2407,'август 2025'!$D$2:$D$2407,$B133,'август 2025'!$J$2:$J$2407,S$1)</f>
        <v>0</v>
      </c>
      <c r="T133" s="76">
        <f>SUMIFS('август 2025'!$G$2:$G$2407,'август 2025'!$D$2:$D$2407,$B133,'август 2025'!$J$2:$J$2407,T$1)</f>
        <v>0</v>
      </c>
      <c r="U133" s="76">
        <f>SUMIFS('август 2025'!$G$2:$G$2407,'август 2025'!$D$2:$D$2407,$B133,'август 2025'!$J$2:$J$2407,U$1)</f>
        <v>0</v>
      </c>
      <c r="V133" s="76">
        <f>SUMIFS('август 2025'!$G$2:$G$2407,'август 2025'!$D$2:$D$2407,$B133,'август 2025'!$J$2:$J$2407,V$1)</f>
        <v>88</v>
      </c>
      <c r="W133" s="76">
        <f>SUMIFS('август 2025'!$G$2:$G$2407,'август 2025'!$D$2:$D$2407,$B133,'август 2025'!$J$2:$J$2407,W$1)</f>
        <v>88</v>
      </c>
      <c r="X133" s="76">
        <f>SUMIFS('август 2025'!$G$2:$G$2407,'август 2025'!$D$2:$D$2407,$B133,'август 2025'!$J$2:$J$2407,X$1)</f>
        <v>0</v>
      </c>
      <c r="Y133" s="76">
        <f>SUMIFS('август 2025'!$G$2:$G$2407,'август 2025'!$D$2:$D$2407,$B133,'август 2025'!$J$2:$J$2407,Y$1)</f>
        <v>0</v>
      </c>
      <c r="Z133" s="76">
        <f>SUMIFS('август 2025'!$G$2:$G$2407,'август 2025'!$D$2:$D$2407,$B133,'август 2025'!$J$2:$J$2407,Z$1)</f>
        <v>0</v>
      </c>
      <c r="AA133" s="76">
        <f>SUMIFS('август 2025'!$G$2:$G$2407,'август 2025'!$D$2:$D$2407,$B133,'август 2025'!$J$2:$J$2407,AA$1)</f>
        <v>0</v>
      </c>
      <c r="AB133" s="76">
        <f>SUMIFS('август 2025'!$G$2:$G$2407,'август 2025'!$D$2:$D$2407,$B133,'август 2025'!$J$2:$J$2407,AB$1)</f>
        <v>0</v>
      </c>
      <c r="AC133" s="76">
        <f>SUMIFS('август 2025'!$G$2:$G$2407,'август 2025'!$D$2:$D$2407,$B133,'август 2025'!$J$2:$J$2407,AC$1)</f>
        <v>0</v>
      </c>
      <c r="AD133" s="76">
        <f>SUMIFS('август 2025'!$G$2:$G$2407,'август 2025'!$D$2:$D$2407,$B133,'август 2025'!$J$2:$J$2407,AD$1)</f>
        <v>0</v>
      </c>
      <c r="AE133" s="76">
        <f>SUMIFS('август 2025'!$G$2:$G$2407,'август 2025'!$D$2:$D$2407,$B133,'август 2025'!$J$2:$J$2407,AE$1)</f>
        <v>0</v>
      </c>
      <c r="AF133" s="76">
        <f>SUMIFS('август 2025'!$G$2:$G$2407,'август 2025'!$D$2:$D$2407,$B133,'август 2025'!$J$2:$J$2407,AF$1)</f>
        <v>0</v>
      </c>
      <c r="AG133" s="76">
        <f>SUMIFS('август 2025'!$G$2:$G$2407,'август 2025'!$D$2:$D$2407,$B133,'август 2025'!$J$2:$J$2407,AG$1)</f>
        <v>0</v>
      </c>
      <c r="AH133" s="76">
        <f>SUMIFS('август 2025'!$G$2:$G$2407,'август 2025'!$D$2:$D$2407,$B133,'август 2025'!$J$2:$J$2407,AH$1)</f>
        <v>0</v>
      </c>
      <c r="AI133" s="20">
        <f t="shared" si="1"/>
        <v>176</v>
      </c>
    </row>
    <row r="134" spans="2:35" ht="15" customHeight="1" x14ac:dyDescent="0.25">
      <c r="B134" s="84" t="s">
        <v>163</v>
      </c>
      <c r="C134" s="83">
        <v>950</v>
      </c>
      <c r="D134" s="76">
        <f>SUMIFS('август 2025'!$G$2:$G$2407,'август 2025'!$D$2:$D$2407,$B134,'август 2025'!$J$2:$J$2407,D$1)</f>
        <v>0</v>
      </c>
      <c r="E134" s="76">
        <f>SUMIFS('август 2025'!$G$2:$G$2407,'август 2025'!$D$2:$D$2407,$B134,'август 2025'!$J$2:$J$2407,E$1)</f>
        <v>0</v>
      </c>
      <c r="F134" s="76">
        <f>SUMIFS('август 2025'!$G$2:$G$2407,'август 2025'!$D$2:$D$2407,$B134,'август 2025'!$J$2:$J$2407,F$1)</f>
        <v>0</v>
      </c>
      <c r="G134" s="76">
        <f>SUMIFS('август 2025'!$G$2:$G$2407,'август 2025'!$D$2:$D$2407,$B134,'август 2025'!$J$2:$J$2407,G$1)</f>
        <v>0</v>
      </c>
      <c r="H134" s="76">
        <f>SUMIFS('август 2025'!$G$2:$G$2407,'август 2025'!$D$2:$D$2407,$B134,'август 2025'!$J$2:$J$2407,H$1)</f>
        <v>0</v>
      </c>
      <c r="I134" s="76">
        <f>SUMIFS('август 2025'!$G$2:$G$2407,'август 2025'!$D$2:$D$2407,$B134,'август 2025'!$J$2:$J$2407,I$1)</f>
        <v>0</v>
      </c>
      <c r="J134" s="76">
        <f>SUMIFS('август 2025'!$G$2:$G$2407,'август 2025'!$D$2:$D$2407,$B134,'август 2025'!$J$2:$J$2407,J$1)</f>
        <v>0</v>
      </c>
      <c r="K134" s="76">
        <f>SUMIFS('август 2025'!$G$2:$G$2407,'август 2025'!$D$2:$D$2407,$B134,'август 2025'!$J$2:$J$2407,K$1)</f>
        <v>0</v>
      </c>
      <c r="L134" s="76">
        <f>SUMIFS('август 2025'!$G$2:$G$2407,'август 2025'!$D$2:$D$2407,$B134,'август 2025'!$J$2:$J$2407,L$1)</f>
        <v>0</v>
      </c>
      <c r="M134" s="76">
        <f>SUMIFS('август 2025'!$G$2:$G$2407,'август 2025'!$D$2:$D$2407,$B134,'август 2025'!$J$2:$J$2407,M$1)</f>
        <v>0</v>
      </c>
      <c r="N134" s="76">
        <f>SUMIFS('август 2025'!$G$2:$G$2407,'август 2025'!$D$2:$D$2407,$B134,'август 2025'!$J$2:$J$2407,N$1)</f>
        <v>0</v>
      </c>
      <c r="O134" s="76">
        <f>SUMIFS('август 2025'!$G$2:$G$2407,'август 2025'!$D$2:$D$2407,$B134,'август 2025'!$J$2:$J$2407,O$1)</f>
        <v>0</v>
      </c>
      <c r="P134" s="76">
        <f>SUMIFS('август 2025'!$G$2:$G$2407,'август 2025'!$D$2:$D$2407,$B134,'август 2025'!$J$2:$J$2407,P$1)</f>
        <v>0</v>
      </c>
      <c r="Q134" s="76">
        <f>SUMIFS('август 2025'!$G$2:$G$2407,'август 2025'!$D$2:$D$2407,$B134,'август 2025'!$J$2:$J$2407,Q$1)</f>
        <v>0</v>
      </c>
      <c r="R134" s="76">
        <f>SUMIFS('август 2025'!$G$2:$G$2407,'август 2025'!$D$2:$D$2407,$B134,'август 2025'!$J$2:$J$2407,R$1)</f>
        <v>0</v>
      </c>
      <c r="S134" s="76">
        <f>SUMIFS('август 2025'!$G$2:$G$2407,'август 2025'!$D$2:$D$2407,$B134,'август 2025'!$J$2:$J$2407,S$1)</f>
        <v>0</v>
      </c>
      <c r="T134" s="76">
        <f>SUMIFS('август 2025'!$G$2:$G$2407,'август 2025'!$D$2:$D$2407,$B134,'август 2025'!$J$2:$J$2407,T$1)</f>
        <v>0</v>
      </c>
      <c r="U134" s="76">
        <f>SUMIFS('август 2025'!$G$2:$G$2407,'август 2025'!$D$2:$D$2407,$B134,'август 2025'!$J$2:$J$2407,U$1)</f>
        <v>0</v>
      </c>
      <c r="V134" s="76">
        <f>SUMIFS('август 2025'!$G$2:$G$2407,'август 2025'!$D$2:$D$2407,$B134,'август 2025'!$J$2:$J$2407,V$1)</f>
        <v>0</v>
      </c>
      <c r="W134" s="76">
        <f>SUMIFS('август 2025'!$G$2:$G$2407,'август 2025'!$D$2:$D$2407,$B134,'август 2025'!$J$2:$J$2407,W$1)</f>
        <v>0</v>
      </c>
      <c r="X134" s="76">
        <f>SUMIFS('август 2025'!$G$2:$G$2407,'август 2025'!$D$2:$D$2407,$B134,'август 2025'!$J$2:$J$2407,X$1)</f>
        <v>0</v>
      </c>
      <c r="Y134" s="76">
        <f>SUMIFS('август 2025'!$G$2:$G$2407,'август 2025'!$D$2:$D$2407,$B134,'август 2025'!$J$2:$J$2407,Y$1)</f>
        <v>0</v>
      </c>
      <c r="Z134" s="76">
        <f>SUMIFS('август 2025'!$G$2:$G$2407,'август 2025'!$D$2:$D$2407,$B134,'август 2025'!$J$2:$J$2407,Z$1)</f>
        <v>0</v>
      </c>
      <c r="AA134" s="76">
        <f>SUMIFS('август 2025'!$G$2:$G$2407,'август 2025'!$D$2:$D$2407,$B134,'август 2025'!$J$2:$J$2407,AA$1)</f>
        <v>0</v>
      </c>
      <c r="AB134" s="76">
        <f>SUMIFS('август 2025'!$G$2:$G$2407,'август 2025'!$D$2:$D$2407,$B134,'август 2025'!$J$2:$J$2407,AB$1)</f>
        <v>0</v>
      </c>
      <c r="AC134" s="76">
        <f>SUMIFS('август 2025'!$G$2:$G$2407,'август 2025'!$D$2:$D$2407,$B134,'август 2025'!$J$2:$J$2407,AC$1)</f>
        <v>0</v>
      </c>
      <c r="AD134" s="76">
        <f>SUMIFS('август 2025'!$G$2:$G$2407,'август 2025'!$D$2:$D$2407,$B134,'август 2025'!$J$2:$J$2407,AD$1)</f>
        <v>0</v>
      </c>
      <c r="AE134" s="76">
        <f>SUMIFS('август 2025'!$G$2:$G$2407,'август 2025'!$D$2:$D$2407,$B134,'август 2025'!$J$2:$J$2407,AE$1)</f>
        <v>0</v>
      </c>
      <c r="AF134" s="76">
        <f>SUMIFS('август 2025'!$G$2:$G$2407,'август 2025'!$D$2:$D$2407,$B134,'август 2025'!$J$2:$J$2407,AF$1)</f>
        <v>0</v>
      </c>
      <c r="AG134" s="76">
        <f>SUMIFS('август 2025'!$G$2:$G$2407,'август 2025'!$D$2:$D$2407,$B134,'август 2025'!$J$2:$J$2407,AG$1)</f>
        <v>0</v>
      </c>
      <c r="AH134" s="76">
        <f>SUMIFS('август 2025'!$G$2:$G$2407,'август 2025'!$D$2:$D$2407,$B134,'август 2025'!$J$2:$J$2407,AH$1)</f>
        <v>0</v>
      </c>
      <c r="AI134" s="20">
        <f t="shared" si="1"/>
        <v>0</v>
      </c>
    </row>
    <row r="135" spans="2:35" ht="15" customHeight="1" x14ac:dyDescent="0.25">
      <c r="B135" s="84" t="s">
        <v>183</v>
      </c>
      <c r="C135" s="83">
        <v>180</v>
      </c>
      <c r="D135" s="76">
        <f>SUMIFS('август 2025'!$G$2:$G$2407,'август 2025'!$D$2:$D$2407,$B135,'август 2025'!$J$2:$J$2407,D$1)</f>
        <v>0</v>
      </c>
      <c r="E135" s="76">
        <f>SUMIFS('август 2025'!$G$2:$G$2407,'август 2025'!$D$2:$D$2407,$B135,'август 2025'!$J$2:$J$2407,E$1)</f>
        <v>0</v>
      </c>
      <c r="F135" s="76">
        <f>SUMIFS('август 2025'!$G$2:$G$2407,'август 2025'!$D$2:$D$2407,$B135,'август 2025'!$J$2:$J$2407,F$1)</f>
        <v>0</v>
      </c>
      <c r="G135" s="76">
        <f>SUMIFS('август 2025'!$G$2:$G$2407,'август 2025'!$D$2:$D$2407,$B135,'август 2025'!$J$2:$J$2407,G$1)</f>
        <v>0</v>
      </c>
      <c r="H135" s="76">
        <f>SUMIFS('август 2025'!$G$2:$G$2407,'август 2025'!$D$2:$D$2407,$B135,'август 2025'!$J$2:$J$2407,H$1)</f>
        <v>0</v>
      </c>
      <c r="I135" s="76">
        <f>SUMIFS('август 2025'!$G$2:$G$2407,'август 2025'!$D$2:$D$2407,$B135,'август 2025'!$J$2:$J$2407,I$1)</f>
        <v>0</v>
      </c>
      <c r="J135" s="76">
        <f>SUMIFS('август 2025'!$G$2:$G$2407,'август 2025'!$D$2:$D$2407,$B135,'август 2025'!$J$2:$J$2407,J$1)</f>
        <v>0</v>
      </c>
      <c r="K135" s="76">
        <f>SUMIFS('август 2025'!$G$2:$G$2407,'август 2025'!$D$2:$D$2407,$B135,'август 2025'!$J$2:$J$2407,K$1)</f>
        <v>0</v>
      </c>
      <c r="L135" s="76">
        <f>SUMIFS('август 2025'!$G$2:$G$2407,'август 2025'!$D$2:$D$2407,$B135,'август 2025'!$J$2:$J$2407,L$1)</f>
        <v>0</v>
      </c>
      <c r="M135" s="76">
        <f>SUMIFS('август 2025'!$G$2:$G$2407,'август 2025'!$D$2:$D$2407,$B135,'август 2025'!$J$2:$J$2407,M$1)</f>
        <v>0</v>
      </c>
      <c r="N135" s="76">
        <f>SUMIFS('август 2025'!$G$2:$G$2407,'август 2025'!$D$2:$D$2407,$B135,'август 2025'!$J$2:$J$2407,N$1)</f>
        <v>0</v>
      </c>
      <c r="O135" s="76">
        <f>SUMIFS('август 2025'!$G$2:$G$2407,'август 2025'!$D$2:$D$2407,$B135,'август 2025'!$J$2:$J$2407,O$1)</f>
        <v>0</v>
      </c>
      <c r="P135" s="76">
        <f>SUMIFS('август 2025'!$G$2:$G$2407,'август 2025'!$D$2:$D$2407,$B135,'август 2025'!$J$2:$J$2407,P$1)</f>
        <v>0</v>
      </c>
      <c r="Q135" s="76">
        <f>SUMIFS('август 2025'!$G$2:$G$2407,'август 2025'!$D$2:$D$2407,$B135,'август 2025'!$J$2:$J$2407,Q$1)</f>
        <v>0</v>
      </c>
      <c r="R135" s="76">
        <f>SUMIFS('август 2025'!$G$2:$G$2407,'август 2025'!$D$2:$D$2407,$B135,'август 2025'!$J$2:$J$2407,R$1)</f>
        <v>0</v>
      </c>
      <c r="S135" s="76">
        <f>SUMIFS('август 2025'!$G$2:$G$2407,'август 2025'!$D$2:$D$2407,$B135,'август 2025'!$J$2:$J$2407,S$1)</f>
        <v>0</v>
      </c>
      <c r="T135" s="76">
        <f>SUMIFS('август 2025'!$G$2:$G$2407,'август 2025'!$D$2:$D$2407,$B135,'август 2025'!$J$2:$J$2407,T$1)</f>
        <v>0</v>
      </c>
      <c r="U135" s="76">
        <f>SUMIFS('август 2025'!$G$2:$G$2407,'август 2025'!$D$2:$D$2407,$B135,'август 2025'!$J$2:$J$2407,U$1)</f>
        <v>0</v>
      </c>
      <c r="V135" s="76">
        <f>SUMIFS('август 2025'!$G$2:$G$2407,'август 2025'!$D$2:$D$2407,$B135,'август 2025'!$J$2:$J$2407,V$1)</f>
        <v>0</v>
      </c>
      <c r="W135" s="76">
        <f>SUMIFS('август 2025'!$G$2:$G$2407,'август 2025'!$D$2:$D$2407,$B135,'август 2025'!$J$2:$J$2407,W$1)</f>
        <v>0</v>
      </c>
      <c r="X135" s="76">
        <f>SUMIFS('август 2025'!$G$2:$G$2407,'август 2025'!$D$2:$D$2407,$B135,'август 2025'!$J$2:$J$2407,X$1)</f>
        <v>0</v>
      </c>
      <c r="Y135" s="76">
        <f>SUMIFS('август 2025'!$G$2:$G$2407,'август 2025'!$D$2:$D$2407,$B135,'август 2025'!$J$2:$J$2407,Y$1)</f>
        <v>0</v>
      </c>
      <c r="Z135" s="76">
        <f>SUMIFS('август 2025'!$G$2:$G$2407,'август 2025'!$D$2:$D$2407,$B135,'август 2025'!$J$2:$J$2407,Z$1)</f>
        <v>0</v>
      </c>
      <c r="AA135" s="76">
        <f>SUMIFS('август 2025'!$G$2:$G$2407,'август 2025'!$D$2:$D$2407,$B135,'август 2025'!$J$2:$J$2407,AA$1)</f>
        <v>0</v>
      </c>
      <c r="AB135" s="76">
        <f>SUMIFS('август 2025'!$G$2:$G$2407,'август 2025'!$D$2:$D$2407,$B135,'август 2025'!$J$2:$J$2407,AB$1)</f>
        <v>0</v>
      </c>
      <c r="AC135" s="76">
        <f>SUMIFS('август 2025'!$G$2:$G$2407,'август 2025'!$D$2:$D$2407,$B135,'август 2025'!$J$2:$J$2407,AC$1)</f>
        <v>0</v>
      </c>
      <c r="AD135" s="76">
        <f>SUMIFS('август 2025'!$G$2:$G$2407,'август 2025'!$D$2:$D$2407,$B135,'август 2025'!$J$2:$J$2407,AD$1)</f>
        <v>0</v>
      </c>
      <c r="AE135" s="76">
        <f>SUMIFS('август 2025'!$G$2:$G$2407,'август 2025'!$D$2:$D$2407,$B135,'август 2025'!$J$2:$J$2407,AE$1)</f>
        <v>0</v>
      </c>
      <c r="AF135" s="76">
        <f>SUMIFS('август 2025'!$G$2:$G$2407,'август 2025'!$D$2:$D$2407,$B135,'август 2025'!$J$2:$J$2407,AF$1)</f>
        <v>0</v>
      </c>
      <c r="AG135" s="76">
        <f>SUMIFS('август 2025'!$G$2:$G$2407,'август 2025'!$D$2:$D$2407,$B135,'август 2025'!$J$2:$J$2407,AG$1)</f>
        <v>0</v>
      </c>
      <c r="AH135" s="76">
        <f>SUMIFS('август 2025'!$G$2:$G$2407,'август 2025'!$D$2:$D$2407,$B135,'август 2025'!$J$2:$J$2407,AH$1)</f>
        <v>0</v>
      </c>
      <c r="AI135" s="20">
        <f t="shared" si="1"/>
        <v>0</v>
      </c>
    </row>
    <row r="136" spans="2:35" ht="15" customHeight="1" x14ac:dyDescent="0.25">
      <c r="B136" s="84" t="s">
        <v>305</v>
      </c>
      <c r="C136" s="83">
        <v>180</v>
      </c>
      <c r="D136" s="76">
        <f>SUMIFS('август 2025'!$G$2:$G$2407,'август 2025'!$D$2:$D$2407,$B136,'август 2025'!$J$2:$J$2407,D$1)</f>
        <v>0</v>
      </c>
      <c r="E136" s="76">
        <f>SUMIFS('август 2025'!$G$2:$G$2407,'август 2025'!$D$2:$D$2407,$B136,'август 2025'!$J$2:$J$2407,E$1)</f>
        <v>0</v>
      </c>
      <c r="F136" s="76">
        <f>SUMIFS('август 2025'!$G$2:$G$2407,'август 2025'!$D$2:$D$2407,$B136,'август 2025'!$J$2:$J$2407,F$1)</f>
        <v>0</v>
      </c>
      <c r="G136" s="76">
        <f>SUMIFS('август 2025'!$G$2:$G$2407,'август 2025'!$D$2:$D$2407,$B136,'август 2025'!$J$2:$J$2407,G$1)</f>
        <v>0</v>
      </c>
      <c r="H136" s="76">
        <f>SUMIFS('август 2025'!$G$2:$G$2407,'август 2025'!$D$2:$D$2407,$B136,'август 2025'!$J$2:$J$2407,H$1)</f>
        <v>0</v>
      </c>
      <c r="I136" s="76">
        <f>SUMIFS('август 2025'!$G$2:$G$2407,'август 2025'!$D$2:$D$2407,$B136,'август 2025'!$J$2:$J$2407,I$1)</f>
        <v>0</v>
      </c>
      <c r="J136" s="76">
        <f>SUMIFS('август 2025'!$G$2:$G$2407,'август 2025'!$D$2:$D$2407,$B136,'август 2025'!$J$2:$J$2407,J$1)</f>
        <v>0</v>
      </c>
      <c r="K136" s="76">
        <f>SUMIFS('август 2025'!$G$2:$G$2407,'август 2025'!$D$2:$D$2407,$B136,'август 2025'!$J$2:$J$2407,K$1)</f>
        <v>0</v>
      </c>
      <c r="L136" s="76">
        <f>SUMIFS('август 2025'!$G$2:$G$2407,'август 2025'!$D$2:$D$2407,$B136,'август 2025'!$J$2:$J$2407,L$1)</f>
        <v>0</v>
      </c>
      <c r="M136" s="76">
        <f>SUMIFS('август 2025'!$G$2:$G$2407,'август 2025'!$D$2:$D$2407,$B136,'август 2025'!$J$2:$J$2407,M$1)</f>
        <v>0</v>
      </c>
      <c r="N136" s="76">
        <f>SUMIFS('август 2025'!$G$2:$G$2407,'август 2025'!$D$2:$D$2407,$B136,'август 2025'!$J$2:$J$2407,N$1)</f>
        <v>0</v>
      </c>
      <c r="O136" s="76">
        <f>SUMIFS('август 2025'!$G$2:$G$2407,'август 2025'!$D$2:$D$2407,$B136,'август 2025'!$J$2:$J$2407,O$1)</f>
        <v>0</v>
      </c>
      <c r="P136" s="76">
        <f>SUMIFS('август 2025'!$G$2:$G$2407,'август 2025'!$D$2:$D$2407,$B136,'август 2025'!$J$2:$J$2407,P$1)</f>
        <v>0</v>
      </c>
      <c r="Q136" s="76">
        <f>SUMIFS('август 2025'!$G$2:$G$2407,'август 2025'!$D$2:$D$2407,$B136,'август 2025'!$J$2:$J$2407,Q$1)</f>
        <v>0</v>
      </c>
      <c r="R136" s="76">
        <f>SUMIFS('август 2025'!$G$2:$G$2407,'август 2025'!$D$2:$D$2407,$B136,'август 2025'!$J$2:$J$2407,R$1)</f>
        <v>0</v>
      </c>
      <c r="S136" s="76">
        <f>SUMIFS('август 2025'!$G$2:$G$2407,'август 2025'!$D$2:$D$2407,$B136,'август 2025'!$J$2:$J$2407,S$1)</f>
        <v>0</v>
      </c>
      <c r="T136" s="76">
        <f>SUMIFS('август 2025'!$G$2:$G$2407,'август 2025'!$D$2:$D$2407,$B136,'август 2025'!$J$2:$J$2407,T$1)</f>
        <v>0</v>
      </c>
      <c r="U136" s="76">
        <f>SUMIFS('август 2025'!$G$2:$G$2407,'август 2025'!$D$2:$D$2407,$B136,'август 2025'!$J$2:$J$2407,U$1)</f>
        <v>0</v>
      </c>
      <c r="V136" s="76">
        <f>SUMIFS('август 2025'!$G$2:$G$2407,'август 2025'!$D$2:$D$2407,$B136,'август 2025'!$J$2:$J$2407,V$1)</f>
        <v>0</v>
      </c>
      <c r="W136" s="76">
        <f>SUMIFS('август 2025'!$G$2:$G$2407,'август 2025'!$D$2:$D$2407,$B136,'август 2025'!$J$2:$J$2407,W$1)</f>
        <v>0</v>
      </c>
      <c r="X136" s="76">
        <f>SUMIFS('август 2025'!$G$2:$G$2407,'август 2025'!$D$2:$D$2407,$B136,'август 2025'!$J$2:$J$2407,X$1)</f>
        <v>0</v>
      </c>
      <c r="Y136" s="76">
        <f>SUMIFS('август 2025'!$G$2:$G$2407,'август 2025'!$D$2:$D$2407,$B136,'август 2025'!$J$2:$J$2407,Y$1)</f>
        <v>0</v>
      </c>
      <c r="Z136" s="76">
        <f>SUMIFS('август 2025'!$G$2:$G$2407,'август 2025'!$D$2:$D$2407,$B136,'август 2025'!$J$2:$J$2407,Z$1)</f>
        <v>0</v>
      </c>
      <c r="AA136" s="76">
        <f>SUMIFS('август 2025'!$G$2:$G$2407,'август 2025'!$D$2:$D$2407,$B136,'август 2025'!$J$2:$J$2407,AA$1)</f>
        <v>0</v>
      </c>
      <c r="AB136" s="76">
        <f>SUMIFS('август 2025'!$G$2:$G$2407,'август 2025'!$D$2:$D$2407,$B136,'август 2025'!$J$2:$J$2407,AB$1)</f>
        <v>0</v>
      </c>
      <c r="AC136" s="76">
        <f>SUMIFS('август 2025'!$G$2:$G$2407,'август 2025'!$D$2:$D$2407,$B136,'август 2025'!$J$2:$J$2407,AC$1)</f>
        <v>0</v>
      </c>
      <c r="AD136" s="76">
        <f>SUMIFS('август 2025'!$G$2:$G$2407,'август 2025'!$D$2:$D$2407,$B136,'август 2025'!$J$2:$J$2407,AD$1)</f>
        <v>0</v>
      </c>
      <c r="AE136" s="76">
        <f>SUMIFS('август 2025'!$G$2:$G$2407,'август 2025'!$D$2:$D$2407,$B136,'август 2025'!$J$2:$J$2407,AE$1)</f>
        <v>0</v>
      </c>
      <c r="AF136" s="76">
        <f>SUMIFS('август 2025'!$G$2:$G$2407,'август 2025'!$D$2:$D$2407,$B136,'август 2025'!$J$2:$J$2407,AF$1)</f>
        <v>0</v>
      </c>
      <c r="AG136" s="76">
        <f>SUMIFS('август 2025'!$G$2:$G$2407,'август 2025'!$D$2:$D$2407,$B136,'август 2025'!$J$2:$J$2407,AG$1)</f>
        <v>0</v>
      </c>
      <c r="AH136" s="76">
        <f>SUMIFS('август 2025'!$G$2:$G$2407,'август 2025'!$D$2:$D$2407,$B136,'август 2025'!$J$2:$J$2407,AH$1)</f>
        <v>0</v>
      </c>
      <c r="AI136" s="20"/>
    </row>
    <row r="137" spans="2:35" ht="15" customHeight="1" x14ac:dyDescent="0.25">
      <c r="B137" s="84" t="s">
        <v>171</v>
      </c>
      <c r="C137" s="83">
        <v>200</v>
      </c>
      <c r="D137" s="76">
        <f>SUMIFS('август 2025'!$G$2:$G$2407,'август 2025'!$D$2:$D$2407,$B137,'август 2025'!$J$2:$J$2407,D$1)</f>
        <v>0</v>
      </c>
      <c r="E137" s="76">
        <f>SUMIFS('август 2025'!$G$2:$G$2407,'август 2025'!$D$2:$D$2407,$B137,'август 2025'!$J$2:$J$2407,E$1)</f>
        <v>0</v>
      </c>
      <c r="F137" s="76">
        <f>SUMIFS('август 2025'!$G$2:$G$2407,'август 2025'!$D$2:$D$2407,$B137,'август 2025'!$J$2:$J$2407,F$1)</f>
        <v>0</v>
      </c>
      <c r="G137" s="76">
        <f>SUMIFS('август 2025'!$G$2:$G$2407,'август 2025'!$D$2:$D$2407,$B137,'август 2025'!$J$2:$J$2407,G$1)</f>
        <v>0</v>
      </c>
      <c r="H137" s="76">
        <f>SUMIFS('август 2025'!$G$2:$G$2407,'август 2025'!$D$2:$D$2407,$B137,'август 2025'!$J$2:$J$2407,H$1)</f>
        <v>0</v>
      </c>
      <c r="I137" s="76">
        <f>SUMIFS('август 2025'!$G$2:$G$2407,'август 2025'!$D$2:$D$2407,$B137,'август 2025'!$J$2:$J$2407,I$1)</f>
        <v>0</v>
      </c>
      <c r="J137" s="76">
        <f>SUMIFS('август 2025'!$G$2:$G$2407,'август 2025'!$D$2:$D$2407,$B137,'август 2025'!$J$2:$J$2407,J$1)</f>
        <v>0</v>
      </c>
      <c r="K137" s="76">
        <f>SUMIFS('август 2025'!$G$2:$G$2407,'август 2025'!$D$2:$D$2407,$B137,'август 2025'!$J$2:$J$2407,K$1)</f>
        <v>0</v>
      </c>
      <c r="L137" s="76">
        <f>SUMIFS('август 2025'!$G$2:$G$2407,'август 2025'!$D$2:$D$2407,$B137,'август 2025'!$J$2:$J$2407,L$1)</f>
        <v>0</v>
      </c>
      <c r="M137" s="76">
        <f>SUMIFS('август 2025'!$G$2:$G$2407,'август 2025'!$D$2:$D$2407,$B137,'август 2025'!$J$2:$J$2407,M$1)</f>
        <v>0</v>
      </c>
      <c r="N137" s="76">
        <f>SUMIFS('август 2025'!$G$2:$G$2407,'август 2025'!$D$2:$D$2407,$B137,'август 2025'!$J$2:$J$2407,N$1)</f>
        <v>0</v>
      </c>
      <c r="O137" s="76">
        <f>SUMIFS('август 2025'!$G$2:$G$2407,'август 2025'!$D$2:$D$2407,$B137,'август 2025'!$J$2:$J$2407,O$1)</f>
        <v>0</v>
      </c>
      <c r="P137" s="76">
        <f>SUMIFS('август 2025'!$G$2:$G$2407,'август 2025'!$D$2:$D$2407,$B137,'август 2025'!$J$2:$J$2407,P$1)</f>
        <v>0</v>
      </c>
      <c r="Q137" s="76">
        <f>SUMIFS('август 2025'!$G$2:$G$2407,'август 2025'!$D$2:$D$2407,$B137,'август 2025'!$J$2:$J$2407,Q$1)</f>
        <v>0</v>
      </c>
      <c r="R137" s="76">
        <f>SUMIFS('август 2025'!$G$2:$G$2407,'август 2025'!$D$2:$D$2407,$B137,'август 2025'!$J$2:$J$2407,R$1)</f>
        <v>0</v>
      </c>
      <c r="S137" s="76">
        <f>SUMIFS('август 2025'!$G$2:$G$2407,'август 2025'!$D$2:$D$2407,$B137,'август 2025'!$J$2:$J$2407,S$1)</f>
        <v>0</v>
      </c>
      <c r="T137" s="76">
        <f>SUMIFS('август 2025'!$G$2:$G$2407,'август 2025'!$D$2:$D$2407,$B137,'август 2025'!$J$2:$J$2407,T$1)</f>
        <v>0</v>
      </c>
      <c r="U137" s="76">
        <f>SUMIFS('август 2025'!$G$2:$G$2407,'август 2025'!$D$2:$D$2407,$B137,'август 2025'!$J$2:$J$2407,U$1)</f>
        <v>0</v>
      </c>
      <c r="V137" s="76">
        <f>SUMIFS('август 2025'!$G$2:$G$2407,'август 2025'!$D$2:$D$2407,$B137,'август 2025'!$J$2:$J$2407,V$1)</f>
        <v>0</v>
      </c>
      <c r="W137" s="76">
        <f>SUMIFS('август 2025'!$G$2:$G$2407,'август 2025'!$D$2:$D$2407,$B137,'август 2025'!$J$2:$J$2407,W$1)</f>
        <v>0</v>
      </c>
      <c r="X137" s="76">
        <f>SUMIFS('август 2025'!$G$2:$G$2407,'август 2025'!$D$2:$D$2407,$B137,'август 2025'!$J$2:$J$2407,X$1)</f>
        <v>0</v>
      </c>
      <c r="Y137" s="76">
        <f>SUMIFS('август 2025'!$G$2:$G$2407,'август 2025'!$D$2:$D$2407,$B137,'август 2025'!$J$2:$J$2407,Y$1)</f>
        <v>0</v>
      </c>
      <c r="Z137" s="76">
        <f>SUMIFS('август 2025'!$G$2:$G$2407,'август 2025'!$D$2:$D$2407,$B137,'август 2025'!$J$2:$J$2407,Z$1)</f>
        <v>0</v>
      </c>
      <c r="AA137" s="76">
        <f>SUMIFS('август 2025'!$G$2:$G$2407,'август 2025'!$D$2:$D$2407,$B137,'август 2025'!$J$2:$J$2407,AA$1)</f>
        <v>0</v>
      </c>
      <c r="AB137" s="76">
        <f>SUMIFS('август 2025'!$G$2:$G$2407,'август 2025'!$D$2:$D$2407,$B137,'август 2025'!$J$2:$J$2407,AB$1)</f>
        <v>0</v>
      </c>
      <c r="AC137" s="76">
        <f>SUMIFS('август 2025'!$G$2:$G$2407,'август 2025'!$D$2:$D$2407,$B137,'август 2025'!$J$2:$J$2407,AC$1)</f>
        <v>0</v>
      </c>
      <c r="AD137" s="76">
        <f>SUMIFS('август 2025'!$G$2:$G$2407,'август 2025'!$D$2:$D$2407,$B137,'август 2025'!$J$2:$J$2407,AD$1)</f>
        <v>0</v>
      </c>
      <c r="AE137" s="76">
        <f>SUMIFS('август 2025'!$G$2:$G$2407,'август 2025'!$D$2:$D$2407,$B137,'август 2025'!$J$2:$J$2407,AE$1)</f>
        <v>0</v>
      </c>
      <c r="AF137" s="76">
        <f>SUMIFS('август 2025'!$G$2:$G$2407,'август 2025'!$D$2:$D$2407,$B137,'август 2025'!$J$2:$J$2407,AF$1)</f>
        <v>0</v>
      </c>
      <c r="AG137" s="76">
        <f>SUMIFS('август 2025'!$G$2:$G$2407,'август 2025'!$D$2:$D$2407,$B137,'август 2025'!$J$2:$J$2407,AG$1)</f>
        <v>0</v>
      </c>
      <c r="AH137" s="76">
        <f>SUMIFS('август 2025'!$G$2:$G$2407,'август 2025'!$D$2:$D$2407,$B137,'август 2025'!$J$2:$J$2407,AH$1)</f>
        <v>0</v>
      </c>
      <c r="AI137" s="20">
        <f t="shared" si="1"/>
        <v>0</v>
      </c>
    </row>
    <row r="138" spans="2:35" ht="15" customHeight="1" x14ac:dyDescent="0.25">
      <c r="B138" s="84" t="s">
        <v>172</v>
      </c>
      <c r="C138" s="83">
        <v>200</v>
      </c>
      <c r="D138" s="76">
        <f>SUMIFS('август 2025'!$G$2:$G$2407,'август 2025'!$D$2:$D$2407,$B138,'август 2025'!$J$2:$J$2407,D$1)</f>
        <v>0</v>
      </c>
      <c r="E138" s="76">
        <f>SUMIFS('август 2025'!$G$2:$G$2407,'август 2025'!$D$2:$D$2407,$B138,'август 2025'!$J$2:$J$2407,E$1)</f>
        <v>0</v>
      </c>
      <c r="F138" s="76">
        <f>SUMIFS('август 2025'!$G$2:$G$2407,'август 2025'!$D$2:$D$2407,$B138,'август 2025'!$J$2:$J$2407,F$1)</f>
        <v>0</v>
      </c>
      <c r="G138" s="76">
        <f>SUMIFS('август 2025'!$G$2:$G$2407,'август 2025'!$D$2:$D$2407,$B138,'август 2025'!$J$2:$J$2407,G$1)</f>
        <v>0</v>
      </c>
      <c r="H138" s="76">
        <f>SUMIFS('август 2025'!$G$2:$G$2407,'август 2025'!$D$2:$D$2407,$B138,'август 2025'!$J$2:$J$2407,H$1)</f>
        <v>0</v>
      </c>
      <c r="I138" s="76">
        <f>SUMIFS('август 2025'!$G$2:$G$2407,'август 2025'!$D$2:$D$2407,$B138,'август 2025'!$J$2:$J$2407,I$1)</f>
        <v>0</v>
      </c>
      <c r="J138" s="76">
        <f>SUMIFS('август 2025'!$G$2:$G$2407,'август 2025'!$D$2:$D$2407,$B138,'август 2025'!$J$2:$J$2407,J$1)</f>
        <v>0</v>
      </c>
      <c r="K138" s="76">
        <f>SUMIFS('август 2025'!$G$2:$G$2407,'август 2025'!$D$2:$D$2407,$B138,'август 2025'!$J$2:$J$2407,K$1)</f>
        <v>0</v>
      </c>
      <c r="L138" s="76">
        <f>SUMIFS('август 2025'!$G$2:$G$2407,'август 2025'!$D$2:$D$2407,$B138,'август 2025'!$J$2:$J$2407,L$1)</f>
        <v>0</v>
      </c>
      <c r="M138" s="76">
        <f>SUMIFS('август 2025'!$G$2:$G$2407,'август 2025'!$D$2:$D$2407,$B138,'август 2025'!$J$2:$J$2407,M$1)</f>
        <v>0</v>
      </c>
      <c r="N138" s="76">
        <f>SUMIFS('август 2025'!$G$2:$G$2407,'август 2025'!$D$2:$D$2407,$B138,'август 2025'!$J$2:$J$2407,N$1)</f>
        <v>0</v>
      </c>
      <c r="O138" s="76">
        <f>SUMIFS('август 2025'!$G$2:$G$2407,'август 2025'!$D$2:$D$2407,$B138,'август 2025'!$J$2:$J$2407,O$1)</f>
        <v>0</v>
      </c>
      <c r="P138" s="76">
        <f>SUMIFS('август 2025'!$G$2:$G$2407,'август 2025'!$D$2:$D$2407,$B138,'август 2025'!$J$2:$J$2407,P$1)</f>
        <v>0</v>
      </c>
      <c r="Q138" s="76">
        <f>SUMIFS('август 2025'!$G$2:$G$2407,'август 2025'!$D$2:$D$2407,$B138,'август 2025'!$J$2:$J$2407,Q$1)</f>
        <v>0</v>
      </c>
      <c r="R138" s="76">
        <f>SUMIFS('август 2025'!$G$2:$G$2407,'август 2025'!$D$2:$D$2407,$B138,'август 2025'!$J$2:$J$2407,R$1)</f>
        <v>0</v>
      </c>
      <c r="S138" s="76">
        <f>SUMIFS('август 2025'!$G$2:$G$2407,'август 2025'!$D$2:$D$2407,$B138,'август 2025'!$J$2:$J$2407,S$1)</f>
        <v>0</v>
      </c>
      <c r="T138" s="76">
        <f>SUMIFS('август 2025'!$G$2:$G$2407,'август 2025'!$D$2:$D$2407,$B138,'август 2025'!$J$2:$J$2407,T$1)</f>
        <v>0</v>
      </c>
      <c r="U138" s="76">
        <f>SUMIFS('август 2025'!$G$2:$G$2407,'август 2025'!$D$2:$D$2407,$B138,'август 2025'!$J$2:$J$2407,U$1)</f>
        <v>0</v>
      </c>
      <c r="V138" s="76">
        <f>SUMIFS('август 2025'!$G$2:$G$2407,'август 2025'!$D$2:$D$2407,$B138,'август 2025'!$J$2:$J$2407,V$1)</f>
        <v>0</v>
      </c>
      <c r="W138" s="76">
        <f>SUMIFS('август 2025'!$G$2:$G$2407,'август 2025'!$D$2:$D$2407,$B138,'август 2025'!$J$2:$J$2407,W$1)</f>
        <v>0</v>
      </c>
      <c r="X138" s="76">
        <f>SUMIFS('август 2025'!$G$2:$G$2407,'август 2025'!$D$2:$D$2407,$B138,'август 2025'!$J$2:$J$2407,X$1)</f>
        <v>0</v>
      </c>
      <c r="Y138" s="76">
        <f>SUMIFS('август 2025'!$G$2:$G$2407,'август 2025'!$D$2:$D$2407,$B138,'август 2025'!$J$2:$J$2407,Y$1)</f>
        <v>0</v>
      </c>
      <c r="Z138" s="76">
        <f>SUMIFS('август 2025'!$G$2:$G$2407,'август 2025'!$D$2:$D$2407,$B138,'август 2025'!$J$2:$J$2407,Z$1)</f>
        <v>0</v>
      </c>
      <c r="AA138" s="76">
        <f>SUMIFS('август 2025'!$G$2:$G$2407,'август 2025'!$D$2:$D$2407,$B138,'август 2025'!$J$2:$J$2407,AA$1)</f>
        <v>0</v>
      </c>
      <c r="AB138" s="76">
        <f>SUMIFS('август 2025'!$G$2:$G$2407,'август 2025'!$D$2:$D$2407,$B138,'август 2025'!$J$2:$J$2407,AB$1)</f>
        <v>0</v>
      </c>
      <c r="AC138" s="76">
        <f>SUMIFS('август 2025'!$G$2:$G$2407,'август 2025'!$D$2:$D$2407,$B138,'август 2025'!$J$2:$J$2407,AC$1)</f>
        <v>0</v>
      </c>
      <c r="AD138" s="76">
        <f>SUMIFS('август 2025'!$G$2:$G$2407,'август 2025'!$D$2:$D$2407,$B138,'август 2025'!$J$2:$J$2407,AD$1)</f>
        <v>0</v>
      </c>
      <c r="AE138" s="76">
        <f>SUMIFS('август 2025'!$G$2:$G$2407,'август 2025'!$D$2:$D$2407,$B138,'август 2025'!$J$2:$J$2407,AE$1)</f>
        <v>0</v>
      </c>
      <c r="AF138" s="76">
        <f>SUMIFS('август 2025'!$G$2:$G$2407,'август 2025'!$D$2:$D$2407,$B138,'август 2025'!$J$2:$J$2407,AF$1)</f>
        <v>0</v>
      </c>
      <c r="AG138" s="76">
        <f>SUMIFS('август 2025'!$G$2:$G$2407,'август 2025'!$D$2:$D$2407,$B138,'август 2025'!$J$2:$J$2407,AG$1)</f>
        <v>0</v>
      </c>
      <c r="AH138" s="76">
        <f>SUMIFS('август 2025'!$G$2:$G$2407,'август 2025'!$D$2:$D$2407,$B138,'август 2025'!$J$2:$J$2407,AH$1)</f>
        <v>0</v>
      </c>
      <c r="AI138" s="20">
        <f t="shared" si="1"/>
        <v>0</v>
      </c>
    </row>
    <row r="139" spans="2:35" ht="15" customHeight="1" x14ac:dyDescent="0.25">
      <c r="B139" s="84" t="s">
        <v>174</v>
      </c>
      <c r="C139" s="83">
        <v>200</v>
      </c>
      <c r="D139" s="76">
        <f>SUMIFS('август 2025'!$G$2:$G$2407,'август 2025'!$D$2:$D$2407,$B139,'август 2025'!$J$2:$J$2407,D$1)</f>
        <v>0</v>
      </c>
      <c r="E139" s="76">
        <f>SUMIFS('август 2025'!$G$2:$G$2407,'август 2025'!$D$2:$D$2407,$B139,'август 2025'!$J$2:$J$2407,E$1)</f>
        <v>0</v>
      </c>
      <c r="F139" s="76">
        <f>SUMIFS('август 2025'!$G$2:$G$2407,'август 2025'!$D$2:$D$2407,$B139,'август 2025'!$J$2:$J$2407,F$1)</f>
        <v>0</v>
      </c>
      <c r="G139" s="76">
        <f>SUMIFS('август 2025'!$G$2:$G$2407,'август 2025'!$D$2:$D$2407,$B139,'август 2025'!$J$2:$J$2407,G$1)</f>
        <v>0</v>
      </c>
      <c r="H139" s="76">
        <f>SUMIFS('август 2025'!$G$2:$G$2407,'август 2025'!$D$2:$D$2407,$B139,'август 2025'!$J$2:$J$2407,H$1)</f>
        <v>0</v>
      </c>
      <c r="I139" s="76">
        <f>SUMIFS('август 2025'!$G$2:$G$2407,'август 2025'!$D$2:$D$2407,$B139,'август 2025'!$J$2:$J$2407,I$1)</f>
        <v>0</v>
      </c>
      <c r="J139" s="76">
        <f>SUMIFS('август 2025'!$G$2:$G$2407,'август 2025'!$D$2:$D$2407,$B139,'август 2025'!$J$2:$J$2407,J$1)</f>
        <v>0</v>
      </c>
      <c r="K139" s="76">
        <f>SUMIFS('август 2025'!$G$2:$G$2407,'август 2025'!$D$2:$D$2407,$B139,'август 2025'!$J$2:$J$2407,K$1)</f>
        <v>0</v>
      </c>
      <c r="L139" s="76">
        <f>SUMIFS('август 2025'!$G$2:$G$2407,'август 2025'!$D$2:$D$2407,$B139,'август 2025'!$J$2:$J$2407,L$1)</f>
        <v>0</v>
      </c>
      <c r="M139" s="76">
        <f>SUMIFS('август 2025'!$G$2:$G$2407,'август 2025'!$D$2:$D$2407,$B139,'август 2025'!$J$2:$J$2407,M$1)</f>
        <v>0</v>
      </c>
      <c r="N139" s="76">
        <f>SUMIFS('август 2025'!$G$2:$G$2407,'август 2025'!$D$2:$D$2407,$B139,'август 2025'!$J$2:$J$2407,N$1)</f>
        <v>0</v>
      </c>
      <c r="O139" s="76">
        <f>SUMIFS('август 2025'!$G$2:$G$2407,'август 2025'!$D$2:$D$2407,$B139,'август 2025'!$J$2:$J$2407,O$1)</f>
        <v>0</v>
      </c>
      <c r="P139" s="76">
        <f>SUMIFS('август 2025'!$G$2:$G$2407,'август 2025'!$D$2:$D$2407,$B139,'август 2025'!$J$2:$J$2407,P$1)</f>
        <v>0</v>
      </c>
      <c r="Q139" s="76">
        <f>SUMIFS('август 2025'!$G$2:$G$2407,'август 2025'!$D$2:$D$2407,$B139,'август 2025'!$J$2:$J$2407,Q$1)</f>
        <v>0</v>
      </c>
      <c r="R139" s="76">
        <f>SUMIFS('август 2025'!$G$2:$G$2407,'август 2025'!$D$2:$D$2407,$B139,'август 2025'!$J$2:$J$2407,R$1)</f>
        <v>0</v>
      </c>
      <c r="S139" s="76">
        <f>SUMIFS('август 2025'!$G$2:$G$2407,'август 2025'!$D$2:$D$2407,$B139,'август 2025'!$J$2:$J$2407,S$1)</f>
        <v>0</v>
      </c>
      <c r="T139" s="76">
        <f>SUMIFS('август 2025'!$G$2:$G$2407,'август 2025'!$D$2:$D$2407,$B139,'август 2025'!$J$2:$J$2407,T$1)</f>
        <v>0</v>
      </c>
      <c r="U139" s="76">
        <f>SUMIFS('август 2025'!$G$2:$G$2407,'август 2025'!$D$2:$D$2407,$B139,'август 2025'!$J$2:$J$2407,U$1)</f>
        <v>0</v>
      </c>
      <c r="V139" s="76">
        <f>SUMIFS('август 2025'!$G$2:$G$2407,'август 2025'!$D$2:$D$2407,$B139,'август 2025'!$J$2:$J$2407,V$1)</f>
        <v>0</v>
      </c>
      <c r="W139" s="76">
        <f>SUMIFS('август 2025'!$G$2:$G$2407,'август 2025'!$D$2:$D$2407,$B139,'август 2025'!$J$2:$J$2407,W$1)</f>
        <v>0</v>
      </c>
      <c r="X139" s="76">
        <f>SUMIFS('август 2025'!$G$2:$G$2407,'август 2025'!$D$2:$D$2407,$B139,'август 2025'!$J$2:$J$2407,X$1)</f>
        <v>0</v>
      </c>
      <c r="Y139" s="76">
        <f>SUMIFS('август 2025'!$G$2:$G$2407,'август 2025'!$D$2:$D$2407,$B139,'август 2025'!$J$2:$J$2407,Y$1)</f>
        <v>0</v>
      </c>
      <c r="Z139" s="76">
        <f>SUMIFS('август 2025'!$G$2:$G$2407,'август 2025'!$D$2:$D$2407,$B139,'август 2025'!$J$2:$J$2407,Z$1)</f>
        <v>0</v>
      </c>
      <c r="AA139" s="76">
        <f>SUMIFS('август 2025'!$G$2:$G$2407,'август 2025'!$D$2:$D$2407,$B139,'август 2025'!$J$2:$J$2407,AA$1)</f>
        <v>0</v>
      </c>
      <c r="AB139" s="76">
        <f>SUMIFS('август 2025'!$G$2:$G$2407,'август 2025'!$D$2:$D$2407,$B139,'август 2025'!$J$2:$J$2407,AB$1)</f>
        <v>0</v>
      </c>
      <c r="AC139" s="76">
        <f>SUMIFS('август 2025'!$G$2:$G$2407,'август 2025'!$D$2:$D$2407,$B139,'август 2025'!$J$2:$J$2407,AC$1)</f>
        <v>0</v>
      </c>
      <c r="AD139" s="76">
        <f>SUMIFS('август 2025'!$G$2:$G$2407,'август 2025'!$D$2:$D$2407,$B139,'август 2025'!$J$2:$J$2407,AD$1)</f>
        <v>0</v>
      </c>
      <c r="AE139" s="76">
        <f>SUMIFS('август 2025'!$G$2:$G$2407,'август 2025'!$D$2:$D$2407,$B139,'август 2025'!$J$2:$J$2407,AE$1)</f>
        <v>0</v>
      </c>
      <c r="AF139" s="76">
        <f>SUMIFS('август 2025'!$G$2:$G$2407,'август 2025'!$D$2:$D$2407,$B139,'август 2025'!$J$2:$J$2407,AF$1)</f>
        <v>0</v>
      </c>
      <c r="AG139" s="76">
        <f>SUMIFS('август 2025'!$G$2:$G$2407,'август 2025'!$D$2:$D$2407,$B139,'август 2025'!$J$2:$J$2407,AG$1)</f>
        <v>0</v>
      </c>
      <c r="AH139" s="76">
        <f>SUMIFS('август 2025'!$G$2:$G$2407,'август 2025'!$D$2:$D$2407,$B139,'август 2025'!$J$2:$J$2407,AH$1)</f>
        <v>0</v>
      </c>
      <c r="AI139" s="20">
        <f t="shared" si="1"/>
        <v>0</v>
      </c>
    </row>
    <row r="140" spans="2:35" ht="15" customHeight="1" x14ac:dyDescent="0.25">
      <c r="B140" s="89" t="s">
        <v>184</v>
      </c>
      <c r="C140" s="90">
        <v>180</v>
      </c>
      <c r="D140" s="76">
        <f>SUMIFS('август 2025'!$G$2:$G$2407,'август 2025'!$D$2:$D$2407,$B140,'август 2025'!$J$2:$J$2407,D$1)</f>
        <v>0</v>
      </c>
      <c r="E140" s="76">
        <f>SUMIFS('август 2025'!$G$2:$G$2407,'август 2025'!$D$2:$D$2407,$B140,'август 2025'!$J$2:$J$2407,E$1)</f>
        <v>0</v>
      </c>
      <c r="F140" s="76">
        <f>SUMIFS('август 2025'!$G$2:$G$2407,'август 2025'!$D$2:$D$2407,$B140,'август 2025'!$J$2:$J$2407,F$1)</f>
        <v>0</v>
      </c>
      <c r="G140" s="76">
        <f>SUMIFS('август 2025'!$G$2:$G$2407,'август 2025'!$D$2:$D$2407,$B140,'август 2025'!$J$2:$J$2407,G$1)</f>
        <v>0</v>
      </c>
      <c r="H140" s="76">
        <f>SUMIFS('август 2025'!$G$2:$G$2407,'август 2025'!$D$2:$D$2407,$B140,'август 2025'!$J$2:$J$2407,H$1)</f>
        <v>0</v>
      </c>
      <c r="I140" s="76">
        <f>SUMIFS('август 2025'!$G$2:$G$2407,'август 2025'!$D$2:$D$2407,$B140,'август 2025'!$J$2:$J$2407,I$1)</f>
        <v>0</v>
      </c>
      <c r="J140" s="76">
        <f>SUMIFS('август 2025'!$G$2:$G$2407,'август 2025'!$D$2:$D$2407,$B140,'август 2025'!$J$2:$J$2407,J$1)</f>
        <v>0</v>
      </c>
      <c r="K140" s="76">
        <f>SUMIFS('август 2025'!$G$2:$G$2407,'август 2025'!$D$2:$D$2407,$B140,'август 2025'!$J$2:$J$2407,K$1)</f>
        <v>0</v>
      </c>
      <c r="L140" s="76">
        <f>SUMIFS('август 2025'!$G$2:$G$2407,'август 2025'!$D$2:$D$2407,$B140,'август 2025'!$J$2:$J$2407,L$1)</f>
        <v>0</v>
      </c>
      <c r="M140" s="76">
        <f>SUMIFS('август 2025'!$G$2:$G$2407,'август 2025'!$D$2:$D$2407,$B140,'август 2025'!$J$2:$J$2407,M$1)</f>
        <v>0</v>
      </c>
      <c r="N140" s="76">
        <f>SUMIFS('август 2025'!$G$2:$G$2407,'август 2025'!$D$2:$D$2407,$B140,'август 2025'!$J$2:$J$2407,N$1)</f>
        <v>0</v>
      </c>
      <c r="O140" s="76">
        <f>SUMIFS('август 2025'!$G$2:$G$2407,'август 2025'!$D$2:$D$2407,$B140,'август 2025'!$J$2:$J$2407,O$1)</f>
        <v>0</v>
      </c>
      <c r="P140" s="76">
        <f>SUMIFS('август 2025'!$G$2:$G$2407,'август 2025'!$D$2:$D$2407,$B140,'август 2025'!$J$2:$J$2407,P$1)</f>
        <v>0</v>
      </c>
      <c r="Q140" s="76">
        <f>SUMIFS('август 2025'!$G$2:$G$2407,'август 2025'!$D$2:$D$2407,$B140,'август 2025'!$J$2:$J$2407,Q$1)</f>
        <v>0</v>
      </c>
      <c r="R140" s="76">
        <f>SUMIFS('август 2025'!$G$2:$G$2407,'август 2025'!$D$2:$D$2407,$B140,'август 2025'!$J$2:$J$2407,R$1)</f>
        <v>0</v>
      </c>
      <c r="S140" s="76">
        <f>SUMIFS('август 2025'!$G$2:$G$2407,'август 2025'!$D$2:$D$2407,$B140,'август 2025'!$J$2:$J$2407,S$1)</f>
        <v>0</v>
      </c>
      <c r="T140" s="76">
        <f>SUMIFS('август 2025'!$G$2:$G$2407,'август 2025'!$D$2:$D$2407,$B140,'август 2025'!$J$2:$J$2407,T$1)</f>
        <v>0</v>
      </c>
      <c r="U140" s="76">
        <f>SUMIFS('август 2025'!$G$2:$G$2407,'август 2025'!$D$2:$D$2407,$B140,'август 2025'!$J$2:$J$2407,U$1)</f>
        <v>0</v>
      </c>
      <c r="V140" s="76">
        <f>SUMIFS('август 2025'!$G$2:$G$2407,'август 2025'!$D$2:$D$2407,$B140,'август 2025'!$J$2:$J$2407,V$1)</f>
        <v>0</v>
      </c>
      <c r="W140" s="76">
        <f>SUMIFS('август 2025'!$G$2:$G$2407,'август 2025'!$D$2:$D$2407,$B140,'август 2025'!$J$2:$J$2407,W$1)</f>
        <v>0</v>
      </c>
      <c r="X140" s="76">
        <f>SUMIFS('август 2025'!$G$2:$G$2407,'август 2025'!$D$2:$D$2407,$B140,'август 2025'!$J$2:$J$2407,X$1)</f>
        <v>0</v>
      </c>
      <c r="Y140" s="76">
        <f>SUMIFS('август 2025'!$G$2:$G$2407,'август 2025'!$D$2:$D$2407,$B140,'август 2025'!$J$2:$J$2407,Y$1)</f>
        <v>0</v>
      </c>
      <c r="Z140" s="76">
        <f>SUMIFS('август 2025'!$G$2:$G$2407,'август 2025'!$D$2:$D$2407,$B140,'август 2025'!$J$2:$J$2407,Z$1)</f>
        <v>0</v>
      </c>
      <c r="AA140" s="76">
        <f>SUMIFS('август 2025'!$G$2:$G$2407,'август 2025'!$D$2:$D$2407,$B140,'август 2025'!$J$2:$J$2407,AA$1)</f>
        <v>0</v>
      </c>
      <c r="AB140" s="76">
        <f>SUMIFS('август 2025'!$G$2:$G$2407,'август 2025'!$D$2:$D$2407,$B140,'август 2025'!$J$2:$J$2407,AB$1)</f>
        <v>0</v>
      </c>
      <c r="AC140" s="76">
        <f>SUMIFS('август 2025'!$G$2:$G$2407,'август 2025'!$D$2:$D$2407,$B140,'август 2025'!$J$2:$J$2407,AC$1)</f>
        <v>0</v>
      </c>
      <c r="AD140" s="76">
        <f>SUMIFS('август 2025'!$G$2:$G$2407,'август 2025'!$D$2:$D$2407,$B140,'август 2025'!$J$2:$J$2407,AD$1)</f>
        <v>0</v>
      </c>
      <c r="AE140" s="76">
        <f>SUMIFS('август 2025'!$G$2:$G$2407,'август 2025'!$D$2:$D$2407,$B140,'август 2025'!$J$2:$J$2407,AE$1)</f>
        <v>0</v>
      </c>
      <c r="AF140" s="76">
        <f>SUMIFS('август 2025'!$G$2:$G$2407,'август 2025'!$D$2:$D$2407,$B140,'август 2025'!$J$2:$J$2407,AF$1)</f>
        <v>0</v>
      </c>
      <c r="AG140" s="76">
        <f>SUMIFS('август 2025'!$G$2:$G$2407,'август 2025'!$D$2:$D$2407,$B140,'август 2025'!$J$2:$J$2407,AG$1)</f>
        <v>0</v>
      </c>
      <c r="AH140" s="76">
        <f>SUMIFS('август 2025'!$G$2:$G$2407,'август 2025'!$D$2:$D$2407,$B140,'август 2025'!$J$2:$J$2407,AH$1)</f>
        <v>0</v>
      </c>
      <c r="AI140" s="20">
        <f t="shared" si="1"/>
        <v>0</v>
      </c>
    </row>
    <row r="141" spans="2:35" ht="15" customHeight="1" x14ac:dyDescent="0.25">
      <c r="B141" s="84" t="s">
        <v>268</v>
      </c>
      <c r="C141" s="86">
        <v>180</v>
      </c>
      <c r="D141" s="76">
        <f>SUMIFS('август 2025'!$G$2:$G$2407,'август 2025'!$D$2:$D$2407,$B141,'август 2025'!$J$2:$J$2407,D$1)</f>
        <v>0</v>
      </c>
      <c r="E141" s="76">
        <f>SUMIFS('август 2025'!$G$2:$G$2407,'август 2025'!$D$2:$D$2407,$B141,'август 2025'!$J$2:$J$2407,E$1)</f>
        <v>0</v>
      </c>
      <c r="F141" s="76">
        <f>SUMIFS('август 2025'!$G$2:$G$2407,'август 2025'!$D$2:$D$2407,$B141,'август 2025'!$J$2:$J$2407,F$1)</f>
        <v>0</v>
      </c>
      <c r="G141" s="76">
        <f>SUMIFS('август 2025'!$G$2:$G$2407,'август 2025'!$D$2:$D$2407,$B141,'август 2025'!$J$2:$J$2407,G$1)</f>
        <v>0</v>
      </c>
      <c r="H141" s="76">
        <f>SUMIFS('август 2025'!$G$2:$G$2407,'август 2025'!$D$2:$D$2407,$B141,'август 2025'!$J$2:$J$2407,H$1)</f>
        <v>0</v>
      </c>
      <c r="I141" s="76">
        <f>SUMIFS('август 2025'!$G$2:$G$2407,'август 2025'!$D$2:$D$2407,$B141,'август 2025'!$J$2:$J$2407,I$1)</f>
        <v>0</v>
      </c>
      <c r="J141" s="76">
        <f>SUMIFS('август 2025'!$G$2:$G$2407,'август 2025'!$D$2:$D$2407,$B141,'август 2025'!$J$2:$J$2407,J$1)</f>
        <v>0</v>
      </c>
      <c r="K141" s="76">
        <f>SUMIFS('август 2025'!$G$2:$G$2407,'август 2025'!$D$2:$D$2407,$B141,'август 2025'!$J$2:$J$2407,K$1)</f>
        <v>0</v>
      </c>
      <c r="L141" s="76">
        <f>SUMIFS('август 2025'!$G$2:$G$2407,'август 2025'!$D$2:$D$2407,$B141,'август 2025'!$J$2:$J$2407,L$1)</f>
        <v>0</v>
      </c>
      <c r="M141" s="76">
        <f>SUMIFS('август 2025'!$G$2:$G$2407,'август 2025'!$D$2:$D$2407,$B141,'август 2025'!$J$2:$J$2407,M$1)</f>
        <v>0</v>
      </c>
      <c r="N141" s="76">
        <f>SUMIFS('август 2025'!$G$2:$G$2407,'август 2025'!$D$2:$D$2407,$B141,'август 2025'!$J$2:$J$2407,N$1)</f>
        <v>0</v>
      </c>
      <c r="O141" s="76">
        <f>SUMIFS('август 2025'!$G$2:$G$2407,'август 2025'!$D$2:$D$2407,$B141,'август 2025'!$J$2:$J$2407,O$1)</f>
        <v>0</v>
      </c>
      <c r="P141" s="76">
        <f>SUMIFS('август 2025'!$G$2:$G$2407,'август 2025'!$D$2:$D$2407,$B141,'август 2025'!$J$2:$J$2407,P$1)</f>
        <v>0</v>
      </c>
      <c r="Q141" s="76">
        <f>SUMIFS('август 2025'!$G$2:$G$2407,'август 2025'!$D$2:$D$2407,$B141,'август 2025'!$J$2:$J$2407,Q$1)</f>
        <v>0</v>
      </c>
      <c r="R141" s="76">
        <f>SUMIFS('август 2025'!$G$2:$G$2407,'август 2025'!$D$2:$D$2407,$B141,'август 2025'!$J$2:$J$2407,R$1)</f>
        <v>0</v>
      </c>
      <c r="S141" s="76">
        <f>SUMIFS('август 2025'!$G$2:$G$2407,'август 2025'!$D$2:$D$2407,$B141,'август 2025'!$J$2:$J$2407,S$1)</f>
        <v>0</v>
      </c>
      <c r="T141" s="76">
        <f>SUMIFS('август 2025'!$G$2:$G$2407,'август 2025'!$D$2:$D$2407,$B141,'август 2025'!$J$2:$J$2407,T$1)</f>
        <v>0</v>
      </c>
      <c r="U141" s="76">
        <f>SUMIFS('август 2025'!$G$2:$G$2407,'август 2025'!$D$2:$D$2407,$B141,'август 2025'!$J$2:$J$2407,U$1)</f>
        <v>0</v>
      </c>
      <c r="V141" s="76">
        <f>SUMIFS('август 2025'!$G$2:$G$2407,'август 2025'!$D$2:$D$2407,$B141,'август 2025'!$J$2:$J$2407,V$1)</f>
        <v>0</v>
      </c>
      <c r="W141" s="76">
        <f>SUMIFS('август 2025'!$G$2:$G$2407,'август 2025'!$D$2:$D$2407,$B141,'август 2025'!$J$2:$J$2407,W$1)</f>
        <v>0</v>
      </c>
      <c r="X141" s="76">
        <f>SUMIFS('август 2025'!$G$2:$G$2407,'август 2025'!$D$2:$D$2407,$B141,'август 2025'!$J$2:$J$2407,X$1)</f>
        <v>0</v>
      </c>
      <c r="Y141" s="76">
        <f>SUMIFS('август 2025'!$G$2:$G$2407,'август 2025'!$D$2:$D$2407,$B141,'август 2025'!$J$2:$J$2407,Y$1)</f>
        <v>0</v>
      </c>
      <c r="Z141" s="76">
        <f>SUMIFS('август 2025'!$G$2:$G$2407,'август 2025'!$D$2:$D$2407,$B141,'август 2025'!$J$2:$J$2407,Z$1)</f>
        <v>0</v>
      </c>
      <c r="AA141" s="76">
        <f>SUMIFS('август 2025'!$G$2:$G$2407,'август 2025'!$D$2:$D$2407,$B141,'август 2025'!$J$2:$J$2407,AA$1)</f>
        <v>0</v>
      </c>
      <c r="AB141" s="76">
        <f>SUMIFS('август 2025'!$G$2:$G$2407,'август 2025'!$D$2:$D$2407,$B141,'август 2025'!$J$2:$J$2407,AB$1)</f>
        <v>0</v>
      </c>
      <c r="AC141" s="76">
        <f>SUMIFS('август 2025'!$G$2:$G$2407,'август 2025'!$D$2:$D$2407,$B141,'август 2025'!$J$2:$J$2407,AC$1)</f>
        <v>0</v>
      </c>
      <c r="AD141" s="76">
        <f>SUMIFS('август 2025'!$G$2:$G$2407,'август 2025'!$D$2:$D$2407,$B141,'август 2025'!$J$2:$J$2407,AD$1)</f>
        <v>0</v>
      </c>
      <c r="AE141" s="76">
        <f>SUMIFS('август 2025'!$G$2:$G$2407,'август 2025'!$D$2:$D$2407,$B141,'август 2025'!$J$2:$J$2407,AE$1)</f>
        <v>0</v>
      </c>
      <c r="AF141" s="76">
        <f>SUMIFS('август 2025'!$G$2:$G$2407,'август 2025'!$D$2:$D$2407,$B141,'август 2025'!$J$2:$J$2407,AF$1)</f>
        <v>0</v>
      </c>
      <c r="AG141" s="76">
        <f>SUMIFS('август 2025'!$G$2:$G$2407,'август 2025'!$D$2:$D$2407,$B141,'август 2025'!$J$2:$J$2407,AG$1)</f>
        <v>0</v>
      </c>
      <c r="AH141" s="76">
        <f>SUMIFS('август 2025'!$G$2:$G$2407,'август 2025'!$D$2:$D$2407,$B141,'август 2025'!$J$2:$J$2407,AH$1)</f>
        <v>0</v>
      </c>
      <c r="AI141" s="20">
        <f t="shared" si="1"/>
        <v>0</v>
      </c>
    </row>
    <row r="142" spans="2:35" ht="15" customHeight="1" x14ac:dyDescent="0.25">
      <c r="B142" s="84" t="s">
        <v>278</v>
      </c>
      <c r="C142" s="86">
        <v>180</v>
      </c>
      <c r="D142" s="76">
        <f>SUMIFS('август 2025'!$G$2:$G$2407,'август 2025'!$D$2:$D$2407,$B142,'август 2025'!$J$2:$J$2407,D$1)</f>
        <v>0</v>
      </c>
      <c r="E142" s="76">
        <f>SUMIFS('август 2025'!$G$2:$G$2407,'август 2025'!$D$2:$D$2407,$B142,'август 2025'!$J$2:$J$2407,E$1)</f>
        <v>0</v>
      </c>
      <c r="F142" s="76">
        <f>SUMIFS('август 2025'!$G$2:$G$2407,'август 2025'!$D$2:$D$2407,$B142,'август 2025'!$J$2:$J$2407,F$1)</f>
        <v>0</v>
      </c>
      <c r="G142" s="76">
        <f>SUMIFS('август 2025'!$G$2:$G$2407,'август 2025'!$D$2:$D$2407,$B142,'август 2025'!$J$2:$J$2407,G$1)</f>
        <v>0</v>
      </c>
      <c r="H142" s="76">
        <f>SUMIFS('август 2025'!$G$2:$G$2407,'август 2025'!$D$2:$D$2407,$B142,'август 2025'!$J$2:$J$2407,H$1)</f>
        <v>0</v>
      </c>
      <c r="I142" s="76">
        <f>SUMIFS('август 2025'!$G$2:$G$2407,'август 2025'!$D$2:$D$2407,$B142,'август 2025'!$J$2:$J$2407,I$1)</f>
        <v>0</v>
      </c>
      <c r="J142" s="76">
        <f>SUMIFS('август 2025'!$G$2:$G$2407,'август 2025'!$D$2:$D$2407,$B142,'август 2025'!$J$2:$J$2407,J$1)</f>
        <v>0</v>
      </c>
      <c r="K142" s="76">
        <f>SUMIFS('август 2025'!$G$2:$G$2407,'август 2025'!$D$2:$D$2407,$B142,'август 2025'!$J$2:$J$2407,K$1)</f>
        <v>0</v>
      </c>
      <c r="L142" s="76">
        <f>SUMIFS('август 2025'!$G$2:$G$2407,'август 2025'!$D$2:$D$2407,$B142,'август 2025'!$J$2:$J$2407,L$1)</f>
        <v>0</v>
      </c>
      <c r="M142" s="76">
        <f>SUMIFS('август 2025'!$G$2:$G$2407,'август 2025'!$D$2:$D$2407,$B142,'август 2025'!$J$2:$J$2407,M$1)</f>
        <v>0</v>
      </c>
      <c r="N142" s="76">
        <f>SUMIFS('август 2025'!$G$2:$G$2407,'август 2025'!$D$2:$D$2407,$B142,'август 2025'!$J$2:$J$2407,N$1)</f>
        <v>0</v>
      </c>
      <c r="O142" s="76">
        <f>SUMIFS('август 2025'!$G$2:$G$2407,'август 2025'!$D$2:$D$2407,$B142,'август 2025'!$J$2:$J$2407,O$1)</f>
        <v>0</v>
      </c>
      <c r="P142" s="76">
        <f>SUMIFS('август 2025'!$G$2:$G$2407,'август 2025'!$D$2:$D$2407,$B142,'август 2025'!$J$2:$J$2407,P$1)</f>
        <v>0</v>
      </c>
      <c r="Q142" s="76">
        <f>SUMIFS('август 2025'!$G$2:$G$2407,'август 2025'!$D$2:$D$2407,$B142,'август 2025'!$J$2:$J$2407,Q$1)</f>
        <v>0</v>
      </c>
      <c r="R142" s="76">
        <f>SUMIFS('август 2025'!$G$2:$G$2407,'август 2025'!$D$2:$D$2407,$B142,'август 2025'!$J$2:$J$2407,R$1)</f>
        <v>0</v>
      </c>
      <c r="S142" s="76">
        <f>SUMIFS('август 2025'!$G$2:$G$2407,'август 2025'!$D$2:$D$2407,$B142,'август 2025'!$J$2:$J$2407,S$1)</f>
        <v>0</v>
      </c>
      <c r="T142" s="76">
        <f>SUMIFS('август 2025'!$G$2:$G$2407,'август 2025'!$D$2:$D$2407,$B142,'август 2025'!$J$2:$J$2407,T$1)</f>
        <v>0</v>
      </c>
      <c r="U142" s="76">
        <f>SUMIFS('август 2025'!$G$2:$G$2407,'август 2025'!$D$2:$D$2407,$B142,'август 2025'!$J$2:$J$2407,U$1)</f>
        <v>0</v>
      </c>
      <c r="V142" s="76">
        <f>SUMIFS('август 2025'!$G$2:$G$2407,'август 2025'!$D$2:$D$2407,$B142,'август 2025'!$J$2:$J$2407,V$1)</f>
        <v>0</v>
      </c>
      <c r="W142" s="76">
        <f>SUMIFS('август 2025'!$G$2:$G$2407,'август 2025'!$D$2:$D$2407,$B142,'август 2025'!$J$2:$J$2407,W$1)</f>
        <v>0</v>
      </c>
      <c r="X142" s="76">
        <f>SUMIFS('август 2025'!$G$2:$G$2407,'август 2025'!$D$2:$D$2407,$B142,'август 2025'!$J$2:$J$2407,X$1)</f>
        <v>0</v>
      </c>
      <c r="Y142" s="76">
        <f>SUMIFS('август 2025'!$G$2:$G$2407,'август 2025'!$D$2:$D$2407,$B142,'август 2025'!$J$2:$J$2407,Y$1)</f>
        <v>0</v>
      </c>
      <c r="Z142" s="76">
        <f>SUMIFS('август 2025'!$G$2:$G$2407,'август 2025'!$D$2:$D$2407,$B142,'август 2025'!$J$2:$J$2407,Z$1)</f>
        <v>0</v>
      </c>
      <c r="AA142" s="76">
        <f>SUMIFS('август 2025'!$G$2:$G$2407,'август 2025'!$D$2:$D$2407,$B142,'август 2025'!$J$2:$J$2407,AA$1)</f>
        <v>0</v>
      </c>
      <c r="AB142" s="76">
        <f>SUMIFS('август 2025'!$G$2:$G$2407,'август 2025'!$D$2:$D$2407,$B142,'август 2025'!$J$2:$J$2407,AB$1)</f>
        <v>0</v>
      </c>
      <c r="AC142" s="76">
        <f>SUMIFS('август 2025'!$G$2:$G$2407,'август 2025'!$D$2:$D$2407,$B142,'август 2025'!$J$2:$J$2407,AC$1)</f>
        <v>0</v>
      </c>
      <c r="AD142" s="76">
        <f>SUMIFS('август 2025'!$G$2:$G$2407,'август 2025'!$D$2:$D$2407,$B142,'август 2025'!$J$2:$J$2407,AD$1)</f>
        <v>0</v>
      </c>
      <c r="AE142" s="76">
        <f>SUMIFS('август 2025'!$G$2:$G$2407,'август 2025'!$D$2:$D$2407,$B142,'август 2025'!$J$2:$J$2407,AE$1)</f>
        <v>0</v>
      </c>
      <c r="AF142" s="76">
        <f>SUMIFS('август 2025'!$G$2:$G$2407,'август 2025'!$D$2:$D$2407,$B142,'август 2025'!$J$2:$J$2407,AF$1)</f>
        <v>0</v>
      </c>
      <c r="AG142" s="76">
        <f>SUMIFS('август 2025'!$G$2:$G$2407,'август 2025'!$D$2:$D$2407,$B142,'август 2025'!$J$2:$J$2407,AG$1)</f>
        <v>0</v>
      </c>
      <c r="AH142" s="76">
        <f>SUMIFS('август 2025'!$G$2:$G$2407,'август 2025'!$D$2:$D$2407,$B142,'август 2025'!$J$2:$J$2407,AH$1)</f>
        <v>0</v>
      </c>
      <c r="AI142" s="20">
        <f t="shared" si="1"/>
        <v>0</v>
      </c>
    </row>
    <row r="143" spans="2:35" ht="15" customHeight="1" x14ac:dyDescent="0.25">
      <c r="B143" s="84" t="s">
        <v>295</v>
      </c>
      <c r="C143" s="86">
        <v>190</v>
      </c>
      <c r="D143" s="76">
        <f>SUMIFS('август 2025'!$G$2:$G$2407,'август 2025'!$D$2:$D$2407,$B143,'август 2025'!$J$2:$J$2407,D$1)</f>
        <v>0</v>
      </c>
      <c r="E143" s="76">
        <f>SUMIFS('август 2025'!$G$2:$G$2407,'август 2025'!$D$2:$D$2407,$B143,'август 2025'!$J$2:$J$2407,E$1)</f>
        <v>0</v>
      </c>
      <c r="F143" s="76">
        <f>SUMIFS('август 2025'!$G$2:$G$2407,'август 2025'!$D$2:$D$2407,$B143,'август 2025'!$J$2:$J$2407,F$1)</f>
        <v>0</v>
      </c>
      <c r="G143" s="76">
        <f>SUMIFS('август 2025'!$G$2:$G$2407,'август 2025'!$D$2:$D$2407,$B143,'август 2025'!$J$2:$J$2407,G$1)</f>
        <v>0</v>
      </c>
      <c r="H143" s="76">
        <f>SUMIFS('август 2025'!$G$2:$G$2407,'август 2025'!$D$2:$D$2407,$B143,'август 2025'!$J$2:$J$2407,H$1)</f>
        <v>0</v>
      </c>
      <c r="I143" s="76">
        <f>SUMIFS('август 2025'!$G$2:$G$2407,'август 2025'!$D$2:$D$2407,$B143,'август 2025'!$J$2:$J$2407,I$1)</f>
        <v>0</v>
      </c>
      <c r="J143" s="76">
        <f>SUMIFS('август 2025'!$G$2:$G$2407,'август 2025'!$D$2:$D$2407,$B143,'август 2025'!$J$2:$J$2407,J$1)</f>
        <v>0</v>
      </c>
      <c r="K143" s="76">
        <f>SUMIFS('август 2025'!$G$2:$G$2407,'август 2025'!$D$2:$D$2407,$B143,'август 2025'!$J$2:$J$2407,K$1)</f>
        <v>0</v>
      </c>
      <c r="L143" s="76">
        <f>SUMIFS('август 2025'!$G$2:$G$2407,'август 2025'!$D$2:$D$2407,$B143,'август 2025'!$J$2:$J$2407,L$1)</f>
        <v>0</v>
      </c>
      <c r="M143" s="76">
        <f>SUMIFS('август 2025'!$G$2:$G$2407,'август 2025'!$D$2:$D$2407,$B143,'август 2025'!$J$2:$J$2407,M$1)</f>
        <v>0</v>
      </c>
      <c r="N143" s="76">
        <f>SUMIFS('август 2025'!$G$2:$G$2407,'август 2025'!$D$2:$D$2407,$B143,'август 2025'!$J$2:$J$2407,N$1)</f>
        <v>0</v>
      </c>
      <c r="O143" s="76">
        <f>SUMIFS('август 2025'!$G$2:$G$2407,'август 2025'!$D$2:$D$2407,$B143,'август 2025'!$J$2:$J$2407,O$1)</f>
        <v>0</v>
      </c>
      <c r="P143" s="76">
        <f>SUMIFS('август 2025'!$G$2:$G$2407,'август 2025'!$D$2:$D$2407,$B143,'август 2025'!$J$2:$J$2407,P$1)</f>
        <v>0</v>
      </c>
      <c r="Q143" s="76">
        <f>SUMIFS('август 2025'!$G$2:$G$2407,'август 2025'!$D$2:$D$2407,$B143,'август 2025'!$J$2:$J$2407,Q$1)</f>
        <v>0</v>
      </c>
      <c r="R143" s="76">
        <f>SUMIFS('август 2025'!$G$2:$G$2407,'август 2025'!$D$2:$D$2407,$B143,'август 2025'!$J$2:$J$2407,R$1)</f>
        <v>0</v>
      </c>
      <c r="S143" s="76">
        <f>SUMIFS('август 2025'!$G$2:$G$2407,'август 2025'!$D$2:$D$2407,$B143,'август 2025'!$J$2:$J$2407,S$1)</f>
        <v>0</v>
      </c>
      <c r="T143" s="76">
        <f>SUMIFS('август 2025'!$G$2:$G$2407,'август 2025'!$D$2:$D$2407,$B143,'август 2025'!$J$2:$J$2407,T$1)</f>
        <v>0</v>
      </c>
      <c r="U143" s="76">
        <f>SUMIFS('август 2025'!$G$2:$G$2407,'август 2025'!$D$2:$D$2407,$B143,'август 2025'!$J$2:$J$2407,U$1)</f>
        <v>0</v>
      </c>
      <c r="V143" s="76">
        <f>SUMIFS('август 2025'!$G$2:$G$2407,'август 2025'!$D$2:$D$2407,$B143,'август 2025'!$J$2:$J$2407,V$1)</f>
        <v>0</v>
      </c>
      <c r="W143" s="76">
        <f>SUMIFS('август 2025'!$G$2:$G$2407,'август 2025'!$D$2:$D$2407,$B143,'август 2025'!$J$2:$J$2407,W$1)</f>
        <v>0</v>
      </c>
      <c r="X143" s="76">
        <f>SUMIFS('август 2025'!$G$2:$G$2407,'август 2025'!$D$2:$D$2407,$B143,'август 2025'!$J$2:$J$2407,X$1)</f>
        <v>0</v>
      </c>
      <c r="Y143" s="76">
        <f>SUMIFS('август 2025'!$G$2:$G$2407,'август 2025'!$D$2:$D$2407,$B143,'август 2025'!$J$2:$J$2407,Y$1)</f>
        <v>0</v>
      </c>
      <c r="Z143" s="76">
        <f>SUMIFS('август 2025'!$G$2:$G$2407,'август 2025'!$D$2:$D$2407,$B143,'август 2025'!$J$2:$J$2407,Z$1)</f>
        <v>0</v>
      </c>
      <c r="AA143" s="76">
        <f>SUMIFS('август 2025'!$G$2:$G$2407,'август 2025'!$D$2:$D$2407,$B143,'август 2025'!$J$2:$J$2407,AA$1)</f>
        <v>0</v>
      </c>
      <c r="AB143" s="76">
        <f>SUMIFS('август 2025'!$G$2:$G$2407,'август 2025'!$D$2:$D$2407,$B143,'август 2025'!$J$2:$J$2407,AB$1)</f>
        <v>0</v>
      </c>
      <c r="AC143" s="76">
        <f>SUMIFS('август 2025'!$G$2:$G$2407,'август 2025'!$D$2:$D$2407,$B143,'август 2025'!$J$2:$J$2407,AC$1)</f>
        <v>0</v>
      </c>
      <c r="AD143" s="76">
        <f>SUMIFS('август 2025'!$G$2:$G$2407,'август 2025'!$D$2:$D$2407,$B143,'август 2025'!$J$2:$J$2407,AD$1)</f>
        <v>0</v>
      </c>
      <c r="AE143" s="76">
        <f>SUMIFS('август 2025'!$G$2:$G$2407,'август 2025'!$D$2:$D$2407,$B143,'август 2025'!$J$2:$J$2407,AE$1)</f>
        <v>0</v>
      </c>
      <c r="AF143" s="76">
        <f>SUMIFS('август 2025'!$G$2:$G$2407,'август 2025'!$D$2:$D$2407,$B143,'август 2025'!$J$2:$J$2407,AF$1)</f>
        <v>0</v>
      </c>
      <c r="AG143" s="76">
        <f>SUMIFS('август 2025'!$G$2:$G$2407,'август 2025'!$D$2:$D$2407,$B143,'август 2025'!$J$2:$J$2407,AG$1)</f>
        <v>0</v>
      </c>
      <c r="AH143" s="76">
        <f>SUMIFS('август 2025'!$G$2:$G$2407,'август 2025'!$D$2:$D$2407,$B143,'август 2025'!$J$2:$J$2407,AH$1)</f>
        <v>0</v>
      </c>
      <c r="AI143" s="20">
        <f t="shared" si="1"/>
        <v>0</v>
      </c>
    </row>
    <row r="144" spans="2:35" ht="15" customHeight="1" x14ac:dyDescent="0.25">
      <c r="B144" s="84" t="s">
        <v>269</v>
      </c>
      <c r="C144" s="86">
        <v>200</v>
      </c>
      <c r="D144" s="76">
        <f>SUMIFS('август 2025'!$G$2:$G$2407,'август 2025'!$D$2:$D$2407,$B144,'август 2025'!$J$2:$J$2407,D$1)</f>
        <v>0</v>
      </c>
      <c r="E144" s="76">
        <f>SUMIFS('август 2025'!$G$2:$G$2407,'август 2025'!$D$2:$D$2407,$B144,'август 2025'!$J$2:$J$2407,E$1)</f>
        <v>0</v>
      </c>
      <c r="F144" s="76">
        <f>SUMIFS('август 2025'!$G$2:$G$2407,'август 2025'!$D$2:$D$2407,$B144,'август 2025'!$J$2:$J$2407,F$1)</f>
        <v>0</v>
      </c>
      <c r="G144" s="76">
        <f>SUMIFS('август 2025'!$G$2:$G$2407,'август 2025'!$D$2:$D$2407,$B144,'август 2025'!$J$2:$J$2407,G$1)</f>
        <v>0</v>
      </c>
      <c r="H144" s="76">
        <f>SUMIFS('август 2025'!$G$2:$G$2407,'август 2025'!$D$2:$D$2407,$B144,'август 2025'!$J$2:$J$2407,H$1)</f>
        <v>0</v>
      </c>
      <c r="I144" s="76">
        <f>SUMIFS('август 2025'!$G$2:$G$2407,'август 2025'!$D$2:$D$2407,$B144,'август 2025'!$J$2:$J$2407,I$1)</f>
        <v>0</v>
      </c>
      <c r="J144" s="76">
        <f>SUMIFS('август 2025'!$G$2:$G$2407,'август 2025'!$D$2:$D$2407,$B144,'август 2025'!$J$2:$J$2407,J$1)</f>
        <v>0</v>
      </c>
      <c r="K144" s="76">
        <f>SUMIFS('август 2025'!$G$2:$G$2407,'август 2025'!$D$2:$D$2407,$B144,'август 2025'!$J$2:$J$2407,K$1)</f>
        <v>0</v>
      </c>
      <c r="L144" s="76">
        <f>SUMIFS('август 2025'!$G$2:$G$2407,'август 2025'!$D$2:$D$2407,$B144,'август 2025'!$J$2:$J$2407,L$1)</f>
        <v>0</v>
      </c>
      <c r="M144" s="76">
        <f>SUMIFS('август 2025'!$G$2:$G$2407,'август 2025'!$D$2:$D$2407,$B144,'август 2025'!$J$2:$J$2407,M$1)</f>
        <v>0</v>
      </c>
      <c r="N144" s="76">
        <f>SUMIFS('август 2025'!$G$2:$G$2407,'август 2025'!$D$2:$D$2407,$B144,'август 2025'!$J$2:$J$2407,N$1)</f>
        <v>0</v>
      </c>
      <c r="O144" s="76">
        <f>SUMIFS('август 2025'!$G$2:$G$2407,'август 2025'!$D$2:$D$2407,$B144,'август 2025'!$J$2:$J$2407,O$1)</f>
        <v>0</v>
      </c>
      <c r="P144" s="76">
        <f>SUMIFS('август 2025'!$G$2:$G$2407,'август 2025'!$D$2:$D$2407,$B144,'август 2025'!$J$2:$J$2407,P$1)</f>
        <v>0</v>
      </c>
      <c r="Q144" s="76">
        <f>SUMIFS('август 2025'!$G$2:$G$2407,'август 2025'!$D$2:$D$2407,$B144,'август 2025'!$J$2:$J$2407,Q$1)</f>
        <v>0</v>
      </c>
      <c r="R144" s="76">
        <f>SUMIFS('август 2025'!$G$2:$G$2407,'август 2025'!$D$2:$D$2407,$B144,'август 2025'!$J$2:$J$2407,R$1)</f>
        <v>0</v>
      </c>
      <c r="S144" s="76">
        <f>SUMIFS('август 2025'!$G$2:$G$2407,'август 2025'!$D$2:$D$2407,$B144,'август 2025'!$J$2:$J$2407,S$1)</f>
        <v>0</v>
      </c>
      <c r="T144" s="76">
        <f>SUMIFS('август 2025'!$G$2:$G$2407,'август 2025'!$D$2:$D$2407,$B144,'август 2025'!$J$2:$J$2407,T$1)</f>
        <v>0</v>
      </c>
      <c r="U144" s="76">
        <f>SUMIFS('август 2025'!$G$2:$G$2407,'август 2025'!$D$2:$D$2407,$B144,'август 2025'!$J$2:$J$2407,U$1)</f>
        <v>0</v>
      </c>
      <c r="V144" s="76">
        <f>SUMIFS('август 2025'!$G$2:$G$2407,'август 2025'!$D$2:$D$2407,$B144,'август 2025'!$J$2:$J$2407,V$1)</f>
        <v>0</v>
      </c>
      <c r="W144" s="76">
        <f>SUMIFS('август 2025'!$G$2:$G$2407,'август 2025'!$D$2:$D$2407,$B144,'август 2025'!$J$2:$J$2407,W$1)</f>
        <v>0</v>
      </c>
      <c r="X144" s="76">
        <f>SUMIFS('август 2025'!$G$2:$G$2407,'август 2025'!$D$2:$D$2407,$B144,'август 2025'!$J$2:$J$2407,X$1)</f>
        <v>0</v>
      </c>
      <c r="Y144" s="76">
        <f>SUMIFS('август 2025'!$G$2:$G$2407,'август 2025'!$D$2:$D$2407,$B144,'август 2025'!$J$2:$J$2407,Y$1)</f>
        <v>0</v>
      </c>
      <c r="Z144" s="76">
        <f>SUMIFS('август 2025'!$G$2:$G$2407,'август 2025'!$D$2:$D$2407,$B144,'август 2025'!$J$2:$J$2407,Z$1)</f>
        <v>0</v>
      </c>
      <c r="AA144" s="76">
        <f>SUMIFS('август 2025'!$G$2:$G$2407,'август 2025'!$D$2:$D$2407,$B144,'август 2025'!$J$2:$J$2407,AA$1)</f>
        <v>0</v>
      </c>
      <c r="AB144" s="76">
        <f>SUMIFS('август 2025'!$G$2:$G$2407,'август 2025'!$D$2:$D$2407,$B144,'август 2025'!$J$2:$J$2407,AB$1)</f>
        <v>0</v>
      </c>
      <c r="AC144" s="76">
        <f>SUMIFS('август 2025'!$G$2:$G$2407,'август 2025'!$D$2:$D$2407,$B144,'август 2025'!$J$2:$J$2407,AC$1)</f>
        <v>0</v>
      </c>
      <c r="AD144" s="76">
        <f>SUMIFS('август 2025'!$G$2:$G$2407,'август 2025'!$D$2:$D$2407,$B144,'август 2025'!$J$2:$J$2407,AD$1)</f>
        <v>0</v>
      </c>
      <c r="AE144" s="76">
        <f>SUMIFS('август 2025'!$G$2:$G$2407,'август 2025'!$D$2:$D$2407,$B144,'август 2025'!$J$2:$J$2407,AE$1)</f>
        <v>0</v>
      </c>
      <c r="AF144" s="76">
        <f>SUMIFS('август 2025'!$G$2:$G$2407,'август 2025'!$D$2:$D$2407,$B144,'август 2025'!$J$2:$J$2407,AF$1)</f>
        <v>0</v>
      </c>
      <c r="AG144" s="76">
        <f>SUMIFS('август 2025'!$G$2:$G$2407,'август 2025'!$D$2:$D$2407,$B144,'август 2025'!$J$2:$J$2407,AG$1)</f>
        <v>0</v>
      </c>
      <c r="AH144" s="76">
        <f>SUMIFS('август 2025'!$G$2:$G$2407,'август 2025'!$D$2:$D$2407,$B144,'август 2025'!$J$2:$J$2407,AH$1)</f>
        <v>0</v>
      </c>
      <c r="AI144" s="20">
        <f t="shared" si="1"/>
        <v>0</v>
      </c>
    </row>
    <row r="145" spans="2:35" ht="15" customHeight="1" x14ac:dyDescent="0.25">
      <c r="B145" s="84" t="s">
        <v>279</v>
      </c>
      <c r="C145" s="86">
        <v>200</v>
      </c>
      <c r="D145" s="76">
        <f>SUMIFS('август 2025'!$G$2:$G$2407,'август 2025'!$D$2:$D$2407,$B145,'август 2025'!$J$2:$J$2407,D$1)</f>
        <v>0</v>
      </c>
      <c r="E145" s="76">
        <f>SUMIFS('август 2025'!$G$2:$G$2407,'август 2025'!$D$2:$D$2407,$B145,'август 2025'!$J$2:$J$2407,E$1)</f>
        <v>0</v>
      </c>
      <c r="F145" s="76">
        <f>SUMIFS('август 2025'!$G$2:$G$2407,'август 2025'!$D$2:$D$2407,$B145,'август 2025'!$J$2:$J$2407,F$1)</f>
        <v>0</v>
      </c>
      <c r="G145" s="76">
        <f>SUMIFS('август 2025'!$G$2:$G$2407,'август 2025'!$D$2:$D$2407,$B145,'август 2025'!$J$2:$J$2407,G$1)</f>
        <v>0</v>
      </c>
      <c r="H145" s="76">
        <f>SUMIFS('август 2025'!$G$2:$G$2407,'август 2025'!$D$2:$D$2407,$B145,'август 2025'!$J$2:$J$2407,H$1)</f>
        <v>0</v>
      </c>
      <c r="I145" s="76">
        <f>SUMIFS('август 2025'!$G$2:$G$2407,'август 2025'!$D$2:$D$2407,$B145,'август 2025'!$J$2:$J$2407,I$1)</f>
        <v>0</v>
      </c>
      <c r="J145" s="76">
        <f>SUMIFS('август 2025'!$G$2:$G$2407,'август 2025'!$D$2:$D$2407,$B145,'август 2025'!$J$2:$J$2407,J$1)</f>
        <v>0</v>
      </c>
      <c r="K145" s="76">
        <f>SUMIFS('август 2025'!$G$2:$G$2407,'август 2025'!$D$2:$D$2407,$B145,'август 2025'!$J$2:$J$2407,K$1)</f>
        <v>0</v>
      </c>
      <c r="L145" s="76">
        <f>SUMIFS('август 2025'!$G$2:$G$2407,'август 2025'!$D$2:$D$2407,$B145,'август 2025'!$J$2:$J$2407,L$1)</f>
        <v>0</v>
      </c>
      <c r="M145" s="76">
        <f>SUMIFS('август 2025'!$G$2:$G$2407,'август 2025'!$D$2:$D$2407,$B145,'август 2025'!$J$2:$J$2407,M$1)</f>
        <v>0</v>
      </c>
      <c r="N145" s="76">
        <f>SUMIFS('август 2025'!$G$2:$G$2407,'август 2025'!$D$2:$D$2407,$B145,'август 2025'!$J$2:$J$2407,N$1)</f>
        <v>0</v>
      </c>
      <c r="O145" s="76">
        <f>SUMIFS('август 2025'!$G$2:$G$2407,'август 2025'!$D$2:$D$2407,$B145,'август 2025'!$J$2:$J$2407,O$1)</f>
        <v>0</v>
      </c>
      <c r="P145" s="76">
        <f>SUMIFS('август 2025'!$G$2:$G$2407,'август 2025'!$D$2:$D$2407,$B145,'август 2025'!$J$2:$J$2407,P$1)</f>
        <v>0</v>
      </c>
      <c r="Q145" s="76">
        <f>SUMIFS('август 2025'!$G$2:$G$2407,'август 2025'!$D$2:$D$2407,$B145,'август 2025'!$J$2:$J$2407,Q$1)</f>
        <v>0</v>
      </c>
      <c r="R145" s="76">
        <f>SUMIFS('август 2025'!$G$2:$G$2407,'август 2025'!$D$2:$D$2407,$B145,'август 2025'!$J$2:$J$2407,R$1)</f>
        <v>0</v>
      </c>
      <c r="S145" s="76">
        <f>SUMIFS('август 2025'!$G$2:$G$2407,'август 2025'!$D$2:$D$2407,$B145,'август 2025'!$J$2:$J$2407,S$1)</f>
        <v>0</v>
      </c>
      <c r="T145" s="76">
        <f>SUMIFS('август 2025'!$G$2:$G$2407,'август 2025'!$D$2:$D$2407,$B145,'август 2025'!$J$2:$J$2407,T$1)</f>
        <v>0</v>
      </c>
      <c r="U145" s="76">
        <f>SUMIFS('август 2025'!$G$2:$G$2407,'август 2025'!$D$2:$D$2407,$B145,'август 2025'!$J$2:$J$2407,U$1)</f>
        <v>0</v>
      </c>
      <c r="V145" s="76">
        <f>SUMIFS('август 2025'!$G$2:$G$2407,'август 2025'!$D$2:$D$2407,$B145,'август 2025'!$J$2:$J$2407,V$1)</f>
        <v>0</v>
      </c>
      <c r="W145" s="76">
        <f>SUMIFS('август 2025'!$G$2:$G$2407,'август 2025'!$D$2:$D$2407,$B145,'август 2025'!$J$2:$J$2407,W$1)</f>
        <v>0</v>
      </c>
      <c r="X145" s="76">
        <f>SUMIFS('август 2025'!$G$2:$G$2407,'август 2025'!$D$2:$D$2407,$B145,'август 2025'!$J$2:$J$2407,X$1)</f>
        <v>0</v>
      </c>
      <c r="Y145" s="76">
        <f>SUMIFS('август 2025'!$G$2:$G$2407,'август 2025'!$D$2:$D$2407,$B145,'август 2025'!$J$2:$J$2407,Y$1)</f>
        <v>0</v>
      </c>
      <c r="Z145" s="76">
        <f>SUMIFS('август 2025'!$G$2:$G$2407,'август 2025'!$D$2:$D$2407,$B145,'август 2025'!$J$2:$J$2407,Z$1)</f>
        <v>0</v>
      </c>
      <c r="AA145" s="76">
        <f>SUMIFS('август 2025'!$G$2:$G$2407,'август 2025'!$D$2:$D$2407,$B145,'август 2025'!$J$2:$J$2407,AA$1)</f>
        <v>0</v>
      </c>
      <c r="AB145" s="76">
        <f>SUMIFS('август 2025'!$G$2:$G$2407,'август 2025'!$D$2:$D$2407,$B145,'август 2025'!$J$2:$J$2407,AB$1)</f>
        <v>0</v>
      </c>
      <c r="AC145" s="76">
        <f>SUMIFS('август 2025'!$G$2:$G$2407,'август 2025'!$D$2:$D$2407,$B145,'август 2025'!$J$2:$J$2407,AC$1)</f>
        <v>0</v>
      </c>
      <c r="AD145" s="76">
        <f>SUMIFS('август 2025'!$G$2:$G$2407,'август 2025'!$D$2:$D$2407,$B145,'август 2025'!$J$2:$J$2407,AD$1)</f>
        <v>0</v>
      </c>
      <c r="AE145" s="76">
        <f>SUMIFS('август 2025'!$G$2:$G$2407,'август 2025'!$D$2:$D$2407,$B145,'август 2025'!$J$2:$J$2407,AE$1)</f>
        <v>0</v>
      </c>
      <c r="AF145" s="76">
        <f>SUMIFS('август 2025'!$G$2:$G$2407,'август 2025'!$D$2:$D$2407,$B145,'август 2025'!$J$2:$J$2407,AF$1)</f>
        <v>0</v>
      </c>
      <c r="AG145" s="76">
        <f>SUMIFS('август 2025'!$G$2:$G$2407,'август 2025'!$D$2:$D$2407,$B145,'август 2025'!$J$2:$J$2407,AG$1)</f>
        <v>0</v>
      </c>
      <c r="AH145" s="76">
        <f>SUMIFS('август 2025'!$G$2:$G$2407,'август 2025'!$D$2:$D$2407,$B145,'август 2025'!$J$2:$J$2407,AH$1)</f>
        <v>0</v>
      </c>
      <c r="AI145" s="20">
        <f t="shared" si="1"/>
        <v>0</v>
      </c>
    </row>
    <row r="146" spans="2:35" ht="15" customHeight="1" x14ac:dyDescent="0.25">
      <c r="B146" s="84" t="s">
        <v>197</v>
      </c>
      <c r="C146" s="86">
        <v>180</v>
      </c>
      <c r="D146" s="76">
        <f>SUMIFS('август 2025'!$G$2:$G$2407,'август 2025'!$D$2:$D$2407,$B146,'август 2025'!$J$2:$J$2407,D$1)</f>
        <v>0</v>
      </c>
      <c r="E146" s="76">
        <f>SUMIFS('август 2025'!$G$2:$G$2407,'август 2025'!$D$2:$D$2407,$B146,'август 2025'!$J$2:$J$2407,E$1)</f>
        <v>0</v>
      </c>
      <c r="F146" s="76">
        <f>SUMIFS('август 2025'!$G$2:$G$2407,'август 2025'!$D$2:$D$2407,$B146,'август 2025'!$J$2:$J$2407,F$1)</f>
        <v>0</v>
      </c>
      <c r="G146" s="76">
        <f>SUMIFS('август 2025'!$G$2:$G$2407,'август 2025'!$D$2:$D$2407,$B146,'август 2025'!$J$2:$J$2407,G$1)</f>
        <v>0</v>
      </c>
      <c r="H146" s="76">
        <f>SUMIFS('август 2025'!$G$2:$G$2407,'август 2025'!$D$2:$D$2407,$B146,'август 2025'!$J$2:$J$2407,H$1)</f>
        <v>0</v>
      </c>
      <c r="I146" s="76">
        <f>SUMIFS('август 2025'!$G$2:$G$2407,'август 2025'!$D$2:$D$2407,$B146,'август 2025'!$J$2:$J$2407,I$1)</f>
        <v>0</v>
      </c>
      <c r="J146" s="76">
        <f>SUMIFS('август 2025'!$G$2:$G$2407,'август 2025'!$D$2:$D$2407,$B146,'август 2025'!$J$2:$J$2407,J$1)</f>
        <v>0</v>
      </c>
      <c r="K146" s="76">
        <f>SUMIFS('август 2025'!$G$2:$G$2407,'август 2025'!$D$2:$D$2407,$B146,'август 2025'!$J$2:$J$2407,K$1)</f>
        <v>0</v>
      </c>
      <c r="L146" s="76">
        <f>SUMIFS('август 2025'!$G$2:$G$2407,'август 2025'!$D$2:$D$2407,$B146,'август 2025'!$J$2:$J$2407,L$1)</f>
        <v>0</v>
      </c>
      <c r="M146" s="76">
        <f>SUMIFS('август 2025'!$G$2:$G$2407,'август 2025'!$D$2:$D$2407,$B146,'август 2025'!$J$2:$J$2407,M$1)</f>
        <v>0</v>
      </c>
      <c r="N146" s="76">
        <f>SUMIFS('август 2025'!$G$2:$G$2407,'август 2025'!$D$2:$D$2407,$B146,'август 2025'!$J$2:$J$2407,N$1)</f>
        <v>0</v>
      </c>
      <c r="O146" s="76">
        <f>SUMIFS('август 2025'!$G$2:$G$2407,'август 2025'!$D$2:$D$2407,$B146,'август 2025'!$J$2:$J$2407,O$1)</f>
        <v>0</v>
      </c>
      <c r="P146" s="76">
        <f>SUMIFS('август 2025'!$G$2:$G$2407,'август 2025'!$D$2:$D$2407,$B146,'август 2025'!$J$2:$J$2407,P$1)</f>
        <v>0</v>
      </c>
      <c r="Q146" s="76">
        <f>SUMIFS('август 2025'!$G$2:$G$2407,'август 2025'!$D$2:$D$2407,$B146,'август 2025'!$J$2:$J$2407,Q$1)</f>
        <v>0</v>
      </c>
      <c r="R146" s="76">
        <f>SUMIFS('август 2025'!$G$2:$G$2407,'август 2025'!$D$2:$D$2407,$B146,'август 2025'!$J$2:$J$2407,R$1)</f>
        <v>0</v>
      </c>
      <c r="S146" s="76">
        <f>SUMIFS('август 2025'!$G$2:$G$2407,'август 2025'!$D$2:$D$2407,$B146,'август 2025'!$J$2:$J$2407,S$1)</f>
        <v>0</v>
      </c>
      <c r="T146" s="76">
        <f>SUMIFS('август 2025'!$G$2:$G$2407,'август 2025'!$D$2:$D$2407,$B146,'август 2025'!$J$2:$J$2407,T$1)</f>
        <v>0</v>
      </c>
      <c r="U146" s="76">
        <f>SUMIFS('август 2025'!$G$2:$G$2407,'август 2025'!$D$2:$D$2407,$B146,'август 2025'!$J$2:$J$2407,U$1)</f>
        <v>0</v>
      </c>
      <c r="V146" s="76">
        <f>SUMIFS('август 2025'!$G$2:$G$2407,'август 2025'!$D$2:$D$2407,$B146,'август 2025'!$J$2:$J$2407,V$1)</f>
        <v>0</v>
      </c>
      <c r="W146" s="76">
        <f>SUMIFS('август 2025'!$G$2:$G$2407,'август 2025'!$D$2:$D$2407,$B146,'август 2025'!$J$2:$J$2407,W$1)</f>
        <v>0</v>
      </c>
      <c r="X146" s="76">
        <f>SUMIFS('август 2025'!$G$2:$G$2407,'август 2025'!$D$2:$D$2407,$B146,'август 2025'!$J$2:$J$2407,X$1)</f>
        <v>0</v>
      </c>
      <c r="Y146" s="76">
        <f>SUMIFS('август 2025'!$G$2:$G$2407,'август 2025'!$D$2:$D$2407,$B146,'август 2025'!$J$2:$J$2407,Y$1)</f>
        <v>0</v>
      </c>
      <c r="Z146" s="76">
        <f>SUMIFS('август 2025'!$G$2:$G$2407,'август 2025'!$D$2:$D$2407,$B146,'август 2025'!$J$2:$J$2407,Z$1)</f>
        <v>0</v>
      </c>
      <c r="AA146" s="76">
        <f>SUMIFS('август 2025'!$G$2:$G$2407,'август 2025'!$D$2:$D$2407,$B146,'август 2025'!$J$2:$J$2407,AA$1)</f>
        <v>0</v>
      </c>
      <c r="AB146" s="76">
        <f>SUMIFS('август 2025'!$G$2:$G$2407,'август 2025'!$D$2:$D$2407,$B146,'август 2025'!$J$2:$J$2407,AB$1)</f>
        <v>0</v>
      </c>
      <c r="AC146" s="76">
        <f>SUMIFS('август 2025'!$G$2:$G$2407,'август 2025'!$D$2:$D$2407,$B146,'август 2025'!$J$2:$J$2407,AC$1)</f>
        <v>0</v>
      </c>
      <c r="AD146" s="76">
        <f>SUMIFS('август 2025'!$G$2:$G$2407,'август 2025'!$D$2:$D$2407,$B146,'август 2025'!$J$2:$J$2407,AD$1)</f>
        <v>0</v>
      </c>
      <c r="AE146" s="76">
        <f>SUMIFS('август 2025'!$G$2:$G$2407,'август 2025'!$D$2:$D$2407,$B146,'август 2025'!$J$2:$J$2407,AE$1)</f>
        <v>0</v>
      </c>
      <c r="AF146" s="76">
        <f>SUMIFS('август 2025'!$G$2:$G$2407,'август 2025'!$D$2:$D$2407,$B146,'август 2025'!$J$2:$J$2407,AF$1)</f>
        <v>0</v>
      </c>
      <c r="AG146" s="76">
        <f>SUMIFS('август 2025'!$G$2:$G$2407,'август 2025'!$D$2:$D$2407,$B146,'август 2025'!$J$2:$J$2407,AG$1)</f>
        <v>0</v>
      </c>
      <c r="AH146" s="76">
        <f>SUMIFS('август 2025'!$G$2:$G$2407,'август 2025'!$D$2:$D$2407,$B146,'август 2025'!$J$2:$J$2407,AH$1)</f>
        <v>0</v>
      </c>
      <c r="AI146" s="20">
        <f t="shared" si="1"/>
        <v>0</v>
      </c>
    </row>
    <row r="147" spans="2:35" ht="15" customHeight="1" x14ac:dyDescent="0.25">
      <c r="B147" s="88" t="s">
        <v>293</v>
      </c>
      <c r="C147" s="86">
        <v>180</v>
      </c>
      <c r="D147" s="76">
        <f>SUMIFS('август 2025'!$G$2:$G$2407,'август 2025'!$D$2:$D$2407,$B147,'август 2025'!$J$2:$J$2407,D$1)</f>
        <v>0</v>
      </c>
      <c r="E147" s="76">
        <f>SUMIFS('август 2025'!$G$2:$G$2407,'август 2025'!$D$2:$D$2407,$B147,'август 2025'!$J$2:$J$2407,E$1)</f>
        <v>0</v>
      </c>
      <c r="F147" s="76">
        <f>SUMIFS('август 2025'!$G$2:$G$2407,'август 2025'!$D$2:$D$2407,$B147,'август 2025'!$J$2:$J$2407,F$1)</f>
        <v>0</v>
      </c>
      <c r="G147" s="76">
        <f>SUMIFS('август 2025'!$G$2:$G$2407,'август 2025'!$D$2:$D$2407,$B147,'август 2025'!$J$2:$J$2407,G$1)</f>
        <v>0</v>
      </c>
      <c r="H147" s="76">
        <f>SUMIFS('август 2025'!$G$2:$G$2407,'август 2025'!$D$2:$D$2407,$B147,'август 2025'!$J$2:$J$2407,H$1)</f>
        <v>0</v>
      </c>
      <c r="I147" s="76">
        <f>SUMIFS('август 2025'!$G$2:$G$2407,'август 2025'!$D$2:$D$2407,$B147,'август 2025'!$J$2:$J$2407,I$1)</f>
        <v>0</v>
      </c>
      <c r="J147" s="76">
        <f>SUMIFS('август 2025'!$G$2:$G$2407,'август 2025'!$D$2:$D$2407,$B147,'август 2025'!$J$2:$J$2407,J$1)</f>
        <v>0</v>
      </c>
      <c r="K147" s="76">
        <f>SUMIFS('август 2025'!$G$2:$G$2407,'август 2025'!$D$2:$D$2407,$B147,'август 2025'!$J$2:$J$2407,K$1)</f>
        <v>0</v>
      </c>
      <c r="L147" s="76">
        <f>SUMIFS('август 2025'!$G$2:$G$2407,'август 2025'!$D$2:$D$2407,$B147,'август 2025'!$J$2:$J$2407,L$1)</f>
        <v>0</v>
      </c>
      <c r="M147" s="76">
        <f>SUMIFS('август 2025'!$G$2:$G$2407,'август 2025'!$D$2:$D$2407,$B147,'август 2025'!$J$2:$J$2407,M$1)</f>
        <v>0</v>
      </c>
      <c r="N147" s="76">
        <f>SUMIFS('август 2025'!$G$2:$G$2407,'август 2025'!$D$2:$D$2407,$B147,'август 2025'!$J$2:$J$2407,N$1)</f>
        <v>0</v>
      </c>
      <c r="O147" s="76">
        <f>SUMIFS('август 2025'!$G$2:$G$2407,'август 2025'!$D$2:$D$2407,$B147,'август 2025'!$J$2:$J$2407,O$1)</f>
        <v>0</v>
      </c>
      <c r="P147" s="76">
        <f>SUMIFS('август 2025'!$G$2:$G$2407,'август 2025'!$D$2:$D$2407,$B147,'август 2025'!$J$2:$J$2407,P$1)</f>
        <v>0</v>
      </c>
      <c r="Q147" s="76">
        <f>SUMIFS('август 2025'!$G$2:$G$2407,'август 2025'!$D$2:$D$2407,$B147,'август 2025'!$J$2:$J$2407,Q$1)</f>
        <v>0</v>
      </c>
      <c r="R147" s="76">
        <f>SUMIFS('август 2025'!$G$2:$G$2407,'август 2025'!$D$2:$D$2407,$B147,'август 2025'!$J$2:$J$2407,R$1)</f>
        <v>0</v>
      </c>
      <c r="S147" s="76">
        <f>SUMIFS('август 2025'!$G$2:$G$2407,'август 2025'!$D$2:$D$2407,$B147,'август 2025'!$J$2:$J$2407,S$1)</f>
        <v>0</v>
      </c>
      <c r="T147" s="76">
        <f>SUMIFS('август 2025'!$G$2:$G$2407,'август 2025'!$D$2:$D$2407,$B147,'август 2025'!$J$2:$J$2407,T$1)</f>
        <v>0</v>
      </c>
      <c r="U147" s="76">
        <f>SUMIFS('август 2025'!$G$2:$G$2407,'август 2025'!$D$2:$D$2407,$B147,'август 2025'!$J$2:$J$2407,U$1)</f>
        <v>0</v>
      </c>
      <c r="V147" s="76">
        <f>SUMIFS('август 2025'!$G$2:$G$2407,'август 2025'!$D$2:$D$2407,$B147,'август 2025'!$J$2:$J$2407,V$1)</f>
        <v>0</v>
      </c>
      <c r="W147" s="76">
        <f>SUMIFS('август 2025'!$G$2:$G$2407,'август 2025'!$D$2:$D$2407,$B147,'август 2025'!$J$2:$J$2407,W$1)</f>
        <v>0</v>
      </c>
      <c r="X147" s="76">
        <f>SUMIFS('август 2025'!$G$2:$G$2407,'август 2025'!$D$2:$D$2407,$B147,'август 2025'!$J$2:$J$2407,X$1)</f>
        <v>0</v>
      </c>
      <c r="Y147" s="76">
        <f>SUMIFS('август 2025'!$G$2:$G$2407,'август 2025'!$D$2:$D$2407,$B147,'август 2025'!$J$2:$J$2407,Y$1)</f>
        <v>0</v>
      </c>
      <c r="Z147" s="76">
        <f>SUMIFS('август 2025'!$G$2:$G$2407,'август 2025'!$D$2:$D$2407,$B147,'август 2025'!$J$2:$J$2407,Z$1)</f>
        <v>0</v>
      </c>
      <c r="AA147" s="76">
        <f>SUMIFS('август 2025'!$G$2:$G$2407,'август 2025'!$D$2:$D$2407,$B147,'август 2025'!$J$2:$J$2407,AA$1)</f>
        <v>0</v>
      </c>
      <c r="AB147" s="76">
        <f>SUMIFS('август 2025'!$G$2:$G$2407,'август 2025'!$D$2:$D$2407,$B147,'август 2025'!$J$2:$J$2407,AB$1)</f>
        <v>0</v>
      </c>
      <c r="AC147" s="76">
        <f>SUMIFS('август 2025'!$G$2:$G$2407,'август 2025'!$D$2:$D$2407,$B147,'август 2025'!$J$2:$J$2407,AC$1)</f>
        <v>0</v>
      </c>
      <c r="AD147" s="76">
        <f>SUMIFS('август 2025'!$G$2:$G$2407,'август 2025'!$D$2:$D$2407,$B147,'август 2025'!$J$2:$J$2407,AD$1)</f>
        <v>0</v>
      </c>
      <c r="AE147" s="76">
        <f>SUMIFS('август 2025'!$G$2:$G$2407,'август 2025'!$D$2:$D$2407,$B147,'август 2025'!$J$2:$J$2407,AE$1)</f>
        <v>0</v>
      </c>
      <c r="AF147" s="76">
        <f>SUMIFS('август 2025'!$G$2:$G$2407,'август 2025'!$D$2:$D$2407,$B147,'август 2025'!$J$2:$J$2407,AF$1)</f>
        <v>0</v>
      </c>
      <c r="AG147" s="76">
        <f>SUMIFS('август 2025'!$G$2:$G$2407,'август 2025'!$D$2:$D$2407,$B147,'август 2025'!$J$2:$J$2407,AG$1)</f>
        <v>0</v>
      </c>
      <c r="AH147" s="76">
        <f>SUMIFS('август 2025'!$G$2:$G$2407,'август 2025'!$D$2:$D$2407,$B147,'август 2025'!$J$2:$J$2407,AH$1)</f>
        <v>0</v>
      </c>
      <c r="AI147" s="20">
        <f t="shared" si="1"/>
        <v>0</v>
      </c>
    </row>
    <row r="148" spans="2:35" ht="15" customHeight="1" x14ac:dyDescent="0.25">
      <c r="B148" s="88" t="s">
        <v>181</v>
      </c>
      <c r="C148" s="86">
        <v>190</v>
      </c>
      <c r="D148" s="76">
        <f>SUMIFS('август 2025'!$G$2:$G$2407,'август 2025'!$D$2:$D$2407,$B148,'август 2025'!$J$2:$J$2407,D$1)</f>
        <v>0</v>
      </c>
      <c r="E148" s="76">
        <f>SUMIFS('август 2025'!$G$2:$G$2407,'август 2025'!$D$2:$D$2407,$B148,'август 2025'!$J$2:$J$2407,E$1)</f>
        <v>0</v>
      </c>
      <c r="F148" s="76">
        <f>SUMIFS('август 2025'!$G$2:$G$2407,'август 2025'!$D$2:$D$2407,$B148,'август 2025'!$J$2:$J$2407,F$1)</f>
        <v>0</v>
      </c>
      <c r="G148" s="76">
        <f>SUMIFS('август 2025'!$G$2:$G$2407,'август 2025'!$D$2:$D$2407,$B148,'август 2025'!$J$2:$J$2407,G$1)</f>
        <v>0</v>
      </c>
      <c r="H148" s="76">
        <f>SUMIFS('август 2025'!$G$2:$G$2407,'август 2025'!$D$2:$D$2407,$B148,'август 2025'!$J$2:$J$2407,H$1)</f>
        <v>0</v>
      </c>
      <c r="I148" s="76">
        <f>SUMIFS('август 2025'!$G$2:$G$2407,'август 2025'!$D$2:$D$2407,$B148,'август 2025'!$J$2:$J$2407,I$1)</f>
        <v>0</v>
      </c>
      <c r="J148" s="76">
        <f>SUMIFS('август 2025'!$G$2:$G$2407,'август 2025'!$D$2:$D$2407,$B148,'август 2025'!$J$2:$J$2407,J$1)</f>
        <v>0</v>
      </c>
      <c r="K148" s="76">
        <f>SUMIFS('август 2025'!$G$2:$G$2407,'август 2025'!$D$2:$D$2407,$B148,'август 2025'!$J$2:$J$2407,K$1)</f>
        <v>0</v>
      </c>
      <c r="L148" s="76">
        <f>SUMIFS('август 2025'!$G$2:$G$2407,'август 2025'!$D$2:$D$2407,$B148,'август 2025'!$J$2:$J$2407,L$1)</f>
        <v>0</v>
      </c>
      <c r="M148" s="76">
        <f>SUMIFS('август 2025'!$G$2:$G$2407,'август 2025'!$D$2:$D$2407,$B148,'август 2025'!$J$2:$J$2407,M$1)</f>
        <v>0</v>
      </c>
      <c r="N148" s="76">
        <f>SUMIFS('август 2025'!$G$2:$G$2407,'август 2025'!$D$2:$D$2407,$B148,'август 2025'!$J$2:$J$2407,N$1)</f>
        <v>0</v>
      </c>
      <c r="O148" s="76">
        <f>SUMIFS('август 2025'!$G$2:$G$2407,'август 2025'!$D$2:$D$2407,$B148,'август 2025'!$J$2:$J$2407,O$1)</f>
        <v>0</v>
      </c>
      <c r="P148" s="76">
        <f>SUMIFS('август 2025'!$G$2:$G$2407,'август 2025'!$D$2:$D$2407,$B148,'август 2025'!$J$2:$J$2407,P$1)</f>
        <v>0</v>
      </c>
      <c r="Q148" s="76">
        <f>SUMIFS('август 2025'!$G$2:$G$2407,'август 2025'!$D$2:$D$2407,$B148,'август 2025'!$J$2:$J$2407,Q$1)</f>
        <v>0</v>
      </c>
      <c r="R148" s="76">
        <f>SUMIFS('август 2025'!$G$2:$G$2407,'август 2025'!$D$2:$D$2407,$B148,'август 2025'!$J$2:$J$2407,R$1)</f>
        <v>0</v>
      </c>
      <c r="S148" s="76">
        <f>SUMIFS('август 2025'!$G$2:$G$2407,'август 2025'!$D$2:$D$2407,$B148,'август 2025'!$J$2:$J$2407,S$1)</f>
        <v>0</v>
      </c>
      <c r="T148" s="76">
        <f>SUMIFS('август 2025'!$G$2:$G$2407,'август 2025'!$D$2:$D$2407,$B148,'август 2025'!$J$2:$J$2407,T$1)</f>
        <v>0</v>
      </c>
      <c r="U148" s="76">
        <f>SUMIFS('август 2025'!$G$2:$G$2407,'август 2025'!$D$2:$D$2407,$B148,'август 2025'!$J$2:$J$2407,U$1)</f>
        <v>0</v>
      </c>
      <c r="V148" s="76">
        <f>SUMIFS('август 2025'!$G$2:$G$2407,'август 2025'!$D$2:$D$2407,$B148,'август 2025'!$J$2:$J$2407,V$1)</f>
        <v>0</v>
      </c>
      <c r="W148" s="76">
        <f>SUMIFS('август 2025'!$G$2:$G$2407,'август 2025'!$D$2:$D$2407,$B148,'август 2025'!$J$2:$J$2407,W$1)</f>
        <v>0</v>
      </c>
      <c r="X148" s="76">
        <f>SUMIFS('август 2025'!$G$2:$G$2407,'август 2025'!$D$2:$D$2407,$B148,'август 2025'!$J$2:$J$2407,X$1)</f>
        <v>0</v>
      </c>
      <c r="Y148" s="76">
        <f>SUMIFS('август 2025'!$G$2:$G$2407,'август 2025'!$D$2:$D$2407,$B148,'август 2025'!$J$2:$J$2407,Y$1)</f>
        <v>0</v>
      </c>
      <c r="Z148" s="76">
        <f>SUMIFS('август 2025'!$G$2:$G$2407,'август 2025'!$D$2:$D$2407,$B148,'август 2025'!$J$2:$J$2407,Z$1)</f>
        <v>0</v>
      </c>
      <c r="AA148" s="76">
        <f>SUMIFS('август 2025'!$G$2:$G$2407,'август 2025'!$D$2:$D$2407,$B148,'август 2025'!$J$2:$J$2407,AA$1)</f>
        <v>0</v>
      </c>
      <c r="AB148" s="76">
        <f>SUMIFS('август 2025'!$G$2:$G$2407,'август 2025'!$D$2:$D$2407,$B148,'август 2025'!$J$2:$J$2407,AB$1)</f>
        <v>0</v>
      </c>
      <c r="AC148" s="76">
        <f>SUMIFS('август 2025'!$G$2:$G$2407,'август 2025'!$D$2:$D$2407,$B148,'август 2025'!$J$2:$J$2407,AC$1)</f>
        <v>0</v>
      </c>
      <c r="AD148" s="76">
        <f>SUMIFS('август 2025'!$G$2:$G$2407,'август 2025'!$D$2:$D$2407,$B148,'август 2025'!$J$2:$J$2407,AD$1)</f>
        <v>0</v>
      </c>
      <c r="AE148" s="76">
        <f>SUMIFS('август 2025'!$G$2:$G$2407,'август 2025'!$D$2:$D$2407,$B148,'август 2025'!$J$2:$J$2407,AE$1)</f>
        <v>0</v>
      </c>
      <c r="AF148" s="76">
        <f>SUMIFS('август 2025'!$G$2:$G$2407,'август 2025'!$D$2:$D$2407,$B148,'август 2025'!$J$2:$J$2407,AF$1)</f>
        <v>0</v>
      </c>
      <c r="AG148" s="76">
        <f>SUMIFS('август 2025'!$G$2:$G$2407,'август 2025'!$D$2:$D$2407,$B148,'август 2025'!$J$2:$J$2407,AG$1)</f>
        <v>0</v>
      </c>
      <c r="AH148" s="76">
        <f>SUMIFS('август 2025'!$G$2:$G$2407,'август 2025'!$D$2:$D$2407,$B148,'август 2025'!$J$2:$J$2407,AH$1)</f>
        <v>0</v>
      </c>
      <c r="AI148" s="20">
        <f t="shared" si="1"/>
        <v>0</v>
      </c>
    </row>
    <row r="149" spans="2:35" ht="15" customHeight="1" x14ac:dyDescent="0.25">
      <c r="B149" s="88" t="s">
        <v>270</v>
      </c>
      <c r="C149" s="86">
        <v>190</v>
      </c>
      <c r="D149" s="76">
        <f>SUMIFS('август 2025'!$G$2:$G$2407,'август 2025'!$D$2:$D$2407,$B149,'август 2025'!$J$2:$J$2407,D$1)</f>
        <v>0</v>
      </c>
      <c r="E149" s="76">
        <f>SUMIFS('август 2025'!$G$2:$G$2407,'август 2025'!$D$2:$D$2407,$B149,'август 2025'!$J$2:$J$2407,E$1)</f>
        <v>0</v>
      </c>
      <c r="F149" s="76">
        <f>SUMIFS('август 2025'!$G$2:$G$2407,'август 2025'!$D$2:$D$2407,$B149,'август 2025'!$J$2:$J$2407,F$1)</f>
        <v>0</v>
      </c>
      <c r="G149" s="76">
        <f>SUMIFS('август 2025'!$G$2:$G$2407,'август 2025'!$D$2:$D$2407,$B149,'август 2025'!$J$2:$J$2407,G$1)</f>
        <v>0</v>
      </c>
      <c r="H149" s="76">
        <f>SUMIFS('август 2025'!$G$2:$G$2407,'август 2025'!$D$2:$D$2407,$B149,'август 2025'!$J$2:$J$2407,H$1)</f>
        <v>0</v>
      </c>
      <c r="I149" s="76">
        <f>SUMIFS('август 2025'!$G$2:$G$2407,'август 2025'!$D$2:$D$2407,$B149,'август 2025'!$J$2:$J$2407,I$1)</f>
        <v>0</v>
      </c>
      <c r="J149" s="76">
        <f>SUMIFS('август 2025'!$G$2:$G$2407,'август 2025'!$D$2:$D$2407,$B149,'август 2025'!$J$2:$J$2407,J$1)</f>
        <v>0</v>
      </c>
      <c r="K149" s="76">
        <f>SUMIFS('август 2025'!$G$2:$G$2407,'август 2025'!$D$2:$D$2407,$B149,'август 2025'!$J$2:$J$2407,K$1)</f>
        <v>0</v>
      </c>
      <c r="L149" s="76">
        <f>SUMIFS('август 2025'!$G$2:$G$2407,'август 2025'!$D$2:$D$2407,$B149,'август 2025'!$J$2:$J$2407,L$1)</f>
        <v>0</v>
      </c>
      <c r="M149" s="76">
        <f>SUMIFS('август 2025'!$G$2:$G$2407,'август 2025'!$D$2:$D$2407,$B149,'август 2025'!$J$2:$J$2407,M$1)</f>
        <v>0</v>
      </c>
      <c r="N149" s="76">
        <f>SUMIFS('август 2025'!$G$2:$G$2407,'август 2025'!$D$2:$D$2407,$B149,'август 2025'!$J$2:$J$2407,N$1)</f>
        <v>0</v>
      </c>
      <c r="O149" s="76">
        <f>SUMIFS('август 2025'!$G$2:$G$2407,'август 2025'!$D$2:$D$2407,$B149,'август 2025'!$J$2:$J$2407,O$1)</f>
        <v>0</v>
      </c>
      <c r="P149" s="76">
        <f>SUMIFS('август 2025'!$G$2:$G$2407,'август 2025'!$D$2:$D$2407,$B149,'август 2025'!$J$2:$J$2407,P$1)</f>
        <v>0</v>
      </c>
      <c r="Q149" s="76">
        <f>SUMIFS('август 2025'!$G$2:$G$2407,'август 2025'!$D$2:$D$2407,$B149,'август 2025'!$J$2:$J$2407,Q$1)</f>
        <v>0</v>
      </c>
      <c r="R149" s="76">
        <f>SUMIFS('август 2025'!$G$2:$G$2407,'август 2025'!$D$2:$D$2407,$B149,'август 2025'!$J$2:$J$2407,R$1)</f>
        <v>0</v>
      </c>
      <c r="S149" s="76">
        <f>SUMIFS('август 2025'!$G$2:$G$2407,'август 2025'!$D$2:$D$2407,$B149,'август 2025'!$J$2:$J$2407,S$1)</f>
        <v>0</v>
      </c>
      <c r="T149" s="76">
        <f>SUMIFS('август 2025'!$G$2:$G$2407,'август 2025'!$D$2:$D$2407,$B149,'август 2025'!$J$2:$J$2407,T$1)</f>
        <v>0</v>
      </c>
      <c r="U149" s="76">
        <f>SUMIFS('август 2025'!$G$2:$G$2407,'август 2025'!$D$2:$D$2407,$B149,'август 2025'!$J$2:$J$2407,U$1)</f>
        <v>0</v>
      </c>
      <c r="V149" s="76">
        <f>SUMIFS('август 2025'!$G$2:$G$2407,'август 2025'!$D$2:$D$2407,$B149,'август 2025'!$J$2:$J$2407,V$1)</f>
        <v>0</v>
      </c>
      <c r="W149" s="76">
        <f>SUMIFS('август 2025'!$G$2:$G$2407,'август 2025'!$D$2:$D$2407,$B149,'август 2025'!$J$2:$J$2407,W$1)</f>
        <v>0</v>
      </c>
      <c r="X149" s="76">
        <f>SUMIFS('август 2025'!$G$2:$G$2407,'август 2025'!$D$2:$D$2407,$B149,'август 2025'!$J$2:$J$2407,X$1)</f>
        <v>0</v>
      </c>
      <c r="Y149" s="76">
        <f>SUMIFS('август 2025'!$G$2:$G$2407,'август 2025'!$D$2:$D$2407,$B149,'август 2025'!$J$2:$J$2407,Y$1)</f>
        <v>0</v>
      </c>
      <c r="Z149" s="76">
        <f>SUMIFS('август 2025'!$G$2:$G$2407,'август 2025'!$D$2:$D$2407,$B149,'август 2025'!$J$2:$J$2407,Z$1)</f>
        <v>0</v>
      </c>
      <c r="AA149" s="76">
        <f>SUMIFS('август 2025'!$G$2:$G$2407,'август 2025'!$D$2:$D$2407,$B149,'август 2025'!$J$2:$J$2407,AA$1)</f>
        <v>0</v>
      </c>
      <c r="AB149" s="76">
        <f>SUMIFS('август 2025'!$G$2:$G$2407,'август 2025'!$D$2:$D$2407,$B149,'август 2025'!$J$2:$J$2407,AB$1)</f>
        <v>0</v>
      </c>
      <c r="AC149" s="76">
        <f>SUMIFS('август 2025'!$G$2:$G$2407,'август 2025'!$D$2:$D$2407,$B149,'август 2025'!$J$2:$J$2407,AC$1)</f>
        <v>0</v>
      </c>
      <c r="AD149" s="76">
        <f>SUMIFS('август 2025'!$G$2:$G$2407,'август 2025'!$D$2:$D$2407,$B149,'август 2025'!$J$2:$J$2407,AD$1)</f>
        <v>0</v>
      </c>
      <c r="AE149" s="76">
        <f>SUMIFS('август 2025'!$G$2:$G$2407,'август 2025'!$D$2:$D$2407,$B149,'август 2025'!$J$2:$J$2407,AE$1)</f>
        <v>0</v>
      </c>
      <c r="AF149" s="76">
        <f>SUMIFS('август 2025'!$G$2:$G$2407,'август 2025'!$D$2:$D$2407,$B149,'август 2025'!$J$2:$J$2407,AF$1)</f>
        <v>0</v>
      </c>
      <c r="AG149" s="76">
        <f>SUMIFS('август 2025'!$G$2:$G$2407,'август 2025'!$D$2:$D$2407,$B149,'август 2025'!$J$2:$J$2407,AG$1)</f>
        <v>0</v>
      </c>
      <c r="AH149" s="76">
        <f>SUMIFS('август 2025'!$G$2:$G$2407,'август 2025'!$D$2:$D$2407,$B149,'август 2025'!$J$2:$J$2407,AH$1)</f>
        <v>0</v>
      </c>
      <c r="AI149" s="20">
        <f t="shared" si="1"/>
        <v>0</v>
      </c>
    </row>
    <row r="150" spans="2:35" ht="16.899999999999999" customHeight="1" x14ac:dyDescent="0.25">
      <c r="B150" s="84" t="s">
        <v>271</v>
      </c>
      <c r="C150" s="83">
        <v>200</v>
      </c>
      <c r="D150" s="76">
        <f>SUMIFS('август 2025'!$G$2:$G$2407,'август 2025'!$D$2:$D$2407,$B150,'август 2025'!$J$2:$J$2407,D$1)</f>
        <v>0</v>
      </c>
      <c r="E150" s="76">
        <f>SUMIFS('август 2025'!$G$2:$G$2407,'август 2025'!$D$2:$D$2407,$B150,'август 2025'!$J$2:$J$2407,E$1)</f>
        <v>0</v>
      </c>
      <c r="F150" s="76">
        <f>SUMIFS('август 2025'!$G$2:$G$2407,'август 2025'!$D$2:$D$2407,$B150,'август 2025'!$J$2:$J$2407,F$1)</f>
        <v>0</v>
      </c>
      <c r="G150" s="76">
        <f>SUMIFS('август 2025'!$G$2:$G$2407,'август 2025'!$D$2:$D$2407,$B150,'август 2025'!$J$2:$J$2407,G$1)</f>
        <v>0</v>
      </c>
      <c r="H150" s="76">
        <f>SUMIFS('август 2025'!$G$2:$G$2407,'август 2025'!$D$2:$D$2407,$B150,'август 2025'!$J$2:$J$2407,H$1)</f>
        <v>0</v>
      </c>
      <c r="I150" s="76">
        <f>SUMIFS('август 2025'!$G$2:$G$2407,'август 2025'!$D$2:$D$2407,$B150,'август 2025'!$J$2:$J$2407,I$1)</f>
        <v>0</v>
      </c>
      <c r="J150" s="76">
        <f>SUMIFS('август 2025'!$G$2:$G$2407,'август 2025'!$D$2:$D$2407,$B150,'август 2025'!$J$2:$J$2407,J$1)</f>
        <v>0</v>
      </c>
      <c r="K150" s="76">
        <f>SUMIFS('август 2025'!$G$2:$G$2407,'август 2025'!$D$2:$D$2407,$B150,'август 2025'!$J$2:$J$2407,K$1)</f>
        <v>0</v>
      </c>
      <c r="L150" s="76">
        <f>SUMIFS('август 2025'!$G$2:$G$2407,'август 2025'!$D$2:$D$2407,$B150,'август 2025'!$J$2:$J$2407,L$1)</f>
        <v>0</v>
      </c>
      <c r="M150" s="76">
        <f>SUMIFS('август 2025'!$G$2:$G$2407,'август 2025'!$D$2:$D$2407,$B150,'август 2025'!$J$2:$J$2407,M$1)</f>
        <v>0</v>
      </c>
      <c r="N150" s="76">
        <f>SUMIFS('август 2025'!$G$2:$G$2407,'август 2025'!$D$2:$D$2407,$B150,'август 2025'!$J$2:$J$2407,N$1)</f>
        <v>0</v>
      </c>
      <c r="O150" s="76">
        <f>SUMIFS('август 2025'!$G$2:$G$2407,'август 2025'!$D$2:$D$2407,$B150,'август 2025'!$J$2:$J$2407,O$1)</f>
        <v>0</v>
      </c>
      <c r="P150" s="76">
        <f>SUMIFS('август 2025'!$G$2:$G$2407,'август 2025'!$D$2:$D$2407,$B150,'август 2025'!$J$2:$J$2407,P$1)</f>
        <v>0</v>
      </c>
      <c r="Q150" s="76">
        <f>SUMIFS('август 2025'!$G$2:$G$2407,'август 2025'!$D$2:$D$2407,$B150,'август 2025'!$J$2:$J$2407,Q$1)</f>
        <v>0</v>
      </c>
      <c r="R150" s="76">
        <f>SUMIFS('август 2025'!$G$2:$G$2407,'август 2025'!$D$2:$D$2407,$B150,'август 2025'!$J$2:$J$2407,R$1)</f>
        <v>0</v>
      </c>
      <c r="S150" s="76">
        <f>SUMIFS('август 2025'!$G$2:$G$2407,'август 2025'!$D$2:$D$2407,$B150,'август 2025'!$J$2:$J$2407,S$1)</f>
        <v>0</v>
      </c>
      <c r="T150" s="76">
        <f>SUMIFS('август 2025'!$G$2:$G$2407,'август 2025'!$D$2:$D$2407,$B150,'август 2025'!$J$2:$J$2407,T$1)</f>
        <v>0</v>
      </c>
      <c r="U150" s="76">
        <f>SUMIFS('август 2025'!$G$2:$G$2407,'август 2025'!$D$2:$D$2407,$B150,'август 2025'!$J$2:$J$2407,U$1)</f>
        <v>0</v>
      </c>
      <c r="V150" s="76">
        <f>SUMIFS('август 2025'!$G$2:$G$2407,'август 2025'!$D$2:$D$2407,$B150,'август 2025'!$J$2:$J$2407,V$1)</f>
        <v>0</v>
      </c>
      <c r="W150" s="76">
        <f>SUMIFS('август 2025'!$G$2:$G$2407,'август 2025'!$D$2:$D$2407,$B150,'август 2025'!$J$2:$J$2407,W$1)</f>
        <v>0</v>
      </c>
      <c r="X150" s="76">
        <f>SUMIFS('август 2025'!$G$2:$G$2407,'август 2025'!$D$2:$D$2407,$B150,'август 2025'!$J$2:$J$2407,X$1)</f>
        <v>0</v>
      </c>
      <c r="Y150" s="76">
        <f>SUMIFS('август 2025'!$G$2:$G$2407,'август 2025'!$D$2:$D$2407,$B150,'август 2025'!$J$2:$J$2407,Y$1)</f>
        <v>0</v>
      </c>
      <c r="Z150" s="76">
        <f>SUMIFS('август 2025'!$G$2:$G$2407,'август 2025'!$D$2:$D$2407,$B150,'август 2025'!$J$2:$J$2407,Z$1)</f>
        <v>0</v>
      </c>
      <c r="AA150" s="76">
        <f>SUMIFS('август 2025'!$G$2:$G$2407,'август 2025'!$D$2:$D$2407,$B150,'август 2025'!$J$2:$J$2407,AA$1)</f>
        <v>0</v>
      </c>
      <c r="AB150" s="76">
        <f>SUMIFS('август 2025'!$G$2:$G$2407,'август 2025'!$D$2:$D$2407,$B150,'август 2025'!$J$2:$J$2407,AB$1)</f>
        <v>0</v>
      </c>
      <c r="AC150" s="76">
        <f>SUMIFS('август 2025'!$G$2:$G$2407,'август 2025'!$D$2:$D$2407,$B150,'август 2025'!$J$2:$J$2407,AC$1)</f>
        <v>0</v>
      </c>
      <c r="AD150" s="76">
        <f>SUMIFS('август 2025'!$G$2:$G$2407,'август 2025'!$D$2:$D$2407,$B150,'август 2025'!$J$2:$J$2407,AD$1)</f>
        <v>0</v>
      </c>
      <c r="AE150" s="76">
        <f>SUMIFS('август 2025'!$G$2:$G$2407,'август 2025'!$D$2:$D$2407,$B150,'август 2025'!$J$2:$J$2407,AE$1)</f>
        <v>0</v>
      </c>
      <c r="AF150" s="76">
        <f>SUMIFS('август 2025'!$G$2:$G$2407,'август 2025'!$D$2:$D$2407,$B150,'август 2025'!$J$2:$J$2407,AF$1)</f>
        <v>0</v>
      </c>
      <c r="AG150" s="76">
        <f>SUMIFS('август 2025'!$G$2:$G$2407,'август 2025'!$D$2:$D$2407,$B150,'август 2025'!$J$2:$J$2407,AG$1)</f>
        <v>0</v>
      </c>
      <c r="AH150" s="76">
        <f>SUMIFS('август 2025'!$G$2:$G$2407,'август 2025'!$D$2:$D$2407,$B150,'август 2025'!$J$2:$J$2407,AH$1)</f>
        <v>0</v>
      </c>
      <c r="AI150" s="20">
        <f t="shared" si="1"/>
        <v>0</v>
      </c>
    </row>
    <row r="151" spans="2:35" ht="16.899999999999999" customHeight="1" x14ac:dyDescent="0.25">
      <c r="B151" s="84" t="s">
        <v>276</v>
      </c>
      <c r="C151" s="83">
        <v>200</v>
      </c>
      <c r="D151" s="76">
        <f>SUMIFS('август 2025'!$G$2:$G$2407,'август 2025'!$D$2:$D$2407,$B151,'август 2025'!$J$2:$J$2407,D$1)</f>
        <v>0</v>
      </c>
      <c r="E151" s="76">
        <f>SUMIFS('август 2025'!$G$2:$G$2407,'август 2025'!$D$2:$D$2407,$B151,'август 2025'!$J$2:$J$2407,E$1)</f>
        <v>0</v>
      </c>
      <c r="F151" s="76">
        <f>SUMIFS('август 2025'!$G$2:$G$2407,'август 2025'!$D$2:$D$2407,$B151,'август 2025'!$J$2:$J$2407,F$1)</f>
        <v>0</v>
      </c>
      <c r="G151" s="76">
        <f>SUMIFS('август 2025'!$G$2:$G$2407,'август 2025'!$D$2:$D$2407,$B151,'август 2025'!$J$2:$J$2407,G$1)</f>
        <v>0</v>
      </c>
      <c r="H151" s="76">
        <f>SUMIFS('август 2025'!$G$2:$G$2407,'август 2025'!$D$2:$D$2407,$B151,'август 2025'!$J$2:$J$2407,H$1)</f>
        <v>0</v>
      </c>
      <c r="I151" s="76">
        <f>SUMIFS('август 2025'!$G$2:$G$2407,'август 2025'!$D$2:$D$2407,$B151,'август 2025'!$J$2:$J$2407,I$1)</f>
        <v>0</v>
      </c>
      <c r="J151" s="76">
        <f>SUMIFS('август 2025'!$G$2:$G$2407,'август 2025'!$D$2:$D$2407,$B151,'август 2025'!$J$2:$J$2407,J$1)</f>
        <v>0</v>
      </c>
      <c r="K151" s="76">
        <f>SUMIFS('август 2025'!$G$2:$G$2407,'август 2025'!$D$2:$D$2407,$B151,'август 2025'!$J$2:$J$2407,K$1)</f>
        <v>0</v>
      </c>
      <c r="L151" s="76">
        <f>SUMIFS('август 2025'!$G$2:$G$2407,'август 2025'!$D$2:$D$2407,$B151,'август 2025'!$J$2:$J$2407,L$1)</f>
        <v>0</v>
      </c>
      <c r="M151" s="76">
        <f>SUMIFS('август 2025'!$G$2:$G$2407,'август 2025'!$D$2:$D$2407,$B151,'август 2025'!$J$2:$J$2407,M$1)</f>
        <v>0</v>
      </c>
      <c r="N151" s="76">
        <f>SUMIFS('август 2025'!$G$2:$G$2407,'август 2025'!$D$2:$D$2407,$B151,'август 2025'!$J$2:$J$2407,N$1)</f>
        <v>0</v>
      </c>
      <c r="O151" s="76">
        <f>SUMIFS('август 2025'!$G$2:$G$2407,'август 2025'!$D$2:$D$2407,$B151,'август 2025'!$J$2:$J$2407,O$1)</f>
        <v>0</v>
      </c>
      <c r="P151" s="76">
        <f>SUMIFS('август 2025'!$G$2:$G$2407,'август 2025'!$D$2:$D$2407,$B151,'август 2025'!$J$2:$J$2407,P$1)</f>
        <v>0</v>
      </c>
      <c r="Q151" s="76">
        <f>SUMIFS('август 2025'!$G$2:$G$2407,'август 2025'!$D$2:$D$2407,$B151,'август 2025'!$J$2:$J$2407,Q$1)</f>
        <v>0</v>
      </c>
      <c r="R151" s="76">
        <f>SUMIFS('август 2025'!$G$2:$G$2407,'август 2025'!$D$2:$D$2407,$B151,'август 2025'!$J$2:$J$2407,R$1)</f>
        <v>0</v>
      </c>
      <c r="S151" s="76">
        <f>SUMIFS('август 2025'!$G$2:$G$2407,'август 2025'!$D$2:$D$2407,$B151,'август 2025'!$J$2:$J$2407,S$1)</f>
        <v>0</v>
      </c>
      <c r="T151" s="76">
        <f>SUMIFS('август 2025'!$G$2:$G$2407,'август 2025'!$D$2:$D$2407,$B151,'август 2025'!$J$2:$J$2407,T$1)</f>
        <v>0</v>
      </c>
      <c r="U151" s="76">
        <f>SUMIFS('август 2025'!$G$2:$G$2407,'август 2025'!$D$2:$D$2407,$B151,'август 2025'!$J$2:$J$2407,U$1)</f>
        <v>0</v>
      </c>
      <c r="V151" s="76">
        <f>SUMIFS('август 2025'!$G$2:$G$2407,'август 2025'!$D$2:$D$2407,$B151,'август 2025'!$J$2:$J$2407,V$1)</f>
        <v>0</v>
      </c>
      <c r="W151" s="76">
        <f>SUMIFS('август 2025'!$G$2:$G$2407,'август 2025'!$D$2:$D$2407,$B151,'август 2025'!$J$2:$J$2407,W$1)</f>
        <v>0</v>
      </c>
      <c r="X151" s="76">
        <f>SUMIFS('август 2025'!$G$2:$G$2407,'август 2025'!$D$2:$D$2407,$B151,'август 2025'!$J$2:$J$2407,X$1)</f>
        <v>0</v>
      </c>
      <c r="Y151" s="76">
        <f>SUMIFS('август 2025'!$G$2:$G$2407,'август 2025'!$D$2:$D$2407,$B151,'август 2025'!$J$2:$J$2407,Y$1)</f>
        <v>0</v>
      </c>
      <c r="Z151" s="76">
        <f>SUMIFS('август 2025'!$G$2:$G$2407,'август 2025'!$D$2:$D$2407,$B151,'август 2025'!$J$2:$J$2407,Z$1)</f>
        <v>0</v>
      </c>
      <c r="AA151" s="76">
        <f>SUMIFS('август 2025'!$G$2:$G$2407,'август 2025'!$D$2:$D$2407,$B151,'август 2025'!$J$2:$J$2407,AA$1)</f>
        <v>0</v>
      </c>
      <c r="AB151" s="76">
        <f>SUMIFS('август 2025'!$G$2:$G$2407,'август 2025'!$D$2:$D$2407,$B151,'август 2025'!$J$2:$J$2407,AB$1)</f>
        <v>0</v>
      </c>
      <c r="AC151" s="76">
        <f>SUMIFS('август 2025'!$G$2:$G$2407,'август 2025'!$D$2:$D$2407,$B151,'август 2025'!$J$2:$J$2407,AC$1)</f>
        <v>0</v>
      </c>
      <c r="AD151" s="76">
        <f>SUMIFS('август 2025'!$G$2:$G$2407,'август 2025'!$D$2:$D$2407,$B151,'август 2025'!$J$2:$J$2407,AD$1)</f>
        <v>0</v>
      </c>
      <c r="AE151" s="76">
        <f>SUMIFS('август 2025'!$G$2:$G$2407,'август 2025'!$D$2:$D$2407,$B151,'август 2025'!$J$2:$J$2407,AE$1)</f>
        <v>0</v>
      </c>
      <c r="AF151" s="76">
        <f>SUMIFS('август 2025'!$G$2:$G$2407,'август 2025'!$D$2:$D$2407,$B151,'август 2025'!$J$2:$J$2407,AF$1)</f>
        <v>0</v>
      </c>
      <c r="AG151" s="76">
        <f>SUMIFS('август 2025'!$G$2:$G$2407,'август 2025'!$D$2:$D$2407,$B151,'август 2025'!$J$2:$J$2407,AG$1)</f>
        <v>0</v>
      </c>
      <c r="AH151" s="76">
        <f>SUMIFS('август 2025'!$G$2:$G$2407,'август 2025'!$D$2:$D$2407,$B151,'август 2025'!$J$2:$J$2407,AH$1)</f>
        <v>0</v>
      </c>
      <c r="AI151" s="20">
        <f t="shared" si="1"/>
        <v>0</v>
      </c>
    </row>
    <row r="152" spans="2:35" ht="16.899999999999999" customHeight="1" x14ac:dyDescent="0.25">
      <c r="B152" s="84" t="s">
        <v>272</v>
      </c>
      <c r="C152" s="83">
        <v>200</v>
      </c>
      <c r="D152" s="76">
        <f>SUMIFS('август 2025'!$G$2:$G$2407,'август 2025'!$D$2:$D$2407,$B152,'август 2025'!$J$2:$J$2407,D$1)</f>
        <v>0</v>
      </c>
      <c r="E152" s="76">
        <f>SUMIFS('август 2025'!$G$2:$G$2407,'август 2025'!$D$2:$D$2407,$B152,'август 2025'!$J$2:$J$2407,E$1)</f>
        <v>0</v>
      </c>
      <c r="F152" s="76">
        <f>SUMIFS('август 2025'!$G$2:$G$2407,'август 2025'!$D$2:$D$2407,$B152,'август 2025'!$J$2:$J$2407,F$1)</f>
        <v>0</v>
      </c>
      <c r="G152" s="76">
        <f>SUMIFS('август 2025'!$G$2:$G$2407,'август 2025'!$D$2:$D$2407,$B152,'август 2025'!$J$2:$J$2407,G$1)</f>
        <v>0</v>
      </c>
      <c r="H152" s="76">
        <f>SUMIFS('август 2025'!$G$2:$G$2407,'август 2025'!$D$2:$D$2407,$B152,'август 2025'!$J$2:$J$2407,H$1)</f>
        <v>0</v>
      </c>
      <c r="I152" s="76">
        <f>SUMIFS('август 2025'!$G$2:$G$2407,'август 2025'!$D$2:$D$2407,$B152,'август 2025'!$J$2:$J$2407,I$1)</f>
        <v>0</v>
      </c>
      <c r="J152" s="76">
        <f>SUMIFS('август 2025'!$G$2:$G$2407,'август 2025'!$D$2:$D$2407,$B152,'август 2025'!$J$2:$J$2407,J$1)</f>
        <v>0</v>
      </c>
      <c r="K152" s="76">
        <f>SUMIFS('август 2025'!$G$2:$G$2407,'август 2025'!$D$2:$D$2407,$B152,'август 2025'!$J$2:$J$2407,K$1)</f>
        <v>0</v>
      </c>
      <c r="L152" s="76">
        <f>SUMIFS('август 2025'!$G$2:$G$2407,'август 2025'!$D$2:$D$2407,$B152,'август 2025'!$J$2:$J$2407,L$1)</f>
        <v>0</v>
      </c>
      <c r="M152" s="76">
        <f>SUMIFS('август 2025'!$G$2:$G$2407,'август 2025'!$D$2:$D$2407,$B152,'август 2025'!$J$2:$J$2407,M$1)</f>
        <v>0</v>
      </c>
      <c r="N152" s="76">
        <f>SUMIFS('август 2025'!$G$2:$G$2407,'август 2025'!$D$2:$D$2407,$B152,'август 2025'!$J$2:$J$2407,N$1)</f>
        <v>0</v>
      </c>
      <c r="O152" s="76">
        <f>SUMIFS('август 2025'!$G$2:$G$2407,'август 2025'!$D$2:$D$2407,$B152,'август 2025'!$J$2:$J$2407,O$1)</f>
        <v>0</v>
      </c>
      <c r="P152" s="76">
        <f>SUMIFS('август 2025'!$G$2:$G$2407,'август 2025'!$D$2:$D$2407,$B152,'август 2025'!$J$2:$J$2407,P$1)</f>
        <v>0</v>
      </c>
      <c r="Q152" s="76">
        <f>SUMIFS('август 2025'!$G$2:$G$2407,'август 2025'!$D$2:$D$2407,$B152,'август 2025'!$J$2:$J$2407,Q$1)</f>
        <v>0</v>
      </c>
      <c r="R152" s="76">
        <f>SUMIFS('август 2025'!$G$2:$G$2407,'август 2025'!$D$2:$D$2407,$B152,'август 2025'!$J$2:$J$2407,R$1)</f>
        <v>0</v>
      </c>
      <c r="S152" s="76">
        <f>SUMIFS('август 2025'!$G$2:$G$2407,'август 2025'!$D$2:$D$2407,$B152,'август 2025'!$J$2:$J$2407,S$1)</f>
        <v>0</v>
      </c>
      <c r="T152" s="76">
        <f>SUMIFS('август 2025'!$G$2:$G$2407,'август 2025'!$D$2:$D$2407,$B152,'август 2025'!$J$2:$J$2407,T$1)</f>
        <v>0</v>
      </c>
      <c r="U152" s="76">
        <f>SUMIFS('август 2025'!$G$2:$G$2407,'август 2025'!$D$2:$D$2407,$B152,'август 2025'!$J$2:$J$2407,U$1)</f>
        <v>0</v>
      </c>
      <c r="V152" s="76">
        <f>SUMIFS('август 2025'!$G$2:$G$2407,'август 2025'!$D$2:$D$2407,$B152,'август 2025'!$J$2:$J$2407,V$1)</f>
        <v>0</v>
      </c>
      <c r="W152" s="76">
        <f>SUMIFS('август 2025'!$G$2:$G$2407,'август 2025'!$D$2:$D$2407,$B152,'август 2025'!$J$2:$J$2407,W$1)</f>
        <v>0</v>
      </c>
      <c r="X152" s="76">
        <f>SUMIFS('август 2025'!$G$2:$G$2407,'август 2025'!$D$2:$D$2407,$B152,'август 2025'!$J$2:$J$2407,X$1)</f>
        <v>0</v>
      </c>
      <c r="Y152" s="76">
        <f>SUMIFS('август 2025'!$G$2:$G$2407,'август 2025'!$D$2:$D$2407,$B152,'август 2025'!$J$2:$J$2407,Y$1)</f>
        <v>0</v>
      </c>
      <c r="Z152" s="76">
        <f>SUMIFS('август 2025'!$G$2:$G$2407,'август 2025'!$D$2:$D$2407,$B152,'август 2025'!$J$2:$J$2407,Z$1)</f>
        <v>0</v>
      </c>
      <c r="AA152" s="76">
        <f>SUMIFS('август 2025'!$G$2:$G$2407,'август 2025'!$D$2:$D$2407,$B152,'август 2025'!$J$2:$J$2407,AA$1)</f>
        <v>0</v>
      </c>
      <c r="AB152" s="76">
        <f>SUMIFS('август 2025'!$G$2:$G$2407,'август 2025'!$D$2:$D$2407,$B152,'август 2025'!$J$2:$J$2407,AB$1)</f>
        <v>0</v>
      </c>
      <c r="AC152" s="76">
        <f>SUMIFS('август 2025'!$G$2:$G$2407,'август 2025'!$D$2:$D$2407,$B152,'август 2025'!$J$2:$J$2407,AC$1)</f>
        <v>0</v>
      </c>
      <c r="AD152" s="76">
        <f>SUMIFS('август 2025'!$G$2:$G$2407,'август 2025'!$D$2:$D$2407,$B152,'август 2025'!$J$2:$J$2407,AD$1)</f>
        <v>0</v>
      </c>
      <c r="AE152" s="76">
        <f>SUMIFS('август 2025'!$G$2:$G$2407,'август 2025'!$D$2:$D$2407,$B152,'август 2025'!$J$2:$J$2407,AE$1)</f>
        <v>0</v>
      </c>
      <c r="AF152" s="76">
        <f>SUMIFS('август 2025'!$G$2:$G$2407,'август 2025'!$D$2:$D$2407,$B152,'август 2025'!$J$2:$J$2407,AF$1)</f>
        <v>0</v>
      </c>
      <c r="AG152" s="76">
        <f>SUMIFS('август 2025'!$G$2:$G$2407,'август 2025'!$D$2:$D$2407,$B152,'август 2025'!$J$2:$J$2407,AG$1)</f>
        <v>0</v>
      </c>
      <c r="AH152" s="76">
        <f>SUMIFS('август 2025'!$G$2:$G$2407,'август 2025'!$D$2:$D$2407,$B152,'август 2025'!$J$2:$J$2407,AH$1)</f>
        <v>0</v>
      </c>
      <c r="AI152" s="20">
        <f t="shared" si="1"/>
        <v>0</v>
      </c>
    </row>
    <row r="153" spans="2:35" ht="15" customHeight="1" x14ac:dyDescent="0.25">
      <c r="B153" s="84" t="s">
        <v>277</v>
      </c>
      <c r="C153" s="83">
        <v>200</v>
      </c>
      <c r="D153" s="76">
        <f>SUMIFS('август 2025'!$G$2:$G$2407,'август 2025'!$D$2:$D$2407,$B153,'август 2025'!$J$2:$J$2407,D$1)</f>
        <v>0</v>
      </c>
      <c r="E153" s="76">
        <f>SUMIFS('август 2025'!$G$2:$G$2407,'август 2025'!$D$2:$D$2407,$B153,'август 2025'!$J$2:$J$2407,E$1)</f>
        <v>0</v>
      </c>
      <c r="F153" s="76">
        <f>SUMIFS('август 2025'!$G$2:$G$2407,'август 2025'!$D$2:$D$2407,$B153,'август 2025'!$J$2:$J$2407,F$1)</f>
        <v>0</v>
      </c>
      <c r="G153" s="76">
        <f>SUMIFS('август 2025'!$G$2:$G$2407,'август 2025'!$D$2:$D$2407,$B153,'август 2025'!$J$2:$J$2407,G$1)</f>
        <v>0</v>
      </c>
      <c r="H153" s="76">
        <f>SUMIFS('август 2025'!$G$2:$G$2407,'август 2025'!$D$2:$D$2407,$B153,'август 2025'!$J$2:$J$2407,H$1)</f>
        <v>0</v>
      </c>
      <c r="I153" s="76">
        <f>SUMIFS('август 2025'!$G$2:$G$2407,'август 2025'!$D$2:$D$2407,$B153,'август 2025'!$J$2:$J$2407,I$1)</f>
        <v>0</v>
      </c>
      <c r="J153" s="76">
        <f>SUMIFS('август 2025'!$G$2:$G$2407,'август 2025'!$D$2:$D$2407,$B153,'август 2025'!$J$2:$J$2407,J$1)</f>
        <v>0</v>
      </c>
      <c r="K153" s="76">
        <f>SUMIFS('август 2025'!$G$2:$G$2407,'август 2025'!$D$2:$D$2407,$B153,'август 2025'!$J$2:$J$2407,K$1)</f>
        <v>0</v>
      </c>
      <c r="L153" s="76">
        <f>SUMIFS('август 2025'!$G$2:$G$2407,'август 2025'!$D$2:$D$2407,$B153,'август 2025'!$J$2:$J$2407,L$1)</f>
        <v>0</v>
      </c>
      <c r="M153" s="76">
        <f>SUMIFS('август 2025'!$G$2:$G$2407,'август 2025'!$D$2:$D$2407,$B153,'август 2025'!$J$2:$J$2407,M$1)</f>
        <v>0</v>
      </c>
      <c r="N153" s="76">
        <f>SUMIFS('август 2025'!$G$2:$G$2407,'август 2025'!$D$2:$D$2407,$B153,'август 2025'!$J$2:$J$2407,N$1)</f>
        <v>0</v>
      </c>
      <c r="O153" s="76">
        <f>SUMIFS('август 2025'!$G$2:$G$2407,'август 2025'!$D$2:$D$2407,$B153,'август 2025'!$J$2:$J$2407,O$1)</f>
        <v>0</v>
      </c>
      <c r="P153" s="76">
        <f>SUMIFS('август 2025'!$G$2:$G$2407,'август 2025'!$D$2:$D$2407,$B153,'август 2025'!$J$2:$J$2407,P$1)</f>
        <v>0</v>
      </c>
      <c r="Q153" s="76">
        <f>SUMIFS('август 2025'!$G$2:$G$2407,'август 2025'!$D$2:$D$2407,$B153,'август 2025'!$J$2:$J$2407,Q$1)</f>
        <v>0</v>
      </c>
      <c r="R153" s="76">
        <f>SUMIFS('август 2025'!$G$2:$G$2407,'август 2025'!$D$2:$D$2407,$B153,'август 2025'!$J$2:$J$2407,R$1)</f>
        <v>0</v>
      </c>
      <c r="S153" s="76">
        <f>SUMIFS('август 2025'!$G$2:$G$2407,'август 2025'!$D$2:$D$2407,$B153,'август 2025'!$J$2:$J$2407,S$1)</f>
        <v>0</v>
      </c>
      <c r="T153" s="76">
        <f>SUMIFS('август 2025'!$G$2:$G$2407,'август 2025'!$D$2:$D$2407,$B153,'август 2025'!$J$2:$J$2407,T$1)</f>
        <v>0</v>
      </c>
      <c r="U153" s="76">
        <f>SUMIFS('август 2025'!$G$2:$G$2407,'август 2025'!$D$2:$D$2407,$B153,'август 2025'!$J$2:$J$2407,U$1)</f>
        <v>0</v>
      </c>
      <c r="V153" s="76">
        <f>SUMIFS('август 2025'!$G$2:$G$2407,'август 2025'!$D$2:$D$2407,$B153,'август 2025'!$J$2:$J$2407,V$1)</f>
        <v>0</v>
      </c>
      <c r="W153" s="76">
        <f>SUMIFS('август 2025'!$G$2:$G$2407,'август 2025'!$D$2:$D$2407,$B153,'август 2025'!$J$2:$J$2407,W$1)</f>
        <v>0</v>
      </c>
      <c r="X153" s="76">
        <f>SUMIFS('август 2025'!$G$2:$G$2407,'август 2025'!$D$2:$D$2407,$B153,'август 2025'!$J$2:$J$2407,X$1)</f>
        <v>0</v>
      </c>
      <c r="Y153" s="76">
        <f>SUMIFS('август 2025'!$G$2:$G$2407,'август 2025'!$D$2:$D$2407,$B153,'август 2025'!$J$2:$J$2407,Y$1)</f>
        <v>0</v>
      </c>
      <c r="Z153" s="76">
        <f>SUMIFS('август 2025'!$G$2:$G$2407,'август 2025'!$D$2:$D$2407,$B153,'август 2025'!$J$2:$J$2407,Z$1)</f>
        <v>0</v>
      </c>
      <c r="AA153" s="76">
        <f>SUMIFS('август 2025'!$G$2:$G$2407,'август 2025'!$D$2:$D$2407,$B153,'август 2025'!$J$2:$J$2407,AA$1)</f>
        <v>0</v>
      </c>
      <c r="AB153" s="76">
        <f>SUMIFS('август 2025'!$G$2:$G$2407,'август 2025'!$D$2:$D$2407,$B153,'август 2025'!$J$2:$J$2407,AB$1)</f>
        <v>0</v>
      </c>
      <c r="AC153" s="76">
        <f>SUMIFS('август 2025'!$G$2:$G$2407,'август 2025'!$D$2:$D$2407,$B153,'август 2025'!$J$2:$J$2407,AC$1)</f>
        <v>0</v>
      </c>
      <c r="AD153" s="76">
        <f>SUMIFS('август 2025'!$G$2:$G$2407,'август 2025'!$D$2:$D$2407,$B153,'август 2025'!$J$2:$J$2407,AD$1)</f>
        <v>0</v>
      </c>
      <c r="AE153" s="76">
        <f>SUMIFS('август 2025'!$G$2:$G$2407,'август 2025'!$D$2:$D$2407,$B153,'август 2025'!$J$2:$J$2407,AE$1)</f>
        <v>0</v>
      </c>
      <c r="AF153" s="76">
        <f>SUMIFS('август 2025'!$G$2:$G$2407,'август 2025'!$D$2:$D$2407,$B153,'август 2025'!$J$2:$J$2407,AF$1)</f>
        <v>0</v>
      </c>
      <c r="AG153" s="76">
        <f>SUMIFS('август 2025'!$G$2:$G$2407,'август 2025'!$D$2:$D$2407,$B153,'август 2025'!$J$2:$J$2407,AG$1)</f>
        <v>0</v>
      </c>
      <c r="AH153" s="76">
        <f>SUMIFS('август 2025'!$G$2:$G$2407,'август 2025'!$D$2:$D$2407,$B153,'август 2025'!$J$2:$J$2407,AH$1)</f>
        <v>0</v>
      </c>
      <c r="AI153" s="20">
        <f t="shared" si="1"/>
        <v>0</v>
      </c>
    </row>
    <row r="154" spans="2:35" ht="15" customHeight="1" x14ac:dyDescent="0.25">
      <c r="B154" s="84" t="s">
        <v>273</v>
      </c>
      <c r="C154" s="83">
        <v>200</v>
      </c>
      <c r="D154" s="76">
        <f>SUMIFS('август 2025'!$G$2:$G$2407,'август 2025'!$D$2:$D$2407,$B154,'август 2025'!$J$2:$J$2407,D$1)</f>
        <v>0</v>
      </c>
      <c r="E154" s="76">
        <f>SUMIFS('август 2025'!$G$2:$G$2407,'август 2025'!$D$2:$D$2407,$B154,'август 2025'!$J$2:$J$2407,E$1)</f>
        <v>0</v>
      </c>
      <c r="F154" s="76">
        <f>SUMIFS('август 2025'!$G$2:$G$2407,'август 2025'!$D$2:$D$2407,$B154,'август 2025'!$J$2:$J$2407,F$1)</f>
        <v>0</v>
      </c>
      <c r="G154" s="76">
        <f>SUMIFS('август 2025'!$G$2:$G$2407,'август 2025'!$D$2:$D$2407,$B154,'август 2025'!$J$2:$J$2407,G$1)</f>
        <v>0</v>
      </c>
      <c r="H154" s="76">
        <f>SUMIFS('август 2025'!$G$2:$G$2407,'август 2025'!$D$2:$D$2407,$B154,'август 2025'!$J$2:$J$2407,H$1)</f>
        <v>0</v>
      </c>
      <c r="I154" s="76">
        <f>SUMIFS('август 2025'!$G$2:$G$2407,'август 2025'!$D$2:$D$2407,$B154,'август 2025'!$J$2:$J$2407,I$1)</f>
        <v>0</v>
      </c>
      <c r="J154" s="76">
        <f>SUMIFS('август 2025'!$G$2:$G$2407,'август 2025'!$D$2:$D$2407,$B154,'август 2025'!$J$2:$J$2407,J$1)</f>
        <v>0</v>
      </c>
      <c r="K154" s="76">
        <f>SUMIFS('август 2025'!$G$2:$G$2407,'август 2025'!$D$2:$D$2407,$B154,'август 2025'!$J$2:$J$2407,K$1)</f>
        <v>0</v>
      </c>
      <c r="L154" s="76">
        <f>SUMIFS('август 2025'!$G$2:$G$2407,'август 2025'!$D$2:$D$2407,$B154,'август 2025'!$J$2:$J$2407,L$1)</f>
        <v>0</v>
      </c>
      <c r="M154" s="76">
        <f>SUMIFS('август 2025'!$G$2:$G$2407,'август 2025'!$D$2:$D$2407,$B154,'август 2025'!$J$2:$J$2407,M$1)</f>
        <v>0</v>
      </c>
      <c r="N154" s="76">
        <f>SUMIFS('август 2025'!$G$2:$G$2407,'август 2025'!$D$2:$D$2407,$B154,'август 2025'!$J$2:$J$2407,N$1)</f>
        <v>0</v>
      </c>
      <c r="O154" s="76">
        <f>SUMIFS('август 2025'!$G$2:$G$2407,'август 2025'!$D$2:$D$2407,$B154,'август 2025'!$J$2:$J$2407,O$1)</f>
        <v>0</v>
      </c>
      <c r="P154" s="76">
        <f>SUMIFS('август 2025'!$G$2:$G$2407,'август 2025'!$D$2:$D$2407,$B154,'август 2025'!$J$2:$J$2407,P$1)</f>
        <v>0</v>
      </c>
      <c r="Q154" s="76">
        <f>SUMIFS('август 2025'!$G$2:$G$2407,'август 2025'!$D$2:$D$2407,$B154,'август 2025'!$J$2:$J$2407,Q$1)</f>
        <v>0</v>
      </c>
      <c r="R154" s="76">
        <f>SUMIFS('август 2025'!$G$2:$G$2407,'август 2025'!$D$2:$D$2407,$B154,'август 2025'!$J$2:$J$2407,R$1)</f>
        <v>0</v>
      </c>
      <c r="S154" s="76">
        <f>SUMIFS('август 2025'!$G$2:$G$2407,'август 2025'!$D$2:$D$2407,$B154,'август 2025'!$J$2:$J$2407,S$1)</f>
        <v>0</v>
      </c>
      <c r="T154" s="76">
        <f>SUMIFS('август 2025'!$G$2:$G$2407,'август 2025'!$D$2:$D$2407,$B154,'август 2025'!$J$2:$J$2407,T$1)</f>
        <v>0</v>
      </c>
      <c r="U154" s="76">
        <f>SUMIFS('август 2025'!$G$2:$G$2407,'август 2025'!$D$2:$D$2407,$B154,'август 2025'!$J$2:$J$2407,U$1)</f>
        <v>0</v>
      </c>
      <c r="V154" s="76">
        <f>SUMIFS('август 2025'!$G$2:$G$2407,'август 2025'!$D$2:$D$2407,$B154,'август 2025'!$J$2:$J$2407,V$1)</f>
        <v>0</v>
      </c>
      <c r="W154" s="76">
        <f>SUMIFS('август 2025'!$G$2:$G$2407,'август 2025'!$D$2:$D$2407,$B154,'август 2025'!$J$2:$J$2407,W$1)</f>
        <v>0</v>
      </c>
      <c r="X154" s="76">
        <f>SUMIFS('август 2025'!$G$2:$G$2407,'август 2025'!$D$2:$D$2407,$B154,'август 2025'!$J$2:$J$2407,X$1)</f>
        <v>0</v>
      </c>
      <c r="Y154" s="76">
        <f>SUMIFS('август 2025'!$G$2:$G$2407,'август 2025'!$D$2:$D$2407,$B154,'август 2025'!$J$2:$J$2407,Y$1)</f>
        <v>0</v>
      </c>
      <c r="Z154" s="76">
        <f>SUMIFS('август 2025'!$G$2:$G$2407,'август 2025'!$D$2:$D$2407,$B154,'август 2025'!$J$2:$J$2407,Z$1)</f>
        <v>0</v>
      </c>
      <c r="AA154" s="76">
        <f>SUMIFS('август 2025'!$G$2:$G$2407,'август 2025'!$D$2:$D$2407,$B154,'август 2025'!$J$2:$J$2407,AA$1)</f>
        <v>0</v>
      </c>
      <c r="AB154" s="76">
        <f>SUMIFS('август 2025'!$G$2:$G$2407,'август 2025'!$D$2:$D$2407,$B154,'август 2025'!$J$2:$J$2407,AB$1)</f>
        <v>0</v>
      </c>
      <c r="AC154" s="76">
        <f>SUMIFS('август 2025'!$G$2:$G$2407,'август 2025'!$D$2:$D$2407,$B154,'август 2025'!$J$2:$J$2407,AC$1)</f>
        <v>0</v>
      </c>
      <c r="AD154" s="76">
        <f>SUMIFS('август 2025'!$G$2:$G$2407,'август 2025'!$D$2:$D$2407,$B154,'август 2025'!$J$2:$J$2407,AD$1)</f>
        <v>0</v>
      </c>
      <c r="AE154" s="76">
        <f>SUMIFS('август 2025'!$G$2:$G$2407,'август 2025'!$D$2:$D$2407,$B154,'август 2025'!$J$2:$J$2407,AE$1)</f>
        <v>0</v>
      </c>
      <c r="AF154" s="76">
        <f>SUMIFS('август 2025'!$G$2:$G$2407,'август 2025'!$D$2:$D$2407,$B154,'август 2025'!$J$2:$J$2407,AF$1)</f>
        <v>0</v>
      </c>
      <c r="AG154" s="76">
        <f>SUMIFS('август 2025'!$G$2:$G$2407,'август 2025'!$D$2:$D$2407,$B154,'август 2025'!$J$2:$J$2407,AG$1)</f>
        <v>0</v>
      </c>
      <c r="AH154" s="76">
        <f>SUMIFS('август 2025'!$G$2:$G$2407,'август 2025'!$D$2:$D$2407,$B154,'август 2025'!$J$2:$J$2407,AH$1)</f>
        <v>0</v>
      </c>
      <c r="AI154" s="20">
        <f t="shared" si="1"/>
        <v>0</v>
      </c>
    </row>
    <row r="155" spans="2:35" ht="15" customHeight="1" x14ac:dyDescent="0.25">
      <c r="B155" s="84" t="s">
        <v>274</v>
      </c>
      <c r="C155" s="83">
        <v>200</v>
      </c>
      <c r="D155" s="76">
        <f>SUMIFS('август 2025'!$G$2:$G$2407,'август 2025'!$D$2:$D$2407,$B155,'август 2025'!$J$2:$J$2407,D$1)</f>
        <v>0</v>
      </c>
      <c r="E155" s="76">
        <f>SUMIFS('август 2025'!$G$2:$G$2407,'август 2025'!$D$2:$D$2407,$B155,'август 2025'!$J$2:$J$2407,E$1)</f>
        <v>0</v>
      </c>
      <c r="F155" s="76">
        <f>SUMIFS('август 2025'!$G$2:$G$2407,'август 2025'!$D$2:$D$2407,$B155,'август 2025'!$J$2:$J$2407,F$1)</f>
        <v>0</v>
      </c>
      <c r="G155" s="76">
        <f>SUMIFS('август 2025'!$G$2:$G$2407,'август 2025'!$D$2:$D$2407,$B155,'август 2025'!$J$2:$J$2407,G$1)</f>
        <v>0</v>
      </c>
      <c r="H155" s="76">
        <f>SUMIFS('август 2025'!$G$2:$G$2407,'август 2025'!$D$2:$D$2407,$B155,'август 2025'!$J$2:$J$2407,H$1)</f>
        <v>0</v>
      </c>
      <c r="I155" s="76">
        <f>SUMIFS('август 2025'!$G$2:$G$2407,'август 2025'!$D$2:$D$2407,$B155,'август 2025'!$J$2:$J$2407,I$1)</f>
        <v>0</v>
      </c>
      <c r="J155" s="76">
        <f>SUMIFS('август 2025'!$G$2:$G$2407,'август 2025'!$D$2:$D$2407,$B155,'август 2025'!$J$2:$J$2407,J$1)</f>
        <v>0</v>
      </c>
      <c r="K155" s="76">
        <f>SUMIFS('август 2025'!$G$2:$G$2407,'август 2025'!$D$2:$D$2407,$B155,'август 2025'!$J$2:$J$2407,K$1)</f>
        <v>0</v>
      </c>
      <c r="L155" s="76">
        <f>SUMIFS('август 2025'!$G$2:$G$2407,'август 2025'!$D$2:$D$2407,$B155,'август 2025'!$J$2:$J$2407,L$1)</f>
        <v>0</v>
      </c>
      <c r="M155" s="76">
        <f>SUMIFS('август 2025'!$G$2:$G$2407,'август 2025'!$D$2:$D$2407,$B155,'август 2025'!$J$2:$J$2407,M$1)</f>
        <v>0</v>
      </c>
      <c r="N155" s="76">
        <f>SUMIFS('август 2025'!$G$2:$G$2407,'август 2025'!$D$2:$D$2407,$B155,'август 2025'!$J$2:$J$2407,N$1)</f>
        <v>0</v>
      </c>
      <c r="O155" s="76">
        <f>SUMIFS('август 2025'!$G$2:$G$2407,'август 2025'!$D$2:$D$2407,$B155,'август 2025'!$J$2:$J$2407,O$1)</f>
        <v>0</v>
      </c>
      <c r="P155" s="76">
        <f>SUMIFS('август 2025'!$G$2:$G$2407,'август 2025'!$D$2:$D$2407,$B155,'август 2025'!$J$2:$J$2407,P$1)</f>
        <v>0</v>
      </c>
      <c r="Q155" s="76">
        <f>SUMIFS('август 2025'!$G$2:$G$2407,'август 2025'!$D$2:$D$2407,$B155,'август 2025'!$J$2:$J$2407,Q$1)</f>
        <v>0</v>
      </c>
      <c r="R155" s="76">
        <f>SUMIFS('август 2025'!$G$2:$G$2407,'август 2025'!$D$2:$D$2407,$B155,'август 2025'!$J$2:$J$2407,R$1)</f>
        <v>0</v>
      </c>
      <c r="S155" s="76">
        <f>SUMIFS('август 2025'!$G$2:$G$2407,'август 2025'!$D$2:$D$2407,$B155,'август 2025'!$J$2:$J$2407,S$1)</f>
        <v>0</v>
      </c>
      <c r="T155" s="76">
        <f>SUMIFS('август 2025'!$G$2:$G$2407,'август 2025'!$D$2:$D$2407,$B155,'август 2025'!$J$2:$J$2407,T$1)</f>
        <v>0</v>
      </c>
      <c r="U155" s="76">
        <f>SUMIFS('август 2025'!$G$2:$G$2407,'август 2025'!$D$2:$D$2407,$B155,'август 2025'!$J$2:$J$2407,U$1)</f>
        <v>0</v>
      </c>
      <c r="V155" s="76">
        <f>SUMIFS('август 2025'!$G$2:$G$2407,'август 2025'!$D$2:$D$2407,$B155,'август 2025'!$J$2:$J$2407,V$1)</f>
        <v>0</v>
      </c>
      <c r="W155" s="76">
        <f>SUMIFS('август 2025'!$G$2:$G$2407,'август 2025'!$D$2:$D$2407,$B155,'август 2025'!$J$2:$J$2407,W$1)</f>
        <v>0</v>
      </c>
      <c r="X155" s="76">
        <f>SUMIFS('август 2025'!$G$2:$G$2407,'август 2025'!$D$2:$D$2407,$B155,'август 2025'!$J$2:$J$2407,X$1)</f>
        <v>0</v>
      </c>
      <c r="Y155" s="76">
        <f>SUMIFS('август 2025'!$G$2:$G$2407,'август 2025'!$D$2:$D$2407,$B155,'август 2025'!$J$2:$J$2407,Y$1)</f>
        <v>0</v>
      </c>
      <c r="Z155" s="76">
        <f>SUMIFS('август 2025'!$G$2:$G$2407,'август 2025'!$D$2:$D$2407,$B155,'август 2025'!$J$2:$J$2407,Z$1)</f>
        <v>0</v>
      </c>
      <c r="AA155" s="76">
        <f>SUMIFS('август 2025'!$G$2:$G$2407,'август 2025'!$D$2:$D$2407,$B155,'август 2025'!$J$2:$J$2407,AA$1)</f>
        <v>0</v>
      </c>
      <c r="AB155" s="76">
        <f>SUMIFS('август 2025'!$G$2:$G$2407,'август 2025'!$D$2:$D$2407,$B155,'август 2025'!$J$2:$J$2407,AB$1)</f>
        <v>0</v>
      </c>
      <c r="AC155" s="76">
        <f>SUMIFS('август 2025'!$G$2:$G$2407,'август 2025'!$D$2:$D$2407,$B155,'август 2025'!$J$2:$J$2407,AC$1)</f>
        <v>0</v>
      </c>
      <c r="AD155" s="76">
        <f>SUMIFS('август 2025'!$G$2:$G$2407,'август 2025'!$D$2:$D$2407,$B155,'август 2025'!$J$2:$J$2407,AD$1)</f>
        <v>0</v>
      </c>
      <c r="AE155" s="76">
        <f>SUMIFS('август 2025'!$G$2:$G$2407,'август 2025'!$D$2:$D$2407,$B155,'август 2025'!$J$2:$J$2407,AE$1)</f>
        <v>0</v>
      </c>
      <c r="AF155" s="76">
        <f>SUMIFS('август 2025'!$G$2:$G$2407,'август 2025'!$D$2:$D$2407,$B155,'август 2025'!$J$2:$J$2407,AF$1)</f>
        <v>0</v>
      </c>
      <c r="AG155" s="76">
        <f>SUMIFS('август 2025'!$G$2:$G$2407,'август 2025'!$D$2:$D$2407,$B155,'август 2025'!$J$2:$J$2407,AG$1)</f>
        <v>0</v>
      </c>
      <c r="AH155" s="76">
        <f>SUMIFS('август 2025'!$G$2:$G$2407,'август 2025'!$D$2:$D$2407,$B155,'август 2025'!$J$2:$J$2407,AH$1)</f>
        <v>0</v>
      </c>
      <c r="AI155" s="20">
        <f t="shared" si="1"/>
        <v>0</v>
      </c>
    </row>
    <row r="156" spans="2:35" ht="15" customHeight="1" x14ac:dyDescent="0.25">
      <c r="B156" s="84" t="s">
        <v>313</v>
      </c>
      <c r="C156" s="83">
        <v>1000</v>
      </c>
      <c r="D156" s="76">
        <f>SUMIFS('август 2025'!$G$2:$G$2407,'август 2025'!$D$2:$D$2407,$B156,'август 2025'!$J$2:$J$2407,D$1)</f>
        <v>0</v>
      </c>
      <c r="E156" s="76">
        <f>SUMIFS('август 2025'!$G$2:$G$2407,'август 2025'!$D$2:$D$2407,$B156,'август 2025'!$J$2:$J$2407,E$1)</f>
        <v>0</v>
      </c>
      <c r="F156" s="76">
        <f>SUMIFS('август 2025'!$G$2:$G$2407,'август 2025'!$D$2:$D$2407,$B156,'август 2025'!$J$2:$J$2407,F$1)</f>
        <v>0</v>
      </c>
      <c r="G156" s="76">
        <f>SUMIFS('август 2025'!$G$2:$G$2407,'август 2025'!$D$2:$D$2407,$B156,'август 2025'!$J$2:$J$2407,G$1)</f>
        <v>0</v>
      </c>
      <c r="H156" s="76">
        <f>SUMIFS('август 2025'!$G$2:$G$2407,'август 2025'!$D$2:$D$2407,$B156,'август 2025'!$J$2:$J$2407,H$1)</f>
        <v>0</v>
      </c>
      <c r="I156" s="76">
        <f>SUMIFS('август 2025'!$G$2:$G$2407,'август 2025'!$D$2:$D$2407,$B156,'август 2025'!$J$2:$J$2407,I$1)</f>
        <v>0</v>
      </c>
      <c r="J156" s="76">
        <f>SUMIFS('август 2025'!$G$2:$G$2407,'август 2025'!$D$2:$D$2407,$B156,'август 2025'!$J$2:$J$2407,J$1)</f>
        <v>0</v>
      </c>
      <c r="K156" s="76">
        <f>SUMIFS('август 2025'!$G$2:$G$2407,'август 2025'!$D$2:$D$2407,$B156,'август 2025'!$J$2:$J$2407,K$1)</f>
        <v>0</v>
      </c>
      <c r="L156" s="76">
        <f>SUMIFS('август 2025'!$G$2:$G$2407,'август 2025'!$D$2:$D$2407,$B156,'август 2025'!$J$2:$J$2407,L$1)</f>
        <v>0</v>
      </c>
      <c r="M156" s="76">
        <f>SUMIFS('август 2025'!$G$2:$G$2407,'август 2025'!$D$2:$D$2407,$B156,'август 2025'!$J$2:$J$2407,M$1)</f>
        <v>0</v>
      </c>
      <c r="N156" s="76">
        <f>SUMIFS('август 2025'!$G$2:$G$2407,'август 2025'!$D$2:$D$2407,$B156,'август 2025'!$J$2:$J$2407,N$1)</f>
        <v>0</v>
      </c>
      <c r="O156" s="76">
        <f>SUMIFS('август 2025'!$G$2:$G$2407,'август 2025'!$D$2:$D$2407,$B156,'август 2025'!$J$2:$J$2407,O$1)</f>
        <v>0</v>
      </c>
      <c r="P156" s="76">
        <f>SUMIFS('август 2025'!$G$2:$G$2407,'август 2025'!$D$2:$D$2407,$B156,'август 2025'!$J$2:$J$2407,P$1)</f>
        <v>0</v>
      </c>
      <c r="Q156" s="76">
        <f>SUMIFS('август 2025'!$G$2:$G$2407,'август 2025'!$D$2:$D$2407,$B156,'август 2025'!$J$2:$J$2407,Q$1)</f>
        <v>0</v>
      </c>
      <c r="R156" s="76">
        <f>SUMIFS('август 2025'!$G$2:$G$2407,'август 2025'!$D$2:$D$2407,$B156,'август 2025'!$J$2:$J$2407,R$1)</f>
        <v>0</v>
      </c>
      <c r="S156" s="76">
        <f>SUMIFS('август 2025'!$G$2:$G$2407,'август 2025'!$D$2:$D$2407,$B156,'август 2025'!$J$2:$J$2407,S$1)</f>
        <v>0</v>
      </c>
      <c r="T156" s="76">
        <f>SUMIFS('август 2025'!$G$2:$G$2407,'август 2025'!$D$2:$D$2407,$B156,'август 2025'!$J$2:$J$2407,T$1)</f>
        <v>0</v>
      </c>
      <c r="U156" s="76">
        <f>SUMIFS('август 2025'!$G$2:$G$2407,'август 2025'!$D$2:$D$2407,$B156,'август 2025'!$J$2:$J$2407,U$1)</f>
        <v>0</v>
      </c>
      <c r="V156" s="76">
        <f>SUMIFS('август 2025'!$G$2:$G$2407,'август 2025'!$D$2:$D$2407,$B156,'август 2025'!$J$2:$J$2407,V$1)</f>
        <v>0</v>
      </c>
      <c r="W156" s="76">
        <f>SUMIFS('август 2025'!$G$2:$G$2407,'август 2025'!$D$2:$D$2407,$B156,'август 2025'!$J$2:$J$2407,W$1)</f>
        <v>0</v>
      </c>
      <c r="X156" s="76">
        <f>SUMIFS('август 2025'!$G$2:$G$2407,'август 2025'!$D$2:$D$2407,$B156,'август 2025'!$J$2:$J$2407,X$1)</f>
        <v>0</v>
      </c>
      <c r="Y156" s="76">
        <f>SUMIFS('август 2025'!$G$2:$G$2407,'август 2025'!$D$2:$D$2407,$B156,'август 2025'!$J$2:$J$2407,Y$1)</f>
        <v>0</v>
      </c>
      <c r="Z156" s="76">
        <f>SUMIFS('август 2025'!$G$2:$G$2407,'август 2025'!$D$2:$D$2407,$B156,'август 2025'!$J$2:$J$2407,Z$1)</f>
        <v>0</v>
      </c>
      <c r="AA156" s="76">
        <f>SUMIFS('август 2025'!$G$2:$G$2407,'август 2025'!$D$2:$D$2407,$B156,'август 2025'!$J$2:$J$2407,AA$1)</f>
        <v>0</v>
      </c>
      <c r="AB156" s="76">
        <f>SUMIFS('август 2025'!$G$2:$G$2407,'август 2025'!$D$2:$D$2407,$B156,'август 2025'!$J$2:$J$2407,AB$1)</f>
        <v>0</v>
      </c>
      <c r="AC156" s="76">
        <f>SUMIFS('август 2025'!$G$2:$G$2407,'август 2025'!$D$2:$D$2407,$B156,'август 2025'!$J$2:$J$2407,AC$1)</f>
        <v>0</v>
      </c>
      <c r="AD156" s="76">
        <f>SUMIFS('август 2025'!$G$2:$G$2407,'август 2025'!$D$2:$D$2407,$B156,'август 2025'!$J$2:$J$2407,AD$1)</f>
        <v>0</v>
      </c>
      <c r="AE156" s="76">
        <f>SUMIFS('август 2025'!$G$2:$G$2407,'август 2025'!$D$2:$D$2407,$B156,'август 2025'!$J$2:$J$2407,AE$1)</f>
        <v>0</v>
      </c>
      <c r="AF156" s="76">
        <f>SUMIFS('август 2025'!$G$2:$G$2407,'август 2025'!$D$2:$D$2407,$B156,'август 2025'!$J$2:$J$2407,AF$1)</f>
        <v>0</v>
      </c>
      <c r="AG156" s="76">
        <f>SUMIFS('август 2025'!$G$2:$G$2407,'август 2025'!$D$2:$D$2407,$B156,'август 2025'!$J$2:$J$2407,AG$1)</f>
        <v>0</v>
      </c>
      <c r="AH156" s="76">
        <f>SUMIFS('август 2025'!$G$2:$G$2407,'август 2025'!$D$2:$D$2407,$B156,'август 2025'!$J$2:$J$2407,AH$1)</f>
        <v>0</v>
      </c>
      <c r="AI156" s="20">
        <f t="shared" si="1"/>
        <v>0</v>
      </c>
    </row>
    <row r="157" spans="2:35" ht="15" customHeight="1" x14ac:dyDescent="0.25">
      <c r="B157" s="84" t="s">
        <v>200</v>
      </c>
      <c r="C157" s="83">
        <v>200</v>
      </c>
      <c r="D157" s="76">
        <f>SUMIFS('август 2025'!$G$2:$G$2407,'август 2025'!$D$2:$D$2407,$B157,'август 2025'!$J$2:$J$2407,D$1)</f>
        <v>0</v>
      </c>
      <c r="E157" s="76">
        <f>SUMIFS('август 2025'!$G$2:$G$2407,'август 2025'!$D$2:$D$2407,$B157,'август 2025'!$J$2:$J$2407,E$1)</f>
        <v>0</v>
      </c>
      <c r="F157" s="76">
        <f>SUMIFS('август 2025'!$G$2:$G$2407,'август 2025'!$D$2:$D$2407,$B157,'август 2025'!$J$2:$J$2407,F$1)</f>
        <v>0</v>
      </c>
      <c r="G157" s="76">
        <f>SUMIFS('август 2025'!$G$2:$G$2407,'август 2025'!$D$2:$D$2407,$B157,'август 2025'!$J$2:$J$2407,G$1)</f>
        <v>0</v>
      </c>
      <c r="H157" s="76">
        <f>SUMIFS('август 2025'!$G$2:$G$2407,'август 2025'!$D$2:$D$2407,$B157,'август 2025'!$J$2:$J$2407,H$1)</f>
        <v>0</v>
      </c>
      <c r="I157" s="76">
        <f>SUMIFS('август 2025'!$G$2:$G$2407,'август 2025'!$D$2:$D$2407,$B157,'август 2025'!$J$2:$J$2407,I$1)</f>
        <v>0</v>
      </c>
      <c r="J157" s="76">
        <f>SUMIFS('август 2025'!$G$2:$G$2407,'август 2025'!$D$2:$D$2407,$B157,'август 2025'!$J$2:$J$2407,J$1)</f>
        <v>0</v>
      </c>
      <c r="K157" s="76">
        <f>SUMIFS('август 2025'!$G$2:$G$2407,'август 2025'!$D$2:$D$2407,$B157,'август 2025'!$J$2:$J$2407,K$1)</f>
        <v>0</v>
      </c>
      <c r="L157" s="76">
        <f>SUMIFS('август 2025'!$G$2:$G$2407,'август 2025'!$D$2:$D$2407,$B157,'август 2025'!$J$2:$J$2407,L$1)</f>
        <v>0</v>
      </c>
      <c r="M157" s="76">
        <f>SUMIFS('август 2025'!$G$2:$G$2407,'август 2025'!$D$2:$D$2407,$B157,'август 2025'!$J$2:$J$2407,M$1)</f>
        <v>0</v>
      </c>
      <c r="N157" s="76">
        <f>SUMIFS('август 2025'!$G$2:$G$2407,'август 2025'!$D$2:$D$2407,$B157,'август 2025'!$J$2:$J$2407,N$1)</f>
        <v>0</v>
      </c>
      <c r="O157" s="76">
        <f>SUMIFS('август 2025'!$G$2:$G$2407,'август 2025'!$D$2:$D$2407,$B157,'август 2025'!$J$2:$J$2407,O$1)</f>
        <v>0</v>
      </c>
      <c r="P157" s="76">
        <f>SUMIFS('август 2025'!$G$2:$G$2407,'август 2025'!$D$2:$D$2407,$B157,'август 2025'!$J$2:$J$2407,P$1)</f>
        <v>0</v>
      </c>
      <c r="Q157" s="76">
        <f>SUMIFS('август 2025'!$G$2:$G$2407,'август 2025'!$D$2:$D$2407,$B157,'август 2025'!$J$2:$J$2407,Q$1)</f>
        <v>0</v>
      </c>
      <c r="R157" s="76">
        <f>SUMIFS('август 2025'!$G$2:$G$2407,'август 2025'!$D$2:$D$2407,$B157,'август 2025'!$J$2:$J$2407,R$1)</f>
        <v>0</v>
      </c>
      <c r="S157" s="76">
        <f>SUMIFS('август 2025'!$G$2:$G$2407,'август 2025'!$D$2:$D$2407,$B157,'август 2025'!$J$2:$J$2407,S$1)</f>
        <v>0</v>
      </c>
      <c r="T157" s="76">
        <f>SUMIFS('август 2025'!$G$2:$G$2407,'август 2025'!$D$2:$D$2407,$B157,'август 2025'!$J$2:$J$2407,T$1)</f>
        <v>0</v>
      </c>
      <c r="U157" s="76">
        <f>SUMIFS('август 2025'!$G$2:$G$2407,'август 2025'!$D$2:$D$2407,$B157,'август 2025'!$J$2:$J$2407,U$1)</f>
        <v>0</v>
      </c>
      <c r="V157" s="76">
        <f>SUMIFS('август 2025'!$G$2:$G$2407,'август 2025'!$D$2:$D$2407,$B157,'август 2025'!$J$2:$J$2407,V$1)</f>
        <v>0</v>
      </c>
      <c r="W157" s="76">
        <f>SUMIFS('август 2025'!$G$2:$G$2407,'август 2025'!$D$2:$D$2407,$B157,'август 2025'!$J$2:$J$2407,W$1)</f>
        <v>0</v>
      </c>
      <c r="X157" s="76">
        <f>SUMIFS('август 2025'!$G$2:$G$2407,'август 2025'!$D$2:$D$2407,$B157,'август 2025'!$J$2:$J$2407,X$1)</f>
        <v>0</v>
      </c>
      <c r="Y157" s="76">
        <f>SUMIFS('август 2025'!$G$2:$G$2407,'август 2025'!$D$2:$D$2407,$B157,'август 2025'!$J$2:$J$2407,Y$1)</f>
        <v>0</v>
      </c>
      <c r="Z157" s="76">
        <f>SUMIFS('август 2025'!$G$2:$G$2407,'август 2025'!$D$2:$D$2407,$B157,'август 2025'!$J$2:$J$2407,Z$1)</f>
        <v>0</v>
      </c>
      <c r="AA157" s="76">
        <f>SUMIFS('август 2025'!$G$2:$G$2407,'август 2025'!$D$2:$D$2407,$B157,'август 2025'!$J$2:$J$2407,AA$1)</f>
        <v>0</v>
      </c>
      <c r="AB157" s="76">
        <f>SUMIFS('август 2025'!$G$2:$G$2407,'август 2025'!$D$2:$D$2407,$B157,'август 2025'!$J$2:$J$2407,AB$1)</f>
        <v>0</v>
      </c>
      <c r="AC157" s="76">
        <f>SUMIFS('август 2025'!$G$2:$G$2407,'август 2025'!$D$2:$D$2407,$B157,'август 2025'!$J$2:$J$2407,AC$1)</f>
        <v>0</v>
      </c>
      <c r="AD157" s="76">
        <f>SUMIFS('август 2025'!$G$2:$G$2407,'август 2025'!$D$2:$D$2407,$B157,'август 2025'!$J$2:$J$2407,AD$1)</f>
        <v>0</v>
      </c>
      <c r="AE157" s="76">
        <f>SUMIFS('август 2025'!$G$2:$G$2407,'август 2025'!$D$2:$D$2407,$B157,'август 2025'!$J$2:$J$2407,AE$1)</f>
        <v>0</v>
      </c>
      <c r="AF157" s="76">
        <f>SUMIFS('август 2025'!$G$2:$G$2407,'август 2025'!$D$2:$D$2407,$B157,'август 2025'!$J$2:$J$2407,AF$1)</f>
        <v>0</v>
      </c>
      <c r="AG157" s="76">
        <f>SUMIFS('август 2025'!$G$2:$G$2407,'август 2025'!$D$2:$D$2407,$B157,'август 2025'!$J$2:$J$2407,AG$1)</f>
        <v>0</v>
      </c>
      <c r="AH157" s="76">
        <f>SUMIFS('август 2025'!$G$2:$G$2407,'август 2025'!$D$2:$D$2407,$B157,'август 2025'!$J$2:$J$2407,AH$1)</f>
        <v>0</v>
      </c>
      <c r="AI157" s="20">
        <f t="shared" si="1"/>
        <v>0</v>
      </c>
    </row>
    <row r="158" spans="2:35" ht="15" customHeight="1" x14ac:dyDescent="0.25">
      <c r="B158" s="84" t="s">
        <v>275</v>
      </c>
      <c r="C158" s="83">
        <v>200</v>
      </c>
      <c r="D158" s="76">
        <f>SUMIFS('август 2025'!$G$2:$G$2407,'август 2025'!$D$2:$D$2407,$B158,'август 2025'!$J$2:$J$2407,D$1)</f>
        <v>0</v>
      </c>
      <c r="E158" s="76">
        <f>SUMIFS('август 2025'!$G$2:$G$2407,'август 2025'!$D$2:$D$2407,$B158,'август 2025'!$J$2:$J$2407,E$1)</f>
        <v>0</v>
      </c>
      <c r="F158" s="76">
        <f>SUMIFS('август 2025'!$G$2:$G$2407,'август 2025'!$D$2:$D$2407,$B158,'август 2025'!$J$2:$J$2407,F$1)</f>
        <v>0</v>
      </c>
      <c r="G158" s="76">
        <f>SUMIFS('август 2025'!$G$2:$G$2407,'август 2025'!$D$2:$D$2407,$B158,'август 2025'!$J$2:$J$2407,G$1)</f>
        <v>0</v>
      </c>
      <c r="H158" s="76">
        <f>SUMIFS('август 2025'!$G$2:$G$2407,'август 2025'!$D$2:$D$2407,$B158,'август 2025'!$J$2:$J$2407,H$1)</f>
        <v>0</v>
      </c>
      <c r="I158" s="76">
        <f>SUMIFS('август 2025'!$G$2:$G$2407,'август 2025'!$D$2:$D$2407,$B158,'август 2025'!$J$2:$J$2407,I$1)</f>
        <v>0</v>
      </c>
      <c r="J158" s="76">
        <f>SUMIFS('август 2025'!$G$2:$G$2407,'август 2025'!$D$2:$D$2407,$B158,'август 2025'!$J$2:$J$2407,J$1)</f>
        <v>0</v>
      </c>
      <c r="K158" s="76">
        <f>SUMIFS('август 2025'!$G$2:$G$2407,'август 2025'!$D$2:$D$2407,$B158,'август 2025'!$J$2:$J$2407,K$1)</f>
        <v>0</v>
      </c>
      <c r="L158" s="76">
        <f>SUMIFS('август 2025'!$G$2:$G$2407,'август 2025'!$D$2:$D$2407,$B158,'август 2025'!$J$2:$J$2407,L$1)</f>
        <v>0</v>
      </c>
      <c r="M158" s="76">
        <f>SUMIFS('август 2025'!$G$2:$G$2407,'август 2025'!$D$2:$D$2407,$B158,'август 2025'!$J$2:$J$2407,M$1)</f>
        <v>0</v>
      </c>
      <c r="N158" s="76">
        <f>SUMIFS('август 2025'!$G$2:$G$2407,'август 2025'!$D$2:$D$2407,$B158,'август 2025'!$J$2:$J$2407,N$1)</f>
        <v>0</v>
      </c>
      <c r="O158" s="76">
        <f>SUMIFS('август 2025'!$G$2:$G$2407,'август 2025'!$D$2:$D$2407,$B158,'август 2025'!$J$2:$J$2407,O$1)</f>
        <v>0</v>
      </c>
      <c r="P158" s="76">
        <f>SUMIFS('август 2025'!$G$2:$G$2407,'август 2025'!$D$2:$D$2407,$B158,'август 2025'!$J$2:$J$2407,P$1)</f>
        <v>0</v>
      </c>
      <c r="Q158" s="76">
        <f>SUMIFS('август 2025'!$G$2:$G$2407,'август 2025'!$D$2:$D$2407,$B158,'август 2025'!$J$2:$J$2407,Q$1)</f>
        <v>0</v>
      </c>
      <c r="R158" s="76">
        <f>SUMIFS('август 2025'!$G$2:$G$2407,'август 2025'!$D$2:$D$2407,$B158,'август 2025'!$J$2:$J$2407,R$1)</f>
        <v>0</v>
      </c>
      <c r="S158" s="76">
        <f>SUMIFS('август 2025'!$G$2:$G$2407,'август 2025'!$D$2:$D$2407,$B158,'август 2025'!$J$2:$J$2407,S$1)</f>
        <v>0</v>
      </c>
      <c r="T158" s="76">
        <f>SUMIFS('август 2025'!$G$2:$G$2407,'август 2025'!$D$2:$D$2407,$B158,'август 2025'!$J$2:$J$2407,T$1)</f>
        <v>0</v>
      </c>
      <c r="U158" s="76">
        <f>SUMIFS('август 2025'!$G$2:$G$2407,'август 2025'!$D$2:$D$2407,$B158,'август 2025'!$J$2:$J$2407,U$1)</f>
        <v>0</v>
      </c>
      <c r="V158" s="76">
        <f>SUMIFS('август 2025'!$G$2:$G$2407,'август 2025'!$D$2:$D$2407,$B158,'август 2025'!$J$2:$J$2407,V$1)</f>
        <v>0</v>
      </c>
      <c r="W158" s="76">
        <f>SUMIFS('август 2025'!$G$2:$G$2407,'август 2025'!$D$2:$D$2407,$B158,'август 2025'!$J$2:$J$2407,W$1)</f>
        <v>0</v>
      </c>
      <c r="X158" s="76">
        <f>SUMIFS('август 2025'!$G$2:$G$2407,'август 2025'!$D$2:$D$2407,$B158,'август 2025'!$J$2:$J$2407,X$1)</f>
        <v>0</v>
      </c>
      <c r="Y158" s="76">
        <f>SUMIFS('август 2025'!$G$2:$G$2407,'август 2025'!$D$2:$D$2407,$B158,'август 2025'!$J$2:$J$2407,Y$1)</f>
        <v>0</v>
      </c>
      <c r="Z158" s="76">
        <f>SUMIFS('август 2025'!$G$2:$G$2407,'август 2025'!$D$2:$D$2407,$B158,'август 2025'!$J$2:$J$2407,Z$1)</f>
        <v>0</v>
      </c>
      <c r="AA158" s="76">
        <f>SUMIFS('август 2025'!$G$2:$G$2407,'август 2025'!$D$2:$D$2407,$B158,'август 2025'!$J$2:$J$2407,AA$1)</f>
        <v>0</v>
      </c>
      <c r="AB158" s="76">
        <f>SUMIFS('август 2025'!$G$2:$G$2407,'август 2025'!$D$2:$D$2407,$B158,'август 2025'!$J$2:$J$2407,AB$1)</f>
        <v>0</v>
      </c>
      <c r="AC158" s="76">
        <f>SUMIFS('август 2025'!$G$2:$G$2407,'август 2025'!$D$2:$D$2407,$B158,'август 2025'!$J$2:$J$2407,AC$1)</f>
        <v>0</v>
      </c>
      <c r="AD158" s="76">
        <f>SUMIFS('август 2025'!$G$2:$G$2407,'август 2025'!$D$2:$D$2407,$B158,'август 2025'!$J$2:$J$2407,AD$1)</f>
        <v>0</v>
      </c>
      <c r="AE158" s="76">
        <f>SUMIFS('август 2025'!$G$2:$G$2407,'август 2025'!$D$2:$D$2407,$B158,'август 2025'!$J$2:$J$2407,AE$1)</f>
        <v>0</v>
      </c>
      <c r="AF158" s="76">
        <f>SUMIFS('август 2025'!$G$2:$G$2407,'август 2025'!$D$2:$D$2407,$B158,'август 2025'!$J$2:$J$2407,AF$1)</f>
        <v>0</v>
      </c>
      <c r="AG158" s="76">
        <f>SUMIFS('август 2025'!$G$2:$G$2407,'август 2025'!$D$2:$D$2407,$B158,'август 2025'!$J$2:$J$2407,AG$1)</f>
        <v>0</v>
      </c>
      <c r="AH158" s="76">
        <f>SUMIFS('август 2025'!$G$2:$G$2407,'август 2025'!$D$2:$D$2407,$B158,'август 2025'!$J$2:$J$2407,AH$1)</f>
        <v>0</v>
      </c>
      <c r="AI158" s="20">
        <f t="shared" si="1"/>
        <v>0</v>
      </c>
    </row>
    <row r="159" spans="2:35" ht="15" customHeight="1" x14ac:dyDescent="0.25">
      <c r="B159" s="84" t="s">
        <v>204</v>
      </c>
      <c r="C159" s="86">
        <v>200</v>
      </c>
      <c r="D159" s="76">
        <f>SUMIFS('август 2025'!$G$2:$G$2407,'август 2025'!$D$2:$D$2407,$B159,'август 2025'!$J$2:$J$2407,D$1)</f>
        <v>0</v>
      </c>
      <c r="E159" s="76">
        <f>SUMIFS('август 2025'!$G$2:$G$2407,'август 2025'!$D$2:$D$2407,$B159,'август 2025'!$J$2:$J$2407,E$1)</f>
        <v>0</v>
      </c>
      <c r="F159" s="76">
        <f>SUMIFS('август 2025'!$G$2:$G$2407,'август 2025'!$D$2:$D$2407,$B159,'август 2025'!$J$2:$J$2407,F$1)</f>
        <v>0</v>
      </c>
      <c r="G159" s="76">
        <f>SUMIFS('август 2025'!$G$2:$G$2407,'август 2025'!$D$2:$D$2407,$B159,'август 2025'!$J$2:$J$2407,G$1)</f>
        <v>0</v>
      </c>
      <c r="H159" s="76">
        <f>SUMIFS('август 2025'!$G$2:$G$2407,'август 2025'!$D$2:$D$2407,$B159,'август 2025'!$J$2:$J$2407,H$1)</f>
        <v>0</v>
      </c>
      <c r="I159" s="76">
        <f>SUMIFS('август 2025'!$G$2:$G$2407,'август 2025'!$D$2:$D$2407,$B159,'август 2025'!$J$2:$J$2407,I$1)</f>
        <v>0</v>
      </c>
      <c r="J159" s="76">
        <f>SUMIFS('август 2025'!$G$2:$G$2407,'август 2025'!$D$2:$D$2407,$B159,'август 2025'!$J$2:$J$2407,J$1)</f>
        <v>0</v>
      </c>
      <c r="K159" s="76">
        <f>SUMIFS('август 2025'!$G$2:$G$2407,'август 2025'!$D$2:$D$2407,$B159,'август 2025'!$J$2:$J$2407,K$1)</f>
        <v>0</v>
      </c>
      <c r="L159" s="76">
        <f>SUMIFS('август 2025'!$G$2:$G$2407,'август 2025'!$D$2:$D$2407,$B159,'август 2025'!$J$2:$J$2407,L$1)</f>
        <v>0</v>
      </c>
      <c r="M159" s="76">
        <f>SUMIFS('август 2025'!$G$2:$G$2407,'август 2025'!$D$2:$D$2407,$B159,'август 2025'!$J$2:$J$2407,M$1)</f>
        <v>0</v>
      </c>
      <c r="N159" s="76">
        <f>SUMIFS('август 2025'!$G$2:$G$2407,'август 2025'!$D$2:$D$2407,$B159,'август 2025'!$J$2:$J$2407,N$1)</f>
        <v>0</v>
      </c>
      <c r="O159" s="76">
        <f>SUMIFS('август 2025'!$G$2:$G$2407,'август 2025'!$D$2:$D$2407,$B159,'август 2025'!$J$2:$J$2407,O$1)</f>
        <v>0</v>
      </c>
      <c r="P159" s="76">
        <f>SUMIFS('август 2025'!$G$2:$G$2407,'август 2025'!$D$2:$D$2407,$B159,'август 2025'!$J$2:$J$2407,P$1)</f>
        <v>0</v>
      </c>
      <c r="Q159" s="76">
        <f>SUMIFS('август 2025'!$G$2:$G$2407,'август 2025'!$D$2:$D$2407,$B159,'август 2025'!$J$2:$J$2407,Q$1)</f>
        <v>0</v>
      </c>
      <c r="R159" s="76">
        <f>SUMIFS('август 2025'!$G$2:$G$2407,'август 2025'!$D$2:$D$2407,$B159,'август 2025'!$J$2:$J$2407,R$1)</f>
        <v>0</v>
      </c>
      <c r="S159" s="76">
        <f>SUMIFS('август 2025'!$G$2:$G$2407,'август 2025'!$D$2:$D$2407,$B159,'август 2025'!$J$2:$J$2407,S$1)</f>
        <v>0</v>
      </c>
      <c r="T159" s="76">
        <f>SUMIFS('август 2025'!$G$2:$G$2407,'август 2025'!$D$2:$D$2407,$B159,'август 2025'!$J$2:$J$2407,T$1)</f>
        <v>0</v>
      </c>
      <c r="U159" s="76">
        <f>SUMIFS('август 2025'!$G$2:$G$2407,'август 2025'!$D$2:$D$2407,$B159,'август 2025'!$J$2:$J$2407,U$1)</f>
        <v>0</v>
      </c>
      <c r="V159" s="76">
        <f>SUMIFS('август 2025'!$G$2:$G$2407,'август 2025'!$D$2:$D$2407,$B159,'август 2025'!$J$2:$J$2407,V$1)</f>
        <v>0</v>
      </c>
      <c r="W159" s="76">
        <f>SUMIFS('август 2025'!$G$2:$G$2407,'август 2025'!$D$2:$D$2407,$B159,'август 2025'!$J$2:$J$2407,W$1)</f>
        <v>0</v>
      </c>
      <c r="X159" s="76">
        <f>SUMIFS('август 2025'!$G$2:$G$2407,'август 2025'!$D$2:$D$2407,$B159,'август 2025'!$J$2:$J$2407,X$1)</f>
        <v>0</v>
      </c>
      <c r="Y159" s="76">
        <f>SUMIFS('август 2025'!$G$2:$G$2407,'август 2025'!$D$2:$D$2407,$B159,'август 2025'!$J$2:$J$2407,Y$1)</f>
        <v>0</v>
      </c>
      <c r="Z159" s="76">
        <f>SUMIFS('август 2025'!$G$2:$G$2407,'август 2025'!$D$2:$D$2407,$B159,'август 2025'!$J$2:$J$2407,Z$1)</f>
        <v>0</v>
      </c>
      <c r="AA159" s="76">
        <f>SUMIFS('август 2025'!$G$2:$G$2407,'август 2025'!$D$2:$D$2407,$B159,'август 2025'!$J$2:$J$2407,AA$1)</f>
        <v>0</v>
      </c>
      <c r="AB159" s="76">
        <f>SUMIFS('август 2025'!$G$2:$G$2407,'август 2025'!$D$2:$D$2407,$B159,'август 2025'!$J$2:$J$2407,AB$1)</f>
        <v>0</v>
      </c>
      <c r="AC159" s="76">
        <f>SUMIFS('август 2025'!$G$2:$G$2407,'август 2025'!$D$2:$D$2407,$B159,'август 2025'!$J$2:$J$2407,AC$1)</f>
        <v>0</v>
      </c>
      <c r="AD159" s="76">
        <f>SUMIFS('август 2025'!$G$2:$G$2407,'август 2025'!$D$2:$D$2407,$B159,'август 2025'!$J$2:$J$2407,AD$1)</f>
        <v>0</v>
      </c>
      <c r="AE159" s="76">
        <f>SUMIFS('август 2025'!$G$2:$G$2407,'август 2025'!$D$2:$D$2407,$B159,'август 2025'!$J$2:$J$2407,AE$1)</f>
        <v>0</v>
      </c>
      <c r="AF159" s="76">
        <f>SUMIFS('август 2025'!$G$2:$G$2407,'август 2025'!$D$2:$D$2407,$B159,'август 2025'!$J$2:$J$2407,AF$1)</f>
        <v>0</v>
      </c>
      <c r="AG159" s="76">
        <f>SUMIFS('август 2025'!$G$2:$G$2407,'август 2025'!$D$2:$D$2407,$B159,'август 2025'!$J$2:$J$2407,AG$1)</f>
        <v>0</v>
      </c>
      <c r="AH159" s="76">
        <f>SUMIFS('август 2025'!$G$2:$G$2407,'август 2025'!$D$2:$D$2407,$B159,'август 2025'!$J$2:$J$2407,AH$1)</f>
        <v>0</v>
      </c>
      <c r="AI159" s="20">
        <f t="shared" si="1"/>
        <v>0</v>
      </c>
    </row>
    <row r="160" spans="2:35" ht="15" customHeight="1" x14ac:dyDescent="0.25">
      <c r="B160" s="84" t="s">
        <v>290</v>
      </c>
      <c r="C160" s="86">
        <v>200</v>
      </c>
      <c r="D160" s="76">
        <f>SUMIFS('август 2025'!$G$2:$G$2407,'август 2025'!$D$2:$D$2407,$B160,'август 2025'!$J$2:$J$2407,D$1)</f>
        <v>0</v>
      </c>
      <c r="E160" s="76">
        <f>SUMIFS('август 2025'!$G$2:$G$2407,'август 2025'!$D$2:$D$2407,$B160,'август 2025'!$J$2:$J$2407,E$1)</f>
        <v>0</v>
      </c>
      <c r="F160" s="76">
        <f>SUMIFS('август 2025'!$G$2:$G$2407,'август 2025'!$D$2:$D$2407,$B160,'август 2025'!$J$2:$J$2407,F$1)</f>
        <v>0</v>
      </c>
      <c r="G160" s="76">
        <f>SUMIFS('август 2025'!$G$2:$G$2407,'август 2025'!$D$2:$D$2407,$B160,'август 2025'!$J$2:$J$2407,G$1)</f>
        <v>0</v>
      </c>
      <c r="H160" s="76">
        <f>SUMIFS('август 2025'!$G$2:$G$2407,'август 2025'!$D$2:$D$2407,$B160,'август 2025'!$J$2:$J$2407,H$1)</f>
        <v>0</v>
      </c>
      <c r="I160" s="76">
        <f>SUMIFS('август 2025'!$G$2:$G$2407,'август 2025'!$D$2:$D$2407,$B160,'август 2025'!$J$2:$J$2407,I$1)</f>
        <v>0</v>
      </c>
      <c r="J160" s="76">
        <f>SUMIFS('август 2025'!$G$2:$G$2407,'август 2025'!$D$2:$D$2407,$B160,'август 2025'!$J$2:$J$2407,J$1)</f>
        <v>0</v>
      </c>
      <c r="K160" s="76">
        <f>SUMIFS('август 2025'!$G$2:$G$2407,'август 2025'!$D$2:$D$2407,$B160,'август 2025'!$J$2:$J$2407,K$1)</f>
        <v>0</v>
      </c>
      <c r="L160" s="76">
        <f>SUMIFS('август 2025'!$G$2:$G$2407,'август 2025'!$D$2:$D$2407,$B160,'август 2025'!$J$2:$J$2407,L$1)</f>
        <v>0</v>
      </c>
      <c r="M160" s="76">
        <f>SUMIFS('август 2025'!$G$2:$G$2407,'август 2025'!$D$2:$D$2407,$B160,'август 2025'!$J$2:$J$2407,M$1)</f>
        <v>0</v>
      </c>
      <c r="N160" s="76">
        <f>SUMIFS('август 2025'!$G$2:$G$2407,'август 2025'!$D$2:$D$2407,$B160,'август 2025'!$J$2:$J$2407,N$1)</f>
        <v>0</v>
      </c>
      <c r="O160" s="76">
        <f>SUMIFS('август 2025'!$G$2:$G$2407,'август 2025'!$D$2:$D$2407,$B160,'август 2025'!$J$2:$J$2407,O$1)</f>
        <v>0</v>
      </c>
      <c r="P160" s="76">
        <f>SUMIFS('август 2025'!$G$2:$G$2407,'август 2025'!$D$2:$D$2407,$B160,'август 2025'!$J$2:$J$2407,P$1)</f>
        <v>0</v>
      </c>
      <c r="Q160" s="76">
        <f>SUMIFS('август 2025'!$G$2:$G$2407,'август 2025'!$D$2:$D$2407,$B160,'август 2025'!$J$2:$J$2407,Q$1)</f>
        <v>0</v>
      </c>
      <c r="R160" s="76">
        <f>SUMIFS('август 2025'!$G$2:$G$2407,'август 2025'!$D$2:$D$2407,$B160,'август 2025'!$J$2:$J$2407,R$1)</f>
        <v>0</v>
      </c>
      <c r="S160" s="76">
        <f>SUMIFS('август 2025'!$G$2:$G$2407,'август 2025'!$D$2:$D$2407,$B160,'август 2025'!$J$2:$J$2407,S$1)</f>
        <v>0</v>
      </c>
      <c r="T160" s="76">
        <f>SUMIFS('август 2025'!$G$2:$G$2407,'август 2025'!$D$2:$D$2407,$B160,'август 2025'!$J$2:$J$2407,T$1)</f>
        <v>0</v>
      </c>
      <c r="U160" s="76">
        <f>SUMIFS('август 2025'!$G$2:$G$2407,'август 2025'!$D$2:$D$2407,$B160,'август 2025'!$J$2:$J$2407,U$1)</f>
        <v>0</v>
      </c>
      <c r="V160" s="76">
        <f>SUMIFS('август 2025'!$G$2:$G$2407,'август 2025'!$D$2:$D$2407,$B160,'август 2025'!$J$2:$J$2407,V$1)</f>
        <v>0</v>
      </c>
      <c r="W160" s="76">
        <f>SUMIFS('август 2025'!$G$2:$G$2407,'август 2025'!$D$2:$D$2407,$B160,'август 2025'!$J$2:$J$2407,W$1)</f>
        <v>0</v>
      </c>
      <c r="X160" s="76">
        <f>SUMIFS('август 2025'!$G$2:$G$2407,'август 2025'!$D$2:$D$2407,$B160,'август 2025'!$J$2:$J$2407,X$1)</f>
        <v>0</v>
      </c>
      <c r="Y160" s="76">
        <f>SUMIFS('август 2025'!$G$2:$G$2407,'август 2025'!$D$2:$D$2407,$B160,'август 2025'!$J$2:$J$2407,Y$1)</f>
        <v>0</v>
      </c>
      <c r="Z160" s="76">
        <f>SUMIFS('август 2025'!$G$2:$G$2407,'август 2025'!$D$2:$D$2407,$B160,'август 2025'!$J$2:$J$2407,Z$1)</f>
        <v>0</v>
      </c>
      <c r="AA160" s="76">
        <f>SUMIFS('август 2025'!$G$2:$G$2407,'август 2025'!$D$2:$D$2407,$B160,'август 2025'!$J$2:$J$2407,AA$1)</f>
        <v>0</v>
      </c>
      <c r="AB160" s="76">
        <f>SUMIFS('август 2025'!$G$2:$G$2407,'август 2025'!$D$2:$D$2407,$B160,'август 2025'!$J$2:$J$2407,AB$1)</f>
        <v>0</v>
      </c>
      <c r="AC160" s="76">
        <f>SUMIFS('август 2025'!$G$2:$G$2407,'август 2025'!$D$2:$D$2407,$B160,'август 2025'!$J$2:$J$2407,AC$1)</f>
        <v>0</v>
      </c>
      <c r="AD160" s="76">
        <f>SUMIFS('август 2025'!$G$2:$G$2407,'август 2025'!$D$2:$D$2407,$B160,'август 2025'!$J$2:$J$2407,AD$1)</f>
        <v>0</v>
      </c>
      <c r="AE160" s="76">
        <f>SUMIFS('август 2025'!$G$2:$G$2407,'август 2025'!$D$2:$D$2407,$B160,'август 2025'!$J$2:$J$2407,AE$1)</f>
        <v>0</v>
      </c>
      <c r="AF160" s="76">
        <f>SUMIFS('август 2025'!$G$2:$G$2407,'август 2025'!$D$2:$D$2407,$B160,'август 2025'!$J$2:$J$2407,AF$1)</f>
        <v>0</v>
      </c>
      <c r="AG160" s="76">
        <f>SUMIFS('август 2025'!$G$2:$G$2407,'август 2025'!$D$2:$D$2407,$B160,'август 2025'!$J$2:$J$2407,AG$1)</f>
        <v>0</v>
      </c>
      <c r="AH160" s="76">
        <f>SUMIFS('август 2025'!$G$2:$G$2407,'август 2025'!$D$2:$D$2407,$B160,'август 2025'!$J$2:$J$2407,AH$1)</f>
        <v>0</v>
      </c>
      <c r="AI160" s="20">
        <f t="shared" si="1"/>
        <v>0</v>
      </c>
    </row>
    <row r="161" spans="2:35" ht="15" customHeight="1" x14ac:dyDescent="0.25">
      <c r="B161" s="88" t="s">
        <v>177</v>
      </c>
      <c r="C161" s="86">
        <v>25</v>
      </c>
      <c r="D161" s="76">
        <f>SUMIFS('август 2025'!$G$2:$G$2407,'август 2025'!$D$2:$D$2407,$B161,'август 2025'!$J$2:$J$2407,D$1)</f>
        <v>0</v>
      </c>
      <c r="E161" s="76">
        <f>SUMIFS('август 2025'!$G$2:$G$2407,'август 2025'!$D$2:$D$2407,$B161,'август 2025'!$J$2:$J$2407,E$1)</f>
        <v>0</v>
      </c>
      <c r="F161" s="76">
        <f>SUMIFS('август 2025'!$G$2:$G$2407,'август 2025'!$D$2:$D$2407,$B161,'август 2025'!$J$2:$J$2407,F$1)</f>
        <v>0</v>
      </c>
      <c r="G161" s="76">
        <f>SUMIFS('август 2025'!$G$2:$G$2407,'август 2025'!$D$2:$D$2407,$B161,'август 2025'!$J$2:$J$2407,G$1)</f>
        <v>0</v>
      </c>
      <c r="H161" s="76">
        <f>SUMIFS('август 2025'!$G$2:$G$2407,'август 2025'!$D$2:$D$2407,$B161,'август 2025'!$J$2:$J$2407,H$1)</f>
        <v>0</v>
      </c>
      <c r="I161" s="76">
        <f>SUMIFS('август 2025'!$G$2:$G$2407,'август 2025'!$D$2:$D$2407,$B161,'август 2025'!$J$2:$J$2407,I$1)</f>
        <v>0</v>
      </c>
      <c r="J161" s="76">
        <f>SUMIFS('август 2025'!$G$2:$G$2407,'август 2025'!$D$2:$D$2407,$B161,'август 2025'!$J$2:$J$2407,J$1)</f>
        <v>0</v>
      </c>
      <c r="K161" s="76">
        <f>SUMIFS('август 2025'!$G$2:$G$2407,'август 2025'!$D$2:$D$2407,$B161,'август 2025'!$J$2:$J$2407,K$1)</f>
        <v>0</v>
      </c>
      <c r="L161" s="76">
        <f>SUMIFS('август 2025'!$G$2:$G$2407,'август 2025'!$D$2:$D$2407,$B161,'август 2025'!$J$2:$J$2407,L$1)</f>
        <v>0</v>
      </c>
      <c r="M161" s="76">
        <f>SUMIFS('август 2025'!$G$2:$G$2407,'август 2025'!$D$2:$D$2407,$B161,'август 2025'!$J$2:$J$2407,M$1)</f>
        <v>0</v>
      </c>
      <c r="N161" s="76">
        <f>SUMIFS('август 2025'!$G$2:$G$2407,'август 2025'!$D$2:$D$2407,$B161,'август 2025'!$J$2:$J$2407,N$1)</f>
        <v>0</v>
      </c>
      <c r="O161" s="76">
        <f>SUMIFS('август 2025'!$G$2:$G$2407,'август 2025'!$D$2:$D$2407,$B161,'август 2025'!$J$2:$J$2407,O$1)</f>
        <v>0</v>
      </c>
      <c r="P161" s="76">
        <f>SUMIFS('август 2025'!$G$2:$G$2407,'август 2025'!$D$2:$D$2407,$B161,'август 2025'!$J$2:$J$2407,P$1)</f>
        <v>0</v>
      </c>
      <c r="Q161" s="76">
        <f>SUMIFS('август 2025'!$G$2:$G$2407,'август 2025'!$D$2:$D$2407,$B161,'август 2025'!$J$2:$J$2407,Q$1)</f>
        <v>0</v>
      </c>
      <c r="R161" s="76">
        <f>SUMIFS('август 2025'!$G$2:$G$2407,'август 2025'!$D$2:$D$2407,$B161,'август 2025'!$J$2:$J$2407,R$1)</f>
        <v>0</v>
      </c>
      <c r="S161" s="76">
        <f>SUMIFS('август 2025'!$G$2:$G$2407,'август 2025'!$D$2:$D$2407,$B161,'август 2025'!$J$2:$J$2407,S$1)</f>
        <v>0</v>
      </c>
      <c r="T161" s="76">
        <f>SUMIFS('август 2025'!$G$2:$G$2407,'август 2025'!$D$2:$D$2407,$B161,'август 2025'!$J$2:$J$2407,T$1)</f>
        <v>0</v>
      </c>
      <c r="U161" s="76">
        <f>SUMIFS('август 2025'!$G$2:$G$2407,'август 2025'!$D$2:$D$2407,$B161,'август 2025'!$J$2:$J$2407,U$1)</f>
        <v>0</v>
      </c>
      <c r="V161" s="76">
        <f>SUMIFS('август 2025'!$G$2:$G$2407,'август 2025'!$D$2:$D$2407,$B161,'август 2025'!$J$2:$J$2407,V$1)</f>
        <v>0</v>
      </c>
      <c r="W161" s="76">
        <f>SUMIFS('август 2025'!$G$2:$G$2407,'август 2025'!$D$2:$D$2407,$B161,'август 2025'!$J$2:$J$2407,W$1)</f>
        <v>0</v>
      </c>
      <c r="X161" s="76">
        <f>SUMIFS('август 2025'!$G$2:$G$2407,'август 2025'!$D$2:$D$2407,$B161,'август 2025'!$J$2:$J$2407,X$1)</f>
        <v>0</v>
      </c>
      <c r="Y161" s="76">
        <f>SUMIFS('август 2025'!$G$2:$G$2407,'август 2025'!$D$2:$D$2407,$B161,'август 2025'!$J$2:$J$2407,Y$1)</f>
        <v>0</v>
      </c>
      <c r="Z161" s="76">
        <f>SUMIFS('август 2025'!$G$2:$G$2407,'август 2025'!$D$2:$D$2407,$B161,'август 2025'!$J$2:$J$2407,Z$1)</f>
        <v>0</v>
      </c>
      <c r="AA161" s="76">
        <f>SUMIFS('август 2025'!$G$2:$G$2407,'август 2025'!$D$2:$D$2407,$B161,'август 2025'!$J$2:$J$2407,AA$1)</f>
        <v>0</v>
      </c>
      <c r="AB161" s="76">
        <f>SUMIFS('август 2025'!$G$2:$G$2407,'август 2025'!$D$2:$D$2407,$B161,'август 2025'!$J$2:$J$2407,AB$1)</f>
        <v>0</v>
      </c>
      <c r="AC161" s="76">
        <f>SUMIFS('август 2025'!$G$2:$G$2407,'август 2025'!$D$2:$D$2407,$B161,'август 2025'!$J$2:$J$2407,AC$1)</f>
        <v>0</v>
      </c>
      <c r="AD161" s="76">
        <f>SUMIFS('август 2025'!$G$2:$G$2407,'август 2025'!$D$2:$D$2407,$B161,'август 2025'!$J$2:$J$2407,AD$1)</f>
        <v>0</v>
      </c>
      <c r="AE161" s="76">
        <f>SUMIFS('август 2025'!$G$2:$G$2407,'август 2025'!$D$2:$D$2407,$B161,'август 2025'!$J$2:$J$2407,AE$1)</f>
        <v>0</v>
      </c>
      <c r="AF161" s="76">
        <f>SUMIFS('август 2025'!$G$2:$G$2407,'август 2025'!$D$2:$D$2407,$B161,'август 2025'!$J$2:$J$2407,AF$1)</f>
        <v>0</v>
      </c>
      <c r="AG161" s="76">
        <f>SUMIFS('август 2025'!$G$2:$G$2407,'август 2025'!$D$2:$D$2407,$B161,'август 2025'!$J$2:$J$2407,AG$1)</f>
        <v>0</v>
      </c>
      <c r="AH161" s="76">
        <f>SUMIFS('август 2025'!$G$2:$G$2407,'август 2025'!$D$2:$D$2407,$B161,'август 2025'!$J$2:$J$2407,AH$1)</f>
        <v>0</v>
      </c>
      <c r="AI161" s="20">
        <f t="shared" si="1"/>
        <v>0</v>
      </c>
    </row>
    <row r="162" spans="2:35" ht="15" customHeight="1" x14ac:dyDescent="0.25">
      <c r="B162" s="84" t="s">
        <v>175</v>
      </c>
      <c r="C162" s="83">
        <v>25</v>
      </c>
      <c r="D162" s="76">
        <f>SUMIFS('август 2025'!$G$2:$G$2407,'август 2025'!$D$2:$D$2407,$B162,'август 2025'!$J$2:$J$2407,D$1)</f>
        <v>0</v>
      </c>
      <c r="E162" s="76">
        <f>SUMIFS('август 2025'!$G$2:$G$2407,'август 2025'!$D$2:$D$2407,$B162,'август 2025'!$J$2:$J$2407,E$1)</f>
        <v>0</v>
      </c>
      <c r="F162" s="76">
        <f>SUMIFS('август 2025'!$G$2:$G$2407,'август 2025'!$D$2:$D$2407,$B162,'август 2025'!$J$2:$J$2407,F$1)</f>
        <v>0</v>
      </c>
      <c r="G162" s="76">
        <f>SUMIFS('август 2025'!$G$2:$G$2407,'август 2025'!$D$2:$D$2407,$B162,'август 2025'!$J$2:$J$2407,G$1)</f>
        <v>0</v>
      </c>
      <c r="H162" s="76">
        <f>SUMIFS('август 2025'!$G$2:$G$2407,'август 2025'!$D$2:$D$2407,$B162,'август 2025'!$J$2:$J$2407,H$1)</f>
        <v>0</v>
      </c>
      <c r="I162" s="76">
        <f>SUMIFS('август 2025'!$G$2:$G$2407,'август 2025'!$D$2:$D$2407,$B162,'август 2025'!$J$2:$J$2407,I$1)</f>
        <v>0</v>
      </c>
      <c r="J162" s="76">
        <f>SUMIFS('август 2025'!$G$2:$G$2407,'август 2025'!$D$2:$D$2407,$B162,'август 2025'!$J$2:$J$2407,J$1)</f>
        <v>0</v>
      </c>
      <c r="K162" s="76">
        <f>SUMIFS('август 2025'!$G$2:$G$2407,'август 2025'!$D$2:$D$2407,$B162,'август 2025'!$J$2:$J$2407,K$1)</f>
        <v>0</v>
      </c>
      <c r="L162" s="76">
        <f>SUMIFS('август 2025'!$G$2:$G$2407,'август 2025'!$D$2:$D$2407,$B162,'август 2025'!$J$2:$J$2407,L$1)</f>
        <v>0</v>
      </c>
      <c r="M162" s="76">
        <f>SUMIFS('август 2025'!$G$2:$G$2407,'август 2025'!$D$2:$D$2407,$B162,'август 2025'!$J$2:$J$2407,M$1)</f>
        <v>0</v>
      </c>
      <c r="N162" s="76">
        <f>SUMIFS('август 2025'!$G$2:$G$2407,'август 2025'!$D$2:$D$2407,$B162,'август 2025'!$J$2:$J$2407,N$1)</f>
        <v>0</v>
      </c>
      <c r="O162" s="76">
        <f>SUMIFS('август 2025'!$G$2:$G$2407,'август 2025'!$D$2:$D$2407,$B162,'август 2025'!$J$2:$J$2407,O$1)</f>
        <v>0</v>
      </c>
      <c r="P162" s="76">
        <f>SUMIFS('август 2025'!$G$2:$G$2407,'август 2025'!$D$2:$D$2407,$B162,'август 2025'!$J$2:$J$2407,P$1)</f>
        <v>0</v>
      </c>
      <c r="Q162" s="76">
        <f>SUMIFS('август 2025'!$G$2:$G$2407,'август 2025'!$D$2:$D$2407,$B162,'август 2025'!$J$2:$J$2407,Q$1)</f>
        <v>0</v>
      </c>
      <c r="R162" s="76">
        <f>SUMIFS('август 2025'!$G$2:$G$2407,'август 2025'!$D$2:$D$2407,$B162,'август 2025'!$J$2:$J$2407,R$1)</f>
        <v>0</v>
      </c>
      <c r="S162" s="76">
        <f>SUMIFS('август 2025'!$G$2:$G$2407,'август 2025'!$D$2:$D$2407,$B162,'август 2025'!$J$2:$J$2407,S$1)</f>
        <v>0</v>
      </c>
      <c r="T162" s="76">
        <f>SUMIFS('август 2025'!$G$2:$G$2407,'август 2025'!$D$2:$D$2407,$B162,'август 2025'!$J$2:$J$2407,T$1)</f>
        <v>0</v>
      </c>
      <c r="U162" s="76">
        <f>SUMIFS('август 2025'!$G$2:$G$2407,'август 2025'!$D$2:$D$2407,$B162,'август 2025'!$J$2:$J$2407,U$1)</f>
        <v>0</v>
      </c>
      <c r="V162" s="76">
        <f>SUMIFS('август 2025'!$G$2:$G$2407,'август 2025'!$D$2:$D$2407,$B162,'август 2025'!$J$2:$J$2407,V$1)</f>
        <v>0</v>
      </c>
      <c r="W162" s="76">
        <f>SUMIFS('август 2025'!$G$2:$G$2407,'август 2025'!$D$2:$D$2407,$B162,'август 2025'!$J$2:$J$2407,W$1)</f>
        <v>0</v>
      </c>
      <c r="X162" s="76">
        <f>SUMIFS('август 2025'!$G$2:$G$2407,'август 2025'!$D$2:$D$2407,$B162,'август 2025'!$J$2:$J$2407,X$1)</f>
        <v>0</v>
      </c>
      <c r="Y162" s="76">
        <f>SUMIFS('август 2025'!$G$2:$G$2407,'август 2025'!$D$2:$D$2407,$B162,'август 2025'!$J$2:$J$2407,Y$1)</f>
        <v>0</v>
      </c>
      <c r="Z162" s="76">
        <f>SUMIFS('август 2025'!$G$2:$G$2407,'август 2025'!$D$2:$D$2407,$B162,'август 2025'!$J$2:$J$2407,Z$1)</f>
        <v>0</v>
      </c>
      <c r="AA162" s="76">
        <f>SUMIFS('август 2025'!$G$2:$G$2407,'август 2025'!$D$2:$D$2407,$B162,'август 2025'!$J$2:$J$2407,AA$1)</f>
        <v>0</v>
      </c>
      <c r="AB162" s="76">
        <f>SUMIFS('август 2025'!$G$2:$G$2407,'август 2025'!$D$2:$D$2407,$B162,'август 2025'!$J$2:$J$2407,AB$1)</f>
        <v>0</v>
      </c>
      <c r="AC162" s="76">
        <f>SUMIFS('август 2025'!$G$2:$G$2407,'август 2025'!$D$2:$D$2407,$B162,'август 2025'!$J$2:$J$2407,AC$1)</f>
        <v>0</v>
      </c>
      <c r="AD162" s="76">
        <f>SUMIFS('август 2025'!$G$2:$G$2407,'август 2025'!$D$2:$D$2407,$B162,'август 2025'!$J$2:$J$2407,AD$1)</f>
        <v>0</v>
      </c>
      <c r="AE162" s="76">
        <f>SUMIFS('август 2025'!$G$2:$G$2407,'август 2025'!$D$2:$D$2407,$B162,'август 2025'!$J$2:$J$2407,AE$1)</f>
        <v>0</v>
      </c>
      <c r="AF162" s="76">
        <f>SUMIFS('август 2025'!$G$2:$G$2407,'август 2025'!$D$2:$D$2407,$B162,'август 2025'!$J$2:$J$2407,AF$1)</f>
        <v>0</v>
      </c>
      <c r="AG162" s="76">
        <f>SUMIFS('август 2025'!$G$2:$G$2407,'август 2025'!$D$2:$D$2407,$B162,'август 2025'!$J$2:$J$2407,AG$1)</f>
        <v>0</v>
      </c>
      <c r="AH162" s="76">
        <f>SUMIFS('август 2025'!$G$2:$G$2407,'август 2025'!$D$2:$D$2407,$B162,'август 2025'!$J$2:$J$2407,AH$1)</f>
        <v>0</v>
      </c>
      <c r="AI162" s="20">
        <f t="shared" si="1"/>
        <v>0</v>
      </c>
    </row>
    <row r="163" spans="2:35" ht="15" customHeight="1" x14ac:dyDescent="0.25">
      <c r="B163" s="84" t="s">
        <v>176</v>
      </c>
      <c r="C163" s="83">
        <v>25</v>
      </c>
      <c r="D163" s="76">
        <f>SUMIFS('август 2025'!$G$2:$G$2407,'август 2025'!$D$2:$D$2407,$B163,'август 2025'!$J$2:$J$2407,D$1)</f>
        <v>0</v>
      </c>
      <c r="E163" s="76">
        <f>SUMIFS('август 2025'!$G$2:$G$2407,'август 2025'!$D$2:$D$2407,$B163,'август 2025'!$J$2:$J$2407,E$1)</f>
        <v>0</v>
      </c>
      <c r="F163" s="76">
        <f>SUMIFS('август 2025'!$G$2:$G$2407,'август 2025'!$D$2:$D$2407,$B163,'август 2025'!$J$2:$J$2407,F$1)</f>
        <v>0</v>
      </c>
      <c r="G163" s="76">
        <f>SUMIFS('август 2025'!$G$2:$G$2407,'август 2025'!$D$2:$D$2407,$B163,'август 2025'!$J$2:$J$2407,G$1)</f>
        <v>0</v>
      </c>
      <c r="H163" s="76">
        <f>SUMIFS('август 2025'!$G$2:$G$2407,'август 2025'!$D$2:$D$2407,$B163,'август 2025'!$J$2:$J$2407,H$1)</f>
        <v>0</v>
      </c>
      <c r="I163" s="76">
        <f>SUMIFS('август 2025'!$G$2:$G$2407,'август 2025'!$D$2:$D$2407,$B163,'август 2025'!$J$2:$J$2407,I$1)</f>
        <v>0</v>
      </c>
      <c r="J163" s="76">
        <f>SUMIFS('август 2025'!$G$2:$G$2407,'август 2025'!$D$2:$D$2407,$B163,'август 2025'!$J$2:$J$2407,J$1)</f>
        <v>0</v>
      </c>
      <c r="K163" s="76">
        <f>SUMIFS('август 2025'!$G$2:$G$2407,'август 2025'!$D$2:$D$2407,$B163,'август 2025'!$J$2:$J$2407,K$1)</f>
        <v>0</v>
      </c>
      <c r="L163" s="76">
        <f>SUMIFS('август 2025'!$G$2:$G$2407,'август 2025'!$D$2:$D$2407,$B163,'август 2025'!$J$2:$J$2407,L$1)</f>
        <v>0</v>
      </c>
      <c r="M163" s="76">
        <f>SUMIFS('август 2025'!$G$2:$G$2407,'август 2025'!$D$2:$D$2407,$B163,'август 2025'!$J$2:$J$2407,M$1)</f>
        <v>0</v>
      </c>
      <c r="N163" s="76">
        <f>SUMIFS('август 2025'!$G$2:$G$2407,'август 2025'!$D$2:$D$2407,$B163,'август 2025'!$J$2:$J$2407,N$1)</f>
        <v>0</v>
      </c>
      <c r="O163" s="76">
        <f>SUMIFS('август 2025'!$G$2:$G$2407,'август 2025'!$D$2:$D$2407,$B163,'август 2025'!$J$2:$J$2407,O$1)</f>
        <v>0</v>
      </c>
      <c r="P163" s="76">
        <f>SUMIFS('август 2025'!$G$2:$G$2407,'август 2025'!$D$2:$D$2407,$B163,'август 2025'!$J$2:$J$2407,P$1)</f>
        <v>0</v>
      </c>
      <c r="Q163" s="76">
        <f>SUMIFS('август 2025'!$G$2:$G$2407,'август 2025'!$D$2:$D$2407,$B163,'август 2025'!$J$2:$J$2407,Q$1)</f>
        <v>0</v>
      </c>
      <c r="R163" s="76">
        <f>SUMIFS('август 2025'!$G$2:$G$2407,'август 2025'!$D$2:$D$2407,$B163,'август 2025'!$J$2:$J$2407,R$1)</f>
        <v>0</v>
      </c>
      <c r="S163" s="76">
        <f>SUMIFS('август 2025'!$G$2:$G$2407,'август 2025'!$D$2:$D$2407,$B163,'август 2025'!$J$2:$J$2407,S$1)</f>
        <v>0</v>
      </c>
      <c r="T163" s="76">
        <f>SUMIFS('август 2025'!$G$2:$G$2407,'август 2025'!$D$2:$D$2407,$B163,'август 2025'!$J$2:$J$2407,T$1)</f>
        <v>0</v>
      </c>
      <c r="U163" s="76">
        <f>SUMIFS('август 2025'!$G$2:$G$2407,'август 2025'!$D$2:$D$2407,$B163,'август 2025'!$J$2:$J$2407,U$1)</f>
        <v>0</v>
      </c>
      <c r="V163" s="76">
        <f>SUMIFS('август 2025'!$G$2:$G$2407,'август 2025'!$D$2:$D$2407,$B163,'август 2025'!$J$2:$J$2407,V$1)</f>
        <v>0</v>
      </c>
      <c r="W163" s="76">
        <f>SUMIFS('август 2025'!$G$2:$G$2407,'август 2025'!$D$2:$D$2407,$B163,'август 2025'!$J$2:$J$2407,W$1)</f>
        <v>0</v>
      </c>
      <c r="X163" s="76">
        <f>SUMIFS('август 2025'!$G$2:$G$2407,'август 2025'!$D$2:$D$2407,$B163,'август 2025'!$J$2:$J$2407,X$1)</f>
        <v>0</v>
      </c>
      <c r="Y163" s="76">
        <f>SUMIFS('август 2025'!$G$2:$G$2407,'август 2025'!$D$2:$D$2407,$B163,'август 2025'!$J$2:$J$2407,Y$1)</f>
        <v>0</v>
      </c>
      <c r="Z163" s="76">
        <f>SUMIFS('август 2025'!$G$2:$G$2407,'август 2025'!$D$2:$D$2407,$B163,'август 2025'!$J$2:$J$2407,Z$1)</f>
        <v>0</v>
      </c>
      <c r="AA163" s="76">
        <f>SUMIFS('август 2025'!$G$2:$G$2407,'август 2025'!$D$2:$D$2407,$B163,'август 2025'!$J$2:$J$2407,AA$1)</f>
        <v>0</v>
      </c>
      <c r="AB163" s="76">
        <f>SUMIFS('август 2025'!$G$2:$G$2407,'август 2025'!$D$2:$D$2407,$B163,'август 2025'!$J$2:$J$2407,AB$1)</f>
        <v>0</v>
      </c>
      <c r="AC163" s="76">
        <f>SUMIFS('август 2025'!$G$2:$G$2407,'август 2025'!$D$2:$D$2407,$B163,'август 2025'!$J$2:$J$2407,AC$1)</f>
        <v>0</v>
      </c>
      <c r="AD163" s="76">
        <f>SUMIFS('август 2025'!$G$2:$G$2407,'август 2025'!$D$2:$D$2407,$B163,'август 2025'!$J$2:$J$2407,AD$1)</f>
        <v>0</v>
      </c>
      <c r="AE163" s="76">
        <f>SUMIFS('август 2025'!$G$2:$G$2407,'август 2025'!$D$2:$D$2407,$B163,'август 2025'!$J$2:$J$2407,AE$1)</f>
        <v>0</v>
      </c>
      <c r="AF163" s="76">
        <f>SUMIFS('август 2025'!$G$2:$G$2407,'август 2025'!$D$2:$D$2407,$B163,'август 2025'!$J$2:$J$2407,AF$1)</f>
        <v>0</v>
      </c>
      <c r="AG163" s="76">
        <f>SUMIFS('август 2025'!$G$2:$G$2407,'август 2025'!$D$2:$D$2407,$B163,'август 2025'!$J$2:$J$2407,AG$1)</f>
        <v>0</v>
      </c>
      <c r="AH163" s="76">
        <f>SUMIFS('август 2025'!$G$2:$G$2407,'август 2025'!$D$2:$D$2407,$B163,'август 2025'!$J$2:$J$2407,AH$1)</f>
        <v>0</v>
      </c>
      <c r="AI163" s="20">
        <f t="shared" si="1"/>
        <v>0</v>
      </c>
    </row>
    <row r="164" spans="2:35" ht="15" customHeight="1" x14ac:dyDescent="0.25">
      <c r="B164" s="84" t="s">
        <v>201</v>
      </c>
      <c r="C164" s="83">
        <v>25</v>
      </c>
      <c r="D164" s="76">
        <f>SUMIFS('август 2025'!$G$2:$G$2407,'август 2025'!$D$2:$D$2407,$B164,'август 2025'!$J$2:$J$2407,D$1)</f>
        <v>0</v>
      </c>
      <c r="E164" s="76">
        <f>SUMIFS('август 2025'!$G$2:$G$2407,'август 2025'!$D$2:$D$2407,$B164,'август 2025'!$J$2:$J$2407,E$1)</f>
        <v>0</v>
      </c>
      <c r="F164" s="76">
        <f>SUMIFS('август 2025'!$G$2:$G$2407,'август 2025'!$D$2:$D$2407,$B164,'август 2025'!$J$2:$J$2407,F$1)</f>
        <v>0</v>
      </c>
      <c r="G164" s="76">
        <f>SUMIFS('август 2025'!$G$2:$G$2407,'август 2025'!$D$2:$D$2407,$B164,'август 2025'!$J$2:$J$2407,G$1)</f>
        <v>0</v>
      </c>
      <c r="H164" s="76">
        <f>SUMIFS('август 2025'!$G$2:$G$2407,'август 2025'!$D$2:$D$2407,$B164,'август 2025'!$J$2:$J$2407,H$1)</f>
        <v>0</v>
      </c>
      <c r="I164" s="76">
        <f>SUMIFS('август 2025'!$G$2:$G$2407,'август 2025'!$D$2:$D$2407,$B164,'август 2025'!$J$2:$J$2407,I$1)</f>
        <v>0</v>
      </c>
      <c r="J164" s="76">
        <f>SUMIFS('август 2025'!$G$2:$G$2407,'август 2025'!$D$2:$D$2407,$B164,'август 2025'!$J$2:$J$2407,J$1)</f>
        <v>0</v>
      </c>
      <c r="K164" s="76">
        <f>SUMIFS('август 2025'!$G$2:$G$2407,'август 2025'!$D$2:$D$2407,$B164,'август 2025'!$J$2:$J$2407,K$1)</f>
        <v>0</v>
      </c>
      <c r="L164" s="76">
        <f>SUMIFS('август 2025'!$G$2:$G$2407,'август 2025'!$D$2:$D$2407,$B164,'август 2025'!$J$2:$J$2407,L$1)</f>
        <v>0</v>
      </c>
      <c r="M164" s="76">
        <f>SUMIFS('август 2025'!$G$2:$G$2407,'август 2025'!$D$2:$D$2407,$B164,'август 2025'!$J$2:$J$2407,M$1)</f>
        <v>0</v>
      </c>
      <c r="N164" s="76">
        <f>SUMIFS('август 2025'!$G$2:$G$2407,'август 2025'!$D$2:$D$2407,$B164,'август 2025'!$J$2:$J$2407,N$1)</f>
        <v>0</v>
      </c>
      <c r="O164" s="76">
        <f>SUMIFS('август 2025'!$G$2:$G$2407,'август 2025'!$D$2:$D$2407,$B164,'август 2025'!$J$2:$J$2407,O$1)</f>
        <v>0</v>
      </c>
      <c r="P164" s="76">
        <f>SUMIFS('август 2025'!$G$2:$G$2407,'август 2025'!$D$2:$D$2407,$B164,'август 2025'!$J$2:$J$2407,P$1)</f>
        <v>0</v>
      </c>
      <c r="Q164" s="76">
        <f>SUMIFS('август 2025'!$G$2:$G$2407,'август 2025'!$D$2:$D$2407,$B164,'август 2025'!$J$2:$J$2407,Q$1)</f>
        <v>0</v>
      </c>
      <c r="R164" s="76">
        <f>SUMIFS('август 2025'!$G$2:$G$2407,'август 2025'!$D$2:$D$2407,$B164,'август 2025'!$J$2:$J$2407,R$1)</f>
        <v>0</v>
      </c>
      <c r="S164" s="76">
        <f>SUMIFS('август 2025'!$G$2:$G$2407,'август 2025'!$D$2:$D$2407,$B164,'август 2025'!$J$2:$J$2407,S$1)</f>
        <v>0</v>
      </c>
      <c r="T164" s="76">
        <f>SUMIFS('август 2025'!$G$2:$G$2407,'август 2025'!$D$2:$D$2407,$B164,'август 2025'!$J$2:$J$2407,T$1)</f>
        <v>0</v>
      </c>
      <c r="U164" s="76">
        <f>SUMIFS('август 2025'!$G$2:$G$2407,'август 2025'!$D$2:$D$2407,$B164,'август 2025'!$J$2:$J$2407,U$1)</f>
        <v>0</v>
      </c>
      <c r="V164" s="76">
        <f>SUMIFS('август 2025'!$G$2:$G$2407,'август 2025'!$D$2:$D$2407,$B164,'август 2025'!$J$2:$J$2407,V$1)</f>
        <v>0</v>
      </c>
      <c r="W164" s="76">
        <f>SUMIFS('август 2025'!$G$2:$G$2407,'август 2025'!$D$2:$D$2407,$B164,'август 2025'!$J$2:$J$2407,W$1)</f>
        <v>0</v>
      </c>
      <c r="X164" s="76">
        <f>SUMIFS('август 2025'!$G$2:$G$2407,'август 2025'!$D$2:$D$2407,$B164,'август 2025'!$J$2:$J$2407,X$1)</f>
        <v>0</v>
      </c>
      <c r="Y164" s="76">
        <f>SUMIFS('август 2025'!$G$2:$G$2407,'август 2025'!$D$2:$D$2407,$B164,'август 2025'!$J$2:$J$2407,Y$1)</f>
        <v>0</v>
      </c>
      <c r="Z164" s="76">
        <f>SUMIFS('август 2025'!$G$2:$G$2407,'август 2025'!$D$2:$D$2407,$B164,'август 2025'!$J$2:$J$2407,Z$1)</f>
        <v>0</v>
      </c>
      <c r="AA164" s="76">
        <f>SUMIFS('август 2025'!$G$2:$G$2407,'август 2025'!$D$2:$D$2407,$B164,'август 2025'!$J$2:$J$2407,AA$1)</f>
        <v>0</v>
      </c>
      <c r="AB164" s="76">
        <f>SUMIFS('август 2025'!$G$2:$G$2407,'август 2025'!$D$2:$D$2407,$B164,'август 2025'!$J$2:$J$2407,AB$1)</f>
        <v>0</v>
      </c>
      <c r="AC164" s="76">
        <f>SUMIFS('август 2025'!$G$2:$G$2407,'август 2025'!$D$2:$D$2407,$B164,'август 2025'!$J$2:$J$2407,AC$1)</f>
        <v>0</v>
      </c>
      <c r="AD164" s="76">
        <f>SUMIFS('август 2025'!$G$2:$G$2407,'август 2025'!$D$2:$D$2407,$B164,'август 2025'!$J$2:$J$2407,AD$1)</f>
        <v>0</v>
      </c>
      <c r="AE164" s="76">
        <f>SUMIFS('август 2025'!$G$2:$G$2407,'август 2025'!$D$2:$D$2407,$B164,'август 2025'!$J$2:$J$2407,AE$1)</f>
        <v>0</v>
      </c>
      <c r="AF164" s="76">
        <f>SUMIFS('август 2025'!$G$2:$G$2407,'август 2025'!$D$2:$D$2407,$B164,'август 2025'!$J$2:$J$2407,AF$1)</f>
        <v>0</v>
      </c>
      <c r="AG164" s="76">
        <f>SUMIFS('август 2025'!$G$2:$G$2407,'август 2025'!$D$2:$D$2407,$B164,'август 2025'!$J$2:$J$2407,AG$1)</f>
        <v>0</v>
      </c>
      <c r="AH164" s="76">
        <f>SUMIFS('август 2025'!$G$2:$G$2407,'август 2025'!$D$2:$D$2407,$B164,'август 2025'!$J$2:$J$2407,AH$1)</f>
        <v>0</v>
      </c>
      <c r="AI164" s="20">
        <f t="shared" si="1"/>
        <v>0</v>
      </c>
    </row>
    <row r="165" spans="2:35" ht="15" customHeight="1" x14ac:dyDescent="0.25">
      <c r="B165" s="84" t="s">
        <v>300</v>
      </c>
      <c r="C165" s="83">
        <v>200</v>
      </c>
      <c r="D165" s="76">
        <f>SUMIFS('август 2025'!$G$2:$G$2407,'август 2025'!$D$2:$D$2407,$B165,'август 2025'!$J$2:$J$2407,D$1)</f>
        <v>0</v>
      </c>
      <c r="E165" s="76">
        <f>SUMIFS('август 2025'!$G$2:$G$2407,'август 2025'!$D$2:$D$2407,$B165,'август 2025'!$J$2:$J$2407,E$1)</f>
        <v>0</v>
      </c>
      <c r="F165" s="76">
        <f>SUMIFS('август 2025'!$G$2:$G$2407,'август 2025'!$D$2:$D$2407,$B165,'август 2025'!$J$2:$J$2407,F$1)</f>
        <v>0</v>
      </c>
      <c r="G165" s="76">
        <f>SUMIFS('август 2025'!$G$2:$G$2407,'август 2025'!$D$2:$D$2407,$B165,'август 2025'!$J$2:$J$2407,G$1)</f>
        <v>0</v>
      </c>
      <c r="H165" s="76">
        <f>SUMIFS('август 2025'!$G$2:$G$2407,'август 2025'!$D$2:$D$2407,$B165,'август 2025'!$J$2:$J$2407,H$1)</f>
        <v>0</v>
      </c>
      <c r="I165" s="76">
        <f>SUMIFS('август 2025'!$G$2:$G$2407,'август 2025'!$D$2:$D$2407,$B165,'август 2025'!$J$2:$J$2407,I$1)</f>
        <v>0</v>
      </c>
      <c r="J165" s="76">
        <f>SUMIFS('август 2025'!$G$2:$G$2407,'август 2025'!$D$2:$D$2407,$B165,'август 2025'!$J$2:$J$2407,J$1)</f>
        <v>0</v>
      </c>
      <c r="K165" s="76">
        <f>SUMIFS('август 2025'!$G$2:$G$2407,'август 2025'!$D$2:$D$2407,$B165,'август 2025'!$J$2:$J$2407,K$1)</f>
        <v>0</v>
      </c>
      <c r="L165" s="76">
        <f>SUMIFS('август 2025'!$G$2:$G$2407,'август 2025'!$D$2:$D$2407,$B165,'август 2025'!$J$2:$J$2407,L$1)</f>
        <v>0</v>
      </c>
      <c r="M165" s="76">
        <f>SUMIFS('август 2025'!$G$2:$G$2407,'август 2025'!$D$2:$D$2407,$B165,'август 2025'!$J$2:$J$2407,M$1)</f>
        <v>0</v>
      </c>
      <c r="N165" s="76">
        <f>SUMIFS('август 2025'!$G$2:$G$2407,'август 2025'!$D$2:$D$2407,$B165,'август 2025'!$J$2:$J$2407,N$1)</f>
        <v>0</v>
      </c>
      <c r="O165" s="76">
        <f>SUMIFS('август 2025'!$G$2:$G$2407,'август 2025'!$D$2:$D$2407,$B165,'август 2025'!$J$2:$J$2407,O$1)</f>
        <v>0</v>
      </c>
      <c r="P165" s="76">
        <f>SUMIFS('август 2025'!$G$2:$G$2407,'август 2025'!$D$2:$D$2407,$B165,'август 2025'!$J$2:$J$2407,P$1)</f>
        <v>0</v>
      </c>
      <c r="Q165" s="76">
        <f>SUMIFS('август 2025'!$G$2:$G$2407,'август 2025'!$D$2:$D$2407,$B165,'август 2025'!$J$2:$J$2407,Q$1)</f>
        <v>0</v>
      </c>
      <c r="R165" s="76">
        <f>SUMIFS('август 2025'!$G$2:$G$2407,'август 2025'!$D$2:$D$2407,$B165,'август 2025'!$J$2:$J$2407,R$1)</f>
        <v>0</v>
      </c>
      <c r="S165" s="76">
        <f>SUMIFS('август 2025'!$G$2:$G$2407,'август 2025'!$D$2:$D$2407,$B165,'август 2025'!$J$2:$J$2407,S$1)</f>
        <v>0</v>
      </c>
      <c r="T165" s="76">
        <f>SUMIFS('август 2025'!$G$2:$G$2407,'август 2025'!$D$2:$D$2407,$B165,'август 2025'!$J$2:$J$2407,T$1)</f>
        <v>0</v>
      </c>
      <c r="U165" s="76">
        <f>SUMIFS('август 2025'!$G$2:$G$2407,'август 2025'!$D$2:$D$2407,$B165,'август 2025'!$J$2:$J$2407,U$1)</f>
        <v>0</v>
      </c>
      <c r="V165" s="76">
        <f>SUMIFS('август 2025'!$G$2:$G$2407,'август 2025'!$D$2:$D$2407,$B165,'август 2025'!$J$2:$J$2407,V$1)</f>
        <v>0</v>
      </c>
      <c r="W165" s="76">
        <f>SUMIFS('август 2025'!$G$2:$G$2407,'август 2025'!$D$2:$D$2407,$B165,'август 2025'!$J$2:$J$2407,W$1)</f>
        <v>0</v>
      </c>
      <c r="X165" s="76">
        <f>SUMIFS('август 2025'!$G$2:$G$2407,'август 2025'!$D$2:$D$2407,$B165,'август 2025'!$J$2:$J$2407,X$1)</f>
        <v>0</v>
      </c>
      <c r="Y165" s="76">
        <f>SUMIFS('август 2025'!$G$2:$G$2407,'август 2025'!$D$2:$D$2407,$B165,'август 2025'!$J$2:$J$2407,Y$1)</f>
        <v>0</v>
      </c>
      <c r="Z165" s="76">
        <f>SUMIFS('август 2025'!$G$2:$G$2407,'август 2025'!$D$2:$D$2407,$B165,'август 2025'!$J$2:$J$2407,Z$1)</f>
        <v>0</v>
      </c>
      <c r="AA165" s="76">
        <f>SUMIFS('август 2025'!$G$2:$G$2407,'август 2025'!$D$2:$D$2407,$B165,'август 2025'!$J$2:$J$2407,AA$1)</f>
        <v>0</v>
      </c>
      <c r="AB165" s="76">
        <f>SUMIFS('август 2025'!$G$2:$G$2407,'август 2025'!$D$2:$D$2407,$B165,'август 2025'!$J$2:$J$2407,AB$1)</f>
        <v>0</v>
      </c>
      <c r="AC165" s="76">
        <f>SUMIFS('август 2025'!$G$2:$G$2407,'август 2025'!$D$2:$D$2407,$B165,'август 2025'!$J$2:$J$2407,AC$1)</f>
        <v>0</v>
      </c>
      <c r="AD165" s="76">
        <f>SUMIFS('август 2025'!$G$2:$G$2407,'август 2025'!$D$2:$D$2407,$B165,'август 2025'!$J$2:$J$2407,AD$1)</f>
        <v>0</v>
      </c>
      <c r="AE165" s="76">
        <f>SUMIFS('август 2025'!$G$2:$G$2407,'август 2025'!$D$2:$D$2407,$B165,'август 2025'!$J$2:$J$2407,AE$1)</f>
        <v>0</v>
      </c>
      <c r="AF165" s="76">
        <f>SUMIFS('август 2025'!$G$2:$G$2407,'август 2025'!$D$2:$D$2407,$B165,'август 2025'!$J$2:$J$2407,AF$1)</f>
        <v>0</v>
      </c>
      <c r="AG165" s="76">
        <f>SUMIFS('август 2025'!$G$2:$G$2407,'август 2025'!$D$2:$D$2407,$B165,'август 2025'!$J$2:$J$2407,AG$1)</f>
        <v>0</v>
      </c>
      <c r="AH165" s="76">
        <f>SUMIFS('август 2025'!$G$2:$G$2407,'август 2025'!$D$2:$D$2407,$B165,'август 2025'!$J$2:$J$2407,AH$1)</f>
        <v>0</v>
      </c>
      <c r="AI165" s="20">
        <f>SUM(D165:AH165)</f>
        <v>0</v>
      </c>
    </row>
    <row r="166" spans="2:35" ht="15" customHeight="1" x14ac:dyDescent="0.25">
      <c r="B166" s="84" t="s">
        <v>307</v>
      </c>
      <c r="C166" s="83">
        <v>175</v>
      </c>
      <c r="D166" s="76">
        <f>SUMIFS('август 2025'!$G$2:$G$2407,'август 2025'!$D$2:$D$2407,$B166,'август 2025'!$J$2:$J$2407,D$1)</f>
        <v>0</v>
      </c>
      <c r="E166" s="76">
        <f>SUMIFS('август 2025'!$G$2:$G$2407,'август 2025'!$D$2:$D$2407,$B166,'август 2025'!$J$2:$J$2407,E$1)</f>
        <v>0</v>
      </c>
      <c r="F166" s="76">
        <f>SUMIFS('август 2025'!$G$2:$G$2407,'август 2025'!$D$2:$D$2407,$B166,'август 2025'!$J$2:$J$2407,F$1)</f>
        <v>0</v>
      </c>
      <c r="G166" s="76">
        <f>SUMIFS('август 2025'!$G$2:$G$2407,'август 2025'!$D$2:$D$2407,$B166,'август 2025'!$J$2:$J$2407,G$1)</f>
        <v>0</v>
      </c>
      <c r="H166" s="76">
        <f>SUMIFS('август 2025'!$G$2:$G$2407,'август 2025'!$D$2:$D$2407,$B166,'август 2025'!$J$2:$J$2407,H$1)</f>
        <v>0</v>
      </c>
      <c r="I166" s="76">
        <f>SUMIFS('август 2025'!$G$2:$G$2407,'август 2025'!$D$2:$D$2407,$B166,'август 2025'!$J$2:$J$2407,I$1)</f>
        <v>0</v>
      </c>
      <c r="J166" s="76">
        <f>SUMIFS('август 2025'!$G$2:$G$2407,'август 2025'!$D$2:$D$2407,$B166,'август 2025'!$J$2:$J$2407,J$1)</f>
        <v>0</v>
      </c>
      <c r="K166" s="76">
        <f>SUMIFS('август 2025'!$G$2:$G$2407,'август 2025'!$D$2:$D$2407,$B166,'август 2025'!$J$2:$J$2407,K$1)</f>
        <v>0</v>
      </c>
      <c r="L166" s="76">
        <f>SUMIFS('август 2025'!$G$2:$G$2407,'август 2025'!$D$2:$D$2407,$B166,'август 2025'!$J$2:$J$2407,L$1)</f>
        <v>0</v>
      </c>
      <c r="M166" s="76">
        <f>SUMIFS('август 2025'!$G$2:$G$2407,'август 2025'!$D$2:$D$2407,$B166,'август 2025'!$J$2:$J$2407,M$1)</f>
        <v>0</v>
      </c>
      <c r="N166" s="76">
        <f>SUMIFS('август 2025'!$G$2:$G$2407,'август 2025'!$D$2:$D$2407,$B166,'август 2025'!$J$2:$J$2407,N$1)</f>
        <v>0</v>
      </c>
      <c r="O166" s="76">
        <f>SUMIFS('август 2025'!$G$2:$G$2407,'август 2025'!$D$2:$D$2407,$B166,'август 2025'!$J$2:$J$2407,O$1)</f>
        <v>0</v>
      </c>
      <c r="P166" s="76">
        <f>SUMIFS('август 2025'!$G$2:$G$2407,'август 2025'!$D$2:$D$2407,$B166,'август 2025'!$J$2:$J$2407,P$1)</f>
        <v>0</v>
      </c>
      <c r="Q166" s="76">
        <f>SUMIFS('август 2025'!$G$2:$G$2407,'август 2025'!$D$2:$D$2407,$B166,'август 2025'!$J$2:$J$2407,Q$1)</f>
        <v>0</v>
      </c>
      <c r="R166" s="76">
        <f>SUMIFS('август 2025'!$G$2:$G$2407,'август 2025'!$D$2:$D$2407,$B166,'август 2025'!$J$2:$J$2407,R$1)</f>
        <v>0</v>
      </c>
      <c r="S166" s="76">
        <f>SUMIFS('август 2025'!$G$2:$G$2407,'август 2025'!$D$2:$D$2407,$B166,'август 2025'!$J$2:$J$2407,S$1)</f>
        <v>0</v>
      </c>
      <c r="T166" s="76">
        <f>SUMIFS('август 2025'!$G$2:$G$2407,'август 2025'!$D$2:$D$2407,$B166,'август 2025'!$J$2:$J$2407,T$1)</f>
        <v>0</v>
      </c>
      <c r="U166" s="76">
        <f>SUMIFS('август 2025'!$G$2:$G$2407,'август 2025'!$D$2:$D$2407,$B166,'август 2025'!$J$2:$J$2407,U$1)</f>
        <v>0</v>
      </c>
      <c r="V166" s="76">
        <f>SUMIFS('август 2025'!$G$2:$G$2407,'август 2025'!$D$2:$D$2407,$B166,'август 2025'!$J$2:$J$2407,V$1)</f>
        <v>0</v>
      </c>
      <c r="W166" s="76">
        <f>SUMIFS('август 2025'!$G$2:$G$2407,'август 2025'!$D$2:$D$2407,$B166,'август 2025'!$J$2:$J$2407,W$1)</f>
        <v>0</v>
      </c>
      <c r="X166" s="76">
        <f>SUMIFS('август 2025'!$G$2:$G$2407,'август 2025'!$D$2:$D$2407,$B166,'август 2025'!$J$2:$J$2407,X$1)</f>
        <v>0</v>
      </c>
      <c r="Y166" s="76">
        <f>SUMIFS('август 2025'!$G$2:$G$2407,'август 2025'!$D$2:$D$2407,$B166,'август 2025'!$J$2:$J$2407,Y$1)</f>
        <v>0</v>
      </c>
      <c r="Z166" s="76">
        <f>SUMIFS('август 2025'!$G$2:$G$2407,'август 2025'!$D$2:$D$2407,$B166,'август 2025'!$J$2:$J$2407,Z$1)</f>
        <v>0</v>
      </c>
      <c r="AA166" s="76">
        <f>SUMIFS('август 2025'!$G$2:$G$2407,'август 2025'!$D$2:$D$2407,$B166,'август 2025'!$J$2:$J$2407,AA$1)</f>
        <v>0</v>
      </c>
      <c r="AB166" s="76">
        <f>SUMIFS('август 2025'!$G$2:$G$2407,'август 2025'!$D$2:$D$2407,$B166,'август 2025'!$J$2:$J$2407,AB$1)</f>
        <v>0</v>
      </c>
      <c r="AC166" s="76">
        <f>SUMIFS('август 2025'!$G$2:$G$2407,'август 2025'!$D$2:$D$2407,$B166,'август 2025'!$J$2:$J$2407,AC$1)</f>
        <v>0</v>
      </c>
      <c r="AD166" s="76">
        <f>SUMIFS('август 2025'!$G$2:$G$2407,'август 2025'!$D$2:$D$2407,$B166,'август 2025'!$J$2:$J$2407,AD$1)</f>
        <v>0</v>
      </c>
      <c r="AE166" s="76">
        <f>SUMIFS('август 2025'!$G$2:$G$2407,'август 2025'!$D$2:$D$2407,$B166,'август 2025'!$J$2:$J$2407,AE$1)</f>
        <v>0</v>
      </c>
      <c r="AF166" s="76">
        <f>SUMIFS('август 2025'!$G$2:$G$2407,'август 2025'!$D$2:$D$2407,$B166,'август 2025'!$J$2:$J$2407,AF$1)</f>
        <v>0</v>
      </c>
      <c r="AG166" s="76">
        <f>SUMIFS('август 2025'!$G$2:$G$2407,'август 2025'!$D$2:$D$2407,$B166,'август 2025'!$J$2:$J$2407,AG$1)</f>
        <v>0</v>
      </c>
      <c r="AH166" s="76">
        <f>SUMIFS('август 2025'!$G$2:$G$2407,'август 2025'!$D$2:$D$2407,$B166,'август 2025'!$J$2:$J$2407,AH$1)</f>
        <v>0</v>
      </c>
      <c r="AI166" s="20">
        <f>SUM(D166:AH166)</f>
        <v>0</v>
      </c>
    </row>
    <row r="167" spans="2:35" ht="15" customHeight="1" x14ac:dyDescent="0.25">
      <c r="B167" s="84" t="s">
        <v>324</v>
      </c>
      <c r="C167" s="83">
        <v>950</v>
      </c>
      <c r="D167" s="76">
        <f>SUMIFS('август 2025'!$G$2:$G$2407,'август 2025'!$D$2:$D$2407,$B167,'август 2025'!$J$2:$J$2407,D$1)</f>
        <v>0</v>
      </c>
      <c r="E167" s="76">
        <f>SUMIFS('август 2025'!$G$2:$G$2407,'август 2025'!$D$2:$D$2407,$B167,'август 2025'!$J$2:$J$2407,E$1)</f>
        <v>0</v>
      </c>
      <c r="F167" s="76">
        <f>SUMIFS('август 2025'!$G$2:$G$2407,'август 2025'!$D$2:$D$2407,$B167,'август 2025'!$J$2:$J$2407,F$1)</f>
        <v>0</v>
      </c>
      <c r="G167" s="76">
        <f>SUMIFS('август 2025'!$G$2:$G$2407,'август 2025'!$D$2:$D$2407,$B167,'август 2025'!$J$2:$J$2407,G$1)</f>
        <v>0</v>
      </c>
      <c r="H167" s="76">
        <f>SUMIFS('август 2025'!$G$2:$G$2407,'август 2025'!$D$2:$D$2407,$B167,'август 2025'!$J$2:$J$2407,H$1)</f>
        <v>0</v>
      </c>
      <c r="I167" s="76">
        <f>SUMIFS('август 2025'!$G$2:$G$2407,'август 2025'!$D$2:$D$2407,$B167,'август 2025'!$J$2:$J$2407,I$1)</f>
        <v>0</v>
      </c>
      <c r="J167" s="76">
        <f>SUMIFS('август 2025'!$G$2:$G$2407,'август 2025'!$D$2:$D$2407,$B167,'август 2025'!$J$2:$J$2407,J$1)</f>
        <v>0</v>
      </c>
      <c r="K167" s="76">
        <f>SUMIFS('август 2025'!$G$2:$G$2407,'август 2025'!$D$2:$D$2407,$B167,'август 2025'!$J$2:$J$2407,K$1)</f>
        <v>0</v>
      </c>
      <c r="L167" s="76">
        <f>SUMIFS('август 2025'!$G$2:$G$2407,'август 2025'!$D$2:$D$2407,$B167,'август 2025'!$J$2:$J$2407,L$1)</f>
        <v>0</v>
      </c>
      <c r="M167" s="76">
        <f>SUMIFS('август 2025'!$G$2:$G$2407,'август 2025'!$D$2:$D$2407,$B167,'август 2025'!$J$2:$J$2407,M$1)</f>
        <v>0</v>
      </c>
      <c r="N167" s="76">
        <f>SUMIFS('август 2025'!$G$2:$G$2407,'август 2025'!$D$2:$D$2407,$B167,'август 2025'!$J$2:$J$2407,N$1)</f>
        <v>0</v>
      </c>
      <c r="O167" s="76">
        <f>SUMIFS('август 2025'!$G$2:$G$2407,'август 2025'!$D$2:$D$2407,$B167,'август 2025'!$J$2:$J$2407,O$1)</f>
        <v>0</v>
      </c>
      <c r="P167" s="76">
        <f>SUMIFS('август 2025'!$G$2:$G$2407,'август 2025'!$D$2:$D$2407,$B167,'август 2025'!$J$2:$J$2407,P$1)</f>
        <v>0</v>
      </c>
      <c r="Q167" s="76">
        <f>SUMIFS('август 2025'!$G$2:$G$2407,'август 2025'!$D$2:$D$2407,$B167,'август 2025'!$J$2:$J$2407,Q$1)</f>
        <v>20</v>
      </c>
      <c r="R167" s="76">
        <f>SUMIFS('август 2025'!$G$2:$G$2407,'август 2025'!$D$2:$D$2407,$B167,'август 2025'!$J$2:$J$2407,R$1)</f>
        <v>0</v>
      </c>
      <c r="S167" s="76">
        <f>SUMIFS('август 2025'!$G$2:$G$2407,'август 2025'!$D$2:$D$2407,$B167,'август 2025'!$J$2:$J$2407,S$1)</f>
        <v>0</v>
      </c>
      <c r="T167" s="76">
        <f>SUMIFS('август 2025'!$G$2:$G$2407,'август 2025'!$D$2:$D$2407,$B167,'август 2025'!$J$2:$J$2407,T$1)</f>
        <v>0</v>
      </c>
      <c r="U167" s="76">
        <f>SUMIFS('август 2025'!$G$2:$G$2407,'август 2025'!$D$2:$D$2407,$B167,'август 2025'!$J$2:$J$2407,U$1)</f>
        <v>0</v>
      </c>
      <c r="V167" s="76">
        <f>SUMIFS('август 2025'!$G$2:$G$2407,'август 2025'!$D$2:$D$2407,$B167,'август 2025'!$J$2:$J$2407,V$1)</f>
        <v>0</v>
      </c>
      <c r="W167" s="76">
        <f>SUMIFS('август 2025'!$G$2:$G$2407,'август 2025'!$D$2:$D$2407,$B167,'август 2025'!$J$2:$J$2407,W$1)</f>
        <v>0</v>
      </c>
      <c r="X167" s="76">
        <f>SUMIFS('август 2025'!$G$2:$G$2407,'август 2025'!$D$2:$D$2407,$B167,'август 2025'!$J$2:$J$2407,X$1)</f>
        <v>0</v>
      </c>
      <c r="Y167" s="76">
        <f>SUMIFS('август 2025'!$G$2:$G$2407,'август 2025'!$D$2:$D$2407,$B167,'август 2025'!$J$2:$J$2407,Y$1)</f>
        <v>0</v>
      </c>
      <c r="Z167" s="76">
        <f>SUMIFS('август 2025'!$G$2:$G$2407,'август 2025'!$D$2:$D$2407,$B167,'август 2025'!$J$2:$J$2407,Z$1)</f>
        <v>0</v>
      </c>
      <c r="AA167" s="76">
        <f>SUMIFS('август 2025'!$G$2:$G$2407,'август 2025'!$D$2:$D$2407,$B167,'август 2025'!$J$2:$J$2407,AA$1)</f>
        <v>0</v>
      </c>
      <c r="AB167" s="76">
        <f>SUMIFS('август 2025'!$G$2:$G$2407,'август 2025'!$D$2:$D$2407,$B167,'август 2025'!$J$2:$J$2407,AB$1)</f>
        <v>0</v>
      </c>
      <c r="AC167" s="76">
        <f>SUMIFS('август 2025'!$G$2:$G$2407,'август 2025'!$D$2:$D$2407,$B167,'август 2025'!$J$2:$J$2407,AC$1)</f>
        <v>0</v>
      </c>
      <c r="AD167" s="76">
        <f>SUMIFS('август 2025'!$G$2:$G$2407,'август 2025'!$D$2:$D$2407,$B167,'август 2025'!$J$2:$J$2407,AD$1)</f>
        <v>0</v>
      </c>
      <c r="AE167" s="76">
        <f>SUMIFS('август 2025'!$G$2:$G$2407,'август 2025'!$D$2:$D$2407,$B167,'август 2025'!$J$2:$J$2407,AE$1)</f>
        <v>0</v>
      </c>
      <c r="AF167" s="76">
        <f>SUMIFS('август 2025'!$G$2:$G$2407,'август 2025'!$D$2:$D$2407,$B167,'август 2025'!$J$2:$J$2407,AF$1)</f>
        <v>0</v>
      </c>
      <c r="AG167" s="76">
        <f>SUMIFS('август 2025'!$G$2:$G$2407,'август 2025'!$D$2:$D$2407,$B167,'август 2025'!$J$2:$J$2407,AG$1)</f>
        <v>0</v>
      </c>
      <c r="AH167" s="76">
        <f>SUMIFS('август 2025'!$G$2:$G$2407,'август 2025'!$D$2:$D$2407,$B167,'август 2025'!$J$2:$J$2407,AH$1)</f>
        <v>0</v>
      </c>
      <c r="AI167" s="20">
        <f t="shared" ref="AI167:AI170" si="3">SUM(D167:AH167)</f>
        <v>20</v>
      </c>
    </row>
    <row r="168" spans="2:35" ht="15" customHeight="1" x14ac:dyDescent="0.25">
      <c r="B168" s="84" t="s">
        <v>322</v>
      </c>
      <c r="C168" s="83">
        <v>200</v>
      </c>
      <c r="D168" s="76">
        <f>SUMIFS('август 2025'!$G$2:$G$2407,'август 2025'!$D$2:$D$2407,$B168,'август 2025'!$J$2:$J$2407,D$1)</f>
        <v>0</v>
      </c>
      <c r="E168" s="76">
        <f>SUMIFS('август 2025'!$G$2:$G$2407,'август 2025'!$D$2:$D$2407,$B168,'август 2025'!$J$2:$J$2407,E$1)</f>
        <v>0</v>
      </c>
      <c r="F168" s="76">
        <f>SUMIFS('август 2025'!$G$2:$G$2407,'август 2025'!$D$2:$D$2407,$B168,'август 2025'!$J$2:$J$2407,F$1)</f>
        <v>0</v>
      </c>
      <c r="G168" s="76">
        <f>SUMIFS('август 2025'!$G$2:$G$2407,'август 2025'!$D$2:$D$2407,$B168,'август 2025'!$J$2:$J$2407,G$1)</f>
        <v>0</v>
      </c>
      <c r="H168" s="76">
        <f>SUMIFS('август 2025'!$G$2:$G$2407,'август 2025'!$D$2:$D$2407,$B168,'август 2025'!$J$2:$J$2407,H$1)</f>
        <v>0</v>
      </c>
      <c r="I168" s="76">
        <f>SUMIFS('август 2025'!$G$2:$G$2407,'август 2025'!$D$2:$D$2407,$B168,'август 2025'!$J$2:$J$2407,I$1)</f>
        <v>0</v>
      </c>
      <c r="J168" s="76">
        <f>SUMIFS('август 2025'!$G$2:$G$2407,'август 2025'!$D$2:$D$2407,$B168,'август 2025'!$J$2:$J$2407,J$1)</f>
        <v>0</v>
      </c>
      <c r="K168" s="76">
        <f>SUMIFS('август 2025'!$G$2:$G$2407,'август 2025'!$D$2:$D$2407,$B168,'август 2025'!$J$2:$J$2407,K$1)</f>
        <v>0</v>
      </c>
      <c r="L168" s="76">
        <f>SUMIFS('август 2025'!$G$2:$G$2407,'август 2025'!$D$2:$D$2407,$B168,'август 2025'!$J$2:$J$2407,L$1)</f>
        <v>0</v>
      </c>
      <c r="M168" s="76">
        <f>SUMIFS('август 2025'!$G$2:$G$2407,'август 2025'!$D$2:$D$2407,$B168,'август 2025'!$J$2:$J$2407,M$1)</f>
        <v>0</v>
      </c>
      <c r="N168" s="76">
        <f>SUMIFS('август 2025'!$G$2:$G$2407,'август 2025'!$D$2:$D$2407,$B168,'август 2025'!$J$2:$J$2407,N$1)</f>
        <v>0</v>
      </c>
      <c r="O168" s="76">
        <f>SUMIFS('август 2025'!$G$2:$G$2407,'август 2025'!$D$2:$D$2407,$B168,'август 2025'!$J$2:$J$2407,O$1)</f>
        <v>0</v>
      </c>
      <c r="P168" s="76">
        <f>SUMIFS('август 2025'!$G$2:$G$2407,'август 2025'!$D$2:$D$2407,$B168,'август 2025'!$J$2:$J$2407,P$1)</f>
        <v>0</v>
      </c>
      <c r="Q168" s="76">
        <f>SUMIFS('август 2025'!$G$2:$G$2407,'август 2025'!$D$2:$D$2407,$B168,'август 2025'!$J$2:$J$2407,Q$1)</f>
        <v>0</v>
      </c>
      <c r="R168" s="76">
        <f>SUMIFS('август 2025'!$G$2:$G$2407,'август 2025'!$D$2:$D$2407,$B168,'август 2025'!$J$2:$J$2407,R$1)</f>
        <v>0</v>
      </c>
      <c r="S168" s="76">
        <f>SUMIFS('август 2025'!$G$2:$G$2407,'август 2025'!$D$2:$D$2407,$B168,'август 2025'!$J$2:$J$2407,S$1)</f>
        <v>0</v>
      </c>
      <c r="T168" s="76">
        <f>SUMIFS('август 2025'!$G$2:$G$2407,'август 2025'!$D$2:$D$2407,$B168,'август 2025'!$J$2:$J$2407,T$1)</f>
        <v>0</v>
      </c>
      <c r="U168" s="76">
        <f>SUMIFS('август 2025'!$G$2:$G$2407,'август 2025'!$D$2:$D$2407,$B168,'август 2025'!$J$2:$J$2407,U$1)</f>
        <v>0</v>
      </c>
      <c r="V168" s="76">
        <f>SUMIFS('август 2025'!$G$2:$G$2407,'август 2025'!$D$2:$D$2407,$B168,'август 2025'!$J$2:$J$2407,V$1)</f>
        <v>0</v>
      </c>
      <c r="W168" s="76">
        <f>SUMIFS('август 2025'!$G$2:$G$2407,'август 2025'!$D$2:$D$2407,$B168,'август 2025'!$J$2:$J$2407,W$1)</f>
        <v>0</v>
      </c>
      <c r="X168" s="76">
        <f>SUMIFS('август 2025'!$G$2:$G$2407,'август 2025'!$D$2:$D$2407,$B168,'август 2025'!$J$2:$J$2407,X$1)</f>
        <v>0</v>
      </c>
      <c r="Y168" s="76">
        <f>SUMIFS('август 2025'!$G$2:$G$2407,'август 2025'!$D$2:$D$2407,$B168,'август 2025'!$J$2:$J$2407,Y$1)</f>
        <v>0</v>
      </c>
      <c r="Z168" s="76">
        <f>SUMIFS('август 2025'!$G$2:$G$2407,'август 2025'!$D$2:$D$2407,$B168,'август 2025'!$J$2:$J$2407,Z$1)</f>
        <v>0</v>
      </c>
      <c r="AA168" s="76">
        <f>SUMIFS('август 2025'!$G$2:$G$2407,'август 2025'!$D$2:$D$2407,$B168,'август 2025'!$J$2:$J$2407,AA$1)</f>
        <v>0</v>
      </c>
      <c r="AB168" s="76">
        <f>SUMIFS('август 2025'!$G$2:$G$2407,'август 2025'!$D$2:$D$2407,$B168,'август 2025'!$J$2:$J$2407,AB$1)</f>
        <v>0</v>
      </c>
      <c r="AC168" s="76">
        <f>SUMIFS('август 2025'!$G$2:$G$2407,'август 2025'!$D$2:$D$2407,$B168,'август 2025'!$J$2:$J$2407,AC$1)</f>
        <v>0</v>
      </c>
      <c r="AD168" s="76">
        <f>SUMIFS('август 2025'!$G$2:$G$2407,'август 2025'!$D$2:$D$2407,$B168,'август 2025'!$J$2:$J$2407,AD$1)</f>
        <v>0</v>
      </c>
      <c r="AE168" s="76">
        <f>SUMIFS('август 2025'!$G$2:$G$2407,'август 2025'!$D$2:$D$2407,$B168,'август 2025'!$J$2:$J$2407,AE$1)</f>
        <v>0</v>
      </c>
      <c r="AF168" s="76">
        <f>SUMIFS('август 2025'!$G$2:$G$2407,'август 2025'!$D$2:$D$2407,$B168,'август 2025'!$J$2:$J$2407,AF$1)</f>
        <v>0</v>
      </c>
      <c r="AG168" s="76">
        <f>SUMIFS('август 2025'!$G$2:$G$2407,'август 2025'!$D$2:$D$2407,$B168,'август 2025'!$J$2:$J$2407,AG$1)</f>
        <v>0</v>
      </c>
      <c r="AH168" s="76">
        <f>SUMIFS('август 2025'!$G$2:$G$2407,'август 2025'!$D$2:$D$2407,$B168,'август 2025'!$J$2:$J$2407,AH$1)</f>
        <v>0</v>
      </c>
      <c r="AI168" s="20">
        <f t="shared" si="3"/>
        <v>0</v>
      </c>
    </row>
    <row r="169" spans="2:35" ht="15" customHeight="1" x14ac:dyDescent="0.25">
      <c r="B169" s="84" t="s">
        <v>810</v>
      </c>
      <c r="C169" s="83">
        <v>200</v>
      </c>
      <c r="D169" s="76">
        <f>SUMIFS('август 2025'!$G$2:$G$2407,'август 2025'!$D$2:$D$2407,$B169,'август 2025'!$J$2:$J$2407,D$1)</f>
        <v>0</v>
      </c>
      <c r="E169" s="76">
        <f>SUMIFS('август 2025'!$G$2:$G$2407,'август 2025'!$D$2:$D$2407,$B169,'август 2025'!$J$2:$J$2407,E$1)</f>
        <v>0</v>
      </c>
      <c r="F169" s="76">
        <f>SUMIFS('август 2025'!$G$2:$G$2407,'август 2025'!$D$2:$D$2407,$B169,'август 2025'!$J$2:$J$2407,F$1)</f>
        <v>0</v>
      </c>
      <c r="G169" s="76">
        <f>SUMIFS('август 2025'!$G$2:$G$2407,'август 2025'!$D$2:$D$2407,$B169,'август 2025'!$J$2:$J$2407,G$1)</f>
        <v>0</v>
      </c>
      <c r="H169" s="76">
        <f>SUMIFS('август 2025'!$G$2:$G$2407,'август 2025'!$D$2:$D$2407,$B169,'август 2025'!$J$2:$J$2407,H$1)</f>
        <v>0</v>
      </c>
      <c r="I169" s="76">
        <f>SUMIFS('август 2025'!$G$2:$G$2407,'август 2025'!$D$2:$D$2407,$B169,'август 2025'!$J$2:$J$2407,I$1)</f>
        <v>0</v>
      </c>
      <c r="J169" s="76">
        <f>SUMIFS('август 2025'!$G$2:$G$2407,'август 2025'!$D$2:$D$2407,$B169,'август 2025'!$J$2:$J$2407,J$1)</f>
        <v>0</v>
      </c>
      <c r="K169" s="76">
        <f>SUMIFS('август 2025'!$G$2:$G$2407,'август 2025'!$D$2:$D$2407,$B169,'август 2025'!$J$2:$J$2407,K$1)</f>
        <v>0</v>
      </c>
      <c r="L169" s="76">
        <f>SUMIFS('август 2025'!$G$2:$G$2407,'август 2025'!$D$2:$D$2407,$B169,'август 2025'!$J$2:$J$2407,L$1)</f>
        <v>0</v>
      </c>
      <c r="M169" s="76">
        <f>SUMIFS('август 2025'!$G$2:$G$2407,'август 2025'!$D$2:$D$2407,$B169,'август 2025'!$J$2:$J$2407,M$1)</f>
        <v>0</v>
      </c>
      <c r="N169" s="76">
        <f>SUMIFS('август 2025'!$G$2:$G$2407,'август 2025'!$D$2:$D$2407,$B169,'август 2025'!$J$2:$J$2407,N$1)</f>
        <v>0</v>
      </c>
      <c r="O169" s="76">
        <f>SUMIFS('август 2025'!$G$2:$G$2407,'август 2025'!$D$2:$D$2407,$B169,'август 2025'!$J$2:$J$2407,O$1)</f>
        <v>0</v>
      </c>
      <c r="P169" s="76">
        <f>SUMIFS('август 2025'!$G$2:$G$2407,'август 2025'!$D$2:$D$2407,$B169,'август 2025'!$J$2:$J$2407,P$1)</f>
        <v>0</v>
      </c>
      <c r="Q169" s="76">
        <f>SUMIFS('август 2025'!$G$2:$G$2407,'август 2025'!$D$2:$D$2407,$B169,'август 2025'!$J$2:$J$2407,Q$1)</f>
        <v>0</v>
      </c>
      <c r="R169" s="76">
        <f>SUMIFS('август 2025'!$G$2:$G$2407,'август 2025'!$D$2:$D$2407,$B169,'август 2025'!$J$2:$J$2407,R$1)</f>
        <v>0</v>
      </c>
      <c r="S169" s="76">
        <f>SUMIFS('август 2025'!$G$2:$G$2407,'август 2025'!$D$2:$D$2407,$B169,'август 2025'!$J$2:$J$2407,S$1)</f>
        <v>0</v>
      </c>
      <c r="T169" s="76">
        <f>SUMIFS('август 2025'!$G$2:$G$2407,'август 2025'!$D$2:$D$2407,$B169,'август 2025'!$J$2:$J$2407,T$1)</f>
        <v>0</v>
      </c>
      <c r="U169" s="76">
        <f>SUMIFS('август 2025'!$G$2:$G$2407,'август 2025'!$D$2:$D$2407,$B169,'август 2025'!$J$2:$J$2407,U$1)</f>
        <v>0</v>
      </c>
      <c r="V169" s="76">
        <f>SUMIFS('август 2025'!$G$2:$G$2407,'август 2025'!$D$2:$D$2407,$B169,'август 2025'!$J$2:$J$2407,V$1)</f>
        <v>0</v>
      </c>
      <c r="W169" s="76">
        <f>SUMIFS('август 2025'!$G$2:$G$2407,'август 2025'!$D$2:$D$2407,$B169,'август 2025'!$J$2:$J$2407,W$1)</f>
        <v>0</v>
      </c>
      <c r="X169" s="76">
        <f>SUMIFS('август 2025'!$G$2:$G$2407,'август 2025'!$D$2:$D$2407,$B169,'август 2025'!$J$2:$J$2407,X$1)</f>
        <v>0</v>
      </c>
      <c r="Y169" s="76">
        <f>SUMIFS('август 2025'!$G$2:$G$2407,'август 2025'!$D$2:$D$2407,$B169,'август 2025'!$J$2:$J$2407,Y$1)</f>
        <v>0</v>
      </c>
      <c r="Z169" s="76">
        <f>SUMIFS('август 2025'!$G$2:$G$2407,'август 2025'!$D$2:$D$2407,$B169,'август 2025'!$J$2:$J$2407,Z$1)</f>
        <v>0</v>
      </c>
      <c r="AA169" s="76">
        <f>SUMIFS('август 2025'!$G$2:$G$2407,'август 2025'!$D$2:$D$2407,$B169,'август 2025'!$J$2:$J$2407,AA$1)</f>
        <v>0</v>
      </c>
      <c r="AB169" s="76">
        <f>SUMIFS('август 2025'!$G$2:$G$2407,'август 2025'!$D$2:$D$2407,$B169,'август 2025'!$J$2:$J$2407,AB$1)</f>
        <v>0</v>
      </c>
      <c r="AC169" s="76">
        <f>SUMIFS('август 2025'!$G$2:$G$2407,'август 2025'!$D$2:$D$2407,$B169,'август 2025'!$J$2:$J$2407,AC$1)</f>
        <v>0</v>
      </c>
      <c r="AD169" s="76">
        <f>SUMIFS('август 2025'!$G$2:$G$2407,'август 2025'!$D$2:$D$2407,$B169,'август 2025'!$J$2:$J$2407,AD$1)</f>
        <v>0</v>
      </c>
      <c r="AE169" s="76">
        <f>SUMIFS('август 2025'!$G$2:$G$2407,'август 2025'!$D$2:$D$2407,$B169,'август 2025'!$J$2:$J$2407,AE$1)</f>
        <v>0</v>
      </c>
      <c r="AF169" s="76">
        <f>SUMIFS('август 2025'!$G$2:$G$2407,'август 2025'!$D$2:$D$2407,$B169,'август 2025'!$J$2:$J$2407,AF$1)</f>
        <v>0</v>
      </c>
      <c r="AG169" s="76">
        <f>SUMIFS('август 2025'!$G$2:$G$2407,'август 2025'!$D$2:$D$2407,$B169,'август 2025'!$J$2:$J$2407,AG$1)</f>
        <v>0</v>
      </c>
      <c r="AH169" s="76">
        <f>SUMIFS('август 2025'!$G$2:$G$2407,'август 2025'!$D$2:$D$2407,$B169,'август 2025'!$J$2:$J$2407,AH$1)</f>
        <v>0</v>
      </c>
      <c r="AI169" s="20">
        <f t="shared" si="3"/>
        <v>0</v>
      </c>
    </row>
    <row r="170" spans="2:35" ht="15" customHeight="1" x14ac:dyDescent="0.25">
      <c r="B170" s="84" t="s">
        <v>995</v>
      </c>
      <c r="C170" s="83">
        <v>200</v>
      </c>
      <c r="D170" s="76">
        <f>SUMIFS('август 2025'!$G$2:$G$2407,'август 2025'!$D$2:$D$2407,$B170,'август 2025'!$J$2:$J$2407,D$1)</f>
        <v>0</v>
      </c>
      <c r="E170" s="76">
        <f>SUMIFS('август 2025'!$G$2:$G$2407,'август 2025'!$D$2:$D$2407,$B170,'август 2025'!$J$2:$J$2407,E$1)</f>
        <v>0</v>
      </c>
      <c r="F170" s="76">
        <f>SUMIFS('август 2025'!$G$2:$G$2407,'август 2025'!$D$2:$D$2407,$B170,'август 2025'!$J$2:$J$2407,F$1)</f>
        <v>0</v>
      </c>
      <c r="G170" s="76">
        <f>SUMIFS('август 2025'!$G$2:$G$2407,'август 2025'!$D$2:$D$2407,$B170,'август 2025'!$J$2:$J$2407,G$1)</f>
        <v>0</v>
      </c>
      <c r="H170" s="76">
        <f>SUMIFS('август 2025'!$G$2:$G$2407,'август 2025'!$D$2:$D$2407,$B170,'август 2025'!$J$2:$J$2407,H$1)</f>
        <v>0</v>
      </c>
      <c r="I170" s="76">
        <f>SUMIFS('август 2025'!$G$2:$G$2407,'август 2025'!$D$2:$D$2407,$B170,'август 2025'!$J$2:$J$2407,I$1)</f>
        <v>0</v>
      </c>
      <c r="J170" s="76">
        <f>SUMIFS('август 2025'!$G$2:$G$2407,'август 2025'!$D$2:$D$2407,$B170,'август 2025'!$J$2:$J$2407,J$1)</f>
        <v>0</v>
      </c>
      <c r="K170" s="76">
        <f>SUMIFS('август 2025'!$G$2:$G$2407,'август 2025'!$D$2:$D$2407,$B170,'август 2025'!$J$2:$J$2407,K$1)</f>
        <v>0</v>
      </c>
      <c r="L170" s="76">
        <f>SUMIFS('август 2025'!$G$2:$G$2407,'август 2025'!$D$2:$D$2407,$B170,'август 2025'!$J$2:$J$2407,L$1)</f>
        <v>0</v>
      </c>
      <c r="M170" s="76">
        <f>SUMIFS('август 2025'!$G$2:$G$2407,'август 2025'!$D$2:$D$2407,$B170,'август 2025'!$J$2:$J$2407,M$1)</f>
        <v>0</v>
      </c>
      <c r="N170" s="76">
        <f>SUMIFS('август 2025'!$G$2:$G$2407,'август 2025'!$D$2:$D$2407,$B170,'август 2025'!$J$2:$J$2407,N$1)</f>
        <v>0</v>
      </c>
      <c r="O170" s="76">
        <f>SUMIFS('август 2025'!$G$2:$G$2407,'август 2025'!$D$2:$D$2407,$B170,'август 2025'!$J$2:$J$2407,O$1)</f>
        <v>0</v>
      </c>
      <c r="P170" s="76">
        <f>SUMIFS('август 2025'!$G$2:$G$2407,'август 2025'!$D$2:$D$2407,$B170,'август 2025'!$J$2:$J$2407,P$1)</f>
        <v>0</v>
      </c>
      <c r="Q170" s="76">
        <f>SUMIFS('август 2025'!$G$2:$G$2407,'август 2025'!$D$2:$D$2407,$B170,'август 2025'!$J$2:$J$2407,Q$1)</f>
        <v>0</v>
      </c>
      <c r="R170" s="76">
        <f>SUMIFS('август 2025'!$G$2:$G$2407,'август 2025'!$D$2:$D$2407,$B170,'август 2025'!$J$2:$J$2407,R$1)</f>
        <v>0</v>
      </c>
      <c r="S170" s="76">
        <f>SUMIFS('август 2025'!$G$2:$G$2407,'август 2025'!$D$2:$D$2407,$B170,'август 2025'!$J$2:$J$2407,S$1)</f>
        <v>0</v>
      </c>
      <c r="T170" s="76">
        <f>SUMIFS('август 2025'!$G$2:$G$2407,'август 2025'!$D$2:$D$2407,$B170,'август 2025'!$J$2:$J$2407,T$1)</f>
        <v>0</v>
      </c>
      <c r="U170" s="76">
        <f>SUMIFS('август 2025'!$G$2:$G$2407,'август 2025'!$D$2:$D$2407,$B170,'август 2025'!$J$2:$J$2407,U$1)</f>
        <v>0</v>
      </c>
      <c r="V170" s="76">
        <f>SUMIFS('август 2025'!$G$2:$G$2407,'август 2025'!$D$2:$D$2407,$B170,'август 2025'!$J$2:$J$2407,V$1)</f>
        <v>0</v>
      </c>
      <c r="W170" s="76">
        <f>SUMIFS('август 2025'!$G$2:$G$2407,'август 2025'!$D$2:$D$2407,$B170,'август 2025'!$J$2:$J$2407,W$1)</f>
        <v>0</v>
      </c>
      <c r="X170" s="76">
        <f>SUMIFS('август 2025'!$G$2:$G$2407,'август 2025'!$D$2:$D$2407,$B170,'август 2025'!$J$2:$J$2407,X$1)</f>
        <v>0</v>
      </c>
      <c r="Y170" s="76">
        <f>SUMIFS('август 2025'!$G$2:$G$2407,'август 2025'!$D$2:$D$2407,$B170,'август 2025'!$J$2:$J$2407,Y$1)</f>
        <v>5</v>
      </c>
      <c r="Z170" s="76">
        <f>SUMIFS('август 2025'!$G$2:$G$2407,'август 2025'!$D$2:$D$2407,$B170,'август 2025'!$J$2:$J$2407,Z$1)</f>
        <v>0</v>
      </c>
      <c r="AA170" s="76">
        <f>SUMIFS('август 2025'!$G$2:$G$2407,'август 2025'!$D$2:$D$2407,$B170,'август 2025'!$J$2:$J$2407,AA$1)</f>
        <v>0</v>
      </c>
      <c r="AB170" s="76">
        <f>SUMIFS('август 2025'!$G$2:$G$2407,'август 2025'!$D$2:$D$2407,$B170,'август 2025'!$J$2:$J$2407,AB$1)</f>
        <v>0</v>
      </c>
      <c r="AC170" s="76">
        <f>SUMIFS('август 2025'!$G$2:$G$2407,'август 2025'!$D$2:$D$2407,$B170,'август 2025'!$J$2:$J$2407,AC$1)</f>
        <v>0</v>
      </c>
      <c r="AD170" s="76">
        <f>SUMIFS('август 2025'!$G$2:$G$2407,'август 2025'!$D$2:$D$2407,$B170,'август 2025'!$J$2:$J$2407,AD$1)</f>
        <v>0</v>
      </c>
      <c r="AE170" s="76">
        <f>SUMIFS('август 2025'!$G$2:$G$2407,'август 2025'!$D$2:$D$2407,$B170,'август 2025'!$J$2:$J$2407,AE$1)</f>
        <v>0</v>
      </c>
      <c r="AF170" s="76">
        <f>SUMIFS('август 2025'!$G$2:$G$2407,'август 2025'!$D$2:$D$2407,$B170,'август 2025'!$J$2:$J$2407,AF$1)</f>
        <v>0</v>
      </c>
      <c r="AG170" s="76">
        <f>SUMIFS('август 2025'!$G$2:$G$2407,'август 2025'!$D$2:$D$2407,$B170,'август 2025'!$J$2:$J$2407,AG$1)</f>
        <v>0</v>
      </c>
      <c r="AH170" s="76">
        <f>SUMIFS('август 2025'!$G$2:$G$2407,'август 2025'!$D$2:$D$2407,$B170,'август 2025'!$J$2:$J$2407,AH$1)</f>
        <v>0</v>
      </c>
      <c r="AI170" s="20">
        <f t="shared" si="3"/>
        <v>5</v>
      </c>
    </row>
    <row r="171" spans="2:35" ht="15" customHeight="1" x14ac:dyDescent="0.25">
      <c r="B171" s="84"/>
      <c r="C171" s="83"/>
      <c r="D171" s="183">
        <f>SUMIFS('июнь 2025'!$G$5:$G$2470,'июнь 2025'!$D$5:$D$2470,$B171,'июнь 2025'!$J$5:$J$2470,D$1)</f>
        <v>0</v>
      </c>
      <c r="E171" s="183">
        <f>SUMIFS('июнь 2025'!$G$5:$G$2470,'июнь 2025'!$D$5:$D$2470,$B171,'июнь 2025'!$J$5:$J$2470,E$1)</f>
        <v>0</v>
      </c>
      <c r="F171" s="183">
        <f>SUMIFS('июнь 2025'!$G$5:$G$2470,'июнь 2025'!$D$5:$D$2470,$B171,'июнь 2025'!$J$5:$J$2470,F$1)</f>
        <v>0</v>
      </c>
      <c r="G171" s="183">
        <f>SUMIFS('июнь 2025'!$G$5:$G$2470,'июнь 2025'!$D$5:$D$2470,$B171,'июнь 2025'!$J$5:$J$2470,G$1)</f>
        <v>0</v>
      </c>
      <c r="H171" s="183">
        <f>SUMIFS('июнь 2025'!$G$5:$G$2470,'июнь 2025'!$D$5:$D$2470,$B171,'июнь 2025'!$J$5:$J$2470,H$1)</f>
        <v>0</v>
      </c>
      <c r="I171" s="183">
        <f>SUMIFS('июнь 2025'!$G$5:$G$2470,'июнь 2025'!$D$5:$D$2470,$B171,'июнь 2025'!$J$5:$J$2470,I$1)</f>
        <v>0</v>
      </c>
      <c r="J171" s="183">
        <f>SUMIFS('июнь 2025'!$G$5:$G$2470,'июнь 2025'!$D$5:$D$2470,$B171,'июнь 2025'!$J$5:$J$2470,J$1)</f>
        <v>0</v>
      </c>
      <c r="K171" s="183">
        <f>SUMIFS('июнь 2025'!$G$5:$G$2470,'июнь 2025'!$D$5:$D$2470,$B171,'июнь 2025'!$J$5:$J$2470,K$1)</f>
        <v>0</v>
      </c>
      <c r="L171" s="183">
        <f>SUMIFS('июнь 2025'!$G$5:$G$2470,'июнь 2025'!$D$5:$D$2470,$B171,'июнь 2025'!$J$5:$J$2470,L$1)</f>
        <v>0</v>
      </c>
      <c r="M171" s="183">
        <f>SUMIFS('июнь 2025'!$G$5:$G$2470,'июнь 2025'!$D$5:$D$2470,$B171,'июнь 2025'!$J$5:$J$2470,M$1)</f>
        <v>0</v>
      </c>
      <c r="N171" s="183">
        <f>SUMIFS('июнь 2025'!$G$5:$G$2470,'июнь 2025'!$D$5:$D$2470,$B171,'июнь 2025'!$J$5:$J$2470,N$1)</f>
        <v>0</v>
      </c>
      <c r="O171" s="183">
        <f>SUMIFS('июнь 2025'!$G$5:$G$2470,'июнь 2025'!$D$5:$D$2470,$B171,'июнь 2025'!$J$5:$J$2470,O$1)</f>
        <v>0</v>
      </c>
      <c r="P171" s="183">
        <f>SUMIFS('июнь 2025'!$G$5:$G$2470,'июнь 2025'!$D$5:$D$2470,$B171,'июнь 2025'!$J$5:$J$2470,P$1)</f>
        <v>0</v>
      </c>
      <c r="Q171" s="183">
        <f>SUMIFS('июнь 2025'!$G$5:$G$2470,'июнь 2025'!$D$5:$D$2470,$B171,'июнь 2025'!$J$5:$J$2470,Q$1)</f>
        <v>0</v>
      </c>
      <c r="R171" s="183">
        <f>SUMIFS('июнь 2025'!$G$5:$G$2470,'июнь 2025'!$D$5:$D$2470,$B171,'июнь 2025'!$J$5:$J$2470,R$1)</f>
        <v>0</v>
      </c>
      <c r="S171" s="183">
        <f>SUMIFS('июнь 2025'!$G$5:$G$2470,'июнь 2025'!$D$5:$D$2470,$B171,'июнь 2025'!$J$5:$J$2470,S$1)</f>
        <v>0</v>
      </c>
      <c r="T171" s="183">
        <f>SUMIFS('июнь 2025'!$G$5:$G$2470,'июнь 2025'!$D$5:$D$2470,$B171,'июнь 2025'!$J$5:$J$2470,T$1)</f>
        <v>0</v>
      </c>
      <c r="U171" s="183">
        <f>SUMIFS('июнь 2025'!$G$5:$G$2470,'июнь 2025'!$D$5:$D$2470,$B171,'июнь 2025'!$J$5:$J$2470,U$1)</f>
        <v>0</v>
      </c>
      <c r="V171" s="183">
        <f>SUMIFS('июнь 2025'!$G$5:$G$2470,'июнь 2025'!$D$5:$D$2470,$B171,'июнь 2025'!$J$5:$J$2470,V$1)</f>
        <v>0</v>
      </c>
      <c r="W171" s="183">
        <f>SUMIFS('июнь 2025'!$G$5:$G$2470,'июнь 2025'!$D$5:$D$2470,$B171,'июнь 2025'!$J$5:$J$2470,W$1)</f>
        <v>0</v>
      </c>
      <c r="X171" s="183">
        <f>SUMIFS('июнь 2025'!$G$5:$G$2470,'июнь 2025'!$D$5:$D$2470,$B171,'июнь 2025'!$J$5:$J$2470,X$1)</f>
        <v>0</v>
      </c>
      <c r="Y171" s="183">
        <f>SUMIFS('июнь 2025'!$G$5:$G$2470,'июнь 2025'!$D$5:$D$2470,$B171,'июнь 2025'!$J$5:$J$2470,Y$1)</f>
        <v>0</v>
      </c>
      <c r="Z171" s="183">
        <f>SUMIFS('июнь 2025'!$G$5:$G$2470,'июнь 2025'!$D$5:$D$2470,$B171,'июнь 2025'!$J$5:$J$2470,Z$1)</f>
        <v>0</v>
      </c>
      <c r="AA171" s="183">
        <f>SUMIFS('июнь 2025'!$G$5:$G$2470,'июнь 2025'!$D$5:$D$2470,$B171,'июнь 2025'!$J$5:$J$2470,AA$1)</f>
        <v>0</v>
      </c>
      <c r="AB171" s="183">
        <f>SUMIFS('июнь 2025'!$G$5:$G$2470,'июнь 2025'!$D$5:$D$2470,$B171,'июнь 2025'!$J$5:$J$2470,AB$1)</f>
        <v>0</v>
      </c>
      <c r="AC171" s="183">
        <f>SUMIFS('июнь 2025'!$G$5:$G$2470,'июнь 2025'!$D$5:$D$2470,$B171,'июнь 2025'!$J$5:$J$2470,AC$1)</f>
        <v>0</v>
      </c>
      <c r="AD171" s="183">
        <f>SUMIFS('июнь 2025'!$G$5:$G$2470,'июнь 2025'!$D$5:$D$2470,$B171,'июнь 2025'!$J$5:$J$2470,AD$1)</f>
        <v>0</v>
      </c>
      <c r="AE171" s="183">
        <f>SUMIFS('июнь 2025'!$G$5:$G$2470,'июнь 2025'!$D$5:$D$2470,$B171,'июнь 2025'!$J$5:$J$2470,AE$1)</f>
        <v>0</v>
      </c>
      <c r="AF171" s="183">
        <f>SUMIFS('июнь 2025'!$G$5:$G$2470,'июнь 2025'!$D$5:$D$2470,$B171,'июнь 2025'!$J$5:$J$2470,AF$1)</f>
        <v>0</v>
      </c>
      <c r="AG171" s="183">
        <f>SUMIFS('июнь 2025'!$G$5:$G$2470,'июнь 2025'!$D$5:$D$2470,$B171,'июнь 2025'!$J$5:$J$2470,AG$1)</f>
        <v>0</v>
      </c>
      <c r="AH171" s="183">
        <f>SUMIFS('июнь 2025'!$G$5:$G$2470,'июнь 2025'!$D$5:$D$2470,$B171,'июнь 2025'!$J$5:$J$2470,AH$1)</f>
        <v>0</v>
      </c>
      <c r="AI171" s="20"/>
    </row>
    <row r="172" spans="2:35" ht="15" customHeight="1" x14ac:dyDescent="0.25">
      <c r="B172" s="84"/>
      <c r="C172" s="83"/>
      <c r="D172" s="183">
        <f>SUMIFS('июнь 2025'!$G$5:$G$2470,'июнь 2025'!$D$5:$D$2470,$B172,'июнь 2025'!$J$5:$J$2470,D$1)</f>
        <v>0</v>
      </c>
      <c r="E172" s="183">
        <f>SUMIFS('июнь 2025'!$G$5:$G$2470,'июнь 2025'!$D$5:$D$2470,$B172,'июнь 2025'!$J$5:$J$2470,E$1)</f>
        <v>0</v>
      </c>
      <c r="F172" s="183">
        <f>SUMIFS('июнь 2025'!$G$5:$G$2470,'июнь 2025'!$D$5:$D$2470,$B172,'июнь 2025'!$J$5:$J$2470,F$1)</f>
        <v>0</v>
      </c>
      <c r="G172" s="183">
        <f>SUMIFS('июнь 2025'!$G$5:$G$2470,'июнь 2025'!$D$5:$D$2470,$B172,'июнь 2025'!$J$5:$J$2470,G$1)</f>
        <v>0</v>
      </c>
      <c r="H172" s="183">
        <f>SUMIFS('июнь 2025'!$G$5:$G$2470,'июнь 2025'!$D$5:$D$2470,$B172,'июнь 2025'!$J$5:$J$2470,H$1)</f>
        <v>0</v>
      </c>
      <c r="I172" s="183">
        <f>SUMIFS('июнь 2025'!$G$5:$G$2470,'июнь 2025'!$D$5:$D$2470,$B172,'июнь 2025'!$J$5:$J$2470,I$1)</f>
        <v>0</v>
      </c>
      <c r="J172" s="183">
        <f>SUMIFS('июнь 2025'!$G$5:$G$2470,'июнь 2025'!$D$5:$D$2470,$B172,'июнь 2025'!$J$5:$J$2470,J$1)</f>
        <v>0</v>
      </c>
      <c r="K172" s="183">
        <f>SUMIFS('июнь 2025'!$G$5:$G$2470,'июнь 2025'!$D$5:$D$2470,$B172,'июнь 2025'!$J$5:$J$2470,K$1)</f>
        <v>0</v>
      </c>
      <c r="L172" s="183">
        <f>SUMIFS('июнь 2025'!$G$5:$G$2470,'июнь 2025'!$D$5:$D$2470,$B172,'июнь 2025'!$J$5:$J$2470,L$1)</f>
        <v>0</v>
      </c>
      <c r="M172" s="183">
        <f>SUMIFS('июнь 2025'!$G$5:$G$2470,'июнь 2025'!$D$5:$D$2470,$B172,'июнь 2025'!$J$5:$J$2470,M$1)</f>
        <v>0</v>
      </c>
      <c r="N172" s="183">
        <f>SUMIFS('июнь 2025'!$G$5:$G$2470,'июнь 2025'!$D$5:$D$2470,$B172,'июнь 2025'!$J$5:$J$2470,N$1)</f>
        <v>0</v>
      </c>
      <c r="O172" s="183">
        <f>SUMIFS('июнь 2025'!$G$5:$G$2470,'июнь 2025'!$D$5:$D$2470,$B172,'июнь 2025'!$J$5:$J$2470,O$1)</f>
        <v>0</v>
      </c>
      <c r="P172" s="183">
        <f>SUMIFS('июнь 2025'!$G$5:$G$2470,'июнь 2025'!$D$5:$D$2470,$B172,'июнь 2025'!$J$5:$J$2470,P$1)</f>
        <v>0</v>
      </c>
      <c r="Q172" s="183">
        <f>SUMIFS('июнь 2025'!$G$5:$G$2470,'июнь 2025'!$D$5:$D$2470,$B172,'июнь 2025'!$J$5:$J$2470,Q$1)</f>
        <v>0</v>
      </c>
      <c r="R172" s="183">
        <f>SUMIFS('июнь 2025'!$G$5:$G$2470,'июнь 2025'!$D$5:$D$2470,$B172,'июнь 2025'!$J$5:$J$2470,R$1)</f>
        <v>0</v>
      </c>
      <c r="S172" s="183">
        <f>SUMIFS('июнь 2025'!$G$5:$G$2470,'июнь 2025'!$D$5:$D$2470,$B172,'июнь 2025'!$J$5:$J$2470,S$1)</f>
        <v>0</v>
      </c>
      <c r="T172" s="183">
        <f>SUMIFS('июнь 2025'!$G$5:$G$2470,'июнь 2025'!$D$5:$D$2470,$B172,'июнь 2025'!$J$5:$J$2470,T$1)</f>
        <v>0</v>
      </c>
      <c r="U172" s="183">
        <f>SUMIFS('июнь 2025'!$G$5:$G$2470,'июнь 2025'!$D$5:$D$2470,$B172,'июнь 2025'!$J$5:$J$2470,U$1)</f>
        <v>0</v>
      </c>
      <c r="V172" s="183">
        <f>SUMIFS('июнь 2025'!$G$5:$G$2470,'июнь 2025'!$D$5:$D$2470,$B172,'июнь 2025'!$J$5:$J$2470,V$1)</f>
        <v>0</v>
      </c>
      <c r="W172" s="183">
        <f>SUMIFS('июнь 2025'!$G$5:$G$2470,'июнь 2025'!$D$5:$D$2470,$B172,'июнь 2025'!$J$5:$J$2470,W$1)</f>
        <v>0</v>
      </c>
      <c r="X172" s="183">
        <f>SUMIFS('июнь 2025'!$G$5:$G$2470,'июнь 2025'!$D$5:$D$2470,$B172,'июнь 2025'!$J$5:$J$2470,X$1)</f>
        <v>0</v>
      </c>
      <c r="Y172" s="183">
        <f>SUMIFS('июнь 2025'!$G$5:$G$2470,'июнь 2025'!$D$5:$D$2470,$B172,'июнь 2025'!$J$5:$J$2470,Y$1)</f>
        <v>0</v>
      </c>
      <c r="Z172" s="183">
        <f>SUMIFS('июнь 2025'!$G$5:$G$2470,'июнь 2025'!$D$5:$D$2470,$B172,'июнь 2025'!$J$5:$J$2470,Z$1)</f>
        <v>0</v>
      </c>
      <c r="AA172" s="183">
        <f>SUMIFS('июнь 2025'!$G$5:$G$2470,'июнь 2025'!$D$5:$D$2470,$B172,'июнь 2025'!$J$5:$J$2470,AA$1)</f>
        <v>0</v>
      </c>
      <c r="AB172" s="183">
        <f>SUMIFS('июнь 2025'!$G$5:$G$2470,'июнь 2025'!$D$5:$D$2470,$B172,'июнь 2025'!$J$5:$J$2470,AB$1)</f>
        <v>0</v>
      </c>
      <c r="AC172" s="183">
        <f>SUMIFS('июнь 2025'!$G$5:$G$2470,'июнь 2025'!$D$5:$D$2470,$B172,'июнь 2025'!$J$5:$J$2470,AC$1)</f>
        <v>0</v>
      </c>
      <c r="AD172" s="183">
        <f>SUMIFS('июнь 2025'!$G$5:$G$2470,'июнь 2025'!$D$5:$D$2470,$B172,'июнь 2025'!$J$5:$J$2470,AD$1)</f>
        <v>0</v>
      </c>
      <c r="AE172" s="183">
        <f>SUMIFS('июнь 2025'!$G$5:$G$2470,'июнь 2025'!$D$5:$D$2470,$B172,'июнь 2025'!$J$5:$J$2470,AE$1)</f>
        <v>0</v>
      </c>
      <c r="AF172" s="183">
        <f>SUMIFS('июнь 2025'!$G$5:$G$2470,'июнь 2025'!$D$5:$D$2470,$B172,'июнь 2025'!$J$5:$J$2470,AF$1)</f>
        <v>0</v>
      </c>
      <c r="AG172" s="183">
        <f>SUMIFS('июнь 2025'!$G$5:$G$2470,'июнь 2025'!$D$5:$D$2470,$B172,'июнь 2025'!$J$5:$J$2470,AG$1)</f>
        <v>0</v>
      </c>
      <c r="AH172" s="183">
        <f>SUMIFS('июнь 2025'!$G$5:$G$2470,'июнь 2025'!$D$5:$D$2470,$B172,'июнь 2025'!$J$5:$J$2470,AH$1)</f>
        <v>0</v>
      </c>
      <c r="AI172" s="20"/>
    </row>
    <row r="173" spans="2:35" ht="15" customHeight="1" x14ac:dyDescent="0.25">
      <c r="B173" s="84"/>
      <c r="C173" s="83"/>
      <c r="D173" s="183">
        <f>SUMIFS('июнь 2025'!$G$5:$G$2470,'июнь 2025'!$D$5:$D$2470,$B173,'июнь 2025'!$J$5:$J$2470,D$1)</f>
        <v>0</v>
      </c>
      <c r="E173" s="183">
        <f>SUMIFS('июнь 2025'!$G$5:$G$2470,'июнь 2025'!$D$5:$D$2470,$B173,'июнь 2025'!$J$5:$J$2470,E$1)</f>
        <v>0</v>
      </c>
      <c r="F173" s="183">
        <f>SUMIFS('июнь 2025'!$G$5:$G$2470,'июнь 2025'!$D$5:$D$2470,$B173,'июнь 2025'!$J$5:$J$2470,F$1)</f>
        <v>0</v>
      </c>
      <c r="G173" s="183">
        <f>SUMIFS('июнь 2025'!$G$5:$G$2470,'июнь 2025'!$D$5:$D$2470,$B173,'июнь 2025'!$J$5:$J$2470,G$1)</f>
        <v>0</v>
      </c>
      <c r="H173" s="183">
        <f>SUMIFS('июнь 2025'!$G$5:$G$2470,'июнь 2025'!$D$5:$D$2470,$B173,'июнь 2025'!$J$5:$J$2470,H$1)</f>
        <v>0</v>
      </c>
      <c r="I173" s="183">
        <f>SUMIFS('июнь 2025'!$G$5:$G$2470,'июнь 2025'!$D$5:$D$2470,$B173,'июнь 2025'!$J$5:$J$2470,I$1)</f>
        <v>0</v>
      </c>
      <c r="J173" s="183">
        <f>SUMIFS('июнь 2025'!$G$5:$G$2470,'июнь 2025'!$D$5:$D$2470,$B173,'июнь 2025'!$J$5:$J$2470,J$1)</f>
        <v>0</v>
      </c>
      <c r="K173" s="183">
        <f>SUMIFS('июнь 2025'!$G$5:$G$2470,'июнь 2025'!$D$5:$D$2470,$B173,'июнь 2025'!$J$5:$J$2470,K$1)</f>
        <v>0</v>
      </c>
      <c r="L173" s="183">
        <f>SUMIFS('июнь 2025'!$G$5:$G$2470,'июнь 2025'!$D$5:$D$2470,$B173,'июнь 2025'!$J$5:$J$2470,L$1)</f>
        <v>0</v>
      </c>
      <c r="M173" s="183">
        <f>SUMIFS('июнь 2025'!$G$5:$G$2470,'июнь 2025'!$D$5:$D$2470,$B173,'июнь 2025'!$J$5:$J$2470,M$1)</f>
        <v>0</v>
      </c>
      <c r="N173" s="183">
        <f>SUMIFS('июнь 2025'!$G$5:$G$2470,'июнь 2025'!$D$5:$D$2470,$B173,'июнь 2025'!$J$5:$J$2470,N$1)</f>
        <v>0</v>
      </c>
      <c r="O173" s="183">
        <f>SUMIFS('июнь 2025'!$G$5:$G$2470,'июнь 2025'!$D$5:$D$2470,$B173,'июнь 2025'!$J$5:$J$2470,O$1)</f>
        <v>0</v>
      </c>
      <c r="P173" s="183">
        <f>SUMIFS('июнь 2025'!$G$5:$G$2470,'июнь 2025'!$D$5:$D$2470,$B173,'июнь 2025'!$J$5:$J$2470,P$1)</f>
        <v>0</v>
      </c>
      <c r="Q173" s="183">
        <f>SUMIFS('июнь 2025'!$G$5:$G$2470,'июнь 2025'!$D$5:$D$2470,$B173,'июнь 2025'!$J$5:$J$2470,Q$1)</f>
        <v>0</v>
      </c>
      <c r="R173" s="183">
        <f>SUMIFS('июнь 2025'!$G$5:$G$2470,'июнь 2025'!$D$5:$D$2470,$B173,'июнь 2025'!$J$5:$J$2470,R$1)</f>
        <v>0</v>
      </c>
      <c r="S173" s="183">
        <f>SUMIFS('июнь 2025'!$G$5:$G$2470,'июнь 2025'!$D$5:$D$2470,$B173,'июнь 2025'!$J$5:$J$2470,S$1)</f>
        <v>0</v>
      </c>
      <c r="T173" s="183">
        <f>SUMIFS('июнь 2025'!$G$5:$G$2470,'июнь 2025'!$D$5:$D$2470,$B173,'июнь 2025'!$J$5:$J$2470,T$1)</f>
        <v>0</v>
      </c>
      <c r="U173" s="183">
        <f>SUMIFS('июнь 2025'!$G$5:$G$2470,'июнь 2025'!$D$5:$D$2470,$B173,'июнь 2025'!$J$5:$J$2470,U$1)</f>
        <v>0</v>
      </c>
      <c r="V173" s="183">
        <f>SUMIFS('июнь 2025'!$G$5:$G$2470,'июнь 2025'!$D$5:$D$2470,$B173,'июнь 2025'!$J$5:$J$2470,V$1)</f>
        <v>0</v>
      </c>
      <c r="W173" s="183">
        <f>SUMIFS('июнь 2025'!$G$5:$G$2470,'июнь 2025'!$D$5:$D$2470,$B173,'июнь 2025'!$J$5:$J$2470,W$1)</f>
        <v>0</v>
      </c>
      <c r="X173" s="183">
        <f>SUMIFS('июнь 2025'!$G$5:$G$2470,'июнь 2025'!$D$5:$D$2470,$B173,'июнь 2025'!$J$5:$J$2470,X$1)</f>
        <v>0</v>
      </c>
      <c r="Y173" s="183">
        <f>SUMIFS('июнь 2025'!$G$5:$G$2470,'июнь 2025'!$D$5:$D$2470,$B173,'июнь 2025'!$J$5:$J$2470,Y$1)</f>
        <v>0</v>
      </c>
      <c r="Z173" s="183">
        <f>SUMIFS('июнь 2025'!$G$5:$G$2470,'июнь 2025'!$D$5:$D$2470,$B173,'июнь 2025'!$J$5:$J$2470,Z$1)</f>
        <v>0</v>
      </c>
      <c r="AA173" s="183">
        <f>SUMIFS('июнь 2025'!$G$5:$G$2470,'июнь 2025'!$D$5:$D$2470,$B173,'июнь 2025'!$J$5:$J$2470,AA$1)</f>
        <v>0</v>
      </c>
      <c r="AB173" s="183">
        <f>SUMIFS('июнь 2025'!$G$5:$G$2470,'июнь 2025'!$D$5:$D$2470,$B173,'июнь 2025'!$J$5:$J$2470,AB$1)</f>
        <v>0</v>
      </c>
      <c r="AC173" s="183">
        <f>SUMIFS('июнь 2025'!$G$5:$G$2470,'июнь 2025'!$D$5:$D$2470,$B173,'июнь 2025'!$J$5:$J$2470,AC$1)</f>
        <v>0</v>
      </c>
      <c r="AD173" s="183">
        <f>SUMIFS('июнь 2025'!$G$5:$G$2470,'июнь 2025'!$D$5:$D$2470,$B173,'июнь 2025'!$J$5:$J$2470,AD$1)</f>
        <v>0</v>
      </c>
      <c r="AE173" s="183">
        <f>SUMIFS('июнь 2025'!$G$5:$G$2470,'июнь 2025'!$D$5:$D$2470,$B173,'июнь 2025'!$J$5:$J$2470,AE$1)</f>
        <v>0</v>
      </c>
      <c r="AF173" s="183">
        <f>SUMIFS('июнь 2025'!$G$5:$G$2470,'июнь 2025'!$D$5:$D$2470,$B173,'июнь 2025'!$J$5:$J$2470,AF$1)</f>
        <v>0</v>
      </c>
      <c r="AG173" s="183">
        <f>SUMIFS('июнь 2025'!$G$5:$G$2470,'июнь 2025'!$D$5:$D$2470,$B173,'июнь 2025'!$J$5:$J$2470,AG$1)</f>
        <v>0</v>
      </c>
      <c r="AH173" s="183">
        <f>SUMIFS('июнь 2025'!$G$5:$G$2470,'июнь 2025'!$D$5:$D$2470,$B173,'июнь 2025'!$J$5:$J$2470,AH$1)</f>
        <v>0</v>
      </c>
      <c r="AI173" s="20"/>
    </row>
    <row r="174" spans="2:35" ht="15" customHeight="1" x14ac:dyDescent="0.25">
      <c r="B174" s="84"/>
      <c r="C174" s="83"/>
      <c r="D174" s="183">
        <f>SUMIFS('июнь 2025'!$G$5:$G$2470,'июнь 2025'!$D$5:$D$2470,$B174,'июнь 2025'!$J$5:$J$2470,D$1)</f>
        <v>0</v>
      </c>
      <c r="E174" s="183">
        <f>SUMIFS('июнь 2025'!$G$5:$G$2470,'июнь 2025'!$D$5:$D$2470,$B174,'июнь 2025'!$J$5:$J$2470,E$1)</f>
        <v>0</v>
      </c>
      <c r="F174" s="183">
        <f>SUMIFS('июнь 2025'!$G$5:$G$2470,'июнь 2025'!$D$5:$D$2470,$B174,'июнь 2025'!$J$5:$J$2470,F$1)</f>
        <v>0</v>
      </c>
      <c r="G174" s="183">
        <f>SUMIFS('июнь 2025'!$G$5:$G$2470,'июнь 2025'!$D$5:$D$2470,$B174,'июнь 2025'!$J$5:$J$2470,G$1)</f>
        <v>0</v>
      </c>
      <c r="H174" s="183">
        <f>SUMIFS('июнь 2025'!$G$5:$G$2470,'июнь 2025'!$D$5:$D$2470,$B174,'июнь 2025'!$J$5:$J$2470,H$1)</f>
        <v>0</v>
      </c>
      <c r="I174" s="183">
        <f>SUMIFS('июнь 2025'!$G$5:$G$2470,'июнь 2025'!$D$5:$D$2470,$B174,'июнь 2025'!$J$5:$J$2470,I$1)</f>
        <v>0</v>
      </c>
      <c r="J174" s="183">
        <f>SUMIFS('июнь 2025'!$G$5:$G$2470,'июнь 2025'!$D$5:$D$2470,$B174,'июнь 2025'!$J$5:$J$2470,J$1)</f>
        <v>0</v>
      </c>
      <c r="K174" s="183">
        <f>SUMIFS('июнь 2025'!$G$5:$G$2470,'июнь 2025'!$D$5:$D$2470,$B174,'июнь 2025'!$J$5:$J$2470,K$1)</f>
        <v>0</v>
      </c>
      <c r="L174" s="183">
        <f>SUMIFS('июнь 2025'!$G$5:$G$2470,'июнь 2025'!$D$5:$D$2470,$B174,'июнь 2025'!$J$5:$J$2470,L$1)</f>
        <v>0</v>
      </c>
      <c r="M174" s="183">
        <f>SUMIFS('июнь 2025'!$G$5:$G$2470,'июнь 2025'!$D$5:$D$2470,$B174,'июнь 2025'!$J$5:$J$2470,M$1)</f>
        <v>0</v>
      </c>
      <c r="N174" s="183">
        <f>SUMIFS('июнь 2025'!$G$5:$G$2470,'июнь 2025'!$D$5:$D$2470,$B174,'июнь 2025'!$J$5:$J$2470,N$1)</f>
        <v>0</v>
      </c>
      <c r="O174" s="183">
        <f>SUMIFS('июнь 2025'!$G$5:$G$2470,'июнь 2025'!$D$5:$D$2470,$B174,'июнь 2025'!$J$5:$J$2470,O$1)</f>
        <v>0</v>
      </c>
      <c r="P174" s="183">
        <f>SUMIFS('июнь 2025'!$G$5:$G$2470,'июнь 2025'!$D$5:$D$2470,$B174,'июнь 2025'!$J$5:$J$2470,P$1)</f>
        <v>0</v>
      </c>
      <c r="Q174" s="183">
        <f>SUMIFS('июнь 2025'!$G$5:$G$2470,'июнь 2025'!$D$5:$D$2470,$B174,'июнь 2025'!$J$5:$J$2470,Q$1)</f>
        <v>0</v>
      </c>
      <c r="R174" s="183">
        <f>SUMIFS('июнь 2025'!$G$5:$G$2470,'июнь 2025'!$D$5:$D$2470,$B174,'июнь 2025'!$J$5:$J$2470,R$1)</f>
        <v>0</v>
      </c>
      <c r="S174" s="183">
        <f>SUMIFS('июнь 2025'!$G$5:$G$2470,'июнь 2025'!$D$5:$D$2470,$B174,'июнь 2025'!$J$5:$J$2470,S$1)</f>
        <v>0</v>
      </c>
      <c r="T174" s="183">
        <f>SUMIFS('июнь 2025'!$G$5:$G$2470,'июнь 2025'!$D$5:$D$2470,$B174,'июнь 2025'!$J$5:$J$2470,T$1)</f>
        <v>0</v>
      </c>
      <c r="U174" s="183">
        <f>SUMIFS('июнь 2025'!$G$5:$G$2470,'июнь 2025'!$D$5:$D$2470,$B174,'июнь 2025'!$J$5:$J$2470,U$1)</f>
        <v>0</v>
      </c>
      <c r="V174" s="183">
        <f>SUMIFS('июнь 2025'!$G$5:$G$2470,'июнь 2025'!$D$5:$D$2470,$B174,'июнь 2025'!$J$5:$J$2470,V$1)</f>
        <v>0</v>
      </c>
      <c r="W174" s="183">
        <f>SUMIFS('июнь 2025'!$G$5:$G$2470,'июнь 2025'!$D$5:$D$2470,$B174,'июнь 2025'!$J$5:$J$2470,W$1)</f>
        <v>0</v>
      </c>
      <c r="X174" s="183">
        <f>SUMIFS('июнь 2025'!$G$5:$G$2470,'июнь 2025'!$D$5:$D$2470,$B174,'июнь 2025'!$J$5:$J$2470,X$1)</f>
        <v>0</v>
      </c>
      <c r="Y174" s="183">
        <f>SUMIFS('июнь 2025'!$G$5:$G$2470,'июнь 2025'!$D$5:$D$2470,$B174,'июнь 2025'!$J$5:$J$2470,Y$1)</f>
        <v>0</v>
      </c>
      <c r="Z174" s="183">
        <f>SUMIFS('июнь 2025'!$G$5:$G$2470,'июнь 2025'!$D$5:$D$2470,$B174,'июнь 2025'!$J$5:$J$2470,Z$1)</f>
        <v>0</v>
      </c>
      <c r="AA174" s="183">
        <f>SUMIFS('июнь 2025'!$G$5:$G$2470,'июнь 2025'!$D$5:$D$2470,$B174,'июнь 2025'!$J$5:$J$2470,AA$1)</f>
        <v>0</v>
      </c>
      <c r="AB174" s="183">
        <f>SUMIFS('июнь 2025'!$G$5:$G$2470,'июнь 2025'!$D$5:$D$2470,$B174,'июнь 2025'!$J$5:$J$2470,AB$1)</f>
        <v>0</v>
      </c>
      <c r="AC174" s="183">
        <f>SUMIFS('июнь 2025'!$G$5:$G$2470,'июнь 2025'!$D$5:$D$2470,$B174,'июнь 2025'!$J$5:$J$2470,AC$1)</f>
        <v>0</v>
      </c>
      <c r="AD174" s="183">
        <f>SUMIFS('июнь 2025'!$G$5:$G$2470,'июнь 2025'!$D$5:$D$2470,$B174,'июнь 2025'!$J$5:$J$2470,AD$1)</f>
        <v>0</v>
      </c>
      <c r="AE174" s="183">
        <f>SUMIFS('июнь 2025'!$G$5:$G$2470,'июнь 2025'!$D$5:$D$2470,$B174,'июнь 2025'!$J$5:$J$2470,AE$1)</f>
        <v>0</v>
      </c>
      <c r="AF174" s="183">
        <f>SUMIFS('июнь 2025'!$G$5:$G$2470,'июнь 2025'!$D$5:$D$2470,$B174,'июнь 2025'!$J$5:$J$2470,AF$1)</f>
        <v>0</v>
      </c>
      <c r="AG174" s="183">
        <f>SUMIFS('июнь 2025'!$G$5:$G$2470,'июнь 2025'!$D$5:$D$2470,$B174,'июнь 2025'!$J$5:$J$2470,AG$1)</f>
        <v>0</v>
      </c>
      <c r="AH174" s="183">
        <f>SUMIFS('июнь 2025'!$G$5:$G$2470,'июнь 2025'!$D$5:$D$2470,$B174,'июнь 2025'!$J$5:$J$2470,AH$1)</f>
        <v>0</v>
      </c>
      <c r="AI174" s="20"/>
    </row>
    <row r="175" spans="2:35" ht="15" customHeight="1" x14ac:dyDescent="0.25">
      <c r="B175" s="84"/>
      <c r="C175" s="83"/>
      <c r="D175" s="183">
        <f>SUMIFS('июнь 2025'!$G$5:$G$2470,'июнь 2025'!$D$5:$D$2470,$B175,'июнь 2025'!$J$5:$J$2470,D$1)</f>
        <v>0</v>
      </c>
      <c r="E175" s="183">
        <f>SUMIFS('июнь 2025'!$G$5:$G$2470,'июнь 2025'!$D$5:$D$2470,$B175,'июнь 2025'!$J$5:$J$2470,E$1)</f>
        <v>0</v>
      </c>
      <c r="F175" s="183">
        <f>SUMIFS('июнь 2025'!$G$5:$G$2470,'июнь 2025'!$D$5:$D$2470,$B175,'июнь 2025'!$J$5:$J$2470,F$1)</f>
        <v>0</v>
      </c>
      <c r="G175" s="183">
        <f>SUMIFS('июнь 2025'!$G$5:$G$2470,'июнь 2025'!$D$5:$D$2470,$B175,'июнь 2025'!$J$5:$J$2470,G$1)</f>
        <v>0</v>
      </c>
      <c r="H175" s="183">
        <f>SUMIFS('июнь 2025'!$G$5:$G$2470,'июнь 2025'!$D$5:$D$2470,$B175,'июнь 2025'!$J$5:$J$2470,H$1)</f>
        <v>0</v>
      </c>
      <c r="I175" s="183">
        <f>SUMIFS('июнь 2025'!$G$5:$G$2470,'июнь 2025'!$D$5:$D$2470,$B175,'июнь 2025'!$J$5:$J$2470,I$1)</f>
        <v>0</v>
      </c>
      <c r="J175" s="183">
        <f>SUMIFS('июнь 2025'!$G$5:$G$2470,'июнь 2025'!$D$5:$D$2470,$B175,'июнь 2025'!$J$5:$J$2470,J$1)</f>
        <v>0</v>
      </c>
      <c r="K175" s="183">
        <f>SUMIFS('июнь 2025'!$G$5:$G$2470,'июнь 2025'!$D$5:$D$2470,$B175,'июнь 2025'!$J$5:$J$2470,K$1)</f>
        <v>0</v>
      </c>
      <c r="L175" s="183">
        <f>SUMIFS('июнь 2025'!$G$5:$G$2470,'июнь 2025'!$D$5:$D$2470,$B175,'июнь 2025'!$J$5:$J$2470,L$1)</f>
        <v>0</v>
      </c>
      <c r="M175" s="183">
        <f>SUMIFS('июнь 2025'!$G$5:$G$2470,'июнь 2025'!$D$5:$D$2470,$B175,'июнь 2025'!$J$5:$J$2470,M$1)</f>
        <v>0</v>
      </c>
      <c r="N175" s="183">
        <f>SUMIFS('июнь 2025'!$G$5:$G$2470,'июнь 2025'!$D$5:$D$2470,$B175,'июнь 2025'!$J$5:$J$2470,N$1)</f>
        <v>0</v>
      </c>
      <c r="O175" s="183">
        <f>SUMIFS('июнь 2025'!$G$5:$G$2470,'июнь 2025'!$D$5:$D$2470,$B175,'июнь 2025'!$J$5:$J$2470,O$1)</f>
        <v>0</v>
      </c>
      <c r="P175" s="183">
        <f>SUMIFS('июнь 2025'!$G$5:$G$2470,'июнь 2025'!$D$5:$D$2470,$B175,'июнь 2025'!$J$5:$J$2470,P$1)</f>
        <v>0</v>
      </c>
      <c r="Q175" s="183">
        <f>SUMIFS('июнь 2025'!$G$5:$G$2470,'июнь 2025'!$D$5:$D$2470,$B175,'июнь 2025'!$J$5:$J$2470,Q$1)</f>
        <v>0</v>
      </c>
      <c r="R175" s="183">
        <f>SUMIFS('июнь 2025'!$G$5:$G$2470,'июнь 2025'!$D$5:$D$2470,$B175,'июнь 2025'!$J$5:$J$2470,R$1)</f>
        <v>0</v>
      </c>
      <c r="S175" s="183">
        <f>SUMIFS('июнь 2025'!$G$5:$G$2470,'июнь 2025'!$D$5:$D$2470,$B175,'июнь 2025'!$J$5:$J$2470,S$1)</f>
        <v>0</v>
      </c>
      <c r="T175" s="183">
        <f>SUMIFS('июнь 2025'!$G$5:$G$2470,'июнь 2025'!$D$5:$D$2470,$B175,'июнь 2025'!$J$5:$J$2470,T$1)</f>
        <v>0</v>
      </c>
      <c r="U175" s="183">
        <f>SUMIFS('июнь 2025'!$G$5:$G$2470,'июнь 2025'!$D$5:$D$2470,$B175,'июнь 2025'!$J$5:$J$2470,U$1)</f>
        <v>0</v>
      </c>
      <c r="V175" s="183">
        <f>SUMIFS('июнь 2025'!$G$5:$G$2470,'июнь 2025'!$D$5:$D$2470,$B175,'июнь 2025'!$J$5:$J$2470,V$1)</f>
        <v>0</v>
      </c>
      <c r="W175" s="183">
        <f>SUMIFS('июнь 2025'!$G$5:$G$2470,'июнь 2025'!$D$5:$D$2470,$B175,'июнь 2025'!$J$5:$J$2470,W$1)</f>
        <v>0</v>
      </c>
      <c r="X175" s="183">
        <f>SUMIFS('июнь 2025'!$G$5:$G$2470,'июнь 2025'!$D$5:$D$2470,$B175,'июнь 2025'!$J$5:$J$2470,X$1)</f>
        <v>0</v>
      </c>
      <c r="Y175" s="183">
        <f>SUMIFS('июнь 2025'!$G$5:$G$2470,'июнь 2025'!$D$5:$D$2470,$B175,'июнь 2025'!$J$5:$J$2470,Y$1)</f>
        <v>0</v>
      </c>
      <c r="Z175" s="183">
        <f>SUMIFS('июнь 2025'!$G$5:$G$2470,'июнь 2025'!$D$5:$D$2470,$B175,'июнь 2025'!$J$5:$J$2470,Z$1)</f>
        <v>0</v>
      </c>
      <c r="AA175" s="183">
        <f>SUMIFS('июнь 2025'!$G$5:$G$2470,'июнь 2025'!$D$5:$D$2470,$B175,'июнь 2025'!$J$5:$J$2470,AA$1)</f>
        <v>0</v>
      </c>
      <c r="AB175" s="183">
        <f>SUMIFS('июнь 2025'!$G$5:$G$2470,'июнь 2025'!$D$5:$D$2470,$B175,'июнь 2025'!$J$5:$J$2470,AB$1)</f>
        <v>0</v>
      </c>
      <c r="AC175" s="183">
        <f>SUMIFS('июнь 2025'!$G$5:$G$2470,'июнь 2025'!$D$5:$D$2470,$B175,'июнь 2025'!$J$5:$J$2470,AC$1)</f>
        <v>0</v>
      </c>
      <c r="AD175" s="183">
        <f>SUMIFS('июнь 2025'!$G$5:$G$2470,'июнь 2025'!$D$5:$D$2470,$B175,'июнь 2025'!$J$5:$J$2470,AD$1)</f>
        <v>0</v>
      </c>
      <c r="AE175" s="183">
        <f>SUMIFS('июнь 2025'!$G$5:$G$2470,'июнь 2025'!$D$5:$D$2470,$B175,'июнь 2025'!$J$5:$J$2470,AE$1)</f>
        <v>0</v>
      </c>
      <c r="AF175" s="183">
        <f>SUMIFS('июнь 2025'!$G$5:$G$2470,'июнь 2025'!$D$5:$D$2470,$B175,'июнь 2025'!$J$5:$J$2470,AF$1)</f>
        <v>0</v>
      </c>
      <c r="AG175" s="183">
        <f>SUMIFS('июнь 2025'!$G$5:$G$2470,'июнь 2025'!$D$5:$D$2470,$B175,'июнь 2025'!$J$5:$J$2470,AG$1)</f>
        <v>0</v>
      </c>
      <c r="AH175" s="183">
        <f>SUMIFS('июнь 2025'!$G$5:$G$2470,'июнь 2025'!$D$5:$D$2470,$B175,'июнь 2025'!$J$5:$J$2470,AH$1)</f>
        <v>0</v>
      </c>
      <c r="AI175" s="20"/>
    </row>
    <row r="176" spans="2:35" ht="15" customHeight="1" x14ac:dyDescent="0.25">
      <c r="B176" s="84"/>
      <c r="C176" s="83"/>
      <c r="D176" s="183"/>
      <c r="E176" s="183"/>
      <c r="F176" s="183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  <c r="AA176" s="183"/>
      <c r="AB176" s="183"/>
      <c r="AC176" s="183"/>
      <c r="AD176" s="183"/>
      <c r="AE176" s="183"/>
      <c r="AF176" s="183"/>
      <c r="AG176" s="183"/>
      <c r="AH176" s="183"/>
      <c r="AI176" s="20"/>
    </row>
    <row r="177" spans="2:35" ht="15" customHeight="1" x14ac:dyDescent="0.25">
      <c r="B177" s="84"/>
      <c r="C177" s="83"/>
      <c r="D177" s="183"/>
      <c r="E177" s="183"/>
      <c r="F177" s="183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  <c r="AA177" s="183"/>
      <c r="AB177" s="183"/>
      <c r="AC177" s="183"/>
      <c r="AD177" s="183"/>
      <c r="AE177" s="183"/>
      <c r="AF177" s="183"/>
      <c r="AG177" s="183"/>
      <c r="AH177" s="183"/>
      <c r="AI177" s="20"/>
    </row>
    <row r="178" spans="2:35" ht="15" customHeight="1" x14ac:dyDescent="0.25">
      <c r="B178" s="84"/>
      <c r="C178" s="83"/>
      <c r="D178" s="183"/>
      <c r="E178" s="183"/>
      <c r="F178" s="183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  <c r="AA178" s="183"/>
      <c r="AB178" s="183"/>
      <c r="AC178" s="183"/>
      <c r="AD178" s="183"/>
      <c r="AE178" s="183"/>
      <c r="AF178" s="183"/>
      <c r="AG178" s="183"/>
      <c r="AH178" s="183"/>
      <c r="AI178" s="20"/>
    </row>
    <row r="179" spans="2:35" ht="15" customHeight="1" x14ac:dyDescent="0.25">
      <c r="B179" s="84"/>
      <c r="C179" s="83"/>
      <c r="D179" s="183"/>
      <c r="E179" s="183"/>
      <c r="F179" s="183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  <c r="AA179" s="183"/>
      <c r="AB179" s="183"/>
      <c r="AC179" s="183"/>
      <c r="AD179" s="183"/>
      <c r="AE179" s="183"/>
      <c r="AF179" s="183"/>
      <c r="AG179" s="183"/>
      <c r="AH179" s="183"/>
      <c r="AI179" s="20"/>
    </row>
    <row r="180" spans="2:35" ht="15" customHeight="1" x14ac:dyDescent="0.25">
      <c r="B180" s="84"/>
      <c r="C180" s="83"/>
      <c r="D180" s="183"/>
      <c r="E180" s="183"/>
      <c r="F180" s="183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  <c r="AA180" s="183"/>
      <c r="AB180" s="183"/>
      <c r="AC180" s="183"/>
      <c r="AD180" s="183"/>
      <c r="AE180" s="183"/>
      <c r="AF180" s="183"/>
      <c r="AG180" s="183"/>
      <c r="AH180" s="183"/>
      <c r="AI180" s="20"/>
    </row>
    <row r="181" spans="2:35" ht="15" customHeight="1" x14ac:dyDescent="0.25">
      <c r="B181" s="84"/>
      <c r="C181" s="83"/>
      <c r="D181" s="183"/>
      <c r="E181" s="183"/>
      <c r="F181" s="183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  <c r="AA181" s="183"/>
      <c r="AB181" s="183"/>
      <c r="AC181" s="183"/>
      <c r="AD181" s="183"/>
      <c r="AE181" s="183"/>
      <c r="AF181" s="183"/>
      <c r="AG181" s="183"/>
      <c r="AH181" s="183"/>
      <c r="AI181" s="20"/>
    </row>
    <row r="182" spans="2:35" ht="15" customHeight="1" x14ac:dyDescent="0.25">
      <c r="B182" s="84"/>
      <c r="C182" s="83"/>
      <c r="D182" s="183"/>
      <c r="E182" s="183"/>
      <c r="F182" s="183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  <c r="AA182" s="183"/>
      <c r="AB182" s="183"/>
      <c r="AC182" s="183"/>
      <c r="AD182" s="183"/>
      <c r="AE182" s="183"/>
      <c r="AF182" s="183"/>
      <c r="AG182" s="183"/>
      <c r="AH182" s="183"/>
      <c r="AI182" s="20"/>
    </row>
    <row r="183" spans="2:35" ht="15" customHeight="1" x14ac:dyDescent="0.25">
      <c r="B183" s="84"/>
      <c r="C183" s="83"/>
      <c r="D183" s="183"/>
      <c r="E183" s="183"/>
      <c r="F183" s="183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  <c r="AA183" s="183"/>
      <c r="AB183" s="183"/>
      <c r="AC183" s="183"/>
      <c r="AD183" s="183"/>
      <c r="AE183" s="183"/>
      <c r="AF183" s="183"/>
      <c r="AG183" s="183"/>
      <c r="AH183" s="183"/>
      <c r="AI183" s="20"/>
    </row>
    <row r="184" spans="2:35" ht="15" customHeight="1" x14ac:dyDescent="0.25">
      <c r="B184" s="84"/>
      <c r="C184" s="83"/>
      <c r="D184" s="183"/>
      <c r="E184" s="183"/>
      <c r="F184" s="183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  <c r="AA184" s="183"/>
      <c r="AB184" s="183"/>
      <c r="AC184" s="183"/>
      <c r="AD184" s="183"/>
      <c r="AE184" s="183"/>
      <c r="AF184" s="183"/>
      <c r="AG184" s="183"/>
      <c r="AH184" s="183"/>
      <c r="AI184" s="20"/>
    </row>
    <row r="185" spans="2:35" ht="15" customHeight="1" x14ac:dyDescent="0.25">
      <c r="B185" s="84"/>
      <c r="C185" s="83"/>
      <c r="D185" s="183"/>
      <c r="E185" s="183"/>
      <c r="F185" s="183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  <c r="AA185" s="183"/>
      <c r="AB185" s="183"/>
      <c r="AC185" s="183"/>
      <c r="AD185" s="183"/>
      <c r="AE185" s="183"/>
      <c r="AF185" s="183"/>
      <c r="AG185" s="183"/>
      <c r="AH185" s="183"/>
      <c r="AI185" s="20"/>
    </row>
    <row r="186" spans="2:35" ht="15" customHeight="1" x14ac:dyDescent="0.25">
      <c r="B186" s="84"/>
      <c r="C186" s="83"/>
      <c r="D186" s="183"/>
      <c r="E186" s="183"/>
      <c r="F186" s="183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  <c r="AA186" s="183"/>
      <c r="AB186" s="183"/>
      <c r="AC186" s="183"/>
      <c r="AD186" s="183"/>
      <c r="AE186" s="183"/>
      <c r="AF186" s="183"/>
      <c r="AG186" s="183"/>
      <c r="AH186" s="183"/>
      <c r="AI186" s="20"/>
    </row>
    <row r="187" spans="2:35" ht="15" customHeight="1" x14ac:dyDescent="0.25">
      <c r="B187" s="84"/>
      <c r="C187" s="83"/>
      <c r="D187" s="183"/>
      <c r="E187" s="183"/>
      <c r="F187" s="183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  <c r="AA187" s="183"/>
      <c r="AB187" s="183"/>
      <c r="AC187" s="183"/>
      <c r="AD187" s="183"/>
      <c r="AE187" s="183"/>
      <c r="AF187" s="183"/>
      <c r="AG187" s="183"/>
      <c r="AH187" s="183"/>
      <c r="AI187" s="20"/>
    </row>
    <row r="188" spans="2:35" ht="15" customHeight="1" x14ac:dyDescent="0.25">
      <c r="B188" s="84"/>
      <c r="C188" s="83"/>
      <c r="D188" s="183"/>
      <c r="E188" s="183"/>
      <c r="F188" s="183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  <c r="AA188" s="183"/>
      <c r="AB188" s="183"/>
      <c r="AC188" s="183"/>
      <c r="AD188" s="183"/>
      <c r="AE188" s="183"/>
      <c r="AF188" s="183"/>
      <c r="AG188" s="183"/>
      <c r="AH188" s="183"/>
      <c r="AI188" s="20"/>
    </row>
    <row r="189" spans="2:35" ht="15" customHeight="1" x14ac:dyDescent="0.25">
      <c r="B189" s="84"/>
      <c r="C189" s="83"/>
      <c r="D189" s="183"/>
      <c r="E189" s="183"/>
      <c r="F189" s="183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  <c r="AA189" s="183"/>
      <c r="AB189" s="183"/>
      <c r="AC189" s="183"/>
      <c r="AD189" s="183"/>
      <c r="AE189" s="183"/>
      <c r="AF189" s="183"/>
      <c r="AG189" s="183"/>
      <c r="AH189" s="183"/>
      <c r="AI189" s="20"/>
    </row>
    <row r="190" spans="2:35" ht="15" customHeight="1" x14ac:dyDescent="0.25">
      <c r="B190" s="84"/>
      <c r="C190" s="83"/>
      <c r="D190" s="183"/>
      <c r="E190" s="183"/>
      <c r="F190" s="183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  <c r="AA190" s="183"/>
      <c r="AB190" s="183"/>
      <c r="AC190" s="183"/>
      <c r="AD190" s="183"/>
      <c r="AE190" s="183"/>
      <c r="AF190" s="183"/>
      <c r="AG190" s="183"/>
      <c r="AH190" s="183"/>
      <c r="AI190" s="20"/>
    </row>
    <row r="191" spans="2:35" ht="15" customHeight="1" x14ac:dyDescent="0.25">
      <c r="B191" s="84"/>
      <c r="C191" s="83"/>
      <c r="D191" s="183"/>
      <c r="E191" s="183"/>
      <c r="F191" s="183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  <c r="AA191" s="183"/>
      <c r="AB191" s="183"/>
      <c r="AC191" s="183"/>
      <c r="AD191" s="183"/>
      <c r="AE191" s="183"/>
      <c r="AF191" s="183"/>
      <c r="AG191" s="183"/>
      <c r="AH191" s="183"/>
      <c r="AI191" s="20"/>
    </row>
    <row r="192" spans="2:35" ht="15" customHeight="1" x14ac:dyDescent="0.25">
      <c r="B192" s="84"/>
      <c r="C192" s="83"/>
      <c r="D192" s="183"/>
      <c r="E192" s="183"/>
      <c r="F192" s="183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  <c r="AA192" s="183"/>
      <c r="AB192" s="183"/>
      <c r="AC192" s="183"/>
      <c r="AD192" s="183"/>
      <c r="AE192" s="183"/>
      <c r="AF192" s="183"/>
      <c r="AG192" s="183"/>
      <c r="AH192" s="183"/>
      <c r="AI192" s="20"/>
    </row>
    <row r="193" spans="2:35" ht="15" customHeight="1" x14ac:dyDescent="0.25">
      <c r="B193" s="84"/>
      <c r="C193" s="83"/>
      <c r="D193" s="183"/>
      <c r="E193" s="183"/>
      <c r="F193" s="183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  <c r="AA193" s="183"/>
      <c r="AB193" s="183"/>
      <c r="AC193" s="183"/>
      <c r="AD193" s="183"/>
      <c r="AE193" s="183"/>
      <c r="AF193" s="183"/>
      <c r="AG193" s="183"/>
      <c r="AH193" s="183"/>
      <c r="AI193" s="20"/>
    </row>
    <row r="194" spans="2:35" ht="15" customHeight="1" x14ac:dyDescent="0.25">
      <c r="B194" s="84"/>
      <c r="C194" s="83"/>
      <c r="D194" s="183"/>
      <c r="E194" s="183"/>
      <c r="F194" s="183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  <c r="AA194" s="183"/>
      <c r="AB194" s="183"/>
      <c r="AC194" s="183"/>
      <c r="AD194" s="183"/>
      <c r="AE194" s="183"/>
      <c r="AF194" s="183"/>
      <c r="AG194" s="183"/>
      <c r="AH194" s="183"/>
      <c r="AI194" s="20"/>
    </row>
    <row r="195" spans="2:35" ht="15" customHeight="1" x14ac:dyDescent="0.25">
      <c r="B195" s="84"/>
      <c r="C195" s="83"/>
      <c r="D195" s="183"/>
      <c r="E195" s="183"/>
      <c r="F195" s="183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  <c r="AA195" s="183"/>
      <c r="AB195" s="183"/>
      <c r="AC195" s="183"/>
      <c r="AD195" s="183"/>
      <c r="AE195" s="183"/>
      <c r="AF195" s="183"/>
      <c r="AG195" s="183"/>
      <c r="AH195" s="183"/>
      <c r="AI195" s="20"/>
    </row>
    <row r="196" spans="2:35" ht="15" customHeight="1" x14ac:dyDescent="0.25">
      <c r="B196" s="84"/>
      <c r="C196" s="83"/>
      <c r="D196" s="183"/>
      <c r="E196" s="183"/>
      <c r="F196" s="183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  <c r="AA196" s="183"/>
      <c r="AB196" s="183"/>
      <c r="AC196" s="183"/>
      <c r="AD196" s="183"/>
      <c r="AE196" s="183"/>
      <c r="AF196" s="183"/>
      <c r="AG196" s="183"/>
      <c r="AH196" s="183"/>
      <c r="AI196" s="20"/>
    </row>
    <row r="197" spans="2:35" ht="15" customHeight="1" x14ac:dyDescent="0.25">
      <c r="B197" s="84"/>
      <c r="C197" s="83"/>
      <c r="D197" s="183"/>
      <c r="E197" s="183"/>
      <c r="F197" s="183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  <c r="AA197" s="183"/>
      <c r="AB197" s="183"/>
      <c r="AC197" s="183"/>
      <c r="AD197" s="183"/>
      <c r="AE197" s="183"/>
      <c r="AF197" s="183"/>
      <c r="AG197" s="183"/>
      <c r="AH197" s="183"/>
      <c r="AI197" s="20"/>
    </row>
    <row r="198" spans="2:35" ht="15" customHeight="1" x14ac:dyDescent="0.25">
      <c r="B198" s="84"/>
      <c r="C198" s="83"/>
      <c r="D198" s="183"/>
      <c r="E198" s="183"/>
      <c r="F198" s="183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20"/>
    </row>
    <row r="199" spans="2:35" ht="15" customHeight="1" x14ac:dyDescent="0.25">
      <c r="B199" s="84"/>
      <c r="C199" s="83"/>
      <c r="D199" s="183"/>
      <c r="E199" s="183"/>
      <c r="F199" s="183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  <c r="AA199" s="183"/>
      <c r="AB199" s="183"/>
      <c r="AC199" s="183"/>
      <c r="AD199" s="183"/>
      <c r="AE199" s="183"/>
      <c r="AF199" s="183"/>
      <c r="AG199" s="183"/>
      <c r="AH199" s="183"/>
      <c r="AI199" s="20"/>
    </row>
    <row r="200" spans="2:35" ht="15" customHeight="1" x14ac:dyDescent="0.25">
      <c r="B200" s="84"/>
      <c r="C200" s="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  <c r="AA200" s="183"/>
      <c r="AB200" s="183"/>
      <c r="AC200" s="183"/>
      <c r="AD200" s="183"/>
      <c r="AE200" s="183"/>
      <c r="AF200" s="183"/>
      <c r="AG200" s="183"/>
      <c r="AH200" s="183"/>
      <c r="AI200" s="20"/>
    </row>
    <row r="201" spans="2:35" ht="15" customHeight="1" x14ac:dyDescent="0.25">
      <c r="B201" s="84"/>
      <c r="C201" s="83"/>
      <c r="D201" s="183"/>
      <c r="E201" s="183"/>
      <c r="F201" s="183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  <c r="AA201" s="183"/>
      <c r="AB201" s="183"/>
      <c r="AC201" s="183"/>
      <c r="AD201" s="183"/>
      <c r="AE201" s="183"/>
      <c r="AF201" s="183"/>
      <c r="AG201" s="183"/>
      <c r="AH201" s="183"/>
      <c r="AI201" s="20"/>
    </row>
    <row r="202" spans="2:35" ht="15" customHeight="1" x14ac:dyDescent="0.25">
      <c r="B202" s="84"/>
      <c r="C202" s="83"/>
      <c r="D202" s="183"/>
      <c r="E202" s="183"/>
      <c r="F202" s="183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  <c r="AA202" s="183"/>
      <c r="AB202" s="183"/>
      <c r="AC202" s="183"/>
      <c r="AD202" s="183"/>
      <c r="AE202" s="183"/>
      <c r="AF202" s="183"/>
      <c r="AG202" s="183"/>
      <c r="AH202" s="183"/>
      <c r="AI202" s="20"/>
    </row>
    <row r="203" spans="2:35" ht="15" customHeight="1" x14ac:dyDescent="0.25">
      <c r="B203" s="84"/>
      <c r="C203" s="83"/>
      <c r="D203" s="183"/>
      <c r="E203" s="183"/>
      <c r="F203" s="183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  <c r="AA203" s="183"/>
      <c r="AB203" s="183"/>
      <c r="AC203" s="183"/>
      <c r="AD203" s="183"/>
      <c r="AE203" s="183"/>
      <c r="AF203" s="183"/>
      <c r="AG203" s="183"/>
      <c r="AH203" s="183"/>
      <c r="AI203" s="20"/>
    </row>
    <row r="204" spans="2:35" ht="15" customHeight="1" x14ac:dyDescent="0.25">
      <c r="B204" s="84"/>
      <c r="C204" s="83"/>
      <c r="D204" s="183"/>
      <c r="E204" s="183"/>
      <c r="F204" s="183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  <c r="AA204" s="183"/>
      <c r="AB204" s="183"/>
      <c r="AC204" s="183"/>
      <c r="AD204" s="183"/>
      <c r="AE204" s="183"/>
      <c r="AF204" s="183"/>
      <c r="AG204" s="183"/>
      <c r="AH204" s="183"/>
      <c r="AI204" s="20"/>
    </row>
    <row r="205" spans="2:35" ht="15" customHeight="1" x14ac:dyDescent="0.25">
      <c r="B205" s="84"/>
      <c r="C205" s="83"/>
      <c r="D205" s="183"/>
      <c r="E205" s="183"/>
      <c r="F205" s="183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  <c r="AA205" s="183"/>
      <c r="AB205" s="183"/>
      <c r="AC205" s="183"/>
      <c r="AD205" s="183"/>
      <c r="AE205" s="183"/>
      <c r="AF205" s="183"/>
      <c r="AG205" s="183"/>
      <c r="AH205" s="183"/>
      <c r="AI205" s="20"/>
    </row>
    <row r="206" spans="2:35" ht="15" customHeight="1" x14ac:dyDescent="0.25">
      <c r="B206" s="84"/>
      <c r="C206" s="83"/>
      <c r="D206" s="183"/>
      <c r="E206" s="183"/>
      <c r="F206" s="183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  <c r="AA206" s="183"/>
      <c r="AB206" s="183"/>
      <c r="AC206" s="183"/>
      <c r="AD206" s="183"/>
      <c r="AE206" s="183"/>
      <c r="AF206" s="183"/>
      <c r="AG206" s="183"/>
      <c r="AH206" s="183"/>
      <c r="AI206" s="20"/>
    </row>
    <row r="207" spans="2:35" ht="15" customHeight="1" x14ac:dyDescent="0.25">
      <c r="B207" s="84"/>
      <c r="C207" s="83"/>
      <c r="D207" s="183"/>
      <c r="E207" s="183"/>
      <c r="F207" s="183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  <c r="AA207" s="183"/>
      <c r="AB207" s="183"/>
      <c r="AC207" s="183"/>
      <c r="AD207" s="183"/>
      <c r="AE207" s="183"/>
      <c r="AF207" s="183"/>
      <c r="AG207" s="183"/>
      <c r="AH207" s="183"/>
      <c r="AI207" s="20"/>
    </row>
    <row r="208" spans="2:35" ht="15" customHeight="1" x14ac:dyDescent="0.25">
      <c r="B208" s="84"/>
      <c r="C208" s="83"/>
      <c r="D208" s="183"/>
      <c r="E208" s="183"/>
      <c r="F208" s="183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  <c r="AA208" s="183"/>
      <c r="AB208" s="183"/>
      <c r="AC208" s="183"/>
      <c r="AD208" s="183"/>
      <c r="AE208" s="183"/>
      <c r="AF208" s="183"/>
      <c r="AG208" s="183"/>
      <c r="AH208" s="183"/>
      <c r="AI208" s="20"/>
    </row>
    <row r="209" spans="2:35" ht="15" customHeight="1" x14ac:dyDescent="0.25">
      <c r="B209" s="84"/>
      <c r="C209" s="83"/>
      <c r="D209" s="183"/>
      <c r="E209" s="183"/>
      <c r="F209" s="183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  <c r="AA209" s="183"/>
      <c r="AB209" s="183"/>
      <c r="AC209" s="183"/>
      <c r="AD209" s="183"/>
      <c r="AE209" s="183"/>
      <c r="AF209" s="183"/>
      <c r="AG209" s="183"/>
      <c r="AH209" s="183"/>
      <c r="AI209" s="20"/>
    </row>
    <row r="210" spans="2:35" ht="15" customHeight="1" x14ac:dyDescent="0.25">
      <c r="B210" s="84"/>
      <c r="C210" s="83"/>
      <c r="D210" s="183"/>
      <c r="E210" s="183"/>
      <c r="F210" s="183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  <c r="AA210" s="183"/>
      <c r="AB210" s="183"/>
      <c r="AC210" s="183"/>
      <c r="AD210" s="183"/>
      <c r="AE210" s="183"/>
      <c r="AF210" s="183"/>
      <c r="AG210" s="183"/>
      <c r="AH210" s="183"/>
      <c r="AI210" s="20"/>
    </row>
    <row r="211" spans="2:35" ht="15.75" x14ac:dyDescent="0.25">
      <c r="B211" s="84"/>
      <c r="C211" s="83"/>
      <c r="D211" s="183"/>
      <c r="E211" s="183"/>
      <c r="F211" s="183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  <c r="AA211" s="183"/>
      <c r="AB211" s="183"/>
      <c r="AC211" s="183"/>
      <c r="AD211" s="183"/>
      <c r="AE211" s="183"/>
      <c r="AF211" s="183"/>
      <c r="AG211" s="183"/>
      <c r="AH211" s="183"/>
      <c r="AI211" s="20"/>
    </row>
    <row r="212" spans="2:35" ht="15.75" x14ac:dyDescent="0.25">
      <c r="B212" s="84"/>
      <c r="C212" s="83"/>
      <c r="D212" s="183"/>
      <c r="E212" s="183"/>
      <c r="F212" s="183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  <c r="AA212" s="183"/>
      <c r="AB212" s="183"/>
      <c r="AC212" s="183"/>
      <c r="AD212" s="183"/>
      <c r="AE212" s="183"/>
      <c r="AF212" s="183"/>
      <c r="AG212" s="183"/>
      <c r="AH212" s="183"/>
      <c r="AI212" s="20"/>
    </row>
    <row r="213" spans="2:35" ht="15.75" x14ac:dyDescent="0.25">
      <c r="B213" s="84"/>
      <c r="C213" s="83"/>
      <c r="D213" s="183"/>
      <c r="E213" s="183"/>
      <c r="F213" s="183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  <c r="AA213" s="183"/>
      <c r="AB213" s="183"/>
      <c r="AC213" s="183"/>
      <c r="AD213" s="183"/>
      <c r="AE213" s="183"/>
      <c r="AF213" s="183"/>
      <c r="AG213" s="183"/>
      <c r="AH213" s="183"/>
      <c r="AI213" s="20"/>
    </row>
    <row r="214" spans="2:35" ht="15.75" x14ac:dyDescent="0.25">
      <c r="B214" s="84"/>
      <c r="C214" s="83"/>
      <c r="D214" s="183"/>
      <c r="E214" s="183"/>
      <c r="F214" s="183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  <c r="AA214" s="183"/>
      <c r="AB214" s="183"/>
      <c r="AC214" s="183"/>
      <c r="AD214" s="183"/>
      <c r="AE214" s="183"/>
      <c r="AF214" s="183"/>
      <c r="AG214" s="183"/>
      <c r="AH214" s="183"/>
      <c r="AI214" s="20"/>
    </row>
    <row r="215" spans="2:35" ht="15.75" x14ac:dyDescent="0.25">
      <c r="B215" s="84"/>
      <c r="C215" s="83"/>
      <c r="D215" s="183"/>
      <c r="E215" s="183"/>
      <c r="F215" s="183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  <c r="AA215" s="183"/>
      <c r="AB215" s="183"/>
      <c r="AC215" s="183"/>
      <c r="AD215" s="183"/>
      <c r="AE215" s="183"/>
      <c r="AF215" s="183"/>
      <c r="AG215" s="183"/>
      <c r="AH215" s="183"/>
      <c r="AI215" s="20"/>
    </row>
    <row r="216" spans="2:35" ht="15.75" x14ac:dyDescent="0.25">
      <c r="B216" s="84"/>
      <c r="C216" s="83"/>
      <c r="D216" s="183"/>
      <c r="E216" s="183"/>
      <c r="F216" s="183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  <c r="AA216" s="183"/>
      <c r="AB216" s="183"/>
      <c r="AC216" s="183"/>
      <c r="AD216" s="183"/>
      <c r="AE216" s="183"/>
      <c r="AF216" s="183"/>
      <c r="AG216" s="183"/>
      <c r="AH216" s="183"/>
      <c r="AI216" s="20"/>
    </row>
    <row r="217" spans="2:35" ht="15.75" x14ac:dyDescent="0.25">
      <c r="B217" s="84"/>
      <c r="C217" s="83"/>
      <c r="D217" s="183"/>
      <c r="E217" s="183"/>
      <c r="F217" s="183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  <c r="AA217" s="183"/>
      <c r="AB217" s="183"/>
      <c r="AC217" s="183"/>
      <c r="AD217" s="183"/>
      <c r="AE217" s="183"/>
      <c r="AF217" s="183"/>
      <c r="AG217" s="183"/>
      <c r="AH217" s="183"/>
      <c r="AI217" s="20"/>
    </row>
    <row r="218" spans="2:35" ht="15.75" x14ac:dyDescent="0.25">
      <c r="B218" s="84"/>
      <c r="C218" s="83"/>
      <c r="D218" s="183"/>
      <c r="E218" s="183"/>
      <c r="F218" s="183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  <c r="AA218" s="183"/>
      <c r="AB218" s="183"/>
      <c r="AC218" s="183"/>
      <c r="AD218" s="183"/>
      <c r="AE218" s="183"/>
      <c r="AF218" s="183"/>
      <c r="AG218" s="183"/>
      <c r="AH218" s="183"/>
      <c r="AI218" s="20"/>
    </row>
    <row r="219" spans="2:35" ht="15.75" x14ac:dyDescent="0.25">
      <c r="B219" s="84"/>
      <c r="C219" s="83"/>
      <c r="D219" s="183"/>
      <c r="E219" s="183"/>
      <c r="F219" s="183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  <c r="AA219" s="183"/>
      <c r="AB219" s="183"/>
      <c r="AC219" s="183"/>
      <c r="AD219" s="183"/>
      <c r="AE219" s="183"/>
      <c r="AF219" s="183"/>
      <c r="AG219" s="183"/>
      <c r="AH219" s="183"/>
      <c r="AI219" s="20"/>
    </row>
    <row r="220" spans="2:35" ht="15.75" x14ac:dyDescent="0.25">
      <c r="B220" s="84"/>
      <c r="C220" s="83"/>
      <c r="D220" s="183"/>
      <c r="E220" s="183"/>
      <c r="F220" s="183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  <c r="AA220" s="183"/>
      <c r="AB220" s="183"/>
      <c r="AC220" s="183"/>
      <c r="AD220" s="183"/>
      <c r="AE220" s="183"/>
      <c r="AF220" s="183"/>
      <c r="AG220" s="183"/>
      <c r="AH220" s="183"/>
      <c r="AI220" s="20"/>
    </row>
    <row r="221" spans="2:35" ht="15.75" x14ac:dyDescent="0.25">
      <c r="B221" s="84"/>
      <c r="C221" s="83"/>
      <c r="D221" s="183"/>
      <c r="E221" s="183"/>
      <c r="F221" s="183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  <c r="AA221" s="183"/>
      <c r="AB221" s="183"/>
      <c r="AC221" s="183"/>
      <c r="AD221" s="183"/>
      <c r="AE221" s="183"/>
      <c r="AF221" s="183"/>
      <c r="AG221" s="183"/>
      <c r="AH221" s="183"/>
      <c r="AI221" s="20"/>
    </row>
    <row r="222" spans="2:35" ht="15.75" x14ac:dyDescent="0.25">
      <c r="B222" s="84"/>
      <c r="C222" s="83"/>
      <c r="D222" s="183"/>
      <c r="E222" s="183"/>
      <c r="F222" s="183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  <c r="AA222" s="183"/>
      <c r="AB222" s="183"/>
      <c r="AC222" s="183"/>
      <c r="AD222" s="183"/>
      <c r="AE222" s="183"/>
      <c r="AF222" s="183"/>
      <c r="AG222" s="183"/>
      <c r="AH222" s="183"/>
      <c r="AI222" s="20"/>
    </row>
    <row r="223" spans="2:35" ht="15.75" x14ac:dyDescent="0.25">
      <c r="B223" s="84"/>
      <c r="C223" s="83"/>
      <c r="D223" s="183"/>
      <c r="E223" s="183"/>
      <c r="F223" s="183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  <c r="AA223" s="183"/>
      <c r="AB223" s="183"/>
      <c r="AC223" s="183"/>
      <c r="AD223" s="183"/>
      <c r="AE223" s="183"/>
      <c r="AF223" s="183"/>
      <c r="AG223" s="183"/>
      <c r="AH223" s="183"/>
      <c r="AI223" s="20"/>
    </row>
    <row r="224" spans="2:35" ht="15.75" x14ac:dyDescent="0.25">
      <c r="B224" s="84"/>
      <c r="C224" s="83"/>
      <c r="D224" s="183"/>
      <c r="E224" s="183"/>
      <c r="F224" s="183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  <c r="AA224" s="183"/>
      <c r="AB224" s="183"/>
      <c r="AC224" s="183"/>
      <c r="AD224" s="183"/>
      <c r="AE224" s="183"/>
      <c r="AF224" s="183"/>
      <c r="AG224" s="183"/>
      <c r="AH224" s="183"/>
      <c r="AI224" s="20"/>
    </row>
    <row r="225" spans="2:35" ht="15.75" x14ac:dyDescent="0.25">
      <c r="B225" s="84"/>
      <c r="C225" s="83"/>
      <c r="D225" s="183"/>
      <c r="E225" s="183"/>
      <c r="F225" s="183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  <c r="AA225" s="183"/>
      <c r="AB225" s="183"/>
      <c r="AC225" s="183"/>
      <c r="AD225" s="183"/>
      <c r="AE225" s="183"/>
      <c r="AF225" s="183"/>
      <c r="AG225" s="183"/>
      <c r="AH225" s="183"/>
      <c r="AI225" s="20"/>
    </row>
    <row r="226" spans="2:35" ht="15.75" x14ac:dyDescent="0.25">
      <c r="B226" s="84"/>
      <c r="C226" s="83"/>
      <c r="D226" s="183"/>
      <c r="E226" s="183"/>
      <c r="F226" s="183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  <c r="AA226" s="183"/>
      <c r="AB226" s="183"/>
      <c r="AC226" s="183"/>
      <c r="AD226" s="183"/>
      <c r="AE226" s="183"/>
      <c r="AF226" s="183"/>
      <c r="AG226" s="183"/>
      <c r="AH226" s="183"/>
      <c r="AI226" s="20"/>
    </row>
    <row r="227" spans="2:35" ht="15.75" x14ac:dyDescent="0.25">
      <c r="B227" s="84"/>
      <c r="C227" s="83"/>
      <c r="D227" s="183"/>
      <c r="E227" s="183"/>
      <c r="F227" s="183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  <c r="AA227" s="183"/>
      <c r="AB227" s="183"/>
      <c r="AC227" s="183"/>
      <c r="AD227" s="183"/>
      <c r="AE227" s="183"/>
      <c r="AF227" s="183"/>
      <c r="AG227" s="183"/>
      <c r="AH227" s="183"/>
      <c r="AI227" s="20"/>
    </row>
    <row r="228" spans="2:35" ht="15.75" x14ac:dyDescent="0.25">
      <c r="B228" s="84"/>
      <c r="C228" s="83"/>
      <c r="D228" s="183"/>
      <c r="E228" s="183"/>
      <c r="F228" s="183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  <c r="AA228" s="183"/>
      <c r="AB228" s="183"/>
      <c r="AC228" s="183"/>
      <c r="AD228" s="183"/>
      <c r="AE228" s="183"/>
      <c r="AF228" s="183"/>
      <c r="AG228" s="183"/>
      <c r="AH228" s="183"/>
      <c r="AI228" s="20"/>
    </row>
    <row r="229" spans="2:35" ht="15.75" x14ac:dyDescent="0.25">
      <c r="B229" s="84"/>
      <c r="C229" s="83"/>
      <c r="D229" s="183"/>
      <c r="E229" s="183"/>
      <c r="F229" s="183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  <c r="AA229" s="183"/>
      <c r="AB229" s="183"/>
      <c r="AC229" s="183"/>
      <c r="AD229" s="183"/>
      <c r="AE229" s="183"/>
      <c r="AF229" s="183"/>
      <c r="AG229" s="183"/>
      <c r="AH229" s="183"/>
      <c r="AI229" s="20"/>
    </row>
    <row r="230" spans="2:35" ht="15.75" x14ac:dyDescent="0.25">
      <c r="B230" s="84"/>
      <c r="C230" s="83"/>
      <c r="D230" s="183"/>
      <c r="E230" s="183"/>
      <c r="F230" s="183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  <c r="AA230" s="183"/>
      <c r="AB230" s="183"/>
      <c r="AC230" s="183"/>
      <c r="AD230" s="183"/>
      <c r="AE230" s="183"/>
      <c r="AF230" s="183"/>
      <c r="AG230" s="183"/>
      <c r="AH230" s="183"/>
      <c r="AI230" s="20"/>
    </row>
    <row r="231" spans="2:35" ht="15.75" x14ac:dyDescent="0.25">
      <c r="B231" s="84"/>
      <c r="C231" s="83"/>
      <c r="D231" s="183"/>
      <c r="E231" s="183"/>
      <c r="F231" s="183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  <c r="Z231" s="183"/>
      <c r="AA231" s="183"/>
      <c r="AB231" s="183"/>
      <c r="AC231" s="183"/>
      <c r="AD231" s="183"/>
      <c r="AE231" s="183"/>
      <c r="AF231" s="183"/>
      <c r="AG231" s="183"/>
      <c r="AH231" s="183"/>
      <c r="AI231" s="20"/>
    </row>
    <row r="232" spans="2:35" ht="15.75" x14ac:dyDescent="0.25">
      <c r="B232" s="84"/>
      <c r="C232" s="83"/>
      <c r="D232" s="183"/>
      <c r="E232" s="183"/>
      <c r="F232" s="183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3"/>
      <c r="V232" s="183"/>
      <c r="W232" s="183"/>
      <c r="X232" s="183"/>
      <c r="Y232" s="183"/>
      <c r="Z232" s="183"/>
      <c r="AA232" s="183"/>
      <c r="AB232" s="183"/>
      <c r="AC232" s="183"/>
      <c r="AD232" s="183"/>
      <c r="AE232" s="183"/>
      <c r="AF232" s="183"/>
      <c r="AG232" s="183"/>
      <c r="AH232" s="183"/>
      <c r="AI232" s="20"/>
    </row>
    <row r="233" spans="2:35" ht="15.75" x14ac:dyDescent="0.25">
      <c r="B233" s="84"/>
      <c r="C233" s="83"/>
      <c r="D233" s="183"/>
      <c r="E233" s="183"/>
      <c r="F233" s="183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  <c r="Z233" s="183"/>
      <c r="AA233" s="183"/>
      <c r="AB233" s="183"/>
      <c r="AC233" s="183"/>
      <c r="AD233" s="183"/>
      <c r="AE233" s="183"/>
      <c r="AF233" s="183"/>
      <c r="AG233" s="183"/>
      <c r="AH233" s="183"/>
      <c r="AI233" s="20"/>
    </row>
    <row r="234" spans="2:35" ht="15.75" x14ac:dyDescent="0.25">
      <c r="B234" s="84"/>
      <c r="C234" s="83"/>
      <c r="D234" s="183"/>
      <c r="E234" s="183"/>
      <c r="F234" s="183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83"/>
      <c r="Z234" s="183"/>
      <c r="AA234" s="183"/>
      <c r="AB234" s="183"/>
      <c r="AC234" s="183"/>
      <c r="AD234" s="183"/>
      <c r="AE234" s="183"/>
      <c r="AF234" s="183"/>
      <c r="AG234" s="183"/>
      <c r="AH234" s="183"/>
      <c r="AI234" s="20"/>
    </row>
    <row r="235" spans="2:35" ht="15.75" x14ac:dyDescent="0.25">
      <c r="B235" s="84"/>
      <c r="C235" s="83"/>
      <c r="D235" s="183"/>
      <c r="E235" s="183"/>
      <c r="F235" s="183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3"/>
      <c r="V235" s="183"/>
      <c r="W235" s="183"/>
      <c r="X235" s="183"/>
      <c r="Y235" s="183"/>
      <c r="Z235" s="183"/>
      <c r="AA235" s="183"/>
      <c r="AB235" s="183"/>
      <c r="AC235" s="183"/>
      <c r="AD235" s="183"/>
      <c r="AE235" s="183"/>
      <c r="AF235" s="183"/>
      <c r="AG235" s="183"/>
      <c r="AH235" s="183"/>
      <c r="AI235" s="20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0000000}">
          <x14:formula1>
            <xm:f>справочник!$E$2:$E$172</xm:f>
          </x14:formula1>
          <xm:sqref>B3:B235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AI235"/>
  <sheetViews>
    <sheetView showZeros="0" zoomScale="70" zoomScaleNormal="70" workbookViewId="0">
      <selection activeCell="B5" sqref="B5"/>
    </sheetView>
  </sheetViews>
  <sheetFormatPr defaultRowHeight="15" x14ac:dyDescent="0.25"/>
  <cols>
    <col min="1" max="1" width="2.140625" customWidth="1"/>
    <col min="2" max="2" width="53.5703125" customWidth="1"/>
    <col min="4" max="34" width="6.7109375" customWidth="1"/>
  </cols>
  <sheetData>
    <row r="1" spans="2:35" ht="15" customHeight="1" thickBot="1" x14ac:dyDescent="0.3">
      <c r="B1" s="67">
        <v>45839</v>
      </c>
      <c r="C1" s="68"/>
      <c r="D1" s="69">
        <f>B1</f>
        <v>45839</v>
      </c>
      <c r="E1" s="69">
        <f>D1+1</f>
        <v>45840</v>
      </c>
      <c r="F1" s="69">
        <f t="shared" ref="F1:AH1" si="0">E1+1</f>
        <v>45841</v>
      </c>
      <c r="G1" s="69">
        <f t="shared" si="0"/>
        <v>45842</v>
      </c>
      <c r="H1" s="69">
        <f t="shared" si="0"/>
        <v>45843</v>
      </c>
      <c r="I1" s="69">
        <f t="shared" si="0"/>
        <v>45844</v>
      </c>
      <c r="J1" s="69">
        <f t="shared" si="0"/>
        <v>45845</v>
      </c>
      <c r="K1" s="69">
        <f t="shared" si="0"/>
        <v>45846</v>
      </c>
      <c r="L1" s="69">
        <f t="shared" si="0"/>
        <v>45847</v>
      </c>
      <c r="M1" s="69">
        <f t="shared" si="0"/>
        <v>45848</v>
      </c>
      <c r="N1" s="69">
        <f t="shared" si="0"/>
        <v>45849</v>
      </c>
      <c r="O1" s="69">
        <f t="shared" si="0"/>
        <v>45850</v>
      </c>
      <c r="P1" s="69">
        <f t="shared" si="0"/>
        <v>45851</v>
      </c>
      <c r="Q1" s="69">
        <f t="shared" si="0"/>
        <v>45852</v>
      </c>
      <c r="R1" s="69">
        <f t="shared" si="0"/>
        <v>45853</v>
      </c>
      <c r="S1" s="69">
        <f t="shared" si="0"/>
        <v>45854</v>
      </c>
      <c r="T1" s="69">
        <f t="shared" si="0"/>
        <v>45855</v>
      </c>
      <c r="U1" s="69">
        <f t="shared" si="0"/>
        <v>45856</v>
      </c>
      <c r="V1" s="69">
        <f t="shared" si="0"/>
        <v>45857</v>
      </c>
      <c r="W1" s="69">
        <f t="shared" si="0"/>
        <v>45858</v>
      </c>
      <c r="X1" s="69">
        <f t="shared" si="0"/>
        <v>45859</v>
      </c>
      <c r="Y1" s="69">
        <f t="shared" si="0"/>
        <v>45860</v>
      </c>
      <c r="Z1" s="69">
        <f t="shared" si="0"/>
        <v>45861</v>
      </c>
      <c r="AA1" s="69">
        <f t="shared" si="0"/>
        <v>45862</v>
      </c>
      <c r="AB1" s="69">
        <f t="shared" si="0"/>
        <v>45863</v>
      </c>
      <c r="AC1" s="69">
        <f t="shared" si="0"/>
        <v>45864</v>
      </c>
      <c r="AD1" s="69">
        <f t="shared" si="0"/>
        <v>45865</v>
      </c>
      <c r="AE1" s="69">
        <f t="shared" si="0"/>
        <v>45866</v>
      </c>
      <c r="AF1" s="69">
        <f t="shared" si="0"/>
        <v>45867</v>
      </c>
      <c r="AG1" s="69">
        <f t="shared" si="0"/>
        <v>45868</v>
      </c>
      <c r="AH1" s="69">
        <f t="shared" si="0"/>
        <v>45869</v>
      </c>
      <c r="AI1" s="70"/>
    </row>
    <row r="2" spans="2:35" ht="15" customHeight="1" thickBot="1" x14ac:dyDescent="0.3">
      <c r="B2" s="71"/>
      <c r="C2" s="68"/>
      <c r="D2" s="72">
        <v>1</v>
      </c>
      <c r="E2" s="73">
        <v>2</v>
      </c>
      <c r="F2" s="73">
        <v>3</v>
      </c>
      <c r="G2" s="73">
        <v>4</v>
      </c>
      <c r="H2" s="73">
        <v>5</v>
      </c>
      <c r="I2" s="73">
        <v>6</v>
      </c>
      <c r="J2" s="73">
        <v>7</v>
      </c>
      <c r="K2" s="73">
        <v>8</v>
      </c>
      <c r="L2" s="73">
        <v>9</v>
      </c>
      <c r="M2" s="73">
        <v>10</v>
      </c>
      <c r="N2" s="73">
        <v>11</v>
      </c>
      <c r="O2" s="73">
        <v>12</v>
      </c>
      <c r="P2" s="73">
        <v>13</v>
      </c>
      <c r="Q2" s="73">
        <v>14</v>
      </c>
      <c r="R2" s="73">
        <v>15</v>
      </c>
      <c r="S2" s="73">
        <v>16</v>
      </c>
      <c r="T2" s="73">
        <v>17</v>
      </c>
      <c r="U2" s="73">
        <v>18</v>
      </c>
      <c r="V2" s="73">
        <v>19</v>
      </c>
      <c r="W2" s="73">
        <v>20</v>
      </c>
      <c r="X2" s="73">
        <v>21</v>
      </c>
      <c r="Y2" s="73">
        <v>22</v>
      </c>
      <c r="Z2" s="73">
        <v>23</v>
      </c>
      <c r="AA2" s="73">
        <v>24</v>
      </c>
      <c r="AB2" s="73">
        <v>25</v>
      </c>
      <c r="AC2" s="73">
        <v>26</v>
      </c>
      <c r="AD2" s="73">
        <v>27</v>
      </c>
      <c r="AE2" s="73">
        <v>28</v>
      </c>
      <c r="AF2" s="73">
        <v>29</v>
      </c>
      <c r="AG2" s="73">
        <v>30</v>
      </c>
      <c r="AH2" s="73">
        <v>31</v>
      </c>
      <c r="AI2" s="70"/>
    </row>
    <row r="3" spans="2:35" ht="15" customHeight="1" x14ac:dyDescent="0.25">
      <c r="B3" s="74" t="s">
        <v>212</v>
      </c>
      <c r="C3" s="75">
        <v>25</v>
      </c>
      <c r="D3" s="76">
        <f>SUMIFS('июль 2025'!$G$2:$G$2437,'июль 2025'!$D$2:$D$2437,$B3,'июль 2025'!$J$2:$J$2437,D$1)</f>
        <v>0</v>
      </c>
      <c r="E3" s="76">
        <f>SUMIFS('июль 2025'!$G$2:$G$2437,'июль 2025'!$D$2:$D$2437,$B3,'июль 2025'!$J$2:$J$2437,E$1)</f>
        <v>0</v>
      </c>
      <c r="F3" s="76">
        <f>SUMIFS('июль 2025'!$G$2:$G$2437,'июль 2025'!$D$2:$D$2437,$B3,'июль 2025'!$J$2:$J$2437,F$1)</f>
        <v>0</v>
      </c>
      <c r="G3" s="76">
        <f>SUMIFS('июль 2025'!$G$2:$G$2437,'июль 2025'!$D$2:$D$2437,$B3,'июль 2025'!$J$2:$J$2437,G$1)</f>
        <v>0</v>
      </c>
      <c r="H3" s="76">
        <f>SUMIFS('июль 2025'!$G$2:$G$2437,'июль 2025'!$D$2:$D$2437,$B3,'июль 2025'!$J$2:$J$2437,H$1)</f>
        <v>0</v>
      </c>
      <c r="I3" s="76">
        <f>SUMIFS('июль 2025'!$G$2:$G$2437,'июль 2025'!$D$2:$D$2437,$B3,'июль 2025'!$J$2:$J$2437,I$1)</f>
        <v>0</v>
      </c>
      <c r="J3" s="76">
        <f>SUMIFS('июль 2025'!$G$2:$G$2437,'июль 2025'!$D$2:$D$2437,$B3,'июль 2025'!$J$2:$J$2437,J$1)</f>
        <v>0</v>
      </c>
      <c r="K3" s="76">
        <f>SUMIFS('июль 2025'!$G$2:$G$2437,'июль 2025'!$D$2:$D$2437,$B3,'июль 2025'!$J$2:$J$2437,K$1)</f>
        <v>0</v>
      </c>
      <c r="L3" s="76">
        <f>SUMIFS('июль 2025'!$G$2:$G$2437,'июль 2025'!$D$2:$D$2437,$B3,'июль 2025'!$J$2:$J$2437,L$1)</f>
        <v>0</v>
      </c>
      <c r="M3" s="76">
        <f>SUMIFS('июль 2025'!$G$2:$G$2437,'июль 2025'!$D$2:$D$2437,$B3,'июль 2025'!$J$2:$J$2437,M$1)</f>
        <v>0</v>
      </c>
      <c r="N3" s="76">
        <f>SUMIFS('июль 2025'!$G$2:$G$2437,'июль 2025'!$D$2:$D$2437,$B3,'июль 2025'!$J$2:$J$2437,N$1)</f>
        <v>0</v>
      </c>
      <c r="O3" s="76">
        <f>SUMIFS('июль 2025'!$G$2:$G$2437,'июль 2025'!$D$2:$D$2437,$B3,'июль 2025'!$J$2:$J$2437,O$1)</f>
        <v>0</v>
      </c>
      <c r="P3" s="76">
        <f>SUMIFS('июль 2025'!$G$2:$G$2437,'июль 2025'!$D$2:$D$2437,$B3,'июль 2025'!$J$2:$J$2437,P$1)</f>
        <v>0</v>
      </c>
      <c r="Q3" s="76">
        <f>SUMIFS('июль 2025'!$G$2:$G$2437,'июль 2025'!$D$2:$D$2437,$B3,'июль 2025'!$J$2:$J$2437,Q$1)</f>
        <v>0</v>
      </c>
      <c r="R3" s="76">
        <f>SUMIFS('июль 2025'!$G$2:$G$2437,'июль 2025'!$D$2:$D$2437,$B3,'июль 2025'!$J$2:$J$2437,R$1)</f>
        <v>0</v>
      </c>
      <c r="S3" s="76">
        <f>SUMIFS('июль 2025'!$G$2:$G$2437,'июль 2025'!$D$2:$D$2437,$B3,'июль 2025'!$J$2:$J$2437,S$1)</f>
        <v>0</v>
      </c>
      <c r="T3" s="76">
        <f>SUMIFS('июль 2025'!$G$2:$G$2437,'июль 2025'!$D$2:$D$2437,$B3,'июль 2025'!$J$2:$J$2437,T$1)</f>
        <v>0</v>
      </c>
      <c r="U3" s="76">
        <f>SUMIFS('июль 2025'!$G$2:$G$2437,'июль 2025'!$D$2:$D$2437,$B3,'июль 2025'!$J$2:$J$2437,U$1)</f>
        <v>0</v>
      </c>
      <c r="V3" s="76">
        <f>SUMIFS('июль 2025'!$G$2:$G$2437,'июль 2025'!$D$2:$D$2437,$B3,'июль 2025'!$J$2:$J$2437,V$1)</f>
        <v>0</v>
      </c>
      <c r="W3" s="76">
        <f>SUMIFS('июль 2025'!$G$2:$G$2437,'июль 2025'!$D$2:$D$2437,$B3,'июль 2025'!$J$2:$J$2437,W$1)</f>
        <v>0</v>
      </c>
      <c r="X3" s="76">
        <f>SUMIFS('июль 2025'!$G$2:$G$2437,'июль 2025'!$D$2:$D$2437,$B3,'июль 2025'!$J$2:$J$2437,X$1)</f>
        <v>0</v>
      </c>
      <c r="Y3" s="76">
        <f>SUMIFS('июль 2025'!$G$2:$G$2437,'июль 2025'!$D$2:$D$2437,$B3,'июль 2025'!$J$2:$J$2437,Y$1)</f>
        <v>0</v>
      </c>
      <c r="Z3" s="76">
        <f>SUMIFS('июль 2025'!$G$2:$G$2437,'июль 2025'!$D$2:$D$2437,$B3,'июль 2025'!$J$2:$J$2437,Z$1)</f>
        <v>0</v>
      </c>
      <c r="AA3" s="76">
        <f>SUMIFS('июль 2025'!$G$2:$G$2437,'июль 2025'!$D$2:$D$2437,$B3,'июль 2025'!$J$2:$J$2437,AA$1)</f>
        <v>0</v>
      </c>
      <c r="AB3" s="76">
        <f>SUMIFS('июль 2025'!$G$2:$G$2437,'июль 2025'!$D$2:$D$2437,$B3,'июль 2025'!$J$2:$J$2437,AB$1)</f>
        <v>0</v>
      </c>
      <c r="AC3" s="76">
        <f>SUMIFS('июль 2025'!$G$2:$G$2437,'июль 2025'!$D$2:$D$2437,$B3,'июль 2025'!$J$2:$J$2437,AC$1)</f>
        <v>0</v>
      </c>
      <c r="AD3" s="76">
        <f>SUMIFS('июль 2025'!$G$2:$G$2437,'июль 2025'!$D$2:$D$2437,$B3,'июль 2025'!$J$2:$J$2437,AD$1)</f>
        <v>0</v>
      </c>
      <c r="AE3" s="76">
        <f>SUMIFS('июль 2025'!$G$2:$G$2437,'июль 2025'!$D$2:$D$2437,$B3,'июль 2025'!$J$2:$J$2437,AE$1)</f>
        <v>800</v>
      </c>
      <c r="AF3" s="76">
        <f>SUMIFS('июль 2025'!$G$2:$G$2437,'июль 2025'!$D$2:$D$2437,$B3,'июль 2025'!$J$2:$J$2437,AF$1)</f>
        <v>0</v>
      </c>
      <c r="AG3" s="76">
        <f>SUMIFS('июль 2025'!$G$2:$G$2437,'июль 2025'!$D$2:$D$2437,$B3,'июль 2025'!$J$2:$J$2437,AG$1)</f>
        <v>0</v>
      </c>
      <c r="AH3" s="76">
        <f>SUMIFS('июль 2025'!$G$2:$G$2437,'июль 2025'!$D$2:$D$2437,$B3,'июль 2025'!$J$2:$J$2437,AH$1)</f>
        <v>0</v>
      </c>
      <c r="AI3" s="48">
        <f t="shared" ref="AI3:AI164" si="1">SUM(D3:AH3)</f>
        <v>800</v>
      </c>
    </row>
    <row r="4" spans="2:35" ht="15" customHeight="1" x14ac:dyDescent="0.25">
      <c r="B4" s="276" t="s">
        <v>1574</v>
      </c>
      <c r="C4" s="277">
        <v>25</v>
      </c>
      <c r="D4" s="76">
        <f>SUMIFS('июль 2025'!$G$2:$G$2437,'июль 2025'!$D$2:$D$2437,$B4,'июль 2025'!$J$2:$J$2437,D$1)</f>
        <v>0</v>
      </c>
      <c r="E4" s="76">
        <f>SUMIFS('июль 2025'!$G$2:$G$2437,'июль 2025'!$D$2:$D$2437,$B4,'июль 2025'!$J$2:$J$2437,E$1)</f>
        <v>0</v>
      </c>
      <c r="F4" s="76">
        <f>SUMIFS('июль 2025'!$G$2:$G$2437,'июль 2025'!$D$2:$D$2437,$B4,'июль 2025'!$J$2:$J$2437,F$1)</f>
        <v>0</v>
      </c>
      <c r="G4" s="76">
        <f>SUMIFS('июль 2025'!$G$2:$G$2437,'июль 2025'!$D$2:$D$2437,$B4,'июль 2025'!$J$2:$J$2437,G$1)</f>
        <v>0</v>
      </c>
      <c r="H4" s="76">
        <f>SUMIFS('июль 2025'!$G$2:$G$2437,'июль 2025'!$D$2:$D$2437,$B4,'июль 2025'!$J$2:$J$2437,H$1)</f>
        <v>0</v>
      </c>
      <c r="I4" s="76">
        <f>SUMIFS('июль 2025'!$G$2:$G$2437,'июль 2025'!$D$2:$D$2437,$B4,'июль 2025'!$J$2:$J$2437,I$1)</f>
        <v>0</v>
      </c>
      <c r="J4" s="76">
        <f>SUMIFS('июль 2025'!$G$2:$G$2437,'июль 2025'!$D$2:$D$2437,$B4,'июль 2025'!$J$2:$J$2437,J$1)</f>
        <v>0</v>
      </c>
      <c r="K4" s="76">
        <f>SUMIFS('июль 2025'!$G$2:$G$2437,'июль 2025'!$D$2:$D$2437,$B4,'июль 2025'!$J$2:$J$2437,K$1)</f>
        <v>0</v>
      </c>
      <c r="L4" s="76">
        <f>SUMIFS('июль 2025'!$G$2:$G$2437,'июль 2025'!$D$2:$D$2437,$B4,'июль 2025'!$J$2:$J$2437,L$1)</f>
        <v>0</v>
      </c>
      <c r="M4" s="76">
        <f>SUMIFS('июль 2025'!$G$2:$G$2437,'июль 2025'!$D$2:$D$2437,$B4,'июль 2025'!$J$2:$J$2437,M$1)</f>
        <v>0</v>
      </c>
      <c r="N4" s="76">
        <f>SUMIFS('июль 2025'!$G$2:$G$2437,'июль 2025'!$D$2:$D$2437,$B4,'июль 2025'!$J$2:$J$2437,N$1)</f>
        <v>0</v>
      </c>
      <c r="O4" s="76">
        <f>SUMIFS('июль 2025'!$G$2:$G$2437,'июль 2025'!$D$2:$D$2437,$B4,'июль 2025'!$J$2:$J$2437,O$1)</f>
        <v>0</v>
      </c>
      <c r="P4" s="76">
        <f>SUMIFS('июль 2025'!$G$2:$G$2437,'июль 2025'!$D$2:$D$2437,$B4,'июль 2025'!$J$2:$J$2437,P$1)</f>
        <v>0</v>
      </c>
      <c r="Q4" s="76">
        <f>SUMIFS('июль 2025'!$G$2:$G$2437,'июль 2025'!$D$2:$D$2437,$B4,'июль 2025'!$J$2:$J$2437,Q$1)</f>
        <v>0</v>
      </c>
      <c r="R4" s="76">
        <f>SUMIFS('июль 2025'!$G$2:$G$2437,'июль 2025'!$D$2:$D$2437,$B4,'июль 2025'!$J$2:$J$2437,R$1)</f>
        <v>0</v>
      </c>
      <c r="S4" s="76">
        <f>SUMIFS('июль 2025'!$G$2:$G$2437,'июль 2025'!$D$2:$D$2437,$B4,'июль 2025'!$J$2:$J$2437,S$1)</f>
        <v>0</v>
      </c>
      <c r="T4" s="76">
        <f>SUMIFS('июль 2025'!$G$2:$G$2437,'июль 2025'!$D$2:$D$2437,$B4,'июль 2025'!$J$2:$J$2437,T$1)</f>
        <v>0</v>
      </c>
      <c r="U4" s="76">
        <f>SUMIFS('июль 2025'!$G$2:$G$2437,'июль 2025'!$D$2:$D$2437,$B4,'июль 2025'!$J$2:$J$2437,U$1)</f>
        <v>0</v>
      </c>
      <c r="V4" s="76">
        <f>SUMIFS('июль 2025'!$G$2:$G$2437,'июль 2025'!$D$2:$D$2437,$B4,'июль 2025'!$J$2:$J$2437,V$1)</f>
        <v>0</v>
      </c>
      <c r="W4" s="76">
        <f>SUMIFS('июль 2025'!$G$2:$G$2437,'июль 2025'!$D$2:$D$2437,$B4,'июль 2025'!$J$2:$J$2437,W$1)</f>
        <v>0</v>
      </c>
      <c r="X4" s="76">
        <f>SUMIFS('июль 2025'!$G$2:$G$2437,'июль 2025'!$D$2:$D$2437,$B4,'июль 2025'!$J$2:$J$2437,X$1)</f>
        <v>0</v>
      </c>
      <c r="Y4" s="76">
        <f>SUMIFS('июль 2025'!$G$2:$G$2437,'июль 2025'!$D$2:$D$2437,$B4,'июль 2025'!$J$2:$J$2437,Y$1)</f>
        <v>0</v>
      </c>
      <c r="Z4" s="76">
        <f>SUMIFS('июль 2025'!$G$2:$G$2437,'июль 2025'!$D$2:$D$2437,$B4,'июль 2025'!$J$2:$J$2437,Z$1)</f>
        <v>0</v>
      </c>
      <c r="AA4" s="76">
        <f>SUMIFS('июль 2025'!$G$2:$G$2437,'июль 2025'!$D$2:$D$2437,$B4,'июль 2025'!$J$2:$J$2437,AA$1)</f>
        <v>0</v>
      </c>
      <c r="AB4" s="76">
        <f>SUMIFS('июль 2025'!$G$2:$G$2437,'июль 2025'!$D$2:$D$2437,$B4,'июль 2025'!$J$2:$J$2437,AB$1)</f>
        <v>0</v>
      </c>
      <c r="AC4" s="76">
        <f>SUMIFS('июль 2025'!$G$2:$G$2437,'июль 2025'!$D$2:$D$2437,$B4,'июль 2025'!$J$2:$J$2437,AC$1)</f>
        <v>0</v>
      </c>
      <c r="AD4" s="76">
        <f>SUMIFS('июль 2025'!$G$2:$G$2437,'июль 2025'!$D$2:$D$2437,$B4,'июль 2025'!$J$2:$J$2437,AD$1)</f>
        <v>0</v>
      </c>
      <c r="AE4" s="76">
        <f>SUMIFS('июль 2025'!$G$2:$G$2437,'июль 2025'!$D$2:$D$2437,$B4,'июль 2025'!$J$2:$J$2437,AE$1)</f>
        <v>0</v>
      </c>
      <c r="AF4" s="76">
        <f>SUMIFS('июль 2025'!$G$2:$G$2437,'июль 2025'!$D$2:$D$2437,$B4,'июль 2025'!$J$2:$J$2437,AF$1)</f>
        <v>0</v>
      </c>
      <c r="AG4" s="76">
        <f>SUMIFS('июль 2025'!$G$2:$G$2437,'июль 2025'!$D$2:$D$2437,$B4,'июль 2025'!$J$2:$J$2437,AG$1)</f>
        <v>0</v>
      </c>
      <c r="AH4" s="76">
        <f>SUMIFS('июль 2025'!$G$2:$G$2437,'июль 2025'!$D$2:$D$2437,$B4,'июль 2025'!$J$2:$J$2437,AH$1)</f>
        <v>0</v>
      </c>
      <c r="AI4" s="20">
        <f t="shared" ref="AI4" si="2">SUM(D4:AH4)</f>
        <v>0</v>
      </c>
    </row>
    <row r="5" spans="2:35" ht="15" customHeight="1" x14ac:dyDescent="0.25">
      <c r="B5" s="77" t="s">
        <v>214</v>
      </c>
      <c r="C5" s="78">
        <v>25</v>
      </c>
      <c r="D5" s="76">
        <f>SUMIFS('июль 2025'!$G$2:$G$2437,'июль 2025'!$D$2:$D$2437,$B5,'июль 2025'!$J$2:$J$2437,D$1)</f>
        <v>0</v>
      </c>
      <c r="E5" s="76">
        <f>SUMIFS('июль 2025'!$G$2:$G$2437,'июль 2025'!$D$2:$D$2437,$B5,'июль 2025'!$J$2:$J$2437,E$1)</f>
        <v>0</v>
      </c>
      <c r="F5" s="76">
        <f>SUMIFS('июль 2025'!$G$2:$G$2437,'июль 2025'!$D$2:$D$2437,$B5,'июль 2025'!$J$2:$J$2437,F$1)</f>
        <v>0</v>
      </c>
      <c r="G5" s="76">
        <f>SUMIFS('июль 2025'!$G$2:$G$2437,'июль 2025'!$D$2:$D$2437,$B5,'июль 2025'!$J$2:$J$2437,G$1)</f>
        <v>0</v>
      </c>
      <c r="H5" s="76">
        <f>SUMIFS('июль 2025'!$G$2:$G$2437,'июль 2025'!$D$2:$D$2437,$B5,'июль 2025'!$J$2:$J$2437,H$1)</f>
        <v>0</v>
      </c>
      <c r="I5" s="76">
        <f>SUMIFS('июль 2025'!$G$2:$G$2437,'июль 2025'!$D$2:$D$2437,$B5,'июль 2025'!$J$2:$J$2437,I$1)</f>
        <v>0</v>
      </c>
      <c r="J5" s="76">
        <f>SUMIFS('июль 2025'!$G$2:$G$2437,'июль 2025'!$D$2:$D$2437,$B5,'июль 2025'!$J$2:$J$2437,J$1)</f>
        <v>0</v>
      </c>
      <c r="K5" s="76">
        <f>SUMIFS('июль 2025'!$G$2:$G$2437,'июль 2025'!$D$2:$D$2437,$B5,'июль 2025'!$J$2:$J$2437,K$1)</f>
        <v>0</v>
      </c>
      <c r="L5" s="76">
        <f>SUMIFS('июль 2025'!$G$2:$G$2437,'июль 2025'!$D$2:$D$2437,$B5,'июль 2025'!$J$2:$J$2437,L$1)</f>
        <v>0</v>
      </c>
      <c r="M5" s="76">
        <f>SUMIFS('июль 2025'!$G$2:$G$2437,'июль 2025'!$D$2:$D$2437,$B5,'июль 2025'!$J$2:$J$2437,M$1)</f>
        <v>0</v>
      </c>
      <c r="N5" s="76">
        <f>SUMIFS('июль 2025'!$G$2:$G$2437,'июль 2025'!$D$2:$D$2437,$B5,'июль 2025'!$J$2:$J$2437,N$1)</f>
        <v>0</v>
      </c>
      <c r="O5" s="76">
        <f>SUMIFS('июль 2025'!$G$2:$G$2437,'июль 2025'!$D$2:$D$2437,$B5,'июль 2025'!$J$2:$J$2437,O$1)</f>
        <v>0</v>
      </c>
      <c r="P5" s="76">
        <f>SUMIFS('июль 2025'!$G$2:$G$2437,'июль 2025'!$D$2:$D$2437,$B5,'июль 2025'!$J$2:$J$2437,P$1)</f>
        <v>0</v>
      </c>
      <c r="Q5" s="76">
        <f>SUMIFS('июль 2025'!$G$2:$G$2437,'июль 2025'!$D$2:$D$2437,$B5,'июль 2025'!$J$2:$J$2437,Q$1)</f>
        <v>0</v>
      </c>
      <c r="R5" s="76">
        <f>SUMIFS('июль 2025'!$G$2:$G$2437,'июль 2025'!$D$2:$D$2437,$B5,'июль 2025'!$J$2:$J$2437,R$1)</f>
        <v>0</v>
      </c>
      <c r="S5" s="76">
        <f>SUMIFS('июль 2025'!$G$2:$G$2437,'июль 2025'!$D$2:$D$2437,$B5,'июль 2025'!$J$2:$J$2437,S$1)</f>
        <v>0</v>
      </c>
      <c r="T5" s="76">
        <f>SUMIFS('июль 2025'!$G$2:$G$2437,'июль 2025'!$D$2:$D$2437,$B5,'июль 2025'!$J$2:$J$2437,T$1)</f>
        <v>0</v>
      </c>
      <c r="U5" s="76">
        <f>SUMIFS('июль 2025'!$G$2:$G$2437,'июль 2025'!$D$2:$D$2437,$B5,'июль 2025'!$J$2:$J$2437,U$1)</f>
        <v>0</v>
      </c>
      <c r="V5" s="76">
        <f>SUMIFS('июль 2025'!$G$2:$G$2437,'июль 2025'!$D$2:$D$2437,$B5,'июль 2025'!$J$2:$J$2437,V$1)</f>
        <v>0</v>
      </c>
      <c r="W5" s="76">
        <f>SUMIFS('июль 2025'!$G$2:$G$2437,'июль 2025'!$D$2:$D$2437,$B5,'июль 2025'!$J$2:$J$2437,W$1)</f>
        <v>0</v>
      </c>
      <c r="X5" s="76">
        <f>SUMIFS('июль 2025'!$G$2:$G$2437,'июль 2025'!$D$2:$D$2437,$B5,'июль 2025'!$J$2:$J$2437,X$1)</f>
        <v>0</v>
      </c>
      <c r="Y5" s="76">
        <f>SUMIFS('июль 2025'!$G$2:$G$2437,'июль 2025'!$D$2:$D$2437,$B5,'июль 2025'!$J$2:$J$2437,Y$1)</f>
        <v>0</v>
      </c>
      <c r="Z5" s="76">
        <f>SUMIFS('июль 2025'!$G$2:$G$2437,'июль 2025'!$D$2:$D$2437,$B5,'июль 2025'!$J$2:$J$2437,Z$1)</f>
        <v>0</v>
      </c>
      <c r="AA5" s="76">
        <f>SUMIFS('июль 2025'!$G$2:$G$2437,'июль 2025'!$D$2:$D$2437,$B5,'июль 2025'!$J$2:$J$2437,AA$1)</f>
        <v>0</v>
      </c>
      <c r="AB5" s="76">
        <f>SUMIFS('июль 2025'!$G$2:$G$2437,'июль 2025'!$D$2:$D$2437,$B5,'июль 2025'!$J$2:$J$2437,AB$1)</f>
        <v>0</v>
      </c>
      <c r="AC5" s="76">
        <f>SUMIFS('июль 2025'!$G$2:$G$2437,'июль 2025'!$D$2:$D$2437,$B5,'июль 2025'!$J$2:$J$2437,AC$1)</f>
        <v>0</v>
      </c>
      <c r="AD5" s="76">
        <f>SUMIFS('июль 2025'!$G$2:$G$2437,'июль 2025'!$D$2:$D$2437,$B5,'июль 2025'!$J$2:$J$2437,AD$1)</f>
        <v>0</v>
      </c>
      <c r="AE5" s="76">
        <f>SUMIFS('июль 2025'!$G$2:$G$2437,'июль 2025'!$D$2:$D$2437,$B5,'июль 2025'!$J$2:$J$2437,AE$1)</f>
        <v>800</v>
      </c>
      <c r="AF5" s="76">
        <f>SUMIFS('июль 2025'!$G$2:$G$2437,'июль 2025'!$D$2:$D$2437,$B5,'июль 2025'!$J$2:$J$2437,AF$1)</f>
        <v>0</v>
      </c>
      <c r="AG5" s="76">
        <f>SUMIFS('июль 2025'!$G$2:$G$2437,'июль 2025'!$D$2:$D$2437,$B5,'июль 2025'!$J$2:$J$2437,AG$1)</f>
        <v>0</v>
      </c>
      <c r="AH5" s="76">
        <f>SUMIFS('июль 2025'!$G$2:$G$2437,'июль 2025'!$D$2:$D$2437,$B5,'июль 2025'!$J$2:$J$2437,AH$1)</f>
        <v>0</v>
      </c>
      <c r="AI5" s="20">
        <f t="shared" si="1"/>
        <v>800</v>
      </c>
    </row>
    <row r="6" spans="2:35" ht="15" customHeight="1" x14ac:dyDescent="0.25">
      <c r="B6" s="77" t="s">
        <v>216</v>
      </c>
      <c r="C6" s="78">
        <v>25</v>
      </c>
      <c r="D6" s="76">
        <f>SUMIFS('июль 2025'!$G$2:$G$2437,'июль 2025'!$D$2:$D$2437,$B6,'июль 2025'!$J$2:$J$2437,D$1)</f>
        <v>0</v>
      </c>
      <c r="E6" s="76">
        <f>SUMIFS('июль 2025'!$G$2:$G$2437,'июль 2025'!$D$2:$D$2437,$B6,'июль 2025'!$J$2:$J$2437,E$1)</f>
        <v>0</v>
      </c>
      <c r="F6" s="76">
        <f>SUMIFS('июль 2025'!$G$2:$G$2437,'июль 2025'!$D$2:$D$2437,$B6,'июль 2025'!$J$2:$J$2437,F$1)</f>
        <v>0</v>
      </c>
      <c r="G6" s="76">
        <f>SUMIFS('июль 2025'!$G$2:$G$2437,'июль 2025'!$D$2:$D$2437,$B6,'июль 2025'!$J$2:$J$2437,G$1)</f>
        <v>0</v>
      </c>
      <c r="H6" s="76">
        <f>SUMIFS('июль 2025'!$G$2:$G$2437,'июль 2025'!$D$2:$D$2437,$B6,'июль 2025'!$J$2:$J$2437,H$1)</f>
        <v>0</v>
      </c>
      <c r="I6" s="76">
        <f>SUMIFS('июль 2025'!$G$2:$G$2437,'июль 2025'!$D$2:$D$2437,$B6,'июль 2025'!$J$2:$J$2437,I$1)</f>
        <v>0</v>
      </c>
      <c r="J6" s="76">
        <f>SUMIFS('июль 2025'!$G$2:$G$2437,'июль 2025'!$D$2:$D$2437,$B6,'июль 2025'!$J$2:$J$2437,J$1)</f>
        <v>0</v>
      </c>
      <c r="K6" s="76">
        <f>SUMIFS('июль 2025'!$G$2:$G$2437,'июль 2025'!$D$2:$D$2437,$B6,'июль 2025'!$J$2:$J$2437,K$1)</f>
        <v>0</v>
      </c>
      <c r="L6" s="76">
        <f>SUMIFS('июль 2025'!$G$2:$G$2437,'июль 2025'!$D$2:$D$2437,$B6,'июль 2025'!$J$2:$J$2437,L$1)</f>
        <v>0</v>
      </c>
      <c r="M6" s="76">
        <f>SUMIFS('июль 2025'!$G$2:$G$2437,'июль 2025'!$D$2:$D$2437,$B6,'июль 2025'!$J$2:$J$2437,M$1)</f>
        <v>0</v>
      </c>
      <c r="N6" s="76">
        <f>SUMIFS('июль 2025'!$G$2:$G$2437,'июль 2025'!$D$2:$D$2437,$B6,'июль 2025'!$J$2:$J$2437,N$1)</f>
        <v>0</v>
      </c>
      <c r="O6" s="76">
        <f>SUMIFS('июль 2025'!$G$2:$G$2437,'июль 2025'!$D$2:$D$2437,$B6,'июль 2025'!$J$2:$J$2437,O$1)</f>
        <v>0</v>
      </c>
      <c r="P6" s="76">
        <f>SUMIFS('июль 2025'!$G$2:$G$2437,'июль 2025'!$D$2:$D$2437,$B6,'июль 2025'!$J$2:$J$2437,P$1)</f>
        <v>0</v>
      </c>
      <c r="Q6" s="76">
        <f>SUMIFS('июль 2025'!$G$2:$G$2437,'июль 2025'!$D$2:$D$2437,$B6,'июль 2025'!$J$2:$J$2437,Q$1)</f>
        <v>0</v>
      </c>
      <c r="R6" s="76">
        <f>SUMIFS('июль 2025'!$G$2:$G$2437,'июль 2025'!$D$2:$D$2437,$B6,'июль 2025'!$J$2:$J$2437,R$1)</f>
        <v>0</v>
      </c>
      <c r="S6" s="76">
        <f>SUMIFS('июль 2025'!$G$2:$G$2437,'июль 2025'!$D$2:$D$2437,$B6,'июль 2025'!$J$2:$J$2437,S$1)</f>
        <v>0</v>
      </c>
      <c r="T6" s="76">
        <f>SUMIFS('июль 2025'!$G$2:$G$2437,'июль 2025'!$D$2:$D$2437,$B6,'июль 2025'!$J$2:$J$2437,T$1)</f>
        <v>0</v>
      </c>
      <c r="U6" s="76">
        <f>SUMIFS('июль 2025'!$G$2:$G$2437,'июль 2025'!$D$2:$D$2437,$B6,'июль 2025'!$J$2:$J$2437,U$1)</f>
        <v>0</v>
      </c>
      <c r="V6" s="76">
        <f>SUMIFS('июль 2025'!$G$2:$G$2437,'июль 2025'!$D$2:$D$2437,$B6,'июль 2025'!$J$2:$J$2437,V$1)</f>
        <v>0</v>
      </c>
      <c r="W6" s="76">
        <f>SUMIFS('июль 2025'!$G$2:$G$2437,'июль 2025'!$D$2:$D$2437,$B6,'июль 2025'!$J$2:$J$2437,W$1)</f>
        <v>0</v>
      </c>
      <c r="X6" s="76">
        <f>SUMIFS('июль 2025'!$G$2:$G$2437,'июль 2025'!$D$2:$D$2437,$B6,'июль 2025'!$J$2:$J$2437,X$1)</f>
        <v>0</v>
      </c>
      <c r="Y6" s="76">
        <f>SUMIFS('июль 2025'!$G$2:$G$2437,'июль 2025'!$D$2:$D$2437,$B6,'июль 2025'!$J$2:$J$2437,Y$1)</f>
        <v>0</v>
      </c>
      <c r="Z6" s="76">
        <f>SUMIFS('июль 2025'!$G$2:$G$2437,'июль 2025'!$D$2:$D$2437,$B6,'июль 2025'!$J$2:$J$2437,Z$1)</f>
        <v>0</v>
      </c>
      <c r="AA6" s="76">
        <f>SUMIFS('июль 2025'!$G$2:$G$2437,'июль 2025'!$D$2:$D$2437,$B6,'июль 2025'!$J$2:$J$2437,AA$1)</f>
        <v>0</v>
      </c>
      <c r="AB6" s="76">
        <f>SUMIFS('июль 2025'!$G$2:$G$2437,'июль 2025'!$D$2:$D$2437,$B6,'июль 2025'!$J$2:$J$2437,AB$1)</f>
        <v>0</v>
      </c>
      <c r="AC6" s="76">
        <f>SUMIFS('июль 2025'!$G$2:$G$2437,'июль 2025'!$D$2:$D$2437,$B6,'июль 2025'!$J$2:$J$2437,AC$1)</f>
        <v>0</v>
      </c>
      <c r="AD6" s="76">
        <f>SUMIFS('июль 2025'!$G$2:$G$2437,'июль 2025'!$D$2:$D$2437,$B6,'июль 2025'!$J$2:$J$2437,AD$1)</f>
        <v>0</v>
      </c>
      <c r="AE6" s="76">
        <f>SUMIFS('июль 2025'!$G$2:$G$2437,'июль 2025'!$D$2:$D$2437,$B6,'июль 2025'!$J$2:$J$2437,AE$1)</f>
        <v>0</v>
      </c>
      <c r="AF6" s="76">
        <f>SUMIFS('июль 2025'!$G$2:$G$2437,'июль 2025'!$D$2:$D$2437,$B6,'июль 2025'!$J$2:$J$2437,AF$1)</f>
        <v>0</v>
      </c>
      <c r="AG6" s="76">
        <f>SUMIFS('июль 2025'!$G$2:$G$2437,'июль 2025'!$D$2:$D$2437,$B6,'июль 2025'!$J$2:$J$2437,AG$1)</f>
        <v>0</v>
      </c>
      <c r="AH6" s="76">
        <f>SUMIFS('июль 2025'!$G$2:$G$2437,'июль 2025'!$D$2:$D$2437,$B6,'июль 2025'!$J$2:$J$2437,AH$1)</f>
        <v>0</v>
      </c>
      <c r="AI6" s="20">
        <f t="shared" si="1"/>
        <v>0</v>
      </c>
    </row>
    <row r="7" spans="2:35" ht="15" customHeight="1" x14ac:dyDescent="0.25">
      <c r="B7" s="77" t="s">
        <v>218</v>
      </c>
      <c r="C7" s="78">
        <v>22.7</v>
      </c>
      <c r="D7" s="76">
        <f>SUMIFS('июль 2025'!$G$2:$G$2437,'июль 2025'!$D$2:$D$2437,$B7,'июль 2025'!$J$2:$J$2437,D$1)</f>
        <v>0</v>
      </c>
      <c r="E7" s="76">
        <f>SUMIFS('июль 2025'!$G$2:$G$2437,'июль 2025'!$D$2:$D$2437,$B7,'июль 2025'!$J$2:$J$2437,E$1)</f>
        <v>0</v>
      </c>
      <c r="F7" s="76">
        <f>SUMIFS('июль 2025'!$G$2:$G$2437,'июль 2025'!$D$2:$D$2437,$B7,'июль 2025'!$J$2:$J$2437,F$1)</f>
        <v>0</v>
      </c>
      <c r="G7" s="76">
        <f>SUMIFS('июль 2025'!$G$2:$G$2437,'июль 2025'!$D$2:$D$2437,$B7,'июль 2025'!$J$2:$J$2437,G$1)</f>
        <v>0</v>
      </c>
      <c r="H7" s="76">
        <f>SUMIFS('июль 2025'!$G$2:$G$2437,'июль 2025'!$D$2:$D$2437,$B7,'июль 2025'!$J$2:$J$2437,H$1)</f>
        <v>0</v>
      </c>
      <c r="I7" s="76">
        <f>SUMIFS('июль 2025'!$G$2:$G$2437,'июль 2025'!$D$2:$D$2437,$B7,'июль 2025'!$J$2:$J$2437,I$1)</f>
        <v>0</v>
      </c>
      <c r="J7" s="76">
        <f>SUMIFS('июль 2025'!$G$2:$G$2437,'июль 2025'!$D$2:$D$2437,$B7,'июль 2025'!$J$2:$J$2437,J$1)</f>
        <v>0</v>
      </c>
      <c r="K7" s="76">
        <f>SUMIFS('июль 2025'!$G$2:$G$2437,'июль 2025'!$D$2:$D$2437,$B7,'июль 2025'!$J$2:$J$2437,K$1)</f>
        <v>0</v>
      </c>
      <c r="L7" s="76">
        <f>SUMIFS('июль 2025'!$G$2:$G$2437,'июль 2025'!$D$2:$D$2437,$B7,'июль 2025'!$J$2:$J$2437,L$1)</f>
        <v>0</v>
      </c>
      <c r="M7" s="76">
        <f>SUMIFS('июль 2025'!$G$2:$G$2437,'июль 2025'!$D$2:$D$2437,$B7,'июль 2025'!$J$2:$J$2437,M$1)</f>
        <v>0</v>
      </c>
      <c r="N7" s="76">
        <f>SUMIFS('июль 2025'!$G$2:$G$2437,'июль 2025'!$D$2:$D$2437,$B7,'июль 2025'!$J$2:$J$2437,N$1)</f>
        <v>0</v>
      </c>
      <c r="O7" s="76">
        <f>SUMIFS('июль 2025'!$G$2:$G$2437,'июль 2025'!$D$2:$D$2437,$B7,'июль 2025'!$J$2:$J$2437,O$1)</f>
        <v>0</v>
      </c>
      <c r="P7" s="76">
        <f>SUMIFS('июль 2025'!$G$2:$G$2437,'июль 2025'!$D$2:$D$2437,$B7,'июль 2025'!$J$2:$J$2437,P$1)</f>
        <v>0</v>
      </c>
      <c r="Q7" s="76">
        <f>SUMIFS('июль 2025'!$G$2:$G$2437,'июль 2025'!$D$2:$D$2437,$B7,'июль 2025'!$J$2:$J$2437,Q$1)</f>
        <v>0</v>
      </c>
      <c r="R7" s="76">
        <f>SUMIFS('июль 2025'!$G$2:$G$2437,'июль 2025'!$D$2:$D$2437,$B7,'июль 2025'!$J$2:$J$2437,R$1)</f>
        <v>0</v>
      </c>
      <c r="S7" s="76">
        <f>SUMIFS('июль 2025'!$G$2:$G$2437,'июль 2025'!$D$2:$D$2437,$B7,'июль 2025'!$J$2:$J$2437,S$1)</f>
        <v>0</v>
      </c>
      <c r="T7" s="76">
        <f>SUMIFS('июль 2025'!$G$2:$G$2437,'июль 2025'!$D$2:$D$2437,$B7,'июль 2025'!$J$2:$J$2437,T$1)</f>
        <v>0</v>
      </c>
      <c r="U7" s="76">
        <f>SUMIFS('июль 2025'!$G$2:$G$2437,'июль 2025'!$D$2:$D$2437,$B7,'июль 2025'!$J$2:$J$2437,U$1)</f>
        <v>0</v>
      </c>
      <c r="V7" s="76">
        <f>SUMIFS('июль 2025'!$G$2:$G$2437,'июль 2025'!$D$2:$D$2437,$B7,'июль 2025'!$J$2:$J$2437,V$1)</f>
        <v>0</v>
      </c>
      <c r="W7" s="76">
        <f>SUMIFS('июль 2025'!$G$2:$G$2437,'июль 2025'!$D$2:$D$2437,$B7,'июль 2025'!$J$2:$J$2437,W$1)</f>
        <v>0</v>
      </c>
      <c r="X7" s="76">
        <f>SUMIFS('июль 2025'!$G$2:$G$2437,'июль 2025'!$D$2:$D$2437,$B7,'июль 2025'!$J$2:$J$2437,X$1)</f>
        <v>0</v>
      </c>
      <c r="Y7" s="76">
        <f>SUMIFS('июль 2025'!$G$2:$G$2437,'июль 2025'!$D$2:$D$2437,$B7,'июль 2025'!$J$2:$J$2437,Y$1)</f>
        <v>0</v>
      </c>
      <c r="Z7" s="76">
        <f>SUMIFS('июль 2025'!$G$2:$G$2437,'июль 2025'!$D$2:$D$2437,$B7,'июль 2025'!$J$2:$J$2437,Z$1)</f>
        <v>0</v>
      </c>
      <c r="AA7" s="76">
        <f>SUMIFS('июль 2025'!$G$2:$G$2437,'июль 2025'!$D$2:$D$2437,$B7,'июль 2025'!$J$2:$J$2437,AA$1)</f>
        <v>0</v>
      </c>
      <c r="AB7" s="76">
        <f>SUMIFS('июль 2025'!$G$2:$G$2437,'июль 2025'!$D$2:$D$2437,$B7,'июль 2025'!$J$2:$J$2437,AB$1)</f>
        <v>0</v>
      </c>
      <c r="AC7" s="76">
        <f>SUMIFS('июль 2025'!$G$2:$G$2437,'июль 2025'!$D$2:$D$2437,$B7,'июль 2025'!$J$2:$J$2437,AC$1)</f>
        <v>0</v>
      </c>
      <c r="AD7" s="76">
        <f>SUMIFS('июль 2025'!$G$2:$G$2437,'июль 2025'!$D$2:$D$2437,$B7,'июль 2025'!$J$2:$J$2437,AD$1)</f>
        <v>0</v>
      </c>
      <c r="AE7" s="76">
        <f>SUMIFS('июль 2025'!$G$2:$G$2437,'июль 2025'!$D$2:$D$2437,$B7,'июль 2025'!$J$2:$J$2437,AE$1)</f>
        <v>0</v>
      </c>
      <c r="AF7" s="76">
        <f>SUMIFS('июль 2025'!$G$2:$G$2437,'июль 2025'!$D$2:$D$2437,$B7,'июль 2025'!$J$2:$J$2437,AF$1)</f>
        <v>0</v>
      </c>
      <c r="AG7" s="76">
        <f>SUMIFS('июль 2025'!$G$2:$G$2437,'июль 2025'!$D$2:$D$2437,$B7,'июль 2025'!$J$2:$J$2437,AG$1)</f>
        <v>0</v>
      </c>
      <c r="AH7" s="76">
        <f>SUMIFS('июль 2025'!$G$2:$G$2437,'июль 2025'!$D$2:$D$2437,$B7,'июль 2025'!$J$2:$J$2437,AH$1)</f>
        <v>0</v>
      </c>
      <c r="AI7" s="20">
        <f t="shared" si="1"/>
        <v>0</v>
      </c>
    </row>
    <row r="8" spans="2:35" ht="15" customHeight="1" x14ac:dyDescent="0.25">
      <c r="B8" s="77" t="s">
        <v>220</v>
      </c>
      <c r="C8" s="78">
        <v>22.7</v>
      </c>
      <c r="D8" s="76">
        <f>SUMIFS('июль 2025'!$G$2:$G$2437,'июль 2025'!$D$2:$D$2437,$B8,'июль 2025'!$J$2:$J$2437,D$1)</f>
        <v>0</v>
      </c>
      <c r="E8" s="76">
        <f>SUMIFS('июль 2025'!$G$2:$G$2437,'июль 2025'!$D$2:$D$2437,$B8,'июль 2025'!$J$2:$J$2437,E$1)</f>
        <v>0</v>
      </c>
      <c r="F8" s="76">
        <f>SUMIFS('июль 2025'!$G$2:$G$2437,'июль 2025'!$D$2:$D$2437,$B8,'июль 2025'!$J$2:$J$2437,F$1)</f>
        <v>0</v>
      </c>
      <c r="G8" s="76">
        <f>SUMIFS('июль 2025'!$G$2:$G$2437,'июль 2025'!$D$2:$D$2437,$B8,'июль 2025'!$J$2:$J$2437,G$1)</f>
        <v>0</v>
      </c>
      <c r="H8" s="76">
        <f>SUMIFS('июль 2025'!$G$2:$G$2437,'июль 2025'!$D$2:$D$2437,$B8,'июль 2025'!$J$2:$J$2437,H$1)</f>
        <v>0</v>
      </c>
      <c r="I8" s="76">
        <f>SUMIFS('июль 2025'!$G$2:$G$2437,'июль 2025'!$D$2:$D$2437,$B8,'июль 2025'!$J$2:$J$2437,I$1)</f>
        <v>0</v>
      </c>
      <c r="J8" s="76">
        <f>SUMIFS('июль 2025'!$G$2:$G$2437,'июль 2025'!$D$2:$D$2437,$B8,'июль 2025'!$J$2:$J$2437,J$1)</f>
        <v>0</v>
      </c>
      <c r="K8" s="76">
        <f>SUMIFS('июль 2025'!$G$2:$G$2437,'июль 2025'!$D$2:$D$2437,$B8,'июль 2025'!$J$2:$J$2437,K$1)</f>
        <v>0</v>
      </c>
      <c r="L8" s="76">
        <f>SUMIFS('июль 2025'!$G$2:$G$2437,'июль 2025'!$D$2:$D$2437,$B8,'июль 2025'!$J$2:$J$2437,L$1)</f>
        <v>0</v>
      </c>
      <c r="M8" s="76">
        <f>SUMIFS('июль 2025'!$G$2:$G$2437,'июль 2025'!$D$2:$D$2437,$B8,'июль 2025'!$J$2:$J$2437,M$1)</f>
        <v>0</v>
      </c>
      <c r="N8" s="76">
        <f>SUMIFS('июль 2025'!$G$2:$G$2437,'июль 2025'!$D$2:$D$2437,$B8,'июль 2025'!$J$2:$J$2437,N$1)</f>
        <v>0</v>
      </c>
      <c r="O8" s="76">
        <f>SUMIFS('июль 2025'!$G$2:$G$2437,'июль 2025'!$D$2:$D$2437,$B8,'июль 2025'!$J$2:$J$2437,O$1)</f>
        <v>0</v>
      </c>
      <c r="P8" s="76">
        <f>SUMIFS('июль 2025'!$G$2:$G$2437,'июль 2025'!$D$2:$D$2437,$B8,'июль 2025'!$J$2:$J$2437,P$1)</f>
        <v>0</v>
      </c>
      <c r="Q8" s="76">
        <f>SUMIFS('июль 2025'!$G$2:$G$2437,'июль 2025'!$D$2:$D$2437,$B8,'июль 2025'!$J$2:$J$2437,Q$1)</f>
        <v>0</v>
      </c>
      <c r="R8" s="76">
        <f>SUMIFS('июль 2025'!$G$2:$G$2437,'июль 2025'!$D$2:$D$2437,$B8,'июль 2025'!$J$2:$J$2437,R$1)</f>
        <v>0</v>
      </c>
      <c r="S8" s="76">
        <f>SUMIFS('июль 2025'!$G$2:$G$2437,'июль 2025'!$D$2:$D$2437,$B8,'июль 2025'!$J$2:$J$2437,S$1)</f>
        <v>0</v>
      </c>
      <c r="T8" s="76">
        <f>SUMIFS('июль 2025'!$G$2:$G$2437,'июль 2025'!$D$2:$D$2437,$B8,'июль 2025'!$J$2:$J$2437,T$1)</f>
        <v>0</v>
      </c>
      <c r="U8" s="76">
        <f>SUMIFS('июль 2025'!$G$2:$G$2437,'июль 2025'!$D$2:$D$2437,$B8,'июль 2025'!$J$2:$J$2437,U$1)</f>
        <v>0</v>
      </c>
      <c r="V8" s="76">
        <f>SUMIFS('июль 2025'!$G$2:$G$2437,'июль 2025'!$D$2:$D$2437,$B8,'июль 2025'!$J$2:$J$2437,V$1)</f>
        <v>0</v>
      </c>
      <c r="W8" s="76">
        <f>SUMIFS('июль 2025'!$G$2:$G$2437,'июль 2025'!$D$2:$D$2437,$B8,'июль 2025'!$J$2:$J$2437,W$1)</f>
        <v>0</v>
      </c>
      <c r="X8" s="76">
        <f>SUMIFS('июль 2025'!$G$2:$G$2437,'июль 2025'!$D$2:$D$2437,$B8,'июль 2025'!$J$2:$J$2437,X$1)</f>
        <v>0</v>
      </c>
      <c r="Y8" s="76">
        <f>SUMIFS('июль 2025'!$G$2:$G$2437,'июль 2025'!$D$2:$D$2437,$B8,'июль 2025'!$J$2:$J$2437,Y$1)</f>
        <v>0</v>
      </c>
      <c r="Z8" s="76">
        <f>SUMIFS('июль 2025'!$G$2:$G$2437,'июль 2025'!$D$2:$D$2437,$B8,'июль 2025'!$J$2:$J$2437,Z$1)</f>
        <v>0</v>
      </c>
      <c r="AA8" s="76">
        <f>SUMIFS('июль 2025'!$G$2:$G$2437,'июль 2025'!$D$2:$D$2437,$B8,'июль 2025'!$J$2:$J$2437,AA$1)</f>
        <v>0</v>
      </c>
      <c r="AB8" s="76">
        <f>SUMIFS('июль 2025'!$G$2:$G$2437,'июль 2025'!$D$2:$D$2437,$B8,'июль 2025'!$J$2:$J$2437,AB$1)</f>
        <v>0</v>
      </c>
      <c r="AC8" s="76">
        <f>SUMIFS('июль 2025'!$G$2:$G$2437,'июль 2025'!$D$2:$D$2437,$B8,'июль 2025'!$J$2:$J$2437,AC$1)</f>
        <v>0</v>
      </c>
      <c r="AD8" s="76">
        <f>SUMIFS('июль 2025'!$G$2:$G$2437,'июль 2025'!$D$2:$D$2437,$B8,'июль 2025'!$J$2:$J$2437,AD$1)</f>
        <v>0</v>
      </c>
      <c r="AE8" s="76">
        <f>SUMIFS('июль 2025'!$G$2:$G$2437,'июль 2025'!$D$2:$D$2437,$B8,'июль 2025'!$J$2:$J$2437,AE$1)</f>
        <v>0</v>
      </c>
      <c r="AF8" s="76">
        <f>SUMIFS('июль 2025'!$G$2:$G$2437,'июль 2025'!$D$2:$D$2437,$B8,'июль 2025'!$J$2:$J$2437,AF$1)</f>
        <v>0</v>
      </c>
      <c r="AG8" s="76">
        <f>SUMIFS('июль 2025'!$G$2:$G$2437,'июль 2025'!$D$2:$D$2437,$B8,'июль 2025'!$J$2:$J$2437,AG$1)</f>
        <v>0</v>
      </c>
      <c r="AH8" s="76">
        <f>SUMIFS('июль 2025'!$G$2:$G$2437,'июль 2025'!$D$2:$D$2437,$B8,'июль 2025'!$J$2:$J$2437,AH$1)</f>
        <v>0</v>
      </c>
      <c r="AI8" s="20">
        <f t="shared" si="1"/>
        <v>0</v>
      </c>
    </row>
    <row r="9" spans="2:35" ht="15" customHeight="1" x14ac:dyDescent="0.25">
      <c r="B9" s="79" t="s">
        <v>222</v>
      </c>
      <c r="C9" s="78">
        <v>25</v>
      </c>
      <c r="D9" s="76">
        <f>SUMIFS('июль 2025'!$G$2:$G$2437,'июль 2025'!$D$2:$D$2437,$B9,'июль 2025'!$J$2:$J$2437,D$1)</f>
        <v>0</v>
      </c>
      <c r="E9" s="76">
        <f>SUMIFS('июль 2025'!$G$2:$G$2437,'июль 2025'!$D$2:$D$2437,$B9,'июль 2025'!$J$2:$J$2437,E$1)</f>
        <v>0</v>
      </c>
      <c r="F9" s="76">
        <f>SUMIFS('июль 2025'!$G$2:$G$2437,'июль 2025'!$D$2:$D$2437,$B9,'июль 2025'!$J$2:$J$2437,F$1)</f>
        <v>0</v>
      </c>
      <c r="G9" s="76">
        <f>SUMIFS('июль 2025'!$G$2:$G$2437,'июль 2025'!$D$2:$D$2437,$B9,'июль 2025'!$J$2:$J$2437,G$1)</f>
        <v>0</v>
      </c>
      <c r="H9" s="76">
        <f>SUMIFS('июль 2025'!$G$2:$G$2437,'июль 2025'!$D$2:$D$2437,$B9,'июль 2025'!$J$2:$J$2437,H$1)</f>
        <v>0</v>
      </c>
      <c r="I9" s="76">
        <f>SUMIFS('июль 2025'!$G$2:$G$2437,'июль 2025'!$D$2:$D$2437,$B9,'июль 2025'!$J$2:$J$2437,I$1)</f>
        <v>0</v>
      </c>
      <c r="J9" s="76">
        <f>SUMIFS('июль 2025'!$G$2:$G$2437,'июль 2025'!$D$2:$D$2437,$B9,'июль 2025'!$J$2:$J$2437,J$1)</f>
        <v>0</v>
      </c>
      <c r="K9" s="76">
        <f>SUMIFS('июль 2025'!$G$2:$G$2437,'июль 2025'!$D$2:$D$2437,$B9,'июль 2025'!$J$2:$J$2437,K$1)</f>
        <v>0</v>
      </c>
      <c r="L9" s="76">
        <f>SUMIFS('июль 2025'!$G$2:$G$2437,'июль 2025'!$D$2:$D$2437,$B9,'июль 2025'!$J$2:$J$2437,L$1)</f>
        <v>0</v>
      </c>
      <c r="M9" s="76">
        <f>SUMIFS('июль 2025'!$G$2:$G$2437,'июль 2025'!$D$2:$D$2437,$B9,'июль 2025'!$J$2:$J$2437,M$1)</f>
        <v>0</v>
      </c>
      <c r="N9" s="76">
        <f>SUMIFS('июль 2025'!$G$2:$G$2437,'июль 2025'!$D$2:$D$2437,$B9,'июль 2025'!$J$2:$J$2437,N$1)</f>
        <v>400</v>
      </c>
      <c r="O9" s="76">
        <f>SUMIFS('июль 2025'!$G$2:$G$2437,'июль 2025'!$D$2:$D$2437,$B9,'июль 2025'!$J$2:$J$2437,O$1)</f>
        <v>0</v>
      </c>
      <c r="P9" s="76">
        <f>SUMIFS('июль 2025'!$G$2:$G$2437,'июль 2025'!$D$2:$D$2437,$B9,'июль 2025'!$J$2:$J$2437,P$1)</f>
        <v>0</v>
      </c>
      <c r="Q9" s="76">
        <f>SUMIFS('июль 2025'!$G$2:$G$2437,'июль 2025'!$D$2:$D$2437,$B9,'июль 2025'!$J$2:$J$2437,Q$1)</f>
        <v>0</v>
      </c>
      <c r="R9" s="76">
        <f>SUMIFS('июль 2025'!$G$2:$G$2437,'июль 2025'!$D$2:$D$2437,$B9,'июль 2025'!$J$2:$J$2437,R$1)</f>
        <v>0</v>
      </c>
      <c r="S9" s="76">
        <f>SUMIFS('июль 2025'!$G$2:$G$2437,'июль 2025'!$D$2:$D$2437,$B9,'июль 2025'!$J$2:$J$2437,S$1)</f>
        <v>0</v>
      </c>
      <c r="T9" s="76">
        <f>SUMIFS('июль 2025'!$G$2:$G$2437,'июль 2025'!$D$2:$D$2437,$B9,'июль 2025'!$J$2:$J$2437,T$1)</f>
        <v>0</v>
      </c>
      <c r="U9" s="76">
        <f>SUMIFS('июль 2025'!$G$2:$G$2437,'июль 2025'!$D$2:$D$2437,$B9,'июль 2025'!$J$2:$J$2437,U$1)</f>
        <v>0</v>
      </c>
      <c r="V9" s="76">
        <f>SUMIFS('июль 2025'!$G$2:$G$2437,'июль 2025'!$D$2:$D$2437,$B9,'июль 2025'!$J$2:$J$2437,V$1)</f>
        <v>0</v>
      </c>
      <c r="W9" s="76">
        <f>SUMIFS('июль 2025'!$G$2:$G$2437,'июль 2025'!$D$2:$D$2437,$B9,'июль 2025'!$J$2:$J$2437,W$1)</f>
        <v>0</v>
      </c>
      <c r="X9" s="76">
        <f>SUMIFS('июль 2025'!$G$2:$G$2437,'июль 2025'!$D$2:$D$2437,$B9,'июль 2025'!$J$2:$J$2437,X$1)</f>
        <v>0</v>
      </c>
      <c r="Y9" s="76">
        <f>SUMIFS('июль 2025'!$G$2:$G$2437,'июль 2025'!$D$2:$D$2437,$B9,'июль 2025'!$J$2:$J$2437,Y$1)</f>
        <v>0</v>
      </c>
      <c r="Z9" s="76">
        <f>SUMIFS('июль 2025'!$G$2:$G$2437,'июль 2025'!$D$2:$D$2437,$B9,'июль 2025'!$J$2:$J$2437,Z$1)</f>
        <v>0</v>
      </c>
      <c r="AA9" s="76">
        <f>SUMIFS('июль 2025'!$G$2:$G$2437,'июль 2025'!$D$2:$D$2437,$B9,'июль 2025'!$J$2:$J$2437,AA$1)</f>
        <v>0</v>
      </c>
      <c r="AB9" s="76">
        <f>SUMIFS('июль 2025'!$G$2:$G$2437,'июль 2025'!$D$2:$D$2437,$B9,'июль 2025'!$J$2:$J$2437,AB$1)</f>
        <v>0</v>
      </c>
      <c r="AC9" s="76">
        <f>SUMIFS('июль 2025'!$G$2:$G$2437,'июль 2025'!$D$2:$D$2437,$B9,'июль 2025'!$J$2:$J$2437,AC$1)</f>
        <v>0</v>
      </c>
      <c r="AD9" s="76">
        <f>SUMIFS('июль 2025'!$G$2:$G$2437,'июль 2025'!$D$2:$D$2437,$B9,'июль 2025'!$J$2:$J$2437,AD$1)</f>
        <v>0</v>
      </c>
      <c r="AE9" s="76">
        <f>SUMIFS('июль 2025'!$G$2:$G$2437,'июль 2025'!$D$2:$D$2437,$B9,'июль 2025'!$J$2:$J$2437,AE$1)</f>
        <v>0</v>
      </c>
      <c r="AF9" s="76">
        <f>SUMIFS('июль 2025'!$G$2:$G$2437,'июль 2025'!$D$2:$D$2437,$B9,'июль 2025'!$J$2:$J$2437,AF$1)</f>
        <v>0</v>
      </c>
      <c r="AG9" s="76">
        <f>SUMIFS('июль 2025'!$G$2:$G$2437,'июль 2025'!$D$2:$D$2437,$B9,'июль 2025'!$J$2:$J$2437,AG$1)</f>
        <v>0</v>
      </c>
      <c r="AH9" s="76">
        <f>SUMIFS('июль 2025'!$G$2:$G$2437,'июль 2025'!$D$2:$D$2437,$B9,'июль 2025'!$J$2:$J$2437,AH$1)</f>
        <v>0</v>
      </c>
      <c r="AI9" s="20">
        <f t="shared" si="1"/>
        <v>400</v>
      </c>
    </row>
    <row r="10" spans="2:35" ht="15" customHeight="1" x14ac:dyDescent="0.25">
      <c r="B10" s="77" t="s">
        <v>224</v>
      </c>
      <c r="C10" s="78">
        <v>25</v>
      </c>
      <c r="D10" s="76">
        <f>SUMIFS('июль 2025'!$G$2:$G$2437,'июль 2025'!$D$2:$D$2437,$B10,'июль 2025'!$J$2:$J$2437,D$1)</f>
        <v>0</v>
      </c>
      <c r="E10" s="76">
        <f>SUMIFS('июль 2025'!$G$2:$G$2437,'июль 2025'!$D$2:$D$2437,$B10,'июль 2025'!$J$2:$J$2437,E$1)</f>
        <v>0</v>
      </c>
      <c r="F10" s="76">
        <f>SUMIFS('июль 2025'!$G$2:$G$2437,'июль 2025'!$D$2:$D$2437,$B10,'июль 2025'!$J$2:$J$2437,F$1)</f>
        <v>0</v>
      </c>
      <c r="G10" s="76">
        <f>SUMIFS('июль 2025'!$G$2:$G$2437,'июль 2025'!$D$2:$D$2437,$B10,'июль 2025'!$J$2:$J$2437,G$1)</f>
        <v>0</v>
      </c>
      <c r="H10" s="76">
        <f>SUMIFS('июль 2025'!$G$2:$G$2437,'июль 2025'!$D$2:$D$2437,$B10,'июль 2025'!$J$2:$J$2437,H$1)</f>
        <v>0</v>
      </c>
      <c r="I10" s="76">
        <f>SUMIFS('июль 2025'!$G$2:$G$2437,'июль 2025'!$D$2:$D$2437,$B10,'июль 2025'!$J$2:$J$2437,I$1)</f>
        <v>0</v>
      </c>
      <c r="J10" s="76">
        <f>SUMIFS('июль 2025'!$G$2:$G$2437,'июль 2025'!$D$2:$D$2437,$B10,'июль 2025'!$J$2:$J$2437,J$1)</f>
        <v>0</v>
      </c>
      <c r="K10" s="76">
        <f>SUMIFS('июль 2025'!$G$2:$G$2437,'июль 2025'!$D$2:$D$2437,$B10,'июль 2025'!$J$2:$J$2437,K$1)</f>
        <v>0</v>
      </c>
      <c r="L10" s="76">
        <f>SUMIFS('июль 2025'!$G$2:$G$2437,'июль 2025'!$D$2:$D$2437,$B10,'июль 2025'!$J$2:$J$2437,L$1)</f>
        <v>0</v>
      </c>
      <c r="M10" s="76">
        <f>SUMIFS('июль 2025'!$G$2:$G$2437,'июль 2025'!$D$2:$D$2437,$B10,'июль 2025'!$J$2:$J$2437,M$1)</f>
        <v>0</v>
      </c>
      <c r="N10" s="76">
        <f>SUMIFS('июль 2025'!$G$2:$G$2437,'июль 2025'!$D$2:$D$2437,$B10,'июль 2025'!$J$2:$J$2437,N$1)</f>
        <v>0</v>
      </c>
      <c r="O10" s="76">
        <f>SUMIFS('июль 2025'!$G$2:$G$2437,'июль 2025'!$D$2:$D$2437,$B10,'июль 2025'!$J$2:$J$2437,O$1)</f>
        <v>0</v>
      </c>
      <c r="P10" s="76">
        <f>SUMIFS('июль 2025'!$G$2:$G$2437,'июль 2025'!$D$2:$D$2437,$B10,'июль 2025'!$J$2:$J$2437,P$1)</f>
        <v>0</v>
      </c>
      <c r="Q10" s="76">
        <f>SUMIFS('июль 2025'!$G$2:$G$2437,'июль 2025'!$D$2:$D$2437,$B10,'июль 2025'!$J$2:$J$2437,Q$1)</f>
        <v>0</v>
      </c>
      <c r="R10" s="76">
        <f>SUMIFS('июль 2025'!$G$2:$G$2437,'июль 2025'!$D$2:$D$2437,$B10,'июль 2025'!$J$2:$J$2437,R$1)</f>
        <v>0</v>
      </c>
      <c r="S10" s="76">
        <f>SUMIFS('июль 2025'!$G$2:$G$2437,'июль 2025'!$D$2:$D$2437,$B10,'июль 2025'!$J$2:$J$2437,S$1)</f>
        <v>0</v>
      </c>
      <c r="T10" s="76">
        <f>SUMIFS('июль 2025'!$G$2:$G$2437,'июль 2025'!$D$2:$D$2437,$B10,'июль 2025'!$J$2:$J$2437,T$1)</f>
        <v>0</v>
      </c>
      <c r="U10" s="76">
        <f>SUMIFS('июль 2025'!$G$2:$G$2437,'июль 2025'!$D$2:$D$2437,$B10,'июль 2025'!$J$2:$J$2437,U$1)</f>
        <v>0</v>
      </c>
      <c r="V10" s="76">
        <f>SUMIFS('июль 2025'!$G$2:$G$2437,'июль 2025'!$D$2:$D$2437,$B10,'июль 2025'!$J$2:$J$2437,V$1)</f>
        <v>0</v>
      </c>
      <c r="W10" s="76">
        <f>SUMIFS('июль 2025'!$G$2:$G$2437,'июль 2025'!$D$2:$D$2437,$B10,'июль 2025'!$J$2:$J$2437,W$1)</f>
        <v>0</v>
      </c>
      <c r="X10" s="76">
        <f>SUMIFS('июль 2025'!$G$2:$G$2437,'июль 2025'!$D$2:$D$2437,$B10,'июль 2025'!$J$2:$J$2437,X$1)</f>
        <v>0</v>
      </c>
      <c r="Y10" s="76">
        <f>SUMIFS('июль 2025'!$G$2:$G$2437,'июль 2025'!$D$2:$D$2437,$B10,'июль 2025'!$J$2:$J$2437,Y$1)</f>
        <v>0</v>
      </c>
      <c r="Z10" s="76">
        <f>SUMIFS('июль 2025'!$G$2:$G$2437,'июль 2025'!$D$2:$D$2437,$B10,'июль 2025'!$J$2:$J$2437,Z$1)</f>
        <v>0</v>
      </c>
      <c r="AA10" s="76">
        <f>SUMIFS('июль 2025'!$G$2:$G$2437,'июль 2025'!$D$2:$D$2437,$B10,'июль 2025'!$J$2:$J$2437,AA$1)</f>
        <v>0</v>
      </c>
      <c r="AB10" s="76">
        <f>SUMIFS('июль 2025'!$G$2:$G$2437,'июль 2025'!$D$2:$D$2437,$B10,'июль 2025'!$J$2:$J$2437,AB$1)</f>
        <v>0</v>
      </c>
      <c r="AC10" s="76">
        <f>SUMIFS('июль 2025'!$G$2:$G$2437,'июль 2025'!$D$2:$D$2437,$B10,'июль 2025'!$J$2:$J$2437,AC$1)</f>
        <v>0</v>
      </c>
      <c r="AD10" s="76">
        <f>SUMIFS('июль 2025'!$G$2:$G$2437,'июль 2025'!$D$2:$D$2437,$B10,'июль 2025'!$J$2:$J$2437,AD$1)</f>
        <v>0</v>
      </c>
      <c r="AE10" s="76">
        <f>SUMIFS('июль 2025'!$G$2:$G$2437,'июль 2025'!$D$2:$D$2437,$B10,'июль 2025'!$J$2:$J$2437,AE$1)</f>
        <v>0</v>
      </c>
      <c r="AF10" s="76">
        <f>SUMIFS('июль 2025'!$G$2:$G$2437,'июль 2025'!$D$2:$D$2437,$B10,'июль 2025'!$J$2:$J$2437,AF$1)</f>
        <v>0</v>
      </c>
      <c r="AG10" s="76">
        <f>SUMIFS('июль 2025'!$G$2:$G$2437,'июль 2025'!$D$2:$D$2437,$B10,'июль 2025'!$J$2:$J$2437,AG$1)</f>
        <v>0</v>
      </c>
      <c r="AH10" s="76">
        <f>SUMIFS('июль 2025'!$G$2:$G$2437,'июль 2025'!$D$2:$D$2437,$B10,'июль 2025'!$J$2:$J$2437,AH$1)</f>
        <v>0</v>
      </c>
      <c r="AI10" s="20">
        <f t="shared" si="1"/>
        <v>0</v>
      </c>
    </row>
    <row r="11" spans="2:35" ht="15" customHeight="1" x14ac:dyDescent="0.25">
      <c r="B11" s="77" t="s">
        <v>226</v>
      </c>
      <c r="C11" s="78">
        <v>25</v>
      </c>
      <c r="D11" s="76">
        <f>SUMIFS('июль 2025'!$G$2:$G$2437,'июль 2025'!$D$2:$D$2437,$B11,'июль 2025'!$J$2:$J$2437,D$1)</f>
        <v>0</v>
      </c>
      <c r="E11" s="76">
        <f>SUMIFS('июль 2025'!$G$2:$G$2437,'июль 2025'!$D$2:$D$2437,$B11,'июль 2025'!$J$2:$J$2437,E$1)</f>
        <v>0</v>
      </c>
      <c r="F11" s="76">
        <f>SUMIFS('июль 2025'!$G$2:$G$2437,'июль 2025'!$D$2:$D$2437,$B11,'июль 2025'!$J$2:$J$2437,F$1)</f>
        <v>0</v>
      </c>
      <c r="G11" s="76">
        <f>SUMIFS('июль 2025'!$G$2:$G$2437,'июль 2025'!$D$2:$D$2437,$B11,'июль 2025'!$J$2:$J$2437,G$1)</f>
        <v>0</v>
      </c>
      <c r="H11" s="76">
        <f>SUMIFS('июль 2025'!$G$2:$G$2437,'июль 2025'!$D$2:$D$2437,$B11,'июль 2025'!$J$2:$J$2437,H$1)</f>
        <v>0</v>
      </c>
      <c r="I11" s="76">
        <f>SUMIFS('июль 2025'!$G$2:$G$2437,'июль 2025'!$D$2:$D$2437,$B11,'июль 2025'!$J$2:$J$2437,I$1)</f>
        <v>0</v>
      </c>
      <c r="J11" s="76">
        <f>SUMIFS('июль 2025'!$G$2:$G$2437,'июль 2025'!$D$2:$D$2437,$B11,'июль 2025'!$J$2:$J$2437,J$1)</f>
        <v>0</v>
      </c>
      <c r="K11" s="76">
        <f>SUMIFS('июль 2025'!$G$2:$G$2437,'июль 2025'!$D$2:$D$2437,$B11,'июль 2025'!$J$2:$J$2437,K$1)</f>
        <v>0</v>
      </c>
      <c r="L11" s="76">
        <f>SUMIFS('июль 2025'!$G$2:$G$2437,'июль 2025'!$D$2:$D$2437,$B11,'июль 2025'!$J$2:$J$2437,L$1)</f>
        <v>0</v>
      </c>
      <c r="M11" s="76">
        <f>SUMIFS('июль 2025'!$G$2:$G$2437,'июль 2025'!$D$2:$D$2437,$B11,'июль 2025'!$J$2:$J$2437,M$1)</f>
        <v>0</v>
      </c>
      <c r="N11" s="76">
        <f>SUMIFS('июль 2025'!$G$2:$G$2437,'июль 2025'!$D$2:$D$2437,$B11,'июль 2025'!$J$2:$J$2437,N$1)</f>
        <v>0</v>
      </c>
      <c r="O11" s="76">
        <f>SUMIFS('июль 2025'!$G$2:$G$2437,'июль 2025'!$D$2:$D$2437,$B11,'июль 2025'!$J$2:$J$2437,O$1)</f>
        <v>0</v>
      </c>
      <c r="P11" s="76">
        <f>SUMIFS('июль 2025'!$G$2:$G$2437,'июль 2025'!$D$2:$D$2437,$B11,'июль 2025'!$J$2:$J$2437,P$1)</f>
        <v>0</v>
      </c>
      <c r="Q11" s="76">
        <f>SUMIFS('июль 2025'!$G$2:$G$2437,'июль 2025'!$D$2:$D$2437,$B11,'июль 2025'!$J$2:$J$2437,Q$1)</f>
        <v>0</v>
      </c>
      <c r="R11" s="76">
        <f>SUMIFS('июль 2025'!$G$2:$G$2437,'июль 2025'!$D$2:$D$2437,$B11,'июль 2025'!$J$2:$J$2437,R$1)</f>
        <v>0</v>
      </c>
      <c r="S11" s="76">
        <f>SUMIFS('июль 2025'!$G$2:$G$2437,'июль 2025'!$D$2:$D$2437,$B11,'июль 2025'!$J$2:$J$2437,S$1)</f>
        <v>0</v>
      </c>
      <c r="T11" s="76">
        <f>SUMIFS('июль 2025'!$G$2:$G$2437,'июль 2025'!$D$2:$D$2437,$B11,'июль 2025'!$J$2:$J$2437,T$1)</f>
        <v>0</v>
      </c>
      <c r="U11" s="76">
        <f>SUMIFS('июль 2025'!$G$2:$G$2437,'июль 2025'!$D$2:$D$2437,$B11,'июль 2025'!$J$2:$J$2437,U$1)</f>
        <v>0</v>
      </c>
      <c r="V11" s="76">
        <f>SUMIFS('июль 2025'!$G$2:$G$2437,'июль 2025'!$D$2:$D$2437,$B11,'июль 2025'!$J$2:$J$2437,V$1)</f>
        <v>0</v>
      </c>
      <c r="W11" s="76">
        <f>SUMIFS('июль 2025'!$G$2:$G$2437,'июль 2025'!$D$2:$D$2437,$B11,'июль 2025'!$J$2:$J$2437,W$1)</f>
        <v>0</v>
      </c>
      <c r="X11" s="76">
        <f>SUMIFS('июль 2025'!$G$2:$G$2437,'июль 2025'!$D$2:$D$2437,$B11,'июль 2025'!$J$2:$J$2437,X$1)</f>
        <v>0</v>
      </c>
      <c r="Y11" s="76">
        <f>SUMIFS('июль 2025'!$G$2:$G$2437,'июль 2025'!$D$2:$D$2437,$B11,'июль 2025'!$J$2:$J$2437,Y$1)</f>
        <v>0</v>
      </c>
      <c r="Z11" s="76">
        <f>SUMIFS('июль 2025'!$G$2:$G$2437,'июль 2025'!$D$2:$D$2437,$B11,'июль 2025'!$J$2:$J$2437,Z$1)</f>
        <v>0</v>
      </c>
      <c r="AA11" s="76">
        <f>SUMIFS('июль 2025'!$G$2:$G$2437,'июль 2025'!$D$2:$D$2437,$B11,'июль 2025'!$J$2:$J$2437,AA$1)</f>
        <v>0</v>
      </c>
      <c r="AB11" s="76">
        <f>SUMIFS('июль 2025'!$G$2:$G$2437,'июль 2025'!$D$2:$D$2437,$B11,'июль 2025'!$J$2:$J$2437,AB$1)</f>
        <v>0</v>
      </c>
      <c r="AC11" s="76">
        <f>SUMIFS('июль 2025'!$G$2:$G$2437,'июль 2025'!$D$2:$D$2437,$B11,'июль 2025'!$J$2:$J$2437,AC$1)</f>
        <v>0</v>
      </c>
      <c r="AD11" s="76">
        <f>SUMIFS('июль 2025'!$G$2:$G$2437,'июль 2025'!$D$2:$D$2437,$B11,'июль 2025'!$J$2:$J$2437,AD$1)</f>
        <v>0</v>
      </c>
      <c r="AE11" s="76">
        <f>SUMIFS('июль 2025'!$G$2:$G$2437,'июль 2025'!$D$2:$D$2437,$B11,'июль 2025'!$J$2:$J$2437,AE$1)</f>
        <v>0</v>
      </c>
      <c r="AF11" s="76">
        <f>SUMIFS('июль 2025'!$G$2:$G$2437,'июль 2025'!$D$2:$D$2437,$B11,'июль 2025'!$J$2:$J$2437,AF$1)</f>
        <v>0</v>
      </c>
      <c r="AG11" s="76">
        <f>SUMIFS('июль 2025'!$G$2:$G$2437,'июль 2025'!$D$2:$D$2437,$B11,'июль 2025'!$J$2:$J$2437,AG$1)</f>
        <v>0</v>
      </c>
      <c r="AH11" s="76">
        <f>SUMIFS('июль 2025'!$G$2:$G$2437,'июль 2025'!$D$2:$D$2437,$B11,'июль 2025'!$J$2:$J$2437,AH$1)</f>
        <v>0</v>
      </c>
      <c r="AI11" s="20">
        <f t="shared" si="1"/>
        <v>0</v>
      </c>
    </row>
    <row r="12" spans="2:35" ht="15" customHeight="1" x14ac:dyDescent="0.25">
      <c r="B12" s="80" t="s">
        <v>228</v>
      </c>
      <c r="C12" s="81">
        <v>22.68</v>
      </c>
      <c r="D12" s="76">
        <f>SUMIFS('июль 2025'!$G$2:$G$2437,'июль 2025'!$D$2:$D$2437,$B12,'июль 2025'!$J$2:$J$2437,D$1)</f>
        <v>0</v>
      </c>
      <c r="E12" s="76">
        <f>SUMIFS('июль 2025'!$G$2:$G$2437,'июль 2025'!$D$2:$D$2437,$B12,'июль 2025'!$J$2:$J$2437,E$1)</f>
        <v>0</v>
      </c>
      <c r="F12" s="76">
        <f>SUMIFS('июль 2025'!$G$2:$G$2437,'июль 2025'!$D$2:$D$2437,$B12,'июль 2025'!$J$2:$J$2437,F$1)</f>
        <v>0</v>
      </c>
      <c r="G12" s="76">
        <f>SUMIFS('июль 2025'!$G$2:$G$2437,'июль 2025'!$D$2:$D$2437,$B12,'июль 2025'!$J$2:$J$2437,G$1)</f>
        <v>0</v>
      </c>
      <c r="H12" s="76">
        <f>SUMIFS('июль 2025'!$G$2:$G$2437,'июль 2025'!$D$2:$D$2437,$B12,'июль 2025'!$J$2:$J$2437,H$1)</f>
        <v>0</v>
      </c>
      <c r="I12" s="76">
        <f>SUMIFS('июль 2025'!$G$2:$G$2437,'июль 2025'!$D$2:$D$2437,$B12,'июль 2025'!$J$2:$J$2437,I$1)</f>
        <v>0</v>
      </c>
      <c r="J12" s="76">
        <f>SUMIFS('июль 2025'!$G$2:$G$2437,'июль 2025'!$D$2:$D$2437,$B12,'июль 2025'!$J$2:$J$2437,J$1)</f>
        <v>0</v>
      </c>
      <c r="K12" s="76">
        <f>SUMIFS('июль 2025'!$G$2:$G$2437,'июль 2025'!$D$2:$D$2437,$B12,'июль 2025'!$J$2:$J$2437,K$1)</f>
        <v>0</v>
      </c>
      <c r="L12" s="76">
        <f>SUMIFS('июль 2025'!$G$2:$G$2437,'июль 2025'!$D$2:$D$2437,$B12,'июль 2025'!$J$2:$J$2437,L$1)</f>
        <v>0</v>
      </c>
      <c r="M12" s="76">
        <f>SUMIFS('июль 2025'!$G$2:$G$2437,'июль 2025'!$D$2:$D$2437,$B12,'июль 2025'!$J$2:$J$2437,M$1)</f>
        <v>0</v>
      </c>
      <c r="N12" s="76">
        <f>SUMIFS('июль 2025'!$G$2:$G$2437,'июль 2025'!$D$2:$D$2437,$B12,'июль 2025'!$J$2:$J$2437,N$1)</f>
        <v>0</v>
      </c>
      <c r="O12" s="76">
        <f>SUMIFS('июль 2025'!$G$2:$G$2437,'июль 2025'!$D$2:$D$2437,$B12,'июль 2025'!$J$2:$J$2437,O$1)</f>
        <v>0</v>
      </c>
      <c r="P12" s="76">
        <f>SUMIFS('июль 2025'!$G$2:$G$2437,'июль 2025'!$D$2:$D$2437,$B12,'июль 2025'!$J$2:$J$2437,P$1)</f>
        <v>0</v>
      </c>
      <c r="Q12" s="76">
        <f>SUMIFS('июль 2025'!$G$2:$G$2437,'июль 2025'!$D$2:$D$2437,$B12,'июль 2025'!$J$2:$J$2437,Q$1)</f>
        <v>0</v>
      </c>
      <c r="R12" s="76">
        <f>SUMIFS('июль 2025'!$G$2:$G$2437,'июль 2025'!$D$2:$D$2437,$B12,'июль 2025'!$J$2:$J$2437,R$1)</f>
        <v>0</v>
      </c>
      <c r="S12" s="76">
        <f>SUMIFS('июль 2025'!$G$2:$G$2437,'июль 2025'!$D$2:$D$2437,$B12,'июль 2025'!$J$2:$J$2437,S$1)</f>
        <v>0</v>
      </c>
      <c r="T12" s="76">
        <f>SUMIFS('июль 2025'!$G$2:$G$2437,'июль 2025'!$D$2:$D$2437,$B12,'июль 2025'!$J$2:$J$2437,T$1)</f>
        <v>0</v>
      </c>
      <c r="U12" s="76">
        <f>SUMIFS('июль 2025'!$G$2:$G$2437,'июль 2025'!$D$2:$D$2437,$B12,'июль 2025'!$J$2:$J$2437,U$1)</f>
        <v>0</v>
      </c>
      <c r="V12" s="76">
        <f>SUMIFS('июль 2025'!$G$2:$G$2437,'июль 2025'!$D$2:$D$2437,$B12,'июль 2025'!$J$2:$J$2437,V$1)</f>
        <v>0</v>
      </c>
      <c r="W12" s="76">
        <f>SUMIFS('июль 2025'!$G$2:$G$2437,'июль 2025'!$D$2:$D$2437,$B12,'июль 2025'!$J$2:$J$2437,W$1)</f>
        <v>0</v>
      </c>
      <c r="X12" s="76">
        <f>SUMIFS('июль 2025'!$G$2:$G$2437,'июль 2025'!$D$2:$D$2437,$B12,'июль 2025'!$J$2:$J$2437,X$1)</f>
        <v>0</v>
      </c>
      <c r="Y12" s="76">
        <f>SUMIFS('июль 2025'!$G$2:$G$2437,'июль 2025'!$D$2:$D$2437,$B12,'июль 2025'!$J$2:$J$2437,Y$1)</f>
        <v>0</v>
      </c>
      <c r="Z12" s="76">
        <f>SUMIFS('июль 2025'!$G$2:$G$2437,'июль 2025'!$D$2:$D$2437,$B12,'июль 2025'!$J$2:$J$2437,Z$1)</f>
        <v>0</v>
      </c>
      <c r="AA12" s="76">
        <f>SUMIFS('июль 2025'!$G$2:$G$2437,'июль 2025'!$D$2:$D$2437,$B12,'июль 2025'!$J$2:$J$2437,AA$1)</f>
        <v>0</v>
      </c>
      <c r="AB12" s="76">
        <f>SUMIFS('июль 2025'!$G$2:$G$2437,'июль 2025'!$D$2:$D$2437,$B12,'июль 2025'!$J$2:$J$2437,AB$1)</f>
        <v>0</v>
      </c>
      <c r="AC12" s="76">
        <f>SUMIFS('июль 2025'!$G$2:$G$2437,'июль 2025'!$D$2:$D$2437,$B12,'июль 2025'!$J$2:$J$2437,AC$1)</f>
        <v>0</v>
      </c>
      <c r="AD12" s="76">
        <f>SUMIFS('июль 2025'!$G$2:$G$2437,'июль 2025'!$D$2:$D$2437,$B12,'июль 2025'!$J$2:$J$2437,AD$1)</f>
        <v>0</v>
      </c>
      <c r="AE12" s="76">
        <f>SUMIFS('июль 2025'!$G$2:$G$2437,'июль 2025'!$D$2:$D$2437,$B12,'июль 2025'!$J$2:$J$2437,AE$1)</f>
        <v>0</v>
      </c>
      <c r="AF12" s="76">
        <f>SUMIFS('июль 2025'!$G$2:$G$2437,'июль 2025'!$D$2:$D$2437,$B12,'июль 2025'!$J$2:$J$2437,AF$1)</f>
        <v>0</v>
      </c>
      <c r="AG12" s="76">
        <f>SUMIFS('июль 2025'!$G$2:$G$2437,'июль 2025'!$D$2:$D$2437,$B12,'июль 2025'!$J$2:$J$2437,AG$1)</f>
        <v>0</v>
      </c>
      <c r="AH12" s="76">
        <f>SUMIFS('июль 2025'!$G$2:$G$2437,'июль 2025'!$D$2:$D$2437,$B12,'июль 2025'!$J$2:$J$2437,AH$1)</f>
        <v>0</v>
      </c>
      <c r="AI12" s="20">
        <f t="shared" si="1"/>
        <v>0</v>
      </c>
    </row>
    <row r="13" spans="2:35" ht="15" customHeight="1" x14ac:dyDescent="0.25">
      <c r="B13" s="80" t="s">
        <v>328</v>
      </c>
      <c r="C13" s="81">
        <v>22.7</v>
      </c>
      <c r="D13" s="76">
        <f>SUMIFS('июль 2025'!$G$2:$G$2437,'июль 2025'!$D$2:$D$2437,$B13,'июль 2025'!$J$2:$J$2437,D$1)</f>
        <v>0</v>
      </c>
      <c r="E13" s="76">
        <f>SUMIFS('июль 2025'!$G$2:$G$2437,'июль 2025'!$D$2:$D$2437,$B13,'июль 2025'!$J$2:$J$2437,E$1)</f>
        <v>0</v>
      </c>
      <c r="F13" s="76">
        <f>SUMIFS('июль 2025'!$G$2:$G$2437,'июль 2025'!$D$2:$D$2437,$B13,'июль 2025'!$J$2:$J$2437,F$1)</f>
        <v>0</v>
      </c>
      <c r="G13" s="76">
        <f>SUMIFS('июль 2025'!$G$2:$G$2437,'июль 2025'!$D$2:$D$2437,$B13,'июль 2025'!$J$2:$J$2437,G$1)</f>
        <v>0</v>
      </c>
      <c r="H13" s="76">
        <f>SUMIFS('июль 2025'!$G$2:$G$2437,'июль 2025'!$D$2:$D$2437,$B13,'июль 2025'!$J$2:$J$2437,H$1)</f>
        <v>0</v>
      </c>
      <c r="I13" s="76">
        <f>SUMIFS('июль 2025'!$G$2:$G$2437,'июль 2025'!$D$2:$D$2437,$B13,'июль 2025'!$J$2:$J$2437,I$1)</f>
        <v>0</v>
      </c>
      <c r="J13" s="76">
        <f>SUMIFS('июль 2025'!$G$2:$G$2437,'июль 2025'!$D$2:$D$2437,$B13,'июль 2025'!$J$2:$J$2437,J$1)</f>
        <v>0</v>
      </c>
      <c r="K13" s="76">
        <f>SUMIFS('июль 2025'!$G$2:$G$2437,'июль 2025'!$D$2:$D$2437,$B13,'июль 2025'!$J$2:$J$2437,K$1)</f>
        <v>0</v>
      </c>
      <c r="L13" s="76">
        <f>SUMIFS('июль 2025'!$G$2:$G$2437,'июль 2025'!$D$2:$D$2437,$B13,'июль 2025'!$J$2:$J$2437,L$1)</f>
        <v>0</v>
      </c>
      <c r="M13" s="76">
        <f>SUMIFS('июль 2025'!$G$2:$G$2437,'июль 2025'!$D$2:$D$2437,$B13,'июль 2025'!$J$2:$J$2437,M$1)</f>
        <v>0</v>
      </c>
      <c r="N13" s="76">
        <f>SUMIFS('июль 2025'!$G$2:$G$2437,'июль 2025'!$D$2:$D$2437,$B13,'июль 2025'!$J$2:$J$2437,N$1)</f>
        <v>0</v>
      </c>
      <c r="O13" s="76">
        <f>SUMIFS('июль 2025'!$G$2:$G$2437,'июль 2025'!$D$2:$D$2437,$B13,'июль 2025'!$J$2:$J$2437,O$1)</f>
        <v>0</v>
      </c>
      <c r="P13" s="76">
        <f>SUMIFS('июль 2025'!$G$2:$G$2437,'июль 2025'!$D$2:$D$2437,$B13,'июль 2025'!$J$2:$J$2437,P$1)</f>
        <v>0</v>
      </c>
      <c r="Q13" s="76">
        <f>SUMIFS('июль 2025'!$G$2:$G$2437,'июль 2025'!$D$2:$D$2437,$B13,'июль 2025'!$J$2:$J$2437,Q$1)</f>
        <v>0</v>
      </c>
      <c r="R13" s="76">
        <f>SUMIFS('июль 2025'!$G$2:$G$2437,'июль 2025'!$D$2:$D$2437,$B13,'июль 2025'!$J$2:$J$2437,R$1)</f>
        <v>0</v>
      </c>
      <c r="S13" s="76">
        <f>SUMIFS('июль 2025'!$G$2:$G$2437,'июль 2025'!$D$2:$D$2437,$B13,'июль 2025'!$J$2:$J$2437,S$1)</f>
        <v>0</v>
      </c>
      <c r="T13" s="76">
        <f>SUMIFS('июль 2025'!$G$2:$G$2437,'июль 2025'!$D$2:$D$2437,$B13,'июль 2025'!$J$2:$J$2437,T$1)</f>
        <v>0</v>
      </c>
      <c r="U13" s="76">
        <f>SUMIFS('июль 2025'!$G$2:$G$2437,'июль 2025'!$D$2:$D$2437,$B13,'июль 2025'!$J$2:$J$2437,U$1)</f>
        <v>0</v>
      </c>
      <c r="V13" s="76">
        <f>SUMIFS('июль 2025'!$G$2:$G$2437,'июль 2025'!$D$2:$D$2437,$B13,'июль 2025'!$J$2:$J$2437,V$1)</f>
        <v>0</v>
      </c>
      <c r="W13" s="76">
        <f>SUMIFS('июль 2025'!$G$2:$G$2437,'июль 2025'!$D$2:$D$2437,$B13,'июль 2025'!$J$2:$J$2437,W$1)</f>
        <v>0</v>
      </c>
      <c r="X13" s="76">
        <f>SUMIFS('июль 2025'!$G$2:$G$2437,'июль 2025'!$D$2:$D$2437,$B13,'июль 2025'!$J$2:$J$2437,X$1)</f>
        <v>0</v>
      </c>
      <c r="Y13" s="76">
        <f>SUMIFS('июль 2025'!$G$2:$G$2437,'июль 2025'!$D$2:$D$2437,$B13,'июль 2025'!$J$2:$J$2437,Y$1)</f>
        <v>0</v>
      </c>
      <c r="Z13" s="76">
        <f>SUMIFS('июль 2025'!$G$2:$G$2437,'июль 2025'!$D$2:$D$2437,$B13,'июль 2025'!$J$2:$J$2437,Z$1)</f>
        <v>0</v>
      </c>
      <c r="AA13" s="76">
        <f>SUMIFS('июль 2025'!$G$2:$G$2437,'июль 2025'!$D$2:$D$2437,$B13,'июль 2025'!$J$2:$J$2437,AA$1)</f>
        <v>0</v>
      </c>
      <c r="AB13" s="76">
        <f>SUMIFS('июль 2025'!$G$2:$G$2437,'июль 2025'!$D$2:$D$2437,$B13,'июль 2025'!$J$2:$J$2437,AB$1)</f>
        <v>0</v>
      </c>
      <c r="AC13" s="76">
        <f>SUMIFS('июль 2025'!$G$2:$G$2437,'июль 2025'!$D$2:$D$2437,$B13,'июль 2025'!$J$2:$J$2437,AC$1)</f>
        <v>0</v>
      </c>
      <c r="AD13" s="76">
        <f>SUMIFS('июль 2025'!$G$2:$G$2437,'июль 2025'!$D$2:$D$2437,$B13,'июль 2025'!$J$2:$J$2437,AD$1)</f>
        <v>0</v>
      </c>
      <c r="AE13" s="76">
        <f>SUMIFS('июль 2025'!$G$2:$G$2437,'июль 2025'!$D$2:$D$2437,$B13,'июль 2025'!$J$2:$J$2437,AE$1)</f>
        <v>0</v>
      </c>
      <c r="AF13" s="76">
        <f>SUMIFS('июль 2025'!$G$2:$G$2437,'июль 2025'!$D$2:$D$2437,$B13,'июль 2025'!$J$2:$J$2437,AF$1)</f>
        <v>0</v>
      </c>
      <c r="AG13" s="76">
        <f>SUMIFS('июль 2025'!$G$2:$G$2437,'июль 2025'!$D$2:$D$2437,$B13,'июль 2025'!$J$2:$J$2437,AG$1)</f>
        <v>0</v>
      </c>
      <c r="AH13" s="76">
        <f>SUMIFS('июль 2025'!$G$2:$G$2437,'июль 2025'!$D$2:$D$2437,$B13,'июль 2025'!$J$2:$J$2437,AH$1)</f>
        <v>0</v>
      </c>
      <c r="AI13" s="20">
        <f t="shared" si="1"/>
        <v>0</v>
      </c>
    </row>
    <row r="14" spans="2:35" ht="15" customHeight="1" x14ac:dyDescent="0.25">
      <c r="B14" s="80" t="s">
        <v>302</v>
      </c>
      <c r="C14" s="81">
        <v>25</v>
      </c>
      <c r="D14" s="76">
        <f>SUMIFS('июль 2025'!$G$2:$G$2437,'июль 2025'!$D$2:$D$2437,$B14,'июль 2025'!$J$2:$J$2437,D$1)</f>
        <v>0</v>
      </c>
      <c r="E14" s="76">
        <f>SUMIFS('июль 2025'!$G$2:$G$2437,'июль 2025'!$D$2:$D$2437,$B14,'июль 2025'!$J$2:$J$2437,E$1)</f>
        <v>0</v>
      </c>
      <c r="F14" s="76">
        <f>SUMIFS('июль 2025'!$G$2:$G$2437,'июль 2025'!$D$2:$D$2437,$B14,'июль 2025'!$J$2:$J$2437,F$1)</f>
        <v>0</v>
      </c>
      <c r="G14" s="76">
        <f>SUMIFS('июль 2025'!$G$2:$G$2437,'июль 2025'!$D$2:$D$2437,$B14,'июль 2025'!$J$2:$J$2437,G$1)</f>
        <v>0</v>
      </c>
      <c r="H14" s="76">
        <f>SUMIFS('июль 2025'!$G$2:$G$2437,'июль 2025'!$D$2:$D$2437,$B14,'июль 2025'!$J$2:$J$2437,H$1)</f>
        <v>0</v>
      </c>
      <c r="I14" s="76">
        <f>SUMIFS('июль 2025'!$G$2:$G$2437,'июль 2025'!$D$2:$D$2437,$B14,'июль 2025'!$J$2:$J$2437,I$1)</f>
        <v>0</v>
      </c>
      <c r="J14" s="76">
        <f>SUMIFS('июль 2025'!$G$2:$G$2437,'июль 2025'!$D$2:$D$2437,$B14,'июль 2025'!$J$2:$J$2437,J$1)</f>
        <v>0</v>
      </c>
      <c r="K14" s="76">
        <f>SUMIFS('июль 2025'!$G$2:$G$2437,'июль 2025'!$D$2:$D$2437,$B14,'июль 2025'!$J$2:$J$2437,K$1)</f>
        <v>0</v>
      </c>
      <c r="L14" s="76">
        <f>SUMIFS('июль 2025'!$G$2:$G$2437,'июль 2025'!$D$2:$D$2437,$B14,'июль 2025'!$J$2:$J$2437,L$1)</f>
        <v>0</v>
      </c>
      <c r="M14" s="76">
        <f>SUMIFS('июль 2025'!$G$2:$G$2437,'июль 2025'!$D$2:$D$2437,$B14,'июль 2025'!$J$2:$J$2437,M$1)</f>
        <v>0</v>
      </c>
      <c r="N14" s="76">
        <f>SUMIFS('июль 2025'!$G$2:$G$2437,'июль 2025'!$D$2:$D$2437,$B14,'июль 2025'!$J$2:$J$2437,N$1)</f>
        <v>0</v>
      </c>
      <c r="O14" s="76">
        <f>SUMIFS('июль 2025'!$G$2:$G$2437,'июль 2025'!$D$2:$D$2437,$B14,'июль 2025'!$J$2:$J$2437,O$1)</f>
        <v>0</v>
      </c>
      <c r="P14" s="76">
        <f>SUMIFS('июль 2025'!$G$2:$G$2437,'июль 2025'!$D$2:$D$2437,$B14,'июль 2025'!$J$2:$J$2437,P$1)</f>
        <v>0</v>
      </c>
      <c r="Q14" s="76">
        <f>SUMIFS('июль 2025'!$G$2:$G$2437,'июль 2025'!$D$2:$D$2437,$B14,'июль 2025'!$J$2:$J$2437,Q$1)</f>
        <v>0</v>
      </c>
      <c r="R14" s="76">
        <f>SUMIFS('июль 2025'!$G$2:$G$2437,'июль 2025'!$D$2:$D$2437,$B14,'июль 2025'!$J$2:$J$2437,R$1)</f>
        <v>0</v>
      </c>
      <c r="S14" s="76">
        <f>SUMIFS('июль 2025'!$G$2:$G$2437,'июль 2025'!$D$2:$D$2437,$B14,'июль 2025'!$J$2:$J$2437,S$1)</f>
        <v>0</v>
      </c>
      <c r="T14" s="76">
        <f>SUMIFS('июль 2025'!$G$2:$G$2437,'июль 2025'!$D$2:$D$2437,$B14,'июль 2025'!$J$2:$J$2437,T$1)</f>
        <v>0</v>
      </c>
      <c r="U14" s="76">
        <f>SUMIFS('июль 2025'!$G$2:$G$2437,'июль 2025'!$D$2:$D$2437,$B14,'июль 2025'!$J$2:$J$2437,U$1)</f>
        <v>0</v>
      </c>
      <c r="V14" s="76">
        <f>SUMIFS('июль 2025'!$G$2:$G$2437,'июль 2025'!$D$2:$D$2437,$B14,'июль 2025'!$J$2:$J$2437,V$1)</f>
        <v>0</v>
      </c>
      <c r="W14" s="76">
        <f>SUMIFS('июль 2025'!$G$2:$G$2437,'июль 2025'!$D$2:$D$2437,$B14,'июль 2025'!$J$2:$J$2437,W$1)</f>
        <v>0</v>
      </c>
      <c r="X14" s="76">
        <f>SUMIFS('июль 2025'!$G$2:$G$2437,'июль 2025'!$D$2:$D$2437,$B14,'июль 2025'!$J$2:$J$2437,X$1)</f>
        <v>0</v>
      </c>
      <c r="Y14" s="76">
        <f>SUMIFS('июль 2025'!$G$2:$G$2437,'июль 2025'!$D$2:$D$2437,$B14,'июль 2025'!$J$2:$J$2437,Y$1)</f>
        <v>0</v>
      </c>
      <c r="Z14" s="76">
        <f>SUMIFS('июль 2025'!$G$2:$G$2437,'июль 2025'!$D$2:$D$2437,$B14,'июль 2025'!$J$2:$J$2437,Z$1)</f>
        <v>0</v>
      </c>
      <c r="AA14" s="76">
        <f>SUMIFS('июль 2025'!$G$2:$G$2437,'июль 2025'!$D$2:$D$2437,$B14,'июль 2025'!$J$2:$J$2437,AA$1)</f>
        <v>0</v>
      </c>
      <c r="AB14" s="76">
        <f>SUMIFS('июль 2025'!$G$2:$G$2437,'июль 2025'!$D$2:$D$2437,$B14,'июль 2025'!$J$2:$J$2437,AB$1)</f>
        <v>0</v>
      </c>
      <c r="AC14" s="76">
        <f>SUMIFS('июль 2025'!$G$2:$G$2437,'июль 2025'!$D$2:$D$2437,$B14,'июль 2025'!$J$2:$J$2437,AC$1)</f>
        <v>0</v>
      </c>
      <c r="AD14" s="76">
        <f>SUMIFS('июль 2025'!$G$2:$G$2437,'июль 2025'!$D$2:$D$2437,$B14,'июль 2025'!$J$2:$J$2437,AD$1)</f>
        <v>0</v>
      </c>
      <c r="AE14" s="76">
        <f>SUMIFS('июль 2025'!$G$2:$G$2437,'июль 2025'!$D$2:$D$2437,$B14,'июль 2025'!$J$2:$J$2437,AE$1)</f>
        <v>0</v>
      </c>
      <c r="AF14" s="76">
        <f>SUMIFS('июль 2025'!$G$2:$G$2437,'июль 2025'!$D$2:$D$2437,$B14,'июль 2025'!$J$2:$J$2437,AF$1)</f>
        <v>0</v>
      </c>
      <c r="AG14" s="76">
        <f>SUMIFS('июль 2025'!$G$2:$G$2437,'июль 2025'!$D$2:$D$2437,$B14,'июль 2025'!$J$2:$J$2437,AG$1)</f>
        <v>0</v>
      </c>
      <c r="AH14" s="76">
        <f>SUMIFS('июль 2025'!$G$2:$G$2437,'июль 2025'!$D$2:$D$2437,$B14,'июль 2025'!$J$2:$J$2437,AH$1)</f>
        <v>0</v>
      </c>
      <c r="AI14" s="20">
        <f t="shared" si="1"/>
        <v>0</v>
      </c>
    </row>
    <row r="15" spans="2:35" ht="15" customHeight="1" x14ac:dyDescent="0.25">
      <c r="B15" s="80" t="s">
        <v>306</v>
      </c>
      <c r="C15" s="81">
        <v>25</v>
      </c>
      <c r="D15" s="76">
        <f>SUMIFS('июль 2025'!$G$2:$G$2437,'июль 2025'!$D$2:$D$2437,$B15,'июль 2025'!$J$2:$J$2437,D$1)</f>
        <v>0</v>
      </c>
      <c r="E15" s="76">
        <f>SUMIFS('июль 2025'!$G$2:$G$2437,'июль 2025'!$D$2:$D$2437,$B15,'июль 2025'!$J$2:$J$2437,E$1)</f>
        <v>0</v>
      </c>
      <c r="F15" s="76">
        <f>SUMIFS('июль 2025'!$G$2:$G$2437,'июль 2025'!$D$2:$D$2437,$B15,'июль 2025'!$J$2:$J$2437,F$1)</f>
        <v>0</v>
      </c>
      <c r="G15" s="76">
        <f>SUMIFS('июль 2025'!$G$2:$G$2437,'июль 2025'!$D$2:$D$2437,$B15,'июль 2025'!$J$2:$J$2437,G$1)</f>
        <v>0</v>
      </c>
      <c r="H15" s="76">
        <f>SUMIFS('июль 2025'!$G$2:$G$2437,'июль 2025'!$D$2:$D$2437,$B15,'июль 2025'!$J$2:$J$2437,H$1)</f>
        <v>0</v>
      </c>
      <c r="I15" s="76">
        <f>SUMIFS('июль 2025'!$G$2:$G$2437,'июль 2025'!$D$2:$D$2437,$B15,'июль 2025'!$J$2:$J$2437,I$1)</f>
        <v>0</v>
      </c>
      <c r="J15" s="76">
        <f>SUMIFS('июль 2025'!$G$2:$G$2437,'июль 2025'!$D$2:$D$2437,$B15,'июль 2025'!$J$2:$J$2437,J$1)</f>
        <v>0</v>
      </c>
      <c r="K15" s="76">
        <f>SUMIFS('июль 2025'!$G$2:$G$2437,'июль 2025'!$D$2:$D$2437,$B15,'июль 2025'!$J$2:$J$2437,K$1)</f>
        <v>0</v>
      </c>
      <c r="L15" s="76">
        <f>SUMIFS('июль 2025'!$G$2:$G$2437,'июль 2025'!$D$2:$D$2437,$B15,'июль 2025'!$J$2:$J$2437,L$1)</f>
        <v>0</v>
      </c>
      <c r="M15" s="76">
        <f>SUMIFS('июль 2025'!$G$2:$G$2437,'июль 2025'!$D$2:$D$2437,$B15,'июль 2025'!$J$2:$J$2437,M$1)</f>
        <v>0</v>
      </c>
      <c r="N15" s="76">
        <f>SUMIFS('июль 2025'!$G$2:$G$2437,'июль 2025'!$D$2:$D$2437,$B15,'июль 2025'!$J$2:$J$2437,N$1)</f>
        <v>0</v>
      </c>
      <c r="O15" s="76">
        <f>SUMIFS('июль 2025'!$G$2:$G$2437,'июль 2025'!$D$2:$D$2437,$B15,'июль 2025'!$J$2:$J$2437,O$1)</f>
        <v>0</v>
      </c>
      <c r="P15" s="76">
        <f>SUMIFS('июль 2025'!$G$2:$G$2437,'июль 2025'!$D$2:$D$2437,$B15,'июль 2025'!$J$2:$J$2437,P$1)</f>
        <v>0</v>
      </c>
      <c r="Q15" s="76">
        <f>SUMIFS('июль 2025'!$G$2:$G$2437,'июль 2025'!$D$2:$D$2437,$B15,'июль 2025'!$J$2:$J$2437,Q$1)</f>
        <v>0</v>
      </c>
      <c r="R15" s="76">
        <f>SUMIFS('июль 2025'!$G$2:$G$2437,'июль 2025'!$D$2:$D$2437,$B15,'июль 2025'!$J$2:$J$2437,R$1)</f>
        <v>0</v>
      </c>
      <c r="S15" s="76">
        <f>SUMIFS('июль 2025'!$G$2:$G$2437,'июль 2025'!$D$2:$D$2437,$B15,'июль 2025'!$J$2:$J$2437,S$1)</f>
        <v>0</v>
      </c>
      <c r="T15" s="76">
        <f>SUMIFS('июль 2025'!$G$2:$G$2437,'июль 2025'!$D$2:$D$2437,$B15,'июль 2025'!$J$2:$J$2437,T$1)</f>
        <v>0</v>
      </c>
      <c r="U15" s="76">
        <f>SUMIFS('июль 2025'!$G$2:$G$2437,'июль 2025'!$D$2:$D$2437,$B15,'июль 2025'!$J$2:$J$2437,U$1)</f>
        <v>0</v>
      </c>
      <c r="V15" s="76">
        <f>SUMIFS('июль 2025'!$G$2:$G$2437,'июль 2025'!$D$2:$D$2437,$B15,'июль 2025'!$J$2:$J$2437,V$1)</f>
        <v>0</v>
      </c>
      <c r="W15" s="76">
        <f>SUMIFS('июль 2025'!$G$2:$G$2437,'июль 2025'!$D$2:$D$2437,$B15,'июль 2025'!$J$2:$J$2437,W$1)</f>
        <v>0</v>
      </c>
      <c r="X15" s="76">
        <f>SUMIFS('июль 2025'!$G$2:$G$2437,'июль 2025'!$D$2:$D$2437,$B15,'июль 2025'!$J$2:$J$2437,X$1)</f>
        <v>0</v>
      </c>
      <c r="Y15" s="76">
        <f>SUMIFS('июль 2025'!$G$2:$G$2437,'июль 2025'!$D$2:$D$2437,$B15,'июль 2025'!$J$2:$J$2437,Y$1)</f>
        <v>0</v>
      </c>
      <c r="Z15" s="76">
        <f>SUMIFS('июль 2025'!$G$2:$G$2437,'июль 2025'!$D$2:$D$2437,$B15,'июль 2025'!$J$2:$J$2437,Z$1)</f>
        <v>0</v>
      </c>
      <c r="AA15" s="76">
        <f>SUMIFS('июль 2025'!$G$2:$G$2437,'июль 2025'!$D$2:$D$2437,$B15,'июль 2025'!$J$2:$J$2437,AA$1)</f>
        <v>0</v>
      </c>
      <c r="AB15" s="76">
        <f>SUMIFS('июль 2025'!$G$2:$G$2437,'июль 2025'!$D$2:$D$2437,$B15,'июль 2025'!$J$2:$J$2437,AB$1)</f>
        <v>0</v>
      </c>
      <c r="AC15" s="76">
        <f>SUMIFS('июль 2025'!$G$2:$G$2437,'июль 2025'!$D$2:$D$2437,$B15,'июль 2025'!$J$2:$J$2437,AC$1)</f>
        <v>0</v>
      </c>
      <c r="AD15" s="76">
        <f>SUMIFS('июль 2025'!$G$2:$G$2437,'июль 2025'!$D$2:$D$2437,$B15,'июль 2025'!$J$2:$J$2437,AD$1)</f>
        <v>0</v>
      </c>
      <c r="AE15" s="76">
        <f>SUMIFS('июль 2025'!$G$2:$G$2437,'июль 2025'!$D$2:$D$2437,$B15,'июль 2025'!$J$2:$J$2437,AE$1)</f>
        <v>0</v>
      </c>
      <c r="AF15" s="76">
        <f>SUMIFS('июль 2025'!$G$2:$G$2437,'июль 2025'!$D$2:$D$2437,$B15,'июль 2025'!$J$2:$J$2437,AF$1)</f>
        <v>0</v>
      </c>
      <c r="AG15" s="76">
        <f>SUMIFS('июль 2025'!$G$2:$G$2437,'июль 2025'!$D$2:$D$2437,$B15,'июль 2025'!$J$2:$J$2437,AG$1)</f>
        <v>0</v>
      </c>
      <c r="AH15" s="76">
        <f>SUMIFS('июль 2025'!$G$2:$G$2437,'июль 2025'!$D$2:$D$2437,$B15,'июль 2025'!$J$2:$J$2437,AH$1)</f>
        <v>1610</v>
      </c>
      <c r="AI15" s="20">
        <f t="shared" si="1"/>
        <v>1610</v>
      </c>
    </row>
    <row r="16" spans="2:35" ht="15" customHeight="1" x14ac:dyDescent="0.25">
      <c r="B16" s="80" t="s">
        <v>231</v>
      </c>
      <c r="C16" s="81">
        <v>22.7</v>
      </c>
      <c r="D16" s="76">
        <f>SUMIFS('июль 2025'!$G$2:$G$2437,'июль 2025'!$D$2:$D$2437,$B16,'июль 2025'!$J$2:$J$2437,D$1)</f>
        <v>0</v>
      </c>
      <c r="E16" s="76">
        <f>SUMIFS('июль 2025'!$G$2:$G$2437,'июль 2025'!$D$2:$D$2437,$B16,'июль 2025'!$J$2:$J$2437,E$1)</f>
        <v>0</v>
      </c>
      <c r="F16" s="76">
        <f>SUMIFS('июль 2025'!$G$2:$G$2437,'июль 2025'!$D$2:$D$2437,$B16,'июль 2025'!$J$2:$J$2437,F$1)</f>
        <v>0</v>
      </c>
      <c r="G16" s="76">
        <f>SUMIFS('июль 2025'!$G$2:$G$2437,'июль 2025'!$D$2:$D$2437,$B16,'июль 2025'!$J$2:$J$2437,G$1)</f>
        <v>0</v>
      </c>
      <c r="H16" s="76">
        <f>SUMIFS('июль 2025'!$G$2:$G$2437,'июль 2025'!$D$2:$D$2437,$B16,'июль 2025'!$J$2:$J$2437,H$1)</f>
        <v>0</v>
      </c>
      <c r="I16" s="76">
        <f>SUMIFS('июль 2025'!$G$2:$G$2437,'июль 2025'!$D$2:$D$2437,$B16,'июль 2025'!$J$2:$J$2437,I$1)</f>
        <v>0</v>
      </c>
      <c r="J16" s="76">
        <f>SUMIFS('июль 2025'!$G$2:$G$2437,'июль 2025'!$D$2:$D$2437,$B16,'июль 2025'!$J$2:$J$2437,J$1)</f>
        <v>0</v>
      </c>
      <c r="K16" s="76">
        <f>SUMIFS('июль 2025'!$G$2:$G$2437,'июль 2025'!$D$2:$D$2437,$B16,'июль 2025'!$J$2:$J$2437,K$1)</f>
        <v>0</v>
      </c>
      <c r="L16" s="76">
        <f>SUMIFS('июль 2025'!$G$2:$G$2437,'июль 2025'!$D$2:$D$2437,$B16,'июль 2025'!$J$2:$J$2437,L$1)</f>
        <v>0</v>
      </c>
      <c r="M16" s="76">
        <f>SUMIFS('июль 2025'!$G$2:$G$2437,'июль 2025'!$D$2:$D$2437,$B16,'июль 2025'!$J$2:$J$2437,M$1)</f>
        <v>0</v>
      </c>
      <c r="N16" s="76">
        <f>SUMIFS('июль 2025'!$G$2:$G$2437,'июль 2025'!$D$2:$D$2437,$B16,'июль 2025'!$J$2:$J$2437,N$1)</f>
        <v>0</v>
      </c>
      <c r="O16" s="76">
        <f>SUMIFS('июль 2025'!$G$2:$G$2437,'июль 2025'!$D$2:$D$2437,$B16,'июль 2025'!$J$2:$J$2437,O$1)</f>
        <v>0</v>
      </c>
      <c r="P16" s="76">
        <f>SUMIFS('июль 2025'!$G$2:$G$2437,'июль 2025'!$D$2:$D$2437,$B16,'июль 2025'!$J$2:$J$2437,P$1)</f>
        <v>0</v>
      </c>
      <c r="Q16" s="76">
        <f>SUMIFS('июль 2025'!$G$2:$G$2437,'июль 2025'!$D$2:$D$2437,$B16,'июль 2025'!$J$2:$J$2437,Q$1)</f>
        <v>0</v>
      </c>
      <c r="R16" s="76">
        <f>SUMIFS('июль 2025'!$G$2:$G$2437,'июль 2025'!$D$2:$D$2437,$B16,'июль 2025'!$J$2:$J$2437,R$1)</f>
        <v>0</v>
      </c>
      <c r="S16" s="76">
        <f>SUMIFS('июль 2025'!$G$2:$G$2437,'июль 2025'!$D$2:$D$2437,$B16,'июль 2025'!$J$2:$J$2437,S$1)</f>
        <v>0</v>
      </c>
      <c r="T16" s="76">
        <f>SUMIFS('июль 2025'!$G$2:$G$2437,'июль 2025'!$D$2:$D$2437,$B16,'июль 2025'!$J$2:$J$2437,T$1)</f>
        <v>0</v>
      </c>
      <c r="U16" s="76">
        <f>SUMIFS('июль 2025'!$G$2:$G$2437,'июль 2025'!$D$2:$D$2437,$B16,'июль 2025'!$J$2:$J$2437,U$1)</f>
        <v>0</v>
      </c>
      <c r="V16" s="76">
        <f>SUMIFS('июль 2025'!$G$2:$G$2437,'июль 2025'!$D$2:$D$2437,$B16,'июль 2025'!$J$2:$J$2437,V$1)</f>
        <v>0</v>
      </c>
      <c r="W16" s="76">
        <f>SUMIFS('июль 2025'!$G$2:$G$2437,'июль 2025'!$D$2:$D$2437,$B16,'июль 2025'!$J$2:$J$2437,W$1)</f>
        <v>0</v>
      </c>
      <c r="X16" s="76">
        <f>SUMIFS('июль 2025'!$G$2:$G$2437,'июль 2025'!$D$2:$D$2437,$B16,'июль 2025'!$J$2:$J$2437,X$1)</f>
        <v>0</v>
      </c>
      <c r="Y16" s="76">
        <f>SUMIFS('июль 2025'!$G$2:$G$2437,'июль 2025'!$D$2:$D$2437,$B16,'июль 2025'!$J$2:$J$2437,Y$1)</f>
        <v>0</v>
      </c>
      <c r="Z16" s="76">
        <f>SUMIFS('июль 2025'!$G$2:$G$2437,'июль 2025'!$D$2:$D$2437,$B16,'июль 2025'!$J$2:$J$2437,Z$1)</f>
        <v>0</v>
      </c>
      <c r="AA16" s="76">
        <f>SUMIFS('июль 2025'!$G$2:$G$2437,'июль 2025'!$D$2:$D$2437,$B16,'июль 2025'!$J$2:$J$2437,AA$1)</f>
        <v>0</v>
      </c>
      <c r="AB16" s="76">
        <f>SUMIFS('июль 2025'!$G$2:$G$2437,'июль 2025'!$D$2:$D$2437,$B16,'июль 2025'!$J$2:$J$2437,AB$1)</f>
        <v>0</v>
      </c>
      <c r="AC16" s="76">
        <f>SUMIFS('июль 2025'!$G$2:$G$2437,'июль 2025'!$D$2:$D$2437,$B16,'июль 2025'!$J$2:$J$2437,AC$1)</f>
        <v>0</v>
      </c>
      <c r="AD16" s="76">
        <f>SUMIFS('июль 2025'!$G$2:$G$2437,'июль 2025'!$D$2:$D$2437,$B16,'июль 2025'!$J$2:$J$2437,AD$1)</f>
        <v>0</v>
      </c>
      <c r="AE16" s="76">
        <f>SUMIFS('июль 2025'!$G$2:$G$2437,'июль 2025'!$D$2:$D$2437,$B16,'июль 2025'!$J$2:$J$2437,AE$1)</f>
        <v>0</v>
      </c>
      <c r="AF16" s="76">
        <f>SUMIFS('июль 2025'!$G$2:$G$2437,'июль 2025'!$D$2:$D$2437,$B16,'июль 2025'!$J$2:$J$2437,AF$1)</f>
        <v>0</v>
      </c>
      <c r="AG16" s="76">
        <f>SUMIFS('июль 2025'!$G$2:$G$2437,'июль 2025'!$D$2:$D$2437,$B16,'июль 2025'!$J$2:$J$2437,AG$1)</f>
        <v>0</v>
      </c>
      <c r="AH16" s="76">
        <f>SUMIFS('июль 2025'!$G$2:$G$2437,'июль 2025'!$D$2:$D$2437,$B16,'июль 2025'!$J$2:$J$2437,AH$1)</f>
        <v>0</v>
      </c>
      <c r="AI16" s="20">
        <f t="shared" si="1"/>
        <v>0</v>
      </c>
    </row>
    <row r="17" spans="2:35" ht="15" customHeight="1" x14ac:dyDescent="0.25">
      <c r="B17" s="77" t="s">
        <v>233</v>
      </c>
      <c r="C17" s="78">
        <v>22.7</v>
      </c>
      <c r="D17" s="76">
        <f>SUMIFS('июль 2025'!$G$2:$G$2437,'июль 2025'!$D$2:$D$2437,$B17,'июль 2025'!$J$2:$J$2437,D$1)</f>
        <v>0</v>
      </c>
      <c r="E17" s="76">
        <f>SUMIFS('июль 2025'!$G$2:$G$2437,'июль 2025'!$D$2:$D$2437,$B17,'июль 2025'!$J$2:$J$2437,E$1)</f>
        <v>0</v>
      </c>
      <c r="F17" s="76">
        <f>SUMIFS('июль 2025'!$G$2:$G$2437,'июль 2025'!$D$2:$D$2437,$B17,'июль 2025'!$J$2:$J$2437,F$1)</f>
        <v>0</v>
      </c>
      <c r="G17" s="76">
        <f>SUMIFS('июль 2025'!$G$2:$G$2437,'июль 2025'!$D$2:$D$2437,$B17,'июль 2025'!$J$2:$J$2437,G$1)</f>
        <v>0</v>
      </c>
      <c r="H17" s="76">
        <f>SUMIFS('июль 2025'!$G$2:$G$2437,'июль 2025'!$D$2:$D$2437,$B17,'июль 2025'!$J$2:$J$2437,H$1)</f>
        <v>0</v>
      </c>
      <c r="I17" s="76">
        <f>SUMIFS('июль 2025'!$G$2:$G$2437,'июль 2025'!$D$2:$D$2437,$B17,'июль 2025'!$J$2:$J$2437,I$1)</f>
        <v>0</v>
      </c>
      <c r="J17" s="76">
        <f>SUMIFS('июль 2025'!$G$2:$G$2437,'июль 2025'!$D$2:$D$2437,$B17,'июль 2025'!$J$2:$J$2437,J$1)</f>
        <v>0</v>
      </c>
      <c r="K17" s="76">
        <f>SUMIFS('июль 2025'!$G$2:$G$2437,'июль 2025'!$D$2:$D$2437,$B17,'июль 2025'!$J$2:$J$2437,K$1)</f>
        <v>0</v>
      </c>
      <c r="L17" s="76">
        <f>SUMIFS('июль 2025'!$G$2:$G$2437,'июль 2025'!$D$2:$D$2437,$B17,'июль 2025'!$J$2:$J$2437,L$1)</f>
        <v>0</v>
      </c>
      <c r="M17" s="76">
        <f>SUMIFS('июль 2025'!$G$2:$G$2437,'июль 2025'!$D$2:$D$2437,$B17,'июль 2025'!$J$2:$J$2437,M$1)</f>
        <v>0</v>
      </c>
      <c r="N17" s="76">
        <f>SUMIFS('июль 2025'!$G$2:$G$2437,'июль 2025'!$D$2:$D$2437,$B17,'июль 2025'!$J$2:$J$2437,N$1)</f>
        <v>0</v>
      </c>
      <c r="O17" s="76">
        <f>SUMIFS('июль 2025'!$G$2:$G$2437,'июль 2025'!$D$2:$D$2437,$B17,'июль 2025'!$J$2:$J$2437,O$1)</f>
        <v>0</v>
      </c>
      <c r="P17" s="76">
        <f>SUMIFS('июль 2025'!$G$2:$G$2437,'июль 2025'!$D$2:$D$2437,$B17,'июль 2025'!$J$2:$J$2437,P$1)</f>
        <v>0</v>
      </c>
      <c r="Q17" s="76">
        <f>SUMIFS('июль 2025'!$G$2:$G$2437,'июль 2025'!$D$2:$D$2437,$B17,'июль 2025'!$J$2:$J$2437,Q$1)</f>
        <v>0</v>
      </c>
      <c r="R17" s="76">
        <f>SUMIFS('июль 2025'!$G$2:$G$2437,'июль 2025'!$D$2:$D$2437,$B17,'июль 2025'!$J$2:$J$2437,R$1)</f>
        <v>0</v>
      </c>
      <c r="S17" s="76">
        <f>SUMIFS('июль 2025'!$G$2:$G$2437,'июль 2025'!$D$2:$D$2437,$B17,'июль 2025'!$J$2:$J$2437,S$1)</f>
        <v>0</v>
      </c>
      <c r="T17" s="76">
        <f>SUMIFS('июль 2025'!$G$2:$G$2437,'июль 2025'!$D$2:$D$2437,$B17,'июль 2025'!$J$2:$J$2437,T$1)</f>
        <v>0</v>
      </c>
      <c r="U17" s="76">
        <f>SUMIFS('июль 2025'!$G$2:$G$2437,'июль 2025'!$D$2:$D$2437,$B17,'июль 2025'!$J$2:$J$2437,U$1)</f>
        <v>0</v>
      </c>
      <c r="V17" s="76">
        <f>SUMIFS('июль 2025'!$G$2:$G$2437,'июль 2025'!$D$2:$D$2437,$B17,'июль 2025'!$J$2:$J$2437,V$1)</f>
        <v>0</v>
      </c>
      <c r="W17" s="76">
        <f>SUMIFS('июль 2025'!$G$2:$G$2437,'июль 2025'!$D$2:$D$2437,$B17,'июль 2025'!$J$2:$J$2437,W$1)</f>
        <v>0</v>
      </c>
      <c r="X17" s="76">
        <f>SUMIFS('июль 2025'!$G$2:$G$2437,'июль 2025'!$D$2:$D$2437,$B17,'июль 2025'!$J$2:$J$2437,X$1)</f>
        <v>0</v>
      </c>
      <c r="Y17" s="76">
        <f>SUMIFS('июль 2025'!$G$2:$G$2437,'июль 2025'!$D$2:$D$2437,$B17,'июль 2025'!$J$2:$J$2437,Y$1)</f>
        <v>0</v>
      </c>
      <c r="Z17" s="76">
        <f>SUMIFS('июль 2025'!$G$2:$G$2437,'июль 2025'!$D$2:$D$2437,$B17,'июль 2025'!$J$2:$J$2437,Z$1)</f>
        <v>0</v>
      </c>
      <c r="AA17" s="76">
        <f>SUMIFS('июль 2025'!$G$2:$G$2437,'июль 2025'!$D$2:$D$2437,$B17,'июль 2025'!$J$2:$J$2437,AA$1)</f>
        <v>0</v>
      </c>
      <c r="AB17" s="76">
        <f>SUMIFS('июль 2025'!$G$2:$G$2437,'июль 2025'!$D$2:$D$2437,$B17,'июль 2025'!$J$2:$J$2437,AB$1)</f>
        <v>0</v>
      </c>
      <c r="AC17" s="76">
        <f>SUMIFS('июль 2025'!$G$2:$G$2437,'июль 2025'!$D$2:$D$2437,$B17,'июль 2025'!$J$2:$J$2437,AC$1)</f>
        <v>0</v>
      </c>
      <c r="AD17" s="76">
        <f>SUMIFS('июль 2025'!$G$2:$G$2437,'июль 2025'!$D$2:$D$2437,$B17,'июль 2025'!$J$2:$J$2437,AD$1)</f>
        <v>0</v>
      </c>
      <c r="AE17" s="76">
        <f>SUMIFS('июль 2025'!$G$2:$G$2437,'июль 2025'!$D$2:$D$2437,$B17,'июль 2025'!$J$2:$J$2437,AE$1)</f>
        <v>0</v>
      </c>
      <c r="AF17" s="76">
        <f>SUMIFS('июль 2025'!$G$2:$G$2437,'июль 2025'!$D$2:$D$2437,$B17,'июль 2025'!$J$2:$J$2437,AF$1)</f>
        <v>0</v>
      </c>
      <c r="AG17" s="76">
        <f>SUMIFS('июль 2025'!$G$2:$G$2437,'июль 2025'!$D$2:$D$2437,$B17,'июль 2025'!$J$2:$J$2437,AG$1)</f>
        <v>0</v>
      </c>
      <c r="AH17" s="76">
        <f>SUMIFS('июль 2025'!$G$2:$G$2437,'июль 2025'!$D$2:$D$2437,$B17,'июль 2025'!$J$2:$J$2437,AH$1)</f>
        <v>0</v>
      </c>
      <c r="AI17" s="20">
        <f t="shared" si="1"/>
        <v>0</v>
      </c>
    </row>
    <row r="18" spans="2:35" ht="15" customHeight="1" x14ac:dyDescent="0.25">
      <c r="B18" s="80" t="s">
        <v>235</v>
      </c>
      <c r="C18" s="81">
        <v>22.7</v>
      </c>
      <c r="D18" s="76">
        <f>SUMIFS('июль 2025'!$G$2:$G$2437,'июль 2025'!$D$2:$D$2437,$B18,'июль 2025'!$J$2:$J$2437,D$1)</f>
        <v>0</v>
      </c>
      <c r="E18" s="76">
        <f>SUMIFS('июль 2025'!$G$2:$G$2437,'июль 2025'!$D$2:$D$2437,$B18,'июль 2025'!$J$2:$J$2437,E$1)</f>
        <v>0</v>
      </c>
      <c r="F18" s="76">
        <f>SUMIFS('июль 2025'!$G$2:$G$2437,'июль 2025'!$D$2:$D$2437,$B18,'июль 2025'!$J$2:$J$2437,F$1)</f>
        <v>0</v>
      </c>
      <c r="G18" s="76">
        <f>SUMIFS('июль 2025'!$G$2:$G$2437,'июль 2025'!$D$2:$D$2437,$B18,'июль 2025'!$J$2:$J$2437,G$1)</f>
        <v>0</v>
      </c>
      <c r="H18" s="76">
        <f>SUMIFS('июль 2025'!$G$2:$G$2437,'июль 2025'!$D$2:$D$2437,$B18,'июль 2025'!$J$2:$J$2437,H$1)</f>
        <v>0</v>
      </c>
      <c r="I18" s="76">
        <f>SUMIFS('июль 2025'!$G$2:$G$2437,'июль 2025'!$D$2:$D$2437,$B18,'июль 2025'!$J$2:$J$2437,I$1)</f>
        <v>0</v>
      </c>
      <c r="J18" s="76">
        <f>SUMIFS('июль 2025'!$G$2:$G$2437,'июль 2025'!$D$2:$D$2437,$B18,'июль 2025'!$J$2:$J$2437,J$1)</f>
        <v>0</v>
      </c>
      <c r="K18" s="76">
        <f>SUMIFS('июль 2025'!$G$2:$G$2437,'июль 2025'!$D$2:$D$2437,$B18,'июль 2025'!$J$2:$J$2437,K$1)</f>
        <v>0</v>
      </c>
      <c r="L18" s="76">
        <f>SUMIFS('июль 2025'!$G$2:$G$2437,'июль 2025'!$D$2:$D$2437,$B18,'июль 2025'!$J$2:$J$2437,L$1)</f>
        <v>0</v>
      </c>
      <c r="M18" s="76">
        <f>SUMIFS('июль 2025'!$G$2:$G$2437,'июль 2025'!$D$2:$D$2437,$B18,'июль 2025'!$J$2:$J$2437,M$1)</f>
        <v>0</v>
      </c>
      <c r="N18" s="76">
        <f>SUMIFS('июль 2025'!$G$2:$G$2437,'июль 2025'!$D$2:$D$2437,$B18,'июль 2025'!$J$2:$J$2437,N$1)</f>
        <v>0</v>
      </c>
      <c r="O18" s="76">
        <f>SUMIFS('июль 2025'!$G$2:$G$2437,'июль 2025'!$D$2:$D$2437,$B18,'июль 2025'!$J$2:$J$2437,O$1)</f>
        <v>0</v>
      </c>
      <c r="P18" s="76">
        <f>SUMIFS('июль 2025'!$G$2:$G$2437,'июль 2025'!$D$2:$D$2437,$B18,'июль 2025'!$J$2:$J$2437,P$1)</f>
        <v>0</v>
      </c>
      <c r="Q18" s="76">
        <f>SUMIFS('июль 2025'!$G$2:$G$2437,'июль 2025'!$D$2:$D$2437,$B18,'июль 2025'!$J$2:$J$2437,Q$1)</f>
        <v>0</v>
      </c>
      <c r="R18" s="76">
        <f>SUMIFS('июль 2025'!$G$2:$G$2437,'июль 2025'!$D$2:$D$2437,$B18,'июль 2025'!$J$2:$J$2437,R$1)</f>
        <v>0</v>
      </c>
      <c r="S18" s="76">
        <f>SUMIFS('июль 2025'!$G$2:$G$2437,'июль 2025'!$D$2:$D$2437,$B18,'июль 2025'!$J$2:$J$2437,S$1)</f>
        <v>0</v>
      </c>
      <c r="T18" s="76">
        <f>SUMIFS('июль 2025'!$G$2:$G$2437,'июль 2025'!$D$2:$D$2437,$B18,'июль 2025'!$J$2:$J$2437,T$1)</f>
        <v>0</v>
      </c>
      <c r="U18" s="76">
        <f>SUMIFS('июль 2025'!$G$2:$G$2437,'июль 2025'!$D$2:$D$2437,$B18,'июль 2025'!$J$2:$J$2437,U$1)</f>
        <v>0</v>
      </c>
      <c r="V18" s="76">
        <f>SUMIFS('июль 2025'!$G$2:$G$2437,'июль 2025'!$D$2:$D$2437,$B18,'июль 2025'!$J$2:$J$2437,V$1)</f>
        <v>0</v>
      </c>
      <c r="W18" s="76">
        <f>SUMIFS('июль 2025'!$G$2:$G$2437,'июль 2025'!$D$2:$D$2437,$B18,'июль 2025'!$J$2:$J$2437,W$1)</f>
        <v>0</v>
      </c>
      <c r="X18" s="76">
        <f>SUMIFS('июль 2025'!$G$2:$G$2437,'июль 2025'!$D$2:$D$2437,$B18,'июль 2025'!$J$2:$J$2437,X$1)</f>
        <v>0</v>
      </c>
      <c r="Y18" s="76">
        <f>SUMIFS('июль 2025'!$G$2:$G$2437,'июль 2025'!$D$2:$D$2437,$B18,'июль 2025'!$J$2:$J$2437,Y$1)</f>
        <v>0</v>
      </c>
      <c r="Z18" s="76">
        <f>SUMIFS('июль 2025'!$G$2:$G$2437,'июль 2025'!$D$2:$D$2437,$B18,'июль 2025'!$J$2:$J$2437,Z$1)</f>
        <v>0</v>
      </c>
      <c r="AA18" s="76">
        <f>SUMIFS('июль 2025'!$G$2:$G$2437,'июль 2025'!$D$2:$D$2437,$B18,'июль 2025'!$J$2:$J$2437,AA$1)</f>
        <v>0</v>
      </c>
      <c r="AB18" s="76">
        <f>SUMIFS('июль 2025'!$G$2:$G$2437,'июль 2025'!$D$2:$D$2437,$B18,'июль 2025'!$J$2:$J$2437,AB$1)</f>
        <v>0</v>
      </c>
      <c r="AC18" s="76">
        <f>SUMIFS('июль 2025'!$G$2:$G$2437,'июль 2025'!$D$2:$D$2437,$B18,'июль 2025'!$J$2:$J$2437,AC$1)</f>
        <v>0</v>
      </c>
      <c r="AD18" s="76">
        <f>SUMIFS('июль 2025'!$G$2:$G$2437,'июль 2025'!$D$2:$D$2437,$B18,'июль 2025'!$J$2:$J$2437,AD$1)</f>
        <v>0</v>
      </c>
      <c r="AE18" s="76">
        <f>SUMIFS('июль 2025'!$G$2:$G$2437,'июль 2025'!$D$2:$D$2437,$B18,'июль 2025'!$J$2:$J$2437,AE$1)</f>
        <v>0</v>
      </c>
      <c r="AF18" s="76">
        <f>SUMIFS('июль 2025'!$G$2:$G$2437,'июль 2025'!$D$2:$D$2437,$B18,'июль 2025'!$J$2:$J$2437,AF$1)</f>
        <v>0</v>
      </c>
      <c r="AG18" s="76">
        <f>SUMIFS('июль 2025'!$G$2:$G$2437,'июль 2025'!$D$2:$D$2437,$B18,'июль 2025'!$J$2:$J$2437,AG$1)</f>
        <v>0</v>
      </c>
      <c r="AH18" s="76">
        <f>SUMIFS('июль 2025'!$G$2:$G$2437,'июль 2025'!$D$2:$D$2437,$B18,'июль 2025'!$J$2:$J$2437,AH$1)</f>
        <v>0</v>
      </c>
      <c r="AI18" s="20">
        <f t="shared" si="1"/>
        <v>0</v>
      </c>
    </row>
    <row r="19" spans="2:35" ht="15" customHeight="1" x14ac:dyDescent="0.25">
      <c r="B19" s="80" t="s">
        <v>237</v>
      </c>
      <c r="C19" s="81">
        <v>25</v>
      </c>
      <c r="D19" s="76">
        <f>SUMIFS('июль 2025'!$G$2:$G$2437,'июль 2025'!$D$2:$D$2437,$B19,'июль 2025'!$J$2:$J$2437,D$1)</f>
        <v>0</v>
      </c>
      <c r="E19" s="76">
        <f>SUMIFS('июль 2025'!$G$2:$G$2437,'июль 2025'!$D$2:$D$2437,$B19,'июль 2025'!$J$2:$J$2437,E$1)</f>
        <v>0</v>
      </c>
      <c r="F19" s="76">
        <f>SUMIFS('июль 2025'!$G$2:$G$2437,'июль 2025'!$D$2:$D$2437,$B19,'июль 2025'!$J$2:$J$2437,F$1)</f>
        <v>0</v>
      </c>
      <c r="G19" s="76">
        <f>SUMIFS('июль 2025'!$G$2:$G$2437,'июль 2025'!$D$2:$D$2437,$B19,'июль 2025'!$J$2:$J$2437,G$1)</f>
        <v>0</v>
      </c>
      <c r="H19" s="76">
        <f>SUMIFS('июль 2025'!$G$2:$G$2437,'июль 2025'!$D$2:$D$2437,$B19,'июль 2025'!$J$2:$J$2437,H$1)</f>
        <v>0</v>
      </c>
      <c r="I19" s="76">
        <f>SUMIFS('июль 2025'!$G$2:$G$2437,'июль 2025'!$D$2:$D$2437,$B19,'июль 2025'!$J$2:$J$2437,I$1)</f>
        <v>0</v>
      </c>
      <c r="J19" s="76">
        <f>SUMIFS('июль 2025'!$G$2:$G$2437,'июль 2025'!$D$2:$D$2437,$B19,'июль 2025'!$J$2:$J$2437,J$1)</f>
        <v>0</v>
      </c>
      <c r="K19" s="76">
        <f>SUMIFS('июль 2025'!$G$2:$G$2437,'июль 2025'!$D$2:$D$2437,$B19,'июль 2025'!$J$2:$J$2437,K$1)</f>
        <v>0</v>
      </c>
      <c r="L19" s="76">
        <f>SUMIFS('июль 2025'!$G$2:$G$2437,'июль 2025'!$D$2:$D$2437,$B19,'июль 2025'!$J$2:$J$2437,L$1)</f>
        <v>0</v>
      </c>
      <c r="M19" s="76">
        <f>SUMIFS('июль 2025'!$G$2:$G$2437,'июль 2025'!$D$2:$D$2437,$B19,'июль 2025'!$J$2:$J$2437,M$1)</f>
        <v>0</v>
      </c>
      <c r="N19" s="76">
        <f>SUMIFS('июль 2025'!$G$2:$G$2437,'июль 2025'!$D$2:$D$2437,$B19,'июль 2025'!$J$2:$J$2437,N$1)</f>
        <v>0</v>
      </c>
      <c r="O19" s="76">
        <f>SUMIFS('июль 2025'!$G$2:$G$2437,'июль 2025'!$D$2:$D$2437,$B19,'июль 2025'!$J$2:$J$2437,O$1)</f>
        <v>0</v>
      </c>
      <c r="P19" s="76">
        <f>SUMIFS('июль 2025'!$G$2:$G$2437,'июль 2025'!$D$2:$D$2437,$B19,'июль 2025'!$J$2:$J$2437,P$1)</f>
        <v>0</v>
      </c>
      <c r="Q19" s="76">
        <f>SUMIFS('июль 2025'!$G$2:$G$2437,'июль 2025'!$D$2:$D$2437,$B19,'июль 2025'!$J$2:$J$2437,Q$1)</f>
        <v>0</v>
      </c>
      <c r="R19" s="76">
        <f>SUMIFS('июль 2025'!$G$2:$G$2437,'июль 2025'!$D$2:$D$2437,$B19,'июль 2025'!$J$2:$J$2437,R$1)</f>
        <v>0</v>
      </c>
      <c r="S19" s="76">
        <f>SUMIFS('июль 2025'!$G$2:$G$2437,'июль 2025'!$D$2:$D$2437,$B19,'июль 2025'!$J$2:$J$2437,S$1)</f>
        <v>0</v>
      </c>
      <c r="T19" s="76">
        <f>SUMIFS('июль 2025'!$G$2:$G$2437,'июль 2025'!$D$2:$D$2437,$B19,'июль 2025'!$J$2:$J$2437,T$1)</f>
        <v>0</v>
      </c>
      <c r="U19" s="76">
        <f>SUMIFS('июль 2025'!$G$2:$G$2437,'июль 2025'!$D$2:$D$2437,$B19,'июль 2025'!$J$2:$J$2437,U$1)</f>
        <v>0</v>
      </c>
      <c r="V19" s="76">
        <f>SUMIFS('июль 2025'!$G$2:$G$2437,'июль 2025'!$D$2:$D$2437,$B19,'июль 2025'!$J$2:$J$2437,V$1)</f>
        <v>0</v>
      </c>
      <c r="W19" s="76">
        <f>SUMIFS('июль 2025'!$G$2:$G$2437,'июль 2025'!$D$2:$D$2437,$B19,'июль 2025'!$J$2:$J$2437,W$1)</f>
        <v>0</v>
      </c>
      <c r="X19" s="76">
        <f>SUMIFS('июль 2025'!$G$2:$G$2437,'июль 2025'!$D$2:$D$2437,$B19,'июль 2025'!$J$2:$J$2437,X$1)</f>
        <v>0</v>
      </c>
      <c r="Y19" s="76">
        <f>SUMIFS('июль 2025'!$G$2:$G$2437,'июль 2025'!$D$2:$D$2437,$B19,'июль 2025'!$J$2:$J$2437,Y$1)</f>
        <v>0</v>
      </c>
      <c r="Z19" s="76">
        <f>SUMIFS('июль 2025'!$G$2:$G$2437,'июль 2025'!$D$2:$D$2437,$B19,'июль 2025'!$J$2:$J$2437,Z$1)</f>
        <v>0</v>
      </c>
      <c r="AA19" s="76">
        <f>SUMIFS('июль 2025'!$G$2:$G$2437,'июль 2025'!$D$2:$D$2437,$B19,'июль 2025'!$J$2:$J$2437,AA$1)</f>
        <v>0</v>
      </c>
      <c r="AB19" s="76">
        <f>SUMIFS('июль 2025'!$G$2:$G$2437,'июль 2025'!$D$2:$D$2437,$B19,'июль 2025'!$J$2:$J$2437,AB$1)</f>
        <v>0</v>
      </c>
      <c r="AC19" s="76">
        <f>SUMIFS('июль 2025'!$G$2:$G$2437,'июль 2025'!$D$2:$D$2437,$B19,'июль 2025'!$J$2:$J$2437,AC$1)</f>
        <v>0</v>
      </c>
      <c r="AD19" s="76">
        <f>SUMIFS('июль 2025'!$G$2:$G$2437,'июль 2025'!$D$2:$D$2437,$B19,'июль 2025'!$J$2:$J$2437,AD$1)</f>
        <v>0</v>
      </c>
      <c r="AE19" s="76">
        <f>SUMIFS('июль 2025'!$G$2:$G$2437,'июль 2025'!$D$2:$D$2437,$B19,'июль 2025'!$J$2:$J$2437,AE$1)</f>
        <v>0</v>
      </c>
      <c r="AF19" s="76">
        <f>SUMIFS('июль 2025'!$G$2:$G$2437,'июль 2025'!$D$2:$D$2437,$B19,'июль 2025'!$J$2:$J$2437,AF$1)</f>
        <v>0</v>
      </c>
      <c r="AG19" s="76">
        <f>SUMIFS('июль 2025'!$G$2:$G$2437,'июль 2025'!$D$2:$D$2437,$B19,'июль 2025'!$J$2:$J$2437,AG$1)</f>
        <v>0</v>
      </c>
      <c r="AH19" s="76">
        <f>SUMIFS('июль 2025'!$G$2:$G$2437,'июль 2025'!$D$2:$D$2437,$B19,'июль 2025'!$J$2:$J$2437,AH$1)</f>
        <v>0</v>
      </c>
      <c r="AI19" s="20">
        <f t="shared" si="1"/>
        <v>0</v>
      </c>
    </row>
    <row r="20" spans="2:35" ht="15" customHeight="1" x14ac:dyDescent="0.25">
      <c r="B20" s="77" t="s">
        <v>239</v>
      </c>
      <c r="C20" s="78">
        <v>25</v>
      </c>
      <c r="D20" s="76">
        <f>SUMIFS('июль 2025'!$G$2:$G$2437,'июль 2025'!$D$2:$D$2437,$B20,'июль 2025'!$J$2:$J$2437,D$1)</f>
        <v>0</v>
      </c>
      <c r="E20" s="76">
        <f>SUMIFS('июль 2025'!$G$2:$G$2437,'июль 2025'!$D$2:$D$2437,$B20,'июль 2025'!$J$2:$J$2437,E$1)</f>
        <v>0</v>
      </c>
      <c r="F20" s="76">
        <f>SUMIFS('июль 2025'!$G$2:$G$2437,'июль 2025'!$D$2:$D$2437,$B20,'июль 2025'!$J$2:$J$2437,F$1)</f>
        <v>0</v>
      </c>
      <c r="G20" s="76">
        <f>SUMIFS('июль 2025'!$G$2:$G$2437,'июль 2025'!$D$2:$D$2437,$B20,'июль 2025'!$J$2:$J$2437,G$1)</f>
        <v>0</v>
      </c>
      <c r="H20" s="76">
        <f>SUMIFS('июль 2025'!$G$2:$G$2437,'июль 2025'!$D$2:$D$2437,$B20,'июль 2025'!$J$2:$J$2437,H$1)</f>
        <v>0</v>
      </c>
      <c r="I20" s="76">
        <f>SUMIFS('июль 2025'!$G$2:$G$2437,'июль 2025'!$D$2:$D$2437,$B20,'июль 2025'!$J$2:$J$2437,I$1)</f>
        <v>0</v>
      </c>
      <c r="J20" s="76">
        <f>SUMIFS('июль 2025'!$G$2:$G$2437,'июль 2025'!$D$2:$D$2437,$B20,'июль 2025'!$J$2:$J$2437,J$1)</f>
        <v>0</v>
      </c>
      <c r="K20" s="76">
        <f>SUMIFS('июль 2025'!$G$2:$G$2437,'июль 2025'!$D$2:$D$2437,$B20,'июль 2025'!$J$2:$J$2437,K$1)</f>
        <v>0</v>
      </c>
      <c r="L20" s="76">
        <f>SUMIFS('июль 2025'!$G$2:$G$2437,'июль 2025'!$D$2:$D$2437,$B20,'июль 2025'!$J$2:$J$2437,L$1)</f>
        <v>0</v>
      </c>
      <c r="M20" s="76">
        <f>SUMIFS('июль 2025'!$G$2:$G$2437,'июль 2025'!$D$2:$D$2437,$B20,'июль 2025'!$J$2:$J$2437,M$1)</f>
        <v>0</v>
      </c>
      <c r="N20" s="76">
        <f>SUMIFS('июль 2025'!$G$2:$G$2437,'июль 2025'!$D$2:$D$2437,$B20,'июль 2025'!$J$2:$J$2437,N$1)</f>
        <v>0</v>
      </c>
      <c r="O20" s="76">
        <f>SUMIFS('июль 2025'!$G$2:$G$2437,'июль 2025'!$D$2:$D$2437,$B20,'июль 2025'!$J$2:$J$2437,O$1)</f>
        <v>0</v>
      </c>
      <c r="P20" s="76">
        <f>SUMIFS('июль 2025'!$G$2:$G$2437,'июль 2025'!$D$2:$D$2437,$B20,'июль 2025'!$J$2:$J$2437,P$1)</f>
        <v>0</v>
      </c>
      <c r="Q20" s="76">
        <f>SUMIFS('июль 2025'!$G$2:$G$2437,'июль 2025'!$D$2:$D$2437,$B20,'июль 2025'!$J$2:$J$2437,Q$1)</f>
        <v>0</v>
      </c>
      <c r="R20" s="76">
        <f>SUMIFS('июль 2025'!$G$2:$G$2437,'июль 2025'!$D$2:$D$2437,$B20,'июль 2025'!$J$2:$J$2437,R$1)</f>
        <v>0</v>
      </c>
      <c r="S20" s="76">
        <f>SUMIFS('июль 2025'!$G$2:$G$2437,'июль 2025'!$D$2:$D$2437,$B20,'июль 2025'!$J$2:$J$2437,S$1)</f>
        <v>0</v>
      </c>
      <c r="T20" s="76">
        <f>SUMIFS('июль 2025'!$G$2:$G$2437,'июль 2025'!$D$2:$D$2437,$B20,'июль 2025'!$J$2:$J$2437,T$1)</f>
        <v>0</v>
      </c>
      <c r="U20" s="76">
        <f>SUMIFS('июль 2025'!$G$2:$G$2437,'июль 2025'!$D$2:$D$2437,$B20,'июль 2025'!$J$2:$J$2437,U$1)</f>
        <v>0</v>
      </c>
      <c r="V20" s="76">
        <f>SUMIFS('июль 2025'!$G$2:$G$2437,'июль 2025'!$D$2:$D$2437,$B20,'июль 2025'!$J$2:$J$2437,V$1)</f>
        <v>0</v>
      </c>
      <c r="W20" s="76">
        <f>SUMIFS('июль 2025'!$G$2:$G$2437,'июль 2025'!$D$2:$D$2437,$B20,'июль 2025'!$J$2:$J$2437,W$1)</f>
        <v>0</v>
      </c>
      <c r="X20" s="76">
        <f>SUMIFS('июль 2025'!$G$2:$G$2437,'июль 2025'!$D$2:$D$2437,$B20,'июль 2025'!$J$2:$J$2437,X$1)</f>
        <v>0</v>
      </c>
      <c r="Y20" s="76">
        <f>SUMIFS('июль 2025'!$G$2:$G$2437,'июль 2025'!$D$2:$D$2437,$B20,'июль 2025'!$J$2:$J$2437,Y$1)</f>
        <v>0</v>
      </c>
      <c r="Z20" s="76">
        <f>SUMIFS('июль 2025'!$G$2:$G$2437,'июль 2025'!$D$2:$D$2437,$B20,'июль 2025'!$J$2:$J$2437,Z$1)</f>
        <v>0</v>
      </c>
      <c r="AA20" s="76">
        <f>SUMIFS('июль 2025'!$G$2:$G$2437,'июль 2025'!$D$2:$D$2437,$B20,'июль 2025'!$J$2:$J$2437,AA$1)</f>
        <v>0</v>
      </c>
      <c r="AB20" s="76">
        <f>SUMIFS('июль 2025'!$G$2:$G$2437,'июль 2025'!$D$2:$D$2437,$B20,'июль 2025'!$J$2:$J$2437,AB$1)</f>
        <v>0</v>
      </c>
      <c r="AC20" s="76">
        <f>SUMIFS('июль 2025'!$G$2:$G$2437,'июль 2025'!$D$2:$D$2437,$B20,'июль 2025'!$J$2:$J$2437,AC$1)</f>
        <v>0</v>
      </c>
      <c r="AD20" s="76">
        <f>SUMIFS('июль 2025'!$G$2:$G$2437,'июль 2025'!$D$2:$D$2437,$B20,'июль 2025'!$J$2:$J$2437,AD$1)</f>
        <v>0</v>
      </c>
      <c r="AE20" s="76">
        <f>SUMIFS('июль 2025'!$G$2:$G$2437,'июль 2025'!$D$2:$D$2437,$B20,'июль 2025'!$J$2:$J$2437,AE$1)</f>
        <v>0</v>
      </c>
      <c r="AF20" s="76">
        <f>SUMIFS('июль 2025'!$G$2:$G$2437,'июль 2025'!$D$2:$D$2437,$B20,'июль 2025'!$J$2:$J$2437,AF$1)</f>
        <v>0</v>
      </c>
      <c r="AG20" s="76">
        <f>SUMIFS('июль 2025'!$G$2:$G$2437,'июль 2025'!$D$2:$D$2437,$B20,'июль 2025'!$J$2:$J$2437,AG$1)</f>
        <v>0</v>
      </c>
      <c r="AH20" s="76">
        <f>SUMIFS('июль 2025'!$G$2:$G$2437,'июль 2025'!$D$2:$D$2437,$B20,'июль 2025'!$J$2:$J$2437,AH$1)</f>
        <v>0</v>
      </c>
      <c r="AI20" s="20">
        <f t="shared" si="1"/>
        <v>0</v>
      </c>
    </row>
    <row r="21" spans="2:35" ht="15" customHeight="1" x14ac:dyDescent="0.25">
      <c r="B21" s="77" t="s">
        <v>241</v>
      </c>
      <c r="C21" s="78">
        <v>25</v>
      </c>
      <c r="D21" s="76">
        <f>SUMIFS('июль 2025'!$G$2:$G$2437,'июль 2025'!$D$2:$D$2437,$B21,'июль 2025'!$J$2:$J$2437,D$1)</f>
        <v>0</v>
      </c>
      <c r="E21" s="76">
        <f>SUMIFS('июль 2025'!$G$2:$G$2437,'июль 2025'!$D$2:$D$2437,$B21,'июль 2025'!$J$2:$J$2437,E$1)</f>
        <v>0</v>
      </c>
      <c r="F21" s="76">
        <f>SUMIFS('июль 2025'!$G$2:$G$2437,'июль 2025'!$D$2:$D$2437,$B21,'июль 2025'!$J$2:$J$2437,F$1)</f>
        <v>0</v>
      </c>
      <c r="G21" s="76">
        <f>SUMIFS('июль 2025'!$G$2:$G$2437,'июль 2025'!$D$2:$D$2437,$B21,'июль 2025'!$J$2:$J$2437,G$1)</f>
        <v>0</v>
      </c>
      <c r="H21" s="76">
        <f>SUMIFS('июль 2025'!$G$2:$G$2437,'июль 2025'!$D$2:$D$2437,$B21,'июль 2025'!$J$2:$J$2437,H$1)</f>
        <v>0</v>
      </c>
      <c r="I21" s="76">
        <f>SUMIFS('июль 2025'!$G$2:$G$2437,'июль 2025'!$D$2:$D$2437,$B21,'июль 2025'!$J$2:$J$2437,I$1)</f>
        <v>0</v>
      </c>
      <c r="J21" s="76">
        <f>SUMIFS('июль 2025'!$G$2:$G$2437,'июль 2025'!$D$2:$D$2437,$B21,'июль 2025'!$J$2:$J$2437,J$1)</f>
        <v>0</v>
      </c>
      <c r="K21" s="76">
        <f>SUMIFS('июль 2025'!$G$2:$G$2437,'июль 2025'!$D$2:$D$2437,$B21,'июль 2025'!$J$2:$J$2437,K$1)</f>
        <v>0</v>
      </c>
      <c r="L21" s="76">
        <f>SUMIFS('июль 2025'!$G$2:$G$2437,'июль 2025'!$D$2:$D$2437,$B21,'июль 2025'!$J$2:$J$2437,L$1)</f>
        <v>0</v>
      </c>
      <c r="M21" s="76">
        <f>SUMIFS('июль 2025'!$G$2:$G$2437,'июль 2025'!$D$2:$D$2437,$B21,'июль 2025'!$J$2:$J$2437,M$1)</f>
        <v>0</v>
      </c>
      <c r="N21" s="76">
        <f>SUMIFS('июль 2025'!$G$2:$G$2437,'июль 2025'!$D$2:$D$2437,$B21,'июль 2025'!$J$2:$J$2437,N$1)</f>
        <v>0</v>
      </c>
      <c r="O21" s="76">
        <f>SUMIFS('июль 2025'!$G$2:$G$2437,'июль 2025'!$D$2:$D$2437,$B21,'июль 2025'!$J$2:$J$2437,O$1)</f>
        <v>0</v>
      </c>
      <c r="P21" s="76">
        <f>SUMIFS('июль 2025'!$G$2:$G$2437,'июль 2025'!$D$2:$D$2437,$B21,'июль 2025'!$J$2:$J$2437,P$1)</f>
        <v>0</v>
      </c>
      <c r="Q21" s="76">
        <f>SUMIFS('июль 2025'!$G$2:$G$2437,'июль 2025'!$D$2:$D$2437,$B21,'июль 2025'!$J$2:$J$2437,Q$1)</f>
        <v>0</v>
      </c>
      <c r="R21" s="76">
        <f>SUMIFS('июль 2025'!$G$2:$G$2437,'июль 2025'!$D$2:$D$2437,$B21,'июль 2025'!$J$2:$J$2437,R$1)</f>
        <v>0</v>
      </c>
      <c r="S21" s="76">
        <f>SUMIFS('июль 2025'!$G$2:$G$2437,'июль 2025'!$D$2:$D$2437,$B21,'июль 2025'!$J$2:$J$2437,S$1)</f>
        <v>0</v>
      </c>
      <c r="T21" s="76">
        <f>SUMIFS('июль 2025'!$G$2:$G$2437,'июль 2025'!$D$2:$D$2437,$B21,'июль 2025'!$J$2:$J$2437,T$1)</f>
        <v>0</v>
      </c>
      <c r="U21" s="76">
        <f>SUMIFS('июль 2025'!$G$2:$G$2437,'июль 2025'!$D$2:$D$2437,$B21,'июль 2025'!$J$2:$J$2437,U$1)</f>
        <v>0</v>
      </c>
      <c r="V21" s="76">
        <f>SUMIFS('июль 2025'!$G$2:$G$2437,'июль 2025'!$D$2:$D$2437,$B21,'июль 2025'!$J$2:$J$2437,V$1)</f>
        <v>0</v>
      </c>
      <c r="W21" s="76">
        <f>SUMIFS('июль 2025'!$G$2:$G$2437,'июль 2025'!$D$2:$D$2437,$B21,'июль 2025'!$J$2:$J$2437,W$1)</f>
        <v>0</v>
      </c>
      <c r="X21" s="76">
        <f>SUMIFS('июль 2025'!$G$2:$G$2437,'июль 2025'!$D$2:$D$2437,$B21,'июль 2025'!$J$2:$J$2437,X$1)</f>
        <v>0</v>
      </c>
      <c r="Y21" s="76">
        <f>SUMIFS('июль 2025'!$G$2:$G$2437,'июль 2025'!$D$2:$D$2437,$B21,'июль 2025'!$J$2:$J$2437,Y$1)</f>
        <v>0</v>
      </c>
      <c r="Z21" s="76">
        <f>SUMIFS('июль 2025'!$G$2:$G$2437,'июль 2025'!$D$2:$D$2437,$B21,'июль 2025'!$J$2:$J$2437,Z$1)</f>
        <v>0</v>
      </c>
      <c r="AA21" s="76">
        <f>SUMIFS('июль 2025'!$G$2:$G$2437,'июль 2025'!$D$2:$D$2437,$B21,'июль 2025'!$J$2:$J$2437,AA$1)</f>
        <v>0</v>
      </c>
      <c r="AB21" s="76">
        <f>SUMIFS('июль 2025'!$G$2:$G$2437,'июль 2025'!$D$2:$D$2437,$B21,'июль 2025'!$J$2:$J$2437,AB$1)</f>
        <v>0</v>
      </c>
      <c r="AC21" s="76">
        <f>SUMIFS('июль 2025'!$G$2:$G$2437,'июль 2025'!$D$2:$D$2437,$B21,'июль 2025'!$J$2:$J$2437,AC$1)</f>
        <v>0</v>
      </c>
      <c r="AD21" s="76">
        <f>SUMIFS('июль 2025'!$G$2:$G$2437,'июль 2025'!$D$2:$D$2437,$B21,'июль 2025'!$J$2:$J$2437,AD$1)</f>
        <v>0</v>
      </c>
      <c r="AE21" s="76">
        <f>SUMIFS('июль 2025'!$G$2:$G$2437,'июль 2025'!$D$2:$D$2437,$B21,'июль 2025'!$J$2:$J$2437,AE$1)</f>
        <v>0</v>
      </c>
      <c r="AF21" s="76">
        <f>SUMIFS('июль 2025'!$G$2:$G$2437,'июль 2025'!$D$2:$D$2437,$B21,'июль 2025'!$J$2:$J$2437,AF$1)</f>
        <v>0</v>
      </c>
      <c r="AG21" s="76">
        <f>SUMIFS('июль 2025'!$G$2:$G$2437,'июль 2025'!$D$2:$D$2437,$B21,'июль 2025'!$J$2:$J$2437,AG$1)</f>
        <v>0</v>
      </c>
      <c r="AH21" s="76">
        <f>SUMIFS('июль 2025'!$G$2:$G$2437,'июль 2025'!$D$2:$D$2437,$B21,'июль 2025'!$J$2:$J$2437,AH$1)</f>
        <v>0</v>
      </c>
      <c r="AI21" s="20">
        <f t="shared" si="1"/>
        <v>0</v>
      </c>
    </row>
    <row r="22" spans="2:35" ht="15" customHeight="1" x14ac:dyDescent="0.25">
      <c r="B22" s="77" t="s">
        <v>243</v>
      </c>
      <c r="C22" s="78">
        <v>25</v>
      </c>
      <c r="D22" s="76">
        <f>SUMIFS('июль 2025'!$G$2:$G$2437,'июль 2025'!$D$2:$D$2437,$B22,'июль 2025'!$J$2:$J$2437,D$1)</f>
        <v>0</v>
      </c>
      <c r="E22" s="76">
        <f>SUMIFS('июль 2025'!$G$2:$G$2437,'июль 2025'!$D$2:$D$2437,$B22,'июль 2025'!$J$2:$J$2437,E$1)</f>
        <v>0</v>
      </c>
      <c r="F22" s="76">
        <f>SUMIFS('июль 2025'!$G$2:$G$2437,'июль 2025'!$D$2:$D$2437,$B22,'июль 2025'!$J$2:$J$2437,F$1)</f>
        <v>0</v>
      </c>
      <c r="G22" s="76">
        <f>SUMIFS('июль 2025'!$G$2:$G$2437,'июль 2025'!$D$2:$D$2437,$B22,'июль 2025'!$J$2:$J$2437,G$1)</f>
        <v>0</v>
      </c>
      <c r="H22" s="76">
        <f>SUMIFS('июль 2025'!$G$2:$G$2437,'июль 2025'!$D$2:$D$2437,$B22,'июль 2025'!$J$2:$J$2437,H$1)</f>
        <v>0</v>
      </c>
      <c r="I22" s="76">
        <f>SUMIFS('июль 2025'!$G$2:$G$2437,'июль 2025'!$D$2:$D$2437,$B22,'июль 2025'!$J$2:$J$2437,I$1)</f>
        <v>0</v>
      </c>
      <c r="J22" s="76">
        <f>SUMIFS('июль 2025'!$G$2:$G$2437,'июль 2025'!$D$2:$D$2437,$B22,'июль 2025'!$J$2:$J$2437,J$1)</f>
        <v>0</v>
      </c>
      <c r="K22" s="76">
        <f>SUMIFS('июль 2025'!$G$2:$G$2437,'июль 2025'!$D$2:$D$2437,$B22,'июль 2025'!$J$2:$J$2437,K$1)</f>
        <v>0</v>
      </c>
      <c r="L22" s="76">
        <f>SUMIFS('июль 2025'!$G$2:$G$2437,'июль 2025'!$D$2:$D$2437,$B22,'июль 2025'!$J$2:$J$2437,L$1)</f>
        <v>0</v>
      </c>
      <c r="M22" s="76">
        <f>SUMIFS('июль 2025'!$G$2:$G$2437,'июль 2025'!$D$2:$D$2437,$B22,'июль 2025'!$J$2:$J$2437,M$1)</f>
        <v>0</v>
      </c>
      <c r="N22" s="76">
        <f>SUMIFS('июль 2025'!$G$2:$G$2437,'июль 2025'!$D$2:$D$2437,$B22,'июль 2025'!$J$2:$J$2437,N$1)</f>
        <v>0</v>
      </c>
      <c r="O22" s="76">
        <f>SUMIFS('июль 2025'!$G$2:$G$2437,'июль 2025'!$D$2:$D$2437,$B22,'июль 2025'!$J$2:$J$2437,O$1)</f>
        <v>0</v>
      </c>
      <c r="P22" s="76">
        <f>SUMIFS('июль 2025'!$G$2:$G$2437,'июль 2025'!$D$2:$D$2437,$B22,'июль 2025'!$J$2:$J$2437,P$1)</f>
        <v>0</v>
      </c>
      <c r="Q22" s="76">
        <f>SUMIFS('июль 2025'!$G$2:$G$2437,'июль 2025'!$D$2:$D$2437,$B22,'июль 2025'!$J$2:$J$2437,Q$1)</f>
        <v>0</v>
      </c>
      <c r="R22" s="76">
        <f>SUMIFS('июль 2025'!$G$2:$G$2437,'июль 2025'!$D$2:$D$2437,$B22,'июль 2025'!$J$2:$J$2437,R$1)</f>
        <v>0</v>
      </c>
      <c r="S22" s="76">
        <f>SUMIFS('июль 2025'!$G$2:$G$2437,'июль 2025'!$D$2:$D$2437,$B22,'июль 2025'!$J$2:$J$2437,S$1)</f>
        <v>0</v>
      </c>
      <c r="T22" s="76">
        <f>SUMIFS('июль 2025'!$G$2:$G$2437,'июль 2025'!$D$2:$D$2437,$B22,'июль 2025'!$J$2:$J$2437,T$1)</f>
        <v>0</v>
      </c>
      <c r="U22" s="76">
        <f>SUMIFS('июль 2025'!$G$2:$G$2437,'июль 2025'!$D$2:$D$2437,$B22,'июль 2025'!$J$2:$J$2437,U$1)</f>
        <v>0</v>
      </c>
      <c r="V22" s="76">
        <f>SUMIFS('июль 2025'!$G$2:$G$2437,'июль 2025'!$D$2:$D$2437,$B22,'июль 2025'!$J$2:$J$2437,V$1)</f>
        <v>0</v>
      </c>
      <c r="W22" s="76">
        <f>SUMIFS('июль 2025'!$G$2:$G$2437,'июль 2025'!$D$2:$D$2437,$B22,'июль 2025'!$J$2:$J$2437,W$1)</f>
        <v>0</v>
      </c>
      <c r="X22" s="76">
        <f>SUMIFS('июль 2025'!$G$2:$G$2437,'июль 2025'!$D$2:$D$2437,$B22,'июль 2025'!$J$2:$J$2437,X$1)</f>
        <v>0</v>
      </c>
      <c r="Y22" s="76">
        <f>SUMIFS('июль 2025'!$G$2:$G$2437,'июль 2025'!$D$2:$D$2437,$B22,'июль 2025'!$J$2:$J$2437,Y$1)</f>
        <v>0</v>
      </c>
      <c r="Z22" s="76">
        <f>SUMIFS('июль 2025'!$G$2:$G$2437,'июль 2025'!$D$2:$D$2437,$B22,'июль 2025'!$J$2:$J$2437,Z$1)</f>
        <v>0</v>
      </c>
      <c r="AA22" s="76">
        <f>SUMIFS('июль 2025'!$G$2:$G$2437,'июль 2025'!$D$2:$D$2437,$B22,'июль 2025'!$J$2:$J$2437,AA$1)</f>
        <v>0</v>
      </c>
      <c r="AB22" s="76">
        <f>SUMIFS('июль 2025'!$G$2:$G$2437,'июль 2025'!$D$2:$D$2437,$B22,'июль 2025'!$J$2:$J$2437,AB$1)</f>
        <v>0</v>
      </c>
      <c r="AC22" s="76">
        <f>SUMIFS('июль 2025'!$G$2:$G$2437,'июль 2025'!$D$2:$D$2437,$B22,'июль 2025'!$J$2:$J$2437,AC$1)</f>
        <v>0</v>
      </c>
      <c r="AD22" s="76">
        <f>SUMIFS('июль 2025'!$G$2:$G$2437,'июль 2025'!$D$2:$D$2437,$B22,'июль 2025'!$J$2:$J$2437,AD$1)</f>
        <v>0</v>
      </c>
      <c r="AE22" s="76">
        <f>SUMIFS('июль 2025'!$G$2:$G$2437,'июль 2025'!$D$2:$D$2437,$B22,'июль 2025'!$J$2:$J$2437,AE$1)</f>
        <v>0</v>
      </c>
      <c r="AF22" s="76">
        <f>SUMIFS('июль 2025'!$G$2:$G$2437,'июль 2025'!$D$2:$D$2437,$B22,'июль 2025'!$J$2:$J$2437,AF$1)</f>
        <v>0</v>
      </c>
      <c r="AG22" s="76">
        <f>SUMIFS('июль 2025'!$G$2:$G$2437,'июль 2025'!$D$2:$D$2437,$B22,'июль 2025'!$J$2:$J$2437,AG$1)</f>
        <v>0</v>
      </c>
      <c r="AH22" s="76">
        <f>SUMIFS('июль 2025'!$G$2:$G$2437,'июль 2025'!$D$2:$D$2437,$B22,'июль 2025'!$J$2:$J$2437,AH$1)</f>
        <v>0</v>
      </c>
      <c r="AI22" s="20">
        <f t="shared" si="1"/>
        <v>0</v>
      </c>
    </row>
    <row r="23" spans="2:35" ht="15" customHeight="1" x14ac:dyDescent="0.25">
      <c r="B23" s="77" t="s">
        <v>245</v>
      </c>
      <c r="C23" s="78">
        <v>25</v>
      </c>
      <c r="D23" s="76">
        <f>SUMIFS('июль 2025'!$G$2:$G$2437,'июль 2025'!$D$2:$D$2437,$B23,'июль 2025'!$J$2:$J$2437,D$1)</f>
        <v>0</v>
      </c>
      <c r="E23" s="76">
        <f>SUMIFS('июль 2025'!$G$2:$G$2437,'июль 2025'!$D$2:$D$2437,$B23,'июль 2025'!$J$2:$J$2437,E$1)</f>
        <v>0</v>
      </c>
      <c r="F23" s="76">
        <f>SUMIFS('июль 2025'!$G$2:$G$2437,'июль 2025'!$D$2:$D$2437,$B23,'июль 2025'!$J$2:$J$2437,F$1)</f>
        <v>0</v>
      </c>
      <c r="G23" s="76">
        <f>SUMIFS('июль 2025'!$G$2:$G$2437,'июль 2025'!$D$2:$D$2437,$B23,'июль 2025'!$J$2:$J$2437,G$1)</f>
        <v>0</v>
      </c>
      <c r="H23" s="76">
        <f>SUMIFS('июль 2025'!$G$2:$G$2437,'июль 2025'!$D$2:$D$2437,$B23,'июль 2025'!$J$2:$J$2437,H$1)</f>
        <v>0</v>
      </c>
      <c r="I23" s="76">
        <f>SUMIFS('июль 2025'!$G$2:$G$2437,'июль 2025'!$D$2:$D$2437,$B23,'июль 2025'!$J$2:$J$2437,I$1)</f>
        <v>0</v>
      </c>
      <c r="J23" s="76">
        <f>SUMIFS('июль 2025'!$G$2:$G$2437,'июль 2025'!$D$2:$D$2437,$B23,'июль 2025'!$J$2:$J$2437,J$1)</f>
        <v>0</v>
      </c>
      <c r="K23" s="76">
        <f>SUMIFS('июль 2025'!$G$2:$G$2437,'июль 2025'!$D$2:$D$2437,$B23,'июль 2025'!$J$2:$J$2437,K$1)</f>
        <v>0</v>
      </c>
      <c r="L23" s="76">
        <f>SUMIFS('июль 2025'!$G$2:$G$2437,'июль 2025'!$D$2:$D$2437,$B23,'июль 2025'!$J$2:$J$2437,L$1)</f>
        <v>0</v>
      </c>
      <c r="M23" s="76">
        <f>SUMIFS('июль 2025'!$G$2:$G$2437,'июль 2025'!$D$2:$D$2437,$B23,'июль 2025'!$J$2:$J$2437,M$1)</f>
        <v>0</v>
      </c>
      <c r="N23" s="76">
        <f>SUMIFS('июль 2025'!$G$2:$G$2437,'июль 2025'!$D$2:$D$2437,$B23,'июль 2025'!$J$2:$J$2437,N$1)</f>
        <v>0</v>
      </c>
      <c r="O23" s="76">
        <f>SUMIFS('июль 2025'!$G$2:$G$2437,'июль 2025'!$D$2:$D$2437,$B23,'июль 2025'!$J$2:$J$2437,O$1)</f>
        <v>0</v>
      </c>
      <c r="P23" s="76">
        <f>SUMIFS('июль 2025'!$G$2:$G$2437,'июль 2025'!$D$2:$D$2437,$B23,'июль 2025'!$J$2:$J$2437,P$1)</f>
        <v>0</v>
      </c>
      <c r="Q23" s="76">
        <f>SUMIFS('июль 2025'!$G$2:$G$2437,'июль 2025'!$D$2:$D$2437,$B23,'июль 2025'!$J$2:$J$2437,Q$1)</f>
        <v>0</v>
      </c>
      <c r="R23" s="76">
        <f>SUMIFS('июль 2025'!$G$2:$G$2437,'июль 2025'!$D$2:$D$2437,$B23,'июль 2025'!$J$2:$J$2437,R$1)</f>
        <v>0</v>
      </c>
      <c r="S23" s="76">
        <f>SUMIFS('июль 2025'!$G$2:$G$2437,'июль 2025'!$D$2:$D$2437,$B23,'июль 2025'!$J$2:$J$2437,S$1)</f>
        <v>0</v>
      </c>
      <c r="T23" s="76">
        <f>SUMIFS('июль 2025'!$G$2:$G$2437,'июль 2025'!$D$2:$D$2437,$B23,'июль 2025'!$J$2:$J$2437,T$1)</f>
        <v>0</v>
      </c>
      <c r="U23" s="76">
        <f>SUMIFS('июль 2025'!$G$2:$G$2437,'июль 2025'!$D$2:$D$2437,$B23,'июль 2025'!$J$2:$J$2437,U$1)</f>
        <v>0</v>
      </c>
      <c r="V23" s="76">
        <f>SUMIFS('июль 2025'!$G$2:$G$2437,'июль 2025'!$D$2:$D$2437,$B23,'июль 2025'!$J$2:$J$2437,V$1)</f>
        <v>0</v>
      </c>
      <c r="W23" s="76">
        <f>SUMIFS('июль 2025'!$G$2:$G$2437,'июль 2025'!$D$2:$D$2437,$B23,'июль 2025'!$J$2:$J$2437,W$1)</f>
        <v>0</v>
      </c>
      <c r="X23" s="76">
        <f>SUMIFS('июль 2025'!$G$2:$G$2437,'июль 2025'!$D$2:$D$2437,$B23,'июль 2025'!$J$2:$J$2437,X$1)</f>
        <v>0</v>
      </c>
      <c r="Y23" s="76">
        <f>SUMIFS('июль 2025'!$G$2:$G$2437,'июль 2025'!$D$2:$D$2437,$B23,'июль 2025'!$J$2:$J$2437,Y$1)</f>
        <v>0</v>
      </c>
      <c r="Z23" s="76">
        <f>SUMIFS('июль 2025'!$G$2:$G$2437,'июль 2025'!$D$2:$D$2437,$B23,'июль 2025'!$J$2:$J$2437,Z$1)</f>
        <v>0</v>
      </c>
      <c r="AA23" s="76">
        <f>SUMIFS('июль 2025'!$G$2:$G$2437,'июль 2025'!$D$2:$D$2437,$B23,'июль 2025'!$J$2:$J$2437,AA$1)</f>
        <v>0</v>
      </c>
      <c r="AB23" s="76">
        <f>SUMIFS('июль 2025'!$G$2:$G$2437,'июль 2025'!$D$2:$D$2437,$B23,'июль 2025'!$J$2:$J$2437,AB$1)</f>
        <v>0</v>
      </c>
      <c r="AC23" s="76">
        <f>SUMIFS('июль 2025'!$G$2:$G$2437,'июль 2025'!$D$2:$D$2437,$B23,'июль 2025'!$J$2:$J$2437,AC$1)</f>
        <v>0</v>
      </c>
      <c r="AD23" s="76">
        <f>SUMIFS('июль 2025'!$G$2:$G$2437,'июль 2025'!$D$2:$D$2437,$B23,'июль 2025'!$J$2:$J$2437,AD$1)</f>
        <v>0</v>
      </c>
      <c r="AE23" s="76">
        <f>SUMIFS('июль 2025'!$G$2:$G$2437,'июль 2025'!$D$2:$D$2437,$B23,'июль 2025'!$J$2:$J$2437,AE$1)</f>
        <v>0</v>
      </c>
      <c r="AF23" s="76">
        <f>SUMIFS('июль 2025'!$G$2:$G$2437,'июль 2025'!$D$2:$D$2437,$B23,'июль 2025'!$J$2:$J$2437,AF$1)</f>
        <v>0</v>
      </c>
      <c r="AG23" s="76">
        <f>SUMIFS('июль 2025'!$G$2:$G$2437,'июль 2025'!$D$2:$D$2437,$B23,'июль 2025'!$J$2:$J$2437,AG$1)</f>
        <v>0</v>
      </c>
      <c r="AH23" s="76">
        <f>SUMIFS('июль 2025'!$G$2:$G$2437,'июль 2025'!$D$2:$D$2437,$B23,'июль 2025'!$J$2:$J$2437,AH$1)</f>
        <v>0</v>
      </c>
      <c r="AI23" s="20">
        <f t="shared" si="1"/>
        <v>0</v>
      </c>
    </row>
    <row r="24" spans="2:35" ht="15" customHeight="1" x14ac:dyDescent="0.25">
      <c r="B24" s="80" t="s">
        <v>247</v>
      </c>
      <c r="C24" s="96">
        <v>25</v>
      </c>
      <c r="D24" s="76">
        <f>SUMIFS('июль 2025'!$G$2:$G$2437,'июль 2025'!$D$2:$D$2437,$B24,'июль 2025'!$J$2:$J$2437,D$1)</f>
        <v>0</v>
      </c>
      <c r="E24" s="76">
        <f>SUMIFS('июль 2025'!$G$2:$G$2437,'июль 2025'!$D$2:$D$2437,$B24,'июль 2025'!$J$2:$J$2437,E$1)</f>
        <v>0</v>
      </c>
      <c r="F24" s="76">
        <f>SUMIFS('июль 2025'!$G$2:$G$2437,'июль 2025'!$D$2:$D$2437,$B24,'июль 2025'!$J$2:$J$2437,F$1)</f>
        <v>0</v>
      </c>
      <c r="G24" s="76">
        <f>SUMIFS('июль 2025'!$G$2:$G$2437,'июль 2025'!$D$2:$D$2437,$B24,'июль 2025'!$J$2:$J$2437,G$1)</f>
        <v>0</v>
      </c>
      <c r="H24" s="76">
        <f>SUMIFS('июль 2025'!$G$2:$G$2437,'июль 2025'!$D$2:$D$2437,$B24,'июль 2025'!$J$2:$J$2437,H$1)</f>
        <v>0</v>
      </c>
      <c r="I24" s="76">
        <f>SUMIFS('июль 2025'!$G$2:$G$2437,'июль 2025'!$D$2:$D$2437,$B24,'июль 2025'!$J$2:$J$2437,I$1)</f>
        <v>0</v>
      </c>
      <c r="J24" s="76">
        <f>SUMIFS('июль 2025'!$G$2:$G$2437,'июль 2025'!$D$2:$D$2437,$B24,'июль 2025'!$J$2:$J$2437,J$1)</f>
        <v>0</v>
      </c>
      <c r="K24" s="76">
        <f>SUMIFS('июль 2025'!$G$2:$G$2437,'июль 2025'!$D$2:$D$2437,$B24,'июль 2025'!$J$2:$J$2437,K$1)</f>
        <v>0</v>
      </c>
      <c r="L24" s="76">
        <f>SUMIFS('июль 2025'!$G$2:$G$2437,'июль 2025'!$D$2:$D$2437,$B24,'июль 2025'!$J$2:$J$2437,L$1)</f>
        <v>0</v>
      </c>
      <c r="M24" s="76">
        <f>SUMIFS('июль 2025'!$G$2:$G$2437,'июль 2025'!$D$2:$D$2437,$B24,'июль 2025'!$J$2:$J$2437,M$1)</f>
        <v>0</v>
      </c>
      <c r="N24" s="76">
        <f>SUMIFS('июль 2025'!$G$2:$G$2437,'июль 2025'!$D$2:$D$2437,$B24,'июль 2025'!$J$2:$J$2437,N$1)</f>
        <v>0</v>
      </c>
      <c r="O24" s="76">
        <f>SUMIFS('июль 2025'!$G$2:$G$2437,'июль 2025'!$D$2:$D$2437,$B24,'июль 2025'!$J$2:$J$2437,O$1)</f>
        <v>0</v>
      </c>
      <c r="P24" s="76">
        <f>SUMIFS('июль 2025'!$G$2:$G$2437,'июль 2025'!$D$2:$D$2437,$B24,'июль 2025'!$J$2:$J$2437,P$1)</f>
        <v>0</v>
      </c>
      <c r="Q24" s="76">
        <f>SUMIFS('июль 2025'!$G$2:$G$2437,'июль 2025'!$D$2:$D$2437,$B24,'июль 2025'!$J$2:$J$2437,Q$1)</f>
        <v>0</v>
      </c>
      <c r="R24" s="76">
        <f>SUMIFS('июль 2025'!$G$2:$G$2437,'июль 2025'!$D$2:$D$2437,$B24,'июль 2025'!$J$2:$J$2437,R$1)</f>
        <v>0</v>
      </c>
      <c r="S24" s="76">
        <f>SUMIFS('июль 2025'!$G$2:$G$2437,'июль 2025'!$D$2:$D$2437,$B24,'июль 2025'!$J$2:$J$2437,S$1)</f>
        <v>0</v>
      </c>
      <c r="T24" s="76">
        <f>SUMIFS('июль 2025'!$G$2:$G$2437,'июль 2025'!$D$2:$D$2437,$B24,'июль 2025'!$J$2:$J$2437,T$1)</f>
        <v>0</v>
      </c>
      <c r="U24" s="76">
        <f>SUMIFS('июль 2025'!$G$2:$G$2437,'июль 2025'!$D$2:$D$2437,$B24,'июль 2025'!$J$2:$J$2437,U$1)</f>
        <v>0</v>
      </c>
      <c r="V24" s="76">
        <f>SUMIFS('июль 2025'!$G$2:$G$2437,'июль 2025'!$D$2:$D$2437,$B24,'июль 2025'!$J$2:$J$2437,V$1)</f>
        <v>0</v>
      </c>
      <c r="W24" s="76">
        <f>SUMIFS('июль 2025'!$G$2:$G$2437,'июль 2025'!$D$2:$D$2437,$B24,'июль 2025'!$J$2:$J$2437,W$1)</f>
        <v>0</v>
      </c>
      <c r="X24" s="76">
        <f>SUMIFS('июль 2025'!$G$2:$G$2437,'июль 2025'!$D$2:$D$2437,$B24,'июль 2025'!$J$2:$J$2437,X$1)</f>
        <v>0</v>
      </c>
      <c r="Y24" s="76">
        <f>SUMIFS('июль 2025'!$G$2:$G$2437,'июль 2025'!$D$2:$D$2437,$B24,'июль 2025'!$J$2:$J$2437,Y$1)</f>
        <v>0</v>
      </c>
      <c r="Z24" s="76">
        <f>SUMIFS('июль 2025'!$G$2:$G$2437,'июль 2025'!$D$2:$D$2437,$B24,'июль 2025'!$J$2:$J$2437,Z$1)</f>
        <v>0</v>
      </c>
      <c r="AA24" s="76">
        <f>SUMIFS('июль 2025'!$G$2:$G$2437,'июль 2025'!$D$2:$D$2437,$B24,'июль 2025'!$J$2:$J$2437,AA$1)</f>
        <v>0</v>
      </c>
      <c r="AB24" s="76">
        <f>SUMIFS('июль 2025'!$G$2:$G$2437,'июль 2025'!$D$2:$D$2437,$B24,'июль 2025'!$J$2:$J$2437,AB$1)</f>
        <v>0</v>
      </c>
      <c r="AC24" s="76">
        <f>SUMIFS('июль 2025'!$G$2:$G$2437,'июль 2025'!$D$2:$D$2437,$B24,'июль 2025'!$J$2:$J$2437,AC$1)</f>
        <v>0</v>
      </c>
      <c r="AD24" s="76">
        <f>SUMIFS('июль 2025'!$G$2:$G$2437,'июль 2025'!$D$2:$D$2437,$B24,'июль 2025'!$J$2:$J$2437,AD$1)</f>
        <v>0</v>
      </c>
      <c r="AE24" s="76">
        <f>SUMIFS('июль 2025'!$G$2:$G$2437,'июль 2025'!$D$2:$D$2437,$B24,'июль 2025'!$J$2:$J$2437,AE$1)</f>
        <v>0</v>
      </c>
      <c r="AF24" s="76">
        <f>SUMIFS('июль 2025'!$G$2:$G$2437,'июль 2025'!$D$2:$D$2437,$B24,'июль 2025'!$J$2:$J$2437,AF$1)</f>
        <v>0</v>
      </c>
      <c r="AG24" s="76">
        <f>SUMIFS('июль 2025'!$G$2:$G$2437,'июль 2025'!$D$2:$D$2437,$B24,'июль 2025'!$J$2:$J$2437,AG$1)</f>
        <v>0</v>
      </c>
      <c r="AH24" s="76">
        <f>SUMIFS('июль 2025'!$G$2:$G$2437,'июль 2025'!$D$2:$D$2437,$B24,'июль 2025'!$J$2:$J$2437,AH$1)</f>
        <v>0</v>
      </c>
      <c r="AI24" s="20">
        <f t="shared" si="1"/>
        <v>0</v>
      </c>
    </row>
    <row r="25" spans="2:35" ht="15" customHeight="1" x14ac:dyDescent="0.25">
      <c r="B25" s="80" t="s">
        <v>248</v>
      </c>
      <c r="C25" s="78">
        <v>25</v>
      </c>
      <c r="D25" s="76">
        <f>SUMIFS('июль 2025'!$G$2:$G$2437,'июль 2025'!$D$2:$D$2437,$B25,'июль 2025'!$J$2:$J$2437,D$1)</f>
        <v>0</v>
      </c>
      <c r="E25" s="76">
        <f>SUMIFS('июль 2025'!$G$2:$G$2437,'июль 2025'!$D$2:$D$2437,$B25,'июль 2025'!$J$2:$J$2437,E$1)</f>
        <v>0</v>
      </c>
      <c r="F25" s="76">
        <f>SUMIFS('июль 2025'!$G$2:$G$2437,'июль 2025'!$D$2:$D$2437,$B25,'июль 2025'!$J$2:$J$2437,F$1)</f>
        <v>0</v>
      </c>
      <c r="G25" s="76">
        <f>SUMIFS('июль 2025'!$G$2:$G$2437,'июль 2025'!$D$2:$D$2437,$B25,'июль 2025'!$J$2:$J$2437,G$1)</f>
        <v>0</v>
      </c>
      <c r="H25" s="76">
        <f>SUMIFS('июль 2025'!$G$2:$G$2437,'июль 2025'!$D$2:$D$2437,$B25,'июль 2025'!$J$2:$J$2437,H$1)</f>
        <v>0</v>
      </c>
      <c r="I25" s="76">
        <f>SUMIFS('июль 2025'!$G$2:$G$2437,'июль 2025'!$D$2:$D$2437,$B25,'июль 2025'!$J$2:$J$2437,I$1)</f>
        <v>0</v>
      </c>
      <c r="J25" s="76">
        <f>SUMIFS('июль 2025'!$G$2:$G$2437,'июль 2025'!$D$2:$D$2437,$B25,'июль 2025'!$J$2:$J$2437,J$1)</f>
        <v>0</v>
      </c>
      <c r="K25" s="76">
        <f>SUMIFS('июль 2025'!$G$2:$G$2437,'июль 2025'!$D$2:$D$2437,$B25,'июль 2025'!$J$2:$J$2437,K$1)</f>
        <v>0</v>
      </c>
      <c r="L25" s="76">
        <f>SUMIFS('июль 2025'!$G$2:$G$2437,'июль 2025'!$D$2:$D$2437,$B25,'июль 2025'!$J$2:$J$2437,L$1)</f>
        <v>0</v>
      </c>
      <c r="M25" s="76">
        <f>SUMIFS('июль 2025'!$G$2:$G$2437,'июль 2025'!$D$2:$D$2437,$B25,'июль 2025'!$J$2:$J$2437,M$1)</f>
        <v>0</v>
      </c>
      <c r="N25" s="76">
        <f>SUMIFS('июль 2025'!$G$2:$G$2437,'июль 2025'!$D$2:$D$2437,$B25,'июль 2025'!$J$2:$J$2437,N$1)</f>
        <v>0</v>
      </c>
      <c r="O25" s="76">
        <f>SUMIFS('июль 2025'!$G$2:$G$2437,'июль 2025'!$D$2:$D$2437,$B25,'июль 2025'!$J$2:$J$2437,O$1)</f>
        <v>0</v>
      </c>
      <c r="P25" s="76">
        <f>SUMIFS('июль 2025'!$G$2:$G$2437,'июль 2025'!$D$2:$D$2437,$B25,'июль 2025'!$J$2:$J$2437,P$1)</f>
        <v>0</v>
      </c>
      <c r="Q25" s="76">
        <f>SUMIFS('июль 2025'!$G$2:$G$2437,'июль 2025'!$D$2:$D$2437,$B25,'июль 2025'!$J$2:$J$2437,Q$1)</f>
        <v>0</v>
      </c>
      <c r="R25" s="76">
        <f>SUMIFS('июль 2025'!$G$2:$G$2437,'июль 2025'!$D$2:$D$2437,$B25,'июль 2025'!$J$2:$J$2437,R$1)</f>
        <v>0</v>
      </c>
      <c r="S25" s="76">
        <f>SUMIFS('июль 2025'!$G$2:$G$2437,'июль 2025'!$D$2:$D$2437,$B25,'июль 2025'!$J$2:$J$2437,S$1)</f>
        <v>0</v>
      </c>
      <c r="T25" s="76">
        <f>SUMIFS('июль 2025'!$G$2:$G$2437,'июль 2025'!$D$2:$D$2437,$B25,'июль 2025'!$J$2:$J$2437,T$1)</f>
        <v>0</v>
      </c>
      <c r="U25" s="76">
        <f>SUMIFS('июль 2025'!$G$2:$G$2437,'июль 2025'!$D$2:$D$2437,$B25,'июль 2025'!$J$2:$J$2437,U$1)</f>
        <v>0</v>
      </c>
      <c r="V25" s="76">
        <f>SUMIFS('июль 2025'!$G$2:$G$2437,'июль 2025'!$D$2:$D$2437,$B25,'июль 2025'!$J$2:$J$2437,V$1)</f>
        <v>0</v>
      </c>
      <c r="W25" s="76">
        <f>SUMIFS('июль 2025'!$G$2:$G$2437,'июль 2025'!$D$2:$D$2437,$B25,'июль 2025'!$J$2:$J$2437,W$1)</f>
        <v>0</v>
      </c>
      <c r="X25" s="76">
        <f>SUMIFS('июль 2025'!$G$2:$G$2437,'июль 2025'!$D$2:$D$2437,$B25,'июль 2025'!$J$2:$J$2437,X$1)</f>
        <v>0</v>
      </c>
      <c r="Y25" s="76">
        <f>SUMIFS('июль 2025'!$G$2:$G$2437,'июль 2025'!$D$2:$D$2437,$B25,'июль 2025'!$J$2:$J$2437,Y$1)</f>
        <v>0</v>
      </c>
      <c r="Z25" s="76">
        <f>SUMIFS('июль 2025'!$G$2:$G$2437,'июль 2025'!$D$2:$D$2437,$B25,'июль 2025'!$J$2:$J$2437,Z$1)</f>
        <v>0</v>
      </c>
      <c r="AA25" s="76">
        <f>SUMIFS('июль 2025'!$G$2:$G$2437,'июль 2025'!$D$2:$D$2437,$B25,'июль 2025'!$J$2:$J$2437,AA$1)</f>
        <v>0</v>
      </c>
      <c r="AB25" s="76">
        <f>SUMIFS('июль 2025'!$G$2:$G$2437,'июль 2025'!$D$2:$D$2437,$B25,'июль 2025'!$J$2:$J$2437,AB$1)</f>
        <v>0</v>
      </c>
      <c r="AC25" s="76">
        <f>SUMIFS('июль 2025'!$G$2:$G$2437,'июль 2025'!$D$2:$D$2437,$B25,'июль 2025'!$J$2:$J$2437,AC$1)</f>
        <v>0</v>
      </c>
      <c r="AD25" s="76">
        <f>SUMIFS('июль 2025'!$G$2:$G$2437,'июль 2025'!$D$2:$D$2437,$B25,'июль 2025'!$J$2:$J$2437,AD$1)</f>
        <v>0</v>
      </c>
      <c r="AE25" s="76">
        <f>SUMIFS('июль 2025'!$G$2:$G$2437,'июль 2025'!$D$2:$D$2437,$B25,'июль 2025'!$J$2:$J$2437,AE$1)</f>
        <v>0</v>
      </c>
      <c r="AF25" s="76">
        <f>SUMIFS('июль 2025'!$G$2:$G$2437,'июль 2025'!$D$2:$D$2437,$B25,'июль 2025'!$J$2:$J$2437,AF$1)</f>
        <v>0</v>
      </c>
      <c r="AG25" s="76">
        <f>SUMIFS('июль 2025'!$G$2:$G$2437,'июль 2025'!$D$2:$D$2437,$B25,'июль 2025'!$J$2:$J$2437,AG$1)</f>
        <v>0</v>
      </c>
      <c r="AH25" s="76">
        <f>SUMIFS('июль 2025'!$G$2:$G$2437,'июль 2025'!$D$2:$D$2437,$B25,'июль 2025'!$J$2:$J$2437,AH$1)</f>
        <v>0</v>
      </c>
      <c r="AI25" s="20">
        <f t="shared" si="1"/>
        <v>0</v>
      </c>
    </row>
    <row r="26" spans="2:35" ht="15" customHeight="1" x14ac:dyDescent="0.25">
      <c r="B26" s="80" t="s">
        <v>249</v>
      </c>
      <c r="C26" s="78">
        <v>25</v>
      </c>
      <c r="D26" s="76">
        <f>SUMIFS('июль 2025'!$G$2:$G$2437,'июль 2025'!$D$2:$D$2437,$B26,'июль 2025'!$J$2:$J$2437,D$1)</f>
        <v>0</v>
      </c>
      <c r="E26" s="76">
        <f>SUMIFS('июль 2025'!$G$2:$G$2437,'июль 2025'!$D$2:$D$2437,$B26,'июль 2025'!$J$2:$J$2437,E$1)</f>
        <v>0</v>
      </c>
      <c r="F26" s="76">
        <f>SUMIFS('июль 2025'!$G$2:$G$2437,'июль 2025'!$D$2:$D$2437,$B26,'июль 2025'!$J$2:$J$2437,F$1)</f>
        <v>0</v>
      </c>
      <c r="G26" s="76">
        <f>SUMIFS('июль 2025'!$G$2:$G$2437,'июль 2025'!$D$2:$D$2437,$B26,'июль 2025'!$J$2:$J$2437,G$1)</f>
        <v>0</v>
      </c>
      <c r="H26" s="76">
        <f>SUMIFS('июль 2025'!$G$2:$G$2437,'июль 2025'!$D$2:$D$2437,$B26,'июль 2025'!$J$2:$J$2437,H$1)</f>
        <v>0</v>
      </c>
      <c r="I26" s="76">
        <f>SUMIFS('июль 2025'!$G$2:$G$2437,'июль 2025'!$D$2:$D$2437,$B26,'июль 2025'!$J$2:$J$2437,I$1)</f>
        <v>0</v>
      </c>
      <c r="J26" s="76">
        <f>SUMIFS('июль 2025'!$G$2:$G$2437,'июль 2025'!$D$2:$D$2437,$B26,'июль 2025'!$J$2:$J$2437,J$1)</f>
        <v>0</v>
      </c>
      <c r="K26" s="76">
        <f>SUMIFS('июль 2025'!$G$2:$G$2437,'июль 2025'!$D$2:$D$2437,$B26,'июль 2025'!$J$2:$J$2437,K$1)</f>
        <v>0</v>
      </c>
      <c r="L26" s="76">
        <f>SUMIFS('июль 2025'!$G$2:$G$2437,'июль 2025'!$D$2:$D$2437,$B26,'июль 2025'!$J$2:$J$2437,L$1)</f>
        <v>0</v>
      </c>
      <c r="M26" s="76">
        <f>SUMIFS('июль 2025'!$G$2:$G$2437,'июль 2025'!$D$2:$D$2437,$B26,'июль 2025'!$J$2:$J$2437,M$1)</f>
        <v>0</v>
      </c>
      <c r="N26" s="76">
        <f>SUMIFS('июль 2025'!$G$2:$G$2437,'июль 2025'!$D$2:$D$2437,$B26,'июль 2025'!$J$2:$J$2437,N$1)</f>
        <v>0</v>
      </c>
      <c r="O26" s="76">
        <f>SUMIFS('июль 2025'!$G$2:$G$2437,'июль 2025'!$D$2:$D$2437,$B26,'июль 2025'!$J$2:$J$2437,O$1)</f>
        <v>0</v>
      </c>
      <c r="P26" s="76">
        <f>SUMIFS('июль 2025'!$G$2:$G$2437,'июль 2025'!$D$2:$D$2437,$B26,'июль 2025'!$J$2:$J$2437,P$1)</f>
        <v>0</v>
      </c>
      <c r="Q26" s="76">
        <f>SUMIFS('июль 2025'!$G$2:$G$2437,'июль 2025'!$D$2:$D$2437,$B26,'июль 2025'!$J$2:$J$2437,Q$1)</f>
        <v>0</v>
      </c>
      <c r="R26" s="76">
        <f>SUMIFS('июль 2025'!$G$2:$G$2437,'июль 2025'!$D$2:$D$2437,$B26,'июль 2025'!$J$2:$J$2437,R$1)</f>
        <v>0</v>
      </c>
      <c r="S26" s="76">
        <f>SUMIFS('июль 2025'!$G$2:$G$2437,'июль 2025'!$D$2:$D$2437,$B26,'июль 2025'!$J$2:$J$2437,S$1)</f>
        <v>0</v>
      </c>
      <c r="T26" s="76">
        <f>SUMIFS('июль 2025'!$G$2:$G$2437,'июль 2025'!$D$2:$D$2437,$B26,'июль 2025'!$J$2:$J$2437,T$1)</f>
        <v>0</v>
      </c>
      <c r="U26" s="76">
        <f>SUMIFS('июль 2025'!$G$2:$G$2437,'июль 2025'!$D$2:$D$2437,$B26,'июль 2025'!$J$2:$J$2437,U$1)</f>
        <v>0</v>
      </c>
      <c r="V26" s="76">
        <f>SUMIFS('июль 2025'!$G$2:$G$2437,'июль 2025'!$D$2:$D$2437,$B26,'июль 2025'!$J$2:$J$2437,V$1)</f>
        <v>0</v>
      </c>
      <c r="W26" s="76">
        <f>SUMIFS('июль 2025'!$G$2:$G$2437,'июль 2025'!$D$2:$D$2437,$B26,'июль 2025'!$J$2:$J$2437,W$1)</f>
        <v>0</v>
      </c>
      <c r="X26" s="76">
        <f>SUMIFS('июль 2025'!$G$2:$G$2437,'июль 2025'!$D$2:$D$2437,$B26,'июль 2025'!$J$2:$J$2437,X$1)</f>
        <v>0</v>
      </c>
      <c r="Y26" s="76">
        <f>SUMIFS('июль 2025'!$G$2:$G$2437,'июль 2025'!$D$2:$D$2437,$B26,'июль 2025'!$J$2:$J$2437,Y$1)</f>
        <v>0</v>
      </c>
      <c r="Z26" s="76">
        <f>SUMIFS('июль 2025'!$G$2:$G$2437,'июль 2025'!$D$2:$D$2437,$B26,'июль 2025'!$J$2:$J$2437,Z$1)</f>
        <v>0</v>
      </c>
      <c r="AA26" s="76">
        <f>SUMIFS('июль 2025'!$G$2:$G$2437,'июль 2025'!$D$2:$D$2437,$B26,'июль 2025'!$J$2:$J$2437,AA$1)</f>
        <v>0</v>
      </c>
      <c r="AB26" s="76">
        <f>SUMIFS('июль 2025'!$G$2:$G$2437,'июль 2025'!$D$2:$D$2437,$B26,'июль 2025'!$J$2:$J$2437,AB$1)</f>
        <v>0</v>
      </c>
      <c r="AC26" s="76">
        <f>SUMIFS('июль 2025'!$G$2:$G$2437,'июль 2025'!$D$2:$D$2437,$B26,'июль 2025'!$J$2:$J$2437,AC$1)</f>
        <v>0</v>
      </c>
      <c r="AD26" s="76">
        <f>SUMIFS('июль 2025'!$G$2:$G$2437,'июль 2025'!$D$2:$D$2437,$B26,'июль 2025'!$J$2:$J$2437,AD$1)</f>
        <v>0</v>
      </c>
      <c r="AE26" s="76">
        <f>SUMIFS('июль 2025'!$G$2:$G$2437,'июль 2025'!$D$2:$D$2437,$B26,'июль 2025'!$J$2:$J$2437,AE$1)</f>
        <v>0</v>
      </c>
      <c r="AF26" s="76">
        <f>SUMIFS('июль 2025'!$G$2:$G$2437,'июль 2025'!$D$2:$D$2437,$B26,'июль 2025'!$J$2:$J$2437,AF$1)</f>
        <v>0</v>
      </c>
      <c r="AG26" s="76">
        <f>SUMIFS('июль 2025'!$G$2:$G$2437,'июль 2025'!$D$2:$D$2437,$B26,'июль 2025'!$J$2:$J$2437,AG$1)</f>
        <v>0</v>
      </c>
      <c r="AH26" s="76">
        <f>SUMIFS('июль 2025'!$G$2:$G$2437,'июль 2025'!$D$2:$D$2437,$B26,'июль 2025'!$J$2:$J$2437,AH$1)</f>
        <v>0</v>
      </c>
      <c r="AI26" s="20">
        <f t="shared" si="1"/>
        <v>0</v>
      </c>
    </row>
    <row r="27" spans="2:35" ht="15" customHeight="1" x14ac:dyDescent="0.25">
      <c r="B27" s="80" t="s">
        <v>250</v>
      </c>
      <c r="C27" s="78">
        <v>25</v>
      </c>
      <c r="D27" s="76">
        <f>SUMIFS('июль 2025'!$G$2:$G$2437,'июль 2025'!$D$2:$D$2437,$B27,'июль 2025'!$J$2:$J$2437,D$1)</f>
        <v>0</v>
      </c>
      <c r="E27" s="76">
        <f>SUMIFS('июль 2025'!$G$2:$G$2437,'июль 2025'!$D$2:$D$2437,$B27,'июль 2025'!$J$2:$J$2437,E$1)</f>
        <v>0</v>
      </c>
      <c r="F27" s="76">
        <f>SUMIFS('июль 2025'!$G$2:$G$2437,'июль 2025'!$D$2:$D$2437,$B27,'июль 2025'!$J$2:$J$2437,F$1)</f>
        <v>0</v>
      </c>
      <c r="G27" s="76">
        <f>SUMIFS('июль 2025'!$G$2:$G$2437,'июль 2025'!$D$2:$D$2437,$B27,'июль 2025'!$J$2:$J$2437,G$1)</f>
        <v>0</v>
      </c>
      <c r="H27" s="76">
        <f>SUMIFS('июль 2025'!$G$2:$G$2437,'июль 2025'!$D$2:$D$2437,$B27,'июль 2025'!$J$2:$J$2437,H$1)</f>
        <v>0</v>
      </c>
      <c r="I27" s="76">
        <f>SUMIFS('июль 2025'!$G$2:$G$2437,'июль 2025'!$D$2:$D$2437,$B27,'июль 2025'!$J$2:$J$2437,I$1)</f>
        <v>0</v>
      </c>
      <c r="J27" s="76">
        <f>SUMIFS('июль 2025'!$G$2:$G$2437,'июль 2025'!$D$2:$D$2437,$B27,'июль 2025'!$J$2:$J$2437,J$1)</f>
        <v>0</v>
      </c>
      <c r="K27" s="76">
        <f>SUMIFS('июль 2025'!$G$2:$G$2437,'июль 2025'!$D$2:$D$2437,$B27,'июль 2025'!$J$2:$J$2437,K$1)</f>
        <v>0</v>
      </c>
      <c r="L27" s="76">
        <f>SUMIFS('июль 2025'!$G$2:$G$2437,'июль 2025'!$D$2:$D$2437,$B27,'июль 2025'!$J$2:$J$2437,L$1)</f>
        <v>0</v>
      </c>
      <c r="M27" s="76">
        <f>SUMIFS('июль 2025'!$G$2:$G$2437,'июль 2025'!$D$2:$D$2437,$B27,'июль 2025'!$J$2:$J$2437,M$1)</f>
        <v>0</v>
      </c>
      <c r="N27" s="76">
        <f>SUMIFS('июль 2025'!$G$2:$G$2437,'июль 2025'!$D$2:$D$2437,$B27,'июль 2025'!$J$2:$J$2437,N$1)</f>
        <v>0</v>
      </c>
      <c r="O27" s="76">
        <f>SUMIFS('июль 2025'!$G$2:$G$2437,'июль 2025'!$D$2:$D$2437,$B27,'июль 2025'!$J$2:$J$2437,O$1)</f>
        <v>0</v>
      </c>
      <c r="P27" s="76">
        <f>SUMIFS('июль 2025'!$G$2:$G$2437,'июль 2025'!$D$2:$D$2437,$B27,'июль 2025'!$J$2:$J$2437,P$1)</f>
        <v>0</v>
      </c>
      <c r="Q27" s="76">
        <f>SUMIFS('июль 2025'!$G$2:$G$2437,'июль 2025'!$D$2:$D$2437,$B27,'июль 2025'!$J$2:$J$2437,Q$1)</f>
        <v>0</v>
      </c>
      <c r="R27" s="76">
        <f>SUMIFS('июль 2025'!$G$2:$G$2437,'июль 2025'!$D$2:$D$2437,$B27,'июль 2025'!$J$2:$J$2437,R$1)</f>
        <v>0</v>
      </c>
      <c r="S27" s="76">
        <f>SUMIFS('июль 2025'!$G$2:$G$2437,'июль 2025'!$D$2:$D$2437,$B27,'июль 2025'!$J$2:$J$2437,S$1)</f>
        <v>0</v>
      </c>
      <c r="T27" s="76">
        <f>SUMIFS('июль 2025'!$G$2:$G$2437,'июль 2025'!$D$2:$D$2437,$B27,'июль 2025'!$J$2:$J$2437,T$1)</f>
        <v>0</v>
      </c>
      <c r="U27" s="76">
        <f>SUMIFS('июль 2025'!$G$2:$G$2437,'июль 2025'!$D$2:$D$2437,$B27,'июль 2025'!$J$2:$J$2437,U$1)</f>
        <v>0</v>
      </c>
      <c r="V27" s="76">
        <f>SUMIFS('июль 2025'!$G$2:$G$2437,'июль 2025'!$D$2:$D$2437,$B27,'июль 2025'!$J$2:$J$2437,V$1)</f>
        <v>0</v>
      </c>
      <c r="W27" s="76">
        <f>SUMIFS('июль 2025'!$G$2:$G$2437,'июль 2025'!$D$2:$D$2437,$B27,'июль 2025'!$J$2:$J$2437,W$1)</f>
        <v>0</v>
      </c>
      <c r="X27" s="76">
        <f>SUMIFS('июль 2025'!$G$2:$G$2437,'июль 2025'!$D$2:$D$2437,$B27,'июль 2025'!$J$2:$J$2437,X$1)</f>
        <v>0</v>
      </c>
      <c r="Y27" s="76">
        <f>SUMIFS('июль 2025'!$G$2:$G$2437,'июль 2025'!$D$2:$D$2437,$B27,'июль 2025'!$J$2:$J$2437,Y$1)</f>
        <v>0</v>
      </c>
      <c r="Z27" s="76">
        <f>SUMIFS('июль 2025'!$G$2:$G$2437,'июль 2025'!$D$2:$D$2437,$B27,'июль 2025'!$J$2:$J$2437,Z$1)</f>
        <v>0</v>
      </c>
      <c r="AA27" s="76">
        <f>SUMIFS('июль 2025'!$G$2:$G$2437,'июль 2025'!$D$2:$D$2437,$B27,'июль 2025'!$J$2:$J$2437,AA$1)</f>
        <v>0</v>
      </c>
      <c r="AB27" s="76">
        <f>SUMIFS('июль 2025'!$G$2:$G$2437,'июль 2025'!$D$2:$D$2437,$B27,'июль 2025'!$J$2:$J$2437,AB$1)</f>
        <v>0</v>
      </c>
      <c r="AC27" s="76">
        <f>SUMIFS('июль 2025'!$G$2:$G$2437,'июль 2025'!$D$2:$D$2437,$B27,'июль 2025'!$J$2:$J$2437,AC$1)</f>
        <v>0</v>
      </c>
      <c r="AD27" s="76">
        <f>SUMIFS('июль 2025'!$G$2:$G$2437,'июль 2025'!$D$2:$D$2437,$B27,'июль 2025'!$J$2:$J$2437,AD$1)</f>
        <v>0</v>
      </c>
      <c r="AE27" s="76">
        <f>SUMIFS('июль 2025'!$G$2:$G$2437,'июль 2025'!$D$2:$D$2437,$B27,'июль 2025'!$J$2:$J$2437,AE$1)</f>
        <v>0</v>
      </c>
      <c r="AF27" s="76">
        <f>SUMIFS('июль 2025'!$G$2:$G$2437,'июль 2025'!$D$2:$D$2437,$B27,'июль 2025'!$J$2:$J$2437,AF$1)</f>
        <v>0</v>
      </c>
      <c r="AG27" s="76">
        <f>SUMIFS('июль 2025'!$G$2:$G$2437,'июль 2025'!$D$2:$D$2437,$B27,'июль 2025'!$J$2:$J$2437,AG$1)</f>
        <v>0</v>
      </c>
      <c r="AH27" s="76">
        <f>SUMIFS('июль 2025'!$G$2:$G$2437,'июль 2025'!$D$2:$D$2437,$B27,'июль 2025'!$J$2:$J$2437,AH$1)</f>
        <v>0</v>
      </c>
      <c r="AI27" s="20">
        <f t="shared" si="1"/>
        <v>0</v>
      </c>
    </row>
    <row r="28" spans="2:35" ht="15" customHeight="1" x14ac:dyDescent="0.25">
      <c r="B28" s="80" t="s">
        <v>251</v>
      </c>
      <c r="C28" s="78">
        <v>25</v>
      </c>
      <c r="D28" s="76">
        <f>SUMIFS('июль 2025'!$G$2:$G$2437,'июль 2025'!$D$2:$D$2437,$B28,'июль 2025'!$J$2:$J$2437,D$1)</f>
        <v>0</v>
      </c>
      <c r="E28" s="76">
        <f>SUMIFS('июль 2025'!$G$2:$G$2437,'июль 2025'!$D$2:$D$2437,$B28,'июль 2025'!$J$2:$J$2437,E$1)</f>
        <v>0</v>
      </c>
      <c r="F28" s="76">
        <f>SUMIFS('июль 2025'!$G$2:$G$2437,'июль 2025'!$D$2:$D$2437,$B28,'июль 2025'!$J$2:$J$2437,F$1)</f>
        <v>0</v>
      </c>
      <c r="G28" s="76">
        <f>SUMIFS('июль 2025'!$G$2:$G$2437,'июль 2025'!$D$2:$D$2437,$B28,'июль 2025'!$J$2:$J$2437,G$1)</f>
        <v>0</v>
      </c>
      <c r="H28" s="76">
        <f>SUMIFS('июль 2025'!$G$2:$G$2437,'июль 2025'!$D$2:$D$2437,$B28,'июль 2025'!$J$2:$J$2437,H$1)</f>
        <v>0</v>
      </c>
      <c r="I28" s="76">
        <f>SUMIFS('июль 2025'!$G$2:$G$2437,'июль 2025'!$D$2:$D$2437,$B28,'июль 2025'!$J$2:$J$2437,I$1)</f>
        <v>0</v>
      </c>
      <c r="J28" s="76">
        <f>SUMIFS('июль 2025'!$G$2:$G$2437,'июль 2025'!$D$2:$D$2437,$B28,'июль 2025'!$J$2:$J$2437,J$1)</f>
        <v>0</v>
      </c>
      <c r="K28" s="76">
        <f>SUMIFS('июль 2025'!$G$2:$G$2437,'июль 2025'!$D$2:$D$2437,$B28,'июль 2025'!$J$2:$J$2437,K$1)</f>
        <v>0</v>
      </c>
      <c r="L28" s="76">
        <f>SUMIFS('июль 2025'!$G$2:$G$2437,'июль 2025'!$D$2:$D$2437,$B28,'июль 2025'!$J$2:$J$2437,L$1)</f>
        <v>0</v>
      </c>
      <c r="M28" s="76">
        <f>SUMIFS('июль 2025'!$G$2:$G$2437,'июль 2025'!$D$2:$D$2437,$B28,'июль 2025'!$J$2:$J$2437,M$1)</f>
        <v>0</v>
      </c>
      <c r="N28" s="76">
        <f>SUMIFS('июль 2025'!$G$2:$G$2437,'июль 2025'!$D$2:$D$2437,$B28,'июль 2025'!$J$2:$J$2437,N$1)</f>
        <v>0</v>
      </c>
      <c r="O28" s="76">
        <f>SUMIFS('июль 2025'!$G$2:$G$2437,'июль 2025'!$D$2:$D$2437,$B28,'июль 2025'!$J$2:$J$2437,O$1)</f>
        <v>0</v>
      </c>
      <c r="P28" s="76">
        <f>SUMIFS('июль 2025'!$G$2:$G$2437,'июль 2025'!$D$2:$D$2437,$B28,'июль 2025'!$J$2:$J$2437,P$1)</f>
        <v>0</v>
      </c>
      <c r="Q28" s="76">
        <f>SUMIFS('июль 2025'!$G$2:$G$2437,'июль 2025'!$D$2:$D$2437,$B28,'июль 2025'!$J$2:$J$2437,Q$1)</f>
        <v>0</v>
      </c>
      <c r="R28" s="76">
        <f>SUMIFS('июль 2025'!$G$2:$G$2437,'июль 2025'!$D$2:$D$2437,$B28,'июль 2025'!$J$2:$J$2437,R$1)</f>
        <v>0</v>
      </c>
      <c r="S28" s="76">
        <f>SUMIFS('июль 2025'!$G$2:$G$2437,'июль 2025'!$D$2:$D$2437,$B28,'июль 2025'!$J$2:$J$2437,S$1)</f>
        <v>0</v>
      </c>
      <c r="T28" s="76">
        <f>SUMIFS('июль 2025'!$G$2:$G$2437,'июль 2025'!$D$2:$D$2437,$B28,'июль 2025'!$J$2:$J$2437,T$1)</f>
        <v>0</v>
      </c>
      <c r="U28" s="76">
        <f>SUMIFS('июль 2025'!$G$2:$G$2437,'июль 2025'!$D$2:$D$2437,$B28,'июль 2025'!$J$2:$J$2437,U$1)</f>
        <v>0</v>
      </c>
      <c r="V28" s="76">
        <f>SUMIFS('июль 2025'!$G$2:$G$2437,'июль 2025'!$D$2:$D$2437,$B28,'июль 2025'!$J$2:$J$2437,V$1)</f>
        <v>0</v>
      </c>
      <c r="W28" s="76">
        <f>SUMIFS('июль 2025'!$G$2:$G$2437,'июль 2025'!$D$2:$D$2437,$B28,'июль 2025'!$J$2:$J$2437,W$1)</f>
        <v>0</v>
      </c>
      <c r="X28" s="76">
        <f>SUMIFS('июль 2025'!$G$2:$G$2437,'июль 2025'!$D$2:$D$2437,$B28,'июль 2025'!$J$2:$J$2437,X$1)</f>
        <v>0</v>
      </c>
      <c r="Y28" s="76">
        <f>SUMIFS('июль 2025'!$G$2:$G$2437,'июль 2025'!$D$2:$D$2437,$B28,'июль 2025'!$J$2:$J$2437,Y$1)</f>
        <v>0</v>
      </c>
      <c r="Z28" s="76">
        <f>SUMIFS('июль 2025'!$G$2:$G$2437,'июль 2025'!$D$2:$D$2437,$B28,'июль 2025'!$J$2:$J$2437,Z$1)</f>
        <v>0</v>
      </c>
      <c r="AA28" s="76">
        <f>SUMIFS('июль 2025'!$G$2:$G$2437,'июль 2025'!$D$2:$D$2437,$B28,'июль 2025'!$J$2:$J$2437,AA$1)</f>
        <v>0</v>
      </c>
      <c r="AB28" s="76">
        <f>SUMIFS('июль 2025'!$G$2:$G$2437,'июль 2025'!$D$2:$D$2437,$B28,'июль 2025'!$J$2:$J$2437,AB$1)</f>
        <v>0</v>
      </c>
      <c r="AC28" s="76">
        <f>SUMIFS('июль 2025'!$G$2:$G$2437,'июль 2025'!$D$2:$D$2437,$B28,'июль 2025'!$J$2:$J$2437,AC$1)</f>
        <v>0</v>
      </c>
      <c r="AD28" s="76">
        <f>SUMIFS('июль 2025'!$G$2:$G$2437,'июль 2025'!$D$2:$D$2437,$B28,'июль 2025'!$J$2:$J$2437,AD$1)</f>
        <v>0</v>
      </c>
      <c r="AE28" s="76">
        <f>SUMIFS('июль 2025'!$G$2:$G$2437,'июль 2025'!$D$2:$D$2437,$B28,'июль 2025'!$J$2:$J$2437,AE$1)</f>
        <v>0</v>
      </c>
      <c r="AF28" s="76">
        <f>SUMIFS('июль 2025'!$G$2:$G$2437,'июль 2025'!$D$2:$D$2437,$B28,'июль 2025'!$J$2:$J$2437,AF$1)</f>
        <v>0</v>
      </c>
      <c r="AG28" s="76">
        <f>SUMIFS('июль 2025'!$G$2:$G$2437,'июль 2025'!$D$2:$D$2437,$B28,'июль 2025'!$J$2:$J$2437,AG$1)</f>
        <v>0</v>
      </c>
      <c r="AH28" s="76">
        <f>SUMIFS('июль 2025'!$G$2:$G$2437,'июль 2025'!$D$2:$D$2437,$B28,'июль 2025'!$J$2:$J$2437,AH$1)</f>
        <v>0</v>
      </c>
      <c r="AI28" s="20">
        <f t="shared" si="1"/>
        <v>0</v>
      </c>
    </row>
    <row r="29" spans="2:35" ht="15" customHeight="1" x14ac:dyDescent="0.25">
      <c r="B29" s="80" t="s">
        <v>383</v>
      </c>
      <c r="C29" s="78">
        <v>25</v>
      </c>
      <c r="D29" s="76">
        <f>SUMIFS('июль 2025'!$G$2:$G$2437,'июль 2025'!$D$2:$D$2437,$B29,'июль 2025'!$J$2:$J$2437,D$1)</f>
        <v>0</v>
      </c>
      <c r="E29" s="76">
        <f>SUMIFS('июль 2025'!$G$2:$G$2437,'июль 2025'!$D$2:$D$2437,$B29,'июль 2025'!$J$2:$J$2437,E$1)</f>
        <v>0</v>
      </c>
      <c r="F29" s="76">
        <f>SUMIFS('июль 2025'!$G$2:$G$2437,'июль 2025'!$D$2:$D$2437,$B29,'июль 2025'!$J$2:$J$2437,F$1)</f>
        <v>0</v>
      </c>
      <c r="G29" s="76">
        <f>SUMIFS('июль 2025'!$G$2:$G$2437,'июль 2025'!$D$2:$D$2437,$B29,'июль 2025'!$J$2:$J$2437,G$1)</f>
        <v>0</v>
      </c>
      <c r="H29" s="76">
        <f>SUMIFS('июль 2025'!$G$2:$G$2437,'июль 2025'!$D$2:$D$2437,$B29,'июль 2025'!$J$2:$J$2437,H$1)</f>
        <v>0</v>
      </c>
      <c r="I29" s="76">
        <f>SUMIFS('июль 2025'!$G$2:$G$2437,'июль 2025'!$D$2:$D$2437,$B29,'июль 2025'!$J$2:$J$2437,I$1)</f>
        <v>0</v>
      </c>
      <c r="J29" s="76">
        <f>SUMIFS('июль 2025'!$G$2:$G$2437,'июль 2025'!$D$2:$D$2437,$B29,'июль 2025'!$J$2:$J$2437,J$1)</f>
        <v>0</v>
      </c>
      <c r="K29" s="76">
        <f>SUMIFS('июль 2025'!$G$2:$G$2437,'июль 2025'!$D$2:$D$2437,$B29,'июль 2025'!$J$2:$J$2437,K$1)</f>
        <v>0</v>
      </c>
      <c r="L29" s="76">
        <f>SUMIFS('июль 2025'!$G$2:$G$2437,'июль 2025'!$D$2:$D$2437,$B29,'июль 2025'!$J$2:$J$2437,L$1)</f>
        <v>0</v>
      </c>
      <c r="M29" s="76">
        <f>SUMIFS('июль 2025'!$G$2:$G$2437,'июль 2025'!$D$2:$D$2437,$B29,'июль 2025'!$J$2:$J$2437,M$1)</f>
        <v>0</v>
      </c>
      <c r="N29" s="76">
        <f>SUMIFS('июль 2025'!$G$2:$G$2437,'июль 2025'!$D$2:$D$2437,$B29,'июль 2025'!$J$2:$J$2437,N$1)</f>
        <v>0</v>
      </c>
      <c r="O29" s="76">
        <f>SUMIFS('июль 2025'!$G$2:$G$2437,'июль 2025'!$D$2:$D$2437,$B29,'июль 2025'!$J$2:$J$2437,O$1)</f>
        <v>0</v>
      </c>
      <c r="P29" s="76">
        <f>SUMIFS('июль 2025'!$G$2:$G$2437,'июль 2025'!$D$2:$D$2437,$B29,'июль 2025'!$J$2:$J$2437,P$1)</f>
        <v>0</v>
      </c>
      <c r="Q29" s="76">
        <f>SUMIFS('июль 2025'!$G$2:$G$2437,'июль 2025'!$D$2:$D$2437,$B29,'июль 2025'!$J$2:$J$2437,Q$1)</f>
        <v>0</v>
      </c>
      <c r="R29" s="76">
        <f>SUMIFS('июль 2025'!$G$2:$G$2437,'июль 2025'!$D$2:$D$2437,$B29,'июль 2025'!$J$2:$J$2437,R$1)</f>
        <v>0</v>
      </c>
      <c r="S29" s="76">
        <f>SUMIFS('июль 2025'!$G$2:$G$2437,'июль 2025'!$D$2:$D$2437,$B29,'июль 2025'!$J$2:$J$2437,S$1)</f>
        <v>0</v>
      </c>
      <c r="T29" s="76">
        <f>SUMIFS('июль 2025'!$G$2:$G$2437,'июль 2025'!$D$2:$D$2437,$B29,'июль 2025'!$J$2:$J$2437,T$1)</f>
        <v>0</v>
      </c>
      <c r="U29" s="76">
        <f>SUMIFS('июль 2025'!$G$2:$G$2437,'июль 2025'!$D$2:$D$2437,$B29,'июль 2025'!$J$2:$J$2437,U$1)</f>
        <v>0</v>
      </c>
      <c r="V29" s="76">
        <f>SUMIFS('июль 2025'!$G$2:$G$2437,'июль 2025'!$D$2:$D$2437,$B29,'июль 2025'!$J$2:$J$2437,V$1)</f>
        <v>0</v>
      </c>
      <c r="W29" s="76">
        <f>SUMIFS('июль 2025'!$G$2:$G$2437,'июль 2025'!$D$2:$D$2437,$B29,'июль 2025'!$J$2:$J$2437,W$1)</f>
        <v>0</v>
      </c>
      <c r="X29" s="76">
        <f>SUMIFS('июль 2025'!$G$2:$G$2437,'июль 2025'!$D$2:$D$2437,$B29,'июль 2025'!$J$2:$J$2437,X$1)</f>
        <v>0</v>
      </c>
      <c r="Y29" s="76">
        <f>SUMIFS('июль 2025'!$G$2:$G$2437,'июль 2025'!$D$2:$D$2437,$B29,'июль 2025'!$J$2:$J$2437,Y$1)</f>
        <v>0</v>
      </c>
      <c r="Z29" s="76">
        <f>SUMIFS('июль 2025'!$G$2:$G$2437,'июль 2025'!$D$2:$D$2437,$B29,'июль 2025'!$J$2:$J$2437,Z$1)</f>
        <v>0</v>
      </c>
      <c r="AA29" s="76">
        <f>SUMIFS('июль 2025'!$G$2:$G$2437,'июль 2025'!$D$2:$D$2437,$B29,'июль 2025'!$J$2:$J$2437,AA$1)</f>
        <v>0</v>
      </c>
      <c r="AB29" s="76">
        <f>SUMIFS('июль 2025'!$G$2:$G$2437,'июль 2025'!$D$2:$D$2437,$B29,'июль 2025'!$J$2:$J$2437,AB$1)</f>
        <v>0</v>
      </c>
      <c r="AC29" s="76">
        <f>SUMIFS('июль 2025'!$G$2:$G$2437,'июль 2025'!$D$2:$D$2437,$B29,'июль 2025'!$J$2:$J$2437,AC$1)</f>
        <v>0</v>
      </c>
      <c r="AD29" s="76">
        <f>SUMIFS('июль 2025'!$G$2:$G$2437,'июль 2025'!$D$2:$D$2437,$B29,'июль 2025'!$J$2:$J$2437,AD$1)</f>
        <v>0</v>
      </c>
      <c r="AE29" s="76">
        <f>SUMIFS('июль 2025'!$G$2:$G$2437,'июль 2025'!$D$2:$D$2437,$B29,'июль 2025'!$J$2:$J$2437,AE$1)</f>
        <v>0</v>
      </c>
      <c r="AF29" s="76">
        <f>SUMIFS('июль 2025'!$G$2:$G$2437,'июль 2025'!$D$2:$D$2437,$B29,'июль 2025'!$J$2:$J$2437,AF$1)</f>
        <v>0</v>
      </c>
      <c r="AG29" s="76">
        <f>SUMIFS('июль 2025'!$G$2:$G$2437,'июль 2025'!$D$2:$D$2437,$B29,'июль 2025'!$J$2:$J$2437,AG$1)</f>
        <v>0</v>
      </c>
      <c r="AH29" s="76">
        <f>SUMIFS('июль 2025'!$G$2:$G$2437,'июль 2025'!$D$2:$D$2437,$B29,'июль 2025'!$J$2:$J$2437,AH$1)</f>
        <v>0</v>
      </c>
      <c r="AI29" s="20">
        <f t="shared" si="1"/>
        <v>0</v>
      </c>
    </row>
    <row r="30" spans="2:35" ht="15" customHeight="1" x14ac:dyDescent="0.25">
      <c r="B30" s="80"/>
      <c r="C30" s="78"/>
      <c r="D30" s="76">
        <f>SUMIFS('июль 2025'!$G$2:$G$2437,'июль 2025'!$D$2:$D$2437,$B30,'июль 2025'!$J$2:$J$2437,D$1)</f>
        <v>0</v>
      </c>
      <c r="E30" s="76">
        <f>SUMIFS('июль 2025'!$G$2:$G$2437,'июль 2025'!$D$2:$D$2437,$B30,'июль 2025'!$J$2:$J$2437,E$1)</f>
        <v>0</v>
      </c>
      <c r="F30" s="76">
        <f>SUMIFS('июль 2025'!$G$2:$G$2437,'июль 2025'!$D$2:$D$2437,$B30,'июль 2025'!$J$2:$J$2437,F$1)</f>
        <v>0</v>
      </c>
      <c r="G30" s="76">
        <f>SUMIFS('июль 2025'!$G$2:$G$2437,'июль 2025'!$D$2:$D$2437,$B30,'июль 2025'!$J$2:$J$2437,G$1)</f>
        <v>0</v>
      </c>
      <c r="H30" s="76">
        <f>SUMIFS('июль 2025'!$G$2:$G$2437,'июль 2025'!$D$2:$D$2437,$B30,'июль 2025'!$J$2:$J$2437,H$1)</f>
        <v>0</v>
      </c>
      <c r="I30" s="76">
        <f>SUMIFS('июль 2025'!$G$2:$G$2437,'июль 2025'!$D$2:$D$2437,$B30,'июль 2025'!$J$2:$J$2437,I$1)</f>
        <v>0</v>
      </c>
      <c r="J30" s="76">
        <f>SUMIFS('июль 2025'!$G$2:$G$2437,'июль 2025'!$D$2:$D$2437,$B30,'июль 2025'!$J$2:$J$2437,J$1)</f>
        <v>0</v>
      </c>
      <c r="K30" s="76">
        <f>SUMIFS('июль 2025'!$G$2:$G$2437,'июль 2025'!$D$2:$D$2437,$B30,'июль 2025'!$J$2:$J$2437,K$1)</f>
        <v>0</v>
      </c>
      <c r="L30" s="76">
        <f>SUMIFS('июль 2025'!$G$2:$G$2437,'июль 2025'!$D$2:$D$2437,$B30,'июль 2025'!$J$2:$J$2437,L$1)</f>
        <v>0</v>
      </c>
      <c r="M30" s="76">
        <f>SUMIFS('июль 2025'!$G$2:$G$2437,'июль 2025'!$D$2:$D$2437,$B30,'июль 2025'!$J$2:$J$2437,M$1)</f>
        <v>0</v>
      </c>
      <c r="N30" s="76">
        <f>SUMIFS('июль 2025'!$G$2:$G$2437,'июль 2025'!$D$2:$D$2437,$B30,'июль 2025'!$J$2:$J$2437,N$1)</f>
        <v>0</v>
      </c>
      <c r="O30" s="76">
        <f>SUMIFS('июль 2025'!$G$2:$G$2437,'июль 2025'!$D$2:$D$2437,$B30,'июль 2025'!$J$2:$J$2437,O$1)</f>
        <v>0</v>
      </c>
      <c r="P30" s="76">
        <f>SUMIFS('июль 2025'!$G$2:$G$2437,'июль 2025'!$D$2:$D$2437,$B30,'июль 2025'!$J$2:$J$2437,P$1)</f>
        <v>0</v>
      </c>
      <c r="Q30" s="76">
        <f>SUMIFS('июль 2025'!$G$2:$G$2437,'июль 2025'!$D$2:$D$2437,$B30,'июль 2025'!$J$2:$J$2437,Q$1)</f>
        <v>0</v>
      </c>
      <c r="R30" s="76">
        <f>SUMIFS('июль 2025'!$G$2:$G$2437,'июль 2025'!$D$2:$D$2437,$B30,'июль 2025'!$J$2:$J$2437,R$1)</f>
        <v>0</v>
      </c>
      <c r="S30" s="76">
        <f>SUMIFS('июль 2025'!$G$2:$G$2437,'июль 2025'!$D$2:$D$2437,$B30,'июль 2025'!$J$2:$J$2437,S$1)</f>
        <v>0</v>
      </c>
      <c r="T30" s="76">
        <f>SUMIFS('июль 2025'!$G$2:$G$2437,'июль 2025'!$D$2:$D$2437,$B30,'июль 2025'!$J$2:$J$2437,T$1)</f>
        <v>0</v>
      </c>
      <c r="U30" s="76">
        <f>SUMIFS('июль 2025'!$G$2:$G$2437,'июль 2025'!$D$2:$D$2437,$B30,'июль 2025'!$J$2:$J$2437,U$1)</f>
        <v>0</v>
      </c>
      <c r="V30" s="76">
        <f>SUMIFS('июль 2025'!$G$2:$G$2437,'июль 2025'!$D$2:$D$2437,$B30,'июль 2025'!$J$2:$J$2437,V$1)</f>
        <v>0</v>
      </c>
      <c r="W30" s="76">
        <f>SUMIFS('июль 2025'!$G$2:$G$2437,'июль 2025'!$D$2:$D$2437,$B30,'июль 2025'!$J$2:$J$2437,W$1)</f>
        <v>0</v>
      </c>
      <c r="X30" s="76">
        <f>SUMIFS('июль 2025'!$G$2:$G$2437,'июль 2025'!$D$2:$D$2437,$B30,'июль 2025'!$J$2:$J$2437,X$1)</f>
        <v>0</v>
      </c>
      <c r="Y30" s="76">
        <f>SUMIFS('июль 2025'!$G$2:$G$2437,'июль 2025'!$D$2:$D$2437,$B30,'июль 2025'!$J$2:$J$2437,Y$1)</f>
        <v>0</v>
      </c>
      <c r="Z30" s="76">
        <f>SUMIFS('июль 2025'!$G$2:$G$2437,'июль 2025'!$D$2:$D$2437,$B30,'июль 2025'!$J$2:$J$2437,Z$1)</f>
        <v>0</v>
      </c>
      <c r="AA30" s="76">
        <f>SUMIFS('июль 2025'!$G$2:$G$2437,'июль 2025'!$D$2:$D$2437,$B30,'июль 2025'!$J$2:$J$2437,AA$1)</f>
        <v>0</v>
      </c>
      <c r="AB30" s="76">
        <f>SUMIFS('июль 2025'!$G$2:$G$2437,'июль 2025'!$D$2:$D$2437,$B30,'июль 2025'!$J$2:$J$2437,AB$1)</f>
        <v>0</v>
      </c>
      <c r="AC30" s="76">
        <f>SUMIFS('июль 2025'!$G$2:$G$2437,'июль 2025'!$D$2:$D$2437,$B30,'июль 2025'!$J$2:$J$2437,AC$1)</f>
        <v>0</v>
      </c>
      <c r="AD30" s="76">
        <f>SUMIFS('июль 2025'!$G$2:$G$2437,'июль 2025'!$D$2:$D$2437,$B30,'июль 2025'!$J$2:$J$2437,AD$1)</f>
        <v>0</v>
      </c>
      <c r="AE30" s="76">
        <f>SUMIFS('июль 2025'!$G$2:$G$2437,'июль 2025'!$D$2:$D$2437,$B30,'июль 2025'!$J$2:$J$2437,AE$1)</f>
        <v>0</v>
      </c>
      <c r="AF30" s="76">
        <f>SUMIFS('июль 2025'!$G$2:$G$2437,'июль 2025'!$D$2:$D$2437,$B30,'июль 2025'!$J$2:$J$2437,AF$1)</f>
        <v>0</v>
      </c>
      <c r="AG30" s="76">
        <f>SUMIFS('июль 2025'!$G$2:$G$2437,'июль 2025'!$D$2:$D$2437,$B30,'июль 2025'!$J$2:$J$2437,AG$1)</f>
        <v>0</v>
      </c>
      <c r="AH30" s="76">
        <f>SUMIFS('июль 2025'!$G$2:$G$2437,'июль 2025'!$D$2:$D$2437,$B30,'июль 2025'!$J$2:$J$2437,AH$1)</f>
        <v>0</v>
      </c>
      <c r="AI30" s="20">
        <f t="shared" si="1"/>
        <v>0</v>
      </c>
    </row>
    <row r="31" spans="2:35" ht="15" customHeight="1" x14ac:dyDescent="0.25">
      <c r="B31" s="80"/>
      <c r="C31" s="78"/>
      <c r="D31" s="76">
        <f>SUMIFS('июль 2025'!$G$2:$G$2437,'июль 2025'!$D$2:$D$2437,$B31,'июль 2025'!$J$2:$J$2437,D$1)</f>
        <v>0</v>
      </c>
      <c r="E31" s="76">
        <f>SUMIFS('июль 2025'!$G$2:$G$2437,'июль 2025'!$D$2:$D$2437,$B31,'июль 2025'!$J$2:$J$2437,E$1)</f>
        <v>0</v>
      </c>
      <c r="F31" s="76">
        <f>SUMIFS('июль 2025'!$G$2:$G$2437,'июль 2025'!$D$2:$D$2437,$B31,'июль 2025'!$J$2:$J$2437,F$1)</f>
        <v>0</v>
      </c>
      <c r="G31" s="76">
        <f>SUMIFS('июль 2025'!$G$2:$G$2437,'июль 2025'!$D$2:$D$2437,$B31,'июль 2025'!$J$2:$J$2437,G$1)</f>
        <v>0</v>
      </c>
      <c r="H31" s="76">
        <f>SUMIFS('июль 2025'!$G$2:$G$2437,'июль 2025'!$D$2:$D$2437,$B31,'июль 2025'!$J$2:$J$2437,H$1)</f>
        <v>0</v>
      </c>
      <c r="I31" s="76">
        <f>SUMIFS('июль 2025'!$G$2:$G$2437,'июль 2025'!$D$2:$D$2437,$B31,'июль 2025'!$J$2:$J$2437,I$1)</f>
        <v>0</v>
      </c>
      <c r="J31" s="76">
        <f>SUMIFS('июль 2025'!$G$2:$G$2437,'июль 2025'!$D$2:$D$2437,$B31,'июль 2025'!$J$2:$J$2437,J$1)</f>
        <v>0</v>
      </c>
      <c r="K31" s="76">
        <f>SUMIFS('июль 2025'!$G$2:$G$2437,'июль 2025'!$D$2:$D$2437,$B31,'июль 2025'!$J$2:$J$2437,K$1)</f>
        <v>0</v>
      </c>
      <c r="L31" s="76">
        <f>SUMIFS('июль 2025'!$G$2:$G$2437,'июль 2025'!$D$2:$D$2437,$B31,'июль 2025'!$J$2:$J$2437,L$1)</f>
        <v>0</v>
      </c>
      <c r="M31" s="76">
        <f>SUMIFS('июль 2025'!$G$2:$G$2437,'июль 2025'!$D$2:$D$2437,$B31,'июль 2025'!$J$2:$J$2437,M$1)</f>
        <v>0</v>
      </c>
      <c r="N31" s="76">
        <f>SUMIFS('июль 2025'!$G$2:$G$2437,'июль 2025'!$D$2:$D$2437,$B31,'июль 2025'!$J$2:$J$2437,N$1)</f>
        <v>0</v>
      </c>
      <c r="O31" s="76">
        <f>SUMIFS('июль 2025'!$G$2:$G$2437,'июль 2025'!$D$2:$D$2437,$B31,'июль 2025'!$J$2:$J$2437,O$1)</f>
        <v>0</v>
      </c>
      <c r="P31" s="76">
        <f>SUMIFS('июль 2025'!$G$2:$G$2437,'июль 2025'!$D$2:$D$2437,$B31,'июль 2025'!$J$2:$J$2437,P$1)</f>
        <v>0</v>
      </c>
      <c r="Q31" s="76">
        <f>SUMIFS('июль 2025'!$G$2:$G$2437,'июль 2025'!$D$2:$D$2437,$B31,'июль 2025'!$J$2:$J$2437,Q$1)</f>
        <v>0</v>
      </c>
      <c r="R31" s="76">
        <f>SUMIFS('июль 2025'!$G$2:$G$2437,'июль 2025'!$D$2:$D$2437,$B31,'июль 2025'!$J$2:$J$2437,R$1)</f>
        <v>0</v>
      </c>
      <c r="S31" s="76">
        <f>SUMIFS('июль 2025'!$G$2:$G$2437,'июль 2025'!$D$2:$D$2437,$B31,'июль 2025'!$J$2:$J$2437,S$1)</f>
        <v>0</v>
      </c>
      <c r="T31" s="76">
        <f>SUMIFS('июль 2025'!$G$2:$G$2437,'июль 2025'!$D$2:$D$2437,$B31,'июль 2025'!$J$2:$J$2437,T$1)</f>
        <v>0</v>
      </c>
      <c r="U31" s="76">
        <f>SUMIFS('июль 2025'!$G$2:$G$2437,'июль 2025'!$D$2:$D$2437,$B31,'июль 2025'!$J$2:$J$2437,U$1)</f>
        <v>0</v>
      </c>
      <c r="V31" s="76">
        <f>SUMIFS('июль 2025'!$G$2:$G$2437,'июль 2025'!$D$2:$D$2437,$B31,'июль 2025'!$J$2:$J$2437,V$1)</f>
        <v>0</v>
      </c>
      <c r="W31" s="76">
        <f>SUMIFS('июль 2025'!$G$2:$G$2437,'июль 2025'!$D$2:$D$2437,$B31,'июль 2025'!$J$2:$J$2437,W$1)</f>
        <v>0</v>
      </c>
      <c r="X31" s="76">
        <f>SUMIFS('июль 2025'!$G$2:$G$2437,'июль 2025'!$D$2:$D$2437,$B31,'июль 2025'!$J$2:$J$2437,X$1)</f>
        <v>0</v>
      </c>
      <c r="Y31" s="76">
        <f>SUMIFS('июль 2025'!$G$2:$G$2437,'июль 2025'!$D$2:$D$2437,$B31,'июль 2025'!$J$2:$J$2437,Y$1)</f>
        <v>0</v>
      </c>
      <c r="Z31" s="76">
        <f>SUMIFS('июль 2025'!$G$2:$G$2437,'июль 2025'!$D$2:$D$2437,$B31,'июль 2025'!$J$2:$J$2437,Z$1)</f>
        <v>0</v>
      </c>
      <c r="AA31" s="76">
        <f>SUMIFS('июль 2025'!$G$2:$G$2437,'июль 2025'!$D$2:$D$2437,$B31,'июль 2025'!$J$2:$J$2437,AA$1)</f>
        <v>0</v>
      </c>
      <c r="AB31" s="76">
        <f>SUMIFS('июль 2025'!$G$2:$G$2437,'июль 2025'!$D$2:$D$2437,$B31,'июль 2025'!$J$2:$J$2437,AB$1)</f>
        <v>0</v>
      </c>
      <c r="AC31" s="76">
        <f>SUMIFS('июль 2025'!$G$2:$G$2437,'июль 2025'!$D$2:$D$2437,$B31,'июль 2025'!$J$2:$J$2437,AC$1)</f>
        <v>0</v>
      </c>
      <c r="AD31" s="76">
        <f>SUMIFS('июль 2025'!$G$2:$G$2437,'июль 2025'!$D$2:$D$2437,$B31,'июль 2025'!$J$2:$J$2437,AD$1)</f>
        <v>0</v>
      </c>
      <c r="AE31" s="76">
        <f>SUMIFS('июль 2025'!$G$2:$G$2437,'июль 2025'!$D$2:$D$2437,$B31,'июль 2025'!$J$2:$J$2437,AE$1)</f>
        <v>0</v>
      </c>
      <c r="AF31" s="76">
        <f>SUMIFS('июль 2025'!$G$2:$G$2437,'июль 2025'!$D$2:$D$2437,$B31,'июль 2025'!$J$2:$J$2437,AF$1)</f>
        <v>0</v>
      </c>
      <c r="AG31" s="76">
        <f>SUMIFS('июль 2025'!$G$2:$G$2437,'июль 2025'!$D$2:$D$2437,$B31,'июль 2025'!$J$2:$J$2437,AG$1)</f>
        <v>0</v>
      </c>
      <c r="AH31" s="76">
        <f>SUMIFS('июль 2025'!$G$2:$G$2437,'июль 2025'!$D$2:$D$2437,$B31,'июль 2025'!$J$2:$J$2437,AH$1)</f>
        <v>0</v>
      </c>
      <c r="AI31" s="20">
        <f t="shared" si="1"/>
        <v>0</v>
      </c>
    </row>
    <row r="32" spans="2:35" ht="15" customHeight="1" x14ac:dyDescent="0.25">
      <c r="B32" s="80"/>
      <c r="C32" s="78"/>
      <c r="D32" s="76">
        <f>SUMIFS('июль 2025'!$G$2:$G$2437,'июль 2025'!$D$2:$D$2437,$B32,'июль 2025'!$J$2:$J$2437,D$1)</f>
        <v>0</v>
      </c>
      <c r="E32" s="76">
        <f>SUMIFS('июль 2025'!$G$2:$G$2437,'июль 2025'!$D$2:$D$2437,$B32,'июль 2025'!$J$2:$J$2437,E$1)</f>
        <v>0</v>
      </c>
      <c r="F32" s="76">
        <f>SUMIFS('июль 2025'!$G$2:$G$2437,'июль 2025'!$D$2:$D$2437,$B32,'июль 2025'!$J$2:$J$2437,F$1)</f>
        <v>0</v>
      </c>
      <c r="G32" s="76">
        <f>SUMIFS('июль 2025'!$G$2:$G$2437,'июль 2025'!$D$2:$D$2437,$B32,'июль 2025'!$J$2:$J$2437,G$1)</f>
        <v>0</v>
      </c>
      <c r="H32" s="76">
        <f>SUMIFS('июль 2025'!$G$2:$G$2437,'июль 2025'!$D$2:$D$2437,$B32,'июль 2025'!$J$2:$J$2437,H$1)</f>
        <v>0</v>
      </c>
      <c r="I32" s="76">
        <f>SUMIFS('июль 2025'!$G$2:$G$2437,'июль 2025'!$D$2:$D$2437,$B32,'июль 2025'!$J$2:$J$2437,I$1)</f>
        <v>0</v>
      </c>
      <c r="J32" s="76">
        <f>SUMIFS('июль 2025'!$G$2:$G$2437,'июль 2025'!$D$2:$D$2437,$B32,'июль 2025'!$J$2:$J$2437,J$1)</f>
        <v>0</v>
      </c>
      <c r="K32" s="76">
        <f>SUMIFS('июль 2025'!$G$2:$G$2437,'июль 2025'!$D$2:$D$2437,$B32,'июль 2025'!$J$2:$J$2437,K$1)</f>
        <v>0</v>
      </c>
      <c r="L32" s="76">
        <f>SUMIFS('июль 2025'!$G$2:$G$2437,'июль 2025'!$D$2:$D$2437,$B32,'июль 2025'!$J$2:$J$2437,L$1)</f>
        <v>0</v>
      </c>
      <c r="M32" s="76">
        <f>SUMIFS('июль 2025'!$G$2:$G$2437,'июль 2025'!$D$2:$D$2437,$B32,'июль 2025'!$J$2:$J$2437,M$1)</f>
        <v>0</v>
      </c>
      <c r="N32" s="76">
        <f>SUMIFS('июль 2025'!$G$2:$G$2437,'июль 2025'!$D$2:$D$2437,$B32,'июль 2025'!$J$2:$J$2437,N$1)</f>
        <v>0</v>
      </c>
      <c r="O32" s="76">
        <f>SUMIFS('июль 2025'!$G$2:$G$2437,'июль 2025'!$D$2:$D$2437,$B32,'июль 2025'!$J$2:$J$2437,O$1)</f>
        <v>0</v>
      </c>
      <c r="P32" s="76">
        <f>SUMIFS('июль 2025'!$G$2:$G$2437,'июль 2025'!$D$2:$D$2437,$B32,'июль 2025'!$J$2:$J$2437,P$1)</f>
        <v>0</v>
      </c>
      <c r="Q32" s="76">
        <f>SUMIFS('июль 2025'!$G$2:$G$2437,'июль 2025'!$D$2:$D$2437,$B32,'июль 2025'!$J$2:$J$2437,Q$1)</f>
        <v>0</v>
      </c>
      <c r="R32" s="76">
        <f>SUMIFS('июль 2025'!$G$2:$G$2437,'июль 2025'!$D$2:$D$2437,$B32,'июль 2025'!$J$2:$J$2437,R$1)</f>
        <v>0</v>
      </c>
      <c r="S32" s="76">
        <f>SUMIFS('июль 2025'!$G$2:$G$2437,'июль 2025'!$D$2:$D$2437,$B32,'июль 2025'!$J$2:$J$2437,S$1)</f>
        <v>0</v>
      </c>
      <c r="T32" s="76">
        <f>SUMIFS('июль 2025'!$G$2:$G$2437,'июль 2025'!$D$2:$D$2437,$B32,'июль 2025'!$J$2:$J$2437,T$1)</f>
        <v>0</v>
      </c>
      <c r="U32" s="76">
        <f>SUMIFS('июль 2025'!$G$2:$G$2437,'июль 2025'!$D$2:$D$2437,$B32,'июль 2025'!$J$2:$J$2437,U$1)</f>
        <v>0</v>
      </c>
      <c r="V32" s="76">
        <f>SUMIFS('июль 2025'!$G$2:$G$2437,'июль 2025'!$D$2:$D$2437,$B32,'июль 2025'!$J$2:$J$2437,V$1)</f>
        <v>0</v>
      </c>
      <c r="W32" s="76">
        <f>SUMIFS('июль 2025'!$G$2:$G$2437,'июль 2025'!$D$2:$D$2437,$B32,'июль 2025'!$J$2:$J$2437,W$1)</f>
        <v>0</v>
      </c>
      <c r="X32" s="76">
        <f>SUMIFS('июль 2025'!$G$2:$G$2437,'июль 2025'!$D$2:$D$2437,$B32,'июль 2025'!$J$2:$J$2437,X$1)</f>
        <v>0</v>
      </c>
      <c r="Y32" s="76">
        <f>SUMIFS('июль 2025'!$G$2:$G$2437,'июль 2025'!$D$2:$D$2437,$B32,'июль 2025'!$J$2:$J$2437,Y$1)</f>
        <v>0</v>
      </c>
      <c r="Z32" s="76">
        <f>SUMIFS('июль 2025'!$G$2:$G$2437,'июль 2025'!$D$2:$D$2437,$B32,'июль 2025'!$J$2:$J$2437,Z$1)</f>
        <v>0</v>
      </c>
      <c r="AA32" s="76">
        <f>SUMIFS('июль 2025'!$G$2:$G$2437,'июль 2025'!$D$2:$D$2437,$B32,'июль 2025'!$J$2:$J$2437,AA$1)</f>
        <v>0</v>
      </c>
      <c r="AB32" s="76">
        <f>SUMIFS('июль 2025'!$G$2:$G$2437,'июль 2025'!$D$2:$D$2437,$B32,'июль 2025'!$J$2:$J$2437,AB$1)</f>
        <v>0</v>
      </c>
      <c r="AC32" s="76">
        <f>SUMIFS('июль 2025'!$G$2:$G$2437,'июль 2025'!$D$2:$D$2437,$B32,'июль 2025'!$J$2:$J$2437,AC$1)</f>
        <v>0</v>
      </c>
      <c r="AD32" s="76">
        <f>SUMIFS('июль 2025'!$G$2:$G$2437,'июль 2025'!$D$2:$D$2437,$B32,'июль 2025'!$J$2:$J$2437,AD$1)</f>
        <v>0</v>
      </c>
      <c r="AE32" s="76">
        <f>SUMIFS('июль 2025'!$G$2:$G$2437,'июль 2025'!$D$2:$D$2437,$B32,'июль 2025'!$J$2:$J$2437,AE$1)</f>
        <v>0</v>
      </c>
      <c r="AF32" s="76">
        <f>SUMIFS('июль 2025'!$G$2:$G$2437,'июль 2025'!$D$2:$D$2437,$B32,'июль 2025'!$J$2:$J$2437,AF$1)</f>
        <v>0</v>
      </c>
      <c r="AG32" s="76">
        <f>SUMIFS('июль 2025'!$G$2:$G$2437,'июль 2025'!$D$2:$D$2437,$B32,'июль 2025'!$J$2:$J$2437,AG$1)</f>
        <v>0</v>
      </c>
      <c r="AH32" s="76">
        <f>SUMIFS('июль 2025'!$G$2:$G$2437,'июль 2025'!$D$2:$D$2437,$B32,'июль 2025'!$J$2:$J$2437,AH$1)</f>
        <v>0</v>
      </c>
      <c r="AI32" s="20">
        <f t="shared" si="1"/>
        <v>0</v>
      </c>
    </row>
    <row r="33" spans="2:35" ht="15" customHeight="1" x14ac:dyDescent="0.25">
      <c r="B33" s="80"/>
      <c r="C33" s="78"/>
      <c r="D33" s="76">
        <f>SUMIFS('июль 2025'!$G$2:$G$2437,'июль 2025'!$D$2:$D$2437,$B33,'июль 2025'!$J$2:$J$2437,D$1)</f>
        <v>0</v>
      </c>
      <c r="E33" s="76">
        <f>SUMIFS('июль 2025'!$G$2:$G$2437,'июль 2025'!$D$2:$D$2437,$B33,'июль 2025'!$J$2:$J$2437,E$1)</f>
        <v>0</v>
      </c>
      <c r="F33" s="76">
        <f>SUMIFS('июль 2025'!$G$2:$G$2437,'июль 2025'!$D$2:$D$2437,$B33,'июль 2025'!$J$2:$J$2437,F$1)</f>
        <v>0</v>
      </c>
      <c r="G33" s="76">
        <f>SUMIFS('июль 2025'!$G$2:$G$2437,'июль 2025'!$D$2:$D$2437,$B33,'июль 2025'!$J$2:$J$2437,G$1)</f>
        <v>0</v>
      </c>
      <c r="H33" s="76">
        <f>SUMIFS('июль 2025'!$G$2:$G$2437,'июль 2025'!$D$2:$D$2437,$B33,'июль 2025'!$J$2:$J$2437,H$1)</f>
        <v>0</v>
      </c>
      <c r="I33" s="76">
        <f>SUMIFS('июль 2025'!$G$2:$G$2437,'июль 2025'!$D$2:$D$2437,$B33,'июль 2025'!$J$2:$J$2437,I$1)</f>
        <v>0</v>
      </c>
      <c r="J33" s="76">
        <f>SUMIFS('июль 2025'!$G$2:$G$2437,'июль 2025'!$D$2:$D$2437,$B33,'июль 2025'!$J$2:$J$2437,J$1)</f>
        <v>0</v>
      </c>
      <c r="K33" s="76">
        <f>SUMIFS('июль 2025'!$G$2:$G$2437,'июль 2025'!$D$2:$D$2437,$B33,'июль 2025'!$J$2:$J$2437,K$1)</f>
        <v>0</v>
      </c>
      <c r="L33" s="76">
        <f>SUMIFS('июль 2025'!$G$2:$G$2437,'июль 2025'!$D$2:$D$2437,$B33,'июль 2025'!$J$2:$J$2437,L$1)</f>
        <v>0</v>
      </c>
      <c r="M33" s="76">
        <f>SUMIFS('июль 2025'!$G$2:$G$2437,'июль 2025'!$D$2:$D$2437,$B33,'июль 2025'!$J$2:$J$2437,M$1)</f>
        <v>0</v>
      </c>
      <c r="N33" s="76">
        <f>SUMIFS('июль 2025'!$G$2:$G$2437,'июль 2025'!$D$2:$D$2437,$B33,'июль 2025'!$J$2:$J$2437,N$1)</f>
        <v>0</v>
      </c>
      <c r="O33" s="76">
        <f>SUMIFS('июль 2025'!$G$2:$G$2437,'июль 2025'!$D$2:$D$2437,$B33,'июль 2025'!$J$2:$J$2437,O$1)</f>
        <v>0</v>
      </c>
      <c r="P33" s="76">
        <f>SUMIFS('июль 2025'!$G$2:$G$2437,'июль 2025'!$D$2:$D$2437,$B33,'июль 2025'!$J$2:$J$2437,P$1)</f>
        <v>0</v>
      </c>
      <c r="Q33" s="76">
        <f>SUMIFS('июль 2025'!$G$2:$G$2437,'июль 2025'!$D$2:$D$2437,$B33,'июль 2025'!$J$2:$J$2437,Q$1)</f>
        <v>0</v>
      </c>
      <c r="R33" s="76">
        <f>SUMIFS('июль 2025'!$G$2:$G$2437,'июль 2025'!$D$2:$D$2437,$B33,'июль 2025'!$J$2:$J$2437,R$1)</f>
        <v>0</v>
      </c>
      <c r="S33" s="76">
        <f>SUMIFS('июль 2025'!$G$2:$G$2437,'июль 2025'!$D$2:$D$2437,$B33,'июль 2025'!$J$2:$J$2437,S$1)</f>
        <v>0</v>
      </c>
      <c r="T33" s="76">
        <f>SUMIFS('июль 2025'!$G$2:$G$2437,'июль 2025'!$D$2:$D$2437,$B33,'июль 2025'!$J$2:$J$2437,T$1)</f>
        <v>0</v>
      </c>
      <c r="U33" s="76">
        <f>SUMIFS('июль 2025'!$G$2:$G$2437,'июль 2025'!$D$2:$D$2437,$B33,'июль 2025'!$J$2:$J$2437,U$1)</f>
        <v>0</v>
      </c>
      <c r="V33" s="76">
        <f>SUMIFS('июль 2025'!$G$2:$G$2437,'июль 2025'!$D$2:$D$2437,$B33,'июль 2025'!$J$2:$J$2437,V$1)</f>
        <v>0</v>
      </c>
      <c r="W33" s="76">
        <f>SUMIFS('июль 2025'!$G$2:$G$2437,'июль 2025'!$D$2:$D$2437,$B33,'июль 2025'!$J$2:$J$2437,W$1)</f>
        <v>0</v>
      </c>
      <c r="X33" s="76">
        <f>SUMIFS('июль 2025'!$G$2:$G$2437,'июль 2025'!$D$2:$D$2437,$B33,'июль 2025'!$J$2:$J$2437,X$1)</f>
        <v>0</v>
      </c>
      <c r="Y33" s="76">
        <f>SUMIFS('июль 2025'!$G$2:$G$2437,'июль 2025'!$D$2:$D$2437,$B33,'июль 2025'!$J$2:$J$2437,Y$1)</f>
        <v>0</v>
      </c>
      <c r="Z33" s="76">
        <f>SUMIFS('июль 2025'!$G$2:$G$2437,'июль 2025'!$D$2:$D$2437,$B33,'июль 2025'!$J$2:$J$2437,Z$1)</f>
        <v>0</v>
      </c>
      <c r="AA33" s="76">
        <f>SUMIFS('июль 2025'!$G$2:$G$2437,'июль 2025'!$D$2:$D$2437,$B33,'июль 2025'!$J$2:$J$2437,AA$1)</f>
        <v>0</v>
      </c>
      <c r="AB33" s="76">
        <f>SUMIFS('июль 2025'!$G$2:$G$2437,'июль 2025'!$D$2:$D$2437,$B33,'июль 2025'!$J$2:$J$2437,AB$1)</f>
        <v>0</v>
      </c>
      <c r="AC33" s="76">
        <f>SUMIFS('июль 2025'!$G$2:$G$2437,'июль 2025'!$D$2:$D$2437,$B33,'июль 2025'!$J$2:$J$2437,AC$1)</f>
        <v>0</v>
      </c>
      <c r="AD33" s="76">
        <f>SUMIFS('июль 2025'!$G$2:$G$2437,'июль 2025'!$D$2:$D$2437,$B33,'июль 2025'!$J$2:$J$2437,AD$1)</f>
        <v>0</v>
      </c>
      <c r="AE33" s="76">
        <f>SUMIFS('июль 2025'!$G$2:$G$2437,'июль 2025'!$D$2:$D$2437,$B33,'июль 2025'!$J$2:$J$2437,AE$1)</f>
        <v>0</v>
      </c>
      <c r="AF33" s="76">
        <f>SUMIFS('июль 2025'!$G$2:$G$2437,'июль 2025'!$D$2:$D$2437,$B33,'июль 2025'!$J$2:$J$2437,AF$1)</f>
        <v>0</v>
      </c>
      <c r="AG33" s="76">
        <f>SUMIFS('июль 2025'!$G$2:$G$2437,'июль 2025'!$D$2:$D$2437,$B33,'июль 2025'!$J$2:$J$2437,AG$1)</f>
        <v>0</v>
      </c>
      <c r="AH33" s="76">
        <f>SUMIFS('июль 2025'!$G$2:$G$2437,'июль 2025'!$D$2:$D$2437,$B33,'июль 2025'!$J$2:$J$2437,AH$1)</f>
        <v>0</v>
      </c>
      <c r="AI33" s="20">
        <f t="shared" si="1"/>
        <v>0</v>
      </c>
    </row>
    <row r="34" spans="2:35" ht="15" customHeight="1" x14ac:dyDescent="0.25">
      <c r="B34" s="125" t="s">
        <v>213</v>
      </c>
      <c r="C34" s="126">
        <v>25</v>
      </c>
      <c r="D34" s="76">
        <f>SUMIFS('июль 2025'!$G$2:$G$2437,'июль 2025'!$D$2:$D$2437,$B34,'июль 2025'!$J$2:$J$2437,D$1)</f>
        <v>0</v>
      </c>
      <c r="E34" s="76">
        <f>SUMIFS('июль 2025'!$G$2:$G$2437,'июль 2025'!$D$2:$D$2437,$B34,'июль 2025'!$J$2:$J$2437,E$1)</f>
        <v>0</v>
      </c>
      <c r="F34" s="76">
        <f>SUMIFS('июль 2025'!$G$2:$G$2437,'июль 2025'!$D$2:$D$2437,$B34,'июль 2025'!$J$2:$J$2437,F$1)</f>
        <v>0</v>
      </c>
      <c r="G34" s="76">
        <f>SUMIFS('июль 2025'!$G$2:$G$2437,'июль 2025'!$D$2:$D$2437,$B34,'июль 2025'!$J$2:$J$2437,G$1)</f>
        <v>0</v>
      </c>
      <c r="H34" s="76">
        <f>SUMIFS('июль 2025'!$G$2:$G$2437,'июль 2025'!$D$2:$D$2437,$B34,'июль 2025'!$J$2:$J$2437,H$1)</f>
        <v>0</v>
      </c>
      <c r="I34" s="76">
        <f>SUMIFS('июль 2025'!$G$2:$G$2437,'июль 2025'!$D$2:$D$2437,$B34,'июль 2025'!$J$2:$J$2437,I$1)</f>
        <v>0</v>
      </c>
      <c r="J34" s="76">
        <f>SUMIFS('июль 2025'!$G$2:$G$2437,'июль 2025'!$D$2:$D$2437,$B34,'июль 2025'!$J$2:$J$2437,J$1)</f>
        <v>0</v>
      </c>
      <c r="K34" s="76">
        <f>SUMIFS('июль 2025'!$G$2:$G$2437,'июль 2025'!$D$2:$D$2437,$B34,'июль 2025'!$J$2:$J$2437,K$1)</f>
        <v>0</v>
      </c>
      <c r="L34" s="76">
        <f>SUMIFS('июль 2025'!$G$2:$G$2437,'июль 2025'!$D$2:$D$2437,$B34,'июль 2025'!$J$2:$J$2437,L$1)</f>
        <v>0</v>
      </c>
      <c r="M34" s="76">
        <f>SUMIFS('июль 2025'!$G$2:$G$2437,'июль 2025'!$D$2:$D$2437,$B34,'июль 2025'!$J$2:$J$2437,M$1)</f>
        <v>0</v>
      </c>
      <c r="N34" s="76">
        <f>SUMIFS('июль 2025'!$G$2:$G$2437,'июль 2025'!$D$2:$D$2437,$B34,'июль 2025'!$J$2:$J$2437,N$1)</f>
        <v>0</v>
      </c>
      <c r="O34" s="76">
        <f>SUMIFS('июль 2025'!$G$2:$G$2437,'июль 2025'!$D$2:$D$2437,$B34,'июль 2025'!$J$2:$J$2437,O$1)</f>
        <v>0</v>
      </c>
      <c r="P34" s="76">
        <f>SUMIFS('июль 2025'!$G$2:$G$2437,'июль 2025'!$D$2:$D$2437,$B34,'июль 2025'!$J$2:$J$2437,P$1)</f>
        <v>0</v>
      </c>
      <c r="Q34" s="76">
        <f>SUMIFS('июль 2025'!$G$2:$G$2437,'июль 2025'!$D$2:$D$2437,$B34,'июль 2025'!$J$2:$J$2437,Q$1)</f>
        <v>0</v>
      </c>
      <c r="R34" s="76">
        <f>SUMIFS('июль 2025'!$G$2:$G$2437,'июль 2025'!$D$2:$D$2437,$B34,'июль 2025'!$J$2:$J$2437,R$1)</f>
        <v>0</v>
      </c>
      <c r="S34" s="76">
        <f>SUMIFS('июль 2025'!$G$2:$G$2437,'июль 2025'!$D$2:$D$2437,$B34,'июль 2025'!$J$2:$J$2437,S$1)</f>
        <v>0</v>
      </c>
      <c r="T34" s="76">
        <f>SUMIFS('июль 2025'!$G$2:$G$2437,'июль 2025'!$D$2:$D$2437,$B34,'июль 2025'!$J$2:$J$2437,T$1)</f>
        <v>0</v>
      </c>
      <c r="U34" s="76">
        <f>SUMIFS('июль 2025'!$G$2:$G$2437,'июль 2025'!$D$2:$D$2437,$B34,'июль 2025'!$J$2:$J$2437,U$1)</f>
        <v>0</v>
      </c>
      <c r="V34" s="76">
        <f>SUMIFS('июль 2025'!$G$2:$G$2437,'июль 2025'!$D$2:$D$2437,$B34,'июль 2025'!$J$2:$J$2437,V$1)</f>
        <v>0</v>
      </c>
      <c r="W34" s="76">
        <f>SUMIFS('июль 2025'!$G$2:$G$2437,'июль 2025'!$D$2:$D$2437,$B34,'июль 2025'!$J$2:$J$2437,W$1)</f>
        <v>0</v>
      </c>
      <c r="X34" s="76">
        <f>SUMIFS('июль 2025'!$G$2:$G$2437,'июль 2025'!$D$2:$D$2437,$B34,'июль 2025'!$J$2:$J$2437,X$1)</f>
        <v>0</v>
      </c>
      <c r="Y34" s="76">
        <f>SUMIFS('июль 2025'!$G$2:$G$2437,'июль 2025'!$D$2:$D$2437,$B34,'июль 2025'!$J$2:$J$2437,Y$1)</f>
        <v>0</v>
      </c>
      <c r="Z34" s="76">
        <f>SUMIFS('июль 2025'!$G$2:$G$2437,'июль 2025'!$D$2:$D$2437,$B34,'июль 2025'!$J$2:$J$2437,Z$1)</f>
        <v>0</v>
      </c>
      <c r="AA34" s="76">
        <f>SUMIFS('июль 2025'!$G$2:$G$2437,'июль 2025'!$D$2:$D$2437,$B34,'июль 2025'!$J$2:$J$2437,AA$1)</f>
        <v>0</v>
      </c>
      <c r="AB34" s="76">
        <f>SUMIFS('июль 2025'!$G$2:$G$2437,'июль 2025'!$D$2:$D$2437,$B34,'июль 2025'!$J$2:$J$2437,AB$1)</f>
        <v>0</v>
      </c>
      <c r="AC34" s="76">
        <f>SUMIFS('июль 2025'!$G$2:$G$2437,'июль 2025'!$D$2:$D$2437,$B34,'июль 2025'!$J$2:$J$2437,AC$1)</f>
        <v>0</v>
      </c>
      <c r="AD34" s="76">
        <f>SUMIFS('июль 2025'!$G$2:$G$2437,'июль 2025'!$D$2:$D$2437,$B34,'июль 2025'!$J$2:$J$2437,AD$1)</f>
        <v>0</v>
      </c>
      <c r="AE34" s="76">
        <f>SUMIFS('июль 2025'!$G$2:$G$2437,'июль 2025'!$D$2:$D$2437,$B34,'июль 2025'!$J$2:$J$2437,AE$1)</f>
        <v>0</v>
      </c>
      <c r="AF34" s="76">
        <f>SUMIFS('июль 2025'!$G$2:$G$2437,'июль 2025'!$D$2:$D$2437,$B34,'июль 2025'!$J$2:$J$2437,AF$1)</f>
        <v>0</v>
      </c>
      <c r="AG34" s="76">
        <f>SUMIFS('июль 2025'!$G$2:$G$2437,'июль 2025'!$D$2:$D$2437,$B34,'июль 2025'!$J$2:$J$2437,AG$1)</f>
        <v>0</v>
      </c>
      <c r="AH34" s="76">
        <f>SUMIFS('июль 2025'!$G$2:$G$2437,'июль 2025'!$D$2:$D$2437,$B34,'июль 2025'!$J$2:$J$2437,AH$1)</f>
        <v>0</v>
      </c>
      <c r="AI34" s="20">
        <f t="shared" si="1"/>
        <v>0</v>
      </c>
    </row>
    <row r="35" spans="2:35" ht="15" customHeight="1" x14ac:dyDescent="0.25">
      <c r="B35" s="127" t="s">
        <v>215</v>
      </c>
      <c r="C35" s="126">
        <v>25</v>
      </c>
      <c r="D35" s="76">
        <f>SUMIFS('июль 2025'!$G$2:$G$2437,'июль 2025'!$D$2:$D$2437,$B35,'июль 2025'!$J$2:$J$2437,D$1)</f>
        <v>0</v>
      </c>
      <c r="E35" s="76">
        <f>SUMIFS('июль 2025'!$G$2:$G$2437,'июль 2025'!$D$2:$D$2437,$B35,'июль 2025'!$J$2:$J$2437,E$1)</f>
        <v>0</v>
      </c>
      <c r="F35" s="76">
        <f>SUMIFS('июль 2025'!$G$2:$G$2437,'июль 2025'!$D$2:$D$2437,$B35,'июль 2025'!$J$2:$J$2437,F$1)</f>
        <v>0</v>
      </c>
      <c r="G35" s="76">
        <f>SUMIFS('июль 2025'!$G$2:$G$2437,'июль 2025'!$D$2:$D$2437,$B35,'июль 2025'!$J$2:$J$2437,G$1)</f>
        <v>0</v>
      </c>
      <c r="H35" s="76">
        <f>SUMIFS('июль 2025'!$G$2:$G$2437,'июль 2025'!$D$2:$D$2437,$B35,'июль 2025'!$J$2:$J$2437,H$1)</f>
        <v>0</v>
      </c>
      <c r="I35" s="76">
        <f>SUMIFS('июль 2025'!$G$2:$G$2437,'июль 2025'!$D$2:$D$2437,$B35,'июль 2025'!$J$2:$J$2437,I$1)</f>
        <v>0</v>
      </c>
      <c r="J35" s="76">
        <f>SUMIFS('июль 2025'!$G$2:$G$2437,'июль 2025'!$D$2:$D$2437,$B35,'июль 2025'!$J$2:$J$2437,J$1)</f>
        <v>0</v>
      </c>
      <c r="K35" s="76">
        <f>SUMIFS('июль 2025'!$G$2:$G$2437,'июль 2025'!$D$2:$D$2437,$B35,'июль 2025'!$J$2:$J$2437,K$1)</f>
        <v>0</v>
      </c>
      <c r="L35" s="76">
        <f>SUMIFS('июль 2025'!$G$2:$G$2437,'июль 2025'!$D$2:$D$2437,$B35,'июль 2025'!$J$2:$J$2437,L$1)</f>
        <v>0</v>
      </c>
      <c r="M35" s="76">
        <f>SUMIFS('июль 2025'!$G$2:$G$2437,'июль 2025'!$D$2:$D$2437,$B35,'июль 2025'!$J$2:$J$2437,M$1)</f>
        <v>0</v>
      </c>
      <c r="N35" s="76">
        <f>SUMIFS('июль 2025'!$G$2:$G$2437,'июль 2025'!$D$2:$D$2437,$B35,'июль 2025'!$J$2:$J$2437,N$1)</f>
        <v>0</v>
      </c>
      <c r="O35" s="76">
        <f>SUMIFS('июль 2025'!$G$2:$G$2437,'июль 2025'!$D$2:$D$2437,$B35,'июль 2025'!$J$2:$J$2437,O$1)</f>
        <v>0</v>
      </c>
      <c r="P35" s="76">
        <f>SUMIFS('июль 2025'!$G$2:$G$2437,'июль 2025'!$D$2:$D$2437,$B35,'июль 2025'!$J$2:$J$2437,P$1)</f>
        <v>0</v>
      </c>
      <c r="Q35" s="76">
        <f>SUMIFS('июль 2025'!$G$2:$G$2437,'июль 2025'!$D$2:$D$2437,$B35,'июль 2025'!$J$2:$J$2437,Q$1)</f>
        <v>0</v>
      </c>
      <c r="R35" s="76">
        <f>SUMIFS('июль 2025'!$G$2:$G$2437,'июль 2025'!$D$2:$D$2437,$B35,'июль 2025'!$J$2:$J$2437,R$1)</f>
        <v>0</v>
      </c>
      <c r="S35" s="76">
        <f>SUMIFS('июль 2025'!$G$2:$G$2437,'июль 2025'!$D$2:$D$2437,$B35,'июль 2025'!$J$2:$J$2437,S$1)</f>
        <v>0</v>
      </c>
      <c r="T35" s="76">
        <f>SUMIFS('июль 2025'!$G$2:$G$2437,'июль 2025'!$D$2:$D$2437,$B35,'июль 2025'!$J$2:$J$2437,T$1)</f>
        <v>0</v>
      </c>
      <c r="U35" s="76">
        <f>SUMIFS('июль 2025'!$G$2:$G$2437,'июль 2025'!$D$2:$D$2437,$B35,'июль 2025'!$J$2:$J$2437,U$1)</f>
        <v>0</v>
      </c>
      <c r="V35" s="76">
        <f>SUMIFS('июль 2025'!$G$2:$G$2437,'июль 2025'!$D$2:$D$2437,$B35,'июль 2025'!$J$2:$J$2437,V$1)</f>
        <v>0</v>
      </c>
      <c r="W35" s="76">
        <f>SUMIFS('июль 2025'!$G$2:$G$2437,'июль 2025'!$D$2:$D$2437,$B35,'июль 2025'!$J$2:$J$2437,W$1)</f>
        <v>0</v>
      </c>
      <c r="X35" s="76">
        <f>SUMIFS('июль 2025'!$G$2:$G$2437,'июль 2025'!$D$2:$D$2437,$B35,'июль 2025'!$J$2:$J$2437,X$1)</f>
        <v>0</v>
      </c>
      <c r="Y35" s="76">
        <f>SUMIFS('июль 2025'!$G$2:$G$2437,'июль 2025'!$D$2:$D$2437,$B35,'июль 2025'!$J$2:$J$2437,Y$1)</f>
        <v>0</v>
      </c>
      <c r="Z35" s="76">
        <f>SUMIFS('июль 2025'!$G$2:$G$2437,'июль 2025'!$D$2:$D$2437,$B35,'июль 2025'!$J$2:$J$2437,Z$1)</f>
        <v>0</v>
      </c>
      <c r="AA35" s="76">
        <f>SUMIFS('июль 2025'!$G$2:$G$2437,'июль 2025'!$D$2:$D$2437,$B35,'июль 2025'!$J$2:$J$2437,AA$1)</f>
        <v>0</v>
      </c>
      <c r="AB35" s="76">
        <f>SUMIFS('июль 2025'!$G$2:$G$2437,'июль 2025'!$D$2:$D$2437,$B35,'июль 2025'!$J$2:$J$2437,AB$1)</f>
        <v>0</v>
      </c>
      <c r="AC35" s="76">
        <f>SUMIFS('июль 2025'!$G$2:$G$2437,'июль 2025'!$D$2:$D$2437,$B35,'июль 2025'!$J$2:$J$2437,AC$1)</f>
        <v>0</v>
      </c>
      <c r="AD35" s="76">
        <f>SUMIFS('июль 2025'!$G$2:$G$2437,'июль 2025'!$D$2:$D$2437,$B35,'июль 2025'!$J$2:$J$2437,AD$1)</f>
        <v>0</v>
      </c>
      <c r="AE35" s="76">
        <f>SUMIFS('июль 2025'!$G$2:$G$2437,'июль 2025'!$D$2:$D$2437,$B35,'июль 2025'!$J$2:$J$2437,AE$1)</f>
        <v>0</v>
      </c>
      <c r="AF35" s="76">
        <f>SUMIFS('июль 2025'!$G$2:$G$2437,'июль 2025'!$D$2:$D$2437,$B35,'июль 2025'!$J$2:$J$2437,AF$1)</f>
        <v>0</v>
      </c>
      <c r="AG35" s="76">
        <f>SUMIFS('июль 2025'!$G$2:$G$2437,'июль 2025'!$D$2:$D$2437,$B35,'июль 2025'!$J$2:$J$2437,AG$1)</f>
        <v>0</v>
      </c>
      <c r="AH35" s="76">
        <f>SUMIFS('июль 2025'!$G$2:$G$2437,'июль 2025'!$D$2:$D$2437,$B35,'июль 2025'!$J$2:$J$2437,AH$1)</f>
        <v>0</v>
      </c>
      <c r="AI35" s="20">
        <f t="shared" si="1"/>
        <v>0</v>
      </c>
    </row>
    <row r="36" spans="2:35" ht="15" customHeight="1" x14ac:dyDescent="0.25">
      <c r="B36" s="128" t="s">
        <v>384</v>
      </c>
      <c r="C36" s="126">
        <v>25</v>
      </c>
      <c r="D36" s="76">
        <f>SUMIFS('июль 2025'!$G$2:$G$2437,'июль 2025'!$D$2:$D$2437,$B36,'июль 2025'!$J$2:$J$2437,D$1)</f>
        <v>0</v>
      </c>
      <c r="E36" s="76">
        <f>SUMIFS('июль 2025'!$G$2:$G$2437,'июль 2025'!$D$2:$D$2437,$B36,'июль 2025'!$J$2:$J$2437,E$1)</f>
        <v>0</v>
      </c>
      <c r="F36" s="76">
        <f>SUMIFS('июль 2025'!$G$2:$G$2437,'июль 2025'!$D$2:$D$2437,$B36,'июль 2025'!$J$2:$J$2437,F$1)</f>
        <v>0</v>
      </c>
      <c r="G36" s="76">
        <f>SUMIFS('июль 2025'!$G$2:$G$2437,'июль 2025'!$D$2:$D$2437,$B36,'июль 2025'!$J$2:$J$2437,G$1)</f>
        <v>0</v>
      </c>
      <c r="H36" s="76">
        <f>SUMIFS('июль 2025'!$G$2:$G$2437,'июль 2025'!$D$2:$D$2437,$B36,'июль 2025'!$J$2:$J$2437,H$1)</f>
        <v>0</v>
      </c>
      <c r="I36" s="76">
        <f>SUMIFS('июль 2025'!$G$2:$G$2437,'июль 2025'!$D$2:$D$2437,$B36,'июль 2025'!$J$2:$J$2437,I$1)</f>
        <v>0</v>
      </c>
      <c r="J36" s="76">
        <f>SUMIFS('июль 2025'!$G$2:$G$2437,'июль 2025'!$D$2:$D$2437,$B36,'июль 2025'!$J$2:$J$2437,J$1)</f>
        <v>0</v>
      </c>
      <c r="K36" s="76">
        <f>SUMIFS('июль 2025'!$G$2:$G$2437,'июль 2025'!$D$2:$D$2437,$B36,'июль 2025'!$J$2:$J$2437,K$1)</f>
        <v>0</v>
      </c>
      <c r="L36" s="76">
        <f>SUMIFS('июль 2025'!$G$2:$G$2437,'июль 2025'!$D$2:$D$2437,$B36,'июль 2025'!$J$2:$J$2437,L$1)</f>
        <v>0</v>
      </c>
      <c r="M36" s="76">
        <f>SUMIFS('июль 2025'!$G$2:$G$2437,'июль 2025'!$D$2:$D$2437,$B36,'июль 2025'!$J$2:$J$2437,M$1)</f>
        <v>0</v>
      </c>
      <c r="N36" s="76">
        <f>SUMIFS('июль 2025'!$G$2:$G$2437,'июль 2025'!$D$2:$D$2437,$B36,'июль 2025'!$J$2:$J$2437,N$1)</f>
        <v>0</v>
      </c>
      <c r="O36" s="76">
        <f>SUMIFS('июль 2025'!$G$2:$G$2437,'июль 2025'!$D$2:$D$2437,$B36,'июль 2025'!$J$2:$J$2437,O$1)</f>
        <v>0</v>
      </c>
      <c r="P36" s="76">
        <f>SUMIFS('июль 2025'!$G$2:$G$2437,'июль 2025'!$D$2:$D$2437,$B36,'июль 2025'!$J$2:$J$2437,P$1)</f>
        <v>0</v>
      </c>
      <c r="Q36" s="76">
        <f>SUMIFS('июль 2025'!$G$2:$G$2437,'июль 2025'!$D$2:$D$2437,$B36,'июль 2025'!$J$2:$J$2437,Q$1)</f>
        <v>0</v>
      </c>
      <c r="R36" s="76">
        <f>SUMIFS('июль 2025'!$G$2:$G$2437,'июль 2025'!$D$2:$D$2437,$B36,'июль 2025'!$J$2:$J$2437,R$1)</f>
        <v>0</v>
      </c>
      <c r="S36" s="76">
        <f>SUMIFS('июль 2025'!$G$2:$G$2437,'июль 2025'!$D$2:$D$2437,$B36,'июль 2025'!$J$2:$J$2437,S$1)</f>
        <v>0</v>
      </c>
      <c r="T36" s="76">
        <f>SUMIFS('июль 2025'!$G$2:$G$2437,'июль 2025'!$D$2:$D$2437,$B36,'июль 2025'!$J$2:$J$2437,T$1)</f>
        <v>0</v>
      </c>
      <c r="U36" s="76">
        <f>SUMIFS('июль 2025'!$G$2:$G$2437,'июль 2025'!$D$2:$D$2437,$B36,'июль 2025'!$J$2:$J$2437,U$1)</f>
        <v>0</v>
      </c>
      <c r="V36" s="76">
        <f>SUMIFS('июль 2025'!$G$2:$G$2437,'июль 2025'!$D$2:$D$2437,$B36,'июль 2025'!$J$2:$J$2437,V$1)</f>
        <v>0</v>
      </c>
      <c r="W36" s="76">
        <f>SUMIFS('июль 2025'!$G$2:$G$2437,'июль 2025'!$D$2:$D$2437,$B36,'июль 2025'!$J$2:$J$2437,W$1)</f>
        <v>0</v>
      </c>
      <c r="X36" s="76">
        <f>SUMIFS('июль 2025'!$G$2:$G$2437,'июль 2025'!$D$2:$D$2437,$B36,'июль 2025'!$J$2:$J$2437,X$1)</f>
        <v>0</v>
      </c>
      <c r="Y36" s="76">
        <f>SUMIFS('июль 2025'!$G$2:$G$2437,'июль 2025'!$D$2:$D$2437,$B36,'июль 2025'!$J$2:$J$2437,Y$1)</f>
        <v>0</v>
      </c>
      <c r="Z36" s="76">
        <f>SUMIFS('июль 2025'!$G$2:$G$2437,'июль 2025'!$D$2:$D$2437,$B36,'июль 2025'!$J$2:$J$2437,Z$1)</f>
        <v>0</v>
      </c>
      <c r="AA36" s="76">
        <f>SUMIFS('июль 2025'!$G$2:$G$2437,'июль 2025'!$D$2:$D$2437,$B36,'июль 2025'!$J$2:$J$2437,AA$1)</f>
        <v>0</v>
      </c>
      <c r="AB36" s="76">
        <f>SUMIFS('июль 2025'!$G$2:$G$2437,'июль 2025'!$D$2:$D$2437,$B36,'июль 2025'!$J$2:$J$2437,AB$1)</f>
        <v>0</v>
      </c>
      <c r="AC36" s="76">
        <f>SUMIFS('июль 2025'!$G$2:$G$2437,'июль 2025'!$D$2:$D$2437,$B36,'июль 2025'!$J$2:$J$2437,AC$1)</f>
        <v>0</v>
      </c>
      <c r="AD36" s="76">
        <f>SUMIFS('июль 2025'!$G$2:$G$2437,'июль 2025'!$D$2:$D$2437,$B36,'июль 2025'!$J$2:$J$2437,AD$1)</f>
        <v>0</v>
      </c>
      <c r="AE36" s="76">
        <f>SUMIFS('июль 2025'!$G$2:$G$2437,'июль 2025'!$D$2:$D$2437,$B36,'июль 2025'!$J$2:$J$2437,AE$1)</f>
        <v>0</v>
      </c>
      <c r="AF36" s="76">
        <f>SUMIFS('июль 2025'!$G$2:$G$2437,'июль 2025'!$D$2:$D$2437,$B36,'июль 2025'!$J$2:$J$2437,AF$1)</f>
        <v>0</v>
      </c>
      <c r="AG36" s="76">
        <f>SUMIFS('июль 2025'!$G$2:$G$2437,'июль 2025'!$D$2:$D$2437,$B36,'июль 2025'!$J$2:$J$2437,AG$1)</f>
        <v>0</v>
      </c>
      <c r="AH36" s="76">
        <f>SUMIFS('июль 2025'!$G$2:$G$2437,'июль 2025'!$D$2:$D$2437,$B36,'июль 2025'!$J$2:$J$2437,AH$1)</f>
        <v>0</v>
      </c>
      <c r="AI36" s="20">
        <f t="shared" si="1"/>
        <v>0</v>
      </c>
    </row>
    <row r="37" spans="2:35" ht="15" customHeight="1" x14ac:dyDescent="0.25">
      <c r="B37" s="128" t="s">
        <v>217</v>
      </c>
      <c r="C37" s="126">
        <v>25</v>
      </c>
      <c r="D37" s="76">
        <f>SUMIFS('июль 2025'!$G$2:$G$2437,'июль 2025'!$D$2:$D$2437,$B37,'июль 2025'!$J$2:$J$2437,D$1)</f>
        <v>0</v>
      </c>
      <c r="E37" s="76">
        <f>SUMIFS('июль 2025'!$G$2:$G$2437,'июль 2025'!$D$2:$D$2437,$B37,'июль 2025'!$J$2:$J$2437,E$1)</f>
        <v>0</v>
      </c>
      <c r="F37" s="76">
        <f>SUMIFS('июль 2025'!$G$2:$G$2437,'июль 2025'!$D$2:$D$2437,$B37,'июль 2025'!$J$2:$J$2437,F$1)</f>
        <v>0</v>
      </c>
      <c r="G37" s="76">
        <f>SUMIFS('июль 2025'!$G$2:$G$2437,'июль 2025'!$D$2:$D$2437,$B37,'июль 2025'!$J$2:$J$2437,G$1)</f>
        <v>0</v>
      </c>
      <c r="H37" s="76">
        <f>SUMIFS('июль 2025'!$G$2:$G$2437,'июль 2025'!$D$2:$D$2437,$B37,'июль 2025'!$J$2:$J$2437,H$1)</f>
        <v>0</v>
      </c>
      <c r="I37" s="76">
        <f>SUMIFS('июль 2025'!$G$2:$G$2437,'июль 2025'!$D$2:$D$2437,$B37,'июль 2025'!$J$2:$J$2437,I$1)</f>
        <v>0</v>
      </c>
      <c r="J37" s="76">
        <f>SUMIFS('июль 2025'!$G$2:$G$2437,'июль 2025'!$D$2:$D$2437,$B37,'июль 2025'!$J$2:$J$2437,J$1)</f>
        <v>0</v>
      </c>
      <c r="K37" s="76">
        <f>SUMIFS('июль 2025'!$G$2:$G$2437,'июль 2025'!$D$2:$D$2437,$B37,'июль 2025'!$J$2:$J$2437,K$1)</f>
        <v>0</v>
      </c>
      <c r="L37" s="76">
        <f>SUMIFS('июль 2025'!$G$2:$G$2437,'июль 2025'!$D$2:$D$2437,$B37,'июль 2025'!$J$2:$J$2437,L$1)</f>
        <v>0</v>
      </c>
      <c r="M37" s="76">
        <f>SUMIFS('июль 2025'!$G$2:$G$2437,'июль 2025'!$D$2:$D$2437,$B37,'июль 2025'!$J$2:$J$2437,M$1)</f>
        <v>0</v>
      </c>
      <c r="N37" s="76">
        <f>SUMIFS('июль 2025'!$G$2:$G$2437,'июль 2025'!$D$2:$D$2437,$B37,'июль 2025'!$J$2:$J$2437,N$1)</f>
        <v>0</v>
      </c>
      <c r="O37" s="76">
        <f>SUMIFS('июль 2025'!$G$2:$G$2437,'июль 2025'!$D$2:$D$2437,$B37,'июль 2025'!$J$2:$J$2437,O$1)</f>
        <v>0</v>
      </c>
      <c r="P37" s="76">
        <f>SUMIFS('июль 2025'!$G$2:$G$2437,'июль 2025'!$D$2:$D$2437,$B37,'июль 2025'!$J$2:$J$2437,P$1)</f>
        <v>0</v>
      </c>
      <c r="Q37" s="76">
        <f>SUMIFS('июль 2025'!$G$2:$G$2437,'июль 2025'!$D$2:$D$2437,$B37,'июль 2025'!$J$2:$J$2437,Q$1)</f>
        <v>0</v>
      </c>
      <c r="R37" s="76">
        <f>SUMIFS('июль 2025'!$G$2:$G$2437,'июль 2025'!$D$2:$D$2437,$B37,'июль 2025'!$J$2:$J$2437,R$1)</f>
        <v>0</v>
      </c>
      <c r="S37" s="76">
        <f>SUMIFS('июль 2025'!$G$2:$G$2437,'июль 2025'!$D$2:$D$2437,$B37,'июль 2025'!$J$2:$J$2437,S$1)</f>
        <v>0</v>
      </c>
      <c r="T37" s="76">
        <f>SUMIFS('июль 2025'!$G$2:$G$2437,'июль 2025'!$D$2:$D$2437,$B37,'июль 2025'!$J$2:$J$2437,T$1)</f>
        <v>0</v>
      </c>
      <c r="U37" s="76">
        <f>SUMIFS('июль 2025'!$G$2:$G$2437,'июль 2025'!$D$2:$D$2437,$B37,'июль 2025'!$J$2:$J$2437,U$1)</f>
        <v>0</v>
      </c>
      <c r="V37" s="76">
        <f>SUMIFS('июль 2025'!$G$2:$G$2437,'июль 2025'!$D$2:$D$2437,$B37,'июль 2025'!$J$2:$J$2437,V$1)</f>
        <v>0</v>
      </c>
      <c r="W37" s="76">
        <f>SUMIFS('июль 2025'!$G$2:$G$2437,'июль 2025'!$D$2:$D$2437,$B37,'июль 2025'!$J$2:$J$2437,W$1)</f>
        <v>0</v>
      </c>
      <c r="X37" s="76">
        <f>SUMIFS('июль 2025'!$G$2:$G$2437,'июль 2025'!$D$2:$D$2437,$B37,'июль 2025'!$J$2:$J$2437,X$1)</f>
        <v>0</v>
      </c>
      <c r="Y37" s="76">
        <f>SUMIFS('июль 2025'!$G$2:$G$2437,'июль 2025'!$D$2:$D$2437,$B37,'июль 2025'!$J$2:$J$2437,Y$1)</f>
        <v>0</v>
      </c>
      <c r="Z37" s="76">
        <f>SUMIFS('июль 2025'!$G$2:$G$2437,'июль 2025'!$D$2:$D$2437,$B37,'июль 2025'!$J$2:$J$2437,Z$1)</f>
        <v>0</v>
      </c>
      <c r="AA37" s="76">
        <f>SUMIFS('июль 2025'!$G$2:$G$2437,'июль 2025'!$D$2:$D$2437,$B37,'июль 2025'!$J$2:$J$2437,AA$1)</f>
        <v>0</v>
      </c>
      <c r="AB37" s="76">
        <f>SUMIFS('июль 2025'!$G$2:$G$2437,'июль 2025'!$D$2:$D$2437,$B37,'июль 2025'!$J$2:$J$2437,AB$1)</f>
        <v>0</v>
      </c>
      <c r="AC37" s="76">
        <f>SUMIFS('июль 2025'!$G$2:$G$2437,'июль 2025'!$D$2:$D$2437,$B37,'июль 2025'!$J$2:$J$2437,AC$1)</f>
        <v>0</v>
      </c>
      <c r="AD37" s="76">
        <f>SUMIFS('июль 2025'!$G$2:$G$2437,'июль 2025'!$D$2:$D$2437,$B37,'июль 2025'!$J$2:$J$2437,AD$1)</f>
        <v>0</v>
      </c>
      <c r="AE37" s="76">
        <f>SUMIFS('июль 2025'!$G$2:$G$2437,'июль 2025'!$D$2:$D$2437,$B37,'июль 2025'!$J$2:$J$2437,AE$1)</f>
        <v>0</v>
      </c>
      <c r="AF37" s="76">
        <f>SUMIFS('июль 2025'!$G$2:$G$2437,'июль 2025'!$D$2:$D$2437,$B37,'июль 2025'!$J$2:$J$2437,AF$1)</f>
        <v>0</v>
      </c>
      <c r="AG37" s="76">
        <f>SUMIFS('июль 2025'!$G$2:$G$2437,'июль 2025'!$D$2:$D$2437,$B37,'июль 2025'!$J$2:$J$2437,AG$1)</f>
        <v>0</v>
      </c>
      <c r="AH37" s="76">
        <f>SUMIFS('июль 2025'!$G$2:$G$2437,'июль 2025'!$D$2:$D$2437,$B37,'июль 2025'!$J$2:$J$2437,AH$1)</f>
        <v>0</v>
      </c>
      <c r="AI37" s="20">
        <f t="shared" si="1"/>
        <v>0</v>
      </c>
    </row>
    <row r="38" spans="2:35" ht="15" customHeight="1" x14ac:dyDescent="0.25">
      <c r="B38" s="129" t="s">
        <v>219</v>
      </c>
      <c r="C38" s="130">
        <v>25</v>
      </c>
      <c r="D38" s="76">
        <f>SUMIFS('июль 2025'!$G$2:$G$2437,'июль 2025'!$D$2:$D$2437,$B38,'июль 2025'!$J$2:$J$2437,D$1)</f>
        <v>0</v>
      </c>
      <c r="E38" s="76">
        <f>SUMIFS('июль 2025'!$G$2:$G$2437,'июль 2025'!$D$2:$D$2437,$B38,'июль 2025'!$J$2:$J$2437,E$1)</f>
        <v>0</v>
      </c>
      <c r="F38" s="76">
        <f>SUMIFS('июль 2025'!$G$2:$G$2437,'июль 2025'!$D$2:$D$2437,$B38,'июль 2025'!$J$2:$J$2437,F$1)</f>
        <v>0</v>
      </c>
      <c r="G38" s="76">
        <f>SUMIFS('июль 2025'!$G$2:$G$2437,'июль 2025'!$D$2:$D$2437,$B38,'июль 2025'!$J$2:$J$2437,G$1)</f>
        <v>0</v>
      </c>
      <c r="H38" s="76">
        <f>SUMIFS('июль 2025'!$G$2:$G$2437,'июль 2025'!$D$2:$D$2437,$B38,'июль 2025'!$J$2:$J$2437,H$1)</f>
        <v>0</v>
      </c>
      <c r="I38" s="76">
        <f>SUMIFS('июль 2025'!$G$2:$G$2437,'июль 2025'!$D$2:$D$2437,$B38,'июль 2025'!$J$2:$J$2437,I$1)</f>
        <v>0</v>
      </c>
      <c r="J38" s="76">
        <f>SUMIFS('июль 2025'!$G$2:$G$2437,'июль 2025'!$D$2:$D$2437,$B38,'июль 2025'!$J$2:$J$2437,J$1)</f>
        <v>0</v>
      </c>
      <c r="K38" s="76">
        <f>SUMIFS('июль 2025'!$G$2:$G$2437,'июль 2025'!$D$2:$D$2437,$B38,'июль 2025'!$J$2:$J$2437,K$1)</f>
        <v>0</v>
      </c>
      <c r="L38" s="76">
        <f>SUMIFS('июль 2025'!$G$2:$G$2437,'июль 2025'!$D$2:$D$2437,$B38,'июль 2025'!$J$2:$J$2437,L$1)</f>
        <v>0</v>
      </c>
      <c r="M38" s="76">
        <f>SUMIFS('июль 2025'!$G$2:$G$2437,'июль 2025'!$D$2:$D$2437,$B38,'июль 2025'!$J$2:$J$2437,M$1)</f>
        <v>0</v>
      </c>
      <c r="N38" s="76">
        <f>SUMIFS('июль 2025'!$G$2:$G$2437,'июль 2025'!$D$2:$D$2437,$B38,'июль 2025'!$J$2:$J$2437,N$1)</f>
        <v>0</v>
      </c>
      <c r="O38" s="76">
        <f>SUMIFS('июль 2025'!$G$2:$G$2437,'июль 2025'!$D$2:$D$2437,$B38,'июль 2025'!$J$2:$J$2437,O$1)</f>
        <v>0</v>
      </c>
      <c r="P38" s="76">
        <f>SUMIFS('июль 2025'!$G$2:$G$2437,'июль 2025'!$D$2:$D$2437,$B38,'июль 2025'!$J$2:$J$2437,P$1)</f>
        <v>0</v>
      </c>
      <c r="Q38" s="76">
        <f>SUMIFS('июль 2025'!$G$2:$G$2437,'июль 2025'!$D$2:$D$2437,$B38,'июль 2025'!$J$2:$J$2437,Q$1)</f>
        <v>0</v>
      </c>
      <c r="R38" s="76">
        <f>SUMIFS('июль 2025'!$G$2:$G$2437,'июль 2025'!$D$2:$D$2437,$B38,'июль 2025'!$J$2:$J$2437,R$1)</f>
        <v>0</v>
      </c>
      <c r="S38" s="76">
        <f>SUMIFS('июль 2025'!$G$2:$G$2437,'июль 2025'!$D$2:$D$2437,$B38,'июль 2025'!$J$2:$J$2437,S$1)</f>
        <v>0</v>
      </c>
      <c r="T38" s="76">
        <f>SUMIFS('июль 2025'!$G$2:$G$2437,'июль 2025'!$D$2:$D$2437,$B38,'июль 2025'!$J$2:$J$2437,T$1)</f>
        <v>0</v>
      </c>
      <c r="U38" s="76">
        <f>SUMIFS('июль 2025'!$G$2:$G$2437,'июль 2025'!$D$2:$D$2437,$B38,'июль 2025'!$J$2:$J$2437,U$1)</f>
        <v>0</v>
      </c>
      <c r="V38" s="76">
        <f>SUMIFS('июль 2025'!$G$2:$G$2437,'июль 2025'!$D$2:$D$2437,$B38,'июль 2025'!$J$2:$J$2437,V$1)</f>
        <v>0</v>
      </c>
      <c r="W38" s="76">
        <f>SUMIFS('июль 2025'!$G$2:$G$2437,'июль 2025'!$D$2:$D$2437,$B38,'июль 2025'!$J$2:$J$2437,W$1)</f>
        <v>0</v>
      </c>
      <c r="X38" s="76">
        <f>SUMIFS('июль 2025'!$G$2:$G$2437,'июль 2025'!$D$2:$D$2437,$B38,'июль 2025'!$J$2:$J$2437,X$1)</f>
        <v>0</v>
      </c>
      <c r="Y38" s="76">
        <f>SUMIFS('июль 2025'!$G$2:$G$2437,'июль 2025'!$D$2:$D$2437,$B38,'июль 2025'!$J$2:$J$2437,Y$1)</f>
        <v>0</v>
      </c>
      <c r="Z38" s="76">
        <f>SUMIFS('июль 2025'!$G$2:$G$2437,'июль 2025'!$D$2:$D$2437,$B38,'июль 2025'!$J$2:$J$2437,Z$1)</f>
        <v>0</v>
      </c>
      <c r="AA38" s="76">
        <f>SUMIFS('июль 2025'!$G$2:$G$2437,'июль 2025'!$D$2:$D$2437,$B38,'июль 2025'!$J$2:$J$2437,AA$1)</f>
        <v>0</v>
      </c>
      <c r="AB38" s="76">
        <f>SUMIFS('июль 2025'!$G$2:$G$2437,'июль 2025'!$D$2:$D$2437,$B38,'июль 2025'!$J$2:$J$2437,AB$1)</f>
        <v>0</v>
      </c>
      <c r="AC38" s="76">
        <f>SUMIFS('июль 2025'!$G$2:$G$2437,'июль 2025'!$D$2:$D$2437,$B38,'июль 2025'!$J$2:$J$2437,AC$1)</f>
        <v>0</v>
      </c>
      <c r="AD38" s="76">
        <f>SUMIFS('июль 2025'!$G$2:$G$2437,'июль 2025'!$D$2:$D$2437,$B38,'июль 2025'!$J$2:$J$2437,AD$1)</f>
        <v>0</v>
      </c>
      <c r="AE38" s="76">
        <f>SUMIFS('июль 2025'!$G$2:$G$2437,'июль 2025'!$D$2:$D$2437,$B38,'июль 2025'!$J$2:$J$2437,AE$1)</f>
        <v>0</v>
      </c>
      <c r="AF38" s="76">
        <f>SUMIFS('июль 2025'!$G$2:$G$2437,'июль 2025'!$D$2:$D$2437,$B38,'июль 2025'!$J$2:$J$2437,AF$1)</f>
        <v>0</v>
      </c>
      <c r="AG38" s="76">
        <f>SUMIFS('июль 2025'!$G$2:$G$2437,'июль 2025'!$D$2:$D$2437,$B38,'июль 2025'!$J$2:$J$2437,AG$1)</f>
        <v>0</v>
      </c>
      <c r="AH38" s="76">
        <f>SUMIFS('июль 2025'!$G$2:$G$2437,'июль 2025'!$D$2:$D$2437,$B38,'июль 2025'!$J$2:$J$2437,AH$1)</f>
        <v>0</v>
      </c>
      <c r="AI38" s="20">
        <f t="shared" si="1"/>
        <v>0</v>
      </c>
    </row>
    <row r="39" spans="2:35" ht="15" customHeight="1" x14ac:dyDescent="0.25">
      <c r="B39" s="131" t="s">
        <v>221</v>
      </c>
      <c r="C39" s="132">
        <v>22.68</v>
      </c>
      <c r="D39" s="76">
        <f>SUMIFS('июль 2025'!$G$2:$G$2437,'июль 2025'!$D$2:$D$2437,$B39,'июль 2025'!$J$2:$J$2437,D$1)</f>
        <v>0</v>
      </c>
      <c r="E39" s="76">
        <f>SUMIFS('июль 2025'!$G$2:$G$2437,'июль 2025'!$D$2:$D$2437,$B39,'июль 2025'!$J$2:$J$2437,E$1)</f>
        <v>0</v>
      </c>
      <c r="F39" s="76">
        <f>SUMIFS('июль 2025'!$G$2:$G$2437,'июль 2025'!$D$2:$D$2437,$B39,'июль 2025'!$J$2:$J$2437,F$1)</f>
        <v>0</v>
      </c>
      <c r="G39" s="76">
        <f>SUMIFS('июль 2025'!$G$2:$G$2437,'июль 2025'!$D$2:$D$2437,$B39,'июль 2025'!$J$2:$J$2437,G$1)</f>
        <v>0</v>
      </c>
      <c r="H39" s="76">
        <f>SUMIFS('июль 2025'!$G$2:$G$2437,'июль 2025'!$D$2:$D$2437,$B39,'июль 2025'!$J$2:$J$2437,H$1)</f>
        <v>0</v>
      </c>
      <c r="I39" s="76">
        <f>SUMIFS('июль 2025'!$G$2:$G$2437,'июль 2025'!$D$2:$D$2437,$B39,'июль 2025'!$J$2:$J$2437,I$1)</f>
        <v>0</v>
      </c>
      <c r="J39" s="76">
        <f>SUMIFS('июль 2025'!$G$2:$G$2437,'июль 2025'!$D$2:$D$2437,$B39,'июль 2025'!$J$2:$J$2437,J$1)</f>
        <v>0</v>
      </c>
      <c r="K39" s="76">
        <f>SUMIFS('июль 2025'!$G$2:$G$2437,'июль 2025'!$D$2:$D$2437,$B39,'июль 2025'!$J$2:$J$2437,K$1)</f>
        <v>0</v>
      </c>
      <c r="L39" s="76">
        <f>SUMIFS('июль 2025'!$G$2:$G$2437,'июль 2025'!$D$2:$D$2437,$B39,'июль 2025'!$J$2:$J$2437,L$1)</f>
        <v>0</v>
      </c>
      <c r="M39" s="76">
        <f>SUMIFS('июль 2025'!$G$2:$G$2437,'июль 2025'!$D$2:$D$2437,$B39,'июль 2025'!$J$2:$J$2437,M$1)</f>
        <v>0</v>
      </c>
      <c r="N39" s="76">
        <f>SUMIFS('июль 2025'!$G$2:$G$2437,'июль 2025'!$D$2:$D$2437,$B39,'июль 2025'!$J$2:$J$2437,N$1)</f>
        <v>0</v>
      </c>
      <c r="O39" s="76">
        <f>SUMIFS('июль 2025'!$G$2:$G$2437,'июль 2025'!$D$2:$D$2437,$B39,'июль 2025'!$J$2:$J$2437,O$1)</f>
        <v>0</v>
      </c>
      <c r="P39" s="76">
        <f>SUMIFS('июль 2025'!$G$2:$G$2437,'июль 2025'!$D$2:$D$2437,$B39,'июль 2025'!$J$2:$J$2437,P$1)</f>
        <v>0</v>
      </c>
      <c r="Q39" s="76">
        <f>SUMIFS('июль 2025'!$G$2:$G$2437,'июль 2025'!$D$2:$D$2437,$B39,'июль 2025'!$J$2:$J$2437,Q$1)</f>
        <v>0</v>
      </c>
      <c r="R39" s="76">
        <f>SUMIFS('июль 2025'!$G$2:$G$2437,'июль 2025'!$D$2:$D$2437,$B39,'июль 2025'!$J$2:$J$2437,R$1)</f>
        <v>0</v>
      </c>
      <c r="S39" s="76">
        <f>SUMIFS('июль 2025'!$G$2:$G$2437,'июль 2025'!$D$2:$D$2437,$B39,'июль 2025'!$J$2:$J$2437,S$1)</f>
        <v>0</v>
      </c>
      <c r="T39" s="76">
        <f>SUMIFS('июль 2025'!$G$2:$G$2437,'июль 2025'!$D$2:$D$2437,$B39,'июль 2025'!$J$2:$J$2437,T$1)</f>
        <v>0</v>
      </c>
      <c r="U39" s="76">
        <f>SUMIFS('июль 2025'!$G$2:$G$2437,'июль 2025'!$D$2:$D$2437,$B39,'июль 2025'!$J$2:$J$2437,U$1)</f>
        <v>0</v>
      </c>
      <c r="V39" s="76">
        <f>SUMIFS('июль 2025'!$G$2:$G$2437,'июль 2025'!$D$2:$D$2437,$B39,'июль 2025'!$J$2:$J$2437,V$1)</f>
        <v>0</v>
      </c>
      <c r="W39" s="76">
        <f>SUMIFS('июль 2025'!$G$2:$G$2437,'июль 2025'!$D$2:$D$2437,$B39,'июль 2025'!$J$2:$J$2437,W$1)</f>
        <v>0</v>
      </c>
      <c r="X39" s="76">
        <f>SUMIFS('июль 2025'!$G$2:$G$2437,'июль 2025'!$D$2:$D$2437,$B39,'июль 2025'!$J$2:$J$2437,X$1)</f>
        <v>0</v>
      </c>
      <c r="Y39" s="76">
        <f>SUMIFS('июль 2025'!$G$2:$G$2437,'июль 2025'!$D$2:$D$2437,$B39,'июль 2025'!$J$2:$J$2437,Y$1)</f>
        <v>0</v>
      </c>
      <c r="Z39" s="76">
        <f>SUMIFS('июль 2025'!$G$2:$G$2437,'июль 2025'!$D$2:$D$2437,$B39,'июль 2025'!$J$2:$J$2437,Z$1)</f>
        <v>0</v>
      </c>
      <c r="AA39" s="76">
        <f>SUMIFS('июль 2025'!$G$2:$G$2437,'июль 2025'!$D$2:$D$2437,$B39,'июль 2025'!$J$2:$J$2437,AA$1)</f>
        <v>0</v>
      </c>
      <c r="AB39" s="76">
        <f>SUMIFS('июль 2025'!$G$2:$G$2437,'июль 2025'!$D$2:$D$2437,$B39,'июль 2025'!$J$2:$J$2437,AB$1)</f>
        <v>0</v>
      </c>
      <c r="AC39" s="76">
        <f>SUMIFS('июль 2025'!$G$2:$G$2437,'июль 2025'!$D$2:$D$2437,$B39,'июль 2025'!$J$2:$J$2437,AC$1)</f>
        <v>0</v>
      </c>
      <c r="AD39" s="76">
        <f>SUMIFS('июль 2025'!$G$2:$G$2437,'июль 2025'!$D$2:$D$2437,$B39,'июль 2025'!$J$2:$J$2437,AD$1)</f>
        <v>0</v>
      </c>
      <c r="AE39" s="76">
        <f>SUMIFS('июль 2025'!$G$2:$G$2437,'июль 2025'!$D$2:$D$2437,$B39,'июль 2025'!$J$2:$J$2437,AE$1)</f>
        <v>0</v>
      </c>
      <c r="AF39" s="76">
        <f>SUMIFS('июль 2025'!$G$2:$G$2437,'июль 2025'!$D$2:$D$2437,$B39,'июль 2025'!$J$2:$J$2437,AF$1)</f>
        <v>0</v>
      </c>
      <c r="AG39" s="76">
        <f>SUMIFS('июль 2025'!$G$2:$G$2437,'июль 2025'!$D$2:$D$2437,$B39,'июль 2025'!$J$2:$J$2437,AG$1)</f>
        <v>0</v>
      </c>
      <c r="AH39" s="76">
        <f>SUMIFS('июль 2025'!$G$2:$G$2437,'июль 2025'!$D$2:$D$2437,$B39,'июль 2025'!$J$2:$J$2437,AH$1)</f>
        <v>0</v>
      </c>
      <c r="AI39" s="20">
        <f t="shared" si="1"/>
        <v>0</v>
      </c>
    </row>
    <row r="40" spans="2:35" ht="15" customHeight="1" x14ac:dyDescent="0.25">
      <c r="B40" s="131" t="s">
        <v>1016</v>
      </c>
      <c r="C40" s="133">
        <v>20</v>
      </c>
      <c r="D40" s="76">
        <f>SUMIFS('июль 2025'!$G$2:$G$2437,'июль 2025'!$D$2:$D$2437,$B40,'июль 2025'!$J$2:$J$2437,D$1)</f>
        <v>0</v>
      </c>
      <c r="E40" s="76">
        <f>SUMIFS('июль 2025'!$G$2:$G$2437,'июль 2025'!$D$2:$D$2437,$B40,'июль 2025'!$J$2:$J$2437,E$1)</f>
        <v>0</v>
      </c>
      <c r="F40" s="76">
        <f>SUMIFS('июль 2025'!$G$2:$G$2437,'июль 2025'!$D$2:$D$2437,$B40,'июль 2025'!$J$2:$J$2437,F$1)</f>
        <v>0</v>
      </c>
      <c r="G40" s="76">
        <f>SUMIFS('июль 2025'!$G$2:$G$2437,'июль 2025'!$D$2:$D$2437,$B40,'июль 2025'!$J$2:$J$2437,G$1)</f>
        <v>0</v>
      </c>
      <c r="H40" s="76">
        <f>SUMIFS('июль 2025'!$G$2:$G$2437,'июль 2025'!$D$2:$D$2437,$B40,'июль 2025'!$J$2:$J$2437,H$1)</f>
        <v>0</v>
      </c>
      <c r="I40" s="76">
        <f>SUMIFS('июль 2025'!$G$2:$G$2437,'июль 2025'!$D$2:$D$2437,$B40,'июль 2025'!$J$2:$J$2437,I$1)</f>
        <v>0</v>
      </c>
      <c r="J40" s="76">
        <f>SUMIFS('июль 2025'!$G$2:$G$2437,'июль 2025'!$D$2:$D$2437,$B40,'июль 2025'!$J$2:$J$2437,J$1)</f>
        <v>0</v>
      </c>
      <c r="K40" s="76">
        <f>SUMIFS('июль 2025'!$G$2:$G$2437,'июль 2025'!$D$2:$D$2437,$B40,'июль 2025'!$J$2:$J$2437,K$1)</f>
        <v>0</v>
      </c>
      <c r="L40" s="76">
        <f>SUMIFS('июль 2025'!$G$2:$G$2437,'июль 2025'!$D$2:$D$2437,$B40,'июль 2025'!$J$2:$J$2437,L$1)</f>
        <v>0</v>
      </c>
      <c r="M40" s="76">
        <f>SUMIFS('июль 2025'!$G$2:$G$2437,'июль 2025'!$D$2:$D$2437,$B40,'июль 2025'!$J$2:$J$2437,M$1)</f>
        <v>0</v>
      </c>
      <c r="N40" s="76">
        <f>SUMIFS('июль 2025'!$G$2:$G$2437,'июль 2025'!$D$2:$D$2437,$B40,'июль 2025'!$J$2:$J$2437,N$1)</f>
        <v>0</v>
      </c>
      <c r="O40" s="76">
        <f>SUMIFS('июль 2025'!$G$2:$G$2437,'июль 2025'!$D$2:$D$2437,$B40,'июль 2025'!$J$2:$J$2437,O$1)</f>
        <v>0</v>
      </c>
      <c r="P40" s="76">
        <f>SUMIFS('июль 2025'!$G$2:$G$2437,'июль 2025'!$D$2:$D$2437,$B40,'июль 2025'!$J$2:$J$2437,P$1)</f>
        <v>0</v>
      </c>
      <c r="Q40" s="76">
        <f>SUMIFS('июль 2025'!$G$2:$G$2437,'июль 2025'!$D$2:$D$2437,$B40,'июль 2025'!$J$2:$J$2437,Q$1)</f>
        <v>0</v>
      </c>
      <c r="R40" s="76">
        <f>SUMIFS('июль 2025'!$G$2:$G$2437,'июль 2025'!$D$2:$D$2437,$B40,'июль 2025'!$J$2:$J$2437,R$1)</f>
        <v>0</v>
      </c>
      <c r="S40" s="76">
        <f>SUMIFS('июль 2025'!$G$2:$G$2437,'июль 2025'!$D$2:$D$2437,$B40,'июль 2025'!$J$2:$J$2437,S$1)</f>
        <v>0</v>
      </c>
      <c r="T40" s="76">
        <f>SUMIFS('июль 2025'!$G$2:$G$2437,'июль 2025'!$D$2:$D$2437,$B40,'июль 2025'!$J$2:$J$2437,T$1)</f>
        <v>0</v>
      </c>
      <c r="U40" s="76">
        <f>SUMIFS('июль 2025'!$G$2:$G$2437,'июль 2025'!$D$2:$D$2437,$B40,'июль 2025'!$J$2:$J$2437,U$1)</f>
        <v>0</v>
      </c>
      <c r="V40" s="76">
        <f>SUMIFS('июль 2025'!$G$2:$G$2437,'июль 2025'!$D$2:$D$2437,$B40,'июль 2025'!$J$2:$J$2437,V$1)</f>
        <v>0</v>
      </c>
      <c r="W40" s="76">
        <f>SUMIFS('июль 2025'!$G$2:$G$2437,'июль 2025'!$D$2:$D$2437,$B40,'июль 2025'!$J$2:$J$2437,W$1)</f>
        <v>0</v>
      </c>
      <c r="X40" s="76">
        <f>SUMIFS('июль 2025'!$G$2:$G$2437,'июль 2025'!$D$2:$D$2437,$B40,'июль 2025'!$J$2:$J$2437,X$1)</f>
        <v>0</v>
      </c>
      <c r="Y40" s="76">
        <f>SUMIFS('июль 2025'!$G$2:$G$2437,'июль 2025'!$D$2:$D$2437,$B40,'июль 2025'!$J$2:$J$2437,Y$1)</f>
        <v>0</v>
      </c>
      <c r="Z40" s="76">
        <f>SUMIFS('июль 2025'!$G$2:$G$2437,'июль 2025'!$D$2:$D$2437,$B40,'июль 2025'!$J$2:$J$2437,Z$1)</f>
        <v>0</v>
      </c>
      <c r="AA40" s="76">
        <f>SUMIFS('июль 2025'!$G$2:$G$2437,'июль 2025'!$D$2:$D$2437,$B40,'июль 2025'!$J$2:$J$2437,AA$1)</f>
        <v>0</v>
      </c>
      <c r="AB40" s="76">
        <f>SUMIFS('июль 2025'!$G$2:$G$2437,'июль 2025'!$D$2:$D$2437,$B40,'июль 2025'!$J$2:$J$2437,AB$1)</f>
        <v>0</v>
      </c>
      <c r="AC40" s="76">
        <f>SUMIFS('июль 2025'!$G$2:$G$2437,'июль 2025'!$D$2:$D$2437,$B40,'июль 2025'!$J$2:$J$2437,AC$1)</f>
        <v>0</v>
      </c>
      <c r="AD40" s="76">
        <f>SUMIFS('июль 2025'!$G$2:$G$2437,'июль 2025'!$D$2:$D$2437,$B40,'июль 2025'!$J$2:$J$2437,AD$1)</f>
        <v>0</v>
      </c>
      <c r="AE40" s="76">
        <f>SUMIFS('июль 2025'!$G$2:$G$2437,'июль 2025'!$D$2:$D$2437,$B40,'июль 2025'!$J$2:$J$2437,AE$1)</f>
        <v>0</v>
      </c>
      <c r="AF40" s="76">
        <f>SUMIFS('июль 2025'!$G$2:$G$2437,'июль 2025'!$D$2:$D$2437,$B40,'июль 2025'!$J$2:$J$2437,AF$1)</f>
        <v>0</v>
      </c>
      <c r="AG40" s="76">
        <f>SUMIFS('июль 2025'!$G$2:$G$2437,'июль 2025'!$D$2:$D$2437,$B40,'июль 2025'!$J$2:$J$2437,AG$1)</f>
        <v>0</v>
      </c>
      <c r="AH40" s="76">
        <f>SUMIFS('июль 2025'!$G$2:$G$2437,'июль 2025'!$D$2:$D$2437,$B40,'июль 2025'!$J$2:$J$2437,AH$1)</f>
        <v>0</v>
      </c>
      <c r="AI40" s="20">
        <f t="shared" si="1"/>
        <v>0</v>
      </c>
    </row>
    <row r="41" spans="2:35" ht="15" customHeight="1" x14ac:dyDescent="0.25">
      <c r="B41" s="131" t="s">
        <v>223</v>
      </c>
      <c r="C41" s="133">
        <v>25</v>
      </c>
      <c r="D41" s="76">
        <f>SUMIFS('июль 2025'!$G$2:$G$2437,'июль 2025'!$D$2:$D$2437,$B41,'июль 2025'!$J$2:$J$2437,D$1)</f>
        <v>0</v>
      </c>
      <c r="E41" s="76">
        <f>SUMIFS('июль 2025'!$G$2:$G$2437,'июль 2025'!$D$2:$D$2437,$B41,'июль 2025'!$J$2:$J$2437,E$1)</f>
        <v>0</v>
      </c>
      <c r="F41" s="76">
        <f>SUMIFS('июль 2025'!$G$2:$G$2437,'июль 2025'!$D$2:$D$2437,$B41,'июль 2025'!$J$2:$J$2437,F$1)</f>
        <v>0</v>
      </c>
      <c r="G41" s="76">
        <f>SUMIFS('июль 2025'!$G$2:$G$2437,'июль 2025'!$D$2:$D$2437,$B41,'июль 2025'!$J$2:$J$2437,G$1)</f>
        <v>0</v>
      </c>
      <c r="H41" s="76">
        <f>SUMIFS('июль 2025'!$G$2:$G$2437,'июль 2025'!$D$2:$D$2437,$B41,'июль 2025'!$J$2:$J$2437,H$1)</f>
        <v>0</v>
      </c>
      <c r="I41" s="76">
        <f>SUMIFS('июль 2025'!$G$2:$G$2437,'июль 2025'!$D$2:$D$2437,$B41,'июль 2025'!$J$2:$J$2437,I$1)</f>
        <v>0</v>
      </c>
      <c r="J41" s="76">
        <f>SUMIFS('июль 2025'!$G$2:$G$2437,'июль 2025'!$D$2:$D$2437,$B41,'июль 2025'!$J$2:$J$2437,J$1)</f>
        <v>0</v>
      </c>
      <c r="K41" s="76">
        <f>SUMIFS('июль 2025'!$G$2:$G$2437,'июль 2025'!$D$2:$D$2437,$B41,'июль 2025'!$J$2:$J$2437,K$1)</f>
        <v>0</v>
      </c>
      <c r="L41" s="76">
        <f>SUMIFS('июль 2025'!$G$2:$G$2437,'июль 2025'!$D$2:$D$2437,$B41,'июль 2025'!$J$2:$J$2437,L$1)</f>
        <v>0</v>
      </c>
      <c r="M41" s="76">
        <f>SUMIFS('июль 2025'!$G$2:$G$2437,'июль 2025'!$D$2:$D$2437,$B41,'июль 2025'!$J$2:$J$2437,M$1)</f>
        <v>0</v>
      </c>
      <c r="N41" s="76">
        <f>SUMIFS('июль 2025'!$G$2:$G$2437,'июль 2025'!$D$2:$D$2437,$B41,'июль 2025'!$J$2:$J$2437,N$1)</f>
        <v>400</v>
      </c>
      <c r="O41" s="76">
        <f>SUMIFS('июль 2025'!$G$2:$G$2437,'июль 2025'!$D$2:$D$2437,$B41,'июль 2025'!$J$2:$J$2437,O$1)</f>
        <v>0</v>
      </c>
      <c r="P41" s="76">
        <f>SUMIFS('июль 2025'!$G$2:$G$2437,'июль 2025'!$D$2:$D$2437,$B41,'июль 2025'!$J$2:$J$2437,P$1)</f>
        <v>0</v>
      </c>
      <c r="Q41" s="76">
        <f>SUMIFS('июль 2025'!$G$2:$G$2437,'июль 2025'!$D$2:$D$2437,$B41,'июль 2025'!$J$2:$J$2437,Q$1)</f>
        <v>0</v>
      </c>
      <c r="R41" s="76">
        <f>SUMIFS('июль 2025'!$G$2:$G$2437,'июль 2025'!$D$2:$D$2437,$B41,'июль 2025'!$J$2:$J$2437,R$1)</f>
        <v>0</v>
      </c>
      <c r="S41" s="76">
        <f>SUMIFS('июль 2025'!$G$2:$G$2437,'июль 2025'!$D$2:$D$2437,$B41,'июль 2025'!$J$2:$J$2437,S$1)</f>
        <v>0</v>
      </c>
      <c r="T41" s="76">
        <f>SUMIFS('июль 2025'!$G$2:$G$2437,'июль 2025'!$D$2:$D$2437,$B41,'июль 2025'!$J$2:$J$2437,T$1)</f>
        <v>0</v>
      </c>
      <c r="U41" s="76">
        <f>SUMIFS('июль 2025'!$G$2:$G$2437,'июль 2025'!$D$2:$D$2437,$B41,'июль 2025'!$J$2:$J$2437,U$1)</f>
        <v>0</v>
      </c>
      <c r="V41" s="76">
        <f>SUMIFS('июль 2025'!$G$2:$G$2437,'июль 2025'!$D$2:$D$2437,$B41,'июль 2025'!$J$2:$J$2437,V$1)</f>
        <v>0</v>
      </c>
      <c r="W41" s="76">
        <f>SUMIFS('июль 2025'!$G$2:$G$2437,'июль 2025'!$D$2:$D$2437,$B41,'июль 2025'!$J$2:$J$2437,W$1)</f>
        <v>0</v>
      </c>
      <c r="X41" s="76">
        <f>SUMIFS('июль 2025'!$G$2:$G$2437,'июль 2025'!$D$2:$D$2437,$B41,'июль 2025'!$J$2:$J$2437,X$1)</f>
        <v>0</v>
      </c>
      <c r="Y41" s="76">
        <f>SUMIFS('июль 2025'!$G$2:$G$2437,'июль 2025'!$D$2:$D$2437,$B41,'июль 2025'!$J$2:$J$2437,Y$1)</f>
        <v>0</v>
      </c>
      <c r="Z41" s="76">
        <f>SUMIFS('июль 2025'!$G$2:$G$2437,'июль 2025'!$D$2:$D$2437,$B41,'июль 2025'!$J$2:$J$2437,Z$1)</f>
        <v>0</v>
      </c>
      <c r="AA41" s="76">
        <f>SUMIFS('июль 2025'!$G$2:$G$2437,'июль 2025'!$D$2:$D$2437,$B41,'июль 2025'!$J$2:$J$2437,AA$1)</f>
        <v>0</v>
      </c>
      <c r="AB41" s="76">
        <f>SUMIFS('июль 2025'!$G$2:$G$2437,'июль 2025'!$D$2:$D$2437,$B41,'июль 2025'!$J$2:$J$2437,AB$1)</f>
        <v>560</v>
      </c>
      <c r="AC41" s="76">
        <f>SUMIFS('июль 2025'!$G$2:$G$2437,'июль 2025'!$D$2:$D$2437,$B41,'июль 2025'!$J$2:$J$2437,AC$1)</f>
        <v>0</v>
      </c>
      <c r="AD41" s="76">
        <f>SUMIFS('июль 2025'!$G$2:$G$2437,'июль 2025'!$D$2:$D$2437,$B41,'июль 2025'!$J$2:$J$2437,AD$1)</f>
        <v>0</v>
      </c>
      <c r="AE41" s="76">
        <f>SUMIFS('июль 2025'!$G$2:$G$2437,'июль 2025'!$D$2:$D$2437,$B41,'июль 2025'!$J$2:$J$2437,AE$1)</f>
        <v>0</v>
      </c>
      <c r="AF41" s="76">
        <f>SUMIFS('июль 2025'!$G$2:$G$2437,'июль 2025'!$D$2:$D$2437,$B41,'июль 2025'!$J$2:$J$2437,AF$1)</f>
        <v>0</v>
      </c>
      <c r="AG41" s="76">
        <f>SUMIFS('июль 2025'!$G$2:$G$2437,'июль 2025'!$D$2:$D$2437,$B41,'июль 2025'!$J$2:$J$2437,AG$1)</f>
        <v>0</v>
      </c>
      <c r="AH41" s="76">
        <f>SUMIFS('июль 2025'!$G$2:$G$2437,'июль 2025'!$D$2:$D$2437,$B41,'июль 2025'!$J$2:$J$2437,AH$1)</f>
        <v>0</v>
      </c>
      <c r="AI41" s="20">
        <f t="shared" si="1"/>
        <v>960</v>
      </c>
    </row>
    <row r="42" spans="2:35" ht="15" customHeight="1" x14ac:dyDescent="0.25">
      <c r="B42" s="131" t="s">
        <v>225</v>
      </c>
      <c r="C42" s="134">
        <v>25</v>
      </c>
      <c r="D42" s="76">
        <f>SUMIFS('июль 2025'!$G$2:$G$2437,'июль 2025'!$D$2:$D$2437,$B42,'июль 2025'!$J$2:$J$2437,D$1)</f>
        <v>0</v>
      </c>
      <c r="E42" s="76">
        <f>SUMIFS('июль 2025'!$G$2:$G$2437,'июль 2025'!$D$2:$D$2437,$B42,'июль 2025'!$J$2:$J$2437,E$1)</f>
        <v>0</v>
      </c>
      <c r="F42" s="76">
        <f>SUMIFS('июль 2025'!$G$2:$G$2437,'июль 2025'!$D$2:$D$2437,$B42,'июль 2025'!$J$2:$J$2437,F$1)</f>
        <v>0</v>
      </c>
      <c r="G42" s="76">
        <f>SUMIFS('июль 2025'!$G$2:$G$2437,'июль 2025'!$D$2:$D$2437,$B42,'июль 2025'!$J$2:$J$2437,G$1)</f>
        <v>0</v>
      </c>
      <c r="H42" s="76">
        <f>SUMIFS('июль 2025'!$G$2:$G$2437,'июль 2025'!$D$2:$D$2437,$B42,'июль 2025'!$J$2:$J$2437,H$1)</f>
        <v>0</v>
      </c>
      <c r="I42" s="76">
        <f>SUMIFS('июль 2025'!$G$2:$G$2437,'июль 2025'!$D$2:$D$2437,$B42,'июль 2025'!$J$2:$J$2437,I$1)</f>
        <v>0</v>
      </c>
      <c r="J42" s="76">
        <f>SUMIFS('июль 2025'!$G$2:$G$2437,'июль 2025'!$D$2:$D$2437,$B42,'июль 2025'!$J$2:$J$2437,J$1)</f>
        <v>0</v>
      </c>
      <c r="K42" s="76">
        <f>SUMIFS('июль 2025'!$G$2:$G$2437,'июль 2025'!$D$2:$D$2437,$B42,'июль 2025'!$J$2:$J$2437,K$1)</f>
        <v>0</v>
      </c>
      <c r="L42" s="76">
        <f>SUMIFS('июль 2025'!$G$2:$G$2437,'июль 2025'!$D$2:$D$2437,$B42,'июль 2025'!$J$2:$J$2437,L$1)</f>
        <v>0</v>
      </c>
      <c r="M42" s="76">
        <f>SUMIFS('июль 2025'!$G$2:$G$2437,'июль 2025'!$D$2:$D$2437,$B42,'июль 2025'!$J$2:$J$2437,M$1)</f>
        <v>0</v>
      </c>
      <c r="N42" s="76">
        <f>SUMIFS('июль 2025'!$G$2:$G$2437,'июль 2025'!$D$2:$D$2437,$B42,'июль 2025'!$J$2:$J$2437,N$1)</f>
        <v>0</v>
      </c>
      <c r="O42" s="76">
        <f>SUMIFS('июль 2025'!$G$2:$G$2437,'июль 2025'!$D$2:$D$2437,$B42,'июль 2025'!$J$2:$J$2437,O$1)</f>
        <v>0</v>
      </c>
      <c r="P42" s="76">
        <f>SUMIFS('июль 2025'!$G$2:$G$2437,'июль 2025'!$D$2:$D$2437,$B42,'июль 2025'!$J$2:$J$2437,P$1)</f>
        <v>0</v>
      </c>
      <c r="Q42" s="76">
        <f>SUMIFS('июль 2025'!$G$2:$G$2437,'июль 2025'!$D$2:$D$2437,$B42,'июль 2025'!$J$2:$J$2437,Q$1)</f>
        <v>0</v>
      </c>
      <c r="R42" s="76">
        <f>SUMIFS('июль 2025'!$G$2:$G$2437,'июль 2025'!$D$2:$D$2437,$B42,'июль 2025'!$J$2:$J$2437,R$1)</f>
        <v>0</v>
      </c>
      <c r="S42" s="76">
        <f>SUMIFS('июль 2025'!$G$2:$G$2437,'июль 2025'!$D$2:$D$2437,$B42,'июль 2025'!$J$2:$J$2437,S$1)</f>
        <v>0</v>
      </c>
      <c r="T42" s="76">
        <f>SUMIFS('июль 2025'!$G$2:$G$2437,'июль 2025'!$D$2:$D$2437,$B42,'июль 2025'!$J$2:$J$2437,T$1)</f>
        <v>0</v>
      </c>
      <c r="U42" s="76">
        <f>SUMIFS('июль 2025'!$G$2:$G$2437,'июль 2025'!$D$2:$D$2437,$B42,'июль 2025'!$J$2:$J$2437,U$1)</f>
        <v>0</v>
      </c>
      <c r="V42" s="76">
        <f>SUMIFS('июль 2025'!$G$2:$G$2437,'июль 2025'!$D$2:$D$2437,$B42,'июль 2025'!$J$2:$J$2437,V$1)</f>
        <v>0</v>
      </c>
      <c r="W42" s="76">
        <f>SUMIFS('июль 2025'!$G$2:$G$2437,'июль 2025'!$D$2:$D$2437,$B42,'июль 2025'!$J$2:$J$2437,W$1)</f>
        <v>0</v>
      </c>
      <c r="X42" s="76">
        <f>SUMIFS('июль 2025'!$G$2:$G$2437,'июль 2025'!$D$2:$D$2437,$B42,'июль 2025'!$J$2:$J$2437,X$1)</f>
        <v>0</v>
      </c>
      <c r="Y42" s="76">
        <f>SUMIFS('июль 2025'!$G$2:$G$2437,'июль 2025'!$D$2:$D$2437,$B42,'июль 2025'!$J$2:$J$2437,Y$1)</f>
        <v>0</v>
      </c>
      <c r="Z42" s="76">
        <f>SUMIFS('июль 2025'!$G$2:$G$2437,'июль 2025'!$D$2:$D$2437,$B42,'июль 2025'!$J$2:$J$2437,Z$1)</f>
        <v>0</v>
      </c>
      <c r="AA42" s="76">
        <f>SUMIFS('июль 2025'!$G$2:$G$2437,'июль 2025'!$D$2:$D$2437,$B42,'июль 2025'!$J$2:$J$2437,AA$1)</f>
        <v>0</v>
      </c>
      <c r="AB42" s="76">
        <f>SUMIFS('июль 2025'!$G$2:$G$2437,'июль 2025'!$D$2:$D$2437,$B42,'июль 2025'!$J$2:$J$2437,AB$1)</f>
        <v>0</v>
      </c>
      <c r="AC42" s="76">
        <f>SUMIFS('июль 2025'!$G$2:$G$2437,'июль 2025'!$D$2:$D$2437,$B42,'июль 2025'!$J$2:$J$2437,AC$1)</f>
        <v>0</v>
      </c>
      <c r="AD42" s="76">
        <f>SUMIFS('июль 2025'!$G$2:$G$2437,'июль 2025'!$D$2:$D$2437,$B42,'июль 2025'!$J$2:$J$2437,AD$1)</f>
        <v>0</v>
      </c>
      <c r="AE42" s="76">
        <f>SUMIFS('июль 2025'!$G$2:$G$2437,'июль 2025'!$D$2:$D$2437,$B42,'июль 2025'!$J$2:$J$2437,AE$1)</f>
        <v>0</v>
      </c>
      <c r="AF42" s="76">
        <f>SUMIFS('июль 2025'!$G$2:$G$2437,'июль 2025'!$D$2:$D$2437,$B42,'июль 2025'!$J$2:$J$2437,AF$1)</f>
        <v>0</v>
      </c>
      <c r="AG42" s="76">
        <f>SUMIFS('июль 2025'!$G$2:$G$2437,'июль 2025'!$D$2:$D$2437,$B42,'июль 2025'!$J$2:$J$2437,AG$1)</f>
        <v>0</v>
      </c>
      <c r="AH42" s="76">
        <f>SUMIFS('июль 2025'!$G$2:$G$2437,'июль 2025'!$D$2:$D$2437,$B42,'июль 2025'!$J$2:$J$2437,AH$1)</f>
        <v>0</v>
      </c>
      <c r="AI42" s="20">
        <f t="shared" si="1"/>
        <v>0</v>
      </c>
    </row>
    <row r="43" spans="2:35" ht="15" customHeight="1" x14ac:dyDescent="0.25">
      <c r="B43" s="131" t="s">
        <v>227</v>
      </c>
      <c r="C43" s="130">
        <v>22.68</v>
      </c>
      <c r="D43" s="76">
        <f>SUMIFS('июль 2025'!$G$2:$G$2437,'июль 2025'!$D$2:$D$2437,$B43,'июль 2025'!$J$2:$J$2437,D$1)</f>
        <v>0</v>
      </c>
      <c r="E43" s="76">
        <f>SUMIFS('июль 2025'!$G$2:$G$2437,'июль 2025'!$D$2:$D$2437,$B43,'июль 2025'!$J$2:$J$2437,E$1)</f>
        <v>0</v>
      </c>
      <c r="F43" s="76">
        <f>SUMIFS('июль 2025'!$G$2:$G$2437,'июль 2025'!$D$2:$D$2437,$B43,'июль 2025'!$J$2:$J$2437,F$1)</f>
        <v>0</v>
      </c>
      <c r="G43" s="76">
        <f>SUMIFS('июль 2025'!$G$2:$G$2437,'июль 2025'!$D$2:$D$2437,$B43,'июль 2025'!$J$2:$J$2437,G$1)</f>
        <v>0</v>
      </c>
      <c r="H43" s="76">
        <f>SUMIFS('июль 2025'!$G$2:$G$2437,'июль 2025'!$D$2:$D$2437,$B43,'июль 2025'!$J$2:$J$2437,H$1)</f>
        <v>0</v>
      </c>
      <c r="I43" s="76">
        <f>SUMIFS('июль 2025'!$G$2:$G$2437,'июль 2025'!$D$2:$D$2437,$B43,'июль 2025'!$J$2:$J$2437,I$1)</f>
        <v>0</v>
      </c>
      <c r="J43" s="76">
        <f>SUMIFS('июль 2025'!$G$2:$G$2437,'июль 2025'!$D$2:$D$2437,$B43,'июль 2025'!$J$2:$J$2437,J$1)</f>
        <v>0</v>
      </c>
      <c r="K43" s="76">
        <f>SUMIFS('июль 2025'!$G$2:$G$2437,'июль 2025'!$D$2:$D$2437,$B43,'июль 2025'!$J$2:$J$2437,K$1)</f>
        <v>0</v>
      </c>
      <c r="L43" s="76">
        <f>SUMIFS('июль 2025'!$G$2:$G$2437,'июль 2025'!$D$2:$D$2437,$B43,'июль 2025'!$J$2:$J$2437,L$1)</f>
        <v>0</v>
      </c>
      <c r="M43" s="76">
        <f>SUMIFS('июль 2025'!$G$2:$G$2437,'июль 2025'!$D$2:$D$2437,$B43,'июль 2025'!$J$2:$J$2437,M$1)</f>
        <v>0</v>
      </c>
      <c r="N43" s="76">
        <f>SUMIFS('июль 2025'!$G$2:$G$2437,'июль 2025'!$D$2:$D$2437,$B43,'июль 2025'!$J$2:$J$2437,N$1)</f>
        <v>0</v>
      </c>
      <c r="O43" s="76">
        <f>SUMIFS('июль 2025'!$G$2:$G$2437,'июль 2025'!$D$2:$D$2437,$B43,'июль 2025'!$J$2:$J$2437,O$1)</f>
        <v>0</v>
      </c>
      <c r="P43" s="76">
        <f>SUMIFS('июль 2025'!$G$2:$G$2437,'июль 2025'!$D$2:$D$2437,$B43,'июль 2025'!$J$2:$J$2437,P$1)</f>
        <v>0</v>
      </c>
      <c r="Q43" s="76">
        <f>SUMIFS('июль 2025'!$G$2:$G$2437,'июль 2025'!$D$2:$D$2437,$B43,'июль 2025'!$J$2:$J$2437,Q$1)</f>
        <v>0</v>
      </c>
      <c r="R43" s="76">
        <f>SUMIFS('июль 2025'!$G$2:$G$2437,'июль 2025'!$D$2:$D$2437,$B43,'июль 2025'!$J$2:$J$2437,R$1)</f>
        <v>0</v>
      </c>
      <c r="S43" s="76">
        <f>SUMIFS('июль 2025'!$G$2:$G$2437,'июль 2025'!$D$2:$D$2437,$B43,'июль 2025'!$J$2:$J$2437,S$1)</f>
        <v>0</v>
      </c>
      <c r="T43" s="76">
        <f>SUMIFS('июль 2025'!$G$2:$G$2437,'июль 2025'!$D$2:$D$2437,$B43,'июль 2025'!$J$2:$J$2437,T$1)</f>
        <v>0</v>
      </c>
      <c r="U43" s="76">
        <f>SUMIFS('июль 2025'!$G$2:$G$2437,'июль 2025'!$D$2:$D$2437,$B43,'июль 2025'!$J$2:$J$2437,U$1)</f>
        <v>0</v>
      </c>
      <c r="V43" s="76">
        <f>SUMIFS('июль 2025'!$G$2:$G$2437,'июль 2025'!$D$2:$D$2437,$B43,'июль 2025'!$J$2:$J$2437,V$1)</f>
        <v>0</v>
      </c>
      <c r="W43" s="76">
        <f>SUMIFS('июль 2025'!$G$2:$G$2437,'июль 2025'!$D$2:$D$2437,$B43,'июль 2025'!$J$2:$J$2437,W$1)</f>
        <v>0</v>
      </c>
      <c r="X43" s="76">
        <f>SUMIFS('июль 2025'!$G$2:$G$2437,'июль 2025'!$D$2:$D$2437,$B43,'июль 2025'!$J$2:$J$2437,X$1)</f>
        <v>0</v>
      </c>
      <c r="Y43" s="76">
        <f>SUMIFS('июль 2025'!$G$2:$G$2437,'июль 2025'!$D$2:$D$2437,$B43,'июль 2025'!$J$2:$J$2437,Y$1)</f>
        <v>0</v>
      </c>
      <c r="Z43" s="76">
        <f>SUMIFS('июль 2025'!$G$2:$G$2437,'июль 2025'!$D$2:$D$2437,$B43,'июль 2025'!$J$2:$J$2437,Z$1)</f>
        <v>0</v>
      </c>
      <c r="AA43" s="76">
        <f>SUMIFS('июль 2025'!$G$2:$G$2437,'июль 2025'!$D$2:$D$2437,$B43,'июль 2025'!$J$2:$J$2437,AA$1)</f>
        <v>0</v>
      </c>
      <c r="AB43" s="76">
        <f>SUMIFS('июль 2025'!$G$2:$G$2437,'июль 2025'!$D$2:$D$2437,$B43,'июль 2025'!$J$2:$J$2437,AB$1)</f>
        <v>0</v>
      </c>
      <c r="AC43" s="76">
        <f>SUMIFS('июль 2025'!$G$2:$G$2437,'июль 2025'!$D$2:$D$2437,$B43,'июль 2025'!$J$2:$J$2437,AC$1)</f>
        <v>0</v>
      </c>
      <c r="AD43" s="76">
        <f>SUMIFS('июль 2025'!$G$2:$G$2437,'июль 2025'!$D$2:$D$2437,$B43,'июль 2025'!$J$2:$J$2437,AD$1)</f>
        <v>0</v>
      </c>
      <c r="AE43" s="76">
        <f>SUMIFS('июль 2025'!$G$2:$G$2437,'июль 2025'!$D$2:$D$2437,$B43,'июль 2025'!$J$2:$J$2437,AE$1)</f>
        <v>0</v>
      </c>
      <c r="AF43" s="76">
        <f>SUMIFS('июль 2025'!$G$2:$G$2437,'июль 2025'!$D$2:$D$2437,$B43,'июль 2025'!$J$2:$J$2437,AF$1)</f>
        <v>0</v>
      </c>
      <c r="AG43" s="76">
        <f>SUMIFS('июль 2025'!$G$2:$G$2437,'июль 2025'!$D$2:$D$2437,$B43,'июль 2025'!$J$2:$J$2437,AG$1)</f>
        <v>0</v>
      </c>
      <c r="AH43" s="76">
        <f>SUMIFS('июль 2025'!$G$2:$G$2437,'июль 2025'!$D$2:$D$2437,$B43,'июль 2025'!$J$2:$J$2437,AH$1)</f>
        <v>0</v>
      </c>
      <c r="AI43" s="20">
        <f t="shared" si="1"/>
        <v>0</v>
      </c>
    </row>
    <row r="44" spans="2:35" ht="15" customHeight="1" x14ac:dyDescent="0.25">
      <c r="B44" s="135" t="s">
        <v>229</v>
      </c>
      <c r="C44" s="132">
        <v>25</v>
      </c>
      <c r="D44" s="76">
        <f>SUMIFS('июль 2025'!$G$2:$G$2437,'июль 2025'!$D$2:$D$2437,$B44,'июль 2025'!$J$2:$J$2437,D$1)</f>
        <v>0</v>
      </c>
      <c r="E44" s="76">
        <f>SUMIFS('июль 2025'!$G$2:$G$2437,'июль 2025'!$D$2:$D$2437,$B44,'июль 2025'!$J$2:$J$2437,E$1)</f>
        <v>0</v>
      </c>
      <c r="F44" s="76">
        <f>SUMIFS('июль 2025'!$G$2:$G$2437,'июль 2025'!$D$2:$D$2437,$B44,'июль 2025'!$J$2:$J$2437,F$1)</f>
        <v>0</v>
      </c>
      <c r="G44" s="76">
        <f>SUMIFS('июль 2025'!$G$2:$G$2437,'июль 2025'!$D$2:$D$2437,$B44,'июль 2025'!$J$2:$J$2437,G$1)</f>
        <v>0</v>
      </c>
      <c r="H44" s="76">
        <f>SUMIFS('июль 2025'!$G$2:$G$2437,'июль 2025'!$D$2:$D$2437,$B44,'июль 2025'!$J$2:$J$2437,H$1)</f>
        <v>0</v>
      </c>
      <c r="I44" s="76">
        <f>SUMIFS('июль 2025'!$G$2:$G$2437,'июль 2025'!$D$2:$D$2437,$B44,'июль 2025'!$J$2:$J$2437,I$1)</f>
        <v>0</v>
      </c>
      <c r="J44" s="76">
        <f>SUMIFS('июль 2025'!$G$2:$G$2437,'июль 2025'!$D$2:$D$2437,$B44,'июль 2025'!$J$2:$J$2437,J$1)</f>
        <v>0</v>
      </c>
      <c r="K44" s="76">
        <f>SUMIFS('июль 2025'!$G$2:$G$2437,'июль 2025'!$D$2:$D$2437,$B44,'июль 2025'!$J$2:$J$2437,K$1)</f>
        <v>0</v>
      </c>
      <c r="L44" s="76">
        <f>SUMIFS('июль 2025'!$G$2:$G$2437,'июль 2025'!$D$2:$D$2437,$B44,'июль 2025'!$J$2:$J$2437,L$1)</f>
        <v>0</v>
      </c>
      <c r="M44" s="76">
        <f>SUMIFS('июль 2025'!$G$2:$G$2437,'июль 2025'!$D$2:$D$2437,$B44,'июль 2025'!$J$2:$J$2437,M$1)</f>
        <v>0</v>
      </c>
      <c r="N44" s="76">
        <f>SUMIFS('июль 2025'!$G$2:$G$2437,'июль 2025'!$D$2:$D$2437,$B44,'июль 2025'!$J$2:$J$2437,N$1)</f>
        <v>0</v>
      </c>
      <c r="O44" s="76">
        <f>SUMIFS('июль 2025'!$G$2:$G$2437,'июль 2025'!$D$2:$D$2437,$B44,'июль 2025'!$J$2:$J$2437,O$1)</f>
        <v>0</v>
      </c>
      <c r="P44" s="76">
        <f>SUMIFS('июль 2025'!$G$2:$G$2437,'июль 2025'!$D$2:$D$2437,$B44,'июль 2025'!$J$2:$J$2437,P$1)</f>
        <v>0</v>
      </c>
      <c r="Q44" s="76">
        <f>SUMIFS('июль 2025'!$G$2:$G$2437,'июль 2025'!$D$2:$D$2437,$B44,'июль 2025'!$J$2:$J$2437,Q$1)</f>
        <v>0</v>
      </c>
      <c r="R44" s="76">
        <f>SUMIFS('июль 2025'!$G$2:$G$2437,'июль 2025'!$D$2:$D$2437,$B44,'июль 2025'!$J$2:$J$2437,R$1)</f>
        <v>0</v>
      </c>
      <c r="S44" s="76">
        <f>SUMIFS('июль 2025'!$G$2:$G$2437,'июль 2025'!$D$2:$D$2437,$B44,'июль 2025'!$J$2:$J$2437,S$1)</f>
        <v>0</v>
      </c>
      <c r="T44" s="76">
        <f>SUMIFS('июль 2025'!$G$2:$G$2437,'июль 2025'!$D$2:$D$2437,$B44,'июль 2025'!$J$2:$J$2437,T$1)</f>
        <v>0</v>
      </c>
      <c r="U44" s="76">
        <f>SUMIFS('июль 2025'!$G$2:$G$2437,'июль 2025'!$D$2:$D$2437,$B44,'июль 2025'!$J$2:$J$2437,U$1)</f>
        <v>0</v>
      </c>
      <c r="V44" s="76">
        <f>SUMIFS('июль 2025'!$G$2:$G$2437,'июль 2025'!$D$2:$D$2437,$B44,'июль 2025'!$J$2:$J$2437,V$1)</f>
        <v>0</v>
      </c>
      <c r="W44" s="76">
        <f>SUMIFS('июль 2025'!$G$2:$G$2437,'июль 2025'!$D$2:$D$2437,$B44,'июль 2025'!$J$2:$J$2437,W$1)</f>
        <v>0</v>
      </c>
      <c r="X44" s="76">
        <f>SUMIFS('июль 2025'!$G$2:$G$2437,'июль 2025'!$D$2:$D$2437,$B44,'июль 2025'!$J$2:$J$2437,X$1)</f>
        <v>0</v>
      </c>
      <c r="Y44" s="76">
        <f>SUMIFS('июль 2025'!$G$2:$G$2437,'июль 2025'!$D$2:$D$2437,$B44,'июль 2025'!$J$2:$J$2437,Y$1)</f>
        <v>0</v>
      </c>
      <c r="Z44" s="76">
        <f>SUMIFS('июль 2025'!$G$2:$G$2437,'июль 2025'!$D$2:$D$2437,$B44,'июль 2025'!$J$2:$J$2437,Z$1)</f>
        <v>0</v>
      </c>
      <c r="AA44" s="76">
        <f>SUMIFS('июль 2025'!$G$2:$G$2437,'июль 2025'!$D$2:$D$2437,$B44,'июль 2025'!$J$2:$J$2437,AA$1)</f>
        <v>0</v>
      </c>
      <c r="AB44" s="76">
        <f>SUMIFS('июль 2025'!$G$2:$G$2437,'июль 2025'!$D$2:$D$2437,$B44,'июль 2025'!$J$2:$J$2437,AB$1)</f>
        <v>0</v>
      </c>
      <c r="AC44" s="76">
        <f>SUMIFS('июль 2025'!$G$2:$G$2437,'июль 2025'!$D$2:$D$2437,$B44,'июль 2025'!$J$2:$J$2437,AC$1)</f>
        <v>0</v>
      </c>
      <c r="AD44" s="76">
        <f>SUMIFS('июль 2025'!$G$2:$G$2437,'июль 2025'!$D$2:$D$2437,$B44,'июль 2025'!$J$2:$J$2437,AD$1)</f>
        <v>0</v>
      </c>
      <c r="AE44" s="76">
        <f>SUMIFS('июль 2025'!$G$2:$G$2437,'июль 2025'!$D$2:$D$2437,$B44,'июль 2025'!$J$2:$J$2437,AE$1)</f>
        <v>0</v>
      </c>
      <c r="AF44" s="76">
        <f>SUMIFS('июль 2025'!$G$2:$G$2437,'июль 2025'!$D$2:$D$2437,$B44,'июль 2025'!$J$2:$J$2437,AF$1)</f>
        <v>0</v>
      </c>
      <c r="AG44" s="76">
        <f>SUMIFS('июль 2025'!$G$2:$G$2437,'июль 2025'!$D$2:$D$2437,$B44,'июль 2025'!$J$2:$J$2437,AG$1)</f>
        <v>0</v>
      </c>
      <c r="AH44" s="76">
        <f>SUMIFS('июль 2025'!$G$2:$G$2437,'июль 2025'!$D$2:$D$2437,$B44,'июль 2025'!$J$2:$J$2437,AH$1)</f>
        <v>0</v>
      </c>
      <c r="AI44" s="20">
        <f t="shared" si="1"/>
        <v>0</v>
      </c>
    </row>
    <row r="45" spans="2:35" ht="15" customHeight="1" x14ac:dyDescent="0.25">
      <c r="B45" s="131" t="s">
        <v>230</v>
      </c>
      <c r="C45" s="134">
        <v>25</v>
      </c>
      <c r="D45" s="76">
        <f>SUMIFS('июль 2025'!$G$2:$G$2437,'июль 2025'!$D$2:$D$2437,$B45,'июль 2025'!$J$2:$J$2437,D$1)</f>
        <v>0</v>
      </c>
      <c r="E45" s="76">
        <f>SUMIFS('июль 2025'!$G$2:$G$2437,'июль 2025'!$D$2:$D$2437,$B45,'июль 2025'!$J$2:$J$2437,E$1)</f>
        <v>0</v>
      </c>
      <c r="F45" s="76">
        <f>SUMIFS('июль 2025'!$G$2:$G$2437,'июль 2025'!$D$2:$D$2437,$B45,'июль 2025'!$J$2:$J$2437,F$1)</f>
        <v>0</v>
      </c>
      <c r="G45" s="76">
        <f>SUMIFS('июль 2025'!$G$2:$G$2437,'июль 2025'!$D$2:$D$2437,$B45,'июль 2025'!$J$2:$J$2437,G$1)</f>
        <v>0</v>
      </c>
      <c r="H45" s="76">
        <f>SUMIFS('июль 2025'!$G$2:$G$2437,'июль 2025'!$D$2:$D$2437,$B45,'июль 2025'!$J$2:$J$2437,H$1)</f>
        <v>0</v>
      </c>
      <c r="I45" s="76">
        <f>SUMIFS('июль 2025'!$G$2:$G$2437,'июль 2025'!$D$2:$D$2437,$B45,'июль 2025'!$J$2:$J$2437,I$1)</f>
        <v>0</v>
      </c>
      <c r="J45" s="76">
        <f>SUMIFS('июль 2025'!$G$2:$G$2437,'июль 2025'!$D$2:$D$2437,$B45,'июль 2025'!$J$2:$J$2437,J$1)</f>
        <v>0</v>
      </c>
      <c r="K45" s="76">
        <f>SUMIFS('июль 2025'!$G$2:$G$2437,'июль 2025'!$D$2:$D$2437,$B45,'июль 2025'!$J$2:$J$2437,K$1)</f>
        <v>0</v>
      </c>
      <c r="L45" s="76">
        <f>SUMIFS('июль 2025'!$G$2:$G$2437,'июль 2025'!$D$2:$D$2437,$B45,'июль 2025'!$J$2:$J$2437,L$1)</f>
        <v>0</v>
      </c>
      <c r="M45" s="76">
        <f>SUMIFS('июль 2025'!$G$2:$G$2437,'июль 2025'!$D$2:$D$2437,$B45,'июль 2025'!$J$2:$J$2437,M$1)</f>
        <v>0</v>
      </c>
      <c r="N45" s="76">
        <f>SUMIFS('июль 2025'!$G$2:$G$2437,'июль 2025'!$D$2:$D$2437,$B45,'июль 2025'!$J$2:$J$2437,N$1)</f>
        <v>0</v>
      </c>
      <c r="O45" s="76">
        <f>SUMIFS('июль 2025'!$G$2:$G$2437,'июль 2025'!$D$2:$D$2437,$B45,'июль 2025'!$J$2:$J$2437,O$1)</f>
        <v>0</v>
      </c>
      <c r="P45" s="76">
        <f>SUMIFS('июль 2025'!$G$2:$G$2437,'июль 2025'!$D$2:$D$2437,$B45,'июль 2025'!$J$2:$J$2437,P$1)</f>
        <v>0</v>
      </c>
      <c r="Q45" s="76">
        <f>SUMIFS('июль 2025'!$G$2:$G$2437,'июль 2025'!$D$2:$D$2437,$B45,'июль 2025'!$J$2:$J$2437,Q$1)</f>
        <v>0</v>
      </c>
      <c r="R45" s="76">
        <f>SUMIFS('июль 2025'!$G$2:$G$2437,'июль 2025'!$D$2:$D$2437,$B45,'июль 2025'!$J$2:$J$2437,R$1)</f>
        <v>0</v>
      </c>
      <c r="S45" s="76">
        <f>SUMIFS('июль 2025'!$G$2:$G$2437,'июль 2025'!$D$2:$D$2437,$B45,'июль 2025'!$J$2:$J$2437,S$1)</f>
        <v>0</v>
      </c>
      <c r="T45" s="76">
        <f>SUMIFS('июль 2025'!$G$2:$G$2437,'июль 2025'!$D$2:$D$2437,$B45,'июль 2025'!$J$2:$J$2437,T$1)</f>
        <v>0</v>
      </c>
      <c r="U45" s="76">
        <f>SUMIFS('июль 2025'!$G$2:$G$2437,'июль 2025'!$D$2:$D$2437,$B45,'июль 2025'!$J$2:$J$2437,U$1)</f>
        <v>0</v>
      </c>
      <c r="V45" s="76">
        <f>SUMIFS('июль 2025'!$G$2:$G$2437,'июль 2025'!$D$2:$D$2437,$B45,'июль 2025'!$J$2:$J$2437,V$1)</f>
        <v>0</v>
      </c>
      <c r="W45" s="76">
        <f>SUMIFS('июль 2025'!$G$2:$G$2437,'июль 2025'!$D$2:$D$2437,$B45,'июль 2025'!$J$2:$J$2437,W$1)</f>
        <v>0</v>
      </c>
      <c r="X45" s="76">
        <f>SUMIFS('июль 2025'!$G$2:$G$2437,'июль 2025'!$D$2:$D$2437,$B45,'июль 2025'!$J$2:$J$2437,X$1)</f>
        <v>0</v>
      </c>
      <c r="Y45" s="76">
        <f>SUMIFS('июль 2025'!$G$2:$G$2437,'июль 2025'!$D$2:$D$2437,$B45,'июль 2025'!$J$2:$J$2437,Y$1)</f>
        <v>0</v>
      </c>
      <c r="Z45" s="76">
        <f>SUMIFS('июль 2025'!$G$2:$G$2437,'июль 2025'!$D$2:$D$2437,$B45,'июль 2025'!$J$2:$J$2437,Z$1)</f>
        <v>0</v>
      </c>
      <c r="AA45" s="76">
        <f>SUMIFS('июль 2025'!$G$2:$G$2437,'июль 2025'!$D$2:$D$2437,$B45,'июль 2025'!$J$2:$J$2437,AA$1)</f>
        <v>0</v>
      </c>
      <c r="AB45" s="76">
        <f>SUMIFS('июль 2025'!$G$2:$G$2437,'июль 2025'!$D$2:$D$2437,$B45,'июль 2025'!$J$2:$J$2437,AB$1)</f>
        <v>0</v>
      </c>
      <c r="AC45" s="76">
        <f>SUMIFS('июль 2025'!$G$2:$G$2437,'июль 2025'!$D$2:$D$2437,$B45,'июль 2025'!$J$2:$J$2437,AC$1)</f>
        <v>0</v>
      </c>
      <c r="AD45" s="76">
        <f>SUMIFS('июль 2025'!$G$2:$G$2437,'июль 2025'!$D$2:$D$2437,$B45,'июль 2025'!$J$2:$J$2437,AD$1)</f>
        <v>0</v>
      </c>
      <c r="AE45" s="76">
        <f>SUMIFS('июль 2025'!$G$2:$G$2437,'июль 2025'!$D$2:$D$2437,$B45,'июль 2025'!$J$2:$J$2437,AE$1)</f>
        <v>0</v>
      </c>
      <c r="AF45" s="76">
        <f>SUMIFS('июль 2025'!$G$2:$G$2437,'июль 2025'!$D$2:$D$2437,$B45,'июль 2025'!$J$2:$J$2437,AF$1)</f>
        <v>0</v>
      </c>
      <c r="AG45" s="76">
        <f>SUMIFS('июль 2025'!$G$2:$G$2437,'июль 2025'!$D$2:$D$2437,$B45,'июль 2025'!$J$2:$J$2437,AG$1)</f>
        <v>0</v>
      </c>
      <c r="AH45" s="76">
        <f>SUMIFS('июль 2025'!$G$2:$G$2437,'июль 2025'!$D$2:$D$2437,$B45,'июль 2025'!$J$2:$J$2437,AH$1)</f>
        <v>0</v>
      </c>
      <c r="AI45" s="20">
        <f t="shared" si="1"/>
        <v>0</v>
      </c>
    </row>
    <row r="46" spans="2:35" ht="15" customHeight="1" x14ac:dyDescent="0.25">
      <c r="B46" s="135" t="s">
        <v>288</v>
      </c>
      <c r="C46" s="137">
        <v>25</v>
      </c>
      <c r="D46" s="76">
        <f>SUMIFS('июль 2025'!$G$2:$G$2437,'июль 2025'!$D$2:$D$2437,$B46,'июль 2025'!$J$2:$J$2437,D$1)</f>
        <v>0</v>
      </c>
      <c r="E46" s="76">
        <f>SUMIFS('июль 2025'!$G$2:$G$2437,'июль 2025'!$D$2:$D$2437,$B46,'июль 2025'!$J$2:$J$2437,E$1)</f>
        <v>0</v>
      </c>
      <c r="F46" s="76">
        <f>SUMIFS('июль 2025'!$G$2:$G$2437,'июль 2025'!$D$2:$D$2437,$B46,'июль 2025'!$J$2:$J$2437,F$1)</f>
        <v>0</v>
      </c>
      <c r="G46" s="76">
        <f>SUMIFS('июль 2025'!$G$2:$G$2437,'июль 2025'!$D$2:$D$2437,$B46,'июль 2025'!$J$2:$J$2437,G$1)</f>
        <v>0</v>
      </c>
      <c r="H46" s="76">
        <f>SUMIFS('июль 2025'!$G$2:$G$2437,'июль 2025'!$D$2:$D$2437,$B46,'июль 2025'!$J$2:$J$2437,H$1)</f>
        <v>0</v>
      </c>
      <c r="I46" s="76">
        <f>SUMIFS('июль 2025'!$G$2:$G$2437,'июль 2025'!$D$2:$D$2437,$B46,'июль 2025'!$J$2:$J$2437,I$1)</f>
        <v>0</v>
      </c>
      <c r="J46" s="76">
        <f>SUMIFS('июль 2025'!$G$2:$G$2437,'июль 2025'!$D$2:$D$2437,$B46,'июль 2025'!$J$2:$J$2437,J$1)</f>
        <v>0</v>
      </c>
      <c r="K46" s="76">
        <f>SUMIFS('июль 2025'!$G$2:$G$2437,'июль 2025'!$D$2:$D$2437,$B46,'июль 2025'!$J$2:$J$2437,K$1)</f>
        <v>0</v>
      </c>
      <c r="L46" s="76">
        <f>SUMIFS('июль 2025'!$G$2:$G$2437,'июль 2025'!$D$2:$D$2437,$B46,'июль 2025'!$J$2:$J$2437,L$1)</f>
        <v>0</v>
      </c>
      <c r="M46" s="76">
        <f>SUMIFS('июль 2025'!$G$2:$G$2437,'июль 2025'!$D$2:$D$2437,$B46,'июль 2025'!$J$2:$J$2437,M$1)</f>
        <v>0</v>
      </c>
      <c r="N46" s="76">
        <f>SUMIFS('июль 2025'!$G$2:$G$2437,'июль 2025'!$D$2:$D$2437,$B46,'июль 2025'!$J$2:$J$2437,N$1)</f>
        <v>0</v>
      </c>
      <c r="O46" s="76">
        <f>SUMIFS('июль 2025'!$G$2:$G$2437,'июль 2025'!$D$2:$D$2437,$B46,'июль 2025'!$J$2:$J$2437,O$1)</f>
        <v>0</v>
      </c>
      <c r="P46" s="76">
        <f>SUMIFS('июль 2025'!$G$2:$G$2437,'июль 2025'!$D$2:$D$2437,$B46,'июль 2025'!$J$2:$J$2437,P$1)</f>
        <v>0</v>
      </c>
      <c r="Q46" s="76">
        <f>SUMIFS('июль 2025'!$G$2:$G$2437,'июль 2025'!$D$2:$D$2437,$B46,'июль 2025'!$J$2:$J$2437,Q$1)</f>
        <v>0</v>
      </c>
      <c r="R46" s="76">
        <f>SUMIFS('июль 2025'!$G$2:$G$2437,'июль 2025'!$D$2:$D$2437,$B46,'июль 2025'!$J$2:$J$2437,R$1)</f>
        <v>0</v>
      </c>
      <c r="S46" s="76">
        <f>SUMIFS('июль 2025'!$G$2:$G$2437,'июль 2025'!$D$2:$D$2437,$B46,'июль 2025'!$J$2:$J$2437,S$1)</f>
        <v>0</v>
      </c>
      <c r="T46" s="76">
        <f>SUMIFS('июль 2025'!$G$2:$G$2437,'июль 2025'!$D$2:$D$2437,$B46,'июль 2025'!$J$2:$J$2437,T$1)</f>
        <v>0</v>
      </c>
      <c r="U46" s="76">
        <f>SUMIFS('июль 2025'!$G$2:$G$2437,'июль 2025'!$D$2:$D$2437,$B46,'июль 2025'!$J$2:$J$2437,U$1)</f>
        <v>0</v>
      </c>
      <c r="V46" s="76">
        <f>SUMIFS('июль 2025'!$G$2:$G$2437,'июль 2025'!$D$2:$D$2437,$B46,'июль 2025'!$J$2:$J$2437,V$1)</f>
        <v>0</v>
      </c>
      <c r="W46" s="76">
        <f>SUMIFS('июль 2025'!$G$2:$G$2437,'июль 2025'!$D$2:$D$2437,$B46,'июль 2025'!$J$2:$J$2437,W$1)</f>
        <v>0</v>
      </c>
      <c r="X46" s="76">
        <f>SUMIFS('июль 2025'!$G$2:$G$2437,'июль 2025'!$D$2:$D$2437,$B46,'июль 2025'!$J$2:$J$2437,X$1)</f>
        <v>0</v>
      </c>
      <c r="Y46" s="76">
        <f>SUMIFS('июль 2025'!$G$2:$G$2437,'июль 2025'!$D$2:$D$2437,$B46,'июль 2025'!$J$2:$J$2437,Y$1)</f>
        <v>0</v>
      </c>
      <c r="Z46" s="76">
        <f>SUMIFS('июль 2025'!$G$2:$G$2437,'июль 2025'!$D$2:$D$2437,$B46,'июль 2025'!$J$2:$J$2437,Z$1)</f>
        <v>0</v>
      </c>
      <c r="AA46" s="76">
        <f>SUMIFS('июль 2025'!$G$2:$G$2437,'июль 2025'!$D$2:$D$2437,$B46,'июль 2025'!$J$2:$J$2437,AA$1)</f>
        <v>0</v>
      </c>
      <c r="AB46" s="76">
        <f>SUMIFS('июль 2025'!$G$2:$G$2437,'июль 2025'!$D$2:$D$2437,$B46,'июль 2025'!$J$2:$J$2437,AB$1)</f>
        <v>0</v>
      </c>
      <c r="AC46" s="76">
        <f>SUMIFS('июль 2025'!$G$2:$G$2437,'июль 2025'!$D$2:$D$2437,$B46,'июль 2025'!$J$2:$J$2437,AC$1)</f>
        <v>0</v>
      </c>
      <c r="AD46" s="76">
        <f>SUMIFS('июль 2025'!$G$2:$G$2437,'июль 2025'!$D$2:$D$2437,$B46,'июль 2025'!$J$2:$J$2437,AD$1)</f>
        <v>0</v>
      </c>
      <c r="AE46" s="76">
        <f>SUMIFS('июль 2025'!$G$2:$G$2437,'июль 2025'!$D$2:$D$2437,$B46,'июль 2025'!$J$2:$J$2437,AE$1)</f>
        <v>0</v>
      </c>
      <c r="AF46" s="76">
        <f>SUMIFS('июль 2025'!$G$2:$G$2437,'июль 2025'!$D$2:$D$2437,$B46,'июль 2025'!$J$2:$J$2437,AF$1)</f>
        <v>0</v>
      </c>
      <c r="AG46" s="76">
        <f>SUMIFS('июль 2025'!$G$2:$G$2437,'июль 2025'!$D$2:$D$2437,$B46,'июль 2025'!$J$2:$J$2437,AG$1)</f>
        <v>0</v>
      </c>
      <c r="AH46" s="76">
        <f>SUMIFS('июль 2025'!$G$2:$G$2437,'июль 2025'!$D$2:$D$2437,$B46,'июль 2025'!$J$2:$J$2437,AH$1)</f>
        <v>0</v>
      </c>
      <c r="AI46" s="20">
        <f t="shared" si="1"/>
        <v>0</v>
      </c>
    </row>
    <row r="47" spans="2:35" ht="15" customHeight="1" x14ac:dyDescent="0.25">
      <c r="B47" s="135" t="s">
        <v>232</v>
      </c>
      <c r="C47" s="132">
        <v>25</v>
      </c>
      <c r="D47" s="76">
        <f>SUMIFS('июль 2025'!$G$2:$G$2437,'июль 2025'!$D$2:$D$2437,$B47,'июль 2025'!$J$2:$J$2437,D$1)</f>
        <v>0</v>
      </c>
      <c r="E47" s="76">
        <f>SUMIFS('июль 2025'!$G$2:$G$2437,'июль 2025'!$D$2:$D$2437,$B47,'июль 2025'!$J$2:$J$2437,E$1)</f>
        <v>0</v>
      </c>
      <c r="F47" s="76">
        <f>SUMIFS('июль 2025'!$G$2:$G$2437,'июль 2025'!$D$2:$D$2437,$B47,'июль 2025'!$J$2:$J$2437,F$1)</f>
        <v>0</v>
      </c>
      <c r="G47" s="76">
        <f>SUMIFS('июль 2025'!$G$2:$G$2437,'июль 2025'!$D$2:$D$2437,$B47,'июль 2025'!$J$2:$J$2437,G$1)</f>
        <v>0</v>
      </c>
      <c r="H47" s="76">
        <f>SUMIFS('июль 2025'!$G$2:$G$2437,'июль 2025'!$D$2:$D$2437,$B47,'июль 2025'!$J$2:$J$2437,H$1)</f>
        <v>0</v>
      </c>
      <c r="I47" s="76">
        <f>SUMIFS('июль 2025'!$G$2:$G$2437,'июль 2025'!$D$2:$D$2437,$B47,'июль 2025'!$J$2:$J$2437,I$1)</f>
        <v>0</v>
      </c>
      <c r="J47" s="76">
        <f>SUMIFS('июль 2025'!$G$2:$G$2437,'июль 2025'!$D$2:$D$2437,$B47,'июль 2025'!$J$2:$J$2437,J$1)</f>
        <v>0</v>
      </c>
      <c r="K47" s="76">
        <f>SUMIFS('июль 2025'!$G$2:$G$2437,'июль 2025'!$D$2:$D$2437,$B47,'июль 2025'!$J$2:$J$2437,K$1)</f>
        <v>0</v>
      </c>
      <c r="L47" s="76">
        <f>SUMIFS('июль 2025'!$G$2:$G$2437,'июль 2025'!$D$2:$D$2437,$B47,'июль 2025'!$J$2:$J$2437,L$1)</f>
        <v>0</v>
      </c>
      <c r="M47" s="76">
        <f>SUMIFS('июль 2025'!$G$2:$G$2437,'июль 2025'!$D$2:$D$2437,$B47,'июль 2025'!$J$2:$J$2437,M$1)</f>
        <v>0</v>
      </c>
      <c r="N47" s="76">
        <f>SUMIFS('июль 2025'!$G$2:$G$2437,'июль 2025'!$D$2:$D$2437,$B47,'июль 2025'!$J$2:$J$2437,N$1)</f>
        <v>0</v>
      </c>
      <c r="O47" s="76">
        <f>SUMIFS('июль 2025'!$G$2:$G$2437,'июль 2025'!$D$2:$D$2437,$B47,'июль 2025'!$J$2:$J$2437,O$1)</f>
        <v>0</v>
      </c>
      <c r="P47" s="76">
        <f>SUMIFS('июль 2025'!$G$2:$G$2437,'июль 2025'!$D$2:$D$2437,$B47,'июль 2025'!$J$2:$J$2437,P$1)</f>
        <v>0</v>
      </c>
      <c r="Q47" s="76">
        <f>SUMIFS('июль 2025'!$G$2:$G$2437,'июль 2025'!$D$2:$D$2437,$B47,'июль 2025'!$J$2:$J$2437,Q$1)</f>
        <v>0</v>
      </c>
      <c r="R47" s="76">
        <f>SUMIFS('июль 2025'!$G$2:$G$2437,'июль 2025'!$D$2:$D$2437,$B47,'июль 2025'!$J$2:$J$2437,R$1)</f>
        <v>0</v>
      </c>
      <c r="S47" s="76">
        <f>SUMIFS('июль 2025'!$G$2:$G$2437,'июль 2025'!$D$2:$D$2437,$B47,'июль 2025'!$J$2:$J$2437,S$1)</f>
        <v>0</v>
      </c>
      <c r="T47" s="76">
        <f>SUMIFS('июль 2025'!$G$2:$G$2437,'июль 2025'!$D$2:$D$2437,$B47,'июль 2025'!$J$2:$J$2437,T$1)</f>
        <v>0</v>
      </c>
      <c r="U47" s="76">
        <f>SUMIFS('июль 2025'!$G$2:$G$2437,'июль 2025'!$D$2:$D$2437,$B47,'июль 2025'!$J$2:$J$2437,U$1)</f>
        <v>0</v>
      </c>
      <c r="V47" s="76">
        <f>SUMIFS('июль 2025'!$G$2:$G$2437,'июль 2025'!$D$2:$D$2437,$B47,'июль 2025'!$J$2:$J$2437,V$1)</f>
        <v>0</v>
      </c>
      <c r="W47" s="76">
        <f>SUMIFS('июль 2025'!$G$2:$G$2437,'июль 2025'!$D$2:$D$2437,$B47,'июль 2025'!$J$2:$J$2437,W$1)</f>
        <v>0</v>
      </c>
      <c r="X47" s="76">
        <f>SUMIFS('июль 2025'!$G$2:$G$2437,'июль 2025'!$D$2:$D$2437,$B47,'июль 2025'!$J$2:$J$2437,X$1)</f>
        <v>0</v>
      </c>
      <c r="Y47" s="76">
        <f>SUMIFS('июль 2025'!$G$2:$G$2437,'июль 2025'!$D$2:$D$2437,$B47,'июль 2025'!$J$2:$J$2437,Y$1)</f>
        <v>0</v>
      </c>
      <c r="Z47" s="76">
        <f>SUMIFS('июль 2025'!$G$2:$G$2437,'июль 2025'!$D$2:$D$2437,$B47,'июль 2025'!$J$2:$J$2437,Z$1)</f>
        <v>0</v>
      </c>
      <c r="AA47" s="76">
        <f>SUMIFS('июль 2025'!$G$2:$G$2437,'июль 2025'!$D$2:$D$2437,$B47,'июль 2025'!$J$2:$J$2437,AA$1)</f>
        <v>0</v>
      </c>
      <c r="AB47" s="76">
        <f>SUMIFS('июль 2025'!$G$2:$G$2437,'июль 2025'!$D$2:$D$2437,$B47,'июль 2025'!$J$2:$J$2437,AB$1)</f>
        <v>0</v>
      </c>
      <c r="AC47" s="76">
        <f>SUMIFS('июль 2025'!$G$2:$G$2437,'июль 2025'!$D$2:$D$2437,$B47,'июль 2025'!$J$2:$J$2437,AC$1)</f>
        <v>0</v>
      </c>
      <c r="AD47" s="76">
        <f>SUMIFS('июль 2025'!$G$2:$G$2437,'июль 2025'!$D$2:$D$2437,$B47,'июль 2025'!$J$2:$J$2437,AD$1)</f>
        <v>0</v>
      </c>
      <c r="AE47" s="76">
        <f>SUMIFS('июль 2025'!$G$2:$G$2437,'июль 2025'!$D$2:$D$2437,$B47,'июль 2025'!$J$2:$J$2437,AE$1)</f>
        <v>0</v>
      </c>
      <c r="AF47" s="76">
        <f>SUMIFS('июль 2025'!$G$2:$G$2437,'июль 2025'!$D$2:$D$2437,$B47,'июль 2025'!$J$2:$J$2437,AF$1)</f>
        <v>0</v>
      </c>
      <c r="AG47" s="76">
        <f>SUMIFS('июль 2025'!$G$2:$G$2437,'июль 2025'!$D$2:$D$2437,$B47,'июль 2025'!$J$2:$J$2437,AG$1)</f>
        <v>0</v>
      </c>
      <c r="AH47" s="76">
        <f>SUMIFS('июль 2025'!$G$2:$G$2437,'июль 2025'!$D$2:$D$2437,$B47,'июль 2025'!$J$2:$J$2437,AH$1)</f>
        <v>0</v>
      </c>
      <c r="AI47" s="20">
        <f t="shared" si="1"/>
        <v>0</v>
      </c>
    </row>
    <row r="48" spans="2:35" ht="15" customHeight="1" x14ac:dyDescent="0.25">
      <c r="B48" s="135" t="s">
        <v>234</v>
      </c>
      <c r="C48" s="132">
        <v>18</v>
      </c>
      <c r="D48" s="76">
        <f>SUMIFS('июль 2025'!$G$2:$G$2437,'июль 2025'!$D$2:$D$2437,$B48,'июль 2025'!$J$2:$J$2437,D$1)</f>
        <v>0</v>
      </c>
      <c r="E48" s="76">
        <f>SUMIFS('июль 2025'!$G$2:$G$2437,'июль 2025'!$D$2:$D$2437,$B48,'июль 2025'!$J$2:$J$2437,E$1)</f>
        <v>0</v>
      </c>
      <c r="F48" s="76">
        <f>SUMIFS('июль 2025'!$G$2:$G$2437,'июль 2025'!$D$2:$D$2437,$B48,'июль 2025'!$J$2:$J$2437,F$1)</f>
        <v>0</v>
      </c>
      <c r="G48" s="76">
        <f>SUMIFS('июль 2025'!$G$2:$G$2437,'июль 2025'!$D$2:$D$2437,$B48,'июль 2025'!$J$2:$J$2437,G$1)</f>
        <v>0</v>
      </c>
      <c r="H48" s="76">
        <f>SUMIFS('июль 2025'!$G$2:$G$2437,'июль 2025'!$D$2:$D$2437,$B48,'июль 2025'!$J$2:$J$2437,H$1)</f>
        <v>0</v>
      </c>
      <c r="I48" s="76">
        <f>SUMIFS('июль 2025'!$G$2:$G$2437,'июль 2025'!$D$2:$D$2437,$B48,'июль 2025'!$J$2:$J$2437,I$1)</f>
        <v>0</v>
      </c>
      <c r="J48" s="76">
        <f>SUMIFS('июль 2025'!$G$2:$G$2437,'июль 2025'!$D$2:$D$2437,$B48,'июль 2025'!$J$2:$J$2437,J$1)</f>
        <v>0</v>
      </c>
      <c r="K48" s="76">
        <f>SUMIFS('июль 2025'!$G$2:$G$2437,'июль 2025'!$D$2:$D$2437,$B48,'июль 2025'!$J$2:$J$2437,K$1)</f>
        <v>0</v>
      </c>
      <c r="L48" s="76">
        <f>SUMIFS('июль 2025'!$G$2:$G$2437,'июль 2025'!$D$2:$D$2437,$B48,'июль 2025'!$J$2:$J$2437,L$1)</f>
        <v>0</v>
      </c>
      <c r="M48" s="76">
        <f>SUMIFS('июль 2025'!$G$2:$G$2437,'июль 2025'!$D$2:$D$2437,$B48,'июль 2025'!$J$2:$J$2437,M$1)</f>
        <v>0</v>
      </c>
      <c r="N48" s="76">
        <f>SUMIFS('июль 2025'!$G$2:$G$2437,'июль 2025'!$D$2:$D$2437,$B48,'июль 2025'!$J$2:$J$2437,N$1)</f>
        <v>0</v>
      </c>
      <c r="O48" s="76">
        <f>SUMIFS('июль 2025'!$G$2:$G$2437,'июль 2025'!$D$2:$D$2437,$B48,'июль 2025'!$J$2:$J$2437,O$1)</f>
        <v>0</v>
      </c>
      <c r="P48" s="76">
        <f>SUMIFS('июль 2025'!$G$2:$G$2437,'июль 2025'!$D$2:$D$2437,$B48,'июль 2025'!$J$2:$J$2437,P$1)</f>
        <v>0</v>
      </c>
      <c r="Q48" s="76">
        <f>SUMIFS('июль 2025'!$G$2:$G$2437,'июль 2025'!$D$2:$D$2437,$B48,'июль 2025'!$J$2:$J$2437,Q$1)</f>
        <v>0</v>
      </c>
      <c r="R48" s="76">
        <f>SUMIFS('июль 2025'!$G$2:$G$2437,'июль 2025'!$D$2:$D$2437,$B48,'июль 2025'!$J$2:$J$2437,R$1)</f>
        <v>0</v>
      </c>
      <c r="S48" s="76">
        <f>SUMIFS('июль 2025'!$G$2:$G$2437,'июль 2025'!$D$2:$D$2437,$B48,'июль 2025'!$J$2:$J$2437,S$1)</f>
        <v>0</v>
      </c>
      <c r="T48" s="76">
        <f>SUMIFS('июль 2025'!$G$2:$G$2437,'июль 2025'!$D$2:$D$2437,$B48,'июль 2025'!$J$2:$J$2437,T$1)</f>
        <v>0</v>
      </c>
      <c r="U48" s="76">
        <f>SUMIFS('июль 2025'!$G$2:$G$2437,'июль 2025'!$D$2:$D$2437,$B48,'июль 2025'!$J$2:$J$2437,U$1)</f>
        <v>0</v>
      </c>
      <c r="V48" s="76">
        <f>SUMIFS('июль 2025'!$G$2:$G$2437,'июль 2025'!$D$2:$D$2437,$B48,'июль 2025'!$J$2:$J$2437,V$1)</f>
        <v>0</v>
      </c>
      <c r="W48" s="76">
        <f>SUMIFS('июль 2025'!$G$2:$G$2437,'июль 2025'!$D$2:$D$2437,$B48,'июль 2025'!$J$2:$J$2437,W$1)</f>
        <v>0</v>
      </c>
      <c r="X48" s="76">
        <f>SUMIFS('июль 2025'!$G$2:$G$2437,'июль 2025'!$D$2:$D$2437,$B48,'июль 2025'!$J$2:$J$2437,X$1)</f>
        <v>0</v>
      </c>
      <c r="Y48" s="76">
        <f>SUMIFS('июль 2025'!$G$2:$G$2437,'июль 2025'!$D$2:$D$2437,$B48,'июль 2025'!$J$2:$J$2437,Y$1)</f>
        <v>0</v>
      </c>
      <c r="Z48" s="76">
        <f>SUMIFS('июль 2025'!$G$2:$G$2437,'июль 2025'!$D$2:$D$2437,$B48,'июль 2025'!$J$2:$J$2437,Z$1)</f>
        <v>0</v>
      </c>
      <c r="AA48" s="76">
        <f>SUMIFS('июль 2025'!$G$2:$G$2437,'июль 2025'!$D$2:$D$2437,$B48,'июль 2025'!$J$2:$J$2437,AA$1)</f>
        <v>0</v>
      </c>
      <c r="AB48" s="76">
        <f>SUMIFS('июль 2025'!$G$2:$G$2437,'июль 2025'!$D$2:$D$2437,$B48,'июль 2025'!$J$2:$J$2437,AB$1)</f>
        <v>0</v>
      </c>
      <c r="AC48" s="76">
        <f>SUMIFS('июль 2025'!$G$2:$G$2437,'июль 2025'!$D$2:$D$2437,$B48,'июль 2025'!$J$2:$J$2437,AC$1)</f>
        <v>0</v>
      </c>
      <c r="AD48" s="76">
        <f>SUMIFS('июль 2025'!$G$2:$G$2437,'июль 2025'!$D$2:$D$2437,$B48,'июль 2025'!$J$2:$J$2437,AD$1)</f>
        <v>0</v>
      </c>
      <c r="AE48" s="76">
        <f>SUMIFS('июль 2025'!$G$2:$G$2437,'июль 2025'!$D$2:$D$2437,$B48,'июль 2025'!$J$2:$J$2437,AE$1)</f>
        <v>0</v>
      </c>
      <c r="AF48" s="76">
        <f>SUMIFS('июль 2025'!$G$2:$G$2437,'июль 2025'!$D$2:$D$2437,$B48,'июль 2025'!$J$2:$J$2437,AF$1)</f>
        <v>0</v>
      </c>
      <c r="AG48" s="76">
        <f>SUMIFS('июль 2025'!$G$2:$G$2437,'июль 2025'!$D$2:$D$2437,$B48,'июль 2025'!$J$2:$J$2437,AG$1)</f>
        <v>0</v>
      </c>
      <c r="AH48" s="76">
        <f>SUMIFS('июль 2025'!$G$2:$G$2437,'июль 2025'!$D$2:$D$2437,$B48,'июль 2025'!$J$2:$J$2437,AH$1)</f>
        <v>0</v>
      </c>
      <c r="AI48" s="20">
        <f t="shared" si="1"/>
        <v>0</v>
      </c>
    </row>
    <row r="49" spans="2:35" ht="15" customHeight="1" x14ac:dyDescent="0.25">
      <c r="B49" s="135" t="s">
        <v>1079</v>
      </c>
      <c r="C49" s="132">
        <v>18</v>
      </c>
      <c r="D49" s="76">
        <f>SUMIFS('июль 2025'!$G$2:$G$2437,'июль 2025'!$D$2:$D$2437,$B49,'июль 2025'!$J$2:$J$2437,D$1)</f>
        <v>0</v>
      </c>
      <c r="E49" s="76">
        <f>SUMIFS('июль 2025'!$G$2:$G$2437,'июль 2025'!$D$2:$D$2437,$B49,'июль 2025'!$J$2:$J$2437,E$1)</f>
        <v>0</v>
      </c>
      <c r="F49" s="76">
        <f>SUMIFS('июль 2025'!$G$2:$G$2437,'июль 2025'!$D$2:$D$2437,$B49,'июль 2025'!$J$2:$J$2437,F$1)</f>
        <v>0</v>
      </c>
      <c r="G49" s="76">
        <f>SUMIFS('июль 2025'!$G$2:$G$2437,'июль 2025'!$D$2:$D$2437,$B49,'июль 2025'!$J$2:$J$2437,G$1)</f>
        <v>0</v>
      </c>
      <c r="H49" s="76">
        <f>SUMIFS('июль 2025'!$G$2:$G$2437,'июль 2025'!$D$2:$D$2437,$B49,'июль 2025'!$J$2:$J$2437,H$1)</f>
        <v>0</v>
      </c>
      <c r="I49" s="76">
        <f>SUMIFS('июль 2025'!$G$2:$G$2437,'июль 2025'!$D$2:$D$2437,$B49,'июль 2025'!$J$2:$J$2437,I$1)</f>
        <v>0</v>
      </c>
      <c r="J49" s="76">
        <f>SUMIFS('июль 2025'!$G$2:$G$2437,'июль 2025'!$D$2:$D$2437,$B49,'июль 2025'!$J$2:$J$2437,J$1)</f>
        <v>0</v>
      </c>
      <c r="K49" s="76">
        <f>SUMIFS('июль 2025'!$G$2:$G$2437,'июль 2025'!$D$2:$D$2437,$B49,'июль 2025'!$J$2:$J$2437,K$1)</f>
        <v>0</v>
      </c>
      <c r="L49" s="76">
        <f>SUMIFS('июль 2025'!$G$2:$G$2437,'июль 2025'!$D$2:$D$2437,$B49,'июль 2025'!$J$2:$J$2437,L$1)</f>
        <v>0</v>
      </c>
      <c r="M49" s="76">
        <f>SUMIFS('июль 2025'!$G$2:$G$2437,'июль 2025'!$D$2:$D$2437,$B49,'июль 2025'!$J$2:$J$2437,M$1)</f>
        <v>0</v>
      </c>
      <c r="N49" s="76">
        <f>SUMIFS('июль 2025'!$G$2:$G$2437,'июль 2025'!$D$2:$D$2437,$B49,'июль 2025'!$J$2:$J$2437,N$1)</f>
        <v>0</v>
      </c>
      <c r="O49" s="76">
        <f>SUMIFS('июль 2025'!$G$2:$G$2437,'июль 2025'!$D$2:$D$2437,$B49,'июль 2025'!$J$2:$J$2437,O$1)</f>
        <v>0</v>
      </c>
      <c r="P49" s="76">
        <f>SUMIFS('июль 2025'!$G$2:$G$2437,'июль 2025'!$D$2:$D$2437,$B49,'июль 2025'!$J$2:$J$2437,P$1)</f>
        <v>0</v>
      </c>
      <c r="Q49" s="76">
        <f>SUMIFS('июль 2025'!$G$2:$G$2437,'июль 2025'!$D$2:$D$2437,$B49,'июль 2025'!$J$2:$J$2437,Q$1)</f>
        <v>0</v>
      </c>
      <c r="R49" s="76">
        <f>SUMIFS('июль 2025'!$G$2:$G$2437,'июль 2025'!$D$2:$D$2437,$B49,'июль 2025'!$J$2:$J$2437,R$1)</f>
        <v>0</v>
      </c>
      <c r="S49" s="76">
        <f>SUMIFS('июль 2025'!$G$2:$G$2437,'июль 2025'!$D$2:$D$2437,$B49,'июль 2025'!$J$2:$J$2437,S$1)</f>
        <v>0</v>
      </c>
      <c r="T49" s="76">
        <f>SUMIFS('июль 2025'!$G$2:$G$2437,'июль 2025'!$D$2:$D$2437,$B49,'июль 2025'!$J$2:$J$2437,T$1)</f>
        <v>0</v>
      </c>
      <c r="U49" s="76">
        <f>SUMIFS('июль 2025'!$G$2:$G$2437,'июль 2025'!$D$2:$D$2437,$B49,'июль 2025'!$J$2:$J$2437,U$1)</f>
        <v>0</v>
      </c>
      <c r="V49" s="76">
        <f>SUMIFS('июль 2025'!$G$2:$G$2437,'июль 2025'!$D$2:$D$2437,$B49,'июль 2025'!$J$2:$J$2437,V$1)</f>
        <v>0</v>
      </c>
      <c r="W49" s="76">
        <f>SUMIFS('июль 2025'!$G$2:$G$2437,'июль 2025'!$D$2:$D$2437,$B49,'июль 2025'!$J$2:$J$2437,W$1)</f>
        <v>0</v>
      </c>
      <c r="X49" s="76">
        <f>SUMIFS('июль 2025'!$G$2:$G$2437,'июль 2025'!$D$2:$D$2437,$B49,'июль 2025'!$J$2:$J$2437,X$1)</f>
        <v>0</v>
      </c>
      <c r="Y49" s="76">
        <f>SUMIFS('июль 2025'!$G$2:$G$2437,'июль 2025'!$D$2:$D$2437,$B49,'июль 2025'!$J$2:$J$2437,Y$1)</f>
        <v>0</v>
      </c>
      <c r="Z49" s="76">
        <f>SUMIFS('июль 2025'!$G$2:$G$2437,'июль 2025'!$D$2:$D$2437,$B49,'июль 2025'!$J$2:$J$2437,Z$1)</f>
        <v>0</v>
      </c>
      <c r="AA49" s="76">
        <f>SUMIFS('июль 2025'!$G$2:$G$2437,'июль 2025'!$D$2:$D$2437,$B49,'июль 2025'!$J$2:$J$2437,AA$1)</f>
        <v>0</v>
      </c>
      <c r="AB49" s="76">
        <f>SUMIFS('июль 2025'!$G$2:$G$2437,'июль 2025'!$D$2:$D$2437,$B49,'июль 2025'!$J$2:$J$2437,AB$1)</f>
        <v>0</v>
      </c>
      <c r="AC49" s="76">
        <f>SUMIFS('июль 2025'!$G$2:$G$2437,'июль 2025'!$D$2:$D$2437,$B49,'июль 2025'!$J$2:$J$2437,AC$1)</f>
        <v>0</v>
      </c>
      <c r="AD49" s="76">
        <f>SUMIFS('июль 2025'!$G$2:$G$2437,'июль 2025'!$D$2:$D$2437,$B49,'июль 2025'!$J$2:$J$2437,AD$1)</f>
        <v>0</v>
      </c>
      <c r="AE49" s="76">
        <f>SUMIFS('июль 2025'!$G$2:$G$2437,'июль 2025'!$D$2:$D$2437,$B49,'июль 2025'!$J$2:$J$2437,AE$1)</f>
        <v>0</v>
      </c>
      <c r="AF49" s="76">
        <f>SUMIFS('июль 2025'!$G$2:$G$2437,'июль 2025'!$D$2:$D$2437,$B49,'июль 2025'!$J$2:$J$2437,AF$1)</f>
        <v>0</v>
      </c>
      <c r="AG49" s="76">
        <f>SUMIFS('июль 2025'!$G$2:$G$2437,'июль 2025'!$D$2:$D$2437,$B49,'июль 2025'!$J$2:$J$2437,AG$1)</f>
        <v>0</v>
      </c>
      <c r="AH49" s="76">
        <f>SUMIFS('июль 2025'!$G$2:$G$2437,'июль 2025'!$D$2:$D$2437,$B49,'июль 2025'!$J$2:$J$2437,AH$1)</f>
        <v>0</v>
      </c>
      <c r="AI49" s="20">
        <f t="shared" si="1"/>
        <v>0</v>
      </c>
    </row>
    <row r="50" spans="2:35" ht="15" customHeight="1" x14ac:dyDescent="0.25">
      <c r="B50" s="135" t="s">
        <v>236</v>
      </c>
      <c r="C50" s="132">
        <v>20</v>
      </c>
      <c r="D50" s="76">
        <f>SUMIFS('июль 2025'!$G$2:$G$2437,'июль 2025'!$D$2:$D$2437,$B50,'июль 2025'!$J$2:$J$2437,D$1)</f>
        <v>0</v>
      </c>
      <c r="E50" s="76">
        <f>SUMIFS('июль 2025'!$G$2:$G$2437,'июль 2025'!$D$2:$D$2437,$B50,'июль 2025'!$J$2:$J$2437,E$1)</f>
        <v>0</v>
      </c>
      <c r="F50" s="76">
        <f>SUMIFS('июль 2025'!$G$2:$G$2437,'июль 2025'!$D$2:$D$2437,$B50,'июль 2025'!$J$2:$J$2437,F$1)</f>
        <v>0</v>
      </c>
      <c r="G50" s="76">
        <f>SUMIFS('июль 2025'!$G$2:$G$2437,'июль 2025'!$D$2:$D$2437,$B50,'июль 2025'!$J$2:$J$2437,G$1)</f>
        <v>0</v>
      </c>
      <c r="H50" s="76">
        <f>SUMIFS('июль 2025'!$G$2:$G$2437,'июль 2025'!$D$2:$D$2437,$B50,'июль 2025'!$J$2:$J$2437,H$1)</f>
        <v>0</v>
      </c>
      <c r="I50" s="76">
        <f>SUMIFS('июль 2025'!$G$2:$G$2437,'июль 2025'!$D$2:$D$2437,$B50,'июль 2025'!$J$2:$J$2437,I$1)</f>
        <v>0</v>
      </c>
      <c r="J50" s="76">
        <f>SUMIFS('июль 2025'!$G$2:$G$2437,'июль 2025'!$D$2:$D$2437,$B50,'июль 2025'!$J$2:$J$2437,J$1)</f>
        <v>0</v>
      </c>
      <c r="K50" s="76">
        <f>SUMIFS('июль 2025'!$G$2:$G$2437,'июль 2025'!$D$2:$D$2437,$B50,'июль 2025'!$J$2:$J$2437,K$1)</f>
        <v>0</v>
      </c>
      <c r="L50" s="76">
        <f>SUMIFS('июль 2025'!$G$2:$G$2437,'июль 2025'!$D$2:$D$2437,$B50,'июль 2025'!$J$2:$J$2437,L$1)</f>
        <v>0</v>
      </c>
      <c r="M50" s="76">
        <f>SUMIFS('июль 2025'!$G$2:$G$2437,'июль 2025'!$D$2:$D$2437,$B50,'июль 2025'!$J$2:$J$2437,M$1)</f>
        <v>0</v>
      </c>
      <c r="N50" s="76">
        <f>SUMIFS('июль 2025'!$G$2:$G$2437,'июль 2025'!$D$2:$D$2437,$B50,'июль 2025'!$J$2:$J$2437,N$1)</f>
        <v>0</v>
      </c>
      <c r="O50" s="76">
        <f>SUMIFS('июль 2025'!$G$2:$G$2437,'июль 2025'!$D$2:$D$2437,$B50,'июль 2025'!$J$2:$J$2437,O$1)</f>
        <v>0</v>
      </c>
      <c r="P50" s="76">
        <f>SUMIFS('июль 2025'!$G$2:$G$2437,'июль 2025'!$D$2:$D$2437,$B50,'июль 2025'!$J$2:$J$2437,P$1)</f>
        <v>0</v>
      </c>
      <c r="Q50" s="76">
        <f>SUMIFS('июль 2025'!$G$2:$G$2437,'июль 2025'!$D$2:$D$2437,$B50,'июль 2025'!$J$2:$J$2437,Q$1)</f>
        <v>0</v>
      </c>
      <c r="R50" s="76">
        <f>SUMIFS('июль 2025'!$G$2:$G$2437,'июль 2025'!$D$2:$D$2437,$B50,'июль 2025'!$J$2:$J$2437,R$1)</f>
        <v>0</v>
      </c>
      <c r="S50" s="76">
        <f>SUMIFS('июль 2025'!$G$2:$G$2437,'июль 2025'!$D$2:$D$2437,$B50,'июль 2025'!$J$2:$J$2437,S$1)</f>
        <v>0</v>
      </c>
      <c r="T50" s="76">
        <f>SUMIFS('июль 2025'!$G$2:$G$2437,'июль 2025'!$D$2:$D$2437,$B50,'июль 2025'!$J$2:$J$2437,T$1)</f>
        <v>0</v>
      </c>
      <c r="U50" s="76">
        <f>SUMIFS('июль 2025'!$G$2:$G$2437,'июль 2025'!$D$2:$D$2437,$B50,'июль 2025'!$J$2:$J$2437,U$1)</f>
        <v>0</v>
      </c>
      <c r="V50" s="76">
        <f>SUMIFS('июль 2025'!$G$2:$G$2437,'июль 2025'!$D$2:$D$2437,$B50,'июль 2025'!$J$2:$J$2437,V$1)</f>
        <v>0</v>
      </c>
      <c r="W50" s="76">
        <f>SUMIFS('июль 2025'!$G$2:$G$2437,'июль 2025'!$D$2:$D$2437,$B50,'июль 2025'!$J$2:$J$2437,W$1)</f>
        <v>0</v>
      </c>
      <c r="X50" s="76">
        <f>SUMIFS('июль 2025'!$G$2:$G$2437,'июль 2025'!$D$2:$D$2437,$B50,'июль 2025'!$J$2:$J$2437,X$1)</f>
        <v>0</v>
      </c>
      <c r="Y50" s="76">
        <f>SUMIFS('июль 2025'!$G$2:$G$2437,'июль 2025'!$D$2:$D$2437,$B50,'июль 2025'!$J$2:$J$2437,Y$1)</f>
        <v>0</v>
      </c>
      <c r="Z50" s="76">
        <f>SUMIFS('июль 2025'!$G$2:$G$2437,'июль 2025'!$D$2:$D$2437,$B50,'июль 2025'!$J$2:$J$2437,Z$1)</f>
        <v>0</v>
      </c>
      <c r="AA50" s="76">
        <f>SUMIFS('июль 2025'!$G$2:$G$2437,'июль 2025'!$D$2:$D$2437,$B50,'июль 2025'!$J$2:$J$2437,AA$1)</f>
        <v>0</v>
      </c>
      <c r="AB50" s="76">
        <f>SUMIFS('июль 2025'!$G$2:$G$2437,'июль 2025'!$D$2:$D$2437,$B50,'июль 2025'!$J$2:$J$2437,AB$1)</f>
        <v>0</v>
      </c>
      <c r="AC50" s="76">
        <f>SUMIFS('июль 2025'!$G$2:$G$2437,'июль 2025'!$D$2:$D$2437,$B50,'июль 2025'!$J$2:$J$2437,AC$1)</f>
        <v>0</v>
      </c>
      <c r="AD50" s="76">
        <f>SUMIFS('июль 2025'!$G$2:$G$2437,'июль 2025'!$D$2:$D$2437,$B50,'июль 2025'!$J$2:$J$2437,AD$1)</f>
        <v>0</v>
      </c>
      <c r="AE50" s="76">
        <f>SUMIFS('июль 2025'!$G$2:$G$2437,'июль 2025'!$D$2:$D$2437,$B50,'июль 2025'!$J$2:$J$2437,AE$1)</f>
        <v>0</v>
      </c>
      <c r="AF50" s="76">
        <f>SUMIFS('июль 2025'!$G$2:$G$2437,'июль 2025'!$D$2:$D$2437,$B50,'июль 2025'!$J$2:$J$2437,AF$1)</f>
        <v>0</v>
      </c>
      <c r="AG50" s="76">
        <f>SUMIFS('июль 2025'!$G$2:$G$2437,'июль 2025'!$D$2:$D$2437,$B50,'июль 2025'!$J$2:$J$2437,AG$1)</f>
        <v>0</v>
      </c>
      <c r="AH50" s="76">
        <f>SUMIFS('июль 2025'!$G$2:$G$2437,'июль 2025'!$D$2:$D$2437,$B50,'июль 2025'!$J$2:$J$2437,AH$1)</f>
        <v>0</v>
      </c>
      <c r="AI50" s="20">
        <f t="shared" si="1"/>
        <v>0</v>
      </c>
    </row>
    <row r="51" spans="2:35" ht="15" customHeight="1" x14ac:dyDescent="0.25">
      <c r="B51" s="131" t="s">
        <v>238</v>
      </c>
      <c r="C51" s="134">
        <v>20</v>
      </c>
      <c r="D51" s="76">
        <f>SUMIFS('июль 2025'!$G$2:$G$2437,'июль 2025'!$D$2:$D$2437,$B51,'июль 2025'!$J$2:$J$2437,D$1)</f>
        <v>0</v>
      </c>
      <c r="E51" s="76">
        <f>SUMIFS('июль 2025'!$G$2:$G$2437,'июль 2025'!$D$2:$D$2437,$B51,'июль 2025'!$J$2:$J$2437,E$1)</f>
        <v>0</v>
      </c>
      <c r="F51" s="76">
        <f>SUMIFS('июль 2025'!$G$2:$G$2437,'июль 2025'!$D$2:$D$2437,$B51,'июль 2025'!$J$2:$J$2437,F$1)</f>
        <v>0</v>
      </c>
      <c r="G51" s="76">
        <f>SUMIFS('июль 2025'!$G$2:$G$2437,'июль 2025'!$D$2:$D$2437,$B51,'июль 2025'!$J$2:$J$2437,G$1)</f>
        <v>0</v>
      </c>
      <c r="H51" s="76">
        <f>SUMIFS('июль 2025'!$G$2:$G$2437,'июль 2025'!$D$2:$D$2437,$B51,'июль 2025'!$J$2:$J$2437,H$1)</f>
        <v>0</v>
      </c>
      <c r="I51" s="76">
        <f>SUMIFS('июль 2025'!$G$2:$G$2437,'июль 2025'!$D$2:$D$2437,$B51,'июль 2025'!$J$2:$J$2437,I$1)</f>
        <v>0</v>
      </c>
      <c r="J51" s="76">
        <f>SUMIFS('июль 2025'!$G$2:$G$2437,'июль 2025'!$D$2:$D$2437,$B51,'июль 2025'!$J$2:$J$2437,J$1)</f>
        <v>0</v>
      </c>
      <c r="K51" s="76">
        <f>SUMIFS('июль 2025'!$G$2:$G$2437,'июль 2025'!$D$2:$D$2437,$B51,'июль 2025'!$J$2:$J$2437,K$1)</f>
        <v>0</v>
      </c>
      <c r="L51" s="76">
        <f>SUMIFS('июль 2025'!$G$2:$G$2437,'июль 2025'!$D$2:$D$2437,$B51,'июль 2025'!$J$2:$J$2437,L$1)</f>
        <v>0</v>
      </c>
      <c r="M51" s="76">
        <f>SUMIFS('июль 2025'!$G$2:$G$2437,'июль 2025'!$D$2:$D$2437,$B51,'июль 2025'!$J$2:$J$2437,M$1)</f>
        <v>0</v>
      </c>
      <c r="N51" s="76">
        <f>SUMIFS('июль 2025'!$G$2:$G$2437,'июль 2025'!$D$2:$D$2437,$B51,'июль 2025'!$J$2:$J$2437,N$1)</f>
        <v>0</v>
      </c>
      <c r="O51" s="76">
        <f>SUMIFS('июль 2025'!$G$2:$G$2437,'июль 2025'!$D$2:$D$2437,$B51,'июль 2025'!$J$2:$J$2437,O$1)</f>
        <v>0</v>
      </c>
      <c r="P51" s="76">
        <f>SUMIFS('июль 2025'!$G$2:$G$2437,'июль 2025'!$D$2:$D$2437,$B51,'июль 2025'!$J$2:$J$2437,P$1)</f>
        <v>0</v>
      </c>
      <c r="Q51" s="76">
        <f>SUMIFS('июль 2025'!$G$2:$G$2437,'июль 2025'!$D$2:$D$2437,$B51,'июль 2025'!$J$2:$J$2437,Q$1)</f>
        <v>0</v>
      </c>
      <c r="R51" s="76">
        <f>SUMIFS('июль 2025'!$G$2:$G$2437,'июль 2025'!$D$2:$D$2437,$B51,'июль 2025'!$J$2:$J$2437,R$1)</f>
        <v>0</v>
      </c>
      <c r="S51" s="76">
        <f>SUMIFS('июль 2025'!$G$2:$G$2437,'июль 2025'!$D$2:$D$2437,$B51,'июль 2025'!$J$2:$J$2437,S$1)</f>
        <v>0</v>
      </c>
      <c r="T51" s="76">
        <f>SUMIFS('июль 2025'!$G$2:$G$2437,'июль 2025'!$D$2:$D$2437,$B51,'июль 2025'!$J$2:$J$2437,T$1)</f>
        <v>0</v>
      </c>
      <c r="U51" s="76">
        <f>SUMIFS('июль 2025'!$G$2:$G$2437,'июль 2025'!$D$2:$D$2437,$B51,'июль 2025'!$J$2:$J$2437,U$1)</f>
        <v>0</v>
      </c>
      <c r="V51" s="76">
        <f>SUMIFS('июль 2025'!$G$2:$G$2437,'июль 2025'!$D$2:$D$2437,$B51,'июль 2025'!$J$2:$J$2437,V$1)</f>
        <v>0</v>
      </c>
      <c r="W51" s="76">
        <f>SUMIFS('июль 2025'!$G$2:$G$2437,'июль 2025'!$D$2:$D$2437,$B51,'июль 2025'!$J$2:$J$2437,W$1)</f>
        <v>0</v>
      </c>
      <c r="X51" s="76">
        <f>SUMIFS('июль 2025'!$G$2:$G$2437,'июль 2025'!$D$2:$D$2437,$B51,'июль 2025'!$J$2:$J$2437,X$1)</f>
        <v>0</v>
      </c>
      <c r="Y51" s="76">
        <f>SUMIFS('июль 2025'!$G$2:$G$2437,'июль 2025'!$D$2:$D$2437,$B51,'июль 2025'!$J$2:$J$2437,Y$1)</f>
        <v>0</v>
      </c>
      <c r="Z51" s="76">
        <f>SUMIFS('июль 2025'!$G$2:$G$2437,'июль 2025'!$D$2:$D$2437,$B51,'июль 2025'!$J$2:$J$2437,Z$1)</f>
        <v>0</v>
      </c>
      <c r="AA51" s="76">
        <f>SUMIFS('июль 2025'!$G$2:$G$2437,'июль 2025'!$D$2:$D$2437,$B51,'июль 2025'!$J$2:$J$2437,AA$1)</f>
        <v>0</v>
      </c>
      <c r="AB51" s="76">
        <f>SUMIFS('июль 2025'!$G$2:$G$2437,'июль 2025'!$D$2:$D$2437,$B51,'июль 2025'!$J$2:$J$2437,AB$1)</f>
        <v>0</v>
      </c>
      <c r="AC51" s="76">
        <f>SUMIFS('июль 2025'!$G$2:$G$2437,'июль 2025'!$D$2:$D$2437,$B51,'июль 2025'!$J$2:$J$2437,AC$1)</f>
        <v>0</v>
      </c>
      <c r="AD51" s="76">
        <f>SUMIFS('июль 2025'!$G$2:$G$2437,'июль 2025'!$D$2:$D$2437,$B51,'июль 2025'!$J$2:$J$2437,AD$1)</f>
        <v>0</v>
      </c>
      <c r="AE51" s="76">
        <f>SUMIFS('июль 2025'!$G$2:$G$2437,'июль 2025'!$D$2:$D$2437,$B51,'июль 2025'!$J$2:$J$2437,AE$1)</f>
        <v>0</v>
      </c>
      <c r="AF51" s="76">
        <f>SUMIFS('июль 2025'!$G$2:$G$2437,'июль 2025'!$D$2:$D$2437,$B51,'июль 2025'!$J$2:$J$2437,AF$1)</f>
        <v>0</v>
      </c>
      <c r="AG51" s="76">
        <f>SUMIFS('июль 2025'!$G$2:$G$2437,'июль 2025'!$D$2:$D$2437,$B51,'июль 2025'!$J$2:$J$2437,AG$1)</f>
        <v>0</v>
      </c>
      <c r="AH51" s="76">
        <f>SUMIFS('июль 2025'!$G$2:$G$2437,'июль 2025'!$D$2:$D$2437,$B51,'июль 2025'!$J$2:$J$2437,AH$1)</f>
        <v>0</v>
      </c>
      <c r="AI51" s="20">
        <f t="shared" si="1"/>
        <v>0</v>
      </c>
    </row>
    <row r="52" spans="2:35" ht="15" customHeight="1" x14ac:dyDescent="0.25">
      <c r="B52" s="131" t="s">
        <v>240</v>
      </c>
      <c r="C52" s="130">
        <v>20</v>
      </c>
      <c r="D52" s="76">
        <f>SUMIFS('июль 2025'!$G$2:$G$2437,'июль 2025'!$D$2:$D$2437,$B52,'июль 2025'!$J$2:$J$2437,D$1)</f>
        <v>0</v>
      </c>
      <c r="E52" s="76">
        <f>SUMIFS('июль 2025'!$G$2:$G$2437,'июль 2025'!$D$2:$D$2437,$B52,'июль 2025'!$J$2:$J$2437,E$1)</f>
        <v>0</v>
      </c>
      <c r="F52" s="76">
        <f>SUMIFS('июль 2025'!$G$2:$G$2437,'июль 2025'!$D$2:$D$2437,$B52,'июль 2025'!$J$2:$J$2437,F$1)</f>
        <v>0</v>
      </c>
      <c r="G52" s="76">
        <f>SUMIFS('июль 2025'!$G$2:$G$2437,'июль 2025'!$D$2:$D$2437,$B52,'июль 2025'!$J$2:$J$2437,G$1)</f>
        <v>0</v>
      </c>
      <c r="H52" s="76">
        <f>SUMIFS('июль 2025'!$G$2:$G$2437,'июль 2025'!$D$2:$D$2437,$B52,'июль 2025'!$J$2:$J$2437,H$1)</f>
        <v>0</v>
      </c>
      <c r="I52" s="76">
        <f>SUMIFS('июль 2025'!$G$2:$G$2437,'июль 2025'!$D$2:$D$2437,$B52,'июль 2025'!$J$2:$J$2437,I$1)</f>
        <v>0</v>
      </c>
      <c r="J52" s="76">
        <f>SUMIFS('июль 2025'!$G$2:$G$2437,'июль 2025'!$D$2:$D$2437,$B52,'июль 2025'!$J$2:$J$2437,J$1)</f>
        <v>0</v>
      </c>
      <c r="K52" s="76">
        <f>SUMIFS('июль 2025'!$G$2:$G$2437,'июль 2025'!$D$2:$D$2437,$B52,'июль 2025'!$J$2:$J$2437,K$1)</f>
        <v>0</v>
      </c>
      <c r="L52" s="76">
        <f>SUMIFS('июль 2025'!$G$2:$G$2437,'июль 2025'!$D$2:$D$2437,$B52,'июль 2025'!$J$2:$J$2437,L$1)</f>
        <v>0</v>
      </c>
      <c r="M52" s="76">
        <f>SUMIFS('июль 2025'!$G$2:$G$2437,'июль 2025'!$D$2:$D$2437,$B52,'июль 2025'!$J$2:$J$2437,M$1)</f>
        <v>0</v>
      </c>
      <c r="N52" s="76">
        <f>SUMIFS('июль 2025'!$G$2:$G$2437,'июль 2025'!$D$2:$D$2437,$B52,'июль 2025'!$J$2:$J$2437,N$1)</f>
        <v>0</v>
      </c>
      <c r="O52" s="76">
        <f>SUMIFS('июль 2025'!$G$2:$G$2437,'июль 2025'!$D$2:$D$2437,$B52,'июль 2025'!$J$2:$J$2437,O$1)</f>
        <v>0</v>
      </c>
      <c r="P52" s="76">
        <f>SUMIFS('июль 2025'!$G$2:$G$2437,'июль 2025'!$D$2:$D$2437,$B52,'июль 2025'!$J$2:$J$2437,P$1)</f>
        <v>0</v>
      </c>
      <c r="Q52" s="76">
        <f>SUMIFS('июль 2025'!$G$2:$G$2437,'июль 2025'!$D$2:$D$2437,$B52,'июль 2025'!$J$2:$J$2437,Q$1)</f>
        <v>0</v>
      </c>
      <c r="R52" s="76">
        <f>SUMIFS('июль 2025'!$G$2:$G$2437,'июль 2025'!$D$2:$D$2437,$B52,'июль 2025'!$J$2:$J$2437,R$1)</f>
        <v>0</v>
      </c>
      <c r="S52" s="76">
        <f>SUMIFS('июль 2025'!$G$2:$G$2437,'июль 2025'!$D$2:$D$2437,$B52,'июль 2025'!$J$2:$J$2437,S$1)</f>
        <v>0</v>
      </c>
      <c r="T52" s="76">
        <f>SUMIFS('июль 2025'!$G$2:$G$2437,'июль 2025'!$D$2:$D$2437,$B52,'июль 2025'!$J$2:$J$2437,T$1)</f>
        <v>0</v>
      </c>
      <c r="U52" s="76">
        <f>SUMIFS('июль 2025'!$G$2:$G$2437,'июль 2025'!$D$2:$D$2437,$B52,'июль 2025'!$J$2:$J$2437,U$1)</f>
        <v>0</v>
      </c>
      <c r="V52" s="76">
        <f>SUMIFS('июль 2025'!$G$2:$G$2437,'июль 2025'!$D$2:$D$2437,$B52,'июль 2025'!$J$2:$J$2437,V$1)</f>
        <v>0</v>
      </c>
      <c r="W52" s="76">
        <f>SUMIFS('июль 2025'!$G$2:$G$2437,'июль 2025'!$D$2:$D$2437,$B52,'июль 2025'!$J$2:$J$2437,W$1)</f>
        <v>0</v>
      </c>
      <c r="X52" s="76">
        <f>SUMIFS('июль 2025'!$G$2:$G$2437,'июль 2025'!$D$2:$D$2437,$B52,'июль 2025'!$J$2:$J$2437,X$1)</f>
        <v>0</v>
      </c>
      <c r="Y52" s="76">
        <f>SUMIFS('июль 2025'!$G$2:$G$2437,'июль 2025'!$D$2:$D$2437,$B52,'июль 2025'!$J$2:$J$2437,Y$1)</f>
        <v>0</v>
      </c>
      <c r="Z52" s="76">
        <f>SUMIFS('июль 2025'!$G$2:$G$2437,'июль 2025'!$D$2:$D$2437,$B52,'июль 2025'!$J$2:$J$2437,Z$1)</f>
        <v>0</v>
      </c>
      <c r="AA52" s="76">
        <f>SUMIFS('июль 2025'!$G$2:$G$2437,'июль 2025'!$D$2:$D$2437,$B52,'июль 2025'!$J$2:$J$2437,AA$1)</f>
        <v>0</v>
      </c>
      <c r="AB52" s="76">
        <f>SUMIFS('июль 2025'!$G$2:$G$2437,'июль 2025'!$D$2:$D$2437,$B52,'июль 2025'!$J$2:$J$2437,AB$1)</f>
        <v>0</v>
      </c>
      <c r="AC52" s="76">
        <f>SUMIFS('июль 2025'!$G$2:$G$2437,'июль 2025'!$D$2:$D$2437,$B52,'июль 2025'!$J$2:$J$2437,AC$1)</f>
        <v>0</v>
      </c>
      <c r="AD52" s="76">
        <f>SUMIFS('июль 2025'!$G$2:$G$2437,'июль 2025'!$D$2:$D$2437,$B52,'июль 2025'!$J$2:$J$2437,AD$1)</f>
        <v>0</v>
      </c>
      <c r="AE52" s="76">
        <f>SUMIFS('июль 2025'!$G$2:$G$2437,'июль 2025'!$D$2:$D$2437,$B52,'июль 2025'!$J$2:$J$2437,AE$1)</f>
        <v>0</v>
      </c>
      <c r="AF52" s="76">
        <f>SUMIFS('июль 2025'!$G$2:$G$2437,'июль 2025'!$D$2:$D$2437,$B52,'июль 2025'!$J$2:$J$2437,AF$1)</f>
        <v>0</v>
      </c>
      <c r="AG52" s="76">
        <f>SUMIFS('июль 2025'!$G$2:$G$2437,'июль 2025'!$D$2:$D$2437,$B52,'июль 2025'!$J$2:$J$2437,AG$1)</f>
        <v>0</v>
      </c>
      <c r="AH52" s="76">
        <f>SUMIFS('июль 2025'!$G$2:$G$2437,'июль 2025'!$D$2:$D$2437,$B52,'июль 2025'!$J$2:$J$2437,AH$1)</f>
        <v>0</v>
      </c>
      <c r="AI52" s="20">
        <f t="shared" si="1"/>
        <v>0</v>
      </c>
    </row>
    <row r="53" spans="2:35" ht="15" customHeight="1" x14ac:dyDescent="0.25">
      <c r="B53" s="131" t="s">
        <v>242</v>
      </c>
      <c r="C53" s="132">
        <v>20</v>
      </c>
      <c r="D53" s="76">
        <f>SUMIFS('июль 2025'!$G$2:$G$2437,'июль 2025'!$D$2:$D$2437,$B53,'июль 2025'!$J$2:$J$2437,D$1)</f>
        <v>0</v>
      </c>
      <c r="E53" s="76">
        <f>SUMIFS('июль 2025'!$G$2:$G$2437,'июль 2025'!$D$2:$D$2437,$B53,'июль 2025'!$J$2:$J$2437,E$1)</f>
        <v>0</v>
      </c>
      <c r="F53" s="76">
        <f>SUMIFS('июль 2025'!$G$2:$G$2437,'июль 2025'!$D$2:$D$2437,$B53,'июль 2025'!$J$2:$J$2437,F$1)</f>
        <v>0</v>
      </c>
      <c r="G53" s="76">
        <f>SUMIFS('июль 2025'!$G$2:$G$2437,'июль 2025'!$D$2:$D$2437,$B53,'июль 2025'!$J$2:$J$2437,G$1)</f>
        <v>0</v>
      </c>
      <c r="H53" s="76">
        <f>SUMIFS('июль 2025'!$G$2:$G$2437,'июль 2025'!$D$2:$D$2437,$B53,'июль 2025'!$J$2:$J$2437,H$1)</f>
        <v>0</v>
      </c>
      <c r="I53" s="76">
        <f>SUMIFS('июль 2025'!$G$2:$G$2437,'июль 2025'!$D$2:$D$2437,$B53,'июль 2025'!$J$2:$J$2437,I$1)</f>
        <v>0</v>
      </c>
      <c r="J53" s="76">
        <f>SUMIFS('июль 2025'!$G$2:$G$2437,'июль 2025'!$D$2:$D$2437,$B53,'июль 2025'!$J$2:$J$2437,J$1)</f>
        <v>0</v>
      </c>
      <c r="K53" s="76">
        <f>SUMIFS('июль 2025'!$G$2:$G$2437,'июль 2025'!$D$2:$D$2437,$B53,'июль 2025'!$J$2:$J$2437,K$1)</f>
        <v>0</v>
      </c>
      <c r="L53" s="76">
        <f>SUMIFS('июль 2025'!$G$2:$G$2437,'июль 2025'!$D$2:$D$2437,$B53,'июль 2025'!$J$2:$J$2437,L$1)</f>
        <v>0</v>
      </c>
      <c r="M53" s="76">
        <f>SUMIFS('июль 2025'!$G$2:$G$2437,'июль 2025'!$D$2:$D$2437,$B53,'июль 2025'!$J$2:$J$2437,M$1)</f>
        <v>0</v>
      </c>
      <c r="N53" s="76">
        <f>SUMIFS('июль 2025'!$G$2:$G$2437,'июль 2025'!$D$2:$D$2437,$B53,'июль 2025'!$J$2:$J$2437,N$1)</f>
        <v>0</v>
      </c>
      <c r="O53" s="76">
        <f>SUMIFS('июль 2025'!$G$2:$G$2437,'июль 2025'!$D$2:$D$2437,$B53,'июль 2025'!$J$2:$J$2437,O$1)</f>
        <v>0</v>
      </c>
      <c r="P53" s="76">
        <f>SUMIFS('июль 2025'!$G$2:$G$2437,'июль 2025'!$D$2:$D$2437,$B53,'июль 2025'!$J$2:$J$2437,P$1)</f>
        <v>0</v>
      </c>
      <c r="Q53" s="76">
        <f>SUMIFS('июль 2025'!$G$2:$G$2437,'июль 2025'!$D$2:$D$2437,$B53,'июль 2025'!$J$2:$J$2437,Q$1)</f>
        <v>0</v>
      </c>
      <c r="R53" s="76">
        <f>SUMIFS('июль 2025'!$G$2:$G$2437,'июль 2025'!$D$2:$D$2437,$B53,'июль 2025'!$J$2:$J$2437,R$1)</f>
        <v>0</v>
      </c>
      <c r="S53" s="76">
        <f>SUMIFS('июль 2025'!$G$2:$G$2437,'июль 2025'!$D$2:$D$2437,$B53,'июль 2025'!$J$2:$J$2437,S$1)</f>
        <v>0</v>
      </c>
      <c r="T53" s="76">
        <f>SUMIFS('июль 2025'!$G$2:$G$2437,'июль 2025'!$D$2:$D$2437,$B53,'июль 2025'!$J$2:$J$2437,T$1)</f>
        <v>0</v>
      </c>
      <c r="U53" s="76">
        <f>SUMIFS('июль 2025'!$G$2:$G$2437,'июль 2025'!$D$2:$D$2437,$B53,'июль 2025'!$J$2:$J$2437,U$1)</f>
        <v>0</v>
      </c>
      <c r="V53" s="76">
        <f>SUMIFS('июль 2025'!$G$2:$G$2437,'июль 2025'!$D$2:$D$2437,$B53,'июль 2025'!$J$2:$J$2437,V$1)</f>
        <v>0</v>
      </c>
      <c r="W53" s="76">
        <f>SUMIFS('июль 2025'!$G$2:$G$2437,'июль 2025'!$D$2:$D$2437,$B53,'июль 2025'!$J$2:$J$2437,W$1)</f>
        <v>0</v>
      </c>
      <c r="X53" s="76">
        <f>SUMIFS('июль 2025'!$G$2:$G$2437,'июль 2025'!$D$2:$D$2437,$B53,'июль 2025'!$J$2:$J$2437,X$1)</f>
        <v>0</v>
      </c>
      <c r="Y53" s="76">
        <f>SUMIFS('июль 2025'!$G$2:$G$2437,'июль 2025'!$D$2:$D$2437,$B53,'июль 2025'!$J$2:$J$2437,Y$1)</f>
        <v>0</v>
      </c>
      <c r="Z53" s="76">
        <f>SUMIFS('июль 2025'!$G$2:$G$2437,'июль 2025'!$D$2:$D$2437,$B53,'июль 2025'!$J$2:$J$2437,Z$1)</f>
        <v>0</v>
      </c>
      <c r="AA53" s="76">
        <f>SUMIFS('июль 2025'!$G$2:$G$2437,'июль 2025'!$D$2:$D$2437,$B53,'июль 2025'!$J$2:$J$2437,AA$1)</f>
        <v>0</v>
      </c>
      <c r="AB53" s="76">
        <f>SUMIFS('июль 2025'!$G$2:$G$2437,'июль 2025'!$D$2:$D$2437,$B53,'июль 2025'!$J$2:$J$2437,AB$1)</f>
        <v>0</v>
      </c>
      <c r="AC53" s="76">
        <f>SUMIFS('июль 2025'!$G$2:$G$2437,'июль 2025'!$D$2:$D$2437,$B53,'июль 2025'!$J$2:$J$2437,AC$1)</f>
        <v>0</v>
      </c>
      <c r="AD53" s="76">
        <f>SUMIFS('июль 2025'!$G$2:$G$2437,'июль 2025'!$D$2:$D$2437,$B53,'июль 2025'!$J$2:$J$2437,AD$1)</f>
        <v>0</v>
      </c>
      <c r="AE53" s="76">
        <f>SUMIFS('июль 2025'!$G$2:$G$2437,'июль 2025'!$D$2:$D$2437,$B53,'июль 2025'!$J$2:$J$2437,AE$1)</f>
        <v>0</v>
      </c>
      <c r="AF53" s="76">
        <f>SUMIFS('июль 2025'!$G$2:$G$2437,'июль 2025'!$D$2:$D$2437,$B53,'июль 2025'!$J$2:$J$2437,AF$1)</f>
        <v>0</v>
      </c>
      <c r="AG53" s="76">
        <f>SUMIFS('июль 2025'!$G$2:$G$2437,'июль 2025'!$D$2:$D$2437,$B53,'июль 2025'!$J$2:$J$2437,AG$1)</f>
        <v>0</v>
      </c>
      <c r="AH53" s="76">
        <f>SUMIFS('июль 2025'!$G$2:$G$2437,'июль 2025'!$D$2:$D$2437,$B53,'июль 2025'!$J$2:$J$2437,AH$1)</f>
        <v>0</v>
      </c>
      <c r="AI53" s="20">
        <f t="shared" si="1"/>
        <v>0</v>
      </c>
    </row>
    <row r="54" spans="2:35" ht="15" customHeight="1" x14ac:dyDescent="0.25">
      <c r="B54" s="131" t="s">
        <v>244</v>
      </c>
      <c r="C54" s="132">
        <v>14</v>
      </c>
      <c r="D54" s="76">
        <f>SUMIFS('июль 2025'!$G$2:$G$2437,'июль 2025'!$D$2:$D$2437,$B54,'июль 2025'!$J$2:$J$2437,D$1)</f>
        <v>0</v>
      </c>
      <c r="E54" s="76">
        <f>SUMIFS('июль 2025'!$G$2:$G$2437,'июль 2025'!$D$2:$D$2437,$B54,'июль 2025'!$J$2:$J$2437,E$1)</f>
        <v>0</v>
      </c>
      <c r="F54" s="76">
        <f>SUMIFS('июль 2025'!$G$2:$G$2437,'июль 2025'!$D$2:$D$2437,$B54,'июль 2025'!$J$2:$J$2437,F$1)</f>
        <v>0</v>
      </c>
      <c r="G54" s="76">
        <f>SUMIFS('июль 2025'!$G$2:$G$2437,'июль 2025'!$D$2:$D$2437,$B54,'июль 2025'!$J$2:$J$2437,G$1)</f>
        <v>0</v>
      </c>
      <c r="H54" s="76">
        <f>SUMIFS('июль 2025'!$G$2:$G$2437,'июль 2025'!$D$2:$D$2437,$B54,'июль 2025'!$J$2:$J$2437,H$1)</f>
        <v>0</v>
      </c>
      <c r="I54" s="76">
        <f>SUMIFS('июль 2025'!$G$2:$G$2437,'июль 2025'!$D$2:$D$2437,$B54,'июль 2025'!$J$2:$J$2437,I$1)</f>
        <v>0</v>
      </c>
      <c r="J54" s="76">
        <f>SUMIFS('июль 2025'!$G$2:$G$2437,'июль 2025'!$D$2:$D$2437,$B54,'июль 2025'!$J$2:$J$2437,J$1)</f>
        <v>0</v>
      </c>
      <c r="K54" s="76">
        <f>SUMIFS('июль 2025'!$G$2:$G$2437,'июль 2025'!$D$2:$D$2437,$B54,'июль 2025'!$J$2:$J$2437,K$1)</f>
        <v>0</v>
      </c>
      <c r="L54" s="76">
        <f>SUMIFS('июль 2025'!$G$2:$G$2437,'июль 2025'!$D$2:$D$2437,$B54,'июль 2025'!$J$2:$J$2437,L$1)</f>
        <v>0</v>
      </c>
      <c r="M54" s="76">
        <f>SUMIFS('июль 2025'!$G$2:$G$2437,'июль 2025'!$D$2:$D$2437,$B54,'июль 2025'!$J$2:$J$2437,M$1)</f>
        <v>0</v>
      </c>
      <c r="N54" s="76">
        <f>SUMIFS('июль 2025'!$G$2:$G$2437,'июль 2025'!$D$2:$D$2437,$B54,'июль 2025'!$J$2:$J$2437,N$1)</f>
        <v>0</v>
      </c>
      <c r="O54" s="76">
        <f>SUMIFS('июль 2025'!$G$2:$G$2437,'июль 2025'!$D$2:$D$2437,$B54,'июль 2025'!$J$2:$J$2437,O$1)</f>
        <v>0</v>
      </c>
      <c r="P54" s="76">
        <f>SUMIFS('июль 2025'!$G$2:$G$2437,'июль 2025'!$D$2:$D$2437,$B54,'июль 2025'!$J$2:$J$2437,P$1)</f>
        <v>0</v>
      </c>
      <c r="Q54" s="76">
        <f>SUMIFS('июль 2025'!$G$2:$G$2437,'июль 2025'!$D$2:$D$2437,$B54,'июль 2025'!$J$2:$J$2437,Q$1)</f>
        <v>0</v>
      </c>
      <c r="R54" s="76">
        <f>SUMIFS('июль 2025'!$G$2:$G$2437,'июль 2025'!$D$2:$D$2437,$B54,'июль 2025'!$J$2:$J$2437,R$1)</f>
        <v>0</v>
      </c>
      <c r="S54" s="76">
        <f>SUMIFS('июль 2025'!$G$2:$G$2437,'июль 2025'!$D$2:$D$2437,$B54,'июль 2025'!$J$2:$J$2437,S$1)</f>
        <v>0</v>
      </c>
      <c r="T54" s="76">
        <f>SUMIFS('июль 2025'!$G$2:$G$2437,'июль 2025'!$D$2:$D$2437,$B54,'июль 2025'!$J$2:$J$2437,T$1)</f>
        <v>0</v>
      </c>
      <c r="U54" s="76">
        <f>SUMIFS('июль 2025'!$G$2:$G$2437,'июль 2025'!$D$2:$D$2437,$B54,'июль 2025'!$J$2:$J$2437,U$1)</f>
        <v>0</v>
      </c>
      <c r="V54" s="76">
        <f>SUMIFS('июль 2025'!$G$2:$G$2437,'июль 2025'!$D$2:$D$2437,$B54,'июль 2025'!$J$2:$J$2437,V$1)</f>
        <v>0</v>
      </c>
      <c r="W54" s="76">
        <f>SUMIFS('июль 2025'!$G$2:$G$2437,'июль 2025'!$D$2:$D$2437,$B54,'июль 2025'!$J$2:$J$2437,W$1)</f>
        <v>0</v>
      </c>
      <c r="X54" s="76">
        <f>SUMIFS('июль 2025'!$G$2:$G$2437,'июль 2025'!$D$2:$D$2437,$B54,'июль 2025'!$J$2:$J$2437,X$1)</f>
        <v>0</v>
      </c>
      <c r="Y54" s="76">
        <f>SUMIFS('июль 2025'!$G$2:$G$2437,'июль 2025'!$D$2:$D$2437,$B54,'июль 2025'!$J$2:$J$2437,Y$1)</f>
        <v>0</v>
      </c>
      <c r="Z54" s="76">
        <f>SUMIFS('июль 2025'!$G$2:$G$2437,'июль 2025'!$D$2:$D$2437,$B54,'июль 2025'!$J$2:$J$2437,Z$1)</f>
        <v>0</v>
      </c>
      <c r="AA54" s="76">
        <f>SUMIFS('июль 2025'!$G$2:$G$2437,'июль 2025'!$D$2:$D$2437,$B54,'июль 2025'!$J$2:$J$2437,AA$1)</f>
        <v>0</v>
      </c>
      <c r="AB54" s="76">
        <f>SUMIFS('июль 2025'!$G$2:$G$2437,'июль 2025'!$D$2:$D$2437,$B54,'июль 2025'!$J$2:$J$2437,AB$1)</f>
        <v>0</v>
      </c>
      <c r="AC54" s="76">
        <f>SUMIFS('июль 2025'!$G$2:$G$2437,'июль 2025'!$D$2:$D$2437,$B54,'июль 2025'!$J$2:$J$2437,AC$1)</f>
        <v>0</v>
      </c>
      <c r="AD54" s="76">
        <f>SUMIFS('июль 2025'!$G$2:$G$2437,'июль 2025'!$D$2:$D$2437,$B54,'июль 2025'!$J$2:$J$2437,AD$1)</f>
        <v>0</v>
      </c>
      <c r="AE54" s="76">
        <f>SUMIFS('июль 2025'!$G$2:$G$2437,'июль 2025'!$D$2:$D$2437,$B54,'июль 2025'!$J$2:$J$2437,AE$1)</f>
        <v>0</v>
      </c>
      <c r="AF54" s="76">
        <f>SUMIFS('июль 2025'!$G$2:$G$2437,'июль 2025'!$D$2:$D$2437,$B54,'июль 2025'!$J$2:$J$2437,AF$1)</f>
        <v>0</v>
      </c>
      <c r="AG54" s="76">
        <f>SUMIFS('июль 2025'!$G$2:$G$2437,'июль 2025'!$D$2:$D$2437,$B54,'июль 2025'!$J$2:$J$2437,AG$1)</f>
        <v>0</v>
      </c>
      <c r="AH54" s="76">
        <f>SUMIFS('июль 2025'!$G$2:$G$2437,'июль 2025'!$D$2:$D$2437,$B54,'июль 2025'!$J$2:$J$2437,AH$1)</f>
        <v>0</v>
      </c>
      <c r="AI54" s="20">
        <f t="shared" si="1"/>
        <v>0</v>
      </c>
    </row>
    <row r="55" spans="2:35" ht="15" customHeight="1" x14ac:dyDescent="0.25">
      <c r="B55" s="131" t="s">
        <v>246</v>
      </c>
      <c r="C55" s="132">
        <v>25</v>
      </c>
      <c r="D55" s="76">
        <f>SUMIFS('июль 2025'!$G$2:$G$2437,'июль 2025'!$D$2:$D$2437,$B55,'июль 2025'!$J$2:$J$2437,D$1)</f>
        <v>0</v>
      </c>
      <c r="E55" s="76">
        <f>SUMIFS('июль 2025'!$G$2:$G$2437,'июль 2025'!$D$2:$D$2437,$B55,'июль 2025'!$J$2:$J$2437,E$1)</f>
        <v>0</v>
      </c>
      <c r="F55" s="76">
        <f>SUMIFS('июль 2025'!$G$2:$G$2437,'июль 2025'!$D$2:$D$2437,$B55,'июль 2025'!$J$2:$J$2437,F$1)</f>
        <v>0</v>
      </c>
      <c r="G55" s="76">
        <f>SUMIFS('июль 2025'!$G$2:$G$2437,'июль 2025'!$D$2:$D$2437,$B55,'июль 2025'!$J$2:$J$2437,G$1)</f>
        <v>0</v>
      </c>
      <c r="H55" s="76">
        <f>SUMIFS('июль 2025'!$G$2:$G$2437,'июль 2025'!$D$2:$D$2437,$B55,'июль 2025'!$J$2:$J$2437,H$1)</f>
        <v>0</v>
      </c>
      <c r="I55" s="76">
        <f>SUMIFS('июль 2025'!$G$2:$G$2437,'июль 2025'!$D$2:$D$2437,$B55,'июль 2025'!$J$2:$J$2437,I$1)</f>
        <v>0</v>
      </c>
      <c r="J55" s="76">
        <f>SUMIFS('июль 2025'!$G$2:$G$2437,'июль 2025'!$D$2:$D$2437,$B55,'июль 2025'!$J$2:$J$2437,J$1)</f>
        <v>0</v>
      </c>
      <c r="K55" s="76">
        <f>SUMIFS('июль 2025'!$G$2:$G$2437,'июль 2025'!$D$2:$D$2437,$B55,'июль 2025'!$J$2:$J$2437,K$1)</f>
        <v>0</v>
      </c>
      <c r="L55" s="76">
        <f>SUMIFS('июль 2025'!$G$2:$G$2437,'июль 2025'!$D$2:$D$2437,$B55,'июль 2025'!$J$2:$J$2437,L$1)</f>
        <v>0</v>
      </c>
      <c r="M55" s="76">
        <f>SUMIFS('июль 2025'!$G$2:$G$2437,'июль 2025'!$D$2:$D$2437,$B55,'июль 2025'!$J$2:$J$2437,M$1)</f>
        <v>0</v>
      </c>
      <c r="N55" s="76">
        <f>SUMIFS('июль 2025'!$G$2:$G$2437,'июль 2025'!$D$2:$D$2437,$B55,'июль 2025'!$J$2:$J$2437,N$1)</f>
        <v>0</v>
      </c>
      <c r="O55" s="76">
        <f>SUMIFS('июль 2025'!$G$2:$G$2437,'июль 2025'!$D$2:$D$2437,$B55,'июль 2025'!$J$2:$J$2437,O$1)</f>
        <v>0</v>
      </c>
      <c r="P55" s="76">
        <f>SUMIFS('июль 2025'!$G$2:$G$2437,'июль 2025'!$D$2:$D$2437,$B55,'июль 2025'!$J$2:$J$2437,P$1)</f>
        <v>0</v>
      </c>
      <c r="Q55" s="76">
        <f>SUMIFS('июль 2025'!$G$2:$G$2437,'июль 2025'!$D$2:$D$2437,$B55,'июль 2025'!$J$2:$J$2437,Q$1)</f>
        <v>20</v>
      </c>
      <c r="R55" s="76">
        <f>SUMIFS('июль 2025'!$G$2:$G$2437,'июль 2025'!$D$2:$D$2437,$B55,'июль 2025'!$J$2:$J$2437,R$1)</f>
        <v>0</v>
      </c>
      <c r="S55" s="76">
        <f>SUMIFS('июль 2025'!$G$2:$G$2437,'июль 2025'!$D$2:$D$2437,$B55,'июль 2025'!$J$2:$J$2437,S$1)</f>
        <v>0</v>
      </c>
      <c r="T55" s="76">
        <f>SUMIFS('июль 2025'!$G$2:$G$2437,'июль 2025'!$D$2:$D$2437,$B55,'июль 2025'!$J$2:$J$2437,T$1)</f>
        <v>0</v>
      </c>
      <c r="U55" s="76">
        <f>SUMIFS('июль 2025'!$G$2:$G$2437,'июль 2025'!$D$2:$D$2437,$B55,'июль 2025'!$J$2:$J$2437,U$1)</f>
        <v>0</v>
      </c>
      <c r="V55" s="76">
        <f>SUMIFS('июль 2025'!$G$2:$G$2437,'июль 2025'!$D$2:$D$2437,$B55,'июль 2025'!$J$2:$J$2437,V$1)</f>
        <v>0</v>
      </c>
      <c r="W55" s="76">
        <f>SUMIFS('июль 2025'!$G$2:$G$2437,'июль 2025'!$D$2:$D$2437,$B55,'июль 2025'!$J$2:$J$2437,W$1)</f>
        <v>0</v>
      </c>
      <c r="X55" s="76">
        <f>SUMIFS('июль 2025'!$G$2:$G$2437,'июль 2025'!$D$2:$D$2437,$B55,'июль 2025'!$J$2:$J$2437,X$1)</f>
        <v>0</v>
      </c>
      <c r="Y55" s="76">
        <f>SUMIFS('июль 2025'!$G$2:$G$2437,'июль 2025'!$D$2:$D$2437,$B55,'июль 2025'!$J$2:$J$2437,Y$1)</f>
        <v>0</v>
      </c>
      <c r="Z55" s="76">
        <f>SUMIFS('июль 2025'!$G$2:$G$2437,'июль 2025'!$D$2:$D$2437,$B55,'июль 2025'!$J$2:$J$2437,Z$1)</f>
        <v>0</v>
      </c>
      <c r="AA55" s="76">
        <f>SUMIFS('июль 2025'!$G$2:$G$2437,'июль 2025'!$D$2:$D$2437,$B55,'июль 2025'!$J$2:$J$2437,AA$1)</f>
        <v>0</v>
      </c>
      <c r="AB55" s="76">
        <f>SUMIFS('июль 2025'!$G$2:$G$2437,'июль 2025'!$D$2:$D$2437,$B55,'июль 2025'!$J$2:$J$2437,AB$1)</f>
        <v>0</v>
      </c>
      <c r="AC55" s="76">
        <f>SUMIFS('июль 2025'!$G$2:$G$2437,'июль 2025'!$D$2:$D$2437,$B55,'июль 2025'!$J$2:$J$2437,AC$1)</f>
        <v>0</v>
      </c>
      <c r="AD55" s="76">
        <f>SUMIFS('июль 2025'!$G$2:$G$2437,'июль 2025'!$D$2:$D$2437,$B55,'июль 2025'!$J$2:$J$2437,AD$1)</f>
        <v>0</v>
      </c>
      <c r="AE55" s="76">
        <f>SUMIFS('июль 2025'!$G$2:$G$2437,'июль 2025'!$D$2:$D$2437,$B55,'июль 2025'!$J$2:$J$2437,AE$1)</f>
        <v>0</v>
      </c>
      <c r="AF55" s="76">
        <f>SUMIFS('июль 2025'!$G$2:$G$2437,'июль 2025'!$D$2:$D$2437,$B55,'июль 2025'!$J$2:$J$2437,AF$1)</f>
        <v>0</v>
      </c>
      <c r="AG55" s="76">
        <f>SUMIFS('июль 2025'!$G$2:$G$2437,'июль 2025'!$D$2:$D$2437,$B55,'июль 2025'!$J$2:$J$2437,AG$1)</f>
        <v>0</v>
      </c>
      <c r="AH55" s="76">
        <f>SUMIFS('июль 2025'!$G$2:$G$2437,'июль 2025'!$D$2:$D$2437,$B55,'июль 2025'!$J$2:$J$2437,AH$1)</f>
        <v>0</v>
      </c>
      <c r="AI55" s="20">
        <f t="shared" si="1"/>
        <v>20</v>
      </c>
    </row>
    <row r="56" spans="2:35" ht="15" customHeight="1" x14ac:dyDescent="0.25">
      <c r="B56" s="131" t="s">
        <v>252</v>
      </c>
      <c r="C56" s="132">
        <v>20</v>
      </c>
      <c r="D56" s="76">
        <f>SUMIFS('июль 2025'!$G$2:$G$2437,'июль 2025'!$D$2:$D$2437,$B56,'июль 2025'!$J$2:$J$2437,D$1)</f>
        <v>0</v>
      </c>
      <c r="E56" s="76">
        <f>SUMIFS('июль 2025'!$G$2:$G$2437,'июль 2025'!$D$2:$D$2437,$B56,'июль 2025'!$J$2:$J$2437,E$1)</f>
        <v>0</v>
      </c>
      <c r="F56" s="76">
        <f>SUMIFS('июль 2025'!$G$2:$G$2437,'июль 2025'!$D$2:$D$2437,$B56,'июль 2025'!$J$2:$J$2437,F$1)</f>
        <v>0</v>
      </c>
      <c r="G56" s="76">
        <f>SUMIFS('июль 2025'!$G$2:$G$2437,'июль 2025'!$D$2:$D$2437,$B56,'июль 2025'!$J$2:$J$2437,G$1)</f>
        <v>0</v>
      </c>
      <c r="H56" s="76">
        <f>SUMIFS('июль 2025'!$G$2:$G$2437,'июль 2025'!$D$2:$D$2437,$B56,'июль 2025'!$J$2:$J$2437,H$1)</f>
        <v>0</v>
      </c>
      <c r="I56" s="76">
        <f>SUMIFS('июль 2025'!$G$2:$G$2437,'июль 2025'!$D$2:$D$2437,$B56,'июль 2025'!$J$2:$J$2437,I$1)</f>
        <v>0</v>
      </c>
      <c r="J56" s="76">
        <f>SUMIFS('июль 2025'!$G$2:$G$2437,'июль 2025'!$D$2:$D$2437,$B56,'июль 2025'!$J$2:$J$2437,J$1)</f>
        <v>0</v>
      </c>
      <c r="K56" s="76">
        <f>SUMIFS('июль 2025'!$G$2:$G$2437,'июль 2025'!$D$2:$D$2437,$B56,'июль 2025'!$J$2:$J$2437,K$1)</f>
        <v>0</v>
      </c>
      <c r="L56" s="76">
        <f>SUMIFS('июль 2025'!$G$2:$G$2437,'июль 2025'!$D$2:$D$2437,$B56,'июль 2025'!$J$2:$J$2437,L$1)</f>
        <v>0</v>
      </c>
      <c r="M56" s="76">
        <f>SUMIFS('июль 2025'!$G$2:$G$2437,'июль 2025'!$D$2:$D$2437,$B56,'июль 2025'!$J$2:$J$2437,M$1)</f>
        <v>0</v>
      </c>
      <c r="N56" s="76">
        <f>SUMIFS('июль 2025'!$G$2:$G$2437,'июль 2025'!$D$2:$D$2437,$B56,'июль 2025'!$J$2:$J$2437,N$1)</f>
        <v>0</v>
      </c>
      <c r="O56" s="76">
        <f>SUMIFS('июль 2025'!$G$2:$G$2437,'июль 2025'!$D$2:$D$2437,$B56,'июль 2025'!$J$2:$J$2437,O$1)</f>
        <v>0</v>
      </c>
      <c r="P56" s="76">
        <f>SUMIFS('июль 2025'!$G$2:$G$2437,'июль 2025'!$D$2:$D$2437,$B56,'июль 2025'!$J$2:$J$2437,P$1)</f>
        <v>0</v>
      </c>
      <c r="Q56" s="76">
        <f>SUMIFS('июль 2025'!$G$2:$G$2437,'июль 2025'!$D$2:$D$2437,$B56,'июль 2025'!$J$2:$J$2437,Q$1)</f>
        <v>0</v>
      </c>
      <c r="R56" s="76">
        <f>SUMIFS('июль 2025'!$G$2:$G$2437,'июль 2025'!$D$2:$D$2437,$B56,'июль 2025'!$J$2:$J$2437,R$1)</f>
        <v>0</v>
      </c>
      <c r="S56" s="76">
        <f>SUMIFS('июль 2025'!$G$2:$G$2437,'июль 2025'!$D$2:$D$2437,$B56,'июль 2025'!$J$2:$J$2437,S$1)</f>
        <v>0</v>
      </c>
      <c r="T56" s="76">
        <f>SUMIFS('июль 2025'!$G$2:$G$2437,'июль 2025'!$D$2:$D$2437,$B56,'июль 2025'!$J$2:$J$2437,T$1)</f>
        <v>0</v>
      </c>
      <c r="U56" s="76">
        <f>SUMIFS('июль 2025'!$G$2:$G$2437,'июль 2025'!$D$2:$D$2437,$B56,'июль 2025'!$J$2:$J$2437,U$1)</f>
        <v>0</v>
      </c>
      <c r="V56" s="76">
        <f>SUMIFS('июль 2025'!$G$2:$G$2437,'июль 2025'!$D$2:$D$2437,$B56,'июль 2025'!$J$2:$J$2437,V$1)</f>
        <v>0</v>
      </c>
      <c r="W56" s="76">
        <f>SUMIFS('июль 2025'!$G$2:$G$2437,'июль 2025'!$D$2:$D$2437,$B56,'июль 2025'!$J$2:$J$2437,W$1)</f>
        <v>0</v>
      </c>
      <c r="X56" s="76">
        <f>SUMIFS('июль 2025'!$G$2:$G$2437,'июль 2025'!$D$2:$D$2437,$B56,'июль 2025'!$J$2:$J$2437,X$1)</f>
        <v>0</v>
      </c>
      <c r="Y56" s="76">
        <f>SUMIFS('июль 2025'!$G$2:$G$2437,'июль 2025'!$D$2:$D$2437,$B56,'июль 2025'!$J$2:$J$2437,Y$1)</f>
        <v>0</v>
      </c>
      <c r="Z56" s="76">
        <f>SUMIFS('июль 2025'!$G$2:$G$2437,'июль 2025'!$D$2:$D$2437,$B56,'июль 2025'!$J$2:$J$2437,Z$1)</f>
        <v>0</v>
      </c>
      <c r="AA56" s="76">
        <f>SUMIFS('июль 2025'!$G$2:$G$2437,'июль 2025'!$D$2:$D$2437,$B56,'июль 2025'!$J$2:$J$2437,AA$1)</f>
        <v>0</v>
      </c>
      <c r="AB56" s="76">
        <f>SUMIFS('июль 2025'!$G$2:$G$2437,'июль 2025'!$D$2:$D$2437,$B56,'июль 2025'!$J$2:$J$2437,AB$1)</f>
        <v>0</v>
      </c>
      <c r="AC56" s="76">
        <f>SUMIFS('июль 2025'!$G$2:$G$2437,'июль 2025'!$D$2:$D$2437,$B56,'июль 2025'!$J$2:$J$2437,AC$1)</f>
        <v>0</v>
      </c>
      <c r="AD56" s="76">
        <f>SUMIFS('июль 2025'!$G$2:$G$2437,'июль 2025'!$D$2:$D$2437,$B56,'июль 2025'!$J$2:$J$2437,AD$1)</f>
        <v>0</v>
      </c>
      <c r="AE56" s="76">
        <f>SUMIFS('июль 2025'!$G$2:$G$2437,'июль 2025'!$D$2:$D$2437,$B56,'июль 2025'!$J$2:$J$2437,AE$1)</f>
        <v>0</v>
      </c>
      <c r="AF56" s="76">
        <f>SUMIFS('июль 2025'!$G$2:$G$2437,'июль 2025'!$D$2:$D$2437,$B56,'июль 2025'!$J$2:$J$2437,AF$1)</f>
        <v>0</v>
      </c>
      <c r="AG56" s="76">
        <f>SUMIFS('июль 2025'!$G$2:$G$2437,'июль 2025'!$D$2:$D$2437,$B56,'июль 2025'!$J$2:$J$2437,AG$1)</f>
        <v>0</v>
      </c>
      <c r="AH56" s="76">
        <f>SUMIFS('июль 2025'!$G$2:$G$2437,'июль 2025'!$D$2:$D$2437,$B56,'июль 2025'!$J$2:$J$2437,AH$1)</f>
        <v>0</v>
      </c>
      <c r="AI56" s="20">
        <f t="shared" si="1"/>
        <v>0</v>
      </c>
    </row>
    <row r="57" spans="2:35" ht="15" customHeight="1" x14ac:dyDescent="0.25">
      <c r="B57" s="131" t="s">
        <v>1156</v>
      </c>
      <c r="C57" s="132">
        <v>20</v>
      </c>
      <c r="D57" s="76">
        <f>SUMIFS('июль 2025'!$G$2:$G$2437,'июль 2025'!$D$2:$D$2437,$B57,'июль 2025'!$J$2:$J$2437,D$1)</f>
        <v>0</v>
      </c>
      <c r="E57" s="76">
        <f>SUMIFS('июль 2025'!$G$2:$G$2437,'июль 2025'!$D$2:$D$2437,$B57,'июль 2025'!$J$2:$J$2437,E$1)</f>
        <v>0</v>
      </c>
      <c r="F57" s="76">
        <f>SUMIFS('июль 2025'!$G$2:$G$2437,'июль 2025'!$D$2:$D$2437,$B57,'июль 2025'!$J$2:$J$2437,F$1)</f>
        <v>0</v>
      </c>
      <c r="G57" s="76">
        <f>SUMIFS('июль 2025'!$G$2:$G$2437,'июль 2025'!$D$2:$D$2437,$B57,'июль 2025'!$J$2:$J$2437,G$1)</f>
        <v>0</v>
      </c>
      <c r="H57" s="76">
        <f>SUMIFS('июль 2025'!$G$2:$G$2437,'июль 2025'!$D$2:$D$2437,$B57,'июль 2025'!$J$2:$J$2437,H$1)</f>
        <v>0</v>
      </c>
      <c r="I57" s="76">
        <f>SUMIFS('июль 2025'!$G$2:$G$2437,'июль 2025'!$D$2:$D$2437,$B57,'июль 2025'!$J$2:$J$2437,I$1)</f>
        <v>0</v>
      </c>
      <c r="J57" s="76">
        <f>SUMIFS('июль 2025'!$G$2:$G$2437,'июль 2025'!$D$2:$D$2437,$B57,'июль 2025'!$J$2:$J$2437,J$1)</f>
        <v>0</v>
      </c>
      <c r="K57" s="76">
        <f>SUMIFS('июль 2025'!$G$2:$G$2437,'июль 2025'!$D$2:$D$2437,$B57,'июль 2025'!$J$2:$J$2437,K$1)</f>
        <v>0</v>
      </c>
      <c r="L57" s="76">
        <f>SUMIFS('июль 2025'!$G$2:$G$2437,'июль 2025'!$D$2:$D$2437,$B57,'июль 2025'!$J$2:$J$2437,L$1)</f>
        <v>0</v>
      </c>
      <c r="M57" s="76">
        <f>SUMIFS('июль 2025'!$G$2:$G$2437,'июль 2025'!$D$2:$D$2437,$B57,'июль 2025'!$J$2:$J$2437,M$1)</f>
        <v>0</v>
      </c>
      <c r="N57" s="76">
        <f>SUMIFS('июль 2025'!$G$2:$G$2437,'июль 2025'!$D$2:$D$2437,$B57,'июль 2025'!$J$2:$J$2437,N$1)</f>
        <v>0</v>
      </c>
      <c r="O57" s="76">
        <f>SUMIFS('июль 2025'!$G$2:$G$2437,'июль 2025'!$D$2:$D$2437,$B57,'июль 2025'!$J$2:$J$2437,O$1)</f>
        <v>0</v>
      </c>
      <c r="P57" s="76">
        <f>SUMIFS('июль 2025'!$G$2:$G$2437,'июль 2025'!$D$2:$D$2437,$B57,'июль 2025'!$J$2:$J$2437,P$1)</f>
        <v>0</v>
      </c>
      <c r="Q57" s="76">
        <f>SUMIFS('июль 2025'!$G$2:$G$2437,'июль 2025'!$D$2:$D$2437,$B57,'июль 2025'!$J$2:$J$2437,Q$1)</f>
        <v>0</v>
      </c>
      <c r="R57" s="76">
        <f>SUMIFS('июль 2025'!$G$2:$G$2437,'июль 2025'!$D$2:$D$2437,$B57,'июль 2025'!$J$2:$J$2437,R$1)</f>
        <v>0</v>
      </c>
      <c r="S57" s="76">
        <f>SUMIFS('июль 2025'!$G$2:$G$2437,'июль 2025'!$D$2:$D$2437,$B57,'июль 2025'!$J$2:$J$2437,S$1)</f>
        <v>0</v>
      </c>
      <c r="T57" s="76">
        <f>SUMIFS('июль 2025'!$G$2:$G$2437,'июль 2025'!$D$2:$D$2437,$B57,'июль 2025'!$J$2:$J$2437,T$1)</f>
        <v>0</v>
      </c>
      <c r="U57" s="76">
        <f>SUMIFS('июль 2025'!$G$2:$G$2437,'июль 2025'!$D$2:$D$2437,$B57,'июль 2025'!$J$2:$J$2437,U$1)</f>
        <v>0</v>
      </c>
      <c r="V57" s="76">
        <f>SUMIFS('июль 2025'!$G$2:$G$2437,'июль 2025'!$D$2:$D$2437,$B57,'июль 2025'!$J$2:$J$2437,V$1)</f>
        <v>0</v>
      </c>
      <c r="W57" s="76">
        <f>SUMIFS('июль 2025'!$G$2:$G$2437,'июль 2025'!$D$2:$D$2437,$B57,'июль 2025'!$J$2:$J$2437,W$1)</f>
        <v>0</v>
      </c>
      <c r="X57" s="76">
        <f>SUMIFS('июль 2025'!$G$2:$G$2437,'июль 2025'!$D$2:$D$2437,$B57,'июль 2025'!$J$2:$J$2437,X$1)</f>
        <v>0</v>
      </c>
      <c r="Y57" s="76">
        <f>SUMIFS('июль 2025'!$G$2:$G$2437,'июль 2025'!$D$2:$D$2437,$B57,'июль 2025'!$J$2:$J$2437,Y$1)</f>
        <v>0</v>
      </c>
      <c r="Z57" s="76">
        <f>SUMIFS('июль 2025'!$G$2:$G$2437,'июль 2025'!$D$2:$D$2437,$B57,'июль 2025'!$J$2:$J$2437,Z$1)</f>
        <v>0</v>
      </c>
      <c r="AA57" s="76">
        <f>SUMIFS('июль 2025'!$G$2:$G$2437,'июль 2025'!$D$2:$D$2437,$B57,'июль 2025'!$J$2:$J$2437,AA$1)</f>
        <v>0</v>
      </c>
      <c r="AB57" s="76">
        <f>SUMIFS('июль 2025'!$G$2:$G$2437,'июль 2025'!$D$2:$D$2437,$B57,'июль 2025'!$J$2:$J$2437,AB$1)</f>
        <v>0</v>
      </c>
      <c r="AC57" s="76">
        <f>SUMIFS('июль 2025'!$G$2:$G$2437,'июль 2025'!$D$2:$D$2437,$B57,'июль 2025'!$J$2:$J$2437,AC$1)</f>
        <v>0</v>
      </c>
      <c r="AD57" s="76">
        <f>SUMIFS('июль 2025'!$G$2:$G$2437,'июль 2025'!$D$2:$D$2437,$B57,'июль 2025'!$J$2:$J$2437,AD$1)</f>
        <v>0</v>
      </c>
      <c r="AE57" s="76">
        <f>SUMIFS('июль 2025'!$G$2:$G$2437,'июль 2025'!$D$2:$D$2437,$B57,'июль 2025'!$J$2:$J$2437,AE$1)</f>
        <v>0</v>
      </c>
      <c r="AF57" s="76">
        <f>SUMIFS('июль 2025'!$G$2:$G$2437,'июль 2025'!$D$2:$D$2437,$B57,'июль 2025'!$J$2:$J$2437,AF$1)</f>
        <v>0</v>
      </c>
      <c r="AG57" s="76">
        <f>SUMIFS('июль 2025'!$G$2:$G$2437,'июль 2025'!$D$2:$D$2437,$B57,'июль 2025'!$J$2:$J$2437,AG$1)</f>
        <v>0</v>
      </c>
      <c r="AH57" s="76">
        <f>SUMIFS('июль 2025'!$G$2:$G$2437,'июль 2025'!$D$2:$D$2437,$B57,'июль 2025'!$J$2:$J$2437,AH$1)</f>
        <v>0</v>
      </c>
      <c r="AI57" s="20">
        <f t="shared" si="1"/>
        <v>0</v>
      </c>
    </row>
    <row r="58" spans="2:35" ht="15" customHeight="1" x14ac:dyDescent="0.25">
      <c r="B58" s="127" t="s">
        <v>253</v>
      </c>
      <c r="C58" s="132">
        <v>20</v>
      </c>
      <c r="D58" s="76">
        <f>SUMIFS('июль 2025'!$G$2:$G$2437,'июль 2025'!$D$2:$D$2437,$B58,'июль 2025'!$J$2:$J$2437,D$1)</f>
        <v>0</v>
      </c>
      <c r="E58" s="76">
        <f>SUMIFS('июль 2025'!$G$2:$G$2437,'июль 2025'!$D$2:$D$2437,$B58,'июль 2025'!$J$2:$J$2437,E$1)</f>
        <v>0</v>
      </c>
      <c r="F58" s="76">
        <f>SUMIFS('июль 2025'!$G$2:$G$2437,'июль 2025'!$D$2:$D$2437,$B58,'июль 2025'!$J$2:$J$2437,F$1)</f>
        <v>0</v>
      </c>
      <c r="G58" s="76">
        <f>SUMIFS('июль 2025'!$G$2:$G$2437,'июль 2025'!$D$2:$D$2437,$B58,'июль 2025'!$J$2:$J$2437,G$1)</f>
        <v>0</v>
      </c>
      <c r="H58" s="76">
        <f>SUMIFS('июль 2025'!$G$2:$G$2437,'июль 2025'!$D$2:$D$2437,$B58,'июль 2025'!$J$2:$J$2437,H$1)</f>
        <v>0</v>
      </c>
      <c r="I58" s="76">
        <f>SUMIFS('июль 2025'!$G$2:$G$2437,'июль 2025'!$D$2:$D$2437,$B58,'июль 2025'!$J$2:$J$2437,I$1)</f>
        <v>0</v>
      </c>
      <c r="J58" s="76">
        <f>SUMIFS('июль 2025'!$G$2:$G$2437,'июль 2025'!$D$2:$D$2437,$B58,'июль 2025'!$J$2:$J$2437,J$1)</f>
        <v>0</v>
      </c>
      <c r="K58" s="76">
        <f>SUMIFS('июль 2025'!$G$2:$G$2437,'июль 2025'!$D$2:$D$2437,$B58,'июль 2025'!$J$2:$J$2437,K$1)</f>
        <v>0</v>
      </c>
      <c r="L58" s="76">
        <f>SUMIFS('июль 2025'!$G$2:$G$2437,'июль 2025'!$D$2:$D$2437,$B58,'июль 2025'!$J$2:$J$2437,L$1)</f>
        <v>0</v>
      </c>
      <c r="M58" s="76">
        <f>SUMIFS('июль 2025'!$G$2:$G$2437,'июль 2025'!$D$2:$D$2437,$B58,'июль 2025'!$J$2:$J$2437,M$1)</f>
        <v>0</v>
      </c>
      <c r="N58" s="76">
        <f>SUMIFS('июль 2025'!$G$2:$G$2437,'июль 2025'!$D$2:$D$2437,$B58,'июль 2025'!$J$2:$J$2437,N$1)</f>
        <v>0</v>
      </c>
      <c r="O58" s="76">
        <f>SUMIFS('июль 2025'!$G$2:$G$2437,'июль 2025'!$D$2:$D$2437,$B58,'июль 2025'!$J$2:$J$2437,O$1)</f>
        <v>0</v>
      </c>
      <c r="P58" s="76">
        <f>SUMIFS('июль 2025'!$G$2:$G$2437,'июль 2025'!$D$2:$D$2437,$B58,'июль 2025'!$J$2:$J$2437,P$1)</f>
        <v>0</v>
      </c>
      <c r="Q58" s="76">
        <f>SUMIFS('июль 2025'!$G$2:$G$2437,'июль 2025'!$D$2:$D$2437,$B58,'июль 2025'!$J$2:$J$2437,Q$1)</f>
        <v>0</v>
      </c>
      <c r="R58" s="76">
        <f>SUMIFS('июль 2025'!$G$2:$G$2437,'июль 2025'!$D$2:$D$2437,$B58,'июль 2025'!$J$2:$J$2437,R$1)</f>
        <v>0</v>
      </c>
      <c r="S58" s="76">
        <f>SUMIFS('июль 2025'!$G$2:$G$2437,'июль 2025'!$D$2:$D$2437,$B58,'июль 2025'!$J$2:$J$2437,S$1)</f>
        <v>0</v>
      </c>
      <c r="T58" s="76">
        <f>SUMIFS('июль 2025'!$G$2:$G$2437,'июль 2025'!$D$2:$D$2437,$B58,'июль 2025'!$J$2:$J$2437,T$1)</f>
        <v>0</v>
      </c>
      <c r="U58" s="76">
        <f>SUMIFS('июль 2025'!$G$2:$G$2437,'июль 2025'!$D$2:$D$2437,$B58,'июль 2025'!$J$2:$J$2437,U$1)</f>
        <v>0</v>
      </c>
      <c r="V58" s="76">
        <f>SUMIFS('июль 2025'!$G$2:$G$2437,'июль 2025'!$D$2:$D$2437,$B58,'июль 2025'!$J$2:$J$2437,V$1)</f>
        <v>0</v>
      </c>
      <c r="W58" s="76">
        <f>SUMIFS('июль 2025'!$G$2:$G$2437,'июль 2025'!$D$2:$D$2437,$B58,'июль 2025'!$J$2:$J$2437,W$1)</f>
        <v>0</v>
      </c>
      <c r="X58" s="76">
        <f>SUMIFS('июль 2025'!$G$2:$G$2437,'июль 2025'!$D$2:$D$2437,$B58,'июль 2025'!$J$2:$J$2437,X$1)</f>
        <v>0</v>
      </c>
      <c r="Y58" s="76">
        <f>SUMIFS('июль 2025'!$G$2:$G$2437,'июль 2025'!$D$2:$D$2437,$B58,'июль 2025'!$J$2:$J$2437,Y$1)</f>
        <v>0</v>
      </c>
      <c r="Z58" s="76">
        <f>SUMIFS('июль 2025'!$G$2:$G$2437,'июль 2025'!$D$2:$D$2437,$B58,'июль 2025'!$J$2:$J$2437,Z$1)</f>
        <v>0</v>
      </c>
      <c r="AA58" s="76">
        <f>SUMIFS('июль 2025'!$G$2:$G$2437,'июль 2025'!$D$2:$D$2437,$B58,'июль 2025'!$J$2:$J$2437,AA$1)</f>
        <v>0</v>
      </c>
      <c r="AB58" s="76">
        <f>SUMIFS('июль 2025'!$G$2:$G$2437,'июль 2025'!$D$2:$D$2437,$B58,'июль 2025'!$J$2:$J$2437,AB$1)</f>
        <v>0</v>
      </c>
      <c r="AC58" s="76">
        <f>SUMIFS('июль 2025'!$G$2:$G$2437,'июль 2025'!$D$2:$D$2437,$B58,'июль 2025'!$J$2:$J$2437,AC$1)</f>
        <v>0</v>
      </c>
      <c r="AD58" s="76">
        <f>SUMIFS('июль 2025'!$G$2:$G$2437,'июль 2025'!$D$2:$D$2437,$B58,'июль 2025'!$J$2:$J$2437,AD$1)</f>
        <v>0</v>
      </c>
      <c r="AE58" s="76">
        <f>SUMIFS('июль 2025'!$G$2:$G$2437,'июль 2025'!$D$2:$D$2437,$B58,'июль 2025'!$J$2:$J$2437,AE$1)</f>
        <v>0</v>
      </c>
      <c r="AF58" s="76">
        <f>SUMIFS('июль 2025'!$G$2:$G$2437,'июль 2025'!$D$2:$D$2437,$B58,'июль 2025'!$J$2:$J$2437,AF$1)</f>
        <v>0</v>
      </c>
      <c r="AG58" s="76">
        <f>SUMIFS('июль 2025'!$G$2:$G$2437,'июль 2025'!$D$2:$D$2437,$B58,'июль 2025'!$J$2:$J$2437,AG$1)</f>
        <v>0</v>
      </c>
      <c r="AH58" s="76">
        <f>SUMIFS('июль 2025'!$G$2:$G$2437,'июль 2025'!$D$2:$D$2437,$B58,'июль 2025'!$J$2:$J$2437,AH$1)</f>
        <v>0</v>
      </c>
      <c r="AI58" s="20">
        <f t="shared" si="1"/>
        <v>0</v>
      </c>
    </row>
    <row r="59" spans="2:35" ht="15" customHeight="1" x14ac:dyDescent="0.25">
      <c r="B59" s="131" t="s">
        <v>254</v>
      </c>
      <c r="C59" s="132">
        <v>20</v>
      </c>
      <c r="D59" s="76">
        <f>SUMIFS('июль 2025'!$G$2:$G$2437,'июль 2025'!$D$2:$D$2437,$B59,'июль 2025'!$J$2:$J$2437,D$1)</f>
        <v>0</v>
      </c>
      <c r="E59" s="76">
        <f>SUMIFS('июль 2025'!$G$2:$G$2437,'июль 2025'!$D$2:$D$2437,$B59,'июль 2025'!$J$2:$J$2437,E$1)</f>
        <v>0</v>
      </c>
      <c r="F59" s="76">
        <f>SUMIFS('июль 2025'!$G$2:$G$2437,'июль 2025'!$D$2:$D$2437,$B59,'июль 2025'!$J$2:$J$2437,F$1)</f>
        <v>0</v>
      </c>
      <c r="G59" s="76">
        <f>SUMIFS('июль 2025'!$G$2:$G$2437,'июль 2025'!$D$2:$D$2437,$B59,'июль 2025'!$J$2:$J$2437,G$1)</f>
        <v>0</v>
      </c>
      <c r="H59" s="76">
        <f>SUMIFS('июль 2025'!$G$2:$G$2437,'июль 2025'!$D$2:$D$2437,$B59,'июль 2025'!$J$2:$J$2437,H$1)</f>
        <v>0</v>
      </c>
      <c r="I59" s="76">
        <f>SUMIFS('июль 2025'!$G$2:$G$2437,'июль 2025'!$D$2:$D$2437,$B59,'июль 2025'!$J$2:$J$2437,I$1)</f>
        <v>0</v>
      </c>
      <c r="J59" s="76">
        <f>SUMIFS('июль 2025'!$G$2:$G$2437,'июль 2025'!$D$2:$D$2437,$B59,'июль 2025'!$J$2:$J$2437,J$1)</f>
        <v>0</v>
      </c>
      <c r="K59" s="76">
        <f>SUMIFS('июль 2025'!$G$2:$G$2437,'июль 2025'!$D$2:$D$2437,$B59,'июль 2025'!$J$2:$J$2437,K$1)</f>
        <v>0</v>
      </c>
      <c r="L59" s="76">
        <f>SUMIFS('июль 2025'!$G$2:$G$2437,'июль 2025'!$D$2:$D$2437,$B59,'июль 2025'!$J$2:$J$2437,L$1)</f>
        <v>0</v>
      </c>
      <c r="M59" s="76">
        <f>SUMIFS('июль 2025'!$G$2:$G$2437,'июль 2025'!$D$2:$D$2437,$B59,'июль 2025'!$J$2:$J$2437,M$1)</f>
        <v>0</v>
      </c>
      <c r="N59" s="76">
        <f>SUMIFS('июль 2025'!$G$2:$G$2437,'июль 2025'!$D$2:$D$2437,$B59,'июль 2025'!$J$2:$J$2437,N$1)</f>
        <v>0</v>
      </c>
      <c r="O59" s="76">
        <f>SUMIFS('июль 2025'!$G$2:$G$2437,'июль 2025'!$D$2:$D$2437,$B59,'июль 2025'!$J$2:$J$2437,O$1)</f>
        <v>0</v>
      </c>
      <c r="P59" s="76">
        <f>SUMIFS('июль 2025'!$G$2:$G$2437,'июль 2025'!$D$2:$D$2437,$B59,'июль 2025'!$J$2:$J$2437,P$1)</f>
        <v>0</v>
      </c>
      <c r="Q59" s="76">
        <f>SUMIFS('июль 2025'!$G$2:$G$2437,'июль 2025'!$D$2:$D$2437,$B59,'июль 2025'!$J$2:$J$2437,Q$1)</f>
        <v>0</v>
      </c>
      <c r="R59" s="76">
        <f>SUMIFS('июль 2025'!$G$2:$G$2437,'июль 2025'!$D$2:$D$2437,$B59,'июль 2025'!$J$2:$J$2437,R$1)</f>
        <v>0</v>
      </c>
      <c r="S59" s="76">
        <f>SUMIFS('июль 2025'!$G$2:$G$2437,'июль 2025'!$D$2:$D$2437,$B59,'июль 2025'!$J$2:$J$2437,S$1)</f>
        <v>0</v>
      </c>
      <c r="T59" s="76">
        <f>SUMIFS('июль 2025'!$G$2:$G$2437,'июль 2025'!$D$2:$D$2437,$B59,'июль 2025'!$J$2:$J$2437,T$1)</f>
        <v>0</v>
      </c>
      <c r="U59" s="76">
        <f>SUMIFS('июль 2025'!$G$2:$G$2437,'июль 2025'!$D$2:$D$2437,$B59,'июль 2025'!$J$2:$J$2437,U$1)</f>
        <v>0</v>
      </c>
      <c r="V59" s="76">
        <f>SUMIFS('июль 2025'!$G$2:$G$2437,'июль 2025'!$D$2:$D$2437,$B59,'июль 2025'!$J$2:$J$2437,V$1)</f>
        <v>0</v>
      </c>
      <c r="W59" s="76">
        <f>SUMIFS('июль 2025'!$G$2:$G$2437,'июль 2025'!$D$2:$D$2437,$B59,'июль 2025'!$J$2:$J$2437,W$1)</f>
        <v>0</v>
      </c>
      <c r="X59" s="76">
        <f>SUMIFS('июль 2025'!$G$2:$G$2437,'июль 2025'!$D$2:$D$2437,$B59,'июль 2025'!$J$2:$J$2437,X$1)</f>
        <v>0</v>
      </c>
      <c r="Y59" s="76">
        <f>SUMIFS('июль 2025'!$G$2:$G$2437,'июль 2025'!$D$2:$D$2437,$B59,'июль 2025'!$J$2:$J$2437,Y$1)</f>
        <v>0</v>
      </c>
      <c r="Z59" s="76">
        <f>SUMIFS('июль 2025'!$G$2:$G$2437,'июль 2025'!$D$2:$D$2437,$B59,'июль 2025'!$J$2:$J$2437,Z$1)</f>
        <v>0</v>
      </c>
      <c r="AA59" s="76">
        <f>SUMIFS('июль 2025'!$G$2:$G$2437,'июль 2025'!$D$2:$D$2437,$B59,'июль 2025'!$J$2:$J$2437,AA$1)</f>
        <v>0</v>
      </c>
      <c r="AB59" s="76">
        <f>SUMIFS('июль 2025'!$G$2:$G$2437,'июль 2025'!$D$2:$D$2437,$B59,'июль 2025'!$J$2:$J$2437,AB$1)</f>
        <v>0</v>
      </c>
      <c r="AC59" s="76">
        <f>SUMIFS('июль 2025'!$G$2:$G$2437,'июль 2025'!$D$2:$D$2437,$B59,'июль 2025'!$J$2:$J$2437,AC$1)</f>
        <v>0</v>
      </c>
      <c r="AD59" s="76">
        <f>SUMIFS('июль 2025'!$G$2:$G$2437,'июль 2025'!$D$2:$D$2437,$B59,'июль 2025'!$J$2:$J$2437,AD$1)</f>
        <v>0</v>
      </c>
      <c r="AE59" s="76">
        <f>SUMIFS('июль 2025'!$G$2:$G$2437,'июль 2025'!$D$2:$D$2437,$B59,'июль 2025'!$J$2:$J$2437,AE$1)</f>
        <v>0</v>
      </c>
      <c r="AF59" s="76">
        <f>SUMIFS('июль 2025'!$G$2:$G$2437,'июль 2025'!$D$2:$D$2437,$B59,'июль 2025'!$J$2:$J$2437,AF$1)</f>
        <v>0</v>
      </c>
      <c r="AG59" s="76">
        <f>SUMIFS('июль 2025'!$G$2:$G$2437,'июль 2025'!$D$2:$D$2437,$B59,'июль 2025'!$J$2:$J$2437,AG$1)</f>
        <v>0</v>
      </c>
      <c r="AH59" s="76">
        <f>SUMIFS('июль 2025'!$G$2:$G$2437,'июль 2025'!$D$2:$D$2437,$B59,'июль 2025'!$J$2:$J$2437,AH$1)</f>
        <v>0</v>
      </c>
      <c r="AI59" s="20">
        <f t="shared" si="1"/>
        <v>0</v>
      </c>
    </row>
    <row r="60" spans="2:35" ht="15" customHeight="1" x14ac:dyDescent="0.25">
      <c r="B60" s="131" t="s">
        <v>255</v>
      </c>
      <c r="C60" s="132">
        <v>20</v>
      </c>
      <c r="D60" s="76">
        <f>SUMIFS('июль 2025'!$G$2:$G$2437,'июль 2025'!$D$2:$D$2437,$B60,'июль 2025'!$J$2:$J$2437,D$1)</f>
        <v>0</v>
      </c>
      <c r="E60" s="76">
        <f>SUMIFS('июль 2025'!$G$2:$G$2437,'июль 2025'!$D$2:$D$2437,$B60,'июль 2025'!$J$2:$J$2437,E$1)</f>
        <v>0</v>
      </c>
      <c r="F60" s="76">
        <f>SUMIFS('июль 2025'!$G$2:$G$2437,'июль 2025'!$D$2:$D$2437,$B60,'июль 2025'!$J$2:$J$2437,F$1)</f>
        <v>0</v>
      </c>
      <c r="G60" s="76">
        <f>SUMIFS('июль 2025'!$G$2:$G$2437,'июль 2025'!$D$2:$D$2437,$B60,'июль 2025'!$J$2:$J$2437,G$1)</f>
        <v>0</v>
      </c>
      <c r="H60" s="76">
        <f>SUMIFS('июль 2025'!$G$2:$G$2437,'июль 2025'!$D$2:$D$2437,$B60,'июль 2025'!$J$2:$J$2437,H$1)</f>
        <v>0</v>
      </c>
      <c r="I60" s="76">
        <f>SUMIFS('июль 2025'!$G$2:$G$2437,'июль 2025'!$D$2:$D$2437,$B60,'июль 2025'!$J$2:$J$2437,I$1)</f>
        <v>0</v>
      </c>
      <c r="J60" s="76">
        <f>SUMIFS('июль 2025'!$G$2:$G$2437,'июль 2025'!$D$2:$D$2437,$B60,'июль 2025'!$J$2:$J$2437,J$1)</f>
        <v>0</v>
      </c>
      <c r="K60" s="76">
        <f>SUMIFS('июль 2025'!$G$2:$G$2437,'июль 2025'!$D$2:$D$2437,$B60,'июль 2025'!$J$2:$J$2437,K$1)</f>
        <v>0</v>
      </c>
      <c r="L60" s="76">
        <f>SUMIFS('июль 2025'!$G$2:$G$2437,'июль 2025'!$D$2:$D$2437,$B60,'июль 2025'!$J$2:$J$2437,L$1)</f>
        <v>0</v>
      </c>
      <c r="M60" s="76">
        <f>SUMIFS('июль 2025'!$G$2:$G$2437,'июль 2025'!$D$2:$D$2437,$B60,'июль 2025'!$J$2:$J$2437,M$1)</f>
        <v>0</v>
      </c>
      <c r="N60" s="76">
        <f>SUMIFS('июль 2025'!$G$2:$G$2437,'июль 2025'!$D$2:$D$2437,$B60,'июль 2025'!$J$2:$J$2437,N$1)</f>
        <v>0</v>
      </c>
      <c r="O60" s="76">
        <f>SUMIFS('июль 2025'!$G$2:$G$2437,'июль 2025'!$D$2:$D$2437,$B60,'июль 2025'!$J$2:$J$2437,O$1)</f>
        <v>0</v>
      </c>
      <c r="P60" s="76">
        <f>SUMIFS('июль 2025'!$G$2:$G$2437,'июль 2025'!$D$2:$D$2437,$B60,'июль 2025'!$J$2:$J$2437,P$1)</f>
        <v>0</v>
      </c>
      <c r="Q60" s="76">
        <f>SUMIFS('июль 2025'!$G$2:$G$2437,'июль 2025'!$D$2:$D$2437,$B60,'июль 2025'!$J$2:$J$2437,Q$1)</f>
        <v>0</v>
      </c>
      <c r="R60" s="76">
        <f>SUMIFS('июль 2025'!$G$2:$G$2437,'июль 2025'!$D$2:$D$2437,$B60,'июль 2025'!$J$2:$J$2437,R$1)</f>
        <v>0</v>
      </c>
      <c r="S60" s="76">
        <f>SUMIFS('июль 2025'!$G$2:$G$2437,'июль 2025'!$D$2:$D$2437,$B60,'июль 2025'!$J$2:$J$2437,S$1)</f>
        <v>0</v>
      </c>
      <c r="T60" s="76">
        <f>SUMIFS('июль 2025'!$G$2:$G$2437,'июль 2025'!$D$2:$D$2437,$B60,'июль 2025'!$J$2:$J$2437,T$1)</f>
        <v>0</v>
      </c>
      <c r="U60" s="76">
        <f>SUMIFS('июль 2025'!$G$2:$G$2437,'июль 2025'!$D$2:$D$2437,$B60,'июль 2025'!$J$2:$J$2437,U$1)</f>
        <v>0</v>
      </c>
      <c r="V60" s="76">
        <f>SUMIFS('июль 2025'!$G$2:$G$2437,'июль 2025'!$D$2:$D$2437,$B60,'июль 2025'!$J$2:$J$2437,V$1)</f>
        <v>0</v>
      </c>
      <c r="W60" s="76">
        <f>SUMIFS('июль 2025'!$G$2:$G$2437,'июль 2025'!$D$2:$D$2437,$B60,'июль 2025'!$J$2:$J$2437,W$1)</f>
        <v>0</v>
      </c>
      <c r="X60" s="76">
        <f>SUMIFS('июль 2025'!$G$2:$G$2437,'июль 2025'!$D$2:$D$2437,$B60,'июль 2025'!$J$2:$J$2437,X$1)</f>
        <v>0</v>
      </c>
      <c r="Y60" s="76">
        <f>SUMIFS('июль 2025'!$G$2:$G$2437,'июль 2025'!$D$2:$D$2437,$B60,'июль 2025'!$J$2:$J$2437,Y$1)</f>
        <v>0</v>
      </c>
      <c r="Z60" s="76">
        <f>SUMIFS('июль 2025'!$G$2:$G$2437,'июль 2025'!$D$2:$D$2437,$B60,'июль 2025'!$J$2:$J$2437,Z$1)</f>
        <v>0</v>
      </c>
      <c r="AA60" s="76">
        <f>SUMIFS('июль 2025'!$G$2:$G$2437,'июль 2025'!$D$2:$D$2437,$B60,'июль 2025'!$J$2:$J$2437,AA$1)</f>
        <v>0</v>
      </c>
      <c r="AB60" s="76">
        <f>SUMIFS('июль 2025'!$G$2:$G$2437,'июль 2025'!$D$2:$D$2437,$B60,'июль 2025'!$J$2:$J$2437,AB$1)</f>
        <v>0</v>
      </c>
      <c r="AC60" s="76">
        <f>SUMIFS('июль 2025'!$G$2:$G$2437,'июль 2025'!$D$2:$D$2437,$B60,'июль 2025'!$J$2:$J$2437,AC$1)</f>
        <v>0</v>
      </c>
      <c r="AD60" s="76">
        <f>SUMIFS('июль 2025'!$G$2:$G$2437,'июль 2025'!$D$2:$D$2437,$B60,'июль 2025'!$J$2:$J$2437,AD$1)</f>
        <v>0</v>
      </c>
      <c r="AE60" s="76">
        <f>SUMIFS('июль 2025'!$G$2:$G$2437,'июль 2025'!$D$2:$D$2437,$B60,'июль 2025'!$J$2:$J$2437,AE$1)</f>
        <v>0</v>
      </c>
      <c r="AF60" s="76">
        <f>SUMIFS('июль 2025'!$G$2:$G$2437,'июль 2025'!$D$2:$D$2437,$B60,'июль 2025'!$J$2:$J$2437,AF$1)</f>
        <v>0</v>
      </c>
      <c r="AG60" s="76">
        <f>SUMIFS('июль 2025'!$G$2:$G$2437,'июль 2025'!$D$2:$D$2437,$B60,'июль 2025'!$J$2:$J$2437,AG$1)</f>
        <v>0</v>
      </c>
      <c r="AH60" s="76">
        <f>SUMIFS('июль 2025'!$G$2:$G$2437,'июль 2025'!$D$2:$D$2437,$B60,'июль 2025'!$J$2:$J$2437,AH$1)</f>
        <v>0</v>
      </c>
      <c r="AI60" s="20">
        <f t="shared" si="1"/>
        <v>0</v>
      </c>
    </row>
    <row r="61" spans="2:35" ht="15.75" x14ac:dyDescent="0.25">
      <c r="B61" s="131" t="s">
        <v>1258</v>
      </c>
      <c r="C61" s="132">
        <v>10</v>
      </c>
      <c r="D61" s="76">
        <f>SUMIFS('июль 2025'!$G$2:$G$2437,'июль 2025'!$D$2:$D$2437,$B61,'июль 2025'!$J$2:$J$2437,D$1)</f>
        <v>0</v>
      </c>
      <c r="E61" s="76">
        <f>SUMIFS('июль 2025'!$G$2:$G$2437,'июль 2025'!$D$2:$D$2437,$B61,'июль 2025'!$J$2:$J$2437,E$1)</f>
        <v>0</v>
      </c>
      <c r="F61" s="76">
        <f>SUMIFS('июль 2025'!$G$2:$G$2437,'июль 2025'!$D$2:$D$2437,$B61,'июль 2025'!$J$2:$J$2437,F$1)</f>
        <v>0</v>
      </c>
      <c r="G61" s="76">
        <f>SUMIFS('июль 2025'!$G$2:$G$2437,'июль 2025'!$D$2:$D$2437,$B61,'июль 2025'!$J$2:$J$2437,G$1)</f>
        <v>0</v>
      </c>
      <c r="H61" s="76">
        <f>SUMIFS('июль 2025'!$G$2:$G$2437,'июль 2025'!$D$2:$D$2437,$B61,'июль 2025'!$J$2:$J$2437,H$1)</f>
        <v>0</v>
      </c>
      <c r="I61" s="76">
        <f>SUMIFS('июль 2025'!$G$2:$G$2437,'июль 2025'!$D$2:$D$2437,$B61,'июль 2025'!$J$2:$J$2437,I$1)</f>
        <v>0</v>
      </c>
      <c r="J61" s="76">
        <f>SUMIFS('июль 2025'!$G$2:$G$2437,'июль 2025'!$D$2:$D$2437,$B61,'июль 2025'!$J$2:$J$2437,J$1)</f>
        <v>0</v>
      </c>
      <c r="K61" s="76">
        <f>SUMIFS('июль 2025'!$G$2:$G$2437,'июль 2025'!$D$2:$D$2437,$B61,'июль 2025'!$J$2:$J$2437,K$1)</f>
        <v>0</v>
      </c>
      <c r="L61" s="76">
        <f>SUMIFS('июль 2025'!$G$2:$G$2437,'июль 2025'!$D$2:$D$2437,$B61,'июль 2025'!$J$2:$J$2437,L$1)</f>
        <v>0</v>
      </c>
      <c r="M61" s="76">
        <f>SUMIFS('июль 2025'!$G$2:$G$2437,'июль 2025'!$D$2:$D$2437,$B61,'июль 2025'!$J$2:$J$2437,M$1)</f>
        <v>0</v>
      </c>
      <c r="N61" s="76">
        <f>SUMIFS('июль 2025'!$G$2:$G$2437,'июль 2025'!$D$2:$D$2437,$B61,'июль 2025'!$J$2:$J$2437,N$1)</f>
        <v>0</v>
      </c>
      <c r="O61" s="76">
        <f>SUMIFS('июль 2025'!$G$2:$G$2437,'июль 2025'!$D$2:$D$2437,$B61,'июль 2025'!$J$2:$J$2437,O$1)</f>
        <v>0</v>
      </c>
      <c r="P61" s="76">
        <f>SUMIFS('июль 2025'!$G$2:$G$2437,'июль 2025'!$D$2:$D$2437,$B61,'июль 2025'!$J$2:$J$2437,P$1)</f>
        <v>0</v>
      </c>
      <c r="Q61" s="76">
        <f>SUMIFS('июль 2025'!$G$2:$G$2437,'июль 2025'!$D$2:$D$2437,$B61,'июль 2025'!$J$2:$J$2437,Q$1)</f>
        <v>0</v>
      </c>
      <c r="R61" s="76">
        <f>SUMIFS('июль 2025'!$G$2:$G$2437,'июль 2025'!$D$2:$D$2437,$B61,'июль 2025'!$J$2:$J$2437,R$1)</f>
        <v>0</v>
      </c>
      <c r="S61" s="76">
        <f>SUMIFS('июль 2025'!$G$2:$G$2437,'июль 2025'!$D$2:$D$2437,$B61,'июль 2025'!$J$2:$J$2437,S$1)</f>
        <v>0</v>
      </c>
      <c r="T61" s="76">
        <f>SUMIFS('июль 2025'!$G$2:$G$2437,'июль 2025'!$D$2:$D$2437,$B61,'июль 2025'!$J$2:$J$2437,T$1)</f>
        <v>0</v>
      </c>
      <c r="U61" s="76">
        <f>SUMIFS('июль 2025'!$G$2:$G$2437,'июль 2025'!$D$2:$D$2437,$B61,'июль 2025'!$J$2:$J$2437,U$1)</f>
        <v>0</v>
      </c>
      <c r="V61" s="76">
        <f>SUMIFS('июль 2025'!$G$2:$G$2437,'июль 2025'!$D$2:$D$2437,$B61,'июль 2025'!$J$2:$J$2437,V$1)</f>
        <v>0</v>
      </c>
      <c r="W61" s="76">
        <f>SUMIFS('июль 2025'!$G$2:$G$2437,'июль 2025'!$D$2:$D$2437,$B61,'июль 2025'!$J$2:$J$2437,W$1)</f>
        <v>0</v>
      </c>
      <c r="X61" s="76">
        <f>SUMIFS('июль 2025'!$G$2:$G$2437,'июль 2025'!$D$2:$D$2437,$B61,'июль 2025'!$J$2:$J$2437,X$1)</f>
        <v>0</v>
      </c>
      <c r="Y61" s="76">
        <f>SUMIFS('июль 2025'!$G$2:$G$2437,'июль 2025'!$D$2:$D$2437,$B61,'июль 2025'!$J$2:$J$2437,Y$1)</f>
        <v>0</v>
      </c>
      <c r="Z61" s="76">
        <f>SUMIFS('июль 2025'!$G$2:$G$2437,'июль 2025'!$D$2:$D$2437,$B61,'июль 2025'!$J$2:$J$2437,Z$1)</f>
        <v>0</v>
      </c>
      <c r="AA61" s="76">
        <f>SUMIFS('июль 2025'!$G$2:$G$2437,'июль 2025'!$D$2:$D$2437,$B61,'июль 2025'!$J$2:$J$2437,AA$1)</f>
        <v>0</v>
      </c>
      <c r="AB61" s="76">
        <f>SUMIFS('июль 2025'!$G$2:$G$2437,'июль 2025'!$D$2:$D$2437,$B61,'июль 2025'!$J$2:$J$2437,AB$1)</f>
        <v>0</v>
      </c>
      <c r="AC61" s="76">
        <f>SUMIFS('июль 2025'!$G$2:$G$2437,'июль 2025'!$D$2:$D$2437,$B61,'июль 2025'!$J$2:$J$2437,AC$1)</f>
        <v>0</v>
      </c>
      <c r="AD61" s="76">
        <f>SUMIFS('июль 2025'!$G$2:$G$2437,'июль 2025'!$D$2:$D$2437,$B61,'июль 2025'!$J$2:$J$2437,AD$1)</f>
        <v>0</v>
      </c>
      <c r="AE61" s="76">
        <f>SUMIFS('июль 2025'!$G$2:$G$2437,'июль 2025'!$D$2:$D$2437,$B61,'июль 2025'!$J$2:$J$2437,AE$1)</f>
        <v>0</v>
      </c>
      <c r="AF61" s="76">
        <f>SUMIFS('июль 2025'!$G$2:$G$2437,'июль 2025'!$D$2:$D$2437,$B61,'июль 2025'!$J$2:$J$2437,AF$1)</f>
        <v>0</v>
      </c>
      <c r="AG61" s="76">
        <f>SUMIFS('июль 2025'!$G$2:$G$2437,'июль 2025'!$D$2:$D$2437,$B61,'июль 2025'!$J$2:$J$2437,AG$1)</f>
        <v>0</v>
      </c>
      <c r="AH61" s="76">
        <f>SUMIFS('июль 2025'!$G$2:$G$2437,'июль 2025'!$D$2:$D$2437,$B61,'июль 2025'!$J$2:$J$2437,AH$1)</f>
        <v>0</v>
      </c>
      <c r="AI61" s="20">
        <f t="shared" si="1"/>
        <v>0</v>
      </c>
    </row>
    <row r="62" spans="2:35" ht="15" customHeight="1" x14ac:dyDescent="0.25">
      <c r="B62" s="131" t="s">
        <v>1259</v>
      </c>
      <c r="C62" s="132">
        <v>10</v>
      </c>
      <c r="D62" s="76">
        <f>SUMIFS('июль 2025'!$G$2:$G$2437,'июль 2025'!$D$2:$D$2437,$B62,'июль 2025'!$J$2:$J$2437,D$1)</f>
        <v>0</v>
      </c>
      <c r="E62" s="76">
        <f>SUMIFS('июль 2025'!$G$2:$G$2437,'июль 2025'!$D$2:$D$2437,$B62,'июль 2025'!$J$2:$J$2437,E$1)</f>
        <v>0</v>
      </c>
      <c r="F62" s="76">
        <f>SUMIFS('июль 2025'!$G$2:$G$2437,'июль 2025'!$D$2:$D$2437,$B62,'июль 2025'!$J$2:$J$2437,F$1)</f>
        <v>0</v>
      </c>
      <c r="G62" s="76">
        <f>SUMIFS('июль 2025'!$G$2:$G$2437,'июль 2025'!$D$2:$D$2437,$B62,'июль 2025'!$J$2:$J$2437,G$1)</f>
        <v>0</v>
      </c>
      <c r="H62" s="76">
        <f>SUMIFS('июль 2025'!$G$2:$G$2437,'июль 2025'!$D$2:$D$2437,$B62,'июль 2025'!$J$2:$J$2437,H$1)</f>
        <v>0</v>
      </c>
      <c r="I62" s="76">
        <f>SUMIFS('июль 2025'!$G$2:$G$2437,'июль 2025'!$D$2:$D$2437,$B62,'июль 2025'!$J$2:$J$2437,I$1)</f>
        <v>0</v>
      </c>
      <c r="J62" s="76">
        <f>SUMIFS('июль 2025'!$G$2:$G$2437,'июль 2025'!$D$2:$D$2437,$B62,'июль 2025'!$J$2:$J$2437,J$1)</f>
        <v>0</v>
      </c>
      <c r="K62" s="76">
        <f>SUMIFS('июль 2025'!$G$2:$G$2437,'июль 2025'!$D$2:$D$2437,$B62,'июль 2025'!$J$2:$J$2437,K$1)</f>
        <v>0</v>
      </c>
      <c r="L62" s="76">
        <f>SUMIFS('июль 2025'!$G$2:$G$2437,'июль 2025'!$D$2:$D$2437,$B62,'июль 2025'!$J$2:$J$2437,L$1)</f>
        <v>0</v>
      </c>
      <c r="M62" s="76">
        <f>SUMIFS('июль 2025'!$G$2:$G$2437,'июль 2025'!$D$2:$D$2437,$B62,'июль 2025'!$J$2:$J$2437,M$1)</f>
        <v>0</v>
      </c>
      <c r="N62" s="76">
        <f>SUMIFS('июль 2025'!$G$2:$G$2437,'июль 2025'!$D$2:$D$2437,$B62,'июль 2025'!$J$2:$J$2437,N$1)</f>
        <v>0</v>
      </c>
      <c r="O62" s="76">
        <f>SUMIFS('июль 2025'!$G$2:$G$2437,'июль 2025'!$D$2:$D$2437,$B62,'июль 2025'!$J$2:$J$2437,O$1)</f>
        <v>0</v>
      </c>
      <c r="P62" s="76">
        <f>SUMIFS('июль 2025'!$G$2:$G$2437,'июль 2025'!$D$2:$D$2437,$B62,'июль 2025'!$J$2:$J$2437,P$1)</f>
        <v>0</v>
      </c>
      <c r="Q62" s="76">
        <f>SUMIFS('июль 2025'!$G$2:$G$2437,'июль 2025'!$D$2:$D$2437,$B62,'июль 2025'!$J$2:$J$2437,Q$1)</f>
        <v>0</v>
      </c>
      <c r="R62" s="76">
        <f>SUMIFS('июль 2025'!$G$2:$G$2437,'июль 2025'!$D$2:$D$2437,$B62,'июль 2025'!$J$2:$J$2437,R$1)</f>
        <v>0</v>
      </c>
      <c r="S62" s="76">
        <f>SUMIFS('июль 2025'!$G$2:$G$2437,'июль 2025'!$D$2:$D$2437,$B62,'июль 2025'!$J$2:$J$2437,S$1)</f>
        <v>0</v>
      </c>
      <c r="T62" s="76">
        <f>SUMIFS('июль 2025'!$G$2:$G$2437,'июль 2025'!$D$2:$D$2437,$B62,'июль 2025'!$J$2:$J$2437,T$1)</f>
        <v>0</v>
      </c>
      <c r="U62" s="76">
        <f>SUMIFS('июль 2025'!$G$2:$G$2437,'июль 2025'!$D$2:$D$2437,$B62,'июль 2025'!$J$2:$J$2437,U$1)</f>
        <v>0</v>
      </c>
      <c r="V62" s="76">
        <f>SUMIFS('июль 2025'!$G$2:$G$2437,'июль 2025'!$D$2:$D$2437,$B62,'июль 2025'!$J$2:$J$2437,V$1)</f>
        <v>0</v>
      </c>
      <c r="W62" s="76">
        <f>SUMIFS('июль 2025'!$G$2:$G$2437,'июль 2025'!$D$2:$D$2437,$B62,'июль 2025'!$J$2:$J$2437,W$1)</f>
        <v>0</v>
      </c>
      <c r="X62" s="76">
        <f>SUMIFS('июль 2025'!$G$2:$G$2437,'июль 2025'!$D$2:$D$2437,$B62,'июль 2025'!$J$2:$J$2437,X$1)</f>
        <v>0</v>
      </c>
      <c r="Y62" s="76">
        <f>SUMIFS('июль 2025'!$G$2:$G$2437,'июль 2025'!$D$2:$D$2437,$B62,'июль 2025'!$J$2:$J$2437,Y$1)</f>
        <v>0</v>
      </c>
      <c r="Z62" s="76">
        <f>SUMIFS('июль 2025'!$G$2:$G$2437,'июль 2025'!$D$2:$D$2437,$B62,'июль 2025'!$J$2:$J$2437,Z$1)</f>
        <v>0</v>
      </c>
      <c r="AA62" s="76">
        <f>SUMIFS('июль 2025'!$G$2:$G$2437,'июль 2025'!$D$2:$D$2437,$B62,'июль 2025'!$J$2:$J$2437,AA$1)</f>
        <v>0</v>
      </c>
      <c r="AB62" s="76">
        <f>SUMIFS('июль 2025'!$G$2:$G$2437,'июль 2025'!$D$2:$D$2437,$B62,'июль 2025'!$J$2:$J$2437,AB$1)</f>
        <v>0</v>
      </c>
      <c r="AC62" s="76">
        <f>SUMIFS('июль 2025'!$G$2:$G$2437,'июль 2025'!$D$2:$D$2437,$B62,'июль 2025'!$J$2:$J$2437,AC$1)</f>
        <v>0</v>
      </c>
      <c r="AD62" s="76">
        <f>SUMIFS('июль 2025'!$G$2:$G$2437,'июль 2025'!$D$2:$D$2437,$B62,'июль 2025'!$J$2:$J$2437,AD$1)</f>
        <v>0</v>
      </c>
      <c r="AE62" s="76">
        <f>SUMIFS('июль 2025'!$G$2:$G$2437,'июль 2025'!$D$2:$D$2437,$B62,'июль 2025'!$J$2:$J$2437,AE$1)</f>
        <v>0</v>
      </c>
      <c r="AF62" s="76">
        <f>SUMIFS('июль 2025'!$G$2:$G$2437,'июль 2025'!$D$2:$D$2437,$B62,'июль 2025'!$J$2:$J$2437,AF$1)</f>
        <v>0</v>
      </c>
      <c r="AG62" s="76">
        <f>SUMIFS('июль 2025'!$G$2:$G$2437,'июль 2025'!$D$2:$D$2437,$B62,'июль 2025'!$J$2:$J$2437,AG$1)</f>
        <v>0</v>
      </c>
      <c r="AH62" s="76">
        <f>SUMIFS('июль 2025'!$G$2:$G$2437,'июль 2025'!$D$2:$D$2437,$B62,'июль 2025'!$J$2:$J$2437,AH$1)</f>
        <v>0</v>
      </c>
      <c r="AI62" s="20">
        <f t="shared" si="1"/>
        <v>0</v>
      </c>
    </row>
    <row r="63" spans="2:35" ht="15" customHeight="1" x14ac:dyDescent="0.25">
      <c r="B63" s="136" t="s">
        <v>1260</v>
      </c>
      <c r="C63" s="132">
        <v>10</v>
      </c>
      <c r="D63" s="76">
        <f>SUMIFS('июль 2025'!$G$2:$G$2437,'июль 2025'!$D$2:$D$2437,$B63,'июль 2025'!$J$2:$J$2437,D$1)</f>
        <v>0</v>
      </c>
      <c r="E63" s="76">
        <f>SUMIFS('июль 2025'!$G$2:$G$2437,'июль 2025'!$D$2:$D$2437,$B63,'июль 2025'!$J$2:$J$2437,E$1)</f>
        <v>0</v>
      </c>
      <c r="F63" s="76">
        <f>SUMIFS('июль 2025'!$G$2:$G$2437,'июль 2025'!$D$2:$D$2437,$B63,'июль 2025'!$J$2:$J$2437,F$1)</f>
        <v>0</v>
      </c>
      <c r="G63" s="76">
        <f>SUMIFS('июль 2025'!$G$2:$G$2437,'июль 2025'!$D$2:$D$2437,$B63,'июль 2025'!$J$2:$J$2437,G$1)</f>
        <v>0</v>
      </c>
      <c r="H63" s="76">
        <f>SUMIFS('июль 2025'!$G$2:$G$2437,'июль 2025'!$D$2:$D$2437,$B63,'июль 2025'!$J$2:$J$2437,H$1)</f>
        <v>0</v>
      </c>
      <c r="I63" s="76">
        <f>SUMIFS('июль 2025'!$G$2:$G$2437,'июль 2025'!$D$2:$D$2437,$B63,'июль 2025'!$J$2:$J$2437,I$1)</f>
        <v>0</v>
      </c>
      <c r="J63" s="76">
        <f>SUMIFS('июль 2025'!$G$2:$G$2437,'июль 2025'!$D$2:$D$2437,$B63,'июль 2025'!$J$2:$J$2437,J$1)</f>
        <v>0</v>
      </c>
      <c r="K63" s="76">
        <f>SUMIFS('июль 2025'!$G$2:$G$2437,'июль 2025'!$D$2:$D$2437,$B63,'июль 2025'!$J$2:$J$2437,K$1)</f>
        <v>0</v>
      </c>
      <c r="L63" s="76">
        <f>SUMIFS('июль 2025'!$G$2:$G$2437,'июль 2025'!$D$2:$D$2437,$B63,'июль 2025'!$J$2:$J$2437,L$1)</f>
        <v>0</v>
      </c>
      <c r="M63" s="76">
        <f>SUMIFS('июль 2025'!$G$2:$G$2437,'июль 2025'!$D$2:$D$2437,$B63,'июль 2025'!$J$2:$J$2437,M$1)</f>
        <v>0</v>
      </c>
      <c r="N63" s="76">
        <f>SUMIFS('июль 2025'!$G$2:$G$2437,'июль 2025'!$D$2:$D$2437,$B63,'июль 2025'!$J$2:$J$2437,N$1)</f>
        <v>0</v>
      </c>
      <c r="O63" s="76">
        <f>SUMIFS('июль 2025'!$G$2:$G$2437,'июль 2025'!$D$2:$D$2437,$B63,'июль 2025'!$J$2:$J$2437,O$1)</f>
        <v>0</v>
      </c>
      <c r="P63" s="76">
        <f>SUMIFS('июль 2025'!$G$2:$G$2437,'июль 2025'!$D$2:$D$2437,$B63,'июль 2025'!$J$2:$J$2437,P$1)</f>
        <v>0</v>
      </c>
      <c r="Q63" s="76">
        <f>SUMIFS('июль 2025'!$G$2:$G$2437,'июль 2025'!$D$2:$D$2437,$B63,'июль 2025'!$J$2:$J$2437,Q$1)</f>
        <v>0</v>
      </c>
      <c r="R63" s="76">
        <f>SUMIFS('июль 2025'!$G$2:$G$2437,'июль 2025'!$D$2:$D$2437,$B63,'июль 2025'!$J$2:$J$2437,R$1)</f>
        <v>0</v>
      </c>
      <c r="S63" s="76">
        <f>SUMIFS('июль 2025'!$G$2:$G$2437,'июль 2025'!$D$2:$D$2437,$B63,'июль 2025'!$J$2:$J$2437,S$1)</f>
        <v>0</v>
      </c>
      <c r="T63" s="76">
        <f>SUMIFS('июль 2025'!$G$2:$G$2437,'июль 2025'!$D$2:$D$2437,$B63,'июль 2025'!$J$2:$J$2437,T$1)</f>
        <v>0</v>
      </c>
      <c r="U63" s="76">
        <f>SUMIFS('июль 2025'!$G$2:$G$2437,'июль 2025'!$D$2:$D$2437,$B63,'июль 2025'!$J$2:$J$2437,U$1)</f>
        <v>0</v>
      </c>
      <c r="V63" s="76">
        <f>SUMIFS('июль 2025'!$G$2:$G$2437,'июль 2025'!$D$2:$D$2437,$B63,'июль 2025'!$J$2:$J$2437,V$1)</f>
        <v>0</v>
      </c>
      <c r="W63" s="76">
        <f>SUMIFS('июль 2025'!$G$2:$G$2437,'июль 2025'!$D$2:$D$2437,$B63,'июль 2025'!$J$2:$J$2437,W$1)</f>
        <v>0</v>
      </c>
      <c r="X63" s="76">
        <f>SUMIFS('июль 2025'!$G$2:$G$2437,'июль 2025'!$D$2:$D$2437,$B63,'июль 2025'!$J$2:$J$2437,X$1)</f>
        <v>0</v>
      </c>
      <c r="Y63" s="76">
        <f>SUMIFS('июль 2025'!$G$2:$G$2437,'июль 2025'!$D$2:$D$2437,$B63,'июль 2025'!$J$2:$J$2437,Y$1)</f>
        <v>0</v>
      </c>
      <c r="Z63" s="76">
        <f>SUMIFS('июль 2025'!$G$2:$G$2437,'июль 2025'!$D$2:$D$2437,$B63,'июль 2025'!$J$2:$J$2437,Z$1)</f>
        <v>0</v>
      </c>
      <c r="AA63" s="76">
        <f>SUMIFS('июль 2025'!$G$2:$G$2437,'июль 2025'!$D$2:$D$2437,$B63,'июль 2025'!$J$2:$J$2437,AA$1)</f>
        <v>0</v>
      </c>
      <c r="AB63" s="76">
        <f>SUMIFS('июль 2025'!$G$2:$G$2437,'июль 2025'!$D$2:$D$2437,$B63,'июль 2025'!$J$2:$J$2437,AB$1)</f>
        <v>0</v>
      </c>
      <c r="AC63" s="76">
        <f>SUMIFS('июль 2025'!$G$2:$G$2437,'июль 2025'!$D$2:$D$2437,$B63,'июль 2025'!$J$2:$J$2437,AC$1)</f>
        <v>0</v>
      </c>
      <c r="AD63" s="76">
        <f>SUMIFS('июль 2025'!$G$2:$G$2437,'июль 2025'!$D$2:$D$2437,$B63,'июль 2025'!$J$2:$J$2437,AD$1)</f>
        <v>0</v>
      </c>
      <c r="AE63" s="76">
        <f>SUMIFS('июль 2025'!$G$2:$G$2437,'июль 2025'!$D$2:$D$2437,$B63,'июль 2025'!$J$2:$J$2437,AE$1)</f>
        <v>0</v>
      </c>
      <c r="AF63" s="76">
        <f>SUMIFS('июль 2025'!$G$2:$G$2437,'июль 2025'!$D$2:$D$2437,$B63,'июль 2025'!$J$2:$J$2437,AF$1)</f>
        <v>0</v>
      </c>
      <c r="AG63" s="76">
        <f>SUMIFS('июль 2025'!$G$2:$G$2437,'июль 2025'!$D$2:$D$2437,$B63,'июль 2025'!$J$2:$J$2437,AG$1)</f>
        <v>0</v>
      </c>
      <c r="AH63" s="76">
        <f>SUMIFS('июль 2025'!$G$2:$G$2437,'июль 2025'!$D$2:$D$2437,$B63,'июль 2025'!$J$2:$J$2437,AH$1)</f>
        <v>0</v>
      </c>
      <c r="AI63" s="20">
        <f t="shared" si="1"/>
        <v>0</v>
      </c>
    </row>
    <row r="64" spans="2:35" ht="15" customHeight="1" x14ac:dyDescent="0.25">
      <c r="B64" s="136" t="s">
        <v>1261</v>
      </c>
      <c r="C64" s="132">
        <v>10</v>
      </c>
      <c r="D64" s="76">
        <f>SUMIFS('июль 2025'!$G$2:$G$2437,'июль 2025'!$D$2:$D$2437,$B64,'июль 2025'!$J$2:$J$2437,D$1)</f>
        <v>0</v>
      </c>
      <c r="E64" s="76">
        <f>SUMIFS('июль 2025'!$G$2:$G$2437,'июль 2025'!$D$2:$D$2437,$B64,'июль 2025'!$J$2:$J$2437,E$1)</f>
        <v>0</v>
      </c>
      <c r="F64" s="76">
        <f>SUMIFS('июль 2025'!$G$2:$G$2437,'июль 2025'!$D$2:$D$2437,$B64,'июль 2025'!$J$2:$J$2437,F$1)</f>
        <v>0</v>
      </c>
      <c r="G64" s="76">
        <f>SUMIFS('июль 2025'!$G$2:$G$2437,'июль 2025'!$D$2:$D$2437,$B64,'июль 2025'!$J$2:$J$2437,G$1)</f>
        <v>0</v>
      </c>
      <c r="H64" s="76">
        <f>SUMIFS('июль 2025'!$G$2:$G$2437,'июль 2025'!$D$2:$D$2437,$B64,'июль 2025'!$J$2:$J$2437,H$1)</f>
        <v>0</v>
      </c>
      <c r="I64" s="76">
        <f>SUMIFS('июль 2025'!$G$2:$G$2437,'июль 2025'!$D$2:$D$2437,$B64,'июль 2025'!$J$2:$J$2437,I$1)</f>
        <v>0</v>
      </c>
      <c r="J64" s="76">
        <f>SUMIFS('июль 2025'!$G$2:$G$2437,'июль 2025'!$D$2:$D$2437,$B64,'июль 2025'!$J$2:$J$2437,J$1)</f>
        <v>0</v>
      </c>
      <c r="K64" s="76">
        <f>SUMIFS('июль 2025'!$G$2:$G$2437,'июль 2025'!$D$2:$D$2437,$B64,'июль 2025'!$J$2:$J$2437,K$1)</f>
        <v>0</v>
      </c>
      <c r="L64" s="76">
        <f>SUMIFS('июль 2025'!$G$2:$G$2437,'июль 2025'!$D$2:$D$2437,$B64,'июль 2025'!$J$2:$J$2437,L$1)</f>
        <v>0</v>
      </c>
      <c r="M64" s="76">
        <f>SUMIFS('июль 2025'!$G$2:$G$2437,'июль 2025'!$D$2:$D$2437,$B64,'июль 2025'!$J$2:$J$2437,M$1)</f>
        <v>0</v>
      </c>
      <c r="N64" s="76">
        <f>SUMIFS('июль 2025'!$G$2:$G$2437,'июль 2025'!$D$2:$D$2437,$B64,'июль 2025'!$J$2:$J$2437,N$1)</f>
        <v>0</v>
      </c>
      <c r="O64" s="76">
        <f>SUMIFS('июль 2025'!$G$2:$G$2437,'июль 2025'!$D$2:$D$2437,$B64,'июль 2025'!$J$2:$J$2437,O$1)</f>
        <v>0</v>
      </c>
      <c r="P64" s="76">
        <f>SUMIFS('июль 2025'!$G$2:$G$2437,'июль 2025'!$D$2:$D$2437,$B64,'июль 2025'!$J$2:$J$2437,P$1)</f>
        <v>0</v>
      </c>
      <c r="Q64" s="76">
        <f>SUMIFS('июль 2025'!$G$2:$G$2437,'июль 2025'!$D$2:$D$2437,$B64,'июль 2025'!$J$2:$J$2437,Q$1)</f>
        <v>0</v>
      </c>
      <c r="R64" s="76">
        <f>SUMIFS('июль 2025'!$G$2:$G$2437,'июль 2025'!$D$2:$D$2437,$B64,'июль 2025'!$J$2:$J$2437,R$1)</f>
        <v>0</v>
      </c>
      <c r="S64" s="76">
        <f>SUMIFS('июль 2025'!$G$2:$G$2437,'июль 2025'!$D$2:$D$2437,$B64,'июль 2025'!$J$2:$J$2437,S$1)</f>
        <v>0</v>
      </c>
      <c r="T64" s="76">
        <f>SUMIFS('июль 2025'!$G$2:$G$2437,'июль 2025'!$D$2:$D$2437,$B64,'июль 2025'!$J$2:$J$2437,T$1)</f>
        <v>0</v>
      </c>
      <c r="U64" s="76">
        <f>SUMIFS('июль 2025'!$G$2:$G$2437,'июль 2025'!$D$2:$D$2437,$B64,'июль 2025'!$J$2:$J$2437,U$1)</f>
        <v>0</v>
      </c>
      <c r="V64" s="76">
        <f>SUMIFS('июль 2025'!$G$2:$G$2437,'июль 2025'!$D$2:$D$2437,$B64,'июль 2025'!$J$2:$J$2437,V$1)</f>
        <v>0</v>
      </c>
      <c r="W64" s="76">
        <f>SUMIFS('июль 2025'!$G$2:$G$2437,'июль 2025'!$D$2:$D$2437,$B64,'июль 2025'!$J$2:$J$2437,W$1)</f>
        <v>0</v>
      </c>
      <c r="X64" s="76">
        <f>SUMIFS('июль 2025'!$G$2:$G$2437,'июль 2025'!$D$2:$D$2437,$B64,'июль 2025'!$J$2:$J$2437,X$1)</f>
        <v>0</v>
      </c>
      <c r="Y64" s="76">
        <f>SUMIFS('июль 2025'!$G$2:$G$2437,'июль 2025'!$D$2:$D$2437,$B64,'июль 2025'!$J$2:$J$2437,Y$1)</f>
        <v>0</v>
      </c>
      <c r="Z64" s="76">
        <f>SUMIFS('июль 2025'!$G$2:$G$2437,'июль 2025'!$D$2:$D$2437,$B64,'июль 2025'!$J$2:$J$2437,Z$1)</f>
        <v>0</v>
      </c>
      <c r="AA64" s="76">
        <f>SUMIFS('июль 2025'!$G$2:$G$2437,'июль 2025'!$D$2:$D$2437,$B64,'июль 2025'!$J$2:$J$2437,AA$1)</f>
        <v>0</v>
      </c>
      <c r="AB64" s="76">
        <f>SUMIFS('июль 2025'!$G$2:$G$2437,'июль 2025'!$D$2:$D$2437,$B64,'июль 2025'!$J$2:$J$2437,AB$1)</f>
        <v>0</v>
      </c>
      <c r="AC64" s="76">
        <f>SUMIFS('июль 2025'!$G$2:$G$2437,'июль 2025'!$D$2:$D$2437,$B64,'июль 2025'!$J$2:$J$2437,AC$1)</f>
        <v>0</v>
      </c>
      <c r="AD64" s="76">
        <f>SUMIFS('июль 2025'!$G$2:$G$2437,'июль 2025'!$D$2:$D$2437,$B64,'июль 2025'!$J$2:$J$2437,AD$1)</f>
        <v>0</v>
      </c>
      <c r="AE64" s="76">
        <f>SUMIFS('июль 2025'!$G$2:$G$2437,'июль 2025'!$D$2:$D$2437,$B64,'июль 2025'!$J$2:$J$2437,AE$1)</f>
        <v>0</v>
      </c>
      <c r="AF64" s="76">
        <f>SUMIFS('июль 2025'!$G$2:$G$2437,'июль 2025'!$D$2:$D$2437,$B64,'июль 2025'!$J$2:$J$2437,AF$1)</f>
        <v>0</v>
      </c>
      <c r="AG64" s="76">
        <f>SUMIFS('июль 2025'!$G$2:$G$2437,'июль 2025'!$D$2:$D$2437,$B64,'июль 2025'!$J$2:$J$2437,AG$1)</f>
        <v>0</v>
      </c>
      <c r="AH64" s="76">
        <f>SUMIFS('июль 2025'!$G$2:$G$2437,'июль 2025'!$D$2:$D$2437,$B64,'июль 2025'!$J$2:$J$2437,AH$1)</f>
        <v>0</v>
      </c>
      <c r="AI64" s="20">
        <f t="shared" si="1"/>
        <v>0</v>
      </c>
    </row>
    <row r="65" spans="2:35" ht="15" customHeight="1" x14ac:dyDescent="0.25">
      <c r="B65" s="136"/>
      <c r="C65" s="132"/>
      <c r="D65" s="76">
        <f>SUMIFS('июль 2025'!$G$2:$G$2437,'июль 2025'!$D$2:$D$2437,$B65,'июль 2025'!$J$2:$J$2437,D$1)</f>
        <v>0</v>
      </c>
      <c r="E65" s="76">
        <f>SUMIFS('июль 2025'!$G$2:$G$2437,'июль 2025'!$D$2:$D$2437,$B65,'июль 2025'!$J$2:$J$2437,E$1)</f>
        <v>0</v>
      </c>
      <c r="F65" s="76">
        <f>SUMIFS('июль 2025'!$G$2:$G$2437,'июль 2025'!$D$2:$D$2437,$B65,'июль 2025'!$J$2:$J$2437,F$1)</f>
        <v>0</v>
      </c>
      <c r="G65" s="76">
        <f>SUMIFS('июль 2025'!$G$2:$G$2437,'июль 2025'!$D$2:$D$2437,$B65,'июль 2025'!$J$2:$J$2437,G$1)</f>
        <v>0</v>
      </c>
      <c r="H65" s="76">
        <f>SUMIFS('июль 2025'!$G$2:$G$2437,'июль 2025'!$D$2:$D$2437,$B65,'июль 2025'!$J$2:$J$2437,H$1)</f>
        <v>0</v>
      </c>
      <c r="I65" s="76">
        <f>SUMIFS('июль 2025'!$G$2:$G$2437,'июль 2025'!$D$2:$D$2437,$B65,'июль 2025'!$J$2:$J$2437,I$1)</f>
        <v>0</v>
      </c>
      <c r="J65" s="76">
        <f>SUMIFS('июль 2025'!$G$2:$G$2437,'июль 2025'!$D$2:$D$2437,$B65,'июль 2025'!$J$2:$J$2437,J$1)</f>
        <v>0</v>
      </c>
      <c r="K65" s="76">
        <f>SUMIFS('июль 2025'!$G$2:$G$2437,'июль 2025'!$D$2:$D$2437,$B65,'июль 2025'!$J$2:$J$2437,K$1)</f>
        <v>0</v>
      </c>
      <c r="L65" s="76">
        <f>SUMIFS('июль 2025'!$G$2:$G$2437,'июль 2025'!$D$2:$D$2437,$B65,'июль 2025'!$J$2:$J$2437,L$1)</f>
        <v>0</v>
      </c>
      <c r="M65" s="76">
        <f>SUMIFS('июль 2025'!$G$2:$G$2437,'июль 2025'!$D$2:$D$2437,$B65,'июль 2025'!$J$2:$J$2437,M$1)</f>
        <v>0</v>
      </c>
      <c r="N65" s="76">
        <f>SUMIFS('июль 2025'!$G$2:$G$2437,'июль 2025'!$D$2:$D$2437,$B65,'июль 2025'!$J$2:$J$2437,N$1)</f>
        <v>0</v>
      </c>
      <c r="O65" s="76">
        <f>SUMIFS('июль 2025'!$G$2:$G$2437,'июль 2025'!$D$2:$D$2437,$B65,'июль 2025'!$J$2:$J$2437,O$1)</f>
        <v>0</v>
      </c>
      <c r="P65" s="76">
        <f>SUMIFS('июль 2025'!$G$2:$G$2437,'июль 2025'!$D$2:$D$2437,$B65,'июль 2025'!$J$2:$J$2437,P$1)</f>
        <v>0</v>
      </c>
      <c r="Q65" s="76">
        <f>SUMIFS('июль 2025'!$G$2:$G$2437,'июль 2025'!$D$2:$D$2437,$B65,'июль 2025'!$J$2:$J$2437,Q$1)</f>
        <v>0</v>
      </c>
      <c r="R65" s="76">
        <f>SUMIFS('июль 2025'!$G$2:$G$2437,'июль 2025'!$D$2:$D$2437,$B65,'июль 2025'!$J$2:$J$2437,R$1)</f>
        <v>0</v>
      </c>
      <c r="S65" s="76">
        <f>SUMIFS('июль 2025'!$G$2:$G$2437,'июль 2025'!$D$2:$D$2437,$B65,'июль 2025'!$J$2:$J$2437,S$1)</f>
        <v>0</v>
      </c>
      <c r="T65" s="76">
        <f>SUMIFS('июль 2025'!$G$2:$G$2437,'июль 2025'!$D$2:$D$2437,$B65,'июль 2025'!$J$2:$J$2437,T$1)</f>
        <v>0</v>
      </c>
      <c r="U65" s="76">
        <f>SUMIFS('июль 2025'!$G$2:$G$2437,'июль 2025'!$D$2:$D$2437,$B65,'июль 2025'!$J$2:$J$2437,U$1)</f>
        <v>0</v>
      </c>
      <c r="V65" s="76">
        <f>SUMIFS('июль 2025'!$G$2:$G$2437,'июль 2025'!$D$2:$D$2437,$B65,'июль 2025'!$J$2:$J$2437,V$1)</f>
        <v>0</v>
      </c>
      <c r="W65" s="76">
        <f>SUMIFS('июль 2025'!$G$2:$G$2437,'июль 2025'!$D$2:$D$2437,$B65,'июль 2025'!$J$2:$J$2437,W$1)</f>
        <v>0</v>
      </c>
      <c r="X65" s="76">
        <f>SUMIFS('июль 2025'!$G$2:$G$2437,'июль 2025'!$D$2:$D$2437,$B65,'июль 2025'!$J$2:$J$2437,X$1)</f>
        <v>0</v>
      </c>
      <c r="Y65" s="76">
        <f>SUMIFS('июль 2025'!$G$2:$G$2437,'июль 2025'!$D$2:$D$2437,$B65,'июль 2025'!$J$2:$J$2437,Y$1)</f>
        <v>0</v>
      </c>
      <c r="Z65" s="76">
        <f>SUMIFS('июль 2025'!$G$2:$G$2437,'июль 2025'!$D$2:$D$2437,$B65,'июль 2025'!$J$2:$J$2437,Z$1)</f>
        <v>0</v>
      </c>
      <c r="AA65" s="76">
        <f>SUMIFS('июль 2025'!$G$2:$G$2437,'июль 2025'!$D$2:$D$2437,$B65,'июль 2025'!$J$2:$J$2437,AA$1)</f>
        <v>0</v>
      </c>
      <c r="AB65" s="76">
        <f>SUMIFS('июль 2025'!$G$2:$G$2437,'июль 2025'!$D$2:$D$2437,$B65,'июль 2025'!$J$2:$J$2437,AB$1)</f>
        <v>0</v>
      </c>
      <c r="AC65" s="76">
        <f>SUMIFS('июль 2025'!$G$2:$G$2437,'июль 2025'!$D$2:$D$2437,$B65,'июль 2025'!$J$2:$J$2437,AC$1)</f>
        <v>0</v>
      </c>
      <c r="AD65" s="76">
        <f>SUMIFS('июль 2025'!$G$2:$G$2437,'июль 2025'!$D$2:$D$2437,$B65,'июль 2025'!$J$2:$J$2437,AD$1)</f>
        <v>0</v>
      </c>
      <c r="AE65" s="76">
        <f>SUMIFS('июль 2025'!$G$2:$G$2437,'июль 2025'!$D$2:$D$2437,$B65,'июль 2025'!$J$2:$J$2437,AE$1)</f>
        <v>0</v>
      </c>
      <c r="AF65" s="76">
        <f>SUMIFS('июль 2025'!$G$2:$G$2437,'июль 2025'!$D$2:$D$2437,$B65,'июль 2025'!$J$2:$J$2437,AF$1)</f>
        <v>0</v>
      </c>
      <c r="AG65" s="76">
        <f>SUMIFS('июль 2025'!$G$2:$G$2437,'июль 2025'!$D$2:$D$2437,$B65,'июль 2025'!$J$2:$J$2437,AG$1)</f>
        <v>0</v>
      </c>
      <c r="AH65" s="76">
        <f>SUMIFS('июль 2025'!$G$2:$G$2437,'июль 2025'!$D$2:$D$2437,$B65,'июль 2025'!$J$2:$J$2437,AH$1)</f>
        <v>0</v>
      </c>
      <c r="AI65" s="20">
        <f t="shared" si="1"/>
        <v>0</v>
      </c>
    </row>
    <row r="66" spans="2:35" ht="15" customHeight="1" x14ac:dyDescent="0.25">
      <c r="B66" s="87" t="s">
        <v>160</v>
      </c>
      <c r="C66" s="86">
        <v>200</v>
      </c>
      <c r="D66" s="76">
        <f>SUMIFS('июль 2025'!$G$2:$G$2437,'июль 2025'!$D$2:$D$2437,$B66,'июль 2025'!$J$2:$J$2437,D$1)</f>
        <v>0</v>
      </c>
      <c r="E66" s="76">
        <f>SUMIFS('июль 2025'!$G$2:$G$2437,'июль 2025'!$D$2:$D$2437,$B66,'июль 2025'!$J$2:$J$2437,E$1)</f>
        <v>0</v>
      </c>
      <c r="F66" s="76">
        <f>SUMIFS('июль 2025'!$G$2:$G$2437,'июль 2025'!$D$2:$D$2437,$B66,'июль 2025'!$J$2:$J$2437,F$1)</f>
        <v>0</v>
      </c>
      <c r="G66" s="76">
        <f>SUMIFS('июль 2025'!$G$2:$G$2437,'июль 2025'!$D$2:$D$2437,$B66,'июль 2025'!$J$2:$J$2437,G$1)</f>
        <v>0</v>
      </c>
      <c r="H66" s="76">
        <f>SUMIFS('июль 2025'!$G$2:$G$2437,'июль 2025'!$D$2:$D$2437,$B66,'июль 2025'!$J$2:$J$2437,H$1)</f>
        <v>0</v>
      </c>
      <c r="I66" s="76">
        <f>SUMIFS('июль 2025'!$G$2:$G$2437,'июль 2025'!$D$2:$D$2437,$B66,'июль 2025'!$J$2:$J$2437,I$1)</f>
        <v>0</v>
      </c>
      <c r="J66" s="76">
        <f>SUMIFS('июль 2025'!$G$2:$G$2437,'июль 2025'!$D$2:$D$2437,$B66,'июль 2025'!$J$2:$J$2437,J$1)</f>
        <v>0</v>
      </c>
      <c r="K66" s="76">
        <f>SUMIFS('июль 2025'!$G$2:$G$2437,'июль 2025'!$D$2:$D$2437,$B66,'июль 2025'!$J$2:$J$2437,K$1)</f>
        <v>0</v>
      </c>
      <c r="L66" s="76">
        <f>SUMIFS('июль 2025'!$G$2:$G$2437,'июль 2025'!$D$2:$D$2437,$B66,'июль 2025'!$J$2:$J$2437,L$1)</f>
        <v>0</v>
      </c>
      <c r="M66" s="76">
        <f>SUMIFS('июль 2025'!$G$2:$G$2437,'июль 2025'!$D$2:$D$2437,$B66,'июль 2025'!$J$2:$J$2437,M$1)</f>
        <v>0</v>
      </c>
      <c r="N66" s="76">
        <f>SUMIFS('июль 2025'!$G$2:$G$2437,'июль 2025'!$D$2:$D$2437,$B66,'июль 2025'!$J$2:$J$2437,N$1)</f>
        <v>0</v>
      </c>
      <c r="O66" s="76">
        <f>SUMIFS('июль 2025'!$G$2:$G$2437,'июль 2025'!$D$2:$D$2437,$B66,'июль 2025'!$J$2:$J$2437,O$1)</f>
        <v>0</v>
      </c>
      <c r="P66" s="76">
        <f>SUMIFS('июль 2025'!$G$2:$G$2437,'июль 2025'!$D$2:$D$2437,$B66,'июль 2025'!$J$2:$J$2437,P$1)</f>
        <v>0</v>
      </c>
      <c r="Q66" s="76">
        <f>SUMIFS('июль 2025'!$G$2:$G$2437,'июль 2025'!$D$2:$D$2437,$B66,'июль 2025'!$J$2:$J$2437,Q$1)</f>
        <v>0</v>
      </c>
      <c r="R66" s="76">
        <f>SUMIFS('июль 2025'!$G$2:$G$2437,'июль 2025'!$D$2:$D$2437,$B66,'июль 2025'!$J$2:$J$2437,R$1)</f>
        <v>0</v>
      </c>
      <c r="S66" s="76">
        <f>SUMIFS('июль 2025'!$G$2:$G$2437,'июль 2025'!$D$2:$D$2437,$B66,'июль 2025'!$J$2:$J$2437,S$1)</f>
        <v>0</v>
      </c>
      <c r="T66" s="76">
        <f>SUMIFS('июль 2025'!$G$2:$G$2437,'июль 2025'!$D$2:$D$2437,$B66,'июль 2025'!$J$2:$J$2437,T$1)</f>
        <v>0</v>
      </c>
      <c r="U66" s="76">
        <f>SUMIFS('июль 2025'!$G$2:$G$2437,'июль 2025'!$D$2:$D$2437,$B66,'июль 2025'!$J$2:$J$2437,U$1)</f>
        <v>0</v>
      </c>
      <c r="V66" s="76">
        <f>SUMIFS('июль 2025'!$G$2:$G$2437,'июль 2025'!$D$2:$D$2437,$B66,'июль 2025'!$J$2:$J$2437,V$1)</f>
        <v>0</v>
      </c>
      <c r="W66" s="76">
        <f>SUMIFS('июль 2025'!$G$2:$G$2437,'июль 2025'!$D$2:$D$2437,$B66,'июль 2025'!$J$2:$J$2437,W$1)</f>
        <v>0</v>
      </c>
      <c r="X66" s="76">
        <f>SUMIFS('июль 2025'!$G$2:$G$2437,'июль 2025'!$D$2:$D$2437,$B66,'июль 2025'!$J$2:$J$2437,X$1)</f>
        <v>0</v>
      </c>
      <c r="Y66" s="76">
        <f>SUMIFS('июль 2025'!$G$2:$G$2437,'июль 2025'!$D$2:$D$2437,$B66,'июль 2025'!$J$2:$J$2437,Y$1)</f>
        <v>0</v>
      </c>
      <c r="Z66" s="76">
        <f>SUMIFS('июль 2025'!$G$2:$G$2437,'июль 2025'!$D$2:$D$2437,$B66,'июль 2025'!$J$2:$J$2437,Z$1)</f>
        <v>0</v>
      </c>
      <c r="AA66" s="76">
        <f>SUMIFS('июль 2025'!$G$2:$G$2437,'июль 2025'!$D$2:$D$2437,$B66,'июль 2025'!$J$2:$J$2437,AA$1)</f>
        <v>0</v>
      </c>
      <c r="AB66" s="76">
        <f>SUMIFS('июль 2025'!$G$2:$G$2437,'июль 2025'!$D$2:$D$2437,$B66,'июль 2025'!$J$2:$J$2437,AB$1)</f>
        <v>0</v>
      </c>
      <c r="AC66" s="76">
        <f>SUMIFS('июль 2025'!$G$2:$G$2437,'июль 2025'!$D$2:$D$2437,$B66,'июль 2025'!$J$2:$J$2437,AC$1)</f>
        <v>0</v>
      </c>
      <c r="AD66" s="76">
        <f>SUMIFS('июль 2025'!$G$2:$G$2437,'июль 2025'!$D$2:$D$2437,$B66,'июль 2025'!$J$2:$J$2437,AD$1)</f>
        <v>0</v>
      </c>
      <c r="AE66" s="76">
        <f>SUMIFS('июль 2025'!$G$2:$G$2437,'июль 2025'!$D$2:$D$2437,$B66,'июль 2025'!$J$2:$J$2437,AE$1)</f>
        <v>0</v>
      </c>
      <c r="AF66" s="76">
        <f>SUMIFS('июль 2025'!$G$2:$G$2437,'июль 2025'!$D$2:$D$2437,$B66,'июль 2025'!$J$2:$J$2437,AF$1)</f>
        <v>0</v>
      </c>
      <c r="AG66" s="76">
        <f>SUMIFS('июль 2025'!$G$2:$G$2437,'июль 2025'!$D$2:$D$2437,$B66,'июль 2025'!$J$2:$J$2437,AG$1)</f>
        <v>0</v>
      </c>
      <c r="AH66" s="76">
        <f>SUMIFS('июль 2025'!$G$2:$G$2437,'июль 2025'!$D$2:$D$2437,$B66,'июль 2025'!$J$2:$J$2437,AH$1)</f>
        <v>0</v>
      </c>
      <c r="AI66" s="20">
        <f t="shared" si="1"/>
        <v>0</v>
      </c>
    </row>
    <row r="67" spans="2:35" ht="15" customHeight="1" x14ac:dyDescent="0.25">
      <c r="B67" s="87" t="s">
        <v>308</v>
      </c>
      <c r="C67" s="86">
        <v>50</v>
      </c>
      <c r="D67" s="76">
        <f>SUMIFS('июль 2025'!$G$2:$G$2437,'июль 2025'!$D$2:$D$2437,$B67,'июль 2025'!$J$2:$J$2437,D$1)</f>
        <v>0</v>
      </c>
      <c r="E67" s="76">
        <f>SUMIFS('июль 2025'!$G$2:$G$2437,'июль 2025'!$D$2:$D$2437,$B67,'июль 2025'!$J$2:$J$2437,E$1)</f>
        <v>0</v>
      </c>
      <c r="F67" s="76">
        <f>SUMIFS('июль 2025'!$G$2:$G$2437,'июль 2025'!$D$2:$D$2437,$B67,'июль 2025'!$J$2:$J$2437,F$1)</f>
        <v>0</v>
      </c>
      <c r="G67" s="76">
        <f>SUMIFS('июль 2025'!$G$2:$G$2437,'июль 2025'!$D$2:$D$2437,$B67,'июль 2025'!$J$2:$J$2437,G$1)</f>
        <v>0</v>
      </c>
      <c r="H67" s="76">
        <f>SUMIFS('июль 2025'!$G$2:$G$2437,'июль 2025'!$D$2:$D$2437,$B67,'июль 2025'!$J$2:$J$2437,H$1)</f>
        <v>0</v>
      </c>
      <c r="I67" s="76">
        <f>SUMIFS('июль 2025'!$G$2:$G$2437,'июль 2025'!$D$2:$D$2437,$B67,'июль 2025'!$J$2:$J$2437,I$1)</f>
        <v>0</v>
      </c>
      <c r="J67" s="76">
        <f>SUMIFS('июль 2025'!$G$2:$G$2437,'июль 2025'!$D$2:$D$2437,$B67,'июль 2025'!$J$2:$J$2437,J$1)</f>
        <v>0</v>
      </c>
      <c r="K67" s="76">
        <f>SUMIFS('июль 2025'!$G$2:$G$2437,'июль 2025'!$D$2:$D$2437,$B67,'июль 2025'!$J$2:$J$2437,K$1)</f>
        <v>0</v>
      </c>
      <c r="L67" s="76">
        <f>SUMIFS('июль 2025'!$G$2:$G$2437,'июль 2025'!$D$2:$D$2437,$B67,'июль 2025'!$J$2:$J$2437,L$1)</f>
        <v>0</v>
      </c>
      <c r="M67" s="76">
        <f>SUMIFS('июль 2025'!$G$2:$G$2437,'июль 2025'!$D$2:$D$2437,$B67,'июль 2025'!$J$2:$J$2437,M$1)</f>
        <v>0</v>
      </c>
      <c r="N67" s="76">
        <f>SUMIFS('июль 2025'!$G$2:$G$2437,'июль 2025'!$D$2:$D$2437,$B67,'июль 2025'!$J$2:$J$2437,N$1)</f>
        <v>0</v>
      </c>
      <c r="O67" s="76">
        <f>SUMIFS('июль 2025'!$G$2:$G$2437,'июль 2025'!$D$2:$D$2437,$B67,'июль 2025'!$J$2:$J$2437,O$1)</f>
        <v>0</v>
      </c>
      <c r="P67" s="76">
        <f>SUMIFS('июль 2025'!$G$2:$G$2437,'июль 2025'!$D$2:$D$2437,$B67,'июль 2025'!$J$2:$J$2437,P$1)</f>
        <v>0</v>
      </c>
      <c r="Q67" s="76">
        <f>SUMIFS('июль 2025'!$G$2:$G$2437,'июль 2025'!$D$2:$D$2437,$B67,'июль 2025'!$J$2:$J$2437,Q$1)</f>
        <v>0</v>
      </c>
      <c r="R67" s="76">
        <f>SUMIFS('июль 2025'!$G$2:$G$2437,'июль 2025'!$D$2:$D$2437,$B67,'июль 2025'!$J$2:$J$2437,R$1)</f>
        <v>0</v>
      </c>
      <c r="S67" s="76">
        <f>SUMIFS('июль 2025'!$G$2:$G$2437,'июль 2025'!$D$2:$D$2437,$B67,'июль 2025'!$J$2:$J$2437,S$1)</f>
        <v>0</v>
      </c>
      <c r="T67" s="76">
        <f>SUMIFS('июль 2025'!$G$2:$G$2437,'июль 2025'!$D$2:$D$2437,$B67,'июль 2025'!$J$2:$J$2437,T$1)</f>
        <v>0</v>
      </c>
      <c r="U67" s="76">
        <f>SUMIFS('июль 2025'!$G$2:$G$2437,'июль 2025'!$D$2:$D$2437,$B67,'июль 2025'!$J$2:$J$2437,U$1)</f>
        <v>0</v>
      </c>
      <c r="V67" s="76">
        <f>SUMIFS('июль 2025'!$G$2:$G$2437,'июль 2025'!$D$2:$D$2437,$B67,'июль 2025'!$J$2:$J$2437,V$1)</f>
        <v>0</v>
      </c>
      <c r="W67" s="76">
        <f>SUMIFS('июль 2025'!$G$2:$G$2437,'июль 2025'!$D$2:$D$2437,$B67,'июль 2025'!$J$2:$J$2437,W$1)</f>
        <v>0</v>
      </c>
      <c r="X67" s="76">
        <f>SUMIFS('июль 2025'!$G$2:$G$2437,'июль 2025'!$D$2:$D$2437,$B67,'июль 2025'!$J$2:$J$2437,X$1)</f>
        <v>0</v>
      </c>
      <c r="Y67" s="76">
        <f>SUMIFS('июль 2025'!$G$2:$G$2437,'июль 2025'!$D$2:$D$2437,$B67,'июль 2025'!$J$2:$J$2437,Y$1)</f>
        <v>0</v>
      </c>
      <c r="Z67" s="76">
        <f>SUMIFS('июль 2025'!$G$2:$G$2437,'июль 2025'!$D$2:$D$2437,$B67,'июль 2025'!$J$2:$J$2437,Z$1)</f>
        <v>0</v>
      </c>
      <c r="AA67" s="76">
        <f>SUMIFS('июль 2025'!$G$2:$G$2437,'июль 2025'!$D$2:$D$2437,$B67,'июль 2025'!$J$2:$J$2437,AA$1)</f>
        <v>0</v>
      </c>
      <c r="AB67" s="76">
        <f>SUMIFS('июль 2025'!$G$2:$G$2437,'июль 2025'!$D$2:$D$2437,$B67,'июль 2025'!$J$2:$J$2437,AB$1)</f>
        <v>0</v>
      </c>
      <c r="AC67" s="76">
        <f>SUMIFS('июль 2025'!$G$2:$G$2437,'июль 2025'!$D$2:$D$2437,$B67,'июль 2025'!$J$2:$J$2437,AC$1)</f>
        <v>0</v>
      </c>
      <c r="AD67" s="76">
        <f>SUMIFS('июль 2025'!$G$2:$G$2437,'июль 2025'!$D$2:$D$2437,$B67,'июль 2025'!$J$2:$J$2437,AD$1)</f>
        <v>0</v>
      </c>
      <c r="AE67" s="76">
        <f>SUMIFS('июль 2025'!$G$2:$G$2437,'июль 2025'!$D$2:$D$2437,$B67,'июль 2025'!$J$2:$J$2437,AE$1)</f>
        <v>0</v>
      </c>
      <c r="AF67" s="76">
        <f>SUMIFS('июль 2025'!$G$2:$G$2437,'июль 2025'!$D$2:$D$2437,$B67,'июль 2025'!$J$2:$J$2437,AF$1)</f>
        <v>0</v>
      </c>
      <c r="AG67" s="76">
        <f>SUMIFS('июль 2025'!$G$2:$G$2437,'июль 2025'!$D$2:$D$2437,$B67,'июль 2025'!$J$2:$J$2437,AG$1)</f>
        <v>0</v>
      </c>
      <c r="AH67" s="76">
        <f>SUMIFS('июль 2025'!$G$2:$G$2437,'июль 2025'!$D$2:$D$2437,$B67,'июль 2025'!$J$2:$J$2437,AH$1)</f>
        <v>0</v>
      </c>
      <c r="AI67" s="20">
        <f t="shared" si="1"/>
        <v>0</v>
      </c>
    </row>
    <row r="68" spans="2:35" ht="15" customHeight="1" x14ac:dyDescent="0.25">
      <c r="B68" s="88" t="s">
        <v>198</v>
      </c>
      <c r="C68" s="86">
        <v>200</v>
      </c>
      <c r="D68" s="76">
        <f>SUMIFS('июль 2025'!$G$2:$G$2437,'июль 2025'!$D$2:$D$2437,$B68,'июль 2025'!$J$2:$J$2437,D$1)</f>
        <v>0</v>
      </c>
      <c r="E68" s="76">
        <f>SUMIFS('июль 2025'!$G$2:$G$2437,'июль 2025'!$D$2:$D$2437,$B68,'июль 2025'!$J$2:$J$2437,E$1)</f>
        <v>0</v>
      </c>
      <c r="F68" s="76">
        <f>SUMIFS('июль 2025'!$G$2:$G$2437,'июль 2025'!$D$2:$D$2437,$B68,'июль 2025'!$J$2:$J$2437,F$1)</f>
        <v>0</v>
      </c>
      <c r="G68" s="76">
        <f>SUMIFS('июль 2025'!$G$2:$G$2437,'июль 2025'!$D$2:$D$2437,$B68,'июль 2025'!$J$2:$J$2437,G$1)</f>
        <v>0</v>
      </c>
      <c r="H68" s="76">
        <f>SUMIFS('июль 2025'!$G$2:$G$2437,'июль 2025'!$D$2:$D$2437,$B68,'июль 2025'!$J$2:$J$2437,H$1)</f>
        <v>0</v>
      </c>
      <c r="I68" s="76">
        <f>SUMIFS('июль 2025'!$G$2:$G$2437,'июль 2025'!$D$2:$D$2437,$B68,'июль 2025'!$J$2:$J$2437,I$1)</f>
        <v>0</v>
      </c>
      <c r="J68" s="76">
        <f>SUMIFS('июль 2025'!$G$2:$G$2437,'июль 2025'!$D$2:$D$2437,$B68,'июль 2025'!$J$2:$J$2437,J$1)</f>
        <v>0</v>
      </c>
      <c r="K68" s="76">
        <f>SUMIFS('июль 2025'!$G$2:$G$2437,'июль 2025'!$D$2:$D$2437,$B68,'июль 2025'!$J$2:$J$2437,K$1)</f>
        <v>0</v>
      </c>
      <c r="L68" s="76">
        <f>SUMIFS('июль 2025'!$G$2:$G$2437,'июль 2025'!$D$2:$D$2437,$B68,'июль 2025'!$J$2:$J$2437,L$1)</f>
        <v>0</v>
      </c>
      <c r="M68" s="76">
        <f>SUMIFS('июль 2025'!$G$2:$G$2437,'июль 2025'!$D$2:$D$2437,$B68,'июль 2025'!$J$2:$J$2437,M$1)</f>
        <v>0</v>
      </c>
      <c r="N68" s="76">
        <f>SUMIFS('июль 2025'!$G$2:$G$2437,'июль 2025'!$D$2:$D$2437,$B68,'июль 2025'!$J$2:$J$2437,N$1)</f>
        <v>0</v>
      </c>
      <c r="O68" s="76">
        <f>SUMIFS('июль 2025'!$G$2:$G$2437,'июль 2025'!$D$2:$D$2437,$B68,'июль 2025'!$J$2:$J$2437,O$1)</f>
        <v>0</v>
      </c>
      <c r="P68" s="76">
        <f>SUMIFS('июль 2025'!$G$2:$G$2437,'июль 2025'!$D$2:$D$2437,$B68,'июль 2025'!$J$2:$J$2437,P$1)</f>
        <v>0</v>
      </c>
      <c r="Q68" s="76">
        <f>SUMIFS('июль 2025'!$G$2:$G$2437,'июль 2025'!$D$2:$D$2437,$B68,'июль 2025'!$J$2:$J$2437,Q$1)</f>
        <v>0</v>
      </c>
      <c r="R68" s="76">
        <f>SUMIFS('июль 2025'!$G$2:$G$2437,'июль 2025'!$D$2:$D$2437,$B68,'июль 2025'!$J$2:$J$2437,R$1)</f>
        <v>0</v>
      </c>
      <c r="S68" s="76">
        <f>SUMIFS('июль 2025'!$G$2:$G$2437,'июль 2025'!$D$2:$D$2437,$B68,'июль 2025'!$J$2:$J$2437,S$1)</f>
        <v>0</v>
      </c>
      <c r="T68" s="76">
        <f>SUMIFS('июль 2025'!$G$2:$G$2437,'июль 2025'!$D$2:$D$2437,$B68,'июль 2025'!$J$2:$J$2437,T$1)</f>
        <v>0</v>
      </c>
      <c r="U68" s="76">
        <f>SUMIFS('июль 2025'!$G$2:$G$2437,'июль 2025'!$D$2:$D$2437,$B68,'июль 2025'!$J$2:$J$2437,U$1)</f>
        <v>0</v>
      </c>
      <c r="V68" s="76">
        <f>SUMIFS('июль 2025'!$G$2:$G$2437,'июль 2025'!$D$2:$D$2437,$B68,'июль 2025'!$J$2:$J$2437,V$1)</f>
        <v>0</v>
      </c>
      <c r="W68" s="76">
        <f>SUMIFS('июль 2025'!$G$2:$G$2437,'июль 2025'!$D$2:$D$2437,$B68,'июль 2025'!$J$2:$J$2437,W$1)</f>
        <v>0</v>
      </c>
      <c r="X68" s="76">
        <f>SUMIFS('июль 2025'!$G$2:$G$2437,'июль 2025'!$D$2:$D$2437,$B68,'июль 2025'!$J$2:$J$2437,X$1)</f>
        <v>0</v>
      </c>
      <c r="Y68" s="76">
        <f>SUMIFS('июль 2025'!$G$2:$G$2437,'июль 2025'!$D$2:$D$2437,$B68,'июль 2025'!$J$2:$J$2437,Y$1)</f>
        <v>0</v>
      </c>
      <c r="Z68" s="76">
        <f>SUMIFS('июль 2025'!$G$2:$G$2437,'июль 2025'!$D$2:$D$2437,$B68,'июль 2025'!$J$2:$J$2437,Z$1)</f>
        <v>0</v>
      </c>
      <c r="AA68" s="76">
        <f>SUMIFS('июль 2025'!$G$2:$G$2437,'июль 2025'!$D$2:$D$2437,$B68,'июль 2025'!$J$2:$J$2437,AA$1)</f>
        <v>0</v>
      </c>
      <c r="AB68" s="76">
        <f>SUMIFS('июль 2025'!$G$2:$G$2437,'июль 2025'!$D$2:$D$2437,$B68,'июль 2025'!$J$2:$J$2437,AB$1)</f>
        <v>0</v>
      </c>
      <c r="AC68" s="76">
        <f>SUMIFS('июль 2025'!$G$2:$G$2437,'июль 2025'!$D$2:$D$2437,$B68,'июль 2025'!$J$2:$J$2437,AC$1)</f>
        <v>0</v>
      </c>
      <c r="AD68" s="76">
        <f>SUMIFS('июль 2025'!$G$2:$G$2437,'июль 2025'!$D$2:$D$2437,$B68,'июль 2025'!$J$2:$J$2437,AD$1)</f>
        <v>0</v>
      </c>
      <c r="AE68" s="76">
        <f>SUMIFS('июль 2025'!$G$2:$G$2437,'июль 2025'!$D$2:$D$2437,$B68,'июль 2025'!$J$2:$J$2437,AE$1)</f>
        <v>0</v>
      </c>
      <c r="AF68" s="76">
        <f>SUMIFS('июль 2025'!$G$2:$G$2437,'июль 2025'!$D$2:$D$2437,$B68,'июль 2025'!$J$2:$J$2437,AF$1)</f>
        <v>0</v>
      </c>
      <c r="AG68" s="76">
        <f>SUMIFS('июль 2025'!$G$2:$G$2437,'июль 2025'!$D$2:$D$2437,$B68,'июль 2025'!$J$2:$J$2437,AG$1)</f>
        <v>0</v>
      </c>
      <c r="AH68" s="76">
        <f>SUMIFS('июль 2025'!$G$2:$G$2437,'июль 2025'!$D$2:$D$2437,$B68,'июль 2025'!$J$2:$J$2437,AH$1)</f>
        <v>0</v>
      </c>
      <c r="AI68" s="20">
        <f t="shared" si="1"/>
        <v>0</v>
      </c>
    </row>
    <row r="69" spans="2:35" ht="15" customHeight="1" x14ac:dyDescent="0.25">
      <c r="B69" s="88" t="s">
        <v>207</v>
      </c>
      <c r="C69" s="86">
        <v>25</v>
      </c>
      <c r="D69" s="76">
        <f>SUMIFS('июль 2025'!$G$2:$G$2437,'июль 2025'!$D$2:$D$2437,$B69,'июль 2025'!$J$2:$J$2437,D$1)</f>
        <v>0</v>
      </c>
      <c r="E69" s="76">
        <f>SUMIFS('июль 2025'!$G$2:$G$2437,'июль 2025'!$D$2:$D$2437,$B69,'июль 2025'!$J$2:$J$2437,E$1)</f>
        <v>0</v>
      </c>
      <c r="F69" s="76">
        <f>SUMIFS('июль 2025'!$G$2:$G$2437,'июль 2025'!$D$2:$D$2437,$B69,'июль 2025'!$J$2:$J$2437,F$1)</f>
        <v>0</v>
      </c>
      <c r="G69" s="76">
        <f>SUMIFS('июль 2025'!$G$2:$G$2437,'июль 2025'!$D$2:$D$2437,$B69,'июль 2025'!$J$2:$J$2437,G$1)</f>
        <v>0</v>
      </c>
      <c r="H69" s="76">
        <f>SUMIFS('июль 2025'!$G$2:$G$2437,'июль 2025'!$D$2:$D$2437,$B69,'июль 2025'!$J$2:$J$2437,H$1)</f>
        <v>0</v>
      </c>
      <c r="I69" s="76">
        <f>SUMIFS('июль 2025'!$G$2:$G$2437,'июль 2025'!$D$2:$D$2437,$B69,'июль 2025'!$J$2:$J$2437,I$1)</f>
        <v>0</v>
      </c>
      <c r="J69" s="76">
        <f>SUMIFS('июль 2025'!$G$2:$G$2437,'июль 2025'!$D$2:$D$2437,$B69,'июль 2025'!$J$2:$J$2437,J$1)</f>
        <v>0</v>
      </c>
      <c r="K69" s="76">
        <f>SUMIFS('июль 2025'!$G$2:$G$2437,'июль 2025'!$D$2:$D$2437,$B69,'июль 2025'!$J$2:$J$2437,K$1)</f>
        <v>0</v>
      </c>
      <c r="L69" s="76">
        <f>SUMIFS('июль 2025'!$G$2:$G$2437,'июль 2025'!$D$2:$D$2437,$B69,'июль 2025'!$J$2:$J$2437,L$1)</f>
        <v>0</v>
      </c>
      <c r="M69" s="76">
        <f>SUMIFS('июль 2025'!$G$2:$G$2437,'июль 2025'!$D$2:$D$2437,$B69,'июль 2025'!$J$2:$J$2437,M$1)</f>
        <v>0</v>
      </c>
      <c r="N69" s="76">
        <f>SUMIFS('июль 2025'!$G$2:$G$2437,'июль 2025'!$D$2:$D$2437,$B69,'июль 2025'!$J$2:$J$2437,N$1)</f>
        <v>0</v>
      </c>
      <c r="O69" s="76">
        <f>SUMIFS('июль 2025'!$G$2:$G$2437,'июль 2025'!$D$2:$D$2437,$B69,'июль 2025'!$J$2:$J$2437,O$1)</f>
        <v>0</v>
      </c>
      <c r="P69" s="76">
        <f>SUMIFS('июль 2025'!$G$2:$G$2437,'июль 2025'!$D$2:$D$2437,$B69,'июль 2025'!$J$2:$J$2437,P$1)</f>
        <v>0</v>
      </c>
      <c r="Q69" s="76">
        <f>SUMIFS('июль 2025'!$G$2:$G$2437,'июль 2025'!$D$2:$D$2437,$B69,'июль 2025'!$J$2:$J$2437,Q$1)</f>
        <v>0</v>
      </c>
      <c r="R69" s="76">
        <f>SUMIFS('июль 2025'!$G$2:$G$2437,'июль 2025'!$D$2:$D$2437,$B69,'июль 2025'!$J$2:$J$2437,R$1)</f>
        <v>0</v>
      </c>
      <c r="S69" s="76">
        <f>SUMIFS('июль 2025'!$G$2:$G$2437,'июль 2025'!$D$2:$D$2437,$B69,'июль 2025'!$J$2:$J$2437,S$1)</f>
        <v>0</v>
      </c>
      <c r="T69" s="76">
        <f>SUMIFS('июль 2025'!$G$2:$G$2437,'июль 2025'!$D$2:$D$2437,$B69,'июль 2025'!$J$2:$J$2437,T$1)</f>
        <v>0</v>
      </c>
      <c r="U69" s="76">
        <f>SUMIFS('июль 2025'!$G$2:$G$2437,'июль 2025'!$D$2:$D$2437,$B69,'июль 2025'!$J$2:$J$2437,U$1)</f>
        <v>0</v>
      </c>
      <c r="V69" s="76">
        <f>SUMIFS('июль 2025'!$G$2:$G$2437,'июль 2025'!$D$2:$D$2437,$B69,'июль 2025'!$J$2:$J$2437,V$1)</f>
        <v>0</v>
      </c>
      <c r="W69" s="76">
        <f>SUMIFS('июль 2025'!$G$2:$G$2437,'июль 2025'!$D$2:$D$2437,$B69,'июль 2025'!$J$2:$J$2437,W$1)</f>
        <v>0</v>
      </c>
      <c r="X69" s="76">
        <f>SUMIFS('июль 2025'!$G$2:$G$2437,'июль 2025'!$D$2:$D$2437,$B69,'июль 2025'!$J$2:$J$2437,X$1)</f>
        <v>0</v>
      </c>
      <c r="Y69" s="76">
        <f>SUMIFS('июль 2025'!$G$2:$G$2437,'июль 2025'!$D$2:$D$2437,$B69,'июль 2025'!$J$2:$J$2437,Y$1)</f>
        <v>0</v>
      </c>
      <c r="Z69" s="76">
        <f>SUMIFS('июль 2025'!$G$2:$G$2437,'июль 2025'!$D$2:$D$2437,$B69,'июль 2025'!$J$2:$J$2437,Z$1)</f>
        <v>0</v>
      </c>
      <c r="AA69" s="76">
        <f>SUMIFS('июль 2025'!$G$2:$G$2437,'июль 2025'!$D$2:$D$2437,$B69,'июль 2025'!$J$2:$J$2437,AA$1)</f>
        <v>0</v>
      </c>
      <c r="AB69" s="76">
        <f>SUMIFS('июль 2025'!$G$2:$G$2437,'июль 2025'!$D$2:$D$2437,$B69,'июль 2025'!$J$2:$J$2437,AB$1)</f>
        <v>0</v>
      </c>
      <c r="AC69" s="76">
        <f>SUMIFS('июль 2025'!$G$2:$G$2437,'июль 2025'!$D$2:$D$2437,$B69,'июль 2025'!$J$2:$J$2437,AC$1)</f>
        <v>0</v>
      </c>
      <c r="AD69" s="76">
        <f>SUMIFS('июль 2025'!$G$2:$G$2437,'июль 2025'!$D$2:$D$2437,$B69,'июль 2025'!$J$2:$J$2437,AD$1)</f>
        <v>0</v>
      </c>
      <c r="AE69" s="76">
        <f>SUMIFS('июль 2025'!$G$2:$G$2437,'июль 2025'!$D$2:$D$2437,$B69,'июль 2025'!$J$2:$J$2437,AE$1)</f>
        <v>0</v>
      </c>
      <c r="AF69" s="76">
        <f>SUMIFS('июль 2025'!$G$2:$G$2437,'июль 2025'!$D$2:$D$2437,$B69,'июль 2025'!$J$2:$J$2437,AF$1)</f>
        <v>0</v>
      </c>
      <c r="AG69" s="76">
        <f>SUMIFS('июль 2025'!$G$2:$G$2437,'июль 2025'!$D$2:$D$2437,$B69,'июль 2025'!$J$2:$J$2437,AG$1)</f>
        <v>0</v>
      </c>
      <c r="AH69" s="76">
        <f>SUMIFS('июль 2025'!$G$2:$G$2437,'июль 2025'!$D$2:$D$2437,$B69,'июль 2025'!$J$2:$J$2437,AH$1)</f>
        <v>0</v>
      </c>
      <c r="AI69" s="20">
        <f t="shared" si="1"/>
        <v>0</v>
      </c>
    </row>
    <row r="70" spans="2:35" ht="15" customHeight="1" x14ac:dyDescent="0.25">
      <c r="B70" s="88" t="s">
        <v>179</v>
      </c>
      <c r="C70" s="86">
        <v>50</v>
      </c>
      <c r="D70" s="76">
        <f>SUMIFS('июль 2025'!$G$2:$G$2437,'июль 2025'!$D$2:$D$2437,$B70,'июль 2025'!$J$2:$J$2437,D$1)</f>
        <v>0</v>
      </c>
      <c r="E70" s="76">
        <f>SUMIFS('июль 2025'!$G$2:$G$2437,'июль 2025'!$D$2:$D$2437,$B70,'июль 2025'!$J$2:$J$2437,E$1)</f>
        <v>0</v>
      </c>
      <c r="F70" s="76">
        <f>SUMIFS('июль 2025'!$G$2:$G$2437,'июль 2025'!$D$2:$D$2437,$B70,'июль 2025'!$J$2:$J$2437,F$1)</f>
        <v>0</v>
      </c>
      <c r="G70" s="76">
        <f>SUMIFS('июль 2025'!$G$2:$G$2437,'июль 2025'!$D$2:$D$2437,$B70,'июль 2025'!$J$2:$J$2437,G$1)</f>
        <v>0</v>
      </c>
      <c r="H70" s="76">
        <f>SUMIFS('июль 2025'!$G$2:$G$2437,'июль 2025'!$D$2:$D$2437,$B70,'июль 2025'!$J$2:$J$2437,H$1)</f>
        <v>0</v>
      </c>
      <c r="I70" s="76">
        <f>SUMIFS('июль 2025'!$G$2:$G$2437,'июль 2025'!$D$2:$D$2437,$B70,'июль 2025'!$J$2:$J$2437,I$1)</f>
        <v>0</v>
      </c>
      <c r="J70" s="76">
        <f>SUMIFS('июль 2025'!$G$2:$G$2437,'июль 2025'!$D$2:$D$2437,$B70,'июль 2025'!$J$2:$J$2437,J$1)</f>
        <v>0</v>
      </c>
      <c r="K70" s="76">
        <f>SUMIFS('июль 2025'!$G$2:$G$2437,'июль 2025'!$D$2:$D$2437,$B70,'июль 2025'!$J$2:$J$2437,K$1)</f>
        <v>0</v>
      </c>
      <c r="L70" s="76">
        <f>SUMIFS('июль 2025'!$G$2:$G$2437,'июль 2025'!$D$2:$D$2437,$B70,'июль 2025'!$J$2:$J$2437,L$1)</f>
        <v>0</v>
      </c>
      <c r="M70" s="76">
        <f>SUMIFS('июль 2025'!$G$2:$G$2437,'июль 2025'!$D$2:$D$2437,$B70,'июль 2025'!$J$2:$J$2437,M$1)</f>
        <v>0</v>
      </c>
      <c r="N70" s="76">
        <f>SUMIFS('июль 2025'!$G$2:$G$2437,'июль 2025'!$D$2:$D$2437,$B70,'июль 2025'!$J$2:$J$2437,N$1)</f>
        <v>0</v>
      </c>
      <c r="O70" s="76">
        <f>SUMIFS('июль 2025'!$G$2:$G$2437,'июль 2025'!$D$2:$D$2437,$B70,'июль 2025'!$J$2:$J$2437,O$1)</f>
        <v>0</v>
      </c>
      <c r="P70" s="76">
        <f>SUMIFS('июль 2025'!$G$2:$G$2437,'июль 2025'!$D$2:$D$2437,$B70,'июль 2025'!$J$2:$J$2437,P$1)</f>
        <v>0</v>
      </c>
      <c r="Q70" s="76">
        <f>SUMIFS('июль 2025'!$G$2:$G$2437,'июль 2025'!$D$2:$D$2437,$B70,'июль 2025'!$J$2:$J$2437,Q$1)</f>
        <v>0</v>
      </c>
      <c r="R70" s="76">
        <f>SUMIFS('июль 2025'!$G$2:$G$2437,'июль 2025'!$D$2:$D$2437,$B70,'июль 2025'!$J$2:$J$2437,R$1)</f>
        <v>0</v>
      </c>
      <c r="S70" s="76">
        <f>SUMIFS('июль 2025'!$G$2:$G$2437,'июль 2025'!$D$2:$D$2437,$B70,'июль 2025'!$J$2:$J$2437,S$1)</f>
        <v>0</v>
      </c>
      <c r="T70" s="76">
        <f>SUMIFS('июль 2025'!$G$2:$G$2437,'июль 2025'!$D$2:$D$2437,$B70,'июль 2025'!$J$2:$J$2437,T$1)</f>
        <v>0</v>
      </c>
      <c r="U70" s="76">
        <f>SUMIFS('июль 2025'!$G$2:$G$2437,'июль 2025'!$D$2:$D$2437,$B70,'июль 2025'!$J$2:$J$2437,U$1)</f>
        <v>0</v>
      </c>
      <c r="V70" s="76">
        <f>SUMIFS('июль 2025'!$G$2:$G$2437,'июль 2025'!$D$2:$D$2437,$B70,'июль 2025'!$J$2:$J$2437,V$1)</f>
        <v>0</v>
      </c>
      <c r="W70" s="76">
        <f>SUMIFS('июль 2025'!$G$2:$G$2437,'июль 2025'!$D$2:$D$2437,$B70,'июль 2025'!$J$2:$J$2437,W$1)</f>
        <v>0</v>
      </c>
      <c r="X70" s="76">
        <f>SUMIFS('июль 2025'!$G$2:$G$2437,'июль 2025'!$D$2:$D$2437,$B70,'июль 2025'!$J$2:$J$2437,X$1)</f>
        <v>0</v>
      </c>
      <c r="Y70" s="76">
        <f>SUMIFS('июль 2025'!$G$2:$G$2437,'июль 2025'!$D$2:$D$2437,$B70,'июль 2025'!$J$2:$J$2437,Y$1)</f>
        <v>0</v>
      </c>
      <c r="Z70" s="76">
        <f>SUMIFS('июль 2025'!$G$2:$G$2437,'июль 2025'!$D$2:$D$2437,$B70,'июль 2025'!$J$2:$J$2437,Z$1)</f>
        <v>0</v>
      </c>
      <c r="AA70" s="76">
        <f>SUMIFS('июль 2025'!$G$2:$G$2437,'июль 2025'!$D$2:$D$2437,$B70,'июль 2025'!$J$2:$J$2437,AA$1)</f>
        <v>0</v>
      </c>
      <c r="AB70" s="76">
        <f>SUMIFS('июль 2025'!$G$2:$G$2437,'июль 2025'!$D$2:$D$2437,$B70,'июль 2025'!$J$2:$J$2437,AB$1)</f>
        <v>0</v>
      </c>
      <c r="AC70" s="76">
        <f>SUMIFS('июль 2025'!$G$2:$G$2437,'июль 2025'!$D$2:$D$2437,$B70,'июль 2025'!$J$2:$J$2437,AC$1)</f>
        <v>0</v>
      </c>
      <c r="AD70" s="76">
        <f>SUMIFS('июль 2025'!$G$2:$G$2437,'июль 2025'!$D$2:$D$2437,$B70,'июль 2025'!$J$2:$J$2437,AD$1)</f>
        <v>0</v>
      </c>
      <c r="AE70" s="76">
        <f>SUMIFS('июль 2025'!$G$2:$G$2437,'июль 2025'!$D$2:$D$2437,$B70,'июль 2025'!$J$2:$J$2437,AE$1)</f>
        <v>0</v>
      </c>
      <c r="AF70" s="76">
        <f>SUMIFS('июль 2025'!$G$2:$G$2437,'июль 2025'!$D$2:$D$2437,$B70,'июль 2025'!$J$2:$J$2437,AF$1)</f>
        <v>0</v>
      </c>
      <c r="AG70" s="76">
        <f>SUMIFS('июль 2025'!$G$2:$G$2437,'июль 2025'!$D$2:$D$2437,$B70,'июль 2025'!$J$2:$J$2437,AG$1)</f>
        <v>0</v>
      </c>
      <c r="AH70" s="76">
        <f>SUMIFS('июль 2025'!$G$2:$G$2437,'июль 2025'!$D$2:$D$2437,$B70,'июль 2025'!$J$2:$J$2437,AH$1)</f>
        <v>0</v>
      </c>
      <c r="AI70" s="20">
        <f t="shared" si="1"/>
        <v>0</v>
      </c>
    </row>
    <row r="71" spans="2:35" ht="15.75" x14ac:dyDescent="0.25">
      <c r="B71" s="84" t="s">
        <v>158</v>
      </c>
      <c r="C71" s="83">
        <v>200</v>
      </c>
      <c r="D71" s="76">
        <f>SUMIFS('июль 2025'!$G$2:$G$2437,'июль 2025'!$D$2:$D$2437,$B71,'июль 2025'!$J$2:$J$2437,D$1)</f>
        <v>0</v>
      </c>
      <c r="E71" s="76">
        <f>SUMIFS('июль 2025'!$G$2:$G$2437,'июль 2025'!$D$2:$D$2437,$B71,'июль 2025'!$J$2:$J$2437,E$1)</f>
        <v>0</v>
      </c>
      <c r="F71" s="76">
        <f>SUMIFS('июль 2025'!$G$2:$G$2437,'июль 2025'!$D$2:$D$2437,$B71,'июль 2025'!$J$2:$J$2437,F$1)</f>
        <v>0</v>
      </c>
      <c r="G71" s="76">
        <f>SUMIFS('июль 2025'!$G$2:$G$2437,'июль 2025'!$D$2:$D$2437,$B71,'июль 2025'!$J$2:$J$2437,G$1)</f>
        <v>0</v>
      </c>
      <c r="H71" s="76">
        <f>SUMIFS('июль 2025'!$G$2:$G$2437,'июль 2025'!$D$2:$D$2437,$B71,'июль 2025'!$J$2:$J$2437,H$1)</f>
        <v>0</v>
      </c>
      <c r="I71" s="76">
        <f>SUMIFS('июль 2025'!$G$2:$G$2437,'июль 2025'!$D$2:$D$2437,$B71,'июль 2025'!$J$2:$J$2437,I$1)</f>
        <v>0</v>
      </c>
      <c r="J71" s="76">
        <f>SUMIFS('июль 2025'!$G$2:$G$2437,'июль 2025'!$D$2:$D$2437,$B71,'июль 2025'!$J$2:$J$2437,J$1)</f>
        <v>0</v>
      </c>
      <c r="K71" s="76">
        <f>SUMIFS('июль 2025'!$G$2:$G$2437,'июль 2025'!$D$2:$D$2437,$B71,'июль 2025'!$J$2:$J$2437,K$1)</f>
        <v>0</v>
      </c>
      <c r="L71" s="76">
        <f>SUMIFS('июль 2025'!$G$2:$G$2437,'июль 2025'!$D$2:$D$2437,$B71,'июль 2025'!$J$2:$J$2437,L$1)</f>
        <v>0</v>
      </c>
      <c r="M71" s="76">
        <f>SUMIFS('июль 2025'!$G$2:$G$2437,'июль 2025'!$D$2:$D$2437,$B71,'июль 2025'!$J$2:$J$2437,M$1)</f>
        <v>0</v>
      </c>
      <c r="N71" s="76">
        <f>SUMIFS('июль 2025'!$G$2:$G$2437,'июль 2025'!$D$2:$D$2437,$B71,'июль 2025'!$J$2:$J$2437,N$1)</f>
        <v>0</v>
      </c>
      <c r="O71" s="76">
        <f>SUMIFS('июль 2025'!$G$2:$G$2437,'июль 2025'!$D$2:$D$2437,$B71,'июль 2025'!$J$2:$J$2437,O$1)</f>
        <v>0</v>
      </c>
      <c r="P71" s="76">
        <f>SUMIFS('июль 2025'!$G$2:$G$2437,'июль 2025'!$D$2:$D$2437,$B71,'июль 2025'!$J$2:$J$2437,P$1)</f>
        <v>0</v>
      </c>
      <c r="Q71" s="76">
        <f>SUMIFS('июль 2025'!$G$2:$G$2437,'июль 2025'!$D$2:$D$2437,$B71,'июль 2025'!$J$2:$J$2437,Q$1)</f>
        <v>0</v>
      </c>
      <c r="R71" s="76">
        <f>SUMIFS('июль 2025'!$G$2:$G$2437,'июль 2025'!$D$2:$D$2437,$B71,'июль 2025'!$J$2:$J$2437,R$1)</f>
        <v>0</v>
      </c>
      <c r="S71" s="76">
        <f>SUMIFS('июль 2025'!$G$2:$G$2437,'июль 2025'!$D$2:$D$2437,$B71,'июль 2025'!$J$2:$J$2437,S$1)</f>
        <v>0</v>
      </c>
      <c r="T71" s="76">
        <f>SUMIFS('июль 2025'!$G$2:$G$2437,'июль 2025'!$D$2:$D$2437,$B71,'июль 2025'!$J$2:$J$2437,T$1)</f>
        <v>0</v>
      </c>
      <c r="U71" s="76">
        <f>SUMIFS('июль 2025'!$G$2:$G$2437,'июль 2025'!$D$2:$D$2437,$B71,'июль 2025'!$J$2:$J$2437,U$1)</f>
        <v>0</v>
      </c>
      <c r="V71" s="76">
        <f>SUMIFS('июль 2025'!$G$2:$G$2437,'июль 2025'!$D$2:$D$2437,$B71,'июль 2025'!$J$2:$J$2437,V$1)</f>
        <v>0</v>
      </c>
      <c r="W71" s="76">
        <f>SUMIFS('июль 2025'!$G$2:$G$2437,'июль 2025'!$D$2:$D$2437,$B71,'июль 2025'!$J$2:$J$2437,W$1)</f>
        <v>0</v>
      </c>
      <c r="X71" s="76">
        <f>SUMIFS('июль 2025'!$G$2:$G$2437,'июль 2025'!$D$2:$D$2437,$B71,'июль 2025'!$J$2:$J$2437,X$1)</f>
        <v>0</v>
      </c>
      <c r="Y71" s="76">
        <f>SUMIFS('июль 2025'!$G$2:$G$2437,'июль 2025'!$D$2:$D$2437,$B71,'июль 2025'!$J$2:$J$2437,Y$1)</f>
        <v>0</v>
      </c>
      <c r="Z71" s="76">
        <f>SUMIFS('июль 2025'!$G$2:$G$2437,'июль 2025'!$D$2:$D$2437,$B71,'июль 2025'!$J$2:$J$2437,Z$1)</f>
        <v>0</v>
      </c>
      <c r="AA71" s="76">
        <f>SUMIFS('июль 2025'!$G$2:$G$2437,'июль 2025'!$D$2:$D$2437,$B71,'июль 2025'!$J$2:$J$2437,AA$1)</f>
        <v>0</v>
      </c>
      <c r="AB71" s="76">
        <f>SUMIFS('июль 2025'!$G$2:$G$2437,'июль 2025'!$D$2:$D$2437,$B71,'июль 2025'!$J$2:$J$2437,AB$1)</f>
        <v>0</v>
      </c>
      <c r="AC71" s="76">
        <f>SUMIFS('июль 2025'!$G$2:$G$2437,'июль 2025'!$D$2:$D$2437,$B71,'июль 2025'!$J$2:$J$2437,AC$1)</f>
        <v>0</v>
      </c>
      <c r="AD71" s="76">
        <f>SUMIFS('июль 2025'!$G$2:$G$2437,'июль 2025'!$D$2:$D$2437,$B71,'июль 2025'!$J$2:$J$2437,AD$1)</f>
        <v>0</v>
      </c>
      <c r="AE71" s="76">
        <f>SUMIFS('июль 2025'!$G$2:$G$2437,'июль 2025'!$D$2:$D$2437,$B71,'июль 2025'!$J$2:$J$2437,AE$1)</f>
        <v>0</v>
      </c>
      <c r="AF71" s="76">
        <f>SUMIFS('июль 2025'!$G$2:$G$2437,'июль 2025'!$D$2:$D$2437,$B71,'июль 2025'!$J$2:$J$2437,AF$1)</f>
        <v>0</v>
      </c>
      <c r="AG71" s="76">
        <f>SUMIFS('июль 2025'!$G$2:$G$2437,'июль 2025'!$D$2:$D$2437,$B71,'июль 2025'!$J$2:$J$2437,AG$1)</f>
        <v>0</v>
      </c>
      <c r="AH71" s="76">
        <f>SUMIFS('июль 2025'!$G$2:$G$2437,'июль 2025'!$D$2:$D$2437,$B71,'июль 2025'!$J$2:$J$2437,AH$1)</f>
        <v>0</v>
      </c>
      <c r="AI71" s="20">
        <f t="shared" si="1"/>
        <v>0</v>
      </c>
    </row>
    <row r="72" spans="2:35" ht="15.75" x14ac:dyDescent="0.25">
      <c r="B72" s="88" t="s">
        <v>157</v>
      </c>
      <c r="C72" s="86">
        <v>200</v>
      </c>
      <c r="D72" s="76">
        <f>SUMIFS('июль 2025'!$G$2:$G$2437,'июль 2025'!$D$2:$D$2437,$B72,'июль 2025'!$J$2:$J$2437,D$1)</f>
        <v>0</v>
      </c>
      <c r="E72" s="76">
        <f>SUMIFS('июль 2025'!$G$2:$G$2437,'июль 2025'!$D$2:$D$2437,$B72,'июль 2025'!$J$2:$J$2437,E$1)</f>
        <v>0</v>
      </c>
      <c r="F72" s="76">
        <f>SUMIFS('июль 2025'!$G$2:$G$2437,'июль 2025'!$D$2:$D$2437,$B72,'июль 2025'!$J$2:$J$2437,F$1)</f>
        <v>0</v>
      </c>
      <c r="G72" s="76">
        <f>SUMIFS('июль 2025'!$G$2:$G$2437,'июль 2025'!$D$2:$D$2437,$B72,'июль 2025'!$J$2:$J$2437,G$1)</f>
        <v>0</v>
      </c>
      <c r="H72" s="76">
        <f>SUMIFS('июль 2025'!$G$2:$G$2437,'июль 2025'!$D$2:$D$2437,$B72,'июль 2025'!$J$2:$J$2437,H$1)</f>
        <v>0</v>
      </c>
      <c r="I72" s="76">
        <f>SUMIFS('июль 2025'!$G$2:$G$2437,'июль 2025'!$D$2:$D$2437,$B72,'июль 2025'!$J$2:$J$2437,I$1)</f>
        <v>0</v>
      </c>
      <c r="J72" s="76">
        <f>SUMIFS('июль 2025'!$G$2:$G$2437,'июль 2025'!$D$2:$D$2437,$B72,'июль 2025'!$J$2:$J$2437,J$1)</f>
        <v>0</v>
      </c>
      <c r="K72" s="76">
        <f>SUMIFS('июль 2025'!$G$2:$G$2437,'июль 2025'!$D$2:$D$2437,$B72,'июль 2025'!$J$2:$J$2437,K$1)</f>
        <v>0</v>
      </c>
      <c r="L72" s="76">
        <f>SUMIFS('июль 2025'!$G$2:$G$2437,'июль 2025'!$D$2:$D$2437,$B72,'июль 2025'!$J$2:$J$2437,L$1)</f>
        <v>0</v>
      </c>
      <c r="M72" s="76">
        <f>SUMIFS('июль 2025'!$G$2:$G$2437,'июль 2025'!$D$2:$D$2437,$B72,'июль 2025'!$J$2:$J$2437,M$1)</f>
        <v>0</v>
      </c>
      <c r="N72" s="76">
        <f>SUMIFS('июль 2025'!$G$2:$G$2437,'июль 2025'!$D$2:$D$2437,$B72,'июль 2025'!$J$2:$J$2437,N$1)</f>
        <v>0</v>
      </c>
      <c r="O72" s="76">
        <f>SUMIFS('июль 2025'!$G$2:$G$2437,'июль 2025'!$D$2:$D$2437,$B72,'июль 2025'!$J$2:$J$2437,O$1)</f>
        <v>0</v>
      </c>
      <c r="P72" s="76">
        <f>SUMIFS('июль 2025'!$G$2:$G$2437,'июль 2025'!$D$2:$D$2437,$B72,'июль 2025'!$J$2:$J$2437,P$1)</f>
        <v>0</v>
      </c>
      <c r="Q72" s="76">
        <f>SUMIFS('июль 2025'!$G$2:$G$2437,'июль 2025'!$D$2:$D$2437,$B72,'июль 2025'!$J$2:$J$2437,Q$1)</f>
        <v>0</v>
      </c>
      <c r="R72" s="76">
        <f>SUMIFS('июль 2025'!$G$2:$G$2437,'июль 2025'!$D$2:$D$2437,$B72,'июль 2025'!$J$2:$J$2437,R$1)</f>
        <v>0</v>
      </c>
      <c r="S72" s="76">
        <f>SUMIFS('июль 2025'!$G$2:$G$2437,'июль 2025'!$D$2:$D$2437,$B72,'июль 2025'!$J$2:$J$2437,S$1)</f>
        <v>0</v>
      </c>
      <c r="T72" s="76">
        <f>SUMIFS('июль 2025'!$G$2:$G$2437,'июль 2025'!$D$2:$D$2437,$B72,'июль 2025'!$J$2:$J$2437,T$1)</f>
        <v>0</v>
      </c>
      <c r="U72" s="76">
        <f>SUMIFS('июль 2025'!$G$2:$G$2437,'июль 2025'!$D$2:$D$2437,$B72,'июль 2025'!$J$2:$J$2437,U$1)</f>
        <v>0</v>
      </c>
      <c r="V72" s="76">
        <f>SUMIFS('июль 2025'!$G$2:$G$2437,'июль 2025'!$D$2:$D$2437,$B72,'июль 2025'!$J$2:$J$2437,V$1)</f>
        <v>0</v>
      </c>
      <c r="W72" s="76">
        <f>SUMIFS('июль 2025'!$G$2:$G$2437,'июль 2025'!$D$2:$D$2437,$B72,'июль 2025'!$J$2:$J$2437,W$1)</f>
        <v>0</v>
      </c>
      <c r="X72" s="76">
        <f>SUMIFS('июль 2025'!$G$2:$G$2437,'июль 2025'!$D$2:$D$2437,$B72,'июль 2025'!$J$2:$J$2437,X$1)</f>
        <v>0</v>
      </c>
      <c r="Y72" s="76">
        <f>SUMIFS('июль 2025'!$G$2:$G$2437,'июль 2025'!$D$2:$D$2437,$B72,'июль 2025'!$J$2:$J$2437,Y$1)</f>
        <v>0</v>
      </c>
      <c r="Z72" s="76">
        <f>SUMIFS('июль 2025'!$G$2:$G$2437,'июль 2025'!$D$2:$D$2437,$B72,'июль 2025'!$J$2:$J$2437,Z$1)</f>
        <v>0</v>
      </c>
      <c r="AA72" s="76">
        <f>SUMIFS('июль 2025'!$G$2:$G$2437,'июль 2025'!$D$2:$D$2437,$B72,'июль 2025'!$J$2:$J$2437,AA$1)</f>
        <v>0</v>
      </c>
      <c r="AB72" s="76">
        <f>SUMIFS('июль 2025'!$G$2:$G$2437,'июль 2025'!$D$2:$D$2437,$B72,'июль 2025'!$J$2:$J$2437,AB$1)</f>
        <v>0</v>
      </c>
      <c r="AC72" s="76">
        <f>SUMIFS('июль 2025'!$G$2:$G$2437,'июль 2025'!$D$2:$D$2437,$B72,'июль 2025'!$J$2:$J$2437,AC$1)</f>
        <v>0</v>
      </c>
      <c r="AD72" s="76">
        <f>SUMIFS('июль 2025'!$G$2:$G$2437,'июль 2025'!$D$2:$D$2437,$B72,'июль 2025'!$J$2:$J$2437,AD$1)</f>
        <v>0</v>
      </c>
      <c r="AE72" s="76">
        <f>SUMIFS('июль 2025'!$G$2:$G$2437,'июль 2025'!$D$2:$D$2437,$B72,'июль 2025'!$J$2:$J$2437,AE$1)</f>
        <v>0</v>
      </c>
      <c r="AF72" s="76">
        <f>SUMIFS('июль 2025'!$G$2:$G$2437,'июль 2025'!$D$2:$D$2437,$B72,'июль 2025'!$J$2:$J$2437,AF$1)</f>
        <v>0</v>
      </c>
      <c r="AG72" s="76">
        <f>SUMIFS('июль 2025'!$G$2:$G$2437,'июль 2025'!$D$2:$D$2437,$B72,'июль 2025'!$J$2:$J$2437,AG$1)</f>
        <v>0</v>
      </c>
      <c r="AH72" s="76">
        <f>SUMIFS('июль 2025'!$G$2:$G$2437,'июль 2025'!$D$2:$D$2437,$B72,'июль 2025'!$J$2:$J$2437,AH$1)</f>
        <v>0</v>
      </c>
      <c r="AI72" s="20">
        <f t="shared" si="1"/>
        <v>0</v>
      </c>
    </row>
    <row r="73" spans="2:35" ht="15.75" x14ac:dyDescent="0.25">
      <c r="B73" s="88" t="s">
        <v>299</v>
      </c>
      <c r="C73" s="86">
        <v>200</v>
      </c>
      <c r="D73" s="76">
        <f>SUMIFS('июль 2025'!$G$2:$G$2437,'июль 2025'!$D$2:$D$2437,$B73,'июль 2025'!$J$2:$J$2437,D$1)</f>
        <v>0</v>
      </c>
      <c r="E73" s="76">
        <f>SUMIFS('июль 2025'!$G$2:$G$2437,'июль 2025'!$D$2:$D$2437,$B73,'июль 2025'!$J$2:$J$2437,E$1)</f>
        <v>0</v>
      </c>
      <c r="F73" s="76">
        <f>SUMIFS('июль 2025'!$G$2:$G$2437,'июль 2025'!$D$2:$D$2437,$B73,'июль 2025'!$J$2:$J$2437,F$1)</f>
        <v>0</v>
      </c>
      <c r="G73" s="76">
        <f>SUMIFS('июль 2025'!$G$2:$G$2437,'июль 2025'!$D$2:$D$2437,$B73,'июль 2025'!$J$2:$J$2437,G$1)</f>
        <v>0</v>
      </c>
      <c r="H73" s="76">
        <f>SUMIFS('июль 2025'!$G$2:$G$2437,'июль 2025'!$D$2:$D$2437,$B73,'июль 2025'!$J$2:$J$2437,H$1)</f>
        <v>0</v>
      </c>
      <c r="I73" s="76">
        <f>SUMIFS('июль 2025'!$G$2:$G$2437,'июль 2025'!$D$2:$D$2437,$B73,'июль 2025'!$J$2:$J$2437,I$1)</f>
        <v>0</v>
      </c>
      <c r="J73" s="76">
        <f>SUMIFS('июль 2025'!$G$2:$G$2437,'июль 2025'!$D$2:$D$2437,$B73,'июль 2025'!$J$2:$J$2437,J$1)</f>
        <v>0</v>
      </c>
      <c r="K73" s="76">
        <f>SUMIFS('июль 2025'!$G$2:$G$2437,'июль 2025'!$D$2:$D$2437,$B73,'июль 2025'!$J$2:$J$2437,K$1)</f>
        <v>0</v>
      </c>
      <c r="L73" s="76">
        <f>SUMIFS('июль 2025'!$G$2:$G$2437,'июль 2025'!$D$2:$D$2437,$B73,'июль 2025'!$J$2:$J$2437,L$1)</f>
        <v>0</v>
      </c>
      <c r="M73" s="76">
        <f>SUMIFS('июль 2025'!$G$2:$G$2437,'июль 2025'!$D$2:$D$2437,$B73,'июль 2025'!$J$2:$J$2437,M$1)</f>
        <v>0</v>
      </c>
      <c r="N73" s="76">
        <f>SUMIFS('июль 2025'!$G$2:$G$2437,'июль 2025'!$D$2:$D$2437,$B73,'июль 2025'!$J$2:$J$2437,N$1)</f>
        <v>0</v>
      </c>
      <c r="O73" s="76">
        <f>SUMIFS('июль 2025'!$G$2:$G$2437,'июль 2025'!$D$2:$D$2437,$B73,'июль 2025'!$J$2:$J$2437,O$1)</f>
        <v>0</v>
      </c>
      <c r="P73" s="76">
        <f>SUMIFS('июль 2025'!$G$2:$G$2437,'июль 2025'!$D$2:$D$2437,$B73,'июль 2025'!$J$2:$J$2437,P$1)</f>
        <v>0</v>
      </c>
      <c r="Q73" s="76">
        <f>SUMIFS('июль 2025'!$G$2:$G$2437,'июль 2025'!$D$2:$D$2437,$B73,'июль 2025'!$J$2:$J$2437,Q$1)</f>
        <v>0</v>
      </c>
      <c r="R73" s="76">
        <f>SUMIFS('июль 2025'!$G$2:$G$2437,'июль 2025'!$D$2:$D$2437,$B73,'июль 2025'!$J$2:$J$2437,R$1)</f>
        <v>0</v>
      </c>
      <c r="S73" s="76">
        <f>SUMIFS('июль 2025'!$G$2:$G$2437,'июль 2025'!$D$2:$D$2437,$B73,'июль 2025'!$J$2:$J$2437,S$1)</f>
        <v>0</v>
      </c>
      <c r="T73" s="76">
        <f>SUMIFS('июль 2025'!$G$2:$G$2437,'июль 2025'!$D$2:$D$2437,$B73,'июль 2025'!$J$2:$J$2437,T$1)</f>
        <v>0</v>
      </c>
      <c r="U73" s="76">
        <f>SUMIFS('июль 2025'!$G$2:$G$2437,'июль 2025'!$D$2:$D$2437,$B73,'июль 2025'!$J$2:$J$2437,U$1)</f>
        <v>0</v>
      </c>
      <c r="V73" s="76">
        <f>SUMIFS('июль 2025'!$G$2:$G$2437,'июль 2025'!$D$2:$D$2437,$B73,'июль 2025'!$J$2:$J$2437,V$1)</f>
        <v>0</v>
      </c>
      <c r="W73" s="76">
        <f>SUMIFS('июль 2025'!$G$2:$G$2437,'июль 2025'!$D$2:$D$2437,$B73,'июль 2025'!$J$2:$J$2437,W$1)</f>
        <v>0</v>
      </c>
      <c r="X73" s="76">
        <f>SUMIFS('июль 2025'!$G$2:$G$2437,'июль 2025'!$D$2:$D$2437,$B73,'июль 2025'!$J$2:$J$2437,X$1)</f>
        <v>0</v>
      </c>
      <c r="Y73" s="76">
        <f>SUMIFS('июль 2025'!$G$2:$G$2437,'июль 2025'!$D$2:$D$2437,$B73,'июль 2025'!$J$2:$J$2437,Y$1)</f>
        <v>0</v>
      </c>
      <c r="Z73" s="76">
        <f>SUMIFS('июль 2025'!$G$2:$G$2437,'июль 2025'!$D$2:$D$2437,$B73,'июль 2025'!$J$2:$J$2437,Z$1)</f>
        <v>0</v>
      </c>
      <c r="AA73" s="76">
        <f>SUMIFS('июль 2025'!$G$2:$G$2437,'июль 2025'!$D$2:$D$2437,$B73,'июль 2025'!$J$2:$J$2437,AA$1)</f>
        <v>0</v>
      </c>
      <c r="AB73" s="76">
        <f>SUMIFS('июль 2025'!$G$2:$G$2437,'июль 2025'!$D$2:$D$2437,$B73,'июль 2025'!$J$2:$J$2437,AB$1)</f>
        <v>0</v>
      </c>
      <c r="AC73" s="76">
        <f>SUMIFS('июль 2025'!$G$2:$G$2437,'июль 2025'!$D$2:$D$2437,$B73,'июль 2025'!$J$2:$J$2437,AC$1)</f>
        <v>0</v>
      </c>
      <c r="AD73" s="76">
        <f>SUMIFS('июль 2025'!$G$2:$G$2437,'июль 2025'!$D$2:$D$2437,$B73,'июль 2025'!$J$2:$J$2437,AD$1)</f>
        <v>0</v>
      </c>
      <c r="AE73" s="76">
        <f>SUMIFS('июль 2025'!$G$2:$G$2437,'июль 2025'!$D$2:$D$2437,$B73,'июль 2025'!$J$2:$J$2437,AE$1)</f>
        <v>0</v>
      </c>
      <c r="AF73" s="76">
        <f>SUMIFS('июль 2025'!$G$2:$G$2437,'июль 2025'!$D$2:$D$2437,$B73,'июль 2025'!$J$2:$J$2437,AF$1)</f>
        <v>0</v>
      </c>
      <c r="AG73" s="76">
        <f>SUMIFS('июль 2025'!$G$2:$G$2437,'июль 2025'!$D$2:$D$2437,$B73,'июль 2025'!$J$2:$J$2437,AG$1)</f>
        <v>0</v>
      </c>
      <c r="AH73" s="76">
        <f>SUMIFS('июль 2025'!$G$2:$G$2437,'июль 2025'!$D$2:$D$2437,$B73,'июль 2025'!$J$2:$J$2437,AH$1)</f>
        <v>0</v>
      </c>
      <c r="AI73" s="20">
        <f t="shared" si="1"/>
        <v>0</v>
      </c>
    </row>
    <row r="74" spans="2:35" ht="15.75" x14ac:dyDescent="0.25">
      <c r="B74" s="88" t="s">
        <v>994</v>
      </c>
      <c r="C74" s="86">
        <v>190</v>
      </c>
      <c r="D74" s="76">
        <f>SUMIFS('июль 2025'!$G$2:$G$2437,'июль 2025'!$D$2:$D$2437,$B74,'июль 2025'!$J$2:$J$2437,D$1)</f>
        <v>0</v>
      </c>
      <c r="E74" s="76">
        <f>SUMIFS('июль 2025'!$G$2:$G$2437,'июль 2025'!$D$2:$D$2437,$B74,'июль 2025'!$J$2:$J$2437,E$1)</f>
        <v>0</v>
      </c>
      <c r="F74" s="76">
        <f>SUMIFS('июль 2025'!$G$2:$G$2437,'июль 2025'!$D$2:$D$2437,$B74,'июль 2025'!$J$2:$J$2437,F$1)</f>
        <v>0</v>
      </c>
      <c r="G74" s="76">
        <f>SUMIFS('июль 2025'!$G$2:$G$2437,'июль 2025'!$D$2:$D$2437,$B74,'июль 2025'!$J$2:$J$2437,G$1)</f>
        <v>0</v>
      </c>
      <c r="H74" s="76">
        <f>SUMIFS('июль 2025'!$G$2:$G$2437,'июль 2025'!$D$2:$D$2437,$B74,'июль 2025'!$J$2:$J$2437,H$1)</f>
        <v>0</v>
      </c>
      <c r="I74" s="76">
        <f>SUMIFS('июль 2025'!$G$2:$G$2437,'июль 2025'!$D$2:$D$2437,$B74,'июль 2025'!$J$2:$J$2437,I$1)</f>
        <v>0</v>
      </c>
      <c r="J74" s="76">
        <f>SUMIFS('июль 2025'!$G$2:$G$2437,'июль 2025'!$D$2:$D$2437,$B74,'июль 2025'!$J$2:$J$2437,J$1)</f>
        <v>0</v>
      </c>
      <c r="K74" s="76">
        <f>SUMIFS('июль 2025'!$G$2:$G$2437,'июль 2025'!$D$2:$D$2437,$B74,'июль 2025'!$J$2:$J$2437,K$1)</f>
        <v>0</v>
      </c>
      <c r="L74" s="76">
        <f>SUMIFS('июль 2025'!$G$2:$G$2437,'июль 2025'!$D$2:$D$2437,$B74,'июль 2025'!$J$2:$J$2437,L$1)</f>
        <v>0</v>
      </c>
      <c r="M74" s="76">
        <f>SUMIFS('июль 2025'!$G$2:$G$2437,'июль 2025'!$D$2:$D$2437,$B74,'июль 2025'!$J$2:$J$2437,M$1)</f>
        <v>0</v>
      </c>
      <c r="N74" s="76">
        <f>SUMIFS('июль 2025'!$G$2:$G$2437,'июль 2025'!$D$2:$D$2437,$B74,'июль 2025'!$J$2:$J$2437,N$1)</f>
        <v>0</v>
      </c>
      <c r="O74" s="76">
        <f>SUMIFS('июль 2025'!$G$2:$G$2437,'июль 2025'!$D$2:$D$2437,$B74,'июль 2025'!$J$2:$J$2437,O$1)</f>
        <v>0</v>
      </c>
      <c r="P74" s="76">
        <f>SUMIFS('июль 2025'!$G$2:$G$2437,'июль 2025'!$D$2:$D$2437,$B74,'июль 2025'!$J$2:$J$2437,P$1)</f>
        <v>0</v>
      </c>
      <c r="Q74" s="76">
        <f>SUMIFS('июль 2025'!$G$2:$G$2437,'июль 2025'!$D$2:$D$2437,$B74,'июль 2025'!$J$2:$J$2437,Q$1)</f>
        <v>0</v>
      </c>
      <c r="R74" s="76">
        <f>SUMIFS('июль 2025'!$G$2:$G$2437,'июль 2025'!$D$2:$D$2437,$B74,'июль 2025'!$J$2:$J$2437,R$1)</f>
        <v>0</v>
      </c>
      <c r="S74" s="76">
        <f>SUMIFS('июль 2025'!$G$2:$G$2437,'июль 2025'!$D$2:$D$2437,$B74,'июль 2025'!$J$2:$J$2437,S$1)</f>
        <v>0</v>
      </c>
      <c r="T74" s="76">
        <f>SUMIFS('июль 2025'!$G$2:$G$2437,'июль 2025'!$D$2:$D$2437,$B74,'июль 2025'!$J$2:$J$2437,T$1)</f>
        <v>0</v>
      </c>
      <c r="U74" s="76">
        <f>SUMIFS('июль 2025'!$G$2:$G$2437,'июль 2025'!$D$2:$D$2437,$B74,'июль 2025'!$J$2:$J$2437,U$1)</f>
        <v>0</v>
      </c>
      <c r="V74" s="76">
        <f>SUMIFS('июль 2025'!$G$2:$G$2437,'июль 2025'!$D$2:$D$2437,$B74,'июль 2025'!$J$2:$J$2437,V$1)</f>
        <v>0</v>
      </c>
      <c r="W74" s="76">
        <f>SUMIFS('июль 2025'!$G$2:$G$2437,'июль 2025'!$D$2:$D$2437,$B74,'июль 2025'!$J$2:$J$2437,W$1)</f>
        <v>0</v>
      </c>
      <c r="X74" s="76">
        <f>SUMIFS('июль 2025'!$G$2:$G$2437,'июль 2025'!$D$2:$D$2437,$B74,'июль 2025'!$J$2:$J$2437,X$1)</f>
        <v>0</v>
      </c>
      <c r="Y74" s="76">
        <f>SUMIFS('июль 2025'!$G$2:$G$2437,'июль 2025'!$D$2:$D$2437,$B74,'июль 2025'!$J$2:$J$2437,Y$1)</f>
        <v>0</v>
      </c>
      <c r="Z74" s="76">
        <f>SUMIFS('июль 2025'!$G$2:$G$2437,'июль 2025'!$D$2:$D$2437,$B74,'июль 2025'!$J$2:$J$2437,Z$1)</f>
        <v>0</v>
      </c>
      <c r="AA74" s="76">
        <f>SUMIFS('июль 2025'!$G$2:$G$2437,'июль 2025'!$D$2:$D$2437,$B74,'июль 2025'!$J$2:$J$2437,AA$1)</f>
        <v>0</v>
      </c>
      <c r="AB74" s="76">
        <f>SUMIFS('июль 2025'!$G$2:$G$2437,'июль 2025'!$D$2:$D$2437,$B74,'июль 2025'!$J$2:$J$2437,AB$1)</f>
        <v>0</v>
      </c>
      <c r="AC74" s="76">
        <f>SUMIFS('июль 2025'!$G$2:$G$2437,'июль 2025'!$D$2:$D$2437,$B74,'июль 2025'!$J$2:$J$2437,AC$1)</f>
        <v>0</v>
      </c>
      <c r="AD74" s="76">
        <f>SUMIFS('июль 2025'!$G$2:$G$2437,'июль 2025'!$D$2:$D$2437,$B74,'июль 2025'!$J$2:$J$2437,AD$1)</f>
        <v>0</v>
      </c>
      <c r="AE74" s="76">
        <f>SUMIFS('июль 2025'!$G$2:$G$2437,'июль 2025'!$D$2:$D$2437,$B74,'июль 2025'!$J$2:$J$2437,AE$1)</f>
        <v>0</v>
      </c>
      <c r="AF74" s="76">
        <f>SUMIFS('июль 2025'!$G$2:$G$2437,'июль 2025'!$D$2:$D$2437,$B74,'июль 2025'!$J$2:$J$2437,AF$1)</f>
        <v>0</v>
      </c>
      <c r="AG74" s="76">
        <f>SUMIFS('июль 2025'!$G$2:$G$2437,'июль 2025'!$D$2:$D$2437,$B74,'июль 2025'!$J$2:$J$2437,AG$1)</f>
        <v>0</v>
      </c>
      <c r="AH74" s="76">
        <f>SUMIFS('июль 2025'!$G$2:$G$2437,'июль 2025'!$D$2:$D$2437,$B74,'июль 2025'!$J$2:$J$2437,AH$1)</f>
        <v>0</v>
      </c>
      <c r="AI74" s="20">
        <f t="shared" si="1"/>
        <v>0</v>
      </c>
    </row>
    <row r="75" spans="2:35" ht="15" customHeight="1" x14ac:dyDescent="0.25">
      <c r="B75" s="88" t="s">
        <v>202</v>
      </c>
      <c r="C75" s="86">
        <v>200</v>
      </c>
      <c r="D75" s="76">
        <f>SUMIFS('июль 2025'!$G$2:$G$2437,'июль 2025'!$D$2:$D$2437,$B75,'июль 2025'!$J$2:$J$2437,D$1)</f>
        <v>0</v>
      </c>
      <c r="E75" s="76">
        <f>SUMIFS('июль 2025'!$G$2:$G$2437,'июль 2025'!$D$2:$D$2437,$B75,'июль 2025'!$J$2:$J$2437,E$1)</f>
        <v>0</v>
      </c>
      <c r="F75" s="76">
        <f>SUMIFS('июль 2025'!$G$2:$G$2437,'июль 2025'!$D$2:$D$2437,$B75,'июль 2025'!$J$2:$J$2437,F$1)</f>
        <v>0</v>
      </c>
      <c r="G75" s="76">
        <f>SUMIFS('июль 2025'!$G$2:$G$2437,'июль 2025'!$D$2:$D$2437,$B75,'июль 2025'!$J$2:$J$2437,G$1)</f>
        <v>0</v>
      </c>
      <c r="H75" s="76">
        <f>SUMIFS('июль 2025'!$G$2:$G$2437,'июль 2025'!$D$2:$D$2437,$B75,'июль 2025'!$J$2:$J$2437,H$1)</f>
        <v>0</v>
      </c>
      <c r="I75" s="76">
        <f>SUMIFS('июль 2025'!$G$2:$G$2437,'июль 2025'!$D$2:$D$2437,$B75,'июль 2025'!$J$2:$J$2437,I$1)</f>
        <v>0</v>
      </c>
      <c r="J75" s="76">
        <f>SUMIFS('июль 2025'!$G$2:$G$2437,'июль 2025'!$D$2:$D$2437,$B75,'июль 2025'!$J$2:$J$2437,J$1)</f>
        <v>0</v>
      </c>
      <c r="K75" s="76">
        <f>SUMIFS('июль 2025'!$G$2:$G$2437,'июль 2025'!$D$2:$D$2437,$B75,'июль 2025'!$J$2:$J$2437,K$1)</f>
        <v>0</v>
      </c>
      <c r="L75" s="76">
        <f>SUMIFS('июль 2025'!$G$2:$G$2437,'июль 2025'!$D$2:$D$2437,$B75,'июль 2025'!$J$2:$J$2437,L$1)</f>
        <v>0</v>
      </c>
      <c r="M75" s="76">
        <f>SUMIFS('июль 2025'!$G$2:$G$2437,'июль 2025'!$D$2:$D$2437,$B75,'июль 2025'!$J$2:$J$2437,M$1)</f>
        <v>0</v>
      </c>
      <c r="N75" s="76">
        <f>SUMIFS('июль 2025'!$G$2:$G$2437,'июль 2025'!$D$2:$D$2437,$B75,'июль 2025'!$J$2:$J$2437,N$1)</f>
        <v>0</v>
      </c>
      <c r="O75" s="76">
        <f>SUMIFS('июль 2025'!$G$2:$G$2437,'июль 2025'!$D$2:$D$2437,$B75,'июль 2025'!$J$2:$J$2437,O$1)</f>
        <v>0</v>
      </c>
      <c r="P75" s="76">
        <f>SUMIFS('июль 2025'!$G$2:$G$2437,'июль 2025'!$D$2:$D$2437,$B75,'июль 2025'!$J$2:$J$2437,P$1)</f>
        <v>0</v>
      </c>
      <c r="Q75" s="76">
        <f>SUMIFS('июль 2025'!$G$2:$G$2437,'июль 2025'!$D$2:$D$2437,$B75,'июль 2025'!$J$2:$J$2437,Q$1)</f>
        <v>0</v>
      </c>
      <c r="R75" s="76">
        <f>SUMIFS('июль 2025'!$G$2:$G$2437,'июль 2025'!$D$2:$D$2437,$B75,'июль 2025'!$J$2:$J$2437,R$1)</f>
        <v>0</v>
      </c>
      <c r="S75" s="76">
        <f>SUMIFS('июль 2025'!$G$2:$G$2437,'июль 2025'!$D$2:$D$2437,$B75,'июль 2025'!$J$2:$J$2437,S$1)</f>
        <v>0</v>
      </c>
      <c r="T75" s="76">
        <f>SUMIFS('июль 2025'!$G$2:$G$2437,'июль 2025'!$D$2:$D$2437,$B75,'июль 2025'!$J$2:$J$2437,T$1)</f>
        <v>0</v>
      </c>
      <c r="U75" s="76">
        <f>SUMIFS('июль 2025'!$G$2:$G$2437,'июль 2025'!$D$2:$D$2437,$B75,'июль 2025'!$J$2:$J$2437,U$1)</f>
        <v>0</v>
      </c>
      <c r="V75" s="76">
        <f>SUMIFS('июль 2025'!$G$2:$G$2437,'июль 2025'!$D$2:$D$2437,$B75,'июль 2025'!$J$2:$J$2437,V$1)</f>
        <v>0</v>
      </c>
      <c r="W75" s="76">
        <f>SUMIFS('июль 2025'!$G$2:$G$2437,'июль 2025'!$D$2:$D$2437,$B75,'июль 2025'!$J$2:$J$2437,W$1)</f>
        <v>0</v>
      </c>
      <c r="X75" s="76">
        <f>SUMIFS('июль 2025'!$G$2:$G$2437,'июль 2025'!$D$2:$D$2437,$B75,'июль 2025'!$J$2:$J$2437,X$1)</f>
        <v>0</v>
      </c>
      <c r="Y75" s="76">
        <f>SUMIFS('июль 2025'!$G$2:$G$2437,'июль 2025'!$D$2:$D$2437,$B75,'июль 2025'!$J$2:$J$2437,Y$1)</f>
        <v>0</v>
      </c>
      <c r="Z75" s="76">
        <f>SUMIFS('июль 2025'!$G$2:$G$2437,'июль 2025'!$D$2:$D$2437,$B75,'июль 2025'!$J$2:$J$2437,Z$1)</f>
        <v>0</v>
      </c>
      <c r="AA75" s="76">
        <f>SUMIFS('июль 2025'!$G$2:$G$2437,'июль 2025'!$D$2:$D$2437,$B75,'июль 2025'!$J$2:$J$2437,AA$1)</f>
        <v>0</v>
      </c>
      <c r="AB75" s="76">
        <f>SUMIFS('июль 2025'!$G$2:$G$2437,'июль 2025'!$D$2:$D$2437,$B75,'июль 2025'!$J$2:$J$2437,AB$1)</f>
        <v>0</v>
      </c>
      <c r="AC75" s="76">
        <f>SUMIFS('июль 2025'!$G$2:$G$2437,'июль 2025'!$D$2:$D$2437,$B75,'июль 2025'!$J$2:$J$2437,AC$1)</f>
        <v>0</v>
      </c>
      <c r="AD75" s="76">
        <f>SUMIFS('июль 2025'!$G$2:$G$2437,'июль 2025'!$D$2:$D$2437,$B75,'июль 2025'!$J$2:$J$2437,AD$1)</f>
        <v>0</v>
      </c>
      <c r="AE75" s="76">
        <f>SUMIFS('июль 2025'!$G$2:$G$2437,'июль 2025'!$D$2:$D$2437,$B75,'июль 2025'!$J$2:$J$2437,AE$1)</f>
        <v>0</v>
      </c>
      <c r="AF75" s="76">
        <f>SUMIFS('июль 2025'!$G$2:$G$2437,'июль 2025'!$D$2:$D$2437,$B75,'июль 2025'!$J$2:$J$2437,AF$1)</f>
        <v>0</v>
      </c>
      <c r="AG75" s="76">
        <f>SUMIFS('июль 2025'!$G$2:$G$2437,'июль 2025'!$D$2:$D$2437,$B75,'июль 2025'!$J$2:$J$2437,AG$1)</f>
        <v>0</v>
      </c>
      <c r="AH75" s="76">
        <f>SUMIFS('июль 2025'!$G$2:$G$2437,'июль 2025'!$D$2:$D$2437,$B75,'июль 2025'!$J$2:$J$2437,AH$1)</f>
        <v>0</v>
      </c>
      <c r="AI75" s="20">
        <f t="shared" si="1"/>
        <v>0</v>
      </c>
    </row>
    <row r="76" spans="2:35" ht="15" customHeight="1" x14ac:dyDescent="0.25">
      <c r="B76" s="88" t="s">
        <v>187</v>
      </c>
      <c r="C76" s="86">
        <v>200</v>
      </c>
      <c r="D76" s="76">
        <f>SUMIFS('июль 2025'!$G$2:$G$2437,'июль 2025'!$D$2:$D$2437,$B76,'июль 2025'!$J$2:$J$2437,D$1)</f>
        <v>0</v>
      </c>
      <c r="E76" s="76">
        <f>SUMIFS('июль 2025'!$G$2:$G$2437,'июль 2025'!$D$2:$D$2437,$B76,'июль 2025'!$J$2:$J$2437,E$1)</f>
        <v>0</v>
      </c>
      <c r="F76" s="76">
        <f>SUMIFS('июль 2025'!$G$2:$G$2437,'июль 2025'!$D$2:$D$2437,$B76,'июль 2025'!$J$2:$J$2437,F$1)</f>
        <v>0</v>
      </c>
      <c r="G76" s="76">
        <f>SUMIFS('июль 2025'!$G$2:$G$2437,'июль 2025'!$D$2:$D$2437,$B76,'июль 2025'!$J$2:$J$2437,G$1)</f>
        <v>0</v>
      </c>
      <c r="H76" s="76">
        <f>SUMIFS('июль 2025'!$G$2:$G$2437,'июль 2025'!$D$2:$D$2437,$B76,'июль 2025'!$J$2:$J$2437,H$1)</f>
        <v>0</v>
      </c>
      <c r="I76" s="76">
        <f>SUMIFS('июль 2025'!$G$2:$G$2437,'июль 2025'!$D$2:$D$2437,$B76,'июль 2025'!$J$2:$J$2437,I$1)</f>
        <v>0</v>
      </c>
      <c r="J76" s="76">
        <f>SUMIFS('июль 2025'!$G$2:$G$2437,'июль 2025'!$D$2:$D$2437,$B76,'июль 2025'!$J$2:$J$2437,J$1)</f>
        <v>0</v>
      </c>
      <c r="K76" s="76">
        <f>SUMIFS('июль 2025'!$G$2:$G$2437,'июль 2025'!$D$2:$D$2437,$B76,'июль 2025'!$J$2:$J$2437,K$1)</f>
        <v>0</v>
      </c>
      <c r="L76" s="76">
        <f>SUMIFS('июль 2025'!$G$2:$G$2437,'июль 2025'!$D$2:$D$2437,$B76,'июль 2025'!$J$2:$J$2437,L$1)</f>
        <v>0</v>
      </c>
      <c r="M76" s="76">
        <f>SUMIFS('июль 2025'!$G$2:$G$2437,'июль 2025'!$D$2:$D$2437,$B76,'июль 2025'!$J$2:$J$2437,M$1)</f>
        <v>0</v>
      </c>
      <c r="N76" s="76">
        <f>SUMIFS('июль 2025'!$G$2:$G$2437,'июль 2025'!$D$2:$D$2437,$B76,'июль 2025'!$J$2:$J$2437,N$1)</f>
        <v>0</v>
      </c>
      <c r="O76" s="76">
        <f>SUMIFS('июль 2025'!$G$2:$G$2437,'июль 2025'!$D$2:$D$2437,$B76,'июль 2025'!$J$2:$J$2437,O$1)</f>
        <v>0</v>
      </c>
      <c r="P76" s="76">
        <f>SUMIFS('июль 2025'!$G$2:$G$2437,'июль 2025'!$D$2:$D$2437,$B76,'июль 2025'!$J$2:$J$2437,P$1)</f>
        <v>0</v>
      </c>
      <c r="Q76" s="76">
        <f>SUMIFS('июль 2025'!$G$2:$G$2437,'июль 2025'!$D$2:$D$2437,$B76,'июль 2025'!$J$2:$J$2437,Q$1)</f>
        <v>0</v>
      </c>
      <c r="R76" s="76">
        <f>SUMIFS('июль 2025'!$G$2:$G$2437,'июль 2025'!$D$2:$D$2437,$B76,'июль 2025'!$J$2:$J$2437,R$1)</f>
        <v>0</v>
      </c>
      <c r="S76" s="76">
        <f>SUMIFS('июль 2025'!$G$2:$G$2437,'июль 2025'!$D$2:$D$2437,$B76,'июль 2025'!$J$2:$J$2437,S$1)</f>
        <v>0</v>
      </c>
      <c r="T76" s="76">
        <f>SUMIFS('июль 2025'!$G$2:$G$2437,'июль 2025'!$D$2:$D$2437,$B76,'июль 2025'!$J$2:$J$2437,T$1)</f>
        <v>0</v>
      </c>
      <c r="U76" s="76">
        <f>SUMIFS('июль 2025'!$G$2:$G$2437,'июль 2025'!$D$2:$D$2437,$B76,'июль 2025'!$J$2:$J$2437,U$1)</f>
        <v>0</v>
      </c>
      <c r="V76" s="76">
        <f>SUMIFS('июль 2025'!$G$2:$G$2437,'июль 2025'!$D$2:$D$2437,$B76,'июль 2025'!$J$2:$J$2437,V$1)</f>
        <v>0</v>
      </c>
      <c r="W76" s="76">
        <f>SUMIFS('июль 2025'!$G$2:$G$2437,'июль 2025'!$D$2:$D$2437,$B76,'июль 2025'!$J$2:$J$2437,W$1)</f>
        <v>0</v>
      </c>
      <c r="X76" s="76">
        <f>SUMIFS('июль 2025'!$G$2:$G$2437,'июль 2025'!$D$2:$D$2437,$B76,'июль 2025'!$J$2:$J$2437,X$1)</f>
        <v>0</v>
      </c>
      <c r="Y76" s="76">
        <f>SUMIFS('июль 2025'!$G$2:$G$2437,'июль 2025'!$D$2:$D$2437,$B76,'июль 2025'!$J$2:$J$2437,Y$1)</f>
        <v>0</v>
      </c>
      <c r="Z76" s="76">
        <f>SUMIFS('июль 2025'!$G$2:$G$2437,'июль 2025'!$D$2:$D$2437,$B76,'июль 2025'!$J$2:$J$2437,Z$1)</f>
        <v>0</v>
      </c>
      <c r="AA76" s="76">
        <f>SUMIFS('июль 2025'!$G$2:$G$2437,'июль 2025'!$D$2:$D$2437,$B76,'июль 2025'!$J$2:$J$2437,AA$1)</f>
        <v>0</v>
      </c>
      <c r="AB76" s="76">
        <f>SUMIFS('июль 2025'!$G$2:$G$2437,'июль 2025'!$D$2:$D$2437,$B76,'июль 2025'!$J$2:$J$2437,AB$1)</f>
        <v>0</v>
      </c>
      <c r="AC76" s="76">
        <f>SUMIFS('июль 2025'!$G$2:$G$2437,'июль 2025'!$D$2:$D$2437,$B76,'июль 2025'!$J$2:$J$2437,AC$1)</f>
        <v>0</v>
      </c>
      <c r="AD76" s="76">
        <f>SUMIFS('июль 2025'!$G$2:$G$2437,'июль 2025'!$D$2:$D$2437,$B76,'июль 2025'!$J$2:$J$2437,AD$1)</f>
        <v>0</v>
      </c>
      <c r="AE76" s="76">
        <f>SUMIFS('июль 2025'!$G$2:$G$2437,'июль 2025'!$D$2:$D$2437,$B76,'июль 2025'!$J$2:$J$2437,AE$1)</f>
        <v>0</v>
      </c>
      <c r="AF76" s="76">
        <f>SUMIFS('июль 2025'!$G$2:$G$2437,'июль 2025'!$D$2:$D$2437,$B76,'июль 2025'!$J$2:$J$2437,AF$1)</f>
        <v>0</v>
      </c>
      <c r="AG76" s="76">
        <f>SUMIFS('июль 2025'!$G$2:$G$2437,'июль 2025'!$D$2:$D$2437,$B76,'июль 2025'!$J$2:$J$2437,AG$1)</f>
        <v>0</v>
      </c>
      <c r="AH76" s="76">
        <f>SUMIFS('июль 2025'!$G$2:$G$2437,'июль 2025'!$D$2:$D$2437,$B76,'июль 2025'!$J$2:$J$2437,AH$1)</f>
        <v>0</v>
      </c>
      <c r="AI76" s="20">
        <f t="shared" si="1"/>
        <v>0</v>
      </c>
    </row>
    <row r="77" spans="2:35" ht="15" customHeight="1" x14ac:dyDescent="0.25">
      <c r="B77" s="88" t="s">
        <v>188</v>
      </c>
      <c r="C77" s="86">
        <v>200</v>
      </c>
      <c r="D77" s="76">
        <f>SUMIFS('июль 2025'!$G$2:$G$2437,'июль 2025'!$D$2:$D$2437,$B77,'июль 2025'!$J$2:$J$2437,D$1)</f>
        <v>0</v>
      </c>
      <c r="E77" s="76">
        <f>SUMIFS('июль 2025'!$G$2:$G$2437,'июль 2025'!$D$2:$D$2437,$B77,'июль 2025'!$J$2:$J$2437,E$1)</f>
        <v>0</v>
      </c>
      <c r="F77" s="76">
        <f>SUMIFS('июль 2025'!$G$2:$G$2437,'июль 2025'!$D$2:$D$2437,$B77,'июль 2025'!$J$2:$J$2437,F$1)</f>
        <v>0</v>
      </c>
      <c r="G77" s="76">
        <f>SUMIFS('июль 2025'!$G$2:$G$2437,'июль 2025'!$D$2:$D$2437,$B77,'июль 2025'!$J$2:$J$2437,G$1)</f>
        <v>0</v>
      </c>
      <c r="H77" s="76">
        <f>SUMIFS('июль 2025'!$G$2:$G$2437,'июль 2025'!$D$2:$D$2437,$B77,'июль 2025'!$J$2:$J$2437,H$1)</f>
        <v>0</v>
      </c>
      <c r="I77" s="76">
        <f>SUMIFS('июль 2025'!$G$2:$G$2437,'июль 2025'!$D$2:$D$2437,$B77,'июль 2025'!$J$2:$J$2437,I$1)</f>
        <v>0</v>
      </c>
      <c r="J77" s="76">
        <f>SUMIFS('июль 2025'!$G$2:$G$2437,'июль 2025'!$D$2:$D$2437,$B77,'июль 2025'!$J$2:$J$2437,J$1)</f>
        <v>0</v>
      </c>
      <c r="K77" s="76">
        <f>SUMIFS('июль 2025'!$G$2:$G$2437,'июль 2025'!$D$2:$D$2437,$B77,'июль 2025'!$J$2:$J$2437,K$1)</f>
        <v>0</v>
      </c>
      <c r="L77" s="76">
        <f>SUMIFS('июль 2025'!$G$2:$G$2437,'июль 2025'!$D$2:$D$2437,$B77,'июль 2025'!$J$2:$J$2437,L$1)</f>
        <v>0</v>
      </c>
      <c r="M77" s="76">
        <f>SUMIFS('июль 2025'!$G$2:$G$2437,'июль 2025'!$D$2:$D$2437,$B77,'июль 2025'!$J$2:$J$2437,M$1)</f>
        <v>0</v>
      </c>
      <c r="N77" s="76">
        <f>SUMIFS('июль 2025'!$G$2:$G$2437,'июль 2025'!$D$2:$D$2437,$B77,'июль 2025'!$J$2:$J$2437,N$1)</f>
        <v>0</v>
      </c>
      <c r="O77" s="76">
        <f>SUMIFS('июль 2025'!$G$2:$G$2437,'июль 2025'!$D$2:$D$2437,$B77,'июль 2025'!$J$2:$J$2437,O$1)</f>
        <v>0</v>
      </c>
      <c r="P77" s="76">
        <f>SUMIFS('июль 2025'!$G$2:$G$2437,'июль 2025'!$D$2:$D$2437,$B77,'июль 2025'!$J$2:$J$2437,P$1)</f>
        <v>0</v>
      </c>
      <c r="Q77" s="76">
        <f>SUMIFS('июль 2025'!$G$2:$G$2437,'июль 2025'!$D$2:$D$2437,$B77,'июль 2025'!$J$2:$J$2437,Q$1)</f>
        <v>0</v>
      </c>
      <c r="R77" s="76">
        <f>SUMIFS('июль 2025'!$G$2:$G$2437,'июль 2025'!$D$2:$D$2437,$B77,'июль 2025'!$J$2:$J$2437,R$1)</f>
        <v>0</v>
      </c>
      <c r="S77" s="76">
        <f>SUMIFS('июль 2025'!$G$2:$G$2437,'июль 2025'!$D$2:$D$2437,$B77,'июль 2025'!$J$2:$J$2437,S$1)</f>
        <v>0</v>
      </c>
      <c r="T77" s="76">
        <f>SUMIFS('июль 2025'!$G$2:$G$2437,'июль 2025'!$D$2:$D$2437,$B77,'июль 2025'!$J$2:$J$2437,T$1)</f>
        <v>0</v>
      </c>
      <c r="U77" s="76">
        <f>SUMIFS('июль 2025'!$G$2:$G$2437,'июль 2025'!$D$2:$D$2437,$B77,'июль 2025'!$J$2:$J$2437,U$1)</f>
        <v>0</v>
      </c>
      <c r="V77" s="76">
        <f>SUMIFS('июль 2025'!$G$2:$G$2437,'июль 2025'!$D$2:$D$2437,$B77,'июль 2025'!$J$2:$J$2437,V$1)</f>
        <v>0</v>
      </c>
      <c r="W77" s="76">
        <f>SUMIFS('июль 2025'!$G$2:$G$2437,'июль 2025'!$D$2:$D$2437,$B77,'июль 2025'!$J$2:$J$2437,W$1)</f>
        <v>0</v>
      </c>
      <c r="X77" s="76">
        <f>SUMIFS('июль 2025'!$G$2:$G$2437,'июль 2025'!$D$2:$D$2437,$B77,'июль 2025'!$J$2:$J$2437,X$1)</f>
        <v>0</v>
      </c>
      <c r="Y77" s="76">
        <f>SUMIFS('июль 2025'!$G$2:$G$2437,'июль 2025'!$D$2:$D$2437,$B77,'июль 2025'!$J$2:$J$2437,Y$1)</f>
        <v>0</v>
      </c>
      <c r="Z77" s="76">
        <f>SUMIFS('июль 2025'!$G$2:$G$2437,'июль 2025'!$D$2:$D$2437,$B77,'июль 2025'!$J$2:$J$2437,Z$1)</f>
        <v>0</v>
      </c>
      <c r="AA77" s="76">
        <f>SUMIFS('июль 2025'!$G$2:$G$2437,'июль 2025'!$D$2:$D$2437,$B77,'июль 2025'!$J$2:$J$2437,AA$1)</f>
        <v>0</v>
      </c>
      <c r="AB77" s="76">
        <f>SUMIFS('июль 2025'!$G$2:$G$2437,'июль 2025'!$D$2:$D$2437,$B77,'июль 2025'!$J$2:$J$2437,AB$1)</f>
        <v>0</v>
      </c>
      <c r="AC77" s="76">
        <f>SUMIFS('июль 2025'!$G$2:$G$2437,'июль 2025'!$D$2:$D$2437,$B77,'июль 2025'!$J$2:$J$2437,AC$1)</f>
        <v>0</v>
      </c>
      <c r="AD77" s="76">
        <f>SUMIFS('июль 2025'!$G$2:$G$2437,'июль 2025'!$D$2:$D$2437,$B77,'июль 2025'!$J$2:$J$2437,AD$1)</f>
        <v>0</v>
      </c>
      <c r="AE77" s="76">
        <f>SUMIFS('июль 2025'!$G$2:$G$2437,'июль 2025'!$D$2:$D$2437,$B77,'июль 2025'!$J$2:$J$2437,AE$1)</f>
        <v>0</v>
      </c>
      <c r="AF77" s="76">
        <f>SUMIFS('июль 2025'!$G$2:$G$2437,'июль 2025'!$D$2:$D$2437,$B77,'июль 2025'!$J$2:$J$2437,AF$1)</f>
        <v>0</v>
      </c>
      <c r="AG77" s="76">
        <f>SUMIFS('июль 2025'!$G$2:$G$2437,'июль 2025'!$D$2:$D$2437,$B77,'июль 2025'!$J$2:$J$2437,AG$1)</f>
        <v>0</v>
      </c>
      <c r="AH77" s="76">
        <f>SUMIFS('июль 2025'!$G$2:$G$2437,'июль 2025'!$D$2:$D$2437,$B77,'июль 2025'!$J$2:$J$2437,AH$1)</f>
        <v>0</v>
      </c>
      <c r="AI77" s="20">
        <f t="shared" si="1"/>
        <v>0</v>
      </c>
    </row>
    <row r="78" spans="2:35" ht="15" customHeight="1" x14ac:dyDescent="0.25">
      <c r="B78" s="88" t="s">
        <v>256</v>
      </c>
      <c r="C78" s="86">
        <v>190</v>
      </c>
      <c r="D78" s="76">
        <f>SUMIFS('июль 2025'!$G$2:$G$2437,'июль 2025'!$D$2:$D$2437,$B78,'июль 2025'!$J$2:$J$2437,D$1)</f>
        <v>0</v>
      </c>
      <c r="E78" s="76">
        <f>SUMIFS('июль 2025'!$G$2:$G$2437,'июль 2025'!$D$2:$D$2437,$B78,'июль 2025'!$J$2:$J$2437,E$1)</f>
        <v>0</v>
      </c>
      <c r="F78" s="76">
        <f>SUMIFS('июль 2025'!$G$2:$G$2437,'июль 2025'!$D$2:$D$2437,$B78,'июль 2025'!$J$2:$J$2437,F$1)</f>
        <v>0</v>
      </c>
      <c r="G78" s="76">
        <f>SUMIFS('июль 2025'!$G$2:$G$2437,'июль 2025'!$D$2:$D$2437,$B78,'июль 2025'!$J$2:$J$2437,G$1)</f>
        <v>0</v>
      </c>
      <c r="H78" s="76">
        <f>SUMIFS('июль 2025'!$G$2:$G$2437,'июль 2025'!$D$2:$D$2437,$B78,'июль 2025'!$J$2:$J$2437,H$1)</f>
        <v>0</v>
      </c>
      <c r="I78" s="76">
        <f>SUMIFS('июль 2025'!$G$2:$G$2437,'июль 2025'!$D$2:$D$2437,$B78,'июль 2025'!$J$2:$J$2437,I$1)</f>
        <v>0</v>
      </c>
      <c r="J78" s="76">
        <f>SUMIFS('июль 2025'!$G$2:$G$2437,'июль 2025'!$D$2:$D$2437,$B78,'июль 2025'!$J$2:$J$2437,J$1)</f>
        <v>0</v>
      </c>
      <c r="K78" s="76">
        <f>SUMIFS('июль 2025'!$G$2:$G$2437,'июль 2025'!$D$2:$D$2437,$B78,'июль 2025'!$J$2:$J$2437,K$1)</f>
        <v>0</v>
      </c>
      <c r="L78" s="76">
        <f>SUMIFS('июль 2025'!$G$2:$G$2437,'июль 2025'!$D$2:$D$2437,$B78,'июль 2025'!$J$2:$J$2437,L$1)</f>
        <v>0</v>
      </c>
      <c r="M78" s="76">
        <f>SUMIFS('июль 2025'!$G$2:$G$2437,'июль 2025'!$D$2:$D$2437,$B78,'июль 2025'!$J$2:$J$2437,M$1)</f>
        <v>0</v>
      </c>
      <c r="N78" s="76">
        <f>SUMIFS('июль 2025'!$G$2:$G$2437,'июль 2025'!$D$2:$D$2437,$B78,'июль 2025'!$J$2:$J$2437,N$1)</f>
        <v>0</v>
      </c>
      <c r="O78" s="76">
        <f>SUMIFS('июль 2025'!$G$2:$G$2437,'июль 2025'!$D$2:$D$2437,$B78,'июль 2025'!$J$2:$J$2437,O$1)</f>
        <v>0</v>
      </c>
      <c r="P78" s="76">
        <f>SUMIFS('июль 2025'!$G$2:$G$2437,'июль 2025'!$D$2:$D$2437,$B78,'июль 2025'!$J$2:$J$2437,P$1)</f>
        <v>0</v>
      </c>
      <c r="Q78" s="76">
        <f>SUMIFS('июль 2025'!$G$2:$G$2437,'июль 2025'!$D$2:$D$2437,$B78,'июль 2025'!$J$2:$J$2437,Q$1)</f>
        <v>0</v>
      </c>
      <c r="R78" s="76">
        <f>SUMIFS('июль 2025'!$G$2:$G$2437,'июль 2025'!$D$2:$D$2437,$B78,'июль 2025'!$J$2:$J$2437,R$1)</f>
        <v>0</v>
      </c>
      <c r="S78" s="76">
        <f>SUMIFS('июль 2025'!$G$2:$G$2437,'июль 2025'!$D$2:$D$2437,$B78,'июль 2025'!$J$2:$J$2437,S$1)</f>
        <v>0</v>
      </c>
      <c r="T78" s="76">
        <f>SUMIFS('июль 2025'!$G$2:$G$2437,'июль 2025'!$D$2:$D$2437,$B78,'июль 2025'!$J$2:$J$2437,T$1)</f>
        <v>0</v>
      </c>
      <c r="U78" s="76">
        <f>SUMIFS('июль 2025'!$G$2:$G$2437,'июль 2025'!$D$2:$D$2437,$B78,'июль 2025'!$J$2:$J$2437,U$1)</f>
        <v>0</v>
      </c>
      <c r="V78" s="76">
        <f>SUMIFS('июль 2025'!$G$2:$G$2437,'июль 2025'!$D$2:$D$2437,$B78,'июль 2025'!$J$2:$J$2437,V$1)</f>
        <v>0</v>
      </c>
      <c r="W78" s="76">
        <f>SUMIFS('июль 2025'!$G$2:$G$2437,'июль 2025'!$D$2:$D$2437,$B78,'июль 2025'!$J$2:$J$2437,W$1)</f>
        <v>0</v>
      </c>
      <c r="X78" s="76">
        <f>SUMIFS('июль 2025'!$G$2:$G$2437,'июль 2025'!$D$2:$D$2437,$B78,'июль 2025'!$J$2:$J$2437,X$1)</f>
        <v>0</v>
      </c>
      <c r="Y78" s="76">
        <f>SUMIFS('июль 2025'!$G$2:$G$2437,'июль 2025'!$D$2:$D$2437,$B78,'июль 2025'!$J$2:$J$2437,Y$1)</f>
        <v>0</v>
      </c>
      <c r="Z78" s="76">
        <f>SUMIFS('июль 2025'!$G$2:$G$2437,'июль 2025'!$D$2:$D$2437,$B78,'июль 2025'!$J$2:$J$2437,Z$1)</f>
        <v>0</v>
      </c>
      <c r="AA78" s="76">
        <f>SUMIFS('июль 2025'!$G$2:$G$2437,'июль 2025'!$D$2:$D$2437,$B78,'июль 2025'!$J$2:$J$2437,AA$1)</f>
        <v>0</v>
      </c>
      <c r="AB78" s="76">
        <f>SUMIFS('июль 2025'!$G$2:$G$2437,'июль 2025'!$D$2:$D$2437,$B78,'июль 2025'!$J$2:$J$2437,AB$1)</f>
        <v>0</v>
      </c>
      <c r="AC78" s="76">
        <f>SUMIFS('июль 2025'!$G$2:$G$2437,'июль 2025'!$D$2:$D$2437,$B78,'июль 2025'!$J$2:$J$2437,AC$1)</f>
        <v>0</v>
      </c>
      <c r="AD78" s="76">
        <f>SUMIFS('июль 2025'!$G$2:$G$2437,'июль 2025'!$D$2:$D$2437,$B78,'июль 2025'!$J$2:$J$2437,AD$1)</f>
        <v>0</v>
      </c>
      <c r="AE78" s="76">
        <f>SUMIFS('июль 2025'!$G$2:$G$2437,'июль 2025'!$D$2:$D$2437,$B78,'июль 2025'!$J$2:$J$2437,AE$1)</f>
        <v>0</v>
      </c>
      <c r="AF78" s="76">
        <f>SUMIFS('июль 2025'!$G$2:$G$2437,'июль 2025'!$D$2:$D$2437,$B78,'июль 2025'!$J$2:$J$2437,AF$1)</f>
        <v>0</v>
      </c>
      <c r="AG78" s="76">
        <f>SUMIFS('июль 2025'!$G$2:$G$2437,'июль 2025'!$D$2:$D$2437,$B78,'июль 2025'!$J$2:$J$2437,AG$1)</f>
        <v>0</v>
      </c>
      <c r="AH78" s="76">
        <f>SUMIFS('июль 2025'!$G$2:$G$2437,'июль 2025'!$D$2:$D$2437,$B78,'июль 2025'!$J$2:$J$2437,AH$1)</f>
        <v>0</v>
      </c>
      <c r="AI78" s="20">
        <f t="shared" si="1"/>
        <v>0</v>
      </c>
    </row>
    <row r="79" spans="2:35" ht="15" customHeight="1" x14ac:dyDescent="0.25">
      <c r="B79" s="88" t="s">
        <v>199</v>
      </c>
      <c r="C79" s="86">
        <v>200</v>
      </c>
      <c r="D79" s="76">
        <f>SUMIFS('июль 2025'!$G$2:$G$2437,'июль 2025'!$D$2:$D$2437,$B79,'июль 2025'!$J$2:$J$2437,D$1)</f>
        <v>0</v>
      </c>
      <c r="E79" s="76">
        <f>SUMIFS('июль 2025'!$G$2:$G$2437,'июль 2025'!$D$2:$D$2437,$B79,'июль 2025'!$J$2:$J$2437,E$1)</f>
        <v>0</v>
      </c>
      <c r="F79" s="76">
        <f>SUMIFS('июль 2025'!$G$2:$G$2437,'июль 2025'!$D$2:$D$2437,$B79,'июль 2025'!$J$2:$J$2437,F$1)</f>
        <v>0</v>
      </c>
      <c r="G79" s="76">
        <f>SUMIFS('июль 2025'!$G$2:$G$2437,'июль 2025'!$D$2:$D$2437,$B79,'июль 2025'!$J$2:$J$2437,G$1)</f>
        <v>0</v>
      </c>
      <c r="H79" s="76">
        <f>SUMIFS('июль 2025'!$G$2:$G$2437,'июль 2025'!$D$2:$D$2437,$B79,'июль 2025'!$J$2:$J$2437,H$1)</f>
        <v>0</v>
      </c>
      <c r="I79" s="76">
        <f>SUMIFS('июль 2025'!$G$2:$G$2437,'июль 2025'!$D$2:$D$2437,$B79,'июль 2025'!$J$2:$J$2437,I$1)</f>
        <v>0</v>
      </c>
      <c r="J79" s="76">
        <f>SUMIFS('июль 2025'!$G$2:$G$2437,'июль 2025'!$D$2:$D$2437,$B79,'июль 2025'!$J$2:$J$2437,J$1)</f>
        <v>0</v>
      </c>
      <c r="K79" s="76">
        <f>SUMIFS('июль 2025'!$G$2:$G$2437,'июль 2025'!$D$2:$D$2437,$B79,'июль 2025'!$J$2:$J$2437,K$1)</f>
        <v>0</v>
      </c>
      <c r="L79" s="76">
        <f>SUMIFS('июль 2025'!$G$2:$G$2437,'июль 2025'!$D$2:$D$2437,$B79,'июль 2025'!$J$2:$J$2437,L$1)</f>
        <v>0</v>
      </c>
      <c r="M79" s="76">
        <f>SUMIFS('июль 2025'!$G$2:$G$2437,'июль 2025'!$D$2:$D$2437,$B79,'июль 2025'!$J$2:$J$2437,M$1)</f>
        <v>0</v>
      </c>
      <c r="N79" s="76">
        <f>SUMIFS('июль 2025'!$G$2:$G$2437,'июль 2025'!$D$2:$D$2437,$B79,'июль 2025'!$J$2:$J$2437,N$1)</f>
        <v>0</v>
      </c>
      <c r="O79" s="76">
        <f>SUMIFS('июль 2025'!$G$2:$G$2437,'июль 2025'!$D$2:$D$2437,$B79,'июль 2025'!$J$2:$J$2437,O$1)</f>
        <v>0</v>
      </c>
      <c r="P79" s="76">
        <f>SUMIFS('июль 2025'!$G$2:$G$2437,'июль 2025'!$D$2:$D$2437,$B79,'июль 2025'!$J$2:$J$2437,P$1)</f>
        <v>0</v>
      </c>
      <c r="Q79" s="76">
        <f>SUMIFS('июль 2025'!$G$2:$G$2437,'июль 2025'!$D$2:$D$2437,$B79,'июль 2025'!$J$2:$J$2437,Q$1)</f>
        <v>0</v>
      </c>
      <c r="R79" s="76">
        <f>SUMIFS('июль 2025'!$G$2:$G$2437,'июль 2025'!$D$2:$D$2437,$B79,'июль 2025'!$J$2:$J$2437,R$1)</f>
        <v>0</v>
      </c>
      <c r="S79" s="76">
        <f>SUMIFS('июль 2025'!$G$2:$G$2437,'июль 2025'!$D$2:$D$2437,$B79,'июль 2025'!$J$2:$J$2437,S$1)</f>
        <v>0</v>
      </c>
      <c r="T79" s="76">
        <f>SUMIFS('июль 2025'!$G$2:$G$2437,'июль 2025'!$D$2:$D$2437,$B79,'июль 2025'!$J$2:$J$2437,T$1)</f>
        <v>0</v>
      </c>
      <c r="U79" s="76">
        <f>SUMIFS('июль 2025'!$G$2:$G$2437,'июль 2025'!$D$2:$D$2437,$B79,'июль 2025'!$J$2:$J$2437,U$1)</f>
        <v>0</v>
      </c>
      <c r="V79" s="76">
        <f>SUMIFS('июль 2025'!$G$2:$G$2437,'июль 2025'!$D$2:$D$2437,$B79,'июль 2025'!$J$2:$J$2437,V$1)</f>
        <v>0</v>
      </c>
      <c r="W79" s="76">
        <f>SUMIFS('июль 2025'!$G$2:$G$2437,'июль 2025'!$D$2:$D$2437,$B79,'июль 2025'!$J$2:$J$2437,W$1)</f>
        <v>0</v>
      </c>
      <c r="X79" s="76">
        <f>SUMIFS('июль 2025'!$G$2:$G$2437,'июль 2025'!$D$2:$D$2437,$B79,'июль 2025'!$J$2:$J$2437,X$1)</f>
        <v>0</v>
      </c>
      <c r="Y79" s="76">
        <f>SUMIFS('июль 2025'!$G$2:$G$2437,'июль 2025'!$D$2:$D$2437,$B79,'июль 2025'!$J$2:$J$2437,Y$1)</f>
        <v>0</v>
      </c>
      <c r="Z79" s="76">
        <f>SUMIFS('июль 2025'!$G$2:$G$2437,'июль 2025'!$D$2:$D$2437,$B79,'июль 2025'!$J$2:$J$2437,Z$1)</f>
        <v>0</v>
      </c>
      <c r="AA79" s="76">
        <f>SUMIFS('июль 2025'!$G$2:$G$2437,'июль 2025'!$D$2:$D$2437,$B79,'июль 2025'!$J$2:$J$2437,AA$1)</f>
        <v>0</v>
      </c>
      <c r="AB79" s="76">
        <f>SUMIFS('июль 2025'!$G$2:$G$2437,'июль 2025'!$D$2:$D$2437,$B79,'июль 2025'!$J$2:$J$2437,AB$1)</f>
        <v>0</v>
      </c>
      <c r="AC79" s="76">
        <f>SUMIFS('июль 2025'!$G$2:$G$2437,'июль 2025'!$D$2:$D$2437,$B79,'июль 2025'!$J$2:$J$2437,AC$1)</f>
        <v>0</v>
      </c>
      <c r="AD79" s="76">
        <f>SUMIFS('июль 2025'!$G$2:$G$2437,'июль 2025'!$D$2:$D$2437,$B79,'июль 2025'!$J$2:$J$2437,AD$1)</f>
        <v>0</v>
      </c>
      <c r="AE79" s="76">
        <f>SUMIFS('июль 2025'!$G$2:$G$2437,'июль 2025'!$D$2:$D$2437,$B79,'июль 2025'!$J$2:$J$2437,AE$1)</f>
        <v>0</v>
      </c>
      <c r="AF79" s="76">
        <f>SUMIFS('июль 2025'!$G$2:$G$2437,'июль 2025'!$D$2:$D$2437,$B79,'июль 2025'!$J$2:$J$2437,AF$1)</f>
        <v>0</v>
      </c>
      <c r="AG79" s="76">
        <f>SUMIFS('июль 2025'!$G$2:$G$2437,'июль 2025'!$D$2:$D$2437,$B79,'июль 2025'!$J$2:$J$2437,AG$1)</f>
        <v>0</v>
      </c>
      <c r="AH79" s="76">
        <f>SUMIFS('июль 2025'!$G$2:$G$2437,'июль 2025'!$D$2:$D$2437,$B79,'июль 2025'!$J$2:$J$2437,AH$1)</f>
        <v>0</v>
      </c>
      <c r="AI79" s="20">
        <f t="shared" si="1"/>
        <v>0</v>
      </c>
    </row>
    <row r="80" spans="2:35" ht="15" customHeight="1" x14ac:dyDescent="0.25">
      <c r="B80" s="88" t="s">
        <v>206</v>
      </c>
      <c r="C80" s="86">
        <v>25</v>
      </c>
      <c r="D80" s="76">
        <f>SUMIFS('июль 2025'!$G$2:$G$2437,'июль 2025'!$D$2:$D$2437,$B80,'июль 2025'!$J$2:$J$2437,D$1)</f>
        <v>0</v>
      </c>
      <c r="E80" s="76">
        <f>SUMIFS('июль 2025'!$G$2:$G$2437,'июль 2025'!$D$2:$D$2437,$B80,'июль 2025'!$J$2:$J$2437,E$1)</f>
        <v>0</v>
      </c>
      <c r="F80" s="76">
        <f>SUMIFS('июль 2025'!$G$2:$G$2437,'июль 2025'!$D$2:$D$2437,$B80,'июль 2025'!$J$2:$J$2437,F$1)</f>
        <v>0</v>
      </c>
      <c r="G80" s="76">
        <f>SUMIFS('июль 2025'!$G$2:$G$2437,'июль 2025'!$D$2:$D$2437,$B80,'июль 2025'!$J$2:$J$2437,G$1)</f>
        <v>0</v>
      </c>
      <c r="H80" s="76">
        <f>SUMIFS('июль 2025'!$G$2:$G$2437,'июль 2025'!$D$2:$D$2437,$B80,'июль 2025'!$J$2:$J$2437,H$1)</f>
        <v>0</v>
      </c>
      <c r="I80" s="76">
        <f>SUMIFS('июль 2025'!$G$2:$G$2437,'июль 2025'!$D$2:$D$2437,$B80,'июль 2025'!$J$2:$J$2437,I$1)</f>
        <v>0</v>
      </c>
      <c r="J80" s="76">
        <f>SUMIFS('июль 2025'!$G$2:$G$2437,'июль 2025'!$D$2:$D$2437,$B80,'июль 2025'!$J$2:$J$2437,J$1)</f>
        <v>0</v>
      </c>
      <c r="K80" s="76">
        <f>SUMIFS('июль 2025'!$G$2:$G$2437,'июль 2025'!$D$2:$D$2437,$B80,'июль 2025'!$J$2:$J$2437,K$1)</f>
        <v>0</v>
      </c>
      <c r="L80" s="76">
        <f>SUMIFS('июль 2025'!$G$2:$G$2437,'июль 2025'!$D$2:$D$2437,$B80,'июль 2025'!$J$2:$J$2437,L$1)</f>
        <v>0</v>
      </c>
      <c r="M80" s="76">
        <f>SUMIFS('июль 2025'!$G$2:$G$2437,'июль 2025'!$D$2:$D$2437,$B80,'июль 2025'!$J$2:$J$2437,M$1)</f>
        <v>0</v>
      </c>
      <c r="N80" s="76">
        <f>SUMIFS('июль 2025'!$G$2:$G$2437,'июль 2025'!$D$2:$D$2437,$B80,'июль 2025'!$J$2:$J$2437,N$1)</f>
        <v>0</v>
      </c>
      <c r="O80" s="76">
        <f>SUMIFS('июль 2025'!$G$2:$G$2437,'июль 2025'!$D$2:$D$2437,$B80,'июль 2025'!$J$2:$J$2437,O$1)</f>
        <v>0</v>
      </c>
      <c r="P80" s="76">
        <f>SUMIFS('июль 2025'!$G$2:$G$2437,'июль 2025'!$D$2:$D$2437,$B80,'июль 2025'!$J$2:$J$2437,P$1)</f>
        <v>0</v>
      </c>
      <c r="Q80" s="76">
        <f>SUMIFS('июль 2025'!$G$2:$G$2437,'июль 2025'!$D$2:$D$2437,$B80,'июль 2025'!$J$2:$J$2437,Q$1)</f>
        <v>0</v>
      </c>
      <c r="R80" s="76">
        <f>SUMIFS('июль 2025'!$G$2:$G$2437,'июль 2025'!$D$2:$D$2437,$B80,'июль 2025'!$J$2:$J$2437,R$1)</f>
        <v>0</v>
      </c>
      <c r="S80" s="76">
        <f>SUMIFS('июль 2025'!$G$2:$G$2437,'июль 2025'!$D$2:$D$2437,$B80,'июль 2025'!$J$2:$J$2437,S$1)</f>
        <v>0</v>
      </c>
      <c r="T80" s="76">
        <f>SUMIFS('июль 2025'!$G$2:$G$2437,'июль 2025'!$D$2:$D$2437,$B80,'июль 2025'!$J$2:$J$2437,T$1)</f>
        <v>0</v>
      </c>
      <c r="U80" s="76">
        <f>SUMIFS('июль 2025'!$G$2:$G$2437,'июль 2025'!$D$2:$D$2437,$B80,'июль 2025'!$J$2:$J$2437,U$1)</f>
        <v>0</v>
      </c>
      <c r="V80" s="76">
        <f>SUMIFS('июль 2025'!$G$2:$G$2437,'июль 2025'!$D$2:$D$2437,$B80,'июль 2025'!$J$2:$J$2437,V$1)</f>
        <v>0</v>
      </c>
      <c r="W80" s="76">
        <f>SUMIFS('июль 2025'!$G$2:$G$2437,'июль 2025'!$D$2:$D$2437,$B80,'июль 2025'!$J$2:$J$2437,W$1)</f>
        <v>0</v>
      </c>
      <c r="X80" s="76">
        <f>SUMIFS('июль 2025'!$G$2:$G$2437,'июль 2025'!$D$2:$D$2437,$B80,'июль 2025'!$J$2:$J$2437,X$1)</f>
        <v>0</v>
      </c>
      <c r="Y80" s="76">
        <f>SUMIFS('июль 2025'!$G$2:$G$2437,'июль 2025'!$D$2:$D$2437,$B80,'июль 2025'!$J$2:$J$2437,Y$1)</f>
        <v>0</v>
      </c>
      <c r="Z80" s="76">
        <f>SUMIFS('июль 2025'!$G$2:$G$2437,'июль 2025'!$D$2:$D$2437,$B80,'июль 2025'!$J$2:$J$2437,Z$1)</f>
        <v>0</v>
      </c>
      <c r="AA80" s="76">
        <f>SUMIFS('июль 2025'!$G$2:$G$2437,'июль 2025'!$D$2:$D$2437,$B80,'июль 2025'!$J$2:$J$2437,AA$1)</f>
        <v>0</v>
      </c>
      <c r="AB80" s="76">
        <f>SUMIFS('июль 2025'!$G$2:$G$2437,'июль 2025'!$D$2:$D$2437,$B80,'июль 2025'!$J$2:$J$2437,AB$1)</f>
        <v>0</v>
      </c>
      <c r="AC80" s="76">
        <f>SUMIFS('июль 2025'!$G$2:$G$2437,'июль 2025'!$D$2:$D$2437,$B80,'июль 2025'!$J$2:$J$2437,AC$1)</f>
        <v>0</v>
      </c>
      <c r="AD80" s="76">
        <f>SUMIFS('июль 2025'!$G$2:$G$2437,'июль 2025'!$D$2:$D$2437,$B80,'июль 2025'!$J$2:$J$2437,AD$1)</f>
        <v>0</v>
      </c>
      <c r="AE80" s="76">
        <f>SUMIFS('июль 2025'!$G$2:$G$2437,'июль 2025'!$D$2:$D$2437,$B80,'июль 2025'!$J$2:$J$2437,AE$1)</f>
        <v>0</v>
      </c>
      <c r="AF80" s="76">
        <f>SUMIFS('июль 2025'!$G$2:$G$2437,'июль 2025'!$D$2:$D$2437,$B80,'июль 2025'!$J$2:$J$2437,AF$1)</f>
        <v>0</v>
      </c>
      <c r="AG80" s="76">
        <f>SUMIFS('июль 2025'!$G$2:$G$2437,'июль 2025'!$D$2:$D$2437,$B80,'июль 2025'!$J$2:$J$2437,AG$1)</f>
        <v>0</v>
      </c>
      <c r="AH80" s="76">
        <f>SUMIFS('июль 2025'!$G$2:$G$2437,'июль 2025'!$D$2:$D$2437,$B80,'июль 2025'!$J$2:$J$2437,AH$1)</f>
        <v>0</v>
      </c>
      <c r="AI80" s="20">
        <f t="shared" si="1"/>
        <v>0</v>
      </c>
    </row>
    <row r="81" spans="2:35" ht="15" customHeight="1" x14ac:dyDescent="0.25">
      <c r="B81" s="88" t="s">
        <v>178</v>
      </c>
      <c r="C81" s="86">
        <v>50</v>
      </c>
      <c r="D81" s="76">
        <f>SUMIFS('июль 2025'!$G$2:$G$2437,'июль 2025'!$D$2:$D$2437,$B81,'июль 2025'!$J$2:$J$2437,D$1)</f>
        <v>0</v>
      </c>
      <c r="E81" s="76">
        <f>SUMIFS('июль 2025'!$G$2:$G$2437,'июль 2025'!$D$2:$D$2437,$B81,'июль 2025'!$J$2:$J$2437,E$1)</f>
        <v>0</v>
      </c>
      <c r="F81" s="76">
        <f>SUMIFS('июль 2025'!$G$2:$G$2437,'июль 2025'!$D$2:$D$2437,$B81,'июль 2025'!$J$2:$J$2437,F$1)</f>
        <v>0</v>
      </c>
      <c r="G81" s="76">
        <f>SUMIFS('июль 2025'!$G$2:$G$2437,'июль 2025'!$D$2:$D$2437,$B81,'июль 2025'!$J$2:$J$2437,G$1)</f>
        <v>0</v>
      </c>
      <c r="H81" s="76">
        <f>SUMIFS('июль 2025'!$G$2:$G$2437,'июль 2025'!$D$2:$D$2437,$B81,'июль 2025'!$J$2:$J$2437,H$1)</f>
        <v>0</v>
      </c>
      <c r="I81" s="76">
        <f>SUMIFS('июль 2025'!$G$2:$G$2437,'июль 2025'!$D$2:$D$2437,$B81,'июль 2025'!$J$2:$J$2437,I$1)</f>
        <v>0</v>
      </c>
      <c r="J81" s="76">
        <f>SUMIFS('июль 2025'!$G$2:$G$2437,'июль 2025'!$D$2:$D$2437,$B81,'июль 2025'!$J$2:$J$2437,J$1)</f>
        <v>0</v>
      </c>
      <c r="K81" s="76">
        <f>SUMIFS('июль 2025'!$G$2:$G$2437,'июль 2025'!$D$2:$D$2437,$B81,'июль 2025'!$J$2:$J$2437,K$1)</f>
        <v>0</v>
      </c>
      <c r="L81" s="76">
        <f>SUMIFS('июль 2025'!$G$2:$G$2437,'июль 2025'!$D$2:$D$2437,$B81,'июль 2025'!$J$2:$J$2437,L$1)</f>
        <v>0</v>
      </c>
      <c r="M81" s="76">
        <f>SUMIFS('июль 2025'!$G$2:$G$2437,'июль 2025'!$D$2:$D$2437,$B81,'июль 2025'!$J$2:$J$2437,M$1)</f>
        <v>0</v>
      </c>
      <c r="N81" s="76">
        <f>SUMIFS('июль 2025'!$G$2:$G$2437,'июль 2025'!$D$2:$D$2437,$B81,'июль 2025'!$J$2:$J$2437,N$1)</f>
        <v>0</v>
      </c>
      <c r="O81" s="76">
        <f>SUMIFS('июль 2025'!$G$2:$G$2437,'июль 2025'!$D$2:$D$2437,$B81,'июль 2025'!$J$2:$J$2437,O$1)</f>
        <v>0</v>
      </c>
      <c r="P81" s="76">
        <f>SUMIFS('июль 2025'!$G$2:$G$2437,'июль 2025'!$D$2:$D$2437,$B81,'июль 2025'!$J$2:$J$2437,P$1)</f>
        <v>0</v>
      </c>
      <c r="Q81" s="76">
        <f>SUMIFS('июль 2025'!$G$2:$G$2437,'июль 2025'!$D$2:$D$2437,$B81,'июль 2025'!$J$2:$J$2437,Q$1)</f>
        <v>0</v>
      </c>
      <c r="R81" s="76">
        <f>SUMIFS('июль 2025'!$G$2:$G$2437,'июль 2025'!$D$2:$D$2437,$B81,'июль 2025'!$J$2:$J$2437,R$1)</f>
        <v>0</v>
      </c>
      <c r="S81" s="76">
        <f>SUMIFS('июль 2025'!$G$2:$G$2437,'июль 2025'!$D$2:$D$2437,$B81,'июль 2025'!$J$2:$J$2437,S$1)</f>
        <v>0</v>
      </c>
      <c r="T81" s="76">
        <f>SUMIFS('июль 2025'!$G$2:$G$2437,'июль 2025'!$D$2:$D$2437,$B81,'июль 2025'!$J$2:$J$2437,T$1)</f>
        <v>0</v>
      </c>
      <c r="U81" s="76">
        <f>SUMIFS('июль 2025'!$G$2:$G$2437,'июль 2025'!$D$2:$D$2437,$B81,'июль 2025'!$J$2:$J$2437,U$1)</f>
        <v>0</v>
      </c>
      <c r="V81" s="76">
        <f>SUMIFS('июль 2025'!$G$2:$G$2437,'июль 2025'!$D$2:$D$2437,$B81,'июль 2025'!$J$2:$J$2437,V$1)</f>
        <v>0</v>
      </c>
      <c r="W81" s="76">
        <f>SUMIFS('июль 2025'!$G$2:$G$2437,'июль 2025'!$D$2:$D$2437,$B81,'июль 2025'!$J$2:$J$2437,W$1)</f>
        <v>0</v>
      </c>
      <c r="X81" s="76">
        <f>SUMIFS('июль 2025'!$G$2:$G$2437,'июль 2025'!$D$2:$D$2437,$B81,'июль 2025'!$J$2:$J$2437,X$1)</f>
        <v>0</v>
      </c>
      <c r="Y81" s="76">
        <f>SUMIFS('июль 2025'!$G$2:$G$2437,'июль 2025'!$D$2:$D$2437,$B81,'июль 2025'!$J$2:$J$2437,Y$1)</f>
        <v>0</v>
      </c>
      <c r="Z81" s="76">
        <f>SUMIFS('июль 2025'!$G$2:$G$2437,'июль 2025'!$D$2:$D$2437,$B81,'июль 2025'!$J$2:$J$2437,Z$1)</f>
        <v>0</v>
      </c>
      <c r="AA81" s="76">
        <f>SUMIFS('июль 2025'!$G$2:$G$2437,'июль 2025'!$D$2:$D$2437,$B81,'июль 2025'!$J$2:$J$2437,AA$1)</f>
        <v>0</v>
      </c>
      <c r="AB81" s="76">
        <f>SUMIFS('июль 2025'!$G$2:$G$2437,'июль 2025'!$D$2:$D$2437,$B81,'июль 2025'!$J$2:$J$2437,AB$1)</f>
        <v>0</v>
      </c>
      <c r="AC81" s="76">
        <f>SUMIFS('июль 2025'!$G$2:$G$2437,'июль 2025'!$D$2:$D$2437,$B81,'июль 2025'!$J$2:$J$2437,AC$1)</f>
        <v>0</v>
      </c>
      <c r="AD81" s="76">
        <f>SUMIFS('июль 2025'!$G$2:$G$2437,'июль 2025'!$D$2:$D$2437,$B81,'июль 2025'!$J$2:$J$2437,AD$1)</f>
        <v>0</v>
      </c>
      <c r="AE81" s="76">
        <f>SUMIFS('июль 2025'!$G$2:$G$2437,'июль 2025'!$D$2:$D$2437,$B81,'июль 2025'!$J$2:$J$2437,AE$1)</f>
        <v>0</v>
      </c>
      <c r="AF81" s="76">
        <f>SUMIFS('июль 2025'!$G$2:$G$2437,'июль 2025'!$D$2:$D$2437,$B81,'июль 2025'!$J$2:$J$2437,AF$1)</f>
        <v>0</v>
      </c>
      <c r="AG81" s="76">
        <f>SUMIFS('июль 2025'!$G$2:$G$2437,'июль 2025'!$D$2:$D$2437,$B81,'июль 2025'!$J$2:$J$2437,AG$1)</f>
        <v>0</v>
      </c>
      <c r="AH81" s="76">
        <f>SUMIFS('июль 2025'!$G$2:$G$2437,'июль 2025'!$D$2:$D$2437,$B81,'июль 2025'!$J$2:$J$2437,AH$1)</f>
        <v>0</v>
      </c>
      <c r="AI81" s="20">
        <f t="shared" si="1"/>
        <v>0</v>
      </c>
    </row>
    <row r="82" spans="2:35" ht="15" customHeight="1" x14ac:dyDescent="0.25">
      <c r="B82" s="88" t="s">
        <v>167</v>
      </c>
      <c r="C82" s="86">
        <v>200</v>
      </c>
      <c r="D82" s="76">
        <f>SUMIFS('июль 2025'!$G$2:$G$2437,'июль 2025'!$D$2:$D$2437,$B82,'июль 2025'!$J$2:$J$2437,D$1)</f>
        <v>0</v>
      </c>
      <c r="E82" s="76">
        <f>SUMIFS('июль 2025'!$G$2:$G$2437,'июль 2025'!$D$2:$D$2437,$B82,'июль 2025'!$J$2:$J$2437,E$1)</f>
        <v>0</v>
      </c>
      <c r="F82" s="76">
        <f>SUMIFS('июль 2025'!$G$2:$G$2437,'июль 2025'!$D$2:$D$2437,$B82,'июль 2025'!$J$2:$J$2437,F$1)</f>
        <v>0</v>
      </c>
      <c r="G82" s="76">
        <f>SUMIFS('июль 2025'!$G$2:$G$2437,'июль 2025'!$D$2:$D$2437,$B82,'июль 2025'!$J$2:$J$2437,G$1)</f>
        <v>0</v>
      </c>
      <c r="H82" s="76">
        <f>SUMIFS('июль 2025'!$G$2:$G$2437,'июль 2025'!$D$2:$D$2437,$B82,'июль 2025'!$J$2:$J$2437,H$1)</f>
        <v>0</v>
      </c>
      <c r="I82" s="76">
        <f>SUMIFS('июль 2025'!$G$2:$G$2437,'июль 2025'!$D$2:$D$2437,$B82,'июль 2025'!$J$2:$J$2437,I$1)</f>
        <v>0</v>
      </c>
      <c r="J82" s="76">
        <f>SUMIFS('июль 2025'!$G$2:$G$2437,'июль 2025'!$D$2:$D$2437,$B82,'июль 2025'!$J$2:$J$2437,J$1)</f>
        <v>0</v>
      </c>
      <c r="K82" s="76">
        <f>SUMIFS('июль 2025'!$G$2:$G$2437,'июль 2025'!$D$2:$D$2437,$B82,'июль 2025'!$J$2:$J$2437,K$1)</f>
        <v>0</v>
      </c>
      <c r="L82" s="76">
        <f>SUMIFS('июль 2025'!$G$2:$G$2437,'июль 2025'!$D$2:$D$2437,$B82,'июль 2025'!$J$2:$J$2437,L$1)</f>
        <v>0</v>
      </c>
      <c r="M82" s="76">
        <f>SUMIFS('июль 2025'!$G$2:$G$2437,'июль 2025'!$D$2:$D$2437,$B82,'июль 2025'!$J$2:$J$2437,M$1)</f>
        <v>0</v>
      </c>
      <c r="N82" s="76">
        <f>SUMIFS('июль 2025'!$G$2:$G$2437,'июль 2025'!$D$2:$D$2437,$B82,'июль 2025'!$J$2:$J$2437,N$1)</f>
        <v>0</v>
      </c>
      <c r="O82" s="76">
        <f>SUMIFS('июль 2025'!$G$2:$G$2437,'июль 2025'!$D$2:$D$2437,$B82,'июль 2025'!$J$2:$J$2437,O$1)</f>
        <v>0</v>
      </c>
      <c r="P82" s="76">
        <f>SUMIFS('июль 2025'!$G$2:$G$2437,'июль 2025'!$D$2:$D$2437,$B82,'июль 2025'!$J$2:$J$2437,P$1)</f>
        <v>0</v>
      </c>
      <c r="Q82" s="76">
        <f>SUMIFS('июль 2025'!$G$2:$G$2437,'июль 2025'!$D$2:$D$2437,$B82,'июль 2025'!$J$2:$J$2437,Q$1)</f>
        <v>3</v>
      </c>
      <c r="R82" s="76">
        <f>SUMIFS('июль 2025'!$G$2:$G$2437,'июль 2025'!$D$2:$D$2437,$B82,'июль 2025'!$J$2:$J$2437,R$1)</f>
        <v>0</v>
      </c>
      <c r="S82" s="76">
        <f>SUMIFS('июль 2025'!$G$2:$G$2437,'июль 2025'!$D$2:$D$2437,$B82,'июль 2025'!$J$2:$J$2437,S$1)</f>
        <v>0</v>
      </c>
      <c r="T82" s="76">
        <f>SUMIFS('июль 2025'!$G$2:$G$2437,'июль 2025'!$D$2:$D$2437,$B82,'июль 2025'!$J$2:$J$2437,T$1)</f>
        <v>0</v>
      </c>
      <c r="U82" s="76">
        <f>SUMIFS('июль 2025'!$G$2:$G$2437,'июль 2025'!$D$2:$D$2437,$B82,'июль 2025'!$J$2:$J$2437,U$1)</f>
        <v>0</v>
      </c>
      <c r="V82" s="76">
        <f>SUMIFS('июль 2025'!$G$2:$G$2437,'июль 2025'!$D$2:$D$2437,$B82,'июль 2025'!$J$2:$J$2437,V$1)</f>
        <v>0</v>
      </c>
      <c r="W82" s="76">
        <f>SUMIFS('июль 2025'!$G$2:$G$2437,'июль 2025'!$D$2:$D$2437,$B82,'июль 2025'!$J$2:$J$2437,W$1)</f>
        <v>0</v>
      </c>
      <c r="X82" s="76">
        <f>SUMIFS('июль 2025'!$G$2:$G$2437,'июль 2025'!$D$2:$D$2437,$B82,'июль 2025'!$J$2:$J$2437,X$1)</f>
        <v>0</v>
      </c>
      <c r="Y82" s="76">
        <f>SUMIFS('июль 2025'!$G$2:$G$2437,'июль 2025'!$D$2:$D$2437,$B82,'июль 2025'!$J$2:$J$2437,Y$1)</f>
        <v>0</v>
      </c>
      <c r="Z82" s="76">
        <f>SUMIFS('июль 2025'!$G$2:$G$2437,'июль 2025'!$D$2:$D$2437,$B82,'июль 2025'!$J$2:$J$2437,Z$1)</f>
        <v>0</v>
      </c>
      <c r="AA82" s="76">
        <f>SUMIFS('июль 2025'!$G$2:$G$2437,'июль 2025'!$D$2:$D$2437,$B82,'июль 2025'!$J$2:$J$2437,AA$1)</f>
        <v>0</v>
      </c>
      <c r="AB82" s="76">
        <f>SUMIFS('июль 2025'!$G$2:$G$2437,'июль 2025'!$D$2:$D$2437,$B82,'июль 2025'!$J$2:$J$2437,AB$1)</f>
        <v>0</v>
      </c>
      <c r="AC82" s="76">
        <f>SUMIFS('июль 2025'!$G$2:$G$2437,'июль 2025'!$D$2:$D$2437,$B82,'июль 2025'!$J$2:$J$2437,AC$1)</f>
        <v>0</v>
      </c>
      <c r="AD82" s="76">
        <f>SUMIFS('июль 2025'!$G$2:$G$2437,'июль 2025'!$D$2:$D$2437,$B82,'июль 2025'!$J$2:$J$2437,AD$1)</f>
        <v>0</v>
      </c>
      <c r="AE82" s="76">
        <f>SUMIFS('июль 2025'!$G$2:$G$2437,'июль 2025'!$D$2:$D$2437,$B82,'июль 2025'!$J$2:$J$2437,AE$1)</f>
        <v>0</v>
      </c>
      <c r="AF82" s="76">
        <f>SUMIFS('июль 2025'!$G$2:$G$2437,'июль 2025'!$D$2:$D$2437,$B82,'июль 2025'!$J$2:$J$2437,AF$1)</f>
        <v>0</v>
      </c>
      <c r="AG82" s="76">
        <f>SUMIFS('июль 2025'!$G$2:$G$2437,'июль 2025'!$D$2:$D$2437,$B82,'июль 2025'!$J$2:$J$2437,AG$1)</f>
        <v>0</v>
      </c>
      <c r="AH82" s="76">
        <f>SUMIFS('июль 2025'!$G$2:$G$2437,'июль 2025'!$D$2:$D$2437,$B82,'июль 2025'!$J$2:$J$2437,AH$1)</f>
        <v>0</v>
      </c>
      <c r="AI82" s="20">
        <f t="shared" si="1"/>
        <v>3</v>
      </c>
    </row>
    <row r="83" spans="2:35" ht="15" customHeight="1" x14ac:dyDescent="0.25">
      <c r="B83" s="88" t="s">
        <v>168</v>
      </c>
      <c r="C83" s="86">
        <v>200</v>
      </c>
      <c r="D83" s="76">
        <f>SUMIFS('июль 2025'!$G$2:$G$2437,'июль 2025'!$D$2:$D$2437,$B83,'июль 2025'!$J$2:$J$2437,D$1)</f>
        <v>0</v>
      </c>
      <c r="E83" s="76">
        <f>SUMIFS('июль 2025'!$G$2:$G$2437,'июль 2025'!$D$2:$D$2437,$B83,'июль 2025'!$J$2:$J$2437,E$1)</f>
        <v>0</v>
      </c>
      <c r="F83" s="76">
        <f>SUMIFS('июль 2025'!$G$2:$G$2437,'июль 2025'!$D$2:$D$2437,$B83,'июль 2025'!$J$2:$J$2437,F$1)</f>
        <v>0</v>
      </c>
      <c r="G83" s="76">
        <f>SUMIFS('июль 2025'!$G$2:$G$2437,'июль 2025'!$D$2:$D$2437,$B83,'июль 2025'!$J$2:$J$2437,G$1)</f>
        <v>0</v>
      </c>
      <c r="H83" s="76">
        <f>SUMIFS('июль 2025'!$G$2:$G$2437,'июль 2025'!$D$2:$D$2437,$B83,'июль 2025'!$J$2:$J$2437,H$1)</f>
        <v>0</v>
      </c>
      <c r="I83" s="76">
        <f>SUMIFS('июль 2025'!$G$2:$G$2437,'июль 2025'!$D$2:$D$2437,$B83,'июль 2025'!$J$2:$J$2437,I$1)</f>
        <v>0</v>
      </c>
      <c r="J83" s="76">
        <f>SUMIFS('июль 2025'!$G$2:$G$2437,'июль 2025'!$D$2:$D$2437,$B83,'июль 2025'!$J$2:$J$2437,J$1)</f>
        <v>0</v>
      </c>
      <c r="K83" s="76">
        <f>SUMIFS('июль 2025'!$G$2:$G$2437,'июль 2025'!$D$2:$D$2437,$B83,'июль 2025'!$J$2:$J$2437,K$1)</f>
        <v>0</v>
      </c>
      <c r="L83" s="76">
        <f>SUMIFS('июль 2025'!$G$2:$G$2437,'июль 2025'!$D$2:$D$2437,$B83,'июль 2025'!$J$2:$J$2437,L$1)</f>
        <v>0</v>
      </c>
      <c r="M83" s="76">
        <f>SUMIFS('июль 2025'!$G$2:$G$2437,'июль 2025'!$D$2:$D$2437,$B83,'июль 2025'!$J$2:$J$2437,M$1)</f>
        <v>0</v>
      </c>
      <c r="N83" s="76">
        <f>SUMIFS('июль 2025'!$G$2:$G$2437,'июль 2025'!$D$2:$D$2437,$B83,'июль 2025'!$J$2:$J$2437,N$1)</f>
        <v>0</v>
      </c>
      <c r="O83" s="76">
        <f>SUMIFS('июль 2025'!$G$2:$G$2437,'июль 2025'!$D$2:$D$2437,$B83,'июль 2025'!$J$2:$J$2437,O$1)</f>
        <v>0</v>
      </c>
      <c r="P83" s="76">
        <f>SUMIFS('июль 2025'!$G$2:$G$2437,'июль 2025'!$D$2:$D$2437,$B83,'июль 2025'!$J$2:$J$2437,P$1)</f>
        <v>0</v>
      </c>
      <c r="Q83" s="76">
        <f>SUMIFS('июль 2025'!$G$2:$G$2437,'июль 2025'!$D$2:$D$2437,$B83,'июль 2025'!$J$2:$J$2437,Q$1)</f>
        <v>0</v>
      </c>
      <c r="R83" s="76">
        <f>SUMIFS('июль 2025'!$G$2:$G$2437,'июль 2025'!$D$2:$D$2437,$B83,'июль 2025'!$J$2:$J$2437,R$1)</f>
        <v>0</v>
      </c>
      <c r="S83" s="76">
        <f>SUMIFS('июль 2025'!$G$2:$G$2437,'июль 2025'!$D$2:$D$2437,$B83,'июль 2025'!$J$2:$J$2437,S$1)</f>
        <v>0</v>
      </c>
      <c r="T83" s="76">
        <f>SUMIFS('июль 2025'!$G$2:$G$2437,'июль 2025'!$D$2:$D$2437,$B83,'июль 2025'!$J$2:$J$2437,T$1)</f>
        <v>0</v>
      </c>
      <c r="U83" s="76">
        <f>SUMIFS('июль 2025'!$G$2:$G$2437,'июль 2025'!$D$2:$D$2437,$B83,'июль 2025'!$J$2:$J$2437,U$1)</f>
        <v>0</v>
      </c>
      <c r="V83" s="76">
        <f>SUMIFS('июль 2025'!$G$2:$G$2437,'июль 2025'!$D$2:$D$2437,$B83,'июль 2025'!$J$2:$J$2437,V$1)</f>
        <v>0</v>
      </c>
      <c r="W83" s="76">
        <f>SUMIFS('июль 2025'!$G$2:$G$2437,'июль 2025'!$D$2:$D$2437,$B83,'июль 2025'!$J$2:$J$2437,W$1)</f>
        <v>0</v>
      </c>
      <c r="X83" s="76">
        <f>SUMIFS('июль 2025'!$G$2:$G$2437,'июль 2025'!$D$2:$D$2437,$B83,'июль 2025'!$J$2:$J$2437,X$1)</f>
        <v>0</v>
      </c>
      <c r="Y83" s="76">
        <f>SUMIFS('июль 2025'!$G$2:$G$2437,'июль 2025'!$D$2:$D$2437,$B83,'июль 2025'!$J$2:$J$2437,Y$1)</f>
        <v>4</v>
      </c>
      <c r="Z83" s="76">
        <f>SUMIFS('июль 2025'!$G$2:$G$2437,'июль 2025'!$D$2:$D$2437,$B83,'июль 2025'!$J$2:$J$2437,Z$1)</f>
        <v>0</v>
      </c>
      <c r="AA83" s="76">
        <f>SUMIFS('июль 2025'!$G$2:$G$2437,'июль 2025'!$D$2:$D$2437,$B83,'июль 2025'!$J$2:$J$2437,AA$1)</f>
        <v>0</v>
      </c>
      <c r="AB83" s="76">
        <f>SUMIFS('июль 2025'!$G$2:$G$2437,'июль 2025'!$D$2:$D$2437,$B83,'июль 2025'!$J$2:$J$2437,AB$1)</f>
        <v>0</v>
      </c>
      <c r="AC83" s="76">
        <f>SUMIFS('июль 2025'!$G$2:$G$2437,'июль 2025'!$D$2:$D$2437,$B83,'июль 2025'!$J$2:$J$2437,AC$1)</f>
        <v>0</v>
      </c>
      <c r="AD83" s="76">
        <f>SUMIFS('июль 2025'!$G$2:$G$2437,'июль 2025'!$D$2:$D$2437,$B83,'июль 2025'!$J$2:$J$2437,AD$1)</f>
        <v>0</v>
      </c>
      <c r="AE83" s="76">
        <f>SUMIFS('июль 2025'!$G$2:$G$2437,'июль 2025'!$D$2:$D$2437,$B83,'июль 2025'!$J$2:$J$2437,AE$1)</f>
        <v>0</v>
      </c>
      <c r="AF83" s="76">
        <f>SUMIFS('июль 2025'!$G$2:$G$2437,'июль 2025'!$D$2:$D$2437,$B83,'июль 2025'!$J$2:$J$2437,AF$1)</f>
        <v>0</v>
      </c>
      <c r="AG83" s="76">
        <f>SUMIFS('июль 2025'!$G$2:$G$2437,'июль 2025'!$D$2:$D$2437,$B83,'июль 2025'!$J$2:$J$2437,AG$1)</f>
        <v>0</v>
      </c>
      <c r="AH83" s="76">
        <f>SUMIFS('июль 2025'!$G$2:$G$2437,'июль 2025'!$D$2:$D$2437,$B83,'июль 2025'!$J$2:$J$2437,AH$1)</f>
        <v>0</v>
      </c>
      <c r="AI83" s="20">
        <f t="shared" si="1"/>
        <v>4</v>
      </c>
    </row>
    <row r="84" spans="2:35" ht="15" customHeight="1" x14ac:dyDescent="0.25">
      <c r="B84" s="88" t="s">
        <v>1426</v>
      </c>
      <c r="C84" s="86">
        <v>215.5</v>
      </c>
      <c r="D84" s="76">
        <f>SUMIFS('июль 2025'!$G$2:$G$2437,'июль 2025'!$D$2:$D$2437,$B84,'июль 2025'!$J$2:$J$2437,D$1)</f>
        <v>0</v>
      </c>
      <c r="E84" s="76">
        <f>SUMIFS('июль 2025'!$G$2:$G$2437,'июль 2025'!$D$2:$D$2437,$B84,'июль 2025'!$J$2:$J$2437,E$1)</f>
        <v>0</v>
      </c>
      <c r="F84" s="76">
        <f>SUMIFS('июль 2025'!$G$2:$G$2437,'июль 2025'!$D$2:$D$2437,$B84,'июль 2025'!$J$2:$J$2437,F$1)</f>
        <v>0</v>
      </c>
      <c r="G84" s="76">
        <f>SUMIFS('июль 2025'!$G$2:$G$2437,'июль 2025'!$D$2:$D$2437,$B84,'июль 2025'!$J$2:$J$2437,G$1)</f>
        <v>0</v>
      </c>
      <c r="H84" s="76">
        <f>SUMIFS('июль 2025'!$G$2:$G$2437,'июль 2025'!$D$2:$D$2437,$B84,'июль 2025'!$J$2:$J$2437,H$1)</f>
        <v>0</v>
      </c>
      <c r="I84" s="76">
        <f>SUMIFS('июль 2025'!$G$2:$G$2437,'июль 2025'!$D$2:$D$2437,$B84,'июль 2025'!$J$2:$J$2437,I$1)</f>
        <v>0</v>
      </c>
      <c r="J84" s="76">
        <f>SUMIFS('июль 2025'!$G$2:$G$2437,'июль 2025'!$D$2:$D$2437,$B84,'июль 2025'!$J$2:$J$2437,J$1)</f>
        <v>0</v>
      </c>
      <c r="K84" s="76">
        <f>SUMIFS('июль 2025'!$G$2:$G$2437,'июль 2025'!$D$2:$D$2437,$B84,'июль 2025'!$J$2:$J$2437,K$1)</f>
        <v>0</v>
      </c>
      <c r="L84" s="76">
        <f>SUMIFS('июль 2025'!$G$2:$G$2437,'июль 2025'!$D$2:$D$2437,$B84,'июль 2025'!$J$2:$J$2437,L$1)</f>
        <v>88</v>
      </c>
      <c r="M84" s="76">
        <f>SUMIFS('июль 2025'!$G$2:$G$2437,'июль 2025'!$D$2:$D$2437,$B84,'июль 2025'!$J$2:$J$2437,M$1)</f>
        <v>0</v>
      </c>
      <c r="N84" s="76">
        <f>SUMIFS('июль 2025'!$G$2:$G$2437,'июль 2025'!$D$2:$D$2437,$B84,'июль 2025'!$J$2:$J$2437,N$1)</f>
        <v>0</v>
      </c>
      <c r="O84" s="76">
        <f>SUMIFS('июль 2025'!$G$2:$G$2437,'июль 2025'!$D$2:$D$2437,$B84,'июль 2025'!$J$2:$J$2437,O$1)</f>
        <v>0</v>
      </c>
      <c r="P84" s="76">
        <f>SUMIFS('июль 2025'!$G$2:$G$2437,'июль 2025'!$D$2:$D$2437,$B84,'июль 2025'!$J$2:$J$2437,P$1)</f>
        <v>0</v>
      </c>
      <c r="Q84" s="76">
        <f>SUMIFS('июль 2025'!$G$2:$G$2437,'июль 2025'!$D$2:$D$2437,$B84,'июль 2025'!$J$2:$J$2437,Q$1)</f>
        <v>0</v>
      </c>
      <c r="R84" s="76">
        <f>SUMIFS('июль 2025'!$G$2:$G$2437,'июль 2025'!$D$2:$D$2437,$B84,'июль 2025'!$J$2:$J$2437,R$1)</f>
        <v>0</v>
      </c>
      <c r="S84" s="76">
        <f>SUMIFS('июль 2025'!$G$2:$G$2437,'июль 2025'!$D$2:$D$2437,$B84,'июль 2025'!$J$2:$J$2437,S$1)</f>
        <v>0</v>
      </c>
      <c r="T84" s="76">
        <f>SUMIFS('июль 2025'!$G$2:$G$2437,'июль 2025'!$D$2:$D$2437,$B84,'июль 2025'!$J$2:$J$2437,T$1)</f>
        <v>0</v>
      </c>
      <c r="U84" s="76">
        <f>SUMIFS('июль 2025'!$G$2:$G$2437,'июль 2025'!$D$2:$D$2437,$B84,'июль 2025'!$J$2:$J$2437,U$1)</f>
        <v>0</v>
      </c>
      <c r="V84" s="76">
        <f>SUMIFS('июль 2025'!$G$2:$G$2437,'июль 2025'!$D$2:$D$2437,$B84,'июль 2025'!$J$2:$J$2437,V$1)</f>
        <v>0</v>
      </c>
      <c r="W84" s="76">
        <f>SUMIFS('июль 2025'!$G$2:$G$2437,'июль 2025'!$D$2:$D$2437,$B84,'июль 2025'!$J$2:$J$2437,W$1)</f>
        <v>0</v>
      </c>
      <c r="X84" s="76">
        <f>SUMIFS('июль 2025'!$G$2:$G$2437,'июль 2025'!$D$2:$D$2437,$B84,'июль 2025'!$J$2:$J$2437,X$1)</f>
        <v>0</v>
      </c>
      <c r="Y84" s="76">
        <f>SUMIFS('июль 2025'!$G$2:$G$2437,'июль 2025'!$D$2:$D$2437,$B84,'июль 2025'!$J$2:$J$2437,Y$1)</f>
        <v>0</v>
      </c>
      <c r="Z84" s="76">
        <f>SUMIFS('июль 2025'!$G$2:$G$2437,'июль 2025'!$D$2:$D$2437,$B84,'июль 2025'!$J$2:$J$2437,Z$1)</f>
        <v>0</v>
      </c>
      <c r="AA84" s="76">
        <f>SUMIFS('июль 2025'!$G$2:$G$2437,'июль 2025'!$D$2:$D$2437,$B84,'июль 2025'!$J$2:$J$2437,AA$1)</f>
        <v>0</v>
      </c>
      <c r="AB84" s="76">
        <f>SUMIFS('июль 2025'!$G$2:$G$2437,'июль 2025'!$D$2:$D$2437,$B84,'июль 2025'!$J$2:$J$2437,AB$1)</f>
        <v>0</v>
      </c>
      <c r="AC84" s="76">
        <f>SUMIFS('июль 2025'!$G$2:$G$2437,'июль 2025'!$D$2:$D$2437,$B84,'июль 2025'!$J$2:$J$2437,AC$1)</f>
        <v>0</v>
      </c>
      <c r="AD84" s="76">
        <f>SUMIFS('июль 2025'!$G$2:$G$2437,'июль 2025'!$D$2:$D$2437,$B84,'июль 2025'!$J$2:$J$2437,AD$1)</f>
        <v>0</v>
      </c>
      <c r="AE84" s="76">
        <f>SUMIFS('июль 2025'!$G$2:$G$2437,'июль 2025'!$D$2:$D$2437,$B84,'июль 2025'!$J$2:$J$2437,AE$1)</f>
        <v>0</v>
      </c>
      <c r="AF84" s="76">
        <f>SUMIFS('июль 2025'!$G$2:$G$2437,'июль 2025'!$D$2:$D$2437,$B84,'июль 2025'!$J$2:$J$2437,AF$1)</f>
        <v>0</v>
      </c>
      <c r="AG84" s="76">
        <f>SUMIFS('июль 2025'!$G$2:$G$2437,'июль 2025'!$D$2:$D$2437,$B84,'июль 2025'!$J$2:$J$2437,AG$1)</f>
        <v>0</v>
      </c>
      <c r="AH84" s="76">
        <f>SUMIFS('июль 2025'!$G$2:$G$2437,'июль 2025'!$D$2:$D$2437,$B84,'июль 2025'!$J$2:$J$2437,AH$1)</f>
        <v>0</v>
      </c>
      <c r="AI84" s="20"/>
    </row>
    <row r="85" spans="2:35" ht="15" customHeight="1" x14ac:dyDescent="0.25">
      <c r="B85" s="88" t="s">
        <v>314</v>
      </c>
      <c r="C85" s="86">
        <v>200</v>
      </c>
      <c r="D85" s="76">
        <f>SUMIFS('июль 2025'!$G$2:$G$2437,'июль 2025'!$D$2:$D$2437,$B85,'июль 2025'!$J$2:$J$2437,D$1)</f>
        <v>0</v>
      </c>
      <c r="E85" s="76">
        <f>SUMIFS('июль 2025'!$G$2:$G$2437,'июль 2025'!$D$2:$D$2437,$B85,'июль 2025'!$J$2:$J$2437,E$1)</f>
        <v>0</v>
      </c>
      <c r="F85" s="76">
        <f>SUMIFS('июль 2025'!$G$2:$G$2437,'июль 2025'!$D$2:$D$2437,$B85,'июль 2025'!$J$2:$J$2437,F$1)</f>
        <v>0</v>
      </c>
      <c r="G85" s="76">
        <f>SUMIFS('июль 2025'!$G$2:$G$2437,'июль 2025'!$D$2:$D$2437,$B85,'июль 2025'!$J$2:$J$2437,G$1)</f>
        <v>0</v>
      </c>
      <c r="H85" s="76">
        <f>SUMIFS('июль 2025'!$G$2:$G$2437,'июль 2025'!$D$2:$D$2437,$B85,'июль 2025'!$J$2:$J$2437,H$1)</f>
        <v>0</v>
      </c>
      <c r="I85" s="76">
        <f>SUMIFS('июль 2025'!$G$2:$G$2437,'июль 2025'!$D$2:$D$2437,$B85,'июль 2025'!$J$2:$J$2437,I$1)</f>
        <v>0</v>
      </c>
      <c r="J85" s="76">
        <f>SUMIFS('июль 2025'!$G$2:$G$2437,'июль 2025'!$D$2:$D$2437,$B85,'июль 2025'!$J$2:$J$2437,J$1)</f>
        <v>0</v>
      </c>
      <c r="K85" s="76">
        <f>SUMIFS('июль 2025'!$G$2:$G$2437,'июль 2025'!$D$2:$D$2437,$B85,'июль 2025'!$J$2:$J$2437,K$1)</f>
        <v>0</v>
      </c>
      <c r="L85" s="76">
        <f>SUMIFS('июль 2025'!$G$2:$G$2437,'июль 2025'!$D$2:$D$2437,$B85,'июль 2025'!$J$2:$J$2437,L$1)</f>
        <v>0</v>
      </c>
      <c r="M85" s="76">
        <f>SUMIFS('июль 2025'!$G$2:$G$2437,'июль 2025'!$D$2:$D$2437,$B85,'июль 2025'!$J$2:$J$2437,M$1)</f>
        <v>0</v>
      </c>
      <c r="N85" s="76">
        <f>SUMIFS('июль 2025'!$G$2:$G$2437,'июль 2025'!$D$2:$D$2437,$B85,'июль 2025'!$J$2:$J$2437,N$1)</f>
        <v>0</v>
      </c>
      <c r="O85" s="76">
        <f>SUMIFS('июль 2025'!$G$2:$G$2437,'июль 2025'!$D$2:$D$2437,$B85,'июль 2025'!$J$2:$J$2437,O$1)</f>
        <v>0</v>
      </c>
      <c r="P85" s="76">
        <f>SUMIFS('июль 2025'!$G$2:$G$2437,'июль 2025'!$D$2:$D$2437,$B85,'июль 2025'!$J$2:$J$2437,P$1)</f>
        <v>0</v>
      </c>
      <c r="Q85" s="76">
        <f>SUMIFS('июль 2025'!$G$2:$G$2437,'июль 2025'!$D$2:$D$2437,$B85,'июль 2025'!$J$2:$J$2437,Q$1)</f>
        <v>0</v>
      </c>
      <c r="R85" s="76">
        <f>SUMIFS('июль 2025'!$G$2:$G$2437,'июль 2025'!$D$2:$D$2437,$B85,'июль 2025'!$J$2:$J$2437,R$1)</f>
        <v>0</v>
      </c>
      <c r="S85" s="76">
        <f>SUMIFS('июль 2025'!$G$2:$G$2437,'июль 2025'!$D$2:$D$2437,$B85,'июль 2025'!$J$2:$J$2437,S$1)</f>
        <v>0</v>
      </c>
      <c r="T85" s="76">
        <f>SUMIFS('июль 2025'!$G$2:$G$2437,'июль 2025'!$D$2:$D$2437,$B85,'июль 2025'!$J$2:$J$2437,T$1)</f>
        <v>0</v>
      </c>
      <c r="U85" s="76">
        <f>SUMIFS('июль 2025'!$G$2:$G$2437,'июль 2025'!$D$2:$D$2437,$B85,'июль 2025'!$J$2:$J$2437,U$1)</f>
        <v>0</v>
      </c>
      <c r="V85" s="76">
        <f>SUMIFS('июль 2025'!$G$2:$G$2437,'июль 2025'!$D$2:$D$2437,$B85,'июль 2025'!$J$2:$J$2437,V$1)</f>
        <v>0</v>
      </c>
      <c r="W85" s="76">
        <f>SUMIFS('июль 2025'!$G$2:$G$2437,'июль 2025'!$D$2:$D$2437,$B85,'июль 2025'!$J$2:$J$2437,W$1)</f>
        <v>0</v>
      </c>
      <c r="X85" s="76">
        <f>SUMIFS('июль 2025'!$G$2:$G$2437,'июль 2025'!$D$2:$D$2437,$B85,'июль 2025'!$J$2:$J$2437,X$1)</f>
        <v>0</v>
      </c>
      <c r="Y85" s="76">
        <f>SUMIFS('июль 2025'!$G$2:$G$2437,'июль 2025'!$D$2:$D$2437,$B85,'июль 2025'!$J$2:$J$2437,Y$1)</f>
        <v>0</v>
      </c>
      <c r="Z85" s="76">
        <f>SUMIFS('июль 2025'!$G$2:$G$2437,'июль 2025'!$D$2:$D$2437,$B85,'июль 2025'!$J$2:$J$2437,Z$1)</f>
        <v>0</v>
      </c>
      <c r="AA85" s="76">
        <f>SUMIFS('июль 2025'!$G$2:$G$2437,'июль 2025'!$D$2:$D$2437,$B85,'июль 2025'!$J$2:$J$2437,AA$1)</f>
        <v>0</v>
      </c>
      <c r="AB85" s="76">
        <f>SUMIFS('июль 2025'!$G$2:$G$2437,'июль 2025'!$D$2:$D$2437,$B85,'июль 2025'!$J$2:$J$2437,AB$1)</f>
        <v>0</v>
      </c>
      <c r="AC85" s="76">
        <f>SUMIFS('июль 2025'!$G$2:$G$2437,'июль 2025'!$D$2:$D$2437,$B85,'июль 2025'!$J$2:$J$2437,AC$1)</f>
        <v>0</v>
      </c>
      <c r="AD85" s="76">
        <f>SUMIFS('июль 2025'!$G$2:$G$2437,'июль 2025'!$D$2:$D$2437,$B85,'июль 2025'!$J$2:$J$2437,AD$1)</f>
        <v>0</v>
      </c>
      <c r="AE85" s="76">
        <f>SUMIFS('июль 2025'!$G$2:$G$2437,'июль 2025'!$D$2:$D$2437,$B85,'июль 2025'!$J$2:$J$2437,AE$1)</f>
        <v>0</v>
      </c>
      <c r="AF85" s="76">
        <f>SUMIFS('июль 2025'!$G$2:$G$2437,'июль 2025'!$D$2:$D$2437,$B85,'июль 2025'!$J$2:$J$2437,AF$1)</f>
        <v>0</v>
      </c>
      <c r="AG85" s="76">
        <f>SUMIFS('июль 2025'!$G$2:$G$2437,'июль 2025'!$D$2:$D$2437,$B85,'июль 2025'!$J$2:$J$2437,AG$1)</f>
        <v>0</v>
      </c>
      <c r="AH85" s="76">
        <f>SUMIFS('июль 2025'!$G$2:$G$2437,'июль 2025'!$D$2:$D$2437,$B85,'июль 2025'!$J$2:$J$2437,AH$1)</f>
        <v>0</v>
      </c>
      <c r="AI85" s="20">
        <f t="shared" si="1"/>
        <v>0</v>
      </c>
    </row>
    <row r="86" spans="2:35" ht="15" customHeight="1" x14ac:dyDescent="0.25">
      <c r="B86" s="88" t="s">
        <v>375</v>
      </c>
      <c r="C86" s="86">
        <v>210</v>
      </c>
      <c r="D86" s="76">
        <f>SUMIFS('июль 2025'!$G$2:$G$2437,'июль 2025'!$D$2:$D$2437,$B86,'июль 2025'!$J$2:$J$2437,D$1)</f>
        <v>0</v>
      </c>
      <c r="E86" s="76">
        <f>SUMIFS('июль 2025'!$G$2:$G$2437,'июль 2025'!$D$2:$D$2437,$B86,'июль 2025'!$J$2:$J$2437,E$1)</f>
        <v>0</v>
      </c>
      <c r="F86" s="76">
        <f>SUMIFS('июль 2025'!$G$2:$G$2437,'июль 2025'!$D$2:$D$2437,$B86,'июль 2025'!$J$2:$J$2437,F$1)</f>
        <v>0</v>
      </c>
      <c r="G86" s="76">
        <f>SUMIFS('июль 2025'!$G$2:$G$2437,'июль 2025'!$D$2:$D$2437,$B86,'июль 2025'!$J$2:$J$2437,G$1)</f>
        <v>0</v>
      </c>
      <c r="H86" s="76">
        <f>SUMIFS('июль 2025'!$G$2:$G$2437,'июль 2025'!$D$2:$D$2437,$B86,'июль 2025'!$J$2:$J$2437,H$1)</f>
        <v>0</v>
      </c>
      <c r="I86" s="76">
        <f>SUMIFS('июль 2025'!$G$2:$G$2437,'июль 2025'!$D$2:$D$2437,$B86,'июль 2025'!$J$2:$J$2437,I$1)</f>
        <v>0</v>
      </c>
      <c r="J86" s="76">
        <f>SUMIFS('июль 2025'!$G$2:$G$2437,'июль 2025'!$D$2:$D$2437,$B86,'июль 2025'!$J$2:$J$2437,J$1)</f>
        <v>0</v>
      </c>
      <c r="K86" s="76">
        <f>SUMIFS('июль 2025'!$G$2:$G$2437,'июль 2025'!$D$2:$D$2437,$B86,'июль 2025'!$J$2:$J$2437,K$1)</f>
        <v>0</v>
      </c>
      <c r="L86" s="76">
        <f>SUMIFS('июль 2025'!$G$2:$G$2437,'июль 2025'!$D$2:$D$2437,$B86,'июль 2025'!$J$2:$J$2437,L$1)</f>
        <v>0</v>
      </c>
      <c r="M86" s="76">
        <f>SUMIFS('июль 2025'!$G$2:$G$2437,'июль 2025'!$D$2:$D$2437,$B86,'июль 2025'!$J$2:$J$2437,M$1)</f>
        <v>0</v>
      </c>
      <c r="N86" s="76">
        <f>SUMIFS('июль 2025'!$G$2:$G$2437,'июль 2025'!$D$2:$D$2437,$B86,'июль 2025'!$J$2:$J$2437,N$1)</f>
        <v>0</v>
      </c>
      <c r="O86" s="76">
        <f>SUMIFS('июль 2025'!$G$2:$G$2437,'июль 2025'!$D$2:$D$2437,$B86,'июль 2025'!$J$2:$J$2437,O$1)</f>
        <v>0</v>
      </c>
      <c r="P86" s="76">
        <f>SUMIFS('июль 2025'!$G$2:$G$2437,'июль 2025'!$D$2:$D$2437,$B86,'июль 2025'!$J$2:$J$2437,P$1)</f>
        <v>0</v>
      </c>
      <c r="Q86" s="76">
        <f>SUMIFS('июль 2025'!$G$2:$G$2437,'июль 2025'!$D$2:$D$2437,$B86,'июль 2025'!$J$2:$J$2437,Q$1)</f>
        <v>0</v>
      </c>
      <c r="R86" s="76">
        <f>SUMIFS('июль 2025'!$G$2:$G$2437,'июль 2025'!$D$2:$D$2437,$B86,'июль 2025'!$J$2:$J$2437,R$1)</f>
        <v>0</v>
      </c>
      <c r="S86" s="76">
        <f>SUMIFS('июль 2025'!$G$2:$G$2437,'июль 2025'!$D$2:$D$2437,$B86,'июль 2025'!$J$2:$J$2437,S$1)</f>
        <v>0</v>
      </c>
      <c r="T86" s="76">
        <f>SUMIFS('июль 2025'!$G$2:$G$2437,'июль 2025'!$D$2:$D$2437,$B86,'июль 2025'!$J$2:$J$2437,T$1)</f>
        <v>0</v>
      </c>
      <c r="U86" s="76">
        <f>SUMIFS('июль 2025'!$G$2:$G$2437,'июль 2025'!$D$2:$D$2437,$B86,'июль 2025'!$J$2:$J$2437,U$1)</f>
        <v>0</v>
      </c>
      <c r="V86" s="76">
        <f>SUMIFS('июль 2025'!$G$2:$G$2437,'июль 2025'!$D$2:$D$2437,$B86,'июль 2025'!$J$2:$J$2437,V$1)</f>
        <v>0</v>
      </c>
      <c r="W86" s="76">
        <f>SUMIFS('июль 2025'!$G$2:$G$2437,'июль 2025'!$D$2:$D$2437,$B86,'июль 2025'!$J$2:$J$2437,W$1)</f>
        <v>0</v>
      </c>
      <c r="X86" s="76">
        <f>SUMIFS('июль 2025'!$G$2:$G$2437,'июль 2025'!$D$2:$D$2437,$B86,'июль 2025'!$J$2:$J$2437,X$1)</f>
        <v>0</v>
      </c>
      <c r="Y86" s="76">
        <f>SUMIFS('июль 2025'!$G$2:$G$2437,'июль 2025'!$D$2:$D$2437,$B86,'июль 2025'!$J$2:$J$2437,Y$1)</f>
        <v>0</v>
      </c>
      <c r="Z86" s="76">
        <f>SUMIFS('июль 2025'!$G$2:$G$2437,'июль 2025'!$D$2:$D$2437,$B86,'июль 2025'!$J$2:$J$2437,Z$1)</f>
        <v>0</v>
      </c>
      <c r="AA86" s="76">
        <f>SUMIFS('июль 2025'!$G$2:$G$2437,'июль 2025'!$D$2:$D$2437,$B86,'июль 2025'!$J$2:$J$2437,AA$1)</f>
        <v>0</v>
      </c>
      <c r="AB86" s="76">
        <f>SUMIFS('июль 2025'!$G$2:$G$2437,'июль 2025'!$D$2:$D$2437,$B86,'июль 2025'!$J$2:$J$2437,AB$1)</f>
        <v>0</v>
      </c>
      <c r="AC86" s="76">
        <f>SUMIFS('июль 2025'!$G$2:$G$2437,'июль 2025'!$D$2:$D$2437,$B86,'июль 2025'!$J$2:$J$2437,AC$1)</f>
        <v>0</v>
      </c>
      <c r="AD86" s="76">
        <f>SUMIFS('июль 2025'!$G$2:$G$2437,'июль 2025'!$D$2:$D$2437,$B86,'июль 2025'!$J$2:$J$2437,AD$1)</f>
        <v>0</v>
      </c>
      <c r="AE86" s="76">
        <f>SUMIFS('июль 2025'!$G$2:$G$2437,'июль 2025'!$D$2:$D$2437,$B86,'июль 2025'!$J$2:$J$2437,AE$1)</f>
        <v>0</v>
      </c>
      <c r="AF86" s="76">
        <f>SUMIFS('июль 2025'!$G$2:$G$2437,'июль 2025'!$D$2:$D$2437,$B86,'июль 2025'!$J$2:$J$2437,AF$1)</f>
        <v>0</v>
      </c>
      <c r="AG86" s="76">
        <f>SUMIFS('июль 2025'!$G$2:$G$2437,'июль 2025'!$D$2:$D$2437,$B86,'июль 2025'!$J$2:$J$2437,AG$1)</f>
        <v>0</v>
      </c>
      <c r="AH86" s="76">
        <f>SUMIFS('июль 2025'!$G$2:$G$2437,'июль 2025'!$D$2:$D$2437,$B86,'июль 2025'!$J$2:$J$2437,AH$1)</f>
        <v>0</v>
      </c>
      <c r="AI86" s="20">
        <f t="shared" si="1"/>
        <v>0</v>
      </c>
    </row>
    <row r="87" spans="2:35" ht="15" customHeight="1" x14ac:dyDescent="0.25">
      <c r="B87" s="88" t="s">
        <v>1255</v>
      </c>
      <c r="C87" s="86">
        <v>1000</v>
      </c>
      <c r="D87" s="76">
        <f>SUMIFS('июль 2025'!$G$2:$G$2437,'июль 2025'!$D$2:$D$2437,$B87,'июль 2025'!$J$2:$J$2437,D$1)</f>
        <v>0</v>
      </c>
      <c r="E87" s="76">
        <f>SUMIFS('июль 2025'!$G$2:$G$2437,'июль 2025'!$D$2:$D$2437,$B87,'июль 2025'!$J$2:$J$2437,E$1)</f>
        <v>0</v>
      </c>
      <c r="F87" s="76">
        <f>SUMIFS('июль 2025'!$G$2:$G$2437,'июль 2025'!$D$2:$D$2437,$B87,'июль 2025'!$J$2:$J$2437,F$1)</f>
        <v>0</v>
      </c>
      <c r="G87" s="76">
        <f>SUMIFS('июль 2025'!$G$2:$G$2437,'июль 2025'!$D$2:$D$2437,$B87,'июль 2025'!$J$2:$J$2437,G$1)</f>
        <v>0</v>
      </c>
      <c r="H87" s="76">
        <f>SUMIFS('июль 2025'!$G$2:$G$2437,'июль 2025'!$D$2:$D$2437,$B87,'июль 2025'!$J$2:$J$2437,H$1)</f>
        <v>0</v>
      </c>
      <c r="I87" s="76">
        <f>SUMIFS('июль 2025'!$G$2:$G$2437,'июль 2025'!$D$2:$D$2437,$B87,'июль 2025'!$J$2:$J$2437,I$1)</f>
        <v>0</v>
      </c>
      <c r="J87" s="76">
        <f>SUMIFS('июль 2025'!$G$2:$G$2437,'июль 2025'!$D$2:$D$2437,$B87,'июль 2025'!$J$2:$J$2437,J$1)</f>
        <v>0</v>
      </c>
      <c r="K87" s="76">
        <f>SUMIFS('июль 2025'!$G$2:$G$2437,'июль 2025'!$D$2:$D$2437,$B87,'июль 2025'!$J$2:$J$2437,K$1)</f>
        <v>0</v>
      </c>
      <c r="L87" s="76">
        <f>SUMIFS('июль 2025'!$G$2:$G$2437,'июль 2025'!$D$2:$D$2437,$B87,'июль 2025'!$J$2:$J$2437,L$1)</f>
        <v>0</v>
      </c>
      <c r="M87" s="76">
        <f>SUMIFS('июль 2025'!$G$2:$G$2437,'июль 2025'!$D$2:$D$2437,$B87,'июль 2025'!$J$2:$J$2437,M$1)</f>
        <v>0</v>
      </c>
      <c r="N87" s="76">
        <f>SUMIFS('июль 2025'!$G$2:$G$2437,'июль 2025'!$D$2:$D$2437,$B87,'июль 2025'!$J$2:$J$2437,N$1)</f>
        <v>0</v>
      </c>
      <c r="O87" s="76">
        <f>SUMIFS('июль 2025'!$G$2:$G$2437,'июль 2025'!$D$2:$D$2437,$B87,'июль 2025'!$J$2:$J$2437,O$1)</f>
        <v>0</v>
      </c>
      <c r="P87" s="76">
        <f>SUMIFS('июль 2025'!$G$2:$G$2437,'июль 2025'!$D$2:$D$2437,$B87,'июль 2025'!$J$2:$J$2437,P$1)</f>
        <v>0</v>
      </c>
      <c r="Q87" s="76">
        <f>SUMIFS('июль 2025'!$G$2:$G$2437,'июль 2025'!$D$2:$D$2437,$B87,'июль 2025'!$J$2:$J$2437,Q$1)</f>
        <v>0</v>
      </c>
      <c r="R87" s="76">
        <f>SUMIFS('июль 2025'!$G$2:$G$2437,'июль 2025'!$D$2:$D$2437,$B87,'июль 2025'!$J$2:$J$2437,R$1)</f>
        <v>0</v>
      </c>
      <c r="S87" s="76">
        <f>SUMIFS('июль 2025'!$G$2:$G$2437,'июль 2025'!$D$2:$D$2437,$B87,'июль 2025'!$J$2:$J$2437,S$1)</f>
        <v>0</v>
      </c>
      <c r="T87" s="76">
        <f>SUMIFS('июль 2025'!$G$2:$G$2437,'июль 2025'!$D$2:$D$2437,$B87,'июль 2025'!$J$2:$J$2437,T$1)</f>
        <v>0</v>
      </c>
      <c r="U87" s="76">
        <f>SUMIFS('июль 2025'!$G$2:$G$2437,'июль 2025'!$D$2:$D$2437,$B87,'июль 2025'!$J$2:$J$2437,U$1)</f>
        <v>0</v>
      </c>
      <c r="V87" s="76">
        <f>SUMIFS('июль 2025'!$G$2:$G$2437,'июль 2025'!$D$2:$D$2437,$B87,'июль 2025'!$J$2:$J$2437,V$1)</f>
        <v>0</v>
      </c>
      <c r="W87" s="76">
        <f>SUMIFS('июль 2025'!$G$2:$G$2437,'июль 2025'!$D$2:$D$2437,$B87,'июль 2025'!$J$2:$J$2437,W$1)</f>
        <v>0</v>
      </c>
      <c r="X87" s="76">
        <f>SUMIFS('июль 2025'!$G$2:$G$2437,'июль 2025'!$D$2:$D$2437,$B87,'июль 2025'!$J$2:$J$2437,X$1)</f>
        <v>0</v>
      </c>
      <c r="Y87" s="76">
        <f>SUMIFS('июль 2025'!$G$2:$G$2437,'июль 2025'!$D$2:$D$2437,$B87,'июль 2025'!$J$2:$J$2437,Y$1)</f>
        <v>0</v>
      </c>
      <c r="Z87" s="76">
        <f>SUMIFS('июль 2025'!$G$2:$G$2437,'июль 2025'!$D$2:$D$2437,$B87,'июль 2025'!$J$2:$J$2437,Z$1)</f>
        <v>0</v>
      </c>
      <c r="AA87" s="76">
        <f>SUMIFS('июль 2025'!$G$2:$G$2437,'июль 2025'!$D$2:$D$2437,$B87,'июль 2025'!$J$2:$J$2437,AA$1)</f>
        <v>0</v>
      </c>
      <c r="AB87" s="76">
        <f>SUMIFS('июль 2025'!$G$2:$G$2437,'июль 2025'!$D$2:$D$2437,$B87,'июль 2025'!$J$2:$J$2437,AB$1)</f>
        <v>0</v>
      </c>
      <c r="AC87" s="76">
        <f>SUMIFS('июль 2025'!$G$2:$G$2437,'июль 2025'!$D$2:$D$2437,$B87,'июль 2025'!$J$2:$J$2437,AC$1)</f>
        <v>0</v>
      </c>
      <c r="AD87" s="76">
        <f>SUMIFS('июль 2025'!$G$2:$G$2437,'июль 2025'!$D$2:$D$2437,$B87,'июль 2025'!$J$2:$J$2437,AD$1)</f>
        <v>0</v>
      </c>
      <c r="AE87" s="76">
        <f>SUMIFS('июль 2025'!$G$2:$G$2437,'июль 2025'!$D$2:$D$2437,$B87,'июль 2025'!$J$2:$J$2437,AE$1)</f>
        <v>0</v>
      </c>
      <c r="AF87" s="76">
        <f>SUMIFS('июль 2025'!$G$2:$G$2437,'июль 2025'!$D$2:$D$2437,$B87,'июль 2025'!$J$2:$J$2437,AF$1)</f>
        <v>0</v>
      </c>
      <c r="AG87" s="76">
        <f>SUMIFS('июль 2025'!$G$2:$G$2437,'июль 2025'!$D$2:$D$2437,$B87,'июль 2025'!$J$2:$J$2437,AG$1)</f>
        <v>0</v>
      </c>
      <c r="AH87" s="76">
        <f>SUMIFS('июль 2025'!$G$2:$G$2437,'июль 2025'!$D$2:$D$2437,$B87,'июль 2025'!$J$2:$J$2437,AH$1)</f>
        <v>0</v>
      </c>
      <c r="AI87" s="20">
        <f t="shared" si="1"/>
        <v>0</v>
      </c>
    </row>
    <row r="88" spans="2:35" ht="15" customHeight="1" x14ac:dyDescent="0.25">
      <c r="B88" s="88" t="s">
        <v>257</v>
      </c>
      <c r="C88" s="86">
        <v>190</v>
      </c>
      <c r="D88" s="76">
        <f>SUMIFS('июль 2025'!$G$2:$G$2437,'июль 2025'!$D$2:$D$2437,$B88,'июль 2025'!$J$2:$J$2437,D$1)</f>
        <v>0</v>
      </c>
      <c r="E88" s="76">
        <f>SUMIFS('июль 2025'!$G$2:$G$2437,'июль 2025'!$D$2:$D$2437,$B88,'июль 2025'!$J$2:$J$2437,E$1)</f>
        <v>0</v>
      </c>
      <c r="F88" s="76">
        <f>SUMIFS('июль 2025'!$G$2:$G$2437,'июль 2025'!$D$2:$D$2437,$B88,'июль 2025'!$J$2:$J$2437,F$1)</f>
        <v>0</v>
      </c>
      <c r="G88" s="76">
        <f>SUMIFS('июль 2025'!$G$2:$G$2437,'июль 2025'!$D$2:$D$2437,$B88,'июль 2025'!$J$2:$J$2437,G$1)</f>
        <v>0</v>
      </c>
      <c r="H88" s="76">
        <f>SUMIFS('июль 2025'!$G$2:$G$2437,'июль 2025'!$D$2:$D$2437,$B88,'июль 2025'!$J$2:$J$2437,H$1)</f>
        <v>0</v>
      </c>
      <c r="I88" s="76">
        <f>SUMIFS('июль 2025'!$G$2:$G$2437,'июль 2025'!$D$2:$D$2437,$B88,'июль 2025'!$J$2:$J$2437,I$1)</f>
        <v>0</v>
      </c>
      <c r="J88" s="76">
        <f>SUMIFS('июль 2025'!$G$2:$G$2437,'июль 2025'!$D$2:$D$2437,$B88,'июль 2025'!$J$2:$J$2437,J$1)</f>
        <v>0</v>
      </c>
      <c r="K88" s="76">
        <f>SUMIFS('июль 2025'!$G$2:$G$2437,'июль 2025'!$D$2:$D$2437,$B88,'июль 2025'!$J$2:$J$2437,K$1)</f>
        <v>0</v>
      </c>
      <c r="L88" s="76">
        <f>SUMIFS('июль 2025'!$G$2:$G$2437,'июль 2025'!$D$2:$D$2437,$B88,'июль 2025'!$J$2:$J$2437,L$1)</f>
        <v>0</v>
      </c>
      <c r="M88" s="76">
        <f>SUMIFS('июль 2025'!$G$2:$G$2437,'июль 2025'!$D$2:$D$2437,$B88,'июль 2025'!$J$2:$J$2437,M$1)</f>
        <v>0</v>
      </c>
      <c r="N88" s="76">
        <f>SUMIFS('июль 2025'!$G$2:$G$2437,'июль 2025'!$D$2:$D$2437,$B88,'июль 2025'!$J$2:$J$2437,N$1)</f>
        <v>0</v>
      </c>
      <c r="O88" s="76">
        <f>SUMIFS('июль 2025'!$G$2:$G$2437,'июль 2025'!$D$2:$D$2437,$B88,'июль 2025'!$J$2:$J$2437,O$1)</f>
        <v>0</v>
      </c>
      <c r="P88" s="76">
        <f>SUMIFS('июль 2025'!$G$2:$G$2437,'июль 2025'!$D$2:$D$2437,$B88,'июль 2025'!$J$2:$J$2437,P$1)</f>
        <v>0</v>
      </c>
      <c r="Q88" s="76">
        <f>SUMIFS('июль 2025'!$G$2:$G$2437,'июль 2025'!$D$2:$D$2437,$B88,'июль 2025'!$J$2:$J$2437,Q$1)</f>
        <v>0</v>
      </c>
      <c r="R88" s="76">
        <f>SUMIFS('июль 2025'!$G$2:$G$2437,'июль 2025'!$D$2:$D$2437,$B88,'июль 2025'!$J$2:$J$2437,R$1)</f>
        <v>0</v>
      </c>
      <c r="S88" s="76">
        <f>SUMIFS('июль 2025'!$G$2:$G$2437,'июль 2025'!$D$2:$D$2437,$B88,'июль 2025'!$J$2:$J$2437,S$1)</f>
        <v>0</v>
      </c>
      <c r="T88" s="76">
        <f>SUMIFS('июль 2025'!$G$2:$G$2437,'июль 2025'!$D$2:$D$2437,$B88,'июль 2025'!$J$2:$J$2437,T$1)</f>
        <v>0</v>
      </c>
      <c r="U88" s="76">
        <f>SUMIFS('июль 2025'!$G$2:$G$2437,'июль 2025'!$D$2:$D$2437,$B88,'июль 2025'!$J$2:$J$2437,U$1)</f>
        <v>0</v>
      </c>
      <c r="V88" s="76">
        <f>SUMIFS('июль 2025'!$G$2:$G$2437,'июль 2025'!$D$2:$D$2437,$B88,'июль 2025'!$J$2:$J$2437,V$1)</f>
        <v>0</v>
      </c>
      <c r="W88" s="76">
        <f>SUMIFS('июль 2025'!$G$2:$G$2437,'июль 2025'!$D$2:$D$2437,$B88,'июль 2025'!$J$2:$J$2437,W$1)</f>
        <v>0</v>
      </c>
      <c r="X88" s="76">
        <f>SUMIFS('июль 2025'!$G$2:$G$2437,'июль 2025'!$D$2:$D$2437,$B88,'июль 2025'!$J$2:$J$2437,X$1)</f>
        <v>0</v>
      </c>
      <c r="Y88" s="76">
        <f>SUMIFS('июль 2025'!$G$2:$G$2437,'июль 2025'!$D$2:$D$2437,$B88,'июль 2025'!$J$2:$J$2437,Y$1)</f>
        <v>0</v>
      </c>
      <c r="Z88" s="76">
        <f>SUMIFS('июль 2025'!$G$2:$G$2437,'июль 2025'!$D$2:$D$2437,$B88,'июль 2025'!$J$2:$J$2437,Z$1)</f>
        <v>0</v>
      </c>
      <c r="AA88" s="76">
        <f>SUMIFS('июль 2025'!$G$2:$G$2437,'июль 2025'!$D$2:$D$2437,$B88,'июль 2025'!$J$2:$J$2437,AA$1)</f>
        <v>0</v>
      </c>
      <c r="AB88" s="76">
        <f>SUMIFS('июль 2025'!$G$2:$G$2437,'июль 2025'!$D$2:$D$2437,$B88,'июль 2025'!$J$2:$J$2437,AB$1)</f>
        <v>0</v>
      </c>
      <c r="AC88" s="76">
        <f>SUMIFS('июль 2025'!$G$2:$G$2437,'июль 2025'!$D$2:$D$2437,$B88,'июль 2025'!$J$2:$J$2437,AC$1)</f>
        <v>0</v>
      </c>
      <c r="AD88" s="76">
        <f>SUMIFS('июль 2025'!$G$2:$G$2437,'июль 2025'!$D$2:$D$2437,$B88,'июль 2025'!$J$2:$J$2437,AD$1)</f>
        <v>0</v>
      </c>
      <c r="AE88" s="76">
        <f>SUMIFS('июль 2025'!$G$2:$G$2437,'июль 2025'!$D$2:$D$2437,$B88,'июль 2025'!$J$2:$J$2437,AE$1)</f>
        <v>0</v>
      </c>
      <c r="AF88" s="76">
        <f>SUMIFS('июль 2025'!$G$2:$G$2437,'июль 2025'!$D$2:$D$2437,$B88,'июль 2025'!$J$2:$J$2437,AF$1)</f>
        <v>0</v>
      </c>
      <c r="AG88" s="76">
        <f>SUMIFS('июль 2025'!$G$2:$G$2437,'июль 2025'!$D$2:$D$2437,$B88,'июль 2025'!$J$2:$J$2437,AG$1)</f>
        <v>0</v>
      </c>
      <c r="AH88" s="76">
        <f>SUMIFS('июль 2025'!$G$2:$G$2437,'июль 2025'!$D$2:$D$2437,$B88,'июль 2025'!$J$2:$J$2437,AH$1)</f>
        <v>0</v>
      </c>
      <c r="AI88" s="20">
        <f t="shared" si="1"/>
        <v>0</v>
      </c>
    </row>
    <row r="89" spans="2:35" ht="15" customHeight="1" x14ac:dyDescent="0.25">
      <c r="B89" s="84" t="s">
        <v>1396</v>
      </c>
      <c r="C89" s="86">
        <v>180</v>
      </c>
      <c r="D89" s="76">
        <f>SUMIFS('июль 2025'!$G$2:$G$2437,'июль 2025'!$D$2:$D$2437,$B89,'июль 2025'!$J$2:$J$2437,D$1)</f>
        <v>0</v>
      </c>
      <c r="E89" s="76">
        <f>SUMIFS('июль 2025'!$G$2:$G$2437,'июль 2025'!$D$2:$D$2437,$B89,'июль 2025'!$J$2:$J$2437,E$1)</f>
        <v>0</v>
      </c>
      <c r="F89" s="76">
        <f>SUMIFS('июль 2025'!$G$2:$G$2437,'июль 2025'!$D$2:$D$2437,$B89,'июль 2025'!$J$2:$J$2437,F$1)</f>
        <v>0</v>
      </c>
      <c r="G89" s="76">
        <f>SUMIFS('июль 2025'!$G$2:$G$2437,'июль 2025'!$D$2:$D$2437,$B89,'июль 2025'!$J$2:$J$2437,G$1)</f>
        <v>0</v>
      </c>
      <c r="H89" s="76">
        <f>SUMIFS('июль 2025'!$G$2:$G$2437,'июль 2025'!$D$2:$D$2437,$B89,'июль 2025'!$J$2:$J$2437,H$1)</f>
        <v>0</v>
      </c>
      <c r="I89" s="76">
        <f>SUMIFS('июль 2025'!$G$2:$G$2437,'июль 2025'!$D$2:$D$2437,$B89,'июль 2025'!$J$2:$J$2437,I$1)</f>
        <v>0</v>
      </c>
      <c r="J89" s="76">
        <f>SUMIFS('июль 2025'!$G$2:$G$2437,'июль 2025'!$D$2:$D$2437,$B89,'июль 2025'!$J$2:$J$2437,J$1)</f>
        <v>0</v>
      </c>
      <c r="K89" s="76">
        <f>SUMIFS('июль 2025'!$G$2:$G$2437,'июль 2025'!$D$2:$D$2437,$B89,'июль 2025'!$J$2:$J$2437,K$1)</f>
        <v>0</v>
      </c>
      <c r="L89" s="76">
        <f>SUMIFS('июль 2025'!$G$2:$G$2437,'июль 2025'!$D$2:$D$2437,$B89,'июль 2025'!$J$2:$J$2437,L$1)</f>
        <v>0</v>
      </c>
      <c r="M89" s="76">
        <f>SUMIFS('июль 2025'!$G$2:$G$2437,'июль 2025'!$D$2:$D$2437,$B89,'июль 2025'!$J$2:$J$2437,M$1)</f>
        <v>0</v>
      </c>
      <c r="N89" s="76">
        <f>SUMIFS('июль 2025'!$G$2:$G$2437,'июль 2025'!$D$2:$D$2437,$B89,'июль 2025'!$J$2:$J$2437,N$1)</f>
        <v>0</v>
      </c>
      <c r="O89" s="76">
        <f>SUMIFS('июль 2025'!$G$2:$G$2437,'июль 2025'!$D$2:$D$2437,$B89,'июль 2025'!$J$2:$J$2437,O$1)</f>
        <v>0</v>
      </c>
      <c r="P89" s="76">
        <f>SUMIFS('июль 2025'!$G$2:$G$2437,'июль 2025'!$D$2:$D$2437,$B89,'июль 2025'!$J$2:$J$2437,P$1)</f>
        <v>0</v>
      </c>
      <c r="Q89" s="76">
        <f>SUMIFS('июль 2025'!$G$2:$G$2437,'июль 2025'!$D$2:$D$2437,$B89,'июль 2025'!$J$2:$J$2437,Q$1)</f>
        <v>0</v>
      </c>
      <c r="R89" s="76">
        <f>SUMIFS('июль 2025'!$G$2:$G$2437,'июль 2025'!$D$2:$D$2437,$B89,'июль 2025'!$J$2:$J$2437,R$1)</f>
        <v>0</v>
      </c>
      <c r="S89" s="76">
        <f>SUMIFS('июль 2025'!$G$2:$G$2437,'июль 2025'!$D$2:$D$2437,$B89,'июль 2025'!$J$2:$J$2437,S$1)</f>
        <v>0</v>
      </c>
      <c r="T89" s="76">
        <f>SUMIFS('июль 2025'!$G$2:$G$2437,'июль 2025'!$D$2:$D$2437,$B89,'июль 2025'!$J$2:$J$2437,T$1)</f>
        <v>0</v>
      </c>
      <c r="U89" s="76">
        <f>SUMIFS('июль 2025'!$G$2:$G$2437,'июль 2025'!$D$2:$D$2437,$B89,'июль 2025'!$J$2:$J$2437,U$1)</f>
        <v>0</v>
      </c>
      <c r="V89" s="76">
        <f>SUMIFS('июль 2025'!$G$2:$G$2437,'июль 2025'!$D$2:$D$2437,$B89,'июль 2025'!$J$2:$J$2437,V$1)</f>
        <v>0</v>
      </c>
      <c r="W89" s="76">
        <f>SUMIFS('июль 2025'!$G$2:$G$2437,'июль 2025'!$D$2:$D$2437,$B89,'июль 2025'!$J$2:$J$2437,W$1)</f>
        <v>0</v>
      </c>
      <c r="X89" s="76">
        <f>SUMIFS('июль 2025'!$G$2:$G$2437,'июль 2025'!$D$2:$D$2437,$B89,'июль 2025'!$J$2:$J$2437,X$1)</f>
        <v>0</v>
      </c>
      <c r="Y89" s="76">
        <f>SUMIFS('июль 2025'!$G$2:$G$2437,'июль 2025'!$D$2:$D$2437,$B89,'июль 2025'!$J$2:$J$2437,Y$1)</f>
        <v>0</v>
      </c>
      <c r="Z89" s="76">
        <f>SUMIFS('июль 2025'!$G$2:$G$2437,'июль 2025'!$D$2:$D$2437,$B89,'июль 2025'!$J$2:$J$2437,Z$1)</f>
        <v>0</v>
      </c>
      <c r="AA89" s="76">
        <f>SUMIFS('июль 2025'!$G$2:$G$2437,'июль 2025'!$D$2:$D$2437,$B89,'июль 2025'!$J$2:$J$2437,AA$1)</f>
        <v>0</v>
      </c>
      <c r="AB89" s="76">
        <f>SUMIFS('июль 2025'!$G$2:$G$2437,'июль 2025'!$D$2:$D$2437,$B89,'июль 2025'!$J$2:$J$2437,AB$1)</f>
        <v>0</v>
      </c>
      <c r="AC89" s="76">
        <f>SUMIFS('июль 2025'!$G$2:$G$2437,'июль 2025'!$D$2:$D$2437,$B89,'июль 2025'!$J$2:$J$2437,AC$1)</f>
        <v>0</v>
      </c>
      <c r="AD89" s="76">
        <f>SUMIFS('июль 2025'!$G$2:$G$2437,'июль 2025'!$D$2:$D$2437,$B89,'июль 2025'!$J$2:$J$2437,AD$1)</f>
        <v>0</v>
      </c>
      <c r="AE89" s="76">
        <f>SUMIFS('июль 2025'!$G$2:$G$2437,'июль 2025'!$D$2:$D$2437,$B89,'июль 2025'!$J$2:$J$2437,AE$1)</f>
        <v>0</v>
      </c>
      <c r="AF89" s="76">
        <f>SUMIFS('июль 2025'!$G$2:$G$2437,'июль 2025'!$D$2:$D$2437,$B89,'июль 2025'!$J$2:$J$2437,AF$1)</f>
        <v>0</v>
      </c>
      <c r="AG89" s="76">
        <f>SUMIFS('июль 2025'!$G$2:$G$2437,'июль 2025'!$D$2:$D$2437,$B89,'июль 2025'!$J$2:$J$2437,AG$1)</f>
        <v>0</v>
      </c>
      <c r="AH89" s="76">
        <f>SUMIFS('июль 2025'!$G$2:$G$2437,'июль 2025'!$D$2:$D$2437,$B89,'июль 2025'!$J$2:$J$2437,AH$1)</f>
        <v>0</v>
      </c>
      <c r="AI89" s="20">
        <f t="shared" si="1"/>
        <v>0</v>
      </c>
    </row>
    <row r="90" spans="2:35" ht="15" customHeight="1" x14ac:dyDescent="0.25">
      <c r="B90" s="84" t="s">
        <v>189</v>
      </c>
      <c r="C90" s="83">
        <v>180</v>
      </c>
      <c r="D90" s="76">
        <f>SUMIFS('июль 2025'!$G$2:$G$2437,'июль 2025'!$D$2:$D$2437,$B90,'июль 2025'!$J$2:$J$2437,D$1)</f>
        <v>0</v>
      </c>
      <c r="E90" s="76">
        <f>SUMIFS('июль 2025'!$G$2:$G$2437,'июль 2025'!$D$2:$D$2437,$B90,'июль 2025'!$J$2:$J$2437,E$1)</f>
        <v>0</v>
      </c>
      <c r="F90" s="76">
        <f>SUMIFS('июль 2025'!$G$2:$G$2437,'июль 2025'!$D$2:$D$2437,$B90,'июль 2025'!$J$2:$J$2437,F$1)</f>
        <v>0</v>
      </c>
      <c r="G90" s="76">
        <f>SUMIFS('июль 2025'!$G$2:$G$2437,'июль 2025'!$D$2:$D$2437,$B90,'июль 2025'!$J$2:$J$2437,G$1)</f>
        <v>0</v>
      </c>
      <c r="H90" s="76">
        <f>SUMIFS('июль 2025'!$G$2:$G$2437,'июль 2025'!$D$2:$D$2437,$B90,'июль 2025'!$J$2:$J$2437,H$1)</f>
        <v>0</v>
      </c>
      <c r="I90" s="76">
        <f>SUMIFS('июль 2025'!$G$2:$G$2437,'июль 2025'!$D$2:$D$2437,$B90,'июль 2025'!$J$2:$J$2437,I$1)</f>
        <v>0</v>
      </c>
      <c r="J90" s="76">
        <f>SUMIFS('июль 2025'!$G$2:$G$2437,'июль 2025'!$D$2:$D$2437,$B90,'июль 2025'!$J$2:$J$2437,J$1)</f>
        <v>0</v>
      </c>
      <c r="K90" s="76">
        <f>SUMIFS('июль 2025'!$G$2:$G$2437,'июль 2025'!$D$2:$D$2437,$B90,'июль 2025'!$J$2:$J$2437,K$1)</f>
        <v>0</v>
      </c>
      <c r="L90" s="76">
        <f>SUMIFS('июль 2025'!$G$2:$G$2437,'июль 2025'!$D$2:$D$2437,$B90,'июль 2025'!$J$2:$J$2437,L$1)</f>
        <v>0</v>
      </c>
      <c r="M90" s="76">
        <f>SUMIFS('июль 2025'!$G$2:$G$2437,'июль 2025'!$D$2:$D$2437,$B90,'июль 2025'!$J$2:$J$2437,M$1)</f>
        <v>0</v>
      </c>
      <c r="N90" s="76">
        <f>SUMIFS('июль 2025'!$G$2:$G$2437,'июль 2025'!$D$2:$D$2437,$B90,'июль 2025'!$J$2:$J$2437,N$1)</f>
        <v>0</v>
      </c>
      <c r="O90" s="76">
        <f>SUMIFS('июль 2025'!$G$2:$G$2437,'июль 2025'!$D$2:$D$2437,$B90,'июль 2025'!$J$2:$J$2437,O$1)</f>
        <v>0</v>
      </c>
      <c r="P90" s="76">
        <f>SUMIFS('июль 2025'!$G$2:$G$2437,'июль 2025'!$D$2:$D$2437,$B90,'июль 2025'!$J$2:$J$2437,P$1)</f>
        <v>0</v>
      </c>
      <c r="Q90" s="76">
        <f>SUMIFS('июль 2025'!$G$2:$G$2437,'июль 2025'!$D$2:$D$2437,$B90,'июль 2025'!$J$2:$J$2437,Q$1)</f>
        <v>0</v>
      </c>
      <c r="R90" s="76">
        <f>SUMIFS('июль 2025'!$G$2:$G$2437,'июль 2025'!$D$2:$D$2437,$B90,'июль 2025'!$J$2:$J$2437,R$1)</f>
        <v>0</v>
      </c>
      <c r="S90" s="76">
        <f>SUMIFS('июль 2025'!$G$2:$G$2437,'июль 2025'!$D$2:$D$2437,$B90,'июль 2025'!$J$2:$J$2437,S$1)</f>
        <v>0</v>
      </c>
      <c r="T90" s="76">
        <f>SUMIFS('июль 2025'!$G$2:$G$2437,'июль 2025'!$D$2:$D$2437,$B90,'июль 2025'!$J$2:$J$2437,T$1)</f>
        <v>0</v>
      </c>
      <c r="U90" s="76">
        <f>SUMIFS('июль 2025'!$G$2:$G$2437,'июль 2025'!$D$2:$D$2437,$B90,'июль 2025'!$J$2:$J$2437,U$1)</f>
        <v>0</v>
      </c>
      <c r="V90" s="76">
        <f>SUMIFS('июль 2025'!$G$2:$G$2437,'июль 2025'!$D$2:$D$2437,$B90,'июль 2025'!$J$2:$J$2437,V$1)</f>
        <v>0</v>
      </c>
      <c r="W90" s="76">
        <f>SUMIFS('июль 2025'!$G$2:$G$2437,'июль 2025'!$D$2:$D$2437,$B90,'июль 2025'!$J$2:$J$2437,W$1)</f>
        <v>0</v>
      </c>
      <c r="X90" s="76">
        <f>SUMIFS('июль 2025'!$G$2:$G$2437,'июль 2025'!$D$2:$D$2437,$B90,'июль 2025'!$J$2:$J$2437,X$1)</f>
        <v>0</v>
      </c>
      <c r="Y90" s="76">
        <f>SUMIFS('июль 2025'!$G$2:$G$2437,'июль 2025'!$D$2:$D$2437,$B90,'июль 2025'!$J$2:$J$2437,Y$1)</f>
        <v>0</v>
      </c>
      <c r="Z90" s="76">
        <f>SUMIFS('июль 2025'!$G$2:$G$2437,'июль 2025'!$D$2:$D$2437,$B90,'июль 2025'!$J$2:$J$2437,Z$1)</f>
        <v>0</v>
      </c>
      <c r="AA90" s="76">
        <f>SUMIFS('июль 2025'!$G$2:$G$2437,'июль 2025'!$D$2:$D$2437,$B90,'июль 2025'!$J$2:$J$2437,AA$1)</f>
        <v>0</v>
      </c>
      <c r="AB90" s="76">
        <f>SUMIFS('июль 2025'!$G$2:$G$2437,'июль 2025'!$D$2:$D$2437,$B90,'июль 2025'!$J$2:$J$2437,AB$1)</f>
        <v>0</v>
      </c>
      <c r="AC90" s="76">
        <f>SUMIFS('июль 2025'!$G$2:$G$2437,'июль 2025'!$D$2:$D$2437,$B90,'июль 2025'!$J$2:$J$2437,AC$1)</f>
        <v>0</v>
      </c>
      <c r="AD90" s="76">
        <f>SUMIFS('июль 2025'!$G$2:$G$2437,'июль 2025'!$D$2:$D$2437,$B90,'июль 2025'!$J$2:$J$2437,AD$1)</f>
        <v>0</v>
      </c>
      <c r="AE90" s="76">
        <f>SUMIFS('июль 2025'!$G$2:$G$2437,'июль 2025'!$D$2:$D$2437,$B90,'июль 2025'!$J$2:$J$2437,AE$1)</f>
        <v>0</v>
      </c>
      <c r="AF90" s="76">
        <f>SUMIFS('июль 2025'!$G$2:$G$2437,'июль 2025'!$D$2:$D$2437,$B90,'июль 2025'!$J$2:$J$2437,AF$1)</f>
        <v>0</v>
      </c>
      <c r="AG90" s="76">
        <f>SUMIFS('июль 2025'!$G$2:$G$2437,'июль 2025'!$D$2:$D$2437,$B90,'июль 2025'!$J$2:$J$2437,AG$1)</f>
        <v>0</v>
      </c>
      <c r="AH90" s="76">
        <f>SUMIFS('июль 2025'!$G$2:$G$2437,'июль 2025'!$D$2:$D$2437,$B90,'июль 2025'!$J$2:$J$2437,AH$1)</f>
        <v>0</v>
      </c>
      <c r="AI90" s="20">
        <f t="shared" si="1"/>
        <v>0</v>
      </c>
    </row>
    <row r="91" spans="2:35" ht="15" customHeight="1" x14ac:dyDescent="0.25">
      <c r="B91" s="88" t="s">
        <v>190</v>
      </c>
      <c r="C91" s="86">
        <v>190</v>
      </c>
      <c r="D91" s="76">
        <f>SUMIFS('июль 2025'!$G$2:$G$2437,'июль 2025'!$D$2:$D$2437,$B91,'июль 2025'!$J$2:$J$2437,D$1)</f>
        <v>0</v>
      </c>
      <c r="E91" s="76">
        <f>SUMIFS('июль 2025'!$G$2:$G$2437,'июль 2025'!$D$2:$D$2437,$B91,'июль 2025'!$J$2:$J$2437,E$1)</f>
        <v>0</v>
      </c>
      <c r="F91" s="76">
        <f>SUMIFS('июль 2025'!$G$2:$G$2437,'июль 2025'!$D$2:$D$2437,$B91,'июль 2025'!$J$2:$J$2437,F$1)</f>
        <v>0</v>
      </c>
      <c r="G91" s="76">
        <f>SUMIFS('июль 2025'!$G$2:$G$2437,'июль 2025'!$D$2:$D$2437,$B91,'июль 2025'!$J$2:$J$2437,G$1)</f>
        <v>0</v>
      </c>
      <c r="H91" s="76">
        <f>SUMIFS('июль 2025'!$G$2:$G$2437,'июль 2025'!$D$2:$D$2437,$B91,'июль 2025'!$J$2:$J$2437,H$1)</f>
        <v>0</v>
      </c>
      <c r="I91" s="76">
        <f>SUMIFS('июль 2025'!$G$2:$G$2437,'июль 2025'!$D$2:$D$2437,$B91,'июль 2025'!$J$2:$J$2437,I$1)</f>
        <v>0</v>
      </c>
      <c r="J91" s="76">
        <f>SUMIFS('июль 2025'!$G$2:$G$2437,'июль 2025'!$D$2:$D$2437,$B91,'июль 2025'!$J$2:$J$2437,J$1)</f>
        <v>0</v>
      </c>
      <c r="K91" s="76">
        <f>SUMIFS('июль 2025'!$G$2:$G$2437,'июль 2025'!$D$2:$D$2437,$B91,'июль 2025'!$J$2:$J$2437,K$1)</f>
        <v>0</v>
      </c>
      <c r="L91" s="76">
        <f>SUMIFS('июль 2025'!$G$2:$G$2437,'июль 2025'!$D$2:$D$2437,$B91,'июль 2025'!$J$2:$J$2437,L$1)</f>
        <v>0</v>
      </c>
      <c r="M91" s="76">
        <f>SUMIFS('июль 2025'!$G$2:$G$2437,'июль 2025'!$D$2:$D$2437,$B91,'июль 2025'!$J$2:$J$2437,M$1)</f>
        <v>0</v>
      </c>
      <c r="N91" s="76">
        <f>SUMIFS('июль 2025'!$G$2:$G$2437,'июль 2025'!$D$2:$D$2437,$B91,'июль 2025'!$J$2:$J$2437,N$1)</f>
        <v>0</v>
      </c>
      <c r="O91" s="76">
        <f>SUMIFS('июль 2025'!$G$2:$G$2437,'июль 2025'!$D$2:$D$2437,$B91,'июль 2025'!$J$2:$J$2437,O$1)</f>
        <v>0</v>
      </c>
      <c r="P91" s="76">
        <f>SUMIFS('июль 2025'!$G$2:$G$2437,'июль 2025'!$D$2:$D$2437,$B91,'июль 2025'!$J$2:$J$2437,P$1)</f>
        <v>0</v>
      </c>
      <c r="Q91" s="76">
        <f>SUMIFS('июль 2025'!$G$2:$G$2437,'июль 2025'!$D$2:$D$2437,$B91,'июль 2025'!$J$2:$J$2437,Q$1)</f>
        <v>0</v>
      </c>
      <c r="R91" s="76">
        <f>SUMIFS('июль 2025'!$G$2:$G$2437,'июль 2025'!$D$2:$D$2437,$B91,'июль 2025'!$J$2:$J$2437,R$1)</f>
        <v>0</v>
      </c>
      <c r="S91" s="76">
        <f>SUMIFS('июль 2025'!$G$2:$G$2437,'июль 2025'!$D$2:$D$2437,$B91,'июль 2025'!$J$2:$J$2437,S$1)</f>
        <v>0</v>
      </c>
      <c r="T91" s="76">
        <f>SUMIFS('июль 2025'!$G$2:$G$2437,'июль 2025'!$D$2:$D$2437,$B91,'июль 2025'!$J$2:$J$2437,T$1)</f>
        <v>0</v>
      </c>
      <c r="U91" s="76">
        <f>SUMIFS('июль 2025'!$G$2:$G$2437,'июль 2025'!$D$2:$D$2437,$B91,'июль 2025'!$J$2:$J$2437,U$1)</f>
        <v>0</v>
      </c>
      <c r="V91" s="76">
        <f>SUMIFS('июль 2025'!$G$2:$G$2437,'июль 2025'!$D$2:$D$2437,$B91,'июль 2025'!$J$2:$J$2437,V$1)</f>
        <v>0</v>
      </c>
      <c r="W91" s="76">
        <f>SUMIFS('июль 2025'!$G$2:$G$2437,'июль 2025'!$D$2:$D$2437,$B91,'июль 2025'!$J$2:$J$2437,W$1)</f>
        <v>0</v>
      </c>
      <c r="X91" s="76">
        <f>SUMIFS('июль 2025'!$G$2:$G$2437,'июль 2025'!$D$2:$D$2437,$B91,'июль 2025'!$J$2:$J$2437,X$1)</f>
        <v>0</v>
      </c>
      <c r="Y91" s="76">
        <f>SUMIFS('июль 2025'!$G$2:$G$2437,'июль 2025'!$D$2:$D$2437,$B91,'июль 2025'!$J$2:$J$2437,Y$1)</f>
        <v>0</v>
      </c>
      <c r="Z91" s="76">
        <f>SUMIFS('июль 2025'!$G$2:$G$2437,'июль 2025'!$D$2:$D$2437,$B91,'июль 2025'!$J$2:$J$2437,Z$1)</f>
        <v>0</v>
      </c>
      <c r="AA91" s="76">
        <f>SUMIFS('июль 2025'!$G$2:$G$2437,'июль 2025'!$D$2:$D$2437,$B91,'июль 2025'!$J$2:$J$2437,AA$1)</f>
        <v>0</v>
      </c>
      <c r="AB91" s="76">
        <f>SUMIFS('июль 2025'!$G$2:$G$2437,'июль 2025'!$D$2:$D$2437,$B91,'июль 2025'!$J$2:$J$2437,AB$1)</f>
        <v>0</v>
      </c>
      <c r="AC91" s="76">
        <f>SUMIFS('июль 2025'!$G$2:$G$2437,'июль 2025'!$D$2:$D$2437,$B91,'июль 2025'!$J$2:$J$2437,AC$1)</f>
        <v>0</v>
      </c>
      <c r="AD91" s="76">
        <f>SUMIFS('июль 2025'!$G$2:$G$2437,'июль 2025'!$D$2:$D$2437,$B91,'июль 2025'!$J$2:$J$2437,AD$1)</f>
        <v>0</v>
      </c>
      <c r="AE91" s="76">
        <f>SUMIFS('июль 2025'!$G$2:$G$2437,'июль 2025'!$D$2:$D$2437,$B91,'июль 2025'!$J$2:$J$2437,AE$1)</f>
        <v>0</v>
      </c>
      <c r="AF91" s="76">
        <f>SUMIFS('июль 2025'!$G$2:$G$2437,'июль 2025'!$D$2:$D$2437,$B91,'июль 2025'!$J$2:$J$2437,AF$1)</f>
        <v>0</v>
      </c>
      <c r="AG91" s="76">
        <f>SUMIFS('июль 2025'!$G$2:$G$2437,'июль 2025'!$D$2:$D$2437,$B91,'июль 2025'!$J$2:$J$2437,AG$1)</f>
        <v>0</v>
      </c>
      <c r="AH91" s="76">
        <f>SUMIFS('июль 2025'!$G$2:$G$2437,'июль 2025'!$D$2:$D$2437,$B91,'июль 2025'!$J$2:$J$2437,AH$1)</f>
        <v>0</v>
      </c>
      <c r="AI91" s="20">
        <f t="shared" si="1"/>
        <v>0</v>
      </c>
    </row>
    <row r="92" spans="2:35" ht="15" customHeight="1" x14ac:dyDescent="0.25">
      <c r="B92" s="88" t="s">
        <v>191</v>
      </c>
      <c r="C92" s="86">
        <v>190</v>
      </c>
      <c r="D92" s="76">
        <f>SUMIFS('июль 2025'!$G$2:$G$2437,'июль 2025'!$D$2:$D$2437,$B92,'июль 2025'!$J$2:$J$2437,D$1)</f>
        <v>0</v>
      </c>
      <c r="E92" s="76">
        <f>SUMIFS('июль 2025'!$G$2:$G$2437,'июль 2025'!$D$2:$D$2437,$B92,'июль 2025'!$J$2:$J$2437,E$1)</f>
        <v>0</v>
      </c>
      <c r="F92" s="76">
        <f>SUMIFS('июль 2025'!$G$2:$G$2437,'июль 2025'!$D$2:$D$2437,$B92,'июль 2025'!$J$2:$J$2437,F$1)</f>
        <v>0</v>
      </c>
      <c r="G92" s="76">
        <f>SUMIFS('июль 2025'!$G$2:$G$2437,'июль 2025'!$D$2:$D$2437,$B92,'июль 2025'!$J$2:$J$2437,G$1)</f>
        <v>0</v>
      </c>
      <c r="H92" s="76">
        <f>SUMIFS('июль 2025'!$G$2:$G$2437,'июль 2025'!$D$2:$D$2437,$B92,'июль 2025'!$J$2:$J$2437,H$1)</f>
        <v>0</v>
      </c>
      <c r="I92" s="76">
        <f>SUMIFS('июль 2025'!$G$2:$G$2437,'июль 2025'!$D$2:$D$2437,$B92,'июль 2025'!$J$2:$J$2437,I$1)</f>
        <v>0</v>
      </c>
      <c r="J92" s="76">
        <f>SUMIFS('июль 2025'!$G$2:$G$2437,'июль 2025'!$D$2:$D$2437,$B92,'июль 2025'!$J$2:$J$2437,J$1)</f>
        <v>0</v>
      </c>
      <c r="K92" s="76">
        <f>SUMIFS('июль 2025'!$G$2:$G$2437,'июль 2025'!$D$2:$D$2437,$B92,'июль 2025'!$J$2:$J$2437,K$1)</f>
        <v>0</v>
      </c>
      <c r="L92" s="76">
        <f>SUMIFS('июль 2025'!$G$2:$G$2437,'июль 2025'!$D$2:$D$2437,$B92,'июль 2025'!$J$2:$J$2437,L$1)</f>
        <v>0</v>
      </c>
      <c r="M92" s="76">
        <f>SUMIFS('июль 2025'!$G$2:$G$2437,'июль 2025'!$D$2:$D$2437,$B92,'июль 2025'!$J$2:$J$2437,M$1)</f>
        <v>0</v>
      </c>
      <c r="N92" s="76">
        <f>SUMIFS('июль 2025'!$G$2:$G$2437,'июль 2025'!$D$2:$D$2437,$B92,'июль 2025'!$J$2:$J$2437,N$1)</f>
        <v>0</v>
      </c>
      <c r="O92" s="76">
        <f>SUMIFS('июль 2025'!$G$2:$G$2437,'июль 2025'!$D$2:$D$2437,$B92,'июль 2025'!$J$2:$J$2437,O$1)</f>
        <v>0</v>
      </c>
      <c r="P92" s="76">
        <f>SUMIFS('июль 2025'!$G$2:$G$2437,'июль 2025'!$D$2:$D$2437,$B92,'июль 2025'!$J$2:$J$2437,P$1)</f>
        <v>0</v>
      </c>
      <c r="Q92" s="76">
        <f>SUMIFS('июль 2025'!$G$2:$G$2437,'июль 2025'!$D$2:$D$2437,$B92,'июль 2025'!$J$2:$J$2437,Q$1)</f>
        <v>0</v>
      </c>
      <c r="R92" s="76">
        <f>SUMIFS('июль 2025'!$G$2:$G$2437,'июль 2025'!$D$2:$D$2437,$B92,'июль 2025'!$J$2:$J$2437,R$1)</f>
        <v>0</v>
      </c>
      <c r="S92" s="76">
        <f>SUMIFS('июль 2025'!$G$2:$G$2437,'июль 2025'!$D$2:$D$2437,$B92,'июль 2025'!$J$2:$J$2437,S$1)</f>
        <v>0</v>
      </c>
      <c r="T92" s="76">
        <f>SUMIFS('июль 2025'!$G$2:$G$2437,'июль 2025'!$D$2:$D$2437,$B92,'июль 2025'!$J$2:$J$2437,T$1)</f>
        <v>0</v>
      </c>
      <c r="U92" s="76">
        <f>SUMIFS('июль 2025'!$G$2:$G$2437,'июль 2025'!$D$2:$D$2437,$B92,'июль 2025'!$J$2:$J$2437,U$1)</f>
        <v>0</v>
      </c>
      <c r="V92" s="76">
        <f>SUMIFS('июль 2025'!$G$2:$G$2437,'июль 2025'!$D$2:$D$2437,$B92,'июль 2025'!$J$2:$J$2437,V$1)</f>
        <v>0</v>
      </c>
      <c r="W92" s="76">
        <f>SUMIFS('июль 2025'!$G$2:$G$2437,'июль 2025'!$D$2:$D$2437,$B92,'июль 2025'!$J$2:$J$2437,W$1)</f>
        <v>0</v>
      </c>
      <c r="X92" s="76">
        <f>SUMIFS('июль 2025'!$G$2:$G$2437,'июль 2025'!$D$2:$D$2437,$B92,'июль 2025'!$J$2:$J$2437,X$1)</f>
        <v>0</v>
      </c>
      <c r="Y92" s="76">
        <f>SUMIFS('июль 2025'!$G$2:$G$2437,'июль 2025'!$D$2:$D$2437,$B92,'июль 2025'!$J$2:$J$2437,Y$1)</f>
        <v>0</v>
      </c>
      <c r="Z92" s="76">
        <f>SUMIFS('июль 2025'!$G$2:$G$2437,'июль 2025'!$D$2:$D$2437,$B92,'июль 2025'!$J$2:$J$2437,Z$1)</f>
        <v>0</v>
      </c>
      <c r="AA92" s="76">
        <f>SUMIFS('июль 2025'!$G$2:$G$2437,'июль 2025'!$D$2:$D$2437,$B92,'июль 2025'!$J$2:$J$2437,AA$1)</f>
        <v>0</v>
      </c>
      <c r="AB92" s="76">
        <f>SUMIFS('июль 2025'!$G$2:$G$2437,'июль 2025'!$D$2:$D$2437,$B92,'июль 2025'!$J$2:$J$2437,AB$1)</f>
        <v>0</v>
      </c>
      <c r="AC92" s="76">
        <f>SUMIFS('июль 2025'!$G$2:$G$2437,'июль 2025'!$D$2:$D$2437,$B92,'июль 2025'!$J$2:$J$2437,AC$1)</f>
        <v>0</v>
      </c>
      <c r="AD92" s="76">
        <f>SUMIFS('июль 2025'!$G$2:$G$2437,'июль 2025'!$D$2:$D$2437,$B92,'июль 2025'!$J$2:$J$2437,AD$1)</f>
        <v>0</v>
      </c>
      <c r="AE92" s="76">
        <f>SUMIFS('июль 2025'!$G$2:$G$2437,'июль 2025'!$D$2:$D$2437,$B92,'июль 2025'!$J$2:$J$2437,AE$1)</f>
        <v>0</v>
      </c>
      <c r="AF92" s="76">
        <f>SUMIFS('июль 2025'!$G$2:$G$2437,'июль 2025'!$D$2:$D$2437,$B92,'июль 2025'!$J$2:$J$2437,AF$1)</f>
        <v>0</v>
      </c>
      <c r="AG92" s="76">
        <f>SUMIFS('июль 2025'!$G$2:$G$2437,'июль 2025'!$D$2:$D$2437,$B92,'июль 2025'!$J$2:$J$2437,AG$1)</f>
        <v>0</v>
      </c>
      <c r="AH92" s="76">
        <f>SUMIFS('июль 2025'!$G$2:$G$2437,'июль 2025'!$D$2:$D$2437,$B92,'июль 2025'!$J$2:$J$2437,AH$1)</f>
        <v>0</v>
      </c>
      <c r="AI92" s="20">
        <f t="shared" si="1"/>
        <v>0</v>
      </c>
    </row>
    <row r="93" spans="2:35" ht="15" customHeight="1" x14ac:dyDescent="0.25">
      <c r="B93" s="88" t="s">
        <v>309</v>
      </c>
      <c r="C93" s="86">
        <v>200</v>
      </c>
      <c r="D93" s="76">
        <f>SUMIFS('июль 2025'!$G$2:$G$2437,'июль 2025'!$D$2:$D$2437,$B93,'июль 2025'!$J$2:$J$2437,D$1)</f>
        <v>0</v>
      </c>
      <c r="E93" s="76">
        <f>SUMIFS('июль 2025'!$G$2:$G$2437,'июль 2025'!$D$2:$D$2437,$B93,'июль 2025'!$J$2:$J$2437,E$1)</f>
        <v>0</v>
      </c>
      <c r="F93" s="76">
        <f>SUMIFS('июль 2025'!$G$2:$G$2437,'июль 2025'!$D$2:$D$2437,$B93,'июль 2025'!$J$2:$J$2437,F$1)</f>
        <v>0</v>
      </c>
      <c r="G93" s="76">
        <f>SUMIFS('июль 2025'!$G$2:$G$2437,'июль 2025'!$D$2:$D$2437,$B93,'июль 2025'!$J$2:$J$2437,G$1)</f>
        <v>0</v>
      </c>
      <c r="H93" s="76">
        <f>SUMIFS('июль 2025'!$G$2:$G$2437,'июль 2025'!$D$2:$D$2437,$B93,'июль 2025'!$J$2:$J$2437,H$1)</f>
        <v>0</v>
      </c>
      <c r="I93" s="76">
        <f>SUMIFS('июль 2025'!$G$2:$G$2437,'июль 2025'!$D$2:$D$2437,$B93,'июль 2025'!$J$2:$J$2437,I$1)</f>
        <v>0</v>
      </c>
      <c r="J93" s="76">
        <f>SUMIFS('июль 2025'!$G$2:$G$2437,'июль 2025'!$D$2:$D$2437,$B93,'июль 2025'!$J$2:$J$2437,J$1)</f>
        <v>0</v>
      </c>
      <c r="K93" s="76">
        <f>SUMIFS('июль 2025'!$G$2:$G$2437,'июль 2025'!$D$2:$D$2437,$B93,'июль 2025'!$J$2:$J$2437,K$1)</f>
        <v>0</v>
      </c>
      <c r="L93" s="76">
        <f>SUMIFS('июль 2025'!$G$2:$G$2437,'июль 2025'!$D$2:$D$2437,$B93,'июль 2025'!$J$2:$J$2437,L$1)</f>
        <v>0</v>
      </c>
      <c r="M93" s="76">
        <f>SUMIFS('июль 2025'!$G$2:$G$2437,'июль 2025'!$D$2:$D$2437,$B93,'июль 2025'!$J$2:$J$2437,M$1)</f>
        <v>72</v>
      </c>
      <c r="N93" s="76">
        <f>SUMIFS('июль 2025'!$G$2:$G$2437,'июль 2025'!$D$2:$D$2437,$B93,'июль 2025'!$J$2:$J$2437,N$1)</f>
        <v>0</v>
      </c>
      <c r="O93" s="76">
        <f>SUMIFS('июль 2025'!$G$2:$G$2437,'июль 2025'!$D$2:$D$2437,$B93,'июль 2025'!$J$2:$J$2437,O$1)</f>
        <v>0</v>
      </c>
      <c r="P93" s="76">
        <f>SUMIFS('июль 2025'!$G$2:$G$2437,'июль 2025'!$D$2:$D$2437,$B93,'июль 2025'!$J$2:$J$2437,P$1)</f>
        <v>0</v>
      </c>
      <c r="Q93" s="76">
        <f>SUMIFS('июль 2025'!$G$2:$G$2437,'июль 2025'!$D$2:$D$2437,$B93,'июль 2025'!$J$2:$J$2437,Q$1)</f>
        <v>0</v>
      </c>
      <c r="R93" s="76">
        <f>SUMIFS('июль 2025'!$G$2:$G$2437,'июль 2025'!$D$2:$D$2437,$B93,'июль 2025'!$J$2:$J$2437,R$1)</f>
        <v>0</v>
      </c>
      <c r="S93" s="76">
        <f>SUMIFS('июль 2025'!$G$2:$G$2437,'июль 2025'!$D$2:$D$2437,$B93,'июль 2025'!$J$2:$J$2437,S$1)</f>
        <v>0</v>
      </c>
      <c r="T93" s="76">
        <f>SUMIFS('июль 2025'!$G$2:$G$2437,'июль 2025'!$D$2:$D$2437,$B93,'июль 2025'!$J$2:$J$2437,T$1)</f>
        <v>0</v>
      </c>
      <c r="U93" s="76">
        <f>SUMIFS('июль 2025'!$G$2:$G$2437,'июль 2025'!$D$2:$D$2437,$B93,'июль 2025'!$J$2:$J$2437,U$1)</f>
        <v>0</v>
      </c>
      <c r="V93" s="76">
        <f>SUMIFS('июль 2025'!$G$2:$G$2437,'июль 2025'!$D$2:$D$2437,$B93,'июль 2025'!$J$2:$J$2437,V$1)</f>
        <v>0</v>
      </c>
      <c r="W93" s="76">
        <f>SUMIFS('июль 2025'!$G$2:$G$2437,'июль 2025'!$D$2:$D$2437,$B93,'июль 2025'!$J$2:$J$2437,W$1)</f>
        <v>0</v>
      </c>
      <c r="X93" s="76">
        <f>SUMIFS('июль 2025'!$G$2:$G$2437,'июль 2025'!$D$2:$D$2437,$B93,'июль 2025'!$J$2:$J$2437,X$1)</f>
        <v>0</v>
      </c>
      <c r="Y93" s="76">
        <f>SUMIFS('июль 2025'!$G$2:$G$2437,'июль 2025'!$D$2:$D$2437,$B93,'июль 2025'!$J$2:$J$2437,Y$1)</f>
        <v>0</v>
      </c>
      <c r="Z93" s="76">
        <f>SUMIFS('июль 2025'!$G$2:$G$2437,'июль 2025'!$D$2:$D$2437,$B93,'июль 2025'!$J$2:$J$2437,Z$1)</f>
        <v>0</v>
      </c>
      <c r="AA93" s="76">
        <f>SUMIFS('июль 2025'!$G$2:$G$2437,'июль 2025'!$D$2:$D$2437,$B93,'июль 2025'!$J$2:$J$2437,AA$1)</f>
        <v>0</v>
      </c>
      <c r="AB93" s="76">
        <f>SUMIFS('июль 2025'!$G$2:$G$2437,'июль 2025'!$D$2:$D$2437,$B93,'июль 2025'!$J$2:$J$2437,AB$1)</f>
        <v>0</v>
      </c>
      <c r="AC93" s="76">
        <f>SUMIFS('июль 2025'!$G$2:$G$2437,'июль 2025'!$D$2:$D$2437,$B93,'июль 2025'!$J$2:$J$2437,AC$1)</f>
        <v>0</v>
      </c>
      <c r="AD93" s="76">
        <f>SUMIFS('июль 2025'!$G$2:$G$2437,'июль 2025'!$D$2:$D$2437,$B93,'июль 2025'!$J$2:$J$2437,AD$1)</f>
        <v>0</v>
      </c>
      <c r="AE93" s="76">
        <f>SUMIFS('июль 2025'!$G$2:$G$2437,'июль 2025'!$D$2:$D$2437,$B93,'июль 2025'!$J$2:$J$2437,AE$1)</f>
        <v>0</v>
      </c>
      <c r="AF93" s="76">
        <f>SUMIFS('июль 2025'!$G$2:$G$2437,'июль 2025'!$D$2:$D$2437,$B93,'июль 2025'!$J$2:$J$2437,AF$1)</f>
        <v>0</v>
      </c>
      <c r="AG93" s="76">
        <f>SUMIFS('июль 2025'!$G$2:$G$2437,'июль 2025'!$D$2:$D$2437,$B93,'июль 2025'!$J$2:$J$2437,AG$1)</f>
        <v>0</v>
      </c>
      <c r="AH93" s="76">
        <f>SUMIFS('июль 2025'!$G$2:$G$2437,'июль 2025'!$D$2:$D$2437,$B93,'июль 2025'!$J$2:$J$2437,AH$1)</f>
        <v>0</v>
      </c>
      <c r="AI93" s="20">
        <f t="shared" si="1"/>
        <v>72</v>
      </c>
    </row>
    <row r="94" spans="2:35" ht="15" customHeight="1" x14ac:dyDescent="0.25">
      <c r="B94" s="88" t="s">
        <v>192</v>
      </c>
      <c r="C94" s="86">
        <v>900</v>
      </c>
      <c r="D94" s="76">
        <f>SUMIFS('июль 2025'!$G$2:$G$2437,'июль 2025'!$D$2:$D$2437,$B94,'июль 2025'!$J$2:$J$2437,D$1)</f>
        <v>0</v>
      </c>
      <c r="E94" s="76">
        <f>SUMIFS('июль 2025'!$G$2:$G$2437,'июль 2025'!$D$2:$D$2437,$B94,'июль 2025'!$J$2:$J$2437,E$1)</f>
        <v>0</v>
      </c>
      <c r="F94" s="76">
        <f>SUMIFS('июль 2025'!$G$2:$G$2437,'июль 2025'!$D$2:$D$2437,$B94,'июль 2025'!$J$2:$J$2437,F$1)</f>
        <v>0</v>
      </c>
      <c r="G94" s="76">
        <f>SUMIFS('июль 2025'!$G$2:$G$2437,'июль 2025'!$D$2:$D$2437,$B94,'июль 2025'!$J$2:$J$2437,G$1)</f>
        <v>0</v>
      </c>
      <c r="H94" s="76">
        <f>SUMIFS('июль 2025'!$G$2:$G$2437,'июль 2025'!$D$2:$D$2437,$B94,'июль 2025'!$J$2:$J$2437,H$1)</f>
        <v>0</v>
      </c>
      <c r="I94" s="76">
        <f>SUMIFS('июль 2025'!$G$2:$G$2437,'июль 2025'!$D$2:$D$2437,$B94,'июль 2025'!$J$2:$J$2437,I$1)</f>
        <v>0</v>
      </c>
      <c r="J94" s="76">
        <f>SUMIFS('июль 2025'!$G$2:$G$2437,'июль 2025'!$D$2:$D$2437,$B94,'июль 2025'!$J$2:$J$2437,J$1)</f>
        <v>0</v>
      </c>
      <c r="K94" s="76">
        <f>SUMIFS('июль 2025'!$G$2:$G$2437,'июль 2025'!$D$2:$D$2437,$B94,'июль 2025'!$J$2:$J$2437,K$1)</f>
        <v>0</v>
      </c>
      <c r="L94" s="76">
        <f>SUMIFS('июль 2025'!$G$2:$G$2437,'июль 2025'!$D$2:$D$2437,$B94,'июль 2025'!$J$2:$J$2437,L$1)</f>
        <v>0</v>
      </c>
      <c r="M94" s="76">
        <f>SUMIFS('июль 2025'!$G$2:$G$2437,'июль 2025'!$D$2:$D$2437,$B94,'июль 2025'!$J$2:$J$2437,M$1)</f>
        <v>0</v>
      </c>
      <c r="N94" s="76">
        <f>SUMIFS('июль 2025'!$G$2:$G$2437,'июль 2025'!$D$2:$D$2437,$B94,'июль 2025'!$J$2:$J$2437,N$1)</f>
        <v>0</v>
      </c>
      <c r="O94" s="76">
        <f>SUMIFS('июль 2025'!$G$2:$G$2437,'июль 2025'!$D$2:$D$2437,$B94,'июль 2025'!$J$2:$J$2437,O$1)</f>
        <v>0</v>
      </c>
      <c r="P94" s="76">
        <f>SUMIFS('июль 2025'!$G$2:$G$2437,'июль 2025'!$D$2:$D$2437,$B94,'июль 2025'!$J$2:$J$2437,P$1)</f>
        <v>0</v>
      </c>
      <c r="Q94" s="76">
        <f>SUMIFS('июль 2025'!$G$2:$G$2437,'июль 2025'!$D$2:$D$2437,$B94,'июль 2025'!$J$2:$J$2437,Q$1)</f>
        <v>0</v>
      </c>
      <c r="R94" s="76">
        <f>SUMIFS('июль 2025'!$G$2:$G$2437,'июль 2025'!$D$2:$D$2437,$B94,'июль 2025'!$J$2:$J$2437,R$1)</f>
        <v>0</v>
      </c>
      <c r="S94" s="76">
        <f>SUMIFS('июль 2025'!$G$2:$G$2437,'июль 2025'!$D$2:$D$2437,$B94,'июль 2025'!$J$2:$J$2437,S$1)</f>
        <v>0</v>
      </c>
      <c r="T94" s="76">
        <f>SUMIFS('июль 2025'!$G$2:$G$2437,'июль 2025'!$D$2:$D$2437,$B94,'июль 2025'!$J$2:$J$2437,T$1)</f>
        <v>0</v>
      </c>
      <c r="U94" s="76">
        <f>SUMIFS('июль 2025'!$G$2:$G$2437,'июль 2025'!$D$2:$D$2437,$B94,'июль 2025'!$J$2:$J$2437,U$1)</f>
        <v>0</v>
      </c>
      <c r="V94" s="76">
        <f>SUMIFS('июль 2025'!$G$2:$G$2437,'июль 2025'!$D$2:$D$2437,$B94,'июль 2025'!$J$2:$J$2437,V$1)</f>
        <v>0</v>
      </c>
      <c r="W94" s="76">
        <f>SUMIFS('июль 2025'!$G$2:$G$2437,'июль 2025'!$D$2:$D$2437,$B94,'июль 2025'!$J$2:$J$2437,W$1)</f>
        <v>0</v>
      </c>
      <c r="X94" s="76">
        <f>SUMIFS('июль 2025'!$G$2:$G$2437,'июль 2025'!$D$2:$D$2437,$B94,'июль 2025'!$J$2:$J$2437,X$1)</f>
        <v>0</v>
      </c>
      <c r="Y94" s="76">
        <f>SUMIFS('июль 2025'!$G$2:$G$2437,'июль 2025'!$D$2:$D$2437,$B94,'июль 2025'!$J$2:$J$2437,Y$1)</f>
        <v>0</v>
      </c>
      <c r="Z94" s="76">
        <f>SUMIFS('июль 2025'!$G$2:$G$2437,'июль 2025'!$D$2:$D$2437,$B94,'июль 2025'!$J$2:$J$2437,Z$1)</f>
        <v>0</v>
      </c>
      <c r="AA94" s="76">
        <f>SUMIFS('июль 2025'!$G$2:$G$2437,'июль 2025'!$D$2:$D$2437,$B94,'июль 2025'!$J$2:$J$2437,AA$1)</f>
        <v>0</v>
      </c>
      <c r="AB94" s="76">
        <f>SUMIFS('июль 2025'!$G$2:$G$2437,'июль 2025'!$D$2:$D$2437,$B94,'июль 2025'!$J$2:$J$2437,AB$1)</f>
        <v>0</v>
      </c>
      <c r="AC94" s="76">
        <f>SUMIFS('июль 2025'!$G$2:$G$2437,'июль 2025'!$D$2:$D$2437,$B94,'июль 2025'!$J$2:$J$2437,AC$1)</f>
        <v>0</v>
      </c>
      <c r="AD94" s="76">
        <f>SUMIFS('июль 2025'!$G$2:$G$2437,'июль 2025'!$D$2:$D$2437,$B94,'июль 2025'!$J$2:$J$2437,AD$1)</f>
        <v>0</v>
      </c>
      <c r="AE94" s="76">
        <f>SUMIFS('июль 2025'!$G$2:$G$2437,'июль 2025'!$D$2:$D$2437,$B94,'июль 2025'!$J$2:$J$2437,AE$1)</f>
        <v>0</v>
      </c>
      <c r="AF94" s="76">
        <f>SUMIFS('июль 2025'!$G$2:$G$2437,'июль 2025'!$D$2:$D$2437,$B94,'июль 2025'!$J$2:$J$2437,AF$1)</f>
        <v>0</v>
      </c>
      <c r="AG94" s="76">
        <f>SUMIFS('июль 2025'!$G$2:$G$2437,'июль 2025'!$D$2:$D$2437,$B94,'июль 2025'!$J$2:$J$2437,AG$1)</f>
        <v>0</v>
      </c>
      <c r="AH94" s="76">
        <f>SUMIFS('июль 2025'!$G$2:$G$2437,'июль 2025'!$D$2:$D$2437,$B94,'июль 2025'!$J$2:$J$2437,AH$1)</f>
        <v>0</v>
      </c>
      <c r="AI94" s="20">
        <f t="shared" si="1"/>
        <v>0</v>
      </c>
    </row>
    <row r="95" spans="2:35" ht="15" customHeight="1" x14ac:dyDescent="0.25">
      <c r="B95" s="84" t="s">
        <v>186</v>
      </c>
      <c r="C95" s="83">
        <v>190</v>
      </c>
      <c r="D95" s="76">
        <f>SUMIFS('июль 2025'!$G$2:$G$2437,'июль 2025'!$D$2:$D$2437,$B95,'июль 2025'!$J$2:$J$2437,D$1)</f>
        <v>0</v>
      </c>
      <c r="E95" s="76">
        <f>SUMIFS('июль 2025'!$G$2:$G$2437,'июль 2025'!$D$2:$D$2437,$B95,'июль 2025'!$J$2:$J$2437,E$1)</f>
        <v>0</v>
      </c>
      <c r="F95" s="76">
        <f>SUMIFS('июль 2025'!$G$2:$G$2437,'июль 2025'!$D$2:$D$2437,$B95,'июль 2025'!$J$2:$J$2437,F$1)</f>
        <v>0</v>
      </c>
      <c r="G95" s="76">
        <f>SUMIFS('июль 2025'!$G$2:$G$2437,'июль 2025'!$D$2:$D$2437,$B95,'июль 2025'!$J$2:$J$2437,G$1)</f>
        <v>0</v>
      </c>
      <c r="H95" s="76">
        <f>SUMIFS('июль 2025'!$G$2:$G$2437,'июль 2025'!$D$2:$D$2437,$B95,'июль 2025'!$J$2:$J$2437,H$1)</f>
        <v>0</v>
      </c>
      <c r="I95" s="76">
        <f>SUMIFS('июль 2025'!$G$2:$G$2437,'июль 2025'!$D$2:$D$2437,$B95,'июль 2025'!$J$2:$J$2437,I$1)</f>
        <v>0</v>
      </c>
      <c r="J95" s="76">
        <f>SUMIFS('июль 2025'!$G$2:$G$2437,'июль 2025'!$D$2:$D$2437,$B95,'июль 2025'!$J$2:$J$2437,J$1)</f>
        <v>0</v>
      </c>
      <c r="K95" s="76">
        <f>SUMIFS('июль 2025'!$G$2:$G$2437,'июль 2025'!$D$2:$D$2437,$B95,'июль 2025'!$J$2:$J$2437,K$1)</f>
        <v>0</v>
      </c>
      <c r="L95" s="76">
        <f>SUMIFS('июль 2025'!$G$2:$G$2437,'июль 2025'!$D$2:$D$2437,$B95,'июль 2025'!$J$2:$J$2437,L$1)</f>
        <v>0</v>
      </c>
      <c r="M95" s="76">
        <f>SUMIFS('июль 2025'!$G$2:$G$2437,'июль 2025'!$D$2:$D$2437,$B95,'июль 2025'!$J$2:$J$2437,M$1)</f>
        <v>0</v>
      </c>
      <c r="N95" s="76">
        <f>SUMIFS('июль 2025'!$G$2:$G$2437,'июль 2025'!$D$2:$D$2437,$B95,'июль 2025'!$J$2:$J$2437,N$1)</f>
        <v>0</v>
      </c>
      <c r="O95" s="76">
        <f>SUMIFS('июль 2025'!$G$2:$G$2437,'июль 2025'!$D$2:$D$2437,$B95,'июль 2025'!$J$2:$J$2437,O$1)</f>
        <v>0</v>
      </c>
      <c r="P95" s="76">
        <f>SUMIFS('июль 2025'!$G$2:$G$2437,'июль 2025'!$D$2:$D$2437,$B95,'июль 2025'!$J$2:$J$2437,P$1)</f>
        <v>0</v>
      </c>
      <c r="Q95" s="76">
        <f>SUMIFS('июль 2025'!$G$2:$G$2437,'июль 2025'!$D$2:$D$2437,$B95,'июль 2025'!$J$2:$J$2437,Q$1)</f>
        <v>0</v>
      </c>
      <c r="R95" s="76">
        <f>SUMIFS('июль 2025'!$G$2:$G$2437,'июль 2025'!$D$2:$D$2437,$B95,'июль 2025'!$J$2:$J$2437,R$1)</f>
        <v>0</v>
      </c>
      <c r="S95" s="76">
        <f>SUMIFS('июль 2025'!$G$2:$G$2437,'июль 2025'!$D$2:$D$2437,$B95,'июль 2025'!$J$2:$J$2437,S$1)</f>
        <v>0</v>
      </c>
      <c r="T95" s="76">
        <f>SUMIFS('июль 2025'!$G$2:$G$2437,'июль 2025'!$D$2:$D$2437,$B95,'июль 2025'!$J$2:$J$2437,T$1)</f>
        <v>0</v>
      </c>
      <c r="U95" s="76">
        <f>SUMIFS('июль 2025'!$G$2:$G$2437,'июль 2025'!$D$2:$D$2437,$B95,'июль 2025'!$J$2:$J$2437,U$1)</f>
        <v>0</v>
      </c>
      <c r="V95" s="76">
        <f>SUMIFS('июль 2025'!$G$2:$G$2437,'июль 2025'!$D$2:$D$2437,$B95,'июль 2025'!$J$2:$J$2437,V$1)</f>
        <v>0</v>
      </c>
      <c r="W95" s="76">
        <f>SUMIFS('июль 2025'!$G$2:$G$2437,'июль 2025'!$D$2:$D$2437,$B95,'июль 2025'!$J$2:$J$2437,W$1)</f>
        <v>0</v>
      </c>
      <c r="X95" s="76">
        <f>SUMIFS('июль 2025'!$G$2:$G$2437,'июль 2025'!$D$2:$D$2437,$B95,'июль 2025'!$J$2:$J$2437,X$1)</f>
        <v>0</v>
      </c>
      <c r="Y95" s="76">
        <f>SUMIFS('июль 2025'!$G$2:$G$2437,'июль 2025'!$D$2:$D$2437,$B95,'июль 2025'!$J$2:$J$2437,Y$1)</f>
        <v>0</v>
      </c>
      <c r="Z95" s="76">
        <f>SUMIFS('июль 2025'!$G$2:$G$2437,'июль 2025'!$D$2:$D$2437,$B95,'июль 2025'!$J$2:$J$2437,Z$1)</f>
        <v>0</v>
      </c>
      <c r="AA95" s="76">
        <f>SUMIFS('июль 2025'!$G$2:$G$2437,'июль 2025'!$D$2:$D$2437,$B95,'июль 2025'!$J$2:$J$2437,AA$1)</f>
        <v>0</v>
      </c>
      <c r="AB95" s="76">
        <f>SUMIFS('июль 2025'!$G$2:$G$2437,'июль 2025'!$D$2:$D$2437,$B95,'июль 2025'!$J$2:$J$2437,AB$1)</f>
        <v>0</v>
      </c>
      <c r="AC95" s="76">
        <f>SUMIFS('июль 2025'!$G$2:$G$2437,'июль 2025'!$D$2:$D$2437,$B95,'июль 2025'!$J$2:$J$2437,AC$1)</f>
        <v>0</v>
      </c>
      <c r="AD95" s="76">
        <f>SUMIFS('июль 2025'!$G$2:$G$2437,'июль 2025'!$D$2:$D$2437,$B95,'июль 2025'!$J$2:$J$2437,AD$1)</f>
        <v>0</v>
      </c>
      <c r="AE95" s="76">
        <f>SUMIFS('июль 2025'!$G$2:$G$2437,'июль 2025'!$D$2:$D$2437,$B95,'июль 2025'!$J$2:$J$2437,AE$1)</f>
        <v>0</v>
      </c>
      <c r="AF95" s="76">
        <f>SUMIFS('июль 2025'!$G$2:$G$2437,'июль 2025'!$D$2:$D$2437,$B95,'июль 2025'!$J$2:$J$2437,AF$1)</f>
        <v>0</v>
      </c>
      <c r="AG95" s="76">
        <f>SUMIFS('июль 2025'!$G$2:$G$2437,'июль 2025'!$D$2:$D$2437,$B95,'июль 2025'!$J$2:$J$2437,AG$1)</f>
        <v>0</v>
      </c>
      <c r="AH95" s="76">
        <f>SUMIFS('июль 2025'!$G$2:$G$2437,'июль 2025'!$D$2:$D$2437,$B95,'июль 2025'!$J$2:$J$2437,AH$1)</f>
        <v>0</v>
      </c>
      <c r="AI95" s="20">
        <f t="shared" si="1"/>
        <v>0</v>
      </c>
    </row>
    <row r="96" spans="2:35" ht="15" customHeight="1" x14ac:dyDescent="0.25">
      <c r="B96" s="84" t="s">
        <v>205</v>
      </c>
      <c r="C96" s="83">
        <v>190</v>
      </c>
      <c r="D96" s="76">
        <f>SUMIFS('июль 2025'!$G$2:$G$2437,'июль 2025'!$D$2:$D$2437,$B96,'июль 2025'!$J$2:$J$2437,D$1)</f>
        <v>0</v>
      </c>
      <c r="E96" s="76">
        <f>SUMIFS('июль 2025'!$G$2:$G$2437,'июль 2025'!$D$2:$D$2437,$B96,'июль 2025'!$J$2:$J$2437,E$1)</f>
        <v>0</v>
      </c>
      <c r="F96" s="76">
        <f>SUMIFS('июль 2025'!$G$2:$G$2437,'июль 2025'!$D$2:$D$2437,$B96,'июль 2025'!$J$2:$J$2437,F$1)</f>
        <v>0</v>
      </c>
      <c r="G96" s="76">
        <f>SUMIFS('июль 2025'!$G$2:$G$2437,'июль 2025'!$D$2:$D$2437,$B96,'июль 2025'!$J$2:$J$2437,G$1)</f>
        <v>0</v>
      </c>
      <c r="H96" s="76">
        <f>SUMIFS('июль 2025'!$G$2:$G$2437,'июль 2025'!$D$2:$D$2437,$B96,'июль 2025'!$J$2:$J$2437,H$1)</f>
        <v>0</v>
      </c>
      <c r="I96" s="76">
        <f>SUMIFS('июль 2025'!$G$2:$G$2437,'июль 2025'!$D$2:$D$2437,$B96,'июль 2025'!$J$2:$J$2437,I$1)</f>
        <v>0</v>
      </c>
      <c r="J96" s="76">
        <f>SUMIFS('июль 2025'!$G$2:$G$2437,'июль 2025'!$D$2:$D$2437,$B96,'июль 2025'!$J$2:$J$2437,J$1)</f>
        <v>0</v>
      </c>
      <c r="K96" s="76">
        <f>SUMIFS('июль 2025'!$G$2:$G$2437,'июль 2025'!$D$2:$D$2437,$B96,'июль 2025'!$J$2:$J$2437,K$1)</f>
        <v>0</v>
      </c>
      <c r="L96" s="76">
        <f>SUMIFS('июль 2025'!$G$2:$G$2437,'июль 2025'!$D$2:$D$2437,$B96,'июль 2025'!$J$2:$J$2437,L$1)</f>
        <v>0</v>
      </c>
      <c r="M96" s="76">
        <f>SUMIFS('июль 2025'!$G$2:$G$2437,'июль 2025'!$D$2:$D$2437,$B96,'июль 2025'!$J$2:$J$2437,M$1)</f>
        <v>0</v>
      </c>
      <c r="N96" s="76">
        <f>SUMIFS('июль 2025'!$G$2:$G$2437,'июль 2025'!$D$2:$D$2437,$B96,'июль 2025'!$J$2:$J$2437,N$1)</f>
        <v>0</v>
      </c>
      <c r="O96" s="76">
        <f>SUMIFS('июль 2025'!$G$2:$G$2437,'июль 2025'!$D$2:$D$2437,$B96,'июль 2025'!$J$2:$J$2437,O$1)</f>
        <v>0</v>
      </c>
      <c r="P96" s="76">
        <f>SUMIFS('июль 2025'!$G$2:$G$2437,'июль 2025'!$D$2:$D$2437,$B96,'июль 2025'!$J$2:$J$2437,P$1)</f>
        <v>0</v>
      </c>
      <c r="Q96" s="76">
        <f>SUMIFS('июль 2025'!$G$2:$G$2437,'июль 2025'!$D$2:$D$2437,$B96,'июль 2025'!$J$2:$J$2437,Q$1)</f>
        <v>0</v>
      </c>
      <c r="R96" s="76">
        <f>SUMIFS('июль 2025'!$G$2:$G$2437,'июль 2025'!$D$2:$D$2437,$B96,'июль 2025'!$J$2:$J$2437,R$1)</f>
        <v>0</v>
      </c>
      <c r="S96" s="76">
        <f>SUMIFS('июль 2025'!$G$2:$G$2437,'июль 2025'!$D$2:$D$2437,$B96,'июль 2025'!$J$2:$J$2437,S$1)</f>
        <v>0</v>
      </c>
      <c r="T96" s="76">
        <f>SUMIFS('июль 2025'!$G$2:$G$2437,'июль 2025'!$D$2:$D$2437,$B96,'июль 2025'!$J$2:$J$2437,T$1)</f>
        <v>0</v>
      </c>
      <c r="U96" s="76">
        <f>SUMIFS('июль 2025'!$G$2:$G$2437,'июль 2025'!$D$2:$D$2437,$B96,'июль 2025'!$J$2:$J$2437,U$1)</f>
        <v>0</v>
      </c>
      <c r="V96" s="76">
        <f>SUMIFS('июль 2025'!$G$2:$G$2437,'июль 2025'!$D$2:$D$2437,$B96,'июль 2025'!$J$2:$J$2437,V$1)</f>
        <v>0</v>
      </c>
      <c r="W96" s="76">
        <f>SUMIFS('июль 2025'!$G$2:$G$2437,'июль 2025'!$D$2:$D$2437,$B96,'июль 2025'!$J$2:$J$2437,W$1)</f>
        <v>0</v>
      </c>
      <c r="X96" s="76">
        <f>SUMIFS('июль 2025'!$G$2:$G$2437,'июль 2025'!$D$2:$D$2437,$B96,'июль 2025'!$J$2:$J$2437,X$1)</f>
        <v>0</v>
      </c>
      <c r="Y96" s="76">
        <f>SUMIFS('июль 2025'!$G$2:$G$2437,'июль 2025'!$D$2:$D$2437,$B96,'июль 2025'!$J$2:$J$2437,Y$1)</f>
        <v>0</v>
      </c>
      <c r="Z96" s="76">
        <f>SUMIFS('июль 2025'!$G$2:$G$2437,'июль 2025'!$D$2:$D$2437,$B96,'июль 2025'!$J$2:$J$2437,Z$1)</f>
        <v>0</v>
      </c>
      <c r="AA96" s="76">
        <f>SUMIFS('июль 2025'!$G$2:$G$2437,'июль 2025'!$D$2:$D$2437,$B96,'июль 2025'!$J$2:$J$2437,AA$1)</f>
        <v>0</v>
      </c>
      <c r="AB96" s="76">
        <f>SUMIFS('июль 2025'!$G$2:$G$2437,'июль 2025'!$D$2:$D$2437,$B96,'июль 2025'!$J$2:$J$2437,AB$1)</f>
        <v>0</v>
      </c>
      <c r="AC96" s="76">
        <f>SUMIFS('июль 2025'!$G$2:$G$2437,'июль 2025'!$D$2:$D$2437,$B96,'июль 2025'!$J$2:$J$2437,AC$1)</f>
        <v>0</v>
      </c>
      <c r="AD96" s="76">
        <f>SUMIFS('июль 2025'!$G$2:$G$2437,'июль 2025'!$D$2:$D$2437,$B96,'июль 2025'!$J$2:$J$2437,AD$1)</f>
        <v>0</v>
      </c>
      <c r="AE96" s="76">
        <f>SUMIFS('июль 2025'!$G$2:$G$2437,'июль 2025'!$D$2:$D$2437,$B96,'июль 2025'!$J$2:$J$2437,AE$1)</f>
        <v>0</v>
      </c>
      <c r="AF96" s="76">
        <f>SUMIFS('июль 2025'!$G$2:$G$2437,'июль 2025'!$D$2:$D$2437,$B96,'июль 2025'!$J$2:$J$2437,AF$1)</f>
        <v>0</v>
      </c>
      <c r="AG96" s="76">
        <f>SUMIFS('июль 2025'!$G$2:$G$2437,'июль 2025'!$D$2:$D$2437,$B96,'июль 2025'!$J$2:$J$2437,AG$1)</f>
        <v>0</v>
      </c>
      <c r="AH96" s="76">
        <f>SUMIFS('июль 2025'!$G$2:$G$2437,'июль 2025'!$D$2:$D$2437,$B96,'июль 2025'!$J$2:$J$2437,AH$1)</f>
        <v>0</v>
      </c>
      <c r="AI96" s="20">
        <f t="shared" si="1"/>
        <v>0</v>
      </c>
    </row>
    <row r="97" spans="2:35" ht="15" customHeight="1" x14ac:dyDescent="0.25">
      <c r="B97" s="88" t="s">
        <v>173</v>
      </c>
      <c r="C97" s="83">
        <v>190</v>
      </c>
      <c r="D97" s="76">
        <f>SUMIFS('июль 2025'!$G$2:$G$2437,'июль 2025'!$D$2:$D$2437,$B97,'июль 2025'!$J$2:$J$2437,D$1)</f>
        <v>0</v>
      </c>
      <c r="E97" s="76">
        <f>SUMIFS('июль 2025'!$G$2:$G$2437,'июль 2025'!$D$2:$D$2437,$B97,'июль 2025'!$J$2:$J$2437,E$1)</f>
        <v>0</v>
      </c>
      <c r="F97" s="76">
        <f>SUMIFS('июль 2025'!$G$2:$G$2437,'июль 2025'!$D$2:$D$2437,$B97,'июль 2025'!$J$2:$J$2437,F$1)</f>
        <v>0</v>
      </c>
      <c r="G97" s="76">
        <f>SUMIFS('июль 2025'!$G$2:$G$2437,'июль 2025'!$D$2:$D$2437,$B97,'июль 2025'!$J$2:$J$2437,G$1)</f>
        <v>0</v>
      </c>
      <c r="H97" s="76">
        <f>SUMIFS('июль 2025'!$G$2:$G$2437,'июль 2025'!$D$2:$D$2437,$B97,'июль 2025'!$J$2:$J$2437,H$1)</f>
        <v>0</v>
      </c>
      <c r="I97" s="76">
        <f>SUMIFS('июль 2025'!$G$2:$G$2437,'июль 2025'!$D$2:$D$2437,$B97,'июль 2025'!$J$2:$J$2437,I$1)</f>
        <v>0</v>
      </c>
      <c r="J97" s="76">
        <f>SUMIFS('июль 2025'!$G$2:$G$2437,'июль 2025'!$D$2:$D$2437,$B97,'июль 2025'!$J$2:$J$2437,J$1)</f>
        <v>0</v>
      </c>
      <c r="K97" s="76">
        <f>SUMIFS('июль 2025'!$G$2:$G$2437,'июль 2025'!$D$2:$D$2437,$B97,'июль 2025'!$J$2:$J$2437,K$1)</f>
        <v>0</v>
      </c>
      <c r="L97" s="76">
        <f>SUMIFS('июль 2025'!$G$2:$G$2437,'июль 2025'!$D$2:$D$2437,$B97,'июль 2025'!$J$2:$J$2437,L$1)</f>
        <v>0</v>
      </c>
      <c r="M97" s="76">
        <f>SUMIFS('июль 2025'!$G$2:$G$2437,'июль 2025'!$D$2:$D$2437,$B97,'июль 2025'!$J$2:$J$2437,M$1)</f>
        <v>0</v>
      </c>
      <c r="N97" s="76">
        <f>SUMIFS('июль 2025'!$G$2:$G$2437,'июль 2025'!$D$2:$D$2437,$B97,'июль 2025'!$J$2:$J$2437,N$1)</f>
        <v>0</v>
      </c>
      <c r="O97" s="76">
        <f>SUMIFS('июль 2025'!$G$2:$G$2437,'июль 2025'!$D$2:$D$2437,$B97,'июль 2025'!$J$2:$J$2437,O$1)</f>
        <v>0</v>
      </c>
      <c r="P97" s="76">
        <f>SUMIFS('июль 2025'!$G$2:$G$2437,'июль 2025'!$D$2:$D$2437,$B97,'июль 2025'!$J$2:$J$2437,P$1)</f>
        <v>0</v>
      </c>
      <c r="Q97" s="76">
        <f>SUMIFS('июль 2025'!$G$2:$G$2437,'июль 2025'!$D$2:$D$2437,$B97,'июль 2025'!$J$2:$J$2437,Q$1)</f>
        <v>0</v>
      </c>
      <c r="R97" s="76">
        <f>SUMIFS('июль 2025'!$G$2:$G$2437,'июль 2025'!$D$2:$D$2437,$B97,'июль 2025'!$J$2:$J$2437,R$1)</f>
        <v>0</v>
      </c>
      <c r="S97" s="76">
        <f>SUMIFS('июль 2025'!$G$2:$G$2437,'июль 2025'!$D$2:$D$2437,$B97,'июль 2025'!$J$2:$J$2437,S$1)</f>
        <v>0</v>
      </c>
      <c r="T97" s="76">
        <f>SUMIFS('июль 2025'!$G$2:$G$2437,'июль 2025'!$D$2:$D$2437,$B97,'июль 2025'!$J$2:$J$2437,T$1)</f>
        <v>0</v>
      </c>
      <c r="U97" s="76">
        <f>SUMIFS('июль 2025'!$G$2:$G$2437,'июль 2025'!$D$2:$D$2437,$B97,'июль 2025'!$J$2:$J$2437,U$1)</f>
        <v>0</v>
      </c>
      <c r="V97" s="76">
        <f>SUMIFS('июль 2025'!$G$2:$G$2437,'июль 2025'!$D$2:$D$2437,$B97,'июль 2025'!$J$2:$J$2437,V$1)</f>
        <v>0</v>
      </c>
      <c r="W97" s="76">
        <f>SUMIFS('июль 2025'!$G$2:$G$2437,'июль 2025'!$D$2:$D$2437,$B97,'июль 2025'!$J$2:$J$2437,W$1)</f>
        <v>0</v>
      </c>
      <c r="X97" s="76">
        <f>SUMIFS('июль 2025'!$G$2:$G$2437,'июль 2025'!$D$2:$D$2437,$B97,'июль 2025'!$J$2:$J$2437,X$1)</f>
        <v>0</v>
      </c>
      <c r="Y97" s="76">
        <f>SUMIFS('июль 2025'!$G$2:$G$2437,'июль 2025'!$D$2:$D$2437,$B97,'июль 2025'!$J$2:$J$2437,Y$1)</f>
        <v>0</v>
      </c>
      <c r="Z97" s="76">
        <f>SUMIFS('июль 2025'!$G$2:$G$2437,'июль 2025'!$D$2:$D$2437,$B97,'июль 2025'!$J$2:$J$2437,Z$1)</f>
        <v>0</v>
      </c>
      <c r="AA97" s="76">
        <f>SUMIFS('июль 2025'!$G$2:$G$2437,'июль 2025'!$D$2:$D$2437,$B97,'июль 2025'!$J$2:$J$2437,AA$1)</f>
        <v>0</v>
      </c>
      <c r="AB97" s="76">
        <f>SUMIFS('июль 2025'!$G$2:$G$2437,'июль 2025'!$D$2:$D$2437,$B97,'июль 2025'!$J$2:$J$2437,AB$1)</f>
        <v>0</v>
      </c>
      <c r="AC97" s="76">
        <f>SUMIFS('июль 2025'!$G$2:$G$2437,'июль 2025'!$D$2:$D$2437,$B97,'июль 2025'!$J$2:$J$2437,AC$1)</f>
        <v>0</v>
      </c>
      <c r="AD97" s="76">
        <f>SUMIFS('июль 2025'!$G$2:$G$2437,'июль 2025'!$D$2:$D$2437,$B97,'июль 2025'!$J$2:$J$2437,AD$1)</f>
        <v>0</v>
      </c>
      <c r="AE97" s="76">
        <f>SUMIFS('июль 2025'!$G$2:$G$2437,'июль 2025'!$D$2:$D$2437,$B97,'июль 2025'!$J$2:$J$2437,AE$1)</f>
        <v>0</v>
      </c>
      <c r="AF97" s="76">
        <f>SUMIFS('июль 2025'!$G$2:$G$2437,'июль 2025'!$D$2:$D$2437,$B97,'июль 2025'!$J$2:$J$2437,AF$1)</f>
        <v>0</v>
      </c>
      <c r="AG97" s="76">
        <f>SUMIFS('июль 2025'!$G$2:$G$2437,'июль 2025'!$D$2:$D$2437,$B97,'июль 2025'!$J$2:$J$2437,AG$1)</f>
        <v>0</v>
      </c>
      <c r="AH97" s="76">
        <f>SUMIFS('июль 2025'!$G$2:$G$2437,'июль 2025'!$D$2:$D$2437,$B97,'июль 2025'!$J$2:$J$2437,AH$1)</f>
        <v>0</v>
      </c>
      <c r="AI97" s="20">
        <f t="shared" si="1"/>
        <v>0</v>
      </c>
    </row>
    <row r="98" spans="2:35" ht="15" customHeight="1" x14ac:dyDescent="0.25">
      <c r="B98" s="88" t="s">
        <v>182</v>
      </c>
      <c r="C98" s="86">
        <v>180</v>
      </c>
      <c r="D98" s="76">
        <f>SUMIFS('июль 2025'!$G$2:$G$2437,'июль 2025'!$D$2:$D$2437,$B98,'июль 2025'!$J$2:$J$2437,D$1)</f>
        <v>0</v>
      </c>
      <c r="E98" s="76">
        <f>SUMIFS('июль 2025'!$G$2:$G$2437,'июль 2025'!$D$2:$D$2437,$B98,'июль 2025'!$J$2:$J$2437,E$1)</f>
        <v>0</v>
      </c>
      <c r="F98" s="76">
        <f>SUMIFS('июль 2025'!$G$2:$G$2437,'июль 2025'!$D$2:$D$2437,$B98,'июль 2025'!$J$2:$J$2437,F$1)</f>
        <v>0</v>
      </c>
      <c r="G98" s="76">
        <f>SUMIFS('июль 2025'!$G$2:$G$2437,'июль 2025'!$D$2:$D$2437,$B98,'июль 2025'!$J$2:$J$2437,G$1)</f>
        <v>0</v>
      </c>
      <c r="H98" s="76">
        <f>SUMIFS('июль 2025'!$G$2:$G$2437,'июль 2025'!$D$2:$D$2437,$B98,'июль 2025'!$J$2:$J$2437,H$1)</f>
        <v>0</v>
      </c>
      <c r="I98" s="76">
        <f>SUMIFS('июль 2025'!$G$2:$G$2437,'июль 2025'!$D$2:$D$2437,$B98,'июль 2025'!$J$2:$J$2437,I$1)</f>
        <v>0</v>
      </c>
      <c r="J98" s="76">
        <f>SUMIFS('июль 2025'!$G$2:$G$2437,'июль 2025'!$D$2:$D$2437,$B98,'июль 2025'!$J$2:$J$2437,J$1)</f>
        <v>0</v>
      </c>
      <c r="K98" s="76">
        <f>SUMIFS('июль 2025'!$G$2:$G$2437,'июль 2025'!$D$2:$D$2437,$B98,'июль 2025'!$J$2:$J$2437,K$1)</f>
        <v>0</v>
      </c>
      <c r="L98" s="76">
        <f>SUMIFS('июль 2025'!$G$2:$G$2437,'июль 2025'!$D$2:$D$2437,$B98,'июль 2025'!$J$2:$J$2437,L$1)</f>
        <v>0</v>
      </c>
      <c r="M98" s="76">
        <f>SUMIFS('июль 2025'!$G$2:$G$2437,'июль 2025'!$D$2:$D$2437,$B98,'июль 2025'!$J$2:$J$2437,M$1)</f>
        <v>0</v>
      </c>
      <c r="N98" s="76">
        <f>SUMIFS('июль 2025'!$G$2:$G$2437,'июль 2025'!$D$2:$D$2437,$B98,'июль 2025'!$J$2:$J$2437,N$1)</f>
        <v>0</v>
      </c>
      <c r="O98" s="76">
        <f>SUMIFS('июль 2025'!$G$2:$G$2437,'июль 2025'!$D$2:$D$2437,$B98,'июль 2025'!$J$2:$J$2437,O$1)</f>
        <v>0</v>
      </c>
      <c r="P98" s="76">
        <f>SUMIFS('июль 2025'!$G$2:$G$2437,'июль 2025'!$D$2:$D$2437,$B98,'июль 2025'!$J$2:$J$2437,P$1)</f>
        <v>0</v>
      </c>
      <c r="Q98" s="76">
        <f>SUMIFS('июль 2025'!$G$2:$G$2437,'июль 2025'!$D$2:$D$2437,$B98,'июль 2025'!$J$2:$J$2437,Q$1)</f>
        <v>0</v>
      </c>
      <c r="R98" s="76">
        <f>SUMIFS('июль 2025'!$G$2:$G$2437,'июль 2025'!$D$2:$D$2437,$B98,'июль 2025'!$J$2:$J$2437,R$1)</f>
        <v>0</v>
      </c>
      <c r="S98" s="76">
        <f>SUMIFS('июль 2025'!$G$2:$G$2437,'июль 2025'!$D$2:$D$2437,$B98,'июль 2025'!$J$2:$J$2437,S$1)</f>
        <v>0</v>
      </c>
      <c r="T98" s="76">
        <f>SUMIFS('июль 2025'!$G$2:$G$2437,'июль 2025'!$D$2:$D$2437,$B98,'июль 2025'!$J$2:$J$2437,T$1)</f>
        <v>0</v>
      </c>
      <c r="U98" s="76">
        <f>SUMIFS('июль 2025'!$G$2:$G$2437,'июль 2025'!$D$2:$D$2437,$B98,'июль 2025'!$J$2:$J$2437,U$1)</f>
        <v>0</v>
      </c>
      <c r="V98" s="76">
        <f>SUMIFS('июль 2025'!$G$2:$G$2437,'июль 2025'!$D$2:$D$2437,$B98,'июль 2025'!$J$2:$J$2437,V$1)</f>
        <v>0</v>
      </c>
      <c r="W98" s="76">
        <f>SUMIFS('июль 2025'!$G$2:$G$2437,'июль 2025'!$D$2:$D$2437,$B98,'июль 2025'!$J$2:$J$2437,W$1)</f>
        <v>0</v>
      </c>
      <c r="X98" s="76">
        <f>SUMIFS('июль 2025'!$G$2:$G$2437,'июль 2025'!$D$2:$D$2437,$B98,'июль 2025'!$J$2:$J$2437,X$1)</f>
        <v>0</v>
      </c>
      <c r="Y98" s="76">
        <f>SUMIFS('июль 2025'!$G$2:$G$2437,'июль 2025'!$D$2:$D$2437,$B98,'июль 2025'!$J$2:$J$2437,Y$1)</f>
        <v>0</v>
      </c>
      <c r="Z98" s="76">
        <f>SUMIFS('июль 2025'!$G$2:$G$2437,'июль 2025'!$D$2:$D$2437,$B98,'июль 2025'!$J$2:$J$2437,Z$1)</f>
        <v>0</v>
      </c>
      <c r="AA98" s="76">
        <f>SUMIFS('июль 2025'!$G$2:$G$2437,'июль 2025'!$D$2:$D$2437,$B98,'июль 2025'!$J$2:$J$2437,AA$1)</f>
        <v>0</v>
      </c>
      <c r="AB98" s="76">
        <f>SUMIFS('июль 2025'!$G$2:$G$2437,'июль 2025'!$D$2:$D$2437,$B98,'июль 2025'!$J$2:$J$2437,AB$1)</f>
        <v>0</v>
      </c>
      <c r="AC98" s="76">
        <f>SUMIFS('июль 2025'!$G$2:$G$2437,'июль 2025'!$D$2:$D$2437,$B98,'июль 2025'!$J$2:$J$2437,AC$1)</f>
        <v>0</v>
      </c>
      <c r="AD98" s="76">
        <f>SUMIFS('июль 2025'!$G$2:$G$2437,'июль 2025'!$D$2:$D$2437,$B98,'июль 2025'!$J$2:$J$2437,AD$1)</f>
        <v>0</v>
      </c>
      <c r="AE98" s="76">
        <f>SUMIFS('июль 2025'!$G$2:$G$2437,'июль 2025'!$D$2:$D$2437,$B98,'июль 2025'!$J$2:$J$2437,AE$1)</f>
        <v>0</v>
      </c>
      <c r="AF98" s="76">
        <f>SUMIFS('июль 2025'!$G$2:$G$2437,'июль 2025'!$D$2:$D$2437,$B98,'июль 2025'!$J$2:$J$2437,AF$1)</f>
        <v>0</v>
      </c>
      <c r="AG98" s="76">
        <f>SUMIFS('июль 2025'!$G$2:$G$2437,'июль 2025'!$D$2:$D$2437,$B98,'июль 2025'!$J$2:$J$2437,AG$1)</f>
        <v>0</v>
      </c>
      <c r="AH98" s="76">
        <f>SUMIFS('июль 2025'!$G$2:$G$2437,'июль 2025'!$D$2:$D$2437,$B98,'июль 2025'!$J$2:$J$2437,AH$1)</f>
        <v>0</v>
      </c>
      <c r="AI98" s="20">
        <f t="shared" si="1"/>
        <v>0</v>
      </c>
    </row>
    <row r="99" spans="2:35" ht="15" customHeight="1" x14ac:dyDescent="0.25">
      <c r="B99" s="88" t="s">
        <v>298</v>
      </c>
      <c r="C99" s="86">
        <v>190</v>
      </c>
      <c r="D99" s="76">
        <f>SUMIFS('июль 2025'!$G$2:$G$2437,'июль 2025'!$D$2:$D$2437,$B99,'июль 2025'!$J$2:$J$2437,D$1)</f>
        <v>0</v>
      </c>
      <c r="E99" s="76">
        <f>SUMIFS('июль 2025'!$G$2:$G$2437,'июль 2025'!$D$2:$D$2437,$B99,'июль 2025'!$J$2:$J$2437,E$1)</f>
        <v>0</v>
      </c>
      <c r="F99" s="76">
        <f>SUMIFS('июль 2025'!$G$2:$G$2437,'июль 2025'!$D$2:$D$2437,$B99,'июль 2025'!$J$2:$J$2437,F$1)</f>
        <v>0</v>
      </c>
      <c r="G99" s="76">
        <f>SUMIFS('июль 2025'!$G$2:$G$2437,'июль 2025'!$D$2:$D$2437,$B99,'июль 2025'!$J$2:$J$2437,G$1)</f>
        <v>0</v>
      </c>
      <c r="H99" s="76">
        <f>SUMIFS('июль 2025'!$G$2:$G$2437,'июль 2025'!$D$2:$D$2437,$B99,'июль 2025'!$J$2:$J$2437,H$1)</f>
        <v>0</v>
      </c>
      <c r="I99" s="76">
        <f>SUMIFS('июль 2025'!$G$2:$G$2437,'июль 2025'!$D$2:$D$2437,$B99,'июль 2025'!$J$2:$J$2437,I$1)</f>
        <v>0</v>
      </c>
      <c r="J99" s="76">
        <f>SUMIFS('июль 2025'!$G$2:$G$2437,'июль 2025'!$D$2:$D$2437,$B99,'июль 2025'!$J$2:$J$2437,J$1)</f>
        <v>0</v>
      </c>
      <c r="K99" s="76">
        <f>SUMIFS('июль 2025'!$G$2:$G$2437,'июль 2025'!$D$2:$D$2437,$B99,'июль 2025'!$J$2:$J$2437,K$1)</f>
        <v>0</v>
      </c>
      <c r="L99" s="76">
        <f>SUMIFS('июль 2025'!$G$2:$G$2437,'июль 2025'!$D$2:$D$2437,$B99,'июль 2025'!$J$2:$J$2437,L$1)</f>
        <v>0</v>
      </c>
      <c r="M99" s="76">
        <f>SUMIFS('июль 2025'!$G$2:$G$2437,'июль 2025'!$D$2:$D$2437,$B99,'июль 2025'!$J$2:$J$2437,M$1)</f>
        <v>0</v>
      </c>
      <c r="N99" s="76">
        <f>SUMIFS('июль 2025'!$G$2:$G$2437,'июль 2025'!$D$2:$D$2437,$B99,'июль 2025'!$J$2:$J$2437,N$1)</f>
        <v>0</v>
      </c>
      <c r="O99" s="76">
        <f>SUMIFS('июль 2025'!$G$2:$G$2437,'июль 2025'!$D$2:$D$2437,$B99,'июль 2025'!$J$2:$J$2437,O$1)</f>
        <v>0</v>
      </c>
      <c r="P99" s="76">
        <f>SUMIFS('июль 2025'!$G$2:$G$2437,'июль 2025'!$D$2:$D$2437,$B99,'июль 2025'!$J$2:$J$2437,P$1)</f>
        <v>0</v>
      </c>
      <c r="Q99" s="76">
        <f>SUMIFS('июль 2025'!$G$2:$G$2437,'июль 2025'!$D$2:$D$2437,$B99,'июль 2025'!$J$2:$J$2437,Q$1)</f>
        <v>0</v>
      </c>
      <c r="R99" s="76">
        <f>SUMIFS('июль 2025'!$G$2:$G$2437,'июль 2025'!$D$2:$D$2437,$B99,'июль 2025'!$J$2:$J$2437,R$1)</f>
        <v>0</v>
      </c>
      <c r="S99" s="76">
        <f>SUMIFS('июль 2025'!$G$2:$G$2437,'июль 2025'!$D$2:$D$2437,$B99,'июль 2025'!$J$2:$J$2437,S$1)</f>
        <v>0</v>
      </c>
      <c r="T99" s="76">
        <f>SUMIFS('июль 2025'!$G$2:$G$2437,'июль 2025'!$D$2:$D$2437,$B99,'июль 2025'!$J$2:$J$2437,T$1)</f>
        <v>0</v>
      </c>
      <c r="U99" s="76">
        <f>SUMIFS('июль 2025'!$G$2:$G$2437,'июль 2025'!$D$2:$D$2437,$B99,'июль 2025'!$J$2:$J$2437,U$1)</f>
        <v>0</v>
      </c>
      <c r="V99" s="76">
        <f>SUMIFS('июль 2025'!$G$2:$G$2437,'июль 2025'!$D$2:$D$2437,$B99,'июль 2025'!$J$2:$J$2437,V$1)</f>
        <v>0</v>
      </c>
      <c r="W99" s="76">
        <f>SUMIFS('июль 2025'!$G$2:$G$2437,'июль 2025'!$D$2:$D$2437,$B99,'июль 2025'!$J$2:$J$2437,W$1)</f>
        <v>0</v>
      </c>
      <c r="X99" s="76">
        <f>SUMIFS('июль 2025'!$G$2:$G$2437,'июль 2025'!$D$2:$D$2437,$B99,'июль 2025'!$J$2:$J$2437,X$1)</f>
        <v>0</v>
      </c>
      <c r="Y99" s="76">
        <f>SUMIFS('июль 2025'!$G$2:$G$2437,'июль 2025'!$D$2:$D$2437,$B99,'июль 2025'!$J$2:$J$2437,Y$1)</f>
        <v>0</v>
      </c>
      <c r="Z99" s="76">
        <f>SUMIFS('июль 2025'!$G$2:$G$2437,'июль 2025'!$D$2:$D$2437,$B99,'июль 2025'!$J$2:$J$2437,Z$1)</f>
        <v>0</v>
      </c>
      <c r="AA99" s="76">
        <f>SUMIFS('июль 2025'!$G$2:$G$2437,'июль 2025'!$D$2:$D$2437,$B99,'июль 2025'!$J$2:$J$2437,AA$1)</f>
        <v>0</v>
      </c>
      <c r="AB99" s="76">
        <f>SUMIFS('июль 2025'!$G$2:$G$2437,'июль 2025'!$D$2:$D$2437,$B99,'июль 2025'!$J$2:$J$2437,AB$1)</f>
        <v>0</v>
      </c>
      <c r="AC99" s="76">
        <f>SUMIFS('июль 2025'!$G$2:$G$2437,'июль 2025'!$D$2:$D$2437,$B99,'июль 2025'!$J$2:$J$2437,AC$1)</f>
        <v>0</v>
      </c>
      <c r="AD99" s="76">
        <f>SUMIFS('июль 2025'!$G$2:$G$2437,'июль 2025'!$D$2:$D$2437,$B99,'июль 2025'!$J$2:$J$2437,AD$1)</f>
        <v>0</v>
      </c>
      <c r="AE99" s="76">
        <f>SUMIFS('июль 2025'!$G$2:$G$2437,'июль 2025'!$D$2:$D$2437,$B99,'июль 2025'!$J$2:$J$2437,AE$1)</f>
        <v>0</v>
      </c>
      <c r="AF99" s="76">
        <f>SUMIFS('июль 2025'!$G$2:$G$2437,'июль 2025'!$D$2:$D$2437,$B99,'июль 2025'!$J$2:$J$2437,AF$1)</f>
        <v>0</v>
      </c>
      <c r="AG99" s="76">
        <f>SUMIFS('июль 2025'!$G$2:$G$2437,'июль 2025'!$D$2:$D$2437,$B99,'июль 2025'!$J$2:$J$2437,AG$1)</f>
        <v>0</v>
      </c>
      <c r="AH99" s="76">
        <f>SUMIFS('июль 2025'!$G$2:$G$2437,'июль 2025'!$D$2:$D$2437,$B99,'июль 2025'!$J$2:$J$2437,AH$1)</f>
        <v>0</v>
      </c>
      <c r="AI99" s="20">
        <f t="shared" si="1"/>
        <v>0</v>
      </c>
    </row>
    <row r="100" spans="2:35" ht="15" customHeight="1" x14ac:dyDescent="0.25">
      <c r="B100" s="88" t="s">
        <v>312</v>
      </c>
      <c r="C100" s="86">
        <v>190</v>
      </c>
      <c r="D100" s="76">
        <f>SUMIFS('июль 2025'!$G$2:$G$2437,'июль 2025'!$D$2:$D$2437,$B100,'июль 2025'!$J$2:$J$2437,D$1)</f>
        <v>0</v>
      </c>
      <c r="E100" s="76">
        <f>SUMIFS('июль 2025'!$G$2:$G$2437,'июль 2025'!$D$2:$D$2437,$B100,'июль 2025'!$J$2:$J$2437,E$1)</f>
        <v>0</v>
      </c>
      <c r="F100" s="76">
        <f>SUMIFS('июль 2025'!$G$2:$G$2437,'июль 2025'!$D$2:$D$2437,$B100,'июль 2025'!$J$2:$J$2437,F$1)</f>
        <v>0</v>
      </c>
      <c r="G100" s="76">
        <f>SUMIFS('июль 2025'!$G$2:$G$2437,'июль 2025'!$D$2:$D$2437,$B100,'июль 2025'!$J$2:$J$2437,G$1)</f>
        <v>0</v>
      </c>
      <c r="H100" s="76">
        <f>SUMIFS('июль 2025'!$G$2:$G$2437,'июль 2025'!$D$2:$D$2437,$B100,'июль 2025'!$J$2:$J$2437,H$1)</f>
        <v>0</v>
      </c>
      <c r="I100" s="76">
        <f>SUMIFS('июль 2025'!$G$2:$G$2437,'июль 2025'!$D$2:$D$2437,$B100,'июль 2025'!$J$2:$J$2437,I$1)</f>
        <v>0</v>
      </c>
      <c r="J100" s="76">
        <f>SUMIFS('июль 2025'!$G$2:$G$2437,'июль 2025'!$D$2:$D$2437,$B100,'июль 2025'!$J$2:$J$2437,J$1)</f>
        <v>0</v>
      </c>
      <c r="K100" s="76">
        <f>SUMIFS('июль 2025'!$G$2:$G$2437,'июль 2025'!$D$2:$D$2437,$B100,'июль 2025'!$J$2:$J$2437,K$1)</f>
        <v>0</v>
      </c>
      <c r="L100" s="76">
        <f>SUMIFS('июль 2025'!$G$2:$G$2437,'июль 2025'!$D$2:$D$2437,$B100,'июль 2025'!$J$2:$J$2437,L$1)</f>
        <v>0</v>
      </c>
      <c r="M100" s="76">
        <f>SUMIFS('июль 2025'!$G$2:$G$2437,'июль 2025'!$D$2:$D$2437,$B100,'июль 2025'!$J$2:$J$2437,M$1)</f>
        <v>0</v>
      </c>
      <c r="N100" s="76">
        <f>SUMIFS('июль 2025'!$G$2:$G$2437,'июль 2025'!$D$2:$D$2437,$B100,'июль 2025'!$J$2:$J$2437,N$1)</f>
        <v>0</v>
      </c>
      <c r="O100" s="76">
        <f>SUMIFS('июль 2025'!$G$2:$G$2437,'июль 2025'!$D$2:$D$2437,$B100,'июль 2025'!$J$2:$J$2437,O$1)</f>
        <v>0</v>
      </c>
      <c r="P100" s="76">
        <f>SUMIFS('июль 2025'!$G$2:$G$2437,'июль 2025'!$D$2:$D$2437,$B100,'июль 2025'!$J$2:$J$2437,P$1)</f>
        <v>0</v>
      </c>
      <c r="Q100" s="76">
        <f>SUMIFS('июль 2025'!$G$2:$G$2437,'июль 2025'!$D$2:$D$2437,$B100,'июль 2025'!$J$2:$J$2437,Q$1)</f>
        <v>0</v>
      </c>
      <c r="R100" s="76">
        <f>SUMIFS('июль 2025'!$G$2:$G$2437,'июль 2025'!$D$2:$D$2437,$B100,'июль 2025'!$J$2:$J$2437,R$1)</f>
        <v>0</v>
      </c>
      <c r="S100" s="76">
        <f>SUMIFS('июль 2025'!$G$2:$G$2437,'июль 2025'!$D$2:$D$2437,$B100,'июль 2025'!$J$2:$J$2437,S$1)</f>
        <v>0</v>
      </c>
      <c r="T100" s="76">
        <f>SUMIFS('июль 2025'!$G$2:$G$2437,'июль 2025'!$D$2:$D$2437,$B100,'июль 2025'!$J$2:$J$2437,T$1)</f>
        <v>0</v>
      </c>
      <c r="U100" s="76">
        <f>SUMIFS('июль 2025'!$G$2:$G$2437,'июль 2025'!$D$2:$D$2437,$B100,'июль 2025'!$J$2:$J$2437,U$1)</f>
        <v>0</v>
      </c>
      <c r="V100" s="76">
        <f>SUMIFS('июль 2025'!$G$2:$G$2437,'июль 2025'!$D$2:$D$2437,$B100,'июль 2025'!$J$2:$J$2437,V$1)</f>
        <v>0</v>
      </c>
      <c r="W100" s="76">
        <f>SUMIFS('июль 2025'!$G$2:$G$2437,'июль 2025'!$D$2:$D$2437,$B100,'июль 2025'!$J$2:$J$2437,W$1)</f>
        <v>0</v>
      </c>
      <c r="X100" s="76">
        <f>SUMIFS('июль 2025'!$G$2:$G$2437,'июль 2025'!$D$2:$D$2437,$B100,'июль 2025'!$J$2:$J$2437,X$1)</f>
        <v>0</v>
      </c>
      <c r="Y100" s="76">
        <f>SUMIFS('июль 2025'!$G$2:$G$2437,'июль 2025'!$D$2:$D$2437,$B100,'июль 2025'!$J$2:$J$2437,Y$1)</f>
        <v>0</v>
      </c>
      <c r="Z100" s="76">
        <f>SUMIFS('июль 2025'!$G$2:$G$2437,'июль 2025'!$D$2:$D$2437,$B100,'июль 2025'!$J$2:$J$2437,Z$1)</f>
        <v>0</v>
      </c>
      <c r="AA100" s="76">
        <f>SUMIFS('июль 2025'!$G$2:$G$2437,'июль 2025'!$D$2:$D$2437,$B100,'июль 2025'!$J$2:$J$2437,AA$1)</f>
        <v>0</v>
      </c>
      <c r="AB100" s="76">
        <f>SUMIFS('июль 2025'!$G$2:$G$2437,'июль 2025'!$D$2:$D$2437,$B100,'июль 2025'!$J$2:$J$2437,AB$1)</f>
        <v>0</v>
      </c>
      <c r="AC100" s="76">
        <f>SUMIFS('июль 2025'!$G$2:$G$2437,'июль 2025'!$D$2:$D$2437,$B100,'июль 2025'!$J$2:$J$2437,AC$1)</f>
        <v>0</v>
      </c>
      <c r="AD100" s="76">
        <f>SUMIFS('июль 2025'!$G$2:$G$2437,'июль 2025'!$D$2:$D$2437,$B100,'июль 2025'!$J$2:$J$2437,AD$1)</f>
        <v>0</v>
      </c>
      <c r="AE100" s="76">
        <f>SUMIFS('июль 2025'!$G$2:$G$2437,'июль 2025'!$D$2:$D$2437,$B100,'июль 2025'!$J$2:$J$2437,AE$1)</f>
        <v>0</v>
      </c>
      <c r="AF100" s="76">
        <f>SUMIFS('июль 2025'!$G$2:$G$2437,'июль 2025'!$D$2:$D$2437,$B100,'июль 2025'!$J$2:$J$2437,AF$1)</f>
        <v>0</v>
      </c>
      <c r="AG100" s="76">
        <f>SUMIFS('июль 2025'!$G$2:$G$2437,'июль 2025'!$D$2:$D$2437,$B100,'июль 2025'!$J$2:$J$2437,AG$1)</f>
        <v>0</v>
      </c>
      <c r="AH100" s="76">
        <f>SUMIFS('июль 2025'!$G$2:$G$2437,'июль 2025'!$D$2:$D$2437,$B100,'июль 2025'!$J$2:$J$2437,AH$1)</f>
        <v>0</v>
      </c>
      <c r="AI100" s="20">
        <f t="shared" si="1"/>
        <v>0</v>
      </c>
    </row>
    <row r="101" spans="2:35" ht="15" customHeight="1" x14ac:dyDescent="0.25">
      <c r="B101" s="88" t="s">
        <v>1397</v>
      </c>
      <c r="C101" s="86">
        <v>200</v>
      </c>
      <c r="D101" s="76">
        <f>SUMIFS('июль 2025'!$G$2:$G$2437,'июль 2025'!$D$2:$D$2437,$B101,'июль 2025'!$J$2:$J$2437,D$1)</f>
        <v>0</v>
      </c>
      <c r="E101" s="76">
        <f>SUMIFS('июль 2025'!$G$2:$G$2437,'июль 2025'!$D$2:$D$2437,$B101,'июль 2025'!$J$2:$J$2437,E$1)</f>
        <v>0</v>
      </c>
      <c r="F101" s="76">
        <f>SUMIFS('июль 2025'!$G$2:$G$2437,'июль 2025'!$D$2:$D$2437,$B101,'июль 2025'!$J$2:$J$2437,F$1)</f>
        <v>0</v>
      </c>
      <c r="G101" s="76">
        <f>SUMIFS('июль 2025'!$G$2:$G$2437,'июль 2025'!$D$2:$D$2437,$B101,'июль 2025'!$J$2:$J$2437,G$1)</f>
        <v>0</v>
      </c>
      <c r="H101" s="76">
        <f>SUMIFS('июль 2025'!$G$2:$G$2437,'июль 2025'!$D$2:$D$2437,$B101,'июль 2025'!$J$2:$J$2437,H$1)</f>
        <v>0</v>
      </c>
      <c r="I101" s="76">
        <f>SUMIFS('июль 2025'!$G$2:$G$2437,'июль 2025'!$D$2:$D$2437,$B101,'июль 2025'!$J$2:$J$2437,I$1)</f>
        <v>0</v>
      </c>
      <c r="J101" s="76">
        <f>SUMIFS('июль 2025'!$G$2:$G$2437,'июль 2025'!$D$2:$D$2437,$B101,'июль 2025'!$J$2:$J$2437,J$1)</f>
        <v>0</v>
      </c>
      <c r="K101" s="76">
        <f>SUMIFS('июль 2025'!$G$2:$G$2437,'июль 2025'!$D$2:$D$2437,$B101,'июль 2025'!$J$2:$J$2437,K$1)</f>
        <v>0</v>
      </c>
      <c r="L101" s="76">
        <f>SUMIFS('июль 2025'!$G$2:$G$2437,'июль 2025'!$D$2:$D$2437,$B101,'июль 2025'!$J$2:$J$2437,L$1)</f>
        <v>0</v>
      </c>
      <c r="M101" s="76">
        <f>SUMIFS('июль 2025'!$G$2:$G$2437,'июль 2025'!$D$2:$D$2437,$B101,'июль 2025'!$J$2:$J$2437,M$1)</f>
        <v>0</v>
      </c>
      <c r="N101" s="76">
        <f>SUMIFS('июль 2025'!$G$2:$G$2437,'июль 2025'!$D$2:$D$2437,$B101,'июль 2025'!$J$2:$J$2437,N$1)</f>
        <v>0</v>
      </c>
      <c r="O101" s="76">
        <f>SUMIFS('июль 2025'!$G$2:$G$2437,'июль 2025'!$D$2:$D$2437,$B101,'июль 2025'!$J$2:$J$2437,O$1)</f>
        <v>0</v>
      </c>
      <c r="P101" s="76">
        <f>SUMIFS('июль 2025'!$G$2:$G$2437,'июль 2025'!$D$2:$D$2437,$B101,'июль 2025'!$J$2:$J$2437,P$1)</f>
        <v>0</v>
      </c>
      <c r="Q101" s="76">
        <f>SUMIFS('июль 2025'!$G$2:$G$2437,'июль 2025'!$D$2:$D$2437,$B101,'июль 2025'!$J$2:$J$2437,Q$1)</f>
        <v>0</v>
      </c>
      <c r="R101" s="76">
        <f>SUMIFS('июль 2025'!$G$2:$G$2437,'июль 2025'!$D$2:$D$2437,$B101,'июль 2025'!$J$2:$J$2437,R$1)</f>
        <v>0</v>
      </c>
      <c r="S101" s="76">
        <f>SUMIFS('июль 2025'!$G$2:$G$2437,'июль 2025'!$D$2:$D$2437,$B101,'июль 2025'!$J$2:$J$2437,S$1)</f>
        <v>0</v>
      </c>
      <c r="T101" s="76">
        <f>SUMIFS('июль 2025'!$G$2:$G$2437,'июль 2025'!$D$2:$D$2437,$B101,'июль 2025'!$J$2:$J$2437,T$1)</f>
        <v>0</v>
      </c>
      <c r="U101" s="76">
        <f>SUMIFS('июль 2025'!$G$2:$G$2437,'июль 2025'!$D$2:$D$2437,$B101,'июль 2025'!$J$2:$J$2437,U$1)</f>
        <v>0</v>
      </c>
      <c r="V101" s="76">
        <f>SUMIFS('июль 2025'!$G$2:$G$2437,'июль 2025'!$D$2:$D$2437,$B101,'июль 2025'!$J$2:$J$2437,V$1)</f>
        <v>0</v>
      </c>
      <c r="W101" s="76">
        <f>SUMIFS('июль 2025'!$G$2:$G$2437,'июль 2025'!$D$2:$D$2437,$B101,'июль 2025'!$J$2:$J$2437,W$1)</f>
        <v>0</v>
      </c>
      <c r="X101" s="76">
        <f>SUMIFS('июль 2025'!$G$2:$G$2437,'июль 2025'!$D$2:$D$2437,$B101,'июль 2025'!$J$2:$J$2437,X$1)</f>
        <v>0</v>
      </c>
      <c r="Y101" s="76">
        <f>SUMIFS('июль 2025'!$G$2:$G$2437,'июль 2025'!$D$2:$D$2437,$B101,'июль 2025'!$J$2:$J$2437,Y$1)</f>
        <v>0</v>
      </c>
      <c r="Z101" s="76">
        <f>SUMIFS('июль 2025'!$G$2:$G$2437,'июль 2025'!$D$2:$D$2437,$B101,'июль 2025'!$J$2:$J$2437,Z$1)</f>
        <v>0</v>
      </c>
      <c r="AA101" s="76">
        <f>SUMIFS('июль 2025'!$G$2:$G$2437,'июль 2025'!$D$2:$D$2437,$B101,'июль 2025'!$J$2:$J$2437,AA$1)</f>
        <v>0</v>
      </c>
      <c r="AB101" s="76">
        <f>SUMIFS('июль 2025'!$G$2:$G$2437,'июль 2025'!$D$2:$D$2437,$B101,'июль 2025'!$J$2:$J$2437,AB$1)</f>
        <v>0</v>
      </c>
      <c r="AC101" s="76">
        <f>SUMIFS('июль 2025'!$G$2:$G$2437,'июль 2025'!$D$2:$D$2437,$B101,'июль 2025'!$J$2:$J$2437,AC$1)</f>
        <v>0</v>
      </c>
      <c r="AD101" s="76">
        <f>SUMIFS('июль 2025'!$G$2:$G$2437,'июль 2025'!$D$2:$D$2437,$B101,'июль 2025'!$J$2:$J$2437,AD$1)</f>
        <v>0</v>
      </c>
      <c r="AE101" s="76">
        <f>SUMIFS('июль 2025'!$G$2:$G$2437,'июль 2025'!$D$2:$D$2437,$B101,'июль 2025'!$J$2:$J$2437,AE$1)</f>
        <v>0</v>
      </c>
      <c r="AF101" s="76">
        <f>SUMIFS('июль 2025'!$G$2:$G$2437,'июль 2025'!$D$2:$D$2437,$B101,'июль 2025'!$J$2:$J$2437,AF$1)</f>
        <v>0</v>
      </c>
      <c r="AG101" s="76">
        <f>SUMIFS('июль 2025'!$G$2:$G$2437,'июль 2025'!$D$2:$D$2437,$B101,'июль 2025'!$J$2:$J$2437,AG$1)</f>
        <v>0</v>
      </c>
      <c r="AH101" s="76">
        <f>SUMIFS('июль 2025'!$G$2:$G$2437,'июль 2025'!$D$2:$D$2437,$B101,'июль 2025'!$J$2:$J$2437,AH$1)</f>
        <v>0</v>
      </c>
      <c r="AI101" s="20">
        <f t="shared" si="1"/>
        <v>0</v>
      </c>
    </row>
    <row r="102" spans="2:35" ht="15" customHeight="1" x14ac:dyDescent="0.25">
      <c r="B102" s="88" t="s">
        <v>1437</v>
      </c>
      <c r="C102" s="86">
        <v>190</v>
      </c>
      <c r="D102" s="76">
        <f>SUMIFS('июль 2025'!$G$2:$G$2437,'июль 2025'!$D$2:$D$2437,$B102,'июль 2025'!$J$2:$J$2437,D$1)</f>
        <v>0</v>
      </c>
      <c r="E102" s="76">
        <f>SUMIFS('июль 2025'!$G$2:$G$2437,'июль 2025'!$D$2:$D$2437,$B102,'июль 2025'!$J$2:$J$2437,E$1)</f>
        <v>0</v>
      </c>
      <c r="F102" s="76">
        <f>SUMIFS('июль 2025'!$G$2:$G$2437,'июль 2025'!$D$2:$D$2437,$B102,'июль 2025'!$J$2:$J$2437,F$1)</f>
        <v>0</v>
      </c>
      <c r="G102" s="76">
        <f>SUMIFS('июль 2025'!$G$2:$G$2437,'июль 2025'!$D$2:$D$2437,$B102,'июль 2025'!$J$2:$J$2437,G$1)</f>
        <v>0</v>
      </c>
      <c r="H102" s="76">
        <f>SUMIFS('июль 2025'!$G$2:$G$2437,'июль 2025'!$D$2:$D$2437,$B102,'июль 2025'!$J$2:$J$2437,H$1)</f>
        <v>0</v>
      </c>
      <c r="I102" s="76">
        <f>SUMIFS('июль 2025'!$G$2:$G$2437,'июль 2025'!$D$2:$D$2437,$B102,'июль 2025'!$J$2:$J$2437,I$1)</f>
        <v>0</v>
      </c>
      <c r="J102" s="76">
        <f>SUMIFS('июль 2025'!$G$2:$G$2437,'июль 2025'!$D$2:$D$2437,$B102,'июль 2025'!$J$2:$J$2437,J$1)</f>
        <v>0</v>
      </c>
      <c r="K102" s="76">
        <f>SUMIFS('июль 2025'!$G$2:$G$2437,'июль 2025'!$D$2:$D$2437,$B102,'июль 2025'!$J$2:$J$2437,K$1)</f>
        <v>0</v>
      </c>
      <c r="L102" s="76">
        <f>SUMIFS('июль 2025'!$G$2:$G$2437,'июль 2025'!$D$2:$D$2437,$B102,'июль 2025'!$J$2:$J$2437,L$1)</f>
        <v>0</v>
      </c>
      <c r="M102" s="76">
        <f>SUMIFS('июль 2025'!$G$2:$G$2437,'июль 2025'!$D$2:$D$2437,$B102,'июль 2025'!$J$2:$J$2437,M$1)</f>
        <v>0</v>
      </c>
      <c r="N102" s="76">
        <f>SUMIFS('июль 2025'!$G$2:$G$2437,'июль 2025'!$D$2:$D$2437,$B102,'июль 2025'!$J$2:$J$2437,N$1)</f>
        <v>0</v>
      </c>
      <c r="O102" s="76">
        <f>SUMIFS('июль 2025'!$G$2:$G$2437,'июль 2025'!$D$2:$D$2437,$B102,'июль 2025'!$J$2:$J$2437,O$1)</f>
        <v>0</v>
      </c>
      <c r="P102" s="76">
        <f>SUMIFS('июль 2025'!$G$2:$G$2437,'июль 2025'!$D$2:$D$2437,$B102,'июль 2025'!$J$2:$J$2437,P$1)</f>
        <v>0</v>
      </c>
      <c r="Q102" s="76">
        <f>SUMIFS('июль 2025'!$G$2:$G$2437,'июль 2025'!$D$2:$D$2437,$B102,'июль 2025'!$J$2:$J$2437,Q$1)</f>
        <v>0</v>
      </c>
      <c r="R102" s="76">
        <f>SUMIFS('июль 2025'!$G$2:$G$2437,'июль 2025'!$D$2:$D$2437,$B102,'июль 2025'!$J$2:$J$2437,R$1)</f>
        <v>0</v>
      </c>
      <c r="S102" s="76">
        <f>SUMIFS('июль 2025'!$G$2:$G$2437,'июль 2025'!$D$2:$D$2437,$B102,'июль 2025'!$J$2:$J$2437,S$1)</f>
        <v>0</v>
      </c>
      <c r="T102" s="76">
        <f>SUMIFS('июль 2025'!$G$2:$G$2437,'июль 2025'!$D$2:$D$2437,$B102,'июль 2025'!$J$2:$J$2437,T$1)</f>
        <v>0</v>
      </c>
      <c r="U102" s="76">
        <f>SUMIFS('июль 2025'!$G$2:$G$2437,'июль 2025'!$D$2:$D$2437,$B102,'июль 2025'!$J$2:$J$2437,U$1)</f>
        <v>0</v>
      </c>
      <c r="V102" s="76">
        <f>SUMIFS('июль 2025'!$G$2:$G$2437,'июль 2025'!$D$2:$D$2437,$B102,'июль 2025'!$J$2:$J$2437,V$1)</f>
        <v>0</v>
      </c>
      <c r="W102" s="76">
        <f>SUMIFS('июль 2025'!$G$2:$G$2437,'июль 2025'!$D$2:$D$2437,$B102,'июль 2025'!$J$2:$J$2437,W$1)</f>
        <v>0</v>
      </c>
      <c r="X102" s="76">
        <f>SUMIFS('июль 2025'!$G$2:$G$2437,'июль 2025'!$D$2:$D$2437,$B102,'июль 2025'!$J$2:$J$2437,X$1)</f>
        <v>0</v>
      </c>
      <c r="Y102" s="76">
        <f>SUMIFS('июль 2025'!$G$2:$G$2437,'июль 2025'!$D$2:$D$2437,$B102,'июль 2025'!$J$2:$J$2437,Y$1)</f>
        <v>0</v>
      </c>
      <c r="Z102" s="76">
        <f>SUMIFS('июль 2025'!$G$2:$G$2437,'июль 2025'!$D$2:$D$2437,$B102,'июль 2025'!$J$2:$J$2437,Z$1)</f>
        <v>0</v>
      </c>
      <c r="AA102" s="76">
        <f>SUMIFS('июль 2025'!$G$2:$G$2437,'июль 2025'!$D$2:$D$2437,$B102,'июль 2025'!$J$2:$J$2437,AA$1)</f>
        <v>0</v>
      </c>
      <c r="AB102" s="76">
        <f>SUMIFS('июль 2025'!$G$2:$G$2437,'июль 2025'!$D$2:$D$2437,$B102,'июль 2025'!$J$2:$J$2437,AB$1)</f>
        <v>0</v>
      </c>
      <c r="AC102" s="76">
        <f>SUMIFS('июль 2025'!$G$2:$G$2437,'июль 2025'!$D$2:$D$2437,$B102,'июль 2025'!$J$2:$J$2437,AC$1)</f>
        <v>0</v>
      </c>
      <c r="AD102" s="76">
        <f>SUMIFS('июль 2025'!$G$2:$G$2437,'июль 2025'!$D$2:$D$2437,$B102,'июль 2025'!$J$2:$J$2437,AD$1)</f>
        <v>0</v>
      </c>
      <c r="AE102" s="76">
        <f>SUMIFS('июль 2025'!$G$2:$G$2437,'июль 2025'!$D$2:$D$2437,$B102,'июль 2025'!$J$2:$J$2437,AE$1)</f>
        <v>0</v>
      </c>
      <c r="AF102" s="76">
        <f>SUMIFS('июль 2025'!$G$2:$G$2437,'июль 2025'!$D$2:$D$2437,$B102,'июль 2025'!$J$2:$J$2437,AF$1)</f>
        <v>0</v>
      </c>
      <c r="AG102" s="76">
        <f>SUMIFS('июль 2025'!$G$2:$G$2437,'июль 2025'!$D$2:$D$2437,$B102,'июль 2025'!$J$2:$J$2437,AG$1)</f>
        <v>0</v>
      </c>
      <c r="AH102" s="76">
        <f>SUMIFS('июль 2025'!$G$2:$G$2437,'июль 2025'!$D$2:$D$2437,$B102,'июль 2025'!$J$2:$J$2437,AH$1)</f>
        <v>0</v>
      </c>
      <c r="AI102" s="20">
        <f t="shared" si="1"/>
        <v>0</v>
      </c>
    </row>
    <row r="103" spans="2:35" ht="15" customHeight="1" x14ac:dyDescent="0.25">
      <c r="B103" s="88" t="s">
        <v>282</v>
      </c>
      <c r="C103" s="86">
        <v>190</v>
      </c>
      <c r="D103" s="76">
        <f>SUMIFS('июль 2025'!$G$2:$G$2437,'июль 2025'!$D$2:$D$2437,$B103,'июль 2025'!$J$2:$J$2437,D$1)</f>
        <v>0</v>
      </c>
      <c r="E103" s="76">
        <f>SUMIFS('июль 2025'!$G$2:$G$2437,'июль 2025'!$D$2:$D$2437,$B103,'июль 2025'!$J$2:$J$2437,E$1)</f>
        <v>0</v>
      </c>
      <c r="F103" s="76">
        <f>SUMIFS('июль 2025'!$G$2:$G$2437,'июль 2025'!$D$2:$D$2437,$B103,'июль 2025'!$J$2:$J$2437,F$1)</f>
        <v>0</v>
      </c>
      <c r="G103" s="76">
        <f>SUMIFS('июль 2025'!$G$2:$G$2437,'июль 2025'!$D$2:$D$2437,$B103,'июль 2025'!$J$2:$J$2437,G$1)</f>
        <v>0</v>
      </c>
      <c r="H103" s="76">
        <f>SUMIFS('июль 2025'!$G$2:$G$2437,'июль 2025'!$D$2:$D$2437,$B103,'июль 2025'!$J$2:$J$2437,H$1)</f>
        <v>0</v>
      </c>
      <c r="I103" s="76">
        <f>SUMIFS('июль 2025'!$G$2:$G$2437,'июль 2025'!$D$2:$D$2437,$B103,'июль 2025'!$J$2:$J$2437,I$1)</f>
        <v>0</v>
      </c>
      <c r="J103" s="76">
        <f>SUMIFS('июль 2025'!$G$2:$G$2437,'июль 2025'!$D$2:$D$2437,$B103,'июль 2025'!$J$2:$J$2437,J$1)</f>
        <v>0</v>
      </c>
      <c r="K103" s="76">
        <f>SUMIFS('июль 2025'!$G$2:$G$2437,'июль 2025'!$D$2:$D$2437,$B103,'июль 2025'!$J$2:$J$2437,K$1)</f>
        <v>0</v>
      </c>
      <c r="L103" s="76">
        <f>SUMIFS('июль 2025'!$G$2:$G$2437,'июль 2025'!$D$2:$D$2437,$B103,'июль 2025'!$J$2:$J$2437,L$1)</f>
        <v>0</v>
      </c>
      <c r="M103" s="76">
        <f>SUMIFS('июль 2025'!$G$2:$G$2437,'июль 2025'!$D$2:$D$2437,$B103,'июль 2025'!$J$2:$J$2437,M$1)</f>
        <v>0</v>
      </c>
      <c r="N103" s="76">
        <f>SUMIFS('июль 2025'!$G$2:$G$2437,'июль 2025'!$D$2:$D$2437,$B103,'июль 2025'!$J$2:$J$2437,N$1)</f>
        <v>0</v>
      </c>
      <c r="O103" s="76">
        <f>SUMIFS('июль 2025'!$G$2:$G$2437,'июль 2025'!$D$2:$D$2437,$B103,'июль 2025'!$J$2:$J$2437,O$1)</f>
        <v>0</v>
      </c>
      <c r="P103" s="76">
        <f>SUMIFS('июль 2025'!$G$2:$G$2437,'июль 2025'!$D$2:$D$2437,$B103,'июль 2025'!$J$2:$J$2437,P$1)</f>
        <v>0</v>
      </c>
      <c r="Q103" s="76">
        <f>SUMIFS('июль 2025'!$G$2:$G$2437,'июль 2025'!$D$2:$D$2437,$B103,'июль 2025'!$J$2:$J$2437,Q$1)</f>
        <v>0</v>
      </c>
      <c r="R103" s="76">
        <f>SUMIFS('июль 2025'!$G$2:$G$2437,'июль 2025'!$D$2:$D$2437,$B103,'июль 2025'!$J$2:$J$2437,R$1)</f>
        <v>0</v>
      </c>
      <c r="S103" s="76">
        <f>SUMIFS('июль 2025'!$G$2:$G$2437,'июль 2025'!$D$2:$D$2437,$B103,'июль 2025'!$J$2:$J$2437,S$1)</f>
        <v>0</v>
      </c>
      <c r="T103" s="76">
        <f>SUMIFS('июль 2025'!$G$2:$G$2437,'июль 2025'!$D$2:$D$2437,$B103,'июль 2025'!$J$2:$J$2437,T$1)</f>
        <v>0</v>
      </c>
      <c r="U103" s="76">
        <f>SUMIFS('июль 2025'!$G$2:$G$2437,'июль 2025'!$D$2:$D$2437,$B103,'июль 2025'!$J$2:$J$2437,U$1)</f>
        <v>0</v>
      </c>
      <c r="V103" s="76">
        <f>SUMIFS('июль 2025'!$G$2:$G$2437,'июль 2025'!$D$2:$D$2437,$B103,'июль 2025'!$J$2:$J$2437,V$1)</f>
        <v>0</v>
      </c>
      <c r="W103" s="76">
        <f>SUMIFS('июль 2025'!$G$2:$G$2437,'июль 2025'!$D$2:$D$2437,$B103,'июль 2025'!$J$2:$J$2437,W$1)</f>
        <v>0</v>
      </c>
      <c r="X103" s="76">
        <f>SUMIFS('июль 2025'!$G$2:$G$2437,'июль 2025'!$D$2:$D$2437,$B103,'июль 2025'!$J$2:$J$2437,X$1)</f>
        <v>0</v>
      </c>
      <c r="Y103" s="76">
        <f>SUMIFS('июль 2025'!$G$2:$G$2437,'июль 2025'!$D$2:$D$2437,$B103,'июль 2025'!$J$2:$J$2437,Y$1)</f>
        <v>0</v>
      </c>
      <c r="Z103" s="76">
        <f>SUMIFS('июль 2025'!$G$2:$G$2437,'июль 2025'!$D$2:$D$2437,$B103,'июль 2025'!$J$2:$J$2437,Z$1)</f>
        <v>0</v>
      </c>
      <c r="AA103" s="76">
        <f>SUMIFS('июль 2025'!$G$2:$G$2437,'июль 2025'!$D$2:$D$2437,$B103,'июль 2025'!$J$2:$J$2437,AA$1)</f>
        <v>0</v>
      </c>
      <c r="AB103" s="76">
        <f>SUMIFS('июль 2025'!$G$2:$G$2437,'июль 2025'!$D$2:$D$2437,$B103,'июль 2025'!$J$2:$J$2437,AB$1)</f>
        <v>0</v>
      </c>
      <c r="AC103" s="76">
        <f>SUMIFS('июль 2025'!$G$2:$G$2437,'июль 2025'!$D$2:$D$2437,$B103,'июль 2025'!$J$2:$J$2437,AC$1)</f>
        <v>0</v>
      </c>
      <c r="AD103" s="76">
        <f>SUMIFS('июль 2025'!$G$2:$G$2437,'июль 2025'!$D$2:$D$2437,$B103,'июль 2025'!$J$2:$J$2437,AD$1)</f>
        <v>0</v>
      </c>
      <c r="AE103" s="76">
        <f>SUMIFS('июль 2025'!$G$2:$G$2437,'июль 2025'!$D$2:$D$2437,$B103,'июль 2025'!$J$2:$J$2437,AE$1)</f>
        <v>0</v>
      </c>
      <c r="AF103" s="76">
        <f>SUMIFS('июль 2025'!$G$2:$G$2437,'июль 2025'!$D$2:$D$2437,$B103,'июль 2025'!$J$2:$J$2437,AF$1)</f>
        <v>0</v>
      </c>
      <c r="AG103" s="76">
        <f>SUMIFS('июль 2025'!$G$2:$G$2437,'июль 2025'!$D$2:$D$2437,$B103,'июль 2025'!$J$2:$J$2437,AG$1)</f>
        <v>0</v>
      </c>
      <c r="AH103" s="76">
        <f>SUMIFS('июль 2025'!$G$2:$G$2437,'июль 2025'!$D$2:$D$2437,$B103,'июль 2025'!$J$2:$J$2437,AH$1)</f>
        <v>0</v>
      </c>
      <c r="AI103" s="20">
        <f t="shared" si="1"/>
        <v>0</v>
      </c>
    </row>
    <row r="104" spans="2:35" ht="15" customHeight="1" x14ac:dyDescent="0.25">
      <c r="B104" s="88" t="s">
        <v>258</v>
      </c>
      <c r="C104" s="86">
        <v>180</v>
      </c>
      <c r="D104" s="76">
        <f>SUMIFS('июль 2025'!$G$2:$G$2437,'июль 2025'!$D$2:$D$2437,$B104,'июль 2025'!$J$2:$J$2437,D$1)</f>
        <v>0</v>
      </c>
      <c r="E104" s="76">
        <f>SUMIFS('июль 2025'!$G$2:$G$2437,'июль 2025'!$D$2:$D$2437,$B104,'июль 2025'!$J$2:$J$2437,E$1)</f>
        <v>0</v>
      </c>
      <c r="F104" s="76">
        <f>SUMIFS('июль 2025'!$G$2:$G$2437,'июль 2025'!$D$2:$D$2437,$B104,'июль 2025'!$J$2:$J$2437,F$1)</f>
        <v>0</v>
      </c>
      <c r="G104" s="76">
        <f>SUMIFS('июль 2025'!$G$2:$G$2437,'июль 2025'!$D$2:$D$2437,$B104,'июль 2025'!$J$2:$J$2437,G$1)</f>
        <v>0</v>
      </c>
      <c r="H104" s="76">
        <f>SUMIFS('июль 2025'!$G$2:$G$2437,'июль 2025'!$D$2:$D$2437,$B104,'июль 2025'!$J$2:$J$2437,H$1)</f>
        <v>0</v>
      </c>
      <c r="I104" s="76">
        <f>SUMIFS('июль 2025'!$G$2:$G$2437,'июль 2025'!$D$2:$D$2437,$B104,'июль 2025'!$J$2:$J$2437,I$1)</f>
        <v>0</v>
      </c>
      <c r="J104" s="76">
        <f>SUMIFS('июль 2025'!$G$2:$G$2437,'июль 2025'!$D$2:$D$2437,$B104,'июль 2025'!$J$2:$J$2437,J$1)</f>
        <v>0</v>
      </c>
      <c r="K104" s="76">
        <f>SUMIFS('июль 2025'!$G$2:$G$2437,'июль 2025'!$D$2:$D$2437,$B104,'июль 2025'!$J$2:$J$2437,K$1)</f>
        <v>0</v>
      </c>
      <c r="L104" s="76">
        <f>SUMIFS('июль 2025'!$G$2:$G$2437,'июль 2025'!$D$2:$D$2437,$B104,'июль 2025'!$J$2:$J$2437,L$1)</f>
        <v>0</v>
      </c>
      <c r="M104" s="76">
        <f>SUMIFS('июль 2025'!$G$2:$G$2437,'июль 2025'!$D$2:$D$2437,$B104,'июль 2025'!$J$2:$J$2437,M$1)</f>
        <v>0</v>
      </c>
      <c r="N104" s="76">
        <f>SUMIFS('июль 2025'!$G$2:$G$2437,'июль 2025'!$D$2:$D$2437,$B104,'июль 2025'!$J$2:$J$2437,N$1)</f>
        <v>0</v>
      </c>
      <c r="O104" s="76">
        <f>SUMIFS('июль 2025'!$G$2:$G$2437,'июль 2025'!$D$2:$D$2437,$B104,'июль 2025'!$J$2:$J$2437,O$1)</f>
        <v>0</v>
      </c>
      <c r="P104" s="76">
        <f>SUMIFS('июль 2025'!$G$2:$G$2437,'июль 2025'!$D$2:$D$2437,$B104,'июль 2025'!$J$2:$J$2437,P$1)</f>
        <v>0</v>
      </c>
      <c r="Q104" s="76">
        <f>SUMIFS('июль 2025'!$G$2:$G$2437,'июль 2025'!$D$2:$D$2437,$B104,'июль 2025'!$J$2:$J$2437,Q$1)</f>
        <v>0</v>
      </c>
      <c r="R104" s="76">
        <f>SUMIFS('июль 2025'!$G$2:$G$2437,'июль 2025'!$D$2:$D$2437,$B104,'июль 2025'!$J$2:$J$2437,R$1)</f>
        <v>0</v>
      </c>
      <c r="S104" s="76">
        <f>SUMIFS('июль 2025'!$G$2:$G$2437,'июль 2025'!$D$2:$D$2437,$B104,'июль 2025'!$J$2:$J$2437,S$1)</f>
        <v>0</v>
      </c>
      <c r="T104" s="76">
        <f>SUMIFS('июль 2025'!$G$2:$G$2437,'июль 2025'!$D$2:$D$2437,$B104,'июль 2025'!$J$2:$J$2437,T$1)</f>
        <v>0</v>
      </c>
      <c r="U104" s="76">
        <f>SUMIFS('июль 2025'!$G$2:$G$2437,'июль 2025'!$D$2:$D$2437,$B104,'июль 2025'!$J$2:$J$2437,U$1)</f>
        <v>0</v>
      </c>
      <c r="V104" s="76">
        <f>SUMIFS('июль 2025'!$G$2:$G$2437,'июль 2025'!$D$2:$D$2437,$B104,'июль 2025'!$J$2:$J$2437,V$1)</f>
        <v>0</v>
      </c>
      <c r="W104" s="76">
        <f>SUMIFS('июль 2025'!$G$2:$G$2437,'июль 2025'!$D$2:$D$2437,$B104,'июль 2025'!$J$2:$J$2437,W$1)</f>
        <v>0</v>
      </c>
      <c r="X104" s="76">
        <f>SUMIFS('июль 2025'!$G$2:$G$2437,'июль 2025'!$D$2:$D$2437,$B104,'июль 2025'!$J$2:$J$2437,X$1)</f>
        <v>0</v>
      </c>
      <c r="Y104" s="76">
        <f>SUMIFS('июль 2025'!$G$2:$G$2437,'июль 2025'!$D$2:$D$2437,$B104,'июль 2025'!$J$2:$J$2437,Y$1)</f>
        <v>0</v>
      </c>
      <c r="Z104" s="76">
        <f>SUMIFS('июль 2025'!$G$2:$G$2437,'июль 2025'!$D$2:$D$2437,$B104,'июль 2025'!$J$2:$J$2437,Z$1)</f>
        <v>0</v>
      </c>
      <c r="AA104" s="76">
        <f>SUMIFS('июль 2025'!$G$2:$G$2437,'июль 2025'!$D$2:$D$2437,$B104,'июль 2025'!$J$2:$J$2437,AA$1)</f>
        <v>0</v>
      </c>
      <c r="AB104" s="76">
        <f>SUMIFS('июль 2025'!$G$2:$G$2437,'июль 2025'!$D$2:$D$2437,$B104,'июль 2025'!$J$2:$J$2437,AB$1)</f>
        <v>0</v>
      </c>
      <c r="AC104" s="76">
        <f>SUMIFS('июль 2025'!$G$2:$G$2437,'июль 2025'!$D$2:$D$2437,$B104,'июль 2025'!$J$2:$J$2437,AC$1)</f>
        <v>0</v>
      </c>
      <c r="AD104" s="76">
        <f>SUMIFS('июль 2025'!$G$2:$G$2437,'июль 2025'!$D$2:$D$2437,$B104,'июль 2025'!$J$2:$J$2437,AD$1)</f>
        <v>0</v>
      </c>
      <c r="AE104" s="76">
        <f>SUMIFS('июль 2025'!$G$2:$G$2437,'июль 2025'!$D$2:$D$2437,$B104,'июль 2025'!$J$2:$J$2437,AE$1)</f>
        <v>0</v>
      </c>
      <c r="AF104" s="76">
        <f>SUMIFS('июль 2025'!$G$2:$G$2437,'июль 2025'!$D$2:$D$2437,$B104,'июль 2025'!$J$2:$J$2437,AF$1)</f>
        <v>0</v>
      </c>
      <c r="AG104" s="76">
        <f>SUMIFS('июль 2025'!$G$2:$G$2437,'июль 2025'!$D$2:$D$2437,$B104,'июль 2025'!$J$2:$J$2437,AG$1)</f>
        <v>0</v>
      </c>
      <c r="AH104" s="76">
        <f>SUMIFS('июль 2025'!$G$2:$G$2437,'июль 2025'!$D$2:$D$2437,$B104,'июль 2025'!$J$2:$J$2437,AH$1)</f>
        <v>0</v>
      </c>
      <c r="AI104" s="20">
        <f t="shared" si="1"/>
        <v>0</v>
      </c>
    </row>
    <row r="105" spans="2:35" ht="15" customHeight="1" x14ac:dyDescent="0.25">
      <c r="B105" s="88" t="s">
        <v>259</v>
      </c>
      <c r="C105" s="86">
        <v>180</v>
      </c>
      <c r="D105" s="76">
        <f>SUMIFS('июль 2025'!$G$2:$G$2437,'июль 2025'!$D$2:$D$2437,$B105,'июль 2025'!$J$2:$J$2437,D$1)</f>
        <v>0</v>
      </c>
      <c r="E105" s="76">
        <f>SUMIFS('июль 2025'!$G$2:$G$2437,'июль 2025'!$D$2:$D$2437,$B105,'июль 2025'!$J$2:$J$2437,E$1)</f>
        <v>0</v>
      </c>
      <c r="F105" s="76">
        <f>SUMIFS('июль 2025'!$G$2:$G$2437,'июль 2025'!$D$2:$D$2437,$B105,'июль 2025'!$J$2:$J$2437,F$1)</f>
        <v>0</v>
      </c>
      <c r="G105" s="76">
        <f>SUMIFS('июль 2025'!$G$2:$G$2437,'июль 2025'!$D$2:$D$2437,$B105,'июль 2025'!$J$2:$J$2437,G$1)</f>
        <v>0</v>
      </c>
      <c r="H105" s="76">
        <f>SUMIFS('июль 2025'!$G$2:$G$2437,'июль 2025'!$D$2:$D$2437,$B105,'июль 2025'!$J$2:$J$2437,H$1)</f>
        <v>0</v>
      </c>
      <c r="I105" s="76">
        <f>SUMIFS('июль 2025'!$G$2:$G$2437,'июль 2025'!$D$2:$D$2437,$B105,'июль 2025'!$J$2:$J$2437,I$1)</f>
        <v>0</v>
      </c>
      <c r="J105" s="76">
        <f>SUMIFS('июль 2025'!$G$2:$G$2437,'июль 2025'!$D$2:$D$2437,$B105,'июль 2025'!$J$2:$J$2437,J$1)</f>
        <v>0</v>
      </c>
      <c r="K105" s="76">
        <f>SUMIFS('июль 2025'!$G$2:$G$2437,'июль 2025'!$D$2:$D$2437,$B105,'июль 2025'!$J$2:$J$2437,K$1)</f>
        <v>0</v>
      </c>
      <c r="L105" s="76">
        <f>SUMIFS('июль 2025'!$G$2:$G$2437,'июль 2025'!$D$2:$D$2437,$B105,'июль 2025'!$J$2:$J$2437,L$1)</f>
        <v>0</v>
      </c>
      <c r="M105" s="76">
        <f>SUMIFS('июль 2025'!$G$2:$G$2437,'июль 2025'!$D$2:$D$2437,$B105,'июль 2025'!$J$2:$J$2437,M$1)</f>
        <v>0</v>
      </c>
      <c r="N105" s="76">
        <f>SUMIFS('июль 2025'!$G$2:$G$2437,'июль 2025'!$D$2:$D$2437,$B105,'июль 2025'!$J$2:$J$2437,N$1)</f>
        <v>0</v>
      </c>
      <c r="O105" s="76">
        <f>SUMIFS('июль 2025'!$G$2:$G$2437,'июль 2025'!$D$2:$D$2437,$B105,'июль 2025'!$J$2:$J$2437,O$1)</f>
        <v>0</v>
      </c>
      <c r="P105" s="76">
        <f>SUMIFS('июль 2025'!$G$2:$G$2437,'июль 2025'!$D$2:$D$2437,$B105,'июль 2025'!$J$2:$J$2437,P$1)</f>
        <v>0</v>
      </c>
      <c r="Q105" s="76">
        <f>SUMIFS('июль 2025'!$G$2:$G$2437,'июль 2025'!$D$2:$D$2437,$B105,'июль 2025'!$J$2:$J$2437,Q$1)</f>
        <v>0</v>
      </c>
      <c r="R105" s="76">
        <f>SUMIFS('июль 2025'!$G$2:$G$2437,'июль 2025'!$D$2:$D$2437,$B105,'июль 2025'!$J$2:$J$2437,R$1)</f>
        <v>0</v>
      </c>
      <c r="S105" s="76">
        <f>SUMIFS('июль 2025'!$G$2:$G$2437,'июль 2025'!$D$2:$D$2437,$B105,'июль 2025'!$J$2:$J$2437,S$1)</f>
        <v>0</v>
      </c>
      <c r="T105" s="76">
        <f>SUMIFS('июль 2025'!$G$2:$G$2437,'июль 2025'!$D$2:$D$2437,$B105,'июль 2025'!$J$2:$J$2437,T$1)</f>
        <v>0</v>
      </c>
      <c r="U105" s="76">
        <f>SUMIFS('июль 2025'!$G$2:$G$2437,'июль 2025'!$D$2:$D$2437,$B105,'июль 2025'!$J$2:$J$2437,U$1)</f>
        <v>0</v>
      </c>
      <c r="V105" s="76">
        <f>SUMIFS('июль 2025'!$G$2:$G$2437,'июль 2025'!$D$2:$D$2437,$B105,'июль 2025'!$J$2:$J$2437,V$1)</f>
        <v>0</v>
      </c>
      <c r="W105" s="76">
        <f>SUMIFS('июль 2025'!$G$2:$G$2437,'июль 2025'!$D$2:$D$2437,$B105,'июль 2025'!$J$2:$J$2437,W$1)</f>
        <v>0</v>
      </c>
      <c r="X105" s="76">
        <f>SUMIFS('июль 2025'!$G$2:$G$2437,'июль 2025'!$D$2:$D$2437,$B105,'июль 2025'!$J$2:$J$2437,X$1)</f>
        <v>0</v>
      </c>
      <c r="Y105" s="76">
        <f>SUMIFS('июль 2025'!$G$2:$G$2437,'июль 2025'!$D$2:$D$2437,$B105,'июль 2025'!$J$2:$J$2437,Y$1)</f>
        <v>0</v>
      </c>
      <c r="Z105" s="76">
        <f>SUMIFS('июль 2025'!$G$2:$G$2437,'июль 2025'!$D$2:$D$2437,$B105,'июль 2025'!$J$2:$J$2437,Z$1)</f>
        <v>0</v>
      </c>
      <c r="AA105" s="76">
        <f>SUMIFS('июль 2025'!$G$2:$G$2437,'июль 2025'!$D$2:$D$2437,$B105,'июль 2025'!$J$2:$J$2437,AA$1)</f>
        <v>0</v>
      </c>
      <c r="AB105" s="76">
        <f>SUMIFS('июль 2025'!$G$2:$G$2437,'июль 2025'!$D$2:$D$2437,$B105,'июль 2025'!$J$2:$J$2437,AB$1)</f>
        <v>0</v>
      </c>
      <c r="AC105" s="76">
        <f>SUMIFS('июль 2025'!$G$2:$G$2437,'июль 2025'!$D$2:$D$2437,$B105,'июль 2025'!$J$2:$J$2437,AC$1)</f>
        <v>0</v>
      </c>
      <c r="AD105" s="76">
        <f>SUMIFS('июль 2025'!$G$2:$G$2437,'июль 2025'!$D$2:$D$2437,$B105,'июль 2025'!$J$2:$J$2437,AD$1)</f>
        <v>0</v>
      </c>
      <c r="AE105" s="76">
        <f>SUMIFS('июль 2025'!$G$2:$G$2437,'июль 2025'!$D$2:$D$2437,$B105,'июль 2025'!$J$2:$J$2437,AE$1)</f>
        <v>0</v>
      </c>
      <c r="AF105" s="76">
        <f>SUMIFS('июль 2025'!$G$2:$G$2437,'июль 2025'!$D$2:$D$2437,$B105,'июль 2025'!$J$2:$J$2437,AF$1)</f>
        <v>0</v>
      </c>
      <c r="AG105" s="76">
        <f>SUMIFS('июль 2025'!$G$2:$G$2437,'июль 2025'!$D$2:$D$2437,$B105,'июль 2025'!$J$2:$J$2437,AG$1)</f>
        <v>0</v>
      </c>
      <c r="AH105" s="76">
        <f>SUMIFS('июль 2025'!$G$2:$G$2437,'июль 2025'!$D$2:$D$2437,$B105,'июль 2025'!$J$2:$J$2437,AH$1)</f>
        <v>0</v>
      </c>
      <c r="AI105" s="20">
        <f t="shared" si="1"/>
        <v>0</v>
      </c>
    </row>
    <row r="106" spans="2:35" ht="15" customHeight="1" x14ac:dyDescent="0.25">
      <c r="B106" s="88" t="s">
        <v>289</v>
      </c>
      <c r="C106" s="86">
        <v>20</v>
      </c>
      <c r="D106" s="76">
        <f>SUMIFS('июль 2025'!$G$2:$G$2437,'июль 2025'!$D$2:$D$2437,$B106,'июль 2025'!$J$2:$J$2437,D$1)</f>
        <v>0</v>
      </c>
      <c r="E106" s="76">
        <f>SUMIFS('июль 2025'!$G$2:$G$2437,'июль 2025'!$D$2:$D$2437,$B106,'июль 2025'!$J$2:$J$2437,E$1)</f>
        <v>0</v>
      </c>
      <c r="F106" s="76">
        <f>SUMIFS('июль 2025'!$G$2:$G$2437,'июль 2025'!$D$2:$D$2437,$B106,'июль 2025'!$J$2:$J$2437,F$1)</f>
        <v>0</v>
      </c>
      <c r="G106" s="76">
        <f>SUMIFS('июль 2025'!$G$2:$G$2437,'июль 2025'!$D$2:$D$2437,$B106,'июль 2025'!$J$2:$J$2437,G$1)</f>
        <v>0</v>
      </c>
      <c r="H106" s="76">
        <f>SUMIFS('июль 2025'!$G$2:$G$2437,'июль 2025'!$D$2:$D$2437,$B106,'июль 2025'!$J$2:$J$2437,H$1)</f>
        <v>0</v>
      </c>
      <c r="I106" s="76">
        <f>SUMIFS('июль 2025'!$G$2:$G$2437,'июль 2025'!$D$2:$D$2437,$B106,'июль 2025'!$J$2:$J$2437,I$1)</f>
        <v>0</v>
      </c>
      <c r="J106" s="76">
        <f>SUMIFS('июль 2025'!$G$2:$G$2437,'июль 2025'!$D$2:$D$2437,$B106,'июль 2025'!$J$2:$J$2437,J$1)</f>
        <v>0</v>
      </c>
      <c r="K106" s="76">
        <f>SUMIFS('июль 2025'!$G$2:$G$2437,'июль 2025'!$D$2:$D$2437,$B106,'июль 2025'!$J$2:$J$2437,K$1)</f>
        <v>0</v>
      </c>
      <c r="L106" s="76">
        <f>SUMIFS('июль 2025'!$G$2:$G$2437,'июль 2025'!$D$2:$D$2437,$B106,'июль 2025'!$J$2:$J$2437,L$1)</f>
        <v>0</v>
      </c>
      <c r="M106" s="76">
        <f>SUMIFS('июль 2025'!$G$2:$G$2437,'июль 2025'!$D$2:$D$2437,$B106,'июль 2025'!$J$2:$J$2437,M$1)</f>
        <v>0</v>
      </c>
      <c r="N106" s="76">
        <f>SUMIFS('июль 2025'!$G$2:$G$2437,'июль 2025'!$D$2:$D$2437,$B106,'июль 2025'!$J$2:$J$2437,N$1)</f>
        <v>0</v>
      </c>
      <c r="O106" s="76">
        <f>SUMIFS('июль 2025'!$G$2:$G$2437,'июль 2025'!$D$2:$D$2437,$B106,'июль 2025'!$J$2:$J$2437,O$1)</f>
        <v>0</v>
      </c>
      <c r="P106" s="76">
        <f>SUMIFS('июль 2025'!$G$2:$G$2437,'июль 2025'!$D$2:$D$2437,$B106,'июль 2025'!$J$2:$J$2437,P$1)</f>
        <v>0</v>
      </c>
      <c r="Q106" s="76">
        <f>SUMIFS('июль 2025'!$G$2:$G$2437,'июль 2025'!$D$2:$D$2437,$B106,'июль 2025'!$J$2:$J$2437,Q$1)</f>
        <v>0</v>
      </c>
      <c r="R106" s="76">
        <f>SUMIFS('июль 2025'!$G$2:$G$2437,'июль 2025'!$D$2:$D$2437,$B106,'июль 2025'!$J$2:$J$2437,R$1)</f>
        <v>0</v>
      </c>
      <c r="S106" s="76">
        <f>SUMIFS('июль 2025'!$G$2:$G$2437,'июль 2025'!$D$2:$D$2437,$B106,'июль 2025'!$J$2:$J$2437,S$1)</f>
        <v>0</v>
      </c>
      <c r="T106" s="76">
        <f>SUMIFS('июль 2025'!$G$2:$G$2437,'июль 2025'!$D$2:$D$2437,$B106,'июль 2025'!$J$2:$J$2437,T$1)</f>
        <v>0</v>
      </c>
      <c r="U106" s="76">
        <f>SUMIFS('июль 2025'!$G$2:$G$2437,'июль 2025'!$D$2:$D$2437,$B106,'июль 2025'!$J$2:$J$2437,U$1)</f>
        <v>0</v>
      </c>
      <c r="V106" s="76">
        <f>SUMIFS('июль 2025'!$G$2:$G$2437,'июль 2025'!$D$2:$D$2437,$B106,'июль 2025'!$J$2:$J$2437,V$1)</f>
        <v>0</v>
      </c>
      <c r="W106" s="76">
        <f>SUMIFS('июль 2025'!$G$2:$G$2437,'июль 2025'!$D$2:$D$2437,$B106,'июль 2025'!$J$2:$J$2437,W$1)</f>
        <v>0</v>
      </c>
      <c r="X106" s="76">
        <f>SUMIFS('июль 2025'!$G$2:$G$2437,'июль 2025'!$D$2:$D$2437,$B106,'июль 2025'!$J$2:$J$2437,X$1)</f>
        <v>0</v>
      </c>
      <c r="Y106" s="76">
        <f>SUMIFS('июль 2025'!$G$2:$G$2437,'июль 2025'!$D$2:$D$2437,$B106,'июль 2025'!$J$2:$J$2437,Y$1)</f>
        <v>0</v>
      </c>
      <c r="Z106" s="76">
        <f>SUMIFS('июль 2025'!$G$2:$G$2437,'июль 2025'!$D$2:$D$2437,$B106,'июль 2025'!$J$2:$J$2437,Z$1)</f>
        <v>0</v>
      </c>
      <c r="AA106" s="76">
        <f>SUMIFS('июль 2025'!$G$2:$G$2437,'июль 2025'!$D$2:$D$2437,$B106,'июль 2025'!$J$2:$J$2437,AA$1)</f>
        <v>0</v>
      </c>
      <c r="AB106" s="76">
        <f>SUMIFS('июль 2025'!$G$2:$G$2437,'июль 2025'!$D$2:$D$2437,$B106,'июль 2025'!$J$2:$J$2437,AB$1)</f>
        <v>0</v>
      </c>
      <c r="AC106" s="76">
        <f>SUMIFS('июль 2025'!$G$2:$G$2437,'июль 2025'!$D$2:$D$2437,$B106,'июль 2025'!$J$2:$J$2437,AC$1)</f>
        <v>0</v>
      </c>
      <c r="AD106" s="76">
        <f>SUMIFS('июль 2025'!$G$2:$G$2437,'июль 2025'!$D$2:$D$2437,$B106,'июль 2025'!$J$2:$J$2437,AD$1)</f>
        <v>0</v>
      </c>
      <c r="AE106" s="76">
        <f>SUMIFS('июль 2025'!$G$2:$G$2437,'июль 2025'!$D$2:$D$2437,$B106,'июль 2025'!$J$2:$J$2437,AE$1)</f>
        <v>0</v>
      </c>
      <c r="AF106" s="76">
        <f>SUMIFS('июль 2025'!$G$2:$G$2437,'июль 2025'!$D$2:$D$2437,$B106,'июль 2025'!$J$2:$J$2437,AF$1)</f>
        <v>0</v>
      </c>
      <c r="AG106" s="76">
        <f>SUMIFS('июль 2025'!$G$2:$G$2437,'июль 2025'!$D$2:$D$2437,$B106,'июль 2025'!$J$2:$J$2437,AG$1)</f>
        <v>0</v>
      </c>
      <c r="AH106" s="76">
        <f>SUMIFS('июль 2025'!$G$2:$G$2437,'июль 2025'!$D$2:$D$2437,$B106,'июль 2025'!$J$2:$J$2437,AH$1)</f>
        <v>0</v>
      </c>
      <c r="AI106" s="20">
        <f t="shared" si="1"/>
        <v>0</v>
      </c>
    </row>
    <row r="107" spans="2:35" ht="15" customHeight="1" x14ac:dyDescent="0.25">
      <c r="B107" s="88" t="s">
        <v>315</v>
      </c>
      <c r="C107" s="86">
        <v>25</v>
      </c>
      <c r="D107" s="76">
        <f>SUMIFS('июль 2025'!$G$2:$G$2437,'июль 2025'!$D$2:$D$2437,$B107,'июль 2025'!$J$2:$J$2437,D$1)</f>
        <v>0</v>
      </c>
      <c r="E107" s="76">
        <f>SUMIFS('июль 2025'!$G$2:$G$2437,'июль 2025'!$D$2:$D$2437,$B107,'июль 2025'!$J$2:$J$2437,E$1)</f>
        <v>0</v>
      </c>
      <c r="F107" s="76">
        <f>SUMIFS('июль 2025'!$G$2:$G$2437,'июль 2025'!$D$2:$D$2437,$B107,'июль 2025'!$J$2:$J$2437,F$1)</f>
        <v>0</v>
      </c>
      <c r="G107" s="76">
        <f>SUMIFS('июль 2025'!$G$2:$G$2437,'июль 2025'!$D$2:$D$2437,$B107,'июль 2025'!$J$2:$J$2437,G$1)</f>
        <v>0</v>
      </c>
      <c r="H107" s="76">
        <f>SUMIFS('июль 2025'!$G$2:$G$2437,'июль 2025'!$D$2:$D$2437,$B107,'июль 2025'!$J$2:$J$2437,H$1)</f>
        <v>0</v>
      </c>
      <c r="I107" s="76">
        <f>SUMIFS('июль 2025'!$G$2:$G$2437,'июль 2025'!$D$2:$D$2437,$B107,'июль 2025'!$J$2:$J$2437,I$1)</f>
        <v>0</v>
      </c>
      <c r="J107" s="76">
        <f>SUMIFS('июль 2025'!$G$2:$G$2437,'июль 2025'!$D$2:$D$2437,$B107,'июль 2025'!$J$2:$J$2437,J$1)</f>
        <v>0</v>
      </c>
      <c r="K107" s="76">
        <f>SUMIFS('июль 2025'!$G$2:$G$2437,'июль 2025'!$D$2:$D$2437,$B107,'июль 2025'!$J$2:$J$2437,K$1)</f>
        <v>0</v>
      </c>
      <c r="L107" s="76">
        <f>SUMIFS('июль 2025'!$G$2:$G$2437,'июль 2025'!$D$2:$D$2437,$B107,'июль 2025'!$J$2:$J$2437,L$1)</f>
        <v>0</v>
      </c>
      <c r="M107" s="76">
        <f>SUMIFS('июль 2025'!$G$2:$G$2437,'июль 2025'!$D$2:$D$2437,$B107,'июль 2025'!$J$2:$J$2437,M$1)</f>
        <v>0</v>
      </c>
      <c r="N107" s="76">
        <f>SUMIFS('июль 2025'!$G$2:$G$2437,'июль 2025'!$D$2:$D$2437,$B107,'июль 2025'!$J$2:$J$2437,N$1)</f>
        <v>0</v>
      </c>
      <c r="O107" s="76">
        <f>SUMIFS('июль 2025'!$G$2:$G$2437,'июль 2025'!$D$2:$D$2437,$B107,'июль 2025'!$J$2:$J$2437,O$1)</f>
        <v>0</v>
      </c>
      <c r="P107" s="76">
        <f>SUMIFS('июль 2025'!$G$2:$G$2437,'июль 2025'!$D$2:$D$2437,$B107,'июль 2025'!$J$2:$J$2437,P$1)</f>
        <v>0</v>
      </c>
      <c r="Q107" s="76">
        <f>SUMIFS('июль 2025'!$G$2:$G$2437,'июль 2025'!$D$2:$D$2437,$B107,'июль 2025'!$J$2:$J$2437,Q$1)</f>
        <v>0</v>
      </c>
      <c r="R107" s="76">
        <f>SUMIFS('июль 2025'!$G$2:$G$2437,'июль 2025'!$D$2:$D$2437,$B107,'июль 2025'!$J$2:$J$2437,R$1)</f>
        <v>0</v>
      </c>
      <c r="S107" s="76">
        <f>SUMIFS('июль 2025'!$G$2:$G$2437,'июль 2025'!$D$2:$D$2437,$B107,'июль 2025'!$J$2:$J$2437,S$1)</f>
        <v>0</v>
      </c>
      <c r="T107" s="76">
        <f>SUMIFS('июль 2025'!$G$2:$G$2437,'июль 2025'!$D$2:$D$2437,$B107,'июль 2025'!$J$2:$J$2437,T$1)</f>
        <v>0</v>
      </c>
      <c r="U107" s="76">
        <f>SUMIFS('июль 2025'!$G$2:$G$2437,'июль 2025'!$D$2:$D$2437,$B107,'июль 2025'!$J$2:$J$2437,U$1)</f>
        <v>0</v>
      </c>
      <c r="V107" s="76">
        <f>SUMIFS('июль 2025'!$G$2:$G$2437,'июль 2025'!$D$2:$D$2437,$B107,'июль 2025'!$J$2:$J$2437,V$1)</f>
        <v>0</v>
      </c>
      <c r="W107" s="76">
        <f>SUMIFS('июль 2025'!$G$2:$G$2437,'июль 2025'!$D$2:$D$2437,$B107,'июль 2025'!$J$2:$J$2437,W$1)</f>
        <v>0</v>
      </c>
      <c r="X107" s="76">
        <f>SUMIFS('июль 2025'!$G$2:$G$2437,'июль 2025'!$D$2:$D$2437,$B107,'июль 2025'!$J$2:$J$2437,X$1)</f>
        <v>0</v>
      </c>
      <c r="Y107" s="76">
        <f>SUMIFS('июль 2025'!$G$2:$G$2437,'июль 2025'!$D$2:$D$2437,$B107,'июль 2025'!$J$2:$J$2437,Y$1)</f>
        <v>0</v>
      </c>
      <c r="Z107" s="76">
        <f>SUMIFS('июль 2025'!$G$2:$G$2437,'июль 2025'!$D$2:$D$2437,$B107,'июль 2025'!$J$2:$J$2437,Z$1)</f>
        <v>0</v>
      </c>
      <c r="AA107" s="76">
        <f>SUMIFS('июль 2025'!$G$2:$G$2437,'июль 2025'!$D$2:$D$2437,$B107,'июль 2025'!$J$2:$J$2437,AA$1)</f>
        <v>0</v>
      </c>
      <c r="AB107" s="76">
        <f>SUMIFS('июль 2025'!$G$2:$G$2437,'июль 2025'!$D$2:$D$2437,$B107,'июль 2025'!$J$2:$J$2437,AB$1)</f>
        <v>0</v>
      </c>
      <c r="AC107" s="76">
        <f>SUMIFS('июль 2025'!$G$2:$G$2437,'июль 2025'!$D$2:$D$2437,$B107,'июль 2025'!$J$2:$J$2437,AC$1)</f>
        <v>0</v>
      </c>
      <c r="AD107" s="76">
        <f>SUMIFS('июль 2025'!$G$2:$G$2437,'июль 2025'!$D$2:$D$2437,$B107,'июль 2025'!$J$2:$J$2437,AD$1)</f>
        <v>0</v>
      </c>
      <c r="AE107" s="76">
        <f>SUMIFS('июль 2025'!$G$2:$G$2437,'июль 2025'!$D$2:$D$2437,$B107,'июль 2025'!$J$2:$J$2437,AE$1)</f>
        <v>0</v>
      </c>
      <c r="AF107" s="76">
        <f>SUMIFS('июль 2025'!$G$2:$G$2437,'июль 2025'!$D$2:$D$2437,$B107,'июль 2025'!$J$2:$J$2437,AF$1)</f>
        <v>0</v>
      </c>
      <c r="AG107" s="76">
        <f>SUMIFS('июль 2025'!$G$2:$G$2437,'июль 2025'!$D$2:$D$2437,$B107,'июль 2025'!$J$2:$J$2437,AG$1)</f>
        <v>0</v>
      </c>
      <c r="AH107" s="76">
        <f>SUMIFS('июль 2025'!$G$2:$G$2437,'июль 2025'!$D$2:$D$2437,$B107,'июль 2025'!$J$2:$J$2437,AH$1)</f>
        <v>0</v>
      </c>
      <c r="AI107" s="20">
        <f t="shared" si="1"/>
        <v>0</v>
      </c>
    </row>
    <row r="108" spans="2:35" ht="15" customHeight="1" x14ac:dyDescent="0.25">
      <c r="B108" s="88" t="s">
        <v>385</v>
      </c>
      <c r="C108" s="86">
        <v>28</v>
      </c>
      <c r="D108" s="76">
        <f>SUMIFS('июль 2025'!$G$2:$G$2437,'июль 2025'!$D$2:$D$2437,$B108,'июль 2025'!$J$2:$J$2437,D$1)</f>
        <v>0</v>
      </c>
      <c r="E108" s="76">
        <f>SUMIFS('июль 2025'!$G$2:$G$2437,'июль 2025'!$D$2:$D$2437,$B108,'июль 2025'!$J$2:$J$2437,E$1)</f>
        <v>0</v>
      </c>
      <c r="F108" s="76">
        <f>SUMIFS('июль 2025'!$G$2:$G$2437,'июль 2025'!$D$2:$D$2437,$B108,'июль 2025'!$J$2:$J$2437,F$1)</f>
        <v>0</v>
      </c>
      <c r="G108" s="76">
        <f>SUMIFS('июль 2025'!$G$2:$G$2437,'июль 2025'!$D$2:$D$2437,$B108,'июль 2025'!$J$2:$J$2437,G$1)</f>
        <v>0</v>
      </c>
      <c r="H108" s="76">
        <f>SUMIFS('июль 2025'!$G$2:$G$2437,'июль 2025'!$D$2:$D$2437,$B108,'июль 2025'!$J$2:$J$2437,H$1)</f>
        <v>0</v>
      </c>
      <c r="I108" s="76">
        <f>SUMIFS('июль 2025'!$G$2:$G$2437,'июль 2025'!$D$2:$D$2437,$B108,'июль 2025'!$J$2:$J$2437,I$1)</f>
        <v>0</v>
      </c>
      <c r="J108" s="76">
        <f>SUMIFS('июль 2025'!$G$2:$G$2437,'июль 2025'!$D$2:$D$2437,$B108,'июль 2025'!$J$2:$J$2437,J$1)</f>
        <v>0</v>
      </c>
      <c r="K108" s="76">
        <f>SUMIFS('июль 2025'!$G$2:$G$2437,'июль 2025'!$D$2:$D$2437,$B108,'июль 2025'!$J$2:$J$2437,K$1)</f>
        <v>0</v>
      </c>
      <c r="L108" s="76">
        <f>SUMIFS('июль 2025'!$G$2:$G$2437,'июль 2025'!$D$2:$D$2437,$B108,'июль 2025'!$J$2:$J$2437,L$1)</f>
        <v>0</v>
      </c>
      <c r="M108" s="76">
        <f>SUMIFS('июль 2025'!$G$2:$G$2437,'июль 2025'!$D$2:$D$2437,$B108,'июль 2025'!$J$2:$J$2437,M$1)</f>
        <v>0</v>
      </c>
      <c r="N108" s="76">
        <f>SUMIFS('июль 2025'!$G$2:$G$2437,'июль 2025'!$D$2:$D$2437,$B108,'июль 2025'!$J$2:$J$2437,N$1)</f>
        <v>0</v>
      </c>
      <c r="O108" s="76">
        <f>SUMIFS('июль 2025'!$G$2:$G$2437,'июль 2025'!$D$2:$D$2437,$B108,'июль 2025'!$J$2:$J$2437,O$1)</f>
        <v>0</v>
      </c>
      <c r="P108" s="76">
        <f>SUMIFS('июль 2025'!$G$2:$G$2437,'июль 2025'!$D$2:$D$2437,$B108,'июль 2025'!$J$2:$J$2437,P$1)</f>
        <v>0</v>
      </c>
      <c r="Q108" s="76">
        <f>SUMIFS('июль 2025'!$G$2:$G$2437,'июль 2025'!$D$2:$D$2437,$B108,'июль 2025'!$J$2:$J$2437,Q$1)</f>
        <v>0</v>
      </c>
      <c r="R108" s="76">
        <f>SUMIFS('июль 2025'!$G$2:$G$2437,'июль 2025'!$D$2:$D$2437,$B108,'июль 2025'!$J$2:$J$2437,R$1)</f>
        <v>0</v>
      </c>
      <c r="S108" s="76">
        <f>SUMIFS('июль 2025'!$G$2:$G$2437,'июль 2025'!$D$2:$D$2437,$B108,'июль 2025'!$J$2:$J$2437,S$1)</f>
        <v>0</v>
      </c>
      <c r="T108" s="76">
        <f>SUMIFS('июль 2025'!$G$2:$G$2437,'июль 2025'!$D$2:$D$2437,$B108,'июль 2025'!$J$2:$J$2437,T$1)</f>
        <v>0</v>
      </c>
      <c r="U108" s="76">
        <f>SUMIFS('июль 2025'!$G$2:$G$2437,'июль 2025'!$D$2:$D$2437,$B108,'июль 2025'!$J$2:$J$2437,U$1)</f>
        <v>0</v>
      </c>
      <c r="V108" s="76">
        <f>SUMIFS('июль 2025'!$G$2:$G$2437,'июль 2025'!$D$2:$D$2437,$B108,'июль 2025'!$J$2:$J$2437,V$1)</f>
        <v>0</v>
      </c>
      <c r="W108" s="76">
        <f>SUMIFS('июль 2025'!$G$2:$G$2437,'июль 2025'!$D$2:$D$2437,$B108,'июль 2025'!$J$2:$J$2437,W$1)</f>
        <v>0</v>
      </c>
      <c r="X108" s="76">
        <f>SUMIFS('июль 2025'!$G$2:$G$2437,'июль 2025'!$D$2:$D$2437,$B108,'июль 2025'!$J$2:$J$2437,X$1)</f>
        <v>0</v>
      </c>
      <c r="Y108" s="76">
        <f>SUMIFS('июль 2025'!$G$2:$G$2437,'июль 2025'!$D$2:$D$2437,$B108,'июль 2025'!$J$2:$J$2437,Y$1)</f>
        <v>0</v>
      </c>
      <c r="Z108" s="76">
        <f>SUMIFS('июль 2025'!$G$2:$G$2437,'июль 2025'!$D$2:$D$2437,$B108,'июль 2025'!$J$2:$J$2437,Z$1)</f>
        <v>0</v>
      </c>
      <c r="AA108" s="76">
        <f>SUMIFS('июль 2025'!$G$2:$G$2437,'июль 2025'!$D$2:$D$2437,$B108,'июль 2025'!$J$2:$J$2437,AA$1)</f>
        <v>0</v>
      </c>
      <c r="AB108" s="76">
        <f>SUMIFS('июль 2025'!$G$2:$G$2437,'июль 2025'!$D$2:$D$2437,$B108,'июль 2025'!$J$2:$J$2437,AB$1)</f>
        <v>0</v>
      </c>
      <c r="AC108" s="76">
        <f>SUMIFS('июль 2025'!$G$2:$G$2437,'июль 2025'!$D$2:$D$2437,$B108,'июль 2025'!$J$2:$J$2437,AC$1)</f>
        <v>0</v>
      </c>
      <c r="AD108" s="76">
        <f>SUMIFS('июль 2025'!$G$2:$G$2437,'июль 2025'!$D$2:$D$2437,$B108,'июль 2025'!$J$2:$J$2437,AD$1)</f>
        <v>0</v>
      </c>
      <c r="AE108" s="76">
        <f>SUMIFS('июль 2025'!$G$2:$G$2437,'июль 2025'!$D$2:$D$2437,$B108,'июль 2025'!$J$2:$J$2437,AE$1)</f>
        <v>0</v>
      </c>
      <c r="AF108" s="76">
        <f>SUMIFS('июль 2025'!$G$2:$G$2437,'июль 2025'!$D$2:$D$2437,$B108,'июль 2025'!$J$2:$J$2437,AF$1)</f>
        <v>0</v>
      </c>
      <c r="AG108" s="76">
        <f>SUMIFS('июль 2025'!$G$2:$G$2437,'июль 2025'!$D$2:$D$2437,$B108,'июль 2025'!$J$2:$J$2437,AG$1)</f>
        <v>0</v>
      </c>
      <c r="AH108" s="76">
        <f>SUMIFS('июль 2025'!$G$2:$G$2437,'июль 2025'!$D$2:$D$2437,$B108,'июль 2025'!$J$2:$J$2437,AH$1)</f>
        <v>0</v>
      </c>
      <c r="AI108" s="20">
        <f t="shared" si="1"/>
        <v>0</v>
      </c>
    </row>
    <row r="109" spans="2:35" ht="15" customHeight="1" x14ac:dyDescent="0.25">
      <c r="B109" s="88" t="s">
        <v>193</v>
      </c>
      <c r="C109" s="86">
        <v>180</v>
      </c>
      <c r="D109" s="76">
        <f>SUMIFS('июль 2025'!$G$2:$G$2437,'июль 2025'!$D$2:$D$2437,$B109,'июль 2025'!$J$2:$J$2437,D$1)</f>
        <v>0</v>
      </c>
      <c r="E109" s="76">
        <f>SUMIFS('июль 2025'!$G$2:$G$2437,'июль 2025'!$D$2:$D$2437,$B109,'июль 2025'!$J$2:$J$2437,E$1)</f>
        <v>0</v>
      </c>
      <c r="F109" s="76">
        <f>SUMIFS('июль 2025'!$G$2:$G$2437,'июль 2025'!$D$2:$D$2437,$B109,'июль 2025'!$J$2:$J$2437,F$1)</f>
        <v>0</v>
      </c>
      <c r="G109" s="76">
        <f>SUMIFS('июль 2025'!$G$2:$G$2437,'июль 2025'!$D$2:$D$2437,$B109,'июль 2025'!$J$2:$J$2437,G$1)</f>
        <v>0</v>
      </c>
      <c r="H109" s="76">
        <f>SUMIFS('июль 2025'!$G$2:$G$2437,'июль 2025'!$D$2:$D$2437,$B109,'июль 2025'!$J$2:$J$2437,H$1)</f>
        <v>0</v>
      </c>
      <c r="I109" s="76">
        <f>SUMIFS('июль 2025'!$G$2:$G$2437,'июль 2025'!$D$2:$D$2437,$B109,'июль 2025'!$J$2:$J$2437,I$1)</f>
        <v>0</v>
      </c>
      <c r="J109" s="76">
        <f>SUMIFS('июль 2025'!$G$2:$G$2437,'июль 2025'!$D$2:$D$2437,$B109,'июль 2025'!$J$2:$J$2437,J$1)</f>
        <v>0</v>
      </c>
      <c r="K109" s="76">
        <f>SUMIFS('июль 2025'!$G$2:$G$2437,'июль 2025'!$D$2:$D$2437,$B109,'июль 2025'!$J$2:$J$2437,K$1)</f>
        <v>0</v>
      </c>
      <c r="L109" s="76">
        <f>SUMIFS('июль 2025'!$G$2:$G$2437,'июль 2025'!$D$2:$D$2437,$B109,'июль 2025'!$J$2:$J$2437,L$1)</f>
        <v>0</v>
      </c>
      <c r="M109" s="76">
        <f>SUMIFS('июль 2025'!$G$2:$G$2437,'июль 2025'!$D$2:$D$2437,$B109,'июль 2025'!$J$2:$J$2437,M$1)</f>
        <v>0</v>
      </c>
      <c r="N109" s="76">
        <f>SUMIFS('июль 2025'!$G$2:$G$2437,'июль 2025'!$D$2:$D$2437,$B109,'июль 2025'!$J$2:$J$2437,N$1)</f>
        <v>0</v>
      </c>
      <c r="O109" s="76">
        <f>SUMIFS('июль 2025'!$G$2:$G$2437,'июль 2025'!$D$2:$D$2437,$B109,'июль 2025'!$J$2:$J$2437,O$1)</f>
        <v>0</v>
      </c>
      <c r="P109" s="76">
        <f>SUMIFS('июль 2025'!$G$2:$G$2437,'июль 2025'!$D$2:$D$2437,$B109,'июль 2025'!$J$2:$J$2437,P$1)</f>
        <v>0</v>
      </c>
      <c r="Q109" s="76">
        <f>SUMIFS('июль 2025'!$G$2:$G$2437,'июль 2025'!$D$2:$D$2437,$B109,'июль 2025'!$J$2:$J$2437,Q$1)</f>
        <v>0</v>
      </c>
      <c r="R109" s="76">
        <f>SUMIFS('июль 2025'!$G$2:$G$2437,'июль 2025'!$D$2:$D$2437,$B109,'июль 2025'!$J$2:$J$2437,R$1)</f>
        <v>0</v>
      </c>
      <c r="S109" s="76">
        <f>SUMIFS('июль 2025'!$G$2:$G$2437,'июль 2025'!$D$2:$D$2437,$B109,'июль 2025'!$J$2:$J$2437,S$1)</f>
        <v>0</v>
      </c>
      <c r="T109" s="76">
        <f>SUMIFS('июль 2025'!$G$2:$G$2437,'июль 2025'!$D$2:$D$2437,$B109,'июль 2025'!$J$2:$J$2437,T$1)</f>
        <v>0</v>
      </c>
      <c r="U109" s="76">
        <f>SUMIFS('июль 2025'!$G$2:$G$2437,'июль 2025'!$D$2:$D$2437,$B109,'июль 2025'!$J$2:$J$2437,U$1)</f>
        <v>0</v>
      </c>
      <c r="V109" s="76">
        <f>SUMIFS('июль 2025'!$G$2:$G$2437,'июль 2025'!$D$2:$D$2437,$B109,'июль 2025'!$J$2:$J$2437,V$1)</f>
        <v>0</v>
      </c>
      <c r="W109" s="76">
        <f>SUMIFS('июль 2025'!$G$2:$G$2437,'июль 2025'!$D$2:$D$2437,$B109,'июль 2025'!$J$2:$J$2437,W$1)</f>
        <v>0</v>
      </c>
      <c r="X109" s="76">
        <f>SUMIFS('июль 2025'!$G$2:$G$2437,'июль 2025'!$D$2:$D$2437,$B109,'июль 2025'!$J$2:$J$2437,X$1)</f>
        <v>0</v>
      </c>
      <c r="Y109" s="76">
        <f>SUMIFS('июль 2025'!$G$2:$G$2437,'июль 2025'!$D$2:$D$2437,$B109,'июль 2025'!$J$2:$J$2437,Y$1)</f>
        <v>0</v>
      </c>
      <c r="Z109" s="76">
        <f>SUMIFS('июль 2025'!$G$2:$G$2437,'июль 2025'!$D$2:$D$2437,$B109,'июль 2025'!$J$2:$J$2437,Z$1)</f>
        <v>0</v>
      </c>
      <c r="AA109" s="76">
        <f>SUMIFS('июль 2025'!$G$2:$G$2437,'июль 2025'!$D$2:$D$2437,$B109,'июль 2025'!$J$2:$J$2437,AA$1)</f>
        <v>0</v>
      </c>
      <c r="AB109" s="76">
        <f>SUMIFS('июль 2025'!$G$2:$G$2437,'июль 2025'!$D$2:$D$2437,$B109,'июль 2025'!$J$2:$J$2437,AB$1)</f>
        <v>0</v>
      </c>
      <c r="AC109" s="76">
        <f>SUMIFS('июль 2025'!$G$2:$G$2437,'июль 2025'!$D$2:$D$2437,$B109,'июль 2025'!$J$2:$J$2437,AC$1)</f>
        <v>0</v>
      </c>
      <c r="AD109" s="76">
        <f>SUMIFS('июль 2025'!$G$2:$G$2437,'июль 2025'!$D$2:$D$2437,$B109,'июль 2025'!$J$2:$J$2437,AD$1)</f>
        <v>0</v>
      </c>
      <c r="AE109" s="76">
        <f>SUMIFS('июль 2025'!$G$2:$G$2437,'июль 2025'!$D$2:$D$2437,$B109,'июль 2025'!$J$2:$J$2437,AE$1)</f>
        <v>0</v>
      </c>
      <c r="AF109" s="76">
        <f>SUMIFS('июль 2025'!$G$2:$G$2437,'июль 2025'!$D$2:$D$2437,$B109,'июль 2025'!$J$2:$J$2437,AF$1)</f>
        <v>0</v>
      </c>
      <c r="AG109" s="76">
        <f>SUMIFS('июль 2025'!$G$2:$G$2437,'июль 2025'!$D$2:$D$2437,$B109,'июль 2025'!$J$2:$J$2437,AG$1)</f>
        <v>0</v>
      </c>
      <c r="AH109" s="76">
        <f>SUMIFS('июль 2025'!$G$2:$G$2437,'июль 2025'!$D$2:$D$2437,$B109,'июль 2025'!$J$2:$J$2437,AH$1)</f>
        <v>0</v>
      </c>
      <c r="AI109" s="20">
        <f t="shared" si="1"/>
        <v>0</v>
      </c>
    </row>
    <row r="110" spans="2:35" ht="15" customHeight="1" x14ac:dyDescent="0.25">
      <c r="B110" s="84" t="s">
        <v>194</v>
      </c>
      <c r="C110" s="83">
        <v>200</v>
      </c>
      <c r="D110" s="76">
        <f>SUMIFS('июль 2025'!$G$2:$G$2437,'июль 2025'!$D$2:$D$2437,$B110,'июль 2025'!$J$2:$J$2437,D$1)</f>
        <v>0</v>
      </c>
      <c r="E110" s="76">
        <f>SUMIFS('июль 2025'!$G$2:$G$2437,'июль 2025'!$D$2:$D$2437,$B110,'июль 2025'!$J$2:$J$2437,E$1)</f>
        <v>0</v>
      </c>
      <c r="F110" s="76">
        <f>SUMIFS('июль 2025'!$G$2:$G$2437,'июль 2025'!$D$2:$D$2437,$B110,'июль 2025'!$J$2:$J$2437,F$1)</f>
        <v>0</v>
      </c>
      <c r="G110" s="76">
        <f>SUMIFS('июль 2025'!$G$2:$G$2437,'июль 2025'!$D$2:$D$2437,$B110,'июль 2025'!$J$2:$J$2437,G$1)</f>
        <v>0</v>
      </c>
      <c r="H110" s="76">
        <f>SUMIFS('июль 2025'!$G$2:$G$2437,'июль 2025'!$D$2:$D$2437,$B110,'июль 2025'!$J$2:$J$2437,H$1)</f>
        <v>0</v>
      </c>
      <c r="I110" s="76">
        <f>SUMIFS('июль 2025'!$G$2:$G$2437,'июль 2025'!$D$2:$D$2437,$B110,'июль 2025'!$J$2:$J$2437,I$1)</f>
        <v>0</v>
      </c>
      <c r="J110" s="76">
        <f>SUMIFS('июль 2025'!$G$2:$G$2437,'июль 2025'!$D$2:$D$2437,$B110,'июль 2025'!$J$2:$J$2437,J$1)</f>
        <v>0</v>
      </c>
      <c r="K110" s="76">
        <f>SUMIFS('июль 2025'!$G$2:$G$2437,'июль 2025'!$D$2:$D$2437,$B110,'июль 2025'!$J$2:$J$2437,K$1)</f>
        <v>0</v>
      </c>
      <c r="L110" s="76">
        <f>SUMIFS('июль 2025'!$G$2:$G$2437,'июль 2025'!$D$2:$D$2437,$B110,'июль 2025'!$J$2:$J$2437,L$1)</f>
        <v>0</v>
      </c>
      <c r="M110" s="76">
        <f>SUMIFS('июль 2025'!$G$2:$G$2437,'июль 2025'!$D$2:$D$2437,$B110,'июль 2025'!$J$2:$J$2437,M$1)</f>
        <v>0</v>
      </c>
      <c r="N110" s="76">
        <f>SUMIFS('июль 2025'!$G$2:$G$2437,'июль 2025'!$D$2:$D$2437,$B110,'июль 2025'!$J$2:$J$2437,N$1)</f>
        <v>0</v>
      </c>
      <c r="O110" s="76">
        <f>SUMIFS('июль 2025'!$G$2:$G$2437,'июль 2025'!$D$2:$D$2437,$B110,'июль 2025'!$J$2:$J$2437,O$1)</f>
        <v>0</v>
      </c>
      <c r="P110" s="76">
        <f>SUMIFS('июль 2025'!$G$2:$G$2437,'июль 2025'!$D$2:$D$2437,$B110,'июль 2025'!$J$2:$J$2437,P$1)</f>
        <v>0</v>
      </c>
      <c r="Q110" s="76">
        <f>SUMIFS('июль 2025'!$G$2:$G$2437,'июль 2025'!$D$2:$D$2437,$B110,'июль 2025'!$J$2:$J$2437,Q$1)</f>
        <v>0</v>
      </c>
      <c r="R110" s="76">
        <f>SUMIFS('июль 2025'!$G$2:$G$2437,'июль 2025'!$D$2:$D$2437,$B110,'июль 2025'!$J$2:$J$2437,R$1)</f>
        <v>0</v>
      </c>
      <c r="S110" s="76">
        <f>SUMIFS('июль 2025'!$G$2:$G$2437,'июль 2025'!$D$2:$D$2437,$B110,'июль 2025'!$J$2:$J$2437,S$1)</f>
        <v>0</v>
      </c>
      <c r="T110" s="76">
        <f>SUMIFS('июль 2025'!$G$2:$G$2437,'июль 2025'!$D$2:$D$2437,$B110,'июль 2025'!$J$2:$J$2437,T$1)</f>
        <v>0</v>
      </c>
      <c r="U110" s="76">
        <f>SUMIFS('июль 2025'!$G$2:$G$2437,'июль 2025'!$D$2:$D$2437,$B110,'июль 2025'!$J$2:$J$2437,U$1)</f>
        <v>0</v>
      </c>
      <c r="V110" s="76">
        <f>SUMIFS('июль 2025'!$G$2:$G$2437,'июль 2025'!$D$2:$D$2437,$B110,'июль 2025'!$J$2:$J$2437,V$1)</f>
        <v>0</v>
      </c>
      <c r="W110" s="76">
        <f>SUMIFS('июль 2025'!$G$2:$G$2437,'июль 2025'!$D$2:$D$2437,$B110,'июль 2025'!$J$2:$J$2437,W$1)</f>
        <v>0</v>
      </c>
      <c r="X110" s="76">
        <f>SUMIFS('июль 2025'!$G$2:$G$2437,'июль 2025'!$D$2:$D$2437,$B110,'июль 2025'!$J$2:$J$2437,X$1)</f>
        <v>0</v>
      </c>
      <c r="Y110" s="76">
        <f>SUMIFS('июль 2025'!$G$2:$G$2437,'июль 2025'!$D$2:$D$2437,$B110,'июль 2025'!$J$2:$J$2437,Y$1)</f>
        <v>0</v>
      </c>
      <c r="Z110" s="76">
        <f>SUMIFS('июль 2025'!$G$2:$G$2437,'июль 2025'!$D$2:$D$2437,$B110,'июль 2025'!$J$2:$J$2437,Z$1)</f>
        <v>0</v>
      </c>
      <c r="AA110" s="76">
        <f>SUMIFS('июль 2025'!$G$2:$G$2437,'июль 2025'!$D$2:$D$2437,$B110,'июль 2025'!$J$2:$J$2437,AA$1)</f>
        <v>0</v>
      </c>
      <c r="AB110" s="76">
        <f>SUMIFS('июль 2025'!$G$2:$G$2437,'июль 2025'!$D$2:$D$2437,$B110,'июль 2025'!$J$2:$J$2437,AB$1)</f>
        <v>28</v>
      </c>
      <c r="AC110" s="76">
        <f>SUMIFS('июль 2025'!$G$2:$G$2437,'июль 2025'!$D$2:$D$2437,$B110,'июль 2025'!$J$2:$J$2437,AC$1)</f>
        <v>0</v>
      </c>
      <c r="AD110" s="76">
        <f>SUMIFS('июль 2025'!$G$2:$G$2437,'июль 2025'!$D$2:$D$2437,$B110,'июль 2025'!$J$2:$J$2437,AD$1)</f>
        <v>0</v>
      </c>
      <c r="AE110" s="76">
        <f>SUMIFS('июль 2025'!$G$2:$G$2437,'июль 2025'!$D$2:$D$2437,$B110,'июль 2025'!$J$2:$J$2437,AE$1)</f>
        <v>0</v>
      </c>
      <c r="AF110" s="76">
        <f>SUMIFS('июль 2025'!$G$2:$G$2437,'июль 2025'!$D$2:$D$2437,$B110,'июль 2025'!$J$2:$J$2437,AF$1)</f>
        <v>0</v>
      </c>
      <c r="AG110" s="76">
        <f>SUMIFS('июль 2025'!$G$2:$G$2437,'июль 2025'!$D$2:$D$2437,$B110,'июль 2025'!$J$2:$J$2437,AG$1)</f>
        <v>0</v>
      </c>
      <c r="AH110" s="76">
        <f>SUMIFS('июль 2025'!$G$2:$G$2437,'июль 2025'!$D$2:$D$2437,$B110,'июль 2025'!$J$2:$J$2437,AH$1)</f>
        <v>0</v>
      </c>
      <c r="AI110" s="20">
        <f t="shared" si="1"/>
        <v>28</v>
      </c>
    </row>
    <row r="111" spans="2:35" ht="15" customHeight="1" x14ac:dyDescent="0.25">
      <c r="B111" s="87" t="s">
        <v>169</v>
      </c>
      <c r="C111" s="86">
        <v>180</v>
      </c>
      <c r="D111" s="76">
        <f>SUMIFS('июль 2025'!$G$2:$G$2437,'июль 2025'!$D$2:$D$2437,$B111,'июль 2025'!$J$2:$J$2437,D$1)</f>
        <v>0</v>
      </c>
      <c r="E111" s="76">
        <f>SUMIFS('июль 2025'!$G$2:$G$2437,'июль 2025'!$D$2:$D$2437,$B111,'июль 2025'!$J$2:$J$2437,E$1)</f>
        <v>0</v>
      </c>
      <c r="F111" s="76">
        <f>SUMIFS('июль 2025'!$G$2:$G$2437,'июль 2025'!$D$2:$D$2437,$B111,'июль 2025'!$J$2:$J$2437,F$1)</f>
        <v>0</v>
      </c>
      <c r="G111" s="76">
        <f>SUMIFS('июль 2025'!$G$2:$G$2437,'июль 2025'!$D$2:$D$2437,$B111,'июль 2025'!$J$2:$J$2437,G$1)</f>
        <v>0</v>
      </c>
      <c r="H111" s="76">
        <f>SUMIFS('июль 2025'!$G$2:$G$2437,'июль 2025'!$D$2:$D$2437,$B111,'июль 2025'!$J$2:$J$2437,H$1)</f>
        <v>0</v>
      </c>
      <c r="I111" s="76">
        <f>SUMIFS('июль 2025'!$G$2:$G$2437,'июль 2025'!$D$2:$D$2437,$B111,'июль 2025'!$J$2:$J$2437,I$1)</f>
        <v>0</v>
      </c>
      <c r="J111" s="76">
        <f>SUMIFS('июль 2025'!$G$2:$G$2437,'июль 2025'!$D$2:$D$2437,$B111,'июль 2025'!$J$2:$J$2437,J$1)</f>
        <v>0</v>
      </c>
      <c r="K111" s="76">
        <f>SUMIFS('июль 2025'!$G$2:$G$2437,'июль 2025'!$D$2:$D$2437,$B111,'июль 2025'!$J$2:$J$2437,K$1)</f>
        <v>0</v>
      </c>
      <c r="L111" s="76">
        <f>SUMIFS('июль 2025'!$G$2:$G$2437,'июль 2025'!$D$2:$D$2437,$B111,'июль 2025'!$J$2:$J$2437,L$1)</f>
        <v>0</v>
      </c>
      <c r="M111" s="76">
        <f>SUMIFS('июль 2025'!$G$2:$G$2437,'июль 2025'!$D$2:$D$2437,$B111,'июль 2025'!$J$2:$J$2437,M$1)</f>
        <v>0</v>
      </c>
      <c r="N111" s="76">
        <f>SUMIFS('июль 2025'!$G$2:$G$2437,'июль 2025'!$D$2:$D$2437,$B111,'июль 2025'!$J$2:$J$2437,N$1)</f>
        <v>0</v>
      </c>
      <c r="O111" s="76">
        <f>SUMIFS('июль 2025'!$G$2:$G$2437,'июль 2025'!$D$2:$D$2437,$B111,'июль 2025'!$J$2:$J$2437,O$1)</f>
        <v>0</v>
      </c>
      <c r="P111" s="76">
        <f>SUMIFS('июль 2025'!$G$2:$G$2437,'июль 2025'!$D$2:$D$2437,$B111,'июль 2025'!$J$2:$J$2437,P$1)</f>
        <v>0</v>
      </c>
      <c r="Q111" s="76">
        <f>SUMIFS('июль 2025'!$G$2:$G$2437,'июль 2025'!$D$2:$D$2437,$B111,'июль 2025'!$J$2:$J$2437,Q$1)</f>
        <v>0</v>
      </c>
      <c r="R111" s="76">
        <f>SUMIFS('июль 2025'!$G$2:$G$2437,'июль 2025'!$D$2:$D$2437,$B111,'июль 2025'!$J$2:$J$2437,R$1)</f>
        <v>0</v>
      </c>
      <c r="S111" s="76">
        <f>SUMIFS('июль 2025'!$G$2:$G$2437,'июль 2025'!$D$2:$D$2437,$B111,'июль 2025'!$J$2:$J$2437,S$1)</f>
        <v>0</v>
      </c>
      <c r="T111" s="76">
        <f>SUMIFS('июль 2025'!$G$2:$G$2437,'июль 2025'!$D$2:$D$2437,$B111,'июль 2025'!$J$2:$J$2437,T$1)</f>
        <v>0</v>
      </c>
      <c r="U111" s="76">
        <f>SUMIFS('июль 2025'!$G$2:$G$2437,'июль 2025'!$D$2:$D$2437,$B111,'июль 2025'!$J$2:$J$2437,U$1)</f>
        <v>0</v>
      </c>
      <c r="V111" s="76">
        <f>SUMIFS('июль 2025'!$G$2:$G$2437,'июль 2025'!$D$2:$D$2437,$B111,'июль 2025'!$J$2:$J$2437,V$1)</f>
        <v>0</v>
      </c>
      <c r="W111" s="76">
        <f>SUMIFS('июль 2025'!$G$2:$G$2437,'июль 2025'!$D$2:$D$2437,$B111,'июль 2025'!$J$2:$J$2437,W$1)</f>
        <v>0</v>
      </c>
      <c r="X111" s="76">
        <f>SUMIFS('июль 2025'!$G$2:$G$2437,'июль 2025'!$D$2:$D$2437,$B111,'июль 2025'!$J$2:$J$2437,X$1)</f>
        <v>0</v>
      </c>
      <c r="Y111" s="76">
        <f>SUMIFS('июль 2025'!$G$2:$G$2437,'июль 2025'!$D$2:$D$2437,$B111,'июль 2025'!$J$2:$J$2437,Y$1)</f>
        <v>0</v>
      </c>
      <c r="Z111" s="76">
        <f>SUMIFS('июль 2025'!$G$2:$G$2437,'июль 2025'!$D$2:$D$2437,$B111,'июль 2025'!$J$2:$J$2437,Z$1)</f>
        <v>0</v>
      </c>
      <c r="AA111" s="76">
        <f>SUMIFS('июль 2025'!$G$2:$G$2437,'июль 2025'!$D$2:$D$2437,$B111,'июль 2025'!$J$2:$J$2437,AA$1)</f>
        <v>0</v>
      </c>
      <c r="AB111" s="76">
        <f>SUMIFS('июль 2025'!$G$2:$G$2437,'июль 2025'!$D$2:$D$2437,$B111,'июль 2025'!$J$2:$J$2437,AB$1)</f>
        <v>0</v>
      </c>
      <c r="AC111" s="76">
        <f>SUMIFS('июль 2025'!$G$2:$G$2437,'июль 2025'!$D$2:$D$2437,$B111,'июль 2025'!$J$2:$J$2437,AC$1)</f>
        <v>0</v>
      </c>
      <c r="AD111" s="76">
        <f>SUMIFS('июль 2025'!$G$2:$G$2437,'июль 2025'!$D$2:$D$2437,$B111,'июль 2025'!$J$2:$J$2437,AD$1)</f>
        <v>0</v>
      </c>
      <c r="AE111" s="76">
        <f>SUMIFS('июль 2025'!$G$2:$G$2437,'июль 2025'!$D$2:$D$2437,$B111,'июль 2025'!$J$2:$J$2437,AE$1)</f>
        <v>0</v>
      </c>
      <c r="AF111" s="76">
        <f>SUMIFS('июль 2025'!$G$2:$G$2437,'июль 2025'!$D$2:$D$2437,$B111,'июль 2025'!$J$2:$J$2437,AF$1)</f>
        <v>0</v>
      </c>
      <c r="AG111" s="76">
        <f>SUMIFS('июль 2025'!$G$2:$G$2437,'июль 2025'!$D$2:$D$2437,$B111,'июль 2025'!$J$2:$J$2437,AG$1)</f>
        <v>0</v>
      </c>
      <c r="AH111" s="76">
        <f>SUMIFS('июль 2025'!$G$2:$G$2437,'июль 2025'!$D$2:$D$2437,$B111,'июль 2025'!$J$2:$J$2437,AH$1)</f>
        <v>0</v>
      </c>
      <c r="AI111" s="20">
        <f t="shared" si="1"/>
        <v>0</v>
      </c>
    </row>
    <row r="112" spans="2:35" ht="15" customHeight="1" x14ac:dyDescent="0.25">
      <c r="B112" s="84" t="s">
        <v>170</v>
      </c>
      <c r="C112" s="86">
        <v>200</v>
      </c>
      <c r="D112" s="76">
        <f>SUMIFS('июль 2025'!$G$2:$G$2437,'июль 2025'!$D$2:$D$2437,$B112,'июль 2025'!$J$2:$J$2437,D$1)</f>
        <v>0</v>
      </c>
      <c r="E112" s="76">
        <f>SUMIFS('июль 2025'!$G$2:$G$2437,'июль 2025'!$D$2:$D$2437,$B112,'июль 2025'!$J$2:$J$2437,E$1)</f>
        <v>0</v>
      </c>
      <c r="F112" s="76">
        <f>SUMIFS('июль 2025'!$G$2:$G$2437,'июль 2025'!$D$2:$D$2437,$B112,'июль 2025'!$J$2:$J$2437,F$1)</f>
        <v>0</v>
      </c>
      <c r="G112" s="76">
        <f>SUMIFS('июль 2025'!$G$2:$G$2437,'июль 2025'!$D$2:$D$2437,$B112,'июль 2025'!$J$2:$J$2437,G$1)</f>
        <v>0</v>
      </c>
      <c r="H112" s="76">
        <f>SUMIFS('июль 2025'!$G$2:$G$2437,'июль 2025'!$D$2:$D$2437,$B112,'июль 2025'!$J$2:$J$2437,H$1)</f>
        <v>0</v>
      </c>
      <c r="I112" s="76">
        <f>SUMIFS('июль 2025'!$G$2:$G$2437,'июль 2025'!$D$2:$D$2437,$B112,'июль 2025'!$J$2:$J$2437,I$1)</f>
        <v>0</v>
      </c>
      <c r="J112" s="76">
        <f>SUMIFS('июль 2025'!$G$2:$G$2437,'июль 2025'!$D$2:$D$2437,$B112,'июль 2025'!$J$2:$J$2437,J$1)</f>
        <v>0</v>
      </c>
      <c r="K112" s="76">
        <f>SUMIFS('июль 2025'!$G$2:$G$2437,'июль 2025'!$D$2:$D$2437,$B112,'июль 2025'!$J$2:$J$2437,K$1)</f>
        <v>0</v>
      </c>
      <c r="L112" s="76">
        <f>SUMIFS('июль 2025'!$G$2:$G$2437,'июль 2025'!$D$2:$D$2437,$B112,'июль 2025'!$J$2:$J$2437,L$1)</f>
        <v>0</v>
      </c>
      <c r="M112" s="76">
        <f>SUMIFS('июль 2025'!$G$2:$G$2437,'июль 2025'!$D$2:$D$2437,$B112,'июль 2025'!$J$2:$J$2437,M$1)</f>
        <v>0</v>
      </c>
      <c r="N112" s="76">
        <f>SUMIFS('июль 2025'!$G$2:$G$2437,'июль 2025'!$D$2:$D$2437,$B112,'июль 2025'!$J$2:$J$2437,N$1)</f>
        <v>0</v>
      </c>
      <c r="O112" s="76">
        <f>SUMIFS('июль 2025'!$G$2:$G$2437,'июль 2025'!$D$2:$D$2437,$B112,'июль 2025'!$J$2:$J$2437,O$1)</f>
        <v>0</v>
      </c>
      <c r="P112" s="76">
        <f>SUMIFS('июль 2025'!$G$2:$G$2437,'июль 2025'!$D$2:$D$2437,$B112,'июль 2025'!$J$2:$J$2437,P$1)</f>
        <v>0</v>
      </c>
      <c r="Q112" s="76">
        <f>SUMIFS('июль 2025'!$G$2:$G$2437,'июль 2025'!$D$2:$D$2437,$B112,'июль 2025'!$J$2:$J$2437,Q$1)</f>
        <v>0</v>
      </c>
      <c r="R112" s="76">
        <f>SUMIFS('июль 2025'!$G$2:$G$2437,'июль 2025'!$D$2:$D$2437,$B112,'июль 2025'!$J$2:$J$2437,R$1)</f>
        <v>0</v>
      </c>
      <c r="S112" s="76">
        <f>SUMIFS('июль 2025'!$G$2:$G$2437,'июль 2025'!$D$2:$D$2437,$B112,'июль 2025'!$J$2:$J$2437,S$1)</f>
        <v>0</v>
      </c>
      <c r="T112" s="76">
        <f>SUMIFS('июль 2025'!$G$2:$G$2437,'июль 2025'!$D$2:$D$2437,$B112,'июль 2025'!$J$2:$J$2437,T$1)</f>
        <v>0</v>
      </c>
      <c r="U112" s="76">
        <f>SUMIFS('июль 2025'!$G$2:$G$2437,'июль 2025'!$D$2:$D$2437,$B112,'июль 2025'!$J$2:$J$2437,U$1)</f>
        <v>0</v>
      </c>
      <c r="V112" s="76">
        <f>SUMIFS('июль 2025'!$G$2:$G$2437,'июль 2025'!$D$2:$D$2437,$B112,'июль 2025'!$J$2:$J$2437,V$1)</f>
        <v>0</v>
      </c>
      <c r="W112" s="76">
        <f>SUMIFS('июль 2025'!$G$2:$G$2437,'июль 2025'!$D$2:$D$2437,$B112,'июль 2025'!$J$2:$J$2437,W$1)</f>
        <v>0</v>
      </c>
      <c r="X112" s="76">
        <f>SUMIFS('июль 2025'!$G$2:$G$2437,'июль 2025'!$D$2:$D$2437,$B112,'июль 2025'!$J$2:$J$2437,X$1)</f>
        <v>0</v>
      </c>
      <c r="Y112" s="76">
        <f>SUMIFS('июль 2025'!$G$2:$G$2437,'июль 2025'!$D$2:$D$2437,$B112,'июль 2025'!$J$2:$J$2437,Y$1)</f>
        <v>0</v>
      </c>
      <c r="Z112" s="76">
        <f>SUMIFS('июль 2025'!$G$2:$G$2437,'июль 2025'!$D$2:$D$2437,$B112,'июль 2025'!$J$2:$J$2437,Z$1)</f>
        <v>0</v>
      </c>
      <c r="AA112" s="76">
        <f>SUMIFS('июль 2025'!$G$2:$G$2437,'июль 2025'!$D$2:$D$2437,$B112,'июль 2025'!$J$2:$J$2437,AA$1)</f>
        <v>0</v>
      </c>
      <c r="AB112" s="76">
        <f>SUMIFS('июль 2025'!$G$2:$G$2437,'июль 2025'!$D$2:$D$2437,$B112,'июль 2025'!$J$2:$J$2437,AB$1)</f>
        <v>0</v>
      </c>
      <c r="AC112" s="76">
        <f>SUMIFS('июль 2025'!$G$2:$G$2437,'июль 2025'!$D$2:$D$2437,$B112,'июль 2025'!$J$2:$J$2437,AC$1)</f>
        <v>0</v>
      </c>
      <c r="AD112" s="76">
        <f>SUMIFS('июль 2025'!$G$2:$G$2437,'июль 2025'!$D$2:$D$2437,$B112,'июль 2025'!$J$2:$J$2437,AD$1)</f>
        <v>0</v>
      </c>
      <c r="AE112" s="76">
        <f>SUMIFS('июль 2025'!$G$2:$G$2437,'июль 2025'!$D$2:$D$2437,$B112,'июль 2025'!$J$2:$J$2437,AE$1)</f>
        <v>0</v>
      </c>
      <c r="AF112" s="76">
        <f>SUMIFS('июль 2025'!$G$2:$G$2437,'июль 2025'!$D$2:$D$2437,$B112,'июль 2025'!$J$2:$J$2437,AF$1)</f>
        <v>0</v>
      </c>
      <c r="AG112" s="76">
        <f>SUMIFS('июль 2025'!$G$2:$G$2437,'июль 2025'!$D$2:$D$2437,$B112,'июль 2025'!$J$2:$J$2437,AG$1)</f>
        <v>0</v>
      </c>
      <c r="AH112" s="76">
        <f>SUMIFS('июль 2025'!$G$2:$G$2437,'июль 2025'!$D$2:$D$2437,$B112,'июль 2025'!$J$2:$J$2437,AH$1)</f>
        <v>0</v>
      </c>
      <c r="AI112" s="20">
        <f t="shared" si="1"/>
        <v>0</v>
      </c>
    </row>
    <row r="113" spans="2:35" ht="15" customHeight="1" x14ac:dyDescent="0.25">
      <c r="B113" s="84" t="s">
        <v>195</v>
      </c>
      <c r="C113" s="83">
        <v>185</v>
      </c>
      <c r="D113" s="76">
        <f>SUMIFS('июль 2025'!$G$2:$G$2437,'июль 2025'!$D$2:$D$2437,$B113,'июль 2025'!$J$2:$J$2437,D$1)</f>
        <v>0</v>
      </c>
      <c r="E113" s="76">
        <f>SUMIFS('июль 2025'!$G$2:$G$2437,'июль 2025'!$D$2:$D$2437,$B113,'июль 2025'!$J$2:$J$2437,E$1)</f>
        <v>0</v>
      </c>
      <c r="F113" s="76">
        <f>SUMIFS('июль 2025'!$G$2:$G$2437,'июль 2025'!$D$2:$D$2437,$B113,'июль 2025'!$J$2:$J$2437,F$1)</f>
        <v>0</v>
      </c>
      <c r="G113" s="76">
        <f>SUMIFS('июль 2025'!$G$2:$G$2437,'июль 2025'!$D$2:$D$2437,$B113,'июль 2025'!$J$2:$J$2437,G$1)</f>
        <v>0</v>
      </c>
      <c r="H113" s="76">
        <f>SUMIFS('июль 2025'!$G$2:$G$2437,'июль 2025'!$D$2:$D$2437,$B113,'июль 2025'!$J$2:$J$2437,H$1)</f>
        <v>0</v>
      </c>
      <c r="I113" s="76">
        <f>SUMIFS('июль 2025'!$G$2:$G$2437,'июль 2025'!$D$2:$D$2437,$B113,'июль 2025'!$J$2:$J$2437,I$1)</f>
        <v>0</v>
      </c>
      <c r="J113" s="76">
        <f>SUMIFS('июль 2025'!$G$2:$G$2437,'июль 2025'!$D$2:$D$2437,$B113,'июль 2025'!$J$2:$J$2437,J$1)</f>
        <v>0</v>
      </c>
      <c r="K113" s="76">
        <f>SUMIFS('июль 2025'!$G$2:$G$2437,'июль 2025'!$D$2:$D$2437,$B113,'июль 2025'!$J$2:$J$2437,K$1)</f>
        <v>0</v>
      </c>
      <c r="L113" s="76">
        <f>SUMIFS('июль 2025'!$G$2:$G$2437,'июль 2025'!$D$2:$D$2437,$B113,'июль 2025'!$J$2:$J$2437,L$1)</f>
        <v>0</v>
      </c>
      <c r="M113" s="76">
        <f>SUMIFS('июль 2025'!$G$2:$G$2437,'июль 2025'!$D$2:$D$2437,$B113,'июль 2025'!$J$2:$J$2437,M$1)</f>
        <v>0</v>
      </c>
      <c r="N113" s="76">
        <f>SUMIFS('июль 2025'!$G$2:$G$2437,'июль 2025'!$D$2:$D$2437,$B113,'июль 2025'!$J$2:$J$2437,N$1)</f>
        <v>0</v>
      </c>
      <c r="O113" s="76">
        <f>SUMIFS('июль 2025'!$G$2:$G$2437,'июль 2025'!$D$2:$D$2437,$B113,'июль 2025'!$J$2:$J$2437,O$1)</f>
        <v>0</v>
      </c>
      <c r="P113" s="76">
        <f>SUMIFS('июль 2025'!$G$2:$G$2437,'июль 2025'!$D$2:$D$2437,$B113,'июль 2025'!$J$2:$J$2437,P$1)</f>
        <v>0</v>
      </c>
      <c r="Q113" s="76">
        <f>SUMIFS('июль 2025'!$G$2:$G$2437,'июль 2025'!$D$2:$D$2437,$B113,'июль 2025'!$J$2:$J$2437,Q$1)</f>
        <v>0</v>
      </c>
      <c r="R113" s="76">
        <f>SUMIFS('июль 2025'!$G$2:$G$2437,'июль 2025'!$D$2:$D$2437,$B113,'июль 2025'!$J$2:$J$2437,R$1)</f>
        <v>0</v>
      </c>
      <c r="S113" s="76">
        <f>SUMIFS('июль 2025'!$G$2:$G$2437,'июль 2025'!$D$2:$D$2437,$B113,'июль 2025'!$J$2:$J$2437,S$1)</f>
        <v>0</v>
      </c>
      <c r="T113" s="76">
        <f>SUMIFS('июль 2025'!$G$2:$G$2437,'июль 2025'!$D$2:$D$2437,$B113,'июль 2025'!$J$2:$J$2437,T$1)</f>
        <v>0</v>
      </c>
      <c r="U113" s="76">
        <f>SUMIFS('июль 2025'!$G$2:$G$2437,'июль 2025'!$D$2:$D$2437,$B113,'июль 2025'!$J$2:$J$2437,U$1)</f>
        <v>0</v>
      </c>
      <c r="V113" s="76">
        <f>SUMIFS('июль 2025'!$G$2:$G$2437,'июль 2025'!$D$2:$D$2437,$B113,'июль 2025'!$J$2:$J$2437,V$1)</f>
        <v>0</v>
      </c>
      <c r="W113" s="76">
        <f>SUMIFS('июль 2025'!$G$2:$G$2437,'июль 2025'!$D$2:$D$2437,$B113,'июль 2025'!$J$2:$J$2437,W$1)</f>
        <v>0</v>
      </c>
      <c r="X113" s="76">
        <f>SUMIFS('июль 2025'!$G$2:$G$2437,'июль 2025'!$D$2:$D$2437,$B113,'июль 2025'!$J$2:$J$2437,X$1)</f>
        <v>0</v>
      </c>
      <c r="Y113" s="76">
        <f>SUMIFS('июль 2025'!$G$2:$G$2437,'июль 2025'!$D$2:$D$2437,$B113,'июль 2025'!$J$2:$J$2437,Y$1)</f>
        <v>0</v>
      </c>
      <c r="Z113" s="76">
        <f>SUMIFS('июль 2025'!$G$2:$G$2437,'июль 2025'!$D$2:$D$2437,$B113,'июль 2025'!$J$2:$J$2437,Z$1)</f>
        <v>0</v>
      </c>
      <c r="AA113" s="76">
        <f>SUMIFS('июль 2025'!$G$2:$G$2437,'июль 2025'!$D$2:$D$2437,$B113,'июль 2025'!$J$2:$J$2437,AA$1)</f>
        <v>0</v>
      </c>
      <c r="AB113" s="76">
        <f>SUMIFS('июль 2025'!$G$2:$G$2437,'июль 2025'!$D$2:$D$2437,$B113,'июль 2025'!$J$2:$J$2437,AB$1)</f>
        <v>0</v>
      </c>
      <c r="AC113" s="76">
        <f>SUMIFS('июль 2025'!$G$2:$G$2437,'июль 2025'!$D$2:$D$2437,$B113,'июль 2025'!$J$2:$J$2437,AC$1)</f>
        <v>0</v>
      </c>
      <c r="AD113" s="76">
        <f>SUMIFS('июль 2025'!$G$2:$G$2437,'июль 2025'!$D$2:$D$2437,$B113,'июль 2025'!$J$2:$J$2437,AD$1)</f>
        <v>0</v>
      </c>
      <c r="AE113" s="76">
        <f>SUMIFS('июль 2025'!$G$2:$G$2437,'июль 2025'!$D$2:$D$2437,$B113,'июль 2025'!$J$2:$J$2437,AE$1)</f>
        <v>0</v>
      </c>
      <c r="AF113" s="76">
        <f>SUMIFS('июль 2025'!$G$2:$G$2437,'июль 2025'!$D$2:$D$2437,$B113,'июль 2025'!$J$2:$J$2437,AF$1)</f>
        <v>0</v>
      </c>
      <c r="AG113" s="76">
        <f>SUMIFS('июль 2025'!$G$2:$G$2437,'июль 2025'!$D$2:$D$2437,$B113,'июль 2025'!$J$2:$J$2437,AG$1)</f>
        <v>0</v>
      </c>
      <c r="AH113" s="76">
        <f>SUMIFS('июль 2025'!$G$2:$G$2437,'июль 2025'!$D$2:$D$2437,$B113,'июль 2025'!$J$2:$J$2437,AH$1)</f>
        <v>0</v>
      </c>
      <c r="AI113" s="20">
        <f t="shared" si="1"/>
        <v>0</v>
      </c>
    </row>
    <row r="114" spans="2:35" ht="15" customHeight="1" x14ac:dyDescent="0.25">
      <c r="B114" s="84" t="s">
        <v>196</v>
      </c>
      <c r="C114" s="83">
        <v>185</v>
      </c>
      <c r="D114" s="76">
        <f>SUMIFS('июль 2025'!$G$2:$G$2437,'июль 2025'!$D$2:$D$2437,$B114,'июль 2025'!$J$2:$J$2437,D$1)</f>
        <v>0</v>
      </c>
      <c r="E114" s="76">
        <f>SUMIFS('июль 2025'!$G$2:$G$2437,'июль 2025'!$D$2:$D$2437,$B114,'июль 2025'!$J$2:$J$2437,E$1)</f>
        <v>0</v>
      </c>
      <c r="F114" s="76">
        <f>SUMIFS('июль 2025'!$G$2:$G$2437,'июль 2025'!$D$2:$D$2437,$B114,'июль 2025'!$J$2:$J$2437,F$1)</f>
        <v>0</v>
      </c>
      <c r="G114" s="76">
        <f>SUMIFS('июль 2025'!$G$2:$G$2437,'июль 2025'!$D$2:$D$2437,$B114,'июль 2025'!$J$2:$J$2437,G$1)</f>
        <v>0</v>
      </c>
      <c r="H114" s="76">
        <f>SUMIFS('июль 2025'!$G$2:$G$2437,'июль 2025'!$D$2:$D$2437,$B114,'июль 2025'!$J$2:$J$2437,H$1)</f>
        <v>0</v>
      </c>
      <c r="I114" s="76">
        <f>SUMIFS('июль 2025'!$G$2:$G$2437,'июль 2025'!$D$2:$D$2437,$B114,'июль 2025'!$J$2:$J$2437,I$1)</f>
        <v>0</v>
      </c>
      <c r="J114" s="76">
        <f>SUMIFS('июль 2025'!$G$2:$G$2437,'июль 2025'!$D$2:$D$2437,$B114,'июль 2025'!$J$2:$J$2437,J$1)</f>
        <v>0</v>
      </c>
      <c r="K114" s="76">
        <f>SUMIFS('июль 2025'!$G$2:$G$2437,'июль 2025'!$D$2:$D$2437,$B114,'июль 2025'!$J$2:$J$2437,K$1)</f>
        <v>0</v>
      </c>
      <c r="L114" s="76">
        <f>SUMIFS('июль 2025'!$G$2:$G$2437,'июль 2025'!$D$2:$D$2437,$B114,'июль 2025'!$J$2:$J$2437,L$1)</f>
        <v>0</v>
      </c>
      <c r="M114" s="76">
        <f>SUMIFS('июль 2025'!$G$2:$G$2437,'июль 2025'!$D$2:$D$2437,$B114,'июль 2025'!$J$2:$J$2437,M$1)</f>
        <v>0</v>
      </c>
      <c r="N114" s="76">
        <f>SUMIFS('июль 2025'!$G$2:$G$2437,'июль 2025'!$D$2:$D$2437,$B114,'июль 2025'!$J$2:$J$2437,N$1)</f>
        <v>0</v>
      </c>
      <c r="O114" s="76">
        <f>SUMIFS('июль 2025'!$G$2:$G$2437,'июль 2025'!$D$2:$D$2437,$B114,'июль 2025'!$J$2:$J$2437,O$1)</f>
        <v>0</v>
      </c>
      <c r="P114" s="76">
        <f>SUMIFS('июль 2025'!$G$2:$G$2437,'июль 2025'!$D$2:$D$2437,$B114,'июль 2025'!$J$2:$J$2437,P$1)</f>
        <v>0</v>
      </c>
      <c r="Q114" s="76">
        <f>SUMIFS('июль 2025'!$G$2:$G$2437,'июль 2025'!$D$2:$D$2437,$B114,'июль 2025'!$J$2:$J$2437,Q$1)</f>
        <v>0</v>
      </c>
      <c r="R114" s="76">
        <f>SUMIFS('июль 2025'!$G$2:$G$2437,'июль 2025'!$D$2:$D$2437,$B114,'июль 2025'!$J$2:$J$2437,R$1)</f>
        <v>0</v>
      </c>
      <c r="S114" s="76">
        <f>SUMIFS('июль 2025'!$G$2:$G$2437,'июль 2025'!$D$2:$D$2437,$B114,'июль 2025'!$J$2:$J$2437,S$1)</f>
        <v>0</v>
      </c>
      <c r="T114" s="76">
        <f>SUMIFS('июль 2025'!$G$2:$G$2437,'июль 2025'!$D$2:$D$2437,$B114,'июль 2025'!$J$2:$J$2437,T$1)</f>
        <v>0</v>
      </c>
      <c r="U114" s="76">
        <f>SUMIFS('июль 2025'!$G$2:$G$2437,'июль 2025'!$D$2:$D$2437,$B114,'июль 2025'!$J$2:$J$2437,U$1)</f>
        <v>0</v>
      </c>
      <c r="V114" s="76">
        <f>SUMIFS('июль 2025'!$G$2:$G$2437,'июль 2025'!$D$2:$D$2437,$B114,'июль 2025'!$J$2:$J$2437,V$1)</f>
        <v>0</v>
      </c>
      <c r="W114" s="76">
        <f>SUMIFS('июль 2025'!$G$2:$G$2437,'июль 2025'!$D$2:$D$2437,$B114,'июль 2025'!$J$2:$J$2437,W$1)</f>
        <v>0</v>
      </c>
      <c r="X114" s="76">
        <f>SUMIFS('июль 2025'!$G$2:$G$2437,'июль 2025'!$D$2:$D$2437,$B114,'июль 2025'!$J$2:$J$2437,X$1)</f>
        <v>0</v>
      </c>
      <c r="Y114" s="76">
        <f>SUMIFS('июль 2025'!$G$2:$G$2437,'июль 2025'!$D$2:$D$2437,$B114,'июль 2025'!$J$2:$J$2437,Y$1)</f>
        <v>0</v>
      </c>
      <c r="Z114" s="76">
        <f>SUMIFS('июль 2025'!$G$2:$G$2437,'июль 2025'!$D$2:$D$2437,$B114,'июль 2025'!$J$2:$J$2437,Z$1)</f>
        <v>0</v>
      </c>
      <c r="AA114" s="76">
        <f>SUMIFS('июль 2025'!$G$2:$G$2437,'июль 2025'!$D$2:$D$2437,$B114,'июль 2025'!$J$2:$J$2437,AA$1)</f>
        <v>0</v>
      </c>
      <c r="AB114" s="76">
        <f>SUMIFS('июль 2025'!$G$2:$G$2437,'июль 2025'!$D$2:$D$2437,$B114,'июль 2025'!$J$2:$J$2437,AB$1)</f>
        <v>0</v>
      </c>
      <c r="AC114" s="76">
        <f>SUMIFS('июль 2025'!$G$2:$G$2437,'июль 2025'!$D$2:$D$2437,$B114,'июль 2025'!$J$2:$J$2437,AC$1)</f>
        <v>0</v>
      </c>
      <c r="AD114" s="76">
        <f>SUMIFS('июль 2025'!$G$2:$G$2437,'июль 2025'!$D$2:$D$2437,$B114,'июль 2025'!$J$2:$J$2437,AD$1)</f>
        <v>0</v>
      </c>
      <c r="AE114" s="76">
        <f>SUMIFS('июль 2025'!$G$2:$G$2437,'июль 2025'!$D$2:$D$2437,$B114,'июль 2025'!$J$2:$J$2437,AE$1)</f>
        <v>0</v>
      </c>
      <c r="AF114" s="76">
        <f>SUMIFS('июль 2025'!$G$2:$G$2437,'июль 2025'!$D$2:$D$2437,$B114,'июль 2025'!$J$2:$J$2437,AF$1)</f>
        <v>0</v>
      </c>
      <c r="AG114" s="76">
        <f>SUMIFS('июль 2025'!$G$2:$G$2437,'июль 2025'!$D$2:$D$2437,$B114,'июль 2025'!$J$2:$J$2437,AG$1)</f>
        <v>0</v>
      </c>
      <c r="AH114" s="76">
        <f>SUMIFS('июль 2025'!$G$2:$G$2437,'июль 2025'!$D$2:$D$2437,$B114,'июль 2025'!$J$2:$J$2437,AH$1)</f>
        <v>0</v>
      </c>
      <c r="AI114" s="20">
        <f t="shared" si="1"/>
        <v>0</v>
      </c>
    </row>
    <row r="115" spans="2:35" ht="15" customHeight="1" x14ac:dyDescent="0.25">
      <c r="B115" s="84" t="s">
        <v>260</v>
      </c>
      <c r="C115" s="83">
        <v>180</v>
      </c>
      <c r="D115" s="76">
        <f>SUMIFS('июль 2025'!$G$2:$G$2437,'июль 2025'!$D$2:$D$2437,$B115,'июль 2025'!$J$2:$J$2437,D$1)</f>
        <v>0</v>
      </c>
      <c r="E115" s="76">
        <f>SUMIFS('июль 2025'!$G$2:$G$2437,'июль 2025'!$D$2:$D$2437,$B115,'июль 2025'!$J$2:$J$2437,E$1)</f>
        <v>0</v>
      </c>
      <c r="F115" s="76">
        <f>SUMIFS('июль 2025'!$G$2:$G$2437,'июль 2025'!$D$2:$D$2437,$B115,'июль 2025'!$J$2:$J$2437,F$1)</f>
        <v>0</v>
      </c>
      <c r="G115" s="76">
        <f>SUMIFS('июль 2025'!$G$2:$G$2437,'июль 2025'!$D$2:$D$2437,$B115,'июль 2025'!$J$2:$J$2437,G$1)</f>
        <v>0</v>
      </c>
      <c r="H115" s="76">
        <f>SUMIFS('июль 2025'!$G$2:$G$2437,'июль 2025'!$D$2:$D$2437,$B115,'июль 2025'!$J$2:$J$2437,H$1)</f>
        <v>0</v>
      </c>
      <c r="I115" s="76">
        <f>SUMIFS('июль 2025'!$G$2:$G$2437,'июль 2025'!$D$2:$D$2437,$B115,'июль 2025'!$J$2:$J$2437,I$1)</f>
        <v>0</v>
      </c>
      <c r="J115" s="76">
        <f>SUMIFS('июль 2025'!$G$2:$G$2437,'июль 2025'!$D$2:$D$2437,$B115,'июль 2025'!$J$2:$J$2437,J$1)</f>
        <v>0</v>
      </c>
      <c r="K115" s="76">
        <f>SUMIFS('июль 2025'!$G$2:$G$2437,'июль 2025'!$D$2:$D$2437,$B115,'июль 2025'!$J$2:$J$2437,K$1)</f>
        <v>0</v>
      </c>
      <c r="L115" s="76">
        <f>SUMIFS('июль 2025'!$G$2:$G$2437,'июль 2025'!$D$2:$D$2437,$B115,'июль 2025'!$J$2:$J$2437,L$1)</f>
        <v>0</v>
      </c>
      <c r="M115" s="76">
        <f>SUMIFS('июль 2025'!$G$2:$G$2437,'июль 2025'!$D$2:$D$2437,$B115,'июль 2025'!$J$2:$J$2437,M$1)</f>
        <v>0</v>
      </c>
      <c r="N115" s="76">
        <f>SUMIFS('июль 2025'!$G$2:$G$2437,'июль 2025'!$D$2:$D$2437,$B115,'июль 2025'!$J$2:$J$2437,N$1)</f>
        <v>0</v>
      </c>
      <c r="O115" s="76">
        <f>SUMIFS('июль 2025'!$G$2:$G$2437,'июль 2025'!$D$2:$D$2437,$B115,'июль 2025'!$J$2:$J$2437,O$1)</f>
        <v>0</v>
      </c>
      <c r="P115" s="76">
        <f>SUMIFS('июль 2025'!$G$2:$G$2437,'июль 2025'!$D$2:$D$2437,$B115,'июль 2025'!$J$2:$J$2437,P$1)</f>
        <v>0</v>
      </c>
      <c r="Q115" s="76">
        <f>SUMIFS('июль 2025'!$G$2:$G$2437,'июль 2025'!$D$2:$D$2437,$B115,'июль 2025'!$J$2:$J$2437,Q$1)</f>
        <v>0</v>
      </c>
      <c r="R115" s="76">
        <f>SUMIFS('июль 2025'!$G$2:$G$2437,'июль 2025'!$D$2:$D$2437,$B115,'июль 2025'!$J$2:$J$2437,R$1)</f>
        <v>0</v>
      </c>
      <c r="S115" s="76">
        <f>SUMIFS('июль 2025'!$G$2:$G$2437,'июль 2025'!$D$2:$D$2437,$B115,'июль 2025'!$J$2:$J$2437,S$1)</f>
        <v>0</v>
      </c>
      <c r="T115" s="76">
        <f>SUMIFS('июль 2025'!$G$2:$G$2437,'июль 2025'!$D$2:$D$2437,$B115,'июль 2025'!$J$2:$J$2437,T$1)</f>
        <v>0</v>
      </c>
      <c r="U115" s="76">
        <f>SUMIFS('июль 2025'!$G$2:$G$2437,'июль 2025'!$D$2:$D$2437,$B115,'июль 2025'!$J$2:$J$2437,U$1)</f>
        <v>0</v>
      </c>
      <c r="V115" s="76">
        <f>SUMIFS('июль 2025'!$G$2:$G$2437,'июль 2025'!$D$2:$D$2437,$B115,'июль 2025'!$J$2:$J$2437,V$1)</f>
        <v>0</v>
      </c>
      <c r="W115" s="76">
        <f>SUMIFS('июль 2025'!$G$2:$G$2437,'июль 2025'!$D$2:$D$2437,$B115,'июль 2025'!$J$2:$J$2437,W$1)</f>
        <v>0</v>
      </c>
      <c r="X115" s="76">
        <f>SUMIFS('июль 2025'!$G$2:$G$2437,'июль 2025'!$D$2:$D$2437,$B115,'июль 2025'!$J$2:$J$2437,X$1)</f>
        <v>0</v>
      </c>
      <c r="Y115" s="76">
        <f>SUMIFS('июль 2025'!$G$2:$G$2437,'июль 2025'!$D$2:$D$2437,$B115,'июль 2025'!$J$2:$J$2437,Y$1)</f>
        <v>0</v>
      </c>
      <c r="Z115" s="76">
        <f>SUMIFS('июль 2025'!$G$2:$G$2437,'июль 2025'!$D$2:$D$2437,$B115,'июль 2025'!$J$2:$J$2437,Z$1)</f>
        <v>0</v>
      </c>
      <c r="AA115" s="76">
        <f>SUMIFS('июль 2025'!$G$2:$G$2437,'июль 2025'!$D$2:$D$2437,$B115,'июль 2025'!$J$2:$J$2437,AA$1)</f>
        <v>0</v>
      </c>
      <c r="AB115" s="76">
        <f>SUMIFS('июль 2025'!$G$2:$G$2437,'июль 2025'!$D$2:$D$2437,$B115,'июль 2025'!$J$2:$J$2437,AB$1)</f>
        <v>0</v>
      </c>
      <c r="AC115" s="76">
        <f>SUMIFS('июль 2025'!$G$2:$G$2437,'июль 2025'!$D$2:$D$2437,$B115,'июль 2025'!$J$2:$J$2437,AC$1)</f>
        <v>0</v>
      </c>
      <c r="AD115" s="76">
        <f>SUMIFS('июль 2025'!$G$2:$G$2437,'июль 2025'!$D$2:$D$2437,$B115,'июль 2025'!$J$2:$J$2437,AD$1)</f>
        <v>0</v>
      </c>
      <c r="AE115" s="76">
        <f>SUMIFS('июль 2025'!$G$2:$G$2437,'июль 2025'!$D$2:$D$2437,$B115,'июль 2025'!$J$2:$J$2437,AE$1)</f>
        <v>0</v>
      </c>
      <c r="AF115" s="76">
        <f>SUMIFS('июль 2025'!$G$2:$G$2437,'июль 2025'!$D$2:$D$2437,$B115,'июль 2025'!$J$2:$J$2437,AF$1)</f>
        <v>0</v>
      </c>
      <c r="AG115" s="76">
        <f>SUMIFS('июль 2025'!$G$2:$G$2437,'июль 2025'!$D$2:$D$2437,$B115,'июль 2025'!$J$2:$J$2437,AG$1)</f>
        <v>0</v>
      </c>
      <c r="AH115" s="76">
        <f>SUMIFS('июль 2025'!$G$2:$G$2437,'июль 2025'!$D$2:$D$2437,$B115,'июль 2025'!$J$2:$J$2437,AH$1)</f>
        <v>0</v>
      </c>
      <c r="AI115" s="20">
        <f t="shared" si="1"/>
        <v>0</v>
      </c>
    </row>
    <row r="116" spans="2:35" ht="15" customHeight="1" x14ac:dyDescent="0.25">
      <c r="B116" s="88" t="s">
        <v>261</v>
      </c>
      <c r="C116" s="86">
        <v>200</v>
      </c>
      <c r="D116" s="76">
        <f>SUMIFS('июль 2025'!$G$2:$G$2437,'июль 2025'!$D$2:$D$2437,$B116,'июль 2025'!$J$2:$J$2437,D$1)</f>
        <v>0</v>
      </c>
      <c r="E116" s="76">
        <f>SUMIFS('июль 2025'!$G$2:$G$2437,'июль 2025'!$D$2:$D$2437,$B116,'июль 2025'!$J$2:$J$2437,E$1)</f>
        <v>0</v>
      </c>
      <c r="F116" s="76">
        <f>SUMIFS('июль 2025'!$G$2:$G$2437,'июль 2025'!$D$2:$D$2437,$B116,'июль 2025'!$J$2:$J$2437,F$1)</f>
        <v>0</v>
      </c>
      <c r="G116" s="76">
        <f>SUMIFS('июль 2025'!$G$2:$G$2437,'июль 2025'!$D$2:$D$2437,$B116,'июль 2025'!$J$2:$J$2437,G$1)</f>
        <v>0</v>
      </c>
      <c r="H116" s="76">
        <f>SUMIFS('июль 2025'!$G$2:$G$2437,'июль 2025'!$D$2:$D$2437,$B116,'июль 2025'!$J$2:$J$2437,H$1)</f>
        <v>0</v>
      </c>
      <c r="I116" s="76">
        <f>SUMIFS('июль 2025'!$G$2:$G$2437,'июль 2025'!$D$2:$D$2437,$B116,'июль 2025'!$J$2:$J$2437,I$1)</f>
        <v>0</v>
      </c>
      <c r="J116" s="76">
        <f>SUMIFS('июль 2025'!$G$2:$G$2437,'июль 2025'!$D$2:$D$2437,$B116,'июль 2025'!$J$2:$J$2437,J$1)</f>
        <v>0</v>
      </c>
      <c r="K116" s="76">
        <f>SUMIFS('июль 2025'!$G$2:$G$2437,'июль 2025'!$D$2:$D$2437,$B116,'июль 2025'!$J$2:$J$2437,K$1)</f>
        <v>0</v>
      </c>
      <c r="L116" s="76">
        <f>SUMIFS('июль 2025'!$G$2:$G$2437,'июль 2025'!$D$2:$D$2437,$B116,'июль 2025'!$J$2:$J$2437,L$1)</f>
        <v>0</v>
      </c>
      <c r="M116" s="76">
        <f>SUMIFS('июль 2025'!$G$2:$G$2437,'июль 2025'!$D$2:$D$2437,$B116,'июль 2025'!$J$2:$J$2437,M$1)</f>
        <v>0</v>
      </c>
      <c r="N116" s="76">
        <f>SUMIFS('июль 2025'!$G$2:$G$2437,'июль 2025'!$D$2:$D$2437,$B116,'июль 2025'!$J$2:$J$2437,N$1)</f>
        <v>0</v>
      </c>
      <c r="O116" s="76">
        <f>SUMIFS('июль 2025'!$G$2:$G$2437,'июль 2025'!$D$2:$D$2437,$B116,'июль 2025'!$J$2:$J$2437,O$1)</f>
        <v>0</v>
      </c>
      <c r="P116" s="76">
        <f>SUMIFS('июль 2025'!$G$2:$G$2437,'июль 2025'!$D$2:$D$2437,$B116,'июль 2025'!$J$2:$J$2437,P$1)</f>
        <v>0</v>
      </c>
      <c r="Q116" s="76">
        <f>SUMIFS('июль 2025'!$G$2:$G$2437,'июль 2025'!$D$2:$D$2437,$B116,'июль 2025'!$J$2:$J$2437,Q$1)</f>
        <v>0</v>
      </c>
      <c r="R116" s="76">
        <f>SUMIFS('июль 2025'!$G$2:$G$2437,'июль 2025'!$D$2:$D$2437,$B116,'июль 2025'!$J$2:$J$2437,R$1)</f>
        <v>0</v>
      </c>
      <c r="S116" s="76">
        <f>SUMIFS('июль 2025'!$G$2:$G$2437,'июль 2025'!$D$2:$D$2437,$B116,'июль 2025'!$J$2:$J$2437,S$1)</f>
        <v>0</v>
      </c>
      <c r="T116" s="76">
        <f>SUMIFS('июль 2025'!$G$2:$G$2437,'июль 2025'!$D$2:$D$2437,$B116,'июль 2025'!$J$2:$J$2437,T$1)</f>
        <v>0</v>
      </c>
      <c r="U116" s="76">
        <f>SUMIFS('июль 2025'!$G$2:$G$2437,'июль 2025'!$D$2:$D$2437,$B116,'июль 2025'!$J$2:$J$2437,U$1)</f>
        <v>0</v>
      </c>
      <c r="V116" s="76">
        <f>SUMIFS('июль 2025'!$G$2:$G$2437,'июль 2025'!$D$2:$D$2437,$B116,'июль 2025'!$J$2:$J$2437,V$1)</f>
        <v>0</v>
      </c>
      <c r="W116" s="76">
        <f>SUMIFS('июль 2025'!$G$2:$G$2437,'июль 2025'!$D$2:$D$2437,$B116,'июль 2025'!$J$2:$J$2437,W$1)</f>
        <v>0</v>
      </c>
      <c r="X116" s="76">
        <f>SUMIFS('июль 2025'!$G$2:$G$2437,'июль 2025'!$D$2:$D$2437,$B116,'июль 2025'!$J$2:$J$2437,X$1)</f>
        <v>0</v>
      </c>
      <c r="Y116" s="76">
        <f>SUMIFS('июль 2025'!$G$2:$G$2437,'июль 2025'!$D$2:$D$2437,$B116,'июль 2025'!$J$2:$J$2437,Y$1)</f>
        <v>0</v>
      </c>
      <c r="Z116" s="76">
        <f>SUMIFS('июль 2025'!$G$2:$G$2437,'июль 2025'!$D$2:$D$2437,$B116,'июль 2025'!$J$2:$J$2437,Z$1)</f>
        <v>0</v>
      </c>
      <c r="AA116" s="76">
        <f>SUMIFS('июль 2025'!$G$2:$G$2437,'июль 2025'!$D$2:$D$2437,$B116,'июль 2025'!$J$2:$J$2437,AA$1)</f>
        <v>0</v>
      </c>
      <c r="AB116" s="76">
        <f>SUMIFS('июль 2025'!$G$2:$G$2437,'июль 2025'!$D$2:$D$2437,$B116,'июль 2025'!$J$2:$J$2437,AB$1)</f>
        <v>0</v>
      </c>
      <c r="AC116" s="76">
        <f>SUMIFS('июль 2025'!$G$2:$G$2437,'июль 2025'!$D$2:$D$2437,$B116,'июль 2025'!$J$2:$J$2437,AC$1)</f>
        <v>0</v>
      </c>
      <c r="AD116" s="76">
        <f>SUMIFS('июль 2025'!$G$2:$G$2437,'июль 2025'!$D$2:$D$2437,$B116,'июль 2025'!$J$2:$J$2437,AD$1)</f>
        <v>0</v>
      </c>
      <c r="AE116" s="76">
        <f>SUMIFS('июль 2025'!$G$2:$G$2437,'июль 2025'!$D$2:$D$2437,$B116,'июль 2025'!$J$2:$J$2437,AE$1)</f>
        <v>0</v>
      </c>
      <c r="AF116" s="76">
        <f>SUMIFS('июль 2025'!$G$2:$G$2437,'июль 2025'!$D$2:$D$2437,$B116,'июль 2025'!$J$2:$J$2437,AF$1)</f>
        <v>0</v>
      </c>
      <c r="AG116" s="76">
        <f>SUMIFS('июль 2025'!$G$2:$G$2437,'июль 2025'!$D$2:$D$2437,$B116,'июль 2025'!$J$2:$J$2437,AG$1)</f>
        <v>0</v>
      </c>
      <c r="AH116" s="76">
        <f>SUMIFS('июль 2025'!$G$2:$G$2437,'июль 2025'!$D$2:$D$2437,$B116,'июль 2025'!$J$2:$J$2437,AH$1)</f>
        <v>0</v>
      </c>
      <c r="AI116" s="20">
        <f t="shared" si="1"/>
        <v>0</v>
      </c>
    </row>
    <row r="117" spans="2:35" ht="15" customHeight="1" x14ac:dyDescent="0.25">
      <c r="B117" s="88" t="s">
        <v>180</v>
      </c>
      <c r="C117" s="86">
        <v>200</v>
      </c>
      <c r="D117" s="76">
        <f>SUMIFS('июль 2025'!$G$2:$G$2437,'июль 2025'!$D$2:$D$2437,$B117,'июль 2025'!$J$2:$J$2437,D$1)</f>
        <v>0</v>
      </c>
      <c r="E117" s="76">
        <f>SUMIFS('июль 2025'!$G$2:$G$2437,'июль 2025'!$D$2:$D$2437,$B117,'июль 2025'!$J$2:$J$2437,E$1)</f>
        <v>0</v>
      </c>
      <c r="F117" s="76">
        <f>SUMIFS('июль 2025'!$G$2:$G$2437,'июль 2025'!$D$2:$D$2437,$B117,'июль 2025'!$J$2:$J$2437,F$1)</f>
        <v>0</v>
      </c>
      <c r="G117" s="76">
        <f>SUMIFS('июль 2025'!$G$2:$G$2437,'июль 2025'!$D$2:$D$2437,$B117,'июль 2025'!$J$2:$J$2437,G$1)</f>
        <v>0</v>
      </c>
      <c r="H117" s="76">
        <f>SUMIFS('июль 2025'!$G$2:$G$2437,'июль 2025'!$D$2:$D$2437,$B117,'июль 2025'!$J$2:$J$2437,H$1)</f>
        <v>0</v>
      </c>
      <c r="I117" s="76">
        <f>SUMIFS('июль 2025'!$G$2:$G$2437,'июль 2025'!$D$2:$D$2437,$B117,'июль 2025'!$J$2:$J$2437,I$1)</f>
        <v>0</v>
      </c>
      <c r="J117" s="76">
        <f>SUMIFS('июль 2025'!$G$2:$G$2437,'июль 2025'!$D$2:$D$2437,$B117,'июль 2025'!$J$2:$J$2437,J$1)</f>
        <v>0</v>
      </c>
      <c r="K117" s="76">
        <f>SUMIFS('июль 2025'!$G$2:$G$2437,'июль 2025'!$D$2:$D$2437,$B117,'июль 2025'!$J$2:$J$2437,K$1)</f>
        <v>0</v>
      </c>
      <c r="L117" s="76">
        <f>SUMIFS('июль 2025'!$G$2:$G$2437,'июль 2025'!$D$2:$D$2437,$B117,'июль 2025'!$J$2:$J$2437,L$1)</f>
        <v>0</v>
      </c>
      <c r="M117" s="76">
        <f>SUMIFS('июль 2025'!$G$2:$G$2437,'июль 2025'!$D$2:$D$2437,$B117,'июль 2025'!$J$2:$J$2437,M$1)</f>
        <v>0</v>
      </c>
      <c r="N117" s="76">
        <f>SUMIFS('июль 2025'!$G$2:$G$2437,'июль 2025'!$D$2:$D$2437,$B117,'июль 2025'!$J$2:$J$2437,N$1)</f>
        <v>0</v>
      </c>
      <c r="O117" s="76">
        <f>SUMIFS('июль 2025'!$G$2:$G$2437,'июль 2025'!$D$2:$D$2437,$B117,'июль 2025'!$J$2:$J$2437,O$1)</f>
        <v>0</v>
      </c>
      <c r="P117" s="76">
        <f>SUMIFS('июль 2025'!$G$2:$G$2437,'июль 2025'!$D$2:$D$2437,$B117,'июль 2025'!$J$2:$J$2437,P$1)</f>
        <v>0</v>
      </c>
      <c r="Q117" s="76">
        <f>SUMIFS('июль 2025'!$G$2:$G$2437,'июль 2025'!$D$2:$D$2437,$B117,'июль 2025'!$J$2:$J$2437,Q$1)</f>
        <v>0</v>
      </c>
      <c r="R117" s="76">
        <f>SUMIFS('июль 2025'!$G$2:$G$2437,'июль 2025'!$D$2:$D$2437,$B117,'июль 2025'!$J$2:$J$2437,R$1)</f>
        <v>0</v>
      </c>
      <c r="S117" s="76">
        <f>SUMIFS('июль 2025'!$G$2:$G$2437,'июль 2025'!$D$2:$D$2437,$B117,'июль 2025'!$J$2:$J$2437,S$1)</f>
        <v>0</v>
      </c>
      <c r="T117" s="76">
        <f>SUMIFS('июль 2025'!$G$2:$G$2437,'июль 2025'!$D$2:$D$2437,$B117,'июль 2025'!$J$2:$J$2437,T$1)</f>
        <v>0</v>
      </c>
      <c r="U117" s="76">
        <f>SUMIFS('июль 2025'!$G$2:$G$2437,'июль 2025'!$D$2:$D$2437,$B117,'июль 2025'!$J$2:$J$2437,U$1)</f>
        <v>0</v>
      </c>
      <c r="V117" s="76">
        <f>SUMIFS('июль 2025'!$G$2:$G$2437,'июль 2025'!$D$2:$D$2437,$B117,'июль 2025'!$J$2:$J$2437,V$1)</f>
        <v>0</v>
      </c>
      <c r="W117" s="76">
        <f>SUMIFS('июль 2025'!$G$2:$G$2437,'июль 2025'!$D$2:$D$2437,$B117,'июль 2025'!$J$2:$J$2437,W$1)</f>
        <v>0</v>
      </c>
      <c r="X117" s="76">
        <f>SUMIFS('июль 2025'!$G$2:$G$2437,'июль 2025'!$D$2:$D$2437,$B117,'июль 2025'!$J$2:$J$2437,X$1)</f>
        <v>0</v>
      </c>
      <c r="Y117" s="76">
        <f>SUMIFS('июль 2025'!$G$2:$G$2437,'июль 2025'!$D$2:$D$2437,$B117,'июль 2025'!$J$2:$J$2437,Y$1)</f>
        <v>0</v>
      </c>
      <c r="Z117" s="76">
        <f>SUMIFS('июль 2025'!$G$2:$G$2437,'июль 2025'!$D$2:$D$2437,$B117,'июль 2025'!$J$2:$J$2437,Z$1)</f>
        <v>0</v>
      </c>
      <c r="AA117" s="76">
        <f>SUMIFS('июль 2025'!$G$2:$G$2437,'июль 2025'!$D$2:$D$2437,$B117,'июль 2025'!$J$2:$J$2437,AA$1)</f>
        <v>0</v>
      </c>
      <c r="AB117" s="76">
        <f>SUMIFS('июль 2025'!$G$2:$G$2437,'июль 2025'!$D$2:$D$2437,$B117,'июль 2025'!$J$2:$J$2437,AB$1)</f>
        <v>0</v>
      </c>
      <c r="AC117" s="76">
        <f>SUMIFS('июль 2025'!$G$2:$G$2437,'июль 2025'!$D$2:$D$2437,$B117,'июль 2025'!$J$2:$J$2437,AC$1)</f>
        <v>0</v>
      </c>
      <c r="AD117" s="76">
        <f>SUMIFS('июль 2025'!$G$2:$G$2437,'июль 2025'!$D$2:$D$2437,$B117,'июль 2025'!$J$2:$J$2437,AD$1)</f>
        <v>0</v>
      </c>
      <c r="AE117" s="76">
        <f>SUMIFS('июль 2025'!$G$2:$G$2437,'июль 2025'!$D$2:$D$2437,$B117,'июль 2025'!$J$2:$J$2437,AE$1)</f>
        <v>0</v>
      </c>
      <c r="AF117" s="76">
        <f>SUMIFS('июль 2025'!$G$2:$G$2437,'июль 2025'!$D$2:$D$2437,$B117,'июль 2025'!$J$2:$J$2437,AF$1)</f>
        <v>0</v>
      </c>
      <c r="AG117" s="76">
        <f>SUMIFS('июль 2025'!$G$2:$G$2437,'июль 2025'!$D$2:$D$2437,$B117,'июль 2025'!$J$2:$J$2437,AG$1)</f>
        <v>0</v>
      </c>
      <c r="AH117" s="76">
        <f>SUMIFS('июль 2025'!$G$2:$G$2437,'июль 2025'!$D$2:$D$2437,$B117,'июль 2025'!$J$2:$J$2437,AH$1)</f>
        <v>0</v>
      </c>
      <c r="AI117" s="20">
        <f t="shared" si="1"/>
        <v>0</v>
      </c>
    </row>
    <row r="118" spans="2:35" ht="15" customHeight="1" x14ac:dyDescent="0.25">
      <c r="B118" s="88" t="s">
        <v>262</v>
      </c>
      <c r="C118" s="86">
        <v>200</v>
      </c>
      <c r="D118" s="76">
        <f>SUMIFS('июль 2025'!$G$2:$G$2437,'июль 2025'!$D$2:$D$2437,$B118,'июль 2025'!$J$2:$J$2437,D$1)</f>
        <v>0</v>
      </c>
      <c r="E118" s="76">
        <f>SUMIFS('июль 2025'!$G$2:$G$2437,'июль 2025'!$D$2:$D$2437,$B118,'июль 2025'!$J$2:$J$2437,E$1)</f>
        <v>0</v>
      </c>
      <c r="F118" s="76">
        <f>SUMIFS('июль 2025'!$G$2:$G$2437,'июль 2025'!$D$2:$D$2437,$B118,'июль 2025'!$J$2:$J$2437,F$1)</f>
        <v>0</v>
      </c>
      <c r="G118" s="76">
        <f>SUMIFS('июль 2025'!$G$2:$G$2437,'июль 2025'!$D$2:$D$2437,$B118,'июль 2025'!$J$2:$J$2437,G$1)</f>
        <v>0</v>
      </c>
      <c r="H118" s="76">
        <f>SUMIFS('июль 2025'!$G$2:$G$2437,'июль 2025'!$D$2:$D$2437,$B118,'июль 2025'!$J$2:$J$2437,H$1)</f>
        <v>0</v>
      </c>
      <c r="I118" s="76">
        <f>SUMIFS('июль 2025'!$G$2:$G$2437,'июль 2025'!$D$2:$D$2437,$B118,'июль 2025'!$J$2:$J$2437,I$1)</f>
        <v>0</v>
      </c>
      <c r="J118" s="76">
        <f>SUMIFS('июль 2025'!$G$2:$G$2437,'июль 2025'!$D$2:$D$2437,$B118,'июль 2025'!$J$2:$J$2437,J$1)</f>
        <v>0</v>
      </c>
      <c r="K118" s="76">
        <f>SUMIFS('июль 2025'!$G$2:$G$2437,'июль 2025'!$D$2:$D$2437,$B118,'июль 2025'!$J$2:$J$2437,K$1)</f>
        <v>0</v>
      </c>
      <c r="L118" s="76">
        <f>SUMIFS('июль 2025'!$G$2:$G$2437,'июль 2025'!$D$2:$D$2437,$B118,'июль 2025'!$J$2:$J$2437,L$1)</f>
        <v>0</v>
      </c>
      <c r="M118" s="76">
        <f>SUMIFS('июль 2025'!$G$2:$G$2437,'июль 2025'!$D$2:$D$2437,$B118,'июль 2025'!$J$2:$J$2437,M$1)</f>
        <v>0</v>
      </c>
      <c r="N118" s="76">
        <f>SUMIFS('июль 2025'!$G$2:$G$2437,'июль 2025'!$D$2:$D$2437,$B118,'июль 2025'!$J$2:$J$2437,N$1)</f>
        <v>0</v>
      </c>
      <c r="O118" s="76">
        <f>SUMIFS('июль 2025'!$G$2:$G$2437,'июль 2025'!$D$2:$D$2437,$B118,'июль 2025'!$J$2:$J$2437,O$1)</f>
        <v>0</v>
      </c>
      <c r="P118" s="76">
        <f>SUMIFS('июль 2025'!$G$2:$G$2437,'июль 2025'!$D$2:$D$2437,$B118,'июль 2025'!$J$2:$J$2437,P$1)</f>
        <v>0</v>
      </c>
      <c r="Q118" s="76">
        <f>SUMIFS('июль 2025'!$G$2:$G$2437,'июль 2025'!$D$2:$D$2437,$B118,'июль 2025'!$J$2:$J$2437,Q$1)</f>
        <v>0</v>
      </c>
      <c r="R118" s="76">
        <f>SUMIFS('июль 2025'!$G$2:$G$2437,'июль 2025'!$D$2:$D$2437,$B118,'июль 2025'!$J$2:$J$2437,R$1)</f>
        <v>0</v>
      </c>
      <c r="S118" s="76">
        <f>SUMIFS('июль 2025'!$G$2:$G$2437,'июль 2025'!$D$2:$D$2437,$B118,'июль 2025'!$J$2:$J$2437,S$1)</f>
        <v>0</v>
      </c>
      <c r="T118" s="76">
        <f>SUMIFS('июль 2025'!$G$2:$G$2437,'июль 2025'!$D$2:$D$2437,$B118,'июль 2025'!$J$2:$J$2437,T$1)</f>
        <v>0</v>
      </c>
      <c r="U118" s="76">
        <f>SUMIFS('июль 2025'!$G$2:$G$2437,'июль 2025'!$D$2:$D$2437,$B118,'июль 2025'!$J$2:$J$2437,U$1)</f>
        <v>0</v>
      </c>
      <c r="V118" s="76">
        <f>SUMIFS('июль 2025'!$G$2:$G$2437,'июль 2025'!$D$2:$D$2437,$B118,'июль 2025'!$J$2:$J$2437,V$1)</f>
        <v>0</v>
      </c>
      <c r="W118" s="76">
        <f>SUMIFS('июль 2025'!$G$2:$G$2437,'июль 2025'!$D$2:$D$2437,$B118,'июль 2025'!$J$2:$J$2437,W$1)</f>
        <v>0</v>
      </c>
      <c r="X118" s="76">
        <f>SUMIFS('июль 2025'!$G$2:$G$2437,'июль 2025'!$D$2:$D$2437,$B118,'июль 2025'!$J$2:$J$2437,X$1)</f>
        <v>0</v>
      </c>
      <c r="Y118" s="76">
        <f>SUMIFS('июль 2025'!$G$2:$G$2437,'июль 2025'!$D$2:$D$2437,$B118,'июль 2025'!$J$2:$J$2437,Y$1)</f>
        <v>0</v>
      </c>
      <c r="Z118" s="76">
        <f>SUMIFS('июль 2025'!$G$2:$G$2437,'июль 2025'!$D$2:$D$2437,$B118,'июль 2025'!$J$2:$J$2437,Z$1)</f>
        <v>0</v>
      </c>
      <c r="AA118" s="76">
        <f>SUMIFS('июль 2025'!$G$2:$G$2437,'июль 2025'!$D$2:$D$2437,$B118,'июль 2025'!$J$2:$J$2437,AA$1)</f>
        <v>0</v>
      </c>
      <c r="AB118" s="76">
        <f>SUMIFS('июль 2025'!$G$2:$G$2437,'июль 2025'!$D$2:$D$2437,$B118,'июль 2025'!$J$2:$J$2437,AB$1)</f>
        <v>0</v>
      </c>
      <c r="AC118" s="76">
        <f>SUMIFS('июль 2025'!$G$2:$G$2437,'июль 2025'!$D$2:$D$2437,$B118,'июль 2025'!$J$2:$J$2437,AC$1)</f>
        <v>0</v>
      </c>
      <c r="AD118" s="76">
        <f>SUMIFS('июль 2025'!$G$2:$G$2437,'июль 2025'!$D$2:$D$2437,$B118,'июль 2025'!$J$2:$J$2437,AD$1)</f>
        <v>0</v>
      </c>
      <c r="AE118" s="76">
        <f>SUMIFS('июль 2025'!$G$2:$G$2437,'июль 2025'!$D$2:$D$2437,$B118,'июль 2025'!$J$2:$J$2437,AE$1)</f>
        <v>0</v>
      </c>
      <c r="AF118" s="76">
        <f>SUMIFS('июль 2025'!$G$2:$G$2437,'июль 2025'!$D$2:$D$2437,$B118,'июль 2025'!$J$2:$J$2437,AF$1)</f>
        <v>0</v>
      </c>
      <c r="AG118" s="76">
        <f>SUMIFS('июль 2025'!$G$2:$G$2437,'июль 2025'!$D$2:$D$2437,$B118,'июль 2025'!$J$2:$J$2437,AG$1)</f>
        <v>0</v>
      </c>
      <c r="AH118" s="76">
        <f>SUMIFS('июль 2025'!$G$2:$G$2437,'июль 2025'!$D$2:$D$2437,$B118,'июль 2025'!$J$2:$J$2437,AH$1)</f>
        <v>0</v>
      </c>
      <c r="AI118" s="20">
        <f t="shared" si="1"/>
        <v>0</v>
      </c>
    </row>
    <row r="119" spans="2:35" ht="15" customHeight="1" x14ac:dyDescent="0.25">
      <c r="B119" s="88" t="s">
        <v>263</v>
      </c>
      <c r="C119" s="86">
        <v>200</v>
      </c>
      <c r="D119" s="76">
        <f>SUMIFS('июль 2025'!$G$2:$G$2437,'июль 2025'!$D$2:$D$2437,$B119,'июль 2025'!$J$2:$J$2437,D$1)</f>
        <v>0</v>
      </c>
      <c r="E119" s="76">
        <f>SUMIFS('июль 2025'!$G$2:$G$2437,'июль 2025'!$D$2:$D$2437,$B119,'июль 2025'!$J$2:$J$2437,E$1)</f>
        <v>0</v>
      </c>
      <c r="F119" s="76">
        <f>SUMIFS('июль 2025'!$G$2:$G$2437,'июль 2025'!$D$2:$D$2437,$B119,'июль 2025'!$J$2:$J$2437,F$1)</f>
        <v>0</v>
      </c>
      <c r="G119" s="76">
        <f>SUMIFS('июль 2025'!$G$2:$G$2437,'июль 2025'!$D$2:$D$2437,$B119,'июль 2025'!$J$2:$J$2437,G$1)</f>
        <v>0</v>
      </c>
      <c r="H119" s="76">
        <f>SUMIFS('июль 2025'!$G$2:$G$2437,'июль 2025'!$D$2:$D$2437,$B119,'июль 2025'!$J$2:$J$2437,H$1)</f>
        <v>0</v>
      </c>
      <c r="I119" s="76">
        <f>SUMIFS('июль 2025'!$G$2:$G$2437,'июль 2025'!$D$2:$D$2437,$B119,'июль 2025'!$J$2:$J$2437,I$1)</f>
        <v>0</v>
      </c>
      <c r="J119" s="76">
        <f>SUMIFS('июль 2025'!$G$2:$G$2437,'июль 2025'!$D$2:$D$2437,$B119,'июль 2025'!$J$2:$J$2437,J$1)</f>
        <v>0</v>
      </c>
      <c r="K119" s="76">
        <f>SUMIFS('июль 2025'!$G$2:$G$2437,'июль 2025'!$D$2:$D$2437,$B119,'июль 2025'!$J$2:$J$2437,K$1)</f>
        <v>0</v>
      </c>
      <c r="L119" s="76">
        <f>SUMIFS('июль 2025'!$G$2:$G$2437,'июль 2025'!$D$2:$D$2437,$B119,'июль 2025'!$J$2:$J$2437,L$1)</f>
        <v>0</v>
      </c>
      <c r="M119" s="76">
        <f>SUMIFS('июль 2025'!$G$2:$G$2437,'июль 2025'!$D$2:$D$2437,$B119,'июль 2025'!$J$2:$J$2437,M$1)</f>
        <v>0</v>
      </c>
      <c r="N119" s="76">
        <f>SUMIFS('июль 2025'!$G$2:$G$2437,'июль 2025'!$D$2:$D$2437,$B119,'июль 2025'!$J$2:$J$2437,N$1)</f>
        <v>0</v>
      </c>
      <c r="O119" s="76">
        <f>SUMIFS('июль 2025'!$G$2:$G$2437,'июль 2025'!$D$2:$D$2437,$B119,'июль 2025'!$J$2:$J$2437,O$1)</f>
        <v>0</v>
      </c>
      <c r="P119" s="76">
        <f>SUMIFS('июль 2025'!$G$2:$G$2437,'июль 2025'!$D$2:$D$2437,$B119,'июль 2025'!$J$2:$J$2437,P$1)</f>
        <v>0</v>
      </c>
      <c r="Q119" s="76">
        <f>SUMIFS('июль 2025'!$G$2:$G$2437,'июль 2025'!$D$2:$D$2437,$B119,'июль 2025'!$J$2:$J$2437,Q$1)</f>
        <v>0</v>
      </c>
      <c r="R119" s="76">
        <f>SUMIFS('июль 2025'!$G$2:$G$2437,'июль 2025'!$D$2:$D$2437,$B119,'июль 2025'!$J$2:$J$2437,R$1)</f>
        <v>0</v>
      </c>
      <c r="S119" s="76">
        <f>SUMIFS('июль 2025'!$G$2:$G$2437,'июль 2025'!$D$2:$D$2437,$B119,'июль 2025'!$J$2:$J$2437,S$1)</f>
        <v>0</v>
      </c>
      <c r="T119" s="76">
        <f>SUMIFS('июль 2025'!$G$2:$G$2437,'июль 2025'!$D$2:$D$2437,$B119,'июль 2025'!$J$2:$J$2437,T$1)</f>
        <v>0</v>
      </c>
      <c r="U119" s="76">
        <f>SUMIFS('июль 2025'!$G$2:$G$2437,'июль 2025'!$D$2:$D$2437,$B119,'июль 2025'!$J$2:$J$2437,U$1)</f>
        <v>0</v>
      </c>
      <c r="V119" s="76">
        <f>SUMIFS('июль 2025'!$G$2:$G$2437,'июль 2025'!$D$2:$D$2437,$B119,'июль 2025'!$J$2:$J$2437,V$1)</f>
        <v>0</v>
      </c>
      <c r="W119" s="76">
        <f>SUMIFS('июль 2025'!$G$2:$G$2437,'июль 2025'!$D$2:$D$2437,$B119,'июль 2025'!$J$2:$J$2437,W$1)</f>
        <v>0</v>
      </c>
      <c r="X119" s="76">
        <f>SUMIFS('июль 2025'!$G$2:$G$2437,'июль 2025'!$D$2:$D$2437,$B119,'июль 2025'!$J$2:$J$2437,X$1)</f>
        <v>0</v>
      </c>
      <c r="Y119" s="76">
        <f>SUMIFS('июль 2025'!$G$2:$G$2437,'июль 2025'!$D$2:$D$2437,$B119,'июль 2025'!$J$2:$J$2437,Y$1)</f>
        <v>0</v>
      </c>
      <c r="Z119" s="76">
        <f>SUMIFS('июль 2025'!$G$2:$G$2437,'июль 2025'!$D$2:$D$2437,$B119,'июль 2025'!$J$2:$J$2437,Z$1)</f>
        <v>0</v>
      </c>
      <c r="AA119" s="76">
        <f>SUMIFS('июль 2025'!$G$2:$G$2437,'июль 2025'!$D$2:$D$2437,$B119,'июль 2025'!$J$2:$J$2437,AA$1)</f>
        <v>0</v>
      </c>
      <c r="AB119" s="76">
        <f>SUMIFS('июль 2025'!$G$2:$G$2437,'июль 2025'!$D$2:$D$2437,$B119,'июль 2025'!$J$2:$J$2437,AB$1)</f>
        <v>0</v>
      </c>
      <c r="AC119" s="76">
        <f>SUMIFS('июль 2025'!$G$2:$G$2437,'июль 2025'!$D$2:$D$2437,$B119,'июль 2025'!$J$2:$J$2437,AC$1)</f>
        <v>0</v>
      </c>
      <c r="AD119" s="76">
        <f>SUMIFS('июль 2025'!$G$2:$G$2437,'июль 2025'!$D$2:$D$2437,$B119,'июль 2025'!$J$2:$J$2437,AD$1)</f>
        <v>0</v>
      </c>
      <c r="AE119" s="76">
        <f>SUMIFS('июль 2025'!$G$2:$G$2437,'июль 2025'!$D$2:$D$2437,$B119,'июль 2025'!$J$2:$J$2437,AE$1)</f>
        <v>0</v>
      </c>
      <c r="AF119" s="76">
        <f>SUMIFS('июль 2025'!$G$2:$G$2437,'июль 2025'!$D$2:$D$2437,$B119,'июль 2025'!$J$2:$J$2437,AF$1)</f>
        <v>0</v>
      </c>
      <c r="AG119" s="76">
        <f>SUMIFS('июль 2025'!$G$2:$G$2437,'июль 2025'!$D$2:$D$2437,$B119,'июль 2025'!$J$2:$J$2437,AG$1)</f>
        <v>0</v>
      </c>
      <c r="AH119" s="76">
        <f>SUMIFS('июль 2025'!$G$2:$G$2437,'июль 2025'!$D$2:$D$2437,$B119,'июль 2025'!$J$2:$J$2437,AH$1)</f>
        <v>0</v>
      </c>
      <c r="AI119" s="20">
        <f t="shared" si="1"/>
        <v>0</v>
      </c>
    </row>
    <row r="120" spans="2:35" ht="15" customHeight="1" x14ac:dyDescent="0.25">
      <c r="B120" s="84" t="s">
        <v>208</v>
      </c>
      <c r="C120" s="83">
        <v>25</v>
      </c>
      <c r="D120" s="76">
        <f>SUMIFS('июль 2025'!$G$2:$G$2437,'июль 2025'!$D$2:$D$2437,$B120,'июль 2025'!$J$2:$J$2437,D$1)</f>
        <v>0</v>
      </c>
      <c r="E120" s="76">
        <f>SUMIFS('июль 2025'!$G$2:$G$2437,'июль 2025'!$D$2:$D$2437,$B120,'июль 2025'!$J$2:$J$2437,E$1)</f>
        <v>0</v>
      </c>
      <c r="F120" s="76">
        <f>SUMIFS('июль 2025'!$G$2:$G$2437,'июль 2025'!$D$2:$D$2437,$B120,'июль 2025'!$J$2:$J$2437,F$1)</f>
        <v>0</v>
      </c>
      <c r="G120" s="76">
        <f>SUMIFS('июль 2025'!$G$2:$G$2437,'июль 2025'!$D$2:$D$2437,$B120,'июль 2025'!$J$2:$J$2437,G$1)</f>
        <v>0</v>
      </c>
      <c r="H120" s="76">
        <f>SUMIFS('июль 2025'!$G$2:$G$2437,'июль 2025'!$D$2:$D$2437,$B120,'июль 2025'!$J$2:$J$2437,H$1)</f>
        <v>0</v>
      </c>
      <c r="I120" s="76">
        <f>SUMIFS('июль 2025'!$G$2:$G$2437,'июль 2025'!$D$2:$D$2437,$B120,'июль 2025'!$J$2:$J$2437,I$1)</f>
        <v>0</v>
      </c>
      <c r="J120" s="76">
        <f>SUMIFS('июль 2025'!$G$2:$G$2437,'июль 2025'!$D$2:$D$2437,$B120,'июль 2025'!$J$2:$J$2437,J$1)</f>
        <v>0</v>
      </c>
      <c r="K120" s="76">
        <f>SUMIFS('июль 2025'!$G$2:$G$2437,'июль 2025'!$D$2:$D$2437,$B120,'июль 2025'!$J$2:$J$2437,K$1)</f>
        <v>0</v>
      </c>
      <c r="L120" s="76">
        <f>SUMIFS('июль 2025'!$G$2:$G$2437,'июль 2025'!$D$2:$D$2437,$B120,'июль 2025'!$J$2:$J$2437,L$1)</f>
        <v>0</v>
      </c>
      <c r="M120" s="76">
        <f>SUMIFS('июль 2025'!$G$2:$G$2437,'июль 2025'!$D$2:$D$2437,$B120,'июль 2025'!$J$2:$J$2437,M$1)</f>
        <v>0</v>
      </c>
      <c r="N120" s="76">
        <f>SUMIFS('июль 2025'!$G$2:$G$2437,'июль 2025'!$D$2:$D$2437,$B120,'июль 2025'!$J$2:$J$2437,N$1)</f>
        <v>0</v>
      </c>
      <c r="O120" s="76">
        <f>SUMIFS('июль 2025'!$G$2:$G$2437,'июль 2025'!$D$2:$D$2437,$B120,'июль 2025'!$J$2:$J$2437,O$1)</f>
        <v>0</v>
      </c>
      <c r="P120" s="76">
        <f>SUMIFS('июль 2025'!$G$2:$G$2437,'июль 2025'!$D$2:$D$2437,$B120,'июль 2025'!$J$2:$J$2437,P$1)</f>
        <v>0</v>
      </c>
      <c r="Q120" s="76">
        <f>SUMIFS('июль 2025'!$G$2:$G$2437,'июль 2025'!$D$2:$D$2437,$B120,'июль 2025'!$J$2:$J$2437,Q$1)</f>
        <v>0</v>
      </c>
      <c r="R120" s="76">
        <f>SUMIFS('июль 2025'!$G$2:$G$2437,'июль 2025'!$D$2:$D$2437,$B120,'июль 2025'!$J$2:$J$2437,R$1)</f>
        <v>0</v>
      </c>
      <c r="S120" s="76">
        <f>SUMIFS('июль 2025'!$G$2:$G$2437,'июль 2025'!$D$2:$D$2437,$B120,'июль 2025'!$J$2:$J$2437,S$1)</f>
        <v>0</v>
      </c>
      <c r="T120" s="76">
        <f>SUMIFS('июль 2025'!$G$2:$G$2437,'июль 2025'!$D$2:$D$2437,$B120,'июль 2025'!$J$2:$J$2437,T$1)</f>
        <v>0</v>
      </c>
      <c r="U120" s="76">
        <f>SUMIFS('июль 2025'!$G$2:$G$2437,'июль 2025'!$D$2:$D$2437,$B120,'июль 2025'!$J$2:$J$2437,U$1)</f>
        <v>0</v>
      </c>
      <c r="V120" s="76">
        <f>SUMIFS('июль 2025'!$G$2:$G$2437,'июль 2025'!$D$2:$D$2437,$B120,'июль 2025'!$J$2:$J$2437,V$1)</f>
        <v>0</v>
      </c>
      <c r="W120" s="76">
        <f>SUMIFS('июль 2025'!$G$2:$G$2437,'июль 2025'!$D$2:$D$2437,$B120,'июль 2025'!$J$2:$J$2437,W$1)</f>
        <v>0</v>
      </c>
      <c r="X120" s="76">
        <f>SUMIFS('июль 2025'!$G$2:$G$2437,'июль 2025'!$D$2:$D$2437,$B120,'июль 2025'!$J$2:$J$2437,X$1)</f>
        <v>0</v>
      </c>
      <c r="Y120" s="76">
        <f>SUMIFS('июль 2025'!$G$2:$G$2437,'июль 2025'!$D$2:$D$2437,$B120,'июль 2025'!$J$2:$J$2437,Y$1)</f>
        <v>0</v>
      </c>
      <c r="Z120" s="76">
        <f>SUMIFS('июль 2025'!$G$2:$G$2437,'июль 2025'!$D$2:$D$2437,$B120,'июль 2025'!$J$2:$J$2437,Z$1)</f>
        <v>0</v>
      </c>
      <c r="AA120" s="76">
        <f>SUMIFS('июль 2025'!$G$2:$G$2437,'июль 2025'!$D$2:$D$2437,$B120,'июль 2025'!$J$2:$J$2437,AA$1)</f>
        <v>0</v>
      </c>
      <c r="AB120" s="76">
        <f>SUMIFS('июль 2025'!$G$2:$G$2437,'июль 2025'!$D$2:$D$2437,$B120,'июль 2025'!$J$2:$J$2437,AB$1)</f>
        <v>0</v>
      </c>
      <c r="AC120" s="76">
        <f>SUMIFS('июль 2025'!$G$2:$G$2437,'июль 2025'!$D$2:$D$2437,$B120,'июль 2025'!$J$2:$J$2437,AC$1)</f>
        <v>0</v>
      </c>
      <c r="AD120" s="76">
        <f>SUMIFS('июль 2025'!$G$2:$G$2437,'июль 2025'!$D$2:$D$2437,$B120,'июль 2025'!$J$2:$J$2437,AD$1)</f>
        <v>0</v>
      </c>
      <c r="AE120" s="76">
        <f>SUMIFS('июль 2025'!$G$2:$G$2437,'июль 2025'!$D$2:$D$2437,$B120,'июль 2025'!$J$2:$J$2437,AE$1)</f>
        <v>0</v>
      </c>
      <c r="AF120" s="76">
        <f>SUMIFS('июль 2025'!$G$2:$G$2437,'июль 2025'!$D$2:$D$2437,$B120,'июль 2025'!$J$2:$J$2437,AF$1)</f>
        <v>0</v>
      </c>
      <c r="AG120" s="76">
        <f>SUMIFS('июль 2025'!$G$2:$G$2437,'июль 2025'!$D$2:$D$2437,$B120,'июль 2025'!$J$2:$J$2437,AG$1)</f>
        <v>0</v>
      </c>
      <c r="AH120" s="76">
        <f>SUMIFS('июль 2025'!$G$2:$G$2437,'июль 2025'!$D$2:$D$2437,$B120,'июль 2025'!$J$2:$J$2437,AH$1)</f>
        <v>0</v>
      </c>
      <c r="AI120" s="20">
        <f t="shared" si="1"/>
        <v>0</v>
      </c>
    </row>
    <row r="121" spans="2:35" ht="15" customHeight="1" x14ac:dyDescent="0.25">
      <c r="B121" s="88" t="s">
        <v>264</v>
      </c>
      <c r="C121" s="86">
        <v>50</v>
      </c>
      <c r="D121" s="76">
        <f>SUMIFS('июль 2025'!$G$2:$G$2437,'июль 2025'!$D$2:$D$2437,$B121,'июль 2025'!$J$2:$J$2437,D$1)</f>
        <v>0</v>
      </c>
      <c r="E121" s="76">
        <f>SUMIFS('июль 2025'!$G$2:$G$2437,'июль 2025'!$D$2:$D$2437,$B121,'июль 2025'!$J$2:$J$2437,E$1)</f>
        <v>0</v>
      </c>
      <c r="F121" s="76">
        <f>SUMIFS('июль 2025'!$G$2:$G$2437,'июль 2025'!$D$2:$D$2437,$B121,'июль 2025'!$J$2:$J$2437,F$1)</f>
        <v>0</v>
      </c>
      <c r="G121" s="76">
        <f>SUMIFS('июль 2025'!$G$2:$G$2437,'июль 2025'!$D$2:$D$2437,$B121,'июль 2025'!$J$2:$J$2437,G$1)</f>
        <v>0</v>
      </c>
      <c r="H121" s="76">
        <f>SUMIFS('июль 2025'!$G$2:$G$2437,'июль 2025'!$D$2:$D$2437,$B121,'июль 2025'!$J$2:$J$2437,H$1)</f>
        <v>0</v>
      </c>
      <c r="I121" s="76">
        <f>SUMIFS('июль 2025'!$G$2:$G$2437,'июль 2025'!$D$2:$D$2437,$B121,'июль 2025'!$J$2:$J$2437,I$1)</f>
        <v>0</v>
      </c>
      <c r="J121" s="76">
        <f>SUMIFS('июль 2025'!$G$2:$G$2437,'июль 2025'!$D$2:$D$2437,$B121,'июль 2025'!$J$2:$J$2437,J$1)</f>
        <v>0</v>
      </c>
      <c r="K121" s="76">
        <f>SUMIFS('июль 2025'!$G$2:$G$2437,'июль 2025'!$D$2:$D$2437,$B121,'июль 2025'!$J$2:$J$2437,K$1)</f>
        <v>0</v>
      </c>
      <c r="L121" s="76">
        <f>SUMIFS('июль 2025'!$G$2:$G$2437,'июль 2025'!$D$2:$D$2437,$B121,'июль 2025'!$J$2:$J$2437,L$1)</f>
        <v>0</v>
      </c>
      <c r="M121" s="76">
        <f>SUMIFS('июль 2025'!$G$2:$G$2437,'июль 2025'!$D$2:$D$2437,$B121,'июль 2025'!$J$2:$J$2437,M$1)</f>
        <v>0</v>
      </c>
      <c r="N121" s="76">
        <f>SUMIFS('июль 2025'!$G$2:$G$2437,'июль 2025'!$D$2:$D$2437,$B121,'июль 2025'!$J$2:$J$2437,N$1)</f>
        <v>0</v>
      </c>
      <c r="O121" s="76">
        <f>SUMIFS('июль 2025'!$G$2:$G$2437,'июль 2025'!$D$2:$D$2437,$B121,'июль 2025'!$J$2:$J$2437,O$1)</f>
        <v>0</v>
      </c>
      <c r="P121" s="76">
        <f>SUMIFS('июль 2025'!$G$2:$G$2437,'июль 2025'!$D$2:$D$2437,$B121,'июль 2025'!$J$2:$J$2437,P$1)</f>
        <v>0</v>
      </c>
      <c r="Q121" s="76">
        <f>SUMIFS('июль 2025'!$G$2:$G$2437,'июль 2025'!$D$2:$D$2437,$B121,'июль 2025'!$J$2:$J$2437,Q$1)</f>
        <v>0</v>
      </c>
      <c r="R121" s="76">
        <f>SUMIFS('июль 2025'!$G$2:$G$2437,'июль 2025'!$D$2:$D$2437,$B121,'июль 2025'!$J$2:$J$2437,R$1)</f>
        <v>0</v>
      </c>
      <c r="S121" s="76">
        <f>SUMIFS('июль 2025'!$G$2:$G$2437,'июль 2025'!$D$2:$D$2437,$B121,'июль 2025'!$J$2:$J$2437,S$1)</f>
        <v>0</v>
      </c>
      <c r="T121" s="76">
        <f>SUMIFS('июль 2025'!$G$2:$G$2437,'июль 2025'!$D$2:$D$2437,$B121,'июль 2025'!$J$2:$J$2437,T$1)</f>
        <v>0</v>
      </c>
      <c r="U121" s="76">
        <f>SUMIFS('июль 2025'!$G$2:$G$2437,'июль 2025'!$D$2:$D$2437,$B121,'июль 2025'!$J$2:$J$2437,U$1)</f>
        <v>0</v>
      </c>
      <c r="V121" s="76">
        <f>SUMIFS('июль 2025'!$G$2:$G$2437,'июль 2025'!$D$2:$D$2437,$B121,'июль 2025'!$J$2:$J$2437,V$1)</f>
        <v>0</v>
      </c>
      <c r="W121" s="76">
        <f>SUMIFS('июль 2025'!$G$2:$G$2437,'июль 2025'!$D$2:$D$2437,$B121,'июль 2025'!$J$2:$J$2437,W$1)</f>
        <v>0</v>
      </c>
      <c r="X121" s="76">
        <f>SUMIFS('июль 2025'!$G$2:$G$2437,'июль 2025'!$D$2:$D$2437,$B121,'июль 2025'!$J$2:$J$2437,X$1)</f>
        <v>0</v>
      </c>
      <c r="Y121" s="76">
        <f>SUMIFS('июль 2025'!$G$2:$G$2437,'июль 2025'!$D$2:$D$2437,$B121,'июль 2025'!$J$2:$J$2437,Y$1)</f>
        <v>0</v>
      </c>
      <c r="Z121" s="76">
        <f>SUMIFS('июль 2025'!$G$2:$G$2437,'июль 2025'!$D$2:$D$2437,$B121,'июль 2025'!$J$2:$J$2437,Z$1)</f>
        <v>0</v>
      </c>
      <c r="AA121" s="76">
        <f>SUMIFS('июль 2025'!$G$2:$G$2437,'июль 2025'!$D$2:$D$2437,$B121,'июль 2025'!$J$2:$J$2437,AA$1)</f>
        <v>0</v>
      </c>
      <c r="AB121" s="76">
        <f>SUMIFS('июль 2025'!$G$2:$G$2437,'июль 2025'!$D$2:$D$2437,$B121,'июль 2025'!$J$2:$J$2437,AB$1)</f>
        <v>0</v>
      </c>
      <c r="AC121" s="76">
        <f>SUMIFS('июль 2025'!$G$2:$G$2437,'июль 2025'!$D$2:$D$2437,$B121,'июль 2025'!$J$2:$J$2437,AC$1)</f>
        <v>0</v>
      </c>
      <c r="AD121" s="76">
        <f>SUMIFS('июль 2025'!$G$2:$G$2437,'июль 2025'!$D$2:$D$2437,$B121,'июль 2025'!$J$2:$J$2437,AD$1)</f>
        <v>0</v>
      </c>
      <c r="AE121" s="76">
        <f>SUMIFS('июль 2025'!$G$2:$G$2437,'июль 2025'!$D$2:$D$2437,$B121,'июль 2025'!$J$2:$J$2437,AE$1)</f>
        <v>0</v>
      </c>
      <c r="AF121" s="76">
        <f>SUMIFS('июль 2025'!$G$2:$G$2437,'июль 2025'!$D$2:$D$2437,$B121,'июль 2025'!$J$2:$J$2437,AF$1)</f>
        <v>0</v>
      </c>
      <c r="AG121" s="76">
        <f>SUMIFS('июль 2025'!$G$2:$G$2437,'июль 2025'!$D$2:$D$2437,$B121,'июль 2025'!$J$2:$J$2437,AG$1)</f>
        <v>0</v>
      </c>
      <c r="AH121" s="76">
        <f>SUMIFS('июль 2025'!$G$2:$G$2437,'июль 2025'!$D$2:$D$2437,$B121,'июль 2025'!$J$2:$J$2437,AH$1)</f>
        <v>0</v>
      </c>
      <c r="AI121" s="20">
        <f t="shared" si="1"/>
        <v>0</v>
      </c>
    </row>
    <row r="122" spans="2:35" ht="15" customHeight="1" x14ac:dyDescent="0.25">
      <c r="B122" s="88" t="s">
        <v>185</v>
      </c>
      <c r="C122" s="86">
        <v>180</v>
      </c>
      <c r="D122" s="76">
        <f>SUMIFS('июль 2025'!$G$2:$G$2437,'июль 2025'!$D$2:$D$2437,$B122,'июль 2025'!$J$2:$J$2437,D$1)</f>
        <v>0</v>
      </c>
      <c r="E122" s="76">
        <f>SUMIFS('июль 2025'!$G$2:$G$2437,'июль 2025'!$D$2:$D$2437,$B122,'июль 2025'!$J$2:$J$2437,E$1)</f>
        <v>0</v>
      </c>
      <c r="F122" s="76">
        <f>SUMIFS('июль 2025'!$G$2:$G$2437,'июль 2025'!$D$2:$D$2437,$B122,'июль 2025'!$J$2:$J$2437,F$1)</f>
        <v>0</v>
      </c>
      <c r="G122" s="76">
        <f>SUMIFS('июль 2025'!$G$2:$G$2437,'июль 2025'!$D$2:$D$2437,$B122,'июль 2025'!$J$2:$J$2437,G$1)</f>
        <v>0</v>
      </c>
      <c r="H122" s="76">
        <f>SUMIFS('июль 2025'!$G$2:$G$2437,'июль 2025'!$D$2:$D$2437,$B122,'июль 2025'!$J$2:$J$2437,H$1)</f>
        <v>0</v>
      </c>
      <c r="I122" s="76">
        <f>SUMIFS('июль 2025'!$G$2:$G$2437,'июль 2025'!$D$2:$D$2437,$B122,'июль 2025'!$J$2:$J$2437,I$1)</f>
        <v>0</v>
      </c>
      <c r="J122" s="76">
        <f>SUMIFS('июль 2025'!$G$2:$G$2437,'июль 2025'!$D$2:$D$2437,$B122,'июль 2025'!$J$2:$J$2437,J$1)</f>
        <v>0</v>
      </c>
      <c r="K122" s="76">
        <f>SUMIFS('июль 2025'!$G$2:$G$2437,'июль 2025'!$D$2:$D$2437,$B122,'июль 2025'!$J$2:$J$2437,K$1)</f>
        <v>0</v>
      </c>
      <c r="L122" s="76">
        <f>SUMIFS('июль 2025'!$G$2:$G$2437,'июль 2025'!$D$2:$D$2437,$B122,'июль 2025'!$J$2:$J$2437,L$1)</f>
        <v>0</v>
      </c>
      <c r="M122" s="76">
        <f>SUMIFS('июль 2025'!$G$2:$G$2437,'июль 2025'!$D$2:$D$2437,$B122,'июль 2025'!$J$2:$J$2437,M$1)</f>
        <v>0</v>
      </c>
      <c r="N122" s="76">
        <f>SUMIFS('июль 2025'!$G$2:$G$2437,'июль 2025'!$D$2:$D$2437,$B122,'июль 2025'!$J$2:$J$2437,N$1)</f>
        <v>0</v>
      </c>
      <c r="O122" s="76">
        <f>SUMIFS('июль 2025'!$G$2:$G$2437,'июль 2025'!$D$2:$D$2437,$B122,'июль 2025'!$J$2:$J$2437,O$1)</f>
        <v>0</v>
      </c>
      <c r="P122" s="76">
        <f>SUMIFS('июль 2025'!$G$2:$G$2437,'июль 2025'!$D$2:$D$2437,$B122,'июль 2025'!$J$2:$J$2437,P$1)</f>
        <v>0</v>
      </c>
      <c r="Q122" s="76">
        <f>SUMIFS('июль 2025'!$G$2:$G$2437,'июль 2025'!$D$2:$D$2437,$B122,'июль 2025'!$J$2:$J$2437,Q$1)</f>
        <v>0</v>
      </c>
      <c r="R122" s="76">
        <f>SUMIFS('июль 2025'!$G$2:$G$2437,'июль 2025'!$D$2:$D$2437,$B122,'июль 2025'!$J$2:$J$2437,R$1)</f>
        <v>0</v>
      </c>
      <c r="S122" s="76">
        <f>SUMIFS('июль 2025'!$G$2:$G$2437,'июль 2025'!$D$2:$D$2437,$B122,'июль 2025'!$J$2:$J$2437,S$1)</f>
        <v>0</v>
      </c>
      <c r="T122" s="76">
        <f>SUMIFS('июль 2025'!$G$2:$G$2437,'июль 2025'!$D$2:$D$2437,$B122,'июль 2025'!$J$2:$J$2437,T$1)</f>
        <v>0</v>
      </c>
      <c r="U122" s="76">
        <f>SUMIFS('июль 2025'!$G$2:$G$2437,'июль 2025'!$D$2:$D$2437,$B122,'июль 2025'!$J$2:$J$2437,U$1)</f>
        <v>0</v>
      </c>
      <c r="V122" s="76">
        <f>SUMIFS('июль 2025'!$G$2:$G$2437,'июль 2025'!$D$2:$D$2437,$B122,'июль 2025'!$J$2:$J$2437,V$1)</f>
        <v>0</v>
      </c>
      <c r="W122" s="76">
        <f>SUMIFS('июль 2025'!$G$2:$G$2437,'июль 2025'!$D$2:$D$2437,$B122,'июль 2025'!$J$2:$J$2437,W$1)</f>
        <v>0</v>
      </c>
      <c r="X122" s="76">
        <f>SUMIFS('июль 2025'!$G$2:$G$2437,'июль 2025'!$D$2:$D$2437,$B122,'июль 2025'!$J$2:$J$2437,X$1)</f>
        <v>0</v>
      </c>
      <c r="Y122" s="76">
        <f>SUMIFS('июль 2025'!$G$2:$G$2437,'июль 2025'!$D$2:$D$2437,$B122,'июль 2025'!$J$2:$J$2437,Y$1)</f>
        <v>0</v>
      </c>
      <c r="Z122" s="76">
        <f>SUMIFS('июль 2025'!$G$2:$G$2437,'июль 2025'!$D$2:$D$2437,$B122,'июль 2025'!$J$2:$J$2437,Z$1)</f>
        <v>0</v>
      </c>
      <c r="AA122" s="76">
        <f>SUMIFS('июль 2025'!$G$2:$G$2437,'июль 2025'!$D$2:$D$2437,$B122,'июль 2025'!$J$2:$J$2437,AA$1)</f>
        <v>0</v>
      </c>
      <c r="AB122" s="76">
        <f>SUMIFS('июль 2025'!$G$2:$G$2437,'июль 2025'!$D$2:$D$2437,$B122,'июль 2025'!$J$2:$J$2437,AB$1)</f>
        <v>0</v>
      </c>
      <c r="AC122" s="76">
        <f>SUMIFS('июль 2025'!$G$2:$G$2437,'июль 2025'!$D$2:$D$2437,$B122,'июль 2025'!$J$2:$J$2437,AC$1)</f>
        <v>0</v>
      </c>
      <c r="AD122" s="76">
        <f>SUMIFS('июль 2025'!$G$2:$G$2437,'июль 2025'!$D$2:$D$2437,$B122,'июль 2025'!$J$2:$J$2437,AD$1)</f>
        <v>0</v>
      </c>
      <c r="AE122" s="76">
        <f>SUMIFS('июль 2025'!$G$2:$G$2437,'июль 2025'!$D$2:$D$2437,$B122,'июль 2025'!$J$2:$J$2437,AE$1)</f>
        <v>0</v>
      </c>
      <c r="AF122" s="76">
        <f>SUMIFS('июль 2025'!$G$2:$G$2437,'июль 2025'!$D$2:$D$2437,$B122,'июль 2025'!$J$2:$J$2437,AF$1)</f>
        <v>0</v>
      </c>
      <c r="AG122" s="76">
        <f>SUMIFS('июль 2025'!$G$2:$G$2437,'июль 2025'!$D$2:$D$2437,$B122,'июль 2025'!$J$2:$J$2437,AG$1)</f>
        <v>0</v>
      </c>
      <c r="AH122" s="76">
        <f>SUMIFS('июль 2025'!$G$2:$G$2437,'июль 2025'!$D$2:$D$2437,$B122,'июль 2025'!$J$2:$J$2437,AH$1)</f>
        <v>0</v>
      </c>
      <c r="AI122" s="20">
        <f t="shared" si="1"/>
        <v>0</v>
      </c>
    </row>
    <row r="123" spans="2:35" ht="15" customHeight="1" x14ac:dyDescent="0.25">
      <c r="B123" s="88" t="s">
        <v>203</v>
      </c>
      <c r="C123" s="86">
        <v>185</v>
      </c>
      <c r="D123" s="76">
        <f>SUMIFS('июль 2025'!$G$2:$G$2437,'июль 2025'!$D$2:$D$2437,$B123,'июль 2025'!$J$2:$J$2437,D$1)</f>
        <v>0</v>
      </c>
      <c r="E123" s="76">
        <f>SUMIFS('июль 2025'!$G$2:$G$2437,'июль 2025'!$D$2:$D$2437,$B123,'июль 2025'!$J$2:$J$2437,E$1)</f>
        <v>0</v>
      </c>
      <c r="F123" s="76">
        <f>SUMIFS('июль 2025'!$G$2:$G$2437,'июль 2025'!$D$2:$D$2437,$B123,'июль 2025'!$J$2:$J$2437,F$1)</f>
        <v>0</v>
      </c>
      <c r="G123" s="76">
        <f>SUMIFS('июль 2025'!$G$2:$G$2437,'июль 2025'!$D$2:$D$2437,$B123,'июль 2025'!$J$2:$J$2437,G$1)</f>
        <v>0</v>
      </c>
      <c r="H123" s="76">
        <f>SUMIFS('июль 2025'!$G$2:$G$2437,'июль 2025'!$D$2:$D$2437,$B123,'июль 2025'!$J$2:$J$2437,H$1)</f>
        <v>0</v>
      </c>
      <c r="I123" s="76">
        <f>SUMIFS('июль 2025'!$G$2:$G$2437,'июль 2025'!$D$2:$D$2437,$B123,'июль 2025'!$J$2:$J$2437,I$1)</f>
        <v>0</v>
      </c>
      <c r="J123" s="76">
        <f>SUMIFS('июль 2025'!$G$2:$G$2437,'июль 2025'!$D$2:$D$2437,$B123,'июль 2025'!$J$2:$J$2437,J$1)</f>
        <v>0</v>
      </c>
      <c r="K123" s="76">
        <f>SUMIFS('июль 2025'!$G$2:$G$2437,'июль 2025'!$D$2:$D$2437,$B123,'июль 2025'!$J$2:$J$2437,K$1)</f>
        <v>0</v>
      </c>
      <c r="L123" s="76">
        <f>SUMIFS('июль 2025'!$G$2:$G$2437,'июль 2025'!$D$2:$D$2437,$B123,'июль 2025'!$J$2:$J$2437,L$1)</f>
        <v>0</v>
      </c>
      <c r="M123" s="76">
        <f>SUMIFS('июль 2025'!$G$2:$G$2437,'июль 2025'!$D$2:$D$2437,$B123,'июль 2025'!$J$2:$J$2437,M$1)</f>
        <v>0</v>
      </c>
      <c r="N123" s="76">
        <f>SUMIFS('июль 2025'!$G$2:$G$2437,'июль 2025'!$D$2:$D$2437,$B123,'июль 2025'!$J$2:$J$2437,N$1)</f>
        <v>0</v>
      </c>
      <c r="O123" s="76">
        <f>SUMIFS('июль 2025'!$G$2:$G$2437,'июль 2025'!$D$2:$D$2437,$B123,'июль 2025'!$J$2:$J$2437,O$1)</f>
        <v>0</v>
      </c>
      <c r="P123" s="76">
        <f>SUMIFS('июль 2025'!$G$2:$G$2437,'июль 2025'!$D$2:$D$2437,$B123,'июль 2025'!$J$2:$J$2437,P$1)</f>
        <v>0</v>
      </c>
      <c r="Q123" s="76">
        <f>SUMIFS('июль 2025'!$G$2:$G$2437,'июль 2025'!$D$2:$D$2437,$B123,'июль 2025'!$J$2:$J$2437,Q$1)</f>
        <v>0</v>
      </c>
      <c r="R123" s="76">
        <f>SUMIFS('июль 2025'!$G$2:$G$2437,'июль 2025'!$D$2:$D$2437,$B123,'июль 2025'!$J$2:$J$2437,R$1)</f>
        <v>0</v>
      </c>
      <c r="S123" s="76">
        <f>SUMIFS('июль 2025'!$G$2:$G$2437,'июль 2025'!$D$2:$D$2437,$B123,'июль 2025'!$J$2:$J$2437,S$1)</f>
        <v>0</v>
      </c>
      <c r="T123" s="76">
        <f>SUMIFS('июль 2025'!$G$2:$G$2437,'июль 2025'!$D$2:$D$2437,$B123,'июль 2025'!$J$2:$J$2437,T$1)</f>
        <v>0</v>
      </c>
      <c r="U123" s="76">
        <f>SUMIFS('июль 2025'!$G$2:$G$2437,'июль 2025'!$D$2:$D$2437,$B123,'июль 2025'!$J$2:$J$2437,U$1)</f>
        <v>0</v>
      </c>
      <c r="V123" s="76">
        <f>SUMIFS('июль 2025'!$G$2:$G$2437,'июль 2025'!$D$2:$D$2437,$B123,'июль 2025'!$J$2:$J$2437,V$1)</f>
        <v>0</v>
      </c>
      <c r="W123" s="76">
        <f>SUMIFS('июль 2025'!$G$2:$G$2437,'июль 2025'!$D$2:$D$2437,$B123,'июль 2025'!$J$2:$J$2437,W$1)</f>
        <v>0</v>
      </c>
      <c r="X123" s="76">
        <f>SUMIFS('июль 2025'!$G$2:$G$2437,'июль 2025'!$D$2:$D$2437,$B123,'июль 2025'!$J$2:$J$2437,X$1)</f>
        <v>0</v>
      </c>
      <c r="Y123" s="76">
        <f>SUMIFS('июль 2025'!$G$2:$G$2437,'июль 2025'!$D$2:$D$2437,$B123,'июль 2025'!$J$2:$J$2437,Y$1)</f>
        <v>0</v>
      </c>
      <c r="Z123" s="76">
        <f>SUMIFS('июль 2025'!$G$2:$G$2437,'июль 2025'!$D$2:$D$2437,$B123,'июль 2025'!$J$2:$J$2437,Z$1)</f>
        <v>0</v>
      </c>
      <c r="AA123" s="76">
        <f>SUMIFS('июль 2025'!$G$2:$G$2437,'июль 2025'!$D$2:$D$2437,$B123,'июль 2025'!$J$2:$J$2437,AA$1)</f>
        <v>0</v>
      </c>
      <c r="AB123" s="76">
        <f>SUMIFS('июль 2025'!$G$2:$G$2437,'июль 2025'!$D$2:$D$2437,$B123,'июль 2025'!$J$2:$J$2437,AB$1)</f>
        <v>0</v>
      </c>
      <c r="AC123" s="76">
        <f>SUMIFS('июль 2025'!$G$2:$G$2437,'июль 2025'!$D$2:$D$2437,$B123,'июль 2025'!$J$2:$J$2437,AC$1)</f>
        <v>0</v>
      </c>
      <c r="AD123" s="76">
        <f>SUMIFS('июль 2025'!$G$2:$G$2437,'июль 2025'!$D$2:$D$2437,$B123,'июль 2025'!$J$2:$J$2437,AD$1)</f>
        <v>0</v>
      </c>
      <c r="AE123" s="76">
        <f>SUMIFS('июль 2025'!$G$2:$G$2437,'июль 2025'!$D$2:$D$2437,$B123,'июль 2025'!$J$2:$J$2437,AE$1)</f>
        <v>0</v>
      </c>
      <c r="AF123" s="76">
        <f>SUMIFS('июль 2025'!$G$2:$G$2437,'июль 2025'!$D$2:$D$2437,$B123,'июль 2025'!$J$2:$J$2437,AF$1)</f>
        <v>0</v>
      </c>
      <c r="AG123" s="76">
        <f>SUMIFS('июль 2025'!$G$2:$G$2437,'июль 2025'!$D$2:$D$2437,$B123,'июль 2025'!$J$2:$J$2437,AG$1)</f>
        <v>0</v>
      </c>
      <c r="AH123" s="76">
        <f>SUMIFS('июль 2025'!$G$2:$G$2437,'июль 2025'!$D$2:$D$2437,$B123,'июль 2025'!$J$2:$J$2437,AH$1)</f>
        <v>0</v>
      </c>
      <c r="AI123" s="20">
        <f t="shared" si="1"/>
        <v>0</v>
      </c>
    </row>
    <row r="124" spans="2:35" ht="15" customHeight="1" x14ac:dyDescent="0.25">
      <c r="B124" s="88" t="s">
        <v>304</v>
      </c>
      <c r="C124" s="86">
        <v>175</v>
      </c>
      <c r="D124" s="76">
        <f>SUMIFS('июль 2025'!$G$2:$G$2437,'июль 2025'!$D$2:$D$2437,$B124,'июль 2025'!$J$2:$J$2437,D$1)</f>
        <v>0</v>
      </c>
      <c r="E124" s="76">
        <f>SUMIFS('июль 2025'!$G$2:$G$2437,'июль 2025'!$D$2:$D$2437,$B124,'июль 2025'!$J$2:$J$2437,E$1)</f>
        <v>0</v>
      </c>
      <c r="F124" s="76">
        <f>SUMIFS('июль 2025'!$G$2:$G$2437,'июль 2025'!$D$2:$D$2437,$B124,'июль 2025'!$J$2:$J$2437,F$1)</f>
        <v>0</v>
      </c>
      <c r="G124" s="76">
        <f>SUMIFS('июль 2025'!$G$2:$G$2437,'июль 2025'!$D$2:$D$2437,$B124,'июль 2025'!$J$2:$J$2437,G$1)</f>
        <v>0</v>
      </c>
      <c r="H124" s="76">
        <f>SUMIFS('июль 2025'!$G$2:$G$2437,'июль 2025'!$D$2:$D$2437,$B124,'июль 2025'!$J$2:$J$2437,H$1)</f>
        <v>0</v>
      </c>
      <c r="I124" s="76">
        <f>SUMIFS('июль 2025'!$G$2:$G$2437,'июль 2025'!$D$2:$D$2437,$B124,'июль 2025'!$J$2:$J$2437,I$1)</f>
        <v>0</v>
      </c>
      <c r="J124" s="76">
        <f>SUMIFS('июль 2025'!$G$2:$G$2437,'июль 2025'!$D$2:$D$2437,$B124,'июль 2025'!$J$2:$J$2437,J$1)</f>
        <v>0</v>
      </c>
      <c r="K124" s="76">
        <f>SUMIFS('июль 2025'!$G$2:$G$2437,'июль 2025'!$D$2:$D$2437,$B124,'июль 2025'!$J$2:$J$2437,K$1)</f>
        <v>0</v>
      </c>
      <c r="L124" s="76">
        <f>SUMIFS('июль 2025'!$G$2:$G$2437,'июль 2025'!$D$2:$D$2437,$B124,'июль 2025'!$J$2:$J$2437,L$1)</f>
        <v>0</v>
      </c>
      <c r="M124" s="76">
        <f>SUMIFS('июль 2025'!$G$2:$G$2437,'июль 2025'!$D$2:$D$2437,$B124,'июль 2025'!$J$2:$J$2437,M$1)</f>
        <v>0</v>
      </c>
      <c r="N124" s="76">
        <f>SUMIFS('июль 2025'!$G$2:$G$2437,'июль 2025'!$D$2:$D$2437,$B124,'июль 2025'!$J$2:$J$2437,N$1)</f>
        <v>0</v>
      </c>
      <c r="O124" s="76">
        <f>SUMIFS('июль 2025'!$G$2:$G$2437,'июль 2025'!$D$2:$D$2437,$B124,'июль 2025'!$J$2:$J$2437,O$1)</f>
        <v>0</v>
      </c>
      <c r="P124" s="76">
        <f>SUMIFS('июль 2025'!$G$2:$G$2437,'июль 2025'!$D$2:$D$2437,$B124,'июль 2025'!$J$2:$J$2437,P$1)</f>
        <v>0</v>
      </c>
      <c r="Q124" s="76">
        <f>SUMIFS('июль 2025'!$G$2:$G$2437,'июль 2025'!$D$2:$D$2437,$B124,'июль 2025'!$J$2:$J$2437,Q$1)</f>
        <v>0</v>
      </c>
      <c r="R124" s="76">
        <f>SUMIFS('июль 2025'!$G$2:$G$2437,'июль 2025'!$D$2:$D$2437,$B124,'июль 2025'!$J$2:$J$2437,R$1)</f>
        <v>0</v>
      </c>
      <c r="S124" s="76">
        <f>SUMIFS('июль 2025'!$G$2:$G$2437,'июль 2025'!$D$2:$D$2437,$B124,'июль 2025'!$J$2:$J$2437,S$1)</f>
        <v>0</v>
      </c>
      <c r="T124" s="76">
        <f>SUMIFS('июль 2025'!$G$2:$G$2437,'июль 2025'!$D$2:$D$2437,$B124,'июль 2025'!$J$2:$J$2437,T$1)</f>
        <v>0</v>
      </c>
      <c r="U124" s="76">
        <f>SUMIFS('июль 2025'!$G$2:$G$2437,'июль 2025'!$D$2:$D$2437,$B124,'июль 2025'!$J$2:$J$2437,U$1)</f>
        <v>0</v>
      </c>
      <c r="V124" s="76">
        <f>SUMIFS('июль 2025'!$G$2:$G$2437,'июль 2025'!$D$2:$D$2437,$B124,'июль 2025'!$J$2:$J$2437,V$1)</f>
        <v>0</v>
      </c>
      <c r="W124" s="76">
        <f>SUMIFS('июль 2025'!$G$2:$G$2437,'июль 2025'!$D$2:$D$2437,$B124,'июль 2025'!$J$2:$J$2437,W$1)</f>
        <v>0</v>
      </c>
      <c r="X124" s="76">
        <f>SUMIFS('июль 2025'!$G$2:$G$2437,'июль 2025'!$D$2:$D$2437,$B124,'июль 2025'!$J$2:$J$2437,X$1)</f>
        <v>0</v>
      </c>
      <c r="Y124" s="76">
        <f>SUMIFS('июль 2025'!$G$2:$G$2437,'июль 2025'!$D$2:$D$2437,$B124,'июль 2025'!$J$2:$J$2437,Y$1)</f>
        <v>0</v>
      </c>
      <c r="Z124" s="76">
        <f>SUMIFS('июль 2025'!$G$2:$G$2437,'июль 2025'!$D$2:$D$2437,$B124,'июль 2025'!$J$2:$J$2437,Z$1)</f>
        <v>0</v>
      </c>
      <c r="AA124" s="76">
        <f>SUMIFS('июль 2025'!$G$2:$G$2437,'июль 2025'!$D$2:$D$2437,$B124,'июль 2025'!$J$2:$J$2437,AA$1)</f>
        <v>0</v>
      </c>
      <c r="AB124" s="76">
        <f>SUMIFS('июль 2025'!$G$2:$G$2437,'июль 2025'!$D$2:$D$2437,$B124,'июль 2025'!$J$2:$J$2437,AB$1)</f>
        <v>0</v>
      </c>
      <c r="AC124" s="76">
        <f>SUMIFS('июль 2025'!$G$2:$G$2437,'июль 2025'!$D$2:$D$2437,$B124,'июль 2025'!$J$2:$J$2437,AC$1)</f>
        <v>0</v>
      </c>
      <c r="AD124" s="76">
        <f>SUMIFS('июль 2025'!$G$2:$G$2437,'июль 2025'!$D$2:$D$2437,$B124,'июль 2025'!$J$2:$J$2437,AD$1)</f>
        <v>0</v>
      </c>
      <c r="AE124" s="76">
        <f>SUMIFS('июль 2025'!$G$2:$G$2437,'июль 2025'!$D$2:$D$2437,$B124,'июль 2025'!$J$2:$J$2437,AE$1)</f>
        <v>0</v>
      </c>
      <c r="AF124" s="76">
        <f>SUMIFS('июль 2025'!$G$2:$G$2437,'июль 2025'!$D$2:$D$2437,$B124,'июль 2025'!$J$2:$J$2437,AF$1)</f>
        <v>0</v>
      </c>
      <c r="AG124" s="76">
        <f>SUMIFS('июль 2025'!$G$2:$G$2437,'июль 2025'!$D$2:$D$2437,$B124,'июль 2025'!$J$2:$J$2437,AG$1)</f>
        <v>0</v>
      </c>
      <c r="AH124" s="76">
        <f>SUMIFS('июль 2025'!$G$2:$G$2437,'июль 2025'!$D$2:$D$2437,$B124,'июль 2025'!$J$2:$J$2437,AH$1)</f>
        <v>0</v>
      </c>
      <c r="AI124" s="20">
        <f t="shared" si="1"/>
        <v>0</v>
      </c>
    </row>
    <row r="125" spans="2:35" ht="15" customHeight="1" x14ac:dyDescent="0.25">
      <c r="B125" s="88" t="s">
        <v>310</v>
      </c>
      <c r="C125" s="86">
        <v>200</v>
      </c>
      <c r="D125" s="76">
        <f>SUMIFS('июль 2025'!$G$2:$G$2437,'июль 2025'!$D$2:$D$2437,$B125,'июль 2025'!$J$2:$J$2437,D$1)</f>
        <v>0</v>
      </c>
      <c r="E125" s="76">
        <f>SUMIFS('июль 2025'!$G$2:$G$2437,'июль 2025'!$D$2:$D$2437,$B125,'июль 2025'!$J$2:$J$2437,E$1)</f>
        <v>0</v>
      </c>
      <c r="F125" s="76">
        <f>SUMIFS('июль 2025'!$G$2:$G$2437,'июль 2025'!$D$2:$D$2437,$B125,'июль 2025'!$J$2:$J$2437,F$1)</f>
        <v>0</v>
      </c>
      <c r="G125" s="76">
        <f>SUMIFS('июль 2025'!$G$2:$G$2437,'июль 2025'!$D$2:$D$2437,$B125,'июль 2025'!$J$2:$J$2437,G$1)</f>
        <v>0</v>
      </c>
      <c r="H125" s="76">
        <f>SUMIFS('июль 2025'!$G$2:$G$2437,'июль 2025'!$D$2:$D$2437,$B125,'июль 2025'!$J$2:$J$2437,H$1)</f>
        <v>0</v>
      </c>
      <c r="I125" s="76">
        <f>SUMIFS('июль 2025'!$G$2:$G$2437,'июль 2025'!$D$2:$D$2437,$B125,'июль 2025'!$J$2:$J$2437,I$1)</f>
        <v>0</v>
      </c>
      <c r="J125" s="76">
        <f>SUMIFS('июль 2025'!$G$2:$G$2437,'июль 2025'!$D$2:$D$2437,$B125,'июль 2025'!$J$2:$J$2437,J$1)</f>
        <v>0</v>
      </c>
      <c r="K125" s="76">
        <f>SUMIFS('июль 2025'!$G$2:$G$2437,'июль 2025'!$D$2:$D$2437,$B125,'июль 2025'!$J$2:$J$2437,K$1)</f>
        <v>0</v>
      </c>
      <c r="L125" s="76">
        <f>SUMIFS('июль 2025'!$G$2:$G$2437,'июль 2025'!$D$2:$D$2437,$B125,'июль 2025'!$J$2:$J$2437,L$1)</f>
        <v>0</v>
      </c>
      <c r="M125" s="76">
        <f>SUMIFS('июль 2025'!$G$2:$G$2437,'июль 2025'!$D$2:$D$2437,$B125,'июль 2025'!$J$2:$J$2437,M$1)</f>
        <v>0</v>
      </c>
      <c r="N125" s="76">
        <f>SUMIFS('июль 2025'!$G$2:$G$2437,'июль 2025'!$D$2:$D$2437,$B125,'июль 2025'!$J$2:$J$2437,N$1)</f>
        <v>0</v>
      </c>
      <c r="O125" s="76">
        <f>SUMIFS('июль 2025'!$G$2:$G$2437,'июль 2025'!$D$2:$D$2437,$B125,'июль 2025'!$J$2:$J$2437,O$1)</f>
        <v>0</v>
      </c>
      <c r="P125" s="76">
        <f>SUMIFS('июль 2025'!$G$2:$G$2437,'июль 2025'!$D$2:$D$2437,$B125,'июль 2025'!$J$2:$J$2437,P$1)</f>
        <v>0</v>
      </c>
      <c r="Q125" s="76">
        <f>SUMIFS('июль 2025'!$G$2:$G$2437,'июль 2025'!$D$2:$D$2437,$B125,'июль 2025'!$J$2:$J$2437,Q$1)</f>
        <v>0</v>
      </c>
      <c r="R125" s="76">
        <f>SUMIFS('июль 2025'!$G$2:$G$2437,'июль 2025'!$D$2:$D$2437,$B125,'июль 2025'!$J$2:$J$2437,R$1)</f>
        <v>0</v>
      </c>
      <c r="S125" s="76">
        <f>SUMIFS('июль 2025'!$G$2:$G$2437,'июль 2025'!$D$2:$D$2437,$B125,'июль 2025'!$J$2:$J$2437,S$1)</f>
        <v>0</v>
      </c>
      <c r="T125" s="76">
        <f>SUMIFS('июль 2025'!$G$2:$G$2437,'июль 2025'!$D$2:$D$2437,$B125,'июль 2025'!$J$2:$J$2437,T$1)</f>
        <v>0</v>
      </c>
      <c r="U125" s="76">
        <f>SUMIFS('июль 2025'!$G$2:$G$2437,'июль 2025'!$D$2:$D$2437,$B125,'июль 2025'!$J$2:$J$2437,U$1)</f>
        <v>0</v>
      </c>
      <c r="V125" s="76">
        <f>SUMIFS('июль 2025'!$G$2:$G$2437,'июль 2025'!$D$2:$D$2437,$B125,'июль 2025'!$J$2:$J$2437,V$1)</f>
        <v>0</v>
      </c>
      <c r="W125" s="76">
        <f>SUMIFS('июль 2025'!$G$2:$G$2437,'июль 2025'!$D$2:$D$2437,$B125,'июль 2025'!$J$2:$J$2437,W$1)</f>
        <v>0</v>
      </c>
      <c r="X125" s="76">
        <f>SUMIFS('июль 2025'!$G$2:$G$2437,'июль 2025'!$D$2:$D$2437,$B125,'июль 2025'!$J$2:$J$2437,X$1)</f>
        <v>0</v>
      </c>
      <c r="Y125" s="76">
        <f>SUMIFS('июль 2025'!$G$2:$G$2437,'июль 2025'!$D$2:$D$2437,$B125,'июль 2025'!$J$2:$J$2437,Y$1)</f>
        <v>0</v>
      </c>
      <c r="Z125" s="76">
        <f>SUMIFS('июль 2025'!$G$2:$G$2437,'июль 2025'!$D$2:$D$2437,$B125,'июль 2025'!$J$2:$J$2437,Z$1)</f>
        <v>0</v>
      </c>
      <c r="AA125" s="76">
        <f>SUMIFS('июль 2025'!$G$2:$G$2437,'июль 2025'!$D$2:$D$2437,$B125,'июль 2025'!$J$2:$J$2437,AA$1)</f>
        <v>0</v>
      </c>
      <c r="AB125" s="76">
        <f>SUMIFS('июль 2025'!$G$2:$G$2437,'июль 2025'!$D$2:$D$2437,$B125,'июль 2025'!$J$2:$J$2437,AB$1)</f>
        <v>0</v>
      </c>
      <c r="AC125" s="76">
        <f>SUMIFS('июль 2025'!$G$2:$G$2437,'июль 2025'!$D$2:$D$2437,$B125,'июль 2025'!$J$2:$J$2437,AC$1)</f>
        <v>0</v>
      </c>
      <c r="AD125" s="76">
        <f>SUMIFS('июль 2025'!$G$2:$G$2437,'июль 2025'!$D$2:$D$2437,$B125,'июль 2025'!$J$2:$J$2437,AD$1)</f>
        <v>0</v>
      </c>
      <c r="AE125" s="76">
        <f>SUMIFS('июль 2025'!$G$2:$G$2437,'июль 2025'!$D$2:$D$2437,$B125,'июль 2025'!$J$2:$J$2437,AE$1)</f>
        <v>0</v>
      </c>
      <c r="AF125" s="76">
        <f>SUMIFS('июль 2025'!$G$2:$G$2437,'июль 2025'!$D$2:$D$2437,$B125,'июль 2025'!$J$2:$J$2437,AF$1)</f>
        <v>0</v>
      </c>
      <c r="AG125" s="76">
        <f>SUMIFS('июль 2025'!$G$2:$G$2437,'июль 2025'!$D$2:$D$2437,$B125,'июль 2025'!$J$2:$J$2437,AG$1)</f>
        <v>0</v>
      </c>
      <c r="AH125" s="76">
        <f>SUMIFS('июль 2025'!$G$2:$G$2437,'июль 2025'!$D$2:$D$2437,$B125,'июль 2025'!$J$2:$J$2437,AH$1)</f>
        <v>0</v>
      </c>
      <c r="AI125" s="20">
        <f t="shared" si="1"/>
        <v>0</v>
      </c>
    </row>
    <row r="126" spans="2:35" ht="15" customHeight="1" x14ac:dyDescent="0.25">
      <c r="B126" s="88" t="s">
        <v>1256</v>
      </c>
      <c r="C126" s="86">
        <v>200</v>
      </c>
      <c r="D126" s="76">
        <f>SUMIFS('июль 2025'!$G$2:$G$2437,'июль 2025'!$D$2:$D$2437,$B126,'июль 2025'!$J$2:$J$2437,D$1)</f>
        <v>0</v>
      </c>
      <c r="E126" s="76">
        <f>SUMIFS('июль 2025'!$G$2:$G$2437,'июль 2025'!$D$2:$D$2437,$B126,'июль 2025'!$J$2:$J$2437,E$1)</f>
        <v>0</v>
      </c>
      <c r="F126" s="76">
        <f>SUMIFS('июль 2025'!$G$2:$G$2437,'июль 2025'!$D$2:$D$2437,$B126,'июль 2025'!$J$2:$J$2437,F$1)</f>
        <v>0</v>
      </c>
      <c r="G126" s="76">
        <f>SUMIFS('июль 2025'!$G$2:$G$2437,'июль 2025'!$D$2:$D$2437,$B126,'июль 2025'!$J$2:$J$2437,G$1)</f>
        <v>0</v>
      </c>
      <c r="H126" s="76">
        <f>SUMIFS('июль 2025'!$G$2:$G$2437,'июль 2025'!$D$2:$D$2437,$B126,'июль 2025'!$J$2:$J$2437,H$1)</f>
        <v>0</v>
      </c>
      <c r="I126" s="76">
        <f>SUMIFS('июль 2025'!$G$2:$G$2437,'июль 2025'!$D$2:$D$2437,$B126,'июль 2025'!$J$2:$J$2437,I$1)</f>
        <v>0</v>
      </c>
      <c r="J126" s="76">
        <f>SUMIFS('июль 2025'!$G$2:$G$2437,'июль 2025'!$D$2:$D$2437,$B126,'июль 2025'!$J$2:$J$2437,J$1)</f>
        <v>0</v>
      </c>
      <c r="K126" s="76">
        <f>SUMIFS('июль 2025'!$G$2:$G$2437,'июль 2025'!$D$2:$D$2437,$B126,'июль 2025'!$J$2:$J$2437,K$1)</f>
        <v>0</v>
      </c>
      <c r="L126" s="76">
        <f>SUMIFS('июль 2025'!$G$2:$G$2437,'июль 2025'!$D$2:$D$2437,$B126,'июль 2025'!$J$2:$J$2437,L$1)</f>
        <v>0</v>
      </c>
      <c r="M126" s="76">
        <f>SUMIFS('июль 2025'!$G$2:$G$2437,'июль 2025'!$D$2:$D$2437,$B126,'июль 2025'!$J$2:$J$2437,M$1)</f>
        <v>0</v>
      </c>
      <c r="N126" s="76">
        <f>SUMIFS('июль 2025'!$G$2:$G$2437,'июль 2025'!$D$2:$D$2437,$B126,'июль 2025'!$J$2:$J$2437,N$1)</f>
        <v>0</v>
      </c>
      <c r="O126" s="76">
        <f>SUMIFS('июль 2025'!$G$2:$G$2437,'июль 2025'!$D$2:$D$2437,$B126,'июль 2025'!$J$2:$J$2437,O$1)</f>
        <v>0</v>
      </c>
      <c r="P126" s="76">
        <f>SUMIFS('июль 2025'!$G$2:$G$2437,'июль 2025'!$D$2:$D$2437,$B126,'июль 2025'!$J$2:$J$2437,P$1)</f>
        <v>0</v>
      </c>
      <c r="Q126" s="76">
        <f>SUMIFS('июль 2025'!$G$2:$G$2437,'июль 2025'!$D$2:$D$2437,$B126,'июль 2025'!$J$2:$J$2437,Q$1)</f>
        <v>0</v>
      </c>
      <c r="R126" s="76">
        <f>SUMIFS('июль 2025'!$G$2:$G$2437,'июль 2025'!$D$2:$D$2437,$B126,'июль 2025'!$J$2:$J$2437,R$1)</f>
        <v>0</v>
      </c>
      <c r="S126" s="76">
        <f>SUMIFS('июль 2025'!$G$2:$G$2437,'июль 2025'!$D$2:$D$2437,$B126,'июль 2025'!$J$2:$J$2437,S$1)</f>
        <v>0</v>
      </c>
      <c r="T126" s="76">
        <f>SUMIFS('июль 2025'!$G$2:$G$2437,'июль 2025'!$D$2:$D$2437,$B126,'июль 2025'!$J$2:$J$2437,T$1)</f>
        <v>0</v>
      </c>
      <c r="U126" s="76">
        <f>SUMIFS('июль 2025'!$G$2:$G$2437,'июль 2025'!$D$2:$D$2437,$B126,'июль 2025'!$J$2:$J$2437,U$1)</f>
        <v>0</v>
      </c>
      <c r="V126" s="76">
        <f>SUMIFS('июль 2025'!$G$2:$G$2437,'июль 2025'!$D$2:$D$2437,$B126,'июль 2025'!$J$2:$J$2437,V$1)</f>
        <v>0</v>
      </c>
      <c r="W126" s="76">
        <f>SUMIFS('июль 2025'!$G$2:$G$2437,'июль 2025'!$D$2:$D$2437,$B126,'июль 2025'!$J$2:$J$2437,W$1)</f>
        <v>0</v>
      </c>
      <c r="X126" s="76">
        <f>SUMIFS('июль 2025'!$G$2:$G$2437,'июль 2025'!$D$2:$D$2437,$B126,'июль 2025'!$J$2:$J$2437,X$1)</f>
        <v>0</v>
      </c>
      <c r="Y126" s="76">
        <f>SUMIFS('июль 2025'!$G$2:$G$2437,'июль 2025'!$D$2:$D$2437,$B126,'июль 2025'!$J$2:$J$2437,Y$1)</f>
        <v>0</v>
      </c>
      <c r="Z126" s="76">
        <f>SUMIFS('июль 2025'!$G$2:$G$2437,'июль 2025'!$D$2:$D$2437,$B126,'июль 2025'!$J$2:$J$2437,Z$1)</f>
        <v>0</v>
      </c>
      <c r="AA126" s="76">
        <f>SUMIFS('июль 2025'!$G$2:$G$2437,'июль 2025'!$D$2:$D$2437,$B126,'июль 2025'!$J$2:$J$2437,AA$1)</f>
        <v>0</v>
      </c>
      <c r="AB126" s="76">
        <f>SUMIFS('июль 2025'!$G$2:$G$2437,'июль 2025'!$D$2:$D$2437,$B126,'июль 2025'!$J$2:$J$2437,AB$1)</f>
        <v>0</v>
      </c>
      <c r="AC126" s="76">
        <f>SUMIFS('июль 2025'!$G$2:$G$2437,'июль 2025'!$D$2:$D$2437,$B126,'июль 2025'!$J$2:$J$2437,AC$1)</f>
        <v>0</v>
      </c>
      <c r="AD126" s="76">
        <f>SUMIFS('июль 2025'!$G$2:$G$2437,'июль 2025'!$D$2:$D$2437,$B126,'июль 2025'!$J$2:$J$2437,AD$1)</f>
        <v>0</v>
      </c>
      <c r="AE126" s="76">
        <f>SUMIFS('июль 2025'!$G$2:$G$2437,'июль 2025'!$D$2:$D$2437,$B126,'июль 2025'!$J$2:$J$2437,AE$1)</f>
        <v>0</v>
      </c>
      <c r="AF126" s="76">
        <f>SUMIFS('июль 2025'!$G$2:$G$2437,'июль 2025'!$D$2:$D$2437,$B126,'июль 2025'!$J$2:$J$2437,AF$1)</f>
        <v>0</v>
      </c>
      <c r="AG126" s="76">
        <f>SUMIFS('июль 2025'!$G$2:$G$2437,'июль 2025'!$D$2:$D$2437,$B126,'июль 2025'!$J$2:$J$2437,AG$1)</f>
        <v>0</v>
      </c>
      <c r="AH126" s="76">
        <f>SUMIFS('июль 2025'!$G$2:$G$2437,'июль 2025'!$D$2:$D$2437,$B126,'июль 2025'!$J$2:$J$2437,AH$1)</f>
        <v>0</v>
      </c>
      <c r="AI126" s="20">
        <f t="shared" si="1"/>
        <v>0</v>
      </c>
    </row>
    <row r="127" spans="2:35" ht="15" customHeight="1" x14ac:dyDescent="0.25">
      <c r="B127" s="88" t="s">
        <v>265</v>
      </c>
      <c r="C127" s="86">
        <v>180</v>
      </c>
      <c r="D127" s="76">
        <f>SUMIFS('июль 2025'!$G$2:$G$2437,'июль 2025'!$D$2:$D$2437,$B127,'июль 2025'!$J$2:$J$2437,D$1)</f>
        <v>0</v>
      </c>
      <c r="E127" s="76">
        <f>SUMIFS('июль 2025'!$G$2:$G$2437,'июль 2025'!$D$2:$D$2437,$B127,'июль 2025'!$J$2:$J$2437,E$1)</f>
        <v>0</v>
      </c>
      <c r="F127" s="76">
        <f>SUMIFS('июль 2025'!$G$2:$G$2437,'июль 2025'!$D$2:$D$2437,$B127,'июль 2025'!$J$2:$J$2437,F$1)</f>
        <v>0</v>
      </c>
      <c r="G127" s="76">
        <f>SUMIFS('июль 2025'!$G$2:$G$2437,'июль 2025'!$D$2:$D$2437,$B127,'июль 2025'!$J$2:$J$2437,G$1)</f>
        <v>0</v>
      </c>
      <c r="H127" s="76">
        <f>SUMIFS('июль 2025'!$G$2:$G$2437,'июль 2025'!$D$2:$D$2437,$B127,'июль 2025'!$J$2:$J$2437,H$1)</f>
        <v>0</v>
      </c>
      <c r="I127" s="76">
        <f>SUMIFS('июль 2025'!$G$2:$G$2437,'июль 2025'!$D$2:$D$2437,$B127,'июль 2025'!$J$2:$J$2437,I$1)</f>
        <v>0</v>
      </c>
      <c r="J127" s="76">
        <f>SUMIFS('июль 2025'!$G$2:$G$2437,'июль 2025'!$D$2:$D$2437,$B127,'июль 2025'!$J$2:$J$2437,J$1)</f>
        <v>0</v>
      </c>
      <c r="K127" s="76">
        <f>SUMIFS('июль 2025'!$G$2:$G$2437,'июль 2025'!$D$2:$D$2437,$B127,'июль 2025'!$J$2:$J$2437,K$1)</f>
        <v>0</v>
      </c>
      <c r="L127" s="76">
        <f>SUMIFS('июль 2025'!$G$2:$G$2437,'июль 2025'!$D$2:$D$2437,$B127,'июль 2025'!$J$2:$J$2437,L$1)</f>
        <v>0</v>
      </c>
      <c r="M127" s="76">
        <f>SUMIFS('июль 2025'!$G$2:$G$2437,'июль 2025'!$D$2:$D$2437,$B127,'июль 2025'!$J$2:$J$2437,M$1)</f>
        <v>0</v>
      </c>
      <c r="N127" s="76">
        <f>SUMIFS('июль 2025'!$G$2:$G$2437,'июль 2025'!$D$2:$D$2437,$B127,'июль 2025'!$J$2:$J$2437,N$1)</f>
        <v>0</v>
      </c>
      <c r="O127" s="76">
        <f>SUMIFS('июль 2025'!$G$2:$G$2437,'июль 2025'!$D$2:$D$2437,$B127,'июль 2025'!$J$2:$J$2437,O$1)</f>
        <v>0</v>
      </c>
      <c r="P127" s="76">
        <f>SUMIFS('июль 2025'!$G$2:$G$2437,'июль 2025'!$D$2:$D$2437,$B127,'июль 2025'!$J$2:$J$2437,P$1)</f>
        <v>0</v>
      </c>
      <c r="Q127" s="76">
        <f>SUMIFS('июль 2025'!$G$2:$G$2437,'июль 2025'!$D$2:$D$2437,$B127,'июль 2025'!$J$2:$J$2437,Q$1)</f>
        <v>0</v>
      </c>
      <c r="R127" s="76">
        <f>SUMIFS('июль 2025'!$G$2:$G$2437,'июль 2025'!$D$2:$D$2437,$B127,'июль 2025'!$J$2:$J$2437,R$1)</f>
        <v>0</v>
      </c>
      <c r="S127" s="76">
        <f>SUMIFS('июль 2025'!$G$2:$G$2437,'июль 2025'!$D$2:$D$2437,$B127,'июль 2025'!$J$2:$J$2437,S$1)</f>
        <v>0</v>
      </c>
      <c r="T127" s="76">
        <f>SUMIFS('июль 2025'!$G$2:$G$2437,'июль 2025'!$D$2:$D$2437,$B127,'июль 2025'!$J$2:$J$2437,T$1)</f>
        <v>0</v>
      </c>
      <c r="U127" s="76">
        <f>SUMIFS('июль 2025'!$G$2:$G$2437,'июль 2025'!$D$2:$D$2437,$B127,'июль 2025'!$J$2:$J$2437,U$1)</f>
        <v>0</v>
      </c>
      <c r="V127" s="76">
        <f>SUMIFS('июль 2025'!$G$2:$G$2437,'июль 2025'!$D$2:$D$2437,$B127,'июль 2025'!$J$2:$J$2437,V$1)</f>
        <v>0</v>
      </c>
      <c r="W127" s="76">
        <f>SUMIFS('июль 2025'!$G$2:$G$2437,'июль 2025'!$D$2:$D$2437,$B127,'июль 2025'!$J$2:$J$2437,W$1)</f>
        <v>0</v>
      </c>
      <c r="X127" s="76">
        <f>SUMIFS('июль 2025'!$G$2:$G$2437,'июль 2025'!$D$2:$D$2437,$B127,'июль 2025'!$J$2:$J$2437,X$1)</f>
        <v>0</v>
      </c>
      <c r="Y127" s="76">
        <f>SUMIFS('июль 2025'!$G$2:$G$2437,'июль 2025'!$D$2:$D$2437,$B127,'июль 2025'!$J$2:$J$2437,Y$1)</f>
        <v>0</v>
      </c>
      <c r="Z127" s="76">
        <f>SUMIFS('июль 2025'!$G$2:$G$2437,'июль 2025'!$D$2:$D$2437,$B127,'июль 2025'!$J$2:$J$2437,Z$1)</f>
        <v>0</v>
      </c>
      <c r="AA127" s="76">
        <f>SUMIFS('июль 2025'!$G$2:$G$2437,'июль 2025'!$D$2:$D$2437,$B127,'июль 2025'!$J$2:$J$2437,AA$1)</f>
        <v>0</v>
      </c>
      <c r="AB127" s="76">
        <f>SUMIFS('июль 2025'!$G$2:$G$2437,'июль 2025'!$D$2:$D$2437,$B127,'июль 2025'!$J$2:$J$2437,AB$1)</f>
        <v>0</v>
      </c>
      <c r="AC127" s="76">
        <f>SUMIFS('июль 2025'!$G$2:$G$2437,'июль 2025'!$D$2:$D$2437,$B127,'июль 2025'!$J$2:$J$2437,AC$1)</f>
        <v>0</v>
      </c>
      <c r="AD127" s="76">
        <f>SUMIFS('июль 2025'!$G$2:$G$2437,'июль 2025'!$D$2:$D$2437,$B127,'июль 2025'!$J$2:$J$2437,AD$1)</f>
        <v>0</v>
      </c>
      <c r="AE127" s="76">
        <f>SUMIFS('июль 2025'!$G$2:$G$2437,'июль 2025'!$D$2:$D$2437,$B127,'июль 2025'!$J$2:$J$2437,AE$1)</f>
        <v>0</v>
      </c>
      <c r="AF127" s="76">
        <f>SUMIFS('июль 2025'!$G$2:$G$2437,'июль 2025'!$D$2:$D$2437,$B127,'июль 2025'!$J$2:$J$2437,AF$1)</f>
        <v>0</v>
      </c>
      <c r="AG127" s="76">
        <f>SUMIFS('июль 2025'!$G$2:$G$2437,'июль 2025'!$D$2:$D$2437,$B127,'июль 2025'!$J$2:$J$2437,AG$1)</f>
        <v>0</v>
      </c>
      <c r="AH127" s="76">
        <f>SUMIFS('июль 2025'!$G$2:$G$2437,'июль 2025'!$D$2:$D$2437,$B127,'июль 2025'!$J$2:$J$2437,AH$1)</f>
        <v>0</v>
      </c>
      <c r="AI127" s="20">
        <f t="shared" si="1"/>
        <v>0</v>
      </c>
    </row>
    <row r="128" spans="2:35" ht="15" customHeight="1" x14ac:dyDescent="0.25">
      <c r="B128" s="88" t="s">
        <v>326</v>
      </c>
      <c r="C128" s="86">
        <v>200</v>
      </c>
      <c r="D128" s="76">
        <f>SUMIFS('июль 2025'!$G$2:$G$2437,'июль 2025'!$D$2:$D$2437,$B128,'июль 2025'!$J$2:$J$2437,D$1)</f>
        <v>0</v>
      </c>
      <c r="E128" s="76">
        <f>SUMIFS('июль 2025'!$G$2:$G$2437,'июль 2025'!$D$2:$D$2437,$B128,'июль 2025'!$J$2:$J$2437,E$1)</f>
        <v>0</v>
      </c>
      <c r="F128" s="76">
        <f>SUMIFS('июль 2025'!$G$2:$G$2437,'июль 2025'!$D$2:$D$2437,$B128,'июль 2025'!$J$2:$J$2437,F$1)</f>
        <v>0</v>
      </c>
      <c r="G128" s="76">
        <f>SUMIFS('июль 2025'!$G$2:$G$2437,'июль 2025'!$D$2:$D$2437,$B128,'июль 2025'!$J$2:$J$2437,G$1)</f>
        <v>0</v>
      </c>
      <c r="H128" s="76">
        <f>SUMIFS('июль 2025'!$G$2:$G$2437,'июль 2025'!$D$2:$D$2437,$B128,'июль 2025'!$J$2:$J$2437,H$1)</f>
        <v>0</v>
      </c>
      <c r="I128" s="76">
        <f>SUMIFS('июль 2025'!$G$2:$G$2437,'июль 2025'!$D$2:$D$2437,$B128,'июль 2025'!$J$2:$J$2437,I$1)</f>
        <v>0</v>
      </c>
      <c r="J128" s="76">
        <f>SUMIFS('июль 2025'!$G$2:$G$2437,'июль 2025'!$D$2:$D$2437,$B128,'июль 2025'!$J$2:$J$2437,J$1)</f>
        <v>0</v>
      </c>
      <c r="K128" s="76">
        <f>SUMIFS('июль 2025'!$G$2:$G$2437,'июль 2025'!$D$2:$D$2437,$B128,'июль 2025'!$J$2:$J$2437,K$1)</f>
        <v>0</v>
      </c>
      <c r="L128" s="76">
        <f>SUMIFS('июль 2025'!$G$2:$G$2437,'июль 2025'!$D$2:$D$2437,$B128,'июль 2025'!$J$2:$J$2437,L$1)</f>
        <v>0</v>
      </c>
      <c r="M128" s="76">
        <f>SUMIFS('июль 2025'!$G$2:$G$2437,'июль 2025'!$D$2:$D$2437,$B128,'июль 2025'!$J$2:$J$2437,M$1)</f>
        <v>0</v>
      </c>
      <c r="N128" s="76">
        <f>SUMIFS('июль 2025'!$G$2:$G$2437,'июль 2025'!$D$2:$D$2437,$B128,'июль 2025'!$J$2:$J$2437,N$1)</f>
        <v>0</v>
      </c>
      <c r="O128" s="76">
        <f>SUMIFS('июль 2025'!$G$2:$G$2437,'июль 2025'!$D$2:$D$2437,$B128,'июль 2025'!$J$2:$J$2437,O$1)</f>
        <v>0</v>
      </c>
      <c r="P128" s="76">
        <f>SUMIFS('июль 2025'!$G$2:$G$2437,'июль 2025'!$D$2:$D$2437,$B128,'июль 2025'!$J$2:$J$2437,P$1)</f>
        <v>0</v>
      </c>
      <c r="Q128" s="76">
        <f>SUMIFS('июль 2025'!$G$2:$G$2437,'июль 2025'!$D$2:$D$2437,$B128,'июль 2025'!$J$2:$J$2437,Q$1)</f>
        <v>0</v>
      </c>
      <c r="R128" s="76">
        <f>SUMIFS('июль 2025'!$G$2:$G$2437,'июль 2025'!$D$2:$D$2437,$B128,'июль 2025'!$J$2:$J$2437,R$1)</f>
        <v>0</v>
      </c>
      <c r="S128" s="76">
        <f>SUMIFS('июль 2025'!$G$2:$G$2437,'июль 2025'!$D$2:$D$2437,$B128,'июль 2025'!$J$2:$J$2437,S$1)</f>
        <v>0</v>
      </c>
      <c r="T128" s="76">
        <f>SUMIFS('июль 2025'!$G$2:$G$2437,'июль 2025'!$D$2:$D$2437,$B128,'июль 2025'!$J$2:$J$2437,T$1)</f>
        <v>0</v>
      </c>
      <c r="U128" s="76">
        <f>SUMIFS('июль 2025'!$G$2:$G$2437,'июль 2025'!$D$2:$D$2437,$B128,'июль 2025'!$J$2:$J$2437,U$1)</f>
        <v>0</v>
      </c>
      <c r="V128" s="76">
        <f>SUMIFS('июль 2025'!$G$2:$G$2437,'июль 2025'!$D$2:$D$2437,$B128,'июль 2025'!$J$2:$J$2437,V$1)</f>
        <v>0</v>
      </c>
      <c r="W128" s="76">
        <f>SUMIFS('июль 2025'!$G$2:$G$2437,'июль 2025'!$D$2:$D$2437,$B128,'июль 2025'!$J$2:$J$2437,W$1)</f>
        <v>0</v>
      </c>
      <c r="X128" s="76">
        <f>SUMIFS('июль 2025'!$G$2:$G$2437,'июль 2025'!$D$2:$D$2437,$B128,'июль 2025'!$J$2:$J$2437,X$1)</f>
        <v>0</v>
      </c>
      <c r="Y128" s="76">
        <f>SUMIFS('июль 2025'!$G$2:$G$2437,'июль 2025'!$D$2:$D$2437,$B128,'июль 2025'!$J$2:$J$2437,Y$1)</f>
        <v>0</v>
      </c>
      <c r="Z128" s="76">
        <f>SUMIFS('июль 2025'!$G$2:$G$2437,'июль 2025'!$D$2:$D$2437,$B128,'июль 2025'!$J$2:$J$2437,Z$1)</f>
        <v>0</v>
      </c>
      <c r="AA128" s="76">
        <f>SUMIFS('июль 2025'!$G$2:$G$2437,'июль 2025'!$D$2:$D$2437,$B128,'июль 2025'!$J$2:$J$2437,AA$1)</f>
        <v>0</v>
      </c>
      <c r="AB128" s="76">
        <f>SUMIFS('июль 2025'!$G$2:$G$2437,'июль 2025'!$D$2:$D$2437,$B128,'июль 2025'!$J$2:$J$2437,AB$1)</f>
        <v>0</v>
      </c>
      <c r="AC128" s="76">
        <f>SUMIFS('июль 2025'!$G$2:$G$2437,'июль 2025'!$D$2:$D$2437,$B128,'июль 2025'!$J$2:$J$2437,AC$1)</f>
        <v>0</v>
      </c>
      <c r="AD128" s="76">
        <f>SUMIFS('июль 2025'!$G$2:$G$2437,'июль 2025'!$D$2:$D$2437,$B128,'июль 2025'!$J$2:$J$2437,AD$1)</f>
        <v>0</v>
      </c>
      <c r="AE128" s="76">
        <f>SUMIFS('июль 2025'!$G$2:$G$2437,'июль 2025'!$D$2:$D$2437,$B128,'июль 2025'!$J$2:$J$2437,AE$1)</f>
        <v>0</v>
      </c>
      <c r="AF128" s="76">
        <f>SUMIFS('июль 2025'!$G$2:$G$2437,'июль 2025'!$D$2:$D$2437,$B128,'июль 2025'!$J$2:$J$2437,AF$1)</f>
        <v>0</v>
      </c>
      <c r="AG128" s="76">
        <f>SUMIFS('июль 2025'!$G$2:$G$2437,'июль 2025'!$D$2:$D$2437,$B128,'июль 2025'!$J$2:$J$2437,AG$1)</f>
        <v>0</v>
      </c>
      <c r="AH128" s="76">
        <f>SUMIFS('июль 2025'!$G$2:$G$2437,'июль 2025'!$D$2:$D$2437,$B128,'июль 2025'!$J$2:$J$2437,AH$1)</f>
        <v>0</v>
      </c>
      <c r="AI128" s="20">
        <f t="shared" si="1"/>
        <v>0</v>
      </c>
    </row>
    <row r="129" spans="2:35" ht="15" customHeight="1" x14ac:dyDescent="0.25">
      <c r="B129" s="88" t="s">
        <v>280</v>
      </c>
      <c r="C129" s="86">
        <v>185</v>
      </c>
      <c r="D129" s="76">
        <f>SUMIFS('июль 2025'!$G$2:$G$2437,'июль 2025'!$D$2:$D$2437,$B129,'июль 2025'!$J$2:$J$2437,D$1)</f>
        <v>0</v>
      </c>
      <c r="E129" s="76">
        <f>SUMIFS('июль 2025'!$G$2:$G$2437,'июль 2025'!$D$2:$D$2437,$B129,'июль 2025'!$J$2:$J$2437,E$1)</f>
        <v>0</v>
      </c>
      <c r="F129" s="76">
        <f>SUMIFS('июль 2025'!$G$2:$G$2437,'июль 2025'!$D$2:$D$2437,$B129,'июль 2025'!$J$2:$J$2437,F$1)</f>
        <v>0</v>
      </c>
      <c r="G129" s="76">
        <f>SUMIFS('июль 2025'!$G$2:$G$2437,'июль 2025'!$D$2:$D$2437,$B129,'июль 2025'!$J$2:$J$2437,G$1)</f>
        <v>0</v>
      </c>
      <c r="H129" s="76">
        <f>SUMIFS('июль 2025'!$G$2:$G$2437,'июль 2025'!$D$2:$D$2437,$B129,'июль 2025'!$J$2:$J$2437,H$1)</f>
        <v>0</v>
      </c>
      <c r="I129" s="76">
        <f>SUMIFS('июль 2025'!$G$2:$G$2437,'июль 2025'!$D$2:$D$2437,$B129,'июль 2025'!$J$2:$J$2437,I$1)</f>
        <v>0</v>
      </c>
      <c r="J129" s="76">
        <f>SUMIFS('июль 2025'!$G$2:$G$2437,'июль 2025'!$D$2:$D$2437,$B129,'июль 2025'!$J$2:$J$2437,J$1)</f>
        <v>0</v>
      </c>
      <c r="K129" s="76">
        <f>SUMIFS('июль 2025'!$G$2:$G$2437,'июль 2025'!$D$2:$D$2437,$B129,'июль 2025'!$J$2:$J$2437,K$1)</f>
        <v>0</v>
      </c>
      <c r="L129" s="76">
        <f>SUMIFS('июль 2025'!$G$2:$G$2437,'июль 2025'!$D$2:$D$2437,$B129,'июль 2025'!$J$2:$J$2437,L$1)</f>
        <v>0</v>
      </c>
      <c r="M129" s="76">
        <f>SUMIFS('июль 2025'!$G$2:$G$2437,'июль 2025'!$D$2:$D$2437,$B129,'июль 2025'!$J$2:$J$2437,M$1)</f>
        <v>0</v>
      </c>
      <c r="N129" s="76">
        <f>SUMIFS('июль 2025'!$G$2:$G$2437,'июль 2025'!$D$2:$D$2437,$B129,'июль 2025'!$J$2:$J$2437,N$1)</f>
        <v>0</v>
      </c>
      <c r="O129" s="76">
        <f>SUMIFS('июль 2025'!$G$2:$G$2437,'июль 2025'!$D$2:$D$2437,$B129,'июль 2025'!$J$2:$J$2437,O$1)</f>
        <v>0</v>
      </c>
      <c r="P129" s="76">
        <f>SUMIFS('июль 2025'!$G$2:$G$2437,'июль 2025'!$D$2:$D$2437,$B129,'июль 2025'!$J$2:$J$2437,P$1)</f>
        <v>0</v>
      </c>
      <c r="Q129" s="76">
        <f>SUMIFS('июль 2025'!$G$2:$G$2437,'июль 2025'!$D$2:$D$2437,$B129,'июль 2025'!$J$2:$J$2437,Q$1)</f>
        <v>0</v>
      </c>
      <c r="R129" s="76">
        <f>SUMIFS('июль 2025'!$G$2:$G$2437,'июль 2025'!$D$2:$D$2437,$B129,'июль 2025'!$J$2:$J$2437,R$1)</f>
        <v>0</v>
      </c>
      <c r="S129" s="76">
        <f>SUMIFS('июль 2025'!$G$2:$G$2437,'июль 2025'!$D$2:$D$2437,$B129,'июль 2025'!$J$2:$J$2437,S$1)</f>
        <v>0</v>
      </c>
      <c r="T129" s="76">
        <f>SUMIFS('июль 2025'!$G$2:$G$2437,'июль 2025'!$D$2:$D$2437,$B129,'июль 2025'!$J$2:$J$2437,T$1)</f>
        <v>0</v>
      </c>
      <c r="U129" s="76">
        <f>SUMIFS('июль 2025'!$G$2:$G$2437,'июль 2025'!$D$2:$D$2437,$B129,'июль 2025'!$J$2:$J$2437,U$1)</f>
        <v>0</v>
      </c>
      <c r="V129" s="76">
        <f>SUMIFS('июль 2025'!$G$2:$G$2437,'июль 2025'!$D$2:$D$2437,$B129,'июль 2025'!$J$2:$J$2437,V$1)</f>
        <v>0</v>
      </c>
      <c r="W129" s="76">
        <f>SUMIFS('июль 2025'!$G$2:$G$2437,'июль 2025'!$D$2:$D$2437,$B129,'июль 2025'!$J$2:$J$2437,W$1)</f>
        <v>0</v>
      </c>
      <c r="X129" s="76">
        <f>SUMIFS('июль 2025'!$G$2:$G$2437,'июль 2025'!$D$2:$D$2437,$B129,'июль 2025'!$J$2:$J$2437,X$1)</f>
        <v>0</v>
      </c>
      <c r="Y129" s="76">
        <f>SUMIFS('июль 2025'!$G$2:$G$2437,'июль 2025'!$D$2:$D$2437,$B129,'июль 2025'!$J$2:$J$2437,Y$1)</f>
        <v>0</v>
      </c>
      <c r="Z129" s="76">
        <f>SUMIFS('июль 2025'!$G$2:$G$2437,'июль 2025'!$D$2:$D$2437,$B129,'июль 2025'!$J$2:$J$2437,Z$1)</f>
        <v>0</v>
      </c>
      <c r="AA129" s="76">
        <f>SUMIFS('июль 2025'!$G$2:$G$2437,'июль 2025'!$D$2:$D$2437,$B129,'июль 2025'!$J$2:$J$2437,AA$1)</f>
        <v>0</v>
      </c>
      <c r="AB129" s="76">
        <f>SUMIFS('июль 2025'!$G$2:$G$2437,'июль 2025'!$D$2:$D$2437,$B129,'июль 2025'!$J$2:$J$2437,AB$1)</f>
        <v>0</v>
      </c>
      <c r="AC129" s="76">
        <f>SUMIFS('июль 2025'!$G$2:$G$2437,'июль 2025'!$D$2:$D$2437,$B129,'июль 2025'!$J$2:$J$2437,AC$1)</f>
        <v>0</v>
      </c>
      <c r="AD129" s="76">
        <f>SUMIFS('июль 2025'!$G$2:$G$2437,'июль 2025'!$D$2:$D$2437,$B129,'июль 2025'!$J$2:$J$2437,AD$1)</f>
        <v>0</v>
      </c>
      <c r="AE129" s="76">
        <f>SUMIFS('июль 2025'!$G$2:$G$2437,'июль 2025'!$D$2:$D$2437,$B129,'июль 2025'!$J$2:$J$2437,AE$1)</f>
        <v>0</v>
      </c>
      <c r="AF129" s="76">
        <f>SUMIFS('июль 2025'!$G$2:$G$2437,'июль 2025'!$D$2:$D$2437,$B129,'июль 2025'!$J$2:$J$2437,AF$1)</f>
        <v>0</v>
      </c>
      <c r="AG129" s="76">
        <f>SUMIFS('июль 2025'!$G$2:$G$2437,'июль 2025'!$D$2:$D$2437,$B129,'июль 2025'!$J$2:$J$2437,AG$1)</f>
        <v>0</v>
      </c>
      <c r="AH129" s="76">
        <f>SUMIFS('июль 2025'!$G$2:$G$2437,'июль 2025'!$D$2:$D$2437,$B129,'июль 2025'!$J$2:$J$2437,AH$1)</f>
        <v>0</v>
      </c>
      <c r="AI129" s="20">
        <f t="shared" si="1"/>
        <v>0</v>
      </c>
    </row>
    <row r="130" spans="2:35" ht="15" customHeight="1" x14ac:dyDescent="0.25">
      <c r="B130" s="88" t="s">
        <v>283</v>
      </c>
      <c r="C130" s="86">
        <v>185</v>
      </c>
      <c r="D130" s="76">
        <f>SUMIFS('июль 2025'!$G$2:$G$2437,'июль 2025'!$D$2:$D$2437,$B130,'июль 2025'!$J$2:$J$2437,D$1)</f>
        <v>0</v>
      </c>
      <c r="E130" s="76">
        <f>SUMIFS('июль 2025'!$G$2:$G$2437,'июль 2025'!$D$2:$D$2437,$B130,'июль 2025'!$J$2:$J$2437,E$1)</f>
        <v>0</v>
      </c>
      <c r="F130" s="76">
        <f>SUMIFS('июль 2025'!$G$2:$G$2437,'июль 2025'!$D$2:$D$2437,$B130,'июль 2025'!$J$2:$J$2437,F$1)</f>
        <v>0</v>
      </c>
      <c r="G130" s="76">
        <f>SUMIFS('июль 2025'!$G$2:$G$2437,'июль 2025'!$D$2:$D$2437,$B130,'июль 2025'!$J$2:$J$2437,G$1)</f>
        <v>0</v>
      </c>
      <c r="H130" s="76">
        <f>SUMIFS('июль 2025'!$G$2:$G$2437,'июль 2025'!$D$2:$D$2437,$B130,'июль 2025'!$J$2:$J$2437,H$1)</f>
        <v>0</v>
      </c>
      <c r="I130" s="76">
        <f>SUMIFS('июль 2025'!$G$2:$G$2437,'июль 2025'!$D$2:$D$2437,$B130,'июль 2025'!$J$2:$J$2437,I$1)</f>
        <v>0</v>
      </c>
      <c r="J130" s="76">
        <f>SUMIFS('июль 2025'!$G$2:$G$2437,'июль 2025'!$D$2:$D$2437,$B130,'июль 2025'!$J$2:$J$2437,J$1)</f>
        <v>0</v>
      </c>
      <c r="K130" s="76">
        <f>SUMIFS('июль 2025'!$G$2:$G$2437,'июль 2025'!$D$2:$D$2437,$B130,'июль 2025'!$J$2:$J$2437,K$1)</f>
        <v>0</v>
      </c>
      <c r="L130" s="76">
        <f>SUMIFS('июль 2025'!$G$2:$G$2437,'июль 2025'!$D$2:$D$2437,$B130,'июль 2025'!$J$2:$J$2437,L$1)</f>
        <v>0</v>
      </c>
      <c r="M130" s="76">
        <f>SUMIFS('июль 2025'!$G$2:$G$2437,'июль 2025'!$D$2:$D$2437,$B130,'июль 2025'!$J$2:$J$2437,M$1)</f>
        <v>0</v>
      </c>
      <c r="N130" s="76">
        <f>SUMIFS('июль 2025'!$G$2:$G$2437,'июль 2025'!$D$2:$D$2437,$B130,'июль 2025'!$J$2:$J$2437,N$1)</f>
        <v>0</v>
      </c>
      <c r="O130" s="76">
        <f>SUMIFS('июль 2025'!$G$2:$G$2437,'июль 2025'!$D$2:$D$2437,$B130,'июль 2025'!$J$2:$J$2437,O$1)</f>
        <v>0</v>
      </c>
      <c r="P130" s="76">
        <f>SUMIFS('июль 2025'!$G$2:$G$2437,'июль 2025'!$D$2:$D$2437,$B130,'июль 2025'!$J$2:$J$2437,P$1)</f>
        <v>0</v>
      </c>
      <c r="Q130" s="76">
        <f>SUMIFS('июль 2025'!$G$2:$G$2437,'июль 2025'!$D$2:$D$2437,$B130,'июль 2025'!$J$2:$J$2437,Q$1)</f>
        <v>0</v>
      </c>
      <c r="R130" s="76">
        <f>SUMIFS('июль 2025'!$G$2:$G$2437,'июль 2025'!$D$2:$D$2437,$B130,'июль 2025'!$J$2:$J$2437,R$1)</f>
        <v>0</v>
      </c>
      <c r="S130" s="76">
        <f>SUMIFS('июль 2025'!$G$2:$G$2437,'июль 2025'!$D$2:$D$2437,$B130,'июль 2025'!$J$2:$J$2437,S$1)</f>
        <v>0</v>
      </c>
      <c r="T130" s="76">
        <f>SUMIFS('июль 2025'!$G$2:$G$2437,'июль 2025'!$D$2:$D$2437,$B130,'июль 2025'!$J$2:$J$2437,T$1)</f>
        <v>0</v>
      </c>
      <c r="U130" s="76">
        <f>SUMIFS('июль 2025'!$G$2:$G$2437,'июль 2025'!$D$2:$D$2437,$B130,'июль 2025'!$J$2:$J$2437,U$1)</f>
        <v>0</v>
      </c>
      <c r="V130" s="76">
        <f>SUMIFS('июль 2025'!$G$2:$G$2437,'июль 2025'!$D$2:$D$2437,$B130,'июль 2025'!$J$2:$J$2437,V$1)</f>
        <v>0</v>
      </c>
      <c r="W130" s="76">
        <f>SUMIFS('июль 2025'!$G$2:$G$2437,'июль 2025'!$D$2:$D$2437,$B130,'июль 2025'!$J$2:$J$2437,W$1)</f>
        <v>0</v>
      </c>
      <c r="X130" s="76">
        <f>SUMIFS('июль 2025'!$G$2:$G$2437,'июль 2025'!$D$2:$D$2437,$B130,'июль 2025'!$J$2:$J$2437,X$1)</f>
        <v>0</v>
      </c>
      <c r="Y130" s="76">
        <f>SUMIFS('июль 2025'!$G$2:$G$2437,'июль 2025'!$D$2:$D$2437,$B130,'июль 2025'!$J$2:$J$2437,Y$1)</f>
        <v>0</v>
      </c>
      <c r="Z130" s="76">
        <f>SUMIFS('июль 2025'!$G$2:$G$2437,'июль 2025'!$D$2:$D$2437,$B130,'июль 2025'!$J$2:$J$2437,Z$1)</f>
        <v>0</v>
      </c>
      <c r="AA130" s="76">
        <f>SUMIFS('июль 2025'!$G$2:$G$2437,'июль 2025'!$D$2:$D$2437,$B130,'июль 2025'!$J$2:$J$2437,AA$1)</f>
        <v>0</v>
      </c>
      <c r="AB130" s="76">
        <f>SUMIFS('июль 2025'!$G$2:$G$2437,'июль 2025'!$D$2:$D$2437,$B130,'июль 2025'!$J$2:$J$2437,AB$1)</f>
        <v>0</v>
      </c>
      <c r="AC130" s="76">
        <f>SUMIFS('июль 2025'!$G$2:$G$2437,'июль 2025'!$D$2:$D$2437,$B130,'июль 2025'!$J$2:$J$2437,AC$1)</f>
        <v>0</v>
      </c>
      <c r="AD130" s="76">
        <f>SUMIFS('июль 2025'!$G$2:$G$2437,'июль 2025'!$D$2:$D$2437,$B130,'июль 2025'!$J$2:$J$2437,AD$1)</f>
        <v>0</v>
      </c>
      <c r="AE130" s="76">
        <f>SUMIFS('июль 2025'!$G$2:$G$2437,'июль 2025'!$D$2:$D$2437,$B130,'июль 2025'!$J$2:$J$2437,AE$1)</f>
        <v>0</v>
      </c>
      <c r="AF130" s="76">
        <f>SUMIFS('июль 2025'!$G$2:$G$2437,'июль 2025'!$D$2:$D$2437,$B130,'июль 2025'!$J$2:$J$2437,AF$1)</f>
        <v>0</v>
      </c>
      <c r="AG130" s="76">
        <f>SUMIFS('июль 2025'!$G$2:$G$2437,'июль 2025'!$D$2:$D$2437,$B130,'июль 2025'!$J$2:$J$2437,AG$1)</f>
        <v>0</v>
      </c>
      <c r="AH130" s="76">
        <f>SUMIFS('июль 2025'!$G$2:$G$2437,'июль 2025'!$D$2:$D$2437,$B130,'июль 2025'!$J$2:$J$2437,AH$1)</f>
        <v>0</v>
      </c>
      <c r="AI130" s="20">
        <f t="shared" si="1"/>
        <v>0</v>
      </c>
    </row>
    <row r="131" spans="2:35" ht="15" customHeight="1" x14ac:dyDescent="0.25">
      <c r="B131" s="88" t="s">
        <v>866</v>
      </c>
      <c r="C131" s="86">
        <v>185</v>
      </c>
      <c r="D131" s="76">
        <f>SUMIFS('июль 2025'!$G$2:$G$2437,'июль 2025'!$D$2:$D$2437,$B131,'июль 2025'!$J$2:$J$2437,D$1)</f>
        <v>0</v>
      </c>
      <c r="E131" s="76">
        <f>SUMIFS('июль 2025'!$G$2:$G$2437,'июль 2025'!$D$2:$D$2437,$B131,'июль 2025'!$J$2:$J$2437,E$1)</f>
        <v>0</v>
      </c>
      <c r="F131" s="76">
        <f>SUMIFS('июль 2025'!$G$2:$G$2437,'июль 2025'!$D$2:$D$2437,$B131,'июль 2025'!$J$2:$J$2437,F$1)</f>
        <v>0</v>
      </c>
      <c r="G131" s="76">
        <f>SUMIFS('июль 2025'!$G$2:$G$2437,'июль 2025'!$D$2:$D$2437,$B131,'июль 2025'!$J$2:$J$2437,G$1)</f>
        <v>0</v>
      </c>
      <c r="H131" s="76">
        <f>SUMIFS('июль 2025'!$G$2:$G$2437,'июль 2025'!$D$2:$D$2437,$B131,'июль 2025'!$J$2:$J$2437,H$1)</f>
        <v>0</v>
      </c>
      <c r="I131" s="76">
        <f>SUMIFS('июль 2025'!$G$2:$G$2437,'июль 2025'!$D$2:$D$2437,$B131,'июль 2025'!$J$2:$J$2437,I$1)</f>
        <v>0</v>
      </c>
      <c r="J131" s="76">
        <f>SUMIFS('июль 2025'!$G$2:$G$2437,'июль 2025'!$D$2:$D$2437,$B131,'июль 2025'!$J$2:$J$2437,J$1)</f>
        <v>0</v>
      </c>
      <c r="K131" s="76">
        <f>SUMIFS('июль 2025'!$G$2:$G$2437,'июль 2025'!$D$2:$D$2437,$B131,'июль 2025'!$J$2:$J$2437,K$1)</f>
        <v>0</v>
      </c>
      <c r="L131" s="76">
        <f>SUMIFS('июль 2025'!$G$2:$G$2437,'июль 2025'!$D$2:$D$2437,$B131,'июль 2025'!$J$2:$J$2437,L$1)</f>
        <v>0</v>
      </c>
      <c r="M131" s="76">
        <f>SUMIFS('июль 2025'!$G$2:$G$2437,'июль 2025'!$D$2:$D$2437,$B131,'июль 2025'!$J$2:$J$2437,M$1)</f>
        <v>0</v>
      </c>
      <c r="N131" s="76">
        <f>SUMIFS('июль 2025'!$G$2:$G$2437,'июль 2025'!$D$2:$D$2437,$B131,'июль 2025'!$J$2:$J$2437,N$1)</f>
        <v>0</v>
      </c>
      <c r="O131" s="76">
        <f>SUMIFS('июль 2025'!$G$2:$G$2437,'июль 2025'!$D$2:$D$2437,$B131,'июль 2025'!$J$2:$J$2437,O$1)</f>
        <v>0</v>
      </c>
      <c r="P131" s="76">
        <f>SUMIFS('июль 2025'!$G$2:$G$2437,'июль 2025'!$D$2:$D$2437,$B131,'июль 2025'!$J$2:$J$2437,P$1)</f>
        <v>0</v>
      </c>
      <c r="Q131" s="76">
        <f>SUMIFS('июль 2025'!$G$2:$G$2437,'июль 2025'!$D$2:$D$2437,$B131,'июль 2025'!$J$2:$J$2437,Q$1)</f>
        <v>0</v>
      </c>
      <c r="R131" s="76">
        <f>SUMIFS('июль 2025'!$G$2:$G$2437,'июль 2025'!$D$2:$D$2437,$B131,'июль 2025'!$J$2:$J$2437,R$1)</f>
        <v>0</v>
      </c>
      <c r="S131" s="76">
        <f>SUMIFS('июль 2025'!$G$2:$G$2437,'июль 2025'!$D$2:$D$2437,$B131,'июль 2025'!$J$2:$J$2437,S$1)</f>
        <v>0</v>
      </c>
      <c r="T131" s="76">
        <f>SUMIFS('июль 2025'!$G$2:$G$2437,'июль 2025'!$D$2:$D$2437,$B131,'июль 2025'!$J$2:$J$2437,T$1)</f>
        <v>0</v>
      </c>
      <c r="U131" s="76">
        <f>SUMIFS('июль 2025'!$G$2:$G$2437,'июль 2025'!$D$2:$D$2437,$B131,'июль 2025'!$J$2:$J$2437,U$1)</f>
        <v>0</v>
      </c>
      <c r="V131" s="76">
        <f>SUMIFS('июль 2025'!$G$2:$G$2437,'июль 2025'!$D$2:$D$2437,$B131,'июль 2025'!$J$2:$J$2437,V$1)</f>
        <v>0</v>
      </c>
      <c r="W131" s="76">
        <f>SUMIFS('июль 2025'!$G$2:$G$2437,'июль 2025'!$D$2:$D$2437,$B131,'июль 2025'!$J$2:$J$2437,W$1)</f>
        <v>0</v>
      </c>
      <c r="X131" s="76">
        <f>SUMIFS('июль 2025'!$G$2:$G$2437,'июль 2025'!$D$2:$D$2437,$B131,'июль 2025'!$J$2:$J$2437,X$1)</f>
        <v>0</v>
      </c>
      <c r="Y131" s="76">
        <f>SUMIFS('июль 2025'!$G$2:$G$2437,'июль 2025'!$D$2:$D$2437,$B131,'июль 2025'!$J$2:$J$2437,Y$1)</f>
        <v>0</v>
      </c>
      <c r="Z131" s="76">
        <f>SUMIFS('июль 2025'!$G$2:$G$2437,'июль 2025'!$D$2:$D$2437,$B131,'июль 2025'!$J$2:$J$2437,Z$1)</f>
        <v>0</v>
      </c>
      <c r="AA131" s="76">
        <f>SUMIFS('июль 2025'!$G$2:$G$2437,'июль 2025'!$D$2:$D$2437,$B131,'июль 2025'!$J$2:$J$2437,AA$1)</f>
        <v>0</v>
      </c>
      <c r="AB131" s="76">
        <f>SUMIFS('июль 2025'!$G$2:$G$2437,'июль 2025'!$D$2:$D$2437,$B131,'июль 2025'!$J$2:$J$2437,AB$1)</f>
        <v>0</v>
      </c>
      <c r="AC131" s="76">
        <f>SUMIFS('июль 2025'!$G$2:$G$2437,'июль 2025'!$D$2:$D$2437,$B131,'июль 2025'!$J$2:$J$2437,AC$1)</f>
        <v>0</v>
      </c>
      <c r="AD131" s="76">
        <f>SUMIFS('июль 2025'!$G$2:$G$2437,'июль 2025'!$D$2:$D$2437,$B131,'июль 2025'!$J$2:$J$2437,AD$1)</f>
        <v>0</v>
      </c>
      <c r="AE131" s="76">
        <f>SUMIFS('июль 2025'!$G$2:$G$2437,'июль 2025'!$D$2:$D$2437,$B131,'июль 2025'!$J$2:$J$2437,AE$1)</f>
        <v>0</v>
      </c>
      <c r="AF131" s="76">
        <f>SUMIFS('июль 2025'!$G$2:$G$2437,'июль 2025'!$D$2:$D$2437,$B131,'июль 2025'!$J$2:$J$2437,AF$1)</f>
        <v>0</v>
      </c>
      <c r="AG131" s="76">
        <f>SUMIFS('июль 2025'!$G$2:$G$2437,'июль 2025'!$D$2:$D$2437,$B131,'июль 2025'!$J$2:$J$2437,AG$1)</f>
        <v>0</v>
      </c>
      <c r="AH131" s="76">
        <f>SUMIFS('июль 2025'!$G$2:$G$2437,'июль 2025'!$D$2:$D$2437,$B131,'июль 2025'!$J$2:$J$2437,AH$1)</f>
        <v>0</v>
      </c>
      <c r="AI131" s="20">
        <f t="shared" si="1"/>
        <v>0</v>
      </c>
    </row>
    <row r="132" spans="2:35" ht="15" customHeight="1" x14ac:dyDescent="0.25">
      <c r="B132" s="88" t="s">
        <v>266</v>
      </c>
      <c r="C132" s="86">
        <v>180</v>
      </c>
      <c r="D132" s="76">
        <f>SUMIFS('июль 2025'!$G$2:$G$2437,'июль 2025'!$D$2:$D$2437,$B132,'июль 2025'!$J$2:$J$2437,D$1)</f>
        <v>0</v>
      </c>
      <c r="E132" s="76">
        <f>SUMIFS('июль 2025'!$G$2:$G$2437,'июль 2025'!$D$2:$D$2437,$B132,'июль 2025'!$J$2:$J$2437,E$1)</f>
        <v>0</v>
      </c>
      <c r="F132" s="76">
        <f>SUMIFS('июль 2025'!$G$2:$G$2437,'июль 2025'!$D$2:$D$2437,$B132,'июль 2025'!$J$2:$J$2437,F$1)</f>
        <v>0</v>
      </c>
      <c r="G132" s="76">
        <f>SUMIFS('июль 2025'!$G$2:$G$2437,'июль 2025'!$D$2:$D$2437,$B132,'июль 2025'!$J$2:$J$2437,G$1)</f>
        <v>0</v>
      </c>
      <c r="H132" s="76">
        <f>SUMIFS('июль 2025'!$G$2:$G$2437,'июль 2025'!$D$2:$D$2437,$B132,'июль 2025'!$J$2:$J$2437,H$1)</f>
        <v>0</v>
      </c>
      <c r="I132" s="76">
        <f>SUMIFS('июль 2025'!$G$2:$G$2437,'июль 2025'!$D$2:$D$2437,$B132,'июль 2025'!$J$2:$J$2437,I$1)</f>
        <v>0</v>
      </c>
      <c r="J132" s="76">
        <f>SUMIFS('июль 2025'!$G$2:$G$2437,'июль 2025'!$D$2:$D$2437,$B132,'июль 2025'!$J$2:$J$2437,J$1)</f>
        <v>0</v>
      </c>
      <c r="K132" s="76">
        <f>SUMIFS('июль 2025'!$G$2:$G$2437,'июль 2025'!$D$2:$D$2437,$B132,'июль 2025'!$J$2:$J$2437,K$1)</f>
        <v>0</v>
      </c>
      <c r="L132" s="76">
        <f>SUMIFS('июль 2025'!$G$2:$G$2437,'июль 2025'!$D$2:$D$2437,$B132,'июль 2025'!$J$2:$J$2437,L$1)</f>
        <v>0</v>
      </c>
      <c r="M132" s="76">
        <f>SUMIFS('июль 2025'!$G$2:$G$2437,'июль 2025'!$D$2:$D$2437,$B132,'июль 2025'!$J$2:$J$2437,M$1)</f>
        <v>0</v>
      </c>
      <c r="N132" s="76">
        <f>SUMIFS('июль 2025'!$G$2:$G$2437,'июль 2025'!$D$2:$D$2437,$B132,'июль 2025'!$J$2:$J$2437,N$1)</f>
        <v>0</v>
      </c>
      <c r="O132" s="76">
        <f>SUMIFS('июль 2025'!$G$2:$G$2437,'июль 2025'!$D$2:$D$2437,$B132,'июль 2025'!$J$2:$J$2437,O$1)</f>
        <v>0</v>
      </c>
      <c r="P132" s="76">
        <f>SUMIFS('июль 2025'!$G$2:$G$2437,'июль 2025'!$D$2:$D$2437,$B132,'июль 2025'!$J$2:$J$2437,P$1)</f>
        <v>0</v>
      </c>
      <c r="Q132" s="76">
        <f>SUMIFS('июль 2025'!$G$2:$G$2437,'июль 2025'!$D$2:$D$2437,$B132,'июль 2025'!$J$2:$J$2437,Q$1)</f>
        <v>0</v>
      </c>
      <c r="R132" s="76">
        <f>SUMIFS('июль 2025'!$G$2:$G$2437,'июль 2025'!$D$2:$D$2437,$B132,'июль 2025'!$J$2:$J$2437,R$1)</f>
        <v>0</v>
      </c>
      <c r="S132" s="76">
        <f>SUMIFS('июль 2025'!$G$2:$G$2437,'июль 2025'!$D$2:$D$2437,$B132,'июль 2025'!$J$2:$J$2437,S$1)</f>
        <v>0</v>
      </c>
      <c r="T132" s="76">
        <f>SUMIFS('июль 2025'!$G$2:$G$2437,'июль 2025'!$D$2:$D$2437,$B132,'июль 2025'!$J$2:$J$2437,T$1)</f>
        <v>0</v>
      </c>
      <c r="U132" s="76">
        <f>SUMIFS('июль 2025'!$G$2:$G$2437,'июль 2025'!$D$2:$D$2437,$B132,'июль 2025'!$J$2:$J$2437,U$1)</f>
        <v>0</v>
      </c>
      <c r="V132" s="76">
        <f>SUMIFS('июль 2025'!$G$2:$G$2437,'июль 2025'!$D$2:$D$2437,$B132,'июль 2025'!$J$2:$J$2437,V$1)</f>
        <v>0</v>
      </c>
      <c r="W132" s="76">
        <f>SUMIFS('июль 2025'!$G$2:$G$2437,'июль 2025'!$D$2:$D$2437,$B132,'июль 2025'!$J$2:$J$2437,W$1)</f>
        <v>0</v>
      </c>
      <c r="X132" s="76">
        <f>SUMIFS('июль 2025'!$G$2:$G$2437,'июль 2025'!$D$2:$D$2437,$B132,'июль 2025'!$J$2:$J$2437,X$1)</f>
        <v>0</v>
      </c>
      <c r="Y132" s="76">
        <f>SUMIFS('июль 2025'!$G$2:$G$2437,'июль 2025'!$D$2:$D$2437,$B132,'июль 2025'!$J$2:$J$2437,Y$1)</f>
        <v>0</v>
      </c>
      <c r="Z132" s="76">
        <f>SUMIFS('июль 2025'!$G$2:$G$2437,'июль 2025'!$D$2:$D$2437,$B132,'июль 2025'!$J$2:$J$2437,Z$1)</f>
        <v>0</v>
      </c>
      <c r="AA132" s="76">
        <f>SUMIFS('июль 2025'!$G$2:$G$2437,'июль 2025'!$D$2:$D$2437,$B132,'июль 2025'!$J$2:$J$2437,AA$1)</f>
        <v>0</v>
      </c>
      <c r="AB132" s="76">
        <f>SUMIFS('июль 2025'!$G$2:$G$2437,'июль 2025'!$D$2:$D$2437,$B132,'июль 2025'!$J$2:$J$2437,AB$1)</f>
        <v>0</v>
      </c>
      <c r="AC132" s="76">
        <f>SUMIFS('июль 2025'!$G$2:$G$2437,'июль 2025'!$D$2:$D$2437,$B132,'июль 2025'!$J$2:$J$2437,AC$1)</f>
        <v>0</v>
      </c>
      <c r="AD132" s="76">
        <f>SUMIFS('июль 2025'!$G$2:$G$2437,'июль 2025'!$D$2:$D$2437,$B132,'июль 2025'!$J$2:$J$2437,AD$1)</f>
        <v>0</v>
      </c>
      <c r="AE132" s="76">
        <f>SUMIFS('июль 2025'!$G$2:$G$2437,'июль 2025'!$D$2:$D$2437,$B132,'июль 2025'!$J$2:$J$2437,AE$1)</f>
        <v>0</v>
      </c>
      <c r="AF132" s="76">
        <f>SUMIFS('июль 2025'!$G$2:$G$2437,'июль 2025'!$D$2:$D$2437,$B132,'июль 2025'!$J$2:$J$2437,AF$1)</f>
        <v>0</v>
      </c>
      <c r="AG132" s="76">
        <f>SUMIFS('июль 2025'!$G$2:$G$2437,'июль 2025'!$D$2:$D$2437,$B132,'июль 2025'!$J$2:$J$2437,AG$1)</f>
        <v>0</v>
      </c>
      <c r="AH132" s="76">
        <f>SUMIFS('июль 2025'!$G$2:$G$2437,'июль 2025'!$D$2:$D$2437,$B132,'июль 2025'!$J$2:$J$2437,AH$1)</f>
        <v>0</v>
      </c>
      <c r="AI132" s="20">
        <f t="shared" si="1"/>
        <v>0</v>
      </c>
    </row>
    <row r="133" spans="2:35" ht="15" customHeight="1" x14ac:dyDescent="0.25">
      <c r="B133" s="88" t="s">
        <v>267</v>
      </c>
      <c r="C133" s="86">
        <v>200</v>
      </c>
      <c r="D133" s="76">
        <f>SUMIFS('июль 2025'!$G$2:$G$2437,'июль 2025'!$D$2:$D$2437,$B133,'июль 2025'!$J$2:$J$2437,D$1)</f>
        <v>0</v>
      </c>
      <c r="E133" s="76">
        <f>SUMIFS('июль 2025'!$G$2:$G$2437,'июль 2025'!$D$2:$D$2437,$B133,'июль 2025'!$J$2:$J$2437,E$1)</f>
        <v>0</v>
      </c>
      <c r="F133" s="76">
        <f>SUMIFS('июль 2025'!$G$2:$G$2437,'июль 2025'!$D$2:$D$2437,$B133,'июль 2025'!$J$2:$J$2437,F$1)</f>
        <v>0</v>
      </c>
      <c r="G133" s="76">
        <f>SUMIFS('июль 2025'!$G$2:$G$2437,'июль 2025'!$D$2:$D$2437,$B133,'июль 2025'!$J$2:$J$2437,G$1)</f>
        <v>0</v>
      </c>
      <c r="H133" s="76">
        <f>SUMIFS('июль 2025'!$G$2:$G$2437,'июль 2025'!$D$2:$D$2437,$B133,'июль 2025'!$J$2:$J$2437,H$1)</f>
        <v>0</v>
      </c>
      <c r="I133" s="76">
        <f>SUMIFS('июль 2025'!$G$2:$G$2437,'июль 2025'!$D$2:$D$2437,$B133,'июль 2025'!$J$2:$J$2437,I$1)</f>
        <v>0</v>
      </c>
      <c r="J133" s="76">
        <f>SUMIFS('июль 2025'!$G$2:$G$2437,'июль 2025'!$D$2:$D$2437,$B133,'июль 2025'!$J$2:$J$2437,J$1)</f>
        <v>0</v>
      </c>
      <c r="K133" s="76">
        <f>SUMIFS('июль 2025'!$G$2:$G$2437,'июль 2025'!$D$2:$D$2437,$B133,'июль 2025'!$J$2:$J$2437,K$1)</f>
        <v>0</v>
      </c>
      <c r="L133" s="76">
        <f>SUMIFS('июль 2025'!$G$2:$G$2437,'июль 2025'!$D$2:$D$2437,$B133,'июль 2025'!$J$2:$J$2437,L$1)</f>
        <v>0</v>
      </c>
      <c r="M133" s="76">
        <f>SUMIFS('июль 2025'!$G$2:$G$2437,'июль 2025'!$D$2:$D$2437,$B133,'июль 2025'!$J$2:$J$2437,M$1)</f>
        <v>0</v>
      </c>
      <c r="N133" s="76">
        <f>SUMIFS('июль 2025'!$G$2:$G$2437,'июль 2025'!$D$2:$D$2437,$B133,'июль 2025'!$J$2:$J$2437,N$1)</f>
        <v>0</v>
      </c>
      <c r="O133" s="76">
        <f>SUMIFS('июль 2025'!$G$2:$G$2437,'июль 2025'!$D$2:$D$2437,$B133,'июль 2025'!$J$2:$J$2437,O$1)</f>
        <v>0</v>
      </c>
      <c r="P133" s="76">
        <f>SUMIFS('июль 2025'!$G$2:$G$2437,'июль 2025'!$D$2:$D$2437,$B133,'июль 2025'!$J$2:$J$2437,P$1)</f>
        <v>0</v>
      </c>
      <c r="Q133" s="76">
        <f>SUMIFS('июль 2025'!$G$2:$G$2437,'июль 2025'!$D$2:$D$2437,$B133,'июль 2025'!$J$2:$J$2437,Q$1)</f>
        <v>0</v>
      </c>
      <c r="R133" s="76">
        <f>SUMIFS('июль 2025'!$G$2:$G$2437,'июль 2025'!$D$2:$D$2437,$B133,'июль 2025'!$J$2:$J$2437,R$1)</f>
        <v>0</v>
      </c>
      <c r="S133" s="76">
        <f>SUMIFS('июль 2025'!$G$2:$G$2437,'июль 2025'!$D$2:$D$2437,$B133,'июль 2025'!$J$2:$J$2437,S$1)</f>
        <v>0</v>
      </c>
      <c r="T133" s="76">
        <f>SUMIFS('июль 2025'!$G$2:$G$2437,'июль 2025'!$D$2:$D$2437,$B133,'июль 2025'!$J$2:$J$2437,T$1)</f>
        <v>0</v>
      </c>
      <c r="U133" s="76">
        <f>SUMIFS('июль 2025'!$G$2:$G$2437,'июль 2025'!$D$2:$D$2437,$B133,'июль 2025'!$J$2:$J$2437,U$1)</f>
        <v>0</v>
      </c>
      <c r="V133" s="76">
        <f>SUMIFS('июль 2025'!$G$2:$G$2437,'июль 2025'!$D$2:$D$2437,$B133,'июль 2025'!$J$2:$J$2437,V$1)</f>
        <v>0</v>
      </c>
      <c r="W133" s="76">
        <f>SUMIFS('июль 2025'!$G$2:$G$2437,'июль 2025'!$D$2:$D$2437,$B133,'июль 2025'!$J$2:$J$2437,W$1)</f>
        <v>0</v>
      </c>
      <c r="X133" s="76">
        <f>SUMIFS('июль 2025'!$G$2:$G$2437,'июль 2025'!$D$2:$D$2437,$B133,'июль 2025'!$J$2:$J$2437,X$1)</f>
        <v>0</v>
      </c>
      <c r="Y133" s="76">
        <f>SUMIFS('июль 2025'!$G$2:$G$2437,'июль 2025'!$D$2:$D$2437,$B133,'июль 2025'!$J$2:$J$2437,Y$1)</f>
        <v>0</v>
      </c>
      <c r="Z133" s="76">
        <f>SUMIFS('июль 2025'!$G$2:$G$2437,'июль 2025'!$D$2:$D$2437,$B133,'июль 2025'!$J$2:$J$2437,Z$1)</f>
        <v>0</v>
      </c>
      <c r="AA133" s="76">
        <f>SUMIFS('июль 2025'!$G$2:$G$2437,'июль 2025'!$D$2:$D$2437,$B133,'июль 2025'!$J$2:$J$2437,AA$1)</f>
        <v>0</v>
      </c>
      <c r="AB133" s="76">
        <f>SUMIFS('июль 2025'!$G$2:$G$2437,'июль 2025'!$D$2:$D$2437,$B133,'июль 2025'!$J$2:$J$2437,AB$1)</f>
        <v>0</v>
      </c>
      <c r="AC133" s="76">
        <f>SUMIFS('июль 2025'!$G$2:$G$2437,'июль 2025'!$D$2:$D$2437,$B133,'июль 2025'!$J$2:$J$2437,AC$1)</f>
        <v>0</v>
      </c>
      <c r="AD133" s="76">
        <f>SUMIFS('июль 2025'!$G$2:$G$2437,'июль 2025'!$D$2:$D$2437,$B133,'июль 2025'!$J$2:$J$2437,AD$1)</f>
        <v>0</v>
      </c>
      <c r="AE133" s="76">
        <f>SUMIFS('июль 2025'!$G$2:$G$2437,'июль 2025'!$D$2:$D$2437,$B133,'июль 2025'!$J$2:$J$2437,AE$1)</f>
        <v>0</v>
      </c>
      <c r="AF133" s="76">
        <f>SUMIFS('июль 2025'!$G$2:$G$2437,'июль 2025'!$D$2:$D$2437,$B133,'июль 2025'!$J$2:$J$2437,AF$1)</f>
        <v>0</v>
      </c>
      <c r="AG133" s="76">
        <f>SUMIFS('июль 2025'!$G$2:$G$2437,'июль 2025'!$D$2:$D$2437,$B133,'июль 2025'!$J$2:$J$2437,AG$1)</f>
        <v>0</v>
      </c>
      <c r="AH133" s="76">
        <f>SUMIFS('июль 2025'!$G$2:$G$2437,'июль 2025'!$D$2:$D$2437,$B133,'июль 2025'!$J$2:$J$2437,AH$1)</f>
        <v>0</v>
      </c>
      <c r="AI133" s="20">
        <f t="shared" si="1"/>
        <v>0</v>
      </c>
    </row>
    <row r="134" spans="2:35" ht="15" customHeight="1" x14ac:dyDescent="0.25">
      <c r="B134" s="84" t="s">
        <v>163</v>
      </c>
      <c r="C134" s="83">
        <v>950</v>
      </c>
      <c r="D134" s="76">
        <f>SUMIFS('июль 2025'!$G$2:$G$2437,'июль 2025'!$D$2:$D$2437,$B134,'июль 2025'!$J$2:$J$2437,D$1)</f>
        <v>0</v>
      </c>
      <c r="E134" s="76">
        <f>SUMIFS('июль 2025'!$G$2:$G$2437,'июль 2025'!$D$2:$D$2437,$B134,'июль 2025'!$J$2:$J$2437,E$1)</f>
        <v>0</v>
      </c>
      <c r="F134" s="76">
        <f>SUMIFS('июль 2025'!$G$2:$G$2437,'июль 2025'!$D$2:$D$2437,$B134,'июль 2025'!$J$2:$J$2437,F$1)</f>
        <v>0</v>
      </c>
      <c r="G134" s="76">
        <f>SUMIFS('июль 2025'!$G$2:$G$2437,'июль 2025'!$D$2:$D$2437,$B134,'июль 2025'!$J$2:$J$2437,G$1)</f>
        <v>0</v>
      </c>
      <c r="H134" s="76">
        <f>SUMIFS('июль 2025'!$G$2:$G$2437,'июль 2025'!$D$2:$D$2437,$B134,'июль 2025'!$J$2:$J$2437,H$1)</f>
        <v>0</v>
      </c>
      <c r="I134" s="76">
        <f>SUMIFS('июль 2025'!$G$2:$G$2437,'июль 2025'!$D$2:$D$2437,$B134,'июль 2025'!$J$2:$J$2437,I$1)</f>
        <v>0</v>
      </c>
      <c r="J134" s="76">
        <f>SUMIFS('июль 2025'!$G$2:$G$2437,'июль 2025'!$D$2:$D$2437,$B134,'июль 2025'!$J$2:$J$2437,J$1)</f>
        <v>0</v>
      </c>
      <c r="K134" s="76">
        <f>SUMIFS('июль 2025'!$G$2:$G$2437,'июль 2025'!$D$2:$D$2437,$B134,'июль 2025'!$J$2:$J$2437,K$1)</f>
        <v>0</v>
      </c>
      <c r="L134" s="76">
        <f>SUMIFS('июль 2025'!$G$2:$G$2437,'июль 2025'!$D$2:$D$2437,$B134,'июль 2025'!$J$2:$J$2437,L$1)</f>
        <v>0</v>
      </c>
      <c r="M134" s="76">
        <f>SUMIFS('июль 2025'!$G$2:$G$2437,'июль 2025'!$D$2:$D$2437,$B134,'июль 2025'!$J$2:$J$2437,M$1)</f>
        <v>0</v>
      </c>
      <c r="N134" s="76">
        <f>SUMIFS('июль 2025'!$G$2:$G$2437,'июль 2025'!$D$2:$D$2437,$B134,'июль 2025'!$J$2:$J$2437,N$1)</f>
        <v>0</v>
      </c>
      <c r="O134" s="76">
        <f>SUMIFS('июль 2025'!$G$2:$G$2437,'июль 2025'!$D$2:$D$2437,$B134,'июль 2025'!$J$2:$J$2437,O$1)</f>
        <v>0</v>
      </c>
      <c r="P134" s="76">
        <f>SUMIFS('июль 2025'!$G$2:$G$2437,'июль 2025'!$D$2:$D$2437,$B134,'июль 2025'!$J$2:$J$2437,P$1)</f>
        <v>0</v>
      </c>
      <c r="Q134" s="76">
        <f>SUMIFS('июль 2025'!$G$2:$G$2437,'июль 2025'!$D$2:$D$2437,$B134,'июль 2025'!$J$2:$J$2437,Q$1)</f>
        <v>0</v>
      </c>
      <c r="R134" s="76">
        <f>SUMIFS('июль 2025'!$G$2:$G$2437,'июль 2025'!$D$2:$D$2437,$B134,'июль 2025'!$J$2:$J$2437,R$1)</f>
        <v>0</v>
      </c>
      <c r="S134" s="76">
        <f>SUMIFS('июль 2025'!$G$2:$G$2437,'июль 2025'!$D$2:$D$2437,$B134,'июль 2025'!$J$2:$J$2437,S$1)</f>
        <v>0</v>
      </c>
      <c r="T134" s="76">
        <f>SUMIFS('июль 2025'!$G$2:$G$2437,'июль 2025'!$D$2:$D$2437,$B134,'июль 2025'!$J$2:$J$2437,T$1)</f>
        <v>0</v>
      </c>
      <c r="U134" s="76">
        <f>SUMIFS('июль 2025'!$G$2:$G$2437,'июль 2025'!$D$2:$D$2437,$B134,'июль 2025'!$J$2:$J$2437,U$1)</f>
        <v>0</v>
      </c>
      <c r="V134" s="76">
        <f>SUMIFS('июль 2025'!$G$2:$G$2437,'июль 2025'!$D$2:$D$2437,$B134,'июль 2025'!$J$2:$J$2437,V$1)</f>
        <v>0</v>
      </c>
      <c r="W134" s="76">
        <f>SUMIFS('июль 2025'!$G$2:$G$2437,'июль 2025'!$D$2:$D$2437,$B134,'июль 2025'!$J$2:$J$2437,W$1)</f>
        <v>0</v>
      </c>
      <c r="X134" s="76">
        <f>SUMIFS('июль 2025'!$G$2:$G$2437,'июль 2025'!$D$2:$D$2437,$B134,'июль 2025'!$J$2:$J$2437,X$1)</f>
        <v>0</v>
      </c>
      <c r="Y134" s="76">
        <f>SUMIFS('июль 2025'!$G$2:$G$2437,'июль 2025'!$D$2:$D$2437,$B134,'июль 2025'!$J$2:$J$2437,Y$1)</f>
        <v>0</v>
      </c>
      <c r="Z134" s="76">
        <f>SUMIFS('июль 2025'!$G$2:$G$2437,'июль 2025'!$D$2:$D$2437,$B134,'июль 2025'!$J$2:$J$2437,Z$1)</f>
        <v>0</v>
      </c>
      <c r="AA134" s="76">
        <f>SUMIFS('июль 2025'!$G$2:$G$2437,'июль 2025'!$D$2:$D$2437,$B134,'июль 2025'!$J$2:$J$2437,AA$1)</f>
        <v>0</v>
      </c>
      <c r="AB134" s="76">
        <f>SUMIFS('июль 2025'!$G$2:$G$2437,'июль 2025'!$D$2:$D$2437,$B134,'июль 2025'!$J$2:$J$2437,AB$1)</f>
        <v>0</v>
      </c>
      <c r="AC134" s="76">
        <f>SUMIFS('июль 2025'!$G$2:$G$2437,'июль 2025'!$D$2:$D$2437,$B134,'июль 2025'!$J$2:$J$2437,AC$1)</f>
        <v>0</v>
      </c>
      <c r="AD134" s="76">
        <f>SUMIFS('июль 2025'!$G$2:$G$2437,'июль 2025'!$D$2:$D$2437,$B134,'июль 2025'!$J$2:$J$2437,AD$1)</f>
        <v>0</v>
      </c>
      <c r="AE134" s="76">
        <f>SUMIFS('июль 2025'!$G$2:$G$2437,'июль 2025'!$D$2:$D$2437,$B134,'июль 2025'!$J$2:$J$2437,AE$1)</f>
        <v>0</v>
      </c>
      <c r="AF134" s="76">
        <f>SUMIFS('июль 2025'!$G$2:$G$2437,'июль 2025'!$D$2:$D$2437,$B134,'июль 2025'!$J$2:$J$2437,AF$1)</f>
        <v>0</v>
      </c>
      <c r="AG134" s="76">
        <f>SUMIFS('июль 2025'!$G$2:$G$2437,'июль 2025'!$D$2:$D$2437,$B134,'июль 2025'!$J$2:$J$2437,AG$1)</f>
        <v>0</v>
      </c>
      <c r="AH134" s="76">
        <f>SUMIFS('июль 2025'!$G$2:$G$2437,'июль 2025'!$D$2:$D$2437,$B134,'июль 2025'!$J$2:$J$2437,AH$1)</f>
        <v>0</v>
      </c>
      <c r="AI134" s="20">
        <f t="shared" si="1"/>
        <v>0</v>
      </c>
    </row>
    <row r="135" spans="2:35" ht="15" customHeight="1" x14ac:dyDescent="0.25">
      <c r="B135" s="84" t="s">
        <v>183</v>
      </c>
      <c r="C135" s="83">
        <v>180</v>
      </c>
      <c r="D135" s="76">
        <f>SUMIFS('июль 2025'!$G$2:$G$2437,'июль 2025'!$D$2:$D$2437,$B135,'июль 2025'!$J$2:$J$2437,D$1)</f>
        <v>0</v>
      </c>
      <c r="E135" s="76">
        <f>SUMIFS('июль 2025'!$G$2:$G$2437,'июль 2025'!$D$2:$D$2437,$B135,'июль 2025'!$J$2:$J$2437,E$1)</f>
        <v>0</v>
      </c>
      <c r="F135" s="76">
        <f>SUMIFS('июль 2025'!$G$2:$G$2437,'июль 2025'!$D$2:$D$2437,$B135,'июль 2025'!$J$2:$J$2437,F$1)</f>
        <v>0</v>
      </c>
      <c r="G135" s="76">
        <f>SUMIFS('июль 2025'!$G$2:$G$2437,'июль 2025'!$D$2:$D$2437,$B135,'июль 2025'!$J$2:$J$2437,G$1)</f>
        <v>0</v>
      </c>
      <c r="H135" s="76">
        <f>SUMIFS('июль 2025'!$G$2:$G$2437,'июль 2025'!$D$2:$D$2437,$B135,'июль 2025'!$J$2:$J$2437,H$1)</f>
        <v>0</v>
      </c>
      <c r="I135" s="76">
        <f>SUMIFS('июль 2025'!$G$2:$G$2437,'июль 2025'!$D$2:$D$2437,$B135,'июль 2025'!$J$2:$J$2437,I$1)</f>
        <v>0</v>
      </c>
      <c r="J135" s="76">
        <f>SUMIFS('июль 2025'!$G$2:$G$2437,'июль 2025'!$D$2:$D$2437,$B135,'июль 2025'!$J$2:$J$2437,J$1)</f>
        <v>0</v>
      </c>
      <c r="K135" s="76">
        <f>SUMIFS('июль 2025'!$G$2:$G$2437,'июль 2025'!$D$2:$D$2437,$B135,'июль 2025'!$J$2:$J$2437,K$1)</f>
        <v>0</v>
      </c>
      <c r="L135" s="76">
        <f>SUMIFS('июль 2025'!$G$2:$G$2437,'июль 2025'!$D$2:$D$2437,$B135,'июль 2025'!$J$2:$J$2437,L$1)</f>
        <v>0</v>
      </c>
      <c r="M135" s="76">
        <f>SUMIFS('июль 2025'!$G$2:$G$2437,'июль 2025'!$D$2:$D$2437,$B135,'июль 2025'!$J$2:$J$2437,M$1)</f>
        <v>0</v>
      </c>
      <c r="N135" s="76">
        <f>SUMIFS('июль 2025'!$G$2:$G$2437,'июль 2025'!$D$2:$D$2437,$B135,'июль 2025'!$J$2:$J$2437,N$1)</f>
        <v>0</v>
      </c>
      <c r="O135" s="76">
        <f>SUMIFS('июль 2025'!$G$2:$G$2437,'июль 2025'!$D$2:$D$2437,$B135,'июль 2025'!$J$2:$J$2437,O$1)</f>
        <v>0</v>
      </c>
      <c r="P135" s="76">
        <f>SUMIFS('июль 2025'!$G$2:$G$2437,'июль 2025'!$D$2:$D$2437,$B135,'июль 2025'!$J$2:$J$2437,P$1)</f>
        <v>0</v>
      </c>
      <c r="Q135" s="76">
        <f>SUMIFS('июль 2025'!$G$2:$G$2437,'июль 2025'!$D$2:$D$2437,$B135,'июль 2025'!$J$2:$J$2437,Q$1)</f>
        <v>0</v>
      </c>
      <c r="R135" s="76">
        <f>SUMIFS('июль 2025'!$G$2:$G$2437,'июль 2025'!$D$2:$D$2437,$B135,'июль 2025'!$J$2:$J$2437,R$1)</f>
        <v>0</v>
      </c>
      <c r="S135" s="76">
        <f>SUMIFS('июль 2025'!$G$2:$G$2437,'июль 2025'!$D$2:$D$2437,$B135,'июль 2025'!$J$2:$J$2437,S$1)</f>
        <v>0</v>
      </c>
      <c r="T135" s="76">
        <f>SUMIFS('июль 2025'!$G$2:$G$2437,'июль 2025'!$D$2:$D$2437,$B135,'июль 2025'!$J$2:$J$2437,T$1)</f>
        <v>0</v>
      </c>
      <c r="U135" s="76">
        <f>SUMIFS('июль 2025'!$G$2:$G$2437,'июль 2025'!$D$2:$D$2437,$B135,'июль 2025'!$J$2:$J$2437,U$1)</f>
        <v>0</v>
      </c>
      <c r="V135" s="76">
        <f>SUMIFS('июль 2025'!$G$2:$G$2437,'июль 2025'!$D$2:$D$2437,$B135,'июль 2025'!$J$2:$J$2437,V$1)</f>
        <v>0</v>
      </c>
      <c r="W135" s="76">
        <f>SUMIFS('июль 2025'!$G$2:$G$2437,'июль 2025'!$D$2:$D$2437,$B135,'июль 2025'!$J$2:$J$2437,W$1)</f>
        <v>0</v>
      </c>
      <c r="X135" s="76">
        <f>SUMIFS('июль 2025'!$G$2:$G$2437,'июль 2025'!$D$2:$D$2437,$B135,'июль 2025'!$J$2:$J$2437,X$1)</f>
        <v>0</v>
      </c>
      <c r="Y135" s="76">
        <f>SUMIFS('июль 2025'!$G$2:$G$2437,'июль 2025'!$D$2:$D$2437,$B135,'июль 2025'!$J$2:$J$2437,Y$1)</f>
        <v>0</v>
      </c>
      <c r="Z135" s="76">
        <f>SUMIFS('июль 2025'!$G$2:$G$2437,'июль 2025'!$D$2:$D$2437,$B135,'июль 2025'!$J$2:$J$2437,Z$1)</f>
        <v>0</v>
      </c>
      <c r="AA135" s="76">
        <f>SUMIFS('июль 2025'!$G$2:$G$2437,'июль 2025'!$D$2:$D$2437,$B135,'июль 2025'!$J$2:$J$2437,AA$1)</f>
        <v>0</v>
      </c>
      <c r="AB135" s="76">
        <f>SUMIFS('июль 2025'!$G$2:$G$2437,'июль 2025'!$D$2:$D$2437,$B135,'июль 2025'!$J$2:$J$2437,AB$1)</f>
        <v>0</v>
      </c>
      <c r="AC135" s="76">
        <f>SUMIFS('июль 2025'!$G$2:$G$2437,'июль 2025'!$D$2:$D$2437,$B135,'июль 2025'!$J$2:$J$2437,AC$1)</f>
        <v>0</v>
      </c>
      <c r="AD135" s="76">
        <f>SUMIFS('июль 2025'!$G$2:$G$2437,'июль 2025'!$D$2:$D$2437,$B135,'июль 2025'!$J$2:$J$2437,AD$1)</f>
        <v>0</v>
      </c>
      <c r="AE135" s="76">
        <f>SUMIFS('июль 2025'!$G$2:$G$2437,'июль 2025'!$D$2:$D$2437,$B135,'июль 2025'!$J$2:$J$2437,AE$1)</f>
        <v>0</v>
      </c>
      <c r="AF135" s="76">
        <f>SUMIFS('июль 2025'!$G$2:$G$2437,'июль 2025'!$D$2:$D$2437,$B135,'июль 2025'!$J$2:$J$2437,AF$1)</f>
        <v>0</v>
      </c>
      <c r="AG135" s="76">
        <f>SUMIFS('июль 2025'!$G$2:$G$2437,'июль 2025'!$D$2:$D$2437,$B135,'июль 2025'!$J$2:$J$2437,AG$1)</f>
        <v>0</v>
      </c>
      <c r="AH135" s="76">
        <f>SUMIFS('июль 2025'!$G$2:$G$2437,'июль 2025'!$D$2:$D$2437,$B135,'июль 2025'!$J$2:$J$2437,AH$1)</f>
        <v>0</v>
      </c>
      <c r="AI135" s="20">
        <f t="shared" si="1"/>
        <v>0</v>
      </c>
    </row>
    <row r="136" spans="2:35" ht="15" customHeight="1" x14ac:dyDescent="0.25">
      <c r="B136" s="84" t="s">
        <v>305</v>
      </c>
      <c r="C136" s="83">
        <v>180</v>
      </c>
      <c r="D136" s="76">
        <f>SUMIFS('июль 2025'!$G$2:$G$2437,'июль 2025'!$D$2:$D$2437,$B136,'июль 2025'!$J$2:$J$2437,D$1)</f>
        <v>0</v>
      </c>
      <c r="E136" s="76">
        <f>SUMIFS('июль 2025'!$G$2:$G$2437,'июль 2025'!$D$2:$D$2437,$B136,'июль 2025'!$J$2:$J$2437,E$1)</f>
        <v>0</v>
      </c>
      <c r="F136" s="76">
        <f>SUMIFS('июль 2025'!$G$2:$G$2437,'июль 2025'!$D$2:$D$2437,$B136,'июль 2025'!$J$2:$J$2437,F$1)</f>
        <v>0</v>
      </c>
      <c r="G136" s="76">
        <f>SUMIFS('июль 2025'!$G$2:$G$2437,'июль 2025'!$D$2:$D$2437,$B136,'июль 2025'!$J$2:$J$2437,G$1)</f>
        <v>0</v>
      </c>
      <c r="H136" s="76">
        <f>SUMIFS('июль 2025'!$G$2:$G$2437,'июль 2025'!$D$2:$D$2437,$B136,'июль 2025'!$J$2:$J$2437,H$1)</f>
        <v>0</v>
      </c>
      <c r="I136" s="76">
        <f>SUMIFS('июль 2025'!$G$2:$G$2437,'июль 2025'!$D$2:$D$2437,$B136,'июль 2025'!$J$2:$J$2437,I$1)</f>
        <v>0</v>
      </c>
      <c r="J136" s="76">
        <f>SUMIFS('июль 2025'!$G$2:$G$2437,'июль 2025'!$D$2:$D$2437,$B136,'июль 2025'!$J$2:$J$2437,J$1)</f>
        <v>0</v>
      </c>
      <c r="K136" s="76">
        <f>SUMIFS('июль 2025'!$G$2:$G$2437,'июль 2025'!$D$2:$D$2437,$B136,'июль 2025'!$J$2:$J$2437,K$1)</f>
        <v>0</v>
      </c>
      <c r="L136" s="76">
        <f>SUMIFS('июль 2025'!$G$2:$G$2437,'июль 2025'!$D$2:$D$2437,$B136,'июль 2025'!$J$2:$J$2437,L$1)</f>
        <v>0</v>
      </c>
      <c r="M136" s="76">
        <f>SUMIFS('июль 2025'!$G$2:$G$2437,'июль 2025'!$D$2:$D$2437,$B136,'июль 2025'!$J$2:$J$2437,M$1)</f>
        <v>0</v>
      </c>
      <c r="N136" s="76">
        <f>SUMIFS('июль 2025'!$G$2:$G$2437,'июль 2025'!$D$2:$D$2437,$B136,'июль 2025'!$J$2:$J$2437,N$1)</f>
        <v>0</v>
      </c>
      <c r="O136" s="76">
        <f>SUMIFS('июль 2025'!$G$2:$G$2437,'июль 2025'!$D$2:$D$2437,$B136,'июль 2025'!$J$2:$J$2437,O$1)</f>
        <v>0</v>
      </c>
      <c r="P136" s="76">
        <f>SUMIFS('июль 2025'!$G$2:$G$2437,'июль 2025'!$D$2:$D$2437,$B136,'июль 2025'!$J$2:$J$2437,P$1)</f>
        <v>0</v>
      </c>
      <c r="Q136" s="76">
        <f>SUMIFS('июль 2025'!$G$2:$G$2437,'июль 2025'!$D$2:$D$2437,$B136,'июль 2025'!$J$2:$J$2437,Q$1)</f>
        <v>0</v>
      </c>
      <c r="R136" s="76">
        <f>SUMIFS('июль 2025'!$G$2:$G$2437,'июль 2025'!$D$2:$D$2437,$B136,'июль 2025'!$J$2:$J$2437,R$1)</f>
        <v>0</v>
      </c>
      <c r="S136" s="76">
        <f>SUMIFS('июль 2025'!$G$2:$G$2437,'июль 2025'!$D$2:$D$2437,$B136,'июль 2025'!$J$2:$J$2437,S$1)</f>
        <v>0</v>
      </c>
      <c r="T136" s="76">
        <f>SUMIFS('июль 2025'!$G$2:$G$2437,'июль 2025'!$D$2:$D$2437,$B136,'июль 2025'!$J$2:$J$2437,T$1)</f>
        <v>0</v>
      </c>
      <c r="U136" s="76">
        <f>SUMIFS('июль 2025'!$G$2:$G$2437,'июль 2025'!$D$2:$D$2437,$B136,'июль 2025'!$J$2:$J$2437,U$1)</f>
        <v>0</v>
      </c>
      <c r="V136" s="76">
        <f>SUMIFS('июль 2025'!$G$2:$G$2437,'июль 2025'!$D$2:$D$2437,$B136,'июль 2025'!$J$2:$J$2437,V$1)</f>
        <v>0</v>
      </c>
      <c r="W136" s="76">
        <f>SUMIFS('июль 2025'!$G$2:$G$2437,'июль 2025'!$D$2:$D$2437,$B136,'июль 2025'!$J$2:$J$2437,W$1)</f>
        <v>0</v>
      </c>
      <c r="X136" s="76">
        <f>SUMIFS('июль 2025'!$G$2:$G$2437,'июль 2025'!$D$2:$D$2437,$B136,'июль 2025'!$J$2:$J$2437,X$1)</f>
        <v>0</v>
      </c>
      <c r="Y136" s="76">
        <f>SUMIFS('июль 2025'!$G$2:$G$2437,'июль 2025'!$D$2:$D$2437,$B136,'июль 2025'!$J$2:$J$2437,Y$1)</f>
        <v>0</v>
      </c>
      <c r="Z136" s="76">
        <f>SUMIFS('июль 2025'!$G$2:$G$2437,'июль 2025'!$D$2:$D$2437,$B136,'июль 2025'!$J$2:$J$2437,Z$1)</f>
        <v>0</v>
      </c>
      <c r="AA136" s="76">
        <f>SUMIFS('июль 2025'!$G$2:$G$2437,'июль 2025'!$D$2:$D$2437,$B136,'июль 2025'!$J$2:$J$2437,AA$1)</f>
        <v>0</v>
      </c>
      <c r="AB136" s="76">
        <f>SUMIFS('июль 2025'!$G$2:$G$2437,'июль 2025'!$D$2:$D$2437,$B136,'июль 2025'!$J$2:$J$2437,AB$1)</f>
        <v>0</v>
      </c>
      <c r="AC136" s="76">
        <f>SUMIFS('июль 2025'!$G$2:$G$2437,'июль 2025'!$D$2:$D$2437,$B136,'июль 2025'!$J$2:$J$2437,AC$1)</f>
        <v>0</v>
      </c>
      <c r="AD136" s="76">
        <f>SUMIFS('июль 2025'!$G$2:$G$2437,'июль 2025'!$D$2:$D$2437,$B136,'июль 2025'!$J$2:$J$2437,AD$1)</f>
        <v>0</v>
      </c>
      <c r="AE136" s="76">
        <f>SUMIFS('июль 2025'!$G$2:$G$2437,'июль 2025'!$D$2:$D$2437,$B136,'июль 2025'!$J$2:$J$2437,AE$1)</f>
        <v>0</v>
      </c>
      <c r="AF136" s="76">
        <f>SUMIFS('июль 2025'!$G$2:$G$2437,'июль 2025'!$D$2:$D$2437,$B136,'июль 2025'!$J$2:$J$2437,AF$1)</f>
        <v>0</v>
      </c>
      <c r="AG136" s="76">
        <f>SUMIFS('июль 2025'!$G$2:$G$2437,'июль 2025'!$D$2:$D$2437,$B136,'июль 2025'!$J$2:$J$2437,AG$1)</f>
        <v>0</v>
      </c>
      <c r="AH136" s="76">
        <f>SUMIFS('июль 2025'!$G$2:$G$2437,'июль 2025'!$D$2:$D$2437,$B136,'июль 2025'!$J$2:$J$2437,AH$1)</f>
        <v>0</v>
      </c>
      <c r="AI136" s="20"/>
    </row>
    <row r="137" spans="2:35" ht="15" customHeight="1" x14ac:dyDescent="0.25">
      <c r="B137" s="84" t="s">
        <v>171</v>
      </c>
      <c r="C137" s="83">
        <v>200</v>
      </c>
      <c r="D137" s="76">
        <f>SUMIFS('июль 2025'!$G$2:$G$2437,'июль 2025'!$D$2:$D$2437,$B137,'июль 2025'!$J$2:$J$2437,D$1)</f>
        <v>0</v>
      </c>
      <c r="E137" s="76">
        <f>SUMIFS('июль 2025'!$G$2:$G$2437,'июль 2025'!$D$2:$D$2437,$B137,'июль 2025'!$J$2:$J$2437,E$1)</f>
        <v>0</v>
      </c>
      <c r="F137" s="76">
        <f>SUMIFS('июль 2025'!$G$2:$G$2437,'июль 2025'!$D$2:$D$2437,$B137,'июль 2025'!$J$2:$J$2437,F$1)</f>
        <v>0</v>
      </c>
      <c r="G137" s="76">
        <f>SUMIFS('июль 2025'!$G$2:$G$2437,'июль 2025'!$D$2:$D$2437,$B137,'июль 2025'!$J$2:$J$2437,G$1)</f>
        <v>0</v>
      </c>
      <c r="H137" s="76">
        <f>SUMIFS('июль 2025'!$G$2:$G$2437,'июль 2025'!$D$2:$D$2437,$B137,'июль 2025'!$J$2:$J$2437,H$1)</f>
        <v>0</v>
      </c>
      <c r="I137" s="76">
        <f>SUMIFS('июль 2025'!$G$2:$G$2437,'июль 2025'!$D$2:$D$2437,$B137,'июль 2025'!$J$2:$J$2437,I$1)</f>
        <v>0</v>
      </c>
      <c r="J137" s="76">
        <f>SUMIFS('июль 2025'!$G$2:$G$2437,'июль 2025'!$D$2:$D$2437,$B137,'июль 2025'!$J$2:$J$2437,J$1)</f>
        <v>0</v>
      </c>
      <c r="K137" s="76">
        <f>SUMIFS('июль 2025'!$G$2:$G$2437,'июль 2025'!$D$2:$D$2437,$B137,'июль 2025'!$J$2:$J$2437,K$1)</f>
        <v>0</v>
      </c>
      <c r="L137" s="76">
        <f>SUMIFS('июль 2025'!$G$2:$G$2437,'июль 2025'!$D$2:$D$2437,$B137,'июль 2025'!$J$2:$J$2437,L$1)</f>
        <v>0</v>
      </c>
      <c r="M137" s="76">
        <f>SUMIFS('июль 2025'!$G$2:$G$2437,'июль 2025'!$D$2:$D$2437,$B137,'июль 2025'!$J$2:$J$2437,M$1)</f>
        <v>0</v>
      </c>
      <c r="N137" s="76">
        <f>SUMIFS('июль 2025'!$G$2:$G$2437,'июль 2025'!$D$2:$D$2437,$B137,'июль 2025'!$J$2:$J$2437,N$1)</f>
        <v>0</v>
      </c>
      <c r="O137" s="76">
        <f>SUMIFS('июль 2025'!$G$2:$G$2437,'июль 2025'!$D$2:$D$2437,$B137,'июль 2025'!$J$2:$J$2437,O$1)</f>
        <v>0</v>
      </c>
      <c r="P137" s="76">
        <f>SUMIFS('июль 2025'!$G$2:$G$2437,'июль 2025'!$D$2:$D$2437,$B137,'июль 2025'!$J$2:$J$2437,P$1)</f>
        <v>0</v>
      </c>
      <c r="Q137" s="76">
        <f>SUMIFS('июль 2025'!$G$2:$G$2437,'июль 2025'!$D$2:$D$2437,$B137,'июль 2025'!$J$2:$J$2437,Q$1)</f>
        <v>0</v>
      </c>
      <c r="R137" s="76">
        <f>SUMIFS('июль 2025'!$G$2:$G$2437,'июль 2025'!$D$2:$D$2437,$B137,'июль 2025'!$J$2:$J$2437,R$1)</f>
        <v>0</v>
      </c>
      <c r="S137" s="76">
        <f>SUMIFS('июль 2025'!$G$2:$G$2437,'июль 2025'!$D$2:$D$2437,$B137,'июль 2025'!$J$2:$J$2437,S$1)</f>
        <v>0</v>
      </c>
      <c r="T137" s="76">
        <f>SUMIFS('июль 2025'!$G$2:$G$2437,'июль 2025'!$D$2:$D$2437,$B137,'июль 2025'!$J$2:$J$2437,T$1)</f>
        <v>0</v>
      </c>
      <c r="U137" s="76">
        <f>SUMIFS('июль 2025'!$G$2:$G$2437,'июль 2025'!$D$2:$D$2437,$B137,'июль 2025'!$J$2:$J$2437,U$1)</f>
        <v>0</v>
      </c>
      <c r="V137" s="76">
        <f>SUMIFS('июль 2025'!$G$2:$G$2437,'июль 2025'!$D$2:$D$2437,$B137,'июль 2025'!$J$2:$J$2437,V$1)</f>
        <v>0</v>
      </c>
      <c r="W137" s="76">
        <f>SUMIFS('июль 2025'!$G$2:$G$2437,'июль 2025'!$D$2:$D$2437,$B137,'июль 2025'!$J$2:$J$2437,W$1)</f>
        <v>0</v>
      </c>
      <c r="X137" s="76">
        <f>SUMIFS('июль 2025'!$G$2:$G$2437,'июль 2025'!$D$2:$D$2437,$B137,'июль 2025'!$J$2:$J$2437,X$1)</f>
        <v>0</v>
      </c>
      <c r="Y137" s="76">
        <f>SUMIFS('июль 2025'!$G$2:$G$2437,'июль 2025'!$D$2:$D$2437,$B137,'июль 2025'!$J$2:$J$2437,Y$1)</f>
        <v>0</v>
      </c>
      <c r="Z137" s="76">
        <f>SUMIFS('июль 2025'!$G$2:$G$2437,'июль 2025'!$D$2:$D$2437,$B137,'июль 2025'!$J$2:$J$2437,Z$1)</f>
        <v>0</v>
      </c>
      <c r="AA137" s="76">
        <f>SUMIFS('июль 2025'!$G$2:$G$2437,'июль 2025'!$D$2:$D$2437,$B137,'июль 2025'!$J$2:$J$2437,AA$1)</f>
        <v>0</v>
      </c>
      <c r="AB137" s="76">
        <f>SUMIFS('июль 2025'!$G$2:$G$2437,'июль 2025'!$D$2:$D$2437,$B137,'июль 2025'!$J$2:$J$2437,AB$1)</f>
        <v>0</v>
      </c>
      <c r="AC137" s="76">
        <f>SUMIFS('июль 2025'!$G$2:$G$2437,'июль 2025'!$D$2:$D$2437,$B137,'июль 2025'!$J$2:$J$2437,AC$1)</f>
        <v>0</v>
      </c>
      <c r="AD137" s="76">
        <f>SUMIFS('июль 2025'!$G$2:$G$2437,'июль 2025'!$D$2:$D$2437,$B137,'июль 2025'!$J$2:$J$2437,AD$1)</f>
        <v>0</v>
      </c>
      <c r="AE137" s="76">
        <f>SUMIFS('июль 2025'!$G$2:$G$2437,'июль 2025'!$D$2:$D$2437,$B137,'июль 2025'!$J$2:$J$2437,AE$1)</f>
        <v>0</v>
      </c>
      <c r="AF137" s="76">
        <f>SUMIFS('июль 2025'!$G$2:$G$2437,'июль 2025'!$D$2:$D$2437,$B137,'июль 2025'!$J$2:$J$2437,AF$1)</f>
        <v>0</v>
      </c>
      <c r="AG137" s="76">
        <f>SUMIFS('июль 2025'!$G$2:$G$2437,'июль 2025'!$D$2:$D$2437,$B137,'июль 2025'!$J$2:$J$2437,AG$1)</f>
        <v>0</v>
      </c>
      <c r="AH137" s="76">
        <f>SUMIFS('июль 2025'!$G$2:$G$2437,'июль 2025'!$D$2:$D$2437,$B137,'июль 2025'!$J$2:$J$2437,AH$1)</f>
        <v>0</v>
      </c>
      <c r="AI137" s="20">
        <f t="shared" si="1"/>
        <v>0</v>
      </c>
    </row>
    <row r="138" spans="2:35" ht="15" customHeight="1" x14ac:dyDescent="0.25">
      <c r="B138" s="84" t="s">
        <v>172</v>
      </c>
      <c r="C138" s="83">
        <v>200</v>
      </c>
      <c r="D138" s="76">
        <f>SUMIFS('июль 2025'!$G$2:$G$2437,'июль 2025'!$D$2:$D$2437,$B138,'июль 2025'!$J$2:$J$2437,D$1)</f>
        <v>0</v>
      </c>
      <c r="E138" s="76">
        <f>SUMIFS('июль 2025'!$G$2:$G$2437,'июль 2025'!$D$2:$D$2437,$B138,'июль 2025'!$J$2:$J$2437,E$1)</f>
        <v>0</v>
      </c>
      <c r="F138" s="76">
        <f>SUMIFS('июль 2025'!$G$2:$G$2437,'июль 2025'!$D$2:$D$2437,$B138,'июль 2025'!$J$2:$J$2437,F$1)</f>
        <v>0</v>
      </c>
      <c r="G138" s="76">
        <f>SUMIFS('июль 2025'!$G$2:$G$2437,'июль 2025'!$D$2:$D$2437,$B138,'июль 2025'!$J$2:$J$2437,G$1)</f>
        <v>0</v>
      </c>
      <c r="H138" s="76">
        <f>SUMIFS('июль 2025'!$G$2:$G$2437,'июль 2025'!$D$2:$D$2437,$B138,'июль 2025'!$J$2:$J$2437,H$1)</f>
        <v>0</v>
      </c>
      <c r="I138" s="76">
        <f>SUMIFS('июль 2025'!$G$2:$G$2437,'июль 2025'!$D$2:$D$2437,$B138,'июль 2025'!$J$2:$J$2437,I$1)</f>
        <v>0</v>
      </c>
      <c r="J138" s="76">
        <f>SUMIFS('июль 2025'!$G$2:$G$2437,'июль 2025'!$D$2:$D$2437,$B138,'июль 2025'!$J$2:$J$2437,J$1)</f>
        <v>0</v>
      </c>
      <c r="K138" s="76">
        <f>SUMIFS('июль 2025'!$G$2:$G$2437,'июль 2025'!$D$2:$D$2437,$B138,'июль 2025'!$J$2:$J$2437,K$1)</f>
        <v>0</v>
      </c>
      <c r="L138" s="76">
        <f>SUMIFS('июль 2025'!$G$2:$G$2437,'июль 2025'!$D$2:$D$2437,$B138,'июль 2025'!$J$2:$J$2437,L$1)</f>
        <v>0</v>
      </c>
      <c r="M138" s="76">
        <f>SUMIFS('июль 2025'!$G$2:$G$2437,'июль 2025'!$D$2:$D$2437,$B138,'июль 2025'!$J$2:$J$2437,M$1)</f>
        <v>16</v>
      </c>
      <c r="N138" s="76">
        <f>SUMIFS('июль 2025'!$G$2:$G$2437,'июль 2025'!$D$2:$D$2437,$B138,'июль 2025'!$J$2:$J$2437,N$1)</f>
        <v>0</v>
      </c>
      <c r="O138" s="76">
        <f>SUMIFS('июль 2025'!$G$2:$G$2437,'июль 2025'!$D$2:$D$2437,$B138,'июль 2025'!$J$2:$J$2437,O$1)</f>
        <v>0</v>
      </c>
      <c r="P138" s="76">
        <f>SUMIFS('июль 2025'!$G$2:$G$2437,'июль 2025'!$D$2:$D$2437,$B138,'июль 2025'!$J$2:$J$2437,P$1)</f>
        <v>0</v>
      </c>
      <c r="Q138" s="76">
        <f>SUMIFS('июль 2025'!$G$2:$G$2437,'июль 2025'!$D$2:$D$2437,$B138,'июль 2025'!$J$2:$J$2437,Q$1)</f>
        <v>0</v>
      </c>
      <c r="R138" s="76">
        <f>SUMIFS('июль 2025'!$G$2:$G$2437,'июль 2025'!$D$2:$D$2437,$B138,'июль 2025'!$J$2:$J$2437,R$1)</f>
        <v>0</v>
      </c>
      <c r="S138" s="76">
        <f>SUMIFS('июль 2025'!$G$2:$G$2437,'июль 2025'!$D$2:$D$2437,$B138,'июль 2025'!$J$2:$J$2437,S$1)</f>
        <v>0</v>
      </c>
      <c r="T138" s="76">
        <f>SUMIFS('июль 2025'!$G$2:$G$2437,'июль 2025'!$D$2:$D$2437,$B138,'июль 2025'!$J$2:$J$2437,T$1)</f>
        <v>0</v>
      </c>
      <c r="U138" s="76">
        <f>SUMIFS('июль 2025'!$G$2:$G$2437,'июль 2025'!$D$2:$D$2437,$B138,'июль 2025'!$J$2:$J$2437,U$1)</f>
        <v>0</v>
      </c>
      <c r="V138" s="76">
        <f>SUMIFS('июль 2025'!$G$2:$G$2437,'июль 2025'!$D$2:$D$2437,$B138,'июль 2025'!$J$2:$J$2437,V$1)</f>
        <v>0</v>
      </c>
      <c r="W138" s="76">
        <f>SUMIFS('июль 2025'!$G$2:$G$2437,'июль 2025'!$D$2:$D$2437,$B138,'июль 2025'!$J$2:$J$2437,W$1)</f>
        <v>0</v>
      </c>
      <c r="X138" s="76">
        <f>SUMIFS('июль 2025'!$G$2:$G$2437,'июль 2025'!$D$2:$D$2437,$B138,'июль 2025'!$J$2:$J$2437,X$1)</f>
        <v>0</v>
      </c>
      <c r="Y138" s="76">
        <f>SUMIFS('июль 2025'!$G$2:$G$2437,'июль 2025'!$D$2:$D$2437,$B138,'июль 2025'!$J$2:$J$2437,Y$1)</f>
        <v>0</v>
      </c>
      <c r="Z138" s="76">
        <f>SUMIFS('июль 2025'!$G$2:$G$2437,'июль 2025'!$D$2:$D$2437,$B138,'июль 2025'!$J$2:$J$2437,Z$1)</f>
        <v>0</v>
      </c>
      <c r="AA138" s="76">
        <f>SUMIFS('июль 2025'!$G$2:$G$2437,'июль 2025'!$D$2:$D$2437,$B138,'июль 2025'!$J$2:$J$2437,AA$1)</f>
        <v>0</v>
      </c>
      <c r="AB138" s="76">
        <f>SUMIFS('июль 2025'!$G$2:$G$2437,'июль 2025'!$D$2:$D$2437,$B138,'июль 2025'!$J$2:$J$2437,AB$1)</f>
        <v>0</v>
      </c>
      <c r="AC138" s="76">
        <f>SUMIFS('июль 2025'!$G$2:$G$2437,'июль 2025'!$D$2:$D$2437,$B138,'июль 2025'!$J$2:$J$2437,AC$1)</f>
        <v>0</v>
      </c>
      <c r="AD138" s="76">
        <f>SUMIFS('июль 2025'!$G$2:$G$2437,'июль 2025'!$D$2:$D$2437,$B138,'июль 2025'!$J$2:$J$2437,AD$1)</f>
        <v>0</v>
      </c>
      <c r="AE138" s="76">
        <f>SUMIFS('июль 2025'!$G$2:$G$2437,'июль 2025'!$D$2:$D$2437,$B138,'июль 2025'!$J$2:$J$2437,AE$1)</f>
        <v>0</v>
      </c>
      <c r="AF138" s="76">
        <f>SUMIFS('июль 2025'!$G$2:$G$2437,'июль 2025'!$D$2:$D$2437,$B138,'июль 2025'!$J$2:$J$2437,AF$1)</f>
        <v>0</v>
      </c>
      <c r="AG138" s="76">
        <f>SUMIFS('июль 2025'!$G$2:$G$2437,'июль 2025'!$D$2:$D$2437,$B138,'июль 2025'!$J$2:$J$2437,AG$1)</f>
        <v>0</v>
      </c>
      <c r="AH138" s="76">
        <f>SUMIFS('июль 2025'!$G$2:$G$2437,'июль 2025'!$D$2:$D$2437,$B138,'июль 2025'!$J$2:$J$2437,AH$1)</f>
        <v>0</v>
      </c>
      <c r="AI138" s="20">
        <f t="shared" si="1"/>
        <v>16</v>
      </c>
    </row>
    <row r="139" spans="2:35" ht="15" customHeight="1" x14ac:dyDescent="0.25">
      <c r="B139" s="84" t="s">
        <v>174</v>
      </c>
      <c r="C139" s="83">
        <v>200</v>
      </c>
      <c r="D139" s="76">
        <f>SUMIFS('июль 2025'!$G$2:$G$2437,'июль 2025'!$D$2:$D$2437,$B139,'июль 2025'!$J$2:$J$2437,D$1)</f>
        <v>0</v>
      </c>
      <c r="E139" s="76">
        <f>SUMIFS('июль 2025'!$G$2:$G$2437,'июль 2025'!$D$2:$D$2437,$B139,'июль 2025'!$J$2:$J$2437,E$1)</f>
        <v>0</v>
      </c>
      <c r="F139" s="76">
        <f>SUMIFS('июль 2025'!$G$2:$G$2437,'июль 2025'!$D$2:$D$2437,$B139,'июль 2025'!$J$2:$J$2437,F$1)</f>
        <v>0</v>
      </c>
      <c r="G139" s="76">
        <f>SUMIFS('июль 2025'!$G$2:$G$2437,'июль 2025'!$D$2:$D$2437,$B139,'июль 2025'!$J$2:$J$2437,G$1)</f>
        <v>0</v>
      </c>
      <c r="H139" s="76">
        <f>SUMIFS('июль 2025'!$G$2:$G$2437,'июль 2025'!$D$2:$D$2437,$B139,'июль 2025'!$J$2:$J$2437,H$1)</f>
        <v>0</v>
      </c>
      <c r="I139" s="76">
        <f>SUMIFS('июль 2025'!$G$2:$G$2437,'июль 2025'!$D$2:$D$2437,$B139,'июль 2025'!$J$2:$J$2437,I$1)</f>
        <v>0</v>
      </c>
      <c r="J139" s="76">
        <f>SUMIFS('июль 2025'!$G$2:$G$2437,'июль 2025'!$D$2:$D$2437,$B139,'июль 2025'!$J$2:$J$2437,J$1)</f>
        <v>0</v>
      </c>
      <c r="K139" s="76">
        <f>SUMIFS('июль 2025'!$G$2:$G$2437,'июль 2025'!$D$2:$D$2437,$B139,'июль 2025'!$J$2:$J$2437,K$1)</f>
        <v>0</v>
      </c>
      <c r="L139" s="76">
        <f>SUMIFS('июль 2025'!$G$2:$G$2437,'июль 2025'!$D$2:$D$2437,$B139,'июль 2025'!$J$2:$J$2437,L$1)</f>
        <v>0</v>
      </c>
      <c r="M139" s="76">
        <f>SUMIFS('июль 2025'!$G$2:$G$2437,'июль 2025'!$D$2:$D$2437,$B139,'июль 2025'!$J$2:$J$2437,M$1)</f>
        <v>0</v>
      </c>
      <c r="N139" s="76">
        <f>SUMIFS('июль 2025'!$G$2:$G$2437,'июль 2025'!$D$2:$D$2437,$B139,'июль 2025'!$J$2:$J$2437,N$1)</f>
        <v>0</v>
      </c>
      <c r="O139" s="76">
        <f>SUMIFS('июль 2025'!$G$2:$G$2437,'июль 2025'!$D$2:$D$2437,$B139,'июль 2025'!$J$2:$J$2437,O$1)</f>
        <v>0</v>
      </c>
      <c r="P139" s="76">
        <f>SUMIFS('июль 2025'!$G$2:$G$2437,'июль 2025'!$D$2:$D$2437,$B139,'июль 2025'!$J$2:$J$2437,P$1)</f>
        <v>0</v>
      </c>
      <c r="Q139" s="76">
        <f>SUMIFS('июль 2025'!$G$2:$G$2437,'июль 2025'!$D$2:$D$2437,$B139,'июль 2025'!$J$2:$J$2437,Q$1)</f>
        <v>0</v>
      </c>
      <c r="R139" s="76">
        <f>SUMIFS('июль 2025'!$G$2:$G$2437,'июль 2025'!$D$2:$D$2437,$B139,'июль 2025'!$J$2:$J$2437,R$1)</f>
        <v>0</v>
      </c>
      <c r="S139" s="76">
        <f>SUMIFS('июль 2025'!$G$2:$G$2437,'июль 2025'!$D$2:$D$2437,$B139,'июль 2025'!$J$2:$J$2437,S$1)</f>
        <v>0</v>
      </c>
      <c r="T139" s="76">
        <f>SUMIFS('июль 2025'!$G$2:$G$2437,'июль 2025'!$D$2:$D$2437,$B139,'июль 2025'!$J$2:$J$2437,T$1)</f>
        <v>0</v>
      </c>
      <c r="U139" s="76">
        <f>SUMIFS('июль 2025'!$G$2:$G$2437,'июль 2025'!$D$2:$D$2437,$B139,'июль 2025'!$J$2:$J$2437,U$1)</f>
        <v>0</v>
      </c>
      <c r="V139" s="76">
        <f>SUMIFS('июль 2025'!$G$2:$G$2437,'июль 2025'!$D$2:$D$2437,$B139,'июль 2025'!$J$2:$J$2437,V$1)</f>
        <v>0</v>
      </c>
      <c r="W139" s="76">
        <f>SUMIFS('июль 2025'!$G$2:$G$2437,'июль 2025'!$D$2:$D$2437,$B139,'июль 2025'!$J$2:$J$2437,W$1)</f>
        <v>0</v>
      </c>
      <c r="X139" s="76">
        <f>SUMIFS('июль 2025'!$G$2:$G$2437,'июль 2025'!$D$2:$D$2437,$B139,'июль 2025'!$J$2:$J$2437,X$1)</f>
        <v>0</v>
      </c>
      <c r="Y139" s="76">
        <f>SUMIFS('июль 2025'!$G$2:$G$2437,'июль 2025'!$D$2:$D$2437,$B139,'июль 2025'!$J$2:$J$2437,Y$1)</f>
        <v>0</v>
      </c>
      <c r="Z139" s="76">
        <f>SUMIFS('июль 2025'!$G$2:$G$2437,'июль 2025'!$D$2:$D$2437,$B139,'июль 2025'!$J$2:$J$2437,Z$1)</f>
        <v>0</v>
      </c>
      <c r="AA139" s="76">
        <f>SUMIFS('июль 2025'!$G$2:$G$2437,'июль 2025'!$D$2:$D$2437,$B139,'июль 2025'!$J$2:$J$2437,AA$1)</f>
        <v>0</v>
      </c>
      <c r="AB139" s="76">
        <f>SUMIFS('июль 2025'!$G$2:$G$2437,'июль 2025'!$D$2:$D$2437,$B139,'июль 2025'!$J$2:$J$2437,AB$1)</f>
        <v>0</v>
      </c>
      <c r="AC139" s="76">
        <f>SUMIFS('июль 2025'!$G$2:$G$2437,'июль 2025'!$D$2:$D$2437,$B139,'июль 2025'!$J$2:$J$2437,AC$1)</f>
        <v>0</v>
      </c>
      <c r="AD139" s="76">
        <f>SUMIFS('июль 2025'!$G$2:$G$2437,'июль 2025'!$D$2:$D$2437,$B139,'июль 2025'!$J$2:$J$2437,AD$1)</f>
        <v>0</v>
      </c>
      <c r="AE139" s="76">
        <f>SUMIFS('июль 2025'!$G$2:$G$2437,'июль 2025'!$D$2:$D$2437,$B139,'июль 2025'!$J$2:$J$2437,AE$1)</f>
        <v>0</v>
      </c>
      <c r="AF139" s="76">
        <f>SUMIFS('июль 2025'!$G$2:$G$2437,'июль 2025'!$D$2:$D$2437,$B139,'июль 2025'!$J$2:$J$2437,AF$1)</f>
        <v>0</v>
      </c>
      <c r="AG139" s="76">
        <f>SUMIFS('июль 2025'!$G$2:$G$2437,'июль 2025'!$D$2:$D$2437,$B139,'июль 2025'!$J$2:$J$2437,AG$1)</f>
        <v>0</v>
      </c>
      <c r="AH139" s="76">
        <f>SUMIFS('июль 2025'!$G$2:$G$2437,'июль 2025'!$D$2:$D$2437,$B139,'июль 2025'!$J$2:$J$2437,AH$1)</f>
        <v>0</v>
      </c>
      <c r="AI139" s="20">
        <f t="shared" si="1"/>
        <v>0</v>
      </c>
    </row>
    <row r="140" spans="2:35" ht="15" customHeight="1" x14ac:dyDescent="0.25">
      <c r="B140" s="89" t="s">
        <v>184</v>
      </c>
      <c r="C140" s="90">
        <v>180</v>
      </c>
      <c r="D140" s="76">
        <f>SUMIFS('июль 2025'!$G$2:$G$2437,'июль 2025'!$D$2:$D$2437,$B140,'июль 2025'!$J$2:$J$2437,D$1)</f>
        <v>0</v>
      </c>
      <c r="E140" s="76">
        <f>SUMIFS('июль 2025'!$G$2:$G$2437,'июль 2025'!$D$2:$D$2437,$B140,'июль 2025'!$J$2:$J$2437,E$1)</f>
        <v>0</v>
      </c>
      <c r="F140" s="76">
        <f>SUMIFS('июль 2025'!$G$2:$G$2437,'июль 2025'!$D$2:$D$2437,$B140,'июль 2025'!$J$2:$J$2437,F$1)</f>
        <v>0</v>
      </c>
      <c r="G140" s="76">
        <f>SUMIFS('июль 2025'!$G$2:$G$2437,'июль 2025'!$D$2:$D$2437,$B140,'июль 2025'!$J$2:$J$2437,G$1)</f>
        <v>0</v>
      </c>
      <c r="H140" s="76">
        <f>SUMIFS('июль 2025'!$G$2:$G$2437,'июль 2025'!$D$2:$D$2437,$B140,'июль 2025'!$J$2:$J$2437,H$1)</f>
        <v>0</v>
      </c>
      <c r="I140" s="76">
        <f>SUMIFS('июль 2025'!$G$2:$G$2437,'июль 2025'!$D$2:$D$2437,$B140,'июль 2025'!$J$2:$J$2437,I$1)</f>
        <v>0</v>
      </c>
      <c r="J140" s="76">
        <f>SUMIFS('июль 2025'!$G$2:$G$2437,'июль 2025'!$D$2:$D$2437,$B140,'июль 2025'!$J$2:$J$2437,J$1)</f>
        <v>0</v>
      </c>
      <c r="K140" s="76">
        <f>SUMIFS('июль 2025'!$G$2:$G$2437,'июль 2025'!$D$2:$D$2437,$B140,'июль 2025'!$J$2:$J$2437,K$1)</f>
        <v>0</v>
      </c>
      <c r="L140" s="76">
        <f>SUMIFS('июль 2025'!$G$2:$G$2437,'июль 2025'!$D$2:$D$2437,$B140,'июль 2025'!$J$2:$J$2437,L$1)</f>
        <v>0</v>
      </c>
      <c r="M140" s="76">
        <f>SUMIFS('июль 2025'!$G$2:$G$2437,'июль 2025'!$D$2:$D$2437,$B140,'июль 2025'!$J$2:$J$2437,M$1)</f>
        <v>0</v>
      </c>
      <c r="N140" s="76">
        <f>SUMIFS('июль 2025'!$G$2:$G$2437,'июль 2025'!$D$2:$D$2437,$B140,'июль 2025'!$J$2:$J$2437,N$1)</f>
        <v>0</v>
      </c>
      <c r="O140" s="76">
        <f>SUMIFS('июль 2025'!$G$2:$G$2437,'июль 2025'!$D$2:$D$2437,$B140,'июль 2025'!$J$2:$J$2437,O$1)</f>
        <v>0</v>
      </c>
      <c r="P140" s="76">
        <f>SUMIFS('июль 2025'!$G$2:$G$2437,'июль 2025'!$D$2:$D$2437,$B140,'июль 2025'!$J$2:$J$2437,P$1)</f>
        <v>0</v>
      </c>
      <c r="Q140" s="76">
        <f>SUMIFS('июль 2025'!$G$2:$G$2437,'июль 2025'!$D$2:$D$2437,$B140,'июль 2025'!$J$2:$J$2437,Q$1)</f>
        <v>0</v>
      </c>
      <c r="R140" s="76">
        <f>SUMIFS('июль 2025'!$G$2:$G$2437,'июль 2025'!$D$2:$D$2437,$B140,'июль 2025'!$J$2:$J$2437,R$1)</f>
        <v>0</v>
      </c>
      <c r="S140" s="76">
        <f>SUMIFS('июль 2025'!$G$2:$G$2437,'июль 2025'!$D$2:$D$2437,$B140,'июль 2025'!$J$2:$J$2437,S$1)</f>
        <v>0</v>
      </c>
      <c r="T140" s="76">
        <f>SUMIFS('июль 2025'!$G$2:$G$2437,'июль 2025'!$D$2:$D$2437,$B140,'июль 2025'!$J$2:$J$2437,T$1)</f>
        <v>0</v>
      </c>
      <c r="U140" s="76">
        <f>SUMIFS('июль 2025'!$G$2:$G$2437,'июль 2025'!$D$2:$D$2437,$B140,'июль 2025'!$J$2:$J$2437,U$1)</f>
        <v>0</v>
      </c>
      <c r="V140" s="76">
        <f>SUMIFS('июль 2025'!$G$2:$G$2437,'июль 2025'!$D$2:$D$2437,$B140,'июль 2025'!$J$2:$J$2437,V$1)</f>
        <v>0</v>
      </c>
      <c r="W140" s="76">
        <f>SUMIFS('июль 2025'!$G$2:$G$2437,'июль 2025'!$D$2:$D$2437,$B140,'июль 2025'!$J$2:$J$2437,W$1)</f>
        <v>0</v>
      </c>
      <c r="X140" s="76">
        <f>SUMIFS('июль 2025'!$G$2:$G$2437,'июль 2025'!$D$2:$D$2437,$B140,'июль 2025'!$J$2:$J$2437,X$1)</f>
        <v>0</v>
      </c>
      <c r="Y140" s="76">
        <f>SUMIFS('июль 2025'!$G$2:$G$2437,'июль 2025'!$D$2:$D$2437,$B140,'июль 2025'!$J$2:$J$2437,Y$1)</f>
        <v>0</v>
      </c>
      <c r="Z140" s="76">
        <f>SUMIFS('июль 2025'!$G$2:$G$2437,'июль 2025'!$D$2:$D$2437,$B140,'июль 2025'!$J$2:$J$2437,Z$1)</f>
        <v>0</v>
      </c>
      <c r="AA140" s="76">
        <f>SUMIFS('июль 2025'!$G$2:$G$2437,'июль 2025'!$D$2:$D$2437,$B140,'июль 2025'!$J$2:$J$2437,AA$1)</f>
        <v>0</v>
      </c>
      <c r="AB140" s="76">
        <f>SUMIFS('июль 2025'!$G$2:$G$2437,'июль 2025'!$D$2:$D$2437,$B140,'июль 2025'!$J$2:$J$2437,AB$1)</f>
        <v>0</v>
      </c>
      <c r="AC140" s="76">
        <f>SUMIFS('июль 2025'!$G$2:$G$2437,'июль 2025'!$D$2:$D$2437,$B140,'июль 2025'!$J$2:$J$2437,AC$1)</f>
        <v>0</v>
      </c>
      <c r="AD140" s="76">
        <f>SUMIFS('июль 2025'!$G$2:$G$2437,'июль 2025'!$D$2:$D$2437,$B140,'июль 2025'!$J$2:$J$2437,AD$1)</f>
        <v>0</v>
      </c>
      <c r="AE140" s="76">
        <f>SUMIFS('июль 2025'!$G$2:$G$2437,'июль 2025'!$D$2:$D$2437,$B140,'июль 2025'!$J$2:$J$2437,AE$1)</f>
        <v>0</v>
      </c>
      <c r="AF140" s="76">
        <f>SUMIFS('июль 2025'!$G$2:$G$2437,'июль 2025'!$D$2:$D$2437,$B140,'июль 2025'!$J$2:$J$2437,AF$1)</f>
        <v>0</v>
      </c>
      <c r="AG140" s="76">
        <f>SUMIFS('июль 2025'!$G$2:$G$2437,'июль 2025'!$D$2:$D$2437,$B140,'июль 2025'!$J$2:$J$2437,AG$1)</f>
        <v>0</v>
      </c>
      <c r="AH140" s="76">
        <f>SUMIFS('июль 2025'!$G$2:$G$2437,'июль 2025'!$D$2:$D$2437,$B140,'июль 2025'!$J$2:$J$2437,AH$1)</f>
        <v>0</v>
      </c>
      <c r="AI140" s="20">
        <f t="shared" si="1"/>
        <v>0</v>
      </c>
    </row>
    <row r="141" spans="2:35" ht="15" customHeight="1" x14ac:dyDescent="0.25">
      <c r="B141" s="84" t="s">
        <v>268</v>
      </c>
      <c r="C141" s="86">
        <v>180</v>
      </c>
      <c r="D141" s="76">
        <f>SUMIFS('июль 2025'!$G$2:$G$2437,'июль 2025'!$D$2:$D$2437,$B141,'июль 2025'!$J$2:$J$2437,D$1)</f>
        <v>0</v>
      </c>
      <c r="E141" s="76">
        <f>SUMIFS('июль 2025'!$G$2:$G$2437,'июль 2025'!$D$2:$D$2437,$B141,'июль 2025'!$J$2:$J$2437,E$1)</f>
        <v>0</v>
      </c>
      <c r="F141" s="76">
        <f>SUMIFS('июль 2025'!$G$2:$G$2437,'июль 2025'!$D$2:$D$2437,$B141,'июль 2025'!$J$2:$J$2437,F$1)</f>
        <v>0</v>
      </c>
      <c r="G141" s="76">
        <f>SUMIFS('июль 2025'!$G$2:$G$2437,'июль 2025'!$D$2:$D$2437,$B141,'июль 2025'!$J$2:$J$2437,G$1)</f>
        <v>0</v>
      </c>
      <c r="H141" s="76">
        <f>SUMIFS('июль 2025'!$G$2:$G$2437,'июль 2025'!$D$2:$D$2437,$B141,'июль 2025'!$J$2:$J$2437,H$1)</f>
        <v>0</v>
      </c>
      <c r="I141" s="76">
        <f>SUMIFS('июль 2025'!$G$2:$G$2437,'июль 2025'!$D$2:$D$2437,$B141,'июль 2025'!$J$2:$J$2437,I$1)</f>
        <v>0</v>
      </c>
      <c r="J141" s="76">
        <f>SUMIFS('июль 2025'!$G$2:$G$2437,'июль 2025'!$D$2:$D$2437,$B141,'июль 2025'!$J$2:$J$2437,J$1)</f>
        <v>0</v>
      </c>
      <c r="K141" s="76">
        <f>SUMIFS('июль 2025'!$G$2:$G$2437,'июль 2025'!$D$2:$D$2437,$B141,'июль 2025'!$J$2:$J$2437,K$1)</f>
        <v>0</v>
      </c>
      <c r="L141" s="76">
        <f>SUMIFS('июль 2025'!$G$2:$G$2437,'июль 2025'!$D$2:$D$2437,$B141,'июль 2025'!$J$2:$J$2437,L$1)</f>
        <v>0</v>
      </c>
      <c r="M141" s="76">
        <f>SUMIFS('июль 2025'!$G$2:$G$2437,'июль 2025'!$D$2:$D$2437,$B141,'июль 2025'!$J$2:$J$2437,M$1)</f>
        <v>0</v>
      </c>
      <c r="N141" s="76">
        <f>SUMIFS('июль 2025'!$G$2:$G$2437,'июль 2025'!$D$2:$D$2437,$B141,'июль 2025'!$J$2:$J$2437,N$1)</f>
        <v>0</v>
      </c>
      <c r="O141" s="76">
        <f>SUMIFS('июль 2025'!$G$2:$G$2437,'июль 2025'!$D$2:$D$2437,$B141,'июль 2025'!$J$2:$J$2437,O$1)</f>
        <v>0</v>
      </c>
      <c r="P141" s="76">
        <f>SUMIFS('июль 2025'!$G$2:$G$2437,'июль 2025'!$D$2:$D$2437,$B141,'июль 2025'!$J$2:$J$2437,P$1)</f>
        <v>0</v>
      </c>
      <c r="Q141" s="76">
        <f>SUMIFS('июль 2025'!$G$2:$G$2437,'июль 2025'!$D$2:$D$2437,$B141,'июль 2025'!$J$2:$J$2437,Q$1)</f>
        <v>0</v>
      </c>
      <c r="R141" s="76">
        <f>SUMIFS('июль 2025'!$G$2:$G$2437,'июль 2025'!$D$2:$D$2437,$B141,'июль 2025'!$J$2:$J$2437,R$1)</f>
        <v>0</v>
      </c>
      <c r="S141" s="76">
        <f>SUMIFS('июль 2025'!$G$2:$G$2437,'июль 2025'!$D$2:$D$2437,$B141,'июль 2025'!$J$2:$J$2437,S$1)</f>
        <v>0</v>
      </c>
      <c r="T141" s="76">
        <f>SUMIFS('июль 2025'!$G$2:$G$2437,'июль 2025'!$D$2:$D$2437,$B141,'июль 2025'!$J$2:$J$2437,T$1)</f>
        <v>0</v>
      </c>
      <c r="U141" s="76">
        <f>SUMIFS('июль 2025'!$G$2:$G$2437,'июль 2025'!$D$2:$D$2437,$B141,'июль 2025'!$J$2:$J$2437,U$1)</f>
        <v>0</v>
      </c>
      <c r="V141" s="76">
        <f>SUMIFS('июль 2025'!$G$2:$G$2437,'июль 2025'!$D$2:$D$2437,$B141,'июль 2025'!$J$2:$J$2437,V$1)</f>
        <v>0</v>
      </c>
      <c r="W141" s="76">
        <f>SUMIFS('июль 2025'!$G$2:$G$2437,'июль 2025'!$D$2:$D$2437,$B141,'июль 2025'!$J$2:$J$2437,W$1)</f>
        <v>0</v>
      </c>
      <c r="X141" s="76">
        <f>SUMIFS('июль 2025'!$G$2:$G$2437,'июль 2025'!$D$2:$D$2437,$B141,'июль 2025'!$J$2:$J$2437,X$1)</f>
        <v>0</v>
      </c>
      <c r="Y141" s="76">
        <f>SUMIFS('июль 2025'!$G$2:$G$2437,'июль 2025'!$D$2:$D$2437,$B141,'июль 2025'!$J$2:$J$2437,Y$1)</f>
        <v>0</v>
      </c>
      <c r="Z141" s="76">
        <f>SUMIFS('июль 2025'!$G$2:$G$2437,'июль 2025'!$D$2:$D$2437,$B141,'июль 2025'!$J$2:$J$2437,Z$1)</f>
        <v>0</v>
      </c>
      <c r="AA141" s="76">
        <f>SUMIFS('июль 2025'!$G$2:$G$2437,'июль 2025'!$D$2:$D$2437,$B141,'июль 2025'!$J$2:$J$2437,AA$1)</f>
        <v>0</v>
      </c>
      <c r="AB141" s="76">
        <f>SUMIFS('июль 2025'!$G$2:$G$2437,'июль 2025'!$D$2:$D$2437,$B141,'июль 2025'!$J$2:$J$2437,AB$1)</f>
        <v>0</v>
      </c>
      <c r="AC141" s="76">
        <f>SUMIFS('июль 2025'!$G$2:$G$2437,'июль 2025'!$D$2:$D$2437,$B141,'июль 2025'!$J$2:$J$2437,AC$1)</f>
        <v>0</v>
      </c>
      <c r="AD141" s="76">
        <f>SUMIFS('июль 2025'!$G$2:$G$2437,'июль 2025'!$D$2:$D$2437,$B141,'июль 2025'!$J$2:$J$2437,AD$1)</f>
        <v>0</v>
      </c>
      <c r="AE141" s="76">
        <f>SUMIFS('июль 2025'!$G$2:$G$2437,'июль 2025'!$D$2:$D$2437,$B141,'июль 2025'!$J$2:$J$2437,AE$1)</f>
        <v>0</v>
      </c>
      <c r="AF141" s="76">
        <f>SUMIFS('июль 2025'!$G$2:$G$2437,'июль 2025'!$D$2:$D$2437,$B141,'июль 2025'!$J$2:$J$2437,AF$1)</f>
        <v>0</v>
      </c>
      <c r="AG141" s="76">
        <f>SUMIFS('июль 2025'!$G$2:$G$2437,'июль 2025'!$D$2:$D$2437,$B141,'июль 2025'!$J$2:$J$2437,AG$1)</f>
        <v>0</v>
      </c>
      <c r="AH141" s="76">
        <f>SUMIFS('июль 2025'!$G$2:$G$2437,'июль 2025'!$D$2:$D$2437,$B141,'июль 2025'!$J$2:$J$2437,AH$1)</f>
        <v>0</v>
      </c>
      <c r="AI141" s="20">
        <f t="shared" si="1"/>
        <v>0</v>
      </c>
    </row>
    <row r="142" spans="2:35" ht="15" customHeight="1" x14ac:dyDescent="0.25">
      <c r="B142" s="84" t="s">
        <v>278</v>
      </c>
      <c r="C142" s="86">
        <v>180</v>
      </c>
      <c r="D142" s="76">
        <f>SUMIFS('июль 2025'!$G$2:$G$2437,'июль 2025'!$D$2:$D$2437,$B142,'июль 2025'!$J$2:$J$2437,D$1)</f>
        <v>0</v>
      </c>
      <c r="E142" s="76">
        <f>SUMIFS('июль 2025'!$G$2:$G$2437,'июль 2025'!$D$2:$D$2437,$B142,'июль 2025'!$J$2:$J$2437,E$1)</f>
        <v>0</v>
      </c>
      <c r="F142" s="76">
        <f>SUMIFS('июль 2025'!$G$2:$G$2437,'июль 2025'!$D$2:$D$2437,$B142,'июль 2025'!$J$2:$J$2437,F$1)</f>
        <v>0</v>
      </c>
      <c r="G142" s="76">
        <f>SUMIFS('июль 2025'!$G$2:$G$2437,'июль 2025'!$D$2:$D$2437,$B142,'июль 2025'!$J$2:$J$2437,G$1)</f>
        <v>0</v>
      </c>
      <c r="H142" s="76">
        <f>SUMIFS('июль 2025'!$G$2:$G$2437,'июль 2025'!$D$2:$D$2437,$B142,'июль 2025'!$J$2:$J$2437,H$1)</f>
        <v>0</v>
      </c>
      <c r="I142" s="76">
        <f>SUMIFS('июль 2025'!$G$2:$G$2437,'июль 2025'!$D$2:$D$2437,$B142,'июль 2025'!$J$2:$J$2437,I$1)</f>
        <v>0</v>
      </c>
      <c r="J142" s="76">
        <f>SUMIFS('июль 2025'!$G$2:$G$2437,'июль 2025'!$D$2:$D$2437,$B142,'июль 2025'!$J$2:$J$2437,J$1)</f>
        <v>0</v>
      </c>
      <c r="K142" s="76">
        <f>SUMIFS('июль 2025'!$G$2:$G$2437,'июль 2025'!$D$2:$D$2437,$B142,'июль 2025'!$J$2:$J$2437,K$1)</f>
        <v>0</v>
      </c>
      <c r="L142" s="76">
        <f>SUMIFS('июль 2025'!$G$2:$G$2437,'июль 2025'!$D$2:$D$2437,$B142,'июль 2025'!$J$2:$J$2437,L$1)</f>
        <v>0</v>
      </c>
      <c r="M142" s="76">
        <f>SUMIFS('июль 2025'!$G$2:$G$2437,'июль 2025'!$D$2:$D$2437,$B142,'июль 2025'!$J$2:$J$2437,M$1)</f>
        <v>0</v>
      </c>
      <c r="N142" s="76">
        <f>SUMIFS('июль 2025'!$G$2:$G$2437,'июль 2025'!$D$2:$D$2437,$B142,'июль 2025'!$J$2:$J$2437,N$1)</f>
        <v>0</v>
      </c>
      <c r="O142" s="76">
        <f>SUMIFS('июль 2025'!$G$2:$G$2437,'июль 2025'!$D$2:$D$2437,$B142,'июль 2025'!$J$2:$J$2437,O$1)</f>
        <v>0</v>
      </c>
      <c r="P142" s="76">
        <f>SUMIFS('июль 2025'!$G$2:$G$2437,'июль 2025'!$D$2:$D$2437,$B142,'июль 2025'!$J$2:$J$2437,P$1)</f>
        <v>0</v>
      </c>
      <c r="Q142" s="76">
        <f>SUMIFS('июль 2025'!$G$2:$G$2437,'июль 2025'!$D$2:$D$2437,$B142,'июль 2025'!$J$2:$J$2437,Q$1)</f>
        <v>0</v>
      </c>
      <c r="R142" s="76">
        <f>SUMIFS('июль 2025'!$G$2:$G$2437,'июль 2025'!$D$2:$D$2437,$B142,'июль 2025'!$J$2:$J$2437,R$1)</f>
        <v>0</v>
      </c>
      <c r="S142" s="76">
        <f>SUMIFS('июль 2025'!$G$2:$G$2437,'июль 2025'!$D$2:$D$2437,$B142,'июль 2025'!$J$2:$J$2437,S$1)</f>
        <v>0</v>
      </c>
      <c r="T142" s="76">
        <f>SUMIFS('июль 2025'!$G$2:$G$2437,'июль 2025'!$D$2:$D$2437,$B142,'июль 2025'!$J$2:$J$2437,T$1)</f>
        <v>0</v>
      </c>
      <c r="U142" s="76">
        <f>SUMIFS('июль 2025'!$G$2:$G$2437,'июль 2025'!$D$2:$D$2437,$B142,'июль 2025'!$J$2:$J$2437,U$1)</f>
        <v>0</v>
      </c>
      <c r="V142" s="76">
        <f>SUMIFS('июль 2025'!$G$2:$G$2437,'июль 2025'!$D$2:$D$2437,$B142,'июль 2025'!$J$2:$J$2437,V$1)</f>
        <v>0</v>
      </c>
      <c r="W142" s="76">
        <f>SUMIFS('июль 2025'!$G$2:$G$2437,'июль 2025'!$D$2:$D$2437,$B142,'июль 2025'!$J$2:$J$2437,W$1)</f>
        <v>0</v>
      </c>
      <c r="X142" s="76">
        <f>SUMIFS('июль 2025'!$G$2:$G$2437,'июль 2025'!$D$2:$D$2437,$B142,'июль 2025'!$J$2:$J$2437,X$1)</f>
        <v>0</v>
      </c>
      <c r="Y142" s="76">
        <f>SUMIFS('июль 2025'!$G$2:$G$2437,'июль 2025'!$D$2:$D$2437,$B142,'июль 2025'!$J$2:$J$2437,Y$1)</f>
        <v>0</v>
      </c>
      <c r="Z142" s="76">
        <f>SUMIFS('июль 2025'!$G$2:$G$2437,'июль 2025'!$D$2:$D$2437,$B142,'июль 2025'!$J$2:$J$2437,Z$1)</f>
        <v>0</v>
      </c>
      <c r="AA142" s="76">
        <f>SUMIFS('июль 2025'!$G$2:$G$2437,'июль 2025'!$D$2:$D$2437,$B142,'июль 2025'!$J$2:$J$2437,AA$1)</f>
        <v>0</v>
      </c>
      <c r="AB142" s="76">
        <f>SUMIFS('июль 2025'!$G$2:$G$2437,'июль 2025'!$D$2:$D$2437,$B142,'июль 2025'!$J$2:$J$2437,AB$1)</f>
        <v>0</v>
      </c>
      <c r="AC142" s="76">
        <f>SUMIFS('июль 2025'!$G$2:$G$2437,'июль 2025'!$D$2:$D$2437,$B142,'июль 2025'!$J$2:$J$2437,AC$1)</f>
        <v>0</v>
      </c>
      <c r="AD142" s="76">
        <f>SUMIFS('июль 2025'!$G$2:$G$2437,'июль 2025'!$D$2:$D$2437,$B142,'июль 2025'!$J$2:$J$2437,AD$1)</f>
        <v>0</v>
      </c>
      <c r="AE142" s="76">
        <f>SUMIFS('июль 2025'!$G$2:$G$2437,'июль 2025'!$D$2:$D$2437,$B142,'июль 2025'!$J$2:$J$2437,AE$1)</f>
        <v>0</v>
      </c>
      <c r="AF142" s="76">
        <f>SUMIFS('июль 2025'!$G$2:$G$2437,'июль 2025'!$D$2:$D$2437,$B142,'июль 2025'!$J$2:$J$2437,AF$1)</f>
        <v>0</v>
      </c>
      <c r="AG142" s="76">
        <f>SUMIFS('июль 2025'!$G$2:$G$2437,'июль 2025'!$D$2:$D$2437,$B142,'июль 2025'!$J$2:$J$2437,AG$1)</f>
        <v>0</v>
      </c>
      <c r="AH142" s="76">
        <f>SUMIFS('июль 2025'!$G$2:$G$2437,'июль 2025'!$D$2:$D$2437,$B142,'июль 2025'!$J$2:$J$2437,AH$1)</f>
        <v>0</v>
      </c>
      <c r="AI142" s="20">
        <f t="shared" si="1"/>
        <v>0</v>
      </c>
    </row>
    <row r="143" spans="2:35" ht="15" customHeight="1" x14ac:dyDescent="0.25">
      <c r="B143" s="84" t="s">
        <v>295</v>
      </c>
      <c r="C143" s="86">
        <v>190</v>
      </c>
      <c r="D143" s="76">
        <f>SUMIFS('июль 2025'!$G$2:$G$2437,'июль 2025'!$D$2:$D$2437,$B143,'июль 2025'!$J$2:$J$2437,D$1)</f>
        <v>0</v>
      </c>
      <c r="E143" s="76">
        <f>SUMIFS('июль 2025'!$G$2:$G$2437,'июль 2025'!$D$2:$D$2437,$B143,'июль 2025'!$J$2:$J$2437,E$1)</f>
        <v>0</v>
      </c>
      <c r="F143" s="76">
        <f>SUMIFS('июль 2025'!$G$2:$G$2437,'июль 2025'!$D$2:$D$2437,$B143,'июль 2025'!$J$2:$J$2437,F$1)</f>
        <v>0</v>
      </c>
      <c r="G143" s="76">
        <f>SUMIFS('июль 2025'!$G$2:$G$2437,'июль 2025'!$D$2:$D$2437,$B143,'июль 2025'!$J$2:$J$2437,G$1)</f>
        <v>0</v>
      </c>
      <c r="H143" s="76">
        <f>SUMIFS('июль 2025'!$G$2:$G$2437,'июль 2025'!$D$2:$D$2437,$B143,'июль 2025'!$J$2:$J$2437,H$1)</f>
        <v>0</v>
      </c>
      <c r="I143" s="76">
        <f>SUMIFS('июль 2025'!$G$2:$G$2437,'июль 2025'!$D$2:$D$2437,$B143,'июль 2025'!$J$2:$J$2437,I$1)</f>
        <v>0</v>
      </c>
      <c r="J143" s="76">
        <f>SUMIFS('июль 2025'!$G$2:$G$2437,'июль 2025'!$D$2:$D$2437,$B143,'июль 2025'!$J$2:$J$2437,J$1)</f>
        <v>0</v>
      </c>
      <c r="K143" s="76">
        <f>SUMIFS('июль 2025'!$G$2:$G$2437,'июль 2025'!$D$2:$D$2437,$B143,'июль 2025'!$J$2:$J$2437,K$1)</f>
        <v>0</v>
      </c>
      <c r="L143" s="76">
        <f>SUMIFS('июль 2025'!$G$2:$G$2437,'июль 2025'!$D$2:$D$2437,$B143,'июль 2025'!$J$2:$J$2437,L$1)</f>
        <v>0</v>
      </c>
      <c r="M143" s="76">
        <f>SUMIFS('июль 2025'!$G$2:$G$2437,'июль 2025'!$D$2:$D$2437,$B143,'июль 2025'!$J$2:$J$2437,M$1)</f>
        <v>0</v>
      </c>
      <c r="N143" s="76">
        <f>SUMIFS('июль 2025'!$G$2:$G$2437,'июль 2025'!$D$2:$D$2437,$B143,'июль 2025'!$J$2:$J$2437,N$1)</f>
        <v>0</v>
      </c>
      <c r="O143" s="76">
        <f>SUMIFS('июль 2025'!$G$2:$G$2437,'июль 2025'!$D$2:$D$2437,$B143,'июль 2025'!$J$2:$J$2437,O$1)</f>
        <v>0</v>
      </c>
      <c r="P143" s="76">
        <f>SUMIFS('июль 2025'!$G$2:$G$2437,'июль 2025'!$D$2:$D$2437,$B143,'июль 2025'!$J$2:$J$2437,P$1)</f>
        <v>0</v>
      </c>
      <c r="Q143" s="76">
        <f>SUMIFS('июль 2025'!$G$2:$G$2437,'июль 2025'!$D$2:$D$2437,$B143,'июль 2025'!$J$2:$J$2437,Q$1)</f>
        <v>0</v>
      </c>
      <c r="R143" s="76">
        <f>SUMIFS('июль 2025'!$G$2:$G$2437,'июль 2025'!$D$2:$D$2437,$B143,'июль 2025'!$J$2:$J$2437,R$1)</f>
        <v>0</v>
      </c>
      <c r="S143" s="76">
        <f>SUMIFS('июль 2025'!$G$2:$G$2437,'июль 2025'!$D$2:$D$2437,$B143,'июль 2025'!$J$2:$J$2437,S$1)</f>
        <v>0</v>
      </c>
      <c r="T143" s="76">
        <f>SUMIFS('июль 2025'!$G$2:$G$2437,'июль 2025'!$D$2:$D$2437,$B143,'июль 2025'!$J$2:$J$2437,T$1)</f>
        <v>0</v>
      </c>
      <c r="U143" s="76">
        <f>SUMIFS('июль 2025'!$G$2:$G$2437,'июль 2025'!$D$2:$D$2437,$B143,'июль 2025'!$J$2:$J$2437,U$1)</f>
        <v>0</v>
      </c>
      <c r="V143" s="76">
        <f>SUMIFS('июль 2025'!$G$2:$G$2437,'июль 2025'!$D$2:$D$2437,$B143,'июль 2025'!$J$2:$J$2437,V$1)</f>
        <v>0</v>
      </c>
      <c r="W143" s="76">
        <f>SUMIFS('июль 2025'!$G$2:$G$2437,'июль 2025'!$D$2:$D$2437,$B143,'июль 2025'!$J$2:$J$2437,W$1)</f>
        <v>0</v>
      </c>
      <c r="X143" s="76">
        <f>SUMIFS('июль 2025'!$G$2:$G$2437,'июль 2025'!$D$2:$D$2437,$B143,'июль 2025'!$J$2:$J$2437,X$1)</f>
        <v>0</v>
      </c>
      <c r="Y143" s="76">
        <f>SUMIFS('июль 2025'!$G$2:$G$2437,'июль 2025'!$D$2:$D$2437,$B143,'июль 2025'!$J$2:$J$2437,Y$1)</f>
        <v>0</v>
      </c>
      <c r="Z143" s="76">
        <f>SUMIFS('июль 2025'!$G$2:$G$2437,'июль 2025'!$D$2:$D$2437,$B143,'июль 2025'!$J$2:$J$2437,Z$1)</f>
        <v>0</v>
      </c>
      <c r="AA143" s="76">
        <f>SUMIFS('июль 2025'!$G$2:$G$2437,'июль 2025'!$D$2:$D$2437,$B143,'июль 2025'!$J$2:$J$2437,AA$1)</f>
        <v>0</v>
      </c>
      <c r="AB143" s="76">
        <f>SUMIFS('июль 2025'!$G$2:$G$2437,'июль 2025'!$D$2:$D$2437,$B143,'июль 2025'!$J$2:$J$2437,AB$1)</f>
        <v>0</v>
      </c>
      <c r="AC143" s="76">
        <f>SUMIFS('июль 2025'!$G$2:$G$2437,'июль 2025'!$D$2:$D$2437,$B143,'июль 2025'!$J$2:$J$2437,AC$1)</f>
        <v>0</v>
      </c>
      <c r="AD143" s="76">
        <f>SUMIFS('июль 2025'!$G$2:$G$2437,'июль 2025'!$D$2:$D$2437,$B143,'июль 2025'!$J$2:$J$2437,AD$1)</f>
        <v>0</v>
      </c>
      <c r="AE143" s="76">
        <f>SUMIFS('июль 2025'!$G$2:$G$2437,'июль 2025'!$D$2:$D$2437,$B143,'июль 2025'!$J$2:$J$2437,AE$1)</f>
        <v>0</v>
      </c>
      <c r="AF143" s="76">
        <f>SUMIFS('июль 2025'!$G$2:$G$2437,'июль 2025'!$D$2:$D$2437,$B143,'июль 2025'!$J$2:$J$2437,AF$1)</f>
        <v>0</v>
      </c>
      <c r="AG143" s="76">
        <f>SUMIFS('июль 2025'!$G$2:$G$2437,'июль 2025'!$D$2:$D$2437,$B143,'июль 2025'!$J$2:$J$2437,AG$1)</f>
        <v>0</v>
      </c>
      <c r="AH143" s="76">
        <f>SUMIFS('июль 2025'!$G$2:$G$2437,'июль 2025'!$D$2:$D$2437,$B143,'июль 2025'!$J$2:$J$2437,AH$1)</f>
        <v>0</v>
      </c>
      <c r="AI143" s="20">
        <f t="shared" si="1"/>
        <v>0</v>
      </c>
    </row>
    <row r="144" spans="2:35" ht="15" customHeight="1" x14ac:dyDescent="0.25">
      <c r="B144" s="84" t="s">
        <v>269</v>
      </c>
      <c r="C144" s="86">
        <v>200</v>
      </c>
      <c r="D144" s="76">
        <f>SUMIFS('июль 2025'!$G$2:$G$2437,'июль 2025'!$D$2:$D$2437,$B144,'июль 2025'!$J$2:$J$2437,D$1)</f>
        <v>0</v>
      </c>
      <c r="E144" s="76">
        <f>SUMIFS('июль 2025'!$G$2:$G$2437,'июль 2025'!$D$2:$D$2437,$B144,'июль 2025'!$J$2:$J$2437,E$1)</f>
        <v>0</v>
      </c>
      <c r="F144" s="76">
        <f>SUMIFS('июль 2025'!$G$2:$G$2437,'июль 2025'!$D$2:$D$2437,$B144,'июль 2025'!$J$2:$J$2437,F$1)</f>
        <v>0</v>
      </c>
      <c r="G144" s="76">
        <f>SUMIFS('июль 2025'!$G$2:$G$2437,'июль 2025'!$D$2:$D$2437,$B144,'июль 2025'!$J$2:$J$2437,G$1)</f>
        <v>0</v>
      </c>
      <c r="H144" s="76">
        <f>SUMIFS('июль 2025'!$G$2:$G$2437,'июль 2025'!$D$2:$D$2437,$B144,'июль 2025'!$J$2:$J$2437,H$1)</f>
        <v>0</v>
      </c>
      <c r="I144" s="76">
        <f>SUMIFS('июль 2025'!$G$2:$G$2437,'июль 2025'!$D$2:$D$2437,$B144,'июль 2025'!$J$2:$J$2437,I$1)</f>
        <v>0</v>
      </c>
      <c r="J144" s="76">
        <f>SUMIFS('июль 2025'!$G$2:$G$2437,'июль 2025'!$D$2:$D$2437,$B144,'июль 2025'!$J$2:$J$2437,J$1)</f>
        <v>0</v>
      </c>
      <c r="K144" s="76">
        <f>SUMIFS('июль 2025'!$G$2:$G$2437,'июль 2025'!$D$2:$D$2437,$B144,'июль 2025'!$J$2:$J$2437,K$1)</f>
        <v>0</v>
      </c>
      <c r="L144" s="76">
        <f>SUMIFS('июль 2025'!$G$2:$G$2437,'июль 2025'!$D$2:$D$2437,$B144,'июль 2025'!$J$2:$J$2437,L$1)</f>
        <v>0</v>
      </c>
      <c r="M144" s="76">
        <f>SUMIFS('июль 2025'!$G$2:$G$2437,'июль 2025'!$D$2:$D$2437,$B144,'июль 2025'!$J$2:$J$2437,M$1)</f>
        <v>0</v>
      </c>
      <c r="N144" s="76">
        <f>SUMIFS('июль 2025'!$G$2:$G$2437,'июль 2025'!$D$2:$D$2437,$B144,'июль 2025'!$J$2:$J$2437,N$1)</f>
        <v>0</v>
      </c>
      <c r="O144" s="76">
        <f>SUMIFS('июль 2025'!$G$2:$G$2437,'июль 2025'!$D$2:$D$2437,$B144,'июль 2025'!$J$2:$J$2437,O$1)</f>
        <v>0</v>
      </c>
      <c r="P144" s="76">
        <f>SUMIFS('июль 2025'!$G$2:$G$2437,'июль 2025'!$D$2:$D$2437,$B144,'июль 2025'!$J$2:$J$2437,P$1)</f>
        <v>0</v>
      </c>
      <c r="Q144" s="76">
        <f>SUMIFS('июль 2025'!$G$2:$G$2437,'июль 2025'!$D$2:$D$2437,$B144,'июль 2025'!$J$2:$J$2437,Q$1)</f>
        <v>0</v>
      </c>
      <c r="R144" s="76">
        <f>SUMIFS('июль 2025'!$G$2:$G$2437,'июль 2025'!$D$2:$D$2437,$B144,'июль 2025'!$J$2:$J$2437,R$1)</f>
        <v>0</v>
      </c>
      <c r="S144" s="76">
        <f>SUMIFS('июль 2025'!$G$2:$G$2437,'июль 2025'!$D$2:$D$2437,$B144,'июль 2025'!$J$2:$J$2437,S$1)</f>
        <v>0</v>
      </c>
      <c r="T144" s="76">
        <f>SUMIFS('июль 2025'!$G$2:$G$2437,'июль 2025'!$D$2:$D$2437,$B144,'июль 2025'!$J$2:$J$2437,T$1)</f>
        <v>0</v>
      </c>
      <c r="U144" s="76">
        <f>SUMIFS('июль 2025'!$G$2:$G$2437,'июль 2025'!$D$2:$D$2437,$B144,'июль 2025'!$J$2:$J$2437,U$1)</f>
        <v>0</v>
      </c>
      <c r="V144" s="76">
        <f>SUMIFS('июль 2025'!$G$2:$G$2437,'июль 2025'!$D$2:$D$2437,$B144,'июль 2025'!$J$2:$J$2437,V$1)</f>
        <v>0</v>
      </c>
      <c r="W144" s="76">
        <f>SUMIFS('июль 2025'!$G$2:$G$2437,'июль 2025'!$D$2:$D$2437,$B144,'июль 2025'!$J$2:$J$2437,W$1)</f>
        <v>0</v>
      </c>
      <c r="X144" s="76">
        <f>SUMIFS('июль 2025'!$G$2:$G$2437,'июль 2025'!$D$2:$D$2437,$B144,'июль 2025'!$J$2:$J$2437,X$1)</f>
        <v>0</v>
      </c>
      <c r="Y144" s="76">
        <f>SUMIFS('июль 2025'!$G$2:$G$2437,'июль 2025'!$D$2:$D$2437,$B144,'июль 2025'!$J$2:$J$2437,Y$1)</f>
        <v>0</v>
      </c>
      <c r="Z144" s="76">
        <f>SUMIFS('июль 2025'!$G$2:$G$2437,'июль 2025'!$D$2:$D$2437,$B144,'июль 2025'!$J$2:$J$2437,Z$1)</f>
        <v>0</v>
      </c>
      <c r="AA144" s="76">
        <f>SUMIFS('июль 2025'!$G$2:$G$2437,'июль 2025'!$D$2:$D$2437,$B144,'июль 2025'!$J$2:$J$2437,AA$1)</f>
        <v>0</v>
      </c>
      <c r="AB144" s="76">
        <f>SUMIFS('июль 2025'!$G$2:$G$2437,'июль 2025'!$D$2:$D$2437,$B144,'июль 2025'!$J$2:$J$2437,AB$1)</f>
        <v>0</v>
      </c>
      <c r="AC144" s="76">
        <f>SUMIFS('июль 2025'!$G$2:$G$2437,'июль 2025'!$D$2:$D$2437,$B144,'июль 2025'!$J$2:$J$2437,AC$1)</f>
        <v>0</v>
      </c>
      <c r="AD144" s="76">
        <f>SUMIFS('июль 2025'!$G$2:$G$2437,'июль 2025'!$D$2:$D$2437,$B144,'июль 2025'!$J$2:$J$2437,AD$1)</f>
        <v>0</v>
      </c>
      <c r="AE144" s="76">
        <f>SUMIFS('июль 2025'!$G$2:$G$2437,'июль 2025'!$D$2:$D$2437,$B144,'июль 2025'!$J$2:$J$2437,AE$1)</f>
        <v>0</v>
      </c>
      <c r="AF144" s="76">
        <f>SUMIFS('июль 2025'!$G$2:$G$2437,'июль 2025'!$D$2:$D$2437,$B144,'июль 2025'!$J$2:$J$2437,AF$1)</f>
        <v>0</v>
      </c>
      <c r="AG144" s="76">
        <f>SUMIFS('июль 2025'!$G$2:$G$2437,'июль 2025'!$D$2:$D$2437,$B144,'июль 2025'!$J$2:$J$2437,AG$1)</f>
        <v>0</v>
      </c>
      <c r="AH144" s="76">
        <f>SUMIFS('июль 2025'!$G$2:$G$2437,'июль 2025'!$D$2:$D$2437,$B144,'июль 2025'!$J$2:$J$2437,AH$1)</f>
        <v>0</v>
      </c>
      <c r="AI144" s="20">
        <f t="shared" si="1"/>
        <v>0</v>
      </c>
    </row>
    <row r="145" spans="2:35" ht="15" customHeight="1" x14ac:dyDescent="0.25">
      <c r="B145" s="84" t="s">
        <v>279</v>
      </c>
      <c r="C145" s="86">
        <v>200</v>
      </c>
      <c r="D145" s="76">
        <f>SUMIFS('июль 2025'!$G$2:$G$2437,'июль 2025'!$D$2:$D$2437,$B145,'июль 2025'!$J$2:$J$2437,D$1)</f>
        <v>0</v>
      </c>
      <c r="E145" s="76">
        <f>SUMIFS('июль 2025'!$G$2:$G$2437,'июль 2025'!$D$2:$D$2437,$B145,'июль 2025'!$J$2:$J$2437,E$1)</f>
        <v>0</v>
      </c>
      <c r="F145" s="76">
        <f>SUMIFS('июль 2025'!$G$2:$G$2437,'июль 2025'!$D$2:$D$2437,$B145,'июль 2025'!$J$2:$J$2437,F$1)</f>
        <v>0</v>
      </c>
      <c r="G145" s="76">
        <f>SUMIFS('июль 2025'!$G$2:$G$2437,'июль 2025'!$D$2:$D$2437,$B145,'июль 2025'!$J$2:$J$2437,G$1)</f>
        <v>0</v>
      </c>
      <c r="H145" s="76">
        <f>SUMIFS('июль 2025'!$G$2:$G$2437,'июль 2025'!$D$2:$D$2437,$B145,'июль 2025'!$J$2:$J$2437,H$1)</f>
        <v>0</v>
      </c>
      <c r="I145" s="76">
        <f>SUMIFS('июль 2025'!$G$2:$G$2437,'июль 2025'!$D$2:$D$2437,$B145,'июль 2025'!$J$2:$J$2437,I$1)</f>
        <v>0</v>
      </c>
      <c r="J145" s="76">
        <f>SUMIFS('июль 2025'!$G$2:$G$2437,'июль 2025'!$D$2:$D$2437,$B145,'июль 2025'!$J$2:$J$2437,J$1)</f>
        <v>0</v>
      </c>
      <c r="K145" s="76">
        <f>SUMIFS('июль 2025'!$G$2:$G$2437,'июль 2025'!$D$2:$D$2437,$B145,'июль 2025'!$J$2:$J$2437,K$1)</f>
        <v>0</v>
      </c>
      <c r="L145" s="76">
        <f>SUMIFS('июль 2025'!$G$2:$G$2437,'июль 2025'!$D$2:$D$2437,$B145,'июль 2025'!$J$2:$J$2437,L$1)</f>
        <v>0</v>
      </c>
      <c r="M145" s="76">
        <f>SUMIFS('июль 2025'!$G$2:$G$2437,'июль 2025'!$D$2:$D$2437,$B145,'июль 2025'!$J$2:$J$2437,M$1)</f>
        <v>0</v>
      </c>
      <c r="N145" s="76">
        <f>SUMIFS('июль 2025'!$G$2:$G$2437,'июль 2025'!$D$2:$D$2437,$B145,'июль 2025'!$J$2:$J$2437,N$1)</f>
        <v>0</v>
      </c>
      <c r="O145" s="76">
        <f>SUMIFS('июль 2025'!$G$2:$G$2437,'июль 2025'!$D$2:$D$2437,$B145,'июль 2025'!$J$2:$J$2437,O$1)</f>
        <v>0</v>
      </c>
      <c r="P145" s="76">
        <f>SUMIFS('июль 2025'!$G$2:$G$2437,'июль 2025'!$D$2:$D$2437,$B145,'июль 2025'!$J$2:$J$2437,P$1)</f>
        <v>0</v>
      </c>
      <c r="Q145" s="76">
        <f>SUMIFS('июль 2025'!$G$2:$G$2437,'июль 2025'!$D$2:$D$2437,$B145,'июль 2025'!$J$2:$J$2437,Q$1)</f>
        <v>0</v>
      </c>
      <c r="R145" s="76">
        <f>SUMIFS('июль 2025'!$G$2:$G$2437,'июль 2025'!$D$2:$D$2437,$B145,'июль 2025'!$J$2:$J$2437,R$1)</f>
        <v>0</v>
      </c>
      <c r="S145" s="76">
        <f>SUMIFS('июль 2025'!$G$2:$G$2437,'июль 2025'!$D$2:$D$2437,$B145,'июль 2025'!$J$2:$J$2437,S$1)</f>
        <v>0</v>
      </c>
      <c r="T145" s="76">
        <f>SUMIFS('июль 2025'!$G$2:$G$2437,'июль 2025'!$D$2:$D$2437,$B145,'июль 2025'!$J$2:$J$2437,T$1)</f>
        <v>0</v>
      </c>
      <c r="U145" s="76">
        <f>SUMIFS('июль 2025'!$G$2:$G$2437,'июль 2025'!$D$2:$D$2437,$B145,'июль 2025'!$J$2:$J$2437,U$1)</f>
        <v>0</v>
      </c>
      <c r="V145" s="76">
        <f>SUMIFS('июль 2025'!$G$2:$G$2437,'июль 2025'!$D$2:$D$2437,$B145,'июль 2025'!$J$2:$J$2437,V$1)</f>
        <v>0</v>
      </c>
      <c r="W145" s="76">
        <f>SUMIFS('июль 2025'!$G$2:$G$2437,'июль 2025'!$D$2:$D$2437,$B145,'июль 2025'!$J$2:$J$2437,W$1)</f>
        <v>0</v>
      </c>
      <c r="X145" s="76">
        <f>SUMIFS('июль 2025'!$G$2:$G$2437,'июль 2025'!$D$2:$D$2437,$B145,'июль 2025'!$J$2:$J$2437,X$1)</f>
        <v>0</v>
      </c>
      <c r="Y145" s="76">
        <f>SUMIFS('июль 2025'!$G$2:$G$2437,'июль 2025'!$D$2:$D$2437,$B145,'июль 2025'!$J$2:$J$2437,Y$1)</f>
        <v>0</v>
      </c>
      <c r="Z145" s="76">
        <f>SUMIFS('июль 2025'!$G$2:$G$2437,'июль 2025'!$D$2:$D$2437,$B145,'июль 2025'!$J$2:$J$2437,Z$1)</f>
        <v>0</v>
      </c>
      <c r="AA145" s="76">
        <f>SUMIFS('июль 2025'!$G$2:$G$2437,'июль 2025'!$D$2:$D$2437,$B145,'июль 2025'!$J$2:$J$2437,AA$1)</f>
        <v>0</v>
      </c>
      <c r="AB145" s="76">
        <f>SUMIFS('июль 2025'!$G$2:$G$2437,'июль 2025'!$D$2:$D$2437,$B145,'июль 2025'!$J$2:$J$2437,AB$1)</f>
        <v>0</v>
      </c>
      <c r="AC145" s="76">
        <f>SUMIFS('июль 2025'!$G$2:$G$2437,'июль 2025'!$D$2:$D$2437,$B145,'июль 2025'!$J$2:$J$2437,AC$1)</f>
        <v>0</v>
      </c>
      <c r="AD145" s="76">
        <f>SUMIFS('июль 2025'!$G$2:$G$2437,'июль 2025'!$D$2:$D$2437,$B145,'июль 2025'!$J$2:$J$2437,AD$1)</f>
        <v>0</v>
      </c>
      <c r="AE145" s="76">
        <f>SUMIFS('июль 2025'!$G$2:$G$2437,'июль 2025'!$D$2:$D$2437,$B145,'июль 2025'!$J$2:$J$2437,AE$1)</f>
        <v>0</v>
      </c>
      <c r="AF145" s="76">
        <f>SUMIFS('июль 2025'!$G$2:$G$2437,'июль 2025'!$D$2:$D$2437,$B145,'июль 2025'!$J$2:$J$2437,AF$1)</f>
        <v>0</v>
      </c>
      <c r="AG145" s="76">
        <f>SUMIFS('июль 2025'!$G$2:$G$2437,'июль 2025'!$D$2:$D$2437,$B145,'июль 2025'!$J$2:$J$2437,AG$1)</f>
        <v>0</v>
      </c>
      <c r="AH145" s="76">
        <f>SUMIFS('июль 2025'!$G$2:$G$2437,'июль 2025'!$D$2:$D$2437,$B145,'июль 2025'!$J$2:$J$2437,AH$1)</f>
        <v>0</v>
      </c>
      <c r="AI145" s="20">
        <f t="shared" si="1"/>
        <v>0</v>
      </c>
    </row>
    <row r="146" spans="2:35" ht="15" customHeight="1" x14ac:dyDescent="0.25">
      <c r="B146" s="84" t="s">
        <v>197</v>
      </c>
      <c r="C146" s="86">
        <v>180</v>
      </c>
      <c r="D146" s="76">
        <f>SUMIFS('июль 2025'!$G$2:$G$2437,'июль 2025'!$D$2:$D$2437,$B146,'июль 2025'!$J$2:$J$2437,D$1)</f>
        <v>0</v>
      </c>
      <c r="E146" s="76">
        <f>SUMIFS('июль 2025'!$G$2:$G$2437,'июль 2025'!$D$2:$D$2437,$B146,'июль 2025'!$J$2:$J$2437,E$1)</f>
        <v>0</v>
      </c>
      <c r="F146" s="76">
        <f>SUMIFS('июль 2025'!$G$2:$G$2437,'июль 2025'!$D$2:$D$2437,$B146,'июль 2025'!$J$2:$J$2437,F$1)</f>
        <v>0</v>
      </c>
      <c r="G146" s="76">
        <f>SUMIFS('июль 2025'!$G$2:$G$2437,'июль 2025'!$D$2:$D$2437,$B146,'июль 2025'!$J$2:$J$2437,G$1)</f>
        <v>0</v>
      </c>
      <c r="H146" s="76">
        <f>SUMIFS('июль 2025'!$G$2:$G$2437,'июль 2025'!$D$2:$D$2437,$B146,'июль 2025'!$J$2:$J$2437,H$1)</f>
        <v>0</v>
      </c>
      <c r="I146" s="76">
        <f>SUMIFS('июль 2025'!$G$2:$G$2437,'июль 2025'!$D$2:$D$2437,$B146,'июль 2025'!$J$2:$J$2437,I$1)</f>
        <v>0</v>
      </c>
      <c r="J146" s="76">
        <f>SUMIFS('июль 2025'!$G$2:$G$2437,'июль 2025'!$D$2:$D$2437,$B146,'июль 2025'!$J$2:$J$2437,J$1)</f>
        <v>0</v>
      </c>
      <c r="K146" s="76">
        <f>SUMIFS('июль 2025'!$G$2:$G$2437,'июль 2025'!$D$2:$D$2437,$B146,'июль 2025'!$J$2:$J$2437,K$1)</f>
        <v>0</v>
      </c>
      <c r="L146" s="76">
        <f>SUMIFS('июль 2025'!$G$2:$G$2437,'июль 2025'!$D$2:$D$2437,$B146,'июль 2025'!$J$2:$J$2437,L$1)</f>
        <v>0</v>
      </c>
      <c r="M146" s="76">
        <f>SUMIFS('июль 2025'!$G$2:$G$2437,'июль 2025'!$D$2:$D$2437,$B146,'июль 2025'!$J$2:$J$2437,M$1)</f>
        <v>0</v>
      </c>
      <c r="N146" s="76">
        <f>SUMIFS('июль 2025'!$G$2:$G$2437,'июль 2025'!$D$2:$D$2437,$B146,'июль 2025'!$J$2:$J$2437,N$1)</f>
        <v>0</v>
      </c>
      <c r="O146" s="76">
        <f>SUMIFS('июль 2025'!$G$2:$G$2437,'июль 2025'!$D$2:$D$2437,$B146,'июль 2025'!$J$2:$J$2437,O$1)</f>
        <v>0</v>
      </c>
      <c r="P146" s="76">
        <f>SUMIFS('июль 2025'!$G$2:$G$2437,'июль 2025'!$D$2:$D$2437,$B146,'июль 2025'!$J$2:$J$2437,P$1)</f>
        <v>0</v>
      </c>
      <c r="Q146" s="76">
        <f>SUMIFS('июль 2025'!$G$2:$G$2437,'июль 2025'!$D$2:$D$2437,$B146,'июль 2025'!$J$2:$J$2437,Q$1)</f>
        <v>0</v>
      </c>
      <c r="R146" s="76">
        <f>SUMIFS('июль 2025'!$G$2:$G$2437,'июль 2025'!$D$2:$D$2437,$B146,'июль 2025'!$J$2:$J$2437,R$1)</f>
        <v>0</v>
      </c>
      <c r="S146" s="76">
        <f>SUMIFS('июль 2025'!$G$2:$G$2437,'июль 2025'!$D$2:$D$2437,$B146,'июль 2025'!$J$2:$J$2437,S$1)</f>
        <v>0</v>
      </c>
      <c r="T146" s="76">
        <f>SUMIFS('июль 2025'!$G$2:$G$2437,'июль 2025'!$D$2:$D$2437,$B146,'июль 2025'!$J$2:$J$2437,T$1)</f>
        <v>0</v>
      </c>
      <c r="U146" s="76">
        <f>SUMIFS('июль 2025'!$G$2:$G$2437,'июль 2025'!$D$2:$D$2437,$B146,'июль 2025'!$J$2:$J$2437,U$1)</f>
        <v>0</v>
      </c>
      <c r="V146" s="76">
        <f>SUMIFS('июль 2025'!$G$2:$G$2437,'июль 2025'!$D$2:$D$2437,$B146,'июль 2025'!$J$2:$J$2437,V$1)</f>
        <v>0</v>
      </c>
      <c r="W146" s="76">
        <f>SUMIFS('июль 2025'!$G$2:$G$2437,'июль 2025'!$D$2:$D$2437,$B146,'июль 2025'!$J$2:$J$2437,W$1)</f>
        <v>0</v>
      </c>
      <c r="X146" s="76">
        <f>SUMIFS('июль 2025'!$G$2:$G$2437,'июль 2025'!$D$2:$D$2437,$B146,'июль 2025'!$J$2:$J$2437,X$1)</f>
        <v>0</v>
      </c>
      <c r="Y146" s="76">
        <f>SUMIFS('июль 2025'!$G$2:$G$2437,'июль 2025'!$D$2:$D$2437,$B146,'июль 2025'!$J$2:$J$2437,Y$1)</f>
        <v>0</v>
      </c>
      <c r="Z146" s="76">
        <f>SUMIFS('июль 2025'!$G$2:$G$2437,'июль 2025'!$D$2:$D$2437,$B146,'июль 2025'!$J$2:$J$2437,Z$1)</f>
        <v>0</v>
      </c>
      <c r="AA146" s="76">
        <f>SUMIFS('июль 2025'!$G$2:$G$2437,'июль 2025'!$D$2:$D$2437,$B146,'июль 2025'!$J$2:$J$2437,AA$1)</f>
        <v>0</v>
      </c>
      <c r="AB146" s="76">
        <f>SUMIFS('июль 2025'!$G$2:$G$2437,'июль 2025'!$D$2:$D$2437,$B146,'июль 2025'!$J$2:$J$2437,AB$1)</f>
        <v>0</v>
      </c>
      <c r="AC146" s="76">
        <f>SUMIFS('июль 2025'!$G$2:$G$2437,'июль 2025'!$D$2:$D$2437,$B146,'июль 2025'!$J$2:$J$2437,AC$1)</f>
        <v>0</v>
      </c>
      <c r="AD146" s="76">
        <f>SUMIFS('июль 2025'!$G$2:$G$2437,'июль 2025'!$D$2:$D$2437,$B146,'июль 2025'!$J$2:$J$2437,AD$1)</f>
        <v>0</v>
      </c>
      <c r="AE146" s="76">
        <f>SUMIFS('июль 2025'!$G$2:$G$2437,'июль 2025'!$D$2:$D$2437,$B146,'июль 2025'!$J$2:$J$2437,AE$1)</f>
        <v>0</v>
      </c>
      <c r="AF146" s="76">
        <f>SUMIFS('июль 2025'!$G$2:$G$2437,'июль 2025'!$D$2:$D$2437,$B146,'июль 2025'!$J$2:$J$2437,AF$1)</f>
        <v>0</v>
      </c>
      <c r="AG146" s="76">
        <f>SUMIFS('июль 2025'!$G$2:$G$2437,'июль 2025'!$D$2:$D$2437,$B146,'июль 2025'!$J$2:$J$2437,AG$1)</f>
        <v>0</v>
      </c>
      <c r="AH146" s="76">
        <f>SUMIFS('июль 2025'!$G$2:$G$2437,'июль 2025'!$D$2:$D$2437,$B146,'июль 2025'!$J$2:$J$2437,AH$1)</f>
        <v>0</v>
      </c>
      <c r="AI146" s="20">
        <f t="shared" si="1"/>
        <v>0</v>
      </c>
    </row>
    <row r="147" spans="2:35" ht="15" customHeight="1" x14ac:dyDescent="0.25">
      <c r="B147" s="88" t="s">
        <v>293</v>
      </c>
      <c r="C147" s="86">
        <v>180</v>
      </c>
      <c r="D147" s="76">
        <f>SUMIFS('июль 2025'!$G$2:$G$2437,'июль 2025'!$D$2:$D$2437,$B147,'июль 2025'!$J$2:$J$2437,D$1)</f>
        <v>0</v>
      </c>
      <c r="E147" s="76">
        <f>SUMIFS('июль 2025'!$G$2:$G$2437,'июль 2025'!$D$2:$D$2437,$B147,'июль 2025'!$J$2:$J$2437,E$1)</f>
        <v>0</v>
      </c>
      <c r="F147" s="76">
        <f>SUMIFS('июль 2025'!$G$2:$G$2437,'июль 2025'!$D$2:$D$2437,$B147,'июль 2025'!$J$2:$J$2437,F$1)</f>
        <v>0</v>
      </c>
      <c r="G147" s="76">
        <f>SUMIFS('июль 2025'!$G$2:$G$2437,'июль 2025'!$D$2:$D$2437,$B147,'июль 2025'!$J$2:$J$2437,G$1)</f>
        <v>0</v>
      </c>
      <c r="H147" s="76">
        <f>SUMIFS('июль 2025'!$G$2:$G$2437,'июль 2025'!$D$2:$D$2437,$B147,'июль 2025'!$J$2:$J$2437,H$1)</f>
        <v>0</v>
      </c>
      <c r="I147" s="76">
        <f>SUMIFS('июль 2025'!$G$2:$G$2437,'июль 2025'!$D$2:$D$2437,$B147,'июль 2025'!$J$2:$J$2437,I$1)</f>
        <v>0</v>
      </c>
      <c r="J147" s="76">
        <f>SUMIFS('июль 2025'!$G$2:$G$2437,'июль 2025'!$D$2:$D$2437,$B147,'июль 2025'!$J$2:$J$2437,J$1)</f>
        <v>0</v>
      </c>
      <c r="K147" s="76">
        <f>SUMIFS('июль 2025'!$G$2:$G$2437,'июль 2025'!$D$2:$D$2437,$B147,'июль 2025'!$J$2:$J$2437,K$1)</f>
        <v>0</v>
      </c>
      <c r="L147" s="76">
        <f>SUMIFS('июль 2025'!$G$2:$G$2437,'июль 2025'!$D$2:$D$2437,$B147,'июль 2025'!$J$2:$J$2437,L$1)</f>
        <v>0</v>
      </c>
      <c r="M147" s="76">
        <f>SUMIFS('июль 2025'!$G$2:$G$2437,'июль 2025'!$D$2:$D$2437,$B147,'июль 2025'!$J$2:$J$2437,M$1)</f>
        <v>0</v>
      </c>
      <c r="N147" s="76">
        <f>SUMIFS('июль 2025'!$G$2:$G$2437,'июль 2025'!$D$2:$D$2437,$B147,'июль 2025'!$J$2:$J$2437,N$1)</f>
        <v>0</v>
      </c>
      <c r="O147" s="76">
        <f>SUMIFS('июль 2025'!$G$2:$G$2437,'июль 2025'!$D$2:$D$2437,$B147,'июль 2025'!$J$2:$J$2437,O$1)</f>
        <v>0</v>
      </c>
      <c r="P147" s="76">
        <f>SUMIFS('июль 2025'!$G$2:$G$2437,'июль 2025'!$D$2:$D$2437,$B147,'июль 2025'!$J$2:$J$2437,P$1)</f>
        <v>0</v>
      </c>
      <c r="Q147" s="76">
        <f>SUMIFS('июль 2025'!$G$2:$G$2437,'июль 2025'!$D$2:$D$2437,$B147,'июль 2025'!$J$2:$J$2437,Q$1)</f>
        <v>0</v>
      </c>
      <c r="R147" s="76">
        <f>SUMIFS('июль 2025'!$G$2:$G$2437,'июль 2025'!$D$2:$D$2437,$B147,'июль 2025'!$J$2:$J$2437,R$1)</f>
        <v>0</v>
      </c>
      <c r="S147" s="76">
        <f>SUMIFS('июль 2025'!$G$2:$G$2437,'июль 2025'!$D$2:$D$2437,$B147,'июль 2025'!$J$2:$J$2437,S$1)</f>
        <v>0</v>
      </c>
      <c r="T147" s="76">
        <f>SUMIFS('июль 2025'!$G$2:$G$2437,'июль 2025'!$D$2:$D$2437,$B147,'июль 2025'!$J$2:$J$2437,T$1)</f>
        <v>0</v>
      </c>
      <c r="U147" s="76">
        <f>SUMIFS('июль 2025'!$G$2:$G$2437,'июль 2025'!$D$2:$D$2437,$B147,'июль 2025'!$J$2:$J$2437,U$1)</f>
        <v>0</v>
      </c>
      <c r="V147" s="76">
        <f>SUMIFS('июль 2025'!$G$2:$G$2437,'июль 2025'!$D$2:$D$2437,$B147,'июль 2025'!$J$2:$J$2437,V$1)</f>
        <v>0</v>
      </c>
      <c r="W147" s="76">
        <f>SUMIFS('июль 2025'!$G$2:$G$2437,'июль 2025'!$D$2:$D$2437,$B147,'июль 2025'!$J$2:$J$2437,W$1)</f>
        <v>0</v>
      </c>
      <c r="X147" s="76">
        <f>SUMIFS('июль 2025'!$G$2:$G$2437,'июль 2025'!$D$2:$D$2437,$B147,'июль 2025'!$J$2:$J$2437,X$1)</f>
        <v>0</v>
      </c>
      <c r="Y147" s="76">
        <f>SUMIFS('июль 2025'!$G$2:$G$2437,'июль 2025'!$D$2:$D$2437,$B147,'июль 2025'!$J$2:$J$2437,Y$1)</f>
        <v>0</v>
      </c>
      <c r="Z147" s="76">
        <f>SUMIFS('июль 2025'!$G$2:$G$2437,'июль 2025'!$D$2:$D$2437,$B147,'июль 2025'!$J$2:$J$2437,Z$1)</f>
        <v>0</v>
      </c>
      <c r="AA147" s="76">
        <f>SUMIFS('июль 2025'!$G$2:$G$2437,'июль 2025'!$D$2:$D$2437,$B147,'июль 2025'!$J$2:$J$2437,AA$1)</f>
        <v>0</v>
      </c>
      <c r="AB147" s="76">
        <f>SUMIFS('июль 2025'!$G$2:$G$2437,'июль 2025'!$D$2:$D$2437,$B147,'июль 2025'!$J$2:$J$2437,AB$1)</f>
        <v>0</v>
      </c>
      <c r="AC147" s="76">
        <f>SUMIFS('июль 2025'!$G$2:$G$2437,'июль 2025'!$D$2:$D$2437,$B147,'июль 2025'!$J$2:$J$2437,AC$1)</f>
        <v>0</v>
      </c>
      <c r="AD147" s="76">
        <f>SUMIFS('июль 2025'!$G$2:$G$2437,'июль 2025'!$D$2:$D$2437,$B147,'июль 2025'!$J$2:$J$2437,AD$1)</f>
        <v>0</v>
      </c>
      <c r="AE147" s="76">
        <f>SUMIFS('июль 2025'!$G$2:$G$2437,'июль 2025'!$D$2:$D$2437,$B147,'июль 2025'!$J$2:$J$2437,AE$1)</f>
        <v>0</v>
      </c>
      <c r="AF147" s="76">
        <f>SUMIFS('июль 2025'!$G$2:$G$2437,'июль 2025'!$D$2:$D$2437,$B147,'июль 2025'!$J$2:$J$2437,AF$1)</f>
        <v>0</v>
      </c>
      <c r="AG147" s="76">
        <f>SUMIFS('июль 2025'!$G$2:$G$2437,'июль 2025'!$D$2:$D$2437,$B147,'июль 2025'!$J$2:$J$2437,AG$1)</f>
        <v>0</v>
      </c>
      <c r="AH147" s="76">
        <f>SUMIFS('июль 2025'!$G$2:$G$2437,'июль 2025'!$D$2:$D$2437,$B147,'июль 2025'!$J$2:$J$2437,AH$1)</f>
        <v>0</v>
      </c>
      <c r="AI147" s="20">
        <f t="shared" si="1"/>
        <v>0</v>
      </c>
    </row>
    <row r="148" spans="2:35" ht="15" customHeight="1" x14ac:dyDescent="0.25">
      <c r="B148" s="88" t="s">
        <v>181</v>
      </c>
      <c r="C148" s="86">
        <v>190</v>
      </c>
      <c r="D148" s="76">
        <f>SUMIFS('июль 2025'!$G$2:$G$2437,'июль 2025'!$D$2:$D$2437,$B148,'июль 2025'!$J$2:$J$2437,D$1)</f>
        <v>0</v>
      </c>
      <c r="E148" s="76">
        <f>SUMIFS('июль 2025'!$G$2:$G$2437,'июль 2025'!$D$2:$D$2437,$B148,'июль 2025'!$J$2:$J$2437,E$1)</f>
        <v>0</v>
      </c>
      <c r="F148" s="76">
        <f>SUMIFS('июль 2025'!$G$2:$G$2437,'июль 2025'!$D$2:$D$2437,$B148,'июль 2025'!$J$2:$J$2437,F$1)</f>
        <v>0</v>
      </c>
      <c r="G148" s="76">
        <f>SUMIFS('июль 2025'!$G$2:$G$2437,'июль 2025'!$D$2:$D$2437,$B148,'июль 2025'!$J$2:$J$2437,G$1)</f>
        <v>0</v>
      </c>
      <c r="H148" s="76">
        <f>SUMIFS('июль 2025'!$G$2:$G$2437,'июль 2025'!$D$2:$D$2437,$B148,'июль 2025'!$J$2:$J$2437,H$1)</f>
        <v>0</v>
      </c>
      <c r="I148" s="76">
        <f>SUMIFS('июль 2025'!$G$2:$G$2437,'июль 2025'!$D$2:$D$2437,$B148,'июль 2025'!$J$2:$J$2437,I$1)</f>
        <v>0</v>
      </c>
      <c r="J148" s="76">
        <f>SUMIFS('июль 2025'!$G$2:$G$2437,'июль 2025'!$D$2:$D$2437,$B148,'июль 2025'!$J$2:$J$2437,J$1)</f>
        <v>0</v>
      </c>
      <c r="K148" s="76">
        <f>SUMIFS('июль 2025'!$G$2:$G$2437,'июль 2025'!$D$2:$D$2437,$B148,'июль 2025'!$J$2:$J$2437,K$1)</f>
        <v>0</v>
      </c>
      <c r="L148" s="76">
        <f>SUMIFS('июль 2025'!$G$2:$G$2437,'июль 2025'!$D$2:$D$2437,$B148,'июль 2025'!$J$2:$J$2437,L$1)</f>
        <v>0</v>
      </c>
      <c r="M148" s="76">
        <f>SUMIFS('июль 2025'!$G$2:$G$2437,'июль 2025'!$D$2:$D$2437,$B148,'июль 2025'!$J$2:$J$2437,M$1)</f>
        <v>0</v>
      </c>
      <c r="N148" s="76">
        <f>SUMIFS('июль 2025'!$G$2:$G$2437,'июль 2025'!$D$2:$D$2437,$B148,'июль 2025'!$J$2:$J$2437,N$1)</f>
        <v>0</v>
      </c>
      <c r="O148" s="76">
        <f>SUMIFS('июль 2025'!$G$2:$G$2437,'июль 2025'!$D$2:$D$2437,$B148,'июль 2025'!$J$2:$J$2437,O$1)</f>
        <v>0</v>
      </c>
      <c r="P148" s="76">
        <f>SUMIFS('июль 2025'!$G$2:$G$2437,'июль 2025'!$D$2:$D$2437,$B148,'июль 2025'!$J$2:$J$2437,P$1)</f>
        <v>0</v>
      </c>
      <c r="Q148" s="76">
        <f>SUMIFS('июль 2025'!$G$2:$G$2437,'июль 2025'!$D$2:$D$2437,$B148,'июль 2025'!$J$2:$J$2437,Q$1)</f>
        <v>0</v>
      </c>
      <c r="R148" s="76">
        <f>SUMIFS('июль 2025'!$G$2:$G$2437,'июль 2025'!$D$2:$D$2437,$B148,'июль 2025'!$J$2:$J$2437,R$1)</f>
        <v>0</v>
      </c>
      <c r="S148" s="76">
        <f>SUMIFS('июль 2025'!$G$2:$G$2437,'июль 2025'!$D$2:$D$2437,$B148,'июль 2025'!$J$2:$J$2437,S$1)</f>
        <v>0</v>
      </c>
      <c r="T148" s="76">
        <f>SUMIFS('июль 2025'!$G$2:$G$2437,'июль 2025'!$D$2:$D$2437,$B148,'июль 2025'!$J$2:$J$2437,T$1)</f>
        <v>0</v>
      </c>
      <c r="U148" s="76">
        <f>SUMIFS('июль 2025'!$G$2:$G$2437,'июль 2025'!$D$2:$D$2437,$B148,'июль 2025'!$J$2:$J$2437,U$1)</f>
        <v>0</v>
      </c>
      <c r="V148" s="76">
        <f>SUMIFS('июль 2025'!$G$2:$G$2437,'июль 2025'!$D$2:$D$2437,$B148,'июль 2025'!$J$2:$J$2437,V$1)</f>
        <v>0</v>
      </c>
      <c r="W148" s="76">
        <f>SUMIFS('июль 2025'!$G$2:$G$2437,'июль 2025'!$D$2:$D$2437,$B148,'июль 2025'!$J$2:$J$2437,W$1)</f>
        <v>0</v>
      </c>
      <c r="X148" s="76">
        <f>SUMIFS('июль 2025'!$G$2:$G$2437,'июль 2025'!$D$2:$D$2437,$B148,'июль 2025'!$J$2:$J$2437,X$1)</f>
        <v>0</v>
      </c>
      <c r="Y148" s="76">
        <f>SUMIFS('июль 2025'!$G$2:$G$2437,'июль 2025'!$D$2:$D$2437,$B148,'июль 2025'!$J$2:$J$2437,Y$1)</f>
        <v>0</v>
      </c>
      <c r="Z148" s="76">
        <f>SUMIFS('июль 2025'!$G$2:$G$2437,'июль 2025'!$D$2:$D$2437,$B148,'июль 2025'!$J$2:$J$2437,Z$1)</f>
        <v>0</v>
      </c>
      <c r="AA148" s="76">
        <f>SUMIFS('июль 2025'!$G$2:$G$2437,'июль 2025'!$D$2:$D$2437,$B148,'июль 2025'!$J$2:$J$2437,AA$1)</f>
        <v>0</v>
      </c>
      <c r="AB148" s="76">
        <f>SUMIFS('июль 2025'!$G$2:$G$2437,'июль 2025'!$D$2:$D$2437,$B148,'июль 2025'!$J$2:$J$2437,AB$1)</f>
        <v>0</v>
      </c>
      <c r="AC148" s="76">
        <f>SUMIFS('июль 2025'!$G$2:$G$2437,'июль 2025'!$D$2:$D$2437,$B148,'июль 2025'!$J$2:$J$2437,AC$1)</f>
        <v>0</v>
      </c>
      <c r="AD148" s="76">
        <f>SUMIFS('июль 2025'!$G$2:$G$2437,'июль 2025'!$D$2:$D$2437,$B148,'июль 2025'!$J$2:$J$2437,AD$1)</f>
        <v>0</v>
      </c>
      <c r="AE148" s="76">
        <f>SUMIFS('июль 2025'!$G$2:$G$2437,'июль 2025'!$D$2:$D$2437,$B148,'июль 2025'!$J$2:$J$2437,AE$1)</f>
        <v>0</v>
      </c>
      <c r="AF148" s="76">
        <f>SUMIFS('июль 2025'!$G$2:$G$2437,'июль 2025'!$D$2:$D$2437,$B148,'июль 2025'!$J$2:$J$2437,AF$1)</f>
        <v>0</v>
      </c>
      <c r="AG148" s="76">
        <f>SUMIFS('июль 2025'!$G$2:$G$2437,'июль 2025'!$D$2:$D$2437,$B148,'июль 2025'!$J$2:$J$2437,AG$1)</f>
        <v>0</v>
      </c>
      <c r="AH148" s="76">
        <f>SUMIFS('июль 2025'!$G$2:$G$2437,'июль 2025'!$D$2:$D$2437,$B148,'июль 2025'!$J$2:$J$2437,AH$1)</f>
        <v>0</v>
      </c>
      <c r="AI148" s="20">
        <f t="shared" si="1"/>
        <v>0</v>
      </c>
    </row>
    <row r="149" spans="2:35" ht="15" customHeight="1" x14ac:dyDescent="0.25">
      <c r="B149" s="88" t="s">
        <v>270</v>
      </c>
      <c r="C149" s="86">
        <v>190</v>
      </c>
      <c r="D149" s="76">
        <f>SUMIFS('июль 2025'!$G$2:$G$2437,'июль 2025'!$D$2:$D$2437,$B149,'июль 2025'!$J$2:$J$2437,D$1)</f>
        <v>0</v>
      </c>
      <c r="E149" s="76">
        <f>SUMIFS('июль 2025'!$G$2:$G$2437,'июль 2025'!$D$2:$D$2437,$B149,'июль 2025'!$J$2:$J$2437,E$1)</f>
        <v>0</v>
      </c>
      <c r="F149" s="76">
        <f>SUMIFS('июль 2025'!$G$2:$G$2437,'июль 2025'!$D$2:$D$2437,$B149,'июль 2025'!$J$2:$J$2437,F$1)</f>
        <v>0</v>
      </c>
      <c r="G149" s="76">
        <f>SUMIFS('июль 2025'!$G$2:$G$2437,'июль 2025'!$D$2:$D$2437,$B149,'июль 2025'!$J$2:$J$2437,G$1)</f>
        <v>0</v>
      </c>
      <c r="H149" s="76">
        <f>SUMIFS('июль 2025'!$G$2:$G$2437,'июль 2025'!$D$2:$D$2437,$B149,'июль 2025'!$J$2:$J$2437,H$1)</f>
        <v>0</v>
      </c>
      <c r="I149" s="76">
        <f>SUMIFS('июль 2025'!$G$2:$G$2437,'июль 2025'!$D$2:$D$2437,$B149,'июль 2025'!$J$2:$J$2437,I$1)</f>
        <v>0</v>
      </c>
      <c r="J149" s="76">
        <f>SUMIFS('июль 2025'!$G$2:$G$2437,'июль 2025'!$D$2:$D$2437,$B149,'июль 2025'!$J$2:$J$2437,J$1)</f>
        <v>0</v>
      </c>
      <c r="K149" s="76">
        <f>SUMIFS('июль 2025'!$G$2:$G$2437,'июль 2025'!$D$2:$D$2437,$B149,'июль 2025'!$J$2:$J$2437,K$1)</f>
        <v>0</v>
      </c>
      <c r="L149" s="76">
        <f>SUMIFS('июль 2025'!$G$2:$G$2437,'июль 2025'!$D$2:$D$2437,$B149,'июль 2025'!$J$2:$J$2437,L$1)</f>
        <v>0</v>
      </c>
      <c r="M149" s="76">
        <f>SUMIFS('июль 2025'!$G$2:$G$2437,'июль 2025'!$D$2:$D$2437,$B149,'июль 2025'!$J$2:$J$2437,M$1)</f>
        <v>0</v>
      </c>
      <c r="N149" s="76">
        <f>SUMIFS('июль 2025'!$G$2:$G$2437,'июль 2025'!$D$2:$D$2437,$B149,'июль 2025'!$J$2:$J$2437,N$1)</f>
        <v>0</v>
      </c>
      <c r="O149" s="76">
        <f>SUMIFS('июль 2025'!$G$2:$G$2437,'июль 2025'!$D$2:$D$2437,$B149,'июль 2025'!$J$2:$J$2437,O$1)</f>
        <v>0</v>
      </c>
      <c r="P149" s="76">
        <f>SUMIFS('июль 2025'!$G$2:$G$2437,'июль 2025'!$D$2:$D$2437,$B149,'июль 2025'!$J$2:$J$2437,P$1)</f>
        <v>0</v>
      </c>
      <c r="Q149" s="76">
        <f>SUMIFS('июль 2025'!$G$2:$G$2437,'июль 2025'!$D$2:$D$2437,$B149,'июль 2025'!$J$2:$J$2437,Q$1)</f>
        <v>0</v>
      </c>
      <c r="R149" s="76">
        <f>SUMIFS('июль 2025'!$G$2:$G$2437,'июль 2025'!$D$2:$D$2437,$B149,'июль 2025'!$J$2:$J$2437,R$1)</f>
        <v>0</v>
      </c>
      <c r="S149" s="76">
        <f>SUMIFS('июль 2025'!$G$2:$G$2437,'июль 2025'!$D$2:$D$2437,$B149,'июль 2025'!$J$2:$J$2437,S$1)</f>
        <v>0</v>
      </c>
      <c r="T149" s="76">
        <f>SUMIFS('июль 2025'!$G$2:$G$2437,'июль 2025'!$D$2:$D$2437,$B149,'июль 2025'!$J$2:$J$2437,T$1)</f>
        <v>0</v>
      </c>
      <c r="U149" s="76">
        <f>SUMIFS('июль 2025'!$G$2:$G$2437,'июль 2025'!$D$2:$D$2437,$B149,'июль 2025'!$J$2:$J$2437,U$1)</f>
        <v>0</v>
      </c>
      <c r="V149" s="76">
        <f>SUMIFS('июль 2025'!$G$2:$G$2437,'июль 2025'!$D$2:$D$2437,$B149,'июль 2025'!$J$2:$J$2437,V$1)</f>
        <v>0</v>
      </c>
      <c r="W149" s="76">
        <f>SUMIFS('июль 2025'!$G$2:$G$2437,'июль 2025'!$D$2:$D$2437,$B149,'июль 2025'!$J$2:$J$2437,W$1)</f>
        <v>0</v>
      </c>
      <c r="X149" s="76">
        <f>SUMIFS('июль 2025'!$G$2:$G$2437,'июль 2025'!$D$2:$D$2437,$B149,'июль 2025'!$J$2:$J$2437,X$1)</f>
        <v>0</v>
      </c>
      <c r="Y149" s="76">
        <f>SUMIFS('июль 2025'!$G$2:$G$2437,'июль 2025'!$D$2:$D$2437,$B149,'июль 2025'!$J$2:$J$2437,Y$1)</f>
        <v>0</v>
      </c>
      <c r="Z149" s="76">
        <f>SUMIFS('июль 2025'!$G$2:$G$2437,'июль 2025'!$D$2:$D$2437,$B149,'июль 2025'!$J$2:$J$2437,Z$1)</f>
        <v>0</v>
      </c>
      <c r="AA149" s="76">
        <f>SUMIFS('июль 2025'!$G$2:$G$2437,'июль 2025'!$D$2:$D$2437,$B149,'июль 2025'!$J$2:$J$2437,AA$1)</f>
        <v>0</v>
      </c>
      <c r="AB149" s="76">
        <f>SUMIFS('июль 2025'!$G$2:$G$2437,'июль 2025'!$D$2:$D$2437,$B149,'июль 2025'!$J$2:$J$2437,AB$1)</f>
        <v>0</v>
      </c>
      <c r="AC149" s="76">
        <f>SUMIFS('июль 2025'!$G$2:$G$2437,'июль 2025'!$D$2:$D$2437,$B149,'июль 2025'!$J$2:$J$2437,AC$1)</f>
        <v>0</v>
      </c>
      <c r="AD149" s="76">
        <f>SUMIFS('июль 2025'!$G$2:$G$2437,'июль 2025'!$D$2:$D$2437,$B149,'июль 2025'!$J$2:$J$2437,AD$1)</f>
        <v>0</v>
      </c>
      <c r="AE149" s="76">
        <f>SUMIFS('июль 2025'!$G$2:$G$2437,'июль 2025'!$D$2:$D$2437,$B149,'июль 2025'!$J$2:$J$2437,AE$1)</f>
        <v>0</v>
      </c>
      <c r="AF149" s="76">
        <f>SUMIFS('июль 2025'!$G$2:$G$2437,'июль 2025'!$D$2:$D$2437,$B149,'июль 2025'!$J$2:$J$2437,AF$1)</f>
        <v>0</v>
      </c>
      <c r="AG149" s="76">
        <f>SUMIFS('июль 2025'!$G$2:$G$2437,'июль 2025'!$D$2:$D$2437,$B149,'июль 2025'!$J$2:$J$2437,AG$1)</f>
        <v>0</v>
      </c>
      <c r="AH149" s="76">
        <f>SUMIFS('июль 2025'!$G$2:$G$2437,'июль 2025'!$D$2:$D$2437,$B149,'июль 2025'!$J$2:$J$2437,AH$1)</f>
        <v>0</v>
      </c>
      <c r="AI149" s="20">
        <f t="shared" si="1"/>
        <v>0</v>
      </c>
    </row>
    <row r="150" spans="2:35" ht="16.899999999999999" customHeight="1" x14ac:dyDescent="0.25">
      <c r="B150" s="84" t="s">
        <v>271</v>
      </c>
      <c r="C150" s="83">
        <v>200</v>
      </c>
      <c r="D150" s="76">
        <f>SUMIFS('июль 2025'!$G$2:$G$2437,'июль 2025'!$D$2:$D$2437,$B150,'июль 2025'!$J$2:$J$2437,D$1)</f>
        <v>0</v>
      </c>
      <c r="E150" s="76">
        <f>SUMIFS('июль 2025'!$G$2:$G$2437,'июль 2025'!$D$2:$D$2437,$B150,'июль 2025'!$J$2:$J$2437,E$1)</f>
        <v>0</v>
      </c>
      <c r="F150" s="76">
        <f>SUMIFS('июль 2025'!$G$2:$G$2437,'июль 2025'!$D$2:$D$2437,$B150,'июль 2025'!$J$2:$J$2437,F$1)</f>
        <v>0</v>
      </c>
      <c r="G150" s="76">
        <f>SUMIFS('июль 2025'!$G$2:$G$2437,'июль 2025'!$D$2:$D$2437,$B150,'июль 2025'!$J$2:$J$2437,G$1)</f>
        <v>0</v>
      </c>
      <c r="H150" s="76">
        <f>SUMIFS('июль 2025'!$G$2:$G$2437,'июль 2025'!$D$2:$D$2437,$B150,'июль 2025'!$J$2:$J$2437,H$1)</f>
        <v>0</v>
      </c>
      <c r="I150" s="76">
        <f>SUMIFS('июль 2025'!$G$2:$G$2437,'июль 2025'!$D$2:$D$2437,$B150,'июль 2025'!$J$2:$J$2437,I$1)</f>
        <v>0</v>
      </c>
      <c r="J150" s="76">
        <f>SUMIFS('июль 2025'!$G$2:$G$2437,'июль 2025'!$D$2:$D$2437,$B150,'июль 2025'!$J$2:$J$2437,J$1)</f>
        <v>0</v>
      </c>
      <c r="K150" s="76">
        <f>SUMIFS('июль 2025'!$G$2:$G$2437,'июль 2025'!$D$2:$D$2437,$B150,'июль 2025'!$J$2:$J$2437,K$1)</f>
        <v>0</v>
      </c>
      <c r="L150" s="76">
        <f>SUMIFS('июль 2025'!$G$2:$G$2437,'июль 2025'!$D$2:$D$2437,$B150,'июль 2025'!$J$2:$J$2437,L$1)</f>
        <v>0</v>
      </c>
      <c r="M150" s="76">
        <f>SUMIFS('июль 2025'!$G$2:$G$2437,'июль 2025'!$D$2:$D$2437,$B150,'июль 2025'!$J$2:$J$2437,M$1)</f>
        <v>0</v>
      </c>
      <c r="N150" s="76">
        <f>SUMIFS('июль 2025'!$G$2:$G$2437,'июль 2025'!$D$2:$D$2437,$B150,'июль 2025'!$J$2:$J$2437,N$1)</f>
        <v>0</v>
      </c>
      <c r="O150" s="76">
        <f>SUMIFS('июль 2025'!$G$2:$G$2437,'июль 2025'!$D$2:$D$2437,$B150,'июль 2025'!$J$2:$J$2437,O$1)</f>
        <v>0</v>
      </c>
      <c r="P150" s="76">
        <f>SUMIFS('июль 2025'!$G$2:$G$2437,'июль 2025'!$D$2:$D$2437,$B150,'июль 2025'!$J$2:$J$2437,P$1)</f>
        <v>0</v>
      </c>
      <c r="Q150" s="76">
        <f>SUMIFS('июль 2025'!$G$2:$G$2437,'июль 2025'!$D$2:$D$2437,$B150,'июль 2025'!$J$2:$J$2437,Q$1)</f>
        <v>0</v>
      </c>
      <c r="R150" s="76">
        <f>SUMIFS('июль 2025'!$G$2:$G$2437,'июль 2025'!$D$2:$D$2437,$B150,'июль 2025'!$J$2:$J$2437,R$1)</f>
        <v>0</v>
      </c>
      <c r="S150" s="76">
        <f>SUMIFS('июль 2025'!$G$2:$G$2437,'июль 2025'!$D$2:$D$2437,$B150,'июль 2025'!$J$2:$J$2437,S$1)</f>
        <v>0</v>
      </c>
      <c r="T150" s="76">
        <f>SUMIFS('июль 2025'!$G$2:$G$2437,'июль 2025'!$D$2:$D$2437,$B150,'июль 2025'!$J$2:$J$2437,T$1)</f>
        <v>0</v>
      </c>
      <c r="U150" s="76">
        <f>SUMIFS('июль 2025'!$G$2:$G$2437,'июль 2025'!$D$2:$D$2437,$B150,'июль 2025'!$J$2:$J$2437,U$1)</f>
        <v>0</v>
      </c>
      <c r="V150" s="76">
        <f>SUMIFS('июль 2025'!$G$2:$G$2437,'июль 2025'!$D$2:$D$2437,$B150,'июль 2025'!$J$2:$J$2437,V$1)</f>
        <v>0</v>
      </c>
      <c r="W150" s="76">
        <f>SUMIFS('июль 2025'!$G$2:$G$2437,'июль 2025'!$D$2:$D$2437,$B150,'июль 2025'!$J$2:$J$2437,W$1)</f>
        <v>0</v>
      </c>
      <c r="X150" s="76">
        <f>SUMIFS('июль 2025'!$G$2:$G$2437,'июль 2025'!$D$2:$D$2437,$B150,'июль 2025'!$J$2:$J$2437,X$1)</f>
        <v>0</v>
      </c>
      <c r="Y150" s="76">
        <f>SUMIFS('июль 2025'!$G$2:$G$2437,'июль 2025'!$D$2:$D$2437,$B150,'июль 2025'!$J$2:$J$2437,Y$1)</f>
        <v>0</v>
      </c>
      <c r="Z150" s="76">
        <f>SUMIFS('июль 2025'!$G$2:$G$2437,'июль 2025'!$D$2:$D$2437,$B150,'июль 2025'!$J$2:$J$2437,Z$1)</f>
        <v>0</v>
      </c>
      <c r="AA150" s="76">
        <f>SUMIFS('июль 2025'!$G$2:$G$2437,'июль 2025'!$D$2:$D$2437,$B150,'июль 2025'!$J$2:$J$2437,AA$1)</f>
        <v>0</v>
      </c>
      <c r="AB150" s="76">
        <f>SUMIFS('июль 2025'!$G$2:$G$2437,'июль 2025'!$D$2:$D$2437,$B150,'июль 2025'!$J$2:$J$2437,AB$1)</f>
        <v>0</v>
      </c>
      <c r="AC150" s="76">
        <f>SUMIFS('июль 2025'!$G$2:$G$2437,'июль 2025'!$D$2:$D$2437,$B150,'июль 2025'!$J$2:$J$2437,AC$1)</f>
        <v>0</v>
      </c>
      <c r="AD150" s="76">
        <f>SUMIFS('июль 2025'!$G$2:$G$2437,'июль 2025'!$D$2:$D$2437,$B150,'июль 2025'!$J$2:$J$2437,AD$1)</f>
        <v>0</v>
      </c>
      <c r="AE150" s="76">
        <f>SUMIFS('июль 2025'!$G$2:$G$2437,'июль 2025'!$D$2:$D$2437,$B150,'июль 2025'!$J$2:$J$2437,AE$1)</f>
        <v>0</v>
      </c>
      <c r="AF150" s="76">
        <f>SUMIFS('июль 2025'!$G$2:$G$2437,'июль 2025'!$D$2:$D$2437,$B150,'июль 2025'!$J$2:$J$2437,AF$1)</f>
        <v>0</v>
      </c>
      <c r="AG150" s="76">
        <f>SUMIFS('июль 2025'!$G$2:$G$2437,'июль 2025'!$D$2:$D$2437,$B150,'июль 2025'!$J$2:$J$2437,AG$1)</f>
        <v>0</v>
      </c>
      <c r="AH150" s="76">
        <f>SUMIFS('июль 2025'!$G$2:$G$2437,'июль 2025'!$D$2:$D$2437,$B150,'июль 2025'!$J$2:$J$2437,AH$1)</f>
        <v>0</v>
      </c>
      <c r="AI150" s="20">
        <f t="shared" si="1"/>
        <v>0</v>
      </c>
    </row>
    <row r="151" spans="2:35" ht="16.899999999999999" customHeight="1" x14ac:dyDescent="0.25">
      <c r="B151" s="84" t="s">
        <v>276</v>
      </c>
      <c r="C151" s="83">
        <v>200</v>
      </c>
      <c r="D151" s="76">
        <f>SUMIFS('июль 2025'!$G$2:$G$2437,'июль 2025'!$D$2:$D$2437,$B151,'июль 2025'!$J$2:$J$2437,D$1)</f>
        <v>0</v>
      </c>
      <c r="E151" s="76">
        <f>SUMIFS('июль 2025'!$G$2:$G$2437,'июль 2025'!$D$2:$D$2437,$B151,'июль 2025'!$J$2:$J$2437,E$1)</f>
        <v>0</v>
      </c>
      <c r="F151" s="76">
        <f>SUMIFS('июль 2025'!$G$2:$G$2437,'июль 2025'!$D$2:$D$2437,$B151,'июль 2025'!$J$2:$J$2437,F$1)</f>
        <v>0</v>
      </c>
      <c r="G151" s="76">
        <f>SUMIFS('июль 2025'!$G$2:$G$2437,'июль 2025'!$D$2:$D$2437,$B151,'июль 2025'!$J$2:$J$2437,G$1)</f>
        <v>0</v>
      </c>
      <c r="H151" s="76">
        <f>SUMIFS('июль 2025'!$G$2:$G$2437,'июль 2025'!$D$2:$D$2437,$B151,'июль 2025'!$J$2:$J$2437,H$1)</f>
        <v>0</v>
      </c>
      <c r="I151" s="76">
        <f>SUMIFS('июль 2025'!$G$2:$G$2437,'июль 2025'!$D$2:$D$2437,$B151,'июль 2025'!$J$2:$J$2437,I$1)</f>
        <v>0</v>
      </c>
      <c r="J151" s="76">
        <f>SUMIFS('июль 2025'!$G$2:$G$2437,'июль 2025'!$D$2:$D$2437,$B151,'июль 2025'!$J$2:$J$2437,J$1)</f>
        <v>0</v>
      </c>
      <c r="K151" s="76">
        <f>SUMIFS('июль 2025'!$G$2:$G$2437,'июль 2025'!$D$2:$D$2437,$B151,'июль 2025'!$J$2:$J$2437,K$1)</f>
        <v>0</v>
      </c>
      <c r="L151" s="76">
        <f>SUMIFS('июль 2025'!$G$2:$G$2437,'июль 2025'!$D$2:$D$2437,$B151,'июль 2025'!$J$2:$J$2437,L$1)</f>
        <v>0</v>
      </c>
      <c r="M151" s="76">
        <f>SUMIFS('июль 2025'!$G$2:$G$2437,'июль 2025'!$D$2:$D$2437,$B151,'июль 2025'!$J$2:$J$2437,M$1)</f>
        <v>0</v>
      </c>
      <c r="N151" s="76">
        <f>SUMIFS('июль 2025'!$G$2:$G$2437,'июль 2025'!$D$2:$D$2437,$B151,'июль 2025'!$J$2:$J$2437,N$1)</f>
        <v>0</v>
      </c>
      <c r="O151" s="76">
        <f>SUMIFS('июль 2025'!$G$2:$G$2437,'июль 2025'!$D$2:$D$2437,$B151,'июль 2025'!$J$2:$J$2437,O$1)</f>
        <v>0</v>
      </c>
      <c r="P151" s="76">
        <f>SUMIFS('июль 2025'!$G$2:$G$2437,'июль 2025'!$D$2:$D$2437,$B151,'июль 2025'!$J$2:$J$2437,P$1)</f>
        <v>0</v>
      </c>
      <c r="Q151" s="76">
        <f>SUMIFS('июль 2025'!$G$2:$G$2437,'июль 2025'!$D$2:$D$2437,$B151,'июль 2025'!$J$2:$J$2437,Q$1)</f>
        <v>0</v>
      </c>
      <c r="R151" s="76">
        <f>SUMIFS('июль 2025'!$G$2:$G$2437,'июль 2025'!$D$2:$D$2437,$B151,'июль 2025'!$J$2:$J$2437,R$1)</f>
        <v>0</v>
      </c>
      <c r="S151" s="76">
        <f>SUMIFS('июль 2025'!$G$2:$G$2437,'июль 2025'!$D$2:$D$2437,$B151,'июль 2025'!$J$2:$J$2437,S$1)</f>
        <v>0</v>
      </c>
      <c r="T151" s="76">
        <f>SUMIFS('июль 2025'!$G$2:$G$2437,'июль 2025'!$D$2:$D$2437,$B151,'июль 2025'!$J$2:$J$2437,T$1)</f>
        <v>0</v>
      </c>
      <c r="U151" s="76">
        <f>SUMIFS('июль 2025'!$G$2:$G$2437,'июль 2025'!$D$2:$D$2437,$B151,'июль 2025'!$J$2:$J$2437,U$1)</f>
        <v>0</v>
      </c>
      <c r="V151" s="76">
        <f>SUMIFS('июль 2025'!$G$2:$G$2437,'июль 2025'!$D$2:$D$2437,$B151,'июль 2025'!$J$2:$J$2437,V$1)</f>
        <v>0</v>
      </c>
      <c r="W151" s="76">
        <f>SUMIFS('июль 2025'!$G$2:$G$2437,'июль 2025'!$D$2:$D$2437,$B151,'июль 2025'!$J$2:$J$2437,W$1)</f>
        <v>0</v>
      </c>
      <c r="X151" s="76">
        <f>SUMIFS('июль 2025'!$G$2:$G$2437,'июль 2025'!$D$2:$D$2437,$B151,'июль 2025'!$J$2:$J$2437,X$1)</f>
        <v>0</v>
      </c>
      <c r="Y151" s="76">
        <f>SUMIFS('июль 2025'!$G$2:$G$2437,'июль 2025'!$D$2:$D$2437,$B151,'июль 2025'!$J$2:$J$2437,Y$1)</f>
        <v>0</v>
      </c>
      <c r="Z151" s="76">
        <f>SUMIFS('июль 2025'!$G$2:$G$2437,'июль 2025'!$D$2:$D$2437,$B151,'июль 2025'!$J$2:$J$2437,Z$1)</f>
        <v>0</v>
      </c>
      <c r="AA151" s="76">
        <f>SUMIFS('июль 2025'!$G$2:$G$2437,'июль 2025'!$D$2:$D$2437,$B151,'июль 2025'!$J$2:$J$2437,AA$1)</f>
        <v>0</v>
      </c>
      <c r="AB151" s="76">
        <f>SUMIFS('июль 2025'!$G$2:$G$2437,'июль 2025'!$D$2:$D$2437,$B151,'июль 2025'!$J$2:$J$2437,AB$1)</f>
        <v>0</v>
      </c>
      <c r="AC151" s="76">
        <f>SUMIFS('июль 2025'!$G$2:$G$2437,'июль 2025'!$D$2:$D$2437,$B151,'июль 2025'!$J$2:$J$2437,AC$1)</f>
        <v>0</v>
      </c>
      <c r="AD151" s="76">
        <f>SUMIFS('июль 2025'!$G$2:$G$2437,'июль 2025'!$D$2:$D$2437,$B151,'июль 2025'!$J$2:$J$2437,AD$1)</f>
        <v>0</v>
      </c>
      <c r="AE151" s="76">
        <f>SUMIFS('июль 2025'!$G$2:$G$2437,'июль 2025'!$D$2:$D$2437,$B151,'июль 2025'!$J$2:$J$2437,AE$1)</f>
        <v>0</v>
      </c>
      <c r="AF151" s="76">
        <f>SUMIFS('июль 2025'!$G$2:$G$2437,'июль 2025'!$D$2:$D$2437,$B151,'июль 2025'!$J$2:$J$2437,AF$1)</f>
        <v>0</v>
      </c>
      <c r="AG151" s="76">
        <f>SUMIFS('июль 2025'!$G$2:$G$2437,'июль 2025'!$D$2:$D$2437,$B151,'июль 2025'!$J$2:$J$2437,AG$1)</f>
        <v>0</v>
      </c>
      <c r="AH151" s="76">
        <f>SUMIFS('июль 2025'!$G$2:$G$2437,'июль 2025'!$D$2:$D$2437,$B151,'июль 2025'!$J$2:$J$2437,AH$1)</f>
        <v>0</v>
      </c>
      <c r="AI151" s="20">
        <f t="shared" si="1"/>
        <v>0</v>
      </c>
    </row>
    <row r="152" spans="2:35" ht="16.899999999999999" customHeight="1" x14ac:dyDescent="0.25">
      <c r="B152" s="84" t="s">
        <v>272</v>
      </c>
      <c r="C152" s="83">
        <v>200</v>
      </c>
      <c r="D152" s="76">
        <f>SUMIFS('июль 2025'!$G$2:$G$2437,'июль 2025'!$D$2:$D$2437,$B152,'июль 2025'!$J$2:$J$2437,D$1)</f>
        <v>0</v>
      </c>
      <c r="E152" s="76">
        <f>SUMIFS('июль 2025'!$G$2:$G$2437,'июль 2025'!$D$2:$D$2437,$B152,'июль 2025'!$J$2:$J$2437,E$1)</f>
        <v>0</v>
      </c>
      <c r="F152" s="76">
        <f>SUMIFS('июль 2025'!$G$2:$G$2437,'июль 2025'!$D$2:$D$2437,$B152,'июль 2025'!$J$2:$J$2437,F$1)</f>
        <v>0</v>
      </c>
      <c r="G152" s="76">
        <f>SUMIFS('июль 2025'!$G$2:$G$2437,'июль 2025'!$D$2:$D$2437,$B152,'июль 2025'!$J$2:$J$2437,G$1)</f>
        <v>0</v>
      </c>
      <c r="H152" s="76">
        <f>SUMIFS('июль 2025'!$G$2:$G$2437,'июль 2025'!$D$2:$D$2437,$B152,'июль 2025'!$J$2:$J$2437,H$1)</f>
        <v>0</v>
      </c>
      <c r="I152" s="76">
        <f>SUMIFS('июль 2025'!$G$2:$G$2437,'июль 2025'!$D$2:$D$2437,$B152,'июль 2025'!$J$2:$J$2437,I$1)</f>
        <v>0</v>
      </c>
      <c r="J152" s="76">
        <f>SUMIFS('июль 2025'!$G$2:$G$2437,'июль 2025'!$D$2:$D$2437,$B152,'июль 2025'!$J$2:$J$2437,J$1)</f>
        <v>0</v>
      </c>
      <c r="K152" s="76">
        <f>SUMIFS('июль 2025'!$G$2:$G$2437,'июль 2025'!$D$2:$D$2437,$B152,'июль 2025'!$J$2:$J$2437,K$1)</f>
        <v>0</v>
      </c>
      <c r="L152" s="76">
        <f>SUMIFS('июль 2025'!$G$2:$G$2437,'июль 2025'!$D$2:$D$2437,$B152,'июль 2025'!$J$2:$J$2437,L$1)</f>
        <v>0</v>
      </c>
      <c r="M152" s="76">
        <f>SUMIFS('июль 2025'!$G$2:$G$2437,'июль 2025'!$D$2:$D$2437,$B152,'июль 2025'!$J$2:$J$2437,M$1)</f>
        <v>0</v>
      </c>
      <c r="N152" s="76">
        <f>SUMIFS('июль 2025'!$G$2:$G$2437,'июль 2025'!$D$2:$D$2437,$B152,'июль 2025'!$J$2:$J$2437,N$1)</f>
        <v>0</v>
      </c>
      <c r="O152" s="76">
        <f>SUMIFS('июль 2025'!$G$2:$G$2437,'июль 2025'!$D$2:$D$2437,$B152,'июль 2025'!$J$2:$J$2437,O$1)</f>
        <v>0</v>
      </c>
      <c r="P152" s="76">
        <f>SUMIFS('июль 2025'!$G$2:$G$2437,'июль 2025'!$D$2:$D$2437,$B152,'июль 2025'!$J$2:$J$2437,P$1)</f>
        <v>0</v>
      </c>
      <c r="Q152" s="76">
        <f>SUMIFS('июль 2025'!$G$2:$G$2437,'июль 2025'!$D$2:$D$2437,$B152,'июль 2025'!$J$2:$J$2437,Q$1)</f>
        <v>0</v>
      </c>
      <c r="R152" s="76">
        <f>SUMIFS('июль 2025'!$G$2:$G$2437,'июль 2025'!$D$2:$D$2437,$B152,'июль 2025'!$J$2:$J$2437,R$1)</f>
        <v>0</v>
      </c>
      <c r="S152" s="76">
        <f>SUMIFS('июль 2025'!$G$2:$G$2437,'июль 2025'!$D$2:$D$2437,$B152,'июль 2025'!$J$2:$J$2437,S$1)</f>
        <v>0</v>
      </c>
      <c r="T152" s="76">
        <f>SUMIFS('июль 2025'!$G$2:$G$2437,'июль 2025'!$D$2:$D$2437,$B152,'июль 2025'!$J$2:$J$2437,T$1)</f>
        <v>0</v>
      </c>
      <c r="U152" s="76">
        <f>SUMIFS('июль 2025'!$G$2:$G$2437,'июль 2025'!$D$2:$D$2437,$B152,'июль 2025'!$J$2:$J$2437,U$1)</f>
        <v>0</v>
      </c>
      <c r="V152" s="76">
        <f>SUMIFS('июль 2025'!$G$2:$G$2437,'июль 2025'!$D$2:$D$2437,$B152,'июль 2025'!$J$2:$J$2437,V$1)</f>
        <v>0</v>
      </c>
      <c r="W152" s="76">
        <f>SUMIFS('июль 2025'!$G$2:$G$2437,'июль 2025'!$D$2:$D$2437,$B152,'июль 2025'!$J$2:$J$2437,W$1)</f>
        <v>0</v>
      </c>
      <c r="X152" s="76">
        <f>SUMIFS('июль 2025'!$G$2:$G$2437,'июль 2025'!$D$2:$D$2437,$B152,'июль 2025'!$J$2:$J$2437,X$1)</f>
        <v>0</v>
      </c>
      <c r="Y152" s="76">
        <f>SUMIFS('июль 2025'!$G$2:$G$2437,'июль 2025'!$D$2:$D$2437,$B152,'июль 2025'!$J$2:$J$2437,Y$1)</f>
        <v>0</v>
      </c>
      <c r="Z152" s="76">
        <f>SUMIFS('июль 2025'!$G$2:$G$2437,'июль 2025'!$D$2:$D$2437,$B152,'июль 2025'!$J$2:$J$2437,Z$1)</f>
        <v>0</v>
      </c>
      <c r="AA152" s="76">
        <f>SUMIFS('июль 2025'!$G$2:$G$2437,'июль 2025'!$D$2:$D$2437,$B152,'июль 2025'!$J$2:$J$2437,AA$1)</f>
        <v>0</v>
      </c>
      <c r="AB152" s="76">
        <f>SUMIFS('июль 2025'!$G$2:$G$2437,'июль 2025'!$D$2:$D$2437,$B152,'июль 2025'!$J$2:$J$2437,AB$1)</f>
        <v>0</v>
      </c>
      <c r="AC152" s="76">
        <f>SUMIFS('июль 2025'!$G$2:$G$2437,'июль 2025'!$D$2:$D$2437,$B152,'июль 2025'!$J$2:$J$2437,AC$1)</f>
        <v>0</v>
      </c>
      <c r="AD152" s="76">
        <f>SUMIFS('июль 2025'!$G$2:$G$2437,'июль 2025'!$D$2:$D$2437,$B152,'июль 2025'!$J$2:$J$2437,AD$1)</f>
        <v>0</v>
      </c>
      <c r="AE152" s="76">
        <f>SUMIFS('июль 2025'!$G$2:$G$2437,'июль 2025'!$D$2:$D$2437,$B152,'июль 2025'!$J$2:$J$2437,AE$1)</f>
        <v>0</v>
      </c>
      <c r="AF152" s="76">
        <f>SUMIFS('июль 2025'!$G$2:$G$2437,'июль 2025'!$D$2:$D$2437,$B152,'июль 2025'!$J$2:$J$2437,AF$1)</f>
        <v>0</v>
      </c>
      <c r="AG152" s="76">
        <f>SUMIFS('июль 2025'!$G$2:$G$2437,'июль 2025'!$D$2:$D$2437,$B152,'июль 2025'!$J$2:$J$2437,AG$1)</f>
        <v>0</v>
      </c>
      <c r="AH152" s="76">
        <f>SUMIFS('июль 2025'!$G$2:$G$2437,'июль 2025'!$D$2:$D$2437,$B152,'июль 2025'!$J$2:$J$2437,AH$1)</f>
        <v>0</v>
      </c>
      <c r="AI152" s="20">
        <f t="shared" si="1"/>
        <v>0</v>
      </c>
    </row>
    <row r="153" spans="2:35" ht="15" customHeight="1" x14ac:dyDescent="0.25">
      <c r="B153" s="84" t="s">
        <v>277</v>
      </c>
      <c r="C153" s="83">
        <v>200</v>
      </c>
      <c r="D153" s="76">
        <f>SUMIFS('июль 2025'!$G$2:$G$2437,'июль 2025'!$D$2:$D$2437,$B153,'июль 2025'!$J$2:$J$2437,D$1)</f>
        <v>0</v>
      </c>
      <c r="E153" s="76">
        <f>SUMIFS('июль 2025'!$G$2:$G$2437,'июль 2025'!$D$2:$D$2437,$B153,'июль 2025'!$J$2:$J$2437,E$1)</f>
        <v>0</v>
      </c>
      <c r="F153" s="76">
        <f>SUMIFS('июль 2025'!$G$2:$G$2437,'июль 2025'!$D$2:$D$2437,$B153,'июль 2025'!$J$2:$J$2437,F$1)</f>
        <v>0</v>
      </c>
      <c r="G153" s="76">
        <f>SUMIFS('июль 2025'!$G$2:$G$2437,'июль 2025'!$D$2:$D$2437,$B153,'июль 2025'!$J$2:$J$2437,G$1)</f>
        <v>0</v>
      </c>
      <c r="H153" s="76">
        <f>SUMIFS('июль 2025'!$G$2:$G$2437,'июль 2025'!$D$2:$D$2437,$B153,'июль 2025'!$J$2:$J$2437,H$1)</f>
        <v>0</v>
      </c>
      <c r="I153" s="76">
        <f>SUMIFS('июль 2025'!$G$2:$G$2437,'июль 2025'!$D$2:$D$2437,$B153,'июль 2025'!$J$2:$J$2437,I$1)</f>
        <v>0</v>
      </c>
      <c r="J153" s="76">
        <f>SUMIFS('июль 2025'!$G$2:$G$2437,'июль 2025'!$D$2:$D$2437,$B153,'июль 2025'!$J$2:$J$2437,J$1)</f>
        <v>0</v>
      </c>
      <c r="K153" s="76">
        <f>SUMIFS('июль 2025'!$G$2:$G$2437,'июль 2025'!$D$2:$D$2437,$B153,'июль 2025'!$J$2:$J$2437,K$1)</f>
        <v>0</v>
      </c>
      <c r="L153" s="76">
        <f>SUMIFS('июль 2025'!$G$2:$G$2437,'июль 2025'!$D$2:$D$2437,$B153,'июль 2025'!$J$2:$J$2437,L$1)</f>
        <v>0</v>
      </c>
      <c r="M153" s="76">
        <f>SUMIFS('июль 2025'!$G$2:$G$2437,'июль 2025'!$D$2:$D$2437,$B153,'июль 2025'!$J$2:$J$2437,M$1)</f>
        <v>0</v>
      </c>
      <c r="N153" s="76">
        <f>SUMIFS('июль 2025'!$G$2:$G$2437,'июль 2025'!$D$2:$D$2437,$B153,'июль 2025'!$J$2:$J$2437,N$1)</f>
        <v>0</v>
      </c>
      <c r="O153" s="76">
        <f>SUMIFS('июль 2025'!$G$2:$G$2437,'июль 2025'!$D$2:$D$2437,$B153,'июль 2025'!$J$2:$J$2437,O$1)</f>
        <v>0</v>
      </c>
      <c r="P153" s="76">
        <f>SUMIFS('июль 2025'!$G$2:$G$2437,'июль 2025'!$D$2:$D$2437,$B153,'июль 2025'!$J$2:$J$2437,P$1)</f>
        <v>0</v>
      </c>
      <c r="Q153" s="76">
        <f>SUMIFS('июль 2025'!$G$2:$G$2437,'июль 2025'!$D$2:$D$2437,$B153,'июль 2025'!$J$2:$J$2437,Q$1)</f>
        <v>0</v>
      </c>
      <c r="R153" s="76">
        <f>SUMIFS('июль 2025'!$G$2:$G$2437,'июль 2025'!$D$2:$D$2437,$B153,'июль 2025'!$J$2:$J$2437,R$1)</f>
        <v>0</v>
      </c>
      <c r="S153" s="76">
        <f>SUMIFS('июль 2025'!$G$2:$G$2437,'июль 2025'!$D$2:$D$2437,$B153,'июль 2025'!$J$2:$J$2437,S$1)</f>
        <v>0</v>
      </c>
      <c r="T153" s="76">
        <f>SUMIFS('июль 2025'!$G$2:$G$2437,'июль 2025'!$D$2:$D$2437,$B153,'июль 2025'!$J$2:$J$2437,T$1)</f>
        <v>0</v>
      </c>
      <c r="U153" s="76">
        <f>SUMIFS('июль 2025'!$G$2:$G$2437,'июль 2025'!$D$2:$D$2437,$B153,'июль 2025'!$J$2:$J$2437,U$1)</f>
        <v>0</v>
      </c>
      <c r="V153" s="76">
        <f>SUMIFS('июль 2025'!$G$2:$G$2437,'июль 2025'!$D$2:$D$2437,$B153,'июль 2025'!$J$2:$J$2437,V$1)</f>
        <v>0</v>
      </c>
      <c r="W153" s="76">
        <f>SUMIFS('июль 2025'!$G$2:$G$2437,'июль 2025'!$D$2:$D$2437,$B153,'июль 2025'!$J$2:$J$2437,W$1)</f>
        <v>0</v>
      </c>
      <c r="X153" s="76">
        <f>SUMIFS('июль 2025'!$G$2:$G$2437,'июль 2025'!$D$2:$D$2437,$B153,'июль 2025'!$J$2:$J$2437,X$1)</f>
        <v>0</v>
      </c>
      <c r="Y153" s="76">
        <f>SUMIFS('июль 2025'!$G$2:$G$2437,'июль 2025'!$D$2:$D$2437,$B153,'июль 2025'!$J$2:$J$2437,Y$1)</f>
        <v>0</v>
      </c>
      <c r="Z153" s="76">
        <f>SUMIFS('июль 2025'!$G$2:$G$2437,'июль 2025'!$D$2:$D$2437,$B153,'июль 2025'!$J$2:$J$2437,Z$1)</f>
        <v>0</v>
      </c>
      <c r="AA153" s="76">
        <f>SUMIFS('июль 2025'!$G$2:$G$2437,'июль 2025'!$D$2:$D$2437,$B153,'июль 2025'!$J$2:$J$2437,AA$1)</f>
        <v>0</v>
      </c>
      <c r="AB153" s="76">
        <f>SUMIFS('июль 2025'!$G$2:$G$2437,'июль 2025'!$D$2:$D$2437,$B153,'июль 2025'!$J$2:$J$2437,AB$1)</f>
        <v>0</v>
      </c>
      <c r="AC153" s="76">
        <f>SUMIFS('июль 2025'!$G$2:$G$2437,'июль 2025'!$D$2:$D$2437,$B153,'июль 2025'!$J$2:$J$2437,AC$1)</f>
        <v>0</v>
      </c>
      <c r="AD153" s="76">
        <f>SUMIFS('июль 2025'!$G$2:$G$2437,'июль 2025'!$D$2:$D$2437,$B153,'июль 2025'!$J$2:$J$2437,AD$1)</f>
        <v>0</v>
      </c>
      <c r="AE153" s="76">
        <f>SUMIFS('июль 2025'!$G$2:$G$2437,'июль 2025'!$D$2:$D$2437,$B153,'июль 2025'!$J$2:$J$2437,AE$1)</f>
        <v>0</v>
      </c>
      <c r="AF153" s="76">
        <f>SUMIFS('июль 2025'!$G$2:$G$2437,'июль 2025'!$D$2:$D$2437,$B153,'июль 2025'!$J$2:$J$2437,AF$1)</f>
        <v>0</v>
      </c>
      <c r="AG153" s="76">
        <f>SUMIFS('июль 2025'!$G$2:$G$2437,'июль 2025'!$D$2:$D$2437,$B153,'июль 2025'!$J$2:$J$2437,AG$1)</f>
        <v>0</v>
      </c>
      <c r="AH153" s="76">
        <f>SUMIFS('июль 2025'!$G$2:$G$2437,'июль 2025'!$D$2:$D$2437,$B153,'июль 2025'!$J$2:$J$2437,AH$1)</f>
        <v>0</v>
      </c>
      <c r="AI153" s="20">
        <f t="shared" si="1"/>
        <v>0</v>
      </c>
    </row>
    <row r="154" spans="2:35" ht="15" customHeight="1" x14ac:dyDescent="0.25">
      <c r="B154" s="84" t="s">
        <v>273</v>
      </c>
      <c r="C154" s="83">
        <v>200</v>
      </c>
      <c r="D154" s="76">
        <f>SUMIFS('июль 2025'!$G$2:$G$2437,'июль 2025'!$D$2:$D$2437,$B154,'июль 2025'!$J$2:$J$2437,D$1)</f>
        <v>0</v>
      </c>
      <c r="E154" s="76">
        <f>SUMIFS('июль 2025'!$G$2:$G$2437,'июль 2025'!$D$2:$D$2437,$B154,'июль 2025'!$J$2:$J$2437,E$1)</f>
        <v>0</v>
      </c>
      <c r="F154" s="76">
        <f>SUMIFS('июль 2025'!$G$2:$G$2437,'июль 2025'!$D$2:$D$2437,$B154,'июль 2025'!$J$2:$J$2437,F$1)</f>
        <v>0</v>
      </c>
      <c r="G154" s="76">
        <f>SUMIFS('июль 2025'!$G$2:$G$2437,'июль 2025'!$D$2:$D$2437,$B154,'июль 2025'!$J$2:$J$2437,G$1)</f>
        <v>0</v>
      </c>
      <c r="H154" s="76">
        <f>SUMIFS('июль 2025'!$G$2:$G$2437,'июль 2025'!$D$2:$D$2437,$B154,'июль 2025'!$J$2:$J$2437,H$1)</f>
        <v>0</v>
      </c>
      <c r="I154" s="76">
        <f>SUMIFS('июль 2025'!$G$2:$G$2437,'июль 2025'!$D$2:$D$2437,$B154,'июль 2025'!$J$2:$J$2437,I$1)</f>
        <v>0</v>
      </c>
      <c r="J154" s="76">
        <f>SUMIFS('июль 2025'!$G$2:$G$2437,'июль 2025'!$D$2:$D$2437,$B154,'июль 2025'!$J$2:$J$2437,J$1)</f>
        <v>0</v>
      </c>
      <c r="K154" s="76">
        <f>SUMIFS('июль 2025'!$G$2:$G$2437,'июль 2025'!$D$2:$D$2437,$B154,'июль 2025'!$J$2:$J$2437,K$1)</f>
        <v>0</v>
      </c>
      <c r="L154" s="76">
        <f>SUMIFS('июль 2025'!$G$2:$G$2437,'июль 2025'!$D$2:$D$2437,$B154,'июль 2025'!$J$2:$J$2437,L$1)</f>
        <v>0</v>
      </c>
      <c r="M154" s="76">
        <f>SUMIFS('июль 2025'!$G$2:$G$2437,'июль 2025'!$D$2:$D$2437,$B154,'июль 2025'!$J$2:$J$2437,M$1)</f>
        <v>0</v>
      </c>
      <c r="N154" s="76">
        <f>SUMIFS('июль 2025'!$G$2:$G$2437,'июль 2025'!$D$2:$D$2437,$B154,'июль 2025'!$J$2:$J$2437,N$1)</f>
        <v>0</v>
      </c>
      <c r="O154" s="76">
        <f>SUMIFS('июль 2025'!$G$2:$G$2437,'июль 2025'!$D$2:$D$2437,$B154,'июль 2025'!$J$2:$J$2437,O$1)</f>
        <v>0</v>
      </c>
      <c r="P154" s="76">
        <f>SUMIFS('июль 2025'!$G$2:$G$2437,'июль 2025'!$D$2:$D$2437,$B154,'июль 2025'!$J$2:$J$2437,P$1)</f>
        <v>0</v>
      </c>
      <c r="Q154" s="76">
        <f>SUMIFS('июль 2025'!$G$2:$G$2437,'июль 2025'!$D$2:$D$2437,$B154,'июль 2025'!$J$2:$J$2437,Q$1)</f>
        <v>0</v>
      </c>
      <c r="R154" s="76">
        <f>SUMIFS('июль 2025'!$G$2:$G$2437,'июль 2025'!$D$2:$D$2437,$B154,'июль 2025'!$J$2:$J$2437,R$1)</f>
        <v>0</v>
      </c>
      <c r="S154" s="76">
        <f>SUMIFS('июль 2025'!$G$2:$G$2437,'июль 2025'!$D$2:$D$2437,$B154,'июль 2025'!$J$2:$J$2437,S$1)</f>
        <v>0</v>
      </c>
      <c r="T154" s="76">
        <f>SUMIFS('июль 2025'!$G$2:$G$2437,'июль 2025'!$D$2:$D$2437,$B154,'июль 2025'!$J$2:$J$2437,T$1)</f>
        <v>0</v>
      </c>
      <c r="U154" s="76">
        <f>SUMIFS('июль 2025'!$G$2:$G$2437,'июль 2025'!$D$2:$D$2437,$B154,'июль 2025'!$J$2:$J$2437,U$1)</f>
        <v>0</v>
      </c>
      <c r="V154" s="76">
        <f>SUMIFS('июль 2025'!$G$2:$G$2437,'июль 2025'!$D$2:$D$2437,$B154,'июль 2025'!$J$2:$J$2437,V$1)</f>
        <v>0</v>
      </c>
      <c r="W154" s="76">
        <f>SUMIFS('июль 2025'!$G$2:$G$2437,'июль 2025'!$D$2:$D$2437,$B154,'июль 2025'!$J$2:$J$2437,W$1)</f>
        <v>0</v>
      </c>
      <c r="X154" s="76">
        <f>SUMIFS('июль 2025'!$G$2:$G$2437,'июль 2025'!$D$2:$D$2437,$B154,'июль 2025'!$J$2:$J$2437,X$1)</f>
        <v>0</v>
      </c>
      <c r="Y154" s="76">
        <f>SUMIFS('июль 2025'!$G$2:$G$2437,'июль 2025'!$D$2:$D$2437,$B154,'июль 2025'!$J$2:$J$2437,Y$1)</f>
        <v>0</v>
      </c>
      <c r="Z154" s="76">
        <f>SUMIFS('июль 2025'!$G$2:$G$2437,'июль 2025'!$D$2:$D$2437,$B154,'июль 2025'!$J$2:$J$2437,Z$1)</f>
        <v>0</v>
      </c>
      <c r="AA154" s="76">
        <f>SUMIFS('июль 2025'!$G$2:$G$2437,'июль 2025'!$D$2:$D$2437,$B154,'июль 2025'!$J$2:$J$2437,AA$1)</f>
        <v>0</v>
      </c>
      <c r="AB154" s="76">
        <f>SUMIFS('июль 2025'!$G$2:$G$2437,'июль 2025'!$D$2:$D$2437,$B154,'июль 2025'!$J$2:$J$2437,AB$1)</f>
        <v>0</v>
      </c>
      <c r="AC154" s="76">
        <f>SUMIFS('июль 2025'!$G$2:$G$2437,'июль 2025'!$D$2:$D$2437,$B154,'июль 2025'!$J$2:$J$2437,AC$1)</f>
        <v>0</v>
      </c>
      <c r="AD154" s="76">
        <f>SUMIFS('июль 2025'!$G$2:$G$2437,'июль 2025'!$D$2:$D$2437,$B154,'июль 2025'!$J$2:$J$2437,AD$1)</f>
        <v>0</v>
      </c>
      <c r="AE154" s="76">
        <f>SUMIFS('июль 2025'!$G$2:$G$2437,'июль 2025'!$D$2:$D$2437,$B154,'июль 2025'!$J$2:$J$2437,AE$1)</f>
        <v>0</v>
      </c>
      <c r="AF154" s="76">
        <f>SUMIFS('июль 2025'!$G$2:$G$2437,'июль 2025'!$D$2:$D$2437,$B154,'июль 2025'!$J$2:$J$2437,AF$1)</f>
        <v>0</v>
      </c>
      <c r="AG154" s="76">
        <f>SUMIFS('июль 2025'!$G$2:$G$2437,'июль 2025'!$D$2:$D$2437,$B154,'июль 2025'!$J$2:$J$2437,AG$1)</f>
        <v>0</v>
      </c>
      <c r="AH154" s="76">
        <f>SUMIFS('июль 2025'!$G$2:$G$2437,'июль 2025'!$D$2:$D$2437,$B154,'июль 2025'!$J$2:$J$2437,AH$1)</f>
        <v>0</v>
      </c>
      <c r="AI154" s="20">
        <f t="shared" si="1"/>
        <v>0</v>
      </c>
    </row>
    <row r="155" spans="2:35" ht="15" customHeight="1" x14ac:dyDescent="0.25">
      <c r="B155" s="84" t="s">
        <v>274</v>
      </c>
      <c r="C155" s="83">
        <v>200</v>
      </c>
      <c r="D155" s="76">
        <f>SUMIFS('июль 2025'!$G$2:$G$2437,'июль 2025'!$D$2:$D$2437,$B155,'июль 2025'!$J$2:$J$2437,D$1)</f>
        <v>0</v>
      </c>
      <c r="E155" s="76">
        <f>SUMIFS('июль 2025'!$G$2:$G$2437,'июль 2025'!$D$2:$D$2437,$B155,'июль 2025'!$J$2:$J$2437,E$1)</f>
        <v>0</v>
      </c>
      <c r="F155" s="76">
        <f>SUMIFS('июль 2025'!$G$2:$G$2437,'июль 2025'!$D$2:$D$2437,$B155,'июль 2025'!$J$2:$J$2437,F$1)</f>
        <v>0</v>
      </c>
      <c r="G155" s="76">
        <f>SUMIFS('июль 2025'!$G$2:$G$2437,'июль 2025'!$D$2:$D$2437,$B155,'июль 2025'!$J$2:$J$2437,G$1)</f>
        <v>0</v>
      </c>
      <c r="H155" s="76">
        <f>SUMIFS('июль 2025'!$G$2:$G$2437,'июль 2025'!$D$2:$D$2437,$B155,'июль 2025'!$J$2:$J$2437,H$1)</f>
        <v>0</v>
      </c>
      <c r="I155" s="76">
        <f>SUMIFS('июль 2025'!$G$2:$G$2437,'июль 2025'!$D$2:$D$2437,$B155,'июль 2025'!$J$2:$J$2437,I$1)</f>
        <v>0</v>
      </c>
      <c r="J155" s="76">
        <f>SUMIFS('июль 2025'!$G$2:$G$2437,'июль 2025'!$D$2:$D$2437,$B155,'июль 2025'!$J$2:$J$2437,J$1)</f>
        <v>0</v>
      </c>
      <c r="K155" s="76">
        <f>SUMIFS('июль 2025'!$G$2:$G$2437,'июль 2025'!$D$2:$D$2437,$B155,'июль 2025'!$J$2:$J$2437,K$1)</f>
        <v>0</v>
      </c>
      <c r="L155" s="76">
        <f>SUMIFS('июль 2025'!$G$2:$G$2437,'июль 2025'!$D$2:$D$2437,$B155,'июль 2025'!$J$2:$J$2437,L$1)</f>
        <v>0</v>
      </c>
      <c r="M155" s="76">
        <f>SUMIFS('июль 2025'!$G$2:$G$2437,'июль 2025'!$D$2:$D$2437,$B155,'июль 2025'!$J$2:$J$2437,M$1)</f>
        <v>0</v>
      </c>
      <c r="N155" s="76">
        <f>SUMIFS('июль 2025'!$G$2:$G$2437,'июль 2025'!$D$2:$D$2437,$B155,'июль 2025'!$J$2:$J$2437,N$1)</f>
        <v>0</v>
      </c>
      <c r="O155" s="76">
        <f>SUMIFS('июль 2025'!$G$2:$G$2437,'июль 2025'!$D$2:$D$2437,$B155,'июль 2025'!$J$2:$J$2437,O$1)</f>
        <v>0</v>
      </c>
      <c r="P155" s="76">
        <f>SUMIFS('июль 2025'!$G$2:$G$2437,'июль 2025'!$D$2:$D$2437,$B155,'июль 2025'!$J$2:$J$2437,P$1)</f>
        <v>0</v>
      </c>
      <c r="Q155" s="76">
        <f>SUMIFS('июль 2025'!$G$2:$G$2437,'июль 2025'!$D$2:$D$2437,$B155,'июль 2025'!$J$2:$J$2437,Q$1)</f>
        <v>0</v>
      </c>
      <c r="R155" s="76">
        <f>SUMIFS('июль 2025'!$G$2:$G$2437,'июль 2025'!$D$2:$D$2437,$B155,'июль 2025'!$J$2:$J$2437,R$1)</f>
        <v>0</v>
      </c>
      <c r="S155" s="76">
        <f>SUMIFS('июль 2025'!$G$2:$G$2437,'июль 2025'!$D$2:$D$2437,$B155,'июль 2025'!$J$2:$J$2437,S$1)</f>
        <v>0</v>
      </c>
      <c r="T155" s="76">
        <f>SUMIFS('июль 2025'!$G$2:$G$2437,'июль 2025'!$D$2:$D$2437,$B155,'июль 2025'!$J$2:$J$2437,T$1)</f>
        <v>0</v>
      </c>
      <c r="U155" s="76">
        <f>SUMIFS('июль 2025'!$G$2:$G$2437,'июль 2025'!$D$2:$D$2437,$B155,'июль 2025'!$J$2:$J$2437,U$1)</f>
        <v>0</v>
      </c>
      <c r="V155" s="76">
        <f>SUMIFS('июль 2025'!$G$2:$G$2437,'июль 2025'!$D$2:$D$2437,$B155,'июль 2025'!$J$2:$J$2437,V$1)</f>
        <v>0</v>
      </c>
      <c r="W155" s="76">
        <f>SUMIFS('июль 2025'!$G$2:$G$2437,'июль 2025'!$D$2:$D$2437,$B155,'июль 2025'!$J$2:$J$2437,W$1)</f>
        <v>0</v>
      </c>
      <c r="X155" s="76">
        <f>SUMIFS('июль 2025'!$G$2:$G$2437,'июль 2025'!$D$2:$D$2437,$B155,'июль 2025'!$J$2:$J$2437,X$1)</f>
        <v>0</v>
      </c>
      <c r="Y155" s="76">
        <f>SUMIFS('июль 2025'!$G$2:$G$2437,'июль 2025'!$D$2:$D$2437,$B155,'июль 2025'!$J$2:$J$2437,Y$1)</f>
        <v>0</v>
      </c>
      <c r="Z155" s="76">
        <f>SUMIFS('июль 2025'!$G$2:$G$2437,'июль 2025'!$D$2:$D$2437,$B155,'июль 2025'!$J$2:$J$2437,Z$1)</f>
        <v>0</v>
      </c>
      <c r="AA155" s="76">
        <f>SUMIFS('июль 2025'!$G$2:$G$2437,'июль 2025'!$D$2:$D$2437,$B155,'июль 2025'!$J$2:$J$2437,AA$1)</f>
        <v>0</v>
      </c>
      <c r="AB155" s="76">
        <f>SUMIFS('июль 2025'!$G$2:$G$2437,'июль 2025'!$D$2:$D$2437,$B155,'июль 2025'!$J$2:$J$2437,AB$1)</f>
        <v>0</v>
      </c>
      <c r="AC155" s="76">
        <f>SUMIFS('июль 2025'!$G$2:$G$2437,'июль 2025'!$D$2:$D$2437,$B155,'июль 2025'!$J$2:$J$2437,AC$1)</f>
        <v>0</v>
      </c>
      <c r="AD155" s="76">
        <f>SUMIFS('июль 2025'!$G$2:$G$2437,'июль 2025'!$D$2:$D$2437,$B155,'июль 2025'!$J$2:$J$2437,AD$1)</f>
        <v>0</v>
      </c>
      <c r="AE155" s="76">
        <f>SUMIFS('июль 2025'!$G$2:$G$2437,'июль 2025'!$D$2:$D$2437,$B155,'июль 2025'!$J$2:$J$2437,AE$1)</f>
        <v>0</v>
      </c>
      <c r="AF155" s="76">
        <f>SUMIFS('июль 2025'!$G$2:$G$2437,'июль 2025'!$D$2:$D$2437,$B155,'июль 2025'!$J$2:$J$2437,AF$1)</f>
        <v>0</v>
      </c>
      <c r="AG155" s="76">
        <f>SUMIFS('июль 2025'!$G$2:$G$2437,'июль 2025'!$D$2:$D$2437,$B155,'июль 2025'!$J$2:$J$2437,AG$1)</f>
        <v>0</v>
      </c>
      <c r="AH155" s="76">
        <f>SUMIFS('июль 2025'!$G$2:$G$2437,'июль 2025'!$D$2:$D$2437,$B155,'июль 2025'!$J$2:$J$2437,AH$1)</f>
        <v>0</v>
      </c>
      <c r="AI155" s="20">
        <f t="shared" si="1"/>
        <v>0</v>
      </c>
    </row>
    <row r="156" spans="2:35" ht="15" customHeight="1" x14ac:dyDescent="0.25">
      <c r="B156" s="84" t="s">
        <v>313</v>
      </c>
      <c r="C156" s="83">
        <v>1000</v>
      </c>
      <c r="D156" s="76">
        <f>SUMIFS('июль 2025'!$G$2:$G$2437,'июль 2025'!$D$2:$D$2437,$B156,'июль 2025'!$J$2:$J$2437,D$1)</f>
        <v>0</v>
      </c>
      <c r="E156" s="76">
        <f>SUMIFS('июль 2025'!$G$2:$G$2437,'июль 2025'!$D$2:$D$2437,$B156,'июль 2025'!$J$2:$J$2437,E$1)</f>
        <v>0</v>
      </c>
      <c r="F156" s="76">
        <f>SUMIFS('июль 2025'!$G$2:$G$2437,'июль 2025'!$D$2:$D$2437,$B156,'июль 2025'!$J$2:$J$2437,F$1)</f>
        <v>0</v>
      </c>
      <c r="G156" s="76">
        <f>SUMIFS('июль 2025'!$G$2:$G$2437,'июль 2025'!$D$2:$D$2437,$B156,'июль 2025'!$J$2:$J$2437,G$1)</f>
        <v>0</v>
      </c>
      <c r="H156" s="76">
        <f>SUMIFS('июль 2025'!$G$2:$G$2437,'июль 2025'!$D$2:$D$2437,$B156,'июль 2025'!$J$2:$J$2437,H$1)</f>
        <v>0</v>
      </c>
      <c r="I156" s="76">
        <f>SUMIFS('июль 2025'!$G$2:$G$2437,'июль 2025'!$D$2:$D$2437,$B156,'июль 2025'!$J$2:$J$2437,I$1)</f>
        <v>0</v>
      </c>
      <c r="J156" s="76">
        <f>SUMIFS('июль 2025'!$G$2:$G$2437,'июль 2025'!$D$2:$D$2437,$B156,'июль 2025'!$J$2:$J$2437,J$1)</f>
        <v>0</v>
      </c>
      <c r="K156" s="76">
        <f>SUMIFS('июль 2025'!$G$2:$G$2437,'июль 2025'!$D$2:$D$2437,$B156,'июль 2025'!$J$2:$J$2437,K$1)</f>
        <v>0</v>
      </c>
      <c r="L156" s="76">
        <f>SUMIFS('июль 2025'!$G$2:$G$2437,'июль 2025'!$D$2:$D$2437,$B156,'июль 2025'!$J$2:$J$2437,L$1)</f>
        <v>0</v>
      </c>
      <c r="M156" s="76">
        <f>SUMIFS('июль 2025'!$G$2:$G$2437,'июль 2025'!$D$2:$D$2437,$B156,'июль 2025'!$J$2:$J$2437,M$1)</f>
        <v>0</v>
      </c>
      <c r="N156" s="76">
        <f>SUMIFS('июль 2025'!$G$2:$G$2437,'июль 2025'!$D$2:$D$2437,$B156,'июль 2025'!$J$2:$J$2437,N$1)</f>
        <v>0</v>
      </c>
      <c r="O156" s="76">
        <f>SUMIFS('июль 2025'!$G$2:$G$2437,'июль 2025'!$D$2:$D$2437,$B156,'июль 2025'!$J$2:$J$2437,O$1)</f>
        <v>0</v>
      </c>
      <c r="P156" s="76">
        <f>SUMIFS('июль 2025'!$G$2:$G$2437,'июль 2025'!$D$2:$D$2437,$B156,'июль 2025'!$J$2:$J$2437,P$1)</f>
        <v>0</v>
      </c>
      <c r="Q156" s="76">
        <f>SUMIFS('июль 2025'!$G$2:$G$2437,'июль 2025'!$D$2:$D$2437,$B156,'июль 2025'!$J$2:$J$2437,Q$1)</f>
        <v>0</v>
      </c>
      <c r="R156" s="76">
        <f>SUMIFS('июль 2025'!$G$2:$G$2437,'июль 2025'!$D$2:$D$2437,$B156,'июль 2025'!$J$2:$J$2437,R$1)</f>
        <v>0</v>
      </c>
      <c r="S156" s="76">
        <f>SUMIFS('июль 2025'!$G$2:$G$2437,'июль 2025'!$D$2:$D$2437,$B156,'июль 2025'!$J$2:$J$2437,S$1)</f>
        <v>0</v>
      </c>
      <c r="T156" s="76">
        <f>SUMIFS('июль 2025'!$G$2:$G$2437,'июль 2025'!$D$2:$D$2437,$B156,'июль 2025'!$J$2:$J$2437,T$1)</f>
        <v>0</v>
      </c>
      <c r="U156" s="76">
        <f>SUMIFS('июль 2025'!$G$2:$G$2437,'июль 2025'!$D$2:$D$2437,$B156,'июль 2025'!$J$2:$J$2437,U$1)</f>
        <v>0</v>
      </c>
      <c r="V156" s="76">
        <f>SUMIFS('июль 2025'!$G$2:$G$2437,'июль 2025'!$D$2:$D$2437,$B156,'июль 2025'!$J$2:$J$2437,V$1)</f>
        <v>0</v>
      </c>
      <c r="W156" s="76">
        <f>SUMIFS('июль 2025'!$G$2:$G$2437,'июль 2025'!$D$2:$D$2437,$B156,'июль 2025'!$J$2:$J$2437,W$1)</f>
        <v>0</v>
      </c>
      <c r="X156" s="76">
        <f>SUMIFS('июль 2025'!$G$2:$G$2437,'июль 2025'!$D$2:$D$2437,$B156,'июль 2025'!$J$2:$J$2437,X$1)</f>
        <v>0</v>
      </c>
      <c r="Y156" s="76">
        <f>SUMIFS('июль 2025'!$G$2:$G$2437,'июль 2025'!$D$2:$D$2437,$B156,'июль 2025'!$J$2:$J$2437,Y$1)</f>
        <v>0</v>
      </c>
      <c r="Z156" s="76">
        <f>SUMIFS('июль 2025'!$G$2:$G$2437,'июль 2025'!$D$2:$D$2437,$B156,'июль 2025'!$J$2:$J$2437,Z$1)</f>
        <v>0</v>
      </c>
      <c r="AA156" s="76">
        <f>SUMIFS('июль 2025'!$G$2:$G$2437,'июль 2025'!$D$2:$D$2437,$B156,'июль 2025'!$J$2:$J$2437,AA$1)</f>
        <v>0</v>
      </c>
      <c r="AB156" s="76">
        <f>SUMIFS('июль 2025'!$G$2:$G$2437,'июль 2025'!$D$2:$D$2437,$B156,'июль 2025'!$J$2:$J$2437,AB$1)</f>
        <v>0</v>
      </c>
      <c r="AC156" s="76">
        <f>SUMIFS('июль 2025'!$G$2:$G$2437,'июль 2025'!$D$2:$D$2437,$B156,'июль 2025'!$J$2:$J$2437,AC$1)</f>
        <v>0</v>
      </c>
      <c r="AD156" s="76">
        <f>SUMIFS('июль 2025'!$G$2:$G$2437,'июль 2025'!$D$2:$D$2437,$B156,'июль 2025'!$J$2:$J$2437,AD$1)</f>
        <v>0</v>
      </c>
      <c r="AE156" s="76">
        <f>SUMIFS('июль 2025'!$G$2:$G$2437,'июль 2025'!$D$2:$D$2437,$B156,'июль 2025'!$J$2:$J$2437,AE$1)</f>
        <v>0</v>
      </c>
      <c r="AF156" s="76">
        <f>SUMIFS('июль 2025'!$G$2:$G$2437,'июль 2025'!$D$2:$D$2437,$B156,'июль 2025'!$J$2:$J$2437,AF$1)</f>
        <v>0</v>
      </c>
      <c r="AG156" s="76">
        <f>SUMIFS('июль 2025'!$G$2:$G$2437,'июль 2025'!$D$2:$D$2437,$B156,'июль 2025'!$J$2:$J$2437,AG$1)</f>
        <v>0</v>
      </c>
      <c r="AH156" s="76">
        <f>SUMIFS('июль 2025'!$G$2:$G$2437,'июль 2025'!$D$2:$D$2437,$B156,'июль 2025'!$J$2:$J$2437,AH$1)</f>
        <v>0</v>
      </c>
      <c r="AI156" s="20">
        <f t="shared" si="1"/>
        <v>0</v>
      </c>
    </row>
    <row r="157" spans="2:35" ht="15" customHeight="1" x14ac:dyDescent="0.25">
      <c r="B157" s="84" t="s">
        <v>200</v>
      </c>
      <c r="C157" s="83">
        <v>200</v>
      </c>
      <c r="D157" s="76">
        <f>SUMIFS('июль 2025'!$G$2:$G$2437,'июль 2025'!$D$2:$D$2437,$B157,'июль 2025'!$J$2:$J$2437,D$1)</f>
        <v>0</v>
      </c>
      <c r="E157" s="76">
        <f>SUMIFS('июль 2025'!$G$2:$G$2437,'июль 2025'!$D$2:$D$2437,$B157,'июль 2025'!$J$2:$J$2437,E$1)</f>
        <v>0</v>
      </c>
      <c r="F157" s="76">
        <f>SUMIFS('июль 2025'!$G$2:$G$2437,'июль 2025'!$D$2:$D$2437,$B157,'июль 2025'!$J$2:$J$2437,F$1)</f>
        <v>0</v>
      </c>
      <c r="G157" s="76">
        <f>SUMIFS('июль 2025'!$G$2:$G$2437,'июль 2025'!$D$2:$D$2437,$B157,'июль 2025'!$J$2:$J$2437,G$1)</f>
        <v>0</v>
      </c>
      <c r="H157" s="76">
        <f>SUMIFS('июль 2025'!$G$2:$G$2437,'июль 2025'!$D$2:$D$2437,$B157,'июль 2025'!$J$2:$J$2437,H$1)</f>
        <v>0</v>
      </c>
      <c r="I157" s="76">
        <f>SUMIFS('июль 2025'!$G$2:$G$2437,'июль 2025'!$D$2:$D$2437,$B157,'июль 2025'!$J$2:$J$2437,I$1)</f>
        <v>0</v>
      </c>
      <c r="J157" s="76">
        <f>SUMIFS('июль 2025'!$G$2:$G$2437,'июль 2025'!$D$2:$D$2437,$B157,'июль 2025'!$J$2:$J$2437,J$1)</f>
        <v>0</v>
      </c>
      <c r="K157" s="76">
        <f>SUMIFS('июль 2025'!$G$2:$G$2437,'июль 2025'!$D$2:$D$2437,$B157,'июль 2025'!$J$2:$J$2437,K$1)</f>
        <v>0</v>
      </c>
      <c r="L157" s="76">
        <f>SUMIFS('июль 2025'!$G$2:$G$2437,'июль 2025'!$D$2:$D$2437,$B157,'июль 2025'!$J$2:$J$2437,L$1)</f>
        <v>0</v>
      </c>
      <c r="M157" s="76">
        <f>SUMIFS('июль 2025'!$G$2:$G$2437,'июль 2025'!$D$2:$D$2437,$B157,'июль 2025'!$J$2:$J$2437,M$1)</f>
        <v>0</v>
      </c>
      <c r="N157" s="76">
        <f>SUMIFS('июль 2025'!$G$2:$G$2437,'июль 2025'!$D$2:$D$2437,$B157,'июль 2025'!$J$2:$J$2437,N$1)</f>
        <v>0</v>
      </c>
      <c r="O157" s="76">
        <f>SUMIFS('июль 2025'!$G$2:$G$2437,'июль 2025'!$D$2:$D$2437,$B157,'июль 2025'!$J$2:$J$2437,O$1)</f>
        <v>0</v>
      </c>
      <c r="P157" s="76">
        <f>SUMIFS('июль 2025'!$G$2:$G$2437,'июль 2025'!$D$2:$D$2437,$B157,'июль 2025'!$J$2:$J$2437,P$1)</f>
        <v>0</v>
      </c>
      <c r="Q157" s="76">
        <f>SUMIFS('июль 2025'!$G$2:$G$2437,'июль 2025'!$D$2:$D$2437,$B157,'июль 2025'!$J$2:$J$2437,Q$1)</f>
        <v>0</v>
      </c>
      <c r="R157" s="76">
        <f>SUMIFS('июль 2025'!$G$2:$G$2437,'июль 2025'!$D$2:$D$2437,$B157,'июль 2025'!$J$2:$J$2437,R$1)</f>
        <v>0</v>
      </c>
      <c r="S157" s="76">
        <f>SUMIFS('июль 2025'!$G$2:$G$2437,'июль 2025'!$D$2:$D$2437,$B157,'июль 2025'!$J$2:$J$2437,S$1)</f>
        <v>0</v>
      </c>
      <c r="T157" s="76">
        <f>SUMIFS('июль 2025'!$G$2:$G$2437,'июль 2025'!$D$2:$D$2437,$B157,'июль 2025'!$J$2:$J$2437,T$1)</f>
        <v>0</v>
      </c>
      <c r="U157" s="76">
        <f>SUMIFS('июль 2025'!$G$2:$G$2437,'июль 2025'!$D$2:$D$2437,$B157,'июль 2025'!$J$2:$J$2437,U$1)</f>
        <v>0</v>
      </c>
      <c r="V157" s="76">
        <f>SUMIFS('июль 2025'!$G$2:$G$2437,'июль 2025'!$D$2:$D$2437,$B157,'июль 2025'!$J$2:$J$2437,V$1)</f>
        <v>0</v>
      </c>
      <c r="W157" s="76">
        <f>SUMIFS('июль 2025'!$G$2:$G$2437,'июль 2025'!$D$2:$D$2437,$B157,'июль 2025'!$J$2:$J$2437,W$1)</f>
        <v>0</v>
      </c>
      <c r="X157" s="76">
        <f>SUMIFS('июль 2025'!$G$2:$G$2437,'июль 2025'!$D$2:$D$2437,$B157,'июль 2025'!$J$2:$J$2437,X$1)</f>
        <v>0</v>
      </c>
      <c r="Y157" s="76">
        <f>SUMIFS('июль 2025'!$G$2:$G$2437,'июль 2025'!$D$2:$D$2437,$B157,'июль 2025'!$J$2:$J$2437,Y$1)</f>
        <v>0</v>
      </c>
      <c r="Z157" s="76">
        <f>SUMIFS('июль 2025'!$G$2:$G$2437,'июль 2025'!$D$2:$D$2437,$B157,'июль 2025'!$J$2:$J$2437,Z$1)</f>
        <v>0</v>
      </c>
      <c r="AA157" s="76">
        <f>SUMIFS('июль 2025'!$G$2:$G$2437,'июль 2025'!$D$2:$D$2437,$B157,'июль 2025'!$J$2:$J$2437,AA$1)</f>
        <v>0</v>
      </c>
      <c r="AB157" s="76">
        <f>SUMIFS('июль 2025'!$G$2:$G$2437,'июль 2025'!$D$2:$D$2437,$B157,'июль 2025'!$J$2:$J$2437,AB$1)</f>
        <v>0</v>
      </c>
      <c r="AC157" s="76">
        <f>SUMIFS('июль 2025'!$G$2:$G$2437,'июль 2025'!$D$2:$D$2437,$B157,'июль 2025'!$J$2:$J$2437,AC$1)</f>
        <v>0</v>
      </c>
      <c r="AD157" s="76">
        <f>SUMIFS('июль 2025'!$G$2:$G$2437,'июль 2025'!$D$2:$D$2437,$B157,'июль 2025'!$J$2:$J$2437,AD$1)</f>
        <v>0</v>
      </c>
      <c r="AE157" s="76">
        <f>SUMIFS('июль 2025'!$G$2:$G$2437,'июль 2025'!$D$2:$D$2437,$B157,'июль 2025'!$J$2:$J$2437,AE$1)</f>
        <v>0</v>
      </c>
      <c r="AF157" s="76">
        <f>SUMIFS('июль 2025'!$G$2:$G$2437,'июль 2025'!$D$2:$D$2437,$B157,'июль 2025'!$J$2:$J$2437,AF$1)</f>
        <v>0</v>
      </c>
      <c r="AG157" s="76">
        <f>SUMIFS('июль 2025'!$G$2:$G$2437,'июль 2025'!$D$2:$D$2437,$B157,'июль 2025'!$J$2:$J$2437,AG$1)</f>
        <v>0</v>
      </c>
      <c r="AH157" s="76">
        <f>SUMIFS('июль 2025'!$G$2:$G$2437,'июль 2025'!$D$2:$D$2437,$B157,'июль 2025'!$J$2:$J$2437,AH$1)</f>
        <v>0</v>
      </c>
      <c r="AI157" s="20">
        <f t="shared" si="1"/>
        <v>0</v>
      </c>
    </row>
    <row r="158" spans="2:35" ht="15" customHeight="1" x14ac:dyDescent="0.25">
      <c r="B158" s="84" t="s">
        <v>275</v>
      </c>
      <c r="C158" s="83">
        <v>200</v>
      </c>
      <c r="D158" s="76">
        <f>SUMIFS('июль 2025'!$G$2:$G$2437,'июль 2025'!$D$2:$D$2437,$B158,'июль 2025'!$J$2:$J$2437,D$1)</f>
        <v>0</v>
      </c>
      <c r="E158" s="76">
        <f>SUMIFS('июль 2025'!$G$2:$G$2437,'июль 2025'!$D$2:$D$2437,$B158,'июль 2025'!$J$2:$J$2437,E$1)</f>
        <v>0</v>
      </c>
      <c r="F158" s="76">
        <f>SUMIFS('июль 2025'!$G$2:$G$2437,'июль 2025'!$D$2:$D$2437,$B158,'июль 2025'!$J$2:$J$2437,F$1)</f>
        <v>0</v>
      </c>
      <c r="G158" s="76">
        <f>SUMIFS('июль 2025'!$G$2:$G$2437,'июль 2025'!$D$2:$D$2437,$B158,'июль 2025'!$J$2:$J$2437,G$1)</f>
        <v>0</v>
      </c>
      <c r="H158" s="76">
        <f>SUMIFS('июль 2025'!$G$2:$G$2437,'июль 2025'!$D$2:$D$2437,$B158,'июль 2025'!$J$2:$J$2437,H$1)</f>
        <v>0</v>
      </c>
      <c r="I158" s="76">
        <f>SUMIFS('июль 2025'!$G$2:$G$2437,'июль 2025'!$D$2:$D$2437,$B158,'июль 2025'!$J$2:$J$2437,I$1)</f>
        <v>0</v>
      </c>
      <c r="J158" s="76">
        <f>SUMIFS('июль 2025'!$G$2:$G$2437,'июль 2025'!$D$2:$D$2437,$B158,'июль 2025'!$J$2:$J$2437,J$1)</f>
        <v>0</v>
      </c>
      <c r="K158" s="76">
        <f>SUMIFS('июль 2025'!$G$2:$G$2437,'июль 2025'!$D$2:$D$2437,$B158,'июль 2025'!$J$2:$J$2437,K$1)</f>
        <v>0</v>
      </c>
      <c r="L158" s="76">
        <f>SUMIFS('июль 2025'!$G$2:$G$2437,'июль 2025'!$D$2:$D$2437,$B158,'июль 2025'!$J$2:$J$2437,L$1)</f>
        <v>0</v>
      </c>
      <c r="M158" s="76">
        <f>SUMIFS('июль 2025'!$G$2:$G$2437,'июль 2025'!$D$2:$D$2437,$B158,'июль 2025'!$J$2:$J$2437,M$1)</f>
        <v>0</v>
      </c>
      <c r="N158" s="76">
        <f>SUMIFS('июль 2025'!$G$2:$G$2437,'июль 2025'!$D$2:$D$2437,$B158,'июль 2025'!$J$2:$J$2437,N$1)</f>
        <v>0</v>
      </c>
      <c r="O158" s="76">
        <f>SUMIFS('июль 2025'!$G$2:$G$2437,'июль 2025'!$D$2:$D$2437,$B158,'июль 2025'!$J$2:$J$2437,O$1)</f>
        <v>0</v>
      </c>
      <c r="P158" s="76">
        <f>SUMIFS('июль 2025'!$G$2:$G$2437,'июль 2025'!$D$2:$D$2437,$B158,'июль 2025'!$J$2:$J$2437,P$1)</f>
        <v>0</v>
      </c>
      <c r="Q158" s="76">
        <f>SUMIFS('июль 2025'!$G$2:$G$2437,'июль 2025'!$D$2:$D$2437,$B158,'июль 2025'!$J$2:$J$2437,Q$1)</f>
        <v>0</v>
      </c>
      <c r="R158" s="76">
        <f>SUMIFS('июль 2025'!$G$2:$G$2437,'июль 2025'!$D$2:$D$2437,$B158,'июль 2025'!$J$2:$J$2437,R$1)</f>
        <v>0</v>
      </c>
      <c r="S158" s="76">
        <f>SUMIFS('июль 2025'!$G$2:$G$2437,'июль 2025'!$D$2:$D$2437,$B158,'июль 2025'!$J$2:$J$2437,S$1)</f>
        <v>0</v>
      </c>
      <c r="T158" s="76">
        <f>SUMIFS('июль 2025'!$G$2:$G$2437,'июль 2025'!$D$2:$D$2437,$B158,'июль 2025'!$J$2:$J$2437,T$1)</f>
        <v>0</v>
      </c>
      <c r="U158" s="76">
        <f>SUMIFS('июль 2025'!$G$2:$G$2437,'июль 2025'!$D$2:$D$2437,$B158,'июль 2025'!$J$2:$J$2437,U$1)</f>
        <v>0</v>
      </c>
      <c r="V158" s="76">
        <f>SUMIFS('июль 2025'!$G$2:$G$2437,'июль 2025'!$D$2:$D$2437,$B158,'июль 2025'!$J$2:$J$2437,V$1)</f>
        <v>0</v>
      </c>
      <c r="W158" s="76">
        <f>SUMIFS('июль 2025'!$G$2:$G$2437,'июль 2025'!$D$2:$D$2437,$B158,'июль 2025'!$J$2:$J$2437,W$1)</f>
        <v>0</v>
      </c>
      <c r="X158" s="76">
        <f>SUMIFS('июль 2025'!$G$2:$G$2437,'июль 2025'!$D$2:$D$2437,$B158,'июль 2025'!$J$2:$J$2437,X$1)</f>
        <v>0</v>
      </c>
      <c r="Y158" s="76">
        <f>SUMIFS('июль 2025'!$G$2:$G$2437,'июль 2025'!$D$2:$D$2437,$B158,'июль 2025'!$J$2:$J$2437,Y$1)</f>
        <v>0</v>
      </c>
      <c r="Z158" s="76">
        <f>SUMIFS('июль 2025'!$G$2:$G$2437,'июль 2025'!$D$2:$D$2437,$B158,'июль 2025'!$J$2:$J$2437,Z$1)</f>
        <v>0</v>
      </c>
      <c r="AA158" s="76">
        <f>SUMIFS('июль 2025'!$G$2:$G$2437,'июль 2025'!$D$2:$D$2437,$B158,'июль 2025'!$J$2:$J$2437,AA$1)</f>
        <v>0</v>
      </c>
      <c r="AB158" s="76">
        <f>SUMIFS('июль 2025'!$G$2:$G$2437,'июль 2025'!$D$2:$D$2437,$B158,'июль 2025'!$J$2:$J$2437,AB$1)</f>
        <v>0</v>
      </c>
      <c r="AC158" s="76">
        <f>SUMIFS('июль 2025'!$G$2:$G$2437,'июль 2025'!$D$2:$D$2437,$B158,'июль 2025'!$J$2:$J$2437,AC$1)</f>
        <v>0</v>
      </c>
      <c r="AD158" s="76">
        <f>SUMIFS('июль 2025'!$G$2:$G$2437,'июль 2025'!$D$2:$D$2437,$B158,'июль 2025'!$J$2:$J$2437,AD$1)</f>
        <v>0</v>
      </c>
      <c r="AE158" s="76">
        <f>SUMIFS('июль 2025'!$G$2:$G$2437,'июль 2025'!$D$2:$D$2437,$B158,'июль 2025'!$J$2:$J$2437,AE$1)</f>
        <v>0</v>
      </c>
      <c r="AF158" s="76">
        <f>SUMIFS('июль 2025'!$G$2:$G$2437,'июль 2025'!$D$2:$D$2437,$B158,'июль 2025'!$J$2:$J$2437,AF$1)</f>
        <v>0</v>
      </c>
      <c r="AG158" s="76">
        <f>SUMIFS('июль 2025'!$G$2:$G$2437,'июль 2025'!$D$2:$D$2437,$B158,'июль 2025'!$J$2:$J$2437,AG$1)</f>
        <v>0</v>
      </c>
      <c r="AH158" s="76">
        <f>SUMIFS('июль 2025'!$G$2:$G$2437,'июль 2025'!$D$2:$D$2437,$B158,'июль 2025'!$J$2:$J$2437,AH$1)</f>
        <v>0</v>
      </c>
      <c r="AI158" s="20">
        <f t="shared" si="1"/>
        <v>0</v>
      </c>
    </row>
    <row r="159" spans="2:35" ht="15" customHeight="1" x14ac:dyDescent="0.25">
      <c r="B159" s="84" t="s">
        <v>204</v>
      </c>
      <c r="C159" s="86">
        <v>200</v>
      </c>
      <c r="D159" s="76">
        <f>SUMIFS('июль 2025'!$G$2:$G$2437,'июль 2025'!$D$2:$D$2437,$B159,'июль 2025'!$J$2:$J$2437,D$1)</f>
        <v>0</v>
      </c>
      <c r="E159" s="76">
        <f>SUMIFS('июль 2025'!$G$2:$G$2437,'июль 2025'!$D$2:$D$2437,$B159,'июль 2025'!$J$2:$J$2437,E$1)</f>
        <v>0</v>
      </c>
      <c r="F159" s="76">
        <f>SUMIFS('июль 2025'!$G$2:$G$2437,'июль 2025'!$D$2:$D$2437,$B159,'июль 2025'!$J$2:$J$2437,F$1)</f>
        <v>0</v>
      </c>
      <c r="G159" s="76">
        <f>SUMIFS('июль 2025'!$G$2:$G$2437,'июль 2025'!$D$2:$D$2437,$B159,'июль 2025'!$J$2:$J$2437,G$1)</f>
        <v>0</v>
      </c>
      <c r="H159" s="76">
        <f>SUMIFS('июль 2025'!$G$2:$G$2437,'июль 2025'!$D$2:$D$2437,$B159,'июль 2025'!$J$2:$J$2437,H$1)</f>
        <v>0</v>
      </c>
      <c r="I159" s="76">
        <f>SUMIFS('июль 2025'!$G$2:$G$2437,'июль 2025'!$D$2:$D$2437,$B159,'июль 2025'!$J$2:$J$2437,I$1)</f>
        <v>0</v>
      </c>
      <c r="J159" s="76">
        <f>SUMIFS('июль 2025'!$G$2:$G$2437,'июль 2025'!$D$2:$D$2437,$B159,'июль 2025'!$J$2:$J$2437,J$1)</f>
        <v>0</v>
      </c>
      <c r="K159" s="76">
        <f>SUMIFS('июль 2025'!$G$2:$G$2437,'июль 2025'!$D$2:$D$2437,$B159,'июль 2025'!$J$2:$J$2437,K$1)</f>
        <v>0</v>
      </c>
      <c r="L159" s="76">
        <f>SUMIFS('июль 2025'!$G$2:$G$2437,'июль 2025'!$D$2:$D$2437,$B159,'июль 2025'!$J$2:$J$2437,L$1)</f>
        <v>0</v>
      </c>
      <c r="M159" s="76">
        <f>SUMIFS('июль 2025'!$G$2:$G$2437,'июль 2025'!$D$2:$D$2437,$B159,'июль 2025'!$J$2:$J$2437,M$1)</f>
        <v>0</v>
      </c>
      <c r="N159" s="76">
        <f>SUMIFS('июль 2025'!$G$2:$G$2437,'июль 2025'!$D$2:$D$2437,$B159,'июль 2025'!$J$2:$J$2437,N$1)</f>
        <v>0</v>
      </c>
      <c r="O159" s="76">
        <f>SUMIFS('июль 2025'!$G$2:$G$2437,'июль 2025'!$D$2:$D$2437,$B159,'июль 2025'!$J$2:$J$2437,O$1)</f>
        <v>0</v>
      </c>
      <c r="P159" s="76">
        <f>SUMIFS('июль 2025'!$G$2:$G$2437,'июль 2025'!$D$2:$D$2437,$B159,'июль 2025'!$J$2:$J$2437,P$1)</f>
        <v>0</v>
      </c>
      <c r="Q159" s="76">
        <f>SUMIFS('июль 2025'!$G$2:$G$2437,'июль 2025'!$D$2:$D$2437,$B159,'июль 2025'!$J$2:$J$2437,Q$1)</f>
        <v>0</v>
      </c>
      <c r="R159" s="76">
        <f>SUMIFS('июль 2025'!$G$2:$G$2437,'июль 2025'!$D$2:$D$2437,$B159,'июль 2025'!$J$2:$J$2437,R$1)</f>
        <v>0</v>
      </c>
      <c r="S159" s="76">
        <f>SUMIFS('июль 2025'!$G$2:$G$2437,'июль 2025'!$D$2:$D$2437,$B159,'июль 2025'!$J$2:$J$2437,S$1)</f>
        <v>0</v>
      </c>
      <c r="T159" s="76">
        <f>SUMIFS('июль 2025'!$G$2:$G$2437,'июль 2025'!$D$2:$D$2437,$B159,'июль 2025'!$J$2:$J$2437,T$1)</f>
        <v>0</v>
      </c>
      <c r="U159" s="76">
        <f>SUMIFS('июль 2025'!$G$2:$G$2437,'июль 2025'!$D$2:$D$2437,$B159,'июль 2025'!$J$2:$J$2437,U$1)</f>
        <v>0</v>
      </c>
      <c r="V159" s="76">
        <f>SUMIFS('июль 2025'!$G$2:$G$2437,'июль 2025'!$D$2:$D$2437,$B159,'июль 2025'!$J$2:$J$2437,V$1)</f>
        <v>0</v>
      </c>
      <c r="W159" s="76">
        <f>SUMIFS('июль 2025'!$G$2:$G$2437,'июль 2025'!$D$2:$D$2437,$B159,'июль 2025'!$J$2:$J$2437,W$1)</f>
        <v>0</v>
      </c>
      <c r="X159" s="76">
        <f>SUMIFS('июль 2025'!$G$2:$G$2437,'июль 2025'!$D$2:$D$2437,$B159,'июль 2025'!$J$2:$J$2437,X$1)</f>
        <v>0</v>
      </c>
      <c r="Y159" s="76">
        <f>SUMIFS('июль 2025'!$G$2:$G$2437,'июль 2025'!$D$2:$D$2437,$B159,'июль 2025'!$J$2:$J$2437,Y$1)</f>
        <v>0</v>
      </c>
      <c r="Z159" s="76">
        <f>SUMIFS('июль 2025'!$G$2:$G$2437,'июль 2025'!$D$2:$D$2437,$B159,'июль 2025'!$J$2:$J$2437,Z$1)</f>
        <v>0</v>
      </c>
      <c r="AA159" s="76">
        <f>SUMIFS('июль 2025'!$G$2:$G$2437,'июль 2025'!$D$2:$D$2437,$B159,'июль 2025'!$J$2:$J$2437,AA$1)</f>
        <v>0</v>
      </c>
      <c r="AB159" s="76">
        <f>SUMIFS('июль 2025'!$G$2:$G$2437,'июль 2025'!$D$2:$D$2437,$B159,'июль 2025'!$J$2:$J$2437,AB$1)</f>
        <v>0</v>
      </c>
      <c r="AC159" s="76">
        <f>SUMIFS('июль 2025'!$G$2:$G$2437,'июль 2025'!$D$2:$D$2437,$B159,'июль 2025'!$J$2:$J$2437,AC$1)</f>
        <v>0</v>
      </c>
      <c r="AD159" s="76">
        <f>SUMIFS('июль 2025'!$G$2:$G$2437,'июль 2025'!$D$2:$D$2437,$B159,'июль 2025'!$J$2:$J$2437,AD$1)</f>
        <v>0</v>
      </c>
      <c r="AE159" s="76">
        <f>SUMIFS('июль 2025'!$G$2:$G$2437,'июль 2025'!$D$2:$D$2437,$B159,'июль 2025'!$J$2:$J$2437,AE$1)</f>
        <v>0</v>
      </c>
      <c r="AF159" s="76">
        <f>SUMIFS('июль 2025'!$G$2:$G$2437,'июль 2025'!$D$2:$D$2437,$B159,'июль 2025'!$J$2:$J$2437,AF$1)</f>
        <v>0</v>
      </c>
      <c r="AG159" s="76">
        <f>SUMIFS('июль 2025'!$G$2:$G$2437,'июль 2025'!$D$2:$D$2437,$B159,'июль 2025'!$J$2:$J$2437,AG$1)</f>
        <v>0</v>
      </c>
      <c r="AH159" s="76">
        <f>SUMIFS('июль 2025'!$G$2:$G$2437,'июль 2025'!$D$2:$D$2437,$B159,'июль 2025'!$J$2:$J$2437,AH$1)</f>
        <v>0</v>
      </c>
      <c r="AI159" s="20">
        <f t="shared" si="1"/>
        <v>0</v>
      </c>
    </row>
    <row r="160" spans="2:35" ht="15" customHeight="1" x14ac:dyDescent="0.25">
      <c r="B160" s="84" t="s">
        <v>290</v>
      </c>
      <c r="C160" s="86">
        <v>200</v>
      </c>
      <c r="D160" s="76">
        <f>SUMIFS('июль 2025'!$G$2:$G$2437,'июль 2025'!$D$2:$D$2437,$B160,'июль 2025'!$J$2:$J$2437,D$1)</f>
        <v>0</v>
      </c>
      <c r="E160" s="76">
        <f>SUMIFS('июль 2025'!$G$2:$G$2437,'июль 2025'!$D$2:$D$2437,$B160,'июль 2025'!$J$2:$J$2437,E$1)</f>
        <v>0</v>
      </c>
      <c r="F160" s="76">
        <f>SUMIFS('июль 2025'!$G$2:$G$2437,'июль 2025'!$D$2:$D$2437,$B160,'июль 2025'!$J$2:$J$2437,F$1)</f>
        <v>0</v>
      </c>
      <c r="G160" s="76">
        <f>SUMIFS('июль 2025'!$G$2:$G$2437,'июль 2025'!$D$2:$D$2437,$B160,'июль 2025'!$J$2:$J$2437,G$1)</f>
        <v>0</v>
      </c>
      <c r="H160" s="76">
        <f>SUMIFS('июль 2025'!$G$2:$G$2437,'июль 2025'!$D$2:$D$2437,$B160,'июль 2025'!$J$2:$J$2437,H$1)</f>
        <v>0</v>
      </c>
      <c r="I160" s="76">
        <f>SUMIFS('июль 2025'!$G$2:$G$2437,'июль 2025'!$D$2:$D$2437,$B160,'июль 2025'!$J$2:$J$2437,I$1)</f>
        <v>0</v>
      </c>
      <c r="J160" s="76">
        <f>SUMIFS('июль 2025'!$G$2:$G$2437,'июль 2025'!$D$2:$D$2437,$B160,'июль 2025'!$J$2:$J$2437,J$1)</f>
        <v>0</v>
      </c>
      <c r="K160" s="76">
        <f>SUMIFS('июль 2025'!$G$2:$G$2437,'июль 2025'!$D$2:$D$2437,$B160,'июль 2025'!$J$2:$J$2437,K$1)</f>
        <v>0</v>
      </c>
      <c r="L160" s="76">
        <f>SUMIFS('июль 2025'!$G$2:$G$2437,'июль 2025'!$D$2:$D$2437,$B160,'июль 2025'!$J$2:$J$2437,L$1)</f>
        <v>0</v>
      </c>
      <c r="M160" s="76">
        <f>SUMIFS('июль 2025'!$G$2:$G$2437,'июль 2025'!$D$2:$D$2437,$B160,'июль 2025'!$J$2:$J$2437,M$1)</f>
        <v>0</v>
      </c>
      <c r="N160" s="76">
        <f>SUMIFS('июль 2025'!$G$2:$G$2437,'июль 2025'!$D$2:$D$2437,$B160,'июль 2025'!$J$2:$J$2437,N$1)</f>
        <v>0</v>
      </c>
      <c r="O160" s="76">
        <f>SUMIFS('июль 2025'!$G$2:$G$2437,'июль 2025'!$D$2:$D$2437,$B160,'июль 2025'!$J$2:$J$2437,O$1)</f>
        <v>0</v>
      </c>
      <c r="P160" s="76">
        <f>SUMIFS('июль 2025'!$G$2:$G$2437,'июль 2025'!$D$2:$D$2437,$B160,'июль 2025'!$J$2:$J$2437,P$1)</f>
        <v>0</v>
      </c>
      <c r="Q160" s="76">
        <f>SUMIFS('июль 2025'!$G$2:$G$2437,'июль 2025'!$D$2:$D$2437,$B160,'июль 2025'!$J$2:$J$2437,Q$1)</f>
        <v>0</v>
      </c>
      <c r="R160" s="76">
        <f>SUMIFS('июль 2025'!$G$2:$G$2437,'июль 2025'!$D$2:$D$2437,$B160,'июль 2025'!$J$2:$J$2437,R$1)</f>
        <v>0</v>
      </c>
      <c r="S160" s="76">
        <f>SUMIFS('июль 2025'!$G$2:$G$2437,'июль 2025'!$D$2:$D$2437,$B160,'июль 2025'!$J$2:$J$2437,S$1)</f>
        <v>0</v>
      </c>
      <c r="T160" s="76">
        <f>SUMIFS('июль 2025'!$G$2:$G$2437,'июль 2025'!$D$2:$D$2437,$B160,'июль 2025'!$J$2:$J$2437,T$1)</f>
        <v>0</v>
      </c>
      <c r="U160" s="76">
        <f>SUMIFS('июль 2025'!$G$2:$G$2437,'июль 2025'!$D$2:$D$2437,$B160,'июль 2025'!$J$2:$J$2437,U$1)</f>
        <v>0</v>
      </c>
      <c r="V160" s="76">
        <f>SUMIFS('июль 2025'!$G$2:$G$2437,'июль 2025'!$D$2:$D$2437,$B160,'июль 2025'!$J$2:$J$2437,V$1)</f>
        <v>0</v>
      </c>
      <c r="W160" s="76">
        <f>SUMIFS('июль 2025'!$G$2:$G$2437,'июль 2025'!$D$2:$D$2437,$B160,'июль 2025'!$J$2:$J$2437,W$1)</f>
        <v>0</v>
      </c>
      <c r="X160" s="76">
        <f>SUMIFS('июль 2025'!$G$2:$G$2437,'июль 2025'!$D$2:$D$2437,$B160,'июль 2025'!$J$2:$J$2437,X$1)</f>
        <v>0</v>
      </c>
      <c r="Y160" s="76">
        <f>SUMIFS('июль 2025'!$G$2:$G$2437,'июль 2025'!$D$2:$D$2437,$B160,'июль 2025'!$J$2:$J$2437,Y$1)</f>
        <v>0</v>
      </c>
      <c r="Z160" s="76">
        <f>SUMIFS('июль 2025'!$G$2:$G$2437,'июль 2025'!$D$2:$D$2437,$B160,'июль 2025'!$J$2:$J$2437,Z$1)</f>
        <v>0</v>
      </c>
      <c r="AA160" s="76">
        <f>SUMIFS('июль 2025'!$G$2:$G$2437,'июль 2025'!$D$2:$D$2437,$B160,'июль 2025'!$J$2:$J$2437,AA$1)</f>
        <v>0</v>
      </c>
      <c r="AB160" s="76">
        <f>SUMIFS('июль 2025'!$G$2:$G$2437,'июль 2025'!$D$2:$D$2437,$B160,'июль 2025'!$J$2:$J$2437,AB$1)</f>
        <v>0</v>
      </c>
      <c r="AC160" s="76">
        <f>SUMIFS('июль 2025'!$G$2:$G$2437,'июль 2025'!$D$2:$D$2437,$B160,'июль 2025'!$J$2:$J$2437,AC$1)</f>
        <v>0</v>
      </c>
      <c r="AD160" s="76">
        <f>SUMIFS('июль 2025'!$G$2:$G$2437,'июль 2025'!$D$2:$D$2437,$B160,'июль 2025'!$J$2:$J$2437,AD$1)</f>
        <v>0</v>
      </c>
      <c r="AE160" s="76">
        <f>SUMIFS('июль 2025'!$G$2:$G$2437,'июль 2025'!$D$2:$D$2437,$B160,'июль 2025'!$J$2:$J$2437,AE$1)</f>
        <v>0</v>
      </c>
      <c r="AF160" s="76">
        <f>SUMIFS('июль 2025'!$G$2:$G$2437,'июль 2025'!$D$2:$D$2437,$B160,'июль 2025'!$J$2:$J$2437,AF$1)</f>
        <v>0</v>
      </c>
      <c r="AG160" s="76">
        <f>SUMIFS('июль 2025'!$G$2:$G$2437,'июль 2025'!$D$2:$D$2437,$B160,'июль 2025'!$J$2:$J$2437,AG$1)</f>
        <v>0</v>
      </c>
      <c r="AH160" s="76">
        <f>SUMIFS('июль 2025'!$G$2:$G$2437,'июль 2025'!$D$2:$D$2437,$B160,'июль 2025'!$J$2:$J$2437,AH$1)</f>
        <v>0</v>
      </c>
      <c r="AI160" s="20">
        <f t="shared" si="1"/>
        <v>0</v>
      </c>
    </row>
    <row r="161" spans="2:35" ht="15" customHeight="1" x14ac:dyDescent="0.25">
      <c r="B161" s="88" t="s">
        <v>177</v>
      </c>
      <c r="C161" s="86">
        <v>25</v>
      </c>
      <c r="D161" s="76">
        <f>SUMIFS('июль 2025'!$G$2:$G$2437,'июль 2025'!$D$2:$D$2437,$B161,'июль 2025'!$J$2:$J$2437,D$1)</f>
        <v>0</v>
      </c>
      <c r="E161" s="76">
        <f>SUMIFS('июль 2025'!$G$2:$G$2437,'июль 2025'!$D$2:$D$2437,$B161,'июль 2025'!$J$2:$J$2437,E$1)</f>
        <v>0</v>
      </c>
      <c r="F161" s="76">
        <f>SUMIFS('июль 2025'!$G$2:$G$2437,'июль 2025'!$D$2:$D$2437,$B161,'июль 2025'!$J$2:$J$2437,F$1)</f>
        <v>0</v>
      </c>
      <c r="G161" s="76">
        <f>SUMIFS('июль 2025'!$G$2:$G$2437,'июль 2025'!$D$2:$D$2437,$B161,'июль 2025'!$J$2:$J$2437,G$1)</f>
        <v>0</v>
      </c>
      <c r="H161" s="76">
        <f>SUMIFS('июль 2025'!$G$2:$G$2437,'июль 2025'!$D$2:$D$2437,$B161,'июль 2025'!$J$2:$J$2437,H$1)</f>
        <v>0</v>
      </c>
      <c r="I161" s="76">
        <f>SUMIFS('июль 2025'!$G$2:$G$2437,'июль 2025'!$D$2:$D$2437,$B161,'июль 2025'!$J$2:$J$2437,I$1)</f>
        <v>0</v>
      </c>
      <c r="J161" s="76">
        <f>SUMIFS('июль 2025'!$G$2:$G$2437,'июль 2025'!$D$2:$D$2437,$B161,'июль 2025'!$J$2:$J$2437,J$1)</f>
        <v>0</v>
      </c>
      <c r="K161" s="76">
        <f>SUMIFS('июль 2025'!$G$2:$G$2437,'июль 2025'!$D$2:$D$2437,$B161,'июль 2025'!$J$2:$J$2437,K$1)</f>
        <v>0</v>
      </c>
      <c r="L161" s="76">
        <f>SUMIFS('июль 2025'!$G$2:$G$2437,'июль 2025'!$D$2:$D$2437,$B161,'июль 2025'!$J$2:$J$2437,L$1)</f>
        <v>0</v>
      </c>
      <c r="M161" s="76">
        <f>SUMIFS('июль 2025'!$G$2:$G$2437,'июль 2025'!$D$2:$D$2437,$B161,'июль 2025'!$J$2:$J$2437,M$1)</f>
        <v>0</v>
      </c>
      <c r="N161" s="76">
        <f>SUMIFS('июль 2025'!$G$2:$G$2437,'июль 2025'!$D$2:$D$2437,$B161,'июль 2025'!$J$2:$J$2437,N$1)</f>
        <v>0</v>
      </c>
      <c r="O161" s="76">
        <f>SUMIFS('июль 2025'!$G$2:$G$2437,'июль 2025'!$D$2:$D$2437,$B161,'июль 2025'!$J$2:$J$2437,O$1)</f>
        <v>0</v>
      </c>
      <c r="P161" s="76">
        <f>SUMIFS('июль 2025'!$G$2:$G$2437,'июль 2025'!$D$2:$D$2437,$B161,'июль 2025'!$J$2:$J$2437,P$1)</f>
        <v>0</v>
      </c>
      <c r="Q161" s="76">
        <f>SUMIFS('июль 2025'!$G$2:$G$2437,'июль 2025'!$D$2:$D$2437,$B161,'июль 2025'!$J$2:$J$2437,Q$1)</f>
        <v>0</v>
      </c>
      <c r="R161" s="76">
        <f>SUMIFS('июль 2025'!$G$2:$G$2437,'июль 2025'!$D$2:$D$2437,$B161,'июль 2025'!$J$2:$J$2437,R$1)</f>
        <v>0</v>
      </c>
      <c r="S161" s="76">
        <f>SUMIFS('июль 2025'!$G$2:$G$2437,'июль 2025'!$D$2:$D$2437,$B161,'июль 2025'!$J$2:$J$2437,S$1)</f>
        <v>0</v>
      </c>
      <c r="T161" s="76">
        <f>SUMIFS('июль 2025'!$G$2:$G$2437,'июль 2025'!$D$2:$D$2437,$B161,'июль 2025'!$J$2:$J$2437,T$1)</f>
        <v>0</v>
      </c>
      <c r="U161" s="76">
        <f>SUMIFS('июль 2025'!$G$2:$G$2437,'июль 2025'!$D$2:$D$2437,$B161,'июль 2025'!$J$2:$J$2437,U$1)</f>
        <v>0</v>
      </c>
      <c r="V161" s="76">
        <f>SUMIFS('июль 2025'!$G$2:$G$2437,'июль 2025'!$D$2:$D$2437,$B161,'июль 2025'!$J$2:$J$2437,V$1)</f>
        <v>0</v>
      </c>
      <c r="W161" s="76">
        <f>SUMIFS('июль 2025'!$G$2:$G$2437,'июль 2025'!$D$2:$D$2437,$B161,'июль 2025'!$J$2:$J$2437,W$1)</f>
        <v>0</v>
      </c>
      <c r="X161" s="76">
        <f>SUMIFS('июль 2025'!$G$2:$G$2437,'июль 2025'!$D$2:$D$2437,$B161,'июль 2025'!$J$2:$J$2437,X$1)</f>
        <v>0</v>
      </c>
      <c r="Y161" s="76">
        <f>SUMIFS('июль 2025'!$G$2:$G$2437,'июль 2025'!$D$2:$D$2437,$B161,'июль 2025'!$J$2:$J$2437,Y$1)</f>
        <v>0</v>
      </c>
      <c r="Z161" s="76">
        <f>SUMIFS('июль 2025'!$G$2:$G$2437,'июль 2025'!$D$2:$D$2437,$B161,'июль 2025'!$J$2:$J$2437,Z$1)</f>
        <v>0</v>
      </c>
      <c r="AA161" s="76">
        <f>SUMIFS('июль 2025'!$G$2:$G$2437,'июль 2025'!$D$2:$D$2437,$B161,'июль 2025'!$J$2:$J$2437,AA$1)</f>
        <v>0</v>
      </c>
      <c r="AB161" s="76">
        <f>SUMIFS('июль 2025'!$G$2:$G$2437,'июль 2025'!$D$2:$D$2437,$B161,'июль 2025'!$J$2:$J$2437,AB$1)</f>
        <v>0</v>
      </c>
      <c r="AC161" s="76">
        <f>SUMIFS('июль 2025'!$G$2:$G$2437,'июль 2025'!$D$2:$D$2437,$B161,'июль 2025'!$J$2:$J$2437,AC$1)</f>
        <v>0</v>
      </c>
      <c r="AD161" s="76">
        <f>SUMIFS('июль 2025'!$G$2:$G$2437,'июль 2025'!$D$2:$D$2437,$B161,'июль 2025'!$J$2:$J$2437,AD$1)</f>
        <v>0</v>
      </c>
      <c r="AE161" s="76">
        <f>SUMIFS('июль 2025'!$G$2:$G$2437,'июль 2025'!$D$2:$D$2437,$B161,'июль 2025'!$J$2:$J$2437,AE$1)</f>
        <v>0</v>
      </c>
      <c r="AF161" s="76">
        <f>SUMIFS('июль 2025'!$G$2:$G$2437,'июль 2025'!$D$2:$D$2437,$B161,'июль 2025'!$J$2:$J$2437,AF$1)</f>
        <v>0</v>
      </c>
      <c r="AG161" s="76">
        <f>SUMIFS('июль 2025'!$G$2:$G$2437,'июль 2025'!$D$2:$D$2437,$B161,'июль 2025'!$J$2:$J$2437,AG$1)</f>
        <v>0</v>
      </c>
      <c r="AH161" s="76">
        <f>SUMIFS('июль 2025'!$G$2:$G$2437,'июль 2025'!$D$2:$D$2437,$B161,'июль 2025'!$J$2:$J$2437,AH$1)</f>
        <v>0</v>
      </c>
      <c r="AI161" s="20">
        <f t="shared" si="1"/>
        <v>0</v>
      </c>
    </row>
    <row r="162" spans="2:35" ht="15" customHeight="1" x14ac:dyDescent="0.25">
      <c r="B162" s="84" t="s">
        <v>175</v>
      </c>
      <c r="C162" s="83">
        <v>25</v>
      </c>
      <c r="D162" s="76">
        <f>SUMIFS('июль 2025'!$G$2:$G$2437,'июль 2025'!$D$2:$D$2437,$B162,'июль 2025'!$J$2:$J$2437,D$1)</f>
        <v>0</v>
      </c>
      <c r="E162" s="76">
        <f>SUMIFS('июль 2025'!$G$2:$G$2437,'июль 2025'!$D$2:$D$2437,$B162,'июль 2025'!$J$2:$J$2437,E$1)</f>
        <v>0</v>
      </c>
      <c r="F162" s="76">
        <f>SUMIFS('июль 2025'!$G$2:$G$2437,'июль 2025'!$D$2:$D$2437,$B162,'июль 2025'!$J$2:$J$2437,F$1)</f>
        <v>0</v>
      </c>
      <c r="G162" s="76">
        <f>SUMIFS('июль 2025'!$G$2:$G$2437,'июль 2025'!$D$2:$D$2437,$B162,'июль 2025'!$J$2:$J$2437,G$1)</f>
        <v>0</v>
      </c>
      <c r="H162" s="76">
        <f>SUMIFS('июль 2025'!$G$2:$G$2437,'июль 2025'!$D$2:$D$2437,$B162,'июль 2025'!$J$2:$J$2437,H$1)</f>
        <v>0</v>
      </c>
      <c r="I162" s="76">
        <f>SUMIFS('июль 2025'!$G$2:$G$2437,'июль 2025'!$D$2:$D$2437,$B162,'июль 2025'!$J$2:$J$2437,I$1)</f>
        <v>0</v>
      </c>
      <c r="J162" s="76">
        <f>SUMIFS('июль 2025'!$G$2:$G$2437,'июль 2025'!$D$2:$D$2437,$B162,'июль 2025'!$J$2:$J$2437,J$1)</f>
        <v>0</v>
      </c>
      <c r="K162" s="76">
        <f>SUMIFS('июль 2025'!$G$2:$G$2437,'июль 2025'!$D$2:$D$2437,$B162,'июль 2025'!$J$2:$J$2437,K$1)</f>
        <v>0</v>
      </c>
      <c r="L162" s="76">
        <f>SUMIFS('июль 2025'!$G$2:$G$2437,'июль 2025'!$D$2:$D$2437,$B162,'июль 2025'!$J$2:$J$2437,L$1)</f>
        <v>0</v>
      </c>
      <c r="M162" s="76">
        <f>SUMIFS('июль 2025'!$G$2:$G$2437,'июль 2025'!$D$2:$D$2437,$B162,'июль 2025'!$J$2:$J$2437,M$1)</f>
        <v>0</v>
      </c>
      <c r="N162" s="76">
        <f>SUMIFS('июль 2025'!$G$2:$G$2437,'июль 2025'!$D$2:$D$2437,$B162,'июль 2025'!$J$2:$J$2437,N$1)</f>
        <v>0</v>
      </c>
      <c r="O162" s="76">
        <f>SUMIFS('июль 2025'!$G$2:$G$2437,'июль 2025'!$D$2:$D$2437,$B162,'июль 2025'!$J$2:$J$2437,O$1)</f>
        <v>0</v>
      </c>
      <c r="P162" s="76">
        <f>SUMIFS('июль 2025'!$G$2:$G$2437,'июль 2025'!$D$2:$D$2437,$B162,'июль 2025'!$J$2:$J$2437,P$1)</f>
        <v>0</v>
      </c>
      <c r="Q162" s="76">
        <f>SUMIFS('июль 2025'!$G$2:$G$2437,'июль 2025'!$D$2:$D$2437,$B162,'июль 2025'!$J$2:$J$2437,Q$1)</f>
        <v>0</v>
      </c>
      <c r="R162" s="76">
        <f>SUMIFS('июль 2025'!$G$2:$G$2437,'июль 2025'!$D$2:$D$2437,$B162,'июль 2025'!$J$2:$J$2437,R$1)</f>
        <v>0</v>
      </c>
      <c r="S162" s="76">
        <f>SUMIFS('июль 2025'!$G$2:$G$2437,'июль 2025'!$D$2:$D$2437,$B162,'июль 2025'!$J$2:$J$2437,S$1)</f>
        <v>0</v>
      </c>
      <c r="T162" s="76">
        <f>SUMIFS('июль 2025'!$G$2:$G$2437,'июль 2025'!$D$2:$D$2437,$B162,'июль 2025'!$J$2:$J$2437,T$1)</f>
        <v>0</v>
      </c>
      <c r="U162" s="76">
        <f>SUMIFS('июль 2025'!$G$2:$G$2437,'июль 2025'!$D$2:$D$2437,$B162,'июль 2025'!$J$2:$J$2437,U$1)</f>
        <v>0</v>
      </c>
      <c r="V162" s="76">
        <f>SUMIFS('июль 2025'!$G$2:$G$2437,'июль 2025'!$D$2:$D$2437,$B162,'июль 2025'!$J$2:$J$2437,V$1)</f>
        <v>0</v>
      </c>
      <c r="W162" s="76">
        <f>SUMIFS('июль 2025'!$G$2:$G$2437,'июль 2025'!$D$2:$D$2437,$B162,'июль 2025'!$J$2:$J$2437,W$1)</f>
        <v>0</v>
      </c>
      <c r="X162" s="76">
        <f>SUMIFS('июль 2025'!$G$2:$G$2437,'июль 2025'!$D$2:$D$2437,$B162,'июль 2025'!$J$2:$J$2437,X$1)</f>
        <v>0</v>
      </c>
      <c r="Y162" s="76">
        <f>SUMIFS('июль 2025'!$G$2:$G$2437,'июль 2025'!$D$2:$D$2437,$B162,'июль 2025'!$J$2:$J$2437,Y$1)</f>
        <v>0</v>
      </c>
      <c r="Z162" s="76">
        <f>SUMIFS('июль 2025'!$G$2:$G$2437,'июль 2025'!$D$2:$D$2437,$B162,'июль 2025'!$J$2:$J$2437,Z$1)</f>
        <v>0</v>
      </c>
      <c r="AA162" s="76">
        <f>SUMIFS('июль 2025'!$G$2:$G$2437,'июль 2025'!$D$2:$D$2437,$B162,'июль 2025'!$J$2:$J$2437,AA$1)</f>
        <v>0</v>
      </c>
      <c r="AB162" s="76">
        <f>SUMIFS('июль 2025'!$G$2:$G$2437,'июль 2025'!$D$2:$D$2437,$B162,'июль 2025'!$J$2:$J$2437,AB$1)</f>
        <v>0</v>
      </c>
      <c r="AC162" s="76">
        <f>SUMIFS('июль 2025'!$G$2:$G$2437,'июль 2025'!$D$2:$D$2437,$B162,'июль 2025'!$J$2:$J$2437,AC$1)</f>
        <v>0</v>
      </c>
      <c r="AD162" s="76">
        <f>SUMIFS('июль 2025'!$G$2:$G$2437,'июль 2025'!$D$2:$D$2437,$B162,'июль 2025'!$J$2:$J$2437,AD$1)</f>
        <v>0</v>
      </c>
      <c r="AE162" s="76">
        <f>SUMIFS('июль 2025'!$G$2:$G$2437,'июль 2025'!$D$2:$D$2437,$B162,'июль 2025'!$J$2:$J$2437,AE$1)</f>
        <v>0</v>
      </c>
      <c r="AF162" s="76">
        <f>SUMIFS('июль 2025'!$G$2:$G$2437,'июль 2025'!$D$2:$D$2437,$B162,'июль 2025'!$J$2:$J$2437,AF$1)</f>
        <v>0</v>
      </c>
      <c r="AG162" s="76">
        <f>SUMIFS('июль 2025'!$G$2:$G$2437,'июль 2025'!$D$2:$D$2437,$B162,'июль 2025'!$J$2:$J$2437,AG$1)</f>
        <v>0</v>
      </c>
      <c r="AH162" s="76">
        <f>SUMIFS('июль 2025'!$G$2:$G$2437,'июль 2025'!$D$2:$D$2437,$B162,'июль 2025'!$J$2:$J$2437,AH$1)</f>
        <v>0</v>
      </c>
      <c r="AI162" s="20">
        <f t="shared" si="1"/>
        <v>0</v>
      </c>
    </row>
    <row r="163" spans="2:35" ht="15" customHeight="1" x14ac:dyDescent="0.25">
      <c r="B163" s="84" t="s">
        <v>176</v>
      </c>
      <c r="C163" s="83">
        <v>25</v>
      </c>
      <c r="D163" s="76">
        <f>SUMIFS('июль 2025'!$G$2:$G$2437,'июль 2025'!$D$2:$D$2437,$B163,'июль 2025'!$J$2:$J$2437,D$1)</f>
        <v>0</v>
      </c>
      <c r="E163" s="76">
        <f>SUMIFS('июль 2025'!$G$2:$G$2437,'июль 2025'!$D$2:$D$2437,$B163,'июль 2025'!$J$2:$J$2437,E$1)</f>
        <v>0</v>
      </c>
      <c r="F163" s="76">
        <f>SUMIFS('июль 2025'!$G$2:$G$2437,'июль 2025'!$D$2:$D$2437,$B163,'июль 2025'!$J$2:$J$2437,F$1)</f>
        <v>0</v>
      </c>
      <c r="G163" s="76">
        <f>SUMIFS('июль 2025'!$G$2:$G$2437,'июль 2025'!$D$2:$D$2437,$B163,'июль 2025'!$J$2:$J$2437,G$1)</f>
        <v>0</v>
      </c>
      <c r="H163" s="76">
        <f>SUMIFS('июль 2025'!$G$2:$G$2437,'июль 2025'!$D$2:$D$2437,$B163,'июль 2025'!$J$2:$J$2437,H$1)</f>
        <v>0</v>
      </c>
      <c r="I163" s="76">
        <f>SUMIFS('июль 2025'!$G$2:$G$2437,'июль 2025'!$D$2:$D$2437,$B163,'июль 2025'!$J$2:$J$2437,I$1)</f>
        <v>0</v>
      </c>
      <c r="J163" s="76">
        <f>SUMIFS('июль 2025'!$G$2:$G$2437,'июль 2025'!$D$2:$D$2437,$B163,'июль 2025'!$J$2:$J$2437,J$1)</f>
        <v>0</v>
      </c>
      <c r="K163" s="76">
        <f>SUMIFS('июль 2025'!$G$2:$G$2437,'июль 2025'!$D$2:$D$2437,$B163,'июль 2025'!$J$2:$J$2437,K$1)</f>
        <v>0</v>
      </c>
      <c r="L163" s="76">
        <f>SUMIFS('июль 2025'!$G$2:$G$2437,'июль 2025'!$D$2:$D$2437,$B163,'июль 2025'!$J$2:$J$2437,L$1)</f>
        <v>0</v>
      </c>
      <c r="M163" s="76">
        <f>SUMIFS('июль 2025'!$G$2:$G$2437,'июль 2025'!$D$2:$D$2437,$B163,'июль 2025'!$J$2:$J$2437,M$1)</f>
        <v>0</v>
      </c>
      <c r="N163" s="76">
        <f>SUMIFS('июль 2025'!$G$2:$G$2437,'июль 2025'!$D$2:$D$2437,$B163,'июль 2025'!$J$2:$J$2437,N$1)</f>
        <v>0</v>
      </c>
      <c r="O163" s="76">
        <f>SUMIFS('июль 2025'!$G$2:$G$2437,'июль 2025'!$D$2:$D$2437,$B163,'июль 2025'!$J$2:$J$2437,O$1)</f>
        <v>0</v>
      </c>
      <c r="P163" s="76">
        <f>SUMIFS('июль 2025'!$G$2:$G$2437,'июль 2025'!$D$2:$D$2437,$B163,'июль 2025'!$J$2:$J$2437,P$1)</f>
        <v>0</v>
      </c>
      <c r="Q163" s="76">
        <f>SUMIFS('июль 2025'!$G$2:$G$2437,'июль 2025'!$D$2:$D$2437,$B163,'июль 2025'!$J$2:$J$2437,Q$1)</f>
        <v>0</v>
      </c>
      <c r="R163" s="76">
        <f>SUMIFS('июль 2025'!$G$2:$G$2437,'июль 2025'!$D$2:$D$2437,$B163,'июль 2025'!$J$2:$J$2437,R$1)</f>
        <v>0</v>
      </c>
      <c r="S163" s="76">
        <f>SUMIFS('июль 2025'!$G$2:$G$2437,'июль 2025'!$D$2:$D$2437,$B163,'июль 2025'!$J$2:$J$2437,S$1)</f>
        <v>0</v>
      </c>
      <c r="T163" s="76">
        <f>SUMIFS('июль 2025'!$G$2:$G$2437,'июль 2025'!$D$2:$D$2437,$B163,'июль 2025'!$J$2:$J$2437,T$1)</f>
        <v>0</v>
      </c>
      <c r="U163" s="76">
        <f>SUMIFS('июль 2025'!$G$2:$G$2437,'июль 2025'!$D$2:$D$2437,$B163,'июль 2025'!$J$2:$J$2437,U$1)</f>
        <v>0</v>
      </c>
      <c r="V163" s="76">
        <f>SUMIFS('июль 2025'!$G$2:$G$2437,'июль 2025'!$D$2:$D$2437,$B163,'июль 2025'!$J$2:$J$2437,V$1)</f>
        <v>0</v>
      </c>
      <c r="W163" s="76">
        <f>SUMIFS('июль 2025'!$G$2:$G$2437,'июль 2025'!$D$2:$D$2437,$B163,'июль 2025'!$J$2:$J$2437,W$1)</f>
        <v>0</v>
      </c>
      <c r="X163" s="76">
        <f>SUMIFS('июль 2025'!$G$2:$G$2437,'июль 2025'!$D$2:$D$2437,$B163,'июль 2025'!$J$2:$J$2437,X$1)</f>
        <v>0</v>
      </c>
      <c r="Y163" s="76">
        <f>SUMIFS('июль 2025'!$G$2:$G$2437,'июль 2025'!$D$2:$D$2437,$B163,'июль 2025'!$J$2:$J$2437,Y$1)</f>
        <v>0</v>
      </c>
      <c r="Z163" s="76">
        <f>SUMIFS('июль 2025'!$G$2:$G$2437,'июль 2025'!$D$2:$D$2437,$B163,'июль 2025'!$J$2:$J$2437,Z$1)</f>
        <v>0</v>
      </c>
      <c r="AA163" s="76">
        <f>SUMIFS('июль 2025'!$G$2:$G$2437,'июль 2025'!$D$2:$D$2437,$B163,'июль 2025'!$J$2:$J$2437,AA$1)</f>
        <v>0</v>
      </c>
      <c r="AB163" s="76">
        <f>SUMIFS('июль 2025'!$G$2:$G$2437,'июль 2025'!$D$2:$D$2437,$B163,'июль 2025'!$J$2:$J$2437,AB$1)</f>
        <v>0</v>
      </c>
      <c r="AC163" s="76">
        <f>SUMIFS('июль 2025'!$G$2:$G$2437,'июль 2025'!$D$2:$D$2437,$B163,'июль 2025'!$J$2:$J$2437,AC$1)</f>
        <v>0</v>
      </c>
      <c r="AD163" s="76">
        <f>SUMIFS('июль 2025'!$G$2:$G$2437,'июль 2025'!$D$2:$D$2437,$B163,'июль 2025'!$J$2:$J$2437,AD$1)</f>
        <v>0</v>
      </c>
      <c r="AE163" s="76">
        <f>SUMIFS('июль 2025'!$G$2:$G$2437,'июль 2025'!$D$2:$D$2437,$B163,'июль 2025'!$J$2:$J$2437,AE$1)</f>
        <v>0</v>
      </c>
      <c r="AF163" s="76">
        <f>SUMIFS('июль 2025'!$G$2:$G$2437,'июль 2025'!$D$2:$D$2437,$B163,'июль 2025'!$J$2:$J$2437,AF$1)</f>
        <v>0</v>
      </c>
      <c r="AG163" s="76">
        <f>SUMIFS('июль 2025'!$G$2:$G$2437,'июль 2025'!$D$2:$D$2437,$B163,'июль 2025'!$J$2:$J$2437,AG$1)</f>
        <v>0</v>
      </c>
      <c r="AH163" s="76">
        <f>SUMIFS('июль 2025'!$G$2:$G$2437,'июль 2025'!$D$2:$D$2437,$B163,'июль 2025'!$J$2:$J$2437,AH$1)</f>
        <v>0</v>
      </c>
      <c r="AI163" s="20">
        <f t="shared" si="1"/>
        <v>0</v>
      </c>
    </row>
    <row r="164" spans="2:35" ht="15" customHeight="1" x14ac:dyDescent="0.25">
      <c r="B164" s="84" t="s">
        <v>201</v>
      </c>
      <c r="C164" s="83">
        <v>25</v>
      </c>
      <c r="D164" s="76">
        <f>SUMIFS('июль 2025'!$G$2:$G$2437,'июль 2025'!$D$2:$D$2437,$B164,'июль 2025'!$J$2:$J$2437,D$1)</f>
        <v>0</v>
      </c>
      <c r="E164" s="76">
        <f>SUMIFS('июль 2025'!$G$2:$G$2437,'июль 2025'!$D$2:$D$2437,$B164,'июль 2025'!$J$2:$J$2437,E$1)</f>
        <v>0</v>
      </c>
      <c r="F164" s="76">
        <f>SUMIFS('июль 2025'!$G$2:$G$2437,'июль 2025'!$D$2:$D$2437,$B164,'июль 2025'!$J$2:$J$2437,F$1)</f>
        <v>0</v>
      </c>
      <c r="G164" s="76">
        <f>SUMIFS('июль 2025'!$G$2:$G$2437,'июль 2025'!$D$2:$D$2437,$B164,'июль 2025'!$J$2:$J$2437,G$1)</f>
        <v>0</v>
      </c>
      <c r="H164" s="76">
        <f>SUMIFS('июль 2025'!$G$2:$G$2437,'июль 2025'!$D$2:$D$2437,$B164,'июль 2025'!$J$2:$J$2437,H$1)</f>
        <v>0</v>
      </c>
      <c r="I164" s="76">
        <f>SUMIFS('июль 2025'!$G$2:$G$2437,'июль 2025'!$D$2:$D$2437,$B164,'июль 2025'!$J$2:$J$2437,I$1)</f>
        <v>0</v>
      </c>
      <c r="J164" s="76">
        <f>SUMIFS('июль 2025'!$G$2:$G$2437,'июль 2025'!$D$2:$D$2437,$B164,'июль 2025'!$J$2:$J$2437,J$1)</f>
        <v>0</v>
      </c>
      <c r="K164" s="76">
        <f>SUMIFS('июль 2025'!$G$2:$G$2437,'июль 2025'!$D$2:$D$2437,$B164,'июль 2025'!$J$2:$J$2437,K$1)</f>
        <v>0</v>
      </c>
      <c r="L164" s="76">
        <f>SUMIFS('июль 2025'!$G$2:$G$2437,'июль 2025'!$D$2:$D$2437,$B164,'июль 2025'!$J$2:$J$2437,L$1)</f>
        <v>0</v>
      </c>
      <c r="M164" s="76">
        <f>SUMIFS('июль 2025'!$G$2:$G$2437,'июль 2025'!$D$2:$D$2437,$B164,'июль 2025'!$J$2:$J$2437,M$1)</f>
        <v>0</v>
      </c>
      <c r="N164" s="76">
        <f>SUMIFS('июль 2025'!$G$2:$G$2437,'июль 2025'!$D$2:$D$2437,$B164,'июль 2025'!$J$2:$J$2437,N$1)</f>
        <v>0</v>
      </c>
      <c r="O164" s="76">
        <f>SUMIFS('июль 2025'!$G$2:$G$2437,'июль 2025'!$D$2:$D$2437,$B164,'июль 2025'!$J$2:$J$2437,O$1)</f>
        <v>0</v>
      </c>
      <c r="P164" s="76">
        <f>SUMIFS('июль 2025'!$G$2:$G$2437,'июль 2025'!$D$2:$D$2437,$B164,'июль 2025'!$J$2:$J$2437,P$1)</f>
        <v>0</v>
      </c>
      <c r="Q164" s="76">
        <f>SUMIFS('июль 2025'!$G$2:$G$2437,'июль 2025'!$D$2:$D$2437,$B164,'июль 2025'!$J$2:$J$2437,Q$1)</f>
        <v>0</v>
      </c>
      <c r="R164" s="76">
        <f>SUMIFS('июль 2025'!$G$2:$G$2437,'июль 2025'!$D$2:$D$2437,$B164,'июль 2025'!$J$2:$J$2437,R$1)</f>
        <v>0</v>
      </c>
      <c r="S164" s="76">
        <f>SUMIFS('июль 2025'!$G$2:$G$2437,'июль 2025'!$D$2:$D$2437,$B164,'июль 2025'!$J$2:$J$2437,S$1)</f>
        <v>0</v>
      </c>
      <c r="T164" s="76">
        <f>SUMIFS('июль 2025'!$G$2:$G$2437,'июль 2025'!$D$2:$D$2437,$B164,'июль 2025'!$J$2:$J$2437,T$1)</f>
        <v>0</v>
      </c>
      <c r="U164" s="76">
        <f>SUMIFS('июль 2025'!$G$2:$G$2437,'июль 2025'!$D$2:$D$2437,$B164,'июль 2025'!$J$2:$J$2437,U$1)</f>
        <v>0</v>
      </c>
      <c r="V164" s="76">
        <f>SUMIFS('июль 2025'!$G$2:$G$2437,'июль 2025'!$D$2:$D$2437,$B164,'июль 2025'!$J$2:$J$2437,V$1)</f>
        <v>0</v>
      </c>
      <c r="W164" s="76">
        <f>SUMIFS('июль 2025'!$G$2:$G$2437,'июль 2025'!$D$2:$D$2437,$B164,'июль 2025'!$J$2:$J$2437,W$1)</f>
        <v>0</v>
      </c>
      <c r="X164" s="76">
        <f>SUMIFS('июль 2025'!$G$2:$G$2437,'июль 2025'!$D$2:$D$2437,$B164,'июль 2025'!$J$2:$J$2437,X$1)</f>
        <v>0</v>
      </c>
      <c r="Y164" s="76">
        <f>SUMIFS('июль 2025'!$G$2:$G$2437,'июль 2025'!$D$2:$D$2437,$B164,'июль 2025'!$J$2:$J$2437,Y$1)</f>
        <v>0</v>
      </c>
      <c r="Z164" s="76">
        <f>SUMIFS('июль 2025'!$G$2:$G$2437,'июль 2025'!$D$2:$D$2437,$B164,'июль 2025'!$J$2:$J$2437,Z$1)</f>
        <v>0</v>
      </c>
      <c r="AA164" s="76">
        <f>SUMIFS('июль 2025'!$G$2:$G$2437,'июль 2025'!$D$2:$D$2437,$B164,'июль 2025'!$J$2:$J$2437,AA$1)</f>
        <v>0</v>
      </c>
      <c r="AB164" s="76">
        <f>SUMIFS('июль 2025'!$G$2:$G$2437,'июль 2025'!$D$2:$D$2437,$B164,'июль 2025'!$J$2:$J$2437,AB$1)</f>
        <v>0</v>
      </c>
      <c r="AC164" s="76">
        <f>SUMIFS('июль 2025'!$G$2:$G$2437,'июль 2025'!$D$2:$D$2437,$B164,'июль 2025'!$J$2:$J$2437,AC$1)</f>
        <v>0</v>
      </c>
      <c r="AD164" s="76">
        <f>SUMIFS('июль 2025'!$G$2:$G$2437,'июль 2025'!$D$2:$D$2437,$B164,'июль 2025'!$J$2:$J$2437,AD$1)</f>
        <v>0</v>
      </c>
      <c r="AE164" s="76">
        <f>SUMIFS('июль 2025'!$G$2:$G$2437,'июль 2025'!$D$2:$D$2437,$B164,'июль 2025'!$J$2:$J$2437,AE$1)</f>
        <v>0</v>
      </c>
      <c r="AF164" s="76">
        <f>SUMIFS('июль 2025'!$G$2:$G$2437,'июль 2025'!$D$2:$D$2437,$B164,'июль 2025'!$J$2:$J$2437,AF$1)</f>
        <v>0</v>
      </c>
      <c r="AG164" s="76">
        <f>SUMIFS('июль 2025'!$G$2:$G$2437,'июль 2025'!$D$2:$D$2437,$B164,'июль 2025'!$J$2:$J$2437,AG$1)</f>
        <v>0</v>
      </c>
      <c r="AH164" s="76">
        <f>SUMIFS('июль 2025'!$G$2:$G$2437,'июль 2025'!$D$2:$D$2437,$B164,'июль 2025'!$J$2:$J$2437,AH$1)</f>
        <v>0</v>
      </c>
      <c r="AI164" s="20">
        <f t="shared" si="1"/>
        <v>0</v>
      </c>
    </row>
    <row r="165" spans="2:35" ht="15" customHeight="1" x14ac:dyDescent="0.25">
      <c r="B165" s="84" t="s">
        <v>300</v>
      </c>
      <c r="C165" s="83">
        <v>200</v>
      </c>
      <c r="D165" s="76">
        <f>SUMIFS('июль 2025'!$G$2:$G$2437,'июль 2025'!$D$2:$D$2437,$B165,'июль 2025'!$J$2:$J$2437,D$1)</f>
        <v>0</v>
      </c>
      <c r="E165" s="76">
        <f>SUMIFS('июль 2025'!$G$2:$G$2437,'июль 2025'!$D$2:$D$2437,$B165,'июль 2025'!$J$2:$J$2437,E$1)</f>
        <v>0</v>
      </c>
      <c r="F165" s="76">
        <f>SUMIFS('июль 2025'!$G$2:$G$2437,'июль 2025'!$D$2:$D$2437,$B165,'июль 2025'!$J$2:$J$2437,F$1)</f>
        <v>0</v>
      </c>
      <c r="G165" s="76">
        <f>SUMIFS('июль 2025'!$G$2:$G$2437,'июль 2025'!$D$2:$D$2437,$B165,'июль 2025'!$J$2:$J$2437,G$1)</f>
        <v>0</v>
      </c>
      <c r="H165" s="76">
        <f>SUMIFS('июль 2025'!$G$2:$G$2437,'июль 2025'!$D$2:$D$2437,$B165,'июль 2025'!$J$2:$J$2437,H$1)</f>
        <v>0</v>
      </c>
      <c r="I165" s="76">
        <f>SUMIFS('июль 2025'!$G$2:$G$2437,'июль 2025'!$D$2:$D$2437,$B165,'июль 2025'!$J$2:$J$2437,I$1)</f>
        <v>0</v>
      </c>
      <c r="J165" s="76">
        <f>SUMIFS('июль 2025'!$G$2:$G$2437,'июль 2025'!$D$2:$D$2437,$B165,'июль 2025'!$J$2:$J$2437,J$1)</f>
        <v>0</v>
      </c>
      <c r="K165" s="76">
        <f>SUMIFS('июль 2025'!$G$2:$G$2437,'июль 2025'!$D$2:$D$2437,$B165,'июль 2025'!$J$2:$J$2437,K$1)</f>
        <v>0</v>
      </c>
      <c r="L165" s="76">
        <f>SUMIFS('июль 2025'!$G$2:$G$2437,'июль 2025'!$D$2:$D$2437,$B165,'июль 2025'!$J$2:$J$2437,L$1)</f>
        <v>0</v>
      </c>
      <c r="M165" s="76">
        <f>SUMIFS('июль 2025'!$G$2:$G$2437,'июль 2025'!$D$2:$D$2437,$B165,'июль 2025'!$J$2:$J$2437,M$1)</f>
        <v>0</v>
      </c>
      <c r="N165" s="76">
        <f>SUMIFS('июль 2025'!$G$2:$G$2437,'июль 2025'!$D$2:$D$2437,$B165,'июль 2025'!$J$2:$J$2437,N$1)</f>
        <v>0</v>
      </c>
      <c r="O165" s="76">
        <f>SUMIFS('июль 2025'!$G$2:$G$2437,'июль 2025'!$D$2:$D$2437,$B165,'июль 2025'!$J$2:$J$2437,O$1)</f>
        <v>0</v>
      </c>
      <c r="P165" s="76">
        <f>SUMIFS('июль 2025'!$G$2:$G$2437,'июль 2025'!$D$2:$D$2437,$B165,'июль 2025'!$J$2:$J$2437,P$1)</f>
        <v>0</v>
      </c>
      <c r="Q165" s="76">
        <f>SUMIFS('июль 2025'!$G$2:$G$2437,'июль 2025'!$D$2:$D$2437,$B165,'июль 2025'!$J$2:$J$2437,Q$1)</f>
        <v>0</v>
      </c>
      <c r="R165" s="76">
        <f>SUMIFS('июль 2025'!$G$2:$G$2437,'июль 2025'!$D$2:$D$2437,$B165,'июль 2025'!$J$2:$J$2437,R$1)</f>
        <v>0</v>
      </c>
      <c r="S165" s="76">
        <f>SUMIFS('июль 2025'!$G$2:$G$2437,'июль 2025'!$D$2:$D$2437,$B165,'июль 2025'!$J$2:$J$2437,S$1)</f>
        <v>0</v>
      </c>
      <c r="T165" s="76">
        <f>SUMIFS('июль 2025'!$G$2:$G$2437,'июль 2025'!$D$2:$D$2437,$B165,'июль 2025'!$J$2:$J$2437,T$1)</f>
        <v>0</v>
      </c>
      <c r="U165" s="76">
        <f>SUMIFS('июль 2025'!$G$2:$G$2437,'июль 2025'!$D$2:$D$2437,$B165,'июль 2025'!$J$2:$J$2437,U$1)</f>
        <v>0</v>
      </c>
      <c r="V165" s="76">
        <f>SUMIFS('июль 2025'!$G$2:$G$2437,'июль 2025'!$D$2:$D$2437,$B165,'июль 2025'!$J$2:$J$2437,V$1)</f>
        <v>0</v>
      </c>
      <c r="W165" s="76">
        <f>SUMIFS('июль 2025'!$G$2:$G$2437,'июль 2025'!$D$2:$D$2437,$B165,'июль 2025'!$J$2:$J$2437,W$1)</f>
        <v>0</v>
      </c>
      <c r="X165" s="76">
        <f>SUMIFS('июль 2025'!$G$2:$G$2437,'июль 2025'!$D$2:$D$2437,$B165,'июль 2025'!$J$2:$J$2437,X$1)</f>
        <v>0</v>
      </c>
      <c r="Y165" s="76">
        <f>SUMIFS('июль 2025'!$G$2:$G$2437,'июль 2025'!$D$2:$D$2437,$B165,'июль 2025'!$J$2:$J$2437,Y$1)</f>
        <v>0</v>
      </c>
      <c r="Z165" s="76">
        <f>SUMIFS('июль 2025'!$G$2:$G$2437,'июль 2025'!$D$2:$D$2437,$B165,'июль 2025'!$J$2:$J$2437,Z$1)</f>
        <v>0</v>
      </c>
      <c r="AA165" s="76">
        <f>SUMIFS('июль 2025'!$G$2:$G$2437,'июль 2025'!$D$2:$D$2437,$B165,'июль 2025'!$J$2:$J$2437,AA$1)</f>
        <v>0</v>
      </c>
      <c r="AB165" s="76">
        <f>SUMIFS('июль 2025'!$G$2:$G$2437,'июль 2025'!$D$2:$D$2437,$B165,'июль 2025'!$J$2:$J$2437,AB$1)</f>
        <v>0</v>
      </c>
      <c r="AC165" s="76">
        <f>SUMIFS('июль 2025'!$G$2:$G$2437,'июль 2025'!$D$2:$D$2437,$B165,'июль 2025'!$J$2:$J$2437,AC$1)</f>
        <v>0</v>
      </c>
      <c r="AD165" s="76">
        <f>SUMIFS('июль 2025'!$G$2:$G$2437,'июль 2025'!$D$2:$D$2437,$B165,'июль 2025'!$J$2:$J$2437,AD$1)</f>
        <v>0</v>
      </c>
      <c r="AE165" s="76">
        <f>SUMIFS('июль 2025'!$G$2:$G$2437,'июль 2025'!$D$2:$D$2437,$B165,'июль 2025'!$J$2:$J$2437,AE$1)</f>
        <v>0</v>
      </c>
      <c r="AF165" s="76">
        <f>SUMIFS('июль 2025'!$G$2:$G$2437,'июль 2025'!$D$2:$D$2437,$B165,'июль 2025'!$J$2:$J$2437,AF$1)</f>
        <v>0</v>
      </c>
      <c r="AG165" s="76">
        <f>SUMIFS('июль 2025'!$G$2:$G$2437,'июль 2025'!$D$2:$D$2437,$B165,'июль 2025'!$J$2:$J$2437,AG$1)</f>
        <v>0</v>
      </c>
      <c r="AH165" s="76">
        <f>SUMIFS('июль 2025'!$G$2:$G$2437,'июль 2025'!$D$2:$D$2437,$B165,'июль 2025'!$J$2:$J$2437,AH$1)</f>
        <v>0</v>
      </c>
      <c r="AI165" s="20">
        <f>SUM(D165:AH165)</f>
        <v>0</v>
      </c>
    </row>
    <row r="166" spans="2:35" ht="15" customHeight="1" x14ac:dyDescent="0.25">
      <c r="B166" s="84" t="s">
        <v>307</v>
      </c>
      <c r="C166" s="83">
        <v>175</v>
      </c>
      <c r="D166" s="76">
        <f>SUMIFS('июль 2025'!$G$2:$G$2437,'июль 2025'!$D$2:$D$2437,$B166,'июль 2025'!$J$2:$J$2437,D$1)</f>
        <v>0</v>
      </c>
      <c r="E166" s="76">
        <f>SUMIFS('июль 2025'!$G$2:$G$2437,'июль 2025'!$D$2:$D$2437,$B166,'июль 2025'!$J$2:$J$2437,E$1)</f>
        <v>0</v>
      </c>
      <c r="F166" s="76">
        <f>SUMIFS('июль 2025'!$G$2:$G$2437,'июль 2025'!$D$2:$D$2437,$B166,'июль 2025'!$J$2:$J$2437,F$1)</f>
        <v>0</v>
      </c>
      <c r="G166" s="76">
        <f>SUMIFS('июль 2025'!$G$2:$G$2437,'июль 2025'!$D$2:$D$2437,$B166,'июль 2025'!$J$2:$J$2437,G$1)</f>
        <v>0</v>
      </c>
      <c r="H166" s="76">
        <f>SUMIFS('июль 2025'!$G$2:$G$2437,'июль 2025'!$D$2:$D$2437,$B166,'июль 2025'!$J$2:$J$2437,H$1)</f>
        <v>0</v>
      </c>
      <c r="I166" s="76">
        <f>SUMIFS('июль 2025'!$G$2:$G$2437,'июль 2025'!$D$2:$D$2437,$B166,'июль 2025'!$J$2:$J$2437,I$1)</f>
        <v>0</v>
      </c>
      <c r="J166" s="76">
        <f>SUMIFS('июль 2025'!$G$2:$G$2437,'июль 2025'!$D$2:$D$2437,$B166,'июль 2025'!$J$2:$J$2437,J$1)</f>
        <v>0</v>
      </c>
      <c r="K166" s="76">
        <f>SUMIFS('июль 2025'!$G$2:$G$2437,'июль 2025'!$D$2:$D$2437,$B166,'июль 2025'!$J$2:$J$2437,K$1)</f>
        <v>0</v>
      </c>
      <c r="L166" s="76">
        <f>SUMIFS('июль 2025'!$G$2:$G$2437,'июль 2025'!$D$2:$D$2437,$B166,'июль 2025'!$J$2:$J$2437,L$1)</f>
        <v>0</v>
      </c>
      <c r="M166" s="76">
        <f>SUMIFS('июль 2025'!$G$2:$G$2437,'июль 2025'!$D$2:$D$2437,$B166,'июль 2025'!$J$2:$J$2437,M$1)</f>
        <v>0</v>
      </c>
      <c r="N166" s="76">
        <f>SUMIFS('июль 2025'!$G$2:$G$2437,'июль 2025'!$D$2:$D$2437,$B166,'июль 2025'!$J$2:$J$2437,N$1)</f>
        <v>0</v>
      </c>
      <c r="O166" s="76">
        <f>SUMIFS('июль 2025'!$G$2:$G$2437,'июль 2025'!$D$2:$D$2437,$B166,'июль 2025'!$J$2:$J$2437,O$1)</f>
        <v>0</v>
      </c>
      <c r="P166" s="76">
        <f>SUMIFS('июль 2025'!$G$2:$G$2437,'июль 2025'!$D$2:$D$2437,$B166,'июль 2025'!$J$2:$J$2437,P$1)</f>
        <v>0</v>
      </c>
      <c r="Q166" s="76">
        <f>SUMIFS('июль 2025'!$G$2:$G$2437,'июль 2025'!$D$2:$D$2437,$B166,'июль 2025'!$J$2:$J$2437,Q$1)</f>
        <v>0</v>
      </c>
      <c r="R166" s="76">
        <f>SUMIFS('июль 2025'!$G$2:$G$2437,'июль 2025'!$D$2:$D$2437,$B166,'июль 2025'!$J$2:$J$2437,R$1)</f>
        <v>0</v>
      </c>
      <c r="S166" s="76">
        <f>SUMIFS('июль 2025'!$G$2:$G$2437,'июль 2025'!$D$2:$D$2437,$B166,'июль 2025'!$J$2:$J$2437,S$1)</f>
        <v>0</v>
      </c>
      <c r="T166" s="76">
        <f>SUMIFS('июль 2025'!$G$2:$G$2437,'июль 2025'!$D$2:$D$2437,$B166,'июль 2025'!$J$2:$J$2437,T$1)</f>
        <v>0</v>
      </c>
      <c r="U166" s="76">
        <f>SUMIFS('июль 2025'!$G$2:$G$2437,'июль 2025'!$D$2:$D$2437,$B166,'июль 2025'!$J$2:$J$2437,U$1)</f>
        <v>0</v>
      </c>
      <c r="V166" s="76">
        <f>SUMIFS('июль 2025'!$G$2:$G$2437,'июль 2025'!$D$2:$D$2437,$B166,'июль 2025'!$J$2:$J$2437,V$1)</f>
        <v>0</v>
      </c>
      <c r="W166" s="76">
        <f>SUMIFS('июль 2025'!$G$2:$G$2437,'июль 2025'!$D$2:$D$2437,$B166,'июль 2025'!$J$2:$J$2437,W$1)</f>
        <v>0</v>
      </c>
      <c r="X166" s="76">
        <f>SUMIFS('июль 2025'!$G$2:$G$2437,'июль 2025'!$D$2:$D$2437,$B166,'июль 2025'!$J$2:$J$2437,X$1)</f>
        <v>0</v>
      </c>
      <c r="Y166" s="76">
        <f>SUMIFS('июль 2025'!$G$2:$G$2437,'июль 2025'!$D$2:$D$2437,$B166,'июль 2025'!$J$2:$J$2437,Y$1)</f>
        <v>0</v>
      </c>
      <c r="Z166" s="76">
        <f>SUMIFS('июль 2025'!$G$2:$G$2437,'июль 2025'!$D$2:$D$2437,$B166,'июль 2025'!$J$2:$J$2437,Z$1)</f>
        <v>0</v>
      </c>
      <c r="AA166" s="76">
        <f>SUMIFS('июль 2025'!$G$2:$G$2437,'июль 2025'!$D$2:$D$2437,$B166,'июль 2025'!$J$2:$J$2437,AA$1)</f>
        <v>0</v>
      </c>
      <c r="AB166" s="76">
        <f>SUMIFS('июль 2025'!$G$2:$G$2437,'июль 2025'!$D$2:$D$2437,$B166,'июль 2025'!$J$2:$J$2437,AB$1)</f>
        <v>0</v>
      </c>
      <c r="AC166" s="76">
        <f>SUMIFS('июль 2025'!$G$2:$G$2437,'июль 2025'!$D$2:$D$2437,$B166,'июль 2025'!$J$2:$J$2437,AC$1)</f>
        <v>0</v>
      </c>
      <c r="AD166" s="76">
        <f>SUMIFS('июль 2025'!$G$2:$G$2437,'июль 2025'!$D$2:$D$2437,$B166,'июль 2025'!$J$2:$J$2437,AD$1)</f>
        <v>0</v>
      </c>
      <c r="AE166" s="76">
        <f>SUMIFS('июль 2025'!$G$2:$G$2437,'июль 2025'!$D$2:$D$2437,$B166,'июль 2025'!$J$2:$J$2437,AE$1)</f>
        <v>0</v>
      </c>
      <c r="AF166" s="76">
        <f>SUMIFS('июль 2025'!$G$2:$G$2437,'июль 2025'!$D$2:$D$2437,$B166,'июль 2025'!$J$2:$J$2437,AF$1)</f>
        <v>0</v>
      </c>
      <c r="AG166" s="76">
        <f>SUMIFS('июль 2025'!$G$2:$G$2437,'июль 2025'!$D$2:$D$2437,$B166,'июль 2025'!$J$2:$J$2437,AG$1)</f>
        <v>0</v>
      </c>
      <c r="AH166" s="76">
        <f>SUMIFS('июль 2025'!$G$2:$G$2437,'июль 2025'!$D$2:$D$2437,$B166,'июль 2025'!$J$2:$J$2437,AH$1)</f>
        <v>0</v>
      </c>
      <c r="AI166" s="20">
        <f>SUM(D166:AH166)</f>
        <v>0</v>
      </c>
    </row>
    <row r="167" spans="2:35" ht="15" customHeight="1" x14ac:dyDescent="0.25">
      <c r="B167" s="84" t="s">
        <v>324</v>
      </c>
      <c r="C167" s="83">
        <v>950</v>
      </c>
      <c r="D167" s="76">
        <f>SUMIFS('июль 2025'!$G$2:$G$2437,'июль 2025'!$D$2:$D$2437,$B167,'июль 2025'!$J$2:$J$2437,D$1)</f>
        <v>0</v>
      </c>
      <c r="E167" s="76">
        <f>SUMIFS('июль 2025'!$G$2:$G$2437,'июль 2025'!$D$2:$D$2437,$B167,'июль 2025'!$J$2:$J$2437,E$1)</f>
        <v>0</v>
      </c>
      <c r="F167" s="76">
        <f>SUMIFS('июль 2025'!$G$2:$G$2437,'июль 2025'!$D$2:$D$2437,$B167,'июль 2025'!$J$2:$J$2437,F$1)</f>
        <v>0</v>
      </c>
      <c r="G167" s="76">
        <f>SUMIFS('июль 2025'!$G$2:$G$2437,'июль 2025'!$D$2:$D$2437,$B167,'июль 2025'!$J$2:$J$2437,G$1)</f>
        <v>0</v>
      </c>
      <c r="H167" s="76">
        <f>SUMIFS('июль 2025'!$G$2:$G$2437,'июль 2025'!$D$2:$D$2437,$B167,'июль 2025'!$J$2:$J$2437,H$1)</f>
        <v>0</v>
      </c>
      <c r="I167" s="76">
        <f>SUMIFS('июль 2025'!$G$2:$G$2437,'июль 2025'!$D$2:$D$2437,$B167,'июль 2025'!$J$2:$J$2437,I$1)</f>
        <v>0</v>
      </c>
      <c r="J167" s="76">
        <f>SUMIFS('июль 2025'!$G$2:$G$2437,'июль 2025'!$D$2:$D$2437,$B167,'июль 2025'!$J$2:$J$2437,J$1)</f>
        <v>0</v>
      </c>
      <c r="K167" s="76">
        <f>SUMIFS('июль 2025'!$G$2:$G$2437,'июль 2025'!$D$2:$D$2437,$B167,'июль 2025'!$J$2:$J$2437,K$1)</f>
        <v>0</v>
      </c>
      <c r="L167" s="76">
        <f>SUMIFS('июль 2025'!$G$2:$G$2437,'июль 2025'!$D$2:$D$2437,$B167,'июль 2025'!$J$2:$J$2437,L$1)</f>
        <v>0</v>
      </c>
      <c r="M167" s="76">
        <f>SUMIFS('июль 2025'!$G$2:$G$2437,'июль 2025'!$D$2:$D$2437,$B167,'июль 2025'!$J$2:$J$2437,M$1)</f>
        <v>0</v>
      </c>
      <c r="N167" s="76">
        <f>SUMIFS('июль 2025'!$G$2:$G$2437,'июль 2025'!$D$2:$D$2437,$B167,'июль 2025'!$J$2:$J$2437,N$1)</f>
        <v>0</v>
      </c>
      <c r="O167" s="76">
        <f>SUMIFS('июль 2025'!$G$2:$G$2437,'июль 2025'!$D$2:$D$2437,$B167,'июль 2025'!$J$2:$J$2437,O$1)</f>
        <v>0</v>
      </c>
      <c r="P167" s="76">
        <f>SUMIFS('июль 2025'!$G$2:$G$2437,'июль 2025'!$D$2:$D$2437,$B167,'июль 2025'!$J$2:$J$2437,P$1)</f>
        <v>0</v>
      </c>
      <c r="Q167" s="76">
        <f>SUMIFS('июль 2025'!$G$2:$G$2437,'июль 2025'!$D$2:$D$2437,$B167,'июль 2025'!$J$2:$J$2437,Q$1)</f>
        <v>0</v>
      </c>
      <c r="R167" s="76">
        <f>SUMIFS('июль 2025'!$G$2:$G$2437,'июль 2025'!$D$2:$D$2437,$B167,'июль 2025'!$J$2:$J$2437,R$1)</f>
        <v>0</v>
      </c>
      <c r="S167" s="76">
        <f>SUMIFS('июль 2025'!$G$2:$G$2437,'июль 2025'!$D$2:$D$2437,$B167,'июль 2025'!$J$2:$J$2437,S$1)</f>
        <v>0</v>
      </c>
      <c r="T167" s="76">
        <f>SUMIFS('июль 2025'!$G$2:$G$2437,'июль 2025'!$D$2:$D$2437,$B167,'июль 2025'!$J$2:$J$2437,T$1)</f>
        <v>0</v>
      </c>
      <c r="U167" s="76">
        <f>SUMIFS('июль 2025'!$G$2:$G$2437,'июль 2025'!$D$2:$D$2437,$B167,'июль 2025'!$J$2:$J$2437,U$1)</f>
        <v>0</v>
      </c>
      <c r="V167" s="76">
        <f>SUMIFS('июль 2025'!$G$2:$G$2437,'июль 2025'!$D$2:$D$2437,$B167,'июль 2025'!$J$2:$J$2437,V$1)</f>
        <v>0</v>
      </c>
      <c r="W167" s="76">
        <f>SUMIFS('июль 2025'!$G$2:$G$2437,'июль 2025'!$D$2:$D$2437,$B167,'июль 2025'!$J$2:$J$2437,W$1)</f>
        <v>0</v>
      </c>
      <c r="X167" s="76">
        <f>SUMIFS('июль 2025'!$G$2:$G$2437,'июль 2025'!$D$2:$D$2437,$B167,'июль 2025'!$J$2:$J$2437,X$1)</f>
        <v>0</v>
      </c>
      <c r="Y167" s="76">
        <f>SUMIFS('июль 2025'!$G$2:$G$2437,'июль 2025'!$D$2:$D$2437,$B167,'июль 2025'!$J$2:$J$2437,Y$1)</f>
        <v>0</v>
      </c>
      <c r="Z167" s="76">
        <f>SUMIFS('июль 2025'!$G$2:$G$2437,'июль 2025'!$D$2:$D$2437,$B167,'июль 2025'!$J$2:$J$2437,Z$1)</f>
        <v>0</v>
      </c>
      <c r="AA167" s="76">
        <f>SUMIFS('июль 2025'!$G$2:$G$2437,'июль 2025'!$D$2:$D$2437,$B167,'июль 2025'!$J$2:$J$2437,AA$1)</f>
        <v>0</v>
      </c>
      <c r="AB167" s="76">
        <f>SUMIFS('июль 2025'!$G$2:$G$2437,'июль 2025'!$D$2:$D$2437,$B167,'июль 2025'!$J$2:$J$2437,AB$1)</f>
        <v>0</v>
      </c>
      <c r="AC167" s="76">
        <f>SUMIFS('июль 2025'!$G$2:$G$2437,'июль 2025'!$D$2:$D$2437,$B167,'июль 2025'!$J$2:$J$2437,AC$1)</f>
        <v>0</v>
      </c>
      <c r="AD167" s="76">
        <f>SUMIFS('июль 2025'!$G$2:$G$2437,'июль 2025'!$D$2:$D$2437,$B167,'июль 2025'!$J$2:$J$2437,AD$1)</f>
        <v>0</v>
      </c>
      <c r="AE167" s="76">
        <f>SUMIFS('июль 2025'!$G$2:$G$2437,'июль 2025'!$D$2:$D$2437,$B167,'июль 2025'!$J$2:$J$2437,AE$1)</f>
        <v>0</v>
      </c>
      <c r="AF167" s="76">
        <f>SUMIFS('июль 2025'!$G$2:$G$2437,'июль 2025'!$D$2:$D$2437,$B167,'июль 2025'!$J$2:$J$2437,AF$1)</f>
        <v>0</v>
      </c>
      <c r="AG167" s="76">
        <f>SUMIFS('июль 2025'!$G$2:$G$2437,'июль 2025'!$D$2:$D$2437,$B167,'июль 2025'!$J$2:$J$2437,AG$1)</f>
        <v>0</v>
      </c>
      <c r="AH167" s="76">
        <f>SUMIFS('июль 2025'!$G$2:$G$2437,'июль 2025'!$D$2:$D$2437,$B167,'июль 2025'!$J$2:$J$2437,AH$1)</f>
        <v>0</v>
      </c>
      <c r="AI167" s="20">
        <f t="shared" ref="AI167:AI170" si="3">SUM(D167:AH167)</f>
        <v>0</v>
      </c>
    </row>
    <row r="168" spans="2:35" ht="15" customHeight="1" x14ac:dyDescent="0.25">
      <c r="B168" s="84" t="s">
        <v>322</v>
      </c>
      <c r="C168" s="83">
        <v>200</v>
      </c>
      <c r="D168" s="76">
        <f>SUMIFS('июль 2025'!$G$2:$G$2437,'июль 2025'!$D$2:$D$2437,$B168,'июль 2025'!$J$2:$J$2437,D$1)</f>
        <v>0</v>
      </c>
      <c r="E168" s="76">
        <f>SUMIFS('июль 2025'!$G$2:$G$2437,'июль 2025'!$D$2:$D$2437,$B168,'июль 2025'!$J$2:$J$2437,E$1)</f>
        <v>0</v>
      </c>
      <c r="F168" s="76">
        <f>SUMIFS('июль 2025'!$G$2:$G$2437,'июль 2025'!$D$2:$D$2437,$B168,'июль 2025'!$J$2:$J$2437,F$1)</f>
        <v>0</v>
      </c>
      <c r="G168" s="76">
        <f>SUMIFS('июль 2025'!$G$2:$G$2437,'июль 2025'!$D$2:$D$2437,$B168,'июль 2025'!$J$2:$J$2437,G$1)</f>
        <v>0</v>
      </c>
      <c r="H168" s="76">
        <f>SUMIFS('июль 2025'!$G$2:$G$2437,'июль 2025'!$D$2:$D$2437,$B168,'июль 2025'!$J$2:$J$2437,H$1)</f>
        <v>0</v>
      </c>
      <c r="I168" s="76">
        <f>SUMIFS('июль 2025'!$G$2:$G$2437,'июль 2025'!$D$2:$D$2437,$B168,'июль 2025'!$J$2:$J$2437,I$1)</f>
        <v>0</v>
      </c>
      <c r="J168" s="76">
        <f>SUMIFS('июль 2025'!$G$2:$G$2437,'июль 2025'!$D$2:$D$2437,$B168,'июль 2025'!$J$2:$J$2437,J$1)</f>
        <v>0</v>
      </c>
      <c r="K168" s="76">
        <f>SUMIFS('июль 2025'!$G$2:$G$2437,'июль 2025'!$D$2:$D$2437,$B168,'июль 2025'!$J$2:$J$2437,K$1)</f>
        <v>0</v>
      </c>
      <c r="L168" s="76">
        <f>SUMIFS('июль 2025'!$G$2:$G$2437,'июль 2025'!$D$2:$D$2437,$B168,'июль 2025'!$J$2:$J$2437,L$1)</f>
        <v>0</v>
      </c>
      <c r="M168" s="76">
        <f>SUMIFS('июль 2025'!$G$2:$G$2437,'июль 2025'!$D$2:$D$2437,$B168,'июль 2025'!$J$2:$J$2437,M$1)</f>
        <v>0</v>
      </c>
      <c r="N168" s="76">
        <f>SUMIFS('июль 2025'!$G$2:$G$2437,'июль 2025'!$D$2:$D$2437,$B168,'июль 2025'!$J$2:$J$2437,N$1)</f>
        <v>0</v>
      </c>
      <c r="O168" s="76">
        <f>SUMIFS('июль 2025'!$G$2:$G$2437,'июль 2025'!$D$2:$D$2437,$B168,'июль 2025'!$J$2:$J$2437,O$1)</f>
        <v>0</v>
      </c>
      <c r="P168" s="76">
        <f>SUMIFS('июль 2025'!$G$2:$G$2437,'июль 2025'!$D$2:$D$2437,$B168,'июль 2025'!$J$2:$J$2437,P$1)</f>
        <v>0</v>
      </c>
      <c r="Q168" s="76">
        <f>SUMIFS('июль 2025'!$G$2:$G$2437,'июль 2025'!$D$2:$D$2437,$B168,'июль 2025'!$J$2:$J$2437,Q$1)</f>
        <v>0</v>
      </c>
      <c r="R168" s="76">
        <f>SUMIFS('июль 2025'!$G$2:$G$2437,'июль 2025'!$D$2:$D$2437,$B168,'июль 2025'!$J$2:$J$2437,R$1)</f>
        <v>0</v>
      </c>
      <c r="S168" s="76">
        <f>SUMIFS('июль 2025'!$G$2:$G$2437,'июль 2025'!$D$2:$D$2437,$B168,'июль 2025'!$J$2:$J$2437,S$1)</f>
        <v>0</v>
      </c>
      <c r="T168" s="76">
        <f>SUMIFS('июль 2025'!$G$2:$G$2437,'июль 2025'!$D$2:$D$2437,$B168,'июль 2025'!$J$2:$J$2437,T$1)</f>
        <v>0</v>
      </c>
      <c r="U168" s="76">
        <f>SUMIFS('июль 2025'!$G$2:$G$2437,'июль 2025'!$D$2:$D$2437,$B168,'июль 2025'!$J$2:$J$2437,U$1)</f>
        <v>0</v>
      </c>
      <c r="V168" s="76">
        <f>SUMIFS('июль 2025'!$G$2:$G$2437,'июль 2025'!$D$2:$D$2437,$B168,'июль 2025'!$J$2:$J$2437,V$1)</f>
        <v>0</v>
      </c>
      <c r="W168" s="76">
        <f>SUMIFS('июль 2025'!$G$2:$G$2437,'июль 2025'!$D$2:$D$2437,$B168,'июль 2025'!$J$2:$J$2437,W$1)</f>
        <v>0</v>
      </c>
      <c r="X168" s="76">
        <f>SUMIFS('июль 2025'!$G$2:$G$2437,'июль 2025'!$D$2:$D$2437,$B168,'июль 2025'!$J$2:$J$2437,X$1)</f>
        <v>0</v>
      </c>
      <c r="Y168" s="76">
        <f>SUMIFS('июль 2025'!$G$2:$G$2437,'июль 2025'!$D$2:$D$2437,$B168,'июль 2025'!$J$2:$J$2437,Y$1)</f>
        <v>0</v>
      </c>
      <c r="Z168" s="76">
        <f>SUMIFS('июль 2025'!$G$2:$G$2437,'июль 2025'!$D$2:$D$2437,$B168,'июль 2025'!$J$2:$J$2437,Z$1)</f>
        <v>0</v>
      </c>
      <c r="AA168" s="76">
        <f>SUMIFS('июль 2025'!$G$2:$G$2437,'июль 2025'!$D$2:$D$2437,$B168,'июль 2025'!$J$2:$J$2437,AA$1)</f>
        <v>0</v>
      </c>
      <c r="AB168" s="76">
        <f>SUMIFS('июль 2025'!$G$2:$G$2437,'июль 2025'!$D$2:$D$2437,$B168,'июль 2025'!$J$2:$J$2437,AB$1)</f>
        <v>0</v>
      </c>
      <c r="AC168" s="76">
        <f>SUMIFS('июль 2025'!$G$2:$G$2437,'июль 2025'!$D$2:$D$2437,$B168,'июль 2025'!$J$2:$J$2437,AC$1)</f>
        <v>0</v>
      </c>
      <c r="AD168" s="76">
        <f>SUMIFS('июль 2025'!$G$2:$G$2437,'июль 2025'!$D$2:$D$2437,$B168,'июль 2025'!$J$2:$J$2437,AD$1)</f>
        <v>0</v>
      </c>
      <c r="AE168" s="76">
        <f>SUMIFS('июль 2025'!$G$2:$G$2437,'июль 2025'!$D$2:$D$2437,$B168,'июль 2025'!$J$2:$J$2437,AE$1)</f>
        <v>0</v>
      </c>
      <c r="AF168" s="76">
        <f>SUMIFS('июль 2025'!$G$2:$G$2437,'июль 2025'!$D$2:$D$2437,$B168,'июль 2025'!$J$2:$J$2437,AF$1)</f>
        <v>0</v>
      </c>
      <c r="AG168" s="76">
        <f>SUMIFS('июль 2025'!$G$2:$G$2437,'июль 2025'!$D$2:$D$2437,$B168,'июль 2025'!$J$2:$J$2437,AG$1)</f>
        <v>0</v>
      </c>
      <c r="AH168" s="76">
        <f>SUMIFS('июль 2025'!$G$2:$G$2437,'июль 2025'!$D$2:$D$2437,$B168,'июль 2025'!$J$2:$J$2437,AH$1)</f>
        <v>0</v>
      </c>
      <c r="AI168" s="20">
        <f t="shared" si="3"/>
        <v>0</v>
      </c>
    </row>
    <row r="169" spans="2:35" ht="15" customHeight="1" x14ac:dyDescent="0.25">
      <c r="B169" s="84" t="s">
        <v>810</v>
      </c>
      <c r="C169" s="83">
        <v>200</v>
      </c>
      <c r="D169" s="76">
        <f>SUMIFS('июль 2025'!$G$2:$G$2437,'июль 2025'!$D$2:$D$2437,$B169,'июль 2025'!$J$2:$J$2437,D$1)</f>
        <v>0</v>
      </c>
      <c r="E169" s="76">
        <f>SUMIFS('июль 2025'!$G$2:$G$2437,'июль 2025'!$D$2:$D$2437,$B169,'июль 2025'!$J$2:$J$2437,E$1)</f>
        <v>0</v>
      </c>
      <c r="F169" s="76">
        <f>SUMIFS('июль 2025'!$G$2:$G$2437,'июль 2025'!$D$2:$D$2437,$B169,'июль 2025'!$J$2:$J$2437,F$1)</f>
        <v>0</v>
      </c>
      <c r="G169" s="76">
        <f>SUMIFS('июль 2025'!$G$2:$G$2437,'июль 2025'!$D$2:$D$2437,$B169,'июль 2025'!$J$2:$J$2437,G$1)</f>
        <v>0</v>
      </c>
      <c r="H169" s="76">
        <f>SUMIFS('июль 2025'!$G$2:$G$2437,'июль 2025'!$D$2:$D$2437,$B169,'июль 2025'!$J$2:$J$2437,H$1)</f>
        <v>0</v>
      </c>
      <c r="I169" s="76">
        <f>SUMIFS('июль 2025'!$G$2:$G$2437,'июль 2025'!$D$2:$D$2437,$B169,'июль 2025'!$J$2:$J$2437,I$1)</f>
        <v>0</v>
      </c>
      <c r="J169" s="76">
        <f>SUMIFS('июль 2025'!$G$2:$G$2437,'июль 2025'!$D$2:$D$2437,$B169,'июль 2025'!$J$2:$J$2437,J$1)</f>
        <v>0</v>
      </c>
      <c r="K169" s="76">
        <f>SUMIFS('июль 2025'!$G$2:$G$2437,'июль 2025'!$D$2:$D$2437,$B169,'июль 2025'!$J$2:$J$2437,K$1)</f>
        <v>0</v>
      </c>
      <c r="L169" s="76">
        <f>SUMIFS('июль 2025'!$G$2:$G$2437,'июль 2025'!$D$2:$D$2437,$B169,'июль 2025'!$J$2:$J$2437,L$1)</f>
        <v>0</v>
      </c>
      <c r="M169" s="76">
        <f>SUMIFS('июль 2025'!$G$2:$G$2437,'июль 2025'!$D$2:$D$2437,$B169,'июль 2025'!$J$2:$J$2437,M$1)</f>
        <v>0</v>
      </c>
      <c r="N169" s="76">
        <f>SUMIFS('июль 2025'!$G$2:$G$2437,'июль 2025'!$D$2:$D$2437,$B169,'июль 2025'!$J$2:$J$2437,N$1)</f>
        <v>0</v>
      </c>
      <c r="O169" s="76">
        <f>SUMIFS('июль 2025'!$G$2:$G$2437,'июль 2025'!$D$2:$D$2437,$B169,'июль 2025'!$J$2:$J$2437,O$1)</f>
        <v>0</v>
      </c>
      <c r="P169" s="76">
        <f>SUMIFS('июль 2025'!$G$2:$G$2437,'июль 2025'!$D$2:$D$2437,$B169,'июль 2025'!$J$2:$J$2437,P$1)</f>
        <v>0</v>
      </c>
      <c r="Q169" s="76">
        <f>SUMIFS('июль 2025'!$G$2:$G$2437,'июль 2025'!$D$2:$D$2437,$B169,'июль 2025'!$J$2:$J$2437,Q$1)</f>
        <v>0</v>
      </c>
      <c r="R169" s="76">
        <f>SUMIFS('июль 2025'!$G$2:$G$2437,'июль 2025'!$D$2:$D$2437,$B169,'июль 2025'!$J$2:$J$2437,R$1)</f>
        <v>0</v>
      </c>
      <c r="S169" s="76">
        <f>SUMIFS('июль 2025'!$G$2:$G$2437,'июль 2025'!$D$2:$D$2437,$B169,'июль 2025'!$J$2:$J$2437,S$1)</f>
        <v>0</v>
      </c>
      <c r="T169" s="76">
        <f>SUMIFS('июль 2025'!$G$2:$G$2437,'июль 2025'!$D$2:$D$2437,$B169,'июль 2025'!$J$2:$J$2437,T$1)</f>
        <v>0</v>
      </c>
      <c r="U169" s="76">
        <f>SUMIFS('июль 2025'!$G$2:$G$2437,'июль 2025'!$D$2:$D$2437,$B169,'июль 2025'!$J$2:$J$2437,U$1)</f>
        <v>0</v>
      </c>
      <c r="V169" s="76">
        <f>SUMIFS('июль 2025'!$G$2:$G$2437,'июль 2025'!$D$2:$D$2437,$B169,'июль 2025'!$J$2:$J$2437,V$1)</f>
        <v>0</v>
      </c>
      <c r="W169" s="76">
        <f>SUMIFS('июль 2025'!$G$2:$G$2437,'июль 2025'!$D$2:$D$2437,$B169,'июль 2025'!$J$2:$J$2437,W$1)</f>
        <v>0</v>
      </c>
      <c r="X169" s="76">
        <f>SUMIFS('июль 2025'!$G$2:$G$2437,'июль 2025'!$D$2:$D$2437,$B169,'июль 2025'!$J$2:$J$2437,X$1)</f>
        <v>0</v>
      </c>
      <c r="Y169" s="76">
        <f>SUMIFS('июль 2025'!$G$2:$G$2437,'июль 2025'!$D$2:$D$2437,$B169,'июль 2025'!$J$2:$J$2437,Y$1)</f>
        <v>0</v>
      </c>
      <c r="Z169" s="76">
        <f>SUMIFS('июль 2025'!$G$2:$G$2437,'июль 2025'!$D$2:$D$2437,$B169,'июль 2025'!$J$2:$J$2437,Z$1)</f>
        <v>0</v>
      </c>
      <c r="AA169" s="76">
        <f>SUMIFS('июль 2025'!$G$2:$G$2437,'июль 2025'!$D$2:$D$2437,$B169,'июль 2025'!$J$2:$J$2437,AA$1)</f>
        <v>0</v>
      </c>
      <c r="AB169" s="76">
        <f>SUMIFS('июль 2025'!$G$2:$G$2437,'июль 2025'!$D$2:$D$2437,$B169,'июль 2025'!$J$2:$J$2437,AB$1)</f>
        <v>0</v>
      </c>
      <c r="AC169" s="76">
        <f>SUMIFS('июль 2025'!$G$2:$G$2437,'июль 2025'!$D$2:$D$2437,$B169,'июль 2025'!$J$2:$J$2437,AC$1)</f>
        <v>0</v>
      </c>
      <c r="AD169" s="76">
        <f>SUMIFS('июль 2025'!$G$2:$G$2437,'июль 2025'!$D$2:$D$2437,$B169,'июль 2025'!$J$2:$J$2437,AD$1)</f>
        <v>0</v>
      </c>
      <c r="AE169" s="76">
        <f>SUMIFS('июль 2025'!$G$2:$G$2437,'июль 2025'!$D$2:$D$2437,$B169,'июль 2025'!$J$2:$J$2437,AE$1)</f>
        <v>0</v>
      </c>
      <c r="AF169" s="76">
        <f>SUMIFS('июль 2025'!$G$2:$G$2437,'июль 2025'!$D$2:$D$2437,$B169,'июль 2025'!$J$2:$J$2437,AF$1)</f>
        <v>0</v>
      </c>
      <c r="AG169" s="76">
        <f>SUMIFS('июль 2025'!$G$2:$G$2437,'июль 2025'!$D$2:$D$2437,$B169,'июль 2025'!$J$2:$J$2437,AG$1)</f>
        <v>0</v>
      </c>
      <c r="AH169" s="76">
        <f>SUMIFS('июль 2025'!$G$2:$G$2437,'июль 2025'!$D$2:$D$2437,$B169,'июль 2025'!$J$2:$J$2437,AH$1)</f>
        <v>0</v>
      </c>
      <c r="AI169" s="20">
        <f t="shared" si="3"/>
        <v>0</v>
      </c>
    </row>
    <row r="170" spans="2:35" ht="15" customHeight="1" x14ac:dyDescent="0.25">
      <c r="B170" s="84" t="s">
        <v>995</v>
      </c>
      <c r="C170" s="83">
        <v>200</v>
      </c>
      <c r="D170" s="76">
        <f>SUMIFS('июль 2025'!$G$2:$G$2437,'июль 2025'!$D$2:$D$2437,$B170,'июль 2025'!$J$2:$J$2437,D$1)</f>
        <v>0</v>
      </c>
      <c r="E170" s="76">
        <f>SUMIFS('июль 2025'!$G$2:$G$2437,'июль 2025'!$D$2:$D$2437,$B170,'июль 2025'!$J$2:$J$2437,E$1)</f>
        <v>0</v>
      </c>
      <c r="F170" s="76">
        <f>SUMIFS('июль 2025'!$G$2:$G$2437,'июль 2025'!$D$2:$D$2437,$B170,'июль 2025'!$J$2:$J$2437,F$1)</f>
        <v>0</v>
      </c>
      <c r="G170" s="76">
        <f>SUMIFS('июль 2025'!$G$2:$G$2437,'июль 2025'!$D$2:$D$2437,$B170,'июль 2025'!$J$2:$J$2437,G$1)</f>
        <v>0</v>
      </c>
      <c r="H170" s="76">
        <f>SUMIFS('июль 2025'!$G$2:$G$2437,'июль 2025'!$D$2:$D$2437,$B170,'июль 2025'!$J$2:$J$2437,H$1)</f>
        <v>0</v>
      </c>
      <c r="I170" s="76">
        <f>SUMIFS('июль 2025'!$G$2:$G$2437,'июль 2025'!$D$2:$D$2437,$B170,'июль 2025'!$J$2:$J$2437,I$1)</f>
        <v>0</v>
      </c>
      <c r="J170" s="76">
        <f>SUMIFS('июль 2025'!$G$2:$G$2437,'июль 2025'!$D$2:$D$2437,$B170,'июль 2025'!$J$2:$J$2437,J$1)</f>
        <v>0</v>
      </c>
      <c r="K170" s="76">
        <f>SUMIFS('июль 2025'!$G$2:$G$2437,'июль 2025'!$D$2:$D$2437,$B170,'июль 2025'!$J$2:$J$2437,K$1)</f>
        <v>0</v>
      </c>
      <c r="L170" s="76">
        <f>SUMIFS('июль 2025'!$G$2:$G$2437,'июль 2025'!$D$2:$D$2437,$B170,'июль 2025'!$J$2:$J$2437,L$1)</f>
        <v>0</v>
      </c>
      <c r="M170" s="76">
        <f>SUMIFS('июль 2025'!$G$2:$G$2437,'июль 2025'!$D$2:$D$2437,$B170,'июль 2025'!$J$2:$J$2437,M$1)</f>
        <v>0</v>
      </c>
      <c r="N170" s="76">
        <f>SUMIFS('июль 2025'!$G$2:$G$2437,'июль 2025'!$D$2:$D$2437,$B170,'июль 2025'!$J$2:$J$2437,N$1)</f>
        <v>0</v>
      </c>
      <c r="O170" s="76">
        <f>SUMIFS('июль 2025'!$G$2:$G$2437,'июль 2025'!$D$2:$D$2437,$B170,'июль 2025'!$J$2:$J$2437,O$1)</f>
        <v>0</v>
      </c>
      <c r="P170" s="76">
        <f>SUMIFS('июль 2025'!$G$2:$G$2437,'июль 2025'!$D$2:$D$2437,$B170,'июль 2025'!$J$2:$J$2437,P$1)</f>
        <v>0</v>
      </c>
      <c r="Q170" s="76">
        <f>SUMIFS('июль 2025'!$G$2:$G$2437,'июль 2025'!$D$2:$D$2437,$B170,'июль 2025'!$J$2:$J$2437,Q$1)</f>
        <v>0</v>
      </c>
      <c r="R170" s="76">
        <f>SUMIFS('июль 2025'!$G$2:$G$2437,'июль 2025'!$D$2:$D$2437,$B170,'июль 2025'!$J$2:$J$2437,R$1)</f>
        <v>0</v>
      </c>
      <c r="S170" s="76">
        <f>SUMIFS('июль 2025'!$G$2:$G$2437,'июль 2025'!$D$2:$D$2437,$B170,'июль 2025'!$J$2:$J$2437,S$1)</f>
        <v>0</v>
      </c>
      <c r="T170" s="76">
        <f>SUMIFS('июль 2025'!$G$2:$G$2437,'июль 2025'!$D$2:$D$2437,$B170,'июль 2025'!$J$2:$J$2437,T$1)</f>
        <v>0</v>
      </c>
      <c r="U170" s="76">
        <f>SUMIFS('июль 2025'!$G$2:$G$2437,'июль 2025'!$D$2:$D$2437,$B170,'июль 2025'!$J$2:$J$2437,U$1)</f>
        <v>0</v>
      </c>
      <c r="V170" s="76">
        <f>SUMIFS('июль 2025'!$G$2:$G$2437,'июль 2025'!$D$2:$D$2437,$B170,'июль 2025'!$J$2:$J$2437,V$1)</f>
        <v>0</v>
      </c>
      <c r="W170" s="76">
        <f>SUMIFS('июль 2025'!$G$2:$G$2437,'июль 2025'!$D$2:$D$2437,$B170,'июль 2025'!$J$2:$J$2437,W$1)</f>
        <v>0</v>
      </c>
      <c r="X170" s="76">
        <f>SUMIFS('июль 2025'!$G$2:$G$2437,'июль 2025'!$D$2:$D$2437,$B170,'июль 2025'!$J$2:$J$2437,X$1)</f>
        <v>0</v>
      </c>
      <c r="Y170" s="76">
        <f>SUMIFS('июль 2025'!$G$2:$G$2437,'июль 2025'!$D$2:$D$2437,$B170,'июль 2025'!$J$2:$J$2437,Y$1)</f>
        <v>0</v>
      </c>
      <c r="Z170" s="76">
        <f>SUMIFS('июль 2025'!$G$2:$G$2437,'июль 2025'!$D$2:$D$2437,$B170,'июль 2025'!$J$2:$J$2437,Z$1)</f>
        <v>0</v>
      </c>
      <c r="AA170" s="76">
        <f>SUMIFS('июль 2025'!$G$2:$G$2437,'июль 2025'!$D$2:$D$2437,$B170,'июль 2025'!$J$2:$J$2437,AA$1)</f>
        <v>0</v>
      </c>
      <c r="AB170" s="76">
        <f>SUMIFS('июль 2025'!$G$2:$G$2437,'июль 2025'!$D$2:$D$2437,$B170,'июль 2025'!$J$2:$J$2437,AB$1)</f>
        <v>0</v>
      </c>
      <c r="AC170" s="76">
        <f>SUMIFS('июль 2025'!$G$2:$G$2437,'июль 2025'!$D$2:$D$2437,$B170,'июль 2025'!$J$2:$J$2437,AC$1)</f>
        <v>0</v>
      </c>
      <c r="AD170" s="76">
        <f>SUMIFS('июль 2025'!$G$2:$G$2437,'июль 2025'!$D$2:$D$2437,$B170,'июль 2025'!$J$2:$J$2437,AD$1)</f>
        <v>0</v>
      </c>
      <c r="AE170" s="76">
        <f>SUMIFS('июль 2025'!$G$2:$G$2437,'июль 2025'!$D$2:$D$2437,$B170,'июль 2025'!$J$2:$J$2437,AE$1)</f>
        <v>0</v>
      </c>
      <c r="AF170" s="76">
        <f>SUMIFS('июль 2025'!$G$2:$G$2437,'июль 2025'!$D$2:$D$2437,$B170,'июль 2025'!$J$2:$J$2437,AF$1)</f>
        <v>0</v>
      </c>
      <c r="AG170" s="76">
        <f>SUMIFS('июль 2025'!$G$2:$G$2437,'июль 2025'!$D$2:$D$2437,$B170,'июль 2025'!$J$2:$J$2437,AG$1)</f>
        <v>0</v>
      </c>
      <c r="AH170" s="76">
        <f>SUMIFS('июль 2025'!$G$2:$G$2437,'июль 2025'!$D$2:$D$2437,$B170,'июль 2025'!$J$2:$J$2437,AH$1)</f>
        <v>0</v>
      </c>
      <c r="AI170" s="20">
        <f t="shared" si="3"/>
        <v>0</v>
      </c>
    </row>
    <row r="171" spans="2:35" ht="15" customHeight="1" x14ac:dyDescent="0.25">
      <c r="B171" s="84"/>
      <c r="C171" s="83"/>
      <c r="D171" s="183">
        <f>SUMIFS('июнь 2025'!$G$5:$G$2470,'июнь 2025'!$D$5:$D$2470,$B171,'июнь 2025'!$J$5:$J$2470,D$1)</f>
        <v>0</v>
      </c>
      <c r="E171" s="183">
        <f>SUMIFS('июнь 2025'!$G$5:$G$2470,'июнь 2025'!$D$5:$D$2470,$B171,'июнь 2025'!$J$5:$J$2470,E$1)</f>
        <v>0</v>
      </c>
      <c r="F171" s="183">
        <f>SUMIFS('июнь 2025'!$G$5:$G$2470,'июнь 2025'!$D$5:$D$2470,$B171,'июнь 2025'!$J$5:$J$2470,F$1)</f>
        <v>0</v>
      </c>
      <c r="G171" s="183">
        <f>SUMIFS('июнь 2025'!$G$5:$G$2470,'июнь 2025'!$D$5:$D$2470,$B171,'июнь 2025'!$J$5:$J$2470,G$1)</f>
        <v>0</v>
      </c>
      <c r="H171" s="183">
        <f>SUMIFS('июнь 2025'!$G$5:$G$2470,'июнь 2025'!$D$5:$D$2470,$B171,'июнь 2025'!$J$5:$J$2470,H$1)</f>
        <v>0</v>
      </c>
      <c r="I171" s="183">
        <f>SUMIFS('июнь 2025'!$G$5:$G$2470,'июнь 2025'!$D$5:$D$2470,$B171,'июнь 2025'!$J$5:$J$2470,I$1)</f>
        <v>0</v>
      </c>
      <c r="J171" s="183">
        <f>SUMIFS('июнь 2025'!$G$5:$G$2470,'июнь 2025'!$D$5:$D$2470,$B171,'июнь 2025'!$J$5:$J$2470,J$1)</f>
        <v>0</v>
      </c>
      <c r="K171" s="183">
        <f>SUMIFS('июнь 2025'!$G$5:$G$2470,'июнь 2025'!$D$5:$D$2470,$B171,'июнь 2025'!$J$5:$J$2470,K$1)</f>
        <v>0</v>
      </c>
      <c r="L171" s="183">
        <f>SUMIFS('июнь 2025'!$G$5:$G$2470,'июнь 2025'!$D$5:$D$2470,$B171,'июнь 2025'!$J$5:$J$2470,L$1)</f>
        <v>0</v>
      </c>
      <c r="M171" s="183">
        <f>SUMIFS('июнь 2025'!$G$5:$G$2470,'июнь 2025'!$D$5:$D$2470,$B171,'июнь 2025'!$J$5:$J$2470,M$1)</f>
        <v>0</v>
      </c>
      <c r="N171" s="183">
        <f>SUMIFS('июнь 2025'!$G$5:$G$2470,'июнь 2025'!$D$5:$D$2470,$B171,'июнь 2025'!$J$5:$J$2470,N$1)</f>
        <v>0</v>
      </c>
      <c r="O171" s="183">
        <f>SUMIFS('июнь 2025'!$G$5:$G$2470,'июнь 2025'!$D$5:$D$2470,$B171,'июнь 2025'!$J$5:$J$2470,O$1)</f>
        <v>0</v>
      </c>
      <c r="P171" s="183">
        <f>SUMIFS('июнь 2025'!$G$5:$G$2470,'июнь 2025'!$D$5:$D$2470,$B171,'июнь 2025'!$J$5:$J$2470,P$1)</f>
        <v>0</v>
      </c>
      <c r="Q171" s="183">
        <f>SUMIFS('июнь 2025'!$G$5:$G$2470,'июнь 2025'!$D$5:$D$2470,$B171,'июнь 2025'!$J$5:$J$2470,Q$1)</f>
        <v>0</v>
      </c>
      <c r="R171" s="183">
        <f>SUMIFS('июнь 2025'!$G$5:$G$2470,'июнь 2025'!$D$5:$D$2470,$B171,'июнь 2025'!$J$5:$J$2470,R$1)</f>
        <v>0</v>
      </c>
      <c r="S171" s="183">
        <f>SUMIFS('июнь 2025'!$G$5:$G$2470,'июнь 2025'!$D$5:$D$2470,$B171,'июнь 2025'!$J$5:$J$2470,S$1)</f>
        <v>0</v>
      </c>
      <c r="T171" s="183">
        <f>SUMIFS('июнь 2025'!$G$5:$G$2470,'июнь 2025'!$D$5:$D$2470,$B171,'июнь 2025'!$J$5:$J$2470,T$1)</f>
        <v>0</v>
      </c>
      <c r="U171" s="183">
        <f>SUMIFS('июнь 2025'!$G$5:$G$2470,'июнь 2025'!$D$5:$D$2470,$B171,'июнь 2025'!$J$5:$J$2470,U$1)</f>
        <v>0</v>
      </c>
      <c r="V171" s="183">
        <f>SUMIFS('июнь 2025'!$G$5:$G$2470,'июнь 2025'!$D$5:$D$2470,$B171,'июнь 2025'!$J$5:$J$2470,V$1)</f>
        <v>0</v>
      </c>
      <c r="W171" s="183">
        <f>SUMIFS('июнь 2025'!$G$5:$G$2470,'июнь 2025'!$D$5:$D$2470,$B171,'июнь 2025'!$J$5:$J$2470,W$1)</f>
        <v>0</v>
      </c>
      <c r="X171" s="183">
        <f>SUMIFS('июнь 2025'!$G$5:$G$2470,'июнь 2025'!$D$5:$D$2470,$B171,'июнь 2025'!$J$5:$J$2470,X$1)</f>
        <v>0</v>
      </c>
      <c r="Y171" s="183">
        <f>SUMIFS('июнь 2025'!$G$5:$G$2470,'июнь 2025'!$D$5:$D$2470,$B171,'июнь 2025'!$J$5:$J$2470,Y$1)</f>
        <v>0</v>
      </c>
      <c r="Z171" s="183">
        <f>SUMIFS('июнь 2025'!$G$5:$G$2470,'июнь 2025'!$D$5:$D$2470,$B171,'июнь 2025'!$J$5:$J$2470,Z$1)</f>
        <v>0</v>
      </c>
      <c r="AA171" s="183">
        <f>SUMIFS('июнь 2025'!$G$5:$G$2470,'июнь 2025'!$D$5:$D$2470,$B171,'июнь 2025'!$J$5:$J$2470,AA$1)</f>
        <v>0</v>
      </c>
      <c r="AB171" s="183">
        <f>SUMIFS('июнь 2025'!$G$5:$G$2470,'июнь 2025'!$D$5:$D$2470,$B171,'июнь 2025'!$J$5:$J$2470,AB$1)</f>
        <v>0</v>
      </c>
      <c r="AC171" s="183">
        <f>SUMIFS('июнь 2025'!$G$5:$G$2470,'июнь 2025'!$D$5:$D$2470,$B171,'июнь 2025'!$J$5:$J$2470,AC$1)</f>
        <v>0</v>
      </c>
      <c r="AD171" s="183">
        <f>SUMIFS('июнь 2025'!$G$5:$G$2470,'июнь 2025'!$D$5:$D$2470,$B171,'июнь 2025'!$J$5:$J$2470,AD$1)</f>
        <v>0</v>
      </c>
      <c r="AE171" s="183">
        <f>SUMIFS('июнь 2025'!$G$5:$G$2470,'июнь 2025'!$D$5:$D$2470,$B171,'июнь 2025'!$J$5:$J$2470,AE$1)</f>
        <v>0</v>
      </c>
      <c r="AF171" s="183">
        <f>SUMIFS('июнь 2025'!$G$5:$G$2470,'июнь 2025'!$D$5:$D$2470,$B171,'июнь 2025'!$J$5:$J$2470,AF$1)</f>
        <v>0</v>
      </c>
      <c r="AG171" s="183">
        <f>SUMIFS('июнь 2025'!$G$5:$G$2470,'июнь 2025'!$D$5:$D$2470,$B171,'июнь 2025'!$J$5:$J$2470,AG$1)</f>
        <v>0</v>
      </c>
      <c r="AH171" s="183">
        <f>SUMIFS('июнь 2025'!$G$5:$G$2470,'июнь 2025'!$D$5:$D$2470,$B171,'июнь 2025'!$J$5:$J$2470,AH$1)</f>
        <v>0</v>
      </c>
      <c r="AI171" s="20"/>
    </row>
    <row r="172" spans="2:35" ht="15" customHeight="1" x14ac:dyDescent="0.25">
      <c r="B172" s="84"/>
      <c r="C172" s="83"/>
      <c r="D172" s="183">
        <f>SUMIFS('июнь 2025'!$G$5:$G$2470,'июнь 2025'!$D$5:$D$2470,$B172,'июнь 2025'!$J$5:$J$2470,D$1)</f>
        <v>0</v>
      </c>
      <c r="E172" s="183">
        <f>SUMIFS('июнь 2025'!$G$5:$G$2470,'июнь 2025'!$D$5:$D$2470,$B172,'июнь 2025'!$J$5:$J$2470,E$1)</f>
        <v>0</v>
      </c>
      <c r="F172" s="183">
        <f>SUMIFS('июнь 2025'!$G$5:$G$2470,'июнь 2025'!$D$5:$D$2470,$B172,'июнь 2025'!$J$5:$J$2470,F$1)</f>
        <v>0</v>
      </c>
      <c r="G172" s="183">
        <f>SUMIFS('июнь 2025'!$G$5:$G$2470,'июнь 2025'!$D$5:$D$2470,$B172,'июнь 2025'!$J$5:$J$2470,G$1)</f>
        <v>0</v>
      </c>
      <c r="H172" s="183">
        <f>SUMIFS('июнь 2025'!$G$5:$G$2470,'июнь 2025'!$D$5:$D$2470,$B172,'июнь 2025'!$J$5:$J$2470,H$1)</f>
        <v>0</v>
      </c>
      <c r="I172" s="183">
        <f>SUMIFS('июнь 2025'!$G$5:$G$2470,'июнь 2025'!$D$5:$D$2470,$B172,'июнь 2025'!$J$5:$J$2470,I$1)</f>
        <v>0</v>
      </c>
      <c r="J172" s="183">
        <f>SUMIFS('июнь 2025'!$G$5:$G$2470,'июнь 2025'!$D$5:$D$2470,$B172,'июнь 2025'!$J$5:$J$2470,J$1)</f>
        <v>0</v>
      </c>
      <c r="K172" s="183">
        <f>SUMIFS('июнь 2025'!$G$5:$G$2470,'июнь 2025'!$D$5:$D$2470,$B172,'июнь 2025'!$J$5:$J$2470,K$1)</f>
        <v>0</v>
      </c>
      <c r="L172" s="183">
        <f>SUMIFS('июнь 2025'!$G$5:$G$2470,'июнь 2025'!$D$5:$D$2470,$B172,'июнь 2025'!$J$5:$J$2470,L$1)</f>
        <v>0</v>
      </c>
      <c r="M172" s="183">
        <f>SUMIFS('июнь 2025'!$G$5:$G$2470,'июнь 2025'!$D$5:$D$2470,$B172,'июнь 2025'!$J$5:$J$2470,M$1)</f>
        <v>0</v>
      </c>
      <c r="N172" s="183">
        <f>SUMIFS('июнь 2025'!$G$5:$G$2470,'июнь 2025'!$D$5:$D$2470,$B172,'июнь 2025'!$J$5:$J$2470,N$1)</f>
        <v>0</v>
      </c>
      <c r="O172" s="183">
        <f>SUMIFS('июнь 2025'!$G$5:$G$2470,'июнь 2025'!$D$5:$D$2470,$B172,'июнь 2025'!$J$5:$J$2470,O$1)</f>
        <v>0</v>
      </c>
      <c r="P172" s="183">
        <f>SUMIFS('июнь 2025'!$G$5:$G$2470,'июнь 2025'!$D$5:$D$2470,$B172,'июнь 2025'!$J$5:$J$2470,P$1)</f>
        <v>0</v>
      </c>
      <c r="Q172" s="183">
        <f>SUMIFS('июнь 2025'!$G$5:$G$2470,'июнь 2025'!$D$5:$D$2470,$B172,'июнь 2025'!$J$5:$J$2470,Q$1)</f>
        <v>0</v>
      </c>
      <c r="R172" s="183">
        <f>SUMIFS('июнь 2025'!$G$5:$G$2470,'июнь 2025'!$D$5:$D$2470,$B172,'июнь 2025'!$J$5:$J$2470,R$1)</f>
        <v>0</v>
      </c>
      <c r="S172" s="183">
        <f>SUMIFS('июнь 2025'!$G$5:$G$2470,'июнь 2025'!$D$5:$D$2470,$B172,'июнь 2025'!$J$5:$J$2470,S$1)</f>
        <v>0</v>
      </c>
      <c r="T172" s="183">
        <f>SUMIFS('июнь 2025'!$G$5:$G$2470,'июнь 2025'!$D$5:$D$2470,$B172,'июнь 2025'!$J$5:$J$2470,T$1)</f>
        <v>0</v>
      </c>
      <c r="U172" s="183">
        <f>SUMIFS('июнь 2025'!$G$5:$G$2470,'июнь 2025'!$D$5:$D$2470,$B172,'июнь 2025'!$J$5:$J$2470,U$1)</f>
        <v>0</v>
      </c>
      <c r="V172" s="183">
        <f>SUMIFS('июнь 2025'!$G$5:$G$2470,'июнь 2025'!$D$5:$D$2470,$B172,'июнь 2025'!$J$5:$J$2470,V$1)</f>
        <v>0</v>
      </c>
      <c r="W172" s="183">
        <f>SUMIFS('июнь 2025'!$G$5:$G$2470,'июнь 2025'!$D$5:$D$2470,$B172,'июнь 2025'!$J$5:$J$2470,W$1)</f>
        <v>0</v>
      </c>
      <c r="X172" s="183">
        <f>SUMIFS('июнь 2025'!$G$5:$G$2470,'июнь 2025'!$D$5:$D$2470,$B172,'июнь 2025'!$J$5:$J$2470,X$1)</f>
        <v>0</v>
      </c>
      <c r="Y172" s="183">
        <f>SUMIFS('июнь 2025'!$G$5:$G$2470,'июнь 2025'!$D$5:$D$2470,$B172,'июнь 2025'!$J$5:$J$2470,Y$1)</f>
        <v>0</v>
      </c>
      <c r="Z172" s="183">
        <f>SUMIFS('июнь 2025'!$G$5:$G$2470,'июнь 2025'!$D$5:$D$2470,$B172,'июнь 2025'!$J$5:$J$2470,Z$1)</f>
        <v>0</v>
      </c>
      <c r="AA172" s="183">
        <f>SUMIFS('июнь 2025'!$G$5:$G$2470,'июнь 2025'!$D$5:$D$2470,$B172,'июнь 2025'!$J$5:$J$2470,AA$1)</f>
        <v>0</v>
      </c>
      <c r="AB172" s="183">
        <f>SUMIFS('июнь 2025'!$G$5:$G$2470,'июнь 2025'!$D$5:$D$2470,$B172,'июнь 2025'!$J$5:$J$2470,AB$1)</f>
        <v>0</v>
      </c>
      <c r="AC172" s="183">
        <f>SUMIFS('июнь 2025'!$G$5:$G$2470,'июнь 2025'!$D$5:$D$2470,$B172,'июнь 2025'!$J$5:$J$2470,AC$1)</f>
        <v>0</v>
      </c>
      <c r="AD172" s="183">
        <f>SUMIFS('июнь 2025'!$G$5:$G$2470,'июнь 2025'!$D$5:$D$2470,$B172,'июнь 2025'!$J$5:$J$2470,AD$1)</f>
        <v>0</v>
      </c>
      <c r="AE172" s="183">
        <f>SUMIFS('июнь 2025'!$G$5:$G$2470,'июнь 2025'!$D$5:$D$2470,$B172,'июнь 2025'!$J$5:$J$2470,AE$1)</f>
        <v>0</v>
      </c>
      <c r="AF172" s="183">
        <f>SUMIFS('июнь 2025'!$G$5:$G$2470,'июнь 2025'!$D$5:$D$2470,$B172,'июнь 2025'!$J$5:$J$2470,AF$1)</f>
        <v>0</v>
      </c>
      <c r="AG172" s="183">
        <f>SUMIFS('июнь 2025'!$G$5:$G$2470,'июнь 2025'!$D$5:$D$2470,$B172,'июнь 2025'!$J$5:$J$2470,AG$1)</f>
        <v>0</v>
      </c>
      <c r="AH172" s="183">
        <f>SUMIFS('июнь 2025'!$G$5:$G$2470,'июнь 2025'!$D$5:$D$2470,$B172,'июнь 2025'!$J$5:$J$2470,AH$1)</f>
        <v>0</v>
      </c>
      <c r="AI172" s="20"/>
    </row>
    <row r="173" spans="2:35" ht="15" customHeight="1" x14ac:dyDescent="0.25">
      <c r="B173" s="84"/>
      <c r="C173" s="83"/>
      <c r="D173" s="183">
        <f>SUMIFS('июнь 2025'!$G$5:$G$2470,'июнь 2025'!$D$5:$D$2470,$B173,'июнь 2025'!$J$5:$J$2470,D$1)</f>
        <v>0</v>
      </c>
      <c r="E173" s="183">
        <f>SUMIFS('июнь 2025'!$G$5:$G$2470,'июнь 2025'!$D$5:$D$2470,$B173,'июнь 2025'!$J$5:$J$2470,E$1)</f>
        <v>0</v>
      </c>
      <c r="F173" s="183">
        <f>SUMIFS('июнь 2025'!$G$5:$G$2470,'июнь 2025'!$D$5:$D$2470,$B173,'июнь 2025'!$J$5:$J$2470,F$1)</f>
        <v>0</v>
      </c>
      <c r="G173" s="183">
        <f>SUMIFS('июнь 2025'!$G$5:$G$2470,'июнь 2025'!$D$5:$D$2470,$B173,'июнь 2025'!$J$5:$J$2470,G$1)</f>
        <v>0</v>
      </c>
      <c r="H173" s="183">
        <f>SUMIFS('июнь 2025'!$G$5:$G$2470,'июнь 2025'!$D$5:$D$2470,$B173,'июнь 2025'!$J$5:$J$2470,H$1)</f>
        <v>0</v>
      </c>
      <c r="I173" s="183">
        <f>SUMIFS('июнь 2025'!$G$5:$G$2470,'июнь 2025'!$D$5:$D$2470,$B173,'июнь 2025'!$J$5:$J$2470,I$1)</f>
        <v>0</v>
      </c>
      <c r="J173" s="183">
        <f>SUMIFS('июнь 2025'!$G$5:$G$2470,'июнь 2025'!$D$5:$D$2470,$B173,'июнь 2025'!$J$5:$J$2470,J$1)</f>
        <v>0</v>
      </c>
      <c r="K173" s="183">
        <f>SUMIFS('июнь 2025'!$G$5:$G$2470,'июнь 2025'!$D$5:$D$2470,$B173,'июнь 2025'!$J$5:$J$2470,K$1)</f>
        <v>0</v>
      </c>
      <c r="L173" s="183">
        <f>SUMIFS('июнь 2025'!$G$5:$G$2470,'июнь 2025'!$D$5:$D$2470,$B173,'июнь 2025'!$J$5:$J$2470,L$1)</f>
        <v>0</v>
      </c>
      <c r="M173" s="183">
        <f>SUMIFS('июнь 2025'!$G$5:$G$2470,'июнь 2025'!$D$5:$D$2470,$B173,'июнь 2025'!$J$5:$J$2470,M$1)</f>
        <v>0</v>
      </c>
      <c r="N173" s="183">
        <f>SUMIFS('июнь 2025'!$G$5:$G$2470,'июнь 2025'!$D$5:$D$2470,$B173,'июнь 2025'!$J$5:$J$2470,N$1)</f>
        <v>0</v>
      </c>
      <c r="O173" s="183">
        <f>SUMIFS('июнь 2025'!$G$5:$G$2470,'июнь 2025'!$D$5:$D$2470,$B173,'июнь 2025'!$J$5:$J$2470,O$1)</f>
        <v>0</v>
      </c>
      <c r="P173" s="183">
        <f>SUMIFS('июнь 2025'!$G$5:$G$2470,'июнь 2025'!$D$5:$D$2470,$B173,'июнь 2025'!$J$5:$J$2470,P$1)</f>
        <v>0</v>
      </c>
      <c r="Q173" s="183">
        <f>SUMIFS('июнь 2025'!$G$5:$G$2470,'июнь 2025'!$D$5:$D$2470,$B173,'июнь 2025'!$J$5:$J$2470,Q$1)</f>
        <v>0</v>
      </c>
      <c r="R173" s="183">
        <f>SUMIFS('июнь 2025'!$G$5:$G$2470,'июнь 2025'!$D$5:$D$2470,$B173,'июнь 2025'!$J$5:$J$2470,R$1)</f>
        <v>0</v>
      </c>
      <c r="S173" s="183">
        <f>SUMIFS('июнь 2025'!$G$5:$G$2470,'июнь 2025'!$D$5:$D$2470,$B173,'июнь 2025'!$J$5:$J$2470,S$1)</f>
        <v>0</v>
      </c>
      <c r="T173" s="183">
        <f>SUMIFS('июнь 2025'!$G$5:$G$2470,'июнь 2025'!$D$5:$D$2470,$B173,'июнь 2025'!$J$5:$J$2470,T$1)</f>
        <v>0</v>
      </c>
      <c r="U173" s="183">
        <f>SUMIFS('июнь 2025'!$G$5:$G$2470,'июнь 2025'!$D$5:$D$2470,$B173,'июнь 2025'!$J$5:$J$2470,U$1)</f>
        <v>0</v>
      </c>
      <c r="V173" s="183">
        <f>SUMIFS('июнь 2025'!$G$5:$G$2470,'июнь 2025'!$D$5:$D$2470,$B173,'июнь 2025'!$J$5:$J$2470,V$1)</f>
        <v>0</v>
      </c>
      <c r="W173" s="183">
        <f>SUMIFS('июнь 2025'!$G$5:$G$2470,'июнь 2025'!$D$5:$D$2470,$B173,'июнь 2025'!$J$5:$J$2470,W$1)</f>
        <v>0</v>
      </c>
      <c r="X173" s="183">
        <f>SUMIFS('июнь 2025'!$G$5:$G$2470,'июнь 2025'!$D$5:$D$2470,$B173,'июнь 2025'!$J$5:$J$2470,X$1)</f>
        <v>0</v>
      </c>
      <c r="Y173" s="183">
        <f>SUMIFS('июнь 2025'!$G$5:$G$2470,'июнь 2025'!$D$5:$D$2470,$B173,'июнь 2025'!$J$5:$J$2470,Y$1)</f>
        <v>0</v>
      </c>
      <c r="Z173" s="183">
        <f>SUMIFS('июнь 2025'!$G$5:$G$2470,'июнь 2025'!$D$5:$D$2470,$B173,'июнь 2025'!$J$5:$J$2470,Z$1)</f>
        <v>0</v>
      </c>
      <c r="AA173" s="183">
        <f>SUMIFS('июнь 2025'!$G$5:$G$2470,'июнь 2025'!$D$5:$D$2470,$B173,'июнь 2025'!$J$5:$J$2470,AA$1)</f>
        <v>0</v>
      </c>
      <c r="AB173" s="183">
        <f>SUMIFS('июнь 2025'!$G$5:$G$2470,'июнь 2025'!$D$5:$D$2470,$B173,'июнь 2025'!$J$5:$J$2470,AB$1)</f>
        <v>0</v>
      </c>
      <c r="AC173" s="183">
        <f>SUMIFS('июнь 2025'!$G$5:$G$2470,'июнь 2025'!$D$5:$D$2470,$B173,'июнь 2025'!$J$5:$J$2470,AC$1)</f>
        <v>0</v>
      </c>
      <c r="AD173" s="183">
        <f>SUMIFS('июнь 2025'!$G$5:$G$2470,'июнь 2025'!$D$5:$D$2470,$B173,'июнь 2025'!$J$5:$J$2470,AD$1)</f>
        <v>0</v>
      </c>
      <c r="AE173" s="183">
        <f>SUMIFS('июнь 2025'!$G$5:$G$2470,'июнь 2025'!$D$5:$D$2470,$B173,'июнь 2025'!$J$5:$J$2470,AE$1)</f>
        <v>0</v>
      </c>
      <c r="AF173" s="183">
        <f>SUMIFS('июнь 2025'!$G$5:$G$2470,'июнь 2025'!$D$5:$D$2470,$B173,'июнь 2025'!$J$5:$J$2470,AF$1)</f>
        <v>0</v>
      </c>
      <c r="AG173" s="183">
        <f>SUMIFS('июнь 2025'!$G$5:$G$2470,'июнь 2025'!$D$5:$D$2470,$B173,'июнь 2025'!$J$5:$J$2470,AG$1)</f>
        <v>0</v>
      </c>
      <c r="AH173" s="183">
        <f>SUMIFS('июнь 2025'!$G$5:$G$2470,'июнь 2025'!$D$5:$D$2470,$B173,'июнь 2025'!$J$5:$J$2470,AH$1)</f>
        <v>0</v>
      </c>
      <c r="AI173" s="20"/>
    </row>
    <row r="174" spans="2:35" ht="15" customHeight="1" x14ac:dyDescent="0.25">
      <c r="B174" s="84"/>
      <c r="C174" s="83"/>
      <c r="D174" s="183">
        <f>SUMIFS('июнь 2025'!$G$5:$G$2470,'июнь 2025'!$D$5:$D$2470,$B174,'июнь 2025'!$J$5:$J$2470,D$1)</f>
        <v>0</v>
      </c>
      <c r="E174" s="183">
        <f>SUMIFS('июнь 2025'!$G$5:$G$2470,'июнь 2025'!$D$5:$D$2470,$B174,'июнь 2025'!$J$5:$J$2470,E$1)</f>
        <v>0</v>
      </c>
      <c r="F174" s="183">
        <f>SUMIFS('июнь 2025'!$G$5:$G$2470,'июнь 2025'!$D$5:$D$2470,$B174,'июнь 2025'!$J$5:$J$2470,F$1)</f>
        <v>0</v>
      </c>
      <c r="G174" s="183">
        <f>SUMIFS('июнь 2025'!$G$5:$G$2470,'июнь 2025'!$D$5:$D$2470,$B174,'июнь 2025'!$J$5:$J$2470,G$1)</f>
        <v>0</v>
      </c>
      <c r="H174" s="183">
        <f>SUMIFS('июнь 2025'!$G$5:$G$2470,'июнь 2025'!$D$5:$D$2470,$B174,'июнь 2025'!$J$5:$J$2470,H$1)</f>
        <v>0</v>
      </c>
      <c r="I174" s="183">
        <f>SUMIFS('июнь 2025'!$G$5:$G$2470,'июнь 2025'!$D$5:$D$2470,$B174,'июнь 2025'!$J$5:$J$2470,I$1)</f>
        <v>0</v>
      </c>
      <c r="J174" s="183">
        <f>SUMIFS('июнь 2025'!$G$5:$G$2470,'июнь 2025'!$D$5:$D$2470,$B174,'июнь 2025'!$J$5:$J$2470,J$1)</f>
        <v>0</v>
      </c>
      <c r="K174" s="183">
        <f>SUMIFS('июнь 2025'!$G$5:$G$2470,'июнь 2025'!$D$5:$D$2470,$B174,'июнь 2025'!$J$5:$J$2470,K$1)</f>
        <v>0</v>
      </c>
      <c r="L174" s="183">
        <f>SUMIFS('июнь 2025'!$G$5:$G$2470,'июнь 2025'!$D$5:$D$2470,$B174,'июнь 2025'!$J$5:$J$2470,L$1)</f>
        <v>0</v>
      </c>
      <c r="M174" s="183">
        <f>SUMIFS('июнь 2025'!$G$5:$G$2470,'июнь 2025'!$D$5:$D$2470,$B174,'июнь 2025'!$J$5:$J$2470,M$1)</f>
        <v>0</v>
      </c>
      <c r="N174" s="183">
        <f>SUMIFS('июнь 2025'!$G$5:$G$2470,'июнь 2025'!$D$5:$D$2470,$B174,'июнь 2025'!$J$5:$J$2470,N$1)</f>
        <v>0</v>
      </c>
      <c r="O174" s="183">
        <f>SUMIFS('июнь 2025'!$G$5:$G$2470,'июнь 2025'!$D$5:$D$2470,$B174,'июнь 2025'!$J$5:$J$2470,O$1)</f>
        <v>0</v>
      </c>
      <c r="P174" s="183">
        <f>SUMIFS('июнь 2025'!$G$5:$G$2470,'июнь 2025'!$D$5:$D$2470,$B174,'июнь 2025'!$J$5:$J$2470,P$1)</f>
        <v>0</v>
      </c>
      <c r="Q174" s="183">
        <f>SUMIFS('июнь 2025'!$G$5:$G$2470,'июнь 2025'!$D$5:$D$2470,$B174,'июнь 2025'!$J$5:$J$2470,Q$1)</f>
        <v>0</v>
      </c>
      <c r="R174" s="183">
        <f>SUMIFS('июнь 2025'!$G$5:$G$2470,'июнь 2025'!$D$5:$D$2470,$B174,'июнь 2025'!$J$5:$J$2470,R$1)</f>
        <v>0</v>
      </c>
      <c r="S174" s="183">
        <f>SUMIFS('июнь 2025'!$G$5:$G$2470,'июнь 2025'!$D$5:$D$2470,$B174,'июнь 2025'!$J$5:$J$2470,S$1)</f>
        <v>0</v>
      </c>
      <c r="T174" s="183">
        <f>SUMIFS('июнь 2025'!$G$5:$G$2470,'июнь 2025'!$D$5:$D$2470,$B174,'июнь 2025'!$J$5:$J$2470,T$1)</f>
        <v>0</v>
      </c>
      <c r="U174" s="183">
        <f>SUMIFS('июнь 2025'!$G$5:$G$2470,'июнь 2025'!$D$5:$D$2470,$B174,'июнь 2025'!$J$5:$J$2470,U$1)</f>
        <v>0</v>
      </c>
      <c r="V174" s="183">
        <f>SUMIFS('июнь 2025'!$G$5:$G$2470,'июнь 2025'!$D$5:$D$2470,$B174,'июнь 2025'!$J$5:$J$2470,V$1)</f>
        <v>0</v>
      </c>
      <c r="W174" s="183">
        <f>SUMIFS('июнь 2025'!$G$5:$G$2470,'июнь 2025'!$D$5:$D$2470,$B174,'июнь 2025'!$J$5:$J$2470,W$1)</f>
        <v>0</v>
      </c>
      <c r="X174" s="183">
        <f>SUMIFS('июнь 2025'!$G$5:$G$2470,'июнь 2025'!$D$5:$D$2470,$B174,'июнь 2025'!$J$5:$J$2470,X$1)</f>
        <v>0</v>
      </c>
      <c r="Y174" s="183">
        <f>SUMIFS('июнь 2025'!$G$5:$G$2470,'июнь 2025'!$D$5:$D$2470,$B174,'июнь 2025'!$J$5:$J$2470,Y$1)</f>
        <v>0</v>
      </c>
      <c r="Z174" s="183">
        <f>SUMIFS('июнь 2025'!$G$5:$G$2470,'июнь 2025'!$D$5:$D$2470,$B174,'июнь 2025'!$J$5:$J$2470,Z$1)</f>
        <v>0</v>
      </c>
      <c r="AA174" s="183">
        <f>SUMIFS('июнь 2025'!$G$5:$G$2470,'июнь 2025'!$D$5:$D$2470,$B174,'июнь 2025'!$J$5:$J$2470,AA$1)</f>
        <v>0</v>
      </c>
      <c r="AB174" s="183">
        <f>SUMIFS('июнь 2025'!$G$5:$G$2470,'июнь 2025'!$D$5:$D$2470,$B174,'июнь 2025'!$J$5:$J$2470,AB$1)</f>
        <v>0</v>
      </c>
      <c r="AC174" s="183">
        <f>SUMIFS('июнь 2025'!$G$5:$G$2470,'июнь 2025'!$D$5:$D$2470,$B174,'июнь 2025'!$J$5:$J$2470,AC$1)</f>
        <v>0</v>
      </c>
      <c r="AD174" s="183">
        <f>SUMIFS('июнь 2025'!$G$5:$G$2470,'июнь 2025'!$D$5:$D$2470,$B174,'июнь 2025'!$J$5:$J$2470,AD$1)</f>
        <v>0</v>
      </c>
      <c r="AE174" s="183">
        <f>SUMIFS('июнь 2025'!$G$5:$G$2470,'июнь 2025'!$D$5:$D$2470,$B174,'июнь 2025'!$J$5:$J$2470,AE$1)</f>
        <v>0</v>
      </c>
      <c r="AF174" s="183">
        <f>SUMIFS('июнь 2025'!$G$5:$G$2470,'июнь 2025'!$D$5:$D$2470,$B174,'июнь 2025'!$J$5:$J$2470,AF$1)</f>
        <v>0</v>
      </c>
      <c r="AG174" s="183">
        <f>SUMIFS('июнь 2025'!$G$5:$G$2470,'июнь 2025'!$D$5:$D$2470,$B174,'июнь 2025'!$J$5:$J$2470,AG$1)</f>
        <v>0</v>
      </c>
      <c r="AH174" s="183">
        <f>SUMIFS('июнь 2025'!$G$5:$G$2470,'июнь 2025'!$D$5:$D$2470,$B174,'июнь 2025'!$J$5:$J$2470,AH$1)</f>
        <v>0</v>
      </c>
      <c r="AI174" s="20"/>
    </row>
    <row r="175" spans="2:35" ht="15" customHeight="1" x14ac:dyDescent="0.25">
      <c r="B175" s="84"/>
      <c r="C175" s="83"/>
      <c r="D175" s="183">
        <f>SUMIFS('июнь 2025'!$G$5:$G$2470,'июнь 2025'!$D$5:$D$2470,$B175,'июнь 2025'!$J$5:$J$2470,D$1)</f>
        <v>0</v>
      </c>
      <c r="E175" s="183">
        <f>SUMIFS('июнь 2025'!$G$5:$G$2470,'июнь 2025'!$D$5:$D$2470,$B175,'июнь 2025'!$J$5:$J$2470,E$1)</f>
        <v>0</v>
      </c>
      <c r="F175" s="183">
        <f>SUMIFS('июнь 2025'!$G$5:$G$2470,'июнь 2025'!$D$5:$D$2470,$B175,'июнь 2025'!$J$5:$J$2470,F$1)</f>
        <v>0</v>
      </c>
      <c r="G175" s="183">
        <f>SUMIFS('июнь 2025'!$G$5:$G$2470,'июнь 2025'!$D$5:$D$2470,$B175,'июнь 2025'!$J$5:$J$2470,G$1)</f>
        <v>0</v>
      </c>
      <c r="H175" s="183">
        <f>SUMIFS('июнь 2025'!$G$5:$G$2470,'июнь 2025'!$D$5:$D$2470,$B175,'июнь 2025'!$J$5:$J$2470,H$1)</f>
        <v>0</v>
      </c>
      <c r="I175" s="183">
        <f>SUMIFS('июнь 2025'!$G$5:$G$2470,'июнь 2025'!$D$5:$D$2470,$B175,'июнь 2025'!$J$5:$J$2470,I$1)</f>
        <v>0</v>
      </c>
      <c r="J175" s="183">
        <f>SUMIFS('июнь 2025'!$G$5:$G$2470,'июнь 2025'!$D$5:$D$2470,$B175,'июнь 2025'!$J$5:$J$2470,J$1)</f>
        <v>0</v>
      </c>
      <c r="K175" s="183">
        <f>SUMIFS('июнь 2025'!$G$5:$G$2470,'июнь 2025'!$D$5:$D$2470,$B175,'июнь 2025'!$J$5:$J$2470,K$1)</f>
        <v>0</v>
      </c>
      <c r="L175" s="183">
        <f>SUMIFS('июнь 2025'!$G$5:$G$2470,'июнь 2025'!$D$5:$D$2470,$B175,'июнь 2025'!$J$5:$J$2470,L$1)</f>
        <v>0</v>
      </c>
      <c r="M175" s="183">
        <f>SUMIFS('июнь 2025'!$G$5:$G$2470,'июнь 2025'!$D$5:$D$2470,$B175,'июнь 2025'!$J$5:$J$2470,M$1)</f>
        <v>0</v>
      </c>
      <c r="N175" s="183">
        <f>SUMIFS('июнь 2025'!$G$5:$G$2470,'июнь 2025'!$D$5:$D$2470,$B175,'июнь 2025'!$J$5:$J$2470,N$1)</f>
        <v>0</v>
      </c>
      <c r="O175" s="183">
        <f>SUMIFS('июнь 2025'!$G$5:$G$2470,'июнь 2025'!$D$5:$D$2470,$B175,'июнь 2025'!$J$5:$J$2470,O$1)</f>
        <v>0</v>
      </c>
      <c r="P175" s="183">
        <f>SUMIFS('июнь 2025'!$G$5:$G$2470,'июнь 2025'!$D$5:$D$2470,$B175,'июнь 2025'!$J$5:$J$2470,P$1)</f>
        <v>0</v>
      </c>
      <c r="Q175" s="183">
        <f>SUMIFS('июнь 2025'!$G$5:$G$2470,'июнь 2025'!$D$5:$D$2470,$B175,'июнь 2025'!$J$5:$J$2470,Q$1)</f>
        <v>0</v>
      </c>
      <c r="R175" s="183">
        <f>SUMIFS('июнь 2025'!$G$5:$G$2470,'июнь 2025'!$D$5:$D$2470,$B175,'июнь 2025'!$J$5:$J$2470,R$1)</f>
        <v>0</v>
      </c>
      <c r="S175" s="183">
        <f>SUMIFS('июнь 2025'!$G$5:$G$2470,'июнь 2025'!$D$5:$D$2470,$B175,'июнь 2025'!$J$5:$J$2470,S$1)</f>
        <v>0</v>
      </c>
      <c r="T175" s="183">
        <f>SUMIFS('июнь 2025'!$G$5:$G$2470,'июнь 2025'!$D$5:$D$2470,$B175,'июнь 2025'!$J$5:$J$2470,T$1)</f>
        <v>0</v>
      </c>
      <c r="U175" s="183">
        <f>SUMIFS('июнь 2025'!$G$5:$G$2470,'июнь 2025'!$D$5:$D$2470,$B175,'июнь 2025'!$J$5:$J$2470,U$1)</f>
        <v>0</v>
      </c>
      <c r="V175" s="183">
        <f>SUMIFS('июнь 2025'!$G$5:$G$2470,'июнь 2025'!$D$5:$D$2470,$B175,'июнь 2025'!$J$5:$J$2470,V$1)</f>
        <v>0</v>
      </c>
      <c r="W175" s="183">
        <f>SUMIFS('июнь 2025'!$G$5:$G$2470,'июнь 2025'!$D$5:$D$2470,$B175,'июнь 2025'!$J$5:$J$2470,W$1)</f>
        <v>0</v>
      </c>
      <c r="X175" s="183">
        <f>SUMIFS('июнь 2025'!$G$5:$G$2470,'июнь 2025'!$D$5:$D$2470,$B175,'июнь 2025'!$J$5:$J$2470,X$1)</f>
        <v>0</v>
      </c>
      <c r="Y175" s="183">
        <f>SUMIFS('июнь 2025'!$G$5:$G$2470,'июнь 2025'!$D$5:$D$2470,$B175,'июнь 2025'!$J$5:$J$2470,Y$1)</f>
        <v>0</v>
      </c>
      <c r="Z175" s="183">
        <f>SUMIFS('июнь 2025'!$G$5:$G$2470,'июнь 2025'!$D$5:$D$2470,$B175,'июнь 2025'!$J$5:$J$2470,Z$1)</f>
        <v>0</v>
      </c>
      <c r="AA175" s="183">
        <f>SUMIFS('июнь 2025'!$G$5:$G$2470,'июнь 2025'!$D$5:$D$2470,$B175,'июнь 2025'!$J$5:$J$2470,AA$1)</f>
        <v>0</v>
      </c>
      <c r="AB175" s="183">
        <f>SUMIFS('июнь 2025'!$G$5:$G$2470,'июнь 2025'!$D$5:$D$2470,$B175,'июнь 2025'!$J$5:$J$2470,AB$1)</f>
        <v>0</v>
      </c>
      <c r="AC175" s="183">
        <f>SUMIFS('июнь 2025'!$G$5:$G$2470,'июнь 2025'!$D$5:$D$2470,$B175,'июнь 2025'!$J$5:$J$2470,AC$1)</f>
        <v>0</v>
      </c>
      <c r="AD175" s="183">
        <f>SUMIFS('июнь 2025'!$G$5:$G$2470,'июнь 2025'!$D$5:$D$2470,$B175,'июнь 2025'!$J$5:$J$2470,AD$1)</f>
        <v>0</v>
      </c>
      <c r="AE175" s="183">
        <f>SUMIFS('июнь 2025'!$G$5:$G$2470,'июнь 2025'!$D$5:$D$2470,$B175,'июнь 2025'!$J$5:$J$2470,AE$1)</f>
        <v>0</v>
      </c>
      <c r="AF175" s="183">
        <f>SUMIFS('июнь 2025'!$G$5:$G$2470,'июнь 2025'!$D$5:$D$2470,$B175,'июнь 2025'!$J$5:$J$2470,AF$1)</f>
        <v>0</v>
      </c>
      <c r="AG175" s="183">
        <f>SUMIFS('июнь 2025'!$G$5:$G$2470,'июнь 2025'!$D$5:$D$2470,$B175,'июнь 2025'!$J$5:$J$2470,AG$1)</f>
        <v>0</v>
      </c>
      <c r="AH175" s="183">
        <f>SUMIFS('июнь 2025'!$G$5:$G$2470,'июнь 2025'!$D$5:$D$2470,$B175,'июнь 2025'!$J$5:$J$2470,AH$1)</f>
        <v>0</v>
      </c>
      <c r="AI175" s="20"/>
    </row>
    <row r="176" spans="2:35" ht="15" customHeight="1" x14ac:dyDescent="0.25">
      <c r="B176" s="84"/>
      <c r="C176" s="83"/>
      <c r="D176" s="183"/>
      <c r="E176" s="183"/>
      <c r="F176" s="183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  <c r="AA176" s="183"/>
      <c r="AB176" s="183"/>
      <c r="AC176" s="183"/>
      <c r="AD176" s="183"/>
      <c r="AE176" s="183"/>
      <c r="AF176" s="183"/>
      <c r="AG176" s="183"/>
      <c r="AH176" s="183"/>
      <c r="AI176" s="20"/>
    </row>
    <row r="177" spans="2:35" ht="15" customHeight="1" x14ac:dyDescent="0.25">
      <c r="B177" s="84"/>
      <c r="C177" s="83"/>
      <c r="D177" s="183"/>
      <c r="E177" s="183"/>
      <c r="F177" s="183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  <c r="AA177" s="183"/>
      <c r="AB177" s="183"/>
      <c r="AC177" s="183"/>
      <c r="AD177" s="183"/>
      <c r="AE177" s="183"/>
      <c r="AF177" s="183"/>
      <c r="AG177" s="183"/>
      <c r="AH177" s="183"/>
      <c r="AI177" s="20"/>
    </row>
    <row r="178" spans="2:35" ht="15" customHeight="1" x14ac:dyDescent="0.25">
      <c r="B178" s="84"/>
      <c r="C178" s="83"/>
      <c r="D178" s="183"/>
      <c r="E178" s="183"/>
      <c r="F178" s="183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  <c r="AA178" s="183"/>
      <c r="AB178" s="183"/>
      <c r="AC178" s="183"/>
      <c r="AD178" s="183"/>
      <c r="AE178" s="183"/>
      <c r="AF178" s="183"/>
      <c r="AG178" s="183"/>
      <c r="AH178" s="183"/>
      <c r="AI178" s="20"/>
    </row>
    <row r="179" spans="2:35" ht="15" customHeight="1" x14ac:dyDescent="0.25">
      <c r="B179" s="84"/>
      <c r="C179" s="83"/>
      <c r="D179" s="183"/>
      <c r="E179" s="183"/>
      <c r="F179" s="183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  <c r="AA179" s="183"/>
      <c r="AB179" s="183"/>
      <c r="AC179" s="183"/>
      <c r="AD179" s="183"/>
      <c r="AE179" s="183"/>
      <c r="AF179" s="183"/>
      <c r="AG179" s="183"/>
      <c r="AH179" s="183"/>
      <c r="AI179" s="20"/>
    </row>
    <row r="180" spans="2:35" ht="15" customHeight="1" x14ac:dyDescent="0.25">
      <c r="B180" s="84"/>
      <c r="C180" s="83"/>
      <c r="D180" s="183"/>
      <c r="E180" s="183"/>
      <c r="F180" s="183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  <c r="AA180" s="183"/>
      <c r="AB180" s="183"/>
      <c r="AC180" s="183"/>
      <c r="AD180" s="183"/>
      <c r="AE180" s="183"/>
      <c r="AF180" s="183"/>
      <c r="AG180" s="183"/>
      <c r="AH180" s="183"/>
      <c r="AI180" s="20"/>
    </row>
    <row r="181" spans="2:35" ht="15" customHeight="1" x14ac:dyDescent="0.25">
      <c r="B181" s="84"/>
      <c r="C181" s="83"/>
      <c r="D181" s="183"/>
      <c r="E181" s="183"/>
      <c r="F181" s="183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  <c r="AA181" s="183"/>
      <c r="AB181" s="183"/>
      <c r="AC181" s="183"/>
      <c r="AD181" s="183"/>
      <c r="AE181" s="183"/>
      <c r="AF181" s="183"/>
      <c r="AG181" s="183"/>
      <c r="AH181" s="183"/>
      <c r="AI181" s="20"/>
    </row>
    <row r="182" spans="2:35" ht="15" customHeight="1" x14ac:dyDescent="0.25">
      <c r="B182" s="84"/>
      <c r="C182" s="83"/>
      <c r="D182" s="183"/>
      <c r="E182" s="183"/>
      <c r="F182" s="183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  <c r="AA182" s="183"/>
      <c r="AB182" s="183"/>
      <c r="AC182" s="183"/>
      <c r="AD182" s="183"/>
      <c r="AE182" s="183"/>
      <c r="AF182" s="183"/>
      <c r="AG182" s="183"/>
      <c r="AH182" s="183"/>
      <c r="AI182" s="20"/>
    </row>
    <row r="183" spans="2:35" ht="15" customHeight="1" x14ac:dyDescent="0.25">
      <c r="B183" s="84"/>
      <c r="C183" s="83"/>
      <c r="D183" s="183"/>
      <c r="E183" s="183"/>
      <c r="F183" s="183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  <c r="AA183" s="183"/>
      <c r="AB183" s="183"/>
      <c r="AC183" s="183"/>
      <c r="AD183" s="183"/>
      <c r="AE183" s="183"/>
      <c r="AF183" s="183"/>
      <c r="AG183" s="183"/>
      <c r="AH183" s="183"/>
      <c r="AI183" s="20"/>
    </row>
    <row r="184" spans="2:35" ht="15" customHeight="1" x14ac:dyDescent="0.25">
      <c r="B184" s="84"/>
      <c r="C184" s="83"/>
      <c r="D184" s="183"/>
      <c r="E184" s="183"/>
      <c r="F184" s="183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  <c r="AA184" s="183"/>
      <c r="AB184" s="183"/>
      <c r="AC184" s="183"/>
      <c r="AD184" s="183"/>
      <c r="AE184" s="183"/>
      <c r="AF184" s="183"/>
      <c r="AG184" s="183"/>
      <c r="AH184" s="183"/>
      <c r="AI184" s="20"/>
    </row>
    <row r="185" spans="2:35" ht="15" customHeight="1" x14ac:dyDescent="0.25">
      <c r="B185" s="84"/>
      <c r="C185" s="83"/>
      <c r="D185" s="183"/>
      <c r="E185" s="183"/>
      <c r="F185" s="183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  <c r="AA185" s="183"/>
      <c r="AB185" s="183"/>
      <c r="AC185" s="183"/>
      <c r="AD185" s="183"/>
      <c r="AE185" s="183"/>
      <c r="AF185" s="183"/>
      <c r="AG185" s="183"/>
      <c r="AH185" s="183"/>
      <c r="AI185" s="20"/>
    </row>
    <row r="186" spans="2:35" ht="15" customHeight="1" x14ac:dyDescent="0.25">
      <c r="B186" s="84"/>
      <c r="C186" s="83"/>
      <c r="D186" s="183"/>
      <c r="E186" s="183"/>
      <c r="F186" s="183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  <c r="AA186" s="183"/>
      <c r="AB186" s="183"/>
      <c r="AC186" s="183"/>
      <c r="AD186" s="183"/>
      <c r="AE186" s="183"/>
      <c r="AF186" s="183"/>
      <c r="AG186" s="183"/>
      <c r="AH186" s="183"/>
      <c r="AI186" s="20"/>
    </row>
    <row r="187" spans="2:35" ht="15" customHeight="1" x14ac:dyDescent="0.25">
      <c r="B187" s="84"/>
      <c r="C187" s="83"/>
      <c r="D187" s="183"/>
      <c r="E187" s="183"/>
      <c r="F187" s="183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  <c r="AA187" s="183"/>
      <c r="AB187" s="183"/>
      <c r="AC187" s="183"/>
      <c r="AD187" s="183"/>
      <c r="AE187" s="183"/>
      <c r="AF187" s="183"/>
      <c r="AG187" s="183"/>
      <c r="AH187" s="183"/>
      <c r="AI187" s="20"/>
    </row>
    <row r="188" spans="2:35" ht="15" customHeight="1" x14ac:dyDescent="0.25">
      <c r="B188" s="84"/>
      <c r="C188" s="83"/>
      <c r="D188" s="183"/>
      <c r="E188" s="183"/>
      <c r="F188" s="183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  <c r="AA188" s="183"/>
      <c r="AB188" s="183"/>
      <c r="AC188" s="183"/>
      <c r="AD188" s="183"/>
      <c r="AE188" s="183"/>
      <c r="AF188" s="183"/>
      <c r="AG188" s="183"/>
      <c r="AH188" s="183"/>
      <c r="AI188" s="20"/>
    </row>
    <row r="189" spans="2:35" ht="15" customHeight="1" x14ac:dyDescent="0.25">
      <c r="B189" s="84"/>
      <c r="C189" s="83"/>
      <c r="D189" s="183"/>
      <c r="E189" s="183"/>
      <c r="F189" s="183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  <c r="AA189" s="183"/>
      <c r="AB189" s="183"/>
      <c r="AC189" s="183"/>
      <c r="AD189" s="183"/>
      <c r="AE189" s="183"/>
      <c r="AF189" s="183"/>
      <c r="AG189" s="183"/>
      <c r="AH189" s="183"/>
      <c r="AI189" s="20"/>
    </row>
    <row r="190" spans="2:35" ht="15" customHeight="1" x14ac:dyDescent="0.25">
      <c r="B190" s="84"/>
      <c r="C190" s="83"/>
      <c r="D190" s="183"/>
      <c r="E190" s="183"/>
      <c r="F190" s="183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  <c r="AA190" s="183"/>
      <c r="AB190" s="183"/>
      <c r="AC190" s="183"/>
      <c r="AD190" s="183"/>
      <c r="AE190" s="183"/>
      <c r="AF190" s="183"/>
      <c r="AG190" s="183"/>
      <c r="AH190" s="183"/>
      <c r="AI190" s="20"/>
    </row>
    <row r="191" spans="2:35" ht="15" customHeight="1" x14ac:dyDescent="0.25">
      <c r="B191" s="84"/>
      <c r="C191" s="83"/>
      <c r="D191" s="183"/>
      <c r="E191" s="183"/>
      <c r="F191" s="183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  <c r="AA191" s="183"/>
      <c r="AB191" s="183"/>
      <c r="AC191" s="183"/>
      <c r="AD191" s="183"/>
      <c r="AE191" s="183"/>
      <c r="AF191" s="183"/>
      <c r="AG191" s="183"/>
      <c r="AH191" s="183"/>
      <c r="AI191" s="20"/>
    </row>
    <row r="192" spans="2:35" ht="15" customHeight="1" x14ac:dyDescent="0.25">
      <c r="B192" s="84"/>
      <c r="C192" s="83"/>
      <c r="D192" s="183"/>
      <c r="E192" s="183"/>
      <c r="F192" s="183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  <c r="AA192" s="183"/>
      <c r="AB192" s="183"/>
      <c r="AC192" s="183"/>
      <c r="AD192" s="183"/>
      <c r="AE192" s="183"/>
      <c r="AF192" s="183"/>
      <c r="AG192" s="183"/>
      <c r="AH192" s="183"/>
      <c r="AI192" s="20"/>
    </row>
    <row r="193" spans="2:35" ht="15" customHeight="1" x14ac:dyDescent="0.25">
      <c r="B193" s="84"/>
      <c r="C193" s="83"/>
      <c r="D193" s="183"/>
      <c r="E193" s="183"/>
      <c r="F193" s="183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  <c r="AA193" s="183"/>
      <c r="AB193" s="183"/>
      <c r="AC193" s="183"/>
      <c r="AD193" s="183"/>
      <c r="AE193" s="183"/>
      <c r="AF193" s="183"/>
      <c r="AG193" s="183"/>
      <c r="AH193" s="183"/>
      <c r="AI193" s="20"/>
    </row>
    <row r="194" spans="2:35" ht="15" customHeight="1" x14ac:dyDescent="0.25">
      <c r="B194" s="84"/>
      <c r="C194" s="83"/>
      <c r="D194" s="183"/>
      <c r="E194" s="183"/>
      <c r="F194" s="183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  <c r="AA194" s="183"/>
      <c r="AB194" s="183"/>
      <c r="AC194" s="183"/>
      <c r="AD194" s="183"/>
      <c r="AE194" s="183"/>
      <c r="AF194" s="183"/>
      <c r="AG194" s="183"/>
      <c r="AH194" s="183"/>
      <c r="AI194" s="20"/>
    </row>
    <row r="195" spans="2:35" ht="15" customHeight="1" x14ac:dyDescent="0.25">
      <c r="B195" s="84"/>
      <c r="C195" s="83"/>
      <c r="D195" s="183"/>
      <c r="E195" s="183"/>
      <c r="F195" s="183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  <c r="AA195" s="183"/>
      <c r="AB195" s="183"/>
      <c r="AC195" s="183"/>
      <c r="AD195" s="183"/>
      <c r="AE195" s="183"/>
      <c r="AF195" s="183"/>
      <c r="AG195" s="183"/>
      <c r="AH195" s="183"/>
      <c r="AI195" s="20"/>
    </row>
    <row r="196" spans="2:35" ht="15" customHeight="1" x14ac:dyDescent="0.25">
      <c r="B196" s="84"/>
      <c r="C196" s="83"/>
      <c r="D196" s="183"/>
      <c r="E196" s="183"/>
      <c r="F196" s="183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  <c r="AA196" s="183"/>
      <c r="AB196" s="183"/>
      <c r="AC196" s="183"/>
      <c r="AD196" s="183"/>
      <c r="AE196" s="183"/>
      <c r="AF196" s="183"/>
      <c r="AG196" s="183"/>
      <c r="AH196" s="183"/>
      <c r="AI196" s="20"/>
    </row>
    <row r="197" spans="2:35" ht="15" customHeight="1" x14ac:dyDescent="0.25">
      <c r="B197" s="84"/>
      <c r="C197" s="83"/>
      <c r="D197" s="183"/>
      <c r="E197" s="183"/>
      <c r="F197" s="183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  <c r="AA197" s="183"/>
      <c r="AB197" s="183"/>
      <c r="AC197" s="183"/>
      <c r="AD197" s="183"/>
      <c r="AE197" s="183"/>
      <c r="AF197" s="183"/>
      <c r="AG197" s="183"/>
      <c r="AH197" s="183"/>
      <c r="AI197" s="20"/>
    </row>
    <row r="198" spans="2:35" ht="15" customHeight="1" x14ac:dyDescent="0.25">
      <c r="B198" s="84"/>
      <c r="C198" s="83"/>
      <c r="D198" s="183"/>
      <c r="E198" s="183"/>
      <c r="F198" s="183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20"/>
    </row>
    <row r="199" spans="2:35" ht="15" customHeight="1" x14ac:dyDescent="0.25">
      <c r="B199" s="84"/>
      <c r="C199" s="83"/>
      <c r="D199" s="183"/>
      <c r="E199" s="183"/>
      <c r="F199" s="183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  <c r="AA199" s="183"/>
      <c r="AB199" s="183"/>
      <c r="AC199" s="183"/>
      <c r="AD199" s="183"/>
      <c r="AE199" s="183"/>
      <c r="AF199" s="183"/>
      <c r="AG199" s="183"/>
      <c r="AH199" s="183"/>
      <c r="AI199" s="20"/>
    </row>
    <row r="200" spans="2:35" ht="15" customHeight="1" x14ac:dyDescent="0.25">
      <c r="B200" s="84"/>
      <c r="C200" s="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  <c r="AA200" s="183"/>
      <c r="AB200" s="183"/>
      <c r="AC200" s="183"/>
      <c r="AD200" s="183"/>
      <c r="AE200" s="183"/>
      <c r="AF200" s="183"/>
      <c r="AG200" s="183"/>
      <c r="AH200" s="183"/>
      <c r="AI200" s="20"/>
    </row>
    <row r="201" spans="2:35" ht="15" customHeight="1" x14ac:dyDescent="0.25">
      <c r="B201" s="84"/>
      <c r="C201" s="83"/>
      <c r="D201" s="183"/>
      <c r="E201" s="183"/>
      <c r="F201" s="183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  <c r="AA201" s="183"/>
      <c r="AB201" s="183"/>
      <c r="AC201" s="183"/>
      <c r="AD201" s="183"/>
      <c r="AE201" s="183"/>
      <c r="AF201" s="183"/>
      <c r="AG201" s="183"/>
      <c r="AH201" s="183"/>
      <c r="AI201" s="20"/>
    </row>
    <row r="202" spans="2:35" ht="15" customHeight="1" x14ac:dyDescent="0.25">
      <c r="B202" s="84"/>
      <c r="C202" s="83"/>
      <c r="D202" s="183"/>
      <c r="E202" s="183"/>
      <c r="F202" s="183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  <c r="AA202" s="183"/>
      <c r="AB202" s="183"/>
      <c r="AC202" s="183"/>
      <c r="AD202" s="183"/>
      <c r="AE202" s="183"/>
      <c r="AF202" s="183"/>
      <c r="AG202" s="183"/>
      <c r="AH202" s="183"/>
      <c r="AI202" s="20"/>
    </row>
    <row r="203" spans="2:35" ht="15" customHeight="1" x14ac:dyDescent="0.25">
      <c r="B203" s="84"/>
      <c r="C203" s="83"/>
      <c r="D203" s="183"/>
      <c r="E203" s="183"/>
      <c r="F203" s="183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  <c r="AA203" s="183"/>
      <c r="AB203" s="183"/>
      <c r="AC203" s="183"/>
      <c r="AD203" s="183"/>
      <c r="AE203" s="183"/>
      <c r="AF203" s="183"/>
      <c r="AG203" s="183"/>
      <c r="AH203" s="183"/>
      <c r="AI203" s="20"/>
    </row>
    <row r="204" spans="2:35" ht="15" customHeight="1" x14ac:dyDescent="0.25">
      <c r="B204" s="84"/>
      <c r="C204" s="83"/>
      <c r="D204" s="183"/>
      <c r="E204" s="183"/>
      <c r="F204" s="183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  <c r="AA204" s="183"/>
      <c r="AB204" s="183"/>
      <c r="AC204" s="183"/>
      <c r="AD204" s="183"/>
      <c r="AE204" s="183"/>
      <c r="AF204" s="183"/>
      <c r="AG204" s="183"/>
      <c r="AH204" s="183"/>
      <c r="AI204" s="20"/>
    </row>
    <row r="205" spans="2:35" ht="15" customHeight="1" x14ac:dyDescent="0.25">
      <c r="B205" s="84"/>
      <c r="C205" s="83"/>
      <c r="D205" s="183"/>
      <c r="E205" s="183"/>
      <c r="F205" s="183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  <c r="AA205" s="183"/>
      <c r="AB205" s="183"/>
      <c r="AC205" s="183"/>
      <c r="AD205" s="183"/>
      <c r="AE205" s="183"/>
      <c r="AF205" s="183"/>
      <c r="AG205" s="183"/>
      <c r="AH205" s="183"/>
      <c r="AI205" s="20"/>
    </row>
    <row r="206" spans="2:35" ht="15" customHeight="1" x14ac:dyDescent="0.25">
      <c r="B206" s="84"/>
      <c r="C206" s="83"/>
      <c r="D206" s="183"/>
      <c r="E206" s="183"/>
      <c r="F206" s="183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  <c r="AA206" s="183"/>
      <c r="AB206" s="183"/>
      <c r="AC206" s="183"/>
      <c r="AD206" s="183"/>
      <c r="AE206" s="183"/>
      <c r="AF206" s="183"/>
      <c r="AG206" s="183"/>
      <c r="AH206" s="183"/>
      <c r="AI206" s="20"/>
    </row>
    <row r="207" spans="2:35" ht="15" customHeight="1" x14ac:dyDescent="0.25">
      <c r="B207" s="84"/>
      <c r="C207" s="83"/>
      <c r="D207" s="183"/>
      <c r="E207" s="183"/>
      <c r="F207" s="183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  <c r="AA207" s="183"/>
      <c r="AB207" s="183"/>
      <c r="AC207" s="183"/>
      <c r="AD207" s="183"/>
      <c r="AE207" s="183"/>
      <c r="AF207" s="183"/>
      <c r="AG207" s="183"/>
      <c r="AH207" s="183"/>
      <c r="AI207" s="20"/>
    </row>
    <row r="208" spans="2:35" ht="15" customHeight="1" x14ac:dyDescent="0.25">
      <c r="B208" s="84"/>
      <c r="C208" s="83"/>
      <c r="D208" s="183"/>
      <c r="E208" s="183"/>
      <c r="F208" s="183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  <c r="AA208" s="183"/>
      <c r="AB208" s="183"/>
      <c r="AC208" s="183"/>
      <c r="AD208" s="183"/>
      <c r="AE208" s="183"/>
      <c r="AF208" s="183"/>
      <c r="AG208" s="183"/>
      <c r="AH208" s="183"/>
      <c r="AI208" s="20"/>
    </row>
    <row r="209" spans="2:35" ht="15" customHeight="1" x14ac:dyDescent="0.25">
      <c r="B209" s="84"/>
      <c r="C209" s="83"/>
      <c r="D209" s="183"/>
      <c r="E209" s="183"/>
      <c r="F209" s="183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  <c r="AA209" s="183"/>
      <c r="AB209" s="183"/>
      <c r="AC209" s="183"/>
      <c r="AD209" s="183"/>
      <c r="AE209" s="183"/>
      <c r="AF209" s="183"/>
      <c r="AG209" s="183"/>
      <c r="AH209" s="183"/>
      <c r="AI209" s="20"/>
    </row>
    <row r="210" spans="2:35" ht="15" customHeight="1" x14ac:dyDescent="0.25">
      <c r="B210" s="84"/>
      <c r="C210" s="83"/>
      <c r="D210" s="183"/>
      <c r="E210" s="183"/>
      <c r="F210" s="183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  <c r="AA210" s="183"/>
      <c r="AB210" s="183"/>
      <c r="AC210" s="183"/>
      <c r="AD210" s="183"/>
      <c r="AE210" s="183"/>
      <c r="AF210" s="183"/>
      <c r="AG210" s="183"/>
      <c r="AH210" s="183"/>
      <c r="AI210" s="20"/>
    </row>
    <row r="211" spans="2:35" ht="15.75" x14ac:dyDescent="0.25">
      <c r="B211" s="84"/>
      <c r="C211" s="83"/>
      <c r="D211" s="183"/>
      <c r="E211" s="183"/>
      <c r="F211" s="183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  <c r="AA211" s="183"/>
      <c r="AB211" s="183"/>
      <c r="AC211" s="183"/>
      <c r="AD211" s="183"/>
      <c r="AE211" s="183"/>
      <c r="AF211" s="183"/>
      <c r="AG211" s="183"/>
      <c r="AH211" s="183"/>
      <c r="AI211" s="20"/>
    </row>
    <row r="212" spans="2:35" ht="15.75" x14ac:dyDescent="0.25">
      <c r="B212" s="84"/>
      <c r="C212" s="83"/>
      <c r="D212" s="183"/>
      <c r="E212" s="183"/>
      <c r="F212" s="183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  <c r="AA212" s="183"/>
      <c r="AB212" s="183"/>
      <c r="AC212" s="183"/>
      <c r="AD212" s="183"/>
      <c r="AE212" s="183"/>
      <c r="AF212" s="183"/>
      <c r="AG212" s="183"/>
      <c r="AH212" s="183"/>
      <c r="AI212" s="20"/>
    </row>
    <row r="213" spans="2:35" ht="15.75" x14ac:dyDescent="0.25">
      <c r="B213" s="84"/>
      <c r="C213" s="83"/>
      <c r="D213" s="183"/>
      <c r="E213" s="183"/>
      <c r="F213" s="183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  <c r="AA213" s="183"/>
      <c r="AB213" s="183"/>
      <c r="AC213" s="183"/>
      <c r="AD213" s="183"/>
      <c r="AE213" s="183"/>
      <c r="AF213" s="183"/>
      <c r="AG213" s="183"/>
      <c r="AH213" s="183"/>
      <c r="AI213" s="20"/>
    </row>
    <row r="214" spans="2:35" ht="15.75" x14ac:dyDescent="0.25">
      <c r="B214" s="84"/>
      <c r="C214" s="83"/>
      <c r="D214" s="183"/>
      <c r="E214" s="183"/>
      <c r="F214" s="183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  <c r="AA214" s="183"/>
      <c r="AB214" s="183"/>
      <c r="AC214" s="183"/>
      <c r="AD214" s="183"/>
      <c r="AE214" s="183"/>
      <c r="AF214" s="183"/>
      <c r="AG214" s="183"/>
      <c r="AH214" s="183"/>
      <c r="AI214" s="20"/>
    </row>
    <row r="215" spans="2:35" ht="15.75" x14ac:dyDescent="0.25">
      <c r="B215" s="84"/>
      <c r="C215" s="83"/>
      <c r="D215" s="183"/>
      <c r="E215" s="183"/>
      <c r="F215" s="183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  <c r="AA215" s="183"/>
      <c r="AB215" s="183"/>
      <c r="AC215" s="183"/>
      <c r="AD215" s="183"/>
      <c r="AE215" s="183"/>
      <c r="AF215" s="183"/>
      <c r="AG215" s="183"/>
      <c r="AH215" s="183"/>
      <c r="AI215" s="20"/>
    </row>
    <row r="216" spans="2:35" ht="15.75" x14ac:dyDescent="0.25">
      <c r="B216" s="84"/>
      <c r="C216" s="83"/>
      <c r="D216" s="183"/>
      <c r="E216" s="183"/>
      <c r="F216" s="183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  <c r="AA216" s="183"/>
      <c r="AB216" s="183"/>
      <c r="AC216" s="183"/>
      <c r="AD216" s="183"/>
      <c r="AE216" s="183"/>
      <c r="AF216" s="183"/>
      <c r="AG216" s="183"/>
      <c r="AH216" s="183"/>
      <c r="AI216" s="20"/>
    </row>
    <row r="217" spans="2:35" ht="15.75" x14ac:dyDescent="0.25">
      <c r="B217" s="84"/>
      <c r="C217" s="83"/>
      <c r="D217" s="183"/>
      <c r="E217" s="183"/>
      <c r="F217" s="183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  <c r="AA217" s="183"/>
      <c r="AB217" s="183"/>
      <c r="AC217" s="183"/>
      <c r="AD217" s="183"/>
      <c r="AE217" s="183"/>
      <c r="AF217" s="183"/>
      <c r="AG217" s="183"/>
      <c r="AH217" s="183"/>
      <c r="AI217" s="20"/>
    </row>
    <row r="218" spans="2:35" ht="15.75" x14ac:dyDescent="0.25">
      <c r="B218" s="84"/>
      <c r="C218" s="83"/>
      <c r="D218" s="183"/>
      <c r="E218" s="183"/>
      <c r="F218" s="183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  <c r="AA218" s="183"/>
      <c r="AB218" s="183"/>
      <c r="AC218" s="183"/>
      <c r="AD218" s="183"/>
      <c r="AE218" s="183"/>
      <c r="AF218" s="183"/>
      <c r="AG218" s="183"/>
      <c r="AH218" s="183"/>
      <c r="AI218" s="20"/>
    </row>
    <row r="219" spans="2:35" ht="15.75" x14ac:dyDescent="0.25">
      <c r="B219" s="84"/>
      <c r="C219" s="83"/>
      <c r="D219" s="183"/>
      <c r="E219" s="183"/>
      <c r="F219" s="183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  <c r="AA219" s="183"/>
      <c r="AB219" s="183"/>
      <c r="AC219" s="183"/>
      <c r="AD219" s="183"/>
      <c r="AE219" s="183"/>
      <c r="AF219" s="183"/>
      <c r="AG219" s="183"/>
      <c r="AH219" s="183"/>
      <c r="AI219" s="20"/>
    </row>
    <row r="220" spans="2:35" ht="15.75" x14ac:dyDescent="0.25">
      <c r="B220" s="84"/>
      <c r="C220" s="83"/>
      <c r="D220" s="183"/>
      <c r="E220" s="183"/>
      <c r="F220" s="183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  <c r="AA220" s="183"/>
      <c r="AB220" s="183"/>
      <c r="AC220" s="183"/>
      <c r="AD220" s="183"/>
      <c r="AE220" s="183"/>
      <c r="AF220" s="183"/>
      <c r="AG220" s="183"/>
      <c r="AH220" s="183"/>
      <c r="AI220" s="20"/>
    </row>
    <row r="221" spans="2:35" ht="15.75" x14ac:dyDescent="0.25">
      <c r="B221" s="84"/>
      <c r="C221" s="83"/>
      <c r="D221" s="183"/>
      <c r="E221" s="183"/>
      <c r="F221" s="183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  <c r="AA221" s="183"/>
      <c r="AB221" s="183"/>
      <c r="AC221" s="183"/>
      <c r="AD221" s="183"/>
      <c r="AE221" s="183"/>
      <c r="AF221" s="183"/>
      <c r="AG221" s="183"/>
      <c r="AH221" s="183"/>
      <c r="AI221" s="20"/>
    </row>
    <row r="222" spans="2:35" ht="15.75" x14ac:dyDescent="0.25">
      <c r="B222" s="84"/>
      <c r="C222" s="83"/>
      <c r="D222" s="183"/>
      <c r="E222" s="183"/>
      <c r="F222" s="183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  <c r="AA222" s="183"/>
      <c r="AB222" s="183"/>
      <c r="AC222" s="183"/>
      <c r="AD222" s="183"/>
      <c r="AE222" s="183"/>
      <c r="AF222" s="183"/>
      <c r="AG222" s="183"/>
      <c r="AH222" s="183"/>
      <c r="AI222" s="20"/>
    </row>
    <row r="223" spans="2:35" ht="15.75" x14ac:dyDescent="0.25">
      <c r="B223" s="84"/>
      <c r="C223" s="83"/>
      <c r="D223" s="183"/>
      <c r="E223" s="183"/>
      <c r="F223" s="183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  <c r="AA223" s="183"/>
      <c r="AB223" s="183"/>
      <c r="AC223" s="183"/>
      <c r="AD223" s="183"/>
      <c r="AE223" s="183"/>
      <c r="AF223" s="183"/>
      <c r="AG223" s="183"/>
      <c r="AH223" s="183"/>
      <c r="AI223" s="20"/>
    </row>
    <row r="224" spans="2:35" ht="15.75" x14ac:dyDescent="0.25">
      <c r="B224" s="84"/>
      <c r="C224" s="83"/>
      <c r="D224" s="183"/>
      <c r="E224" s="183"/>
      <c r="F224" s="183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  <c r="AA224" s="183"/>
      <c r="AB224" s="183"/>
      <c r="AC224" s="183"/>
      <c r="AD224" s="183"/>
      <c r="AE224" s="183"/>
      <c r="AF224" s="183"/>
      <c r="AG224" s="183"/>
      <c r="AH224" s="183"/>
      <c r="AI224" s="20"/>
    </row>
    <row r="225" spans="2:35" ht="15.75" x14ac:dyDescent="0.25">
      <c r="B225" s="84"/>
      <c r="C225" s="83"/>
      <c r="D225" s="183"/>
      <c r="E225" s="183"/>
      <c r="F225" s="183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  <c r="AA225" s="183"/>
      <c r="AB225" s="183"/>
      <c r="AC225" s="183"/>
      <c r="AD225" s="183"/>
      <c r="AE225" s="183"/>
      <c r="AF225" s="183"/>
      <c r="AG225" s="183"/>
      <c r="AH225" s="183"/>
      <c r="AI225" s="20"/>
    </row>
    <row r="226" spans="2:35" ht="15.75" x14ac:dyDescent="0.25">
      <c r="B226" s="84"/>
      <c r="C226" s="83"/>
      <c r="D226" s="183"/>
      <c r="E226" s="183"/>
      <c r="F226" s="183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  <c r="AA226" s="183"/>
      <c r="AB226" s="183"/>
      <c r="AC226" s="183"/>
      <c r="AD226" s="183"/>
      <c r="AE226" s="183"/>
      <c r="AF226" s="183"/>
      <c r="AG226" s="183"/>
      <c r="AH226" s="183"/>
      <c r="AI226" s="20"/>
    </row>
    <row r="227" spans="2:35" ht="15.75" x14ac:dyDescent="0.25">
      <c r="B227" s="84"/>
      <c r="C227" s="83"/>
      <c r="D227" s="183"/>
      <c r="E227" s="183"/>
      <c r="F227" s="183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  <c r="AA227" s="183"/>
      <c r="AB227" s="183"/>
      <c r="AC227" s="183"/>
      <c r="AD227" s="183"/>
      <c r="AE227" s="183"/>
      <c r="AF227" s="183"/>
      <c r="AG227" s="183"/>
      <c r="AH227" s="183"/>
      <c r="AI227" s="20"/>
    </row>
    <row r="228" spans="2:35" ht="15.75" x14ac:dyDescent="0.25">
      <c r="B228" s="84"/>
      <c r="C228" s="83"/>
      <c r="D228" s="183"/>
      <c r="E228" s="183"/>
      <c r="F228" s="183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  <c r="AA228" s="183"/>
      <c r="AB228" s="183"/>
      <c r="AC228" s="183"/>
      <c r="AD228" s="183"/>
      <c r="AE228" s="183"/>
      <c r="AF228" s="183"/>
      <c r="AG228" s="183"/>
      <c r="AH228" s="183"/>
      <c r="AI228" s="20"/>
    </row>
    <row r="229" spans="2:35" ht="15.75" x14ac:dyDescent="0.25">
      <c r="B229" s="84"/>
      <c r="C229" s="83"/>
      <c r="D229" s="183"/>
      <c r="E229" s="183"/>
      <c r="F229" s="183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  <c r="AA229" s="183"/>
      <c r="AB229" s="183"/>
      <c r="AC229" s="183"/>
      <c r="AD229" s="183"/>
      <c r="AE229" s="183"/>
      <c r="AF229" s="183"/>
      <c r="AG229" s="183"/>
      <c r="AH229" s="183"/>
      <c r="AI229" s="20"/>
    </row>
    <row r="230" spans="2:35" ht="15.75" x14ac:dyDescent="0.25">
      <c r="B230" s="84"/>
      <c r="C230" s="83"/>
      <c r="D230" s="183"/>
      <c r="E230" s="183"/>
      <c r="F230" s="183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  <c r="AA230" s="183"/>
      <c r="AB230" s="183"/>
      <c r="AC230" s="183"/>
      <c r="AD230" s="183"/>
      <c r="AE230" s="183"/>
      <c r="AF230" s="183"/>
      <c r="AG230" s="183"/>
      <c r="AH230" s="183"/>
      <c r="AI230" s="20"/>
    </row>
    <row r="231" spans="2:35" ht="15.75" x14ac:dyDescent="0.25">
      <c r="B231" s="84"/>
      <c r="C231" s="83"/>
      <c r="D231" s="183"/>
      <c r="E231" s="183"/>
      <c r="F231" s="183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  <c r="Z231" s="183"/>
      <c r="AA231" s="183"/>
      <c r="AB231" s="183"/>
      <c r="AC231" s="183"/>
      <c r="AD231" s="183"/>
      <c r="AE231" s="183"/>
      <c r="AF231" s="183"/>
      <c r="AG231" s="183"/>
      <c r="AH231" s="183"/>
      <c r="AI231" s="20"/>
    </row>
    <row r="232" spans="2:35" ht="15.75" x14ac:dyDescent="0.25">
      <c r="B232" s="84"/>
      <c r="C232" s="83"/>
      <c r="D232" s="183"/>
      <c r="E232" s="183"/>
      <c r="F232" s="183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3"/>
      <c r="V232" s="183"/>
      <c r="W232" s="183"/>
      <c r="X232" s="183"/>
      <c r="Y232" s="183"/>
      <c r="Z232" s="183"/>
      <c r="AA232" s="183"/>
      <c r="AB232" s="183"/>
      <c r="AC232" s="183"/>
      <c r="AD232" s="183"/>
      <c r="AE232" s="183"/>
      <c r="AF232" s="183"/>
      <c r="AG232" s="183"/>
      <c r="AH232" s="183"/>
      <c r="AI232" s="20"/>
    </row>
    <row r="233" spans="2:35" ht="15.75" x14ac:dyDescent="0.25">
      <c r="B233" s="84"/>
      <c r="C233" s="83"/>
      <c r="D233" s="183"/>
      <c r="E233" s="183"/>
      <c r="F233" s="183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  <c r="Z233" s="183"/>
      <c r="AA233" s="183"/>
      <c r="AB233" s="183"/>
      <c r="AC233" s="183"/>
      <c r="AD233" s="183"/>
      <c r="AE233" s="183"/>
      <c r="AF233" s="183"/>
      <c r="AG233" s="183"/>
      <c r="AH233" s="183"/>
      <c r="AI233" s="20"/>
    </row>
    <row r="234" spans="2:35" ht="15.75" x14ac:dyDescent="0.25">
      <c r="B234" s="84"/>
      <c r="C234" s="83"/>
      <c r="D234" s="183"/>
      <c r="E234" s="183"/>
      <c r="F234" s="183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83"/>
      <c r="Z234" s="183"/>
      <c r="AA234" s="183"/>
      <c r="AB234" s="183"/>
      <c r="AC234" s="183"/>
      <c r="AD234" s="183"/>
      <c r="AE234" s="183"/>
      <c r="AF234" s="183"/>
      <c r="AG234" s="183"/>
      <c r="AH234" s="183"/>
      <c r="AI234" s="20"/>
    </row>
    <row r="235" spans="2:35" ht="15.75" x14ac:dyDescent="0.25">
      <c r="B235" s="84"/>
      <c r="C235" s="83"/>
      <c r="D235" s="183"/>
      <c r="E235" s="183"/>
      <c r="F235" s="183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3"/>
      <c r="V235" s="183"/>
      <c r="W235" s="183"/>
      <c r="X235" s="183"/>
      <c r="Y235" s="183"/>
      <c r="Z235" s="183"/>
      <c r="AA235" s="183"/>
      <c r="AB235" s="183"/>
      <c r="AC235" s="183"/>
      <c r="AD235" s="183"/>
      <c r="AE235" s="183"/>
      <c r="AF235" s="183"/>
      <c r="AG235" s="183"/>
      <c r="AH235" s="183"/>
      <c r="AI235" s="20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0000000}">
          <x14:formula1>
            <xm:f>справочник!$E$2:$E$172</xm:f>
          </x14:formula1>
          <xm:sqref>B3:B235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AI234"/>
  <sheetViews>
    <sheetView showZeros="0" zoomScale="70" zoomScaleNormal="70" workbookViewId="0">
      <selection activeCell="U22" sqref="U22"/>
    </sheetView>
  </sheetViews>
  <sheetFormatPr defaultRowHeight="15" x14ac:dyDescent="0.25"/>
  <cols>
    <col min="1" max="1" width="2.140625" customWidth="1"/>
    <col min="2" max="2" width="53.5703125" customWidth="1"/>
    <col min="4" max="34" width="6.7109375" customWidth="1"/>
  </cols>
  <sheetData>
    <row r="1" spans="2:35" ht="15" customHeight="1" thickBot="1" x14ac:dyDescent="0.3">
      <c r="B1" s="67">
        <v>45809</v>
      </c>
      <c r="C1" s="68"/>
      <c r="D1" s="69">
        <f>B1</f>
        <v>45809</v>
      </c>
      <c r="E1" s="69">
        <f>D1+1</f>
        <v>45810</v>
      </c>
      <c r="F1" s="69">
        <f t="shared" ref="F1:AH1" si="0">E1+1</f>
        <v>45811</v>
      </c>
      <c r="G1" s="69">
        <f t="shared" si="0"/>
        <v>45812</v>
      </c>
      <c r="H1" s="69">
        <f t="shared" si="0"/>
        <v>45813</v>
      </c>
      <c r="I1" s="69">
        <f t="shared" si="0"/>
        <v>45814</v>
      </c>
      <c r="J1" s="69">
        <f t="shared" si="0"/>
        <v>45815</v>
      </c>
      <c r="K1" s="69">
        <f t="shared" si="0"/>
        <v>45816</v>
      </c>
      <c r="L1" s="69">
        <f t="shared" si="0"/>
        <v>45817</v>
      </c>
      <c r="M1" s="69">
        <f t="shared" si="0"/>
        <v>45818</v>
      </c>
      <c r="N1" s="69">
        <f t="shared" si="0"/>
        <v>45819</v>
      </c>
      <c r="O1" s="69">
        <f t="shared" si="0"/>
        <v>45820</v>
      </c>
      <c r="P1" s="69">
        <f t="shared" si="0"/>
        <v>45821</v>
      </c>
      <c r="Q1" s="69">
        <f t="shared" si="0"/>
        <v>45822</v>
      </c>
      <c r="R1" s="69">
        <f t="shared" si="0"/>
        <v>45823</v>
      </c>
      <c r="S1" s="69">
        <f t="shared" si="0"/>
        <v>45824</v>
      </c>
      <c r="T1" s="69">
        <f t="shared" si="0"/>
        <v>45825</v>
      </c>
      <c r="U1" s="69">
        <f t="shared" si="0"/>
        <v>45826</v>
      </c>
      <c r="V1" s="69">
        <f t="shared" si="0"/>
        <v>45827</v>
      </c>
      <c r="W1" s="69">
        <f t="shared" si="0"/>
        <v>45828</v>
      </c>
      <c r="X1" s="69">
        <f t="shared" si="0"/>
        <v>45829</v>
      </c>
      <c r="Y1" s="69">
        <f t="shared" si="0"/>
        <v>45830</v>
      </c>
      <c r="Z1" s="69">
        <f t="shared" si="0"/>
        <v>45831</v>
      </c>
      <c r="AA1" s="69">
        <f t="shared" si="0"/>
        <v>45832</v>
      </c>
      <c r="AB1" s="69">
        <f t="shared" si="0"/>
        <v>45833</v>
      </c>
      <c r="AC1" s="69">
        <f t="shared" si="0"/>
        <v>45834</v>
      </c>
      <c r="AD1" s="69">
        <f t="shared" si="0"/>
        <v>45835</v>
      </c>
      <c r="AE1" s="69">
        <f t="shared" si="0"/>
        <v>45836</v>
      </c>
      <c r="AF1" s="69">
        <f t="shared" si="0"/>
        <v>45837</v>
      </c>
      <c r="AG1" s="69">
        <f t="shared" si="0"/>
        <v>45838</v>
      </c>
      <c r="AH1" s="69">
        <f t="shared" si="0"/>
        <v>45839</v>
      </c>
      <c r="AI1" s="70"/>
    </row>
    <row r="2" spans="2:35" ht="15" customHeight="1" thickBot="1" x14ac:dyDescent="0.3">
      <c r="B2" s="71"/>
      <c r="C2" s="68"/>
      <c r="D2" s="72">
        <v>1</v>
      </c>
      <c r="E2" s="73">
        <v>2</v>
      </c>
      <c r="F2" s="73">
        <v>3</v>
      </c>
      <c r="G2" s="73">
        <v>4</v>
      </c>
      <c r="H2" s="73">
        <v>5</v>
      </c>
      <c r="I2" s="73">
        <v>6</v>
      </c>
      <c r="J2" s="73">
        <v>7</v>
      </c>
      <c r="K2" s="73">
        <v>8</v>
      </c>
      <c r="L2" s="73">
        <v>9</v>
      </c>
      <c r="M2" s="73">
        <v>10</v>
      </c>
      <c r="N2" s="73">
        <v>11</v>
      </c>
      <c r="O2" s="73">
        <v>12</v>
      </c>
      <c r="P2" s="73">
        <v>13</v>
      </c>
      <c r="Q2" s="73">
        <v>14</v>
      </c>
      <c r="R2" s="73">
        <v>15</v>
      </c>
      <c r="S2" s="73">
        <v>16</v>
      </c>
      <c r="T2" s="73">
        <v>17</v>
      </c>
      <c r="U2" s="73">
        <v>18</v>
      </c>
      <c r="V2" s="73">
        <v>19</v>
      </c>
      <c r="W2" s="73">
        <v>20</v>
      </c>
      <c r="X2" s="73">
        <v>21</v>
      </c>
      <c r="Y2" s="73">
        <v>22</v>
      </c>
      <c r="Z2" s="73">
        <v>23</v>
      </c>
      <c r="AA2" s="73">
        <v>24</v>
      </c>
      <c r="AB2" s="73">
        <v>25</v>
      </c>
      <c r="AC2" s="73">
        <v>26</v>
      </c>
      <c r="AD2" s="73">
        <v>27</v>
      </c>
      <c r="AE2" s="73">
        <v>28</v>
      </c>
      <c r="AF2" s="73">
        <v>29</v>
      </c>
      <c r="AG2" s="73">
        <v>30</v>
      </c>
      <c r="AH2" s="73">
        <v>31</v>
      </c>
      <c r="AI2" s="70"/>
    </row>
    <row r="3" spans="2:35" ht="15" customHeight="1" x14ac:dyDescent="0.25">
      <c r="B3" s="74" t="s">
        <v>212</v>
      </c>
      <c r="C3" s="75">
        <v>25</v>
      </c>
      <c r="D3" s="76">
        <f>SUMIFS('июнь 2025'!$G$2:$G$2470,'июнь 2025'!$D$2:$D$2470,$B3,'июнь 2025'!$J$2:$J$2470,D$1)</f>
        <v>0</v>
      </c>
      <c r="E3" s="76">
        <f>SUMIFS('июнь 2025'!$G$2:$G$2470,'июнь 2025'!$D$2:$D$2470,$B3,'июнь 2025'!$J$2:$J$2470,E$1)</f>
        <v>0</v>
      </c>
      <c r="F3" s="76">
        <f>SUMIFS('июнь 2025'!$G$2:$G$2470,'июнь 2025'!$D$2:$D$2470,$B3,'июнь 2025'!$J$2:$J$2470,F$1)</f>
        <v>0</v>
      </c>
      <c r="G3" s="76">
        <f>SUMIFS('июнь 2025'!$G$2:$G$2470,'июнь 2025'!$D$2:$D$2470,$B3,'июнь 2025'!$J$2:$J$2470,G$1)</f>
        <v>0</v>
      </c>
      <c r="H3" s="76">
        <f>SUMIFS('июнь 2025'!$G$2:$G$2470,'июнь 2025'!$D$2:$D$2470,$B3,'июнь 2025'!$J$2:$J$2470,H$1)</f>
        <v>0</v>
      </c>
      <c r="I3" s="76">
        <f>SUMIFS('июнь 2025'!$G$2:$G$2470,'июнь 2025'!$D$2:$D$2470,$B3,'июнь 2025'!$J$2:$J$2470,I$1)</f>
        <v>0</v>
      </c>
      <c r="J3" s="76">
        <f>SUMIFS('июнь 2025'!$G$2:$G$2470,'июнь 2025'!$D$2:$D$2470,$B3,'июнь 2025'!$J$2:$J$2470,J$1)</f>
        <v>0</v>
      </c>
      <c r="K3" s="76">
        <f>SUMIFS('июнь 2025'!$G$2:$G$2470,'июнь 2025'!$D$2:$D$2470,$B3,'июнь 2025'!$J$2:$J$2470,K$1)</f>
        <v>0</v>
      </c>
      <c r="L3" s="76">
        <f>SUMIFS('июнь 2025'!$G$2:$G$2470,'июнь 2025'!$D$2:$D$2470,$B3,'июнь 2025'!$J$2:$J$2470,L$1)</f>
        <v>0</v>
      </c>
      <c r="M3" s="76">
        <f>SUMIFS('июнь 2025'!$G$2:$G$2470,'июнь 2025'!$D$2:$D$2470,$B3,'июнь 2025'!$J$2:$J$2470,M$1)</f>
        <v>0</v>
      </c>
      <c r="N3" s="76">
        <f>SUMIFS('июнь 2025'!$G$2:$G$2470,'июнь 2025'!$D$2:$D$2470,$B3,'июнь 2025'!$J$2:$J$2470,N$1)</f>
        <v>800</v>
      </c>
      <c r="O3" s="76">
        <f>SUMIFS('июнь 2025'!$G$2:$G$2470,'июнь 2025'!$D$2:$D$2470,$B3,'июнь 2025'!$J$2:$J$2470,O$1)</f>
        <v>0</v>
      </c>
      <c r="P3" s="76">
        <f>SUMIFS('июнь 2025'!$G$2:$G$2470,'июнь 2025'!$D$2:$D$2470,$B3,'июнь 2025'!$J$2:$J$2470,P$1)</f>
        <v>0</v>
      </c>
      <c r="Q3" s="76">
        <f>SUMIFS('июнь 2025'!$G$2:$G$2470,'июнь 2025'!$D$2:$D$2470,$B3,'июнь 2025'!$J$2:$J$2470,Q$1)</f>
        <v>0</v>
      </c>
      <c r="R3" s="76">
        <f>SUMIFS('июнь 2025'!$G$2:$G$2470,'июнь 2025'!$D$2:$D$2470,$B3,'июнь 2025'!$J$2:$J$2470,R$1)</f>
        <v>0</v>
      </c>
      <c r="S3" s="76">
        <f>SUMIFS('июнь 2025'!$G$2:$G$2470,'июнь 2025'!$D$2:$D$2470,$B3,'июнь 2025'!$J$2:$J$2470,S$1)</f>
        <v>0</v>
      </c>
      <c r="T3" s="76">
        <f>SUMIFS('июнь 2025'!$G$2:$G$2470,'июнь 2025'!$D$2:$D$2470,$B3,'июнь 2025'!$J$2:$J$2470,T$1)</f>
        <v>0</v>
      </c>
      <c r="U3" s="76">
        <f>SUMIFS('июнь 2025'!$G$2:$G$2470,'июнь 2025'!$D$2:$D$2470,$B3,'июнь 2025'!$J$2:$J$2470,U$1)</f>
        <v>0</v>
      </c>
      <c r="V3" s="76">
        <f>SUMIFS('июнь 2025'!$G$2:$G$2470,'июнь 2025'!$D$2:$D$2470,$B3,'июнь 2025'!$J$2:$J$2470,V$1)</f>
        <v>0</v>
      </c>
      <c r="W3" s="76">
        <f>SUMIFS('июнь 2025'!$G$2:$G$2470,'июнь 2025'!$D$2:$D$2470,$B3,'июнь 2025'!$J$2:$J$2470,W$1)</f>
        <v>0</v>
      </c>
      <c r="X3" s="76">
        <f>SUMIFS('июнь 2025'!$G$2:$G$2470,'июнь 2025'!$D$2:$D$2470,$B3,'июнь 2025'!$J$2:$J$2470,X$1)</f>
        <v>0</v>
      </c>
      <c r="Y3" s="76">
        <f>SUMIFS('июнь 2025'!$G$2:$G$2470,'июнь 2025'!$D$2:$D$2470,$B3,'июнь 2025'!$J$2:$J$2470,Y$1)</f>
        <v>0</v>
      </c>
      <c r="Z3" s="76">
        <f>SUMIFS('июнь 2025'!$G$2:$G$2470,'июнь 2025'!$D$2:$D$2470,$B3,'июнь 2025'!$J$2:$J$2470,Z$1)</f>
        <v>0</v>
      </c>
      <c r="AA3" s="76">
        <f>SUMIFS('июнь 2025'!$G$2:$G$2470,'июнь 2025'!$D$2:$D$2470,$B3,'июнь 2025'!$J$2:$J$2470,AA$1)</f>
        <v>0</v>
      </c>
      <c r="AB3" s="76">
        <f>SUMIFS('июнь 2025'!$G$2:$G$2470,'июнь 2025'!$D$2:$D$2470,$B3,'июнь 2025'!$J$2:$J$2470,AB$1)</f>
        <v>0</v>
      </c>
      <c r="AC3" s="76">
        <f>SUMIFS('июнь 2025'!$G$2:$G$2470,'июнь 2025'!$D$2:$D$2470,$B3,'июнь 2025'!$J$2:$J$2470,AC$1)</f>
        <v>0</v>
      </c>
      <c r="AD3" s="76">
        <f>SUMIFS('июнь 2025'!$G$2:$G$2470,'июнь 2025'!$D$2:$D$2470,$B3,'июнь 2025'!$J$2:$J$2470,AD$1)</f>
        <v>0</v>
      </c>
      <c r="AE3" s="76">
        <f>SUMIFS('июнь 2025'!$G$2:$G$2470,'июнь 2025'!$D$2:$D$2470,$B3,'июнь 2025'!$J$2:$J$2470,AE$1)</f>
        <v>0</v>
      </c>
      <c r="AF3" s="76">
        <f>SUMIFS('июнь 2025'!$G$2:$G$2470,'июнь 2025'!$D$2:$D$2470,$B3,'июнь 2025'!$J$2:$J$2470,AF$1)</f>
        <v>0</v>
      </c>
      <c r="AG3" s="76">
        <f>SUMIFS('июнь 2025'!$G$2:$G$2470,'июнь 2025'!$D$2:$D$2470,$B3,'июнь 2025'!$J$2:$J$2470,AG$1)</f>
        <v>0</v>
      </c>
      <c r="AH3" s="76">
        <f>SUMIFS('июнь 2025'!$G$2:$G$2470,'июнь 2025'!$D$2:$D$2470,$B3,'июнь 2025'!$J$2:$J$2470,AH$1)</f>
        <v>0</v>
      </c>
      <c r="AI3" s="48">
        <f t="shared" ref="AI3:AI163" si="1">SUM(D3:AH3)</f>
        <v>800</v>
      </c>
    </row>
    <row r="4" spans="2:35" ht="15" customHeight="1" x14ac:dyDescent="0.25">
      <c r="B4" s="77" t="s">
        <v>214</v>
      </c>
      <c r="C4" s="78">
        <v>25</v>
      </c>
      <c r="D4" s="76">
        <f>SUMIFS('июнь 2025'!$G$2:$G$2470,'июнь 2025'!$D$2:$D$2470,$B4,'июнь 2025'!$J$2:$J$2470,D$1)</f>
        <v>0</v>
      </c>
      <c r="E4" s="76">
        <f>SUMIFS('июнь 2025'!$G$2:$G$2470,'июнь 2025'!$D$2:$D$2470,$B4,'июнь 2025'!$J$2:$J$2470,E$1)</f>
        <v>0</v>
      </c>
      <c r="F4" s="76">
        <f>SUMIFS('июнь 2025'!$G$2:$G$2470,'июнь 2025'!$D$2:$D$2470,$B4,'июнь 2025'!$J$2:$J$2470,F$1)</f>
        <v>0</v>
      </c>
      <c r="G4" s="76">
        <f>SUMIFS('июнь 2025'!$G$2:$G$2470,'июнь 2025'!$D$2:$D$2470,$B4,'июнь 2025'!$J$2:$J$2470,G$1)</f>
        <v>0</v>
      </c>
      <c r="H4" s="76">
        <f>SUMIFS('июнь 2025'!$G$2:$G$2470,'июнь 2025'!$D$2:$D$2470,$B4,'июнь 2025'!$J$2:$J$2470,H$1)</f>
        <v>0</v>
      </c>
      <c r="I4" s="76">
        <f>SUMIFS('июнь 2025'!$G$2:$G$2470,'июнь 2025'!$D$2:$D$2470,$B4,'июнь 2025'!$J$2:$J$2470,I$1)</f>
        <v>0</v>
      </c>
      <c r="J4" s="76">
        <f>SUMIFS('июнь 2025'!$G$2:$G$2470,'июнь 2025'!$D$2:$D$2470,$B4,'июнь 2025'!$J$2:$J$2470,J$1)</f>
        <v>0</v>
      </c>
      <c r="K4" s="76">
        <f>SUMIFS('июнь 2025'!$G$2:$G$2470,'июнь 2025'!$D$2:$D$2470,$B4,'июнь 2025'!$J$2:$J$2470,K$1)</f>
        <v>0</v>
      </c>
      <c r="L4" s="76">
        <f>SUMIFS('июнь 2025'!$G$2:$G$2470,'июнь 2025'!$D$2:$D$2470,$B4,'июнь 2025'!$J$2:$J$2470,L$1)</f>
        <v>0</v>
      </c>
      <c r="M4" s="76">
        <f>SUMIFS('июнь 2025'!$G$2:$G$2470,'июнь 2025'!$D$2:$D$2470,$B4,'июнь 2025'!$J$2:$J$2470,M$1)</f>
        <v>0</v>
      </c>
      <c r="N4" s="76">
        <f>SUMIFS('июнь 2025'!$G$2:$G$2470,'июнь 2025'!$D$2:$D$2470,$B4,'июнь 2025'!$J$2:$J$2470,N$1)</f>
        <v>0</v>
      </c>
      <c r="O4" s="76">
        <f>SUMIFS('июнь 2025'!$G$2:$G$2470,'июнь 2025'!$D$2:$D$2470,$B4,'июнь 2025'!$J$2:$J$2470,O$1)</f>
        <v>0</v>
      </c>
      <c r="P4" s="76">
        <f>SUMIFS('июнь 2025'!$G$2:$G$2470,'июнь 2025'!$D$2:$D$2470,$B4,'июнь 2025'!$J$2:$J$2470,P$1)</f>
        <v>0</v>
      </c>
      <c r="Q4" s="76">
        <f>SUMIFS('июнь 2025'!$G$2:$G$2470,'июнь 2025'!$D$2:$D$2470,$B4,'июнь 2025'!$J$2:$J$2470,Q$1)</f>
        <v>0</v>
      </c>
      <c r="R4" s="76">
        <f>SUMIFS('июнь 2025'!$G$2:$G$2470,'июнь 2025'!$D$2:$D$2470,$B4,'июнь 2025'!$J$2:$J$2470,R$1)</f>
        <v>0</v>
      </c>
      <c r="S4" s="76">
        <f>SUMIFS('июнь 2025'!$G$2:$G$2470,'июнь 2025'!$D$2:$D$2470,$B4,'июнь 2025'!$J$2:$J$2470,S$1)</f>
        <v>0</v>
      </c>
      <c r="T4" s="76">
        <f>SUMIFS('июнь 2025'!$G$2:$G$2470,'июнь 2025'!$D$2:$D$2470,$B4,'июнь 2025'!$J$2:$J$2470,T$1)</f>
        <v>0</v>
      </c>
      <c r="U4" s="76">
        <f>SUMIFS('июнь 2025'!$G$2:$G$2470,'июнь 2025'!$D$2:$D$2470,$B4,'июнь 2025'!$J$2:$J$2470,U$1)</f>
        <v>0</v>
      </c>
      <c r="V4" s="76">
        <f>SUMIFS('июнь 2025'!$G$2:$G$2470,'июнь 2025'!$D$2:$D$2470,$B4,'июнь 2025'!$J$2:$J$2470,V$1)</f>
        <v>0</v>
      </c>
      <c r="W4" s="76">
        <f>SUMIFS('июнь 2025'!$G$2:$G$2470,'июнь 2025'!$D$2:$D$2470,$B4,'июнь 2025'!$J$2:$J$2470,W$1)</f>
        <v>0</v>
      </c>
      <c r="X4" s="76">
        <f>SUMIFS('июнь 2025'!$G$2:$G$2470,'июнь 2025'!$D$2:$D$2470,$B4,'июнь 2025'!$J$2:$J$2470,X$1)</f>
        <v>0</v>
      </c>
      <c r="Y4" s="76">
        <f>SUMIFS('июнь 2025'!$G$2:$G$2470,'июнь 2025'!$D$2:$D$2470,$B4,'июнь 2025'!$J$2:$J$2470,Y$1)</f>
        <v>0</v>
      </c>
      <c r="Z4" s="76">
        <f>SUMIFS('июнь 2025'!$G$2:$G$2470,'июнь 2025'!$D$2:$D$2470,$B4,'июнь 2025'!$J$2:$J$2470,Z$1)</f>
        <v>0</v>
      </c>
      <c r="AA4" s="76">
        <f>SUMIFS('июнь 2025'!$G$2:$G$2470,'июнь 2025'!$D$2:$D$2470,$B4,'июнь 2025'!$J$2:$J$2470,AA$1)</f>
        <v>0</v>
      </c>
      <c r="AB4" s="76">
        <f>SUMIFS('июнь 2025'!$G$2:$G$2470,'июнь 2025'!$D$2:$D$2470,$B4,'июнь 2025'!$J$2:$J$2470,AB$1)</f>
        <v>0</v>
      </c>
      <c r="AC4" s="76">
        <f>SUMIFS('июнь 2025'!$G$2:$G$2470,'июнь 2025'!$D$2:$D$2470,$B4,'июнь 2025'!$J$2:$J$2470,AC$1)</f>
        <v>0</v>
      </c>
      <c r="AD4" s="76">
        <f>SUMIFS('июнь 2025'!$G$2:$G$2470,'июнь 2025'!$D$2:$D$2470,$B4,'июнь 2025'!$J$2:$J$2470,AD$1)</f>
        <v>0</v>
      </c>
      <c r="AE4" s="76">
        <f>SUMIFS('июнь 2025'!$G$2:$G$2470,'июнь 2025'!$D$2:$D$2470,$B4,'июнь 2025'!$J$2:$J$2470,AE$1)</f>
        <v>0</v>
      </c>
      <c r="AF4" s="76">
        <f>SUMIFS('июнь 2025'!$G$2:$G$2470,'июнь 2025'!$D$2:$D$2470,$B4,'июнь 2025'!$J$2:$J$2470,AF$1)</f>
        <v>0</v>
      </c>
      <c r="AG4" s="76">
        <f>SUMIFS('июнь 2025'!$G$2:$G$2470,'июнь 2025'!$D$2:$D$2470,$B4,'июнь 2025'!$J$2:$J$2470,AG$1)</f>
        <v>0</v>
      </c>
      <c r="AH4" s="76">
        <f>SUMIFS('июнь 2025'!$G$2:$G$2470,'июнь 2025'!$D$2:$D$2470,$B4,'июнь 2025'!$J$2:$J$2470,AH$1)</f>
        <v>0</v>
      </c>
      <c r="AI4" s="20">
        <f t="shared" si="1"/>
        <v>0</v>
      </c>
    </row>
    <row r="5" spans="2:35" ht="15" customHeight="1" x14ac:dyDescent="0.25">
      <c r="B5" s="77" t="s">
        <v>216</v>
      </c>
      <c r="C5" s="78">
        <v>25</v>
      </c>
      <c r="D5" s="76">
        <f>SUMIFS('июнь 2025'!$G$2:$G$2470,'июнь 2025'!$D$2:$D$2470,$B5,'июнь 2025'!$J$2:$J$2470,D$1)</f>
        <v>0</v>
      </c>
      <c r="E5" s="76">
        <f>SUMIFS('июнь 2025'!$G$2:$G$2470,'июнь 2025'!$D$2:$D$2470,$B5,'июнь 2025'!$J$2:$J$2470,E$1)</f>
        <v>0</v>
      </c>
      <c r="F5" s="76">
        <f>SUMIFS('июнь 2025'!$G$2:$G$2470,'июнь 2025'!$D$2:$D$2470,$B5,'июнь 2025'!$J$2:$J$2470,F$1)</f>
        <v>0</v>
      </c>
      <c r="G5" s="76">
        <f>SUMIFS('июнь 2025'!$G$2:$G$2470,'июнь 2025'!$D$2:$D$2470,$B5,'июнь 2025'!$J$2:$J$2470,G$1)</f>
        <v>0</v>
      </c>
      <c r="H5" s="76">
        <f>SUMIFS('июнь 2025'!$G$2:$G$2470,'июнь 2025'!$D$2:$D$2470,$B5,'июнь 2025'!$J$2:$J$2470,H$1)</f>
        <v>0</v>
      </c>
      <c r="I5" s="76">
        <f>SUMIFS('июнь 2025'!$G$2:$G$2470,'июнь 2025'!$D$2:$D$2470,$B5,'июнь 2025'!$J$2:$J$2470,I$1)</f>
        <v>0</v>
      </c>
      <c r="J5" s="76">
        <f>SUMIFS('июнь 2025'!$G$2:$G$2470,'июнь 2025'!$D$2:$D$2470,$B5,'июнь 2025'!$J$2:$J$2470,J$1)</f>
        <v>0</v>
      </c>
      <c r="K5" s="76">
        <f>SUMIFS('июнь 2025'!$G$2:$G$2470,'июнь 2025'!$D$2:$D$2470,$B5,'июнь 2025'!$J$2:$J$2470,K$1)</f>
        <v>0</v>
      </c>
      <c r="L5" s="76">
        <f>SUMIFS('июнь 2025'!$G$2:$G$2470,'июнь 2025'!$D$2:$D$2470,$B5,'июнь 2025'!$J$2:$J$2470,L$1)</f>
        <v>0</v>
      </c>
      <c r="M5" s="76">
        <f>SUMIFS('июнь 2025'!$G$2:$G$2470,'июнь 2025'!$D$2:$D$2470,$B5,'июнь 2025'!$J$2:$J$2470,M$1)</f>
        <v>0</v>
      </c>
      <c r="N5" s="76">
        <f>SUMIFS('июнь 2025'!$G$2:$G$2470,'июнь 2025'!$D$2:$D$2470,$B5,'июнь 2025'!$J$2:$J$2470,N$1)</f>
        <v>0</v>
      </c>
      <c r="O5" s="76">
        <f>SUMIFS('июнь 2025'!$G$2:$G$2470,'июнь 2025'!$D$2:$D$2470,$B5,'июнь 2025'!$J$2:$J$2470,O$1)</f>
        <v>0</v>
      </c>
      <c r="P5" s="76">
        <f>SUMIFS('июнь 2025'!$G$2:$G$2470,'июнь 2025'!$D$2:$D$2470,$B5,'июнь 2025'!$J$2:$J$2470,P$1)</f>
        <v>0</v>
      </c>
      <c r="Q5" s="76">
        <f>SUMIFS('июнь 2025'!$G$2:$G$2470,'июнь 2025'!$D$2:$D$2470,$B5,'июнь 2025'!$J$2:$J$2470,Q$1)</f>
        <v>0</v>
      </c>
      <c r="R5" s="76">
        <f>SUMIFS('июнь 2025'!$G$2:$G$2470,'июнь 2025'!$D$2:$D$2470,$B5,'июнь 2025'!$J$2:$J$2470,R$1)</f>
        <v>0</v>
      </c>
      <c r="S5" s="76">
        <f>SUMIFS('июнь 2025'!$G$2:$G$2470,'июнь 2025'!$D$2:$D$2470,$B5,'июнь 2025'!$J$2:$J$2470,S$1)</f>
        <v>0</v>
      </c>
      <c r="T5" s="76">
        <f>SUMIFS('июнь 2025'!$G$2:$G$2470,'июнь 2025'!$D$2:$D$2470,$B5,'июнь 2025'!$J$2:$J$2470,T$1)</f>
        <v>0</v>
      </c>
      <c r="U5" s="76">
        <f>SUMIFS('июнь 2025'!$G$2:$G$2470,'июнь 2025'!$D$2:$D$2470,$B5,'июнь 2025'!$J$2:$J$2470,U$1)</f>
        <v>0</v>
      </c>
      <c r="V5" s="76">
        <f>SUMIFS('июнь 2025'!$G$2:$G$2470,'июнь 2025'!$D$2:$D$2470,$B5,'июнь 2025'!$J$2:$J$2470,V$1)</f>
        <v>0</v>
      </c>
      <c r="W5" s="76">
        <f>SUMIFS('июнь 2025'!$G$2:$G$2470,'июнь 2025'!$D$2:$D$2470,$B5,'июнь 2025'!$J$2:$J$2470,W$1)</f>
        <v>0</v>
      </c>
      <c r="X5" s="76">
        <f>SUMIFS('июнь 2025'!$G$2:$G$2470,'июнь 2025'!$D$2:$D$2470,$B5,'июнь 2025'!$J$2:$J$2470,X$1)</f>
        <v>0</v>
      </c>
      <c r="Y5" s="76">
        <f>SUMIFS('июнь 2025'!$G$2:$G$2470,'июнь 2025'!$D$2:$D$2470,$B5,'июнь 2025'!$J$2:$J$2470,Y$1)</f>
        <v>0</v>
      </c>
      <c r="Z5" s="76">
        <f>SUMIFS('июнь 2025'!$G$2:$G$2470,'июнь 2025'!$D$2:$D$2470,$B5,'июнь 2025'!$J$2:$J$2470,Z$1)</f>
        <v>0</v>
      </c>
      <c r="AA5" s="76">
        <f>SUMIFS('июнь 2025'!$G$2:$G$2470,'июнь 2025'!$D$2:$D$2470,$B5,'июнь 2025'!$J$2:$J$2470,AA$1)</f>
        <v>0</v>
      </c>
      <c r="AB5" s="76">
        <f>SUMIFS('июнь 2025'!$G$2:$G$2470,'июнь 2025'!$D$2:$D$2470,$B5,'июнь 2025'!$J$2:$J$2470,AB$1)</f>
        <v>0</v>
      </c>
      <c r="AC5" s="76">
        <f>SUMIFS('июнь 2025'!$G$2:$G$2470,'июнь 2025'!$D$2:$D$2470,$B5,'июнь 2025'!$J$2:$J$2470,AC$1)</f>
        <v>0</v>
      </c>
      <c r="AD5" s="76">
        <f>SUMIFS('июнь 2025'!$G$2:$G$2470,'июнь 2025'!$D$2:$D$2470,$B5,'июнь 2025'!$J$2:$J$2470,AD$1)</f>
        <v>0</v>
      </c>
      <c r="AE5" s="76">
        <f>SUMIFS('июнь 2025'!$G$2:$G$2470,'июнь 2025'!$D$2:$D$2470,$B5,'июнь 2025'!$J$2:$J$2470,AE$1)</f>
        <v>0</v>
      </c>
      <c r="AF5" s="76">
        <f>SUMIFS('июнь 2025'!$G$2:$G$2470,'июнь 2025'!$D$2:$D$2470,$B5,'июнь 2025'!$J$2:$J$2470,AF$1)</f>
        <v>0</v>
      </c>
      <c r="AG5" s="76">
        <f>SUMIFS('июнь 2025'!$G$2:$G$2470,'июнь 2025'!$D$2:$D$2470,$B5,'июнь 2025'!$J$2:$J$2470,AG$1)</f>
        <v>0</v>
      </c>
      <c r="AH5" s="76">
        <f>SUMIFS('июнь 2025'!$G$2:$G$2470,'июнь 2025'!$D$2:$D$2470,$B5,'июнь 2025'!$J$2:$J$2470,AH$1)</f>
        <v>0</v>
      </c>
      <c r="AI5" s="20">
        <f t="shared" si="1"/>
        <v>0</v>
      </c>
    </row>
    <row r="6" spans="2:35" ht="15" customHeight="1" x14ac:dyDescent="0.25">
      <c r="B6" s="77" t="s">
        <v>218</v>
      </c>
      <c r="C6" s="78">
        <v>22.7</v>
      </c>
      <c r="D6" s="76">
        <f>SUMIFS('июнь 2025'!$G$2:$G$2470,'июнь 2025'!$D$2:$D$2470,$B6,'июнь 2025'!$J$2:$J$2470,D$1)</f>
        <v>0</v>
      </c>
      <c r="E6" s="76">
        <f>SUMIFS('июнь 2025'!$G$2:$G$2470,'июнь 2025'!$D$2:$D$2470,$B6,'июнь 2025'!$J$2:$J$2470,E$1)</f>
        <v>0</v>
      </c>
      <c r="F6" s="76">
        <f>SUMIFS('июнь 2025'!$G$2:$G$2470,'июнь 2025'!$D$2:$D$2470,$B6,'июнь 2025'!$J$2:$J$2470,F$1)</f>
        <v>0</v>
      </c>
      <c r="G6" s="76">
        <f>SUMIFS('июнь 2025'!$G$2:$G$2470,'июнь 2025'!$D$2:$D$2470,$B6,'июнь 2025'!$J$2:$J$2470,G$1)</f>
        <v>0</v>
      </c>
      <c r="H6" s="76">
        <f>SUMIFS('июнь 2025'!$G$2:$G$2470,'июнь 2025'!$D$2:$D$2470,$B6,'июнь 2025'!$J$2:$J$2470,H$1)</f>
        <v>0</v>
      </c>
      <c r="I6" s="76">
        <f>SUMIFS('июнь 2025'!$G$2:$G$2470,'июнь 2025'!$D$2:$D$2470,$B6,'июнь 2025'!$J$2:$J$2470,I$1)</f>
        <v>0</v>
      </c>
      <c r="J6" s="76">
        <f>SUMIFS('июнь 2025'!$G$2:$G$2470,'июнь 2025'!$D$2:$D$2470,$B6,'июнь 2025'!$J$2:$J$2470,J$1)</f>
        <v>0</v>
      </c>
      <c r="K6" s="76">
        <f>SUMIFS('июнь 2025'!$G$2:$G$2470,'июнь 2025'!$D$2:$D$2470,$B6,'июнь 2025'!$J$2:$J$2470,K$1)</f>
        <v>0</v>
      </c>
      <c r="L6" s="76">
        <f>SUMIFS('июнь 2025'!$G$2:$G$2470,'июнь 2025'!$D$2:$D$2470,$B6,'июнь 2025'!$J$2:$J$2470,L$1)</f>
        <v>0</v>
      </c>
      <c r="M6" s="76">
        <f>SUMIFS('июнь 2025'!$G$2:$G$2470,'июнь 2025'!$D$2:$D$2470,$B6,'июнь 2025'!$J$2:$J$2470,M$1)</f>
        <v>0</v>
      </c>
      <c r="N6" s="76">
        <f>SUMIFS('июнь 2025'!$G$2:$G$2470,'июнь 2025'!$D$2:$D$2470,$B6,'июнь 2025'!$J$2:$J$2470,N$1)</f>
        <v>0</v>
      </c>
      <c r="O6" s="76">
        <f>SUMIFS('июнь 2025'!$G$2:$G$2470,'июнь 2025'!$D$2:$D$2470,$B6,'июнь 2025'!$J$2:$J$2470,O$1)</f>
        <v>0</v>
      </c>
      <c r="P6" s="76">
        <f>SUMIFS('июнь 2025'!$G$2:$G$2470,'июнь 2025'!$D$2:$D$2470,$B6,'июнь 2025'!$J$2:$J$2470,P$1)</f>
        <v>0</v>
      </c>
      <c r="Q6" s="76">
        <f>SUMIFS('июнь 2025'!$G$2:$G$2470,'июнь 2025'!$D$2:$D$2470,$B6,'июнь 2025'!$J$2:$J$2470,Q$1)</f>
        <v>0</v>
      </c>
      <c r="R6" s="76">
        <f>SUMIFS('июнь 2025'!$G$2:$G$2470,'июнь 2025'!$D$2:$D$2470,$B6,'июнь 2025'!$J$2:$J$2470,R$1)</f>
        <v>0</v>
      </c>
      <c r="S6" s="76">
        <f>SUMIFS('июнь 2025'!$G$2:$G$2470,'июнь 2025'!$D$2:$D$2470,$B6,'июнь 2025'!$J$2:$J$2470,S$1)</f>
        <v>0</v>
      </c>
      <c r="T6" s="76">
        <f>SUMIFS('июнь 2025'!$G$2:$G$2470,'июнь 2025'!$D$2:$D$2470,$B6,'июнь 2025'!$J$2:$J$2470,T$1)</f>
        <v>0</v>
      </c>
      <c r="U6" s="76">
        <f>SUMIFS('июнь 2025'!$G$2:$G$2470,'июнь 2025'!$D$2:$D$2470,$B6,'июнь 2025'!$J$2:$J$2470,U$1)</f>
        <v>0</v>
      </c>
      <c r="V6" s="76">
        <f>SUMIFS('июнь 2025'!$G$2:$G$2470,'июнь 2025'!$D$2:$D$2470,$B6,'июнь 2025'!$J$2:$J$2470,V$1)</f>
        <v>0</v>
      </c>
      <c r="W6" s="76">
        <f>SUMIFS('июнь 2025'!$G$2:$G$2470,'июнь 2025'!$D$2:$D$2470,$B6,'июнь 2025'!$J$2:$J$2470,W$1)</f>
        <v>0</v>
      </c>
      <c r="X6" s="76">
        <f>SUMIFS('июнь 2025'!$G$2:$G$2470,'июнь 2025'!$D$2:$D$2470,$B6,'июнь 2025'!$J$2:$J$2470,X$1)</f>
        <v>0</v>
      </c>
      <c r="Y6" s="76">
        <f>SUMIFS('июнь 2025'!$G$2:$G$2470,'июнь 2025'!$D$2:$D$2470,$B6,'июнь 2025'!$J$2:$J$2470,Y$1)</f>
        <v>0</v>
      </c>
      <c r="Z6" s="76">
        <f>SUMIFS('июнь 2025'!$G$2:$G$2470,'июнь 2025'!$D$2:$D$2470,$B6,'июнь 2025'!$J$2:$J$2470,Z$1)</f>
        <v>0</v>
      </c>
      <c r="AA6" s="76">
        <f>SUMIFS('июнь 2025'!$G$2:$G$2470,'июнь 2025'!$D$2:$D$2470,$B6,'июнь 2025'!$J$2:$J$2470,AA$1)</f>
        <v>0</v>
      </c>
      <c r="AB6" s="76">
        <f>SUMIFS('июнь 2025'!$G$2:$G$2470,'июнь 2025'!$D$2:$D$2470,$B6,'июнь 2025'!$J$2:$J$2470,AB$1)</f>
        <v>0</v>
      </c>
      <c r="AC6" s="76">
        <f>SUMIFS('июнь 2025'!$G$2:$G$2470,'июнь 2025'!$D$2:$D$2470,$B6,'июнь 2025'!$J$2:$J$2470,AC$1)</f>
        <v>0</v>
      </c>
      <c r="AD6" s="76">
        <f>SUMIFS('июнь 2025'!$G$2:$G$2470,'июнь 2025'!$D$2:$D$2470,$B6,'июнь 2025'!$J$2:$J$2470,AD$1)</f>
        <v>0</v>
      </c>
      <c r="AE6" s="76">
        <f>SUMIFS('июнь 2025'!$G$2:$G$2470,'июнь 2025'!$D$2:$D$2470,$B6,'июнь 2025'!$J$2:$J$2470,AE$1)</f>
        <v>0</v>
      </c>
      <c r="AF6" s="76">
        <f>SUMIFS('июнь 2025'!$G$2:$G$2470,'июнь 2025'!$D$2:$D$2470,$B6,'июнь 2025'!$J$2:$J$2470,AF$1)</f>
        <v>0</v>
      </c>
      <c r="AG6" s="76">
        <f>SUMIFS('июнь 2025'!$G$2:$G$2470,'июнь 2025'!$D$2:$D$2470,$B6,'июнь 2025'!$J$2:$J$2470,AG$1)</f>
        <v>0</v>
      </c>
      <c r="AH6" s="76">
        <f>SUMIFS('июнь 2025'!$G$2:$G$2470,'июнь 2025'!$D$2:$D$2470,$B6,'июнь 2025'!$J$2:$J$2470,AH$1)</f>
        <v>0</v>
      </c>
      <c r="AI6" s="20">
        <f t="shared" si="1"/>
        <v>0</v>
      </c>
    </row>
    <row r="7" spans="2:35" ht="15" customHeight="1" x14ac:dyDescent="0.25">
      <c r="B7" s="77" t="s">
        <v>220</v>
      </c>
      <c r="C7" s="78">
        <v>22.7</v>
      </c>
      <c r="D7" s="76">
        <f>SUMIFS('июнь 2025'!$G$2:$G$2470,'июнь 2025'!$D$2:$D$2470,$B7,'июнь 2025'!$J$2:$J$2470,D$1)</f>
        <v>0</v>
      </c>
      <c r="E7" s="76">
        <f>SUMIFS('июнь 2025'!$G$2:$G$2470,'июнь 2025'!$D$2:$D$2470,$B7,'июнь 2025'!$J$2:$J$2470,E$1)</f>
        <v>0</v>
      </c>
      <c r="F7" s="76">
        <f>SUMIFS('июнь 2025'!$G$2:$G$2470,'июнь 2025'!$D$2:$D$2470,$B7,'июнь 2025'!$J$2:$J$2470,F$1)</f>
        <v>0</v>
      </c>
      <c r="G7" s="76">
        <f>SUMIFS('июнь 2025'!$G$2:$G$2470,'июнь 2025'!$D$2:$D$2470,$B7,'июнь 2025'!$J$2:$J$2470,G$1)</f>
        <v>0</v>
      </c>
      <c r="H7" s="76">
        <f>SUMIFS('июнь 2025'!$G$2:$G$2470,'июнь 2025'!$D$2:$D$2470,$B7,'июнь 2025'!$J$2:$J$2470,H$1)</f>
        <v>0</v>
      </c>
      <c r="I7" s="76">
        <f>SUMIFS('июнь 2025'!$G$2:$G$2470,'июнь 2025'!$D$2:$D$2470,$B7,'июнь 2025'!$J$2:$J$2470,I$1)</f>
        <v>0</v>
      </c>
      <c r="J7" s="76">
        <f>SUMIFS('июнь 2025'!$G$2:$G$2470,'июнь 2025'!$D$2:$D$2470,$B7,'июнь 2025'!$J$2:$J$2470,J$1)</f>
        <v>0</v>
      </c>
      <c r="K7" s="76">
        <f>SUMIFS('июнь 2025'!$G$2:$G$2470,'июнь 2025'!$D$2:$D$2470,$B7,'июнь 2025'!$J$2:$J$2470,K$1)</f>
        <v>0</v>
      </c>
      <c r="L7" s="76">
        <f>SUMIFS('июнь 2025'!$G$2:$G$2470,'июнь 2025'!$D$2:$D$2470,$B7,'июнь 2025'!$J$2:$J$2470,L$1)</f>
        <v>0</v>
      </c>
      <c r="M7" s="76">
        <f>SUMIFS('июнь 2025'!$G$2:$G$2470,'июнь 2025'!$D$2:$D$2470,$B7,'июнь 2025'!$J$2:$J$2470,M$1)</f>
        <v>0</v>
      </c>
      <c r="N7" s="76">
        <f>SUMIFS('июнь 2025'!$G$2:$G$2470,'июнь 2025'!$D$2:$D$2470,$B7,'июнь 2025'!$J$2:$J$2470,N$1)</f>
        <v>0</v>
      </c>
      <c r="O7" s="76">
        <f>SUMIFS('июнь 2025'!$G$2:$G$2470,'июнь 2025'!$D$2:$D$2470,$B7,'июнь 2025'!$J$2:$J$2470,O$1)</f>
        <v>0</v>
      </c>
      <c r="P7" s="76">
        <f>SUMIFS('июнь 2025'!$G$2:$G$2470,'июнь 2025'!$D$2:$D$2470,$B7,'июнь 2025'!$J$2:$J$2470,P$1)</f>
        <v>0</v>
      </c>
      <c r="Q7" s="76">
        <f>SUMIFS('июнь 2025'!$G$2:$G$2470,'июнь 2025'!$D$2:$D$2470,$B7,'июнь 2025'!$J$2:$J$2470,Q$1)</f>
        <v>0</v>
      </c>
      <c r="R7" s="76">
        <f>SUMIFS('июнь 2025'!$G$2:$G$2470,'июнь 2025'!$D$2:$D$2470,$B7,'июнь 2025'!$J$2:$J$2470,R$1)</f>
        <v>0</v>
      </c>
      <c r="S7" s="76">
        <f>SUMIFS('июнь 2025'!$G$2:$G$2470,'июнь 2025'!$D$2:$D$2470,$B7,'июнь 2025'!$J$2:$J$2470,S$1)</f>
        <v>0</v>
      </c>
      <c r="T7" s="76">
        <f>SUMIFS('июнь 2025'!$G$2:$G$2470,'июнь 2025'!$D$2:$D$2470,$B7,'июнь 2025'!$J$2:$J$2470,T$1)</f>
        <v>0</v>
      </c>
      <c r="U7" s="76">
        <f>SUMIFS('июнь 2025'!$G$2:$G$2470,'июнь 2025'!$D$2:$D$2470,$B7,'июнь 2025'!$J$2:$J$2470,U$1)</f>
        <v>0</v>
      </c>
      <c r="V7" s="76">
        <f>SUMIFS('июнь 2025'!$G$2:$G$2470,'июнь 2025'!$D$2:$D$2470,$B7,'июнь 2025'!$J$2:$J$2470,V$1)</f>
        <v>0</v>
      </c>
      <c r="W7" s="76">
        <f>SUMIFS('июнь 2025'!$G$2:$G$2470,'июнь 2025'!$D$2:$D$2470,$B7,'июнь 2025'!$J$2:$J$2470,W$1)</f>
        <v>0</v>
      </c>
      <c r="X7" s="76">
        <f>SUMIFS('июнь 2025'!$G$2:$G$2470,'июнь 2025'!$D$2:$D$2470,$B7,'июнь 2025'!$J$2:$J$2470,X$1)</f>
        <v>0</v>
      </c>
      <c r="Y7" s="76">
        <f>SUMIFS('июнь 2025'!$G$2:$G$2470,'июнь 2025'!$D$2:$D$2470,$B7,'июнь 2025'!$J$2:$J$2470,Y$1)</f>
        <v>0</v>
      </c>
      <c r="Z7" s="76">
        <f>SUMIFS('июнь 2025'!$G$2:$G$2470,'июнь 2025'!$D$2:$D$2470,$B7,'июнь 2025'!$J$2:$J$2470,Z$1)</f>
        <v>0</v>
      </c>
      <c r="AA7" s="76">
        <f>SUMIFS('июнь 2025'!$G$2:$G$2470,'июнь 2025'!$D$2:$D$2470,$B7,'июнь 2025'!$J$2:$J$2470,AA$1)</f>
        <v>0</v>
      </c>
      <c r="AB7" s="76">
        <f>SUMIFS('июнь 2025'!$G$2:$G$2470,'июнь 2025'!$D$2:$D$2470,$B7,'июнь 2025'!$J$2:$J$2470,AB$1)</f>
        <v>0</v>
      </c>
      <c r="AC7" s="76">
        <f>SUMIFS('июнь 2025'!$G$2:$G$2470,'июнь 2025'!$D$2:$D$2470,$B7,'июнь 2025'!$J$2:$J$2470,AC$1)</f>
        <v>0</v>
      </c>
      <c r="AD7" s="76">
        <f>SUMIFS('июнь 2025'!$G$2:$G$2470,'июнь 2025'!$D$2:$D$2470,$B7,'июнь 2025'!$J$2:$J$2470,AD$1)</f>
        <v>0</v>
      </c>
      <c r="AE7" s="76">
        <f>SUMIFS('июнь 2025'!$G$2:$G$2470,'июнь 2025'!$D$2:$D$2470,$B7,'июнь 2025'!$J$2:$J$2470,AE$1)</f>
        <v>0</v>
      </c>
      <c r="AF7" s="76">
        <f>SUMIFS('июнь 2025'!$G$2:$G$2470,'июнь 2025'!$D$2:$D$2470,$B7,'июнь 2025'!$J$2:$J$2470,AF$1)</f>
        <v>0</v>
      </c>
      <c r="AG7" s="76">
        <f>SUMIFS('июнь 2025'!$G$2:$G$2470,'июнь 2025'!$D$2:$D$2470,$B7,'июнь 2025'!$J$2:$J$2470,AG$1)</f>
        <v>0</v>
      </c>
      <c r="AH7" s="76">
        <f>SUMIFS('июнь 2025'!$G$2:$G$2470,'июнь 2025'!$D$2:$D$2470,$B7,'июнь 2025'!$J$2:$J$2470,AH$1)</f>
        <v>0</v>
      </c>
      <c r="AI7" s="20">
        <f t="shared" si="1"/>
        <v>0</v>
      </c>
    </row>
    <row r="8" spans="2:35" ht="15" customHeight="1" x14ac:dyDescent="0.25">
      <c r="B8" s="79" t="s">
        <v>222</v>
      </c>
      <c r="C8" s="78">
        <v>25</v>
      </c>
      <c r="D8" s="76">
        <f>SUMIFS('июнь 2025'!$G$2:$G$2470,'июнь 2025'!$D$2:$D$2470,$B8,'июнь 2025'!$J$2:$J$2470,D$1)</f>
        <v>0</v>
      </c>
      <c r="E8" s="76">
        <f>SUMIFS('июнь 2025'!$G$2:$G$2470,'июнь 2025'!$D$2:$D$2470,$B8,'июнь 2025'!$J$2:$J$2470,E$1)</f>
        <v>800</v>
      </c>
      <c r="F8" s="76">
        <f>SUMIFS('июнь 2025'!$G$2:$G$2470,'июнь 2025'!$D$2:$D$2470,$B8,'июнь 2025'!$J$2:$J$2470,F$1)</f>
        <v>800</v>
      </c>
      <c r="G8" s="76">
        <f>SUMIFS('июнь 2025'!$G$2:$G$2470,'июнь 2025'!$D$2:$D$2470,$B8,'июнь 2025'!$J$2:$J$2470,G$1)</f>
        <v>0</v>
      </c>
      <c r="H8" s="76">
        <f>SUMIFS('июнь 2025'!$G$2:$G$2470,'июнь 2025'!$D$2:$D$2470,$B8,'июнь 2025'!$J$2:$J$2470,H$1)</f>
        <v>0</v>
      </c>
      <c r="I8" s="76">
        <f>SUMIFS('июнь 2025'!$G$2:$G$2470,'июнь 2025'!$D$2:$D$2470,$B8,'июнь 2025'!$J$2:$J$2470,I$1)</f>
        <v>560</v>
      </c>
      <c r="J8" s="76">
        <f>SUMIFS('июнь 2025'!$G$2:$G$2470,'июнь 2025'!$D$2:$D$2470,$B8,'июнь 2025'!$J$2:$J$2470,J$1)</f>
        <v>0</v>
      </c>
      <c r="K8" s="76">
        <f>SUMIFS('июнь 2025'!$G$2:$G$2470,'июнь 2025'!$D$2:$D$2470,$B8,'июнь 2025'!$J$2:$J$2470,K$1)</f>
        <v>0</v>
      </c>
      <c r="L8" s="76">
        <f>SUMIFS('июнь 2025'!$G$2:$G$2470,'июнь 2025'!$D$2:$D$2470,$B8,'июнь 2025'!$J$2:$J$2470,L$1)</f>
        <v>0</v>
      </c>
      <c r="M8" s="76">
        <f>SUMIFS('июнь 2025'!$G$2:$G$2470,'июнь 2025'!$D$2:$D$2470,$B8,'июнь 2025'!$J$2:$J$2470,M$1)</f>
        <v>0</v>
      </c>
      <c r="N8" s="76">
        <f>SUMIFS('июнь 2025'!$G$2:$G$2470,'июнь 2025'!$D$2:$D$2470,$B8,'июнь 2025'!$J$2:$J$2470,N$1)</f>
        <v>0</v>
      </c>
      <c r="O8" s="76">
        <f>SUMIFS('июнь 2025'!$G$2:$G$2470,'июнь 2025'!$D$2:$D$2470,$B8,'июнь 2025'!$J$2:$J$2470,O$1)</f>
        <v>0</v>
      </c>
      <c r="P8" s="76">
        <f>SUMIFS('июнь 2025'!$G$2:$G$2470,'июнь 2025'!$D$2:$D$2470,$B8,'июнь 2025'!$J$2:$J$2470,P$1)</f>
        <v>0</v>
      </c>
      <c r="Q8" s="76">
        <f>SUMIFS('июнь 2025'!$G$2:$G$2470,'июнь 2025'!$D$2:$D$2470,$B8,'июнь 2025'!$J$2:$J$2470,Q$1)</f>
        <v>0</v>
      </c>
      <c r="R8" s="76">
        <f>SUMIFS('июнь 2025'!$G$2:$G$2470,'июнь 2025'!$D$2:$D$2470,$B8,'июнь 2025'!$J$2:$J$2470,R$1)</f>
        <v>0</v>
      </c>
      <c r="S8" s="76">
        <f>SUMIFS('июнь 2025'!$G$2:$G$2470,'июнь 2025'!$D$2:$D$2470,$B8,'июнь 2025'!$J$2:$J$2470,S$1)</f>
        <v>0</v>
      </c>
      <c r="T8" s="76">
        <f>SUMIFS('июнь 2025'!$G$2:$G$2470,'июнь 2025'!$D$2:$D$2470,$B8,'июнь 2025'!$J$2:$J$2470,T$1)</f>
        <v>0</v>
      </c>
      <c r="U8" s="76">
        <f>SUMIFS('июнь 2025'!$G$2:$G$2470,'июнь 2025'!$D$2:$D$2470,$B8,'июнь 2025'!$J$2:$J$2470,U$1)</f>
        <v>0</v>
      </c>
      <c r="V8" s="76">
        <f>SUMIFS('июнь 2025'!$G$2:$G$2470,'июнь 2025'!$D$2:$D$2470,$B8,'июнь 2025'!$J$2:$J$2470,V$1)</f>
        <v>0</v>
      </c>
      <c r="W8" s="76">
        <f>SUMIFS('июнь 2025'!$G$2:$G$2470,'июнь 2025'!$D$2:$D$2470,$B8,'июнь 2025'!$J$2:$J$2470,W$1)</f>
        <v>0</v>
      </c>
      <c r="X8" s="76">
        <f>SUMIFS('июнь 2025'!$G$2:$G$2470,'июнь 2025'!$D$2:$D$2470,$B8,'июнь 2025'!$J$2:$J$2470,X$1)</f>
        <v>0</v>
      </c>
      <c r="Y8" s="76">
        <f>SUMIFS('июнь 2025'!$G$2:$G$2470,'июнь 2025'!$D$2:$D$2470,$B8,'июнь 2025'!$J$2:$J$2470,Y$1)</f>
        <v>0</v>
      </c>
      <c r="Z8" s="76">
        <f>SUMIFS('июнь 2025'!$G$2:$G$2470,'июнь 2025'!$D$2:$D$2470,$B8,'июнь 2025'!$J$2:$J$2470,Z$1)</f>
        <v>0</v>
      </c>
      <c r="AA8" s="76">
        <f>SUMIFS('июнь 2025'!$G$2:$G$2470,'июнь 2025'!$D$2:$D$2470,$B8,'июнь 2025'!$J$2:$J$2470,AA$1)</f>
        <v>0</v>
      </c>
      <c r="AB8" s="76">
        <f>SUMIFS('июнь 2025'!$G$2:$G$2470,'июнь 2025'!$D$2:$D$2470,$B8,'июнь 2025'!$J$2:$J$2470,AB$1)</f>
        <v>680</v>
      </c>
      <c r="AC8" s="76">
        <f>SUMIFS('июнь 2025'!$G$2:$G$2470,'июнь 2025'!$D$2:$D$2470,$B8,'июнь 2025'!$J$2:$J$2470,AC$1)</f>
        <v>0</v>
      </c>
      <c r="AD8" s="76">
        <f>SUMIFS('июнь 2025'!$G$2:$G$2470,'июнь 2025'!$D$2:$D$2470,$B8,'июнь 2025'!$J$2:$J$2470,AD$1)</f>
        <v>0</v>
      </c>
      <c r="AE8" s="76">
        <f>SUMIFS('июнь 2025'!$G$2:$G$2470,'июнь 2025'!$D$2:$D$2470,$B8,'июнь 2025'!$J$2:$J$2470,AE$1)</f>
        <v>0</v>
      </c>
      <c r="AF8" s="76">
        <f>SUMIFS('июнь 2025'!$G$2:$G$2470,'июнь 2025'!$D$2:$D$2470,$B8,'июнь 2025'!$J$2:$J$2470,AF$1)</f>
        <v>0</v>
      </c>
      <c r="AG8" s="76">
        <f>SUMIFS('июнь 2025'!$G$2:$G$2470,'июнь 2025'!$D$2:$D$2470,$B8,'июнь 2025'!$J$2:$J$2470,AG$1)</f>
        <v>600</v>
      </c>
      <c r="AH8" s="76">
        <f>SUMIFS('июнь 2025'!$G$2:$G$2470,'июнь 2025'!$D$2:$D$2470,$B8,'июнь 2025'!$J$2:$J$2470,AH$1)</f>
        <v>0</v>
      </c>
      <c r="AI8" s="20">
        <f t="shared" si="1"/>
        <v>3440</v>
      </c>
    </row>
    <row r="9" spans="2:35" ht="15" customHeight="1" x14ac:dyDescent="0.25">
      <c r="B9" s="77" t="s">
        <v>224</v>
      </c>
      <c r="C9" s="78">
        <v>25</v>
      </c>
      <c r="D9" s="76">
        <f>SUMIFS('июнь 2025'!$G$2:$G$2470,'июнь 2025'!$D$2:$D$2470,$B9,'июнь 2025'!$J$2:$J$2470,D$1)</f>
        <v>0</v>
      </c>
      <c r="E9" s="76">
        <f>SUMIFS('июнь 2025'!$G$2:$G$2470,'июнь 2025'!$D$2:$D$2470,$B9,'июнь 2025'!$J$2:$J$2470,E$1)</f>
        <v>0</v>
      </c>
      <c r="F9" s="76">
        <f>SUMIFS('июнь 2025'!$G$2:$G$2470,'июнь 2025'!$D$2:$D$2470,$B9,'июнь 2025'!$J$2:$J$2470,F$1)</f>
        <v>0</v>
      </c>
      <c r="G9" s="76">
        <f>SUMIFS('июнь 2025'!$G$2:$G$2470,'июнь 2025'!$D$2:$D$2470,$B9,'июнь 2025'!$J$2:$J$2470,G$1)</f>
        <v>0</v>
      </c>
      <c r="H9" s="76">
        <f>SUMIFS('июнь 2025'!$G$2:$G$2470,'июнь 2025'!$D$2:$D$2470,$B9,'июнь 2025'!$J$2:$J$2470,H$1)</f>
        <v>0</v>
      </c>
      <c r="I9" s="76">
        <f>SUMIFS('июнь 2025'!$G$2:$G$2470,'июнь 2025'!$D$2:$D$2470,$B9,'июнь 2025'!$J$2:$J$2470,I$1)</f>
        <v>0</v>
      </c>
      <c r="J9" s="76">
        <f>SUMIFS('июнь 2025'!$G$2:$G$2470,'июнь 2025'!$D$2:$D$2470,$B9,'июнь 2025'!$J$2:$J$2470,J$1)</f>
        <v>0</v>
      </c>
      <c r="K9" s="76">
        <f>SUMIFS('июнь 2025'!$G$2:$G$2470,'июнь 2025'!$D$2:$D$2470,$B9,'июнь 2025'!$J$2:$J$2470,K$1)</f>
        <v>0</v>
      </c>
      <c r="L9" s="76">
        <f>SUMIFS('июнь 2025'!$G$2:$G$2470,'июнь 2025'!$D$2:$D$2470,$B9,'июнь 2025'!$J$2:$J$2470,L$1)</f>
        <v>0</v>
      </c>
      <c r="M9" s="76">
        <f>SUMIFS('июнь 2025'!$G$2:$G$2470,'июнь 2025'!$D$2:$D$2470,$B9,'июнь 2025'!$J$2:$J$2470,M$1)</f>
        <v>0</v>
      </c>
      <c r="N9" s="76">
        <f>SUMIFS('июнь 2025'!$G$2:$G$2470,'июнь 2025'!$D$2:$D$2470,$B9,'июнь 2025'!$J$2:$J$2470,N$1)</f>
        <v>0</v>
      </c>
      <c r="O9" s="76">
        <f>SUMIFS('июнь 2025'!$G$2:$G$2470,'июнь 2025'!$D$2:$D$2470,$B9,'июнь 2025'!$J$2:$J$2470,O$1)</f>
        <v>0</v>
      </c>
      <c r="P9" s="76">
        <f>SUMIFS('июнь 2025'!$G$2:$G$2470,'июнь 2025'!$D$2:$D$2470,$B9,'июнь 2025'!$J$2:$J$2470,P$1)</f>
        <v>0</v>
      </c>
      <c r="Q9" s="76">
        <f>SUMIFS('июнь 2025'!$G$2:$G$2470,'июнь 2025'!$D$2:$D$2470,$B9,'июнь 2025'!$J$2:$J$2470,Q$1)</f>
        <v>0</v>
      </c>
      <c r="R9" s="76">
        <f>SUMIFS('июнь 2025'!$G$2:$G$2470,'июнь 2025'!$D$2:$D$2470,$B9,'июнь 2025'!$J$2:$J$2470,R$1)</f>
        <v>0</v>
      </c>
      <c r="S9" s="76">
        <f>SUMIFS('июнь 2025'!$G$2:$G$2470,'июнь 2025'!$D$2:$D$2470,$B9,'июнь 2025'!$J$2:$J$2470,S$1)</f>
        <v>0</v>
      </c>
      <c r="T9" s="76">
        <f>SUMIFS('июнь 2025'!$G$2:$G$2470,'июнь 2025'!$D$2:$D$2470,$B9,'июнь 2025'!$J$2:$J$2470,T$1)</f>
        <v>0</v>
      </c>
      <c r="U9" s="76">
        <f>SUMIFS('июнь 2025'!$G$2:$G$2470,'июнь 2025'!$D$2:$D$2470,$B9,'июнь 2025'!$J$2:$J$2470,U$1)</f>
        <v>0</v>
      </c>
      <c r="V9" s="76">
        <f>SUMIFS('июнь 2025'!$G$2:$G$2470,'июнь 2025'!$D$2:$D$2470,$B9,'июнь 2025'!$J$2:$J$2470,V$1)</f>
        <v>0</v>
      </c>
      <c r="W9" s="76">
        <f>SUMIFS('июнь 2025'!$G$2:$G$2470,'июнь 2025'!$D$2:$D$2470,$B9,'июнь 2025'!$J$2:$J$2470,W$1)</f>
        <v>0</v>
      </c>
      <c r="X9" s="76">
        <f>SUMIFS('июнь 2025'!$G$2:$G$2470,'июнь 2025'!$D$2:$D$2470,$B9,'июнь 2025'!$J$2:$J$2470,X$1)</f>
        <v>0</v>
      </c>
      <c r="Y9" s="76">
        <f>SUMIFS('июнь 2025'!$G$2:$G$2470,'июнь 2025'!$D$2:$D$2470,$B9,'июнь 2025'!$J$2:$J$2470,Y$1)</f>
        <v>0</v>
      </c>
      <c r="Z9" s="76">
        <f>SUMIFS('июнь 2025'!$G$2:$G$2470,'июнь 2025'!$D$2:$D$2470,$B9,'июнь 2025'!$J$2:$J$2470,Z$1)</f>
        <v>0</v>
      </c>
      <c r="AA9" s="76">
        <f>SUMIFS('июнь 2025'!$G$2:$G$2470,'июнь 2025'!$D$2:$D$2470,$B9,'июнь 2025'!$J$2:$J$2470,AA$1)</f>
        <v>0</v>
      </c>
      <c r="AB9" s="76">
        <f>SUMIFS('июнь 2025'!$G$2:$G$2470,'июнь 2025'!$D$2:$D$2470,$B9,'июнь 2025'!$J$2:$J$2470,AB$1)</f>
        <v>0</v>
      </c>
      <c r="AC9" s="76">
        <f>SUMIFS('июнь 2025'!$G$2:$G$2470,'июнь 2025'!$D$2:$D$2470,$B9,'июнь 2025'!$J$2:$J$2470,AC$1)</f>
        <v>0</v>
      </c>
      <c r="AD9" s="76">
        <f>SUMIFS('июнь 2025'!$G$2:$G$2470,'июнь 2025'!$D$2:$D$2470,$B9,'июнь 2025'!$J$2:$J$2470,AD$1)</f>
        <v>0</v>
      </c>
      <c r="AE9" s="76">
        <f>SUMIFS('июнь 2025'!$G$2:$G$2470,'июнь 2025'!$D$2:$D$2470,$B9,'июнь 2025'!$J$2:$J$2470,AE$1)</f>
        <v>0</v>
      </c>
      <c r="AF9" s="76">
        <f>SUMIFS('июнь 2025'!$G$2:$G$2470,'июнь 2025'!$D$2:$D$2470,$B9,'июнь 2025'!$J$2:$J$2470,AF$1)</f>
        <v>0</v>
      </c>
      <c r="AG9" s="76">
        <f>SUMIFS('июнь 2025'!$G$2:$G$2470,'июнь 2025'!$D$2:$D$2470,$B9,'июнь 2025'!$J$2:$J$2470,AG$1)</f>
        <v>0</v>
      </c>
      <c r="AH9" s="76">
        <f>SUMIFS('июнь 2025'!$G$2:$G$2470,'июнь 2025'!$D$2:$D$2470,$B9,'июнь 2025'!$J$2:$J$2470,AH$1)</f>
        <v>0</v>
      </c>
      <c r="AI9" s="20">
        <f t="shared" si="1"/>
        <v>0</v>
      </c>
    </row>
    <row r="10" spans="2:35" ht="15" customHeight="1" x14ac:dyDescent="0.25">
      <c r="B10" s="77" t="s">
        <v>226</v>
      </c>
      <c r="C10" s="78">
        <v>25</v>
      </c>
      <c r="D10" s="76">
        <f>SUMIFS('июнь 2025'!$G$2:$G$2470,'июнь 2025'!$D$2:$D$2470,$B10,'июнь 2025'!$J$2:$J$2470,D$1)</f>
        <v>0</v>
      </c>
      <c r="E10" s="76">
        <f>SUMIFS('июнь 2025'!$G$2:$G$2470,'июнь 2025'!$D$2:$D$2470,$B10,'июнь 2025'!$J$2:$J$2470,E$1)</f>
        <v>0</v>
      </c>
      <c r="F10" s="76">
        <f>SUMIFS('июнь 2025'!$G$2:$G$2470,'июнь 2025'!$D$2:$D$2470,$B10,'июнь 2025'!$J$2:$J$2470,F$1)</f>
        <v>0</v>
      </c>
      <c r="G10" s="76">
        <f>SUMIFS('июнь 2025'!$G$2:$G$2470,'июнь 2025'!$D$2:$D$2470,$B10,'июнь 2025'!$J$2:$J$2470,G$1)</f>
        <v>0</v>
      </c>
      <c r="H10" s="76">
        <f>SUMIFS('июнь 2025'!$G$2:$G$2470,'июнь 2025'!$D$2:$D$2470,$B10,'июнь 2025'!$J$2:$J$2470,H$1)</f>
        <v>0</v>
      </c>
      <c r="I10" s="76">
        <f>SUMIFS('июнь 2025'!$G$2:$G$2470,'июнь 2025'!$D$2:$D$2470,$B10,'июнь 2025'!$J$2:$J$2470,I$1)</f>
        <v>0</v>
      </c>
      <c r="J10" s="76">
        <f>SUMIFS('июнь 2025'!$G$2:$G$2470,'июнь 2025'!$D$2:$D$2470,$B10,'июнь 2025'!$J$2:$J$2470,J$1)</f>
        <v>0</v>
      </c>
      <c r="K10" s="76">
        <f>SUMIFS('июнь 2025'!$G$2:$G$2470,'июнь 2025'!$D$2:$D$2470,$B10,'июнь 2025'!$J$2:$J$2470,K$1)</f>
        <v>0</v>
      </c>
      <c r="L10" s="76">
        <f>SUMIFS('июнь 2025'!$G$2:$G$2470,'июнь 2025'!$D$2:$D$2470,$B10,'июнь 2025'!$J$2:$J$2470,L$1)</f>
        <v>0</v>
      </c>
      <c r="M10" s="76">
        <f>SUMIFS('июнь 2025'!$G$2:$G$2470,'июнь 2025'!$D$2:$D$2470,$B10,'июнь 2025'!$J$2:$J$2470,M$1)</f>
        <v>0</v>
      </c>
      <c r="N10" s="76">
        <f>SUMIFS('июнь 2025'!$G$2:$G$2470,'июнь 2025'!$D$2:$D$2470,$B10,'июнь 2025'!$J$2:$J$2470,N$1)</f>
        <v>0</v>
      </c>
      <c r="O10" s="76">
        <f>SUMIFS('июнь 2025'!$G$2:$G$2470,'июнь 2025'!$D$2:$D$2470,$B10,'июнь 2025'!$J$2:$J$2470,O$1)</f>
        <v>0</v>
      </c>
      <c r="P10" s="76">
        <f>SUMIFS('июнь 2025'!$G$2:$G$2470,'июнь 2025'!$D$2:$D$2470,$B10,'июнь 2025'!$J$2:$J$2470,P$1)</f>
        <v>0</v>
      </c>
      <c r="Q10" s="76">
        <f>SUMIFS('июнь 2025'!$G$2:$G$2470,'июнь 2025'!$D$2:$D$2470,$B10,'июнь 2025'!$J$2:$J$2470,Q$1)</f>
        <v>0</v>
      </c>
      <c r="R10" s="76">
        <f>SUMIFS('июнь 2025'!$G$2:$G$2470,'июнь 2025'!$D$2:$D$2470,$B10,'июнь 2025'!$J$2:$J$2470,R$1)</f>
        <v>0</v>
      </c>
      <c r="S10" s="76">
        <f>SUMIFS('июнь 2025'!$G$2:$G$2470,'июнь 2025'!$D$2:$D$2470,$B10,'июнь 2025'!$J$2:$J$2470,S$1)</f>
        <v>0</v>
      </c>
      <c r="T10" s="76">
        <f>SUMIFS('июнь 2025'!$G$2:$G$2470,'июнь 2025'!$D$2:$D$2470,$B10,'июнь 2025'!$J$2:$J$2470,T$1)</f>
        <v>0</v>
      </c>
      <c r="U10" s="76">
        <f>SUMIFS('июнь 2025'!$G$2:$G$2470,'июнь 2025'!$D$2:$D$2470,$B10,'июнь 2025'!$J$2:$J$2470,U$1)</f>
        <v>840</v>
      </c>
      <c r="V10" s="76">
        <f>SUMIFS('июнь 2025'!$G$2:$G$2470,'июнь 2025'!$D$2:$D$2470,$B10,'июнь 2025'!$J$2:$J$2470,V$1)</f>
        <v>840</v>
      </c>
      <c r="W10" s="76">
        <f>SUMIFS('июнь 2025'!$G$2:$G$2470,'июнь 2025'!$D$2:$D$2470,$B10,'июнь 2025'!$J$2:$J$2470,W$1)</f>
        <v>0</v>
      </c>
      <c r="X10" s="76">
        <f>SUMIFS('июнь 2025'!$G$2:$G$2470,'июнь 2025'!$D$2:$D$2470,$B10,'июнь 2025'!$J$2:$J$2470,X$1)</f>
        <v>0</v>
      </c>
      <c r="Y10" s="76">
        <f>SUMIFS('июнь 2025'!$G$2:$G$2470,'июнь 2025'!$D$2:$D$2470,$B10,'июнь 2025'!$J$2:$J$2470,Y$1)</f>
        <v>0</v>
      </c>
      <c r="Z10" s="76">
        <f>SUMIFS('июнь 2025'!$G$2:$G$2470,'июнь 2025'!$D$2:$D$2470,$B10,'июнь 2025'!$J$2:$J$2470,Z$1)</f>
        <v>0</v>
      </c>
      <c r="AA10" s="76">
        <f>SUMIFS('июнь 2025'!$G$2:$G$2470,'июнь 2025'!$D$2:$D$2470,$B10,'июнь 2025'!$J$2:$J$2470,AA$1)</f>
        <v>0</v>
      </c>
      <c r="AB10" s="76">
        <f>SUMIFS('июнь 2025'!$G$2:$G$2470,'июнь 2025'!$D$2:$D$2470,$B10,'июнь 2025'!$J$2:$J$2470,AB$1)</f>
        <v>0</v>
      </c>
      <c r="AC10" s="76">
        <f>SUMIFS('июнь 2025'!$G$2:$G$2470,'июнь 2025'!$D$2:$D$2470,$B10,'июнь 2025'!$J$2:$J$2470,AC$1)</f>
        <v>0</v>
      </c>
      <c r="AD10" s="76">
        <f>SUMIFS('июнь 2025'!$G$2:$G$2470,'июнь 2025'!$D$2:$D$2470,$B10,'июнь 2025'!$J$2:$J$2470,AD$1)</f>
        <v>0</v>
      </c>
      <c r="AE10" s="76">
        <f>SUMIFS('июнь 2025'!$G$2:$G$2470,'июнь 2025'!$D$2:$D$2470,$B10,'июнь 2025'!$J$2:$J$2470,AE$1)</f>
        <v>0</v>
      </c>
      <c r="AF10" s="76">
        <f>SUMIFS('июнь 2025'!$G$2:$G$2470,'июнь 2025'!$D$2:$D$2470,$B10,'июнь 2025'!$J$2:$J$2470,AF$1)</f>
        <v>0</v>
      </c>
      <c r="AG10" s="76">
        <f>SUMIFS('июнь 2025'!$G$2:$G$2470,'июнь 2025'!$D$2:$D$2470,$B10,'июнь 2025'!$J$2:$J$2470,AG$1)</f>
        <v>0</v>
      </c>
      <c r="AH10" s="76">
        <f>SUMIFS('июнь 2025'!$G$2:$G$2470,'июнь 2025'!$D$2:$D$2470,$B10,'июнь 2025'!$J$2:$J$2470,AH$1)</f>
        <v>0</v>
      </c>
      <c r="AI10" s="20">
        <f t="shared" si="1"/>
        <v>1680</v>
      </c>
    </row>
    <row r="11" spans="2:35" ht="15" customHeight="1" x14ac:dyDescent="0.25">
      <c r="B11" s="80" t="s">
        <v>228</v>
      </c>
      <c r="C11" s="81">
        <v>22.68</v>
      </c>
      <c r="D11" s="76">
        <f>SUMIFS('июнь 2025'!$G$2:$G$2470,'июнь 2025'!$D$2:$D$2470,$B11,'июнь 2025'!$J$2:$J$2470,D$1)</f>
        <v>0</v>
      </c>
      <c r="E11" s="76">
        <f>SUMIFS('июнь 2025'!$G$2:$G$2470,'июнь 2025'!$D$2:$D$2470,$B11,'июнь 2025'!$J$2:$J$2470,E$1)</f>
        <v>0</v>
      </c>
      <c r="F11" s="76">
        <f>SUMIFS('июнь 2025'!$G$2:$G$2470,'июнь 2025'!$D$2:$D$2470,$B11,'июнь 2025'!$J$2:$J$2470,F$1)</f>
        <v>0</v>
      </c>
      <c r="G11" s="76">
        <f>SUMIFS('июнь 2025'!$G$2:$G$2470,'июнь 2025'!$D$2:$D$2470,$B11,'июнь 2025'!$J$2:$J$2470,G$1)</f>
        <v>0</v>
      </c>
      <c r="H11" s="76">
        <f>SUMIFS('июнь 2025'!$G$2:$G$2470,'июнь 2025'!$D$2:$D$2470,$B11,'июнь 2025'!$J$2:$J$2470,H$1)</f>
        <v>0</v>
      </c>
      <c r="I11" s="76">
        <f>SUMIFS('июнь 2025'!$G$2:$G$2470,'июнь 2025'!$D$2:$D$2470,$B11,'июнь 2025'!$J$2:$J$2470,I$1)</f>
        <v>0</v>
      </c>
      <c r="J11" s="76">
        <f>SUMIFS('июнь 2025'!$G$2:$G$2470,'июнь 2025'!$D$2:$D$2470,$B11,'июнь 2025'!$J$2:$J$2470,J$1)</f>
        <v>0</v>
      </c>
      <c r="K11" s="76">
        <f>SUMIFS('июнь 2025'!$G$2:$G$2470,'июнь 2025'!$D$2:$D$2470,$B11,'июнь 2025'!$J$2:$J$2470,K$1)</f>
        <v>0</v>
      </c>
      <c r="L11" s="76">
        <f>SUMIFS('июнь 2025'!$G$2:$G$2470,'июнь 2025'!$D$2:$D$2470,$B11,'июнь 2025'!$J$2:$J$2470,L$1)</f>
        <v>0</v>
      </c>
      <c r="M11" s="76">
        <f>SUMIFS('июнь 2025'!$G$2:$G$2470,'июнь 2025'!$D$2:$D$2470,$B11,'июнь 2025'!$J$2:$J$2470,M$1)</f>
        <v>0</v>
      </c>
      <c r="N11" s="76">
        <f>SUMIFS('июнь 2025'!$G$2:$G$2470,'июнь 2025'!$D$2:$D$2470,$B11,'июнь 2025'!$J$2:$J$2470,N$1)</f>
        <v>0</v>
      </c>
      <c r="O11" s="76">
        <f>SUMIFS('июнь 2025'!$G$2:$G$2470,'июнь 2025'!$D$2:$D$2470,$B11,'июнь 2025'!$J$2:$J$2470,O$1)</f>
        <v>0</v>
      </c>
      <c r="P11" s="76">
        <f>SUMIFS('июнь 2025'!$G$2:$G$2470,'июнь 2025'!$D$2:$D$2470,$B11,'июнь 2025'!$J$2:$J$2470,P$1)</f>
        <v>0</v>
      </c>
      <c r="Q11" s="76">
        <f>SUMIFS('июнь 2025'!$G$2:$G$2470,'июнь 2025'!$D$2:$D$2470,$B11,'июнь 2025'!$J$2:$J$2470,Q$1)</f>
        <v>0</v>
      </c>
      <c r="R11" s="76">
        <f>SUMIFS('июнь 2025'!$G$2:$G$2470,'июнь 2025'!$D$2:$D$2470,$B11,'июнь 2025'!$J$2:$J$2470,R$1)</f>
        <v>0</v>
      </c>
      <c r="S11" s="76">
        <f>SUMIFS('июнь 2025'!$G$2:$G$2470,'июнь 2025'!$D$2:$D$2470,$B11,'июнь 2025'!$J$2:$J$2470,S$1)</f>
        <v>0</v>
      </c>
      <c r="T11" s="76">
        <f>SUMIFS('июнь 2025'!$G$2:$G$2470,'июнь 2025'!$D$2:$D$2470,$B11,'июнь 2025'!$J$2:$J$2470,T$1)</f>
        <v>0</v>
      </c>
      <c r="U11" s="76">
        <f>SUMIFS('июнь 2025'!$G$2:$G$2470,'июнь 2025'!$D$2:$D$2470,$B11,'июнь 2025'!$J$2:$J$2470,U$1)</f>
        <v>0</v>
      </c>
      <c r="V11" s="76">
        <f>SUMIFS('июнь 2025'!$G$2:$G$2470,'июнь 2025'!$D$2:$D$2470,$B11,'июнь 2025'!$J$2:$J$2470,V$1)</f>
        <v>0</v>
      </c>
      <c r="W11" s="76">
        <f>SUMIFS('июнь 2025'!$G$2:$G$2470,'июнь 2025'!$D$2:$D$2470,$B11,'июнь 2025'!$J$2:$J$2470,W$1)</f>
        <v>0</v>
      </c>
      <c r="X11" s="76">
        <f>SUMIFS('июнь 2025'!$G$2:$G$2470,'июнь 2025'!$D$2:$D$2470,$B11,'июнь 2025'!$J$2:$J$2470,X$1)</f>
        <v>0</v>
      </c>
      <c r="Y11" s="76">
        <f>SUMIFS('июнь 2025'!$G$2:$G$2470,'июнь 2025'!$D$2:$D$2470,$B11,'июнь 2025'!$J$2:$J$2470,Y$1)</f>
        <v>0</v>
      </c>
      <c r="Z11" s="76">
        <f>SUMIFS('июнь 2025'!$G$2:$G$2470,'июнь 2025'!$D$2:$D$2470,$B11,'июнь 2025'!$J$2:$J$2470,Z$1)</f>
        <v>0</v>
      </c>
      <c r="AA11" s="76">
        <f>SUMIFS('июнь 2025'!$G$2:$G$2470,'июнь 2025'!$D$2:$D$2470,$B11,'июнь 2025'!$J$2:$J$2470,AA$1)</f>
        <v>0</v>
      </c>
      <c r="AB11" s="76">
        <f>SUMIFS('июнь 2025'!$G$2:$G$2470,'июнь 2025'!$D$2:$D$2470,$B11,'июнь 2025'!$J$2:$J$2470,AB$1)</f>
        <v>0</v>
      </c>
      <c r="AC11" s="76">
        <f>SUMIFS('июнь 2025'!$G$2:$G$2470,'июнь 2025'!$D$2:$D$2470,$B11,'июнь 2025'!$J$2:$J$2470,AC$1)</f>
        <v>0</v>
      </c>
      <c r="AD11" s="76">
        <f>SUMIFS('июнь 2025'!$G$2:$G$2470,'июнь 2025'!$D$2:$D$2470,$B11,'июнь 2025'!$J$2:$J$2470,AD$1)</f>
        <v>0</v>
      </c>
      <c r="AE11" s="76">
        <f>SUMIFS('июнь 2025'!$G$2:$G$2470,'июнь 2025'!$D$2:$D$2470,$B11,'июнь 2025'!$J$2:$J$2470,AE$1)</f>
        <v>0</v>
      </c>
      <c r="AF11" s="76">
        <f>SUMIFS('июнь 2025'!$G$2:$G$2470,'июнь 2025'!$D$2:$D$2470,$B11,'июнь 2025'!$J$2:$J$2470,AF$1)</f>
        <v>0</v>
      </c>
      <c r="AG11" s="76">
        <f>SUMIFS('июнь 2025'!$G$2:$G$2470,'июнь 2025'!$D$2:$D$2470,$B11,'июнь 2025'!$J$2:$J$2470,AG$1)</f>
        <v>0</v>
      </c>
      <c r="AH11" s="76">
        <f>SUMIFS('июнь 2025'!$G$2:$G$2470,'июнь 2025'!$D$2:$D$2470,$B11,'июнь 2025'!$J$2:$J$2470,AH$1)</f>
        <v>0</v>
      </c>
      <c r="AI11" s="20">
        <f t="shared" si="1"/>
        <v>0</v>
      </c>
    </row>
    <row r="12" spans="2:35" ht="15" customHeight="1" x14ac:dyDescent="0.25">
      <c r="B12" s="80" t="s">
        <v>328</v>
      </c>
      <c r="C12" s="81">
        <v>22.7</v>
      </c>
      <c r="D12" s="76">
        <f>SUMIFS('июнь 2025'!$G$2:$G$2470,'июнь 2025'!$D$2:$D$2470,$B12,'июнь 2025'!$J$2:$J$2470,D$1)</f>
        <v>0</v>
      </c>
      <c r="E12" s="76">
        <f>SUMIFS('июнь 2025'!$G$2:$G$2470,'июнь 2025'!$D$2:$D$2470,$B12,'июнь 2025'!$J$2:$J$2470,E$1)</f>
        <v>0</v>
      </c>
      <c r="F12" s="76">
        <f>SUMIFS('июнь 2025'!$G$2:$G$2470,'июнь 2025'!$D$2:$D$2470,$B12,'июнь 2025'!$J$2:$J$2470,F$1)</f>
        <v>0</v>
      </c>
      <c r="G12" s="76">
        <f>SUMIFS('июнь 2025'!$G$2:$G$2470,'июнь 2025'!$D$2:$D$2470,$B12,'июнь 2025'!$J$2:$J$2470,G$1)</f>
        <v>0</v>
      </c>
      <c r="H12" s="76">
        <f>SUMIFS('июнь 2025'!$G$2:$G$2470,'июнь 2025'!$D$2:$D$2470,$B12,'июнь 2025'!$J$2:$J$2470,H$1)</f>
        <v>0</v>
      </c>
      <c r="I12" s="76">
        <f>SUMIFS('июнь 2025'!$G$2:$G$2470,'июнь 2025'!$D$2:$D$2470,$B12,'июнь 2025'!$J$2:$J$2470,I$1)</f>
        <v>0</v>
      </c>
      <c r="J12" s="76">
        <f>SUMIFS('июнь 2025'!$G$2:$G$2470,'июнь 2025'!$D$2:$D$2470,$B12,'июнь 2025'!$J$2:$J$2470,J$1)</f>
        <v>0</v>
      </c>
      <c r="K12" s="76">
        <f>SUMIFS('июнь 2025'!$G$2:$G$2470,'июнь 2025'!$D$2:$D$2470,$B12,'июнь 2025'!$J$2:$J$2470,K$1)</f>
        <v>0</v>
      </c>
      <c r="L12" s="76">
        <f>SUMIFS('июнь 2025'!$G$2:$G$2470,'июнь 2025'!$D$2:$D$2470,$B12,'июнь 2025'!$J$2:$J$2470,L$1)</f>
        <v>0</v>
      </c>
      <c r="M12" s="76">
        <f>SUMIFS('июнь 2025'!$G$2:$G$2470,'июнь 2025'!$D$2:$D$2470,$B12,'июнь 2025'!$J$2:$J$2470,M$1)</f>
        <v>0</v>
      </c>
      <c r="N12" s="76">
        <f>SUMIFS('июнь 2025'!$G$2:$G$2470,'июнь 2025'!$D$2:$D$2470,$B12,'июнь 2025'!$J$2:$J$2470,N$1)</f>
        <v>0</v>
      </c>
      <c r="O12" s="76">
        <f>SUMIFS('июнь 2025'!$G$2:$G$2470,'июнь 2025'!$D$2:$D$2470,$B12,'июнь 2025'!$J$2:$J$2470,O$1)</f>
        <v>0</v>
      </c>
      <c r="P12" s="76">
        <f>SUMIFS('июнь 2025'!$G$2:$G$2470,'июнь 2025'!$D$2:$D$2470,$B12,'июнь 2025'!$J$2:$J$2470,P$1)</f>
        <v>0</v>
      </c>
      <c r="Q12" s="76">
        <f>SUMIFS('июнь 2025'!$G$2:$G$2470,'июнь 2025'!$D$2:$D$2470,$B12,'июнь 2025'!$J$2:$J$2470,Q$1)</f>
        <v>0</v>
      </c>
      <c r="R12" s="76">
        <f>SUMIFS('июнь 2025'!$G$2:$G$2470,'июнь 2025'!$D$2:$D$2470,$B12,'июнь 2025'!$J$2:$J$2470,R$1)</f>
        <v>0</v>
      </c>
      <c r="S12" s="76">
        <f>SUMIFS('июнь 2025'!$G$2:$G$2470,'июнь 2025'!$D$2:$D$2470,$B12,'июнь 2025'!$J$2:$J$2470,S$1)</f>
        <v>0</v>
      </c>
      <c r="T12" s="76">
        <f>SUMIFS('июнь 2025'!$G$2:$G$2470,'июнь 2025'!$D$2:$D$2470,$B12,'июнь 2025'!$J$2:$J$2470,T$1)</f>
        <v>0</v>
      </c>
      <c r="U12" s="76">
        <f>SUMIFS('июнь 2025'!$G$2:$G$2470,'июнь 2025'!$D$2:$D$2470,$B12,'июнь 2025'!$J$2:$J$2470,U$1)</f>
        <v>0</v>
      </c>
      <c r="V12" s="76">
        <f>SUMIFS('июнь 2025'!$G$2:$G$2470,'июнь 2025'!$D$2:$D$2470,$B12,'июнь 2025'!$J$2:$J$2470,V$1)</f>
        <v>0</v>
      </c>
      <c r="W12" s="76">
        <f>SUMIFS('июнь 2025'!$G$2:$G$2470,'июнь 2025'!$D$2:$D$2470,$B12,'июнь 2025'!$J$2:$J$2470,W$1)</f>
        <v>0</v>
      </c>
      <c r="X12" s="76">
        <f>SUMIFS('июнь 2025'!$G$2:$G$2470,'июнь 2025'!$D$2:$D$2470,$B12,'июнь 2025'!$J$2:$J$2470,X$1)</f>
        <v>0</v>
      </c>
      <c r="Y12" s="76">
        <f>SUMIFS('июнь 2025'!$G$2:$G$2470,'июнь 2025'!$D$2:$D$2470,$B12,'июнь 2025'!$J$2:$J$2470,Y$1)</f>
        <v>0</v>
      </c>
      <c r="Z12" s="76">
        <f>SUMIFS('июнь 2025'!$G$2:$G$2470,'июнь 2025'!$D$2:$D$2470,$B12,'июнь 2025'!$J$2:$J$2470,Z$1)</f>
        <v>0</v>
      </c>
      <c r="AA12" s="76">
        <f>SUMIFS('июнь 2025'!$G$2:$G$2470,'июнь 2025'!$D$2:$D$2470,$B12,'июнь 2025'!$J$2:$J$2470,AA$1)</f>
        <v>0</v>
      </c>
      <c r="AB12" s="76">
        <f>SUMIFS('июнь 2025'!$G$2:$G$2470,'июнь 2025'!$D$2:$D$2470,$B12,'июнь 2025'!$J$2:$J$2470,AB$1)</f>
        <v>0</v>
      </c>
      <c r="AC12" s="76">
        <f>SUMIFS('июнь 2025'!$G$2:$G$2470,'июнь 2025'!$D$2:$D$2470,$B12,'июнь 2025'!$J$2:$J$2470,AC$1)</f>
        <v>0</v>
      </c>
      <c r="AD12" s="76">
        <f>SUMIFS('июнь 2025'!$G$2:$G$2470,'июнь 2025'!$D$2:$D$2470,$B12,'июнь 2025'!$J$2:$J$2470,AD$1)</f>
        <v>0</v>
      </c>
      <c r="AE12" s="76">
        <f>SUMIFS('июнь 2025'!$G$2:$G$2470,'июнь 2025'!$D$2:$D$2470,$B12,'июнь 2025'!$J$2:$J$2470,AE$1)</f>
        <v>0</v>
      </c>
      <c r="AF12" s="76">
        <f>SUMIFS('июнь 2025'!$G$2:$G$2470,'июнь 2025'!$D$2:$D$2470,$B12,'июнь 2025'!$J$2:$J$2470,AF$1)</f>
        <v>0</v>
      </c>
      <c r="AG12" s="76">
        <f>SUMIFS('июнь 2025'!$G$2:$G$2470,'июнь 2025'!$D$2:$D$2470,$B12,'июнь 2025'!$J$2:$J$2470,AG$1)</f>
        <v>0</v>
      </c>
      <c r="AH12" s="76">
        <f>SUMIFS('июнь 2025'!$G$2:$G$2470,'июнь 2025'!$D$2:$D$2470,$B12,'июнь 2025'!$J$2:$J$2470,AH$1)</f>
        <v>0</v>
      </c>
      <c r="AI12" s="20">
        <f t="shared" si="1"/>
        <v>0</v>
      </c>
    </row>
    <row r="13" spans="2:35" ht="15" customHeight="1" x14ac:dyDescent="0.25">
      <c r="B13" s="80" t="s">
        <v>302</v>
      </c>
      <c r="C13" s="81">
        <v>25</v>
      </c>
      <c r="D13" s="76">
        <f>SUMIFS('июнь 2025'!$G$2:$G$2470,'июнь 2025'!$D$2:$D$2470,$B13,'июнь 2025'!$J$2:$J$2470,D$1)</f>
        <v>0</v>
      </c>
      <c r="E13" s="76">
        <f>SUMIFS('июнь 2025'!$G$2:$G$2470,'июнь 2025'!$D$2:$D$2470,$B13,'июнь 2025'!$J$2:$J$2470,E$1)</f>
        <v>0</v>
      </c>
      <c r="F13" s="76">
        <f>SUMIFS('июнь 2025'!$G$2:$G$2470,'июнь 2025'!$D$2:$D$2470,$B13,'июнь 2025'!$J$2:$J$2470,F$1)</f>
        <v>0</v>
      </c>
      <c r="G13" s="76">
        <f>SUMIFS('июнь 2025'!$G$2:$G$2470,'июнь 2025'!$D$2:$D$2470,$B13,'июнь 2025'!$J$2:$J$2470,G$1)</f>
        <v>0</v>
      </c>
      <c r="H13" s="76">
        <f>SUMIFS('июнь 2025'!$G$2:$G$2470,'июнь 2025'!$D$2:$D$2470,$B13,'июнь 2025'!$J$2:$J$2470,H$1)</f>
        <v>0</v>
      </c>
      <c r="I13" s="76">
        <f>SUMIFS('июнь 2025'!$G$2:$G$2470,'июнь 2025'!$D$2:$D$2470,$B13,'июнь 2025'!$J$2:$J$2470,I$1)</f>
        <v>0</v>
      </c>
      <c r="J13" s="76">
        <f>SUMIFS('июнь 2025'!$G$2:$G$2470,'июнь 2025'!$D$2:$D$2470,$B13,'июнь 2025'!$J$2:$J$2470,J$1)</f>
        <v>0</v>
      </c>
      <c r="K13" s="76">
        <f>SUMIFS('июнь 2025'!$G$2:$G$2470,'июнь 2025'!$D$2:$D$2470,$B13,'июнь 2025'!$J$2:$J$2470,K$1)</f>
        <v>0</v>
      </c>
      <c r="L13" s="76">
        <f>SUMIFS('июнь 2025'!$G$2:$G$2470,'июнь 2025'!$D$2:$D$2470,$B13,'июнь 2025'!$J$2:$J$2470,L$1)</f>
        <v>0</v>
      </c>
      <c r="M13" s="76">
        <f>SUMIFS('июнь 2025'!$G$2:$G$2470,'июнь 2025'!$D$2:$D$2470,$B13,'июнь 2025'!$J$2:$J$2470,M$1)</f>
        <v>0</v>
      </c>
      <c r="N13" s="76">
        <f>SUMIFS('июнь 2025'!$G$2:$G$2470,'июнь 2025'!$D$2:$D$2470,$B13,'июнь 2025'!$J$2:$J$2470,N$1)</f>
        <v>0</v>
      </c>
      <c r="O13" s="76">
        <f>SUMIFS('июнь 2025'!$G$2:$G$2470,'июнь 2025'!$D$2:$D$2470,$B13,'июнь 2025'!$J$2:$J$2470,O$1)</f>
        <v>0</v>
      </c>
      <c r="P13" s="76">
        <f>SUMIFS('июнь 2025'!$G$2:$G$2470,'июнь 2025'!$D$2:$D$2470,$B13,'июнь 2025'!$J$2:$J$2470,P$1)</f>
        <v>0</v>
      </c>
      <c r="Q13" s="76">
        <f>SUMIFS('июнь 2025'!$G$2:$G$2470,'июнь 2025'!$D$2:$D$2470,$B13,'июнь 2025'!$J$2:$J$2470,Q$1)</f>
        <v>0</v>
      </c>
      <c r="R13" s="76">
        <f>SUMIFS('июнь 2025'!$G$2:$G$2470,'июнь 2025'!$D$2:$D$2470,$B13,'июнь 2025'!$J$2:$J$2470,R$1)</f>
        <v>0</v>
      </c>
      <c r="S13" s="76">
        <f>SUMIFS('июнь 2025'!$G$2:$G$2470,'июнь 2025'!$D$2:$D$2470,$B13,'июнь 2025'!$J$2:$J$2470,S$1)</f>
        <v>0</v>
      </c>
      <c r="T13" s="76">
        <f>SUMIFS('июнь 2025'!$G$2:$G$2470,'июнь 2025'!$D$2:$D$2470,$B13,'июнь 2025'!$J$2:$J$2470,T$1)</f>
        <v>0</v>
      </c>
      <c r="U13" s="76">
        <f>SUMIFS('июнь 2025'!$G$2:$G$2470,'июнь 2025'!$D$2:$D$2470,$B13,'июнь 2025'!$J$2:$J$2470,U$1)</f>
        <v>0</v>
      </c>
      <c r="V13" s="76">
        <f>SUMIFS('июнь 2025'!$G$2:$G$2470,'июнь 2025'!$D$2:$D$2470,$B13,'июнь 2025'!$J$2:$J$2470,V$1)</f>
        <v>0</v>
      </c>
      <c r="W13" s="76">
        <f>SUMIFS('июнь 2025'!$G$2:$G$2470,'июнь 2025'!$D$2:$D$2470,$B13,'июнь 2025'!$J$2:$J$2470,W$1)</f>
        <v>0</v>
      </c>
      <c r="X13" s="76">
        <f>SUMIFS('июнь 2025'!$G$2:$G$2470,'июнь 2025'!$D$2:$D$2470,$B13,'июнь 2025'!$J$2:$J$2470,X$1)</f>
        <v>0</v>
      </c>
      <c r="Y13" s="76">
        <f>SUMIFS('июнь 2025'!$G$2:$G$2470,'июнь 2025'!$D$2:$D$2470,$B13,'июнь 2025'!$J$2:$J$2470,Y$1)</f>
        <v>0</v>
      </c>
      <c r="Z13" s="76">
        <f>SUMIFS('июнь 2025'!$G$2:$G$2470,'июнь 2025'!$D$2:$D$2470,$B13,'июнь 2025'!$J$2:$J$2470,Z$1)</f>
        <v>0</v>
      </c>
      <c r="AA13" s="76">
        <f>SUMIFS('июнь 2025'!$G$2:$G$2470,'июнь 2025'!$D$2:$D$2470,$B13,'июнь 2025'!$J$2:$J$2470,AA$1)</f>
        <v>0</v>
      </c>
      <c r="AB13" s="76">
        <f>SUMIFS('июнь 2025'!$G$2:$G$2470,'июнь 2025'!$D$2:$D$2470,$B13,'июнь 2025'!$J$2:$J$2470,AB$1)</f>
        <v>0</v>
      </c>
      <c r="AC13" s="76">
        <f>SUMIFS('июнь 2025'!$G$2:$G$2470,'июнь 2025'!$D$2:$D$2470,$B13,'июнь 2025'!$J$2:$J$2470,AC$1)</f>
        <v>0</v>
      </c>
      <c r="AD13" s="76">
        <f>SUMIFS('июнь 2025'!$G$2:$G$2470,'июнь 2025'!$D$2:$D$2470,$B13,'июнь 2025'!$J$2:$J$2470,AD$1)</f>
        <v>0</v>
      </c>
      <c r="AE13" s="76">
        <f>SUMIFS('июнь 2025'!$G$2:$G$2470,'июнь 2025'!$D$2:$D$2470,$B13,'июнь 2025'!$J$2:$J$2470,AE$1)</f>
        <v>0</v>
      </c>
      <c r="AF13" s="76">
        <f>SUMIFS('июнь 2025'!$G$2:$G$2470,'июнь 2025'!$D$2:$D$2470,$B13,'июнь 2025'!$J$2:$J$2470,AF$1)</f>
        <v>0</v>
      </c>
      <c r="AG13" s="76">
        <f>SUMIFS('июнь 2025'!$G$2:$G$2470,'июнь 2025'!$D$2:$D$2470,$B13,'июнь 2025'!$J$2:$J$2470,AG$1)</f>
        <v>0</v>
      </c>
      <c r="AH13" s="76">
        <f>SUMIFS('июнь 2025'!$G$2:$G$2470,'июнь 2025'!$D$2:$D$2470,$B13,'июнь 2025'!$J$2:$J$2470,AH$1)</f>
        <v>0</v>
      </c>
      <c r="AI13" s="20">
        <f t="shared" si="1"/>
        <v>0</v>
      </c>
    </row>
    <row r="14" spans="2:35" ht="15" customHeight="1" x14ac:dyDescent="0.25">
      <c r="B14" s="80" t="s">
        <v>306</v>
      </c>
      <c r="C14" s="81">
        <v>25</v>
      </c>
      <c r="D14" s="76">
        <f>SUMIFS('июнь 2025'!$G$2:$G$2470,'июнь 2025'!$D$2:$D$2470,$B14,'июнь 2025'!$J$2:$J$2470,D$1)</f>
        <v>0</v>
      </c>
      <c r="E14" s="76">
        <f>SUMIFS('июнь 2025'!$G$2:$G$2470,'июнь 2025'!$D$2:$D$2470,$B14,'июнь 2025'!$J$2:$J$2470,E$1)</f>
        <v>700</v>
      </c>
      <c r="F14" s="76">
        <f>SUMIFS('июнь 2025'!$G$2:$G$2470,'июнь 2025'!$D$2:$D$2470,$B14,'июнь 2025'!$J$2:$J$2470,F$1)</f>
        <v>0</v>
      </c>
      <c r="G14" s="76">
        <f>SUMIFS('июнь 2025'!$G$2:$G$2470,'июнь 2025'!$D$2:$D$2470,$B14,'июнь 2025'!$J$2:$J$2470,G$1)</f>
        <v>1400</v>
      </c>
      <c r="H14" s="76">
        <f>SUMIFS('июнь 2025'!$G$2:$G$2470,'июнь 2025'!$D$2:$D$2470,$B14,'июнь 2025'!$J$2:$J$2470,H$1)</f>
        <v>0</v>
      </c>
      <c r="I14" s="76">
        <f>SUMIFS('июнь 2025'!$G$2:$G$2470,'июнь 2025'!$D$2:$D$2470,$B14,'июнь 2025'!$J$2:$J$2470,I$1)</f>
        <v>0</v>
      </c>
      <c r="J14" s="76">
        <f>SUMIFS('июнь 2025'!$G$2:$G$2470,'июнь 2025'!$D$2:$D$2470,$B14,'июнь 2025'!$J$2:$J$2470,J$1)</f>
        <v>0</v>
      </c>
      <c r="K14" s="76">
        <f>SUMIFS('июнь 2025'!$G$2:$G$2470,'июнь 2025'!$D$2:$D$2470,$B14,'июнь 2025'!$J$2:$J$2470,K$1)</f>
        <v>0</v>
      </c>
      <c r="L14" s="76">
        <f>SUMIFS('июнь 2025'!$G$2:$G$2470,'июнь 2025'!$D$2:$D$2470,$B14,'июнь 2025'!$J$2:$J$2470,L$1)</f>
        <v>0</v>
      </c>
      <c r="M14" s="76">
        <f>SUMIFS('июнь 2025'!$G$2:$G$2470,'июнь 2025'!$D$2:$D$2470,$B14,'июнь 2025'!$J$2:$J$2470,M$1)</f>
        <v>0</v>
      </c>
      <c r="N14" s="76">
        <f>SUMIFS('июнь 2025'!$G$2:$G$2470,'июнь 2025'!$D$2:$D$2470,$B14,'июнь 2025'!$J$2:$J$2470,N$1)</f>
        <v>2100</v>
      </c>
      <c r="O14" s="76">
        <f>SUMIFS('июнь 2025'!$G$2:$G$2470,'июнь 2025'!$D$2:$D$2470,$B14,'июнь 2025'!$J$2:$J$2470,O$1)</f>
        <v>0</v>
      </c>
      <c r="P14" s="76">
        <f>SUMIFS('июнь 2025'!$G$2:$G$2470,'июнь 2025'!$D$2:$D$2470,$B14,'июнь 2025'!$J$2:$J$2470,P$1)</f>
        <v>0</v>
      </c>
      <c r="Q14" s="76">
        <f>SUMIFS('июнь 2025'!$G$2:$G$2470,'июнь 2025'!$D$2:$D$2470,$B14,'июнь 2025'!$J$2:$J$2470,Q$1)</f>
        <v>0</v>
      </c>
      <c r="R14" s="76">
        <f>SUMIFS('июнь 2025'!$G$2:$G$2470,'июнь 2025'!$D$2:$D$2470,$B14,'июнь 2025'!$J$2:$J$2470,R$1)</f>
        <v>0</v>
      </c>
      <c r="S14" s="76">
        <f>SUMIFS('июнь 2025'!$G$2:$G$2470,'июнь 2025'!$D$2:$D$2470,$B14,'июнь 2025'!$J$2:$J$2470,S$1)</f>
        <v>0</v>
      </c>
      <c r="T14" s="76">
        <f>SUMIFS('июнь 2025'!$G$2:$G$2470,'июнь 2025'!$D$2:$D$2470,$B14,'июнь 2025'!$J$2:$J$2470,T$1)</f>
        <v>0</v>
      </c>
      <c r="U14" s="76">
        <f>SUMIFS('июнь 2025'!$G$2:$G$2470,'июнь 2025'!$D$2:$D$2470,$B14,'июнь 2025'!$J$2:$J$2470,U$1)</f>
        <v>0</v>
      </c>
      <c r="V14" s="76">
        <f>SUMIFS('июнь 2025'!$G$2:$G$2470,'июнь 2025'!$D$2:$D$2470,$B14,'июнь 2025'!$J$2:$J$2470,V$1)</f>
        <v>0</v>
      </c>
      <c r="W14" s="76">
        <f>SUMIFS('июнь 2025'!$G$2:$G$2470,'июнь 2025'!$D$2:$D$2470,$B14,'июнь 2025'!$J$2:$J$2470,W$1)</f>
        <v>0</v>
      </c>
      <c r="X14" s="76">
        <f>SUMIFS('июнь 2025'!$G$2:$G$2470,'июнь 2025'!$D$2:$D$2470,$B14,'июнь 2025'!$J$2:$J$2470,X$1)</f>
        <v>0</v>
      </c>
      <c r="Y14" s="76">
        <f>SUMIFS('июнь 2025'!$G$2:$G$2470,'июнь 2025'!$D$2:$D$2470,$B14,'июнь 2025'!$J$2:$J$2470,Y$1)</f>
        <v>0</v>
      </c>
      <c r="Z14" s="76">
        <f>SUMIFS('июнь 2025'!$G$2:$G$2470,'июнь 2025'!$D$2:$D$2470,$B14,'июнь 2025'!$J$2:$J$2470,Z$1)</f>
        <v>0</v>
      </c>
      <c r="AA14" s="76">
        <f>SUMIFS('июнь 2025'!$G$2:$G$2470,'июнь 2025'!$D$2:$D$2470,$B14,'июнь 2025'!$J$2:$J$2470,AA$1)</f>
        <v>0</v>
      </c>
      <c r="AB14" s="76">
        <f>SUMIFS('июнь 2025'!$G$2:$G$2470,'июнь 2025'!$D$2:$D$2470,$B14,'июнь 2025'!$J$2:$J$2470,AB$1)</f>
        <v>0</v>
      </c>
      <c r="AC14" s="76">
        <f>SUMIFS('июнь 2025'!$G$2:$G$2470,'июнь 2025'!$D$2:$D$2470,$B14,'июнь 2025'!$J$2:$J$2470,AC$1)</f>
        <v>0</v>
      </c>
      <c r="AD14" s="76">
        <f>SUMIFS('июнь 2025'!$G$2:$G$2470,'июнь 2025'!$D$2:$D$2470,$B14,'июнь 2025'!$J$2:$J$2470,AD$1)</f>
        <v>0</v>
      </c>
      <c r="AE14" s="76">
        <f>SUMIFS('июнь 2025'!$G$2:$G$2470,'июнь 2025'!$D$2:$D$2470,$B14,'июнь 2025'!$J$2:$J$2470,AE$1)</f>
        <v>0</v>
      </c>
      <c r="AF14" s="76">
        <f>SUMIFS('июнь 2025'!$G$2:$G$2470,'июнь 2025'!$D$2:$D$2470,$B14,'июнь 2025'!$J$2:$J$2470,AF$1)</f>
        <v>0</v>
      </c>
      <c r="AG14" s="76">
        <f>SUMIFS('июнь 2025'!$G$2:$G$2470,'июнь 2025'!$D$2:$D$2470,$B14,'июнь 2025'!$J$2:$J$2470,AG$1)</f>
        <v>0</v>
      </c>
      <c r="AH14" s="76">
        <f>SUMIFS('июнь 2025'!$G$2:$G$2470,'июнь 2025'!$D$2:$D$2470,$B14,'июнь 2025'!$J$2:$J$2470,AH$1)</f>
        <v>0</v>
      </c>
      <c r="AI14" s="20">
        <f t="shared" si="1"/>
        <v>4200</v>
      </c>
    </row>
    <row r="15" spans="2:35" ht="15" customHeight="1" x14ac:dyDescent="0.25">
      <c r="B15" s="80" t="s">
        <v>231</v>
      </c>
      <c r="C15" s="81">
        <v>22.7</v>
      </c>
      <c r="D15" s="76">
        <f>SUMIFS('июнь 2025'!$G$2:$G$2470,'июнь 2025'!$D$2:$D$2470,$B15,'июнь 2025'!$J$2:$J$2470,D$1)</f>
        <v>0</v>
      </c>
      <c r="E15" s="76">
        <f>SUMIFS('июнь 2025'!$G$2:$G$2470,'июнь 2025'!$D$2:$D$2470,$B15,'июнь 2025'!$J$2:$J$2470,E$1)</f>
        <v>0</v>
      </c>
      <c r="F15" s="76">
        <f>SUMIFS('июнь 2025'!$G$2:$G$2470,'июнь 2025'!$D$2:$D$2470,$B15,'июнь 2025'!$J$2:$J$2470,F$1)</f>
        <v>0</v>
      </c>
      <c r="G15" s="76">
        <f>SUMIFS('июнь 2025'!$G$2:$G$2470,'июнь 2025'!$D$2:$D$2470,$B15,'июнь 2025'!$J$2:$J$2470,G$1)</f>
        <v>0</v>
      </c>
      <c r="H15" s="76">
        <f>SUMIFS('июнь 2025'!$G$2:$G$2470,'июнь 2025'!$D$2:$D$2470,$B15,'июнь 2025'!$J$2:$J$2470,H$1)</f>
        <v>0</v>
      </c>
      <c r="I15" s="76">
        <f>SUMIFS('июнь 2025'!$G$2:$G$2470,'июнь 2025'!$D$2:$D$2470,$B15,'июнь 2025'!$J$2:$J$2470,I$1)</f>
        <v>0</v>
      </c>
      <c r="J15" s="76">
        <f>SUMIFS('июнь 2025'!$G$2:$G$2470,'июнь 2025'!$D$2:$D$2470,$B15,'июнь 2025'!$J$2:$J$2470,J$1)</f>
        <v>0</v>
      </c>
      <c r="K15" s="76">
        <f>SUMIFS('июнь 2025'!$G$2:$G$2470,'июнь 2025'!$D$2:$D$2470,$B15,'июнь 2025'!$J$2:$J$2470,K$1)</f>
        <v>0</v>
      </c>
      <c r="L15" s="76">
        <f>SUMIFS('июнь 2025'!$G$2:$G$2470,'июнь 2025'!$D$2:$D$2470,$B15,'июнь 2025'!$J$2:$J$2470,L$1)</f>
        <v>0</v>
      </c>
      <c r="M15" s="76">
        <f>SUMIFS('июнь 2025'!$G$2:$G$2470,'июнь 2025'!$D$2:$D$2470,$B15,'июнь 2025'!$J$2:$J$2470,M$1)</f>
        <v>0</v>
      </c>
      <c r="N15" s="76">
        <f>SUMIFS('июнь 2025'!$G$2:$G$2470,'июнь 2025'!$D$2:$D$2470,$B15,'июнь 2025'!$J$2:$J$2470,N$1)</f>
        <v>0</v>
      </c>
      <c r="O15" s="76">
        <f>SUMIFS('июнь 2025'!$G$2:$G$2470,'июнь 2025'!$D$2:$D$2470,$B15,'июнь 2025'!$J$2:$J$2470,O$1)</f>
        <v>0</v>
      </c>
      <c r="P15" s="76">
        <f>SUMIFS('июнь 2025'!$G$2:$G$2470,'июнь 2025'!$D$2:$D$2470,$B15,'июнь 2025'!$J$2:$J$2470,P$1)</f>
        <v>0</v>
      </c>
      <c r="Q15" s="76">
        <f>SUMIFS('июнь 2025'!$G$2:$G$2470,'июнь 2025'!$D$2:$D$2470,$B15,'июнь 2025'!$J$2:$J$2470,Q$1)</f>
        <v>0</v>
      </c>
      <c r="R15" s="76">
        <f>SUMIFS('июнь 2025'!$G$2:$G$2470,'июнь 2025'!$D$2:$D$2470,$B15,'июнь 2025'!$J$2:$J$2470,R$1)</f>
        <v>0</v>
      </c>
      <c r="S15" s="76">
        <f>SUMIFS('июнь 2025'!$G$2:$G$2470,'июнь 2025'!$D$2:$D$2470,$B15,'июнь 2025'!$J$2:$J$2470,S$1)</f>
        <v>0</v>
      </c>
      <c r="T15" s="76">
        <f>SUMIFS('июнь 2025'!$G$2:$G$2470,'июнь 2025'!$D$2:$D$2470,$B15,'июнь 2025'!$J$2:$J$2470,T$1)</f>
        <v>0</v>
      </c>
      <c r="U15" s="76">
        <f>SUMIFS('июнь 2025'!$G$2:$G$2470,'июнь 2025'!$D$2:$D$2470,$B15,'июнь 2025'!$J$2:$J$2470,U$1)</f>
        <v>0</v>
      </c>
      <c r="V15" s="76">
        <f>SUMIFS('июнь 2025'!$G$2:$G$2470,'июнь 2025'!$D$2:$D$2470,$B15,'июнь 2025'!$J$2:$J$2470,V$1)</f>
        <v>0</v>
      </c>
      <c r="W15" s="76">
        <f>SUMIFS('июнь 2025'!$G$2:$G$2470,'июнь 2025'!$D$2:$D$2470,$B15,'июнь 2025'!$J$2:$J$2470,W$1)</f>
        <v>0</v>
      </c>
      <c r="X15" s="76">
        <f>SUMIFS('июнь 2025'!$G$2:$G$2470,'июнь 2025'!$D$2:$D$2470,$B15,'июнь 2025'!$J$2:$J$2470,X$1)</f>
        <v>0</v>
      </c>
      <c r="Y15" s="76">
        <f>SUMIFS('июнь 2025'!$G$2:$G$2470,'июнь 2025'!$D$2:$D$2470,$B15,'июнь 2025'!$J$2:$J$2470,Y$1)</f>
        <v>0</v>
      </c>
      <c r="Z15" s="76">
        <f>SUMIFS('июнь 2025'!$G$2:$G$2470,'июнь 2025'!$D$2:$D$2470,$B15,'июнь 2025'!$J$2:$J$2470,Z$1)</f>
        <v>0</v>
      </c>
      <c r="AA15" s="76">
        <f>SUMIFS('июнь 2025'!$G$2:$G$2470,'июнь 2025'!$D$2:$D$2470,$B15,'июнь 2025'!$J$2:$J$2470,AA$1)</f>
        <v>0</v>
      </c>
      <c r="AB15" s="76">
        <f>SUMIFS('июнь 2025'!$G$2:$G$2470,'июнь 2025'!$D$2:$D$2470,$B15,'июнь 2025'!$J$2:$J$2470,AB$1)</f>
        <v>0</v>
      </c>
      <c r="AC15" s="76">
        <f>SUMIFS('июнь 2025'!$G$2:$G$2470,'июнь 2025'!$D$2:$D$2470,$B15,'июнь 2025'!$J$2:$J$2470,AC$1)</f>
        <v>0</v>
      </c>
      <c r="AD15" s="76">
        <f>SUMIFS('июнь 2025'!$G$2:$G$2470,'июнь 2025'!$D$2:$D$2470,$B15,'июнь 2025'!$J$2:$J$2470,AD$1)</f>
        <v>0</v>
      </c>
      <c r="AE15" s="76">
        <f>SUMIFS('июнь 2025'!$G$2:$G$2470,'июнь 2025'!$D$2:$D$2470,$B15,'июнь 2025'!$J$2:$J$2470,AE$1)</f>
        <v>0</v>
      </c>
      <c r="AF15" s="76">
        <f>SUMIFS('июнь 2025'!$G$2:$G$2470,'июнь 2025'!$D$2:$D$2470,$B15,'июнь 2025'!$J$2:$J$2470,AF$1)</f>
        <v>0</v>
      </c>
      <c r="AG15" s="76">
        <f>SUMIFS('июнь 2025'!$G$2:$G$2470,'июнь 2025'!$D$2:$D$2470,$B15,'июнь 2025'!$J$2:$J$2470,AG$1)</f>
        <v>0</v>
      </c>
      <c r="AH15" s="76">
        <f>SUMIFS('июнь 2025'!$G$2:$G$2470,'июнь 2025'!$D$2:$D$2470,$B15,'июнь 2025'!$J$2:$J$2470,AH$1)</f>
        <v>0</v>
      </c>
      <c r="AI15" s="20">
        <f t="shared" si="1"/>
        <v>0</v>
      </c>
    </row>
    <row r="16" spans="2:35" ht="15" customHeight="1" x14ac:dyDescent="0.25">
      <c r="B16" s="77" t="s">
        <v>233</v>
      </c>
      <c r="C16" s="78">
        <v>22.7</v>
      </c>
      <c r="D16" s="76">
        <f>SUMIFS('июнь 2025'!$G$2:$G$2470,'июнь 2025'!$D$2:$D$2470,$B16,'июнь 2025'!$J$2:$J$2470,D$1)</f>
        <v>0</v>
      </c>
      <c r="E16" s="76">
        <f>SUMIFS('июнь 2025'!$G$2:$G$2470,'июнь 2025'!$D$2:$D$2470,$B16,'июнь 2025'!$J$2:$J$2470,E$1)</f>
        <v>0</v>
      </c>
      <c r="F16" s="76">
        <f>SUMIFS('июнь 2025'!$G$2:$G$2470,'июнь 2025'!$D$2:$D$2470,$B16,'июнь 2025'!$J$2:$J$2470,F$1)</f>
        <v>0</v>
      </c>
      <c r="G16" s="76">
        <f>SUMIFS('июнь 2025'!$G$2:$G$2470,'июнь 2025'!$D$2:$D$2470,$B16,'июнь 2025'!$J$2:$J$2470,G$1)</f>
        <v>0</v>
      </c>
      <c r="H16" s="76">
        <f>SUMIFS('июнь 2025'!$G$2:$G$2470,'июнь 2025'!$D$2:$D$2470,$B16,'июнь 2025'!$J$2:$J$2470,H$1)</f>
        <v>0</v>
      </c>
      <c r="I16" s="76">
        <f>SUMIFS('июнь 2025'!$G$2:$G$2470,'июнь 2025'!$D$2:$D$2470,$B16,'июнь 2025'!$J$2:$J$2470,I$1)</f>
        <v>0</v>
      </c>
      <c r="J16" s="76">
        <f>SUMIFS('июнь 2025'!$G$2:$G$2470,'июнь 2025'!$D$2:$D$2470,$B16,'июнь 2025'!$J$2:$J$2470,J$1)</f>
        <v>0</v>
      </c>
      <c r="K16" s="76">
        <f>SUMIFS('июнь 2025'!$G$2:$G$2470,'июнь 2025'!$D$2:$D$2470,$B16,'июнь 2025'!$J$2:$J$2470,K$1)</f>
        <v>0</v>
      </c>
      <c r="L16" s="76">
        <f>SUMIFS('июнь 2025'!$G$2:$G$2470,'июнь 2025'!$D$2:$D$2470,$B16,'июнь 2025'!$J$2:$J$2470,L$1)</f>
        <v>0</v>
      </c>
      <c r="M16" s="76">
        <f>SUMIFS('июнь 2025'!$G$2:$G$2470,'июнь 2025'!$D$2:$D$2470,$B16,'июнь 2025'!$J$2:$J$2470,M$1)</f>
        <v>0</v>
      </c>
      <c r="N16" s="76">
        <f>SUMIFS('июнь 2025'!$G$2:$G$2470,'июнь 2025'!$D$2:$D$2470,$B16,'июнь 2025'!$J$2:$J$2470,N$1)</f>
        <v>0</v>
      </c>
      <c r="O16" s="76">
        <f>SUMIFS('июнь 2025'!$G$2:$G$2470,'июнь 2025'!$D$2:$D$2470,$B16,'июнь 2025'!$J$2:$J$2470,O$1)</f>
        <v>0</v>
      </c>
      <c r="P16" s="76">
        <f>SUMIFS('июнь 2025'!$G$2:$G$2470,'июнь 2025'!$D$2:$D$2470,$B16,'июнь 2025'!$J$2:$J$2470,P$1)</f>
        <v>0</v>
      </c>
      <c r="Q16" s="76">
        <f>SUMIFS('июнь 2025'!$G$2:$G$2470,'июнь 2025'!$D$2:$D$2470,$B16,'июнь 2025'!$J$2:$J$2470,Q$1)</f>
        <v>0</v>
      </c>
      <c r="R16" s="76">
        <f>SUMIFS('июнь 2025'!$G$2:$G$2470,'июнь 2025'!$D$2:$D$2470,$B16,'июнь 2025'!$J$2:$J$2470,R$1)</f>
        <v>0</v>
      </c>
      <c r="S16" s="76">
        <f>SUMIFS('июнь 2025'!$G$2:$G$2470,'июнь 2025'!$D$2:$D$2470,$B16,'июнь 2025'!$J$2:$J$2470,S$1)</f>
        <v>0</v>
      </c>
      <c r="T16" s="76">
        <f>SUMIFS('июнь 2025'!$G$2:$G$2470,'июнь 2025'!$D$2:$D$2470,$B16,'июнь 2025'!$J$2:$J$2470,T$1)</f>
        <v>0</v>
      </c>
      <c r="U16" s="76">
        <f>SUMIFS('июнь 2025'!$G$2:$G$2470,'июнь 2025'!$D$2:$D$2470,$B16,'июнь 2025'!$J$2:$J$2470,U$1)</f>
        <v>0</v>
      </c>
      <c r="V16" s="76">
        <f>SUMIFS('июнь 2025'!$G$2:$G$2470,'июнь 2025'!$D$2:$D$2470,$B16,'июнь 2025'!$J$2:$J$2470,V$1)</f>
        <v>0</v>
      </c>
      <c r="W16" s="76">
        <f>SUMIFS('июнь 2025'!$G$2:$G$2470,'июнь 2025'!$D$2:$D$2470,$B16,'июнь 2025'!$J$2:$J$2470,W$1)</f>
        <v>0</v>
      </c>
      <c r="X16" s="76">
        <f>SUMIFS('июнь 2025'!$G$2:$G$2470,'июнь 2025'!$D$2:$D$2470,$B16,'июнь 2025'!$J$2:$J$2470,X$1)</f>
        <v>0</v>
      </c>
      <c r="Y16" s="76">
        <f>SUMIFS('июнь 2025'!$G$2:$G$2470,'июнь 2025'!$D$2:$D$2470,$B16,'июнь 2025'!$J$2:$J$2470,Y$1)</f>
        <v>0</v>
      </c>
      <c r="Z16" s="76">
        <f>SUMIFS('июнь 2025'!$G$2:$G$2470,'июнь 2025'!$D$2:$D$2470,$B16,'июнь 2025'!$J$2:$J$2470,Z$1)</f>
        <v>0</v>
      </c>
      <c r="AA16" s="76">
        <f>SUMIFS('июнь 2025'!$G$2:$G$2470,'июнь 2025'!$D$2:$D$2470,$B16,'июнь 2025'!$J$2:$J$2470,AA$1)</f>
        <v>0</v>
      </c>
      <c r="AB16" s="76">
        <f>SUMIFS('июнь 2025'!$G$2:$G$2470,'июнь 2025'!$D$2:$D$2470,$B16,'июнь 2025'!$J$2:$J$2470,AB$1)</f>
        <v>0</v>
      </c>
      <c r="AC16" s="76">
        <f>SUMIFS('июнь 2025'!$G$2:$G$2470,'июнь 2025'!$D$2:$D$2470,$B16,'июнь 2025'!$J$2:$J$2470,AC$1)</f>
        <v>0</v>
      </c>
      <c r="AD16" s="76">
        <f>SUMIFS('июнь 2025'!$G$2:$G$2470,'июнь 2025'!$D$2:$D$2470,$B16,'июнь 2025'!$J$2:$J$2470,AD$1)</f>
        <v>0</v>
      </c>
      <c r="AE16" s="76">
        <f>SUMIFS('июнь 2025'!$G$2:$G$2470,'июнь 2025'!$D$2:$D$2470,$B16,'июнь 2025'!$J$2:$J$2470,AE$1)</f>
        <v>0</v>
      </c>
      <c r="AF16" s="76">
        <f>SUMIFS('июнь 2025'!$G$2:$G$2470,'июнь 2025'!$D$2:$D$2470,$B16,'июнь 2025'!$J$2:$J$2470,AF$1)</f>
        <v>0</v>
      </c>
      <c r="AG16" s="76">
        <f>SUMIFS('июнь 2025'!$G$2:$G$2470,'июнь 2025'!$D$2:$D$2470,$B16,'июнь 2025'!$J$2:$J$2470,AG$1)</f>
        <v>0</v>
      </c>
      <c r="AH16" s="76">
        <f>SUMIFS('июнь 2025'!$G$2:$G$2470,'июнь 2025'!$D$2:$D$2470,$B16,'июнь 2025'!$J$2:$J$2470,AH$1)</f>
        <v>0</v>
      </c>
      <c r="AI16" s="20">
        <f t="shared" si="1"/>
        <v>0</v>
      </c>
    </row>
    <row r="17" spans="2:35" ht="15" customHeight="1" x14ac:dyDescent="0.25">
      <c r="B17" s="80" t="s">
        <v>235</v>
      </c>
      <c r="C17" s="81">
        <v>22.7</v>
      </c>
      <c r="D17" s="76">
        <f>SUMIFS('июнь 2025'!$G$2:$G$2470,'июнь 2025'!$D$2:$D$2470,$B17,'июнь 2025'!$J$2:$J$2470,D$1)</f>
        <v>0</v>
      </c>
      <c r="E17" s="76">
        <f>SUMIFS('июнь 2025'!$G$2:$G$2470,'июнь 2025'!$D$2:$D$2470,$B17,'июнь 2025'!$J$2:$J$2470,E$1)</f>
        <v>0</v>
      </c>
      <c r="F17" s="76">
        <f>SUMIFS('июнь 2025'!$G$2:$G$2470,'июнь 2025'!$D$2:$D$2470,$B17,'июнь 2025'!$J$2:$J$2470,F$1)</f>
        <v>0</v>
      </c>
      <c r="G17" s="76">
        <f>SUMIFS('июнь 2025'!$G$2:$G$2470,'июнь 2025'!$D$2:$D$2470,$B17,'июнь 2025'!$J$2:$J$2470,G$1)</f>
        <v>0</v>
      </c>
      <c r="H17" s="76">
        <f>SUMIFS('июнь 2025'!$G$2:$G$2470,'июнь 2025'!$D$2:$D$2470,$B17,'июнь 2025'!$J$2:$J$2470,H$1)</f>
        <v>0</v>
      </c>
      <c r="I17" s="76">
        <f>SUMIFS('июнь 2025'!$G$2:$G$2470,'июнь 2025'!$D$2:$D$2470,$B17,'июнь 2025'!$J$2:$J$2470,I$1)</f>
        <v>0</v>
      </c>
      <c r="J17" s="76">
        <f>SUMIFS('июнь 2025'!$G$2:$G$2470,'июнь 2025'!$D$2:$D$2470,$B17,'июнь 2025'!$J$2:$J$2470,J$1)</f>
        <v>0</v>
      </c>
      <c r="K17" s="76">
        <f>SUMIFS('июнь 2025'!$G$2:$G$2470,'июнь 2025'!$D$2:$D$2470,$B17,'июнь 2025'!$J$2:$J$2470,K$1)</f>
        <v>0</v>
      </c>
      <c r="L17" s="76">
        <f>SUMIFS('июнь 2025'!$G$2:$G$2470,'июнь 2025'!$D$2:$D$2470,$B17,'июнь 2025'!$J$2:$J$2470,L$1)</f>
        <v>0</v>
      </c>
      <c r="M17" s="76">
        <f>SUMIFS('июнь 2025'!$G$2:$G$2470,'июнь 2025'!$D$2:$D$2470,$B17,'июнь 2025'!$J$2:$J$2470,M$1)</f>
        <v>0</v>
      </c>
      <c r="N17" s="76">
        <f>SUMIFS('июнь 2025'!$G$2:$G$2470,'июнь 2025'!$D$2:$D$2470,$B17,'июнь 2025'!$J$2:$J$2470,N$1)</f>
        <v>0</v>
      </c>
      <c r="O17" s="76">
        <f>SUMIFS('июнь 2025'!$G$2:$G$2470,'июнь 2025'!$D$2:$D$2470,$B17,'июнь 2025'!$J$2:$J$2470,O$1)</f>
        <v>0</v>
      </c>
      <c r="P17" s="76">
        <f>SUMIFS('июнь 2025'!$G$2:$G$2470,'июнь 2025'!$D$2:$D$2470,$B17,'июнь 2025'!$J$2:$J$2470,P$1)</f>
        <v>0</v>
      </c>
      <c r="Q17" s="76">
        <f>SUMIFS('июнь 2025'!$G$2:$G$2470,'июнь 2025'!$D$2:$D$2470,$B17,'июнь 2025'!$J$2:$J$2470,Q$1)</f>
        <v>0</v>
      </c>
      <c r="R17" s="76">
        <f>SUMIFS('июнь 2025'!$G$2:$G$2470,'июнь 2025'!$D$2:$D$2470,$B17,'июнь 2025'!$J$2:$J$2470,R$1)</f>
        <v>0</v>
      </c>
      <c r="S17" s="76">
        <f>SUMIFS('июнь 2025'!$G$2:$G$2470,'июнь 2025'!$D$2:$D$2470,$B17,'июнь 2025'!$J$2:$J$2470,S$1)</f>
        <v>0</v>
      </c>
      <c r="T17" s="76">
        <f>SUMIFS('июнь 2025'!$G$2:$G$2470,'июнь 2025'!$D$2:$D$2470,$B17,'июнь 2025'!$J$2:$J$2470,T$1)</f>
        <v>0</v>
      </c>
      <c r="U17" s="76">
        <f>SUMIFS('июнь 2025'!$G$2:$G$2470,'июнь 2025'!$D$2:$D$2470,$B17,'июнь 2025'!$J$2:$J$2470,U$1)</f>
        <v>0</v>
      </c>
      <c r="V17" s="76">
        <f>SUMIFS('июнь 2025'!$G$2:$G$2470,'июнь 2025'!$D$2:$D$2470,$B17,'июнь 2025'!$J$2:$J$2470,V$1)</f>
        <v>0</v>
      </c>
      <c r="W17" s="76">
        <f>SUMIFS('июнь 2025'!$G$2:$G$2470,'июнь 2025'!$D$2:$D$2470,$B17,'июнь 2025'!$J$2:$J$2470,W$1)</f>
        <v>0</v>
      </c>
      <c r="X17" s="76">
        <f>SUMIFS('июнь 2025'!$G$2:$G$2470,'июнь 2025'!$D$2:$D$2470,$B17,'июнь 2025'!$J$2:$J$2470,X$1)</f>
        <v>0</v>
      </c>
      <c r="Y17" s="76">
        <f>SUMIFS('июнь 2025'!$G$2:$G$2470,'июнь 2025'!$D$2:$D$2470,$B17,'июнь 2025'!$J$2:$J$2470,Y$1)</f>
        <v>0</v>
      </c>
      <c r="Z17" s="76">
        <f>SUMIFS('июнь 2025'!$G$2:$G$2470,'июнь 2025'!$D$2:$D$2470,$B17,'июнь 2025'!$J$2:$J$2470,Z$1)</f>
        <v>0</v>
      </c>
      <c r="AA17" s="76">
        <f>SUMIFS('июнь 2025'!$G$2:$G$2470,'июнь 2025'!$D$2:$D$2470,$B17,'июнь 2025'!$J$2:$J$2470,AA$1)</f>
        <v>0</v>
      </c>
      <c r="AB17" s="76">
        <f>SUMIFS('июнь 2025'!$G$2:$G$2470,'июнь 2025'!$D$2:$D$2470,$B17,'июнь 2025'!$J$2:$J$2470,AB$1)</f>
        <v>0</v>
      </c>
      <c r="AC17" s="76">
        <f>SUMIFS('июнь 2025'!$G$2:$G$2470,'июнь 2025'!$D$2:$D$2470,$B17,'июнь 2025'!$J$2:$J$2470,AC$1)</f>
        <v>0</v>
      </c>
      <c r="AD17" s="76">
        <f>SUMIFS('июнь 2025'!$G$2:$G$2470,'июнь 2025'!$D$2:$D$2470,$B17,'июнь 2025'!$J$2:$J$2470,AD$1)</f>
        <v>0</v>
      </c>
      <c r="AE17" s="76">
        <f>SUMIFS('июнь 2025'!$G$2:$G$2470,'июнь 2025'!$D$2:$D$2470,$B17,'июнь 2025'!$J$2:$J$2470,AE$1)</f>
        <v>0</v>
      </c>
      <c r="AF17" s="76">
        <f>SUMIFS('июнь 2025'!$G$2:$G$2470,'июнь 2025'!$D$2:$D$2470,$B17,'июнь 2025'!$J$2:$J$2470,AF$1)</f>
        <v>0</v>
      </c>
      <c r="AG17" s="76">
        <f>SUMIFS('июнь 2025'!$G$2:$G$2470,'июнь 2025'!$D$2:$D$2470,$B17,'июнь 2025'!$J$2:$J$2470,AG$1)</f>
        <v>0</v>
      </c>
      <c r="AH17" s="76">
        <f>SUMIFS('июнь 2025'!$G$2:$G$2470,'июнь 2025'!$D$2:$D$2470,$B17,'июнь 2025'!$J$2:$J$2470,AH$1)</f>
        <v>0</v>
      </c>
      <c r="AI17" s="20">
        <f t="shared" si="1"/>
        <v>0</v>
      </c>
    </row>
    <row r="18" spans="2:35" ht="15" customHeight="1" x14ac:dyDescent="0.25">
      <c r="B18" s="80" t="s">
        <v>237</v>
      </c>
      <c r="C18" s="81">
        <v>25</v>
      </c>
      <c r="D18" s="76">
        <f>SUMIFS('июнь 2025'!$G$2:$G$2470,'июнь 2025'!$D$2:$D$2470,$B18,'июнь 2025'!$J$2:$J$2470,D$1)</f>
        <v>0</v>
      </c>
      <c r="E18" s="76">
        <f>SUMIFS('июнь 2025'!$G$2:$G$2470,'июнь 2025'!$D$2:$D$2470,$B18,'июнь 2025'!$J$2:$J$2470,E$1)</f>
        <v>0</v>
      </c>
      <c r="F18" s="76">
        <f>SUMIFS('июнь 2025'!$G$2:$G$2470,'июнь 2025'!$D$2:$D$2470,$B18,'июнь 2025'!$J$2:$J$2470,F$1)</f>
        <v>0</v>
      </c>
      <c r="G18" s="76">
        <f>SUMIFS('июнь 2025'!$G$2:$G$2470,'июнь 2025'!$D$2:$D$2470,$B18,'июнь 2025'!$J$2:$J$2470,G$1)</f>
        <v>0</v>
      </c>
      <c r="H18" s="76">
        <f>SUMIFS('июнь 2025'!$G$2:$G$2470,'июнь 2025'!$D$2:$D$2470,$B18,'июнь 2025'!$J$2:$J$2470,H$1)</f>
        <v>0</v>
      </c>
      <c r="I18" s="76">
        <f>SUMIFS('июнь 2025'!$G$2:$G$2470,'июнь 2025'!$D$2:$D$2470,$B18,'июнь 2025'!$J$2:$J$2470,I$1)</f>
        <v>0</v>
      </c>
      <c r="J18" s="76">
        <f>SUMIFS('июнь 2025'!$G$2:$G$2470,'июнь 2025'!$D$2:$D$2470,$B18,'июнь 2025'!$J$2:$J$2470,J$1)</f>
        <v>0</v>
      </c>
      <c r="K18" s="76">
        <f>SUMIFS('июнь 2025'!$G$2:$G$2470,'июнь 2025'!$D$2:$D$2470,$B18,'июнь 2025'!$J$2:$J$2470,K$1)</f>
        <v>0</v>
      </c>
      <c r="L18" s="76">
        <f>SUMIFS('июнь 2025'!$G$2:$G$2470,'июнь 2025'!$D$2:$D$2470,$B18,'июнь 2025'!$J$2:$J$2470,L$1)</f>
        <v>0</v>
      </c>
      <c r="M18" s="76">
        <f>SUMIFS('июнь 2025'!$G$2:$G$2470,'июнь 2025'!$D$2:$D$2470,$B18,'июнь 2025'!$J$2:$J$2470,M$1)</f>
        <v>0</v>
      </c>
      <c r="N18" s="76">
        <f>SUMIFS('июнь 2025'!$G$2:$G$2470,'июнь 2025'!$D$2:$D$2470,$B18,'июнь 2025'!$J$2:$J$2470,N$1)</f>
        <v>0</v>
      </c>
      <c r="O18" s="76">
        <f>SUMIFS('июнь 2025'!$G$2:$G$2470,'июнь 2025'!$D$2:$D$2470,$B18,'июнь 2025'!$J$2:$J$2470,O$1)</f>
        <v>0</v>
      </c>
      <c r="P18" s="76">
        <f>SUMIFS('июнь 2025'!$G$2:$G$2470,'июнь 2025'!$D$2:$D$2470,$B18,'июнь 2025'!$J$2:$J$2470,P$1)</f>
        <v>0</v>
      </c>
      <c r="Q18" s="76">
        <f>SUMIFS('июнь 2025'!$G$2:$G$2470,'июнь 2025'!$D$2:$D$2470,$B18,'июнь 2025'!$J$2:$J$2470,Q$1)</f>
        <v>0</v>
      </c>
      <c r="R18" s="76">
        <f>SUMIFS('июнь 2025'!$G$2:$G$2470,'июнь 2025'!$D$2:$D$2470,$B18,'июнь 2025'!$J$2:$J$2470,R$1)</f>
        <v>0</v>
      </c>
      <c r="S18" s="76">
        <f>SUMIFS('июнь 2025'!$G$2:$G$2470,'июнь 2025'!$D$2:$D$2470,$B18,'июнь 2025'!$J$2:$J$2470,S$1)</f>
        <v>0</v>
      </c>
      <c r="T18" s="76">
        <f>SUMIFS('июнь 2025'!$G$2:$G$2470,'июнь 2025'!$D$2:$D$2470,$B18,'июнь 2025'!$J$2:$J$2470,T$1)</f>
        <v>0</v>
      </c>
      <c r="U18" s="76">
        <f>SUMIFS('июнь 2025'!$G$2:$G$2470,'июнь 2025'!$D$2:$D$2470,$B18,'июнь 2025'!$J$2:$J$2470,U$1)</f>
        <v>0</v>
      </c>
      <c r="V18" s="76">
        <f>SUMIFS('июнь 2025'!$G$2:$G$2470,'июнь 2025'!$D$2:$D$2470,$B18,'июнь 2025'!$J$2:$J$2470,V$1)</f>
        <v>0</v>
      </c>
      <c r="W18" s="76">
        <f>SUMIFS('июнь 2025'!$G$2:$G$2470,'июнь 2025'!$D$2:$D$2470,$B18,'июнь 2025'!$J$2:$J$2470,W$1)</f>
        <v>0</v>
      </c>
      <c r="X18" s="76">
        <f>SUMIFS('июнь 2025'!$G$2:$G$2470,'июнь 2025'!$D$2:$D$2470,$B18,'июнь 2025'!$J$2:$J$2470,X$1)</f>
        <v>0</v>
      </c>
      <c r="Y18" s="76">
        <f>SUMIFS('июнь 2025'!$G$2:$G$2470,'июнь 2025'!$D$2:$D$2470,$B18,'июнь 2025'!$J$2:$J$2470,Y$1)</f>
        <v>0</v>
      </c>
      <c r="Z18" s="76">
        <f>SUMIFS('июнь 2025'!$G$2:$G$2470,'июнь 2025'!$D$2:$D$2470,$B18,'июнь 2025'!$J$2:$J$2470,Z$1)</f>
        <v>0</v>
      </c>
      <c r="AA18" s="76">
        <f>SUMIFS('июнь 2025'!$G$2:$G$2470,'июнь 2025'!$D$2:$D$2470,$B18,'июнь 2025'!$J$2:$J$2470,AA$1)</f>
        <v>0</v>
      </c>
      <c r="AB18" s="76">
        <f>SUMIFS('июнь 2025'!$G$2:$G$2470,'июнь 2025'!$D$2:$D$2470,$B18,'июнь 2025'!$J$2:$J$2470,AB$1)</f>
        <v>0</v>
      </c>
      <c r="AC18" s="76">
        <f>SUMIFS('июнь 2025'!$G$2:$G$2470,'июнь 2025'!$D$2:$D$2470,$B18,'июнь 2025'!$J$2:$J$2470,AC$1)</f>
        <v>720</v>
      </c>
      <c r="AD18" s="76">
        <f>SUMIFS('июнь 2025'!$G$2:$G$2470,'июнь 2025'!$D$2:$D$2470,$B18,'июнь 2025'!$J$2:$J$2470,AD$1)</f>
        <v>0</v>
      </c>
      <c r="AE18" s="76">
        <f>SUMIFS('июнь 2025'!$G$2:$G$2470,'июнь 2025'!$D$2:$D$2470,$B18,'июнь 2025'!$J$2:$J$2470,AE$1)</f>
        <v>0</v>
      </c>
      <c r="AF18" s="76">
        <f>SUMIFS('июнь 2025'!$G$2:$G$2470,'июнь 2025'!$D$2:$D$2470,$B18,'июнь 2025'!$J$2:$J$2470,AF$1)</f>
        <v>0</v>
      </c>
      <c r="AG18" s="76">
        <f>SUMIFS('июнь 2025'!$G$2:$G$2470,'июнь 2025'!$D$2:$D$2470,$B18,'июнь 2025'!$J$2:$J$2470,AG$1)</f>
        <v>0</v>
      </c>
      <c r="AH18" s="76">
        <f>SUMIFS('июнь 2025'!$G$2:$G$2470,'июнь 2025'!$D$2:$D$2470,$B18,'июнь 2025'!$J$2:$J$2470,AH$1)</f>
        <v>0</v>
      </c>
      <c r="AI18" s="20">
        <f t="shared" si="1"/>
        <v>720</v>
      </c>
    </row>
    <row r="19" spans="2:35" ht="15" customHeight="1" x14ac:dyDescent="0.25">
      <c r="B19" s="77" t="s">
        <v>239</v>
      </c>
      <c r="C19" s="78">
        <v>25</v>
      </c>
      <c r="D19" s="76">
        <f>SUMIFS('июнь 2025'!$G$2:$G$2470,'июнь 2025'!$D$2:$D$2470,$B19,'июнь 2025'!$J$2:$J$2470,D$1)</f>
        <v>0</v>
      </c>
      <c r="E19" s="76">
        <f>SUMIFS('июнь 2025'!$G$2:$G$2470,'июнь 2025'!$D$2:$D$2470,$B19,'июнь 2025'!$J$2:$J$2470,E$1)</f>
        <v>0</v>
      </c>
      <c r="F19" s="76">
        <f>SUMIFS('июнь 2025'!$G$2:$G$2470,'июнь 2025'!$D$2:$D$2470,$B19,'июнь 2025'!$J$2:$J$2470,F$1)</f>
        <v>0</v>
      </c>
      <c r="G19" s="76">
        <f>SUMIFS('июнь 2025'!$G$2:$G$2470,'июнь 2025'!$D$2:$D$2470,$B19,'июнь 2025'!$J$2:$J$2470,G$1)</f>
        <v>0</v>
      </c>
      <c r="H19" s="76">
        <f>SUMIFS('июнь 2025'!$G$2:$G$2470,'июнь 2025'!$D$2:$D$2470,$B19,'июнь 2025'!$J$2:$J$2470,H$1)</f>
        <v>0</v>
      </c>
      <c r="I19" s="76">
        <f>SUMIFS('июнь 2025'!$G$2:$G$2470,'июнь 2025'!$D$2:$D$2470,$B19,'июнь 2025'!$J$2:$J$2470,I$1)</f>
        <v>0</v>
      </c>
      <c r="J19" s="76">
        <f>SUMIFS('июнь 2025'!$G$2:$G$2470,'июнь 2025'!$D$2:$D$2470,$B19,'июнь 2025'!$J$2:$J$2470,J$1)</f>
        <v>0</v>
      </c>
      <c r="K19" s="76">
        <f>SUMIFS('июнь 2025'!$G$2:$G$2470,'июнь 2025'!$D$2:$D$2470,$B19,'июнь 2025'!$J$2:$J$2470,K$1)</f>
        <v>0</v>
      </c>
      <c r="L19" s="76">
        <f>SUMIFS('июнь 2025'!$G$2:$G$2470,'июнь 2025'!$D$2:$D$2470,$B19,'июнь 2025'!$J$2:$J$2470,L$1)</f>
        <v>0</v>
      </c>
      <c r="M19" s="76">
        <f>SUMIFS('июнь 2025'!$G$2:$G$2470,'июнь 2025'!$D$2:$D$2470,$B19,'июнь 2025'!$J$2:$J$2470,M$1)</f>
        <v>0</v>
      </c>
      <c r="N19" s="76">
        <f>SUMIFS('июнь 2025'!$G$2:$G$2470,'июнь 2025'!$D$2:$D$2470,$B19,'июнь 2025'!$J$2:$J$2470,N$1)</f>
        <v>0</v>
      </c>
      <c r="O19" s="76">
        <f>SUMIFS('июнь 2025'!$G$2:$G$2470,'июнь 2025'!$D$2:$D$2470,$B19,'июнь 2025'!$J$2:$J$2470,O$1)</f>
        <v>0</v>
      </c>
      <c r="P19" s="76">
        <f>SUMIFS('июнь 2025'!$G$2:$G$2470,'июнь 2025'!$D$2:$D$2470,$B19,'июнь 2025'!$J$2:$J$2470,P$1)</f>
        <v>0</v>
      </c>
      <c r="Q19" s="76">
        <f>SUMIFS('июнь 2025'!$G$2:$G$2470,'июнь 2025'!$D$2:$D$2470,$B19,'июнь 2025'!$J$2:$J$2470,Q$1)</f>
        <v>0</v>
      </c>
      <c r="R19" s="76">
        <f>SUMIFS('июнь 2025'!$G$2:$G$2470,'июнь 2025'!$D$2:$D$2470,$B19,'июнь 2025'!$J$2:$J$2470,R$1)</f>
        <v>0</v>
      </c>
      <c r="S19" s="76">
        <f>SUMIFS('июнь 2025'!$G$2:$G$2470,'июнь 2025'!$D$2:$D$2470,$B19,'июнь 2025'!$J$2:$J$2470,S$1)</f>
        <v>0</v>
      </c>
      <c r="T19" s="76">
        <f>SUMIFS('июнь 2025'!$G$2:$G$2470,'июнь 2025'!$D$2:$D$2470,$B19,'июнь 2025'!$J$2:$J$2470,T$1)</f>
        <v>0</v>
      </c>
      <c r="U19" s="76">
        <f>SUMIFS('июнь 2025'!$G$2:$G$2470,'июнь 2025'!$D$2:$D$2470,$B19,'июнь 2025'!$J$2:$J$2470,U$1)</f>
        <v>0</v>
      </c>
      <c r="V19" s="76">
        <f>SUMIFS('июнь 2025'!$G$2:$G$2470,'июнь 2025'!$D$2:$D$2470,$B19,'июнь 2025'!$J$2:$J$2470,V$1)</f>
        <v>0</v>
      </c>
      <c r="W19" s="76">
        <f>SUMIFS('июнь 2025'!$G$2:$G$2470,'июнь 2025'!$D$2:$D$2470,$B19,'июнь 2025'!$J$2:$J$2470,W$1)</f>
        <v>0</v>
      </c>
      <c r="X19" s="76">
        <f>SUMIFS('июнь 2025'!$G$2:$G$2470,'июнь 2025'!$D$2:$D$2470,$B19,'июнь 2025'!$J$2:$J$2470,X$1)</f>
        <v>0</v>
      </c>
      <c r="Y19" s="76">
        <f>SUMIFS('июнь 2025'!$G$2:$G$2470,'июнь 2025'!$D$2:$D$2470,$B19,'июнь 2025'!$J$2:$J$2470,Y$1)</f>
        <v>0</v>
      </c>
      <c r="Z19" s="76">
        <f>SUMIFS('июнь 2025'!$G$2:$G$2470,'июнь 2025'!$D$2:$D$2470,$B19,'июнь 2025'!$J$2:$J$2470,Z$1)</f>
        <v>0</v>
      </c>
      <c r="AA19" s="76">
        <f>SUMIFS('июнь 2025'!$G$2:$G$2470,'июнь 2025'!$D$2:$D$2470,$B19,'июнь 2025'!$J$2:$J$2470,AA$1)</f>
        <v>0</v>
      </c>
      <c r="AB19" s="76">
        <f>SUMIFS('июнь 2025'!$G$2:$G$2470,'июнь 2025'!$D$2:$D$2470,$B19,'июнь 2025'!$J$2:$J$2470,AB$1)</f>
        <v>0</v>
      </c>
      <c r="AC19" s="76">
        <f>SUMIFS('июнь 2025'!$G$2:$G$2470,'июнь 2025'!$D$2:$D$2470,$B19,'июнь 2025'!$J$2:$J$2470,AC$1)</f>
        <v>0</v>
      </c>
      <c r="AD19" s="76">
        <f>SUMIFS('июнь 2025'!$G$2:$G$2470,'июнь 2025'!$D$2:$D$2470,$B19,'июнь 2025'!$J$2:$J$2470,AD$1)</f>
        <v>0</v>
      </c>
      <c r="AE19" s="76">
        <f>SUMIFS('июнь 2025'!$G$2:$G$2470,'июнь 2025'!$D$2:$D$2470,$B19,'июнь 2025'!$J$2:$J$2470,AE$1)</f>
        <v>0</v>
      </c>
      <c r="AF19" s="76">
        <f>SUMIFS('июнь 2025'!$G$2:$G$2470,'июнь 2025'!$D$2:$D$2470,$B19,'июнь 2025'!$J$2:$J$2470,AF$1)</f>
        <v>0</v>
      </c>
      <c r="AG19" s="76">
        <f>SUMIFS('июнь 2025'!$G$2:$G$2470,'июнь 2025'!$D$2:$D$2470,$B19,'июнь 2025'!$J$2:$J$2470,AG$1)</f>
        <v>0</v>
      </c>
      <c r="AH19" s="76">
        <f>SUMIFS('июнь 2025'!$G$2:$G$2470,'июнь 2025'!$D$2:$D$2470,$B19,'июнь 2025'!$J$2:$J$2470,AH$1)</f>
        <v>0</v>
      </c>
      <c r="AI19" s="20">
        <f t="shared" si="1"/>
        <v>0</v>
      </c>
    </row>
    <row r="20" spans="2:35" ht="15" customHeight="1" x14ac:dyDescent="0.25">
      <c r="B20" s="77" t="s">
        <v>241</v>
      </c>
      <c r="C20" s="78">
        <v>25</v>
      </c>
      <c r="D20" s="76">
        <f>SUMIFS('июнь 2025'!$G$2:$G$2470,'июнь 2025'!$D$2:$D$2470,$B20,'июнь 2025'!$J$2:$J$2470,D$1)</f>
        <v>0</v>
      </c>
      <c r="E20" s="76">
        <f>SUMIFS('июнь 2025'!$G$2:$G$2470,'июнь 2025'!$D$2:$D$2470,$B20,'июнь 2025'!$J$2:$J$2470,E$1)</f>
        <v>0</v>
      </c>
      <c r="F20" s="76">
        <f>SUMIFS('июнь 2025'!$G$2:$G$2470,'июнь 2025'!$D$2:$D$2470,$B20,'июнь 2025'!$J$2:$J$2470,F$1)</f>
        <v>0</v>
      </c>
      <c r="G20" s="76">
        <f>SUMIFS('июнь 2025'!$G$2:$G$2470,'июнь 2025'!$D$2:$D$2470,$B20,'июнь 2025'!$J$2:$J$2470,G$1)</f>
        <v>0</v>
      </c>
      <c r="H20" s="76">
        <f>SUMIFS('июнь 2025'!$G$2:$G$2470,'июнь 2025'!$D$2:$D$2470,$B20,'июнь 2025'!$J$2:$J$2470,H$1)</f>
        <v>0</v>
      </c>
      <c r="I20" s="76">
        <f>SUMIFS('июнь 2025'!$G$2:$G$2470,'июнь 2025'!$D$2:$D$2470,$B20,'июнь 2025'!$J$2:$J$2470,I$1)</f>
        <v>0</v>
      </c>
      <c r="J20" s="76">
        <f>SUMIFS('июнь 2025'!$G$2:$G$2470,'июнь 2025'!$D$2:$D$2470,$B20,'июнь 2025'!$J$2:$J$2470,J$1)</f>
        <v>0</v>
      </c>
      <c r="K20" s="76">
        <f>SUMIFS('июнь 2025'!$G$2:$G$2470,'июнь 2025'!$D$2:$D$2470,$B20,'июнь 2025'!$J$2:$J$2470,K$1)</f>
        <v>0</v>
      </c>
      <c r="L20" s="76">
        <f>SUMIFS('июнь 2025'!$G$2:$G$2470,'июнь 2025'!$D$2:$D$2470,$B20,'июнь 2025'!$J$2:$J$2470,L$1)</f>
        <v>0</v>
      </c>
      <c r="M20" s="76">
        <f>SUMIFS('июнь 2025'!$G$2:$G$2470,'июнь 2025'!$D$2:$D$2470,$B20,'июнь 2025'!$J$2:$J$2470,M$1)</f>
        <v>0</v>
      </c>
      <c r="N20" s="76">
        <f>SUMIFS('июнь 2025'!$G$2:$G$2470,'июнь 2025'!$D$2:$D$2470,$B20,'июнь 2025'!$J$2:$J$2470,N$1)</f>
        <v>0</v>
      </c>
      <c r="O20" s="76">
        <f>SUMIFS('июнь 2025'!$G$2:$G$2470,'июнь 2025'!$D$2:$D$2470,$B20,'июнь 2025'!$J$2:$J$2470,O$1)</f>
        <v>0</v>
      </c>
      <c r="P20" s="76">
        <f>SUMIFS('июнь 2025'!$G$2:$G$2470,'июнь 2025'!$D$2:$D$2470,$B20,'июнь 2025'!$J$2:$J$2470,P$1)</f>
        <v>0</v>
      </c>
      <c r="Q20" s="76">
        <f>SUMIFS('июнь 2025'!$G$2:$G$2470,'июнь 2025'!$D$2:$D$2470,$B20,'июнь 2025'!$J$2:$J$2470,Q$1)</f>
        <v>0</v>
      </c>
      <c r="R20" s="76">
        <f>SUMIFS('июнь 2025'!$G$2:$G$2470,'июнь 2025'!$D$2:$D$2470,$B20,'июнь 2025'!$J$2:$J$2470,R$1)</f>
        <v>0</v>
      </c>
      <c r="S20" s="76">
        <f>SUMIFS('июнь 2025'!$G$2:$G$2470,'июнь 2025'!$D$2:$D$2470,$B20,'июнь 2025'!$J$2:$J$2470,S$1)</f>
        <v>0</v>
      </c>
      <c r="T20" s="76">
        <f>SUMIFS('июнь 2025'!$G$2:$G$2470,'июнь 2025'!$D$2:$D$2470,$B20,'июнь 2025'!$J$2:$J$2470,T$1)</f>
        <v>0</v>
      </c>
      <c r="U20" s="76">
        <f>SUMIFS('июнь 2025'!$G$2:$G$2470,'июнь 2025'!$D$2:$D$2470,$B20,'июнь 2025'!$J$2:$J$2470,U$1)</f>
        <v>0</v>
      </c>
      <c r="V20" s="76">
        <f>SUMIFS('июнь 2025'!$G$2:$G$2470,'июнь 2025'!$D$2:$D$2470,$B20,'июнь 2025'!$J$2:$J$2470,V$1)</f>
        <v>0</v>
      </c>
      <c r="W20" s="76">
        <f>SUMIFS('июнь 2025'!$G$2:$G$2470,'июнь 2025'!$D$2:$D$2470,$B20,'июнь 2025'!$J$2:$J$2470,W$1)</f>
        <v>0</v>
      </c>
      <c r="X20" s="76">
        <f>SUMIFS('июнь 2025'!$G$2:$G$2470,'июнь 2025'!$D$2:$D$2470,$B20,'июнь 2025'!$J$2:$J$2470,X$1)</f>
        <v>0</v>
      </c>
      <c r="Y20" s="76">
        <f>SUMIFS('июнь 2025'!$G$2:$G$2470,'июнь 2025'!$D$2:$D$2470,$B20,'июнь 2025'!$J$2:$J$2470,Y$1)</f>
        <v>0</v>
      </c>
      <c r="Z20" s="76">
        <f>SUMIFS('июнь 2025'!$G$2:$G$2470,'июнь 2025'!$D$2:$D$2470,$B20,'июнь 2025'!$J$2:$J$2470,Z$1)</f>
        <v>0</v>
      </c>
      <c r="AA20" s="76">
        <f>SUMIFS('июнь 2025'!$G$2:$G$2470,'июнь 2025'!$D$2:$D$2470,$B20,'июнь 2025'!$J$2:$J$2470,AA$1)</f>
        <v>0</v>
      </c>
      <c r="AB20" s="76">
        <f>SUMIFS('июнь 2025'!$G$2:$G$2470,'июнь 2025'!$D$2:$D$2470,$B20,'июнь 2025'!$J$2:$J$2470,AB$1)</f>
        <v>0</v>
      </c>
      <c r="AC20" s="76">
        <f>SUMIFS('июнь 2025'!$G$2:$G$2470,'июнь 2025'!$D$2:$D$2470,$B20,'июнь 2025'!$J$2:$J$2470,AC$1)</f>
        <v>0</v>
      </c>
      <c r="AD20" s="76">
        <f>SUMIFS('июнь 2025'!$G$2:$G$2470,'июнь 2025'!$D$2:$D$2470,$B20,'июнь 2025'!$J$2:$J$2470,AD$1)</f>
        <v>0</v>
      </c>
      <c r="AE20" s="76">
        <f>SUMIFS('июнь 2025'!$G$2:$G$2470,'июнь 2025'!$D$2:$D$2470,$B20,'июнь 2025'!$J$2:$J$2470,AE$1)</f>
        <v>0</v>
      </c>
      <c r="AF20" s="76">
        <f>SUMIFS('июнь 2025'!$G$2:$G$2470,'июнь 2025'!$D$2:$D$2470,$B20,'июнь 2025'!$J$2:$J$2470,AF$1)</f>
        <v>0</v>
      </c>
      <c r="AG20" s="76">
        <f>SUMIFS('июнь 2025'!$G$2:$G$2470,'июнь 2025'!$D$2:$D$2470,$B20,'июнь 2025'!$J$2:$J$2470,AG$1)</f>
        <v>0</v>
      </c>
      <c r="AH20" s="76">
        <f>SUMIFS('июнь 2025'!$G$2:$G$2470,'июнь 2025'!$D$2:$D$2470,$B20,'июнь 2025'!$J$2:$J$2470,AH$1)</f>
        <v>0</v>
      </c>
      <c r="AI20" s="20">
        <f t="shared" si="1"/>
        <v>0</v>
      </c>
    </row>
    <row r="21" spans="2:35" ht="15" customHeight="1" x14ac:dyDescent="0.25">
      <c r="B21" s="77" t="s">
        <v>243</v>
      </c>
      <c r="C21" s="78">
        <v>25</v>
      </c>
      <c r="D21" s="76">
        <f>SUMIFS('июнь 2025'!$G$2:$G$2470,'июнь 2025'!$D$2:$D$2470,$B21,'июнь 2025'!$J$2:$J$2470,D$1)</f>
        <v>0</v>
      </c>
      <c r="E21" s="76">
        <f>SUMIFS('июнь 2025'!$G$2:$G$2470,'июнь 2025'!$D$2:$D$2470,$B21,'июнь 2025'!$J$2:$J$2470,E$1)</f>
        <v>0</v>
      </c>
      <c r="F21" s="76">
        <f>SUMIFS('июнь 2025'!$G$2:$G$2470,'июнь 2025'!$D$2:$D$2470,$B21,'июнь 2025'!$J$2:$J$2470,F$1)</f>
        <v>0</v>
      </c>
      <c r="G21" s="76">
        <f>SUMIFS('июнь 2025'!$G$2:$G$2470,'июнь 2025'!$D$2:$D$2470,$B21,'июнь 2025'!$J$2:$J$2470,G$1)</f>
        <v>0</v>
      </c>
      <c r="H21" s="76">
        <f>SUMIFS('июнь 2025'!$G$2:$G$2470,'июнь 2025'!$D$2:$D$2470,$B21,'июнь 2025'!$J$2:$J$2470,H$1)</f>
        <v>0</v>
      </c>
      <c r="I21" s="76">
        <f>SUMIFS('июнь 2025'!$G$2:$G$2470,'июнь 2025'!$D$2:$D$2470,$B21,'июнь 2025'!$J$2:$J$2470,I$1)</f>
        <v>0</v>
      </c>
      <c r="J21" s="76">
        <f>SUMIFS('июнь 2025'!$G$2:$G$2470,'июнь 2025'!$D$2:$D$2470,$B21,'июнь 2025'!$J$2:$J$2470,J$1)</f>
        <v>0</v>
      </c>
      <c r="K21" s="76">
        <f>SUMIFS('июнь 2025'!$G$2:$G$2470,'июнь 2025'!$D$2:$D$2470,$B21,'июнь 2025'!$J$2:$J$2470,K$1)</f>
        <v>0</v>
      </c>
      <c r="L21" s="76">
        <f>SUMIFS('июнь 2025'!$G$2:$G$2470,'июнь 2025'!$D$2:$D$2470,$B21,'июнь 2025'!$J$2:$J$2470,L$1)</f>
        <v>0</v>
      </c>
      <c r="M21" s="76">
        <f>SUMIFS('июнь 2025'!$G$2:$G$2470,'июнь 2025'!$D$2:$D$2470,$B21,'июнь 2025'!$J$2:$J$2470,M$1)</f>
        <v>0</v>
      </c>
      <c r="N21" s="76">
        <f>SUMIFS('июнь 2025'!$G$2:$G$2470,'июнь 2025'!$D$2:$D$2470,$B21,'июнь 2025'!$J$2:$J$2470,N$1)</f>
        <v>0</v>
      </c>
      <c r="O21" s="76">
        <f>SUMIFS('июнь 2025'!$G$2:$G$2470,'июнь 2025'!$D$2:$D$2470,$B21,'июнь 2025'!$J$2:$J$2470,O$1)</f>
        <v>0</v>
      </c>
      <c r="P21" s="76">
        <f>SUMIFS('июнь 2025'!$G$2:$G$2470,'июнь 2025'!$D$2:$D$2470,$B21,'июнь 2025'!$J$2:$J$2470,P$1)</f>
        <v>0</v>
      </c>
      <c r="Q21" s="76">
        <f>SUMIFS('июнь 2025'!$G$2:$G$2470,'июнь 2025'!$D$2:$D$2470,$B21,'июнь 2025'!$J$2:$J$2470,Q$1)</f>
        <v>0</v>
      </c>
      <c r="R21" s="76">
        <f>SUMIFS('июнь 2025'!$G$2:$G$2470,'июнь 2025'!$D$2:$D$2470,$B21,'июнь 2025'!$J$2:$J$2470,R$1)</f>
        <v>0</v>
      </c>
      <c r="S21" s="76">
        <f>SUMIFS('июнь 2025'!$G$2:$G$2470,'июнь 2025'!$D$2:$D$2470,$B21,'июнь 2025'!$J$2:$J$2470,S$1)</f>
        <v>0</v>
      </c>
      <c r="T21" s="76">
        <f>SUMIFS('июнь 2025'!$G$2:$G$2470,'июнь 2025'!$D$2:$D$2470,$B21,'июнь 2025'!$J$2:$J$2470,T$1)</f>
        <v>0</v>
      </c>
      <c r="U21" s="76">
        <f>SUMIFS('июнь 2025'!$G$2:$G$2470,'июнь 2025'!$D$2:$D$2470,$B21,'июнь 2025'!$J$2:$J$2470,U$1)</f>
        <v>0</v>
      </c>
      <c r="V21" s="76">
        <f>SUMIFS('июнь 2025'!$G$2:$G$2470,'июнь 2025'!$D$2:$D$2470,$B21,'июнь 2025'!$J$2:$J$2470,V$1)</f>
        <v>0</v>
      </c>
      <c r="W21" s="76">
        <f>SUMIFS('июнь 2025'!$G$2:$G$2470,'июнь 2025'!$D$2:$D$2470,$B21,'июнь 2025'!$J$2:$J$2470,W$1)</f>
        <v>0</v>
      </c>
      <c r="X21" s="76">
        <f>SUMIFS('июнь 2025'!$G$2:$G$2470,'июнь 2025'!$D$2:$D$2470,$B21,'июнь 2025'!$J$2:$J$2470,X$1)</f>
        <v>0</v>
      </c>
      <c r="Y21" s="76">
        <f>SUMIFS('июнь 2025'!$G$2:$G$2470,'июнь 2025'!$D$2:$D$2470,$B21,'июнь 2025'!$J$2:$J$2470,Y$1)</f>
        <v>0</v>
      </c>
      <c r="Z21" s="76">
        <f>SUMIFS('июнь 2025'!$G$2:$G$2470,'июнь 2025'!$D$2:$D$2470,$B21,'июнь 2025'!$J$2:$J$2470,Z$1)</f>
        <v>0</v>
      </c>
      <c r="AA21" s="76">
        <f>SUMIFS('июнь 2025'!$G$2:$G$2470,'июнь 2025'!$D$2:$D$2470,$B21,'июнь 2025'!$J$2:$J$2470,AA$1)</f>
        <v>0</v>
      </c>
      <c r="AB21" s="76">
        <f>SUMIFS('июнь 2025'!$G$2:$G$2470,'июнь 2025'!$D$2:$D$2470,$B21,'июнь 2025'!$J$2:$J$2470,AB$1)</f>
        <v>0</v>
      </c>
      <c r="AC21" s="76">
        <f>SUMIFS('июнь 2025'!$G$2:$G$2470,'июнь 2025'!$D$2:$D$2470,$B21,'июнь 2025'!$J$2:$J$2470,AC$1)</f>
        <v>0</v>
      </c>
      <c r="AD21" s="76">
        <f>SUMIFS('июнь 2025'!$G$2:$G$2470,'июнь 2025'!$D$2:$D$2470,$B21,'июнь 2025'!$J$2:$J$2470,AD$1)</f>
        <v>0</v>
      </c>
      <c r="AE21" s="76">
        <f>SUMIFS('июнь 2025'!$G$2:$G$2470,'июнь 2025'!$D$2:$D$2470,$B21,'июнь 2025'!$J$2:$J$2470,AE$1)</f>
        <v>0</v>
      </c>
      <c r="AF21" s="76">
        <f>SUMIFS('июнь 2025'!$G$2:$G$2470,'июнь 2025'!$D$2:$D$2470,$B21,'июнь 2025'!$J$2:$J$2470,AF$1)</f>
        <v>0</v>
      </c>
      <c r="AG21" s="76">
        <f>SUMIFS('июнь 2025'!$G$2:$G$2470,'июнь 2025'!$D$2:$D$2470,$B21,'июнь 2025'!$J$2:$J$2470,AG$1)</f>
        <v>0</v>
      </c>
      <c r="AH21" s="76">
        <f>SUMIFS('июнь 2025'!$G$2:$G$2470,'июнь 2025'!$D$2:$D$2470,$B21,'июнь 2025'!$J$2:$J$2470,AH$1)</f>
        <v>0</v>
      </c>
      <c r="AI21" s="20">
        <f t="shared" si="1"/>
        <v>0</v>
      </c>
    </row>
    <row r="22" spans="2:35" ht="15" customHeight="1" x14ac:dyDescent="0.25">
      <c r="B22" s="77" t="s">
        <v>245</v>
      </c>
      <c r="C22" s="78">
        <v>25</v>
      </c>
      <c r="D22" s="76">
        <f>SUMIFS('июнь 2025'!$G$2:$G$2470,'июнь 2025'!$D$2:$D$2470,$B22,'июнь 2025'!$J$2:$J$2470,D$1)</f>
        <v>0</v>
      </c>
      <c r="E22" s="76">
        <f>SUMIFS('июнь 2025'!$G$2:$G$2470,'июнь 2025'!$D$2:$D$2470,$B22,'июнь 2025'!$J$2:$J$2470,E$1)</f>
        <v>0</v>
      </c>
      <c r="F22" s="76">
        <f>SUMIFS('июнь 2025'!$G$2:$G$2470,'июнь 2025'!$D$2:$D$2470,$B22,'июнь 2025'!$J$2:$J$2470,F$1)</f>
        <v>0</v>
      </c>
      <c r="G22" s="76">
        <f>SUMIFS('июнь 2025'!$G$2:$G$2470,'июнь 2025'!$D$2:$D$2470,$B22,'июнь 2025'!$J$2:$J$2470,G$1)</f>
        <v>0</v>
      </c>
      <c r="H22" s="76">
        <f>SUMIFS('июнь 2025'!$G$2:$G$2470,'июнь 2025'!$D$2:$D$2470,$B22,'июнь 2025'!$J$2:$J$2470,H$1)</f>
        <v>0</v>
      </c>
      <c r="I22" s="76">
        <f>SUMIFS('июнь 2025'!$G$2:$G$2470,'июнь 2025'!$D$2:$D$2470,$B22,'июнь 2025'!$J$2:$J$2470,I$1)</f>
        <v>0</v>
      </c>
      <c r="J22" s="76">
        <f>SUMIFS('июнь 2025'!$G$2:$G$2470,'июнь 2025'!$D$2:$D$2470,$B22,'июнь 2025'!$J$2:$J$2470,J$1)</f>
        <v>0</v>
      </c>
      <c r="K22" s="76">
        <f>SUMIFS('июнь 2025'!$G$2:$G$2470,'июнь 2025'!$D$2:$D$2470,$B22,'июнь 2025'!$J$2:$J$2470,K$1)</f>
        <v>0</v>
      </c>
      <c r="L22" s="76">
        <f>SUMIFS('июнь 2025'!$G$2:$G$2470,'июнь 2025'!$D$2:$D$2470,$B22,'июнь 2025'!$J$2:$J$2470,L$1)</f>
        <v>0</v>
      </c>
      <c r="M22" s="76">
        <f>SUMIFS('июнь 2025'!$G$2:$G$2470,'июнь 2025'!$D$2:$D$2470,$B22,'июнь 2025'!$J$2:$J$2470,M$1)</f>
        <v>0</v>
      </c>
      <c r="N22" s="76">
        <f>SUMIFS('июнь 2025'!$G$2:$G$2470,'июнь 2025'!$D$2:$D$2470,$B22,'июнь 2025'!$J$2:$J$2470,N$1)</f>
        <v>0</v>
      </c>
      <c r="O22" s="76">
        <f>SUMIFS('июнь 2025'!$G$2:$G$2470,'июнь 2025'!$D$2:$D$2470,$B22,'июнь 2025'!$J$2:$J$2470,O$1)</f>
        <v>0</v>
      </c>
      <c r="P22" s="76">
        <f>SUMIFS('июнь 2025'!$G$2:$G$2470,'июнь 2025'!$D$2:$D$2470,$B22,'июнь 2025'!$J$2:$J$2470,P$1)</f>
        <v>0</v>
      </c>
      <c r="Q22" s="76">
        <f>SUMIFS('июнь 2025'!$G$2:$G$2470,'июнь 2025'!$D$2:$D$2470,$B22,'июнь 2025'!$J$2:$J$2470,Q$1)</f>
        <v>0</v>
      </c>
      <c r="R22" s="76">
        <f>SUMIFS('июнь 2025'!$G$2:$G$2470,'июнь 2025'!$D$2:$D$2470,$B22,'июнь 2025'!$J$2:$J$2470,R$1)</f>
        <v>0</v>
      </c>
      <c r="S22" s="76">
        <f>SUMIFS('июнь 2025'!$G$2:$G$2470,'июнь 2025'!$D$2:$D$2470,$B22,'июнь 2025'!$J$2:$J$2470,S$1)</f>
        <v>0</v>
      </c>
      <c r="T22" s="76">
        <f>SUMIFS('июнь 2025'!$G$2:$G$2470,'июнь 2025'!$D$2:$D$2470,$B22,'июнь 2025'!$J$2:$J$2470,T$1)</f>
        <v>0</v>
      </c>
      <c r="U22" s="76">
        <f>SUMIFS('июнь 2025'!$G$2:$G$2470,'июнь 2025'!$D$2:$D$2470,$B22,'июнь 2025'!$J$2:$J$2470,U$1)</f>
        <v>0</v>
      </c>
      <c r="V22" s="76">
        <f>SUMIFS('июнь 2025'!$G$2:$G$2470,'июнь 2025'!$D$2:$D$2470,$B22,'июнь 2025'!$J$2:$J$2470,V$1)</f>
        <v>0</v>
      </c>
      <c r="W22" s="76">
        <f>SUMIFS('июнь 2025'!$G$2:$G$2470,'июнь 2025'!$D$2:$D$2470,$B22,'июнь 2025'!$J$2:$J$2470,W$1)</f>
        <v>0</v>
      </c>
      <c r="X22" s="76">
        <f>SUMIFS('июнь 2025'!$G$2:$G$2470,'июнь 2025'!$D$2:$D$2470,$B22,'июнь 2025'!$J$2:$J$2470,X$1)</f>
        <v>0</v>
      </c>
      <c r="Y22" s="76">
        <f>SUMIFS('июнь 2025'!$G$2:$G$2470,'июнь 2025'!$D$2:$D$2470,$B22,'июнь 2025'!$J$2:$J$2470,Y$1)</f>
        <v>0</v>
      </c>
      <c r="Z22" s="76">
        <f>SUMIFS('июнь 2025'!$G$2:$G$2470,'июнь 2025'!$D$2:$D$2470,$B22,'июнь 2025'!$J$2:$J$2470,Z$1)</f>
        <v>0</v>
      </c>
      <c r="AA22" s="76">
        <f>SUMIFS('июнь 2025'!$G$2:$G$2470,'июнь 2025'!$D$2:$D$2470,$B22,'июнь 2025'!$J$2:$J$2470,AA$1)</f>
        <v>0</v>
      </c>
      <c r="AB22" s="76">
        <f>SUMIFS('июнь 2025'!$G$2:$G$2470,'июнь 2025'!$D$2:$D$2470,$B22,'июнь 2025'!$J$2:$J$2470,AB$1)</f>
        <v>0</v>
      </c>
      <c r="AC22" s="76">
        <f>SUMIFS('июнь 2025'!$G$2:$G$2470,'июнь 2025'!$D$2:$D$2470,$B22,'июнь 2025'!$J$2:$J$2470,AC$1)</f>
        <v>0</v>
      </c>
      <c r="AD22" s="76">
        <f>SUMIFS('июнь 2025'!$G$2:$G$2470,'июнь 2025'!$D$2:$D$2470,$B22,'июнь 2025'!$J$2:$J$2470,AD$1)</f>
        <v>0</v>
      </c>
      <c r="AE22" s="76">
        <f>SUMIFS('июнь 2025'!$G$2:$G$2470,'июнь 2025'!$D$2:$D$2470,$B22,'июнь 2025'!$J$2:$J$2470,AE$1)</f>
        <v>0</v>
      </c>
      <c r="AF22" s="76">
        <f>SUMIFS('июнь 2025'!$G$2:$G$2470,'июнь 2025'!$D$2:$D$2470,$B22,'июнь 2025'!$J$2:$J$2470,AF$1)</f>
        <v>0</v>
      </c>
      <c r="AG22" s="76">
        <f>SUMIFS('июнь 2025'!$G$2:$G$2470,'июнь 2025'!$D$2:$D$2470,$B22,'июнь 2025'!$J$2:$J$2470,AG$1)</f>
        <v>0</v>
      </c>
      <c r="AH22" s="76">
        <f>SUMIFS('июнь 2025'!$G$2:$G$2470,'июнь 2025'!$D$2:$D$2470,$B22,'июнь 2025'!$J$2:$J$2470,AH$1)</f>
        <v>0</v>
      </c>
      <c r="AI22" s="20">
        <f t="shared" si="1"/>
        <v>0</v>
      </c>
    </row>
    <row r="23" spans="2:35" ht="15" customHeight="1" x14ac:dyDescent="0.25">
      <c r="B23" s="80" t="s">
        <v>247</v>
      </c>
      <c r="C23" s="96">
        <v>25</v>
      </c>
      <c r="D23" s="76">
        <f>SUMIFS('июнь 2025'!$G$2:$G$2470,'июнь 2025'!$D$2:$D$2470,$B23,'июнь 2025'!$J$2:$J$2470,D$1)</f>
        <v>0</v>
      </c>
      <c r="E23" s="76">
        <f>SUMIFS('июнь 2025'!$G$2:$G$2470,'июнь 2025'!$D$2:$D$2470,$B23,'июнь 2025'!$J$2:$J$2470,E$1)</f>
        <v>0</v>
      </c>
      <c r="F23" s="76">
        <f>SUMIFS('июнь 2025'!$G$2:$G$2470,'июнь 2025'!$D$2:$D$2470,$B23,'июнь 2025'!$J$2:$J$2470,F$1)</f>
        <v>0</v>
      </c>
      <c r="G23" s="76">
        <f>SUMIFS('июнь 2025'!$G$2:$G$2470,'июнь 2025'!$D$2:$D$2470,$B23,'июнь 2025'!$J$2:$J$2470,G$1)</f>
        <v>0</v>
      </c>
      <c r="H23" s="76">
        <f>SUMIFS('июнь 2025'!$G$2:$G$2470,'июнь 2025'!$D$2:$D$2470,$B23,'июнь 2025'!$J$2:$J$2470,H$1)</f>
        <v>0</v>
      </c>
      <c r="I23" s="76">
        <f>SUMIFS('июнь 2025'!$G$2:$G$2470,'июнь 2025'!$D$2:$D$2470,$B23,'июнь 2025'!$J$2:$J$2470,I$1)</f>
        <v>0</v>
      </c>
      <c r="J23" s="76">
        <f>SUMIFS('июнь 2025'!$G$2:$G$2470,'июнь 2025'!$D$2:$D$2470,$B23,'июнь 2025'!$J$2:$J$2470,J$1)</f>
        <v>0</v>
      </c>
      <c r="K23" s="76">
        <f>SUMIFS('июнь 2025'!$G$2:$G$2470,'июнь 2025'!$D$2:$D$2470,$B23,'июнь 2025'!$J$2:$J$2470,K$1)</f>
        <v>0</v>
      </c>
      <c r="L23" s="76">
        <f>SUMIFS('июнь 2025'!$G$2:$G$2470,'июнь 2025'!$D$2:$D$2470,$B23,'июнь 2025'!$J$2:$J$2470,L$1)</f>
        <v>0</v>
      </c>
      <c r="M23" s="76">
        <f>SUMIFS('июнь 2025'!$G$2:$G$2470,'июнь 2025'!$D$2:$D$2470,$B23,'июнь 2025'!$J$2:$J$2470,M$1)</f>
        <v>0</v>
      </c>
      <c r="N23" s="76">
        <f>SUMIFS('июнь 2025'!$G$2:$G$2470,'июнь 2025'!$D$2:$D$2470,$B23,'июнь 2025'!$J$2:$J$2470,N$1)</f>
        <v>0</v>
      </c>
      <c r="O23" s="76">
        <f>SUMIFS('июнь 2025'!$G$2:$G$2470,'июнь 2025'!$D$2:$D$2470,$B23,'июнь 2025'!$J$2:$J$2470,O$1)</f>
        <v>0</v>
      </c>
      <c r="P23" s="76">
        <f>SUMIFS('июнь 2025'!$G$2:$G$2470,'июнь 2025'!$D$2:$D$2470,$B23,'июнь 2025'!$J$2:$J$2470,P$1)</f>
        <v>0</v>
      </c>
      <c r="Q23" s="76">
        <f>SUMIFS('июнь 2025'!$G$2:$G$2470,'июнь 2025'!$D$2:$D$2470,$B23,'июнь 2025'!$J$2:$J$2470,Q$1)</f>
        <v>0</v>
      </c>
      <c r="R23" s="76">
        <f>SUMIFS('июнь 2025'!$G$2:$G$2470,'июнь 2025'!$D$2:$D$2470,$B23,'июнь 2025'!$J$2:$J$2470,R$1)</f>
        <v>0</v>
      </c>
      <c r="S23" s="76">
        <f>SUMIFS('июнь 2025'!$G$2:$G$2470,'июнь 2025'!$D$2:$D$2470,$B23,'июнь 2025'!$J$2:$J$2470,S$1)</f>
        <v>0</v>
      </c>
      <c r="T23" s="76">
        <f>SUMIFS('июнь 2025'!$G$2:$G$2470,'июнь 2025'!$D$2:$D$2470,$B23,'июнь 2025'!$J$2:$J$2470,T$1)</f>
        <v>0</v>
      </c>
      <c r="U23" s="76">
        <f>SUMIFS('июнь 2025'!$G$2:$G$2470,'июнь 2025'!$D$2:$D$2470,$B23,'июнь 2025'!$J$2:$J$2470,U$1)</f>
        <v>0</v>
      </c>
      <c r="V23" s="76">
        <f>SUMIFS('июнь 2025'!$G$2:$G$2470,'июнь 2025'!$D$2:$D$2470,$B23,'июнь 2025'!$J$2:$J$2470,V$1)</f>
        <v>0</v>
      </c>
      <c r="W23" s="76">
        <f>SUMIFS('июнь 2025'!$G$2:$G$2470,'июнь 2025'!$D$2:$D$2470,$B23,'июнь 2025'!$J$2:$J$2470,W$1)</f>
        <v>0</v>
      </c>
      <c r="X23" s="76">
        <f>SUMIFS('июнь 2025'!$G$2:$G$2470,'июнь 2025'!$D$2:$D$2470,$B23,'июнь 2025'!$J$2:$J$2470,X$1)</f>
        <v>0</v>
      </c>
      <c r="Y23" s="76">
        <f>SUMIFS('июнь 2025'!$G$2:$G$2470,'июнь 2025'!$D$2:$D$2470,$B23,'июнь 2025'!$J$2:$J$2470,Y$1)</f>
        <v>0</v>
      </c>
      <c r="Z23" s="76">
        <f>SUMIFS('июнь 2025'!$G$2:$G$2470,'июнь 2025'!$D$2:$D$2470,$B23,'июнь 2025'!$J$2:$J$2470,Z$1)</f>
        <v>0</v>
      </c>
      <c r="AA23" s="76">
        <f>SUMIFS('июнь 2025'!$G$2:$G$2470,'июнь 2025'!$D$2:$D$2470,$B23,'июнь 2025'!$J$2:$J$2470,AA$1)</f>
        <v>0</v>
      </c>
      <c r="AB23" s="76">
        <f>SUMIFS('июнь 2025'!$G$2:$G$2470,'июнь 2025'!$D$2:$D$2470,$B23,'июнь 2025'!$J$2:$J$2470,AB$1)</f>
        <v>0</v>
      </c>
      <c r="AC23" s="76">
        <f>SUMIFS('июнь 2025'!$G$2:$G$2470,'июнь 2025'!$D$2:$D$2470,$B23,'июнь 2025'!$J$2:$J$2470,AC$1)</f>
        <v>0</v>
      </c>
      <c r="AD23" s="76">
        <f>SUMIFS('июнь 2025'!$G$2:$G$2470,'июнь 2025'!$D$2:$D$2470,$B23,'июнь 2025'!$J$2:$J$2470,AD$1)</f>
        <v>0</v>
      </c>
      <c r="AE23" s="76">
        <f>SUMIFS('июнь 2025'!$G$2:$G$2470,'июнь 2025'!$D$2:$D$2470,$B23,'июнь 2025'!$J$2:$J$2470,AE$1)</f>
        <v>0</v>
      </c>
      <c r="AF23" s="76">
        <f>SUMIFS('июнь 2025'!$G$2:$G$2470,'июнь 2025'!$D$2:$D$2470,$B23,'июнь 2025'!$J$2:$J$2470,AF$1)</f>
        <v>0</v>
      </c>
      <c r="AG23" s="76">
        <f>SUMIFS('июнь 2025'!$G$2:$G$2470,'июнь 2025'!$D$2:$D$2470,$B23,'июнь 2025'!$J$2:$J$2470,AG$1)</f>
        <v>0</v>
      </c>
      <c r="AH23" s="76">
        <f>SUMIFS('июнь 2025'!$G$2:$G$2470,'июнь 2025'!$D$2:$D$2470,$B23,'июнь 2025'!$J$2:$J$2470,AH$1)</f>
        <v>0</v>
      </c>
      <c r="AI23" s="20">
        <f t="shared" si="1"/>
        <v>0</v>
      </c>
    </row>
    <row r="24" spans="2:35" ht="15" customHeight="1" x14ac:dyDescent="0.25">
      <c r="B24" s="80" t="s">
        <v>248</v>
      </c>
      <c r="C24" s="78">
        <v>25</v>
      </c>
      <c r="D24" s="76">
        <f>SUMIFS('июнь 2025'!$G$2:$G$2470,'июнь 2025'!$D$2:$D$2470,$B24,'июнь 2025'!$J$2:$J$2470,D$1)</f>
        <v>0</v>
      </c>
      <c r="E24" s="76">
        <f>SUMIFS('июнь 2025'!$G$2:$G$2470,'июнь 2025'!$D$2:$D$2470,$B24,'июнь 2025'!$J$2:$J$2470,E$1)</f>
        <v>0</v>
      </c>
      <c r="F24" s="76">
        <f>SUMIFS('июнь 2025'!$G$2:$G$2470,'июнь 2025'!$D$2:$D$2470,$B24,'июнь 2025'!$J$2:$J$2470,F$1)</f>
        <v>0</v>
      </c>
      <c r="G24" s="76">
        <f>SUMIFS('июнь 2025'!$G$2:$G$2470,'июнь 2025'!$D$2:$D$2470,$B24,'июнь 2025'!$J$2:$J$2470,G$1)</f>
        <v>0</v>
      </c>
      <c r="H24" s="76">
        <f>SUMIFS('июнь 2025'!$G$2:$G$2470,'июнь 2025'!$D$2:$D$2470,$B24,'июнь 2025'!$J$2:$J$2470,H$1)</f>
        <v>0</v>
      </c>
      <c r="I24" s="76">
        <f>SUMIFS('июнь 2025'!$G$2:$G$2470,'июнь 2025'!$D$2:$D$2470,$B24,'июнь 2025'!$J$2:$J$2470,I$1)</f>
        <v>0</v>
      </c>
      <c r="J24" s="76">
        <f>SUMIFS('июнь 2025'!$G$2:$G$2470,'июнь 2025'!$D$2:$D$2470,$B24,'июнь 2025'!$J$2:$J$2470,J$1)</f>
        <v>0</v>
      </c>
      <c r="K24" s="76">
        <f>SUMIFS('июнь 2025'!$G$2:$G$2470,'июнь 2025'!$D$2:$D$2470,$B24,'июнь 2025'!$J$2:$J$2470,K$1)</f>
        <v>0</v>
      </c>
      <c r="L24" s="76">
        <f>SUMIFS('июнь 2025'!$G$2:$G$2470,'июнь 2025'!$D$2:$D$2470,$B24,'июнь 2025'!$J$2:$J$2470,L$1)</f>
        <v>0</v>
      </c>
      <c r="M24" s="76">
        <f>SUMIFS('июнь 2025'!$G$2:$G$2470,'июнь 2025'!$D$2:$D$2470,$B24,'июнь 2025'!$J$2:$J$2470,M$1)</f>
        <v>0</v>
      </c>
      <c r="N24" s="76">
        <f>SUMIFS('июнь 2025'!$G$2:$G$2470,'июнь 2025'!$D$2:$D$2470,$B24,'июнь 2025'!$J$2:$J$2470,N$1)</f>
        <v>0</v>
      </c>
      <c r="O24" s="76">
        <f>SUMIFS('июнь 2025'!$G$2:$G$2470,'июнь 2025'!$D$2:$D$2470,$B24,'июнь 2025'!$J$2:$J$2470,O$1)</f>
        <v>0</v>
      </c>
      <c r="P24" s="76">
        <f>SUMIFS('июнь 2025'!$G$2:$G$2470,'июнь 2025'!$D$2:$D$2470,$B24,'июнь 2025'!$J$2:$J$2470,P$1)</f>
        <v>0</v>
      </c>
      <c r="Q24" s="76">
        <f>SUMIFS('июнь 2025'!$G$2:$G$2470,'июнь 2025'!$D$2:$D$2470,$B24,'июнь 2025'!$J$2:$J$2470,Q$1)</f>
        <v>0</v>
      </c>
      <c r="R24" s="76">
        <f>SUMIFS('июнь 2025'!$G$2:$G$2470,'июнь 2025'!$D$2:$D$2470,$B24,'июнь 2025'!$J$2:$J$2470,R$1)</f>
        <v>0</v>
      </c>
      <c r="S24" s="76">
        <f>SUMIFS('июнь 2025'!$G$2:$G$2470,'июнь 2025'!$D$2:$D$2470,$B24,'июнь 2025'!$J$2:$J$2470,S$1)</f>
        <v>0</v>
      </c>
      <c r="T24" s="76">
        <f>SUMIFS('июнь 2025'!$G$2:$G$2470,'июнь 2025'!$D$2:$D$2470,$B24,'июнь 2025'!$J$2:$J$2470,T$1)</f>
        <v>0</v>
      </c>
      <c r="U24" s="76">
        <f>SUMIFS('июнь 2025'!$G$2:$G$2470,'июнь 2025'!$D$2:$D$2470,$B24,'июнь 2025'!$J$2:$J$2470,U$1)</f>
        <v>0</v>
      </c>
      <c r="V24" s="76">
        <f>SUMIFS('июнь 2025'!$G$2:$G$2470,'июнь 2025'!$D$2:$D$2470,$B24,'июнь 2025'!$J$2:$J$2470,V$1)</f>
        <v>0</v>
      </c>
      <c r="W24" s="76">
        <f>SUMIFS('июнь 2025'!$G$2:$G$2470,'июнь 2025'!$D$2:$D$2470,$B24,'июнь 2025'!$J$2:$J$2470,W$1)</f>
        <v>0</v>
      </c>
      <c r="X24" s="76">
        <f>SUMIFS('июнь 2025'!$G$2:$G$2470,'июнь 2025'!$D$2:$D$2470,$B24,'июнь 2025'!$J$2:$J$2470,X$1)</f>
        <v>0</v>
      </c>
      <c r="Y24" s="76">
        <f>SUMIFS('июнь 2025'!$G$2:$G$2470,'июнь 2025'!$D$2:$D$2470,$B24,'июнь 2025'!$J$2:$J$2470,Y$1)</f>
        <v>0</v>
      </c>
      <c r="Z24" s="76">
        <f>SUMIFS('июнь 2025'!$G$2:$G$2470,'июнь 2025'!$D$2:$D$2470,$B24,'июнь 2025'!$J$2:$J$2470,Z$1)</f>
        <v>0</v>
      </c>
      <c r="AA24" s="76">
        <f>SUMIFS('июнь 2025'!$G$2:$G$2470,'июнь 2025'!$D$2:$D$2470,$B24,'июнь 2025'!$J$2:$J$2470,AA$1)</f>
        <v>0</v>
      </c>
      <c r="AB24" s="76">
        <f>SUMIFS('июнь 2025'!$G$2:$G$2470,'июнь 2025'!$D$2:$D$2470,$B24,'июнь 2025'!$J$2:$J$2470,AB$1)</f>
        <v>0</v>
      </c>
      <c r="AC24" s="76">
        <f>SUMIFS('июнь 2025'!$G$2:$G$2470,'июнь 2025'!$D$2:$D$2470,$B24,'июнь 2025'!$J$2:$J$2470,AC$1)</f>
        <v>0</v>
      </c>
      <c r="AD24" s="76">
        <f>SUMIFS('июнь 2025'!$G$2:$G$2470,'июнь 2025'!$D$2:$D$2470,$B24,'июнь 2025'!$J$2:$J$2470,AD$1)</f>
        <v>0</v>
      </c>
      <c r="AE24" s="76">
        <f>SUMIFS('июнь 2025'!$G$2:$G$2470,'июнь 2025'!$D$2:$D$2470,$B24,'июнь 2025'!$J$2:$J$2470,AE$1)</f>
        <v>0</v>
      </c>
      <c r="AF24" s="76">
        <f>SUMIFS('июнь 2025'!$G$2:$G$2470,'июнь 2025'!$D$2:$D$2470,$B24,'июнь 2025'!$J$2:$J$2470,AF$1)</f>
        <v>0</v>
      </c>
      <c r="AG24" s="76">
        <f>SUMIFS('июнь 2025'!$G$2:$G$2470,'июнь 2025'!$D$2:$D$2470,$B24,'июнь 2025'!$J$2:$J$2470,AG$1)</f>
        <v>0</v>
      </c>
      <c r="AH24" s="76">
        <f>SUMIFS('июнь 2025'!$G$2:$G$2470,'июнь 2025'!$D$2:$D$2470,$B24,'июнь 2025'!$J$2:$J$2470,AH$1)</f>
        <v>0</v>
      </c>
      <c r="AI24" s="20">
        <f t="shared" si="1"/>
        <v>0</v>
      </c>
    </row>
    <row r="25" spans="2:35" ht="15" customHeight="1" x14ac:dyDescent="0.25">
      <c r="B25" s="80" t="s">
        <v>249</v>
      </c>
      <c r="C25" s="78">
        <v>25</v>
      </c>
      <c r="D25" s="76">
        <f>SUMIFS('июнь 2025'!$G$2:$G$2470,'июнь 2025'!$D$2:$D$2470,$B25,'июнь 2025'!$J$2:$J$2470,D$1)</f>
        <v>0</v>
      </c>
      <c r="E25" s="76">
        <f>SUMIFS('июнь 2025'!$G$2:$G$2470,'июнь 2025'!$D$2:$D$2470,$B25,'июнь 2025'!$J$2:$J$2470,E$1)</f>
        <v>0</v>
      </c>
      <c r="F25" s="76">
        <f>SUMIFS('июнь 2025'!$G$2:$G$2470,'июнь 2025'!$D$2:$D$2470,$B25,'июнь 2025'!$J$2:$J$2470,F$1)</f>
        <v>0</v>
      </c>
      <c r="G25" s="76">
        <f>SUMIFS('июнь 2025'!$G$2:$G$2470,'июнь 2025'!$D$2:$D$2470,$B25,'июнь 2025'!$J$2:$J$2470,G$1)</f>
        <v>0</v>
      </c>
      <c r="H25" s="76">
        <f>SUMIFS('июнь 2025'!$G$2:$G$2470,'июнь 2025'!$D$2:$D$2470,$B25,'июнь 2025'!$J$2:$J$2470,H$1)</f>
        <v>0</v>
      </c>
      <c r="I25" s="76">
        <f>SUMIFS('июнь 2025'!$G$2:$G$2470,'июнь 2025'!$D$2:$D$2470,$B25,'июнь 2025'!$J$2:$J$2470,I$1)</f>
        <v>0</v>
      </c>
      <c r="J25" s="76">
        <f>SUMIFS('июнь 2025'!$G$2:$G$2470,'июнь 2025'!$D$2:$D$2470,$B25,'июнь 2025'!$J$2:$J$2470,J$1)</f>
        <v>0</v>
      </c>
      <c r="K25" s="76">
        <f>SUMIFS('июнь 2025'!$G$2:$G$2470,'июнь 2025'!$D$2:$D$2470,$B25,'июнь 2025'!$J$2:$J$2470,K$1)</f>
        <v>0</v>
      </c>
      <c r="L25" s="76">
        <f>SUMIFS('июнь 2025'!$G$2:$G$2470,'июнь 2025'!$D$2:$D$2470,$B25,'июнь 2025'!$J$2:$J$2470,L$1)</f>
        <v>0</v>
      </c>
      <c r="M25" s="76">
        <f>SUMIFS('июнь 2025'!$G$2:$G$2470,'июнь 2025'!$D$2:$D$2470,$B25,'июнь 2025'!$J$2:$J$2470,M$1)</f>
        <v>0</v>
      </c>
      <c r="N25" s="76">
        <f>SUMIFS('июнь 2025'!$G$2:$G$2470,'июнь 2025'!$D$2:$D$2470,$B25,'июнь 2025'!$J$2:$J$2470,N$1)</f>
        <v>0</v>
      </c>
      <c r="O25" s="76">
        <f>SUMIFS('июнь 2025'!$G$2:$G$2470,'июнь 2025'!$D$2:$D$2470,$B25,'июнь 2025'!$J$2:$J$2470,O$1)</f>
        <v>0</v>
      </c>
      <c r="P25" s="76">
        <f>SUMIFS('июнь 2025'!$G$2:$G$2470,'июнь 2025'!$D$2:$D$2470,$B25,'июнь 2025'!$J$2:$J$2470,P$1)</f>
        <v>0</v>
      </c>
      <c r="Q25" s="76">
        <f>SUMIFS('июнь 2025'!$G$2:$G$2470,'июнь 2025'!$D$2:$D$2470,$B25,'июнь 2025'!$J$2:$J$2470,Q$1)</f>
        <v>0</v>
      </c>
      <c r="R25" s="76">
        <f>SUMIFS('июнь 2025'!$G$2:$G$2470,'июнь 2025'!$D$2:$D$2470,$B25,'июнь 2025'!$J$2:$J$2470,R$1)</f>
        <v>0</v>
      </c>
      <c r="S25" s="76">
        <f>SUMIFS('июнь 2025'!$G$2:$G$2470,'июнь 2025'!$D$2:$D$2470,$B25,'июнь 2025'!$J$2:$J$2470,S$1)</f>
        <v>0</v>
      </c>
      <c r="T25" s="76">
        <f>SUMIFS('июнь 2025'!$G$2:$G$2470,'июнь 2025'!$D$2:$D$2470,$B25,'июнь 2025'!$J$2:$J$2470,T$1)</f>
        <v>0</v>
      </c>
      <c r="U25" s="76">
        <f>SUMIFS('июнь 2025'!$G$2:$G$2470,'июнь 2025'!$D$2:$D$2470,$B25,'июнь 2025'!$J$2:$J$2470,U$1)</f>
        <v>0</v>
      </c>
      <c r="V25" s="76">
        <f>SUMIFS('июнь 2025'!$G$2:$G$2470,'июнь 2025'!$D$2:$D$2470,$B25,'июнь 2025'!$J$2:$J$2470,V$1)</f>
        <v>0</v>
      </c>
      <c r="W25" s="76">
        <f>SUMIFS('июнь 2025'!$G$2:$G$2470,'июнь 2025'!$D$2:$D$2470,$B25,'июнь 2025'!$J$2:$J$2470,W$1)</f>
        <v>0</v>
      </c>
      <c r="X25" s="76">
        <f>SUMIFS('июнь 2025'!$G$2:$G$2470,'июнь 2025'!$D$2:$D$2470,$B25,'июнь 2025'!$J$2:$J$2470,X$1)</f>
        <v>0</v>
      </c>
      <c r="Y25" s="76">
        <f>SUMIFS('июнь 2025'!$G$2:$G$2470,'июнь 2025'!$D$2:$D$2470,$B25,'июнь 2025'!$J$2:$J$2470,Y$1)</f>
        <v>0</v>
      </c>
      <c r="Z25" s="76">
        <f>SUMIFS('июнь 2025'!$G$2:$G$2470,'июнь 2025'!$D$2:$D$2470,$B25,'июнь 2025'!$J$2:$J$2470,Z$1)</f>
        <v>0</v>
      </c>
      <c r="AA25" s="76">
        <f>SUMIFS('июнь 2025'!$G$2:$G$2470,'июнь 2025'!$D$2:$D$2470,$B25,'июнь 2025'!$J$2:$J$2470,AA$1)</f>
        <v>0</v>
      </c>
      <c r="AB25" s="76">
        <f>SUMIFS('июнь 2025'!$G$2:$G$2470,'июнь 2025'!$D$2:$D$2470,$B25,'июнь 2025'!$J$2:$J$2470,AB$1)</f>
        <v>0</v>
      </c>
      <c r="AC25" s="76">
        <f>SUMIFS('июнь 2025'!$G$2:$G$2470,'июнь 2025'!$D$2:$D$2470,$B25,'июнь 2025'!$J$2:$J$2470,AC$1)</f>
        <v>0</v>
      </c>
      <c r="AD25" s="76">
        <f>SUMIFS('июнь 2025'!$G$2:$G$2470,'июнь 2025'!$D$2:$D$2470,$B25,'июнь 2025'!$J$2:$J$2470,AD$1)</f>
        <v>0</v>
      </c>
      <c r="AE25" s="76">
        <f>SUMIFS('июнь 2025'!$G$2:$G$2470,'июнь 2025'!$D$2:$D$2470,$B25,'июнь 2025'!$J$2:$J$2470,AE$1)</f>
        <v>0</v>
      </c>
      <c r="AF25" s="76">
        <f>SUMIFS('июнь 2025'!$G$2:$G$2470,'июнь 2025'!$D$2:$D$2470,$B25,'июнь 2025'!$J$2:$J$2470,AF$1)</f>
        <v>0</v>
      </c>
      <c r="AG25" s="76">
        <f>SUMIFS('июнь 2025'!$G$2:$G$2470,'июнь 2025'!$D$2:$D$2470,$B25,'июнь 2025'!$J$2:$J$2470,AG$1)</f>
        <v>0</v>
      </c>
      <c r="AH25" s="76">
        <f>SUMIFS('июнь 2025'!$G$2:$G$2470,'июнь 2025'!$D$2:$D$2470,$B25,'июнь 2025'!$J$2:$J$2470,AH$1)</f>
        <v>0</v>
      </c>
      <c r="AI25" s="20">
        <f t="shared" si="1"/>
        <v>0</v>
      </c>
    </row>
    <row r="26" spans="2:35" ht="15" customHeight="1" x14ac:dyDescent="0.25">
      <c r="B26" s="80" t="s">
        <v>250</v>
      </c>
      <c r="C26" s="78">
        <v>25</v>
      </c>
      <c r="D26" s="76">
        <f>SUMIFS('июнь 2025'!$G$2:$G$2470,'июнь 2025'!$D$2:$D$2470,$B26,'июнь 2025'!$J$2:$J$2470,D$1)</f>
        <v>0</v>
      </c>
      <c r="E26" s="76">
        <f>SUMIFS('июнь 2025'!$G$2:$G$2470,'июнь 2025'!$D$2:$D$2470,$B26,'июнь 2025'!$J$2:$J$2470,E$1)</f>
        <v>0</v>
      </c>
      <c r="F26" s="76">
        <f>SUMIFS('июнь 2025'!$G$2:$G$2470,'июнь 2025'!$D$2:$D$2470,$B26,'июнь 2025'!$J$2:$J$2470,F$1)</f>
        <v>0</v>
      </c>
      <c r="G26" s="76">
        <f>SUMIFS('июнь 2025'!$G$2:$G$2470,'июнь 2025'!$D$2:$D$2470,$B26,'июнь 2025'!$J$2:$J$2470,G$1)</f>
        <v>0</v>
      </c>
      <c r="H26" s="76">
        <f>SUMIFS('июнь 2025'!$G$2:$G$2470,'июнь 2025'!$D$2:$D$2470,$B26,'июнь 2025'!$J$2:$J$2470,H$1)</f>
        <v>0</v>
      </c>
      <c r="I26" s="76">
        <f>SUMIFS('июнь 2025'!$G$2:$G$2470,'июнь 2025'!$D$2:$D$2470,$B26,'июнь 2025'!$J$2:$J$2470,I$1)</f>
        <v>0</v>
      </c>
      <c r="J26" s="76">
        <f>SUMIFS('июнь 2025'!$G$2:$G$2470,'июнь 2025'!$D$2:$D$2470,$B26,'июнь 2025'!$J$2:$J$2470,J$1)</f>
        <v>0</v>
      </c>
      <c r="K26" s="76">
        <f>SUMIFS('июнь 2025'!$G$2:$G$2470,'июнь 2025'!$D$2:$D$2470,$B26,'июнь 2025'!$J$2:$J$2470,K$1)</f>
        <v>0</v>
      </c>
      <c r="L26" s="76">
        <f>SUMIFS('июнь 2025'!$G$2:$G$2470,'июнь 2025'!$D$2:$D$2470,$B26,'июнь 2025'!$J$2:$J$2470,L$1)</f>
        <v>0</v>
      </c>
      <c r="M26" s="76">
        <f>SUMIFS('июнь 2025'!$G$2:$G$2470,'июнь 2025'!$D$2:$D$2470,$B26,'июнь 2025'!$J$2:$J$2470,M$1)</f>
        <v>0</v>
      </c>
      <c r="N26" s="76">
        <f>SUMIFS('июнь 2025'!$G$2:$G$2470,'июнь 2025'!$D$2:$D$2470,$B26,'июнь 2025'!$J$2:$J$2470,N$1)</f>
        <v>0</v>
      </c>
      <c r="O26" s="76">
        <f>SUMIFS('июнь 2025'!$G$2:$G$2470,'июнь 2025'!$D$2:$D$2470,$B26,'июнь 2025'!$J$2:$J$2470,O$1)</f>
        <v>0</v>
      </c>
      <c r="P26" s="76">
        <f>SUMIFS('июнь 2025'!$G$2:$G$2470,'июнь 2025'!$D$2:$D$2470,$B26,'июнь 2025'!$J$2:$J$2470,P$1)</f>
        <v>0</v>
      </c>
      <c r="Q26" s="76">
        <f>SUMIFS('июнь 2025'!$G$2:$G$2470,'июнь 2025'!$D$2:$D$2470,$B26,'июнь 2025'!$J$2:$J$2470,Q$1)</f>
        <v>0</v>
      </c>
      <c r="R26" s="76">
        <f>SUMIFS('июнь 2025'!$G$2:$G$2470,'июнь 2025'!$D$2:$D$2470,$B26,'июнь 2025'!$J$2:$J$2470,R$1)</f>
        <v>0</v>
      </c>
      <c r="S26" s="76">
        <f>SUMIFS('июнь 2025'!$G$2:$G$2470,'июнь 2025'!$D$2:$D$2470,$B26,'июнь 2025'!$J$2:$J$2470,S$1)</f>
        <v>0</v>
      </c>
      <c r="T26" s="76">
        <f>SUMIFS('июнь 2025'!$G$2:$G$2470,'июнь 2025'!$D$2:$D$2470,$B26,'июнь 2025'!$J$2:$J$2470,T$1)</f>
        <v>0</v>
      </c>
      <c r="U26" s="76">
        <f>SUMIFS('июнь 2025'!$G$2:$G$2470,'июнь 2025'!$D$2:$D$2470,$B26,'июнь 2025'!$J$2:$J$2470,U$1)</f>
        <v>0</v>
      </c>
      <c r="V26" s="76">
        <f>SUMIFS('июнь 2025'!$G$2:$G$2470,'июнь 2025'!$D$2:$D$2470,$B26,'июнь 2025'!$J$2:$J$2470,V$1)</f>
        <v>0</v>
      </c>
      <c r="W26" s="76">
        <f>SUMIFS('июнь 2025'!$G$2:$G$2470,'июнь 2025'!$D$2:$D$2470,$B26,'июнь 2025'!$J$2:$J$2470,W$1)</f>
        <v>0</v>
      </c>
      <c r="X26" s="76">
        <f>SUMIFS('июнь 2025'!$G$2:$G$2470,'июнь 2025'!$D$2:$D$2470,$B26,'июнь 2025'!$J$2:$J$2470,X$1)</f>
        <v>0</v>
      </c>
      <c r="Y26" s="76">
        <f>SUMIFS('июнь 2025'!$G$2:$G$2470,'июнь 2025'!$D$2:$D$2470,$B26,'июнь 2025'!$J$2:$J$2470,Y$1)</f>
        <v>0</v>
      </c>
      <c r="Z26" s="76">
        <f>SUMIFS('июнь 2025'!$G$2:$G$2470,'июнь 2025'!$D$2:$D$2470,$B26,'июнь 2025'!$J$2:$J$2470,Z$1)</f>
        <v>0</v>
      </c>
      <c r="AA26" s="76">
        <f>SUMIFS('июнь 2025'!$G$2:$G$2470,'июнь 2025'!$D$2:$D$2470,$B26,'июнь 2025'!$J$2:$J$2470,AA$1)</f>
        <v>0</v>
      </c>
      <c r="AB26" s="76">
        <f>SUMIFS('июнь 2025'!$G$2:$G$2470,'июнь 2025'!$D$2:$D$2470,$B26,'июнь 2025'!$J$2:$J$2470,AB$1)</f>
        <v>0</v>
      </c>
      <c r="AC26" s="76">
        <f>SUMIFS('июнь 2025'!$G$2:$G$2470,'июнь 2025'!$D$2:$D$2470,$B26,'июнь 2025'!$J$2:$J$2470,AC$1)</f>
        <v>0</v>
      </c>
      <c r="AD26" s="76">
        <f>SUMIFS('июнь 2025'!$G$2:$G$2470,'июнь 2025'!$D$2:$D$2470,$B26,'июнь 2025'!$J$2:$J$2470,AD$1)</f>
        <v>0</v>
      </c>
      <c r="AE26" s="76">
        <f>SUMIFS('июнь 2025'!$G$2:$G$2470,'июнь 2025'!$D$2:$D$2470,$B26,'июнь 2025'!$J$2:$J$2470,AE$1)</f>
        <v>0</v>
      </c>
      <c r="AF26" s="76">
        <f>SUMIFS('июнь 2025'!$G$2:$G$2470,'июнь 2025'!$D$2:$D$2470,$B26,'июнь 2025'!$J$2:$J$2470,AF$1)</f>
        <v>0</v>
      </c>
      <c r="AG26" s="76">
        <f>SUMIFS('июнь 2025'!$G$2:$G$2470,'июнь 2025'!$D$2:$D$2470,$B26,'июнь 2025'!$J$2:$J$2470,AG$1)</f>
        <v>0</v>
      </c>
      <c r="AH26" s="76">
        <f>SUMIFS('июнь 2025'!$G$2:$G$2470,'июнь 2025'!$D$2:$D$2470,$B26,'июнь 2025'!$J$2:$J$2470,AH$1)</f>
        <v>0</v>
      </c>
      <c r="AI26" s="20">
        <f t="shared" si="1"/>
        <v>0</v>
      </c>
    </row>
    <row r="27" spans="2:35" ht="15" customHeight="1" x14ac:dyDescent="0.25">
      <c r="B27" s="80" t="s">
        <v>251</v>
      </c>
      <c r="C27" s="78">
        <v>25</v>
      </c>
      <c r="D27" s="76">
        <f>SUMIFS('июнь 2025'!$G$2:$G$2470,'июнь 2025'!$D$2:$D$2470,$B27,'июнь 2025'!$J$2:$J$2470,D$1)</f>
        <v>0</v>
      </c>
      <c r="E27" s="76">
        <f>SUMIFS('июнь 2025'!$G$2:$G$2470,'июнь 2025'!$D$2:$D$2470,$B27,'июнь 2025'!$J$2:$J$2470,E$1)</f>
        <v>0</v>
      </c>
      <c r="F27" s="76">
        <f>SUMIFS('июнь 2025'!$G$2:$G$2470,'июнь 2025'!$D$2:$D$2470,$B27,'июнь 2025'!$J$2:$J$2470,F$1)</f>
        <v>0</v>
      </c>
      <c r="G27" s="76">
        <f>SUMIFS('июнь 2025'!$G$2:$G$2470,'июнь 2025'!$D$2:$D$2470,$B27,'июнь 2025'!$J$2:$J$2470,G$1)</f>
        <v>0</v>
      </c>
      <c r="H27" s="76">
        <f>SUMIFS('июнь 2025'!$G$2:$G$2470,'июнь 2025'!$D$2:$D$2470,$B27,'июнь 2025'!$J$2:$J$2470,H$1)</f>
        <v>0</v>
      </c>
      <c r="I27" s="76">
        <f>SUMIFS('июнь 2025'!$G$2:$G$2470,'июнь 2025'!$D$2:$D$2470,$B27,'июнь 2025'!$J$2:$J$2470,I$1)</f>
        <v>0</v>
      </c>
      <c r="J27" s="76">
        <f>SUMIFS('июнь 2025'!$G$2:$G$2470,'июнь 2025'!$D$2:$D$2470,$B27,'июнь 2025'!$J$2:$J$2470,J$1)</f>
        <v>0</v>
      </c>
      <c r="K27" s="76">
        <f>SUMIFS('июнь 2025'!$G$2:$G$2470,'июнь 2025'!$D$2:$D$2470,$B27,'июнь 2025'!$J$2:$J$2470,K$1)</f>
        <v>0</v>
      </c>
      <c r="L27" s="76">
        <f>SUMIFS('июнь 2025'!$G$2:$G$2470,'июнь 2025'!$D$2:$D$2470,$B27,'июнь 2025'!$J$2:$J$2470,L$1)</f>
        <v>0</v>
      </c>
      <c r="M27" s="76">
        <f>SUMIFS('июнь 2025'!$G$2:$G$2470,'июнь 2025'!$D$2:$D$2470,$B27,'июнь 2025'!$J$2:$J$2470,M$1)</f>
        <v>0</v>
      </c>
      <c r="N27" s="76">
        <f>SUMIFS('июнь 2025'!$G$2:$G$2470,'июнь 2025'!$D$2:$D$2470,$B27,'июнь 2025'!$J$2:$J$2470,N$1)</f>
        <v>0</v>
      </c>
      <c r="O27" s="76">
        <f>SUMIFS('июнь 2025'!$G$2:$G$2470,'июнь 2025'!$D$2:$D$2470,$B27,'июнь 2025'!$J$2:$J$2470,O$1)</f>
        <v>0</v>
      </c>
      <c r="P27" s="76">
        <f>SUMIFS('июнь 2025'!$G$2:$G$2470,'июнь 2025'!$D$2:$D$2470,$B27,'июнь 2025'!$J$2:$J$2470,P$1)</f>
        <v>0</v>
      </c>
      <c r="Q27" s="76">
        <f>SUMIFS('июнь 2025'!$G$2:$G$2470,'июнь 2025'!$D$2:$D$2470,$B27,'июнь 2025'!$J$2:$J$2470,Q$1)</f>
        <v>0</v>
      </c>
      <c r="R27" s="76">
        <f>SUMIFS('июнь 2025'!$G$2:$G$2470,'июнь 2025'!$D$2:$D$2470,$B27,'июнь 2025'!$J$2:$J$2470,R$1)</f>
        <v>0</v>
      </c>
      <c r="S27" s="76">
        <f>SUMIFS('июнь 2025'!$G$2:$G$2470,'июнь 2025'!$D$2:$D$2470,$B27,'июнь 2025'!$J$2:$J$2470,S$1)</f>
        <v>0</v>
      </c>
      <c r="T27" s="76">
        <f>SUMIFS('июнь 2025'!$G$2:$G$2470,'июнь 2025'!$D$2:$D$2470,$B27,'июнь 2025'!$J$2:$J$2470,T$1)</f>
        <v>0</v>
      </c>
      <c r="U27" s="76">
        <f>SUMIFS('июнь 2025'!$G$2:$G$2470,'июнь 2025'!$D$2:$D$2470,$B27,'июнь 2025'!$J$2:$J$2470,U$1)</f>
        <v>0</v>
      </c>
      <c r="V27" s="76">
        <f>SUMIFS('июнь 2025'!$G$2:$G$2470,'июнь 2025'!$D$2:$D$2470,$B27,'июнь 2025'!$J$2:$J$2470,V$1)</f>
        <v>0</v>
      </c>
      <c r="W27" s="76">
        <f>SUMIFS('июнь 2025'!$G$2:$G$2470,'июнь 2025'!$D$2:$D$2470,$B27,'июнь 2025'!$J$2:$J$2470,W$1)</f>
        <v>0</v>
      </c>
      <c r="X27" s="76">
        <f>SUMIFS('июнь 2025'!$G$2:$G$2470,'июнь 2025'!$D$2:$D$2470,$B27,'июнь 2025'!$J$2:$J$2470,X$1)</f>
        <v>0</v>
      </c>
      <c r="Y27" s="76">
        <f>SUMIFS('июнь 2025'!$G$2:$G$2470,'июнь 2025'!$D$2:$D$2470,$B27,'июнь 2025'!$J$2:$J$2470,Y$1)</f>
        <v>0</v>
      </c>
      <c r="Z27" s="76">
        <f>SUMIFS('июнь 2025'!$G$2:$G$2470,'июнь 2025'!$D$2:$D$2470,$B27,'июнь 2025'!$J$2:$J$2470,Z$1)</f>
        <v>0</v>
      </c>
      <c r="AA27" s="76">
        <f>SUMIFS('июнь 2025'!$G$2:$G$2470,'июнь 2025'!$D$2:$D$2470,$B27,'июнь 2025'!$J$2:$J$2470,AA$1)</f>
        <v>0</v>
      </c>
      <c r="AB27" s="76">
        <f>SUMIFS('июнь 2025'!$G$2:$G$2470,'июнь 2025'!$D$2:$D$2470,$B27,'июнь 2025'!$J$2:$J$2470,AB$1)</f>
        <v>0</v>
      </c>
      <c r="AC27" s="76">
        <f>SUMIFS('июнь 2025'!$G$2:$G$2470,'июнь 2025'!$D$2:$D$2470,$B27,'июнь 2025'!$J$2:$J$2470,AC$1)</f>
        <v>0</v>
      </c>
      <c r="AD27" s="76">
        <f>SUMIFS('июнь 2025'!$G$2:$G$2470,'июнь 2025'!$D$2:$D$2470,$B27,'июнь 2025'!$J$2:$J$2470,AD$1)</f>
        <v>0</v>
      </c>
      <c r="AE27" s="76">
        <f>SUMIFS('июнь 2025'!$G$2:$G$2470,'июнь 2025'!$D$2:$D$2470,$B27,'июнь 2025'!$J$2:$J$2470,AE$1)</f>
        <v>0</v>
      </c>
      <c r="AF27" s="76">
        <f>SUMIFS('июнь 2025'!$G$2:$G$2470,'июнь 2025'!$D$2:$D$2470,$B27,'июнь 2025'!$J$2:$J$2470,AF$1)</f>
        <v>0</v>
      </c>
      <c r="AG27" s="76">
        <f>SUMIFS('июнь 2025'!$G$2:$G$2470,'июнь 2025'!$D$2:$D$2470,$B27,'июнь 2025'!$J$2:$J$2470,AG$1)</f>
        <v>0</v>
      </c>
      <c r="AH27" s="76">
        <f>SUMIFS('июнь 2025'!$G$2:$G$2470,'июнь 2025'!$D$2:$D$2470,$B27,'июнь 2025'!$J$2:$J$2470,AH$1)</f>
        <v>0</v>
      </c>
      <c r="AI27" s="20">
        <f t="shared" si="1"/>
        <v>0</v>
      </c>
    </row>
    <row r="28" spans="2:35" ht="15" customHeight="1" x14ac:dyDescent="0.25">
      <c r="B28" s="80" t="s">
        <v>383</v>
      </c>
      <c r="C28" s="78">
        <v>25</v>
      </c>
      <c r="D28" s="76">
        <f>SUMIFS('июнь 2025'!$G$2:$G$2470,'июнь 2025'!$D$2:$D$2470,$B28,'июнь 2025'!$J$2:$J$2470,D$1)</f>
        <v>0</v>
      </c>
      <c r="E28" s="76">
        <f>SUMIFS('июнь 2025'!$G$2:$G$2470,'июнь 2025'!$D$2:$D$2470,$B28,'июнь 2025'!$J$2:$J$2470,E$1)</f>
        <v>0</v>
      </c>
      <c r="F28" s="76">
        <f>SUMIFS('июнь 2025'!$G$2:$G$2470,'июнь 2025'!$D$2:$D$2470,$B28,'июнь 2025'!$J$2:$J$2470,F$1)</f>
        <v>0</v>
      </c>
      <c r="G28" s="76">
        <f>SUMIFS('июнь 2025'!$G$2:$G$2470,'июнь 2025'!$D$2:$D$2470,$B28,'июнь 2025'!$J$2:$J$2470,G$1)</f>
        <v>0</v>
      </c>
      <c r="H28" s="76">
        <f>SUMIFS('июнь 2025'!$G$2:$G$2470,'июнь 2025'!$D$2:$D$2470,$B28,'июнь 2025'!$J$2:$J$2470,H$1)</f>
        <v>0</v>
      </c>
      <c r="I28" s="76">
        <f>SUMIFS('июнь 2025'!$G$2:$G$2470,'июнь 2025'!$D$2:$D$2470,$B28,'июнь 2025'!$J$2:$J$2470,I$1)</f>
        <v>0</v>
      </c>
      <c r="J28" s="76">
        <f>SUMIFS('июнь 2025'!$G$2:$G$2470,'июнь 2025'!$D$2:$D$2470,$B28,'июнь 2025'!$J$2:$J$2470,J$1)</f>
        <v>0</v>
      </c>
      <c r="K28" s="76">
        <f>SUMIFS('июнь 2025'!$G$2:$G$2470,'июнь 2025'!$D$2:$D$2470,$B28,'июнь 2025'!$J$2:$J$2470,K$1)</f>
        <v>0</v>
      </c>
      <c r="L28" s="76">
        <f>SUMIFS('июнь 2025'!$G$2:$G$2470,'июнь 2025'!$D$2:$D$2470,$B28,'июнь 2025'!$J$2:$J$2470,L$1)</f>
        <v>0</v>
      </c>
      <c r="M28" s="76">
        <f>SUMIFS('июнь 2025'!$G$2:$G$2470,'июнь 2025'!$D$2:$D$2470,$B28,'июнь 2025'!$J$2:$J$2470,M$1)</f>
        <v>0</v>
      </c>
      <c r="N28" s="76">
        <f>SUMIFS('июнь 2025'!$G$2:$G$2470,'июнь 2025'!$D$2:$D$2470,$B28,'июнь 2025'!$J$2:$J$2470,N$1)</f>
        <v>0</v>
      </c>
      <c r="O28" s="76">
        <f>SUMIFS('июнь 2025'!$G$2:$G$2470,'июнь 2025'!$D$2:$D$2470,$B28,'июнь 2025'!$J$2:$J$2470,O$1)</f>
        <v>0</v>
      </c>
      <c r="P28" s="76">
        <f>SUMIFS('июнь 2025'!$G$2:$G$2470,'июнь 2025'!$D$2:$D$2470,$B28,'июнь 2025'!$J$2:$J$2470,P$1)</f>
        <v>0</v>
      </c>
      <c r="Q28" s="76">
        <f>SUMIFS('июнь 2025'!$G$2:$G$2470,'июнь 2025'!$D$2:$D$2470,$B28,'июнь 2025'!$J$2:$J$2470,Q$1)</f>
        <v>0</v>
      </c>
      <c r="R28" s="76">
        <f>SUMIFS('июнь 2025'!$G$2:$G$2470,'июнь 2025'!$D$2:$D$2470,$B28,'июнь 2025'!$J$2:$J$2470,R$1)</f>
        <v>0</v>
      </c>
      <c r="S28" s="76">
        <f>SUMIFS('июнь 2025'!$G$2:$G$2470,'июнь 2025'!$D$2:$D$2470,$B28,'июнь 2025'!$J$2:$J$2470,S$1)</f>
        <v>0</v>
      </c>
      <c r="T28" s="76">
        <f>SUMIFS('июнь 2025'!$G$2:$G$2470,'июнь 2025'!$D$2:$D$2470,$B28,'июнь 2025'!$J$2:$J$2470,T$1)</f>
        <v>0</v>
      </c>
      <c r="U28" s="76">
        <f>SUMIFS('июнь 2025'!$G$2:$G$2470,'июнь 2025'!$D$2:$D$2470,$B28,'июнь 2025'!$J$2:$J$2470,U$1)</f>
        <v>0</v>
      </c>
      <c r="V28" s="76">
        <f>SUMIFS('июнь 2025'!$G$2:$G$2470,'июнь 2025'!$D$2:$D$2470,$B28,'июнь 2025'!$J$2:$J$2470,V$1)</f>
        <v>0</v>
      </c>
      <c r="W28" s="76">
        <f>SUMIFS('июнь 2025'!$G$2:$G$2470,'июнь 2025'!$D$2:$D$2470,$B28,'июнь 2025'!$J$2:$J$2470,W$1)</f>
        <v>0</v>
      </c>
      <c r="X28" s="76">
        <f>SUMIFS('июнь 2025'!$G$2:$G$2470,'июнь 2025'!$D$2:$D$2470,$B28,'июнь 2025'!$J$2:$J$2470,X$1)</f>
        <v>0</v>
      </c>
      <c r="Y28" s="76">
        <f>SUMIFS('июнь 2025'!$G$2:$G$2470,'июнь 2025'!$D$2:$D$2470,$B28,'июнь 2025'!$J$2:$J$2470,Y$1)</f>
        <v>0</v>
      </c>
      <c r="Z28" s="76">
        <f>SUMIFS('июнь 2025'!$G$2:$G$2470,'июнь 2025'!$D$2:$D$2470,$B28,'июнь 2025'!$J$2:$J$2470,Z$1)</f>
        <v>0</v>
      </c>
      <c r="AA28" s="76">
        <f>SUMIFS('июнь 2025'!$G$2:$G$2470,'июнь 2025'!$D$2:$D$2470,$B28,'июнь 2025'!$J$2:$J$2470,AA$1)</f>
        <v>0</v>
      </c>
      <c r="AB28" s="76">
        <f>SUMIFS('июнь 2025'!$G$2:$G$2470,'июнь 2025'!$D$2:$D$2470,$B28,'июнь 2025'!$J$2:$J$2470,AB$1)</f>
        <v>0</v>
      </c>
      <c r="AC28" s="76">
        <f>SUMIFS('июнь 2025'!$G$2:$G$2470,'июнь 2025'!$D$2:$D$2470,$B28,'июнь 2025'!$J$2:$J$2470,AC$1)</f>
        <v>0</v>
      </c>
      <c r="AD28" s="76">
        <f>SUMIFS('июнь 2025'!$G$2:$G$2470,'июнь 2025'!$D$2:$D$2470,$B28,'июнь 2025'!$J$2:$J$2470,AD$1)</f>
        <v>0</v>
      </c>
      <c r="AE28" s="76">
        <f>SUMIFS('июнь 2025'!$G$2:$G$2470,'июнь 2025'!$D$2:$D$2470,$B28,'июнь 2025'!$J$2:$J$2470,AE$1)</f>
        <v>0</v>
      </c>
      <c r="AF28" s="76">
        <f>SUMIFS('июнь 2025'!$G$2:$G$2470,'июнь 2025'!$D$2:$D$2470,$B28,'июнь 2025'!$J$2:$J$2470,AF$1)</f>
        <v>0</v>
      </c>
      <c r="AG28" s="76">
        <f>SUMIFS('июнь 2025'!$G$2:$G$2470,'июнь 2025'!$D$2:$D$2470,$B28,'июнь 2025'!$J$2:$J$2470,AG$1)</f>
        <v>0</v>
      </c>
      <c r="AH28" s="76">
        <f>SUMIFS('июнь 2025'!$G$2:$G$2470,'июнь 2025'!$D$2:$D$2470,$B28,'июнь 2025'!$J$2:$J$2470,AH$1)</f>
        <v>0</v>
      </c>
      <c r="AI28" s="20">
        <f t="shared" si="1"/>
        <v>0</v>
      </c>
    </row>
    <row r="29" spans="2:35" ht="15" customHeight="1" x14ac:dyDescent="0.25">
      <c r="B29" s="80"/>
      <c r="C29" s="78"/>
      <c r="D29" s="76">
        <f>SUMIFS('июнь 2025'!$G$5:$G$2470,'июнь 2025'!$D$5:$D$2470,$B29,'июнь 2025'!$J$5:$J$2470,D$1)</f>
        <v>0</v>
      </c>
      <c r="E29" s="76">
        <f>SUMIFS('июнь 2025'!$G$5:$G$2470,'июнь 2025'!$D$5:$D$2470,$B29,'июнь 2025'!$J$5:$J$2470,E$1)</f>
        <v>0</v>
      </c>
      <c r="F29" s="76">
        <f>SUMIFS('июнь 2025'!$G$5:$G$2470,'июнь 2025'!$D$5:$D$2470,$B29,'июнь 2025'!$J$5:$J$2470,F$1)</f>
        <v>0</v>
      </c>
      <c r="G29" s="76">
        <f>SUMIFS('июнь 2025'!$G$5:$G$2470,'июнь 2025'!$D$5:$D$2470,$B29,'июнь 2025'!$J$5:$J$2470,G$1)</f>
        <v>0</v>
      </c>
      <c r="H29" s="76">
        <f>SUMIFS('июнь 2025'!$G$5:$G$2470,'июнь 2025'!$D$5:$D$2470,$B29,'июнь 2025'!$J$5:$J$2470,H$1)</f>
        <v>0</v>
      </c>
      <c r="I29" s="76">
        <f>SUMIFS('июнь 2025'!$G$5:$G$2470,'июнь 2025'!$D$5:$D$2470,$B29,'июнь 2025'!$J$5:$J$2470,I$1)</f>
        <v>0</v>
      </c>
      <c r="J29" s="76">
        <f>SUMIFS('июнь 2025'!$G$5:$G$2470,'июнь 2025'!$D$5:$D$2470,$B29,'июнь 2025'!$J$5:$J$2470,J$1)</f>
        <v>0</v>
      </c>
      <c r="K29" s="76">
        <f>SUMIFS('июнь 2025'!$G$5:$G$2470,'июнь 2025'!$D$5:$D$2470,$B29,'июнь 2025'!$J$5:$J$2470,K$1)</f>
        <v>0</v>
      </c>
      <c r="L29" s="76">
        <f>SUMIFS('июнь 2025'!$G$5:$G$2470,'июнь 2025'!$D$5:$D$2470,$B29,'июнь 2025'!$J$5:$J$2470,L$1)</f>
        <v>0</v>
      </c>
      <c r="M29" s="76">
        <f>SUMIFS('июнь 2025'!$G$5:$G$2470,'июнь 2025'!$D$5:$D$2470,$B29,'июнь 2025'!$J$5:$J$2470,M$1)</f>
        <v>0</v>
      </c>
      <c r="N29" s="76">
        <f>SUMIFS('июнь 2025'!$G$5:$G$2470,'июнь 2025'!$D$5:$D$2470,$B29,'июнь 2025'!$J$5:$J$2470,N$1)</f>
        <v>0</v>
      </c>
      <c r="O29" s="76">
        <f>SUMIFS('июнь 2025'!$G$5:$G$2470,'июнь 2025'!$D$5:$D$2470,$B29,'июнь 2025'!$J$5:$J$2470,O$1)</f>
        <v>0</v>
      </c>
      <c r="P29" s="76">
        <f>SUMIFS('июнь 2025'!$G$5:$G$2470,'июнь 2025'!$D$5:$D$2470,$B29,'июнь 2025'!$J$5:$J$2470,P$1)</f>
        <v>0</v>
      </c>
      <c r="Q29" s="76">
        <f>SUMIFS('июнь 2025'!$G$5:$G$2470,'июнь 2025'!$D$5:$D$2470,$B29,'июнь 2025'!$J$5:$J$2470,Q$1)</f>
        <v>0</v>
      </c>
      <c r="R29" s="76">
        <f>SUMIFS('июнь 2025'!$G$5:$G$2470,'июнь 2025'!$D$5:$D$2470,$B29,'июнь 2025'!$J$5:$J$2470,R$1)</f>
        <v>0</v>
      </c>
      <c r="S29" s="76">
        <f>SUMIFS('июнь 2025'!$G$5:$G$2470,'июнь 2025'!$D$5:$D$2470,$B29,'июнь 2025'!$J$5:$J$2470,S$1)</f>
        <v>0</v>
      </c>
      <c r="T29" s="76">
        <f>SUMIFS('июнь 2025'!$G$5:$G$2470,'июнь 2025'!$D$5:$D$2470,$B29,'июнь 2025'!$J$5:$J$2470,T$1)</f>
        <v>0</v>
      </c>
      <c r="U29" s="76">
        <f>SUMIFS('июнь 2025'!$G$5:$G$2470,'июнь 2025'!$D$5:$D$2470,$B29,'июнь 2025'!$J$5:$J$2470,U$1)</f>
        <v>0</v>
      </c>
      <c r="V29" s="76">
        <f>SUMIFS('июнь 2025'!$G$5:$G$2470,'июнь 2025'!$D$5:$D$2470,$B29,'июнь 2025'!$J$5:$J$2470,V$1)</f>
        <v>0</v>
      </c>
      <c r="W29" s="76">
        <f>SUMIFS('июнь 2025'!$G$5:$G$2470,'июнь 2025'!$D$5:$D$2470,$B29,'июнь 2025'!$J$5:$J$2470,W$1)</f>
        <v>0</v>
      </c>
      <c r="X29" s="76">
        <f>SUMIFS('июнь 2025'!$G$5:$G$2470,'июнь 2025'!$D$5:$D$2470,$B29,'июнь 2025'!$J$5:$J$2470,X$1)</f>
        <v>0</v>
      </c>
      <c r="Y29" s="76">
        <f>SUMIFS('июнь 2025'!$G$5:$G$2470,'июнь 2025'!$D$5:$D$2470,$B29,'июнь 2025'!$J$5:$J$2470,Y$1)</f>
        <v>0</v>
      </c>
      <c r="Z29" s="76">
        <f>SUMIFS('июнь 2025'!$G$5:$G$2470,'июнь 2025'!$D$5:$D$2470,$B29,'июнь 2025'!$J$5:$J$2470,Z$1)</f>
        <v>0</v>
      </c>
      <c r="AA29" s="76">
        <f>SUMIFS('июнь 2025'!$G$5:$G$2470,'июнь 2025'!$D$5:$D$2470,$B29,'июнь 2025'!$J$5:$J$2470,AA$1)</f>
        <v>0</v>
      </c>
      <c r="AB29" s="76">
        <f>SUMIFS('июнь 2025'!$G$5:$G$2470,'июнь 2025'!$D$5:$D$2470,$B29,'июнь 2025'!$J$5:$J$2470,AB$1)</f>
        <v>0</v>
      </c>
      <c r="AC29" s="76">
        <f>SUMIFS('июнь 2025'!$G$5:$G$2470,'июнь 2025'!$D$5:$D$2470,$B29,'июнь 2025'!$J$5:$J$2470,AC$1)</f>
        <v>0</v>
      </c>
      <c r="AD29" s="76">
        <f>SUMIFS('июнь 2025'!$G$5:$G$2470,'июнь 2025'!$D$5:$D$2470,$B29,'июнь 2025'!$J$5:$J$2470,AD$1)</f>
        <v>0</v>
      </c>
      <c r="AE29" s="76">
        <f>SUMIFS('июнь 2025'!$G$5:$G$2470,'июнь 2025'!$D$5:$D$2470,$B29,'июнь 2025'!$J$5:$J$2470,AE$1)</f>
        <v>0</v>
      </c>
      <c r="AF29" s="76">
        <f>SUMIFS('июнь 2025'!$G$5:$G$2470,'июнь 2025'!$D$5:$D$2470,$B29,'июнь 2025'!$J$5:$J$2470,AF$1)</f>
        <v>0</v>
      </c>
      <c r="AG29" s="76">
        <f>SUMIFS('июнь 2025'!$G$5:$G$2470,'июнь 2025'!$D$5:$D$2470,$B29,'июнь 2025'!$J$5:$J$2470,AG$1)</f>
        <v>0</v>
      </c>
      <c r="AH29" s="76">
        <f>SUMIFS('июнь 2025'!$G$5:$G$2470,'июнь 2025'!$D$5:$D$2470,$B29,'июнь 2025'!$J$5:$J$2470,AH$1)</f>
        <v>0</v>
      </c>
      <c r="AI29" s="20">
        <f t="shared" si="1"/>
        <v>0</v>
      </c>
    </row>
    <row r="30" spans="2:35" ht="15" customHeight="1" x14ac:dyDescent="0.25">
      <c r="B30" s="80"/>
      <c r="C30" s="78"/>
      <c r="D30" s="76">
        <f>SUMIFS('июнь 2025'!$G$5:$G$2470,'июнь 2025'!$D$5:$D$2470,$B30,'июнь 2025'!$J$5:$J$2470,D$1)</f>
        <v>0</v>
      </c>
      <c r="E30" s="76">
        <f>SUMIFS('июнь 2025'!$G$5:$G$2470,'июнь 2025'!$D$5:$D$2470,$B30,'июнь 2025'!$J$5:$J$2470,E$1)</f>
        <v>0</v>
      </c>
      <c r="F30" s="76">
        <f>SUMIFS('июнь 2025'!$G$5:$G$2470,'июнь 2025'!$D$5:$D$2470,$B30,'июнь 2025'!$J$5:$J$2470,F$1)</f>
        <v>0</v>
      </c>
      <c r="G30" s="76">
        <f>SUMIFS('июнь 2025'!$G$5:$G$2470,'июнь 2025'!$D$5:$D$2470,$B30,'июнь 2025'!$J$5:$J$2470,G$1)</f>
        <v>0</v>
      </c>
      <c r="H30" s="76">
        <f>SUMIFS('июнь 2025'!$G$5:$G$2470,'июнь 2025'!$D$5:$D$2470,$B30,'июнь 2025'!$J$5:$J$2470,H$1)</f>
        <v>0</v>
      </c>
      <c r="I30" s="76">
        <f>SUMIFS('июнь 2025'!$G$5:$G$2470,'июнь 2025'!$D$5:$D$2470,$B30,'июнь 2025'!$J$5:$J$2470,I$1)</f>
        <v>0</v>
      </c>
      <c r="J30" s="76">
        <f>SUMIFS('июнь 2025'!$G$5:$G$2470,'июнь 2025'!$D$5:$D$2470,$B30,'июнь 2025'!$J$5:$J$2470,J$1)</f>
        <v>0</v>
      </c>
      <c r="K30" s="76">
        <f>SUMIFS('июнь 2025'!$G$5:$G$2470,'июнь 2025'!$D$5:$D$2470,$B30,'июнь 2025'!$J$5:$J$2470,K$1)</f>
        <v>0</v>
      </c>
      <c r="L30" s="76">
        <f>SUMIFS('июнь 2025'!$G$5:$G$2470,'июнь 2025'!$D$5:$D$2470,$B30,'июнь 2025'!$J$5:$J$2470,L$1)</f>
        <v>0</v>
      </c>
      <c r="M30" s="76">
        <f>SUMIFS('июнь 2025'!$G$5:$G$2470,'июнь 2025'!$D$5:$D$2470,$B30,'июнь 2025'!$J$5:$J$2470,M$1)</f>
        <v>0</v>
      </c>
      <c r="N30" s="76">
        <f>SUMIFS('июнь 2025'!$G$5:$G$2470,'июнь 2025'!$D$5:$D$2470,$B30,'июнь 2025'!$J$5:$J$2470,N$1)</f>
        <v>0</v>
      </c>
      <c r="O30" s="76">
        <f>SUMIFS('июнь 2025'!$G$5:$G$2470,'июнь 2025'!$D$5:$D$2470,$B30,'июнь 2025'!$J$5:$J$2470,O$1)</f>
        <v>0</v>
      </c>
      <c r="P30" s="76">
        <f>SUMIFS('июнь 2025'!$G$5:$G$2470,'июнь 2025'!$D$5:$D$2470,$B30,'июнь 2025'!$J$5:$J$2470,P$1)</f>
        <v>0</v>
      </c>
      <c r="Q30" s="76">
        <f>SUMIFS('июнь 2025'!$G$5:$G$2470,'июнь 2025'!$D$5:$D$2470,$B30,'июнь 2025'!$J$5:$J$2470,Q$1)</f>
        <v>0</v>
      </c>
      <c r="R30" s="76">
        <f>SUMIFS('июнь 2025'!$G$5:$G$2470,'июнь 2025'!$D$5:$D$2470,$B30,'июнь 2025'!$J$5:$J$2470,R$1)</f>
        <v>0</v>
      </c>
      <c r="S30" s="76">
        <f>SUMIFS('июнь 2025'!$G$5:$G$2470,'июнь 2025'!$D$5:$D$2470,$B30,'июнь 2025'!$J$5:$J$2470,S$1)</f>
        <v>0</v>
      </c>
      <c r="T30" s="76">
        <f>SUMIFS('июнь 2025'!$G$5:$G$2470,'июнь 2025'!$D$5:$D$2470,$B30,'июнь 2025'!$J$5:$J$2470,T$1)</f>
        <v>0</v>
      </c>
      <c r="U30" s="76">
        <f>SUMIFS('июнь 2025'!$G$5:$G$2470,'июнь 2025'!$D$5:$D$2470,$B30,'июнь 2025'!$J$5:$J$2470,U$1)</f>
        <v>0</v>
      </c>
      <c r="V30" s="76">
        <f>SUMIFS('июнь 2025'!$G$5:$G$2470,'июнь 2025'!$D$5:$D$2470,$B30,'июнь 2025'!$J$5:$J$2470,V$1)</f>
        <v>0</v>
      </c>
      <c r="W30" s="76">
        <f>SUMIFS('июнь 2025'!$G$5:$G$2470,'июнь 2025'!$D$5:$D$2470,$B30,'июнь 2025'!$J$5:$J$2470,W$1)</f>
        <v>0</v>
      </c>
      <c r="X30" s="76">
        <f>SUMIFS('июнь 2025'!$G$5:$G$2470,'июнь 2025'!$D$5:$D$2470,$B30,'июнь 2025'!$J$5:$J$2470,X$1)</f>
        <v>0</v>
      </c>
      <c r="Y30" s="76">
        <f>SUMIFS('июнь 2025'!$G$5:$G$2470,'июнь 2025'!$D$5:$D$2470,$B30,'июнь 2025'!$J$5:$J$2470,Y$1)</f>
        <v>0</v>
      </c>
      <c r="Z30" s="76">
        <f>SUMIFS('июнь 2025'!$G$5:$G$2470,'июнь 2025'!$D$5:$D$2470,$B30,'июнь 2025'!$J$5:$J$2470,Z$1)</f>
        <v>0</v>
      </c>
      <c r="AA30" s="76">
        <f>SUMIFS('июнь 2025'!$G$5:$G$2470,'июнь 2025'!$D$5:$D$2470,$B30,'июнь 2025'!$J$5:$J$2470,AA$1)</f>
        <v>0</v>
      </c>
      <c r="AB30" s="76">
        <f>SUMIFS('июнь 2025'!$G$5:$G$2470,'июнь 2025'!$D$5:$D$2470,$B30,'июнь 2025'!$J$5:$J$2470,AB$1)</f>
        <v>0</v>
      </c>
      <c r="AC30" s="76">
        <f>SUMIFS('июнь 2025'!$G$5:$G$2470,'июнь 2025'!$D$5:$D$2470,$B30,'июнь 2025'!$J$5:$J$2470,AC$1)</f>
        <v>0</v>
      </c>
      <c r="AD30" s="76">
        <f>SUMIFS('июнь 2025'!$G$5:$G$2470,'июнь 2025'!$D$5:$D$2470,$B30,'июнь 2025'!$J$5:$J$2470,AD$1)</f>
        <v>0</v>
      </c>
      <c r="AE30" s="76">
        <f>SUMIFS('июнь 2025'!$G$5:$G$2470,'июнь 2025'!$D$5:$D$2470,$B30,'июнь 2025'!$J$5:$J$2470,AE$1)</f>
        <v>0</v>
      </c>
      <c r="AF30" s="76">
        <f>SUMIFS('июнь 2025'!$G$5:$G$2470,'июнь 2025'!$D$5:$D$2470,$B30,'июнь 2025'!$J$5:$J$2470,AF$1)</f>
        <v>0</v>
      </c>
      <c r="AG30" s="76">
        <f>SUMIFS('июнь 2025'!$G$5:$G$2470,'июнь 2025'!$D$5:$D$2470,$B30,'июнь 2025'!$J$5:$J$2470,AG$1)</f>
        <v>0</v>
      </c>
      <c r="AH30" s="76">
        <f>SUMIFS('июнь 2025'!$G$5:$G$2470,'июнь 2025'!$D$5:$D$2470,$B30,'июнь 2025'!$J$5:$J$2470,AH$1)</f>
        <v>0</v>
      </c>
      <c r="AI30" s="20">
        <f t="shared" si="1"/>
        <v>0</v>
      </c>
    </row>
    <row r="31" spans="2:35" ht="15" customHeight="1" x14ac:dyDescent="0.25">
      <c r="B31" s="80"/>
      <c r="C31" s="78"/>
      <c r="D31" s="76">
        <f>SUMIFS('июнь 2025'!$G$5:$G$2470,'июнь 2025'!$D$5:$D$2470,$B31,'июнь 2025'!$J$5:$J$2470,D$1)</f>
        <v>0</v>
      </c>
      <c r="E31" s="76">
        <f>SUMIFS('июнь 2025'!$G$5:$G$2470,'июнь 2025'!$D$5:$D$2470,$B31,'июнь 2025'!$J$5:$J$2470,E$1)</f>
        <v>0</v>
      </c>
      <c r="F31" s="76">
        <f>SUMIFS('июнь 2025'!$G$5:$G$2470,'июнь 2025'!$D$5:$D$2470,$B31,'июнь 2025'!$J$5:$J$2470,F$1)</f>
        <v>0</v>
      </c>
      <c r="G31" s="76">
        <f>SUMIFS('июнь 2025'!$G$5:$G$2470,'июнь 2025'!$D$5:$D$2470,$B31,'июнь 2025'!$J$5:$J$2470,G$1)</f>
        <v>0</v>
      </c>
      <c r="H31" s="76">
        <f>SUMIFS('июнь 2025'!$G$5:$G$2470,'июнь 2025'!$D$5:$D$2470,$B31,'июнь 2025'!$J$5:$J$2470,H$1)</f>
        <v>0</v>
      </c>
      <c r="I31" s="76">
        <f>SUMIFS('июнь 2025'!$G$5:$G$2470,'июнь 2025'!$D$5:$D$2470,$B31,'июнь 2025'!$J$5:$J$2470,I$1)</f>
        <v>0</v>
      </c>
      <c r="J31" s="76">
        <f>SUMIFS('июнь 2025'!$G$5:$G$2470,'июнь 2025'!$D$5:$D$2470,$B31,'июнь 2025'!$J$5:$J$2470,J$1)</f>
        <v>0</v>
      </c>
      <c r="K31" s="76">
        <f>SUMIFS('июнь 2025'!$G$5:$G$2470,'июнь 2025'!$D$5:$D$2470,$B31,'июнь 2025'!$J$5:$J$2470,K$1)</f>
        <v>0</v>
      </c>
      <c r="L31" s="76">
        <f>SUMIFS('июнь 2025'!$G$5:$G$2470,'июнь 2025'!$D$5:$D$2470,$B31,'июнь 2025'!$J$5:$J$2470,L$1)</f>
        <v>0</v>
      </c>
      <c r="M31" s="76">
        <f>SUMIFS('июнь 2025'!$G$5:$G$2470,'июнь 2025'!$D$5:$D$2470,$B31,'июнь 2025'!$J$5:$J$2470,M$1)</f>
        <v>0</v>
      </c>
      <c r="N31" s="76">
        <f>SUMIFS('июнь 2025'!$G$5:$G$2470,'июнь 2025'!$D$5:$D$2470,$B31,'июнь 2025'!$J$5:$J$2470,N$1)</f>
        <v>0</v>
      </c>
      <c r="O31" s="76">
        <f>SUMIFS('июнь 2025'!$G$5:$G$2470,'июнь 2025'!$D$5:$D$2470,$B31,'июнь 2025'!$J$5:$J$2470,O$1)</f>
        <v>0</v>
      </c>
      <c r="P31" s="76">
        <f>SUMIFS('июнь 2025'!$G$5:$G$2470,'июнь 2025'!$D$5:$D$2470,$B31,'июнь 2025'!$J$5:$J$2470,P$1)</f>
        <v>0</v>
      </c>
      <c r="Q31" s="76">
        <f>SUMIFS('июнь 2025'!$G$5:$G$2470,'июнь 2025'!$D$5:$D$2470,$B31,'июнь 2025'!$J$5:$J$2470,Q$1)</f>
        <v>0</v>
      </c>
      <c r="R31" s="76">
        <f>SUMIFS('июнь 2025'!$G$5:$G$2470,'июнь 2025'!$D$5:$D$2470,$B31,'июнь 2025'!$J$5:$J$2470,R$1)</f>
        <v>0</v>
      </c>
      <c r="S31" s="76">
        <f>SUMIFS('июнь 2025'!$G$5:$G$2470,'июнь 2025'!$D$5:$D$2470,$B31,'июнь 2025'!$J$5:$J$2470,S$1)</f>
        <v>0</v>
      </c>
      <c r="T31" s="76">
        <f>SUMIFS('июнь 2025'!$G$5:$G$2470,'июнь 2025'!$D$5:$D$2470,$B31,'июнь 2025'!$J$5:$J$2470,T$1)</f>
        <v>0</v>
      </c>
      <c r="U31" s="76">
        <f>SUMIFS('июнь 2025'!$G$5:$G$2470,'июнь 2025'!$D$5:$D$2470,$B31,'июнь 2025'!$J$5:$J$2470,U$1)</f>
        <v>0</v>
      </c>
      <c r="V31" s="76">
        <f>SUMIFS('июнь 2025'!$G$5:$G$2470,'июнь 2025'!$D$5:$D$2470,$B31,'июнь 2025'!$J$5:$J$2470,V$1)</f>
        <v>0</v>
      </c>
      <c r="W31" s="76">
        <f>SUMIFS('июнь 2025'!$G$5:$G$2470,'июнь 2025'!$D$5:$D$2470,$B31,'июнь 2025'!$J$5:$J$2470,W$1)</f>
        <v>0</v>
      </c>
      <c r="X31" s="76">
        <f>SUMIFS('июнь 2025'!$G$5:$G$2470,'июнь 2025'!$D$5:$D$2470,$B31,'июнь 2025'!$J$5:$J$2470,X$1)</f>
        <v>0</v>
      </c>
      <c r="Y31" s="76">
        <f>SUMIFS('июнь 2025'!$G$5:$G$2470,'июнь 2025'!$D$5:$D$2470,$B31,'июнь 2025'!$J$5:$J$2470,Y$1)</f>
        <v>0</v>
      </c>
      <c r="Z31" s="76">
        <f>SUMIFS('июнь 2025'!$G$5:$G$2470,'июнь 2025'!$D$5:$D$2470,$B31,'июнь 2025'!$J$5:$J$2470,Z$1)</f>
        <v>0</v>
      </c>
      <c r="AA31" s="76">
        <f>SUMIFS('июнь 2025'!$G$5:$G$2470,'июнь 2025'!$D$5:$D$2470,$B31,'июнь 2025'!$J$5:$J$2470,AA$1)</f>
        <v>0</v>
      </c>
      <c r="AB31" s="76">
        <f>SUMIFS('июнь 2025'!$G$5:$G$2470,'июнь 2025'!$D$5:$D$2470,$B31,'июнь 2025'!$J$5:$J$2470,AB$1)</f>
        <v>0</v>
      </c>
      <c r="AC31" s="76">
        <f>SUMIFS('июнь 2025'!$G$5:$G$2470,'июнь 2025'!$D$5:$D$2470,$B31,'июнь 2025'!$J$5:$J$2470,AC$1)</f>
        <v>0</v>
      </c>
      <c r="AD31" s="76">
        <f>SUMIFS('июнь 2025'!$G$5:$G$2470,'июнь 2025'!$D$5:$D$2470,$B31,'июнь 2025'!$J$5:$J$2470,AD$1)</f>
        <v>0</v>
      </c>
      <c r="AE31" s="76">
        <f>SUMIFS('июнь 2025'!$G$5:$G$2470,'июнь 2025'!$D$5:$D$2470,$B31,'июнь 2025'!$J$5:$J$2470,AE$1)</f>
        <v>0</v>
      </c>
      <c r="AF31" s="76">
        <f>SUMIFS('июнь 2025'!$G$5:$G$2470,'июнь 2025'!$D$5:$D$2470,$B31,'июнь 2025'!$J$5:$J$2470,AF$1)</f>
        <v>0</v>
      </c>
      <c r="AG31" s="76">
        <f>SUMIFS('июнь 2025'!$G$5:$G$2470,'июнь 2025'!$D$5:$D$2470,$B31,'июнь 2025'!$J$5:$J$2470,AG$1)</f>
        <v>0</v>
      </c>
      <c r="AH31" s="76">
        <f>SUMIFS('июнь 2025'!$G$5:$G$2470,'июнь 2025'!$D$5:$D$2470,$B31,'июнь 2025'!$J$5:$J$2470,AH$1)</f>
        <v>0</v>
      </c>
      <c r="AI31" s="20">
        <f t="shared" si="1"/>
        <v>0</v>
      </c>
    </row>
    <row r="32" spans="2:35" ht="15" customHeight="1" x14ac:dyDescent="0.25">
      <c r="B32" s="80"/>
      <c r="C32" s="78"/>
      <c r="D32" s="76">
        <f>SUMIFS('июнь 2025'!$G$5:$G$2470,'июнь 2025'!$D$5:$D$2470,$B32,'июнь 2025'!$J$5:$J$2470,D$1)</f>
        <v>0</v>
      </c>
      <c r="E32" s="76">
        <f>SUMIFS('июнь 2025'!$G$5:$G$2470,'июнь 2025'!$D$5:$D$2470,$B32,'июнь 2025'!$J$5:$J$2470,E$1)</f>
        <v>0</v>
      </c>
      <c r="F32" s="76">
        <f>SUMIFS('июнь 2025'!$G$5:$G$2470,'июнь 2025'!$D$5:$D$2470,$B32,'июнь 2025'!$J$5:$J$2470,F$1)</f>
        <v>0</v>
      </c>
      <c r="G32" s="76">
        <f>SUMIFS('июнь 2025'!$G$5:$G$2470,'июнь 2025'!$D$5:$D$2470,$B32,'июнь 2025'!$J$5:$J$2470,G$1)</f>
        <v>0</v>
      </c>
      <c r="H32" s="76">
        <f>SUMIFS('июнь 2025'!$G$5:$G$2470,'июнь 2025'!$D$5:$D$2470,$B32,'июнь 2025'!$J$5:$J$2470,H$1)</f>
        <v>0</v>
      </c>
      <c r="I32" s="76">
        <f>SUMIFS('июнь 2025'!$G$5:$G$2470,'июнь 2025'!$D$5:$D$2470,$B32,'июнь 2025'!$J$5:$J$2470,I$1)</f>
        <v>0</v>
      </c>
      <c r="J32" s="76">
        <f>SUMIFS('июнь 2025'!$G$5:$G$2470,'июнь 2025'!$D$5:$D$2470,$B32,'июнь 2025'!$J$5:$J$2470,J$1)</f>
        <v>0</v>
      </c>
      <c r="K32" s="76">
        <f>SUMIFS('июнь 2025'!$G$5:$G$2470,'июнь 2025'!$D$5:$D$2470,$B32,'июнь 2025'!$J$5:$J$2470,K$1)</f>
        <v>0</v>
      </c>
      <c r="L32" s="76">
        <f>SUMIFS('июнь 2025'!$G$5:$G$2470,'июнь 2025'!$D$5:$D$2470,$B32,'июнь 2025'!$J$5:$J$2470,L$1)</f>
        <v>0</v>
      </c>
      <c r="M32" s="76">
        <f>SUMIFS('июнь 2025'!$G$5:$G$2470,'июнь 2025'!$D$5:$D$2470,$B32,'июнь 2025'!$J$5:$J$2470,M$1)</f>
        <v>0</v>
      </c>
      <c r="N32" s="76">
        <f>SUMIFS('июнь 2025'!$G$5:$G$2470,'июнь 2025'!$D$5:$D$2470,$B32,'июнь 2025'!$J$5:$J$2470,N$1)</f>
        <v>0</v>
      </c>
      <c r="O32" s="76">
        <f>SUMIFS('июнь 2025'!$G$5:$G$2470,'июнь 2025'!$D$5:$D$2470,$B32,'июнь 2025'!$J$5:$J$2470,O$1)</f>
        <v>0</v>
      </c>
      <c r="P32" s="76">
        <f>SUMIFS('июнь 2025'!$G$5:$G$2470,'июнь 2025'!$D$5:$D$2470,$B32,'июнь 2025'!$J$5:$J$2470,P$1)</f>
        <v>0</v>
      </c>
      <c r="Q32" s="76">
        <f>SUMIFS('июнь 2025'!$G$5:$G$2470,'июнь 2025'!$D$5:$D$2470,$B32,'июнь 2025'!$J$5:$J$2470,Q$1)</f>
        <v>0</v>
      </c>
      <c r="R32" s="76">
        <f>SUMIFS('июнь 2025'!$G$5:$G$2470,'июнь 2025'!$D$5:$D$2470,$B32,'июнь 2025'!$J$5:$J$2470,R$1)</f>
        <v>0</v>
      </c>
      <c r="S32" s="76">
        <f>SUMIFS('июнь 2025'!$G$5:$G$2470,'июнь 2025'!$D$5:$D$2470,$B32,'июнь 2025'!$J$5:$J$2470,S$1)</f>
        <v>0</v>
      </c>
      <c r="T32" s="76">
        <f>SUMIFS('июнь 2025'!$G$5:$G$2470,'июнь 2025'!$D$5:$D$2470,$B32,'июнь 2025'!$J$5:$J$2470,T$1)</f>
        <v>0</v>
      </c>
      <c r="U32" s="76">
        <f>SUMIFS('июнь 2025'!$G$5:$G$2470,'июнь 2025'!$D$5:$D$2470,$B32,'июнь 2025'!$J$5:$J$2470,U$1)</f>
        <v>0</v>
      </c>
      <c r="V32" s="76">
        <f>SUMIFS('июнь 2025'!$G$5:$G$2470,'июнь 2025'!$D$5:$D$2470,$B32,'июнь 2025'!$J$5:$J$2470,V$1)</f>
        <v>0</v>
      </c>
      <c r="W32" s="76">
        <f>SUMIFS('июнь 2025'!$G$5:$G$2470,'июнь 2025'!$D$5:$D$2470,$B32,'июнь 2025'!$J$5:$J$2470,W$1)</f>
        <v>0</v>
      </c>
      <c r="X32" s="76">
        <f>SUMIFS('июнь 2025'!$G$5:$G$2470,'июнь 2025'!$D$5:$D$2470,$B32,'июнь 2025'!$J$5:$J$2470,X$1)</f>
        <v>0</v>
      </c>
      <c r="Y32" s="76">
        <f>SUMIFS('июнь 2025'!$G$5:$G$2470,'июнь 2025'!$D$5:$D$2470,$B32,'июнь 2025'!$J$5:$J$2470,Y$1)</f>
        <v>0</v>
      </c>
      <c r="Z32" s="76">
        <f>SUMIFS('июнь 2025'!$G$5:$G$2470,'июнь 2025'!$D$5:$D$2470,$B32,'июнь 2025'!$J$5:$J$2470,Z$1)</f>
        <v>0</v>
      </c>
      <c r="AA32" s="76">
        <f>SUMIFS('июнь 2025'!$G$5:$G$2470,'июнь 2025'!$D$5:$D$2470,$B32,'июнь 2025'!$J$5:$J$2470,AA$1)</f>
        <v>0</v>
      </c>
      <c r="AB32" s="76">
        <f>SUMIFS('июнь 2025'!$G$5:$G$2470,'июнь 2025'!$D$5:$D$2470,$B32,'июнь 2025'!$J$5:$J$2470,AB$1)</f>
        <v>0</v>
      </c>
      <c r="AC32" s="76">
        <f>SUMIFS('июнь 2025'!$G$5:$G$2470,'июнь 2025'!$D$5:$D$2470,$B32,'июнь 2025'!$J$5:$J$2470,AC$1)</f>
        <v>0</v>
      </c>
      <c r="AD32" s="76">
        <f>SUMIFS('июнь 2025'!$G$5:$G$2470,'июнь 2025'!$D$5:$D$2470,$B32,'июнь 2025'!$J$5:$J$2470,AD$1)</f>
        <v>0</v>
      </c>
      <c r="AE32" s="76">
        <f>SUMIFS('июнь 2025'!$G$5:$G$2470,'июнь 2025'!$D$5:$D$2470,$B32,'июнь 2025'!$J$5:$J$2470,AE$1)</f>
        <v>0</v>
      </c>
      <c r="AF32" s="76">
        <f>SUMIFS('июнь 2025'!$G$5:$G$2470,'июнь 2025'!$D$5:$D$2470,$B32,'июнь 2025'!$J$5:$J$2470,AF$1)</f>
        <v>0</v>
      </c>
      <c r="AG32" s="76">
        <f>SUMIFS('июнь 2025'!$G$5:$G$2470,'июнь 2025'!$D$5:$D$2470,$B32,'июнь 2025'!$J$5:$J$2470,AG$1)</f>
        <v>0</v>
      </c>
      <c r="AH32" s="76">
        <f>SUMIFS('июнь 2025'!$G$5:$G$2470,'июнь 2025'!$D$5:$D$2470,$B32,'июнь 2025'!$J$5:$J$2470,AH$1)</f>
        <v>0</v>
      </c>
      <c r="AI32" s="20">
        <f t="shared" si="1"/>
        <v>0</v>
      </c>
    </row>
    <row r="33" spans="2:35" ht="15" customHeight="1" x14ac:dyDescent="0.25">
      <c r="B33" s="125" t="s">
        <v>213</v>
      </c>
      <c r="C33" s="126">
        <v>25</v>
      </c>
      <c r="D33" s="182">
        <f>SUMIFS('июнь 2025'!$G$5:$G$2470,'июнь 2025'!$D$5:$D$2470,$B33,'июнь 2025'!$J$5:$J$2470,D$1)</f>
        <v>0</v>
      </c>
      <c r="E33" s="182">
        <f>SUMIFS('июнь 2025'!$G$5:$G$2470,'июнь 2025'!$D$5:$D$2470,$B33,'июнь 2025'!$J$5:$J$2470,E$1)</f>
        <v>0</v>
      </c>
      <c r="F33" s="182">
        <f>SUMIFS('июнь 2025'!$G$5:$G$2470,'июнь 2025'!$D$5:$D$2470,$B33,'июнь 2025'!$J$5:$J$2470,F$1)</f>
        <v>0</v>
      </c>
      <c r="G33" s="182">
        <f>SUMIFS('июнь 2025'!$G$5:$G$2470,'июнь 2025'!$D$5:$D$2470,$B33,'июнь 2025'!$J$5:$J$2470,G$1)</f>
        <v>0</v>
      </c>
      <c r="H33" s="182">
        <f>SUMIFS('июнь 2025'!$G$5:$G$2470,'июнь 2025'!$D$5:$D$2470,$B33,'июнь 2025'!$J$5:$J$2470,H$1)</f>
        <v>0</v>
      </c>
      <c r="I33" s="182">
        <f>SUMIFS('июнь 2025'!$G$5:$G$2470,'июнь 2025'!$D$5:$D$2470,$B33,'июнь 2025'!$J$5:$J$2470,I$1)</f>
        <v>0</v>
      </c>
      <c r="J33" s="182">
        <f>SUMIFS('июнь 2025'!$G$5:$G$2470,'июнь 2025'!$D$5:$D$2470,$B33,'июнь 2025'!$J$5:$J$2470,J$1)</f>
        <v>0</v>
      </c>
      <c r="K33" s="182">
        <f>SUMIFS('июнь 2025'!$G$5:$G$2470,'июнь 2025'!$D$5:$D$2470,$B33,'июнь 2025'!$J$5:$J$2470,K$1)</f>
        <v>0</v>
      </c>
      <c r="L33" s="182">
        <f>SUMIFS('июнь 2025'!$G$5:$G$2470,'июнь 2025'!$D$5:$D$2470,$B33,'июнь 2025'!$J$5:$J$2470,L$1)</f>
        <v>0</v>
      </c>
      <c r="M33" s="182">
        <f>SUMIFS('июнь 2025'!$G$5:$G$2470,'июнь 2025'!$D$5:$D$2470,$B33,'июнь 2025'!$J$5:$J$2470,M$1)</f>
        <v>0</v>
      </c>
      <c r="N33" s="182">
        <f>SUMIFS('июнь 2025'!$G$5:$G$2470,'июнь 2025'!$D$5:$D$2470,$B33,'июнь 2025'!$J$5:$J$2470,N$1)</f>
        <v>0</v>
      </c>
      <c r="O33" s="182">
        <f>SUMIFS('июнь 2025'!$G$5:$G$2470,'июнь 2025'!$D$5:$D$2470,$B33,'июнь 2025'!$J$5:$J$2470,O$1)</f>
        <v>0</v>
      </c>
      <c r="P33" s="182">
        <f>SUMIFS('июнь 2025'!$G$5:$G$2470,'июнь 2025'!$D$5:$D$2470,$B33,'июнь 2025'!$J$5:$J$2470,P$1)</f>
        <v>0</v>
      </c>
      <c r="Q33" s="182">
        <f>SUMIFS('июнь 2025'!$G$5:$G$2470,'июнь 2025'!$D$5:$D$2470,$B33,'июнь 2025'!$J$5:$J$2470,Q$1)</f>
        <v>0</v>
      </c>
      <c r="R33" s="182">
        <f>SUMIFS('июнь 2025'!$G$5:$G$2470,'июнь 2025'!$D$5:$D$2470,$B33,'июнь 2025'!$J$5:$J$2470,R$1)</f>
        <v>0</v>
      </c>
      <c r="S33" s="182">
        <f>SUMIFS('июнь 2025'!$G$5:$G$2470,'июнь 2025'!$D$5:$D$2470,$B33,'июнь 2025'!$J$5:$J$2470,S$1)</f>
        <v>0</v>
      </c>
      <c r="T33" s="182">
        <f>SUMIFS('июнь 2025'!$G$5:$G$2470,'июнь 2025'!$D$5:$D$2470,$B33,'июнь 2025'!$J$5:$J$2470,T$1)</f>
        <v>0</v>
      </c>
      <c r="U33" s="182">
        <f>SUMIFS('июнь 2025'!$G$5:$G$2470,'июнь 2025'!$D$5:$D$2470,$B33,'июнь 2025'!$J$5:$J$2470,U$1)</f>
        <v>0</v>
      </c>
      <c r="V33" s="182">
        <f>SUMIFS('июнь 2025'!$G$5:$G$2470,'июнь 2025'!$D$5:$D$2470,$B33,'июнь 2025'!$J$5:$J$2470,V$1)</f>
        <v>0</v>
      </c>
      <c r="W33" s="182">
        <f>SUMIFS('июнь 2025'!$G$5:$G$2470,'июнь 2025'!$D$5:$D$2470,$B33,'июнь 2025'!$J$5:$J$2470,W$1)</f>
        <v>0</v>
      </c>
      <c r="X33" s="182">
        <f>SUMIFS('июнь 2025'!$G$5:$G$2470,'июнь 2025'!$D$5:$D$2470,$B33,'июнь 2025'!$J$5:$J$2470,X$1)</f>
        <v>0</v>
      </c>
      <c r="Y33" s="182">
        <f>SUMIFS('июнь 2025'!$G$5:$G$2470,'июнь 2025'!$D$5:$D$2470,$B33,'июнь 2025'!$J$5:$J$2470,Y$1)</f>
        <v>0</v>
      </c>
      <c r="Z33" s="182">
        <f>SUMIFS('июнь 2025'!$G$5:$G$2470,'июнь 2025'!$D$5:$D$2470,$B33,'июнь 2025'!$J$5:$J$2470,Z$1)</f>
        <v>0</v>
      </c>
      <c r="AA33" s="182">
        <f>SUMIFS('июнь 2025'!$G$5:$G$2470,'июнь 2025'!$D$5:$D$2470,$B33,'июнь 2025'!$J$5:$J$2470,AA$1)</f>
        <v>0</v>
      </c>
      <c r="AB33" s="182">
        <f>SUMIFS('июнь 2025'!$G$5:$G$2470,'июнь 2025'!$D$5:$D$2470,$B33,'июнь 2025'!$J$5:$J$2470,AB$1)</f>
        <v>0</v>
      </c>
      <c r="AC33" s="182">
        <f>SUMIFS('июнь 2025'!$G$5:$G$2470,'июнь 2025'!$D$5:$D$2470,$B33,'июнь 2025'!$J$5:$J$2470,AC$1)</f>
        <v>0</v>
      </c>
      <c r="AD33" s="182">
        <f>SUMIFS('июнь 2025'!$G$5:$G$2470,'июнь 2025'!$D$5:$D$2470,$B33,'июнь 2025'!$J$5:$J$2470,AD$1)</f>
        <v>0</v>
      </c>
      <c r="AE33" s="182">
        <f>SUMIFS('июнь 2025'!$G$5:$G$2470,'июнь 2025'!$D$5:$D$2470,$B33,'июнь 2025'!$J$5:$J$2470,AE$1)</f>
        <v>0</v>
      </c>
      <c r="AF33" s="182">
        <f>SUMIFS('июнь 2025'!$G$5:$G$2470,'июнь 2025'!$D$5:$D$2470,$B33,'июнь 2025'!$J$5:$J$2470,AF$1)</f>
        <v>0</v>
      </c>
      <c r="AG33" s="182">
        <f>SUMIFS('июнь 2025'!$G$5:$G$2470,'июнь 2025'!$D$5:$D$2470,$B33,'июнь 2025'!$J$5:$J$2470,AG$1)</f>
        <v>0</v>
      </c>
      <c r="AH33" s="182">
        <f>SUMIFS('июнь 2025'!$G$5:$G$2470,'июнь 2025'!$D$5:$D$2470,$B33,'июнь 2025'!$J$5:$J$2470,AH$1)</f>
        <v>0</v>
      </c>
      <c r="AI33" s="20">
        <f t="shared" si="1"/>
        <v>0</v>
      </c>
    </row>
    <row r="34" spans="2:35" ht="15" customHeight="1" x14ac:dyDescent="0.25">
      <c r="B34" s="127" t="s">
        <v>215</v>
      </c>
      <c r="C34" s="126">
        <v>25</v>
      </c>
      <c r="D34" s="182">
        <f>SUMIFS('июнь 2025'!$G$5:$G$2470,'июнь 2025'!$D$5:$D$2470,$B34,'июнь 2025'!$J$5:$J$2470,D$1)</f>
        <v>0</v>
      </c>
      <c r="E34" s="182">
        <f>SUMIFS('июнь 2025'!$G$5:$G$2470,'июнь 2025'!$D$5:$D$2470,$B34,'июнь 2025'!$J$5:$J$2470,E$1)</f>
        <v>0</v>
      </c>
      <c r="F34" s="182">
        <f>SUMIFS('июнь 2025'!$G$5:$G$2470,'июнь 2025'!$D$5:$D$2470,$B34,'июнь 2025'!$J$5:$J$2470,F$1)</f>
        <v>0</v>
      </c>
      <c r="G34" s="182">
        <f>SUMIFS('июнь 2025'!$G$5:$G$2470,'июнь 2025'!$D$5:$D$2470,$B34,'июнь 2025'!$J$5:$J$2470,G$1)</f>
        <v>0</v>
      </c>
      <c r="H34" s="182">
        <f>SUMIFS('июнь 2025'!$G$5:$G$2470,'июнь 2025'!$D$5:$D$2470,$B34,'июнь 2025'!$J$5:$J$2470,H$1)</f>
        <v>0</v>
      </c>
      <c r="I34" s="182">
        <f>SUMIFS('июнь 2025'!$G$5:$G$2470,'июнь 2025'!$D$5:$D$2470,$B34,'июнь 2025'!$J$5:$J$2470,I$1)</f>
        <v>0</v>
      </c>
      <c r="J34" s="182">
        <f>SUMIFS('июнь 2025'!$G$5:$G$2470,'июнь 2025'!$D$5:$D$2470,$B34,'июнь 2025'!$J$5:$J$2470,J$1)</f>
        <v>0</v>
      </c>
      <c r="K34" s="182">
        <f>SUMIFS('июнь 2025'!$G$5:$G$2470,'июнь 2025'!$D$5:$D$2470,$B34,'июнь 2025'!$J$5:$J$2470,K$1)</f>
        <v>0</v>
      </c>
      <c r="L34" s="182">
        <f>SUMIFS('июнь 2025'!$G$5:$G$2470,'июнь 2025'!$D$5:$D$2470,$B34,'июнь 2025'!$J$5:$J$2470,L$1)</f>
        <v>0</v>
      </c>
      <c r="M34" s="182">
        <f>SUMIFS('июнь 2025'!$G$5:$G$2470,'июнь 2025'!$D$5:$D$2470,$B34,'июнь 2025'!$J$5:$J$2470,M$1)</f>
        <v>0</v>
      </c>
      <c r="N34" s="182">
        <f>SUMIFS('июнь 2025'!$G$5:$G$2470,'июнь 2025'!$D$5:$D$2470,$B34,'июнь 2025'!$J$5:$J$2470,N$1)</f>
        <v>0</v>
      </c>
      <c r="O34" s="182">
        <f>SUMIFS('июнь 2025'!$G$5:$G$2470,'июнь 2025'!$D$5:$D$2470,$B34,'июнь 2025'!$J$5:$J$2470,O$1)</f>
        <v>0</v>
      </c>
      <c r="P34" s="182">
        <f>SUMIFS('июнь 2025'!$G$5:$G$2470,'июнь 2025'!$D$5:$D$2470,$B34,'июнь 2025'!$J$5:$J$2470,P$1)</f>
        <v>0</v>
      </c>
      <c r="Q34" s="182">
        <f>SUMIFS('июнь 2025'!$G$5:$G$2470,'июнь 2025'!$D$5:$D$2470,$B34,'июнь 2025'!$J$5:$J$2470,Q$1)</f>
        <v>0</v>
      </c>
      <c r="R34" s="182">
        <f>SUMIFS('июнь 2025'!$G$5:$G$2470,'июнь 2025'!$D$5:$D$2470,$B34,'июнь 2025'!$J$5:$J$2470,R$1)</f>
        <v>0</v>
      </c>
      <c r="S34" s="182">
        <f>SUMIFS('июнь 2025'!$G$5:$G$2470,'июнь 2025'!$D$5:$D$2470,$B34,'июнь 2025'!$J$5:$J$2470,S$1)</f>
        <v>0</v>
      </c>
      <c r="T34" s="182">
        <f>SUMIFS('июнь 2025'!$G$5:$G$2470,'июнь 2025'!$D$5:$D$2470,$B34,'июнь 2025'!$J$5:$J$2470,T$1)</f>
        <v>0</v>
      </c>
      <c r="U34" s="182">
        <f>SUMIFS('июнь 2025'!$G$5:$G$2470,'июнь 2025'!$D$5:$D$2470,$B34,'июнь 2025'!$J$5:$J$2470,U$1)</f>
        <v>0</v>
      </c>
      <c r="V34" s="182">
        <f>SUMIFS('июнь 2025'!$G$5:$G$2470,'июнь 2025'!$D$5:$D$2470,$B34,'июнь 2025'!$J$5:$J$2470,V$1)</f>
        <v>0</v>
      </c>
      <c r="W34" s="182">
        <f>SUMIFS('июнь 2025'!$G$5:$G$2470,'июнь 2025'!$D$5:$D$2470,$B34,'июнь 2025'!$J$5:$J$2470,W$1)</f>
        <v>0</v>
      </c>
      <c r="X34" s="182">
        <f>SUMIFS('июнь 2025'!$G$5:$G$2470,'июнь 2025'!$D$5:$D$2470,$B34,'июнь 2025'!$J$5:$J$2470,X$1)</f>
        <v>0</v>
      </c>
      <c r="Y34" s="182">
        <f>SUMIFS('июнь 2025'!$G$5:$G$2470,'июнь 2025'!$D$5:$D$2470,$B34,'июнь 2025'!$J$5:$J$2470,Y$1)</f>
        <v>0</v>
      </c>
      <c r="Z34" s="182">
        <f>SUMIFS('июнь 2025'!$G$5:$G$2470,'июнь 2025'!$D$5:$D$2470,$B34,'июнь 2025'!$J$5:$J$2470,Z$1)</f>
        <v>0</v>
      </c>
      <c r="AA34" s="182">
        <f>SUMIFS('июнь 2025'!$G$5:$G$2470,'июнь 2025'!$D$5:$D$2470,$B34,'июнь 2025'!$J$5:$J$2470,AA$1)</f>
        <v>0</v>
      </c>
      <c r="AB34" s="182">
        <f>SUMIFS('июнь 2025'!$G$5:$G$2470,'июнь 2025'!$D$5:$D$2470,$B34,'июнь 2025'!$J$5:$J$2470,AB$1)</f>
        <v>0</v>
      </c>
      <c r="AC34" s="182">
        <f>SUMIFS('июнь 2025'!$G$5:$G$2470,'июнь 2025'!$D$5:$D$2470,$B34,'июнь 2025'!$J$5:$J$2470,AC$1)</f>
        <v>0</v>
      </c>
      <c r="AD34" s="182">
        <f>SUMIFS('июнь 2025'!$G$5:$G$2470,'июнь 2025'!$D$5:$D$2470,$B34,'июнь 2025'!$J$5:$J$2470,AD$1)</f>
        <v>0</v>
      </c>
      <c r="AE34" s="182">
        <f>SUMIFS('июнь 2025'!$G$5:$G$2470,'июнь 2025'!$D$5:$D$2470,$B34,'июнь 2025'!$J$5:$J$2470,AE$1)</f>
        <v>0</v>
      </c>
      <c r="AF34" s="182">
        <f>SUMIFS('июнь 2025'!$G$5:$G$2470,'июнь 2025'!$D$5:$D$2470,$B34,'июнь 2025'!$J$5:$J$2470,AF$1)</f>
        <v>0</v>
      </c>
      <c r="AG34" s="182">
        <f>SUMIFS('июнь 2025'!$G$5:$G$2470,'июнь 2025'!$D$5:$D$2470,$B34,'июнь 2025'!$J$5:$J$2470,AG$1)</f>
        <v>0</v>
      </c>
      <c r="AH34" s="182">
        <f>SUMIFS('июнь 2025'!$G$5:$G$2470,'июнь 2025'!$D$5:$D$2470,$B34,'июнь 2025'!$J$5:$J$2470,AH$1)</f>
        <v>0</v>
      </c>
      <c r="AI34" s="20">
        <f t="shared" si="1"/>
        <v>0</v>
      </c>
    </row>
    <row r="35" spans="2:35" ht="15" customHeight="1" x14ac:dyDescent="0.25">
      <c r="B35" s="128" t="s">
        <v>384</v>
      </c>
      <c r="C35" s="126">
        <v>25</v>
      </c>
      <c r="D35" s="182">
        <f>SUMIFS('июнь 2025'!$G$5:$G$2470,'июнь 2025'!$D$5:$D$2470,$B35,'июнь 2025'!$J$5:$J$2470,D$1)</f>
        <v>0</v>
      </c>
      <c r="E35" s="182">
        <f>SUMIFS('июнь 2025'!$G$5:$G$2470,'июнь 2025'!$D$5:$D$2470,$B35,'июнь 2025'!$J$5:$J$2470,E$1)</f>
        <v>0</v>
      </c>
      <c r="F35" s="182">
        <f>SUMIFS('июнь 2025'!$G$5:$G$2470,'июнь 2025'!$D$5:$D$2470,$B35,'июнь 2025'!$J$5:$J$2470,F$1)</f>
        <v>0</v>
      </c>
      <c r="G35" s="182">
        <f>SUMIFS('июнь 2025'!$G$5:$G$2470,'июнь 2025'!$D$5:$D$2470,$B35,'июнь 2025'!$J$5:$J$2470,G$1)</f>
        <v>0</v>
      </c>
      <c r="H35" s="182">
        <f>SUMIFS('июнь 2025'!$G$5:$G$2470,'июнь 2025'!$D$5:$D$2470,$B35,'июнь 2025'!$J$5:$J$2470,H$1)</f>
        <v>0</v>
      </c>
      <c r="I35" s="182">
        <f>SUMIFS('июнь 2025'!$G$5:$G$2470,'июнь 2025'!$D$5:$D$2470,$B35,'июнь 2025'!$J$5:$J$2470,I$1)</f>
        <v>0</v>
      </c>
      <c r="J35" s="182">
        <f>SUMIFS('июнь 2025'!$G$5:$G$2470,'июнь 2025'!$D$5:$D$2470,$B35,'июнь 2025'!$J$5:$J$2470,J$1)</f>
        <v>0</v>
      </c>
      <c r="K35" s="182">
        <f>SUMIFS('июнь 2025'!$G$5:$G$2470,'июнь 2025'!$D$5:$D$2470,$B35,'июнь 2025'!$J$5:$J$2470,K$1)</f>
        <v>0</v>
      </c>
      <c r="L35" s="182">
        <f>SUMIFS('июнь 2025'!$G$5:$G$2470,'июнь 2025'!$D$5:$D$2470,$B35,'июнь 2025'!$J$5:$J$2470,L$1)</f>
        <v>0</v>
      </c>
      <c r="M35" s="182">
        <f>SUMIFS('июнь 2025'!$G$5:$G$2470,'июнь 2025'!$D$5:$D$2470,$B35,'июнь 2025'!$J$5:$J$2470,M$1)</f>
        <v>0</v>
      </c>
      <c r="N35" s="182">
        <f>SUMIFS('июнь 2025'!$G$5:$G$2470,'июнь 2025'!$D$5:$D$2470,$B35,'июнь 2025'!$J$5:$J$2470,N$1)</f>
        <v>0</v>
      </c>
      <c r="O35" s="182">
        <f>SUMIFS('июнь 2025'!$G$5:$G$2470,'июнь 2025'!$D$5:$D$2470,$B35,'июнь 2025'!$J$5:$J$2470,O$1)</f>
        <v>0</v>
      </c>
      <c r="P35" s="182">
        <f>SUMIFS('июнь 2025'!$G$5:$G$2470,'июнь 2025'!$D$5:$D$2470,$B35,'июнь 2025'!$J$5:$J$2470,P$1)</f>
        <v>0</v>
      </c>
      <c r="Q35" s="182">
        <f>SUMIFS('июнь 2025'!$G$5:$G$2470,'июнь 2025'!$D$5:$D$2470,$B35,'июнь 2025'!$J$5:$J$2470,Q$1)</f>
        <v>0</v>
      </c>
      <c r="R35" s="182">
        <f>SUMIFS('июнь 2025'!$G$5:$G$2470,'июнь 2025'!$D$5:$D$2470,$B35,'июнь 2025'!$J$5:$J$2470,R$1)</f>
        <v>0</v>
      </c>
      <c r="S35" s="182">
        <f>SUMIFS('июнь 2025'!$G$5:$G$2470,'июнь 2025'!$D$5:$D$2470,$B35,'июнь 2025'!$J$5:$J$2470,S$1)</f>
        <v>0</v>
      </c>
      <c r="T35" s="182">
        <f>SUMIFS('июнь 2025'!$G$5:$G$2470,'июнь 2025'!$D$5:$D$2470,$B35,'июнь 2025'!$J$5:$J$2470,T$1)</f>
        <v>0</v>
      </c>
      <c r="U35" s="182">
        <f>SUMIFS('июнь 2025'!$G$5:$G$2470,'июнь 2025'!$D$5:$D$2470,$B35,'июнь 2025'!$J$5:$J$2470,U$1)</f>
        <v>0</v>
      </c>
      <c r="V35" s="182">
        <f>SUMIFS('июнь 2025'!$G$5:$G$2470,'июнь 2025'!$D$5:$D$2470,$B35,'июнь 2025'!$J$5:$J$2470,V$1)</f>
        <v>0</v>
      </c>
      <c r="W35" s="182">
        <f>SUMIFS('июнь 2025'!$G$5:$G$2470,'июнь 2025'!$D$5:$D$2470,$B35,'июнь 2025'!$J$5:$J$2470,W$1)</f>
        <v>0</v>
      </c>
      <c r="X35" s="182">
        <f>SUMIFS('июнь 2025'!$G$5:$G$2470,'июнь 2025'!$D$5:$D$2470,$B35,'июнь 2025'!$J$5:$J$2470,X$1)</f>
        <v>0</v>
      </c>
      <c r="Y35" s="182">
        <f>SUMIFS('июнь 2025'!$G$5:$G$2470,'июнь 2025'!$D$5:$D$2470,$B35,'июнь 2025'!$J$5:$J$2470,Y$1)</f>
        <v>0</v>
      </c>
      <c r="Z35" s="182">
        <f>SUMIFS('июнь 2025'!$G$5:$G$2470,'июнь 2025'!$D$5:$D$2470,$B35,'июнь 2025'!$J$5:$J$2470,Z$1)</f>
        <v>0</v>
      </c>
      <c r="AA35" s="182">
        <f>SUMIFS('июнь 2025'!$G$5:$G$2470,'июнь 2025'!$D$5:$D$2470,$B35,'июнь 2025'!$J$5:$J$2470,AA$1)</f>
        <v>0</v>
      </c>
      <c r="AB35" s="182">
        <f>SUMIFS('июнь 2025'!$G$5:$G$2470,'июнь 2025'!$D$5:$D$2470,$B35,'июнь 2025'!$J$5:$J$2470,AB$1)</f>
        <v>0</v>
      </c>
      <c r="AC35" s="182">
        <f>SUMIFS('июнь 2025'!$G$5:$G$2470,'июнь 2025'!$D$5:$D$2470,$B35,'июнь 2025'!$J$5:$J$2470,AC$1)</f>
        <v>0</v>
      </c>
      <c r="AD35" s="182">
        <f>SUMIFS('июнь 2025'!$G$5:$G$2470,'июнь 2025'!$D$5:$D$2470,$B35,'июнь 2025'!$J$5:$J$2470,AD$1)</f>
        <v>0</v>
      </c>
      <c r="AE35" s="182">
        <f>SUMIFS('июнь 2025'!$G$5:$G$2470,'июнь 2025'!$D$5:$D$2470,$B35,'июнь 2025'!$J$5:$J$2470,AE$1)</f>
        <v>0</v>
      </c>
      <c r="AF35" s="182">
        <f>SUMIFS('июнь 2025'!$G$5:$G$2470,'июнь 2025'!$D$5:$D$2470,$B35,'июнь 2025'!$J$5:$J$2470,AF$1)</f>
        <v>0</v>
      </c>
      <c r="AG35" s="182">
        <f>SUMIFS('июнь 2025'!$G$5:$G$2470,'июнь 2025'!$D$5:$D$2470,$B35,'июнь 2025'!$J$5:$J$2470,AG$1)</f>
        <v>0</v>
      </c>
      <c r="AH35" s="182">
        <f>SUMIFS('июнь 2025'!$G$5:$G$2470,'июнь 2025'!$D$5:$D$2470,$B35,'июнь 2025'!$J$5:$J$2470,AH$1)</f>
        <v>0</v>
      </c>
      <c r="AI35" s="20">
        <f t="shared" si="1"/>
        <v>0</v>
      </c>
    </row>
    <row r="36" spans="2:35" ht="15" customHeight="1" x14ac:dyDescent="0.25">
      <c r="B36" s="128" t="s">
        <v>217</v>
      </c>
      <c r="C36" s="126">
        <v>25</v>
      </c>
      <c r="D36" s="182">
        <f>SUMIFS('июнь 2025'!$G$5:$G$2470,'июнь 2025'!$D$5:$D$2470,$B36,'июнь 2025'!$J$5:$J$2470,D$1)</f>
        <v>0</v>
      </c>
      <c r="E36" s="182">
        <f>SUMIFS('июнь 2025'!$G$5:$G$2470,'июнь 2025'!$D$5:$D$2470,$B36,'июнь 2025'!$J$5:$J$2470,E$1)</f>
        <v>0</v>
      </c>
      <c r="F36" s="182">
        <f>SUMIFS('июнь 2025'!$G$5:$G$2470,'июнь 2025'!$D$5:$D$2470,$B36,'июнь 2025'!$J$5:$J$2470,F$1)</f>
        <v>0</v>
      </c>
      <c r="G36" s="182">
        <f>SUMIFS('июнь 2025'!$G$5:$G$2470,'июнь 2025'!$D$5:$D$2470,$B36,'июнь 2025'!$J$5:$J$2470,G$1)</f>
        <v>0</v>
      </c>
      <c r="H36" s="182">
        <f>SUMIFS('июнь 2025'!$G$5:$G$2470,'июнь 2025'!$D$5:$D$2470,$B36,'июнь 2025'!$J$5:$J$2470,H$1)</f>
        <v>0</v>
      </c>
      <c r="I36" s="182">
        <f>SUMIFS('июнь 2025'!$G$5:$G$2470,'июнь 2025'!$D$5:$D$2470,$B36,'июнь 2025'!$J$5:$J$2470,I$1)</f>
        <v>0</v>
      </c>
      <c r="J36" s="182">
        <f>SUMIFS('июнь 2025'!$G$5:$G$2470,'июнь 2025'!$D$5:$D$2470,$B36,'июнь 2025'!$J$5:$J$2470,J$1)</f>
        <v>0</v>
      </c>
      <c r="K36" s="182">
        <f>SUMIFS('июнь 2025'!$G$5:$G$2470,'июнь 2025'!$D$5:$D$2470,$B36,'июнь 2025'!$J$5:$J$2470,K$1)</f>
        <v>0</v>
      </c>
      <c r="L36" s="182">
        <f>SUMIFS('июнь 2025'!$G$5:$G$2470,'июнь 2025'!$D$5:$D$2470,$B36,'июнь 2025'!$J$5:$J$2470,L$1)</f>
        <v>0</v>
      </c>
      <c r="M36" s="182">
        <f>SUMIFS('июнь 2025'!$G$5:$G$2470,'июнь 2025'!$D$5:$D$2470,$B36,'июнь 2025'!$J$5:$J$2470,M$1)</f>
        <v>0</v>
      </c>
      <c r="N36" s="182">
        <f>SUMIFS('июнь 2025'!$G$5:$G$2470,'июнь 2025'!$D$5:$D$2470,$B36,'июнь 2025'!$J$5:$J$2470,N$1)</f>
        <v>0</v>
      </c>
      <c r="O36" s="182">
        <f>SUMIFS('июнь 2025'!$G$5:$G$2470,'июнь 2025'!$D$5:$D$2470,$B36,'июнь 2025'!$J$5:$J$2470,O$1)</f>
        <v>0</v>
      </c>
      <c r="P36" s="182">
        <f>SUMIFS('июнь 2025'!$G$5:$G$2470,'июнь 2025'!$D$5:$D$2470,$B36,'июнь 2025'!$J$5:$J$2470,P$1)</f>
        <v>0</v>
      </c>
      <c r="Q36" s="182">
        <f>SUMIFS('июнь 2025'!$G$5:$G$2470,'июнь 2025'!$D$5:$D$2470,$B36,'июнь 2025'!$J$5:$J$2470,Q$1)</f>
        <v>0</v>
      </c>
      <c r="R36" s="182">
        <f>SUMIFS('июнь 2025'!$G$5:$G$2470,'июнь 2025'!$D$5:$D$2470,$B36,'июнь 2025'!$J$5:$J$2470,R$1)</f>
        <v>0</v>
      </c>
      <c r="S36" s="182">
        <f>SUMIFS('июнь 2025'!$G$5:$G$2470,'июнь 2025'!$D$5:$D$2470,$B36,'июнь 2025'!$J$5:$J$2470,S$1)</f>
        <v>0</v>
      </c>
      <c r="T36" s="182">
        <f>SUMIFS('июнь 2025'!$G$5:$G$2470,'июнь 2025'!$D$5:$D$2470,$B36,'июнь 2025'!$J$5:$J$2470,T$1)</f>
        <v>0</v>
      </c>
      <c r="U36" s="182">
        <f>SUMIFS('июнь 2025'!$G$5:$G$2470,'июнь 2025'!$D$5:$D$2470,$B36,'июнь 2025'!$J$5:$J$2470,U$1)</f>
        <v>0</v>
      </c>
      <c r="V36" s="182">
        <f>SUMIFS('июнь 2025'!$G$5:$G$2470,'июнь 2025'!$D$5:$D$2470,$B36,'июнь 2025'!$J$5:$J$2470,V$1)</f>
        <v>0</v>
      </c>
      <c r="W36" s="182">
        <f>SUMIFS('июнь 2025'!$G$5:$G$2470,'июнь 2025'!$D$5:$D$2470,$B36,'июнь 2025'!$J$5:$J$2470,W$1)</f>
        <v>0</v>
      </c>
      <c r="X36" s="182">
        <f>SUMIFS('июнь 2025'!$G$5:$G$2470,'июнь 2025'!$D$5:$D$2470,$B36,'июнь 2025'!$J$5:$J$2470,X$1)</f>
        <v>0</v>
      </c>
      <c r="Y36" s="182">
        <f>SUMIFS('июнь 2025'!$G$5:$G$2470,'июнь 2025'!$D$5:$D$2470,$B36,'июнь 2025'!$J$5:$J$2470,Y$1)</f>
        <v>0</v>
      </c>
      <c r="Z36" s="182">
        <f>SUMIFS('июнь 2025'!$G$5:$G$2470,'июнь 2025'!$D$5:$D$2470,$B36,'июнь 2025'!$J$5:$J$2470,Z$1)</f>
        <v>0</v>
      </c>
      <c r="AA36" s="182">
        <f>SUMIFS('июнь 2025'!$G$5:$G$2470,'июнь 2025'!$D$5:$D$2470,$B36,'июнь 2025'!$J$5:$J$2470,AA$1)</f>
        <v>0</v>
      </c>
      <c r="AB36" s="182">
        <f>SUMIFS('июнь 2025'!$G$5:$G$2470,'июнь 2025'!$D$5:$D$2470,$B36,'июнь 2025'!$J$5:$J$2470,AB$1)</f>
        <v>0</v>
      </c>
      <c r="AC36" s="182">
        <f>SUMIFS('июнь 2025'!$G$5:$G$2470,'июнь 2025'!$D$5:$D$2470,$B36,'июнь 2025'!$J$5:$J$2470,AC$1)</f>
        <v>0</v>
      </c>
      <c r="AD36" s="182">
        <f>SUMIFS('июнь 2025'!$G$5:$G$2470,'июнь 2025'!$D$5:$D$2470,$B36,'июнь 2025'!$J$5:$J$2470,AD$1)</f>
        <v>0</v>
      </c>
      <c r="AE36" s="182">
        <f>SUMIFS('июнь 2025'!$G$5:$G$2470,'июнь 2025'!$D$5:$D$2470,$B36,'июнь 2025'!$J$5:$J$2470,AE$1)</f>
        <v>0</v>
      </c>
      <c r="AF36" s="182">
        <f>SUMIFS('июнь 2025'!$G$5:$G$2470,'июнь 2025'!$D$5:$D$2470,$B36,'июнь 2025'!$J$5:$J$2470,AF$1)</f>
        <v>0</v>
      </c>
      <c r="AG36" s="182">
        <f>SUMIFS('июнь 2025'!$G$5:$G$2470,'июнь 2025'!$D$5:$D$2470,$B36,'июнь 2025'!$J$5:$J$2470,AG$1)</f>
        <v>0</v>
      </c>
      <c r="AH36" s="182">
        <f>SUMIFS('июнь 2025'!$G$5:$G$2470,'июнь 2025'!$D$5:$D$2470,$B36,'июнь 2025'!$J$5:$J$2470,AH$1)</f>
        <v>0</v>
      </c>
      <c r="AI36" s="20">
        <f t="shared" si="1"/>
        <v>0</v>
      </c>
    </row>
    <row r="37" spans="2:35" ht="15" customHeight="1" x14ac:dyDescent="0.25">
      <c r="B37" s="129" t="s">
        <v>219</v>
      </c>
      <c r="C37" s="130">
        <v>25</v>
      </c>
      <c r="D37" s="182">
        <f>SUMIFS('июнь 2025'!$G$5:$G$2470,'июнь 2025'!$D$5:$D$2470,$B37,'июнь 2025'!$J$5:$J$2470,D$1)</f>
        <v>0</v>
      </c>
      <c r="E37" s="182">
        <f>SUMIFS('июнь 2025'!$G$5:$G$2470,'июнь 2025'!$D$5:$D$2470,$B37,'июнь 2025'!$J$5:$J$2470,E$1)</f>
        <v>0</v>
      </c>
      <c r="F37" s="182">
        <f>SUMIFS('июнь 2025'!$G$5:$G$2470,'июнь 2025'!$D$5:$D$2470,$B37,'июнь 2025'!$J$5:$J$2470,F$1)</f>
        <v>0</v>
      </c>
      <c r="G37" s="182">
        <f>SUMIFS('июнь 2025'!$G$5:$G$2470,'июнь 2025'!$D$5:$D$2470,$B37,'июнь 2025'!$J$5:$J$2470,G$1)</f>
        <v>0</v>
      </c>
      <c r="H37" s="182">
        <f>SUMIFS('июнь 2025'!$G$5:$G$2470,'июнь 2025'!$D$5:$D$2470,$B37,'июнь 2025'!$J$5:$J$2470,H$1)</f>
        <v>0</v>
      </c>
      <c r="I37" s="182">
        <f>SUMIFS('июнь 2025'!$G$5:$G$2470,'июнь 2025'!$D$5:$D$2470,$B37,'июнь 2025'!$J$5:$J$2470,I$1)</f>
        <v>0</v>
      </c>
      <c r="J37" s="182">
        <f>SUMIFS('июнь 2025'!$G$5:$G$2470,'июнь 2025'!$D$5:$D$2470,$B37,'июнь 2025'!$J$5:$J$2470,J$1)</f>
        <v>0</v>
      </c>
      <c r="K37" s="182">
        <f>SUMIFS('июнь 2025'!$G$5:$G$2470,'июнь 2025'!$D$5:$D$2470,$B37,'июнь 2025'!$J$5:$J$2470,K$1)</f>
        <v>0</v>
      </c>
      <c r="L37" s="182">
        <f>SUMIFS('июнь 2025'!$G$5:$G$2470,'июнь 2025'!$D$5:$D$2470,$B37,'июнь 2025'!$J$5:$J$2470,L$1)</f>
        <v>0</v>
      </c>
      <c r="M37" s="182">
        <f>SUMIFS('июнь 2025'!$G$5:$G$2470,'июнь 2025'!$D$5:$D$2470,$B37,'июнь 2025'!$J$5:$J$2470,M$1)</f>
        <v>0</v>
      </c>
      <c r="N37" s="182">
        <f>SUMIFS('июнь 2025'!$G$5:$G$2470,'июнь 2025'!$D$5:$D$2470,$B37,'июнь 2025'!$J$5:$J$2470,N$1)</f>
        <v>0</v>
      </c>
      <c r="O37" s="182">
        <f>SUMIFS('июнь 2025'!$G$5:$G$2470,'июнь 2025'!$D$5:$D$2470,$B37,'июнь 2025'!$J$5:$J$2470,O$1)</f>
        <v>0</v>
      </c>
      <c r="P37" s="182">
        <f>SUMIFS('июнь 2025'!$G$5:$G$2470,'июнь 2025'!$D$5:$D$2470,$B37,'июнь 2025'!$J$5:$J$2470,P$1)</f>
        <v>0</v>
      </c>
      <c r="Q37" s="182">
        <f>SUMIFS('июнь 2025'!$G$5:$G$2470,'июнь 2025'!$D$5:$D$2470,$B37,'июнь 2025'!$J$5:$J$2470,Q$1)</f>
        <v>0</v>
      </c>
      <c r="R37" s="182">
        <f>SUMIFS('июнь 2025'!$G$5:$G$2470,'июнь 2025'!$D$5:$D$2470,$B37,'июнь 2025'!$J$5:$J$2470,R$1)</f>
        <v>0</v>
      </c>
      <c r="S37" s="182">
        <f>SUMIFS('июнь 2025'!$G$5:$G$2470,'июнь 2025'!$D$5:$D$2470,$B37,'июнь 2025'!$J$5:$J$2470,S$1)</f>
        <v>0</v>
      </c>
      <c r="T37" s="182">
        <f>SUMIFS('июнь 2025'!$G$5:$G$2470,'июнь 2025'!$D$5:$D$2470,$B37,'июнь 2025'!$J$5:$J$2470,T$1)</f>
        <v>0</v>
      </c>
      <c r="U37" s="182">
        <f>SUMIFS('июнь 2025'!$G$5:$G$2470,'июнь 2025'!$D$5:$D$2470,$B37,'июнь 2025'!$J$5:$J$2470,U$1)</f>
        <v>0</v>
      </c>
      <c r="V37" s="182">
        <f>SUMIFS('июнь 2025'!$G$5:$G$2470,'июнь 2025'!$D$5:$D$2470,$B37,'июнь 2025'!$J$5:$J$2470,V$1)</f>
        <v>0</v>
      </c>
      <c r="W37" s="182">
        <f>SUMIFS('июнь 2025'!$G$5:$G$2470,'июнь 2025'!$D$5:$D$2470,$B37,'июнь 2025'!$J$5:$J$2470,W$1)</f>
        <v>0</v>
      </c>
      <c r="X37" s="182">
        <f>SUMIFS('июнь 2025'!$G$5:$G$2470,'июнь 2025'!$D$5:$D$2470,$B37,'июнь 2025'!$J$5:$J$2470,X$1)</f>
        <v>0</v>
      </c>
      <c r="Y37" s="182">
        <f>SUMIFS('июнь 2025'!$G$5:$G$2470,'июнь 2025'!$D$5:$D$2470,$B37,'июнь 2025'!$J$5:$J$2470,Y$1)</f>
        <v>0</v>
      </c>
      <c r="Z37" s="182">
        <f>SUMIFS('июнь 2025'!$G$5:$G$2470,'июнь 2025'!$D$5:$D$2470,$B37,'июнь 2025'!$J$5:$J$2470,Z$1)</f>
        <v>0</v>
      </c>
      <c r="AA37" s="182">
        <f>SUMIFS('июнь 2025'!$G$5:$G$2470,'июнь 2025'!$D$5:$D$2470,$B37,'июнь 2025'!$J$5:$J$2470,AA$1)</f>
        <v>0</v>
      </c>
      <c r="AB37" s="182">
        <f>SUMIFS('июнь 2025'!$G$5:$G$2470,'июнь 2025'!$D$5:$D$2470,$B37,'июнь 2025'!$J$5:$J$2470,AB$1)</f>
        <v>0</v>
      </c>
      <c r="AC37" s="182">
        <f>SUMIFS('июнь 2025'!$G$5:$G$2470,'июнь 2025'!$D$5:$D$2470,$B37,'июнь 2025'!$J$5:$J$2470,AC$1)</f>
        <v>0</v>
      </c>
      <c r="AD37" s="182">
        <f>SUMIFS('июнь 2025'!$G$5:$G$2470,'июнь 2025'!$D$5:$D$2470,$B37,'июнь 2025'!$J$5:$J$2470,AD$1)</f>
        <v>0</v>
      </c>
      <c r="AE37" s="182">
        <f>SUMIFS('июнь 2025'!$G$5:$G$2470,'июнь 2025'!$D$5:$D$2470,$B37,'июнь 2025'!$J$5:$J$2470,AE$1)</f>
        <v>0</v>
      </c>
      <c r="AF37" s="182">
        <f>SUMIFS('июнь 2025'!$G$5:$G$2470,'июнь 2025'!$D$5:$D$2470,$B37,'июнь 2025'!$J$5:$J$2470,AF$1)</f>
        <v>0</v>
      </c>
      <c r="AG37" s="182">
        <f>SUMIFS('июнь 2025'!$G$5:$G$2470,'июнь 2025'!$D$5:$D$2470,$B37,'июнь 2025'!$J$5:$J$2470,AG$1)</f>
        <v>0</v>
      </c>
      <c r="AH37" s="182">
        <f>SUMIFS('июнь 2025'!$G$5:$G$2470,'июнь 2025'!$D$5:$D$2470,$B37,'июнь 2025'!$J$5:$J$2470,AH$1)</f>
        <v>0</v>
      </c>
      <c r="AI37" s="20">
        <f t="shared" si="1"/>
        <v>0</v>
      </c>
    </row>
    <row r="38" spans="2:35" ht="15" customHeight="1" x14ac:dyDescent="0.25">
      <c r="B38" s="131" t="s">
        <v>221</v>
      </c>
      <c r="C38" s="132">
        <v>22.68</v>
      </c>
      <c r="D38" s="182">
        <f>SUMIFS('июнь 2025'!$G$5:$G$2470,'июнь 2025'!$D$5:$D$2470,$B38,'июнь 2025'!$J$5:$J$2470,D$1)</f>
        <v>0</v>
      </c>
      <c r="E38" s="182">
        <f>SUMIFS('июнь 2025'!$G$5:$G$2470,'июнь 2025'!$D$5:$D$2470,$B38,'июнь 2025'!$J$5:$J$2470,E$1)</f>
        <v>0</v>
      </c>
      <c r="F38" s="182">
        <f>SUMIFS('июнь 2025'!$G$5:$G$2470,'июнь 2025'!$D$5:$D$2470,$B38,'июнь 2025'!$J$5:$J$2470,F$1)</f>
        <v>0</v>
      </c>
      <c r="G38" s="182">
        <f>SUMIFS('июнь 2025'!$G$5:$G$2470,'июнь 2025'!$D$5:$D$2470,$B38,'июнь 2025'!$J$5:$J$2470,G$1)</f>
        <v>0</v>
      </c>
      <c r="H38" s="182">
        <f>SUMIFS('июнь 2025'!$G$5:$G$2470,'июнь 2025'!$D$5:$D$2470,$B38,'июнь 2025'!$J$5:$J$2470,H$1)</f>
        <v>0</v>
      </c>
      <c r="I38" s="182">
        <f>SUMIFS('июнь 2025'!$G$5:$G$2470,'июнь 2025'!$D$5:$D$2470,$B38,'июнь 2025'!$J$5:$J$2470,I$1)</f>
        <v>0</v>
      </c>
      <c r="J38" s="182">
        <f>SUMIFS('июнь 2025'!$G$5:$G$2470,'июнь 2025'!$D$5:$D$2470,$B38,'июнь 2025'!$J$5:$J$2470,J$1)</f>
        <v>0</v>
      </c>
      <c r="K38" s="182">
        <f>SUMIFS('июнь 2025'!$G$5:$G$2470,'июнь 2025'!$D$5:$D$2470,$B38,'июнь 2025'!$J$5:$J$2470,K$1)</f>
        <v>0</v>
      </c>
      <c r="L38" s="182">
        <f>SUMIFS('июнь 2025'!$G$5:$G$2470,'июнь 2025'!$D$5:$D$2470,$B38,'июнь 2025'!$J$5:$J$2470,L$1)</f>
        <v>0</v>
      </c>
      <c r="M38" s="182">
        <f>SUMIFS('июнь 2025'!$G$5:$G$2470,'июнь 2025'!$D$5:$D$2470,$B38,'июнь 2025'!$J$5:$J$2470,M$1)</f>
        <v>0</v>
      </c>
      <c r="N38" s="182">
        <f>SUMIFS('июнь 2025'!$G$5:$G$2470,'июнь 2025'!$D$5:$D$2470,$B38,'июнь 2025'!$J$5:$J$2470,N$1)</f>
        <v>0</v>
      </c>
      <c r="O38" s="182">
        <f>SUMIFS('июнь 2025'!$G$5:$G$2470,'июнь 2025'!$D$5:$D$2470,$B38,'июнь 2025'!$J$5:$J$2470,O$1)</f>
        <v>0</v>
      </c>
      <c r="P38" s="182">
        <f>SUMIFS('июнь 2025'!$G$5:$G$2470,'июнь 2025'!$D$5:$D$2470,$B38,'июнь 2025'!$J$5:$J$2470,P$1)</f>
        <v>0</v>
      </c>
      <c r="Q38" s="182">
        <f>SUMIFS('июнь 2025'!$G$5:$G$2470,'июнь 2025'!$D$5:$D$2470,$B38,'июнь 2025'!$J$5:$J$2470,Q$1)</f>
        <v>0</v>
      </c>
      <c r="R38" s="182">
        <f>SUMIFS('июнь 2025'!$G$5:$G$2470,'июнь 2025'!$D$5:$D$2470,$B38,'июнь 2025'!$J$5:$J$2470,R$1)</f>
        <v>0</v>
      </c>
      <c r="S38" s="182">
        <f>SUMIFS('июнь 2025'!$G$5:$G$2470,'июнь 2025'!$D$5:$D$2470,$B38,'июнь 2025'!$J$5:$J$2470,S$1)</f>
        <v>0</v>
      </c>
      <c r="T38" s="182">
        <f>SUMIFS('июнь 2025'!$G$5:$G$2470,'июнь 2025'!$D$5:$D$2470,$B38,'июнь 2025'!$J$5:$J$2470,T$1)</f>
        <v>0</v>
      </c>
      <c r="U38" s="182">
        <f>SUMIFS('июнь 2025'!$G$5:$G$2470,'июнь 2025'!$D$5:$D$2470,$B38,'июнь 2025'!$J$5:$J$2470,U$1)</f>
        <v>0</v>
      </c>
      <c r="V38" s="182">
        <f>SUMIFS('июнь 2025'!$G$5:$G$2470,'июнь 2025'!$D$5:$D$2470,$B38,'июнь 2025'!$J$5:$J$2470,V$1)</f>
        <v>0</v>
      </c>
      <c r="W38" s="182">
        <f>SUMIFS('июнь 2025'!$G$5:$G$2470,'июнь 2025'!$D$5:$D$2470,$B38,'июнь 2025'!$J$5:$J$2470,W$1)</f>
        <v>0</v>
      </c>
      <c r="X38" s="182">
        <f>SUMIFS('июнь 2025'!$G$5:$G$2470,'июнь 2025'!$D$5:$D$2470,$B38,'июнь 2025'!$J$5:$J$2470,X$1)</f>
        <v>0</v>
      </c>
      <c r="Y38" s="182">
        <f>SUMIFS('июнь 2025'!$G$5:$G$2470,'июнь 2025'!$D$5:$D$2470,$B38,'июнь 2025'!$J$5:$J$2470,Y$1)</f>
        <v>0</v>
      </c>
      <c r="Z38" s="182">
        <f>SUMIFS('июнь 2025'!$G$5:$G$2470,'июнь 2025'!$D$5:$D$2470,$B38,'июнь 2025'!$J$5:$J$2470,Z$1)</f>
        <v>0</v>
      </c>
      <c r="AA38" s="182">
        <f>SUMIFS('июнь 2025'!$G$5:$G$2470,'июнь 2025'!$D$5:$D$2470,$B38,'июнь 2025'!$J$5:$J$2470,AA$1)</f>
        <v>0</v>
      </c>
      <c r="AB38" s="182">
        <f>SUMIFS('июнь 2025'!$G$5:$G$2470,'июнь 2025'!$D$5:$D$2470,$B38,'июнь 2025'!$J$5:$J$2470,AB$1)</f>
        <v>0</v>
      </c>
      <c r="AC38" s="182">
        <f>SUMIFS('июнь 2025'!$G$5:$G$2470,'июнь 2025'!$D$5:$D$2470,$B38,'июнь 2025'!$J$5:$J$2470,AC$1)</f>
        <v>0</v>
      </c>
      <c r="AD38" s="182">
        <f>SUMIFS('июнь 2025'!$G$5:$G$2470,'июнь 2025'!$D$5:$D$2470,$B38,'июнь 2025'!$J$5:$J$2470,AD$1)</f>
        <v>0</v>
      </c>
      <c r="AE38" s="182">
        <f>SUMIFS('июнь 2025'!$G$5:$G$2470,'июнь 2025'!$D$5:$D$2470,$B38,'июнь 2025'!$J$5:$J$2470,AE$1)</f>
        <v>0</v>
      </c>
      <c r="AF38" s="182">
        <f>SUMIFS('июнь 2025'!$G$5:$G$2470,'июнь 2025'!$D$5:$D$2470,$B38,'июнь 2025'!$J$5:$J$2470,AF$1)</f>
        <v>0</v>
      </c>
      <c r="AG38" s="182">
        <f>SUMIFS('июнь 2025'!$G$5:$G$2470,'июнь 2025'!$D$5:$D$2470,$B38,'июнь 2025'!$J$5:$J$2470,AG$1)</f>
        <v>0</v>
      </c>
      <c r="AH38" s="182">
        <f>SUMIFS('июнь 2025'!$G$5:$G$2470,'июнь 2025'!$D$5:$D$2470,$B38,'июнь 2025'!$J$5:$J$2470,AH$1)</f>
        <v>0</v>
      </c>
      <c r="AI38" s="20">
        <f t="shared" si="1"/>
        <v>0</v>
      </c>
    </row>
    <row r="39" spans="2:35" ht="15" customHeight="1" x14ac:dyDescent="0.25">
      <c r="B39" s="131" t="s">
        <v>1016</v>
      </c>
      <c r="C39" s="133">
        <v>20</v>
      </c>
      <c r="D39" s="182">
        <f>SUMIFS('июнь 2025'!$G$5:$G$2470,'июнь 2025'!$D$5:$D$2470,$B39,'июнь 2025'!$J$5:$J$2470,D$1)</f>
        <v>0</v>
      </c>
      <c r="E39" s="182">
        <f>SUMIFS('июнь 2025'!$G$5:$G$2470,'июнь 2025'!$D$5:$D$2470,$B39,'июнь 2025'!$J$5:$J$2470,E$1)</f>
        <v>0</v>
      </c>
      <c r="F39" s="182">
        <f>SUMIFS('июнь 2025'!$G$5:$G$2470,'июнь 2025'!$D$5:$D$2470,$B39,'июнь 2025'!$J$5:$J$2470,F$1)</f>
        <v>0</v>
      </c>
      <c r="G39" s="182">
        <f>SUMIFS('июнь 2025'!$G$5:$G$2470,'июнь 2025'!$D$5:$D$2470,$B39,'июнь 2025'!$J$5:$J$2470,G$1)</f>
        <v>0</v>
      </c>
      <c r="H39" s="182">
        <f>SUMIFS('июнь 2025'!$G$5:$G$2470,'июнь 2025'!$D$5:$D$2470,$B39,'июнь 2025'!$J$5:$J$2470,H$1)</f>
        <v>0</v>
      </c>
      <c r="I39" s="182">
        <f>SUMIFS('июнь 2025'!$G$5:$G$2470,'июнь 2025'!$D$5:$D$2470,$B39,'июнь 2025'!$J$5:$J$2470,I$1)</f>
        <v>0</v>
      </c>
      <c r="J39" s="182">
        <f>SUMIFS('июнь 2025'!$G$5:$G$2470,'июнь 2025'!$D$5:$D$2470,$B39,'июнь 2025'!$J$5:$J$2470,J$1)</f>
        <v>0</v>
      </c>
      <c r="K39" s="182">
        <f>SUMIFS('июнь 2025'!$G$5:$G$2470,'июнь 2025'!$D$5:$D$2470,$B39,'июнь 2025'!$J$5:$J$2470,K$1)</f>
        <v>0</v>
      </c>
      <c r="L39" s="182">
        <f>SUMIFS('июнь 2025'!$G$5:$G$2470,'июнь 2025'!$D$5:$D$2470,$B39,'июнь 2025'!$J$5:$J$2470,L$1)</f>
        <v>0</v>
      </c>
      <c r="M39" s="182">
        <f>SUMIFS('июнь 2025'!$G$5:$G$2470,'июнь 2025'!$D$5:$D$2470,$B39,'июнь 2025'!$J$5:$J$2470,M$1)</f>
        <v>0</v>
      </c>
      <c r="N39" s="182">
        <f>SUMIFS('июнь 2025'!$G$5:$G$2470,'июнь 2025'!$D$5:$D$2470,$B39,'июнь 2025'!$J$5:$J$2470,N$1)</f>
        <v>0</v>
      </c>
      <c r="O39" s="182">
        <f>SUMIFS('июнь 2025'!$G$5:$G$2470,'июнь 2025'!$D$5:$D$2470,$B39,'июнь 2025'!$J$5:$J$2470,O$1)</f>
        <v>0</v>
      </c>
      <c r="P39" s="182">
        <f>SUMIFS('июнь 2025'!$G$5:$G$2470,'июнь 2025'!$D$5:$D$2470,$B39,'июнь 2025'!$J$5:$J$2470,P$1)</f>
        <v>0</v>
      </c>
      <c r="Q39" s="182">
        <f>SUMIFS('июнь 2025'!$G$5:$G$2470,'июнь 2025'!$D$5:$D$2470,$B39,'июнь 2025'!$J$5:$J$2470,Q$1)</f>
        <v>0</v>
      </c>
      <c r="R39" s="182">
        <f>SUMIFS('июнь 2025'!$G$5:$G$2470,'июнь 2025'!$D$5:$D$2470,$B39,'июнь 2025'!$J$5:$J$2470,R$1)</f>
        <v>0</v>
      </c>
      <c r="S39" s="182">
        <f>SUMIFS('июнь 2025'!$G$5:$G$2470,'июнь 2025'!$D$5:$D$2470,$B39,'июнь 2025'!$J$5:$J$2470,S$1)</f>
        <v>0</v>
      </c>
      <c r="T39" s="182">
        <f>SUMIFS('июнь 2025'!$G$5:$G$2470,'июнь 2025'!$D$5:$D$2470,$B39,'июнь 2025'!$J$5:$J$2470,T$1)</f>
        <v>0</v>
      </c>
      <c r="U39" s="182">
        <f>SUMIFS('июнь 2025'!$G$5:$G$2470,'июнь 2025'!$D$5:$D$2470,$B39,'июнь 2025'!$J$5:$J$2470,U$1)</f>
        <v>0</v>
      </c>
      <c r="V39" s="182">
        <f>SUMIFS('июнь 2025'!$G$5:$G$2470,'июнь 2025'!$D$5:$D$2470,$B39,'июнь 2025'!$J$5:$J$2470,V$1)</f>
        <v>0</v>
      </c>
      <c r="W39" s="182">
        <f>SUMIFS('июнь 2025'!$G$5:$G$2470,'июнь 2025'!$D$5:$D$2470,$B39,'июнь 2025'!$J$5:$J$2470,W$1)</f>
        <v>0</v>
      </c>
      <c r="X39" s="182">
        <f>SUMIFS('июнь 2025'!$G$5:$G$2470,'июнь 2025'!$D$5:$D$2470,$B39,'июнь 2025'!$J$5:$J$2470,X$1)</f>
        <v>0</v>
      </c>
      <c r="Y39" s="182">
        <f>SUMIFS('июнь 2025'!$G$5:$G$2470,'июнь 2025'!$D$5:$D$2470,$B39,'июнь 2025'!$J$5:$J$2470,Y$1)</f>
        <v>0</v>
      </c>
      <c r="Z39" s="182">
        <f>SUMIFS('июнь 2025'!$G$5:$G$2470,'июнь 2025'!$D$5:$D$2470,$B39,'июнь 2025'!$J$5:$J$2470,Z$1)</f>
        <v>0</v>
      </c>
      <c r="AA39" s="182">
        <f>SUMIFS('июнь 2025'!$G$5:$G$2470,'июнь 2025'!$D$5:$D$2470,$B39,'июнь 2025'!$J$5:$J$2470,AA$1)</f>
        <v>0</v>
      </c>
      <c r="AB39" s="182">
        <f>SUMIFS('июнь 2025'!$G$5:$G$2470,'июнь 2025'!$D$5:$D$2470,$B39,'июнь 2025'!$J$5:$J$2470,AB$1)</f>
        <v>0</v>
      </c>
      <c r="AC39" s="182">
        <f>SUMIFS('июнь 2025'!$G$5:$G$2470,'июнь 2025'!$D$5:$D$2470,$B39,'июнь 2025'!$J$5:$J$2470,AC$1)</f>
        <v>0</v>
      </c>
      <c r="AD39" s="182">
        <f>SUMIFS('июнь 2025'!$G$5:$G$2470,'июнь 2025'!$D$5:$D$2470,$B39,'июнь 2025'!$J$5:$J$2470,AD$1)</f>
        <v>0</v>
      </c>
      <c r="AE39" s="182">
        <f>SUMIFS('июнь 2025'!$G$5:$G$2470,'июнь 2025'!$D$5:$D$2470,$B39,'июнь 2025'!$J$5:$J$2470,AE$1)</f>
        <v>0</v>
      </c>
      <c r="AF39" s="182">
        <f>SUMIFS('июнь 2025'!$G$5:$G$2470,'июнь 2025'!$D$5:$D$2470,$B39,'июнь 2025'!$J$5:$J$2470,AF$1)</f>
        <v>0</v>
      </c>
      <c r="AG39" s="182">
        <f>SUMIFS('июнь 2025'!$G$5:$G$2470,'июнь 2025'!$D$5:$D$2470,$B39,'июнь 2025'!$J$5:$J$2470,AG$1)</f>
        <v>0</v>
      </c>
      <c r="AH39" s="182">
        <f>SUMIFS('июнь 2025'!$G$5:$G$2470,'июнь 2025'!$D$5:$D$2470,$B39,'июнь 2025'!$J$5:$J$2470,AH$1)</f>
        <v>0</v>
      </c>
      <c r="AI39" s="20">
        <f t="shared" si="1"/>
        <v>0</v>
      </c>
    </row>
    <row r="40" spans="2:35" ht="15" customHeight="1" x14ac:dyDescent="0.25">
      <c r="B40" s="131" t="s">
        <v>223</v>
      </c>
      <c r="C40" s="133">
        <v>25</v>
      </c>
      <c r="D40" s="182">
        <f>SUMIFS('июнь 2025'!$G$5:$G$2470,'июнь 2025'!$D$5:$D$2470,$B40,'июнь 2025'!$J$5:$J$2470,D$1)</f>
        <v>0</v>
      </c>
      <c r="E40" s="182">
        <f>SUMIFS('июнь 2025'!$G$5:$G$2470,'июнь 2025'!$D$5:$D$2470,$B40,'июнь 2025'!$J$5:$J$2470,E$1)</f>
        <v>0</v>
      </c>
      <c r="F40" s="182">
        <f>SUMIFS('июнь 2025'!$G$5:$G$2470,'июнь 2025'!$D$5:$D$2470,$B40,'июнь 2025'!$J$5:$J$2470,F$1)</f>
        <v>0</v>
      </c>
      <c r="G40" s="182">
        <f>SUMIFS('июнь 2025'!$G$5:$G$2470,'июнь 2025'!$D$5:$D$2470,$B40,'июнь 2025'!$J$5:$J$2470,G$1)</f>
        <v>0</v>
      </c>
      <c r="H40" s="182">
        <f>SUMIFS('июнь 2025'!$G$5:$G$2470,'июнь 2025'!$D$5:$D$2470,$B40,'июнь 2025'!$J$5:$J$2470,H$1)</f>
        <v>0</v>
      </c>
      <c r="I40" s="182">
        <f>SUMIFS('июнь 2025'!$G$5:$G$2470,'июнь 2025'!$D$5:$D$2470,$B40,'июнь 2025'!$J$5:$J$2470,I$1)</f>
        <v>0</v>
      </c>
      <c r="J40" s="182">
        <f>SUMIFS('июнь 2025'!$G$5:$G$2470,'июнь 2025'!$D$5:$D$2470,$B40,'июнь 2025'!$J$5:$J$2470,J$1)</f>
        <v>0</v>
      </c>
      <c r="K40" s="182">
        <f>SUMIFS('июнь 2025'!$G$5:$G$2470,'июнь 2025'!$D$5:$D$2470,$B40,'июнь 2025'!$J$5:$J$2470,K$1)</f>
        <v>0</v>
      </c>
      <c r="L40" s="182">
        <f>SUMIFS('июнь 2025'!$G$5:$G$2470,'июнь 2025'!$D$5:$D$2470,$B40,'июнь 2025'!$J$5:$J$2470,L$1)</f>
        <v>0</v>
      </c>
      <c r="M40" s="182">
        <f>SUMIFS('июнь 2025'!$G$5:$G$2470,'июнь 2025'!$D$5:$D$2470,$B40,'июнь 2025'!$J$5:$J$2470,M$1)</f>
        <v>0</v>
      </c>
      <c r="N40" s="182">
        <f>SUMIFS('июнь 2025'!$G$5:$G$2470,'июнь 2025'!$D$5:$D$2470,$B40,'июнь 2025'!$J$5:$J$2470,N$1)</f>
        <v>0</v>
      </c>
      <c r="O40" s="182">
        <f>SUMIFS('июнь 2025'!$G$5:$G$2470,'июнь 2025'!$D$5:$D$2470,$B40,'июнь 2025'!$J$5:$J$2470,O$1)</f>
        <v>0</v>
      </c>
      <c r="P40" s="182">
        <f>SUMIFS('июнь 2025'!$G$5:$G$2470,'июнь 2025'!$D$5:$D$2470,$B40,'июнь 2025'!$J$5:$J$2470,P$1)</f>
        <v>0</v>
      </c>
      <c r="Q40" s="182">
        <f>SUMIFS('июнь 2025'!$G$5:$G$2470,'июнь 2025'!$D$5:$D$2470,$B40,'июнь 2025'!$J$5:$J$2470,Q$1)</f>
        <v>0</v>
      </c>
      <c r="R40" s="182">
        <f>SUMIFS('июнь 2025'!$G$5:$G$2470,'июнь 2025'!$D$5:$D$2470,$B40,'июнь 2025'!$J$5:$J$2470,R$1)</f>
        <v>0</v>
      </c>
      <c r="S40" s="182">
        <f>SUMIFS('июнь 2025'!$G$5:$G$2470,'июнь 2025'!$D$5:$D$2470,$B40,'июнь 2025'!$J$5:$J$2470,S$1)</f>
        <v>0</v>
      </c>
      <c r="T40" s="182">
        <f>SUMIFS('июнь 2025'!$G$5:$G$2470,'июнь 2025'!$D$5:$D$2470,$B40,'июнь 2025'!$J$5:$J$2470,T$1)</f>
        <v>0</v>
      </c>
      <c r="U40" s="182">
        <f>SUMIFS('июнь 2025'!$G$5:$G$2470,'июнь 2025'!$D$5:$D$2470,$B40,'июнь 2025'!$J$5:$J$2470,U$1)</f>
        <v>0</v>
      </c>
      <c r="V40" s="182">
        <f>SUMIFS('июнь 2025'!$G$5:$G$2470,'июнь 2025'!$D$5:$D$2470,$B40,'июнь 2025'!$J$5:$J$2470,V$1)</f>
        <v>0</v>
      </c>
      <c r="W40" s="182">
        <f>SUMIFS('июнь 2025'!$G$5:$G$2470,'июнь 2025'!$D$5:$D$2470,$B40,'июнь 2025'!$J$5:$J$2470,W$1)</f>
        <v>0</v>
      </c>
      <c r="X40" s="182">
        <f>SUMIFS('июнь 2025'!$G$5:$G$2470,'июнь 2025'!$D$5:$D$2470,$B40,'июнь 2025'!$J$5:$J$2470,X$1)</f>
        <v>0</v>
      </c>
      <c r="Y40" s="182">
        <f>SUMIFS('июнь 2025'!$G$5:$G$2470,'июнь 2025'!$D$5:$D$2470,$B40,'июнь 2025'!$J$5:$J$2470,Y$1)</f>
        <v>0</v>
      </c>
      <c r="Z40" s="182">
        <f>SUMIFS('июнь 2025'!$G$5:$G$2470,'июнь 2025'!$D$5:$D$2470,$B40,'июнь 2025'!$J$5:$J$2470,Z$1)</f>
        <v>0</v>
      </c>
      <c r="AA40" s="182">
        <f>SUMIFS('июнь 2025'!$G$5:$G$2470,'июнь 2025'!$D$5:$D$2470,$B40,'июнь 2025'!$J$5:$J$2470,AA$1)</f>
        <v>0</v>
      </c>
      <c r="AB40" s="182">
        <f>SUMIFS('июнь 2025'!$G$5:$G$2470,'июнь 2025'!$D$5:$D$2470,$B40,'июнь 2025'!$J$5:$J$2470,AB$1)</f>
        <v>120</v>
      </c>
      <c r="AC40" s="182">
        <f>SUMIFS('июнь 2025'!$G$5:$G$2470,'июнь 2025'!$D$5:$D$2470,$B40,'июнь 2025'!$J$5:$J$2470,AC$1)</f>
        <v>0</v>
      </c>
      <c r="AD40" s="182">
        <f>SUMIFS('июнь 2025'!$G$5:$G$2470,'июнь 2025'!$D$5:$D$2470,$B40,'июнь 2025'!$J$5:$J$2470,AD$1)</f>
        <v>0</v>
      </c>
      <c r="AE40" s="182">
        <f>SUMIFS('июнь 2025'!$G$5:$G$2470,'июнь 2025'!$D$5:$D$2470,$B40,'июнь 2025'!$J$5:$J$2470,AE$1)</f>
        <v>0</v>
      </c>
      <c r="AF40" s="182">
        <f>SUMIFS('июнь 2025'!$G$5:$G$2470,'июнь 2025'!$D$5:$D$2470,$B40,'июнь 2025'!$J$5:$J$2470,AF$1)</f>
        <v>0</v>
      </c>
      <c r="AG40" s="182">
        <f>SUMIFS('июнь 2025'!$G$5:$G$2470,'июнь 2025'!$D$5:$D$2470,$B40,'июнь 2025'!$J$5:$J$2470,AG$1)</f>
        <v>200</v>
      </c>
      <c r="AH40" s="182">
        <f>SUMIFS('июнь 2025'!$G$5:$G$2470,'июнь 2025'!$D$5:$D$2470,$B40,'июнь 2025'!$J$5:$J$2470,AH$1)</f>
        <v>0</v>
      </c>
      <c r="AI40" s="20">
        <f t="shared" si="1"/>
        <v>320</v>
      </c>
    </row>
    <row r="41" spans="2:35" ht="15" customHeight="1" x14ac:dyDescent="0.25">
      <c r="B41" s="131" t="s">
        <v>225</v>
      </c>
      <c r="C41" s="134">
        <v>25</v>
      </c>
      <c r="D41" s="182">
        <f>SUMIFS('июнь 2025'!$G$5:$G$2470,'июнь 2025'!$D$5:$D$2470,$B41,'июнь 2025'!$J$5:$J$2470,D$1)</f>
        <v>0</v>
      </c>
      <c r="E41" s="182">
        <f>SUMIFS('июнь 2025'!$G$5:$G$2470,'июнь 2025'!$D$5:$D$2470,$B41,'июнь 2025'!$J$5:$J$2470,E$1)</f>
        <v>0</v>
      </c>
      <c r="F41" s="182">
        <f>SUMIFS('июнь 2025'!$G$5:$G$2470,'июнь 2025'!$D$5:$D$2470,$B41,'июнь 2025'!$J$5:$J$2470,F$1)</f>
        <v>0</v>
      </c>
      <c r="G41" s="182">
        <f>SUMIFS('июнь 2025'!$G$5:$G$2470,'июнь 2025'!$D$5:$D$2470,$B41,'июнь 2025'!$J$5:$J$2470,G$1)</f>
        <v>0</v>
      </c>
      <c r="H41" s="182">
        <f>SUMIFS('июнь 2025'!$G$5:$G$2470,'июнь 2025'!$D$5:$D$2470,$B41,'июнь 2025'!$J$5:$J$2470,H$1)</f>
        <v>0</v>
      </c>
      <c r="I41" s="182">
        <f>SUMIFS('июнь 2025'!$G$5:$G$2470,'июнь 2025'!$D$5:$D$2470,$B41,'июнь 2025'!$J$5:$J$2470,I$1)</f>
        <v>0</v>
      </c>
      <c r="J41" s="182">
        <f>SUMIFS('июнь 2025'!$G$5:$G$2470,'июнь 2025'!$D$5:$D$2470,$B41,'июнь 2025'!$J$5:$J$2470,J$1)</f>
        <v>0</v>
      </c>
      <c r="K41" s="182">
        <f>SUMIFS('июнь 2025'!$G$5:$G$2470,'июнь 2025'!$D$5:$D$2470,$B41,'июнь 2025'!$J$5:$J$2470,K$1)</f>
        <v>0</v>
      </c>
      <c r="L41" s="182">
        <f>SUMIFS('июнь 2025'!$G$5:$G$2470,'июнь 2025'!$D$5:$D$2470,$B41,'июнь 2025'!$J$5:$J$2470,L$1)</f>
        <v>0</v>
      </c>
      <c r="M41" s="182">
        <f>SUMIFS('июнь 2025'!$G$5:$G$2470,'июнь 2025'!$D$5:$D$2470,$B41,'июнь 2025'!$J$5:$J$2470,M$1)</f>
        <v>0</v>
      </c>
      <c r="N41" s="182">
        <f>SUMIFS('июнь 2025'!$G$5:$G$2470,'июнь 2025'!$D$5:$D$2470,$B41,'июнь 2025'!$J$5:$J$2470,N$1)</f>
        <v>0</v>
      </c>
      <c r="O41" s="182">
        <f>SUMIFS('июнь 2025'!$G$5:$G$2470,'июнь 2025'!$D$5:$D$2470,$B41,'июнь 2025'!$J$5:$J$2470,O$1)</f>
        <v>0</v>
      </c>
      <c r="P41" s="182">
        <f>SUMIFS('июнь 2025'!$G$5:$G$2470,'июнь 2025'!$D$5:$D$2470,$B41,'июнь 2025'!$J$5:$J$2470,P$1)</f>
        <v>0</v>
      </c>
      <c r="Q41" s="182">
        <f>SUMIFS('июнь 2025'!$G$5:$G$2470,'июнь 2025'!$D$5:$D$2470,$B41,'июнь 2025'!$J$5:$J$2470,Q$1)</f>
        <v>0</v>
      </c>
      <c r="R41" s="182">
        <f>SUMIFS('июнь 2025'!$G$5:$G$2470,'июнь 2025'!$D$5:$D$2470,$B41,'июнь 2025'!$J$5:$J$2470,R$1)</f>
        <v>0</v>
      </c>
      <c r="S41" s="182">
        <f>SUMIFS('июнь 2025'!$G$5:$G$2470,'июнь 2025'!$D$5:$D$2470,$B41,'июнь 2025'!$J$5:$J$2470,S$1)</f>
        <v>0</v>
      </c>
      <c r="T41" s="182">
        <f>SUMIFS('июнь 2025'!$G$5:$G$2470,'июнь 2025'!$D$5:$D$2470,$B41,'июнь 2025'!$J$5:$J$2470,T$1)</f>
        <v>0</v>
      </c>
      <c r="U41" s="182">
        <f>SUMIFS('июнь 2025'!$G$5:$G$2470,'июнь 2025'!$D$5:$D$2470,$B41,'июнь 2025'!$J$5:$J$2470,U$1)</f>
        <v>0</v>
      </c>
      <c r="V41" s="182">
        <f>SUMIFS('июнь 2025'!$G$5:$G$2470,'июнь 2025'!$D$5:$D$2470,$B41,'июнь 2025'!$J$5:$J$2470,V$1)</f>
        <v>0</v>
      </c>
      <c r="W41" s="182">
        <f>SUMIFS('июнь 2025'!$G$5:$G$2470,'июнь 2025'!$D$5:$D$2470,$B41,'июнь 2025'!$J$5:$J$2470,W$1)</f>
        <v>0</v>
      </c>
      <c r="X41" s="182">
        <f>SUMIFS('июнь 2025'!$G$5:$G$2470,'июнь 2025'!$D$5:$D$2470,$B41,'июнь 2025'!$J$5:$J$2470,X$1)</f>
        <v>0</v>
      </c>
      <c r="Y41" s="182">
        <f>SUMIFS('июнь 2025'!$G$5:$G$2470,'июнь 2025'!$D$5:$D$2470,$B41,'июнь 2025'!$J$5:$J$2470,Y$1)</f>
        <v>0</v>
      </c>
      <c r="Z41" s="182">
        <f>SUMIFS('июнь 2025'!$G$5:$G$2470,'июнь 2025'!$D$5:$D$2470,$B41,'июнь 2025'!$J$5:$J$2470,Z$1)</f>
        <v>0</v>
      </c>
      <c r="AA41" s="182">
        <f>SUMIFS('июнь 2025'!$G$5:$G$2470,'июнь 2025'!$D$5:$D$2470,$B41,'июнь 2025'!$J$5:$J$2470,AA$1)</f>
        <v>0</v>
      </c>
      <c r="AB41" s="182">
        <f>SUMIFS('июнь 2025'!$G$5:$G$2470,'июнь 2025'!$D$5:$D$2470,$B41,'июнь 2025'!$J$5:$J$2470,AB$1)</f>
        <v>0</v>
      </c>
      <c r="AC41" s="182">
        <f>SUMIFS('июнь 2025'!$G$5:$G$2470,'июнь 2025'!$D$5:$D$2470,$B41,'июнь 2025'!$J$5:$J$2470,AC$1)</f>
        <v>0</v>
      </c>
      <c r="AD41" s="182">
        <f>SUMIFS('июнь 2025'!$G$5:$G$2470,'июнь 2025'!$D$5:$D$2470,$B41,'июнь 2025'!$J$5:$J$2470,AD$1)</f>
        <v>0</v>
      </c>
      <c r="AE41" s="182">
        <f>SUMIFS('июнь 2025'!$G$5:$G$2470,'июнь 2025'!$D$5:$D$2470,$B41,'июнь 2025'!$J$5:$J$2470,AE$1)</f>
        <v>0</v>
      </c>
      <c r="AF41" s="182">
        <f>SUMIFS('июнь 2025'!$G$5:$G$2470,'июнь 2025'!$D$5:$D$2470,$B41,'июнь 2025'!$J$5:$J$2470,AF$1)</f>
        <v>0</v>
      </c>
      <c r="AG41" s="182">
        <f>SUMIFS('июнь 2025'!$G$5:$G$2470,'июнь 2025'!$D$5:$D$2470,$B41,'июнь 2025'!$J$5:$J$2470,AG$1)</f>
        <v>0</v>
      </c>
      <c r="AH41" s="182">
        <f>SUMIFS('июнь 2025'!$G$5:$G$2470,'июнь 2025'!$D$5:$D$2470,$B41,'июнь 2025'!$J$5:$J$2470,AH$1)</f>
        <v>0</v>
      </c>
      <c r="AI41" s="20">
        <f t="shared" si="1"/>
        <v>0</v>
      </c>
    </row>
    <row r="42" spans="2:35" ht="15" customHeight="1" x14ac:dyDescent="0.25">
      <c r="B42" s="131" t="s">
        <v>227</v>
      </c>
      <c r="C42" s="130">
        <v>22.68</v>
      </c>
      <c r="D42" s="182">
        <f>SUMIFS('июнь 2025'!$G$5:$G$2470,'июнь 2025'!$D$5:$D$2470,$B42,'июнь 2025'!$J$5:$J$2470,D$1)</f>
        <v>0</v>
      </c>
      <c r="E42" s="182">
        <f>SUMIFS('июнь 2025'!$G$5:$G$2470,'июнь 2025'!$D$5:$D$2470,$B42,'июнь 2025'!$J$5:$J$2470,E$1)</f>
        <v>0</v>
      </c>
      <c r="F42" s="182">
        <f>SUMIFS('июнь 2025'!$G$5:$G$2470,'июнь 2025'!$D$5:$D$2470,$B42,'июнь 2025'!$J$5:$J$2470,F$1)</f>
        <v>0</v>
      </c>
      <c r="G42" s="182">
        <f>SUMIFS('июнь 2025'!$G$5:$G$2470,'июнь 2025'!$D$5:$D$2470,$B42,'июнь 2025'!$J$5:$J$2470,G$1)</f>
        <v>0</v>
      </c>
      <c r="H42" s="182">
        <f>SUMIFS('июнь 2025'!$G$5:$G$2470,'июнь 2025'!$D$5:$D$2470,$B42,'июнь 2025'!$J$5:$J$2470,H$1)</f>
        <v>0</v>
      </c>
      <c r="I42" s="182">
        <f>SUMIFS('июнь 2025'!$G$5:$G$2470,'июнь 2025'!$D$5:$D$2470,$B42,'июнь 2025'!$J$5:$J$2470,I$1)</f>
        <v>0</v>
      </c>
      <c r="J42" s="182">
        <f>SUMIFS('июнь 2025'!$G$5:$G$2470,'июнь 2025'!$D$5:$D$2470,$B42,'июнь 2025'!$J$5:$J$2470,J$1)</f>
        <v>0</v>
      </c>
      <c r="K42" s="182">
        <f>SUMIFS('июнь 2025'!$G$5:$G$2470,'июнь 2025'!$D$5:$D$2470,$B42,'июнь 2025'!$J$5:$J$2470,K$1)</f>
        <v>0</v>
      </c>
      <c r="L42" s="182">
        <f>SUMIFS('июнь 2025'!$G$5:$G$2470,'июнь 2025'!$D$5:$D$2470,$B42,'июнь 2025'!$J$5:$J$2470,L$1)</f>
        <v>0</v>
      </c>
      <c r="M42" s="182">
        <f>SUMIFS('июнь 2025'!$G$5:$G$2470,'июнь 2025'!$D$5:$D$2470,$B42,'июнь 2025'!$J$5:$J$2470,M$1)</f>
        <v>0</v>
      </c>
      <c r="N42" s="182">
        <f>SUMIFS('июнь 2025'!$G$5:$G$2470,'июнь 2025'!$D$5:$D$2470,$B42,'июнь 2025'!$J$5:$J$2470,N$1)</f>
        <v>0</v>
      </c>
      <c r="O42" s="182">
        <f>SUMIFS('июнь 2025'!$G$5:$G$2470,'июнь 2025'!$D$5:$D$2470,$B42,'июнь 2025'!$J$5:$J$2470,O$1)</f>
        <v>0</v>
      </c>
      <c r="P42" s="182">
        <f>SUMIFS('июнь 2025'!$G$5:$G$2470,'июнь 2025'!$D$5:$D$2470,$B42,'июнь 2025'!$J$5:$J$2470,P$1)</f>
        <v>0</v>
      </c>
      <c r="Q42" s="182">
        <f>SUMIFS('июнь 2025'!$G$5:$G$2470,'июнь 2025'!$D$5:$D$2470,$B42,'июнь 2025'!$J$5:$J$2470,Q$1)</f>
        <v>0</v>
      </c>
      <c r="R42" s="182">
        <f>SUMIFS('июнь 2025'!$G$5:$G$2470,'июнь 2025'!$D$5:$D$2470,$B42,'июнь 2025'!$J$5:$J$2470,R$1)</f>
        <v>0</v>
      </c>
      <c r="S42" s="182">
        <f>SUMIFS('июнь 2025'!$G$5:$G$2470,'июнь 2025'!$D$5:$D$2470,$B42,'июнь 2025'!$J$5:$J$2470,S$1)</f>
        <v>0</v>
      </c>
      <c r="T42" s="182">
        <f>SUMIFS('июнь 2025'!$G$5:$G$2470,'июнь 2025'!$D$5:$D$2470,$B42,'июнь 2025'!$J$5:$J$2470,T$1)</f>
        <v>0</v>
      </c>
      <c r="U42" s="182">
        <f>SUMIFS('июнь 2025'!$G$5:$G$2470,'июнь 2025'!$D$5:$D$2470,$B42,'июнь 2025'!$J$5:$J$2470,U$1)</f>
        <v>0</v>
      </c>
      <c r="V42" s="182">
        <f>SUMIFS('июнь 2025'!$G$5:$G$2470,'июнь 2025'!$D$5:$D$2470,$B42,'июнь 2025'!$J$5:$J$2470,V$1)</f>
        <v>0</v>
      </c>
      <c r="W42" s="182">
        <f>SUMIFS('июнь 2025'!$G$5:$G$2470,'июнь 2025'!$D$5:$D$2470,$B42,'июнь 2025'!$J$5:$J$2470,W$1)</f>
        <v>0</v>
      </c>
      <c r="X42" s="182">
        <f>SUMIFS('июнь 2025'!$G$5:$G$2470,'июнь 2025'!$D$5:$D$2470,$B42,'июнь 2025'!$J$5:$J$2470,X$1)</f>
        <v>0</v>
      </c>
      <c r="Y42" s="182">
        <f>SUMIFS('июнь 2025'!$G$5:$G$2470,'июнь 2025'!$D$5:$D$2470,$B42,'июнь 2025'!$J$5:$J$2470,Y$1)</f>
        <v>0</v>
      </c>
      <c r="Z42" s="182">
        <f>SUMIFS('июнь 2025'!$G$5:$G$2470,'июнь 2025'!$D$5:$D$2470,$B42,'июнь 2025'!$J$5:$J$2470,Z$1)</f>
        <v>0</v>
      </c>
      <c r="AA42" s="182">
        <f>SUMIFS('июнь 2025'!$G$5:$G$2470,'июнь 2025'!$D$5:$D$2470,$B42,'июнь 2025'!$J$5:$J$2470,AA$1)</f>
        <v>0</v>
      </c>
      <c r="AB42" s="182">
        <f>SUMIFS('июнь 2025'!$G$5:$G$2470,'июнь 2025'!$D$5:$D$2470,$B42,'июнь 2025'!$J$5:$J$2470,AB$1)</f>
        <v>0</v>
      </c>
      <c r="AC42" s="182">
        <f>SUMIFS('июнь 2025'!$G$5:$G$2470,'июнь 2025'!$D$5:$D$2470,$B42,'июнь 2025'!$J$5:$J$2470,AC$1)</f>
        <v>0</v>
      </c>
      <c r="AD42" s="182">
        <f>SUMIFS('июнь 2025'!$G$5:$G$2470,'июнь 2025'!$D$5:$D$2470,$B42,'июнь 2025'!$J$5:$J$2470,AD$1)</f>
        <v>0</v>
      </c>
      <c r="AE42" s="182">
        <f>SUMIFS('июнь 2025'!$G$5:$G$2470,'июнь 2025'!$D$5:$D$2470,$B42,'июнь 2025'!$J$5:$J$2470,AE$1)</f>
        <v>0</v>
      </c>
      <c r="AF42" s="182">
        <f>SUMIFS('июнь 2025'!$G$5:$G$2470,'июнь 2025'!$D$5:$D$2470,$B42,'июнь 2025'!$J$5:$J$2470,AF$1)</f>
        <v>0</v>
      </c>
      <c r="AG42" s="182">
        <f>SUMIFS('июнь 2025'!$G$5:$G$2470,'июнь 2025'!$D$5:$D$2470,$B42,'июнь 2025'!$J$5:$J$2470,AG$1)</f>
        <v>0</v>
      </c>
      <c r="AH42" s="182">
        <f>SUMIFS('июнь 2025'!$G$5:$G$2470,'июнь 2025'!$D$5:$D$2470,$B42,'июнь 2025'!$J$5:$J$2470,AH$1)</f>
        <v>0</v>
      </c>
      <c r="AI42" s="20">
        <f t="shared" si="1"/>
        <v>0</v>
      </c>
    </row>
    <row r="43" spans="2:35" ht="15" customHeight="1" x14ac:dyDescent="0.25">
      <c r="B43" s="135" t="s">
        <v>229</v>
      </c>
      <c r="C43" s="132">
        <v>25</v>
      </c>
      <c r="D43" s="182">
        <f>SUMIFS('июнь 2025'!$G$5:$G$2470,'июнь 2025'!$D$5:$D$2470,$B43,'июнь 2025'!$J$5:$J$2470,D$1)</f>
        <v>0</v>
      </c>
      <c r="E43" s="182">
        <f>SUMIFS('июнь 2025'!$G$5:$G$2470,'июнь 2025'!$D$5:$D$2470,$B43,'июнь 2025'!$J$5:$J$2470,E$1)</f>
        <v>0</v>
      </c>
      <c r="F43" s="182">
        <f>SUMIFS('июнь 2025'!$G$5:$G$2470,'июнь 2025'!$D$5:$D$2470,$B43,'июнь 2025'!$J$5:$J$2470,F$1)</f>
        <v>0</v>
      </c>
      <c r="G43" s="182">
        <f>SUMIFS('июнь 2025'!$G$5:$G$2470,'июнь 2025'!$D$5:$D$2470,$B43,'июнь 2025'!$J$5:$J$2470,G$1)</f>
        <v>0</v>
      </c>
      <c r="H43" s="182">
        <f>SUMIFS('июнь 2025'!$G$5:$G$2470,'июнь 2025'!$D$5:$D$2470,$B43,'июнь 2025'!$J$5:$J$2470,H$1)</f>
        <v>0</v>
      </c>
      <c r="I43" s="182">
        <f>SUMIFS('июнь 2025'!$G$5:$G$2470,'июнь 2025'!$D$5:$D$2470,$B43,'июнь 2025'!$J$5:$J$2470,I$1)</f>
        <v>0</v>
      </c>
      <c r="J43" s="182">
        <f>SUMIFS('июнь 2025'!$G$5:$G$2470,'июнь 2025'!$D$5:$D$2470,$B43,'июнь 2025'!$J$5:$J$2470,J$1)</f>
        <v>0</v>
      </c>
      <c r="K43" s="182">
        <f>SUMIFS('июнь 2025'!$G$5:$G$2470,'июнь 2025'!$D$5:$D$2470,$B43,'июнь 2025'!$J$5:$J$2470,K$1)</f>
        <v>0</v>
      </c>
      <c r="L43" s="182">
        <f>SUMIFS('июнь 2025'!$G$5:$G$2470,'июнь 2025'!$D$5:$D$2470,$B43,'июнь 2025'!$J$5:$J$2470,L$1)</f>
        <v>0</v>
      </c>
      <c r="M43" s="182">
        <f>SUMIFS('июнь 2025'!$G$5:$G$2470,'июнь 2025'!$D$5:$D$2470,$B43,'июнь 2025'!$J$5:$J$2470,M$1)</f>
        <v>0</v>
      </c>
      <c r="N43" s="182">
        <f>SUMIFS('июнь 2025'!$G$5:$G$2470,'июнь 2025'!$D$5:$D$2470,$B43,'июнь 2025'!$J$5:$J$2470,N$1)</f>
        <v>0</v>
      </c>
      <c r="O43" s="182">
        <f>SUMIFS('июнь 2025'!$G$5:$G$2470,'июнь 2025'!$D$5:$D$2470,$B43,'июнь 2025'!$J$5:$J$2470,O$1)</f>
        <v>0</v>
      </c>
      <c r="P43" s="182">
        <f>SUMIFS('июнь 2025'!$G$5:$G$2470,'июнь 2025'!$D$5:$D$2470,$B43,'июнь 2025'!$J$5:$J$2470,P$1)</f>
        <v>0</v>
      </c>
      <c r="Q43" s="182">
        <f>SUMIFS('июнь 2025'!$G$5:$G$2470,'июнь 2025'!$D$5:$D$2470,$B43,'июнь 2025'!$J$5:$J$2470,Q$1)</f>
        <v>0</v>
      </c>
      <c r="R43" s="182">
        <f>SUMIFS('июнь 2025'!$G$5:$G$2470,'июнь 2025'!$D$5:$D$2470,$B43,'июнь 2025'!$J$5:$J$2470,R$1)</f>
        <v>0</v>
      </c>
      <c r="S43" s="182">
        <f>SUMIFS('июнь 2025'!$G$5:$G$2470,'июнь 2025'!$D$5:$D$2470,$B43,'июнь 2025'!$J$5:$J$2470,S$1)</f>
        <v>0</v>
      </c>
      <c r="T43" s="182">
        <f>SUMIFS('июнь 2025'!$G$5:$G$2470,'июнь 2025'!$D$5:$D$2470,$B43,'июнь 2025'!$J$5:$J$2470,T$1)</f>
        <v>0</v>
      </c>
      <c r="U43" s="182">
        <f>SUMIFS('июнь 2025'!$G$5:$G$2470,'июнь 2025'!$D$5:$D$2470,$B43,'июнь 2025'!$J$5:$J$2470,U$1)</f>
        <v>0</v>
      </c>
      <c r="V43" s="182">
        <f>SUMIFS('июнь 2025'!$G$5:$G$2470,'июнь 2025'!$D$5:$D$2470,$B43,'июнь 2025'!$J$5:$J$2470,V$1)</f>
        <v>0</v>
      </c>
      <c r="W43" s="182">
        <f>SUMIFS('июнь 2025'!$G$5:$G$2470,'июнь 2025'!$D$5:$D$2470,$B43,'июнь 2025'!$J$5:$J$2470,W$1)</f>
        <v>0</v>
      </c>
      <c r="X43" s="182">
        <f>SUMIFS('июнь 2025'!$G$5:$G$2470,'июнь 2025'!$D$5:$D$2470,$B43,'июнь 2025'!$J$5:$J$2470,X$1)</f>
        <v>0</v>
      </c>
      <c r="Y43" s="182">
        <f>SUMIFS('июнь 2025'!$G$5:$G$2470,'июнь 2025'!$D$5:$D$2470,$B43,'июнь 2025'!$J$5:$J$2470,Y$1)</f>
        <v>0</v>
      </c>
      <c r="Z43" s="182">
        <f>SUMIFS('июнь 2025'!$G$5:$G$2470,'июнь 2025'!$D$5:$D$2470,$B43,'июнь 2025'!$J$5:$J$2470,Z$1)</f>
        <v>0</v>
      </c>
      <c r="AA43" s="182">
        <f>SUMIFS('июнь 2025'!$G$5:$G$2470,'июнь 2025'!$D$5:$D$2470,$B43,'июнь 2025'!$J$5:$J$2470,AA$1)</f>
        <v>0</v>
      </c>
      <c r="AB43" s="182">
        <f>SUMIFS('июнь 2025'!$G$5:$G$2470,'июнь 2025'!$D$5:$D$2470,$B43,'июнь 2025'!$J$5:$J$2470,AB$1)</f>
        <v>0</v>
      </c>
      <c r="AC43" s="182">
        <f>SUMIFS('июнь 2025'!$G$5:$G$2470,'июнь 2025'!$D$5:$D$2470,$B43,'июнь 2025'!$J$5:$J$2470,AC$1)</f>
        <v>0</v>
      </c>
      <c r="AD43" s="182">
        <f>SUMIFS('июнь 2025'!$G$5:$G$2470,'июнь 2025'!$D$5:$D$2470,$B43,'июнь 2025'!$J$5:$J$2470,AD$1)</f>
        <v>0</v>
      </c>
      <c r="AE43" s="182">
        <f>SUMIFS('июнь 2025'!$G$5:$G$2470,'июнь 2025'!$D$5:$D$2470,$B43,'июнь 2025'!$J$5:$J$2470,AE$1)</f>
        <v>0</v>
      </c>
      <c r="AF43" s="182">
        <f>SUMIFS('июнь 2025'!$G$5:$G$2470,'июнь 2025'!$D$5:$D$2470,$B43,'июнь 2025'!$J$5:$J$2470,AF$1)</f>
        <v>0</v>
      </c>
      <c r="AG43" s="182">
        <f>SUMIFS('июнь 2025'!$G$5:$G$2470,'июнь 2025'!$D$5:$D$2470,$B43,'июнь 2025'!$J$5:$J$2470,AG$1)</f>
        <v>0</v>
      </c>
      <c r="AH43" s="182">
        <f>SUMIFS('июнь 2025'!$G$5:$G$2470,'июнь 2025'!$D$5:$D$2470,$B43,'июнь 2025'!$J$5:$J$2470,AH$1)</f>
        <v>0</v>
      </c>
      <c r="AI43" s="20">
        <f t="shared" si="1"/>
        <v>0</v>
      </c>
    </row>
    <row r="44" spans="2:35" ht="15" customHeight="1" x14ac:dyDescent="0.25">
      <c r="B44" s="131" t="s">
        <v>230</v>
      </c>
      <c r="C44" s="134">
        <v>25</v>
      </c>
      <c r="D44" s="182">
        <f>SUMIFS('июнь 2025'!$G$5:$G$2470,'июнь 2025'!$D$5:$D$2470,$B44,'июнь 2025'!$J$5:$J$2470,D$1)</f>
        <v>0</v>
      </c>
      <c r="E44" s="182">
        <f>SUMIFS('июнь 2025'!$G$5:$G$2470,'июнь 2025'!$D$5:$D$2470,$B44,'июнь 2025'!$J$5:$J$2470,E$1)</f>
        <v>0</v>
      </c>
      <c r="F44" s="182">
        <f>SUMIFS('июнь 2025'!$G$5:$G$2470,'июнь 2025'!$D$5:$D$2470,$B44,'июнь 2025'!$J$5:$J$2470,F$1)</f>
        <v>0</v>
      </c>
      <c r="G44" s="182">
        <f>SUMIFS('июнь 2025'!$G$5:$G$2470,'июнь 2025'!$D$5:$D$2470,$B44,'июнь 2025'!$J$5:$J$2470,G$1)</f>
        <v>0</v>
      </c>
      <c r="H44" s="182">
        <f>SUMIFS('июнь 2025'!$G$5:$G$2470,'июнь 2025'!$D$5:$D$2470,$B44,'июнь 2025'!$J$5:$J$2470,H$1)</f>
        <v>0</v>
      </c>
      <c r="I44" s="182">
        <f>SUMIFS('июнь 2025'!$G$5:$G$2470,'июнь 2025'!$D$5:$D$2470,$B44,'июнь 2025'!$J$5:$J$2470,I$1)</f>
        <v>0</v>
      </c>
      <c r="J44" s="182">
        <f>SUMIFS('июнь 2025'!$G$5:$G$2470,'июнь 2025'!$D$5:$D$2470,$B44,'июнь 2025'!$J$5:$J$2470,J$1)</f>
        <v>0</v>
      </c>
      <c r="K44" s="182">
        <f>SUMIFS('июнь 2025'!$G$5:$G$2470,'июнь 2025'!$D$5:$D$2470,$B44,'июнь 2025'!$J$5:$J$2470,K$1)</f>
        <v>0</v>
      </c>
      <c r="L44" s="182">
        <f>SUMIFS('июнь 2025'!$G$5:$G$2470,'июнь 2025'!$D$5:$D$2470,$B44,'июнь 2025'!$J$5:$J$2470,L$1)</f>
        <v>0</v>
      </c>
      <c r="M44" s="182">
        <f>SUMIFS('июнь 2025'!$G$5:$G$2470,'июнь 2025'!$D$5:$D$2470,$B44,'июнь 2025'!$J$5:$J$2470,M$1)</f>
        <v>0</v>
      </c>
      <c r="N44" s="182">
        <f>SUMIFS('июнь 2025'!$G$5:$G$2470,'июнь 2025'!$D$5:$D$2470,$B44,'июнь 2025'!$J$5:$J$2470,N$1)</f>
        <v>0</v>
      </c>
      <c r="O44" s="182">
        <f>SUMIFS('июнь 2025'!$G$5:$G$2470,'июнь 2025'!$D$5:$D$2470,$B44,'июнь 2025'!$J$5:$J$2470,O$1)</f>
        <v>0</v>
      </c>
      <c r="P44" s="182">
        <f>SUMIFS('июнь 2025'!$G$5:$G$2470,'июнь 2025'!$D$5:$D$2470,$B44,'июнь 2025'!$J$5:$J$2470,P$1)</f>
        <v>0</v>
      </c>
      <c r="Q44" s="182">
        <f>SUMIFS('июнь 2025'!$G$5:$G$2470,'июнь 2025'!$D$5:$D$2470,$B44,'июнь 2025'!$J$5:$J$2470,Q$1)</f>
        <v>0</v>
      </c>
      <c r="R44" s="182">
        <f>SUMIFS('июнь 2025'!$G$5:$G$2470,'июнь 2025'!$D$5:$D$2470,$B44,'июнь 2025'!$J$5:$J$2470,R$1)</f>
        <v>0</v>
      </c>
      <c r="S44" s="182">
        <f>SUMIFS('июнь 2025'!$G$5:$G$2470,'июнь 2025'!$D$5:$D$2470,$B44,'июнь 2025'!$J$5:$J$2470,S$1)</f>
        <v>0</v>
      </c>
      <c r="T44" s="182">
        <f>SUMIFS('июнь 2025'!$G$5:$G$2470,'июнь 2025'!$D$5:$D$2470,$B44,'июнь 2025'!$J$5:$J$2470,T$1)</f>
        <v>0</v>
      </c>
      <c r="U44" s="182">
        <f>SUMIFS('июнь 2025'!$G$5:$G$2470,'июнь 2025'!$D$5:$D$2470,$B44,'июнь 2025'!$J$5:$J$2470,U$1)</f>
        <v>0</v>
      </c>
      <c r="V44" s="182">
        <f>SUMIFS('июнь 2025'!$G$5:$G$2470,'июнь 2025'!$D$5:$D$2470,$B44,'июнь 2025'!$J$5:$J$2470,V$1)</f>
        <v>0</v>
      </c>
      <c r="W44" s="182">
        <f>SUMIFS('июнь 2025'!$G$5:$G$2470,'июнь 2025'!$D$5:$D$2470,$B44,'июнь 2025'!$J$5:$J$2470,W$1)</f>
        <v>0</v>
      </c>
      <c r="X44" s="182">
        <f>SUMIFS('июнь 2025'!$G$5:$G$2470,'июнь 2025'!$D$5:$D$2470,$B44,'июнь 2025'!$J$5:$J$2470,X$1)</f>
        <v>0</v>
      </c>
      <c r="Y44" s="182">
        <f>SUMIFS('июнь 2025'!$G$5:$G$2470,'июнь 2025'!$D$5:$D$2470,$B44,'июнь 2025'!$J$5:$J$2470,Y$1)</f>
        <v>0</v>
      </c>
      <c r="Z44" s="182">
        <f>SUMIFS('июнь 2025'!$G$5:$G$2470,'июнь 2025'!$D$5:$D$2470,$B44,'июнь 2025'!$J$5:$J$2470,Z$1)</f>
        <v>0</v>
      </c>
      <c r="AA44" s="182">
        <f>SUMIFS('июнь 2025'!$G$5:$G$2470,'июнь 2025'!$D$5:$D$2470,$B44,'июнь 2025'!$J$5:$J$2470,AA$1)</f>
        <v>0</v>
      </c>
      <c r="AB44" s="182">
        <f>SUMIFS('июнь 2025'!$G$5:$G$2470,'июнь 2025'!$D$5:$D$2470,$B44,'июнь 2025'!$J$5:$J$2470,AB$1)</f>
        <v>0</v>
      </c>
      <c r="AC44" s="182">
        <f>SUMIFS('июнь 2025'!$G$5:$G$2470,'июнь 2025'!$D$5:$D$2470,$B44,'июнь 2025'!$J$5:$J$2470,AC$1)</f>
        <v>0</v>
      </c>
      <c r="AD44" s="182">
        <f>SUMIFS('июнь 2025'!$G$5:$G$2470,'июнь 2025'!$D$5:$D$2470,$B44,'июнь 2025'!$J$5:$J$2470,AD$1)</f>
        <v>0</v>
      </c>
      <c r="AE44" s="182">
        <f>SUMIFS('июнь 2025'!$G$5:$G$2470,'июнь 2025'!$D$5:$D$2470,$B44,'июнь 2025'!$J$5:$J$2470,AE$1)</f>
        <v>0</v>
      </c>
      <c r="AF44" s="182">
        <f>SUMIFS('июнь 2025'!$G$5:$G$2470,'июнь 2025'!$D$5:$D$2470,$B44,'июнь 2025'!$J$5:$J$2470,AF$1)</f>
        <v>0</v>
      </c>
      <c r="AG44" s="182">
        <f>SUMIFS('июнь 2025'!$G$5:$G$2470,'июнь 2025'!$D$5:$D$2470,$B44,'июнь 2025'!$J$5:$J$2470,AG$1)</f>
        <v>0</v>
      </c>
      <c r="AH44" s="182">
        <f>SUMIFS('июнь 2025'!$G$5:$G$2470,'июнь 2025'!$D$5:$D$2470,$B44,'июнь 2025'!$J$5:$J$2470,AH$1)</f>
        <v>0</v>
      </c>
      <c r="AI44" s="20">
        <f t="shared" si="1"/>
        <v>0</v>
      </c>
    </row>
    <row r="45" spans="2:35" ht="15" customHeight="1" x14ac:dyDescent="0.25">
      <c r="B45" s="135" t="s">
        <v>288</v>
      </c>
      <c r="C45" s="137">
        <v>25</v>
      </c>
      <c r="D45" s="182">
        <f>SUMIFS('июнь 2025'!$G$5:$G$2470,'июнь 2025'!$D$5:$D$2470,$B45,'июнь 2025'!$J$5:$J$2470,D$1)</f>
        <v>0</v>
      </c>
      <c r="E45" s="182">
        <f>SUMIFS('июнь 2025'!$G$5:$G$2470,'июнь 2025'!$D$5:$D$2470,$B45,'июнь 2025'!$J$5:$J$2470,E$1)</f>
        <v>0</v>
      </c>
      <c r="F45" s="182">
        <f>SUMIFS('июнь 2025'!$G$5:$G$2470,'июнь 2025'!$D$5:$D$2470,$B45,'июнь 2025'!$J$5:$J$2470,F$1)</f>
        <v>0</v>
      </c>
      <c r="G45" s="182">
        <f>SUMIFS('июнь 2025'!$G$5:$G$2470,'июнь 2025'!$D$5:$D$2470,$B45,'июнь 2025'!$J$5:$J$2470,G$1)</f>
        <v>0</v>
      </c>
      <c r="H45" s="182">
        <f>SUMIFS('июнь 2025'!$G$5:$G$2470,'июнь 2025'!$D$5:$D$2470,$B45,'июнь 2025'!$J$5:$J$2470,H$1)</f>
        <v>0</v>
      </c>
      <c r="I45" s="182">
        <f>SUMIFS('июнь 2025'!$G$5:$G$2470,'июнь 2025'!$D$5:$D$2470,$B45,'июнь 2025'!$J$5:$J$2470,I$1)</f>
        <v>0</v>
      </c>
      <c r="J45" s="182">
        <f>SUMIFS('июнь 2025'!$G$5:$G$2470,'июнь 2025'!$D$5:$D$2470,$B45,'июнь 2025'!$J$5:$J$2470,J$1)</f>
        <v>0</v>
      </c>
      <c r="K45" s="182">
        <f>SUMIFS('июнь 2025'!$G$5:$G$2470,'июнь 2025'!$D$5:$D$2470,$B45,'июнь 2025'!$J$5:$J$2470,K$1)</f>
        <v>0</v>
      </c>
      <c r="L45" s="182">
        <f>SUMIFS('июнь 2025'!$G$5:$G$2470,'июнь 2025'!$D$5:$D$2470,$B45,'июнь 2025'!$J$5:$J$2470,L$1)</f>
        <v>0</v>
      </c>
      <c r="M45" s="182">
        <f>SUMIFS('июнь 2025'!$G$5:$G$2470,'июнь 2025'!$D$5:$D$2470,$B45,'июнь 2025'!$J$5:$J$2470,M$1)</f>
        <v>0</v>
      </c>
      <c r="N45" s="182">
        <f>SUMIFS('июнь 2025'!$G$5:$G$2470,'июнь 2025'!$D$5:$D$2470,$B45,'июнь 2025'!$J$5:$J$2470,N$1)</f>
        <v>0</v>
      </c>
      <c r="O45" s="182">
        <f>SUMIFS('июнь 2025'!$G$5:$G$2470,'июнь 2025'!$D$5:$D$2470,$B45,'июнь 2025'!$J$5:$J$2470,O$1)</f>
        <v>0</v>
      </c>
      <c r="P45" s="182">
        <f>SUMIFS('июнь 2025'!$G$5:$G$2470,'июнь 2025'!$D$5:$D$2470,$B45,'июнь 2025'!$J$5:$J$2470,P$1)</f>
        <v>0</v>
      </c>
      <c r="Q45" s="182">
        <f>SUMIFS('июнь 2025'!$G$5:$G$2470,'июнь 2025'!$D$5:$D$2470,$B45,'июнь 2025'!$J$5:$J$2470,Q$1)</f>
        <v>0</v>
      </c>
      <c r="R45" s="182">
        <f>SUMIFS('июнь 2025'!$G$5:$G$2470,'июнь 2025'!$D$5:$D$2470,$B45,'июнь 2025'!$J$5:$J$2470,R$1)</f>
        <v>0</v>
      </c>
      <c r="S45" s="182">
        <f>SUMIFS('июнь 2025'!$G$5:$G$2470,'июнь 2025'!$D$5:$D$2470,$B45,'июнь 2025'!$J$5:$J$2470,S$1)</f>
        <v>0</v>
      </c>
      <c r="T45" s="182">
        <f>SUMIFS('июнь 2025'!$G$5:$G$2470,'июнь 2025'!$D$5:$D$2470,$B45,'июнь 2025'!$J$5:$J$2470,T$1)</f>
        <v>0</v>
      </c>
      <c r="U45" s="182">
        <f>SUMIFS('июнь 2025'!$G$5:$G$2470,'июнь 2025'!$D$5:$D$2470,$B45,'июнь 2025'!$J$5:$J$2470,U$1)</f>
        <v>0</v>
      </c>
      <c r="V45" s="182">
        <f>SUMIFS('июнь 2025'!$G$5:$G$2470,'июнь 2025'!$D$5:$D$2470,$B45,'июнь 2025'!$J$5:$J$2470,V$1)</f>
        <v>0</v>
      </c>
      <c r="W45" s="182">
        <f>SUMIFS('июнь 2025'!$G$5:$G$2470,'июнь 2025'!$D$5:$D$2470,$B45,'июнь 2025'!$J$5:$J$2470,W$1)</f>
        <v>0</v>
      </c>
      <c r="X45" s="182">
        <f>SUMIFS('июнь 2025'!$G$5:$G$2470,'июнь 2025'!$D$5:$D$2470,$B45,'июнь 2025'!$J$5:$J$2470,X$1)</f>
        <v>0</v>
      </c>
      <c r="Y45" s="182">
        <f>SUMIFS('июнь 2025'!$G$5:$G$2470,'июнь 2025'!$D$5:$D$2470,$B45,'июнь 2025'!$J$5:$J$2470,Y$1)</f>
        <v>0</v>
      </c>
      <c r="Z45" s="182">
        <f>SUMIFS('июнь 2025'!$G$5:$G$2470,'июнь 2025'!$D$5:$D$2470,$B45,'июнь 2025'!$J$5:$J$2470,Z$1)</f>
        <v>0</v>
      </c>
      <c r="AA45" s="182">
        <f>SUMIFS('июнь 2025'!$G$5:$G$2470,'июнь 2025'!$D$5:$D$2470,$B45,'июнь 2025'!$J$5:$J$2470,AA$1)</f>
        <v>0</v>
      </c>
      <c r="AB45" s="182">
        <f>SUMIFS('июнь 2025'!$G$5:$G$2470,'июнь 2025'!$D$5:$D$2470,$B45,'июнь 2025'!$J$5:$J$2470,AB$1)</f>
        <v>0</v>
      </c>
      <c r="AC45" s="182">
        <f>SUMIFS('июнь 2025'!$G$5:$G$2470,'июнь 2025'!$D$5:$D$2470,$B45,'июнь 2025'!$J$5:$J$2470,AC$1)</f>
        <v>0</v>
      </c>
      <c r="AD45" s="182">
        <f>SUMIFS('июнь 2025'!$G$5:$G$2470,'июнь 2025'!$D$5:$D$2470,$B45,'июнь 2025'!$J$5:$J$2470,AD$1)</f>
        <v>0</v>
      </c>
      <c r="AE45" s="182">
        <f>SUMIFS('июнь 2025'!$G$5:$G$2470,'июнь 2025'!$D$5:$D$2470,$B45,'июнь 2025'!$J$5:$J$2470,AE$1)</f>
        <v>0</v>
      </c>
      <c r="AF45" s="182">
        <f>SUMIFS('июнь 2025'!$G$5:$G$2470,'июнь 2025'!$D$5:$D$2470,$B45,'июнь 2025'!$J$5:$J$2470,AF$1)</f>
        <v>0</v>
      </c>
      <c r="AG45" s="182">
        <f>SUMIFS('июнь 2025'!$G$5:$G$2470,'июнь 2025'!$D$5:$D$2470,$B45,'июнь 2025'!$J$5:$J$2470,AG$1)</f>
        <v>0</v>
      </c>
      <c r="AH45" s="182">
        <f>SUMIFS('июнь 2025'!$G$5:$G$2470,'июнь 2025'!$D$5:$D$2470,$B45,'июнь 2025'!$J$5:$J$2470,AH$1)</f>
        <v>0</v>
      </c>
      <c r="AI45" s="20">
        <f t="shared" si="1"/>
        <v>0</v>
      </c>
    </row>
    <row r="46" spans="2:35" ht="15" customHeight="1" x14ac:dyDescent="0.25">
      <c r="B46" s="135" t="s">
        <v>232</v>
      </c>
      <c r="C46" s="132">
        <v>25</v>
      </c>
      <c r="D46" s="182">
        <f>SUMIFS('июнь 2025'!$G$5:$G$2470,'июнь 2025'!$D$5:$D$2470,$B46,'июнь 2025'!$J$5:$J$2470,D$1)</f>
        <v>0</v>
      </c>
      <c r="E46" s="182">
        <f>SUMIFS('июнь 2025'!$G$5:$G$2470,'июнь 2025'!$D$5:$D$2470,$B46,'июнь 2025'!$J$5:$J$2470,E$1)</f>
        <v>0</v>
      </c>
      <c r="F46" s="182">
        <f>SUMIFS('июнь 2025'!$G$5:$G$2470,'июнь 2025'!$D$5:$D$2470,$B46,'июнь 2025'!$J$5:$J$2470,F$1)</f>
        <v>0</v>
      </c>
      <c r="G46" s="182">
        <f>SUMIFS('июнь 2025'!$G$5:$G$2470,'июнь 2025'!$D$5:$D$2470,$B46,'июнь 2025'!$J$5:$J$2470,G$1)</f>
        <v>0</v>
      </c>
      <c r="H46" s="182">
        <f>SUMIFS('июнь 2025'!$G$5:$G$2470,'июнь 2025'!$D$5:$D$2470,$B46,'июнь 2025'!$J$5:$J$2470,H$1)</f>
        <v>0</v>
      </c>
      <c r="I46" s="182">
        <f>SUMIFS('июнь 2025'!$G$5:$G$2470,'июнь 2025'!$D$5:$D$2470,$B46,'июнь 2025'!$J$5:$J$2470,I$1)</f>
        <v>0</v>
      </c>
      <c r="J46" s="182">
        <f>SUMIFS('июнь 2025'!$G$5:$G$2470,'июнь 2025'!$D$5:$D$2470,$B46,'июнь 2025'!$J$5:$J$2470,J$1)</f>
        <v>0</v>
      </c>
      <c r="K46" s="182">
        <f>SUMIFS('июнь 2025'!$G$5:$G$2470,'июнь 2025'!$D$5:$D$2470,$B46,'июнь 2025'!$J$5:$J$2470,K$1)</f>
        <v>0</v>
      </c>
      <c r="L46" s="182">
        <f>SUMIFS('июнь 2025'!$G$5:$G$2470,'июнь 2025'!$D$5:$D$2470,$B46,'июнь 2025'!$J$5:$J$2470,L$1)</f>
        <v>0</v>
      </c>
      <c r="M46" s="182">
        <f>SUMIFS('июнь 2025'!$G$5:$G$2470,'июнь 2025'!$D$5:$D$2470,$B46,'июнь 2025'!$J$5:$J$2470,M$1)</f>
        <v>0</v>
      </c>
      <c r="N46" s="182">
        <f>SUMIFS('июнь 2025'!$G$5:$G$2470,'июнь 2025'!$D$5:$D$2470,$B46,'июнь 2025'!$J$5:$J$2470,N$1)</f>
        <v>0</v>
      </c>
      <c r="O46" s="182">
        <f>SUMIFS('июнь 2025'!$G$5:$G$2470,'июнь 2025'!$D$5:$D$2470,$B46,'июнь 2025'!$J$5:$J$2470,O$1)</f>
        <v>0</v>
      </c>
      <c r="P46" s="182">
        <f>SUMIFS('июнь 2025'!$G$5:$G$2470,'июнь 2025'!$D$5:$D$2470,$B46,'июнь 2025'!$J$5:$J$2470,P$1)</f>
        <v>0</v>
      </c>
      <c r="Q46" s="182">
        <f>SUMIFS('июнь 2025'!$G$5:$G$2470,'июнь 2025'!$D$5:$D$2470,$B46,'июнь 2025'!$J$5:$J$2470,Q$1)</f>
        <v>0</v>
      </c>
      <c r="R46" s="182">
        <f>SUMIFS('июнь 2025'!$G$5:$G$2470,'июнь 2025'!$D$5:$D$2470,$B46,'июнь 2025'!$J$5:$J$2470,R$1)</f>
        <v>0</v>
      </c>
      <c r="S46" s="182">
        <f>SUMIFS('июнь 2025'!$G$5:$G$2470,'июнь 2025'!$D$5:$D$2470,$B46,'июнь 2025'!$J$5:$J$2470,S$1)</f>
        <v>0</v>
      </c>
      <c r="T46" s="182">
        <f>SUMIFS('июнь 2025'!$G$5:$G$2470,'июнь 2025'!$D$5:$D$2470,$B46,'июнь 2025'!$J$5:$J$2470,T$1)</f>
        <v>0</v>
      </c>
      <c r="U46" s="182">
        <f>SUMIFS('июнь 2025'!$G$5:$G$2470,'июнь 2025'!$D$5:$D$2470,$B46,'июнь 2025'!$J$5:$J$2470,U$1)</f>
        <v>0</v>
      </c>
      <c r="V46" s="182">
        <f>SUMIFS('июнь 2025'!$G$5:$G$2470,'июнь 2025'!$D$5:$D$2470,$B46,'июнь 2025'!$J$5:$J$2470,V$1)</f>
        <v>0</v>
      </c>
      <c r="W46" s="182">
        <f>SUMIFS('июнь 2025'!$G$5:$G$2470,'июнь 2025'!$D$5:$D$2470,$B46,'июнь 2025'!$J$5:$J$2470,W$1)</f>
        <v>0</v>
      </c>
      <c r="X46" s="182">
        <f>SUMIFS('июнь 2025'!$G$5:$G$2470,'июнь 2025'!$D$5:$D$2470,$B46,'июнь 2025'!$J$5:$J$2470,X$1)</f>
        <v>0</v>
      </c>
      <c r="Y46" s="182">
        <f>SUMIFS('июнь 2025'!$G$5:$G$2470,'июнь 2025'!$D$5:$D$2470,$B46,'июнь 2025'!$J$5:$J$2470,Y$1)</f>
        <v>0</v>
      </c>
      <c r="Z46" s="182">
        <f>SUMIFS('июнь 2025'!$G$5:$G$2470,'июнь 2025'!$D$5:$D$2470,$B46,'июнь 2025'!$J$5:$J$2470,Z$1)</f>
        <v>0</v>
      </c>
      <c r="AA46" s="182">
        <f>SUMIFS('июнь 2025'!$G$5:$G$2470,'июнь 2025'!$D$5:$D$2470,$B46,'июнь 2025'!$J$5:$J$2470,AA$1)</f>
        <v>0</v>
      </c>
      <c r="AB46" s="182">
        <f>SUMIFS('июнь 2025'!$G$5:$G$2470,'июнь 2025'!$D$5:$D$2470,$B46,'июнь 2025'!$J$5:$J$2470,AB$1)</f>
        <v>0</v>
      </c>
      <c r="AC46" s="182">
        <f>SUMIFS('июнь 2025'!$G$5:$G$2470,'июнь 2025'!$D$5:$D$2470,$B46,'июнь 2025'!$J$5:$J$2470,AC$1)</f>
        <v>0</v>
      </c>
      <c r="AD46" s="182">
        <f>SUMIFS('июнь 2025'!$G$5:$G$2470,'июнь 2025'!$D$5:$D$2470,$B46,'июнь 2025'!$J$5:$J$2470,AD$1)</f>
        <v>0</v>
      </c>
      <c r="AE46" s="182">
        <f>SUMIFS('июнь 2025'!$G$5:$G$2470,'июнь 2025'!$D$5:$D$2470,$B46,'июнь 2025'!$J$5:$J$2470,AE$1)</f>
        <v>0</v>
      </c>
      <c r="AF46" s="182">
        <f>SUMIFS('июнь 2025'!$G$5:$G$2470,'июнь 2025'!$D$5:$D$2470,$B46,'июнь 2025'!$J$5:$J$2470,AF$1)</f>
        <v>0</v>
      </c>
      <c r="AG46" s="182">
        <f>SUMIFS('июнь 2025'!$G$5:$G$2470,'июнь 2025'!$D$5:$D$2470,$B46,'июнь 2025'!$J$5:$J$2470,AG$1)</f>
        <v>0</v>
      </c>
      <c r="AH46" s="182">
        <f>SUMIFS('июнь 2025'!$G$5:$G$2470,'июнь 2025'!$D$5:$D$2470,$B46,'июнь 2025'!$J$5:$J$2470,AH$1)</f>
        <v>0</v>
      </c>
      <c r="AI46" s="20">
        <f t="shared" si="1"/>
        <v>0</v>
      </c>
    </row>
    <row r="47" spans="2:35" ht="15" customHeight="1" x14ac:dyDescent="0.25">
      <c r="B47" s="135" t="s">
        <v>234</v>
      </c>
      <c r="C47" s="132">
        <v>18</v>
      </c>
      <c r="D47" s="182">
        <f>SUMIFS('июнь 2025'!$G$5:$G$2470,'июнь 2025'!$D$5:$D$2470,$B47,'июнь 2025'!$J$5:$J$2470,D$1)</f>
        <v>0</v>
      </c>
      <c r="E47" s="182">
        <f>SUMIFS('июнь 2025'!$G$5:$G$2470,'июнь 2025'!$D$5:$D$2470,$B47,'июнь 2025'!$J$5:$J$2470,E$1)</f>
        <v>0</v>
      </c>
      <c r="F47" s="182">
        <f>SUMIFS('июнь 2025'!$G$5:$G$2470,'июнь 2025'!$D$5:$D$2470,$B47,'июнь 2025'!$J$5:$J$2470,F$1)</f>
        <v>0</v>
      </c>
      <c r="G47" s="182">
        <f>SUMIFS('июнь 2025'!$G$5:$G$2470,'июнь 2025'!$D$5:$D$2470,$B47,'июнь 2025'!$J$5:$J$2470,G$1)</f>
        <v>0</v>
      </c>
      <c r="H47" s="182">
        <f>SUMIFS('июнь 2025'!$G$5:$G$2470,'июнь 2025'!$D$5:$D$2470,$B47,'июнь 2025'!$J$5:$J$2470,H$1)</f>
        <v>0</v>
      </c>
      <c r="I47" s="182">
        <f>SUMIFS('июнь 2025'!$G$5:$G$2470,'июнь 2025'!$D$5:$D$2470,$B47,'июнь 2025'!$J$5:$J$2470,I$1)</f>
        <v>0</v>
      </c>
      <c r="J47" s="182">
        <f>SUMIFS('июнь 2025'!$G$5:$G$2470,'июнь 2025'!$D$5:$D$2470,$B47,'июнь 2025'!$J$5:$J$2470,J$1)</f>
        <v>0</v>
      </c>
      <c r="K47" s="182">
        <f>SUMIFS('июнь 2025'!$G$5:$G$2470,'июнь 2025'!$D$5:$D$2470,$B47,'июнь 2025'!$J$5:$J$2470,K$1)</f>
        <v>0</v>
      </c>
      <c r="L47" s="182">
        <f>SUMIFS('июнь 2025'!$G$5:$G$2470,'июнь 2025'!$D$5:$D$2470,$B47,'июнь 2025'!$J$5:$J$2470,L$1)</f>
        <v>0</v>
      </c>
      <c r="M47" s="182">
        <f>SUMIFS('июнь 2025'!$G$5:$G$2470,'июнь 2025'!$D$5:$D$2470,$B47,'июнь 2025'!$J$5:$J$2470,M$1)</f>
        <v>0</v>
      </c>
      <c r="N47" s="182">
        <f>SUMIFS('июнь 2025'!$G$5:$G$2470,'июнь 2025'!$D$5:$D$2470,$B47,'июнь 2025'!$J$5:$J$2470,N$1)</f>
        <v>0</v>
      </c>
      <c r="O47" s="182">
        <f>SUMIFS('июнь 2025'!$G$5:$G$2470,'июнь 2025'!$D$5:$D$2470,$B47,'июнь 2025'!$J$5:$J$2470,O$1)</f>
        <v>0</v>
      </c>
      <c r="P47" s="182">
        <f>SUMIFS('июнь 2025'!$G$5:$G$2470,'июнь 2025'!$D$5:$D$2470,$B47,'июнь 2025'!$J$5:$J$2470,P$1)</f>
        <v>0</v>
      </c>
      <c r="Q47" s="182">
        <f>SUMIFS('июнь 2025'!$G$5:$G$2470,'июнь 2025'!$D$5:$D$2470,$B47,'июнь 2025'!$J$5:$J$2470,Q$1)</f>
        <v>0</v>
      </c>
      <c r="R47" s="182">
        <f>SUMIFS('июнь 2025'!$G$5:$G$2470,'июнь 2025'!$D$5:$D$2470,$B47,'июнь 2025'!$J$5:$J$2470,R$1)</f>
        <v>0</v>
      </c>
      <c r="S47" s="182">
        <f>SUMIFS('июнь 2025'!$G$5:$G$2470,'июнь 2025'!$D$5:$D$2470,$B47,'июнь 2025'!$J$5:$J$2470,S$1)</f>
        <v>0</v>
      </c>
      <c r="T47" s="182">
        <f>SUMIFS('июнь 2025'!$G$5:$G$2470,'июнь 2025'!$D$5:$D$2470,$B47,'июнь 2025'!$J$5:$J$2470,T$1)</f>
        <v>0</v>
      </c>
      <c r="U47" s="182">
        <f>SUMIFS('июнь 2025'!$G$5:$G$2470,'июнь 2025'!$D$5:$D$2470,$B47,'июнь 2025'!$J$5:$J$2470,U$1)</f>
        <v>0</v>
      </c>
      <c r="V47" s="182">
        <f>SUMIFS('июнь 2025'!$G$5:$G$2470,'июнь 2025'!$D$5:$D$2470,$B47,'июнь 2025'!$J$5:$J$2470,V$1)</f>
        <v>0</v>
      </c>
      <c r="W47" s="182">
        <f>SUMIFS('июнь 2025'!$G$5:$G$2470,'июнь 2025'!$D$5:$D$2470,$B47,'июнь 2025'!$J$5:$J$2470,W$1)</f>
        <v>0</v>
      </c>
      <c r="X47" s="182">
        <f>SUMIFS('июнь 2025'!$G$5:$G$2470,'июнь 2025'!$D$5:$D$2470,$B47,'июнь 2025'!$J$5:$J$2470,X$1)</f>
        <v>0</v>
      </c>
      <c r="Y47" s="182">
        <f>SUMIFS('июнь 2025'!$G$5:$G$2470,'июнь 2025'!$D$5:$D$2470,$B47,'июнь 2025'!$J$5:$J$2470,Y$1)</f>
        <v>0</v>
      </c>
      <c r="Z47" s="182">
        <f>SUMIFS('июнь 2025'!$G$5:$G$2470,'июнь 2025'!$D$5:$D$2470,$B47,'июнь 2025'!$J$5:$J$2470,Z$1)</f>
        <v>0</v>
      </c>
      <c r="AA47" s="182">
        <f>SUMIFS('июнь 2025'!$G$5:$G$2470,'июнь 2025'!$D$5:$D$2470,$B47,'июнь 2025'!$J$5:$J$2470,AA$1)</f>
        <v>0</v>
      </c>
      <c r="AB47" s="182">
        <f>SUMIFS('июнь 2025'!$G$5:$G$2470,'июнь 2025'!$D$5:$D$2470,$B47,'июнь 2025'!$J$5:$J$2470,AB$1)</f>
        <v>0</v>
      </c>
      <c r="AC47" s="182">
        <f>SUMIFS('июнь 2025'!$G$5:$G$2470,'июнь 2025'!$D$5:$D$2470,$B47,'июнь 2025'!$J$5:$J$2470,AC$1)</f>
        <v>0</v>
      </c>
      <c r="AD47" s="182">
        <f>SUMIFS('июнь 2025'!$G$5:$G$2470,'июнь 2025'!$D$5:$D$2470,$B47,'июнь 2025'!$J$5:$J$2470,AD$1)</f>
        <v>0</v>
      </c>
      <c r="AE47" s="182">
        <f>SUMIFS('июнь 2025'!$G$5:$G$2470,'июнь 2025'!$D$5:$D$2470,$B47,'июнь 2025'!$J$5:$J$2470,AE$1)</f>
        <v>0</v>
      </c>
      <c r="AF47" s="182">
        <f>SUMIFS('июнь 2025'!$G$5:$G$2470,'июнь 2025'!$D$5:$D$2470,$B47,'июнь 2025'!$J$5:$J$2470,AF$1)</f>
        <v>0</v>
      </c>
      <c r="AG47" s="182">
        <f>SUMIFS('июнь 2025'!$G$5:$G$2470,'июнь 2025'!$D$5:$D$2470,$B47,'июнь 2025'!$J$5:$J$2470,AG$1)</f>
        <v>0</v>
      </c>
      <c r="AH47" s="182">
        <f>SUMIFS('июнь 2025'!$G$5:$G$2470,'июнь 2025'!$D$5:$D$2470,$B47,'июнь 2025'!$J$5:$J$2470,AH$1)</f>
        <v>0</v>
      </c>
      <c r="AI47" s="20">
        <f t="shared" si="1"/>
        <v>0</v>
      </c>
    </row>
    <row r="48" spans="2:35" ht="15" customHeight="1" x14ac:dyDescent="0.25">
      <c r="B48" s="135" t="s">
        <v>1079</v>
      </c>
      <c r="C48" s="132">
        <v>18</v>
      </c>
      <c r="D48" s="182">
        <f>SUMIFS('июнь 2025'!$G$5:$G$2470,'июнь 2025'!$D$5:$D$2470,$B48,'июнь 2025'!$J$5:$J$2470,D$1)</f>
        <v>0</v>
      </c>
      <c r="E48" s="182">
        <f>SUMIFS('июнь 2025'!$G$5:$G$2470,'июнь 2025'!$D$5:$D$2470,$B48,'июнь 2025'!$J$5:$J$2470,E$1)</f>
        <v>0</v>
      </c>
      <c r="F48" s="182">
        <f>SUMIFS('июнь 2025'!$G$5:$G$2470,'июнь 2025'!$D$5:$D$2470,$B48,'июнь 2025'!$J$5:$J$2470,F$1)</f>
        <v>0</v>
      </c>
      <c r="G48" s="182">
        <f>SUMIFS('июнь 2025'!$G$5:$G$2470,'июнь 2025'!$D$5:$D$2470,$B48,'июнь 2025'!$J$5:$J$2470,G$1)</f>
        <v>0</v>
      </c>
      <c r="H48" s="182">
        <f>SUMIFS('июнь 2025'!$G$5:$G$2470,'июнь 2025'!$D$5:$D$2470,$B48,'июнь 2025'!$J$5:$J$2470,H$1)</f>
        <v>0</v>
      </c>
      <c r="I48" s="182">
        <f>SUMIFS('июнь 2025'!$G$5:$G$2470,'июнь 2025'!$D$5:$D$2470,$B48,'июнь 2025'!$J$5:$J$2470,I$1)</f>
        <v>0</v>
      </c>
      <c r="J48" s="182">
        <f>SUMIFS('июнь 2025'!$G$5:$G$2470,'июнь 2025'!$D$5:$D$2470,$B48,'июнь 2025'!$J$5:$J$2470,J$1)</f>
        <v>0</v>
      </c>
      <c r="K48" s="182">
        <f>SUMIFS('июнь 2025'!$G$5:$G$2470,'июнь 2025'!$D$5:$D$2470,$B48,'июнь 2025'!$J$5:$J$2470,K$1)</f>
        <v>0</v>
      </c>
      <c r="L48" s="182">
        <f>SUMIFS('июнь 2025'!$G$5:$G$2470,'июнь 2025'!$D$5:$D$2470,$B48,'июнь 2025'!$J$5:$J$2470,L$1)</f>
        <v>0</v>
      </c>
      <c r="M48" s="182">
        <f>SUMIFS('июнь 2025'!$G$5:$G$2470,'июнь 2025'!$D$5:$D$2470,$B48,'июнь 2025'!$J$5:$J$2470,M$1)</f>
        <v>0</v>
      </c>
      <c r="N48" s="182">
        <f>SUMIFS('июнь 2025'!$G$5:$G$2470,'июнь 2025'!$D$5:$D$2470,$B48,'июнь 2025'!$J$5:$J$2470,N$1)</f>
        <v>0</v>
      </c>
      <c r="O48" s="182">
        <f>SUMIFS('июнь 2025'!$G$5:$G$2470,'июнь 2025'!$D$5:$D$2470,$B48,'июнь 2025'!$J$5:$J$2470,O$1)</f>
        <v>0</v>
      </c>
      <c r="P48" s="182">
        <f>SUMIFS('июнь 2025'!$G$5:$G$2470,'июнь 2025'!$D$5:$D$2470,$B48,'июнь 2025'!$J$5:$J$2470,P$1)</f>
        <v>0</v>
      </c>
      <c r="Q48" s="182">
        <f>SUMIFS('июнь 2025'!$G$5:$G$2470,'июнь 2025'!$D$5:$D$2470,$B48,'июнь 2025'!$J$5:$J$2470,Q$1)</f>
        <v>0</v>
      </c>
      <c r="R48" s="182">
        <f>SUMIFS('июнь 2025'!$G$5:$G$2470,'июнь 2025'!$D$5:$D$2470,$B48,'июнь 2025'!$J$5:$J$2470,R$1)</f>
        <v>0</v>
      </c>
      <c r="S48" s="182">
        <f>SUMIFS('июнь 2025'!$G$5:$G$2470,'июнь 2025'!$D$5:$D$2470,$B48,'июнь 2025'!$J$5:$J$2470,S$1)</f>
        <v>0</v>
      </c>
      <c r="T48" s="182">
        <f>SUMIFS('июнь 2025'!$G$5:$G$2470,'июнь 2025'!$D$5:$D$2470,$B48,'июнь 2025'!$J$5:$J$2470,T$1)</f>
        <v>0</v>
      </c>
      <c r="U48" s="182">
        <f>SUMIFS('июнь 2025'!$G$5:$G$2470,'июнь 2025'!$D$5:$D$2470,$B48,'июнь 2025'!$J$5:$J$2470,U$1)</f>
        <v>0</v>
      </c>
      <c r="V48" s="182">
        <f>SUMIFS('июнь 2025'!$G$5:$G$2470,'июнь 2025'!$D$5:$D$2470,$B48,'июнь 2025'!$J$5:$J$2470,V$1)</f>
        <v>0</v>
      </c>
      <c r="W48" s="182">
        <f>SUMIFS('июнь 2025'!$G$5:$G$2470,'июнь 2025'!$D$5:$D$2470,$B48,'июнь 2025'!$J$5:$J$2470,W$1)</f>
        <v>0</v>
      </c>
      <c r="X48" s="182">
        <f>SUMIFS('июнь 2025'!$G$5:$G$2470,'июнь 2025'!$D$5:$D$2470,$B48,'июнь 2025'!$J$5:$J$2470,X$1)</f>
        <v>0</v>
      </c>
      <c r="Y48" s="182">
        <f>SUMIFS('июнь 2025'!$G$5:$G$2470,'июнь 2025'!$D$5:$D$2470,$B48,'июнь 2025'!$J$5:$J$2470,Y$1)</f>
        <v>0</v>
      </c>
      <c r="Z48" s="182">
        <f>SUMIFS('июнь 2025'!$G$5:$G$2470,'июнь 2025'!$D$5:$D$2470,$B48,'июнь 2025'!$J$5:$J$2470,Z$1)</f>
        <v>0</v>
      </c>
      <c r="AA48" s="182">
        <f>SUMIFS('июнь 2025'!$G$5:$G$2470,'июнь 2025'!$D$5:$D$2470,$B48,'июнь 2025'!$J$5:$J$2470,AA$1)</f>
        <v>0</v>
      </c>
      <c r="AB48" s="182">
        <f>SUMIFS('июнь 2025'!$G$5:$G$2470,'июнь 2025'!$D$5:$D$2470,$B48,'июнь 2025'!$J$5:$J$2470,AB$1)</f>
        <v>0</v>
      </c>
      <c r="AC48" s="182">
        <f>SUMIFS('июнь 2025'!$G$5:$G$2470,'июнь 2025'!$D$5:$D$2470,$B48,'июнь 2025'!$J$5:$J$2470,AC$1)</f>
        <v>0</v>
      </c>
      <c r="AD48" s="182">
        <f>SUMIFS('июнь 2025'!$G$5:$G$2470,'июнь 2025'!$D$5:$D$2470,$B48,'июнь 2025'!$J$5:$J$2470,AD$1)</f>
        <v>0</v>
      </c>
      <c r="AE48" s="182">
        <f>SUMIFS('июнь 2025'!$G$5:$G$2470,'июнь 2025'!$D$5:$D$2470,$B48,'июнь 2025'!$J$5:$J$2470,AE$1)</f>
        <v>0</v>
      </c>
      <c r="AF48" s="182">
        <f>SUMIFS('июнь 2025'!$G$5:$G$2470,'июнь 2025'!$D$5:$D$2470,$B48,'июнь 2025'!$J$5:$J$2470,AF$1)</f>
        <v>0</v>
      </c>
      <c r="AG48" s="182">
        <f>SUMIFS('июнь 2025'!$G$5:$G$2470,'июнь 2025'!$D$5:$D$2470,$B48,'июнь 2025'!$J$5:$J$2470,AG$1)</f>
        <v>0</v>
      </c>
      <c r="AH48" s="182">
        <f>SUMIFS('июнь 2025'!$G$5:$G$2470,'июнь 2025'!$D$5:$D$2470,$B48,'июнь 2025'!$J$5:$J$2470,AH$1)</f>
        <v>0</v>
      </c>
      <c r="AI48" s="20">
        <f t="shared" si="1"/>
        <v>0</v>
      </c>
    </row>
    <row r="49" spans="2:35" ht="15" customHeight="1" x14ac:dyDescent="0.25">
      <c r="B49" s="135" t="s">
        <v>236</v>
      </c>
      <c r="C49" s="132">
        <v>20</v>
      </c>
      <c r="D49" s="182">
        <f>SUMIFS('июнь 2025'!$G$5:$G$2470,'июнь 2025'!$D$5:$D$2470,$B49,'июнь 2025'!$J$5:$J$2470,D$1)</f>
        <v>0</v>
      </c>
      <c r="E49" s="182">
        <f>SUMIFS('июнь 2025'!$G$5:$G$2470,'июнь 2025'!$D$5:$D$2470,$B49,'июнь 2025'!$J$5:$J$2470,E$1)</f>
        <v>0</v>
      </c>
      <c r="F49" s="182">
        <f>SUMIFS('июнь 2025'!$G$5:$G$2470,'июнь 2025'!$D$5:$D$2470,$B49,'июнь 2025'!$J$5:$J$2470,F$1)</f>
        <v>0</v>
      </c>
      <c r="G49" s="182">
        <f>SUMIFS('июнь 2025'!$G$5:$G$2470,'июнь 2025'!$D$5:$D$2470,$B49,'июнь 2025'!$J$5:$J$2470,G$1)</f>
        <v>0</v>
      </c>
      <c r="H49" s="182">
        <f>SUMIFS('июнь 2025'!$G$5:$G$2470,'июнь 2025'!$D$5:$D$2470,$B49,'июнь 2025'!$J$5:$J$2470,H$1)</f>
        <v>0</v>
      </c>
      <c r="I49" s="182">
        <f>SUMIFS('июнь 2025'!$G$5:$G$2470,'июнь 2025'!$D$5:$D$2470,$B49,'июнь 2025'!$J$5:$J$2470,I$1)</f>
        <v>0</v>
      </c>
      <c r="J49" s="182">
        <f>SUMIFS('июнь 2025'!$G$5:$G$2470,'июнь 2025'!$D$5:$D$2470,$B49,'июнь 2025'!$J$5:$J$2470,J$1)</f>
        <v>0</v>
      </c>
      <c r="K49" s="182">
        <f>SUMIFS('июнь 2025'!$G$5:$G$2470,'июнь 2025'!$D$5:$D$2470,$B49,'июнь 2025'!$J$5:$J$2470,K$1)</f>
        <v>0</v>
      </c>
      <c r="L49" s="182">
        <f>SUMIFS('июнь 2025'!$G$5:$G$2470,'июнь 2025'!$D$5:$D$2470,$B49,'июнь 2025'!$J$5:$J$2470,L$1)</f>
        <v>0</v>
      </c>
      <c r="M49" s="182">
        <f>SUMIFS('июнь 2025'!$G$5:$G$2470,'июнь 2025'!$D$5:$D$2470,$B49,'июнь 2025'!$J$5:$J$2470,M$1)</f>
        <v>0</v>
      </c>
      <c r="N49" s="182">
        <f>SUMIFS('июнь 2025'!$G$5:$G$2470,'июнь 2025'!$D$5:$D$2470,$B49,'июнь 2025'!$J$5:$J$2470,N$1)</f>
        <v>0</v>
      </c>
      <c r="O49" s="182">
        <f>SUMIFS('июнь 2025'!$G$5:$G$2470,'июнь 2025'!$D$5:$D$2470,$B49,'июнь 2025'!$J$5:$J$2470,O$1)</f>
        <v>0</v>
      </c>
      <c r="P49" s="182">
        <f>SUMIFS('июнь 2025'!$G$5:$G$2470,'июнь 2025'!$D$5:$D$2470,$B49,'июнь 2025'!$J$5:$J$2470,P$1)</f>
        <v>0</v>
      </c>
      <c r="Q49" s="182">
        <f>SUMIFS('июнь 2025'!$G$5:$G$2470,'июнь 2025'!$D$5:$D$2470,$B49,'июнь 2025'!$J$5:$J$2470,Q$1)</f>
        <v>0</v>
      </c>
      <c r="R49" s="182">
        <f>SUMIFS('июнь 2025'!$G$5:$G$2470,'июнь 2025'!$D$5:$D$2470,$B49,'июнь 2025'!$J$5:$J$2470,R$1)</f>
        <v>0</v>
      </c>
      <c r="S49" s="182">
        <f>SUMIFS('июнь 2025'!$G$5:$G$2470,'июнь 2025'!$D$5:$D$2470,$B49,'июнь 2025'!$J$5:$J$2470,S$1)</f>
        <v>0</v>
      </c>
      <c r="T49" s="182">
        <f>SUMIFS('июнь 2025'!$G$5:$G$2470,'июнь 2025'!$D$5:$D$2470,$B49,'июнь 2025'!$J$5:$J$2470,T$1)</f>
        <v>0</v>
      </c>
      <c r="U49" s="182">
        <f>SUMIFS('июнь 2025'!$G$5:$G$2470,'июнь 2025'!$D$5:$D$2470,$B49,'июнь 2025'!$J$5:$J$2470,U$1)</f>
        <v>0</v>
      </c>
      <c r="V49" s="182">
        <f>SUMIFS('июнь 2025'!$G$5:$G$2470,'июнь 2025'!$D$5:$D$2470,$B49,'июнь 2025'!$J$5:$J$2470,V$1)</f>
        <v>0</v>
      </c>
      <c r="W49" s="182">
        <f>SUMIFS('июнь 2025'!$G$5:$G$2470,'июнь 2025'!$D$5:$D$2470,$B49,'июнь 2025'!$J$5:$J$2470,W$1)</f>
        <v>0</v>
      </c>
      <c r="X49" s="182">
        <f>SUMIFS('июнь 2025'!$G$5:$G$2470,'июнь 2025'!$D$5:$D$2470,$B49,'июнь 2025'!$J$5:$J$2470,X$1)</f>
        <v>0</v>
      </c>
      <c r="Y49" s="182">
        <f>SUMIFS('июнь 2025'!$G$5:$G$2470,'июнь 2025'!$D$5:$D$2470,$B49,'июнь 2025'!$J$5:$J$2470,Y$1)</f>
        <v>0</v>
      </c>
      <c r="Z49" s="182">
        <f>SUMIFS('июнь 2025'!$G$5:$G$2470,'июнь 2025'!$D$5:$D$2470,$B49,'июнь 2025'!$J$5:$J$2470,Z$1)</f>
        <v>0</v>
      </c>
      <c r="AA49" s="182">
        <f>SUMIFS('июнь 2025'!$G$5:$G$2470,'июнь 2025'!$D$5:$D$2470,$B49,'июнь 2025'!$J$5:$J$2470,AA$1)</f>
        <v>0</v>
      </c>
      <c r="AB49" s="182">
        <f>SUMIFS('июнь 2025'!$G$5:$G$2470,'июнь 2025'!$D$5:$D$2470,$B49,'июнь 2025'!$J$5:$J$2470,AB$1)</f>
        <v>0</v>
      </c>
      <c r="AC49" s="182">
        <f>SUMIFS('июнь 2025'!$G$5:$G$2470,'июнь 2025'!$D$5:$D$2470,$B49,'июнь 2025'!$J$5:$J$2470,AC$1)</f>
        <v>0</v>
      </c>
      <c r="AD49" s="182">
        <f>SUMIFS('июнь 2025'!$G$5:$G$2470,'июнь 2025'!$D$5:$D$2470,$B49,'июнь 2025'!$J$5:$J$2470,AD$1)</f>
        <v>0</v>
      </c>
      <c r="AE49" s="182">
        <f>SUMIFS('июнь 2025'!$G$5:$G$2470,'июнь 2025'!$D$5:$D$2470,$B49,'июнь 2025'!$J$5:$J$2470,AE$1)</f>
        <v>0</v>
      </c>
      <c r="AF49" s="182">
        <f>SUMIFS('июнь 2025'!$G$5:$G$2470,'июнь 2025'!$D$5:$D$2470,$B49,'июнь 2025'!$J$5:$J$2470,AF$1)</f>
        <v>0</v>
      </c>
      <c r="AG49" s="182">
        <f>SUMIFS('июнь 2025'!$G$5:$G$2470,'июнь 2025'!$D$5:$D$2470,$B49,'июнь 2025'!$J$5:$J$2470,AG$1)</f>
        <v>0</v>
      </c>
      <c r="AH49" s="182">
        <f>SUMIFS('июнь 2025'!$G$5:$G$2470,'июнь 2025'!$D$5:$D$2470,$B49,'июнь 2025'!$J$5:$J$2470,AH$1)</f>
        <v>0</v>
      </c>
      <c r="AI49" s="20">
        <f t="shared" si="1"/>
        <v>0</v>
      </c>
    </row>
    <row r="50" spans="2:35" ht="15" customHeight="1" x14ac:dyDescent="0.25">
      <c r="B50" s="131" t="s">
        <v>238</v>
      </c>
      <c r="C50" s="134">
        <v>20</v>
      </c>
      <c r="D50" s="182">
        <f>SUMIFS('июнь 2025'!$G$5:$G$2470,'июнь 2025'!$D$5:$D$2470,$B50,'июнь 2025'!$J$5:$J$2470,D$1)</f>
        <v>0</v>
      </c>
      <c r="E50" s="182">
        <f>SUMIFS('июнь 2025'!$G$5:$G$2470,'июнь 2025'!$D$5:$D$2470,$B50,'июнь 2025'!$J$5:$J$2470,E$1)</f>
        <v>0</v>
      </c>
      <c r="F50" s="182">
        <f>SUMIFS('июнь 2025'!$G$5:$G$2470,'июнь 2025'!$D$5:$D$2470,$B50,'июнь 2025'!$J$5:$J$2470,F$1)</f>
        <v>0</v>
      </c>
      <c r="G50" s="182">
        <f>SUMIFS('июнь 2025'!$G$5:$G$2470,'июнь 2025'!$D$5:$D$2470,$B50,'июнь 2025'!$J$5:$J$2470,G$1)</f>
        <v>0</v>
      </c>
      <c r="H50" s="182">
        <f>SUMIFS('июнь 2025'!$G$5:$G$2470,'июнь 2025'!$D$5:$D$2470,$B50,'июнь 2025'!$J$5:$J$2470,H$1)</f>
        <v>0</v>
      </c>
      <c r="I50" s="182">
        <f>SUMIFS('июнь 2025'!$G$5:$G$2470,'июнь 2025'!$D$5:$D$2470,$B50,'июнь 2025'!$J$5:$J$2470,I$1)</f>
        <v>0</v>
      </c>
      <c r="J50" s="182">
        <f>SUMIFS('июнь 2025'!$G$5:$G$2470,'июнь 2025'!$D$5:$D$2470,$B50,'июнь 2025'!$J$5:$J$2470,J$1)</f>
        <v>0</v>
      </c>
      <c r="K50" s="182">
        <f>SUMIFS('июнь 2025'!$G$5:$G$2470,'июнь 2025'!$D$5:$D$2470,$B50,'июнь 2025'!$J$5:$J$2470,K$1)</f>
        <v>0</v>
      </c>
      <c r="L50" s="182">
        <f>SUMIFS('июнь 2025'!$G$5:$G$2470,'июнь 2025'!$D$5:$D$2470,$B50,'июнь 2025'!$J$5:$J$2470,L$1)</f>
        <v>0</v>
      </c>
      <c r="M50" s="182">
        <f>SUMIFS('июнь 2025'!$G$5:$G$2470,'июнь 2025'!$D$5:$D$2470,$B50,'июнь 2025'!$J$5:$J$2470,M$1)</f>
        <v>0</v>
      </c>
      <c r="N50" s="182">
        <f>SUMIFS('июнь 2025'!$G$5:$G$2470,'июнь 2025'!$D$5:$D$2470,$B50,'июнь 2025'!$J$5:$J$2470,N$1)</f>
        <v>0</v>
      </c>
      <c r="O50" s="182">
        <f>SUMIFS('июнь 2025'!$G$5:$G$2470,'июнь 2025'!$D$5:$D$2470,$B50,'июнь 2025'!$J$5:$J$2470,O$1)</f>
        <v>0</v>
      </c>
      <c r="P50" s="182">
        <f>SUMIFS('июнь 2025'!$G$5:$G$2470,'июнь 2025'!$D$5:$D$2470,$B50,'июнь 2025'!$J$5:$J$2470,P$1)</f>
        <v>0</v>
      </c>
      <c r="Q50" s="182">
        <f>SUMIFS('июнь 2025'!$G$5:$G$2470,'июнь 2025'!$D$5:$D$2470,$B50,'июнь 2025'!$J$5:$J$2470,Q$1)</f>
        <v>0</v>
      </c>
      <c r="R50" s="182">
        <f>SUMIFS('июнь 2025'!$G$5:$G$2470,'июнь 2025'!$D$5:$D$2470,$B50,'июнь 2025'!$J$5:$J$2470,R$1)</f>
        <v>0</v>
      </c>
      <c r="S50" s="182">
        <f>SUMIFS('июнь 2025'!$G$5:$G$2470,'июнь 2025'!$D$5:$D$2470,$B50,'июнь 2025'!$J$5:$J$2470,S$1)</f>
        <v>0</v>
      </c>
      <c r="T50" s="182">
        <f>SUMIFS('июнь 2025'!$G$5:$G$2470,'июнь 2025'!$D$5:$D$2470,$B50,'июнь 2025'!$J$5:$J$2470,T$1)</f>
        <v>0</v>
      </c>
      <c r="U50" s="182">
        <f>SUMIFS('июнь 2025'!$G$5:$G$2470,'июнь 2025'!$D$5:$D$2470,$B50,'июнь 2025'!$J$5:$J$2470,U$1)</f>
        <v>0</v>
      </c>
      <c r="V50" s="182">
        <f>SUMIFS('июнь 2025'!$G$5:$G$2470,'июнь 2025'!$D$5:$D$2470,$B50,'июнь 2025'!$J$5:$J$2470,V$1)</f>
        <v>0</v>
      </c>
      <c r="W50" s="182">
        <f>SUMIFS('июнь 2025'!$G$5:$G$2470,'июнь 2025'!$D$5:$D$2470,$B50,'июнь 2025'!$J$5:$J$2470,W$1)</f>
        <v>0</v>
      </c>
      <c r="X50" s="182">
        <f>SUMIFS('июнь 2025'!$G$5:$G$2470,'июнь 2025'!$D$5:$D$2470,$B50,'июнь 2025'!$J$5:$J$2470,X$1)</f>
        <v>0</v>
      </c>
      <c r="Y50" s="182">
        <f>SUMIFS('июнь 2025'!$G$5:$G$2470,'июнь 2025'!$D$5:$D$2470,$B50,'июнь 2025'!$J$5:$J$2470,Y$1)</f>
        <v>0</v>
      </c>
      <c r="Z50" s="182">
        <f>SUMIFS('июнь 2025'!$G$5:$G$2470,'июнь 2025'!$D$5:$D$2470,$B50,'июнь 2025'!$J$5:$J$2470,Z$1)</f>
        <v>0</v>
      </c>
      <c r="AA50" s="182">
        <f>SUMIFS('июнь 2025'!$G$5:$G$2470,'июнь 2025'!$D$5:$D$2470,$B50,'июнь 2025'!$J$5:$J$2470,AA$1)</f>
        <v>0</v>
      </c>
      <c r="AB50" s="182">
        <f>SUMIFS('июнь 2025'!$G$5:$G$2470,'июнь 2025'!$D$5:$D$2470,$B50,'июнь 2025'!$J$5:$J$2470,AB$1)</f>
        <v>0</v>
      </c>
      <c r="AC50" s="182">
        <f>SUMIFS('июнь 2025'!$G$5:$G$2470,'июнь 2025'!$D$5:$D$2470,$B50,'июнь 2025'!$J$5:$J$2470,AC$1)</f>
        <v>0</v>
      </c>
      <c r="AD50" s="182">
        <f>SUMIFS('июнь 2025'!$G$5:$G$2470,'июнь 2025'!$D$5:$D$2470,$B50,'июнь 2025'!$J$5:$J$2470,AD$1)</f>
        <v>0</v>
      </c>
      <c r="AE50" s="182">
        <f>SUMIFS('июнь 2025'!$G$5:$G$2470,'июнь 2025'!$D$5:$D$2470,$B50,'июнь 2025'!$J$5:$J$2470,AE$1)</f>
        <v>0</v>
      </c>
      <c r="AF50" s="182">
        <f>SUMIFS('июнь 2025'!$G$5:$G$2470,'июнь 2025'!$D$5:$D$2470,$B50,'июнь 2025'!$J$5:$J$2470,AF$1)</f>
        <v>0</v>
      </c>
      <c r="AG50" s="182">
        <f>SUMIFS('июнь 2025'!$G$5:$G$2470,'июнь 2025'!$D$5:$D$2470,$B50,'июнь 2025'!$J$5:$J$2470,AG$1)</f>
        <v>0</v>
      </c>
      <c r="AH50" s="182">
        <f>SUMIFS('июнь 2025'!$G$5:$G$2470,'июнь 2025'!$D$5:$D$2470,$B50,'июнь 2025'!$J$5:$J$2470,AH$1)</f>
        <v>0</v>
      </c>
      <c r="AI50" s="20">
        <f t="shared" si="1"/>
        <v>0</v>
      </c>
    </row>
    <row r="51" spans="2:35" ht="15" customHeight="1" x14ac:dyDescent="0.25">
      <c r="B51" s="131" t="s">
        <v>240</v>
      </c>
      <c r="C51" s="130">
        <v>20</v>
      </c>
      <c r="D51" s="182">
        <f>SUMIFS('июнь 2025'!$G$5:$G$2470,'июнь 2025'!$D$5:$D$2470,$B51,'июнь 2025'!$J$5:$J$2470,D$1)</f>
        <v>0</v>
      </c>
      <c r="E51" s="182">
        <f>SUMIFS('июнь 2025'!$G$5:$G$2470,'июнь 2025'!$D$5:$D$2470,$B51,'июнь 2025'!$J$5:$J$2470,E$1)</f>
        <v>0</v>
      </c>
      <c r="F51" s="182">
        <f>SUMIFS('июнь 2025'!$G$5:$G$2470,'июнь 2025'!$D$5:$D$2470,$B51,'июнь 2025'!$J$5:$J$2470,F$1)</f>
        <v>0</v>
      </c>
      <c r="G51" s="182">
        <f>SUMIFS('июнь 2025'!$G$5:$G$2470,'июнь 2025'!$D$5:$D$2470,$B51,'июнь 2025'!$J$5:$J$2470,G$1)</f>
        <v>0</v>
      </c>
      <c r="H51" s="182">
        <f>SUMIFS('июнь 2025'!$G$5:$G$2470,'июнь 2025'!$D$5:$D$2470,$B51,'июнь 2025'!$J$5:$J$2470,H$1)</f>
        <v>0</v>
      </c>
      <c r="I51" s="182">
        <f>SUMIFS('июнь 2025'!$G$5:$G$2470,'июнь 2025'!$D$5:$D$2470,$B51,'июнь 2025'!$J$5:$J$2470,I$1)</f>
        <v>0</v>
      </c>
      <c r="J51" s="182">
        <f>SUMIFS('июнь 2025'!$G$5:$G$2470,'июнь 2025'!$D$5:$D$2470,$B51,'июнь 2025'!$J$5:$J$2470,J$1)</f>
        <v>0</v>
      </c>
      <c r="K51" s="182">
        <f>SUMIFS('июнь 2025'!$G$5:$G$2470,'июнь 2025'!$D$5:$D$2470,$B51,'июнь 2025'!$J$5:$J$2470,K$1)</f>
        <v>0</v>
      </c>
      <c r="L51" s="182">
        <f>SUMIFS('июнь 2025'!$G$5:$G$2470,'июнь 2025'!$D$5:$D$2470,$B51,'июнь 2025'!$J$5:$J$2470,L$1)</f>
        <v>0</v>
      </c>
      <c r="M51" s="182">
        <f>SUMIFS('июнь 2025'!$G$5:$G$2470,'июнь 2025'!$D$5:$D$2470,$B51,'июнь 2025'!$J$5:$J$2470,M$1)</f>
        <v>0</v>
      </c>
      <c r="N51" s="182">
        <f>SUMIFS('июнь 2025'!$G$5:$G$2470,'июнь 2025'!$D$5:$D$2470,$B51,'июнь 2025'!$J$5:$J$2470,N$1)</f>
        <v>0</v>
      </c>
      <c r="O51" s="182">
        <f>SUMIFS('июнь 2025'!$G$5:$G$2470,'июнь 2025'!$D$5:$D$2470,$B51,'июнь 2025'!$J$5:$J$2470,O$1)</f>
        <v>0</v>
      </c>
      <c r="P51" s="182">
        <f>SUMIFS('июнь 2025'!$G$5:$G$2470,'июнь 2025'!$D$5:$D$2470,$B51,'июнь 2025'!$J$5:$J$2470,P$1)</f>
        <v>0</v>
      </c>
      <c r="Q51" s="182">
        <f>SUMIFS('июнь 2025'!$G$5:$G$2470,'июнь 2025'!$D$5:$D$2470,$B51,'июнь 2025'!$J$5:$J$2470,Q$1)</f>
        <v>0</v>
      </c>
      <c r="R51" s="182">
        <f>SUMIFS('июнь 2025'!$G$5:$G$2470,'июнь 2025'!$D$5:$D$2470,$B51,'июнь 2025'!$J$5:$J$2470,R$1)</f>
        <v>0</v>
      </c>
      <c r="S51" s="182">
        <f>SUMIFS('июнь 2025'!$G$5:$G$2470,'июнь 2025'!$D$5:$D$2470,$B51,'июнь 2025'!$J$5:$J$2470,S$1)</f>
        <v>0</v>
      </c>
      <c r="T51" s="182">
        <f>SUMIFS('июнь 2025'!$G$5:$G$2470,'июнь 2025'!$D$5:$D$2470,$B51,'июнь 2025'!$J$5:$J$2470,T$1)</f>
        <v>0</v>
      </c>
      <c r="U51" s="182">
        <f>SUMIFS('июнь 2025'!$G$5:$G$2470,'июнь 2025'!$D$5:$D$2470,$B51,'июнь 2025'!$J$5:$J$2470,U$1)</f>
        <v>0</v>
      </c>
      <c r="V51" s="182">
        <f>SUMIFS('июнь 2025'!$G$5:$G$2470,'июнь 2025'!$D$5:$D$2470,$B51,'июнь 2025'!$J$5:$J$2470,V$1)</f>
        <v>0</v>
      </c>
      <c r="W51" s="182">
        <f>SUMIFS('июнь 2025'!$G$5:$G$2470,'июнь 2025'!$D$5:$D$2470,$B51,'июнь 2025'!$J$5:$J$2470,W$1)</f>
        <v>0</v>
      </c>
      <c r="X51" s="182">
        <f>SUMIFS('июнь 2025'!$G$5:$G$2470,'июнь 2025'!$D$5:$D$2470,$B51,'июнь 2025'!$J$5:$J$2470,X$1)</f>
        <v>0</v>
      </c>
      <c r="Y51" s="182">
        <f>SUMIFS('июнь 2025'!$G$5:$G$2470,'июнь 2025'!$D$5:$D$2470,$B51,'июнь 2025'!$J$5:$J$2470,Y$1)</f>
        <v>0</v>
      </c>
      <c r="Z51" s="182">
        <f>SUMIFS('июнь 2025'!$G$5:$G$2470,'июнь 2025'!$D$5:$D$2470,$B51,'июнь 2025'!$J$5:$J$2470,Z$1)</f>
        <v>0</v>
      </c>
      <c r="AA51" s="182">
        <f>SUMIFS('июнь 2025'!$G$5:$G$2470,'июнь 2025'!$D$5:$D$2470,$B51,'июнь 2025'!$J$5:$J$2470,AA$1)</f>
        <v>0</v>
      </c>
      <c r="AB51" s="182">
        <f>SUMIFS('июнь 2025'!$G$5:$G$2470,'июнь 2025'!$D$5:$D$2470,$B51,'июнь 2025'!$J$5:$J$2470,AB$1)</f>
        <v>0</v>
      </c>
      <c r="AC51" s="182">
        <f>SUMIFS('июнь 2025'!$G$5:$G$2470,'июнь 2025'!$D$5:$D$2470,$B51,'июнь 2025'!$J$5:$J$2470,AC$1)</f>
        <v>0</v>
      </c>
      <c r="AD51" s="182">
        <f>SUMIFS('июнь 2025'!$G$5:$G$2470,'июнь 2025'!$D$5:$D$2470,$B51,'июнь 2025'!$J$5:$J$2470,AD$1)</f>
        <v>0</v>
      </c>
      <c r="AE51" s="182">
        <f>SUMIFS('июнь 2025'!$G$5:$G$2470,'июнь 2025'!$D$5:$D$2470,$B51,'июнь 2025'!$J$5:$J$2470,AE$1)</f>
        <v>0</v>
      </c>
      <c r="AF51" s="182">
        <f>SUMIFS('июнь 2025'!$G$5:$G$2470,'июнь 2025'!$D$5:$D$2470,$B51,'июнь 2025'!$J$5:$J$2470,AF$1)</f>
        <v>0</v>
      </c>
      <c r="AG51" s="182">
        <f>SUMIFS('июнь 2025'!$G$5:$G$2470,'июнь 2025'!$D$5:$D$2470,$B51,'июнь 2025'!$J$5:$J$2470,AG$1)</f>
        <v>0</v>
      </c>
      <c r="AH51" s="182">
        <f>SUMIFS('июнь 2025'!$G$5:$G$2470,'июнь 2025'!$D$5:$D$2470,$B51,'июнь 2025'!$J$5:$J$2470,AH$1)</f>
        <v>0</v>
      </c>
      <c r="AI51" s="20">
        <f t="shared" si="1"/>
        <v>0</v>
      </c>
    </row>
    <row r="52" spans="2:35" ht="15" customHeight="1" x14ac:dyDescent="0.25">
      <c r="B52" s="131" t="s">
        <v>242</v>
      </c>
      <c r="C52" s="132">
        <v>20</v>
      </c>
      <c r="D52" s="182">
        <f>SUMIFS('июнь 2025'!$G$5:$G$2470,'июнь 2025'!$D$5:$D$2470,$B52,'июнь 2025'!$J$5:$J$2470,D$1)</f>
        <v>0</v>
      </c>
      <c r="E52" s="182">
        <f>SUMIFS('июнь 2025'!$G$5:$G$2470,'июнь 2025'!$D$5:$D$2470,$B52,'июнь 2025'!$J$5:$J$2470,E$1)</f>
        <v>0</v>
      </c>
      <c r="F52" s="182">
        <f>SUMIFS('июнь 2025'!$G$5:$G$2470,'июнь 2025'!$D$5:$D$2470,$B52,'июнь 2025'!$J$5:$J$2470,F$1)</f>
        <v>0</v>
      </c>
      <c r="G52" s="182">
        <f>SUMIFS('июнь 2025'!$G$5:$G$2470,'июнь 2025'!$D$5:$D$2470,$B52,'июнь 2025'!$J$5:$J$2470,G$1)</f>
        <v>0</v>
      </c>
      <c r="H52" s="182">
        <f>SUMIFS('июнь 2025'!$G$5:$G$2470,'июнь 2025'!$D$5:$D$2470,$B52,'июнь 2025'!$J$5:$J$2470,H$1)</f>
        <v>0</v>
      </c>
      <c r="I52" s="182">
        <f>SUMIFS('июнь 2025'!$G$5:$G$2470,'июнь 2025'!$D$5:$D$2470,$B52,'июнь 2025'!$J$5:$J$2470,I$1)</f>
        <v>0</v>
      </c>
      <c r="J52" s="182">
        <f>SUMIFS('июнь 2025'!$G$5:$G$2470,'июнь 2025'!$D$5:$D$2470,$B52,'июнь 2025'!$J$5:$J$2470,J$1)</f>
        <v>0</v>
      </c>
      <c r="K52" s="182">
        <f>SUMIFS('июнь 2025'!$G$5:$G$2470,'июнь 2025'!$D$5:$D$2470,$B52,'июнь 2025'!$J$5:$J$2470,K$1)</f>
        <v>0</v>
      </c>
      <c r="L52" s="182">
        <f>SUMIFS('июнь 2025'!$G$5:$G$2470,'июнь 2025'!$D$5:$D$2470,$B52,'июнь 2025'!$J$5:$J$2470,L$1)</f>
        <v>0</v>
      </c>
      <c r="M52" s="182">
        <f>SUMIFS('июнь 2025'!$G$5:$G$2470,'июнь 2025'!$D$5:$D$2470,$B52,'июнь 2025'!$J$5:$J$2470,M$1)</f>
        <v>0</v>
      </c>
      <c r="N52" s="182">
        <f>SUMIFS('июнь 2025'!$G$5:$G$2470,'июнь 2025'!$D$5:$D$2470,$B52,'июнь 2025'!$J$5:$J$2470,N$1)</f>
        <v>0</v>
      </c>
      <c r="O52" s="182">
        <f>SUMIFS('июнь 2025'!$G$5:$G$2470,'июнь 2025'!$D$5:$D$2470,$B52,'июнь 2025'!$J$5:$J$2470,O$1)</f>
        <v>0</v>
      </c>
      <c r="P52" s="182">
        <f>SUMIFS('июнь 2025'!$G$5:$G$2470,'июнь 2025'!$D$5:$D$2470,$B52,'июнь 2025'!$J$5:$J$2470,P$1)</f>
        <v>0</v>
      </c>
      <c r="Q52" s="182">
        <f>SUMIFS('июнь 2025'!$G$5:$G$2470,'июнь 2025'!$D$5:$D$2470,$B52,'июнь 2025'!$J$5:$J$2470,Q$1)</f>
        <v>0</v>
      </c>
      <c r="R52" s="182">
        <f>SUMIFS('июнь 2025'!$G$5:$G$2470,'июнь 2025'!$D$5:$D$2470,$B52,'июнь 2025'!$J$5:$J$2470,R$1)</f>
        <v>0</v>
      </c>
      <c r="S52" s="182">
        <f>SUMIFS('июнь 2025'!$G$5:$G$2470,'июнь 2025'!$D$5:$D$2470,$B52,'июнь 2025'!$J$5:$J$2470,S$1)</f>
        <v>0</v>
      </c>
      <c r="T52" s="182">
        <f>SUMIFS('июнь 2025'!$G$5:$G$2470,'июнь 2025'!$D$5:$D$2470,$B52,'июнь 2025'!$J$5:$J$2470,T$1)</f>
        <v>0</v>
      </c>
      <c r="U52" s="182">
        <f>SUMIFS('июнь 2025'!$G$5:$G$2470,'июнь 2025'!$D$5:$D$2470,$B52,'июнь 2025'!$J$5:$J$2470,U$1)</f>
        <v>0</v>
      </c>
      <c r="V52" s="182">
        <f>SUMIFS('июнь 2025'!$G$5:$G$2470,'июнь 2025'!$D$5:$D$2470,$B52,'июнь 2025'!$J$5:$J$2470,V$1)</f>
        <v>0</v>
      </c>
      <c r="W52" s="182">
        <f>SUMIFS('июнь 2025'!$G$5:$G$2470,'июнь 2025'!$D$5:$D$2470,$B52,'июнь 2025'!$J$5:$J$2470,W$1)</f>
        <v>0</v>
      </c>
      <c r="X52" s="182">
        <f>SUMIFS('июнь 2025'!$G$5:$G$2470,'июнь 2025'!$D$5:$D$2470,$B52,'июнь 2025'!$J$5:$J$2470,X$1)</f>
        <v>0</v>
      </c>
      <c r="Y52" s="182">
        <f>SUMIFS('июнь 2025'!$G$5:$G$2470,'июнь 2025'!$D$5:$D$2470,$B52,'июнь 2025'!$J$5:$J$2470,Y$1)</f>
        <v>0</v>
      </c>
      <c r="Z52" s="182">
        <f>SUMIFS('июнь 2025'!$G$5:$G$2470,'июнь 2025'!$D$5:$D$2470,$B52,'июнь 2025'!$J$5:$J$2470,Z$1)</f>
        <v>0</v>
      </c>
      <c r="AA52" s="182">
        <f>SUMIFS('июнь 2025'!$G$5:$G$2470,'июнь 2025'!$D$5:$D$2470,$B52,'июнь 2025'!$J$5:$J$2470,AA$1)</f>
        <v>0</v>
      </c>
      <c r="AB52" s="182">
        <f>SUMIFS('июнь 2025'!$G$5:$G$2470,'июнь 2025'!$D$5:$D$2470,$B52,'июнь 2025'!$J$5:$J$2470,AB$1)</f>
        <v>0</v>
      </c>
      <c r="AC52" s="182">
        <f>SUMIFS('июнь 2025'!$G$5:$G$2470,'июнь 2025'!$D$5:$D$2470,$B52,'июнь 2025'!$J$5:$J$2470,AC$1)</f>
        <v>0</v>
      </c>
      <c r="AD52" s="182">
        <f>SUMIFS('июнь 2025'!$G$5:$G$2470,'июнь 2025'!$D$5:$D$2470,$B52,'июнь 2025'!$J$5:$J$2470,AD$1)</f>
        <v>0</v>
      </c>
      <c r="AE52" s="182">
        <f>SUMIFS('июнь 2025'!$G$5:$G$2470,'июнь 2025'!$D$5:$D$2470,$B52,'июнь 2025'!$J$5:$J$2470,AE$1)</f>
        <v>0</v>
      </c>
      <c r="AF52" s="182">
        <f>SUMIFS('июнь 2025'!$G$5:$G$2470,'июнь 2025'!$D$5:$D$2470,$B52,'июнь 2025'!$J$5:$J$2470,AF$1)</f>
        <v>0</v>
      </c>
      <c r="AG52" s="182">
        <f>SUMIFS('июнь 2025'!$G$5:$G$2470,'июнь 2025'!$D$5:$D$2470,$B52,'июнь 2025'!$J$5:$J$2470,AG$1)</f>
        <v>0</v>
      </c>
      <c r="AH52" s="182">
        <f>SUMIFS('июнь 2025'!$G$5:$G$2470,'июнь 2025'!$D$5:$D$2470,$B52,'июнь 2025'!$J$5:$J$2470,AH$1)</f>
        <v>0</v>
      </c>
      <c r="AI52" s="20">
        <f t="shared" si="1"/>
        <v>0</v>
      </c>
    </row>
    <row r="53" spans="2:35" ht="15" customHeight="1" x14ac:dyDescent="0.25">
      <c r="B53" s="131" t="s">
        <v>244</v>
      </c>
      <c r="C53" s="132">
        <v>14</v>
      </c>
      <c r="D53" s="182">
        <f>SUMIFS('июнь 2025'!$G$5:$G$2470,'июнь 2025'!$D$5:$D$2470,$B53,'июнь 2025'!$J$5:$J$2470,D$1)</f>
        <v>0</v>
      </c>
      <c r="E53" s="182">
        <f>SUMIFS('июнь 2025'!$G$5:$G$2470,'июнь 2025'!$D$5:$D$2470,$B53,'июнь 2025'!$J$5:$J$2470,E$1)</f>
        <v>0</v>
      </c>
      <c r="F53" s="182">
        <f>SUMIFS('июнь 2025'!$G$5:$G$2470,'июнь 2025'!$D$5:$D$2470,$B53,'июнь 2025'!$J$5:$J$2470,F$1)</f>
        <v>0</v>
      </c>
      <c r="G53" s="182">
        <f>SUMIFS('июнь 2025'!$G$5:$G$2470,'июнь 2025'!$D$5:$D$2470,$B53,'июнь 2025'!$J$5:$J$2470,G$1)</f>
        <v>0</v>
      </c>
      <c r="H53" s="182">
        <f>SUMIFS('июнь 2025'!$G$5:$G$2470,'июнь 2025'!$D$5:$D$2470,$B53,'июнь 2025'!$J$5:$J$2470,H$1)</f>
        <v>0</v>
      </c>
      <c r="I53" s="182">
        <f>SUMIFS('июнь 2025'!$G$5:$G$2470,'июнь 2025'!$D$5:$D$2470,$B53,'июнь 2025'!$J$5:$J$2470,I$1)</f>
        <v>0</v>
      </c>
      <c r="J53" s="182">
        <f>SUMIFS('июнь 2025'!$G$5:$G$2470,'июнь 2025'!$D$5:$D$2470,$B53,'июнь 2025'!$J$5:$J$2470,J$1)</f>
        <v>0</v>
      </c>
      <c r="K53" s="182">
        <f>SUMIFS('июнь 2025'!$G$5:$G$2470,'июнь 2025'!$D$5:$D$2470,$B53,'июнь 2025'!$J$5:$J$2470,K$1)</f>
        <v>0</v>
      </c>
      <c r="L53" s="182">
        <f>SUMIFS('июнь 2025'!$G$5:$G$2470,'июнь 2025'!$D$5:$D$2470,$B53,'июнь 2025'!$J$5:$J$2470,L$1)</f>
        <v>0</v>
      </c>
      <c r="M53" s="182">
        <f>SUMIFS('июнь 2025'!$G$5:$G$2470,'июнь 2025'!$D$5:$D$2470,$B53,'июнь 2025'!$J$5:$J$2470,M$1)</f>
        <v>0</v>
      </c>
      <c r="N53" s="182">
        <f>SUMIFS('июнь 2025'!$G$5:$G$2470,'июнь 2025'!$D$5:$D$2470,$B53,'июнь 2025'!$J$5:$J$2470,N$1)</f>
        <v>0</v>
      </c>
      <c r="O53" s="182">
        <f>SUMIFS('июнь 2025'!$G$5:$G$2470,'июнь 2025'!$D$5:$D$2470,$B53,'июнь 2025'!$J$5:$J$2470,O$1)</f>
        <v>0</v>
      </c>
      <c r="P53" s="182">
        <f>SUMIFS('июнь 2025'!$G$5:$G$2470,'июнь 2025'!$D$5:$D$2470,$B53,'июнь 2025'!$J$5:$J$2470,P$1)</f>
        <v>0</v>
      </c>
      <c r="Q53" s="182">
        <f>SUMIFS('июнь 2025'!$G$5:$G$2470,'июнь 2025'!$D$5:$D$2470,$B53,'июнь 2025'!$J$5:$J$2470,Q$1)</f>
        <v>0</v>
      </c>
      <c r="R53" s="182">
        <f>SUMIFS('июнь 2025'!$G$5:$G$2470,'июнь 2025'!$D$5:$D$2470,$B53,'июнь 2025'!$J$5:$J$2470,R$1)</f>
        <v>0</v>
      </c>
      <c r="S53" s="182">
        <f>SUMIFS('июнь 2025'!$G$5:$G$2470,'июнь 2025'!$D$5:$D$2470,$B53,'июнь 2025'!$J$5:$J$2470,S$1)</f>
        <v>0</v>
      </c>
      <c r="T53" s="182">
        <f>SUMIFS('июнь 2025'!$G$5:$G$2470,'июнь 2025'!$D$5:$D$2470,$B53,'июнь 2025'!$J$5:$J$2470,T$1)</f>
        <v>0</v>
      </c>
      <c r="U53" s="182">
        <f>SUMIFS('июнь 2025'!$G$5:$G$2470,'июнь 2025'!$D$5:$D$2470,$B53,'июнь 2025'!$J$5:$J$2470,U$1)</f>
        <v>0</v>
      </c>
      <c r="V53" s="182">
        <f>SUMIFS('июнь 2025'!$G$5:$G$2470,'июнь 2025'!$D$5:$D$2470,$B53,'июнь 2025'!$J$5:$J$2470,V$1)</f>
        <v>0</v>
      </c>
      <c r="W53" s="182">
        <f>SUMIFS('июнь 2025'!$G$5:$G$2470,'июнь 2025'!$D$5:$D$2470,$B53,'июнь 2025'!$J$5:$J$2470,W$1)</f>
        <v>0</v>
      </c>
      <c r="X53" s="182">
        <f>SUMIFS('июнь 2025'!$G$5:$G$2470,'июнь 2025'!$D$5:$D$2470,$B53,'июнь 2025'!$J$5:$J$2470,X$1)</f>
        <v>0</v>
      </c>
      <c r="Y53" s="182">
        <f>SUMIFS('июнь 2025'!$G$5:$G$2470,'июнь 2025'!$D$5:$D$2470,$B53,'июнь 2025'!$J$5:$J$2470,Y$1)</f>
        <v>0</v>
      </c>
      <c r="Z53" s="182">
        <f>SUMIFS('июнь 2025'!$G$5:$G$2470,'июнь 2025'!$D$5:$D$2470,$B53,'июнь 2025'!$J$5:$J$2470,Z$1)</f>
        <v>0</v>
      </c>
      <c r="AA53" s="182">
        <f>SUMIFS('июнь 2025'!$G$5:$G$2470,'июнь 2025'!$D$5:$D$2470,$B53,'июнь 2025'!$J$5:$J$2470,AA$1)</f>
        <v>0</v>
      </c>
      <c r="AB53" s="182">
        <f>SUMIFS('июнь 2025'!$G$5:$G$2470,'июнь 2025'!$D$5:$D$2470,$B53,'июнь 2025'!$J$5:$J$2470,AB$1)</f>
        <v>0</v>
      </c>
      <c r="AC53" s="182">
        <f>SUMIFS('июнь 2025'!$G$5:$G$2470,'июнь 2025'!$D$5:$D$2470,$B53,'июнь 2025'!$J$5:$J$2470,AC$1)</f>
        <v>0</v>
      </c>
      <c r="AD53" s="182">
        <f>SUMIFS('июнь 2025'!$G$5:$G$2470,'июнь 2025'!$D$5:$D$2470,$B53,'июнь 2025'!$J$5:$J$2470,AD$1)</f>
        <v>0</v>
      </c>
      <c r="AE53" s="182">
        <f>SUMIFS('июнь 2025'!$G$5:$G$2470,'июнь 2025'!$D$5:$D$2470,$B53,'июнь 2025'!$J$5:$J$2470,AE$1)</f>
        <v>0</v>
      </c>
      <c r="AF53" s="182">
        <f>SUMIFS('июнь 2025'!$G$5:$G$2470,'июнь 2025'!$D$5:$D$2470,$B53,'июнь 2025'!$J$5:$J$2470,AF$1)</f>
        <v>0</v>
      </c>
      <c r="AG53" s="182">
        <f>SUMIFS('июнь 2025'!$G$5:$G$2470,'июнь 2025'!$D$5:$D$2470,$B53,'июнь 2025'!$J$5:$J$2470,AG$1)</f>
        <v>0</v>
      </c>
      <c r="AH53" s="182">
        <f>SUMIFS('июнь 2025'!$G$5:$G$2470,'июнь 2025'!$D$5:$D$2470,$B53,'июнь 2025'!$J$5:$J$2470,AH$1)</f>
        <v>0</v>
      </c>
      <c r="AI53" s="20">
        <f t="shared" si="1"/>
        <v>0</v>
      </c>
    </row>
    <row r="54" spans="2:35" ht="15" customHeight="1" x14ac:dyDescent="0.25">
      <c r="B54" s="131" t="s">
        <v>246</v>
      </c>
      <c r="C54" s="132">
        <v>25</v>
      </c>
      <c r="D54" s="182">
        <f>SUMIFS('июнь 2025'!$G$5:$G$2470,'июнь 2025'!$D$5:$D$2470,$B54,'июнь 2025'!$J$5:$J$2470,D$1)</f>
        <v>0</v>
      </c>
      <c r="E54" s="182">
        <f>SUMIFS('июнь 2025'!$G$5:$G$2470,'июнь 2025'!$D$5:$D$2470,$B54,'июнь 2025'!$J$5:$J$2470,E$1)</f>
        <v>0</v>
      </c>
      <c r="F54" s="182">
        <f>SUMIFS('июнь 2025'!$G$5:$G$2470,'июнь 2025'!$D$5:$D$2470,$B54,'июнь 2025'!$J$5:$J$2470,F$1)</f>
        <v>0</v>
      </c>
      <c r="G54" s="182">
        <f>SUMIFS('июнь 2025'!$G$5:$G$2470,'июнь 2025'!$D$5:$D$2470,$B54,'июнь 2025'!$J$5:$J$2470,G$1)</f>
        <v>0</v>
      </c>
      <c r="H54" s="182">
        <f>SUMIFS('июнь 2025'!$G$5:$G$2470,'июнь 2025'!$D$5:$D$2470,$B54,'июнь 2025'!$J$5:$J$2470,H$1)</f>
        <v>0</v>
      </c>
      <c r="I54" s="182">
        <f>SUMIFS('июнь 2025'!$G$5:$G$2470,'июнь 2025'!$D$5:$D$2470,$B54,'июнь 2025'!$J$5:$J$2470,I$1)</f>
        <v>0</v>
      </c>
      <c r="J54" s="182">
        <f>SUMIFS('июнь 2025'!$G$5:$G$2470,'июнь 2025'!$D$5:$D$2470,$B54,'июнь 2025'!$J$5:$J$2470,J$1)</f>
        <v>0</v>
      </c>
      <c r="K54" s="182">
        <f>SUMIFS('июнь 2025'!$G$5:$G$2470,'июнь 2025'!$D$5:$D$2470,$B54,'июнь 2025'!$J$5:$J$2470,K$1)</f>
        <v>0</v>
      </c>
      <c r="L54" s="182">
        <f>SUMIFS('июнь 2025'!$G$5:$G$2470,'июнь 2025'!$D$5:$D$2470,$B54,'июнь 2025'!$J$5:$J$2470,L$1)</f>
        <v>0</v>
      </c>
      <c r="M54" s="182">
        <f>SUMIFS('июнь 2025'!$G$5:$G$2470,'июнь 2025'!$D$5:$D$2470,$B54,'июнь 2025'!$J$5:$J$2470,M$1)</f>
        <v>0</v>
      </c>
      <c r="N54" s="182">
        <f>SUMIFS('июнь 2025'!$G$5:$G$2470,'июнь 2025'!$D$5:$D$2470,$B54,'июнь 2025'!$J$5:$J$2470,N$1)</f>
        <v>0</v>
      </c>
      <c r="O54" s="182">
        <f>SUMIFS('июнь 2025'!$G$5:$G$2470,'июнь 2025'!$D$5:$D$2470,$B54,'июнь 2025'!$J$5:$J$2470,O$1)</f>
        <v>0</v>
      </c>
      <c r="P54" s="182">
        <f>SUMIFS('июнь 2025'!$G$5:$G$2470,'июнь 2025'!$D$5:$D$2470,$B54,'июнь 2025'!$J$5:$J$2470,P$1)</f>
        <v>0</v>
      </c>
      <c r="Q54" s="182">
        <f>SUMIFS('июнь 2025'!$G$5:$G$2470,'июнь 2025'!$D$5:$D$2470,$B54,'июнь 2025'!$J$5:$J$2470,Q$1)</f>
        <v>0</v>
      </c>
      <c r="R54" s="182">
        <f>SUMIFS('июнь 2025'!$G$5:$G$2470,'июнь 2025'!$D$5:$D$2470,$B54,'июнь 2025'!$J$5:$J$2470,R$1)</f>
        <v>0</v>
      </c>
      <c r="S54" s="182">
        <f>SUMIFS('июнь 2025'!$G$5:$G$2470,'июнь 2025'!$D$5:$D$2470,$B54,'июнь 2025'!$J$5:$J$2470,S$1)</f>
        <v>0</v>
      </c>
      <c r="T54" s="182">
        <f>SUMIFS('июнь 2025'!$G$5:$G$2470,'июнь 2025'!$D$5:$D$2470,$B54,'июнь 2025'!$J$5:$J$2470,T$1)</f>
        <v>0</v>
      </c>
      <c r="U54" s="182">
        <f>SUMIFS('июнь 2025'!$G$5:$G$2470,'июнь 2025'!$D$5:$D$2470,$B54,'июнь 2025'!$J$5:$J$2470,U$1)</f>
        <v>0</v>
      </c>
      <c r="V54" s="182">
        <f>SUMIFS('июнь 2025'!$G$5:$G$2470,'июнь 2025'!$D$5:$D$2470,$B54,'июнь 2025'!$J$5:$J$2470,V$1)</f>
        <v>0</v>
      </c>
      <c r="W54" s="182">
        <f>SUMIFS('июнь 2025'!$G$5:$G$2470,'июнь 2025'!$D$5:$D$2470,$B54,'июнь 2025'!$J$5:$J$2470,W$1)</f>
        <v>0</v>
      </c>
      <c r="X54" s="182">
        <f>SUMIFS('июнь 2025'!$G$5:$G$2470,'июнь 2025'!$D$5:$D$2470,$B54,'июнь 2025'!$J$5:$J$2470,X$1)</f>
        <v>0</v>
      </c>
      <c r="Y54" s="182">
        <f>SUMIFS('июнь 2025'!$G$5:$G$2470,'июнь 2025'!$D$5:$D$2470,$B54,'июнь 2025'!$J$5:$J$2470,Y$1)</f>
        <v>0</v>
      </c>
      <c r="Z54" s="182">
        <f>SUMIFS('июнь 2025'!$G$5:$G$2470,'июнь 2025'!$D$5:$D$2470,$B54,'июнь 2025'!$J$5:$J$2470,Z$1)</f>
        <v>0</v>
      </c>
      <c r="AA54" s="182">
        <f>SUMIFS('июнь 2025'!$G$5:$G$2470,'июнь 2025'!$D$5:$D$2470,$B54,'июнь 2025'!$J$5:$J$2470,AA$1)</f>
        <v>0</v>
      </c>
      <c r="AB54" s="182">
        <f>SUMIFS('июнь 2025'!$G$5:$G$2470,'июнь 2025'!$D$5:$D$2470,$B54,'июнь 2025'!$J$5:$J$2470,AB$1)</f>
        <v>0</v>
      </c>
      <c r="AC54" s="182">
        <f>SUMIFS('июнь 2025'!$G$5:$G$2470,'июнь 2025'!$D$5:$D$2470,$B54,'июнь 2025'!$J$5:$J$2470,AC$1)</f>
        <v>0</v>
      </c>
      <c r="AD54" s="182">
        <f>SUMIFS('июнь 2025'!$G$5:$G$2470,'июнь 2025'!$D$5:$D$2470,$B54,'июнь 2025'!$J$5:$J$2470,AD$1)</f>
        <v>0</v>
      </c>
      <c r="AE54" s="182">
        <f>SUMIFS('июнь 2025'!$G$5:$G$2470,'июнь 2025'!$D$5:$D$2470,$B54,'июнь 2025'!$J$5:$J$2470,AE$1)</f>
        <v>0</v>
      </c>
      <c r="AF54" s="182">
        <f>SUMIFS('июнь 2025'!$G$5:$G$2470,'июнь 2025'!$D$5:$D$2470,$B54,'июнь 2025'!$J$5:$J$2470,AF$1)</f>
        <v>0</v>
      </c>
      <c r="AG54" s="182">
        <f>SUMIFS('июнь 2025'!$G$5:$G$2470,'июнь 2025'!$D$5:$D$2470,$B54,'июнь 2025'!$J$5:$J$2470,AG$1)</f>
        <v>0</v>
      </c>
      <c r="AH54" s="182">
        <f>SUMIFS('июнь 2025'!$G$5:$G$2470,'июнь 2025'!$D$5:$D$2470,$B54,'июнь 2025'!$J$5:$J$2470,AH$1)</f>
        <v>0</v>
      </c>
      <c r="AI54" s="20">
        <f t="shared" si="1"/>
        <v>0</v>
      </c>
    </row>
    <row r="55" spans="2:35" ht="15" customHeight="1" x14ac:dyDescent="0.25">
      <c r="B55" s="131" t="s">
        <v>252</v>
      </c>
      <c r="C55" s="132">
        <v>20</v>
      </c>
      <c r="D55" s="182">
        <f>SUMIFS('июнь 2025'!$G$5:$G$2470,'июнь 2025'!$D$5:$D$2470,$B55,'июнь 2025'!$J$5:$J$2470,D$1)</f>
        <v>0</v>
      </c>
      <c r="E55" s="182">
        <f>SUMIFS('июнь 2025'!$G$5:$G$2470,'июнь 2025'!$D$5:$D$2470,$B55,'июнь 2025'!$J$5:$J$2470,E$1)</f>
        <v>0</v>
      </c>
      <c r="F55" s="182">
        <f>SUMIFS('июнь 2025'!$G$5:$G$2470,'июнь 2025'!$D$5:$D$2470,$B55,'июнь 2025'!$J$5:$J$2470,F$1)</f>
        <v>0</v>
      </c>
      <c r="G55" s="182">
        <f>SUMIFS('июнь 2025'!$G$5:$G$2470,'июнь 2025'!$D$5:$D$2470,$B55,'июнь 2025'!$J$5:$J$2470,G$1)</f>
        <v>0</v>
      </c>
      <c r="H55" s="182">
        <f>SUMIFS('июнь 2025'!$G$5:$G$2470,'июнь 2025'!$D$5:$D$2470,$B55,'июнь 2025'!$J$5:$J$2470,H$1)</f>
        <v>0</v>
      </c>
      <c r="I55" s="182">
        <f>SUMIFS('июнь 2025'!$G$5:$G$2470,'июнь 2025'!$D$5:$D$2470,$B55,'июнь 2025'!$J$5:$J$2470,I$1)</f>
        <v>0</v>
      </c>
      <c r="J55" s="182">
        <f>SUMIFS('июнь 2025'!$G$5:$G$2470,'июнь 2025'!$D$5:$D$2470,$B55,'июнь 2025'!$J$5:$J$2470,J$1)</f>
        <v>0</v>
      </c>
      <c r="K55" s="182">
        <f>SUMIFS('июнь 2025'!$G$5:$G$2470,'июнь 2025'!$D$5:$D$2470,$B55,'июнь 2025'!$J$5:$J$2470,K$1)</f>
        <v>0</v>
      </c>
      <c r="L55" s="182">
        <f>SUMIFS('июнь 2025'!$G$5:$G$2470,'июнь 2025'!$D$5:$D$2470,$B55,'июнь 2025'!$J$5:$J$2470,L$1)</f>
        <v>0</v>
      </c>
      <c r="M55" s="182">
        <f>SUMIFS('июнь 2025'!$G$5:$G$2470,'июнь 2025'!$D$5:$D$2470,$B55,'июнь 2025'!$J$5:$J$2470,M$1)</f>
        <v>0</v>
      </c>
      <c r="N55" s="182">
        <f>SUMIFS('июнь 2025'!$G$5:$G$2470,'июнь 2025'!$D$5:$D$2470,$B55,'июнь 2025'!$J$5:$J$2470,N$1)</f>
        <v>0</v>
      </c>
      <c r="O55" s="182">
        <f>SUMIFS('июнь 2025'!$G$5:$G$2470,'июнь 2025'!$D$5:$D$2470,$B55,'июнь 2025'!$J$5:$J$2470,O$1)</f>
        <v>0</v>
      </c>
      <c r="P55" s="182">
        <f>SUMIFS('июнь 2025'!$G$5:$G$2470,'июнь 2025'!$D$5:$D$2470,$B55,'июнь 2025'!$J$5:$J$2470,P$1)</f>
        <v>0</v>
      </c>
      <c r="Q55" s="182">
        <f>SUMIFS('июнь 2025'!$G$5:$G$2470,'июнь 2025'!$D$5:$D$2470,$B55,'июнь 2025'!$J$5:$J$2470,Q$1)</f>
        <v>0</v>
      </c>
      <c r="R55" s="182">
        <f>SUMIFS('июнь 2025'!$G$5:$G$2470,'июнь 2025'!$D$5:$D$2470,$B55,'июнь 2025'!$J$5:$J$2470,R$1)</f>
        <v>0</v>
      </c>
      <c r="S55" s="182">
        <f>SUMIFS('июнь 2025'!$G$5:$G$2470,'июнь 2025'!$D$5:$D$2470,$B55,'июнь 2025'!$J$5:$J$2470,S$1)</f>
        <v>0</v>
      </c>
      <c r="T55" s="182">
        <f>SUMIFS('июнь 2025'!$G$5:$G$2470,'июнь 2025'!$D$5:$D$2470,$B55,'июнь 2025'!$J$5:$J$2470,T$1)</f>
        <v>0</v>
      </c>
      <c r="U55" s="182">
        <f>SUMIFS('июнь 2025'!$G$5:$G$2470,'июнь 2025'!$D$5:$D$2470,$B55,'июнь 2025'!$J$5:$J$2470,U$1)</f>
        <v>0</v>
      </c>
      <c r="V55" s="182">
        <f>SUMIFS('июнь 2025'!$G$5:$G$2470,'июнь 2025'!$D$5:$D$2470,$B55,'июнь 2025'!$J$5:$J$2470,V$1)</f>
        <v>0</v>
      </c>
      <c r="W55" s="182">
        <f>SUMIFS('июнь 2025'!$G$5:$G$2470,'июнь 2025'!$D$5:$D$2470,$B55,'июнь 2025'!$J$5:$J$2470,W$1)</f>
        <v>0</v>
      </c>
      <c r="X55" s="182">
        <f>SUMIFS('июнь 2025'!$G$5:$G$2470,'июнь 2025'!$D$5:$D$2470,$B55,'июнь 2025'!$J$5:$J$2470,X$1)</f>
        <v>0</v>
      </c>
      <c r="Y55" s="182">
        <f>SUMIFS('июнь 2025'!$G$5:$G$2470,'июнь 2025'!$D$5:$D$2470,$B55,'июнь 2025'!$J$5:$J$2470,Y$1)</f>
        <v>0</v>
      </c>
      <c r="Z55" s="182">
        <f>SUMIFS('июнь 2025'!$G$5:$G$2470,'июнь 2025'!$D$5:$D$2470,$B55,'июнь 2025'!$J$5:$J$2470,Z$1)</f>
        <v>0</v>
      </c>
      <c r="AA55" s="182">
        <f>SUMIFS('июнь 2025'!$G$5:$G$2470,'июнь 2025'!$D$5:$D$2470,$B55,'июнь 2025'!$J$5:$J$2470,AA$1)</f>
        <v>0</v>
      </c>
      <c r="AB55" s="182">
        <f>SUMIFS('июнь 2025'!$G$5:$G$2470,'июнь 2025'!$D$5:$D$2470,$B55,'июнь 2025'!$J$5:$J$2470,AB$1)</f>
        <v>0</v>
      </c>
      <c r="AC55" s="182">
        <f>SUMIFS('июнь 2025'!$G$5:$G$2470,'июнь 2025'!$D$5:$D$2470,$B55,'июнь 2025'!$J$5:$J$2470,AC$1)</f>
        <v>200</v>
      </c>
      <c r="AD55" s="182">
        <f>SUMIFS('июнь 2025'!$G$5:$G$2470,'июнь 2025'!$D$5:$D$2470,$B55,'июнь 2025'!$J$5:$J$2470,AD$1)</f>
        <v>0</v>
      </c>
      <c r="AE55" s="182">
        <f>SUMIFS('июнь 2025'!$G$5:$G$2470,'июнь 2025'!$D$5:$D$2470,$B55,'июнь 2025'!$J$5:$J$2470,AE$1)</f>
        <v>0</v>
      </c>
      <c r="AF55" s="182">
        <f>SUMIFS('июнь 2025'!$G$5:$G$2470,'июнь 2025'!$D$5:$D$2470,$B55,'июнь 2025'!$J$5:$J$2470,AF$1)</f>
        <v>0</v>
      </c>
      <c r="AG55" s="182">
        <f>SUMIFS('июнь 2025'!$G$5:$G$2470,'июнь 2025'!$D$5:$D$2470,$B55,'июнь 2025'!$J$5:$J$2470,AG$1)</f>
        <v>0</v>
      </c>
      <c r="AH55" s="182">
        <f>SUMIFS('июнь 2025'!$G$5:$G$2470,'июнь 2025'!$D$5:$D$2470,$B55,'июнь 2025'!$J$5:$J$2470,AH$1)</f>
        <v>0</v>
      </c>
      <c r="AI55" s="20">
        <f t="shared" si="1"/>
        <v>200</v>
      </c>
    </row>
    <row r="56" spans="2:35" ht="15" customHeight="1" x14ac:dyDescent="0.25">
      <c r="B56" s="131" t="s">
        <v>1156</v>
      </c>
      <c r="C56" s="132">
        <v>20</v>
      </c>
      <c r="D56" s="182">
        <f>SUMIFS('июнь 2025'!$G$5:$G$2470,'июнь 2025'!$D$5:$D$2470,$B56,'июнь 2025'!$J$5:$J$2470,D$1)</f>
        <v>0</v>
      </c>
      <c r="E56" s="182">
        <f>SUMIFS('июнь 2025'!$G$5:$G$2470,'июнь 2025'!$D$5:$D$2470,$B56,'июнь 2025'!$J$5:$J$2470,E$1)</f>
        <v>0</v>
      </c>
      <c r="F56" s="182">
        <f>SUMIFS('июнь 2025'!$G$5:$G$2470,'июнь 2025'!$D$5:$D$2470,$B56,'июнь 2025'!$J$5:$J$2470,F$1)</f>
        <v>0</v>
      </c>
      <c r="G56" s="182">
        <f>SUMIFS('июнь 2025'!$G$5:$G$2470,'июнь 2025'!$D$5:$D$2470,$B56,'июнь 2025'!$J$5:$J$2470,G$1)</f>
        <v>0</v>
      </c>
      <c r="H56" s="182">
        <f>SUMIFS('июнь 2025'!$G$5:$G$2470,'июнь 2025'!$D$5:$D$2470,$B56,'июнь 2025'!$J$5:$J$2470,H$1)</f>
        <v>0</v>
      </c>
      <c r="I56" s="182">
        <f>SUMIFS('июнь 2025'!$G$5:$G$2470,'июнь 2025'!$D$5:$D$2470,$B56,'июнь 2025'!$J$5:$J$2470,I$1)</f>
        <v>0</v>
      </c>
      <c r="J56" s="182">
        <f>SUMIFS('июнь 2025'!$G$5:$G$2470,'июнь 2025'!$D$5:$D$2470,$B56,'июнь 2025'!$J$5:$J$2470,J$1)</f>
        <v>0</v>
      </c>
      <c r="K56" s="182">
        <f>SUMIFS('июнь 2025'!$G$5:$G$2470,'июнь 2025'!$D$5:$D$2470,$B56,'июнь 2025'!$J$5:$J$2470,K$1)</f>
        <v>0</v>
      </c>
      <c r="L56" s="182">
        <f>SUMIFS('июнь 2025'!$G$5:$G$2470,'июнь 2025'!$D$5:$D$2470,$B56,'июнь 2025'!$J$5:$J$2470,L$1)</f>
        <v>0</v>
      </c>
      <c r="M56" s="182">
        <f>SUMIFS('июнь 2025'!$G$5:$G$2470,'июнь 2025'!$D$5:$D$2470,$B56,'июнь 2025'!$J$5:$J$2470,M$1)</f>
        <v>0</v>
      </c>
      <c r="N56" s="182">
        <f>SUMIFS('июнь 2025'!$G$5:$G$2470,'июнь 2025'!$D$5:$D$2470,$B56,'июнь 2025'!$J$5:$J$2470,N$1)</f>
        <v>0</v>
      </c>
      <c r="O56" s="182">
        <f>SUMIFS('июнь 2025'!$G$5:$G$2470,'июнь 2025'!$D$5:$D$2470,$B56,'июнь 2025'!$J$5:$J$2470,O$1)</f>
        <v>0</v>
      </c>
      <c r="P56" s="182">
        <f>SUMIFS('июнь 2025'!$G$5:$G$2470,'июнь 2025'!$D$5:$D$2470,$B56,'июнь 2025'!$J$5:$J$2470,P$1)</f>
        <v>0</v>
      </c>
      <c r="Q56" s="182">
        <f>SUMIFS('июнь 2025'!$G$5:$G$2470,'июнь 2025'!$D$5:$D$2470,$B56,'июнь 2025'!$J$5:$J$2470,Q$1)</f>
        <v>0</v>
      </c>
      <c r="R56" s="182">
        <f>SUMIFS('июнь 2025'!$G$5:$G$2470,'июнь 2025'!$D$5:$D$2470,$B56,'июнь 2025'!$J$5:$J$2470,R$1)</f>
        <v>0</v>
      </c>
      <c r="S56" s="182">
        <f>SUMIFS('июнь 2025'!$G$5:$G$2470,'июнь 2025'!$D$5:$D$2470,$B56,'июнь 2025'!$J$5:$J$2470,S$1)</f>
        <v>0</v>
      </c>
      <c r="T56" s="182">
        <f>SUMIFS('июнь 2025'!$G$5:$G$2470,'июнь 2025'!$D$5:$D$2470,$B56,'июнь 2025'!$J$5:$J$2470,T$1)</f>
        <v>0</v>
      </c>
      <c r="U56" s="182">
        <f>SUMIFS('июнь 2025'!$G$5:$G$2470,'июнь 2025'!$D$5:$D$2470,$B56,'июнь 2025'!$J$5:$J$2470,U$1)</f>
        <v>0</v>
      </c>
      <c r="V56" s="182">
        <f>SUMIFS('июнь 2025'!$G$5:$G$2470,'июнь 2025'!$D$5:$D$2470,$B56,'июнь 2025'!$J$5:$J$2470,V$1)</f>
        <v>0</v>
      </c>
      <c r="W56" s="182">
        <f>SUMIFS('июнь 2025'!$G$5:$G$2470,'июнь 2025'!$D$5:$D$2470,$B56,'июнь 2025'!$J$5:$J$2470,W$1)</f>
        <v>0</v>
      </c>
      <c r="X56" s="182">
        <f>SUMIFS('июнь 2025'!$G$5:$G$2470,'июнь 2025'!$D$5:$D$2470,$B56,'июнь 2025'!$J$5:$J$2470,X$1)</f>
        <v>0</v>
      </c>
      <c r="Y56" s="182">
        <f>SUMIFS('июнь 2025'!$G$5:$G$2470,'июнь 2025'!$D$5:$D$2470,$B56,'июнь 2025'!$J$5:$J$2470,Y$1)</f>
        <v>0</v>
      </c>
      <c r="Z56" s="182">
        <f>SUMIFS('июнь 2025'!$G$5:$G$2470,'июнь 2025'!$D$5:$D$2470,$B56,'июнь 2025'!$J$5:$J$2470,Z$1)</f>
        <v>0</v>
      </c>
      <c r="AA56" s="182">
        <f>SUMIFS('июнь 2025'!$G$5:$G$2470,'июнь 2025'!$D$5:$D$2470,$B56,'июнь 2025'!$J$5:$J$2470,AA$1)</f>
        <v>0</v>
      </c>
      <c r="AB56" s="182">
        <f>SUMIFS('июнь 2025'!$G$5:$G$2470,'июнь 2025'!$D$5:$D$2470,$B56,'июнь 2025'!$J$5:$J$2470,AB$1)</f>
        <v>0</v>
      </c>
      <c r="AC56" s="182">
        <f>SUMIFS('июнь 2025'!$G$5:$G$2470,'июнь 2025'!$D$5:$D$2470,$B56,'июнь 2025'!$J$5:$J$2470,AC$1)</f>
        <v>0</v>
      </c>
      <c r="AD56" s="182">
        <f>SUMIFS('июнь 2025'!$G$5:$G$2470,'июнь 2025'!$D$5:$D$2470,$B56,'июнь 2025'!$J$5:$J$2470,AD$1)</f>
        <v>0</v>
      </c>
      <c r="AE56" s="182">
        <f>SUMIFS('июнь 2025'!$G$5:$G$2470,'июнь 2025'!$D$5:$D$2470,$B56,'июнь 2025'!$J$5:$J$2470,AE$1)</f>
        <v>0</v>
      </c>
      <c r="AF56" s="182">
        <f>SUMIFS('июнь 2025'!$G$5:$G$2470,'июнь 2025'!$D$5:$D$2470,$B56,'июнь 2025'!$J$5:$J$2470,AF$1)</f>
        <v>0</v>
      </c>
      <c r="AG56" s="182">
        <f>SUMIFS('июнь 2025'!$G$5:$G$2470,'июнь 2025'!$D$5:$D$2470,$B56,'июнь 2025'!$J$5:$J$2470,AG$1)</f>
        <v>0</v>
      </c>
      <c r="AH56" s="182">
        <f>SUMIFS('июнь 2025'!$G$5:$G$2470,'июнь 2025'!$D$5:$D$2470,$B56,'июнь 2025'!$J$5:$J$2470,AH$1)</f>
        <v>0</v>
      </c>
      <c r="AI56" s="20">
        <f t="shared" si="1"/>
        <v>0</v>
      </c>
    </row>
    <row r="57" spans="2:35" ht="15" customHeight="1" x14ac:dyDescent="0.25">
      <c r="B57" s="127" t="s">
        <v>253</v>
      </c>
      <c r="C57" s="132">
        <v>20</v>
      </c>
      <c r="D57" s="182">
        <f>SUMIFS('июнь 2025'!$G$5:$G$2470,'июнь 2025'!$D$5:$D$2470,$B57,'июнь 2025'!$J$5:$J$2470,D$1)</f>
        <v>0</v>
      </c>
      <c r="E57" s="182">
        <f>SUMIFS('июнь 2025'!$G$5:$G$2470,'июнь 2025'!$D$5:$D$2470,$B57,'июнь 2025'!$J$5:$J$2470,E$1)</f>
        <v>0</v>
      </c>
      <c r="F57" s="182">
        <f>SUMIFS('июнь 2025'!$G$5:$G$2470,'июнь 2025'!$D$5:$D$2470,$B57,'июнь 2025'!$J$5:$J$2470,F$1)</f>
        <v>0</v>
      </c>
      <c r="G57" s="182">
        <f>SUMIFS('июнь 2025'!$G$5:$G$2470,'июнь 2025'!$D$5:$D$2470,$B57,'июнь 2025'!$J$5:$J$2470,G$1)</f>
        <v>0</v>
      </c>
      <c r="H57" s="182">
        <f>SUMIFS('июнь 2025'!$G$5:$G$2470,'июнь 2025'!$D$5:$D$2470,$B57,'июнь 2025'!$J$5:$J$2470,H$1)</f>
        <v>0</v>
      </c>
      <c r="I57" s="182">
        <f>SUMIFS('июнь 2025'!$G$5:$G$2470,'июнь 2025'!$D$5:$D$2470,$B57,'июнь 2025'!$J$5:$J$2470,I$1)</f>
        <v>0</v>
      </c>
      <c r="J57" s="182">
        <f>SUMIFS('июнь 2025'!$G$5:$G$2470,'июнь 2025'!$D$5:$D$2470,$B57,'июнь 2025'!$J$5:$J$2470,J$1)</f>
        <v>0</v>
      </c>
      <c r="K57" s="182">
        <f>SUMIFS('июнь 2025'!$G$5:$G$2470,'июнь 2025'!$D$5:$D$2470,$B57,'июнь 2025'!$J$5:$J$2470,K$1)</f>
        <v>0</v>
      </c>
      <c r="L57" s="182">
        <f>SUMIFS('июнь 2025'!$G$5:$G$2470,'июнь 2025'!$D$5:$D$2470,$B57,'июнь 2025'!$J$5:$J$2470,L$1)</f>
        <v>0</v>
      </c>
      <c r="M57" s="182">
        <f>SUMIFS('июнь 2025'!$G$5:$G$2470,'июнь 2025'!$D$5:$D$2470,$B57,'июнь 2025'!$J$5:$J$2470,M$1)</f>
        <v>0</v>
      </c>
      <c r="N57" s="182">
        <f>SUMIFS('июнь 2025'!$G$5:$G$2470,'июнь 2025'!$D$5:$D$2470,$B57,'июнь 2025'!$J$5:$J$2470,N$1)</f>
        <v>0</v>
      </c>
      <c r="O57" s="182">
        <f>SUMIFS('июнь 2025'!$G$5:$G$2470,'июнь 2025'!$D$5:$D$2470,$B57,'июнь 2025'!$J$5:$J$2470,O$1)</f>
        <v>0</v>
      </c>
      <c r="P57" s="182">
        <f>SUMIFS('июнь 2025'!$G$5:$G$2470,'июнь 2025'!$D$5:$D$2470,$B57,'июнь 2025'!$J$5:$J$2470,P$1)</f>
        <v>0</v>
      </c>
      <c r="Q57" s="182">
        <f>SUMIFS('июнь 2025'!$G$5:$G$2470,'июнь 2025'!$D$5:$D$2470,$B57,'июнь 2025'!$J$5:$J$2470,Q$1)</f>
        <v>0</v>
      </c>
      <c r="R57" s="182">
        <f>SUMIFS('июнь 2025'!$G$5:$G$2470,'июнь 2025'!$D$5:$D$2470,$B57,'июнь 2025'!$J$5:$J$2470,R$1)</f>
        <v>0</v>
      </c>
      <c r="S57" s="182">
        <f>SUMIFS('июнь 2025'!$G$5:$G$2470,'июнь 2025'!$D$5:$D$2470,$B57,'июнь 2025'!$J$5:$J$2470,S$1)</f>
        <v>0</v>
      </c>
      <c r="T57" s="182">
        <f>SUMIFS('июнь 2025'!$G$5:$G$2470,'июнь 2025'!$D$5:$D$2470,$B57,'июнь 2025'!$J$5:$J$2470,T$1)</f>
        <v>0</v>
      </c>
      <c r="U57" s="182">
        <f>SUMIFS('июнь 2025'!$G$5:$G$2470,'июнь 2025'!$D$5:$D$2470,$B57,'июнь 2025'!$J$5:$J$2470,U$1)</f>
        <v>0</v>
      </c>
      <c r="V57" s="182">
        <f>SUMIFS('июнь 2025'!$G$5:$G$2470,'июнь 2025'!$D$5:$D$2470,$B57,'июнь 2025'!$J$5:$J$2470,V$1)</f>
        <v>0</v>
      </c>
      <c r="W57" s="182">
        <f>SUMIFS('июнь 2025'!$G$5:$G$2470,'июнь 2025'!$D$5:$D$2470,$B57,'июнь 2025'!$J$5:$J$2470,W$1)</f>
        <v>0</v>
      </c>
      <c r="X57" s="182">
        <f>SUMIFS('июнь 2025'!$G$5:$G$2470,'июнь 2025'!$D$5:$D$2470,$B57,'июнь 2025'!$J$5:$J$2470,X$1)</f>
        <v>0</v>
      </c>
      <c r="Y57" s="182">
        <f>SUMIFS('июнь 2025'!$G$5:$G$2470,'июнь 2025'!$D$5:$D$2470,$B57,'июнь 2025'!$J$5:$J$2470,Y$1)</f>
        <v>0</v>
      </c>
      <c r="Z57" s="182">
        <f>SUMIFS('июнь 2025'!$G$5:$G$2470,'июнь 2025'!$D$5:$D$2470,$B57,'июнь 2025'!$J$5:$J$2470,Z$1)</f>
        <v>0</v>
      </c>
      <c r="AA57" s="182">
        <f>SUMIFS('июнь 2025'!$G$5:$G$2470,'июнь 2025'!$D$5:$D$2470,$B57,'июнь 2025'!$J$5:$J$2470,AA$1)</f>
        <v>0</v>
      </c>
      <c r="AB57" s="182">
        <f>SUMIFS('июнь 2025'!$G$5:$G$2470,'июнь 2025'!$D$5:$D$2470,$B57,'июнь 2025'!$J$5:$J$2470,AB$1)</f>
        <v>0</v>
      </c>
      <c r="AC57" s="182">
        <f>SUMIFS('июнь 2025'!$G$5:$G$2470,'июнь 2025'!$D$5:$D$2470,$B57,'июнь 2025'!$J$5:$J$2470,AC$1)</f>
        <v>0</v>
      </c>
      <c r="AD57" s="182">
        <f>SUMIFS('июнь 2025'!$G$5:$G$2470,'июнь 2025'!$D$5:$D$2470,$B57,'июнь 2025'!$J$5:$J$2470,AD$1)</f>
        <v>0</v>
      </c>
      <c r="AE57" s="182">
        <f>SUMIFS('июнь 2025'!$G$5:$G$2470,'июнь 2025'!$D$5:$D$2470,$B57,'июнь 2025'!$J$5:$J$2470,AE$1)</f>
        <v>0</v>
      </c>
      <c r="AF57" s="182">
        <f>SUMIFS('июнь 2025'!$G$5:$G$2470,'июнь 2025'!$D$5:$D$2470,$B57,'июнь 2025'!$J$5:$J$2470,AF$1)</f>
        <v>0</v>
      </c>
      <c r="AG57" s="182">
        <f>SUMIFS('июнь 2025'!$G$5:$G$2470,'июнь 2025'!$D$5:$D$2470,$B57,'июнь 2025'!$J$5:$J$2470,AG$1)</f>
        <v>0</v>
      </c>
      <c r="AH57" s="182">
        <f>SUMIFS('июнь 2025'!$G$5:$G$2470,'июнь 2025'!$D$5:$D$2470,$B57,'июнь 2025'!$J$5:$J$2470,AH$1)</f>
        <v>0</v>
      </c>
      <c r="AI57" s="20">
        <f t="shared" si="1"/>
        <v>0</v>
      </c>
    </row>
    <row r="58" spans="2:35" ht="15" customHeight="1" x14ac:dyDescent="0.25">
      <c r="B58" s="131" t="s">
        <v>254</v>
      </c>
      <c r="C58" s="132">
        <v>20</v>
      </c>
      <c r="D58" s="182">
        <f>SUMIFS('июнь 2025'!$G$5:$G$2470,'июнь 2025'!$D$5:$D$2470,$B58,'июнь 2025'!$J$5:$J$2470,D$1)</f>
        <v>0</v>
      </c>
      <c r="E58" s="182">
        <f>SUMIFS('июнь 2025'!$G$5:$G$2470,'июнь 2025'!$D$5:$D$2470,$B58,'июнь 2025'!$J$5:$J$2470,E$1)</f>
        <v>0</v>
      </c>
      <c r="F58" s="182">
        <f>SUMIFS('июнь 2025'!$G$5:$G$2470,'июнь 2025'!$D$5:$D$2470,$B58,'июнь 2025'!$J$5:$J$2470,F$1)</f>
        <v>0</v>
      </c>
      <c r="G58" s="182">
        <f>SUMIFS('июнь 2025'!$G$5:$G$2470,'июнь 2025'!$D$5:$D$2470,$B58,'июнь 2025'!$J$5:$J$2470,G$1)</f>
        <v>0</v>
      </c>
      <c r="H58" s="182">
        <f>SUMIFS('июнь 2025'!$G$5:$G$2470,'июнь 2025'!$D$5:$D$2470,$B58,'июнь 2025'!$J$5:$J$2470,H$1)</f>
        <v>0</v>
      </c>
      <c r="I58" s="182">
        <f>SUMIFS('июнь 2025'!$G$5:$G$2470,'июнь 2025'!$D$5:$D$2470,$B58,'июнь 2025'!$J$5:$J$2470,I$1)</f>
        <v>0</v>
      </c>
      <c r="J58" s="182">
        <f>SUMIFS('июнь 2025'!$G$5:$G$2470,'июнь 2025'!$D$5:$D$2470,$B58,'июнь 2025'!$J$5:$J$2470,J$1)</f>
        <v>0</v>
      </c>
      <c r="K58" s="182">
        <f>SUMIFS('июнь 2025'!$G$5:$G$2470,'июнь 2025'!$D$5:$D$2470,$B58,'июнь 2025'!$J$5:$J$2470,K$1)</f>
        <v>0</v>
      </c>
      <c r="L58" s="182">
        <f>SUMIFS('июнь 2025'!$G$5:$G$2470,'июнь 2025'!$D$5:$D$2470,$B58,'июнь 2025'!$J$5:$J$2470,L$1)</f>
        <v>0</v>
      </c>
      <c r="M58" s="182">
        <f>SUMIFS('июнь 2025'!$G$5:$G$2470,'июнь 2025'!$D$5:$D$2470,$B58,'июнь 2025'!$J$5:$J$2470,M$1)</f>
        <v>0</v>
      </c>
      <c r="N58" s="182">
        <f>SUMIFS('июнь 2025'!$G$5:$G$2470,'июнь 2025'!$D$5:$D$2470,$B58,'июнь 2025'!$J$5:$J$2470,N$1)</f>
        <v>0</v>
      </c>
      <c r="O58" s="182">
        <f>SUMIFS('июнь 2025'!$G$5:$G$2470,'июнь 2025'!$D$5:$D$2470,$B58,'июнь 2025'!$J$5:$J$2470,O$1)</f>
        <v>0</v>
      </c>
      <c r="P58" s="182">
        <f>SUMIFS('июнь 2025'!$G$5:$G$2470,'июнь 2025'!$D$5:$D$2470,$B58,'июнь 2025'!$J$5:$J$2470,P$1)</f>
        <v>0</v>
      </c>
      <c r="Q58" s="182">
        <f>SUMIFS('июнь 2025'!$G$5:$G$2470,'июнь 2025'!$D$5:$D$2470,$B58,'июнь 2025'!$J$5:$J$2470,Q$1)</f>
        <v>0</v>
      </c>
      <c r="R58" s="182">
        <f>SUMIFS('июнь 2025'!$G$5:$G$2470,'июнь 2025'!$D$5:$D$2470,$B58,'июнь 2025'!$J$5:$J$2470,R$1)</f>
        <v>0</v>
      </c>
      <c r="S58" s="182">
        <f>SUMIFS('июнь 2025'!$G$5:$G$2470,'июнь 2025'!$D$5:$D$2470,$B58,'июнь 2025'!$J$5:$J$2470,S$1)</f>
        <v>0</v>
      </c>
      <c r="T58" s="182">
        <f>SUMIFS('июнь 2025'!$G$5:$G$2470,'июнь 2025'!$D$5:$D$2470,$B58,'июнь 2025'!$J$5:$J$2470,T$1)</f>
        <v>0</v>
      </c>
      <c r="U58" s="182">
        <f>SUMIFS('июнь 2025'!$G$5:$G$2470,'июнь 2025'!$D$5:$D$2470,$B58,'июнь 2025'!$J$5:$J$2470,U$1)</f>
        <v>0</v>
      </c>
      <c r="V58" s="182">
        <f>SUMIFS('июнь 2025'!$G$5:$G$2470,'июнь 2025'!$D$5:$D$2470,$B58,'июнь 2025'!$J$5:$J$2470,V$1)</f>
        <v>0</v>
      </c>
      <c r="W58" s="182">
        <f>SUMIFS('июнь 2025'!$G$5:$G$2470,'июнь 2025'!$D$5:$D$2470,$B58,'июнь 2025'!$J$5:$J$2470,W$1)</f>
        <v>0</v>
      </c>
      <c r="X58" s="182">
        <f>SUMIFS('июнь 2025'!$G$5:$G$2470,'июнь 2025'!$D$5:$D$2470,$B58,'июнь 2025'!$J$5:$J$2470,X$1)</f>
        <v>0</v>
      </c>
      <c r="Y58" s="182">
        <f>SUMIFS('июнь 2025'!$G$5:$G$2470,'июнь 2025'!$D$5:$D$2470,$B58,'июнь 2025'!$J$5:$J$2470,Y$1)</f>
        <v>0</v>
      </c>
      <c r="Z58" s="182">
        <f>SUMIFS('июнь 2025'!$G$5:$G$2470,'июнь 2025'!$D$5:$D$2470,$B58,'июнь 2025'!$J$5:$J$2470,Z$1)</f>
        <v>0</v>
      </c>
      <c r="AA58" s="182">
        <f>SUMIFS('июнь 2025'!$G$5:$G$2470,'июнь 2025'!$D$5:$D$2470,$B58,'июнь 2025'!$J$5:$J$2470,AA$1)</f>
        <v>0</v>
      </c>
      <c r="AB58" s="182">
        <f>SUMIFS('июнь 2025'!$G$5:$G$2470,'июнь 2025'!$D$5:$D$2470,$B58,'июнь 2025'!$J$5:$J$2470,AB$1)</f>
        <v>0</v>
      </c>
      <c r="AC58" s="182">
        <f>SUMIFS('июнь 2025'!$G$5:$G$2470,'июнь 2025'!$D$5:$D$2470,$B58,'июнь 2025'!$J$5:$J$2470,AC$1)</f>
        <v>0</v>
      </c>
      <c r="AD58" s="182">
        <f>SUMIFS('июнь 2025'!$G$5:$G$2470,'июнь 2025'!$D$5:$D$2470,$B58,'июнь 2025'!$J$5:$J$2470,AD$1)</f>
        <v>0</v>
      </c>
      <c r="AE58" s="182">
        <f>SUMIFS('июнь 2025'!$G$5:$G$2470,'июнь 2025'!$D$5:$D$2470,$B58,'июнь 2025'!$J$5:$J$2470,AE$1)</f>
        <v>0</v>
      </c>
      <c r="AF58" s="182">
        <f>SUMIFS('июнь 2025'!$G$5:$G$2470,'июнь 2025'!$D$5:$D$2470,$B58,'июнь 2025'!$J$5:$J$2470,AF$1)</f>
        <v>0</v>
      </c>
      <c r="AG58" s="182">
        <f>SUMIFS('июнь 2025'!$G$5:$G$2470,'июнь 2025'!$D$5:$D$2470,$B58,'июнь 2025'!$J$5:$J$2470,AG$1)</f>
        <v>0</v>
      </c>
      <c r="AH58" s="182">
        <f>SUMIFS('июнь 2025'!$G$5:$G$2470,'июнь 2025'!$D$5:$D$2470,$B58,'июнь 2025'!$J$5:$J$2470,AH$1)</f>
        <v>0</v>
      </c>
      <c r="AI58" s="20">
        <f t="shared" si="1"/>
        <v>0</v>
      </c>
    </row>
    <row r="59" spans="2:35" ht="15" customHeight="1" x14ac:dyDescent="0.25">
      <c r="B59" s="131" t="s">
        <v>255</v>
      </c>
      <c r="C59" s="132">
        <v>20</v>
      </c>
      <c r="D59" s="182">
        <f>SUMIFS('июнь 2025'!$G$5:$G$2470,'июнь 2025'!$D$5:$D$2470,$B59,'июнь 2025'!$J$5:$J$2470,D$1)</f>
        <v>0</v>
      </c>
      <c r="E59" s="182">
        <f>SUMIFS('июнь 2025'!$G$5:$G$2470,'июнь 2025'!$D$5:$D$2470,$B59,'июнь 2025'!$J$5:$J$2470,E$1)</f>
        <v>0</v>
      </c>
      <c r="F59" s="182">
        <f>SUMIFS('июнь 2025'!$G$5:$G$2470,'июнь 2025'!$D$5:$D$2470,$B59,'июнь 2025'!$J$5:$J$2470,F$1)</f>
        <v>0</v>
      </c>
      <c r="G59" s="182">
        <f>SUMIFS('июнь 2025'!$G$5:$G$2470,'июнь 2025'!$D$5:$D$2470,$B59,'июнь 2025'!$J$5:$J$2470,G$1)</f>
        <v>0</v>
      </c>
      <c r="H59" s="182">
        <f>SUMIFS('июнь 2025'!$G$5:$G$2470,'июнь 2025'!$D$5:$D$2470,$B59,'июнь 2025'!$J$5:$J$2470,H$1)</f>
        <v>0</v>
      </c>
      <c r="I59" s="182">
        <f>SUMIFS('июнь 2025'!$G$5:$G$2470,'июнь 2025'!$D$5:$D$2470,$B59,'июнь 2025'!$J$5:$J$2470,I$1)</f>
        <v>0</v>
      </c>
      <c r="J59" s="182">
        <f>SUMIFS('июнь 2025'!$G$5:$G$2470,'июнь 2025'!$D$5:$D$2470,$B59,'июнь 2025'!$J$5:$J$2470,J$1)</f>
        <v>0</v>
      </c>
      <c r="K59" s="182">
        <f>SUMIFS('июнь 2025'!$G$5:$G$2470,'июнь 2025'!$D$5:$D$2470,$B59,'июнь 2025'!$J$5:$J$2470,K$1)</f>
        <v>0</v>
      </c>
      <c r="L59" s="182">
        <f>SUMIFS('июнь 2025'!$G$5:$G$2470,'июнь 2025'!$D$5:$D$2470,$B59,'июнь 2025'!$J$5:$J$2470,L$1)</f>
        <v>0</v>
      </c>
      <c r="M59" s="182">
        <f>SUMIFS('июнь 2025'!$G$5:$G$2470,'июнь 2025'!$D$5:$D$2470,$B59,'июнь 2025'!$J$5:$J$2470,M$1)</f>
        <v>0</v>
      </c>
      <c r="N59" s="182">
        <f>SUMIFS('июнь 2025'!$G$5:$G$2470,'июнь 2025'!$D$5:$D$2470,$B59,'июнь 2025'!$J$5:$J$2470,N$1)</f>
        <v>0</v>
      </c>
      <c r="O59" s="182">
        <f>SUMIFS('июнь 2025'!$G$5:$G$2470,'июнь 2025'!$D$5:$D$2470,$B59,'июнь 2025'!$J$5:$J$2470,O$1)</f>
        <v>0</v>
      </c>
      <c r="P59" s="182">
        <f>SUMIFS('июнь 2025'!$G$5:$G$2470,'июнь 2025'!$D$5:$D$2470,$B59,'июнь 2025'!$J$5:$J$2470,P$1)</f>
        <v>0</v>
      </c>
      <c r="Q59" s="182">
        <f>SUMIFS('июнь 2025'!$G$5:$G$2470,'июнь 2025'!$D$5:$D$2470,$B59,'июнь 2025'!$J$5:$J$2470,Q$1)</f>
        <v>0</v>
      </c>
      <c r="R59" s="182">
        <f>SUMIFS('июнь 2025'!$G$5:$G$2470,'июнь 2025'!$D$5:$D$2470,$B59,'июнь 2025'!$J$5:$J$2470,R$1)</f>
        <v>0</v>
      </c>
      <c r="S59" s="182">
        <f>SUMIFS('июнь 2025'!$G$5:$G$2470,'июнь 2025'!$D$5:$D$2470,$B59,'июнь 2025'!$J$5:$J$2470,S$1)</f>
        <v>0</v>
      </c>
      <c r="T59" s="182">
        <f>SUMIFS('июнь 2025'!$G$5:$G$2470,'июнь 2025'!$D$5:$D$2470,$B59,'июнь 2025'!$J$5:$J$2470,T$1)</f>
        <v>0</v>
      </c>
      <c r="U59" s="182">
        <f>SUMIFS('июнь 2025'!$G$5:$G$2470,'июнь 2025'!$D$5:$D$2470,$B59,'июнь 2025'!$J$5:$J$2470,U$1)</f>
        <v>0</v>
      </c>
      <c r="V59" s="182">
        <f>SUMIFS('июнь 2025'!$G$5:$G$2470,'июнь 2025'!$D$5:$D$2470,$B59,'июнь 2025'!$J$5:$J$2470,V$1)</f>
        <v>0</v>
      </c>
      <c r="W59" s="182">
        <f>SUMIFS('июнь 2025'!$G$5:$G$2470,'июнь 2025'!$D$5:$D$2470,$B59,'июнь 2025'!$J$5:$J$2470,W$1)</f>
        <v>0</v>
      </c>
      <c r="X59" s="182">
        <f>SUMIFS('июнь 2025'!$G$5:$G$2470,'июнь 2025'!$D$5:$D$2470,$B59,'июнь 2025'!$J$5:$J$2470,X$1)</f>
        <v>0</v>
      </c>
      <c r="Y59" s="182">
        <f>SUMIFS('июнь 2025'!$G$5:$G$2470,'июнь 2025'!$D$5:$D$2470,$B59,'июнь 2025'!$J$5:$J$2470,Y$1)</f>
        <v>0</v>
      </c>
      <c r="Z59" s="182">
        <f>SUMIFS('июнь 2025'!$G$5:$G$2470,'июнь 2025'!$D$5:$D$2470,$B59,'июнь 2025'!$J$5:$J$2470,Z$1)</f>
        <v>0</v>
      </c>
      <c r="AA59" s="182">
        <f>SUMIFS('июнь 2025'!$G$5:$G$2470,'июнь 2025'!$D$5:$D$2470,$B59,'июнь 2025'!$J$5:$J$2470,AA$1)</f>
        <v>0</v>
      </c>
      <c r="AB59" s="182">
        <f>SUMIFS('июнь 2025'!$G$5:$G$2470,'июнь 2025'!$D$5:$D$2470,$B59,'июнь 2025'!$J$5:$J$2470,AB$1)</f>
        <v>0</v>
      </c>
      <c r="AC59" s="182">
        <f>SUMIFS('июнь 2025'!$G$5:$G$2470,'июнь 2025'!$D$5:$D$2470,$B59,'июнь 2025'!$J$5:$J$2470,AC$1)</f>
        <v>0</v>
      </c>
      <c r="AD59" s="182">
        <f>SUMIFS('июнь 2025'!$G$5:$G$2470,'июнь 2025'!$D$5:$D$2470,$B59,'июнь 2025'!$J$5:$J$2470,AD$1)</f>
        <v>0</v>
      </c>
      <c r="AE59" s="182">
        <f>SUMIFS('июнь 2025'!$G$5:$G$2470,'июнь 2025'!$D$5:$D$2470,$B59,'июнь 2025'!$J$5:$J$2470,AE$1)</f>
        <v>0</v>
      </c>
      <c r="AF59" s="182">
        <f>SUMIFS('июнь 2025'!$G$5:$G$2470,'июнь 2025'!$D$5:$D$2470,$B59,'июнь 2025'!$J$5:$J$2470,AF$1)</f>
        <v>0</v>
      </c>
      <c r="AG59" s="182">
        <f>SUMIFS('июнь 2025'!$G$5:$G$2470,'июнь 2025'!$D$5:$D$2470,$B59,'июнь 2025'!$J$5:$J$2470,AG$1)</f>
        <v>0</v>
      </c>
      <c r="AH59" s="182">
        <f>SUMIFS('июнь 2025'!$G$5:$G$2470,'июнь 2025'!$D$5:$D$2470,$B59,'июнь 2025'!$J$5:$J$2470,AH$1)</f>
        <v>0</v>
      </c>
      <c r="AI59" s="20">
        <f t="shared" si="1"/>
        <v>0</v>
      </c>
    </row>
    <row r="60" spans="2:35" ht="15.75" x14ac:dyDescent="0.25">
      <c r="B60" s="131" t="s">
        <v>1258</v>
      </c>
      <c r="C60" s="132">
        <v>10</v>
      </c>
      <c r="D60" s="182">
        <f>SUMIFS('июнь 2025'!$G$5:$G$2470,'июнь 2025'!$D$5:$D$2470,$B60,'июнь 2025'!$J$5:$J$2470,D$1)</f>
        <v>0</v>
      </c>
      <c r="E60" s="182">
        <f>SUMIFS('июнь 2025'!$G$5:$G$2470,'июнь 2025'!$D$5:$D$2470,$B60,'июнь 2025'!$J$5:$J$2470,E$1)</f>
        <v>0</v>
      </c>
      <c r="F60" s="182">
        <f>SUMIFS('июнь 2025'!$G$5:$G$2470,'июнь 2025'!$D$5:$D$2470,$B60,'июнь 2025'!$J$5:$J$2470,F$1)</f>
        <v>0</v>
      </c>
      <c r="G60" s="182">
        <f>SUMIFS('июнь 2025'!$G$5:$G$2470,'июнь 2025'!$D$5:$D$2470,$B60,'июнь 2025'!$J$5:$J$2470,G$1)</f>
        <v>0</v>
      </c>
      <c r="H60" s="182">
        <f>SUMIFS('июнь 2025'!$G$5:$G$2470,'июнь 2025'!$D$5:$D$2470,$B60,'июнь 2025'!$J$5:$J$2470,H$1)</f>
        <v>0</v>
      </c>
      <c r="I60" s="182">
        <f>SUMIFS('июнь 2025'!$G$5:$G$2470,'июнь 2025'!$D$5:$D$2470,$B60,'июнь 2025'!$J$5:$J$2470,I$1)</f>
        <v>53</v>
      </c>
      <c r="J60" s="182">
        <f>SUMIFS('июнь 2025'!$G$5:$G$2470,'июнь 2025'!$D$5:$D$2470,$B60,'июнь 2025'!$J$5:$J$2470,J$1)</f>
        <v>0</v>
      </c>
      <c r="K60" s="182">
        <f>SUMIFS('июнь 2025'!$G$5:$G$2470,'июнь 2025'!$D$5:$D$2470,$B60,'июнь 2025'!$J$5:$J$2470,K$1)</f>
        <v>0</v>
      </c>
      <c r="L60" s="182">
        <f>SUMIFS('июнь 2025'!$G$5:$G$2470,'июнь 2025'!$D$5:$D$2470,$B60,'июнь 2025'!$J$5:$J$2470,L$1)</f>
        <v>0</v>
      </c>
      <c r="M60" s="182">
        <f>SUMIFS('июнь 2025'!$G$5:$G$2470,'июнь 2025'!$D$5:$D$2470,$B60,'июнь 2025'!$J$5:$J$2470,M$1)</f>
        <v>0</v>
      </c>
      <c r="N60" s="182">
        <f>SUMIFS('июнь 2025'!$G$5:$G$2470,'июнь 2025'!$D$5:$D$2470,$B60,'июнь 2025'!$J$5:$J$2470,N$1)</f>
        <v>0</v>
      </c>
      <c r="O60" s="182">
        <f>SUMIFS('июнь 2025'!$G$5:$G$2470,'июнь 2025'!$D$5:$D$2470,$B60,'июнь 2025'!$J$5:$J$2470,O$1)</f>
        <v>0</v>
      </c>
      <c r="P60" s="182">
        <f>SUMIFS('июнь 2025'!$G$5:$G$2470,'июнь 2025'!$D$5:$D$2470,$B60,'июнь 2025'!$J$5:$J$2470,P$1)</f>
        <v>0</v>
      </c>
      <c r="Q60" s="182">
        <f>SUMIFS('июнь 2025'!$G$5:$G$2470,'июнь 2025'!$D$5:$D$2470,$B60,'июнь 2025'!$J$5:$J$2470,Q$1)</f>
        <v>0</v>
      </c>
      <c r="R60" s="182">
        <f>SUMIFS('июнь 2025'!$G$5:$G$2470,'июнь 2025'!$D$5:$D$2470,$B60,'июнь 2025'!$J$5:$J$2470,R$1)</f>
        <v>0</v>
      </c>
      <c r="S60" s="182">
        <f>SUMIFS('июнь 2025'!$G$5:$G$2470,'июнь 2025'!$D$5:$D$2470,$B60,'июнь 2025'!$J$5:$J$2470,S$1)</f>
        <v>0</v>
      </c>
      <c r="T60" s="182">
        <f>SUMIFS('июнь 2025'!$G$5:$G$2470,'июнь 2025'!$D$5:$D$2470,$B60,'июнь 2025'!$J$5:$J$2470,T$1)</f>
        <v>0</v>
      </c>
      <c r="U60" s="182">
        <f>SUMIFS('июнь 2025'!$G$5:$G$2470,'июнь 2025'!$D$5:$D$2470,$B60,'июнь 2025'!$J$5:$J$2470,U$1)</f>
        <v>0</v>
      </c>
      <c r="V60" s="182">
        <f>SUMIFS('июнь 2025'!$G$5:$G$2470,'июнь 2025'!$D$5:$D$2470,$B60,'июнь 2025'!$J$5:$J$2470,V$1)</f>
        <v>0</v>
      </c>
      <c r="W60" s="182">
        <f>SUMIFS('июнь 2025'!$G$5:$G$2470,'июнь 2025'!$D$5:$D$2470,$B60,'июнь 2025'!$J$5:$J$2470,W$1)</f>
        <v>0</v>
      </c>
      <c r="X60" s="182">
        <f>SUMIFS('июнь 2025'!$G$5:$G$2470,'июнь 2025'!$D$5:$D$2470,$B60,'июнь 2025'!$J$5:$J$2470,X$1)</f>
        <v>0</v>
      </c>
      <c r="Y60" s="182">
        <f>SUMIFS('июнь 2025'!$G$5:$G$2470,'июнь 2025'!$D$5:$D$2470,$B60,'июнь 2025'!$J$5:$J$2470,Y$1)</f>
        <v>0</v>
      </c>
      <c r="Z60" s="182">
        <f>SUMIFS('июнь 2025'!$G$5:$G$2470,'июнь 2025'!$D$5:$D$2470,$B60,'июнь 2025'!$J$5:$J$2470,Z$1)</f>
        <v>0</v>
      </c>
      <c r="AA60" s="182">
        <f>SUMIFS('июнь 2025'!$G$5:$G$2470,'июнь 2025'!$D$5:$D$2470,$B60,'июнь 2025'!$J$5:$J$2470,AA$1)</f>
        <v>0</v>
      </c>
      <c r="AB60" s="182">
        <f>SUMIFS('июнь 2025'!$G$5:$G$2470,'июнь 2025'!$D$5:$D$2470,$B60,'июнь 2025'!$J$5:$J$2470,AB$1)</f>
        <v>0</v>
      </c>
      <c r="AC60" s="182">
        <f>SUMIFS('июнь 2025'!$G$5:$G$2470,'июнь 2025'!$D$5:$D$2470,$B60,'июнь 2025'!$J$5:$J$2470,AC$1)</f>
        <v>0</v>
      </c>
      <c r="AD60" s="182">
        <f>SUMIFS('июнь 2025'!$G$5:$G$2470,'июнь 2025'!$D$5:$D$2470,$B60,'июнь 2025'!$J$5:$J$2470,AD$1)</f>
        <v>0</v>
      </c>
      <c r="AE60" s="182">
        <f>SUMIFS('июнь 2025'!$G$5:$G$2470,'июнь 2025'!$D$5:$D$2470,$B60,'июнь 2025'!$J$5:$J$2470,AE$1)</f>
        <v>0</v>
      </c>
      <c r="AF60" s="182">
        <f>SUMIFS('июнь 2025'!$G$5:$G$2470,'июнь 2025'!$D$5:$D$2470,$B60,'июнь 2025'!$J$5:$J$2470,AF$1)</f>
        <v>0</v>
      </c>
      <c r="AG60" s="182">
        <f>SUMIFS('июнь 2025'!$G$5:$G$2470,'июнь 2025'!$D$5:$D$2470,$B60,'июнь 2025'!$J$5:$J$2470,AG$1)</f>
        <v>0</v>
      </c>
      <c r="AH60" s="182">
        <f>SUMIFS('июнь 2025'!$G$5:$G$2470,'июнь 2025'!$D$5:$D$2470,$B60,'июнь 2025'!$J$5:$J$2470,AH$1)</f>
        <v>0</v>
      </c>
      <c r="AI60" s="20">
        <f t="shared" si="1"/>
        <v>53</v>
      </c>
    </row>
    <row r="61" spans="2:35" ht="15" customHeight="1" x14ac:dyDescent="0.25">
      <c r="B61" s="131" t="s">
        <v>1259</v>
      </c>
      <c r="C61" s="132">
        <v>10</v>
      </c>
      <c r="D61" s="182">
        <f>SUMIFS('июнь 2025'!$G$5:$G$2470,'июнь 2025'!$D$5:$D$2470,$B61,'июнь 2025'!$J$5:$J$2470,D$1)</f>
        <v>0</v>
      </c>
      <c r="E61" s="182">
        <f>SUMIFS('июнь 2025'!$G$5:$G$2470,'июнь 2025'!$D$5:$D$2470,$B61,'июнь 2025'!$J$5:$J$2470,E$1)</f>
        <v>0</v>
      </c>
      <c r="F61" s="182">
        <f>SUMIFS('июнь 2025'!$G$5:$G$2470,'июнь 2025'!$D$5:$D$2470,$B61,'июнь 2025'!$J$5:$J$2470,F$1)</f>
        <v>0</v>
      </c>
      <c r="G61" s="182">
        <f>SUMIFS('июнь 2025'!$G$5:$G$2470,'июнь 2025'!$D$5:$D$2470,$B61,'июнь 2025'!$J$5:$J$2470,G$1)</f>
        <v>0</v>
      </c>
      <c r="H61" s="182">
        <f>SUMIFS('июнь 2025'!$G$5:$G$2470,'июнь 2025'!$D$5:$D$2470,$B61,'июнь 2025'!$J$5:$J$2470,H$1)</f>
        <v>0</v>
      </c>
      <c r="I61" s="182">
        <f>SUMIFS('июнь 2025'!$G$5:$G$2470,'июнь 2025'!$D$5:$D$2470,$B61,'июнь 2025'!$J$5:$J$2470,I$1)</f>
        <v>226</v>
      </c>
      <c r="J61" s="182">
        <f>SUMIFS('июнь 2025'!$G$5:$G$2470,'июнь 2025'!$D$5:$D$2470,$B61,'июнь 2025'!$J$5:$J$2470,J$1)</f>
        <v>0</v>
      </c>
      <c r="K61" s="182">
        <f>SUMIFS('июнь 2025'!$G$5:$G$2470,'июнь 2025'!$D$5:$D$2470,$B61,'июнь 2025'!$J$5:$J$2470,K$1)</f>
        <v>0</v>
      </c>
      <c r="L61" s="182">
        <f>SUMIFS('июнь 2025'!$G$5:$G$2470,'июнь 2025'!$D$5:$D$2470,$B61,'июнь 2025'!$J$5:$J$2470,L$1)</f>
        <v>0</v>
      </c>
      <c r="M61" s="182">
        <f>SUMIFS('июнь 2025'!$G$5:$G$2470,'июнь 2025'!$D$5:$D$2470,$B61,'июнь 2025'!$J$5:$J$2470,M$1)</f>
        <v>0</v>
      </c>
      <c r="N61" s="182">
        <f>SUMIFS('июнь 2025'!$G$5:$G$2470,'июнь 2025'!$D$5:$D$2470,$B61,'июнь 2025'!$J$5:$J$2470,N$1)</f>
        <v>0</v>
      </c>
      <c r="O61" s="182">
        <f>SUMIFS('июнь 2025'!$G$5:$G$2470,'июнь 2025'!$D$5:$D$2470,$B61,'июнь 2025'!$J$5:$J$2470,O$1)</f>
        <v>0</v>
      </c>
      <c r="P61" s="182">
        <f>SUMIFS('июнь 2025'!$G$5:$G$2470,'июнь 2025'!$D$5:$D$2470,$B61,'июнь 2025'!$J$5:$J$2470,P$1)</f>
        <v>0</v>
      </c>
      <c r="Q61" s="182">
        <f>SUMIFS('июнь 2025'!$G$5:$G$2470,'июнь 2025'!$D$5:$D$2470,$B61,'июнь 2025'!$J$5:$J$2470,Q$1)</f>
        <v>0</v>
      </c>
      <c r="R61" s="182">
        <f>SUMIFS('июнь 2025'!$G$5:$G$2470,'июнь 2025'!$D$5:$D$2470,$B61,'июнь 2025'!$J$5:$J$2470,R$1)</f>
        <v>0</v>
      </c>
      <c r="S61" s="182">
        <f>SUMIFS('июнь 2025'!$G$5:$G$2470,'июнь 2025'!$D$5:$D$2470,$B61,'июнь 2025'!$J$5:$J$2470,S$1)</f>
        <v>0</v>
      </c>
      <c r="T61" s="182">
        <f>SUMIFS('июнь 2025'!$G$5:$G$2470,'июнь 2025'!$D$5:$D$2470,$B61,'июнь 2025'!$J$5:$J$2470,T$1)</f>
        <v>0</v>
      </c>
      <c r="U61" s="182">
        <f>SUMIFS('июнь 2025'!$G$5:$G$2470,'июнь 2025'!$D$5:$D$2470,$B61,'июнь 2025'!$J$5:$J$2470,U$1)</f>
        <v>0</v>
      </c>
      <c r="V61" s="182">
        <f>SUMIFS('июнь 2025'!$G$5:$G$2470,'июнь 2025'!$D$5:$D$2470,$B61,'июнь 2025'!$J$5:$J$2470,V$1)</f>
        <v>0</v>
      </c>
      <c r="W61" s="182">
        <f>SUMIFS('июнь 2025'!$G$5:$G$2470,'июнь 2025'!$D$5:$D$2470,$B61,'июнь 2025'!$J$5:$J$2470,W$1)</f>
        <v>0</v>
      </c>
      <c r="X61" s="182">
        <f>SUMIFS('июнь 2025'!$G$5:$G$2470,'июнь 2025'!$D$5:$D$2470,$B61,'июнь 2025'!$J$5:$J$2470,X$1)</f>
        <v>0</v>
      </c>
      <c r="Y61" s="182">
        <f>SUMIFS('июнь 2025'!$G$5:$G$2470,'июнь 2025'!$D$5:$D$2470,$B61,'июнь 2025'!$J$5:$J$2470,Y$1)</f>
        <v>0</v>
      </c>
      <c r="Z61" s="182">
        <f>SUMIFS('июнь 2025'!$G$5:$G$2470,'июнь 2025'!$D$5:$D$2470,$B61,'июнь 2025'!$J$5:$J$2470,Z$1)</f>
        <v>0</v>
      </c>
      <c r="AA61" s="182">
        <f>SUMIFS('июнь 2025'!$G$5:$G$2470,'июнь 2025'!$D$5:$D$2470,$B61,'июнь 2025'!$J$5:$J$2470,AA$1)</f>
        <v>0</v>
      </c>
      <c r="AB61" s="182">
        <f>SUMIFS('июнь 2025'!$G$5:$G$2470,'июнь 2025'!$D$5:$D$2470,$B61,'июнь 2025'!$J$5:$J$2470,AB$1)</f>
        <v>0</v>
      </c>
      <c r="AC61" s="182">
        <f>SUMIFS('июнь 2025'!$G$5:$G$2470,'июнь 2025'!$D$5:$D$2470,$B61,'июнь 2025'!$J$5:$J$2470,AC$1)</f>
        <v>0</v>
      </c>
      <c r="AD61" s="182">
        <f>SUMIFS('июнь 2025'!$G$5:$G$2470,'июнь 2025'!$D$5:$D$2470,$B61,'июнь 2025'!$J$5:$J$2470,AD$1)</f>
        <v>0</v>
      </c>
      <c r="AE61" s="182">
        <f>SUMIFS('июнь 2025'!$G$5:$G$2470,'июнь 2025'!$D$5:$D$2470,$B61,'июнь 2025'!$J$5:$J$2470,AE$1)</f>
        <v>0</v>
      </c>
      <c r="AF61" s="182">
        <f>SUMIFS('июнь 2025'!$G$5:$G$2470,'июнь 2025'!$D$5:$D$2470,$B61,'июнь 2025'!$J$5:$J$2470,AF$1)</f>
        <v>0</v>
      </c>
      <c r="AG61" s="182">
        <f>SUMIFS('июнь 2025'!$G$5:$G$2470,'июнь 2025'!$D$5:$D$2470,$B61,'июнь 2025'!$J$5:$J$2470,AG$1)</f>
        <v>0</v>
      </c>
      <c r="AH61" s="182">
        <f>SUMIFS('июнь 2025'!$G$5:$G$2470,'июнь 2025'!$D$5:$D$2470,$B61,'июнь 2025'!$J$5:$J$2470,AH$1)</f>
        <v>0</v>
      </c>
      <c r="AI61" s="20">
        <f t="shared" si="1"/>
        <v>226</v>
      </c>
    </row>
    <row r="62" spans="2:35" ht="15" customHeight="1" x14ac:dyDescent="0.25">
      <c r="B62" s="136" t="s">
        <v>1260</v>
      </c>
      <c r="C62" s="132">
        <v>10</v>
      </c>
      <c r="D62" s="182">
        <f>SUMIFS('июнь 2025'!$G$5:$G$2470,'июнь 2025'!$D$5:$D$2470,$B62,'июнь 2025'!$J$5:$J$2470,D$1)</f>
        <v>0</v>
      </c>
      <c r="E62" s="182">
        <f>SUMIFS('июнь 2025'!$G$5:$G$2470,'июнь 2025'!$D$5:$D$2470,$B62,'июнь 2025'!$J$5:$J$2470,E$1)</f>
        <v>0</v>
      </c>
      <c r="F62" s="182">
        <f>SUMIFS('июнь 2025'!$G$5:$G$2470,'июнь 2025'!$D$5:$D$2470,$B62,'июнь 2025'!$J$5:$J$2470,F$1)</f>
        <v>0</v>
      </c>
      <c r="G62" s="182">
        <f>SUMIFS('июнь 2025'!$G$5:$G$2470,'июнь 2025'!$D$5:$D$2470,$B62,'июнь 2025'!$J$5:$J$2470,G$1)</f>
        <v>0</v>
      </c>
      <c r="H62" s="182">
        <f>SUMIFS('июнь 2025'!$G$5:$G$2470,'июнь 2025'!$D$5:$D$2470,$B62,'июнь 2025'!$J$5:$J$2470,H$1)</f>
        <v>0</v>
      </c>
      <c r="I62" s="182">
        <f>SUMIFS('июнь 2025'!$G$5:$G$2470,'июнь 2025'!$D$5:$D$2470,$B62,'июнь 2025'!$J$5:$J$2470,I$1)</f>
        <v>85</v>
      </c>
      <c r="J62" s="182">
        <f>SUMIFS('июнь 2025'!$G$5:$G$2470,'июнь 2025'!$D$5:$D$2470,$B62,'июнь 2025'!$J$5:$J$2470,J$1)</f>
        <v>0</v>
      </c>
      <c r="K62" s="182">
        <f>SUMIFS('июнь 2025'!$G$5:$G$2470,'июнь 2025'!$D$5:$D$2470,$B62,'июнь 2025'!$J$5:$J$2470,K$1)</f>
        <v>0</v>
      </c>
      <c r="L62" s="182">
        <f>SUMIFS('июнь 2025'!$G$5:$G$2470,'июнь 2025'!$D$5:$D$2470,$B62,'июнь 2025'!$J$5:$J$2470,L$1)</f>
        <v>0</v>
      </c>
      <c r="M62" s="182">
        <f>SUMIFS('июнь 2025'!$G$5:$G$2470,'июнь 2025'!$D$5:$D$2470,$B62,'июнь 2025'!$J$5:$J$2470,M$1)</f>
        <v>0</v>
      </c>
      <c r="N62" s="182">
        <f>SUMIFS('июнь 2025'!$G$5:$G$2470,'июнь 2025'!$D$5:$D$2470,$B62,'июнь 2025'!$J$5:$J$2470,N$1)</f>
        <v>0</v>
      </c>
      <c r="O62" s="182">
        <f>SUMIFS('июнь 2025'!$G$5:$G$2470,'июнь 2025'!$D$5:$D$2470,$B62,'июнь 2025'!$J$5:$J$2470,O$1)</f>
        <v>0</v>
      </c>
      <c r="P62" s="182">
        <f>SUMIFS('июнь 2025'!$G$5:$G$2470,'июнь 2025'!$D$5:$D$2470,$B62,'июнь 2025'!$J$5:$J$2470,P$1)</f>
        <v>0</v>
      </c>
      <c r="Q62" s="182">
        <f>SUMIFS('июнь 2025'!$G$5:$G$2470,'июнь 2025'!$D$5:$D$2470,$B62,'июнь 2025'!$J$5:$J$2470,Q$1)</f>
        <v>0</v>
      </c>
      <c r="R62" s="182">
        <f>SUMIFS('июнь 2025'!$G$5:$G$2470,'июнь 2025'!$D$5:$D$2470,$B62,'июнь 2025'!$J$5:$J$2470,R$1)</f>
        <v>0</v>
      </c>
      <c r="S62" s="182">
        <f>SUMIFS('июнь 2025'!$G$5:$G$2470,'июнь 2025'!$D$5:$D$2470,$B62,'июнь 2025'!$J$5:$J$2470,S$1)</f>
        <v>0</v>
      </c>
      <c r="T62" s="182">
        <f>SUMIFS('июнь 2025'!$G$5:$G$2470,'июнь 2025'!$D$5:$D$2470,$B62,'июнь 2025'!$J$5:$J$2470,T$1)</f>
        <v>0</v>
      </c>
      <c r="U62" s="182">
        <f>SUMIFS('июнь 2025'!$G$5:$G$2470,'июнь 2025'!$D$5:$D$2470,$B62,'июнь 2025'!$J$5:$J$2470,U$1)</f>
        <v>0</v>
      </c>
      <c r="V62" s="182">
        <f>SUMIFS('июнь 2025'!$G$5:$G$2470,'июнь 2025'!$D$5:$D$2470,$B62,'июнь 2025'!$J$5:$J$2470,V$1)</f>
        <v>0</v>
      </c>
      <c r="W62" s="182">
        <f>SUMIFS('июнь 2025'!$G$5:$G$2470,'июнь 2025'!$D$5:$D$2470,$B62,'июнь 2025'!$J$5:$J$2470,W$1)</f>
        <v>0</v>
      </c>
      <c r="X62" s="182">
        <f>SUMIFS('июнь 2025'!$G$5:$G$2470,'июнь 2025'!$D$5:$D$2470,$B62,'июнь 2025'!$J$5:$J$2470,X$1)</f>
        <v>0</v>
      </c>
      <c r="Y62" s="182">
        <f>SUMIFS('июнь 2025'!$G$5:$G$2470,'июнь 2025'!$D$5:$D$2470,$B62,'июнь 2025'!$J$5:$J$2470,Y$1)</f>
        <v>0</v>
      </c>
      <c r="Z62" s="182">
        <f>SUMIFS('июнь 2025'!$G$5:$G$2470,'июнь 2025'!$D$5:$D$2470,$B62,'июнь 2025'!$J$5:$J$2470,Z$1)</f>
        <v>0</v>
      </c>
      <c r="AA62" s="182">
        <f>SUMIFS('июнь 2025'!$G$5:$G$2470,'июнь 2025'!$D$5:$D$2470,$B62,'июнь 2025'!$J$5:$J$2470,AA$1)</f>
        <v>0</v>
      </c>
      <c r="AB62" s="182">
        <f>SUMIFS('июнь 2025'!$G$5:$G$2470,'июнь 2025'!$D$5:$D$2470,$B62,'июнь 2025'!$J$5:$J$2470,AB$1)</f>
        <v>0</v>
      </c>
      <c r="AC62" s="182">
        <f>SUMIFS('июнь 2025'!$G$5:$G$2470,'июнь 2025'!$D$5:$D$2470,$B62,'июнь 2025'!$J$5:$J$2470,AC$1)</f>
        <v>0</v>
      </c>
      <c r="AD62" s="182">
        <f>SUMIFS('июнь 2025'!$G$5:$G$2470,'июнь 2025'!$D$5:$D$2470,$B62,'июнь 2025'!$J$5:$J$2470,AD$1)</f>
        <v>0</v>
      </c>
      <c r="AE62" s="182">
        <f>SUMIFS('июнь 2025'!$G$5:$G$2470,'июнь 2025'!$D$5:$D$2470,$B62,'июнь 2025'!$J$5:$J$2470,AE$1)</f>
        <v>0</v>
      </c>
      <c r="AF62" s="182">
        <f>SUMIFS('июнь 2025'!$G$5:$G$2470,'июнь 2025'!$D$5:$D$2470,$B62,'июнь 2025'!$J$5:$J$2470,AF$1)</f>
        <v>0</v>
      </c>
      <c r="AG62" s="182">
        <f>SUMIFS('июнь 2025'!$G$5:$G$2470,'июнь 2025'!$D$5:$D$2470,$B62,'июнь 2025'!$J$5:$J$2470,AG$1)</f>
        <v>0</v>
      </c>
      <c r="AH62" s="182">
        <f>SUMIFS('июнь 2025'!$G$5:$G$2470,'июнь 2025'!$D$5:$D$2470,$B62,'июнь 2025'!$J$5:$J$2470,AH$1)</f>
        <v>0</v>
      </c>
      <c r="AI62" s="20">
        <f t="shared" si="1"/>
        <v>85</v>
      </c>
    </row>
    <row r="63" spans="2:35" ht="15" customHeight="1" x14ac:dyDescent="0.25">
      <c r="B63" s="136" t="s">
        <v>1261</v>
      </c>
      <c r="C63" s="132">
        <v>10</v>
      </c>
      <c r="D63" s="182">
        <f>SUMIFS('июнь 2025'!$G$5:$G$2470,'июнь 2025'!$D$5:$D$2470,$B63,'июнь 2025'!$J$5:$J$2470,D$1)</f>
        <v>0</v>
      </c>
      <c r="E63" s="182">
        <f>SUMIFS('июнь 2025'!$G$5:$G$2470,'июнь 2025'!$D$5:$D$2470,$B63,'июнь 2025'!$J$5:$J$2470,E$1)</f>
        <v>0</v>
      </c>
      <c r="F63" s="182">
        <f>SUMIFS('июнь 2025'!$G$5:$G$2470,'июнь 2025'!$D$5:$D$2470,$B63,'июнь 2025'!$J$5:$J$2470,F$1)</f>
        <v>0</v>
      </c>
      <c r="G63" s="182">
        <f>SUMIFS('июнь 2025'!$G$5:$G$2470,'июнь 2025'!$D$5:$D$2470,$B63,'июнь 2025'!$J$5:$J$2470,G$1)</f>
        <v>0</v>
      </c>
      <c r="H63" s="182">
        <f>SUMIFS('июнь 2025'!$G$5:$G$2470,'июнь 2025'!$D$5:$D$2470,$B63,'июнь 2025'!$J$5:$J$2470,H$1)</f>
        <v>0</v>
      </c>
      <c r="I63" s="182">
        <f>SUMIFS('июнь 2025'!$G$5:$G$2470,'июнь 2025'!$D$5:$D$2470,$B63,'июнь 2025'!$J$5:$J$2470,I$1)</f>
        <v>59</v>
      </c>
      <c r="J63" s="182">
        <f>SUMIFS('июнь 2025'!$G$5:$G$2470,'июнь 2025'!$D$5:$D$2470,$B63,'июнь 2025'!$J$5:$J$2470,J$1)</f>
        <v>0</v>
      </c>
      <c r="K63" s="182">
        <f>SUMIFS('июнь 2025'!$G$5:$G$2470,'июнь 2025'!$D$5:$D$2470,$B63,'июнь 2025'!$J$5:$J$2470,K$1)</f>
        <v>0</v>
      </c>
      <c r="L63" s="182">
        <f>SUMIFS('июнь 2025'!$G$5:$G$2470,'июнь 2025'!$D$5:$D$2470,$B63,'июнь 2025'!$J$5:$J$2470,L$1)</f>
        <v>0</v>
      </c>
      <c r="M63" s="182">
        <f>SUMIFS('июнь 2025'!$G$5:$G$2470,'июнь 2025'!$D$5:$D$2470,$B63,'июнь 2025'!$J$5:$J$2470,M$1)</f>
        <v>0</v>
      </c>
      <c r="N63" s="182">
        <f>SUMIFS('июнь 2025'!$G$5:$G$2470,'июнь 2025'!$D$5:$D$2470,$B63,'июнь 2025'!$J$5:$J$2470,N$1)</f>
        <v>0</v>
      </c>
      <c r="O63" s="182">
        <f>SUMIFS('июнь 2025'!$G$5:$G$2470,'июнь 2025'!$D$5:$D$2470,$B63,'июнь 2025'!$J$5:$J$2470,O$1)</f>
        <v>0</v>
      </c>
      <c r="P63" s="182">
        <f>SUMIFS('июнь 2025'!$G$5:$G$2470,'июнь 2025'!$D$5:$D$2470,$B63,'июнь 2025'!$J$5:$J$2470,P$1)</f>
        <v>0</v>
      </c>
      <c r="Q63" s="182">
        <f>SUMIFS('июнь 2025'!$G$5:$G$2470,'июнь 2025'!$D$5:$D$2470,$B63,'июнь 2025'!$J$5:$J$2470,Q$1)</f>
        <v>0</v>
      </c>
      <c r="R63" s="182">
        <f>SUMIFS('июнь 2025'!$G$5:$G$2470,'июнь 2025'!$D$5:$D$2470,$B63,'июнь 2025'!$J$5:$J$2470,R$1)</f>
        <v>0</v>
      </c>
      <c r="S63" s="182">
        <f>SUMIFS('июнь 2025'!$G$5:$G$2470,'июнь 2025'!$D$5:$D$2470,$B63,'июнь 2025'!$J$5:$J$2470,S$1)</f>
        <v>0</v>
      </c>
      <c r="T63" s="182">
        <f>SUMIFS('июнь 2025'!$G$5:$G$2470,'июнь 2025'!$D$5:$D$2470,$B63,'июнь 2025'!$J$5:$J$2470,T$1)</f>
        <v>0</v>
      </c>
      <c r="U63" s="182">
        <f>SUMIFS('июнь 2025'!$G$5:$G$2470,'июнь 2025'!$D$5:$D$2470,$B63,'июнь 2025'!$J$5:$J$2470,U$1)</f>
        <v>0</v>
      </c>
      <c r="V63" s="182">
        <f>SUMIFS('июнь 2025'!$G$5:$G$2470,'июнь 2025'!$D$5:$D$2470,$B63,'июнь 2025'!$J$5:$J$2470,V$1)</f>
        <v>0</v>
      </c>
      <c r="W63" s="182">
        <f>SUMIFS('июнь 2025'!$G$5:$G$2470,'июнь 2025'!$D$5:$D$2470,$B63,'июнь 2025'!$J$5:$J$2470,W$1)</f>
        <v>0</v>
      </c>
      <c r="X63" s="182">
        <f>SUMIFS('июнь 2025'!$G$5:$G$2470,'июнь 2025'!$D$5:$D$2470,$B63,'июнь 2025'!$J$5:$J$2470,X$1)</f>
        <v>0</v>
      </c>
      <c r="Y63" s="182">
        <f>SUMIFS('июнь 2025'!$G$5:$G$2470,'июнь 2025'!$D$5:$D$2470,$B63,'июнь 2025'!$J$5:$J$2470,Y$1)</f>
        <v>0</v>
      </c>
      <c r="Z63" s="182">
        <f>SUMIFS('июнь 2025'!$G$5:$G$2470,'июнь 2025'!$D$5:$D$2470,$B63,'июнь 2025'!$J$5:$J$2470,Z$1)</f>
        <v>0</v>
      </c>
      <c r="AA63" s="182">
        <f>SUMIFS('июнь 2025'!$G$5:$G$2470,'июнь 2025'!$D$5:$D$2470,$B63,'июнь 2025'!$J$5:$J$2470,AA$1)</f>
        <v>0</v>
      </c>
      <c r="AB63" s="182">
        <f>SUMIFS('июнь 2025'!$G$5:$G$2470,'июнь 2025'!$D$5:$D$2470,$B63,'июнь 2025'!$J$5:$J$2470,AB$1)</f>
        <v>0</v>
      </c>
      <c r="AC63" s="182">
        <f>SUMIFS('июнь 2025'!$G$5:$G$2470,'июнь 2025'!$D$5:$D$2470,$B63,'июнь 2025'!$J$5:$J$2470,AC$1)</f>
        <v>0</v>
      </c>
      <c r="AD63" s="182">
        <f>SUMIFS('июнь 2025'!$G$5:$G$2470,'июнь 2025'!$D$5:$D$2470,$B63,'июнь 2025'!$J$5:$J$2470,AD$1)</f>
        <v>0</v>
      </c>
      <c r="AE63" s="182">
        <f>SUMIFS('июнь 2025'!$G$5:$G$2470,'июнь 2025'!$D$5:$D$2470,$B63,'июнь 2025'!$J$5:$J$2470,AE$1)</f>
        <v>0</v>
      </c>
      <c r="AF63" s="182">
        <f>SUMIFS('июнь 2025'!$G$5:$G$2470,'июнь 2025'!$D$5:$D$2470,$B63,'июнь 2025'!$J$5:$J$2470,AF$1)</f>
        <v>0</v>
      </c>
      <c r="AG63" s="182">
        <f>SUMIFS('июнь 2025'!$G$5:$G$2470,'июнь 2025'!$D$5:$D$2470,$B63,'июнь 2025'!$J$5:$J$2470,AG$1)</f>
        <v>0</v>
      </c>
      <c r="AH63" s="182">
        <f>SUMIFS('июнь 2025'!$G$5:$G$2470,'июнь 2025'!$D$5:$D$2470,$B63,'июнь 2025'!$J$5:$J$2470,AH$1)</f>
        <v>0</v>
      </c>
      <c r="AI63" s="20">
        <f t="shared" si="1"/>
        <v>59</v>
      </c>
    </row>
    <row r="64" spans="2:35" ht="15" customHeight="1" x14ac:dyDescent="0.25">
      <c r="B64" s="136"/>
      <c r="C64" s="132"/>
      <c r="D64" s="182">
        <f>SUMIFS('июнь 2025'!$G$5:$G$2470,'июнь 2025'!$D$5:$D$2470,$B64,'июнь 2025'!$J$5:$J$2470,D$1)</f>
        <v>0</v>
      </c>
      <c r="E64" s="182">
        <f>SUMIFS('июнь 2025'!$G$5:$G$2470,'июнь 2025'!$D$5:$D$2470,$B64,'июнь 2025'!$J$5:$J$2470,E$1)</f>
        <v>0</v>
      </c>
      <c r="F64" s="182">
        <f>SUMIFS('июнь 2025'!$G$5:$G$2470,'июнь 2025'!$D$5:$D$2470,$B64,'июнь 2025'!$J$5:$J$2470,F$1)</f>
        <v>0</v>
      </c>
      <c r="G64" s="182">
        <f>SUMIFS('июнь 2025'!$G$5:$G$2470,'июнь 2025'!$D$5:$D$2470,$B64,'июнь 2025'!$J$5:$J$2470,G$1)</f>
        <v>0</v>
      </c>
      <c r="H64" s="182">
        <f>SUMIFS('июнь 2025'!$G$5:$G$2470,'июнь 2025'!$D$5:$D$2470,$B64,'июнь 2025'!$J$5:$J$2470,H$1)</f>
        <v>0</v>
      </c>
      <c r="I64" s="182">
        <f>SUMIFS('июнь 2025'!$G$5:$G$2470,'июнь 2025'!$D$5:$D$2470,$B64,'июнь 2025'!$J$5:$J$2470,I$1)</f>
        <v>0</v>
      </c>
      <c r="J64" s="182">
        <f>SUMIFS('июнь 2025'!$G$5:$G$2470,'июнь 2025'!$D$5:$D$2470,$B64,'июнь 2025'!$J$5:$J$2470,J$1)</f>
        <v>0</v>
      </c>
      <c r="K64" s="182">
        <f>SUMIFS('июнь 2025'!$G$5:$G$2470,'июнь 2025'!$D$5:$D$2470,$B64,'июнь 2025'!$J$5:$J$2470,K$1)</f>
        <v>0</v>
      </c>
      <c r="L64" s="182">
        <f>SUMIFS('июнь 2025'!$G$5:$G$2470,'июнь 2025'!$D$5:$D$2470,$B64,'июнь 2025'!$J$5:$J$2470,L$1)</f>
        <v>0</v>
      </c>
      <c r="M64" s="182">
        <f>SUMIFS('июнь 2025'!$G$5:$G$2470,'июнь 2025'!$D$5:$D$2470,$B64,'июнь 2025'!$J$5:$J$2470,M$1)</f>
        <v>0</v>
      </c>
      <c r="N64" s="182">
        <f>SUMIFS('июнь 2025'!$G$5:$G$2470,'июнь 2025'!$D$5:$D$2470,$B64,'июнь 2025'!$J$5:$J$2470,N$1)</f>
        <v>0</v>
      </c>
      <c r="O64" s="182">
        <f>SUMIFS('июнь 2025'!$G$5:$G$2470,'июнь 2025'!$D$5:$D$2470,$B64,'июнь 2025'!$J$5:$J$2470,O$1)</f>
        <v>0</v>
      </c>
      <c r="P64" s="182">
        <f>SUMIFS('июнь 2025'!$G$5:$G$2470,'июнь 2025'!$D$5:$D$2470,$B64,'июнь 2025'!$J$5:$J$2470,P$1)</f>
        <v>0</v>
      </c>
      <c r="Q64" s="182">
        <f>SUMIFS('июнь 2025'!$G$5:$G$2470,'июнь 2025'!$D$5:$D$2470,$B64,'июнь 2025'!$J$5:$J$2470,Q$1)</f>
        <v>0</v>
      </c>
      <c r="R64" s="182">
        <f>SUMIFS('июнь 2025'!$G$5:$G$2470,'июнь 2025'!$D$5:$D$2470,$B64,'июнь 2025'!$J$5:$J$2470,R$1)</f>
        <v>0</v>
      </c>
      <c r="S64" s="182">
        <f>SUMIFS('июнь 2025'!$G$5:$G$2470,'июнь 2025'!$D$5:$D$2470,$B64,'июнь 2025'!$J$5:$J$2470,S$1)</f>
        <v>0</v>
      </c>
      <c r="T64" s="182">
        <f>SUMIFS('июнь 2025'!$G$5:$G$2470,'июнь 2025'!$D$5:$D$2470,$B64,'июнь 2025'!$J$5:$J$2470,T$1)</f>
        <v>0</v>
      </c>
      <c r="U64" s="182">
        <f>SUMIFS('июнь 2025'!$G$5:$G$2470,'июнь 2025'!$D$5:$D$2470,$B64,'июнь 2025'!$J$5:$J$2470,U$1)</f>
        <v>0</v>
      </c>
      <c r="V64" s="182">
        <f>SUMIFS('июнь 2025'!$G$5:$G$2470,'июнь 2025'!$D$5:$D$2470,$B64,'июнь 2025'!$J$5:$J$2470,V$1)</f>
        <v>0</v>
      </c>
      <c r="W64" s="182">
        <f>SUMIFS('июнь 2025'!$G$5:$G$2470,'июнь 2025'!$D$5:$D$2470,$B64,'июнь 2025'!$J$5:$J$2470,W$1)</f>
        <v>0</v>
      </c>
      <c r="X64" s="182">
        <f>SUMIFS('июнь 2025'!$G$5:$G$2470,'июнь 2025'!$D$5:$D$2470,$B64,'июнь 2025'!$J$5:$J$2470,X$1)</f>
        <v>0</v>
      </c>
      <c r="Y64" s="182">
        <f>SUMIFS('июнь 2025'!$G$5:$G$2470,'июнь 2025'!$D$5:$D$2470,$B64,'июнь 2025'!$J$5:$J$2470,Y$1)</f>
        <v>0</v>
      </c>
      <c r="Z64" s="182">
        <f>SUMIFS('июнь 2025'!$G$5:$G$2470,'июнь 2025'!$D$5:$D$2470,$B64,'июнь 2025'!$J$5:$J$2470,Z$1)</f>
        <v>0</v>
      </c>
      <c r="AA64" s="182">
        <f>SUMIFS('июнь 2025'!$G$5:$G$2470,'июнь 2025'!$D$5:$D$2470,$B64,'июнь 2025'!$J$5:$J$2470,AA$1)</f>
        <v>0</v>
      </c>
      <c r="AB64" s="182">
        <f>SUMIFS('июнь 2025'!$G$5:$G$2470,'июнь 2025'!$D$5:$D$2470,$B64,'июнь 2025'!$J$5:$J$2470,AB$1)</f>
        <v>0</v>
      </c>
      <c r="AC64" s="182">
        <f>SUMIFS('июнь 2025'!$G$5:$G$2470,'июнь 2025'!$D$5:$D$2470,$B64,'июнь 2025'!$J$5:$J$2470,AC$1)</f>
        <v>0</v>
      </c>
      <c r="AD64" s="182">
        <f>SUMIFS('июнь 2025'!$G$5:$G$2470,'июнь 2025'!$D$5:$D$2470,$B64,'июнь 2025'!$J$5:$J$2470,AD$1)</f>
        <v>0</v>
      </c>
      <c r="AE64" s="182">
        <f>SUMIFS('июнь 2025'!$G$5:$G$2470,'июнь 2025'!$D$5:$D$2470,$B64,'июнь 2025'!$J$5:$J$2470,AE$1)</f>
        <v>0</v>
      </c>
      <c r="AF64" s="182">
        <f>SUMIFS('июнь 2025'!$G$5:$G$2470,'июнь 2025'!$D$5:$D$2470,$B64,'июнь 2025'!$J$5:$J$2470,AF$1)</f>
        <v>0</v>
      </c>
      <c r="AG64" s="182">
        <f>SUMIFS('июнь 2025'!$G$5:$G$2470,'июнь 2025'!$D$5:$D$2470,$B64,'июнь 2025'!$J$5:$J$2470,AG$1)</f>
        <v>0</v>
      </c>
      <c r="AH64" s="182">
        <f>SUMIFS('июнь 2025'!$G$5:$G$2470,'июнь 2025'!$D$5:$D$2470,$B64,'июнь 2025'!$J$5:$J$2470,AH$1)</f>
        <v>0</v>
      </c>
      <c r="AI64" s="20">
        <f t="shared" si="1"/>
        <v>0</v>
      </c>
    </row>
    <row r="65" spans="2:35" ht="15" customHeight="1" x14ac:dyDescent="0.25">
      <c r="B65" s="87" t="s">
        <v>160</v>
      </c>
      <c r="C65" s="86">
        <v>200</v>
      </c>
      <c r="D65" s="183">
        <f>SUMIFS('июнь 2025'!$G$5:$G$2470,'июнь 2025'!$D$5:$D$2470,$B65,'июнь 2025'!$J$5:$J$2470,D$1)</f>
        <v>0</v>
      </c>
      <c r="E65" s="183">
        <f>SUMIFS('июнь 2025'!$G$5:$G$2470,'июнь 2025'!$D$5:$D$2470,$B65,'июнь 2025'!$J$5:$J$2470,E$1)</f>
        <v>0</v>
      </c>
      <c r="F65" s="183">
        <f>SUMIFS('июнь 2025'!$G$5:$G$2470,'июнь 2025'!$D$5:$D$2470,$B65,'июнь 2025'!$J$5:$J$2470,F$1)</f>
        <v>0</v>
      </c>
      <c r="G65" s="183">
        <f>SUMIFS('июнь 2025'!$G$5:$G$2470,'июнь 2025'!$D$5:$D$2470,$B65,'июнь 2025'!$J$5:$J$2470,G$1)</f>
        <v>0</v>
      </c>
      <c r="H65" s="183">
        <f>SUMIFS('июнь 2025'!$G$5:$G$2470,'июнь 2025'!$D$5:$D$2470,$B65,'июнь 2025'!$J$5:$J$2470,H$1)</f>
        <v>0</v>
      </c>
      <c r="I65" s="183">
        <f>SUMIFS('июнь 2025'!$G$5:$G$2470,'июнь 2025'!$D$5:$D$2470,$B65,'июнь 2025'!$J$5:$J$2470,I$1)</f>
        <v>0</v>
      </c>
      <c r="J65" s="183">
        <f>SUMIFS('июнь 2025'!$G$5:$G$2470,'июнь 2025'!$D$5:$D$2470,$B65,'июнь 2025'!$J$5:$J$2470,J$1)</f>
        <v>0</v>
      </c>
      <c r="K65" s="183">
        <f>SUMIFS('июнь 2025'!$G$5:$G$2470,'июнь 2025'!$D$5:$D$2470,$B65,'июнь 2025'!$J$5:$J$2470,K$1)</f>
        <v>0</v>
      </c>
      <c r="L65" s="183">
        <f>SUMIFS('июнь 2025'!$G$5:$G$2470,'июнь 2025'!$D$5:$D$2470,$B65,'июнь 2025'!$J$5:$J$2470,L$1)</f>
        <v>0</v>
      </c>
      <c r="M65" s="183">
        <f>SUMIFS('июнь 2025'!$G$5:$G$2470,'июнь 2025'!$D$5:$D$2470,$B65,'июнь 2025'!$J$5:$J$2470,M$1)</f>
        <v>0</v>
      </c>
      <c r="N65" s="183">
        <f>SUMIFS('июнь 2025'!$G$5:$G$2470,'июнь 2025'!$D$5:$D$2470,$B65,'июнь 2025'!$J$5:$J$2470,N$1)</f>
        <v>0</v>
      </c>
      <c r="O65" s="183">
        <f>SUMIFS('июнь 2025'!$G$5:$G$2470,'июнь 2025'!$D$5:$D$2470,$B65,'июнь 2025'!$J$5:$J$2470,O$1)</f>
        <v>0</v>
      </c>
      <c r="P65" s="183">
        <f>SUMIFS('июнь 2025'!$G$5:$G$2470,'июнь 2025'!$D$5:$D$2470,$B65,'июнь 2025'!$J$5:$J$2470,P$1)</f>
        <v>0</v>
      </c>
      <c r="Q65" s="183">
        <f>SUMIFS('июнь 2025'!$G$5:$G$2470,'июнь 2025'!$D$5:$D$2470,$B65,'июнь 2025'!$J$5:$J$2470,Q$1)</f>
        <v>0</v>
      </c>
      <c r="R65" s="183">
        <f>SUMIFS('июнь 2025'!$G$5:$G$2470,'июнь 2025'!$D$5:$D$2470,$B65,'июнь 2025'!$J$5:$J$2470,R$1)</f>
        <v>0</v>
      </c>
      <c r="S65" s="183">
        <f>SUMIFS('июнь 2025'!$G$5:$G$2470,'июнь 2025'!$D$5:$D$2470,$B65,'июнь 2025'!$J$5:$J$2470,S$1)</f>
        <v>0</v>
      </c>
      <c r="T65" s="183">
        <f>SUMIFS('июнь 2025'!$G$5:$G$2470,'июнь 2025'!$D$5:$D$2470,$B65,'июнь 2025'!$J$5:$J$2470,T$1)</f>
        <v>0</v>
      </c>
      <c r="U65" s="183">
        <f>SUMIFS('июнь 2025'!$G$5:$G$2470,'июнь 2025'!$D$5:$D$2470,$B65,'июнь 2025'!$J$5:$J$2470,U$1)</f>
        <v>0</v>
      </c>
      <c r="V65" s="183">
        <f>SUMIFS('июнь 2025'!$G$5:$G$2470,'июнь 2025'!$D$5:$D$2470,$B65,'июнь 2025'!$J$5:$J$2470,V$1)</f>
        <v>0</v>
      </c>
      <c r="W65" s="183">
        <f>SUMIFS('июнь 2025'!$G$5:$G$2470,'июнь 2025'!$D$5:$D$2470,$B65,'июнь 2025'!$J$5:$J$2470,W$1)</f>
        <v>0</v>
      </c>
      <c r="X65" s="183">
        <f>SUMIFS('июнь 2025'!$G$5:$G$2470,'июнь 2025'!$D$5:$D$2470,$B65,'июнь 2025'!$J$5:$J$2470,X$1)</f>
        <v>0</v>
      </c>
      <c r="Y65" s="183">
        <f>SUMIFS('июнь 2025'!$G$5:$G$2470,'июнь 2025'!$D$5:$D$2470,$B65,'июнь 2025'!$J$5:$J$2470,Y$1)</f>
        <v>0</v>
      </c>
      <c r="Z65" s="183">
        <f>SUMIFS('июнь 2025'!$G$5:$G$2470,'июнь 2025'!$D$5:$D$2470,$B65,'июнь 2025'!$J$5:$J$2470,Z$1)</f>
        <v>0</v>
      </c>
      <c r="AA65" s="183">
        <f>SUMIFS('июнь 2025'!$G$5:$G$2470,'июнь 2025'!$D$5:$D$2470,$B65,'июнь 2025'!$J$5:$J$2470,AA$1)</f>
        <v>0</v>
      </c>
      <c r="AB65" s="183">
        <f>SUMIFS('июнь 2025'!$G$5:$G$2470,'июнь 2025'!$D$5:$D$2470,$B65,'июнь 2025'!$J$5:$J$2470,AB$1)</f>
        <v>0</v>
      </c>
      <c r="AC65" s="183">
        <f>SUMIFS('июнь 2025'!$G$5:$G$2470,'июнь 2025'!$D$5:$D$2470,$B65,'июнь 2025'!$J$5:$J$2470,AC$1)</f>
        <v>0</v>
      </c>
      <c r="AD65" s="183">
        <f>SUMIFS('июнь 2025'!$G$5:$G$2470,'июнь 2025'!$D$5:$D$2470,$B65,'июнь 2025'!$J$5:$J$2470,AD$1)</f>
        <v>0</v>
      </c>
      <c r="AE65" s="183">
        <f>SUMIFS('июнь 2025'!$G$5:$G$2470,'июнь 2025'!$D$5:$D$2470,$B65,'июнь 2025'!$J$5:$J$2470,AE$1)</f>
        <v>0</v>
      </c>
      <c r="AF65" s="183">
        <f>SUMIFS('июнь 2025'!$G$5:$G$2470,'июнь 2025'!$D$5:$D$2470,$B65,'июнь 2025'!$J$5:$J$2470,AF$1)</f>
        <v>0</v>
      </c>
      <c r="AG65" s="183">
        <f>SUMIFS('июнь 2025'!$G$5:$G$2470,'июнь 2025'!$D$5:$D$2470,$B65,'июнь 2025'!$J$5:$J$2470,AG$1)</f>
        <v>0</v>
      </c>
      <c r="AH65" s="183">
        <f>SUMIFS('июнь 2025'!$G$5:$G$2470,'июнь 2025'!$D$5:$D$2470,$B65,'июнь 2025'!$J$5:$J$2470,AH$1)</f>
        <v>0</v>
      </c>
      <c r="AI65" s="20">
        <f t="shared" si="1"/>
        <v>0</v>
      </c>
    </row>
    <row r="66" spans="2:35" ht="15" customHeight="1" x14ac:dyDescent="0.25">
      <c r="B66" s="87" t="s">
        <v>308</v>
      </c>
      <c r="C66" s="86">
        <v>50</v>
      </c>
      <c r="D66" s="183">
        <f>SUMIFS('июнь 2025'!$G$5:$G$2470,'июнь 2025'!$D$5:$D$2470,$B66,'июнь 2025'!$J$5:$J$2470,D$1)</f>
        <v>0</v>
      </c>
      <c r="E66" s="183">
        <f>SUMIFS('июнь 2025'!$G$5:$G$2470,'июнь 2025'!$D$5:$D$2470,$B66,'июнь 2025'!$J$5:$J$2470,E$1)</f>
        <v>0</v>
      </c>
      <c r="F66" s="183">
        <f>SUMIFS('июнь 2025'!$G$5:$G$2470,'июнь 2025'!$D$5:$D$2470,$B66,'июнь 2025'!$J$5:$J$2470,F$1)</f>
        <v>0</v>
      </c>
      <c r="G66" s="183">
        <f>SUMIFS('июнь 2025'!$G$5:$G$2470,'июнь 2025'!$D$5:$D$2470,$B66,'июнь 2025'!$J$5:$J$2470,G$1)</f>
        <v>0</v>
      </c>
      <c r="H66" s="183">
        <f>SUMIFS('июнь 2025'!$G$5:$G$2470,'июнь 2025'!$D$5:$D$2470,$B66,'июнь 2025'!$J$5:$J$2470,H$1)</f>
        <v>0</v>
      </c>
      <c r="I66" s="183">
        <f>SUMIFS('июнь 2025'!$G$5:$G$2470,'июнь 2025'!$D$5:$D$2470,$B66,'июнь 2025'!$J$5:$J$2470,I$1)</f>
        <v>0</v>
      </c>
      <c r="J66" s="183">
        <f>SUMIFS('июнь 2025'!$G$5:$G$2470,'июнь 2025'!$D$5:$D$2470,$B66,'июнь 2025'!$J$5:$J$2470,J$1)</f>
        <v>0</v>
      </c>
      <c r="K66" s="183">
        <f>SUMIFS('июнь 2025'!$G$5:$G$2470,'июнь 2025'!$D$5:$D$2470,$B66,'июнь 2025'!$J$5:$J$2470,K$1)</f>
        <v>0</v>
      </c>
      <c r="L66" s="183">
        <f>SUMIFS('июнь 2025'!$G$5:$G$2470,'июнь 2025'!$D$5:$D$2470,$B66,'июнь 2025'!$J$5:$J$2470,L$1)</f>
        <v>0</v>
      </c>
      <c r="M66" s="183">
        <f>SUMIFS('июнь 2025'!$G$5:$G$2470,'июнь 2025'!$D$5:$D$2470,$B66,'июнь 2025'!$J$5:$J$2470,M$1)</f>
        <v>0</v>
      </c>
      <c r="N66" s="183">
        <f>SUMIFS('июнь 2025'!$G$5:$G$2470,'июнь 2025'!$D$5:$D$2470,$B66,'июнь 2025'!$J$5:$J$2470,N$1)</f>
        <v>0</v>
      </c>
      <c r="O66" s="183">
        <f>SUMIFS('июнь 2025'!$G$5:$G$2470,'июнь 2025'!$D$5:$D$2470,$B66,'июнь 2025'!$J$5:$J$2470,O$1)</f>
        <v>0</v>
      </c>
      <c r="P66" s="183">
        <f>SUMIFS('июнь 2025'!$G$5:$G$2470,'июнь 2025'!$D$5:$D$2470,$B66,'июнь 2025'!$J$5:$J$2470,P$1)</f>
        <v>0</v>
      </c>
      <c r="Q66" s="183">
        <f>SUMIFS('июнь 2025'!$G$5:$G$2470,'июнь 2025'!$D$5:$D$2470,$B66,'июнь 2025'!$J$5:$J$2470,Q$1)</f>
        <v>0</v>
      </c>
      <c r="R66" s="183">
        <f>SUMIFS('июнь 2025'!$G$5:$G$2470,'июнь 2025'!$D$5:$D$2470,$B66,'июнь 2025'!$J$5:$J$2470,R$1)</f>
        <v>0</v>
      </c>
      <c r="S66" s="183">
        <f>SUMIFS('июнь 2025'!$G$5:$G$2470,'июнь 2025'!$D$5:$D$2470,$B66,'июнь 2025'!$J$5:$J$2470,S$1)</f>
        <v>0</v>
      </c>
      <c r="T66" s="183">
        <f>SUMIFS('июнь 2025'!$G$5:$G$2470,'июнь 2025'!$D$5:$D$2470,$B66,'июнь 2025'!$J$5:$J$2470,T$1)</f>
        <v>0</v>
      </c>
      <c r="U66" s="183">
        <f>SUMIFS('июнь 2025'!$G$5:$G$2470,'июнь 2025'!$D$5:$D$2470,$B66,'июнь 2025'!$J$5:$J$2470,U$1)</f>
        <v>0</v>
      </c>
      <c r="V66" s="183">
        <f>SUMIFS('июнь 2025'!$G$5:$G$2470,'июнь 2025'!$D$5:$D$2470,$B66,'июнь 2025'!$J$5:$J$2470,V$1)</f>
        <v>0</v>
      </c>
      <c r="W66" s="183">
        <f>SUMIFS('июнь 2025'!$G$5:$G$2470,'июнь 2025'!$D$5:$D$2470,$B66,'июнь 2025'!$J$5:$J$2470,W$1)</f>
        <v>0</v>
      </c>
      <c r="X66" s="183">
        <f>SUMIFS('июнь 2025'!$G$5:$G$2470,'июнь 2025'!$D$5:$D$2470,$B66,'июнь 2025'!$J$5:$J$2470,X$1)</f>
        <v>0</v>
      </c>
      <c r="Y66" s="183">
        <f>SUMIFS('июнь 2025'!$G$5:$G$2470,'июнь 2025'!$D$5:$D$2470,$B66,'июнь 2025'!$J$5:$J$2470,Y$1)</f>
        <v>0</v>
      </c>
      <c r="Z66" s="183">
        <f>SUMIFS('июнь 2025'!$G$5:$G$2470,'июнь 2025'!$D$5:$D$2470,$B66,'июнь 2025'!$J$5:$J$2470,Z$1)</f>
        <v>0</v>
      </c>
      <c r="AA66" s="183">
        <f>SUMIFS('июнь 2025'!$G$5:$G$2470,'июнь 2025'!$D$5:$D$2470,$B66,'июнь 2025'!$J$5:$J$2470,AA$1)</f>
        <v>0</v>
      </c>
      <c r="AB66" s="183">
        <f>SUMIFS('июнь 2025'!$G$5:$G$2470,'июнь 2025'!$D$5:$D$2470,$B66,'июнь 2025'!$J$5:$J$2470,AB$1)</f>
        <v>0</v>
      </c>
      <c r="AC66" s="183">
        <f>SUMIFS('июнь 2025'!$G$5:$G$2470,'июнь 2025'!$D$5:$D$2470,$B66,'июнь 2025'!$J$5:$J$2470,AC$1)</f>
        <v>0</v>
      </c>
      <c r="AD66" s="183">
        <f>SUMIFS('июнь 2025'!$G$5:$G$2470,'июнь 2025'!$D$5:$D$2470,$B66,'июнь 2025'!$J$5:$J$2470,AD$1)</f>
        <v>0</v>
      </c>
      <c r="AE66" s="183">
        <f>SUMIFS('июнь 2025'!$G$5:$G$2470,'июнь 2025'!$D$5:$D$2470,$B66,'июнь 2025'!$J$5:$J$2470,AE$1)</f>
        <v>0</v>
      </c>
      <c r="AF66" s="183">
        <f>SUMIFS('июнь 2025'!$G$5:$G$2470,'июнь 2025'!$D$5:$D$2470,$B66,'июнь 2025'!$J$5:$J$2470,AF$1)</f>
        <v>0</v>
      </c>
      <c r="AG66" s="183">
        <f>SUMIFS('июнь 2025'!$G$5:$G$2470,'июнь 2025'!$D$5:$D$2470,$B66,'июнь 2025'!$J$5:$J$2470,AG$1)</f>
        <v>0</v>
      </c>
      <c r="AH66" s="183">
        <f>SUMIFS('июнь 2025'!$G$5:$G$2470,'июнь 2025'!$D$5:$D$2470,$B66,'июнь 2025'!$J$5:$J$2470,AH$1)</f>
        <v>0</v>
      </c>
      <c r="AI66" s="20">
        <f t="shared" si="1"/>
        <v>0</v>
      </c>
    </row>
    <row r="67" spans="2:35" ht="15" customHeight="1" x14ac:dyDescent="0.25">
      <c r="B67" s="88" t="s">
        <v>198</v>
      </c>
      <c r="C67" s="86">
        <v>200</v>
      </c>
      <c r="D67" s="183">
        <f>SUMIFS('июнь 2025'!$G$5:$G$2470,'июнь 2025'!$D$5:$D$2470,$B67,'июнь 2025'!$J$5:$J$2470,D$1)</f>
        <v>0</v>
      </c>
      <c r="E67" s="183">
        <f>SUMIFS('июнь 2025'!$G$5:$G$2470,'июнь 2025'!$D$5:$D$2470,$B67,'июнь 2025'!$J$5:$J$2470,E$1)</f>
        <v>0</v>
      </c>
      <c r="F67" s="183">
        <f>SUMIFS('июнь 2025'!$G$5:$G$2470,'июнь 2025'!$D$5:$D$2470,$B67,'июнь 2025'!$J$5:$J$2470,F$1)</f>
        <v>0</v>
      </c>
      <c r="G67" s="183">
        <f>SUMIFS('июнь 2025'!$G$5:$G$2470,'июнь 2025'!$D$5:$D$2470,$B67,'июнь 2025'!$J$5:$J$2470,G$1)</f>
        <v>0</v>
      </c>
      <c r="H67" s="183">
        <f>SUMIFS('июнь 2025'!$G$5:$G$2470,'июнь 2025'!$D$5:$D$2470,$B67,'июнь 2025'!$J$5:$J$2470,H$1)</f>
        <v>0</v>
      </c>
      <c r="I67" s="183">
        <f>SUMIFS('июнь 2025'!$G$5:$G$2470,'июнь 2025'!$D$5:$D$2470,$B67,'июнь 2025'!$J$5:$J$2470,I$1)</f>
        <v>0</v>
      </c>
      <c r="J67" s="183">
        <f>SUMIFS('июнь 2025'!$G$5:$G$2470,'июнь 2025'!$D$5:$D$2470,$B67,'июнь 2025'!$J$5:$J$2470,J$1)</f>
        <v>0</v>
      </c>
      <c r="K67" s="183">
        <f>SUMIFS('июнь 2025'!$G$5:$G$2470,'июнь 2025'!$D$5:$D$2470,$B67,'июнь 2025'!$J$5:$J$2470,K$1)</f>
        <v>0</v>
      </c>
      <c r="L67" s="183">
        <f>SUMIFS('июнь 2025'!$G$5:$G$2470,'июнь 2025'!$D$5:$D$2470,$B67,'июнь 2025'!$J$5:$J$2470,L$1)</f>
        <v>0</v>
      </c>
      <c r="M67" s="183">
        <f>SUMIFS('июнь 2025'!$G$5:$G$2470,'июнь 2025'!$D$5:$D$2470,$B67,'июнь 2025'!$J$5:$J$2470,M$1)</f>
        <v>0</v>
      </c>
      <c r="N67" s="183">
        <f>SUMIFS('июнь 2025'!$G$5:$G$2470,'июнь 2025'!$D$5:$D$2470,$B67,'июнь 2025'!$J$5:$J$2470,N$1)</f>
        <v>0</v>
      </c>
      <c r="O67" s="183">
        <f>SUMIFS('июнь 2025'!$G$5:$G$2470,'июнь 2025'!$D$5:$D$2470,$B67,'июнь 2025'!$J$5:$J$2470,O$1)</f>
        <v>0</v>
      </c>
      <c r="P67" s="183">
        <f>SUMIFS('июнь 2025'!$G$5:$G$2470,'июнь 2025'!$D$5:$D$2470,$B67,'июнь 2025'!$J$5:$J$2470,P$1)</f>
        <v>0</v>
      </c>
      <c r="Q67" s="183">
        <f>SUMIFS('июнь 2025'!$G$5:$G$2470,'июнь 2025'!$D$5:$D$2470,$B67,'июнь 2025'!$J$5:$J$2470,Q$1)</f>
        <v>0</v>
      </c>
      <c r="R67" s="183">
        <f>SUMIFS('июнь 2025'!$G$5:$G$2470,'июнь 2025'!$D$5:$D$2470,$B67,'июнь 2025'!$J$5:$J$2470,R$1)</f>
        <v>0</v>
      </c>
      <c r="S67" s="183">
        <f>SUMIFS('июнь 2025'!$G$5:$G$2470,'июнь 2025'!$D$5:$D$2470,$B67,'июнь 2025'!$J$5:$J$2470,S$1)</f>
        <v>0</v>
      </c>
      <c r="T67" s="183">
        <f>SUMIFS('июнь 2025'!$G$5:$G$2470,'июнь 2025'!$D$5:$D$2470,$B67,'июнь 2025'!$J$5:$J$2470,T$1)</f>
        <v>0</v>
      </c>
      <c r="U67" s="183">
        <f>SUMIFS('июнь 2025'!$G$5:$G$2470,'июнь 2025'!$D$5:$D$2470,$B67,'июнь 2025'!$J$5:$J$2470,U$1)</f>
        <v>0</v>
      </c>
      <c r="V67" s="183">
        <f>SUMIFS('июнь 2025'!$G$5:$G$2470,'июнь 2025'!$D$5:$D$2470,$B67,'июнь 2025'!$J$5:$J$2470,V$1)</f>
        <v>0</v>
      </c>
      <c r="W67" s="183">
        <f>SUMIFS('июнь 2025'!$G$5:$G$2470,'июнь 2025'!$D$5:$D$2470,$B67,'июнь 2025'!$J$5:$J$2470,W$1)</f>
        <v>0</v>
      </c>
      <c r="X67" s="183">
        <f>SUMIFS('июнь 2025'!$G$5:$G$2470,'июнь 2025'!$D$5:$D$2470,$B67,'июнь 2025'!$J$5:$J$2470,X$1)</f>
        <v>0</v>
      </c>
      <c r="Y67" s="183">
        <f>SUMIFS('июнь 2025'!$G$5:$G$2470,'июнь 2025'!$D$5:$D$2470,$B67,'июнь 2025'!$J$5:$J$2470,Y$1)</f>
        <v>0</v>
      </c>
      <c r="Z67" s="183">
        <f>SUMIFS('июнь 2025'!$G$5:$G$2470,'июнь 2025'!$D$5:$D$2470,$B67,'июнь 2025'!$J$5:$J$2470,Z$1)</f>
        <v>0</v>
      </c>
      <c r="AA67" s="183">
        <f>SUMIFS('июнь 2025'!$G$5:$G$2470,'июнь 2025'!$D$5:$D$2470,$B67,'июнь 2025'!$J$5:$J$2470,AA$1)</f>
        <v>52</v>
      </c>
      <c r="AB67" s="183">
        <f>SUMIFS('июнь 2025'!$G$5:$G$2470,'июнь 2025'!$D$5:$D$2470,$B67,'июнь 2025'!$J$5:$J$2470,AB$1)</f>
        <v>0</v>
      </c>
      <c r="AC67" s="183">
        <f>SUMIFS('июнь 2025'!$G$5:$G$2470,'июнь 2025'!$D$5:$D$2470,$B67,'июнь 2025'!$J$5:$J$2470,AC$1)</f>
        <v>0</v>
      </c>
      <c r="AD67" s="183">
        <f>SUMIFS('июнь 2025'!$G$5:$G$2470,'июнь 2025'!$D$5:$D$2470,$B67,'июнь 2025'!$J$5:$J$2470,AD$1)</f>
        <v>0</v>
      </c>
      <c r="AE67" s="183">
        <f>SUMIFS('июнь 2025'!$G$5:$G$2470,'июнь 2025'!$D$5:$D$2470,$B67,'июнь 2025'!$J$5:$J$2470,AE$1)</f>
        <v>0</v>
      </c>
      <c r="AF67" s="183">
        <f>SUMIFS('июнь 2025'!$G$5:$G$2470,'июнь 2025'!$D$5:$D$2470,$B67,'июнь 2025'!$J$5:$J$2470,AF$1)</f>
        <v>0</v>
      </c>
      <c r="AG67" s="183">
        <f>SUMIFS('июнь 2025'!$G$5:$G$2470,'июнь 2025'!$D$5:$D$2470,$B67,'июнь 2025'!$J$5:$J$2470,AG$1)</f>
        <v>0</v>
      </c>
      <c r="AH67" s="183">
        <f>SUMIFS('июнь 2025'!$G$5:$G$2470,'июнь 2025'!$D$5:$D$2470,$B67,'июнь 2025'!$J$5:$J$2470,AH$1)</f>
        <v>0</v>
      </c>
      <c r="AI67" s="20">
        <f t="shared" si="1"/>
        <v>52</v>
      </c>
    </row>
    <row r="68" spans="2:35" ht="15" customHeight="1" x14ac:dyDescent="0.25">
      <c r="B68" s="88" t="s">
        <v>207</v>
      </c>
      <c r="C68" s="86">
        <v>25</v>
      </c>
      <c r="D68" s="183">
        <f>SUMIFS('июнь 2025'!$G$5:$G$2470,'июнь 2025'!$D$5:$D$2470,$B68,'июнь 2025'!$J$5:$J$2470,D$1)</f>
        <v>0</v>
      </c>
      <c r="E68" s="183">
        <f>SUMIFS('июнь 2025'!$G$5:$G$2470,'июнь 2025'!$D$5:$D$2470,$B68,'июнь 2025'!$J$5:$J$2470,E$1)</f>
        <v>0</v>
      </c>
      <c r="F68" s="183">
        <f>SUMIFS('июнь 2025'!$G$5:$G$2470,'июнь 2025'!$D$5:$D$2470,$B68,'июнь 2025'!$J$5:$J$2470,F$1)</f>
        <v>0</v>
      </c>
      <c r="G68" s="183">
        <f>SUMIFS('июнь 2025'!$G$5:$G$2470,'июнь 2025'!$D$5:$D$2470,$B68,'июнь 2025'!$J$5:$J$2470,G$1)</f>
        <v>0</v>
      </c>
      <c r="H68" s="183">
        <f>SUMIFS('июнь 2025'!$G$5:$G$2470,'июнь 2025'!$D$5:$D$2470,$B68,'июнь 2025'!$J$5:$J$2470,H$1)</f>
        <v>0</v>
      </c>
      <c r="I68" s="183">
        <f>SUMIFS('июнь 2025'!$G$5:$G$2470,'июнь 2025'!$D$5:$D$2470,$B68,'июнь 2025'!$J$5:$J$2470,I$1)</f>
        <v>0</v>
      </c>
      <c r="J68" s="183">
        <f>SUMIFS('июнь 2025'!$G$5:$G$2470,'июнь 2025'!$D$5:$D$2470,$B68,'июнь 2025'!$J$5:$J$2470,J$1)</f>
        <v>0</v>
      </c>
      <c r="K68" s="183">
        <f>SUMIFS('июнь 2025'!$G$5:$G$2470,'июнь 2025'!$D$5:$D$2470,$B68,'июнь 2025'!$J$5:$J$2470,K$1)</f>
        <v>0</v>
      </c>
      <c r="L68" s="183">
        <f>SUMIFS('июнь 2025'!$G$5:$G$2470,'июнь 2025'!$D$5:$D$2470,$B68,'июнь 2025'!$J$5:$J$2470,L$1)</f>
        <v>0</v>
      </c>
      <c r="M68" s="183">
        <f>SUMIFS('июнь 2025'!$G$5:$G$2470,'июнь 2025'!$D$5:$D$2470,$B68,'июнь 2025'!$J$5:$J$2470,M$1)</f>
        <v>0</v>
      </c>
      <c r="N68" s="183">
        <f>SUMIFS('июнь 2025'!$G$5:$G$2470,'июнь 2025'!$D$5:$D$2470,$B68,'июнь 2025'!$J$5:$J$2470,N$1)</f>
        <v>0</v>
      </c>
      <c r="O68" s="183">
        <f>SUMIFS('июнь 2025'!$G$5:$G$2470,'июнь 2025'!$D$5:$D$2470,$B68,'июнь 2025'!$J$5:$J$2470,O$1)</f>
        <v>0</v>
      </c>
      <c r="P68" s="183">
        <f>SUMIFS('июнь 2025'!$G$5:$G$2470,'июнь 2025'!$D$5:$D$2470,$B68,'июнь 2025'!$J$5:$J$2470,P$1)</f>
        <v>0</v>
      </c>
      <c r="Q68" s="183">
        <f>SUMIFS('июнь 2025'!$G$5:$G$2470,'июнь 2025'!$D$5:$D$2470,$B68,'июнь 2025'!$J$5:$J$2470,Q$1)</f>
        <v>0</v>
      </c>
      <c r="R68" s="183">
        <f>SUMIFS('июнь 2025'!$G$5:$G$2470,'июнь 2025'!$D$5:$D$2470,$B68,'июнь 2025'!$J$5:$J$2470,R$1)</f>
        <v>0</v>
      </c>
      <c r="S68" s="183">
        <f>SUMIFS('июнь 2025'!$G$5:$G$2470,'июнь 2025'!$D$5:$D$2470,$B68,'июнь 2025'!$J$5:$J$2470,S$1)</f>
        <v>0</v>
      </c>
      <c r="T68" s="183">
        <f>SUMIFS('июнь 2025'!$G$5:$G$2470,'июнь 2025'!$D$5:$D$2470,$B68,'июнь 2025'!$J$5:$J$2470,T$1)</f>
        <v>0</v>
      </c>
      <c r="U68" s="183">
        <f>SUMIFS('июнь 2025'!$G$5:$G$2470,'июнь 2025'!$D$5:$D$2470,$B68,'июнь 2025'!$J$5:$J$2470,U$1)</f>
        <v>0</v>
      </c>
      <c r="V68" s="183">
        <f>SUMIFS('июнь 2025'!$G$5:$G$2470,'июнь 2025'!$D$5:$D$2470,$B68,'июнь 2025'!$J$5:$J$2470,V$1)</f>
        <v>0</v>
      </c>
      <c r="W68" s="183">
        <f>SUMIFS('июнь 2025'!$G$5:$G$2470,'июнь 2025'!$D$5:$D$2470,$B68,'июнь 2025'!$J$5:$J$2470,W$1)</f>
        <v>0</v>
      </c>
      <c r="X68" s="183">
        <f>SUMIFS('июнь 2025'!$G$5:$G$2470,'июнь 2025'!$D$5:$D$2470,$B68,'июнь 2025'!$J$5:$J$2470,X$1)</f>
        <v>0</v>
      </c>
      <c r="Y68" s="183">
        <f>SUMIFS('июнь 2025'!$G$5:$G$2470,'июнь 2025'!$D$5:$D$2470,$B68,'июнь 2025'!$J$5:$J$2470,Y$1)</f>
        <v>0</v>
      </c>
      <c r="Z68" s="183">
        <f>SUMIFS('июнь 2025'!$G$5:$G$2470,'июнь 2025'!$D$5:$D$2470,$B68,'июнь 2025'!$J$5:$J$2470,Z$1)</f>
        <v>0</v>
      </c>
      <c r="AA68" s="183">
        <f>SUMIFS('июнь 2025'!$G$5:$G$2470,'июнь 2025'!$D$5:$D$2470,$B68,'июнь 2025'!$J$5:$J$2470,AA$1)</f>
        <v>0</v>
      </c>
      <c r="AB68" s="183">
        <f>SUMIFS('июнь 2025'!$G$5:$G$2470,'июнь 2025'!$D$5:$D$2470,$B68,'июнь 2025'!$J$5:$J$2470,AB$1)</f>
        <v>0</v>
      </c>
      <c r="AC68" s="183">
        <f>SUMIFS('июнь 2025'!$G$5:$G$2470,'июнь 2025'!$D$5:$D$2470,$B68,'июнь 2025'!$J$5:$J$2470,AC$1)</f>
        <v>0</v>
      </c>
      <c r="AD68" s="183">
        <f>SUMIFS('июнь 2025'!$G$5:$G$2470,'июнь 2025'!$D$5:$D$2470,$B68,'июнь 2025'!$J$5:$J$2470,AD$1)</f>
        <v>0</v>
      </c>
      <c r="AE68" s="183">
        <f>SUMIFS('июнь 2025'!$G$5:$G$2470,'июнь 2025'!$D$5:$D$2470,$B68,'июнь 2025'!$J$5:$J$2470,AE$1)</f>
        <v>0</v>
      </c>
      <c r="AF68" s="183">
        <f>SUMIFS('июнь 2025'!$G$5:$G$2470,'июнь 2025'!$D$5:$D$2470,$B68,'июнь 2025'!$J$5:$J$2470,AF$1)</f>
        <v>0</v>
      </c>
      <c r="AG68" s="183">
        <f>SUMIFS('июнь 2025'!$G$5:$G$2470,'июнь 2025'!$D$5:$D$2470,$B68,'июнь 2025'!$J$5:$J$2470,AG$1)</f>
        <v>0</v>
      </c>
      <c r="AH68" s="183">
        <f>SUMIFS('июнь 2025'!$G$5:$G$2470,'июнь 2025'!$D$5:$D$2470,$B68,'июнь 2025'!$J$5:$J$2470,AH$1)</f>
        <v>0</v>
      </c>
      <c r="AI68" s="20">
        <f t="shared" si="1"/>
        <v>0</v>
      </c>
    </row>
    <row r="69" spans="2:35" ht="15" customHeight="1" x14ac:dyDescent="0.25">
      <c r="B69" s="88" t="s">
        <v>179</v>
      </c>
      <c r="C69" s="86">
        <v>50</v>
      </c>
      <c r="D69" s="183">
        <f>SUMIFS('июнь 2025'!$G$5:$G$2470,'июнь 2025'!$D$5:$D$2470,$B69,'июнь 2025'!$J$5:$J$2470,D$1)</f>
        <v>0</v>
      </c>
      <c r="E69" s="183">
        <f>SUMIFS('июнь 2025'!$G$5:$G$2470,'июнь 2025'!$D$5:$D$2470,$B69,'июнь 2025'!$J$5:$J$2470,E$1)</f>
        <v>0</v>
      </c>
      <c r="F69" s="183">
        <f>SUMIFS('июнь 2025'!$G$5:$G$2470,'июнь 2025'!$D$5:$D$2470,$B69,'июнь 2025'!$J$5:$J$2470,F$1)</f>
        <v>0</v>
      </c>
      <c r="G69" s="183">
        <f>SUMIFS('июнь 2025'!$G$5:$G$2470,'июнь 2025'!$D$5:$D$2470,$B69,'июнь 2025'!$J$5:$J$2470,G$1)</f>
        <v>0</v>
      </c>
      <c r="H69" s="183">
        <f>SUMIFS('июнь 2025'!$G$5:$G$2470,'июнь 2025'!$D$5:$D$2470,$B69,'июнь 2025'!$J$5:$J$2470,H$1)</f>
        <v>0</v>
      </c>
      <c r="I69" s="183">
        <f>SUMIFS('июнь 2025'!$G$5:$G$2470,'июнь 2025'!$D$5:$D$2470,$B69,'июнь 2025'!$J$5:$J$2470,I$1)</f>
        <v>0</v>
      </c>
      <c r="J69" s="183">
        <f>SUMIFS('июнь 2025'!$G$5:$G$2470,'июнь 2025'!$D$5:$D$2470,$B69,'июнь 2025'!$J$5:$J$2470,J$1)</f>
        <v>0</v>
      </c>
      <c r="K69" s="183">
        <f>SUMIFS('июнь 2025'!$G$5:$G$2470,'июнь 2025'!$D$5:$D$2470,$B69,'июнь 2025'!$J$5:$J$2470,K$1)</f>
        <v>0</v>
      </c>
      <c r="L69" s="183">
        <f>SUMIFS('июнь 2025'!$G$5:$G$2470,'июнь 2025'!$D$5:$D$2470,$B69,'июнь 2025'!$J$5:$J$2470,L$1)</f>
        <v>0</v>
      </c>
      <c r="M69" s="183">
        <f>SUMIFS('июнь 2025'!$G$5:$G$2470,'июнь 2025'!$D$5:$D$2470,$B69,'июнь 2025'!$J$5:$J$2470,M$1)</f>
        <v>0</v>
      </c>
      <c r="N69" s="183">
        <f>SUMIFS('июнь 2025'!$G$5:$G$2470,'июнь 2025'!$D$5:$D$2470,$B69,'июнь 2025'!$J$5:$J$2470,N$1)</f>
        <v>0</v>
      </c>
      <c r="O69" s="183">
        <f>SUMIFS('июнь 2025'!$G$5:$G$2470,'июнь 2025'!$D$5:$D$2470,$B69,'июнь 2025'!$J$5:$J$2470,O$1)</f>
        <v>0</v>
      </c>
      <c r="P69" s="183">
        <f>SUMIFS('июнь 2025'!$G$5:$G$2470,'июнь 2025'!$D$5:$D$2470,$B69,'июнь 2025'!$J$5:$J$2470,P$1)</f>
        <v>0</v>
      </c>
      <c r="Q69" s="183">
        <f>SUMIFS('июнь 2025'!$G$5:$G$2470,'июнь 2025'!$D$5:$D$2470,$B69,'июнь 2025'!$J$5:$J$2470,Q$1)</f>
        <v>0</v>
      </c>
      <c r="R69" s="183">
        <f>SUMIFS('июнь 2025'!$G$5:$G$2470,'июнь 2025'!$D$5:$D$2470,$B69,'июнь 2025'!$J$5:$J$2470,R$1)</f>
        <v>0</v>
      </c>
      <c r="S69" s="183">
        <f>SUMIFS('июнь 2025'!$G$5:$G$2470,'июнь 2025'!$D$5:$D$2470,$B69,'июнь 2025'!$J$5:$J$2470,S$1)</f>
        <v>0</v>
      </c>
      <c r="T69" s="183">
        <f>SUMIFS('июнь 2025'!$G$5:$G$2470,'июнь 2025'!$D$5:$D$2470,$B69,'июнь 2025'!$J$5:$J$2470,T$1)</f>
        <v>0</v>
      </c>
      <c r="U69" s="183">
        <f>SUMIFS('июнь 2025'!$G$5:$G$2470,'июнь 2025'!$D$5:$D$2470,$B69,'июнь 2025'!$J$5:$J$2470,U$1)</f>
        <v>0</v>
      </c>
      <c r="V69" s="183">
        <f>SUMIFS('июнь 2025'!$G$5:$G$2470,'июнь 2025'!$D$5:$D$2470,$B69,'июнь 2025'!$J$5:$J$2470,V$1)</f>
        <v>0</v>
      </c>
      <c r="W69" s="183">
        <f>SUMIFS('июнь 2025'!$G$5:$G$2470,'июнь 2025'!$D$5:$D$2470,$B69,'июнь 2025'!$J$5:$J$2470,W$1)</f>
        <v>0</v>
      </c>
      <c r="X69" s="183">
        <f>SUMIFS('июнь 2025'!$G$5:$G$2470,'июнь 2025'!$D$5:$D$2470,$B69,'июнь 2025'!$J$5:$J$2470,X$1)</f>
        <v>0</v>
      </c>
      <c r="Y69" s="183">
        <f>SUMIFS('июнь 2025'!$G$5:$G$2470,'июнь 2025'!$D$5:$D$2470,$B69,'июнь 2025'!$J$5:$J$2470,Y$1)</f>
        <v>0</v>
      </c>
      <c r="Z69" s="183">
        <f>SUMIFS('июнь 2025'!$G$5:$G$2470,'июнь 2025'!$D$5:$D$2470,$B69,'июнь 2025'!$J$5:$J$2470,Z$1)</f>
        <v>0</v>
      </c>
      <c r="AA69" s="183">
        <f>SUMIFS('июнь 2025'!$G$5:$G$2470,'июнь 2025'!$D$5:$D$2470,$B69,'июнь 2025'!$J$5:$J$2470,AA$1)</f>
        <v>0</v>
      </c>
      <c r="AB69" s="183">
        <f>SUMIFS('июнь 2025'!$G$5:$G$2470,'июнь 2025'!$D$5:$D$2470,$B69,'июнь 2025'!$J$5:$J$2470,AB$1)</f>
        <v>0</v>
      </c>
      <c r="AC69" s="183">
        <f>SUMIFS('июнь 2025'!$G$5:$G$2470,'июнь 2025'!$D$5:$D$2470,$B69,'июнь 2025'!$J$5:$J$2470,AC$1)</f>
        <v>0</v>
      </c>
      <c r="AD69" s="183">
        <f>SUMIFS('июнь 2025'!$G$5:$G$2470,'июнь 2025'!$D$5:$D$2470,$B69,'июнь 2025'!$J$5:$J$2470,AD$1)</f>
        <v>0</v>
      </c>
      <c r="AE69" s="183">
        <f>SUMIFS('июнь 2025'!$G$5:$G$2470,'июнь 2025'!$D$5:$D$2470,$B69,'июнь 2025'!$J$5:$J$2470,AE$1)</f>
        <v>0</v>
      </c>
      <c r="AF69" s="183">
        <f>SUMIFS('июнь 2025'!$G$5:$G$2470,'июнь 2025'!$D$5:$D$2470,$B69,'июнь 2025'!$J$5:$J$2470,AF$1)</f>
        <v>0</v>
      </c>
      <c r="AG69" s="183">
        <f>SUMIFS('июнь 2025'!$G$5:$G$2470,'июнь 2025'!$D$5:$D$2470,$B69,'июнь 2025'!$J$5:$J$2470,AG$1)</f>
        <v>0</v>
      </c>
      <c r="AH69" s="183">
        <f>SUMIFS('июнь 2025'!$G$5:$G$2470,'июнь 2025'!$D$5:$D$2470,$B69,'июнь 2025'!$J$5:$J$2470,AH$1)</f>
        <v>0</v>
      </c>
      <c r="AI69" s="20">
        <f t="shared" si="1"/>
        <v>0</v>
      </c>
    </row>
    <row r="70" spans="2:35" ht="15.75" x14ac:dyDescent="0.25">
      <c r="B70" s="84" t="s">
        <v>158</v>
      </c>
      <c r="C70" s="83">
        <v>200</v>
      </c>
      <c r="D70" s="183">
        <f>SUMIFS('июнь 2025'!$G$5:$G$2470,'июнь 2025'!$D$5:$D$2470,$B70,'июнь 2025'!$J$5:$J$2470,D$1)</f>
        <v>0</v>
      </c>
      <c r="E70" s="183">
        <f>SUMIFS('июнь 2025'!$G$5:$G$2470,'июнь 2025'!$D$5:$D$2470,$B70,'июнь 2025'!$J$5:$J$2470,E$1)</f>
        <v>0</v>
      </c>
      <c r="F70" s="183">
        <f>SUMIFS('июнь 2025'!$G$5:$G$2470,'июнь 2025'!$D$5:$D$2470,$B70,'июнь 2025'!$J$5:$J$2470,F$1)</f>
        <v>0</v>
      </c>
      <c r="G70" s="183">
        <f>SUMIFS('июнь 2025'!$G$5:$G$2470,'июнь 2025'!$D$5:$D$2470,$B70,'июнь 2025'!$J$5:$J$2470,G$1)</f>
        <v>0</v>
      </c>
      <c r="H70" s="183">
        <f>SUMIFS('июнь 2025'!$G$5:$G$2470,'июнь 2025'!$D$5:$D$2470,$B70,'июнь 2025'!$J$5:$J$2470,H$1)</f>
        <v>0</v>
      </c>
      <c r="I70" s="183">
        <f>SUMIFS('июнь 2025'!$G$5:$G$2470,'июнь 2025'!$D$5:$D$2470,$B70,'июнь 2025'!$J$5:$J$2470,I$1)</f>
        <v>0</v>
      </c>
      <c r="J70" s="183">
        <f>SUMIFS('июнь 2025'!$G$5:$G$2470,'июнь 2025'!$D$5:$D$2470,$B70,'июнь 2025'!$J$5:$J$2470,J$1)</f>
        <v>0</v>
      </c>
      <c r="K70" s="183">
        <f>SUMIFS('июнь 2025'!$G$5:$G$2470,'июнь 2025'!$D$5:$D$2470,$B70,'июнь 2025'!$J$5:$J$2470,K$1)</f>
        <v>0</v>
      </c>
      <c r="L70" s="183">
        <f>SUMIFS('июнь 2025'!$G$5:$G$2470,'июнь 2025'!$D$5:$D$2470,$B70,'июнь 2025'!$J$5:$J$2470,L$1)</f>
        <v>0</v>
      </c>
      <c r="M70" s="183">
        <f>SUMIFS('июнь 2025'!$G$5:$G$2470,'июнь 2025'!$D$5:$D$2470,$B70,'июнь 2025'!$J$5:$J$2470,M$1)</f>
        <v>0</v>
      </c>
      <c r="N70" s="183">
        <f>SUMIFS('июнь 2025'!$G$5:$G$2470,'июнь 2025'!$D$5:$D$2470,$B70,'июнь 2025'!$J$5:$J$2470,N$1)</f>
        <v>0</v>
      </c>
      <c r="O70" s="183">
        <f>SUMIFS('июнь 2025'!$G$5:$G$2470,'июнь 2025'!$D$5:$D$2470,$B70,'июнь 2025'!$J$5:$J$2470,O$1)</f>
        <v>0</v>
      </c>
      <c r="P70" s="183">
        <f>SUMIFS('июнь 2025'!$G$5:$G$2470,'июнь 2025'!$D$5:$D$2470,$B70,'июнь 2025'!$J$5:$J$2470,P$1)</f>
        <v>0</v>
      </c>
      <c r="Q70" s="183">
        <f>SUMIFS('июнь 2025'!$G$5:$G$2470,'июнь 2025'!$D$5:$D$2470,$B70,'июнь 2025'!$J$5:$J$2470,Q$1)</f>
        <v>0</v>
      </c>
      <c r="R70" s="183">
        <f>SUMIFS('июнь 2025'!$G$5:$G$2470,'июнь 2025'!$D$5:$D$2470,$B70,'июнь 2025'!$J$5:$J$2470,R$1)</f>
        <v>0</v>
      </c>
      <c r="S70" s="183">
        <f>SUMIFS('июнь 2025'!$G$5:$G$2470,'июнь 2025'!$D$5:$D$2470,$B70,'июнь 2025'!$J$5:$J$2470,S$1)</f>
        <v>0</v>
      </c>
      <c r="T70" s="183">
        <f>SUMIFS('июнь 2025'!$G$5:$G$2470,'июнь 2025'!$D$5:$D$2470,$B70,'июнь 2025'!$J$5:$J$2470,T$1)</f>
        <v>0</v>
      </c>
      <c r="U70" s="183">
        <f>SUMIFS('июнь 2025'!$G$5:$G$2470,'июнь 2025'!$D$5:$D$2470,$B70,'июнь 2025'!$J$5:$J$2470,U$1)</f>
        <v>0</v>
      </c>
      <c r="V70" s="183">
        <f>SUMIFS('июнь 2025'!$G$5:$G$2470,'июнь 2025'!$D$5:$D$2470,$B70,'июнь 2025'!$J$5:$J$2470,V$1)</f>
        <v>0</v>
      </c>
      <c r="W70" s="183">
        <f>SUMIFS('июнь 2025'!$G$5:$G$2470,'июнь 2025'!$D$5:$D$2470,$B70,'июнь 2025'!$J$5:$J$2470,W$1)</f>
        <v>0</v>
      </c>
      <c r="X70" s="183">
        <f>SUMIFS('июнь 2025'!$G$5:$G$2470,'июнь 2025'!$D$5:$D$2470,$B70,'июнь 2025'!$J$5:$J$2470,X$1)</f>
        <v>0</v>
      </c>
      <c r="Y70" s="183">
        <f>SUMIFS('июнь 2025'!$G$5:$G$2470,'июнь 2025'!$D$5:$D$2470,$B70,'июнь 2025'!$J$5:$J$2470,Y$1)</f>
        <v>0</v>
      </c>
      <c r="Z70" s="183">
        <f>SUMIFS('июнь 2025'!$G$5:$G$2470,'июнь 2025'!$D$5:$D$2470,$B70,'июнь 2025'!$J$5:$J$2470,Z$1)</f>
        <v>0</v>
      </c>
      <c r="AA70" s="183">
        <f>SUMIFS('июнь 2025'!$G$5:$G$2470,'июнь 2025'!$D$5:$D$2470,$B70,'июнь 2025'!$J$5:$J$2470,AA$1)</f>
        <v>0</v>
      </c>
      <c r="AB70" s="183">
        <f>SUMIFS('июнь 2025'!$G$5:$G$2470,'июнь 2025'!$D$5:$D$2470,$B70,'июнь 2025'!$J$5:$J$2470,AB$1)</f>
        <v>0</v>
      </c>
      <c r="AC70" s="183">
        <f>SUMIFS('июнь 2025'!$G$5:$G$2470,'июнь 2025'!$D$5:$D$2470,$B70,'июнь 2025'!$J$5:$J$2470,AC$1)</f>
        <v>0</v>
      </c>
      <c r="AD70" s="183">
        <f>SUMIFS('июнь 2025'!$G$5:$G$2470,'июнь 2025'!$D$5:$D$2470,$B70,'июнь 2025'!$J$5:$J$2470,AD$1)</f>
        <v>0</v>
      </c>
      <c r="AE70" s="183">
        <f>SUMIFS('июнь 2025'!$G$5:$G$2470,'июнь 2025'!$D$5:$D$2470,$B70,'июнь 2025'!$J$5:$J$2470,AE$1)</f>
        <v>0</v>
      </c>
      <c r="AF70" s="183">
        <f>SUMIFS('июнь 2025'!$G$5:$G$2470,'июнь 2025'!$D$5:$D$2470,$B70,'июнь 2025'!$J$5:$J$2470,AF$1)</f>
        <v>0</v>
      </c>
      <c r="AG70" s="183">
        <f>SUMIFS('июнь 2025'!$G$5:$G$2470,'июнь 2025'!$D$5:$D$2470,$B70,'июнь 2025'!$J$5:$J$2470,AG$1)</f>
        <v>0</v>
      </c>
      <c r="AH70" s="183">
        <f>SUMIFS('июнь 2025'!$G$5:$G$2470,'июнь 2025'!$D$5:$D$2470,$B70,'июнь 2025'!$J$5:$J$2470,AH$1)</f>
        <v>0</v>
      </c>
      <c r="AI70" s="20">
        <f t="shared" si="1"/>
        <v>0</v>
      </c>
    </row>
    <row r="71" spans="2:35" ht="15.75" x14ac:dyDescent="0.25">
      <c r="B71" s="88" t="s">
        <v>157</v>
      </c>
      <c r="C71" s="86">
        <v>200</v>
      </c>
      <c r="D71" s="183">
        <f>SUMIFS('июнь 2025'!$G$5:$G$2470,'июнь 2025'!$D$5:$D$2470,$B71,'июнь 2025'!$J$5:$J$2470,D$1)</f>
        <v>0</v>
      </c>
      <c r="E71" s="183">
        <f>SUMIFS('июнь 2025'!$G$5:$G$2470,'июнь 2025'!$D$5:$D$2470,$B71,'июнь 2025'!$J$5:$J$2470,E$1)</f>
        <v>0</v>
      </c>
      <c r="F71" s="183">
        <f>SUMIFS('июнь 2025'!$G$5:$G$2470,'июнь 2025'!$D$5:$D$2470,$B71,'июнь 2025'!$J$5:$J$2470,F$1)</f>
        <v>0</v>
      </c>
      <c r="G71" s="183">
        <f>SUMIFS('июнь 2025'!$G$5:$G$2470,'июнь 2025'!$D$5:$D$2470,$B71,'июнь 2025'!$J$5:$J$2470,G$1)</f>
        <v>0</v>
      </c>
      <c r="H71" s="183">
        <f>SUMIFS('июнь 2025'!$G$5:$G$2470,'июнь 2025'!$D$5:$D$2470,$B71,'июнь 2025'!$J$5:$J$2470,H$1)</f>
        <v>0</v>
      </c>
      <c r="I71" s="183">
        <f>SUMIFS('июнь 2025'!$G$5:$G$2470,'июнь 2025'!$D$5:$D$2470,$B71,'июнь 2025'!$J$5:$J$2470,I$1)</f>
        <v>0</v>
      </c>
      <c r="J71" s="183">
        <f>SUMIFS('июнь 2025'!$G$5:$G$2470,'июнь 2025'!$D$5:$D$2470,$B71,'июнь 2025'!$J$5:$J$2470,J$1)</f>
        <v>0</v>
      </c>
      <c r="K71" s="183">
        <f>SUMIFS('июнь 2025'!$G$5:$G$2470,'июнь 2025'!$D$5:$D$2470,$B71,'июнь 2025'!$J$5:$J$2470,K$1)</f>
        <v>0</v>
      </c>
      <c r="L71" s="183">
        <f>SUMIFS('июнь 2025'!$G$5:$G$2470,'июнь 2025'!$D$5:$D$2470,$B71,'июнь 2025'!$J$5:$J$2470,L$1)</f>
        <v>0</v>
      </c>
      <c r="M71" s="183">
        <f>SUMIFS('июнь 2025'!$G$5:$G$2470,'июнь 2025'!$D$5:$D$2470,$B71,'июнь 2025'!$J$5:$J$2470,M$1)</f>
        <v>88</v>
      </c>
      <c r="N71" s="183">
        <f>SUMIFS('июнь 2025'!$G$5:$G$2470,'июнь 2025'!$D$5:$D$2470,$B71,'июнь 2025'!$J$5:$J$2470,N$1)</f>
        <v>0</v>
      </c>
      <c r="O71" s="183">
        <f>SUMIFS('июнь 2025'!$G$5:$G$2470,'июнь 2025'!$D$5:$D$2470,$B71,'июнь 2025'!$J$5:$J$2470,O$1)</f>
        <v>0</v>
      </c>
      <c r="P71" s="183">
        <f>SUMIFS('июнь 2025'!$G$5:$G$2470,'июнь 2025'!$D$5:$D$2470,$B71,'июнь 2025'!$J$5:$J$2470,P$1)</f>
        <v>0</v>
      </c>
      <c r="Q71" s="183">
        <f>SUMIFS('июнь 2025'!$G$5:$G$2470,'июнь 2025'!$D$5:$D$2470,$B71,'июнь 2025'!$J$5:$J$2470,Q$1)</f>
        <v>0</v>
      </c>
      <c r="R71" s="183">
        <f>SUMIFS('июнь 2025'!$G$5:$G$2470,'июнь 2025'!$D$5:$D$2470,$B71,'июнь 2025'!$J$5:$J$2470,R$1)</f>
        <v>0</v>
      </c>
      <c r="S71" s="183">
        <f>SUMIFS('июнь 2025'!$G$5:$G$2470,'июнь 2025'!$D$5:$D$2470,$B71,'июнь 2025'!$J$5:$J$2470,S$1)</f>
        <v>0</v>
      </c>
      <c r="T71" s="183">
        <f>SUMIFS('июнь 2025'!$G$5:$G$2470,'июнь 2025'!$D$5:$D$2470,$B71,'июнь 2025'!$J$5:$J$2470,T$1)</f>
        <v>0</v>
      </c>
      <c r="U71" s="183">
        <f>SUMIFS('июнь 2025'!$G$5:$G$2470,'июнь 2025'!$D$5:$D$2470,$B71,'июнь 2025'!$J$5:$J$2470,U$1)</f>
        <v>0</v>
      </c>
      <c r="V71" s="183">
        <f>SUMIFS('июнь 2025'!$G$5:$G$2470,'июнь 2025'!$D$5:$D$2470,$B71,'июнь 2025'!$J$5:$J$2470,V$1)</f>
        <v>0</v>
      </c>
      <c r="W71" s="183">
        <f>SUMIFS('июнь 2025'!$G$5:$G$2470,'июнь 2025'!$D$5:$D$2470,$B71,'июнь 2025'!$J$5:$J$2470,W$1)</f>
        <v>0</v>
      </c>
      <c r="X71" s="183">
        <f>SUMIFS('июнь 2025'!$G$5:$G$2470,'июнь 2025'!$D$5:$D$2470,$B71,'июнь 2025'!$J$5:$J$2470,X$1)</f>
        <v>0</v>
      </c>
      <c r="Y71" s="183">
        <f>SUMIFS('июнь 2025'!$G$5:$G$2470,'июнь 2025'!$D$5:$D$2470,$B71,'июнь 2025'!$J$5:$J$2470,Y$1)</f>
        <v>0</v>
      </c>
      <c r="Z71" s="183">
        <f>SUMIFS('июнь 2025'!$G$5:$G$2470,'июнь 2025'!$D$5:$D$2470,$B71,'июнь 2025'!$J$5:$J$2470,Z$1)</f>
        <v>0</v>
      </c>
      <c r="AA71" s="183">
        <f>SUMIFS('июнь 2025'!$G$5:$G$2470,'июнь 2025'!$D$5:$D$2470,$B71,'июнь 2025'!$J$5:$J$2470,AA$1)</f>
        <v>0</v>
      </c>
      <c r="AB71" s="183">
        <f>SUMIFS('июнь 2025'!$G$5:$G$2470,'июнь 2025'!$D$5:$D$2470,$B71,'июнь 2025'!$J$5:$J$2470,AB$1)</f>
        <v>6</v>
      </c>
      <c r="AC71" s="183">
        <f>SUMIFS('июнь 2025'!$G$5:$G$2470,'июнь 2025'!$D$5:$D$2470,$B71,'июнь 2025'!$J$5:$J$2470,AC$1)</f>
        <v>20</v>
      </c>
      <c r="AD71" s="183">
        <f>SUMIFS('июнь 2025'!$G$5:$G$2470,'июнь 2025'!$D$5:$D$2470,$B71,'июнь 2025'!$J$5:$J$2470,AD$1)</f>
        <v>0</v>
      </c>
      <c r="AE71" s="183">
        <f>SUMIFS('июнь 2025'!$G$5:$G$2470,'июнь 2025'!$D$5:$D$2470,$B71,'июнь 2025'!$J$5:$J$2470,AE$1)</f>
        <v>0</v>
      </c>
      <c r="AF71" s="183">
        <f>SUMIFS('июнь 2025'!$G$5:$G$2470,'июнь 2025'!$D$5:$D$2470,$B71,'июнь 2025'!$J$5:$J$2470,AF$1)</f>
        <v>0</v>
      </c>
      <c r="AG71" s="183">
        <f>SUMIFS('июнь 2025'!$G$5:$G$2470,'июнь 2025'!$D$5:$D$2470,$B71,'июнь 2025'!$J$5:$J$2470,AG$1)</f>
        <v>0</v>
      </c>
      <c r="AH71" s="183">
        <f>SUMIFS('июнь 2025'!$G$5:$G$2470,'июнь 2025'!$D$5:$D$2470,$B71,'июнь 2025'!$J$5:$J$2470,AH$1)</f>
        <v>0</v>
      </c>
      <c r="AI71" s="20">
        <f t="shared" si="1"/>
        <v>114</v>
      </c>
    </row>
    <row r="72" spans="2:35" ht="15.75" x14ac:dyDescent="0.25">
      <c r="B72" s="88" t="s">
        <v>299</v>
      </c>
      <c r="C72" s="86">
        <v>200</v>
      </c>
      <c r="D72" s="183">
        <f>SUMIFS('июнь 2025'!$G$5:$G$2470,'июнь 2025'!$D$5:$D$2470,$B72,'июнь 2025'!$J$5:$J$2470,D$1)</f>
        <v>0</v>
      </c>
      <c r="E72" s="183">
        <f>SUMIFS('июнь 2025'!$G$5:$G$2470,'июнь 2025'!$D$5:$D$2470,$B72,'июнь 2025'!$J$5:$J$2470,E$1)</f>
        <v>0</v>
      </c>
      <c r="F72" s="183">
        <f>SUMIFS('июнь 2025'!$G$5:$G$2470,'июнь 2025'!$D$5:$D$2470,$B72,'июнь 2025'!$J$5:$J$2470,F$1)</f>
        <v>0</v>
      </c>
      <c r="G72" s="183">
        <f>SUMIFS('июнь 2025'!$G$5:$G$2470,'июнь 2025'!$D$5:$D$2470,$B72,'июнь 2025'!$J$5:$J$2470,G$1)</f>
        <v>0</v>
      </c>
      <c r="H72" s="183">
        <f>SUMIFS('июнь 2025'!$G$5:$G$2470,'июнь 2025'!$D$5:$D$2470,$B72,'июнь 2025'!$J$5:$J$2470,H$1)</f>
        <v>0</v>
      </c>
      <c r="I72" s="183">
        <f>SUMIFS('июнь 2025'!$G$5:$G$2470,'июнь 2025'!$D$5:$D$2470,$B72,'июнь 2025'!$J$5:$J$2470,I$1)</f>
        <v>0</v>
      </c>
      <c r="J72" s="183">
        <f>SUMIFS('июнь 2025'!$G$5:$G$2470,'июнь 2025'!$D$5:$D$2470,$B72,'июнь 2025'!$J$5:$J$2470,J$1)</f>
        <v>0</v>
      </c>
      <c r="K72" s="183">
        <f>SUMIFS('июнь 2025'!$G$5:$G$2470,'июнь 2025'!$D$5:$D$2470,$B72,'июнь 2025'!$J$5:$J$2470,K$1)</f>
        <v>0</v>
      </c>
      <c r="L72" s="183">
        <f>SUMIFS('июнь 2025'!$G$5:$G$2470,'июнь 2025'!$D$5:$D$2470,$B72,'июнь 2025'!$J$5:$J$2470,L$1)</f>
        <v>0</v>
      </c>
      <c r="M72" s="183">
        <f>SUMIFS('июнь 2025'!$G$5:$G$2470,'июнь 2025'!$D$5:$D$2470,$B72,'июнь 2025'!$J$5:$J$2470,M$1)</f>
        <v>0</v>
      </c>
      <c r="N72" s="183">
        <f>SUMIFS('июнь 2025'!$G$5:$G$2470,'июнь 2025'!$D$5:$D$2470,$B72,'июнь 2025'!$J$5:$J$2470,N$1)</f>
        <v>0</v>
      </c>
      <c r="O72" s="183">
        <f>SUMIFS('июнь 2025'!$G$5:$G$2470,'июнь 2025'!$D$5:$D$2470,$B72,'июнь 2025'!$J$5:$J$2470,O$1)</f>
        <v>0</v>
      </c>
      <c r="P72" s="183">
        <f>SUMIFS('июнь 2025'!$G$5:$G$2470,'июнь 2025'!$D$5:$D$2470,$B72,'июнь 2025'!$J$5:$J$2470,P$1)</f>
        <v>0</v>
      </c>
      <c r="Q72" s="183">
        <f>SUMIFS('июнь 2025'!$G$5:$G$2470,'июнь 2025'!$D$5:$D$2470,$B72,'июнь 2025'!$J$5:$J$2470,Q$1)</f>
        <v>0</v>
      </c>
      <c r="R72" s="183">
        <f>SUMIFS('июнь 2025'!$G$5:$G$2470,'июнь 2025'!$D$5:$D$2470,$B72,'июнь 2025'!$J$5:$J$2470,R$1)</f>
        <v>0</v>
      </c>
      <c r="S72" s="183">
        <f>SUMIFS('июнь 2025'!$G$5:$G$2470,'июнь 2025'!$D$5:$D$2470,$B72,'июнь 2025'!$J$5:$J$2470,S$1)</f>
        <v>0</v>
      </c>
      <c r="T72" s="183">
        <f>SUMIFS('июнь 2025'!$G$5:$G$2470,'июнь 2025'!$D$5:$D$2470,$B72,'июнь 2025'!$J$5:$J$2470,T$1)</f>
        <v>0</v>
      </c>
      <c r="U72" s="183">
        <f>SUMIFS('июнь 2025'!$G$5:$G$2470,'июнь 2025'!$D$5:$D$2470,$B72,'июнь 2025'!$J$5:$J$2470,U$1)</f>
        <v>0</v>
      </c>
      <c r="V72" s="183">
        <f>SUMIFS('июнь 2025'!$G$5:$G$2470,'июнь 2025'!$D$5:$D$2470,$B72,'июнь 2025'!$J$5:$J$2470,V$1)</f>
        <v>0</v>
      </c>
      <c r="W72" s="183">
        <f>SUMIFS('июнь 2025'!$G$5:$G$2470,'июнь 2025'!$D$5:$D$2470,$B72,'июнь 2025'!$J$5:$J$2470,W$1)</f>
        <v>0</v>
      </c>
      <c r="X72" s="183">
        <f>SUMIFS('июнь 2025'!$G$5:$G$2470,'июнь 2025'!$D$5:$D$2470,$B72,'июнь 2025'!$J$5:$J$2470,X$1)</f>
        <v>0</v>
      </c>
      <c r="Y72" s="183">
        <f>SUMIFS('июнь 2025'!$G$5:$G$2470,'июнь 2025'!$D$5:$D$2470,$B72,'июнь 2025'!$J$5:$J$2470,Y$1)</f>
        <v>0</v>
      </c>
      <c r="Z72" s="183">
        <f>SUMIFS('июнь 2025'!$G$5:$G$2470,'июнь 2025'!$D$5:$D$2470,$B72,'июнь 2025'!$J$5:$J$2470,Z$1)</f>
        <v>0</v>
      </c>
      <c r="AA72" s="183">
        <f>SUMIFS('июнь 2025'!$G$5:$G$2470,'июнь 2025'!$D$5:$D$2470,$B72,'июнь 2025'!$J$5:$J$2470,AA$1)</f>
        <v>0</v>
      </c>
      <c r="AB72" s="183">
        <f>SUMIFS('июнь 2025'!$G$5:$G$2470,'июнь 2025'!$D$5:$D$2470,$B72,'июнь 2025'!$J$5:$J$2470,AB$1)</f>
        <v>0</v>
      </c>
      <c r="AC72" s="183">
        <f>SUMIFS('июнь 2025'!$G$5:$G$2470,'июнь 2025'!$D$5:$D$2470,$B72,'июнь 2025'!$J$5:$J$2470,AC$1)</f>
        <v>0</v>
      </c>
      <c r="AD72" s="183">
        <f>SUMIFS('июнь 2025'!$G$5:$G$2470,'июнь 2025'!$D$5:$D$2470,$B72,'июнь 2025'!$J$5:$J$2470,AD$1)</f>
        <v>0</v>
      </c>
      <c r="AE72" s="183">
        <f>SUMIFS('июнь 2025'!$G$5:$G$2470,'июнь 2025'!$D$5:$D$2470,$B72,'июнь 2025'!$J$5:$J$2470,AE$1)</f>
        <v>0</v>
      </c>
      <c r="AF72" s="183">
        <f>SUMIFS('июнь 2025'!$G$5:$G$2470,'июнь 2025'!$D$5:$D$2470,$B72,'июнь 2025'!$J$5:$J$2470,AF$1)</f>
        <v>0</v>
      </c>
      <c r="AG72" s="183">
        <f>SUMIFS('июнь 2025'!$G$5:$G$2470,'июнь 2025'!$D$5:$D$2470,$B72,'июнь 2025'!$J$5:$J$2470,AG$1)</f>
        <v>0</v>
      </c>
      <c r="AH72" s="183">
        <f>SUMIFS('июнь 2025'!$G$5:$G$2470,'июнь 2025'!$D$5:$D$2470,$B72,'июнь 2025'!$J$5:$J$2470,AH$1)</f>
        <v>0</v>
      </c>
      <c r="AI72" s="20">
        <f t="shared" si="1"/>
        <v>0</v>
      </c>
    </row>
    <row r="73" spans="2:35" ht="15.75" x14ac:dyDescent="0.25">
      <c r="B73" s="88" t="s">
        <v>994</v>
      </c>
      <c r="C73" s="86">
        <v>190</v>
      </c>
      <c r="D73" s="183">
        <f>SUMIFS('июнь 2025'!$G$5:$G$2470,'июнь 2025'!$D$5:$D$2470,$B73,'июнь 2025'!$J$5:$J$2470,D$1)</f>
        <v>0</v>
      </c>
      <c r="E73" s="183">
        <f>SUMIFS('июнь 2025'!$G$5:$G$2470,'июнь 2025'!$D$5:$D$2470,$B73,'июнь 2025'!$J$5:$J$2470,E$1)</f>
        <v>0</v>
      </c>
      <c r="F73" s="183">
        <f>SUMIFS('июнь 2025'!$G$5:$G$2470,'июнь 2025'!$D$5:$D$2470,$B73,'июнь 2025'!$J$5:$J$2470,F$1)</f>
        <v>0</v>
      </c>
      <c r="G73" s="183">
        <f>SUMIFS('июнь 2025'!$G$5:$G$2470,'июнь 2025'!$D$5:$D$2470,$B73,'июнь 2025'!$J$5:$J$2470,G$1)</f>
        <v>0</v>
      </c>
      <c r="H73" s="183">
        <f>SUMIFS('июнь 2025'!$G$5:$G$2470,'июнь 2025'!$D$5:$D$2470,$B73,'июнь 2025'!$J$5:$J$2470,H$1)</f>
        <v>0</v>
      </c>
      <c r="I73" s="183">
        <f>SUMIFS('июнь 2025'!$G$5:$G$2470,'июнь 2025'!$D$5:$D$2470,$B73,'июнь 2025'!$J$5:$J$2470,I$1)</f>
        <v>0</v>
      </c>
      <c r="J73" s="183">
        <f>SUMIFS('июнь 2025'!$G$5:$G$2470,'июнь 2025'!$D$5:$D$2470,$B73,'июнь 2025'!$J$5:$J$2470,J$1)</f>
        <v>0</v>
      </c>
      <c r="K73" s="183">
        <f>SUMIFS('июнь 2025'!$G$5:$G$2470,'июнь 2025'!$D$5:$D$2470,$B73,'июнь 2025'!$J$5:$J$2470,K$1)</f>
        <v>0</v>
      </c>
      <c r="L73" s="183">
        <f>SUMIFS('июнь 2025'!$G$5:$G$2470,'июнь 2025'!$D$5:$D$2470,$B73,'июнь 2025'!$J$5:$J$2470,L$1)</f>
        <v>0</v>
      </c>
      <c r="M73" s="183">
        <f>SUMIFS('июнь 2025'!$G$5:$G$2470,'июнь 2025'!$D$5:$D$2470,$B73,'июнь 2025'!$J$5:$J$2470,M$1)</f>
        <v>0</v>
      </c>
      <c r="N73" s="183">
        <f>SUMIFS('июнь 2025'!$G$5:$G$2470,'июнь 2025'!$D$5:$D$2470,$B73,'июнь 2025'!$J$5:$J$2470,N$1)</f>
        <v>0</v>
      </c>
      <c r="O73" s="183">
        <f>SUMIFS('июнь 2025'!$G$5:$G$2470,'июнь 2025'!$D$5:$D$2470,$B73,'июнь 2025'!$J$5:$J$2470,O$1)</f>
        <v>0</v>
      </c>
      <c r="P73" s="183">
        <f>SUMIFS('июнь 2025'!$G$5:$G$2470,'июнь 2025'!$D$5:$D$2470,$B73,'июнь 2025'!$J$5:$J$2470,P$1)</f>
        <v>0</v>
      </c>
      <c r="Q73" s="183">
        <f>SUMIFS('июнь 2025'!$G$5:$G$2470,'июнь 2025'!$D$5:$D$2470,$B73,'июнь 2025'!$J$5:$J$2470,Q$1)</f>
        <v>0</v>
      </c>
      <c r="R73" s="183">
        <f>SUMIFS('июнь 2025'!$G$5:$G$2470,'июнь 2025'!$D$5:$D$2470,$B73,'июнь 2025'!$J$5:$J$2470,R$1)</f>
        <v>0</v>
      </c>
      <c r="S73" s="183">
        <f>SUMIFS('июнь 2025'!$G$5:$G$2470,'июнь 2025'!$D$5:$D$2470,$B73,'июнь 2025'!$J$5:$J$2470,S$1)</f>
        <v>0</v>
      </c>
      <c r="T73" s="183">
        <f>SUMIFS('июнь 2025'!$G$5:$G$2470,'июнь 2025'!$D$5:$D$2470,$B73,'июнь 2025'!$J$5:$J$2470,T$1)</f>
        <v>0</v>
      </c>
      <c r="U73" s="183">
        <f>SUMIFS('июнь 2025'!$G$5:$G$2470,'июнь 2025'!$D$5:$D$2470,$B73,'июнь 2025'!$J$5:$J$2470,U$1)</f>
        <v>0</v>
      </c>
      <c r="V73" s="183">
        <f>SUMIFS('июнь 2025'!$G$5:$G$2470,'июнь 2025'!$D$5:$D$2470,$B73,'июнь 2025'!$J$5:$J$2470,V$1)</f>
        <v>0</v>
      </c>
      <c r="W73" s="183">
        <f>SUMIFS('июнь 2025'!$G$5:$G$2470,'июнь 2025'!$D$5:$D$2470,$B73,'июнь 2025'!$J$5:$J$2470,W$1)</f>
        <v>0</v>
      </c>
      <c r="X73" s="183">
        <f>SUMIFS('июнь 2025'!$G$5:$G$2470,'июнь 2025'!$D$5:$D$2470,$B73,'июнь 2025'!$J$5:$J$2470,X$1)</f>
        <v>0</v>
      </c>
      <c r="Y73" s="183">
        <f>SUMIFS('июнь 2025'!$G$5:$G$2470,'июнь 2025'!$D$5:$D$2470,$B73,'июнь 2025'!$J$5:$J$2470,Y$1)</f>
        <v>0</v>
      </c>
      <c r="Z73" s="183">
        <f>SUMIFS('июнь 2025'!$G$5:$G$2470,'июнь 2025'!$D$5:$D$2470,$B73,'июнь 2025'!$J$5:$J$2470,Z$1)</f>
        <v>0</v>
      </c>
      <c r="AA73" s="183">
        <f>SUMIFS('июнь 2025'!$G$5:$G$2470,'июнь 2025'!$D$5:$D$2470,$B73,'июнь 2025'!$J$5:$J$2470,AA$1)</f>
        <v>0</v>
      </c>
      <c r="AB73" s="183">
        <f>SUMIFS('июнь 2025'!$G$5:$G$2470,'июнь 2025'!$D$5:$D$2470,$B73,'июнь 2025'!$J$5:$J$2470,AB$1)</f>
        <v>0</v>
      </c>
      <c r="AC73" s="183">
        <f>SUMIFS('июнь 2025'!$G$5:$G$2470,'июнь 2025'!$D$5:$D$2470,$B73,'июнь 2025'!$J$5:$J$2470,AC$1)</f>
        <v>0</v>
      </c>
      <c r="AD73" s="183">
        <f>SUMIFS('июнь 2025'!$G$5:$G$2470,'июнь 2025'!$D$5:$D$2470,$B73,'июнь 2025'!$J$5:$J$2470,AD$1)</f>
        <v>0</v>
      </c>
      <c r="AE73" s="183">
        <f>SUMIFS('июнь 2025'!$G$5:$G$2470,'июнь 2025'!$D$5:$D$2470,$B73,'июнь 2025'!$J$5:$J$2470,AE$1)</f>
        <v>0</v>
      </c>
      <c r="AF73" s="183">
        <f>SUMIFS('июнь 2025'!$G$5:$G$2470,'июнь 2025'!$D$5:$D$2470,$B73,'июнь 2025'!$J$5:$J$2470,AF$1)</f>
        <v>0</v>
      </c>
      <c r="AG73" s="183">
        <f>SUMIFS('июнь 2025'!$G$5:$G$2470,'июнь 2025'!$D$5:$D$2470,$B73,'июнь 2025'!$J$5:$J$2470,AG$1)</f>
        <v>0</v>
      </c>
      <c r="AH73" s="183">
        <f>SUMIFS('июнь 2025'!$G$5:$G$2470,'июнь 2025'!$D$5:$D$2470,$B73,'июнь 2025'!$J$5:$J$2470,AH$1)</f>
        <v>0</v>
      </c>
      <c r="AI73" s="20">
        <f t="shared" si="1"/>
        <v>0</v>
      </c>
    </row>
    <row r="74" spans="2:35" ht="15" customHeight="1" x14ac:dyDescent="0.25">
      <c r="B74" s="88" t="s">
        <v>202</v>
      </c>
      <c r="C74" s="86">
        <v>200</v>
      </c>
      <c r="D74" s="183">
        <f>SUMIFS('июнь 2025'!$G$5:$G$2470,'июнь 2025'!$D$5:$D$2470,$B74,'июнь 2025'!$J$5:$J$2470,D$1)</f>
        <v>0</v>
      </c>
      <c r="E74" s="183">
        <f>SUMIFS('июнь 2025'!$G$5:$G$2470,'июнь 2025'!$D$5:$D$2470,$B74,'июнь 2025'!$J$5:$J$2470,E$1)</f>
        <v>0</v>
      </c>
      <c r="F74" s="183">
        <f>SUMIFS('июнь 2025'!$G$5:$G$2470,'июнь 2025'!$D$5:$D$2470,$B74,'июнь 2025'!$J$5:$J$2470,F$1)</f>
        <v>0</v>
      </c>
      <c r="G74" s="183">
        <f>SUMIFS('июнь 2025'!$G$5:$G$2470,'июнь 2025'!$D$5:$D$2470,$B74,'июнь 2025'!$J$5:$J$2470,G$1)</f>
        <v>0</v>
      </c>
      <c r="H74" s="183">
        <f>SUMIFS('июнь 2025'!$G$5:$G$2470,'июнь 2025'!$D$5:$D$2470,$B74,'июнь 2025'!$J$5:$J$2470,H$1)</f>
        <v>0</v>
      </c>
      <c r="I74" s="183">
        <f>SUMIFS('июнь 2025'!$G$5:$G$2470,'июнь 2025'!$D$5:$D$2470,$B74,'июнь 2025'!$J$5:$J$2470,I$1)</f>
        <v>2</v>
      </c>
      <c r="J74" s="183">
        <f>SUMIFS('июнь 2025'!$G$5:$G$2470,'июнь 2025'!$D$5:$D$2470,$B74,'июнь 2025'!$J$5:$J$2470,J$1)</f>
        <v>0</v>
      </c>
      <c r="K74" s="183">
        <f>SUMIFS('июнь 2025'!$G$5:$G$2470,'июнь 2025'!$D$5:$D$2470,$B74,'июнь 2025'!$J$5:$J$2470,K$1)</f>
        <v>0</v>
      </c>
      <c r="L74" s="183">
        <f>SUMIFS('июнь 2025'!$G$5:$G$2470,'июнь 2025'!$D$5:$D$2470,$B74,'июнь 2025'!$J$5:$J$2470,L$1)</f>
        <v>0</v>
      </c>
      <c r="M74" s="183">
        <f>SUMIFS('июнь 2025'!$G$5:$G$2470,'июнь 2025'!$D$5:$D$2470,$B74,'июнь 2025'!$J$5:$J$2470,M$1)</f>
        <v>0</v>
      </c>
      <c r="N74" s="183">
        <f>SUMIFS('июнь 2025'!$G$5:$G$2470,'июнь 2025'!$D$5:$D$2470,$B74,'июнь 2025'!$J$5:$J$2470,N$1)</f>
        <v>0</v>
      </c>
      <c r="O74" s="183">
        <f>SUMIFS('июнь 2025'!$G$5:$G$2470,'июнь 2025'!$D$5:$D$2470,$B74,'июнь 2025'!$J$5:$J$2470,O$1)</f>
        <v>0</v>
      </c>
      <c r="P74" s="183">
        <f>SUMIFS('июнь 2025'!$G$5:$G$2470,'июнь 2025'!$D$5:$D$2470,$B74,'июнь 2025'!$J$5:$J$2470,P$1)</f>
        <v>0</v>
      </c>
      <c r="Q74" s="183">
        <f>SUMIFS('июнь 2025'!$G$5:$G$2470,'июнь 2025'!$D$5:$D$2470,$B74,'июнь 2025'!$J$5:$J$2470,Q$1)</f>
        <v>0</v>
      </c>
      <c r="R74" s="183">
        <f>SUMIFS('июнь 2025'!$G$5:$G$2470,'июнь 2025'!$D$5:$D$2470,$B74,'июнь 2025'!$J$5:$J$2470,R$1)</f>
        <v>0</v>
      </c>
      <c r="S74" s="183">
        <f>SUMIFS('июнь 2025'!$G$5:$G$2470,'июнь 2025'!$D$5:$D$2470,$B74,'июнь 2025'!$J$5:$J$2470,S$1)</f>
        <v>0</v>
      </c>
      <c r="T74" s="183">
        <f>SUMIFS('июнь 2025'!$G$5:$G$2470,'июнь 2025'!$D$5:$D$2470,$B74,'июнь 2025'!$J$5:$J$2470,T$1)</f>
        <v>0</v>
      </c>
      <c r="U74" s="183">
        <f>SUMIFS('июнь 2025'!$G$5:$G$2470,'июнь 2025'!$D$5:$D$2470,$B74,'июнь 2025'!$J$5:$J$2470,U$1)</f>
        <v>0</v>
      </c>
      <c r="V74" s="183">
        <f>SUMIFS('июнь 2025'!$G$5:$G$2470,'июнь 2025'!$D$5:$D$2470,$B74,'июнь 2025'!$J$5:$J$2470,V$1)</f>
        <v>0</v>
      </c>
      <c r="W74" s="183">
        <f>SUMIFS('июнь 2025'!$G$5:$G$2470,'июнь 2025'!$D$5:$D$2470,$B74,'июнь 2025'!$J$5:$J$2470,W$1)</f>
        <v>0</v>
      </c>
      <c r="X74" s="183">
        <f>SUMIFS('июнь 2025'!$G$5:$G$2470,'июнь 2025'!$D$5:$D$2470,$B74,'июнь 2025'!$J$5:$J$2470,X$1)</f>
        <v>0</v>
      </c>
      <c r="Y74" s="183">
        <f>SUMIFS('июнь 2025'!$G$5:$G$2470,'июнь 2025'!$D$5:$D$2470,$B74,'июнь 2025'!$J$5:$J$2470,Y$1)</f>
        <v>0</v>
      </c>
      <c r="Z74" s="183">
        <f>SUMIFS('июнь 2025'!$G$5:$G$2470,'июнь 2025'!$D$5:$D$2470,$B74,'июнь 2025'!$J$5:$J$2470,Z$1)</f>
        <v>0</v>
      </c>
      <c r="AA74" s="183">
        <f>SUMIFS('июнь 2025'!$G$5:$G$2470,'июнь 2025'!$D$5:$D$2470,$B74,'июнь 2025'!$J$5:$J$2470,AA$1)</f>
        <v>0</v>
      </c>
      <c r="AB74" s="183">
        <f>SUMIFS('июнь 2025'!$G$5:$G$2470,'июнь 2025'!$D$5:$D$2470,$B74,'июнь 2025'!$J$5:$J$2470,AB$1)</f>
        <v>0</v>
      </c>
      <c r="AC74" s="183">
        <f>SUMIFS('июнь 2025'!$G$5:$G$2470,'июнь 2025'!$D$5:$D$2470,$B74,'июнь 2025'!$J$5:$J$2470,AC$1)</f>
        <v>0</v>
      </c>
      <c r="AD74" s="183">
        <f>SUMIFS('июнь 2025'!$G$5:$G$2470,'июнь 2025'!$D$5:$D$2470,$B74,'июнь 2025'!$J$5:$J$2470,AD$1)</f>
        <v>0</v>
      </c>
      <c r="AE74" s="183">
        <f>SUMIFS('июнь 2025'!$G$5:$G$2470,'июнь 2025'!$D$5:$D$2470,$B74,'июнь 2025'!$J$5:$J$2470,AE$1)</f>
        <v>0</v>
      </c>
      <c r="AF74" s="183">
        <f>SUMIFS('июнь 2025'!$G$5:$G$2470,'июнь 2025'!$D$5:$D$2470,$B74,'июнь 2025'!$J$5:$J$2470,AF$1)</f>
        <v>0</v>
      </c>
      <c r="AG74" s="183">
        <f>SUMIFS('июнь 2025'!$G$5:$G$2470,'июнь 2025'!$D$5:$D$2470,$B74,'июнь 2025'!$J$5:$J$2470,AG$1)</f>
        <v>0</v>
      </c>
      <c r="AH74" s="183">
        <f>SUMIFS('июнь 2025'!$G$5:$G$2470,'июнь 2025'!$D$5:$D$2470,$B74,'июнь 2025'!$J$5:$J$2470,AH$1)</f>
        <v>0</v>
      </c>
      <c r="AI74" s="20">
        <f t="shared" si="1"/>
        <v>2</v>
      </c>
    </row>
    <row r="75" spans="2:35" ht="15" customHeight="1" x14ac:dyDescent="0.25">
      <c r="B75" s="88" t="s">
        <v>187</v>
      </c>
      <c r="C75" s="86">
        <v>200</v>
      </c>
      <c r="D75" s="183">
        <f>SUMIFS('июнь 2025'!$G$5:$G$2470,'июнь 2025'!$D$5:$D$2470,$B75,'июнь 2025'!$J$5:$J$2470,D$1)</f>
        <v>0</v>
      </c>
      <c r="E75" s="183">
        <f>SUMIFS('июнь 2025'!$G$5:$G$2470,'июнь 2025'!$D$5:$D$2470,$B75,'июнь 2025'!$J$5:$J$2470,E$1)</f>
        <v>0</v>
      </c>
      <c r="F75" s="183">
        <f>SUMIFS('июнь 2025'!$G$5:$G$2470,'июнь 2025'!$D$5:$D$2470,$B75,'июнь 2025'!$J$5:$J$2470,F$1)</f>
        <v>0</v>
      </c>
      <c r="G75" s="183">
        <f>SUMIFS('июнь 2025'!$G$5:$G$2470,'июнь 2025'!$D$5:$D$2470,$B75,'июнь 2025'!$J$5:$J$2470,G$1)</f>
        <v>0</v>
      </c>
      <c r="H75" s="183">
        <f>SUMIFS('июнь 2025'!$G$5:$G$2470,'июнь 2025'!$D$5:$D$2470,$B75,'июнь 2025'!$J$5:$J$2470,H$1)</f>
        <v>0</v>
      </c>
      <c r="I75" s="183">
        <f>SUMIFS('июнь 2025'!$G$5:$G$2470,'июнь 2025'!$D$5:$D$2470,$B75,'июнь 2025'!$J$5:$J$2470,I$1)</f>
        <v>0</v>
      </c>
      <c r="J75" s="183">
        <f>SUMIFS('июнь 2025'!$G$5:$G$2470,'июнь 2025'!$D$5:$D$2470,$B75,'июнь 2025'!$J$5:$J$2470,J$1)</f>
        <v>0</v>
      </c>
      <c r="K75" s="183">
        <f>SUMIFS('июнь 2025'!$G$5:$G$2470,'июнь 2025'!$D$5:$D$2470,$B75,'июнь 2025'!$J$5:$J$2470,K$1)</f>
        <v>0</v>
      </c>
      <c r="L75" s="183">
        <f>SUMIFS('июнь 2025'!$G$5:$G$2470,'июнь 2025'!$D$5:$D$2470,$B75,'июнь 2025'!$J$5:$J$2470,L$1)</f>
        <v>0</v>
      </c>
      <c r="M75" s="183">
        <f>SUMIFS('июнь 2025'!$G$5:$G$2470,'июнь 2025'!$D$5:$D$2470,$B75,'июнь 2025'!$J$5:$J$2470,M$1)</f>
        <v>0</v>
      </c>
      <c r="N75" s="183">
        <f>SUMIFS('июнь 2025'!$G$5:$G$2470,'июнь 2025'!$D$5:$D$2470,$B75,'июнь 2025'!$J$5:$J$2470,N$1)</f>
        <v>0</v>
      </c>
      <c r="O75" s="183">
        <f>SUMIFS('июнь 2025'!$G$5:$G$2470,'июнь 2025'!$D$5:$D$2470,$B75,'июнь 2025'!$J$5:$J$2470,O$1)</f>
        <v>0</v>
      </c>
      <c r="P75" s="183">
        <f>SUMIFS('июнь 2025'!$G$5:$G$2470,'июнь 2025'!$D$5:$D$2470,$B75,'июнь 2025'!$J$5:$J$2470,P$1)</f>
        <v>0</v>
      </c>
      <c r="Q75" s="183">
        <f>SUMIFS('июнь 2025'!$G$5:$G$2470,'июнь 2025'!$D$5:$D$2470,$B75,'июнь 2025'!$J$5:$J$2470,Q$1)</f>
        <v>0</v>
      </c>
      <c r="R75" s="183">
        <f>SUMIFS('июнь 2025'!$G$5:$G$2470,'июнь 2025'!$D$5:$D$2470,$B75,'июнь 2025'!$J$5:$J$2470,R$1)</f>
        <v>0</v>
      </c>
      <c r="S75" s="183">
        <f>SUMIFS('июнь 2025'!$G$5:$G$2470,'июнь 2025'!$D$5:$D$2470,$B75,'июнь 2025'!$J$5:$J$2470,S$1)</f>
        <v>0</v>
      </c>
      <c r="T75" s="183">
        <f>SUMIFS('июнь 2025'!$G$5:$G$2470,'июнь 2025'!$D$5:$D$2470,$B75,'июнь 2025'!$J$5:$J$2470,T$1)</f>
        <v>0</v>
      </c>
      <c r="U75" s="183">
        <f>SUMIFS('июнь 2025'!$G$5:$G$2470,'июнь 2025'!$D$5:$D$2470,$B75,'июнь 2025'!$J$5:$J$2470,U$1)</f>
        <v>0</v>
      </c>
      <c r="V75" s="183">
        <f>SUMIFS('июнь 2025'!$G$5:$G$2470,'июнь 2025'!$D$5:$D$2470,$B75,'июнь 2025'!$J$5:$J$2470,V$1)</f>
        <v>0</v>
      </c>
      <c r="W75" s="183">
        <f>SUMIFS('июнь 2025'!$G$5:$G$2470,'июнь 2025'!$D$5:$D$2470,$B75,'июнь 2025'!$J$5:$J$2470,W$1)</f>
        <v>0</v>
      </c>
      <c r="X75" s="183">
        <f>SUMIFS('июнь 2025'!$G$5:$G$2470,'июнь 2025'!$D$5:$D$2470,$B75,'июнь 2025'!$J$5:$J$2470,X$1)</f>
        <v>0</v>
      </c>
      <c r="Y75" s="183">
        <f>SUMIFS('июнь 2025'!$G$5:$G$2470,'июнь 2025'!$D$5:$D$2470,$B75,'июнь 2025'!$J$5:$J$2470,Y$1)</f>
        <v>0</v>
      </c>
      <c r="Z75" s="183">
        <f>SUMIFS('июнь 2025'!$G$5:$G$2470,'июнь 2025'!$D$5:$D$2470,$B75,'июнь 2025'!$J$5:$J$2470,Z$1)</f>
        <v>0</v>
      </c>
      <c r="AA75" s="183">
        <f>SUMIFS('июнь 2025'!$G$5:$G$2470,'июнь 2025'!$D$5:$D$2470,$B75,'июнь 2025'!$J$5:$J$2470,AA$1)</f>
        <v>0</v>
      </c>
      <c r="AB75" s="183">
        <f>SUMIFS('июнь 2025'!$G$5:$G$2470,'июнь 2025'!$D$5:$D$2470,$B75,'июнь 2025'!$J$5:$J$2470,AB$1)</f>
        <v>0</v>
      </c>
      <c r="AC75" s="183">
        <f>SUMIFS('июнь 2025'!$G$5:$G$2470,'июнь 2025'!$D$5:$D$2470,$B75,'июнь 2025'!$J$5:$J$2470,AC$1)</f>
        <v>0</v>
      </c>
      <c r="AD75" s="183">
        <f>SUMIFS('июнь 2025'!$G$5:$G$2470,'июнь 2025'!$D$5:$D$2470,$B75,'июнь 2025'!$J$5:$J$2470,AD$1)</f>
        <v>0</v>
      </c>
      <c r="AE75" s="183">
        <f>SUMIFS('июнь 2025'!$G$5:$G$2470,'июнь 2025'!$D$5:$D$2470,$B75,'июнь 2025'!$J$5:$J$2470,AE$1)</f>
        <v>0</v>
      </c>
      <c r="AF75" s="183">
        <f>SUMIFS('июнь 2025'!$G$5:$G$2470,'июнь 2025'!$D$5:$D$2470,$B75,'июнь 2025'!$J$5:$J$2470,AF$1)</f>
        <v>0</v>
      </c>
      <c r="AG75" s="183">
        <f>SUMIFS('июнь 2025'!$G$5:$G$2470,'июнь 2025'!$D$5:$D$2470,$B75,'июнь 2025'!$J$5:$J$2470,AG$1)</f>
        <v>0</v>
      </c>
      <c r="AH75" s="183">
        <f>SUMIFS('июнь 2025'!$G$5:$G$2470,'июнь 2025'!$D$5:$D$2470,$B75,'июнь 2025'!$J$5:$J$2470,AH$1)</f>
        <v>0</v>
      </c>
      <c r="AI75" s="20">
        <f t="shared" si="1"/>
        <v>0</v>
      </c>
    </row>
    <row r="76" spans="2:35" ht="15" customHeight="1" x14ac:dyDescent="0.25">
      <c r="B76" s="88" t="s">
        <v>188</v>
      </c>
      <c r="C76" s="86">
        <v>200</v>
      </c>
      <c r="D76" s="183">
        <f>SUMIFS('июнь 2025'!$G$5:$G$2470,'июнь 2025'!$D$5:$D$2470,$B76,'июнь 2025'!$J$5:$J$2470,D$1)</f>
        <v>0</v>
      </c>
      <c r="E76" s="183">
        <f>SUMIFS('июнь 2025'!$G$5:$G$2470,'июнь 2025'!$D$5:$D$2470,$B76,'июнь 2025'!$J$5:$J$2470,E$1)</f>
        <v>0</v>
      </c>
      <c r="F76" s="183">
        <f>SUMIFS('июнь 2025'!$G$5:$G$2470,'июнь 2025'!$D$5:$D$2470,$B76,'июнь 2025'!$J$5:$J$2470,F$1)</f>
        <v>0</v>
      </c>
      <c r="G76" s="183">
        <f>SUMIFS('июнь 2025'!$G$5:$G$2470,'июнь 2025'!$D$5:$D$2470,$B76,'июнь 2025'!$J$5:$J$2470,G$1)</f>
        <v>0</v>
      </c>
      <c r="H76" s="183">
        <f>SUMIFS('июнь 2025'!$G$5:$G$2470,'июнь 2025'!$D$5:$D$2470,$B76,'июнь 2025'!$J$5:$J$2470,H$1)</f>
        <v>0</v>
      </c>
      <c r="I76" s="183">
        <f>SUMIFS('июнь 2025'!$G$5:$G$2470,'июнь 2025'!$D$5:$D$2470,$B76,'июнь 2025'!$J$5:$J$2470,I$1)</f>
        <v>0</v>
      </c>
      <c r="J76" s="183">
        <f>SUMIFS('июнь 2025'!$G$5:$G$2470,'июнь 2025'!$D$5:$D$2470,$B76,'июнь 2025'!$J$5:$J$2470,J$1)</f>
        <v>0</v>
      </c>
      <c r="K76" s="183">
        <f>SUMIFS('июнь 2025'!$G$5:$G$2470,'июнь 2025'!$D$5:$D$2470,$B76,'июнь 2025'!$J$5:$J$2470,K$1)</f>
        <v>0</v>
      </c>
      <c r="L76" s="183">
        <f>SUMIFS('июнь 2025'!$G$5:$G$2470,'июнь 2025'!$D$5:$D$2470,$B76,'июнь 2025'!$J$5:$J$2470,L$1)</f>
        <v>0</v>
      </c>
      <c r="M76" s="183">
        <f>SUMIFS('июнь 2025'!$G$5:$G$2470,'июнь 2025'!$D$5:$D$2470,$B76,'июнь 2025'!$J$5:$J$2470,M$1)</f>
        <v>0</v>
      </c>
      <c r="N76" s="183">
        <f>SUMIFS('июнь 2025'!$G$5:$G$2470,'июнь 2025'!$D$5:$D$2470,$B76,'июнь 2025'!$J$5:$J$2470,N$1)</f>
        <v>0</v>
      </c>
      <c r="O76" s="183">
        <f>SUMIFS('июнь 2025'!$G$5:$G$2470,'июнь 2025'!$D$5:$D$2470,$B76,'июнь 2025'!$J$5:$J$2470,O$1)</f>
        <v>0</v>
      </c>
      <c r="P76" s="183">
        <f>SUMIFS('июнь 2025'!$G$5:$G$2470,'июнь 2025'!$D$5:$D$2470,$B76,'июнь 2025'!$J$5:$J$2470,P$1)</f>
        <v>0</v>
      </c>
      <c r="Q76" s="183">
        <f>SUMIFS('июнь 2025'!$G$5:$G$2470,'июнь 2025'!$D$5:$D$2470,$B76,'июнь 2025'!$J$5:$J$2470,Q$1)</f>
        <v>0</v>
      </c>
      <c r="R76" s="183">
        <f>SUMIFS('июнь 2025'!$G$5:$G$2470,'июнь 2025'!$D$5:$D$2470,$B76,'июнь 2025'!$J$5:$J$2470,R$1)</f>
        <v>0</v>
      </c>
      <c r="S76" s="183">
        <f>SUMIFS('июнь 2025'!$G$5:$G$2470,'июнь 2025'!$D$5:$D$2470,$B76,'июнь 2025'!$J$5:$J$2470,S$1)</f>
        <v>0</v>
      </c>
      <c r="T76" s="183">
        <f>SUMIFS('июнь 2025'!$G$5:$G$2470,'июнь 2025'!$D$5:$D$2470,$B76,'июнь 2025'!$J$5:$J$2470,T$1)</f>
        <v>0</v>
      </c>
      <c r="U76" s="183">
        <f>SUMIFS('июнь 2025'!$G$5:$G$2470,'июнь 2025'!$D$5:$D$2470,$B76,'июнь 2025'!$J$5:$J$2470,U$1)</f>
        <v>0</v>
      </c>
      <c r="V76" s="183">
        <f>SUMIFS('июнь 2025'!$G$5:$G$2470,'июнь 2025'!$D$5:$D$2470,$B76,'июнь 2025'!$J$5:$J$2470,V$1)</f>
        <v>0</v>
      </c>
      <c r="W76" s="183">
        <f>SUMIFS('июнь 2025'!$G$5:$G$2470,'июнь 2025'!$D$5:$D$2470,$B76,'июнь 2025'!$J$5:$J$2470,W$1)</f>
        <v>0</v>
      </c>
      <c r="X76" s="183">
        <f>SUMIFS('июнь 2025'!$G$5:$G$2470,'июнь 2025'!$D$5:$D$2470,$B76,'июнь 2025'!$J$5:$J$2470,X$1)</f>
        <v>0</v>
      </c>
      <c r="Y76" s="183">
        <f>SUMIFS('июнь 2025'!$G$5:$G$2470,'июнь 2025'!$D$5:$D$2470,$B76,'июнь 2025'!$J$5:$J$2470,Y$1)</f>
        <v>0</v>
      </c>
      <c r="Z76" s="183">
        <f>SUMIFS('июнь 2025'!$G$5:$G$2470,'июнь 2025'!$D$5:$D$2470,$B76,'июнь 2025'!$J$5:$J$2470,Z$1)</f>
        <v>0</v>
      </c>
      <c r="AA76" s="183">
        <f>SUMIFS('июнь 2025'!$G$5:$G$2470,'июнь 2025'!$D$5:$D$2470,$B76,'июнь 2025'!$J$5:$J$2470,AA$1)</f>
        <v>0</v>
      </c>
      <c r="AB76" s="183">
        <f>SUMIFS('июнь 2025'!$G$5:$G$2470,'июнь 2025'!$D$5:$D$2470,$B76,'июнь 2025'!$J$5:$J$2470,AB$1)</f>
        <v>0</v>
      </c>
      <c r="AC76" s="183">
        <f>SUMIFS('июнь 2025'!$G$5:$G$2470,'июнь 2025'!$D$5:$D$2470,$B76,'июнь 2025'!$J$5:$J$2470,AC$1)</f>
        <v>0</v>
      </c>
      <c r="AD76" s="183">
        <f>SUMIFS('июнь 2025'!$G$5:$G$2470,'июнь 2025'!$D$5:$D$2470,$B76,'июнь 2025'!$J$5:$J$2470,AD$1)</f>
        <v>0</v>
      </c>
      <c r="AE76" s="183">
        <f>SUMIFS('июнь 2025'!$G$5:$G$2470,'июнь 2025'!$D$5:$D$2470,$B76,'июнь 2025'!$J$5:$J$2470,AE$1)</f>
        <v>0</v>
      </c>
      <c r="AF76" s="183">
        <f>SUMIFS('июнь 2025'!$G$5:$G$2470,'июнь 2025'!$D$5:$D$2470,$B76,'июнь 2025'!$J$5:$J$2470,AF$1)</f>
        <v>0</v>
      </c>
      <c r="AG76" s="183">
        <f>SUMIFS('июнь 2025'!$G$5:$G$2470,'июнь 2025'!$D$5:$D$2470,$B76,'июнь 2025'!$J$5:$J$2470,AG$1)</f>
        <v>0</v>
      </c>
      <c r="AH76" s="183">
        <f>SUMIFS('июнь 2025'!$G$5:$G$2470,'июнь 2025'!$D$5:$D$2470,$B76,'июнь 2025'!$J$5:$J$2470,AH$1)</f>
        <v>0</v>
      </c>
      <c r="AI76" s="20">
        <f t="shared" si="1"/>
        <v>0</v>
      </c>
    </row>
    <row r="77" spans="2:35" ht="15" customHeight="1" x14ac:dyDescent="0.25">
      <c r="B77" s="88" t="s">
        <v>256</v>
      </c>
      <c r="C77" s="86">
        <v>190</v>
      </c>
      <c r="D77" s="183">
        <f>SUMIFS('июнь 2025'!$G$5:$G$2470,'июнь 2025'!$D$5:$D$2470,$B77,'июнь 2025'!$J$5:$J$2470,D$1)</f>
        <v>0</v>
      </c>
      <c r="E77" s="183">
        <f>SUMIFS('июнь 2025'!$G$5:$G$2470,'июнь 2025'!$D$5:$D$2470,$B77,'июнь 2025'!$J$5:$J$2470,E$1)</f>
        <v>0</v>
      </c>
      <c r="F77" s="183">
        <f>SUMIFS('июнь 2025'!$G$5:$G$2470,'июнь 2025'!$D$5:$D$2470,$B77,'июнь 2025'!$J$5:$J$2470,F$1)</f>
        <v>0</v>
      </c>
      <c r="G77" s="183">
        <f>SUMIFS('июнь 2025'!$G$5:$G$2470,'июнь 2025'!$D$5:$D$2470,$B77,'июнь 2025'!$J$5:$J$2470,G$1)</f>
        <v>0</v>
      </c>
      <c r="H77" s="183">
        <f>SUMIFS('июнь 2025'!$G$5:$G$2470,'июнь 2025'!$D$5:$D$2470,$B77,'июнь 2025'!$J$5:$J$2470,H$1)</f>
        <v>0</v>
      </c>
      <c r="I77" s="183">
        <f>SUMIFS('июнь 2025'!$G$5:$G$2470,'июнь 2025'!$D$5:$D$2470,$B77,'июнь 2025'!$J$5:$J$2470,I$1)</f>
        <v>0</v>
      </c>
      <c r="J77" s="183">
        <f>SUMIFS('июнь 2025'!$G$5:$G$2470,'июнь 2025'!$D$5:$D$2470,$B77,'июнь 2025'!$J$5:$J$2470,J$1)</f>
        <v>0</v>
      </c>
      <c r="K77" s="183">
        <f>SUMIFS('июнь 2025'!$G$5:$G$2470,'июнь 2025'!$D$5:$D$2470,$B77,'июнь 2025'!$J$5:$J$2470,K$1)</f>
        <v>0</v>
      </c>
      <c r="L77" s="183">
        <f>SUMIFS('июнь 2025'!$G$5:$G$2470,'июнь 2025'!$D$5:$D$2470,$B77,'июнь 2025'!$J$5:$J$2470,L$1)</f>
        <v>0</v>
      </c>
      <c r="M77" s="183">
        <f>SUMIFS('июнь 2025'!$G$5:$G$2470,'июнь 2025'!$D$5:$D$2470,$B77,'июнь 2025'!$J$5:$J$2470,M$1)</f>
        <v>0</v>
      </c>
      <c r="N77" s="183">
        <f>SUMIFS('июнь 2025'!$G$5:$G$2470,'июнь 2025'!$D$5:$D$2470,$B77,'июнь 2025'!$J$5:$J$2470,N$1)</f>
        <v>0</v>
      </c>
      <c r="O77" s="183">
        <f>SUMIFS('июнь 2025'!$G$5:$G$2470,'июнь 2025'!$D$5:$D$2470,$B77,'июнь 2025'!$J$5:$J$2470,O$1)</f>
        <v>0</v>
      </c>
      <c r="P77" s="183">
        <f>SUMIFS('июнь 2025'!$G$5:$G$2470,'июнь 2025'!$D$5:$D$2470,$B77,'июнь 2025'!$J$5:$J$2470,P$1)</f>
        <v>0</v>
      </c>
      <c r="Q77" s="183">
        <f>SUMIFS('июнь 2025'!$G$5:$G$2470,'июнь 2025'!$D$5:$D$2470,$B77,'июнь 2025'!$J$5:$J$2470,Q$1)</f>
        <v>0</v>
      </c>
      <c r="R77" s="183">
        <f>SUMIFS('июнь 2025'!$G$5:$G$2470,'июнь 2025'!$D$5:$D$2470,$B77,'июнь 2025'!$J$5:$J$2470,R$1)</f>
        <v>0</v>
      </c>
      <c r="S77" s="183">
        <f>SUMIFS('июнь 2025'!$G$5:$G$2470,'июнь 2025'!$D$5:$D$2470,$B77,'июнь 2025'!$J$5:$J$2470,S$1)</f>
        <v>0</v>
      </c>
      <c r="T77" s="183">
        <f>SUMIFS('июнь 2025'!$G$5:$G$2470,'июнь 2025'!$D$5:$D$2470,$B77,'июнь 2025'!$J$5:$J$2470,T$1)</f>
        <v>0</v>
      </c>
      <c r="U77" s="183">
        <f>SUMIFS('июнь 2025'!$G$5:$G$2470,'июнь 2025'!$D$5:$D$2470,$B77,'июнь 2025'!$J$5:$J$2470,U$1)</f>
        <v>0</v>
      </c>
      <c r="V77" s="183">
        <f>SUMIFS('июнь 2025'!$G$5:$G$2470,'июнь 2025'!$D$5:$D$2470,$B77,'июнь 2025'!$J$5:$J$2470,V$1)</f>
        <v>0</v>
      </c>
      <c r="W77" s="183">
        <f>SUMIFS('июнь 2025'!$G$5:$G$2470,'июнь 2025'!$D$5:$D$2470,$B77,'июнь 2025'!$J$5:$J$2470,W$1)</f>
        <v>0</v>
      </c>
      <c r="X77" s="183">
        <f>SUMIFS('июнь 2025'!$G$5:$G$2470,'июнь 2025'!$D$5:$D$2470,$B77,'июнь 2025'!$J$5:$J$2470,X$1)</f>
        <v>0</v>
      </c>
      <c r="Y77" s="183">
        <f>SUMIFS('июнь 2025'!$G$5:$G$2470,'июнь 2025'!$D$5:$D$2470,$B77,'июнь 2025'!$J$5:$J$2470,Y$1)</f>
        <v>0</v>
      </c>
      <c r="Z77" s="183">
        <f>SUMIFS('июнь 2025'!$G$5:$G$2470,'июнь 2025'!$D$5:$D$2470,$B77,'июнь 2025'!$J$5:$J$2470,Z$1)</f>
        <v>0</v>
      </c>
      <c r="AA77" s="183">
        <f>SUMIFS('июнь 2025'!$G$5:$G$2470,'июнь 2025'!$D$5:$D$2470,$B77,'июнь 2025'!$J$5:$J$2470,AA$1)</f>
        <v>0</v>
      </c>
      <c r="AB77" s="183">
        <f>SUMIFS('июнь 2025'!$G$5:$G$2470,'июнь 2025'!$D$5:$D$2470,$B77,'июнь 2025'!$J$5:$J$2470,AB$1)</f>
        <v>0</v>
      </c>
      <c r="AC77" s="183">
        <f>SUMIFS('июнь 2025'!$G$5:$G$2470,'июнь 2025'!$D$5:$D$2470,$B77,'июнь 2025'!$J$5:$J$2470,AC$1)</f>
        <v>0</v>
      </c>
      <c r="AD77" s="183">
        <f>SUMIFS('июнь 2025'!$G$5:$G$2470,'июнь 2025'!$D$5:$D$2470,$B77,'июнь 2025'!$J$5:$J$2470,AD$1)</f>
        <v>0</v>
      </c>
      <c r="AE77" s="183">
        <f>SUMIFS('июнь 2025'!$G$5:$G$2470,'июнь 2025'!$D$5:$D$2470,$B77,'июнь 2025'!$J$5:$J$2470,AE$1)</f>
        <v>0</v>
      </c>
      <c r="AF77" s="183">
        <f>SUMIFS('июнь 2025'!$G$5:$G$2470,'июнь 2025'!$D$5:$D$2470,$B77,'июнь 2025'!$J$5:$J$2470,AF$1)</f>
        <v>0</v>
      </c>
      <c r="AG77" s="183">
        <f>SUMIFS('июнь 2025'!$G$5:$G$2470,'июнь 2025'!$D$5:$D$2470,$B77,'июнь 2025'!$J$5:$J$2470,AG$1)</f>
        <v>0</v>
      </c>
      <c r="AH77" s="183">
        <f>SUMIFS('июнь 2025'!$G$5:$G$2470,'июнь 2025'!$D$5:$D$2470,$B77,'июнь 2025'!$J$5:$J$2470,AH$1)</f>
        <v>0</v>
      </c>
      <c r="AI77" s="20">
        <f t="shared" si="1"/>
        <v>0</v>
      </c>
    </row>
    <row r="78" spans="2:35" ht="15" customHeight="1" x14ac:dyDescent="0.25">
      <c r="B78" s="88" t="s">
        <v>199</v>
      </c>
      <c r="C78" s="86">
        <v>200</v>
      </c>
      <c r="D78" s="183">
        <f>SUMIFS('июнь 2025'!$G$5:$G$2470,'июнь 2025'!$D$5:$D$2470,$B78,'июнь 2025'!$J$5:$J$2470,D$1)</f>
        <v>0</v>
      </c>
      <c r="E78" s="183">
        <f>SUMIFS('июнь 2025'!$G$5:$G$2470,'июнь 2025'!$D$5:$D$2470,$B78,'июнь 2025'!$J$5:$J$2470,E$1)</f>
        <v>0</v>
      </c>
      <c r="F78" s="183">
        <f>SUMIFS('июнь 2025'!$G$5:$G$2470,'июнь 2025'!$D$5:$D$2470,$B78,'июнь 2025'!$J$5:$J$2470,F$1)</f>
        <v>0</v>
      </c>
      <c r="G78" s="183">
        <f>SUMIFS('июнь 2025'!$G$5:$G$2470,'июнь 2025'!$D$5:$D$2470,$B78,'июнь 2025'!$J$5:$J$2470,G$1)</f>
        <v>0</v>
      </c>
      <c r="H78" s="183">
        <f>SUMIFS('июнь 2025'!$G$5:$G$2470,'июнь 2025'!$D$5:$D$2470,$B78,'июнь 2025'!$J$5:$J$2470,H$1)</f>
        <v>0</v>
      </c>
      <c r="I78" s="183">
        <f>SUMIFS('июнь 2025'!$G$5:$G$2470,'июнь 2025'!$D$5:$D$2470,$B78,'июнь 2025'!$J$5:$J$2470,I$1)</f>
        <v>0</v>
      </c>
      <c r="J78" s="183">
        <f>SUMIFS('июнь 2025'!$G$5:$G$2470,'июнь 2025'!$D$5:$D$2470,$B78,'июнь 2025'!$J$5:$J$2470,J$1)</f>
        <v>0</v>
      </c>
      <c r="K78" s="183">
        <f>SUMIFS('июнь 2025'!$G$5:$G$2470,'июнь 2025'!$D$5:$D$2470,$B78,'июнь 2025'!$J$5:$J$2470,K$1)</f>
        <v>0</v>
      </c>
      <c r="L78" s="183">
        <f>SUMIFS('июнь 2025'!$G$5:$G$2470,'июнь 2025'!$D$5:$D$2470,$B78,'июнь 2025'!$J$5:$J$2470,L$1)</f>
        <v>0</v>
      </c>
      <c r="M78" s="183">
        <f>SUMIFS('июнь 2025'!$G$5:$G$2470,'июнь 2025'!$D$5:$D$2470,$B78,'июнь 2025'!$J$5:$J$2470,M$1)</f>
        <v>0</v>
      </c>
      <c r="N78" s="183">
        <f>SUMIFS('июнь 2025'!$G$5:$G$2470,'июнь 2025'!$D$5:$D$2470,$B78,'июнь 2025'!$J$5:$J$2470,N$1)</f>
        <v>0</v>
      </c>
      <c r="O78" s="183">
        <f>SUMIFS('июнь 2025'!$G$5:$G$2470,'июнь 2025'!$D$5:$D$2470,$B78,'июнь 2025'!$J$5:$J$2470,O$1)</f>
        <v>0</v>
      </c>
      <c r="P78" s="183">
        <f>SUMIFS('июнь 2025'!$G$5:$G$2470,'июнь 2025'!$D$5:$D$2470,$B78,'июнь 2025'!$J$5:$J$2470,P$1)</f>
        <v>0</v>
      </c>
      <c r="Q78" s="183">
        <f>SUMIFS('июнь 2025'!$G$5:$G$2470,'июнь 2025'!$D$5:$D$2470,$B78,'июнь 2025'!$J$5:$J$2470,Q$1)</f>
        <v>0</v>
      </c>
      <c r="R78" s="183">
        <f>SUMIFS('июнь 2025'!$G$5:$G$2470,'июнь 2025'!$D$5:$D$2470,$B78,'июнь 2025'!$J$5:$J$2470,R$1)</f>
        <v>0</v>
      </c>
      <c r="S78" s="183">
        <f>SUMIFS('июнь 2025'!$G$5:$G$2470,'июнь 2025'!$D$5:$D$2470,$B78,'июнь 2025'!$J$5:$J$2470,S$1)</f>
        <v>0</v>
      </c>
      <c r="T78" s="183">
        <f>SUMIFS('июнь 2025'!$G$5:$G$2470,'июнь 2025'!$D$5:$D$2470,$B78,'июнь 2025'!$J$5:$J$2470,T$1)</f>
        <v>0</v>
      </c>
      <c r="U78" s="183">
        <f>SUMIFS('июнь 2025'!$G$5:$G$2470,'июнь 2025'!$D$5:$D$2470,$B78,'июнь 2025'!$J$5:$J$2470,U$1)</f>
        <v>0</v>
      </c>
      <c r="V78" s="183">
        <f>SUMIFS('июнь 2025'!$G$5:$G$2470,'июнь 2025'!$D$5:$D$2470,$B78,'июнь 2025'!$J$5:$J$2470,V$1)</f>
        <v>0</v>
      </c>
      <c r="W78" s="183">
        <f>SUMIFS('июнь 2025'!$G$5:$G$2470,'июнь 2025'!$D$5:$D$2470,$B78,'июнь 2025'!$J$5:$J$2470,W$1)</f>
        <v>0</v>
      </c>
      <c r="X78" s="183">
        <f>SUMIFS('июнь 2025'!$G$5:$G$2470,'июнь 2025'!$D$5:$D$2470,$B78,'июнь 2025'!$J$5:$J$2470,X$1)</f>
        <v>0</v>
      </c>
      <c r="Y78" s="183">
        <f>SUMIFS('июнь 2025'!$G$5:$G$2470,'июнь 2025'!$D$5:$D$2470,$B78,'июнь 2025'!$J$5:$J$2470,Y$1)</f>
        <v>0</v>
      </c>
      <c r="Z78" s="183">
        <f>SUMIFS('июнь 2025'!$G$5:$G$2470,'июнь 2025'!$D$5:$D$2470,$B78,'июнь 2025'!$J$5:$J$2470,Z$1)</f>
        <v>0</v>
      </c>
      <c r="AA78" s="183">
        <f>SUMIFS('июнь 2025'!$G$5:$G$2470,'июнь 2025'!$D$5:$D$2470,$B78,'июнь 2025'!$J$5:$J$2470,AA$1)</f>
        <v>0</v>
      </c>
      <c r="AB78" s="183">
        <f>SUMIFS('июнь 2025'!$G$5:$G$2470,'июнь 2025'!$D$5:$D$2470,$B78,'июнь 2025'!$J$5:$J$2470,AB$1)</f>
        <v>0</v>
      </c>
      <c r="AC78" s="183">
        <f>SUMIFS('июнь 2025'!$G$5:$G$2470,'июнь 2025'!$D$5:$D$2470,$B78,'июнь 2025'!$J$5:$J$2470,AC$1)</f>
        <v>0</v>
      </c>
      <c r="AD78" s="183">
        <f>SUMIFS('июнь 2025'!$G$5:$G$2470,'июнь 2025'!$D$5:$D$2470,$B78,'июнь 2025'!$J$5:$J$2470,AD$1)</f>
        <v>0</v>
      </c>
      <c r="AE78" s="183">
        <f>SUMIFS('июнь 2025'!$G$5:$G$2470,'июнь 2025'!$D$5:$D$2470,$B78,'июнь 2025'!$J$5:$J$2470,AE$1)</f>
        <v>0</v>
      </c>
      <c r="AF78" s="183">
        <f>SUMIFS('июнь 2025'!$G$5:$G$2470,'июнь 2025'!$D$5:$D$2470,$B78,'июнь 2025'!$J$5:$J$2470,AF$1)</f>
        <v>0</v>
      </c>
      <c r="AG78" s="183">
        <f>SUMIFS('июнь 2025'!$G$5:$G$2470,'июнь 2025'!$D$5:$D$2470,$B78,'июнь 2025'!$J$5:$J$2470,AG$1)</f>
        <v>0</v>
      </c>
      <c r="AH78" s="183">
        <f>SUMIFS('июнь 2025'!$G$5:$G$2470,'июнь 2025'!$D$5:$D$2470,$B78,'июнь 2025'!$J$5:$J$2470,AH$1)</f>
        <v>0</v>
      </c>
      <c r="AI78" s="20">
        <f t="shared" si="1"/>
        <v>0</v>
      </c>
    </row>
    <row r="79" spans="2:35" ht="15" customHeight="1" x14ac:dyDescent="0.25">
      <c r="B79" s="88" t="s">
        <v>206</v>
      </c>
      <c r="C79" s="86">
        <v>25</v>
      </c>
      <c r="D79" s="183">
        <f>SUMIFS('июнь 2025'!$G$5:$G$2470,'июнь 2025'!$D$5:$D$2470,$B79,'июнь 2025'!$J$5:$J$2470,D$1)</f>
        <v>0</v>
      </c>
      <c r="E79" s="183">
        <f>SUMIFS('июнь 2025'!$G$5:$G$2470,'июнь 2025'!$D$5:$D$2470,$B79,'июнь 2025'!$J$5:$J$2470,E$1)</f>
        <v>0</v>
      </c>
      <c r="F79" s="183">
        <f>SUMIFS('июнь 2025'!$G$5:$G$2470,'июнь 2025'!$D$5:$D$2470,$B79,'июнь 2025'!$J$5:$J$2470,F$1)</f>
        <v>0</v>
      </c>
      <c r="G79" s="183">
        <f>SUMIFS('июнь 2025'!$G$5:$G$2470,'июнь 2025'!$D$5:$D$2470,$B79,'июнь 2025'!$J$5:$J$2470,G$1)</f>
        <v>0</v>
      </c>
      <c r="H79" s="183">
        <f>SUMIFS('июнь 2025'!$G$5:$G$2470,'июнь 2025'!$D$5:$D$2470,$B79,'июнь 2025'!$J$5:$J$2470,H$1)</f>
        <v>0</v>
      </c>
      <c r="I79" s="183">
        <f>SUMIFS('июнь 2025'!$G$5:$G$2470,'июнь 2025'!$D$5:$D$2470,$B79,'июнь 2025'!$J$5:$J$2470,I$1)</f>
        <v>0</v>
      </c>
      <c r="J79" s="183">
        <f>SUMIFS('июнь 2025'!$G$5:$G$2470,'июнь 2025'!$D$5:$D$2470,$B79,'июнь 2025'!$J$5:$J$2470,J$1)</f>
        <v>0</v>
      </c>
      <c r="K79" s="183">
        <f>SUMIFS('июнь 2025'!$G$5:$G$2470,'июнь 2025'!$D$5:$D$2470,$B79,'июнь 2025'!$J$5:$J$2470,K$1)</f>
        <v>0</v>
      </c>
      <c r="L79" s="183">
        <f>SUMIFS('июнь 2025'!$G$5:$G$2470,'июнь 2025'!$D$5:$D$2470,$B79,'июнь 2025'!$J$5:$J$2470,L$1)</f>
        <v>0</v>
      </c>
      <c r="M79" s="183">
        <f>SUMIFS('июнь 2025'!$G$5:$G$2470,'июнь 2025'!$D$5:$D$2470,$B79,'июнь 2025'!$J$5:$J$2470,M$1)</f>
        <v>0</v>
      </c>
      <c r="N79" s="183">
        <f>SUMIFS('июнь 2025'!$G$5:$G$2470,'июнь 2025'!$D$5:$D$2470,$B79,'июнь 2025'!$J$5:$J$2470,N$1)</f>
        <v>0</v>
      </c>
      <c r="O79" s="183">
        <f>SUMIFS('июнь 2025'!$G$5:$G$2470,'июнь 2025'!$D$5:$D$2470,$B79,'июнь 2025'!$J$5:$J$2470,O$1)</f>
        <v>0</v>
      </c>
      <c r="P79" s="183">
        <f>SUMIFS('июнь 2025'!$G$5:$G$2470,'июнь 2025'!$D$5:$D$2470,$B79,'июнь 2025'!$J$5:$J$2470,P$1)</f>
        <v>0</v>
      </c>
      <c r="Q79" s="183">
        <f>SUMIFS('июнь 2025'!$G$5:$G$2470,'июнь 2025'!$D$5:$D$2470,$B79,'июнь 2025'!$J$5:$J$2470,Q$1)</f>
        <v>0</v>
      </c>
      <c r="R79" s="183">
        <f>SUMIFS('июнь 2025'!$G$5:$G$2470,'июнь 2025'!$D$5:$D$2470,$B79,'июнь 2025'!$J$5:$J$2470,R$1)</f>
        <v>0</v>
      </c>
      <c r="S79" s="183">
        <f>SUMIFS('июнь 2025'!$G$5:$G$2470,'июнь 2025'!$D$5:$D$2470,$B79,'июнь 2025'!$J$5:$J$2470,S$1)</f>
        <v>0</v>
      </c>
      <c r="T79" s="183">
        <f>SUMIFS('июнь 2025'!$G$5:$G$2470,'июнь 2025'!$D$5:$D$2470,$B79,'июнь 2025'!$J$5:$J$2470,T$1)</f>
        <v>0</v>
      </c>
      <c r="U79" s="183">
        <f>SUMIFS('июнь 2025'!$G$5:$G$2470,'июнь 2025'!$D$5:$D$2470,$B79,'июнь 2025'!$J$5:$J$2470,U$1)</f>
        <v>0</v>
      </c>
      <c r="V79" s="183">
        <f>SUMIFS('июнь 2025'!$G$5:$G$2470,'июнь 2025'!$D$5:$D$2470,$B79,'июнь 2025'!$J$5:$J$2470,V$1)</f>
        <v>0</v>
      </c>
      <c r="W79" s="183">
        <f>SUMIFS('июнь 2025'!$G$5:$G$2470,'июнь 2025'!$D$5:$D$2470,$B79,'июнь 2025'!$J$5:$J$2470,W$1)</f>
        <v>0</v>
      </c>
      <c r="X79" s="183">
        <f>SUMIFS('июнь 2025'!$G$5:$G$2470,'июнь 2025'!$D$5:$D$2470,$B79,'июнь 2025'!$J$5:$J$2470,X$1)</f>
        <v>0</v>
      </c>
      <c r="Y79" s="183">
        <f>SUMIFS('июнь 2025'!$G$5:$G$2470,'июнь 2025'!$D$5:$D$2470,$B79,'июнь 2025'!$J$5:$J$2470,Y$1)</f>
        <v>0</v>
      </c>
      <c r="Z79" s="183">
        <f>SUMIFS('июнь 2025'!$G$5:$G$2470,'июнь 2025'!$D$5:$D$2470,$B79,'июнь 2025'!$J$5:$J$2470,Z$1)</f>
        <v>0</v>
      </c>
      <c r="AA79" s="183">
        <f>SUMIFS('июнь 2025'!$G$5:$G$2470,'июнь 2025'!$D$5:$D$2470,$B79,'июнь 2025'!$J$5:$J$2470,AA$1)</f>
        <v>0</v>
      </c>
      <c r="AB79" s="183">
        <f>SUMIFS('июнь 2025'!$G$5:$G$2470,'июнь 2025'!$D$5:$D$2470,$B79,'июнь 2025'!$J$5:$J$2470,AB$1)</f>
        <v>0</v>
      </c>
      <c r="AC79" s="183">
        <f>SUMIFS('июнь 2025'!$G$5:$G$2470,'июнь 2025'!$D$5:$D$2470,$B79,'июнь 2025'!$J$5:$J$2470,AC$1)</f>
        <v>0</v>
      </c>
      <c r="AD79" s="183">
        <f>SUMIFS('июнь 2025'!$G$5:$G$2470,'июнь 2025'!$D$5:$D$2470,$B79,'июнь 2025'!$J$5:$J$2470,AD$1)</f>
        <v>0</v>
      </c>
      <c r="AE79" s="183">
        <f>SUMIFS('июнь 2025'!$G$5:$G$2470,'июнь 2025'!$D$5:$D$2470,$B79,'июнь 2025'!$J$5:$J$2470,AE$1)</f>
        <v>0</v>
      </c>
      <c r="AF79" s="183">
        <f>SUMIFS('июнь 2025'!$G$5:$G$2470,'июнь 2025'!$D$5:$D$2470,$B79,'июнь 2025'!$J$5:$J$2470,AF$1)</f>
        <v>0</v>
      </c>
      <c r="AG79" s="183">
        <f>SUMIFS('июнь 2025'!$G$5:$G$2470,'июнь 2025'!$D$5:$D$2470,$B79,'июнь 2025'!$J$5:$J$2470,AG$1)</f>
        <v>0</v>
      </c>
      <c r="AH79" s="183">
        <f>SUMIFS('июнь 2025'!$G$5:$G$2470,'июнь 2025'!$D$5:$D$2470,$B79,'июнь 2025'!$J$5:$J$2470,AH$1)</f>
        <v>0</v>
      </c>
      <c r="AI79" s="20">
        <f t="shared" si="1"/>
        <v>0</v>
      </c>
    </row>
    <row r="80" spans="2:35" ht="15" customHeight="1" x14ac:dyDescent="0.25">
      <c r="B80" s="88" t="s">
        <v>178</v>
      </c>
      <c r="C80" s="86">
        <v>50</v>
      </c>
      <c r="D80" s="183">
        <f>SUMIFS('июнь 2025'!$G$5:$G$2470,'июнь 2025'!$D$5:$D$2470,$B80,'июнь 2025'!$J$5:$J$2470,D$1)</f>
        <v>0</v>
      </c>
      <c r="E80" s="183">
        <f>SUMIFS('июнь 2025'!$G$5:$G$2470,'июнь 2025'!$D$5:$D$2470,$B80,'июнь 2025'!$J$5:$J$2470,E$1)</f>
        <v>0</v>
      </c>
      <c r="F80" s="183">
        <f>SUMIFS('июнь 2025'!$G$5:$G$2470,'июнь 2025'!$D$5:$D$2470,$B80,'июнь 2025'!$J$5:$J$2470,F$1)</f>
        <v>0</v>
      </c>
      <c r="G80" s="183">
        <f>SUMIFS('июнь 2025'!$G$5:$G$2470,'июнь 2025'!$D$5:$D$2470,$B80,'июнь 2025'!$J$5:$J$2470,G$1)</f>
        <v>0</v>
      </c>
      <c r="H80" s="183">
        <f>SUMIFS('июнь 2025'!$G$5:$G$2470,'июнь 2025'!$D$5:$D$2470,$B80,'июнь 2025'!$J$5:$J$2470,H$1)</f>
        <v>0</v>
      </c>
      <c r="I80" s="183">
        <f>SUMIFS('июнь 2025'!$G$5:$G$2470,'июнь 2025'!$D$5:$D$2470,$B80,'июнь 2025'!$J$5:$J$2470,I$1)</f>
        <v>0</v>
      </c>
      <c r="J80" s="183">
        <f>SUMIFS('июнь 2025'!$G$5:$G$2470,'июнь 2025'!$D$5:$D$2470,$B80,'июнь 2025'!$J$5:$J$2470,J$1)</f>
        <v>0</v>
      </c>
      <c r="K80" s="183">
        <f>SUMIFS('июнь 2025'!$G$5:$G$2470,'июнь 2025'!$D$5:$D$2470,$B80,'июнь 2025'!$J$5:$J$2470,K$1)</f>
        <v>0</v>
      </c>
      <c r="L80" s="183">
        <f>SUMIFS('июнь 2025'!$G$5:$G$2470,'июнь 2025'!$D$5:$D$2470,$B80,'июнь 2025'!$J$5:$J$2470,L$1)</f>
        <v>0</v>
      </c>
      <c r="M80" s="183">
        <f>SUMIFS('июнь 2025'!$G$5:$G$2470,'июнь 2025'!$D$5:$D$2470,$B80,'июнь 2025'!$J$5:$J$2470,M$1)</f>
        <v>0</v>
      </c>
      <c r="N80" s="183">
        <f>SUMIFS('июнь 2025'!$G$5:$G$2470,'июнь 2025'!$D$5:$D$2470,$B80,'июнь 2025'!$J$5:$J$2470,N$1)</f>
        <v>0</v>
      </c>
      <c r="O80" s="183">
        <f>SUMIFS('июнь 2025'!$G$5:$G$2470,'июнь 2025'!$D$5:$D$2470,$B80,'июнь 2025'!$J$5:$J$2470,O$1)</f>
        <v>0</v>
      </c>
      <c r="P80" s="183">
        <f>SUMIFS('июнь 2025'!$G$5:$G$2470,'июнь 2025'!$D$5:$D$2470,$B80,'июнь 2025'!$J$5:$J$2470,P$1)</f>
        <v>0</v>
      </c>
      <c r="Q80" s="183">
        <f>SUMIFS('июнь 2025'!$G$5:$G$2470,'июнь 2025'!$D$5:$D$2470,$B80,'июнь 2025'!$J$5:$J$2470,Q$1)</f>
        <v>0</v>
      </c>
      <c r="R80" s="183">
        <f>SUMIFS('июнь 2025'!$G$5:$G$2470,'июнь 2025'!$D$5:$D$2470,$B80,'июнь 2025'!$J$5:$J$2470,R$1)</f>
        <v>0</v>
      </c>
      <c r="S80" s="183">
        <f>SUMIFS('июнь 2025'!$G$5:$G$2470,'июнь 2025'!$D$5:$D$2470,$B80,'июнь 2025'!$J$5:$J$2470,S$1)</f>
        <v>0</v>
      </c>
      <c r="T80" s="183">
        <f>SUMIFS('июнь 2025'!$G$5:$G$2470,'июнь 2025'!$D$5:$D$2470,$B80,'июнь 2025'!$J$5:$J$2470,T$1)</f>
        <v>0</v>
      </c>
      <c r="U80" s="183">
        <f>SUMIFS('июнь 2025'!$G$5:$G$2470,'июнь 2025'!$D$5:$D$2470,$B80,'июнь 2025'!$J$5:$J$2470,U$1)</f>
        <v>0</v>
      </c>
      <c r="V80" s="183">
        <f>SUMIFS('июнь 2025'!$G$5:$G$2470,'июнь 2025'!$D$5:$D$2470,$B80,'июнь 2025'!$J$5:$J$2470,V$1)</f>
        <v>0</v>
      </c>
      <c r="W80" s="183">
        <f>SUMIFS('июнь 2025'!$G$5:$G$2470,'июнь 2025'!$D$5:$D$2470,$B80,'июнь 2025'!$J$5:$J$2470,W$1)</f>
        <v>0</v>
      </c>
      <c r="X80" s="183">
        <f>SUMIFS('июнь 2025'!$G$5:$G$2470,'июнь 2025'!$D$5:$D$2470,$B80,'июнь 2025'!$J$5:$J$2470,X$1)</f>
        <v>0</v>
      </c>
      <c r="Y80" s="183">
        <f>SUMIFS('июнь 2025'!$G$5:$G$2470,'июнь 2025'!$D$5:$D$2470,$B80,'июнь 2025'!$J$5:$J$2470,Y$1)</f>
        <v>0</v>
      </c>
      <c r="Z80" s="183">
        <f>SUMIFS('июнь 2025'!$G$5:$G$2470,'июнь 2025'!$D$5:$D$2470,$B80,'июнь 2025'!$J$5:$J$2470,Z$1)</f>
        <v>0</v>
      </c>
      <c r="AA80" s="183">
        <f>SUMIFS('июнь 2025'!$G$5:$G$2470,'июнь 2025'!$D$5:$D$2470,$B80,'июнь 2025'!$J$5:$J$2470,AA$1)</f>
        <v>0</v>
      </c>
      <c r="AB80" s="183">
        <f>SUMIFS('июнь 2025'!$G$5:$G$2470,'июнь 2025'!$D$5:$D$2470,$B80,'июнь 2025'!$J$5:$J$2470,AB$1)</f>
        <v>0</v>
      </c>
      <c r="AC80" s="183">
        <f>SUMIFS('июнь 2025'!$G$5:$G$2470,'июнь 2025'!$D$5:$D$2470,$B80,'июнь 2025'!$J$5:$J$2470,AC$1)</f>
        <v>0</v>
      </c>
      <c r="AD80" s="183">
        <f>SUMIFS('июнь 2025'!$G$5:$G$2470,'июнь 2025'!$D$5:$D$2470,$B80,'июнь 2025'!$J$5:$J$2470,AD$1)</f>
        <v>0</v>
      </c>
      <c r="AE80" s="183">
        <f>SUMIFS('июнь 2025'!$G$5:$G$2470,'июнь 2025'!$D$5:$D$2470,$B80,'июнь 2025'!$J$5:$J$2470,AE$1)</f>
        <v>0</v>
      </c>
      <c r="AF80" s="183">
        <f>SUMIFS('июнь 2025'!$G$5:$G$2470,'июнь 2025'!$D$5:$D$2470,$B80,'июнь 2025'!$J$5:$J$2470,AF$1)</f>
        <v>0</v>
      </c>
      <c r="AG80" s="183">
        <f>SUMIFS('июнь 2025'!$G$5:$G$2470,'июнь 2025'!$D$5:$D$2470,$B80,'июнь 2025'!$J$5:$J$2470,AG$1)</f>
        <v>0</v>
      </c>
      <c r="AH80" s="183">
        <f>SUMIFS('июнь 2025'!$G$5:$G$2470,'июнь 2025'!$D$5:$D$2470,$B80,'июнь 2025'!$J$5:$J$2470,AH$1)</f>
        <v>0</v>
      </c>
      <c r="AI80" s="20">
        <f t="shared" si="1"/>
        <v>0</v>
      </c>
    </row>
    <row r="81" spans="2:35" ht="15" customHeight="1" x14ac:dyDescent="0.25">
      <c r="B81" s="88" t="s">
        <v>167</v>
      </c>
      <c r="C81" s="86">
        <v>200</v>
      </c>
      <c r="D81" s="183">
        <f>SUMIFS('июнь 2025'!$G$5:$G$2470,'июнь 2025'!$D$5:$D$2470,$B81,'июнь 2025'!$J$5:$J$2470,D$1)</f>
        <v>0</v>
      </c>
      <c r="E81" s="183">
        <f>SUMIFS('июнь 2025'!$G$5:$G$2470,'июнь 2025'!$D$5:$D$2470,$B81,'июнь 2025'!$J$5:$J$2470,E$1)</f>
        <v>0</v>
      </c>
      <c r="F81" s="183">
        <f>SUMIFS('июнь 2025'!$G$5:$G$2470,'июнь 2025'!$D$5:$D$2470,$B81,'июнь 2025'!$J$5:$J$2470,F$1)</f>
        <v>0</v>
      </c>
      <c r="G81" s="183">
        <f>SUMIFS('июнь 2025'!$G$5:$G$2470,'июнь 2025'!$D$5:$D$2470,$B81,'июнь 2025'!$J$5:$J$2470,G$1)</f>
        <v>0</v>
      </c>
      <c r="H81" s="183">
        <f>SUMIFS('июнь 2025'!$G$5:$G$2470,'июнь 2025'!$D$5:$D$2470,$B81,'июнь 2025'!$J$5:$J$2470,H$1)</f>
        <v>0</v>
      </c>
      <c r="I81" s="183">
        <f>SUMIFS('июнь 2025'!$G$5:$G$2470,'июнь 2025'!$D$5:$D$2470,$B81,'июнь 2025'!$J$5:$J$2470,I$1)</f>
        <v>0</v>
      </c>
      <c r="J81" s="183">
        <f>SUMIFS('июнь 2025'!$G$5:$G$2470,'июнь 2025'!$D$5:$D$2470,$B81,'июнь 2025'!$J$5:$J$2470,J$1)</f>
        <v>0</v>
      </c>
      <c r="K81" s="183">
        <f>SUMIFS('июнь 2025'!$G$5:$G$2470,'июнь 2025'!$D$5:$D$2470,$B81,'июнь 2025'!$J$5:$J$2470,K$1)</f>
        <v>0</v>
      </c>
      <c r="L81" s="183">
        <f>SUMIFS('июнь 2025'!$G$5:$G$2470,'июнь 2025'!$D$5:$D$2470,$B81,'июнь 2025'!$J$5:$J$2470,L$1)</f>
        <v>0</v>
      </c>
      <c r="M81" s="183">
        <f>SUMIFS('июнь 2025'!$G$5:$G$2470,'июнь 2025'!$D$5:$D$2470,$B81,'июнь 2025'!$J$5:$J$2470,M$1)</f>
        <v>0</v>
      </c>
      <c r="N81" s="183">
        <f>SUMIFS('июнь 2025'!$G$5:$G$2470,'июнь 2025'!$D$5:$D$2470,$B81,'июнь 2025'!$J$5:$J$2470,N$1)</f>
        <v>0</v>
      </c>
      <c r="O81" s="183">
        <f>SUMIFS('июнь 2025'!$G$5:$G$2470,'июнь 2025'!$D$5:$D$2470,$B81,'июнь 2025'!$J$5:$J$2470,O$1)</f>
        <v>0</v>
      </c>
      <c r="P81" s="183">
        <f>SUMIFS('июнь 2025'!$G$5:$G$2470,'июнь 2025'!$D$5:$D$2470,$B81,'июнь 2025'!$J$5:$J$2470,P$1)</f>
        <v>0</v>
      </c>
      <c r="Q81" s="183">
        <f>SUMIFS('июнь 2025'!$G$5:$G$2470,'июнь 2025'!$D$5:$D$2470,$B81,'июнь 2025'!$J$5:$J$2470,Q$1)</f>
        <v>0</v>
      </c>
      <c r="R81" s="183">
        <f>SUMIFS('июнь 2025'!$G$5:$G$2470,'июнь 2025'!$D$5:$D$2470,$B81,'июнь 2025'!$J$5:$J$2470,R$1)</f>
        <v>0</v>
      </c>
      <c r="S81" s="183">
        <f>SUMIFS('июнь 2025'!$G$5:$G$2470,'июнь 2025'!$D$5:$D$2470,$B81,'июнь 2025'!$J$5:$J$2470,S$1)</f>
        <v>0</v>
      </c>
      <c r="T81" s="183">
        <f>SUMIFS('июнь 2025'!$G$5:$G$2470,'июнь 2025'!$D$5:$D$2470,$B81,'июнь 2025'!$J$5:$J$2470,T$1)</f>
        <v>0</v>
      </c>
      <c r="U81" s="183">
        <f>SUMIFS('июнь 2025'!$G$5:$G$2470,'июнь 2025'!$D$5:$D$2470,$B81,'июнь 2025'!$J$5:$J$2470,U$1)</f>
        <v>0</v>
      </c>
      <c r="V81" s="183">
        <f>SUMIFS('июнь 2025'!$G$5:$G$2470,'июнь 2025'!$D$5:$D$2470,$B81,'июнь 2025'!$J$5:$J$2470,V$1)</f>
        <v>0</v>
      </c>
      <c r="W81" s="183">
        <f>SUMIFS('июнь 2025'!$G$5:$G$2470,'июнь 2025'!$D$5:$D$2470,$B81,'июнь 2025'!$J$5:$J$2470,W$1)</f>
        <v>0</v>
      </c>
      <c r="X81" s="183">
        <f>SUMIFS('июнь 2025'!$G$5:$G$2470,'июнь 2025'!$D$5:$D$2470,$B81,'июнь 2025'!$J$5:$J$2470,X$1)</f>
        <v>0</v>
      </c>
      <c r="Y81" s="183">
        <f>SUMIFS('июнь 2025'!$G$5:$G$2470,'июнь 2025'!$D$5:$D$2470,$B81,'июнь 2025'!$J$5:$J$2470,Y$1)</f>
        <v>0</v>
      </c>
      <c r="Z81" s="183">
        <f>SUMIFS('июнь 2025'!$G$5:$G$2470,'июнь 2025'!$D$5:$D$2470,$B81,'июнь 2025'!$J$5:$J$2470,Z$1)</f>
        <v>0</v>
      </c>
      <c r="AA81" s="183">
        <f>SUMIFS('июнь 2025'!$G$5:$G$2470,'июнь 2025'!$D$5:$D$2470,$B81,'июнь 2025'!$J$5:$J$2470,AA$1)</f>
        <v>0</v>
      </c>
      <c r="AB81" s="183">
        <f>SUMIFS('июнь 2025'!$G$5:$G$2470,'июнь 2025'!$D$5:$D$2470,$B81,'июнь 2025'!$J$5:$J$2470,AB$1)</f>
        <v>0</v>
      </c>
      <c r="AC81" s="183">
        <f>SUMIFS('июнь 2025'!$G$5:$G$2470,'июнь 2025'!$D$5:$D$2470,$B81,'июнь 2025'!$J$5:$J$2470,AC$1)</f>
        <v>0</v>
      </c>
      <c r="AD81" s="183">
        <f>SUMIFS('июнь 2025'!$G$5:$G$2470,'июнь 2025'!$D$5:$D$2470,$B81,'июнь 2025'!$J$5:$J$2470,AD$1)</f>
        <v>0</v>
      </c>
      <c r="AE81" s="183">
        <f>SUMIFS('июнь 2025'!$G$5:$G$2470,'июнь 2025'!$D$5:$D$2470,$B81,'июнь 2025'!$J$5:$J$2470,AE$1)</f>
        <v>0</v>
      </c>
      <c r="AF81" s="183">
        <f>SUMIFS('июнь 2025'!$G$5:$G$2470,'июнь 2025'!$D$5:$D$2470,$B81,'июнь 2025'!$J$5:$J$2470,AF$1)</f>
        <v>0</v>
      </c>
      <c r="AG81" s="183">
        <f>SUMIFS('июнь 2025'!$G$5:$G$2470,'июнь 2025'!$D$5:$D$2470,$B81,'июнь 2025'!$J$5:$J$2470,AG$1)</f>
        <v>0</v>
      </c>
      <c r="AH81" s="183">
        <f>SUMIFS('июнь 2025'!$G$5:$G$2470,'июнь 2025'!$D$5:$D$2470,$B81,'июнь 2025'!$J$5:$J$2470,AH$1)</f>
        <v>0</v>
      </c>
      <c r="AI81" s="20">
        <f t="shared" si="1"/>
        <v>0</v>
      </c>
    </row>
    <row r="82" spans="2:35" ht="15" customHeight="1" x14ac:dyDescent="0.25">
      <c r="B82" s="88" t="s">
        <v>168</v>
      </c>
      <c r="C82" s="86">
        <v>200</v>
      </c>
      <c r="D82" s="183">
        <f>SUMIFS('июнь 2025'!$G$5:$G$2470,'июнь 2025'!$D$5:$D$2470,$B82,'июнь 2025'!$J$5:$J$2470,D$1)</f>
        <v>0</v>
      </c>
      <c r="E82" s="183">
        <f>SUMIFS('июнь 2025'!$G$5:$G$2470,'июнь 2025'!$D$5:$D$2470,$B82,'июнь 2025'!$J$5:$J$2470,E$1)</f>
        <v>0</v>
      </c>
      <c r="F82" s="183">
        <f>SUMIFS('июнь 2025'!$G$5:$G$2470,'июнь 2025'!$D$5:$D$2470,$B82,'июнь 2025'!$J$5:$J$2470,F$1)</f>
        <v>0</v>
      </c>
      <c r="G82" s="183">
        <f>SUMIFS('июнь 2025'!$G$5:$G$2470,'июнь 2025'!$D$5:$D$2470,$B82,'июнь 2025'!$J$5:$J$2470,G$1)</f>
        <v>0</v>
      </c>
      <c r="H82" s="183">
        <f>SUMIFS('июнь 2025'!$G$5:$G$2470,'июнь 2025'!$D$5:$D$2470,$B82,'июнь 2025'!$J$5:$J$2470,H$1)</f>
        <v>0</v>
      </c>
      <c r="I82" s="183">
        <f>SUMIFS('июнь 2025'!$G$5:$G$2470,'июнь 2025'!$D$5:$D$2470,$B82,'июнь 2025'!$J$5:$J$2470,I$1)</f>
        <v>0</v>
      </c>
      <c r="J82" s="183">
        <f>SUMIFS('июнь 2025'!$G$5:$G$2470,'июнь 2025'!$D$5:$D$2470,$B82,'июнь 2025'!$J$5:$J$2470,J$1)</f>
        <v>0</v>
      </c>
      <c r="K82" s="183">
        <f>SUMIFS('июнь 2025'!$G$5:$G$2470,'июнь 2025'!$D$5:$D$2470,$B82,'июнь 2025'!$J$5:$J$2470,K$1)</f>
        <v>0</v>
      </c>
      <c r="L82" s="183">
        <f>SUMIFS('июнь 2025'!$G$5:$G$2470,'июнь 2025'!$D$5:$D$2470,$B82,'июнь 2025'!$J$5:$J$2470,L$1)</f>
        <v>0</v>
      </c>
      <c r="M82" s="183">
        <f>SUMIFS('июнь 2025'!$G$5:$G$2470,'июнь 2025'!$D$5:$D$2470,$B82,'июнь 2025'!$J$5:$J$2470,M$1)</f>
        <v>0</v>
      </c>
      <c r="N82" s="183">
        <f>SUMIFS('июнь 2025'!$G$5:$G$2470,'июнь 2025'!$D$5:$D$2470,$B82,'июнь 2025'!$J$5:$J$2470,N$1)</f>
        <v>0</v>
      </c>
      <c r="O82" s="183">
        <f>SUMIFS('июнь 2025'!$G$5:$G$2470,'июнь 2025'!$D$5:$D$2470,$B82,'июнь 2025'!$J$5:$J$2470,O$1)</f>
        <v>0</v>
      </c>
      <c r="P82" s="183">
        <f>SUMIFS('июнь 2025'!$G$5:$G$2470,'июнь 2025'!$D$5:$D$2470,$B82,'июнь 2025'!$J$5:$J$2470,P$1)</f>
        <v>0</v>
      </c>
      <c r="Q82" s="183">
        <f>SUMIFS('июнь 2025'!$G$5:$G$2470,'июнь 2025'!$D$5:$D$2470,$B82,'июнь 2025'!$J$5:$J$2470,Q$1)</f>
        <v>0</v>
      </c>
      <c r="R82" s="183">
        <f>SUMIFS('июнь 2025'!$G$5:$G$2470,'июнь 2025'!$D$5:$D$2470,$B82,'июнь 2025'!$J$5:$J$2470,R$1)</f>
        <v>0</v>
      </c>
      <c r="S82" s="183">
        <f>SUMIFS('июнь 2025'!$G$5:$G$2470,'июнь 2025'!$D$5:$D$2470,$B82,'июнь 2025'!$J$5:$J$2470,S$1)</f>
        <v>0</v>
      </c>
      <c r="T82" s="183">
        <f>SUMIFS('июнь 2025'!$G$5:$G$2470,'июнь 2025'!$D$5:$D$2470,$B82,'июнь 2025'!$J$5:$J$2470,T$1)</f>
        <v>0</v>
      </c>
      <c r="U82" s="183">
        <f>SUMIFS('июнь 2025'!$G$5:$G$2470,'июнь 2025'!$D$5:$D$2470,$B82,'июнь 2025'!$J$5:$J$2470,U$1)</f>
        <v>0</v>
      </c>
      <c r="V82" s="183">
        <f>SUMIFS('июнь 2025'!$G$5:$G$2470,'июнь 2025'!$D$5:$D$2470,$B82,'июнь 2025'!$J$5:$J$2470,V$1)</f>
        <v>0</v>
      </c>
      <c r="W82" s="183">
        <f>SUMIFS('июнь 2025'!$G$5:$G$2470,'июнь 2025'!$D$5:$D$2470,$B82,'июнь 2025'!$J$5:$J$2470,W$1)</f>
        <v>8</v>
      </c>
      <c r="X82" s="183">
        <f>SUMIFS('июнь 2025'!$G$5:$G$2470,'июнь 2025'!$D$5:$D$2470,$B82,'июнь 2025'!$J$5:$J$2470,X$1)</f>
        <v>0</v>
      </c>
      <c r="Y82" s="183">
        <f>SUMIFS('июнь 2025'!$G$5:$G$2470,'июнь 2025'!$D$5:$D$2470,$B82,'июнь 2025'!$J$5:$J$2470,Y$1)</f>
        <v>0</v>
      </c>
      <c r="Z82" s="183">
        <f>SUMIFS('июнь 2025'!$G$5:$G$2470,'июнь 2025'!$D$5:$D$2470,$B82,'июнь 2025'!$J$5:$J$2470,Z$1)</f>
        <v>0</v>
      </c>
      <c r="AA82" s="183">
        <f>SUMIFS('июнь 2025'!$G$5:$G$2470,'июнь 2025'!$D$5:$D$2470,$B82,'июнь 2025'!$J$5:$J$2470,AA$1)</f>
        <v>0</v>
      </c>
      <c r="AB82" s="183">
        <f>SUMIFS('июнь 2025'!$G$5:$G$2470,'июнь 2025'!$D$5:$D$2470,$B82,'июнь 2025'!$J$5:$J$2470,AB$1)</f>
        <v>6</v>
      </c>
      <c r="AC82" s="183">
        <f>SUMIFS('июнь 2025'!$G$5:$G$2470,'июнь 2025'!$D$5:$D$2470,$B82,'июнь 2025'!$J$5:$J$2470,AC$1)</f>
        <v>20</v>
      </c>
      <c r="AD82" s="183">
        <f>SUMIFS('июнь 2025'!$G$5:$G$2470,'июнь 2025'!$D$5:$D$2470,$B82,'июнь 2025'!$J$5:$J$2470,AD$1)</f>
        <v>0</v>
      </c>
      <c r="AE82" s="183">
        <f>SUMIFS('июнь 2025'!$G$5:$G$2470,'июнь 2025'!$D$5:$D$2470,$B82,'июнь 2025'!$J$5:$J$2470,AE$1)</f>
        <v>0</v>
      </c>
      <c r="AF82" s="183">
        <f>SUMIFS('июнь 2025'!$G$5:$G$2470,'июнь 2025'!$D$5:$D$2470,$B82,'июнь 2025'!$J$5:$J$2470,AF$1)</f>
        <v>0</v>
      </c>
      <c r="AG82" s="183">
        <f>SUMIFS('июнь 2025'!$G$5:$G$2470,'июнь 2025'!$D$5:$D$2470,$B82,'июнь 2025'!$J$5:$J$2470,AG$1)</f>
        <v>0</v>
      </c>
      <c r="AH82" s="183">
        <f>SUMIFS('июнь 2025'!$G$5:$G$2470,'июнь 2025'!$D$5:$D$2470,$B82,'июнь 2025'!$J$5:$J$2470,AH$1)</f>
        <v>0</v>
      </c>
      <c r="AI82" s="20">
        <f t="shared" si="1"/>
        <v>34</v>
      </c>
    </row>
    <row r="83" spans="2:35" ht="15" customHeight="1" x14ac:dyDescent="0.25">
      <c r="B83" s="88" t="s">
        <v>1426</v>
      </c>
      <c r="C83" s="86">
        <v>215.5</v>
      </c>
      <c r="D83" s="183">
        <f>SUMIFS('июнь 2025'!$G$5:$G$2470,'июнь 2025'!$D$5:$D$2470,$B83,'июнь 2025'!$J$5:$J$2470,D$1)</f>
        <v>0</v>
      </c>
      <c r="E83" s="183">
        <f>SUMIFS('июнь 2025'!$G$5:$G$2470,'июнь 2025'!$D$5:$D$2470,$B83,'июнь 2025'!$J$5:$J$2470,E$1)</f>
        <v>0</v>
      </c>
      <c r="F83" s="183">
        <f>SUMIFS('июнь 2025'!$G$5:$G$2470,'июнь 2025'!$D$5:$D$2470,$B83,'июнь 2025'!$J$5:$J$2470,F$1)</f>
        <v>0</v>
      </c>
      <c r="G83" s="183">
        <f>SUMIFS('июнь 2025'!$G$5:$G$2470,'июнь 2025'!$D$5:$D$2470,$B83,'июнь 2025'!$J$5:$J$2470,G$1)</f>
        <v>0</v>
      </c>
      <c r="H83" s="183">
        <f>SUMIFS('июнь 2025'!$G$5:$G$2470,'июнь 2025'!$D$5:$D$2470,$B83,'июнь 2025'!$J$5:$J$2470,H$1)</f>
        <v>0</v>
      </c>
      <c r="I83" s="183">
        <f>SUMIFS('июнь 2025'!$G$5:$G$2470,'июнь 2025'!$D$5:$D$2470,$B83,'июнь 2025'!$J$5:$J$2470,I$1)</f>
        <v>0</v>
      </c>
      <c r="J83" s="183">
        <f>SUMIFS('июнь 2025'!$G$5:$G$2470,'июнь 2025'!$D$5:$D$2470,$B83,'июнь 2025'!$J$5:$J$2470,J$1)</f>
        <v>0</v>
      </c>
      <c r="K83" s="183">
        <f>SUMIFS('июнь 2025'!$G$5:$G$2470,'июнь 2025'!$D$5:$D$2470,$B83,'июнь 2025'!$J$5:$J$2470,K$1)</f>
        <v>0</v>
      </c>
      <c r="L83" s="183">
        <f>SUMIFS('июнь 2025'!$G$5:$G$2470,'июнь 2025'!$D$5:$D$2470,$B83,'июнь 2025'!$J$5:$J$2470,L$1)</f>
        <v>0</v>
      </c>
      <c r="M83" s="183">
        <f>SUMIFS('июнь 2025'!$G$5:$G$2470,'июнь 2025'!$D$5:$D$2470,$B83,'июнь 2025'!$J$5:$J$2470,M$1)</f>
        <v>88</v>
      </c>
      <c r="N83" s="183">
        <f>SUMIFS('июнь 2025'!$G$5:$G$2470,'июнь 2025'!$D$5:$D$2470,$B83,'июнь 2025'!$J$5:$J$2470,N$1)</f>
        <v>88</v>
      </c>
      <c r="O83" s="183">
        <f>SUMIFS('июнь 2025'!$G$5:$G$2470,'июнь 2025'!$D$5:$D$2470,$B83,'июнь 2025'!$J$5:$J$2470,O$1)</f>
        <v>0</v>
      </c>
      <c r="P83" s="183">
        <f>SUMIFS('июнь 2025'!$G$5:$G$2470,'июнь 2025'!$D$5:$D$2470,$B83,'июнь 2025'!$J$5:$J$2470,P$1)</f>
        <v>0</v>
      </c>
      <c r="Q83" s="183">
        <f>SUMIFS('июнь 2025'!$G$5:$G$2470,'июнь 2025'!$D$5:$D$2470,$B83,'июнь 2025'!$J$5:$J$2470,Q$1)</f>
        <v>0</v>
      </c>
      <c r="R83" s="183">
        <f>SUMIFS('июнь 2025'!$G$5:$G$2470,'июнь 2025'!$D$5:$D$2470,$B83,'июнь 2025'!$J$5:$J$2470,R$1)</f>
        <v>0</v>
      </c>
      <c r="S83" s="183">
        <f>SUMIFS('июнь 2025'!$G$5:$G$2470,'июнь 2025'!$D$5:$D$2470,$B83,'июнь 2025'!$J$5:$J$2470,S$1)</f>
        <v>0</v>
      </c>
      <c r="T83" s="183">
        <f>SUMIFS('июнь 2025'!$G$5:$G$2470,'июнь 2025'!$D$5:$D$2470,$B83,'июнь 2025'!$J$5:$J$2470,T$1)</f>
        <v>0</v>
      </c>
      <c r="U83" s="183">
        <f>SUMIFS('июнь 2025'!$G$5:$G$2470,'июнь 2025'!$D$5:$D$2470,$B83,'июнь 2025'!$J$5:$J$2470,U$1)</f>
        <v>0</v>
      </c>
      <c r="V83" s="183">
        <f>SUMIFS('июнь 2025'!$G$5:$G$2470,'июнь 2025'!$D$5:$D$2470,$B83,'июнь 2025'!$J$5:$J$2470,V$1)</f>
        <v>0</v>
      </c>
      <c r="W83" s="183">
        <f>SUMIFS('июнь 2025'!$G$5:$G$2470,'июнь 2025'!$D$5:$D$2470,$B83,'июнь 2025'!$J$5:$J$2470,W$1)</f>
        <v>0</v>
      </c>
      <c r="X83" s="183">
        <f>SUMIFS('июнь 2025'!$G$5:$G$2470,'июнь 2025'!$D$5:$D$2470,$B83,'июнь 2025'!$J$5:$J$2470,X$1)</f>
        <v>0</v>
      </c>
      <c r="Y83" s="183">
        <f>SUMIFS('июнь 2025'!$G$5:$G$2470,'июнь 2025'!$D$5:$D$2470,$B83,'июнь 2025'!$J$5:$J$2470,Y$1)</f>
        <v>0</v>
      </c>
      <c r="Z83" s="183">
        <f>SUMIFS('июнь 2025'!$G$5:$G$2470,'июнь 2025'!$D$5:$D$2470,$B83,'июнь 2025'!$J$5:$J$2470,Z$1)</f>
        <v>0</v>
      </c>
      <c r="AA83" s="183">
        <f>SUMIFS('июнь 2025'!$G$5:$G$2470,'июнь 2025'!$D$5:$D$2470,$B83,'июнь 2025'!$J$5:$J$2470,AA$1)</f>
        <v>0</v>
      </c>
      <c r="AB83" s="183">
        <f>SUMIFS('июнь 2025'!$G$5:$G$2470,'июнь 2025'!$D$5:$D$2470,$B83,'июнь 2025'!$J$5:$J$2470,AB$1)</f>
        <v>0</v>
      </c>
      <c r="AC83" s="183">
        <f>SUMIFS('июнь 2025'!$G$5:$G$2470,'июнь 2025'!$D$5:$D$2470,$B83,'июнь 2025'!$J$5:$J$2470,AC$1)</f>
        <v>0</v>
      </c>
      <c r="AD83" s="183">
        <f>SUMIFS('июнь 2025'!$G$5:$G$2470,'июнь 2025'!$D$5:$D$2470,$B83,'июнь 2025'!$J$5:$J$2470,AD$1)</f>
        <v>0</v>
      </c>
      <c r="AE83" s="183">
        <f>SUMIFS('июнь 2025'!$G$5:$G$2470,'июнь 2025'!$D$5:$D$2470,$B83,'июнь 2025'!$J$5:$J$2470,AE$1)</f>
        <v>0</v>
      </c>
      <c r="AF83" s="183">
        <f>SUMIFS('июнь 2025'!$G$5:$G$2470,'июнь 2025'!$D$5:$D$2470,$B83,'июнь 2025'!$J$5:$J$2470,AF$1)</f>
        <v>0</v>
      </c>
      <c r="AG83" s="183">
        <f>SUMIFS('июнь 2025'!$G$5:$G$2470,'июнь 2025'!$D$5:$D$2470,$B83,'июнь 2025'!$J$5:$J$2470,AG$1)</f>
        <v>0</v>
      </c>
      <c r="AH83" s="183">
        <f>SUMIFS('июнь 2025'!$G$5:$G$2470,'июнь 2025'!$D$5:$D$2470,$B83,'июнь 2025'!$J$5:$J$2470,AH$1)</f>
        <v>0</v>
      </c>
      <c r="AI83" s="20">
        <f t="shared" ref="AI83:AI84" si="2">SUM(D83:AH83)</f>
        <v>176</v>
      </c>
    </row>
    <row r="84" spans="2:35" ht="15" customHeight="1" x14ac:dyDescent="0.25">
      <c r="B84" s="88" t="s">
        <v>314</v>
      </c>
      <c r="C84" s="86">
        <v>200</v>
      </c>
      <c r="D84" s="183">
        <f>SUMIFS('июнь 2025'!$G$5:$G$2470,'июнь 2025'!$D$5:$D$2470,$B84,'июнь 2025'!$J$5:$J$2470,D$1)</f>
        <v>0</v>
      </c>
      <c r="E84" s="183">
        <f>SUMIFS('июнь 2025'!$G$5:$G$2470,'июнь 2025'!$D$5:$D$2470,$B84,'июнь 2025'!$J$5:$J$2470,E$1)</f>
        <v>0</v>
      </c>
      <c r="F84" s="183">
        <f>SUMIFS('июнь 2025'!$G$5:$G$2470,'июнь 2025'!$D$5:$D$2470,$B84,'июнь 2025'!$J$5:$J$2470,F$1)</f>
        <v>0</v>
      </c>
      <c r="G84" s="183">
        <f>SUMIFS('июнь 2025'!$G$5:$G$2470,'июнь 2025'!$D$5:$D$2470,$B84,'июнь 2025'!$J$5:$J$2470,G$1)</f>
        <v>0</v>
      </c>
      <c r="H84" s="183">
        <f>SUMIFS('июнь 2025'!$G$5:$G$2470,'июнь 2025'!$D$5:$D$2470,$B84,'июнь 2025'!$J$5:$J$2470,H$1)</f>
        <v>0</v>
      </c>
      <c r="I84" s="183">
        <f>SUMIFS('июнь 2025'!$G$5:$G$2470,'июнь 2025'!$D$5:$D$2470,$B84,'июнь 2025'!$J$5:$J$2470,I$1)</f>
        <v>0</v>
      </c>
      <c r="J84" s="183">
        <f>SUMIFS('июнь 2025'!$G$5:$G$2470,'июнь 2025'!$D$5:$D$2470,$B84,'июнь 2025'!$J$5:$J$2470,J$1)</f>
        <v>0</v>
      </c>
      <c r="K84" s="183">
        <f>SUMIFS('июнь 2025'!$G$5:$G$2470,'июнь 2025'!$D$5:$D$2470,$B84,'июнь 2025'!$J$5:$J$2470,K$1)</f>
        <v>0</v>
      </c>
      <c r="L84" s="183">
        <f>SUMIFS('июнь 2025'!$G$5:$G$2470,'июнь 2025'!$D$5:$D$2470,$B84,'июнь 2025'!$J$5:$J$2470,L$1)</f>
        <v>0</v>
      </c>
      <c r="M84" s="183">
        <f>SUMIFS('июнь 2025'!$G$5:$G$2470,'июнь 2025'!$D$5:$D$2470,$B84,'июнь 2025'!$J$5:$J$2470,M$1)</f>
        <v>0</v>
      </c>
      <c r="N84" s="183">
        <f>SUMIFS('июнь 2025'!$G$5:$G$2470,'июнь 2025'!$D$5:$D$2470,$B84,'июнь 2025'!$J$5:$J$2470,N$1)</f>
        <v>0</v>
      </c>
      <c r="O84" s="183">
        <f>SUMIFS('июнь 2025'!$G$5:$G$2470,'июнь 2025'!$D$5:$D$2470,$B84,'июнь 2025'!$J$5:$J$2470,O$1)</f>
        <v>0</v>
      </c>
      <c r="P84" s="183">
        <f>SUMIFS('июнь 2025'!$G$5:$G$2470,'июнь 2025'!$D$5:$D$2470,$B84,'июнь 2025'!$J$5:$J$2470,P$1)</f>
        <v>0</v>
      </c>
      <c r="Q84" s="183">
        <f>SUMIFS('июнь 2025'!$G$5:$G$2470,'июнь 2025'!$D$5:$D$2470,$B84,'июнь 2025'!$J$5:$J$2470,Q$1)</f>
        <v>0</v>
      </c>
      <c r="R84" s="183">
        <f>SUMIFS('июнь 2025'!$G$5:$G$2470,'июнь 2025'!$D$5:$D$2470,$B84,'июнь 2025'!$J$5:$J$2470,R$1)</f>
        <v>0</v>
      </c>
      <c r="S84" s="183">
        <f>SUMIFS('июнь 2025'!$G$5:$G$2470,'июнь 2025'!$D$5:$D$2470,$B84,'июнь 2025'!$J$5:$J$2470,S$1)</f>
        <v>0</v>
      </c>
      <c r="T84" s="183">
        <f>SUMIFS('июнь 2025'!$G$5:$G$2470,'июнь 2025'!$D$5:$D$2470,$B84,'июнь 2025'!$J$5:$J$2470,T$1)</f>
        <v>0</v>
      </c>
      <c r="U84" s="183">
        <f>SUMIFS('июнь 2025'!$G$5:$G$2470,'июнь 2025'!$D$5:$D$2470,$B84,'июнь 2025'!$J$5:$J$2470,U$1)</f>
        <v>0</v>
      </c>
      <c r="V84" s="183">
        <f>SUMIFS('июнь 2025'!$G$5:$G$2470,'июнь 2025'!$D$5:$D$2470,$B84,'июнь 2025'!$J$5:$J$2470,V$1)</f>
        <v>0</v>
      </c>
      <c r="W84" s="183">
        <f>SUMIFS('июнь 2025'!$G$5:$G$2470,'июнь 2025'!$D$5:$D$2470,$B84,'июнь 2025'!$J$5:$J$2470,W$1)</f>
        <v>0</v>
      </c>
      <c r="X84" s="183">
        <f>SUMIFS('июнь 2025'!$G$5:$G$2470,'июнь 2025'!$D$5:$D$2470,$B84,'июнь 2025'!$J$5:$J$2470,X$1)</f>
        <v>0</v>
      </c>
      <c r="Y84" s="183">
        <f>SUMIFS('июнь 2025'!$G$5:$G$2470,'июнь 2025'!$D$5:$D$2470,$B84,'июнь 2025'!$J$5:$J$2470,Y$1)</f>
        <v>0</v>
      </c>
      <c r="Z84" s="183">
        <f>SUMIFS('июнь 2025'!$G$5:$G$2470,'июнь 2025'!$D$5:$D$2470,$B84,'июнь 2025'!$J$5:$J$2470,Z$1)</f>
        <v>0</v>
      </c>
      <c r="AA84" s="183">
        <f>SUMIFS('июнь 2025'!$G$5:$G$2470,'июнь 2025'!$D$5:$D$2470,$B84,'июнь 2025'!$J$5:$J$2470,AA$1)</f>
        <v>0</v>
      </c>
      <c r="AB84" s="183">
        <f>SUMIFS('июнь 2025'!$G$5:$G$2470,'июнь 2025'!$D$5:$D$2470,$B84,'июнь 2025'!$J$5:$J$2470,AB$1)</f>
        <v>0</v>
      </c>
      <c r="AC84" s="183">
        <f>SUMIFS('июнь 2025'!$G$5:$G$2470,'июнь 2025'!$D$5:$D$2470,$B84,'июнь 2025'!$J$5:$J$2470,AC$1)</f>
        <v>0</v>
      </c>
      <c r="AD84" s="183">
        <f>SUMIFS('июнь 2025'!$G$5:$G$2470,'июнь 2025'!$D$5:$D$2470,$B84,'июнь 2025'!$J$5:$J$2470,AD$1)</f>
        <v>0</v>
      </c>
      <c r="AE84" s="183">
        <f>SUMIFS('июнь 2025'!$G$5:$G$2470,'июнь 2025'!$D$5:$D$2470,$B84,'июнь 2025'!$J$5:$J$2470,AE$1)</f>
        <v>0</v>
      </c>
      <c r="AF84" s="183">
        <f>SUMIFS('июнь 2025'!$G$5:$G$2470,'июнь 2025'!$D$5:$D$2470,$B84,'июнь 2025'!$J$5:$J$2470,AF$1)</f>
        <v>0</v>
      </c>
      <c r="AG84" s="183">
        <f>SUMIFS('июнь 2025'!$G$5:$G$2470,'июнь 2025'!$D$5:$D$2470,$B84,'июнь 2025'!$J$5:$J$2470,AG$1)</f>
        <v>0</v>
      </c>
      <c r="AH84" s="183">
        <f>SUMIFS('июнь 2025'!$G$5:$G$2470,'июнь 2025'!$D$5:$D$2470,$B84,'июнь 2025'!$J$5:$J$2470,AH$1)</f>
        <v>0</v>
      </c>
      <c r="AI84" s="20">
        <f t="shared" si="2"/>
        <v>0</v>
      </c>
    </row>
    <row r="85" spans="2:35" ht="15" customHeight="1" x14ac:dyDescent="0.25">
      <c r="B85" s="88" t="s">
        <v>375</v>
      </c>
      <c r="C85" s="86">
        <v>210</v>
      </c>
      <c r="D85" s="183">
        <f>SUMIFS('июнь 2025'!$G$5:$G$2470,'июнь 2025'!$D$5:$D$2470,$B85,'июнь 2025'!$J$5:$J$2470,D$1)</f>
        <v>0</v>
      </c>
      <c r="E85" s="183">
        <f>SUMIFS('июнь 2025'!$G$5:$G$2470,'июнь 2025'!$D$5:$D$2470,$B85,'июнь 2025'!$J$5:$J$2470,E$1)</f>
        <v>0</v>
      </c>
      <c r="F85" s="183">
        <f>SUMIFS('июнь 2025'!$G$5:$G$2470,'июнь 2025'!$D$5:$D$2470,$B85,'июнь 2025'!$J$5:$J$2470,F$1)</f>
        <v>0</v>
      </c>
      <c r="G85" s="183">
        <f>SUMIFS('июнь 2025'!$G$5:$G$2470,'июнь 2025'!$D$5:$D$2470,$B85,'июнь 2025'!$J$5:$J$2470,G$1)</f>
        <v>0</v>
      </c>
      <c r="H85" s="183">
        <f>SUMIFS('июнь 2025'!$G$5:$G$2470,'июнь 2025'!$D$5:$D$2470,$B85,'июнь 2025'!$J$5:$J$2470,H$1)</f>
        <v>0</v>
      </c>
      <c r="I85" s="183">
        <f>SUMIFS('июнь 2025'!$G$5:$G$2470,'июнь 2025'!$D$5:$D$2470,$B85,'июнь 2025'!$J$5:$J$2470,I$1)</f>
        <v>0</v>
      </c>
      <c r="J85" s="183">
        <f>SUMIFS('июнь 2025'!$G$5:$G$2470,'июнь 2025'!$D$5:$D$2470,$B85,'июнь 2025'!$J$5:$J$2470,J$1)</f>
        <v>0</v>
      </c>
      <c r="K85" s="183">
        <f>SUMIFS('июнь 2025'!$G$5:$G$2470,'июнь 2025'!$D$5:$D$2470,$B85,'июнь 2025'!$J$5:$J$2470,K$1)</f>
        <v>0</v>
      </c>
      <c r="L85" s="183">
        <f>SUMIFS('июнь 2025'!$G$5:$G$2470,'июнь 2025'!$D$5:$D$2470,$B85,'июнь 2025'!$J$5:$J$2470,L$1)</f>
        <v>0</v>
      </c>
      <c r="M85" s="183">
        <f>SUMIFS('июнь 2025'!$G$5:$G$2470,'июнь 2025'!$D$5:$D$2470,$B85,'июнь 2025'!$J$5:$J$2470,M$1)</f>
        <v>0</v>
      </c>
      <c r="N85" s="183">
        <f>SUMIFS('июнь 2025'!$G$5:$G$2470,'июнь 2025'!$D$5:$D$2470,$B85,'июнь 2025'!$J$5:$J$2470,N$1)</f>
        <v>0</v>
      </c>
      <c r="O85" s="183">
        <f>SUMIFS('июнь 2025'!$G$5:$G$2470,'июнь 2025'!$D$5:$D$2470,$B85,'июнь 2025'!$J$5:$J$2470,O$1)</f>
        <v>0</v>
      </c>
      <c r="P85" s="183">
        <f>SUMIFS('июнь 2025'!$G$5:$G$2470,'июнь 2025'!$D$5:$D$2470,$B85,'июнь 2025'!$J$5:$J$2470,P$1)</f>
        <v>0</v>
      </c>
      <c r="Q85" s="183">
        <f>SUMIFS('июнь 2025'!$G$5:$G$2470,'июнь 2025'!$D$5:$D$2470,$B85,'июнь 2025'!$J$5:$J$2470,Q$1)</f>
        <v>0</v>
      </c>
      <c r="R85" s="183">
        <f>SUMIFS('июнь 2025'!$G$5:$G$2470,'июнь 2025'!$D$5:$D$2470,$B85,'июнь 2025'!$J$5:$J$2470,R$1)</f>
        <v>0</v>
      </c>
      <c r="S85" s="183">
        <f>SUMIFS('июнь 2025'!$G$5:$G$2470,'июнь 2025'!$D$5:$D$2470,$B85,'июнь 2025'!$J$5:$J$2470,S$1)</f>
        <v>0</v>
      </c>
      <c r="T85" s="183">
        <f>SUMIFS('июнь 2025'!$G$5:$G$2470,'июнь 2025'!$D$5:$D$2470,$B85,'июнь 2025'!$J$5:$J$2470,T$1)</f>
        <v>0</v>
      </c>
      <c r="U85" s="183">
        <f>SUMIFS('июнь 2025'!$G$5:$G$2470,'июнь 2025'!$D$5:$D$2470,$B85,'июнь 2025'!$J$5:$J$2470,U$1)</f>
        <v>0</v>
      </c>
      <c r="V85" s="183">
        <f>SUMIFS('июнь 2025'!$G$5:$G$2470,'июнь 2025'!$D$5:$D$2470,$B85,'июнь 2025'!$J$5:$J$2470,V$1)</f>
        <v>0</v>
      </c>
      <c r="W85" s="183">
        <f>SUMIFS('июнь 2025'!$G$5:$G$2470,'июнь 2025'!$D$5:$D$2470,$B85,'июнь 2025'!$J$5:$J$2470,W$1)</f>
        <v>0</v>
      </c>
      <c r="X85" s="183">
        <f>SUMIFS('июнь 2025'!$G$5:$G$2470,'июнь 2025'!$D$5:$D$2470,$B85,'июнь 2025'!$J$5:$J$2470,X$1)</f>
        <v>0</v>
      </c>
      <c r="Y85" s="183">
        <f>SUMIFS('июнь 2025'!$G$5:$G$2470,'июнь 2025'!$D$5:$D$2470,$B85,'июнь 2025'!$J$5:$J$2470,Y$1)</f>
        <v>0</v>
      </c>
      <c r="Z85" s="183">
        <f>SUMIFS('июнь 2025'!$G$5:$G$2470,'июнь 2025'!$D$5:$D$2470,$B85,'июнь 2025'!$J$5:$J$2470,Z$1)</f>
        <v>0</v>
      </c>
      <c r="AA85" s="183">
        <f>SUMIFS('июнь 2025'!$G$5:$G$2470,'июнь 2025'!$D$5:$D$2470,$B85,'июнь 2025'!$J$5:$J$2470,AA$1)</f>
        <v>0</v>
      </c>
      <c r="AB85" s="183">
        <f>SUMIFS('июнь 2025'!$G$5:$G$2470,'июнь 2025'!$D$5:$D$2470,$B85,'июнь 2025'!$J$5:$J$2470,AB$1)</f>
        <v>0</v>
      </c>
      <c r="AC85" s="183">
        <f>SUMIFS('июнь 2025'!$G$5:$G$2470,'июнь 2025'!$D$5:$D$2470,$B85,'июнь 2025'!$J$5:$J$2470,AC$1)</f>
        <v>0</v>
      </c>
      <c r="AD85" s="183">
        <f>SUMIFS('июнь 2025'!$G$5:$G$2470,'июнь 2025'!$D$5:$D$2470,$B85,'июнь 2025'!$J$5:$J$2470,AD$1)</f>
        <v>0</v>
      </c>
      <c r="AE85" s="183">
        <f>SUMIFS('июнь 2025'!$G$5:$G$2470,'июнь 2025'!$D$5:$D$2470,$B85,'июнь 2025'!$J$5:$J$2470,AE$1)</f>
        <v>0</v>
      </c>
      <c r="AF85" s="183">
        <f>SUMIFS('июнь 2025'!$G$5:$G$2470,'июнь 2025'!$D$5:$D$2470,$B85,'июнь 2025'!$J$5:$J$2470,AF$1)</f>
        <v>0</v>
      </c>
      <c r="AG85" s="183">
        <f>SUMIFS('июнь 2025'!$G$5:$G$2470,'июнь 2025'!$D$5:$D$2470,$B85,'июнь 2025'!$J$5:$J$2470,AG$1)</f>
        <v>0</v>
      </c>
      <c r="AH85" s="183">
        <f>SUMIFS('июнь 2025'!$G$5:$G$2470,'июнь 2025'!$D$5:$D$2470,$B85,'июнь 2025'!$J$5:$J$2470,AH$1)</f>
        <v>0</v>
      </c>
      <c r="AI85" s="20">
        <f t="shared" si="1"/>
        <v>0</v>
      </c>
    </row>
    <row r="86" spans="2:35" ht="15" customHeight="1" x14ac:dyDescent="0.25">
      <c r="B86" s="88" t="s">
        <v>1255</v>
      </c>
      <c r="C86" s="86">
        <v>1000</v>
      </c>
      <c r="D86" s="183">
        <f>SUMIFS('июнь 2025'!$G$5:$G$2470,'июнь 2025'!$D$5:$D$2470,$B86,'июнь 2025'!$J$5:$J$2470,D$1)</f>
        <v>0</v>
      </c>
      <c r="E86" s="183">
        <f>SUMIFS('июнь 2025'!$G$5:$G$2470,'июнь 2025'!$D$5:$D$2470,$B86,'июнь 2025'!$J$5:$J$2470,E$1)</f>
        <v>0</v>
      </c>
      <c r="F86" s="183">
        <f>SUMIFS('июнь 2025'!$G$5:$G$2470,'июнь 2025'!$D$5:$D$2470,$B86,'июнь 2025'!$J$5:$J$2470,F$1)</f>
        <v>0</v>
      </c>
      <c r="G86" s="183">
        <f>SUMIFS('июнь 2025'!$G$5:$G$2470,'июнь 2025'!$D$5:$D$2470,$B86,'июнь 2025'!$J$5:$J$2470,G$1)</f>
        <v>0</v>
      </c>
      <c r="H86" s="183">
        <f>SUMIFS('июнь 2025'!$G$5:$G$2470,'июнь 2025'!$D$5:$D$2470,$B86,'июнь 2025'!$J$5:$J$2470,H$1)</f>
        <v>0</v>
      </c>
      <c r="I86" s="183">
        <f>SUMIFS('июнь 2025'!$G$5:$G$2470,'июнь 2025'!$D$5:$D$2470,$B86,'июнь 2025'!$J$5:$J$2470,I$1)</f>
        <v>0</v>
      </c>
      <c r="J86" s="183">
        <f>SUMIFS('июнь 2025'!$G$5:$G$2470,'июнь 2025'!$D$5:$D$2470,$B86,'июнь 2025'!$J$5:$J$2470,J$1)</f>
        <v>0</v>
      </c>
      <c r="K86" s="183">
        <f>SUMIFS('июнь 2025'!$G$5:$G$2470,'июнь 2025'!$D$5:$D$2470,$B86,'июнь 2025'!$J$5:$J$2470,K$1)</f>
        <v>0</v>
      </c>
      <c r="L86" s="183">
        <f>SUMIFS('июнь 2025'!$G$5:$G$2470,'июнь 2025'!$D$5:$D$2470,$B86,'июнь 2025'!$J$5:$J$2470,L$1)</f>
        <v>0</v>
      </c>
      <c r="M86" s="183">
        <f>SUMIFS('июнь 2025'!$G$5:$G$2470,'июнь 2025'!$D$5:$D$2470,$B86,'июнь 2025'!$J$5:$J$2470,M$1)</f>
        <v>0</v>
      </c>
      <c r="N86" s="183">
        <f>SUMIFS('июнь 2025'!$G$5:$G$2470,'июнь 2025'!$D$5:$D$2470,$B86,'июнь 2025'!$J$5:$J$2470,N$1)</f>
        <v>0</v>
      </c>
      <c r="O86" s="183">
        <f>SUMIFS('июнь 2025'!$G$5:$G$2470,'июнь 2025'!$D$5:$D$2470,$B86,'июнь 2025'!$J$5:$J$2470,O$1)</f>
        <v>0</v>
      </c>
      <c r="P86" s="183">
        <f>SUMIFS('июнь 2025'!$G$5:$G$2470,'июнь 2025'!$D$5:$D$2470,$B86,'июнь 2025'!$J$5:$J$2470,P$1)</f>
        <v>0</v>
      </c>
      <c r="Q86" s="183">
        <f>SUMIFS('июнь 2025'!$G$5:$G$2470,'июнь 2025'!$D$5:$D$2470,$B86,'июнь 2025'!$J$5:$J$2470,Q$1)</f>
        <v>0</v>
      </c>
      <c r="R86" s="183">
        <f>SUMIFS('июнь 2025'!$G$5:$G$2470,'июнь 2025'!$D$5:$D$2470,$B86,'июнь 2025'!$J$5:$J$2470,R$1)</f>
        <v>0</v>
      </c>
      <c r="S86" s="183">
        <f>SUMIFS('июнь 2025'!$G$5:$G$2470,'июнь 2025'!$D$5:$D$2470,$B86,'июнь 2025'!$J$5:$J$2470,S$1)</f>
        <v>0</v>
      </c>
      <c r="T86" s="183">
        <f>SUMIFS('июнь 2025'!$G$5:$G$2470,'июнь 2025'!$D$5:$D$2470,$B86,'июнь 2025'!$J$5:$J$2470,T$1)</f>
        <v>0</v>
      </c>
      <c r="U86" s="183">
        <f>SUMIFS('июнь 2025'!$G$5:$G$2470,'июнь 2025'!$D$5:$D$2470,$B86,'июнь 2025'!$J$5:$J$2470,U$1)</f>
        <v>0</v>
      </c>
      <c r="V86" s="183">
        <f>SUMIFS('июнь 2025'!$G$5:$G$2470,'июнь 2025'!$D$5:$D$2470,$B86,'июнь 2025'!$J$5:$J$2470,V$1)</f>
        <v>0</v>
      </c>
      <c r="W86" s="183">
        <f>SUMIFS('июнь 2025'!$G$5:$G$2470,'июнь 2025'!$D$5:$D$2470,$B86,'июнь 2025'!$J$5:$J$2470,W$1)</f>
        <v>0</v>
      </c>
      <c r="X86" s="183">
        <f>SUMIFS('июнь 2025'!$G$5:$G$2470,'июнь 2025'!$D$5:$D$2470,$B86,'июнь 2025'!$J$5:$J$2470,X$1)</f>
        <v>0</v>
      </c>
      <c r="Y86" s="183">
        <f>SUMIFS('июнь 2025'!$G$5:$G$2470,'июнь 2025'!$D$5:$D$2470,$B86,'июнь 2025'!$J$5:$J$2470,Y$1)</f>
        <v>0</v>
      </c>
      <c r="Z86" s="183">
        <f>SUMIFS('июнь 2025'!$G$5:$G$2470,'июнь 2025'!$D$5:$D$2470,$B86,'июнь 2025'!$J$5:$J$2470,Z$1)</f>
        <v>0</v>
      </c>
      <c r="AA86" s="183">
        <f>SUMIFS('июнь 2025'!$G$5:$G$2470,'июнь 2025'!$D$5:$D$2470,$B86,'июнь 2025'!$J$5:$J$2470,AA$1)</f>
        <v>0</v>
      </c>
      <c r="AB86" s="183">
        <f>SUMIFS('июнь 2025'!$G$5:$G$2470,'июнь 2025'!$D$5:$D$2470,$B86,'июнь 2025'!$J$5:$J$2470,AB$1)</f>
        <v>0</v>
      </c>
      <c r="AC86" s="183">
        <f>SUMIFS('июнь 2025'!$G$5:$G$2470,'июнь 2025'!$D$5:$D$2470,$B86,'июнь 2025'!$J$5:$J$2470,AC$1)</f>
        <v>0</v>
      </c>
      <c r="AD86" s="183">
        <f>SUMIFS('июнь 2025'!$G$5:$G$2470,'июнь 2025'!$D$5:$D$2470,$B86,'июнь 2025'!$J$5:$J$2470,AD$1)</f>
        <v>0</v>
      </c>
      <c r="AE86" s="183">
        <f>SUMIFS('июнь 2025'!$G$5:$G$2470,'июнь 2025'!$D$5:$D$2470,$B86,'июнь 2025'!$J$5:$J$2470,AE$1)</f>
        <v>0</v>
      </c>
      <c r="AF86" s="183">
        <f>SUMIFS('июнь 2025'!$G$5:$G$2470,'июнь 2025'!$D$5:$D$2470,$B86,'июнь 2025'!$J$5:$J$2470,AF$1)</f>
        <v>0</v>
      </c>
      <c r="AG86" s="183">
        <f>SUMIFS('июнь 2025'!$G$5:$G$2470,'июнь 2025'!$D$5:$D$2470,$B86,'июнь 2025'!$J$5:$J$2470,AG$1)</f>
        <v>0</v>
      </c>
      <c r="AH86" s="183">
        <f>SUMIFS('июнь 2025'!$G$5:$G$2470,'июнь 2025'!$D$5:$D$2470,$B86,'июнь 2025'!$J$5:$J$2470,AH$1)</f>
        <v>0</v>
      </c>
      <c r="AI86" s="20">
        <f t="shared" si="1"/>
        <v>0</v>
      </c>
    </row>
    <row r="87" spans="2:35" ht="15" customHeight="1" x14ac:dyDescent="0.25">
      <c r="B87" s="88" t="s">
        <v>257</v>
      </c>
      <c r="C87" s="86">
        <v>190</v>
      </c>
      <c r="D87" s="183">
        <f>SUMIFS('июнь 2025'!$G$5:$G$2470,'июнь 2025'!$D$5:$D$2470,$B87,'июнь 2025'!$J$5:$J$2470,D$1)</f>
        <v>0</v>
      </c>
      <c r="E87" s="183">
        <f>SUMIFS('июнь 2025'!$G$5:$G$2470,'июнь 2025'!$D$5:$D$2470,$B87,'июнь 2025'!$J$5:$J$2470,E$1)</f>
        <v>0</v>
      </c>
      <c r="F87" s="183">
        <f>SUMIFS('июнь 2025'!$G$5:$G$2470,'июнь 2025'!$D$5:$D$2470,$B87,'июнь 2025'!$J$5:$J$2470,F$1)</f>
        <v>0</v>
      </c>
      <c r="G87" s="183">
        <f>SUMIFS('июнь 2025'!$G$5:$G$2470,'июнь 2025'!$D$5:$D$2470,$B87,'июнь 2025'!$J$5:$J$2470,G$1)</f>
        <v>0</v>
      </c>
      <c r="H87" s="183">
        <f>SUMIFS('июнь 2025'!$G$5:$G$2470,'июнь 2025'!$D$5:$D$2470,$B87,'июнь 2025'!$J$5:$J$2470,H$1)</f>
        <v>0</v>
      </c>
      <c r="I87" s="183">
        <f>SUMIFS('июнь 2025'!$G$5:$G$2470,'июнь 2025'!$D$5:$D$2470,$B87,'июнь 2025'!$J$5:$J$2470,I$1)</f>
        <v>0</v>
      </c>
      <c r="J87" s="183">
        <f>SUMIFS('июнь 2025'!$G$5:$G$2470,'июнь 2025'!$D$5:$D$2470,$B87,'июнь 2025'!$J$5:$J$2470,J$1)</f>
        <v>0</v>
      </c>
      <c r="K87" s="183">
        <f>SUMIFS('июнь 2025'!$G$5:$G$2470,'июнь 2025'!$D$5:$D$2470,$B87,'июнь 2025'!$J$5:$J$2470,K$1)</f>
        <v>0</v>
      </c>
      <c r="L87" s="183">
        <f>SUMIFS('июнь 2025'!$G$5:$G$2470,'июнь 2025'!$D$5:$D$2470,$B87,'июнь 2025'!$J$5:$J$2470,L$1)</f>
        <v>0</v>
      </c>
      <c r="M87" s="183">
        <f>SUMIFS('июнь 2025'!$G$5:$G$2470,'июнь 2025'!$D$5:$D$2470,$B87,'июнь 2025'!$J$5:$J$2470,M$1)</f>
        <v>0</v>
      </c>
      <c r="N87" s="183">
        <f>SUMIFS('июнь 2025'!$G$5:$G$2470,'июнь 2025'!$D$5:$D$2470,$B87,'июнь 2025'!$J$5:$J$2470,N$1)</f>
        <v>0</v>
      </c>
      <c r="O87" s="183">
        <f>SUMIFS('июнь 2025'!$G$5:$G$2470,'июнь 2025'!$D$5:$D$2470,$B87,'июнь 2025'!$J$5:$J$2470,O$1)</f>
        <v>0</v>
      </c>
      <c r="P87" s="183">
        <f>SUMIFS('июнь 2025'!$G$5:$G$2470,'июнь 2025'!$D$5:$D$2470,$B87,'июнь 2025'!$J$5:$J$2470,P$1)</f>
        <v>0</v>
      </c>
      <c r="Q87" s="183">
        <f>SUMIFS('июнь 2025'!$G$5:$G$2470,'июнь 2025'!$D$5:$D$2470,$B87,'июнь 2025'!$J$5:$J$2470,Q$1)</f>
        <v>0</v>
      </c>
      <c r="R87" s="183">
        <f>SUMIFS('июнь 2025'!$G$5:$G$2470,'июнь 2025'!$D$5:$D$2470,$B87,'июнь 2025'!$J$5:$J$2470,R$1)</f>
        <v>0</v>
      </c>
      <c r="S87" s="183">
        <f>SUMIFS('июнь 2025'!$G$5:$G$2470,'июнь 2025'!$D$5:$D$2470,$B87,'июнь 2025'!$J$5:$J$2470,S$1)</f>
        <v>0</v>
      </c>
      <c r="T87" s="183">
        <f>SUMIFS('июнь 2025'!$G$5:$G$2470,'июнь 2025'!$D$5:$D$2470,$B87,'июнь 2025'!$J$5:$J$2470,T$1)</f>
        <v>0</v>
      </c>
      <c r="U87" s="183">
        <f>SUMIFS('июнь 2025'!$G$5:$G$2470,'июнь 2025'!$D$5:$D$2470,$B87,'июнь 2025'!$J$5:$J$2470,U$1)</f>
        <v>0</v>
      </c>
      <c r="V87" s="183">
        <f>SUMIFS('июнь 2025'!$G$5:$G$2470,'июнь 2025'!$D$5:$D$2470,$B87,'июнь 2025'!$J$5:$J$2470,V$1)</f>
        <v>0</v>
      </c>
      <c r="W87" s="183">
        <f>SUMIFS('июнь 2025'!$G$5:$G$2470,'июнь 2025'!$D$5:$D$2470,$B87,'июнь 2025'!$J$5:$J$2470,W$1)</f>
        <v>0</v>
      </c>
      <c r="X87" s="183">
        <f>SUMIFS('июнь 2025'!$G$5:$G$2470,'июнь 2025'!$D$5:$D$2470,$B87,'июнь 2025'!$J$5:$J$2470,X$1)</f>
        <v>0</v>
      </c>
      <c r="Y87" s="183">
        <f>SUMIFS('июнь 2025'!$G$5:$G$2470,'июнь 2025'!$D$5:$D$2470,$B87,'июнь 2025'!$J$5:$J$2470,Y$1)</f>
        <v>0</v>
      </c>
      <c r="Z87" s="183">
        <f>SUMIFS('июнь 2025'!$G$5:$G$2470,'июнь 2025'!$D$5:$D$2470,$B87,'июнь 2025'!$J$5:$J$2470,Z$1)</f>
        <v>0</v>
      </c>
      <c r="AA87" s="183">
        <f>SUMIFS('июнь 2025'!$G$5:$G$2470,'июнь 2025'!$D$5:$D$2470,$B87,'июнь 2025'!$J$5:$J$2470,AA$1)</f>
        <v>0</v>
      </c>
      <c r="AB87" s="183">
        <f>SUMIFS('июнь 2025'!$G$5:$G$2470,'июнь 2025'!$D$5:$D$2470,$B87,'июнь 2025'!$J$5:$J$2470,AB$1)</f>
        <v>0</v>
      </c>
      <c r="AC87" s="183">
        <f>SUMIFS('июнь 2025'!$G$5:$G$2470,'июнь 2025'!$D$5:$D$2470,$B87,'июнь 2025'!$J$5:$J$2470,AC$1)</f>
        <v>0</v>
      </c>
      <c r="AD87" s="183">
        <f>SUMIFS('июнь 2025'!$G$5:$G$2470,'июнь 2025'!$D$5:$D$2470,$B87,'июнь 2025'!$J$5:$J$2470,AD$1)</f>
        <v>0</v>
      </c>
      <c r="AE87" s="183">
        <f>SUMIFS('июнь 2025'!$G$5:$G$2470,'июнь 2025'!$D$5:$D$2470,$B87,'июнь 2025'!$J$5:$J$2470,AE$1)</f>
        <v>0</v>
      </c>
      <c r="AF87" s="183">
        <f>SUMIFS('июнь 2025'!$G$5:$G$2470,'июнь 2025'!$D$5:$D$2470,$B87,'июнь 2025'!$J$5:$J$2470,AF$1)</f>
        <v>0</v>
      </c>
      <c r="AG87" s="183">
        <f>SUMIFS('июнь 2025'!$G$5:$G$2470,'июнь 2025'!$D$5:$D$2470,$B87,'июнь 2025'!$J$5:$J$2470,AG$1)</f>
        <v>0</v>
      </c>
      <c r="AH87" s="183">
        <f>SUMIFS('июнь 2025'!$G$5:$G$2470,'июнь 2025'!$D$5:$D$2470,$B87,'июнь 2025'!$J$5:$J$2470,AH$1)</f>
        <v>0</v>
      </c>
      <c r="AI87" s="20">
        <f t="shared" si="1"/>
        <v>0</v>
      </c>
    </row>
    <row r="88" spans="2:35" ht="15" customHeight="1" x14ac:dyDescent="0.25">
      <c r="B88" s="84" t="s">
        <v>1396</v>
      </c>
      <c r="C88" s="86">
        <v>180</v>
      </c>
      <c r="D88" s="183">
        <f>SUMIFS('июнь 2025'!$G$5:$G$2470,'июнь 2025'!$D$5:$D$2470,$B88,'июнь 2025'!$J$5:$J$2470,D$1)</f>
        <v>0</v>
      </c>
      <c r="E88" s="183">
        <f>SUMIFS('июнь 2025'!$G$5:$G$2470,'июнь 2025'!$D$5:$D$2470,$B88,'июнь 2025'!$J$5:$J$2470,E$1)</f>
        <v>0</v>
      </c>
      <c r="F88" s="183">
        <f>SUMIFS('июнь 2025'!$G$5:$G$2470,'июнь 2025'!$D$5:$D$2470,$B88,'июнь 2025'!$J$5:$J$2470,F$1)</f>
        <v>0</v>
      </c>
      <c r="G88" s="183">
        <f>SUMIFS('июнь 2025'!$G$5:$G$2470,'июнь 2025'!$D$5:$D$2470,$B88,'июнь 2025'!$J$5:$J$2470,G$1)</f>
        <v>140</v>
      </c>
      <c r="H88" s="183">
        <f>SUMIFS('июнь 2025'!$G$5:$G$2470,'июнь 2025'!$D$5:$D$2470,$B88,'июнь 2025'!$J$5:$J$2470,H$1)</f>
        <v>80</v>
      </c>
      <c r="I88" s="183">
        <f>SUMIFS('июнь 2025'!$G$5:$G$2470,'июнь 2025'!$D$5:$D$2470,$B88,'июнь 2025'!$J$5:$J$2470,I$1)</f>
        <v>80</v>
      </c>
      <c r="J88" s="183">
        <f>SUMIFS('июнь 2025'!$G$5:$G$2470,'июнь 2025'!$D$5:$D$2470,$B88,'июнь 2025'!$J$5:$J$2470,J$1)</f>
        <v>0</v>
      </c>
      <c r="K88" s="183">
        <f>SUMIFS('июнь 2025'!$G$5:$G$2470,'июнь 2025'!$D$5:$D$2470,$B88,'июнь 2025'!$J$5:$J$2470,K$1)</f>
        <v>0</v>
      </c>
      <c r="L88" s="183">
        <f>SUMIFS('июнь 2025'!$G$5:$G$2470,'июнь 2025'!$D$5:$D$2470,$B88,'июнь 2025'!$J$5:$J$2470,L$1)</f>
        <v>0</v>
      </c>
      <c r="M88" s="183">
        <f>SUMIFS('июнь 2025'!$G$5:$G$2470,'июнь 2025'!$D$5:$D$2470,$B88,'июнь 2025'!$J$5:$J$2470,M$1)</f>
        <v>0</v>
      </c>
      <c r="N88" s="183">
        <f>SUMIFS('июнь 2025'!$G$5:$G$2470,'июнь 2025'!$D$5:$D$2470,$B88,'июнь 2025'!$J$5:$J$2470,N$1)</f>
        <v>0</v>
      </c>
      <c r="O88" s="183">
        <f>SUMIFS('июнь 2025'!$G$5:$G$2470,'июнь 2025'!$D$5:$D$2470,$B88,'июнь 2025'!$J$5:$J$2470,O$1)</f>
        <v>0</v>
      </c>
      <c r="P88" s="183">
        <f>SUMIFS('июнь 2025'!$G$5:$G$2470,'июнь 2025'!$D$5:$D$2470,$B88,'июнь 2025'!$J$5:$J$2470,P$1)</f>
        <v>0</v>
      </c>
      <c r="Q88" s="183">
        <f>SUMIFS('июнь 2025'!$G$5:$G$2470,'июнь 2025'!$D$5:$D$2470,$B88,'июнь 2025'!$J$5:$J$2470,Q$1)</f>
        <v>0</v>
      </c>
      <c r="R88" s="183">
        <f>SUMIFS('июнь 2025'!$G$5:$G$2470,'июнь 2025'!$D$5:$D$2470,$B88,'июнь 2025'!$J$5:$J$2470,R$1)</f>
        <v>0</v>
      </c>
      <c r="S88" s="183">
        <f>SUMIFS('июнь 2025'!$G$5:$G$2470,'июнь 2025'!$D$5:$D$2470,$B88,'июнь 2025'!$J$5:$J$2470,S$1)</f>
        <v>0</v>
      </c>
      <c r="T88" s="183">
        <f>SUMIFS('июнь 2025'!$G$5:$G$2470,'июнь 2025'!$D$5:$D$2470,$B88,'июнь 2025'!$J$5:$J$2470,T$1)</f>
        <v>0</v>
      </c>
      <c r="U88" s="183">
        <f>SUMIFS('июнь 2025'!$G$5:$G$2470,'июнь 2025'!$D$5:$D$2470,$B88,'июнь 2025'!$J$5:$J$2470,U$1)</f>
        <v>0</v>
      </c>
      <c r="V88" s="183">
        <f>SUMIFS('июнь 2025'!$G$5:$G$2470,'июнь 2025'!$D$5:$D$2470,$B88,'июнь 2025'!$J$5:$J$2470,V$1)</f>
        <v>0</v>
      </c>
      <c r="W88" s="183">
        <f>SUMIFS('июнь 2025'!$G$5:$G$2470,'июнь 2025'!$D$5:$D$2470,$B88,'июнь 2025'!$J$5:$J$2470,W$1)</f>
        <v>0</v>
      </c>
      <c r="X88" s="183">
        <f>SUMIFS('июнь 2025'!$G$5:$G$2470,'июнь 2025'!$D$5:$D$2470,$B88,'июнь 2025'!$J$5:$J$2470,X$1)</f>
        <v>0</v>
      </c>
      <c r="Y88" s="183">
        <f>SUMIFS('июнь 2025'!$G$5:$G$2470,'июнь 2025'!$D$5:$D$2470,$B88,'июнь 2025'!$J$5:$J$2470,Y$1)</f>
        <v>0</v>
      </c>
      <c r="Z88" s="183">
        <f>SUMIFS('июнь 2025'!$G$5:$G$2470,'июнь 2025'!$D$5:$D$2470,$B88,'июнь 2025'!$J$5:$J$2470,Z$1)</f>
        <v>0</v>
      </c>
      <c r="AA88" s="183">
        <f>SUMIFS('июнь 2025'!$G$5:$G$2470,'июнь 2025'!$D$5:$D$2470,$B88,'июнь 2025'!$J$5:$J$2470,AA$1)</f>
        <v>0</v>
      </c>
      <c r="AB88" s="183">
        <f>SUMIFS('июнь 2025'!$G$5:$G$2470,'июнь 2025'!$D$5:$D$2470,$B88,'июнь 2025'!$J$5:$J$2470,AB$1)</f>
        <v>0</v>
      </c>
      <c r="AC88" s="183">
        <f>SUMIFS('июнь 2025'!$G$5:$G$2470,'июнь 2025'!$D$5:$D$2470,$B88,'июнь 2025'!$J$5:$J$2470,AC$1)</f>
        <v>0</v>
      </c>
      <c r="AD88" s="183">
        <f>SUMIFS('июнь 2025'!$G$5:$G$2470,'июнь 2025'!$D$5:$D$2470,$B88,'июнь 2025'!$J$5:$J$2470,AD$1)</f>
        <v>0</v>
      </c>
      <c r="AE88" s="183">
        <f>SUMIFS('июнь 2025'!$G$5:$G$2470,'июнь 2025'!$D$5:$D$2470,$B88,'июнь 2025'!$J$5:$J$2470,AE$1)</f>
        <v>0</v>
      </c>
      <c r="AF88" s="183">
        <f>SUMIFS('июнь 2025'!$G$5:$G$2470,'июнь 2025'!$D$5:$D$2470,$B88,'июнь 2025'!$J$5:$J$2470,AF$1)</f>
        <v>0</v>
      </c>
      <c r="AG88" s="183">
        <f>SUMIFS('июнь 2025'!$G$5:$G$2470,'июнь 2025'!$D$5:$D$2470,$B88,'июнь 2025'!$J$5:$J$2470,AG$1)</f>
        <v>0</v>
      </c>
      <c r="AH88" s="183">
        <f>SUMIFS('июнь 2025'!$G$5:$G$2470,'июнь 2025'!$D$5:$D$2470,$B88,'июнь 2025'!$J$5:$J$2470,AH$1)</f>
        <v>0</v>
      </c>
      <c r="AI88" s="20">
        <f t="shared" si="1"/>
        <v>300</v>
      </c>
    </row>
    <row r="89" spans="2:35" ht="15" customHeight="1" x14ac:dyDescent="0.25">
      <c r="B89" s="84" t="s">
        <v>189</v>
      </c>
      <c r="C89" s="83">
        <v>180</v>
      </c>
      <c r="D89" s="183">
        <f>SUMIFS('июнь 2025'!$G$5:$G$2470,'июнь 2025'!$D$5:$D$2470,$B89,'июнь 2025'!$J$5:$J$2470,D$1)</f>
        <v>0</v>
      </c>
      <c r="E89" s="183">
        <f>SUMIFS('июнь 2025'!$G$5:$G$2470,'июнь 2025'!$D$5:$D$2470,$B89,'июнь 2025'!$J$5:$J$2470,E$1)</f>
        <v>0</v>
      </c>
      <c r="F89" s="183">
        <f>SUMIFS('июнь 2025'!$G$5:$G$2470,'июнь 2025'!$D$5:$D$2470,$B89,'июнь 2025'!$J$5:$J$2470,F$1)</f>
        <v>0</v>
      </c>
      <c r="G89" s="183">
        <f>SUMIFS('июнь 2025'!$G$5:$G$2470,'июнь 2025'!$D$5:$D$2470,$B89,'июнь 2025'!$J$5:$J$2470,G$1)</f>
        <v>0</v>
      </c>
      <c r="H89" s="183">
        <f>SUMIFS('июнь 2025'!$G$5:$G$2470,'июнь 2025'!$D$5:$D$2470,$B89,'июнь 2025'!$J$5:$J$2470,H$1)</f>
        <v>0</v>
      </c>
      <c r="I89" s="183">
        <f>SUMIFS('июнь 2025'!$G$5:$G$2470,'июнь 2025'!$D$5:$D$2470,$B89,'июнь 2025'!$J$5:$J$2470,I$1)</f>
        <v>0</v>
      </c>
      <c r="J89" s="183">
        <f>SUMIFS('июнь 2025'!$G$5:$G$2470,'июнь 2025'!$D$5:$D$2470,$B89,'июнь 2025'!$J$5:$J$2470,J$1)</f>
        <v>0</v>
      </c>
      <c r="K89" s="183">
        <f>SUMIFS('июнь 2025'!$G$5:$G$2470,'июнь 2025'!$D$5:$D$2470,$B89,'июнь 2025'!$J$5:$J$2470,K$1)</f>
        <v>0</v>
      </c>
      <c r="L89" s="183">
        <f>SUMIFS('июнь 2025'!$G$5:$G$2470,'июнь 2025'!$D$5:$D$2470,$B89,'июнь 2025'!$J$5:$J$2470,L$1)</f>
        <v>0</v>
      </c>
      <c r="M89" s="183">
        <f>SUMIFS('июнь 2025'!$G$5:$G$2470,'июнь 2025'!$D$5:$D$2470,$B89,'июнь 2025'!$J$5:$J$2470,M$1)</f>
        <v>0</v>
      </c>
      <c r="N89" s="183">
        <f>SUMIFS('июнь 2025'!$G$5:$G$2470,'июнь 2025'!$D$5:$D$2470,$B89,'июнь 2025'!$J$5:$J$2470,N$1)</f>
        <v>0</v>
      </c>
      <c r="O89" s="183">
        <f>SUMIFS('июнь 2025'!$G$5:$G$2470,'июнь 2025'!$D$5:$D$2470,$B89,'июнь 2025'!$J$5:$J$2470,O$1)</f>
        <v>0</v>
      </c>
      <c r="P89" s="183">
        <f>SUMIFS('июнь 2025'!$G$5:$G$2470,'июнь 2025'!$D$5:$D$2470,$B89,'июнь 2025'!$J$5:$J$2470,P$1)</f>
        <v>0</v>
      </c>
      <c r="Q89" s="183">
        <f>SUMIFS('июнь 2025'!$G$5:$G$2470,'июнь 2025'!$D$5:$D$2470,$B89,'июнь 2025'!$J$5:$J$2470,Q$1)</f>
        <v>0</v>
      </c>
      <c r="R89" s="183">
        <f>SUMIFS('июнь 2025'!$G$5:$G$2470,'июнь 2025'!$D$5:$D$2470,$B89,'июнь 2025'!$J$5:$J$2470,R$1)</f>
        <v>0</v>
      </c>
      <c r="S89" s="183">
        <f>SUMIFS('июнь 2025'!$G$5:$G$2470,'июнь 2025'!$D$5:$D$2470,$B89,'июнь 2025'!$J$5:$J$2470,S$1)</f>
        <v>0</v>
      </c>
      <c r="T89" s="183">
        <f>SUMIFS('июнь 2025'!$G$5:$G$2470,'июнь 2025'!$D$5:$D$2470,$B89,'июнь 2025'!$J$5:$J$2470,T$1)</f>
        <v>0</v>
      </c>
      <c r="U89" s="183">
        <f>SUMIFS('июнь 2025'!$G$5:$G$2470,'июнь 2025'!$D$5:$D$2470,$B89,'июнь 2025'!$J$5:$J$2470,U$1)</f>
        <v>0</v>
      </c>
      <c r="V89" s="183">
        <f>SUMIFS('июнь 2025'!$G$5:$G$2470,'июнь 2025'!$D$5:$D$2470,$B89,'июнь 2025'!$J$5:$J$2470,V$1)</f>
        <v>0</v>
      </c>
      <c r="W89" s="183">
        <f>SUMIFS('июнь 2025'!$G$5:$G$2470,'июнь 2025'!$D$5:$D$2470,$B89,'июнь 2025'!$J$5:$J$2470,W$1)</f>
        <v>0</v>
      </c>
      <c r="X89" s="183">
        <f>SUMIFS('июнь 2025'!$G$5:$G$2470,'июнь 2025'!$D$5:$D$2470,$B89,'июнь 2025'!$J$5:$J$2470,X$1)</f>
        <v>0</v>
      </c>
      <c r="Y89" s="183">
        <f>SUMIFS('июнь 2025'!$G$5:$G$2470,'июнь 2025'!$D$5:$D$2470,$B89,'июнь 2025'!$J$5:$J$2470,Y$1)</f>
        <v>0</v>
      </c>
      <c r="Z89" s="183">
        <f>SUMIFS('июнь 2025'!$G$5:$G$2470,'июнь 2025'!$D$5:$D$2470,$B89,'июнь 2025'!$J$5:$J$2470,Z$1)</f>
        <v>0</v>
      </c>
      <c r="AA89" s="183">
        <f>SUMIFS('июнь 2025'!$G$5:$G$2470,'июнь 2025'!$D$5:$D$2470,$B89,'июнь 2025'!$J$5:$J$2470,AA$1)</f>
        <v>0</v>
      </c>
      <c r="AB89" s="183">
        <f>SUMIFS('июнь 2025'!$G$5:$G$2470,'июнь 2025'!$D$5:$D$2470,$B89,'июнь 2025'!$J$5:$J$2470,AB$1)</f>
        <v>0</v>
      </c>
      <c r="AC89" s="183">
        <f>SUMIFS('июнь 2025'!$G$5:$G$2470,'июнь 2025'!$D$5:$D$2470,$B89,'июнь 2025'!$J$5:$J$2470,AC$1)</f>
        <v>0</v>
      </c>
      <c r="AD89" s="183">
        <f>SUMIFS('июнь 2025'!$G$5:$G$2470,'июнь 2025'!$D$5:$D$2470,$B89,'июнь 2025'!$J$5:$J$2470,AD$1)</f>
        <v>0</v>
      </c>
      <c r="AE89" s="183">
        <f>SUMIFS('июнь 2025'!$G$5:$G$2470,'июнь 2025'!$D$5:$D$2470,$B89,'июнь 2025'!$J$5:$J$2470,AE$1)</f>
        <v>0</v>
      </c>
      <c r="AF89" s="183">
        <f>SUMIFS('июнь 2025'!$G$5:$G$2470,'июнь 2025'!$D$5:$D$2470,$B89,'июнь 2025'!$J$5:$J$2470,AF$1)</f>
        <v>0</v>
      </c>
      <c r="AG89" s="183">
        <f>SUMIFS('июнь 2025'!$G$5:$G$2470,'июнь 2025'!$D$5:$D$2470,$B89,'июнь 2025'!$J$5:$J$2470,AG$1)</f>
        <v>0</v>
      </c>
      <c r="AH89" s="183">
        <f>SUMIFS('июнь 2025'!$G$5:$G$2470,'июнь 2025'!$D$5:$D$2470,$B89,'июнь 2025'!$J$5:$J$2470,AH$1)</f>
        <v>0</v>
      </c>
      <c r="AI89" s="20">
        <f t="shared" si="1"/>
        <v>0</v>
      </c>
    </row>
    <row r="90" spans="2:35" ht="15" customHeight="1" x14ac:dyDescent="0.25">
      <c r="B90" s="88" t="s">
        <v>190</v>
      </c>
      <c r="C90" s="86">
        <v>190</v>
      </c>
      <c r="D90" s="183">
        <f>SUMIFS('июнь 2025'!$G$5:$G$2470,'июнь 2025'!$D$5:$D$2470,$B90,'июнь 2025'!$J$5:$J$2470,D$1)</f>
        <v>0</v>
      </c>
      <c r="E90" s="183">
        <f>SUMIFS('июнь 2025'!$G$5:$G$2470,'июнь 2025'!$D$5:$D$2470,$B90,'июнь 2025'!$J$5:$J$2470,E$1)</f>
        <v>0</v>
      </c>
      <c r="F90" s="183">
        <f>SUMIFS('июнь 2025'!$G$5:$G$2470,'июнь 2025'!$D$5:$D$2470,$B90,'июнь 2025'!$J$5:$J$2470,F$1)</f>
        <v>0</v>
      </c>
      <c r="G90" s="183">
        <f>SUMIFS('июнь 2025'!$G$5:$G$2470,'июнь 2025'!$D$5:$D$2470,$B90,'июнь 2025'!$J$5:$J$2470,G$1)</f>
        <v>0</v>
      </c>
      <c r="H90" s="183">
        <f>SUMIFS('июнь 2025'!$G$5:$G$2470,'июнь 2025'!$D$5:$D$2470,$B90,'июнь 2025'!$J$5:$J$2470,H$1)</f>
        <v>0</v>
      </c>
      <c r="I90" s="183">
        <f>SUMIFS('июнь 2025'!$G$5:$G$2470,'июнь 2025'!$D$5:$D$2470,$B90,'июнь 2025'!$J$5:$J$2470,I$1)</f>
        <v>0</v>
      </c>
      <c r="J90" s="183">
        <f>SUMIFS('июнь 2025'!$G$5:$G$2470,'июнь 2025'!$D$5:$D$2470,$B90,'июнь 2025'!$J$5:$J$2470,J$1)</f>
        <v>0</v>
      </c>
      <c r="K90" s="183">
        <f>SUMIFS('июнь 2025'!$G$5:$G$2470,'июнь 2025'!$D$5:$D$2470,$B90,'июнь 2025'!$J$5:$J$2470,K$1)</f>
        <v>0</v>
      </c>
      <c r="L90" s="183">
        <f>SUMIFS('июнь 2025'!$G$5:$G$2470,'июнь 2025'!$D$5:$D$2470,$B90,'июнь 2025'!$J$5:$J$2470,L$1)</f>
        <v>0</v>
      </c>
      <c r="M90" s="183">
        <f>SUMIFS('июнь 2025'!$G$5:$G$2470,'июнь 2025'!$D$5:$D$2470,$B90,'июнь 2025'!$J$5:$J$2470,M$1)</f>
        <v>0</v>
      </c>
      <c r="N90" s="183">
        <f>SUMIFS('июнь 2025'!$G$5:$G$2470,'июнь 2025'!$D$5:$D$2470,$B90,'июнь 2025'!$J$5:$J$2470,N$1)</f>
        <v>0</v>
      </c>
      <c r="O90" s="183">
        <f>SUMIFS('июнь 2025'!$G$5:$G$2470,'июнь 2025'!$D$5:$D$2470,$B90,'июнь 2025'!$J$5:$J$2470,O$1)</f>
        <v>0</v>
      </c>
      <c r="P90" s="183">
        <f>SUMIFS('июнь 2025'!$G$5:$G$2470,'июнь 2025'!$D$5:$D$2470,$B90,'июнь 2025'!$J$5:$J$2470,P$1)</f>
        <v>0</v>
      </c>
      <c r="Q90" s="183">
        <f>SUMIFS('июнь 2025'!$G$5:$G$2470,'июнь 2025'!$D$5:$D$2470,$B90,'июнь 2025'!$J$5:$J$2470,Q$1)</f>
        <v>0</v>
      </c>
      <c r="R90" s="183">
        <f>SUMIFS('июнь 2025'!$G$5:$G$2470,'июнь 2025'!$D$5:$D$2470,$B90,'июнь 2025'!$J$5:$J$2470,R$1)</f>
        <v>0</v>
      </c>
      <c r="S90" s="183">
        <f>SUMIFS('июнь 2025'!$G$5:$G$2470,'июнь 2025'!$D$5:$D$2470,$B90,'июнь 2025'!$J$5:$J$2470,S$1)</f>
        <v>0</v>
      </c>
      <c r="T90" s="183">
        <f>SUMIFS('июнь 2025'!$G$5:$G$2470,'июнь 2025'!$D$5:$D$2470,$B90,'июнь 2025'!$J$5:$J$2470,T$1)</f>
        <v>0</v>
      </c>
      <c r="U90" s="183">
        <f>SUMIFS('июнь 2025'!$G$5:$G$2470,'июнь 2025'!$D$5:$D$2470,$B90,'июнь 2025'!$J$5:$J$2470,U$1)</f>
        <v>0</v>
      </c>
      <c r="V90" s="183">
        <f>SUMIFS('июнь 2025'!$G$5:$G$2470,'июнь 2025'!$D$5:$D$2470,$B90,'июнь 2025'!$J$5:$J$2470,V$1)</f>
        <v>0</v>
      </c>
      <c r="W90" s="183">
        <f>SUMIFS('июнь 2025'!$G$5:$G$2470,'июнь 2025'!$D$5:$D$2470,$B90,'июнь 2025'!$J$5:$J$2470,W$1)</f>
        <v>0</v>
      </c>
      <c r="X90" s="183">
        <f>SUMIFS('июнь 2025'!$G$5:$G$2470,'июнь 2025'!$D$5:$D$2470,$B90,'июнь 2025'!$J$5:$J$2470,X$1)</f>
        <v>0</v>
      </c>
      <c r="Y90" s="183">
        <f>SUMIFS('июнь 2025'!$G$5:$G$2470,'июнь 2025'!$D$5:$D$2470,$B90,'июнь 2025'!$J$5:$J$2470,Y$1)</f>
        <v>0</v>
      </c>
      <c r="Z90" s="183">
        <f>SUMIFS('июнь 2025'!$G$5:$G$2470,'июнь 2025'!$D$5:$D$2470,$B90,'июнь 2025'!$J$5:$J$2470,Z$1)</f>
        <v>0</v>
      </c>
      <c r="AA90" s="183">
        <f>SUMIFS('июнь 2025'!$G$5:$G$2470,'июнь 2025'!$D$5:$D$2470,$B90,'июнь 2025'!$J$5:$J$2470,AA$1)</f>
        <v>0</v>
      </c>
      <c r="AB90" s="183">
        <f>SUMIFS('июнь 2025'!$G$5:$G$2470,'июнь 2025'!$D$5:$D$2470,$B90,'июнь 2025'!$J$5:$J$2470,AB$1)</f>
        <v>0</v>
      </c>
      <c r="AC90" s="183">
        <f>SUMIFS('июнь 2025'!$G$5:$G$2470,'июнь 2025'!$D$5:$D$2470,$B90,'июнь 2025'!$J$5:$J$2470,AC$1)</f>
        <v>0</v>
      </c>
      <c r="AD90" s="183">
        <f>SUMIFS('июнь 2025'!$G$5:$G$2470,'июнь 2025'!$D$5:$D$2470,$B90,'июнь 2025'!$J$5:$J$2470,AD$1)</f>
        <v>0</v>
      </c>
      <c r="AE90" s="183">
        <f>SUMIFS('июнь 2025'!$G$5:$G$2470,'июнь 2025'!$D$5:$D$2470,$B90,'июнь 2025'!$J$5:$J$2470,AE$1)</f>
        <v>0</v>
      </c>
      <c r="AF90" s="183">
        <f>SUMIFS('июнь 2025'!$G$5:$G$2470,'июнь 2025'!$D$5:$D$2470,$B90,'июнь 2025'!$J$5:$J$2470,AF$1)</f>
        <v>0</v>
      </c>
      <c r="AG90" s="183">
        <f>SUMIFS('июнь 2025'!$G$5:$G$2470,'июнь 2025'!$D$5:$D$2470,$B90,'июнь 2025'!$J$5:$J$2470,AG$1)</f>
        <v>0</v>
      </c>
      <c r="AH90" s="183">
        <f>SUMIFS('июнь 2025'!$G$5:$G$2470,'июнь 2025'!$D$5:$D$2470,$B90,'июнь 2025'!$J$5:$J$2470,AH$1)</f>
        <v>0</v>
      </c>
      <c r="AI90" s="20">
        <f t="shared" si="1"/>
        <v>0</v>
      </c>
    </row>
    <row r="91" spans="2:35" ht="15" customHeight="1" x14ac:dyDescent="0.25">
      <c r="B91" s="88" t="s">
        <v>191</v>
      </c>
      <c r="C91" s="86">
        <v>190</v>
      </c>
      <c r="D91" s="183">
        <f>SUMIFS('июнь 2025'!$G$5:$G$2470,'июнь 2025'!$D$5:$D$2470,$B91,'июнь 2025'!$J$5:$J$2470,D$1)</f>
        <v>0</v>
      </c>
      <c r="E91" s="183">
        <f>SUMIFS('июнь 2025'!$G$5:$G$2470,'июнь 2025'!$D$5:$D$2470,$B91,'июнь 2025'!$J$5:$J$2470,E$1)</f>
        <v>0</v>
      </c>
      <c r="F91" s="183">
        <f>SUMIFS('июнь 2025'!$G$5:$G$2470,'июнь 2025'!$D$5:$D$2470,$B91,'июнь 2025'!$J$5:$J$2470,F$1)</f>
        <v>0</v>
      </c>
      <c r="G91" s="183">
        <f>SUMIFS('июнь 2025'!$G$5:$G$2470,'июнь 2025'!$D$5:$D$2470,$B91,'июнь 2025'!$J$5:$J$2470,G$1)</f>
        <v>0</v>
      </c>
      <c r="H91" s="183">
        <f>SUMIFS('июнь 2025'!$G$5:$G$2470,'июнь 2025'!$D$5:$D$2470,$B91,'июнь 2025'!$J$5:$J$2470,H$1)</f>
        <v>0</v>
      </c>
      <c r="I91" s="183">
        <f>SUMIFS('июнь 2025'!$G$5:$G$2470,'июнь 2025'!$D$5:$D$2470,$B91,'июнь 2025'!$J$5:$J$2470,I$1)</f>
        <v>0</v>
      </c>
      <c r="J91" s="183">
        <f>SUMIFS('июнь 2025'!$G$5:$G$2470,'июнь 2025'!$D$5:$D$2470,$B91,'июнь 2025'!$J$5:$J$2470,J$1)</f>
        <v>0</v>
      </c>
      <c r="K91" s="183">
        <f>SUMIFS('июнь 2025'!$G$5:$G$2470,'июнь 2025'!$D$5:$D$2470,$B91,'июнь 2025'!$J$5:$J$2470,K$1)</f>
        <v>0</v>
      </c>
      <c r="L91" s="183">
        <f>SUMIFS('июнь 2025'!$G$5:$G$2470,'июнь 2025'!$D$5:$D$2470,$B91,'июнь 2025'!$J$5:$J$2470,L$1)</f>
        <v>0</v>
      </c>
      <c r="M91" s="183">
        <f>SUMIFS('июнь 2025'!$G$5:$G$2470,'июнь 2025'!$D$5:$D$2470,$B91,'июнь 2025'!$J$5:$J$2470,M$1)</f>
        <v>0</v>
      </c>
      <c r="N91" s="183">
        <f>SUMIFS('июнь 2025'!$G$5:$G$2470,'июнь 2025'!$D$5:$D$2470,$B91,'июнь 2025'!$J$5:$J$2470,N$1)</f>
        <v>0</v>
      </c>
      <c r="O91" s="183">
        <f>SUMIFS('июнь 2025'!$G$5:$G$2470,'июнь 2025'!$D$5:$D$2470,$B91,'июнь 2025'!$J$5:$J$2470,O$1)</f>
        <v>0</v>
      </c>
      <c r="P91" s="183">
        <f>SUMIFS('июнь 2025'!$G$5:$G$2470,'июнь 2025'!$D$5:$D$2470,$B91,'июнь 2025'!$J$5:$J$2470,P$1)</f>
        <v>0</v>
      </c>
      <c r="Q91" s="183">
        <f>SUMIFS('июнь 2025'!$G$5:$G$2470,'июнь 2025'!$D$5:$D$2470,$B91,'июнь 2025'!$J$5:$J$2470,Q$1)</f>
        <v>0</v>
      </c>
      <c r="R91" s="183">
        <f>SUMIFS('июнь 2025'!$G$5:$G$2470,'июнь 2025'!$D$5:$D$2470,$B91,'июнь 2025'!$J$5:$J$2470,R$1)</f>
        <v>0</v>
      </c>
      <c r="S91" s="183">
        <f>SUMIFS('июнь 2025'!$G$5:$G$2470,'июнь 2025'!$D$5:$D$2470,$B91,'июнь 2025'!$J$5:$J$2470,S$1)</f>
        <v>0</v>
      </c>
      <c r="T91" s="183">
        <f>SUMIFS('июнь 2025'!$G$5:$G$2470,'июнь 2025'!$D$5:$D$2470,$B91,'июнь 2025'!$J$5:$J$2470,T$1)</f>
        <v>0</v>
      </c>
      <c r="U91" s="183">
        <f>SUMIFS('июнь 2025'!$G$5:$G$2470,'июнь 2025'!$D$5:$D$2470,$B91,'июнь 2025'!$J$5:$J$2470,U$1)</f>
        <v>0</v>
      </c>
      <c r="V91" s="183">
        <f>SUMIFS('июнь 2025'!$G$5:$G$2470,'июнь 2025'!$D$5:$D$2470,$B91,'июнь 2025'!$J$5:$J$2470,V$1)</f>
        <v>0</v>
      </c>
      <c r="W91" s="183">
        <f>SUMIFS('июнь 2025'!$G$5:$G$2470,'июнь 2025'!$D$5:$D$2470,$B91,'июнь 2025'!$J$5:$J$2470,W$1)</f>
        <v>0</v>
      </c>
      <c r="X91" s="183">
        <f>SUMIFS('июнь 2025'!$G$5:$G$2470,'июнь 2025'!$D$5:$D$2470,$B91,'июнь 2025'!$J$5:$J$2470,X$1)</f>
        <v>0</v>
      </c>
      <c r="Y91" s="183">
        <f>SUMIFS('июнь 2025'!$G$5:$G$2470,'июнь 2025'!$D$5:$D$2470,$B91,'июнь 2025'!$J$5:$J$2470,Y$1)</f>
        <v>0</v>
      </c>
      <c r="Z91" s="183">
        <f>SUMIFS('июнь 2025'!$G$5:$G$2470,'июнь 2025'!$D$5:$D$2470,$B91,'июнь 2025'!$J$5:$J$2470,Z$1)</f>
        <v>0</v>
      </c>
      <c r="AA91" s="183">
        <f>SUMIFS('июнь 2025'!$G$5:$G$2470,'июнь 2025'!$D$5:$D$2470,$B91,'июнь 2025'!$J$5:$J$2470,AA$1)</f>
        <v>0</v>
      </c>
      <c r="AB91" s="183">
        <f>SUMIFS('июнь 2025'!$G$5:$G$2470,'июнь 2025'!$D$5:$D$2470,$B91,'июнь 2025'!$J$5:$J$2470,AB$1)</f>
        <v>0</v>
      </c>
      <c r="AC91" s="183">
        <f>SUMIFS('июнь 2025'!$G$5:$G$2470,'июнь 2025'!$D$5:$D$2470,$B91,'июнь 2025'!$J$5:$J$2470,AC$1)</f>
        <v>0</v>
      </c>
      <c r="AD91" s="183">
        <f>SUMIFS('июнь 2025'!$G$5:$G$2470,'июнь 2025'!$D$5:$D$2470,$B91,'июнь 2025'!$J$5:$J$2470,AD$1)</f>
        <v>0</v>
      </c>
      <c r="AE91" s="183">
        <f>SUMIFS('июнь 2025'!$G$5:$G$2470,'июнь 2025'!$D$5:$D$2470,$B91,'июнь 2025'!$J$5:$J$2470,AE$1)</f>
        <v>0</v>
      </c>
      <c r="AF91" s="183">
        <f>SUMIFS('июнь 2025'!$G$5:$G$2470,'июнь 2025'!$D$5:$D$2470,$B91,'июнь 2025'!$J$5:$J$2470,AF$1)</f>
        <v>0</v>
      </c>
      <c r="AG91" s="183">
        <f>SUMIFS('июнь 2025'!$G$5:$G$2470,'июнь 2025'!$D$5:$D$2470,$B91,'июнь 2025'!$J$5:$J$2470,AG$1)</f>
        <v>0</v>
      </c>
      <c r="AH91" s="183">
        <f>SUMIFS('июнь 2025'!$G$5:$G$2470,'июнь 2025'!$D$5:$D$2470,$B91,'июнь 2025'!$J$5:$J$2470,AH$1)</f>
        <v>0</v>
      </c>
      <c r="AI91" s="20">
        <f t="shared" si="1"/>
        <v>0</v>
      </c>
    </row>
    <row r="92" spans="2:35" ht="15" customHeight="1" x14ac:dyDescent="0.25">
      <c r="B92" s="88" t="s">
        <v>309</v>
      </c>
      <c r="C92" s="86">
        <v>200</v>
      </c>
      <c r="D92" s="183">
        <f>SUMIFS('июнь 2025'!$G$5:$G$2470,'июнь 2025'!$D$5:$D$2470,$B92,'июнь 2025'!$J$5:$J$2470,D$1)</f>
        <v>0</v>
      </c>
      <c r="E92" s="183">
        <f>SUMIFS('июнь 2025'!$G$5:$G$2470,'июнь 2025'!$D$5:$D$2470,$B92,'июнь 2025'!$J$5:$J$2470,E$1)</f>
        <v>0</v>
      </c>
      <c r="F92" s="183">
        <f>SUMIFS('июнь 2025'!$G$5:$G$2470,'июнь 2025'!$D$5:$D$2470,$B92,'июнь 2025'!$J$5:$J$2470,F$1)</f>
        <v>0</v>
      </c>
      <c r="G92" s="183">
        <f>SUMIFS('июнь 2025'!$G$5:$G$2470,'июнь 2025'!$D$5:$D$2470,$B92,'июнь 2025'!$J$5:$J$2470,G$1)</f>
        <v>0</v>
      </c>
      <c r="H92" s="183">
        <f>SUMIFS('июнь 2025'!$G$5:$G$2470,'июнь 2025'!$D$5:$D$2470,$B92,'июнь 2025'!$J$5:$J$2470,H$1)</f>
        <v>0</v>
      </c>
      <c r="I92" s="183">
        <f>SUMIFS('июнь 2025'!$G$5:$G$2470,'июнь 2025'!$D$5:$D$2470,$B92,'июнь 2025'!$J$5:$J$2470,I$1)</f>
        <v>0</v>
      </c>
      <c r="J92" s="183">
        <f>SUMIFS('июнь 2025'!$G$5:$G$2470,'июнь 2025'!$D$5:$D$2470,$B92,'июнь 2025'!$J$5:$J$2470,J$1)</f>
        <v>0</v>
      </c>
      <c r="K92" s="183">
        <f>SUMIFS('июнь 2025'!$G$5:$G$2470,'июнь 2025'!$D$5:$D$2470,$B92,'июнь 2025'!$J$5:$J$2470,K$1)</f>
        <v>0</v>
      </c>
      <c r="L92" s="183">
        <f>SUMIFS('июнь 2025'!$G$5:$G$2470,'июнь 2025'!$D$5:$D$2470,$B92,'июнь 2025'!$J$5:$J$2470,L$1)</f>
        <v>0</v>
      </c>
      <c r="M92" s="183">
        <f>SUMIFS('июнь 2025'!$G$5:$G$2470,'июнь 2025'!$D$5:$D$2470,$B92,'июнь 2025'!$J$5:$J$2470,M$1)</f>
        <v>0</v>
      </c>
      <c r="N92" s="183">
        <f>SUMIFS('июнь 2025'!$G$5:$G$2470,'июнь 2025'!$D$5:$D$2470,$B92,'июнь 2025'!$J$5:$J$2470,N$1)</f>
        <v>0</v>
      </c>
      <c r="O92" s="183">
        <f>SUMIFS('июнь 2025'!$G$5:$G$2470,'июнь 2025'!$D$5:$D$2470,$B92,'июнь 2025'!$J$5:$J$2470,O$1)</f>
        <v>0</v>
      </c>
      <c r="P92" s="183">
        <f>SUMIFS('июнь 2025'!$G$5:$G$2470,'июнь 2025'!$D$5:$D$2470,$B92,'июнь 2025'!$J$5:$J$2470,P$1)</f>
        <v>0</v>
      </c>
      <c r="Q92" s="183">
        <f>SUMIFS('июнь 2025'!$G$5:$G$2470,'июнь 2025'!$D$5:$D$2470,$B92,'июнь 2025'!$J$5:$J$2470,Q$1)</f>
        <v>0</v>
      </c>
      <c r="R92" s="183">
        <f>SUMIFS('июнь 2025'!$G$5:$G$2470,'июнь 2025'!$D$5:$D$2470,$B92,'июнь 2025'!$J$5:$J$2470,R$1)</f>
        <v>0</v>
      </c>
      <c r="S92" s="183">
        <f>SUMIFS('июнь 2025'!$G$5:$G$2470,'июнь 2025'!$D$5:$D$2470,$B92,'июнь 2025'!$J$5:$J$2470,S$1)</f>
        <v>0</v>
      </c>
      <c r="T92" s="183">
        <f>SUMIFS('июнь 2025'!$G$5:$G$2470,'июнь 2025'!$D$5:$D$2470,$B92,'июнь 2025'!$J$5:$J$2470,T$1)</f>
        <v>0</v>
      </c>
      <c r="U92" s="183">
        <f>SUMIFS('июнь 2025'!$G$5:$G$2470,'июнь 2025'!$D$5:$D$2470,$B92,'июнь 2025'!$J$5:$J$2470,U$1)</f>
        <v>0</v>
      </c>
      <c r="V92" s="183">
        <f>SUMIFS('июнь 2025'!$G$5:$G$2470,'июнь 2025'!$D$5:$D$2470,$B92,'июнь 2025'!$J$5:$J$2470,V$1)</f>
        <v>0</v>
      </c>
      <c r="W92" s="183">
        <f>SUMIFS('июнь 2025'!$G$5:$G$2470,'июнь 2025'!$D$5:$D$2470,$B92,'июнь 2025'!$J$5:$J$2470,W$1)</f>
        <v>0</v>
      </c>
      <c r="X92" s="183">
        <f>SUMIFS('июнь 2025'!$G$5:$G$2470,'июнь 2025'!$D$5:$D$2470,$B92,'июнь 2025'!$J$5:$J$2470,X$1)</f>
        <v>0</v>
      </c>
      <c r="Y92" s="183">
        <f>SUMIFS('июнь 2025'!$G$5:$G$2470,'июнь 2025'!$D$5:$D$2470,$B92,'июнь 2025'!$J$5:$J$2470,Y$1)</f>
        <v>0</v>
      </c>
      <c r="Z92" s="183">
        <f>SUMIFS('июнь 2025'!$G$5:$G$2470,'июнь 2025'!$D$5:$D$2470,$B92,'июнь 2025'!$J$5:$J$2470,Z$1)</f>
        <v>0</v>
      </c>
      <c r="AA92" s="183">
        <f>SUMIFS('июнь 2025'!$G$5:$G$2470,'июнь 2025'!$D$5:$D$2470,$B92,'июнь 2025'!$J$5:$J$2470,AA$1)</f>
        <v>0</v>
      </c>
      <c r="AB92" s="183">
        <f>SUMIFS('июнь 2025'!$G$5:$G$2470,'июнь 2025'!$D$5:$D$2470,$B92,'июнь 2025'!$J$5:$J$2470,AB$1)</f>
        <v>0</v>
      </c>
      <c r="AC92" s="183">
        <f>SUMIFS('июнь 2025'!$G$5:$G$2470,'июнь 2025'!$D$5:$D$2470,$B92,'июнь 2025'!$J$5:$J$2470,AC$1)</f>
        <v>0</v>
      </c>
      <c r="AD92" s="183">
        <f>SUMIFS('июнь 2025'!$G$5:$G$2470,'июнь 2025'!$D$5:$D$2470,$B92,'июнь 2025'!$J$5:$J$2470,AD$1)</f>
        <v>0</v>
      </c>
      <c r="AE92" s="183">
        <f>SUMIFS('июнь 2025'!$G$5:$G$2470,'июнь 2025'!$D$5:$D$2470,$B92,'июнь 2025'!$J$5:$J$2470,AE$1)</f>
        <v>0</v>
      </c>
      <c r="AF92" s="183">
        <f>SUMIFS('июнь 2025'!$G$5:$G$2470,'июнь 2025'!$D$5:$D$2470,$B92,'июнь 2025'!$J$5:$J$2470,AF$1)</f>
        <v>0</v>
      </c>
      <c r="AG92" s="183">
        <f>SUMIFS('июнь 2025'!$G$5:$G$2470,'июнь 2025'!$D$5:$D$2470,$B92,'июнь 2025'!$J$5:$J$2470,AG$1)</f>
        <v>0</v>
      </c>
      <c r="AH92" s="183">
        <f>SUMIFS('июнь 2025'!$G$5:$G$2470,'июнь 2025'!$D$5:$D$2470,$B92,'июнь 2025'!$J$5:$J$2470,AH$1)</f>
        <v>0</v>
      </c>
      <c r="AI92" s="20">
        <f t="shared" si="1"/>
        <v>0</v>
      </c>
    </row>
    <row r="93" spans="2:35" ht="15" customHeight="1" x14ac:dyDescent="0.25">
      <c r="B93" s="88" t="s">
        <v>192</v>
      </c>
      <c r="C93" s="86">
        <v>900</v>
      </c>
      <c r="D93" s="183">
        <f>SUMIFS('июнь 2025'!$G$5:$G$2470,'июнь 2025'!$D$5:$D$2470,$B93,'июнь 2025'!$J$5:$J$2470,D$1)</f>
        <v>0</v>
      </c>
      <c r="E93" s="183">
        <f>SUMIFS('июнь 2025'!$G$5:$G$2470,'июнь 2025'!$D$5:$D$2470,$B93,'июнь 2025'!$J$5:$J$2470,E$1)</f>
        <v>0</v>
      </c>
      <c r="F93" s="183">
        <f>SUMIFS('июнь 2025'!$G$5:$G$2470,'июнь 2025'!$D$5:$D$2470,$B93,'июнь 2025'!$J$5:$J$2470,F$1)</f>
        <v>0</v>
      </c>
      <c r="G93" s="183">
        <f>SUMIFS('июнь 2025'!$G$5:$G$2470,'июнь 2025'!$D$5:$D$2470,$B93,'июнь 2025'!$J$5:$J$2470,G$1)</f>
        <v>0</v>
      </c>
      <c r="H93" s="183">
        <f>SUMIFS('июнь 2025'!$G$5:$G$2470,'июнь 2025'!$D$5:$D$2470,$B93,'июнь 2025'!$J$5:$J$2470,H$1)</f>
        <v>0</v>
      </c>
      <c r="I93" s="183">
        <f>SUMIFS('июнь 2025'!$G$5:$G$2470,'июнь 2025'!$D$5:$D$2470,$B93,'июнь 2025'!$J$5:$J$2470,I$1)</f>
        <v>0</v>
      </c>
      <c r="J93" s="183">
        <f>SUMIFS('июнь 2025'!$G$5:$G$2470,'июнь 2025'!$D$5:$D$2470,$B93,'июнь 2025'!$J$5:$J$2470,J$1)</f>
        <v>0</v>
      </c>
      <c r="K93" s="183">
        <f>SUMIFS('июнь 2025'!$G$5:$G$2470,'июнь 2025'!$D$5:$D$2470,$B93,'июнь 2025'!$J$5:$J$2470,K$1)</f>
        <v>0</v>
      </c>
      <c r="L93" s="183">
        <f>SUMIFS('июнь 2025'!$G$5:$G$2470,'июнь 2025'!$D$5:$D$2470,$B93,'июнь 2025'!$J$5:$J$2470,L$1)</f>
        <v>0</v>
      </c>
      <c r="M93" s="183">
        <f>SUMIFS('июнь 2025'!$G$5:$G$2470,'июнь 2025'!$D$5:$D$2470,$B93,'июнь 2025'!$J$5:$J$2470,M$1)</f>
        <v>0</v>
      </c>
      <c r="N93" s="183">
        <f>SUMIFS('июнь 2025'!$G$5:$G$2470,'июнь 2025'!$D$5:$D$2470,$B93,'июнь 2025'!$J$5:$J$2470,N$1)</f>
        <v>0</v>
      </c>
      <c r="O93" s="183">
        <f>SUMIFS('июнь 2025'!$G$5:$G$2470,'июнь 2025'!$D$5:$D$2470,$B93,'июнь 2025'!$J$5:$J$2470,O$1)</f>
        <v>0</v>
      </c>
      <c r="P93" s="183">
        <f>SUMIFS('июнь 2025'!$G$5:$G$2470,'июнь 2025'!$D$5:$D$2470,$B93,'июнь 2025'!$J$5:$J$2470,P$1)</f>
        <v>0</v>
      </c>
      <c r="Q93" s="183">
        <f>SUMIFS('июнь 2025'!$G$5:$G$2470,'июнь 2025'!$D$5:$D$2470,$B93,'июнь 2025'!$J$5:$J$2470,Q$1)</f>
        <v>0</v>
      </c>
      <c r="R93" s="183">
        <f>SUMIFS('июнь 2025'!$G$5:$G$2470,'июнь 2025'!$D$5:$D$2470,$B93,'июнь 2025'!$J$5:$J$2470,R$1)</f>
        <v>0</v>
      </c>
      <c r="S93" s="183">
        <f>SUMIFS('июнь 2025'!$G$5:$G$2470,'июнь 2025'!$D$5:$D$2470,$B93,'июнь 2025'!$J$5:$J$2470,S$1)</f>
        <v>0</v>
      </c>
      <c r="T93" s="183">
        <f>SUMIFS('июнь 2025'!$G$5:$G$2470,'июнь 2025'!$D$5:$D$2470,$B93,'июнь 2025'!$J$5:$J$2470,T$1)</f>
        <v>0</v>
      </c>
      <c r="U93" s="183">
        <f>SUMIFS('июнь 2025'!$G$5:$G$2470,'июнь 2025'!$D$5:$D$2470,$B93,'июнь 2025'!$J$5:$J$2470,U$1)</f>
        <v>0</v>
      </c>
      <c r="V93" s="183">
        <f>SUMIFS('июнь 2025'!$G$5:$G$2470,'июнь 2025'!$D$5:$D$2470,$B93,'июнь 2025'!$J$5:$J$2470,V$1)</f>
        <v>0</v>
      </c>
      <c r="W93" s="183">
        <f>SUMIFS('июнь 2025'!$G$5:$G$2470,'июнь 2025'!$D$5:$D$2470,$B93,'июнь 2025'!$J$5:$J$2470,W$1)</f>
        <v>0</v>
      </c>
      <c r="X93" s="183">
        <f>SUMIFS('июнь 2025'!$G$5:$G$2470,'июнь 2025'!$D$5:$D$2470,$B93,'июнь 2025'!$J$5:$J$2470,X$1)</f>
        <v>0</v>
      </c>
      <c r="Y93" s="183">
        <f>SUMIFS('июнь 2025'!$G$5:$G$2470,'июнь 2025'!$D$5:$D$2470,$B93,'июнь 2025'!$J$5:$J$2470,Y$1)</f>
        <v>0</v>
      </c>
      <c r="Z93" s="183">
        <f>SUMIFS('июнь 2025'!$G$5:$G$2470,'июнь 2025'!$D$5:$D$2470,$B93,'июнь 2025'!$J$5:$J$2470,Z$1)</f>
        <v>0</v>
      </c>
      <c r="AA93" s="183">
        <f>SUMIFS('июнь 2025'!$G$5:$G$2470,'июнь 2025'!$D$5:$D$2470,$B93,'июнь 2025'!$J$5:$J$2470,AA$1)</f>
        <v>0</v>
      </c>
      <c r="AB93" s="183">
        <f>SUMIFS('июнь 2025'!$G$5:$G$2470,'июнь 2025'!$D$5:$D$2470,$B93,'июнь 2025'!$J$5:$J$2470,AB$1)</f>
        <v>0</v>
      </c>
      <c r="AC93" s="183">
        <f>SUMIFS('июнь 2025'!$G$5:$G$2470,'июнь 2025'!$D$5:$D$2470,$B93,'июнь 2025'!$J$5:$J$2470,AC$1)</f>
        <v>0</v>
      </c>
      <c r="AD93" s="183">
        <f>SUMIFS('июнь 2025'!$G$5:$G$2470,'июнь 2025'!$D$5:$D$2470,$B93,'июнь 2025'!$J$5:$J$2470,AD$1)</f>
        <v>0</v>
      </c>
      <c r="AE93" s="183">
        <f>SUMIFS('июнь 2025'!$G$5:$G$2470,'июнь 2025'!$D$5:$D$2470,$B93,'июнь 2025'!$J$5:$J$2470,AE$1)</f>
        <v>0</v>
      </c>
      <c r="AF93" s="183">
        <f>SUMIFS('июнь 2025'!$G$5:$G$2470,'июнь 2025'!$D$5:$D$2470,$B93,'июнь 2025'!$J$5:$J$2470,AF$1)</f>
        <v>0</v>
      </c>
      <c r="AG93" s="183">
        <f>SUMIFS('июнь 2025'!$G$5:$G$2470,'июнь 2025'!$D$5:$D$2470,$B93,'июнь 2025'!$J$5:$J$2470,AG$1)</f>
        <v>0</v>
      </c>
      <c r="AH93" s="183">
        <f>SUMIFS('июнь 2025'!$G$5:$G$2470,'июнь 2025'!$D$5:$D$2470,$B93,'июнь 2025'!$J$5:$J$2470,AH$1)</f>
        <v>0</v>
      </c>
      <c r="AI93" s="20">
        <f t="shared" si="1"/>
        <v>0</v>
      </c>
    </row>
    <row r="94" spans="2:35" ht="15" customHeight="1" x14ac:dyDescent="0.25">
      <c r="B94" s="84" t="s">
        <v>186</v>
      </c>
      <c r="C94" s="83">
        <v>190</v>
      </c>
      <c r="D94" s="183">
        <f>SUMIFS('июнь 2025'!$G$5:$G$2470,'июнь 2025'!$D$5:$D$2470,$B94,'июнь 2025'!$J$5:$J$2470,D$1)</f>
        <v>0</v>
      </c>
      <c r="E94" s="183">
        <f>SUMIFS('июнь 2025'!$G$5:$G$2470,'июнь 2025'!$D$5:$D$2470,$B94,'июнь 2025'!$J$5:$J$2470,E$1)</f>
        <v>0</v>
      </c>
      <c r="F94" s="183">
        <f>SUMIFS('июнь 2025'!$G$5:$G$2470,'июнь 2025'!$D$5:$D$2470,$B94,'июнь 2025'!$J$5:$J$2470,F$1)</f>
        <v>0</v>
      </c>
      <c r="G94" s="183">
        <f>SUMIFS('июнь 2025'!$G$5:$G$2470,'июнь 2025'!$D$5:$D$2470,$B94,'июнь 2025'!$J$5:$J$2470,G$1)</f>
        <v>0</v>
      </c>
      <c r="H94" s="183">
        <f>SUMIFS('июнь 2025'!$G$5:$G$2470,'июнь 2025'!$D$5:$D$2470,$B94,'июнь 2025'!$J$5:$J$2470,H$1)</f>
        <v>0</v>
      </c>
      <c r="I94" s="183">
        <f>SUMIFS('июнь 2025'!$G$5:$G$2470,'июнь 2025'!$D$5:$D$2470,$B94,'июнь 2025'!$J$5:$J$2470,I$1)</f>
        <v>0</v>
      </c>
      <c r="J94" s="183">
        <f>SUMIFS('июнь 2025'!$G$5:$G$2470,'июнь 2025'!$D$5:$D$2470,$B94,'июнь 2025'!$J$5:$J$2470,J$1)</f>
        <v>0</v>
      </c>
      <c r="K94" s="183">
        <f>SUMIFS('июнь 2025'!$G$5:$G$2470,'июнь 2025'!$D$5:$D$2470,$B94,'июнь 2025'!$J$5:$J$2470,K$1)</f>
        <v>0</v>
      </c>
      <c r="L94" s="183">
        <f>SUMIFS('июнь 2025'!$G$5:$G$2470,'июнь 2025'!$D$5:$D$2470,$B94,'июнь 2025'!$J$5:$J$2470,L$1)</f>
        <v>0</v>
      </c>
      <c r="M94" s="183">
        <f>SUMIFS('июнь 2025'!$G$5:$G$2470,'июнь 2025'!$D$5:$D$2470,$B94,'июнь 2025'!$J$5:$J$2470,M$1)</f>
        <v>0</v>
      </c>
      <c r="N94" s="183">
        <f>SUMIFS('июнь 2025'!$G$5:$G$2470,'июнь 2025'!$D$5:$D$2470,$B94,'июнь 2025'!$J$5:$J$2470,N$1)</f>
        <v>0</v>
      </c>
      <c r="O94" s="183">
        <f>SUMIFS('июнь 2025'!$G$5:$G$2470,'июнь 2025'!$D$5:$D$2470,$B94,'июнь 2025'!$J$5:$J$2470,O$1)</f>
        <v>0</v>
      </c>
      <c r="P94" s="183">
        <f>SUMIFS('июнь 2025'!$G$5:$G$2470,'июнь 2025'!$D$5:$D$2470,$B94,'июнь 2025'!$J$5:$J$2470,P$1)</f>
        <v>0</v>
      </c>
      <c r="Q94" s="183">
        <f>SUMIFS('июнь 2025'!$G$5:$G$2470,'июнь 2025'!$D$5:$D$2470,$B94,'июнь 2025'!$J$5:$J$2470,Q$1)</f>
        <v>0</v>
      </c>
      <c r="R94" s="183">
        <f>SUMIFS('июнь 2025'!$G$5:$G$2470,'июнь 2025'!$D$5:$D$2470,$B94,'июнь 2025'!$J$5:$J$2470,R$1)</f>
        <v>0</v>
      </c>
      <c r="S94" s="183">
        <f>SUMIFS('июнь 2025'!$G$5:$G$2470,'июнь 2025'!$D$5:$D$2470,$B94,'июнь 2025'!$J$5:$J$2470,S$1)</f>
        <v>0</v>
      </c>
      <c r="T94" s="183">
        <f>SUMIFS('июнь 2025'!$G$5:$G$2470,'июнь 2025'!$D$5:$D$2470,$B94,'июнь 2025'!$J$5:$J$2470,T$1)</f>
        <v>0</v>
      </c>
      <c r="U94" s="183">
        <f>SUMIFS('июнь 2025'!$G$5:$G$2470,'июнь 2025'!$D$5:$D$2470,$B94,'июнь 2025'!$J$5:$J$2470,U$1)</f>
        <v>0</v>
      </c>
      <c r="V94" s="183">
        <f>SUMIFS('июнь 2025'!$G$5:$G$2470,'июнь 2025'!$D$5:$D$2470,$B94,'июнь 2025'!$J$5:$J$2470,V$1)</f>
        <v>0</v>
      </c>
      <c r="W94" s="183">
        <f>SUMIFS('июнь 2025'!$G$5:$G$2470,'июнь 2025'!$D$5:$D$2470,$B94,'июнь 2025'!$J$5:$J$2470,W$1)</f>
        <v>0</v>
      </c>
      <c r="X94" s="183">
        <f>SUMIFS('июнь 2025'!$G$5:$G$2470,'июнь 2025'!$D$5:$D$2470,$B94,'июнь 2025'!$J$5:$J$2470,X$1)</f>
        <v>0</v>
      </c>
      <c r="Y94" s="183">
        <f>SUMIFS('июнь 2025'!$G$5:$G$2470,'июнь 2025'!$D$5:$D$2470,$B94,'июнь 2025'!$J$5:$J$2470,Y$1)</f>
        <v>0</v>
      </c>
      <c r="Z94" s="183">
        <f>SUMIFS('июнь 2025'!$G$5:$G$2470,'июнь 2025'!$D$5:$D$2470,$B94,'июнь 2025'!$J$5:$J$2470,Z$1)</f>
        <v>0</v>
      </c>
      <c r="AA94" s="183">
        <f>SUMIFS('июнь 2025'!$G$5:$G$2470,'июнь 2025'!$D$5:$D$2470,$B94,'июнь 2025'!$J$5:$J$2470,AA$1)</f>
        <v>0</v>
      </c>
      <c r="AB94" s="183">
        <f>SUMIFS('июнь 2025'!$G$5:$G$2470,'июнь 2025'!$D$5:$D$2470,$B94,'июнь 2025'!$J$5:$J$2470,AB$1)</f>
        <v>0</v>
      </c>
      <c r="AC94" s="183">
        <f>SUMIFS('июнь 2025'!$G$5:$G$2470,'июнь 2025'!$D$5:$D$2470,$B94,'июнь 2025'!$J$5:$J$2470,AC$1)</f>
        <v>0</v>
      </c>
      <c r="AD94" s="183">
        <f>SUMIFS('июнь 2025'!$G$5:$G$2470,'июнь 2025'!$D$5:$D$2470,$B94,'июнь 2025'!$J$5:$J$2470,AD$1)</f>
        <v>0</v>
      </c>
      <c r="AE94" s="183">
        <f>SUMIFS('июнь 2025'!$G$5:$G$2470,'июнь 2025'!$D$5:$D$2470,$B94,'июнь 2025'!$J$5:$J$2470,AE$1)</f>
        <v>0</v>
      </c>
      <c r="AF94" s="183">
        <f>SUMIFS('июнь 2025'!$G$5:$G$2470,'июнь 2025'!$D$5:$D$2470,$B94,'июнь 2025'!$J$5:$J$2470,AF$1)</f>
        <v>0</v>
      </c>
      <c r="AG94" s="183">
        <f>SUMIFS('июнь 2025'!$G$5:$G$2470,'июнь 2025'!$D$5:$D$2470,$B94,'июнь 2025'!$J$5:$J$2470,AG$1)</f>
        <v>0</v>
      </c>
      <c r="AH94" s="183">
        <f>SUMIFS('июнь 2025'!$G$5:$G$2470,'июнь 2025'!$D$5:$D$2470,$B94,'июнь 2025'!$J$5:$J$2470,AH$1)</f>
        <v>0</v>
      </c>
      <c r="AI94" s="20">
        <f t="shared" si="1"/>
        <v>0</v>
      </c>
    </row>
    <row r="95" spans="2:35" ht="15" customHeight="1" x14ac:dyDescent="0.25">
      <c r="B95" s="84" t="s">
        <v>205</v>
      </c>
      <c r="C95" s="83">
        <v>190</v>
      </c>
      <c r="D95" s="183">
        <f>SUMIFS('июнь 2025'!$G$5:$G$2470,'июнь 2025'!$D$5:$D$2470,$B95,'июнь 2025'!$J$5:$J$2470,D$1)</f>
        <v>0</v>
      </c>
      <c r="E95" s="183">
        <f>SUMIFS('июнь 2025'!$G$5:$G$2470,'июнь 2025'!$D$5:$D$2470,$B95,'июнь 2025'!$J$5:$J$2470,E$1)</f>
        <v>0</v>
      </c>
      <c r="F95" s="183">
        <f>SUMIFS('июнь 2025'!$G$5:$G$2470,'июнь 2025'!$D$5:$D$2470,$B95,'июнь 2025'!$J$5:$J$2470,F$1)</f>
        <v>0</v>
      </c>
      <c r="G95" s="183">
        <f>SUMIFS('июнь 2025'!$G$5:$G$2470,'июнь 2025'!$D$5:$D$2470,$B95,'июнь 2025'!$J$5:$J$2470,G$1)</f>
        <v>0</v>
      </c>
      <c r="H95" s="183">
        <f>SUMIFS('июнь 2025'!$G$5:$G$2470,'июнь 2025'!$D$5:$D$2470,$B95,'июнь 2025'!$J$5:$J$2470,H$1)</f>
        <v>0</v>
      </c>
      <c r="I95" s="183">
        <f>SUMIFS('июнь 2025'!$G$5:$G$2470,'июнь 2025'!$D$5:$D$2470,$B95,'июнь 2025'!$J$5:$J$2470,I$1)</f>
        <v>0</v>
      </c>
      <c r="J95" s="183">
        <f>SUMIFS('июнь 2025'!$G$5:$G$2470,'июнь 2025'!$D$5:$D$2470,$B95,'июнь 2025'!$J$5:$J$2470,J$1)</f>
        <v>0</v>
      </c>
      <c r="K95" s="183">
        <f>SUMIFS('июнь 2025'!$G$5:$G$2470,'июнь 2025'!$D$5:$D$2470,$B95,'июнь 2025'!$J$5:$J$2470,K$1)</f>
        <v>0</v>
      </c>
      <c r="L95" s="183">
        <f>SUMIFS('июнь 2025'!$G$5:$G$2470,'июнь 2025'!$D$5:$D$2470,$B95,'июнь 2025'!$J$5:$J$2470,L$1)</f>
        <v>0</v>
      </c>
      <c r="M95" s="183">
        <f>SUMIFS('июнь 2025'!$G$5:$G$2470,'июнь 2025'!$D$5:$D$2470,$B95,'июнь 2025'!$J$5:$J$2470,M$1)</f>
        <v>0</v>
      </c>
      <c r="N95" s="183">
        <f>SUMIFS('июнь 2025'!$G$5:$G$2470,'июнь 2025'!$D$5:$D$2470,$B95,'июнь 2025'!$J$5:$J$2470,N$1)</f>
        <v>0</v>
      </c>
      <c r="O95" s="183">
        <f>SUMIFS('июнь 2025'!$G$5:$G$2470,'июнь 2025'!$D$5:$D$2470,$B95,'июнь 2025'!$J$5:$J$2470,O$1)</f>
        <v>0</v>
      </c>
      <c r="P95" s="183">
        <f>SUMIFS('июнь 2025'!$G$5:$G$2470,'июнь 2025'!$D$5:$D$2470,$B95,'июнь 2025'!$J$5:$J$2470,P$1)</f>
        <v>0</v>
      </c>
      <c r="Q95" s="183">
        <f>SUMIFS('июнь 2025'!$G$5:$G$2470,'июнь 2025'!$D$5:$D$2470,$B95,'июнь 2025'!$J$5:$J$2470,Q$1)</f>
        <v>0</v>
      </c>
      <c r="R95" s="183">
        <f>SUMIFS('июнь 2025'!$G$5:$G$2470,'июнь 2025'!$D$5:$D$2470,$B95,'июнь 2025'!$J$5:$J$2470,R$1)</f>
        <v>0</v>
      </c>
      <c r="S95" s="183">
        <f>SUMIFS('июнь 2025'!$G$5:$G$2470,'июнь 2025'!$D$5:$D$2470,$B95,'июнь 2025'!$J$5:$J$2470,S$1)</f>
        <v>0</v>
      </c>
      <c r="T95" s="183">
        <f>SUMIFS('июнь 2025'!$G$5:$G$2470,'июнь 2025'!$D$5:$D$2470,$B95,'июнь 2025'!$J$5:$J$2470,T$1)</f>
        <v>0</v>
      </c>
      <c r="U95" s="183">
        <f>SUMIFS('июнь 2025'!$G$5:$G$2470,'июнь 2025'!$D$5:$D$2470,$B95,'июнь 2025'!$J$5:$J$2470,U$1)</f>
        <v>0</v>
      </c>
      <c r="V95" s="183">
        <f>SUMIFS('июнь 2025'!$G$5:$G$2470,'июнь 2025'!$D$5:$D$2470,$B95,'июнь 2025'!$J$5:$J$2470,V$1)</f>
        <v>0</v>
      </c>
      <c r="W95" s="183">
        <f>SUMIFS('июнь 2025'!$G$5:$G$2470,'июнь 2025'!$D$5:$D$2470,$B95,'июнь 2025'!$J$5:$J$2470,W$1)</f>
        <v>0</v>
      </c>
      <c r="X95" s="183">
        <f>SUMIFS('июнь 2025'!$G$5:$G$2470,'июнь 2025'!$D$5:$D$2470,$B95,'июнь 2025'!$J$5:$J$2470,X$1)</f>
        <v>0</v>
      </c>
      <c r="Y95" s="183">
        <f>SUMIFS('июнь 2025'!$G$5:$G$2470,'июнь 2025'!$D$5:$D$2470,$B95,'июнь 2025'!$J$5:$J$2470,Y$1)</f>
        <v>0</v>
      </c>
      <c r="Z95" s="183">
        <f>SUMIFS('июнь 2025'!$G$5:$G$2470,'июнь 2025'!$D$5:$D$2470,$B95,'июнь 2025'!$J$5:$J$2470,Z$1)</f>
        <v>0</v>
      </c>
      <c r="AA95" s="183">
        <f>SUMIFS('июнь 2025'!$G$5:$G$2470,'июнь 2025'!$D$5:$D$2470,$B95,'июнь 2025'!$J$5:$J$2470,AA$1)</f>
        <v>0</v>
      </c>
      <c r="AB95" s="183">
        <f>SUMIFS('июнь 2025'!$G$5:$G$2470,'июнь 2025'!$D$5:$D$2470,$B95,'июнь 2025'!$J$5:$J$2470,AB$1)</f>
        <v>0</v>
      </c>
      <c r="AC95" s="183">
        <f>SUMIFS('июнь 2025'!$G$5:$G$2470,'июнь 2025'!$D$5:$D$2470,$B95,'июнь 2025'!$J$5:$J$2470,AC$1)</f>
        <v>0</v>
      </c>
      <c r="AD95" s="183">
        <f>SUMIFS('июнь 2025'!$G$5:$G$2470,'июнь 2025'!$D$5:$D$2470,$B95,'июнь 2025'!$J$5:$J$2470,AD$1)</f>
        <v>0</v>
      </c>
      <c r="AE95" s="183">
        <f>SUMIFS('июнь 2025'!$G$5:$G$2470,'июнь 2025'!$D$5:$D$2470,$B95,'июнь 2025'!$J$5:$J$2470,AE$1)</f>
        <v>0</v>
      </c>
      <c r="AF95" s="183">
        <f>SUMIFS('июнь 2025'!$G$5:$G$2470,'июнь 2025'!$D$5:$D$2470,$B95,'июнь 2025'!$J$5:$J$2470,AF$1)</f>
        <v>0</v>
      </c>
      <c r="AG95" s="183">
        <f>SUMIFS('июнь 2025'!$G$5:$G$2470,'июнь 2025'!$D$5:$D$2470,$B95,'июнь 2025'!$J$5:$J$2470,AG$1)</f>
        <v>0</v>
      </c>
      <c r="AH95" s="183">
        <f>SUMIFS('июнь 2025'!$G$5:$G$2470,'июнь 2025'!$D$5:$D$2470,$B95,'июнь 2025'!$J$5:$J$2470,AH$1)</f>
        <v>0</v>
      </c>
      <c r="AI95" s="20">
        <f t="shared" si="1"/>
        <v>0</v>
      </c>
    </row>
    <row r="96" spans="2:35" ht="15" customHeight="1" x14ac:dyDescent="0.25">
      <c r="B96" s="88" t="s">
        <v>173</v>
      </c>
      <c r="C96" s="83">
        <v>190</v>
      </c>
      <c r="D96" s="183">
        <f>SUMIFS('июнь 2025'!$G$5:$G$2470,'июнь 2025'!$D$5:$D$2470,$B96,'июнь 2025'!$J$5:$J$2470,D$1)</f>
        <v>0</v>
      </c>
      <c r="E96" s="183">
        <f>SUMIFS('июнь 2025'!$G$5:$G$2470,'июнь 2025'!$D$5:$D$2470,$B96,'июнь 2025'!$J$5:$J$2470,E$1)</f>
        <v>0</v>
      </c>
      <c r="F96" s="183">
        <f>SUMIFS('июнь 2025'!$G$5:$G$2470,'июнь 2025'!$D$5:$D$2470,$B96,'июнь 2025'!$J$5:$J$2470,F$1)</f>
        <v>0</v>
      </c>
      <c r="G96" s="183">
        <f>SUMIFS('июнь 2025'!$G$5:$G$2470,'июнь 2025'!$D$5:$D$2470,$B96,'июнь 2025'!$J$5:$J$2470,G$1)</f>
        <v>0</v>
      </c>
      <c r="H96" s="183">
        <f>SUMIFS('июнь 2025'!$G$5:$G$2470,'июнь 2025'!$D$5:$D$2470,$B96,'июнь 2025'!$J$5:$J$2470,H$1)</f>
        <v>0</v>
      </c>
      <c r="I96" s="183">
        <f>SUMIFS('июнь 2025'!$G$5:$G$2470,'июнь 2025'!$D$5:$D$2470,$B96,'июнь 2025'!$J$5:$J$2470,I$1)</f>
        <v>0</v>
      </c>
      <c r="J96" s="183">
        <f>SUMIFS('июнь 2025'!$G$5:$G$2470,'июнь 2025'!$D$5:$D$2470,$B96,'июнь 2025'!$J$5:$J$2470,J$1)</f>
        <v>0</v>
      </c>
      <c r="K96" s="183">
        <f>SUMIFS('июнь 2025'!$G$5:$G$2470,'июнь 2025'!$D$5:$D$2470,$B96,'июнь 2025'!$J$5:$J$2470,K$1)</f>
        <v>0</v>
      </c>
      <c r="L96" s="183">
        <f>SUMIFS('июнь 2025'!$G$5:$G$2470,'июнь 2025'!$D$5:$D$2470,$B96,'июнь 2025'!$J$5:$J$2470,L$1)</f>
        <v>0</v>
      </c>
      <c r="M96" s="183">
        <f>SUMIFS('июнь 2025'!$G$5:$G$2470,'июнь 2025'!$D$5:$D$2470,$B96,'июнь 2025'!$J$5:$J$2470,M$1)</f>
        <v>0</v>
      </c>
      <c r="N96" s="183">
        <f>SUMIFS('июнь 2025'!$G$5:$G$2470,'июнь 2025'!$D$5:$D$2470,$B96,'июнь 2025'!$J$5:$J$2470,N$1)</f>
        <v>0</v>
      </c>
      <c r="O96" s="183">
        <f>SUMIFS('июнь 2025'!$G$5:$G$2470,'июнь 2025'!$D$5:$D$2470,$B96,'июнь 2025'!$J$5:$J$2470,O$1)</f>
        <v>0</v>
      </c>
      <c r="P96" s="183">
        <f>SUMIFS('июнь 2025'!$G$5:$G$2470,'июнь 2025'!$D$5:$D$2470,$B96,'июнь 2025'!$J$5:$J$2470,P$1)</f>
        <v>0</v>
      </c>
      <c r="Q96" s="183">
        <f>SUMIFS('июнь 2025'!$G$5:$G$2470,'июнь 2025'!$D$5:$D$2470,$B96,'июнь 2025'!$J$5:$J$2470,Q$1)</f>
        <v>0</v>
      </c>
      <c r="R96" s="183">
        <f>SUMIFS('июнь 2025'!$G$5:$G$2470,'июнь 2025'!$D$5:$D$2470,$B96,'июнь 2025'!$J$5:$J$2470,R$1)</f>
        <v>0</v>
      </c>
      <c r="S96" s="183">
        <f>SUMIFS('июнь 2025'!$G$5:$G$2470,'июнь 2025'!$D$5:$D$2470,$B96,'июнь 2025'!$J$5:$J$2470,S$1)</f>
        <v>0</v>
      </c>
      <c r="T96" s="183">
        <f>SUMIFS('июнь 2025'!$G$5:$G$2470,'июнь 2025'!$D$5:$D$2470,$B96,'июнь 2025'!$J$5:$J$2470,T$1)</f>
        <v>0</v>
      </c>
      <c r="U96" s="183">
        <f>SUMIFS('июнь 2025'!$G$5:$G$2470,'июнь 2025'!$D$5:$D$2470,$B96,'июнь 2025'!$J$5:$J$2470,U$1)</f>
        <v>0</v>
      </c>
      <c r="V96" s="183">
        <f>SUMIFS('июнь 2025'!$G$5:$G$2470,'июнь 2025'!$D$5:$D$2470,$B96,'июнь 2025'!$J$5:$J$2470,V$1)</f>
        <v>0</v>
      </c>
      <c r="W96" s="183">
        <f>SUMIFS('июнь 2025'!$G$5:$G$2470,'июнь 2025'!$D$5:$D$2470,$B96,'июнь 2025'!$J$5:$J$2470,W$1)</f>
        <v>0</v>
      </c>
      <c r="X96" s="183">
        <f>SUMIFS('июнь 2025'!$G$5:$G$2470,'июнь 2025'!$D$5:$D$2470,$B96,'июнь 2025'!$J$5:$J$2470,X$1)</f>
        <v>0</v>
      </c>
      <c r="Y96" s="183">
        <f>SUMIFS('июнь 2025'!$G$5:$G$2470,'июнь 2025'!$D$5:$D$2470,$B96,'июнь 2025'!$J$5:$J$2470,Y$1)</f>
        <v>0</v>
      </c>
      <c r="Z96" s="183">
        <f>SUMIFS('июнь 2025'!$G$5:$G$2470,'июнь 2025'!$D$5:$D$2470,$B96,'июнь 2025'!$J$5:$J$2470,Z$1)</f>
        <v>0</v>
      </c>
      <c r="AA96" s="183">
        <f>SUMIFS('июнь 2025'!$G$5:$G$2470,'июнь 2025'!$D$5:$D$2470,$B96,'июнь 2025'!$J$5:$J$2470,AA$1)</f>
        <v>0</v>
      </c>
      <c r="AB96" s="183">
        <f>SUMIFS('июнь 2025'!$G$5:$G$2470,'июнь 2025'!$D$5:$D$2470,$B96,'июнь 2025'!$J$5:$J$2470,AB$1)</f>
        <v>0</v>
      </c>
      <c r="AC96" s="183">
        <f>SUMIFS('июнь 2025'!$G$5:$G$2470,'июнь 2025'!$D$5:$D$2470,$B96,'июнь 2025'!$J$5:$J$2470,AC$1)</f>
        <v>0</v>
      </c>
      <c r="AD96" s="183">
        <f>SUMIFS('июнь 2025'!$G$5:$G$2470,'июнь 2025'!$D$5:$D$2470,$B96,'июнь 2025'!$J$5:$J$2470,AD$1)</f>
        <v>0</v>
      </c>
      <c r="AE96" s="183">
        <f>SUMIFS('июнь 2025'!$G$5:$G$2470,'июнь 2025'!$D$5:$D$2470,$B96,'июнь 2025'!$J$5:$J$2470,AE$1)</f>
        <v>0</v>
      </c>
      <c r="AF96" s="183">
        <f>SUMIFS('июнь 2025'!$G$5:$G$2470,'июнь 2025'!$D$5:$D$2470,$B96,'июнь 2025'!$J$5:$J$2470,AF$1)</f>
        <v>0</v>
      </c>
      <c r="AG96" s="183">
        <f>SUMIFS('июнь 2025'!$G$5:$G$2470,'июнь 2025'!$D$5:$D$2470,$B96,'июнь 2025'!$J$5:$J$2470,AG$1)</f>
        <v>0</v>
      </c>
      <c r="AH96" s="183">
        <f>SUMIFS('июнь 2025'!$G$5:$G$2470,'июнь 2025'!$D$5:$D$2470,$B96,'июнь 2025'!$J$5:$J$2470,AH$1)</f>
        <v>0</v>
      </c>
      <c r="AI96" s="20">
        <f t="shared" si="1"/>
        <v>0</v>
      </c>
    </row>
    <row r="97" spans="2:35" ht="15" customHeight="1" x14ac:dyDescent="0.25">
      <c r="B97" s="88" t="s">
        <v>182</v>
      </c>
      <c r="C97" s="86">
        <v>180</v>
      </c>
      <c r="D97" s="183">
        <f>SUMIFS('июнь 2025'!$G$5:$G$2470,'июнь 2025'!$D$5:$D$2470,$B97,'июнь 2025'!$J$5:$J$2470,D$1)</f>
        <v>0</v>
      </c>
      <c r="E97" s="183">
        <f>SUMIFS('июнь 2025'!$G$5:$G$2470,'июнь 2025'!$D$5:$D$2470,$B97,'июнь 2025'!$J$5:$J$2470,E$1)</f>
        <v>0</v>
      </c>
      <c r="F97" s="183">
        <f>SUMIFS('июнь 2025'!$G$5:$G$2470,'июнь 2025'!$D$5:$D$2470,$B97,'июнь 2025'!$J$5:$J$2470,F$1)</f>
        <v>0</v>
      </c>
      <c r="G97" s="183">
        <f>SUMIFS('июнь 2025'!$G$5:$G$2470,'июнь 2025'!$D$5:$D$2470,$B97,'июнь 2025'!$J$5:$J$2470,G$1)</f>
        <v>0</v>
      </c>
      <c r="H97" s="183">
        <f>SUMIFS('июнь 2025'!$G$5:$G$2470,'июнь 2025'!$D$5:$D$2470,$B97,'июнь 2025'!$J$5:$J$2470,H$1)</f>
        <v>0</v>
      </c>
      <c r="I97" s="183">
        <f>SUMIFS('июнь 2025'!$G$5:$G$2470,'июнь 2025'!$D$5:$D$2470,$B97,'июнь 2025'!$J$5:$J$2470,I$1)</f>
        <v>0</v>
      </c>
      <c r="J97" s="183">
        <f>SUMIFS('июнь 2025'!$G$5:$G$2470,'июнь 2025'!$D$5:$D$2470,$B97,'июнь 2025'!$J$5:$J$2470,J$1)</f>
        <v>0</v>
      </c>
      <c r="K97" s="183">
        <f>SUMIFS('июнь 2025'!$G$5:$G$2470,'июнь 2025'!$D$5:$D$2470,$B97,'июнь 2025'!$J$5:$J$2470,K$1)</f>
        <v>0</v>
      </c>
      <c r="L97" s="183">
        <f>SUMIFS('июнь 2025'!$G$5:$G$2470,'июнь 2025'!$D$5:$D$2470,$B97,'июнь 2025'!$J$5:$J$2470,L$1)</f>
        <v>0</v>
      </c>
      <c r="M97" s="183">
        <f>SUMIFS('июнь 2025'!$G$5:$G$2470,'июнь 2025'!$D$5:$D$2470,$B97,'июнь 2025'!$J$5:$J$2470,M$1)</f>
        <v>0</v>
      </c>
      <c r="N97" s="183">
        <f>SUMIFS('июнь 2025'!$G$5:$G$2470,'июнь 2025'!$D$5:$D$2470,$B97,'июнь 2025'!$J$5:$J$2470,N$1)</f>
        <v>0</v>
      </c>
      <c r="O97" s="183">
        <f>SUMIFS('июнь 2025'!$G$5:$G$2470,'июнь 2025'!$D$5:$D$2470,$B97,'июнь 2025'!$J$5:$J$2470,O$1)</f>
        <v>0</v>
      </c>
      <c r="P97" s="183">
        <f>SUMIFS('июнь 2025'!$G$5:$G$2470,'июнь 2025'!$D$5:$D$2470,$B97,'июнь 2025'!$J$5:$J$2470,P$1)</f>
        <v>0</v>
      </c>
      <c r="Q97" s="183">
        <f>SUMIFS('июнь 2025'!$G$5:$G$2470,'июнь 2025'!$D$5:$D$2470,$B97,'июнь 2025'!$J$5:$J$2470,Q$1)</f>
        <v>0</v>
      </c>
      <c r="R97" s="183">
        <f>SUMIFS('июнь 2025'!$G$5:$G$2470,'июнь 2025'!$D$5:$D$2470,$B97,'июнь 2025'!$J$5:$J$2470,R$1)</f>
        <v>0</v>
      </c>
      <c r="S97" s="183">
        <f>SUMIFS('июнь 2025'!$G$5:$G$2470,'июнь 2025'!$D$5:$D$2470,$B97,'июнь 2025'!$J$5:$J$2470,S$1)</f>
        <v>0</v>
      </c>
      <c r="T97" s="183">
        <f>SUMIFS('июнь 2025'!$G$5:$G$2470,'июнь 2025'!$D$5:$D$2470,$B97,'июнь 2025'!$J$5:$J$2470,T$1)</f>
        <v>0</v>
      </c>
      <c r="U97" s="183">
        <f>SUMIFS('июнь 2025'!$G$5:$G$2470,'июнь 2025'!$D$5:$D$2470,$B97,'июнь 2025'!$J$5:$J$2470,U$1)</f>
        <v>0</v>
      </c>
      <c r="V97" s="183">
        <f>SUMIFS('июнь 2025'!$G$5:$G$2470,'июнь 2025'!$D$5:$D$2470,$B97,'июнь 2025'!$J$5:$J$2470,V$1)</f>
        <v>0</v>
      </c>
      <c r="W97" s="183">
        <f>SUMIFS('июнь 2025'!$G$5:$G$2470,'июнь 2025'!$D$5:$D$2470,$B97,'июнь 2025'!$J$5:$J$2470,W$1)</f>
        <v>0</v>
      </c>
      <c r="X97" s="183">
        <f>SUMIFS('июнь 2025'!$G$5:$G$2470,'июнь 2025'!$D$5:$D$2470,$B97,'июнь 2025'!$J$5:$J$2470,X$1)</f>
        <v>0</v>
      </c>
      <c r="Y97" s="183">
        <f>SUMIFS('июнь 2025'!$G$5:$G$2470,'июнь 2025'!$D$5:$D$2470,$B97,'июнь 2025'!$J$5:$J$2470,Y$1)</f>
        <v>0</v>
      </c>
      <c r="Z97" s="183">
        <f>SUMIFS('июнь 2025'!$G$5:$G$2470,'июнь 2025'!$D$5:$D$2470,$B97,'июнь 2025'!$J$5:$J$2470,Z$1)</f>
        <v>0</v>
      </c>
      <c r="AA97" s="183">
        <f>SUMIFS('июнь 2025'!$G$5:$G$2470,'июнь 2025'!$D$5:$D$2470,$B97,'июнь 2025'!$J$5:$J$2470,AA$1)</f>
        <v>0</v>
      </c>
      <c r="AB97" s="183">
        <f>SUMIFS('июнь 2025'!$G$5:$G$2470,'июнь 2025'!$D$5:$D$2470,$B97,'июнь 2025'!$J$5:$J$2470,AB$1)</f>
        <v>0</v>
      </c>
      <c r="AC97" s="183">
        <f>SUMIFS('июнь 2025'!$G$5:$G$2470,'июнь 2025'!$D$5:$D$2470,$B97,'июнь 2025'!$J$5:$J$2470,AC$1)</f>
        <v>0</v>
      </c>
      <c r="AD97" s="183">
        <f>SUMIFS('июнь 2025'!$G$5:$G$2470,'июнь 2025'!$D$5:$D$2470,$B97,'июнь 2025'!$J$5:$J$2470,AD$1)</f>
        <v>0</v>
      </c>
      <c r="AE97" s="183">
        <f>SUMIFS('июнь 2025'!$G$5:$G$2470,'июнь 2025'!$D$5:$D$2470,$B97,'июнь 2025'!$J$5:$J$2470,AE$1)</f>
        <v>0</v>
      </c>
      <c r="AF97" s="183">
        <f>SUMIFS('июнь 2025'!$G$5:$G$2470,'июнь 2025'!$D$5:$D$2470,$B97,'июнь 2025'!$J$5:$J$2470,AF$1)</f>
        <v>0</v>
      </c>
      <c r="AG97" s="183">
        <f>SUMIFS('июнь 2025'!$G$5:$G$2470,'июнь 2025'!$D$5:$D$2470,$B97,'июнь 2025'!$J$5:$J$2470,AG$1)</f>
        <v>0</v>
      </c>
      <c r="AH97" s="183">
        <f>SUMIFS('июнь 2025'!$G$5:$G$2470,'июнь 2025'!$D$5:$D$2470,$B97,'июнь 2025'!$J$5:$J$2470,AH$1)</f>
        <v>0</v>
      </c>
      <c r="AI97" s="20">
        <f t="shared" si="1"/>
        <v>0</v>
      </c>
    </row>
    <row r="98" spans="2:35" ht="15" customHeight="1" x14ac:dyDescent="0.25">
      <c r="B98" s="88" t="s">
        <v>298</v>
      </c>
      <c r="C98" s="86">
        <v>190</v>
      </c>
      <c r="D98" s="183">
        <f>SUMIFS('июнь 2025'!$G$5:$G$2470,'июнь 2025'!$D$5:$D$2470,$B98,'июнь 2025'!$J$5:$J$2470,D$1)</f>
        <v>0</v>
      </c>
      <c r="E98" s="183">
        <f>SUMIFS('июнь 2025'!$G$5:$G$2470,'июнь 2025'!$D$5:$D$2470,$B98,'июнь 2025'!$J$5:$J$2470,E$1)</f>
        <v>0</v>
      </c>
      <c r="F98" s="183">
        <f>SUMIFS('июнь 2025'!$G$5:$G$2470,'июнь 2025'!$D$5:$D$2470,$B98,'июнь 2025'!$J$5:$J$2470,F$1)</f>
        <v>0</v>
      </c>
      <c r="G98" s="183">
        <f>SUMIFS('июнь 2025'!$G$5:$G$2470,'июнь 2025'!$D$5:$D$2470,$B98,'июнь 2025'!$J$5:$J$2470,G$1)</f>
        <v>0</v>
      </c>
      <c r="H98" s="183">
        <f>SUMIFS('июнь 2025'!$G$5:$G$2470,'июнь 2025'!$D$5:$D$2470,$B98,'июнь 2025'!$J$5:$J$2470,H$1)</f>
        <v>0</v>
      </c>
      <c r="I98" s="183">
        <f>SUMIFS('июнь 2025'!$G$5:$G$2470,'июнь 2025'!$D$5:$D$2470,$B98,'июнь 2025'!$J$5:$J$2470,I$1)</f>
        <v>0</v>
      </c>
      <c r="J98" s="183">
        <f>SUMIFS('июнь 2025'!$G$5:$G$2470,'июнь 2025'!$D$5:$D$2470,$B98,'июнь 2025'!$J$5:$J$2470,J$1)</f>
        <v>0</v>
      </c>
      <c r="K98" s="183">
        <f>SUMIFS('июнь 2025'!$G$5:$G$2470,'июнь 2025'!$D$5:$D$2470,$B98,'июнь 2025'!$J$5:$J$2470,K$1)</f>
        <v>0</v>
      </c>
      <c r="L98" s="183">
        <f>SUMIFS('июнь 2025'!$G$5:$G$2470,'июнь 2025'!$D$5:$D$2470,$B98,'июнь 2025'!$J$5:$J$2470,L$1)</f>
        <v>0</v>
      </c>
      <c r="M98" s="183">
        <f>SUMIFS('июнь 2025'!$G$5:$G$2470,'июнь 2025'!$D$5:$D$2470,$B98,'июнь 2025'!$J$5:$J$2470,M$1)</f>
        <v>0</v>
      </c>
      <c r="N98" s="183">
        <f>SUMIFS('июнь 2025'!$G$5:$G$2470,'июнь 2025'!$D$5:$D$2470,$B98,'июнь 2025'!$J$5:$J$2470,N$1)</f>
        <v>0</v>
      </c>
      <c r="O98" s="183">
        <f>SUMIFS('июнь 2025'!$G$5:$G$2470,'июнь 2025'!$D$5:$D$2470,$B98,'июнь 2025'!$J$5:$J$2470,O$1)</f>
        <v>0</v>
      </c>
      <c r="P98" s="183">
        <f>SUMIFS('июнь 2025'!$G$5:$G$2470,'июнь 2025'!$D$5:$D$2470,$B98,'июнь 2025'!$J$5:$J$2470,P$1)</f>
        <v>0</v>
      </c>
      <c r="Q98" s="183">
        <f>SUMIFS('июнь 2025'!$G$5:$G$2470,'июнь 2025'!$D$5:$D$2470,$B98,'июнь 2025'!$J$5:$J$2470,Q$1)</f>
        <v>0</v>
      </c>
      <c r="R98" s="183">
        <f>SUMIFS('июнь 2025'!$G$5:$G$2470,'июнь 2025'!$D$5:$D$2470,$B98,'июнь 2025'!$J$5:$J$2470,R$1)</f>
        <v>0</v>
      </c>
      <c r="S98" s="183">
        <f>SUMIFS('июнь 2025'!$G$5:$G$2470,'июнь 2025'!$D$5:$D$2470,$B98,'июнь 2025'!$J$5:$J$2470,S$1)</f>
        <v>0</v>
      </c>
      <c r="T98" s="183">
        <f>SUMIFS('июнь 2025'!$G$5:$G$2470,'июнь 2025'!$D$5:$D$2470,$B98,'июнь 2025'!$J$5:$J$2470,T$1)</f>
        <v>0</v>
      </c>
      <c r="U98" s="183">
        <f>SUMIFS('июнь 2025'!$G$5:$G$2470,'июнь 2025'!$D$5:$D$2470,$B98,'июнь 2025'!$J$5:$J$2470,U$1)</f>
        <v>0</v>
      </c>
      <c r="V98" s="183">
        <f>SUMIFS('июнь 2025'!$G$5:$G$2470,'июнь 2025'!$D$5:$D$2470,$B98,'июнь 2025'!$J$5:$J$2470,V$1)</f>
        <v>0</v>
      </c>
      <c r="W98" s="183">
        <f>SUMIFS('июнь 2025'!$G$5:$G$2470,'июнь 2025'!$D$5:$D$2470,$B98,'июнь 2025'!$J$5:$J$2470,W$1)</f>
        <v>0</v>
      </c>
      <c r="X98" s="183">
        <f>SUMIFS('июнь 2025'!$G$5:$G$2470,'июнь 2025'!$D$5:$D$2470,$B98,'июнь 2025'!$J$5:$J$2470,X$1)</f>
        <v>0</v>
      </c>
      <c r="Y98" s="183">
        <f>SUMIFS('июнь 2025'!$G$5:$G$2470,'июнь 2025'!$D$5:$D$2470,$B98,'июнь 2025'!$J$5:$J$2470,Y$1)</f>
        <v>0</v>
      </c>
      <c r="Z98" s="183">
        <f>SUMIFS('июнь 2025'!$G$5:$G$2470,'июнь 2025'!$D$5:$D$2470,$B98,'июнь 2025'!$J$5:$J$2470,Z$1)</f>
        <v>0</v>
      </c>
      <c r="AA98" s="183">
        <f>SUMIFS('июнь 2025'!$G$5:$G$2470,'июнь 2025'!$D$5:$D$2470,$B98,'июнь 2025'!$J$5:$J$2470,AA$1)</f>
        <v>0</v>
      </c>
      <c r="AB98" s="183">
        <f>SUMIFS('июнь 2025'!$G$5:$G$2470,'июнь 2025'!$D$5:$D$2470,$B98,'июнь 2025'!$J$5:$J$2470,AB$1)</f>
        <v>0</v>
      </c>
      <c r="AC98" s="183">
        <f>SUMIFS('июнь 2025'!$G$5:$G$2470,'июнь 2025'!$D$5:$D$2470,$B98,'июнь 2025'!$J$5:$J$2470,AC$1)</f>
        <v>0</v>
      </c>
      <c r="AD98" s="183">
        <f>SUMIFS('июнь 2025'!$G$5:$G$2470,'июнь 2025'!$D$5:$D$2470,$B98,'июнь 2025'!$J$5:$J$2470,AD$1)</f>
        <v>0</v>
      </c>
      <c r="AE98" s="183">
        <f>SUMIFS('июнь 2025'!$G$5:$G$2470,'июнь 2025'!$D$5:$D$2470,$B98,'июнь 2025'!$J$5:$J$2470,AE$1)</f>
        <v>0</v>
      </c>
      <c r="AF98" s="183">
        <f>SUMIFS('июнь 2025'!$G$5:$G$2470,'июнь 2025'!$D$5:$D$2470,$B98,'июнь 2025'!$J$5:$J$2470,AF$1)</f>
        <v>0</v>
      </c>
      <c r="AG98" s="183">
        <f>SUMIFS('июнь 2025'!$G$5:$G$2470,'июнь 2025'!$D$5:$D$2470,$B98,'июнь 2025'!$J$5:$J$2470,AG$1)</f>
        <v>0</v>
      </c>
      <c r="AH98" s="183">
        <f>SUMIFS('июнь 2025'!$G$5:$G$2470,'июнь 2025'!$D$5:$D$2470,$B98,'июнь 2025'!$J$5:$J$2470,AH$1)</f>
        <v>0</v>
      </c>
      <c r="AI98" s="20">
        <f t="shared" si="1"/>
        <v>0</v>
      </c>
    </row>
    <row r="99" spans="2:35" ht="15" customHeight="1" x14ac:dyDescent="0.25">
      <c r="B99" s="88" t="s">
        <v>312</v>
      </c>
      <c r="C99" s="86">
        <v>190</v>
      </c>
      <c r="D99" s="183">
        <f>SUMIFS('июнь 2025'!$G$5:$G$2470,'июнь 2025'!$D$5:$D$2470,$B99,'июнь 2025'!$J$5:$J$2470,D$1)</f>
        <v>0</v>
      </c>
      <c r="E99" s="183">
        <f>SUMIFS('июнь 2025'!$G$5:$G$2470,'июнь 2025'!$D$5:$D$2470,$B99,'июнь 2025'!$J$5:$J$2470,E$1)</f>
        <v>0</v>
      </c>
      <c r="F99" s="183">
        <f>SUMIFS('июнь 2025'!$G$5:$G$2470,'июнь 2025'!$D$5:$D$2470,$B99,'июнь 2025'!$J$5:$J$2470,F$1)</f>
        <v>0</v>
      </c>
      <c r="G99" s="183">
        <f>SUMIFS('июнь 2025'!$G$5:$G$2470,'июнь 2025'!$D$5:$D$2470,$B99,'июнь 2025'!$J$5:$J$2470,G$1)</f>
        <v>0</v>
      </c>
      <c r="H99" s="183">
        <f>SUMIFS('июнь 2025'!$G$5:$G$2470,'июнь 2025'!$D$5:$D$2470,$B99,'июнь 2025'!$J$5:$J$2470,H$1)</f>
        <v>0</v>
      </c>
      <c r="I99" s="183">
        <f>SUMIFS('июнь 2025'!$G$5:$G$2470,'июнь 2025'!$D$5:$D$2470,$B99,'июнь 2025'!$J$5:$J$2470,I$1)</f>
        <v>0</v>
      </c>
      <c r="J99" s="183">
        <f>SUMIFS('июнь 2025'!$G$5:$G$2470,'июнь 2025'!$D$5:$D$2470,$B99,'июнь 2025'!$J$5:$J$2470,J$1)</f>
        <v>0</v>
      </c>
      <c r="K99" s="183">
        <f>SUMIFS('июнь 2025'!$G$5:$G$2470,'июнь 2025'!$D$5:$D$2470,$B99,'июнь 2025'!$J$5:$J$2470,K$1)</f>
        <v>0</v>
      </c>
      <c r="L99" s="183">
        <f>SUMIFS('июнь 2025'!$G$5:$G$2470,'июнь 2025'!$D$5:$D$2470,$B99,'июнь 2025'!$J$5:$J$2470,L$1)</f>
        <v>0</v>
      </c>
      <c r="M99" s="183">
        <f>SUMIFS('июнь 2025'!$G$5:$G$2470,'июнь 2025'!$D$5:$D$2470,$B99,'июнь 2025'!$J$5:$J$2470,M$1)</f>
        <v>0</v>
      </c>
      <c r="N99" s="183">
        <f>SUMIFS('июнь 2025'!$G$5:$G$2470,'июнь 2025'!$D$5:$D$2470,$B99,'июнь 2025'!$J$5:$J$2470,N$1)</f>
        <v>0</v>
      </c>
      <c r="O99" s="183">
        <f>SUMIFS('июнь 2025'!$G$5:$G$2470,'июнь 2025'!$D$5:$D$2470,$B99,'июнь 2025'!$J$5:$J$2470,O$1)</f>
        <v>0</v>
      </c>
      <c r="P99" s="183">
        <f>SUMIFS('июнь 2025'!$G$5:$G$2470,'июнь 2025'!$D$5:$D$2470,$B99,'июнь 2025'!$J$5:$J$2470,P$1)</f>
        <v>0</v>
      </c>
      <c r="Q99" s="183">
        <f>SUMIFS('июнь 2025'!$G$5:$G$2470,'июнь 2025'!$D$5:$D$2470,$B99,'июнь 2025'!$J$5:$J$2470,Q$1)</f>
        <v>0</v>
      </c>
      <c r="R99" s="183">
        <f>SUMIFS('июнь 2025'!$G$5:$G$2470,'июнь 2025'!$D$5:$D$2470,$B99,'июнь 2025'!$J$5:$J$2470,R$1)</f>
        <v>0</v>
      </c>
      <c r="S99" s="183">
        <f>SUMIFS('июнь 2025'!$G$5:$G$2470,'июнь 2025'!$D$5:$D$2470,$B99,'июнь 2025'!$J$5:$J$2470,S$1)</f>
        <v>0</v>
      </c>
      <c r="T99" s="183">
        <f>SUMIFS('июнь 2025'!$G$5:$G$2470,'июнь 2025'!$D$5:$D$2470,$B99,'июнь 2025'!$J$5:$J$2470,T$1)</f>
        <v>0</v>
      </c>
      <c r="U99" s="183">
        <f>SUMIFS('июнь 2025'!$G$5:$G$2470,'июнь 2025'!$D$5:$D$2470,$B99,'июнь 2025'!$J$5:$J$2470,U$1)</f>
        <v>0</v>
      </c>
      <c r="V99" s="183">
        <f>SUMIFS('июнь 2025'!$G$5:$G$2470,'июнь 2025'!$D$5:$D$2470,$B99,'июнь 2025'!$J$5:$J$2470,V$1)</f>
        <v>0</v>
      </c>
      <c r="W99" s="183">
        <f>SUMIFS('июнь 2025'!$G$5:$G$2470,'июнь 2025'!$D$5:$D$2470,$B99,'июнь 2025'!$J$5:$J$2470,W$1)</f>
        <v>0</v>
      </c>
      <c r="X99" s="183">
        <f>SUMIFS('июнь 2025'!$G$5:$G$2470,'июнь 2025'!$D$5:$D$2470,$B99,'июнь 2025'!$J$5:$J$2470,X$1)</f>
        <v>0</v>
      </c>
      <c r="Y99" s="183">
        <f>SUMIFS('июнь 2025'!$G$5:$G$2470,'июнь 2025'!$D$5:$D$2470,$B99,'июнь 2025'!$J$5:$J$2470,Y$1)</f>
        <v>0</v>
      </c>
      <c r="Z99" s="183">
        <f>SUMIFS('июнь 2025'!$G$5:$G$2470,'июнь 2025'!$D$5:$D$2470,$B99,'июнь 2025'!$J$5:$J$2470,Z$1)</f>
        <v>0</v>
      </c>
      <c r="AA99" s="183">
        <f>SUMIFS('июнь 2025'!$G$5:$G$2470,'июнь 2025'!$D$5:$D$2470,$B99,'июнь 2025'!$J$5:$J$2470,AA$1)</f>
        <v>0</v>
      </c>
      <c r="AB99" s="183">
        <f>SUMIFS('июнь 2025'!$G$5:$G$2470,'июнь 2025'!$D$5:$D$2470,$B99,'июнь 2025'!$J$5:$J$2470,AB$1)</f>
        <v>0</v>
      </c>
      <c r="AC99" s="183">
        <f>SUMIFS('июнь 2025'!$G$5:$G$2470,'июнь 2025'!$D$5:$D$2470,$B99,'июнь 2025'!$J$5:$J$2470,AC$1)</f>
        <v>0</v>
      </c>
      <c r="AD99" s="183">
        <f>SUMIFS('июнь 2025'!$G$5:$G$2470,'июнь 2025'!$D$5:$D$2470,$B99,'июнь 2025'!$J$5:$J$2470,AD$1)</f>
        <v>0</v>
      </c>
      <c r="AE99" s="183">
        <f>SUMIFS('июнь 2025'!$G$5:$G$2470,'июнь 2025'!$D$5:$D$2470,$B99,'июнь 2025'!$J$5:$J$2470,AE$1)</f>
        <v>0</v>
      </c>
      <c r="AF99" s="183">
        <f>SUMIFS('июнь 2025'!$G$5:$G$2470,'июнь 2025'!$D$5:$D$2470,$B99,'июнь 2025'!$J$5:$J$2470,AF$1)</f>
        <v>0</v>
      </c>
      <c r="AG99" s="183">
        <f>SUMIFS('июнь 2025'!$G$5:$G$2470,'июнь 2025'!$D$5:$D$2470,$B99,'июнь 2025'!$J$5:$J$2470,AG$1)</f>
        <v>0</v>
      </c>
      <c r="AH99" s="183">
        <f>SUMIFS('июнь 2025'!$G$5:$G$2470,'июнь 2025'!$D$5:$D$2470,$B99,'июнь 2025'!$J$5:$J$2470,AH$1)</f>
        <v>0</v>
      </c>
      <c r="AI99" s="20">
        <f t="shared" si="1"/>
        <v>0</v>
      </c>
    </row>
    <row r="100" spans="2:35" ht="15" customHeight="1" x14ac:dyDescent="0.25">
      <c r="B100" s="88" t="s">
        <v>1397</v>
      </c>
      <c r="C100" s="86">
        <v>200</v>
      </c>
      <c r="D100" s="183">
        <f>SUMIFS('июнь 2025'!$G$5:$G$2470,'июнь 2025'!$D$5:$D$2470,$B100,'июнь 2025'!$J$5:$J$2470,D$1)</f>
        <v>0</v>
      </c>
      <c r="E100" s="183">
        <f>SUMIFS('июнь 2025'!$G$5:$G$2470,'июнь 2025'!$D$5:$D$2470,$B100,'июнь 2025'!$J$5:$J$2470,E$1)</f>
        <v>0</v>
      </c>
      <c r="F100" s="183">
        <f>SUMIFS('июнь 2025'!$G$5:$G$2470,'июнь 2025'!$D$5:$D$2470,$B100,'июнь 2025'!$J$5:$J$2470,F$1)</f>
        <v>0</v>
      </c>
      <c r="G100" s="183">
        <f>SUMIFS('июнь 2025'!$G$5:$G$2470,'июнь 2025'!$D$5:$D$2470,$B100,'июнь 2025'!$J$5:$J$2470,G$1)</f>
        <v>0</v>
      </c>
      <c r="H100" s="183">
        <f>SUMIFS('июнь 2025'!$G$5:$G$2470,'июнь 2025'!$D$5:$D$2470,$B100,'июнь 2025'!$J$5:$J$2470,H$1)</f>
        <v>0</v>
      </c>
      <c r="I100" s="183">
        <f>SUMIFS('июнь 2025'!$G$5:$G$2470,'июнь 2025'!$D$5:$D$2470,$B100,'июнь 2025'!$J$5:$J$2470,I$1)</f>
        <v>0</v>
      </c>
      <c r="J100" s="183">
        <f>SUMIFS('июнь 2025'!$G$5:$G$2470,'июнь 2025'!$D$5:$D$2470,$B100,'июнь 2025'!$J$5:$J$2470,J$1)</f>
        <v>0</v>
      </c>
      <c r="K100" s="183">
        <f>SUMIFS('июнь 2025'!$G$5:$G$2470,'июнь 2025'!$D$5:$D$2470,$B100,'июнь 2025'!$J$5:$J$2470,K$1)</f>
        <v>0</v>
      </c>
      <c r="L100" s="183">
        <f>SUMIFS('июнь 2025'!$G$5:$G$2470,'июнь 2025'!$D$5:$D$2470,$B100,'июнь 2025'!$J$5:$J$2470,L$1)</f>
        <v>0</v>
      </c>
      <c r="M100" s="183">
        <f>SUMIFS('июнь 2025'!$G$5:$G$2470,'июнь 2025'!$D$5:$D$2470,$B100,'июнь 2025'!$J$5:$J$2470,M$1)</f>
        <v>0</v>
      </c>
      <c r="N100" s="183">
        <f>SUMIFS('июнь 2025'!$G$5:$G$2470,'июнь 2025'!$D$5:$D$2470,$B100,'июнь 2025'!$J$5:$J$2470,N$1)</f>
        <v>0</v>
      </c>
      <c r="O100" s="183">
        <f>SUMIFS('июнь 2025'!$G$5:$G$2470,'июнь 2025'!$D$5:$D$2470,$B100,'июнь 2025'!$J$5:$J$2470,O$1)</f>
        <v>0</v>
      </c>
      <c r="P100" s="183">
        <f>SUMIFS('июнь 2025'!$G$5:$G$2470,'июнь 2025'!$D$5:$D$2470,$B100,'июнь 2025'!$J$5:$J$2470,P$1)</f>
        <v>0</v>
      </c>
      <c r="Q100" s="183">
        <f>SUMIFS('июнь 2025'!$G$5:$G$2470,'июнь 2025'!$D$5:$D$2470,$B100,'июнь 2025'!$J$5:$J$2470,Q$1)</f>
        <v>0</v>
      </c>
      <c r="R100" s="183">
        <f>SUMIFS('июнь 2025'!$G$5:$G$2470,'июнь 2025'!$D$5:$D$2470,$B100,'июнь 2025'!$J$5:$J$2470,R$1)</f>
        <v>0</v>
      </c>
      <c r="S100" s="183">
        <f>SUMIFS('июнь 2025'!$G$5:$G$2470,'июнь 2025'!$D$5:$D$2470,$B100,'июнь 2025'!$J$5:$J$2470,S$1)</f>
        <v>0</v>
      </c>
      <c r="T100" s="183">
        <f>SUMIFS('июнь 2025'!$G$5:$G$2470,'июнь 2025'!$D$5:$D$2470,$B100,'июнь 2025'!$J$5:$J$2470,T$1)</f>
        <v>0</v>
      </c>
      <c r="U100" s="183">
        <f>SUMIFS('июнь 2025'!$G$5:$G$2470,'июнь 2025'!$D$5:$D$2470,$B100,'июнь 2025'!$J$5:$J$2470,U$1)</f>
        <v>0</v>
      </c>
      <c r="V100" s="183">
        <f>SUMIFS('июнь 2025'!$G$5:$G$2470,'июнь 2025'!$D$5:$D$2470,$B100,'июнь 2025'!$J$5:$J$2470,V$1)</f>
        <v>0</v>
      </c>
      <c r="W100" s="183">
        <f>SUMIFS('июнь 2025'!$G$5:$G$2470,'июнь 2025'!$D$5:$D$2470,$B100,'июнь 2025'!$J$5:$J$2470,W$1)</f>
        <v>0</v>
      </c>
      <c r="X100" s="183">
        <f>SUMIFS('июнь 2025'!$G$5:$G$2470,'июнь 2025'!$D$5:$D$2470,$B100,'июнь 2025'!$J$5:$J$2470,X$1)</f>
        <v>0</v>
      </c>
      <c r="Y100" s="183">
        <f>SUMIFS('июнь 2025'!$G$5:$G$2470,'июнь 2025'!$D$5:$D$2470,$B100,'июнь 2025'!$J$5:$J$2470,Y$1)</f>
        <v>0</v>
      </c>
      <c r="Z100" s="183">
        <f>SUMIFS('июнь 2025'!$G$5:$G$2470,'июнь 2025'!$D$5:$D$2470,$B100,'июнь 2025'!$J$5:$J$2470,Z$1)</f>
        <v>0</v>
      </c>
      <c r="AA100" s="183">
        <f>SUMIFS('июнь 2025'!$G$5:$G$2470,'июнь 2025'!$D$5:$D$2470,$B100,'июнь 2025'!$J$5:$J$2470,AA$1)</f>
        <v>0</v>
      </c>
      <c r="AB100" s="183">
        <f>SUMIFS('июнь 2025'!$G$5:$G$2470,'июнь 2025'!$D$5:$D$2470,$B100,'июнь 2025'!$J$5:$J$2470,AB$1)</f>
        <v>0</v>
      </c>
      <c r="AC100" s="183">
        <f>SUMIFS('июнь 2025'!$G$5:$G$2470,'июнь 2025'!$D$5:$D$2470,$B100,'июнь 2025'!$J$5:$J$2470,AC$1)</f>
        <v>0</v>
      </c>
      <c r="AD100" s="183">
        <f>SUMIFS('июнь 2025'!$G$5:$G$2470,'июнь 2025'!$D$5:$D$2470,$B100,'июнь 2025'!$J$5:$J$2470,AD$1)</f>
        <v>0</v>
      </c>
      <c r="AE100" s="183">
        <f>SUMIFS('июнь 2025'!$G$5:$G$2470,'июнь 2025'!$D$5:$D$2470,$B100,'июнь 2025'!$J$5:$J$2470,AE$1)</f>
        <v>0</v>
      </c>
      <c r="AF100" s="183">
        <f>SUMIFS('июнь 2025'!$G$5:$G$2470,'июнь 2025'!$D$5:$D$2470,$B100,'июнь 2025'!$J$5:$J$2470,AF$1)</f>
        <v>0</v>
      </c>
      <c r="AG100" s="183">
        <f>SUMIFS('июнь 2025'!$G$5:$G$2470,'июнь 2025'!$D$5:$D$2470,$B100,'июнь 2025'!$J$5:$J$2470,AG$1)</f>
        <v>0</v>
      </c>
      <c r="AH100" s="183">
        <f>SUMIFS('июнь 2025'!$G$5:$G$2470,'июнь 2025'!$D$5:$D$2470,$B100,'июнь 2025'!$J$5:$J$2470,AH$1)</f>
        <v>0</v>
      </c>
      <c r="AI100" s="20">
        <f t="shared" ref="AI100" si="3">SUM(D100:AH100)</f>
        <v>0</v>
      </c>
    </row>
    <row r="101" spans="2:35" ht="15" customHeight="1" x14ac:dyDescent="0.25">
      <c r="B101" s="88" t="s">
        <v>1437</v>
      </c>
      <c r="C101" s="86">
        <v>190</v>
      </c>
      <c r="D101" s="183">
        <f>SUMIFS('июнь 2025'!$G$5:$G$2470,'июнь 2025'!$D$5:$D$2470,$B101,'июнь 2025'!$J$5:$J$2470,D$1)</f>
        <v>0</v>
      </c>
      <c r="E101" s="183">
        <f>SUMIFS('июнь 2025'!$G$5:$G$2470,'июнь 2025'!$D$5:$D$2470,$B101,'июнь 2025'!$J$5:$J$2470,E$1)</f>
        <v>0</v>
      </c>
      <c r="F101" s="183">
        <f>SUMIFS('июнь 2025'!$G$5:$G$2470,'июнь 2025'!$D$5:$D$2470,$B101,'июнь 2025'!$J$5:$J$2470,F$1)</f>
        <v>0</v>
      </c>
      <c r="G101" s="183">
        <f>SUMIFS('июнь 2025'!$G$5:$G$2470,'июнь 2025'!$D$5:$D$2470,$B101,'июнь 2025'!$J$5:$J$2470,G$1)</f>
        <v>0</v>
      </c>
      <c r="H101" s="183">
        <f>SUMIFS('июнь 2025'!$G$5:$G$2470,'июнь 2025'!$D$5:$D$2470,$B101,'июнь 2025'!$J$5:$J$2470,H$1)</f>
        <v>0</v>
      </c>
      <c r="I101" s="183">
        <f>SUMIFS('июнь 2025'!$G$5:$G$2470,'июнь 2025'!$D$5:$D$2470,$B101,'июнь 2025'!$J$5:$J$2470,I$1)</f>
        <v>0</v>
      </c>
      <c r="J101" s="183">
        <f>SUMIFS('июнь 2025'!$G$5:$G$2470,'июнь 2025'!$D$5:$D$2470,$B101,'июнь 2025'!$J$5:$J$2470,J$1)</f>
        <v>0</v>
      </c>
      <c r="K101" s="183">
        <f>SUMIFS('июнь 2025'!$G$5:$G$2470,'июнь 2025'!$D$5:$D$2470,$B101,'июнь 2025'!$J$5:$J$2470,K$1)</f>
        <v>0</v>
      </c>
      <c r="L101" s="183">
        <f>SUMIFS('июнь 2025'!$G$5:$G$2470,'июнь 2025'!$D$5:$D$2470,$B101,'июнь 2025'!$J$5:$J$2470,L$1)</f>
        <v>0</v>
      </c>
      <c r="M101" s="183">
        <f>SUMIFS('июнь 2025'!$G$5:$G$2470,'июнь 2025'!$D$5:$D$2470,$B101,'июнь 2025'!$J$5:$J$2470,M$1)</f>
        <v>88</v>
      </c>
      <c r="N101" s="183">
        <f>SUMIFS('июнь 2025'!$G$5:$G$2470,'июнь 2025'!$D$5:$D$2470,$B101,'июнь 2025'!$J$5:$J$2470,N$1)</f>
        <v>0</v>
      </c>
      <c r="O101" s="183">
        <f>SUMIFS('июнь 2025'!$G$5:$G$2470,'июнь 2025'!$D$5:$D$2470,$B101,'июнь 2025'!$J$5:$J$2470,O$1)</f>
        <v>0</v>
      </c>
      <c r="P101" s="183">
        <f>SUMIFS('июнь 2025'!$G$5:$G$2470,'июнь 2025'!$D$5:$D$2470,$B101,'июнь 2025'!$J$5:$J$2470,P$1)</f>
        <v>0</v>
      </c>
      <c r="Q101" s="183">
        <f>SUMIFS('июнь 2025'!$G$5:$G$2470,'июнь 2025'!$D$5:$D$2470,$B101,'июнь 2025'!$J$5:$J$2470,Q$1)</f>
        <v>0</v>
      </c>
      <c r="R101" s="183">
        <f>SUMIFS('июнь 2025'!$G$5:$G$2470,'июнь 2025'!$D$5:$D$2470,$B101,'июнь 2025'!$J$5:$J$2470,R$1)</f>
        <v>0</v>
      </c>
      <c r="S101" s="183">
        <f>SUMIFS('июнь 2025'!$G$5:$G$2470,'июнь 2025'!$D$5:$D$2470,$B101,'июнь 2025'!$J$5:$J$2470,S$1)</f>
        <v>0</v>
      </c>
      <c r="T101" s="183">
        <f>SUMIFS('июнь 2025'!$G$5:$G$2470,'июнь 2025'!$D$5:$D$2470,$B101,'июнь 2025'!$J$5:$J$2470,T$1)</f>
        <v>0</v>
      </c>
      <c r="U101" s="183">
        <f>SUMIFS('июнь 2025'!$G$5:$G$2470,'июнь 2025'!$D$5:$D$2470,$B101,'июнь 2025'!$J$5:$J$2470,U$1)</f>
        <v>0</v>
      </c>
      <c r="V101" s="183">
        <f>SUMIFS('июнь 2025'!$G$5:$G$2470,'июнь 2025'!$D$5:$D$2470,$B101,'июнь 2025'!$J$5:$J$2470,V$1)</f>
        <v>0</v>
      </c>
      <c r="W101" s="183">
        <f>SUMIFS('июнь 2025'!$G$5:$G$2470,'июнь 2025'!$D$5:$D$2470,$B101,'июнь 2025'!$J$5:$J$2470,W$1)</f>
        <v>0</v>
      </c>
      <c r="X101" s="183">
        <f>SUMIFS('июнь 2025'!$G$5:$G$2470,'июнь 2025'!$D$5:$D$2470,$B101,'июнь 2025'!$J$5:$J$2470,X$1)</f>
        <v>0</v>
      </c>
      <c r="Y101" s="183">
        <f>SUMIFS('июнь 2025'!$G$5:$G$2470,'июнь 2025'!$D$5:$D$2470,$B101,'июнь 2025'!$J$5:$J$2470,Y$1)</f>
        <v>0</v>
      </c>
      <c r="Z101" s="183">
        <f>SUMIFS('июнь 2025'!$G$5:$G$2470,'июнь 2025'!$D$5:$D$2470,$B101,'июнь 2025'!$J$5:$J$2470,Z$1)</f>
        <v>0</v>
      </c>
      <c r="AA101" s="183">
        <f>SUMIFS('июнь 2025'!$G$5:$G$2470,'июнь 2025'!$D$5:$D$2470,$B101,'июнь 2025'!$J$5:$J$2470,AA$1)</f>
        <v>0</v>
      </c>
      <c r="AB101" s="183">
        <f>SUMIFS('июнь 2025'!$G$5:$G$2470,'июнь 2025'!$D$5:$D$2470,$B101,'июнь 2025'!$J$5:$J$2470,AB$1)</f>
        <v>0</v>
      </c>
      <c r="AC101" s="183">
        <f>SUMIFS('июнь 2025'!$G$5:$G$2470,'июнь 2025'!$D$5:$D$2470,$B101,'июнь 2025'!$J$5:$J$2470,AC$1)</f>
        <v>0</v>
      </c>
      <c r="AD101" s="183">
        <f>SUMIFS('июнь 2025'!$G$5:$G$2470,'июнь 2025'!$D$5:$D$2470,$B101,'июнь 2025'!$J$5:$J$2470,AD$1)</f>
        <v>0</v>
      </c>
      <c r="AE101" s="183">
        <f>SUMIFS('июнь 2025'!$G$5:$G$2470,'июнь 2025'!$D$5:$D$2470,$B101,'июнь 2025'!$J$5:$J$2470,AE$1)</f>
        <v>0</v>
      </c>
      <c r="AF101" s="183">
        <f>SUMIFS('июнь 2025'!$G$5:$G$2470,'июнь 2025'!$D$5:$D$2470,$B101,'июнь 2025'!$J$5:$J$2470,AF$1)</f>
        <v>0</v>
      </c>
      <c r="AG101" s="183">
        <f>SUMIFS('июнь 2025'!$G$5:$G$2470,'июнь 2025'!$D$5:$D$2470,$B101,'июнь 2025'!$J$5:$J$2470,AG$1)</f>
        <v>0</v>
      </c>
      <c r="AH101" s="183">
        <f>SUMIFS('июнь 2025'!$G$5:$G$2470,'июнь 2025'!$D$5:$D$2470,$B101,'июнь 2025'!$J$5:$J$2470,AH$1)</f>
        <v>0</v>
      </c>
      <c r="AI101" s="20">
        <f t="shared" ref="AI101:AI103" si="4">SUM(D101:AH101)</f>
        <v>88</v>
      </c>
    </row>
    <row r="102" spans="2:35" ht="15" customHeight="1" x14ac:dyDescent="0.25">
      <c r="B102" s="88" t="s">
        <v>282</v>
      </c>
      <c r="C102" s="86">
        <v>190</v>
      </c>
      <c r="D102" s="183">
        <f>SUMIFS('июнь 2025'!$G$5:$G$2470,'июнь 2025'!$D$5:$D$2470,$B102,'июнь 2025'!$J$5:$J$2470,D$1)</f>
        <v>0</v>
      </c>
      <c r="E102" s="183">
        <f>SUMIFS('июнь 2025'!$G$5:$G$2470,'июнь 2025'!$D$5:$D$2470,$B102,'июнь 2025'!$J$5:$J$2470,E$1)</f>
        <v>0</v>
      </c>
      <c r="F102" s="183">
        <f>SUMIFS('июнь 2025'!$G$5:$G$2470,'июнь 2025'!$D$5:$D$2470,$B102,'июнь 2025'!$J$5:$J$2470,F$1)</f>
        <v>0</v>
      </c>
      <c r="G102" s="183">
        <f>SUMIFS('июнь 2025'!$G$5:$G$2470,'июнь 2025'!$D$5:$D$2470,$B102,'июнь 2025'!$J$5:$J$2470,G$1)</f>
        <v>0</v>
      </c>
      <c r="H102" s="183">
        <f>SUMIFS('июнь 2025'!$G$5:$G$2470,'июнь 2025'!$D$5:$D$2470,$B102,'июнь 2025'!$J$5:$J$2470,H$1)</f>
        <v>0</v>
      </c>
      <c r="I102" s="183">
        <f>SUMIFS('июнь 2025'!$G$5:$G$2470,'июнь 2025'!$D$5:$D$2470,$B102,'июнь 2025'!$J$5:$J$2470,I$1)</f>
        <v>0</v>
      </c>
      <c r="J102" s="183">
        <f>SUMIFS('июнь 2025'!$G$5:$G$2470,'июнь 2025'!$D$5:$D$2470,$B102,'июнь 2025'!$J$5:$J$2470,J$1)</f>
        <v>0</v>
      </c>
      <c r="K102" s="183">
        <f>SUMIFS('июнь 2025'!$G$5:$G$2470,'июнь 2025'!$D$5:$D$2470,$B102,'июнь 2025'!$J$5:$J$2470,K$1)</f>
        <v>0</v>
      </c>
      <c r="L102" s="183">
        <f>SUMIFS('июнь 2025'!$G$5:$G$2470,'июнь 2025'!$D$5:$D$2470,$B102,'июнь 2025'!$J$5:$J$2470,L$1)</f>
        <v>0</v>
      </c>
      <c r="M102" s="183">
        <f>SUMIFS('июнь 2025'!$G$5:$G$2470,'июнь 2025'!$D$5:$D$2470,$B102,'июнь 2025'!$J$5:$J$2470,M$1)</f>
        <v>0</v>
      </c>
      <c r="N102" s="183">
        <f>SUMIFS('июнь 2025'!$G$5:$G$2470,'июнь 2025'!$D$5:$D$2470,$B102,'июнь 2025'!$J$5:$J$2470,N$1)</f>
        <v>0</v>
      </c>
      <c r="O102" s="183">
        <f>SUMIFS('июнь 2025'!$G$5:$G$2470,'июнь 2025'!$D$5:$D$2470,$B102,'июнь 2025'!$J$5:$J$2470,O$1)</f>
        <v>0</v>
      </c>
      <c r="P102" s="183">
        <f>SUMIFS('июнь 2025'!$G$5:$G$2470,'июнь 2025'!$D$5:$D$2470,$B102,'июнь 2025'!$J$5:$J$2470,P$1)</f>
        <v>0</v>
      </c>
      <c r="Q102" s="183">
        <f>SUMIFS('июнь 2025'!$G$5:$G$2470,'июнь 2025'!$D$5:$D$2470,$B102,'июнь 2025'!$J$5:$J$2470,Q$1)</f>
        <v>0</v>
      </c>
      <c r="R102" s="183">
        <f>SUMIFS('июнь 2025'!$G$5:$G$2470,'июнь 2025'!$D$5:$D$2470,$B102,'июнь 2025'!$J$5:$J$2470,R$1)</f>
        <v>0</v>
      </c>
      <c r="S102" s="183">
        <f>SUMIFS('июнь 2025'!$G$5:$G$2470,'июнь 2025'!$D$5:$D$2470,$B102,'июнь 2025'!$J$5:$J$2470,S$1)</f>
        <v>0</v>
      </c>
      <c r="T102" s="183">
        <f>SUMIFS('июнь 2025'!$G$5:$G$2470,'июнь 2025'!$D$5:$D$2470,$B102,'июнь 2025'!$J$5:$J$2470,T$1)</f>
        <v>0</v>
      </c>
      <c r="U102" s="183">
        <f>SUMIFS('июнь 2025'!$G$5:$G$2470,'июнь 2025'!$D$5:$D$2470,$B102,'июнь 2025'!$J$5:$J$2470,U$1)</f>
        <v>0</v>
      </c>
      <c r="V102" s="183">
        <f>SUMIFS('июнь 2025'!$G$5:$G$2470,'июнь 2025'!$D$5:$D$2470,$B102,'июнь 2025'!$J$5:$J$2470,V$1)</f>
        <v>0</v>
      </c>
      <c r="W102" s="183">
        <f>SUMIFS('июнь 2025'!$G$5:$G$2470,'июнь 2025'!$D$5:$D$2470,$B102,'июнь 2025'!$J$5:$J$2470,W$1)</f>
        <v>0</v>
      </c>
      <c r="X102" s="183">
        <f>SUMIFS('июнь 2025'!$G$5:$G$2470,'июнь 2025'!$D$5:$D$2470,$B102,'июнь 2025'!$J$5:$J$2470,X$1)</f>
        <v>0</v>
      </c>
      <c r="Y102" s="183">
        <f>SUMIFS('июнь 2025'!$G$5:$G$2470,'июнь 2025'!$D$5:$D$2470,$B102,'июнь 2025'!$J$5:$J$2470,Y$1)</f>
        <v>0</v>
      </c>
      <c r="Z102" s="183">
        <f>SUMIFS('июнь 2025'!$G$5:$G$2470,'июнь 2025'!$D$5:$D$2470,$B102,'июнь 2025'!$J$5:$J$2470,Z$1)</f>
        <v>0</v>
      </c>
      <c r="AA102" s="183">
        <f>SUMIFS('июнь 2025'!$G$5:$G$2470,'июнь 2025'!$D$5:$D$2470,$B102,'июнь 2025'!$J$5:$J$2470,AA$1)</f>
        <v>0</v>
      </c>
      <c r="AB102" s="183">
        <f>SUMIFS('июнь 2025'!$G$5:$G$2470,'июнь 2025'!$D$5:$D$2470,$B102,'июнь 2025'!$J$5:$J$2470,AB$1)</f>
        <v>0</v>
      </c>
      <c r="AC102" s="183">
        <f>SUMIFS('июнь 2025'!$G$5:$G$2470,'июнь 2025'!$D$5:$D$2470,$B102,'июнь 2025'!$J$5:$J$2470,AC$1)</f>
        <v>16</v>
      </c>
      <c r="AD102" s="183">
        <f>SUMIFS('июнь 2025'!$G$5:$G$2470,'июнь 2025'!$D$5:$D$2470,$B102,'июнь 2025'!$J$5:$J$2470,AD$1)</f>
        <v>0</v>
      </c>
      <c r="AE102" s="183">
        <f>SUMIFS('июнь 2025'!$G$5:$G$2470,'июнь 2025'!$D$5:$D$2470,$B102,'июнь 2025'!$J$5:$J$2470,AE$1)</f>
        <v>0</v>
      </c>
      <c r="AF102" s="183">
        <f>SUMIFS('июнь 2025'!$G$5:$G$2470,'июнь 2025'!$D$5:$D$2470,$B102,'июнь 2025'!$J$5:$J$2470,AF$1)</f>
        <v>0</v>
      </c>
      <c r="AG102" s="183">
        <f>SUMIFS('июнь 2025'!$G$5:$G$2470,'июнь 2025'!$D$5:$D$2470,$B102,'июнь 2025'!$J$5:$J$2470,AG$1)</f>
        <v>0</v>
      </c>
      <c r="AH102" s="183">
        <f>SUMIFS('июнь 2025'!$G$5:$G$2470,'июнь 2025'!$D$5:$D$2470,$B102,'июнь 2025'!$J$5:$J$2470,AH$1)</f>
        <v>0</v>
      </c>
      <c r="AI102" s="20">
        <f t="shared" si="4"/>
        <v>16</v>
      </c>
    </row>
    <row r="103" spans="2:35" ht="15" customHeight="1" x14ac:dyDescent="0.25">
      <c r="B103" s="88" t="s">
        <v>258</v>
      </c>
      <c r="C103" s="86">
        <v>180</v>
      </c>
      <c r="D103" s="183">
        <f>SUMIFS('июнь 2025'!$G$5:$G$2470,'июнь 2025'!$D$5:$D$2470,$B103,'июнь 2025'!$J$5:$J$2470,D$1)</f>
        <v>0</v>
      </c>
      <c r="E103" s="183">
        <f>SUMIFS('июнь 2025'!$G$5:$G$2470,'июнь 2025'!$D$5:$D$2470,$B103,'июнь 2025'!$J$5:$J$2470,E$1)</f>
        <v>0</v>
      </c>
      <c r="F103" s="183">
        <f>SUMIFS('июнь 2025'!$G$5:$G$2470,'июнь 2025'!$D$5:$D$2470,$B103,'июнь 2025'!$J$5:$J$2470,F$1)</f>
        <v>0</v>
      </c>
      <c r="G103" s="183">
        <f>SUMIFS('июнь 2025'!$G$5:$G$2470,'июнь 2025'!$D$5:$D$2470,$B103,'июнь 2025'!$J$5:$J$2470,G$1)</f>
        <v>0</v>
      </c>
      <c r="H103" s="183">
        <f>SUMIFS('июнь 2025'!$G$5:$G$2470,'июнь 2025'!$D$5:$D$2470,$B103,'июнь 2025'!$J$5:$J$2470,H$1)</f>
        <v>0</v>
      </c>
      <c r="I103" s="183">
        <f>SUMIFS('июнь 2025'!$G$5:$G$2470,'июнь 2025'!$D$5:$D$2470,$B103,'июнь 2025'!$J$5:$J$2470,I$1)</f>
        <v>0</v>
      </c>
      <c r="J103" s="183">
        <f>SUMIFS('июнь 2025'!$G$5:$G$2470,'июнь 2025'!$D$5:$D$2470,$B103,'июнь 2025'!$J$5:$J$2470,J$1)</f>
        <v>0</v>
      </c>
      <c r="K103" s="183">
        <f>SUMIFS('июнь 2025'!$G$5:$G$2470,'июнь 2025'!$D$5:$D$2470,$B103,'июнь 2025'!$J$5:$J$2470,K$1)</f>
        <v>0</v>
      </c>
      <c r="L103" s="183">
        <f>SUMIFS('июнь 2025'!$G$5:$G$2470,'июнь 2025'!$D$5:$D$2470,$B103,'июнь 2025'!$J$5:$J$2470,L$1)</f>
        <v>0</v>
      </c>
      <c r="M103" s="183">
        <f>SUMIFS('июнь 2025'!$G$5:$G$2470,'июнь 2025'!$D$5:$D$2470,$B103,'июнь 2025'!$J$5:$J$2470,M$1)</f>
        <v>0</v>
      </c>
      <c r="N103" s="183">
        <f>SUMIFS('июнь 2025'!$G$5:$G$2470,'июнь 2025'!$D$5:$D$2470,$B103,'июнь 2025'!$J$5:$J$2470,N$1)</f>
        <v>0</v>
      </c>
      <c r="O103" s="183">
        <f>SUMIFS('июнь 2025'!$G$5:$G$2470,'июнь 2025'!$D$5:$D$2470,$B103,'июнь 2025'!$J$5:$J$2470,O$1)</f>
        <v>0</v>
      </c>
      <c r="P103" s="183">
        <f>SUMIFS('июнь 2025'!$G$5:$G$2470,'июнь 2025'!$D$5:$D$2470,$B103,'июнь 2025'!$J$5:$J$2470,P$1)</f>
        <v>0</v>
      </c>
      <c r="Q103" s="183">
        <f>SUMIFS('июнь 2025'!$G$5:$G$2470,'июнь 2025'!$D$5:$D$2470,$B103,'июнь 2025'!$J$5:$J$2470,Q$1)</f>
        <v>0</v>
      </c>
      <c r="R103" s="183">
        <f>SUMIFS('июнь 2025'!$G$5:$G$2470,'июнь 2025'!$D$5:$D$2470,$B103,'июнь 2025'!$J$5:$J$2470,R$1)</f>
        <v>0</v>
      </c>
      <c r="S103" s="183">
        <f>SUMIFS('июнь 2025'!$G$5:$G$2470,'июнь 2025'!$D$5:$D$2470,$B103,'июнь 2025'!$J$5:$J$2470,S$1)</f>
        <v>0</v>
      </c>
      <c r="T103" s="183">
        <f>SUMIFS('июнь 2025'!$G$5:$G$2470,'июнь 2025'!$D$5:$D$2470,$B103,'июнь 2025'!$J$5:$J$2470,T$1)</f>
        <v>0</v>
      </c>
      <c r="U103" s="183">
        <f>SUMIFS('июнь 2025'!$G$5:$G$2470,'июнь 2025'!$D$5:$D$2470,$B103,'июнь 2025'!$J$5:$J$2470,U$1)</f>
        <v>0</v>
      </c>
      <c r="V103" s="183">
        <f>SUMIFS('июнь 2025'!$G$5:$G$2470,'июнь 2025'!$D$5:$D$2470,$B103,'июнь 2025'!$J$5:$J$2470,V$1)</f>
        <v>0</v>
      </c>
      <c r="W103" s="183">
        <f>SUMIFS('июнь 2025'!$G$5:$G$2470,'июнь 2025'!$D$5:$D$2470,$B103,'июнь 2025'!$J$5:$J$2470,W$1)</f>
        <v>0</v>
      </c>
      <c r="X103" s="183">
        <f>SUMIFS('июнь 2025'!$G$5:$G$2470,'июнь 2025'!$D$5:$D$2470,$B103,'июнь 2025'!$J$5:$J$2470,X$1)</f>
        <v>0</v>
      </c>
      <c r="Y103" s="183">
        <f>SUMIFS('июнь 2025'!$G$5:$G$2470,'июнь 2025'!$D$5:$D$2470,$B103,'июнь 2025'!$J$5:$J$2470,Y$1)</f>
        <v>0</v>
      </c>
      <c r="Z103" s="183">
        <f>SUMIFS('июнь 2025'!$G$5:$G$2470,'июнь 2025'!$D$5:$D$2470,$B103,'июнь 2025'!$J$5:$J$2470,Z$1)</f>
        <v>0</v>
      </c>
      <c r="AA103" s="183">
        <f>SUMIFS('июнь 2025'!$G$5:$G$2470,'июнь 2025'!$D$5:$D$2470,$B103,'июнь 2025'!$J$5:$J$2470,AA$1)</f>
        <v>0</v>
      </c>
      <c r="AB103" s="183">
        <f>SUMIFS('июнь 2025'!$G$5:$G$2470,'июнь 2025'!$D$5:$D$2470,$B103,'июнь 2025'!$J$5:$J$2470,AB$1)</f>
        <v>0</v>
      </c>
      <c r="AC103" s="183">
        <f>SUMIFS('июнь 2025'!$G$5:$G$2470,'июнь 2025'!$D$5:$D$2470,$B103,'июнь 2025'!$J$5:$J$2470,AC$1)</f>
        <v>0</v>
      </c>
      <c r="AD103" s="183">
        <f>SUMIFS('июнь 2025'!$G$5:$G$2470,'июнь 2025'!$D$5:$D$2470,$B103,'июнь 2025'!$J$5:$J$2470,AD$1)</f>
        <v>0</v>
      </c>
      <c r="AE103" s="183">
        <f>SUMIFS('июнь 2025'!$G$5:$G$2470,'июнь 2025'!$D$5:$D$2470,$B103,'июнь 2025'!$J$5:$J$2470,AE$1)</f>
        <v>0</v>
      </c>
      <c r="AF103" s="183">
        <f>SUMIFS('июнь 2025'!$G$5:$G$2470,'июнь 2025'!$D$5:$D$2470,$B103,'июнь 2025'!$J$5:$J$2470,AF$1)</f>
        <v>0</v>
      </c>
      <c r="AG103" s="183">
        <f>SUMIFS('июнь 2025'!$G$5:$G$2470,'июнь 2025'!$D$5:$D$2470,$B103,'июнь 2025'!$J$5:$J$2470,AG$1)</f>
        <v>0</v>
      </c>
      <c r="AH103" s="183">
        <f>SUMIFS('июнь 2025'!$G$5:$G$2470,'июнь 2025'!$D$5:$D$2470,$B103,'июнь 2025'!$J$5:$J$2470,AH$1)</f>
        <v>0</v>
      </c>
      <c r="AI103" s="20">
        <f t="shared" si="4"/>
        <v>0</v>
      </c>
    </row>
    <row r="104" spans="2:35" ht="15" customHeight="1" x14ac:dyDescent="0.25">
      <c r="B104" s="88" t="s">
        <v>259</v>
      </c>
      <c r="C104" s="86">
        <v>180</v>
      </c>
      <c r="D104" s="183">
        <f>SUMIFS('июнь 2025'!$G$5:$G$2470,'июнь 2025'!$D$5:$D$2470,$B104,'июнь 2025'!$J$5:$J$2470,D$1)</f>
        <v>0</v>
      </c>
      <c r="E104" s="183">
        <f>SUMIFS('июнь 2025'!$G$5:$G$2470,'июнь 2025'!$D$5:$D$2470,$B104,'июнь 2025'!$J$5:$J$2470,E$1)</f>
        <v>0</v>
      </c>
      <c r="F104" s="183">
        <f>SUMIFS('июнь 2025'!$G$5:$G$2470,'июнь 2025'!$D$5:$D$2470,$B104,'июнь 2025'!$J$5:$J$2470,F$1)</f>
        <v>0</v>
      </c>
      <c r="G104" s="183">
        <f>SUMIFS('июнь 2025'!$G$5:$G$2470,'июнь 2025'!$D$5:$D$2470,$B104,'июнь 2025'!$J$5:$J$2470,G$1)</f>
        <v>0</v>
      </c>
      <c r="H104" s="183">
        <f>SUMIFS('июнь 2025'!$G$5:$G$2470,'июнь 2025'!$D$5:$D$2470,$B104,'июнь 2025'!$J$5:$J$2470,H$1)</f>
        <v>0</v>
      </c>
      <c r="I104" s="183">
        <f>SUMIFS('июнь 2025'!$G$5:$G$2470,'июнь 2025'!$D$5:$D$2470,$B104,'июнь 2025'!$J$5:$J$2470,I$1)</f>
        <v>0</v>
      </c>
      <c r="J104" s="183">
        <f>SUMIFS('июнь 2025'!$G$5:$G$2470,'июнь 2025'!$D$5:$D$2470,$B104,'июнь 2025'!$J$5:$J$2470,J$1)</f>
        <v>0</v>
      </c>
      <c r="K104" s="183">
        <f>SUMIFS('июнь 2025'!$G$5:$G$2470,'июнь 2025'!$D$5:$D$2470,$B104,'июнь 2025'!$J$5:$J$2470,K$1)</f>
        <v>0</v>
      </c>
      <c r="L104" s="183">
        <f>SUMIFS('июнь 2025'!$G$5:$G$2470,'июнь 2025'!$D$5:$D$2470,$B104,'июнь 2025'!$J$5:$J$2470,L$1)</f>
        <v>0</v>
      </c>
      <c r="M104" s="183">
        <f>SUMIFS('июнь 2025'!$G$5:$G$2470,'июнь 2025'!$D$5:$D$2470,$B104,'июнь 2025'!$J$5:$J$2470,M$1)</f>
        <v>0</v>
      </c>
      <c r="N104" s="183">
        <f>SUMIFS('июнь 2025'!$G$5:$G$2470,'июнь 2025'!$D$5:$D$2470,$B104,'июнь 2025'!$J$5:$J$2470,N$1)</f>
        <v>0</v>
      </c>
      <c r="O104" s="183">
        <f>SUMIFS('июнь 2025'!$G$5:$G$2470,'июнь 2025'!$D$5:$D$2470,$B104,'июнь 2025'!$J$5:$J$2470,O$1)</f>
        <v>0</v>
      </c>
      <c r="P104" s="183">
        <f>SUMIFS('июнь 2025'!$G$5:$G$2470,'июнь 2025'!$D$5:$D$2470,$B104,'июнь 2025'!$J$5:$J$2470,P$1)</f>
        <v>0</v>
      </c>
      <c r="Q104" s="183">
        <f>SUMIFS('июнь 2025'!$G$5:$G$2470,'июнь 2025'!$D$5:$D$2470,$B104,'июнь 2025'!$J$5:$J$2470,Q$1)</f>
        <v>0</v>
      </c>
      <c r="R104" s="183">
        <f>SUMIFS('июнь 2025'!$G$5:$G$2470,'июнь 2025'!$D$5:$D$2470,$B104,'июнь 2025'!$J$5:$J$2470,R$1)</f>
        <v>0</v>
      </c>
      <c r="S104" s="183">
        <f>SUMIFS('июнь 2025'!$G$5:$G$2470,'июнь 2025'!$D$5:$D$2470,$B104,'июнь 2025'!$J$5:$J$2470,S$1)</f>
        <v>0</v>
      </c>
      <c r="T104" s="183">
        <f>SUMIFS('июнь 2025'!$G$5:$G$2470,'июнь 2025'!$D$5:$D$2470,$B104,'июнь 2025'!$J$5:$J$2470,T$1)</f>
        <v>0</v>
      </c>
      <c r="U104" s="183">
        <f>SUMIFS('июнь 2025'!$G$5:$G$2470,'июнь 2025'!$D$5:$D$2470,$B104,'июнь 2025'!$J$5:$J$2470,U$1)</f>
        <v>0</v>
      </c>
      <c r="V104" s="183">
        <f>SUMIFS('июнь 2025'!$G$5:$G$2470,'июнь 2025'!$D$5:$D$2470,$B104,'июнь 2025'!$J$5:$J$2470,V$1)</f>
        <v>0</v>
      </c>
      <c r="W104" s="183">
        <f>SUMIFS('июнь 2025'!$G$5:$G$2470,'июнь 2025'!$D$5:$D$2470,$B104,'июнь 2025'!$J$5:$J$2470,W$1)</f>
        <v>0</v>
      </c>
      <c r="X104" s="183">
        <f>SUMIFS('июнь 2025'!$G$5:$G$2470,'июнь 2025'!$D$5:$D$2470,$B104,'июнь 2025'!$J$5:$J$2470,X$1)</f>
        <v>0</v>
      </c>
      <c r="Y104" s="183">
        <f>SUMIFS('июнь 2025'!$G$5:$G$2470,'июнь 2025'!$D$5:$D$2470,$B104,'июнь 2025'!$J$5:$J$2470,Y$1)</f>
        <v>0</v>
      </c>
      <c r="Z104" s="183">
        <f>SUMIFS('июнь 2025'!$G$5:$G$2470,'июнь 2025'!$D$5:$D$2470,$B104,'июнь 2025'!$J$5:$J$2470,Z$1)</f>
        <v>0</v>
      </c>
      <c r="AA104" s="183">
        <f>SUMIFS('июнь 2025'!$G$5:$G$2470,'июнь 2025'!$D$5:$D$2470,$B104,'июнь 2025'!$J$5:$J$2470,AA$1)</f>
        <v>0</v>
      </c>
      <c r="AB104" s="183">
        <f>SUMIFS('июнь 2025'!$G$5:$G$2470,'июнь 2025'!$D$5:$D$2470,$B104,'июнь 2025'!$J$5:$J$2470,AB$1)</f>
        <v>0</v>
      </c>
      <c r="AC104" s="183">
        <f>SUMIFS('июнь 2025'!$G$5:$G$2470,'июнь 2025'!$D$5:$D$2470,$B104,'июнь 2025'!$J$5:$J$2470,AC$1)</f>
        <v>0</v>
      </c>
      <c r="AD104" s="183">
        <f>SUMIFS('июнь 2025'!$G$5:$G$2470,'июнь 2025'!$D$5:$D$2470,$B104,'июнь 2025'!$J$5:$J$2470,AD$1)</f>
        <v>0</v>
      </c>
      <c r="AE104" s="183">
        <f>SUMIFS('июнь 2025'!$G$5:$G$2470,'июнь 2025'!$D$5:$D$2470,$B104,'июнь 2025'!$J$5:$J$2470,AE$1)</f>
        <v>0</v>
      </c>
      <c r="AF104" s="183">
        <f>SUMIFS('июнь 2025'!$G$5:$G$2470,'июнь 2025'!$D$5:$D$2470,$B104,'июнь 2025'!$J$5:$J$2470,AF$1)</f>
        <v>0</v>
      </c>
      <c r="AG104" s="183">
        <f>SUMIFS('июнь 2025'!$G$5:$G$2470,'июнь 2025'!$D$5:$D$2470,$B104,'июнь 2025'!$J$5:$J$2470,AG$1)</f>
        <v>0</v>
      </c>
      <c r="AH104" s="183">
        <f>SUMIFS('июнь 2025'!$G$5:$G$2470,'июнь 2025'!$D$5:$D$2470,$B104,'июнь 2025'!$J$5:$J$2470,AH$1)</f>
        <v>0</v>
      </c>
      <c r="AI104" s="20">
        <f t="shared" si="1"/>
        <v>0</v>
      </c>
    </row>
    <row r="105" spans="2:35" ht="15" customHeight="1" x14ac:dyDescent="0.25">
      <c r="B105" s="88" t="s">
        <v>289</v>
      </c>
      <c r="C105" s="86">
        <v>20</v>
      </c>
      <c r="D105" s="183">
        <f>SUMIFS('июнь 2025'!$G$5:$G$2470,'июнь 2025'!$D$5:$D$2470,$B105,'июнь 2025'!$J$5:$J$2470,D$1)</f>
        <v>0</v>
      </c>
      <c r="E105" s="183">
        <f>SUMIFS('июнь 2025'!$G$5:$G$2470,'июнь 2025'!$D$5:$D$2470,$B105,'июнь 2025'!$J$5:$J$2470,E$1)</f>
        <v>0</v>
      </c>
      <c r="F105" s="183">
        <f>SUMIFS('июнь 2025'!$G$5:$G$2470,'июнь 2025'!$D$5:$D$2470,$B105,'июнь 2025'!$J$5:$J$2470,F$1)</f>
        <v>0</v>
      </c>
      <c r="G105" s="183">
        <f>SUMIFS('июнь 2025'!$G$5:$G$2470,'июнь 2025'!$D$5:$D$2470,$B105,'июнь 2025'!$J$5:$J$2470,G$1)</f>
        <v>0</v>
      </c>
      <c r="H105" s="183">
        <f>SUMIFS('июнь 2025'!$G$5:$G$2470,'июнь 2025'!$D$5:$D$2470,$B105,'июнь 2025'!$J$5:$J$2470,H$1)</f>
        <v>0</v>
      </c>
      <c r="I105" s="183">
        <f>SUMIFS('июнь 2025'!$G$5:$G$2470,'июнь 2025'!$D$5:$D$2470,$B105,'июнь 2025'!$J$5:$J$2470,I$1)</f>
        <v>0</v>
      </c>
      <c r="J105" s="183">
        <f>SUMIFS('июнь 2025'!$G$5:$G$2470,'июнь 2025'!$D$5:$D$2470,$B105,'июнь 2025'!$J$5:$J$2470,J$1)</f>
        <v>0</v>
      </c>
      <c r="K105" s="183">
        <f>SUMIFS('июнь 2025'!$G$5:$G$2470,'июнь 2025'!$D$5:$D$2470,$B105,'июнь 2025'!$J$5:$J$2470,K$1)</f>
        <v>0</v>
      </c>
      <c r="L105" s="183">
        <f>SUMIFS('июнь 2025'!$G$5:$G$2470,'июнь 2025'!$D$5:$D$2470,$B105,'июнь 2025'!$J$5:$J$2470,L$1)</f>
        <v>0</v>
      </c>
      <c r="M105" s="183">
        <f>SUMIFS('июнь 2025'!$G$5:$G$2470,'июнь 2025'!$D$5:$D$2470,$B105,'июнь 2025'!$J$5:$J$2470,M$1)</f>
        <v>0</v>
      </c>
      <c r="N105" s="183">
        <f>SUMIFS('июнь 2025'!$G$5:$G$2470,'июнь 2025'!$D$5:$D$2470,$B105,'июнь 2025'!$J$5:$J$2470,N$1)</f>
        <v>0</v>
      </c>
      <c r="O105" s="183">
        <f>SUMIFS('июнь 2025'!$G$5:$G$2470,'июнь 2025'!$D$5:$D$2470,$B105,'июнь 2025'!$J$5:$J$2470,O$1)</f>
        <v>0</v>
      </c>
      <c r="P105" s="183">
        <f>SUMIFS('июнь 2025'!$G$5:$G$2470,'июнь 2025'!$D$5:$D$2470,$B105,'июнь 2025'!$J$5:$J$2470,P$1)</f>
        <v>0</v>
      </c>
      <c r="Q105" s="183">
        <f>SUMIFS('июнь 2025'!$G$5:$G$2470,'июнь 2025'!$D$5:$D$2470,$B105,'июнь 2025'!$J$5:$J$2470,Q$1)</f>
        <v>0</v>
      </c>
      <c r="R105" s="183">
        <f>SUMIFS('июнь 2025'!$G$5:$G$2470,'июнь 2025'!$D$5:$D$2470,$B105,'июнь 2025'!$J$5:$J$2470,R$1)</f>
        <v>0</v>
      </c>
      <c r="S105" s="183">
        <f>SUMIFS('июнь 2025'!$G$5:$G$2470,'июнь 2025'!$D$5:$D$2470,$B105,'июнь 2025'!$J$5:$J$2470,S$1)</f>
        <v>0</v>
      </c>
      <c r="T105" s="183">
        <f>SUMIFS('июнь 2025'!$G$5:$G$2470,'июнь 2025'!$D$5:$D$2470,$B105,'июнь 2025'!$J$5:$J$2470,T$1)</f>
        <v>75</v>
      </c>
      <c r="U105" s="183">
        <f>SUMIFS('июнь 2025'!$G$5:$G$2470,'июнь 2025'!$D$5:$D$2470,$B105,'июнь 2025'!$J$5:$J$2470,U$1)</f>
        <v>0</v>
      </c>
      <c r="V105" s="183">
        <f>SUMIFS('июнь 2025'!$G$5:$G$2470,'июнь 2025'!$D$5:$D$2470,$B105,'июнь 2025'!$J$5:$J$2470,V$1)</f>
        <v>0</v>
      </c>
      <c r="W105" s="183">
        <f>SUMIFS('июнь 2025'!$G$5:$G$2470,'июнь 2025'!$D$5:$D$2470,$B105,'июнь 2025'!$J$5:$J$2470,W$1)</f>
        <v>0</v>
      </c>
      <c r="X105" s="183">
        <f>SUMIFS('июнь 2025'!$G$5:$G$2470,'июнь 2025'!$D$5:$D$2470,$B105,'июнь 2025'!$J$5:$J$2470,X$1)</f>
        <v>0</v>
      </c>
      <c r="Y105" s="183">
        <f>SUMIFS('июнь 2025'!$G$5:$G$2470,'июнь 2025'!$D$5:$D$2470,$B105,'июнь 2025'!$J$5:$J$2470,Y$1)</f>
        <v>0</v>
      </c>
      <c r="Z105" s="183">
        <f>SUMIFS('июнь 2025'!$G$5:$G$2470,'июнь 2025'!$D$5:$D$2470,$B105,'июнь 2025'!$J$5:$J$2470,Z$1)</f>
        <v>0</v>
      </c>
      <c r="AA105" s="183">
        <f>SUMIFS('июнь 2025'!$G$5:$G$2470,'июнь 2025'!$D$5:$D$2470,$B105,'июнь 2025'!$J$5:$J$2470,AA$1)</f>
        <v>0</v>
      </c>
      <c r="AB105" s="183">
        <f>SUMIFS('июнь 2025'!$G$5:$G$2470,'июнь 2025'!$D$5:$D$2470,$B105,'июнь 2025'!$J$5:$J$2470,AB$1)</f>
        <v>0</v>
      </c>
      <c r="AC105" s="183">
        <f>SUMIFS('июнь 2025'!$G$5:$G$2470,'июнь 2025'!$D$5:$D$2470,$B105,'июнь 2025'!$J$5:$J$2470,AC$1)</f>
        <v>0</v>
      </c>
      <c r="AD105" s="183">
        <f>SUMIFS('июнь 2025'!$G$5:$G$2470,'июнь 2025'!$D$5:$D$2470,$B105,'июнь 2025'!$J$5:$J$2470,AD$1)</f>
        <v>0</v>
      </c>
      <c r="AE105" s="183">
        <f>SUMIFS('июнь 2025'!$G$5:$G$2470,'июнь 2025'!$D$5:$D$2470,$B105,'июнь 2025'!$J$5:$J$2470,AE$1)</f>
        <v>0</v>
      </c>
      <c r="AF105" s="183">
        <f>SUMIFS('июнь 2025'!$G$5:$G$2470,'июнь 2025'!$D$5:$D$2470,$B105,'июнь 2025'!$J$5:$J$2470,AF$1)</f>
        <v>0</v>
      </c>
      <c r="AG105" s="183">
        <f>SUMIFS('июнь 2025'!$G$5:$G$2470,'июнь 2025'!$D$5:$D$2470,$B105,'июнь 2025'!$J$5:$J$2470,AG$1)</f>
        <v>0</v>
      </c>
      <c r="AH105" s="183">
        <f>SUMIFS('июнь 2025'!$G$5:$G$2470,'июнь 2025'!$D$5:$D$2470,$B105,'июнь 2025'!$J$5:$J$2470,AH$1)</f>
        <v>0</v>
      </c>
      <c r="AI105" s="20">
        <f t="shared" si="1"/>
        <v>75</v>
      </c>
    </row>
    <row r="106" spans="2:35" ht="15" customHeight="1" x14ac:dyDescent="0.25">
      <c r="B106" s="88" t="s">
        <v>315</v>
      </c>
      <c r="C106" s="86">
        <v>25</v>
      </c>
      <c r="D106" s="183">
        <f>SUMIFS('июнь 2025'!$G$5:$G$2470,'июнь 2025'!$D$5:$D$2470,$B106,'июнь 2025'!$J$5:$J$2470,D$1)</f>
        <v>0</v>
      </c>
      <c r="E106" s="183">
        <f>SUMIFS('июнь 2025'!$G$5:$G$2470,'июнь 2025'!$D$5:$D$2470,$B106,'июнь 2025'!$J$5:$J$2470,E$1)</f>
        <v>0</v>
      </c>
      <c r="F106" s="183">
        <f>SUMIFS('июнь 2025'!$G$5:$G$2470,'июнь 2025'!$D$5:$D$2470,$B106,'июнь 2025'!$J$5:$J$2470,F$1)</f>
        <v>0</v>
      </c>
      <c r="G106" s="183">
        <f>SUMIFS('июнь 2025'!$G$5:$G$2470,'июнь 2025'!$D$5:$D$2470,$B106,'июнь 2025'!$J$5:$J$2470,G$1)</f>
        <v>0</v>
      </c>
      <c r="H106" s="183">
        <f>SUMIFS('июнь 2025'!$G$5:$G$2470,'июнь 2025'!$D$5:$D$2470,$B106,'июнь 2025'!$J$5:$J$2470,H$1)</f>
        <v>0</v>
      </c>
      <c r="I106" s="183">
        <f>SUMIFS('июнь 2025'!$G$5:$G$2470,'июнь 2025'!$D$5:$D$2470,$B106,'июнь 2025'!$J$5:$J$2470,I$1)</f>
        <v>0</v>
      </c>
      <c r="J106" s="183">
        <f>SUMIFS('июнь 2025'!$G$5:$G$2470,'июнь 2025'!$D$5:$D$2470,$B106,'июнь 2025'!$J$5:$J$2470,J$1)</f>
        <v>0</v>
      </c>
      <c r="K106" s="183">
        <f>SUMIFS('июнь 2025'!$G$5:$G$2470,'июнь 2025'!$D$5:$D$2470,$B106,'июнь 2025'!$J$5:$J$2470,K$1)</f>
        <v>0</v>
      </c>
      <c r="L106" s="183">
        <f>SUMIFS('июнь 2025'!$G$5:$G$2470,'июнь 2025'!$D$5:$D$2470,$B106,'июнь 2025'!$J$5:$J$2470,L$1)</f>
        <v>0</v>
      </c>
      <c r="M106" s="183">
        <f>SUMIFS('июнь 2025'!$G$5:$G$2470,'июнь 2025'!$D$5:$D$2470,$B106,'июнь 2025'!$J$5:$J$2470,M$1)</f>
        <v>0</v>
      </c>
      <c r="N106" s="183">
        <f>SUMIFS('июнь 2025'!$G$5:$G$2470,'июнь 2025'!$D$5:$D$2470,$B106,'июнь 2025'!$J$5:$J$2470,N$1)</f>
        <v>0</v>
      </c>
      <c r="O106" s="183">
        <f>SUMIFS('июнь 2025'!$G$5:$G$2470,'июнь 2025'!$D$5:$D$2470,$B106,'июнь 2025'!$J$5:$J$2470,O$1)</f>
        <v>0</v>
      </c>
      <c r="P106" s="183">
        <f>SUMIFS('июнь 2025'!$G$5:$G$2470,'июнь 2025'!$D$5:$D$2470,$B106,'июнь 2025'!$J$5:$J$2470,P$1)</f>
        <v>0</v>
      </c>
      <c r="Q106" s="183">
        <f>SUMIFS('июнь 2025'!$G$5:$G$2470,'июнь 2025'!$D$5:$D$2470,$B106,'июнь 2025'!$J$5:$J$2470,Q$1)</f>
        <v>0</v>
      </c>
      <c r="R106" s="183">
        <f>SUMIFS('июнь 2025'!$G$5:$G$2470,'июнь 2025'!$D$5:$D$2470,$B106,'июнь 2025'!$J$5:$J$2470,R$1)</f>
        <v>0</v>
      </c>
      <c r="S106" s="183">
        <f>SUMIFS('июнь 2025'!$G$5:$G$2470,'июнь 2025'!$D$5:$D$2470,$B106,'июнь 2025'!$J$5:$J$2470,S$1)</f>
        <v>0</v>
      </c>
      <c r="T106" s="183">
        <f>SUMIFS('июнь 2025'!$G$5:$G$2470,'июнь 2025'!$D$5:$D$2470,$B106,'июнь 2025'!$J$5:$J$2470,T$1)</f>
        <v>0</v>
      </c>
      <c r="U106" s="183">
        <f>SUMIFS('июнь 2025'!$G$5:$G$2470,'июнь 2025'!$D$5:$D$2470,$B106,'июнь 2025'!$J$5:$J$2470,U$1)</f>
        <v>0</v>
      </c>
      <c r="V106" s="183">
        <f>SUMIFS('июнь 2025'!$G$5:$G$2470,'июнь 2025'!$D$5:$D$2470,$B106,'июнь 2025'!$J$5:$J$2470,V$1)</f>
        <v>0</v>
      </c>
      <c r="W106" s="183">
        <f>SUMIFS('июнь 2025'!$G$5:$G$2470,'июнь 2025'!$D$5:$D$2470,$B106,'июнь 2025'!$J$5:$J$2470,W$1)</f>
        <v>0</v>
      </c>
      <c r="X106" s="183">
        <f>SUMIFS('июнь 2025'!$G$5:$G$2470,'июнь 2025'!$D$5:$D$2470,$B106,'июнь 2025'!$J$5:$J$2470,X$1)</f>
        <v>0</v>
      </c>
      <c r="Y106" s="183">
        <f>SUMIFS('июнь 2025'!$G$5:$G$2470,'июнь 2025'!$D$5:$D$2470,$B106,'июнь 2025'!$J$5:$J$2470,Y$1)</f>
        <v>0</v>
      </c>
      <c r="Z106" s="183">
        <f>SUMIFS('июнь 2025'!$G$5:$G$2470,'июнь 2025'!$D$5:$D$2470,$B106,'июнь 2025'!$J$5:$J$2470,Z$1)</f>
        <v>0</v>
      </c>
      <c r="AA106" s="183">
        <f>SUMIFS('июнь 2025'!$G$5:$G$2470,'июнь 2025'!$D$5:$D$2470,$B106,'июнь 2025'!$J$5:$J$2470,AA$1)</f>
        <v>0</v>
      </c>
      <c r="AB106" s="183">
        <f>SUMIFS('июнь 2025'!$G$5:$G$2470,'июнь 2025'!$D$5:$D$2470,$B106,'июнь 2025'!$J$5:$J$2470,AB$1)</f>
        <v>0</v>
      </c>
      <c r="AC106" s="183">
        <f>SUMIFS('июнь 2025'!$G$5:$G$2470,'июнь 2025'!$D$5:$D$2470,$B106,'июнь 2025'!$J$5:$J$2470,AC$1)</f>
        <v>0</v>
      </c>
      <c r="AD106" s="183">
        <f>SUMIFS('июнь 2025'!$G$5:$G$2470,'июнь 2025'!$D$5:$D$2470,$B106,'июнь 2025'!$J$5:$J$2470,AD$1)</f>
        <v>0</v>
      </c>
      <c r="AE106" s="183">
        <f>SUMIFS('июнь 2025'!$G$5:$G$2470,'июнь 2025'!$D$5:$D$2470,$B106,'июнь 2025'!$J$5:$J$2470,AE$1)</f>
        <v>0</v>
      </c>
      <c r="AF106" s="183">
        <f>SUMIFS('июнь 2025'!$G$5:$G$2470,'июнь 2025'!$D$5:$D$2470,$B106,'июнь 2025'!$J$5:$J$2470,AF$1)</f>
        <v>0</v>
      </c>
      <c r="AG106" s="183">
        <f>SUMIFS('июнь 2025'!$G$5:$G$2470,'июнь 2025'!$D$5:$D$2470,$B106,'июнь 2025'!$J$5:$J$2470,AG$1)</f>
        <v>0</v>
      </c>
      <c r="AH106" s="183">
        <f>SUMIFS('июнь 2025'!$G$5:$G$2470,'июнь 2025'!$D$5:$D$2470,$B106,'июнь 2025'!$J$5:$J$2470,AH$1)</f>
        <v>0</v>
      </c>
      <c r="AI106" s="20">
        <f t="shared" si="1"/>
        <v>0</v>
      </c>
    </row>
    <row r="107" spans="2:35" ht="15" customHeight="1" x14ac:dyDescent="0.25">
      <c r="B107" s="88" t="s">
        <v>385</v>
      </c>
      <c r="C107" s="86">
        <v>28</v>
      </c>
      <c r="D107" s="183">
        <f>SUMIFS('июнь 2025'!$G$5:$G$2470,'июнь 2025'!$D$5:$D$2470,$B107,'июнь 2025'!$J$5:$J$2470,D$1)</f>
        <v>0</v>
      </c>
      <c r="E107" s="183">
        <f>SUMIFS('июнь 2025'!$G$5:$G$2470,'июнь 2025'!$D$5:$D$2470,$B107,'июнь 2025'!$J$5:$J$2470,E$1)</f>
        <v>0</v>
      </c>
      <c r="F107" s="183">
        <f>SUMIFS('июнь 2025'!$G$5:$G$2470,'июнь 2025'!$D$5:$D$2470,$B107,'июнь 2025'!$J$5:$J$2470,F$1)</f>
        <v>0</v>
      </c>
      <c r="G107" s="183">
        <f>SUMIFS('июнь 2025'!$G$5:$G$2470,'июнь 2025'!$D$5:$D$2470,$B107,'июнь 2025'!$J$5:$J$2470,G$1)</f>
        <v>0</v>
      </c>
      <c r="H107" s="183">
        <f>SUMIFS('июнь 2025'!$G$5:$G$2470,'июнь 2025'!$D$5:$D$2470,$B107,'июнь 2025'!$J$5:$J$2470,H$1)</f>
        <v>0</v>
      </c>
      <c r="I107" s="183">
        <f>SUMIFS('июнь 2025'!$G$5:$G$2470,'июнь 2025'!$D$5:$D$2470,$B107,'июнь 2025'!$J$5:$J$2470,I$1)</f>
        <v>0</v>
      </c>
      <c r="J107" s="183">
        <f>SUMIFS('июнь 2025'!$G$5:$G$2470,'июнь 2025'!$D$5:$D$2470,$B107,'июнь 2025'!$J$5:$J$2470,J$1)</f>
        <v>0</v>
      </c>
      <c r="K107" s="183">
        <f>SUMIFS('июнь 2025'!$G$5:$G$2470,'июнь 2025'!$D$5:$D$2470,$B107,'июнь 2025'!$J$5:$J$2470,K$1)</f>
        <v>0</v>
      </c>
      <c r="L107" s="183">
        <f>SUMIFS('июнь 2025'!$G$5:$G$2470,'июнь 2025'!$D$5:$D$2470,$B107,'июнь 2025'!$J$5:$J$2470,L$1)</f>
        <v>0</v>
      </c>
      <c r="M107" s="183">
        <f>SUMIFS('июнь 2025'!$G$5:$G$2470,'июнь 2025'!$D$5:$D$2470,$B107,'июнь 2025'!$J$5:$J$2470,M$1)</f>
        <v>0</v>
      </c>
      <c r="N107" s="183">
        <f>SUMIFS('июнь 2025'!$G$5:$G$2470,'июнь 2025'!$D$5:$D$2470,$B107,'июнь 2025'!$J$5:$J$2470,N$1)</f>
        <v>0</v>
      </c>
      <c r="O107" s="183">
        <f>SUMIFS('июнь 2025'!$G$5:$G$2470,'июнь 2025'!$D$5:$D$2470,$B107,'июнь 2025'!$J$5:$J$2470,O$1)</f>
        <v>0</v>
      </c>
      <c r="P107" s="183">
        <f>SUMIFS('июнь 2025'!$G$5:$G$2470,'июнь 2025'!$D$5:$D$2470,$B107,'июнь 2025'!$J$5:$J$2470,P$1)</f>
        <v>0</v>
      </c>
      <c r="Q107" s="183">
        <f>SUMIFS('июнь 2025'!$G$5:$G$2470,'июнь 2025'!$D$5:$D$2470,$B107,'июнь 2025'!$J$5:$J$2470,Q$1)</f>
        <v>0</v>
      </c>
      <c r="R107" s="183">
        <f>SUMIFS('июнь 2025'!$G$5:$G$2470,'июнь 2025'!$D$5:$D$2470,$B107,'июнь 2025'!$J$5:$J$2470,R$1)</f>
        <v>0</v>
      </c>
      <c r="S107" s="183">
        <f>SUMIFS('июнь 2025'!$G$5:$G$2470,'июнь 2025'!$D$5:$D$2470,$B107,'июнь 2025'!$J$5:$J$2470,S$1)</f>
        <v>0</v>
      </c>
      <c r="T107" s="183">
        <f>SUMIFS('июнь 2025'!$G$5:$G$2470,'июнь 2025'!$D$5:$D$2470,$B107,'июнь 2025'!$J$5:$J$2470,T$1)</f>
        <v>0</v>
      </c>
      <c r="U107" s="183">
        <f>SUMIFS('июнь 2025'!$G$5:$G$2470,'июнь 2025'!$D$5:$D$2470,$B107,'июнь 2025'!$J$5:$J$2470,U$1)</f>
        <v>0</v>
      </c>
      <c r="V107" s="183">
        <f>SUMIFS('июнь 2025'!$G$5:$G$2470,'июнь 2025'!$D$5:$D$2470,$B107,'июнь 2025'!$J$5:$J$2470,V$1)</f>
        <v>0</v>
      </c>
      <c r="W107" s="183">
        <f>SUMIFS('июнь 2025'!$G$5:$G$2470,'июнь 2025'!$D$5:$D$2470,$B107,'июнь 2025'!$J$5:$J$2470,W$1)</f>
        <v>0</v>
      </c>
      <c r="X107" s="183">
        <f>SUMIFS('июнь 2025'!$G$5:$G$2470,'июнь 2025'!$D$5:$D$2470,$B107,'июнь 2025'!$J$5:$J$2470,X$1)</f>
        <v>0</v>
      </c>
      <c r="Y107" s="183">
        <f>SUMIFS('июнь 2025'!$G$5:$G$2470,'июнь 2025'!$D$5:$D$2470,$B107,'июнь 2025'!$J$5:$J$2470,Y$1)</f>
        <v>0</v>
      </c>
      <c r="Z107" s="183">
        <f>SUMIFS('июнь 2025'!$G$5:$G$2470,'июнь 2025'!$D$5:$D$2470,$B107,'июнь 2025'!$J$5:$J$2470,Z$1)</f>
        <v>0</v>
      </c>
      <c r="AA107" s="183">
        <f>SUMIFS('июнь 2025'!$G$5:$G$2470,'июнь 2025'!$D$5:$D$2470,$B107,'июнь 2025'!$J$5:$J$2470,AA$1)</f>
        <v>0</v>
      </c>
      <c r="AB107" s="183">
        <f>SUMIFS('июнь 2025'!$G$5:$G$2470,'июнь 2025'!$D$5:$D$2470,$B107,'июнь 2025'!$J$5:$J$2470,AB$1)</f>
        <v>0</v>
      </c>
      <c r="AC107" s="183">
        <f>SUMIFS('июнь 2025'!$G$5:$G$2470,'июнь 2025'!$D$5:$D$2470,$B107,'июнь 2025'!$J$5:$J$2470,AC$1)</f>
        <v>0</v>
      </c>
      <c r="AD107" s="183">
        <f>SUMIFS('июнь 2025'!$G$5:$G$2470,'июнь 2025'!$D$5:$D$2470,$B107,'июнь 2025'!$J$5:$J$2470,AD$1)</f>
        <v>0</v>
      </c>
      <c r="AE107" s="183">
        <f>SUMIFS('июнь 2025'!$G$5:$G$2470,'июнь 2025'!$D$5:$D$2470,$B107,'июнь 2025'!$J$5:$J$2470,AE$1)</f>
        <v>0</v>
      </c>
      <c r="AF107" s="183">
        <f>SUMIFS('июнь 2025'!$G$5:$G$2470,'июнь 2025'!$D$5:$D$2470,$B107,'июнь 2025'!$J$5:$J$2470,AF$1)</f>
        <v>0</v>
      </c>
      <c r="AG107" s="183">
        <f>SUMIFS('июнь 2025'!$G$5:$G$2470,'июнь 2025'!$D$5:$D$2470,$B107,'июнь 2025'!$J$5:$J$2470,AG$1)</f>
        <v>0</v>
      </c>
      <c r="AH107" s="183">
        <f>SUMIFS('июнь 2025'!$G$5:$G$2470,'июнь 2025'!$D$5:$D$2470,$B107,'июнь 2025'!$J$5:$J$2470,AH$1)</f>
        <v>0</v>
      </c>
      <c r="AI107" s="20">
        <f t="shared" si="1"/>
        <v>0</v>
      </c>
    </row>
    <row r="108" spans="2:35" ht="15" customHeight="1" x14ac:dyDescent="0.25">
      <c r="B108" s="88" t="s">
        <v>193</v>
      </c>
      <c r="C108" s="86">
        <v>180</v>
      </c>
      <c r="D108" s="183">
        <f>SUMIFS('июнь 2025'!$G$5:$G$2470,'июнь 2025'!$D$5:$D$2470,$B108,'июнь 2025'!$J$5:$J$2470,D$1)</f>
        <v>0</v>
      </c>
      <c r="E108" s="183">
        <f>SUMIFS('июнь 2025'!$G$5:$G$2470,'июнь 2025'!$D$5:$D$2470,$B108,'июнь 2025'!$J$5:$J$2470,E$1)</f>
        <v>0</v>
      </c>
      <c r="F108" s="183">
        <f>SUMIFS('июнь 2025'!$G$5:$G$2470,'июнь 2025'!$D$5:$D$2470,$B108,'июнь 2025'!$J$5:$J$2470,F$1)</f>
        <v>0</v>
      </c>
      <c r="G108" s="183">
        <f>SUMIFS('июнь 2025'!$G$5:$G$2470,'июнь 2025'!$D$5:$D$2470,$B108,'июнь 2025'!$J$5:$J$2470,G$1)</f>
        <v>0</v>
      </c>
      <c r="H108" s="183">
        <f>SUMIFS('июнь 2025'!$G$5:$G$2470,'июнь 2025'!$D$5:$D$2470,$B108,'июнь 2025'!$J$5:$J$2470,H$1)</f>
        <v>0</v>
      </c>
      <c r="I108" s="183">
        <f>SUMIFS('июнь 2025'!$G$5:$G$2470,'июнь 2025'!$D$5:$D$2470,$B108,'июнь 2025'!$J$5:$J$2470,I$1)</f>
        <v>0</v>
      </c>
      <c r="J108" s="183">
        <f>SUMIFS('июнь 2025'!$G$5:$G$2470,'июнь 2025'!$D$5:$D$2470,$B108,'июнь 2025'!$J$5:$J$2470,J$1)</f>
        <v>0</v>
      </c>
      <c r="K108" s="183">
        <f>SUMIFS('июнь 2025'!$G$5:$G$2470,'июнь 2025'!$D$5:$D$2470,$B108,'июнь 2025'!$J$5:$J$2470,K$1)</f>
        <v>0</v>
      </c>
      <c r="L108" s="183">
        <f>SUMIFS('июнь 2025'!$G$5:$G$2470,'июнь 2025'!$D$5:$D$2470,$B108,'июнь 2025'!$J$5:$J$2470,L$1)</f>
        <v>0</v>
      </c>
      <c r="M108" s="183">
        <f>SUMIFS('июнь 2025'!$G$5:$G$2470,'июнь 2025'!$D$5:$D$2470,$B108,'июнь 2025'!$J$5:$J$2470,M$1)</f>
        <v>0</v>
      </c>
      <c r="N108" s="183">
        <f>SUMIFS('июнь 2025'!$G$5:$G$2470,'июнь 2025'!$D$5:$D$2470,$B108,'июнь 2025'!$J$5:$J$2470,N$1)</f>
        <v>0</v>
      </c>
      <c r="O108" s="183">
        <f>SUMIFS('июнь 2025'!$G$5:$G$2470,'июнь 2025'!$D$5:$D$2470,$B108,'июнь 2025'!$J$5:$J$2470,O$1)</f>
        <v>0</v>
      </c>
      <c r="P108" s="183">
        <f>SUMIFS('июнь 2025'!$G$5:$G$2470,'июнь 2025'!$D$5:$D$2470,$B108,'июнь 2025'!$J$5:$J$2470,P$1)</f>
        <v>0</v>
      </c>
      <c r="Q108" s="183">
        <f>SUMIFS('июнь 2025'!$G$5:$G$2470,'июнь 2025'!$D$5:$D$2470,$B108,'июнь 2025'!$J$5:$J$2470,Q$1)</f>
        <v>0</v>
      </c>
      <c r="R108" s="183">
        <f>SUMIFS('июнь 2025'!$G$5:$G$2470,'июнь 2025'!$D$5:$D$2470,$B108,'июнь 2025'!$J$5:$J$2470,R$1)</f>
        <v>0</v>
      </c>
      <c r="S108" s="183">
        <f>SUMIFS('июнь 2025'!$G$5:$G$2470,'июнь 2025'!$D$5:$D$2470,$B108,'июнь 2025'!$J$5:$J$2470,S$1)</f>
        <v>0</v>
      </c>
      <c r="T108" s="183">
        <f>SUMIFS('июнь 2025'!$G$5:$G$2470,'июнь 2025'!$D$5:$D$2470,$B108,'июнь 2025'!$J$5:$J$2470,T$1)</f>
        <v>0</v>
      </c>
      <c r="U108" s="183">
        <f>SUMIFS('июнь 2025'!$G$5:$G$2470,'июнь 2025'!$D$5:$D$2470,$B108,'июнь 2025'!$J$5:$J$2470,U$1)</f>
        <v>0</v>
      </c>
      <c r="V108" s="183">
        <f>SUMIFS('июнь 2025'!$G$5:$G$2470,'июнь 2025'!$D$5:$D$2470,$B108,'июнь 2025'!$J$5:$J$2470,V$1)</f>
        <v>0</v>
      </c>
      <c r="W108" s="183">
        <f>SUMIFS('июнь 2025'!$G$5:$G$2470,'июнь 2025'!$D$5:$D$2470,$B108,'июнь 2025'!$J$5:$J$2470,W$1)</f>
        <v>0</v>
      </c>
      <c r="X108" s="183">
        <f>SUMIFS('июнь 2025'!$G$5:$G$2470,'июнь 2025'!$D$5:$D$2470,$B108,'июнь 2025'!$J$5:$J$2470,X$1)</f>
        <v>0</v>
      </c>
      <c r="Y108" s="183">
        <f>SUMIFS('июнь 2025'!$G$5:$G$2470,'июнь 2025'!$D$5:$D$2470,$B108,'июнь 2025'!$J$5:$J$2470,Y$1)</f>
        <v>0</v>
      </c>
      <c r="Z108" s="183">
        <f>SUMIFS('июнь 2025'!$G$5:$G$2470,'июнь 2025'!$D$5:$D$2470,$B108,'июнь 2025'!$J$5:$J$2470,Z$1)</f>
        <v>0</v>
      </c>
      <c r="AA108" s="183">
        <f>SUMIFS('июнь 2025'!$G$5:$G$2470,'июнь 2025'!$D$5:$D$2470,$B108,'июнь 2025'!$J$5:$J$2470,AA$1)</f>
        <v>0</v>
      </c>
      <c r="AB108" s="183">
        <f>SUMIFS('июнь 2025'!$G$5:$G$2470,'июнь 2025'!$D$5:$D$2470,$B108,'июнь 2025'!$J$5:$J$2470,AB$1)</f>
        <v>0</v>
      </c>
      <c r="AC108" s="183">
        <f>SUMIFS('июнь 2025'!$G$5:$G$2470,'июнь 2025'!$D$5:$D$2470,$B108,'июнь 2025'!$J$5:$J$2470,AC$1)</f>
        <v>0</v>
      </c>
      <c r="AD108" s="183">
        <f>SUMIFS('июнь 2025'!$G$5:$G$2470,'июнь 2025'!$D$5:$D$2470,$B108,'июнь 2025'!$J$5:$J$2470,AD$1)</f>
        <v>0</v>
      </c>
      <c r="AE108" s="183">
        <f>SUMIFS('июнь 2025'!$G$5:$G$2470,'июнь 2025'!$D$5:$D$2470,$B108,'июнь 2025'!$J$5:$J$2470,AE$1)</f>
        <v>0</v>
      </c>
      <c r="AF108" s="183">
        <f>SUMIFS('июнь 2025'!$G$5:$G$2470,'июнь 2025'!$D$5:$D$2470,$B108,'июнь 2025'!$J$5:$J$2470,AF$1)</f>
        <v>0</v>
      </c>
      <c r="AG108" s="183">
        <f>SUMIFS('июнь 2025'!$G$5:$G$2470,'июнь 2025'!$D$5:$D$2470,$B108,'июнь 2025'!$J$5:$J$2470,AG$1)</f>
        <v>0</v>
      </c>
      <c r="AH108" s="183">
        <f>SUMIFS('июнь 2025'!$G$5:$G$2470,'июнь 2025'!$D$5:$D$2470,$B108,'июнь 2025'!$J$5:$J$2470,AH$1)</f>
        <v>0</v>
      </c>
      <c r="AI108" s="20">
        <f t="shared" si="1"/>
        <v>0</v>
      </c>
    </row>
    <row r="109" spans="2:35" ht="15" customHeight="1" x14ac:dyDescent="0.25">
      <c r="B109" s="84" t="s">
        <v>194</v>
      </c>
      <c r="C109" s="83">
        <v>200</v>
      </c>
      <c r="D109" s="183">
        <f>SUMIFS('июнь 2025'!$G$5:$G$2470,'июнь 2025'!$D$5:$D$2470,$B109,'июнь 2025'!$J$5:$J$2470,D$1)</f>
        <v>0</v>
      </c>
      <c r="E109" s="183">
        <f>SUMIFS('июнь 2025'!$G$5:$G$2470,'июнь 2025'!$D$5:$D$2470,$B109,'июнь 2025'!$J$5:$J$2470,E$1)</f>
        <v>0</v>
      </c>
      <c r="F109" s="183">
        <f>SUMIFS('июнь 2025'!$G$5:$G$2470,'июнь 2025'!$D$5:$D$2470,$B109,'июнь 2025'!$J$5:$J$2470,F$1)</f>
        <v>0</v>
      </c>
      <c r="G109" s="183">
        <f>SUMIFS('июнь 2025'!$G$5:$G$2470,'июнь 2025'!$D$5:$D$2470,$B109,'июнь 2025'!$J$5:$J$2470,G$1)</f>
        <v>0</v>
      </c>
      <c r="H109" s="183">
        <f>SUMIFS('июнь 2025'!$G$5:$G$2470,'июнь 2025'!$D$5:$D$2470,$B109,'июнь 2025'!$J$5:$J$2470,H$1)</f>
        <v>0</v>
      </c>
      <c r="I109" s="183">
        <f>SUMIFS('июнь 2025'!$G$5:$G$2470,'июнь 2025'!$D$5:$D$2470,$B109,'июнь 2025'!$J$5:$J$2470,I$1)</f>
        <v>0</v>
      </c>
      <c r="J109" s="183">
        <f>SUMIFS('июнь 2025'!$G$5:$G$2470,'июнь 2025'!$D$5:$D$2470,$B109,'июнь 2025'!$J$5:$J$2470,J$1)</f>
        <v>0</v>
      </c>
      <c r="K109" s="183">
        <f>SUMIFS('июнь 2025'!$G$5:$G$2470,'июнь 2025'!$D$5:$D$2470,$B109,'июнь 2025'!$J$5:$J$2470,K$1)</f>
        <v>0</v>
      </c>
      <c r="L109" s="183">
        <f>SUMIFS('июнь 2025'!$G$5:$G$2470,'июнь 2025'!$D$5:$D$2470,$B109,'июнь 2025'!$J$5:$J$2470,L$1)</f>
        <v>0</v>
      </c>
      <c r="M109" s="183">
        <f>SUMIFS('июнь 2025'!$G$5:$G$2470,'июнь 2025'!$D$5:$D$2470,$B109,'июнь 2025'!$J$5:$J$2470,M$1)</f>
        <v>0</v>
      </c>
      <c r="N109" s="183">
        <f>SUMIFS('июнь 2025'!$G$5:$G$2470,'июнь 2025'!$D$5:$D$2470,$B109,'июнь 2025'!$J$5:$J$2470,N$1)</f>
        <v>0</v>
      </c>
      <c r="O109" s="183">
        <f>SUMIFS('июнь 2025'!$G$5:$G$2470,'июнь 2025'!$D$5:$D$2470,$B109,'июнь 2025'!$J$5:$J$2470,O$1)</f>
        <v>0</v>
      </c>
      <c r="P109" s="183">
        <f>SUMIFS('июнь 2025'!$G$5:$G$2470,'июнь 2025'!$D$5:$D$2470,$B109,'июнь 2025'!$J$5:$J$2470,P$1)</f>
        <v>0</v>
      </c>
      <c r="Q109" s="183">
        <f>SUMIFS('июнь 2025'!$G$5:$G$2470,'июнь 2025'!$D$5:$D$2470,$B109,'июнь 2025'!$J$5:$J$2470,Q$1)</f>
        <v>0</v>
      </c>
      <c r="R109" s="183">
        <f>SUMIFS('июнь 2025'!$G$5:$G$2470,'июнь 2025'!$D$5:$D$2470,$B109,'июнь 2025'!$J$5:$J$2470,R$1)</f>
        <v>0</v>
      </c>
      <c r="S109" s="183">
        <f>SUMIFS('июнь 2025'!$G$5:$G$2470,'июнь 2025'!$D$5:$D$2470,$B109,'июнь 2025'!$J$5:$J$2470,S$1)</f>
        <v>0</v>
      </c>
      <c r="T109" s="183">
        <f>SUMIFS('июнь 2025'!$G$5:$G$2470,'июнь 2025'!$D$5:$D$2470,$B109,'июнь 2025'!$J$5:$J$2470,T$1)</f>
        <v>0</v>
      </c>
      <c r="U109" s="183">
        <f>SUMIFS('июнь 2025'!$G$5:$G$2470,'июнь 2025'!$D$5:$D$2470,$B109,'июнь 2025'!$J$5:$J$2470,U$1)</f>
        <v>0</v>
      </c>
      <c r="V109" s="183">
        <f>SUMIFS('июнь 2025'!$G$5:$G$2470,'июнь 2025'!$D$5:$D$2470,$B109,'июнь 2025'!$J$5:$J$2470,V$1)</f>
        <v>0</v>
      </c>
      <c r="W109" s="183">
        <f>SUMIFS('июнь 2025'!$G$5:$G$2470,'июнь 2025'!$D$5:$D$2470,$B109,'июнь 2025'!$J$5:$J$2470,W$1)</f>
        <v>0</v>
      </c>
      <c r="X109" s="183">
        <f>SUMIFS('июнь 2025'!$G$5:$G$2470,'июнь 2025'!$D$5:$D$2470,$B109,'июнь 2025'!$J$5:$J$2470,X$1)</f>
        <v>0</v>
      </c>
      <c r="Y109" s="183">
        <f>SUMIFS('июнь 2025'!$G$5:$G$2470,'июнь 2025'!$D$5:$D$2470,$B109,'июнь 2025'!$J$5:$J$2470,Y$1)</f>
        <v>0</v>
      </c>
      <c r="Z109" s="183">
        <f>SUMIFS('июнь 2025'!$G$5:$G$2470,'июнь 2025'!$D$5:$D$2470,$B109,'июнь 2025'!$J$5:$J$2470,Z$1)</f>
        <v>0</v>
      </c>
      <c r="AA109" s="183">
        <f>SUMIFS('июнь 2025'!$G$5:$G$2470,'июнь 2025'!$D$5:$D$2470,$B109,'июнь 2025'!$J$5:$J$2470,AA$1)</f>
        <v>0</v>
      </c>
      <c r="AB109" s="183">
        <f>SUMIFS('июнь 2025'!$G$5:$G$2470,'июнь 2025'!$D$5:$D$2470,$B109,'июнь 2025'!$J$5:$J$2470,AB$1)</f>
        <v>0</v>
      </c>
      <c r="AC109" s="183">
        <f>SUMIFS('июнь 2025'!$G$5:$G$2470,'июнь 2025'!$D$5:$D$2470,$B109,'июнь 2025'!$J$5:$J$2470,AC$1)</f>
        <v>16</v>
      </c>
      <c r="AD109" s="183">
        <f>SUMIFS('июнь 2025'!$G$5:$G$2470,'июнь 2025'!$D$5:$D$2470,$B109,'июнь 2025'!$J$5:$J$2470,AD$1)</f>
        <v>0</v>
      </c>
      <c r="AE109" s="183">
        <f>SUMIFS('июнь 2025'!$G$5:$G$2470,'июнь 2025'!$D$5:$D$2470,$B109,'июнь 2025'!$J$5:$J$2470,AE$1)</f>
        <v>0</v>
      </c>
      <c r="AF109" s="183">
        <f>SUMIFS('июнь 2025'!$G$5:$G$2470,'июнь 2025'!$D$5:$D$2470,$B109,'июнь 2025'!$J$5:$J$2470,AF$1)</f>
        <v>0</v>
      </c>
      <c r="AG109" s="183">
        <f>SUMIFS('июнь 2025'!$G$5:$G$2470,'июнь 2025'!$D$5:$D$2470,$B109,'июнь 2025'!$J$5:$J$2470,AG$1)</f>
        <v>0</v>
      </c>
      <c r="AH109" s="183">
        <f>SUMIFS('июнь 2025'!$G$5:$G$2470,'июнь 2025'!$D$5:$D$2470,$B109,'июнь 2025'!$J$5:$J$2470,AH$1)</f>
        <v>0</v>
      </c>
      <c r="AI109" s="20">
        <f t="shared" si="1"/>
        <v>16</v>
      </c>
    </row>
    <row r="110" spans="2:35" ht="15" customHeight="1" x14ac:dyDescent="0.25">
      <c r="B110" s="87" t="s">
        <v>169</v>
      </c>
      <c r="C110" s="86">
        <v>180</v>
      </c>
      <c r="D110" s="183">
        <f>SUMIFS('июнь 2025'!$G$5:$G$2470,'июнь 2025'!$D$5:$D$2470,$B110,'июнь 2025'!$J$5:$J$2470,D$1)</f>
        <v>0</v>
      </c>
      <c r="E110" s="183">
        <f>SUMIFS('июнь 2025'!$G$5:$G$2470,'июнь 2025'!$D$5:$D$2470,$B110,'июнь 2025'!$J$5:$J$2470,E$1)</f>
        <v>0</v>
      </c>
      <c r="F110" s="183">
        <f>SUMIFS('июнь 2025'!$G$5:$G$2470,'июнь 2025'!$D$5:$D$2470,$B110,'июнь 2025'!$J$5:$J$2470,F$1)</f>
        <v>0</v>
      </c>
      <c r="G110" s="183">
        <f>SUMIFS('июнь 2025'!$G$5:$G$2470,'июнь 2025'!$D$5:$D$2470,$B110,'июнь 2025'!$J$5:$J$2470,G$1)</f>
        <v>0</v>
      </c>
      <c r="H110" s="183">
        <f>SUMIFS('июнь 2025'!$G$5:$G$2470,'июнь 2025'!$D$5:$D$2470,$B110,'июнь 2025'!$J$5:$J$2470,H$1)</f>
        <v>0</v>
      </c>
      <c r="I110" s="183">
        <f>SUMIFS('июнь 2025'!$G$5:$G$2470,'июнь 2025'!$D$5:$D$2470,$B110,'июнь 2025'!$J$5:$J$2470,I$1)</f>
        <v>0</v>
      </c>
      <c r="J110" s="183">
        <f>SUMIFS('июнь 2025'!$G$5:$G$2470,'июнь 2025'!$D$5:$D$2470,$B110,'июнь 2025'!$J$5:$J$2470,J$1)</f>
        <v>0</v>
      </c>
      <c r="K110" s="183">
        <f>SUMIFS('июнь 2025'!$G$5:$G$2470,'июнь 2025'!$D$5:$D$2470,$B110,'июнь 2025'!$J$5:$J$2470,K$1)</f>
        <v>0</v>
      </c>
      <c r="L110" s="183">
        <f>SUMIFS('июнь 2025'!$G$5:$G$2470,'июнь 2025'!$D$5:$D$2470,$B110,'июнь 2025'!$J$5:$J$2470,L$1)</f>
        <v>0</v>
      </c>
      <c r="M110" s="183">
        <f>SUMIFS('июнь 2025'!$G$5:$G$2470,'июнь 2025'!$D$5:$D$2470,$B110,'июнь 2025'!$J$5:$J$2470,M$1)</f>
        <v>0</v>
      </c>
      <c r="N110" s="183">
        <f>SUMIFS('июнь 2025'!$G$5:$G$2470,'июнь 2025'!$D$5:$D$2470,$B110,'июнь 2025'!$J$5:$J$2470,N$1)</f>
        <v>0</v>
      </c>
      <c r="O110" s="183">
        <f>SUMIFS('июнь 2025'!$G$5:$G$2470,'июнь 2025'!$D$5:$D$2470,$B110,'июнь 2025'!$J$5:$J$2470,O$1)</f>
        <v>0</v>
      </c>
      <c r="P110" s="183">
        <f>SUMIFS('июнь 2025'!$G$5:$G$2470,'июнь 2025'!$D$5:$D$2470,$B110,'июнь 2025'!$J$5:$J$2470,P$1)</f>
        <v>0</v>
      </c>
      <c r="Q110" s="183">
        <f>SUMIFS('июнь 2025'!$G$5:$G$2470,'июнь 2025'!$D$5:$D$2470,$B110,'июнь 2025'!$J$5:$J$2470,Q$1)</f>
        <v>0</v>
      </c>
      <c r="R110" s="183">
        <f>SUMIFS('июнь 2025'!$G$5:$G$2470,'июнь 2025'!$D$5:$D$2470,$B110,'июнь 2025'!$J$5:$J$2470,R$1)</f>
        <v>0</v>
      </c>
      <c r="S110" s="183">
        <f>SUMIFS('июнь 2025'!$G$5:$G$2470,'июнь 2025'!$D$5:$D$2470,$B110,'июнь 2025'!$J$5:$J$2470,S$1)</f>
        <v>0</v>
      </c>
      <c r="T110" s="183">
        <f>SUMIFS('июнь 2025'!$G$5:$G$2470,'июнь 2025'!$D$5:$D$2470,$B110,'июнь 2025'!$J$5:$J$2470,T$1)</f>
        <v>0</v>
      </c>
      <c r="U110" s="183">
        <f>SUMIFS('июнь 2025'!$G$5:$G$2470,'июнь 2025'!$D$5:$D$2470,$B110,'июнь 2025'!$J$5:$J$2470,U$1)</f>
        <v>0</v>
      </c>
      <c r="V110" s="183">
        <f>SUMIFS('июнь 2025'!$G$5:$G$2470,'июнь 2025'!$D$5:$D$2470,$B110,'июнь 2025'!$J$5:$J$2470,V$1)</f>
        <v>0</v>
      </c>
      <c r="W110" s="183">
        <f>SUMIFS('июнь 2025'!$G$5:$G$2470,'июнь 2025'!$D$5:$D$2470,$B110,'июнь 2025'!$J$5:$J$2470,W$1)</f>
        <v>0</v>
      </c>
      <c r="X110" s="183">
        <f>SUMIFS('июнь 2025'!$G$5:$G$2470,'июнь 2025'!$D$5:$D$2470,$B110,'июнь 2025'!$J$5:$J$2470,X$1)</f>
        <v>0</v>
      </c>
      <c r="Y110" s="183">
        <f>SUMIFS('июнь 2025'!$G$5:$G$2470,'июнь 2025'!$D$5:$D$2470,$B110,'июнь 2025'!$J$5:$J$2470,Y$1)</f>
        <v>0</v>
      </c>
      <c r="Z110" s="183">
        <f>SUMIFS('июнь 2025'!$G$5:$G$2470,'июнь 2025'!$D$5:$D$2470,$B110,'июнь 2025'!$J$5:$J$2470,Z$1)</f>
        <v>0</v>
      </c>
      <c r="AA110" s="183">
        <f>SUMIFS('июнь 2025'!$G$5:$G$2470,'июнь 2025'!$D$5:$D$2470,$B110,'июнь 2025'!$J$5:$J$2470,AA$1)</f>
        <v>0</v>
      </c>
      <c r="AB110" s="183">
        <f>SUMIFS('июнь 2025'!$G$5:$G$2470,'июнь 2025'!$D$5:$D$2470,$B110,'июнь 2025'!$J$5:$J$2470,AB$1)</f>
        <v>0</v>
      </c>
      <c r="AC110" s="183">
        <f>SUMIFS('июнь 2025'!$G$5:$G$2470,'июнь 2025'!$D$5:$D$2470,$B110,'июнь 2025'!$J$5:$J$2470,AC$1)</f>
        <v>0</v>
      </c>
      <c r="AD110" s="183">
        <f>SUMIFS('июнь 2025'!$G$5:$G$2470,'июнь 2025'!$D$5:$D$2470,$B110,'июнь 2025'!$J$5:$J$2470,AD$1)</f>
        <v>0</v>
      </c>
      <c r="AE110" s="183">
        <f>SUMIFS('июнь 2025'!$G$5:$G$2470,'июнь 2025'!$D$5:$D$2470,$B110,'июнь 2025'!$J$5:$J$2470,AE$1)</f>
        <v>0</v>
      </c>
      <c r="AF110" s="183">
        <f>SUMIFS('июнь 2025'!$G$5:$G$2470,'июнь 2025'!$D$5:$D$2470,$B110,'июнь 2025'!$J$5:$J$2470,AF$1)</f>
        <v>0</v>
      </c>
      <c r="AG110" s="183">
        <f>SUMIFS('июнь 2025'!$G$5:$G$2470,'июнь 2025'!$D$5:$D$2470,$B110,'июнь 2025'!$J$5:$J$2470,AG$1)</f>
        <v>0</v>
      </c>
      <c r="AH110" s="183">
        <f>SUMIFS('июнь 2025'!$G$5:$G$2470,'июнь 2025'!$D$5:$D$2470,$B110,'июнь 2025'!$J$5:$J$2470,AH$1)</f>
        <v>0</v>
      </c>
      <c r="AI110" s="20">
        <f t="shared" si="1"/>
        <v>0</v>
      </c>
    </row>
    <row r="111" spans="2:35" ht="15" customHeight="1" x14ac:dyDescent="0.25">
      <c r="B111" s="84" t="s">
        <v>170</v>
      </c>
      <c r="C111" s="86">
        <v>200</v>
      </c>
      <c r="D111" s="183">
        <f>SUMIFS('июнь 2025'!$G$5:$G$2470,'июнь 2025'!$D$5:$D$2470,$B111,'июнь 2025'!$J$5:$J$2470,D$1)</f>
        <v>0</v>
      </c>
      <c r="E111" s="183">
        <f>SUMIFS('июнь 2025'!$G$5:$G$2470,'июнь 2025'!$D$5:$D$2470,$B111,'июнь 2025'!$J$5:$J$2470,E$1)</f>
        <v>0</v>
      </c>
      <c r="F111" s="183">
        <f>SUMIFS('июнь 2025'!$G$5:$G$2470,'июнь 2025'!$D$5:$D$2470,$B111,'июнь 2025'!$J$5:$J$2470,F$1)</f>
        <v>0</v>
      </c>
      <c r="G111" s="183">
        <f>SUMIFS('июнь 2025'!$G$5:$G$2470,'июнь 2025'!$D$5:$D$2470,$B111,'июнь 2025'!$J$5:$J$2470,G$1)</f>
        <v>0</v>
      </c>
      <c r="H111" s="183">
        <f>SUMIFS('июнь 2025'!$G$5:$G$2470,'июнь 2025'!$D$5:$D$2470,$B111,'июнь 2025'!$J$5:$J$2470,H$1)</f>
        <v>0</v>
      </c>
      <c r="I111" s="183">
        <f>SUMIFS('июнь 2025'!$G$5:$G$2470,'июнь 2025'!$D$5:$D$2470,$B111,'июнь 2025'!$J$5:$J$2470,I$1)</f>
        <v>0</v>
      </c>
      <c r="J111" s="183">
        <f>SUMIFS('июнь 2025'!$G$5:$G$2470,'июнь 2025'!$D$5:$D$2470,$B111,'июнь 2025'!$J$5:$J$2470,J$1)</f>
        <v>0</v>
      </c>
      <c r="K111" s="183">
        <f>SUMIFS('июнь 2025'!$G$5:$G$2470,'июнь 2025'!$D$5:$D$2470,$B111,'июнь 2025'!$J$5:$J$2470,K$1)</f>
        <v>0</v>
      </c>
      <c r="L111" s="183">
        <f>SUMIFS('июнь 2025'!$G$5:$G$2470,'июнь 2025'!$D$5:$D$2470,$B111,'июнь 2025'!$J$5:$J$2470,L$1)</f>
        <v>0</v>
      </c>
      <c r="M111" s="183">
        <f>SUMIFS('июнь 2025'!$G$5:$G$2470,'июнь 2025'!$D$5:$D$2470,$B111,'июнь 2025'!$J$5:$J$2470,M$1)</f>
        <v>0</v>
      </c>
      <c r="N111" s="183">
        <f>SUMIFS('июнь 2025'!$G$5:$G$2470,'июнь 2025'!$D$5:$D$2470,$B111,'июнь 2025'!$J$5:$J$2470,N$1)</f>
        <v>0</v>
      </c>
      <c r="O111" s="183">
        <f>SUMIFS('июнь 2025'!$G$5:$G$2470,'июнь 2025'!$D$5:$D$2470,$B111,'июнь 2025'!$J$5:$J$2470,O$1)</f>
        <v>0</v>
      </c>
      <c r="P111" s="183">
        <f>SUMIFS('июнь 2025'!$G$5:$G$2470,'июнь 2025'!$D$5:$D$2470,$B111,'июнь 2025'!$J$5:$J$2470,P$1)</f>
        <v>0</v>
      </c>
      <c r="Q111" s="183">
        <f>SUMIFS('июнь 2025'!$G$5:$G$2470,'июнь 2025'!$D$5:$D$2470,$B111,'июнь 2025'!$J$5:$J$2470,Q$1)</f>
        <v>0</v>
      </c>
      <c r="R111" s="183">
        <f>SUMIFS('июнь 2025'!$G$5:$G$2470,'июнь 2025'!$D$5:$D$2470,$B111,'июнь 2025'!$J$5:$J$2470,R$1)</f>
        <v>0</v>
      </c>
      <c r="S111" s="183">
        <f>SUMIFS('июнь 2025'!$G$5:$G$2470,'июнь 2025'!$D$5:$D$2470,$B111,'июнь 2025'!$J$5:$J$2470,S$1)</f>
        <v>0</v>
      </c>
      <c r="T111" s="183">
        <f>SUMIFS('июнь 2025'!$G$5:$G$2470,'июнь 2025'!$D$5:$D$2470,$B111,'июнь 2025'!$J$5:$J$2470,T$1)</f>
        <v>0</v>
      </c>
      <c r="U111" s="183">
        <f>SUMIFS('июнь 2025'!$G$5:$G$2470,'июнь 2025'!$D$5:$D$2470,$B111,'июнь 2025'!$J$5:$J$2470,U$1)</f>
        <v>0</v>
      </c>
      <c r="V111" s="183">
        <f>SUMIFS('июнь 2025'!$G$5:$G$2470,'июнь 2025'!$D$5:$D$2470,$B111,'июнь 2025'!$J$5:$J$2470,V$1)</f>
        <v>0</v>
      </c>
      <c r="W111" s="183">
        <f>SUMIFS('июнь 2025'!$G$5:$G$2470,'июнь 2025'!$D$5:$D$2470,$B111,'июнь 2025'!$J$5:$J$2470,W$1)</f>
        <v>0</v>
      </c>
      <c r="X111" s="183">
        <f>SUMIFS('июнь 2025'!$G$5:$G$2470,'июнь 2025'!$D$5:$D$2470,$B111,'июнь 2025'!$J$5:$J$2470,X$1)</f>
        <v>0</v>
      </c>
      <c r="Y111" s="183">
        <f>SUMIFS('июнь 2025'!$G$5:$G$2470,'июнь 2025'!$D$5:$D$2470,$B111,'июнь 2025'!$J$5:$J$2470,Y$1)</f>
        <v>0</v>
      </c>
      <c r="Z111" s="183">
        <f>SUMIFS('июнь 2025'!$G$5:$G$2470,'июнь 2025'!$D$5:$D$2470,$B111,'июнь 2025'!$J$5:$J$2470,Z$1)</f>
        <v>0</v>
      </c>
      <c r="AA111" s="183">
        <f>SUMIFS('июнь 2025'!$G$5:$G$2470,'июнь 2025'!$D$5:$D$2470,$B111,'июнь 2025'!$J$5:$J$2470,AA$1)</f>
        <v>0</v>
      </c>
      <c r="AB111" s="183">
        <f>SUMIFS('июнь 2025'!$G$5:$G$2470,'июнь 2025'!$D$5:$D$2470,$B111,'июнь 2025'!$J$5:$J$2470,AB$1)</f>
        <v>0</v>
      </c>
      <c r="AC111" s="183">
        <f>SUMIFS('июнь 2025'!$G$5:$G$2470,'июнь 2025'!$D$5:$D$2470,$B111,'июнь 2025'!$J$5:$J$2470,AC$1)</f>
        <v>0</v>
      </c>
      <c r="AD111" s="183">
        <f>SUMIFS('июнь 2025'!$G$5:$G$2470,'июнь 2025'!$D$5:$D$2470,$B111,'июнь 2025'!$J$5:$J$2470,AD$1)</f>
        <v>0</v>
      </c>
      <c r="AE111" s="183">
        <f>SUMIFS('июнь 2025'!$G$5:$G$2470,'июнь 2025'!$D$5:$D$2470,$B111,'июнь 2025'!$J$5:$J$2470,AE$1)</f>
        <v>0</v>
      </c>
      <c r="AF111" s="183">
        <f>SUMIFS('июнь 2025'!$G$5:$G$2470,'июнь 2025'!$D$5:$D$2470,$B111,'июнь 2025'!$J$5:$J$2470,AF$1)</f>
        <v>0</v>
      </c>
      <c r="AG111" s="183">
        <f>SUMIFS('июнь 2025'!$G$5:$G$2470,'июнь 2025'!$D$5:$D$2470,$B111,'июнь 2025'!$J$5:$J$2470,AG$1)</f>
        <v>0</v>
      </c>
      <c r="AH111" s="183">
        <f>SUMIFS('июнь 2025'!$G$5:$G$2470,'июнь 2025'!$D$5:$D$2470,$B111,'июнь 2025'!$J$5:$J$2470,AH$1)</f>
        <v>0</v>
      </c>
      <c r="AI111" s="20">
        <f t="shared" si="1"/>
        <v>0</v>
      </c>
    </row>
    <row r="112" spans="2:35" ht="15" customHeight="1" x14ac:dyDescent="0.25">
      <c r="B112" s="84" t="s">
        <v>195</v>
      </c>
      <c r="C112" s="83">
        <v>185</v>
      </c>
      <c r="D112" s="183">
        <f>SUMIFS('июнь 2025'!$G$5:$G$2470,'июнь 2025'!$D$5:$D$2470,$B112,'июнь 2025'!$J$5:$J$2470,D$1)</f>
        <v>0</v>
      </c>
      <c r="E112" s="183">
        <f>SUMIFS('июнь 2025'!$G$5:$G$2470,'июнь 2025'!$D$5:$D$2470,$B112,'июнь 2025'!$J$5:$J$2470,E$1)</f>
        <v>0</v>
      </c>
      <c r="F112" s="183">
        <f>SUMIFS('июнь 2025'!$G$5:$G$2470,'июнь 2025'!$D$5:$D$2470,$B112,'июнь 2025'!$J$5:$J$2470,F$1)</f>
        <v>0</v>
      </c>
      <c r="G112" s="183">
        <f>SUMIFS('июнь 2025'!$G$5:$G$2470,'июнь 2025'!$D$5:$D$2470,$B112,'июнь 2025'!$J$5:$J$2470,G$1)</f>
        <v>0</v>
      </c>
      <c r="H112" s="183">
        <f>SUMIFS('июнь 2025'!$G$5:$G$2470,'июнь 2025'!$D$5:$D$2470,$B112,'июнь 2025'!$J$5:$J$2470,H$1)</f>
        <v>0</v>
      </c>
      <c r="I112" s="183">
        <f>SUMIFS('июнь 2025'!$G$5:$G$2470,'июнь 2025'!$D$5:$D$2470,$B112,'июнь 2025'!$J$5:$J$2470,I$1)</f>
        <v>0</v>
      </c>
      <c r="J112" s="183">
        <f>SUMIFS('июнь 2025'!$G$5:$G$2470,'июнь 2025'!$D$5:$D$2470,$B112,'июнь 2025'!$J$5:$J$2470,J$1)</f>
        <v>0</v>
      </c>
      <c r="K112" s="183">
        <f>SUMIFS('июнь 2025'!$G$5:$G$2470,'июнь 2025'!$D$5:$D$2470,$B112,'июнь 2025'!$J$5:$J$2470,K$1)</f>
        <v>0</v>
      </c>
      <c r="L112" s="183">
        <f>SUMIFS('июнь 2025'!$G$5:$G$2470,'июнь 2025'!$D$5:$D$2470,$B112,'июнь 2025'!$J$5:$J$2470,L$1)</f>
        <v>0</v>
      </c>
      <c r="M112" s="183">
        <f>SUMIFS('июнь 2025'!$G$5:$G$2470,'июнь 2025'!$D$5:$D$2470,$B112,'июнь 2025'!$J$5:$J$2470,M$1)</f>
        <v>0</v>
      </c>
      <c r="N112" s="183">
        <f>SUMIFS('июнь 2025'!$G$5:$G$2470,'июнь 2025'!$D$5:$D$2470,$B112,'июнь 2025'!$J$5:$J$2470,N$1)</f>
        <v>0</v>
      </c>
      <c r="O112" s="183">
        <f>SUMIFS('июнь 2025'!$G$5:$G$2470,'июнь 2025'!$D$5:$D$2470,$B112,'июнь 2025'!$J$5:$J$2470,O$1)</f>
        <v>0</v>
      </c>
      <c r="P112" s="183">
        <f>SUMIFS('июнь 2025'!$G$5:$G$2470,'июнь 2025'!$D$5:$D$2470,$B112,'июнь 2025'!$J$5:$J$2470,P$1)</f>
        <v>0</v>
      </c>
      <c r="Q112" s="183">
        <f>SUMIFS('июнь 2025'!$G$5:$G$2470,'июнь 2025'!$D$5:$D$2470,$B112,'июнь 2025'!$J$5:$J$2470,Q$1)</f>
        <v>0</v>
      </c>
      <c r="R112" s="183">
        <f>SUMIFS('июнь 2025'!$G$5:$G$2470,'июнь 2025'!$D$5:$D$2470,$B112,'июнь 2025'!$J$5:$J$2470,R$1)</f>
        <v>0</v>
      </c>
      <c r="S112" s="183">
        <f>SUMIFS('июнь 2025'!$G$5:$G$2470,'июнь 2025'!$D$5:$D$2470,$B112,'июнь 2025'!$J$5:$J$2470,S$1)</f>
        <v>0</v>
      </c>
      <c r="T112" s="183">
        <f>SUMIFS('июнь 2025'!$G$5:$G$2470,'июнь 2025'!$D$5:$D$2470,$B112,'июнь 2025'!$J$5:$J$2470,T$1)</f>
        <v>0</v>
      </c>
      <c r="U112" s="183">
        <f>SUMIFS('июнь 2025'!$G$5:$G$2470,'июнь 2025'!$D$5:$D$2470,$B112,'июнь 2025'!$J$5:$J$2470,U$1)</f>
        <v>0</v>
      </c>
      <c r="V112" s="183">
        <f>SUMIFS('июнь 2025'!$G$5:$G$2470,'июнь 2025'!$D$5:$D$2470,$B112,'июнь 2025'!$J$5:$J$2470,V$1)</f>
        <v>0</v>
      </c>
      <c r="W112" s="183">
        <f>SUMIFS('июнь 2025'!$G$5:$G$2470,'июнь 2025'!$D$5:$D$2470,$B112,'июнь 2025'!$J$5:$J$2470,W$1)</f>
        <v>0</v>
      </c>
      <c r="X112" s="183">
        <f>SUMIFS('июнь 2025'!$G$5:$G$2470,'июнь 2025'!$D$5:$D$2470,$B112,'июнь 2025'!$J$5:$J$2470,X$1)</f>
        <v>0</v>
      </c>
      <c r="Y112" s="183">
        <f>SUMIFS('июнь 2025'!$G$5:$G$2470,'июнь 2025'!$D$5:$D$2470,$B112,'июнь 2025'!$J$5:$J$2470,Y$1)</f>
        <v>0</v>
      </c>
      <c r="Z112" s="183">
        <f>SUMIFS('июнь 2025'!$G$5:$G$2470,'июнь 2025'!$D$5:$D$2470,$B112,'июнь 2025'!$J$5:$J$2470,Z$1)</f>
        <v>0</v>
      </c>
      <c r="AA112" s="183">
        <f>SUMIFS('июнь 2025'!$G$5:$G$2470,'июнь 2025'!$D$5:$D$2470,$B112,'июнь 2025'!$J$5:$J$2470,AA$1)</f>
        <v>0</v>
      </c>
      <c r="AB112" s="183">
        <f>SUMIFS('июнь 2025'!$G$5:$G$2470,'июнь 2025'!$D$5:$D$2470,$B112,'июнь 2025'!$J$5:$J$2470,AB$1)</f>
        <v>0</v>
      </c>
      <c r="AC112" s="183">
        <f>SUMIFS('июнь 2025'!$G$5:$G$2470,'июнь 2025'!$D$5:$D$2470,$B112,'июнь 2025'!$J$5:$J$2470,AC$1)</f>
        <v>0</v>
      </c>
      <c r="AD112" s="183">
        <f>SUMIFS('июнь 2025'!$G$5:$G$2470,'июнь 2025'!$D$5:$D$2470,$B112,'июнь 2025'!$J$5:$J$2470,AD$1)</f>
        <v>0</v>
      </c>
      <c r="AE112" s="183">
        <f>SUMIFS('июнь 2025'!$G$5:$G$2470,'июнь 2025'!$D$5:$D$2470,$B112,'июнь 2025'!$J$5:$J$2470,AE$1)</f>
        <v>0</v>
      </c>
      <c r="AF112" s="183">
        <f>SUMIFS('июнь 2025'!$G$5:$G$2470,'июнь 2025'!$D$5:$D$2470,$B112,'июнь 2025'!$J$5:$J$2470,AF$1)</f>
        <v>0</v>
      </c>
      <c r="AG112" s="183">
        <f>SUMIFS('июнь 2025'!$G$5:$G$2470,'июнь 2025'!$D$5:$D$2470,$B112,'июнь 2025'!$J$5:$J$2470,AG$1)</f>
        <v>0</v>
      </c>
      <c r="AH112" s="183">
        <f>SUMIFS('июнь 2025'!$G$5:$G$2470,'июнь 2025'!$D$5:$D$2470,$B112,'июнь 2025'!$J$5:$J$2470,AH$1)</f>
        <v>0</v>
      </c>
      <c r="AI112" s="20">
        <f t="shared" si="1"/>
        <v>0</v>
      </c>
    </row>
    <row r="113" spans="2:35" ht="15" customHeight="1" x14ac:dyDescent="0.25">
      <c r="B113" s="84" t="s">
        <v>196</v>
      </c>
      <c r="C113" s="83">
        <v>185</v>
      </c>
      <c r="D113" s="183">
        <f>SUMIFS('июнь 2025'!$G$5:$G$2470,'июнь 2025'!$D$5:$D$2470,$B113,'июнь 2025'!$J$5:$J$2470,D$1)</f>
        <v>0</v>
      </c>
      <c r="E113" s="183">
        <f>SUMIFS('июнь 2025'!$G$5:$G$2470,'июнь 2025'!$D$5:$D$2470,$B113,'июнь 2025'!$J$5:$J$2470,E$1)</f>
        <v>0</v>
      </c>
      <c r="F113" s="183">
        <f>SUMIFS('июнь 2025'!$G$5:$G$2470,'июнь 2025'!$D$5:$D$2470,$B113,'июнь 2025'!$J$5:$J$2470,F$1)</f>
        <v>0</v>
      </c>
      <c r="G113" s="183">
        <f>SUMIFS('июнь 2025'!$G$5:$G$2470,'июнь 2025'!$D$5:$D$2470,$B113,'июнь 2025'!$J$5:$J$2470,G$1)</f>
        <v>0</v>
      </c>
      <c r="H113" s="183">
        <f>SUMIFS('июнь 2025'!$G$5:$G$2470,'июнь 2025'!$D$5:$D$2470,$B113,'июнь 2025'!$J$5:$J$2470,H$1)</f>
        <v>0</v>
      </c>
      <c r="I113" s="183">
        <f>SUMIFS('июнь 2025'!$G$5:$G$2470,'июнь 2025'!$D$5:$D$2470,$B113,'июнь 2025'!$J$5:$J$2470,I$1)</f>
        <v>0</v>
      </c>
      <c r="J113" s="183">
        <f>SUMIFS('июнь 2025'!$G$5:$G$2470,'июнь 2025'!$D$5:$D$2470,$B113,'июнь 2025'!$J$5:$J$2470,J$1)</f>
        <v>0</v>
      </c>
      <c r="K113" s="183">
        <f>SUMIFS('июнь 2025'!$G$5:$G$2470,'июнь 2025'!$D$5:$D$2470,$B113,'июнь 2025'!$J$5:$J$2470,K$1)</f>
        <v>0</v>
      </c>
      <c r="L113" s="183">
        <f>SUMIFS('июнь 2025'!$G$5:$G$2470,'июнь 2025'!$D$5:$D$2470,$B113,'июнь 2025'!$J$5:$J$2470,L$1)</f>
        <v>0</v>
      </c>
      <c r="M113" s="183">
        <f>SUMIFS('июнь 2025'!$G$5:$G$2470,'июнь 2025'!$D$5:$D$2470,$B113,'июнь 2025'!$J$5:$J$2470,M$1)</f>
        <v>0</v>
      </c>
      <c r="N113" s="183">
        <f>SUMIFS('июнь 2025'!$G$5:$G$2470,'июнь 2025'!$D$5:$D$2470,$B113,'июнь 2025'!$J$5:$J$2470,N$1)</f>
        <v>0</v>
      </c>
      <c r="O113" s="183">
        <f>SUMIFS('июнь 2025'!$G$5:$G$2470,'июнь 2025'!$D$5:$D$2470,$B113,'июнь 2025'!$J$5:$J$2470,O$1)</f>
        <v>0</v>
      </c>
      <c r="P113" s="183">
        <f>SUMIFS('июнь 2025'!$G$5:$G$2470,'июнь 2025'!$D$5:$D$2470,$B113,'июнь 2025'!$J$5:$J$2470,P$1)</f>
        <v>0</v>
      </c>
      <c r="Q113" s="183">
        <f>SUMIFS('июнь 2025'!$G$5:$G$2470,'июнь 2025'!$D$5:$D$2470,$B113,'июнь 2025'!$J$5:$J$2470,Q$1)</f>
        <v>0</v>
      </c>
      <c r="R113" s="183">
        <f>SUMIFS('июнь 2025'!$G$5:$G$2470,'июнь 2025'!$D$5:$D$2470,$B113,'июнь 2025'!$J$5:$J$2470,R$1)</f>
        <v>0</v>
      </c>
      <c r="S113" s="183">
        <f>SUMIFS('июнь 2025'!$G$5:$G$2470,'июнь 2025'!$D$5:$D$2470,$B113,'июнь 2025'!$J$5:$J$2470,S$1)</f>
        <v>0</v>
      </c>
      <c r="T113" s="183">
        <f>SUMIFS('июнь 2025'!$G$5:$G$2470,'июнь 2025'!$D$5:$D$2470,$B113,'июнь 2025'!$J$5:$J$2470,T$1)</f>
        <v>0</v>
      </c>
      <c r="U113" s="183">
        <f>SUMIFS('июнь 2025'!$G$5:$G$2470,'июнь 2025'!$D$5:$D$2470,$B113,'июнь 2025'!$J$5:$J$2470,U$1)</f>
        <v>0</v>
      </c>
      <c r="V113" s="183">
        <f>SUMIFS('июнь 2025'!$G$5:$G$2470,'июнь 2025'!$D$5:$D$2470,$B113,'июнь 2025'!$J$5:$J$2470,V$1)</f>
        <v>0</v>
      </c>
      <c r="W113" s="183">
        <f>SUMIFS('июнь 2025'!$G$5:$G$2470,'июнь 2025'!$D$5:$D$2470,$B113,'июнь 2025'!$J$5:$J$2470,W$1)</f>
        <v>0</v>
      </c>
      <c r="X113" s="183">
        <f>SUMIFS('июнь 2025'!$G$5:$G$2470,'июнь 2025'!$D$5:$D$2470,$B113,'июнь 2025'!$J$5:$J$2470,X$1)</f>
        <v>0</v>
      </c>
      <c r="Y113" s="183">
        <f>SUMIFS('июнь 2025'!$G$5:$G$2470,'июнь 2025'!$D$5:$D$2470,$B113,'июнь 2025'!$J$5:$J$2470,Y$1)</f>
        <v>0</v>
      </c>
      <c r="Z113" s="183">
        <f>SUMIFS('июнь 2025'!$G$5:$G$2470,'июнь 2025'!$D$5:$D$2470,$B113,'июнь 2025'!$J$5:$J$2470,Z$1)</f>
        <v>0</v>
      </c>
      <c r="AA113" s="183">
        <f>SUMIFS('июнь 2025'!$G$5:$G$2470,'июнь 2025'!$D$5:$D$2470,$B113,'июнь 2025'!$J$5:$J$2470,AA$1)</f>
        <v>0</v>
      </c>
      <c r="AB113" s="183">
        <f>SUMIFS('июнь 2025'!$G$5:$G$2470,'июнь 2025'!$D$5:$D$2470,$B113,'июнь 2025'!$J$5:$J$2470,AB$1)</f>
        <v>0</v>
      </c>
      <c r="AC113" s="183">
        <f>SUMIFS('июнь 2025'!$G$5:$G$2470,'июнь 2025'!$D$5:$D$2470,$B113,'июнь 2025'!$J$5:$J$2470,AC$1)</f>
        <v>0</v>
      </c>
      <c r="AD113" s="183">
        <f>SUMIFS('июнь 2025'!$G$5:$G$2470,'июнь 2025'!$D$5:$D$2470,$B113,'июнь 2025'!$J$5:$J$2470,AD$1)</f>
        <v>0</v>
      </c>
      <c r="AE113" s="183">
        <f>SUMIFS('июнь 2025'!$G$5:$G$2470,'июнь 2025'!$D$5:$D$2470,$B113,'июнь 2025'!$J$5:$J$2470,AE$1)</f>
        <v>0</v>
      </c>
      <c r="AF113" s="183">
        <f>SUMIFS('июнь 2025'!$G$5:$G$2470,'июнь 2025'!$D$5:$D$2470,$B113,'июнь 2025'!$J$5:$J$2470,AF$1)</f>
        <v>0</v>
      </c>
      <c r="AG113" s="183">
        <f>SUMIFS('июнь 2025'!$G$5:$G$2470,'июнь 2025'!$D$5:$D$2470,$B113,'июнь 2025'!$J$5:$J$2470,AG$1)</f>
        <v>0</v>
      </c>
      <c r="AH113" s="183">
        <f>SUMIFS('июнь 2025'!$G$5:$G$2470,'июнь 2025'!$D$5:$D$2470,$B113,'июнь 2025'!$J$5:$J$2470,AH$1)</f>
        <v>0</v>
      </c>
      <c r="AI113" s="20">
        <f t="shared" si="1"/>
        <v>0</v>
      </c>
    </row>
    <row r="114" spans="2:35" ht="15" customHeight="1" x14ac:dyDescent="0.25">
      <c r="B114" s="84" t="s">
        <v>260</v>
      </c>
      <c r="C114" s="83">
        <v>180</v>
      </c>
      <c r="D114" s="183">
        <f>SUMIFS('июнь 2025'!$G$5:$G$2470,'июнь 2025'!$D$5:$D$2470,$B114,'июнь 2025'!$J$5:$J$2470,D$1)</f>
        <v>0</v>
      </c>
      <c r="E114" s="183">
        <f>SUMIFS('июнь 2025'!$G$5:$G$2470,'июнь 2025'!$D$5:$D$2470,$B114,'июнь 2025'!$J$5:$J$2470,E$1)</f>
        <v>0</v>
      </c>
      <c r="F114" s="183">
        <f>SUMIFS('июнь 2025'!$G$5:$G$2470,'июнь 2025'!$D$5:$D$2470,$B114,'июнь 2025'!$J$5:$J$2470,F$1)</f>
        <v>0</v>
      </c>
      <c r="G114" s="183">
        <f>SUMIFS('июнь 2025'!$G$5:$G$2470,'июнь 2025'!$D$5:$D$2470,$B114,'июнь 2025'!$J$5:$J$2470,G$1)</f>
        <v>0</v>
      </c>
      <c r="H114" s="183">
        <f>SUMIFS('июнь 2025'!$G$5:$G$2470,'июнь 2025'!$D$5:$D$2470,$B114,'июнь 2025'!$J$5:$J$2470,H$1)</f>
        <v>0</v>
      </c>
      <c r="I114" s="183">
        <f>SUMIFS('июнь 2025'!$G$5:$G$2470,'июнь 2025'!$D$5:$D$2470,$B114,'июнь 2025'!$J$5:$J$2470,I$1)</f>
        <v>0</v>
      </c>
      <c r="J114" s="183">
        <f>SUMIFS('июнь 2025'!$G$5:$G$2470,'июнь 2025'!$D$5:$D$2470,$B114,'июнь 2025'!$J$5:$J$2470,J$1)</f>
        <v>0</v>
      </c>
      <c r="K114" s="183">
        <f>SUMIFS('июнь 2025'!$G$5:$G$2470,'июнь 2025'!$D$5:$D$2470,$B114,'июнь 2025'!$J$5:$J$2470,K$1)</f>
        <v>0</v>
      </c>
      <c r="L114" s="183">
        <f>SUMIFS('июнь 2025'!$G$5:$G$2470,'июнь 2025'!$D$5:$D$2470,$B114,'июнь 2025'!$J$5:$J$2470,L$1)</f>
        <v>0</v>
      </c>
      <c r="M114" s="183">
        <f>SUMIFS('июнь 2025'!$G$5:$G$2470,'июнь 2025'!$D$5:$D$2470,$B114,'июнь 2025'!$J$5:$J$2470,M$1)</f>
        <v>0</v>
      </c>
      <c r="N114" s="183">
        <f>SUMIFS('июнь 2025'!$G$5:$G$2470,'июнь 2025'!$D$5:$D$2470,$B114,'июнь 2025'!$J$5:$J$2470,N$1)</f>
        <v>0</v>
      </c>
      <c r="O114" s="183">
        <f>SUMIFS('июнь 2025'!$G$5:$G$2470,'июнь 2025'!$D$5:$D$2470,$B114,'июнь 2025'!$J$5:$J$2470,O$1)</f>
        <v>0</v>
      </c>
      <c r="P114" s="183">
        <f>SUMIFS('июнь 2025'!$G$5:$G$2470,'июнь 2025'!$D$5:$D$2470,$B114,'июнь 2025'!$J$5:$J$2470,P$1)</f>
        <v>0</v>
      </c>
      <c r="Q114" s="183">
        <f>SUMIFS('июнь 2025'!$G$5:$G$2470,'июнь 2025'!$D$5:$D$2470,$B114,'июнь 2025'!$J$5:$J$2470,Q$1)</f>
        <v>0</v>
      </c>
      <c r="R114" s="183">
        <f>SUMIFS('июнь 2025'!$G$5:$G$2470,'июнь 2025'!$D$5:$D$2470,$B114,'июнь 2025'!$J$5:$J$2470,R$1)</f>
        <v>0</v>
      </c>
      <c r="S114" s="183">
        <f>SUMIFS('июнь 2025'!$G$5:$G$2470,'июнь 2025'!$D$5:$D$2470,$B114,'июнь 2025'!$J$5:$J$2470,S$1)</f>
        <v>0</v>
      </c>
      <c r="T114" s="183">
        <f>SUMIFS('июнь 2025'!$G$5:$G$2470,'июнь 2025'!$D$5:$D$2470,$B114,'июнь 2025'!$J$5:$J$2470,T$1)</f>
        <v>0</v>
      </c>
      <c r="U114" s="183">
        <f>SUMIFS('июнь 2025'!$G$5:$G$2470,'июнь 2025'!$D$5:$D$2470,$B114,'июнь 2025'!$J$5:$J$2470,U$1)</f>
        <v>0</v>
      </c>
      <c r="V114" s="183">
        <f>SUMIFS('июнь 2025'!$G$5:$G$2470,'июнь 2025'!$D$5:$D$2470,$B114,'июнь 2025'!$J$5:$J$2470,V$1)</f>
        <v>0</v>
      </c>
      <c r="W114" s="183">
        <f>SUMIFS('июнь 2025'!$G$5:$G$2470,'июнь 2025'!$D$5:$D$2470,$B114,'июнь 2025'!$J$5:$J$2470,W$1)</f>
        <v>0</v>
      </c>
      <c r="X114" s="183">
        <f>SUMIFS('июнь 2025'!$G$5:$G$2470,'июнь 2025'!$D$5:$D$2470,$B114,'июнь 2025'!$J$5:$J$2470,X$1)</f>
        <v>0</v>
      </c>
      <c r="Y114" s="183">
        <f>SUMIFS('июнь 2025'!$G$5:$G$2470,'июнь 2025'!$D$5:$D$2470,$B114,'июнь 2025'!$J$5:$J$2470,Y$1)</f>
        <v>0</v>
      </c>
      <c r="Z114" s="183">
        <f>SUMIFS('июнь 2025'!$G$5:$G$2470,'июнь 2025'!$D$5:$D$2470,$B114,'июнь 2025'!$J$5:$J$2470,Z$1)</f>
        <v>0</v>
      </c>
      <c r="AA114" s="183">
        <f>SUMIFS('июнь 2025'!$G$5:$G$2470,'июнь 2025'!$D$5:$D$2470,$B114,'июнь 2025'!$J$5:$J$2470,AA$1)</f>
        <v>0</v>
      </c>
      <c r="AB114" s="183">
        <f>SUMIFS('июнь 2025'!$G$5:$G$2470,'июнь 2025'!$D$5:$D$2470,$B114,'июнь 2025'!$J$5:$J$2470,AB$1)</f>
        <v>0</v>
      </c>
      <c r="AC114" s="183">
        <f>SUMIFS('июнь 2025'!$G$5:$G$2470,'июнь 2025'!$D$5:$D$2470,$B114,'июнь 2025'!$J$5:$J$2470,AC$1)</f>
        <v>0</v>
      </c>
      <c r="AD114" s="183">
        <f>SUMIFS('июнь 2025'!$G$5:$G$2470,'июнь 2025'!$D$5:$D$2470,$B114,'июнь 2025'!$J$5:$J$2470,AD$1)</f>
        <v>0</v>
      </c>
      <c r="AE114" s="183">
        <f>SUMIFS('июнь 2025'!$G$5:$G$2470,'июнь 2025'!$D$5:$D$2470,$B114,'июнь 2025'!$J$5:$J$2470,AE$1)</f>
        <v>0</v>
      </c>
      <c r="AF114" s="183">
        <f>SUMIFS('июнь 2025'!$G$5:$G$2470,'июнь 2025'!$D$5:$D$2470,$B114,'июнь 2025'!$J$5:$J$2470,AF$1)</f>
        <v>0</v>
      </c>
      <c r="AG114" s="183">
        <f>SUMIFS('июнь 2025'!$G$5:$G$2470,'июнь 2025'!$D$5:$D$2470,$B114,'июнь 2025'!$J$5:$J$2470,AG$1)</f>
        <v>0</v>
      </c>
      <c r="AH114" s="183">
        <f>SUMIFS('июнь 2025'!$G$5:$G$2470,'июнь 2025'!$D$5:$D$2470,$B114,'июнь 2025'!$J$5:$J$2470,AH$1)</f>
        <v>0</v>
      </c>
      <c r="AI114" s="20">
        <f t="shared" si="1"/>
        <v>0</v>
      </c>
    </row>
    <row r="115" spans="2:35" ht="15" customHeight="1" x14ac:dyDescent="0.25">
      <c r="B115" s="88" t="s">
        <v>261</v>
      </c>
      <c r="C115" s="86">
        <v>200</v>
      </c>
      <c r="D115" s="183">
        <f>SUMIFS('июнь 2025'!$G$5:$G$2470,'июнь 2025'!$D$5:$D$2470,$B115,'июнь 2025'!$J$5:$J$2470,D$1)</f>
        <v>0</v>
      </c>
      <c r="E115" s="183">
        <f>SUMIFS('июнь 2025'!$G$5:$G$2470,'июнь 2025'!$D$5:$D$2470,$B115,'июнь 2025'!$J$5:$J$2470,E$1)</f>
        <v>0</v>
      </c>
      <c r="F115" s="183">
        <f>SUMIFS('июнь 2025'!$G$5:$G$2470,'июнь 2025'!$D$5:$D$2470,$B115,'июнь 2025'!$J$5:$J$2470,F$1)</f>
        <v>0</v>
      </c>
      <c r="G115" s="183">
        <f>SUMIFS('июнь 2025'!$G$5:$G$2470,'июнь 2025'!$D$5:$D$2470,$B115,'июнь 2025'!$J$5:$J$2470,G$1)</f>
        <v>0</v>
      </c>
      <c r="H115" s="183">
        <f>SUMIFS('июнь 2025'!$G$5:$G$2470,'июнь 2025'!$D$5:$D$2470,$B115,'июнь 2025'!$J$5:$J$2470,H$1)</f>
        <v>0</v>
      </c>
      <c r="I115" s="183">
        <f>SUMIFS('июнь 2025'!$G$5:$G$2470,'июнь 2025'!$D$5:$D$2470,$B115,'июнь 2025'!$J$5:$J$2470,I$1)</f>
        <v>0</v>
      </c>
      <c r="J115" s="183">
        <f>SUMIFS('июнь 2025'!$G$5:$G$2470,'июнь 2025'!$D$5:$D$2470,$B115,'июнь 2025'!$J$5:$J$2470,J$1)</f>
        <v>0</v>
      </c>
      <c r="K115" s="183">
        <f>SUMIFS('июнь 2025'!$G$5:$G$2470,'июнь 2025'!$D$5:$D$2470,$B115,'июнь 2025'!$J$5:$J$2470,K$1)</f>
        <v>0</v>
      </c>
      <c r="L115" s="183">
        <f>SUMIFS('июнь 2025'!$G$5:$G$2470,'июнь 2025'!$D$5:$D$2470,$B115,'июнь 2025'!$J$5:$J$2470,L$1)</f>
        <v>0</v>
      </c>
      <c r="M115" s="183">
        <f>SUMIFS('июнь 2025'!$G$5:$G$2470,'июнь 2025'!$D$5:$D$2470,$B115,'июнь 2025'!$J$5:$J$2470,M$1)</f>
        <v>0</v>
      </c>
      <c r="N115" s="183">
        <f>SUMIFS('июнь 2025'!$G$5:$G$2470,'июнь 2025'!$D$5:$D$2470,$B115,'июнь 2025'!$J$5:$J$2470,N$1)</f>
        <v>0</v>
      </c>
      <c r="O115" s="183">
        <f>SUMIFS('июнь 2025'!$G$5:$G$2470,'июнь 2025'!$D$5:$D$2470,$B115,'июнь 2025'!$J$5:$J$2470,O$1)</f>
        <v>0</v>
      </c>
      <c r="P115" s="183">
        <f>SUMIFS('июнь 2025'!$G$5:$G$2470,'июнь 2025'!$D$5:$D$2470,$B115,'июнь 2025'!$J$5:$J$2470,P$1)</f>
        <v>0</v>
      </c>
      <c r="Q115" s="183">
        <f>SUMIFS('июнь 2025'!$G$5:$G$2470,'июнь 2025'!$D$5:$D$2470,$B115,'июнь 2025'!$J$5:$J$2470,Q$1)</f>
        <v>0</v>
      </c>
      <c r="R115" s="183">
        <f>SUMIFS('июнь 2025'!$G$5:$G$2470,'июнь 2025'!$D$5:$D$2470,$B115,'июнь 2025'!$J$5:$J$2470,R$1)</f>
        <v>0</v>
      </c>
      <c r="S115" s="183">
        <f>SUMIFS('июнь 2025'!$G$5:$G$2470,'июнь 2025'!$D$5:$D$2470,$B115,'июнь 2025'!$J$5:$J$2470,S$1)</f>
        <v>0</v>
      </c>
      <c r="T115" s="183">
        <f>SUMIFS('июнь 2025'!$G$5:$G$2470,'июнь 2025'!$D$5:$D$2470,$B115,'июнь 2025'!$J$5:$J$2470,T$1)</f>
        <v>0</v>
      </c>
      <c r="U115" s="183">
        <f>SUMIFS('июнь 2025'!$G$5:$G$2470,'июнь 2025'!$D$5:$D$2470,$B115,'июнь 2025'!$J$5:$J$2470,U$1)</f>
        <v>0</v>
      </c>
      <c r="V115" s="183">
        <f>SUMIFS('июнь 2025'!$G$5:$G$2470,'июнь 2025'!$D$5:$D$2470,$B115,'июнь 2025'!$J$5:$J$2470,V$1)</f>
        <v>0</v>
      </c>
      <c r="W115" s="183">
        <f>SUMIFS('июнь 2025'!$G$5:$G$2470,'июнь 2025'!$D$5:$D$2470,$B115,'июнь 2025'!$J$5:$J$2470,W$1)</f>
        <v>0</v>
      </c>
      <c r="X115" s="183">
        <f>SUMIFS('июнь 2025'!$G$5:$G$2470,'июнь 2025'!$D$5:$D$2470,$B115,'июнь 2025'!$J$5:$J$2470,X$1)</f>
        <v>0</v>
      </c>
      <c r="Y115" s="183">
        <f>SUMIFS('июнь 2025'!$G$5:$G$2470,'июнь 2025'!$D$5:$D$2470,$B115,'июнь 2025'!$J$5:$J$2470,Y$1)</f>
        <v>0</v>
      </c>
      <c r="Z115" s="183">
        <f>SUMIFS('июнь 2025'!$G$5:$G$2470,'июнь 2025'!$D$5:$D$2470,$B115,'июнь 2025'!$J$5:$J$2470,Z$1)</f>
        <v>0</v>
      </c>
      <c r="AA115" s="183">
        <f>SUMIFS('июнь 2025'!$G$5:$G$2470,'июнь 2025'!$D$5:$D$2470,$B115,'июнь 2025'!$J$5:$J$2470,AA$1)</f>
        <v>0</v>
      </c>
      <c r="AB115" s="183">
        <f>SUMIFS('июнь 2025'!$G$5:$G$2470,'июнь 2025'!$D$5:$D$2470,$B115,'июнь 2025'!$J$5:$J$2470,AB$1)</f>
        <v>0</v>
      </c>
      <c r="AC115" s="183">
        <f>SUMIFS('июнь 2025'!$G$5:$G$2470,'июнь 2025'!$D$5:$D$2470,$B115,'июнь 2025'!$J$5:$J$2470,AC$1)</f>
        <v>0</v>
      </c>
      <c r="AD115" s="183">
        <f>SUMIFS('июнь 2025'!$G$5:$G$2470,'июнь 2025'!$D$5:$D$2470,$B115,'июнь 2025'!$J$5:$J$2470,AD$1)</f>
        <v>0</v>
      </c>
      <c r="AE115" s="183">
        <f>SUMIFS('июнь 2025'!$G$5:$G$2470,'июнь 2025'!$D$5:$D$2470,$B115,'июнь 2025'!$J$5:$J$2470,AE$1)</f>
        <v>0</v>
      </c>
      <c r="AF115" s="183">
        <f>SUMIFS('июнь 2025'!$G$5:$G$2470,'июнь 2025'!$D$5:$D$2470,$B115,'июнь 2025'!$J$5:$J$2470,AF$1)</f>
        <v>0</v>
      </c>
      <c r="AG115" s="183">
        <f>SUMIFS('июнь 2025'!$G$5:$G$2470,'июнь 2025'!$D$5:$D$2470,$B115,'июнь 2025'!$J$5:$J$2470,AG$1)</f>
        <v>0</v>
      </c>
      <c r="AH115" s="183">
        <f>SUMIFS('июнь 2025'!$G$5:$G$2470,'июнь 2025'!$D$5:$D$2470,$B115,'июнь 2025'!$J$5:$J$2470,AH$1)</f>
        <v>0</v>
      </c>
      <c r="AI115" s="20">
        <f t="shared" si="1"/>
        <v>0</v>
      </c>
    </row>
    <row r="116" spans="2:35" ht="15" customHeight="1" x14ac:dyDescent="0.25">
      <c r="B116" s="88" t="s">
        <v>180</v>
      </c>
      <c r="C116" s="86">
        <v>200</v>
      </c>
      <c r="D116" s="183">
        <f>SUMIFS('июнь 2025'!$G$5:$G$2470,'июнь 2025'!$D$5:$D$2470,$B116,'июнь 2025'!$J$5:$J$2470,D$1)</f>
        <v>0</v>
      </c>
      <c r="E116" s="183">
        <f>SUMIFS('июнь 2025'!$G$5:$G$2470,'июнь 2025'!$D$5:$D$2470,$B116,'июнь 2025'!$J$5:$J$2470,E$1)</f>
        <v>0</v>
      </c>
      <c r="F116" s="183">
        <f>SUMIFS('июнь 2025'!$G$5:$G$2470,'июнь 2025'!$D$5:$D$2470,$B116,'июнь 2025'!$J$5:$J$2470,F$1)</f>
        <v>0</v>
      </c>
      <c r="G116" s="183">
        <f>SUMIFS('июнь 2025'!$G$5:$G$2470,'июнь 2025'!$D$5:$D$2470,$B116,'июнь 2025'!$J$5:$J$2470,G$1)</f>
        <v>0</v>
      </c>
      <c r="H116" s="183">
        <f>SUMIFS('июнь 2025'!$G$5:$G$2470,'июнь 2025'!$D$5:$D$2470,$B116,'июнь 2025'!$J$5:$J$2470,H$1)</f>
        <v>0</v>
      </c>
      <c r="I116" s="183">
        <f>SUMIFS('июнь 2025'!$G$5:$G$2470,'июнь 2025'!$D$5:$D$2470,$B116,'июнь 2025'!$J$5:$J$2470,I$1)</f>
        <v>0</v>
      </c>
      <c r="J116" s="183">
        <f>SUMIFS('июнь 2025'!$G$5:$G$2470,'июнь 2025'!$D$5:$D$2470,$B116,'июнь 2025'!$J$5:$J$2470,J$1)</f>
        <v>0</v>
      </c>
      <c r="K116" s="183">
        <f>SUMIFS('июнь 2025'!$G$5:$G$2470,'июнь 2025'!$D$5:$D$2470,$B116,'июнь 2025'!$J$5:$J$2470,K$1)</f>
        <v>0</v>
      </c>
      <c r="L116" s="183">
        <f>SUMIFS('июнь 2025'!$G$5:$G$2470,'июнь 2025'!$D$5:$D$2470,$B116,'июнь 2025'!$J$5:$J$2470,L$1)</f>
        <v>0</v>
      </c>
      <c r="M116" s="183">
        <f>SUMIFS('июнь 2025'!$G$5:$G$2470,'июнь 2025'!$D$5:$D$2470,$B116,'июнь 2025'!$J$5:$J$2470,M$1)</f>
        <v>0</v>
      </c>
      <c r="N116" s="183">
        <f>SUMIFS('июнь 2025'!$G$5:$G$2470,'июнь 2025'!$D$5:$D$2470,$B116,'июнь 2025'!$J$5:$J$2470,N$1)</f>
        <v>0</v>
      </c>
      <c r="O116" s="183">
        <f>SUMIFS('июнь 2025'!$G$5:$G$2470,'июнь 2025'!$D$5:$D$2470,$B116,'июнь 2025'!$J$5:$J$2470,O$1)</f>
        <v>0</v>
      </c>
      <c r="P116" s="183">
        <f>SUMIFS('июнь 2025'!$G$5:$G$2470,'июнь 2025'!$D$5:$D$2470,$B116,'июнь 2025'!$J$5:$J$2470,P$1)</f>
        <v>0</v>
      </c>
      <c r="Q116" s="183">
        <f>SUMIFS('июнь 2025'!$G$5:$G$2470,'июнь 2025'!$D$5:$D$2470,$B116,'июнь 2025'!$J$5:$J$2470,Q$1)</f>
        <v>0</v>
      </c>
      <c r="R116" s="183">
        <f>SUMIFS('июнь 2025'!$G$5:$G$2470,'июнь 2025'!$D$5:$D$2470,$B116,'июнь 2025'!$J$5:$J$2470,R$1)</f>
        <v>0</v>
      </c>
      <c r="S116" s="183">
        <f>SUMIFS('июнь 2025'!$G$5:$G$2470,'июнь 2025'!$D$5:$D$2470,$B116,'июнь 2025'!$J$5:$J$2470,S$1)</f>
        <v>0</v>
      </c>
      <c r="T116" s="183">
        <f>SUMIFS('июнь 2025'!$G$5:$G$2470,'июнь 2025'!$D$5:$D$2470,$B116,'июнь 2025'!$J$5:$J$2470,T$1)</f>
        <v>0</v>
      </c>
      <c r="U116" s="183">
        <f>SUMIFS('июнь 2025'!$G$5:$G$2470,'июнь 2025'!$D$5:$D$2470,$B116,'июнь 2025'!$J$5:$J$2470,U$1)</f>
        <v>0</v>
      </c>
      <c r="V116" s="183">
        <f>SUMIFS('июнь 2025'!$G$5:$G$2470,'июнь 2025'!$D$5:$D$2470,$B116,'июнь 2025'!$J$5:$J$2470,V$1)</f>
        <v>0</v>
      </c>
      <c r="W116" s="183">
        <f>SUMIFS('июнь 2025'!$G$5:$G$2470,'июнь 2025'!$D$5:$D$2470,$B116,'июнь 2025'!$J$5:$J$2470,W$1)</f>
        <v>0</v>
      </c>
      <c r="X116" s="183">
        <f>SUMIFS('июнь 2025'!$G$5:$G$2470,'июнь 2025'!$D$5:$D$2470,$B116,'июнь 2025'!$J$5:$J$2470,X$1)</f>
        <v>0</v>
      </c>
      <c r="Y116" s="183">
        <f>SUMIFS('июнь 2025'!$G$5:$G$2470,'июнь 2025'!$D$5:$D$2470,$B116,'июнь 2025'!$J$5:$J$2470,Y$1)</f>
        <v>0</v>
      </c>
      <c r="Z116" s="183">
        <f>SUMIFS('июнь 2025'!$G$5:$G$2470,'июнь 2025'!$D$5:$D$2470,$B116,'июнь 2025'!$J$5:$J$2470,Z$1)</f>
        <v>0</v>
      </c>
      <c r="AA116" s="183">
        <f>SUMIFS('июнь 2025'!$G$5:$G$2470,'июнь 2025'!$D$5:$D$2470,$B116,'июнь 2025'!$J$5:$J$2470,AA$1)</f>
        <v>0</v>
      </c>
      <c r="AB116" s="183">
        <f>SUMIFS('июнь 2025'!$G$5:$G$2470,'июнь 2025'!$D$5:$D$2470,$B116,'июнь 2025'!$J$5:$J$2470,AB$1)</f>
        <v>0</v>
      </c>
      <c r="AC116" s="183">
        <f>SUMIFS('июнь 2025'!$G$5:$G$2470,'июнь 2025'!$D$5:$D$2470,$B116,'июнь 2025'!$J$5:$J$2470,AC$1)</f>
        <v>0</v>
      </c>
      <c r="AD116" s="183">
        <f>SUMIFS('июнь 2025'!$G$5:$G$2470,'июнь 2025'!$D$5:$D$2470,$B116,'июнь 2025'!$J$5:$J$2470,AD$1)</f>
        <v>0</v>
      </c>
      <c r="AE116" s="183">
        <f>SUMIFS('июнь 2025'!$G$5:$G$2470,'июнь 2025'!$D$5:$D$2470,$B116,'июнь 2025'!$J$5:$J$2470,AE$1)</f>
        <v>0</v>
      </c>
      <c r="AF116" s="183">
        <f>SUMIFS('июнь 2025'!$G$5:$G$2470,'июнь 2025'!$D$5:$D$2470,$B116,'июнь 2025'!$J$5:$J$2470,AF$1)</f>
        <v>0</v>
      </c>
      <c r="AG116" s="183">
        <f>SUMIFS('июнь 2025'!$G$5:$G$2470,'июнь 2025'!$D$5:$D$2470,$B116,'июнь 2025'!$J$5:$J$2470,AG$1)</f>
        <v>0</v>
      </c>
      <c r="AH116" s="183">
        <f>SUMIFS('июнь 2025'!$G$5:$G$2470,'июнь 2025'!$D$5:$D$2470,$B116,'июнь 2025'!$J$5:$J$2470,AH$1)</f>
        <v>0</v>
      </c>
      <c r="AI116" s="20">
        <f t="shared" si="1"/>
        <v>0</v>
      </c>
    </row>
    <row r="117" spans="2:35" ht="15" customHeight="1" x14ac:dyDescent="0.25">
      <c r="B117" s="88" t="s">
        <v>262</v>
      </c>
      <c r="C117" s="86">
        <v>200</v>
      </c>
      <c r="D117" s="183">
        <f>SUMIFS('июнь 2025'!$G$5:$G$2470,'июнь 2025'!$D$5:$D$2470,$B117,'июнь 2025'!$J$5:$J$2470,D$1)</f>
        <v>0</v>
      </c>
      <c r="E117" s="183">
        <f>SUMIFS('июнь 2025'!$G$5:$G$2470,'июнь 2025'!$D$5:$D$2470,$B117,'июнь 2025'!$J$5:$J$2470,E$1)</f>
        <v>0</v>
      </c>
      <c r="F117" s="183">
        <f>SUMIFS('июнь 2025'!$G$5:$G$2470,'июнь 2025'!$D$5:$D$2470,$B117,'июнь 2025'!$J$5:$J$2470,F$1)</f>
        <v>0</v>
      </c>
      <c r="G117" s="183">
        <f>SUMIFS('июнь 2025'!$G$5:$G$2470,'июнь 2025'!$D$5:$D$2470,$B117,'июнь 2025'!$J$5:$J$2470,G$1)</f>
        <v>0</v>
      </c>
      <c r="H117" s="183">
        <f>SUMIFS('июнь 2025'!$G$5:$G$2470,'июнь 2025'!$D$5:$D$2470,$B117,'июнь 2025'!$J$5:$J$2470,H$1)</f>
        <v>0</v>
      </c>
      <c r="I117" s="183">
        <f>SUMIFS('июнь 2025'!$G$5:$G$2470,'июнь 2025'!$D$5:$D$2470,$B117,'июнь 2025'!$J$5:$J$2470,I$1)</f>
        <v>0</v>
      </c>
      <c r="J117" s="183">
        <f>SUMIFS('июнь 2025'!$G$5:$G$2470,'июнь 2025'!$D$5:$D$2470,$B117,'июнь 2025'!$J$5:$J$2470,J$1)</f>
        <v>0</v>
      </c>
      <c r="K117" s="183">
        <f>SUMIFS('июнь 2025'!$G$5:$G$2470,'июнь 2025'!$D$5:$D$2470,$B117,'июнь 2025'!$J$5:$J$2470,K$1)</f>
        <v>0</v>
      </c>
      <c r="L117" s="183">
        <f>SUMIFS('июнь 2025'!$G$5:$G$2470,'июнь 2025'!$D$5:$D$2470,$B117,'июнь 2025'!$J$5:$J$2470,L$1)</f>
        <v>0</v>
      </c>
      <c r="M117" s="183">
        <f>SUMIFS('июнь 2025'!$G$5:$G$2470,'июнь 2025'!$D$5:$D$2470,$B117,'июнь 2025'!$J$5:$J$2470,M$1)</f>
        <v>0</v>
      </c>
      <c r="N117" s="183">
        <f>SUMIFS('июнь 2025'!$G$5:$G$2470,'июнь 2025'!$D$5:$D$2470,$B117,'июнь 2025'!$J$5:$J$2470,N$1)</f>
        <v>0</v>
      </c>
      <c r="O117" s="183">
        <f>SUMIFS('июнь 2025'!$G$5:$G$2470,'июнь 2025'!$D$5:$D$2470,$B117,'июнь 2025'!$J$5:$J$2470,O$1)</f>
        <v>0</v>
      </c>
      <c r="P117" s="183">
        <f>SUMIFS('июнь 2025'!$G$5:$G$2470,'июнь 2025'!$D$5:$D$2470,$B117,'июнь 2025'!$J$5:$J$2470,P$1)</f>
        <v>0</v>
      </c>
      <c r="Q117" s="183">
        <f>SUMIFS('июнь 2025'!$G$5:$G$2470,'июнь 2025'!$D$5:$D$2470,$B117,'июнь 2025'!$J$5:$J$2470,Q$1)</f>
        <v>0</v>
      </c>
      <c r="R117" s="183">
        <f>SUMIFS('июнь 2025'!$G$5:$G$2470,'июнь 2025'!$D$5:$D$2470,$B117,'июнь 2025'!$J$5:$J$2470,R$1)</f>
        <v>0</v>
      </c>
      <c r="S117" s="183">
        <f>SUMIFS('июнь 2025'!$G$5:$G$2470,'июнь 2025'!$D$5:$D$2470,$B117,'июнь 2025'!$J$5:$J$2470,S$1)</f>
        <v>0</v>
      </c>
      <c r="T117" s="183">
        <f>SUMIFS('июнь 2025'!$G$5:$G$2470,'июнь 2025'!$D$5:$D$2470,$B117,'июнь 2025'!$J$5:$J$2470,T$1)</f>
        <v>0</v>
      </c>
      <c r="U117" s="183">
        <f>SUMIFS('июнь 2025'!$G$5:$G$2470,'июнь 2025'!$D$5:$D$2470,$B117,'июнь 2025'!$J$5:$J$2470,U$1)</f>
        <v>0</v>
      </c>
      <c r="V117" s="183">
        <f>SUMIFS('июнь 2025'!$G$5:$G$2470,'июнь 2025'!$D$5:$D$2470,$B117,'июнь 2025'!$J$5:$J$2470,V$1)</f>
        <v>0</v>
      </c>
      <c r="W117" s="183">
        <f>SUMIFS('июнь 2025'!$G$5:$G$2470,'июнь 2025'!$D$5:$D$2470,$B117,'июнь 2025'!$J$5:$J$2470,W$1)</f>
        <v>0</v>
      </c>
      <c r="X117" s="183">
        <f>SUMIFS('июнь 2025'!$G$5:$G$2470,'июнь 2025'!$D$5:$D$2470,$B117,'июнь 2025'!$J$5:$J$2470,X$1)</f>
        <v>0</v>
      </c>
      <c r="Y117" s="183">
        <f>SUMIFS('июнь 2025'!$G$5:$G$2470,'июнь 2025'!$D$5:$D$2470,$B117,'июнь 2025'!$J$5:$J$2470,Y$1)</f>
        <v>0</v>
      </c>
      <c r="Z117" s="183">
        <f>SUMIFS('июнь 2025'!$G$5:$G$2470,'июнь 2025'!$D$5:$D$2470,$B117,'июнь 2025'!$J$5:$J$2470,Z$1)</f>
        <v>0</v>
      </c>
      <c r="AA117" s="183">
        <f>SUMIFS('июнь 2025'!$G$5:$G$2470,'июнь 2025'!$D$5:$D$2470,$B117,'июнь 2025'!$J$5:$J$2470,AA$1)</f>
        <v>0</v>
      </c>
      <c r="AB117" s="183">
        <f>SUMIFS('июнь 2025'!$G$5:$G$2470,'июнь 2025'!$D$5:$D$2470,$B117,'июнь 2025'!$J$5:$J$2470,AB$1)</f>
        <v>0</v>
      </c>
      <c r="AC117" s="183">
        <f>SUMIFS('июнь 2025'!$G$5:$G$2470,'июнь 2025'!$D$5:$D$2470,$B117,'июнь 2025'!$J$5:$J$2470,AC$1)</f>
        <v>0</v>
      </c>
      <c r="AD117" s="183">
        <f>SUMIFS('июнь 2025'!$G$5:$G$2470,'июнь 2025'!$D$5:$D$2470,$B117,'июнь 2025'!$J$5:$J$2470,AD$1)</f>
        <v>0</v>
      </c>
      <c r="AE117" s="183">
        <f>SUMIFS('июнь 2025'!$G$5:$G$2470,'июнь 2025'!$D$5:$D$2470,$B117,'июнь 2025'!$J$5:$J$2470,AE$1)</f>
        <v>0</v>
      </c>
      <c r="AF117" s="183">
        <f>SUMIFS('июнь 2025'!$G$5:$G$2470,'июнь 2025'!$D$5:$D$2470,$B117,'июнь 2025'!$J$5:$J$2470,AF$1)</f>
        <v>0</v>
      </c>
      <c r="AG117" s="183">
        <f>SUMIFS('июнь 2025'!$G$5:$G$2470,'июнь 2025'!$D$5:$D$2470,$B117,'июнь 2025'!$J$5:$J$2470,AG$1)</f>
        <v>0</v>
      </c>
      <c r="AH117" s="183">
        <f>SUMIFS('июнь 2025'!$G$5:$G$2470,'июнь 2025'!$D$5:$D$2470,$B117,'июнь 2025'!$J$5:$J$2470,AH$1)</f>
        <v>0</v>
      </c>
      <c r="AI117" s="20">
        <f t="shared" si="1"/>
        <v>0</v>
      </c>
    </row>
    <row r="118" spans="2:35" ht="15" customHeight="1" x14ac:dyDescent="0.25">
      <c r="B118" s="88" t="s">
        <v>263</v>
      </c>
      <c r="C118" s="86">
        <v>200</v>
      </c>
      <c r="D118" s="183">
        <f>SUMIFS('июнь 2025'!$G$5:$G$2470,'июнь 2025'!$D$5:$D$2470,$B118,'июнь 2025'!$J$5:$J$2470,D$1)</f>
        <v>0</v>
      </c>
      <c r="E118" s="183">
        <f>SUMIFS('июнь 2025'!$G$5:$G$2470,'июнь 2025'!$D$5:$D$2470,$B118,'июнь 2025'!$J$5:$J$2470,E$1)</f>
        <v>0</v>
      </c>
      <c r="F118" s="183">
        <f>SUMIFS('июнь 2025'!$G$5:$G$2470,'июнь 2025'!$D$5:$D$2470,$B118,'июнь 2025'!$J$5:$J$2470,F$1)</f>
        <v>0</v>
      </c>
      <c r="G118" s="183">
        <f>SUMIFS('июнь 2025'!$G$5:$G$2470,'июнь 2025'!$D$5:$D$2470,$B118,'июнь 2025'!$J$5:$J$2470,G$1)</f>
        <v>0</v>
      </c>
      <c r="H118" s="183">
        <f>SUMIFS('июнь 2025'!$G$5:$G$2470,'июнь 2025'!$D$5:$D$2470,$B118,'июнь 2025'!$J$5:$J$2470,H$1)</f>
        <v>0</v>
      </c>
      <c r="I118" s="183">
        <f>SUMIFS('июнь 2025'!$G$5:$G$2470,'июнь 2025'!$D$5:$D$2470,$B118,'июнь 2025'!$J$5:$J$2470,I$1)</f>
        <v>0</v>
      </c>
      <c r="J118" s="183">
        <f>SUMIFS('июнь 2025'!$G$5:$G$2470,'июнь 2025'!$D$5:$D$2470,$B118,'июнь 2025'!$J$5:$J$2470,J$1)</f>
        <v>0</v>
      </c>
      <c r="K118" s="183">
        <f>SUMIFS('июнь 2025'!$G$5:$G$2470,'июнь 2025'!$D$5:$D$2470,$B118,'июнь 2025'!$J$5:$J$2470,K$1)</f>
        <v>0</v>
      </c>
      <c r="L118" s="183">
        <f>SUMIFS('июнь 2025'!$G$5:$G$2470,'июнь 2025'!$D$5:$D$2470,$B118,'июнь 2025'!$J$5:$J$2470,L$1)</f>
        <v>0</v>
      </c>
      <c r="M118" s="183">
        <f>SUMIFS('июнь 2025'!$G$5:$G$2470,'июнь 2025'!$D$5:$D$2470,$B118,'июнь 2025'!$J$5:$J$2470,M$1)</f>
        <v>0</v>
      </c>
      <c r="N118" s="183">
        <f>SUMIFS('июнь 2025'!$G$5:$G$2470,'июнь 2025'!$D$5:$D$2470,$B118,'июнь 2025'!$J$5:$J$2470,N$1)</f>
        <v>0</v>
      </c>
      <c r="O118" s="183">
        <f>SUMIFS('июнь 2025'!$G$5:$G$2470,'июнь 2025'!$D$5:$D$2470,$B118,'июнь 2025'!$J$5:$J$2470,O$1)</f>
        <v>0</v>
      </c>
      <c r="P118" s="183">
        <f>SUMIFS('июнь 2025'!$G$5:$G$2470,'июнь 2025'!$D$5:$D$2470,$B118,'июнь 2025'!$J$5:$J$2470,P$1)</f>
        <v>0</v>
      </c>
      <c r="Q118" s="183">
        <f>SUMIFS('июнь 2025'!$G$5:$G$2470,'июнь 2025'!$D$5:$D$2470,$B118,'июнь 2025'!$J$5:$J$2470,Q$1)</f>
        <v>0</v>
      </c>
      <c r="R118" s="183">
        <f>SUMIFS('июнь 2025'!$G$5:$G$2470,'июнь 2025'!$D$5:$D$2470,$B118,'июнь 2025'!$J$5:$J$2470,R$1)</f>
        <v>0</v>
      </c>
      <c r="S118" s="183">
        <f>SUMIFS('июнь 2025'!$G$5:$G$2470,'июнь 2025'!$D$5:$D$2470,$B118,'июнь 2025'!$J$5:$J$2470,S$1)</f>
        <v>0</v>
      </c>
      <c r="T118" s="183">
        <f>SUMIFS('июнь 2025'!$G$5:$G$2470,'июнь 2025'!$D$5:$D$2470,$B118,'июнь 2025'!$J$5:$J$2470,T$1)</f>
        <v>0</v>
      </c>
      <c r="U118" s="183">
        <f>SUMIFS('июнь 2025'!$G$5:$G$2470,'июнь 2025'!$D$5:$D$2470,$B118,'июнь 2025'!$J$5:$J$2470,U$1)</f>
        <v>0</v>
      </c>
      <c r="V118" s="183">
        <f>SUMIFS('июнь 2025'!$G$5:$G$2470,'июнь 2025'!$D$5:$D$2470,$B118,'июнь 2025'!$J$5:$J$2470,V$1)</f>
        <v>0</v>
      </c>
      <c r="W118" s="183">
        <f>SUMIFS('июнь 2025'!$G$5:$G$2470,'июнь 2025'!$D$5:$D$2470,$B118,'июнь 2025'!$J$5:$J$2470,W$1)</f>
        <v>0</v>
      </c>
      <c r="X118" s="183">
        <f>SUMIFS('июнь 2025'!$G$5:$G$2470,'июнь 2025'!$D$5:$D$2470,$B118,'июнь 2025'!$J$5:$J$2470,X$1)</f>
        <v>0</v>
      </c>
      <c r="Y118" s="183">
        <f>SUMIFS('июнь 2025'!$G$5:$G$2470,'июнь 2025'!$D$5:$D$2470,$B118,'июнь 2025'!$J$5:$J$2470,Y$1)</f>
        <v>0</v>
      </c>
      <c r="Z118" s="183">
        <f>SUMIFS('июнь 2025'!$G$5:$G$2470,'июнь 2025'!$D$5:$D$2470,$B118,'июнь 2025'!$J$5:$J$2470,Z$1)</f>
        <v>0</v>
      </c>
      <c r="AA118" s="183">
        <f>SUMIFS('июнь 2025'!$G$5:$G$2470,'июнь 2025'!$D$5:$D$2470,$B118,'июнь 2025'!$J$5:$J$2470,AA$1)</f>
        <v>0</v>
      </c>
      <c r="AB118" s="183">
        <f>SUMIFS('июнь 2025'!$G$5:$G$2470,'июнь 2025'!$D$5:$D$2470,$B118,'июнь 2025'!$J$5:$J$2470,AB$1)</f>
        <v>0</v>
      </c>
      <c r="AC118" s="183">
        <f>SUMIFS('июнь 2025'!$G$5:$G$2470,'июнь 2025'!$D$5:$D$2470,$B118,'июнь 2025'!$J$5:$J$2470,AC$1)</f>
        <v>0</v>
      </c>
      <c r="AD118" s="183">
        <f>SUMIFS('июнь 2025'!$G$5:$G$2470,'июнь 2025'!$D$5:$D$2470,$B118,'июнь 2025'!$J$5:$J$2470,AD$1)</f>
        <v>0</v>
      </c>
      <c r="AE118" s="183">
        <f>SUMIFS('июнь 2025'!$G$5:$G$2470,'июнь 2025'!$D$5:$D$2470,$B118,'июнь 2025'!$J$5:$J$2470,AE$1)</f>
        <v>0</v>
      </c>
      <c r="AF118" s="183">
        <f>SUMIFS('июнь 2025'!$G$5:$G$2470,'июнь 2025'!$D$5:$D$2470,$B118,'июнь 2025'!$J$5:$J$2470,AF$1)</f>
        <v>0</v>
      </c>
      <c r="AG118" s="183">
        <f>SUMIFS('июнь 2025'!$G$5:$G$2470,'июнь 2025'!$D$5:$D$2470,$B118,'июнь 2025'!$J$5:$J$2470,AG$1)</f>
        <v>0</v>
      </c>
      <c r="AH118" s="183">
        <f>SUMIFS('июнь 2025'!$G$5:$G$2470,'июнь 2025'!$D$5:$D$2470,$B118,'июнь 2025'!$J$5:$J$2470,AH$1)</f>
        <v>0</v>
      </c>
      <c r="AI118" s="20">
        <f t="shared" si="1"/>
        <v>0</v>
      </c>
    </row>
    <row r="119" spans="2:35" ht="15" customHeight="1" x14ac:dyDescent="0.25">
      <c r="B119" s="84" t="s">
        <v>208</v>
      </c>
      <c r="C119" s="83">
        <v>25</v>
      </c>
      <c r="D119" s="183">
        <f>SUMIFS('июнь 2025'!$G$5:$G$2470,'июнь 2025'!$D$5:$D$2470,$B119,'июнь 2025'!$J$5:$J$2470,D$1)</f>
        <v>0</v>
      </c>
      <c r="E119" s="183">
        <f>SUMIFS('июнь 2025'!$G$5:$G$2470,'июнь 2025'!$D$5:$D$2470,$B119,'июнь 2025'!$J$5:$J$2470,E$1)</f>
        <v>0</v>
      </c>
      <c r="F119" s="183">
        <f>SUMIFS('июнь 2025'!$G$5:$G$2470,'июнь 2025'!$D$5:$D$2470,$B119,'июнь 2025'!$J$5:$J$2470,F$1)</f>
        <v>0</v>
      </c>
      <c r="G119" s="183">
        <f>SUMIFS('июнь 2025'!$G$5:$G$2470,'июнь 2025'!$D$5:$D$2470,$B119,'июнь 2025'!$J$5:$J$2470,G$1)</f>
        <v>0</v>
      </c>
      <c r="H119" s="183">
        <f>SUMIFS('июнь 2025'!$G$5:$G$2470,'июнь 2025'!$D$5:$D$2470,$B119,'июнь 2025'!$J$5:$J$2470,H$1)</f>
        <v>0</v>
      </c>
      <c r="I119" s="183">
        <f>SUMIFS('июнь 2025'!$G$5:$G$2470,'июнь 2025'!$D$5:$D$2470,$B119,'июнь 2025'!$J$5:$J$2470,I$1)</f>
        <v>0</v>
      </c>
      <c r="J119" s="183">
        <f>SUMIFS('июнь 2025'!$G$5:$G$2470,'июнь 2025'!$D$5:$D$2470,$B119,'июнь 2025'!$J$5:$J$2470,J$1)</f>
        <v>0</v>
      </c>
      <c r="K119" s="183">
        <f>SUMIFS('июнь 2025'!$G$5:$G$2470,'июнь 2025'!$D$5:$D$2470,$B119,'июнь 2025'!$J$5:$J$2470,K$1)</f>
        <v>0</v>
      </c>
      <c r="L119" s="183">
        <f>SUMIFS('июнь 2025'!$G$5:$G$2470,'июнь 2025'!$D$5:$D$2470,$B119,'июнь 2025'!$J$5:$J$2470,L$1)</f>
        <v>0</v>
      </c>
      <c r="M119" s="183">
        <f>SUMIFS('июнь 2025'!$G$5:$G$2470,'июнь 2025'!$D$5:$D$2470,$B119,'июнь 2025'!$J$5:$J$2470,M$1)</f>
        <v>0</v>
      </c>
      <c r="N119" s="183">
        <f>SUMIFS('июнь 2025'!$G$5:$G$2470,'июнь 2025'!$D$5:$D$2470,$B119,'июнь 2025'!$J$5:$J$2470,N$1)</f>
        <v>0</v>
      </c>
      <c r="O119" s="183">
        <f>SUMIFS('июнь 2025'!$G$5:$G$2470,'июнь 2025'!$D$5:$D$2470,$B119,'июнь 2025'!$J$5:$J$2470,O$1)</f>
        <v>0</v>
      </c>
      <c r="P119" s="183">
        <f>SUMIFS('июнь 2025'!$G$5:$G$2470,'июнь 2025'!$D$5:$D$2470,$B119,'июнь 2025'!$J$5:$J$2470,P$1)</f>
        <v>0</v>
      </c>
      <c r="Q119" s="183">
        <f>SUMIFS('июнь 2025'!$G$5:$G$2470,'июнь 2025'!$D$5:$D$2470,$B119,'июнь 2025'!$J$5:$J$2470,Q$1)</f>
        <v>0</v>
      </c>
      <c r="R119" s="183">
        <f>SUMIFS('июнь 2025'!$G$5:$G$2470,'июнь 2025'!$D$5:$D$2470,$B119,'июнь 2025'!$J$5:$J$2470,R$1)</f>
        <v>0</v>
      </c>
      <c r="S119" s="183">
        <f>SUMIFS('июнь 2025'!$G$5:$G$2470,'июнь 2025'!$D$5:$D$2470,$B119,'июнь 2025'!$J$5:$J$2470,S$1)</f>
        <v>0</v>
      </c>
      <c r="T119" s="183">
        <f>SUMIFS('июнь 2025'!$G$5:$G$2470,'июнь 2025'!$D$5:$D$2470,$B119,'июнь 2025'!$J$5:$J$2470,T$1)</f>
        <v>0</v>
      </c>
      <c r="U119" s="183">
        <f>SUMIFS('июнь 2025'!$G$5:$G$2470,'июнь 2025'!$D$5:$D$2470,$B119,'июнь 2025'!$J$5:$J$2470,U$1)</f>
        <v>0</v>
      </c>
      <c r="V119" s="183">
        <f>SUMIFS('июнь 2025'!$G$5:$G$2470,'июнь 2025'!$D$5:$D$2470,$B119,'июнь 2025'!$J$5:$J$2470,V$1)</f>
        <v>0</v>
      </c>
      <c r="W119" s="183">
        <f>SUMIFS('июнь 2025'!$G$5:$G$2470,'июнь 2025'!$D$5:$D$2470,$B119,'июнь 2025'!$J$5:$J$2470,W$1)</f>
        <v>0</v>
      </c>
      <c r="X119" s="183">
        <f>SUMIFS('июнь 2025'!$G$5:$G$2470,'июнь 2025'!$D$5:$D$2470,$B119,'июнь 2025'!$J$5:$J$2470,X$1)</f>
        <v>0</v>
      </c>
      <c r="Y119" s="183">
        <f>SUMIFS('июнь 2025'!$G$5:$G$2470,'июнь 2025'!$D$5:$D$2470,$B119,'июнь 2025'!$J$5:$J$2470,Y$1)</f>
        <v>0</v>
      </c>
      <c r="Z119" s="183">
        <f>SUMIFS('июнь 2025'!$G$5:$G$2470,'июнь 2025'!$D$5:$D$2470,$B119,'июнь 2025'!$J$5:$J$2470,Z$1)</f>
        <v>0</v>
      </c>
      <c r="AA119" s="183">
        <f>SUMIFS('июнь 2025'!$G$5:$G$2470,'июнь 2025'!$D$5:$D$2470,$B119,'июнь 2025'!$J$5:$J$2470,AA$1)</f>
        <v>0</v>
      </c>
      <c r="AB119" s="183">
        <f>SUMIFS('июнь 2025'!$G$5:$G$2470,'июнь 2025'!$D$5:$D$2470,$B119,'июнь 2025'!$J$5:$J$2470,AB$1)</f>
        <v>0</v>
      </c>
      <c r="AC119" s="183">
        <f>SUMIFS('июнь 2025'!$G$5:$G$2470,'июнь 2025'!$D$5:$D$2470,$B119,'июнь 2025'!$J$5:$J$2470,AC$1)</f>
        <v>0</v>
      </c>
      <c r="AD119" s="183">
        <f>SUMIFS('июнь 2025'!$G$5:$G$2470,'июнь 2025'!$D$5:$D$2470,$B119,'июнь 2025'!$J$5:$J$2470,AD$1)</f>
        <v>0</v>
      </c>
      <c r="AE119" s="183">
        <f>SUMIFS('июнь 2025'!$G$5:$G$2470,'июнь 2025'!$D$5:$D$2470,$B119,'июнь 2025'!$J$5:$J$2470,AE$1)</f>
        <v>0</v>
      </c>
      <c r="AF119" s="183">
        <f>SUMIFS('июнь 2025'!$G$5:$G$2470,'июнь 2025'!$D$5:$D$2470,$B119,'июнь 2025'!$J$5:$J$2470,AF$1)</f>
        <v>0</v>
      </c>
      <c r="AG119" s="183">
        <f>SUMIFS('июнь 2025'!$G$5:$G$2470,'июнь 2025'!$D$5:$D$2470,$B119,'июнь 2025'!$J$5:$J$2470,AG$1)</f>
        <v>0</v>
      </c>
      <c r="AH119" s="183">
        <f>SUMIFS('июнь 2025'!$G$5:$G$2470,'июнь 2025'!$D$5:$D$2470,$B119,'июнь 2025'!$J$5:$J$2470,AH$1)</f>
        <v>0</v>
      </c>
      <c r="AI119" s="20">
        <f t="shared" si="1"/>
        <v>0</v>
      </c>
    </row>
    <row r="120" spans="2:35" ht="15" customHeight="1" x14ac:dyDescent="0.25">
      <c r="B120" s="88" t="s">
        <v>264</v>
      </c>
      <c r="C120" s="86">
        <v>50</v>
      </c>
      <c r="D120" s="183">
        <f>SUMIFS('июнь 2025'!$G$5:$G$2470,'июнь 2025'!$D$5:$D$2470,$B120,'июнь 2025'!$J$5:$J$2470,D$1)</f>
        <v>0</v>
      </c>
      <c r="E120" s="183">
        <f>SUMIFS('июнь 2025'!$G$5:$G$2470,'июнь 2025'!$D$5:$D$2470,$B120,'июнь 2025'!$J$5:$J$2470,E$1)</f>
        <v>0</v>
      </c>
      <c r="F120" s="183">
        <f>SUMIFS('июнь 2025'!$G$5:$G$2470,'июнь 2025'!$D$5:$D$2470,$B120,'июнь 2025'!$J$5:$J$2470,F$1)</f>
        <v>0</v>
      </c>
      <c r="G120" s="183">
        <f>SUMIFS('июнь 2025'!$G$5:$G$2470,'июнь 2025'!$D$5:$D$2470,$B120,'июнь 2025'!$J$5:$J$2470,G$1)</f>
        <v>0</v>
      </c>
      <c r="H120" s="183">
        <f>SUMIFS('июнь 2025'!$G$5:$G$2470,'июнь 2025'!$D$5:$D$2470,$B120,'июнь 2025'!$J$5:$J$2470,H$1)</f>
        <v>0</v>
      </c>
      <c r="I120" s="183">
        <f>SUMIFS('июнь 2025'!$G$5:$G$2470,'июнь 2025'!$D$5:$D$2470,$B120,'июнь 2025'!$J$5:$J$2470,I$1)</f>
        <v>0</v>
      </c>
      <c r="J120" s="183">
        <f>SUMIFS('июнь 2025'!$G$5:$G$2470,'июнь 2025'!$D$5:$D$2470,$B120,'июнь 2025'!$J$5:$J$2470,J$1)</f>
        <v>0</v>
      </c>
      <c r="K120" s="183">
        <f>SUMIFS('июнь 2025'!$G$5:$G$2470,'июнь 2025'!$D$5:$D$2470,$B120,'июнь 2025'!$J$5:$J$2470,K$1)</f>
        <v>0</v>
      </c>
      <c r="L120" s="183">
        <f>SUMIFS('июнь 2025'!$G$5:$G$2470,'июнь 2025'!$D$5:$D$2470,$B120,'июнь 2025'!$J$5:$J$2470,L$1)</f>
        <v>0</v>
      </c>
      <c r="M120" s="183">
        <f>SUMIFS('июнь 2025'!$G$5:$G$2470,'июнь 2025'!$D$5:$D$2470,$B120,'июнь 2025'!$J$5:$J$2470,M$1)</f>
        <v>0</v>
      </c>
      <c r="N120" s="183">
        <f>SUMIFS('июнь 2025'!$G$5:$G$2470,'июнь 2025'!$D$5:$D$2470,$B120,'июнь 2025'!$J$5:$J$2470,N$1)</f>
        <v>0</v>
      </c>
      <c r="O120" s="183">
        <f>SUMIFS('июнь 2025'!$G$5:$G$2470,'июнь 2025'!$D$5:$D$2470,$B120,'июнь 2025'!$J$5:$J$2470,O$1)</f>
        <v>0</v>
      </c>
      <c r="P120" s="183">
        <f>SUMIFS('июнь 2025'!$G$5:$G$2470,'июнь 2025'!$D$5:$D$2470,$B120,'июнь 2025'!$J$5:$J$2470,P$1)</f>
        <v>0</v>
      </c>
      <c r="Q120" s="183">
        <f>SUMIFS('июнь 2025'!$G$5:$G$2470,'июнь 2025'!$D$5:$D$2470,$B120,'июнь 2025'!$J$5:$J$2470,Q$1)</f>
        <v>0</v>
      </c>
      <c r="R120" s="183">
        <f>SUMIFS('июнь 2025'!$G$5:$G$2470,'июнь 2025'!$D$5:$D$2470,$B120,'июнь 2025'!$J$5:$J$2470,R$1)</f>
        <v>0</v>
      </c>
      <c r="S120" s="183">
        <f>SUMIFS('июнь 2025'!$G$5:$G$2470,'июнь 2025'!$D$5:$D$2470,$B120,'июнь 2025'!$J$5:$J$2470,S$1)</f>
        <v>0</v>
      </c>
      <c r="T120" s="183">
        <f>SUMIFS('июнь 2025'!$G$5:$G$2470,'июнь 2025'!$D$5:$D$2470,$B120,'июнь 2025'!$J$5:$J$2470,T$1)</f>
        <v>0</v>
      </c>
      <c r="U120" s="183">
        <f>SUMIFS('июнь 2025'!$G$5:$G$2470,'июнь 2025'!$D$5:$D$2470,$B120,'июнь 2025'!$J$5:$J$2470,U$1)</f>
        <v>0</v>
      </c>
      <c r="V120" s="183">
        <f>SUMIFS('июнь 2025'!$G$5:$G$2470,'июнь 2025'!$D$5:$D$2470,$B120,'июнь 2025'!$J$5:$J$2470,V$1)</f>
        <v>0</v>
      </c>
      <c r="W120" s="183">
        <f>SUMIFS('июнь 2025'!$G$5:$G$2470,'июнь 2025'!$D$5:$D$2470,$B120,'июнь 2025'!$J$5:$J$2470,W$1)</f>
        <v>0</v>
      </c>
      <c r="X120" s="183">
        <f>SUMIFS('июнь 2025'!$G$5:$G$2470,'июнь 2025'!$D$5:$D$2470,$B120,'июнь 2025'!$J$5:$J$2470,X$1)</f>
        <v>0</v>
      </c>
      <c r="Y120" s="183">
        <f>SUMIFS('июнь 2025'!$G$5:$G$2470,'июнь 2025'!$D$5:$D$2470,$B120,'июнь 2025'!$J$5:$J$2470,Y$1)</f>
        <v>0</v>
      </c>
      <c r="Z120" s="183">
        <f>SUMIFS('июнь 2025'!$G$5:$G$2470,'июнь 2025'!$D$5:$D$2470,$B120,'июнь 2025'!$J$5:$J$2470,Z$1)</f>
        <v>0</v>
      </c>
      <c r="AA120" s="183">
        <f>SUMIFS('июнь 2025'!$G$5:$G$2470,'июнь 2025'!$D$5:$D$2470,$B120,'июнь 2025'!$J$5:$J$2470,AA$1)</f>
        <v>0</v>
      </c>
      <c r="AB120" s="183">
        <f>SUMIFS('июнь 2025'!$G$5:$G$2470,'июнь 2025'!$D$5:$D$2470,$B120,'июнь 2025'!$J$5:$J$2470,AB$1)</f>
        <v>0</v>
      </c>
      <c r="AC120" s="183">
        <f>SUMIFS('июнь 2025'!$G$5:$G$2470,'июнь 2025'!$D$5:$D$2470,$B120,'июнь 2025'!$J$5:$J$2470,AC$1)</f>
        <v>0</v>
      </c>
      <c r="AD120" s="183">
        <f>SUMIFS('июнь 2025'!$G$5:$G$2470,'июнь 2025'!$D$5:$D$2470,$B120,'июнь 2025'!$J$5:$J$2470,AD$1)</f>
        <v>0</v>
      </c>
      <c r="AE120" s="183">
        <f>SUMIFS('июнь 2025'!$G$5:$G$2470,'июнь 2025'!$D$5:$D$2470,$B120,'июнь 2025'!$J$5:$J$2470,AE$1)</f>
        <v>0</v>
      </c>
      <c r="AF120" s="183">
        <f>SUMIFS('июнь 2025'!$G$5:$G$2470,'июнь 2025'!$D$5:$D$2470,$B120,'июнь 2025'!$J$5:$J$2470,AF$1)</f>
        <v>0</v>
      </c>
      <c r="AG120" s="183">
        <f>SUMIFS('июнь 2025'!$G$5:$G$2470,'июнь 2025'!$D$5:$D$2470,$B120,'июнь 2025'!$J$5:$J$2470,AG$1)</f>
        <v>0</v>
      </c>
      <c r="AH120" s="183">
        <f>SUMIFS('июнь 2025'!$G$5:$G$2470,'июнь 2025'!$D$5:$D$2470,$B120,'июнь 2025'!$J$5:$J$2470,AH$1)</f>
        <v>0</v>
      </c>
      <c r="AI120" s="20">
        <f t="shared" si="1"/>
        <v>0</v>
      </c>
    </row>
    <row r="121" spans="2:35" ht="15" customHeight="1" x14ac:dyDescent="0.25">
      <c r="B121" s="88" t="s">
        <v>185</v>
      </c>
      <c r="C121" s="86">
        <v>180</v>
      </c>
      <c r="D121" s="183">
        <f>SUMIFS('июнь 2025'!$G$5:$G$2470,'июнь 2025'!$D$5:$D$2470,$B121,'июнь 2025'!$J$5:$J$2470,D$1)</f>
        <v>0</v>
      </c>
      <c r="E121" s="183">
        <f>SUMIFS('июнь 2025'!$G$5:$G$2470,'июнь 2025'!$D$5:$D$2470,$B121,'июнь 2025'!$J$5:$J$2470,E$1)</f>
        <v>0</v>
      </c>
      <c r="F121" s="183">
        <f>SUMIFS('июнь 2025'!$G$5:$G$2470,'июнь 2025'!$D$5:$D$2470,$B121,'июнь 2025'!$J$5:$J$2470,F$1)</f>
        <v>0</v>
      </c>
      <c r="G121" s="183">
        <f>SUMIFS('июнь 2025'!$G$5:$G$2470,'июнь 2025'!$D$5:$D$2470,$B121,'июнь 2025'!$J$5:$J$2470,G$1)</f>
        <v>0</v>
      </c>
      <c r="H121" s="183">
        <f>SUMIFS('июнь 2025'!$G$5:$G$2470,'июнь 2025'!$D$5:$D$2470,$B121,'июнь 2025'!$J$5:$J$2470,H$1)</f>
        <v>0</v>
      </c>
      <c r="I121" s="183">
        <f>SUMIFS('июнь 2025'!$G$5:$G$2470,'июнь 2025'!$D$5:$D$2470,$B121,'июнь 2025'!$J$5:$J$2470,I$1)</f>
        <v>0</v>
      </c>
      <c r="J121" s="183">
        <f>SUMIFS('июнь 2025'!$G$5:$G$2470,'июнь 2025'!$D$5:$D$2470,$B121,'июнь 2025'!$J$5:$J$2470,J$1)</f>
        <v>0</v>
      </c>
      <c r="K121" s="183">
        <f>SUMIFS('июнь 2025'!$G$5:$G$2470,'июнь 2025'!$D$5:$D$2470,$B121,'июнь 2025'!$J$5:$J$2470,K$1)</f>
        <v>0</v>
      </c>
      <c r="L121" s="183">
        <f>SUMIFS('июнь 2025'!$G$5:$G$2470,'июнь 2025'!$D$5:$D$2470,$B121,'июнь 2025'!$J$5:$J$2470,L$1)</f>
        <v>0</v>
      </c>
      <c r="M121" s="183">
        <f>SUMIFS('июнь 2025'!$G$5:$G$2470,'июнь 2025'!$D$5:$D$2470,$B121,'июнь 2025'!$J$5:$J$2470,M$1)</f>
        <v>0</v>
      </c>
      <c r="N121" s="183">
        <f>SUMIFS('июнь 2025'!$G$5:$G$2470,'июнь 2025'!$D$5:$D$2470,$B121,'июнь 2025'!$J$5:$J$2470,N$1)</f>
        <v>0</v>
      </c>
      <c r="O121" s="183">
        <f>SUMIFS('июнь 2025'!$G$5:$G$2470,'июнь 2025'!$D$5:$D$2470,$B121,'июнь 2025'!$J$5:$J$2470,O$1)</f>
        <v>0</v>
      </c>
      <c r="P121" s="183">
        <f>SUMIFS('июнь 2025'!$G$5:$G$2470,'июнь 2025'!$D$5:$D$2470,$B121,'июнь 2025'!$J$5:$J$2470,P$1)</f>
        <v>0</v>
      </c>
      <c r="Q121" s="183">
        <f>SUMIFS('июнь 2025'!$G$5:$G$2470,'июнь 2025'!$D$5:$D$2470,$B121,'июнь 2025'!$J$5:$J$2470,Q$1)</f>
        <v>0</v>
      </c>
      <c r="R121" s="183">
        <f>SUMIFS('июнь 2025'!$G$5:$G$2470,'июнь 2025'!$D$5:$D$2470,$B121,'июнь 2025'!$J$5:$J$2470,R$1)</f>
        <v>0</v>
      </c>
      <c r="S121" s="183">
        <f>SUMIFS('июнь 2025'!$G$5:$G$2470,'июнь 2025'!$D$5:$D$2470,$B121,'июнь 2025'!$J$5:$J$2470,S$1)</f>
        <v>0</v>
      </c>
      <c r="T121" s="183">
        <f>SUMIFS('июнь 2025'!$G$5:$G$2470,'июнь 2025'!$D$5:$D$2470,$B121,'июнь 2025'!$J$5:$J$2470,T$1)</f>
        <v>0</v>
      </c>
      <c r="U121" s="183">
        <f>SUMIFS('июнь 2025'!$G$5:$G$2470,'июнь 2025'!$D$5:$D$2470,$B121,'июнь 2025'!$J$5:$J$2470,U$1)</f>
        <v>0</v>
      </c>
      <c r="V121" s="183">
        <f>SUMIFS('июнь 2025'!$G$5:$G$2470,'июнь 2025'!$D$5:$D$2470,$B121,'июнь 2025'!$J$5:$J$2470,V$1)</f>
        <v>0</v>
      </c>
      <c r="W121" s="183">
        <f>SUMIFS('июнь 2025'!$G$5:$G$2470,'июнь 2025'!$D$5:$D$2470,$B121,'июнь 2025'!$J$5:$J$2470,W$1)</f>
        <v>0</v>
      </c>
      <c r="X121" s="183">
        <f>SUMIFS('июнь 2025'!$G$5:$G$2470,'июнь 2025'!$D$5:$D$2470,$B121,'июнь 2025'!$J$5:$J$2470,X$1)</f>
        <v>0</v>
      </c>
      <c r="Y121" s="183">
        <f>SUMIFS('июнь 2025'!$G$5:$G$2470,'июнь 2025'!$D$5:$D$2470,$B121,'июнь 2025'!$J$5:$J$2470,Y$1)</f>
        <v>0</v>
      </c>
      <c r="Z121" s="183">
        <f>SUMIFS('июнь 2025'!$G$5:$G$2470,'июнь 2025'!$D$5:$D$2470,$B121,'июнь 2025'!$J$5:$J$2470,Z$1)</f>
        <v>0</v>
      </c>
      <c r="AA121" s="183">
        <f>SUMIFS('июнь 2025'!$G$5:$G$2470,'июнь 2025'!$D$5:$D$2470,$B121,'июнь 2025'!$J$5:$J$2470,AA$1)</f>
        <v>0</v>
      </c>
      <c r="AB121" s="183">
        <f>SUMIFS('июнь 2025'!$G$5:$G$2470,'июнь 2025'!$D$5:$D$2470,$B121,'июнь 2025'!$J$5:$J$2470,AB$1)</f>
        <v>0</v>
      </c>
      <c r="AC121" s="183">
        <f>SUMIFS('июнь 2025'!$G$5:$G$2470,'июнь 2025'!$D$5:$D$2470,$B121,'июнь 2025'!$J$5:$J$2470,AC$1)</f>
        <v>0</v>
      </c>
      <c r="AD121" s="183">
        <f>SUMIFS('июнь 2025'!$G$5:$G$2470,'июнь 2025'!$D$5:$D$2470,$B121,'июнь 2025'!$J$5:$J$2470,AD$1)</f>
        <v>0</v>
      </c>
      <c r="AE121" s="183">
        <f>SUMIFS('июнь 2025'!$G$5:$G$2470,'июнь 2025'!$D$5:$D$2470,$B121,'июнь 2025'!$J$5:$J$2470,AE$1)</f>
        <v>0</v>
      </c>
      <c r="AF121" s="183">
        <f>SUMIFS('июнь 2025'!$G$5:$G$2470,'июнь 2025'!$D$5:$D$2470,$B121,'июнь 2025'!$J$5:$J$2470,AF$1)</f>
        <v>0</v>
      </c>
      <c r="AG121" s="183">
        <f>SUMIFS('июнь 2025'!$G$5:$G$2470,'июнь 2025'!$D$5:$D$2470,$B121,'июнь 2025'!$J$5:$J$2470,AG$1)</f>
        <v>0</v>
      </c>
      <c r="AH121" s="183">
        <f>SUMIFS('июнь 2025'!$G$5:$G$2470,'июнь 2025'!$D$5:$D$2470,$B121,'июнь 2025'!$J$5:$J$2470,AH$1)</f>
        <v>0</v>
      </c>
      <c r="AI121" s="20">
        <f t="shared" si="1"/>
        <v>0</v>
      </c>
    </row>
    <row r="122" spans="2:35" ht="15" customHeight="1" x14ac:dyDescent="0.25">
      <c r="B122" s="88" t="s">
        <v>203</v>
      </c>
      <c r="C122" s="86">
        <v>185</v>
      </c>
      <c r="D122" s="183">
        <f>SUMIFS('июнь 2025'!$G$5:$G$2470,'июнь 2025'!$D$5:$D$2470,$B122,'июнь 2025'!$J$5:$J$2470,D$1)</f>
        <v>0</v>
      </c>
      <c r="E122" s="183">
        <f>SUMIFS('июнь 2025'!$G$5:$G$2470,'июнь 2025'!$D$5:$D$2470,$B122,'июнь 2025'!$J$5:$J$2470,E$1)</f>
        <v>0</v>
      </c>
      <c r="F122" s="183">
        <f>SUMIFS('июнь 2025'!$G$5:$G$2470,'июнь 2025'!$D$5:$D$2470,$B122,'июнь 2025'!$J$5:$J$2470,F$1)</f>
        <v>0</v>
      </c>
      <c r="G122" s="183">
        <f>SUMIFS('июнь 2025'!$G$5:$G$2470,'июнь 2025'!$D$5:$D$2470,$B122,'июнь 2025'!$J$5:$J$2470,G$1)</f>
        <v>0</v>
      </c>
      <c r="H122" s="183">
        <f>SUMIFS('июнь 2025'!$G$5:$G$2470,'июнь 2025'!$D$5:$D$2470,$B122,'июнь 2025'!$J$5:$J$2470,H$1)</f>
        <v>0</v>
      </c>
      <c r="I122" s="183">
        <f>SUMIFS('июнь 2025'!$G$5:$G$2470,'июнь 2025'!$D$5:$D$2470,$B122,'июнь 2025'!$J$5:$J$2470,I$1)</f>
        <v>0</v>
      </c>
      <c r="J122" s="183">
        <f>SUMIFS('июнь 2025'!$G$5:$G$2470,'июнь 2025'!$D$5:$D$2470,$B122,'июнь 2025'!$J$5:$J$2470,J$1)</f>
        <v>0</v>
      </c>
      <c r="K122" s="183">
        <f>SUMIFS('июнь 2025'!$G$5:$G$2470,'июнь 2025'!$D$5:$D$2470,$B122,'июнь 2025'!$J$5:$J$2470,K$1)</f>
        <v>0</v>
      </c>
      <c r="L122" s="183">
        <f>SUMIFS('июнь 2025'!$G$5:$G$2470,'июнь 2025'!$D$5:$D$2470,$B122,'июнь 2025'!$J$5:$J$2470,L$1)</f>
        <v>0</v>
      </c>
      <c r="M122" s="183">
        <f>SUMIFS('июнь 2025'!$G$5:$G$2470,'июнь 2025'!$D$5:$D$2470,$B122,'июнь 2025'!$J$5:$J$2470,M$1)</f>
        <v>0</v>
      </c>
      <c r="N122" s="183">
        <f>SUMIFS('июнь 2025'!$G$5:$G$2470,'июнь 2025'!$D$5:$D$2470,$B122,'июнь 2025'!$J$5:$J$2470,N$1)</f>
        <v>0</v>
      </c>
      <c r="O122" s="183">
        <f>SUMIFS('июнь 2025'!$G$5:$G$2470,'июнь 2025'!$D$5:$D$2470,$B122,'июнь 2025'!$J$5:$J$2470,O$1)</f>
        <v>0</v>
      </c>
      <c r="P122" s="183">
        <f>SUMIFS('июнь 2025'!$G$5:$G$2470,'июнь 2025'!$D$5:$D$2470,$B122,'июнь 2025'!$J$5:$J$2470,P$1)</f>
        <v>0</v>
      </c>
      <c r="Q122" s="183">
        <f>SUMIFS('июнь 2025'!$G$5:$G$2470,'июнь 2025'!$D$5:$D$2470,$B122,'июнь 2025'!$J$5:$J$2470,Q$1)</f>
        <v>0</v>
      </c>
      <c r="R122" s="183">
        <f>SUMIFS('июнь 2025'!$G$5:$G$2470,'июнь 2025'!$D$5:$D$2470,$B122,'июнь 2025'!$J$5:$J$2470,R$1)</f>
        <v>0</v>
      </c>
      <c r="S122" s="183">
        <f>SUMIFS('июнь 2025'!$G$5:$G$2470,'июнь 2025'!$D$5:$D$2470,$B122,'июнь 2025'!$J$5:$J$2470,S$1)</f>
        <v>0</v>
      </c>
      <c r="T122" s="183">
        <f>SUMIFS('июнь 2025'!$G$5:$G$2470,'июнь 2025'!$D$5:$D$2470,$B122,'июнь 2025'!$J$5:$J$2470,T$1)</f>
        <v>0</v>
      </c>
      <c r="U122" s="183">
        <f>SUMIFS('июнь 2025'!$G$5:$G$2470,'июнь 2025'!$D$5:$D$2470,$B122,'июнь 2025'!$J$5:$J$2470,U$1)</f>
        <v>0</v>
      </c>
      <c r="V122" s="183">
        <f>SUMIFS('июнь 2025'!$G$5:$G$2470,'июнь 2025'!$D$5:$D$2470,$B122,'июнь 2025'!$J$5:$J$2470,V$1)</f>
        <v>0</v>
      </c>
      <c r="W122" s="183">
        <f>SUMIFS('июнь 2025'!$G$5:$G$2470,'июнь 2025'!$D$5:$D$2470,$B122,'июнь 2025'!$J$5:$J$2470,W$1)</f>
        <v>0</v>
      </c>
      <c r="X122" s="183">
        <f>SUMIFS('июнь 2025'!$G$5:$G$2470,'июнь 2025'!$D$5:$D$2470,$B122,'июнь 2025'!$J$5:$J$2470,X$1)</f>
        <v>0</v>
      </c>
      <c r="Y122" s="183">
        <f>SUMIFS('июнь 2025'!$G$5:$G$2470,'июнь 2025'!$D$5:$D$2470,$B122,'июнь 2025'!$J$5:$J$2470,Y$1)</f>
        <v>0</v>
      </c>
      <c r="Z122" s="183">
        <f>SUMIFS('июнь 2025'!$G$5:$G$2470,'июнь 2025'!$D$5:$D$2470,$B122,'июнь 2025'!$J$5:$J$2470,Z$1)</f>
        <v>0</v>
      </c>
      <c r="AA122" s="183">
        <f>SUMIFS('июнь 2025'!$G$5:$G$2470,'июнь 2025'!$D$5:$D$2470,$B122,'июнь 2025'!$J$5:$J$2470,AA$1)</f>
        <v>0</v>
      </c>
      <c r="AB122" s="183">
        <f>SUMIFS('июнь 2025'!$G$5:$G$2470,'июнь 2025'!$D$5:$D$2470,$B122,'июнь 2025'!$J$5:$J$2470,AB$1)</f>
        <v>0</v>
      </c>
      <c r="AC122" s="183">
        <f>SUMIFS('июнь 2025'!$G$5:$G$2470,'июнь 2025'!$D$5:$D$2470,$B122,'июнь 2025'!$J$5:$J$2470,AC$1)</f>
        <v>0</v>
      </c>
      <c r="AD122" s="183">
        <f>SUMIFS('июнь 2025'!$G$5:$G$2470,'июнь 2025'!$D$5:$D$2470,$B122,'июнь 2025'!$J$5:$J$2470,AD$1)</f>
        <v>0</v>
      </c>
      <c r="AE122" s="183">
        <f>SUMIFS('июнь 2025'!$G$5:$G$2470,'июнь 2025'!$D$5:$D$2470,$B122,'июнь 2025'!$J$5:$J$2470,AE$1)</f>
        <v>0</v>
      </c>
      <c r="AF122" s="183">
        <f>SUMIFS('июнь 2025'!$G$5:$G$2470,'июнь 2025'!$D$5:$D$2470,$B122,'июнь 2025'!$J$5:$J$2470,AF$1)</f>
        <v>0</v>
      </c>
      <c r="AG122" s="183">
        <f>SUMIFS('июнь 2025'!$G$5:$G$2470,'июнь 2025'!$D$5:$D$2470,$B122,'июнь 2025'!$J$5:$J$2470,AG$1)</f>
        <v>0</v>
      </c>
      <c r="AH122" s="183">
        <f>SUMIFS('июнь 2025'!$G$5:$G$2470,'июнь 2025'!$D$5:$D$2470,$B122,'июнь 2025'!$J$5:$J$2470,AH$1)</f>
        <v>0</v>
      </c>
      <c r="AI122" s="20">
        <f t="shared" si="1"/>
        <v>0</v>
      </c>
    </row>
    <row r="123" spans="2:35" ht="15" customHeight="1" x14ac:dyDescent="0.25">
      <c r="B123" s="88" t="s">
        <v>304</v>
      </c>
      <c r="C123" s="86">
        <v>175</v>
      </c>
      <c r="D123" s="183">
        <f>SUMIFS('июнь 2025'!$G$5:$G$2470,'июнь 2025'!$D$5:$D$2470,$B123,'июнь 2025'!$J$5:$J$2470,D$1)</f>
        <v>0</v>
      </c>
      <c r="E123" s="183">
        <f>SUMIFS('июнь 2025'!$G$5:$G$2470,'июнь 2025'!$D$5:$D$2470,$B123,'июнь 2025'!$J$5:$J$2470,E$1)</f>
        <v>0</v>
      </c>
      <c r="F123" s="183">
        <f>SUMIFS('июнь 2025'!$G$5:$G$2470,'июнь 2025'!$D$5:$D$2470,$B123,'июнь 2025'!$J$5:$J$2470,F$1)</f>
        <v>0</v>
      </c>
      <c r="G123" s="183">
        <f>SUMIFS('июнь 2025'!$G$5:$G$2470,'июнь 2025'!$D$5:$D$2470,$B123,'июнь 2025'!$J$5:$J$2470,G$1)</f>
        <v>0</v>
      </c>
      <c r="H123" s="183">
        <f>SUMIFS('июнь 2025'!$G$5:$G$2470,'июнь 2025'!$D$5:$D$2470,$B123,'июнь 2025'!$J$5:$J$2470,H$1)</f>
        <v>0</v>
      </c>
      <c r="I123" s="183">
        <f>SUMIFS('июнь 2025'!$G$5:$G$2470,'июнь 2025'!$D$5:$D$2470,$B123,'июнь 2025'!$J$5:$J$2470,I$1)</f>
        <v>0</v>
      </c>
      <c r="J123" s="183">
        <f>SUMIFS('июнь 2025'!$G$5:$G$2470,'июнь 2025'!$D$5:$D$2470,$B123,'июнь 2025'!$J$5:$J$2470,J$1)</f>
        <v>0</v>
      </c>
      <c r="K123" s="183">
        <f>SUMIFS('июнь 2025'!$G$5:$G$2470,'июнь 2025'!$D$5:$D$2470,$B123,'июнь 2025'!$J$5:$J$2470,K$1)</f>
        <v>0</v>
      </c>
      <c r="L123" s="183">
        <f>SUMIFS('июнь 2025'!$G$5:$G$2470,'июнь 2025'!$D$5:$D$2470,$B123,'июнь 2025'!$J$5:$J$2470,L$1)</f>
        <v>0</v>
      </c>
      <c r="M123" s="183">
        <f>SUMIFS('июнь 2025'!$G$5:$G$2470,'июнь 2025'!$D$5:$D$2470,$B123,'июнь 2025'!$J$5:$J$2470,M$1)</f>
        <v>0</v>
      </c>
      <c r="N123" s="183">
        <f>SUMIFS('июнь 2025'!$G$5:$G$2470,'июнь 2025'!$D$5:$D$2470,$B123,'июнь 2025'!$J$5:$J$2470,N$1)</f>
        <v>0</v>
      </c>
      <c r="O123" s="183">
        <f>SUMIFS('июнь 2025'!$G$5:$G$2470,'июнь 2025'!$D$5:$D$2470,$B123,'июнь 2025'!$J$5:$J$2470,O$1)</f>
        <v>0</v>
      </c>
      <c r="P123" s="183">
        <f>SUMIFS('июнь 2025'!$G$5:$G$2470,'июнь 2025'!$D$5:$D$2470,$B123,'июнь 2025'!$J$5:$J$2470,P$1)</f>
        <v>0</v>
      </c>
      <c r="Q123" s="183">
        <f>SUMIFS('июнь 2025'!$G$5:$G$2470,'июнь 2025'!$D$5:$D$2470,$B123,'июнь 2025'!$J$5:$J$2470,Q$1)</f>
        <v>0</v>
      </c>
      <c r="R123" s="183">
        <f>SUMIFS('июнь 2025'!$G$5:$G$2470,'июнь 2025'!$D$5:$D$2470,$B123,'июнь 2025'!$J$5:$J$2470,R$1)</f>
        <v>0</v>
      </c>
      <c r="S123" s="183">
        <f>SUMIFS('июнь 2025'!$G$5:$G$2470,'июнь 2025'!$D$5:$D$2470,$B123,'июнь 2025'!$J$5:$J$2470,S$1)</f>
        <v>0</v>
      </c>
      <c r="T123" s="183">
        <f>SUMIFS('июнь 2025'!$G$5:$G$2470,'июнь 2025'!$D$5:$D$2470,$B123,'июнь 2025'!$J$5:$J$2470,T$1)</f>
        <v>0</v>
      </c>
      <c r="U123" s="183">
        <f>SUMIFS('июнь 2025'!$G$5:$G$2470,'июнь 2025'!$D$5:$D$2470,$B123,'июнь 2025'!$J$5:$J$2470,U$1)</f>
        <v>0</v>
      </c>
      <c r="V123" s="183">
        <f>SUMIFS('июнь 2025'!$G$5:$G$2470,'июнь 2025'!$D$5:$D$2470,$B123,'июнь 2025'!$J$5:$J$2470,V$1)</f>
        <v>0</v>
      </c>
      <c r="W123" s="183">
        <f>SUMIFS('июнь 2025'!$G$5:$G$2470,'июнь 2025'!$D$5:$D$2470,$B123,'июнь 2025'!$J$5:$J$2470,W$1)</f>
        <v>0</v>
      </c>
      <c r="X123" s="183">
        <f>SUMIFS('июнь 2025'!$G$5:$G$2470,'июнь 2025'!$D$5:$D$2470,$B123,'июнь 2025'!$J$5:$J$2470,X$1)</f>
        <v>0</v>
      </c>
      <c r="Y123" s="183">
        <f>SUMIFS('июнь 2025'!$G$5:$G$2470,'июнь 2025'!$D$5:$D$2470,$B123,'июнь 2025'!$J$5:$J$2470,Y$1)</f>
        <v>0</v>
      </c>
      <c r="Z123" s="183">
        <f>SUMIFS('июнь 2025'!$G$5:$G$2470,'июнь 2025'!$D$5:$D$2470,$B123,'июнь 2025'!$J$5:$J$2470,Z$1)</f>
        <v>0</v>
      </c>
      <c r="AA123" s="183">
        <f>SUMIFS('июнь 2025'!$G$5:$G$2470,'июнь 2025'!$D$5:$D$2470,$B123,'июнь 2025'!$J$5:$J$2470,AA$1)</f>
        <v>0</v>
      </c>
      <c r="AB123" s="183">
        <f>SUMIFS('июнь 2025'!$G$5:$G$2470,'июнь 2025'!$D$5:$D$2470,$B123,'июнь 2025'!$J$5:$J$2470,AB$1)</f>
        <v>0</v>
      </c>
      <c r="AC123" s="183">
        <f>SUMIFS('июнь 2025'!$G$5:$G$2470,'июнь 2025'!$D$5:$D$2470,$B123,'июнь 2025'!$J$5:$J$2470,AC$1)</f>
        <v>0</v>
      </c>
      <c r="AD123" s="183">
        <f>SUMIFS('июнь 2025'!$G$5:$G$2470,'июнь 2025'!$D$5:$D$2470,$B123,'июнь 2025'!$J$5:$J$2470,AD$1)</f>
        <v>0</v>
      </c>
      <c r="AE123" s="183">
        <f>SUMIFS('июнь 2025'!$G$5:$G$2470,'июнь 2025'!$D$5:$D$2470,$B123,'июнь 2025'!$J$5:$J$2470,AE$1)</f>
        <v>0</v>
      </c>
      <c r="AF123" s="183">
        <f>SUMIFS('июнь 2025'!$G$5:$G$2470,'июнь 2025'!$D$5:$D$2470,$B123,'июнь 2025'!$J$5:$J$2470,AF$1)</f>
        <v>0</v>
      </c>
      <c r="AG123" s="183">
        <f>SUMIFS('июнь 2025'!$G$5:$G$2470,'июнь 2025'!$D$5:$D$2470,$B123,'июнь 2025'!$J$5:$J$2470,AG$1)</f>
        <v>0</v>
      </c>
      <c r="AH123" s="183">
        <f>SUMIFS('июнь 2025'!$G$5:$G$2470,'июнь 2025'!$D$5:$D$2470,$B123,'июнь 2025'!$J$5:$J$2470,AH$1)</f>
        <v>0</v>
      </c>
      <c r="AI123" s="20">
        <f t="shared" si="1"/>
        <v>0</v>
      </c>
    </row>
    <row r="124" spans="2:35" ht="15" customHeight="1" x14ac:dyDescent="0.25">
      <c r="B124" s="88" t="s">
        <v>310</v>
      </c>
      <c r="C124" s="86">
        <v>200</v>
      </c>
      <c r="D124" s="183">
        <f>SUMIFS('июнь 2025'!$G$5:$G$2470,'июнь 2025'!$D$5:$D$2470,$B124,'июнь 2025'!$J$5:$J$2470,D$1)</f>
        <v>0</v>
      </c>
      <c r="E124" s="183">
        <f>SUMIFS('июнь 2025'!$G$5:$G$2470,'июнь 2025'!$D$5:$D$2470,$B124,'июнь 2025'!$J$5:$J$2470,E$1)</f>
        <v>0</v>
      </c>
      <c r="F124" s="183">
        <f>SUMIFS('июнь 2025'!$G$5:$G$2470,'июнь 2025'!$D$5:$D$2470,$B124,'июнь 2025'!$J$5:$J$2470,F$1)</f>
        <v>0</v>
      </c>
      <c r="G124" s="183">
        <f>SUMIFS('июнь 2025'!$G$5:$G$2470,'июнь 2025'!$D$5:$D$2470,$B124,'июнь 2025'!$J$5:$J$2470,G$1)</f>
        <v>0</v>
      </c>
      <c r="H124" s="183">
        <f>SUMIFS('июнь 2025'!$G$5:$G$2470,'июнь 2025'!$D$5:$D$2470,$B124,'июнь 2025'!$J$5:$J$2470,H$1)</f>
        <v>0</v>
      </c>
      <c r="I124" s="183">
        <f>SUMIFS('июнь 2025'!$G$5:$G$2470,'июнь 2025'!$D$5:$D$2470,$B124,'июнь 2025'!$J$5:$J$2470,I$1)</f>
        <v>0</v>
      </c>
      <c r="J124" s="183">
        <f>SUMIFS('июнь 2025'!$G$5:$G$2470,'июнь 2025'!$D$5:$D$2470,$B124,'июнь 2025'!$J$5:$J$2470,J$1)</f>
        <v>0</v>
      </c>
      <c r="K124" s="183">
        <f>SUMIFS('июнь 2025'!$G$5:$G$2470,'июнь 2025'!$D$5:$D$2470,$B124,'июнь 2025'!$J$5:$J$2470,K$1)</f>
        <v>0</v>
      </c>
      <c r="L124" s="183">
        <f>SUMIFS('июнь 2025'!$G$5:$G$2470,'июнь 2025'!$D$5:$D$2470,$B124,'июнь 2025'!$J$5:$J$2470,L$1)</f>
        <v>0</v>
      </c>
      <c r="M124" s="183">
        <f>SUMIFS('июнь 2025'!$G$5:$G$2470,'июнь 2025'!$D$5:$D$2470,$B124,'июнь 2025'!$J$5:$J$2470,M$1)</f>
        <v>0</v>
      </c>
      <c r="N124" s="183">
        <f>SUMIFS('июнь 2025'!$G$5:$G$2470,'июнь 2025'!$D$5:$D$2470,$B124,'июнь 2025'!$J$5:$J$2470,N$1)</f>
        <v>0</v>
      </c>
      <c r="O124" s="183">
        <f>SUMIFS('июнь 2025'!$G$5:$G$2470,'июнь 2025'!$D$5:$D$2470,$B124,'июнь 2025'!$J$5:$J$2470,O$1)</f>
        <v>0</v>
      </c>
      <c r="P124" s="183">
        <f>SUMIFS('июнь 2025'!$G$5:$G$2470,'июнь 2025'!$D$5:$D$2470,$B124,'июнь 2025'!$J$5:$J$2470,P$1)</f>
        <v>0</v>
      </c>
      <c r="Q124" s="183">
        <f>SUMIFS('июнь 2025'!$G$5:$G$2470,'июнь 2025'!$D$5:$D$2470,$B124,'июнь 2025'!$J$5:$J$2470,Q$1)</f>
        <v>0</v>
      </c>
      <c r="R124" s="183">
        <f>SUMIFS('июнь 2025'!$G$5:$G$2470,'июнь 2025'!$D$5:$D$2470,$B124,'июнь 2025'!$J$5:$J$2470,R$1)</f>
        <v>0</v>
      </c>
      <c r="S124" s="183">
        <f>SUMIFS('июнь 2025'!$G$5:$G$2470,'июнь 2025'!$D$5:$D$2470,$B124,'июнь 2025'!$J$5:$J$2470,S$1)</f>
        <v>0</v>
      </c>
      <c r="T124" s="183">
        <f>SUMIFS('июнь 2025'!$G$5:$G$2470,'июнь 2025'!$D$5:$D$2470,$B124,'июнь 2025'!$J$5:$J$2470,T$1)</f>
        <v>0</v>
      </c>
      <c r="U124" s="183">
        <f>SUMIFS('июнь 2025'!$G$5:$G$2470,'июнь 2025'!$D$5:$D$2470,$B124,'июнь 2025'!$J$5:$J$2470,U$1)</f>
        <v>0</v>
      </c>
      <c r="V124" s="183">
        <f>SUMIFS('июнь 2025'!$G$5:$G$2470,'июнь 2025'!$D$5:$D$2470,$B124,'июнь 2025'!$J$5:$J$2470,V$1)</f>
        <v>0</v>
      </c>
      <c r="W124" s="183">
        <f>SUMIFS('июнь 2025'!$G$5:$G$2470,'июнь 2025'!$D$5:$D$2470,$B124,'июнь 2025'!$J$5:$J$2470,W$1)</f>
        <v>0</v>
      </c>
      <c r="X124" s="183">
        <f>SUMIFS('июнь 2025'!$G$5:$G$2470,'июнь 2025'!$D$5:$D$2470,$B124,'июнь 2025'!$J$5:$J$2470,X$1)</f>
        <v>0</v>
      </c>
      <c r="Y124" s="183">
        <f>SUMIFS('июнь 2025'!$G$5:$G$2470,'июнь 2025'!$D$5:$D$2470,$B124,'июнь 2025'!$J$5:$J$2470,Y$1)</f>
        <v>0</v>
      </c>
      <c r="Z124" s="183">
        <f>SUMIFS('июнь 2025'!$G$5:$G$2470,'июнь 2025'!$D$5:$D$2470,$B124,'июнь 2025'!$J$5:$J$2470,Z$1)</f>
        <v>0</v>
      </c>
      <c r="AA124" s="183">
        <f>SUMIFS('июнь 2025'!$G$5:$G$2470,'июнь 2025'!$D$5:$D$2470,$B124,'июнь 2025'!$J$5:$J$2470,AA$1)</f>
        <v>0</v>
      </c>
      <c r="AB124" s="183">
        <f>SUMIFS('июнь 2025'!$G$5:$G$2470,'июнь 2025'!$D$5:$D$2470,$B124,'июнь 2025'!$J$5:$J$2470,AB$1)</f>
        <v>0</v>
      </c>
      <c r="AC124" s="183">
        <f>SUMIFS('июнь 2025'!$G$5:$G$2470,'июнь 2025'!$D$5:$D$2470,$B124,'июнь 2025'!$J$5:$J$2470,AC$1)</f>
        <v>0</v>
      </c>
      <c r="AD124" s="183">
        <f>SUMIFS('июнь 2025'!$G$5:$G$2470,'июнь 2025'!$D$5:$D$2470,$B124,'июнь 2025'!$J$5:$J$2470,AD$1)</f>
        <v>0</v>
      </c>
      <c r="AE124" s="183">
        <f>SUMIFS('июнь 2025'!$G$5:$G$2470,'июнь 2025'!$D$5:$D$2470,$B124,'июнь 2025'!$J$5:$J$2470,AE$1)</f>
        <v>0</v>
      </c>
      <c r="AF124" s="183">
        <f>SUMIFS('июнь 2025'!$G$5:$G$2470,'июнь 2025'!$D$5:$D$2470,$B124,'июнь 2025'!$J$5:$J$2470,AF$1)</f>
        <v>0</v>
      </c>
      <c r="AG124" s="183">
        <f>SUMIFS('июнь 2025'!$G$5:$G$2470,'июнь 2025'!$D$5:$D$2470,$B124,'июнь 2025'!$J$5:$J$2470,AG$1)</f>
        <v>0</v>
      </c>
      <c r="AH124" s="183">
        <f>SUMIFS('июнь 2025'!$G$5:$G$2470,'июнь 2025'!$D$5:$D$2470,$B124,'июнь 2025'!$J$5:$J$2470,AH$1)</f>
        <v>0</v>
      </c>
      <c r="AI124" s="20">
        <f t="shared" si="1"/>
        <v>0</v>
      </c>
    </row>
    <row r="125" spans="2:35" ht="15" customHeight="1" x14ac:dyDescent="0.25">
      <c r="B125" s="88" t="s">
        <v>1256</v>
      </c>
      <c r="C125" s="86">
        <v>200</v>
      </c>
      <c r="D125" s="183">
        <f>SUMIFS('июнь 2025'!$G$5:$G$2470,'июнь 2025'!$D$5:$D$2470,$B125,'июнь 2025'!$J$5:$J$2470,D$1)</f>
        <v>0</v>
      </c>
      <c r="E125" s="183">
        <f>SUMIFS('июнь 2025'!$G$5:$G$2470,'июнь 2025'!$D$5:$D$2470,$B125,'июнь 2025'!$J$5:$J$2470,E$1)</f>
        <v>18</v>
      </c>
      <c r="F125" s="183">
        <f>SUMIFS('июнь 2025'!$G$5:$G$2470,'июнь 2025'!$D$5:$D$2470,$B125,'июнь 2025'!$J$5:$J$2470,F$1)</f>
        <v>0</v>
      </c>
      <c r="G125" s="183">
        <f>SUMIFS('июнь 2025'!$G$5:$G$2470,'июнь 2025'!$D$5:$D$2470,$B125,'июнь 2025'!$J$5:$J$2470,G$1)</f>
        <v>0</v>
      </c>
      <c r="H125" s="183">
        <f>SUMIFS('июнь 2025'!$G$5:$G$2470,'июнь 2025'!$D$5:$D$2470,$B125,'июнь 2025'!$J$5:$J$2470,H$1)</f>
        <v>0</v>
      </c>
      <c r="I125" s="183">
        <f>SUMIFS('июнь 2025'!$G$5:$G$2470,'июнь 2025'!$D$5:$D$2470,$B125,'июнь 2025'!$J$5:$J$2470,I$1)</f>
        <v>0</v>
      </c>
      <c r="J125" s="183">
        <f>SUMIFS('июнь 2025'!$G$5:$G$2470,'июнь 2025'!$D$5:$D$2470,$B125,'июнь 2025'!$J$5:$J$2470,J$1)</f>
        <v>0</v>
      </c>
      <c r="K125" s="183">
        <f>SUMIFS('июнь 2025'!$G$5:$G$2470,'июнь 2025'!$D$5:$D$2470,$B125,'июнь 2025'!$J$5:$J$2470,K$1)</f>
        <v>0</v>
      </c>
      <c r="L125" s="183">
        <f>SUMIFS('июнь 2025'!$G$5:$G$2470,'июнь 2025'!$D$5:$D$2470,$B125,'июнь 2025'!$J$5:$J$2470,L$1)</f>
        <v>0</v>
      </c>
      <c r="M125" s="183">
        <f>SUMIFS('июнь 2025'!$G$5:$G$2470,'июнь 2025'!$D$5:$D$2470,$B125,'июнь 2025'!$J$5:$J$2470,M$1)</f>
        <v>0</v>
      </c>
      <c r="N125" s="183">
        <f>SUMIFS('июнь 2025'!$G$5:$G$2470,'июнь 2025'!$D$5:$D$2470,$B125,'июнь 2025'!$J$5:$J$2470,N$1)</f>
        <v>0</v>
      </c>
      <c r="O125" s="183">
        <f>SUMIFS('июнь 2025'!$G$5:$G$2470,'июнь 2025'!$D$5:$D$2470,$B125,'июнь 2025'!$J$5:$J$2470,O$1)</f>
        <v>0</v>
      </c>
      <c r="P125" s="183">
        <f>SUMIFS('июнь 2025'!$G$5:$G$2470,'июнь 2025'!$D$5:$D$2470,$B125,'июнь 2025'!$J$5:$J$2470,P$1)</f>
        <v>0</v>
      </c>
      <c r="Q125" s="183">
        <f>SUMIFS('июнь 2025'!$G$5:$G$2470,'июнь 2025'!$D$5:$D$2470,$B125,'июнь 2025'!$J$5:$J$2470,Q$1)</f>
        <v>0</v>
      </c>
      <c r="R125" s="183">
        <f>SUMIFS('июнь 2025'!$G$5:$G$2470,'июнь 2025'!$D$5:$D$2470,$B125,'июнь 2025'!$J$5:$J$2470,R$1)</f>
        <v>0</v>
      </c>
      <c r="S125" s="183">
        <f>SUMIFS('июнь 2025'!$G$5:$G$2470,'июнь 2025'!$D$5:$D$2470,$B125,'июнь 2025'!$J$5:$J$2470,S$1)</f>
        <v>0</v>
      </c>
      <c r="T125" s="183">
        <f>SUMIFS('июнь 2025'!$G$5:$G$2470,'июнь 2025'!$D$5:$D$2470,$B125,'июнь 2025'!$J$5:$J$2470,T$1)</f>
        <v>0</v>
      </c>
      <c r="U125" s="183">
        <f>SUMIFS('июнь 2025'!$G$5:$G$2470,'июнь 2025'!$D$5:$D$2470,$B125,'июнь 2025'!$J$5:$J$2470,U$1)</f>
        <v>0</v>
      </c>
      <c r="V125" s="183">
        <f>SUMIFS('июнь 2025'!$G$5:$G$2470,'июнь 2025'!$D$5:$D$2470,$B125,'июнь 2025'!$J$5:$J$2470,V$1)</f>
        <v>0</v>
      </c>
      <c r="W125" s="183">
        <f>SUMIFS('июнь 2025'!$G$5:$G$2470,'июнь 2025'!$D$5:$D$2470,$B125,'июнь 2025'!$J$5:$J$2470,W$1)</f>
        <v>0</v>
      </c>
      <c r="X125" s="183">
        <f>SUMIFS('июнь 2025'!$G$5:$G$2470,'июнь 2025'!$D$5:$D$2470,$B125,'июнь 2025'!$J$5:$J$2470,X$1)</f>
        <v>0</v>
      </c>
      <c r="Y125" s="183">
        <f>SUMIFS('июнь 2025'!$G$5:$G$2470,'июнь 2025'!$D$5:$D$2470,$B125,'июнь 2025'!$J$5:$J$2470,Y$1)</f>
        <v>0</v>
      </c>
      <c r="Z125" s="183">
        <f>SUMIFS('июнь 2025'!$G$5:$G$2470,'июнь 2025'!$D$5:$D$2470,$B125,'июнь 2025'!$J$5:$J$2470,Z$1)</f>
        <v>0</v>
      </c>
      <c r="AA125" s="183">
        <f>SUMIFS('июнь 2025'!$G$5:$G$2470,'июнь 2025'!$D$5:$D$2470,$B125,'июнь 2025'!$J$5:$J$2470,AA$1)</f>
        <v>0</v>
      </c>
      <c r="AB125" s="183">
        <f>SUMIFS('июнь 2025'!$G$5:$G$2470,'июнь 2025'!$D$5:$D$2470,$B125,'июнь 2025'!$J$5:$J$2470,AB$1)</f>
        <v>0</v>
      </c>
      <c r="AC125" s="183">
        <f>SUMIFS('июнь 2025'!$G$5:$G$2470,'июнь 2025'!$D$5:$D$2470,$B125,'июнь 2025'!$J$5:$J$2470,AC$1)</f>
        <v>0</v>
      </c>
      <c r="AD125" s="183">
        <f>SUMIFS('июнь 2025'!$G$5:$G$2470,'июнь 2025'!$D$5:$D$2470,$B125,'июнь 2025'!$J$5:$J$2470,AD$1)</f>
        <v>0</v>
      </c>
      <c r="AE125" s="183">
        <f>SUMIFS('июнь 2025'!$G$5:$G$2470,'июнь 2025'!$D$5:$D$2470,$B125,'июнь 2025'!$J$5:$J$2470,AE$1)</f>
        <v>0</v>
      </c>
      <c r="AF125" s="183">
        <f>SUMIFS('июнь 2025'!$G$5:$G$2470,'июнь 2025'!$D$5:$D$2470,$B125,'июнь 2025'!$J$5:$J$2470,AF$1)</f>
        <v>0</v>
      </c>
      <c r="AG125" s="183">
        <f>SUMIFS('июнь 2025'!$G$5:$G$2470,'июнь 2025'!$D$5:$D$2470,$B125,'июнь 2025'!$J$5:$J$2470,AG$1)</f>
        <v>0</v>
      </c>
      <c r="AH125" s="183">
        <f>SUMIFS('июнь 2025'!$G$5:$G$2470,'июнь 2025'!$D$5:$D$2470,$B125,'июнь 2025'!$J$5:$J$2470,AH$1)</f>
        <v>0</v>
      </c>
      <c r="AI125" s="20">
        <f t="shared" si="1"/>
        <v>18</v>
      </c>
    </row>
    <row r="126" spans="2:35" ht="15" customHeight="1" x14ac:dyDescent="0.25">
      <c r="B126" s="88" t="s">
        <v>265</v>
      </c>
      <c r="C126" s="86">
        <v>180</v>
      </c>
      <c r="D126" s="183">
        <f>SUMIFS('июнь 2025'!$G$5:$G$2470,'июнь 2025'!$D$5:$D$2470,$B126,'июнь 2025'!$J$5:$J$2470,D$1)</f>
        <v>0</v>
      </c>
      <c r="E126" s="183">
        <f>SUMIFS('июнь 2025'!$G$5:$G$2470,'июнь 2025'!$D$5:$D$2470,$B126,'июнь 2025'!$J$5:$J$2470,E$1)</f>
        <v>0</v>
      </c>
      <c r="F126" s="183">
        <f>SUMIFS('июнь 2025'!$G$5:$G$2470,'июнь 2025'!$D$5:$D$2470,$B126,'июнь 2025'!$J$5:$J$2470,F$1)</f>
        <v>0</v>
      </c>
      <c r="G126" s="183">
        <f>SUMIFS('июнь 2025'!$G$5:$G$2470,'июнь 2025'!$D$5:$D$2470,$B126,'июнь 2025'!$J$5:$J$2470,G$1)</f>
        <v>0</v>
      </c>
      <c r="H126" s="183">
        <f>SUMIFS('июнь 2025'!$G$5:$G$2470,'июнь 2025'!$D$5:$D$2470,$B126,'июнь 2025'!$J$5:$J$2470,H$1)</f>
        <v>0</v>
      </c>
      <c r="I126" s="183">
        <f>SUMIFS('июнь 2025'!$G$5:$G$2470,'июнь 2025'!$D$5:$D$2470,$B126,'июнь 2025'!$J$5:$J$2470,I$1)</f>
        <v>0</v>
      </c>
      <c r="J126" s="183">
        <f>SUMIFS('июнь 2025'!$G$5:$G$2470,'июнь 2025'!$D$5:$D$2470,$B126,'июнь 2025'!$J$5:$J$2470,J$1)</f>
        <v>0</v>
      </c>
      <c r="K126" s="183">
        <f>SUMIFS('июнь 2025'!$G$5:$G$2470,'июнь 2025'!$D$5:$D$2470,$B126,'июнь 2025'!$J$5:$J$2470,K$1)</f>
        <v>0</v>
      </c>
      <c r="L126" s="183">
        <f>SUMIFS('июнь 2025'!$G$5:$G$2470,'июнь 2025'!$D$5:$D$2470,$B126,'июнь 2025'!$J$5:$J$2470,L$1)</f>
        <v>0</v>
      </c>
      <c r="M126" s="183">
        <f>SUMIFS('июнь 2025'!$G$5:$G$2470,'июнь 2025'!$D$5:$D$2470,$B126,'июнь 2025'!$J$5:$J$2470,M$1)</f>
        <v>0</v>
      </c>
      <c r="N126" s="183">
        <f>SUMIFS('июнь 2025'!$G$5:$G$2470,'июнь 2025'!$D$5:$D$2470,$B126,'июнь 2025'!$J$5:$J$2470,N$1)</f>
        <v>0</v>
      </c>
      <c r="O126" s="183">
        <f>SUMIFS('июнь 2025'!$G$5:$G$2470,'июнь 2025'!$D$5:$D$2470,$B126,'июнь 2025'!$J$5:$J$2470,O$1)</f>
        <v>0</v>
      </c>
      <c r="P126" s="183">
        <f>SUMIFS('июнь 2025'!$G$5:$G$2470,'июнь 2025'!$D$5:$D$2470,$B126,'июнь 2025'!$J$5:$J$2470,P$1)</f>
        <v>0</v>
      </c>
      <c r="Q126" s="183">
        <f>SUMIFS('июнь 2025'!$G$5:$G$2470,'июнь 2025'!$D$5:$D$2470,$B126,'июнь 2025'!$J$5:$J$2470,Q$1)</f>
        <v>0</v>
      </c>
      <c r="R126" s="183">
        <f>SUMIFS('июнь 2025'!$G$5:$G$2470,'июнь 2025'!$D$5:$D$2470,$B126,'июнь 2025'!$J$5:$J$2470,R$1)</f>
        <v>0</v>
      </c>
      <c r="S126" s="183">
        <f>SUMIFS('июнь 2025'!$G$5:$G$2470,'июнь 2025'!$D$5:$D$2470,$B126,'июнь 2025'!$J$5:$J$2470,S$1)</f>
        <v>0</v>
      </c>
      <c r="T126" s="183">
        <f>SUMIFS('июнь 2025'!$G$5:$G$2470,'июнь 2025'!$D$5:$D$2470,$B126,'июнь 2025'!$J$5:$J$2470,T$1)</f>
        <v>0</v>
      </c>
      <c r="U126" s="183">
        <f>SUMIFS('июнь 2025'!$G$5:$G$2470,'июнь 2025'!$D$5:$D$2470,$B126,'июнь 2025'!$J$5:$J$2470,U$1)</f>
        <v>0</v>
      </c>
      <c r="V126" s="183">
        <f>SUMIFS('июнь 2025'!$G$5:$G$2470,'июнь 2025'!$D$5:$D$2470,$B126,'июнь 2025'!$J$5:$J$2470,V$1)</f>
        <v>0</v>
      </c>
      <c r="W126" s="183">
        <f>SUMIFS('июнь 2025'!$G$5:$G$2470,'июнь 2025'!$D$5:$D$2470,$B126,'июнь 2025'!$J$5:$J$2470,W$1)</f>
        <v>0</v>
      </c>
      <c r="X126" s="183">
        <f>SUMIFS('июнь 2025'!$G$5:$G$2470,'июнь 2025'!$D$5:$D$2470,$B126,'июнь 2025'!$J$5:$J$2470,X$1)</f>
        <v>0</v>
      </c>
      <c r="Y126" s="183">
        <f>SUMIFS('июнь 2025'!$G$5:$G$2470,'июнь 2025'!$D$5:$D$2470,$B126,'июнь 2025'!$J$5:$J$2470,Y$1)</f>
        <v>0</v>
      </c>
      <c r="Z126" s="183">
        <f>SUMIFS('июнь 2025'!$G$5:$G$2470,'июнь 2025'!$D$5:$D$2470,$B126,'июнь 2025'!$J$5:$J$2470,Z$1)</f>
        <v>0</v>
      </c>
      <c r="AA126" s="183">
        <f>SUMIFS('июнь 2025'!$G$5:$G$2470,'июнь 2025'!$D$5:$D$2470,$B126,'июнь 2025'!$J$5:$J$2470,AA$1)</f>
        <v>0</v>
      </c>
      <c r="AB126" s="183">
        <f>SUMIFS('июнь 2025'!$G$5:$G$2470,'июнь 2025'!$D$5:$D$2470,$B126,'июнь 2025'!$J$5:$J$2470,AB$1)</f>
        <v>0</v>
      </c>
      <c r="AC126" s="183">
        <f>SUMIFS('июнь 2025'!$G$5:$G$2470,'июнь 2025'!$D$5:$D$2470,$B126,'июнь 2025'!$J$5:$J$2470,AC$1)</f>
        <v>0</v>
      </c>
      <c r="AD126" s="183">
        <f>SUMIFS('июнь 2025'!$G$5:$G$2470,'июнь 2025'!$D$5:$D$2470,$B126,'июнь 2025'!$J$5:$J$2470,AD$1)</f>
        <v>0</v>
      </c>
      <c r="AE126" s="183">
        <f>SUMIFS('июнь 2025'!$G$5:$G$2470,'июнь 2025'!$D$5:$D$2470,$B126,'июнь 2025'!$J$5:$J$2470,AE$1)</f>
        <v>0</v>
      </c>
      <c r="AF126" s="183">
        <f>SUMIFS('июнь 2025'!$G$5:$G$2470,'июнь 2025'!$D$5:$D$2470,$B126,'июнь 2025'!$J$5:$J$2470,AF$1)</f>
        <v>0</v>
      </c>
      <c r="AG126" s="183">
        <f>SUMIFS('июнь 2025'!$G$5:$G$2470,'июнь 2025'!$D$5:$D$2470,$B126,'июнь 2025'!$J$5:$J$2470,AG$1)</f>
        <v>0</v>
      </c>
      <c r="AH126" s="183">
        <f>SUMIFS('июнь 2025'!$G$5:$G$2470,'июнь 2025'!$D$5:$D$2470,$B126,'июнь 2025'!$J$5:$J$2470,AH$1)</f>
        <v>0</v>
      </c>
      <c r="AI126" s="20">
        <f t="shared" si="1"/>
        <v>0</v>
      </c>
    </row>
    <row r="127" spans="2:35" ht="15" customHeight="1" x14ac:dyDescent="0.25">
      <c r="B127" s="88" t="s">
        <v>326</v>
      </c>
      <c r="C127" s="86">
        <v>200</v>
      </c>
      <c r="D127" s="183">
        <f>SUMIFS('июнь 2025'!$G$5:$G$2470,'июнь 2025'!$D$5:$D$2470,$B127,'июнь 2025'!$J$5:$J$2470,D$1)</f>
        <v>0</v>
      </c>
      <c r="E127" s="183">
        <f>SUMIFS('июнь 2025'!$G$5:$G$2470,'июнь 2025'!$D$5:$D$2470,$B127,'июнь 2025'!$J$5:$J$2470,E$1)</f>
        <v>0</v>
      </c>
      <c r="F127" s="183">
        <f>SUMIFS('июнь 2025'!$G$5:$G$2470,'июнь 2025'!$D$5:$D$2470,$B127,'июнь 2025'!$J$5:$J$2470,F$1)</f>
        <v>0</v>
      </c>
      <c r="G127" s="183">
        <f>SUMIFS('июнь 2025'!$G$5:$G$2470,'июнь 2025'!$D$5:$D$2470,$B127,'июнь 2025'!$J$5:$J$2470,G$1)</f>
        <v>0</v>
      </c>
      <c r="H127" s="183">
        <f>SUMIFS('июнь 2025'!$G$5:$G$2470,'июнь 2025'!$D$5:$D$2470,$B127,'июнь 2025'!$J$5:$J$2470,H$1)</f>
        <v>0</v>
      </c>
      <c r="I127" s="183">
        <f>SUMIFS('июнь 2025'!$G$5:$G$2470,'июнь 2025'!$D$5:$D$2470,$B127,'июнь 2025'!$J$5:$J$2470,I$1)</f>
        <v>0</v>
      </c>
      <c r="J127" s="183">
        <f>SUMIFS('июнь 2025'!$G$5:$G$2470,'июнь 2025'!$D$5:$D$2470,$B127,'июнь 2025'!$J$5:$J$2470,J$1)</f>
        <v>0</v>
      </c>
      <c r="K127" s="183">
        <f>SUMIFS('июнь 2025'!$G$5:$G$2470,'июнь 2025'!$D$5:$D$2470,$B127,'июнь 2025'!$J$5:$J$2470,K$1)</f>
        <v>0</v>
      </c>
      <c r="L127" s="183">
        <f>SUMIFS('июнь 2025'!$G$5:$G$2470,'июнь 2025'!$D$5:$D$2470,$B127,'июнь 2025'!$J$5:$J$2470,L$1)</f>
        <v>0</v>
      </c>
      <c r="M127" s="183">
        <f>SUMIFS('июнь 2025'!$G$5:$G$2470,'июнь 2025'!$D$5:$D$2470,$B127,'июнь 2025'!$J$5:$J$2470,M$1)</f>
        <v>0</v>
      </c>
      <c r="N127" s="183">
        <f>SUMIFS('июнь 2025'!$G$5:$G$2470,'июнь 2025'!$D$5:$D$2470,$B127,'июнь 2025'!$J$5:$J$2470,N$1)</f>
        <v>0</v>
      </c>
      <c r="O127" s="183">
        <f>SUMIFS('июнь 2025'!$G$5:$G$2470,'июнь 2025'!$D$5:$D$2470,$B127,'июнь 2025'!$J$5:$J$2470,O$1)</f>
        <v>0</v>
      </c>
      <c r="P127" s="183">
        <f>SUMIFS('июнь 2025'!$G$5:$G$2470,'июнь 2025'!$D$5:$D$2470,$B127,'июнь 2025'!$J$5:$J$2470,P$1)</f>
        <v>0</v>
      </c>
      <c r="Q127" s="183">
        <f>SUMIFS('июнь 2025'!$G$5:$G$2470,'июнь 2025'!$D$5:$D$2470,$B127,'июнь 2025'!$J$5:$J$2470,Q$1)</f>
        <v>0</v>
      </c>
      <c r="R127" s="183">
        <f>SUMIFS('июнь 2025'!$G$5:$G$2470,'июнь 2025'!$D$5:$D$2470,$B127,'июнь 2025'!$J$5:$J$2470,R$1)</f>
        <v>0</v>
      </c>
      <c r="S127" s="183">
        <f>SUMIFS('июнь 2025'!$G$5:$G$2470,'июнь 2025'!$D$5:$D$2470,$B127,'июнь 2025'!$J$5:$J$2470,S$1)</f>
        <v>0</v>
      </c>
      <c r="T127" s="183">
        <f>SUMIFS('июнь 2025'!$G$5:$G$2470,'июнь 2025'!$D$5:$D$2470,$B127,'июнь 2025'!$J$5:$J$2470,T$1)</f>
        <v>0</v>
      </c>
      <c r="U127" s="183">
        <f>SUMIFS('июнь 2025'!$G$5:$G$2470,'июнь 2025'!$D$5:$D$2470,$B127,'июнь 2025'!$J$5:$J$2470,U$1)</f>
        <v>0</v>
      </c>
      <c r="V127" s="183">
        <f>SUMIFS('июнь 2025'!$G$5:$G$2470,'июнь 2025'!$D$5:$D$2470,$B127,'июнь 2025'!$J$5:$J$2470,V$1)</f>
        <v>0</v>
      </c>
      <c r="W127" s="183">
        <f>SUMIFS('июнь 2025'!$G$5:$G$2470,'июнь 2025'!$D$5:$D$2470,$B127,'июнь 2025'!$J$5:$J$2470,W$1)</f>
        <v>0</v>
      </c>
      <c r="X127" s="183">
        <f>SUMIFS('июнь 2025'!$G$5:$G$2470,'июнь 2025'!$D$5:$D$2470,$B127,'июнь 2025'!$J$5:$J$2470,X$1)</f>
        <v>0</v>
      </c>
      <c r="Y127" s="183">
        <f>SUMIFS('июнь 2025'!$G$5:$G$2470,'июнь 2025'!$D$5:$D$2470,$B127,'июнь 2025'!$J$5:$J$2470,Y$1)</f>
        <v>0</v>
      </c>
      <c r="Z127" s="183">
        <f>SUMIFS('июнь 2025'!$G$5:$G$2470,'июнь 2025'!$D$5:$D$2470,$B127,'июнь 2025'!$J$5:$J$2470,Z$1)</f>
        <v>0</v>
      </c>
      <c r="AA127" s="183">
        <f>SUMIFS('июнь 2025'!$G$5:$G$2470,'июнь 2025'!$D$5:$D$2470,$B127,'июнь 2025'!$J$5:$J$2470,AA$1)</f>
        <v>0</v>
      </c>
      <c r="AB127" s="183">
        <f>SUMIFS('июнь 2025'!$G$5:$G$2470,'июнь 2025'!$D$5:$D$2470,$B127,'июнь 2025'!$J$5:$J$2470,AB$1)</f>
        <v>0</v>
      </c>
      <c r="AC127" s="183">
        <f>SUMIFS('июнь 2025'!$G$5:$G$2470,'июнь 2025'!$D$5:$D$2470,$B127,'июнь 2025'!$J$5:$J$2470,AC$1)</f>
        <v>0</v>
      </c>
      <c r="AD127" s="183">
        <f>SUMIFS('июнь 2025'!$G$5:$G$2470,'июнь 2025'!$D$5:$D$2470,$B127,'июнь 2025'!$J$5:$J$2470,AD$1)</f>
        <v>0</v>
      </c>
      <c r="AE127" s="183">
        <f>SUMIFS('июнь 2025'!$G$5:$G$2470,'июнь 2025'!$D$5:$D$2470,$B127,'июнь 2025'!$J$5:$J$2470,AE$1)</f>
        <v>0</v>
      </c>
      <c r="AF127" s="183">
        <f>SUMIFS('июнь 2025'!$G$5:$G$2470,'июнь 2025'!$D$5:$D$2470,$B127,'июнь 2025'!$J$5:$J$2470,AF$1)</f>
        <v>0</v>
      </c>
      <c r="AG127" s="183">
        <f>SUMIFS('июнь 2025'!$G$5:$G$2470,'июнь 2025'!$D$5:$D$2470,$B127,'июнь 2025'!$J$5:$J$2470,AG$1)</f>
        <v>0</v>
      </c>
      <c r="AH127" s="183">
        <f>SUMIFS('июнь 2025'!$G$5:$G$2470,'июнь 2025'!$D$5:$D$2470,$B127,'июнь 2025'!$J$5:$J$2470,AH$1)</f>
        <v>0</v>
      </c>
      <c r="AI127" s="20">
        <f t="shared" si="1"/>
        <v>0</v>
      </c>
    </row>
    <row r="128" spans="2:35" ht="15" customHeight="1" x14ac:dyDescent="0.25">
      <c r="B128" s="88" t="s">
        <v>280</v>
      </c>
      <c r="C128" s="86">
        <v>185</v>
      </c>
      <c r="D128" s="183">
        <f>SUMIFS('июнь 2025'!$G$5:$G$2470,'июнь 2025'!$D$5:$D$2470,$B128,'июнь 2025'!$J$5:$J$2470,D$1)</f>
        <v>0</v>
      </c>
      <c r="E128" s="183">
        <f>SUMIFS('июнь 2025'!$G$5:$G$2470,'июнь 2025'!$D$5:$D$2470,$B128,'июнь 2025'!$J$5:$J$2470,E$1)</f>
        <v>0</v>
      </c>
      <c r="F128" s="183">
        <f>SUMIFS('июнь 2025'!$G$5:$G$2470,'июнь 2025'!$D$5:$D$2470,$B128,'июнь 2025'!$J$5:$J$2470,F$1)</f>
        <v>0</v>
      </c>
      <c r="G128" s="183">
        <f>SUMIFS('июнь 2025'!$G$5:$G$2470,'июнь 2025'!$D$5:$D$2470,$B128,'июнь 2025'!$J$5:$J$2470,G$1)</f>
        <v>0</v>
      </c>
      <c r="H128" s="183">
        <f>SUMIFS('июнь 2025'!$G$5:$G$2470,'июнь 2025'!$D$5:$D$2470,$B128,'июнь 2025'!$J$5:$J$2470,H$1)</f>
        <v>0</v>
      </c>
      <c r="I128" s="183">
        <f>SUMIFS('июнь 2025'!$G$5:$G$2470,'июнь 2025'!$D$5:$D$2470,$B128,'июнь 2025'!$J$5:$J$2470,I$1)</f>
        <v>0</v>
      </c>
      <c r="J128" s="183">
        <f>SUMIFS('июнь 2025'!$G$5:$G$2470,'июнь 2025'!$D$5:$D$2470,$B128,'июнь 2025'!$J$5:$J$2470,J$1)</f>
        <v>0</v>
      </c>
      <c r="K128" s="183">
        <f>SUMIFS('июнь 2025'!$G$5:$G$2470,'июнь 2025'!$D$5:$D$2470,$B128,'июнь 2025'!$J$5:$J$2470,K$1)</f>
        <v>0</v>
      </c>
      <c r="L128" s="183">
        <f>SUMIFS('июнь 2025'!$G$5:$G$2470,'июнь 2025'!$D$5:$D$2470,$B128,'июнь 2025'!$J$5:$J$2470,L$1)</f>
        <v>0</v>
      </c>
      <c r="M128" s="183">
        <f>SUMIFS('июнь 2025'!$G$5:$G$2470,'июнь 2025'!$D$5:$D$2470,$B128,'июнь 2025'!$J$5:$J$2470,M$1)</f>
        <v>0</v>
      </c>
      <c r="N128" s="183">
        <f>SUMIFS('июнь 2025'!$G$5:$G$2470,'июнь 2025'!$D$5:$D$2470,$B128,'июнь 2025'!$J$5:$J$2470,N$1)</f>
        <v>0</v>
      </c>
      <c r="O128" s="183">
        <f>SUMIFS('июнь 2025'!$G$5:$G$2470,'июнь 2025'!$D$5:$D$2470,$B128,'июнь 2025'!$J$5:$J$2470,O$1)</f>
        <v>0</v>
      </c>
      <c r="P128" s="183">
        <f>SUMIFS('июнь 2025'!$G$5:$G$2470,'июнь 2025'!$D$5:$D$2470,$B128,'июнь 2025'!$J$5:$J$2470,P$1)</f>
        <v>0</v>
      </c>
      <c r="Q128" s="183">
        <f>SUMIFS('июнь 2025'!$G$5:$G$2470,'июнь 2025'!$D$5:$D$2470,$B128,'июнь 2025'!$J$5:$J$2470,Q$1)</f>
        <v>0</v>
      </c>
      <c r="R128" s="183">
        <f>SUMIFS('июнь 2025'!$G$5:$G$2470,'июнь 2025'!$D$5:$D$2470,$B128,'июнь 2025'!$J$5:$J$2470,R$1)</f>
        <v>0</v>
      </c>
      <c r="S128" s="183">
        <f>SUMIFS('июнь 2025'!$G$5:$G$2470,'июнь 2025'!$D$5:$D$2470,$B128,'июнь 2025'!$J$5:$J$2470,S$1)</f>
        <v>0</v>
      </c>
      <c r="T128" s="183">
        <f>SUMIFS('июнь 2025'!$G$5:$G$2470,'июнь 2025'!$D$5:$D$2470,$B128,'июнь 2025'!$J$5:$J$2470,T$1)</f>
        <v>0</v>
      </c>
      <c r="U128" s="183">
        <f>SUMIFS('июнь 2025'!$G$5:$G$2470,'июнь 2025'!$D$5:$D$2470,$B128,'июнь 2025'!$J$5:$J$2470,U$1)</f>
        <v>0</v>
      </c>
      <c r="V128" s="183">
        <f>SUMIFS('июнь 2025'!$G$5:$G$2470,'июнь 2025'!$D$5:$D$2470,$B128,'июнь 2025'!$J$5:$J$2470,V$1)</f>
        <v>0</v>
      </c>
      <c r="W128" s="183">
        <f>SUMIFS('июнь 2025'!$G$5:$G$2470,'июнь 2025'!$D$5:$D$2470,$B128,'июнь 2025'!$J$5:$J$2470,W$1)</f>
        <v>0</v>
      </c>
      <c r="X128" s="183">
        <f>SUMIFS('июнь 2025'!$G$5:$G$2470,'июнь 2025'!$D$5:$D$2470,$B128,'июнь 2025'!$J$5:$J$2470,X$1)</f>
        <v>0</v>
      </c>
      <c r="Y128" s="183">
        <f>SUMIFS('июнь 2025'!$G$5:$G$2470,'июнь 2025'!$D$5:$D$2470,$B128,'июнь 2025'!$J$5:$J$2470,Y$1)</f>
        <v>0</v>
      </c>
      <c r="Z128" s="183">
        <f>SUMIFS('июнь 2025'!$G$5:$G$2470,'июнь 2025'!$D$5:$D$2470,$B128,'июнь 2025'!$J$5:$J$2470,Z$1)</f>
        <v>0</v>
      </c>
      <c r="AA128" s="183">
        <f>SUMIFS('июнь 2025'!$G$5:$G$2470,'июнь 2025'!$D$5:$D$2470,$B128,'июнь 2025'!$J$5:$J$2470,AA$1)</f>
        <v>0</v>
      </c>
      <c r="AB128" s="183">
        <f>SUMIFS('июнь 2025'!$G$5:$G$2470,'июнь 2025'!$D$5:$D$2470,$B128,'июнь 2025'!$J$5:$J$2470,AB$1)</f>
        <v>0</v>
      </c>
      <c r="AC128" s="183">
        <f>SUMIFS('июнь 2025'!$G$5:$G$2470,'июнь 2025'!$D$5:$D$2470,$B128,'июнь 2025'!$J$5:$J$2470,AC$1)</f>
        <v>0</v>
      </c>
      <c r="AD128" s="183">
        <f>SUMIFS('июнь 2025'!$G$5:$G$2470,'июнь 2025'!$D$5:$D$2470,$B128,'июнь 2025'!$J$5:$J$2470,AD$1)</f>
        <v>0</v>
      </c>
      <c r="AE128" s="183">
        <f>SUMIFS('июнь 2025'!$G$5:$G$2470,'июнь 2025'!$D$5:$D$2470,$B128,'июнь 2025'!$J$5:$J$2470,AE$1)</f>
        <v>0</v>
      </c>
      <c r="AF128" s="183">
        <f>SUMIFS('июнь 2025'!$G$5:$G$2470,'июнь 2025'!$D$5:$D$2470,$B128,'июнь 2025'!$J$5:$J$2470,AF$1)</f>
        <v>0</v>
      </c>
      <c r="AG128" s="183">
        <f>SUMIFS('июнь 2025'!$G$5:$G$2470,'июнь 2025'!$D$5:$D$2470,$B128,'июнь 2025'!$J$5:$J$2470,AG$1)</f>
        <v>0</v>
      </c>
      <c r="AH128" s="183">
        <f>SUMIFS('июнь 2025'!$G$5:$G$2470,'июнь 2025'!$D$5:$D$2470,$B128,'июнь 2025'!$J$5:$J$2470,AH$1)</f>
        <v>0</v>
      </c>
      <c r="AI128" s="20">
        <f t="shared" si="1"/>
        <v>0</v>
      </c>
    </row>
    <row r="129" spans="2:35" ht="15" customHeight="1" x14ac:dyDescent="0.25">
      <c r="B129" s="88" t="s">
        <v>283</v>
      </c>
      <c r="C129" s="86">
        <v>185</v>
      </c>
      <c r="D129" s="183">
        <f>SUMIFS('июнь 2025'!$G$5:$G$2470,'июнь 2025'!$D$5:$D$2470,$B129,'июнь 2025'!$J$5:$J$2470,D$1)</f>
        <v>0</v>
      </c>
      <c r="E129" s="183">
        <f>SUMIFS('июнь 2025'!$G$5:$G$2470,'июнь 2025'!$D$5:$D$2470,$B129,'июнь 2025'!$J$5:$J$2470,E$1)</f>
        <v>0</v>
      </c>
      <c r="F129" s="183">
        <f>SUMIFS('июнь 2025'!$G$5:$G$2470,'июнь 2025'!$D$5:$D$2470,$B129,'июнь 2025'!$J$5:$J$2470,F$1)</f>
        <v>0</v>
      </c>
      <c r="G129" s="183">
        <f>SUMIFS('июнь 2025'!$G$5:$G$2470,'июнь 2025'!$D$5:$D$2470,$B129,'июнь 2025'!$J$5:$J$2470,G$1)</f>
        <v>0</v>
      </c>
      <c r="H129" s="183">
        <f>SUMIFS('июнь 2025'!$G$5:$G$2470,'июнь 2025'!$D$5:$D$2470,$B129,'июнь 2025'!$J$5:$J$2470,H$1)</f>
        <v>0</v>
      </c>
      <c r="I129" s="183">
        <f>SUMIFS('июнь 2025'!$G$5:$G$2470,'июнь 2025'!$D$5:$D$2470,$B129,'июнь 2025'!$J$5:$J$2470,I$1)</f>
        <v>0</v>
      </c>
      <c r="J129" s="183">
        <f>SUMIFS('июнь 2025'!$G$5:$G$2470,'июнь 2025'!$D$5:$D$2470,$B129,'июнь 2025'!$J$5:$J$2470,J$1)</f>
        <v>0</v>
      </c>
      <c r="K129" s="183">
        <f>SUMIFS('июнь 2025'!$G$5:$G$2470,'июнь 2025'!$D$5:$D$2470,$B129,'июнь 2025'!$J$5:$J$2470,K$1)</f>
        <v>0</v>
      </c>
      <c r="L129" s="183">
        <f>SUMIFS('июнь 2025'!$G$5:$G$2470,'июнь 2025'!$D$5:$D$2470,$B129,'июнь 2025'!$J$5:$J$2470,L$1)</f>
        <v>0</v>
      </c>
      <c r="M129" s="183">
        <f>SUMIFS('июнь 2025'!$G$5:$G$2470,'июнь 2025'!$D$5:$D$2470,$B129,'июнь 2025'!$J$5:$J$2470,M$1)</f>
        <v>0</v>
      </c>
      <c r="N129" s="183">
        <f>SUMIFS('июнь 2025'!$G$5:$G$2470,'июнь 2025'!$D$5:$D$2470,$B129,'июнь 2025'!$J$5:$J$2470,N$1)</f>
        <v>0</v>
      </c>
      <c r="O129" s="183">
        <f>SUMIFS('июнь 2025'!$G$5:$G$2470,'июнь 2025'!$D$5:$D$2470,$B129,'июнь 2025'!$J$5:$J$2470,O$1)</f>
        <v>0</v>
      </c>
      <c r="P129" s="183">
        <f>SUMIFS('июнь 2025'!$G$5:$G$2470,'июнь 2025'!$D$5:$D$2470,$B129,'июнь 2025'!$J$5:$J$2470,P$1)</f>
        <v>0</v>
      </c>
      <c r="Q129" s="183">
        <f>SUMIFS('июнь 2025'!$G$5:$G$2470,'июнь 2025'!$D$5:$D$2470,$B129,'июнь 2025'!$J$5:$J$2470,Q$1)</f>
        <v>0</v>
      </c>
      <c r="R129" s="183">
        <f>SUMIFS('июнь 2025'!$G$5:$G$2470,'июнь 2025'!$D$5:$D$2470,$B129,'июнь 2025'!$J$5:$J$2470,R$1)</f>
        <v>0</v>
      </c>
      <c r="S129" s="183">
        <f>SUMIFS('июнь 2025'!$G$5:$G$2470,'июнь 2025'!$D$5:$D$2470,$B129,'июнь 2025'!$J$5:$J$2470,S$1)</f>
        <v>0</v>
      </c>
      <c r="T129" s="183">
        <f>SUMIFS('июнь 2025'!$G$5:$G$2470,'июнь 2025'!$D$5:$D$2470,$B129,'июнь 2025'!$J$5:$J$2470,T$1)</f>
        <v>0</v>
      </c>
      <c r="U129" s="183">
        <f>SUMIFS('июнь 2025'!$G$5:$G$2470,'июнь 2025'!$D$5:$D$2470,$B129,'июнь 2025'!$J$5:$J$2470,U$1)</f>
        <v>0</v>
      </c>
      <c r="V129" s="183">
        <f>SUMIFS('июнь 2025'!$G$5:$G$2470,'июнь 2025'!$D$5:$D$2470,$B129,'июнь 2025'!$J$5:$J$2470,V$1)</f>
        <v>0</v>
      </c>
      <c r="W129" s="183">
        <f>SUMIFS('июнь 2025'!$G$5:$G$2470,'июнь 2025'!$D$5:$D$2470,$B129,'июнь 2025'!$J$5:$J$2470,W$1)</f>
        <v>0</v>
      </c>
      <c r="X129" s="183">
        <f>SUMIFS('июнь 2025'!$G$5:$G$2470,'июнь 2025'!$D$5:$D$2470,$B129,'июнь 2025'!$J$5:$J$2470,X$1)</f>
        <v>0</v>
      </c>
      <c r="Y129" s="183">
        <f>SUMIFS('июнь 2025'!$G$5:$G$2470,'июнь 2025'!$D$5:$D$2470,$B129,'июнь 2025'!$J$5:$J$2470,Y$1)</f>
        <v>0</v>
      </c>
      <c r="Z129" s="183">
        <f>SUMIFS('июнь 2025'!$G$5:$G$2470,'июнь 2025'!$D$5:$D$2470,$B129,'июнь 2025'!$J$5:$J$2470,Z$1)</f>
        <v>0</v>
      </c>
      <c r="AA129" s="183">
        <f>SUMIFS('июнь 2025'!$G$5:$G$2470,'июнь 2025'!$D$5:$D$2470,$B129,'июнь 2025'!$J$5:$J$2470,AA$1)</f>
        <v>0</v>
      </c>
      <c r="AB129" s="183">
        <f>SUMIFS('июнь 2025'!$G$5:$G$2470,'июнь 2025'!$D$5:$D$2470,$B129,'июнь 2025'!$J$5:$J$2470,AB$1)</f>
        <v>0</v>
      </c>
      <c r="AC129" s="183">
        <f>SUMIFS('июнь 2025'!$G$5:$G$2470,'июнь 2025'!$D$5:$D$2470,$B129,'июнь 2025'!$J$5:$J$2470,AC$1)</f>
        <v>0</v>
      </c>
      <c r="AD129" s="183">
        <f>SUMIFS('июнь 2025'!$G$5:$G$2470,'июнь 2025'!$D$5:$D$2470,$B129,'июнь 2025'!$J$5:$J$2470,AD$1)</f>
        <v>0</v>
      </c>
      <c r="AE129" s="183">
        <f>SUMIFS('июнь 2025'!$G$5:$G$2470,'июнь 2025'!$D$5:$D$2470,$B129,'июнь 2025'!$J$5:$J$2470,AE$1)</f>
        <v>0</v>
      </c>
      <c r="AF129" s="183">
        <f>SUMIFS('июнь 2025'!$G$5:$G$2470,'июнь 2025'!$D$5:$D$2470,$B129,'июнь 2025'!$J$5:$J$2470,AF$1)</f>
        <v>0</v>
      </c>
      <c r="AG129" s="183">
        <f>SUMIFS('июнь 2025'!$G$5:$G$2470,'июнь 2025'!$D$5:$D$2470,$B129,'июнь 2025'!$J$5:$J$2470,AG$1)</f>
        <v>0</v>
      </c>
      <c r="AH129" s="183">
        <f>SUMIFS('июнь 2025'!$G$5:$G$2470,'июнь 2025'!$D$5:$D$2470,$B129,'июнь 2025'!$J$5:$J$2470,AH$1)</f>
        <v>0</v>
      </c>
      <c r="AI129" s="20">
        <f t="shared" si="1"/>
        <v>0</v>
      </c>
    </row>
    <row r="130" spans="2:35" ht="15" customHeight="1" x14ac:dyDescent="0.25">
      <c r="B130" s="88" t="s">
        <v>866</v>
      </c>
      <c r="C130" s="86">
        <v>185</v>
      </c>
      <c r="D130" s="183">
        <f>SUMIFS('июнь 2025'!$G$5:$G$2470,'июнь 2025'!$D$5:$D$2470,$B130,'июнь 2025'!$J$5:$J$2470,D$1)</f>
        <v>0</v>
      </c>
      <c r="E130" s="183">
        <f>SUMIFS('июнь 2025'!$G$5:$G$2470,'июнь 2025'!$D$5:$D$2470,$B130,'июнь 2025'!$J$5:$J$2470,E$1)</f>
        <v>0</v>
      </c>
      <c r="F130" s="183">
        <f>SUMIFS('июнь 2025'!$G$5:$G$2470,'июнь 2025'!$D$5:$D$2470,$B130,'июнь 2025'!$J$5:$J$2470,F$1)</f>
        <v>0</v>
      </c>
      <c r="G130" s="183">
        <f>SUMIFS('июнь 2025'!$G$5:$G$2470,'июнь 2025'!$D$5:$D$2470,$B130,'июнь 2025'!$J$5:$J$2470,G$1)</f>
        <v>0</v>
      </c>
      <c r="H130" s="183">
        <f>SUMIFS('июнь 2025'!$G$5:$G$2470,'июнь 2025'!$D$5:$D$2470,$B130,'июнь 2025'!$J$5:$J$2470,H$1)</f>
        <v>0</v>
      </c>
      <c r="I130" s="183">
        <f>SUMIFS('июнь 2025'!$G$5:$G$2470,'июнь 2025'!$D$5:$D$2470,$B130,'июнь 2025'!$J$5:$J$2470,I$1)</f>
        <v>0</v>
      </c>
      <c r="J130" s="183">
        <f>SUMIFS('июнь 2025'!$G$5:$G$2470,'июнь 2025'!$D$5:$D$2470,$B130,'июнь 2025'!$J$5:$J$2470,J$1)</f>
        <v>0</v>
      </c>
      <c r="K130" s="183">
        <f>SUMIFS('июнь 2025'!$G$5:$G$2470,'июнь 2025'!$D$5:$D$2470,$B130,'июнь 2025'!$J$5:$J$2470,K$1)</f>
        <v>0</v>
      </c>
      <c r="L130" s="183">
        <f>SUMIFS('июнь 2025'!$G$5:$G$2470,'июнь 2025'!$D$5:$D$2470,$B130,'июнь 2025'!$J$5:$J$2470,L$1)</f>
        <v>0</v>
      </c>
      <c r="M130" s="183">
        <f>SUMIFS('июнь 2025'!$G$5:$G$2470,'июнь 2025'!$D$5:$D$2470,$B130,'июнь 2025'!$J$5:$J$2470,M$1)</f>
        <v>0</v>
      </c>
      <c r="N130" s="183">
        <f>SUMIFS('июнь 2025'!$G$5:$G$2470,'июнь 2025'!$D$5:$D$2470,$B130,'июнь 2025'!$J$5:$J$2470,N$1)</f>
        <v>0</v>
      </c>
      <c r="O130" s="183">
        <f>SUMIFS('июнь 2025'!$G$5:$G$2470,'июнь 2025'!$D$5:$D$2470,$B130,'июнь 2025'!$J$5:$J$2470,O$1)</f>
        <v>0</v>
      </c>
      <c r="P130" s="183">
        <f>SUMIFS('июнь 2025'!$G$5:$G$2470,'июнь 2025'!$D$5:$D$2470,$B130,'июнь 2025'!$J$5:$J$2470,P$1)</f>
        <v>0</v>
      </c>
      <c r="Q130" s="183">
        <f>SUMIFS('июнь 2025'!$G$5:$G$2470,'июнь 2025'!$D$5:$D$2470,$B130,'июнь 2025'!$J$5:$J$2470,Q$1)</f>
        <v>0</v>
      </c>
      <c r="R130" s="183">
        <f>SUMIFS('июнь 2025'!$G$5:$G$2470,'июнь 2025'!$D$5:$D$2470,$B130,'июнь 2025'!$J$5:$J$2470,R$1)</f>
        <v>0</v>
      </c>
      <c r="S130" s="183">
        <f>SUMIFS('июнь 2025'!$G$5:$G$2470,'июнь 2025'!$D$5:$D$2470,$B130,'июнь 2025'!$J$5:$J$2470,S$1)</f>
        <v>0</v>
      </c>
      <c r="T130" s="183">
        <f>SUMIFS('июнь 2025'!$G$5:$G$2470,'июнь 2025'!$D$5:$D$2470,$B130,'июнь 2025'!$J$5:$J$2470,T$1)</f>
        <v>0</v>
      </c>
      <c r="U130" s="183">
        <f>SUMIFS('июнь 2025'!$G$5:$G$2470,'июнь 2025'!$D$5:$D$2470,$B130,'июнь 2025'!$J$5:$J$2470,U$1)</f>
        <v>0</v>
      </c>
      <c r="V130" s="183">
        <f>SUMIFS('июнь 2025'!$G$5:$G$2470,'июнь 2025'!$D$5:$D$2470,$B130,'июнь 2025'!$J$5:$J$2470,V$1)</f>
        <v>0</v>
      </c>
      <c r="W130" s="183">
        <f>SUMIFS('июнь 2025'!$G$5:$G$2470,'июнь 2025'!$D$5:$D$2470,$B130,'июнь 2025'!$J$5:$J$2470,W$1)</f>
        <v>0</v>
      </c>
      <c r="X130" s="183">
        <f>SUMIFS('июнь 2025'!$G$5:$G$2470,'июнь 2025'!$D$5:$D$2470,$B130,'июнь 2025'!$J$5:$J$2470,X$1)</f>
        <v>0</v>
      </c>
      <c r="Y130" s="183">
        <f>SUMIFS('июнь 2025'!$G$5:$G$2470,'июнь 2025'!$D$5:$D$2470,$B130,'июнь 2025'!$J$5:$J$2470,Y$1)</f>
        <v>0</v>
      </c>
      <c r="Z130" s="183">
        <f>SUMIFS('июнь 2025'!$G$5:$G$2470,'июнь 2025'!$D$5:$D$2470,$B130,'июнь 2025'!$J$5:$J$2470,Z$1)</f>
        <v>0</v>
      </c>
      <c r="AA130" s="183">
        <f>SUMIFS('июнь 2025'!$G$5:$G$2470,'июнь 2025'!$D$5:$D$2470,$B130,'июнь 2025'!$J$5:$J$2470,AA$1)</f>
        <v>0</v>
      </c>
      <c r="AB130" s="183">
        <f>SUMIFS('июнь 2025'!$G$5:$G$2470,'июнь 2025'!$D$5:$D$2470,$B130,'июнь 2025'!$J$5:$J$2470,AB$1)</f>
        <v>0</v>
      </c>
      <c r="AC130" s="183">
        <f>SUMIFS('июнь 2025'!$G$5:$G$2470,'июнь 2025'!$D$5:$D$2470,$B130,'июнь 2025'!$J$5:$J$2470,AC$1)</f>
        <v>0</v>
      </c>
      <c r="AD130" s="183">
        <f>SUMIFS('июнь 2025'!$G$5:$G$2470,'июнь 2025'!$D$5:$D$2470,$B130,'июнь 2025'!$J$5:$J$2470,AD$1)</f>
        <v>0</v>
      </c>
      <c r="AE130" s="183">
        <f>SUMIFS('июнь 2025'!$G$5:$G$2470,'июнь 2025'!$D$5:$D$2470,$B130,'июнь 2025'!$J$5:$J$2470,AE$1)</f>
        <v>0</v>
      </c>
      <c r="AF130" s="183">
        <f>SUMIFS('июнь 2025'!$G$5:$G$2470,'июнь 2025'!$D$5:$D$2470,$B130,'июнь 2025'!$J$5:$J$2470,AF$1)</f>
        <v>0</v>
      </c>
      <c r="AG130" s="183">
        <f>SUMIFS('июнь 2025'!$G$5:$G$2470,'июнь 2025'!$D$5:$D$2470,$B130,'июнь 2025'!$J$5:$J$2470,AG$1)</f>
        <v>0</v>
      </c>
      <c r="AH130" s="183">
        <f>SUMIFS('июнь 2025'!$G$5:$G$2470,'июнь 2025'!$D$5:$D$2470,$B130,'июнь 2025'!$J$5:$J$2470,AH$1)</f>
        <v>0</v>
      </c>
      <c r="AI130" s="20">
        <f t="shared" si="1"/>
        <v>0</v>
      </c>
    </row>
    <row r="131" spans="2:35" ht="15" customHeight="1" x14ac:dyDescent="0.25">
      <c r="B131" s="88" t="s">
        <v>266</v>
      </c>
      <c r="C131" s="86">
        <v>180</v>
      </c>
      <c r="D131" s="183">
        <f>SUMIFS('июнь 2025'!$G$5:$G$2470,'июнь 2025'!$D$5:$D$2470,$B131,'июнь 2025'!$J$5:$J$2470,D$1)</f>
        <v>0</v>
      </c>
      <c r="E131" s="183">
        <f>SUMIFS('июнь 2025'!$G$5:$G$2470,'июнь 2025'!$D$5:$D$2470,$B131,'июнь 2025'!$J$5:$J$2470,E$1)</f>
        <v>0</v>
      </c>
      <c r="F131" s="183">
        <f>SUMIFS('июнь 2025'!$G$5:$G$2470,'июнь 2025'!$D$5:$D$2470,$B131,'июнь 2025'!$J$5:$J$2470,F$1)</f>
        <v>0</v>
      </c>
      <c r="G131" s="183">
        <f>SUMIFS('июнь 2025'!$G$5:$G$2470,'июнь 2025'!$D$5:$D$2470,$B131,'июнь 2025'!$J$5:$J$2470,G$1)</f>
        <v>0</v>
      </c>
      <c r="H131" s="183">
        <f>SUMIFS('июнь 2025'!$G$5:$G$2470,'июнь 2025'!$D$5:$D$2470,$B131,'июнь 2025'!$J$5:$J$2470,H$1)</f>
        <v>0</v>
      </c>
      <c r="I131" s="183">
        <f>SUMIFS('июнь 2025'!$G$5:$G$2470,'июнь 2025'!$D$5:$D$2470,$B131,'июнь 2025'!$J$5:$J$2470,I$1)</f>
        <v>0</v>
      </c>
      <c r="J131" s="183">
        <f>SUMIFS('июнь 2025'!$G$5:$G$2470,'июнь 2025'!$D$5:$D$2470,$B131,'июнь 2025'!$J$5:$J$2470,J$1)</f>
        <v>0</v>
      </c>
      <c r="K131" s="183">
        <f>SUMIFS('июнь 2025'!$G$5:$G$2470,'июнь 2025'!$D$5:$D$2470,$B131,'июнь 2025'!$J$5:$J$2470,K$1)</f>
        <v>0</v>
      </c>
      <c r="L131" s="183">
        <f>SUMIFS('июнь 2025'!$G$5:$G$2470,'июнь 2025'!$D$5:$D$2470,$B131,'июнь 2025'!$J$5:$J$2470,L$1)</f>
        <v>0</v>
      </c>
      <c r="M131" s="183">
        <f>SUMIFS('июнь 2025'!$G$5:$G$2470,'июнь 2025'!$D$5:$D$2470,$B131,'июнь 2025'!$J$5:$J$2470,M$1)</f>
        <v>0</v>
      </c>
      <c r="N131" s="183">
        <f>SUMIFS('июнь 2025'!$G$5:$G$2470,'июнь 2025'!$D$5:$D$2470,$B131,'июнь 2025'!$J$5:$J$2470,N$1)</f>
        <v>0</v>
      </c>
      <c r="O131" s="183">
        <f>SUMIFS('июнь 2025'!$G$5:$G$2470,'июнь 2025'!$D$5:$D$2470,$B131,'июнь 2025'!$J$5:$J$2470,O$1)</f>
        <v>0</v>
      </c>
      <c r="P131" s="183">
        <f>SUMIFS('июнь 2025'!$G$5:$G$2470,'июнь 2025'!$D$5:$D$2470,$B131,'июнь 2025'!$J$5:$J$2470,P$1)</f>
        <v>0</v>
      </c>
      <c r="Q131" s="183">
        <f>SUMIFS('июнь 2025'!$G$5:$G$2470,'июнь 2025'!$D$5:$D$2470,$B131,'июнь 2025'!$J$5:$J$2470,Q$1)</f>
        <v>0</v>
      </c>
      <c r="R131" s="183">
        <f>SUMIFS('июнь 2025'!$G$5:$G$2470,'июнь 2025'!$D$5:$D$2470,$B131,'июнь 2025'!$J$5:$J$2470,R$1)</f>
        <v>0</v>
      </c>
      <c r="S131" s="183">
        <f>SUMIFS('июнь 2025'!$G$5:$G$2470,'июнь 2025'!$D$5:$D$2470,$B131,'июнь 2025'!$J$5:$J$2470,S$1)</f>
        <v>0</v>
      </c>
      <c r="T131" s="183">
        <f>SUMIFS('июнь 2025'!$G$5:$G$2470,'июнь 2025'!$D$5:$D$2470,$B131,'июнь 2025'!$J$5:$J$2470,T$1)</f>
        <v>0</v>
      </c>
      <c r="U131" s="183">
        <f>SUMIFS('июнь 2025'!$G$5:$G$2470,'июнь 2025'!$D$5:$D$2470,$B131,'июнь 2025'!$J$5:$J$2470,U$1)</f>
        <v>0</v>
      </c>
      <c r="V131" s="183">
        <f>SUMIFS('июнь 2025'!$G$5:$G$2470,'июнь 2025'!$D$5:$D$2470,$B131,'июнь 2025'!$J$5:$J$2470,V$1)</f>
        <v>0</v>
      </c>
      <c r="W131" s="183">
        <f>SUMIFS('июнь 2025'!$G$5:$G$2470,'июнь 2025'!$D$5:$D$2470,$B131,'июнь 2025'!$J$5:$J$2470,W$1)</f>
        <v>0</v>
      </c>
      <c r="X131" s="183">
        <f>SUMIFS('июнь 2025'!$G$5:$G$2470,'июнь 2025'!$D$5:$D$2470,$B131,'июнь 2025'!$J$5:$J$2470,X$1)</f>
        <v>0</v>
      </c>
      <c r="Y131" s="183">
        <f>SUMIFS('июнь 2025'!$G$5:$G$2470,'июнь 2025'!$D$5:$D$2470,$B131,'июнь 2025'!$J$5:$J$2470,Y$1)</f>
        <v>0</v>
      </c>
      <c r="Z131" s="183">
        <f>SUMIFS('июнь 2025'!$G$5:$G$2470,'июнь 2025'!$D$5:$D$2470,$B131,'июнь 2025'!$J$5:$J$2470,Z$1)</f>
        <v>0</v>
      </c>
      <c r="AA131" s="183">
        <f>SUMIFS('июнь 2025'!$G$5:$G$2470,'июнь 2025'!$D$5:$D$2470,$B131,'июнь 2025'!$J$5:$J$2470,AA$1)</f>
        <v>0</v>
      </c>
      <c r="AB131" s="183">
        <f>SUMIFS('июнь 2025'!$G$5:$G$2470,'июнь 2025'!$D$5:$D$2470,$B131,'июнь 2025'!$J$5:$J$2470,AB$1)</f>
        <v>0</v>
      </c>
      <c r="AC131" s="183">
        <f>SUMIFS('июнь 2025'!$G$5:$G$2470,'июнь 2025'!$D$5:$D$2470,$B131,'июнь 2025'!$J$5:$J$2470,AC$1)</f>
        <v>0</v>
      </c>
      <c r="AD131" s="183">
        <f>SUMIFS('июнь 2025'!$G$5:$G$2470,'июнь 2025'!$D$5:$D$2470,$B131,'июнь 2025'!$J$5:$J$2470,AD$1)</f>
        <v>0</v>
      </c>
      <c r="AE131" s="183">
        <f>SUMIFS('июнь 2025'!$G$5:$G$2470,'июнь 2025'!$D$5:$D$2470,$B131,'июнь 2025'!$J$5:$J$2470,AE$1)</f>
        <v>0</v>
      </c>
      <c r="AF131" s="183">
        <f>SUMIFS('июнь 2025'!$G$5:$G$2470,'июнь 2025'!$D$5:$D$2470,$B131,'июнь 2025'!$J$5:$J$2470,AF$1)</f>
        <v>0</v>
      </c>
      <c r="AG131" s="183">
        <f>SUMIFS('июнь 2025'!$G$5:$G$2470,'июнь 2025'!$D$5:$D$2470,$B131,'июнь 2025'!$J$5:$J$2470,AG$1)</f>
        <v>0</v>
      </c>
      <c r="AH131" s="183">
        <f>SUMIFS('июнь 2025'!$G$5:$G$2470,'июнь 2025'!$D$5:$D$2470,$B131,'июнь 2025'!$J$5:$J$2470,AH$1)</f>
        <v>0</v>
      </c>
      <c r="AI131" s="20">
        <f t="shared" si="1"/>
        <v>0</v>
      </c>
    </row>
    <row r="132" spans="2:35" ht="15" customHeight="1" x14ac:dyDescent="0.25">
      <c r="B132" s="88" t="s">
        <v>267</v>
      </c>
      <c r="C132" s="86">
        <v>200</v>
      </c>
      <c r="D132" s="183">
        <f>SUMIFS('июнь 2025'!$G$5:$G$2470,'июнь 2025'!$D$5:$D$2470,$B132,'июнь 2025'!$J$5:$J$2470,D$1)</f>
        <v>0</v>
      </c>
      <c r="E132" s="183">
        <f>SUMIFS('июнь 2025'!$G$5:$G$2470,'июнь 2025'!$D$5:$D$2470,$B132,'июнь 2025'!$J$5:$J$2470,E$1)</f>
        <v>0</v>
      </c>
      <c r="F132" s="183">
        <f>SUMIFS('июнь 2025'!$G$5:$G$2470,'июнь 2025'!$D$5:$D$2470,$B132,'июнь 2025'!$J$5:$J$2470,F$1)</f>
        <v>0</v>
      </c>
      <c r="G132" s="183">
        <f>SUMIFS('июнь 2025'!$G$5:$G$2470,'июнь 2025'!$D$5:$D$2470,$B132,'июнь 2025'!$J$5:$J$2470,G$1)</f>
        <v>0</v>
      </c>
      <c r="H132" s="183">
        <f>SUMIFS('июнь 2025'!$G$5:$G$2470,'июнь 2025'!$D$5:$D$2470,$B132,'июнь 2025'!$J$5:$J$2470,H$1)</f>
        <v>0</v>
      </c>
      <c r="I132" s="183">
        <f>SUMIFS('июнь 2025'!$G$5:$G$2470,'июнь 2025'!$D$5:$D$2470,$B132,'июнь 2025'!$J$5:$J$2470,I$1)</f>
        <v>0</v>
      </c>
      <c r="J132" s="183">
        <f>SUMIFS('июнь 2025'!$G$5:$G$2470,'июнь 2025'!$D$5:$D$2470,$B132,'июнь 2025'!$J$5:$J$2470,J$1)</f>
        <v>0</v>
      </c>
      <c r="K132" s="183">
        <f>SUMIFS('июнь 2025'!$G$5:$G$2470,'июнь 2025'!$D$5:$D$2470,$B132,'июнь 2025'!$J$5:$J$2470,K$1)</f>
        <v>0</v>
      </c>
      <c r="L132" s="183">
        <f>SUMIFS('июнь 2025'!$G$5:$G$2470,'июнь 2025'!$D$5:$D$2470,$B132,'июнь 2025'!$J$5:$J$2470,L$1)</f>
        <v>0</v>
      </c>
      <c r="M132" s="183">
        <f>SUMIFS('июнь 2025'!$G$5:$G$2470,'июнь 2025'!$D$5:$D$2470,$B132,'июнь 2025'!$J$5:$J$2470,M$1)</f>
        <v>0</v>
      </c>
      <c r="N132" s="183">
        <f>SUMIFS('июнь 2025'!$G$5:$G$2470,'июнь 2025'!$D$5:$D$2470,$B132,'июнь 2025'!$J$5:$J$2470,N$1)</f>
        <v>0</v>
      </c>
      <c r="O132" s="183">
        <f>SUMIFS('июнь 2025'!$G$5:$G$2470,'июнь 2025'!$D$5:$D$2470,$B132,'июнь 2025'!$J$5:$J$2470,O$1)</f>
        <v>0</v>
      </c>
      <c r="P132" s="183">
        <f>SUMIFS('июнь 2025'!$G$5:$G$2470,'июнь 2025'!$D$5:$D$2470,$B132,'июнь 2025'!$J$5:$J$2470,P$1)</f>
        <v>0</v>
      </c>
      <c r="Q132" s="183">
        <f>SUMIFS('июнь 2025'!$G$5:$G$2470,'июнь 2025'!$D$5:$D$2470,$B132,'июнь 2025'!$J$5:$J$2470,Q$1)</f>
        <v>0</v>
      </c>
      <c r="R132" s="183">
        <f>SUMIFS('июнь 2025'!$G$5:$G$2470,'июнь 2025'!$D$5:$D$2470,$B132,'июнь 2025'!$J$5:$J$2470,R$1)</f>
        <v>0</v>
      </c>
      <c r="S132" s="183">
        <f>SUMIFS('июнь 2025'!$G$5:$G$2470,'июнь 2025'!$D$5:$D$2470,$B132,'июнь 2025'!$J$5:$J$2470,S$1)</f>
        <v>0</v>
      </c>
      <c r="T132" s="183">
        <f>SUMIFS('июнь 2025'!$G$5:$G$2470,'июнь 2025'!$D$5:$D$2470,$B132,'июнь 2025'!$J$5:$J$2470,T$1)</f>
        <v>0</v>
      </c>
      <c r="U132" s="183">
        <f>SUMIFS('июнь 2025'!$G$5:$G$2470,'июнь 2025'!$D$5:$D$2470,$B132,'июнь 2025'!$J$5:$J$2470,U$1)</f>
        <v>0</v>
      </c>
      <c r="V132" s="183">
        <f>SUMIFS('июнь 2025'!$G$5:$G$2470,'июнь 2025'!$D$5:$D$2470,$B132,'июнь 2025'!$J$5:$J$2470,V$1)</f>
        <v>88</v>
      </c>
      <c r="W132" s="183">
        <f>SUMIFS('июнь 2025'!$G$5:$G$2470,'июнь 2025'!$D$5:$D$2470,$B132,'июнь 2025'!$J$5:$J$2470,W$1)</f>
        <v>0</v>
      </c>
      <c r="X132" s="183">
        <f>SUMIFS('июнь 2025'!$G$5:$G$2470,'июнь 2025'!$D$5:$D$2470,$B132,'июнь 2025'!$J$5:$J$2470,X$1)</f>
        <v>0</v>
      </c>
      <c r="Y132" s="183">
        <f>SUMIFS('июнь 2025'!$G$5:$G$2470,'июнь 2025'!$D$5:$D$2470,$B132,'июнь 2025'!$J$5:$J$2470,Y$1)</f>
        <v>0</v>
      </c>
      <c r="Z132" s="183">
        <f>SUMIFS('июнь 2025'!$G$5:$G$2470,'июнь 2025'!$D$5:$D$2470,$B132,'июнь 2025'!$J$5:$J$2470,Z$1)</f>
        <v>0</v>
      </c>
      <c r="AA132" s="183">
        <f>SUMIFS('июнь 2025'!$G$5:$G$2470,'июнь 2025'!$D$5:$D$2470,$B132,'июнь 2025'!$J$5:$J$2470,AA$1)</f>
        <v>0</v>
      </c>
      <c r="AB132" s="183">
        <f>SUMIFS('июнь 2025'!$G$5:$G$2470,'июнь 2025'!$D$5:$D$2470,$B132,'июнь 2025'!$J$5:$J$2470,AB$1)</f>
        <v>0</v>
      </c>
      <c r="AC132" s="183">
        <f>SUMIFS('июнь 2025'!$G$5:$G$2470,'июнь 2025'!$D$5:$D$2470,$B132,'июнь 2025'!$J$5:$J$2470,AC$1)</f>
        <v>0</v>
      </c>
      <c r="AD132" s="183">
        <f>SUMIFS('июнь 2025'!$G$5:$G$2470,'июнь 2025'!$D$5:$D$2470,$B132,'июнь 2025'!$J$5:$J$2470,AD$1)</f>
        <v>0</v>
      </c>
      <c r="AE132" s="183">
        <f>SUMIFS('июнь 2025'!$G$5:$G$2470,'июнь 2025'!$D$5:$D$2470,$B132,'июнь 2025'!$J$5:$J$2470,AE$1)</f>
        <v>0</v>
      </c>
      <c r="AF132" s="183">
        <f>SUMIFS('июнь 2025'!$G$5:$G$2470,'июнь 2025'!$D$5:$D$2470,$B132,'июнь 2025'!$J$5:$J$2470,AF$1)</f>
        <v>0</v>
      </c>
      <c r="AG132" s="183">
        <f>SUMIFS('июнь 2025'!$G$5:$G$2470,'июнь 2025'!$D$5:$D$2470,$B132,'июнь 2025'!$J$5:$J$2470,AG$1)</f>
        <v>0</v>
      </c>
      <c r="AH132" s="183">
        <f>SUMIFS('июнь 2025'!$G$5:$G$2470,'июнь 2025'!$D$5:$D$2470,$B132,'июнь 2025'!$J$5:$J$2470,AH$1)</f>
        <v>0</v>
      </c>
      <c r="AI132" s="20">
        <f t="shared" si="1"/>
        <v>88</v>
      </c>
    </row>
    <row r="133" spans="2:35" ht="15" customHeight="1" x14ac:dyDescent="0.25">
      <c r="B133" s="84" t="s">
        <v>163</v>
      </c>
      <c r="C133" s="83">
        <v>950</v>
      </c>
      <c r="D133" s="183">
        <f>SUMIFS('июнь 2025'!$G$5:$G$2470,'июнь 2025'!$D$5:$D$2470,$B133,'июнь 2025'!$J$5:$J$2470,D$1)</f>
        <v>0</v>
      </c>
      <c r="E133" s="183">
        <f>SUMIFS('июнь 2025'!$G$5:$G$2470,'июнь 2025'!$D$5:$D$2470,$B133,'июнь 2025'!$J$5:$J$2470,E$1)</f>
        <v>0</v>
      </c>
      <c r="F133" s="183">
        <f>SUMIFS('июнь 2025'!$G$5:$G$2470,'июнь 2025'!$D$5:$D$2470,$B133,'июнь 2025'!$J$5:$J$2470,F$1)</f>
        <v>0</v>
      </c>
      <c r="G133" s="183">
        <f>SUMIFS('июнь 2025'!$G$5:$G$2470,'июнь 2025'!$D$5:$D$2470,$B133,'июнь 2025'!$J$5:$J$2470,G$1)</f>
        <v>0</v>
      </c>
      <c r="H133" s="183">
        <f>SUMIFS('июнь 2025'!$G$5:$G$2470,'июнь 2025'!$D$5:$D$2470,$B133,'июнь 2025'!$J$5:$J$2470,H$1)</f>
        <v>0</v>
      </c>
      <c r="I133" s="183">
        <f>SUMIFS('июнь 2025'!$G$5:$G$2470,'июнь 2025'!$D$5:$D$2470,$B133,'июнь 2025'!$J$5:$J$2470,I$1)</f>
        <v>0</v>
      </c>
      <c r="J133" s="183">
        <f>SUMIFS('июнь 2025'!$G$5:$G$2470,'июнь 2025'!$D$5:$D$2470,$B133,'июнь 2025'!$J$5:$J$2470,J$1)</f>
        <v>0</v>
      </c>
      <c r="K133" s="183">
        <f>SUMIFS('июнь 2025'!$G$5:$G$2470,'июнь 2025'!$D$5:$D$2470,$B133,'июнь 2025'!$J$5:$J$2470,K$1)</f>
        <v>0</v>
      </c>
      <c r="L133" s="183">
        <f>SUMIFS('июнь 2025'!$G$5:$G$2470,'июнь 2025'!$D$5:$D$2470,$B133,'июнь 2025'!$J$5:$J$2470,L$1)</f>
        <v>0</v>
      </c>
      <c r="M133" s="183">
        <f>SUMIFS('июнь 2025'!$G$5:$G$2470,'июнь 2025'!$D$5:$D$2470,$B133,'июнь 2025'!$J$5:$J$2470,M$1)</f>
        <v>0</v>
      </c>
      <c r="N133" s="183">
        <f>SUMIFS('июнь 2025'!$G$5:$G$2470,'июнь 2025'!$D$5:$D$2470,$B133,'июнь 2025'!$J$5:$J$2470,N$1)</f>
        <v>0</v>
      </c>
      <c r="O133" s="183">
        <f>SUMIFS('июнь 2025'!$G$5:$G$2470,'июнь 2025'!$D$5:$D$2470,$B133,'июнь 2025'!$J$5:$J$2470,O$1)</f>
        <v>0</v>
      </c>
      <c r="P133" s="183">
        <f>SUMIFS('июнь 2025'!$G$5:$G$2470,'июнь 2025'!$D$5:$D$2470,$B133,'июнь 2025'!$J$5:$J$2470,P$1)</f>
        <v>0</v>
      </c>
      <c r="Q133" s="183">
        <f>SUMIFS('июнь 2025'!$G$5:$G$2470,'июнь 2025'!$D$5:$D$2470,$B133,'июнь 2025'!$J$5:$J$2470,Q$1)</f>
        <v>0</v>
      </c>
      <c r="R133" s="183">
        <f>SUMIFS('июнь 2025'!$G$5:$G$2470,'июнь 2025'!$D$5:$D$2470,$B133,'июнь 2025'!$J$5:$J$2470,R$1)</f>
        <v>0</v>
      </c>
      <c r="S133" s="183">
        <f>SUMIFS('июнь 2025'!$G$5:$G$2470,'июнь 2025'!$D$5:$D$2470,$B133,'июнь 2025'!$J$5:$J$2470,S$1)</f>
        <v>0</v>
      </c>
      <c r="T133" s="183">
        <f>SUMIFS('июнь 2025'!$G$5:$G$2470,'июнь 2025'!$D$5:$D$2470,$B133,'июнь 2025'!$J$5:$J$2470,T$1)</f>
        <v>0</v>
      </c>
      <c r="U133" s="183">
        <f>SUMIFS('июнь 2025'!$G$5:$G$2470,'июнь 2025'!$D$5:$D$2470,$B133,'июнь 2025'!$J$5:$J$2470,U$1)</f>
        <v>0</v>
      </c>
      <c r="V133" s="183">
        <f>SUMIFS('июнь 2025'!$G$5:$G$2470,'июнь 2025'!$D$5:$D$2470,$B133,'июнь 2025'!$J$5:$J$2470,V$1)</f>
        <v>0</v>
      </c>
      <c r="W133" s="183">
        <f>SUMIFS('июнь 2025'!$G$5:$G$2470,'июнь 2025'!$D$5:$D$2470,$B133,'июнь 2025'!$J$5:$J$2470,W$1)</f>
        <v>0</v>
      </c>
      <c r="X133" s="183">
        <f>SUMIFS('июнь 2025'!$G$5:$G$2470,'июнь 2025'!$D$5:$D$2470,$B133,'июнь 2025'!$J$5:$J$2470,X$1)</f>
        <v>0</v>
      </c>
      <c r="Y133" s="183">
        <f>SUMIFS('июнь 2025'!$G$5:$G$2470,'июнь 2025'!$D$5:$D$2470,$B133,'июнь 2025'!$J$5:$J$2470,Y$1)</f>
        <v>0</v>
      </c>
      <c r="Z133" s="183">
        <f>SUMIFS('июнь 2025'!$G$5:$G$2470,'июнь 2025'!$D$5:$D$2470,$B133,'июнь 2025'!$J$5:$J$2470,Z$1)</f>
        <v>0</v>
      </c>
      <c r="AA133" s="183">
        <f>SUMIFS('июнь 2025'!$G$5:$G$2470,'июнь 2025'!$D$5:$D$2470,$B133,'июнь 2025'!$J$5:$J$2470,AA$1)</f>
        <v>0</v>
      </c>
      <c r="AB133" s="183">
        <f>SUMIFS('июнь 2025'!$G$5:$G$2470,'июнь 2025'!$D$5:$D$2470,$B133,'июнь 2025'!$J$5:$J$2470,AB$1)</f>
        <v>0</v>
      </c>
      <c r="AC133" s="183">
        <f>SUMIFS('июнь 2025'!$G$5:$G$2470,'июнь 2025'!$D$5:$D$2470,$B133,'июнь 2025'!$J$5:$J$2470,AC$1)</f>
        <v>0</v>
      </c>
      <c r="AD133" s="183">
        <f>SUMIFS('июнь 2025'!$G$5:$G$2470,'июнь 2025'!$D$5:$D$2470,$B133,'июнь 2025'!$J$5:$J$2470,AD$1)</f>
        <v>0</v>
      </c>
      <c r="AE133" s="183">
        <f>SUMIFS('июнь 2025'!$G$5:$G$2470,'июнь 2025'!$D$5:$D$2470,$B133,'июнь 2025'!$J$5:$J$2470,AE$1)</f>
        <v>0</v>
      </c>
      <c r="AF133" s="183">
        <f>SUMIFS('июнь 2025'!$G$5:$G$2470,'июнь 2025'!$D$5:$D$2470,$B133,'июнь 2025'!$J$5:$J$2470,AF$1)</f>
        <v>0</v>
      </c>
      <c r="AG133" s="183">
        <f>SUMIFS('июнь 2025'!$G$5:$G$2470,'июнь 2025'!$D$5:$D$2470,$B133,'июнь 2025'!$J$5:$J$2470,AG$1)</f>
        <v>0</v>
      </c>
      <c r="AH133" s="183">
        <f>SUMIFS('июнь 2025'!$G$5:$G$2470,'июнь 2025'!$D$5:$D$2470,$B133,'июнь 2025'!$J$5:$J$2470,AH$1)</f>
        <v>0</v>
      </c>
      <c r="AI133" s="20">
        <f t="shared" si="1"/>
        <v>0</v>
      </c>
    </row>
    <row r="134" spans="2:35" ht="15" customHeight="1" x14ac:dyDescent="0.25">
      <c r="B134" s="84" t="s">
        <v>183</v>
      </c>
      <c r="C134" s="83">
        <v>180</v>
      </c>
      <c r="D134" s="183">
        <f>SUMIFS('июнь 2025'!$G$5:$G$2470,'июнь 2025'!$D$5:$D$2470,$B134,'июнь 2025'!$J$5:$J$2470,D$1)</f>
        <v>0</v>
      </c>
      <c r="E134" s="183">
        <f>SUMIFS('июнь 2025'!$G$5:$G$2470,'июнь 2025'!$D$5:$D$2470,$B134,'июнь 2025'!$J$5:$J$2470,E$1)</f>
        <v>0</v>
      </c>
      <c r="F134" s="183">
        <f>SUMIFS('июнь 2025'!$G$5:$G$2470,'июнь 2025'!$D$5:$D$2470,$B134,'июнь 2025'!$J$5:$J$2470,F$1)</f>
        <v>0</v>
      </c>
      <c r="G134" s="183">
        <f>SUMIFS('июнь 2025'!$G$5:$G$2470,'июнь 2025'!$D$5:$D$2470,$B134,'июнь 2025'!$J$5:$J$2470,G$1)</f>
        <v>0</v>
      </c>
      <c r="H134" s="183">
        <f>SUMIFS('июнь 2025'!$G$5:$G$2470,'июнь 2025'!$D$5:$D$2470,$B134,'июнь 2025'!$J$5:$J$2470,H$1)</f>
        <v>0</v>
      </c>
      <c r="I134" s="183">
        <f>SUMIFS('июнь 2025'!$G$5:$G$2470,'июнь 2025'!$D$5:$D$2470,$B134,'июнь 2025'!$J$5:$J$2470,I$1)</f>
        <v>0</v>
      </c>
      <c r="J134" s="183">
        <f>SUMIFS('июнь 2025'!$G$5:$G$2470,'июнь 2025'!$D$5:$D$2470,$B134,'июнь 2025'!$J$5:$J$2470,J$1)</f>
        <v>0</v>
      </c>
      <c r="K134" s="183">
        <f>SUMIFS('июнь 2025'!$G$5:$G$2470,'июнь 2025'!$D$5:$D$2470,$B134,'июнь 2025'!$J$5:$J$2470,K$1)</f>
        <v>0</v>
      </c>
      <c r="L134" s="183">
        <f>SUMIFS('июнь 2025'!$G$5:$G$2470,'июнь 2025'!$D$5:$D$2470,$B134,'июнь 2025'!$J$5:$J$2470,L$1)</f>
        <v>0</v>
      </c>
      <c r="M134" s="183">
        <f>SUMIFS('июнь 2025'!$G$5:$G$2470,'июнь 2025'!$D$5:$D$2470,$B134,'июнь 2025'!$J$5:$J$2470,M$1)</f>
        <v>0</v>
      </c>
      <c r="N134" s="183">
        <f>SUMIFS('июнь 2025'!$G$5:$G$2470,'июнь 2025'!$D$5:$D$2470,$B134,'июнь 2025'!$J$5:$J$2470,N$1)</f>
        <v>0</v>
      </c>
      <c r="O134" s="183">
        <f>SUMIFS('июнь 2025'!$G$5:$G$2470,'июнь 2025'!$D$5:$D$2470,$B134,'июнь 2025'!$J$5:$J$2470,O$1)</f>
        <v>0</v>
      </c>
      <c r="P134" s="183">
        <f>SUMIFS('июнь 2025'!$G$5:$G$2470,'июнь 2025'!$D$5:$D$2470,$B134,'июнь 2025'!$J$5:$J$2470,P$1)</f>
        <v>0</v>
      </c>
      <c r="Q134" s="183">
        <f>SUMIFS('июнь 2025'!$G$5:$G$2470,'июнь 2025'!$D$5:$D$2470,$B134,'июнь 2025'!$J$5:$J$2470,Q$1)</f>
        <v>0</v>
      </c>
      <c r="R134" s="183">
        <f>SUMIFS('июнь 2025'!$G$5:$G$2470,'июнь 2025'!$D$5:$D$2470,$B134,'июнь 2025'!$J$5:$J$2470,R$1)</f>
        <v>0</v>
      </c>
      <c r="S134" s="183">
        <f>SUMIFS('июнь 2025'!$G$5:$G$2470,'июнь 2025'!$D$5:$D$2470,$B134,'июнь 2025'!$J$5:$J$2470,S$1)</f>
        <v>0</v>
      </c>
      <c r="T134" s="183">
        <f>SUMIFS('июнь 2025'!$G$5:$G$2470,'июнь 2025'!$D$5:$D$2470,$B134,'июнь 2025'!$J$5:$J$2470,T$1)</f>
        <v>0</v>
      </c>
      <c r="U134" s="183">
        <f>SUMIFS('июнь 2025'!$G$5:$G$2470,'июнь 2025'!$D$5:$D$2470,$B134,'июнь 2025'!$J$5:$J$2470,U$1)</f>
        <v>0</v>
      </c>
      <c r="V134" s="183">
        <f>SUMIFS('июнь 2025'!$G$5:$G$2470,'июнь 2025'!$D$5:$D$2470,$B134,'июнь 2025'!$J$5:$J$2470,V$1)</f>
        <v>0</v>
      </c>
      <c r="W134" s="183">
        <f>SUMIFS('июнь 2025'!$G$5:$G$2470,'июнь 2025'!$D$5:$D$2470,$B134,'июнь 2025'!$J$5:$J$2470,W$1)</f>
        <v>0</v>
      </c>
      <c r="X134" s="183">
        <f>SUMIFS('июнь 2025'!$G$5:$G$2470,'июнь 2025'!$D$5:$D$2470,$B134,'июнь 2025'!$J$5:$J$2470,X$1)</f>
        <v>0</v>
      </c>
      <c r="Y134" s="183">
        <f>SUMIFS('июнь 2025'!$G$5:$G$2470,'июнь 2025'!$D$5:$D$2470,$B134,'июнь 2025'!$J$5:$J$2470,Y$1)</f>
        <v>0</v>
      </c>
      <c r="Z134" s="183">
        <f>SUMIFS('июнь 2025'!$G$5:$G$2470,'июнь 2025'!$D$5:$D$2470,$B134,'июнь 2025'!$J$5:$J$2470,Z$1)</f>
        <v>0</v>
      </c>
      <c r="AA134" s="183">
        <f>SUMIFS('июнь 2025'!$G$5:$G$2470,'июнь 2025'!$D$5:$D$2470,$B134,'июнь 2025'!$J$5:$J$2470,AA$1)</f>
        <v>0</v>
      </c>
      <c r="AB134" s="183">
        <f>SUMIFS('июнь 2025'!$G$5:$G$2470,'июнь 2025'!$D$5:$D$2470,$B134,'июнь 2025'!$J$5:$J$2470,AB$1)</f>
        <v>0</v>
      </c>
      <c r="AC134" s="183">
        <f>SUMIFS('июнь 2025'!$G$5:$G$2470,'июнь 2025'!$D$5:$D$2470,$B134,'июнь 2025'!$J$5:$J$2470,AC$1)</f>
        <v>0</v>
      </c>
      <c r="AD134" s="183">
        <f>SUMIFS('июнь 2025'!$G$5:$G$2470,'июнь 2025'!$D$5:$D$2470,$B134,'июнь 2025'!$J$5:$J$2470,AD$1)</f>
        <v>0</v>
      </c>
      <c r="AE134" s="183">
        <f>SUMIFS('июнь 2025'!$G$5:$G$2470,'июнь 2025'!$D$5:$D$2470,$B134,'июнь 2025'!$J$5:$J$2470,AE$1)</f>
        <v>0</v>
      </c>
      <c r="AF134" s="183">
        <f>SUMIFS('июнь 2025'!$G$5:$G$2470,'июнь 2025'!$D$5:$D$2470,$B134,'июнь 2025'!$J$5:$J$2470,AF$1)</f>
        <v>0</v>
      </c>
      <c r="AG134" s="183">
        <f>SUMIFS('июнь 2025'!$G$5:$G$2470,'июнь 2025'!$D$5:$D$2470,$B134,'июнь 2025'!$J$5:$J$2470,AG$1)</f>
        <v>0</v>
      </c>
      <c r="AH134" s="183">
        <f>SUMIFS('июнь 2025'!$G$5:$G$2470,'июнь 2025'!$D$5:$D$2470,$B134,'июнь 2025'!$J$5:$J$2470,AH$1)</f>
        <v>0</v>
      </c>
      <c r="AI134" s="20">
        <f t="shared" si="1"/>
        <v>0</v>
      </c>
    </row>
    <row r="135" spans="2:35" ht="15" customHeight="1" x14ac:dyDescent="0.25">
      <c r="B135" s="84" t="s">
        <v>305</v>
      </c>
      <c r="C135" s="83">
        <v>180</v>
      </c>
      <c r="D135" s="183">
        <f>SUMIFS('июнь 2025'!$G$5:$G$2470,'июнь 2025'!$D$5:$D$2470,$B135,'июнь 2025'!$J$5:$J$2470,D$1)</f>
        <v>0</v>
      </c>
      <c r="E135" s="183">
        <f>SUMIFS('июнь 2025'!$G$5:$G$2470,'июнь 2025'!$D$5:$D$2470,$B135,'июнь 2025'!$J$5:$J$2470,E$1)</f>
        <v>0</v>
      </c>
      <c r="F135" s="183">
        <f>SUMIFS('июнь 2025'!$G$5:$G$2470,'июнь 2025'!$D$5:$D$2470,$B135,'июнь 2025'!$J$5:$J$2470,F$1)</f>
        <v>0</v>
      </c>
      <c r="G135" s="183">
        <f>SUMIFS('июнь 2025'!$G$5:$G$2470,'июнь 2025'!$D$5:$D$2470,$B135,'июнь 2025'!$J$5:$J$2470,G$1)</f>
        <v>100</v>
      </c>
      <c r="H135" s="183">
        <f>SUMIFS('июнь 2025'!$G$5:$G$2470,'июнь 2025'!$D$5:$D$2470,$B135,'июнь 2025'!$J$5:$J$2470,H$1)</f>
        <v>0</v>
      </c>
      <c r="I135" s="183">
        <f>SUMIFS('июнь 2025'!$G$5:$G$2470,'июнь 2025'!$D$5:$D$2470,$B135,'июнь 2025'!$J$5:$J$2470,I$1)</f>
        <v>0</v>
      </c>
      <c r="J135" s="183">
        <f>SUMIFS('июнь 2025'!$G$5:$G$2470,'июнь 2025'!$D$5:$D$2470,$B135,'июнь 2025'!$J$5:$J$2470,J$1)</f>
        <v>0</v>
      </c>
      <c r="K135" s="183">
        <f>SUMIFS('июнь 2025'!$G$5:$G$2470,'июнь 2025'!$D$5:$D$2470,$B135,'июнь 2025'!$J$5:$J$2470,K$1)</f>
        <v>0</v>
      </c>
      <c r="L135" s="183">
        <f>SUMIFS('июнь 2025'!$G$5:$G$2470,'июнь 2025'!$D$5:$D$2470,$B135,'июнь 2025'!$J$5:$J$2470,L$1)</f>
        <v>0</v>
      </c>
      <c r="M135" s="183">
        <f>SUMIFS('июнь 2025'!$G$5:$G$2470,'июнь 2025'!$D$5:$D$2470,$B135,'июнь 2025'!$J$5:$J$2470,M$1)</f>
        <v>0</v>
      </c>
      <c r="N135" s="183">
        <f>SUMIFS('июнь 2025'!$G$5:$G$2470,'июнь 2025'!$D$5:$D$2470,$B135,'июнь 2025'!$J$5:$J$2470,N$1)</f>
        <v>0</v>
      </c>
      <c r="O135" s="183">
        <f>SUMIFS('июнь 2025'!$G$5:$G$2470,'июнь 2025'!$D$5:$D$2470,$B135,'июнь 2025'!$J$5:$J$2470,O$1)</f>
        <v>0</v>
      </c>
      <c r="P135" s="183">
        <f>SUMIFS('июнь 2025'!$G$5:$G$2470,'июнь 2025'!$D$5:$D$2470,$B135,'июнь 2025'!$J$5:$J$2470,P$1)</f>
        <v>0</v>
      </c>
      <c r="Q135" s="183">
        <f>SUMIFS('июнь 2025'!$G$5:$G$2470,'июнь 2025'!$D$5:$D$2470,$B135,'июнь 2025'!$J$5:$J$2470,Q$1)</f>
        <v>0</v>
      </c>
      <c r="R135" s="183">
        <f>SUMIFS('июнь 2025'!$G$5:$G$2470,'июнь 2025'!$D$5:$D$2470,$B135,'июнь 2025'!$J$5:$J$2470,R$1)</f>
        <v>0</v>
      </c>
      <c r="S135" s="183">
        <f>SUMIFS('июнь 2025'!$G$5:$G$2470,'июнь 2025'!$D$5:$D$2470,$B135,'июнь 2025'!$J$5:$J$2470,S$1)</f>
        <v>0</v>
      </c>
      <c r="T135" s="183">
        <f>SUMIFS('июнь 2025'!$G$5:$G$2470,'июнь 2025'!$D$5:$D$2470,$B135,'июнь 2025'!$J$5:$J$2470,T$1)</f>
        <v>0</v>
      </c>
      <c r="U135" s="183">
        <f>SUMIFS('июнь 2025'!$G$5:$G$2470,'июнь 2025'!$D$5:$D$2470,$B135,'июнь 2025'!$J$5:$J$2470,U$1)</f>
        <v>0</v>
      </c>
      <c r="V135" s="183">
        <f>SUMIFS('июнь 2025'!$G$5:$G$2470,'июнь 2025'!$D$5:$D$2470,$B135,'июнь 2025'!$J$5:$J$2470,V$1)</f>
        <v>0</v>
      </c>
      <c r="W135" s="183">
        <f>SUMIFS('июнь 2025'!$G$5:$G$2470,'июнь 2025'!$D$5:$D$2470,$B135,'июнь 2025'!$J$5:$J$2470,W$1)</f>
        <v>0</v>
      </c>
      <c r="X135" s="183">
        <f>SUMIFS('июнь 2025'!$G$5:$G$2470,'июнь 2025'!$D$5:$D$2470,$B135,'июнь 2025'!$J$5:$J$2470,X$1)</f>
        <v>0</v>
      </c>
      <c r="Y135" s="183">
        <f>SUMIFS('июнь 2025'!$G$5:$G$2470,'июнь 2025'!$D$5:$D$2470,$B135,'июнь 2025'!$J$5:$J$2470,Y$1)</f>
        <v>0</v>
      </c>
      <c r="Z135" s="183">
        <f>SUMIFS('июнь 2025'!$G$5:$G$2470,'июнь 2025'!$D$5:$D$2470,$B135,'июнь 2025'!$J$5:$J$2470,Z$1)</f>
        <v>0</v>
      </c>
      <c r="AA135" s="183">
        <f>SUMIFS('июнь 2025'!$G$5:$G$2470,'июнь 2025'!$D$5:$D$2470,$B135,'июнь 2025'!$J$5:$J$2470,AA$1)</f>
        <v>0</v>
      </c>
      <c r="AB135" s="183">
        <f>SUMIFS('июнь 2025'!$G$5:$G$2470,'июнь 2025'!$D$5:$D$2470,$B135,'июнь 2025'!$J$5:$J$2470,AB$1)</f>
        <v>0</v>
      </c>
      <c r="AC135" s="183">
        <f>SUMIFS('июнь 2025'!$G$5:$G$2470,'июнь 2025'!$D$5:$D$2470,$B135,'июнь 2025'!$J$5:$J$2470,AC$1)</f>
        <v>0</v>
      </c>
      <c r="AD135" s="183">
        <f>SUMIFS('июнь 2025'!$G$5:$G$2470,'июнь 2025'!$D$5:$D$2470,$B135,'июнь 2025'!$J$5:$J$2470,AD$1)</f>
        <v>0</v>
      </c>
      <c r="AE135" s="183">
        <f>SUMIFS('июнь 2025'!$G$5:$G$2470,'июнь 2025'!$D$5:$D$2470,$B135,'июнь 2025'!$J$5:$J$2470,AE$1)</f>
        <v>0</v>
      </c>
      <c r="AF135" s="183">
        <f>SUMIFS('июнь 2025'!$G$5:$G$2470,'июнь 2025'!$D$5:$D$2470,$B135,'июнь 2025'!$J$5:$J$2470,AF$1)</f>
        <v>0</v>
      </c>
      <c r="AG135" s="183">
        <f>SUMIFS('июнь 2025'!$G$5:$G$2470,'июнь 2025'!$D$5:$D$2470,$B135,'июнь 2025'!$J$5:$J$2470,AG$1)</f>
        <v>0</v>
      </c>
      <c r="AH135" s="183">
        <f>SUMIFS('июнь 2025'!$G$5:$G$2470,'июнь 2025'!$D$5:$D$2470,$B135,'июнь 2025'!$J$5:$J$2470,AH$1)</f>
        <v>0</v>
      </c>
      <c r="AI135" s="20"/>
    </row>
    <row r="136" spans="2:35" ht="15" customHeight="1" x14ac:dyDescent="0.25">
      <c r="B136" s="84" t="s">
        <v>171</v>
      </c>
      <c r="C136" s="83">
        <v>200</v>
      </c>
      <c r="D136" s="183">
        <f>SUMIFS('июнь 2025'!$G$5:$G$2470,'июнь 2025'!$D$5:$D$2470,$B136,'июнь 2025'!$J$5:$J$2470,D$1)</f>
        <v>0</v>
      </c>
      <c r="E136" s="183">
        <f>SUMIFS('июнь 2025'!$G$5:$G$2470,'июнь 2025'!$D$5:$D$2470,$B136,'июнь 2025'!$J$5:$J$2470,E$1)</f>
        <v>0</v>
      </c>
      <c r="F136" s="183">
        <f>SUMIFS('июнь 2025'!$G$5:$G$2470,'июнь 2025'!$D$5:$D$2470,$B136,'июнь 2025'!$J$5:$J$2470,F$1)</f>
        <v>0</v>
      </c>
      <c r="G136" s="183">
        <f>SUMIFS('июнь 2025'!$G$5:$G$2470,'июнь 2025'!$D$5:$D$2470,$B136,'июнь 2025'!$J$5:$J$2470,G$1)</f>
        <v>0</v>
      </c>
      <c r="H136" s="183">
        <f>SUMIFS('июнь 2025'!$G$5:$G$2470,'июнь 2025'!$D$5:$D$2470,$B136,'июнь 2025'!$J$5:$J$2470,H$1)</f>
        <v>0</v>
      </c>
      <c r="I136" s="183">
        <f>SUMIFS('июнь 2025'!$G$5:$G$2470,'июнь 2025'!$D$5:$D$2470,$B136,'июнь 2025'!$J$5:$J$2470,I$1)</f>
        <v>0</v>
      </c>
      <c r="J136" s="183">
        <f>SUMIFS('июнь 2025'!$G$5:$G$2470,'июнь 2025'!$D$5:$D$2470,$B136,'июнь 2025'!$J$5:$J$2470,J$1)</f>
        <v>0</v>
      </c>
      <c r="K136" s="183">
        <f>SUMIFS('июнь 2025'!$G$5:$G$2470,'июнь 2025'!$D$5:$D$2470,$B136,'июнь 2025'!$J$5:$J$2470,K$1)</f>
        <v>0</v>
      </c>
      <c r="L136" s="183">
        <f>SUMIFS('июнь 2025'!$G$5:$G$2470,'июнь 2025'!$D$5:$D$2470,$B136,'июнь 2025'!$J$5:$J$2470,L$1)</f>
        <v>0</v>
      </c>
      <c r="M136" s="183">
        <f>SUMIFS('июнь 2025'!$G$5:$G$2470,'июнь 2025'!$D$5:$D$2470,$B136,'июнь 2025'!$J$5:$J$2470,M$1)</f>
        <v>0</v>
      </c>
      <c r="N136" s="183">
        <f>SUMIFS('июнь 2025'!$G$5:$G$2470,'июнь 2025'!$D$5:$D$2470,$B136,'июнь 2025'!$J$5:$J$2470,N$1)</f>
        <v>0</v>
      </c>
      <c r="O136" s="183">
        <f>SUMIFS('июнь 2025'!$G$5:$G$2470,'июнь 2025'!$D$5:$D$2470,$B136,'июнь 2025'!$J$5:$J$2470,O$1)</f>
        <v>0</v>
      </c>
      <c r="P136" s="183">
        <f>SUMIFS('июнь 2025'!$G$5:$G$2470,'июнь 2025'!$D$5:$D$2470,$B136,'июнь 2025'!$J$5:$J$2470,P$1)</f>
        <v>0</v>
      </c>
      <c r="Q136" s="183">
        <f>SUMIFS('июнь 2025'!$G$5:$G$2470,'июнь 2025'!$D$5:$D$2470,$B136,'июнь 2025'!$J$5:$J$2470,Q$1)</f>
        <v>0</v>
      </c>
      <c r="R136" s="183">
        <f>SUMIFS('июнь 2025'!$G$5:$G$2470,'июнь 2025'!$D$5:$D$2470,$B136,'июнь 2025'!$J$5:$J$2470,R$1)</f>
        <v>0</v>
      </c>
      <c r="S136" s="183">
        <f>SUMIFS('июнь 2025'!$G$5:$G$2470,'июнь 2025'!$D$5:$D$2470,$B136,'июнь 2025'!$J$5:$J$2470,S$1)</f>
        <v>0</v>
      </c>
      <c r="T136" s="183">
        <f>SUMIFS('июнь 2025'!$G$5:$G$2470,'июнь 2025'!$D$5:$D$2470,$B136,'июнь 2025'!$J$5:$J$2470,T$1)</f>
        <v>0</v>
      </c>
      <c r="U136" s="183">
        <f>SUMIFS('июнь 2025'!$G$5:$G$2470,'июнь 2025'!$D$5:$D$2470,$B136,'июнь 2025'!$J$5:$J$2470,U$1)</f>
        <v>0</v>
      </c>
      <c r="V136" s="183">
        <f>SUMIFS('июнь 2025'!$G$5:$G$2470,'июнь 2025'!$D$5:$D$2470,$B136,'июнь 2025'!$J$5:$J$2470,V$1)</f>
        <v>0</v>
      </c>
      <c r="W136" s="183">
        <f>SUMIFS('июнь 2025'!$G$5:$G$2470,'июнь 2025'!$D$5:$D$2470,$B136,'июнь 2025'!$J$5:$J$2470,W$1)</f>
        <v>0</v>
      </c>
      <c r="X136" s="183">
        <f>SUMIFS('июнь 2025'!$G$5:$G$2470,'июнь 2025'!$D$5:$D$2470,$B136,'июнь 2025'!$J$5:$J$2470,X$1)</f>
        <v>0</v>
      </c>
      <c r="Y136" s="183">
        <f>SUMIFS('июнь 2025'!$G$5:$G$2470,'июнь 2025'!$D$5:$D$2470,$B136,'июнь 2025'!$J$5:$J$2470,Y$1)</f>
        <v>0</v>
      </c>
      <c r="Z136" s="183">
        <f>SUMIFS('июнь 2025'!$G$5:$G$2470,'июнь 2025'!$D$5:$D$2470,$B136,'июнь 2025'!$J$5:$J$2470,Z$1)</f>
        <v>0</v>
      </c>
      <c r="AA136" s="183">
        <f>SUMIFS('июнь 2025'!$G$5:$G$2470,'июнь 2025'!$D$5:$D$2470,$B136,'июнь 2025'!$J$5:$J$2470,AA$1)</f>
        <v>0</v>
      </c>
      <c r="AB136" s="183">
        <f>SUMIFS('июнь 2025'!$G$5:$G$2470,'июнь 2025'!$D$5:$D$2470,$B136,'июнь 2025'!$J$5:$J$2470,AB$1)</f>
        <v>0</v>
      </c>
      <c r="AC136" s="183">
        <f>SUMIFS('июнь 2025'!$G$5:$G$2470,'июнь 2025'!$D$5:$D$2470,$B136,'июнь 2025'!$J$5:$J$2470,AC$1)</f>
        <v>0</v>
      </c>
      <c r="AD136" s="183">
        <f>SUMIFS('июнь 2025'!$G$5:$G$2470,'июнь 2025'!$D$5:$D$2470,$B136,'июнь 2025'!$J$5:$J$2470,AD$1)</f>
        <v>0</v>
      </c>
      <c r="AE136" s="183">
        <f>SUMIFS('июнь 2025'!$G$5:$G$2470,'июнь 2025'!$D$5:$D$2470,$B136,'июнь 2025'!$J$5:$J$2470,AE$1)</f>
        <v>0</v>
      </c>
      <c r="AF136" s="183">
        <f>SUMIFS('июнь 2025'!$G$5:$G$2470,'июнь 2025'!$D$5:$D$2470,$B136,'июнь 2025'!$J$5:$J$2470,AF$1)</f>
        <v>0</v>
      </c>
      <c r="AG136" s="183">
        <f>SUMIFS('июнь 2025'!$G$5:$G$2470,'июнь 2025'!$D$5:$D$2470,$B136,'июнь 2025'!$J$5:$J$2470,AG$1)</f>
        <v>0</v>
      </c>
      <c r="AH136" s="183">
        <f>SUMIFS('июнь 2025'!$G$5:$G$2470,'июнь 2025'!$D$5:$D$2470,$B136,'июнь 2025'!$J$5:$J$2470,AH$1)</f>
        <v>0</v>
      </c>
      <c r="AI136" s="20">
        <f t="shared" si="1"/>
        <v>0</v>
      </c>
    </row>
    <row r="137" spans="2:35" ht="15" customHeight="1" x14ac:dyDescent="0.25">
      <c r="B137" s="84" t="s">
        <v>172</v>
      </c>
      <c r="C137" s="83">
        <v>200</v>
      </c>
      <c r="D137" s="183">
        <f>SUMIFS('июнь 2025'!$G$5:$G$2470,'июнь 2025'!$D$5:$D$2470,$B137,'июнь 2025'!$J$5:$J$2470,D$1)</f>
        <v>0</v>
      </c>
      <c r="E137" s="183">
        <f>SUMIFS('июнь 2025'!$G$5:$G$2470,'июнь 2025'!$D$5:$D$2470,$B137,'июнь 2025'!$J$5:$J$2470,E$1)</f>
        <v>0</v>
      </c>
      <c r="F137" s="183">
        <f>SUMIFS('июнь 2025'!$G$5:$G$2470,'июнь 2025'!$D$5:$D$2470,$B137,'июнь 2025'!$J$5:$J$2470,F$1)</f>
        <v>0</v>
      </c>
      <c r="G137" s="183">
        <f>SUMIFS('июнь 2025'!$G$5:$G$2470,'июнь 2025'!$D$5:$D$2470,$B137,'июнь 2025'!$J$5:$J$2470,G$1)</f>
        <v>0</v>
      </c>
      <c r="H137" s="183">
        <f>SUMIFS('июнь 2025'!$G$5:$G$2470,'июнь 2025'!$D$5:$D$2470,$B137,'июнь 2025'!$J$5:$J$2470,H$1)</f>
        <v>0</v>
      </c>
      <c r="I137" s="183">
        <f>SUMIFS('июнь 2025'!$G$5:$G$2470,'июнь 2025'!$D$5:$D$2470,$B137,'июнь 2025'!$J$5:$J$2470,I$1)</f>
        <v>0</v>
      </c>
      <c r="J137" s="183">
        <f>SUMIFS('июнь 2025'!$G$5:$G$2470,'июнь 2025'!$D$5:$D$2470,$B137,'июнь 2025'!$J$5:$J$2470,J$1)</f>
        <v>0</v>
      </c>
      <c r="K137" s="183">
        <f>SUMIFS('июнь 2025'!$G$5:$G$2470,'июнь 2025'!$D$5:$D$2470,$B137,'июнь 2025'!$J$5:$J$2470,K$1)</f>
        <v>0</v>
      </c>
      <c r="L137" s="183">
        <f>SUMIFS('июнь 2025'!$G$5:$G$2470,'июнь 2025'!$D$5:$D$2470,$B137,'июнь 2025'!$J$5:$J$2470,L$1)</f>
        <v>0</v>
      </c>
      <c r="M137" s="183">
        <f>SUMIFS('июнь 2025'!$G$5:$G$2470,'июнь 2025'!$D$5:$D$2470,$B137,'июнь 2025'!$J$5:$J$2470,M$1)</f>
        <v>0</v>
      </c>
      <c r="N137" s="183">
        <f>SUMIFS('июнь 2025'!$G$5:$G$2470,'июнь 2025'!$D$5:$D$2470,$B137,'июнь 2025'!$J$5:$J$2470,N$1)</f>
        <v>0</v>
      </c>
      <c r="O137" s="183">
        <f>SUMIFS('июнь 2025'!$G$5:$G$2470,'июнь 2025'!$D$5:$D$2470,$B137,'июнь 2025'!$J$5:$J$2470,O$1)</f>
        <v>0</v>
      </c>
      <c r="P137" s="183">
        <f>SUMIFS('июнь 2025'!$G$5:$G$2470,'июнь 2025'!$D$5:$D$2470,$B137,'июнь 2025'!$J$5:$J$2470,P$1)</f>
        <v>0</v>
      </c>
      <c r="Q137" s="183">
        <f>SUMIFS('июнь 2025'!$G$5:$G$2470,'июнь 2025'!$D$5:$D$2470,$B137,'июнь 2025'!$J$5:$J$2470,Q$1)</f>
        <v>0</v>
      </c>
      <c r="R137" s="183">
        <f>SUMIFS('июнь 2025'!$G$5:$G$2470,'июнь 2025'!$D$5:$D$2470,$B137,'июнь 2025'!$J$5:$J$2470,R$1)</f>
        <v>0</v>
      </c>
      <c r="S137" s="183">
        <f>SUMIFS('июнь 2025'!$G$5:$G$2470,'июнь 2025'!$D$5:$D$2470,$B137,'июнь 2025'!$J$5:$J$2470,S$1)</f>
        <v>0</v>
      </c>
      <c r="T137" s="183">
        <f>SUMIFS('июнь 2025'!$G$5:$G$2470,'июнь 2025'!$D$5:$D$2470,$B137,'июнь 2025'!$J$5:$J$2470,T$1)</f>
        <v>0</v>
      </c>
      <c r="U137" s="183">
        <f>SUMIFS('июнь 2025'!$G$5:$G$2470,'июнь 2025'!$D$5:$D$2470,$B137,'июнь 2025'!$J$5:$J$2470,U$1)</f>
        <v>0</v>
      </c>
      <c r="V137" s="183">
        <f>SUMIFS('июнь 2025'!$G$5:$G$2470,'июнь 2025'!$D$5:$D$2470,$B137,'июнь 2025'!$J$5:$J$2470,V$1)</f>
        <v>0</v>
      </c>
      <c r="W137" s="183">
        <f>SUMIFS('июнь 2025'!$G$5:$G$2470,'июнь 2025'!$D$5:$D$2470,$B137,'июнь 2025'!$J$5:$J$2470,W$1)</f>
        <v>0</v>
      </c>
      <c r="X137" s="183">
        <f>SUMIFS('июнь 2025'!$G$5:$G$2470,'июнь 2025'!$D$5:$D$2470,$B137,'июнь 2025'!$J$5:$J$2470,X$1)</f>
        <v>0</v>
      </c>
      <c r="Y137" s="183">
        <f>SUMIFS('июнь 2025'!$G$5:$G$2470,'июнь 2025'!$D$5:$D$2470,$B137,'июнь 2025'!$J$5:$J$2470,Y$1)</f>
        <v>0</v>
      </c>
      <c r="Z137" s="183">
        <f>SUMIFS('июнь 2025'!$G$5:$G$2470,'июнь 2025'!$D$5:$D$2470,$B137,'июнь 2025'!$J$5:$J$2470,Z$1)</f>
        <v>0</v>
      </c>
      <c r="AA137" s="183">
        <f>SUMIFS('июнь 2025'!$G$5:$G$2470,'июнь 2025'!$D$5:$D$2470,$B137,'июнь 2025'!$J$5:$J$2470,AA$1)</f>
        <v>0</v>
      </c>
      <c r="AB137" s="183">
        <f>SUMIFS('июнь 2025'!$G$5:$G$2470,'июнь 2025'!$D$5:$D$2470,$B137,'июнь 2025'!$J$5:$J$2470,AB$1)</f>
        <v>0</v>
      </c>
      <c r="AC137" s="183">
        <f>SUMIFS('июнь 2025'!$G$5:$G$2470,'июнь 2025'!$D$5:$D$2470,$B137,'июнь 2025'!$J$5:$J$2470,AC$1)</f>
        <v>0</v>
      </c>
      <c r="AD137" s="183">
        <f>SUMIFS('июнь 2025'!$G$5:$G$2470,'июнь 2025'!$D$5:$D$2470,$B137,'июнь 2025'!$J$5:$J$2470,AD$1)</f>
        <v>0</v>
      </c>
      <c r="AE137" s="183">
        <f>SUMIFS('июнь 2025'!$G$5:$G$2470,'июнь 2025'!$D$5:$D$2470,$B137,'июнь 2025'!$J$5:$J$2470,AE$1)</f>
        <v>0</v>
      </c>
      <c r="AF137" s="183">
        <f>SUMIFS('июнь 2025'!$G$5:$G$2470,'июнь 2025'!$D$5:$D$2470,$B137,'июнь 2025'!$J$5:$J$2470,AF$1)</f>
        <v>0</v>
      </c>
      <c r="AG137" s="183">
        <f>SUMIFS('июнь 2025'!$G$5:$G$2470,'июнь 2025'!$D$5:$D$2470,$B137,'июнь 2025'!$J$5:$J$2470,AG$1)</f>
        <v>0</v>
      </c>
      <c r="AH137" s="183">
        <f>SUMIFS('июнь 2025'!$G$5:$G$2470,'июнь 2025'!$D$5:$D$2470,$B137,'июнь 2025'!$J$5:$J$2470,AH$1)</f>
        <v>0</v>
      </c>
      <c r="AI137" s="20">
        <f t="shared" si="1"/>
        <v>0</v>
      </c>
    </row>
    <row r="138" spans="2:35" ht="15" customHeight="1" x14ac:dyDescent="0.25">
      <c r="B138" s="84" t="s">
        <v>174</v>
      </c>
      <c r="C138" s="83">
        <v>200</v>
      </c>
      <c r="D138" s="183">
        <f>SUMIFS('июнь 2025'!$G$5:$G$2470,'июнь 2025'!$D$5:$D$2470,$B138,'июнь 2025'!$J$5:$J$2470,D$1)</f>
        <v>0</v>
      </c>
      <c r="E138" s="183">
        <f>SUMIFS('июнь 2025'!$G$5:$G$2470,'июнь 2025'!$D$5:$D$2470,$B138,'июнь 2025'!$J$5:$J$2470,E$1)</f>
        <v>0</v>
      </c>
      <c r="F138" s="183">
        <f>SUMIFS('июнь 2025'!$G$5:$G$2470,'июнь 2025'!$D$5:$D$2470,$B138,'июнь 2025'!$J$5:$J$2470,F$1)</f>
        <v>0</v>
      </c>
      <c r="G138" s="183">
        <f>SUMIFS('июнь 2025'!$G$5:$G$2470,'июнь 2025'!$D$5:$D$2470,$B138,'июнь 2025'!$J$5:$J$2470,G$1)</f>
        <v>0</v>
      </c>
      <c r="H138" s="183">
        <f>SUMIFS('июнь 2025'!$G$5:$G$2470,'июнь 2025'!$D$5:$D$2470,$B138,'июнь 2025'!$J$5:$J$2470,H$1)</f>
        <v>0</v>
      </c>
      <c r="I138" s="183">
        <f>SUMIFS('июнь 2025'!$G$5:$G$2470,'июнь 2025'!$D$5:$D$2470,$B138,'июнь 2025'!$J$5:$J$2470,I$1)</f>
        <v>0</v>
      </c>
      <c r="J138" s="183">
        <f>SUMIFS('июнь 2025'!$G$5:$G$2470,'июнь 2025'!$D$5:$D$2470,$B138,'июнь 2025'!$J$5:$J$2470,J$1)</f>
        <v>0</v>
      </c>
      <c r="K138" s="183">
        <f>SUMIFS('июнь 2025'!$G$5:$G$2470,'июнь 2025'!$D$5:$D$2470,$B138,'июнь 2025'!$J$5:$J$2470,K$1)</f>
        <v>0</v>
      </c>
      <c r="L138" s="183">
        <f>SUMIFS('июнь 2025'!$G$5:$G$2470,'июнь 2025'!$D$5:$D$2470,$B138,'июнь 2025'!$J$5:$J$2470,L$1)</f>
        <v>0</v>
      </c>
      <c r="M138" s="183">
        <f>SUMIFS('июнь 2025'!$G$5:$G$2470,'июнь 2025'!$D$5:$D$2470,$B138,'июнь 2025'!$J$5:$J$2470,M$1)</f>
        <v>0</v>
      </c>
      <c r="N138" s="183">
        <f>SUMIFS('июнь 2025'!$G$5:$G$2470,'июнь 2025'!$D$5:$D$2470,$B138,'июнь 2025'!$J$5:$J$2470,N$1)</f>
        <v>0</v>
      </c>
      <c r="O138" s="183">
        <f>SUMIFS('июнь 2025'!$G$5:$G$2470,'июнь 2025'!$D$5:$D$2470,$B138,'июнь 2025'!$J$5:$J$2470,O$1)</f>
        <v>0</v>
      </c>
      <c r="P138" s="183">
        <f>SUMIFS('июнь 2025'!$G$5:$G$2470,'июнь 2025'!$D$5:$D$2470,$B138,'июнь 2025'!$J$5:$J$2470,P$1)</f>
        <v>0</v>
      </c>
      <c r="Q138" s="183">
        <f>SUMIFS('июнь 2025'!$G$5:$G$2470,'июнь 2025'!$D$5:$D$2470,$B138,'июнь 2025'!$J$5:$J$2470,Q$1)</f>
        <v>0</v>
      </c>
      <c r="R138" s="183">
        <f>SUMIFS('июнь 2025'!$G$5:$G$2470,'июнь 2025'!$D$5:$D$2470,$B138,'июнь 2025'!$J$5:$J$2470,R$1)</f>
        <v>0</v>
      </c>
      <c r="S138" s="183">
        <f>SUMIFS('июнь 2025'!$G$5:$G$2470,'июнь 2025'!$D$5:$D$2470,$B138,'июнь 2025'!$J$5:$J$2470,S$1)</f>
        <v>0</v>
      </c>
      <c r="T138" s="183">
        <f>SUMIFS('июнь 2025'!$G$5:$G$2470,'июнь 2025'!$D$5:$D$2470,$B138,'июнь 2025'!$J$5:$J$2470,T$1)</f>
        <v>0</v>
      </c>
      <c r="U138" s="183">
        <f>SUMIFS('июнь 2025'!$G$5:$G$2470,'июнь 2025'!$D$5:$D$2470,$B138,'июнь 2025'!$J$5:$J$2470,U$1)</f>
        <v>0</v>
      </c>
      <c r="V138" s="183">
        <f>SUMIFS('июнь 2025'!$G$5:$G$2470,'июнь 2025'!$D$5:$D$2470,$B138,'июнь 2025'!$J$5:$J$2470,V$1)</f>
        <v>0</v>
      </c>
      <c r="W138" s="183">
        <f>SUMIFS('июнь 2025'!$G$5:$G$2470,'июнь 2025'!$D$5:$D$2470,$B138,'июнь 2025'!$J$5:$J$2470,W$1)</f>
        <v>0</v>
      </c>
      <c r="X138" s="183">
        <f>SUMIFS('июнь 2025'!$G$5:$G$2470,'июнь 2025'!$D$5:$D$2470,$B138,'июнь 2025'!$J$5:$J$2470,X$1)</f>
        <v>0</v>
      </c>
      <c r="Y138" s="183">
        <f>SUMIFS('июнь 2025'!$G$5:$G$2470,'июнь 2025'!$D$5:$D$2470,$B138,'июнь 2025'!$J$5:$J$2470,Y$1)</f>
        <v>0</v>
      </c>
      <c r="Z138" s="183">
        <f>SUMIFS('июнь 2025'!$G$5:$G$2470,'июнь 2025'!$D$5:$D$2470,$B138,'июнь 2025'!$J$5:$J$2470,Z$1)</f>
        <v>0</v>
      </c>
      <c r="AA138" s="183">
        <f>SUMIFS('июнь 2025'!$G$5:$G$2470,'июнь 2025'!$D$5:$D$2470,$B138,'июнь 2025'!$J$5:$J$2470,AA$1)</f>
        <v>0</v>
      </c>
      <c r="AB138" s="183">
        <f>SUMIFS('июнь 2025'!$G$5:$G$2470,'июнь 2025'!$D$5:$D$2470,$B138,'июнь 2025'!$J$5:$J$2470,AB$1)</f>
        <v>0</v>
      </c>
      <c r="AC138" s="183">
        <f>SUMIFS('июнь 2025'!$G$5:$G$2470,'июнь 2025'!$D$5:$D$2470,$B138,'июнь 2025'!$J$5:$J$2470,AC$1)</f>
        <v>0</v>
      </c>
      <c r="AD138" s="183">
        <f>SUMIFS('июнь 2025'!$G$5:$G$2470,'июнь 2025'!$D$5:$D$2470,$B138,'июнь 2025'!$J$5:$J$2470,AD$1)</f>
        <v>0</v>
      </c>
      <c r="AE138" s="183">
        <f>SUMIFS('июнь 2025'!$G$5:$G$2470,'июнь 2025'!$D$5:$D$2470,$B138,'июнь 2025'!$J$5:$J$2470,AE$1)</f>
        <v>0</v>
      </c>
      <c r="AF138" s="183">
        <f>SUMIFS('июнь 2025'!$G$5:$G$2470,'июнь 2025'!$D$5:$D$2470,$B138,'июнь 2025'!$J$5:$J$2470,AF$1)</f>
        <v>0</v>
      </c>
      <c r="AG138" s="183">
        <f>SUMIFS('июнь 2025'!$G$5:$G$2470,'июнь 2025'!$D$5:$D$2470,$B138,'июнь 2025'!$J$5:$J$2470,AG$1)</f>
        <v>0</v>
      </c>
      <c r="AH138" s="183">
        <f>SUMIFS('июнь 2025'!$G$5:$G$2470,'июнь 2025'!$D$5:$D$2470,$B138,'июнь 2025'!$J$5:$J$2470,AH$1)</f>
        <v>0</v>
      </c>
      <c r="AI138" s="20">
        <f t="shared" si="1"/>
        <v>0</v>
      </c>
    </row>
    <row r="139" spans="2:35" ht="15" customHeight="1" x14ac:dyDescent="0.25">
      <c r="B139" s="89" t="s">
        <v>184</v>
      </c>
      <c r="C139" s="90">
        <v>180</v>
      </c>
      <c r="D139" s="183">
        <f>SUMIFS('июнь 2025'!$G$5:$G$2470,'июнь 2025'!$D$5:$D$2470,$B139,'июнь 2025'!$J$5:$J$2470,D$1)</f>
        <v>0</v>
      </c>
      <c r="E139" s="183">
        <f>SUMIFS('июнь 2025'!$G$5:$G$2470,'июнь 2025'!$D$5:$D$2470,$B139,'июнь 2025'!$J$5:$J$2470,E$1)</f>
        <v>0</v>
      </c>
      <c r="F139" s="183">
        <f>SUMIFS('июнь 2025'!$G$5:$G$2470,'июнь 2025'!$D$5:$D$2470,$B139,'июнь 2025'!$J$5:$J$2470,F$1)</f>
        <v>0</v>
      </c>
      <c r="G139" s="183">
        <f>SUMIFS('июнь 2025'!$G$5:$G$2470,'июнь 2025'!$D$5:$D$2470,$B139,'июнь 2025'!$J$5:$J$2470,G$1)</f>
        <v>0</v>
      </c>
      <c r="H139" s="183">
        <f>SUMIFS('июнь 2025'!$G$5:$G$2470,'июнь 2025'!$D$5:$D$2470,$B139,'июнь 2025'!$J$5:$J$2470,H$1)</f>
        <v>0</v>
      </c>
      <c r="I139" s="183">
        <f>SUMIFS('июнь 2025'!$G$5:$G$2470,'июнь 2025'!$D$5:$D$2470,$B139,'июнь 2025'!$J$5:$J$2470,I$1)</f>
        <v>0</v>
      </c>
      <c r="J139" s="183">
        <f>SUMIFS('июнь 2025'!$G$5:$G$2470,'июнь 2025'!$D$5:$D$2470,$B139,'июнь 2025'!$J$5:$J$2470,J$1)</f>
        <v>0</v>
      </c>
      <c r="K139" s="183">
        <f>SUMIFS('июнь 2025'!$G$5:$G$2470,'июнь 2025'!$D$5:$D$2470,$B139,'июнь 2025'!$J$5:$J$2470,K$1)</f>
        <v>0</v>
      </c>
      <c r="L139" s="183">
        <f>SUMIFS('июнь 2025'!$G$5:$G$2470,'июнь 2025'!$D$5:$D$2470,$B139,'июнь 2025'!$J$5:$J$2470,L$1)</f>
        <v>0</v>
      </c>
      <c r="M139" s="183">
        <f>SUMIFS('июнь 2025'!$G$5:$G$2470,'июнь 2025'!$D$5:$D$2470,$B139,'июнь 2025'!$J$5:$J$2470,M$1)</f>
        <v>0</v>
      </c>
      <c r="N139" s="183">
        <f>SUMIFS('июнь 2025'!$G$5:$G$2470,'июнь 2025'!$D$5:$D$2470,$B139,'июнь 2025'!$J$5:$J$2470,N$1)</f>
        <v>0</v>
      </c>
      <c r="O139" s="183">
        <f>SUMIFS('июнь 2025'!$G$5:$G$2470,'июнь 2025'!$D$5:$D$2470,$B139,'июнь 2025'!$J$5:$J$2470,O$1)</f>
        <v>0</v>
      </c>
      <c r="P139" s="183">
        <f>SUMIFS('июнь 2025'!$G$5:$G$2470,'июнь 2025'!$D$5:$D$2470,$B139,'июнь 2025'!$J$5:$J$2470,P$1)</f>
        <v>0</v>
      </c>
      <c r="Q139" s="183">
        <f>SUMIFS('июнь 2025'!$G$5:$G$2470,'июнь 2025'!$D$5:$D$2470,$B139,'июнь 2025'!$J$5:$J$2470,Q$1)</f>
        <v>0</v>
      </c>
      <c r="R139" s="183">
        <f>SUMIFS('июнь 2025'!$G$5:$G$2470,'июнь 2025'!$D$5:$D$2470,$B139,'июнь 2025'!$J$5:$J$2470,R$1)</f>
        <v>0</v>
      </c>
      <c r="S139" s="183">
        <f>SUMIFS('июнь 2025'!$G$5:$G$2470,'июнь 2025'!$D$5:$D$2470,$B139,'июнь 2025'!$J$5:$J$2470,S$1)</f>
        <v>0</v>
      </c>
      <c r="T139" s="183">
        <f>SUMIFS('июнь 2025'!$G$5:$G$2470,'июнь 2025'!$D$5:$D$2470,$B139,'июнь 2025'!$J$5:$J$2470,T$1)</f>
        <v>0</v>
      </c>
      <c r="U139" s="183">
        <f>SUMIFS('июнь 2025'!$G$5:$G$2470,'июнь 2025'!$D$5:$D$2470,$B139,'июнь 2025'!$J$5:$J$2470,U$1)</f>
        <v>0</v>
      </c>
      <c r="V139" s="183">
        <f>SUMIFS('июнь 2025'!$G$5:$G$2470,'июнь 2025'!$D$5:$D$2470,$B139,'июнь 2025'!$J$5:$J$2470,V$1)</f>
        <v>0</v>
      </c>
      <c r="W139" s="183">
        <f>SUMIFS('июнь 2025'!$G$5:$G$2470,'июнь 2025'!$D$5:$D$2470,$B139,'июнь 2025'!$J$5:$J$2470,W$1)</f>
        <v>0</v>
      </c>
      <c r="X139" s="183">
        <f>SUMIFS('июнь 2025'!$G$5:$G$2470,'июнь 2025'!$D$5:$D$2470,$B139,'июнь 2025'!$J$5:$J$2470,X$1)</f>
        <v>0</v>
      </c>
      <c r="Y139" s="183">
        <f>SUMIFS('июнь 2025'!$G$5:$G$2470,'июнь 2025'!$D$5:$D$2470,$B139,'июнь 2025'!$J$5:$J$2470,Y$1)</f>
        <v>0</v>
      </c>
      <c r="Z139" s="183">
        <f>SUMIFS('июнь 2025'!$G$5:$G$2470,'июнь 2025'!$D$5:$D$2470,$B139,'июнь 2025'!$J$5:$J$2470,Z$1)</f>
        <v>0</v>
      </c>
      <c r="AA139" s="183">
        <f>SUMIFS('июнь 2025'!$G$5:$G$2470,'июнь 2025'!$D$5:$D$2470,$B139,'июнь 2025'!$J$5:$J$2470,AA$1)</f>
        <v>0</v>
      </c>
      <c r="AB139" s="183">
        <f>SUMIFS('июнь 2025'!$G$5:$G$2470,'июнь 2025'!$D$5:$D$2470,$B139,'июнь 2025'!$J$5:$J$2470,AB$1)</f>
        <v>0</v>
      </c>
      <c r="AC139" s="183">
        <f>SUMIFS('июнь 2025'!$G$5:$G$2470,'июнь 2025'!$D$5:$D$2470,$B139,'июнь 2025'!$J$5:$J$2470,AC$1)</f>
        <v>0</v>
      </c>
      <c r="AD139" s="183">
        <f>SUMIFS('июнь 2025'!$G$5:$G$2470,'июнь 2025'!$D$5:$D$2470,$B139,'июнь 2025'!$J$5:$J$2470,AD$1)</f>
        <v>0</v>
      </c>
      <c r="AE139" s="183">
        <f>SUMIFS('июнь 2025'!$G$5:$G$2470,'июнь 2025'!$D$5:$D$2470,$B139,'июнь 2025'!$J$5:$J$2470,AE$1)</f>
        <v>0</v>
      </c>
      <c r="AF139" s="183">
        <f>SUMIFS('июнь 2025'!$G$5:$G$2470,'июнь 2025'!$D$5:$D$2470,$B139,'июнь 2025'!$J$5:$J$2470,AF$1)</f>
        <v>0</v>
      </c>
      <c r="AG139" s="183">
        <f>SUMIFS('июнь 2025'!$G$5:$G$2470,'июнь 2025'!$D$5:$D$2470,$B139,'июнь 2025'!$J$5:$J$2470,AG$1)</f>
        <v>0</v>
      </c>
      <c r="AH139" s="183">
        <f>SUMIFS('июнь 2025'!$G$5:$G$2470,'июнь 2025'!$D$5:$D$2470,$B139,'июнь 2025'!$J$5:$J$2470,AH$1)</f>
        <v>0</v>
      </c>
      <c r="AI139" s="20">
        <f t="shared" si="1"/>
        <v>0</v>
      </c>
    </row>
    <row r="140" spans="2:35" ht="15" customHeight="1" x14ac:dyDescent="0.25">
      <c r="B140" s="84" t="s">
        <v>268</v>
      </c>
      <c r="C140" s="86">
        <v>180</v>
      </c>
      <c r="D140" s="183">
        <f>SUMIFS('июнь 2025'!$G$5:$G$2470,'июнь 2025'!$D$5:$D$2470,$B140,'июнь 2025'!$J$5:$J$2470,D$1)</f>
        <v>0</v>
      </c>
      <c r="E140" s="183">
        <f>SUMIFS('июнь 2025'!$G$5:$G$2470,'июнь 2025'!$D$5:$D$2470,$B140,'июнь 2025'!$J$5:$J$2470,E$1)</f>
        <v>0</v>
      </c>
      <c r="F140" s="183">
        <f>SUMIFS('июнь 2025'!$G$5:$G$2470,'июнь 2025'!$D$5:$D$2470,$B140,'июнь 2025'!$J$5:$J$2470,F$1)</f>
        <v>0</v>
      </c>
      <c r="G140" s="183">
        <f>SUMIFS('июнь 2025'!$G$5:$G$2470,'июнь 2025'!$D$5:$D$2470,$B140,'июнь 2025'!$J$5:$J$2470,G$1)</f>
        <v>0</v>
      </c>
      <c r="H140" s="183">
        <f>SUMIFS('июнь 2025'!$G$5:$G$2470,'июнь 2025'!$D$5:$D$2470,$B140,'июнь 2025'!$J$5:$J$2470,H$1)</f>
        <v>0</v>
      </c>
      <c r="I140" s="183">
        <f>SUMIFS('июнь 2025'!$G$5:$G$2470,'июнь 2025'!$D$5:$D$2470,$B140,'июнь 2025'!$J$5:$J$2470,I$1)</f>
        <v>0</v>
      </c>
      <c r="J140" s="183">
        <f>SUMIFS('июнь 2025'!$G$5:$G$2470,'июнь 2025'!$D$5:$D$2470,$B140,'июнь 2025'!$J$5:$J$2470,J$1)</f>
        <v>0</v>
      </c>
      <c r="K140" s="183">
        <f>SUMIFS('июнь 2025'!$G$5:$G$2470,'июнь 2025'!$D$5:$D$2470,$B140,'июнь 2025'!$J$5:$J$2470,K$1)</f>
        <v>0</v>
      </c>
      <c r="L140" s="183">
        <f>SUMIFS('июнь 2025'!$G$5:$G$2470,'июнь 2025'!$D$5:$D$2470,$B140,'июнь 2025'!$J$5:$J$2470,L$1)</f>
        <v>0</v>
      </c>
      <c r="M140" s="183">
        <f>SUMIFS('июнь 2025'!$G$5:$G$2470,'июнь 2025'!$D$5:$D$2470,$B140,'июнь 2025'!$J$5:$J$2470,M$1)</f>
        <v>0</v>
      </c>
      <c r="N140" s="183">
        <f>SUMIFS('июнь 2025'!$G$5:$G$2470,'июнь 2025'!$D$5:$D$2470,$B140,'июнь 2025'!$J$5:$J$2470,N$1)</f>
        <v>0</v>
      </c>
      <c r="O140" s="183">
        <f>SUMIFS('июнь 2025'!$G$5:$G$2470,'июнь 2025'!$D$5:$D$2470,$B140,'июнь 2025'!$J$5:$J$2470,O$1)</f>
        <v>0</v>
      </c>
      <c r="P140" s="183">
        <f>SUMIFS('июнь 2025'!$G$5:$G$2470,'июнь 2025'!$D$5:$D$2470,$B140,'июнь 2025'!$J$5:$J$2470,P$1)</f>
        <v>0</v>
      </c>
      <c r="Q140" s="183">
        <f>SUMIFS('июнь 2025'!$G$5:$G$2470,'июнь 2025'!$D$5:$D$2470,$B140,'июнь 2025'!$J$5:$J$2470,Q$1)</f>
        <v>0</v>
      </c>
      <c r="R140" s="183">
        <f>SUMIFS('июнь 2025'!$G$5:$G$2470,'июнь 2025'!$D$5:$D$2470,$B140,'июнь 2025'!$J$5:$J$2470,R$1)</f>
        <v>0</v>
      </c>
      <c r="S140" s="183">
        <f>SUMIFS('июнь 2025'!$G$5:$G$2470,'июнь 2025'!$D$5:$D$2470,$B140,'июнь 2025'!$J$5:$J$2470,S$1)</f>
        <v>0</v>
      </c>
      <c r="T140" s="183">
        <f>SUMIFS('июнь 2025'!$G$5:$G$2470,'июнь 2025'!$D$5:$D$2470,$B140,'июнь 2025'!$J$5:$J$2470,T$1)</f>
        <v>0</v>
      </c>
      <c r="U140" s="183">
        <f>SUMIFS('июнь 2025'!$G$5:$G$2470,'июнь 2025'!$D$5:$D$2470,$B140,'июнь 2025'!$J$5:$J$2470,U$1)</f>
        <v>0</v>
      </c>
      <c r="V140" s="183">
        <f>SUMIFS('июнь 2025'!$G$5:$G$2470,'июнь 2025'!$D$5:$D$2470,$B140,'июнь 2025'!$J$5:$J$2470,V$1)</f>
        <v>0</v>
      </c>
      <c r="W140" s="183">
        <f>SUMIFS('июнь 2025'!$G$5:$G$2470,'июнь 2025'!$D$5:$D$2470,$B140,'июнь 2025'!$J$5:$J$2470,W$1)</f>
        <v>0</v>
      </c>
      <c r="X140" s="183">
        <f>SUMIFS('июнь 2025'!$G$5:$G$2470,'июнь 2025'!$D$5:$D$2470,$B140,'июнь 2025'!$J$5:$J$2470,X$1)</f>
        <v>0</v>
      </c>
      <c r="Y140" s="183">
        <f>SUMIFS('июнь 2025'!$G$5:$G$2470,'июнь 2025'!$D$5:$D$2470,$B140,'июнь 2025'!$J$5:$J$2470,Y$1)</f>
        <v>0</v>
      </c>
      <c r="Z140" s="183">
        <f>SUMIFS('июнь 2025'!$G$5:$G$2470,'июнь 2025'!$D$5:$D$2470,$B140,'июнь 2025'!$J$5:$J$2470,Z$1)</f>
        <v>0</v>
      </c>
      <c r="AA140" s="183">
        <f>SUMIFS('июнь 2025'!$G$5:$G$2470,'июнь 2025'!$D$5:$D$2470,$B140,'июнь 2025'!$J$5:$J$2470,AA$1)</f>
        <v>0</v>
      </c>
      <c r="AB140" s="183">
        <f>SUMIFS('июнь 2025'!$G$5:$G$2470,'июнь 2025'!$D$5:$D$2470,$B140,'июнь 2025'!$J$5:$J$2470,AB$1)</f>
        <v>0</v>
      </c>
      <c r="AC140" s="183">
        <f>SUMIFS('июнь 2025'!$G$5:$G$2470,'июнь 2025'!$D$5:$D$2470,$B140,'июнь 2025'!$J$5:$J$2470,AC$1)</f>
        <v>0</v>
      </c>
      <c r="AD140" s="183">
        <f>SUMIFS('июнь 2025'!$G$5:$G$2470,'июнь 2025'!$D$5:$D$2470,$B140,'июнь 2025'!$J$5:$J$2470,AD$1)</f>
        <v>0</v>
      </c>
      <c r="AE140" s="183">
        <f>SUMIFS('июнь 2025'!$G$5:$G$2470,'июнь 2025'!$D$5:$D$2470,$B140,'июнь 2025'!$J$5:$J$2470,AE$1)</f>
        <v>0</v>
      </c>
      <c r="AF140" s="183">
        <f>SUMIFS('июнь 2025'!$G$5:$G$2470,'июнь 2025'!$D$5:$D$2470,$B140,'июнь 2025'!$J$5:$J$2470,AF$1)</f>
        <v>0</v>
      </c>
      <c r="AG140" s="183">
        <f>SUMIFS('июнь 2025'!$G$5:$G$2470,'июнь 2025'!$D$5:$D$2470,$B140,'июнь 2025'!$J$5:$J$2470,AG$1)</f>
        <v>0</v>
      </c>
      <c r="AH140" s="183">
        <f>SUMIFS('июнь 2025'!$G$5:$G$2470,'июнь 2025'!$D$5:$D$2470,$B140,'июнь 2025'!$J$5:$J$2470,AH$1)</f>
        <v>0</v>
      </c>
      <c r="AI140" s="20">
        <f t="shared" si="1"/>
        <v>0</v>
      </c>
    </row>
    <row r="141" spans="2:35" ht="15" customHeight="1" x14ac:dyDescent="0.25">
      <c r="B141" s="84" t="s">
        <v>278</v>
      </c>
      <c r="C141" s="86">
        <v>180</v>
      </c>
      <c r="D141" s="183">
        <f>SUMIFS('июнь 2025'!$G$5:$G$2470,'июнь 2025'!$D$5:$D$2470,$B141,'июнь 2025'!$J$5:$J$2470,D$1)</f>
        <v>0</v>
      </c>
      <c r="E141" s="183">
        <f>SUMIFS('июнь 2025'!$G$5:$G$2470,'июнь 2025'!$D$5:$D$2470,$B141,'июнь 2025'!$J$5:$J$2470,E$1)</f>
        <v>0</v>
      </c>
      <c r="F141" s="183">
        <f>SUMIFS('июнь 2025'!$G$5:$G$2470,'июнь 2025'!$D$5:$D$2470,$B141,'июнь 2025'!$J$5:$J$2470,F$1)</f>
        <v>0</v>
      </c>
      <c r="G141" s="183">
        <f>SUMIFS('июнь 2025'!$G$5:$G$2470,'июнь 2025'!$D$5:$D$2470,$B141,'июнь 2025'!$J$5:$J$2470,G$1)</f>
        <v>0</v>
      </c>
      <c r="H141" s="183">
        <f>SUMIFS('июнь 2025'!$G$5:$G$2470,'июнь 2025'!$D$5:$D$2470,$B141,'июнь 2025'!$J$5:$J$2470,H$1)</f>
        <v>0</v>
      </c>
      <c r="I141" s="183">
        <f>SUMIFS('июнь 2025'!$G$5:$G$2470,'июнь 2025'!$D$5:$D$2470,$B141,'июнь 2025'!$J$5:$J$2470,I$1)</f>
        <v>0</v>
      </c>
      <c r="J141" s="183">
        <f>SUMIFS('июнь 2025'!$G$5:$G$2470,'июнь 2025'!$D$5:$D$2470,$B141,'июнь 2025'!$J$5:$J$2470,J$1)</f>
        <v>0</v>
      </c>
      <c r="K141" s="183">
        <f>SUMIFS('июнь 2025'!$G$5:$G$2470,'июнь 2025'!$D$5:$D$2470,$B141,'июнь 2025'!$J$5:$J$2470,K$1)</f>
        <v>0</v>
      </c>
      <c r="L141" s="183">
        <f>SUMIFS('июнь 2025'!$G$5:$G$2470,'июнь 2025'!$D$5:$D$2470,$B141,'июнь 2025'!$J$5:$J$2470,L$1)</f>
        <v>0</v>
      </c>
      <c r="M141" s="183">
        <f>SUMIFS('июнь 2025'!$G$5:$G$2470,'июнь 2025'!$D$5:$D$2470,$B141,'июнь 2025'!$J$5:$J$2470,M$1)</f>
        <v>0</v>
      </c>
      <c r="N141" s="183">
        <f>SUMIFS('июнь 2025'!$G$5:$G$2470,'июнь 2025'!$D$5:$D$2470,$B141,'июнь 2025'!$J$5:$J$2470,N$1)</f>
        <v>0</v>
      </c>
      <c r="O141" s="183">
        <f>SUMIFS('июнь 2025'!$G$5:$G$2470,'июнь 2025'!$D$5:$D$2470,$B141,'июнь 2025'!$J$5:$J$2470,O$1)</f>
        <v>0</v>
      </c>
      <c r="P141" s="183">
        <f>SUMIFS('июнь 2025'!$G$5:$G$2470,'июнь 2025'!$D$5:$D$2470,$B141,'июнь 2025'!$J$5:$J$2470,P$1)</f>
        <v>0</v>
      </c>
      <c r="Q141" s="183">
        <f>SUMIFS('июнь 2025'!$G$5:$G$2470,'июнь 2025'!$D$5:$D$2470,$B141,'июнь 2025'!$J$5:$J$2470,Q$1)</f>
        <v>0</v>
      </c>
      <c r="R141" s="183">
        <f>SUMIFS('июнь 2025'!$G$5:$G$2470,'июнь 2025'!$D$5:$D$2470,$B141,'июнь 2025'!$J$5:$J$2470,R$1)</f>
        <v>0</v>
      </c>
      <c r="S141" s="183">
        <f>SUMIFS('июнь 2025'!$G$5:$G$2470,'июнь 2025'!$D$5:$D$2470,$B141,'июнь 2025'!$J$5:$J$2470,S$1)</f>
        <v>0</v>
      </c>
      <c r="T141" s="183">
        <f>SUMIFS('июнь 2025'!$G$5:$G$2470,'июнь 2025'!$D$5:$D$2470,$B141,'июнь 2025'!$J$5:$J$2470,T$1)</f>
        <v>0</v>
      </c>
      <c r="U141" s="183">
        <f>SUMIFS('июнь 2025'!$G$5:$G$2470,'июнь 2025'!$D$5:$D$2470,$B141,'июнь 2025'!$J$5:$J$2470,U$1)</f>
        <v>0</v>
      </c>
      <c r="V141" s="183">
        <f>SUMIFS('июнь 2025'!$G$5:$G$2470,'июнь 2025'!$D$5:$D$2470,$B141,'июнь 2025'!$J$5:$J$2470,V$1)</f>
        <v>0</v>
      </c>
      <c r="W141" s="183">
        <f>SUMIFS('июнь 2025'!$G$5:$G$2470,'июнь 2025'!$D$5:$D$2470,$B141,'июнь 2025'!$J$5:$J$2470,W$1)</f>
        <v>0</v>
      </c>
      <c r="X141" s="183">
        <f>SUMIFS('июнь 2025'!$G$5:$G$2470,'июнь 2025'!$D$5:$D$2470,$B141,'июнь 2025'!$J$5:$J$2470,X$1)</f>
        <v>0</v>
      </c>
      <c r="Y141" s="183">
        <f>SUMIFS('июнь 2025'!$G$5:$G$2470,'июнь 2025'!$D$5:$D$2470,$B141,'июнь 2025'!$J$5:$J$2470,Y$1)</f>
        <v>0</v>
      </c>
      <c r="Z141" s="183">
        <f>SUMIFS('июнь 2025'!$G$5:$G$2470,'июнь 2025'!$D$5:$D$2470,$B141,'июнь 2025'!$J$5:$J$2470,Z$1)</f>
        <v>0</v>
      </c>
      <c r="AA141" s="183">
        <f>SUMIFS('июнь 2025'!$G$5:$G$2470,'июнь 2025'!$D$5:$D$2470,$B141,'июнь 2025'!$J$5:$J$2470,AA$1)</f>
        <v>0</v>
      </c>
      <c r="AB141" s="183">
        <f>SUMIFS('июнь 2025'!$G$5:$G$2470,'июнь 2025'!$D$5:$D$2470,$B141,'июнь 2025'!$J$5:$J$2470,AB$1)</f>
        <v>0</v>
      </c>
      <c r="AC141" s="183">
        <f>SUMIFS('июнь 2025'!$G$5:$G$2470,'июнь 2025'!$D$5:$D$2470,$B141,'июнь 2025'!$J$5:$J$2470,AC$1)</f>
        <v>0</v>
      </c>
      <c r="AD141" s="183">
        <f>SUMIFS('июнь 2025'!$G$5:$G$2470,'июнь 2025'!$D$5:$D$2470,$B141,'июнь 2025'!$J$5:$J$2470,AD$1)</f>
        <v>0</v>
      </c>
      <c r="AE141" s="183">
        <f>SUMIFS('июнь 2025'!$G$5:$G$2470,'июнь 2025'!$D$5:$D$2470,$B141,'июнь 2025'!$J$5:$J$2470,AE$1)</f>
        <v>0</v>
      </c>
      <c r="AF141" s="183">
        <f>SUMIFS('июнь 2025'!$G$5:$G$2470,'июнь 2025'!$D$5:$D$2470,$B141,'июнь 2025'!$J$5:$J$2470,AF$1)</f>
        <v>0</v>
      </c>
      <c r="AG141" s="183">
        <f>SUMIFS('июнь 2025'!$G$5:$G$2470,'июнь 2025'!$D$5:$D$2470,$B141,'июнь 2025'!$J$5:$J$2470,AG$1)</f>
        <v>0</v>
      </c>
      <c r="AH141" s="183">
        <f>SUMIFS('июнь 2025'!$G$5:$G$2470,'июнь 2025'!$D$5:$D$2470,$B141,'июнь 2025'!$J$5:$J$2470,AH$1)</f>
        <v>0</v>
      </c>
      <c r="AI141" s="20">
        <f t="shared" si="1"/>
        <v>0</v>
      </c>
    </row>
    <row r="142" spans="2:35" ht="15" customHeight="1" x14ac:dyDescent="0.25">
      <c r="B142" s="84" t="s">
        <v>295</v>
      </c>
      <c r="C142" s="86">
        <v>190</v>
      </c>
      <c r="D142" s="183">
        <f>SUMIFS('июнь 2025'!$G$5:$G$2470,'июнь 2025'!$D$5:$D$2470,$B142,'июнь 2025'!$J$5:$J$2470,D$1)</f>
        <v>0</v>
      </c>
      <c r="E142" s="183">
        <f>SUMIFS('июнь 2025'!$G$5:$G$2470,'июнь 2025'!$D$5:$D$2470,$B142,'июнь 2025'!$J$5:$J$2470,E$1)</f>
        <v>0</v>
      </c>
      <c r="F142" s="183">
        <f>SUMIFS('июнь 2025'!$G$5:$G$2470,'июнь 2025'!$D$5:$D$2470,$B142,'июнь 2025'!$J$5:$J$2470,F$1)</f>
        <v>0</v>
      </c>
      <c r="G142" s="183">
        <f>SUMIFS('июнь 2025'!$G$5:$G$2470,'июнь 2025'!$D$5:$D$2470,$B142,'июнь 2025'!$J$5:$J$2470,G$1)</f>
        <v>0</v>
      </c>
      <c r="H142" s="183">
        <f>SUMIFS('июнь 2025'!$G$5:$G$2470,'июнь 2025'!$D$5:$D$2470,$B142,'июнь 2025'!$J$5:$J$2470,H$1)</f>
        <v>0</v>
      </c>
      <c r="I142" s="183">
        <f>SUMIFS('июнь 2025'!$G$5:$G$2470,'июнь 2025'!$D$5:$D$2470,$B142,'июнь 2025'!$J$5:$J$2470,I$1)</f>
        <v>0</v>
      </c>
      <c r="J142" s="183">
        <f>SUMIFS('июнь 2025'!$G$5:$G$2470,'июнь 2025'!$D$5:$D$2470,$B142,'июнь 2025'!$J$5:$J$2470,J$1)</f>
        <v>0</v>
      </c>
      <c r="K142" s="183">
        <f>SUMIFS('июнь 2025'!$G$5:$G$2470,'июнь 2025'!$D$5:$D$2470,$B142,'июнь 2025'!$J$5:$J$2470,K$1)</f>
        <v>0</v>
      </c>
      <c r="L142" s="183">
        <f>SUMIFS('июнь 2025'!$G$5:$G$2470,'июнь 2025'!$D$5:$D$2470,$B142,'июнь 2025'!$J$5:$J$2470,L$1)</f>
        <v>0</v>
      </c>
      <c r="M142" s="183">
        <f>SUMIFS('июнь 2025'!$G$5:$G$2470,'июнь 2025'!$D$5:$D$2470,$B142,'июнь 2025'!$J$5:$J$2470,M$1)</f>
        <v>0</v>
      </c>
      <c r="N142" s="183">
        <f>SUMIFS('июнь 2025'!$G$5:$G$2470,'июнь 2025'!$D$5:$D$2470,$B142,'июнь 2025'!$J$5:$J$2470,N$1)</f>
        <v>0</v>
      </c>
      <c r="O142" s="183">
        <f>SUMIFS('июнь 2025'!$G$5:$G$2470,'июнь 2025'!$D$5:$D$2470,$B142,'июнь 2025'!$J$5:$J$2470,O$1)</f>
        <v>0</v>
      </c>
      <c r="P142" s="183">
        <f>SUMIFS('июнь 2025'!$G$5:$G$2470,'июнь 2025'!$D$5:$D$2470,$B142,'июнь 2025'!$J$5:$J$2470,P$1)</f>
        <v>0</v>
      </c>
      <c r="Q142" s="183">
        <f>SUMIFS('июнь 2025'!$G$5:$G$2470,'июнь 2025'!$D$5:$D$2470,$B142,'июнь 2025'!$J$5:$J$2470,Q$1)</f>
        <v>0</v>
      </c>
      <c r="R142" s="183">
        <f>SUMIFS('июнь 2025'!$G$5:$G$2470,'июнь 2025'!$D$5:$D$2470,$B142,'июнь 2025'!$J$5:$J$2470,R$1)</f>
        <v>0</v>
      </c>
      <c r="S142" s="183">
        <f>SUMIFS('июнь 2025'!$G$5:$G$2470,'июнь 2025'!$D$5:$D$2470,$B142,'июнь 2025'!$J$5:$J$2470,S$1)</f>
        <v>0</v>
      </c>
      <c r="T142" s="183">
        <f>SUMIFS('июнь 2025'!$G$5:$G$2470,'июнь 2025'!$D$5:$D$2470,$B142,'июнь 2025'!$J$5:$J$2470,T$1)</f>
        <v>0</v>
      </c>
      <c r="U142" s="183">
        <f>SUMIFS('июнь 2025'!$G$5:$G$2470,'июнь 2025'!$D$5:$D$2470,$B142,'июнь 2025'!$J$5:$J$2470,U$1)</f>
        <v>0</v>
      </c>
      <c r="V142" s="183">
        <f>SUMIFS('июнь 2025'!$G$5:$G$2470,'июнь 2025'!$D$5:$D$2470,$B142,'июнь 2025'!$J$5:$J$2470,V$1)</f>
        <v>0</v>
      </c>
      <c r="W142" s="183">
        <f>SUMIFS('июнь 2025'!$G$5:$G$2470,'июнь 2025'!$D$5:$D$2470,$B142,'июнь 2025'!$J$5:$J$2470,W$1)</f>
        <v>0</v>
      </c>
      <c r="X142" s="183">
        <f>SUMIFS('июнь 2025'!$G$5:$G$2470,'июнь 2025'!$D$5:$D$2470,$B142,'июнь 2025'!$J$5:$J$2470,X$1)</f>
        <v>0</v>
      </c>
      <c r="Y142" s="183">
        <f>SUMIFS('июнь 2025'!$G$5:$G$2470,'июнь 2025'!$D$5:$D$2470,$B142,'июнь 2025'!$J$5:$J$2470,Y$1)</f>
        <v>0</v>
      </c>
      <c r="Z142" s="183">
        <f>SUMIFS('июнь 2025'!$G$5:$G$2470,'июнь 2025'!$D$5:$D$2470,$B142,'июнь 2025'!$J$5:$J$2470,Z$1)</f>
        <v>0</v>
      </c>
      <c r="AA142" s="183">
        <f>SUMIFS('июнь 2025'!$G$5:$G$2470,'июнь 2025'!$D$5:$D$2470,$B142,'июнь 2025'!$J$5:$J$2470,AA$1)</f>
        <v>0</v>
      </c>
      <c r="AB142" s="183">
        <f>SUMIFS('июнь 2025'!$G$5:$G$2470,'июнь 2025'!$D$5:$D$2470,$B142,'июнь 2025'!$J$5:$J$2470,AB$1)</f>
        <v>0</v>
      </c>
      <c r="AC142" s="183">
        <f>SUMIFS('июнь 2025'!$G$5:$G$2470,'июнь 2025'!$D$5:$D$2470,$B142,'июнь 2025'!$J$5:$J$2470,AC$1)</f>
        <v>16</v>
      </c>
      <c r="AD142" s="183">
        <f>SUMIFS('июнь 2025'!$G$5:$G$2470,'июнь 2025'!$D$5:$D$2470,$B142,'июнь 2025'!$J$5:$J$2470,AD$1)</f>
        <v>0</v>
      </c>
      <c r="AE142" s="183">
        <f>SUMIFS('июнь 2025'!$G$5:$G$2470,'июнь 2025'!$D$5:$D$2470,$B142,'июнь 2025'!$J$5:$J$2470,AE$1)</f>
        <v>0</v>
      </c>
      <c r="AF142" s="183">
        <f>SUMIFS('июнь 2025'!$G$5:$G$2470,'июнь 2025'!$D$5:$D$2470,$B142,'июнь 2025'!$J$5:$J$2470,AF$1)</f>
        <v>0</v>
      </c>
      <c r="AG142" s="183">
        <f>SUMIFS('июнь 2025'!$G$5:$G$2470,'июнь 2025'!$D$5:$D$2470,$B142,'июнь 2025'!$J$5:$J$2470,AG$1)</f>
        <v>0</v>
      </c>
      <c r="AH142" s="183">
        <f>SUMIFS('июнь 2025'!$G$5:$G$2470,'июнь 2025'!$D$5:$D$2470,$B142,'июнь 2025'!$J$5:$J$2470,AH$1)</f>
        <v>0</v>
      </c>
      <c r="AI142" s="20">
        <f t="shared" si="1"/>
        <v>16</v>
      </c>
    </row>
    <row r="143" spans="2:35" ht="15" customHeight="1" x14ac:dyDescent="0.25">
      <c r="B143" s="84" t="s">
        <v>269</v>
      </c>
      <c r="C143" s="86">
        <v>200</v>
      </c>
      <c r="D143" s="183">
        <f>SUMIFS('июнь 2025'!$G$5:$G$2470,'июнь 2025'!$D$5:$D$2470,$B143,'июнь 2025'!$J$5:$J$2470,D$1)</f>
        <v>0</v>
      </c>
      <c r="E143" s="183">
        <f>SUMIFS('июнь 2025'!$G$5:$G$2470,'июнь 2025'!$D$5:$D$2470,$B143,'июнь 2025'!$J$5:$J$2470,E$1)</f>
        <v>0</v>
      </c>
      <c r="F143" s="183">
        <f>SUMIFS('июнь 2025'!$G$5:$G$2470,'июнь 2025'!$D$5:$D$2470,$B143,'июнь 2025'!$J$5:$J$2470,F$1)</f>
        <v>0</v>
      </c>
      <c r="G143" s="183">
        <f>SUMIFS('июнь 2025'!$G$5:$G$2470,'июнь 2025'!$D$5:$D$2470,$B143,'июнь 2025'!$J$5:$J$2470,G$1)</f>
        <v>0</v>
      </c>
      <c r="H143" s="183">
        <f>SUMIFS('июнь 2025'!$G$5:$G$2470,'июнь 2025'!$D$5:$D$2470,$B143,'июнь 2025'!$J$5:$J$2470,H$1)</f>
        <v>0</v>
      </c>
      <c r="I143" s="183">
        <f>SUMIFS('июнь 2025'!$G$5:$G$2470,'июнь 2025'!$D$5:$D$2470,$B143,'июнь 2025'!$J$5:$J$2470,I$1)</f>
        <v>0</v>
      </c>
      <c r="J143" s="183">
        <f>SUMIFS('июнь 2025'!$G$5:$G$2470,'июнь 2025'!$D$5:$D$2470,$B143,'июнь 2025'!$J$5:$J$2470,J$1)</f>
        <v>0</v>
      </c>
      <c r="K143" s="183">
        <f>SUMIFS('июнь 2025'!$G$5:$G$2470,'июнь 2025'!$D$5:$D$2470,$B143,'июнь 2025'!$J$5:$J$2470,K$1)</f>
        <v>0</v>
      </c>
      <c r="L143" s="183">
        <f>SUMIFS('июнь 2025'!$G$5:$G$2470,'июнь 2025'!$D$5:$D$2470,$B143,'июнь 2025'!$J$5:$J$2470,L$1)</f>
        <v>0</v>
      </c>
      <c r="M143" s="183">
        <f>SUMIFS('июнь 2025'!$G$5:$G$2470,'июнь 2025'!$D$5:$D$2470,$B143,'июнь 2025'!$J$5:$J$2470,M$1)</f>
        <v>0</v>
      </c>
      <c r="N143" s="183">
        <f>SUMIFS('июнь 2025'!$G$5:$G$2470,'июнь 2025'!$D$5:$D$2470,$B143,'июнь 2025'!$J$5:$J$2470,N$1)</f>
        <v>0</v>
      </c>
      <c r="O143" s="183">
        <f>SUMIFS('июнь 2025'!$G$5:$G$2470,'июнь 2025'!$D$5:$D$2470,$B143,'июнь 2025'!$J$5:$J$2470,O$1)</f>
        <v>0</v>
      </c>
      <c r="P143" s="183">
        <f>SUMIFS('июнь 2025'!$G$5:$G$2470,'июнь 2025'!$D$5:$D$2470,$B143,'июнь 2025'!$J$5:$J$2470,P$1)</f>
        <v>0</v>
      </c>
      <c r="Q143" s="183">
        <f>SUMIFS('июнь 2025'!$G$5:$G$2470,'июнь 2025'!$D$5:$D$2470,$B143,'июнь 2025'!$J$5:$J$2470,Q$1)</f>
        <v>0</v>
      </c>
      <c r="R143" s="183">
        <f>SUMIFS('июнь 2025'!$G$5:$G$2470,'июнь 2025'!$D$5:$D$2470,$B143,'июнь 2025'!$J$5:$J$2470,R$1)</f>
        <v>0</v>
      </c>
      <c r="S143" s="183">
        <f>SUMIFS('июнь 2025'!$G$5:$G$2470,'июнь 2025'!$D$5:$D$2470,$B143,'июнь 2025'!$J$5:$J$2470,S$1)</f>
        <v>0</v>
      </c>
      <c r="T143" s="183">
        <f>SUMIFS('июнь 2025'!$G$5:$G$2470,'июнь 2025'!$D$5:$D$2470,$B143,'июнь 2025'!$J$5:$J$2470,T$1)</f>
        <v>0</v>
      </c>
      <c r="U143" s="183">
        <f>SUMIFS('июнь 2025'!$G$5:$G$2470,'июнь 2025'!$D$5:$D$2470,$B143,'июнь 2025'!$J$5:$J$2470,U$1)</f>
        <v>0</v>
      </c>
      <c r="V143" s="183">
        <f>SUMIFS('июнь 2025'!$G$5:$G$2470,'июнь 2025'!$D$5:$D$2470,$B143,'июнь 2025'!$J$5:$J$2470,V$1)</f>
        <v>0</v>
      </c>
      <c r="W143" s="183">
        <f>SUMIFS('июнь 2025'!$G$5:$G$2470,'июнь 2025'!$D$5:$D$2470,$B143,'июнь 2025'!$J$5:$J$2470,W$1)</f>
        <v>0</v>
      </c>
      <c r="X143" s="183">
        <f>SUMIFS('июнь 2025'!$G$5:$G$2470,'июнь 2025'!$D$5:$D$2470,$B143,'июнь 2025'!$J$5:$J$2470,X$1)</f>
        <v>0</v>
      </c>
      <c r="Y143" s="183">
        <f>SUMIFS('июнь 2025'!$G$5:$G$2470,'июнь 2025'!$D$5:$D$2470,$B143,'июнь 2025'!$J$5:$J$2470,Y$1)</f>
        <v>0</v>
      </c>
      <c r="Z143" s="183">
        <f>SUMIFS('июнь 2025'!$G$5:$G$2470,'июнь 2025'!$D$5:$D$2470,$B143,'июнь 2025'!$J$5:$J$2470,Z$1)</f>
        <v>0</v>
      </c>
      <c r="AA143" s="183">
        <f>SUMIFS('июнь 2025'!$G$5:$G$2470,'июнь 2025'!$D$5:$D$2470,$B143,'июнь 2025'!$J$5:$J$2470,AA$1)</f>
        <v>0</v>
      </c>
      <c r="AB143" s="183">
        <f>SUMIFS('июнь 2025'!$G$5:$G$2470,'июнь 2025'!$D$5:$D$2470,$B143,'июнь 2025'!$J$5:$J$2470,AB$1)</f>
        <v>0</v>
      </c>
      <c r="AC143" s="183">
        <f>SUMIFS('июнь 2025'!$G$5:$G$2470,'июнь 2025'!$D$5:$D$2470,$B143,'июнь 2025'!$J$5:$J$2470,AC$1)</f>
        <v>0</v>
      </c>
      <c r="AD143" s="183">
        <f>SUMIFS('июнь 2025'!$G$5:$G$2470,'июнь 2025'!$D$5:$D$2470,$B143,'июнь 2025'!$J$5:$J$2470,AD$1)</f>
        <v>0</v>
      </c>
      <c r="AE143" s="183">
        <f>SUMIFS('июнь 2025'!$G$5:$G$2470,'июнь 2025'!$D$5:$D$2470,$B143,'июнь 2025'!$J$5:$J$2470,AE$1)</f>
        <v>0</v>
      </c>
      <c r="AF143" s="183">
        <f>SUMIFS('июнь 2025'!$G$5:$G$2470,'июнь 2025'!$D$5:$D$2470,$B143,'июнь 2025'!$J$5:$J$2470,AF$1)</f>
        <v>0</v>
      </c>
      <c r="AG143" s="183">
        <f>SUMIFS('июнь 2025'!$G$5:$G$2470,'июнь 2025'!$D$5:$D$2470,$B143,'июнь 2025'!$J$5:$J$2470,AG$1)</f>
        <v>0</v>
      </c>
      <c r="AH143" s="183">
        <f>SUMIFS('июнь 2025'!$G$5:$G$2470,'июнь 2025'!$D$5:$D$2470,$B143,'июнь 2025'!$J$5:$J$2470,AH$1)</f>
        <v>0</v>
      </c>
      <c r="AI143" s="20">
        <f t="shared" si="1"/>
        <v>0</v>
      </c>
    </row>
    <row r="144" spans="2:35" ht="15" customHeight="1" x14ac:dyDescent="0.25">
      <c r="B144" s="84" t="s">
        <v>279</v>
      </c>
      <c r="C144" s="86">
        <v>200</v>
      </c>
      <c r="D144" s="183">
        <f>SUMIFS('июнь 2025'!$G$5:$G$2470,'июнь 2025'!$D$5:$D$2470,$B144,'июнь 2025'!$J$5:$J$2470,D$1)</f>
        <v>0</v>
      </c>
      <c r="E144" s="183">
        <f>SUMIFS('июнь 2025'!$G$5:$G$2470,'июнь 2025'!$D$5:$D$2470,$B144,'июнь 2025'!$J$5:$J$2470,E$1)</f>
        <v>0</v>
      </c>
      <c r="F144" s="183">
        <f>SUMIFS('июнь 2025'!$G$5:$G$2470,'июнь 2025'!$D$5:$D$2470,$B144,'июнь 2025'!$J$5:$J$2470,F$1)</f>
        <v>0</v>
      </c>
      <c r="G144" s="183">
        <f>SUMIFS('июнь 2025'!$G$5:$G$2470,'июнь 2025'!$D$5:$D$2470,$B144,'июнь 2025'!$J$5:$J$2470,G$1)</f>
        <v>0</v>
      </c>
      <c r="H144" s="183">
        <f>SUMIFS('июнь 2025'!$G$5:$G$2470,'июнь 2025'!$D$5:$D$2470,$B144,'июнь 2025'!$J$5:$J$2470,H$1)</f>
        <v>0</v>
      </c>
      <c r="I144" s="183">
        <f>SUMIFS('июнь 2025'!$G$5:$G$2470,'июнь 2025'!$D$5:$D$2470,$B144,'июнь 2025'!$J$5:$J$2470,I$1)</f>
        <v>0</v>
      </c>
      <c r="J144" s="183">
        <f>SUMIFS('июнь 2025'!$G$5:$G$2470,'июнь 2025'!$D$5:$D$2470,$B144,'июнь 2025'!$J$5:$J$2470,J$1)</f>
        <v>0</v>
      </c>
      <c r="K144" s="183">
        <f>SUMIFS('июнь 2025'!$G$5:$G$2470,'июнь 2025'!$D$5:$D$2470,$B144,'июнь 2025'!$J$5:$J$2470,K$1)</f>
        <v>0</v>
      </c>
      <c r="L144" s="183">
        <f>SUMIFS('июнь 2025'!$G$5:$G$2470,'июнь 2025'!$D$5:$D$2470,$B144,'июнь 2025'!$J$5:$J$2470,L$1)</f>
        <v>0</v>
      </c>
      <c r="M144" s="183">
        <f>SUMIFS('июнь 2025'!$G$5:$G$2470,'июнь 2025'!$D$5:$D$2470,$B144,'июнь 2025'!$J$5:$J$2470,M$1)</f>
        <v>0</v>
      </c>
      <c r="N144" s="183">
        <f>SUMIFS('июнь 2025'!$G$5:$G$2470,'июнь 2025'!$D$5:$D$2470,$B144,'июнь 2025'!$J$5:$J$2470,N$1)</f>
        <v>0</v>
      </c>
      <c r="O144" s="183">
        <f>SUMIFS('июнь 2025'!$G$5:$G$2470,'июнь 2025'!$D$5:$D$2470,$B144,'июнь 2025'!$J$5:$J$2470,O$1)</f>
        <v>0</v>
      </c>
      <c r="P144" s="183">
        <f>SUMIFS('июнь 2025'!$G$5:$G$2470,'июнь 2025'!$D$5:$D$2470,$B144,'июнь 2025'!$J$5:$J$2470,P$1)</f>
        <v>0</v>
      </c>
      <c r="Q144" s="183">
        <f>SUMIFS('июнь 2025'!$G$5:$G$2470,'июнь 2025'!$D$5:$D$2470,$B144,'июнь 2025'!$J$5:$J$2470,Q$1)</f>
        <v>0</v>
      </c>
      <c r="R144" s="183">
        <f>SUMIFS('июнь 2025'!$G$5:$G$2470,'июнь 2025'!$D$5:$D$2470,$B144,'июнь 2025'!$J$5:$J$2470,R$1)</f>
        <v>0</v>
      </c>
      <c r="S144" s="183">
        <f>SUMIFS('июнь 2025'!$G$5:$G$2470,'июнь 2025'!$D$5:$D$2470,$B144,'июнь 2025'!$J$5:$J$2470,S$1)</f>
        <v>0</v>
      </c>
      <c r="T144" s="183">
        <f>SUMIFS('июнь 2025'!$G$5:$G$2470,'июнь 2025'!$D$5:$D$2470,$B144,'июнь 2025'!$J$5:$J$2470,T$1)</f>
        <v>0</v>
      </c>
      <c r="U144" s="183">
        <f>SUMIFS('июнь 2025'!$G$5:$G$2470,'июнь 2025'!$D$5:$D$2470,$B144,'июнь 2025'!$J$5:$J$2470,U$1)</f>
        <v>0</v>
      </c>
      <c r="V144" s="183">
        <f>SUMIFS('июнь 2025'!$G$5:$G$2470,'июнь 2025'!$D$5:$D$2470,$B144,'июнь 2025'!$J$5:$J$2470,V$1)</f>
        <v>0</v>
      </c>
      <c r="W144" s="183">
        <f>SUMIFS('июнь 2025'!$G$5:$G$2470,'июнь 2025'!$D$5:$D$2470,$B144,'июнь 2025'!$J$5:$J$2470,W$1)</f>
        <v>0</v>
      </c>
      <c r="X144" s="183">
        <f>SUMIFS('июнь 2025'!$G$5:$G$2470,'июнь 2025'!$D$5:$D$2470,$B144,'июнь 2025'!$J$5:$J$2470,X$1)</f>
        <v>0</v>
      </c>
      <c r="Y144" s="183">
        <f>SUMIFS('июнь 2025'!$G$5:$G$2470,'июнь 2025'!$D$5:$D$2470,$B144,'июнь 2025'!$J$5:$J$2470,Y$1)</f>
        <v>0</v>
      </c>
      <c r="Z144" s="183">
        <f>SUMIFS('июнь 2025'!$G$5:$G$2470,'июнь 2025'!$D$5:$D$2470,$B144,'июнь 2025'!$J$5:$J$2470,Z$1)</f>
        <v>0</v>
      </c>
      <c r="AA144" s="183">
        <f>SUMIFS('июнь 2025'!$G$5:$G$2470,'июнь 2025'!$D$5:$D$2470,$B144,'июнь 2025'!$J$5:$J$2470,AA$1)</f>
        <v>0</v>
      </c>
      <c r="AB144" s="183">
        <f>SUMIFS('июнь 2025'!$G$5:$G$2470,'июнь 2025'!$D$5:$D$2470,$B144,'июнь 2025'!$J$5:$J$2470,AB$1)</f>
        <v>0</v>
      </c>
      <c r="AC144" s="183">
        <f>SUMIFS('июнь 2025'!$G$5:$G$2470,'июнь 2025'!$D$5:$D$2470,$B144,'июнь 2025'!$J$5:$J$2470,AC$1)</f>
        <v>0</v>
      </c>
      <c r="AD144" s="183">
        <f>SUMIFS('июнь 2025'!$G$5:$G$2470,'июнь 2025'!$D$5:$D$2470,$B144,'июнь 2025'!$J$5:$J$2470,AD$1)</f>
        <v>0</v>
      </c>
      <c r="AE144" s="183">
        <f>SUMIFS('июнь 2025'!$G$5:$G$2470,'июнь 2025'!$D$5:$D$2470,$B144,'июнь 2025'!$J$5:$J$2470,AE$1)</f>
        <v>0</v>
      </c>
      <c r="AF144" s="183">
        <f>SUMIFS('июнь 2025'!$G$5:$G$2470,'июнь 2025'!$D$5:$D$2470,$B144,'июнь 2025'!$J$5:$J$2470,AF$1)</f>
        <v>0</v>
      </c>
      <c r="AG144" s="183">
        <f>SUMIFS('июнь 2025'!$G$5:$G$2470,'июнь 2025'!$D$5:$D$2470,$B144,'июнь 2025'!$J$5:$J$2470,AG$1)</f>
        <v>0</v>
      </c>
      <c r="AH144" s="183">
        <f>SUMIFS('июнь 2025'!$G$5:$G$2470,'июнь 2025'!$D$5:$D$2470,$B144,'июнь 2025'!$J$5:$J$2470,AH$1)</f>
        <v>0</v>
      </c>
      <c r="AI144" s="20">
        <f t="shared" si="1"/>
        <v>0</v>
      </c>
    </row>
    <row r="145" spans="2:35" ht="15" customHeight="1" x14ac:dyDescent="0.25">
      <c r="B145" s="84" t="s">
        <v>197</v>
      </c>
      <c r="C145" s="86">
        <v>180</v>
      </c>
      <c r="D145" s="183">
        <f>SUMIFS('июнь 2025'!$G$5:$G$2470,'июнь 2025'!$D$5:$D$2470,$B145,'июнь 2025'!$J$5:$J$2470,D$1)</f>
        <v>0</v>
      </c>
      <c r="E145" s="183">
        <f>SUMIFS('июнь 2025'!$G$5:$G$2470,'июнь 2025'!$D$5:$D$2470,$B145,'июнь 2025'!$J$5:$J$2470,E$1)</f>
        <v>0</v>
      </c>
      <c r="F145" s="183">
        <f>SUMIFS('июнь 2025'!$G$5:$G$2470,'июнь 2025'!$D$5:$D$2470,$B145,'июнь 2025'!$J$5:$J$2470,F$1)</f>
        <v>0</v>
      </c>
      <c r="G145" s="183">
        <f>SUMIFS('июнь 2025'!$G$5:$G$2470,'июнь 2025'!$D$5:$D$2470,$B145,'июнь 2025'!$J$5:$J$2470,G$1)</f>
        <v>0</v>
      </c>
      <c r="H145" s="183">
        <f>SUMIFS('июнь 2025'!$G$5:$G$2470,'июнь 2025'!$D$5:$D$2470,$B145,'июнь 2025'!$J$5:$J$2470,H$1)</f>
        <v>0</v>
      </c>
      <c r="I145" s="183">
        <f>SUMIFS('июнь 2025'!$G$5:$G$2470,'июнь 2025'!$D$5:$D$2470,$B145,'июнь 2025'!$J$5:$J$2470,I$1)</f>
        <v>0</v>
      </c>
      <c r="J145" s="183">
        <f>SUMIFS('июнь 2025'!$G$5:$G$2470,'июнь 2025'!$D$5:$D$2470,$B145,'июнь 2025'!$J$5:$J$2470,J$1)</f>
        <v>0</v>
      </c>
      <c r="K145" s="183">
        <f>SUMIFS('июнь 2025'!$G$5:$G$2470,'июнь 2025'!$D$5:$D$2470,$B145,'июнь 2025'!$J$5:$J$2470,K$1)</f>
        <v>0</v>
      </c>
      <c r="L145" s="183">
        <f>SUMIFS('июнь 2025'!$G$5:$G$2470,'июнь 2025'!$D$5:$D$2470,$B145,'июнь 2025'!$J$5:$J$2470,L$1)</f>
        <v>0</v>
      </c>
      <c r="M145" s="183">
        <f>SUMIFS('июнь 2025'!$G$5:$G$2470,'июнь 2025'!$D$5:$D$2470,$B145,'июнь 2025'!$J$5:$J$2470,M$1)</f>
        <v>0</v>
      </c>
      <c r="N145" s="183">
        <f>SUMIFS('июнь 2025'!$G$5:$G$2470,'июнь 2025'!$D$5:$D$2470,$B145,'июнь 2025'!$J$5:$J$2470,N$1)</f>
        <v>0</v>
      </c>
      <c r="O145" s="183">
        <f>SUMIFS('июнь 2025'!$G$5:$G$2470,'июнь 2025'!$D$5:$D$2470,$B145,'июнь 2025'!$J$5:$J$2470,O$1)</f>
        <v>0</v>
      </c>
      <c r="P145" s="183">
        <f>SUMIFS('июнь 2025'!$G$5:$G$2470,'июнь 2025'!$D$5:$D$2470,$B145,'июнь 2025'!$J$5:$J$2470,P$1)</f>
        <v>0</v>
      </c>
      <c r="Q145" s="183">
        <f>SUMIFS('июнь 2025'!$G$5:$G$2470,'июнь 2025'!$D$5:$D$2470,$B145,'июнь 2025'!$J$5:$J$2470,Q$1)</f>
        <v>0</v>
      </c>
      <c r="R145" s="183">
        <f>SUMIFS('июнь 2025'!$G$5:$G$2470,'июнь 2025'!$D$5:$D$2470,$B145,'июнь 2025'!$J$5:$J$2470,R$1)</f>
        <v>0</v>
      </c>
      <c r="S145" s="183">
        <f>SUMIFS('июнь 2025'!$G$5:$G$2470,'июнь 2025'!$D$5:$D$2470,$B145,'июнь 2025'!$J$5:$J$2470,S$1)</f>
        <v>0</v>
      </c>
      <c r="T145" s="183">
        <f>SUMIFS('июнь 2025'!$G$5:$G$2470,'июнь 2025'!$D$5:$D$2470,$B145,'июнь 2025'!$J$5:$J$2470,T$1)</f>
        <v>0</v>
      </c>
      <c r="U145" s="183">
        <f>SUMIFS('июнь 2025'!$G$5:$G$2470,'июнь 2025'!$D$5:$D$2470,$B145,'июнь 2025'!$J$5:$J$2470,U$1)</f>
        <v>0</v>
      </c>
      <c r="V145" s="183">
        <f>SUMIFS('июнь 2025'!$G$5:$G$2470,'июнь 2025'!$D$5:$D$2470,$B145,'июнь 2025'!$J$5:$J$2470,V$1)</f>
        <v>0</v>
      </c>
      <c r="W145" s="183">
        <f>SUMIFS('июнь 2025'!$G$5:$G$2470,'июнь 2025'!$D$5:$D$2470,$B145,'июнь 2025'!$J$5:$J$2470,W$1)</f>
        <v>0</v>
      </c>
      <c r="X145" s="183">
        <f>SUMIFS('июнь 2025'!$G$5:$G$2470,'июнь 2025'!$D$5:$D$2470,$B145,'июнь 2025'!$J$5:$J$2470,X$1)</f>
        <v>0</v>
      </c>
      <c r="Y145" s="183">
        <f>SUMIFS('июнь 2025'!$G$5:$G$2470,'июнь 2025'!$D$5:$D$2470,$B145,'июнь 2025'!$J$5:$J$2470,Y$1)</f>
        <v>0</v>
      </c>
      <c r="Z145" s="183">
        <f>SUMIFS('июнь 2025'!$G$5:$G$2470,'июнь 2025'!$D$5:$D$2470,$B145,'июнь 2025'!$J$5:$J$2470,Z$1)</f>
        <v>0</v>
      </c>
      <c r="AA145" s="183">
        <f>SUMIFS('июнь 2025'!$G$5:$G$2470,'июнь 2025'!$D$5:$D$2470,$B145,'июнь 2025'!$J$5:$J$2470,AA$1)</f>
        <v>0</v>
      </c>
      <c r="AB145" s="183">
        <f>SUMIFS('июнь 2025'!$G$5:$G$2470,'июнь 2025'!$D$5:$D$2470,$B145,'июнь 2025'!$J$5:$J$2470,AB$1)</f>
        <v>0</v>
      </c>
      <c r="AC145" s="183">
        <f>SUMIFS('июнь 2025'!$G$5:$G$2470,'июнь 2025'!$D$5:$D$2470,$B145,'июнь 2025'!$J$5:$J$2470,AC$1)</f>
        <v>0</v>
      </c>
      <c r="AD145" s="183">
        <f>SUMIFS('июнь 2025'!$G$5:$G$2470,'июнь 2025'!$D$5:$D$2470,$B145,'июнь 2025'!$J$5:$J$2470,AD$1)</f>
        <v>0</v>
      </c>
      <c r="AE145" s="183">
        <f>SUMIFS('июнь 2025'!$G$5:$G$2470,'июнь 2025'!$D$5:$D$2470,$B145,'июнь 2025'!$J$5:$J$2470,AE$1)</f>
        <v>0</v>
      </c>
      <c r="AF145" s="183">
        <f>SUMIFS('июнь 2025'!$G$5:$G$2470,'июнь 2025'!$D$5:$D$2470,$B145,'июнь 2025'!$J$5:$J$2470,AF$1)</f>
        <v>0</v>
      </c>
      <c r="AG145" s="183">
        <f>SUMIFS('июнь 2025'!$G$5:$G$2470,'июнь 2025'!$D$5:$D$2470,$B145,'июнь 2025'!$J$5:$J$2470,AG$1)</f>
        <v>0</v>
      </c>
      <c r="AH145" s="183">
        <f>SUMIFS('июнь 2025'!$G$5:$G$2470,'июнь 2025'!$D$5:$D$2470,$B145,'июнь 2025'!$J$5:$J$2470,AH$1)</f>
        <v>0</v>
      </c>
      <c r="AI145" s="20">
        <f t="shared" si="1"/>
        <v>0</v>
      </c>
    </row>
    <row r="146" spans="2:35" ht="15" customHeight="1" x14ac:dyDescent="0.25">
      <c r="B146" s="88" t="s">
        <v>293</v>
      </c>
      <c r="C146" s="86">
        <v>180</v>
      </c>
      <c r="D146" s="183">
        <f>SUMIFS('июнь 2025'!$G$5:$G$2470,'июнь 2025'!$D$5:$D$2470,$B146,'июнь 2025'!$J$5:$J$2470,D$1)</f>
        <v>0</v>
      </c>
      <c r="E146" s="183">
        <f>SUMIFS('июнь 2025'!$G$5:$G$2470,'июнь 2025'!$D$5:$D$2470,$B146,'июнь 2025'!$J$5:$J$2470,E$1)</f>
        <v>0</v>
      </c>
      <c r="F146" s="183">
        <f>SUMIFS('июнь 2025'!$G$5:$G$2470,'июнь 2025'!$D$5:$D$2470,$B146,'июнь 2025'!$J$5:$J$2470,F$1)</f>
        <v>0</v>
      </c>
      <c r="G146" s="183">
        <f>SUMIFS('июнь 2025'!$G$5:$G$2470,'июнь 2025'!$D$5:$D$2470,$B146,'июнь 2025'!$J$5:$J$2470,G$1)</f>
        <v>0</v>
      </c>
      <c r="H146" s="183">
        <f>SUMIFS('июнь 2025'!$G$5:$G$2470,'июнь 2025'!$D$5:$D$2470,$B146,'июнь 2025'!$J$5:$J$2470,H$1)</f>
        <v>0</v>
      </c>
      <c r="I146" s="183">
        <f>SUMIFS('июнь 2025'!$G$5:$G$2470,'июнь 2025'!$D$5:$D$2470,$B146,'июнь 2025'!$J$5:$J$2470,I$1)</f>
        <v>0</v>
      </c>
      <c r="J146" s="183">
        <f>SUMIFS('июнь 2025'!$G$5:$G$2470,'июнь 2025'!$D$5:$D$2470,$B146,'июнь 2025'!$J$5:$J$2470,J$1)</f>
        <v>0</v>
      </c>
      <c r="K146" s="183">
        <f>SUMIFS('июнь 2025'!$G$5:$G$2470,'июнь 2025'!$D$5:$D$2470,$B146,'июнь 2025'!$J$5:$J$2470,K$1)</f>
        <v>0</v>
      </c>
      <c r="L146" s="183">
        <f>SUMIFS('июнь 2025'!$G$5:$G$2470,'июнь 2025'!$D$5:$D$2470,$B146,'июнь 2025'!$J$5:$J$2470,L$1)</f>
        <v>0</v>
      </c>
      <c r="M146" s="183">
        <f>SUMIFS('июнь 2025'!$G$5:$G$2470,'июнь 2025'!$D$5:$D$2470,$B146,'июнь 2025'!$J$5:$J$2470,M$1)</f>
        <v>0</v>
      </c>
      <c r="N146" s="183">
        <f>SUMIFS('июнь 2025'!$G$5:$G$2470,'июнь 2025'!$D$5:$D$2470,$B146,'июнь 2025'!$J$5:$J$2470,N$1)</f>
        <v>0</v>
      </c>
      <c r="O146" s="183">
        <f>SUMIFS('июнь 2025'!$G$5:$G$2470,'июнь 2025'!$D$5:$D$2470,$B146,'июнь 2025'!$J$5:$J$2470,O$1)</f>
        <v>0</v>
      </c>
      <c r="P146" s="183">
        <f>SUMIFS('июнь 2025'!$G$5:$G$2470,'июнь 2025'!$D$5:$D$2470,$B146,'июнь 2025'!$J$5:$J$2470,P$1)</f>
        <v>0</v>
      </c>
      <c r="Q146" s="183">
        <f>SUMIFS('июнь 2025'!$G$5:$G$2470,'июнь 2025'!$D$5:$D$2470,$B146,'июнь 2025'!$J$5:$J$2470,Q$1)</f>
        <v>0</v>
      </c>
      <c r="R146" s="183">
        <f>SUMIFS('июнь 2025'!$G$5:$G$2470,'июнь 2025'!$D$5:$D$2470,$B146,'июнь 2025'!$J$5:$J$2470,R$1)</f>
        <v>0</v>
      </c>
      <c r="S146" s="183">
        <f>SUMIFS('июнь 2025'!$G$5:$G$2470,'июнь 2025'!$D$5:$D$2470,$B146,'июнь 2025'!$J$5:$J$2470,S$1)</f>
        <v>0</v>
      </c>
      <c r="T146" s="183">
        <f>SUMIFS('июнь 2025'!$G$5:$G$2470,'июнь 2025'!$D$5:$D$2470,$B146,'июнь 2025'!$J$5:$J$2470,T$1)</f>
        <v>0</v>
      </c>
      <c r="U146" s="183">
        <f>SUMIFS('июнь 2025'!$G$5:$G$2470,'июнь 2025'!$D$5:$D$2470,$B146,'июнь 2025'!$J$5:$J$2470,U$1)</f>
        <v>0</v>
      </c>
      <c r="V146" s="183">
        <f>SUMIFS('июнь 2025'!$G$5:$G$2470,'июнь 2025'!$D$5:$D$2470,$B146,'июнь 2025'!$J$5:$J$2470,V$1)</f>
        <v>0</v>
      </c>
      <c r="W146" s="183">
        <f>SUMIFS('июнь 2025'!$G$5:$G$2470,'июнь 2025'!$D$5:$D$2470,$B146,'июнь 2025'!$J$5:$J$2470,W$1)</f>
        <v>0</v>
      </c>
      <c r="X146" s="183">
        <f>SUMIFS('июнь 2025'!$G$5:$G$2470,'июнь 2025'!$D$5:$D$2470,$B146,'июнь 2025'!$J$5:$J$2470,X$1)</f>
        <v>0</v>
      </c>
      <c r="Y146" s="183">
        <f>SUMIFS('июнь 2025'!$G$5:$G$2470,'июнь 2025'!$D$5:$D$2470,$B146,'июнь 2025'!$J$5:$J$2470,Y$1)</f>
        <v>0</v>
      </c>
      <c r="Z146" s="183">
        <f>SUMIFS('июнь 2025'!$G$5:$G$2470,'июнь 2025'!$D$5:$D$2470,$B146,'июнь 2025'!$J$5:$J$2470,Z$1)</f>
        <v>0</v>
      </c>
      <c r="AA146" s="183">
        <f>SUMIFS('июнь 2025'!$G$5:$G$2470,'июнь 2025'!$D$5:$D$2470,$B146,'июнь 2025'!$J$5:$J$2470,AA$1)</f>
        <v>0</v>
      </c>
      <c r="AB146" s="183">
        <f>SUMIFS('июнь 2025'!$G$5:$G$2470,'июнь 2025'!$D$5:$D$2470,$B146,'июнь 2025'!$J$5:$J$2470,AB$1)</f>
        <v>0</v>
      </c>
      <c r="AC146" s="183">
        <f>SUMIFS('июнь 2025'!$G$5:$G$2470,'июнь 2025'!$D$5:$D$2470,$B146,'июнь 2025'!$J$5:$J$2470,AC$1)</f>
        <v>0</v>
      </c>
      <c r="AD146" s="183">
        <f>SUMIFS('июнь 2025'!$G$5:$G$2470,'июнь 2025'!$D$5:$D$2470,$B146,'июнь 2025'!$J$5:$J$2470,AD$1)</f>
        <v>0</v>
      </c>
      <c r="AE146" s="183">
        <f>SUMIFS('июнь 2025'!$G$5:$G$2470,'июнь 2025'!$D$5:$D$2470,$B146,'июнь 2025'!$J$5:$J$2470,AE$1)</f>
        <v>0</v>
      </c>
      <c r="AF146" s="183">
        <f>SUMIFS('июнь 2025'!$G$5:$G$2470,'июнь 2025'!$D$5:$D$2470,$B146,'июнь 2025'!$J$5:$J$2470,AF$1)</f>
        <v>0</v>
      </c>
      <c r="AG146" s="183">
        <f>SUMIFS('июнь 2025'!$G$5:$G$2470,'июнь 2025'!$D$5:$D$2470,$B146,'июнь 2025'!$J$5:$J$2470,AG$1)</f>
        <v>0</v>
      </c>
      <c r="AH146" s="183">
        <f>SUMIFS('июнь 2025'!$G$5:$G$2470,'июнь 2025'!$D$5:$D$2470,$B146,'июнь 2025'!$J$5:$J$2470,AH$1)</f>
        <v>0</v>
      </c>
      <c r="AI146" s="20">
        <f t="shared" si="1"/>
        <v>0</v>
      </c>
    </row>
    <row r="147" spans="2:35" ht="15" customHeight="1" x14ac:dyDescent="0.25">
      <c r="B147" s="88" t="s">
        <v>181</v>
      </c>
      <c r="C147" s="86">
        <v>190</v>
      </c>
      <c r="D147" s="183">
        <f>SUMIFS('июнь 2025'!$G$5:$G$2470,'июнь 2025'!$D$5:$D$2470,$B147,'июнь 2025'!$J$5:$J$2470,D$1)</f>
        <v>0</v>
      </c>
      <c r="E147" s="183">
        <f>SUMIFS('июнь 2025'!$G$5:$G$2470,'июнь 2025'!$D$5:$D$2470,$B147,'июнь 2025'!$J$5:$J$2470,E$1)</f>
        <v>0</v>
      </c>
      <c r="F147" s="183">
        <f>SUMIFS('июнь 2025'!$G$5:$G$2470,'июнь 2025'!$D$5:$D$2470,$B147,'июнь 2025'!$J$5:$J$2470,F$1)</f>
        <v>0</v>
      </c>
      <c r="G147" s="183">
        <f>SUMIFS('июнь 2025'!$G$5:$G$2470,'июнь 2025'!$D$5:$D$2470,$B147,'июнь 2025'!$J$5:$J$2470,G$1)</f>
        <v>0</v>
      </c>
      <c r="H147" s="183">
        <f>SUMIFS('июнь 2025'!$G$5:$G$2470,'июнь 2025'!$D$5:$D$2470,$B147,'июнь 2025'!$J$5:$J$2470,H$1)</f>
        <v>0</v>
      </c>
      <c r="I147" s="183">
        <f>SUMIFS('июнь 2025'!$G$5:$G$2470,'июнь 2025'!$D$5:$D$2470,$B147,'июнь 2025'!$J$5:$J$2470,I$1)</f>
        <v>0</v>
      </c>
      <c r="J147" s="183">
        <f>SUMIFS('июнь 2025'!$G$5:$G$2470,'июнь 2025'!$D$5:$D$2470,$B147,'июнь 2025'!$J$5:$J$2470,J$1)</f>
        <v>0</v>
      </c>
      <c r="K147" s="183">
        <f>SUMIFS('июнь 2025'!$G$5:$G$2470,'июнь 2025'!$D$5:$D$2470,$B147,'июнь 2025'!$J$5:$J$2470,K$1)</f>
        <v>0</v>
      </c>
      <c r="L147" s="183">
        <f>SUMIFS('июнь 2025'!$G$5:$G$2470,'июнь 2025'!$D$5:$D$2470,$B147,'июнь 2025'!$J$5:$J$2470,L$1)</f>
        <v>0</v>
      </c>
      <c r="M147" s="183">
        <f>SUMIFS('июнь 2025'!$G$5:$G$2470,'июнь 2025'!$D$5:$D$2470,$B147,'июнь 2025'!$J$5:$J$2470,M$1)</f>
        <v>0</v>
      </c>
      <c r="N147" s="183">
        <f>SUMIFS('июнь 2025'!$G$5:$G$2470,'июнь 2025'!$D$5:$D$2470,$B147,'июнь 2025'!$J$5:$J$2470,N$1)</f>
        <v>0</v>
      </c>
      <c r="O147" s="183">
        <f>SUMIFS('июнь 2025'!$G$5:$G$2470,'июнь 2025'!$D$5:$D$2470,$B147,'июнь 2025'!$J$5:$J$2470,O$1)</f>
        <v>0</v>
      </c>
      <c r="P147" s="183">
        <f>SUMIFS('июнь 2025'!$G$5:$G$2470,'июнь 2025'!$D$5:$D$2470,$B147,'июнь 2025'!$J$5:$J$2470,P$1)</f>
        <v>0</v>
      </c>
      <c r="Q147" s="183">
        <f>SUMIFS('июнь 2025'!$G$5:$G$2470,'июнь 2025'!$D$5:$D$2470,$B147,'июнь 2025'!$J$5:$J$2470,Q$1)</f>
        <v>0</v>
      </c>
      <c r="R147" s="183">
        <f>SUMIFS('июнь 2025'!$G$5:$G$2470,'июнь 2025'!$D$5:$D$2470,$B147,'июнь 2025'!$J$5:$J$2470,R$1)</f>
        <v>0</v>
      </c>
      <c r="S147" s="183">
        <f>SUMIFS('июнь 2025'!$G$5:$G$2470,'июнь 2025'!$D$5:$D$2470,$B147,'июнь 2025'!$J$5:$J$2470,S$1)</f>
        <v>0</v>
      </c>
      <c r="T147" s="183">
        <f>SUMIFS('июнь 2025'!$G$5:$G$2470,'июнь 2025'!$D$5:$D$2470,$B147,'июнь 2025'!$J$5:$J$2470,T$1)</f>
        <v>0</v>
      </c>
      <c r="U147" s="183">
        <f>SUMIFS('июнь 2025'!$G$5:$G$2470,'июнь 2025'!$D$5:$D$2470,$B147,'июнь 2025'!$J$5:$J$2470,U$1)</f>
        <v>0</v>
      </c>
      <c r="V147" s="183">
        <f>SUMIFS('июнь 2025'!$G$5:$G$2470,'июнь 2025'!$D$5:$D$2470,$B147,'июнь 2025'!$J$5:$J$2470,V$1)</f>
        <v>0</v>
      </c>
      <c r="W147" s="183">
        <f>SUMIFS('июнь 2025'!$G$5:$G$2470,'июнь 2025'!$D$5:$D$2470,$B147,'июнь 2025'!$J$5:$J$2470,W$1)</f>
        <v>0</v>
      </c>
      <c r="X147" s="183">
        <f>SUMIFS('июнь 2025'!$G$5:$G$2470,'июнь 2025'!$D$5:$D$2470,$B147,'июнь 2025'!$J$5:$J$2470,X$1)</f>
        <v>0</v>
      </c>
      <c r="Y147" s="183">
        <f>SUMIFS('июнь 2025'!$G$5:$G$2470,'июнь 2025'!$D$5:$D$2470,$B147,'июнь 2025'!$J$5:$J$2470,Y$1)</f>
        <v>0</v>
      </c>
      <c r="Z147" s="183">
        <f>SUMIFS('июнь 2025'!$G$5:$G$2470,'июнь 2025'!$D$5:$D$2470,$B147,'июнь 2025'!$J$5:$J$2470,Z$1)</f>
        <v>0</v>
      </c>
      <c r="AA147" s="183">
        <f>SUMIFS('июнь 2025'!$G$5:$G$2470,'июнь 2025'!$D$5:$D$2470,$B147,'июнь 2025'!$J$5:$J$2470,AA$1)</f>
        <v>0</v>
      </c>
      <c r="AB147" s="183">
        <f>SUMIFS('июнь 2025'!$G$5:$G$2470,'июнь 2025'!$D$5:$D$2470,$B147,'июнь 2025'!$J$5:$J$2470,AB$1)</f>
        <v>0</v>
      </c>
      <c r="AC147" s="183">
        <f>SUMIFS('июнь 2025'!$G$5:$G$2470,'июнь 2025'!$D$5:$D$2470,$B147,'июнь 2025'!$J$5:$J$2470,AC$1)</f>
        <v>0</v>
      </c>
      <c r="AD147" s="183">
        <f>SUMIFS('июнь 2025'!$G$5:$G$2470,'июнь 2025'!$D$5:$D$2470,$B147,'июнь 2025'!$J$5:$J$2470,AD$1)</f>
        <v>0</v>
      </c>
      <c r="AE147" s="183">
        <f>SUMIFS('июнь 2025'!$G$5:$G$2470,'июнь 2025'!$D$5:$D$2470,$B147,'июнь 2025'!$J$5:$J$2470,AE$1)</f>
        <v>0</v>
      </c>
      <c r="AF147" s="183">
        <f>SUMIFS('июнь 2025'!$G$5:$G$2470,'июнь 2025'!$D$5:$D$2470,$B147,'июнь 2025'!$J$5:$J$2470,AF$1)</f>
        <v>0</v>
      </c>
      <c r="AG147" s="183">
        <f>SUMIFS('июнь 2025'!$G$5:$G$2470,'июнь 2025'!$D$5:$D$2470,$B147,'июнь 2025'!$J$5:$J$2470,AG$1)</f>
        <v>0</v>
      </c>
      <c r="AH147" s="183">
        <f>SUMIFS('июнь 2025'!$G$5:$G$2470,'июнь 2025'!$D$5:$D$2470,$B147,'июнь 2025'!$J$5:$J$2470,AH$1)</f>
        <v>0</v>
      </c>
      <c r="AI147" s="20">
        <f t="shared" si="1"/>
        <v>0</v>
      </c>
    </row>
    <row r="148" spans="2:35" ht="15" customHeight="1" x14ac:dyDescent="0.25">
      <c r="B148" s="88" t="s">
        <v>270</v>
      </c>
      <c r="C148" s="86">
        <v>190</v>
      </c>
      <c r="D148" s="183">
        <f>SUMIFS('июнь 2025'!$G$5:$G$2470,'июнь 2025'!$D$5:$D$2470,$B148,'июнь 2025'!$J$5:$J$2470,D$1)</f>
        <v>0</v>
      </c>
      <c r="E148" s="183">
        <f>SUMIFS('июнь 2025'!$G$5:$G$2470,'июнь 2025'!$D$5:$D$2470,$B148,'июнь 2025'!$J$5:$J$2470,E$1)</f>
        <v>0</v>
      </c>
      <c r="F148" s="183">
        <f>SUMIFS('июнь 2025'!$G$5:$G$2470,'июнь 2025'!$D$5:$D$2470,$B148,'июнь 2025'!$J$5:$J$2470,F$1)</f>
        <v>0</v>
      </c>
      <c r="G148" s="183">
        <f>SUMIFS('июнь 2025'!$G$5:$G$2470,'июнь 2025'!$D$5:$D$2470,$B148,'июнь 2025'!$J$5:$J$2470,G$1)</f>
        <v>0</v>
      </c>
      <c r="H148" s="183">
        <f>SUMIFS('июнь 2025'!$G$5:$G$2470,'июнь 2025'!$D$5:$D$2470,$B148,'июнь 2025'!$J$5:$J$2470,H$1)</f>
        <v>0</v>
      </c>
      <c r="I148" s="183">
        <f>SUMIFS('июнь 2025'!$G$5:$G$2470,'июнь 2025'!$D$5:$D$2470,$B148,'июнь 2025'!$J$5:$J$2470,I$1)</f>
        <v>0</v>
      </c>
      <c r="J148" s="183">
        <f>SUMIFS('июнь 2025'!$G$5:$G$2470,'июнь 2025'!$D$5:$D$2470,$B148,'июнь 2025'!$J$5:$J$2470,J$1)</f>
        <v>0</v>
      </c>
      <c r="K148" s="183">
        <f>SUMIFS('июнь 2025'!$G$5:$G$2470,'июнь 2025'!$D$5:$D$2470,$B148,'июнь 2025'!$J$5:$J$2470,K$1)</f>
        <v>0</v>
      </c>
      <c r="L148" s="183">
        <f>SUMIFS('июнь 2025'!$G$5:$G$2470,'июнь 2025'!$D$5:$D$2470,$B148,'июнь 2025'!$J$5:$J$2470,L$1)</f>
        <v>0</v>
      </c>
      <c r="M148" s="183">
        <f>SUMIFS('июнь 2025'!$G$5:$G$2470,'июнь 2025'!$D$5:$D$2470,$B148,'июнь 2025'!$J$5:$J$2470,M$1)</f>
        <v>0</v>
      </c>
      <c r="N148" s="183">
        <f>SUMIFS('июнь 2025'!$G$5:$G$2470,'июнь 2025'!$D$5:$D$2470,$B148,'июнь 2025'!$J$5:$J$2470,N$1)</f>
        <v>0</v>
      </c>
      <c r="O148" s="183">
        <f>SUMIFS('июнь 2025'!$G$5:$G$2470,'июнь 2025'!$D$5:$D$2470,$B148,'июнь 2025'!$J$5:$J$2470,O$1)</f>
        <v>0</v>
      </c>
      <c r="P148" s="183">
        <f>SUMIFS('июнь 2025'!$G$5:$G$2470,'июнь 2025'!$D$5:$D$2470,$B148,'июнь 2025'!$J$5:$J$2470,P$1)</f>
        <v>0</v>
      </c>
      <c r="Q148" s="183">
        <f>SUMIFS('июнь 2025'!$G$5:$G$2470,'июнь 2025'!$D$5:$D$2470,$B148,'июнь 2025'!$J$5:$J$2470,Q$1)</f>
        <v>0</v>
      </c>
      <c r="R148" s="183">
        <f>SUMIFS('июнь 2025'!$G$5:$G$2470,'июнь 2025'!$D$5:$D$2470,$B148,'июнь 2025'!$J$5:$J$2470,R$1)</f>
        <v>0</v>
      </c>
      <c r="S148" s="183">
        <f>SUMIFS('июнь 2025'!$G$5:$G$2470,'июнь 2025'!$D$5:$D$2470,$B148,'июнь 2025'!$J$5:$J$2470,S$1)</f>
        <v>0</v>
      </c>
      <c r="T148" s="183">
        <f>SUMIFS('июнь 2025'!$G$5:$G$2470,'июнь 2025'!$D$5:$D$2470,$B148,'июнь 2025'!$J$5:$J$2470,T$1)</f>
        <v>0</v>
      </c>
      <c r="U148" s="183">
        <f>SUMIFS('июнь 2025'!$G$5:$G$2470,'июнь 2025'!$D$5:$D$2470,$B148,'июнь 2025'!$J$5:$J$2470,U$1)</f>
        <v>0</v>
      </c>
      <c r="V148" s="183">
        <f>SUMIFS('июнь 2025'!$G$5:$G$2470,'июнь 2025'!$D$5:$D$2470,$B148,'июнь 2025'!$J$5:$J$2470,V$1)</f>
        <v>0</v>
      </c>
      <c r="W148" s="183">
        <f>SUMIFS('июнь 2025'!$G$5:$G$2470,'июнь 2025'!$D$5:$D$2470,$B148,'июнь 2025'!$J$5:$J$2470,W$1)</f>
        <v>0</v>
      </c>
      <c r="X148" s="183">
        <f>SUMIFS('июнь 2025'!$G$5:$G$2470,'июнь 2025'!$D$5:$D$2470,$B148,'июнь 2025'!$J$5:$J$2470,X$1)</f>
        <v>0</v>
      </c>
      <c r="Y148" s="183">
        <f>SUMIFS('июнь 2025'!$G$5:$G$2470,'июнь 2025'!$D$5:$D$2470,$B148,'июнь 2025'!$J$5:$J$2470,Y$1)</f>
        <v>0</v>
      </c>
      <c r="Z148" s="183">
        <f>SUMIFS('июнь 2025'!$G$5:$G$2470,'июнь 2025'!$D$5:$D$2470,$B148,'июнь 2025'!$J$5:$J$2470,Z$1)</f>
        <v>0</v>
      </c>
      <c r="AA148" s="183">
        <f>SUMIFS('июнь 2025'!$G$5:$G$2470,'июнь 2025'!$D$5:$D$2470,$B148,'июнь 2025'!$J$5:$J$2470,AA$1)</f>
        <v>0</v>
      </c>
      <c r="AB148" s="183">
        <f>SUMIFS('июнь 2025'!$G$5:$G$2470,'июнь 2025'!$D$5:$D$2470,$B148,'июнь 2025'!$J$5:$J$2470,AB$1)</f>
        <v>0</v>
      </c>
      <c r="AC148" s="183">
        <f>SUMIFS('июнь 2025'!$G$5:$G$2470,'июнь 2025'!$D$5:$D$2470,$B148,'июнь 2025'!$J$5:$J$2470,AC$1)</f>
        <v>0</v>
      </c>
      <c r="AD148" s="183">
        <f>SUMIFS('июнь 2025'!$G$5:$G$2470,'июнь 2025'!$D$5:$D$2470,$B148,'июнь 2025'!$J$5:$J$2470,AD$1)</f>
        <v>0</v>
      </c>
      <c r="AE148" s="183">
        <f>SUMIFS('июнь 2025'!$G$5:$G$2470,'июнь 2025'!$D$5:$D$2470,$B148,'июнь 2025'!$J$5:$J$2470,AE$1)</f>
        <v>0</v>
      </c>
      <c r="AF148" s="183">
        <f>SUMIFS('июнь 2025'!$G$5:$G$2470,'июнь 2025'!$D$5:$D$2470,$B148,'июнь 2025'!$J$5:$J$2470,AF$1)</f>
        <v>0</v>
      </c>
      <c r="AG148" s="183">
        <f>SUMIFS('июнь 2025'!$G$5:$G$2470,'июнь 2025'!$D$5:$D$2470,$B148,'июнь 2025'!$J$5:$J$2470,AG$1)</f>
        <v>0</v>
      </c>
      <c r="AH148" s="183">
        <f>SUMIFS('июнь 2025'!$G$5:$G$2470,'июнь 2025'!$D$5:$D$2470,$B148,'июнь 2025'!$J$5:$J$2470,AH$1)</f>
        <v>0</v>
      </c>
      <c r="AI148" s="20">
        <f t="shared" si="1"/>
        <v>0</v>
      </c>
    </row>
    <row r="149" spans="2:35" ht="16.899999999999999" customHeight="1" x14ac:dyDescent="0.25">
      <c r="B149" s="84" t="s">
        <v>271</v>
      </c>
      <c r="C149" s="83">
        <v>200</v>
      </c>
      <c r="D149" s="183">
        <f>SUMIFS('июнь 2025'!$G$5:$G$2470,'июнь 2025'!$D$5:$D$2470,$B149,'июнь 2025'!$J$5:$J$2470,D$1)</f>
        <v>0</v>
      </c>
      <c r="E149" s="183">
        <f>SUMIFS('июнь 2025'!$G$5:$G$2470,'июнь 2025'!$D$5:$D$2470,$B149,'июнь 2025'!$J$5:$J$2470,E$1)</f>
        <v>0</v>
      </c>
      <c r="F149" s="183">
        <f>SUMIFS('июнь 2025'!$G$5:$G$2470,'июнь 2025'!$D$5:$D$2470,$B149,'июнь 2025'!$J$5:$J$2470,F$1)</f>
        <v>0</v>
      </c>
      <c r="G149" s="183">
        <f>SUMIFS('июнь 2025'!$G$5:$G$2470,'июнь 2025'!$D$5:$D$2470,$B149,'июнь 2025'!$J$5:$J$2470,G$1)</f>
        <v>0</v>
      </c>
      <c r="H149" s="183">
        <f>SUMIFS('июнь 2025'!$G$5:$G$2470,'июнь 2025'!$D$5:$D$2470,$B149,'июнь 2025'!$J$5:$J$2470,H$1)</f>
        <v>0</v>
      </c>
      <c r="I149" s="183">
        <f>SUMIFS('июнь 2025'!$G$5:$G$2470,'июнь 2025'!$D$5:$D$2470,$B149,'июнь 2025'!$J$5:$J$2470,I$1)</f>
        <v>0</v>
      </c>
      <c r="J149" s="183">
        <f>SUMIFS('июнь 2025'!$G$5:$G$2470,'июнь 2025'!$D$5:$D$2470,$B149,'июнь 2025'!$J$5:$J$2470,J$1)</f>
        <v>0</v>
      </c>
      <c r="K149" s="183">
        <f>SUMIFS('июнь 2025'!$G$5:$G$2470,'июнь 2025'!$D$5:$D$2470,$B149,'июнь 2025'!$J$5:$J$2470,K$1)</f>
        <v>0</v>
      </c>
      <c r="L149" s="183">
        <f>SUMIFS('июнь 2025'!$G$5:$G$2470,'июнь 2025'!$D$5:$D$2470,$B149,'июнь 2025'!$J$5:$J$2470,L$1)</f>
        <v>0</v>
      </c>
      <c r="M149" s="183">
        <f>SUMIFS('июнь 2025'!$G$5:$G$2470,'июнь 2025'!$D$5:$D$2470,$B149,'июнь 2025'!$J$5:$J$2470,M$1)</f>
        <v>0</v>
      </c>
      <c r="N149" s="183">
        <f>SUMIFS('июнь 2025'!$G$5:$G$2470,'июнь 2025'!$D$5:$D$2470,$B149,'июнь 2025'!$J$5:$J$2470,N$1)</f>
        <v>0</v>
      </c>
      <c r="O149" s="183">
        <f>SUMIFS('июнь 2025'!$G$5:$G$2470,'июнь 2025'!$D$5:$D$2470,$B149,'июнь 2025'!$J$5:$J$2470,O$1)</f>
        <v>0</v>
      </c>
      <c r="P149" s="183">
        <f>SUMIFS('июнь 2025'!$G$5:$G$2470,'июнь 2025'!$D$5:$D$2470,$B149,'июнь 2025'!$J$5:$J$2470,P$1)</f>
        <v>0</v>
      </c>
      <c r="Q149" s="183">
        <f>SUMIFS('июнь 2025'!$G$5:$G$2470,'июнь 2025'!$D$5:$D$2470,$B149,'июнь 2025'!$J$5:$J$2470,Q$1)</f>
        <v>0</v>
      </c>
      <c r="R149" s="183">
        <f>SUMIFS('июнь 2025'!$G$5:$G$2470,'июнь 2025'!$D$5:$D$2470,$B149,'июнь 2025'!$J$5:$J$2470,R$1)</f>
        <v>0</v>
      </c>
      <c r="S149" s="183">
        <f>SUMIFS('июнь 2025'!$G$5:$G$2470,'июнь 2025'!$D$5:$D$2470,$B149,'июнь 2025'!$J$5:$J$2470,S$1)</f>
        <v>0</v>
      </c>
      <c r="T149" s="183">
        <f>SUMIFS('июнь 2025'!$G$5:$G$2470,'июнь 2025'!$D$5:$D$2470,$B149,'июнь 2025'!$J$5:$J$2470,T$1)</f>
        <v>0</v>
      </c>
      <c r="U149" s="183">
        <f>SUMIFS('июнь 2025'!$G$5:$G$2470,'июнь 2025'!$D$5:$D$2470,$B149,'июнь 2025'!$J$5:$J$2470,U$1)</f>
        <v>0</v>
      </c>
      <c r="V149" s="183">
        <f>SUMIFS('июнь 2025'!$G$5:$G$2470,'июнь 2025'!$D$5:$D$2470,$B149,'июнь 2025'!$J$5:$J$2470,V$1)</f>
        <v>0</v>
      </c>
      <c r="W149" s="183">
        <f>SUMIFS('июнь 2025'!$G$5:$G$2470,'июнь 2025'!$D$5:$D$2470,$B149,'июнь 2025'!$J$5:$J$2470,W$1)</f>
        <v>0</v>
      </c>
      <c r="X149" s="183">
        <f>SUMIFS('июнь 2025'!$G$5:$G$2470,'июнь 2025'!$D$5:$D$2470,$B149,'июнь 2025'!$J$5:$J$2470,X$1)</f>
        <v>0</v>
      </c>
      <c r="Y149" s="183">
        <f>SUMIFS('июнь 2025'!$G$5:$G$2470,'июнь 2025'!$D$5:$D$2470,$B149,'июнь 2025'!$J$5:$J$2470,Y$1)</f>
        <v>0</v>
      </c>
      <c r="Z149" s="183">
        <f>SUMIFS('июнь 2025'!$G$5:$G$2470,'июнь 2025'!$D$5:$D$2470,$B149,'июнь 2025'!$J$5:$J$2470,Z$1)</f>
        <v>0</v>
      </c>
      <c r="AA149" s="183">
        <f>SUMIFS('июнь 2025'!$G$5:$G$2470,'июнь 2025'!$D$5:$D$2470,$B149,'июнь 2025'!$J$5:$J$2470,AA$1)</f>
        <v>0</v>
      </c>
      <c r="AB149" s="183">
        <f>SUMIFS('июнь 2025'!$G$5:$G$2470,'июнь 2025'!$D$5:$D$2470,$B149,'июнь 2025'!$J$5:$J$2470,AB$1)</f>
        <v>0</v>
      </c>
      <c r="AC149" s="183">
        <f>SUMIFS('июнь 2025'!$G$5:$G$2470,'июнь 2025'!$D$5:$D$2470,$B149,'июнь 2025'!$J$5:$J$2470,AC$1)</f>
        <v>0</v>
      </c>
      <c r="AD149" s="183">
        <f>SUMIFS('июнь 2025'!$G$5:$G$2470,'июнь 2025'!$D$5:$D$2470,$B149,'июнь 2025'!$J$5:$J$2470,AD$1)</f>
        <v>0</v>
      </c>
      <c r="AE149" s="183">
        <f>SUMIFS('июнь 2025'!$G$5:$G$2470,'июнь 2025'!$D$5:$D$2470,$B149,'июнь 2025'!$J$5:$J$2470,AE$1)</f>
        <v>0</v>
      </c>
      <c r="AF149" s="183">
        <f>SUMIFS('июнь 2025'!$G$5:$G$2470,'июнь 2025'!$D$5:$D$2470,$B149,'июнь 2025'!$J$5:$J$2470,AF$1)</f>
        <v>0</v>
      </c>
      <c r="AG149" s="183">
        <f>SUMIFS('июнь 2025'!$G$5:$G$2470,'июнь 2025'!$D$5:$D$2470,$B149,'июнь 2025'!$J$5:$J$2470,AG$1)</f>
        <v>0</v>
      </c>
      <c r="AH149" s="183">
        <f>SUMIFS('июнь 2025'!$G$5:$G$2470,'июнь 2025'!$D$5:$D$2470,$B149,'июнь 2025'!$J$5:$J$2470,AH$1)</f>
        <v>0</v>
      </c>
      <c r="AI149" s="20">
        <f t="shared" si="1"/>
        <v>0</v>
      </c>
    </row>
    <row r="150" spans="2:35" ht="16.899999999999999" customHeight="1" x14ac:dyDescent="0.25">
      <c r="B150" s="84" t="s">
        <v>276</v>
      </c>
      <c r="C150" s="83">
        <v>200</v>
      </c>
      <c r="D150" s="183">
        <f>SUMIFS('июнь 2025'!$G$5:$G$2470,'июнь 2025'!$D$5:$D$2470,$B150,'июнь 2025'!$J$5:$J$2470,D$1)</f>
        <v>0</v>
      </c>
      <c r="E150" s="183">
        <f>SUMIFS('июнь 2025'!$G$5:$G$2470,'июнь 2025'!$D$5:$D$2470,$B150,'июнь 2025'!$J$5:$J$2470,E$1)</f>
        <v>0</v>
      </c>
      <c r="F150" s="183">
        <f>SUMIFS('июнь 2025'!$G$5:$G$2470,'июнь 2025'!$D$5:$D$2470,$B150,'июнь 2025'!$J$5:$J$2470,F$1)</f>
        <v>0</v>
      </c>
      <c r="G150" s="183">
        <f>SUMIFS('июнь 2025'!$G$5:$G$2470,'июнь 2025'!$D$5:$D$2470,$B150,'июнь 2025'!$J$5:$J$2470,G$1)</f>
        <v>0</v>
      </c>
      <c r="H150" s="183">
        <f>SUMIFS('июнь 2025'!$G$5:$G$2470,'июнь 2025'!$D$5:$D$2470,$B150,'июнь 2025'!$J$5:$J$2470,H$1)</f>
        <v>0</v>
      </c>
      <c r="I150" s="183">
        <f>SUMIFS('июнь 2025'!$G$5:$G$2470,'июнь 2025'!$D$5:$D$2470,$B150,'июнь 2025'!$J$5:$J$2470,I$1)</f>
        <v>0</v>
      </c>
      <c r="J150" s="183">
        <f>SUMIFS('июнь 2025'!$G$5:$G$2470,'июнь 2025'!$D$5:$D$2470,$B150,'июнь 2025'!$J$5:$J$2470,J$1)</f>
        <v>0</v>
      </c>
      <c r="K150" s="183">
        <f>SUMIFS('июнь 2025'!$G$5:$G$2470,'июнь 2025'!$D$5:$D$2470,$B150,'июнь 2025'!$J$5:$J$2470,K$1)</f>
        <v>0</v>
      </c>
      <c r="L150" s="183">
        <f>SUMIFS('июнь 2025'!$G$5:$G$2470,'июнь 2025'!$D$5:$D$2470,$B150,'июнь 2025'!$J$5:$J$2470,L$1)</f>
        <v>0</v>
      </c>
      <c r="M150" s="183">
        <f>SUMIFS('июнь 2025'!$G$5:$G$2470,'июнь 2025'!$D$5:$D$2470,$B150,'июнь 2025'!$J$5:$J$2470,M$1)</f>
        <v>0</v>
      </c>
      <c r="N150" s="183">
        <f>SUMIFS('июнь 2025'!$G$5:$G$2470,'июнь 2025'!$D$5:$D$2470,$B150,'июнь 2025'!$J$5:$J$2470,N$1)</f>
        <v>0</v>
      </c>
      <c r="O150" s="183">
        <f>SUMIFS('июнь 2025'!$G$5:$G$2470,'июнь 2025'!$D$5:$D$2470,$B150,'июнь 2025'!$J$5:$J$2470,O$1)</f>
        <v>0</v>
      </c>
      <c r="P150" s="183">
        <f>SUMIFS('июнь 2025'!$G$5:$G$2470,'июнь 2025'!$D$5:$D$2470,$B150,'июнь 2025'!$J$5:$J$2470,P$1)</f>
        <v>0</v>
      </c>
      <c r="Q150" s="183">
        <f>SUMIFS('июнь 2025'!$G$5:$G$2470,'июнь 2025'!$D$5:$D$2470,$B150,'июнь 2025'!$J$5:$J$2470,Q$1)</f>
        <v>0</v>
      </c>
      <c r="R150" s="183">
        <f>SUMIFS('июнь 2025'!$G$5:$G$2470,'июнь 2025'!$D$5:$D$2470,$B150,'июнь 2025'!$J$5:$J$2470,R$1)</f>
        <v>0</v>
      </c>
      <c r="S150" s="183">
        <f>SUMIFS('июнь 2025'!$G$5:$G$2470,'июнь 2025'!$D$5:$D$2470,$B150,'июнь 2025'!$J$5:$J$2470,S$1)</f>
        <v>0</v>
      </c>
      <c r="T150" s="183">
        <f>SUMIFS('июнь 2025'!$G$5:$G$2470,'июнь 2025'!$D$5:$D$2470,$B150,'июнь 2025'!$J$5:$J$2470,T$1)</f>
        <v>0</v>
      </c>
      <c r="U150" s="183">
        <f>SUMIFS('июнь 2025'!$G$5:$G$2470,'июнь 2025'!$D$5:$D$2470,$B150,'июнь 2025'!$J$5:$J$2470,U$1)</f>
        <v>0</v>
      </c>
      <c r="V150" s="183">
        <f>SUMIFS('июнь 2025'!$G$5:$G$2470,'июнь 2025'!$D$5:$D$2470,$B150,'июнь 2025'!$J$5:$J$2470,V$1)</f>
        <v>0</v>
      </c>
      <c r="W150" s="183">
        <f>SUMIFS('июнь 2025'!$G$5:$G$2470,'июнь 2025'!$D$5:$D$2470,$B150,'июнь 2025'!$J$5:$J$2470,W$1)</f>
        <v>0</v>
      </c>
      <c r="X150" s="183">
        <f>SUMIFS('июнь 2025'!$G$5:$G$2470,'июнь 2025'!$D$5:$D$2470,$B150,'июнь 2025'!$J$5:$J$2470,X$1)</f>
        <v>0</v>
      </c>
      <c r="Y150" s="183">
        <f>SUMIFS('июнь 2025'!$G$5:$G$2470,'июнь 2025'!$D$5:$D$2470,$B150,'июнь 2025'!$J$5:$J$2470,Y$1)</f>
        <v>0</v>
      </c>
      <c r="Z150" s="183">
        <f>SUMIFS('июнь 2025'!$G$5:$G$2470,'июнь 2025'!$D$5:$D$2470,$B150,'июнь 2025'!$J$5:$J$2470,Z$1)</f>
        <v>0</v>
      </c>
      <c r="AA150" s="183">
        <f>SUMIFS('июнь 2025'!$G$5:$G$2470,'июнь 2025'!$D$5:$D$2470,$B150,'июнь 2025'!$J$5:$J$2470,AA$1)</f>
        <v>0</v>
      </c>
      <c r="AB150" s="183">
        <f>SUMIFS('июнь 2025'!$G$5:$G$2470,'июнь 2025'!$D$5:$D$2470,$B150,'июнь 2025'!$J$5:$J$2470,AB$1)</f>
        <v>0</v>
      </c>
      <c r="AC150" s="183">
        <f>SUMIFS('июнь 2025'!$G$5:$G$2470,'июнь 2025'!$D$5:$D$2470,$B150,'июнь 2025'!$J$5:$J$2470,AC$1)</f>
        <v>0</v>
      </c>
      <c r="AD150" s="183">
        <f>SUMIFS('июнь 2025'!$G$5:$G$2470,'июнь 2025'!$D$5:$D$2470,$B150,'июнь 2025'!$J$5:$J$2470,AD$1)</f>
        <v>0</v>
      </c>
      <c r="AE150" s="183">
        <f>SUMIFS('июнь 2025'!$G$5:$G$2470,'июнь 2025'!$D$5:$D$2470,$B150,'июнь 2025'!$J$5:$J$2470,AE$1)</f>
        <v>0</v>
      </c>
      <c r="AF150" s="183">
        <f>SUMIFS('июнь 2025'!$G$5:$G$2470,'июнь 2025'!$D$5:$D$2470,$B150,'июнь 2025'!$J$5:$J$2470,AF$1)</f>
        <v>0</v>
      </c>
      <c r="AG150" s="183">
        <f>SUMIFS('июнь 2025'!$G$5:$G$2470,'июнь 2025'!$D$5:$D$2470,$B150,'июнь 2025'!$J$5:$J$2470,AG$1)</f>
        <v>0</v>
      </c>
      <c r="AH150" s="183">
        <f>SUMIFS('июнь 2025'!$G$5:$G$2470,'июнь 2025'!$D$5:$D$2470,$B150,'июнь 2025'!$J$5:$J$2470,AH$1)</f>
        <v>0</v>
      </c>
      <c r="AI150" s="20">
        <f t="shared" si="1"/>
        <v>0</v>
      </c>
    </row>
    <row r="151" spans="2:35" ht="16.899999999999999" customHeight="1" x14ac:dyDescent="0.25">
      <c r="B151" s="84" t="s">
        <v>272</v>
      </c>
      <c r="C151" s="83">
        <v>200</v>
      </c>
      <c r="D151" s="183">
        <f>SUMIFS('июнь 2025'!$G$5:$G$2470,'июнь 2025'!$D$5:$D$2470,$B151,'июнь 2025'!$J$5:$J$2470,D$1)</f>
        <v>0</v>
      </c>
      <c r="E151" s="183">
        <f>SUMIFS('июнь 2025'!$G$5:$G$2470,'июнь 2025'!$D$5:$D$2470,$B151,'июнь 2025'!$J$5:$J$2470,E$1)</f>
        <v>0</v>
      </c>
      <c r="F151" s="183">
        <f>SUMIFS('июнь 2025'!$G$5:$G$2470,'июнь 2025'!$D$5:$D$2470,$B151,'июнь 2025'!$J$5:$J$2470,F$1)</f>
        <v>0</v>
      </c>
      <c r="G151" s="183">
        <f>SUMIFS('июнь 2025'!$G$5:$G$2470,'июнь 2025'!$D$5:$D$2470,$B151,'июнь 2025'!$J$5:$J$2470,G$1)</f>
        <v>0</v>
      </c>
      <c r="H151" s="183">
        <f>SUMIFS('июнь 2025'!$G$5:$G$2470,'июнь 2025'!$D$5:$D$2470,$B151,'июнь 2025'!$J$5:$J$2470,H$1)</f>
        <v>0</v>
      </c>
      <c r="I151" s="183">
        <f>SUMIFS('июнь 2025'!$G$5:$G$2470,'июнь 2025'!$D$5:$D$2470,$B151,'июнь 2025'!$J$5:$J$2470,I$1)</f>
        <v>0</v>
      </c>
      <c r="J151" s="183">
        <f>SUMIFS('июнь 2025'!$G$5:$G$2470,'июнь 2025'!$D$5:$D$2470,$B151,'июнь 2025'!$J$5:$J$2470,J$1)</f>
        <v>0</v>
      </c>
      <c r="K151" s="183">
        <f>SUMIFS('июнь 2025'!$G$5:$G$2470,'июнь 2025'!$D$5:$D$2470,$B151,'июнь 2025'!$J$5:$J$2470,K$1)</f>
        <v>0</v>
      </c>
      <c r="L151" s="183">
        <f>SUMIFS('июнь 2025'!$G$5:$G$2470,'июнь 2025'!$D$5:$D$2470,$B151,'июнь 2025'!$J$5:$J$2470,L$1)</f>
        <v>0</v>
      </c>
      <c r="M151" s="183">
        <f>SUMIFS('июнь 2025'!$G$5:$G$2470,'июнь 2025'!$D$5:$D$2470,$B151,'июнь 2025'!$J$5:$J$2470,M$1)</f>
        <v>0</v>
      </c>
      <c r="N151" s="183">
        <f>SUMIFS('июнь 2025'!$G$5:$G$2470,'июнь 2025'!$D$5:$D$2470,$B151,'июнь 2025'!$J$5:$J$2470,N$1)</f>
        <v>0</v>
      </c>
      <c r="O151" s="183">
        <f>SUMIFS('июнь 2025'!$G$5:$G$2470,'июнь 2025'!$D$5:$D$2470,$B151,'июнь 2025'!$J$5:$J$2470,O$1)</f>
        <v>0</v>
      </c>
      <c r="P151" s="183">
        <f>SUMIFS('июнь 2025'!$G$5:$G$2470,'июнь 2025'!$D$5:$D$2470,$B151,'июнь 2025'!$J$5:$J$2470,P$1)</f>
        <v>0</v>
      </c>
      <c r="Q151" s="183">
        <f>SUMIFS('июнь 2025'!$G$5:$G$2470,'июнь 2025'!$D$5:$D$2470,$B151,'июнь 2025'!$J$5:$J$2470,Q$1)</f>
        <v>0</v>
      </c>
      <c r="R151" s="183">
        <f>SUMIFS('июнь 2025'!$G$5:$G$2470,'июнь 2025'!$D$5:$D$2470,$B151,'июнь 2025'!$J$5:$J$2470,R$1)</f>
        <v>0</v>
      </c>
      <c r="S151" s="183">
        <f>SUMIFS('июнь 2025'!$G$5:$G$2470,'июнь 2025'!$D$5:$D$2470,$B151,'июнь 2025'!$J$5:$J$2470,S$1)</f>
        <v>0</v>
      </c>
      <c r="T151" s="183">
        <f>SUMIFS('июнь 2025'!$G$5:$G$2470,'июнь 2025'!$D$5:$D$2470,$B151,'июнь 2025'!$J$5:$J$2470,T$1)</f>
        <v>0</v>
      </c>
      <c r="U151" s="183">
        <f>SUMIFS('июнь 2025'!$G$5:$G$2470,'июнь 2025'!$D$5:$D$2470,$B151,'июнь 2025'!$J$5:$J$2470,U$1)</f>
        <v>0</v>
      </c>
      <c r="V151" s="183">
        <f>SUMIFS('июнь 2025'!$G$5:$G$2470,'июнь 2025'!$D$5:$D$2470,$B151,'июнь 2025'!$J$5:$J$2470,V$1)</f>
        <v>0</v>
      </c>
      <c r="W151" s="183">
        <f>SUMIFS('июнь 2025'!$G$5:$G$2470,'июнь 2025'!$D$5:$D$2470,$B151,'июнь 2025'!$J$5:$J$2470,W$1)</f>
        <v>0</v>
      </c>
      <c r="X151" s="183">
        <f>SUMIFS('июнь 2025'!$G$5:$G$2470,'июнь 2025'!$D$5:$D$2470,$B151,'июнь 2025'!$J$5:$J$2470,X$1)</f>
        <v>0</v>
      </c>
      <c r="Y151" s="183">
        <f>SUMIFS('июнь 2025'!$G$5:$G$2470,'июнь 2025'!$D$5:$D$2470,$B151,'июнь 2025'!$J$5:$J$2470,Y$1)</f>
        <v>0</v>
      </c>
      <c r="Z151" s="183">
        <f>SUMIFS('июнь 2025'!$G$5:$G$2470,'июнь 2025'!$D$5:$D$2470,$B151,'июнь 2025'!$J$5:$J$2470,Z$1)</f>
        <v>0</v>
      </c>
      <c r="AA151" s="183">
        <f>SUMIFS('июнь 2025'!$G$5:$G$2470,'июнь 2025'!$D$5:$D$2470,$B151,'июнь 2025'!$J$5:$J$2470,AA$1)</f>
        <v>0</v>
      </c>
      <c r="AB151" s="183">
        <f>SUMIFS('июнь 2025'!$G$5:$G$2470,'июнь 2025'!$D$5:$D$2470,$B151,'июнь 2025'!$J$5:$J$2470,AB$1)</f>
        <v>0</v>
      </c>
      <c r="AC151" s="183">
        <f>SUMIFS('июнь 2025'!$G$5:$G$2470,'июнь 2025'!$D$5:$D$2470,$B151,'июнь 2025'!$J$5:$J$2470,AC$1)</f>
        <v>0</v>
      </c>
      <c r="AD151" s="183">
        <f>SUMIFS('июнь 2025'!$G$5:$G$2470,'июнь 2025'!$D$5:$D$2470,$B151,'июнь 2025'!$J$5:$J$2470,AD$1)</f>
        <v>0</v>
      </c>
      <c r="AE151" s="183">
        <f>SUMIFS('июнь 2025'!$G$5:$G$2470,'июнь 2025'!$D$5:$D$2470,$B151,'июнь 2025'!$J$5:$J$2470,AE$1)</f>
        <v>0</v>
      </c>
      <c r="AF151" s="183">
        <f>SUMIFS('июнь 2025'!$G$5:$G$2470,'июнь 2025'!$D$5:$D$2470,$B151,'июнь 2025'!$J$5:$J$2470,AF$1)</f>
        <v>0</v>
      </c>
      <c r="AG151" s="183">
        <f>SUMIFS('июнь 2025'!$G$5:$G$2470,'июнь 2025'!$D$5:$D$2470,$B151,'июнь 2025'!$J$5:$J$2470,AG$1)</f>
        <v>0</v>
      </c>
      <c r="AH151" s="183">
        <f>SUMIFS('июнь 2025'!$G$5:$G$2470,'июнь 2025'!$D$5:$D$2470,$B151,'июнь 2025'!$J$5:$J$2470,AH$1)</f>
        <v>0</v>
      </c>
      <c r="AI151" s="20">
        <f t="shared" si="1"/>
        <v>0</v>
      </c>
    </row>
    <row r="152" spans="2:35" ht="15" customHeight="1" x14ac:dyDescent="0.25">
      <c r="B152" s="84" t="s">
        <v>277</v>
      </c>
      <c r="C152" s="83">
        <v>200</v>
      </c>
      <c r="D152" s="183">
        <f>SUMIFS('июнь 2025'!$G$5:$G$2470,'июнь 2025'!$D$5:$D$2470,$B152,'июнь 2025'!$J$5:$J$2470,D$1)</f>
        <v>0</v>
      </c>
      <c r="E152" s="183">
        <f>SUMIFS('июнь 2025'!$G$5:$G$2470,'июнь 2025'!$D$5:$D$2470,$B152,'июнь 2025'!$J$5:$J$2470,E$1)</f>
        <v>0</v>
      </c>
      <c r="F152" s="183">
        <f>SUMIFS('июнь 2025'!$G$5:$G$2470,'июнь 2025'!$D$5:$D$2470,$B152,'июнь 2025'!$J$5:$J$2470,F$1)</f>
        <v>0</v>
      </c>
      <c r="G152" s="183">
        <f>SUMIFS('июнь 2025'!$G$5:$G$2470,'июнь 2025'!$D$5:$D$2470,$B152,'июнь 2025'!$J$5:$J$2470,G$1)</f>
        <v>0</v>
      </c>
      <c r="H152" s="183">
        <f>SUMIFS('июнь 2025'!$G$5:$G$2470,'июнь 2025'!$D$5:$D$2470,$B152,'июнь 2025'!$J$5:$J$2470,H$1)</f>
        <v>0</v>
      </c>
      <c r="I152" s="183">
        <f>SUMIFS('июнь 2025'!$G$5:$G$2470,'июнь 2025'!$D$5:$D$2470,$B152,'июнь 2025'!$J$5:$J$2470,I$1)</f>
        <v>0</v>
      </c>
      <c r="J152" s="183">
        <f>SUMIFS('июнь 2025'!$G$5:$G$2470,'июнь 2025'!$D$5:$D$2470,$B152,'июнь 2025'!$J$5:$J$2470,J$1)</f>
        <v>0</v>
      </c>
      <c r="K152" s="183">
        <f>SUMIFS('июнь 2025'!$G$5:$G$2470,'июнь 2025'!$D$5:$D$2470,$B152,'июнь 2025'!$J$5:$J$2470,K$1)</f>
        <v>0</v>
      </c>
      <c r="L152" s="183">
        <f>SUMIFS('июнь 2025'!$G$5:$G$2470,'июнь 2025'!$D$5:$D$2470,$B152,'июнь 2025'!$J$5:$J$2470,L$1)</f>
        <v>0</v>
      </c>
      <c r="M152" s="183">
        <f>SUMIFS('июнь 2025'!$G$5:$G$2470,'июнь 2025'!$D$5:$D$2470,$B152,'июнь 2025'!$J$5:$J$2470,M$1)</f>
        <v>0</v>
      </c>
      <c r="N152" s="183">
        <f>SUMIFS('июнь 2025'!$G$5:$G$2470,'июнь 2025'!$D$5:$D$2470,$B152,'июнь 2025'!$J$5:$J$2470,N$1)</f>
        <v>0</v>
      </c>
      <c r="O152" s="183">
        <f>SUMIFS('июнь 2025'!$G$5:$G$2470,'июнь 2025'!$D$5:$D$2470,$B152,'июнь 2025'!$J$5:$J$2470,O$1)</f>
        <v>0</v>
      </c>
      <c r="P152" s="183">
        <f>SUMIFS('июнь 2025'!$G$5:$G$2470,'июнь 2025'!$D$5:$D$2470,$B152,'июнь 2025'!$J$5:$J$2470,P$1)</f>
        <v>0</v>
      </c>
      <c r="Q152" s="183">
        <f>SUMIFS('июнь 2025'!$G$5:$G$2470,'июнь 2025'!$D$5:$D$2470,$B152,'июнь 2025'!$J$5:$J$2470,Q$1)</f>
        <v>0</v>
      </c>
      <c r="R152" s="183">
        <f>SUMIFS('июнь 2025'!$G$5:$G$2470,'июнь 2025'!$D$5:$D$2470,$B152,'июнь 2025'!$J$5:$J$2470,R$1)</f>
        <v>0</v>
      </c>
      <c r="S152" s="183">
        <f>SUMIFS('июнь 2025'!$G$5:$G$2470,'июнь 2025'!$D$5:$D$2470,$B152,'июнь 2025'!$J$5:$J$2470,S$1)</f>
        <v>0</v>
      </c>
      <c r="T152" s="183">
        <f>SUMIFS('июнь 2025'!$G$5:$G$2470,'июнь 2025'!$D$5:$D$2470,$B152,'июнь 2025'!$J$5:$J$2470,T$1)</f>
        <v>0</v>
      </c>
      <c r="U152" s="183">
        <f>SUMIFS('июнь 2025'!$G$5:$G$2470,'июнь 2025'!$D$5:$D$2470,$B152,'июнь 2025'!$J$5:$J$2470,U$1)</f>
        <v>0</v>
      </c>
      <c r="V152" s="183">
        <f>SUMIFS('июнь 2025'!$G$5:$G$2470,'июнь 2025'!$D$5:$D$2470,$B152,'июнь 2025'!$J$5:$J$2470,V$1)</f>
        <v>0</v>
      </c>
      <c r="W152" s="183">
        <f>SUMIFS('июнь 2025'!$G$5:$G$2470,'июнь 2025'!$D$5:$D$2470,$B152,'июнь 2025'!$J$5:$J$2470,W$1)</f>
        <v>0</v>
      </c>
      <c r="X152" s="183">
        <f>SUMIFS('июнь 2025'!$G$5:$G$2470,'июнь 2025'!$D$5:$D$2470,$B152,'июнь 2025'!$J$5:$J$2470,X$1)</f>
        <v>0</v>
      </c>
      <c r="Y152" s="183">
        <f>SUMIFS('июнь 2025'!$G$5:$G$2470,'июнь 2025'!$D$5:$D$2470,$B152,'июнь 2025'!$J$5:$J$2470,Y$1)</f>
        <v>0</v>
      </c>
      <c r="Z152" s="183">
        <f>SUMIFS('июнь 2025'!$G$5:$G$2470,'июнь 2025'!$D$5:$D$2470,$B152,'июнь 2025'!$J$5:$J$2470,Z$1)</f>
        <v>0</v>
      </c>
      <c r="AA152" s="183">
        <f>SUMIFS('июнь 2025'!$G$5:$G$2470,'июнь 2025'!$D$5:$D$2470,$B152,'июнь 2025'!$J$5:$J$2470,AA$1)</f>
        <v>0</v>
      </c>
      <c r="AB152" s="183">
        <f>SUMIFS('июнь 2025'!$G$5:$G$2470,'июнь 2025'!$D$5:$D$2470,$B152,'июнь 2025'!$J$5:$J$2470,AB$1)</f>
        <v>0</v>
      </c>
      <c r="AC152" s="183">
        <f>SUMIFS('июнь 2025'!$G$5:$G$2470,'июнь 2025'!$D$5:$D$2470,$B152,'июнь 2025'!$J$5:$J$2470,AC$1)</f>
        <v>0</v>
      </c>
      <c r="AD152" s="183">
        <f>SUMIFS('июнь 2025'!$G$5:$G$2470,'июнь 2025'!$D$5:$D$2470,$B152,'июнь 2025'!$J$5:$J$2470,AD$1)</f>
        <v>0</v>
      </c>
      <c r="AE152" s="183">
        <f>SUMIFS('июнь 2025'!$G$5:$G$2470,'июнь 2025'!$D$5:$D$2470,$B152,'июнь 2025'!$J$5:$J$2470,AE$1)</f>
        <v>0</v>
      </c>
      <c r="AF152" s="183">
        <f>SUMIFS('июнь 2025'!$G$5:$G$2470,'июнь 2025'!$D$5:$D$2470,$B152,'июнь 2025'!$J$5:$J$2470,AF$1)</f>
        <v>0</v>
      </c>
      <c r="AG152" s="183">
        <f>SUMIFS('июнь 2025'!$G$5:$G$2470,'июнь 2025'!$D$5:$D$2470,$B152,'июнь 2025'!$J$5:$J$2470,AG$1)</f>
        <v>0</v>
      </c>
      <c r="AH152" s="183">
        <f>SUMIFS('июнь 2025'!$G$5:$G$2470,'июнь 2025'!$D$5:$D$2470,$B152,'июнь 2025'!$J$5:$J$2470,AH$1)</f>
        <v>0</v>
      </c>
      <c r="AI152" s="20">
        <f t="shared" si="1"/>
        <v>0</v>
      </c>
    </row>
    <row r="153" spans="2:35" ht="15" customHeight="1" x14ac:dyDescent="0.25">
      <c r="B153" s="84" t="s">
        <v>273</v>
      </c>
      <c r="C153" s="83">
        <v>200</v>
      </c>
      <c r="D153" s="183">
        <f>SUMIFS('июнь 2025'!$G$5:$G$2470,'июнь 2025'!$D$5:$D$2470,$B153,'июнь 2025'!$J$5:$J$2470,D$1)</f>
        <v>0</v>
      </c>
      <c r="E153" s="183">
        <f>SUMIFS('июнь 2025'!$G$5:$G$2470,'июнь 2025'!$D$5:$D$2470,$B153,'июнь 2025'!$J$5:$J$2470,E$1)</f>
        <v>0</v>
      </c>
      <c r="F153" s="183">
        <f>SUMIFS('июнь 2025'!$G$5:$G$2470,'июнь 2025'!$D$5:$D$2470,$B153,'июнь 2025'!$J$5:$J$2470,F$1)</f>
        <v>0</v>
      </c>
      <c r="G153" s="183">
        <f>SUMIFS('июнь 2025'!$G$5:$G$2470,'июнь 2025'!$D$5:$D$2470,$B153,'июнь 2025'!$J$5:$J$2470,G$1)</f>
        <v>0</v>
      </c>
      <c r="H153" s="183">
        <f>SUMIFS('июнь 2025'!$G$5:$G$2470,'июнь 2025'!$D$5:$D$2470,$B153,'июнь 2025'!$J$5:$J$2470,H$1)</f>
        <v>0</v>
      </c>
      <c r="I153" s="183">
        <f>SUMIFS('июнь 2025'!$G$5:$G$2470,'июнь 2025'!$D$5:$D$2470,$B153,'июнь 2025'!$J$5:$J$2470,I$1)</f>
        <v>0</v>
      </c>
      <c r="J153" s="183">
        <f>SUMIFS('июнь 2025'!$G$5:$G$2470,'июнь 2025'!$D$5:$D$2470,$B153,'июнь 2025'!$J$5:$J$2470,J$1)</f>
        <v>0</v>
      </c>
      <c r="K153" s="183">
        <f>SUMIFS('июнь 2025'!$G$5:$G$2470,'июнь 2025'!$D$5:$D$2470,$B153,'июнь 2025'!$J$5:$J$2470,K$1)</f>
        <v>0</v>
      </c>
      <c r="L153" s="183">
        <f>SUMIFS('июнь 2025'!$G$5:$G$2470,'июнь 2025'!$D$5:$D$2470,$B153,'июнь 2025'!$J$5:$J$2470,L$1)</f>
        <v>0</v>
      </c>
      <c r="M153" s="183">
        <f>SUMIFS('июнь 2025'!$G$5:$G$2470,'июнь 2025'!$D$5:$D$2470,$B153,'июнь 2025'!$J$5:$J$2470,M$1)</f>
        <v>0</v>
      </c>
      <c r="N153" s="183">
        <f>SUMIFS('июнь 2025'!$G$5:$G$2470,'июнь 2025'!$D$5:$D$2470,$B153,'июнь 2025'!$J$5:$J$2470,N$1)</f>
        <v>0</v>
      </c>
      <c r="O153" s="183">
        <f>SUMIFS('июнь 2025'!$G$5:$G$2470,'июнь 2025'!$D$5:$D$2470,$B153,'июнь 2025'!$J$5:$J$2470,O$1)</f>
        <v>0</v>
      </c>
      <c r="P153" s="183">
        <f>SUMIFS('июнь 2025'!$G$5:$G$2470,'июнь 2025'!$D$5:$D$2470,$B153,'июнь 2025'!$J$5:$J$2470,P$1)</f>
        <v>0</v>
      </c>
      <c r="Q153" s="183">
        <f>SUMIFS('июнь 2025'!$G$5:$G$2470,'июнь 2025'!$D$5:$D$2470,$B153,'июнь 2025'!$J$5:$J$2470,Q$1)</f>
        <v>0</v>
      </c>
      <c r="R153" s="183">
        <f>SUMIFS('июнь 2025'!$G$5:$G$2470,'июнь 2025'!$D$5:$D$2470,$B153,'июнь 2025'!$J$5:$J$2470,R$1)</f>
        <v>0</v>
      </c>
      <c r="S153" s="183">
        <f>SUMIFS('июнь 2025'!$G$5:$G$2470,'июнь 2025'!$D$5:$D$2470,$B153,'июнь 2025'!$J$5:$J$2470,S$1)</f>
        <v>0</v>
      </c>
      <c r="T153" s="183">
        <f>SUMIFS('июнь 2025'!$G$5:$G$2470,'июнь 2025'!$D$5:$D$2470,$B153,'июнь 2025'!$J$5:$J$2470,T$1)</f>
        <v>0</v>
      </c>
      <c r="U153" s="183">
        <f>SUMIFS('июнь 2025'!$G$5:$G$2470,'июнь 2025'!$D$5:$D$2470,$B153,'июнь 2025'!$J$5:$J$2470,U$1)</f>
        <v>0</v>
      </c>
      <c r="V153" s="183">
        <f>SUMIFS('июнь 2025'!$G$5:$G$2470,'июнь 2025'!$D$5:$D$2470,$B153,'июнь 2025'!$J$5:$J$2470,V$1)</f>
        <v>0</v>
      </c>
      <c r="W153" s="183">
        <f>SUMIFS('июнь 2025'!$G$5:$G$2470,'июнь 2025'!$D$5:$D$2470,$B153,'июнь 2025'!$J$5:$J$2470,W$1)</f>
        <v>0</v>
      </c>
      <c r="X153" s="183">
        <f>SUMIFS('июнь 2025'!$G$5:$G$2470,'июнь 2025'!$D$5:$D$2470,$B153,'июнь 2025'!$J$5:$J$2470,X$1)</f>
        <v>0</v>
      </c>
      <c r="Y153" s="183">
        <f>SUMIFS('июнь 2025'!$G$5:$G$2470,'июнь 2025'!$D$5:$D$2470,$B153,'июнь 2025'!$J$5:$J$2470,Y$1)</f>
        <v>0</v>
      </c>
      <c r="Z153" s="183">
        <f>SUMIFS('июнь 2025'!$G$5:$G$2470,'июнь 2025'!$D$5:$D$2470,$B153,'июнь 2025'!$J$5:$J$2470,Z$1)</f>
        <v>0</v>
      </c>
      <c r="AA153" s="183">
        <f>SUMIFS('июнь 2025'!$G$5:$G$2470,'июнь 2025'!$D$5:$D$2470,$B153,'июнь 2025'!$J$5:$J$2470,AA$1)</f>
        <v>0</v>
      </c>
      <c r="AB153" s="183">
        <f>SUMIFS('июнь 2025'!$G$5:$G$2470,'июнь 2025'!$D$5:$D$2470,$B153,'июнь 2025'!$J$5:$J$2470,AB$1)</f>
        <v>0</v>
      </c>
      <c r="AC153" s="183">
        <f>SUMIFS('июнь 2025'!$G$5:$G$2470,'июнь 2025'!$D$5:$D$2470,$B153,'июнь 2025'!$J$5:$J$2470,AC$1)</f>
        <v>0</v>
      </c>
      <c r="AD153" s="183">
        <f>SUMIFS('июнь 2025'!$G$5:$G$2470,'июнь 2025'!$D$5:$D$2470,$B153,'июнь 2025'!$J$5:$J$2470,AD$1)</f>
        <v>0</v>
      </c>
      <c r="AE153" s="183">
        <f>SUMIFS('июнь 2025'!$G$5:$G$2470,'июнь 2025'!$D$5:$D$2470,$B153,'июнь 2025'!$J$5:$J$2470,AE$1)</f>
        <v>0</v>
      </c>
      <c r="AF153" s="183">
        <f>SUMIFS('июнь 2025'!$G$5:$G$2470,'июнь 2025'!$D$5:$D$2470,$B153,'июнь 2025'!$J$5:$J$2470,AF$1)</f>
        <v>0</v>
      </c>
      <c r="AG153" s="183">
        <f>SUMIFS('июнь 2025'!$G$5:$G$2470,'июнь 2025'!$D$5:$D$2470,$B153,'июнь 2025'!$J$5:$J$2470,AG$1)</f>
        <v>0</v>
      </c>
      <c r="AH153" s="183">
        <f>SUMIFS('июнь 2025'!$G$5:$G$2470,'июнь 2025'!$D$5:$D$2470,$B153,'июнь 2025'!$J$5:$J$2470,AH$1)</f>
        <v>0</v>
      </c>
      <c r="AI153" s="20">
        <f t="shared" si="1"/>
        <v>0</v>
      </c>
    </row>
    <row r="154" spans="2:35" ht="15" customHeight="1" x14ac:dyDescent="0.25">
      <c r="B154" s="84" t="s">
        <v>274</v>
      </c>
      <c r="C154" s="83">
        <v>200</v>
      </c>
      <c r="D154" s="183">
        <f>SUMIFS('июнь 2025'!$G$5:$G$2470,'июнь 2025'!$D$5:$D$2470,$B154,'июнь 2025'!$J$5:$J$2470,D$1)</f>
        <v>0</v>
      </c>
      <c r="E154" s="183">
        <f>SUMIFS('июнь 2025'!$G$5:$G$2470,'июнь 2025'!$D$5:$D$2470,$B154,'июнь 2025'!$J$5:$J$2470,E$1)</f>
        <v>0</v>
      </c>
      <c r="F154" s="183">
        <f>SUMIFS('июнь 2025'!$G$5:$G$2470,'июнь 2025'!$D$5:$D$2470,$B154,'июнь 2025'!$J$5:$J$2470,F$1)</f>
        <v>0</v>
      </c>
      <c r="G154" s="183">
        <f>SUMIFS('июнь 2025'!$G$5:$G$2470,'июнь 2025'!$D$5:$D$2470,$B154,'июнь 2025'!$J$5:$J$2470,G$1)</f>
        <v>0</v>
      </c>
      <c r="H154" s="183">
        <f>SUMIFS('июнь 2025'!$G$5:$G$2470,'июнь 2025'!$D$5:$D$2470,$B154,'июнь 2025'!$J$5:$J$2470,H$1)</f>
        <v>0</v>
      </c>
      <c r="I154" s="183">
        <f>SUMIFS('июнь 2025'!$G$5:$G$2470,'июнь 2025'!$D$5:$D$2470,$B154,'июнь 2025'!$J$5:$J$2470,I$1)</f>
        <v>0</v>
      </c>
      <c r="J154" s="183">
        <f>SUMIFS('июнь 2025'!$G$5:$G$2470,'июнь 2025'!$D$5:$D$2470,$B154,'июнь 2025'!$J$5:$J$2470,J$1)</f>
        <v>0</v>
      </c>
      <c r="K154" s="183">
        <f>SUMIFS('июнь 2025'!$G$5:$G$2470,'июнь 2025'!$D$5:$D$2470,$B154,'июнь 2025'!$J$5:$J$2470,K$1)</f>
        <v>0</v>
      </c>
      <c r="L154" s="183">
        <f>SUMIFS('июнь 2025'!$G$5:$G$2470,'июнь 2025'!$D$5:$D$2470,$B154,'июнь 2025'!$J$5:$J$2470,L$1)</f>
        <v>0</v>
      </c>
      <c r="M154" s="183">
        <f>SUMIFS('июнь 2025'!$G$5:$G$2470,'июнь 2025'!$D$5:$D$2470,$B154,'июнь 2025'!$J$5:$J$2470,M$1)</f>
        <v>0</v>
      </c>
      <c r="N154" s="183">
        <f>SUMIFS('июнь 2025'!$G$5:$G$2470,'июнь 2025'!$D$5:$D$2470,$B154,'июнь 2025'!$J$5:$J$2470,N$1)</f>
        <v>0</v>
      </c>
      <c r="O154" s="183">
        <f>SUMIFS('июнь 2025'!$G$5:$G$2470,'июнь 2025'!$D$5:$D$2470,$B154,'июнь 2025'!$J$5:$J$2470,O$1)</f>
        <v>0</v>
      </c>
      <c r="P154" s="183">
        <f>SUMIFS('июнь 2025'!$G$5:$G$2470,'июнь 2025'!$D$5:$D$2470,$B154,'июнь 2025'!$J$5:$J$2470,P$1)</f>
        <v>0</v>
      </c>
      <c r="Q154" s="183">
        <f>SUMIFS('июнь 2025'!$G$5:$G$2470,'июнь 2025'!$D$5:$D$2470,$B154,'июнь 2025'!$J$5:$J$2470,Q$1)</f>
        <v>0</v>
      </c>
      <c r="R154" s="183">
        <f>SUMIFS('июнь 2025'!$G$5:$G$2470,'июнь 2025'!$D$5:$D$2470,$B154,'июнь 2025'!$J$5:$J$2470,R$1)</f>
        <v>0</v>
      </c>
      <c r="S154" s="183">
        <f>SUMIFS('июнь 2025'!$G$5:$G$2470,'июнь 2025'!$D$5:$D$2470,$B154,'июнь 2025'!$J$5:$J$2470,S$1)</f>
        <v>0</v>
      </c>
      <c r="T154" s="183">
        <f>SUMIFS('июнь 2025'!$G$5:$G$2470,'июнь 2025'!$D$5:$D$2470,$B154,'июнь 2025'!$J$5:$J$2470,T$1)</f>
        <v>84</v>
      </c>
      <c r="U154" s="183">
        <f>SUMIFS('июнь 2025'!$G$5:$G$2470,'июнь 2025'!$D$5:$D$2470,$B154,'июнь 2025'!$J$5:$J$2470,U$1)</f>
        <v>0</v>
      </c>
      <c r="V154" s="183">
        <f>SUMIFS('июнь 2025'!$G$5:$G$2470,'июнь 2025'!$D$5:$D$2470,$B154,'июнь 2025'!$J$5:$J$2470,V$1)</f>
        <v>0</v>
      </c>
      <c r="W154" s="183">
        <f>SUMIFS('июнь 2025'!$G$5:$G$2470,'июнь 2025'!$D$5:$D$2470,$B154,'июнь 2025'!$J$5:$J$2470,W$1)</f>
        <v>0</v>
      </c>
      <c r="X154" s="183">
        <f>SUMIFS('июнь 2025'!$G$5:$G$2470,'июнь 2025'!$D$5:$D$2470,$B154,'июнь 2025'!$J$5:$J$2470,X$1)</f>
        <v>0</v>
      </c>
      <c r="Y154" s="183">
        <f>SUMIFS('июнь 2025'!$G$5:$G$2470,'июнь 2025'!$D$5:$D$2470,$B154,'июнь 2025'!$J$5:$J$2470,Y$1)</f>
        <v>0</v>
      </c>
      <c r="Z154" s="183">
        <f>SUMIFS('июнь 2025'!$G$5:$G$2470,'июнь 2025'!$D$5:$D$2470,$B154,'июнь 2025'!$J$5:$J$2470,Z$1)</f>
        <v>0</v>
      </c>
      <c r="AA154" s="183">
        <f>SUMIFS('июнь 2025'!$G$5:$G$2470,'июнь 2025'!$D$5:$D$2470,$B154,'июнь 2025'!$J$5:$J$2470,AA$1)</f>
        <v>0</v>
      </c>
      <c r="AB154" s="183">
        <f>SUMIFS('июнь 2025'!$G$5:$G$2470,'июнь 2025'!$D$5:$D$2470,$B154,'июнь 2025'!$J$5:$J$2470,AB$1)</f>
        <v>0</v>
      </c>
      <c r="AC154" s="183">
        <f>SUMIFS('июнь 2025'!$G$5:$G$2470,'июнь 2025'!$D$5:$D$2470,$B154,'июнь 2025'!$J$5:$J$2470,AC$1)</f>
        <v>0</v>
      </c>
      <c r="AD154" s="183">
        <f>SUMIFS('июнь 2025'!$G$5:$G$2470,'июнь 2025'!$D$5:$D$2470,$B154,'июнь 2025'!$J$5:$J$2470,AD$1)</f>
        <v>0</v>
      </c>
      <c r="AE154" s="183">
        <f>SUMIFS('июнь 2025'!$G$5:$G$2470,'июнь 2025'!$D$5:$D$2470,$B154,'июнь 2025'!$J$5:$J$2470,AE$1)</f>
        <v>0</v>
      </c>
      <c r="AF154" s="183">
        <f>SUMIFS('июнь 2025'!$G$5:$G$2470,'июнь 2025'!$D$5:$D$2470,$B154,'июнь 2025'!$J$5:$J$2470,AF$1)</f>
        <v>0</v>
      </c>
      <c r="AG154" s="183">
        <f>SUMIFS('июнь 2025'!$G$5:$G$2470,'июнь 2025'!$D$5:$D$2470,$B154,'июнь 2025'!$J$5:$J$2470,AG$1)</f>
        <v>0</v>
      </c>
      <c r="AH154" s="183">
        <f>SUMIFS('июнь 2025'!$G$5:$G$2470,'июнь 2025'!$D$5:$D$2470,$B154,'июнь 2025'!$J$5:$J$2470,AH$1)</f>
        <v>0</v>
      </c>
      <c r="AI154" s="20">
        <f t="shared" si="1"/>
        <v>84</v>
      </c>
    </row>
    <row r="155" spans="2:35" ht="15" customHeight="1" x14ac:dyDescent="0.25">
      <c r="B155" s="84" t="s">
        <v>313</v>
      </c>
      <c r="C155" s="83">
        <v>1000</v>
      </c>
      <c r="D155" s="183">
        <f>SUMIFS('июнь 2025'!$G$5:$G$2470,'июнь 2025'!$D$5:$D$2470,$B155,'июнь 2025'!$J$5:$J$2470,D$1)</f>
        <v>0</v>
      </c>
      <c r="E155" s="183">
        <f>SUMIFS('июнь 2025'!$G$5:$G$2470,'июнь 2025'!$D$5:$D$2470,$B155,'июнь 2025'!$J$5:$J$2470,E$1)</f>
        <v>0</v>
      </c>
      <c r="F155" s="183">
        <f>SUMIFS('июнь 2025'!$G$5:$G$2470,'июнь 2025'!$D$5:$D$2470,$B155,'июнь 2025'!$J$5:$J$2470,F$1)</f>
        <v>0</v>
      </c>
      <c r="G155" s="183">
        <f>SUMIFS('июнь 2025'!$G$5:$G$2470,'июнь 2025'!$D$5:$D$2470,$B155,'июнь 2025'!$J$5:$J$2470,G$1)</f>
        <v>0</v>
      </c>
      <c r="H155" s="183">
        <f>SUMIFS('июнь 2025'!$G$5:$G$2470,'июнь 2025'!$D$5:$D$2470,$B155,'июнь 2025'!$J$5:$J$2470,H$1)</f>
        <v>0</v>
      </c>
      <c r="I155" s="183">
        <f>SUMIFS('июнь 2025'!$G$5:$G$2470,'июнь 2025'!$D$5:$D$2470,$B155,'июнь 2025'!$J$5:$J$2470,I$1)</f>
        <v>0</v>
      </c>
      <c r="J155" s="183">
        <f>SUMIFS('июнь 2025'!$G$5:$G$2470,'июнь 2025'!$D$5:$D$2470,$B155,'июнь 2025'!$J$5:$J$2470,J$1)</f>
        <v>0</v>
      </c>
      <c r="K155" s="183">
        <f>SUMIFS('июнь 2025'!$G$5:$G$2470,'июнь 2025'!$D$5:$D$2470,$B155,'июнь 2025'!$J$5:$J$2470,K$1)</f>
        <v>0</v>
      </c>
      <c r="L155" s="183">
        <f>SUMIFS('июнь 2025'!$G$5:$G$2470,'июнь 2025'!$D$5:$D$2470,$B155,'июнь 2025'!$J$5:$J$2470,L$1)</f>
        <v>0</v>
      </c>
      <c r="M155" s="183">
        <f>SUMIFS('июнь 2025'!$G$5:$G$2470,'июнь 2025'!$D$5:$D$2470,$B155,'июнь 2025'!$J$5:$J$2470,M$1)</f>
        <v>0</v>
      </c>
      <c r="N155" s="183">
        <f>SUMIFS('июнь 2025'!$G$5:$G$2470,'июнь 2025'!$D$5:$D$2470,$B155,'июнь 2025'!$J$5:$J$2470,N$1)</f>
        <v>0</v>
      </c>
      <c r="O155" s="183">
        <f>SUMIFS('июнь 2025'!$G$5:$G$2470,'июнь 2025'!$D$5:$D$2470,$B155,'июнь 2025'!$J$5:$J$2470,O$1)</f>
        <v>0</v>
      </c>
      <c r="P155" s="183">
        <f>SUMIFS('июнь 2025'!$G$5:$G$2470,'июнь 2025'!$D$5:$D$2470,$B155,'июнь 2025'!$J$5:$J$2470,P$1)</f>
        <v>0</v>
      </c>
      <c r="Q155" s="183">
        <f>SUMIFS('июнь 2025'!$G$5:$G$2470,'июнь 2025'!$D$5:$D$2470,$B155,'июнь 2025'!$J$5:$J$2470,Q$1)</f>
        <v>0</v>
      </c>
      <c r="R155" s="183">
        <f>SUMIFS('июнь 2025'!$G$5:$G$2470,'июнь 2025'!$D$5:$D$2470,$B155,'июнь 2025'!$J$5:$J$2470,R$1)</f>
        <v>0</v>
      </c>
      <c r="S155" s="183">
        <f>SUMIFS('июнь 2025'!$G$5:$G$2470,'июнь 2025'!$D$5:$D$2470,$B155,'июнь 2025'!$J$5:$J$2470,S$1)</f>
        <v>0</v>
      </c>
      <c r="T155" s="183">
        <f>SUMIFS('июнь 2025'!$G$5:$G$2470,'июнь 2025'!$D$5:$D$2470,$B155,'июнь 2025'!$J$5:$J$2470,T$1)</f>
        <v>0</v>
      </c>
      <c r="U155" s="183">
        <f>SUMIFS('июнь 2025'!$G$5:$G$2470,'июнь 2025'!$D$5:$D$2470,$B155,'июнь 2025'!$J$5:$J$2470,U$1)</f>
        <v>0</v>
      </c>
      <c r="V155" s="183">
        <f>SUMIFS('июнь 2025'!$G$5:$G$2470,'июнь 2025'!$D$5:$D$2470,$B155,'июнь 2025'!$J$5:$J$2470,V$1)</f>
        <v>0</v>
      </c>
      <c r="W155" s="183">
        <f>SUMIFS('июнь 2025'!$G$5:$G$2470,'июнь 2025'!$D$5:$D$2470,$B155,'июнь 2025'!$J$5:$J$2470,W$1)</f>
        <v>0</v>
      </c>
      <c r="X155" s="183">
        <f>SUMIFS('июнь 2025'!$G$5:$G$2470,'июнь 2025'!$D$5:$D$2470,$B155,'июнь 2025'!$J$5:$J$2470,X$1)</f>
        <v>0</v>
      </c>
      <c r="Y155" s="183">
        <f>SUMIFS('июнь 2025'!$G$5:$G$2470,'июнь 2025'!$D$5:$D$2470,$B155,'июнь 2025'!$J$5:$J$2470,Y$1)</f>
        <v>0</v>
      </c>
      <c r="Z155" s="183">
        <f>SUMIFS('июнь 2025'!$G$5:$G$2470,'июнь 2025'!$D$5:$D$2470,$B155,'июнь 2025'!$J$5:$J$2470,Z$1)</f>
        <v>0</v>
      </c>
      <c r="AA155" s="183">
        <f>SUMIFS('июнь 2025'!$G$5:$G$2470,'июнь 2025'!$D$5:$D$2470,$B155,'июнь 2025'!$J$5:$J$2470,AA$1)</f>
        <v>0</v>
      </c>
      <c r="AB155" s="183">
        <f>SUMIFS('июнь 2025'!$G$5:$G$2470,'июнь 2025'!$D$5:$D$2470,$B155,'июнь 2025'!$J$5:$J$2470,AB$1)</f>
        <v>0</v>
      </c>
      <c r="AC155" s="183">
        <f>SUMIFS('июнь 2025'!$G$5:$G$2470,'июнь 2025'!$D$5:$D$2470,$B155,'июнь 2025'!$J$5:$J$2470,AC$1)</f>
        <v>0</v>
      </c>
      <c r="AD155" s="183">
        <f>SUMIFS('июнь 2025'!$G$5:$G$2470,'июнь 2025'!$D$5:$D$2470,$B155,'июнь 2025'!$J$5:$J$2470,AD$1)</f>
        <v>0</v>
      </c>
      <c r="AE155" s="183">
        <f>SUMIFS('июнь 2025'!$G$5:$G$2470,'июнь 2025'!$D$5:$D$2470,$B155,'июнь 2025'!$J$5:$J$2470,AE$1)</f>
        <v>0</v>
      </c>
      <c r="AF155" s="183">
        <f>SUMIFS('июнь 2025'!$G$5:$G$2470,'июнь 2025'!$D$5:$D$2470,$B155,'июнь 2025'!$J$5:$J$2470,AF$1)</f>
        <v>0</v>
      </c>
      <c r="AG155" s="183">
        <f>SUMIFS('июнь 2025'!$G$5:$G$2470,'июнь 2025'!$D$5:$D$2470,$B155,'июнь 2025'!$J$5:$J$2470,AG$1)</f>
        <v>0</v>
      </c>
      <c r="AH155" s="183">
        <f>SUMIFS('июнь 2025'!$G$5:$G$2470,'июнь 2025'!$D$5:$D$2470,$B155,'июнь 2025'!$J$5:$J$2470,AH$1)</f>
        <v>0</v>
      </c>
      <c r="AI155" s="20">
        <f t="shared" si="1"/>
        <v>0</v>
      </c>
    </row>
    <row r="156" spans="2:35" ht="15" customHeight="1" x14ac:dyDescent="0.25">
      <c r="B156" s="84" t="s">
        <v>200</v>
      </c>
      <c r="C156" s="83">
        <v>200</v>
      </c>
      <c r="D156" s="183">
        <f>SUMIFS('июнь 2025'!$G$5:$G$2470,'июнь 2025'!$D$5:$D$2470,$B156,'июнь 2025'!$J$5:$J$2470,D$1)</f>
        <v>0</v>
      </c>
      <c r="E156" s="183">
        <f>SUMIFS('июнь 2025'!$G$5:$G$2470,'июнь 2025'!$D$5:$D$2470,$B156,'июнь 2025'!$J$5:$J$2470,E$1)</f>
        <v>0</v>
      </c>
      <c r="F156" s="183">
        <f>SUMIFS('июнь 2025'!$G$5:$G$2470,'июнь 2025'!$D$5:$D$2470,$B156,'июнь 2025'!$J$5:$J$2470,F$1)</f>
        <v>0</v>
      </c>
      <c r="G156" s="183">
        <f>SUMIFS('июнь 2025'!$G$5:$G$2470,'июнь 2025'!$D$5:$D$2470,$B156,'июнь 2025'!$J$5:$J$2470,G$1)</f>
        <v>0</v>
      </c>
      <c r="H156" s="183">
        <f>SUMIFS('июнь 2025'!$G$5:$G$2470,'июнь 2025'!$D$5:$D$2470,$B156,'июнь 2025'!$J$5:$J$2470,H$1)</f>
        <v>0</v>
      </c>
      <c r="I156" s="183">
        <f>SUMIFS('июнь 2025'!$G$5:$G$2470,'июнь 2025'!$D$5:$D$2470,$B156,'июнь 2025'!$J$5:$J$2470,I$1)</f>
        <v>0</v>
      </c>
      <c r="J156" s="183">
        <f>SUMIFS('июнь 2025'!$G$5:$G$2470,'июнь 2025'!$D$5:$D$2470,$B156,'июнь 2025'!$J$5:$J$2470,J$1)</f>
        <v>0</v>
      </c>
      <c r="K156" s="183">
        <f>SUMIFS('июнь 2025'!$G$5:$G$2470,'июнь 2025'!$D$5:$D$2470,$B156,'июнь 2025'!$J$5:$J$2470,K$1)</f>
        <v>0</v>
      </c>
      <c r="L156" s="183">
        <f>SUMIFS('июнь 2025'!$G$5:$G$2470,'июнь 2025'!$D$5:$D$2470,$B156,'июнь 2025'!$J$5:$J$2470,L$1)</f>
        <v>0</v>
      </c>
      <c r="M156" s="183">
        <f>SUMIFS('июнь 2025'!$G$5:$G$2470,'июнь 2025'!$D$5:$D$2470,$B156,'июнь 2025'!$J$5:$J$2470,M$1)</f>
        <v>0</v>
      </c>
      <c r="N156" s="183">
        <f>SUMIFS('июнь 2025'!$G$5:$G$2470,'июнь 2025'!$D$5:$D$2470,$B156,'июнь 2025'!$J$5:$J$2470,N$1)</f>
        <v>0</v>
      </c>
      <c r="O156" s="183">
        <f>SUMIFS('июнь 2025'!$G$5:$G$2470,'июнь 2025'!$D$5:$D$2470,$B156,'июнь 2025'!$J$5:$J$2470,O$1)</f>
        <v>0</v>
      </c>
      <c r="P156" s="183">
        <f>SUMIFS('июнь 2025'!$G$5:$G$2470,'июнь 2025'!$D$5:$D$2470,$B156,'июнь 2025'!$J$5:$J$2470,P$1)</f>
        <v>0</v>
      </c>
      <c r="Q156" s="183">
        <f>SUMIFS('июнь 2025'!$G$5:$G$2470,'июнь 2025'!$D$5:$D$2470,$B156,'июнь 2025'!$J$5:$J$2470,Q$1)</f>
        <v>0</v>
      </c>
      <c r="R156" s="183">
        <f>SUMIFS('июнь 2025'!$G$5:$G$2470,'июнь 2025'!$D$5:$D$2470,$B156,'июнь 2025'!$J$5:$J$2470,R$1)</f>
        <v>0</v>
      </c>
      <c r="S156" s="183">
        <f>SUMIFS('июнь 2025'!$G$5:$G$2470,'июнь 2025'!$D$5:$D$2470,$B156,'июнь 2025'!$J$5:$J$2470,S$1)</f>
        <v>0</v>
      </c>
      <c r="T156" s="183">
        <f>SUMIFS('июнь 2025'!$G$5:$G$2470,'июнь 2025'!$D$5:$D$2470,$B156,'июнь 2025'!$J$5:$J$2470,T$1)</f>
        <v>0</v>
      </c>
      <c r="U156" s="183">
        <f>SUMIFS('июнь 2025'!$G$5:$G$2470,'июнь 2025'!$D$5:$D$2470,$B156,'июнь 2025'!$J$5:$J$2470,U$1)</f>
        <v>0</v>
      </c>
      <c r="V156" s="183">
        <f>SUMIFS('июнь 2025'!$G$5:$G$2470,'июнь 2025'!$D$5:$D$2470,$B156,'июнь 2025'!$J$5:$J$2470,V$1)</f>
        <v>0</v>
      </c>
      <c r="W156" s="183">
        <f>SUMIFS('июнь 2025'!$G$5:$G$2470,'июнь 2025'!$D$5:$D$2470,$B156,'июнь 2025'!$J$5:$J$2470,W$1)</f>
        <v>0</v>
      </c>
      <c r="X156" s="183">
        <f>SUMIFS('июнь 2025'!$G$5:$G$2470,'июнь 2025'!$D$5:$D$2470,$B156,'июнь 2025'!$J$5:$J$2470,X$1)</f>
        <v>0</v>
      </c>
      <c r="Y156" s="183">
        <f>SUMIFS('июнь 2025'!$G$5:$G$2470,'июнь 2025'!$D$5:$D$2470,$B156,'июнь 2025'!$J$5:$J$2470,Y$1)</f>
        <v>0</v>
      </c>
      <c r="Z156" s="183">
        <f>SUMIFS('июнь 2025'!$G$5:$G$2470,'июнь 2025'!$D$5:$D$2470,$B156,'июнь 2025'!$J$5:$J$2470,Z$1)</f>
        <v>0</v>
      </c>
      <c r="AA156" s="183">
        <f>SUMIFS('июнь 2025'!$G$5:$G$2470,'июнь 2025'!$D$5:$D$2470,$B156,'июнь 2025'!$J$5:$J$2470,AA$1)</f>
        <v>0</v>
      </c>
      <c r="AB156" s="183">
        <f>SUMIFS('июнь 2025'!$G$5:$G$2470,'июнь 2025'!$D$5:$D$2470,$B156,'июнь 2025'!$J$5:$J$2470,AB$1)</f>
        <v>0</v>
      </c>
      <c r="AC156" s="183">
        <f>SUMIFS('июнь 2025'!$G$5:$G$2470,'июнь 2025'!$D$5:$D$2470,$B156,'июнь 2025'!$J$5:$J$2470,AC$1)</f>
        <v>0</v>
      </c>
      <c r="AD156" s="183">
        <f>SUMIFS('июнь 2025'!$G$5:$G$2470,'июнь 2025'!$D$5:$D$2470,$B156,'июнь 2025'!$J$5:$J$2470,AD$1)</f>
        <v>0</v>
      </c>
      <c r="AE156" s="183">
        <f>SUMIFS('июнь 2025'!$G$5:$G$2470,'июнь 2025'!$D$5:$D$2470,$B156,'июнь 2025'!$J$5:$J$2470,AE$1)</f>
        <v>0</v>
      </c>
      <c r="AF156" s="183">
        <f>SUMIFS('июнь 2025'!$G$5:$G$2470,'июнь 2025'!$D$5:$D$2470,$B156,'июнь 2025'!$J$5:$J$2470,AF$1)</f>
        <v>0</v>
      </c>
      <c r="AG156" s="183">
        <f>SUMIFS('июнь 2025'!$G$5:$G$2470,'июнь 2025'!$D$5:$D$2470,$B156,'июнь 2025'!$J$5:$J$2470,AG$1)</f>
        <v>0</v>
      </c>
      <c r="AH156" s="183">
        <f>SUMIFS('июнь 2025'!$G$5:$G$2470,'июнь 2025'!$D$5:$D$2470,$B156,'июнь 2025'!$J$5:$J$2470,AH$1)</f>
        <v>0</v>
      </c>
      <c r="AI156" s="20">
        <f t="shared" si="1"/>
        <v>0</v>
      </c>
    </row>
    <row r="157" spans="2:35" ht="15" customHeight="1" x14ac:dyDescent="0.25">
      <c r="B157" s="84" t="s">
        <v>275</v>
      </c>
      <c r="C157" s="83">
        <v>200</v>
      </c>
      <c r="D157" s="183">
        <f>SUMIFS('июнь 2025'!$G$5:$G$2470,'июнь 2025'!$D$5:$D$2470,$B157,'июнь 2025'!$J$5:$J$2470,D$1)</f>
        <v>0</v>
      </c>
      <c r="E157" s="183">
        <f>SUMIFS('июнь 2025'!$G$5:$G$2470,'июнь 2025'!$D$5:$D$2470,$B157,'июнь 2025'!$J$5:$J$2470,E$1)</f>
        <v>0</v>
      </c>
      <c r="F157" s="183">
        <f>SUMIFS('июнь 2025'!$G$5:$G$2470,'июнь 2025'!$D$5:$D$2470,$B157,'июнь 2025'!$J$5:$J$2470,F$1)</f>
        <v>0</v>
      </c>
      <c r="G157" s="183">
        <f>SUMIFS('июнь 2025'!$G$5:$G$2470,'июнь 2025'!$D$5:$D$2470,$B157,'июнь 2025'!$J$5:$J$2470,G$1)</f>
        <v>0</v>
      </c>
      <c r="H157" s="183">
        <f>SUMIFS('июнь 2025'!$G$5:$G$2470,'июнь 2025'!$D$5:$D$2470,$B157,'июнь 2025'!$J$5:$J$2470,H$1)</f>
        <v>0</v>
      </c>
      <c r="I157" s="183">
        <f>SUMIFS('июнь 2025'!$G$5:$G$2470,'июнь 2025'!$D$5:$D$2470,$B157,'июнь 2025'!$J$5:$J$2470,I$1)</f>
        <v>0</v>
      </c>
      <c r="J157" s="183">
        <f>SUMIFS('июнь 2025'!$G$5:$G$2470,'июнь 2025'!$D$5:$D$2470,$B157,'июнь 2025'!$J$5:$J$2470,J$1)</f>
        <v>0</v>
      </c>
      <c r="K157" s="183">
        <f>SUMIFS('июнь 2025'!$G$5:$G$2470,'июнь 2025'!$D$5:$D$2470,$B157,'июнь 2025'!$J$5:$J$2470,K$1)</f>
        <v>0</v>
      </c>
      <c r="L157" s="183">
        <f>SUMIFS('июнь 2025'!$G$5:$G$2470,'июнь 2025'!$D$5:$D$2470,$B157,'июнь 2025'!$J$5:$J$2470,L$1)</f>
        <v>0</v>
      </c>
      <c r="M157" s="183">
        <f>SUMIFS('июнь 2025'!$G$5:$G$2470,'июнь 2025'!$D$5:$D$2470,$B157,'июнь 2025'!$J$5:$J$2470,M$1)</f>
        <v>0</v>
      </c>
      <c r="N157" s="183">
        <f>SUMIFS('июнь 2025'!$G$5:$G$2470,'июнь 2025'!$D$5:$D$2470,$B157,'июнь 2025'!$J$5:$J$2470,N$1)</f>
        <v>0</v>
      </c>
      <c r="O157" s="183">
        <f>SUMIFS('июнь 2025'!$G$5:$G$2470,'июнь 2025'!$D$5:$D$2470,$B157,'июнь 2025'!$J$5:$J$2470,O$1)</f>
        <v>0</v>
      </c>
      <c r="P157" s="183">
        <f>SUMIFS('июнь 2025'!$G$5:$G$2470,'июнь 2025'!$D$5:$D$2470,$B157,'июнь 2025'!$J$5:$J$2470,P$1)</f>
        <v>0</v>
      </c>
      <c r="Q157" s="183">
        <f>SUMIFS('июнь 2025'!$G$5:$G$2470,'июнь 2025'!$D$5:$D$2470,$B157,'июнь 2025'!$J$5:$J$2470,Q$1)</f>
        <v>0</v>
      </c>
      <c r="R157" s="183">
        <f>SUMIFS('июнь 2025'!$G$5:$G$2470,'июнь 2025'!$D$5:$D$2470,$B157,'июнь 2025'!$J$5:$J$2470,R$1)</f>
        <v>0</v>
      </c>
      <c r="S157" s="183">
        <f>SUMIFS('июнь 2025'!$G$5:$G$2470,'июнь 2025'!$D$5:$D$2470,$B157,'июнь 2025'!$J$5:$J$2470,S$1)</f>
        <v>0</v>
      </c>
      <c r="T157" s="183">
        <f>SUMIFS('июнь 2025'!$G$5:$G$2470,'июнь 2025'!$D$5:$D$2470,$B157,'июнь 2025'!$J$5:$J$2470,T$1)</f>
        <v>0</v>
      </c>
      <c r="U157" s="183">
        <f>SUMIFS('июнь 2025'!$G$5:$G$2470,'июнь 2025'!$D$5:$D$2470,$B157,'июнь 2025'!$J$5:$J$2470,U$1)</f>
        <v>0</v>
      </c>
      <c r="V157" s="183">
        <f>SUMIFS('июнь 2025'!$G$5:$G$2470,'июнь 2025'!$D$5:$D$2470,$B157,'июнь 2025'!$J$5:$J$2470,V$1)</f>
        <v>0</v>
      </c>
      <c r="W157" s="183">
        <f>SUMIFS('июнь 2025'!$G$5:$G$2470,'июнь 2025'!$D$5:$D$2470,$B157,'июнь 2025'!$J$5:$J$2470,W$1)</f>
        <v>0</v>
      </c>
      <c r="X157" s="183">
        <f>SUMIFS('июнь 2025'!$G$5:$G$2470,'июнь 2025'!$D$5:$D$2470,$B157,'июнь 2025'!$J$5:$J$2470,X$1)</f>
        <v>0</v>
      </c>
      <c r="Y157" s="183">
        <f>SUMIFS('июнь 2025'!$G$5:$G$2470,'июнь 2025'!$D$5:$D$2470,$B157,'июнь 2025'!$J$5:$J$2470,Y$1)</f>
        <v>0</v>
      </c>
      <c r="Z157" s="183">
        <f>SUMIFS('июнь 2025'!$G$5:$G$2470,'июнь 2025'!$D$5:$D$2470,$B157,'июнь 2025'!$J$5:$J$2470,Z$1)</f>
        <v>0</v>
      </c>
      <c r="AA157" s="183">
        <f>SUMIFS('июнь 2025'!$G$5:$G$2470,'июнь 2025'!$D$5:$D$2470,$B157,'июнь 2025'!$J$5:$J$2470,AA$1)</f>
        <v>0</v>
      </c>
      <c r="AB157" s="183">
        <f>SUMIFS('июнь 2025'!$G$5:$G$2470,'июнь 2025'!$D$5:$D$2470,$B157,'июнь 2025'!$J$5:$J$2470,AB$1)</f>
        <v>0</v>
      </c>
      <c r="AC157" s="183">
        <f>SUMIFS('июнь 2025'!$G$5:$G$2470,'июнь 2025'!$D$5:$D$2470,$B157,'июнь 2025'!$J$5:$J$2470,AC$1)</f>
        <v>0</v>
      </c>
      <c r="AD157" s="183">
        <f>SUMIFS('июнь 2025'!$G$5:$G$2470,'июнь 2025'!$D$5:$D$2470,$B157,'июнь 2025'!$J$5:$J$2470,AD$1)</f>
        <v>0</v>
      </c>
      <c r="AE157" s="183">
        <f>SUMIFS('июнь 2025'!$G$5:$G$2470,'июнь 2025'!$D$5:$D$2470,$B157,'июнь 2025'!$J$5:$J$2470,AE$1)</f>
        <v>0</v>
      </c>
      <c r="AF157" s="183">
        <f>SUMIFS('июнь 2025'!$G$5:$G$2470,'июнь 2025'!$D$5:$D$2470,$B157,'июнь 2025'!$J$5:$J$2470,AF$1)</f>
        <v>0</v>
      </c>
      <c r="AG157" s="183">
        <f>SUMIFS('июнь 2025'!$G$5:$G$2470,'июнь 2025'!$D$5:$D$2470,$B157,'июнь 2025'!$J$5:$J$2470,AG$1)</f>
        <v>0</v>
      </c>
      <c r="AH157" s="183">
        <f>SUMIFS('июнь 2025'!$G$5:$G$2470,'июнь 2025'!$D$5:$D$2470,$B157,'июнь 2025'!$J$5:$J$2470,AH$1)</f>
        <v>0</v>
      </c>
      <c r="AI157" s="20">
        <f t="shared" si="1"/>
        <v>0</v>
      </c>
    </row>
    <row r="158" spans="2:35" ht="15" customHeight="1" x14ac:dyDescent="0.25">
      <c r="B158" s="84" t="s">
        <v>204</v>
      </c>
      <c r="C158" s="86">
        <v>200</v>
      </c>
      <c r="D158" s="183">
        <f>SUMIFS('июнь 2025'!$G$5:$G$2470,'июнь 2025'!$D$5:$D$2470,$B158,'июнь 2025'!$J$5:$J$2470,D$1)</f>
        <v>0</v>
      </c>
      <c r="E158" s="183">
        <f>SUMIFS('июнь 2025'!$G$5:$G$2470,'июнь 2025'!$D$5:$D$2470,$B158,'июнь 2025'!$J$5:$J$2470,E$1)</f>
        <v>0</v>
      </c>
      <c r="F158" s="183">
        <f>SUMIFS('июнь 2025'!$G$5:$G$2470,'июнь 2025'!$D$5:$D$2470,$B158,'июнь 2025'!$J$5:$J$2470,F$1)</f>
        <v>0</v>
      </c>
      <c r="G158" s="183">
        <f>SUMIFS('июнь 2025'!$G$5:$G$2470,'июнь 2025'!$D$5:$D$2470,$B158,'июнь 2025'!$J$5:$J$2470,G$1)</f>
        <v>0</v>
      </c>
      <c r="H158" s="183">
        <f>SUMIFS('июнь 2025'!$G$5:$G$2470,'июнь 2025'!$D$5:$D$2470,$B158,'июнь 2025'!$J$5:$J$2470,H$1)</f>
        <v>0</v>
      </c>
      <c r="I158" s="183">
        <f>SUMIFS('июнь 2025'!$G$5:$G$2470,'июнь 2025'!$D$5:$D$2470,$B158,'июнь 2025'!$J$5:$J$2470,I$1)</f>
        <v>0</v>
      </c>
      <c r="J158" s="183">
        <f>SUMIFS('июнь 2025'!$G$5:$G$2470,'июнь 2025'!$D$5:$D$2470,$B158,'июнь 2025'!$J$5:$J$2470,J$1)</f>
        <v>0</v>
      </c>
      <c r="K158" s="183">
        <f>SUMIFS('июнь 2025'!$G$5:$G$2470,'июнь 2025'!$D$5:$D$2470,$B158,'июнь 2025'!$J$5:$J$2470,K$1)</f>
        <v>0</v>
      </c>
      <c r="L158" s="183">
        <f>SUMIFS('июнь 2025'!$G$5:$G$2470,'июнь 2025'!$D$5:$D$2470,$B158,'июнь 2025'!$J$5:$J$2470,L$1)</f>
        <v>0</v>
      </c>
      <c r="M158" s="183">
        <f>SUMIFS('июнь 2025'!$G$5:$G$2470,'июнь 2025'!$D$5:$D$2470,$B158,'июнь 2025'!$J$5:$J$2470,M$1)</f>
        <v>0</v>
      </c>
      <c r="N158" s="183">
        <f>SUMIFS('июнь 2025'!$G$5:$G$2470,'июнь 2025'!$D$5:$D$2470,$B158,'июнь 2025'!$J$5:$J$2470,N$1)</f>
        <v>0</v>
      </c>
      <c r="O158" s="183">
        <f>SUMIFS('июнь 2025'!$G$5:$G$2470,'июнь 2025'!$D$5:$D$2470,$B158,'июнь 2025'!$J$5:$J$2470,O$1)</f>
        <v>0</v>
      </c>
      <c r="P158" s="183">
        <f>SUMIFS('июнь 2025'!$G$5:$G$2470,'июнь 2025'!$D$5:$D$2470,$B158,'июнь 2025'!$J$5:$J$2470,P$1)</f>
        <v>0</v>
      </c>
      <c r="Q158" s="183">
        <f>SUMIFS('июнь 2025'!$G$5:$G$2470,'июнь 2025'!$D$5:$D$2470,$B158,'июнь 2025'!$J$5:$J$2470,Q$1)</f>
        <v>0</v>
      </c>
      <c r="R158" s="183">
        <f>SUMIFS('июнь 2025'!$G$5:$G$2470,'июнь 2025'!$D$5:$D$2470,$B158,'июнь 2025'!$J$5:$J$2470,R$1)</f>
        <v>0</v>
      </c>
      <c r="S158" s="183">
        <f>SUMIFS('июнь 2025'!$G$5:$G$2470,'июнь 2025'!$D$5:$D$2470,$B158,'июнь 2025'!$J$5:$J$2470,S$1)</f>
        <v>0</v>
      </c>
      <c r="T158" s="183">
        <f>SUMIFS('июнь 2025'!$G$5:$G$2470,'июнь 2025'!$D$5:$D$2470,$B158,'июнь 2025'!$J$5:$J$2470,T$1)</f>
        <v>0</v>
      </c>
      <c r="U158" s="183">
        <f>SUMIFS('июнь 2025'!$G$5:$G$2470,'июнь 2025'!$D$5:$D$2470,$B158,'июнь 2025'!$J$5:$J$2470,U$1)</f>
        <v>0</v>
      </c>
      <c r="V158" s="183">
        <f>SUMIFS('июнь 2025'!$G$5:$G$2470,'июнь 2025'!$D$5:$D$2470,$B158,'июнь 2025'!$J$5:$J$2470,V$1)</f>
        <v>0</v>
      </c>
      <c r="W158" s="183">
        <f>SUMIFS('июнь 2025'!$G$5:$G$2470,'июнь 2025'!$D$5:$D$2470,$B158,'июнь 2025'!$J$5:$J$2470,W$1)</f>
        <v>0</v>
      </c>
      <c r="X158" s="183">
        <f>SUMIFS('июнь 2025'!$G$5:$G$2470,'июнь 2025'!$D$5:$D$2470,$B158,'июнь 2025'!$J$5:$J$2470,X$1)</f>
        <v>0</v>
      </c>
      <c r="Y158" s="183">
        <f>SUMIFS('июнь 2025'!$G$5:$G$2470,'июнь 2025'!$D$5:$D$2470,$B158,'июнь 2025'!$J$5:$J$2470,Y$1)</f>
        <v>0</v>
      </c>
      <c r="Z158" s="183">
        <f>SUMIFS('июнь 2025'!$G$5:$G$2470,'июнь 2025'!$D$5:$D$2470,$B158,'июнь 2025'!$J$5:$J$2470,Z$1)</f>
        <v>0</v>
      </c>
      <c r="AA158" s="183">
        <f>SUMIFS('июнь 2025'!$G$5:$G$2470,'июнь 2025'!$D$5:$D$2470,$B158,'июнь 2025'!$J$5:$J$2470,AA$1)</f>
        <v>0</v>
      </c>
      <c r="AB158" s="183">
        <f>SUMIFS('июнь 2025'!$G$5:$G$2470,'июнь 2025'!$D$5:$D$2470,$B158,'июнь 2025'!$J$5:$J$2470,AB$1)</f>
        <v>0</v>
      </c>
      <c r="AC158" s="183">
        <f>SUMIFS('июнь 2025'!$G$5:$G$2470,'июнь 2025'!$D$5:$D$2470,$B158,'июнь 2025'!$J$5:$J$2470,AC$1)</f>
        <v>0</v>
      </c>
      <c r="AD158" s="183">
        <f>SUMIFS('июнь 2025'!$G$5:$G$2470,'июнь 2025'!$D$5:$D$2470,$B158,'июнь 2025'!$J$5:$J$2470,AD$1)</f>
        <v>0</v>
      </c>
      <c r="AE158" s="183">
        <f>SUMIFS('июнь 2025'!$G$5:$G$2470,'июнь 2025'!$D$5:$D$2470,$B158,'июнь 2025'!$J$5:$J$2470,AE$1)</f>
        <v>0</v>
      </c>
      <c r="AF158" s="183">
        <f>SUMIFS('июнь 2025'!$G$5:$G$2470,'июнь 2025'!$D$5:$D$2470,$B158,'июнь 2025'!$J$5:$J$2470,AF$1)</f>
        <v>0</v>
      </c>
      <c r="AG158" s="183">
        <f>SUMIFS('июнь 2025'!$G$5:$G$2470,'июнь 2025'!$D$5:$D$2470,$B158,'июнь 2025'!$J$5:$J$2470,AG$1)</f>
        <v>0</v>
      </c>
      <c r="AH158" s="183">
        <f>SUMIFS('июнь 2025'!$G$5:$G$2470,'июнь 2025'!$D$5:$D$2470,$B158,'июнь 2025'!$J$5:$J$2470,AH$1)</f>
        <v>0</v>
      </c>
      <c r="AI158" s="20">
        <f t="shared" si="1"/>
        <v>0</v>
      </c>
    </row>
    <row r="159" spans="2:35" ht="15" customHeight="1" x14ac:dyDescent="0.25">
      <c r="B159" s="84" t="s">
        <v>290</v>
      </c>
      <c r="C159" s="86">
        <v>200</v>
      </c>
      <c r="D159" s="183">
        <f>SUMIFS('июнь 2025'!$G$5:$G$2470,'июнь 2025'!$D$5:$D$2470,$B159,'июнь 2025'!$J$5:$J$2470,D$1)</f>
        <v>0</v>
      </c>
      <c r="E159" s="183">
        <f>SUMIFS('июнь 2025'!$G$5:$G$2470,'июнь 2025'!$D$5:$D$2470,$B159,'июнь 2025'!$J$5:$J$2470,E$1)</f>
        <v>0</v>
      </c>
      <c r="F159" s="183">
        <f>SUMIFS('июнь 2025'!$G$5:$G$2470,'июнь 2025'!$D$5:$D$2470,$B159,'июнь 2025'!$J$5:$J$2470,F$1)</f>
        <v>0</v>
      </c>
      <c r="G159" s="183">
        <f>SUMIFS('июнь 2025'!$G$5:$G$2470,'июнь 2025'!$D$5:$D$2470,$B159,'июнь 2025'!$J$5:$J$2470,G$1)</f>
        <v>0</v>
      </c>
      <c r="H159" s="183">
        <f>SUMIFS('июнь 2025'!$G$5:$G$2470,'июнь 2025'!$D$5:$D$2470,$B159,'июнь 2025'!$J$5:$J$2470,H$1)</f>
        <v>0</v>
      </c>
      <c r="I159" s="183">
        <f>SUMIFS('июнь 2025'!$G$5:$G$2470,'июнь 2025'!$D$5:$D$2470,$B159,'июнь 2025'!$J$5:$J$2470,I$1)</f>
        <v>0</v>
      </c>
      <c r="J159" s="183">
        <f>SUMIFS('июнь 2025'!$G$5:$G$2470,'июнь 2025'!$D$5:$D$2470,$B159,'июнь 2025'!$J$5:$J$2470,J$1)</f>
        <v>0</v>
      </c>
      <c r="K159" s="183">
        <f>SUMIFS('июнь 2025'!$G$5:$G$2470,'июнь 2025'!$D$5:$D$2470,$B159,'июнь 2025'!$J$5:$J$2470,K$1)</f>
        <v>0</v>
      </c>
      <c r="L159" s="183">
        <f>SUMIFS('июнь 2025'!$G$5:$G$2470,'июнь 2025'!$D$5:$D$2470,$B159,'июнь 2025'!$J$5:$J$2470,L$1)</f>
        <v>0</v>
      </c>
      <c r="M159" s="183">
        <f>SUMIFS('июнь 2025'!$G$5:$G$2470,'июнь 2025'!$D$5:$D$2470,$B159,'июнь 2025'!$J$5:$J$2470,M$1)</f>
        <v>0</v>
      </c>
      <c r="N159" s="183">
        <f>SUMIFS('июнь 2025'!$G$5:$G$2470,'июнь 2025'!$D$5:$D$2470,$B159,'июнь 2025'!$J$5:$J$2470,N$1)</f>
        <v>0</v>
      </c>
      <c r="O159" s="183">
        <f>SUMIFS('июнь 2025'!$G$5:$G$2470,'июнь 2025'!$D$5:$D$2470,$B159,'июнь 2025'!$J$5:$J$2470,O$1)</f>
        <v>0</v>
      </c>
      <c r="P159" s="183">
        <f>SUMIFS('июнь 2025'!$G$5:$G$2470,'июнь 2025'!$D$5:$D$2470,$B159,'июнь 2025'!$J$5:$J$2470,P$1)</f>
        <v>0</v>
      </c>
      <c r="Q159" s="183">
        <f>SUMIFS('июнь 2025'!$G$5:$G$2470,'июнь 2025'!$D$5:$D$2470,$B159,'июнь 2025'!$J$5:$J$2470,Q$1)</f>
        <v>0</v>
      </c>
      <c r="R159" s="183">
        <f>SUMIFS('июнь 2025'!$G$5:$G$2470,'июнь 2025'!$D$5:$D$2470,$B159,'июнь 2025'!$J$5:$J$2470,R$1)</f>
        <v>0</v>
      </c>
      <c r="S159" s="183">
        <f>SUMIFS('июнь 2025'!$G$5:$G$2470,'июнь 2025'!$D$5:$D$2470,$B159,'июнь 2025'!$J$5:$J$2470,S$1)</f>
        <v>0</v>
      </c>
      <c r="T159" s="183">
        <f>SUMIFS('июнь 2025'!$G$5:$G$2470,'июнь 2025'!$D$5:$D$2470,$B159,'июнь 2025'!$J$5:$J$2470,T$1)</f>
        <v>0</v>
      </c>
      <c r="U159" s="183">
        <f>SUMIFS('июнь 2025'!$G$5:$G$2470,'июнь 2025'!$D$5:$D$2470,$B159,'июнь 2025'!$J$5:$J$2470,U$1)</f>
        <v>0</v>
      </c>
      <c r="V159" s="183">
        <f>SUMIFS('июнь 2025'!$G$5:$G$2470,'июнь 2025'!$D$5:$D$2470,$B159,'июнь 2025'!$J$5:$J$2470,V$1)</f>
        <v>0</v>
      </c>
      <c r="W159" s="183">
        <f>SUMIFS('июнь 2025'!$G$5:$G$2470,'июнь 2025'!$D$5:$D$2470,$B159,'июнь 2025'!$J$5:$J$2470,W$1)</f>
        <v>0</v>
      </c>
      <c r="X159" s="183">
        <f>SUMIFS('июнь 2025'!$G$5:$G$2470,'июнь 2025'!$D$5:$D$2470,$B159,'июнь 2025'!$J$5:$J$2470,X$1)</f>
        <v>0</v>
      </c>
      <c r="Y159" s="183">
        <f>SUMIFS('июнь 2025'!$G$5:$G$2470,'июнь 2025'!$D$5:$D$2470,$B159,'июнь 2025'!$J$5:$J$2470,Y$1)</f>
        <v>0</v>
      </c>
      <c r="Z159" s="183">
        <f>SUMIFS('июнь 2025'!$G$5:$G$2470,'июнь 2025'!$D$5:$D$2470,$B159,'июнь 2025'!$J$5:$J$2470,Z$1)</f>
        <v>0</v>
      </c>
      <c r="AA159" s="183">
        <f>SUMIFS('июнь 2025'!$G$5:$G$2470,'июнь 2025'!$D$5:$D$2470,$B159,'июнь 2025'!$J$5:$J$2470,AA$1)</f>
        <v>0</v>
      </c>
      <c r="AB159" s="183">
        <f>SUMIFS('июнь 2025'!$G$5:$G$2470,'июнь 2025'!$D$5:$D$2470,$B159,'июнь 2025'!$J$5:$J$2470,AB$1)</f>
        <v>0</v>
      </c>
      <c r="AC159" s="183">
        <f>SUMIFS('июнь 2025'!$G$5:$G$2470,'июнь 2025'!$D$5:$D$2470,$B159,'июнь 2025'!$J$5:$J$2470,AC$1)</f>
        <v>0</v>
      </c>
      <c r="AD159" s="183">
        <f>SUMIFS('июнь 2025'!$G$5:$G$2470,'июнь 2025'!$D$5:$D$2470,$B159,'июнь 2025'!$J$5:$J$2470,AD$1)</f>
        <v>0</v>
      </c>
      <c r="AE159" s="183">
        <f>SUMIFS('июнь 2025'!$G$5:$G$2470,'июнь 2025'!$D$5:$D$2470,$B159,'июнь 2025'!$J$5:$J$2470,AE$1)</f>
        <v>0</v>
      </c>
      <c r="AF159" s="183">
        <f>SUMIFS('июнь 2025'!$G$5:$G$2470,'июнь 2025'!$D$5:$D$2470,$B159,'июнь 2025'!$J$5:$J$2470,AF$1)</f>
        <v>0</v>
      </c>
      <c r="AG159" s="183">
        <f>SUMIFS('июнь 2025'!$G$5:$G$2470,'июнь 2025'!$D$5:$D$2470,$B159,'июнь 2025'!$J$5:$J$2470,AG$1)</f>
        <v>0</v>
      </c>
      <c r="AH159" s="183">
        <f>SUMIFS('июнь 2025'!$G$5:$G$2470,'июнь 2025'!$D$5:$D$2470,$B159,'июнь 2025'!$J$5:$J$2470,AH$1)</f>
        <v>0</v>
      </c>
      <c r="AI159" s="20">
        <f t="shared" si="1"/>
        <v>0</v>
      </c>
    </row>
    <row r="160" spans="2:35" ht="15" customHeight="1" x14ac:dyDescent="0.25">
      <c r="B160" s="88" t="s">
        <v>177</v>
      </c>
      <c r="C160" s="86">
        <v>25</v>
      </c>
      <c r="D160" s="183">
        <f>SUMIFS('июнь 2025'!$G$5:$G$2470,'июнь 2025'!$D$5:$D$2470,$B160,'июнь 2025'!$J$5:$J$2470,D$1)</f>
        <v>0</v>
      </c>
      <c r="E160" s="183">
        <f>SUMIFS('июнь 2025'!$G$5:$G$2470,'июнь 2025'!$D$5:$D$2470,$B160,'июнь 2025'!$J$5:$J$2470,E$1)</f>
        <v>0</v>
      </c>
      <c r="F160" s="183">
        <f>SUMIFS('июнь 2025'!$G$5:$G$2470,'июнь 2025'!$D$5:$D$2470,$B160,'июнь 2025'!$J$5:$J$2470,F$1)</f>
        <v>0</v>
      </c>
      <c r="G160" s="183">
        <f>SUMIFS('июнь 2025'!$G$5:$G$2470,'июнь 2025'!$D$5:$D$2470,$B160,'июнь 2025'!$J$5:$J$2470,G$1)</f>
        <v>0</v>
      </c>
      <c r="H160" s="183">
        <f>SUMIFS('июнь 2025'!$G$5:$G$2470,'июнь 2025'!$D$5:$D$2470,$B160,'июнь 2025'!$J$5:$J$2470,H$1)</f>
        <v>0</v>
      </c>
      <c r="I160" s="183">
        <f>SUMIFS('июнь 2025'!$G$5:$G$2470,'июнь 2025'!$D$5:$D$2470,$B160,'июнь 2025'!$J$5:$J$2470,I$1)</f>
        <v>0</v>
      </c>
      <c r="J160" s="183">
        <f>SUMIFS('июнь 2025'!$G$5:$G$2470,'июнь 2025'!$D$5:$D$2470,$B160,'июнь 2025'!$J$5:$J$2470,J$1)</f>
        <v>0</v>
      </c>
      <c r="K160" s="183">
        <f>SUMIFS('июнь 2025'!$G$5:$G$2470,'июнь 2025'!$D$5:$D$2470,$B160,'июнь 2025'!$J$5:$J$2470,K$1)</f>
        <v>0</v>
      </c>
      <c r="L160" s="183">
        <f>SUMIFS('июнь 2025'!$G$5:$G$2470,'июнь 2025'!$D$5:$D$2470,$B160,'июнь 2025'!$J$5:$J$2470,L$1)</f>
        <v>0</v>
      </c>
      <c r="M160" s="183">
        <f>SUMIFS('июнь 2025'!$G$5:$G$2470,'июнь 2025'!$D$5:$D$2470,$B160,'июнь 2025'!$J$5:$J$2470,M$1)</f>
        <v>0</v>
      </c>
      <c r="N160" s="183">
        <f>SUMIFS('июнь 2025'!$G$5:$G$2470,'июнь 2025'!$D$5:$D$2470,$B160,'июнь 2025'!$J$5:$J$2470,N$1)</f>
        <v>0</v>
      </c>
      <c r="O160" s="183">
        <f>SUMIFS('июнь 2025'!$G$5:$G$2470,'июнь 2025'!$D$5:$D$2470,$B160,'июнь 2025'!$J$5:$J$2470,O$1)</f>
        <v>0</v>
      </c>
      <c r="P160" s="183">
        <f>SUMIFS('июнь 2025'!$G$5:$G$2470,'июнь 2025'!$D$5:$D$2470,$B160,'июнь 2025'!$J$5:$J$2470,P$1)</f>
        <v>0</v>
      </c>
      <c r="Q160" s="183">
        <f>SUMIFS('июнь 2025'!$G$5:$G$2470,'июнь 2025'!$D$5:$D$2470,$B160,'июнь 2025'!$J$5:$J$2470,Q$1)</f>
        <v>0</v>
      </c>
      <c r="R160" s="183">
        <f>SUMIFS('июнь 2025'!$G$5:$G$2470,'июнь 2025'!$D$5:$D$2470,$B160,'июнь 2025'!$J$5:$J$2470,R$1)</f>
        <v>0</v>
      </c>
      <c r="S160" s="183">
        <f>SUMIFS('июнь 2025'!$G$5:$G$2470,'июнь 2025'!$D$5:$D$2470,$B160,'июнь 2025'!$J$5:$J$2470,S$1)</f>
        <v>0</v>
      </c>
      <c r="T160" s="183">
        <f>SUMIFS('июнь 2025'!$G$5:$G$2470,'июнь 2025'!$D$5:$D$2470,$B160,'июнь 2025'!$J$5:$J$2470,T$1)</f>
        <v>0</v>
      </c>
      <c r="U160" s="183">
        <f>SUMIFS('июнь 2025'!$G$5:$G$2470,'июнь 2025'!$D$5:$D$2470,$B160,'июнь 2025'!$J$5:$J$2470,U$1)</f>
        <v>0</v>
      </c>
      <c r="V160" s="183">
        <f>SUMIFS('июнь 2025'!$G$5:$G$2470,'июнь 2025'!$D$5:$D$2470,$B160,'июнь 2025'!$J$5:$J$2470,V$1)</f>
        <v>0</v>
      </c>
      <c r="W160" s="183">
        <f>SUMIFS('июнь 2025'!$G$5:$G$2470,'июнь 2025'!$D$5:$D$2470,$B160,'июнь 2025'!$J$5:$J$2470,W$1)</f>
        <v>0</v>
      </c>
      <c r="X160" s="183">
        <f>SUMIFS('июнь 2025'!$G$5:$G$2470,'июнь 2025'!$D$5:$D$2470,$B160,'июнь 2025'!$J$5:$J$2470,X$1)</f>
        <v>0</v>
      </c>
      <c r="Y160" s="183">
        <f>SUMIFS('июнь 2025'!$G$5:$G$2470,'июнь 2025'!$D$5:$D$2470,$B160,'июнь 2025'!$J$5:$J$2470,Y$1)</f>
        <v>0</v>
      </c>
      <c r="Z160" s="183">
        <f>SUMIFS('июнь 2025'!$G$5:$G$2470,'июнь 2025'!$D$5:$D$2470,$B160,'июнь 2025'!$J$5:$J$2470,Z$1)</f>
        <v>0</v>
      </c>
      <c r="AA160" s="183">
        <f>SUMIFS('июнь 2025'!$G$5:$G$2470,'июнь 2025'!$D$5:$D$2470,$B160,'июнь 2025'!$J$5:$J$2470,AA$1)</f>
        <v>0</v>
      </c>
      <c r="AB160" s="183">
        <f>SUMIFS('июнь 2025'!$G$5:$G$2470,'июнь 2025'!$D$5:$D$2470,$B160,'июнь 2025'!$J$5:$J$2470,AB$1)</f>
        <v>0</v>
      </c>
      <c r="AC160" s="183">
        <f>SUMIFS('июнь 2025'!$G$5:$G$2470,'июнь 2025'!$D$5:$D$2470,$B160,'июнь 2025'!$J$5:$J$2470,AC$1)</f>
        <v>0</v>
      </c>
      <c r="AD160" s="183">
        <f>SUMIFS('июнь 2025'!$G$5:$G$2470,'июнь 2025'!$D$5:$D$2470,$B160,'июнь 2025'!$J$5:$J$2470,AD$1)</f>
        <v>0</v>
      </c>
      <c r="AE160" s="183">
        <f>SUMIFS('июнь 2025'!$G$5:$G$2470,'июнь 2025'!$D$5:$D$2470,$B160,'июнь 2025'!$J$5:$J$2470,AE$1)</f>
        <v>0</v>
      </c>
      <c r="AF160" s="183">
        <f>SUMIFS('июнь 2025'!$G$5:$G$2470,'июнь 2025'!$D$5:$D$2470,$B160,'июнь 2025'!$J$5:$J$2470,AF$1)</f>
        <v>0</v>
      </c>
      <c r="AG160" s="183">
        <f>SUMIFS('июнь 2025'!$G$5:$G$2470,'июнь 2025'!$D$5:$D$2470,$B160,'июнь 2025'!$J$5:$J$2470,AG$1)</f>
        <v>0</v>
      </c>
      <c r="AH160" s="183">
        <f>SUMIFS('июнь 2025'!$G$5:$G$2470,'июнь 2025'!$D$5:$D$2470,$B160,'июнь 2025'!$J$5:$J$2470,AH$1)</f>
        <v>0</v>
      </c>
      <c r="AI160" s="20">
        <f t="shared" si="1"/>
        <v>0</v>
      </c>
    </row>
    <row r="161" spans="2:35" ht="15" customHeight="1" x14ac:dyDescent="0.25">
      <c r="B161" s="84" t="s">
        <v>175</v>
      </c>
      <c r="C161" s="83">
        <v>25</v>
      </c>
      <c r="D161" s="183">
        <f>SUMIFS('июнь 2025'!$G$5:$G$2470,'июнь 2025'!$D$5:$D$2470,$B161,'июнь 2025'!$J$5:$J$2470,D$1)</f>
        <v>0</v>
      </c>
      <c r="E161" s="183">
        <f>SUMIFS('июнь 2025'!$G$5:$G$2470,'июнь 2025'!$D$5:$D$2470,$B161,'июнь 2025'!$J$5:$J$2470,E$1)</f>
        <v>0</v>
      </c>
      <c r="F161" s="183">
        <f>SUMIFS('июнь 2025'!$G$5:$G$2470,'июнь 2025'!$D$5:$D$2470,$B161,'июнь 2025'!$J$5:$J$2470,F$1)</f>
        <v>0</v>
      </c>
      <c r="G161" s="183">
        <f>SUMIFS('июнь 2025'!$G$5:$G$2470,'июнь 2025'!$D$5:$D$2470,$B161,'июнь 2025'!$J$5:$J$2470,G$1)</f>
        <v>0</v>
      </c>
      <c r="H161" s="183">
        <f>SUMIFS('июнь 2025'!$G$5:$G$2470,'июнь 2025'!$D$5:$D$2470,$B161,'июнь 2025'!$J$5:$J$2470,H$1)</f>
        <v>0</v>
      </c>
      <c r="I161" s="183">
        <f>SUMIFS('июнь 2025'!$G$5:$G$2470,'июнь 2025'!$D$5:$D$2470,$B161,'июнь 2025'!$J$5:$J$2470,I$1)</f>
        <v>0</v>
      </c>
      <c r="J161" s="183">
        <f>SUMIFS('июнь 2025'!$G$5:$G$2470,'июнь 2025'!$D$5:$D$2470,$B161,'июнь 2025'!$J$5:$J$2470,J$1)</f>
        <v>0</v>
      </c>
      <c r="K161" s="183">
        <f>SUMIFS('июнь 2025'!$G$5:$G$2470,'июнь 2025'!$D$5:$D$2470,$B161,'июнь 2025'!$J$5:$J$2470,K$1)</f>
        <v>0</v>
      </c>
      <c r="L161" s="183">
        <f>SUMIFS('июнь 2025'!$G$5:$G$2470,'июнь 2025'!$D$5:$D$2470,$B161,'июнь 2025'!$J$5:$J$2470,L$1)</f>
        <v>0</v>
      </c>
      <c r="M161" s="183">
        <f>SUMIFS('июнь 2025'!$G$5:$G$2470,'июнь 2025'!$D$5:$D$2470,$B161,'июнь 2025'!$J$5:$J$2470,M$1)</f>
        <v>0</v>
      </c>
      <c r="N161" s="183">
        <f>SUMIFS('июнь 2025'!$G$5:$G$2470,'июнь 2025'!$D$5:$D$2470,$B161,'июнь 2025'!$J$5:$J$2470,N$1)</f>
        <v>0</v>
      </c>
      <c r="O161" s="183">
        <f>SUMIFS('июнь 2025'!$G$5:$G$2470,'июнь 2025'!$D$5:$D$2470,$B161,'июнь 2025'!$J$5:$J$2470,O$1)</f>
        <v>0</v>
      </c>
      <c r="P161" s="183">
        <f>SUMIFS('июнь 2025'!$G$5:$G$2470,'июнь 2025'!$D$5:$D$2470,$B161,'июнь 2025'!$J$5:$J$2470,P$1)</f>
        <v>0</v>
      </c>
      <c r="Q161" s="183">
        <f>SUMIFS('июнь 2025'!$G$5:$G$2470,'июнь 2025'!$D$5:$D$2470,$B161,'июнь 2025'!$J$5:$J$2470,Q$1)</f>
        <v>0</v>
      </c>
      <c r="R161" s="183">
        <f>SUMIFS('июнь 2025'!$G$5:$G$2470,'июнь 2025'!$D$5:$D$2470,$B161,'июнь 2025'!$J$5:$J$2470,R$1)</f>
        <v>0</v>
      </c>
      <c r="S161" s="183">
        <f>SUMIFS('июнь 2025'!$G$5:$G$2470,'июнь 2025'!$D$5:$D$2470,$B161,'июнь 2025'!$J$5:$J$2470,S$1)</f>
        <v>0</v>
      </c>
      <c r="T161" s="183">
        <f>SUMIFS('июнь 2025'!$G$5:$G$2470,'июнь 2025'!$D$5:$D$2470,$B161,'июнь 2025'!$J$5:$J$2470,T$1)</f>
        <v>0</v>
      </c>
      <c r="U161" s="183">
        <f>SUMIFS('июнь 2025'!$G$5:$G$2470,'июнь 2025'!$D$5:$D$2470,$B161,'июнь 2025'!$J$5:$J$2470,U$1)</f>
        <v>0</v>
      </c>
      <c r="V161" s="183">
        <f>SUMIFS('июнь 2025'!$G$5:$G$2470,'июнь 2025'!$D$5:$D$2470,$B161,'июнь 2025'!$J$5:$J$2470,V$1)</f>
        <v>0</v>
      </c>
      <c r="W161" s="183">
        <f>SUMIFS('июнь 2025'!$G$5:$G$2470,'июнь 2025'!$D$5:$D$2470,$B161,'июнь 2025'!$J$5:$J$2470,W$1)</f>
        <v>0</v>
      </c>
      <c r="X161" s="183">
        <f>SUMIFS('июнь 2025'!$G$5:$G$2470,'июнь 2025'!$D$5:$D$2470,$B161,'июнь 2025'!$J$5:$J$2470,X$1)</f>
        <v>0</v>
      </c>
      <c r="Y161" s="183">
        <f>SUMIFS('июнь 2025'!$G$5:$G$2470,'июнь 2025'!$D$5:$D$2470,$B161,'июнь 2025'!$J$5:$J$2470,Y$1)</f>
        <v>0</v>
      </c>
      <c r="Z161" s="183">
        <f>SUMIFS('июнь 2025'!$G$5:$G$2470,'июнь 2025'!$D$5:$D$2470,$B161,'июнь 2025'!$J$5:$J$2470,Z$1)</f>
        <v>0</v>
      </c>
      <c r="AA161" s="183">
        <f>SUMIFS('июнь 2025'!$G$5:$G$2470,'июнь 2025'!$D$5:$D$2470,$B161,'июнь 2025'!$J$5:$J$2470,AA$1)</f>
        <v>0</v>
      </c>
      <c r="AB161" s="183">
        <f>SUMIFS('июнь 2025'!$G$5:$G$2470,'июнь 2025'!$D$5:$D$2470,$B161,'июнь 2025'!$J$5:$J$2470,AB$1)</f>
        <v>0</v>
      </c>
      <c r="AC161" s="183">
        <f>SUMIFS('июнь 2025'!$G$5:$G$2470,'июнь 2025'!$D$5:$D$2470,$B161,'июнь 2025'!$J$5:$J$2470,AC$1)</f>
        <v>0</v>
      </c>
      <c r="AD161" s="183">
        <f>SUMIFS('июнь 2025'!$G$5:$G$2470,'июнь 2025'!$D$5:$D$2470,$B161,'июнь 2025'!$J$5:$J$2470,AD$1)</f>
        <v>0</v>
      </c>
      <c r="AE161" s="183">
        <f>SUMIFS('июнь 2025'!$G$5:$G$2470,'июнь 2025'!$D$5:$D$2470,$B161,'июнь 2025'!$J$5:$J$2470,AE$1)</f>
        <v>0</v>
      </c>
      <c r="AF161" s="183">
        <f>SUMIFS('июнь 2025'!$G$5:$G$2470,'июнь 2025'!$D$5:$D$2470,$B161,'июнь 2025'!$J$5:$J$2470,AF$1)</f>
        <v>0</v>
      </c>
      <c r="AG161" s="183">
        <f>SUMIFS('июнь 2025'!$G$5:$G$2470,'июнь 2025'!$D$5:$D$2470,$B161,'июнь 2025'!$J$5:$J$2470,AG$1)</f>
        <v>0</v>
      </c>
      <c r="AH161" s="183">
        <f>SUMIFS('июнь 2025'!$G$5:$G$2470,'июнь 2025'!$D$5:$D$2470,$B161,'июнь 2025'!$J$5:$J$2470,AH$1)</f>
        <v>0</v>
      </c>
      <c r="AI161" s="20">
        <f t="shared" si="1"/>
        <v>0</v>
      </c>
    </row>
    <row r="162" spans="2:35" ht="15" customHeight="1" x14ac:dyDescent="0.25">
      <c r="B162" s="84" t="s">
        <v>176</v>
      </c>
      <c r="C162" s="83">
        <v>25</v>
      </c>
      <c r="D162" s="183">
        <f>SUMIFS('июнь 2025'!$G$5:$G$2470,'июнь 2025'!$D$5:$D$2470,$B162,'июнь 2025'!$J$5:$J$2470,D$1)</f>
        <v>0</v>
      </c>
      <c r="E162" s="183">
        <f>SUMIFS('июнь 2025'!$G$5:$G$2470,'июнь 2025'!$D$5:$D$2470,$B162,'июнь 2025'!$J$5:$J$2470,E$1)</f>
        <v>0</v>
      </c>
      <c r="F162" s="183">
        <f>SUMIFS('июнь 2025'!$G$5:$G$2470,'июнь 2025'!$D$5:$D$2470,$B162,'июнь 2025'!$J$5:$J$2470,F$1)</f>
        <v>0</v>
      </c>
      <c r="G162" s="183">
        <f>SUMIFS('июнь 2025'!$G$5:$G$2470,'июнь 2025'!$D$5:$D$2470,$B162,'июнь 2025'!$J$5:$J$2470,G$1)</f>
        <v>0</v>
      </c>
      <c r="H162" s="183">
        <f>SUMIFS('июнь 2025'!$G$5:$G$2470,'июнь 2025'!$D$5:$D$2470,$B162,'июнь 2025'!$J$5:$J$2470,H$1)</f>
        <v>0</v>
      </c>
      <c r="I162" s="183">
        <f>SUMIFS('июнь 2025'!$G$5:$G$2470,'июнь 2025'!$D$5:$D$2470,$B162,'июнь 2025'!$J$5:$J$2470,I$1)</f>
        <v>0</v>
      </c>
      <c r="J162" s="183">
        <f>SUMIFS('июнь 2025'!$G$5:$G$2470,'июнь 2025'!$D$5:$D$2470,$B162,'июнь 2025'!$J$5:$J$2470,J$1)</f>
        <v>0</v>
      </c>
      <c r="K162" s="183">
        <f>SUMIFS('июнь 2025'!$G$5:$G$2470,'июнь 2025'!$D$5:$D$2470,$B162,'июнь 2025'!$J$5:$J$2470,K$1)</f>
        <v>0</v>
      </c>
      <c r="L162" s="183">
        <f>SUMIFS('июнь 2025'!$G$5:$G$2470,'июнь 2025'!$D$5:$D$2470,$B162,'июнь 2025'!$J$5:$J$2470,L$1)</f>
        <v>0</v>
      </c>
      <c r="M162" s="183">
        <f>SUMIFS('июнь 2025'!$G$5:$G$2470,'июнь 2025'!$D$5:$D$2470,$B162,'июнь 2025'!$J$5:$J$2470,M$1)</f>
        <v>0</v>
      </c>
      <c r="N162" s="183">
        <f>SUMIFS('июнь 2025'!$G$5:$G$2470,'июнь 2025'!$D$5:$D$2470,$B162,'июнь 2025'!$J$5:$J$2470,N$1)</f>
        <v>0</v>
      </c>
      <c r="O162" s="183">
        <f>SUMIFS('июнь 2025'!$G$5:$G$2470,'июнь 2025'!$D$5:$D$2470,$B162,'июнь 2025'!$J$5:$J$2470,O$1)</f>
        <v>0</v>
      </c>
      <c r="P162" s="183">
        <f>SUMIFS('июнь 2025'!$G$5:$G$2470,'июнь 2025'!$D$5:$D$2470,$B162,'июнь 2025'!$J$5:$J$2470,P$1)</f>
        <v>0</v>
      </c>
      <c r="Q162" s="183">
        <f>SUMIFS('июнь 2025'!$G$5:$G$2470,'июнь 2025'!$D$5:$D$2470,$B162,'июнь 2025'!$J$5:$J$2470,Q$1)</f>
        <v>0</v>
      </c>
      <c r="R162" s="183">
        <f>SUMIFS('июнь 2025'!$G$5:$G$2470,'июнь 2025'!$D$5:$D$2470,$B162,'июнь 2025'!$J$5:$J$2470,R$1)</f>
        <v>0</v>
      </c>
      <c r="S162" s="183">
        <f>SUMIFS('июнь 2025'!$G$5:$G$2470,'июнь 2025'!$D$5:$D$2470,$B162,'июнь 2025'!$J$5:$J$2470,S$1)</f>
        <v>0</v>
      </c>
      <c r="T162" s="183">
        <f>SUMIFS('июнь 2025'!$G$5:$G$2470,'июнь 2025'!$D$5:$D$2470,$B162,'июнь 2025'!$J$5:$J$2470,T$1)</f>
        <v>0</v>
      </c>
      <c r="U162" s="183">
        <f>SUMIFS('июнь 2025'!$G$5:$G$2470,'июнь 2025'!$D$5:$D$2470,$B162,'июнь 2025'!$J$5:$J$2470,U$1)</f>
        <v>0</v>
      </c>
      <c r="V162" s="183">
        <f>SUMIFS('июнь 2025'!$G$5:$G$2470,'июнь 2025'!$D$5:$D$2470,$B162,'июнь 2025'!$J$5:$J$2470,V$1)</f>
        <v>0</v>
      </c>
      <c r="W162" s="183">
        <f>SUMIFS('июнь 2025'!$G$5:$G$2470,'июнь 2025'!$D$5:$D$2470,$B162,'июнь 2025'!$J$5:$J$2470,W$1)</f>
        <v>0</v>
      </c>
      <c r="X162" s="183">
        <f>SUMIFS('июнь 2025'!$G$5:$G$2470,'июнь 2025'!$D$5:$D$2470,$B162,'июнь 2025'!$J$5:$J$2470,X$1)</f>
        <v>0</v>
      </c>
      <c r="Y162" s="183">
        <f>SUMIFS('июнь 2025'!$G$5:$G$2470,'июнь 2025'!$D$5:$D$2470,$B162,'июнь 2025'!$J$5:$J$2470,Y$1)</f>
        <v>0</v>
      </c>
      <c r="Z162" s="183">
        <f>SUMIFS('июнь 2025'!$G$5:$G$2470,'июнь 2025'!$D$5:$D$2470,$B162,'июнь 2025'!$J$5:$J$2470,Z$1)</f>
        <v>0</v>
      </c>
      <c r="AA162" s="183">
        <f>SUMIFS('июнь 2025'!$G$5:$G$2470,'июнь 2025'!$D$5:$D$2470,$B162,'июнь 2025'!$J$5:$J$2470,AA$1)</f>
        <v>0</v>
      </c>
      <c r="AB162" s="183">
        <f>SUMIFS('июнь 2025'!$G$5:$G$2470,'июнь 2025'!$D$5:$D$2470,$B162,'июнь 2025'!$J$5:$J$2470,AB$1)</f>
        <v>0</v>
      </c>
      <c r="AC162" s="183">
        <f>SUMIFS('июнь 2025'!$G$5:$G$2470,'июнь 2025'!$D$5:$D$2470,$B162,'июнь 2025'!$J$5:$J$2470,AC$1)</f>
        <v>0</v>
      </c>
      <c r="AD162" s="183">
        <f>SUMIFS('июнь 2025'!$G$5:$G$2470,'июнь 2025'!$D$5:$D$2470,$B162,'июнь 2025'!$J$5:$J$2470,AD$1)</f>
        <v>0</v>
      </c>
      <c r="AE162" s="183">
        <f>SUMIFS('июнь 2025'!$G$5:$G$2470,'июнь 2025'!$D$5:$D$2470,$B162,'июнь 2025'!$J$5:$J$2470,AE$1)</f>
        <v>0</v>
      </c>
      <c r="AF162" s="183">
        <f>SUMIFS('июнь 2025'!$G$5:$G$2470,'июнь 2025'!$D$5:$D$2470,$B162,'июнь 2025'!$J$5:$J$2470,AF$1)</f>
        <v>0</v>
      </c>
      <c r="AG162" s="183">
        <f>SUMIFS('июнь 2025'!$G$5:$G$2470,'июнь 2025'!$D$5:$D$2470,$B162,'июнь 2025'!$J$5:$J$2470,AG$1)</f>
        <v>0</v>
      </c>
      <c r="AH162" s="183">
        <f>SUMIFS('июнь 2025'!$G$5:$G$2470,'июнь 2025'!$D$5:$D$2470,$B162,'июнь 2025'!$J$5:$J$2470,AH$1)</f>
        <v>0</v>
      </c>
      <c r="AI162" s="20">
        <f t="shared" si="1"/>
        <v>0</v>
      </c>
    </row>
    <row r="163" spans="2:35" ht="15" customHeight="1" x14ac:dyDescent="0.25">
      <c r="B163" s="84" t="s">
        <v>201</v>
      </c>
      <c r="C163" s="83">
        <v>25</v>
      </c>
      <c r="D163" s="183">
        <f>SUMIFS('июнь 2025'!$G$5:$G$2470,'июнь 2025'!$D$5:$D$2470,$B163,'июнь 2025'!$J$5:$J$2470,D$1)</f>
        <v>0</v>
      </c>
      <c r="E163" s="183">
        <f>SUMIFS('июнь 2025'!$G$5:$G$2470,'июнь 2025'!$D$5:$D$2470,$B163,'июнь 2025'!$J$5:$J$2470,E$1)</f>
        <v>0</v>
      </c>
      <c r="F163" s="183">
        <f>SUMIFS('июнь 2025'!$G$5:$G$2470,'июнь 2025'!$D$5:$D$2470,$B163,'июнь 2025'!$J$5:$J$2470,F$1)</f>
        <v>0</v>
      </c>
      <c r="G163" s="183">
        <f>SUMIFS('июнь 2025'!$G$5:$G$2470,'июнь 2025'!$D$5:$D$2470,$B163,'июнь 2025'!$J$5:$J$2470,G$1)</f>
        <v>0</v>
      </c>
      <c r="H163" s="183">
        <f>SUMIFS('июнь 2025'!$G$5:$G$2470,'июнь 2025'!$D$5:$D$2470,$B163,'июнь 2025'!$J$5:$J$2470,H$1)</f>
        <v>0</v>
      </c>
      <c r="I163" s="183">
        <f>SUMIFS('июнь 2025'!$G$5:$G$2470,'июнь 2025'!$D$5:$D$2470,$B163,'июнь 2025'!$J$5:$J$2470,I$1)</f>
        <v>0</v>
      </c>
      <c r="J163" s="183">
        <f>SUMIFS('июнь 2025'!$G$5:$G$2470,'июнь 2025'!$D$5:$D$2470,$B163,'июнь 2025'!$J$5:$J$2470,J$1)</f>
        <v>0</v>
      </c>
      <c r="K163" s="183">
        <f>SUMIFS('июнь 2025'!$G$5:$G$2470,'июнь 2025'!$D$5:$D$2470,$B163,'июнь 2025'!$J$5:$J$2470,K$1)</f>
        <v>0</v>
      </c>
      <c r="L163" s="183">
        <f>SUMIFS('июнь 2025'!$G$5:$G$2470,'июнь 2025'!$D$5:$D$2470,$B163,'июнь 2025'!$J$5:$J$2470,L$1)</f>
        <v>0</v>
      </c>
      <c r="M163" s="183">
        <f>SUMIFS('июнь 2025'!$G$5:$G$2470,'июнь 2025'!$D$5:$D$2470,$B163,'июнь 2025'!$J$5:$J$2470,M$1)</f>
        <v>0</v>
      </c>
      <c r="N163" s="183">
        <f>SUMIFS('июнь 2025'!$G$5:$G$2470,'июнь 2025'!$D$5:$D$2470,$B163,'июнь 2025'!$J$5:$J$2470,N$1)</f>
        <v>0</v>
      </c>
      <c r="O163" s="183">
        <f>SUMIFS('июнь 2025'!$G$5:$G$2470,'июнь 2025'!$D$5:$D$2470,$B163,'июнь 2025'!$J$5:$J$2470,O$1)</f>
        <v>0</v>
      </c>
      <c r="P163" s="183">
        <f>SUMIFS('июнь 2025'!$G$5:$G$2470,'июнь 2025'!$D$5:$D$2470,$B163,'июнь 2025'!$J$5:$J$2470,P$1)</f>
        <v>0</v>
      </c>
      <c r="Q163" s="183">
        <f>SUMIFS('июнь 2025'!$G$5:$G$2470,'июнь 2025'!$D$5:$D$2470,$B163,'июнь 2025'!$J$5:$J$2470,Q$1)</f>
        <v>0</v>
      </c>
      <c r="R163" s="183">
        <f>SUMIFS('июнь 2025'!$G$5:$G$2470,'июнь 2025'!$D$5:$D$2470,$B163,'июнь 2025'!$J$5:$J$2470,R$1)</f>
        <v>0</v>
      </c>
      <c r="S163" s="183">
        <f>SUMIFS('июнь 2025'!$G$5:$G$2470,'июнь 2025'!$D$5:$D$2470,$B163,'июнь 2025'!$J$5:$J$2470,S$1)</f>
        <v>0</v>
      </c>
      <c r="T163" s="183">
        <f>SUMIFS('июнь 2025'!$G$5:$G$2470,'июнь 2025'!$D$5:$D$2470,$B163,'июнь 2025'!$J$5:$J$2470,T$1)</f>
        <v>0</v>
      </c>
      <c r="U163" s="183">
        <f>SUMIFS('июнь 2025'!$G$5:$G$2470,'июнь 2025'!$D$5:$D$2470,$B163,'июнь 2025'!$J$5:$J$2470,U$1)</f>
        <v>0</v>
      </c>
      <c r="V163" s="183">
        <f>SUMIFS('июнь 2025'!$G$5:$G$2470,'июнь 2025'!$D$5:$D$2470,$B163,'июнь 2025'!$J$5:$J$2470,V$1)</f>
        <v>0</v>
      </c>
      <c r="W163" s="183">
        <f>SUMIFS('июнь 2025'!$G$5:$G$2470,'июнь 2025'!$D$5:$D$2470,$B163,'июнь 2025'!$J$5:$J$2470,W$1)</f>
        <v>0</v>
      </c>
      <c r="X163" s="183">
        <f>SUMIFS('июнь 2025'!$G$5:$G$2470,'июнь 2025'!$D$5:$D$2470,$B163,'июнь 2025'!$J$5:$J$2470,X$1)</f>
        <v>0</v>
      </c>
      <c r="Y163" s="183">
        <f>SUMIFS('июнь 2025'!$G$5:$G$2470,'июнь 2025'!$D$5:$D$2470,$B163,'июнь 2025'!$J$5:$J$2470,Y$1)</f>
        <v>0</v>
      </c>
      <c r="Z163" s="183">
        <f>SUMIFS('июнь 2025'!$G$5:$G$2470,'июнь 2025'!$D$5:$D$2470,$B163,'июнь 2025'!$J$5:$J$2470,Z$1)</f>
        <v>0</v>
      </c>
      <c r="AA163" s="183">
        <f>SUMIFS('июнь 2025'!$G$5:$G$2470,'июнь 2025'!$D$5:$D$2470,$B163,'июнь 2025'!$J$5:$J$2470,AA$1)</f>
        <v>0</v>
      </c>
      <c r="AB163" s="183">
        <f>SUMIFS('июнь 2025'!$G$5:$G$2470,'июнь 2025'!$D$5:$D$2470,$B163,'июнь 2025'!$J$5:$J$2470,AB$1)</f>
        <v>0</v>
      </c>
      <c r="AC163" s="183">
        <f>SUMIFS('июнь 2025'!$G$5:$G$2470,'июнь 2025'!$D$5:$D$2470,$B163,'июнь 2025'!$J$5:$J$2470,AC$1)</f>
        <v>0</v>
      </c>
      <c r="AD163" s="183">
        <f>SUMIFS('июнь 2025'!$G$5:$G$2470,'июнь 2025'!$D$5:$D$2470,$B163,'июнь 2025'!$J$5:$J$2470,AD$1)</f>
        <v>0</v>
      </c>
      <c r="AE163" s="183">
        <f>SUMIFS('июнь 2025'!$G$5:$G$2470,'июнь 2025'!$D$5:$D$2470,$B163,'июнь 2025'!$J$5:$J$2470,AE$1)</f>
        <v>0</v>
      </c>
      <c r="AF163" s="183">
        <f>SUMIFS('июнь 2025'!$G$5:$G$2470,'июнь 2025'!$D$5:$D$2470,$B163,'июнь 2025'!$J$5:$J$2470,AF$1)</f>
        <v>0</v>
      </c>
      <c r="AG163" s="183">
        <f>SUMIFS('июнь 2025'!$G$5:$G$2470,'июнь 2025'!$D$5:$D$2470,$B163,'июнь 2025'!$J$5:$J$2470,AG$1)</f>
        <v>0</v>
      </c>
      <c r="AH163" s="183">
        <f>SUMIFS('июнь 2025'!$G$5:$G$2470,'июнь 2025'!$D$5:$D$2470,$B163,'июнь 2025'!$J$5:$J$2470,AH$1)</f>
        <v>0</v>
      </c>
      <c r="AI163" s="20">
        <f t="shared" si="1"/>
        <v>0</v>
      </c>
    </row>
    <row r="164" spans="2:35" ht="15" customHeight="1" x14ac:dyDescent="0.25">
      <c r="B164" s="84" t="s">
        <v>300</v>
      </c>
      <c r="C164" s="83">
        <v>200</v>
      </c>
      <c r="D164" s="183">
        <f>SUMIFS('июнь 2025'!$G$5:$G$2470,'июнь 2025'!$D$5:$D$2470,$B164,'июнь 2025'!$J$5:$J$2470,D$1)</f>
        <v>0</v>
      </c>
      <c r="E164" s="183">
        <f>SUMIFS('июнь 2025'!$G$5:$G$2470,'июнь 2025'!$D$5:$D$2470,$B164,'июнь 2025'!$J$5:$J$2470,E$1)</f>
        <v>88</v>
      </c>
      <c r="F164" s="183">
        <f>SUMIFS('июнь 2025'!$G$5:$G$2470,'июнь 2025'!$D$5:$D$2470,$B164,'июнь 2025'!$J$5:$J$2470,F$1)</f>
        <v>0</v>
      </c>
      <c r="G164" s="183">
        <f>SUMIFS('июнь 2025'!$G$5:$G$2470,'июнь 2025'!$D$5:$D$2470,$B164,'июнь 2025'!$J$5:$J$2470,G$1)</f>
        <v>0</v>
      </c>
      <c r="H164" s="183">
        <f>SUMIFS('июнь 2025'!$G$5:$G$2470,'июнь 2025'!$D$5:$D$2470,$B164,'июнь 2025'!$J$5:$J$2470,H$1)</f>
        <v>0</v>
      </c>
      <c r="I164" s="183">
        <f>SUMIFS('июнь 2025'!$G$5:$G$2470,'июнь 2025'!$D$5:$D$2470,$B164,'июнь 2025'!$J$5:$J$2470,I$1)</f>
        <v>0</v>
      </c>
      <c r="J164" s="183">
        <f>SUMIFS('июнь 2025'!$G$5:$G$2470,'июнь 2025'!$D$5:$D$2470,$B164,'июнь 2025'!$J$5:$J$2470,J$1)</f>
        <v>0</v>
      </c>
      <c r="K164" s="183">
        <f>SUMIFS('июнь 2025'!$G$5:$G$2470,'июнь 2025'!$D$5:$D$2470,$B164,'июнь 2025'!$J$5:$J$2470,K$1)</f>
        <v>0</v>
      </c>
      <c r="L164" s="183">
        <f>SUMIFS('июнь 2025'!$G$5:$G$2470,'июнь 2025'!$D$5:$D$2470,$B164,'июнь 2025'!$J$5:$J$2470,L$1)</f>
        <v>0</v>
      </c>
      <c r="M164" s="183">
        <f>SUMIFS('июнь 2025'!$G$5:$G$2470,'июнь 2025'!$D$5:$D$2470,$B164,'июнь 2025'!$J$5:$J$2470,M$1)</f>
        <v>0</v>
      </c>
      <c r="N164" s="183">
        <f>SUMIFS('июнь 2025'!$G$5:$G$2470,'июнь 2025'!$D$5:$D$2470,$B164,'июнь 2025'!$J$5:$J$2470,N$1)</f>
        <v>0</v>
      </c>
      <c r="O164" s="183">
        <f>SUMIFS('июнь 2025'!$G$5:$G$2470,'июнь 2025'!$D$5:$D$2470,$B164,'июнь 2025'!$J$5:$J$2470,O$1)</f>
        <v>0</v>
      </c>
      <c r="P164" s="183">
        <f>SUMIFS('июнь 2025'!$G$5:$G$2470,'июнь 2025'!$D$5:$D$2470,$B164,'июнь 2025'!$J$5:$J$2470,P$1)</f>
        <v>0</v>
      </c>
      <c r="Q164" s="183">
        <f>SUMIFS('июнь 2025'!$G$5:$G$2470,'июнь 2025'!$D$5:$D$2470,$B164,'июнь 2025'!$J$5:$J$2470,Q$1)</f>
        <v>0</v>
      </c>
      <c r="R164" s="183">
        <f>SUMIFS('июнь 2025'!$G$5:$G$2470,'июнь 2025'!$D$5:$D$2470,$B164,'июнь 2025'!$J$5:$J$2470,R$1)</f>
        <v>0</v>
      </c>
      <c r="S164" s="183">
        <f>SUMIFS('июнь 2025'!$G$5:$G$2470,'июнь 2025'!$D$5:$D$2470,$B164,'июнь 2025'!$J$5:$J$2470,S$1)</f>
        <v>0</v>
      </c>
      <c r="T164" s="183">
        <f>SUMIFS('июнь 2025'!$G$5:$G$2470,'июнь 2025'!$D$5:$D$2470,$B164,'июнь 2025'!$J$5:$J$2470,T$1)</f>
        <v>0</v>
      </c>
      <c r="U164" s="183">
        <f>SUMIFS('июнь 2025'!$G$5:$G$2470,'июнь 2025'!$D$5:$D$2470,$B164,'июнь 2025'!$J$5:$J$2470,U$1)</f>
        <v>0</v>
      </c>
      <c r="V164" s="183">
        <f>SUMIFS('июнь 2025'!$G$5:$G$2470,'июнь 2025'!$D$5:$D$2470,$B164,'июнь 2025'!$J$5:$J$2470,V$1)</f>
        <v>0</v>
      </c>
      <c r="W164" s="183">
        <f>SUMIFS('июнь 2025'!$G$5:$G$2470,'июнь 2025'!$D$5:$D$2470,$B164,'июнь 2025'!$J$5:$J$2470,W$1)</f>
        <v>0</v>
      </c>
      <c r="X164" s="183">
        <f>SUMIFS('июнь 2025'!$G$5:$G$2470,'июнь 2025'!$D$5:$D$2470,$B164,'июнь 2025'!$J$5:$J$2470,X$1)</f>
        <v>0</v>
      </c>
      <c r="Y164" s="183">
        <f>SUMIFS('июнь 2025'!$G$5:$G$2470,'июнь 2025'!$D$5:$D$2470,$B164,'июнь 2025'!$J$5:$J$2470,Y$1)</f>
        <v>0</v>
      </c>
      <c r="Z164" s="183">
        <f>SUMIFS('июнь 2025'!$G$5:$G$2470,'июнь 2025'!$D$5:$D$2470,$B164,'июнь 2025'!$J$5:$J$2470,Z$1)</f>
        <v>0</v>
      </c>
      <c r="AA164" s="183">
        <f>SUMIFS('июнь 2025'!$G$5:$G$2470,'июнь 2025'!$D$5:$D$2470,$B164,'июнь 2025'!$J$5:$J$2470,AA$1)</f>
        <v>0</v>
      </c>
      <c r="AB164" s="183">
        <f>SUMIFS('июнь 2025'!$G$5:$G$2470,'июнь 2025'!$D$5:$D$2470,$B164,'июнь 2025'!$J$5:$J$2470,AB$1)</f>
        <v>0</v>
      </c>
      <c r="AC164" s="183">
        <f>SUMIFS('июнь 2025'!$G$5:$G$2470,'июнь 2025'!$D$5:$D$2470,$B164,'июнь 2025'!$J$5:$J$2470,AC$1)</f>
        <v>0</v>
      </c>
      <c r="AD164" s="183">
        <f>SUMIFS('июнь 2025'!$G$5:$G$2470,'июнь 2025'!$D$5:$D$2470,$B164,'июнь 2025'!$J$5:$J$2470,AD$1)</f>
        <v>0</v>
      </c>
      <c r="AE164" s="183">
        <f>SUMIFS('июнь 2025'!$G$5:$G$2470,'июнь 2025'!$D$5:$D$2470,$B164,'июнь 2025'!$J$5:$J$2470,AE$1)</f>
        <v>0</v>
      </c>
      <c r="AF164" s="183">
        <f>SUMIFS('июнь 2025'!$G$5:$G$2470,'июнь 2025'!$D$5:$D$2470,$B164,'июнь 2025'!$J$5:$J$2470,AF$1)</f>
        <v>0</v>
      </c>
      <c r="AG164" s="183">
        <f>SUMIFS('июнь 2025'!$G$5:$G$2470,'июнь 2025'!$D$5:$D$2470,$B164,'июнь 2025'!$J$5:$J$2470,AG$1)</f>
        <v>0</v>
      </c>
      <c r="AH164" s="183">
        <f>SUMIFS('июнь 2025'!$G$5:$G$2470,'июнь 2025'!$D$5:$D$2470,$B164,'июнь 2025'!$J$5:$J$2470,AH$1)</f>
        <v>0</v>
      </c>
      <c r="AI164" s="20">
        <f>SUM(D164:AH164)</f>
        <v>88</v>
      </c>
    </row>
    <row r="165" spans="2:35" ht="15" customHeight="1" x14ac:dyDescent="0.25">
      <c r="B165" s="84" t="s">
        <v>307</v>
      </c>
      <c r="C165" s="83">
        <v>175</v>
      </c>
      <c r="D165" s="183">
        <f>SUMIFS('июнь 2025'!$G$5:$G$2470,'июнь 2025'!$D$5:$D$2470,$B165,'июнь 2025'!$J$5:$J$2470,D$1)</f>
        <v>0</v>
      </c>
      <c r="E165" s="183">
        <f>SUMIFS('июнь 2025'!$G$5:$G$2470,'июнь 2025'!$D$5:$D$2470,$B165,'июнь 2025'!$J$5:$J$2470,E$1)</f>
        <v>0</v>
      </c>
      <c r="F165" s="183">
        <f>SUMIFS('июнь 2025'!$G$5:$G$2470,'июнь 2025'!$D$5:$D$2470,$B165,'июнь 2025'!$J$5:$J$2470,F$1)</f>
        <v>0</v>
      </c>
      <c r="G165" s="183">
        <f>SUMIFS('июнь 2025'!$G$5:$G$2470,'июнь 2025'!$D$5:$D$2470,$B165,'июнь 2025'!$J$5:$J$2470,G$1)</f>
        <v>0</v>
      </c>
      <c r="H165" s="183">
        <f>SUMIFS('июнь 2025'!$G$5:$G$2470,'июнь 2025'!$D$5:$D$2470,$B165,'июнь 2025'!$J$5:$J$2470,H$1)</f>
        <v>0</v>
      </c>
      <c r="I165" s="183">
        <f>SUMIFS('июнь 2025'!$G$5:$G$2470,'июнь 2025'!$D$5:$D$2470,$B165,'июнь 2025'!$J$5:$J$2470,I$1)</f>
        <v>0</v>
      </c>
      <c r="J165" s="183">
        <f>SUMIFS('июнь 2025'!$G$5:$G$2470,'июнь 2025'!$D$5:$D$2470,$B165,'июнь 2025'!$J$5:$J$2470,J$1)</f>
        <v>0</v>
      </c>
      <c r="K165" s="183">
        <f>SUMIFS('июнь 2025'!$G$5:$G$2470,'июнь 2025'!$D$5:$D$2470,$B165,'июнь 2025'!$J$5:$J$2470,K$1)</f>
        <v>0</v>
      </c>
      <c r="L165" s="183">
        <f>SUMIFS('июнь 2025'!$G$5:$G$2470,'июнь 2025'!$D$5:$D$2470,$B165,'июнь 2025'!$J$5:$J$2470,L$1)</f>
        <v>0</v>
      </c>
      <c r="M165" s="183">
        <f>SUMIFS('июнь 2025'!$G$5:$G$2470,'июнь 2025'!$D$5:$D$2470,$B165,'июнь 2025'!$J$5:$J$2470,M$1)</f>
        <v>0</v>
      </c>
      <c r="N165" s="183">
        <f>SUMIFS('июнь 2025'!$G$5:$G$2470,'июнь 2025'!$D$5:$D$2470,$B165,'июнь 2025'!$J$5:$J$2470,N$1)</f>
        <v>0</v>
      </c>
      <c r="O165" s="183">
        <f>SUMIFS('июнь 2025'!$G$5:$G$2470,'июнь 2025'!$D$5:$D$2470,$B165,'июнь 2025'!$J$5:$J$2470,O$1)</f>
        <v>0</v>
      </c>
      <c r="P165" s="183">
        <f>SUMIFS('июнь 2025'!$G$5:$G$2470,'июнь 2025'!$D$5:$D$2470,$B165,'июнь 2025'!$J$5:$J$2470,P$1)</f>
        <v>0</v>
      </c>
      <c r="Q165" s="183">
        <f>SUMIFS('июнь 2025'!$G$5:$G$2470,'июнь 2025'!$D$5:$D$2470,$B165,'июнь 2025'!$J$5:$J$2470,Q$1)</f>
        <v>0</v>
      </c>
      <c r="R165" s="183">
        <f>SUMIFS('июнь 2025'!$G$5:$G$2470,'июнь 2025'!$D$5:$D$2470,$B165,'июнь 2025'!$J$5:$J$2470,R$1)</f>
        <v>0</v>
      </c>
      <c r="S165" s="183">
        <f>SUMIFS('июнь 2025'!$G$5:$G$2470,'июнь 2025'!$D$5:$D$2470,$B165,'июнь 2025'!$J$5:$J$2470,S$1)</f>
        <v>0</v>
      </c>
      <c r="T165" s="183">
        <f>SUMIFS('июнь 2025'!$G$5:$G$2470,'июнь 2025'!$D$5:$D$2470,$B165,'июнь 2025'!$J$5:$J$2470,T$1)</f>
        <v>0</v>
      </c>
      <c r="U165" s="183">
        <f>SUMIFS('июнь 2025'!$G$5:$G$2470,'июнь 2025'!$D$5:$D$2470,$B165,'июнь 2025'!$J$5:$J$2470,U$1)</f>
        <v>0</v>
      </c>
      <c r="V165" s="183">
        <f>SUMIFS('июнь 2025'!$G$5:$G$2470,'июнь 2025'!$D$5:$D$2470,$B165,'июнь 2025'!$J$5:$J$2470,V$1)</f>
        <v>0</v>
      </c>
      <c r="W165" s="183">
        <f>SUMIFS('июнь 2025'!$G$5:$G$2470,'июнь 2025'!$D$5:$D$2470,$B165,'июнь 2025'!$J$5:$J$2470,W$1)</f>
        <v>0</v>
      </c>
      <c r="X165" s="183">
        <f>SUMIFS('июнь 2025'!$G$5:$G$2470,'июнь 2025'!$D$5:$D$2470,$B165,'июнь 2025'!$J$5:$J$2470,X$1)</f>
        <v>0</v>
      </c>
      <c r="Y165" s="183">
        <f>SUMIFS('июнь 2025'!$G$5:$G$2470,'июнь 2025'!$D$5:$D$2470,$B165,'июнь 2025'!$J$5:$J$2470,Y$1)</f>
        <v>0</v>
      </c>
      <c r="Z165" s="183">
        <f>SUMIFS('июнь 2025'!$G$5:$G$2470,'июнь 2025'!$D$5:$D$2470,$B165,'июнь 2025'!$J$5:$J$2470,Z$1)</f>
        <v>0</v>
      </c>
      <c r="AA165" s="183">
        <f>SUMIFS('июнь 2025'!$G$5:$G$2470,'июнь 2025'!$D$5:$D$2470,$B165,'июнь 2025'!$J$5:$J$2470,AA$1)</f>
        <v>0</v>
      </c>
      <c r="AB165" s="183">
        <f>SUMIFS('июнь 2025'!$G$5:$G$2470,'июнь 2025'!$D$5:$D$2470,$B165,'июнь 2025'!$J$5:$J$2470,AB$1)</f>
        <v>0</v>
      </c>
      <c r="AC165" s="183">
        <f>SUMIFS('июнь 2025'!$G$5:$G$2470,'июнь 2025'!$D$5:$D$2470,$B165,'июнь 2025'!$J$5:$J$2470,AC$1)</f>
        <v>0</v>
      </c>
      <c r="AD165" s="183">
        <f>SUMIFS('июнь 2025'!$G$5:$G$2470,'июнь 2025'!$D$5:$D$2470,$B165,'июнь 2025'!$J$5:$J$2470,AD$1)</f>
        <v>0</v>
      </c>
      <c r="AE165" s="183">
        <f>SUMIFS('июнь 2025'!$G$5:$G$2470,'июнь 2025'!$D$5:$D$2470,$B165,'июнь 2025'!$J$5:$J$2470,AE$1)</f>
        <v>0</v>
      </c>
      <c r="AF165" s="183">
        <f>SUMIFS('июнь 2025'!$G$5:$G$2470,'июнь 2025'!$D$5:$D$2470,$B165,'июнь 2025'!$J$5:$J$2470,AF$1)</f>
        <v>0</v>
      </c>
      <c r="AG165" s="183">
        <f>SUMIFS('июнь 2025'!$G$5:$G$2470,'июнь 2025'!$D$5:$D$2470,$B165,'июнь 2025'!$J$5:$J$2470,AG$1)</f>
        <v>0</v>
      </c>
      <c r="AH165" s="183">
        <f>SUMIFS('июнь 2025'!$G$5:$G$2470,'июнь 2025'!$D$5:$D$2470,$B165,'июнь 2025'!$J$5:$J$2470,AH$1)</f>
        <v>0</v>
      </c>
      <c r="AI165" s="20">
        <f>SUM(D165:AH165)</f>
        <v>0</v>
      </c>
    </row>
    <row r="166" spans="2:35" ht="15" customHeight="1" x14ac:dyDescent="0.25">
      <c r="B166" s="84" t="s">
        <v>324</v>
      </c>
      <c r="C166" s="83">
        <v>950</v>
      </c>
      <c r="D166" s="183">
        <f>SUMIFS('июнь 2025'!$G$5:$G$2470,'июнь 2025'!$D$5:$D$2470,$B166,'июнь 2025'!$J$5:$J$2470,D$1)</f>
        <v>0</v>
      </c>
      <c r="E166" s="183">
        <f>SUMIFS('июнь 2025'!$G$5:$G$2470,'июнь 2025'!$D$5:$D$2470,$B166,'июнь 2025'!$J$5:$J$2470,E$1)</f>
        <v>0</v>
      </c>
      <c r="F166" s="183">
        <f>SUMIFS('июнь 2025'!$G$5:$G$2470,'июнь 2025'!$D$5:$D$2470,$B166,'июнь 2025'!$J$5:$J$2470,F$1)</f>
        <v>0</v>
      </c>
      <c r="G166" s="183">
        <f>SUMIFS('июнь 2025'!$G$5:$G$2470,'июнь 2025'!$D$5:$D$2470,$B166,'июнь 2025'!$J$5:$J$2470,G$1)</f>
        <v>0</v>
      </c>
      <c r="H166" s="183">
        <f>SUMIFS('июнь 2025'!$G$5:$G$2470,'июнь 2025'!$D$5:$D$2470,$B166,'июнь 2025'!$J$5:$J$2470,H$1)</f>
        <v>0</v>
      </c>
      <c r="I166" s="183">
        <f>SUMIFS('июнь 2025'!$G$5:$G$2470,'июнь 2025'!$D$5:$D$2470,$B166,'июнь 2025'!$J$5:$J$2470,I$1)</f>
        <v>0</v>
      </c>
      <c r="J166" s="183">
        <f>SUMIFS('июнь 2025'!$G$5:$G$2470,'июнь 2025'!$D$5:$D$2470,$B166,'июнь 2025'!$J$5:$J$2470,J$1)</f>
        <v>0</v>
      </c>
      <c r="K166" s="183">
        <f>SUMIFS('июнь 2025'!$G$5:$G$2470,'июнь 2025'!$D$5:$D$2470,$B166,'июнь 2025'!$J$5:$J$2470,K$1)</f>
        <v>0</v>
      </c>
      <c r="L166" s="183">
        <f>SUMIFS('июнь 2025'!$G$5:$G$2470,'июнь 2025'!$D$5:$D$2470,$B166,'июнь 2025'!$J$5:$J$2470,L$1)</f>
        <v>0</v>
      </c>
      <c r="M166" s="183">
        <f>SUMIFS('июнь 2025'!$G$5:$G$2470,'июнь 2025'!$D$5:$D$2470,$B166,'июнь 2025'!$J$5:$J$2470,M$1)</f>
        <v>0</v>
      </c>
      <c r="N166" s="183">
        <f>SUMIFS('июнь 2025'!$G$5:$G$2470,'июнь 2025'!$D$5:$D$2470,$B166,'июнь 2025'!$J$5:$J$2470,N$1)</f>
        <v>0</v>
      </c>
      <c r="O166" s="183">
        <f>SUMIFS('июнь 2025'!$G$5:$G$2470,'июнь 2025'!$D$5:$D$2470,$B166,'июнь 2025'!$J$5:$J$2470,O$1)</f>
        <v>0</v>
      </c>
      <c r="P166" s="183">
        <f>SUMIFS('июнь 2025'!$G$5:$G$2470,'июнь 2025'!$D$5:$D$2470,$B166,'июнь 2025'!$J$5:$J$2470,P$1)</f>
        <v>0</v>
      </c>
      <c r="Q166" s="183">
        <f>SUMIFS('июнь 2025'!$G$5:$G$2470,'июнь 2025'!$D$5:$D$2470,$B166,'июнь 2025'!$J$5:$J$2470,Q$1)</f>
        <v>0</v>
      </c>
      <c r="R166" s="183">
        <f>SUMIFS('июнь 2025'!$G$5:$G$2470,'июнь 2025'!$D$5:$D$2470,$B166,'июнь 2025'!$J$5:$J$2470,R$1)</f>
        <v>0</v>
      </c>
      <c r="S166" s="183">
        <f>SUMIFS('июнь 2025'!$G$5:$G$2470,'июнь 2025'!$D$5:$D$2470,$B166,'июнь 2025'!$J$5:$J$2470,S$1)</f>
        <v>0</v>
      </c>
      <c r="T166" s="183">
        <f>SUMIFS('июнь 2025'!$G$5:$G$2470,'июнь 2025'!$D$5:$D$2470,$B166,'июнь 2025'!$J$5:$J$2470,T$1)</f>
        <v>0</v>
      </c>
      <c r="U166" s="183">
        <f>SUMIFS('июнь 2025'!$G$5:$G$2470,'июнь 2025'!$D$5:$D$2470,$B166,'июнь 2025'!$J$5:$J$2470,U$1)</f>
        <v>0</v>
      </c>
      <c r="V166" s="183">
        <f>SUMIFS('июнь 2025'!$G$5:$G$2470,'июнь 2025'!$D$5:$D$2470,$B166,'июнь 2025'!$J$5:$J$2470,V$1)</f>
        <v>0</v>
      </c>
      <c r="W166" s="183">
        <f>SUMIFS('июнь 2025'!$G$5:$G$2470,'июнь 2025'!$D$5:$D$2470,$B166,'июнь 2025'!$J$5:$J$2470,W$1)</f>
        <v>0</v>
      </c>
      <c r="X166" s="183">
        <f>SUMIFS('июнь 2025'!$G$5:$G$2470,'июнь 2025'!$D$5:$D$2470,$B166,'июнь 2025'!$J$5:$J$2470,X$1)</f>
        <v>0</v>
      </c>
      <c r="Y166" s="183">
        <f>SUMIFS('июнь 2025'!$G$5:$G$2470,'июнь 2025'!$D$5:$D$2470,$B166,'июнь 2025'!$J$5:$J$2470,Y$1)</f>
        <v>0</v>
      </c>
      <c r="Z166" s="183">
        <f>SUMIFS('июнь 2025'!$G$5:$G$2470,'июнь 2025'!$D$5:$D$2470,$B166,'июнь 2025'!$J$5:$J$2470,Z$1)</f>
        <v>0</v>
      </c>
      <c r="AA166" s="183">
        <f>SUMIFS('июнь 2025'!$G$5:$G$2470,'июнь 2025'!$D$5:$D$2470,$B166,'июнь 2025'!$J$5:$J$2470,AA$1)</f>
        <v>0</v>
      </c>
      <c r="AB166" s="183">
        <f>SUMIFS('июнь 2025'!$G$5:$G$2470,'июнь 2025'!$D$5:$D$2470,$B166,'июнь 2025'!$J$5:$J$2470,AB$1)</f>
        <v>0</v>
      </c>
      <c r="AC166" s="183">
        <f>SUMIFS('июнь 2025'!$G$5:$G$2470,'июнь 2025'!$D$5:$D$2470,$B166,'июнь 2025'!$J$5:$J$2470,AC$1)</f>
        <v>0</v>
      </c>
      <c r="AD166" s="183">
        <f>SUMIFS('июнь 2025'!$G$5:$G$2470,'июнь 2025'!$D$5:$D$2470,$B166,'июнь 2025'!$J$5:$J$2470,AD$1)</f>
        <v>0</v>
      </c>
      <c r="AE166" s="183">
        <f>SUMIFS('июнь 2025'!$G$5:$G$2470,'июнь 2025'!$D$5:$D$2470,$B166,'июнь 2025'!$J$5:$J$2470,AE$1)</f>
        <v>0</v>
      </c>
      <c r="AF166" s="183">
        <f>SUMIFS('июнь 2025'!$G$5:$G$2470,'июнь 2025'!$D$5:$D$2470,$B166,'июнь 2025'!$J$5:$J$2470,AF$1)</f>
        <v>0</v>
      </c>
      <c r="AG166" s="183">
        <f>SUMIFS('июнь 2025'!$G$5:$G$2470,'июнь 2025'!$D$5:$D$2470,$B166,'июнь 2025'!$J$5:$J$2470,AG$1)</f>
        <v>0</v>
      </c>
      <c r="AH166" s="183">
        <f>SUMIFS('июнь 2025'!$G$5:$G$2470,'июнь 2025'!$D$5:$D$2470,$B166,'июнь 2025'!$J$5:$J$2470,AH$1)</f>
        <v>0</v>
      </c>
      <c r="AI166" s="20">
        <f t="shared" ref="AI166:AI169" si="5">SUM(D166:AH166)</f>
        <v>0</v>
      </c>
    </row>
    <row r="167" spans="2:35" ht="15" customHeight="1" x14ac:dyDescent="0.25">
      <c r="B167" s="84" t="s">
        <v>322</v>
      </c>
      <c r="C167" s="83">
        <v>200</v>
      </c>
      <c r="D167" s="183">
        <f>SUMIFS('июнь 2025'!$G$5:$G$2470,'июнь 2025'!$D$5:$D$2470,$B167,'июнь 2025'!$J$5:$J$2470,D$1)</f>
        <v>0</v>
      </c>
      <c r="E167" s="183">
        <f>SUMIFS('июнь 2025'!$G$5:$G$2470,'июнь 2025'!$D$5:$D$2470,$B167,'июнь 2025'!$J$5:$J$2470,E$1)</f>
        <v>0</v>
      </c>
      <c r="F167" s="183">
        <f>SUMIFS('июнь 2025'!$G$5:$G$2470,'июнь 2025'!$D$5:$D$2470,$B167,'июнь 2025'!$J$5:$J$2470,F$1)</f>
        <v>0</v>
      </c>
      <c r="G167" s="183">
        <f>SUMIFS('июнь 2025'!$G$5:$G$2470,'июнь 2025'!$D$5:$D$2470,$B167,'июнь 2025'!$J$5:$J$2470,G$1)</f>
        <v>0</v>
      </c>
      <c r="H167" s="183">
        <f>SUMIFS('июнь 2025'!$G$5:$G$2470,'июнь 2025'!$D$5:$D$2470,$B167,'июнь 2025'!$J$5:$J$2470,H$1)</f>
        <v>0</v>
      </c>
      <c r="I167" s="183">
        <f>SUMIFS('июнь 2025'!$G$5:$G$2470,'июнь 2025'!$D$5:$D$2470,$B167,'июнь 2025'!$J$5:$J$2470,I$1)</f>
        <v>0</v>
      </c>
      <c r="J167" s="183">
        <f>SUMIFS('июнь 2025'!$G$5:$G$2470,'июнь 2025'!$D$5:$D$2470,$B167,'июнь 2025'!$J$5:$J$2470,J$1)</f>
        <v>0</v>
      </c>
      <c r="K167" s="183">
        <f>SUMIFS('июнь 2025'!$G$5:$G$2470,'июнь 2025'!$D$5:$D$2470,$B167,'июнь 2025'!$J$5:$J$2470,K$1)</f>
        <v>0</v>
      </c>
      <c r="L167" s="183">
        <f>SUMIFS('июнь 2025'!$G$5:$G$2470,'июнь 2025'!$D$5:$D$2470,$B167,'июнь 2025'!$J$5:$J$2470,L$1)</f>
        <v>0</v>
      </c>
      <c r="M167" s="183">
        <f>SUMIFS('июнь 2025'!$G$5:$G$2470,'июнь 2025'!$D$5:$D$2470,$B167,'июнь 2025'!$J$5:$J$2470,M$1)</f>
        <v>0</v>
      </c>
      <c r="N167" s="183">
        <f>SUMIFS('июнь 2025'!$G$5:$G$2470,'июнь 2025'!$D$5:$D$2470,$B167,'июнь 2025'!$J$5:$J$2470,N$1)</f>
        <v>0</v>
      </c>
      <c r="O167" s="183">
        <f>SUMIFS('июнь 2025'!$G$5:$G$2470,'июнь 2025'!$D$5:$D$2470,$B167,'июнь 2025'!$J$5:$J$2470,O$1)</f>
        <v>0</v>
      </c>
      <c r="P167" s="183">
        <f>SUMIFS('июнь 2025'!$G$5:$G$2470,'июнь 2025'!$D$5:$D$2470,$B167,'июнь 2025'!$J$5:$J$2470,P$1)</f>
        <v>0</v>
      </c>
      <c r="Q167" s="183">
        <f>SUMIFS('июнь 2025'!$G$5:$G$2470,'июнь 2025'!$D$5:$D$2470,$B167,'июнь 2025'!$J$5:$J$2470,Q$1)</f>
        <v>0</v>
      </c>
      <c r="R167" s="183">
        <f>SUMIFS('июнь 2025'!$G$5:$G$2470,'июнь 2025'!$D$5:$D$2470,$B167,'июнь 2025'!$J$5:$J$2470,R$1)</f>
        <v>0</v>
      </c>
      <c r="S167" s="183">
        <f>SUMIFS('июнь 2025'!$G$5:$G$2470,'июнь 2025'!$D$5:$D$2470,$B167,'июнь 2025'!$J$5:$J$2470,S$1)</f>
        <v>0</v>
      </c>
      <c r="T167" s="183">
        <f>SUMIFS('июнь 2025'!$G$5:$G$2470,'июнь 2025'!$D$5:$D$2470,$B167,'июнь 2025'!$J$5:$J$2470,T$1)</f>
        <v>0</v>
      </c>
      <c r="U167" s="183">
        <f>SUMIFS('июнь 2025'!$G$5:$G$2470,'июнь 2025'!$D$5:$D$2470,$B167,'июнь 2025'!$J$5:$J$2470,U$1)</f>
        <v>0</v>
      </c>
      <c r="V167" s="183">
        <f>SUMIFS('июнь 2025'!$G$5:$G$2470,'июнь 2025'!$D$5:$D$2470,$B167,'июнь 2025'!$J$5:$J$2470,V$1)</f>
        <v>0</v>
      </c>
      <c r="W167" s="183">
        <f>SUMIFS('июнь 2025'!$G$5:$G$2470,'июнь 2025'!$D$5:$D$2470,$B167,'июнь 2025'!$J$5:$J$2470,W$1)</f>
        <v>0</v>
      </c>
      <c r="X167" s="183">
        <f>SUMIFS('июнь 2025'!$G$5:$G$2470,'июнь 2025'!$D$5:$D$2470,$B167,'июнь 2025'!$J$5:$J$2470,X$1)</f>
        <v>0</v>
      </c>
      <c r="Y167" s="183">
        <f>SUMIFS('июнь 2025'!$G$5:$G$2470,'июнь 2025'!$D$5:$D$2470,$B167,'июнь 2025'!$J$5:$J$2470,Y$1)</f>
        <v>0</v>
      </c>
      <c r="Z167" s="183">
        <f>SUMIFS('июнь 2025'!$G$5:$G$2470,'июнь 2025'!$D$5:$D$2470,$B167,'июнь 2025'!$J$5:$J$2470,Z$1)</f>
        <v>0</v>
      </c>
      <c r="AA167" s="183">
        <f>SUMIFS('июнь 2025'!$G$5:$G$2470,'июнь 2025'!$D$5:$D$2470,$B167,'июнь 2025'!$J$5:$J$2470,AA$1)</f>
        <v>0</v>
      </c>
      <c r="AB167" s="183">
        <f>SUMIFS('июнь 2025'!$G$5:$G$2470,'июнь 2025'!$D$5:$D$2470,$B167,'июнь 2025'!$J$5:$J$2470,AB$1)</f>
        <v>0</v>
      </c>
      <c r="AC167" s="183">
        <f>SUMIFS('июнь 2025'!$G$5:$G$2470,'июнь 2025'!$D$5:$D$2470,$B167,'июнь 2025'!$J$5:$J$2470,AC$1)</f>
        <v>0</v>
      </c>
      <c r="AD167" s="183">
        <f>SUMIFS('июнь 2025'!$G$5:$G$2470,'июнь 2025'!$D$5:$D$2470,$B167,'июнь 2025'!$J$5:$J$2470,AD$1)</f>
        <v>0</v>
      </c>
      <c r="AE167" s="183">
        <f>SUMIFS('июнь 2025'!$G$5:$G$2470,'июнь 2025'!$D$5:$D$2470,$B167,'июнь 2025'!$J$5:$J$2470,AE$1)</f>
        <v>0</v>
      </c>
      <c r="AF167" s="183">
        <f>SUMIFS('июнь 2025'!$G$5:$G$2470,'июнь 2025'!$D$5:$D$2470,$B167,'июнь 2025'!$J$5:$J$2470,AF$1)</f>
        <v>0</v>
      </c>
      <c r="AG167" s="183">
        <f>SUMIFS('июнь 2025'!$G$5:$G$2470,'июнь 2025'!$D$5:$D$2470,$B167,'июнь 2025'!$J$5:$J$2470,AG$1)</f>
        <v>0</v>
      </c>
      <c r="AH167" s="183">
        <f>SUMIFS('июнь 2025'!$G$5:$G$2470,'июнь 2025'!$D$5:$D$2470,$B167,'июнь 2025'!$J$5:$J$2470,AH$1)</f>
        <v>0</v>
      </c>
      <c r="AI167" s="20">
        <f t="shared" si="5"/>
        <v>0</v>
      </c>
    </row>
    <row r="168" spans="2:35" ht="15" customHeight="1" x14ac:dyDescent="0.25">
      <c r="B168" s="84" t="s">
        <v>810</v>
      </c>
      <c r="C168" s="83">
        <v>200</v>
      </c>
      <c r="D168" s="183">
        <f>SUMIFS('июнь 2025'!$G$5:$G$2470,'июнь 2025'!$D$5:$D$2470,$B168,'июнь 2025'!$J$5:$J$2470,D$1)</f>
        <v>0</v>
      </c>
      <c r="E168" s="183">
        <f>SUMIFS('июнь 2025'!$G$5:$G$2470,'июнь 2025'!$D$5:$D$2470,$B168,'июнь 2025'!$J$5:$J$2470,E$1)</f>
        <v>0</v>
      </c>
      <c r="F168" s="183">
        <f>SUMIFS('июнь 2025'!$G$5:$G$2470,'июнь 2025'!$D$5:$D$2470,$B168,'июнь 2025'!$J$5:$J$2470,F$1)</f>
        <v>0</v>
      </c>
      <c r="G168" s="183">
        <f>SUMIFS('июнь 2025'!$G$5:$G$2470,'июнь 2025'!$D$5:$D$2470,$B168,'июнь 2025'!$J$5:$J$2470,G$1)</f>
        <v>0</v>
      </c>
      <c r="H168" s="183">
        <f>SUMIFS('июнь 2025'!$G$5:$G$2470,'июнь 2025'!$D$5:$D$2470,$B168,'июнь 2025'!$J$5:$J$2470,H$1)</f>
        <v>0</v>
      </c>
      <c r="I168" s="183">
        <f>SUMIFS('июнь 2025'!$G$5:$G$2470,'июнь 2025'!$D$5:$D$2470,$B168,'июнь 2025'!$J$5:$J$2470,I$1)</f>
        <v>0</v>
      </c>
      <c r="J168" s="183">
        <f>SUMIFS('июнь 2025'!$G$5:$G$2470,'июнь 2025'!$D$5:$D$2470,$B168,'июнь 2025'!$J$5:$J$2470,J$1)</f>
        <v>0</v>
      </c>
      <c r="K168" s="183">
        <f>SUMIFS('июнь 2025'!$G$5:$G$2470,'июнь 2025'!$D$5:$D$2470,$B168,'июнь 2025'!$J$5:$J$2470,K$1)</f>
        <v>0</v>
      </c>
      <c r="L168" s="183">
        <f>SUMIFS('июнь 2025'!$G$5:$G$2470,'июнь 2025'!$D$5:$D$2470,$B168,'июнь 2025'!$J$5:$J$2470,L$1)</f>
        <v>0</v>
      </c>
      <c r="M168" s="183">
        <f>SUMIFS('июнь 2025'!$G$5:$G$2470,'июнь 2025'!$D$5:$D$2470,$B168,'июнь 2025'!$J$5:$J$2470,M$1)</f>
        <v>0</v>
      </c>
      <c r="N168" s="183">
        <f>SUMIFS('июнь 2025'!$G$5:$G$2470,'июнь 2025'!$D$5:$D$2470,$B168,'июнь 2025'!$J$5:$J$2470,N$1)</f>
        <v>0</v>
      </c>
      <c r="O168" s="183">
        <f>SUMIFS('июнь 2025'!$G$5:$G$2470,'июнь 2025'!$D$5:$D$2470,$B168,'июнь 2025'!$J$5:$J$2470,O$1)</f>
        <v>0</v>
      </c>
      <c r="P168" s="183">
        <f>SUMIFS('июнь 2025'!$G$5:$G$2470,'июнь 2025'!$D$5:$D$2470,$B168,'июнь 2025'!$J$5:$J$2470,P$1)</f>
        <v>0</v>
      </c>
      <c r="Q168" s="183">
        <f>SUMIFS('июнь 2025'!$G$5:$G$2470,'июнь 2025'!$D$5:$D$2470,$B168,'июнь 2025'!$J$5:$J$2470,Q$1)</f>
        <v>0</v>
      </c>
      <c r="R168" s="183">
        <f>SUMIFS('июнь 2025'!$G$5:$G$2470,'июнь 2025'!$D$5:$D$2470,$B168,'июнь 2025'!$J$5:$J$2470,R$1)</f>
        <v>0</v>
      </c>
      <c r="S168" s="183">
        <f>SUMIFS('июнь 2025'!$G$5:$G$2470,'июнь 2025'!$D$5:$D$2470,$B168,'июнь 2025'!$J$5:$J$2470,S$1)</f>
        <v>0</v>
      </c>
      <c r="T168" s="183">
        <f>SUMIFS('июнь 2025'!$G$5:$G$2470,'июнь 2025'!$D$5:$D$2470,$B168,'июнь 2025'!$J$5:$J$2470,T$1)</f>
        <v>0</v>
      </c>
      <c r="U168" s="183">
        <f>SUMIFS('июнь 2025'!$G$5:$G$2470,'июнь 2025'!$D$5:$D$2470,$B168,'июнь 2025'!$J$5:$J$2470,U$1)</f>
        <v>0</v>
      </c>
      <c r="V168" s="183">
        <f>SUMIFS('июнь 2025'!$G$5:$G$2470,'июнь 2025'!$D$5:$D$2470,$B168,'июнь 2025'!$J$5:$J$2470,V$1)</f>
        <v>0</v>
      </c>
      <c r="W168" s="183">
        <f>SUMIFS('июнь 2025'!$G$5:$G$2470,'июнь 2025'!$D$5:$D$2470,$B168,'июнь 2025'!$J$5:$J$2470,W$1)</f>
        <v>0</v>
      </c>
      <c r="X168" s="183">
        <f>SUMIFS('июнь 2025'!$G$5:$G$2470,'июнь 2025'!$D$5:$D$2470,$B168,'июнь 2025'!$J$5:$J$2470,X$1)</f>
        <v>0</v>
      </c>
      <c r="Y168" s="183">
        <f>SUMIFS('июнь 2025'!$G$5:$G$2470,'июнь 2025'!$D$5:$D$2470,$B168,'июнь 2025'!$J$5:$J$2470,Y$1)</f>
        <v>0</v>
      </c>
      <c r="Z168" s="183">
        <f>SUMIFS('июнь 2025'!$G$5:$G$2470,'июнь 2025'!$D$5:$D$2470,$B168,'июнь 2025'!$J$5:$J$2470,Z$1)</f>
        <v>0</v>
      </c>
      <c r="AA168" s="183">
        <f>SUMIFS('июнь 2025'!$G$5:$G$2470,'июнь 2025'!$D$5:$D$2470,$B168,'июнь 2025'!$J$5:$J$2470,AA$1)</f>
        <v>0</v>
      </c>
      <c r="AB168" s="183">
        <f>SUMIFS('июнь 2025'!$G$5:$G$2470,'июнь 2025'!$D$5:$D$2470,$B168,'июнь 2025'!$J$5:$J$2470,AB$1)</f>
        <v>0</v>
      </c>
      <c r="AC168" s="183">
        <f>SUMIFS('июнь 2025'!$G$5:$G$2470,'июнь 2025'!$D$5:$D$2470,$B168,'июнь 2025'!$J$5:$J$2470,AC$1)</f>
        <v>0</v>
      </c>
      <c r="AD168" s="183">
        <f>SUMIFS('июнь 2025'!$G$5:$G$2470,'июнь 2025'!$D$5:$D$2470,$B168,'июнь 2025'!$J$5:$J$2470,AD$1)</f>
        <v>0</v>
      </c>
      <c r="AE168" s="183">
        <f>SUMIFS('июнь 2025'!$G$5:$G$2470,'июнь 2025'!$D$5:$D$2470,$B168,'июнь 2025'!$J$5:$J$2470,AE$1)</f>
        <v>0</v>
      </c>
      <c r="AF168" s="183">
        <f>SUMIFS('июнь 2025'!$G$5:$G$2470,'июнь 2025'!$D$5:$D$2470,$B168,'июнь 2025'!$J$5:$J$2470,AF$1)</f>
        <v>0</v>
      </c>
      <c r="AG168" s="183">
        <f>SUMIFS('июнь 2025'!$G$5:$G$2470,'июнь 2025'!$D$5:$D$2470,$B168,'июнь 2025'!$J$5:$J$2470,AG$1)</f>
        <v>0</v>
      </c>
      <c r="AH168" s="183">
        <f>SUMIFS('июнь 2025'!$G$5:$G$2470,'июнь 2025'!$D$5:$D$2470,$B168,'июнь 2025'!$J$5:$J$2470,AH$1)</f>
        <v>0</v>
      </c>
      <c r="AI168" s="20">
        <f t="shared" si="5"/>
        <v>0</v>
      </c>
    </row>
    <row r="169" spans="2:35" ht="15" customHeight="1" x14ac:dyDescent="0.25">
      <c r="B169" s="84" t="s">
        <v>995</v>
      </c>
      <c r="C169" s="83">
        <v>200</v>
      </c>
      <c r="D169" s="183">
        <f>SUMIFS('июнь 2025'!$G$5:$G$2470,'июнь 2025'!$D$5:$D$2470,$B169,'июнь 2025'!$J$5:$J$2470,D$1)</f>
        <v>0</v>
      </c>
      <c r="E169" s="183">
        <f>SUMIFS('июнь 2025'!$G$5:$G$2470,'июнь 2025'!$D$5:$D$2470,$B169,'июнь 2025'!$J$5:$J$2470,E$1)</f>
        <v>0</v>
      </c>
      <c r="F169" s="183">
        <f>SUMIFS('июнь 2025'!$G$5:$G$2470,'июнь 2025'!$D$5:$D$2470,$B169,'июнь 2025'!$J$5:$J$2470,F$1)</f>
        <v>0</v>
      </c>
      <c r="G169" s="183">
        <f>SUMIFS('июнь 2025'!$G$5:$G$2470,'июнь 2025'!$D$5:$D$2470,$B169,'июнь 2025'!$J$5:$J$2470,G$1)</f>
        <v>0</v>
      </c>
      <c r="H169" s="183">
        <f>SUMIFS('июнь 2025'!$G$5:$G$2470,'июнь 2025'!$D$5:$D$2470,$B169,'июнь 2025'!$J$5:$J$2470,H$1)</f>
        <v>0</v>
      </c>
      <c r="I169" s="183">
        <f>SUMIFS('июнь 2025'!$G$5:$G$2470,'июнь 2025'!$D$5:$D$2470,$B169,'июнь 2025'!$J$5:$J$2470,I$1)</f>
        <v>0</v>
      </c>
      <c r="J169" s="183">
        <f>SUMIFS('июнь 2025'!$G$5:$G$2470,'июнь 2025'!$D$5:$D$2470,$B169,'июнь 2025'!$J$5:$J$2470,J$1)</f>
        <v>0</v>
      </c>
      <c r="K169" s="183">
        <f>SUMIFS('июнь 2025'!$G$5:$G$2470,'июнь 2025'!$D$5:$D$2470,$B169,'июнь 2025'!$J$5:$J$2470,K$1)</f>
        <v>0</v>
      </c>
      <c r="L169" s="183">
        <f>SUMIFS('июнь 2025'!$G$5:$G$2470,'июнь 2025'!$D$5:$D$2470,$B169,'июнь 2025'!$J$5:$J$2470,L$1)</f>
        <v>0</v>
      </c>
      <c r="M169" s="183">
        <f>SUMIFS('июнь 2025'!$G$5:$G$2470,'июнь 2025'!$D$5:$D$2470,$B169,'июнь 2025'!$J$5:$J$2470,M$1)</f>
        <v>0</v>
      </c>
      <c r="N169" s="183">
        <f>SUMIFS('июнь 2025'!$G$5:$G$2470,'июнь 2025'!$D$5:$D$2470,$B169,'июнь 2025'!$J$5:$J$2470,N$1)</f>
        <v>0</v>
      </c>
      <c r="O169" s="183">
        <f>SUMIFS('июнь 2025'!$G$5:$G$2470,'июнь 2025'!$D$5:$D$2470,$B169,'июнь 2025'!$J$5:$J$2470,O$1)</f>
        <v>0</v>
      </c>
      <c r="P169" s="183">
        <f>SUMIFS('июнь 2025'!$G$5:$G$2470,'июнь 2025'!$D$5:$D$2470,$B169,'июнь 2025'!$J$5:$J$2470,P$1)</f>
        <v>0</v>
      </c>
      <c r="Q169" s="183">
        <f>SUMIFS('июнь 2025'!$G$5:$G$2470,'июнь 2025'!$D$5:$D$2470,$B169,'июнь 2025'!$J$5:$J$2470,Q$1)</f>
        <v>0</v>
      </c>
      <c r="R169" s="183">
        <f>SUMIFS('июнь 2025'!$G$5:$G$2470,'июнь 2025'!$D$5:$D$2470,$B169,'июнь 2025'!$J$5:$J$2470,R$1)</f>
        <v>0</v>
      </c>
      <c r="S169" s="183">
        <f>SUMIFS('июнь 2025'!$G$5:$G$2470,'июнь 2025'!$D$5:$D$2470,$B169,'июнь 2025'!$J$5:$J$2470,S$1)</f>
        <v>0</v>
      </c>
      <c r="T169" s="183">
        <f>SUMIFS('июнь 2025'!$G$5:$G$2470,'июнь 2025'!$D$5:$D$2470,$B169,'июнь 2025'!$J$5:$J$2470,T$1)</f>
        <v>0</v>
      </c>
      <c r="U169" s="183">
        <f>SUMIFS('июнь 2025'!$G$5:$G$2470,'июнь 2025'!$D$5:$D$2470,$B169,'июнь 2025'!$J$5:$J$2470,U$1)</f>
        <v>0</v>
      </c>
      <c r="V169" s="183">
        <f>SUMIFS('июнь 2025'!$G$5:$G$2470,'июнь 2025'!$D$5:$D$2470,$B169,'июнь 2025'!$J$5:$J$2470,V$1)</f>
        <v>0</v>
      </c>
      <c r="W169" s="183">
        <f>SUMIFS('июнь 2025'!$G$5:$G$2470,'июнь 2025'!$D$5:$D$2470,$B169,'июнь 2025'!$J$5:$J$2470,W$1)</f>
        <v>0</v>
      </c>
      <c r="X169" s="183">
        <f>SUMIFS('июнь 2025'!$G$5:$G$2470,'июнь 2025'!$D$5:$D$2470,$B169,'июнь 2025'!$J$5:$J$2470,X$1)</f>
        <v>0</v>
      </c>
      <c r="Y169" s="183">
        <f>SUMIFS('июнь 2025'!$G$5:$G$2470,'июнь 2025'!$D$5:$D$2470,$B169,'июнь 2025'!$J$5:$J$2470,Y$1)</f>
        <v>0</v>
      </c>
      <c r="Z169" s="183">
        <f>SUMIFS('июнь 2025'!$G$5:$G$2470,'июнь 2025'!$D$5:$D$2470,$B169,'июнь 2025'!$J$5:$J$2470,Z$1)</f>
        <v>0</v>
      </c>
      <c r="AA169" s="183">
        <f>SUMIFS('июнь 2025'!$G$5:$G$2470,'июнь 2025'!$D$5:$D$2470,$B169,'июнь 2025'!$J$5:$J$2470,AA$1)</f>
        <v>0</v>
      </c>
      <c r="AB169" s="183">
        <f>SUMIFS('июнь 2025'!$G$5:$G$2470,'июнь 2025'!$D$5:$D$2470,$B169,'июнь 2025'!$J$5:$J$2470,AB$1)</f>
        <v>0</v>
      </c>
      <c r="AC169" s="183">
        <f>SUMIFS('июнь 2025'!$G$5:$G$2470,'июнь 2025'!$D$5:$D$2470,$B169,'июнь 2025'!$J$5:$J$2470,AC$1)</f>
        <v>0</v>
      </c>
      <c r="AD169" s="183">
        <f>SUMIFS('июнь 2025'!$G$5:$G$2470,'июнь 2025'!$D$5:$D$2470,$B169,'июнь 2025'!$J$5:$J$2470,AD$1)</f>
        <v>0</v>
      </c>
      <c r="AE169" s="183">
        <f>SUMIFS('июнь 2025'!$G$5:$G$2470,'июнь 2025'!$D$5:$D$2470,$B169,'июнь 2025'!$J$5:$J$2470,AE$1)</f>
        <v>0</v>
      </c>
      <c r="AF169" s="183">
        <f>SUMIFS('июнь 2025'!$G$5:$G$2470,'июнь 2025'!$D$5:$D$2470,$B169,'июнь 2025'!$J$5:$J$2470,AF$1)</f>
        <v>0</v>
      </c>
      <c r="AG169" s="183">
        <f>SUMIFS('июнь 2025'!$G$5:$G$2470,'июнь 2025'!$D$5:$D$2470,$B169,'июнь 2025'!$J$5:$J$2470,AG$1)</f>
        <v>0</v>
      </c>
      <c r="AH169" s="183">
        <f>SUMIFS('июнь 2025'!$G$5:$G$2470,'июнь 2025'!$D$5:$D$2470,$B169,'июнь 2025'!$J$5:$J$2470,AH$1)</f>
        <v>0</v>
      </c>
      <c r="AI169" s="20">
        <f t="shared" si="5"/>
        <v>0</v>
      </c>
    </row>
    <row r="170" spans="2:35" ht="15" customHeight="1" x14ac:dyDescent="0.25">
      <c r="B170" s="84"/>
      <c r="C170" s="83"/>
      <c r="D170" s="183">
        <f>SUMIFS('июнь 2025'!$G$5:$G$2470,'июнь 2025'!$D$5:$D$2470,$B170,'июнь 2025'!$J$5:$J$2470,D$1)</f>
        <v>0</v>
      </c>
      <c r="E170" s="183">
        <f>SUMIFS('июнь 2025'!$G$5:$G$2470,'июнь 2025'!$D$5:$D$2470,$B170,'июнь 2025'!$J$5:$J$2470,E$1)</f>
        <v>0</v>
      </c>
      <c r="F170" s="183">
        <f>SUMIFS('июнь 2025'!$G$5:$G$2470,'июнь 2025'!$D$5:$D$2470,$B170,'июнь 2025'!$J$5:$J$2470,F$1)</f>
        <v>0</v>
      </c>
      <c r="G170" s="183">
        <f>SUMIFS('июнь 2025'!$G$5:$G$2470,'июнь 2025'!$D$5:$D$2470,$B170,'июнь 2025'!$J$5:$J$2470,G$1)</f>
        <v>0</v>
      </c>
      <c r="H170" s="183">
        <f>SUMIFS('июнь 2025'!$G$5:$G$2470,'июнь 2025'!$D$5:$D$2470,$B170,'июнь 2025'!$J$5:$J$2470,H$1)</f>
        <v>0</v>
      </c>
      <c r="I170" s="183">
        <f>SUMIFS('июнь 2025'!$G$5:$G$2470,'июнь 2025'!$D$5:$D$2470,$B170,'июнь 2025'!$J$5:$J$2470,I$1)</f>
        <v>0</v>
      </c>
      <c r="J170" s="183">
        <f>SUMIFS('июнь 2025'!$G$5:$G$2470,'июнь 2025'!$D$5:$D$2470,$B170,'июнь 2025'!$J$5:$J$2470,J$1)</f>
        <v>0</v>
      </c>
      <c r="K170" s="183">
        <f>SUMIFS('июнь 2025'!$G$5:$G$2470,'июнь 2025'!$D$5:$D$2470,$B170,'июнь 2025'!$J$5:$J$2470,K$1)</f>
        <v>0</v>
      </c>
      <c r="L170" s="183">
        <f>SUMIFS('июнь 2025'!$G$5:$G$2470,'июнь 2025'!$D$5:$D$2470,$B170,'июнь 2025'!$J$5:$J$2470,L$1)</f>
        <v>0</v>
      </c>
      <c r="M170" s="183">
        <f>SUMIFS('июнь 2025'!$G$5:$G$2470,'июнь 2025'!$D$5:$D$2470,$B170,'июнь 2025'!$J$5:$J$2470,M$1)</f>
        <v>0</v>
      </c>
      <c r="N170" s="183">
        <f>SUMIFS('июнь 2025'!$G$5:$G$2470,'июнь 2025'!$D$5:$D$2470,$B170,'июнь 2025'!$J$5:$J$2470,N$1)</f>
        <v>0</v>
      </c>
      <c r="O170" s="183">
        <f>SUMIFS('июнь 2025'!$G$5:$G$2470,'июнь 2025'!$D$5:$D$2470,$B170,'июнь 2025'!$J$5:$J$2470,O$1)</f>
        <v>0</v>
      </c>
      <c r="P170" s="183">
        <f>SUMIFS('июнь 2025'!$G$5:$G$2470,'июнь 2025'!$D$5:$D$2470,$B170,'июнь 2025'!$J$5:$J$2470,P$1)</f>
        <v>0</v>
      </c>
      <c r="Q170" s="183">
        <f>SUMIFS('июнь 2025'!$G$5:$G$2470,'июнь 2025'!$D$5:$D$2470,$B170,'июнь 2025'!$J$5:$J$2470,Q$1)</f>
        <v>0</v>
      </c>
      <c r="R170" s="183">
        <f>SUMIFS('июнь 2025'!$G$5:$G$2470,'июнь 2025'!$D$5:$D$2470,$B170,'июнь 2025'!$J$5:$J$2470,R$1)</f>
        <v>0</v>
      </c>
      <c r="S170" s="183">
        <f>SUMIFS('июнь 2025'!$G$5:$G$2470,'июнь 2025'!$D$5:$D$2470,$B170,'июнь 2025'!$J$5:$J$2470,S$1)</f>
        <v>0</v>
      </c>
      <c r="T170" s="183">
        <f>SUMIFS('июнь 2025'!$G$5:$G$2470,'июнь 2025'!$D$5:$D$2470,$B170,'июнь 2025'!$J$5:$J$2470,T$1)</f>
        <v>0</v>
      </c>
      <c r="U170" s="183">
        <f>SUMIFS('июнь 2025'!$G$5:$G$2470,'июнь 2025'!$D$5:$D$2470,$B170,'июнь 2025'!$J$5:$J$2470,U$1)</f>
        <v>0</v>
      </c>
      <c r="V170" s="183">
        <f>SUMIFS('июнь 2025'!$G$5:$G$2470,'июнь 2025'!$D$5:$D$2470,$B170,'июнь 2025'!$J$5:$J$2470,V$1)</f>
        <v>0</v>
      </c>
      <c r="W170" s="183">
        <f>SUMIFS('июнь 2025'!$G$5:$G$2470,'июнь 2025'!$D$5:$D$2470,$B170,'июнь 2025'!$J$5:$J$2470,W$1)</f>
        <v>0</v>
      </c>
      <c r="X170" s="183">
        <f>SUMIFS('июнь 2025'!$G$5:$G$2470,'июнь 2025'!$D$5:$D$2470,$B170,'июнь 2025'!$J$5:$J$2470,X$1)</f>
        <v>0</v>
      </c>
      <c r="Y170" s="183">
        <f>SUMIFS('июнь 2025'!$G$5:$G$2470,'июнь 2025'!$D$5:$D$2470,$B170,'июнь 2025'!$J$5:$J$2470,Y$1)</f>
        <v>0</v>
      </c>
      <c r="Z170" s="183">
        <f>SUMIFS('июнь 2025'!$G$5:$G$2470,'июнь 2025'!$D$5:$D$2470,$B170,'июнь 2025'!$J$5:$J$2470,Z$1)</f>
        <v>0</v>
      </c>
      <c r="AA170" s="183">
        <f>SUMIFS('июнь 2025'!$G$5:$G$2470,'июнь 2025'!$D$5:$D$2470,$B170,'июнь 2025'!$J$5:$J$2470,AA$1)</f>
        <v>0</v>
      </c>
      <c r="AB170" s="183">
        <f>SUMIFS('июнь 2025'!$G$5:$G$2470,'июнь 2025'!$D$5:$D$2470,$B170,'июнь 2025'!$J$5:$J$2470,AB$1)</f>
        <v>0</v>
      </c>
      <c r="AC170" s="183">
        <f>SUMIFS('июнь 2025'!$G$5:$G$2470,'июнь 2025'!$D$5:$D$2470,$B170,'июнь 2025'!$J$5:$J$2470,AC$1)</f>
        <v>0</v>
      </c>
      <c r="AD170" s="183">
        <f>SUMIFS('июнь 2025'!$G$5:$G$2470,'июнь 2025'!$D$5:$D$2470,$B170,'июнь 2025'!$J$5:$J$2470,AD$1)</f>
        <v>0</v>
      </c>
      <c r="AE170" s="183">
        <f>SUMIFS('июнь 2025'!$G$5:$G$2470,'июнь 2025'!$D$5:$D$2470,$B170,'июнь 2025'!$J$5:$J$2470,AE$1)</f>
        <v>0</v>
      </c>
      <c r="AF170" s="183">
        <f>SUMIFS('июнь 2025'!$G$5:$G$2470,'июнь 2025'!$D$5:$D$2470,$B170,'июнь 2025'!$J$5:$J$2470,AF$1)</f>
        <v>0</v>
      </c>
      <c r="AG170" s="183">
        <f>SUMIFS('июнь 2025'!$G$5:$G$2470,'июнь 2025'!$D$5:$D$2470,$B170,'июнь 2025'!$J$5:$J$2470,AG$1)</f>
        <v>0</v>
      </c>
      <c r="AH170" s="183">
        <f>SUMIFS('июнь 2025'!$G$5:$G$2470,'июнь 2025'!$D$5:$D$2470,$B170,'июнь 2025'!$J$5:$J$2470,AH$1)</f>
        <v>0</v>
      </c>
      <c r="AI170" s="20"/>
    </row>
    <row r="171" spans="2:35" ht="15" customHeight="1" x14ac:dyDescent="0.25">
      <c r="B171" s="84"/>
      <c r="C171" s="83"/>
      <c r="D171" s="183">
        <f>SUMIFS('июнь 2025'!$G$5:$G$2470,'июнь 2025'!$D$5:$D$2470,$B171,'июнь 2025'!$J$5:$J$2470,D$1)</f>
        <v>0</v>
      </c>
      <c r="E171" s="183">
        <f>SUMIFS('июнь 2025'!$G$5:$G$2470,'июнь 2025'!$D$5:$D$2470,$B171,'июнь 2025'!$J$5:$J$2470,E$1)</f>
        <v>0</v>
      </c>
      <c r="F171" s="183">
        <f>SUMIFS('июнь 2025'!$G$5:$G$2470,'июнь 2025'!$D$5:$D$2470,$B171,'июнь 2025'!$J$5:$J$2470,F$1)</f>
        <v>0</v>
      </c>
      <c r="G171" s="183">
        <f>SUMIFS('июнь 2025'!$G$5:$G$2470,'июнь 2025'!$D$5:$D$2470,$B171,'июнь 2025'!$J$5:$J$2470,G$1)</f>
        <v>0</v>
      </c>
      <c r="H171" s="183">
        <f>SUMIFS('июнь 2025'!$G$5:$G$2470,'июнь 2025'!$D$5:$D$2470,$B171,'июнь 2025'!$J$5:$J$2470,H$1)</f>
        <v>0</v>
      </c>
      <c r="I171" s="183">
        <f>SUMIFS('июнь 2025'!$G$5:$G$2470,'июнь 2025'!$D$5:$D$2470,$B171,'июнь 2025'!$J$5:$J$2470,I$1)</f>
        <v>0</v>
      </c>
      <c r="J171" s="183">
        <f>SUMIFS('июнь 2025'!$G$5:$G$2470,'июнь 2025'!$D$5:$D$2470,$B171,'июнь 2025'!$J$5:$J$2470,J$1)</f>
        <v>0</v>
      </c>
      <c r="K171" s="183">
        <f>SUMIFS('июнь 2025'!$G$5:$G$2470,'июнь 2025'!$D$5:$D$2470,$B171,'июнь 2025'!$J$5:$J$2470,K$1)</f>
        <v>0</v>
      </c>
      <c r="L171" s="183">
        <f>SUMIFS('июнь 2025'!$G$5:$G$2470,'июнь 2025'!$D$5:$D$2470,$B171,'июнь 2025'!$J$5:$J$2470,L$1)</f>
        <v>0</v>
      </c>
      <c r="M171" s="183">
        <f>SUMIFS('июнь 2025'!$G$5:$G$2470,'июнь 2025'!$D$5:$D$2470,$B171,'июнь 2025'!$J$5:$J$2470,M$1)</f>
        <v>0</v>
      </c>
      <c r="N171" s="183">
        <f>SUMIFS('июнь 2025'!$G$5:$G$2470,'июнь 2025'!$D$5:$D$2470,$B171,'июнь 2025'!$J$5:$J$2470,N$1)</f>
        <v>0</v>
      </c>
      <c r="O171" s="183">
        <f>SUMIFS('июнь 2025'!$G$5:$G$2470,'июнь 2025'!$D$5:$D$2470,$B171,'июнь 2025'!$J$5:$J$2470,O$1)</f>
        <v>0</v>
      </c>
      <c r="P171" s="183">
        <f>SUMIFS('июнь 2025'!$G$5:$G$2470,'июнь 2025'!$D$5:$D$2470,$B171,'июнь 2025'!$J$5:$J$2470,P$1)</f>
        <v>0</v>
      </c>
      <c r="Q171" s="183">
        <f>SUMIFS('июнь 2025'!$G$5:$G$2470,'июнь 2025'!$D$5:$D$2470,$B171,'июнь 2025'!$J$5:$J$2470,Q$1)</f>
        <v>0</v>
      </c>
      <c r="R171" s="183">
        <f>SUMIFS('июнь 2025'!$G$5:$G$2470,'июнь 2025'!$D$5:$D$2470,$B171,'июнь 2025'!$J$5:$J$2470,R$1)</f>
        <v>0</v>
      </c>
      <c r="S171" s="183">
        <f>SUMIFS('июнь 2025'!$G$5:$G$2470,'июнь 2025'!$D$5:$D$2470,$B171,'июнь 2025'!$J$5:$J$2470,S$1)</f>
        <v>0</v>
      </c>
      <c r="T171" s="183">
        <f>SUMIFS('июнь 2025'!$G$5:$G$2470,'июнь 2025'!$D$5:$D$2470,$B171,'июнь 2025'!$J$5:$J$2470,T$1)</f>
        <v>0</v>
      </c>
      <c r="U171" s="183">
        <f>SUMIFS('июнь 2025'!$G$5:$G$2470,'июнь 2025'!$D$5:$D$2470,$B171,'июнь 2025'!$J$5:$J$2470,U$1)</f>
        <v>0</v>
      </c>
      <c r="V171" s="183">
        <f>SUMIFS('июнь 2025'!$G$5:$G$2470,'июнь 2025'!$D$5:$D$2470,$B171,'июнь 2025'!$J$5:$J$2470,V$1)</f>
        <v>0</v>
      </c>
      <c r="W171" s="183">
        <f>SUMIFS('июнь 2025'!$G$5:$G$2470,'июнь 2025'!$D$5:$D$2470,$B171,'июнь 2025'!$J$5:$J$2470,W$1)</f>
        <v>0</v>
      </c>
      <c r="X171" s="183">
        <f>SUMIFS('июнь 2025'!$G$5:$G$2470,'июнь 2025'!$D$5:$D$2470,$B171,'июнь 2025'!$J$5:$J$2470,X$1)</f>
        <v>0</v>
      </c>
      <c r="Y171" s="183">
        <f>SUMIFS('июнь 2025'!$G$5:$G$2470,'июнь 2025'!$D$5:$D$2470,$B171,'июнь 2025'!$J$5:$J$2470,Y$1)</f>
        <v>0</v>
      </c>
      <c r="Z171" s="183">
        <f>SUMIFS('июнь 2025'!$G$5:$G$2470,'июнь 2025'!$D$5:$D$2470,$B171,'июнь 2025'!$J$5:$J$2470,Z$1)</f>
        <v>0</v>
      </c>
      <c r="AA171" s="183">
        <f>SUMIFS('июнь 2025'!$G$5:$G$2470,'июнь 2025'!$D$5:$D$2470,$B171,'июнь 2025'!$J$5:$J$2470,AA$1)</f>
        <v>0</v>
      </c>
      <c r="AB171" s="183">
        <f>SUMIFS('июнь 2025'!$G$5:$G$2470,'июнь 2025'!$D$5:$D$2470,$B171,'июнь 2025'!$J$5:$J$2470,AB$1)</f>
        <v>0</v>
      </c>
      <c r="AC171" s="183">
        <f>SUMIFS('июнь 2025'!$G$5:$G$2470,'июнь 2025'!$D$5:$D$2470,$B171,'июнь 2025'!$J$5:$J$2470,AC$1)</f>
        <v>0</v>
      </c>
      <c r="AD171" s="183">
        <f>SUMIFS('июнь 2025'!$G$5:$G$2470,'июнь 2025'!$D$5:$D$2470,$B171,'июнь 2025'!$J$5:$J$2470,AD$1)</f>
        <v>0</v>
      </c>
      <c r="AE171" s="183">
        <f>SUMIFS('июнь 2025'!$G$5:$G$2470,'июнь 2025'!$D$5:$D$2470,$B171,'июнь 2025'!$J$5:$J$2470,AE$1)</f>
        <v>0</v>
      </c>
      <c r="AF171" s="183">
        <f>SUMIFS('июнь 2025'!$G$5:$G$2470,'июнь 2025'!$D$5:$D$2470,$B171,'июнь 2025'!$J$5:$J$2470,AF$1)</f>
        <v>0</v>
      </c>
      <c r="AG171" s="183">
        <f>SUMIFS('июнь 2025'!$G$5:$G$2470,'июнь 2025'!$D$5:$D$2470,$B171,'июнь 2025'!$J$5:$J$2470,AG$1)</f>
        <v>0</v>
      </c>
      <c r="AH171" s="183">
        <f>SUMIFS('июнь 2025'!$G$5:$G$2470,'июнь 2025'!$D$5:$D$2470,$B171,'июнь 2025'!$J$5:$J$2470,AH$1)</f>
        <v>0</v>
      </c>
      <c r="AI171" s="20"/>
    </row>
    <row r="172" spans="2:35" ht="15" customHeight="1" x14ac:dyDescent="0.25">
      <c r="B172" s="84"/>
      <c r="C172" s="83"/>
      <c r="D172" s="183">
        <f>SUMIFS('июнь 2025'!$G$5:$G$2470,'июнь 2025'!$D$5:$D$2470,$B172,'июнь 2025'!$J$5:$J$2470,D$1)</f>
        <v>0</v>
      </c>
      <c r="E172" s="183">
        <f>SUMIFS('июнь 2025'!$G$5:$G$2470,'июнь 2025'!$D$5:$D$2470,$B172,'июнь 2025'!$J$5:$J$2470,E$1)</f>
        <v>0</v>
      </c>
      <c r="F172" s="183">
        <f>SUMIFS('июнь 2025'!$G$5:$G$2470,'июнь 2025'!$D$5:$D$2470,$B172,'июнь 2025'!$J$5:$J$2470,F$1)</f>
        <v>0</v>
      </c>
      <c r="G172" s="183">
        <f>SUMIFS('июнь 2025'!$G$5:$G$2470,'июнь 2025'!$D$5:$D$2470,$B172,'июнь 2025'!$J$5:$J$2470,G$1)</f>
        <v>0</v>
      </c>
      <c r="H172" s="183">
        <f>SUMIFS('июнь 2025'!$G$5:$G$2470,'июнь 2025'!$D$5:$D$2470,$B172,'июнь 2025'!$J$5:$J$2470,H$1)</f>
        <v>0</v>
      </c>
      <c r="I172" s="183">
        <f>SUMIFS('июнь 2025'!$G$5:$G$2470,'июнь 2025'!$D$5:$D$2470,$B172,'июнь 2025'!$J$5:$J$2470,I$1)</f>
        <v>0</v>
      </c>
      <c r="J172" s="183">
        <f>SUMIFS('июнь 2025'!$G$5:$G$2470,'июнь 2025'!$D$5:$D$2470,$B172,'июнь 2025'!$J$5:$J$2470,J$1)</f>
        <v>0</v>
      </c>
      <c r="K172" s="183">
        <f>SUMIFS('июнь 2025'!$G$5:$G$2470,'июнь 2025'!$D$5:$D$2470,$B172,'июнь 2025'!$J$5:$J$2470,K$1)</f>
        <v>0</v>
      </c>
      <c r="L172" s="183">
        <f>SUMIFS('июнь 2025'!$G$5:$G$2470,'июнь 2025'!$D$5:$D$2470,$B172,'июнь 2025'!$J$5:$J$2470,L$1)</f>
        <v>0</v>
      </c>
      <c r="M172" s="183">
        <f>SUMIFS('июнь 2025'!$G$5:$G$2470,'июнь 2025'!$D$5:$D$2470,$B172,'июнь 2025'!$J$5:$J$2470,M$1)</f>
        <v>0</v>
      </c>
      <c r="N172" s="183">
        <f>SUMIFS('июнь 2025'!$G$5:$G$2470,'июнь 2025'!$D$5:$D$2470,$B172,'июнь 2025'!$J$5:$J$2470,N$1)</f>
        <v>0</v>
      </c>
      <c r="O172" s="183">
        <f>SUMIFS('июнь 2025'!$G$5:$G$2470,'июнь 2025'!$D$5:$D$2470,$B172,'июнь 2025'!$J$5:$J$2470,O$1)</f>
        <v>0</v>
      </c>
      <c r="P172" s="183">
        <f>SUMIFS('июнь 2025'!$G$5:$G$2470,'июнь 2025'!$D$5:$D$2470,$B172,'июнь 2025'!$J$5:$J$2470,P$1)</f>
        <v>0</v>
      </c>
      <c r="Q172" s="183">
        <f>SUMIFS('июнь 2025'!$G$5:$G$2470,'июнь 2025'!$D$5:$D$2470,$B172,'июнь 2025'!$J$5:$J$2470,Q$1)</f>
        <v>0</v>
      </c>
      <c r="R172" s="183">
        <f>SUMIFS('июнь 2025'!$G$5:$G$2470,'июнь 2025'!$D$5:$D$2470,$B172,'июнь 2025'!$J$5:$J$2470,R$1)</f>
        <v>0</v>
      </c>
      <c r="S172" s="183">
        <f>SUMIFS('июнь 2025'!$G$5:$G$2470,'июнь 2025'!$D$5:$D$2470,$B172,'июнь 2025'!$J$5:$J$2470,S$1)</f>
        <v>0</v>
      </c>
      <c r="T172" s="183">
        <f>SUMIFS('июнь 2025'!$G$5:$G$2470,'июнь 2025'!$D$5:$D$2470,$B172,'июнь 2025'!$J$5:$J$2470,T$1)</f>
        <v>0</v>
      </c>
      <c r="U172" s="183">
        <f>SUMIFS('июнь 2025'!$G$5:$G$2470,'июнь 2025'!$D$5:$D$2470,$B172,'июнь 2025'!$J$5:$J$2470,U$1)</f>
        <v>0</v>
      </c>
      <c r="V172" s="183">
        <f>SUMIFS('июнь 2025'!$G$5:$G$2470,'июнь 2025'!$D$5:$D$2470,$B172,'июнь 2025'!$J$5:$J$2470,V$1)</f>
        <v>0</v>
      </c>
      <c r="W172" s="183">
        <f>SUMIFS('июнь 2025'!$G$5:$G$2470,'июнь 2025'!$D$5:$D$2470,$B172,'июнь 2025'!$J$5:$J$2470,W$1)</f>
        <v>0</v>
      </c>
      <c r="X172" s="183">
        <f>SUMIFS('июнь 2025'!$G$5:$G$2470,'июнь 2025'!$D$5:$D$2470,$B172,'июнь 2025'!$J$5:$J$2470,X$1)</f>
        <v>0</v>
      </c>
      <c r="Y172" s="183">
        <f>SUMIFS('июнь 2025'!$G$5:$G$2470,'июнь 2025'!$D$5:$D$2470,$B172,'июнь 2025'!$J$5:$J$2470,Y$1)</f>
        <v>0</v>
      </c>
      <c r="Z172" s="183">
        <f>SUMIFS('июнь 2025'!$G$5:$G$2470,'июнь 2025'!$D$5:$D$2470,$B172,'июнь 2025'!$J$5:$J$2470,Z$1)</f>
        <v>0</v>
      </c>
      <c r="AA172" s="183">
        <f>SUMIFS('июнь 2025'!$G$5:$G$2470,'июнь 2025'!$D$5:$D$2470,$B172,'июнь 2025'!$J$5:$J$2470,AA$1)</f>
        <v>0</v>
      </c>
      <c r="AB172" s="183">
        <f>SUMIFS('июнь 2025'!$G$5:$G$2470,'июнь 2025'!$D$5:$D$2470,$B172,'июнь 2025'!$J$5:$J$2470,AB$1)</f>
        <v>0</v>
      </c>
      <c r="AC172" s="183">
        <f>SUMIFS('июнь 2025'!$G$5:$G$2470,'июнь 2025'!$D$5:$D$2470,$B172,'июнь 2025'!$J$5:$J$2470,AC$1)</f>
        <v>0</v>
      </c>
      <c r="AD172" s="183">
        <f>SUMIFS('июнь 2025'!$G$5:$G$2470,'июнь 2025'!$D$5:$D$2470,$B172,'июнь 2025'!$J$5:$J$2470,AD$1)</f>
        <v>0</v>
      </c>
      <c r="AE172" s="183">
        <f>SUMIFS('июнь 2025'!$G$5:$G$2470,'июнь 2025'!$D$5:$D$2470,$B172,'июнь 2025'!$J$5:$J$2470,AE$1)</f>
        <v>0</v>
      </c>
      <c r="AF172" s="183">
        <f>SUMIFS('июнь 2025'!$G$5:$G$2470,'июнь 2025'!$D$5:$D$2470,$B172,'июнь 2025'!$J$5:$J$2470,AF$1)</f>
        <v>0</v>
      </c>
      <c r="AG172" s="183">
        <f>SUMIFS('июнь 2025'!$G$5:$G$2470,'июнь 2025'!$D$5:$D$2470,$B172,'июнь 2025'!$J$5:$J$2470,AG$1)</f>
        <v>0</v>
      </c>
      <c r="AH172" s="183">
        <f>SUMIFS('июнь 2025'!$G$5:$G$2470,'июнь 2025'!$D$5:$D$2470,$B172,'июнь 2025'!$J$5:$J$2470,AH$1)</f>
        <v>0</v>
      </c>
      <c r="AI172" s="20"/>
    </row>
    <row r="173" spans="2:35" ht="15" customHeight="1" x14ac:dyDescent="0.25">
      <c r="B173" s="84"/>
      <c r="C173" s="83"/>
      <c r="D173" s="183">
        <f>SUMIFS('июнь 2025'!$G$5:$G$2470,'июнь 2025'!$D$5:$D$2470,$B173,'июнь 2025'!$J$5:$J$2470,D$1)</f>
        <v>0</v>
      </c>
      <c r="E173" s="183">
        <f>SUMIFS('июнь 2025'!$G$5:$G$2470,'июнь 2025'!$D$5:$D$2470,$B173,'июнь 2025'!$J$5:$J$2470,E$1)</f>
        <v>0</v>
      </c>
      <c r="F173" s="183">
        <f>SUMIFS('июнь 2025'!$G$5:$G$2470,'июнь 2025'!$D$5:$D$2470,$B173,'июнь 2025'!$J$5:$J$2470,F$1)</f>
        <v>0</v>
      </c>
      <c r="G173" s="183">
        <f>SUMIFS('июнь 2025'!$G$5:$G$2470,'июнь 2025'!$D$5:$D$2470,$B173,'июнь 2025'!$J$5:$J$2470,G$1)</f>
        <v>0</v>
      </c>
      <c r="H173" s="183">
        <f>SUMIFS('июнь 2025'!$G$5:$G$2470,'июнь 2025'!$D$5:$D$2470,$B173,'июнь 2025'!$J$5:$J$2470,H$1)</f>
        <v>0</v>
      </c>
      <c r="I173" s="183">
        <f>SUMIFS('июнь 2025'!$G$5:$G$2470,'июнь 2025'!$D$5:$D$2470,$B173,'июнь 2025'!$J$5:$J$2470,I$1)</f>
        <v>0</v>
      </c>
      <c r="J173" s="183">
        <f>SUMIFS('июнь 2025'!$G$5:$G$2470,'июнь 2025'!$D$5:$D$2470,$B173,'июнь 2025'!$J$5:$J$2470,J$1)</f>
        <v>0</v>
      </c>
      <c r="K173" s="183">
        <f>SUMIFS('июнь 2025'!$G$5:$G$2470,'июнь 2025'!$D$5:$D$2470,$B173,'июнь 2025'!$J$5:$J$2470,K$1)</f>
        <v>0</v>
      </c>
      <c r="L173" s="183">
        <f>SUMIFS('июнь 2025'!$G$5:$G$2470,'июнь 2025'!$D$5:$D$2470,$B173,'июнь 2025'!$J$5:$J$2470,L$1)</f>
        <v>0</v>
      </c>
      <c r="M173" s="183">
        <f>SUMIFS('июнь 2025'!$G$5:$G$2470,'июнь 2025'!$D$5:$D$2470,$B173,'июнь 2025'!$J$5:$J$2470,M$1)</f>
        <v>0</v>
      </c>
      <c r="N173" s="183">
        <f>SUMIFS('июнь 2025'!$G$5:$G$2470,'июнь 2025'!$D$5:$D$2470,$B173,'июнь 2025'!$J$5:$J$2470,N$1)</f>
        <v>0</v>
      </c>
      <c r="O173" s="183">
        <f>SUMIFS('июнь 2025'!$G$5:$G$2470,'июнь 2025'!$D$5:$D$2470,$B173,'июнь 2025'!$J$5:$J$2470,O$1)</f>
        <v>0</v>
      </c>
      <c r="P173" s="183">
        <f>SUMIFS('июнь 2025'!$G$5:$G$2470,'июнь 2025'!$D$5:$D$2470,$B173,'июнь 2025'!$J$5:$J$2470,P$1)</f>
        <v>0</v>
      </c>
      <c r="Q173" s="183">
        <f>SUMIFS('июнь 2025'!$G$5:$G$2470,'июнь 2025'!$D$5:$D$2470,$B173,'июнь 2025'!$J$5:$J$2470,Q$1)</f>
        <v>0</v>
      </c>
      <c r="R173" s="183">
        <f>SUMIFS('июнь 2025'!$G$5:$G$2470,'июнь 2025'!$D$5:$D$2470,$B173,'июнь 2025'!$J$5:$J$2470,R$1)</f>
        <v>0</v>
      </c>
      <c r="S173" s="183">
        <f>SUMIFS('июнь 2025'!$G$5:$G$2470,'июнь 2025'!$D$5:$D$2470,$B173,'июнь 2025'!$J$5:$J$2470,S$1)</f>
        <v>0</v>
      </c>
      <c r="T173" s="183">
        <f>SUMIFS('июнь 2025'!$G$5:$G$2470,'июнь 2025'!$D$5:$D$2470,$B173,'июнь 2025'!$J$5:$J$2470,T$1)</f>
        <v>0</v>
      </c>
      <c r="U173" s="183">
        <f>SUMIFS('июнь 2025'!$G$5:$G$2470,'июнь 2025'!$D$5:$D$2470,$B173,'июнь 2025'!$J$5:$J$2470,U$1)</f>
        <v>0</v>
      </c>
      <c r="V173" s="183">
        <f>SUMIFS('июнь 2025'!$G$5:$G$2470,'июнь 2025'!$D$5:$D$2470,$B173,'июнь 2025'!$J$5:$J$2470,V$1)</f>
        <v>0</v>
      </c>
      <c r="W173" s="183">
        <f>SUMIFS('июнь 2025'!$G$5:$G$2470,'июнь 2025'!$D$5:$D$2470,$B173,'июнь 2025'!$J$5:$J$2470,W$1)</f>
        <v>0</v>
      </c>
      <c r="X173" s="183">
        <f>SUMIFS('июнь 2025'!$G$5:$G$2470,'июнь 2025'!$D$5:$D$2470,$B173,'июнь 2025'!$J$5:$J$2470,X$1)</f>
        <v>0</v>
      </c>
      <c r="Y173" s="183">
        <f>SUMIFS('июнь 2025'!$G$5:$G$2470,'июнь 2025'!$D$5:$D$2470,$B173,'июнь 2025'!$J$5:$J$2470,Y$1)</f>
        <v>0</v>
      </c>
      <c r="Z173" s="183">
        <f>SUMIFS('июнь 2025'!$G$5:$G$2470,'июнь 2025'!$D$5:$D$2470,$B173,'июнь 2025'!$J$5:$J$2470,Z$1)</f>
        <v>0</v>
      </c>
      <c r="AA173" s="183">
        <f>SUMIFS('июнь 2025'!$G$5:$G$2470,'июнь 2025'!$D$5:$D$2470,$B173,'июнь 2025'!$J$5:$J$2470,AA$1)</f>
        <v>0</v>
      </c>
      <c r="AB173" s="183">
        <f>SUMIFS('июнь 2025'!$G$5:$G$2470,'июнь 2025'!$D$5:$D$2470,$B173,'июнь 2025'!$J$5:$J$2470,AB$1)</f>
        <v>0</v>
      </c>
      <c r="AC173" s="183">
        <f>SUMIFS('июнь 2025'!$G$5:$G$2470,'июнь 2025'!$D$5:$D$2470,$B173,'июнь 2025'!$J$5:$J$2470,AC$1)</f>
        <v>0</v>
      </c>
      <c r="AD173" s="183">
        <f>SUMIFS('июнь 2025'!$G$5:$G$2470,'июнь 2025'!$D$5:$D$2470,$B173,'июнь 2025'!$J$5:$J$2470,AD$1)</f>
        <v>0</v>
      </c>
      <c r="AE173" s="183">
        <f>SUMIFS('июнь 2025'!$G$5:$G$2470,'июнь 2025'!$D$5:$D$2470,$B173,'июнь 2025'!$J$5:$J$2470,AE$1)</f>
        <v>0</v>
      </c>
      <c r="AF173" s="183">
        <f>SUMIFS('июнь 2025'!$G$5:$G$2470,'июнь 2025'!$D$5:$D$2470,$B173,'июнь 2025'!$J$5:$J$2470,AF$1)</f>
        <v>0</v>
      </c>
      <c r="AG173" s="183">
        <f>SUMIFS('июнь 2025'!$G$5:$G$2470,'июнь 2025'!$D$5:$D$2470,$B173,'июнь 2025'!$J$5:$J$2470,AG$1)</f>
        <v>0</v>
      </c>
      <c r="AH173" s="183">
        <f>SUMIFS('июнь 2025'!$G$5:$G$2470,'июнь 2025'!$D$5:$D$2470,$B173,'июнь 2025'!$J$5:$J$2470,AH$1)</f>
        <v>0</v>
      </c>
      <c r="AI173" s="20"/>
    </row>
    <row r="174" spans="2:35" ht="15" customHeight="1" x14ac:dyDescent="0.25">
      <c r="B174" s="84"/>
      <c r="C174" s="83"/>
      <c r="D174" s="183">
        <f>SUMIFS('июнь 2025'!$G$5:$G$2470,'июнь 2025'!$D$5:$D$2470,$B174,'июнь 2025'!$J$5:$J$2470,D$1)</f>
        <v>0</v>
      </c>
      <c r="E174" s="183">
        <f>SUMIFS('июнь 2025'!$G$5:$G$2470,'июнь 2025'!$D$5:$D$2470,$B174,'июнь 2025'!$J$5:$J$2470,E$1)</f>
        <v>0</v>
      </c>
      <c r="F174" s="183">
        <f>SUMIFS('июнь 2025'!$G$5:$G$2470,'июнь 2025'!$D$5:$D$2470,$B174,'июнь 2025'!$J$5:$J$2470,F$1)</f>
        <v>0</v>
      </c>
      <c r="G174" s="183">
        <f>SUMIFS('июнь 2025'!$G$5:$G$2470,'июнь 2025'!$D$5:$D$2470,$B174,'июнь 2025'!$J$5:$J$2470,G$1)</f>
        <v>0</v>
      </c>
      <c r="H174" s="183">
        <f>SUMIFS('июнь 2025'!$G$5:$G$2470,'июнь 2025'!$D$5:$D$2470,$B174,'июнь 2025'!$J$5:$J$2470,H$1)</f>
        <v>0</v>
      </c>
      <c r="I174" s="183">
        <f>SUMIFS('июнь 2025'!$G$5:$G$2470,'июнь 2025'!$D$5:$D$2470,$B174,'июнь 2025'!$J$5:$J$2470,I$1)</f>
        <v>0</v>
      </c>
      <c r="J174" s="183">
        <f>SUMIFS('июнь 2025'!$G$5:$G$2470,'июнь 2025'!$D$5:$D$2470,$B174,'июнь 2025'!$J$5:$J$2470,J$1)</f>
        <v>0</v>
      </c>
      <c r="K174" s="183">
        <f>SUMIFS('июнь 2025'!$G$5:$G$2470,'июнь 2025'!$D$5:$D$2470,$B174,'июнь 2025'!$J$5:$J$2470,K$1)</f>
        <v>0</v>
      </c>
      <c r="L174" s="183">
        <f>SUMIFS('июнь 2025'!$G$5:$G$2470,'июнь 2025'!$D$5:$D$2470,$B174,'июнь 2025'!$J$5:$J$2470,L$1)</f>
        <v>0</v>
      </c>
      <c r="M174" s="183">
        <f>SUMIFS('июнь 2025'!$G$5:$G$2470,'июнь 2025'!$D$5:$D$2470,$B174,'июнь 2025'!$J$5:$J$2470,M$1)</f>
        <v>0</v>
      </c>
      <c r="N174" s="183">
        <f>SUMIFS('июнь 2025'!$G$5:$G$2470,'июнь 2025'!$D$5:$D$2470,$B174,'июнь 2025'!$J$5:$J$2470,N$1)</f>
        <v>0</v>
      </c>
      <c r="O174" s="183">
        <f>SUMIFS('июнь 2025'!$G$5:$G$2470,'июнь 2025'!$D$5:$D$2470,$B174,'июнь 2025'!$J$5:$J$2470,O$1)</f>
        <v>0</v>
      </c>
      <c r="P174" s="183">
        <f>SUMIFS('июнь 2025'!$G$5:$G$2470,'июнь 2025'!$D$5:$D$2470,$B174,'июнь 2025'!$J$5:$J$2470,P$1)</f>
        <v>0</v>
      </c>
      <c r="Q174" s="183">
        <f>SUMIFS('июнь 2025'!$G$5:$G$2470,'июнь 2025'!$D$5:$D$2470,$B174,'июнь 2025'!$J$5:$J$2470,Q$1)</f>
        <v>0</v>
      </c>
      <c r="R174" s="183">
        <f>SUMIFS('июнь 2025'!$G$5:$G$2470,'июнь 2025'!$D$5:$D$2470,$B174,'июнь 2025'!$J$5:$J$2470,R$1)</f>
        <v>0</v>
      </c>
      <c r="S174" s="183">
        <f>SUMIFS('июнь 2025'!$G$5:$G$2470,'июнь 2025'!$D$5:$D$2470,$B174,'июнь 2025'!$J$5:$J$2470,S$1)</f>
        <v>0</v>
      </c>
      <c r="T174" s="183">
        <f>SUMIFS('июнь 2025'!$G$5:$G$2470,'июнь 2025'!$D$5:$D$2470,$B174,'июнь 2025'!$J$5:$J$2470,T$1)</f>
        <v>0</v>
      </c>
      <c r="U174" s="183">
        <f>SUMIFS('июнь 2025'!$G$5:$G$2470,'июнь 2025'!$D$5:$D$2470,$B174,'июнь 2025'!$J$5:$J$2470,U$1)</f>
        <v>0</v>
      </c>
      <c r="V174" s="183">
        <f>SUMIFS('июнь 2025'!$G$5:$G$2470,'июнь 2025'!$D$5:$D$2470,$B174,'июнь 2025'!$J$5:$J$2470,V$1)</f>
        <v>0</v>
      </c>
      <c r="W174" s="183">
        <f>SUMIFS('июнь 2025'!$G$5:$G$2470,'июнь 2025'!$D$5:$D$2470,$B174,'июнь 2025'!$J$5:$J$2470,W$1)</f>
        <v>0</v>
      </c>
      <c r="X174" s="183">
        <f>SUMIFS('июнь 2025'!$G$5:$G$2470,'июнь 2025'!$D$5:$D$2470,$B174,'июнь 2025'!$J$5:$J$2470,X$1)</f>
        <v>0</v>
      </c>
      <c r="Y174" s="183">
        <f>SUMIFS('июнь 2025'!$G$5:$G$2470,'июнь 2025'!$D$5:$D$2470,$B174,'июнь 2025'!$J$5:$J$2470,Y$1)</f>
        <v>0</v>
      </c>
      <c r="Z174" s="183">
        <f>SUMIFS('июнь 2025'!$G$5:$G$2470,'июнь 2025'!$D$5:$D$2470,$B174,'июнь 2025'!$J$5:$J$2470,Z$1)</f>
        <v>0</v>
      </c>
      <c r="AA174" s="183">
        <f>SUMIFS('июнь 2025'!$G$5:$G$2470,'июнь 2025'!$D$5:$D$2470,$B174,'июнь 2025'!$J$5:$J$2470,AA$1)</f>
        <v>0</v>
      </c>
      <c r="AB174" s="183">
        <f>SUMIFS('июнь 2025'!$G$5:$G$2470,'июнь 2025'!$D$5:$D$2470,$B174,'июнь 2025'!$J$5:$J$2470,AB$1)</f>
        <v>0</v>
      </c>
      <c r="AC174" s="183">
        <f>SUMIFS('июнь 2025'!$G$5:$G$2470,'июнь 2025'!$D$5:$D$2470,$B174,'июнь 2025'!$J$5:$J$2470,AC$1)</f>
        <v>0</v>
      </c>
      <c r="AD174" s="183">
        <f>SUMIFS('июнь 2025'!$G$5:$G$2470,'июнь 2025'!$D$5:$D$2470,$B174,'июнь 2025'!$J$5:$J$2470,AD$1)</f>
        <v>0</v>
      </c>
      <c r="AE174" s="183">
        <f>SUMIFS('июнь 2025'!$G$5:$G$2470,'июнь 2025'!$D$5:$D$2470,$B174,'июнь 2025'!$J$5:$J$2470,AE$1)</f>
        <v>0</v>
      </c>
      <c r="AF174" s="183">
        <f>SUMIFS('июнь 2025'!$G$5:$G$2470,'июнь 2025'!$D$5:$D$2470,$B174,'июнь 2025'!$J$5:$J$2470,AF$1)</f>
        <v>0</v>
      </c>
      <c r="AG174" s="183">
        <f>SUMIFS('июнь 2025'!$G$5:$G$2470,'июнь 2025'!$D$5:$D$2470,$B174,'июнь 2025'!$J$5:$J$2470,AG$1)</f>
        <v>0</v>
      </c>
      <c r="AH174" s="183">
        <f>SUMIFS('июнь 2025'!$G$5:$G$2470,'июнь 2025'!$D$5:$D$2470,$B174,'июнь 2025'!$J$5:$J$2470,AH$1)</f>
        <v>0</v>
      </c>
      <c r="AI174" s="20"/>
    </row>
    <row r="175" spans="2:35" ht="15" customHeight="1" x14ac:dyDescent="0.25">
      <c r="B175" s="84"/>
      <c r="C175" s="83"/>
      <c r="D175" s="183"/>
      <c r="E175" s="183"/>
      <c r="F175" s="183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  <c r="AA175" s="183"/>
      <c r="AB175" s="183"/>
      <c r="AC175" s="183"/>
      <c r="AD175" s="183"/>
      <c r="AE175" s="183"/>
      <c r="AF175" s="183"/>
      <c r="AG175" s="183"/>
      <c r="AH175" s="183"/>
      <c r="AI175" s="20"/>
    </row>
    <row r="176" spans="2:35" ht="15" customHeight="1" x14ac:dyDescent="0.25">
      <c r="B176" s="84"/>
      <c r="C176" s="83"/>
      <c r="D176" s="183"/>
      <c r="E176" s="183"/>
      <c r="F176" s="183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  <c r="AA176" s="183"/>
      <c r="AB176" s="183"/>
      <c r="AC176" s="183"/>
      <c r="AD176" s="183"/>
      <c r="AE176" s="183"/>
      <c r="AF176" s="183"/>
      <c r="AG176" s="183"/>
      <c r="AH176" s="183"/>
      <c r="AI176" s="20"/>
    </row>
    <row r="177" spans="2:35" ht="15" customHeight="1" x14ac:dyDescent="0.25">
      <c r="B177" s="84"/>
      <c r="C177" s="83"/>
      <c r="D177" s="183"/>
      <c r="E177" s="183"/>
      <c r="F177" s="183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  <c r="AA177" s="183"/>
      <c r="AB177" s="183"/>
      <c r="AC177" s="183"/>
      <c r="AD177" s="183"/>
      <c r="AE177" s="183"/>
      <c r="AF177" s="183"/>
      <c r="AG177" s="183"/>
      <c r="AH177" s="183"/>
      <c r="AI177" s="20"/>
    </row>
    <row r="178" spans="2:35" ht="15" customHeight="1" x14ac:dyDescent="0.25">
      <c r="B178" s="84"/>
      <c r="C178" s="83"/>
      <c r="D178" s="183"/>
      <c r="E178" s="183"/>
      <c r="F178" s="183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  <c r="AA178" s="183"/>
      <c r="AB178" s="183"/>
      <c r="AC178" s="183"/>
      <c r="AD178" s="183"/>
      <c r="AE178" s="183"/>
      <c r="AF178" s="183"/>
      <c r="AG178" s="183"/>
      <c r="AH178" s="183"/>
      <c r="AI178" s="20"/>
    </row>
    <row r="179" spans="2:35" ht="15" customHeight="1" x14ac:dyDescent="0.25">
      <c r="B179" s="84"/>
      <c r="C179" s="83"/>
      <c r="D179" s="183"/>
      <c r="E179" s="183"/>
      <c r="F179" s="183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  <c r="AA179" s="183"/>
      <c r="AB179" s="183"/>
      <c r="AC179" s="183"/>
      <c r="AD179" s="183"/>
      <c r="AE179" s="183"/>
      <c r="AF179" s="183"/>
      <c r="AG179" s="183"/>
      <c r="AH179" s="183"/>
      <c r="AI179" s="20"/>
    </row>
    <row r="180" spans="2:35" ht="15" customHeight="1" x14ac:dyDescent="0.25">
      <c r="B180" s="84"/>
      <c r="C180" s="83"/>
      <c r="D180" s="183"/>
      <c r="E180" s="183"/>
      <c r="F180" s="183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  <c r="AA180" s="183"/>
      <c r="AB180" s="183"/>
      <c r="AC180" s="183"/>
      <c r="AD180" s="183"/>
      <c r="AE180" s="183"/>
      <c r="AF180" s="183"/>
      <c r="AG180" s="183"/>
      <c r="AH180" s="183"/>
      <c r="AI180" s="20"/>
    </row>
    <row r="181" spans="2:35" ht="15" customHeight="1" x14ac:dyDescent="0.25">
      <c r="B181" s="84"/>
      <c r="C181" s="83"/>
      <c r="D181" s="183"/>
      <c r="E181" s="183"/>
      <c r="F181" s="183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  <c r="AA181" s="183"/>
      <c r="AB181" s="183"/>
      <c r="AC181" s="183"/>
      <c r="AD181" s="183"/>
      <c r="AE181" s="183"/>
      <c r="AF181" s="183"/>
      <c r="AG181" s="183"/>
      <c r="AH181" s="183"/>
      <c r="AI181" s="20"/>
    </row>
    <row r="182" spans="2:35" ht="15" customHeight="1" x14ac:dyDescent="0.25">
      <c r="B182" s="84"/>
      <c r="C182" s="83"/>
      <c r="D182" s="183"/>
      <c r="E182" s="183"/>
      <c r="F182" s="183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  <c r="AA182" s="183"/>
      <c r="AB182" s="183"/>
      <c r="AC182" s="183"/>
      <c r="AD182" s="183"/>
      <c r="AE182" s="183"/>
      <c r="AF182" s="183"/>
      <c r="AG182" s="183"/>
      <c r="AH182" s="183"/>
      <c r="AI182" s="20"/>
    </row>
    <row r="183" spans="2:35" ht="15" customHeight="1" x14ac:dyDescent="0.25">
      <c r="B183" s="84"/>
      <c r="C183" s="83"/>
      <c r="D183" s="183"/>
      <c r="E183" s="183"/>
      <c r="F183" s="183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  <c r="AA183" s="183"/>
      <c r="AB183" s="183"/>
      <c r="AC183" s="183"/>
      <c r="AD183" s="183"/>
      <c r="AE183" s="183"/>
      <c r="AF183" s="183"/>
      <c r="AG183" s="183"/>
      <c r="AH183" s="183"/>
      <c r="AI183" s="20"/>
    </row>
    <row r="184" spans="2:35" ht="15" customHeight="1" x14ac:dyDescent="0.25">
      <c r="B184" s="84"/>
      <c r="C184" s="83"/>
      <c r="D184" s="183"/>
      <c r="E184" s="183"/>
      <c r="F184" s="183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  <c r="AA184" s="183"/>
      <c r="AB184" s="183"/>
      <c r="AC184" s="183"/>
      <c r="AD184" s="183"/>
      <c r="AE184" s="183"/>
      <c r="AF184" s="183"/>
      <c r="AG184" s="183"/>
      <c r="AH184" s="183"/>
      <c r="AI184" s="20"/>
    </row>
    <row r="185" spans="2:35" ht="15" customHeight="1" x14ac:dyDescent="0.25">
      <c r="B185" s="84"/>
      <c r="C185" s="83"/>
      <c r="D185" s="183"/>
      <c r="E185" s="183"/>
      <c r="F185" s="183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  <c r="AA185" s="183"/>
      <c r="AB185" s="183"/>
      <c r="AC185" s="183"/>
      <c r="AD185" s="183"/>
      <c r="AE185" s="183"/>
      <c r="AF185" s="183"/>
      <c r="AG185" s="183"/>
      <c r="AH185" s="183"/>
      <c r="AI185" s="20"/>
    </row>
    <row r="186" spans="2:35" ht="15" customHeight="1" x14ac:dyDescent="0.25">
      <c r="B186" s="84"/>
      <c r="C186" s="83"/>
      <c r="D186" s="183"/>
      <c r="E186" s="183"/>
      <c r="F186" s="183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  <c r="AA186" s="183"/>
      <c r="AB186" s="183"/>
      <c r="AC186" s="183"/>
      <c r="AD186" s="183"/>
      <c r="AE186" s="183"/>
      <c r="AF186" s="183"/>
      <c r="AG186" s="183"/>
      <c r="AH186" s="183"/>
      <c r="AI186" s="20"/>
    </row>
    <row r="187" spans="2:35" ht="15" customHeight="1" x14ac:dyDescent="0.25">
      <c r="B187" s="84"/>
      <c r="C187" s="83"/>
      <c r="D187" s="183"/>
      <c r="E187" s="183"/>
      <c r="F187" s="183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  <c r="AA187" s="183"/>
      <c r="AB187" s="183"/>
      <c r="AC187" s="183"/>
      <c r="AD187" s="183"/>
      <c r="AE187" s="183"/>
      <c r="AF187" s="183"/>
      <c r="AG187" s="183"/>
      <c r="AH187" s="183"/>
      <c r="AI187" s="20"/>
    </row>
    <row r="188" spans="2:35" ht="15" customHeight="1" x14ac:dyDescent="0.25">
      <c r="B188" s="84"/>
      <c r="C188" s="83"/>
      <c r="D188" s="183"/>
      <c r="E188" s="183"/>
      <c r="F188" s="183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  <c r="AA188" s="183"/>
      <c r="AB188" s="183"/>
      <c r="AC188" s="183"/>
      <c r="AD188" s="183"/>
      <c r="AE188" s="183"/>
      <c r="AF188" s="183"/>
      <c r="AG188" s="183"/>
      <c r="AH188" s="183"/>
      <c r="AI188" s="20"/>
    </row>
    <row r="189" spans="2:35" ht="15" customHeight="1" x14ac:dyDescent="0.25">
      <c r="B189" s="84"/>
      <c r="C189" s="83"/>
      <c r="D189" s="183"/>
      <c r="E189" s="183"/>
      <c r="F189" s="183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  <c r="AA189" s="183"/>
      <c r="AB189" s="183"/>
      <c r="AC189" s="183"/>
      <c r="AD189" s="183"/>
      <c r="AE189" s="183"/>
      <c r="AF189" s="183"/>
      <c r="AG189" s="183"/>
      <c r="AH189" s="183"/>
      <c r="AI189" s="20"/>
    </row>
    <row r="190" spans="2:35" ht="15" customHeight="1" x14ac:dyDescent="0.25">
      <c r="B190" s="84"/>
      <c r="C190" s="83"/>
      <c r="D190" s="183"/>
      <c r="E190" s="183"/>
      <c r="F190" s="183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  <c r="AA190" s="183"/>
      <c r="AB190" s="183"/>
      <c r="AC190" s="183"/>
      <c r="AD190" s="183"/>
      <c r="AE190" s="183"/>
      <c r="AF190" s="183"/>
      <c r="AG190" s="183"/>
      <c r="AH190" s="183"/>
      <c r="AI190" s="20"/>
    </row>
    <row r="191" spans="2:35" ht="15" customHeight="1" x14ac:dyDescent="0.25">
      <c r="B191" s="84"/>
      <c r="C191" s="83"/>
      <c r="D191" s="183"/>
      <c r="E191" s="183"/>
      <c r="F191" s="183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  <c r="AA191" s="183"/>
      <c r="AB191" s="183"/>
      <c r="AC191" s="183"/>
      <c r="AD191" s="183"/>
      <c r="AE191" s="183"/>
      <c r="AF191" s="183"/>
      <c r="AG191" s="183"/>
      <c r="AH191" s="183"/>
      <c r="AI191" s="20"/>
    </row>
    <row r="192" spans="2:35" ht="15" customHeight="1" x14ac:dyDescent="0.25">
      <c r="B192" s="84"/>
      <c r="C192" s="83"/>
      <c r="D192" s="183"/>
      <c r="E192" s="183"/>
      <c r="F192" s="183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  <c r="AA192" s="183"/>
      <c r="AB192" s="183"/>
      <c r="AC192" s="183"/>
      <c r="AD192" s="183"/>
      <c r="AE192" s="183"/>
      <c r="AF192" s="183"/>
      <c r="AG192" s="183"/>
      <c r="AH192" s="183"/>
      <c r="AI192" s="20"/>
    </row>
    <row r="193" spans="2:35" ht="15" customHeight="1" x14ac:dyDescent="0.25">
      <c r="B193" s="84"/>
      <c r="C193" s="83"/>
      <c r="D193" s="183"/>
      <c r="E193" s="183"/>
      <c r="F193" s="183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  <c r="AA193" s="183"/>
      <c r="AB193" s="183"/>
      <c r="AC193" s="183"/>
      <c r="AD193" s="183"/>
      <c r="AE193" s="183"/>
      <c r="AF193" s="183"/>
      <c r="AG193" s="183"/>
      <c r="AH193" s="183"/>
      <c r="AI193" s="20"/>
    </row>
    <row r="194" spans="2:35" ht="15" customHeight="1" x14ac:dyDescent="0.25">
      <c r="B194" s="84"/>
      <c r="C194" s="83"/>
      <c r="D194" s="183"/>
      <c r="E194" s="183"/>
      <c r="F194" s="183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  <c r="AA194" s="183"/>
      <c r="AB194" s="183"/>
      <c r="AC194" s="183"/>
      <c r="AD194" s="183"/>
      <c r="AE194" s="183"/>
      <c r="AF194" s="183"/>
      <c r="AG194" s="183"/>
      <c r="AH194" s="183"/>
      <c r="AI194" s="20"/>
    </row>
    <row r="195" spans="2:35" ht="15" customHeight="1" x14ac:dyDescent="0.25">
      <c r="B195" s="84"/>
      <c r="C195" s="83"/>
      <c r="D195" s="183"/>
      <c r="E195" s="183"/>
      <c r="F195" s="183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  <c r="AA195" s="183"/>
      <c r="AB195" s="183"/>
      <c r="AC195" s="183"/>
      <c r="AD195" s="183"/>
      <c r="AE195" s="183"/>
      <c r="AF195" s="183"/>
      <c r="AG195" s="183"/>
      <c r="AH195" s="183"/>
      <c r="AI195" s="20"/>
    </row>
    <row r="196" spans="2:35" ht="15" customHeight="1" x14ac:dyDescent="0.25">
      <c r="B196" s="84"/>
      <c r="C196" s="83"/>
      <c r="D196" s="183"/>
      <c r="E196" s="183"/>
      <c r="F196" s="183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  <c r="AA196" s="183"/>
      <c r="AB196" s="183"/>
      <c r="AC196" s="183"/>
      <c r="AD196" s="183"/>
      <c r="AE196" s="183"/>
      <c r="AF196" s="183"/>
      <c r="AG196" s="183"/>
      <c r="AH196" s="183"/>
      <c r="AI196" s="20"/>
    </row>
    <row r="197" spans="2:35" ht="15" customHeight="1" x14ac:dyDescent="0.25">
      <c r="B197" s="84"/>
      <c r="C197" s="83"/>
      <c r="D197" s="183"/>
      <c r="E197" s="183"/>
      <c r="F197" s="183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  <c r="AA197" s="183"/>
      <c r="AB197" s="183"/>
      <c r="AC197" s="183"/>
      <c r="AD197" s="183"/>
      <c r="AE197" s="183"/>
      <c r="AF197" s="183"/>
      <c r="AG197" s="183"/>
      <c r="AH197" s="183"/>
      <c r="AI197" s="20"/>
    </row>
    <row r="198" spans="2:35" ht="15" customHeight="1" x14ac:dyDescent="0.25">
      <c r="B198" s="84"/>
      <c r="C198" s="83"/>
      <c r="D198" s="183"/>
      <c r="E198" s="183"/>
      <c r="F198" s="183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20"/>
    </row>
    <row r="199" spans="2:35" ht="15" customHeight="1" x14ac:dyDescent="0.25">
      <c r="B199" s="84"/>
      <c r="C199" s="83"/>
      <c r="D199" s="183"/>
      <c r="E199" s="183"/>
      <c r="F199" s="183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  <c r="AA199" s="183"/>
      <c r="AB199" s="183"/>
      <c r="AC199" s="183"/>
      <c r="AD199" s="183"/>
      <c r="AE199" s="183"/>
      <c r="AF199" s="183"/>
      <c r="AG199" s="183"/>
      <c r="AH199" s="183"/>
      <c r="AI199" s="20"/>
    </row>
    <row r="200" spans="2:35" ht="15" customHeight="1" x14ac:dyDescent="0.25">
      <c r="B200" s="84"/>
      <c r="C200" s="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  <c r="AA200" s="183"/>
      <c r="AB200" s="183"/>
      <c r="AC200" s="183"/>
      <c r="AD200" s="183"/>
      <c r="AE200" s="183"/>
      <c r="AF200" s="183"/>
      <c r="AG200" s="183"/>
      <c r="AH200" s="183"/>
      <c r="AI200" s="20"/>
    </row>
    <row r="201" spans="2:35" ht="15" customHeight="1" x14ac:dyDescent="0.25">
      <c r="B201" s="84"/>
      <c r="C201" s="83"/>
      <c r="D201" s="183"/>
      <c r="E201" s="183"/>
      <c r="F201" s="183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  <c r="AA201" s="183"/>
      <c r="AB201" s="183"/>
      <c r="AC201" s="183"/>
      <c r="AD201" s="183"/>
      <c r="AE201" s="183"/>
      <c r="AF201" s="183"/>
      <c r="AG201" s="183"/>
      <c r="AH201" s="183"/>
      <c r="AI201" s="20"/>
    </row>
    <row r="202" spans="2:35" ht="15" customHeight="1" x14ac:dyDescent="0.25">
      <c r="B202" s="84"/>
      <c r="C202" s="83"/>
      <c r="D202" s="183"/>
      <c r="E202" s="183"/>
      <c r="F202" s="183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  <c r="AA202" s="183"/>
      <c r="AB202" s="183"/>
      <c r="AC202" s="183"/>
      <c r="AD202" s="183"/>
      <c r="AE202" s="183"/>
      <c r="AF202" s="183"/>
      <c r="AG202" s="183"/>
      <c r="AH202" s="183"/>
      <c r="AI202" s="20"/>
    </row>
    <row r="203" spans="2:35" ht="15" customHeight="1" x14ac:dyDescent="0.25">
      <c r="B203" s="84"/>
      <c r="C203" s="83"/>
      <c r="D203" s="183"/>
      <c r="E203" s="183"/>
      <c r="F203" s="183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  <c r="AA203" s="183"/>
      <c r="AB203" s="183"/>
      <c r="AC203" s="183"/>
      <c r="AD203" s="183"/>
      <c r="AE203" s="183"/>
      <c r="AF203" s="183"/>
      <c r="AG203" s="183"/>
      <c r="AH203" s="183"/>
      <c r="AI203" s="20"/>
    </row>
    <row r="204" spans="2:35" ht="15" customHeight="1" x14ac:dyDescent="0.25">
      <c r="B204" s="84"/>
      <c r="C204" s="83"/>
      <c r="D204" s="183"/>
      <c r="E204" s="183"/>
      <c r="F204" s="183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  <c r="AA204" s="183"/>
      <c r="AB204" s="183"/>
      <c r="AC204" s="183"/>
      <c r="AD204" s="183"/>
      <c r="AE204" s="183"/>
      <c r="AF204" s="183"/>
      <c r="AG204" s="183"/>
      <c r="AH204" s="183"/>
      <c r="AI204" s="20"/>
    </row>
    <row r="205" spans="2:35" ht="15" customHeight="1" x14ac:dyDescent="0.25">
      <c r="B205" s="84"/>
      <c r="C205" s="83"/>
      <c r="D205" s="183"/>
      <c r="E205" s="183"/>
      <c r="F205" s="183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  <c r="AA205" s="183"/>
      <c r="AB205" s="183"/>
      <c r="AC205" s="183"/>
      <c r="AD205" s="183"/>
      <c r="AE205" s="183"/>
      <c r="AF205" s="183"/>
      <c r="AG205" s="183"/>
      <c r="AH205" s="183"/>
      <c r="AI205" s="20"/>
    </row>
    <row r="206" spans="2:35" ht="15" customHeight="1" x14ac:dyDescent="0.25">
      <c r="B206" s="84"/>
      <c r="C206" s="83"/>
      <c r="D206" s="183"/>
      <c r="E206" s="183"/>
      <c r="F206" s="183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  <c r="AA206" s="183"/>
      <c r="AB206" s="183"/>
      <c r="AC206" s="183"/>
      <c r="AD206" s="183"/>
      <c r="AE206" s="183"/>
      <c r="AF206" s="183"/>
      <c r="AG206" s="183"/>
      <c r="AH206" s="183"/>
      <c r="AI206" s="20"/>
    </row>
    <row r="207" spans="2:35" ht="15" customHeight="1" x14ac:dyDescent="0.25">
      <c r="B207" s="84"/>
      <c r="C207" s="83"/>
      <c r="D207" s="183"/>
      <c r="E207" s="183"/>
      <c r="F207" s="183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  <c r="AA207" s="183"/>
      <c r="AB207" s="183"/>
      <c r="AC207" s="183"/>
      <c r="AD207" s="183"/>
      <c r="AE207" s="183"/>
      <c r="AF207" s="183"/>
      <c r="AG207" s="183"/>
      <c r="AH207" s="183"/>
      <c r="AI207" s="20"/>
    </row>
    <row r="208" spans="2:35" ht="15" customHeight="1" x14ac:dyDescent="0.25">
      <c r="B208" s="84"/>
      <c r="C208" s="83"/>
      <c r="D208" s="183"/>
      <c r="E208" s="183"/>
      <c r="F208" s="183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  <c r="AA208" s="183"/>
      <c r="AB208" s="183"/>
      <c r="AC208" s="183"/>
      <c r="AD208" s="183"/>
      <c r="AE208" s="183"/>
      <c r="AF208" s="183"/>
      <c r="AG208" s="183"/>
      <c r="AH208" s="183"/>
      <c r="AI208" s="20"/>
    </row>
    <row r="209" spans="2:35" ht="15" customHeight="1" x14ac:dyDescent="0.25">
      <c r="B209" s="84"/>
      <c r="C209" s="83"/>
      <c r="D209" s="183"/>
      <c r="E209" s="183"/>
      <c r="F209" s="183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  <c r="AA209" s="183"/>
      <c r="AB209" s="183"/>
      <c r="AC209" s="183"/>
      <c r="AD209" s="183"/>
      <c r="AE209" s="183"/>
      <c r="AF209" s="183"/>
      <c r="AG209" s="183"/>
      <c r="AH209" s="183"/>
      <c r="AI209" s="20"/>
    </row>
    <row r="210" spans="2:35" ht="15.75" x14ac:dyDescent="0.25">
      <c r="B210" s="84"/>
      <c r="C210" s="83"/>
      <c r="D210" s="183"/>
      <c r="E210" s="183"/>
      <c r="F210" s="183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  <c r="AA210" s="183"/>
      <c r="AB210" s="183"/>
      <c r="AC210" s="183"/>
      <c r="AD210" s="183"/>
      <c r="AE210" s="183"/>
      <c r="AF210" s="183"/>
      <c r="AG210" s="183"/>
      <c r="AH210" s="183"/>
      <c r="AI210" s="20"/>
    </row>
    <row r="211" spans="2:35" ht="15.75" x14ac:dyDescent="0.25">
      <c r="B211" s="84"/>
      <c r="C211" s="83"/>
      <c r="D211" s="183"/>
      <c r="E211" s="183"/>
      <c r="F211" s="183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  <c r="AA211" s="183"/>
      <c r="AB211" s="183"/>
      <c r="AC211" s="183"/>
      <c r="AD211" s="183"/>
      <c r="AE211" s="183"/>
      <c r="AF211" s="183"/>
      <c r="AG211" s="183"/>
      <c r="AH211" s="183"/>
      <c r="AI211" s="20"/>
    </row>
    <row r="212" spans="2:35" ht="15.75" x14ac:dyDescent="0.25">
      <c r="B212" s="84"/>
      <c r="C212" s="83"/>
      <c r="D212" s="183"/>
      <c r="E212" s="183"/>
      <c r="F212" s="183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  <c r="AA212" s="183"/>
      <c r="AB212" s="183"/>
      <c r="AC212" s="183"/>
      <c r="AD212" s="183"/>
      <c r="AE212" s="183"/>
      <c r="AF212" s="183"/>
      <c r="AG212" s="183"/>
      <c r="AH212" s="183"/>
      <c r="AI212" s="20"/>
    </row>
    <row r="213" spans="2:35" ht="15.75" x14ac:dyDescent="0.25">
      <c r="B213" s="84"/>
      <c r="C213" s="83"/>
      <c r="D213" s="183"/>
      <c r="E213" s="183"/>
      <c r="F213" s="183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  <c r="AA213" s="183"/>
      <c r="AB213" s="183"/>
      <c r="AC213" s="183"/>
      <c r="AD213" s="183"/>
      <c r="AE213" s="183"/>
      <c r="AF213" s="183"/>
      <c r="AG213" s="183"/>
      <c r="AH213" s="183"/>
      <c r="AI213" s="20"/>
    </row>
    <row r="214" spans="2:35" ht="15.75" x14ac:dyDescent="0.25">
      <c r="B214" s="84"/>
      <c r="C214" s="83"/>
      <c r="D214" s="183"/>
      <c r="E214" s="183"/>
      <c r="F214" s="183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  <c r="AA214" s="183"/>
      <c r="AB214" s="183"/>
      <c r="AC214" s="183"/>
      <c r="AD214" s="183"/>
      <c r="AE214" s="183"/>
      <c r="AF214" s="183"/>
      <c r="AG214" s="183"/>
      <c r="AH214" s="183"/>
      <c r="AI214" s="20"/>
    </row>
    <row r="215" spans="2:35" ht="15.75" x14ac:dyDescent="0.25">
      <c r="B215" s="84"/>
      <c r="C215" s="83"/>
      <c r="D215" s="183"/>
      <c r="E215" s="183"/>
      <c r="F215" s="183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  <c r="AA215" s="183"/>
      <c r="AB215" s="183"/>
      <c r="AC215" s="183"/>
      <c r="AD215" s="183"/>
      <c r="AE215" s="183"/>
      <c r="AF215" s="183"/>
      <c r="AG215" s="183"/>
      <c r="AH215" s="183"/>
      <c r="AI215" s="20"/>
    </row>
    <row r="216" spans="2:35" ht="15.75" x14ac:dyDescent="0.25">
      <c r="B216" s="84"/>
      <c r="C216" s="83"/>
      <c r="D216" s="183"/>
      <c r="E216" s="183"/>
      <c r="F216" s="183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  <c r="AA216" s="183"/>
      <c r="AB216" s="183"/>
      <c r="AC216" s="183"/>
      <c r="AD216" s="183"/>
      <c r="AE216" s="183"/>
      <c r="AF216" s="183"/>
      <c r="AG216" s="183"/>
      <c r="AH216" s="183"/>
      <c r="AI216" s="20"/>
    </row>
    <row r="217" spans="2:35" ht="15.75" x14ac:dyDescent="0.25">
      <c r="B217" s="84"/>
      <c r="C217" s="83"/>
      <c r="D217" s="183"/>
      <c r="E217" s="183"/>
      <c r="F217" s="183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  <c r="AA217" s="183"/>
      <c r="AB217" s="183"/>
      <c r="AC217" s="183"/>
      <c r="AD217" s="183"/>
      <c r="AE217" s="183"/>
      <c r="AF217" s="183"/>
      <c r="AG217" s="183"/>
      <c r="AH217" s="183"/>
      <c r="AI217" s="20"/>
    </row>
    <row r="218" spans="2:35" ht="15.75" x14ac:dyDescent="0.25">
      <c r="B218" s="84"/>
      <c r="C218" s="83"/>
      <c r="D218" s="183"/>
      <c r="E218" s="183"/>
      <c r="F218" s="183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  <c r="AA218" s="183"/>
      <c r="AB218" s="183"/>
      <c r="AC218" s="183"/>
      <c r="AD218" s="183"/>
      <c r="AE218" s="183"/>
      <c r="AF218" s="183"/>
      <c r="AG218" s="183"/>
      <c r="AH218" s="183"/>
      <c r="AI218" s="20"/>
    </row>
    <row r="219" spans="2:35" ht="15.75" x14ac:dyDescent="0.25">
      <c r="B219" s="84"/>
      <c r="C219" s="83"/>
      <c r="D219" s="183"/>
      <c r="E219" s="183"/>
      <c r="F219" s="183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  <c r="AA219" s="183"/>
      <c r="AB219" s="183"/>
      <c r="AC219" s="183"/>
      <c r="AD219" s="183"/>
      <c r="AE219" s="183"/>
      <c r="AF219" s="183"/>
      <c r="AG219" s="183"/>
      <c r="AH219" s="183"/>
      <c r="AI219" s="20"/>
    </row>
    <row r="220" spans="2:35" ht="15.75" x14ac:dyDescent="0.25">
      <c r="B220" s="84"/>
      <c r="C220" s="83"/>
      <c r="D220" s="183"/>
      <c r="E220" s="183"/>
      <c r="F220" s="183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  <c r="AA220" s="183"/>
      <c r="AB220" s="183"/>
      <c r="AC220" s="183"/>
      <c r="AD220" s="183"/>
      <c r="AE220" s="183"/>
      <c r="AF220" s="183"/>
      <c r="AG220" s="183"/>
      <c r="AH220" s="183"/>
      <c r="AI220" s="20"/>
    </row>
    <row r="221" spans="2:35" ht="15.75" x14ac:dyDescent="0.25">
      <c r="B221" s="84"/>
      <c r="C221" s="83"/>
      <c r="D221" s="183"/>
      <c r="E221" s="183"/>
      <c r="F221" s="183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  <c r="AA221" s="183"/>
      <c r="AB221" s="183"/>
      <c r="AC221" s="183"/>
      <c r="AD221" s="183"/>
      <c r="AE221" s="183"/>
      <c r="AF221" s="183"/>
      <c r="AG221" s="183"/>
      <c r="AH221" s="183"/>
      <c r="AI221" s="20"/>
    </row>
    <row r="222" spans="2:35" ht="15.75" x14ac:dyDescent="0.25">
      <c r="B222" s="84"/>
      <c r="C222" s="83"/>
      <c r="D222" s="183"/>
      <c r="E222" s="183"/>
      <c r="F222" s="183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  <c r="AA222" s="183"/>
      <c r="AB222" s="183"/>
      <c r="AC222" s="183"/>
      <c r="AD222" s="183"/>
      <c r="AE222" s="183"/>
      <c r="AF222" s="183"/>
      <c r="AG222" s="183"/>
      <c r="AH222" s="183"/>
      <c r="AI222" s="20"/>
    </row>
    <row r="223" spans="2:35" ht="15.75" x14ac:dyDescent="0.25">
      <c r="B223" s="84"/>
      <c r="C223" s="83"/>
      <c r="D223" s="183"/>
      <c r="E223" s="183"/>
      <c r="F223" s="183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  <c r="AA223" s="183"/>
      <c r="AB223" s="183"/>
      <c r="AC223" s="183"/>
      <c r="AD223" s="183"/>
      <c r="AE223" s="183"/>
      <c r="AF223" s="183"/>
      <c r="AG223" s="183"/>
      <c r="AH223" s="183"/>
      <c r="AI223" s="20"/>
    </row>
    <row r="224" spans="2:35" ht="15.75" x14ac:dyDescent="0.25">
      <c r="B224" s="84"/>
      <c r="C224" s="83"/>
      <c r="D224" s="183"/>
      <c r="E224" s="183"/>
      <c r="F224" s="183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  <c r="AA224" s="183"/>
      <c r="AB224" s="183"/>
      <c r="AC224" s="183"/>
      <c r="AD224" s="183"/>
      <c r="AE224" s="183"/>
      <c r="AF224" s="183"/>
      <c r="AG224" s="183"/>
      <c r="AH224" s="183"/>
      <c r="AI224" s="20"/>
    </row>
    <row r="225" spans="2:35" ht="15.75" x14ac:dyDescent="0.25">
      <c r="B225" s="84"/>
      <c r="C225" s="83"/>
      <c r="D225" s="183"/>
      <c r="E225" s="183"/>
      <c r="F225" s="183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  <c r="AA225" s="183"/>
      <c r="AB225" s="183"/>
      <c r="AC225" s="183"/>
      <c r="AD225" s="183"/>
      <c r="AE225" s="183"/>
      <c r="AF225" s="183"/>
      <c r="AG225" s="183"/>
      <c r="AH225" s="183"/>
      <c r="AI225" s="20"/>
    </row>
    <row r="226" spans="2:35" ht="15.75" x14ac:dyDescent="0.25">
      <c r="B226" s="84"/>
      <c r="C226" s="83"/>
      <c r="D226" s="183"/>
      <c r="E226" s="183"/>
      <c r="F226" s="183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  <c r="AA226" s="183"/>
      <c r="AB226" s="183"/>
      <c r="AC226" s="183"/>
      <c r="AD226" s="183"/>
      <c r="AE226" s="183"/>
      <c r="AF226" s="183"/>
      <c r="AG226" s="183"/>
      <c r="AH226" s="183"/>
      <c r="AI226" s="20"/>
    </row>
    <row r="227" spans="2:35" ht="15.75" x14ac:dyDescent="0.25">
      <c r="B227" s="84"/>
      <c r="C227" s="83"/>
      <c r="D227" s="183"/>
      <c r="E227" s="183"/>
      <c r="F227" s="183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  <c r="AA227" s="183"/>
      <c r="AB227" s="183"/>
      <c r="AC227" s="183"/>
      <c r="AD227" s="183"/>
      <c r="AE227" s="183"/>
      <c r="AF227" s="183"/>
      <c r="AG227" s="183"/>
      <c r="AH227" s="183"/>
      <c r="AI227" s="20"/>
    </row>
    <row r="228" spans="2:35" ht="15.75" x14ac:dyDescent="0.25">
      <c r="B228" s="84"/>
      <c r="C228" s="83"/>
      <c r="D228" s="183"/>
      <c r="E228" s="183"/>
      <c r="F228" s="183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  <c r="AA228" s="183"/>
      <c r="AB228" s="183"/>
      <c r="AC228" s="183"/>
      <c r="AD228" s="183"/>
      <c r="AE228" s="183"/>
      <c r="AF228" s="183"/>
      <c r="AG228" s="183"/>
      <c r="AH228" s="183"/>
      <c r="AI228" s="20"/>
    </row>
    <row r="229" spans="2:35" ht="15.75" x14ac:dyDescent="0.25">
      <c r="B229" s="84"/>
      <c r="C229" s="83"/>
      <c r="D229" s="183"/>
      <c r="E229" s="183"/>
      <c r="F229" s="183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  <c r="AA229" s="183"/>
      <c r="AB229" s="183"/>
      <c r="AC229" s="183"/>
      <c r="AD229" s="183"/>
      <c r="AE229" s="183"/>
      <c r="AF229" s="183"/>
      <c r="AG229" s="183"/>
      <c r="AH229" s="183"/>
      <c r="AI229" s="20"/>
    </row>
    <row r="230" spans="2:35" ht="15.75" x14ac:dyDescent="0.25">
      <c r="B230" s="84"/>
      <c r="C230" s="83"/>
      <c r="D230" s="183"/>
      <c r="E230" s="183"/>
      <c r="F230" s="183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  <c r="AA230" s="183"/>
      <c r="AB230" s="183"/>
      <c r="AC230" s="183"/>
      <c r="AD230" s="183"/>
      <c r="AE230" s="183"/>
      <c r="AF230" s="183"/>
      <c r="AG230" s="183"/>
      <c r="AH230" s="183"/>
      <c r="AI230" s="20"/>
    </row>
    <row r="231" spans="2:35" ht="15.75" x14ac:dyDescent="0.25">
      <c r="B231" s="84"/>
      <c r="C231" s="83"/>
      <c r="D231" s="183"/>
      <c r="E231" s="183"/>
      <c r="F231" s="183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  <c r="Z231" s="183"/>
      <c r="AA231" s="183"/>
      <c r="AB231" s="183"/>
      <c r="AC231" s="183"/>
      <c r="AD231" s="183"/>
      <c r="AE231" s="183"/>
      <c r="AF231" s="183"/>
      <c r="AG231" s="183"/>
      <c r="AH231" s="183"/>
      <c r="AI231" s="20"/>
    </row>
    <row r="232" spans="2:35" ht="15.75" x14ac:dyDescent="0.25">
      <c r="B232" s="84"/>
      <c r="C232" s="83"/>
      <c r="D232" s="183"/>
      <c r="E232" s="183"/>
      <c r="F232" s="183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3"/>
      <c r="V232" s="183"/>
      <c r="W232" s="183"/>
      <c r="X232" s="183"/>
      <c r="Y232" s="183"/>
      <c r="Z232" s="183"/>
      <c r="AA232" s="183"/>
      <c r="AB232" s="183"/>
      <c r="AC232" s="183"/>
      <c r="AD232" s="183"/>
      <c r="AE232" s="183"/>
      <c r="AF232" s="183"/>
      <c r="AG232" s="183"/>
      <c r="AH232" s="183"/>
      <c r="AI232" s="20"/>
    </row>
    <row r="233" spans="2:35" ht="15.75" x14ac:dyDescent="0.25">
      <c r="B233" s="84"/>
      <c r="C233" s="83"/>
      <c r="D233" s="183"/>
      <c r="E233" s="183"/>
      <c r="F233" s="183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  <c r="Z233" s="183"/>
      <c r="AA233" s="183"/>
      <c r="AB233" s="183"/>
      <c r="AC233" s="183"/>
      <c r="AD233" s="183"/>
      <c r="AE233" s="183"/>
      <c r="AF233" s="183"/>
      <c r="AG233" s="183"/>
      <c r="AH233" s="183"/>
      <c r="AI233" s="20"/>
    </row>
    <row r="234" spans="2:35" ht="15.75" x14ac:dyDescent="0.25">
      <c r="B234" s="84"/>
      <c r="C234" s="83"/>
      <c r="D234" s="183"/>
      <c r="E234" s="183"/>
      <c r="F234" s="183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83"/>
      <c r="Z234" s="183"/>
      <c r="AA234" s="183"/>
      <c r="AB234" s="183"/>
      <c r="AC234" s="183"/>
      <c r="AD234" s="183"/>
      <c r="AE234" s="183"/>
      <c r="AF234" s="183"/>
      <c r="AG234" s="183"/>
      <c r="AH234" s="183"/>
      <c r="AI234" s="20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0000000}">
          <x14:formula1>
            <xm:f>справочник!$E$2:$E$172</xm:f>
          </x14:formula1>
          <xm:sqref>B3:B234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AI231"/>
  <sheetViews>
    <sheetView showZeros="0" topLeftCell="A64" zoomScale="70" zoomScaleNormal="70" workbookViewId="0">
      <selection activeCell="S99" sqref="S99"/>
    </sheetView>
  </sheetViews>
  <sheetFormatPr defaultRowHeight="15" x14ac:dyDescent="0.25"/>
  <cols>
    <col min="1" max="1" width="2.140625" customWidth="1"/>
    <col min="2" max="2" width="51.42578125" bestFit="1" customWidth="1"/>
    <col min="4" max="34" width="6.7109375" customWidth="1"/>
  </cols>
  <sheetData>
    <row r="1" spans="2:35" ht="15" customHeight="1" thickBot="1" x14ac:dyDescent="0.3">
      <c r="B1" s="67">
        <v>45778</v>
      </c>
      <c r="C1" s="68"/>
      <c r="D1" s="69">
        <f>B1</f>
        <v>45778</v>
      </c>
      <c r="E1" s="69">
        <f>D1+1</f>
        <v>45779</v>
      </c>
      <c r="F1" s="69">
        <f t="shared" ref="F1:AH1" si="0">E1+1</f>
        <v>45780</v>
      </c>
      <c r="G1" s="69">
        <f t="shared" si="0"/>
        <v>45781</v>
      </c>
      <c r="H1" s="69">
        <f t="shared" si="0"/>
        <v>45782</v>
      </c>
      <c r="I1" s="69">
        <f t="shared" si="0"/>
        <v>45783</v>
      </c>
      <c r="J1" s="69">
        <f t="shared" si="0"/>
        <v>45784</v>
      </c>
      <c r="K1" s="69">
        <f t="shared" si="0"/>
        <v>45785</v>
      </c>
      <c r="L1" s="69">
        <f t="shared" si="0"/>
        <v>45786</v>
      </c>
      <c r="M1" s="69">
        <f t="shared" si="0"/>
        <v>45787</v>
      </c>
      <c r="N1" s="69">
        <f t="shared" si="0"/>
        <v>45788</v>
      </c>
      <c r="O1" s="69">
        <f t="shared" si="0"/>
        <v>45789</v>
      </c>
      <c r="P1" s="69">
        <f t="shared" si="0"/>
        <v>45790</v>
      </c>
      <c r="Q1" s="69">
        <f t="shared" si="0"/>
        <v>45791</v>
      </c>
      <c r="R1" s="69">
        <f t="shared" si="0"/>
        <v>45792</v>
      </c>
      <c r="S1" s="69">
        <f t="shared" si="0"/>
        <v>45793</v>
      </c>
      <c r="T1" s="69">
        <f t="shared" si="0"/>
        <v>45794</v>
      </c>
      <c r="U1" s="69">
        <f t="shared" si="0"/>
        <v>45795</v>
      </c>
      <c r="V1" s="69">
        <f t="shared" si="0"/>
        <v>45796</v>
      </c>
      <c r="W1" s="69">
        <f t="shared" si="0"/>
        <v>45797</v>
      </c>
      <c r="X1" s="69">
        <f t="shared" si="0"/>
        <v>45798</v>
      </c>
      <c r="Y1" s="69">
        <f t="shared" si="0"/>
        <v>45799</v>
      </c>
      <c r="Z1" s="69">
        <f t="shared" si="0"/>
        <v>45800</v>
      </c>
      <c r="AA1" s="69">
        <f t="shared" si="0"/>
        <v>45801</v>
      </c>
      <c r="AB1" s="69">
        <f t="shared" si="0"/>
        <v>45802</v>
      </c>
      <c r="AC1" s="69">
        <f t="shared" si="0"/>
        <v>45803</v>
      </c>
      <c r="AD1" s="69">
        <f t="shared" si="0"/>
        <v>45804</v>
      </c>
      <c r="AE1" s="69">
        <f t="shared" si="0"/>
        <v>45805</v>
      </c>
      <c r="AF1" s="69">
        <f t="shared" si="0"/>
        <v>45806</v>
      </c>
      <c r="AG1" s="69">
        <f t="shared" si="0"/>
        <v>45807</v>
      </c>
      <c r="AH1" s="69">
        <f t="shared" si="0"/>
        <v>45808</v>
      </c>
      <c r="AI1" s="70"/>
    </row>
    <row r="2" spans="2:35" ht="15" customHeight="1" thickBot="1" x14ac:dyDescent="0.3">
      <c r="B2" s="71"/>
      <c r="C2" s="68"/>
      <c r="D2" s="72">
        <v>1</v>
      </c>
      <c r="E2" s="73">
        <v>2</v>
      </c>
      <c r="F2" s="73">
        <v>3</v>
      </c>
      <c r="G2" s="73">
        <v>4</v>
      </c>
      <c r="H2" s="73">
        <v>5</v>
      </c>
      <c r="I2" s="73">
        <v>6</v>
      </c>
      <c r="J2" s="73">
        <v>7</v>
      </c>
      <c r="K2" s="73">
        <v>8</v>
      </c>
      <c r="L2" s="73">
        <v>9</v>
      </c>
      <c r="M2" s="73">
        <v>10</v>
      </c>
      <c r="N2" s="73">
        <v>11</v>
      </c>
      <c r="O2" s="73">
        <v>12</v>
      </c>
      <c r="P2" s="73">
        <v>13</v>
      </c>
      <c r="Q2" s="73">
        <v>14</v>
      </c>
      <c r="R2" s="73">
        <v>15</v>
      </c>
      <c r="S2" s="73">
        <v>16</v>
      </c>
      <c r="T2" s="73">
        <v>17</v>
      </c>
      <c r="U2" s="73">
        <v>18</v>
      </c>
      <c r="V2" s="73">
        <v>19</v>
      </c>
      <c r="W2" s="73">
        <v>20</v>
      </c>
      <c r="X2" s="73">
        <v>21</v>
      </c>
      <c r="Y2" s="73">
        <v>22</v>
      </c>
      <c r="Z2" s="73">
        <v>23</v>
      </c>
      <c r="AA2" s="73">
        <v>24</v>
      </c>
      <c r="AB2" s="73">
        <v>25</v>
      </c>
      <c r="AC2" s="73">
        <v>26</v>
      </c>
      <c r="AD2" s="73">
        <v>27</v>
      </c>
      <c r="AE2" s="73">
        <v>28</v>
      </c>
      <c r="AF2" s="73">
        <v>29</v>
      </c>
      <c r="AG2" s="73">
        <v>30</v>
      </c>
      <c r="AH2" s="73">
        <v>31</v>
      </c>
      <c r="AI2" s="70"/>
    </row>
    <row r="3" spans="2:35" ht="15" customHeight="1" x14ac:dyDescent="0.25">
      <c r="B3" s="74" t="s">
        <v>212</v>
      </c>
      <c r="C3" s="75">
        <v>25</v>
      </c>
      <c r="D3" s="76">
        <f>SUMIFS('май 2025'!$G$5:$G$2466,'май 2025'!$D$5:$D$2466,$B3,'май 2025'!$J$5:$J$2466,D$1)</f>
        <v>0</v>
      </c>
      <c r="E3" s="76">
        <f>SUMIFS('май 2025'!$G$5:$G$2466,'май 2025'!$D$5:$D$2466,$B3,'май 2025'!$J$5:$J$2466,E$1)</f>
        <v>0</v>
      </c>
      <c r="F3" s="76">
        <f>SUMIFS('май 2025'!$G$5:$G$2466,'май 2025'!$D$5:$D$2466,$B3,'май 2025'!$J$5:$J$2466,F$1)</f>
        <v>0</v>
      </c>
      <c r="G3" s="76">
        <f>SUMIFS('май 2025'!$G$5:$G$2466,'май 2025'!$D$5:$D$2466,$B3,'май 2025'!$J$5:$J$2466,G$1)</f>
        <v>0</v>
      </c>
      <c r="H3" s="76">
        <f>SUMIFS('май 2025'!$G$5:$G$2466,'май 2025'!$D$5:$D$2466,$B3,'май 2025'!$J$5:$J$2466,H$1)</f>
        <v>0</v>
      </c>
      <c r="I3" s="76">
        <f>SUMIFS('май 2025'!$G$5:$G$2466,'май 2025'!$D$5:$D$2466,$B3,'май 2025'!$J$5:$J$2466,I$1)</f>
        <v>0</v>
      </c>
      <c r="J3" s="76">
        <f>SUMIFS('май 2025'!$G$5:$G$2466,'май 2025'!$D$5:$D$2466,$B3,'май 2025'!$J$5:$J$2466,J$1)</f>
        <v>0</v>
      </c>
      <c r="K3" s="76">
        <f>SUMIFS('май 2025'!$G$5:$G$2466,'май 2025'!$D$5:$D$2466,$B3,'май 2025'!$J$5:$J$2466,K$1)</f>
        <v>0</v>
      </c>
      <c r="L3" s="76">
        <f>SUMIFS('май 2025'!$G$5:$G$2466,'май 2025'!$D$5:$D$2466,$B3,'май 2025'!$J$5:$J$2466,L$1)</f>
        <v>0</v>
      </c>
      <c r="M3" s="76">
        <f>SUMIFS('май 2025'!$G$5:$G$2466,'май 2025'!$D$5:$D$2466,$B3,'май 2025'!$J$5:$J$2466,M$1)</f>
        <v>0</v>
      </c>
      <c r="N3" s="76">
        <f>SUMIFS('май 2025'!$G$5:$G$2466,'май 2025'!$D$5:$D$2466,$B3,'май 2025'!$J$5:$J$2466,N$1)</f>
        <v>0</v>
      </c>
      <c r="O3" s="76">
        <f>SUMIFS('май 2025'!$G$5:$G$2466,'май 2025'!$D$5:$D$2466,$B3,'май 2025'!$J$5:$J$2466,O$1)</f>
        <v>0</v>
      </c>
      <c r="P3" s="76">
        <f>SUMIFS('май 2025'!$G$5:$G$2466,'май 2025'!$D$5:$D$2466,$B3,'май 2025'!$J$5:$J$2466,P$1)</f>
        <v>0</v>
      </c>
      <c r="Q3" s="76">
        <f>SUMIFS('май 2025'!$G$5:$G$2466,'май 2025'!$D$5:$D$2466,$B3,'май 2025'!$J$5:$J$2466,Q$1)</f>
        <v>0</v>
      </c>
      <c r="R3" s="76">
        <f>SUMIFS('май 2025'!$G$5:$G$2466,'май 2025'!$D$5:$D$2466,$B3,'май 2025'!$J$5:$J$2466,R$1)</f>
        <v>0</v>
      </c>
      <c r="S3" s="76">
        <f>SUMIFS('май 2025'!$G$5:$G$2466,'май 2025'!$D$5:$D$2466,$B3,'май 2025'!$J$5:$J$2466,S$1)</f>
        <v>800</v>
      </c>
      <c r="T3" s="76">
        <f>SUMIFS('май 2025'!$G$5:$G$2466,'май 2025'!$D$5:$D$2466,$B3,'май 2025'!$J$5:$J$2466,T$1)</f>
        <v>0</v>
      </c>
      <c r="U3" s="76">
        <f>SUMIFS('май 2025'!$G$5:$G$2466,'май 2025'!$D$5:$D$2466,$B3,'май 2025'!$J$5:$J$2466,U$1)</f>
        <v>0</v>
      </c>
      <c r="V3" s="76">
        <f>SUMIFS('май 2025'!$G$5:$G$2466,'май 2025'!$D$5:$D$2466,$B3,'май 2025'!$J$5:$J$2466,V$1)</f>
        <v>0</v>
      </c>
      <c r="W3" s="76">
        <f>SUMIFS('май 2025'!$G$5:$G$2466,'май 2025'!$D$5:$D$2466,$B3,'май 2025'!$J$5:$J$2466,W$1)</f>
        <v>0</v>
      </c>
      <c r="X3" s="76">
        <f>SUMIFS('май 2025'!$G$5:$G$2466,'май 2025'!$D$5:$D$2466,$B3,'май 2025'!$J$5:$J$2466,X$1)</f>
        <v>0</v>
      </c>
      <c r="Y3" s="76">
        <f>SUMIFS('май 2025'!$G$5:$G$2466,'май 2025'!$D$5:$D$2466,$B3,'май 2025'!$J$5:$J$2466,Y$1)</f>
        <v>0</v>
      </c>
      <c r="Z3" s="76">
        <f>SUMIFS('май 2025'!$G$5:$G$2466,'май 2025'!$D$5:$D$2466,$B3,'май 2025'!$J$5:$J$2466,Z$1)</f>
        <v>0</v>
      </c>
      <c r="AA3" s="76">
        <f>SUMIFS('май 2025'!$G$5:$G$2466,'май 2025'!$D$5:$D$2466,$B3,'май 2025'!$J$5:$J$2466,AA$1)</f>
        <v>0</v>
      </c>
      <c r="AB3" s="76">
        <f>SUMIFS('май 2025'!$G$5:$G$2466,'май 2025'!$D$5:$D$2466,$B3,'май 2025'!$J$5:$J$2466,AB$1)</f>
        <v>0</v>
      </c>
      <c r="AC3" s="76">
        <f>SUMIFS('май 2025'!$G$5:$G$2466,'май 2025'!$D$5:$D$2466,$B3,'май 2025'!$J$5:$J$2466,AC$1)</f>
        <v>0</v>
      </c>
      <c r="AD3" s="76">
        <f>SUMIFS('май 2025'!$G$5:$G$2466,'май 2025'!$D$5:$D$2466,$B3,'май 2025'!$J$5:$J$2466,AD$1)</f>
        <v>0</v>
      </c>
      <c r="AE3" s="76">
        <f>SUMIFS('май 2025'!$G$5:$G$2466,'май 2025'!$D$5:$D$2466,$B3,'май 2025'!$J$5:$J$2466,AE$1)</f>
        <v>0</v>
      </c>
      <c r="AF3" s="76">
        <f>SUMIFS('май 2025'!$G$5:$G$2466,'май 2025'!$D$5:$D$2466,$B3,'май 2025'!$J$5:$J$2466,AF$1)</f>
        <v>0</v>
      </c>
      <c r="AG3" s="76">
        <f>SUMIFS('май 2025'!$G$5:$G$2466,'май 2025'!$D$5:$D$2466,$B3,'май 2025'!$J$5:$J$2466,AG$1)</f>
        <v>0</v>
      </c>
      <c r="AH3" s="76">
        <f>SUMIFS('май 2025'!$G$5:$G$2466,'май 2025'!$D$5:$D$2466,$B3,'май 2025'!$J$5:$J$2466,AH$1)</f>
        <v>0</v>
      </c>
      <c r="AI3" s="48">
        <f t="shared" ref="AI3:AI160" si="1">SUM(D3:AH3)</f>
        <v>800</v>
      </c>
    </row>
    <row r="4" spans="2:35" ht="15" customHeight="1" x14ac:dyDescent="0.25">
      <c r="B4" s="77" t="s">
        <v>214</v>
      </c>
      <c r="C4" s="78">
        <v>25</v>
      </c>
      <c r="D4" s="76">
        <f>SUMIFS('май 2025'!$G$5:$G$2466,'май 2025'!$D$5:$D$2466,$B4,'май 2025'!$J$5:$J$2466,D$1)</f>
        <v>0</v>
      </c>
      <c r="E4" s="76">
        <f>SUMIFS('май 2025'!$G$5:$G$2466,'май 2025'!$D$5:$D$2466,$B4,'май 2025'!$J$5:$J$2466,E$1)</f>
        <v>0</v>
      </c>
      <c r="F4" s="76">
        <f>SUMIFS('май 2025'!$G$5:$G$2466,'май 2025'!$D$5:$D$2466,$B4,'май 2025'!$J$5:$J$2466,F$1)</f>
        <v>0</v>
      </c>
      <c r="G4" s="76">
        <f>SUMIFS('май 2025'!$G$5:$G$2466,'май 2025'!$D$5:$D$2466,$B4,'май 2025'!$J$5:$J$2466,G$1)</f>
        <v>0</v>
      </c>
      <c r="H4" s="76">
        <f>SUMIFS('май 2025'!$G$5:$G$2466,'май 2025'!$D$5:$D$2466,$B4,'май 2025'!$J$5:$J$2466,H$1)</f>
        <v>0</v>
      </c>
      <c r="I4" s="76">
        <f>SUMIFS('май 2025'!$G$5:$G$2466,'май 2025'!$D$5:$D$2466,$B4,'май 2025'!$J$5:$J$2466,I$1)</f>
        <v>0</v>
      </c>
      <c r="J4" s="76">
        <f>SUMIFS('май 2025'!$G$5:$G$2466,'май 2025'!$D$5:$D$2466,$B4,'май 2025'!$J$5:$J$2466,J$1)</f>
        <v>0</v>
      </c>
      <c r="K4" s="76">
        <f>SUMIFS('май 2025'!$G$5:$G$2466,'май 2025'!$D$5:$D$2466,$B4,'май 2025'!$J$5:$J$2466,K$1)</f>
        <v>0</v>
      </c>
      <c r="L4" s="76">
        <f>SUMIFS('май 2025'!$G$5:$G$2466,'май 2025'!$D$5:$D$2466,$B4,'май 2025'!$J$5:$J$2466,L$1)</f>
        <v>0</v>
      </c>
      <c r="M4" s="76">
        <f>SUMIFS('май 2025'!$G$5:$G$2466,'май 2025'!$D$5:$D$2466,$B4,'май 2025'!$J$5:$J$2466,M$1)</f>
        <v>0</v>
      </c>
      <c r="N4" s="76">
        <f>SUMIFS('май 2025'!$G$5:$G$2466,'май 2025'!$D$5:$D$2466,$B4,'май 2025'!$J$5:$J$2466,N$1)</f>
        <v>0</v>
      </c>
      <c r="O4" s="76">
        <f>SUMIFS('май 2025'!$G$5:$G$2466,'май 2025'!$D$5:$D$2466,$B4,'май 2025'!$J$5:$J$2466,O$1)</f>
        <v>0</v>
      </c>
      <c r="P4" s="76">
        <f>SUMIFS('май 2025'!$G$5:$G$2466,'май 2025'!$D$5:$D$2466,$B4,'май 2025'!$J$5:$J$2466,P$1)</f>
        <v>0</v>
      </c>
      <c r="Q4" s="76">
        <f>SUMIFS('май 2025'!$G$5:$G$2466,'май 2025'!$D$5:$D$2466,$B4,'май 2025'!$J$5:$J$2466,Q$1)</f>
        <v>0</v>
      </c>
      <c r="R4" s="76">
        <f>SUMIFS('май 2025'!$G$5:$G$2466,'май 2025'!$D$5:$D$2466,$B4,'май 2025'!$J$5:$J$2466,R$1)</f>
        <v>0</v>
      </c>
      <c r="S4" s="76">
        <f>SUMIFS('май 2025'!$G$5:$G$2466,'май 2025'!$D$5:$D$2466,$B4,'май 2025'!$J$5:$J$2466,S$1)</f>
        <v>0</v>
      </c>
      <c r="T4" s="76">
        <f>SUMIFS('май 2025'!$G$5:$G$2466,'май 2025'!$D$5:$D$2466,$B4,'май 2025'!$J$5:$J$2466,T$1)</f>
        <v>0</v>
      </c>
      <c r="U4" s="76">
        <f>SUMIFS('май 2025'!$G$5:$G$2466,'май 2025'!$D$5:$D$2466,$B4,'май 2025'!$J$5:$J$2466,U$1)</f>
        <v>0</v>
      </c>
      <c r="V4" s="76">
        <f>SUMIFS('май 2025'!$G$5:$G$2466,'май 2025'!$D$5:$D$2466,$B4,'май 2025'!$J$5:$J$2466,V$1)</f>
        <v>0</v>
      </c>
      <c r="W4" s="76">
        <f>SUMIFS('май 2025'!$G$5:$G$2466,'май 2025'!$D$5:$D$2466,$B4,'май 2025'!$J$5:$J$2466,W$1)</f>
        <v>0</v>
      </c>
      <c r="X4" s="76">
        <f>SUMIFS('май 2025'!$G$5:$G$2466,'май 2025'!$D$5:$D$2466,$B4,'май 2025'!$J$5:$J$2466,X$1)</f>
        <v>0</v>
      </c>
      <c r="Y4" s="76">
        <f>SUMIFS('май 2025'!$G$5:$G$2466,'май 2025'!$D$5:$D$2466,$B4,'май 2025'!$J$5:$J$2466,Y$1)</f>
        <v>0</v>
      </c>
      <c r="Z4" s="76">
        <f>SUMIFS('май 2025'!$G$5:$G$2466,'май 2025'!$D$5:$D$2466,$B4,'май 2025'!$J$5:$J$2466,Z$1)</f>
        <v>0</v>
      </c>
      <c r="AA4" s="76">
        <f>SUMIFS('май 2025'!$G$5:$G$2466,'май 2025'!$D$5:$D$2466,$B4,'май 2025'!$J$5:$J$2466,AA$1)</f>
        <v>0</v>
      </c>
      <c r="AB4" s="76">
        <f>SUMIFS('май 2025'!$G$5:$G$2466,'май 2025'!$D$5:$D$2466,$B4,'май 2025'!$J$5:$J$2466,AB$1)</f>
        <v>0</v>
      </c>
      <c r="AC4" s="76">
        <f>SUMIFS('май 2025'!$G$5:$G$2466,'май 2025'!$D$5:$D$2466,$B4,'май 2025'!$J$5:$J$2466,AC$1)</f>
        <v>0</v>
      </c>
      <c r="AD4" s="76">
        <f>SUMIFS('май 2025'!$G$5:$G$2466,'май 2025'!$D$5:$D$2466,$B4,'май 2025'!$J$5:$J$2466,AD$1)</f>
        <v>0</v>
      </c>
      <c r="AE4" s="76">
        <f>SUMIFS('май 2025'!$G$5:$G$2466,'май 2025'!$D$5:$D$2466,$B4,'май 2025'!$J$5:$J$2466,AE$1)</f>
        <v>0</v>
      </c>
      <c r="AF4" s="76">
        <f>SUMIFS('май 2025'!$G$5:$G$2466,'май 2025'!$D$5:$D$2466,$B4,'май 2025'!$J$5:$J$2466,AF$1)</f>
        <v>0</v>
      </c>
      <c r="AG4" s="76">
        <f>SUMIFS('май 2025'!$G$5:$G$2466,'май 2025'!$D$5:$D$2466,$B4,'май 2025'!$J$5:$J$2466,AG$1)</f>
        <v>0</v>
      </c>
      <c r="AH4" s="76">
        <f>SUMIFS('май 2025'!$G$5:$G$2466,'май 2025'!$D$5:$D$2466,$B4,'май 2025'!$J$5:$J$2466,AH$1)</f>
        <v>0</v>
      </c>
      <c r="AI4" s="20">
        <f t="shared" si="1"/>
        <v>0</v>
      </c>
    </row>
    <row r="5" spans="2:35" ht="15" customHeight="1" x14ac:dyDescent="0.25">
      <c r="B5" s="77" t="s">
        <v>216</v>
      </c>
      <c r="C5" s="78">
        <v>25</v>
      </c>
      <c r="D5" s="76">
        <f>SUMIFS('май 2025'!$G$5:$G$2466,'май 2025'!$D$5:$D$2466,$B5,'май 2025'!$J$5:$J$2466,D$1)</f>
        <v>0</v>
      </c>
      <c r="E5" s="76">
        <f>SUMIFS('май 2025'!$G$5:$G$2466,'май 2025'!$D$5:$D$2466,$B5,'май 2025'!$J$5:$J$2466,E$1)</f>
        <v>0</v>
      </c>
      <c r="F5" s="76">
        <f>SUMIFS('май 2025'!$G$5:$G$2466,'май 2025'!$D$5:$D$2466,$B5,'май 2025'!$J$5:$J$2466,F$1)</f>
        <v>0</v>
      </c>
      <c r="G5" s="76">
        <f>SUMIFS('май 2025'!$G$5:$G$2466,'май 2025'!$D$5:$D$2466,$B5,'май 2025'!$J$5:$J$2466,G$1)</f>
        <v>0</v>
      </c>
      <c r="H5" s="76">
        <f>SUMIFS('май 2025'!$G$5:$G$2466,'май 2025'!$D$5:$D$2466,$B5,'май 2025'!$J$5:$J$2466,H$1)</f>
        <v>0</v>
      </c>
      <c r="I5" s="76">
        <f>SUMIFS('май 2025'!$G$5:$G$2466,'май 2025'!$D$5:$D$2466,$B5,'май 2025'!$J$5:$J$2466,I$1)</f>
        <v>0</v>
      </c>
      <c r="J5" s="76">
        <f>SUMIFS('май 2025'!$G$5:$G$2466,'май 2025'!$D$5:$D$2466,$B5,'май 2025'!$J$5:$J$2466,J$1)</f>
        <v>0</v>
      </c>
      <c r="K5" s="76">
        <f>SUMIFS('май 2025'!$G$5:$G$2466,'май 2025'!$D$5:$D$2466,$B5,'май 2025'!$J$5:$J$2466,K$1)</f>
        <v>0</v>
      </c>
      <c r="L5" s="76">
        <f>SUMIFS('май 2025'!$G$5:$G$2466,'май 2025'!$D$5:$D$2466,$B5,'май 2025'!$J$5:$J$2466,L$1)</f>
        <v>0</v>
      </c>
      <c r="M5" s="76">
        <f>SUMIFS('май 2025'!$G$5:$G$2466,'май 2025'!$D$5:$D$2466,$B5,'май 2025'!$J$5:$J$2466,M$1)</f>
        <v>0</v>
      </c>
      <c r="N5" s="76">
        <f>SUMIFS('май 2025'!$G$5:$G$2466,'май 2025'!$D$5:$D$2466,$B5,'май 2025'!$J$5:$J$2466,N$1)</f>
        <v>0</v>
      </c>
      <c r="O5" s="76">
        <f>SUMIFS('май 2025'!$G$5:$G$2466,'май 2025'!$D$5:$D$2466,$B5,'май 2025'!$J$5:$J$2466,O$1)</f>
        <v>0</v>
      </c>
      <c r="P5" s="76">
        <f>SUMIFS('май 2025'!$G$5:$G$2466,'май 2025'!$D$5:$D$2466,$B5,'май 2025'!$J$5:$J$2466,P$1)</f>
        <v>0</v>
      </c>
      <c r="Q5" s="76">
        <f>SUMIFS('май 2025'!$G$5:$G$2466,'май 2025'!$D$5:$D$2466,$B5,'май 2025'!$J$5:$J$2466,Q$1)</f>
        <v>0</v>
      </c>
      <c r="R5" s="76">
        <f>SUMIFS('май 2025'!$G$5:$G$2466,'май 2025'!$D$5:$D$2466,$B5,'май 2025'!$J$5:$J$2466,R$1)</f>
        <v>0</v>
      </c>
      <c r="S5" s="76">
        <f>SUMIFS('май 2025'!$G$5:$G$2466,'май 2025'!$D$5:$D$2466,$B5,'май 2025'!$J$5:$J$2466,S$1)</f>
        <v>0</v>
      </c>
      <c r="T5" s="76">
        <f>SUMIFS('май 2025'!$G$5:$G$2466,'май 2025'!$D$5:$D$2466,$B5,'май 2025'!$J$5:$J$2466,T$1)</f>
        <v>0</v>
      </c>
      <c r="U5" s="76">
        <f>SUMIFS('май 2025'!$G$5:$G$2466,'май 2025'!$D$5:$D$2466,$B5,'май 2025'!$J$5:$J$2466,U$1)</f>
        <v>0</v>
      </c>
      <c r="V5" s="76">
        <f>SUMIFS('май 2025'!$G$5:$G$2466,'май 2025'!$D$5:$D$2466,$B5,'май 2025'!$J$5:$J$2466,V$1)</f>
        <v>0</v>
      </c>
      <c r="W5" s="76">
        <f>SUMIFS('май 2025'!$G$5:$G$2466,'май 2025'!$D$5:$D$2466,$B5,'май 2025'!$J$5:$J$2466,W$1)</f>
        <v>0</v>
      </c>
      <c r="X5" s="76">
        <f>SUMIFS('май 2025'!$G$5:$G$2466,'май 2025'!$D$5:$D$2466,$B5,'май 2025'!$J$5:$J$2466,X$1)</f>
        <v>0</v>
      </c>
      <c r="Y5" s="76">
        <f>SUMIFS('май 2025'!$G$5:$G$2466,'май 2025'!$D$5:$D$2466,$B5,'май 2025'!$J$5:$J$2466,Y$1)</f>
        <v>0</v>
      </c>
      <c r="Z5" s="76">
        <f>SUMIFS('май 2025'!$G$5:$G$2466,'май 2025'!$D$5:$D$2466,$B5,'май 2025'!$J$5:$J$2466,Z$1)</f>
        <v>0</v>
      </c>
      <c r="AA5" s="76">
        <f>SUMIFS('май 2025'!$G$5:$G$2466,'май 2025'!$D$5:$D$2466,$B5,'май 2025'!$J$5:$J$2466,AA$1)</f>
        <v>0</v>
      </c>
      <c r="AB5" s="76">
        <f>SUMIFS('май 2025'!$G$5:$G$2466,'май 2025'!$D$5:$D$2466,$B5,'май 2025'!$J$5:$J$2466,AB$1)</f>
        <v>0</v>
      </c>
      <c r="AC5" s="76">
        <f>SUMIFS('май 2025'!$G$5:$G$2466,'май 2025'!$D$5:$D$2466,$B5,'май 2025'!$J$5:$J$2466,AC$1)</f>
        <v>0</v>
      </c>
      <c r="AD5" s="76">
        <f>SUMIFS('май 2025'!$G$5:$G$2466,'май 2025'!$D$5:$D$2466,$B5,'май 2025'!$J$5:$J$2466,AD$1)</f>
        <v>0</v>
      </c>
      <c r="AE5" s="76">
        <f>SUMIFS('май 2025'!$G$5:$G$2466,'май 2025'!$D$5:$D$2466,$B5,'май 2025'!$J$5:$J$2466,AE$1)</f>
        <v>0</v>
      </c>
      <c r="AF5" s="76">
        <f>SUMIFS('май 2025'!$G$5:$G$2466,'май 2025'!$D$5:$D$2466,$B5,'май 2025'!$J$5:$J$2466,AF$1)</f>
        <v>0</v>
      </c>
      <c r="AG5" s="76">
        <f>SUMIFS('май 2025'!$G$5:$G$2466,'май 2025'!$D$5:$D$2466,$B5,'май 2025'!$J$5:$J$2466,AG$1)</f>
        <v>0</v>
      </c>
      <c r="AH5" s="76">
        <f>SUMIFS('май 2025'!$G$5:$G$2466,'май 2025'!$D$5:$D$2466,$B5,'май 2025'!$J$5:$J$2466,AH$1)</f>
        <v>0</v>
      </c>
      <c r="AI5" s="20">
        <f t="shared" si="1"/>
        <v>0</v>
      </c>
    </row>
    <row r="6" spans="2:35" ht="15" customHeight="1" x14ac:dyDescent="0.25">
      <c r="B6" s="77" t="s">
        <v>218</v>
      </c>
      <c r="C6" s="78">
        <v>22.7</v>
      </c>
      <c r="D6" s="76">
        <f>SUMIFS('май 2025'!$G$5:$G$2466,'май 2025'!$D$5:$D$2466,$B6,'май 2025'!$J$5:$J$2466,D$1)</f>
        <v>0</v>
      </c>
      <c r="E6" s="76">
        <f>SUMIFS('май 2025'!$G$5:$G$2466,'май 2025'!$D$5:$D$2466,$B6,'май 2025'!$J$5:$J$2466,E$1)</f>
        <v>0</v>
      </c>
      <c r="F6" s="76">
        <f>SUMIFS('май 2025'!$G$5:$G$2466,'май 2025'!$D$5:$D$2466,$B6,'май 2025'!$J$5:$J$2466,F$1)</f>
        <v>0</v>
      </c>
      <c r="G6" s="76">
        <f>SUMIFS('май 2025'!$G$5:$G$2466,'май 2025'!$D$5:$D$2466,$B6,'май 2025'!$J$5:$J$2466,G$1)</f>
        <v>0</v>
      </c>
      <c r="H6" s="76">
        <f>SUMIFS('май 2025'!$G$5:$G$2466,'май 2025'!$D$5:$D$2466,$B6,'май 2025'!$J$5:$J$2466,H$1)</f>
        <v>0</v>
      </c>
      <c r="I6" s="76">
        <f>SUMIFS('май 2025'!$G$5:$G$2466,'май 2025'!$D$5:$D$2466,$B6,'май 2025'!$J$5:$J$2466,I$1)</f>
        <v>0</v>
      </c>
      <c r="J6" s="76">
        <f>SUMIFS('май 2025'!$G$5:$G$2466,'май 2025'!$D$5:$D$2466,$B6,'май 2025'!$J$5:$J$2466,J$1)</f>
        <v>0</v>
      </c>
      <c r="K6" s="76">
        <f>SUMIFS('май 2025'!$G$5:$G$2466,'май 2025'!$D$5:$D$2466,$B6,'май 2025'!$J$5:$J$2466,K$1)</f>
        <v>0</v>
      </c>
      <c r="L6" s="76">
        <f>SUMIFS('май 2025'!$G$5:$G$2466,'май 2025'!$D$5:$D$2466,$B6,'май 2025'!$J$5:$J$2466,L$1)</f>
        <v>0</v>
      </c>
      <c r="M6" s="76">
        <f>SUMIFS('май 2025'!$G$5:$G$2466,'май 2025'!$D$5:$D$2466,$B6,'май 2025'!$J$5:$J$2466,M$1)</f>
        <v>0</v>
      </c>
      <c r="N6" s="76">
        <f>SUMIFS('май 2025'!$G$5:$G$2466,'май 2025'!$D$5:$D$2466,$B6,'май 2025'!$J$5:$J$2466,N$1)</f>
        <v>0</v>
      </c>
      <c r="O6" s="76">
        <f>SUMIFS('май 2025'!$G$5:$G$2466,'май 2025'!$D$5:$D$2466,$B6,'май 2025'!$J$5:$J$2466,O$1)</f>
        <v>0</v>
      </c>
      <c r="P6" s="76">
        <f>SUMIFS('май 2025'!$G$5:$G$2466,'май 2025'!$D$5:$D$2466,$B6,'май 2025'!$J$5:$J$2466,P$1)</f>
        <v>0</v>
      </c>
      <c r="Q6" s="76">
        <f>SUMIFS('май 2025'!$G$5:$G$2466,'май 2025'!$D$5:$D$2466,$B6,'май 2025'!$J$5:$J$2466,Q$1)</f>
        <v>0</v>
      </c>
      <c r="R6" s="76">
        <f>SUMIFS('май 2025'!$G$5:$G$2466,'май 2025'!$D$5:$D$2466,$B6,'май 2025'!$J$5:$J$2466,R$1)</f>
        <v>0</v>
      </c>
      <c r="S6" s="76">
        <f>SUMIFS('май 2025'!$G$5:$G$2466,'май 2025'!$D$5:$D$2466,$B6,'май 2025'!$J$5:$J$2466,S$1)</f>
        <v>0</v>
      </c>
      <c r="T6" s="76">
        <f>SUMIFS('май 2025'!$G$5:$G$2466,'май 2025'!$D$5:$D$2466,$B6,'май 2025'!$J$5:$J$2466,T$1)</f>
        <v>0</v>
      </c>
      <c r="U6" s="76">
        <f>SUMIFS('май 2025'!$G$5:$G$2466,'май 2025'!$D$5:$D$2466,$B6,'май 2025'!$J$5:$J$2466,U$1)</f>
        <v>0</v>
      </c>
      <c r="V6" s="76">
        <f>SUMIFS('май 2025'!$G$5:$G$2466,'май 2025'!$D$5:$D$2466,$B6,'май 2025'!$J$5:$J$2466,V$1)</f>
        <v>0</v>
      </c>
      <c r="W6" s="76">
        <f>SUMIFS('май 2025'!$G$5:$G$2466,'май 2025'!$D$5:$D$2466,$B6,'май 2025'!$J$5:$J$2466,W$1)</f>
        <v>0</v>
      </c>
      <c r="X6" s="76">
        <f>SUMIFS('май 2025'!$G$5:$G$2466,'май 2025'!$D$5:$D$2466,$B6,'май 2025'!$J$5:$J$2466,X$1)</f>
        <v>0</v>
      </c>
      <c r="Y6" s="76">
        <f>SUMIFS('май 2025'!$G$5:$G$2466,'май 2025'!$D$5:$D$2466,$B6,'май 2025'!$J$5:$J$2466,Y$1)</f>
        <v>0</v>
      </c>
      <c r="Z6" s="76">
        <f>SUMIFS('май 2025'!$G$5:$G$2466,'май 2025'!$D$5:$D$2466,$B6,'май 2025'!$J$5:$J$2466,Z$1)</f>
        <v>0</v>
      </c>
      <c r="AA6" s="76">
        <f>SUMIFS('май 2025'!$G$5:$G$2466,'май 2025'!$D$5:$D$2466,$B6,'май 2025'!$J$5:$J$2466,AA$1)</f>
        <v>0</v>
      </c>
      <c r="AB6" s="76">
        <f>SUMIFS('май 2025'!$G$5:$G$2466,'май 2025'!$D$5:$D$2466,$B6,'май 2025'!$J$5:$J$2466,AB$1)</f>
        <v>0</v>
      </c>
      <c r="AC6" s="76">
        <f>SUMIFS('май 2025'!$G$5:$G$2466,'май 2025'!$D$5:$D$2466,$B6,'май 2025'!$J$5:$J$2466,AC$1)</f>
        <v>0</v>
      </c>
      <c r="AD6" s="76">
        <f>SUMIFS('май 2025'!$G$5:$G$2466,'май 2025'!$D$5:$D$2466,$B6,'май 2025'!$J$5:$J$2466,AD$1)</f>
        <v>0</v>
      </c>
      <c r="AE6" s="76">
        <f>SUMIFS('май 2025'!$G$5:$G$2466,'май 2025'!$D$5:$D$2466,$B6,'май 2025'!$J$5:$J$2466,AE$1)</f>
        <v>0</v>
      </c>
      <c r="AF6" s="76">
        <f>SUMIFS('май 2025'!$G$5:$G$2466,'май 2025'!$D$5:$D$2466,$B6,'май 2025'!$J$5:$J$2466,AF$1)</f>
        <v>0</v>
      </c>
      <c r="AG6" s="76">
        <f>SUMIFS('май 2025'!$G$5:$G$2466,'май 2025'!$D$5:$D$2466,$B6,'май 2025'!$J$5:$J$2466,AG$1)</f>
        <v>0</v>
      </c>
      <c r="AH6" s="76">
        <f>SUMIFS('май 2025'!$G$5:$G$2466,'май 2025'!$D$5:$D$2466,$B6,'май 2025'!$J$5:$J$2466,AH$1)</f>
        <v>0</v>
      </c>
      <c r="AI6" s="20">
        <f t="shared" si="1"/>
        <v>0</v>
      </c>
    </row>
    <row r="7" spans="2:35" ht="15" customHeight="1" x14ac:dyDescent="0.25">
      <c r="B7" s="77" t="s">
        <v>220</v>
      </c>
      <c r="C7" s="78">
        <v>22.7</v>
      </c>
      <c r="D7" s="76">
        <f>SUMIFS('май 2025'!$G$5:$G$2466,'май 2025'!$D$5:$D$2466,$B7,'май 2025'!$J$5:$J$2466,D$1)</f>
        <v>0</v>
      </c>
      <c r="E7" s="76">
        <f>SUMIFS('май 2025'!$G$5:$G$2466,'май 2025'!$D$5:$D$2466,$B7,'май 2025'!$J$5:$J$2466,E$1)</f>
        <v>0</v>
      </c>
      <c r="F7" s="76">
        <f>SUMIFS('май 2025'!$G$5:$G$2466,'май 2025'!$D$5:$D$2466,$B7,'май 2025'!$J$5:$J$2466,F$1)</f>
        <v>0</v>
      </c>
      <c r="G7" s="76">
        <f>SUMIFS('май 2025'!$G$5:$G$2466,'май 2025'!$D$5:$D$2466,$B7,'май 2025'!$J$5:$J$2466,G$1)</f>
        <v>0</v>
      </c>
      <c r="H7" s="76">
        <f>SUMIFS('май 2025'!$G$5:$G$2466,'май 2025'!$D$5:$D$2466,$B7,'май 2025'!$J$5:$J$2466,H$1)</f>
        <v>0</v>
      </c>
      <c r="I7" s="76">
        <f>SUMIFS('май 2025'!$G$5:$G$2466,'май 2025'!$D$5:$D$2466,$B7,'май 2025'!$J$5:$J$2466,I$1)</f>
        <v>0</v>
      </c>
      <c r="J7" s="76">
        <f>SUMIFS('май 2025'!$G$5:$G$2466,'май 2025'!$D$5:$D$2466,$B7,'май 2025'!$J$5:$J$2466,J$1)</f>
        <v>0</v>
      </c>
      <c r="K7" s="76">
        <f>SUMIFS('май 2025'!$G$5:$G$2466,'май 2025'!$D$5:$D$2466,$B7,'май 2025'!$J$5:$J$2466,K$1)</f>
        <v>0</v>
      </c>
      <c r="L7" s="76">
        <f>SUMIFS('май 2025'!$G$5:$G$2466,'май 2025'!$D$5:$D$2466,$B7,'май 2025'!$J$5:$J$2466,L$1)</f>
        <v>0</v>
      </c>
      <c r="M7" s="76">
        <f>SUMIFS('май 2025'!$G$5:$G$2466,'май 2025'!$D$5:$D$2466,$B7,'май 2025'!$J$5:$J$2466,M$1)</f>
        <v>0</v>
      </c>
      <c r="N7" s="76">
        <f>SUMIFS('май 2025'!$G$5:$G$2466,'май 2025'!$D$5:$D$2466,$B7,'май 2025'!$J$5:$J$2466,N$1)</f>
        <v>0</v>
      </c>
      <c r="O7" s="76">
        <f>SUMIFS('май 2025'!$G$5:$G$2466,'май 2025'!$D$5:$D$2466,$B7,'май 2025'!$J$5:$J$2466,O$1)</f>
        <v>0</v>
      </c>
      <c r="P7" s="76">
        <f>SUMIFS('май 2025'!$G$5:$G$2466,'май 2025'!$D$5:$D$2466,$B7,'май 2025'!$J$5:$J$2466,P$1)</f>
        <v>0</v>
      </c>
      <c r="Q7" s="76">
        <f>SUMIFS('май 2025'!$G$5:$G$2466,'май 2025'!$D$5:$D$2466,$B7,'май 2025'!$J$5:$J$2466,Q$1)</f>
        <v>0</v>
      </c>
      <c r="R7" s="76">
        <f>SUMIFS('май 2025'!$G$5:$G$2466,'май 2025'!$D$5:$D$2466,$B7,'май 2025'!$J$5:$J$2466,R$1)</f>
        <v>0</v>
      </c>
      <c r="S7" s="76">
        <f>SUMIFS('май 2025'!$G$5:$G$2466,'май 2025'!$D$5:$D$2466,$B7,'май 2025'!$J$5:$J$2466,S$1)</f>
        <v>0</v>
      </c>
      <c r="T7" s="76">
        <f>SUMIFS('май 2025'!$G$5:$G$2466,'май 2025'!$D$5:$D$2466,$B7,'май 2025'!$J$5:$J$2466,T$1)</f>
        <v>0</v>
      </c>
      <c r="U7" s="76">
        <f>SUMIFS('май 2025'!$G$5:$G$2466,'май 2025'!$D$5:$D$2466,$B7,'май 2025'!$J$5:$J$2466,U$1)</f>
        <v>0</v>
      </c>
      <c r="V7" s="76">
        <f>SUMIFS('май 2025'!$G$5:$G$2466,'май 2025'!$D$5:$D$2466,$B7,'май 2025'!$J$5:$J$2466,V$1)</f>
        <v>0</v>
      </c>
      <c r="W7" s="76">
        <f>SUMIFS('май 2025'!$G$5:$G$2466,'май 2025'!$D$5:$D$2466,$B7,'май 2025'!$J$5:$J$2466,W$1)</f>
        <v>0</v>
      </c>
      <c r="X7" s="76">
        <f>SUMIFS('май 2025'!$G$5:$G$2466,'май 2025'!$D$5:$D$2466,$B7,'май 2025'!$J$5:$J$2466,X$1)</f>
        <v>0</v>
      </c>
      <c r="Y7" s="76">
        <f>SUMIFS('май 2025'!$G$5:$G$2466,'май 2025'!$D$5:$D$2466,$B7,'май 2025'!$J$5:$J$2466,Y$1)</f>
        <v>0</v>
      </c>
      <c r="Z7" s="76">
        <f>SUMIFS('май 2025'!$G$5:$G$2466,'май 2025'!$D$5:$D$2466,$B7,'май 2025'!$J$5:$J$2466,Z$1)</f>
        <v>0</v>
      </c>
      <c r="AA7" s="76">
        <f>SUMIFS('май 2025'!$G$5:$G$2466,'май 2025'!$D$5:$D$2466,$B7,'май 2025'!$J$5:$J$2466,AA$1)</f>
        <v>0</v>
      </c>
      <c r="AB7" s="76">
        <f>SUMIFS('май 2025'!$G$5:$G$2466,'май 2025'!$D$5:$D$2466,$B7,'май 2025'!$J$5:$J$2466,AB$1)</f>
        <v>0</v>
      </c>
      <c r="AC7" s="76">
        <f>SUMIFS('май 2025'!$G$5:$G$2466,'май 2025'!$D$5:$D$2466,$B7,'май 2025'!$J$5:$J$2466,AC$1)</f>
        <v>0</v>
      </c>
      <c r="AD7" s="76">
        <f>SUMIFS('май 2025'!$G$5:$G$2466,'май 2025'!$D$5:$D$2466,$B7,'май 2025'!$J$5:$J$2466,AD$1)</f>
        <v>0</v>
      </c>
      <c r="AE7" s="76">
        <f>SUMIFS('май 2025'!$G$5:$G$2466,'май 2025'!$D$5:$D$2466,$B7,'май 2025'!$J$5:$J$2466,AE$1)</f>
        <v>0</v>
      </c>
      <c r="AF7" s="76">
        <f>SUMIFS('май 2025'!$G$5:$G$2466,'май 2025'!$D$5:$D$2466,$B7,'май 2025'!$J$5:$J$2466,AF$1)</f>
        <v>0</v>
      </c>
      <c r="AG7" s="76">
        <f>SUMIFS('май 2025'!$G$5:$G$2466,'май 2025'!$D$5:$D$2466,$B7,'май 2025'!$J$5:$J$2466,AG$1)</f>
        <v>0</v>
      </c>
      <c r="AH7" s="76">
        <f>SUMIFS('май 2025'!$G$5:$G$2466,'май 2025'!$D$5:$D$2466,$B7,'май 2025'!$J$5:$J$2466,AH$1)</f>
        <v>0</v>
      </c>
      <c r="AI7" s="20">
        <f t="shared" si="1"/>
        <v>0</v>
      </c>
    </row>
    <row r="8" spans="2:35" ht="15" customHeight="1" x14ac:dyDescent="0.25">
      <c r="B8" s="79" t="s">
        <v>222</v>
      </c>
      <c r="C8" s="78">
        <v>25</v>
      </c>
      <c r="D8" s="76">
        <f>SUMIFS('май 2025'!$G$5:$G$2466,'май 2025'!$D$5:$D$2466,$B8,'май 2025'!$J$5:$J$2466,D$1)</f>
        <v>0</v>
      </c>
      <c r="E8" s="76">
        <f>SUMIFS('май 2025'!$G$5:$G$2466,'май 2025'!$D$5:$D$2466,$B8,'май 2025'!$J$5:$J$2466,E$1)</f>
        <v>0</v>
      </c>
      <c r="F8" s="76">
        <f>SUMIFS('май 2025'!$G$5:$G$2466,'май 2025'!$D$5:$D$2466,$B8,'май 2025'!$J$5:$J$2466,F$1)</f>
        <v>0</v>
      </c>
      <c r="G8" s="76">
        <f>SUMIFS('май 2025'!$G$5:$G$2466,'май 2025'!$D$5:$D$2466,$B8,'май 2025'!$J$5:$J$2466,G$1)</f>
        <v>0</v>
      </c>
      <c r="H8" s="76">
        <f>SUMIFS('май 2025'!$G$5:$G$2466,'май 2025'!$D$5:$D$2466,$B8,'май 2025'!$J$5:$J$2466,H$1)</f>
        <v>0</v>
      </c>
      <c r="I8" s="76">
        <f>SUMIFS('май 2025'!$G$5:$G$2466,'май 2025'!$D$5:$D$2466,$B8,'май 2025'!$J$5:$J$2466,I$1)</f>
        <v>0</v>
      </c>
      <c r="J8" s="76">
        <f>SUMIFS('май 2025'!$G$5:$G$2466,'май 2025'!$D$5:$D$2466,$B8,'май 2025'!$J$5:$J$2466,J$1)</f>
        <v>800</v>
      </c>
      <c r="K8" s="76">
        <f>SUMIFS('май 2025'!$G$5:$G$2466,'май 2025'!$D$5:$D$2466,$B8,'май 2025'!$J$5:$J$2466,K$1)</f>
        <v>0</v>
      </c>
      <c r="L8" s="76">
        <f>SUMIFS('май 2025'!$G$5:$G$2466,'май 2025'!$D$5:$D$2466,$B8,'май 2025'!$J$5:$J$2466,L$1)</f>
        <v>0</v>
      </c>
      <c r="M8" s="76">
        <f>SUMIFS('май 2025'!$G$5:$G$2466,'май 2025'!$D$5:$D$2466,$B8,'май 2025'!$J$5:$J$2466,M$1)</f>
        <v>0</v>
      </c>
      <c r="N8" s="76">
        <f>SUMIFS('май 2025'!$G$5:$G$2466,'май 2025'!$D$5:$D$2466,$B8,'май 2025'!$J$5:$J$2466,N$1)</f>
        <v>0</v>
      </c>
      <c r="O8" s="76">
        <f>SUMIFS('май 2025'!$G$5:$G$2466,'май 2025'!$D$5:$D$2466,$B8,'май 2025'!$J$5:$J$2466,O$1)</f>
        <v>800</v>
      </c>
      <c r="P8" s="76">
        <f>SUMIFS('май 2025'!$G$5:$G$2466,'май 2025'!$D$5:$D$2466,$B8,'май 2025'!$J$5:$J$2466,P$1)</f>
        <v>0</v>
      </c>
      <c r="Q8" s="76">
        <f>SUMIFS('май 2025'!$G$5:$G$2466,'май 2025'!$D$5:$D$2466,$B8,'май 2025'!$J$5:$J$2466,Q$1)</f>
        <v>0</v>
      </c>
      <c r="R8" s="76">
        <f>SUMIFS('май 2025'!$G$5:$G$2466,'май 2025'!$D$5:$D$2466,$B8,'май 2025'!$J$5:$J$2466,R$1)</f>
        <v>0</v>
      </c>
      <c r="S8" s="76">
        <f>SUMIFS('май 2025'!$G$5:$G$2466,'май 2025'!$D$5:$D$2466,$B8,'май 2025'!$J$5:$J$2466,S$1)</f>
        <v>320</v>
      </c>
      <c r="T8" s="76">
        <f>SUMIFS('май 2025'!$G$5:$G$2466,'май 2025'!$D$5:$D$2466,$B8,'май 2025'!$J$5:$J$2466,T$1)</f>
        <v>0</v>
      </c>
      <c r="U8" s="76">
        <f>SUMIFS('май 2025'!$G$5:$G$2466,'май 2025'!$D$5:$D$2466,$B8,'май 2025'!$J$5:$J$2466,U$1)</f>
        <v>0</v>
      </c>
      <c r="V8" s="76">
        <f>SUMIFS('май 2025'!$G$5:$G$2466,'май 2025'!$D$5:$D$2466,$B8,'май 2025'!$J$5:$J$2466,V$1)</f>
        <v>0</v>
      </c>
      <c r="W8" s="76">
        <f>SUMIFS('май 2025'!$G$5:$G$2466,'май 2025'!$D$5:$D$2466,$B8,'май 2025'!$J$5:$J$2466,W$1)</f>
        <v>0</v>
      </c>
      <c r="X8" s="76">
        <f>SUMIFS('май 2025'!$G$5:$G$2466,'май 2025'!$D$5:$D$2466,$B8,'май 2025'!$J$5:$J$2466,X$1)</f>
        <v>0</v>
      </c>
      <c r="Y8" s="76">
        <f>SUMIFS('май 2025'!$G$5:$G$2466,'май 2025'!$D$5:$D$2466,$B8,'май 2025'!$J$5:$J$2466,Y$1)</f>
        <v>800</v>
      </c>
      <c r="Z8" s="76">
        <f>SUMIFS('май 2025'!$G$5:$G$2466,'май 2025'!$D$5:$D$2466,$B8,'май 2025'!$J$5:$J$2466,Z$1)</f>
        <v>0</v>
      </c>
      <c r="AA8" s="76">
        <f>SUMIFS('май 2025'!$G$5:$G$2466,'май 2025'!$D$5:$D$2466,$B8,'май 2025'!$J$5:$J$2466,AA$1)</f>
        <v>0</v>
      </c>
      <c r="AB8" s="76">
        <f>SUMIFS('май 2025'!$G$5:$G$2466,'май 2025'!$D$5:$D$2466,$B8,'май 2025'!$J$5:$J$2466,AB$1)</f>
        <v>0</v>
      </c>
      <c r="AC8" s="76">
        <f>SUMIFS('май 2025'!$G$5:$G$2466,'май 2025'!$D$5:$D$2466,$B8,'май 2025'!$J$5:$J$2466,AC$1)</f>
        <v>800</v>
      </c>
      <c r="AD8" s="76">
        <f>SUMIFS('май 2025'!$G$5:$G$2466,'май 2025'!$D$5:$D$2466,$B8,'май 2025'!$J$5:$J$2466,AD$1)</f>
        <v>0</v>
      </c>
      <c r="AE8" s="76">
        <f>SUMIFS('май 2025'!$G$5:$G$2466,'май 2025'!$D$5:$D$2466,$B8,'май 2025'!$J$5:$J$2466,AE$1)</f>
        <v>0</v>
      </c>
      <c r="AF8" s="76">
        <f>SUMIFS('май 2025'!$G$5:$G$2466,'май 2025'!$D$5:$D$2466,$B8,'май 2025'!$J$5:$J$2466,AF$1)</f>
        <v>800</v>
      </c>
      <c r="AG8" s="76">
        <f>SUMIFS('май 2025'!$G$5:$G$2466,'май 2025'!$D$5:$D$2466,$B8,'май 2025'!$J$5:$J$2466,AG$1)</f>
        <v>0</v>
      </c>
      <c r="AH8" s="76">
        <f>SUMIFS('май 2025'!$G$5:$G$2466,'май 2025'!$D$5:$D$2466,$B8,'май 2025'!$J$5:$J$2466,AH$1)</f>
        <v>0</v>
      </c>
      <c r="AI8" s="20">
        <f t="shared" si="1"/>
        <v>4320</v>
      </c>
    </row>
    <row r="9" spans="2:35" ht="15" customHeight="1" x14ac:dyDescent="0.25">
      <c r="B9" s="77" t="s">
        <v>224</v>
      </c>
      <c r="C9" s="78">
        <v>25</v>
      </c>
      <c r="D9" s="76">
        <f>SUMIFS('май 2025'!$G$5:$G$2466,'май 2025'!$D$5:$D$2466,$B9,'май 2025'!$J$5:$J$2466,D$1)</f>
        <v>0</v>
      </c>
      <c r="E9" s="76">
        <f>SUMIFS('май 2025'!$G$5:$G$2466,'май 2025'!$D$5:$D$2466,$B9,'май 2025'!$J$5:$J$2466,E$1)</f>
        <v>0</v>
      </c>
      <c r="F9" s="76">
        <f>SUMIFS('май 2025'!$G$5:$G$2466,'май 2025'!$D$5:$D$2466,$B9,'май 2025'!$J$5:$J$2466,F$1)</f>
        <v>0</v>
      </c>
      <c r="G9" s="76">
        <f>SUMIFS('май 2025'!$G$5:$G$2466,'май 2025'!$D$5:$D$2466,$B9,'май 2025'!$J$5:$J$2466,G$1)</f>
        <v>0</v>
      </c>
      <c r="H9" s="76">
        <f>SUMIFS('май 2025'!$G$5:$G$2466,'май 2025'!$D$5:$D$2466,$B9,'май 2025'!$J$5:$J$2466,H$1)</f>
        <v>0</v>
      </c>
      <c r="I9" s="76">
        <f>SUMIFS('май 2025'!$G$5:$G$2466,'май 2025'!$D$5:$D$2466,$B9,'май 2025'!$J$5:$J$2466,I$1)</f>
        <v>0</v>
      </c>
      <c r="J9" s="76">
        <f>SUMIFS('май 2025'!$G$5:$G$2466,'май 2025'!$D$5:$D$2466,$B9,'май 2025'!$J$5:$J$2466,J$1)</f>
        <v>0</v>
      </c>
      <c r="K9" s="76">
        <f>SUMIFS('май 2025'!$G$5:$G$2466,'май 2025'!$D$5:$D$2466,$B9,'май 2025'!$J$5:$J$2466,K$1)</f>
        <v>0</v>
      </c>
      <c r="L9" s="76">
        <f>SUMIFS('май 2025'!$G$5:$G$2466,'май 2025'!$D$5:$D$2466,$B9,'май 2025'!$J$5:$J$2466,L$1)</f>
        <v>0</v>
      </c>
      <c r="M9" s="76">
        <f>SUMIFS('май 2025'!$G$5:$G$2466,'май 2025'!$D$5:$D$2466,$B9,'май 2025'!$J$5:$J$2466,M$1)</f>
        <v>0</v>
      </c>
      <c r="N9" s="76">
        <f>SUMIFS('май 2025'!$G$5:$G$2466,'май 2025'!$D$5:$D$2466,$B9,'май 2025'!$J$5:$J$2466,N$1)</f>
        <v>0</v>
      </c>
      <c r="O9" s="76">
        <f>SUMIFS('май 2025'!$G$5:$G$2466,'май 2025'!$D$5:$D$2466,$B9,'май 2025'!$J$5:$J$2466,O$1)</f>
        <v>0</v>
      </c>
      <c r="P9" s="76">
        <f>SUMIFS('май 2025'!$G$5:$G$2466,'май 2025'!$D$5:$D$2466,$B9,'май 2025'!$J$5:$J$2466,P$1)</f>
        <v>0</v>
      </c>
      <c r="Q9" s="76">
        <f>SUMIFS('май 2025'!$G$5:$G$2466,'май 2025'!$D$5:$D$2466,$B9,'май 2025'!$J$5:$J$2466,Q$1)</f>
        <v>0</v>
      </c>
      <c r="R9" s="76">
        <f>SUMIFS('май 2025'!$G$5:$G$2466,'май 2025'!$D$5:$D$2466,$B9,'май 2025'!$J$5:$J$2466,R$1)</f>
        <v>0</v>
      </c>
      <c r="S9" s="76">
        <f>SUMIFS('май 2025'!$G$5:$G$2466,'май 2025'!$D$5:$D$2466,$B9,'май 2025'!$J$5:$J$2466,S$1)</f>
        <v>0</v>
      </c>
      <c r="T9" s="76">
        <f>SUMIFS('май 2025'!$G$5:$G$2466,'май 2025'!$D$5:$D$2466,$B9,'май 2025'!$J$5:$J$2466,T$1)</f>
        <v>0</v>
      </c>
      <c r="U9" s="76">
        <f>SUMIFS('май 2025'!$G$5:$G$2466,'май 2025'!$D$5:$D$2466,$B9,'май 2025'!$J$5:$J$2466,U$1)</f>
        <v>0</v>
      </c>
      <c r="V9" s="76">
        <f>SUMIFS('май 2025'!$G$5:$G$2466,'май 2025'!$D$5:$D$2466,$B9,'май 2025'!$J$5:$J$2466,V$1)</f>
        <v>0</v>
      </c>
      <c r="W9" s="76">
        <f>SUMIFS('май 2025'!$G$5:$G$2466,'май 2025'!$D$5:$D$2466,$B9,'май 2025'!$J$5:$J$2466,W$1)</f>
        <v>0</v>
      </c>
      <c r="X9" s="76">
        <f>SUMIFS('май 2025'!$G$5:$G$2466,'май 2025'!$D$5:$D$2466,$B9,'май 2025'!$J$5:$J$2466,X$1)</f>
        <v>0</v>
      </c>
      <c r="Y9" s="76">
        <f>SUMIFS('май 2025'!$G$5:$G$2466,'май 2025'!$D$5:$D$2466,$B9,'май 2025'!$J$5:$J$2466,Y$1)</f>
        <v>0</v>
      </c>
      <c r="Z9" s="76">
        <f>SUMIFS('май 2025'!$G$5:$G$2466,'май 2025'!$D$5:$D$2466,$B9,'май 2025'!$J$5:$J$2466,Z$1)</f>
        <v>0</v>
      </c>
      <c r="AA9" s="76">
        <f>SUMIFS('май 2025'!$G$5:$G$2466,'май 2025'!$D$5:$D$2466,$B9,'май 2025'!$J$5:$J$2466,AA$1)</f>
        <v>0</v>
      </c>
      <c r="AB9" s="76">
        <f>SUMIFS('май 2025'!$G$5:$G$2466,'май 2025'!$D$5:$D$2466,$B9,'май 2025'!$J$5:$J$2466,AB$1)</f>
        <v>0</v>
      </c>
      <c r="AC9" s="76">
        <f>SUMIFS('май 2025'!$G$5:$G$2466,'май 2025'!$D$5:$D$2466,$B9,'май 2025'!$J$5:$J$2466,AC$1)</f>
        <v>0</v>
      </c>
      <c r="AD9" s="76">
        <f>SUMIFS('май 2025'!$G$5:$G$2466,'май 2025'!$D$5:$D$2466,$B9,'май 2025'!$J$5:$J$2466,AD$1)</f>
        <v>0</v>
      </c>
      <c r="AE9" s="76">
        <f>SUMIFS('май 2025'!$G$5:$G$2466,'май 2025'!$D$5:$D$2466,$B9,'май 2025'!$J$5:$J$2466,AE$1)</f>
        <v>0</v>
      </c>
      <c r="AF9" s="76">
        <f>SUMIFS('май 2025'!$G$5:$G$2466,'май 2025'!$D$5:$D$2466,$B9,'май 2025'!$J$5:$J$2466,AF$1)</f>
        <v>0</v>
      </c>
      <c r="AG9" s="76">
        <f>SUMIFS('май 2025'!$G$5:$G$2466,'май 2025'!$D$5:$D$2466,$B9,'май 2025'!$J$5:$J$2466,AG$1)</f>
        <v>0</v>
      </c>
      <c r="AH9" s="76">
        <f>SUMIFS('май 2025'!$G$5:$G$2466,'май 2025'!$D$5:$D$2466,$B9,'май 2025'!$J$5:$J$2466,AH$1)</f>
        <v>0</v>
      </c>
      <c r="AI9" s="20">
        <f t="shared" si="1"/>
        <v>0</v>
      </c>
    </row>
    <row r="10" spans="2:35" ht="15" customHeight="1" x14ac:dyDescent="0.25">
      <c r="B10" s="77" t="s">
        <v>226</v>
      </c>
      <c r="C10" s="78">
        <v>25</v>
      </c>
      <c r="D10" s="76">
        <f>SUMIFS('май 2025'!$G$5:$G$2466,'май 2025'!$D$5:$D$2466,$B10,'май 2025'!$J$5:$J$2466,D$1)</f>
        <v>0</v>
      </c>
      <c r="E10" s="76">
        <f>SUMIFS('май 2025'!$G$5:$G$2466,'май 2025'!$D$5:$D$2466,$B10,'май 2025'!$J$5:$J$2466,E$1)</f>
        <v>0</v>
      </c>
      <c r="F10" s="76">
        <f>SUMIFS('май 2025'!$G$5:$G$2466,'май 2025'!$D$5:$D$2466,$B10,'май 2025'!$J$5:$J$2466,F$1)</f>
        <v>0</v>
      </c>
      <c r="G10" s="76">
        <f>SUMIFS('май 2025'!$G$5:$G$2466,'май 2025'!$D$5:$D$2466,$B10,'май 2025'!$J$5:$J$2466,G$1)</f>
        <v>0</v>
      </c>
      <c r="H10" s="76">
        <f>SUMIFS('май 2025'!$G$5:$G$2466,'май 2025'!$D$5:$D$2466,$B10,'май 2025'!$J$5:$J$2466,H$1)</f>
        <v>0</v>
      </c>
      <c r="I10" s="76">
        <f>SUMIFS('май 2025'!$G$5:$G$2466,'май 2025'!$D$5:$D$2466,$B10,'май 2025'!$J$5:$J$2466,I$1)</f>
        <v>0</v>
      </c>
      <c r="J10" s="76">
        <f>SUMIFS('май 2025'!$G$5:$G$2466,'май 2025'!$D$5:$D$2466,$B10,'май 2025'!$J$5:$J$2466,J$1)</f>
        <v>0</v>
      </c>
      <c r="K10" s="76">
        <f>SUMIFS('май 2025'!$G$5:$G$2466,'май 2025'!$D$5:$D$2466,$B10,'май 2025'!$J$5:$J$2466,K$1)</f>
        <v>0</v>
      </c>
      <c r="L10" s="76">
        <f>SUMIFS('май 2025'!$G$5:$G$2466,'май 2025'!$D$5:$D$2466,$B10,'май 2025'!$J$5:$J$2466,L$1)</f>
        <v>0</v>
      </c>
      <c r="M10" s="76">
        <f>SUMIFS('май 2025'!$G$5:$G$2466,'май 2025'!$D$5:$D$2466,$B10,'май 2025'!$J$5:$J$2466,M$1)</f>
        <v>0</v>
      </c>
      <c r="N10" s="76">
        <f>SUMIFS('май 2025'!$G$5:$G$2466,'май 2025'!$D$5:$D$2466,$B10,'май 2025'!$J$5:$J$2466,N$1)</f>
        <v>0</v>
      </c>
      <c r="O10" s="76">
        <f>SUMIFS('май 2025'!$G$5:$G$2466,'май 2025'!$D$5:$D$2466,$B10,'май 2025'!$J$5:$J$2466,O$1)</f>
        <v>0</v>
      </c>
      <c r="P10" s="76">
        <f>SUMIFS('май 2025'!$G$5:$G$2466,'май 2025'!$D$5:$D$2466,$B10,'май 2025'!$J$5:$J$2466,P$1)</f>
        <v>0</v>
      </c>
      <c r="Q10" s="76">
        <f>SUMIFS('май 2025'!$G$5:$G$2466,'май 2025'!$D$5:$D$2466,$B10,'май 2025'!$J$5:$J$2466,Q$1)</f>
        <v>0</v>
      </c>
      <c r="R10" s="76">
        <f>SUMIFS('май 2025'!$G$5:$G$2466,'май 2025'!$D$5:$D$2466,$B10,'май 2025'!$J$5:$J$2466,R$1)</f>
        <v>0</v>
      </c>
      <c r="S10" s="76">
        <f>SUMIFS('май 2025'!$G$5:$G$2466,'май 2025'!$D$5:$D$2466,$B10,'май 2025'!$J$5:$J$2466,S$1)</f>
        <v>0</v>
      </c>
      <c r="T10" s="76">
        <f>SUMIFS('май 2025'!$G$5:$G$2466,'май 2025'!$D$5:$D$2466,$B10,'май 2025'!$J$5:$J$2466,T$1)</f>
        <v>0</v>
      </c>
      <c r="U10" s="76">
        <f>SUMIFS('май 2025'!$G$5:$G$2466,'май 2025'!$D$5:$D$2466,$B10,'май 2025'!$J$5:$J$2466,U$1)</f>
        <v>0</v>
      </c>
      <c r="V10" s="76">
        <f>SUMIFS('май 2025'!$G$5:$G$2466,'май 2025'!$D$5:$D$2466,$B10,'май 2025'!$J$5:$J$2466,V$1)</f>
        <v>0</v>
      </c>
      <c r="W10" s="76">
        <f>SUMIFS('май 2025'!$G$5:$G$2466,'май 2025'!$D$5:$D$2466,$B10,'май 2025'!$J$5:$J$2466,W$1)</f>
        <v>0</v>
      </c>
      <c r="X10" s="76">
        <f>SUMIFS('май 2025'!$G$5:$G$2466,'май 2025'!$D$5:$D$2466,$B10,'май 2025'!$J$5:$J$2466,X$1)</f>
        <v>0</v>
      </c>
      <c r="Y10" s="76">
        <f>SUMIFS('май 2025'!$G$5:$G$2466,'май 2025'!$D$5:$D$2466,$B10,'май 2025'!$J$5:$J$2466,Y$1)</f>
        <v>0</v>
      </c>
      <c r="Z10" s="76">
        <f>SUMIFS('май 2025'!$G$5:$G$2466,'май 2025'!$D$5:$D$2466,$B10,'май 2025'!$J$5:$J$2466,Z$1)</f>
        <v>0</v>
      </c>
      <c r="AA10" s="76">
        <f>SUMIFS('май 2025'!$G$5:$G$2466,'май 2025'!$D$5:$D$2466,$B10,'май 2025'!$J$5:$J$2466,AA$1)</f>
        <v>0</v>
      </c>
      <c r="AB10" s="76">
        <f>SUMIFS('май 2025'!$G$5:$G$2466,'май 2025'!$D$5:$D$2466,$B10,'май 2025'!$J$5:$J$2466,AB$1)</f>
        <v>0</v>
      </c>
      <c r="AC10" s="76">
        <f>SUMIFS('май 2025'!$G$5:$G$2466,'май 2025'!$D$5:$D$2466,$B10,'май 2025'!$J$5:$J$2466,AC$1)</f>
        <v>0</v>
      </c>
      <c r="AD10" s="76">
        <f>SUMIFS('май 2025'!$G$5:$G$2466,'май 2025'!$D$5:$D$2466,$B10,'май 2025'!$J$5:$J$2466,AD$1)</f>
        <v>0</v>
      </c>
      <c r="AE10" s="76">
        <f>SUMIFS('май 2025'!$G$5:$G$2466,'май 2025'!$D$5:$D$2466,$B10,'май 2025'!$J$5:$J$2466,AE$1)</f>
        <v>0</v>
      </c>
      <c r="AF10" s="76">
        <f>SUMIFS('май 2025'!$G$5:$G$2466,'май 2025'!$D$5:$D$2466,$B10,'май 2025'!$J$5:$J$2466,AF$1)</f>
        <v>0</v>
      </c>
      <c r="AG10" s="76">
        <f>SUMIFS('май 2025'!$G$5:$G$2466,'май 2025'!$D$5:$D$2466,$B10,'май 2025'!$J$5:$J$2466,AG$1)</f>
        <v>0</v>
      </c>
      <c r="AH10" s="76">
        <f>SUMIFS('май 2025'!$G$5:$G$2466,'май 2025'!$D$5:$D$2466,$B10,'май 2025'!$J$5:$J$2466,AH$1)</f>
        <v>0</v>
      </c>
      <c r="AI10" s="20">
        <f t="shared" si="1"/>
        <v>0</v>
      </c>
    </row>
    <row r="11" spans="2:35" ht="15" customHeight="1" x14ac:dyDescent="0.25">
      <c r="B11" s="80" t="s">
        <v>228</v>
      </c>
      <c r="C11" s="81">
        <v>22.68</v>
      </c>
      <c r="D11" s="76">
        <f>SUMIFS('май 2025'!$G$5:$G$2466,'май 2025'!$D$5:$D$2466,$B11,'май 2025'!$J$5:$J$2466,D$1)</f>
        <v>0</v>
      </c>
      <c r="E11" s="76">
        <f>SUMIFS('май 2025'!$G$5:$G$2466,'май 2025'!$D$5:$D$2466,$B11,'май 2025'!$J$5:$J$2466,E$1)</f>
        <v>0</v>
      </c>
      <c r="F11" s="76">
        <f>SUMIFS('май 2025'!$G$5:$G$2466,'май 2025'!$D$5:$D$2466,$B11,'май 2025'!$J$5:$J$2466,F$1)</f>
        <v>0</v>
      </c>
      <c r="G11" s="76">
        <f>SUMIFS('май 2025'!$G$5:$G$2466,'май 2025'!$D$5:$D$2466,$B11,'май 2025'!$J$5:$J$2466,G$1)</f>
        <v>0</v>
      </c>
      <c r="H11" s="76">
        <f>SUMIFS('май 2025'!$G$5:$G$2466,'май 2025'!$D$5:$D$2466,$B11,'май 2025'!$J$5:$J$2466,H$1)</f>
        <v>0</v>
      </c>
      <c r="I11" s="76">
        <f>SUMIFS('май 2025'!$G$5:$G$2466,'май 2025'!$D$5:$D$2466,$B11,'май 2025'!$J$5:$J$2466,I$1)</f>
        <v>0</v>
      </c>
      <c r="J11" s="76">
        <f>SUMIFS('май 2025'!$G$5:$G$2466,'май 2025'!$D$5:$D$2466,$B11,'май 2025'!$J$5:$J$2466,J$1)</f>
        <v>0</v>
      </c>
      <c r="K11" s="76">
        <f>SUMIFS('май 2025'!$G$5:$G$2466,'май 2025'!$D$5:$D$2466,$B11,'май 2025'!$J$5:$J$2466,K$1)</f>
        <v>0</v>
      </c>
      <c r="L11" s="76">
        <f>SUMIFS('май 2025'!$G$5:$G$2466,'май 2025'!$D$5:$D$2466,$B11,'май 2025'!$J$5:$J$2466,L$1)</f>
        <v>0</v>
      </c>
      <c r="M11" s="76">
        <f>SUMIFS('май 2025'!$G$5:$G$2466,'май 2025'!$D$5:$D$2466,$B11,'май 2025'!$J$5:$J$2466,M$1)</f>
        <v>0</v>
      </c>
      <c r="N11" s="76">
        <f>SUMIFS('май 2025'!$G$5:$G$2466,'май 2025'!$D$5:$D$2466,$B11,'май 2025'!$J$5:$J$2466,N$1)</f>
        <v>0</v>
      </c>
      <c r="O11" s="76">
        <f>SUMIFS('май 2025'!$G$5:$G$2466,'май 2025'!$D$5:$D$2466,$B11,'май 2025'!$J$5:$J$2466,O$1)</f>
        <v>0</v>
      </c>
      <c r="P11" s="76">
        <f>SUMIFS('май 2025'!$G$5:$G$2466,'май 2025'!$D$5:$D$2466,$B11,'май 2025'!$J$5:$J$2466,P$1)</f>
        <v>0</v>
      </c>
      <c r="Q11" s="76">
        <f>SUMIFS('май 2025'!$G$5:$G$2466,'май 2025'!$D$5:$D$2466,$B11,'май 2025'!$J$5:$J$2466,Q$1)</f>
        <v>0</v>
      </c>
      <c r="R11" s="76">
        <f>SUMIFS('май 2025'!$G$5:$G$2466,'май 2025'!$D$5:$D$2466,$B11,'май 2025'!$J$5:$J$2466,R$1)</f>
        <v>0</v>
      </c>
      <c r="S11" s="76">
        <f>SUMIFS('май 2025'!$G$5:$G$2466,'май 2025'!$D$5:$D$2466,$B11,'май 2025'!$J$5:$J$2466,S$1)</f>
        <v>0</v>
      </c>
      <c r="T11" s="76">
        <f>SUMIFS('май 2025'!$G$5:$G$2466,'май 2025'!$D$5:$D$2466,$B11,'май 2025'!$J$5:$J$2466,T$1)</f>
        <v>0</v>
      </c>
      <c r="U11" s="76">
        <f>SUMIFS('май 2025'!$G$5:$G$2466,'май 2025'!$D$5:$D$2466,$B11,'май 2025'!$J$5:$J$2466,U$1)</f>
        <v>0</v>
      </c>
      <c r="V11" s="76">
        <f>SUMIFS('май 2025'!$G$5:$G$2466,'май 2025'!$D$5:$D$2466,$B11,'май 2025'!$J$5:$J$2466,V$1)</f>
        <v>0</v>
      </c>
      <c r="W11" s="76">
        <f>SUMIFS('май 2025'!$G$5:$G$2466,'май 2025'!$D$5:$D$2466,$B11,'май 2025'!$J$5:$J$2466,W$1)</f>
        <v>0</v>
      </c>
      <c r="X11" s="76">
        <f>SUMIFS('май 2025'!$G$5:$G$2466,'май 2025'!$D$5:$D$2466,$B11,'май 2025'!$J$5:$J$2466,X$1)</f>
        <v>0</v>
      </c>
      <c r="Y11" s="76">
        <f>SUMIFS('май 2025'!$G$5:$G$2466,'май 2025'!$D$5:$D$2466,$B11,'май 2025'!$J$5:$J$2466,Y$1)</f>
        <v>0</v>
      </c>
      <c r="Z11" s="76">
        <f>SUMIFS('май 2025'!$G$5:$G$2466,'май 2025'!$D$5:$D$2466,$B11,'май 2025'!$J$5:$J$2466,Z$1)</f>
        <v>0</v>
      </c>
      <c r="AA11" s="76">
        <f>SUMIFS('май 2025'!$G$5:$G$2466,'май 2025'!$D$5:$D$2466,$B11,'май 2025'!$J$5:$J$2466,AA$1)</f>
        <v>0</v>
      </c>
      <c r="AB11" s="76">
        <f>SUMIFS('май 2025'!$G$5:$G$2466,'май 2025'!$D$5:$D$2466,$B11,'май 2025'!$J$5:$J$2466,AB$1)</f>
        <v>0</v>
      </c>
      <c r="AC11" s="76">
        <f>SUMIFS('май 2025'!$G$5:$G$2466,'май 2025'!$D$5:$D$2466,$B11,'май 2025'!$J$5:$J$2466,AC$1)</f>
        <v>0</v>
      </c>
      <c r="AD11" s="76">
        <f>SUMIFS('май 2025'!$G$5:$G$2466,'май 2025'!$D$5:$D$2466,$B11,'май 2025'!$J$5:$J$2466,AD$1)</f>
        <v>0</v>
      </c>
      <c r="AE11" s="76">
        <f>SUMIFS('май 2025'!$G$5:$G$2466,'май 2025'!$D$5:$D$2466,$B11,'май 2025'!$J$5:$J$2466,AE$1)</f>
        <v>0</v>
      </c>
      <c r="AF11" s="76">
        <f>SUMIFS('май 2025'!$G$5:$G$2466,'май 2025'!$D$5:$D$2466,$B11,'май 2025'!$J$5:$J$2466,AF$1)</f>
        <v>0</v>
      </c>
      <c r="AG11" s="76">
        <f>SUMIFS('май 2025'!$G$5:$G$2466,'май 2025'!$D$5:$D$2466,$B11,'май 2025'!$J$5:$J$2466,AG$1)</f>
        <v>0</v>
      </c>
      <c r="AH11" s="76">
        <f>SUMIFS('май 2025'!$G$5:$G$2466,'май 2025'!$D$5:$D$2466,$B11,'май 2025'!$J$5:$J$2466,AH$1)</f>
        <v>0</v>
      </c>
      <c r="AI11" s="20">
        <f t="shared" si="1"/>
        <v>0</v>
      </c>
    </row>
    <row r="12" spans="2:35" ht="15" customHeight="1" x14ac:dyDescent="0.25">
      <c r="B12" s="80" t="s">
        <v>328</v>
      </c>
      <c r="C12" s="81">
        <v>22.7</v>
      </c>
      <c r="D12" s="76">
        <f>SUMIFS('май 2025'!$G$5:$G$2466,'май 2025'!$D$5:$D$2466,$B12,'май 2025'!$J$5:$J$2466,D$1)</f>
        <v>0</v>
      </c>
      <c r="E12" s="76">
        <f>SUMIFS('май 2025'!$G$5:$G$2466,'май 2025'!$D$5:$D$2466,$B12,'май 2025'!$J$5:$J$2466,E$1)</f>
        <v>0</v>
      </c>
      <c r="F12" s="76">
        <f>SUMIFS('май 2025'!$G$5:$G$2466,'май 2025'!$D$5:$D$2466,$B12,'май 2025'!$J$5:$J$2466,F$1)</f>
        <v>0</v>
      </c>
      <c r="G12" s="76">
        <f>SUMIFS('май 2025'!$G$5:$G$2466,'май 2025'!$D$5:$D$2466,$B12,'май 2025'!$J$5:$J$2466,G$1)</f>
        <v>0</v>
      </c>
      <c r="H12" s="76">
        <f>SUMIFS('май 2025'!$G$5:$G$2466,'май 2025'!$D$5:$D$2466,$B12,'май 2025'!$J$5:$J$2466,H$1)</f>
        <v>0</v>
      </c>
      <c r="I12" s="76">
        <f>SUMIFS('май 2025'!$G$5:$G$2466,'май 2025'!$D$5:$D$2466,$B12,'май 2025'!$J$5:$J$2466,I$1)</f>
        <v>0</v>
      </c>
      <c r="J12" s="76">
        <f>SUMIFS('май 2025'!$G$5:$G$2466,'май 2025'!$D$5:$D$2466,$B12,'май 2025'!$J$5:$J$2466,J$1)</f>
        <v>0</v>
      </c>
      <c r="K12" s="76">
        <f>SUMIFS('май 2025'!$G$5:$G$2466,'май 2025'!$D$5:$D$2466,$B12,'май 2025'!$J$5:$J$2466,K$1)</f>
        <v>0</v>
      </c>
      <c r="L12" s="76">
        <f>SUMIFS('май 2025'!$G$5:$G$2466,'май 2025'!$D$5:$D$2466,$B12,'май 2025'!$J$5:$J$2466,L$1)</f>
        <v>0</v>
      </c>
      <c r="M12" s="76">
        <f>SUMIFS('май 2025'!$G$5:$G$2466,'май 2025'!$D$5:$D$2466,$B12,'май 2025'!$J$5:$J$2466,M$1)</f>
        <v>0</v>
      </c>
      <c r="N12" s="76">
        <f>SUMIFS('май 2025'!$G$5:$G$2466,'май 2025'!$D$5:$D$2466,$B12,'май 2025'!$J$5:$J$2466,N$1)</f>
        <v>0</v>
      </c>
      <c r="O12" s="76">
        <f>SUMIFS('май 2025'!$G$5:$G$2466,'май 2025'!$D$5:$D$2466,$B12,'май 2025'!$J$5:$J$2466,O$1)</f>
        <v>0</v>
      </c>
      <c r="P12" s="76">
        <f>SUMIFS('май 2025'!$G$5:$G$2466,'май 2025'!$D$5:$D$2466,$B12,'май 2025'!$J$5:$J$2466,P$1)</f>
        <v>0</v>
      </c>
      <c r="Q12" s="76">
        <f>SUMIFS('май 2025'!$G$5:$G$2466,'май 2025'!$D$5:$D$2466,$B12,'май 2025'!$J$5:$J$2466,Q$1)</f>
        <v>0</v>
      </c>
      <c r="R12" s="76">
        <f>SUMIFS('май 2025'!$G$5:$G$2466,'май 2025'!$D$5:$D$2466,$B12,'май 2025'!$J$5:$J$2466,R$1)</f>
        <v>0</v>
      </c>
      <c r="S12" s="76">
        <f>SUMIFS('май 2025'!$G$5:$G$2466,'май 2025'!$D$5:$D$2466,$B12,'май 2025'!$J$5:$J$2466,S$1)</f>
        <v>0</v>
      </c>
      <c r="T12" s="76">
        <f>SUMIFS('май 2025'!$G$5:$G$2466,'май 2025'!$D$5:$D$2466,$B12,'май 2025'!$J$5:$J$2466,T$1)</f>
        <v>0</v>
      </c>
      <c r="U12" s="76">
        <f>SUMIFS('май 2025'!$G$5:$G$2466,'май 2025'!$D$5:$D$2466,$B12,'май 2025'!$J$5:$J$2466,U$1)</f>
        <v>0</v>
      </c>
      <c r="V12" s="76">
        <f>SUMIFS('май 2025'!$G$5:$G$2466,'май 2025'!$D$5:$D$2466,$B12,'май 2025'!$J$5:$J$2466,V$1)</f>
        <v>0</v>
      </c>
      <c r="W12" s="76">
        <f>SUMIFS('май 2025'!$G$5:$G$2466,'май 2025'!$D$5:$D$2466,$B12,'май 2025'!$J$5:$J$2466,W$1)</f>
        <v>0</v>
      </c>
      <c r="X12" s="76">
        <f>SUMIFS('май 2025'!$G$5:$G$2466,'май 2025'!$D$5:$D$2466,$B12,'май 2025'!$J$5:$J$2466,X$1)</f>
        <v>0</v>
      </c>
      <c r="Y12" s="76">
        <f>SUMIFS('май 2025'!$G$5:$G$2466,'май 2025'!$D$5:$D$2466,$B12,'май 2025'!$J$5:$J$2466,Y$1)</f>
        <v>0</v>
      </c>
      <c r="Z12" s="76">
        <f>SUMIFS('май 2025'!$G$5:$G$2466,'май 2025'!$D$5:$D$2466,$B12,'май 2025'!$J$5:$J$2466,Z$1)</f>
        <v>0</v>
      </c>
      <c r="AA12" s="76">
        <f>SUMIFS('май 2025'!$G$5:$G$2466,'май 2025'!$D$5:$D$2466,$B12,'май 2025'!$J$5:$J$2466,AA$1)</f>
        <v>0</v>
      </c>
      <c r="AB12" s="76">
        <f>SUMIFS('май 2025'!$G$5:$G$2466,'май 2025'!$D$5:$D$2466,$B12,'май 2025'!$J$5:$J$2466,AB$1)</f>
        <v>0</v>
      </c>
      <c r="AC12" s="76">
        <f>SUMIFS('май 2025'!$G$5:$G$2466,'май 2025'!$D$5:$D$2466,$B12,'май 2025'!$J$5:$J$2466,AC$1)</f>
        <v>0</v>
      </c>
      <c r="AD12" s="76">
        <f>SUMIFS('май 2025'!$G$5:$G$2466,'май 2025'!$D$5:$D$2466,$B12,'май 2025'!$J$5:$J$2466,AD$1)</f>
        <v>0</v>
      </c>
      <c r="AE12" s="76">
        <f>SUMIFS('май 2025'!$G$5:$G$2466,'май 2025'!$D$5:$D$2466,$B12,'май 2025'!$J$5:$J$2466,AE$1)</f>
        <v>0</v>
      </c>
      <c r="AF12" s="76">
        <f>SUMIFS('май 2025'!$G$5:$G$2466,'май 2025'!$D$5:$D$2466,$B12,'май 2025'!$J$5:$J$2466,AF$1)</f>
        <v>0</v>
      </c>
      <c r="AG12" s="76">
        <f>SUMIFS('май 2025'!$G$5:$G$2466,'май 2025'!$D$5:$D$2466,$B12,'май 2025'!$J$5:$J$2466,AG$1)</f>
        <v>0</v>
      </c>
      <c r="AH12" s="76">
        <f>SUMIFS('май 2025'!$G$5:$G$2466,'май 2025'!$D$5:$D$2466,$B12,'май 2025'!$J$5:$J$2466,AH$1)</f>
        <v>0</v>
      </c>
      <c r="AI12" s="20">
        <f t="shared" si="1"/>
        <v>0</v>
      </c>
    </row>
    <row r="13" spans="2:35" ht="15" customHeight="1" x14ac:dyDescent="0.25">
      <c r="B13" s="80" t="s">
        <v>302</v>
      </c>
      <c r="C13" s="81">
        <v>25</v>
      </c>
      <c r="D13" s="76">
        <f>SUMIFS('май 2025'!$G$5:$G$2466,'май 2025'!$D$5:$D$2466,$B13,'май 2025'!$J$5:$J$2466,D$1)</f>
        <v>0</v>
      </c>
      <c r="E13" s="76">
        <f>SUMIFS('май 2025'!$G$5:$G$2466,'май 2025'!$D$5:$D$2466,$B13,'май 2025'!$J$5:$J$2466,E$1)</f>
        <v>0</v>
      </c>
      <c r="F13" s="76">
        <f>SUMIFS('май 2025'!$G$5:$G$2466,'май 2025'!$D$5:$D$2466,$B13,'май 2025'!$J$5:$J$2466,F$1)</f>
        <v>0</v>
      </c>
      <c r="G13" s="76">
        <f>SUMIFS('май 2025'!$G$5:$G$2466,'май 2025'!$D$5:$D$2466,$B13,'май 2025'!$J$5:$J$2466,G$1)</f>
        <v>0</v>
      </c>
      <c r="H13" s="76">
        <f>SUMIFS('май 2025'!$G$5:$G$2466,'май 2025'!$D$5:$D$2466,$B13,'май 2025'!$J$5:$J$2466,H$1)</f>
        <v>0</v>
      </c>
      <c r="I13" s="76">
        <f>SUMIFS('май 2025'!$G$5:$G$2466,'май 2025'!$D$5:$D$2466,$B13,'май 2025'!$J$5:$J$2466,I$1)</f>
        <v>0</v>
      </c>
      <c r="J13" s="76">
        <f>SUMIFS('май 2025'!$G$5:$G$2466,'май 2025'!$D$5:$D$2466,$B13,'май 2025'!$J$5:$J$2466,J$1)</f>
        <v>0</v>
      </c>
      <c r="K13" s="76">
        <f>SUMIFS('май 2025'!$G$5:$G$2466,'май 2025'!$D$5:$D$2466,$B13,'май 2025'!$J$5:$J$2466,K$1)</f>
        <v>0</v>
      </c>
      <c r="L13" s="76">
        <f>SUMIFS('май 2025'!$G$5:$G$2466,'май 2025'!$D$5:$D$2466,$B13,'май 2025'!$J$5:$J$2466,L$1)</f>
        <v>0</v>
      </c>
      <c r="M13" s="76">
        <f>SUMIFS('май 2025'!$G$5:$G$2466,'май 2025'!$D$5:$D$2466,$B13,'май 2025'!$J$5:$J$2466,M$1)</f>
        <v>0</v>
      </c>
      <c r="N13" s="76">
        <f>SUMIFS('май 2025'!$G$5:$G$2466,'май 2025'!$D$5:$D$2466,$B13,'май 2025'!$J$5:$J$2466,N$1)</f>
        <v>0</v>
      </c>
      <c r="O13" s="76">
        <f>SUMIFS('май 2025'!$G$5:$G$2466,'май 2025'!$D$5:$D$2466,$B13,'май 2025'!$J$5:$J$2466,O$1)</f>
        <v>0</v>
      </c>
      <c r="P13" s="76">
        <f>SUMIFS('май 2025'!$G$5:$G$2466,'май 2025'!$D$5:$D$2466,$B13,'май 2025'!$J$5:$J$2466,P$1)</f>
        <v>0</v>
      </c>
      <c r="Q13" s="76">
        <f>SUMIFS('май 2025'!$G$5:$G$2466,'май 2025'!$D$5:$D$2466,$B13,'май 2025'!$J$5:$J$2466,Q$1)</f>
        <v>0</v>
      </c>
      <c r="R13" s="76">
        <f>SUMIFS('май 2025'!$G$5:$G$2466,'май 2025'!$D$5:$D$2466,$B13,'май 2025'!$J$5:$J$2466,R$1)</f>
        <v>0</v>
      </c>
      <c r="S13" s="76">
        <f>SUMIFS('май 2025'!$G$5:$G$2466,'май 2025'!$D$5:$D$2466,$B13,'май 2025'!$J$5:$J$2466,S$1)</f>
        <v>0</v>
      </c>
      <c r="T13" s="76">
        <f>SUMIFS('май 2025'!$G$5:$G$2466,'май 2025'!$D$5:$D$2466,$B13,'май 2025'!$J$5:$J$2466,T$1)</f>
        <v>0</v>
      </c>
      <c r="U13" s="76">
        <f>SUMIFS('май 2025'!$G$5:$G$2466,'май 2025'!$D$5:$D$2466,$B13,'май 2025'!$J$5:$J$2466,U$1)</f>
        <v>0</v>
      </c>
      <c r="V13" s="76">
        <f>SUMIFS('май 2025'!$G$5:$G$2466,'май 2025'!$D$5:$D$2466,$B13,'май 2025'!$J$5:$J$2466,V$1)</f>
        <v>0</v>
      </c>
      <c r="W13" s="76">
        <f>SUMIFS('май 2025'!$G$5:$G$2466,'май 2025'!$D$5:$D$2466,$B13,'май 2025'!$J$5:$J$2466,W$1)</f>
        <v>0</v>
      </c>
      <c r="X13" s="76">
        <f>SUMIFS('май 2025'!$G$5:$G$2466,'май 2025'!$D$5:$D$2466,$B13,'май 2025'!$J$5:$J$2466,X$1)</f>
        <v>0</v>
      </c>
      <c r="Y13" s="76">
        <f>SUMIFS('май 2025'!$G$5:$G$2466,'май 2025'!$D$5:$D$2466,$B13,'май 2025'!$J$5:$J$2466,Y$1)</f>
        <v>0</v>
      </c>
      <c r="Z13" s="76">
        <f>SUMIFS('май 2025'!$G$5:$G$2466,'май 2025'!$D$5:$D$2466,$B13,'май 2025'!$J$5:$J$2466,Z$1)</f>
        <v>0</v>
      </c>
      <c r="AA13" s="76">
        <f>SUMIFS('май 2025'!$G$5:$G$2466,'май 2025'!$D$5:$D$2466,$B13,'май 2025'!$J$5:$J$2466,AA$1)</f>
        <v>0</v>
      </c>
      <c r="AB13" s="76">
        <f>SUMIFS('май 2025'!$G$5:$G$2466,'май 2025'!$D$5:$D$2466,$B13,'май 2025'!$J$5:$J$2466,AB$1)</f>
        <v>0</v>
      </c>
      <c r="AC13" s="76">
        <f>SUMIFS('май 2025'!$G$5:$G$2466,'май 2025'!$D$5:$D$2466,$B13,'май 2025'!$J$5:$J$2466,AC$1)</f>
        <v>0</v>
      </c>
      <c r="AD13" s="76">
        <f>SUMIFS('май 2025'!$G$5:$G$2466,'май 2025'!$D$5:$D$2466,$B13,'май 2025'!$J$5:$J$2466,AD$1)</f>
        <v>0</v>
      </c>
      <c r="AE13" s="76">
        <f>SUMIFS('май 2025'!$G$5:$G$2466,'май 2025'!$D$5:$D$2466,$B13,'май 2025'!$J$5:$J$2466,AE$1)</f>
        <v>0</v>
      </c>
      <c r="AF13" s="76">
        <f>SUMIFS('май 2025'!$G$5:$G$2466,'май 2025'!$D$5:$D$2466,$B13,'май 2025'!$J$5:$J$2466,AF$1)</f>
        <v>0</v>
      </c>
      <c r="AG13" s="76">
        <f>SUMIFS('май 2025'!$G$5:$G$2466,'май 2025'!$D$5:$D$2466,$B13,'май 2025'!$J$5:$J$2466,AG$1)</f>
        <v>0</v>
      </c>
      <c r="AH13" s="76">
        <f>SUMIFS('май 2025'!$G$5:$G$2466,'май 2025'!$D$5:$D$2466,$B13,'май 2025'!$J$5:$J$2466,AH$1)</f>
        <v>0</v>
      </c>
      <c r="AI13" s="20">
        <f t="shared" si="1"/>
        <v>0</v>
      </c>
    </row>
    <row r="14" spans="2:35" ht="15" customHeight="1" x14ac:dyDescent="0.25">
      <c r="B14" s="80" t="s">
        <v>306</v>
      </c>
      <c r="C14" s="81">
        <v>25</v>
      </c>
      <c r="D14" s="76">
        <f>SUMIFS('май 2025'!$G$5:$G$2466,'май 2025'!$D$5:$D$2466,$B14,'май 2025'!$J$5:$J$2466,D$1)</f>
        <v>0</v>
      </c>
      <c r="E14" s="76">
        <f>SUMIFS('май 2025'!$G$5:$G$2466,'май 2025'!$D$5:$D$2466,$B14,'май 2025'!$J$5:$J$2466,E$1)</f>
        <v>0</v>
      </c>
      <c r="F14" s="76">
        <f>SUMIFS('май 2025'!$G$5:$G$2466,'май 2025'!$D$5:$D$2466,$B14,'май 2025'!$J$5:$J$2466,F$1)</f>
        <v>0</v>
      </c>
      <c r="G14" s="76">
        <f>SUMIFS('май 2025'!$G$5:$G$2466,'май 2025'!$D$5:$D$2466,$B14,'май 2025'!$J$5:$J$2466,G$1)</f>
        <v>0</v>
      </c>
      <c r="H14" s="76">
        <f>SUMIFS('май 2025'!$G$5:$G$2466,'май 2025'!$D$5:$D$2466,$B14,'май 2025'!$J$5:$J$2466,H$1)</f>
        <v>805</v>
      </c>
      <c r="I14" s="76">
        <f>SUMIFS('май 2025'!$G$5:$G$2466,'май 2025'!$D$5:$D$2466,$B14,'май 2025'!$J$5:$J$2466,I$1)</f>
        <v>805</v>
      </c>
      <c r="J14" s="76">
        <f>SUMIFS('май 2025'!$G$5:$G$2466,'май 2025'!$D$5:$D$2466,$B14,'май 2025'!$J$5:$J$2466,J$1)</f>
        <v>0</v>
      </c>
      <c r="K14" s="76">
        <f>SUMIFS('май 2025'!$G$5:$G$2466,'май 2025'!$D$5:$D$2466,$B14,'май 2025'!$J$5:$J$2466,K$1)</f>
        <v>0</v>
      </c>
      <c r="L14" s="76">
        <f>SUMIFS('май 2025'!$G$5:$G$2466,'май 2025'!$D$5:$D$2466,$B14,'май 2025'!$J$5:$J$2466,L$1)</f>
        <v>0</v>
      </c>
      <c r="M14" s="76">
        <f>SUMIFS('май 2025'!$G$5:$G$2466,'май 2025'!$D$5:$D$2466,$B14,'май 2025'!$J$5:$J$2466,M$1)</f>
        <v>0</v>
      </c>
      <c r="N14" s="76">
        <f>SUMIFS('май 2025'!$G$5:$G$2466,'май 2025'!$D$5:$D$2466,$B14,'май 2025'!$J$5:$J$2466,N$1)</f>
        <v>0</v>
      </c>
      <c r="O14" s="76">
        <f>SUMIFS('май 2025'!$G$5:$G$2466,'май 2025'!$D$5:$D$2466,$B14,'май 2025'!$J$5:$J$2466,O$1)</f>
        <v>805</v>
      </c>
      <c r="P14" s="76">
        <f>SUMIFS('май 2025'!$G$5:$G$2466,'май 2025'!$D$5:$D$2466,$B14,'май 2025'!$J$5:$J$2466,P$1)</f>
        <v>805</v>
      </c>
      <c r="Q14" s="76">
        <f>SUMIFS('май 2025'!$G$5:$G$2466,'май 2025'!$D$5:$D$2466,$B14,'май 2025'!$J$5:$J$2466,Q$1)</f>
        <v>0</v>
      </c>
      <c r="R14" s="76">
        <f>SUMIFS('май 2025'!$G$5:$G$2466,'май 2025'!$D$5:$D$2466,$B14,'май 2025'!$J$5:$J$2466,R$1)</f>
        <v>0</v>
      </c>
      <c r="S14" s="76">
        <f>SUMIFS('май 2025'!$G$5:$G$2466,'май 2025'!$D$5:$D$2466,$B14,'май 2025'!$J$5:$J$2466,S$1)</f>
        <v>0</v>
      </c>
      <c r="T14" s="76">
        <f>SUMIFS('май 2025'!$G$5:$G$2466,'май 2025'!$D$5:$D$2466,$B14,'май 2025'!$J$5:$J$2466,T$1)</f>
        <v>0</v>
      </c>
      <c r="U14" s="76">
        <f>SUMIFS('май 2025'!$G$5:$G$2466,'май 2025'!$D$5:$D$2466,$B14,'май 2025'!$J$5:$J$2466,U$1)</f>
        <v>0</v>
      </c>
      <c r="V14" s="76">
        <f>SUMIFS('май 2025'!$G$5:$G$2466,'май 2025'!$D$5:$D$2466,$B14,'май 2025'!$J$5:$J$2466,V$1)</f>
        <v>805</v>
      </c>
      <c r="W14" s="76">
        <f>SUMIFS('май 2025'!$G$5:$G$2466,'май 2025'!$D$5:$D$2466,$B14,'май 2025'!$J$5:$J$2466,W$1)</f>
        <v>0</v>
      </c>
      <c r="X14" s="76">
        <f>SUMIFS('май 2025'!$G$5:$G$2466,'май 2025'!$D$5:$D$2466,$B14,'май 2025'!$J$5:$J$2466,X$1)</f>
        <v>0</v>
      </c>
      <c r="Y14" s="76">
        <f>SUMIFS('май 2025'!$G$5:$G$2466,'май 2025'!$D$5:$D$2466,$B14,'май 2025'!$J$5:$J$2466,Y$1)</f>
        <v>805</v>
      </c>
      <c r="Z14" s="76">
        <f>SUMIFS('май 2025'!$G$5:$G$2466,'май 2025'!$D$5:$D$2466,$B14,'май 2025'!$J$5:$J$2466,Z$1)</f>
        <v>805</v>
      </c>
      <c r="AA14" s="76">
        <f>SUMIFS('май 2025'!$G$5:$G$2466,'май 2025'!$D$5:$D$2466,$B14,'май 2025'!$J$5:$J$2466,AA$1)</f>
        <v>0</v>
      </c>
      <c r="AB14" s="76">
        <f>SUMIFS('май 2025'!$G$5:$G$2466,'май 2025'!$D$5:$D$2466,$B14,'май 2025'!$J$5:$J$2466,AB$1)</f>
        <v>0</v>
      </c>
      <c r="AC14" s="76">
        <f>SUMIFS('май 2025'!$G$5:$G$2466,'май 2025'!$D$5:$D$2466,$B14,'май 2025'!$J$5:$J$2466,AC$1)</f>
        <v>0</v>
      </c>
      <c r="AD14" s="76">
        <f>SUMIFS('май 2025'!$G$5:$G$2466,'май 2025'!$D$5:$D$2466,$B14,'май 2025'!$J$5:$J$2466,AD$1)</f>
        <v>1610</v>
      </c>
      <c r="AE14" s="76">
        <f>SUMIFS('май 2025'!$G$5:$G$2466,'май 2025'!$D$5:$D$2466,$B14,'май 2025'!$J$5:$J$2466,AE$1)</f>
        <v>0</v>
      </c>
      <c r="AF14" s="76">
        <f>SUMIFS('май 2025'!$G$5:$G$2466,'май 2025'!$D$5:$D$2466,$B14,'май 2025'!$J$5:$J$2466,AF$1)</f>
        <v>805</v>
      </c>
      <c r="AG14" s="76">
        <f>SUMIFS('май 2025'!$G$5:$G$2466,'май 2025'!$D$5:$D$2466,$B14,'май 2025'!$J$5:$J$2466,AG$1)</f>
        <v>0</v>
      </c>
      <c r="AH14" s="76">
        <f>SUMIFS('май 2025'!$G$5:$G$2466,'май 2025'!$D$5:$D$2466,$B14,'май 2025'!$J$5:$J$2466,AH$1)</f>
        <v>0</v>
      </c>
      <c r="AI14" s="20">
        <f t="shared" si="1"/>
        <v>8050</v>
      </c>
    </row>
    <row r="15" spans="2:35" ht="15" customHeight="1" x14ac:dyDescent="0.25">
      <c r="B15" s="80" t="s">
        <v>231</v>
      </c>
      <c r="C15" s="81">
        <v>22.7</v>
      </c>
      <c r="D15" s="76">
        <f>SUMIFS('май 2025'!$G$5:$G$2466,'май 2025'!$D$5:$D$2466,$B15,'май 2025'!$J$5:$J$2466,D$1)</f>
        <v>0</v>
      </c>
      <c r="E15" s="76">
        <f>SUMIFS('май 2025'!$G$5:$G$2466,'май 2025'!$D$5:$D$2466,$B15,'май 2025'!$J$5:$J$2466,E$1)</f>
        <v>0</v>
      </c>
      <c r="F15" s="76">
        <f>SUMIFS('май 2025'!$G$5:$G$2466,'май 2025'!$D$5:$D$2466,$B15,'май 2025'!$J$5:$J$2466,F$1)</f>
        <v>0</v>
      </c>
      <c r="G15" s="76">
        <f>SUMIFS('май 2025'!$G$5:$G$2466,'май 2025'!$D$5:$D$2466,$B15,'май 2025'!$J$5:$J$2466,G$1)</f>
        <v>0</v>
      </c>
      <c r="H15" s="76">
        <f>SUMIFS('май 2025'!$G$5:$G$2466,'май 2025'!$D$5:$D$2466,$B15,'май 2025'!$J$5:$J$2466,H$1)</f>
        <v>0</v>
      </c>
      <c r="I15" s="76">
        <f>SUMIFS('май 2025'!$G$5:$G$2466,'май 2025'!$D$5:$D$2466,$B15,'май 2025'!$J$5:$J$2466,I$1)</f>
        <v>0</v>
      </c>
      <c r="J15" s="76">
        <f>SUMIFS('май 2025'!$G$5:$G$2466,'май 2025'!$D$5:$D$2466,$B15,'май 2025'!$J$5:$J$2466,J$1)</f>
        <v>0</v>
      </c>
      <c r="K15" s="76">
        <f>SUMIFS('май 2025'!$G$5:$G$2466,'май 2025'!$D$5:$D$2466,$B15,'май 2025'!$J$5:$J$2466,K$1)</f>
        <v>0</v>
      </c>
      <c r="L15" s="76">
        <f>SUMIFS('май 2025'!$G$5:$G$2466,'май 2025'!$D$5:$D$2466,$B15,'май 2025'!$J$5:$J$2466,L$1)</f>
        <v>0</v>
      </c>
      <c r="M15" s="76">
        <f>SUMIFS('май 2025'!$G$5:$G$2466,'май 2025'!$D$5:$D$2466,$B15,'май 2025'!$J$5:$J$2466,M$1)</f>
        <v>0</v>
      </c>
      <c r="N15" s="76">
        <f>SUMIFS('май 2025'!$G$5:$G$2466,'май 2025'!$D$5:$D$2466,$B15,'май 2025'!$J$5:$J$2466,N$1)</f>
        <v>0</v>
      </c>
      <c r="O15" s="76">
        <f>SUMIFS('май 2025'!$G$5:$G$2466,'май 2025'!$D$5:$D$2466,$B15,'май 2025'!$J$5:$J$2466,O$1)</f>
        <v>0</v>
      </c>
      <c r="P15" s="76">
        <f>SUMIFS('май 2025'!$G$5:$G$2466,'май 2025'!$D$5:$D$2466,$B15,'май 2025'!$J$5:$J$2466,P$1)</f>
        <v>0</v>
      </c>
      <c r="Q15" s="76">
        <f>SUMIFS('май 2025'!$G$5:$G$2466,'май 2025'!$D$5:$D$2466,$B15,'май 2025'!$J$5:$J$2466,Q$1)</f>
        <v>0</v>
      </c>
      <c r="R15" s="76">
        <f>SUMIFS('май 2025'!$G$5:$G$2466,'май 2025'!$D$5:$D$2466,$B15,'май 2025'!$J$5:$J$2466,R$1)</f>
        <v>0</v>
      </c>
      <c r="S15" s="76">
        <f>SUMIFS('май 2025'!$G$5:$G$2466,'май 2025'!$D$5:$D$2466,$B15,'май 2025'!$J$5:$J$2466,S$1)</f>
        <v>0</v>
      </c>
      <c r="T15" s="76">
        <f>SUMIFS('май 2025'!$G$5:$G$2466,'май 2025'!$D$5:$D$2466,$B15,'май 2025'!$J$5:$J$2466,T$1)</f>
        <v>0</v>
      </c>
      <c r="U15" s="76">
        <f>SUMIFS('май 2025'!$G$5:$G$2466,'май 2025'!$D$5:$D$2466,$B15,'май 2025'!$J$5:$J$2466,U$1)</f>
        <v>0</v>
      </c>
      <c r="V15" s="76">
        <f>SUMIFS('май 2025'!$G$5:$G$2466,'май 2025'!$D$5:$D$2466,$B15,'май 2025'!$J$5:$J$2466,V$1)</f>
        <v>0</v>
      </c>
      <c r="W15" s="76">
        <f>SUMIFS('май 2025'!$G$5:$G$2466,'май 2025'!$D$5:$D$2466,$B15,'май 2025'!$J$5:$J$2466,W$1)</f>
        <v>0</v>
      </c>
      <c r="X15" s="76">
        <f>SUMIFS('май 2025'!$G$5:$G$2466,'май 2025'!$D$5:$D$2466,$B15,'май 2025'!$J$5:$J$2466,X$1)</f>
        <v>0</v>
      </c>
      <c r="Y15" s="76">
        <f>SUMIFS('май 2025'!$G$5:$G$2466,'май 2025'!$D$5:$D$2466,$B15,'май 2025'!$J$5:$J$2466,Y$1)</f>
        <v>0</v>
      </c>
      <c r="Z15" s="76">
        <f>SUMIFS('май 2025'!$G$5:$G$2466,'май 2025'!$D$5:$D$2466,$B15,'май 2025'!$J$5:$J$2466,Z$1)</f>
        <v>0</v>
      </c>
      <c r="AA15" s="76">
        <f>SUMIFS('май 2025'!$G$5:$G$2466,'май 2025'!$D$5:$D$2466,$B15,'май 2025'!$J$5:$J$2466,AA$1)</f>
        <v>0</v>
      </c>
      <c r="AB15" s="76">
        <f>SUMIFS('май 2025'!$G$5:$G$2466,'май 2025'!$D$5:$D$2466,$B15,'май 2025'!$J$5:$J$2466,AB$1)</f>
        <v>0</v>
      </c>
      <c r="AC15" s="76">
        <f>SUMIFS('май 2025'!$G$5:$G$2466,'май 2025'!$D$5:$D$2466,$B15,'май 2025'!$J$5:$J$2466,AC$1)</f>
        <v>0</v>
      </c>
      <c r="AD15" s="76">
        <f>SUMIFS('май 2025'!$G$5:$G$2466,'май 2025'!$D$5:$D$2466,$B15,'май 2025'!$J$5:$J$2466,AD$1)</f>
        <v>0</v>
      </c>
      <c r="AE15" s="76">
        <f>SUMIFS('май 2025'!$G$5:$G$2466,'май 2025'!$D$5:$D$2466,$B15,'май 2025'!$J$5:$J$2466,AE$1)</f>
        <v>0</v>
      </c>
      <c r="AF15" s="76">
        <f>SUMIFS('май 2025'!$G$5:$G$2466,'май 2025'!$D$5:$D$2466,$B15,'май 2025'!$J$5:$J$2466,AF$1)</f>
        <v>0</v>
      </c>
      <c r="AG15" s="76">
        <f>SUMIFS('май 2025'!$G$5:$G$2466,'май 2025'!$D$5:$D$2466,$B15,'май 2025'!$J$5:$J$2466,AG$1)</f>
        <v>0</v>
      </c>
      <c r="AH15" s="76">
        <f>SUMIFS('май 2025'!$G$5:$G$2466,'май 2025'!$D$5:$D$2466,$B15,'май 2025'!$J$5:$J$2466,AH$1)</f>
        <v>0</v>
      </c>
      <c r="AI15" s="20">
        <f t="shared" si="1"/>
        <v>0</v>
      </c>
    </row>
    <row r="16" spans="2:35" ht="15" customHeight="1" x14ac:dyDescent="0.25">
      <c r="B16" s="77" t="s">
        <v>233</v>
      </c>
      <c r="C16" s="78">
        <v>22.7</v>
      </c>
      <c r="D16" s="76">
        <f>SUMIFS('май 2025'!$G$5:$G$2466,'май 2025'!$D$5:$D$2466,$B16,'май 2025'!$J$5:$J$2466,D$1)</f>
        <v>0</v>
      </c>
      <c r="E16" s="76">
        <f>SUMIFS('май 2025'!$G$5:$G$2466,'май 2025'!$D$5:$D$2466,$B16,'май 2025'!$J$5:$J$2466,E$1)</f>
        <v>0</v>
      </c>
      <c r="F16" s="76">
        <f>SUMIFS('май 2025'!$G$5:$G$2466,'май 2025'!$D$5:$D$2466,$B16,'май 2025'!$J$5:$J$2466,F$1)</f>
        <v>0</v>
      </c>
      <c r="G16" s="76">
        <f>SUMIFS('май 2025'!$G$5:$G$2466,'май 2025'!$D$5:$D$2466,$B16,'май 2025'!$J$5:$J$2466,G$1)</f>
        <v>0</v>
      </c>
      <c r="H16" s="76">
        <f>SUMIFS('май 2025'!$G$5:$G$2466,'май 2025'!$D$5:$D$2466,$B16,'май 2025'!$J$5:$J$2466,H$1)</f>
        <v>0</v>
      </c>
      <c r="I16" s="76">
        <f>SUMIFS('май 2025'!$G$5:$G$2466,'май 2025'!$D$5:$D$2466,$B16,'май 2025'!$J$5:$J$2466,I$1)</f>
        <v>0</v>
      </c>
      <c r="J16" s="76">
        <f>SUMIFS('май 2025'!$G$5:$G$2466,'май 2025'!$D$5:$D$2466,$B16,'май 2025'!$J$5:$J$2466,J$1)</f>
        <v>0</v>
      </c>
      <c r="K16" s="76">
        <f>SUMIFS('май 2025'!$G$5:$G$2466,'май 2025'!$D$5:$D$2466,$B16,'май 2025'!$J$5:$J$2466,K$1)</f>
        <v>0</v>
      </c>
      <c r="L16" s="76">
        <f>SUMIFS('май 2025'!$G$5:$G$2466,'май 2025'!$D$5:$D$2466,$B16,'май 2025'!$J$5:$J$2466,L$1)</f>
        <v>0</v>
      </c>
      <c r="M16" s="76">
        <f>SUMIFS('май 2025'!$G$5:$G$2466,'май 2025'!$D$5:$D$2466,$B16,'май 2025'!$J$5:$J$2466,M$1)</f>
        <v>0</v>
      </c>
      <c r="N16" s="76">
        <f>SUMIFS('май 2025'!$G$5:$G$2466,'май 2025'!$D$5:$D$2466,$B16,'май 2025'!$J$5:$J$2466,N$1)</f>
        <v>0</v>
      </c>
      <c r="O16" s="76">
        <f>SUMIFS('май 2025'!$G$5:$G$2466,'май 2025'!$D$5:$D$2466,$B16,'май 2025'!$J$5:$J$2466,O$1)</f>
        <v>0</v>
      </c>
      <c r="P16" s="76">
        <f>SUMIFS('май 2025'!$G$5:$G$2466,'май 2025'!$D$5:$D$2466,$B16,'май 2025'!$J$5:$J$2466,P$1)</f>
        <v>0</v>
      </c>
      <c r="Q16" s="76">
        <f>SUMIFS('май 2025'!$G$5:$G$2466,'май 2025'!$D$5:$D$2466,$B16,'май 2025'!$J$5:$J$2466,Q$1)</f>
        <v>0</v>
      </c>
      <c r="R16" s="76">
        <f>SUMIFS('май 2025'!$G$5:$G$2466,'май 2025'!$D$5:$D$2466,$B16,'май 2025'!$J$5:$J$2466,R$1)</f>
        <v>0</v>
      </c>
      <c r="S16" s="76">
        <f>SUMIFS('май 2025'!$G$5:$G$2466,'май 2025'!$D$5:$D$2466,$B16,'май 2025'!$J$5:$J$2466,S$1)</f>
        <v>0</v>
      </c>
      <c r="T16" s="76">
        <f>SUMIFS('май 2025'!$G$5:$G$2466,'май 2025'!$D$5:$D$2466,$B16,'май 2025'!$J$5:$J$2466,T$1)</f>
        <v>0</v>
      </c>
      <c r="U16" s="76">
        <f>SUMIFS('май 2025'!$G$5:$G$2466,'май 2025'!$D$5:$D$2466,$B16,'май 2025'!$J$5:$J$2466,U$1)</f>
        <v>0</v>
      </c>
      <c r="V16" s="76">
        <f>SUMIFS('май 2025'!$G$5:$G$2466,'май 2025'!$D$5:$D$2466,$B16,'май 2025'!$J$5:$J$2466,V$1)</f>
        <v>0</v>
      </c>
      <c r="W16" s="76">
        <f>SUMIFS('май 2025'!$G$5:$G$2466,'май 2025'!$D$5:$D$2466,$B16,'май 2025'!$J$5:$J$2466,W$1)</f>
        <v>0</v>
      </c>
      <c r="X16" s="76">
        <f>SUMIFS('май 2025'!$G$5:$G$2466,'май 2025'!$D$5:$D$2466,$B16,'май 2025'!$J$5:$J$2466,X$1)</f>
        <v>0</v>
      </c>
      <c r="Y16" s="76">
        <f>SUMIFS('май 2025'!$G$5:$G$2466,'май 2025'!$D$5:$D$2466,$B16,'май 2025'!$J$5:$J$2466,Y$1)</f>
        <v>0</v>
      </c>
      <c r="Z16" s="76">
        <f>SUMIFS('май 2025'!$G$5:$G$2466,'май 2025'!$D$5:$D$2466,$B16,'май 2025'!$J$5:$J$2466,Z$1)</f>
        <v>0</v>
      </c>
      <c r="AA16" s="76">
        <f>SUMIFS('май 2025'!$G$5:$G$2466,'май 2025'!$D$5:$D$2466,$B16,'май 2025'!$J$5:$J$2466,AA$1)</f>
        <v>0</v>
      </c>
      <c r="AB16" s="76">
        <f>SUMIFS('май 2025'!$G$5:$G$2466,'май 2025'!$D$5:$D$2466,$B16,'май 2025'!$J$5:$J$2466,AB$1)</f>
        <v>0</v>
      </c>
      <c r="AC16" s="76">
        <f>SUMIFS('май 2025'!$G$5:$G$2466,'май 2025'!$D$5:$D$2466,$B16,'май 2025'!$J$5:$J$2466,AC$1)</f>
        <v>0</v>
      </c>
      <c r="AD16" s="76">
        <f>SUMIFS('май 2025'!$G$5:$G$2466,'май 2025'!$D$5:$D$2466,$B16,'май 2025'!$J$5:$J$2466,AD$1)</f>
        <v>0</v>
      </c>
      <c r="AE16" s="76">
        <f>SUMIFS('май 2025'!$G$5:$G$2466,'май 2025'!$D$5:$D$2466,$B16,'май 2025'!$J$5:$J$2466,AE$1)</f>
        <v>0</v>
      </c>
      <c r="AF16" s="76">
        <f>SUMIFS('май 2025'!$G$5:$G$2466,'май 2025'!$D$5:$D$2466,$B16,'май 2025'!$J$5:$J$2466,AF$1)</f>
        <v>0</v>
      </c>
      <c r="AG16" s="76">
        <f>SUMIFS('май 2025'!$G$5:$G$2466,'май 2025'!$D$5:$D$2466,$B16,'май 2025'!$J$5:$J$2466,AG$1)</f>
        <v>0</v>
      </c>
      <c r="AH16" s="76">
        <f>SUMIFS('май 2025'!$G$5:$G$2466,'май 2025'!$D$5:$D$2466,$B16,'май 2025'!$J$5:$J$2466,AH$1)</f>
        <v>0</v>
      </c>
      <c r="AI16" s="20">
        <f t="shared" si="1"/>
        <v>0</v>
      </c>
    </row>
    <row r="17" spans="2:35" ht="15" customHeight="1" x14ac:dyDescent="0.25">
      <c r="B17" s="80" t="s">
        <v>235</v>
      </c>
      <c r="C17" s="81">
        <v>22.7</v>
      </c>
      <c r="D17" s="76">
        <f>SUMIFS('май 2025'!$G$5:$G$2466,'май 2025'!$D$5:$D$2466,$B17,'май 2025'!$J$5:$J$2466,D$1)</f>
        <v>0</v>
      </c>
      <c r="E17" s="76">
        <f>SUMIFS('май 2025'!$G$5:$G$2466,'май 2025'!$D$5:$D$2466,$B17,'май 2025'!$J$5:$J$2466,E$1)</f>
        <v>0</v>
      </c>
      <c r="F17" s="76">
        <f>SUMIFS('май 2025'!$G$5:$G$2466,'май 2025'!$D$5:$D$2466,$B17,'май 2025'!$J$5:$J$2466,F$1)</f>
        <v>0</v>
      </c>
      <c r="G17" s="76">
        <f>SUMIFS('май 2025'!$G$5:$G$2466,'май 2025'!$D$5:$D$2466,$B17,'май 2025'!$J$5:$J$2466,G$1)</f>
        <v>0</v>
      </c>
      <c r="H17" s="76">
        <f>SUMIFS('май 2025'!$G$5:$G$2466,'май 2025'!$D$5:$D$2466,$B17,'май 2025'!$J$5:$J$2466,H$1)</f>
        <v>0</v>
      </c>
      <c r="I17" s="76">
        <f>SUMIFS('май 2025'!$G$5:$G$2466,'май 2025'!$D$5:$D$2466,$B17,'май 2025'!$J$5:$J$2466,I$1)</f>
        <v>0</v>
      </c>
      <c r="J17" s="76">
        <f>SUMIFS('май 2025'!$G$5:$G$2466,'май 2025'!$D$5:$D$2466,$B17,'май 2025'!$J$5:$J$2466,J$1)</f>
        <v>0</v>
      </c>
      <c r="K17" s="76">
        <f>SUMIFS('май 2025'!$G$5:$G$2466,'май 2025'!$D$5:$D$2466,$B17,'май 2025'!$J$5:$J$2466,K$1)</f>
        <v>0</v>
      </c>
      <c r="L17" s="76">
        <f>SUMIFS('май 2025'!$G$5:$G$2466,'май 2025'!$D$5:$D$2466,$B17,'май 2025'!$J$5:$J$2466,L$1)</f>
        <v>0</v>
      </c>
      <c r="M17" s="76">
        <f>SUMIFS('май 2025'!$G$5:$G$2466,'май 2025'!$D$5:$D$2466,$B17,'май 2025'!$J$5:$J$2466,M$1)</f>
        <v>0</v>
      </c>
      <c r="N17" s="76">
        <f>SUMIFS('май 2025'!$G$5:$G$2466,'май 2025'!$D$5:$D$2466,$B17,'май 2025'!$J$5:$J$2466,N$1)</f>
        <v>0</v>
      </c>
      <c r="O17" s="76">
        <f>SUMIFS('май 2025'!$G$5:$G$2466,'май 2025'!$D$5:$D$2466,$B17,'май 2025'!$J$5:$J$2466,O$1)</f>
        <v>0</v>
      </c>
      <c r="P17" s="76">
        <f>SUMIFS('май 2025'!$G$5:$G$2466,'май 2025'!$D$5:$D$2466,$B17,'май 2025'!$J$5:$J$2466,P$1)</f>
        <v>0</v>
      </c>
      <c r="Q17" s="76">
        <f>SUMIFS('май 2025'!$G$5:$G$2466,'май 2025'!$D$5:$D$2466,$B17,'май 2025'!$J$5:$J$2466,Q$1)</f>
        <v>0</v>
      </c>
      <c r="R17" s="76">
        <f>SUMIFS('май 2025'!$G$5:$G$2466,'май 2025'!$D$5:$D$2466,$B17,'май 2025'!$J$5:$J$2466,R$1)</f>
        <v>0</v>
      </c>
      <c r="S17" s="76">
        <f>SUMIFS('май 2025'!$G$5:$G$2466,'май 2025'!$D$5:$D$2466,$B17,'май 2025'!$J$5:$J$2466,S$1)</f>
        <v>0</v>
      </c>
      <c r="T17" s="76">
        <f>SUMIFS('май 2025'!$G$5:$G$2466,'май 2025'!$D$5:$D$2466,$B17,'май 2025'!$J$5:$J$2466,T$1)</f>
        <v>0</v>
      </c>
      <c r="U17" s="76">
        <f>SUMIFS('май 2025'!$G$5:$G$2466,'май 2025'!$D$5:$D$2466,$B17,'май 2025'!$J$5:$J$2466,U$1)</f>
        <v>0</v>
      </c>
      <c r="V17" s="76">
        <f>SUMIFS('май 2025'!$G$5:$G$2466,'май 2025'!$D$5:$D$2466,$B17,'май 2025'!$J$5:$J$2466,V$1)</f>
        <v>0</v>
      </c>
      <c r="W17" s="76">
        <f>SUMIFS('май 2025'!$G$5:$G$2466,'май 2025'!$D$5:$D$2466,$B17,'май 2025'!$J$5:$J$2466,W$1)</f>
        <v>0</v>
      </c>
      <c r="X17" s="76">
        <f>SUMIFS('май 2025'!$G$5:$G$2466,'май 2025'!$D$5:$D$2466,$B17,'май 2025'!$J$5:$J$2466,X$1)</f>
        <v>0</v>
      </c>
      <c r="Y17" s="76">
        <f>SUMIFS('май 2025'!$G$5:$G$2466,'май 2025'!$D$5:$D$2466,$B17,'май 2025'!$J$5:$J$2466,Y$1)</f>
        <v>0</v>
      </c>
      <c r="Z17" s="76">
        <f>SUMIFS('май 2025'!$G$5:$G$2466,'май 2025'!$D$5:$D$2466,$B17,'май 2025'!$J$5:$J$2466,Z$1)</f>
        <v>0</v>
      </c>
      <c r="AA17" s="76">
        <f>SUMIFS('май 2025'!$G$5:$G$2466,'май 2025'!$D$5:$D$2466,$B17,'май 2025'!$J$5:$J$2466,AA$1)</f>
        <v>0</v>
      </c>
      <c r="AB17" s="76">
        <f>SUMIFS('май 2025'!$G$5:$G$2466,'май 2025'!$D$5:$D$2466,$B17,'май 2025'!$J$5:$J$2466,AB$1)</f>
        <v>0</v>
      </c>
      <c r="AC17" s="76">
        <f>SUMIFS('май 2025'!$G$5:$G$2466,'май 2025'!$D$5:$D$2466,$B17,'май 2025'!$J$5:$J$2466,AC$1)</f>
        <v>0</v>
      </c>
      <c r="AD17" s="76">
        <f>SUMIFS('май 2025'!$G$5:$G$2466,'май 2025'!$D$5:$D$2466,$B17,'май 2025'!$J$5:$J$2466,AD$1)</f>
        <v>0</v>
      </c>
      <c r="AE17" s="76">
        <f>SUMIFS('май 2025'!$G$5:$G$2466,'май 2025'!$D$5:$D$2466,$B17,'май 2025'!$J$5:$J$2466,AE$1)</f>
        <v>0</v>
      </c>
      <c r="AF17" s="76">
        <f>SUMIFS('май 2025'!$G$5:$G$2466,'май 2025'!$D$5:$D$2466,$B17,'май 2025'!$J$5:$J$2466,AF$1)</f>
        <v>0</v>
      </c>
      <c r="AG17" s="76">
        <f>SUMIFS('май 2025'!$G$5:$G$2466,'май 2025'!$D$5:$D$2466,$B17,'май 2025'!$J$5:$J$2466,AG$1)</f>
        <v>0</v>
      </c>
      <c r="AH17" s="76">
        <f>SUMIFS('май 2025'!$G$5:$G$2466,'май 2025'!$D$5:$D$2466,$B17,'май 2025'!$J$5:$J$2466,AH$1)</f>
        <v>0</v>
      </c>
      <c r="AI17" s="20">
        <f t="shared" si="1"/>
        <v>0</v>
      </c>
    </row>
    <row r="18" spans="2:35" ht="15" customHeight="1" x14ac:dyDescent="0.25">
      <c r="B18" s="80" t="s">
        <v>237</v>
      </c>
      <c r="C18" s="81">
        <v>25</v>
      </c>
      <c r="D18" s="76">
        <f>SUMIFS('май 2025'!$G$5:$G$2466,'май 2025'!$D$5:$D$2466,$B18,'май 2025'!$J$5:$J$2466,D$1)</f>
        <v>0</v>
      </c>
      <c r="E18" s="76">
        <f>SUMIFS('май 2025'!$G$5:$G$2466,'май 2025'!$D$5:$D$2466,$B18,'май 2025'!$J$5:$J$2466,E$1)</f>
        <v>0</v>
      </c>
      <c r="F18" s="76">
        <f>SUMIFS('май 2025'!$G$5:$G$2466,'май 2025'!$D$5:$D$2466,$B18,'май 2025'!$J$5:$J$2466,F$1)</f>
        <v>0</v>
      </c>
      <c r="G18" s="76">
        <f>SUMIFS('май 2025'!$G$5:$G$2466,'май 2025'!$D$5:$D$2466,$B18,'май 2025'!$J$5:$J$2466,G$1)</f>
        <v>0</v>
      </c>
      <c r="H18" s="76">
        <f>SUMIFS('май 2025'!$G$5:$G$2466,'май 2025'!$D$5:$D$2466,$B18,'май 2025'!$J$5:$J$2466,H$1)</f>
        <v>800</v>
      </c>
      <c r="I18" s="76">
        <f>SUMIFS('май 2025'!$G$5:$G$2466,'май 2025'!$D$5:$D$2466,$B18,'май 2025'!$J$5:$J$2466,I$1)</f>
        <v>800</v>
      </c>
      <c r="J18" s="76">
        <f>SUMIFS('май 2025'!$G$5:$G$2466,'май 2025'!$D$5:$D$2466,$B18,'май 2025'!$J$5:$J$2466,J$1)</f>
        <v>800</v>
      </c>
      <c r="K18" s="76">
        <f>SUMIFS('май 2025'!$G$5:$G$2466,'май 2025'!$D$5:$D$2466,$B18,'май 2025'!$J$5:$J$2466,K$1)</f>
        <v>0</v>
      </c>
      <c r="L18" s="76">
        <f>SUMIFS('май 2025'!$G$5:$G$2466,'май 2025'!$D$5:$D$2466,$B18,'май 2025'!$J$5:$J$2466,L$1)</f>
        <v>0</v>
      </c>
      <c r="M18" s="76">
        <f>SUMIFS('май 2025'!$G$5:$G$2466,'май 2025'!$D$5:$D$2466,$B18,'май 2025'!$J$5:$J$2466,M$1)</f>
        <v>0</v>
      </c>
      <c r="N18" s="76">
        <f>SUMIFS('май 2025'!$G$5:$G$2466,'май 2025'!$D$5:$D$2466,$B18,'май 2025'!$J$5:$J$2466,N$1)</f>
        <v>0</v>
      </c>
      <c r="O18" s="76">
        <f>SUMIFS('май 2025'!$G$5:$G$2466,'май 2025'!$D$5:$D$2466,$B18,'май 2025'!$J$5:$J$2466,O$1)</f>
        <v>1600</v>
      </c>
      <c r="P18" s="76">
        <f>SUMIFS('май 2025'!$G$5:$G$2466,'май 2025'!$D$5:$D$2466,$B18,'май 2025'!$J$5:$J$2466,P$1)</f>
        <v>1600</v>
      </c>
      <c r="Q18" s="76">
        <f>SUMIFS('май 2025'!$G$5:$G$2466,'май 2025'!$D$5:$D$2466,$B18,'май 2025'!$J$5:$J$2466,Q$1)</f>
        <v>0</v>
      </c>
      <c r="R18" s="76">
        <f>SUMIFS('май 2025'!$G$5:$G$2466,'май 2025'!$D$5:$D$2466,$B18,'май 2025'!$J$5:$J$2466,R$1)</f>
        <v>0</v>
      </c>
      <c r="S18" s="76">
        <f>SUMIFS('май 2025'!$G$5:$G$2466,'май 2025'!$D$5:$D$2466,$B18,'май 2025'!$J$5:$J$2466,S$1)</f>
        <v>0</v>
      </c>
      <c r="T18" s="76">
        <f>SUMIFS('май 2025'!$G$5:$G$2466,'май 2025'!$D$5:$D$2466,$B18,'май 2025'!$J$5:$J$2466,T$1)</f>
        <v>0</v>
      </c>
      <c r="U18" s="76">
        <f>SUMIFS('май 2025'!$G$5:$G$2466,'май 2025'!$D$5:$D$2466,$B18,'май 2025'!$J$5:$J$2466,U$1)</f>
        <v>0</v>
      </c>
      <c r="V18" s="76">
        <f>SUMIFS('май 2025'!$G$5:$G$2466,'май 2025'!$D$5:$D$2466,$B18,'май 2025'!$J$5:$J$2466,V$1)</f>
        <v>800</v>
      </c>
      <c r="W18" s="76">
        <f>SUMIFS('май 2025'!$G$5:$G$2466,'май 2025'!$D$5:$D$2466,$B18,'май 2025'!$J$5:$J$2466,W$1)</f>
        <v>0</v>
      </c>
      <c r="X18" s="76">
        <f>SUMIFS('май 2025'!$G$5:$G$2466,'май 2025'!$D$5:$D$2466,$B18,'май 2025'!$J$5:$J$2466,X$1)</f>
        <v>800</v>
      </c>
      <c r="Y18" s="76">
        <f>SUMIFS('май 2025'!$G$5:$G$2466,'май 2025'!$D$5:$D$2466,$B18,'май 2025'!$J$5:$J$2466,Y$1)</f>
        <v>0</v>
      </c>
      <c r="Z18" s="76">
        <f>SUMIFS('май 2025'!$G$5:$G$2466,'май 2025'!$D$5:$D$2466,$B18,'май 2025'!$J$5:$J$2466,Z$1)</f>
        <v>800</v>
      </c>
      <c r="AA18" s="76">
        <f>SUMIFS('май 2025'!$G$5:$G$2466,'май 2025'!$D$5:$D$2466,$B18,'май 2025'!$J$5:$J$2466,AA$1)</f>
        <v>0</v>
      </c>
      <c r="AB18" s="76">
        <f>SUMIFS('май 2025'!$G$5:$G$2466,'май 2025'!$D$5:$D$2466,$B18,'май 2025'!$J$5:$J$2466,AB$1)</f>
        <v>0</v>
      </c>
      <c r="AC18" s="76">
        <f>SUMIFS('май 2025'!$G$5:$G$2466,'май 2025'!$D$5:$D$2466,$B18,'май 2025'!$J$5:$J$2466,AC$1)</f>
        <v>0</v>
      </c>
      <c r="AD18" s="76">
        <f>SUMIFS('май 2025'!$G$5:$G$2466,'май 2025'!$D$5:$D$2466,$B18,'май 2025'!$J$5:$J$2466,AD$1)</f>
        <v>0</v>
      </c>
      <c r="AE18" s="76">
        <f>SUMIFS('май 2025'!$G$5:$G$2466,'май 2025'!$D$5:$D$2466,$B18,'май 2025'!$J$5:$J$2466,AE$1)</f>
        <v>800</v>
      </c>
      <c r="AF18" s="76">
        <f>SUMIFS('май 2025'!$G$5:$G$2466,'май 2025'!$D$5:$D$2466,$B18,'май 2025'!$J$5:$J$2466,AF$1)</f>
        <v>0</v>
      </c>
      <c r="AG18" s="76">
        <f>SUMIFS('май 2025'!$G$5:$G$2466,'май 2025'!$D$5:$D$2466,$B18,'май 2025'!$J$5:$J$2466,AG$1)</f>
        <v>0</v>
      </c>
      <c r="AH18" s="76">
        <f>SUMIFS('май 2025'!$G$5:$G$2466,'май 2025'!$D$5:$D$2466,$B18,'май 2025'!$J$5:$J$2466,AH$1)</f>
        <v>0</v>
      </c>
      <c r="AI18" s="20">
        <f t="shared" si="1"/>
        <v>8800</v>
      </c>
    </row>
    <row r="19" spans="2:35" ht="15" customHeight="1" x14ac:dyDescent="0.25">
      <c r="B19" s="77" t="s">
        <v>239</v>
      </c>
      <c r="C19" s="78">
        <v>25</v>
      </c>
      <c r="D19" s="76">
        <f>SUMIFS('май 2025'!$G$5:$G$2466,'май 2025'!$D$5:$D$2466,$B19,'май 2025'!$J$5:$J$2466,D$1)</f>
        <v>0</v>
      </c>
      <c r="E19" s="76">
        <f>SUMIFS('май 2025'!$G$5:$G$2466,'май 2025'!$D$5:$D$2466,$B19,'май 2025'!$J$5:$J$2466,E$1)</f>
        <v>0</v>
      </c>
      <c r="F19" s="76">
        <f>SUMIFS('май 2025'!$G$5:$G$2466,'май 2025'!$D$5:$D$2466,$B19,'май 2025'!$J$5:$J$2466,F$1)</f>
        <v>0</v>
      </c>
      <c r="G19" s="76">
        <f>SUMIFS('май 2025'!$G$5:$G$2466,'май 2025'!$D$5:$D$2466,$B19,'май 2025'!$J$5:$J$2466,G$1)</f>
        <v>0</v>
      </c>
      <c r="H19" s="76">
        <f>SUMIFS('май 2025'!$G$5:$G$2466,'май 2025'!$D$5:$D$2466,$B19,'май 2025'!$J$5:$J$2466,H$1)</f>
        <v>0</v>
      </c>
      <c r="I19" s="76">
        <f>SUMIFS('май 2025'!$G$5:$G$2466,'май 2025'!$D$5:$D$2466,$B19,'май 2025'!$J$5:$J$2466,I$1)</f>
        <v>0</v>
      </c>
      <c r="J19" s="76">
        <f>SUMIFS('май 2025'!$G$5:$G$2466,'май 2025'!$D$5:$D$2466,$B19,'май 2025'!$J$5:$J$2466,J$1)</f>
        <v>0</v>
      </c>
      <c r="K19" s="76">
        <f>SUMIFS('май 2025'!$G$5:$G$2466,'май 2025'!$D$5:$D$2466,$B19,'май 2025'!$J$5:$J$2466,K$1)</f>
        <v>0</v>
      </c>
      <c r="L19" s="76">
        <f>SUMIFS('май 2025'!$G$5:$G$2466,'май 2025'!$D$5:$D$2466,$B19,'май 2025'!$J$5:$J$2466,L$1)</f>
        <v>0</v>
      </c>
      <c r="M19" s="76">
        <f>SUMIFS('май 2025'!$G$5:$G$2466,'май 2025'!$D$5:$D$2466,$B19,'май 2025'!$J$5:$J$2466,M$1)</f>
        <v>0</v>
      </c>
      <c r="N19" s="76">
        <f>SUMIFS('май 2025'!$G$5:$G$2466,'май 2025'!$D$5:$D$2466,$B19,'май 2025'!$J$5:$J$2466,N$1)</f>
        <v>0</v>
      </c>
      <c r="O19" s="76">
        <f>SUMIFS('май 2025'!$G$5:$G$2466,'май 2025'!$D$5:$D$2466,$B19,'май 2025'!$J$5:$J$2466,O$1)</f>
        <v>0</v>
      </c>
      <c r="P19" s="76">
        <f>SUMIFS('май 2025'!$G$5:$G$2466,'май 2025'!$D$5:$D$2466,$B19,'май 2025'!$J$5:$J$2466,P$1)</f>
        <v>0</v>
      </c>
      <c r="Q19" s="76">
        <f>SUMIFS('май 2025'!$G$5:$G$2466,'май 2025'!$D$5:$D$2466,$B19,'май 2025'!$J$5:$J$2466,Q$1)</f>
        <v>0</v>
      </c>
      <c r="R19" s="76">
        <f>SUMIFS('май 2025'!$G$5:$G$2466,'май 2025'!$D$5:$D$2466,$B19,'май 2025'!$J$5:$J$2466,R$1)</f>
        <v>0</v>
      </c>
      <c r="S19" s="76">
        <f>SUMIFS('май 2025'!$G$5:$G$2466,'май 2025'!$D$5:$D$2466,$B19,'май 2025'!$J$5:$J$2466,S$1)</f>
        <v>0</v>
      </c>
      <c r="T19" s="76">
        <f>SUMIFS('май 2025'!$G$5:$G$2466,'май 2025'!$D$5:$D$2466,$B19,'май 2025'!$J$5:$J$2466,T$1)</f>
        <v>0</v>
      </c>
      <c r="U19" s="76">
        <f>SUMIFS('май 2025'!$G$5:$G$2466,'май 2025'!$D$5:$D$2466,$B19,'май 2025'!$J$5:$J$2466,U$1)</f>
        <v>0</v>
      </c>
      <c r="V19" s="76">
        <f>SUMIFS('май 2025'!$G$5:$G$2466,'май 2025'!$D$5:$D$2466,$B19,'май 2025'!$J$5:$J$2466,V$1)</f>
        <v>0</v>
      </c>
      <c r="W19" s="76">
        <f>SUMIFS('май 2025'!$G$5:$G$2466,'май 2025'!$D$5:$D$2466,$B19,'май 2025'!$J$5:$J$2466,W$1)</f>
        <v>0</v>
      </c>
      <c r="X19" s="76">
        <f>SUMIFS('май 2025'!$G$5:$G$2466,'май 2025'!$D$5:$D$2466,$B19,'май 2025'!$J$5:$J$2466,X$1)</f>
        <v>0</v>
      </c>
      <c r="Y19" s="76">
        <f>SUMIFS('май 2025'!$G$5:$G$2466,'май 2025'!$D$5:$D$2466,$B19,'май 2025'!$J$5:$J$2466,Y$1)</f>
        <v>0</v>
      </c>
      <c r="Z19" s="76">
        <f>SUMIFS('май 2025'!$G$5:$G$2466,'май 2025'!$D$5:$D$2466,$B19,'май 2025'!$J$5:$J$2466,Z$1)</f>
        <v>0</v>
      </c>
      <c r="AA19" s="76">
        <f>SUMIFS('май 2025'!$G$5:$G$2466,'май 2025'!$D$5:$D$2466,$B19,'май 2025'!$J$5:$J$2466,AA$1)</f>
        <v>0</v>
      </c>
      <c r="AB19" s="76">
        <f>SUMIFS('май 2025'!$G$5:$G$2466,'май 2025'!$D$5:$D$2466,$B19,'май 2025'!$J$5:$J$2466,AB$1)</f>
        <v>0</v>
      </c>
      <c r="AC19" s="76">
        <f>SUMIFS('май 2025'!$G$5:$G$2466,'май 2025'!$D$5:$D$2466,$B19,'май 2025'!$J$5:$J$2466,AC$1)</f>
        <v>0</v>
      </c>
      <c r="AD19" s="76">
        <f>SUMIFS('май 2025'!$G$5:$G$2466,'май 2025'!$D$5:$D$2466,$B19,'май 2025'!$J$5:$J$2466,AD$1)</f>
        <v>0</v>
      </c>
      <c r="AE19" s="76">
        <f>SUMIFS('май 2025'!$G$5:$G$2466,'май 2025'!$D$5:$D$2466,$B19,'май 2025'!$J$5:$J$2466,AE$1)</f>
        <v>0</v>
      </c>
      <c r="AF19" s="76">
        <f>SUMIFS('май 2025'!$G$5:$G$2466,'май 2025'!$D$5:$D$2466,$B19,'май 2025'!$J$5:$J$2466,AF$1)</f>
        <v>0</v>
      </c>
      <c r="AG19" s="76">
        <f>SUMIFS('май 2025'!$G$5:$G$2466,'май 2025'!$D$5:$D$2466,$B19,'май 2025'!$J$5:$J$2466,AG$1)</f>
        <v>0</v>
      </c>
      <c r="AH19" s="76">
        <f>SUMIFS('май 2025'!$G$5:$G$2466,'май 2025'!$D$5:$D$2466,$B19,'май 2025'!$J$5:$J$2466,AH$1)</f>
        <v>0</v>
      </c>
      <c r="AI19" s="20">
        <f t="shared" si="1"/>
        <v>0</v>
      </c>
    </row>
    <row r="20" spans="2:35" ht="15" customHeight="1" x14ac:dyDescent="0.25">
      <c r="B20" s="77" t="s">
        <v>241</v>
      </c>
      <c r="C20" s="78">
        <v>25</v>
      </c>
      <c r="D20" s="76">
        <f>SUMIFS('май 2025'!$G$5:$G$2466,'май 2025'!$D$5:$D$2466,$B20,'май 2025'!$J$5:$J$2466,D$1)</f>
        <v>0</v>
      </c>
      <c r="E20" s="76">
        <f>SUMIFS('май 2025'!$G$5:$G$2466,'май 2025'!$D$5:$D$2466,$B20,'май 2025'!$J$5:$J$2466,E$1)</f>
        <v>0</v>
      </c>
      <c r="F20" s="76">
        <f>SUMIFS('май 2025'!$G$5:$G$2466,'май 2025'!$D$5:$D$2466,$B20,'май 2025'!$J$5:$J$2466,F$1)</f>
        <v>0</v>
      </c>
      <c r="G20" s="76">
        <f>SUMIFS('май 2025'!$G$5:$G$2466,'май 2025'!$D$5:$D$2466,$B20,'май 2025'!$J$5:$J$2466,G$1)</f>
        <v>0</v>
      </c>
      <c r="H20" s="76">
        <f>SUMIFS('май 2025'!$G$5:$G$2466,'май 2025'!$D$5:$D$2466,$B20,'май 2025'!$J$5:$J$2466,H$1)</f>
        <v>0</v>
      </c>
      <c r="I20" s="76">
        <f>SUMIFS('май 2025'!$G$5:$G$2466,'май 2025'!$D$5:$D$2466,$B20,'май 2025'!$J$5:$J$2466,I$1)</f>
        <v>0</v>
      </c>
      <c r="J20" s="76">
        <f>SUMIFS('май 2025'!$G$5:$G$2466,'май 2025'!$D$5:$D$2466,$B20,'май 2025'!$J$5:$J$2466,J$1)</f>
        <v>0</v>
      </c>
      <c r="K20" s="76">
        <f>SUMIFS('май 2025'!$G$5:$G$2466,'май 2025'!$D$5:$D$2466,$B20,'май 2025'!$J$5:$J$2466,K$1)</f>
        <v>0</v>
      </c>
      <c r="L20" s="76">
        <f>SUMIFS('май 2025'!$G$5:$G$2466,'май 2025'!$D$5:$D$2466,$B20,'май 2025'!$J$5:$J$2466,L$1)</f>
        <v>0</v>
      </c>
      <c r="M20" s="76">
        <f>SUMIFS('май 2025'!$G$5:$G$2466,'май 2025'!$D$5:$D$2466,$B20,'май 2025'!$J$5:$J$2466,M$1)</f>
        <v>0</v>
      </c>
      <c r="N20" s="76">
        <f>SUMIFS('май 2025'!$G$5:$G$2466,'май 2025'!$D$5:$D$2466,$B20,'май 2025'!$J$5:$J$2466,N$1)</f>
        <v>0</v>
      </c>
      <c r="O20" s="76">
        <f>SUMIFS('май 2025'!$G$5:$G$2466,'май 2025'!$D$5:$D$2466,$B20,'май 2025'!$J$5:$J$2466,O$1)</f>
        <v>0</v>
      </c>
      <c r="P20" s="76">
        <f>SUMIFS('май 2025'!$G$5:$G$2466,'май 2025'!$D$5:$D$2466,$B20,'май 2025'!$J$5:$J$2466,P$1)</f>
        <v>0</v>
      </c>
      <c r="Q20" s="76">
        <f>SUMIFS('май 2025'!$G$5:$G$2466,'май 2025'!$D$5:$D$2466,$B20,'май 2025'!$J$5:$J$2466,Q$1)</f>
        <v>0</v>
      </c>
      <c r="R20" s="76">
        <f>SUMIFS('май 2025'!$G$5:$G$2466,'май 2025'!$D$5:$D$2466,$B20,'май 2025'!$J$5:$J$2466,R$1)</f>
        <v>0</v>
      </c>
      <c r="S20" s="76">
        <f>SUMIFS('май 2025'!$G$5:$G$2466,'май 2025'!$D$5:$D$2466,$B20,'май 2025'!$J$5:$J$2466,S$1)</f>
        <v>0</v>
      </c>
      <c r="T20" s="76">
        <f>SUMIFS('май 2025'!$G$5:$G$2466,'май 2025'!$D$5:$D$2466,$B20,'май 2025'!$J$5:$J$2466,T$1)</f>
        <v>0</v>
      </c>
      <c r="U20" s="76">
        <f>SUMIFS('май 2025'!$G$5:$G$2466,'май 2025'!$D$5:$D$2466,$B20,'май 2025'!$J$5:$J$2466,U$1)</f>
        <v>0</v>
      </c>
      <c r="V20" s="76">
        <f>SUMIFS('май 2025'!$G$5:$G$2466,'май 2025'!$D$5:$D$2466,$B20,'май 2025'!$J$5:$J$2466,V$1)</f>
        <v>0</v>
      </c>
      <c r="W20" s="76">
        <f>SUMIFS('май 2025'!$G$5:$G$2466,'май 2025'!$D$5:$D$2466,$B20,'май 2025'!$J$5:$J$2466,W$1)</f>
        <v>0</v>
      </c>
      <c r="X20" s="76">
        <f>SUMIFS('май 2025'!$G$5:$G$2466,'май 2025'!$D$5:$D$2466,$B20,'май 2025'!$J$5:$J$2466,X$1)</f>
        <v>0</v>
      </c>
      <c r="Y20" s="76">
        <f>SUMIFS('май 2025'!$G$5:$G$2466,'май 2025'!$D$5:$D$2466,$B20,'май 2025'!$J$5:$J$2466,Y$1)</f>
        <v>0</v>
      </c>
      <c r="Z20" s="76">
        <f>SUMIFS('май 2025'!$G$5:$G$2466,'май 2025'!$D$5:$D$2466,$B20,'май 2025'!$J$5:$J$2466,Z$1)</f>
        <v>0</v>
      </c>
      <c r="AA20" s="76">
        <f>SUMIFS('май 2025'!$G$5:$G$2466,'май 2025'!$D$5:$D$2466,$B20,'май 2025'!$J$5:$J$2466,AA$1)</f>
        <v>0</v>
      </c>
      <c r="AB20" s="76">
        <f>SUMIFS('май 2025'!$G$5:$G$2466,'май 2025'!$D$5:$D$2466,$B20,'май 2025'!$J$5:$J$2466,AB$1)</f>
        <v>0</v>
      </c>
      <c r="AC20" s="76">
        <f>SUMIFS('май 2025'!$G$5:$G$2466,'май 2025'!$D$5:$D$2466,$B20,'май 2025'!$J$5:$J$2466,AC$1)</f>
        <v>0</v>
      </c>
      <c r="AD20" s="76">
        <f>SUMIFS('май 2025'!$G$5:$G$2466,'май 2025'!$D$5:$D$2466,$B20,'май 2025'!$J$5:$J$2466,AD$1)</f>
        <v>0</v>
      </c>
      <c r="AE20" s="76">
        <f>SUMIFS('май 2025'!$G$5:$G$2466,'май 2025'!$D$5:$D$2466,$B20,'май 2025'!$J$5:$J$2466,AE$1)</f>
        <v>0</v>
      </c>
      <c r="AF20" s="76">
        <f>SUMIFS('май 2025'!$G$5:$G$2466,'май 2025'!$D$5:$D$2466,$B20,'май 2025'!$J$5:$J$2466,AF$1)</f>
        <v>0</v>
      </c>
      <c r="AG20" s="76">
        <f>SUMIFS('май 2025'!$G$5:$G$2466,'май 2025'!$D$5:$D$2466,$B20,'май 2025'!$J$5:$J$2466,AG$1)</f>
        <v>0</v>
      </c>
      <c r="AH20" s="76">
        <f>SUMIFS('май 2025'!$G$5:$G$2466,'май 2025'!$D$5:$D$2466,$B20,'май 2025'!$J$5:$J$2466,AH$1)</f>
        <v>0</v>
      </c>
      <c r="AI20" s="20">
        <f t="shared" si="1"/>
        <v>0</v>
      </c>
    </row>
    <row r="21" spans="2:35" ht="15" customHeight="1" x14ac:dyDescent="0.25">
      <c r="B21" s="77" t="s">
        <v>243</v>
      </c>
      <c r="C21" s="78">
        <v>25</v>
      </c>
      <c r="D21" s="76">
        <f>SUMIFS('май 2025'!$G$5:$G$2466,'май 2025'!$D$5:$D$2466,$B21,'май 2025'!$J$5:$J$2466,D$1)</f>
        <v>0</v>
      </c>
      <c r="E21" s="76">
        <f>SUMIFS('май 2025'!$G$5:$G$2466,'май 2025'!$D$5:$D$2466,$B21,'май 2025'!$J$5:$J$2466,E$1)</f>
        <v>0</v>
      </c>
      <c r="F21" s="76">
        <f>SUMIFS('май 2025'!$G$5:$G$2466,'май 2025'!$D$5:$D$2466,$B21,'май 2025'!$J$5:$J$2466,F$1)</f>
        <v>0</v>
      </c>
      <c r="G21" s="76">
        <f>SUMIFS('май 2025'!$G$5:$G$2466,'май 2025'!$D$5:$D$2466,$B21,'май 2025'!$J$5:$J$2466,G$1)</f>
        <v>0</v>
      </c>
      <c r="H21" s="76">
        <f>SUMIFS('май 2025'!$G$5:$G$2466,'май 2025'!$D$5:$D$2466,$B21,'май 2025'!$J$5:$J$2466,H$1)</f>
        <v>0</v>
      </c>
      <c r="I21" s="76">
        <f>SUMIFS('май 2025'!$G$5:$G$2466,'май 2025'!$D$5:$D$2466,$B21,'май 2025'!$J$5:$J$2466,I$1)</f>
        <v>0</v>
      </c>
      <c r="J21" s="76">
        <f>SUMIFS('май 2025'!$G$5:$G$2466,'май 2025'!$D$5:$D$2466,$B21,'май 2025'!$J$5:$J$2466,J$1)</f>
        <v>0</v>
      </c>
      <c r="K21" s="76">
        <f>SUMIFS('май 2025'!$G$5:$G$2466,'май 2025'!$D$5:$D$2466,$B21,'май 2025'!$J$5:$J$2466,K$1)</f>
        <v>0</v>
      </c>
      <c r="L21" s="76">
        <f>SUMIFS('май 2025'!$G$5:$G$2466,'май 2025'!$D$5:$D$2466,$B21,'май 2025'!$J$5:$J$2466,L$1)</f>
        <v>0</v>
      </c>
      <c r="M21" s="76">
        <f>SUMIFS('май 2025'!$G$5:$G$2466,'май 2025'!$D$5:$D$2466,$B21,'май 2025'!$J$5:$J$2466,M$1)</f>
        <v>0</v>
      </c>
      <c r="N21" s="76">
        <f>SUMIFS('май 2025'!$G$5:$G$2466,'май 2025'!$D$5:$D$2466,$B21,'май 2025'!$J$5:$J$2466,N$1)</f>
        <v>0</v>
      </c>
      <c r="O21" s="76">
        <f>SUMIFS('май 2025'!$G$5:$G$2466,'май 2025'!$D$5:$D$2466,$B21,'май 2025'!$J$5:$J$2466,O$1)</f>
        <v>0</v>
      </c>
      <c r="P21" s="76">
        <f>SUMIFS('май 2025'!$G$5:$G$2466,'май 2025'!$D$5:$D$2466,$B21,'май 2025'!$J$5:$J$2466,P$1)</f>
        <v>0</v>
      </c>
      <c r="Q21" s="76">
        <f>SUMIFS('май 2025'!$G$5:$G$2466,'май 2025'!$D$5:$D$2466,$B21,'май 2025'!$J$5:$J$2466,Q$1)</f>
        <v>0</v>
      </c>
      <c r="R21" s="76">
        <f>SUMIFS('май 2025'!$G$5:$G$2466,'май 2025'!$D$5:$D$2466,$B21,'май 2025'!$J$5:$J$2466,R$1)</f>
        <v>0</v>
      </c>
      <c r="S21" s="76">
        <f>SUMIFS('май 2025'!$G$5:$G$2466,'май 2025'!$D$5:$D$2466,$B21,'май 2025'!$J$5:$J$2466,S$1)</f>
        <v>0</v>
      </c>
      <c r="T21" s="76">
        <f>SUMIFS('май 2025'!$G$5:$G$2466,'май 2025'!$D$5:$D$2466,$B21,'май 2025'!$J$5:$J$2466,T$1)</f>
        <v>0</v>
      </c>
      <c r="U21" s="76">
        <f>SUMIFS('май 2025'!$G$5:$G$2466,'май 2025'!$D$5:$D$2466,$B21,'май 2025'!$J$5:$J$2466,U$1)</f>
        <v>0</v>
      </c>
      <c r="V21" s="76">
        <f>SUMIFS('май 2025'!$G$5:$G$2466,'май 2025'!$D$5:$D$2466,$B21,'май 2025'!$J$5:$J$2466,V$1)</f>
        <v>0</v>
      </c>
      <c r="W21" s="76">
        <f>SUMIFS('май 2025'!$G$5:$G$2466,'май 2025'!$D$5:$D$2466,$B21,'май 2025'!$J$5:$J$2466,W$1)</f>
        <v>0</v>
      </c>
      <c r="X21" s="76">
        <f>SUMIFS('май 2025'!$G$5:$G$2466,'май 2025'!$D$5:$D$2466,$B21,'май 2025'!$J$5:$J$2466,X$1)</f>
        <v>0</v>
      </c>
      <c r="Y21" s="76">
        <f>SUMIFS('май 2025'!$G$5:$G$2466,'май 2025'!$D$5:$D$2466,$B21,'май 2025'!$J$5:$J$2466,Y$1)</f>
        <v>0</v>
      </c>
      <c r="Z21" s="76">
        <f>SUMIFS('май 2025'!$G$5:$G$2466,'май 2025'!$D$5:$D$2466,$B21,'май 2025'!$J$5:$J$2466,Z$1)</f>
        <v>0</v>
      </c>
      <c r="AA21" s="76">
        <f>SUMIFS('май 2025'!$G$5:$G$2466,'май 2025'!$D$5:$D$2466,$B21,'май 2025'!$J$5:$J$2466,AA$1)</f>
        <v>0</v>
      </c>
      <c r="AB21" s="76">
        <f>SUMIFS('май 2025'!$G$5:$G$2466,'май 2025'!$D$5:$D$2466,$B21,'май 2025'!$J$5:$J$2466,AB$1)</f>
        <v>0</v>
      </c>
      <c r="AC21" s="76">
        <f>SUMIFS('май 2025'!$G$5:$G$2466,'май 2025'!$D$5:$D$2466,$B21,'май 2025'!$J$5:$J$2466,AC$1)</f>
        <v>0</v>
      </c>
      <c r="AD21" s="76">
        <f>SUMIFS('май 2025'!$G$5:$G$2466,'май 2025'!$D$5:$D$2466,$B21,'май 2025'!$J$5:$J$2466,AD$1)</f>
        <v>0</v>
      </c>
      <c r="AE21" s="76">
        <f>SUMIFS('май 2025'!$G$5:$G$2466,'май 2025'!$D$5:$D$2466,$B21,'май 2025'!$J$5:$J$2466,AE$1)</f>
        <v>0</v>
      </c>
      <c r="AF21" s="76">
        <f>SUMIFS('май 2025'!$G$5:$G$2466,'май 2025'!$D$5:$D$2466,$B21,'май 2025'!$J$5:$J$2466,AF$1)</f>
        <v>0</v>
      </c>
      <c r="AG21" s="76">
        <f>SUMIFS('май 2025'!$G$5:$G$2466,'май 2025'!$D$5:$D$2466,$B21,'май 2025'!$J$5:$J$2466,AG$1)</f>
        <v>0</v>
      </c>
      <c r="AH21" s="76">
        <f>SUMIFS('май 2025'!$G$5:$G$2466,'май 2025'!$D$5:$D$2466,$B21,'май 2025'!$J$5:$J$2466,AH$1)</f>
        <v>0</v>
      </c>
      <c r="AI21" s="20">
        <f t="shared" si="1"/>
        <v>0</v>
      </c>
    </row>
    <row r="22" spans="2:35" ht="15" customHeight="1" x14ac:dyDescent="0.25">
      <c r="B22" s="77" t="s">
        <v>245</v>
      </c>
      <c r="C22" s="78">
        <v>25</v>
      </c>
      <c r="D22" s="76">
        <f>SUMIFS('май 2025'!$G$5:$G$2466,'май 2025'!$D$5:$D$2466,$B22,'май 2025'!$J$5:$J$2466,D$1)</f>
        <v>0</v>
      </c>
      <c r="E22" s="76">
        <f>SUMIFS('май 2025'!$G$5:$G$2466,'май 2025'!$D$5:$D$2466,$B22,'май 2025'!$J$5:$J$2466,E$1)</f>
        <v>0</v>
      </c>
      <c r="F22" s="76">
        <f>SUMIFS('май 2025'!$G$5:$G$2466,'май 2025'!$D$5:$D$2466,$B22,'май 2025'!$J$5:$J$2466,F$1)</f>
        <v>0</v>
      </c>
      <c r="G22" s="76">
        <f>SUMIFS('май 2025'!$G$5:$G$2466,'май 2025'!$D$5:$D$2466,$B22,'май 2025'!$J$5:$J$2466,G$1)</f>
        <v>0</v>
      </c>
      <c r="H22" s="76">
        <f>SUMIFS('май 2025'!$G$5:$G$2466,'май 2025'!$D$5:$D$2466,$B22,'май 2025'!$J$5:$J$2466,H$1)</f>
        <v>0</v>
      </c>
      <c r="I22" s="76">
        <f>SUMIFS('май 2025'!$G$5:$G$2466,'май 2025'!$D$5:$D$2466,$B22,'май 2025'!$J$5:$J$2466,I$1)</f>
        <v>0</v>
      </c>
      <c r="J22" s="76">
        <f>SUMIFS('май 2025'!$G$5:$G$2466,'май 2025'!$D$5:$D$2466,$B22,'май 2025'!$J$5:$J$2466,J$1)</f>
        <v>0</v>
      </c>
      <c r="K22" s="76">
        <f>SUMIFS('май 2025'!$G$5:$G$2466,'май 2025'!$D$5:$D$2466,$B22,'май 2025'!$J$5:$J$2466,K$1)</f>
        <v>0</v>
      </c>
      <c r="L22" s="76">
        <f>SUMIFS('май 2025'!$G$5:$G$2466,'май 2025'!$D$5:$D$2466,$B22,'май 2025'!$J$5:$J$2466,L$1)</f>
        <v>0</v>
      </c>
      <c r="M22" s="76">
        <f>SUMIFS('май 2025'!$G$5:$G$2466,'май 2025'!$D$5:$D$2466,$B22,'май 2025'!$J$5:$J$2466,M$1)</f>
        <v>0</v>
      </c>
      <c r="N22" s="76">
        <f>SUMIFS('май 2025'!$G$5:$G$2466,'май 2025'!$D$5:$D$2466,$B22,'май 2025'!$J$5:$J$2466,N$1)</f>
        <v>0</v>
      </c>
      <c r="O22" s="76">
        <f>SUMIFS('май 2025'!$G$5:$G$2466,'май 2025'!$D$5:$D$2466,$B22,'май 2025'!$J$5:$J$2466,O$1)</f>
        <v>0</v>
      </c>
      <c r="P22" s="76">
        <f>SUMIFS('май 2025'!$G$5:$G$2466,'май 2025'!$D$5:$D$2466,$B22,'май 2025'!$J$5:$J$2466,P$1)</f>
        <v>0</v>
      </c>
      <c r="Q22" s="76">
        <f>SUMIFS('май 2025'!$G$5:$G$2466,'май 2025'!$D$5:$D$2466,$B22,'май 2025'!$J$5:$J$2466,Q$1)</f>
        <v>0</v>
      </c>
      <c r="R22" s="76">
        <f>SUMIFS('май 2025'!$G$5:$G$2466,'май 2025'!$D$5:$D$2466,$B22,'май 2025'!$J$5:$J$2466,R$1)</f>
        <v>0</v>
      </c>
      <c r="S22" s="76">
        <f>SUMIFS('май 2025'!$G$5:$G$2466,'май 2025'!$D$5:$D$2466,$B22,'май 2025'!$J$5:$J$2466,S$1)</f>
        <v>0</v>
      </c>
      <c r="T22" s="76">
        <f>SUMIFS('май 2025'!$G$5:$G$2466,'май 2025'!$D$5:$D$2466,$B22,'май 2025'!$J$5:$J$2466,T$1)</f>
        <v>0</v>
      </c>
      <c r="U22" s="76">
        <f>SUMIFS('май 2025'!$G$5:$G$2466,'май 2025'!$D$5:$D$2466,$B22,'май 2025'!$J$5:$J$2466,U$1)</f>
        <v>0</v>
      </c>
      <c r="V22" s="76">
        <f>SUMIFS('май 2025'!$G$5:$G$2466,'май 2025'!$D$5:$D$2466,$B22,'май 2025'!$J$5:$J$2466,V$1)</f>
        <v>0</v>
      </c>
      <c r="W22" s="76">
        <f>SUMIFS('май 2025'!$G$5:$G$2466,'май 2025'!$D$5:$D$2466,$B22,'май 2025'!$J$5:$J$2466,W$1)</f>
        <v>0</v>
      </c>
      <c r="X22" s="76">
        <f>SUMIFS('май 2025'!$G$5:$G$2466,'май 2025'!$D$5:$D$2466,$B22,'май 2025'!$J$5:$J$2466,X$1)</f>
        <v>0</v>
      </c>
      <c r="Y22" s="76">
        <f>SUMIFS('май 2025'!$G$5:$G$2466,'май 2025'!$D$5:$D$2466,$B22,'май 2025'!$J$5:$J$2466,Y$1)</f>
        <v>0</v>
      </c>
      <c r="Z22" s="76">
        <f>SUMIFS('май 2025'!$G$5:$G$2466,'май 2025'!$D$5:$D$2466,$B22,'май 2025'!$J$5:$J$2466,Z$1)</f>
        <v>0</v>
      </c>
      <c r="AA22" s="76">
        <f>SUMIFS('май 2025'!$G$5:$G$2466,'май 2025'!$D$5:$D$2466,$B22,'май 2025'!$J$5:$J$2466,AA$1)</f>
        <v>0</v>
      </c>
      <c r="AB22" s="76">
        <f>SUMIFS('май 2025'!$G$5:$G$2466,'май 2025'!$D$5:$D$2466,$B22,'май 2025'!$J$5:$J$2466,AB$1)</f>
        <v>0</v>
      </c>
      <c r="AC22" s="76">
        <f>SUMIFS('май 2025'!$G$5:$G$2466,'май 2025'!$D$5:$D$2466,$B22,'май 2025'!$J$5:$J$2466,AC$1)</f>
        <v>0</v>
      </c>
      <c r="AD22" s="76">
        <f>SUMIFS('май 2025'!$G$5:$G$2466,'май 2025'!$D$5:$D$2466,$B22,'май 2025'!$J$5:$J$2466,AD$1)</f>
        <v>0</v>
      </c>
      <c r="AE22" s="76">
        <f>SUMIFS('май 2025'!$G$5:$G$2466,'май 2025'!$D$5:$D$2466,$B22,'май 2025'!$J$5:$J$2466,AE$1)</f>
        <v>0</v>
      </c>
      <c r="AF22" s="76">
        <f>SUMIFS('май 2025'!$G$5:$G$2466,'май 2025'!$D$5:$D$2466,$B22,'май 2025'!$J$5:$J$2466,AF$1)</f>
        <v>0</v>
      </c>
      <c r="AG22" s="76">
        <f>SUMIFS('май 2025'!$G$5:$G$2466,'май 2025'!$D$5:$D$2466,$B22,'май 2025'!$J$5:$J$2466,AG$1)</f>
        <v>0</v>
      </c>
      <c r="AH22" s="76">
        <f>SUMIFS('май 2025'!$G$5:$G$2466,'май 2025'!$D$5:$D$2466,$B22,'май 2025'!$J$5:$J$2466,AH$1)</f>
        <v>0</v>
      </c>
      <c r="AI22" s="20">
        <f t="shared" si="1"/>
        <v>0</v>
      </c>
    </row>
    <row r="23" spans="2:35" ht="15" customHeight="1" x14ac:dyDescent="0.25">
      <c r="B23" s="80" t="s">
        <v>247</v>
      </c>
      <c r="C23" s="96">
        <v>25</v>
      </c>
      <c r="D23" s="76">
        <f>SUMIFS('май 2025'!$G$5:$G$2466,'май 2025'!$D$5:$D$2466,$B23,'май 2025'!$J$5:$J$2466,D$1)</f>
        <v>0</v>
      </c>
      <c r="E23" s="76">
        <f>SUMIFS('май 2025'!$G$5:$G$2466,'май 2025'!$D$5:$D$2466,$B23,'май 2025'!$J$5:$J$2466,E$1)</f>
        <v>0</v>
      </c>
      <c r="F23" s="76">
        <f>SUMIFS('май 2025'!$G$5:$G$2466,'май 2025'!$D$5:$D$2466,$B23,'май 2025'!$J$5:$J$2466,F$1)</f>
        <v>0</v>
      </c>
      <c r="G23" s="76">
        <f>SUMIFS('май 2025'!$G$5:$G$2466,'май 2025'!$D$5:$D$2466,$B23,'май 2025'!$J$5:$J$2466,G$1)</f>
        <v>0</v>
      </c>
      <c r="H23" s="76">
        <f>SUMIFS('май 2025'!$G$5:$G$2466,'май 2025'!$D$5:$D$2466,$B23,'май 2025'!$J$5:$J$2466,H$1)</f>
        <v>0</v>
      </c>
      <c r="I23" s="76">
        <f>SUMIFS('май 2025'!$G$5:$G$2466,'май 2025'!$D$5:$D$2466,$B23,'май 2025'!$J$5:$J$2466,I$1)</f>
        <v>0</v>
      </c>
      <c r="J23" s="76">
        <f>SUMIFS('май 2025'!$G$5:$G$2466,'май 2025'!$D$5:$D$2466,$B23,'май 2025'!$J$5:$J$2466,J$1)</f>
        <v>0</v>
      </c>
      <c r="K23" s="76">
        <f>SUMIFS('май 2025'!$G$5:$G$2466,'май 2025'!$D$5:$D$2466,$B23,'май 2025'!$J$5:$J$2466,K$1)</f>
        <v>0</v>
      </c>
      <c r="L23" s="76">
        <f>SUMIFS('май 2025'!$G$5:$G$2466,'май 2025'!$D$5:$D$2466,$B23,'май 2025'!$J$5:$J$2466,L$1)</f>
        <v>0</v>
      </c>
      <c r="M23" s="76">
        <f>SUMIFS('май 2025'!$G$5:$G$2466,'май 2025'!$D$5:$D$2466,$B23,'май 2025'!$J$5:$J$2466,M$1)</f>
        <v>0</v>
      </c>
      <c r="N23" s="76">
        <f>SUMIFS('май 2025'!$G$5:$G$2466,'май 2025'!$D$5:$D$2466,$B23,'май 2025'!$J$5:$J$2466,N$1)</f>
        <v>0</v>
      </c>
      <c r="O23" s="76">
        <f>SUMIFS('май 2025'!$G$5:$G$2466,'май 2025'!$D$5:$D$2466,$B23,'май 2025'!$J$5:$J$2466,O$1)</f>
        <v>0</v>
      </c>
      <c r="P23" s="76">
        <f>SUMIFS('май 2025'!$G$5:$G$2466,'май 2025'!$D$5:$D$2466,$B23,'май 2025'!$J$5:$J$2466,P$1)</f>
        <v>0</v>
      </c>
      <c r="Q23" s="76">
        <f>SUMIFS('май 2025'!$G$5:$G$2466,'май 2025'!$D$5:$D$2466,$B23,'май 2025'!$J$5:$J$2466,Q$1)</f>
        <v>0</v>
      </c>
      <c r="R23" s="76">
        <f>SUMIFS('май 2025'!$G$5:$G$2466,'май 2025'!$D$5:$D$2466,$B23,'май 2025'!$J$5:$J$2466,R$1)</f>
        <v>0</v>
      </c>
      <c r="S23" s="76">
        <f>SUMIFS('май 2025'!$G$5:$G$2466,'май 2025'!$D$5:$D$2466,$B23,'май 2025'!$J$5:$J$2466,S$1)</f>
        <v>0</v>
      </c>
      <c r="T23" s="76">
        <f>SUMIFS('май 2025'!$G$5:$G$2466,'май 2025'!$D$5:$D$2466,$B23,'май 2025'!$J$5:$J$2466,T$1)</f>
        <v>0</v>
      </c>
      <c r="U23" s="76">
        <f>SUMIFS('май 2025'!$G$5:$G$2466,'май 2025'!$D$5:$D$2466,$B23,'май 2025'!$J$5:$J$2466,U$1)</f>
        <v>0</v>
      </c>
      <c r="V23" s="76">
        <f>SUMIFS('май 2025'!$G$5:$G$2466,'май 2025'!$D$5:$D$2466,$B23,'май 2025'!$J$5:$J$2466,V$1)</f>
        <v>0</v>
      </c>
      <c r="W23" s="76">
        <f>SUMIFS('май 2025'!$G$5:$G$2466,'май 2025'!$D$5:$D$2466,$B23,'май 2025'!$J$5:$J$2466,W$1)</f>
        <v>0</v>
      </c>
      <c r="X23" s="76">
        <f>SUMIFS('май 2025'!$G$5:$G$2466,'май 2025'!$D$5:$D$2466,$B23,'май 2025'!$J$5:$J$2466,X$1)</f>
        <v>0</v>
      </c>
      <c r="Y23" s="76">
        <f>SUMIFS('май 2025'!$G$5:$G$2466,'май 2025'!$D$5:$D$2466,$B23,'май 2025'!$J$5:$J$2466,Y$1)</f>
        <v>0</v>
      </c>
      <c r="Z23" s="76">
        <f>SUMIFS('май 2025'!$G$5:$G$2466,'май 2025'!$D$5:$D$2466,$B23,'май 2025'!$J$5:$J$2466,Z$1)</f>
        <v>0</v>
      </c>
      <c r="AA23" s="76">
        <f>SUMIFS('май 2025'!$G$5:$G$2466,'май 2025'!$D$5:$D$2466,$B23,'май 2025'!$J$5:$J$2466,AA$1)</f>
        <v>0</v>
      </c>
      <c r="AB23" s="76">
        <f>SUMIFS('май 2025'!$G$5:$G$2466,'май 2025'!$D$5:$D$2466,$B23,'май 2025'!$J$5:$J$2466,AB$1)</f>
        <v>0</v>
      </c>
      <c r="AC23" s="76">
        <f>SUMIFS('май 2025'!$G$5:$G$2466,'май 2025'!$D$5:$D$2466,$B23,'май 2025'!$J$5:$J$2466,AC$1)</f>
        <v>0</v>
      </c>
      <c r="AD23" s="76">
        <f>SUMIFS('май 2025'!$G$5:$G$2466,'май 2025'!$D$5:$D$2466,$B23,'май 2025'!$J$5:$J$2466,AD$1)</f>
        <v>0</v>
      </c>
      <c r="AE23" s="76">
        <f>SUMIFS('май 2025'!$G$5:$G$2466,'май 2025'!$D$5:$D$2466,$B23,'май 2025'!$J$5:$J$2466,AE$1)</f>
        <v>0</v>
      </c>
      <c r="AF23" s="76">
        <f>SUMIFS('май 2025'!$G$5:$G$2466,'май 2025'!$D$5:$D$2466,$B23,'май 2025'!$J$5:$J$2466,AF$1)</f>
        <v>0</v>
      </c>
      <c r="AG23" s="76">
        <f>SUMIFS('май 2025'!$G$5:$G$2466,'май 2025'!$D$5:$D$2466,$B23,'май 2025'!$J$5:$J$2466,AG$1)</f>
        <v>0</v>
      </c>
      <c r="AH23" s="76">
        <f>SUMIFS('май 2025'!$G$5:$G$2466,'май 2025'!$D$5:$D$2466,$B23,'май 2025'!$J$5:$J$2466,AH$1)</f>
        <v>0</v>
      </c>
      <c r="AI23" s="20">
        <f t="shared" si="1"/>
        <v>0</v>
      </c>
    </row>
    <row r="24" spans="2:35" ht="15" customHeight="1" x14ac:dyDescent="0.25">
      <c r="B24" s="80" t="s">
        <v>248</v>
      </c>
      <c r="C24" s="78">
        <v>25</v>
      </c>
      <c r="D24" s="76">
        <f>SUMIFS('май 2025'!$G$5:$G$2466,'май 2025'!$D$5:$D$2466,$B24,'май 2025'!$J$5:$J$2466,D$1)</f>
        <v>0</v>
      </c>
      <c r="E24" s="76">
        <f>SUMIFS('май 2025'!$G$5:$G$2466,'май 2025'!$D$5:$D$2466,$B24,'май 2025'!$J$5:$J$2466,E$1)</f>
        <v>0</v>
      </c>
      <c r="F24" s="76">
        <f>SUMIFS('май 2025'!$G$5:$G$2466,'май 2025'!$D$5:$D$2466,$B24,'май 2025'!$J$5:$J$2466,F$1)</f>
        <v>0</v>
      </c>
      <c r="G24" s="76">
        <f>SUMIFS('май 2025'!$G$5:$G$2466,'май 2025'!$D$5:$D$2466,$B24,'май 2025'!$J$5:$J$2466,G$1)</f>
        <v>0</v>
      </c>
      <c r="H24" s="76">
        <f>SUMIFS('май 2025'!$G$5:$G$2466,'май 2025'!$D$5:$D$2466,$B24,'май 2025'!$J$5:$J$2466,H$1)</f>
        <v>0</v>
      </c>
      <c r="I24" s="76">
        <f>SUMIFS('май 2025'!$G$5:$G$2466,'май 2025'!$D$5:$D$2466,$B24,'май 2025'!$J$5:$J$2466,I$1)</f>
        <v>0</v>
      </c>
      <c r="J24" s="76">
        <f>SUMIFS('май 2025'!$G$5:$G$2466,'май 2025'!$D$5:$D$2466,$B24,'май 2025'!$J$5:$J$2466,J$1)</f>
        <v>0</v>
      </c>
      <c r="K24" s="76">
        <f>SUMIFS('май 2025'!$G$5:$G$2466,'май 2025'!$D$5:$D$2466,$B24,'май 2025'!$J$5:$J$2466,K$1)</f>
        <v>0</v>
      </c>
      <c r="L24" s="76">
        <f>SUMIFS('май 2025'!$G$5:$G$2466,'май 2025'!$D$5:$D$2466,$B24,'май 2025'!$J$5:$J$2466,L$1)</f>
        <v>0</v>
      </c>
      <c r="M24" s="76">
        <f>SUMIFS('май 2025'!$G$5:$G$2466,'май 2025'!$D$5:$D$2466,$B24,'май 2025'!$J$5:$J$2466,M$1)</f>
        <v>0</v>
      </c>
      <c r="N24" s="76">
        <f>SUMIFS('май 2025'!$G$5:$G$2466,'май 2025'!$D$5:$D$2466,$B24,'май 2025'!$J$5:$J$2466,N$1)</f>
        <v>0</v>
      </c>
      <c r="O24" s="76">
        <f>SUMIFS('май 2025'!$G$5:$G$2466,'май 2025'!$D$5:$D$2466,$B24,'май 2025'!$J$5:$J$2466,O$1)</f>
        <v>0</v>
      </c>
      <c r="P24" s="76">
        <f>SUMIFS('май 2025'!$G$5:$G$2466,'май 2025'!$D$5:$D$2466,$B24,'май 2025'!$J$5:$J$2466,P$1)</f>
        <v>0</v>
      </c>
      <c r="Q24" s="76">
        <f>SUMIFS('май 2025'!$G$5:$G$2466,'май 2025'!$D$5:$D$2466,$B24,'май 2025'!$J$5:$J$2466,Q$1)</f>
        <v>0</v>
      </c>
      <c r="R24" s="76">
        <f>SUMIFS('май 2025'!$G$5:$G$2466,'май 2025'!$D$5:$D$2466,$B24,'май 2025'!$J$5:$J$2466,R$1)</f>
        <v>0</v>
      </c>
      <c r="S24" s="76">
        <f>SUMIFS('май 2025'!$G$5:$G$2466,'май 2025'!$D$5:$D$2466,$B24,'май 2025'!$J$5:$J$2466,S$1)</f>
        <v>0</v>
      </c>
      <c r="T24" s="76">
        <f>SUMIFS('май 2025'!$G$5:$G$2466,'май 2025'!$D$5:$D$2466,$B24,'май 2025'!$J$5:$J$2466,T$1)</f>
        <v>0</v>
      </c>
      <c r="U24" s="76">
        <f>SUMIFS('май 2025'!$G$5:$G$2466,'май 2025'!$D$5:$D$2466,$B24,'май 2025'!$J$5:$J$2466,U$1)</f>
        <v>0</v>
      </c>
      <c r="V24" s="76">
        <f>SUMIFS('май 2025'!$G$5:$G$2466,'май 2025'!$D$5:$D$2466,$B24,'май 2025'!$J$5:$J$2466,V$1)</f>
        <v>0</v>
      </c>
      <c r="W24" s="76">
        <f>SUMIFS('май 2025'!$G$5:$G$2466,'май 2025'!$D$5:$D$2466,$B24,'май 2025'!$J$5:$J$2466,W$1)</f>
        <v>0</v>
      </c>
      <c r="X24" s="76">
        <f>SUMIFS('май 2025'!$G$5:$G$2466,'май 2025'!$D$5:$D$2466,$B24,'май 2025'!$J$5:$J$2466,X$1)</f>
        <v>0</v>
      </c>
      <c r="Y24" s="76">
        <f>SUMIFS('май 2025'!$G$5:$G$2466,'май 2025'!$D$5:$D$2466,$B24,'май 2025'!$J$5:$J$2466,Y$1)</f>
        <v>0</v>
      </c>
      <c r="Z24" s="76">
        <f>SUMIFS('май 2025'!$G$5:$G$2466,'май 2025'!$D$5:$D$2466,$B24,'май 2025'!$J$5:$J$2466,Z$1)</f>
        <v>0</v>
      </c>
      <c r="AA24" s="76">
        <f>SUMIFS('май 2025'!$G$5:$G$2466,'май 2025'!$D$5:$D$2466,$B24,'май 2025'!$J$5:$J$2466,AA$1)</f>
        <v>0</v>
      </c>
      <c r="AB24" s="76">
        <f>SUMIFS('май 2025'!$G$5:$G$2466,'май 2025'!$D$5:$D$2466,$B24,'май 2025'!$J$5:$J$2466,AB$1)</f>
        <v>0</v>
      </c>
      <c r="AC24" s="76">
        <f>SUMIFS('май 2025'!$G$5:$G$2466,'май 2025'!$D$5:$D$2466,$B24,'май 2025'!$J$5:$J$2466,AC$1)</f>
        <v>0</v>
      </c>
      <c r="AD24" s="76">
        <f>SUMIFS('май 2025'!$G$5:$G$2466,'май 2025'!$D$5:$D$2466,$B24,'май 2025'!$J$5:$J$2466,AD$1)</f>
        <v>0</v>
      </c>
      <c r="AE24" s="76">
        <f>SUMIFS('май 2025'!$G$5:$G$2466,'май 2025'!$D$5:$D$2466,$B24,'май 2025'!$J$5:$J$2466,AE$1)</f>
        <v>0</v>
      </c>
      <c r="AF24" s="76">
        <f>SUMIFS('май 2025'!$G$5:$G$2466,'май 2025'!$D$5:$D$2466,$B24,'май 2025'!$J$5:$J$2466,AF$1)</f>
        <v>0</v>
      </c>
      <c r="AG24" s="76">
        <f>SUMIFS('май 2025'!$G$5:$G$2466,'май 2025'!$D$5:$D$2466,$B24,'май 2025'!$J$5:$J$2466,AG$1)</f>
        <v>0</v>
      </c>
      <c r="AH24" s="76">
        <f>SUMIFS('май 2025'!$G$5:$G$2466,'май 2025'!$D$5:$D$2466,$B24,'май 2025'!$J$5:$J$2466,AH$1)</f>
        <v>0</v>
      </c>
      <c r="AI24" s="20">
        <f t="shared" si="1"/>
        <v>0</v>
      </c>
    </row>
    <row r="25" spans="2:35" ht="15" customHeight="1" x14ac:dyDescent="0.25">
      <c r="B25" s="80" t="s">
        <v>249</v>
      </c>
      <c r="C25" s="78">
        <v>25</v>
      </c>
      <c r="D25" s="76">
        <f>SUMIFS('май 2025'!$G$5:$G$2466,'май 2025'!$D$5:$D$2466,$B25,'май 2025'!$J$5:$J$2466,D$1)</f>
        <v>0</v>
      </c>
      <c r="E25" s="76">
        <f>SUMIFS('май 2025'!$G$5:$G$2466,'май 2025'!$D$5:$D$2466,$B25,'май 2025'!$J$5:$J$2466,E$1)</f>
        <v>0</v>
      </c>
      <c r="F25" s="76">
        <f>SUMIFS('май 2025'!$G$5:$G$2466,'май 2025'!$D$5:$D$2466,$B25,'май 2025'!$J$5:$J$2466,F$1)</f>
        <v>0</v>
      </c>
      <c r="G25" s="76">
        <f>SUMIFS('май 2025'!$G$5:$G$2466,'май 2025'!$D$5:$D$2466,$B25,'май 2025'!$J$5:$J$2466,G$1)</f>
        <v>0</v>
      </c>
      <c r="H25" s="76">
        <f>SUMIFS('май 2025'!$G$5:$G$2466,'май 2025'!$D$5:$D$2466,$B25,'май 2025'!$J$5:$J$2466,H$1)</f>
        <v>0</v>
      </c>
      <c r="I25" s="76">
        <f>SUMIFS('май 2025'!$G$5:$G$2466,'май 2025'!$D$5:$D$2466,$B25,'май 2025'!$J$5:$J$2466,I$1)</f>
        <v>0</v>
      </c>
      <c r="J25" s="76">
        <f>SUMIFS('май 2025'!$G$5:$G$2466,'май 2025'!$D$5:$D$2466,$B25,'май 2025'!$J$5:$J$2466,J$1)</f>
        <v>0</v>
      </c>
      <c r="K25" s="76">
        <f>SUMIFS('май 2025'!$G$5:$G$2466,'май 2025'!$D$5:$D$2466,$B25,'май 2025'!$J$5:$J$2466,K$1)</f>
        <v>0</v>
      </c>
      <c r="L25" s="76">
        <f>SUMIFS('май 2025'!$G$5:$G$2466,'май 2025'!$D$5:$D$2466,$B25,'май 2025'!$J$5:$J$2466,L$1)</f>
        <v>0</v>
      </c>
      <c r="M25" s="76">
        <f>SUMIFS('май 2025'!$G$5:$G$2466,'май 2025'!$D$5:$D$2466,$B25,'май 2025'!$J$5:$J$2466,M$1)</f>
        <v>0</v>
      </c>
      <c r="N25" s="76">
        <f>SUMIFS('май 2025'!$G$5:$G$2466,'май 2025'!$D$5:$D$2466,$B25,'май 2025'!$J$5:$J$2466,N$1)</f>
        <v>0</v>
      </c>
      <c r="O25" s="76">
        <f>SUMIFS('май 2025'!$G$5:$G$2466,'май 2025'!$D$5:$D$2466,$B25,'май 2025'!$J$5:$J$2466,O$1)</f>
        <v>0</v>
      </c>
      <c r="P25" s="76">
        <f>SUMIFS('май 2025'!$G$5:$G$2466,'май 2025'!$D$5:$D$2466,$B25,'май 2025'!$J$5:$J$2466,P$1)</f>
        <v>0</v>
      </c>
      <c r="Q25" s="76">
        <f>SUMIFS('май 2025'!$G$5:$G$2466,'май 2025'!$D$5:$D$2466,$B25,'май 2025'!$J$5:$J$2466,Q$1)</f>
        <v>0</v>
      </c>
      <c r="R25" s="76">
        <f>SUMIFS('май 2025'!$G$5:$G$2466,'май 2025'!$D$5:$D$2466,$B25,'май 2025'!$J$5:$J$2466,R$1)</f>
        <v>0</v>
      </c>
      <c r="S25" s="76">
        <f>SUMIFS('май 2025'!$G$5:$G$2466,'май 2025'!$D$5:$D$2466,$B25,'май 2025'!$J$5:$J$2466,S$1)</f>
        <v>0</v>
      </c>
      <c r="T25" s="76">
        <f>SUMIFS('май 2025'!$G$5:$G$2466,'май 2025'!$D$5:$D$2466,$B25,'май 2025'!$J$5:$J$2466,T$1)</f>
        <v>0</v>
      </c>
      <c r="U25" s="76">
        <f>SUMIFS('май 2025'!$G$5:$G$2466,'май 2025'!$D$5:$D$2466,$B25,'май 2025'!$J$5:$J$2466,U$1)</f>
        <v>0</v>
      </c>
      <c r="V25" s="76">
        <f>SUMIFS('май 2025'!$G$5:$G$2466,'май 2025'!$D$5:$D$2466,$B25,'май 2025'!$J$5:$J$2466,V$1)</f>
        <v>0</v>
      </c>
      <c r="W25" s="76">
        <f>SUMIFS('май 2025'!$G$5:$G$2466,'май 2025'!$D$5:$D$2466,$B25,'май 2025'!$J$5:$J$2466,W$1)</f>
        <v>0</v>
      </c>
      <c r="X25" s="76">
        <f>SUMIFS('май 2025'!$G$5:$G$2466,'май 2025'!$D$5:$D$2466,$B25,'май 2025'!$J$5:$J$2466,X$1)</f>
        <v>0</v>
      </c>
      <c r="Y25" s="76">
        <f>SUMIFS('май 2025'!$G$5:$G$2466,'май 2025'!$D$5:$D$2466,$B25,'май 2025'!$J$5:$J$2466,Y$1)</f>
        <v>0</v>
      </c>
      <c r="Z25" s="76">
        <f>SUMIFS('май 2025'!$G$5:$G$2466,'май 2025'!$D$5:$D$2466,$B25,'май 2025'!$J$5:$J$2466,Z$1)</f>
        <v>0</v>
      </c>
      <c r="AA25" s="76">
        <f>SUMIFS('май 2025'!$G$5:$G$2466,'май 2025'!$D$5:$D$2466,$B25,'май 2025'!$J$5:$J$2466,AA$1)</f>
        <v>0</v>
      </c>
      <c r="AB25" s="76">
        <f>SUMIFS('май 2025'!$G$5:$G$2466,'май 2025'!$D$5:$D$2466,$B25,'май 2025'!$J$5:$J$2466,AB$1)</f>
        <v>0</v>
      </c>
      <c r="AC25" s="76">
        <f>SUMIFS('май 2025'!$G$5:$G$2466,'май 2025'!$D$5:$D$2466,$B25,'май 2025'!$J$5:$J$2466,AC$1)</f>
        <v>0</v>
      </c>
      <c r="AD25" s="76">
        <f>SUMIFS('май 2025'!$G$5:$G$2466,'май 2025'!$D$5:$D$2466,$B25,'май 2025'!$J$5:$J$2466,AD$1)</f>
        <v>0</v>
      </c>
      <c r="AE25" s="76">
        <f>SUMIFS('май 2025'!$G$5:$G$2466,'май 2025'!$D$5:$D$2466,$B25,'май 2025'!$J$5:$J$2466,AE$1)</f>
        <v>0</v>
      </c>
      <c r="AF25" s="76">
        <f>SUMIFS('май 2025'!$G$5:$G$2466,'май 2025'!$D$5:$D$2466,$B25,'май 2025'!$J$5:$J$2466,AF$1)</f>
        <v>0</v>
      </c>
      <c r="AG25" s="76">
        <f>SUMIFS('май 2025'!$G$5:$G$2466,'май 2025'!$D$5:$D$2466,$B25,'май 2025'!$J$5:$J$2466,AG$1)</f>
        <v>0</v>
      </c>
      <c r="AH25" s="76">
        <f>SUMIFS('май 2025'!$G$5:$G$2466,'май 2025'!$D$5:$D$2466,$B25,'май 2025'!$J$5:$J$2466,AH$1)</f>
        <v>0</v>
      </c>
      <c r="AI25" s="20">
        <f t="shared" si="1"/>
        <v>0</v>
      </c>
    </row>
    <row r="26" spans="2:35" ht="15" customHeight="1" x14ac:dyDescent="0.25">
      <c r="B26" s="80" t="s">
        <v>250</v>
      </c>
      <c r="C26" s="78">
        <v>25</v>
      </c>
      <c r="D26" s="76">
        <f>SUMIFS('май 2025'!$G$5:$G$2466,'май 2025'!$D$5:$D$2466,$B26,'май 2025'!$J$5:$J$2466,D$1)</f>
        <v>0</v>
      </c>
      <c r="E26" s="76">
        <f>SUMIFS('май 2025'!$G$5:$G$2466,'май 2025'!$D$5:$D$2466,$B26,'май 2025'!$J$5:$J$2466,E$1)</f>
        <v>0</v>
      </c>
      <c r="F26" s="76">
        <f>SUMIFS('май 2025'!$G$5:$G$2466,'май 2025'!$D$5:$D$2466,$B26,'май 2025'!$J$5:$J$2466,F$1)</f>
        <v>0</v>
      </c>
      <c r="G26" s="76">
        <f>SUMIFS('май 2025'!$G$5:$G$2466,'май 2025'!$D$5:$D$2466,$B26,'май 2025'!$J$5:$J$2466,G$1)</f>
        <v>0</v>
      </c>
      <c r="H26" s="76">
        <f>SUMIFS('май 2025'!$G$5:$G$2466,'май 2025'!$D$5:$D$2466,$B26,'май 2025'!$J$5:$J$2466,H$1)</f>
        <v>0</v>
      </c>
      <c r="I26" s="76">
        <f>SUMIFS('май 2025'!$G$5:$G$2466,'май 2025'!$D$5:$D$2466,$B26,'май 2025'!$J$5:$J$2466,I$1)</f>
        <v>0</v>
      </c>
      <c r="J26" s="76">
        <f>SUMIFS('май 2025'!$G$5:$G$2466,'май 2025'!$D$5:$D$2466,$B26,'май 2025'!$J$5:$J$2466,J$1)</f>
        <v>0</v>
      </c>
      <c r="K26" s="76">
        <f>SUMIFS('май 2025'!$G$5:$G$2466,'май 2025'!$D$5:$D$2466,$B26,'май 2025'!$J$5:$J$2466,K$1)</f>
        <v>0</v>
      </c>
      <c r="L26" s="76">
        <f>SUMIFS('май 2025'!$G$5:$G$2466,'май 2025'!$D$5:$D$2466,$B26,'май 2025'!$J$5:$J$2466,L$1)</f>
        <v>0</v>
      </c>
      <c r="M26" s="76">
        <f>SUMIFS('май 2025'!$G$5:$G$2466,'май 2025'!$D$5:$D$2466,$B26,'май 2025'!$J$5:$J$2466,M$1)</f>
        <v>0</v>
      </c>
      <c r="N26" s="76">
        <f>SUMIFS('май 2025'!$G$5:$G$2466,'май 2025'!$D$5:$D$2466,$B26,'май 2025'!$J$5:$J$2466,N$1)</f>
        <v>0</v>
      </c>
      <c r="O26" s="76">
        <f>SUMIFS('май 2025'!$G$5:$G$2466,'май 2025'!$D$5:$D$2466,$B26,'май 2025'!$J$5:$J$2466,O$1)</f>
        <v>0</v>
      </c>
      <c r="P26" s="76">
        <f>SUMIFS('май 2025'!$G$5:$G$2466,'май 2025'!$D$5:$D$2466,$B26,'май 2025'!$J$5:$J$2466,P$1)</f>
        <v>0</v>
      </c>
      <c r="Q26" s="76">
        <f>SUMIFS('май 2025'!$G$5:$G$2466,'май 2025'!$D$5:$D$2466,$B26,'май 2025'!$J$5:$J$2466,Q$1)</f>
        <v>0</v>
      </c>
      <c r="R26" s="76">
        <f>SUMIFS('май 2025'!$G$5:$G$2466,'май 2025'!$D$5:$D$2466,$B26,'май 2025'!$J$5:$J$2466,R$1)</f>
        <v>0</v>
      </c>
      <c r="S26" s="76">
        <f>SUMIFS('май 2025'!$G$5:$G$2466,'май 2025'!$D$5:$D$2466,$B26,'май 2025'!$J$5:$J$2466,S$1)</f>
        <v>0</v>
      </c>
      <c r="T26" s="76">
        <f>SUMIFS('май 2025'!$G$5:$G$2466,'май 2025'!$D$5:$D$2466,$B26,'май 2025'!$J$5:$J$2466,T$1)</f>
        <v>0</v>
      </c>
      <c r="U26" s="76">
        <f>SUMIFS('май 2025'!$G$5:$G$2466,'май 2025'!$D$5:$D$2466,$B26,'май 2025'!$J$5:$J$2466,U$1)</f>
        <v>0</v>
      </c>
      <c r="V26" s="76">
        <f>SUMIFS('май 2025'!$G$5:$G$2466,'май 2025'!$D$5:$D$2466,$B26,'май 2025'!$J$5:$J$2466,V$1)</f>
        <v>0</v>
      </c>
      <c r="W26" s="76">
        <f>SUMIFS('май 2025'!$G$5:$G$2466,'май 2025'!$D$5:$D$2466,$B26,'май 2025'!$J$5:$J$2466,W$1)</f>
        <v>0</v>
      </c>
      <c r="X26" s="76">
        <f>SUMIFS('май 2025'!$G$5:$G$2466,'май 2025'!$D$5:$D$2466,$B26,'май 2025'!$J$5:$J$2466,X$1)</f>
        <v>0</v>
      </c>
      <c r="Y26" s="76">
        <f>SUMIFS('май 2025'!$G$5:$G$2466,'май 2025'!$D$5:$D$2466,$B26,'май 2025'!$J$5:$J$2466,Y$1)</f>
        <v>0</v>
      </c>
      <c r="Z26" s="76">
        <f>SUMIFS('май 2025'!$G$5:$G$2466,'май 2025'!$D$5:$D$2466,$B26,'май 2025'!$J$5:$J$2466,Z$1)</f>
        <v>0</v>
      </c>
      <c r="AA26" s="76">
        <f>SUMIFS('май 2025'!$G$5:$G$2466,'май 2025'!$D$5:$D$2466,$B26,'май 2025'!$J$5:$J$2466,AA$1)</f>
        <v>0</v>
      </c>
      <c r="AB26" s="76">
        <f>SUMIFS('май 2025'!$G$5:$G$2466,'май 2025'!$D$5:$D$2466,$B26,'май 2025'!$J$5:$J$2466,AB$1)</f>
        <v>0</v>
      </c>
      <c r="AC26" s="76">
        <f>SUMIFS('май 2025'!$G$5:$G$2466,'май 2025'!$D$5:$D$2466,$B26,'май 2025'!$J$5:$J$2466,AC$1)</f>
        <v>0</v>
      </c>
      <c r="AD26" s="76">
        <f>SUMIFS('май 2025'!$G$5:$G$2466,'май 2025'!$D$5:$D$2466,$B26,'май 2025'!$J$5:$J$2466,AD$1)</f>
        <v>0</v>
      </c>
      <c r="AE26" s="76">
        <f>SUMIFS('май 2025'!$G$5:$G$2466,'май 2025'!$D$5:$D$2466,$B26,'май 2025'!$J$5:$J$2466,AE$1)</f>
        <v>0</v>
      </c>
      <c r="AF26" s="76">
        <f>SUMIFS('май 2025'!$G$5:$G$2466,'май 2025'!$D$5:$D$2466,$B26,'май 2025'!$J$5:$J$2466,AF$1)</f>
        <v>0</v>
      </c>
      <c r="AG26" s="76">
        <f>SUMIFS('май 2025'!$G$5:$G$2466,'май 2025'!$D$5:$D$2466,$B26,'май 2025'!$J$5:$J$2466,AG$1)</f>
        <v>0</v>
      </c>
      <c r="AH26" s="76">
        <f>SUMIFS('май 2025'!$G$5:$G$2466,'май 2025'!$D$5:$D$2466,$B26,'май 2025'!$J$5:$J$2466,AH$1)</f>
        <v>0</v>
      </c>
      <c r="AI26" s="20">
        <f t="shared" si="1"/>
        <v>0</v>
      </c>
    </row>
    <row r="27" spans="2:35" ht="15" customHeight="1" x14ac:dyDescent="0.25">
      <c r="B27" s="80" t="s">
        <v>251</v>
      </c>
      <c r="C27" s="78">
        <v>25</v>
      </c>
      <c r="D27" s="76">
        <f>SUMIFS('май 2025'!$G$5:$G$2466,'май 2025'!$D$5:$D$2466,$B27,'май 2025'!$J$5:$J$2466,D$1)</f>
        <v>0</v>
      </c>
      <c r="E27" s="76">
        <f>SUMIFS('май 2025'!$G$5:$G$2466,'май 2025'!$D$5:$D$2466,$B27,'май 2025'!$J$5:$J$2466,E$1)</f>
        <v>0</v>
      </c>
      <c r="F27" s="76">
        <f>SUMIFS('май 2025'!$G$5:$G$2466,'май 2025'!$D$5:$D$2466,$B27,'май 2025'!$J$5:$J$2466,F$1)</f>
        <v>0</v>
      </c>
      <c r="G27" s="76">
        <f>SUMIFS('май 2025'!$G$5:$G$2466,'май 2025'!$D$5:$D$2466,$B27,'май 2025'!$J$5:$J$2466,G$1)</f>
        <v>0</v>
      </c>
      <c r="H27" s="76">
        <f>SUMIFS('май 2025'!$G$5:$G$2466,'май 2025'!$D$5:$D$2466,$B27,'май 2025'!$J$5:$J$2466,H$1)</f>
        <v>0</v>
      </c>
      <c r="I27" s="76">
        <f>SUMIFS('май 2025'!$G$5:$G$2466,'май 2025'!$D$5:$D$2466,$B27,'май 2025'!$J$5:$J$2466,I$1)</f>
        <v>0</v>
      </c>
      <c r="J27" s="76">
        <f>SUMIFS('май 2025'!$G$5:$G$2466,'май 2025'!$D$5:$D$2466,$B27,'май 2025'!$J$5:$J$2466,J$1)</f>
        <v>0</v>
      </c>
      <c r="K27" s="76">
        <f>SUMIFS('май 2025'!$G$5:$G$2466,'май 2025'!$D$5:$D$2466,$B27,'май 2025'!$J$5:$J$2466,K$1)</f>
        <v>0</v>
      </c>
      <c r="L27" s="76">
        <f>SUMIFS('май 2025'!$G$5:$G$2466,'май 2025'!$D$5:$D$2466,$B27,'май 2025'!$J$5:$J$2466,L$1)</f>
        <v>0</v>
      </c>
      <c r="M27" s="76">
        <f>SUMIFS('май 2025'!$G$5:$G$2466,'май 2025'!$D$5:$D$2466,$B27,'май 2025'!$J$5:$J$2466,M$1)</f>
        <v>0</v>
      </c>
      <c r="N27" s="76">
        <f>SUMIFS('май 2025'!$G$5:$G$2466,'май 2025'!$D$5:$D$2466,$B27,'май 2025'!$J$5:$J$2466,N$1)</f>
        <v>0</v>
      </c>
      <c r="O27" s="76">
        <f>SUMIFS('май 2025'!$G$5:$G$2466,'май 2025'!$D$5:$D$2466,$B27,'май 2025'!$J$5:$J$2466,O$1)</f>
        <v>0</v>
      </c>
      <c r="P27" s="76">
        <f>SUMIFS('май 2025'!$G$5:$G$2466,'май 2025'!$D$5:$D$2466,$B27,'май 2025'!$J$5:$J$2466,P$1)</f>
        <v>0</v>
      </c>
      <c r="Q27" s="76">
        <f>SUMIFS('май 2025'!$G$5:$G$2466,'май 2025'!$D$5:$D$2466,$B27,'май 2025'!$J$5:$J$2466,Q$1)</f>
        <v>0</v>
      </c>
      <c r="R27" s="76">
        <f>SUMIFS('май 2025'!$G$5:$G$2466,'май 2025'!$D$5:$D$2466,$B27,'май 2025'!$J$5:$J$2466,R$1)</f>
        <v>0</v>
      </c>
      <c r="S27" s="76">
        <f>SUMIFS('май 2025'!$G$5:$G$2466,'май 2025'!$D$5:$D$2466,$B27,'май 2025'!$J$5:$J$2466,S$1)</f>
        <v>0</v>
      </c>
      <c r="T27" s="76">
        <f>SUMIFS('май 2025'!$G$5:$G$2466,'май 2025'!$D$5:$D$2466,$B27,'май 2025'!$J$5:$J$2466,T$1)</f>
        <v>0</v>
      </c>
      <c r="U27" s="76">
        <f>SUMIFS('май 2025'!$G$5:$G$2466,'май 2025'!$D$5:$D$2466,$B27,'май 2025'!$J$5:$J$2466,U$1)</f>
        <v>0</v>
      </c>
      <c r="V27" s="76">
        <f>SUMIFS('май 2025'!$G$5:$G$2466,'май 2025'!$D$5:$D$2466,$B27,'май 2025'!$J$5:$J$2466,V$1)</f>
        <v>0</v>
      </c>
      <c r="W27" s="76">
        <f>SUMIFS('май 2025'!$G$5:$G$2466,'май 2025'!$D$5:$D$2466,$B27,'май 2025'!$J$5:$J$2466,W$1)</f>
        <v>0</v>
      </c>
      <c r="X27" s="76">
        <f>SUMIFS('май 2025'!$G$5:$G$2466,'май 2025'!$D$5:$D$2466,$B27,'май 2025'!$J$5:$J$2466,X$1)</f>
        <v>0</v>
      </c>
      <c r="Y27" s="76">
        <f>SUMIFS('май 2025'!$G$5:$G$2466,'май 2025'!$D$5:$D$2466,$B27,'май 2025'!$J$5:$J$2466,Y$1)</f>
        <v>0</v>
      </c>
      <c r="Z27" s="76">
        <f>SUMIFS('май 2025'!$G$5:$G$2466,'май 2025'!$D$5:$D$2466,$B27,'май 2025'!$J$5:$J$2466,Z$1)</f>
        <v>0</v>
      </c>
      <c r="AA27" s="76">
        <f>SUMIFS('май 2025'!$G$5:$G$2466,'май 2025'!$D$5:$D$2466,$B27,'май 2025'!$J$5:$J$2466,AA$1)</f>
        <v>0</v>
      </c>
      <c r="AB27" s="76">
        <f>SUMIFS('май 2025'!$G$5:$G$2466,'май 2025'!$D$5:$D$2466,$B27,'май 2025'!$J$5:$J$2466,AB$1)</f>
        <v>0</v>
      </c>
      <c r="AC27" s="76">
        <f>SUMIFS('май 2025'!$G$5:$G$2466,'май 2025'!$D$5:$D$2466,$B27,'май 2025'!$J$5:$J$2466,AC$1)</f>
        <v>0</v>
      </c>
      <c r="AD27" s="76">
        <f>SUMIFS('май 2025'!$G$5:$G$2466,'май 2025'!$D$5:$D$2466,$B27,'май 2025'!$J$5:$J$2466,AD$1)</f>
        <v>0</v>
      </c>
      <c r="AE27" s="76">
        <f>SUMIFS('май 2025'!$G$5:$G$2466,'май 2025'!$D$5:$D$2466,$B27,'май 2025'!$J$5:$J$2466,AE$1)</f>
        <v>0</v>
      </c>
      <c r="AF27" s="76">
        <f>SUMIFS('май 2025'!$G$5:$G$2466,'май 2025'!$D$5:$D$2466,$B27,'май 2025'!$J$5:$J$2466,AF$1)</f>
        <v>0</v>
      </c>
      <c r="AG27" s="76">
        <f>SUMIFS('май 2025'!$G$5:$G$2466,'май 2025'!$D$5:$D$2466,$B27,'май 2025'!$J$5:$J$2466,AG$1)</f>
        <v>0</v>
      </c>
      <c r="AH27" s="76">
        <f>SUMIFS('май 2025'!$G$5:$G$2466,'май 2025'!$D$5:$D$2466,$B27,'май 2025'!$J$5:$J$2466,AH$1)</f>
        <v>0</v>
      </c>
      <c r="AI27" s="20">
        <f t="shared" si="1"/>
        <v>0</v>
      </c>
    </row>
    <row r="28" spans="2:35" ht="15" customHeight="1" x14ac:dyDescent="0.25">
      <c r="B28" s="80" t="s">
        <v>383</v>
      </c>
      <c r="C28" s="78">
        <v>25</v>
      </c>
      <c r="D28" s="76">
        <f>SUMIFS('май 2025'!$G$5:$G$2466,'май 2025'!$D$5:$D$2466,$B28,'май 2025'!$J$5:$J$2466,D$1)</f>
        <v>0</v>
      </c>
      <c r="E28" s="76">
        <f>SUMIFS('май 2025'!$G$5:$G$2466,'май 2025'!$D$5:$D$2466,$B28,'май 2025'!$J$5:$J$2466,E$1)</f>
        <v>0</v>
      </c>
      <c r="F28" s="76">
        <f>SUMIFS('май 2025'!$G$5:$G$2466,'май 2025'!$D$5:$D$2466,$B28,'май 2025'!$J$5:$J$2466,F$1)</f>
        <v>0</v>
      </c>
      <c r="G28" s="76">
        <f>SUMIFS('май 2025'!$G$5:$G$2466,'май 2025'!$D$5:$D$2466,$B28,'май 2025'!$J$5:$J$2466,G$1)</f>
        <v>0</v>
      </c>
      <c r="H28" s="76">
        <f>SUMIFS('май 2025'!$G$5:$G$2466,'май 2025'!$D$5:$D$2466,$B28,'май 2025'!$J$5:$J$2466,H$1)</f>
        <v>0</v>
      </c>
      <c r="I28" s="76">
        <f>SUMIFS('май 2025'!$G$5:$G$2466,'май 2025'!$D$5:$D$2466,$B28,'май 2025'!$J$5:$J$2466,I$1)</f>
        <v>0</v>
      </c>
      <c r="J28" s="76">
        <f>SUMIFS('май 2025'!$G$5:$G$2466,'май 2025'!$D$5:$D$2466,$B28,'май 2025'!$J$5:$J$2466,J$1)</f>
        <v>0</v>
      </c>
      <c r="K28" s="76">
        <f>SUMIFS('май 2025'!$G$5:$G$2466,'май 2025'!$D$5:$D$2466,$B28,'май 2025'!$J$5:$J$2466,K$1)</f>
        <v>0</v>
      </c>
      <c r="L28" s="76">
        <f>SUMIFS('май 2025'!$G$5:$G$2466,'май 2025'!$D$5:$D$2466,$B28,'май 2025'!$J$5:$J$2466,L$1)</f>
        <v>0</v>
      </c>
      <c r="M28" s="76">
        <f>SUMIFS('май 2025'!$G$5:$G$2466,'май 2025'!$D$5:$D$2466,$B28,'май 2025'!$J$5:$J$2466,M$1)</f>
        <v>0</v>
      </c>
      <c r="N28" s="76">
        <f>SUMIFS('май 2025'!$G$5:$G$2466,'май 2025'!$D$5:$D$2466,$B28,'май 2025'!$J$5:$J$2466,N$1)</f>
        <v>0</v>
      </c>
      <c r="O28" s="76">
        <f>SUMIFS('май 2025'!$G$5:$G$2466,'май 2025'!$D$5:$D$2466,$B28,'май 2025'!$J$5:$J$2466,O$1)</f>
        <v>0</v>
      </c>
      <c r="P28" s="76">
        <f>SUMIFS('май 2025'!$G$5:$G$2466,'май 2025'!$D$5:$D$2466,$B28,'май 2025'!$J$5:$J$2466,P$1)</f>
        <v>0</v>
      </c>
      <c r="Q28" s="76">
        <f>SUMIFS('май 2025'!$G$5:$G$2466,'май 2025'!$D$5:$D$2466,$B28,'май 2025'!$J$5:$J$2466,Q$1)</f>
        <v>0</v>
      </c>
      <c r="R28" s="76">
        <f>SUMIFS('май 2025'!$G$5:$G$2466,'май 2025'!$D$5:$D$2466,$B28,'май 2025'!$J$5:$J$2466,R$1)</f>
        <v>0</v>
      </c>
      <c r="S28" s="76">
        <f>SUMIFS('май 2025'!$G$5:$G$2466,'май 2025'!$D$5:$D$2466,$B28,'май 2025'!$J$5:$J$2466,S$1)</f>
        <v>0</v>
      </c>
      <c r="T28" s="76">
        <f>SUMIFS('май 2025'!$G$5:$G$2466,'май 2025'!$D$5:$D$2466,$B28,'май 2025'!$J$5:$J$2466,T$1)</f>
        <v>0</v>
      </c>
      <c r="U28" s="76">
        <f>SUMIFS('май 2025'!$G$5:$G$2466,'май 2025'!$D$5:$D$2466,$B28,'май 2025'!$J$5:$J$2466,U$1)</f>
        <v>0</v>
      </c>
      <c r="V28" s="76">
        <f>SUMIFS('май 2025'!$G$5:$G$2466,'май 2025'!$D$5:$D$2466,$B28,'май 2025'!$J$5:$J$2466,V$1)</f>
        <v>0</v>
      </c>
      <c r="W28" s="76">
        <f>SUMIFS('май 2025'!$G$5:$G$2466,'май 2025'!$D$5:$D$2466,$B28,'май 2025'!$J$5:$J$2466,W$1)</f>
        <v>0</v>
      </c>
      <c r="X28" s="76">
        <f>SUMIFS('май 2025'!$G$5:$G$2466,'май 2025'!$D$5:$D$2466,$B28,'май 2025'!$J$5:$J$2466,X$1)</f>
        <v>0</v>
      </c>
      <c r="Y28" s="76">
        <f>SUMIFS('май 2025'!$G$5:$G$2466,'май 2025'!$D$5:$D$2466,$B28,'май 2025'!$J$5:$J$2466,Y$1)</f>
        <v>0</v>
      </c>
      <c r="Z28" s="76">
        <f>SUMIFS('май 2025'!$G$5:$G$2466,'май 2025'!$D$5:$D$2466,$B28,'май 2025'!$J$5:$J$2466,Z$1)</f>
        <v>0</v>
      </c>
      <c r="AA28" s="76">
        <f>SUMIFS('май 2025'!$G$5:$G$2466,'май 2025'!$D$5:$D$2466,$B28,'май 2025'!$J$5:$J$2466,AA$1)</f>
        <v>0</v>
      </c>
      <c r="AB28" s="76">
        <f>SUMIFS('май 2025'!$G$5:$G$2466,'май 2025'!$D$5:$D$2466,$B28,'май 2025'!$J$5:$J$2466,AB$1)</f>
        <v>0</v>
      </c>
      <c r="AC28" s="76">
        <f>SUMIFS('май 2025'!$G$5:$G$2466,'май 2025'!$D$5:$D$2466,$B28,'май 2025'!$J$5:$J$2466,AC$1)</f>
        <v>0</v>
      </c>
      <c r="AD28" s="76">
        <f>SUMIFS('май 2025'!$G$5:$G$2466,'май 2025'!$D$5:$D$2466,$B28,'май 2025'!$J$5:$J$2466,AD$1)</f>
        <v>0</v>
      </c>
      <c r="AE28" s="76">
        <f>SUMIFS('май 2025'!$G$5:$G$2466,'май 2025'!$D$5:$D$2466,$B28,'май 2025'!$J$5:$J$2466,AE$1)</f>
        <v>0</v>
      </c>
      <c r="AF28" s="76">
        <f>SUMIFS('май 2025'!$G$5:$G$2466,'май 2025'!$D$5:$D$2466,$B28,'май 2025'!$J$5:$J$2466,AF$1)</f>
        <v>0</v>
      </c>
      <c r="AG28" s="76">
        <f>SUMIFS('май 2025'!$G$5:$G$2466,'май 2025'!$D$5:$D$2466,$B28,'май 2025'!$J$5:$J$2466,AG$1)</f>
        <v>0</v>
      </c>
      <c r="AH28" s="76">
        <f>SUMIFS('май 2025'!$G$5:$G$2466,'май 2025'!$D$5:$D$2466,$B28,'май 2025'!$J$5:$J$2466,AH$1)</f>
        <v>0</v>
      </c>
      <c r="AI28" s="20">
        <f t="shared" si="1"/>
        <v>0</v>
      </c>
    </row>
    <row r="29" spans="2:35" ht="15" customHeight="1" x14ac:dyDescent="0.25">
      <c r="B29" s="80"/>
      <c r="C29" s="78"/>
      <c r="D29" s="76">
        <f>SUMIFS('май 2025'!$G$5:$G$2466,'май 2025'!$D$5:$D$2466,$B29,'май 2025'!$J$5:$J$2466,D$1)</f>
        <v>0</v>
      </c>
      <c r="E29" s="76">
        <f>SUMIFS('май 2025'!$G$5:$G$2466,'май 2025'!$D$5:$D$2466,$B29,'май 2025'!$J$5:$J$2466,E$1)</f>
        <v>0</v>
      </c>
      <c r="F29" s="76">
        <f>SUMIFS('май 2025'!$G$5:$G$2466,'май 2025'!$D$5:$D$2466,$B29,'май 2025'!$J$5:$J$2466,F$1)</f>
        <v>0</v>
      </c>
      <c r="G29" s="76">
        <f>SUMIFS('май 2025'!$G$5:$G$2466,'май 2025'!$D$5:$D$2466,$B29,'май 2025'!$J$5:$J$2466,G$1)</f>
        <v>0</v>
      </c>
      <c r="H29" s="76">
        <f>SUMIFS('май 2025'!$G$5:$G$2466,'май 2025'!$D$5:$D$2466,$B29,'май 2025'!$J$5:$J$2466,H$1)</f>
        <v>0</v>
      </c>
      <c r="I29" s="76">
        <f>SUMIFS('май 2025'!$G$5:$G$2466,'май 2025'!$D$5:$D$2466,$B29,'май 2025'!$J$5:$J$2466,I$1)</f>
        <v>0</v>
      </c>
      <c r="J29" s="76">
        <f>SUMIFS('май 2025'!$G$5:$G$2466,'май 2025'!$D$5:$D$2466,$B29,'май 2025'!$J$5:$J$2466,J$1)</f>
        <v>0</v>
      </c>
      <c r="K29" s="76">
        <f>SUMIFS('май 2025'!$G$5:$G$2466,'май 2025'!$D$5:$D$2466,$B29,'май 2025'!$J$5:$J$2466,K$1)</f>
        <v>0</v>
      </c>
      <c r="L29" s="76">
        <f>SUMIFS('май 2025'!$G$5:$G$2466,'май 2025'!$D$5:$D$2466,$B29,'май 2025'!$J$5:$J$2466,L$1)</f>
        <v>0</v>
      </c>
      <c r="M29" s="76">
        <f>SUMIFS('май 2025'!$G$5:$G$2466,'май 2025'!$D$5:$D$2466,$B29,'май 2025'!$J$5:$J$2466,M$1)</f>
        <v>0</v>
      </c>
      <c r="N29" s="76">
        <f>SUMIFS('май 2025'!$G$5:$G$2466,'май 2025'!$D$5:$D$2466,$B29,'май 2025'!$J$5:$J$2466,N$1)</f>
        <v>0</v>
      </c>
      <c r="O29" s="76">
        <f>SUMIFS('май 2025'!$G$5:$G$2466,'май 2025'!$D$5:$D$2466,$B29,'май 2025'!$J$5:$J$2466,O$1)</f>
        <v>0</v>
      </c>
      <c r="P29" s="76">
        <f>SUMIFS('май 2025'!$G$5:$G$2466,'май 2025'!$D$5:$D$2466,$B29,'май 2025'!$J$5:$J$2466,P$1)</f>
        <v>0</v>
      </c>
      <c r="Q29" s="76">
        <f>SUMIFS('май 2025'!$G$5:$G$2466,'май 2025'!$D$5:$D$2466,$B29,'май 2025'!$J$5:$J$2466,Q$1)</f>
        <v>0</v>
      </c>
      <c r="R29" s="76">
        <f>SUMIFS('май 2025'!$G$5:$G$2466,'май 2025'!$D$5:$D$2466,$B29,'май 2025'!$J$5:$J$2466,R$1)</f>
        <v>0</v>
      </c>
      <c r="S29" s="76">
        <f>SUMIFS('май 2025'!$G$5:$G$2466,'май 2025'!$D$5:$D$2466,$B29,'май 2025'!$J$5:$J$2466,S$1)</f>
        <v>0</v>
      </c>
      <c r="T29" s="76">
        <f>SUMIFS('май 2025'!$G$5:$G$2466,'май 2025'!$D$5:$D$2466,$B29,'май 2025'!$J$5:$J$2466,T$1)</f>
        <v>0</v>
      </c>
      <c r="U29" s="76">
        <f>SUMIFS('май 2025'!$G$5:$G$2466,'май 2025'!$D$5:$D$2466,$B29,'май 2025'!$J$5:$J$2466,U$1)</f>
        <v>0</v>
      </c>
      <c r="V29" s="76">
        <f>SUMIFS('май 2025'!$G$5:$G$2466,'май 2025'!$D$5:$D$2466,$B29,'май 2025'!$J$5:$J$2466,V$1)</f>
        <v>0</v>
      </c>
      <c r="W29" s="76">
        <f>SUMIFS('май 2025'!$G$5:$G$2466,'май 2025'!$D$5:$D$2466,$B29,'май 2025'!$J$5:$J$2466,W$1)</f>
        <v>0</v>
      </c>
      <c r="X29" s="76">
        <f>SUMIFS('май 2025'!$G$5:$G$2466,'май 2025'!$D$5:$D$2466,$B29,'май 2025'!$J$5:$J$2466,X$1)</f>
        <v>0</v>
      </c>
      <c r="Y29" s="76">
        <f>SUMIFS('май 2025'!$G$5:$G$2466,'май 2025'!$D$5:$D$2466,$B29,'май 2025'!$J$5:$J$2466,Y$1)</f>
        <v>0</v>
      </c>
      <c r="Z29" s="76">
        <f>SUMIFS('май 2025'!$G$5:$G$2466,'май 2025'!$D$5:$D$2466,$B29,'май 2025'!$J$5:$J$2466,Z$1)</f>
        <v>0</v>
      </c>
      <c r="AA29" s="76">
        <f>SUMIFS('май 2025'!$G$5:$G$2466,'май 2025'!$D$5:$D$2466,$B29,'май 2025'!$J$5:$J$2466,AA$1)</f>
        <v>0</v>
      </c>
      <c r="AB29" s="76">
        <f>SUMIFS('май 2025'!$G$5:$G$2466,'май 2025'!$D$5:$D$2466,$B29,'май 2025'!$J$5:$J$2466,AB$1)</f>
        <v>0</v>
      </c>
      <c r="AC29" s="76">
        <f>SUMIFS('май 2025'!$G$5:$G$2466,'май 2025'!$D$5:$D$2466,$B29,'май 2025'!$J$5:$J$2466,AC$1)</f>
        <v>0</v>
      </c>
      <c r="AD29" s="76">
        <f>SUMIFS('май 2025'!$G$5:$G$2466,'май 2025'!$D$5:$D$2466,$B29,'май 2025'!$J$5:$J$2466,AD$1)</f>
        <v>0</v>
      </c>
      <c r="AE29" s="76">
        <f>SUMIFS('май 2025'!$G$5:$G$2466,'май 2025'!$D$5:$D$2466,$B29,'май 2025'!$J$5:$J$2466,AE$1)</f>
        <v>0</v>
      </c>
      <c r="AF29" s="76">
        <f>SUMIFS('май 2025'!$G$5:$G$2466,'май 2025'!$D$5:$D$2466,$B29,'май 2025'!$J$5:$J$2466,AF$1)</f>
        <v>0</v>
      </c>
      <c r="AG29" s="76">
        <f>SUMIFS('май 2025'!$G$5:$G$2466,'май 2025'!$D$5:$D$2466,$B29,'май 2025'!$J$5:$J$2466,AG$1)</f>
        <v>0</v>
      </c>
      <c r="AH29" s="76">
        <f>SUMIFS('май 2025'!$G$5:$G$2466,'май 2025'!$D$5:$D$2466,$B29,'май 2025'!$J$5:$J$2466,AH$1)</f>
        <v>0</v>
      </c>
      <c r="AI29" s="20">
        <f t="shared" si="1"/>
        <v>0</v>
      </c>
    </row>
    <row r="30" spans="2:35" ht="15" customHeight="1" x14ac:dyDescent="0.25">
      <c r="B30" s="80"/>
      <c r="C30" s="78"/>
      <c r="D30" s="76">
        <f>SUMIFS('май 2025'!$G$5:$G$2466,'май 2025'!$D$5:$D$2466,$B30,'май 2025'!$J$5:$J$2466,D$1)</f>
        <v>0</v>
      </c>
      <c r="E30" s="76">
        <f>SUMIFS('май 2025'!$G$5:$G$2466,'май 2025'!$D$5:$D$2466,$B30,'май 2025'!$J$5:$J$2466,E$1)</f>
        <v>0</v>
      </c>
      <c r="F30" s="76">
        <f>SUMIFS('май 2025'!$G$5:$G$2466,'май 2025'!$D$5:$D$2466,$B30,'май 2025'!$J$5:$J$2466,F$1)</f>
        <v>0</v>
      </c>
      <c r="G30" s="76">
        <f>SUMIFS('май 2025'!$G$5:$G$2466,'май 2025'!$D$5:$D$2466,$B30,'май 2025'!$J$5:$J$2466,G$1)</f>
        <v>0</v>
      </c>
      <c r="H30" s="76">
        <f>SUMIFS('май 2025'!$G$5:$G$2466,'май 2025'!$D$5:$D$2466,$B30,'май 2025'!$J$5:$J$2466,H$1)</f>
        <v>0</v>
      </c>
      <c r="I30" s="76">
        <f>SUMIFS('май 2025'!$G$5:$G$2466,'май 2025'!$D$5:$D$2466,$B30,'май 2025'!$J$5:$J$2466,I$1)</f>
        <v>0</v>
      </c>
      <c r="J30" s="76">
        <f>SUMIFS('май 2025'!$G$5:$G$2466,'май 2025'!$D$5:$D$2466,$B30,'май 2025'!$J$5:$J$2466,J$1)</f>
        <v>0</v>
      </c>
      <c r="K30" s="76">
        <f>SUMIFS('май 2025'!$G$5:$G$2466,'май 2025'!$D$5:$D$2466,$B30,'май 2025'!$J$5:$J$2466,K$1)</f>
        <v>0</v>
      </c>
      <c r="L30" s="76">
        <f>SUMIFS('май 2025'!$G$5:$G$2466,'май 2025'!$D$5:$D$2466,$B30,'май 2025'!$J$5:$J$2466,L$1)</f>
        <v>0</v>
      </c>
      <c r="M30" s="76">
        <f>SUMIFS('май 2025'!$G$5:$G$2466,'май 2025'!$D$5:$D$2466,$B30,'май 2025'!$J$5:$J$2466,M$1)</f>
        <v>0</v>
      </c>
      <c r="N30" s="76">
        <f>SUMIFS('май 2025'!$G$5:$G$2466,'май 2025'!$D$5:$D$2466,$B30,'май 2025'!$J$5:$J$2466,N$1)</f>
        <v>0</v>
      </c>
      <c r="O30" s="76">
        <f>SUMIFS('май 2025'!$G$5:$G$2466,'май 2025'!$D$5:$D$2466,$B30,'май 2025'!$J$5:$J$2466,O$1)</f>
        <v>0</v>
      </c>
      <c r="P30" s="76">
        <f>SUMIFS('май 2025'!$G$5:$G$2466,'май 2025'!$D$5:$D$2466,$B30,'май 2025'!$J$5:$J$2466,P$1)</f>
        <v>0</v>
      </c>
      <c r="Q30" s="76">
        <f>SUMIFS('май 2025'!$G$5:$G$2466,'май 2025'!$D$5:$D$2466,$B30,'май 2025'!$J$5:$J$2466,Q$1)</f>
        <v>0</v>
      </c>
      <c r="R30" s="76">
        <f>SUMIFS('май 2025'!$G$5:$G$2466,'май 2025'!$D$5:$D$2466,$B30,'май 2025'!$J$5:$J$2466,R$1)</f>
        <v>0</v>
      </c>
      <c r="S30" s="76">
        <f>SUMIFS('май 2025'!$G$5:$G$2466,'май 2025'!$D$5:$D$2466,$B30,'май 2025'!$J$5:$J$2466,S$1)</f>
        <v>0</v>
      </c>
      <c r="T30" s="76">
        <f>SUMIFS('май 2025'!$G$5:$G$2466,'май 2025'!$D$5:$D$2466,$B30,'май 2025'!$J$5:$J$2466,T$1)</f>
        <v>0</v>
      </c>
      <c r="U30" s="76">
        <f>SUMIFS('май 2025'!$G$5:$G$2466,'май 2025'!$D$5:$D$2466,$B30,'май 2025'!$J$5:$J$2466,U$1)</f>
        <v>0</v>
      </c>
      <c r="V30" s="76">
        <f>SUMIFS('май 2025'!$G$5:$G$2466,'май 2025'!$D$5:$D$2466,$B30,'май 2025'!$J$5:$J$2466,V$1)</f>
        <v>0</v>
      </c>
      <c r="W30" s="76">
        <f>SUMIFS('май 2025'!$G$5:$G$2466,'май 2025'!$D$5:$D$2466,$B30,'май 2025'!$J$5:$J$2466,W$1)</f>
        <v>0</v>
      </c>
      <c r="X30" s="76">
        <f>SUMIFS('май 2025'!$G$5:$G$2466,'май 2025'!$D$5:$D$2466,$B30,'май 2025'!$J$5:$J$2466,X$1)</f>
        <v>0</v>
      </c>
      <c r="Y30" s="76">
        <f>SUMIFS('май 2025'!$G$5:$G$2466,'май 2025'!$D$5:$D$2466,$B30,'май 2025'!$J$5:$J$2466,Y$1)</f>
        <v>0</v>
      </c>
      <c r="Z30" s="76">
        <f>SUMIFS('май 2025'!$G$5:$G$2466,'май 2025'!$D$5:$D$2466,$B30,'май 2025'!$J$5:$J$2466,Z$1)</f>
        <v>0</v>
      </c>
      <c r="AA30" s="76">
        <f>SUMIFS('май 2025'!$G$5:$G$2466,'май 2025'!$D$5:$D$2466,$B30,'май 2025'!$J$5:$J$2466,AA$1)</f>
        <v>0</v>
      </c>
      <c r="AB30" s="76">
        <f>SUMIFS('май 2025'!$G$5:$G$2466,'май 2025'!$D$5:$D$2466,$B30,'май 2025'!$J$5:$J$2466,AB$1)</f>
        <v>0</v>
      </c>
      <c r="AC30" s="76">
        <f>SUMIFS('май 2025'!$G$5:$G$2466,'май 2025'!$D$5:$D$2466,$B30,'май 2025'!$J$5:$J$2466,AC$1)</f>
        <v>0</v>
      </c>
      <c r="AD30" s="76">
        <f>SUMIFS('май 2025'!$G$5:$G$2466,'май 2025'!$D$5:$D$2466,$B30,'май 2025'!$J$5:$J$2466,AD$1)</f>
        <v>0</v>
      </c>
      <c r="AE30" s="76">
        <f>SUMIFS('май 2025'!$G$5:$G$2466,'май 2025'!$D$5:$D$2466,$B30,'май 2025'!$J$5:$J$2466,AE$1)</f>
        <v>0</v>
      </c>
      <c r="AF30" s="76">
        <f>SUMIFS('май 2025'!$G$5:$G$2466,'май 2025'!$D$5:$D$2466,$B30,'май 2025'!$J$5:$J$2466,AF$1)</f>
        <v>0</v>
      </c>
      <c r="AG30" s="76">
        <f>SUMIFS('май 2025'!$G$5:$G$2466,'май 2025'!$D$5:$D$2466,$B30,'май 2025'!$J$5:$J$2466,AG$1)</f>
        <v>0</v>
      </c>
      <c r="AH30" s="76">
        <f>SUMIFS('май 2025'!$G$5:$G$2466,'май 2025'!$D$5:$D$2466,$B30,'май 2025'!$J$5:$J$2466,AH$1)</f>
        <v>0</v>
      </c>
      <c r="AI30" s="20">
        <f t="shared" si="1"/>
        <v>0</v>
      </c>
    </row>
    <row r="31" spans="2:35" ht="15" customHeight="1" x14ac:dyDescent="0.25">
      <c r="B31" s="80"/>
      <c r="C31" s="78"/>
      <c r="D31" s="76">
        <f>SUMIFS('май 2025'!$G$5:$G$2466,'май 2025'!$D$5:$D$2466,$B31,'май 2025'!$J$5:$J$2466,D$1)</f>
        <v>0</v>
      </c>
      <c r="E31" s="76">
        <f>SUMIFS('май 2025'!$G$5:$G$2466,'май 2025'!$D$5:$D$2466,$B31,'май 2025'!$J$5:$J$2466,E$1)</f>
        <v>0</v>
      </c>
      <c r="F31" s="76">
        <f>SUMIFS('май 2025'!$G$5:$G$2466,'май 2025'!$D$5:$D$2466,$B31,'май 2025'!$J$5:$J$2466,F$1)</f>
        <v>0</v>
      </c>
      <c r="G31" s="76">
        <f>SUMIFS('май 2025'!$G$5:$G$2466,'май 2025'!$D$5:$D$2466,$B31,'май 2025'!$J$5:$J$2466,G$1)</f>
        <v>0</v>
      </c>
      <c r="H31" s="76">
        <f>SUMIFS('май 2025'!$G$5:$G$2466,'май 2025'!$D$5:$D$2466,$B31,'май 2025'!$J$5:$J$2466,H$1)</f>
        <v>0</v>
      </c>
      <c r="I31" s="76">
        <f>SUMIFS('май 2025'!$G$5:$G$2466,'май 2025'!$D$5:$D$2466,$B31,'май 2025'!$J$5:$J$2466,I$1)</f>
        <v>0</v>
      </c>
      <c r="J31" s="76">
        <f>SUMIFS('май 2025'!$G$5:$G$2466,'май 2025'!$D$5:$D$2466,$B31,'май 2025'!$J$5:$J$2466,J$1)</f>
        <v>0</v>
      </c>
      <c r="K31" s="76">
        <f>SUMIFS('май 2025'!$G$5:$G$2466,'май 2025'!$D$5:$D$2466,$B31,'май 2025'!$J$5:$J$2466,K$1)</f>
        <v>0</v>
      </c>
      <c r="L31" s="76">
        <f>SUMIFS('май 2025'!$G$5:$G$2466,'май 2025'!$D$5:$D$2466,$B31,'май 2025'!$J$5:$J$2466,L$1)</f>
        <v>0</v>
      </c>
      <c r="M31" s="76">
        <f>SUMIFS('май 2025'!$G$5:$G$2466,'май 2025'!$D$5:$D$2466,$B31,'май 2025'!$J$5:$J$2466,M$1)</f>
        <v>0</v>
      </c>
      <c r="N31" s="76">
        <f>SUMIFS('май 2025'!$G$5:$G$2466,'май 2025'!$D$5:$D$2466,$B31,'май 2025'!$J$5:$J$2466,N$1)</f>
        <v>0</v>
      </c>
      <c r="O31" s="76">
        <f>SUMIFS('май 2025'!$G$5:$G$2466,'май 2025'!$D$5:$D$2466,$B31,'май 2025'!$J$5:$J$2466,O$1)</f>
        <v>0</v>
      </c>
      <c r="P31" s="76">
        <f>SUMIFS('май 2025'!$G$5:$G$2466,'май 2025'!$D$5:$D$2466,$B31,'май 2025'!$J$5:$J$2466,P$1)</f>
        <v>0</v>
      </c>
      <c r="Q31" s="76">
        <f>SUMIFS('май 2025'!$G$5:$G$2466,'май 2025'!$D$5:$D$2466,$B31,'май 2025'!$J$5:$J$2466,Q$1)</f>
        <v>0</v>
      </c>
      <c r="R31" s="76">
        <f>SUMIFS('май 2025'!$G$5:$G$2466,'май 2025'!$D$5:$D$2466,$B31,'май 2025'!$J$5:$J$2466,R$1)</f>
        <v>0</v>
      </c>
      <c r="S31" s="76">
        <f>SUMIFS('май 2025'!$G$5:$G$2466,'май 2025'!$D$5:$D$2466,$B31,'май 2025'!$J$5:$J$2466,S$1)</f>
        <v>0</v>
      </c>
      <c r="T31" s="76">
        <f>SUMIFS('май 2025'!$G$5:$G$2466,'май 2025'!$D$5:$D$2466,$B31,'май 2025'!$J$5:$J$2466,T$1)</f>
        <v>0</v>
      </c>
      <c r="U31" s="76">
        <f>SUMIFS('май 2025'!$G$5:$G$2466,'май 2025'!$D$5:$D$2466,$B31,'май 2025'!$J$5:$J$2466,U$1)</f>
        <v>0</v>
      </c>
      <c r="V31" s="76">
        <f>SUMIFS('май 2025'!$G$5:$G$2466,'май 2025'!$D$5:$D$2466,$B31,'май 2025'!$J$5:$J$2466,V$1)</f>
        <v>0</v>
      </c>
      <c r="W31" s="76">
        <f>SUMIFS('май 2025'!$G$5:$G$2466,'май 2025'!$D$5:$D$2466,$B31,'май 2025'!$J$5:$J$2466,W$1)</f>
        <v>0</v>
      </c>
      <c r="X31" s="76">
        <f>SUMIFS('май 2025'!$G$5:$G$2466,'май 2025'!$D$5:$D$2466,$B31,'май 2025'!$J$5:$J$2466,X$1)</f>
        <v>0</v>
      </c>
      <c r="Y31" s="76">
        <f>SUMIFS('май 2025'!$G$5:$G$2466,'май 2025'!$D$5:$D$2466,$B31,'май 2025'!$J$5:$J$2466,Y$1)</f>
        <v>0</v>
      </c>
      <c r="Z31" s="76">
        <f>SUMIFS('май 2025'!$G$5:$G$2466,'май 2025'!$D$5:$D$2466,$B31,'май 2025'!$J$5:$J$2466,Z$1)</f>
        <v>0</v>
      </c>
      <c r="AA31" s="76">
        <f>SUMIFS('май 2025'!$G$5:$G$2466,'май 2025'!$D$5:$D$2466,$B31,'май 2025'!$J$5:$J$2466,AA$1)</f>
        <v>0</v>
      </c>
      <c r="AB31" s="76">
        <f>SUMIFS('май 2025'!$G$5:$G$2466,'май 2025'!$D$5:$D$2466,$B31,'май 2025'!$J$5:$J$2466,AB$1)</f>
        <v>0</v>
      </c>
      <c r="AC31" s="76">
        <f>SUMIFS('май 2025'!$G$5:$G$2466,'май 2025'!$D$5:$D$2466,$B31,'май 2025'!$J$5:$J$2466,AC$1)</f>
        <v>0</v>
      </c>
      <c r="AD31" s="76">
        <f>SUMIFS('май 2025'!$G$5:$G$2466,'май 2025'!$D$5:$D$2466,$B31,'май 2025'!$J$5:$J$2466,AD$1)</f>
        <v>0</v>
      </c>
      <c r="AE31" s="76">
        <f>SUMIFS('май 2025'!$G$5:$G$2466,'май 2025'!$D$5:$D$2466,$B31,'май 2025'!$J$5:$J$2466,AE$1)</f>
        <v>0</v>
      </c>
      <c r="AF31" s="76">
        <f>SUMIFS('май 2025'!$G$5:$G$2466,'май 2025'!$D$5:$D$2466,$B31,'май 2025'!$J$5:$J$2466,AF$1)</f>
        <v>0</v>
      </c>
      <c r="AG31" s="76">
        <f>SUMIFS('май 2025'!$G$5:$G$2466,'май 2025'!$D$5:$D$2466,$B31,'май 2025'!$J$5:$J$2466,AG$1)</f>
        <v>0</v>
      </c>
      <c r="AH31" s="76">
        <f>SUMIFS('май 2025'!$G$5:$G$2466,'май 2025'!$D$5:$D$2466,$B31,'май 2025'!$J$5:$J$2466,AH$1)</f>
        <v>0</v>
      </c>
      <c r="AI31" s="20">
        <f t="shared" si="1"/>
        <v>0</v>
      </c>
    </row>
    <row r="32" spans="2:35" ht="15" customHeight="1" x14ac:dyDescent="0.25">
      <c r="B32" s="80"/>
      <c r="C32" s="78"/>
      <c r="D32" s="76">
        <f>SUMIFS('май 2025'!$G$5:$G$2466,'май 2025'!$D$5:$D$2466,$B32,'май 2025'!$J$5:$J$2466,D$1)</f>
        <v>0</v>
      </c>
      <c r="E32" s="76">
        <f>SUMIFS('май 2025'!$G$5:$G$2466,'май 2025'!$D$5:$D$2466,$B32,'май 2025'!$J$5:$J$2466,E$1)</f>
        <v>0</v>
      </c>
      <c r="F32" s="76">
        <f>SUMIFS('май 2025'!$G$5:$G$2466,'май 2025'!$D$5:$D$2466,$B32,'май 2025'!$J$5:$J$2466,F$1)</f>
        <v>0</v>
      </c>
      <c r="G32" s="76">
        <f>SUMIFS('май 2025'!$G$5:$G$2466,'май 2025'!$D$5:$D$2466,$B32,'май 2025'!$J$5:$J$2466,G$1)</f>
        <v>0</v>
      </c>
      <c r="H32" s="76">
        <f>SUMIFS('май 2025'!$G$5:$G$2466,'май 2025'!$D$5:$D$2466,$B32,'май 2025'!$J$5:$J$2466,H$1)</f>
        <v>0</v>
      </c>
      <c r="I32" s="76">
        <f>SUMIFS('май 2025'!$G$5:$G$2466,'май 2025'!$D$5:$D$2466,$B32,'май 2025'!$J$5:$J$2466,I$1)</f>
        <v>0</v>
      </c>
      <c r="J32" s="76">
        <f>SUMIFS('май 2025'!$G$5:$G$2466,'май 2025'!$D$5:$D$2466,$B32,'май 2025'!$J$5:$J$2466,J$1)</f>
        <v>0</v>
      </c>
      <c r="K32" s="76">
        <f>SUMIFS('май 2025'!$G$5:$G$2466,'май 2025'!$D$5:$D$2466,$B32,'май 2025'!$J$5:$J$2466,K$1)</f>
        <v>0</v>
      </c>
      <c r="L32" s="76">
        <f>SUMIFS('май 2025'!$G$5:$G$2466,'май 2025'!$D$5:$D$2466,$B32,'май 2025'!$J$5:$J$2466,L$1)</f>
        <v>0</v>
      </c>
      <c r="M32" s="76">
        <f>SUMIFS('май 2025'!$G$5:$G$2466,'май 2025'!$D$5:$D$2466,$B32,'май 2025'!$J$5:$J$2466,M$1)</f>
        <v>0</v>
      </c>
      <c r="N32" s="76">
        <f>SUMIFS('май 2025'!$G$5:$G$2466,'май 2025'!$D$5:$D$2466,$B32,'май 2025'!$J$5:$J$2466,N$1)</f>
        <v>0</v>
      </c>
      <c r="O32" s="76">
        <f>SUMIFS('май 2025'!$G$5:$G$2466,'май 2025'!$D$5:$D$2466,$B32,'май 2025'!$J$5:$J$2466,O$1)</f>
        <v>0</v>
      </c>
      <c r="P32" s="76">
        <f>SUMIFS('май 2025'!$G$5:$G$2466,'май 2025'!$D$5:$D$2466,$B32,'май 2025'!$J$5:$J$2466,P$1)</f>
        <v>0</v>
      </c>
      <c r="Q32" s="76">
        <f>SUMIFS('май 2025'!$G$5:$G$2466,'май 2025'!$D$5:$D$2466,$B32,'май 2025'!$J$5:$J$2466,Q$1)</f>
        <v>0</v>
      </c>
      <c r="R32" s="76">
        <f>SUMIFS('май 2025'!$G$5:$G$2466,'май 2025'!$D$5:$D$2466,$B32,'май 2025'!$J$5:$J$2466,R$1)</f>
        <v>0</v>
      </c>
      <c r="S32" s="76">
        <f>SUMIFS('май 2025'!$G$5:$G$2466,'май 2025'!$D$5:$D$2466,$B32,'май 2025'!$J$5:$J$2466,S$1)</f>
        <v>0</v>
      </c>
      <c r="T32" s="76">
        <f>SUMIFS('май 2025'!$G$5:$G$2466,'май 2025'!$D$5:$D$2466,$B32,'май 2025'!$J$5:$J$2466,T$1)</f>
        <v>0</v>
      </c>
      <c r="U32" s="76">
        <f>SUMIFS('май 2025'!$G$5:$G$2466,'май 2025'!$D$5:$D$2466,$B32,'май 2025'!$J$5:$J$2466,U$1)</f>
        <v>0</v>
      </c>
      <c r="V32" s="76">
        <f>SUMIFS('май 2025'!$G$5:$G$2466,'май 2025'!$D$5:$D$2466,$B32,'май 2025'!$J$5:$J$2466,V$1)</f>
        <v>0</v>
      </c>
      <c r="W32" s="76">
        <f>SUMIFS('май 2025'!$G$5:$G$2466,'май 2025'!$D$5:$D$2466,$B32,'май 2025'!$J$5:$J$2466,W$1)</f>
        <v>0</v>
      </c>
      <c r="X32" s="76">
        <f>SUMIFS('май 2025'!$G$5:$G$2466,'май 2025'!$D$5:$D$2466,$B32,'май 2025'!$J$5:$J$2466,X$1)</f>
        <v>0</v>
      </c>
      <c r="Y32" s="76">
        <f>SUMIFS('май 2025'!$G$5:$G$2466,'май 2025'!$D$5:$D$2466,$B32,'май 2025'!$J$5:$J$2466,Y$1)</f>
        <v>0</v>
      </c>
      <c r="Z32" s="76">
        <f>SUMIFS('май 2025'!$G$5:$G$2466,'май 2025'!$D$5:$D$2466,$B32,'май 2025'!$J$5:$J$2466,Z$1)</f>
        <v>0</v>
      </c>
      <c r="AA32" s="76">
        <f>SUMIFS('май 2025'!$G$5:$G$2466,'май 2025'!$D$5:$D$2466,$B32,'май 2025'!$J$5:$J$2466,AA$1)</f>
        <v>0</v>
      </c>
      <c r="AB32" s="76">
        <f>SUMIFS('май 2025'!$G$5:$G$2466,'май 2025'!$D$5:$D$2466,$B32,'май 2025'!$J$5:$J$2466,AB$1)</f>
        <v>0</v>
      </c>
      <c r="AC32" s="76">
        <f>SUMIFS('май 2025'!$G$5:$G$2466,'май 2025'!$D$5:$D$2466,$B32,'май 2025'!$J$5:$J$2466,AC$1)</f>
        <v>0</v>
      </c>
      <c r="AD32" s="76">
        <f>SUMIFS('май 2025'!$G$5:$G$2466,'май 2025'!$D$5:$D$2466,$B32,'май 2025'!$J$5:$J$2466,AD$1)</f>
        <v>0</v>
      </c>
      <c r="AE32" s="76">
        <f>SUMIFS('май 2025'!$G$5:$G$2466,'май 2025'!$D$5:$D$2466,$B32,'май 2025'!$J$5:$J$2466,AE$1)</f>
        <v>0</v>
      </c>
      <c r="AF32" s="76">
        <f>SUMIFS('май 2025'!$G$5:$G$2466,'май 2025'!$D$5:$D$2466,$B32,'май 2025'!$J$5:$J$2466,AF$1)</f>
        <v>0</v>
      </c>
      <c r="AG32" s="76">
        <f>SUMIFS('май 2025'!$G$5:$G$2466,'май 2025'!$D$5:$D$2466,$B32,'май 2025'!$J$5:$J$2466,AG$1)</f>
        <v>0</v>
      </c>
      <c r="AH32" s="76">
        <f>SUMIFS('май 2025'!$G$5:$G$2466,'май 2025'!$D$5:$D$2466,$B32,'май 2025'!$J$5:$J$2466,AH$1)</f>
        <v>0</v>
      </c>
      <c r="AI32" s="20">
        <f t="shared" si="1"/>
        <v>0</v>
      </c>
    </row>
    <row r="33" spans="2:35" ht="15" customHeight="1" x14ac:dyDescent="0.25">
      <c r="B33" s="125" t="s">
        <v>213</v>
      </c>
      <c r="C33" s="126">
        <v>25</v>
      </c>
      <c r="D33" s="182">
        <f>SUMIFS('май 2025'!$G$5:$G$2466,'май 2025'!$D$5:$D$2466,$B33,'май 2025'!$J$5:$J$2466,D$1)</f>
        <v>0</v>
      </c>
      <c r="E33" s="182">
        <f>SUMIFS('май 2025'!$G$5:$G$2466,'май 2025'!$D$5:$D$2466,$B33,'май 2025'!$J$5:$J$2466,E$1)</f>
        <v>0</v>
      </c>
      <c r="F33" s="182">
        <f>SUMIFS('май 2025'!$G$5:$G$2466,'май 2025'!$D$5:$D$2466,$B33,'май 2025'!$J$5:$J$2466,F$1)</f>
        <v>0</v>
      </c>
      <c r="G33" s="182">
        <f>SUMIFS('май 2025'!$G$5:$G$2466,'май 2025'!$D$5:$D$2466,$B33,'май 2025'!$J$5:$J$2466,G$1)</f>
        <v>0</v>
      </c>
      <c r="H33" s="182">
        <f>SUMIFS('май 2025'!$G$5:$G$2466,'май 2025'!$D$5:$D$2466,$B33,'май 2025'!$J$5:$J$2466,H$1)</f>
        <v>0</v>
      </c>
      <c r="I33" s="182">
        <f>SUMIFS('май 2025'!$G$5:$G$2466,'май 2025'!$D$5:$D$2466,$B33,'май 2025'!$J$5:$J$2466,I$1)</f>
        <v>0</v>
      </c>
      <c r="J33" s="182">
        <f>SUMIFS('май 2025'!$G$5:$G$2466,'май 2025'!$D$5:$D$2466,$B33,'май 2025'!$J$5:$J$2466,J$1)</f>
        <v>0</v>
      </c>
      <c r="K33" s="182">
        <f>SUMIFS('май 2025'!$G$5:$G$2466,'май 2025'!$D$5:$D$2466,$B33,'май 2025'!$J$5:$J$2466,K$1)</f>
        <v>0</v>
      </c>
      <c r="L33" s="182">
        <f>SUMIFS('май 2025'!$G$5:$G$2466,'май 2025'!$D$5:$D$2466,$B33,'май 2025'!$J$5:$J$2466,L$1)</f>
        <v>0</v>
      </c>
      <c r="M33" s="182">
        <f>SUMIFS('май 2025'!$G$5:$G$2466,'май 2025'!$D$5:$D$2466,$B33,'май 2025'!$J$5:$J$2466,M$1)</f>
        <v>0</v>
      </c>
      <c r="N33" s="182">
        <f>SUMIFS('май 2025'!$G$5:$G$2466,'май 2025'!$D$5:$D$2466,$B33,'май 2025'!$J$5:$J$2466,N$1)</f>
        <v>0</v>
      </c>
      <c r="O33" s="182">
        <f>SUMIFS('май 2025'!$G$5:$G$2466,'май 2025'!$D$5:$D$2466,$B33,'май 2025'!$J$5:$J$2466,O$1)</f>
        <v>0</v>
      </c>
      <c r="P33" s="182">
        <f>SUMIFS('май 2025'!$G$5:$G$2466,'май 2025'!$D$5:$D$2466,$B33,'май 2025'!$J$5:$J$2466,P$1)</f>
        <v>0</v>
      </c>
      <c r="Q33" s="182">
        <f>SUMIFS('май 2025'!$G$5:$G$2466,'май 2025'!$D$5:$D$2466,$B33,'май 2025'!$J$5:$J$2466,Q$1)</f>
        <v>0</v>
      </c>
      <c r="R33" s="182">
        <f>SUMIFS('май 2025'!$G$5:$G$2466,'май 2025'!$D$5:$D$2466,$B33,'май 2025'!$J$5:$J$2466,R$1)</f>
        <v>0</v>
      </c>
      <c r="S33" s="182">
        <f>SUMIFS('май 2025'!$G$5:$G$2466,'май 2025'!$D$5:$D$2466,$B33,'май 2025'!$J$5:$J$2466,S$1)</f>
        <v>0</v>
      </c>
      <c r="T33" s="182">
        <f>SUMIFS('май 2025'!$G$5:$G$2466,'май 2025'!$D$5:$D$2466,$B33,'май 2025'!$J$5:$J$2466,T$1)</f>
        <v>0</v>
      </c>
      <c r="U33" s="182">
        <f>SUMIFS('май 2025'!$G$5:$G$2466,'май 2025'!$D$5:$D$2466,$B33,'май 2025'!$J$5:$J$2466,U$1)</f>
        <v>0</v>
      </c>
      <c r="V33" s="182">
        <f>SUMIFS('май 2025'!$G$5:$G$2466,'май 2025'!$D$5:$D$2466,$B33,'май 2025'!$J$5:$J$2466,V$1)</f>
        <v>0</v>
      </c>
      <c r="W33" s="182">
        <f>SUMIFS('май 2025'!$G$5:$G$2466,'май 2025'!$D$5:$D$2466,$B33,'май 2025'!$J$5:$J$2466,W$1)</f>
        <v>0</v>
      </c>
      <c r="X33" s="182">
        <f>SUMIFS('май 2025'!$G$5:$G$2466,'май 2025'!$D$5:$D$2466,$B33,'май 2025'!$J$5:$J$2466,X$1)</f>
        <v>0</v>
      </c>
      <c r="Y33" s="182">
        <f>SUMIFS('май 2025'!$G$5:$G$2466,'май 2025'!$D$5:$D$2466,$B33,'май 2025'!$J$5:$J$2466,Y$1)</f>
        <v>0</v>
      </c>
      <c r="Z33" s="182">
        <f>SUMIFS('май 2025'!$G$5:$G$2466,'май 2025'!$D$5:$D$2466,$B33,'май 2025'!$J$5:$J$2466,Z$1)</f>
        <v>0</v>
      </c>
      <c r="AA33" s="182">
        <f>SUMIFS('май 2025'!$G$5:$G$2466,'май 2025'!$D$5:$D$2466,$B33,'май 2025'!$J$5:$J$2466,AA$1)</f>
        <v>0</v>
      </c>
      <c r="AB33" s="182">
        <f>SUMIFS('май 2025'!$G$5:$G$2466,'май 2025'!$D$5:$D$2466,$B33,'май 2025'!$J$5:$J$2466,AB$1)</f>
        <v>0</v>
      </c>
      <c r="AC33" s="182">
        <f>SUMIFS('май 2025'!$G$5:$G$2466,'май 2025'!$D$5:$D$2466,$B33,'май 2025'!$J$5:$J$2466,AC$1)</f>
        <v>0</v>
      </c>
      <c r="AD33" s="182">
        <f>SUMIFS('май 2025'!$G$5:$G$2466,'май 2025'!$D$5:$D$2466,$B33,'май 2025'!$J$5:$J$2466,AD$1)</f>
        <v>0</v>
      </c>
      <c r="AE33" s="182">
        <f>SUMIFS('май 2025'!$G$5:$G$2466,'май 2025'!$D$5:$D$2466,$B33,'май 2025'!$J$5:$J$2466,AE$1)</f>
        <v>0</v>
      </c>
      <c r="AF33" s="182">
        <f>SUMIFS('май 2025'!$G$5:$G$2466,'май 2025'!$D$5:$D$2466,$B33,'май 2025'!$J$5:$J$2466,AF$1)</f>
        <v>0</v>
      </c>
      <c r="AG33" s="182">
        <f>SUMIFS('май 2025'!$G$5:$G$2466,'май 2025'!$D$5:$D$2466,$B33,'май 2025'!$J$5:$J$2466,AG$1)</f>
        <v>0</v>
      </c>
      <c r="AH33" s="182">
        <f>SUMIFS('май 2025'!$G$5:$G$2466,'май 2025'!$D$5:$D$2466,$B33,'май 2025'!$J$5:$J$2466,AH$1)</f>
        <v>0</v>
      </c>
      <c r="AI33" s="20">
        <f t="shared" si="1"/>
        <v>0</v>
      </c>
    </row>
    <row r="34" spans="2:35" ht="15" customHeight="1" x14ac:dyDescent="0.25">
      <c r="B34" s="127" t="s">
        <v>215</v>
      </c>
      <c r="C34" s="126">
        <v>25</v>
      </c>
      <c r="D34" s="182">
        <f>SUMIFS('май 2025'!$G$5:$G$2466,'май 2025'!$D$5:$D$2466,$B34,'май 2025'!$J$5:$J$2466,D$1)</f>
        <v>0</v>
      </c>
      <c r="E34" s="182">
        <f>SUMIFS('май 2025'!$G$5:$G$2466,'май 2025'!$D$5:$D$2466,$B34,'май 2025'!$J$5:$J$2466,E$1)</f>
        <v>0</v>
      </c>
      <c r="F34" s="182">
        <f>SUMIFS('май 2025'!$G$5:$G$2466,'май 2025'!$D$5:$D$2466,$B34,'май 2025'!$J$5:$J$2466,F$1)</f>
        <v>0</v>
      </c>
      <c r="G34" s="182">
        <f>SUMIFS('май 2025'!$G$5:$G$2466,'май 2025'!$D$5:$D$2466,$B34,'май 2025'!$J$5:$J$2466,G$1)</f>
        <v>0</v>
      </c>
      <c r="H34" s="182">
        <f>SUMIFS('май 2025'!$G$5:$G$2466,'май 2025'!$D$5:$D$2466,$B34,'май 2025'!$J$5:$J$2466,H$1)</f>
        <v>0</v>
      </c>
      <c r="I34" s="182">
        <f>SUMIFS('май 2025'!$G$5:$G$2466,'май 2025'!$D$5:$D$2466,$B34,'май 2025'!$J$5:$J$2466,I$1)</f>
        <v>0</v>
      </c>
      <c r="J34" s="182">
        <f>SUMIFS('май 2025'!$G$5:$G$2466,'май 2025'!$D$5:$D$2466,$B34,'май 2025'!$J$5:$J$2466,J$1)</f>
        <v>0</v>
      </c>
      <c r="K34" s="182">
        <f>SUMIFS('май 2025'!$G$5:$G$2466,'май 2025'!$D$5:$D$2466,$B34,'май 2025'!$J$5:$J$2466,K$1)</f>
        <v>0</v>
      </c>
      <c r="L34" s="182">
        <f>SUMIFS('май 2025'!$G$5:$G$2466,'май 2025'!$D$5:$D$2466,$B34,'май 2025'!$J$5:$J$2466,L$1)</f>
        <v>0</v>
      </c>
      <c r="M34" s="182">
        <f>SUMIFS('май 2025'!$G$5:$G$2466,'май 2025'!$D$5:$D$2466,$B34,'май 2025'!$J$5:$J$2466,M$1)</f>
        <v>0</v>
      </c>
      <c r="N34" s="182">
        <f>SUMIFS('май 2025'!$G$5:$G$2466,'май 2025'!$D$5:$D$2466,$B34,'май 2025'!$J$5:$J$2466,N$1)</f>
        <v>0</v>
      </c>
      <c r="O34" s="182">
        <f>SUMIFS('май 2025'!$G$5:$G$2466,'май 2025'!$D$5:$D$2466,$B34,'май 2025'!$J$5:$J$2466,O$1)</f>
        <v>0</v>
      </c>
      <c r="P34" s="182">
        <f>SUMIFS('май 2025'!$G$5:$G$2466,'май 2025'!$D$5:$D$2466,$B34,'май 2025'!$J$5:$J$2466,P$1)</f>
        <v>0</v>
      </c>
      <c r="Q34" s="182">
        <f>SUMIFS('май 2025'!$G$5:$G$2466,'май 2025'!$D$5:$D$2466,$B34,'май 2025'!$J$5:$J$2466,Q$1)</f>
        <v>0</v>
      </c>
      <c r="R34" s="182">
        <f>SUMIFS('май 2025'!$G$5:$G$2466,'май 2025'!$D$5:$D$2466,$B34,'май 2025'!$J$5:$J$2466,R$1)</f>
        <v>0</v>
      </c>
      <c r="S34" s="182">
        <f>SUMIFS('май 2025'!$G$5:$G$2466,'май 2025'!$D$5:$D$2466,$B34,'май 2025'!$J$5:$J$2466,S$1)</f>
        <v>0</v>
      </c>
      <c r="T34" s="182">
        <f>SUMIFS('май 2025'!$G$5:$G$2466,'май 2025'!$D$5:$D$2466,$B34,'май 2025'!$J$5:$J$2466,T$1)</f>
        <v>0</v>
      </c>
      <c r="U34" s="182">
        <f>SUMIFS('май 2025'!$G$5:$G$2466,'май 2025'!$D$5:$D$2466,$B34,'май 2025'!$J$5:$J$2466,U$1)</f>
        <v>0</v>
      </c>
      <c r="V34" s="182">
        <f>SUMIFS('май 2025'!$G$5:$G$2466,'май 2025'!$D$5:$D$2466,$B34,'май 2025'!$J$5:$J$2466,V$1)</f>
        <v>0</v>
      </c>
      <c r="W34" s="182">
        <f>SUMIFS('май 2025'!$G$5:$G$2466,'май 2025'!$D$5:$D$2466,$B34,'май 2025'!$J$5:$J$2466,W$1)</f>
        <v>0</v>
      </c>
      <c r="X34" s="182">
        <f>SUMIFS('май 2025'!$G$5:$G$2466,'май 2025'!$D$5:$D$2466,$B34,'май 2025'!$J$5:$J$2466,X$1)</f>
        <v>0</v>
      </c>
      <c r="Y34" s="182">
        <f>SUMIFS('май 2025'!$G$5:$G$2466,'май 2025'!$D$5:$D$2466,$B34,'май 2025'!$J$5:$J$2466,Y$1)</f>
        <v>0</v>
      </c>
      <c r="Z34" s="182">
        <f>SUMIFS('май 2025'!$G$5:$G$2466,'май 2025'!$D$5:$D$2466,$B34,'май 2025'!$J$5:$J$2466,Z$1)</f>
        <v>0</v>
      </c>
      <c r="AA34" s="182">
        <f>SUMIFS('май 2025'!$G$5:$G$2466,'май 2025'!$D$5:$D$2466,$B34,'май 2025'!$J$5:$J$2466,AA$1)</f>
        <v>0</v>
      </c>
      <c r="AB34" s="182">
        <f>SUMIFS('май 2025'!$G$5:$G$2466,'май 2025'!$D$5:$D$2466,$B34,'май 2025'!$J$5:$J$2466,AB$1)</f>
        <v>0</v>
      </c>
      <c r="AC34" s="182">
        <f>SUMIFS('май 2025'!$G$5:$G$2466,'май 2025'!$D$5:$D$2466,$B34,'май 2025'!$J$5:$J$2466,AC$1)</f>
        <v>0</v>
      </c>
      <c r="AD34" s="182">
        <f>SUMIFS('май 2025'!$G$5:$G$2466,'май 2025'!$D$5:$D$2466,$B34,'май 2025'!$J$5:$J$2466,AD$1)</f>
        <v>0</v>
      </c>
      <c r="AE34" s="182">
        <f>SUMIFS('май 2025'!$G$5:$G$2466,'май 2025'!$D$5:$D$2466,$B34,'май 2025'!$J$5:$J$2466,AE$1)</f>
        <v>0</v>
      </c>
      <c r="AF34" s="182">
        <f>SUMIFS('май 2025'!$G$5:$G$2466,'май 2025'!$D$5:$D$2466,$B34,'май 2025'!$J$5:$J$2466,AF$1)</f>
        <v>0</v>
      </c>
      <c r="AG34" s="182">
        <f>SUMIFS('май 2025'!$G$5:$G$2466,'май 2025'!$D$5:$D$2466,$B34,'май 2025'!$J$5:$J$2466,AG$1)</f>
        <v>0</v>
      </c>
      <c r="AH34" s="182">
        <f>SUMIFS('май 2025'!$G$5:$G$2466,'май 2025'!$D$5:$D$2466,$B34,'май 2025'!$J$5:$J$2466,AH$1)</f>
        <v>0</v>
      </c>
      <c r="AI34" s="20">
        <f t="shared" si="1"/>
        <v>0</v>
      </c>
    </row>
    <row r="35" spans="2:35" ht="15" customHeight="1" x14ac:dyDescent="0.25">
      <c r="B35" s="128" t="s">
        <v>384</v>
      </c>
      <c r="C35" s="126">
        <v>25</v>
      </c>
      <c r="D35" s="182">
        <f>SUMIFS('май 2025'!$G$5:$G$2466,'май 2025'!$D$5:$D$2466,$B35,'май 2025'!$J$5:$J$2466,D$1)</f>
        <v>0</v>
      </c>
      <c r="E35" s="182">
        <f>SUMIFS('май 2025'!$G$5:$G$2466,'май 2025'!$D$5:$D$2466,$B35,'май 2025'!$J$5:$J$2466,E$1)</f>
        <v>0</v>
      </c>
      <c r="F35" s="182">
        <f>SUMIFS('май 2025'!$G$5:$G$2466,'май 2025'!$D$5:$D$2466,$B35,'май 2025'!$J$5:$J$2466,F$1)</f>
        <v>0</v>
      </c>
      <c r="G35" s="182">
        <f>SUMIFS('май 2025'!$G$5:$G$2466,'май 2025'!$D$5:$D$2466,$B35,'май 2025'!$J$5:$J$2466,G$1)</f>
        <v>0</v>
      </c>
      <c r="H35" s="182">
        <f>SUMIFS('май 2025'!$G$5:$G$2466,'май 2025'!$D$5:$D$2466,$B35,'май 2025'!$J$5:$J$2466,H$1)</f>
        <v>0</v>
      </c>
      <c r="I35" s="182">
        <f>SUMIFS('май 2025'!$G$5:$G$2466,'май 2025'!$D$5:$D$2466,$B35,'май 2025'!$J$5:$J$2466,I$1)</f>
        <v>0</v>
      </c>
      <c r="J35" s="182">
        <f>SUMIFS('май 2025'!$G$5:$G$2466,'май 2025'!$D$5:$D$2466,$B35,'май 2025'!$J$5:$J$2466,J$1)</f>
        <v>0</v>
      </c>
      <c r="K35" s="182">
        <f>SUMIFS('май 2025'!$G$5:$G$2466,'май 2025'!$D$5:$D$2466,$B35,'май 2025'!$J$5:$J$2466,K$1)</f>
        <v>0</v>
      </c>
      <c r="L35" s="182">
        <f>SUMIFS('май 2025'!$G$5:$G$2466,'май 2025'!$D$5:$D$2466,$B35,'май 2025'!$J$5:$J$2466,L$1)</f>
        <v>0</v>
      </c>
      <c r="M35" s="182">
        <f>SUMIFS('май 2025'!$G$5:$G$2466,'май 2025'!$D$5:$D$2466,$B35,'май 2025'!$J$5:$J$2466,M$1)</f>
        <v>0</v>
      </c>
      <c r="N35" s="182">
        <f>SUMIFS('май 2025'!$G$5:$G$2466,'май 2025'!$D$5:$D$2466,$B35,'май 2025'!$J$5:$J$2466,N$1)</f>
        <v>0</v>
      </c>
      <c r="O35" s="182">
        <f>SUMIFS('май 2025'!$G$5:$G$2466,'май 2025'!$D$5:$D$2466,$B35,'май 2025'!$J$5:$J$2466,O$1)</f>
        <v>0</v>
      </c>
      <c r="P35" s="182">
        <f>SUMIFS('май 2025'!$G$5:$G$2466,'май 2025'!$D$5:$D$2466,$B35,'май 2025'!$J$5:$J$2466,P$1)</f>
        <v>0</v>
      </c>
      <c r="Q35" s="182">
        <f>SUMIFS('май 2025'!$G$5:$G$2466,'май 2025'!$D$5:$D$2466,$B35,'май 2025'!$J$5:$J$2466,Q$1)</f>
        <v>0</v>
      </c>
      <c r="R35" s="182">
        <f>SUMIFS('май 2025'!$G$5:$G$2466,'май 2025'!$D$5:$D$2466,$B35,'май 2025'!$J$5:$J$2466,R$1)</f>
        <v>0</v>
      </c>
      <c r="S35" s="182">
        <f>SUMIFS('май 2025'!$G$5:$G$2466,'май 2025'!$D$5:$D$2466,$B35,'май 2025'!$J$5:$J$2466,S$1)</f>
        <v>0</v>
      </c>
      <c r="T35" s="182">
        <f>SUMIFS('май 2025'!$G$5:$G$2466,'май 2025'!$D$5:$D$2466,$B35,'май 2025'!$J$5:$J$2466,T$1)</f>
        <v>0</v>
      </c>
      <c r="U35" s="182">
        <f>SUMIFS('май 2025'!$G$5:$G$2466,'май 2025'!$D$5:$D$2466,$B35,'май 2025'!$J$5:$J$2466,U$1)</f>
        <v>0</v>
      </c>
      <c r="V35" s="182">
        <f>SUMIFS('май 2025'!$G$5:$G$2466,'май 2025'!$D$5:$D$2466,$B35,'май 2025'!$J$5:$J$2466,V$1)</f>
        <v>0</v>
      </c>
      <c r="W35" s="182">
        <f>SUMIFS('май 2025'!$G$5:$G$2466,'май 2025'!$D$5:$D$2466,$B35,'май 2025'!$J$5:$J$2466,W$1)</f>
        <v>0</v>
      </c>
      <c r="X35" s="182">
        <f>SUMIFS('май 2025'!$G$5:$G$2466,'май 2025'!$D$5:$D$2466,$B35,'май 2025'!$J$5:$J$2466,X$1)</f>
        <v>0</v>
      </c>
      <c r="Y35" s="182">
        <f>SUMIFS('май 2025'!$G$5:$G$2466,'май 2025'!$D$5:$D$2466,$B35,'май 2025'!$J$5:$J$2466,Y$1)</f>
        <v>0</v>
      </c>
      <c r="Z35" s="182">
        <f>SUMIFS('май 2025'!$G$5:$G$2466,'май 2025'!$D$5:$D$2466,$B35,'май 2025'!$J$5:$J$2466,Z$1)</f>
        <v>0</v>
      </c>
      <c r="AA35" s="182">
        <f>SUMIFS('май 2025'!$G$5:$G$2466,'май 2025'!$D$5:$D$2466,$B35,'май 2025'!$J$5:$J$2466,AA$1)</f>
        <v>0</v>
      </c>
      <c r="AB35" s="182">
        <f>SUMIFS('май 2025'!$G$5:$G$2466,'май 2025'!$D$5:$D$2466,$B35,'май 2025'!$J$5:$J$2466,AB$1)</f>
        <v>0</v>
      </c>
      <c r="AC35" s="182">
        <f>SUMIFS('май 2025'!$G$5:$G$2466,'май 2025'!$D$5:$D$2466,$B35,'май 2025'!$J$5:$J$2466,AC$1)</f>
        <v>0</v>
      </c>
      <c r="AD35" s="182">
        <f>SUMIFS('май 2025'!$G$5:$G$2466,'май 2025'!$D$5:$D$2466,$B35,'май 2025'!$J$5:$J$2466,AD$1)</f>
        <v>0</v>
      </c>
      <c r="AE35" s="182">
        <f>SUMIFS('май 2025'!$G$5:$G$2466,'май 2025'!$D$5:$D$2466,$B35,'май 2025'!$J$5:$J$2466,AE$1)</f>
        <v>0</v>
      </c>
      <c r="AF35" s="182">
        <f>SUMIFS('май 2025'!$G$5:$G$2466,'май 2025'!$D$5:$D$2466,$B35,'май 2025'!$J$5:$J$2466,AF$1)</f>
        <v>0</v>
      </c>
      <c r="AG35" s="182">
        <f>SUMIFS('май 2025'!$G$5:$G$2466,'май 2025'!$D$5:$D$2466,$B35,'май 2025'!$J$5:$J$2466,AG$1)</f>
        <v>0</v>
      </c>
      <c r="AH35" s="182">
        <f>SUMIFS('май 2025'!$G$5:$G$2466,'май 2025'!$D$5:$D$2466,$B35,'май 2025'!$J$5:$J$2466,AH$1)</f>
        <v>0</v>
      </c>
      <c r="AI35" s="20">
        <f t="shared" si="1"/>
        <v>0</v>
      </c>
    </row>
    <row r="36" spans="2:35" ht="15" customHeight="1" x14ac:dyDescent="0.25">
      <c r="B36" s="128" t="s">
        <v>217</v>
      </c>
      <c r="C36" s="126">
        <v>25</v>
      </c>
      <c r="D36" s="182">
        <f>SUMIFS('май 2025'!$G$5:$G$2466,'май 2025'!$D$5:$D$2466,$B36,'май 2025'!$J$5:$J$2466,D$1)</f>
        <v>0</v>
      </c>
      <c r="E36" s="182">
        <f>SUMIFS('май 2025'!$G$5:$G$2466,'май 2025'!$D$5:$D$2466,$B36,'май 2025'!$J$5:$J$2466,E$1)</f>
        <v>0</v>
      </c>
      <c r="F36" s="182">
        <f>SUMIFS('май 2025'!$G$5:$G$2466,'май 2025'!$D$5:$D$2466,$B36,'май 2025'!$J$5:$J$2466,F$1)</f>
        <v>0</v>
      </c>
      <c r="G36" s="182">
        <f>SUMIFS('май 2025'!$G$5:$G$2466,'май 2025'!$D$5:$D$2466,$B36,'май 2025'!$J$5:$J$2466,G$1)</f>
        <v>0</v>
      </c>
      <c r="H36" s="182">
        <f>SUMIFS('май 2025'!$G$5:$G$2466,'май 2025'!$D$5:$D$2466,$B36,'май 2025'!$J$5:$J$2466,H$1)</f>
        <v>0</v>
      </c>
      <c r="I36" s="182">
        <f>SUMIFS('май 2025'!$G$5:$G$2466,'май 2025'!$D$5:$D$2466,$B36,'май 2025'!$J$5:$J$2466,I$1)</f>
        <v>0</v>
      </c>
      <c r="J36" s="182">
        <f>SUMIFS('май 2025'!$G$5:$G$2466,'май 2025'!$D$5:$D$2466,$B36,'май 2025'!$J$5:$J$2466,J$1)</f>
        <v>0</v>
      </c>
      <c r="K36" s="182">
        <f>SUMIFS('май 2025'!$G$5:$G$2466,'май 2025'!$D$5:$D$2466,$B36,'май 2025'!$J$5:$J$2466,K$1)</f>
        <v>0</v>
      </c>
      <c r="L36" s="182">
        <f>SUMIFS('май 2025'!$G$5:$G$2466,'май 2025'!$D$5:$D$2466,$B36,'май 2025'!$J$5:$J$2466,L$1)</f>
        <v>0</v>
      </c>
      <c r="M36" s="182">
        <f>SUMIFS('май 2025'!$G$5:$G$2466,'май 2025'!$D$5:$D$2466,$B36,'май 2025'!$J$5:$J$2466,M$1)</f>
        <v>0</v>
      </c>
      <c r="N36" s="182">
        <f>SUMIFS('май 2025'!$G$5:$G$2466,'май 2025'!$D$5:$D$2466,$B36,'май 2025'!$J$5:$J$2466,N$1)</f>
        <v>0</v>
      </c>
      <c r="O36" s="182">
        <f>SUMIFS('май 2025'!$G$5:$G$2466,'май 2025'!$D$5:$D$2466,$B36,'май 2025'!$J$5:$J$2466,O$1)</f>
        <v>0</v>
      </c>
      <c r="P36" s="182">
        <f>SUMIFS('май 2025'!$G$5:$G$2466,'май 2025'!$D$5:$D$2466,$B36,'май 2025'!$J$5:$J$2466,P$1)</f>
        <v>0</v>
      </c>
      <c r="Q36" s="182">
        <f>SUMIFS('май 2025'!$G$5:$G$2466,'май 2025'!$D$5:$D$2466,$B36,'май 2025'!$J$5:$J$2466,Q$1)</f>
        <v>0</v>
      </c>
      <c r="R36" s="182">
        <f>SUMIFS('май 2025'!$G$5:$G$2466,'май 2025'!$D$5:$D$2466,$B36,'май 2025'!$J$5:$J$2466,R$1)</f>
        <v>0</v>
      </c>
      <c r="S36" s="182">
        <f>SUMIFS('май 2025'!$G$5:$G$2466,'май 2025'!$D$5:$D$2466,$B36,'май 2025'!$J$5:$J$2466,S$1)</f>
        <v>0</v>
      </c>
      <c r="T36" s="182">
        <f>SUMIFS('май 2025'!$G$5:$G$2466,'май 2025'!$D$5:$D$2466,$B36,'май 2025'!$J$5:$J$2466,T$1)</f>
        <v>0</v>
      </c>
      <c r="U36" s="182">
        <f>SUMIFS('май 2025'!$G$5:$G$2466,'май 2025'!$D$5:$D$2466,$B36,'май 2025'!$J$5:$J$2466,U$1)</f>
        <v>0</v>
      </c>
      <c r="V36" s="182">
        <f>SUMIFS('май 2025'!$G$5:$G$2466,'май 2025'!$D$5:$D$2466,$B36,'май 2025'!$J$5:$J$2466,V$1)</f>
        <v>0</v>
      </c>
      <c r="W36" s="182">
        <f>SUMIFS('май 2025'!$G$5:$G$2466,'май 2025'!$D$5:$D$2466,$B36,'май 2025'!$J$5:$J$2466,W$1)</f>
        <v>0</v>
      </c>
      <c r="X36" s="182">
        <f>SUMIFS('май 2025'!$G$5:$G$2466,'май 2025'!$D$5:$D$2466,$B36,'май 2025'!$J$5:$J$2466,X$1)</f>
        <v>0</v>
      </c>
      <c r="Y36" s="182">
        <f>SUMIFS('май 2025'!$G$5:$G$2466,'май 2025'!$D$5:$D$2466,$B36,'май 2025'!$J$5:$J$2466,Y$1)</f>
        <v>0</v>
      </c>
      <c r="Z36" s="182">
        <f>SUMIFS('май 2025'!$G$5:$G$2466,'май 2025'!$D$5:$D$2466,$B36,'май 2025'!$J$5:$J$2466,Z$1)</f>
        <v>0</v>
      </c>
      <c r="AA36" s="182">
        <f>SUMIFS('май 2025'!$G$5:$G$2466,'май 2025'!$D$5:$D$2466,$B36,'май 2025'!$J$5:$J$2466,AA$1)</f>
        <v>0</v>
      </c>
      <c r="AB36" s="182">
        <f>SUMIFS('май 2025'!$G$5:$G$2466,'май 2025'!$D$5:$D$2466,$B36,'май 2025'!$J$5:$J$2466,AB$1)</f>
        <v>0</v>
      </c>
      <c r="AC36" s="182">
        <f>SUMIFS('май 2025'!$G$5:$G$2466,'май 2025'!$D$5:$D$2466,$B36,'май 2025'!$J$5:$J$2466,AC$1)</f>
        <v>0</v>
      </c>
      <c r="AD36" s="182">
        <f>SUMIFS('май 2025'!$G$5:$G$2466,'май 2025'!$D$5:$D$2466,$B36,'май 2025'!$J$5:$J$2466,AD$1)</f>
        <v>0</v>
      </c>
      <c r="AE36" s="182">
        <f>SUMIFS('май 2025'!$G$5:$G$2466,'май 2025'!$D$5:$D$2466,$B36,'май 2025'!$J$5:$J$2466,AE$1)</f>
        <v>0</v>
      </c>
      <c r="AF36" s="182">
        <f>SUMIFS('май 2025'!$G$5:$G$2466,'май 2025'!$D$5:$D$2466,$B36,'май 2025'!$J$5:$J$2466,AF$1)</f>
        <v>0</v>
      </c>
      <c r="AG36" s="182">
        <f>SUMIFS('май 2025'!$G$5:$G$2466,'май 2025'!$D$5:$D$2466,$B36,'май 2025'!$J$5:$J$2466,AG$1)</f>
        <v>0</v>
      </c>
      <c r="AH36" s="182">
        <f>SUMIFS('май 2025'!$G$5:$G$2466,'май 2025'!$D$5:$D$2466,$B36,'май 2025'!$J$5:$J$2466,AH$1)</f>
        <v>0</v>
      </c>
      <c r="AI36" s="20">
        <f t="shared" si="1"/>
        <v>0</v>
      </c>
    </row>
    <row r="37" spans="2:35" ht="15" customHeight="1" x14ac:dyDescent="0.25">
      <c r="B37" s="129" t="s">
        <v>219</v>
      </c>
      <c r="C37" s="130">
        <v>25</v>
      </c>
      <c r="D37" s="182">
        <f>SUMIFS('май 2025'!$G$5:$G$2466,'май 2025'!$D$5:$D$2466,$B37,'май 2025'!$J$5:$J$2466,D$1)</f>
        <v>0</v>
      </c>
      <c r="E37" s="182">
        <f>SUMIFS('май 2025'!$G$5:$G$2466,'май 2025'!$D$5:$D$2466,$B37,'май 2025'!$J$5:$J$2466,E$1)</f>
        <v>0</v>
      </c>
      <c r="F37" s="182">
        <f>SUMIFS('май 2025'!$G$5:$G$2466,'май 2025'!$D$5:$D$2466,$B37,'май 2025'!$J$5:$J$2466,F$1)</f>
        <v>0</v>
      </c>
      <c r="G37" s="182">
        <f>SUMIFS('май 2025'!$G$5:$G$2466,'май 2025'!$D$5:$D$2466,$B37,'май 2025'!$J$5:$J$2466,G$1)</f>
        <v>0</v>
      </c>
      <c r="H37" s="182">
        <f>SUMIFS('май 2025'!$G$5:$G$2466,'май 2025'!$D$5:$D$2466,$B37,'май 2025'!$J$5:$J$2466,H$1)</f>
        <v>0</v>
      </c>
      <c r="I37" s="182">
        <f>SUMIFS('май 2025'!$G$5:$G$2466,'май 2025'!$D$5:$D$2466,$B37,'май 2025'!$J$5:$J$2466,I$1)</f>
        <v>0</v>
      </c>
      <c r="J37" s="182">
        <f>SUMIFS('май 2025'!$G$5:$G$2466,'май 2025'!$D$5:$D$2466,$B37,'май 2025'!$J$5:$J$2466,J$1)</f>
        <v>0</v>
      </c>
      <c r="K37" s="182">
        <f>SUMIFS('май 2025'!$G$5:$G$2466,'май 2025'!$D$5:$D$2466,$B37,'май 2025'!$J$5:$J$2466,K$1)</f>
        <v>0</v>
      </c>
      <c r="L37" s="182">
        <f>SUMIFS('май 2025'!$G$5:$G$2466,'май 2025'!$D$5:$D$2466,$B37,'май 2025'!$J$5:$J$2466,L$1)</f>
        <v>0</v>
      </c>
      <c r="M37" s="182">
        <f>SUMIFS('май 2025'!$G$5:$G$2466,'май 2025'!$D$5:$D$2466,$B37,'май 2025'!$J$5:$J$2466,M$1)</f>
        <v>0</v>
      </c>
      <c r="N37" s="182">
        <f>SUMIFS('май 2025'!$G$5:$G$2466,'май 2025'!$D$5:$D$2466,$B37,'май 2025'!$J$5:$J$2466,N$1)</f>
        <v>0</v>
      </c>
      <c r="O37" s="182">
        <f>SUMIFS('май 2025'!$G$5:$G$2466,'май 2025'!$D$5:$D$2466,$B37,'май 2025'!$J$5:$J$2466,O$1)</f>
        <v>0</v>
      </c>
      <c r="P37" s="182">
        <f>SUMIFS('май 2025'!$G$5:$G$2466,'май 2025'!$D$5:$D$2466,$B37,'май 2025'!$J$5:$J$2466,P$1)</f>
        <v>0</v>
      </c>
      <c r="Q37" s="182">
        <f>SUMIFS('май 2025'!$G$5:$G$2466,'май 2025'!$D$5:$D$2466,$B37,'май 2025'!$J$5:$J$2466,Q$1)</f>
        <v>0</v>
      </c>
      <c r="R37" s="182">
        <f>SUMIFS('май 2025'!$G$5:$G$2466,'май 2025'!$D$5:$D$2466,$B37,'май 2025'!$J$5:$J$2466,R$1)</f>
        <v>0</v>
      </c>
      <c r="S37" s="182">
        <f>SUMIFS('май 2025'!$G$5:$G$2466,'май 2025'!$D$5:$D$2466,$B37,'май 2025'!$J$5:$J$2466,S$1)</f>
        <v>0</v>
      </c>
      <c r="T37" s="182">
        <f>SUMIFS('май 2025'!$G$5:$G$2466,'май 2025'!$D$5:$D$2466,$B37,'май 2025'!$J$5:$J$2466,T$1)</f>
        <v>0</v>
      </c>
      <c r="U37" s="182">
        <f>SUMIFS('май 2025'!$G$5:$G$2466,'май 2025'!$D$5:$D$2466,$B37,'май 2025'!$J$5:$J$2466,U$1)</f>
        <v>0</v>
      </c>
      <c r="V37" s="182">
        <f>SUMIFS('май 2025'!$G$5:$G$2466,'май 2025'!$D$5:$D$2466,$B37,'май 2025'!$J$5:$J$2466,V$1)</f>
        <v>0</v>
      </c>
      <c r="W37" s="182">
        <f>SUMIFS('май 2025'!$G$5:$G$2466,'май 2025'!$D$5:$D$2466,$B37,'май 2025'!$J$5:$J$2466,W$1)</f>
        <v>0</v>
      </c>
      <c r="X37" s="182">
        <f>SUMIFS('май 2025'!$G$5:$G$2466,'май 2025'!$D$5:$D$2466,$B37,'май 2025'!$J$5:$J$2466,X$1)</f>
        <v>0</v>
      </c>
      <c r="Y37" s="182">
        <f>SUMIFS('май 2025'!$G$5:$G$2466,'май 2025'!$D$5:$D$2466,$B37,'май 2025'!$J$5:$J$2466,Y$1)</f>
        <v>0</v>
      </c>
      <c r="Z37" s="182">
        <f>SUMIFS('май 2025'!$G$5:$G$2466,'май 2025'!$D$5:$D$2466,$B37,'май 2025'!$J$5:$J$2466,Z$1)</f>
        <v>0</v>
      </c>
      <c r="AA37" s="182">
        <f>SUMIFS('май 2025'!$G$5:$G$2466,'май 2025'!$D$5:$D$2466,$B37,'май 2025'!$J$5:$J$2466,AA$1)</f>
        <v>0</v>
      </c>
      <c r="AB37" s="182">
        <f>SUMIFS('май 2025'!$G$5:$G$2466,'май 2025'!$D$5:$D$2466,$B37,'май 2025'!$J$5:$J$2466,AB$1)</f>
        <v>0</v>
      </c>
      <c r="AC37" s="182">
        <f>SUMIFS('май 2025'!$G$5:$G$2466,'май 2025'!$D$5:$D$2466,$B37,'май 2025'!$J$5:$J$2466,AC$1)</f>
        <v>0</v>
      </c>
      <c r="AD37" s="182">
        <f>SUMIFS('май 2025'!$G$5:$G$2466,'май 2025'!$D$5:$D$2466,$B37,'май 2025'!$J$5:$J$2466,AD$1)</f>
        <v>0</v>
      </c>
      <c r="AE37" s="182">
        <f>SUMIFS('май 2025'!$G$5:$G$2466,'май 2025'!$D$5:$D$2466,$B37,'май 2025'!$J$5:$J$2466,AE$1)</f>
        <v>0</v>
      </c>
      <c r="AF37" s="182">
        <f>SUMIFS('май 2025'!$G$5:$G$2466,'май 2025'!$D$5:$D$2466,$B37,'май 2025'!$J$5:$J$2466,AF$1)</f>
        <v>0</v>
      </c>
      <c r="AG37" s="182">
        <f>SUMIFS('май 2025'!$G$5:$G$2466,'май 2025'!$D$5:$D$2466,$B37,'май 2025'!$J$5:$J$2466,AG$1)</f>
        <v>0</v>
      </c>
      <c r="AH37" s="182">
        <f>SUMIFS('май 2025'!$G$5:$G$2466,'май 2025'!$D$5:$D$2466,$B37,'май 2025'!$J$5:$J$2466,AH$1)</f>
        <v>0</v>
      </c>
      <c r="AI37" s="20">
        <f t="shared" si="1"/>
        <v>0</v>
      </c>
    </row>
    <row r="38" spans="2:35" ht="15" customHeight="1" x14ac:dyDescent="0.25">
      <c r="B38" s="131" t="s">
        <v>221</v>
      </c>
      <c r="C38" s="132">
        <v>22.68</v>
      </c>
      <c r="D38" s="182">
        <f>SUMIFS('май 2025'!$G$5:$G$2466,'май 2025'!$D$5:$D$2466,$B38,'май 2025'!$J$5:$J$2466,D$1)</f>
        <v>0</v>
      </c>
      <c r="E38" s="182">
        <f>SUMIFS('май 2025'!$G$5:$G$2466,'май 2025'!$D$5:$D$2466,$B38,'май 2025'!$J$5:$J$2466,E$1)</f>
        <v>0</v>
      </c>
      <c r="F38" s="182">
        <f>SUMIFS('май 2025'!$G$5:$G$2466,'май 2025'!$D$5:$D$2466,$B38,'май 2025'!$J$5:$J$2466,F$1)</f>
        <v>0</v>
      </c>
      <c r="G38" s="182">
        <f>SUMIFS('май 2025'!$G$5:$G$2466,'май 2025'!$D$5:$D$2466,$B38,'май 2025'!$J$5:$J$2466,G$1)</f>
        <v>0</v>
      </c>
      <c r="H38" s="182">
        <f>SUMIFS('май 2025'!$G$5:$G$2466,'май 2025'!$D$5:$D$2466,$B38,'май 2025'!$J$5:$J$2466,H$1)</f>
        <v>0</v>
      </c>
      <c r="I38" s="182">
        <f>SUMIFS('май 2025'!$G$5:$G$2466,'май 2025'!$D$5:$D$2466,$B38,'май 2025'!$J$5:$J$2466,I$1)</f>
        <v>0</v>
      </c>
      <c r="J38" s="182">
        <f>SUMIFS('май 2025'!$G$5:$G$2466,'май 2025'!$D$5:$D$2466,$B38,'май 2025'!$J$5:$J$2466,J$1)</f>
        <v>0</v>
      </c>
      <c r="K38" s="182">
        <f>SUMIFS('май 2025'!$G$5:$G$2466,'май 2025'!$D$5:$D$2466,$B38,'май 2025'!$J$5:$J$2466,K$1)</f>
        <v>0</v>
      </c>
      <c r="L38" s="182">
        <f>SUMIFS('май 2025'!$G$5:$G$2466,'май 2025'!$D$5:$D$2466,$B38,'май 2025'!$J$5:$J$2466,L$1)</f>
        <v>0</v>
      </c>
      <c r="M38" s="182">
        <f>SUMIFS('май 2025'!$G$5:$G$2466,'май 2025'!$D$5:$D$2466,$B38,'май 2025'!$J$5:$J$2466,M$1)</f>
        <v>0</v>
      </c>
      <c r="N38" s="182">
        <f>SUMIFS('май 2025'!$G$5:$G$2466,'май 2025'!$D$5:$D$2466,$B38,'май 2025'!$J$5:$J$2466,N$1)</f>
        <v>0</v>
      </c>
      <c r="O38" s="182">
        <f>SUMIFS('май 2025'!$G$5:$G$2466,'май 2025'!$D$5:$D$2466,$B38,'май 2025'!$J$5:$J$2466,O$1)</f>
        <v>0</v>
      </c>
      <c r="P38" s="182">
        <f>SUMIFS('май 2025'!$G$5:$G$2466,'май 2025'!$D$5:$D$2466,$B38,'май 2025'!$J$5:$J$2466,P$1)</f>
        <v>0</v>
      </c>
      <c r="Q38" s="182">
        <f>SUMIFS('май 2025'!$G$5:$G$2466,'май 2025'!$D$5:$D$2466,$B38,'май 2025'!$J$5:$J$2466,Q$1)</f>
        <v>0</v>
      </c>
      <c r="R38" s="182">
        <f>SUMIFS('май 2025'!$G$5:$G$2466,'май 2025'!$D$5:$D$2466,$B38,'май 2025'!$J$5:$J$2466,R$1)</f>
        <v>0</v>
      </c>
      <c r="S38" s="182">
        <f>SUMIFS('май 2025'!$G$5:$G$2466,'май 2025'!$D$5:$D$2466,$B38,'май 2025'!$J$5:$J$2466,S$1)</f>
        <v>0</v>
      </c>
      <c r="T38" s="182">
        <f>SUMIFS('май 2025'!$G$5:$G$2466,'май 2025'!$D$5:$D$2466,$B38,'май 2025'!$J$5:$J$2466,T$1)</f>
        <v>0</v>
      </c>
      <c r="U38" s="182">
        <f>SUMIFS('май 2025'!$G$5:$G$2466,'май 2025'!$D$5:$D$2466,$B38,'май 2025'!$J$5:$J$2466,U$1)</f>
        <v>0</v>
      </c>
      <c r="V38" s="182">
        <f>SUMIFS('май 2025'!$G$5:$G$2466,'май 2025'!$D$5:$D$2466,$B38,'май 2025'!$J$5:$J$2466,V$1)</f>
        <v>0</v>
      </c>
      <c r="W38" s="182">
        <f>SUMIFS('май 2025'!$G$5:$G$2466,'май 2025'!$D$5:$D$2466,$B38,'май 2025'!$J$5:$J$2466,W$1)</f>
        <v>0</v>
      </c>
      <c r="X38" s="182">
        <f>SUMIFS('май 2025'!$G$5:$G$2466,'май 2025'!$D$5:$D$2466,$B38,'май 2025'!$J$5:$J$2466,X$1)</f>
        <v>0</v>
      </c>
      <c r="Y38" s="182">
        <f>SUMIFS('май 2025'!$G$5:$G$2466,'май 2025'!$D$5:$D$2466,$B38,'май 2025'!$J$5:$J$2466,Y$1)</f>
        <v>0</v>
      </c>
      <c r="Z38" s="182">
        <f>SUMIFS('май 2025'!$G$5:$G$2466,'май 2025'!$D$5:$D$2466,$B38,'май 2025'!$J$5:$J$2466,Z$1)</f>
        <v>0</v>
      </c>
      <c r="AA38" s="182">
        <f>SUMIFS('май 2025'!$G$5:$G$2466,'май 2025'!$D$5:$D$2466,$B38,'май 2025'!$J$5:$J$2466,AA$1)</f>
        <v>0</v>
      </c>
      <c r="AB38" s="182">
        <f>SUMIFS('май 2025'!$G$5:$G$2466,'май 2025'!$D$5:$D$2466,$B38,'май 2025'!$J$5:$J$2466,AB$1)</f>
        <v>0</v>
      </c>
      <c r="AC38" s="182">
        <f>SUMIFS('май 2025'!$G$5:$G$2466,'май 2025'!$D$5:$D$2466,$B38,'май 2025'!$J$5:$J$2466,AC$1)</f>
        <v>0</v>
      </c>
      <c r="AD38" s="182">
        <f>SUMIFS('май 2025'!$G$5:$G$2466,'май 2025'!$D$5:$D$2466,$B38,'май 2025'!$J$5:$J$2466,AD$1)</f>
        <v>0</v>
      </c>
      <c r="AE38" s="182">
        <f>SUMIFS('май 2025'!$G$5:$G$2466,'май 2025'!$D$5:$D$2466,$B38,'май 2025'!$J$5:$J$2466,AE$1)</f>
        <v>0</v>
      </c>
      <c r="AF38" s="182">
        <f>SUMIFS('май 2025'!$G$5:$G$2466,'май 2025'!$D$5:$D$2466,$B38,'май 2025'!$J$5:$J$2466,AF$1)</f>
        <v>0</v>
      </c>
      <c r="AG38" s="182">
        <f>SUMIFS('май 2025'!$G$5:$G$2466,'май 2025'!$D$5:$D$2466,$B38,'май 2025'!$J$5:$J$2466,AG$1)</f>
        <v>0</v>
      </c>
      <c r="AH38" s="182">
        <f>SUMIFS('май 2025'!$G$5:$G$2466,'май 2025'!$D$5:$D$2466,$B38,'май 2025'!$J$5:$J$2466,AH$1)</f>
        <v>0</v>
      </c>
      <c r="AI38" s="20">
        <f t="shared" si="1"/>
        <v>0</v>
      </c>
    </row>
    <row r="39" spans="2:35" ht="15" customHeight="1" x14ac:dyDescent="0.25">
      <c r="B39" s="131" t="s">
        <v>1016</v>
      </c>
      <c r="C39" s="133">
        <v>20</v>
      </c>
      <c r="D39" s="182">
        <f>SUMIFS('май 2025'!$G$5:$G$2466,'май 2025'!$D$5:$D$2466,$B39,'май 2025'!$J$5:$J$2466,D$1)</f>
        <v>0</v>
      </c>
      <c r="E39" s="182">
        <f>SUMIFS('май 2025'!$G$5:$G$2466,'май 2025'!$D$5:$D$2466,$B39,'май 2025'!$J$5:$J$2466,E$1)</f>
        <v>0</v>
      </c>
      <c r="F39" s="182">
        <f>SUMIFS('май 2025'!$G$5:$G$2466,'май 2025'!$D$5:$D$2466,$B39,'май 2025'!$J$5:$J$2466,F$1)</f>
        <v>0</v>
      </c>
      <c r="G39" s="182">
        <f>SUMIFS('май 2025'!$G$5:$G$2466,'май 2025'!$D$5:$D$2466,$B39,'май 2025'!$J$5:$J$2466,G$1)</f>
        <v>0</v>
      </c>
      <c r="H39" s="182">
        <f>SUMIFS('май 2025'!$G$5:$G$2466,'май 2025'!$D$5:$D$2466,$B39,'май 2025'!$J$5:$J$2466,H$1)</f>
        <v>0</v>
      </c>
      <c r="I39" s="182">
        <f>SUMIFS('май 2025'!$G$5:$G$2466,'май 2025'!$D$5:$D$2466,$B39,'май 2025'!$J$5:$J$2466,I$1)</f>
        <v>0</v>
      </c>
      <c r="J39" s="182">
        <f>SUMIFS('май 2025'!$G$5:$G$2466,'май 2025'!$D$5:$D$2466,$B39,'май 2025'!$J$5:$J$2466,J$1)</f>
        <v>0</v>
      </c>
      <c r="K39" s="182">
        <f>SUMIFS('май 2025'!$G$5:$G$2466,'май 2025'!$D$5:$D$2466,$B39,'май 2025'!$J$5:$J$2466,K$1)</f>
        <v>0</v>
      </c>
      <c r="L39" s="182">
        <f>SUMIFS('май 2025'!$G$5:$G$2466,'май 2025'!$D$5:$D$2466,$B39,'май 2025'!$J$5:$J$2466,L$1)</f>
        <v>0</v>
      </c>
      <c r="M39" s="182">
        <f>SUMIFS('май 2025'!$G$5:$G$2466,'май 2025'!$D$5:$D$2466,$B39,'май 2025'!$J$5:$J$2466,M$1)</f>
        <v>0</v>
      </c>
      <c r="N39" s="182">
        <f>SUMIFS('май 2025'!$G$5:$G$2466,'май 2025'!$D$5:$D$2466,$B39,'май 2025'!$J$5:$J$2466,N$1)</f>
        <v>0</v>
      </c>
      <c r="O39" s="182">
        <f>SUMIFS('май 2025'!$G$5:$G$2466,'май 2025'!$D$5:$D$2466,$B39,'май 2025'!$J$5:$J$2466,O$1)</f>
        <v>0</v>
      </c>
      <c r="P39" s="182">
        <f>SUMIFS('май 2025'!$G$5:$G$2466,'май 2025'!$D$5:$D$2466,$B39,'май 2025'!$J$5:$J$2466,P$1)</f>
        <v>0</v>
      </c>
      <c r="Q39" s="182">
        <f>SUMIFS('май 2025'!$G$5:$G$2466,'май 2025'!$D$5:$D$2466,$B39,'май 2025'!$J$5:$J$2466,Q$1)</f>
        <v>0</v>
      </c>
      <c r="R39" s="182">
        <f>SUMIFS('май 2025'!$G$5:$G$2466,'май 2025'!$D$5:$D$2466,$B39,'май 2025'!$J$5:$J$2466,R$1)</f>
        <v>0</v>
      </c>
      <c r="S39" s="182">
        <f>SUMIFS('май 2025'!$G$5:$G$2466,'май 2025'!$D$5:$D$2466,$B39,'май 2025'!$J$5:$J$2466,S$1)</f>
        <v>0</v>
      </c>
      <c r="T39" s="182">
        <f>SUMIFS('май 2025'!$G$5:$G$2466,'май 2025'!$D$5:$D$2466,$B39,'май 2025'!$J$5:$J$2466,T$1)</f>
        <v>0</v>
      </c>
      <c r="U39" s="182">
        <f>SUMIFS('май 2025'!$G$5:$G$2466,'май 2025'!$D$5:$D$2466,$B39,'май 2025'!$J$5:$J$2466,U$1)</f>
        <v>0</v>
      </c>
      <c r="V39" s="182">
        <f>SUMIFS('май 2025'!$G$5:$G$2466,'май 2025'!$D$5:$D$2466,$B39,'май 2025'!$J$5:$J$2466,V$1)</f>
        <v>0</v>
      </c>
      <c r="W39" s="182">
        <f>SUMIFS('май 2025'!$G$5:$G$2466,'май 2025'!$D$5:$D$2466,$B39,'май 2025'!$J$5:$J$2466,W$1)</f>
        <v>0</v>
      </c>
      <c r="X39" s="182">
        <f>SUMIFS('май 2025'!$G$5:$G$2466,'май 2025'!$D$5:$D$2466,$B39,'май 2025'!$J$5:$J$2466,X$1)</f>
        <v>0</v>
      </c>
      <c r="Y39" s="182">
        <f>SUMIFS('май 2025'!$G$5:$G$2466,'май 2025'!$D$5:$D$2466,$B39,'май 2025'!$J$5:$J$2466,Y$1)</f>
        <v>0</v>
      </c>
      <c r="Z39" s="182">
        <f>SUMIFS('май 2025'!$G$5:$G$2466,'май 2025'!$D$5:$D$2466,$B39,'май 2025'!$J$5:$J$2466,Z$1)</f>
        <v>0</v>
      </c>
      <c r="AA39" s="182">
        <f>SUMIFS('май 2025'!$G$5:$G$2466,'май 2025'!$D$5:$D$2466,$B39,'май 2025'!$J$5:$J$2466,AA$1)</f>
        <v>0</v>
      </c>
      <c r="AB39" s="182">
        <f>SUMIFS('май 2025'!$G$5:$G$2466,'май 2025'!$D$5:$D$2466,$B39,'май 2025'!$J$5:$J$2466,AB$1)</f>
        <v>0</v>
      </c>
      <c r="AC39" s="182">
        <f>SUMIFS('май 2025'!$G$5:$G$2466,'май 2025'!$D$5:$D$2466,$B39,'май 2025'!$J$5:$J$2466,AC$1)</f>
        <v>0</v>
      </c>
      <c r="AD39" s="182">
        <f>SUMIFS('май 2025'!$G$5:$G$2466,'май 2025'!$D$5:$D$2466,$B39,'май 2025'!$J$5:$J$2466,AD$1)</f>
        <v>0</v>
      </c>
      <c r="AE39" s="182">
        <f>SUMIFS('май 2025'!$G$5:$G$2466,'май 2025'!$D$5:$D$2466,$B39,'май 2025'!$J$5:$J$2466,AE$1)</f>
        <v>0</v>
      </c>
      <c r="AF39" s="182">
        <f>SUMIFS('май 2025'!$G$5:$G$2466,'май 2025'!$D$5:$D$2466,$B39,'май 2025'!$J$5:$J$2466,AF$1)</f>
        <v>0</v>
      </c>
      <c r="AG39" s="182">
        <f>SUMIFS('май 2025'!$G$5:$G$2466,'май 2025'!$D$5:$D$2466,$B39,'май 2025'!$J$5:$J$2466,AG$1)</f>
        <v>0</v>
      </c>
      <c r="AH39" s="182">
        <f>SUMIFS('май 2025'!$G$5:$G$2466,'май 2025'!$D$5:$D$2466,$B39,'май 2025'!$J$5:$J$2466,AH$1)</f>
        <v>0</v>
      </c>
      <c r="AI39" s="20">
        <f t="shared" si="1"/>
        <v>0</v>
      </c>
    </row>
    <row r="40" spans="2:35" ht="15" customHeight="1" x14ac:dyDescent="0.25">
      <c r="B40" s="131" t="s">
        <v>223</v>
      </c>
      <c r="C40" s="133">
        <v>25</v>
      </c>
      <c r="D40" s="182">
        <f>SUMIFS('май 2025'!$G$5:$G$2466,'май 2025'!$D$5:$D$2466,$B40,'май 2025'!$J$5:$J$2466,D$1)</f>
        <v>0</v>
      </c>
      <c r="E40" s="182">
        <f>SUMIFS('май 2025'!$G$5:$G$2466,'май 2025'!$D$5:$D$2466,$B40,'май 2025'!$J$5:$J$2466,E$1)</f>
        <v>0</v>
      </c>
      <c r="F40" s="182">
        <f>SUMIFS('май 2025'!$G$5:$G$2466,'май 2025'!$D$5:$D$2466,$B40,'май 2025'!$J$5:$J$2466,F$1)</f>
        <v>0</v>
      </c>
      <c r="G40" s="182">
        <f>SUMIFS('май 2025'!$G$5:$G$2466,'май 2025'!$D$5:$D$2466,$B40,'май 2025'!$J$5:$J$2466,G$1)</f>
        <v>0</v>
      </c>
      <c r="H40" s="182">
        <f>SUMIFS('май 2025'!$G$5:$G$2466,'май 2025'!$D$5:$D$2466,$B40,'май 2025'!$J$5:$J$2466,H$1)</f>
        <v>0</v>
      </c>
      <c r="I40" s="182">
        <f>SUMIFS('май 2025'!$G$5:$G$2466,'май 2025'!$D$5:$D$2466,$B40,'май 2025'!$J$5:$J$2466,I$1)</f>
        <v>0</v>
      </c>
      <c r="J40" s="182">
        <f>SUMIFS('май 2025'!$G$5:$G$2466,'май 2025'!$D$5:$D$2466,$B40,'май 2025'!$J$5:$J$2466,J$1)</f>
        <v>0</v>
      </c>
      <c r="K40" s="182">
        <f>SUMIFS('май 2025'!$G$5:$G$2466,'май 2025'!$D$5:$D$2466,$B40,'май 2025'!$J$5:$J$2466,K$1)</f>
        <v>0</v>
      </c>
      <c r="L40" s="182">
        <f>SUMIFS('май 2025'!$G$5:$G$2466,'май 2025'!$D$5:$D$2466,$B40,'май 2025'!$J$5:$J$2466,L$1)</f>
        <v>0</v>
      </c>
      <c r="M40" s="182">
        <f>SUMIFS('май 2025'!$G$5:$G$2466,'май 2025'!$D$5:$D$2466,$B40,'май 2025'!$J$5:$J$2466,M$1)</f>
        <v>0</v>
      </c>
      <c r="N40" s="182">
        <f>SUMIFS('май 2025'!$G$5:$G$2466,'май 2025'!$D$5:$D$2466,$B40,'май 2025'!$J$5:$J$2466,N$1)</f>
        <v>0</v>
      </c>
      <c r="O40" s="182">
        <f>SUMIFS('май 2025'!$G$5:$G$2466,'май 2025'!$D$5:$D$2466,$B40,'май 2025'!$J$5:$J$2466,O$1)</f>
        <v>0</v>
      </c>
      <c r="P40" s="182">
        <f>SUMIFS('май 2025'!$G$5:$G$2466,'май 2025'!$D$5:$D$2466,$B40,'май 2025'!$J$5:$J$2466,P$1)</f>
        <v>0</v>
      </c>
      <c r="Q40" s="182">
        <f>SUMIFS('май 2025'!$G$5:$G$2466,'май 2025'!$D$5:$D$2466,$B40,'май 2025'!$J$5:$J$2466,Q$1)</f>
        <v>0</v>
      </c>
      <c r="R40" s="182">
        <f>SUMIFS('май 2025'!$G$5:$G$2466,'май 2025'!$D$5:$D$2466,$B40,'май 2025'!$J$5:$J$2466,R$1)</f>
        <v>0</v>
      </c>
      <c r="S40" s="182">
        <f>SUMIFS('май 2025'!$G$5:$G$2466,'май 2025'!$D$5:$D$2466,$B40,'май 2025'!$J$5:$J$2466,S$1)</f>
        <v>480</v>
      </c>
      <c r="T40" s="182">
        <f>SUMIFS('май 2025'!$G$5:$G$2466,'май 2025'!$D$5:$D$2466,$B40,'май 2025'!$J$5:$J$2466,T$1)</f>
        <v>0</v>
      </c>
      <c r="U40" s="182">
        <f>SUMIFS('май 2025'!$G$5:$G$2466,'май 2025'!$D$5:$D$2466,$B40,'май 2025'!$J$5:$J$2466,U$1)</f>
        <v>0</v>
      </c>
      <c r="V40" s="182">
        <f>SUMIFS('май 2025'!$G$5:$G$2466,'май 2025'!$D$5:$D$2466,$B40,'май 2025'!$J$5:$J$2466,V$1)</f>
        <v>0</v>
      </c>
      <c r="W40" s="182">
        <f>SUMIFS('май 2025'!$G$5:$G$2466,'май 2025'!$D$5:$D$2466,$B40,'май 2025'!$J$5:$J$2466,W$1)</f>
        <v>0</v>
      </c>
      <c r="X40" s="182">
        <f>SUMIFS('май 2025'!$G$5:$G$2466,'май 2025'!$D$5:$D$2466,$B40,'май 2025'!$J$5:$J$2466,X$1)</f>
        <v>0</v>
      </c>
      <c r="Y40" s="182">
        <f>SUMIFS('май 2025'!$G$5:$G$2466,'май 2025'!$D$5:$D$2466,$B40,'май 2025'!$J$5:$J$2466,Y$1)</f>
        <v>0</v>
      </c>
      <c r="Z40" s="182">
        <f>SUMIFS('май 2025'!$G$5:$G$2466,'май 2025'!$D$5:$D$2466,$B40,'май 2025'!$J$5:$J$2466,Z$1)</f>
        <v>0</v>
      </c>
      <c r="AA40" s="182">
        <f>SUMIFS('май 2025'!$G$5:$G$2466,'май 2025'!$D$5:$D$2466,$B40,'май 2025'!$J$5:$J$2466,AA$1)</f>
        <v>0</v>
      </c>
      <c r="AB40" s="182">
        <f>SUMIFS('май 2025'!$G$5:$G$2466,'май 2025'!$D$5:$D$2466,$B40,'май 2025'!$J$5:$J$2466,AB$1)</f>
        <v>0</v>
      </c>
      <c r="AC40" s="182">
        <f>SUMIFS('май 2025'!$G$5:$G$2466,'май 2025'!$D$5:$D$2466,$B40,'май 2025'!$J$5:$J$2466,AC$1)</f>
        <v>400</v>
      </c>
      <c r="AD40" s="182">
        <f>SUMIFS('май 2025'!$G$5:$G$2466,'май 2025'!$D$5:$D$2466,$B40,'май 2025'!$J$5:$J$2466,AD$1)</f>
        <v>0</v>
      </c>
      <c r="AE40" s="182">
        <f>SUMIFS('май 2025'!$G$5:$G$2466,'май 2025'!$D$5:$D$2466,$B40,'май 2025'!$J$5:$J$2466,AE$1)</f>
        <v>0</v>
      </c>
      <c r="AF40" s="182">
        <f>SUMIFS('май 2025'!$G$5:$G$2466,'май 2025'!$D$5:$D$2466,$B40,'май 2025'!$J$5:$J$2466,AF$1)</f>
        <v>0</v>
      </c>
      <c r="AG40" s="182">
        <f>SUMIFS('май 2025'!$G$5:$G$2466,'май 2025'!$D$5:$D$2466,$B40,'май 2025'!$J$5:$J$2466,AG$1)</f>
        <v>0</v>
      </c>
      <c r="AH40" s="182">
        <f>SUMIFS('май 2025'!$G$5:$G$2466,'май 2025'!$D$5:$D$2466,$B40,'май 2025'!$J$5:$J$2466,AH$1)</f>
        <v>0</v>
      </c>
      <c r="AI40" s="20">
        <f t="shared" si="1"/>
        <v>880</v>
      </c>
    </row>
    <row r="41" spans="2:35" ht="15" customHeight="1" x14ac:dyDescent="0.25">
      <c r="B41" s="131" t="s">
        <v>225</v>
      </c>
      <c r="C41" s="134">
        <v>25</v>
      </c>
      <c r="D41" s="182">
        <f>SUMIFS('май 2025'!$G$5:$G$2466,'май 2025'!$D$5:$D$2466,$B41,'май 2025'!$J$5:$J$2466,D$1)</f>
        <v>0</v>
      </c>
      <c r="E41" s="182">
        <f>SUMIFS('май 2025'!$G$5:$G$2466,'май 2025'!$D$5:$D$2466,$B41,'май 2025'!$J$5:$J$2466,E$1)</f>
        <v>0</v>
      </c>
      <c r="F41" s="182">
        <f>SUMIFS('май 2025'!$G$5:$G$2466,'май 2025'!$D$5:$D$2466,$B41,'май 2025'!$J$5:$J$2466,F$1)</f>
        <v>0</v>
      </c>
      <c r="G41" s="182">
        <f>SUMIFS('май 2025'!$G$5:$G$2466,'май 2025'!$D$5:$D$2466,$B41,'май 2025'!$J$5:$J$2466,G$1)</f>
        <v>0</v>
      </c>
      <c r="H41" s="182">
        <f>SUMIFS('май 2025'!$G$5:$G$2466,'май 2025'!$D$5:$D$2466,$B41,'май 2025'!$J$5:$J$2466,H$1)</f>
        <v>0</v>
      </c>
      <c r="I41" s="182">
        <f>SUMIFS('май 2025'!$G$5:$G$2466,'май 2025'!$D$5:$D$2466,$B41,'май 2025'!$J$5:$J$2466,I$1)</f>
        <v>0</v>
      </c>
      <c r="J41" s="182">
        <f>SUMIFS('май 2025'!$G$5:$G$2466,'май 2025'!$D$5:$D$2466,$B41,'май 2025'!$J$5:$J$2466,J$1)</f>
        <v>0</v>
      </c>
      <c r="K41" s="182">
        <f>SUMIFS('май 2025'!$G$5:$G$2466,'май 2025'!$D$5:$D$2466,$B41,'май 2025'!$J$5:$J$2466,K$1)</f>
        <v>0</v>
      </c>
      <c r="L41" s="182">
        <f>SUMIFS('май 2025'!$G$5:$G$2466,'май 2025'!$D$5:$D$2466,$B41,'май 2025'!$J$5:$J$2466,L$1)</f>
        <v>0</v>
      </c>
      <c r="M41" s="182">
        <f>SUMIFS('май 2025'!$G$5:$G$2466,'май 2025'!$D$5:$D$2466,$B41,'май 2025'!$J$5:$J$2466,M$1)</f>
        <v>0</v>
      </c>
      <c r="N41" s="182">
        <f>SUMIFS('май 2025'!$G$5:$G$2466,'май 2025'!$D$5:$D$2466,$B41,'май 2025'!$J$5:$J$2466,N$1)</f>
        <v>0</v>
      </c>
      <c r="O41" s="182">
        <f>SUMIFS('май 2025'!$G$5:$G$2466,'май 2025'!$D$5:$D$2466,$B41,'май 2025'!$J$5:$J$2466,O$1)</f>
        <v>0</v>
      </c>
      <c r="P41" s="182">
        <f>SUMIFS('май 2025'!$G$5:$G$2466,'май 2025'!$D$5:$D$2466,$B41,'май 2025'!$J$5:$J$2466,P$1)</f>
        <v>0</v>
      </c>
      <c r="Q41" s="182">
        <f>SUMIFS('май 2025'!$G$5:$G$2466,'май 2025'!$D$5:$D$2466,$B41,'май 2025'!$J$5:$J$2466,Q$1)</f>
        <v>0</v>
      </c>
      <c r="R41" s="182">
        <f>SUMIFS('май 2025'!$G$5:$G$2466,'май 2025'!$D$5:$D$2466,$B41,'май 2025'!$J$5:$J$2466,R$1)</f>
        <v>0</v>
      </c>
      <c r="S41" s="182">
        <f>SUMIFS('май 2025'!$G$5:$G$2466,'май 2025'!$D$5:$D$2466,$B41,'май 2025'!$J$5:$J$2466,S$1)</f>
        <v>0</v>
      </c>
      <c r="T41" s="182">
        <f>SUMIFS('май 2025'!$G$5:$G$2466,'май 2025'!$D$5:$D$2466,$B41,'май 2025'!$J$5:$J$2466,T$1)</f>
        <v>0</v>
      </c>
      <c r="U41" s="182">
        <f>SUMIFS('май 2025'!$G$5:$G$2466,'май 2025'!$D$5:$D$2466,$B41,'май 2025'!$J$5:$J$2466,U$1)</f>
        <v>0</v>
      </c>
      <c r="V41" s="182">
        <f>SUMIFS('май 2025'!$G$5:$G$2466,'май 2025'!$D$5:$D$2466,$B41,'май 2025'!$J$5:$J$2466,V$1)</f>
        <v>0</v>
      </c>
      <c r="W41" s="182">
        <f>SUMIFS('май 2025'!$G$5:$G$2466,'май 2025'!$D$5:$D$2466,$B41,'май 2025'!$J$5:$J$2466,W$1)</f>
        <v>0</v>
      </c>
      <c r="X41" s="182">
        <f>SUMIFS('май 2025'!$G$5:$G$2466,'май 2025'!$D$5:$D$2466,$B41,'май 2025'!$J$5:$J$2466,X$1)</f>
        <v>0</v>
      </c>
      <c r="Y41" s="182">
        <f>SUMIFS('май 2025'!$G$5:$G$2466,'май 2025'!$D$5:$D$2466,$B41,'май 2025'!$J$5:$J$2466,Y$1)</f>
        <v>0</v>
      </c>
      <c r="Z41" s="182">
        <f>SUMIFS('май 2025'!$G$5:$G$2466,'май 2025'!$D$5:$D$2466,$B41,'май 2025'!$J$5:$J$2466,Z$1)</f>
        <v>0</v>
      </c>
      <c r="AA41" s="182">
        <f>SUMIFS('май 2025'!$G$5:$G$2466,'май 2025'!$D$5:$D$2466,$B41,'май 2025'!$J$5:$J$2466,AA$1)</f>
        <v>0</v>
      </c>
      <c r="AB41" s="182">
        <f>SUMIFS('май 2025'!$G$5:$G$2466,'май 2025'!$D$5:$D$2466,$B41,'май 2025'!$J$5:$J$2466,AB$1)</f>
        <v>0</v>
      </c>
      <c r="AC41" s="182">
        <f>SUMIFS('май 2025'!$G$5:$G$2466,'май 2025'!$D$5:$D$2466,$B41,'май 2025'!$J$5:$J$2466,AC$1)</f>
        <v>0</v>
      </c>
      <c r="AD41" s="182">
        <f>SUMIFS('май 2025'!$G$5:$G$2466,'май 2025'!$D$5:$D$2466,$B41,'май 2025'!$J$5:$J$2466,AD$1)</f>
        <v>0</v>
      </c>
      <c r="AE41" s="182">
        <f>SUMIFS('май 2025'!$G$5:$G$2466,'май 2025'!$D$5:$D$2466,$B41,'май 2025'!$J$5:$J$2466,AE$1)</f>
        <v>0</v>
      </c>
      <c r="AF41" s="182">
        <f>SUMIFS('май 2025'!$G$5:$G$2466,'май 2025'!$D$5:$D$2466,$B41,'май 2025'!$J$5:$J$2466,AF$1)</f>
        <v>0</v>
      </c>
      <c r="AG41" s="182">
        <f>SUMIFS('май 2025'!$G$5:$G$2466,'май 2025'!$D$5:$D$2466,$B41,'май 2025'!$J$5:$J$2466,AG$1)</f>
        <v>0</v>
      </c>
      <c r="AH41" s="182">
        <f>SUMIFS('май 2025'!$G$5:$G$2466,'май 2025'!$D$5:$D$2466,$B41,'май 2025'!$J$5:$J$2466,AH$1)</f>
        <v>0</v>
      </c>
      <c r="AI41" s="20">
        <f t="shared" si="1"/>
        <v>0</v>
      </c>
    </row>
    <row r="42" spans="2:35" ht="15" customHeight="1" x14ac:dyDescent="0.25">
      <c r="B42" s="131" t="s">
        <v>227</v>
      </c>
      <c r="C42" s="130">
        <v>22.68</v>
      </c>
      <c r="D42" s="182">
        <f>SUMIFS('май 2025'!$G$5:$G$2466,'май 2025'!$D$5:$D$2466,$B42,'май 2025'!$J$5:$J$2466,D$1)</f>
        <v>0</v>
      </c>
      <c r="E42" s="182">
        <f>SUMIFS('май 2025'!$G$5:$G$2466,'май 2025'!$D$5:$D$2466,$B42,'май 2025'!$J$5:$J$2466,E$1)</f>
        <v>0</v>
      </c>
      <c r="F42" s="182">
        <f>SUMIFS('май 2025'!$G$5:$G$2466,'май 2025'!$D$5:$D$2466,$B42,'май 2025'!$J$5:$J$2466,F$1)</f>
        <v>0</v>
      </c>
      <c r="G42" s="182">
        <f>SUMIFS('май 2025'!$G$5:$G$2466,'май 2025'!$D$5:$D$2466,$B42,'май 2025'!$J$5:$J$2466,G$1)</f>
        <v>0</v>
      </c>
      <c r="H42" s="182">
        <f>SUMIFS('май 2025'!$G$5:$G$2466,'май 2025'!$D$5:$D$2466,$B42,'май 2025'!$J$5:$J$2466,H$1)</f>
        <v>0</v>
      </c>
      <c r="I42" s="182">
        <f>SUMIFS('май 2025'!$G$5:$G$2466,'май 2025'!$D$5:$D$2466,$B42,'май 2025'!$J$5:$J$2466,I$1)</f>
        <v>0</v>
      </c>
      <c r="J42" s="182">
        <f>SUMIFS('май 2025'!$G$5:$G$2466,'май 2025'!$D$5:$D$2466,$B42,'май 2025'!$J$5:$J$2466,J$1)</f>
        <v>0</v>
      </c>
      <c r="K42" s="182">
        <f>SUMIFS('май 2025'!$G$5:$G$2466,'май 2025'!$D$5:$D$2466,$B42,'май 2025'!$J$5:$J$2466,K$1)</f>
        <v>0</v>
      </c>
      <c r="L42" s="182">
        <f>SUMIFS('май 2025'!$G$5:$G$2466,'май 2025'!$D$5:$D$2466,$B42,'май 2025'!$J$5:$J$2466,L$1)</f>
        <v>0</v>
      </c>
      <c r="M42" s="182">
        <f>SUMIFS('май 2025'!$G$5:$G$2466,'май 2025'!$D$5:$D$2466,$B42,'май 2025'!$J$5:$J$2466,M$1)</f>
        <v>0</v>
      </c>
      <c r="N42" s="182">
        <f>SUMIFS('май 2025'!$G$5:$G$2466,'май 2025'!$D$5:$D$2466,$B42,'май 2025'!$J$5:$J$2466,N$1)</f>
        <v>0</v>
      </c>
      <c r="O42" s="182">
        <f>SUMIFS('май 2025'!$G$5:$G$2466,'май 2025'!$D$5:$D$2466,$B42,'май 2025'!$J$5:$J$2466,O$1)</f>
        <v>0</v>
      </c>
      <c r="P42" s="182">
        <f>SUMIFS('май 2025'!$G$5:$G$2466,'май 2025'!$D$5:$D$2466,$B42,'май 2025'!$J$5:$J$2466,P$1)</f>
        <v>0</v>
      </c>
      <c r="Q42" s="182">
        <f>SUMIFS('май 2025'!$G$5:$G$2466,'май 2025'!$D$5:$D$2466,$B42,'май 2025'!$J$5:$J$2466,Q$1)</f>
        <v>0</v>
      </c>
      <c r="R42" s="182">
        <f>SUMIFS('май 2025'!$G$5:$G$2466,'май 2025'!$D$5:$D$2466,$B42,'май 2025'!$J$5:$J$2466,R$1)</f>
        <v>0</v>
      </c>
      <c r="S42" s="182">
        <f>SUMIFS('май 2025'!$G$5:$G$2466,'май 2025'!$D$5:$D$2466,$B42,'май 2025'!$J$5:$J$2466,S$1)</f>
        <v>0</v>
      </c>
      <c r="T42" s="182">
        <f>SUMIFS('май 2025'!$G$5:$G$2466,'май 2025'!$D$5:$D$2466,$B42,'май 2025'!$J$5:$J$2466,T$1)</f>
        <v>0</v>
      </c>
      <c r="U42" s="182">
        <f>SUMIFS('май 2025'!$G$5:$G$2466,'май 2025'!$D$5:$D$2466,$B42,'май 2025'!$J$5:$J$2466,U$1)</f>
        <v>0</v>
      </c>
      <c r="V42" s="182">
        <f>SUMIFS('май 2025'!$G$5:$G$2466,'май 2025'!$D$5:$D$2466,$B42,'май 2025'!$J$5:$J$2466,V$1)</f>
        <v>0</v>
      </c>
      <c r="W42" s="182">
        <f>SUMIFS('май 2025'!$G$5:$G$2466,'май 2025'!$D$5:$D$2466,$B42,'май 2025'!$J$5:$J$2466,W$1)</f>
        <v>0</v>
      </c>
      <c r="X42" s="182">
        <f>SUMIFS('май 2025'!$G$5:$G$2466,'май 2025'!$D$5:$D$2466,$B42,'май 2025'!$J$5:$J$2466,X$1)</f>
        <v>0</v>
      </c>
      <c r="Y42" s="182">
        <f>SUMIFS('май 2025'!$G$5:$G$2466,'май 2025'!$D$5:$D$2466,$B42,'май 2025'!$J$5:$J$2466,Y$1)</f>
        <v>0</v>
      </c>
      <c r="Z42" s="182">
        <f>SUMIFS('май 2025'!$G$5:$G$2466,'май 2025'!$D$5:$D$2466,$B42,'май 2025'!$J$5:$J$2466,Z$1)</f>
        <v>0</v>
      </c>
      <c r="AA42" s="182">
        <f>SUMIFS('май 2025'!$G$5:$G$2466,'май 2025'!$D$5:$D$2466,$B42,'май 2025'!$J$5:$J$2466,AA$1)</f>
        <v>0</v>
      </c>
      <c r="AB42" s="182">
        <f>SUMIFS('май 2025'!$G$5:$G$2466,'май 2025'!$D$5:$D$2466,$B42,'май 2025'!$J$5:$J$2466,AB$1)</f>
        <v>0</v>
      </c>
      <c r="AC42" s="182">
        <f>SUMIFS('май 2025'!$G$5:$G$2466,'май 2025'!$D$5:$D$2466,$B42,'май 2025'!$J$5:$J$2466,AC$1)</f>
        <v>0</v>
      </c>
      <c r="AD42" s="182">
        <f>SUMIFS('май 2025'!$G$5:$G$2466,'май 2025'!$D$5:$D$2466,$B42,'май 2025'!$J$5:$J$2466,AD$1)</f>
        <v>0</v>
      </c>
      <c r="AE42" s="182">
        <f>SUMIFS('май 2025'!$G$5:$G$2466,'май 2025'!$D$5:$D$2466,$B42,'май 2025'!$J$5:$J$2466,AE$1)</f>
        <v>0</v>
      </c>
      <c r="AF42" s="182">
        <f>SUMIFS('май 2025'!$G$5:$G$2466,'май 2025'!$D$5:$D$2466,$B42,'май 2025'!$J$5:$J$2466,AF$1)</f>
        <v>0</v>
      </c>
      <c r="AG42" s="182">
        <f>SUMIFS('май 2025'!$G$5:$G$2466,'май 2025'!$D$5:$D$2466,$B42,'май 2025'!$J$5:$J$2466,AG$1)</f>
        <v>0</v>
      </c>
      <c r="AH42" s="182">
        <f>SUMIFS('май 2025'!$G$5:$G$2466,'май 2025'!$D$5:$D$2466,$B42,'май 2025'!$J$5:$J$2466,AH$1)</f>
        <v>0</v>
      </c>
      <c r="AI42" s="20">
        <f t="shared" si="1"/>
        <v>0</v>
      </c>
    </row>
    <row r="43" spans="2:35" ht="15" customHeight="1" x14ac:dyDescent="0.25">
      <c r="B43" s="135" t="s">
        <v>229</v>
      </c>
      <c r="C43" s="132">
        <v>25</v>
      </c>
      <c r="D43" s="182">
        <f>SUMIFS('май 2025'!$G$5:$G$2466,'май 2025'!$D$5:$D$2466,$B43,'май 2025'!$J$5:$J$2466,D$1)</f>
        <v>0</v>
      </c>
      <c r="E43" s="182">
        <f>SUMIFS('май 2025'!$G$5:$G$2466,'май 2025'!$D$5:$D$2466,$B43,'май 2025'!$J$5:$J$2466,E$1)</f>
        <v>0</v>
      </c>
      <c r="F43" s="182">
        <f>SUMIFS('май 2025'!$G$5:$G$2466,'май 2025'!$D$5:$D$2466,$B43,'май 2025'!$J$5:$J$2466,F$1)</f>
        <v>0</v>
      </c>
      <c r="G43" s="182">
        <f>SUMIFS('май 2025'!$G$5:$G$2466,'май 2025'!$D$5:$D$2466,$B43,'май 2025'!$J$5:$J$2466,G$1)</f>
        <v>0</v>
      </c>
      <c r="H43" s="182">
        <f>SUMIFS('май 2025'!$G$5:$G$2466,'май 2025'!$D$5:$D$2466,$B43,'май 2025'!$J$5:$J$2466,H$1)</f>
        <v>0</v>
      </c>
      <c r="I43" s="182">
        <f>SUMIFS('май 2025'!$G$5:$G$2466,'май 2025'!$D$5:$D$2466,$B43,'май 2025'!$J$5:$J$2466,I$1)</f>
        <v>0</v>
      </c>
      <c r="J43" s="182">
        <f>SUMIFS('май 2025'!$G$5:$G$2466,'май 2025'!$D$5:$D$2466,$B43,'май 2025'!$J$5:$J$2466,J$1)</f>
        <v>0</v>
      </c>
      <c r="K43" s="182">
        <f>SUMIFS('май 2025'!$G$5:$G$2466,'май 2025'!$D$5:$D$2466,$B43,'май 2025'!$J$5:$J$2466,K$1)</f>
        <v>0</v>
      </c>
      <c r="L43" s="182">
        <f>SUMIFS('май 2025'!$G$5:$G$2466,'май 2025'!$D$5:$D$2466,$B43,'май 2025'!$J$5:$J$2466,L$1)</f>
        <v>0</v>
      </c>
      <c r="M43" s="182">
        <f>SUMIFS('май 2025'!$G$5:$G$2466,'май 2025'!$D$5:$D$2466,$B43,'май 2025'!$J$5:$J$2466,M$1)</f>
        <v>0</v>
      </c>
      <c r="N43" s="182">
        <f>SUMIFS('май 2025'!$G$5:$G$2466,'май 2025'!$D$5:$D$2466,$B43,'май 2025'!$J$5:$J$2466,N$1)</f>
        <v>0</v>
      </c>
      <c r="O43" s="182">
        <f>SUMIFS('май 2025'!$G$5:$G$2466,'май 2025'!$D$5:$D$2466,$B43,'май 2025'!$J$5:$J$2466,O$1)</f>
        <v>0</v>
      </c>
      <c r="P43" s="182">
        <f>SUMIFS('май 2025'!$G$5:$G$2466,'май 2025'!$D$5:$D$2466,$B43,'май 2025'!$J$5:$J$2466,P$1)</f>
        <v>0</v>
      </c>
      <c r="Q43" s="182">
        <f>SUMIFS('май 2025'!$G$5:$G$2466,'май 2025'!$D$5:$D$2466,$B43,'май 2025'!$J$5:$J$2466,Q$1)</f>
        <v>0</v>
      </c>
      <c r="R43" s="182">
        <f>SUMIFS('май 2025'!$G$5:$G$2466,'май 2025'!$D$5:$D$2466,$B43,'май 2025'!$J$5:$J$2466,R$1)</f>
        <v>0</v>
      </c>
      <c r="S43" s="182">
        <f>SUMIFS('май 2025'!$G$5:$G$2466,'май 2025'!$D$5:$D$2466,$B43,'май 2025'!$J$5:$J$2466,S$1)</f>
        <v>0</v>
      </c>
      <c r="T43" s="182">
        <f>SUMIFS('май 2025'!$G$5:$G$2466,'май 2025'!$D$5:$D$2466,$B43,'май 2025'!$J$5:$J$2466,T$1)</f>
        <v>0</v>
      </c>
      <c r="U43" s="182">
        <f>SUMIFS('май 2025'!$G$5:$G$2466,'май 2025'!$D$5:$D$2466,$B43,'май 2025'!$J$5:$J$2466,U$1)</f>
        <v>0</v>
      </c>
      <c r="V43" s="182">
        <f>SUMIFS('май 2025'!$G$5:$G$2466,'май 2025'!$D$5:$D$2466,$B43,'май 2025'!$J$5:$J$2466,V$1)</f>
        <v>0</v>
      </c>
      <c r="W43" s="182">
        <f>SUMIFS('май 2025'!$G$5:$G$2466,'май 2025'!$D$5:$D$2466,$B43,'май 2025'!$J$5:$J$2466,W$1)</f>
        <v>0</v>
      </c>
      <c r="X43" s="182">
        <f>SUMIFS('май 2025'!$G$5:$G$2466,'май 2025'!$D$5:$D$2466,$B43,'май 2025'!$J$5:$J$2466,X$1)</f>
        <v>0</v>
      </c>
      <c r="Y43" s="182">
        <f>SUMIFS('май 2025'!$G$5:$G$2466,'май 2025'!$D$5:$D$2466,$B43,'май 2025'!$J$5:$J$2466,Y$1)</f>
        <v>0</v>
      </c>
      <c r="Z43" s="182">
        <f>SUMIFS('май 2025'!$G$5:$G$2466,'май 2025'!$D$5:$D$2466,$B43,'май 2025'!$J$5:$J$2466,Z$1)</f>
        <v>0</v>
      </c>
      <c r="AA43" s="182">
        <f>SUMIFS('май 2025'!$G$5:$G$2466,'май 2025'!$D$5:$D$2466,$B43,'май 2025'!$J$5:$J$2466,AA$1)</f>
        <v>0</v>
      </c>
      <c r="AB43" s="182">
        <f>SUMIFS('май 2025'!$G$5:$G$2466,'май 2025'!$D$5:$D$2466,$B43,'май 2025'!$J$5:$J$2466,AB$1)</f>
        <v>0</v>
      </c>
      <c r="AC43" s="182">
        <f>SUMIFS('май 2025'!$G$5:$G$2466,'май 2025'!$D$5:$D$2466,$B43,'май 2025'!$J$5:$J$2466,AC$1)</f>
        <v>0</v>
      </c>
      <c r="AD43" s="182">
        <f>SUMIFS('май 2025'!$G$5:$G$2466,'май 2025'!$D$5:$D$2466,$B43,'май 2025'!$J$5:$J$2466,AD$1)</f>
        <v>0</v>
      </c>
      <c r="AE43" s="182">
        <f>SUMIFS('май 2025'!$G$5:$G$2466,'май 2025'!$D$5:$D$2466,$B43,'май 2025'!$J$5:$J$2466,AE$1)</f>
        <v>0</v>
      </c>
      <c r="AF43" s="182">
        <f>SUMIFS('май 2025'!$G$5:$G$2466,'май 2025'!$D$5:$D$2466,$B43,'май 2025'!$J$5:$J$2466,AF$1)</f>
        <v>0</v>
      </c>
      <c r="AG43" s="182">
        <f>SUMIFS('май 2025'!$G$5:$G$2466,'май 2025'!$D$5:$D$2466,$B43,'май 2025'!$J$5:$J$2466,AG$1)</f>
        <v>0</v>
      </c>
      <c r="AH43" s="182">
        <f>SUMIFS('май 2025'!$G$5:$G$2466,'май 2025'!$D$5:$D$2466,$B43,'май 2025'!$J$5:$J$2466,AH$1)</f>
        <v>0</v>
      </c>
      <c r="AI43" s="20">
        <f t="shared" si="1"/>
        <v>0</v>
      </c>
    </row>
    <row r="44" spans="2:35" ht="15" customHeight="1" x14ac:dyDescent="0.25">
      <c r="B44" s="131" t="s">
        <v>230</v>
      </c>
      <c r="C44" s="134">
        <v>25</v>
      </c>
      <c r="D44" s="182">
        <f>SUMIFS('май 2025'!$G$5:$G$2466,'май 2025'!$D$5:$D$2466,$B44,'май 2025'!$J$5:$J$2466,D$1)</f>
        <v>0</v>
      </c>
      <c r="E44" s="182">
        <f>SUMIFS('май 2025'!$G$5:$G$2466,'май 2025'!$D$5:$D$2466,$B44,'май 2025'!$J$5:$J$2466,E$1)</f>
        <v>0</v>
      </c>
      <c r="F44" s="182">
        <f>SUMIFS('май 2025'!$G$5:$G$2466,'май 2025'!$D$5:$D$2466,$B44,'май 2025'!$J$5:$J$2466,F$1)</f>
        <v>0</v>
      </c>
      <c r="G44" s="182">
        <f>SUMIFS('май 2025'!$G$5:$G$2466,'май 2025'!$D$5:$D$2466,$B44,'май 2025'!$J$5:$J$2466,G$1)</f>
        <v>0</v>
      </c>
      <c r="H44" s="182">
        <f>SUMIFS('май 2025'!$G$5:$G$2466,'май 2025'!$D$5:$D$2466,$B44,'май 2025'!$J$5:$J$2466,H$1)</f>
        <v>0</v>
      </c>
      <c r="I44" s="182">
        <f>SUMIFS('май 2025'!$G$5:$G$2466,'май 2025'!$D$5:$D$2466,$B44,'май 2025'!$J$5:$J$2466,I$1)</f>
        <v>0</v>
      </c>
      <c r="J44" s="182">
        <f>SUMIFS('май 2025'!$G$5:$G$2466,'май 2025'!$D$5:$D$2466,$B44,'май 2025'!$J$5:$J$2466,J$1)</f>
        <v>0</v>
      </c>
      <c r="K44" s="182">
        <f>SUMIFS('май 2025'!$G$5:$G$2466,'май 2025'!$D$5:$D$2466,$B44,'май 2025'!$J$5:$J$2466,K$1)</f>
        <v>0</v>
      </c>
      <c r="L44" s="182">
        <f>SUMIFS('май 2025'!$G$5:$G$2466,'май 2025'!$D$5:$D$2466,$B44,'май 2025'!$J$5:$J$2466,L$1)</f>
        <v>0</v>
      </c>
      <c r="M44" s="182">
        <f>SUMIFS('май 2025'!$G$5:$G$2466,'май 2025'!$D$5:$D$2466,$B44,'май 2025'!$J$5:$J$2466,M$1)</f>
        <v>0</v>
      </c>
      <c r="N44" s="182">
        <f>SUMIFS('май 2025'!$G$5:$G$2466,'май 2025'!$D$5:$D$2466,$B44,'май 2025'!$J$5:$J$2466,N$1)</f>
        <v>0</v>
      </c>
      <c r="O44" s="182">
        <f>SUMIFS('май 2025'!$G$5:$G$2466,'май 2025'!$D$5:$D$2466,$B44,'май 2025'!$J$5:$J$2466,O$1)</f>
        <v>0</v>
      </c>
      <c r="P44" s="182">
        <f>SUMIFS('май 2025'!$G$5:$G$2466,'май 2025'!$D$5:$D$2466,$B44,'май 2025'!$J$5:$J$2466,P$1)</f>
        <v>0</v>
      </c>
      <c r="Q44" s="182">
        <f>SUMIFS('май 2025'!$G$5:$G$2466,'май 2025'!$D$5:$D$2466,$B44,'май 2025'!$J$5:$J$2466,Q$1)</f>
        <v>0</v>
      </c>
      <c r="R44" s="182">
        <f>SUMIFS('май 2025'!$G$5:$G$2466,'май 2025'!$D$5:$D$2466,$B44,'май 2025'!$J$5:$J$2466,R$1)</f>
        <v>0</v>
      </c>
      <c r="S44" s="182">
        <f>SUMIFS('май 2025'!$G$5:$G$2466,'май 2025'!$D$5:$D$2466,$B44,'май 2025'!$J$5:$J$2466,S$1)</f>
        <v>0</v>
      </c>
      <c r="T44" s="182">
        <f>SUMIFS('май 2025'!$G$5:$G$2466,'май 2025'!$D$5:$D$2466,$B44,'май 2025'!$J$5:$J$2466,T$1)</f>
        <v>0</v>
      </c>
      <c r="U44" s="182">
        <f>SUMIFS('май 2025'!$G$5:$G$2466,'май 2025'!$D$5:$D$2466,$B44,'май 2025'!$J$5:$J$2466,U$1)</f>
        <v>0</v>
      </c>
      <c r="V44" s="182">
        <f>SUMIFS('май 2025'!$G$5:$G$2466,'май 2025'!$D$5:$D$2466,$B44,'май 2025'!$J$5:$J$2466,V$1)</f>
        <v>0</v>
      </c>
      <c r="W44" s="182">
        <f>SUMIFS('май 2025'!$G$5:$G$2466,'май 2025'!$D$5:$D$2466,$B44,'май 2025'!$J$5:$J$2466,W$1)</f>
        <v>0</v>
      </c>
      <c r="X44" s="182">
        <f>SUMIFS('май 2025'!$G$5:$G$2466,'май 2025'!$D$5:$D$2466,$B44,'май 2025'!$J$5:$J$2466,X$1)</f>
        <v>0</v>
      </c>
      <c r="Y44" s="182">
        <f>SUMIFS('май 2025'!$G$5:$G$2466,'май 2025'!$D$5:$D$2466,$B44,'май 2025'!$J$5:$J$2466,Y$1)</f>
        <v>0</v>
      </c>
      <c r="Z44" s="182">
        <f>SUMIFS('май 2025'!$G$5:$G$2466,'май 2025'!$D$5:$D$2466,$B44,'май 2025'!$J$5:$J$2466,Z$1)</f>
        <v>0</v>
      </c>
      <c r="AA44" s="182">
        <f>SUMIFS('май 2025'!$G$5:$G$2466,'май 2025'!$D$5:$D$2466,$B44,'май 2025'!$J$5:$J$2466,AA$1)</f>
        <v>0</v>
      </c>
      <c r="AB44" s="182">
        <f>SUMIFS('май 2025'!$G$5:$G$2466,'май 2025'!$D$5:$D$2466,$B44,'май 2025'!$J$5:$J$2466,AB$1)</f>
        <v>0</v>
      </c>
      <c r="AC44" s="182">
        <f>SUMIFS('май 2025'!$G$5:$G$2466,'май 2025'!$D$5:$D$2466,$B44,'май 2025'!$J$5:$J$2466,AC$1)</f>
        <v>0</v>
      </c>
      <c r="AD44" s="182">
        <f>SUMIFS('май 2025'!$G$5:$G$2466,'май 2025'!$D$5:$D$2466,$B44,'май 2025'!$J$5:$J$2466,AD$1)</f>
        <v>0</v>
      </c>
      <c r="AE44" s="182">
        <f>SUMIFS('май 2025'!$G$5:$G$2466,'май 2025'!$D$5:$D$2466,$B44,'май 2025'!$J$5:$J$2466,AE$1)</f>
        <v>0</v>
      </c>
      <c r="AF44" s="182">
        <f>SUMIFS('май 2025'!$G$5:$G$2466,'май 2025'!$D$5:$D$2466,$B44,'май 2025'!$J$5:$J$2466,AF$1)</f>
        <v>0</v>
      </c>
      <c r="AG44" s="182">
        <f>SUMIFS('май 2025'!$G$5:$G$2466,'май 2025'!$D$5:$D$2466,$B44,'май 2025'!$J$5:$J$2466,AG$1)</f>
        <v>0</v>
      </c>
      <c r="AH44" s="182">
        <f>SUMIFS('май 2025'!$G$5:$G$2466,'май 2025'!$D$5:$D$2466,$B44,'май 2025'!$J$5:$J$2466,AH$1)</f>
        <v>0</v>
      </c>
      <c r="AI44" s="20">
        <f t="shared" si="1"/>
        <v>0</v>
      </c>
    </row>
    <row r="45" spans="2:35" ht="15" customHeight="1" x14ac:dyDescent="0.25">
      <c r="B45" s="135" t="s">
        <v>288</v>
      </c>
      <c r="C45" s="137">
        <v>25</v>
      </c>
      <c r="D45" s="182">
        <f>SUMIFS('май 2025'!$G$5:$G$2466,'май 2025'!$D$5:$D$2466,$B45,'май 2025'!$J$5:$J$2466,D$1)</f>
        <v>0</v>
      </c>
      <c r="E45" s="182">
        <f>SUMIFS('май 2025'!$G$5:$G$2466,'май 2025'!$D$5:$D$2466,$B45,'май 2025'!$J$5:$J$2466,E$1)</f>
        <v>0</v>
      </c>
      <c r="F45" s="182">
        <f>SUMIFS('май 2025'!$G$5:$G$2466,'май 2025'!$D$5:$D$2466,$B45,'май 2025'!$J$5:$J$2466,F$1)</f>
        <v>0</v>
      </c>
      <c r="G45" s="182">
        <f>SUMIFS('май 2025'!$G$5:$G$2466,'май 2025'!$D$5:$D$2466,$B45,'май 2025'!$J$5:$J$2466,G$1)</f>
        <v>0</v>
      </c>
      <c r="H45" s="182">
        <f>SUMIFS('май 2025'!$G$5:$G$2466,'май 2025'!$D$5:$D$2466,$B45,'май 2025'!$J$5:$J$2466,H$1)</f>
        <v>0</v>
      </c>
      <c r="I45" s="182">
        <f>SUMIFS('май 2025'!$G$5:$G$2466,'май 2025'!$D$5:$D$2466,$B45,'май 2025'!$J$5:$J$2466,I$1)</f>
        <v>0</v>
      </c>
      <c r="J45" s="182">
        <f>SUMIFS('май 2025'!$G$5:$G$2466,'май 2025'!$D$5:$D$2466,$B45,'май 2025'!$J$5:$J$2466,J$1)</f>
        <v>0</v>
      </c>
      <c r="K45" s="182">
        <f>SUMIFS('май 2025'!$G$5:$G$2466,'май 2025'!$D$5:$D$2466,$B45,'май 2025'!$J$5:$J$2466,K$1)</f>
        <v>0</v>
      </c>
      <c r="L45" s="182">
        <f>SUMIFS('май 2025'!$G$5:$G$2466,'май 2025'!$D$5:$D$2466,$B45,'май 2025'!$J$5:$J$2466,L$1)</f>
        <v>0</v>
      </c>
      <c r="M45" s="182">
        <f>SUMIFS('май 2025'!$G$5:$G$2466,'май 2025'!$D$5:$D$2466,$B45,'май 2025'!$J$5:$J$2466,M$1)</f>
        <v>0</v>
      </c>
      <c r="N45" s="182">
        <f>SUMIFS('май 2025'!$G$5:$G$2466,'май 2025'!$D$5:$D$2466,$B45,'май 2025'!$J$5:$J$2466,N$1)</f>
        <v>0</v>
      </c>
      <c r="O45" s="182">
        <f>SUMIFS('май 2025'!$G$5:$G$2466,'май 2025'!$D$5:$D$2466,$B45,'май 2025'!$J$5:$J$2466,O$1)</f>
        <v>0</v>
      </c>
      <c r="P45" s="182">
        <f>SUMIFS('май 2025'!$G$5:$G$2466,'май 2025'!$D$5:$D$2466,$B45,'май 2025'!$J$5:$J$2466,P$1)</f>
        <v>0</v>
      </c>
      <c r="Q45" s="182">
        <f>SUMIFS('май 2025'!$G$5:$G$2466,'май 2025'!$D$5:$D$2466,$B45,'май 2025'!$J$5:$J$2466,Q$1)</f>
        <v>0</v>
      </c>
      <c r="R45" s="182">
        <f>SUMIFS('май 2025'!$G$5:$G$2466,'май 2025'!$D$5:$D$2466,$B45,'май 2025'!$J$5:$J$2466,R$1)</f>
        <v>0</v>
      </c>
      <c r="S45" s="182">
        <f>SUMIFS('май 2025'!$G$5:$G$2466,'май 2025'!$D$5:$D$2466,$B45,'май 2025'!$J$5:$J$2466,S$1)</f>
        <v>0</v>
      </c>
      <c r="T45" s="182">
        <f>SUMIFS('май 2025'!$G$5:$G$2466,'май 2025'!$D$5:$D$2466,$B45,'май 2025'!$J$5:$J$2466,T$1)</f>
        <v>0</v>
      </c>
      <c r="U45" s="182">
        <f>SUMIFS('май 2025'!$G$5:$G$2466,'май 2025'!$D$5:$D$2466,$B45,'май 2025'!$J$5:$J$2466,U$1)</f>
        <v>0</v>
      </c>
      <c r="V45" s="182">
        <f>SUMIFS('май 2025'!$G$5:$G$2466,'май 2025'!$D$5:$D$2466,$B45,'май 2025'!$J$5:$J$2466,V$1)</f>
        <v>0</v>
      </c>
      <c r="W45" s="182">
        <f>SUMIFS('май 2025'!$G$5:$G$2466,'май 2025'!$D$5:$D$2466,$B45,'май 2025'!$J$5:$J$2466,W$1)</f>
        <v>0</v>
      </c>
      <c r="X45" s="182">
        <f>SUMIFS('май 2025'!$G$5:$G$2466,'май 2025'!$D$5:$D$2466,$B45,'май 2025'!$J$5:$J$2466,X$1)</f>
        <v>0</v>
      </c>
      <c r="Y45" s="182">
        <f>SUMIFS('май 2025'!$G$5:$G$2466,'май 2025'!$D$5:$D$2466,$B45,'май 2025'!$J$5:$J$2466,Y$1)</f>
        <v>0</v>
      </c>
      <c r="Z45" s="182">
        <f>SUMIFS('май 2025'!$G$5:$G$2466,'май 2025'!$D$5:$D$2466,$B45,'май 2025'!$J$5:$J$2466,Z$1)</f>
        <v>0</v>
      </c>
      <c r="AA45" s="182">
        <f>SUMIFS('май 2025'!$G$5:$G$2466,'май 2025'!$D$5:$D$2466,$B45,'май 2025'!$J$5:$J$2466,AA$1)</f>
        <v>0</v>
      </c>
      <c r="AB45" s="182">
        <f>SUMIFS('май 2025'!$G$5:$G$2466,'май 2025'!$D$5:$D$2466,$B45,'май 2025'!$J$5:$J$2466,AB$1)</f>
        <v>0</v>
      </c>
      <c r="AC45" s="182">
        <f>SUMIFS('май 2025'!$G$5:$G$2466,'май 2025'!$D$5:$D$2466,$B45,'май 2025'!$J$5:$J$2466,AC$1)</f>
        <v>0</v>
      </c>
      <c r="AD45" s="182">
        <f>SUMIFS('май 2025'!$G$5:$G$2466,'май 2025'!$D$5:$D$2466,$B45,'май 2025'!$J$5:$J$2466,AD$1)</f>
        <v>0</v>
      </c>
      <c r="AE45" s="182">
        <f>SUMIFS('май 2025'!$G$5:$G$2466,'май 2025'!$D$5:$D$2466,$B45,'май 2025'!$J$5:$J$2466,AE$1)</f>
        <v>0</v>
      </c>
      <c r="AF45" s="182">
        <f>SUMIFS('май 2025'!$G$5:$G$2466,'май 2025'!$D$5:$D$2466,$B45,'май 2025'!$J$5:$J$2466,AF$1)</f>
        <v>0</v>
      </c>
      <c r="AG45" s="182">
        <f>SUMIFS('май 2025'!$G$5:$G$2466,'май 2025'!$D$5:$D$2466,$B45,'май 2025'!$J$5:$J$2466,AG$1)</f>
        <v>0</v>
      </c>
      <c r="AH45" s="182">
        <f>SUMIFS('май 2025'!$G$5:$G$2466,'май 2025'!$D$5:$D$2466,$B45,'май 2025'!$J$5:$J$2466,AH$1)</f>
        <v>0</v>
      </c>
      <c r="AI45" s="20">
        <f t="shared" si="1"/>
        <v>0</v>
      </c>
    </row>
    <row r="46" spans="2:35" ht="15" customHeight="1" x14ac:dyDescent="0.25">
      <c r="B46" s="135" t="s">
        <v>232</v>
      </c>
      <c r="C46" s="132">
        <v>25</v>
      </c>
      <c r="D46" s="182">
        <f>SUMIFS('май 2025'!$G$5:$G$2466,'май 2025'!$D$5:$D$2466,$B46,'май 2025'!$J$5:$J$2466,D$1)</f>
        <v>0</v>
      </c>
      <c r="E46" s="182">
        <f>SUMIFS('май 2025'!$G$5:$G$2466,'май 2025'!$D$5:$D$2466,$B46,'май 2025'!$J$5:$J$2466,E$1)</f>
        <v>0</v>
      </c>
      <c r="F46" s="182">
        <f>SUMIFS('май 2025'!$G$5:$G$2466,'май 2025'!$D$5:$D$2466,$B46,'май 2025'!$J$5:$J$2466,F$1)</f>
        <v>0</v>
      </c>
      <c r="G46" s="182">
        <f>SUMIFS('май 2025'!$G$5:$G$2466,'май 2025'!$D$5:$D$2466,$B46,'май 2025'!$J$5:$J$2466,G$1)</f>
        <v>0</v>
      </c>
      <c r="H46" s="182">
        <f>SUMIFS('май 2025'!$G$5:$G$2466,'май 2025'!$D$5:$D$2466,$B46,'май 2025'!$J$5:$J$2466,H$1)</f>
        <v>0</v>
      </c>
      <c r="I46" s="182">
        <f>SUMIFS('май 2025'!$G$5:$G$2466,'май 2025'!$D$5:$D$2466,$B46,'май 2025'!$J$5:$J$2466,I$1)</f>
        <v>0</v>
      </c>
      <c r="J46" s="182">
        <f>SUMIFS('май 2025'!$G$5:$G$2466,'май 2025'!$D$5:$D$2466,$B46,'май 2025'!$J$5:$J$2466,J$1)</f>
        <v>0</v>
      </c>
      <c r="K46" s="182">
        <f>SUMIFS('май 2025'!$G$5:$G$2466,'май 2025'!$D$5:$D$2466,$B46,'май 2025'!$J$5:$J$2466,K$1)</f>
        <v>0</v>
      </c>
      <c r="L46" s="182">
        <f>SUMIFS('май 2025'!$G$5:$G$2466,'май 2025'!$D$5:$D$2466,$B46,'май 2025'!$J$5:$J$2466,L$1)</f>
        <v>0</v>
      </c>
      <c r="M46" s="182">
        <f>SUMIFS('май 2025'!$G$5:$G$2466,'май 2025'!$D$5:$D$2466,$B46,'май 2025'!$J$5:$J$2466,M$1)</f>
        <v>0</v>
      </c>
      <c r="N46" s="182">
        <f>SUMIFS('май 2025'!$G$5:$G$2466,'май 2025'!$D$5:$D$2466,$B46,'май 2025'!$J$5:$J$2466,N$1)</f>
        <v>0</v>
      </c>
      <c r="O46" s="182">
        <f>SUMIFS('май 2025'!$G$5:$G$2466,'май 2025'!$D$5:$D$2466,$B46,'май 2025'!$J$5:$J$2466,O$1)</f>
        <v>0</v>
      </c>
      <c r="P46" s="182">
        <f>SUMIFS('май 2025'!$G$5:$G$2466,'май 2025'!$D$5:$D$2466,$B46,'май 2025'!$J$5:$J$2466,P$1)</f>
        <v>0</v>
      </c>
      <c r="Q46" s="182">
        <f>SUMIFS('май 2025'!$G$5:$G$2466,'май 2025'!$D$5:$D$2466,$B46,'май 2025'!$J$5:$J$2466,Q$1)</f>
        <v>0</v>
      </c>
      <c r="R46" s="182">
        <f>SUMIFS('май 2025'!$G$5:$G$2466,'май 2025'!$D$5:$D$2466,$B46,'май 2025'!$J$5:$J$2466,R$1)</f>
        <v>0</v>
      </c>
      <c r="S46" s="182">
        <f>SUMIFS('май 2025'!$G$5:$G$2466,'май 2025'!$D$5:$D$2466,$B46,'май 2025'!$J$5:$J$2466,S$1)</f>
        <v>0</v>
      </c>
      <c r="T46" s="182">
        <f>SUMIFS('май 2025'!$G$5:$G$2466,'май 2025'!$D$5:$D$2466,$B46,'май 2025'!$J$5:$J$2466,T$1)</f>
        <v>0</v>
      </c>
      <c r="U46" s="182">
        <f>SUMIFS('май 2025'!$G$5:$G$2466,'май 2025'!$D$5:$D$2466,$B46,'май 2025'!$J$5:$J$2466,U$1)</f>
        <v>0</v>
      </c>
      <c r="V46" s="182">
        <f>SUMIFS('май 2025'!$G$5:$G$2466,'май 2025'!$D$5:$D$2466,$B46,'май 2025'!$J$5:$J$2466,V$1)</f>
        <v>0</v>
      </c>
      <c r="W46" s="182">
        <f>SUMIFS('май 2025'!$G$5:$G$2466,'май 2025'!$D$5:$D$2466,$B46,'май 2025'!$J$5:$J$2466,W$1)</f>
        <v>0</v>
      </c>
      <c r="X46" s="182">
        <f>SUMIFS('май 2025'!$G$5:$G$2466,'май 2025'!$D$5:$D$2466,$B46,'май 2025'!$J$5:$J$2466,X$1)</f>
        <v>0</v>
      </c>
      <c r="Y46" s="182">
        <f>SUMIFS('май 2025'!$G$5:$G$2466,'май 2025'!$D$5:$D$2466,$B46,'май 2025'!$J$5:$J$2466,Y$1)</f>
        <v>0</v>
      </c>
      <c r="Z46" s="182">
        <f>SUMIFS('май 2025'!$G$5:$G$2466,'май 2025'!$D$5:$D$2466,$B46,'май 2025'!$J$5:$J$2466,Z$1)</f>
        <v>0</v>
      </c>
      <c r="AA46" s="182">
        <f>SUMIFS('май 2025'!$G$5:$G$2466,'май 2025'!$D$5:$D$2466,$B46,'май 2025'!$J$5:$J$2466,AA$1)</f>
        <v>0</v>
      </c>
      <c r="AB46" s="182">
        <f>SUMIFS('май 2025'!$G$5:$G$2466,'май 2025'!$D$5:$D$2466,$B46,'май 2025'!$J$5:$J$2466,AB$1)</f>
        <v>0</v>
      </c>
      <c r="AC46" s="182">
        <f>SUMIFS('май 2025'!$G$5:$G$2466,'май 2025'!$D$5:$D$2466,$B46,'май 2025'!$J$5:$J$2466,AC$1)</f>
        <v>0</v>
      </c>
      <c r="AD46" s="182">
        <f>SUMIFS('май 2025'!$G$5:$G$2466,'май 2025'!$D$5:$D$2466,$B46,'май 2025'!$J$5:$J$2466,AD$1)</f>
        <v>0</v>
      </c>
      <c r="AE46" s="182">
        <f>SUMIFS('май 2025'!$G$5:$G$2466,'май 2025'!$D$5:$D$2466,$B46,'май 2025'!$J$5:$J$2466,AE$1)</f>
        <v>0</v>
      </c>
      <c r="AF46" s="182">
        <f>SUMIFS('май 2025'!$G$5:$G$2466,'май 2025'!$D$5:$D$2466,$B46,'май 2025'!$J$5:$J$2466,AF$1)</f>
        <v>0</v>
      </c>
      <c r="AG46" s="182">
        <f>SUMIFS('май 2025'!$G$5:$G$2466,'май 2025'!$D$5:$D$2466,$B46,'май 2025'!$J$5:$J$2466,AG$1)</f>
        <v>0</v>
      </c>
      <c r="AH46" s="182">
        <f>SUMIFS('май 2025'!$G$5:$G$2466,'май 2025'!$D$5:$D$2466,$B46,'май 2025'!$J$5:$J$2466,AH$1)</f>
        <v>0</v>
      </c>
      <c r="AI46" s="20">
        <f t="shared" si="1"/>
        <v>0</v>
      </c>
    </row>
    <row r="47" spans="2:35" ht="15" customHeight="1" x14ac:dyDescent="0.25">
      <c r="B47" s="135" t="s">
        <v>234</v>
      </c>
      <c r="C47" s="132">
        <v>18</v>
      </c>
      <c r="D47" s="182">
        <f>SUMIFS('май 2025'!$G$5:$G$2466,'май 2025'!$D$5:$D$2466,$B47,'май 2025'!$J$5:$J$2466,D$1)</f>
        <v>0</v>
      </c>
      <c r="E47" s="182">
        <f>SUMIFS('май 2025'!$G$5:$G$2466,'май 2025'!$D$5:$D$2466,$B47,'май 2025'!$J$5:$J$2466,E$1)</f>
        <v>0</v>
      </c>
      <c r="F47" s="182">
        <f>SUMIFS('май 2025'!$G$5:$G$2466,'май 2025'!$D$5:$D$2466,$B47,'май 2025'!$J$5:$J$2466,F$1)</f>
        <v>0</v>
      </c>
      <c r="G47" s="182">
        <f>SUMIFS('май 2025'!$G$5:$G$2466,'май 2025'!$D$5:$D$2466,$B47,'май 2025'!$J$5:$J$2466,G$1)</f>
        <v>0</v>
      </c>
      <c r="H47" s="182">
        <f>SUMIFS('май 2025'!$G$5:$G$2466,'май 2025'!$D$5:$D$2466,$B47,'май 2025'!$J$5:$J$2466,H$1)</f>
        <v>0</v>
      </c>
      <c r="I47" s="182">
        <f>SUMIFS('май 2025'!$G$5:$G$2466,'май 2025'!$D$5:$D$2466,$B47,'май 2025'!$J$5:$J$2466,I$1)</f>
        <v>0</v>
      </c>
      <c r="J47" s="182">
        <f>SUMIFS('май 2025'!$G$5:$G$2466,'май 2025'!$D$5:$D$2466,$B47,'май 2025'!$J$5:$J$2466,J$1)</f>
        <v>0</v>
      </c>
      <c r="K47" s="182">
        <f>SUMIFS('май 2025'!$G$5:$G$2466,'май 2025'!$D$5:$D$2466,$B47,'май 2025'!$J$5:$J$2466,K$1)</f>
        <v>0</v>
      </c>
      <c r="L47" s="182">
        <f>SUMIFS('май 2025'!$G$5:$G$2466,'май 2025'!$D$5:$D$2466,$B47,'май 2025'!$J$5:$J$2466,L$1)</f>
        <v>0</v>
      </c>
      <c r="M47" s="182">
        <f>SUMIFS('май 2025'!$G$5:$G$2466,'май 2025'!$D$5:$D$2466,$B47,'май 2025'!$J$5:$J$2466,M$1)</f>
        <v>0</v>
      </c>
      <c r="N47" s="182">
        <f>SUMIFS('май 2025'!$G$5:$G$2466,'май 2025'!$D$5:$D$2466,$B47,'май 2025'!$J$5:$J$2466,N$1)</f>
        <v>0</v>
      </c>
      <c r="O47" s="182">
        <f>SUMIFS('май 2025'!$G$5:$G$2466,'май 2025'!$D$5:$D$2466,$B47,'май 2025'!$J$5:$J$2466,O$1)</f>
        <v>0</v>
      </c>
      <c r="P47" s="182">
        <f>SUMIFS('май 2025'!$G$5:$G$2466,'май 2025'!$D$5:$D$2466,$B47,'май 2025'!$J$5:$J$2466,P$1)</f>
        <v>0</v>
      </c>
      <c r="Q47" s="182">
        <f>SUMIFS('май 2025'!$G$5:$G$2466,'май 2025'!$D$5:$D$2466,$B47,'май 2025'!$J$5:$J$2466,Q$1)</f>
        <v>0</v>
      </c>
      <c r="R47" s="182">
        <f>SUMIFS('май 2025'!$G$5:$G$2466,'май 2025'!$D$5:$D$2466,$B47,'май 2025'!$J$5:$J$2466,R$1)</f>
        <v>0</v>
      </c>
      <c r="S47" s="182">
        <f>SUMIFS('май 2025'!$G$5:$G$2466,'май 2025'!$D$5:$D$2466,$B47,'май 2025'!$J$5:$J$2466,S$1)</f>
        <v>0</v>
      </c>
      <c r="T47" s="182">
        <f>SUMIFS('май 2025'!$G$5:$G$2466,'май 2025'!$D$5:$D$2466,$B47,'май 2025'!$J$5:$J$2466,T$1)</f>
        <v>0</v>
      </c>
      <c r="U47" s="182">
        <f>SUMIFS('май 2025'!$G$5:$G$2466,'май 2025'!$D$5:$D$2466,$B47,'май 2025'!$J$5:$J$2466,U$1)</f>
        <v>0</v>
      </c>
      <c r="V47" s="182">
        <f>SUMIFS('май 2025'!$G$5:$G$2466,'май 2025'!$D$5:$D$2466,$B47,'май 2025'!$J$5:$J$2466,V$1)</f>
        <v>0</v>
      </c>
      <c r="W47" s="182">
        <f>SUMIFS('май 2025'!$G$5:$G$2466,'май 2025'!$D$5:$D$2466,$B47,'май 2025'!$J$5:$J$2466,W$1)</f>
        <v>0</v>
      </c>
      <c r="X47" s="182">
        <f>SUMIFS('май 2025'!$G$5:$G$2466,'май 2025'!$D$5:$D$2466,$B47,'май 2025'!$J$5:$J$2466,X$1)</f>
        <v>0</v>
      </c>
      <c r="Y47" s="182">
        <f>SUMIFS('май 2025'!$G$5:$G$2466,'май 2025'!$D$5:$D$2466,$B47,'май 2025'!$J$5:$J$2466,Y$1)</f>
        <v>0</v>
      </c>
      <c r="Z47" s="182">
        <f>SUMIFS('май 2025'!$G$5:$G$2466,'май 2025'!$D$5:$D$2466,$B47,'май 2025'!$J$5:$J$2466,Z$1)</f>
        <v>0</v>
      </c>
      <c r="AA47" s="182">
        <f>SUMIFS('май 2025'!$G$5:$G$2466,'май 2025'!$D$5:$D$2466,$B47,'май 2025'!$J$5:$J$2466,AA$1)</f>
        <v>0</v>
      </c>
      <c r="AB47" s="182">
        <f>SUMIFS('май 2025'!$G$5:$G$2466,'май 2025'!$D$5:$D$2466,$B47,'май 2025'!$J$5:$J$2466,AB$1)</f>
        <v>0</v>
      </c>
      <c r="AC47" s="182">
        <f>SUMIFS('май 2025'!$G$5:$G$2466,'май 2025'!$D$5:$D$2466,$B47,'май 2025'!$J$5:$J$2466,AC$1)</f>
        <v>0</v>
      </c>
      <c r="AD47" s="182">
        <f>SUMIFS('май 2025'!$G$5:$G$2466,'май 2025'!$D$5:$D$2466,$B47,'май 2025'!$J$5:$J$2466,AD$1)</f>
        <v>0</v>
      </c>
      <c r="AE47" s="182">
        <f>SUMIFS('май 2025'!$G$5:$G$2466,'май 2025'!$D$5:$D$2466,$B47,'май 2025'!$J$5:$J$2466,AE$1)</f>
        <v>0</v>
      </c>
      <c r="AF47" s="182">
        <f>SUMIFS('май 2025'!$G$5:$G$2466,'май 2025'!$D$5:$D$2466,$B47,'май 2025'!$J$5:$J$2466,AF$1)</f>
        <v>0</v>
      </c>
      <c r="AG47" s="182">
        <f>SUMIFS('май 2025'!$G$5:$G$2466,'май 2025'!$D$5:$D$2466,$B47,'май 2025'!$J$5:$J$2466,AG$1)</f>
        <v>0</v>
      </c>
      <c r="AH47" s="182">
        <f>SUMIFS('май 2025'!$G$5:$G$2466,'май 2025'!$D$5:$D$2466,$B47,'май 2025'!$J$5:$J$2466,AH$1)</f>
        <v>0</v>
      </c>
      <c r="AI47" s="20">
        <f t="shared" si="1"/>
        <v>0</v>
      </c>
    </row>
    <row r="48" spans="2:35" ht="15" customHeight="1" x14ac:dyDescent="0.25">
      <c r="B48" s="135" t="s">
        <v>1079</v>
      </c>
      <c r="C48" s="132">
        <v>18</v>
      </c>
      <c r="D48" s="182">
        <f>SUMIFS('май 2025'!$G$5:$G$2466,'май 2025'!$D$5:$D$2466,$B48,'май 2025'!$J$5:$J$2466,D$1)</f>
        <v>0</v>
      </c>
      <c r="E48" s="182">
        <f>SUMIFS('май 2025'!$G$5:$G$2466,'май 2025'!$D$5:$D$2466,$B48,'май 2025'!$J$5:$J$2466,E$1)</f>
        <v>0</v>
      </c>
      <c r="F48" s="182">
        <f>SUMIFS('май 2025'!$G$5:$G$2466,'май 2025'!$D$5:$D$2466,$B48,'май 2025'!$J$5:$J$2466,F$1)</f>
        <v>0</v>
      </c>
      <c r="G48" s="182">
        <f>SUMIFS('май 2025'!$G$5:$G$2466,'май 2025'!$D$5:$D$2466,$B48,'май 2025'!$J$5:$J$2466,G$1)</f>
        <v>0</v>
      </c>
      <c r="H48" s="182">
        <f>SUMIFS('май 2025'!$G$5:$G$2466,'май 2025'!$D$5:$D$2466,$B48,'май 2025'!$J$5:$J$2466,H$1)</f>
        <v>0</v>
      </c>
      <c r="I48" s="182">
        <f>SUMIFS('май 2025'!$G$5:$G$2466,'май 2025'!$D$5:$D$2466,$B48,'май 2025'!$J$5:$J$2466,I$1)</f>
        <v>0</v>
      </c>
      <c r="J48" s="182">
        <f>SUMIFS('май 2025'!$G$5:$G$2466,'май 2025'!$D$5:$D$2466,$B48,'май 2025'!$J$5:$J$2466,J$1)</f>
        <v>0</v>
      </c>
      <c r="K48" s="182">
        <f>SUMIFS('май 2025'!$G$5:$G$2466,'май 2025'!$D$5:$D$2466,$B48,'май 2025'!$J$5:$J$2466,K$1)</f>
        <v>0</v>
      </c>
      <c r="L48" s="182">
        <f>SUMIFS('май 2025'!$G$5:$G$2466,'май 2025'!$D$5:$D$2466,$B48,'май 2025'!$J$5:$J$2466,L$1)</f>
        <v>0</v>
      </c>
      <c r="M48" s="182">
        <f>SUMIFS('май 2025'!$G$5:$G$2466,'май 2025'!$D$5:$D$2466,$B48,'май 2025'!$J$5:$J$2466,M$1)</f>
        <v>0</v>
      </c>
      <c r="N48" s="182">
        <f>SUMIFS('май 2025'!$G$5:$G$2466,'май 2025'!$D$5:$D$2466,$B48,'май 2025'!$J$5:$J$2466,N$1)</f>
        <v>0</v>
      </c>
      <c r="O48" s="182">
        <f>SUMIFS('май 2025'!$G$5:$G$2466,'май 2025'!$D$5:$D$2466,$B48,'май 2025'!$J$5:$J$2466,O$1)</f>
        <v>0</v>
      </c>
      <c r="P48" s="182">
        <f>SUMIFS('май 2025'!$G$5:$G$2466,'май 2025'!$D$5:$D$2466,$B48,'май 2025'!$J$5:$J$2466,P$1)</f>
        <v>0</v>
      </c>
      <c r="Q48" s="182">
        <f>SUMIFS('май 2025'!$G$5:$G$2466,'май 2025'!$D$5:$D$2466,$B48,'май 2025'!$J$5:$J$2466,Q$1)</f>
        <v>0</v>
      </c>
      <c r="R48" s="182">
        <f>SUMIFS('май 2025'!$G$5:$G$2466,'май 2025'!$D$5:$D$2466,$B48,'май 2025'!$J$5:$J$2466,R$1)</f>
        <v>0</v>
      </c>
      <c r="S48" s="182">
        <f>SUMIFS('май 2025'!$G$5:$G$2466,'май 2025'!$D$5:$D$2466,$B48,'май 2025'!$J$5:$J$2466,S$1)</f>
        <v>0</v>
      </c>
      <c r="T48" s="182">
        <f>SUMIFS('май 2025'!$G$5:$G$2466,'май 2025'!$D$5:$D$2466,$B48,'май 2025'!$J$5:$J$2466,T$1)</f>
        <v>0</v>
      </c>
      <c r="U48" s="182">
        <f>SUMIFS('май 2025'!$G$5:$G$2466,'май 2025'!$D$5:$D$2466,$B48,'май 2025'!$J$5:$J$2466,U$1)</f>
        <v>0</v>
      </c>
      <c r="V48" s="182">
        <f>SUMIFS('май 2025'!$G$5:$G$2466,'май 2025'!$D$5:$D$2466,$B48,'май 2025'!$J$5:$J$2466,V$1)</f>
        <v>0</v>
      </c>
      <c r="W48" s="182">
        <f>SUMIFS('май 2025'!$G$5:$G$2466,'май 2025'!$D$5:$D$2466,$B48,'май 2025'!$J$5:$J$2466,W$1)</f>
        <v>0</v>
      </c>
      <c r="X48" s="182">
        <f>SUMIFS('май 2025'!$G$5:$G$2466,'май 2025'!$D$5:$D$2466,$B48,'май 2025'!$J$5:$J$2466,X$1)</f>
        <v>0</v>
      </c>
      <c r="Y48" s="182">
        <f>SUMIFS('май 2025'!$G$5:$G$2466,'май 2025'!$D$5:$D$2466,$B48,'май 2025'!$J$5:$J$2466,Y$1)</f>
        <v>0</v>
      </c>
      <c r="Z48" s="182">
        <f>SUMIFS('май 2025'!$G$5:$G$2466,'май 2025'!$D$5:$D$2466,$B48,'май 2025'!$J$5:$J$2466,Z$1)</f>
        <v>0</v>
      </c>
      <c r="AA48" s="182">
        <f>SUMIFS('май 2025'!$G$5:$G$2466,'май 2025'!$D$5:$D$2466,$B48,'май 2025'!$J$5:$J$2466,AA$1)</f>
        <v>0</v>
      </c>
      <c r="AB48" s="182">
        <f>SUMIFS('май 2025'!$G$5:$G$2466,'май 2025'!$D$5:$D$2466,$B48,'май 2025'!$J$5:$J$2466,AB$1)</f>
        <v>0</v>
      </c>
      <c r="AC48" s="182">
        <f>SUMIFS('май 2025'!$G$5:$G$2466,'май 2025'!$D$5:$D$2466,$B48,'май 2025'!$J$5:$J$2466,AC$1)</f>
        <v>0</v>
      </c>
      <c r="AD48" s="182">
        <f>SUMIFS('май 2025'!$G$5:$G$2466,'май 2025'!$D$5:$D$2466,$B48,'май 2025'!$J$5:$J$2466,AD$1)</f>
        <v>0</v>
      </c>
      <c r="AE48" s="182">
        <f>SUMIFS('май 2025'!$G$5:$G$2466,'май 2025'!$D$5:$D$2466,$B48,'май 2025'!$J$5:$J$2466,AE$1)</f>
        <v>0</v>
      </c>
      <c r="AF48" s="182">
        <f>SUMIFS('май 2025'!$G$5:$G$2466,'май 2025'!$D$5:$D$2466,$B48,'май 2025'!$J$5:$J$2466,AF$1)</f>
        <v>0</v>
      </c>
      <c r="AG48" s="182">
        <f>SUMIFS('май 2025'!$G$5:$G$2466,'май 2025'!$D$5:$D$2466,$B48,'май 2025'!$J$5:$J$2466,AG$1)</f>
        <v>0</v>
      </c>
      <c r="AH48" s="182">
        <f>SUMIFS('май 2025'!$G$5:$G$2466,'май 2025'!$D$5:$D$2466,$B48,'май 2025'!$J$5:$J$2466,AH$1)</f>
        <v>0</v>
      </c>
      <c r="AI48" s="20">
        <f t="shared" si="1"/>
        <v>0</v>
      </c>
    </row>
    <row r="49" spans="2:35" ht="15" customHeight="1" x14ac:dyDescent="0.25">
      <c r="B49" s="135" t="s">
        <v>236</v>
      </c>
      <c r="C49" s="132">
        <v>20</v>
      </c>
      <c r="D49" s="182">
        <f>SUMIFS('май 2025'!$G$5:$G$2466,'май 2025'!$D$5:$D$2466,$B49,'май 2025'!$J$5:$J$2466,D$1)</f>
        <v>0</v>
      </c>
      <c r="E49" s="182">
        <f>SUMIFS('май 2025'!$G$5:$G$2466,'май 2025'!$D$5:$D$2466,$B49,'май 2025'!$J$5:$J$2466,E$1)</f>
        <v>0</v>
      </c>
      <c r="F49" s="182">
        <f>SUMIFS('май 2025'!$G$5:$G$2466,'май 2025'!$D$5:$D$2466,$B49,'май 2025'!$J$5:$J$2466,F$1)</f>
        <v>0</v>
      </c>
      <c r="G49" s="182">
        <f>SUMIFS('май 2025'!$G$5:$G$2466,'май 2025'!$D$5:$D$2466,$B49,'май 2025'!$J$5:$J$2466,G$1)</f>
        <v>0</v>
      </c>
      <c r="H49" s="182">
        <f>SUMIFS('май 2025'!$G$5:$G$2466,'май 2025'!$D$5:$D$2466,$B49,'май 2025'!$J$5:$J$2466,H$1)</f>
        <v>0</v>
      </c>
      <c r="I49" s="182">
        <f>SUMIFS('май 2025'!$G$5:$G$2466,'май 2025'!$D$5:$D$2466,$B49,'май 2025'!$J$5:$J$2466,I$1)</f>
        <v>0</v>
      </c>
      <c r="J49" s="182">
        <f>SUMIFS('май 2025'!$G$5:$G$2466,'май 2025'!$D$5:$D$2466,$B49,'май 2025'!$J$5:$J$2466,J$1)</f>
        <v>0</v>
      </c>
      <c r="K49" s="182">
        <f>SUMIFS('май 2025'!$G$5:$G$2466,'май 2025'!$D$5:$D$2466,$B49,'май 2025'!$J$5:$J$2466,K$1)</f>
        <v>0</v>
      </c>
      <c r="L49" s="182">
        <f>SUMIFS('май 2025'!$G$5:$G$2466,'май 2025'!$D$5:$D$2466,$B49,'май 2025'!$J$5:$J$2466,L$1)</f>
        <v>0</v>
      </c>
      <c r="M49" s="182">
        <f>SUMIFS('май 2025'!$G$5:$G$2466,'май 2025'!$D$5:$D$2466,$B49,'май 2025'!$J$5:$J$2466,M$1)</f>
        <v>0</v>
      </c>
      <c r="N49" s="182">
        <f>SUMIFS('май 2025'!$G$5:$G$2466,'май 2025'!$D$5:$D$2466,$B49,'май 2025'!$J$5:$J$2466,N$1)</f>
        <v>0</v>
      </c>
      <c r="O49" s="182">
        <f>SUMIFS('май 2025'!$G$5:$G$2466,'май 2025'!$D$5:$D$2466,$B49,'май 2025'!$J$5:$J$2466,O$1)</f>
        <v>0</v>
      </c>
      <c r="P49" s="182">
        <f>SUMIFS('май 2025'!$G$5:$G$2466,'май 2025'!$D$5:$D$2466,$B49,'май 2025'!$J$5:$J$2466,P$1)</f>
        <v>0</v>
      </c>
      <c r="Q49" s="182">
        <f>SUMIFS('май 2025'!$G$5:$G$2466,'май 2025'!$D$5:$D$2466,$B49,'май 2025'!$J$5:$J$2466,Q$1)</f>
        <v>0</v>
      </c>
      <c r="R49" s="182">
        <f>SUMIFS('май 2025'!$G$5:$G$2466,'май 2025'!$D$5:$D$2466,$B49,'май 2025'!$J$5:$J$2466,R$1)</f>
        <v>0</v>
      </c>
      <c r="S49" s="182">
        <f>SUMIFS('май 2025'!$G$5:$G$2466,'май 2025'!$D$5:$D$2466,$B49,'май 2025'!$J$5:$J$2466,S$1)</f>
        <v>0</v>
      </c>
      <c r="T49" s="182">
        <f>SUMIFS('май 2025'!$G$5:$G$2466,'май 2025'!$D$5:$D$2466,$B49,'май 2025'!$J$5:$J$2466,T$1)</f>
        <v>0</v>
      </c>
      <c r="U49" s="182">
        <f>SUMIFS('май 2025'!$G$5:$G$2466,'май 2025'!$D$5:$D$2466,$B49,'май 2025'!$J$5:$J$2466,U$1)</f>
        <v>0</v>
      </c>
      <c r="V49" s="182">
        <f>SUMIFS('май 2025'!$G$5:$G$2466,'май 2025'!$D$5:$D$2466,$B49,'май 2025'!$J$5:$J$2466,V$1)</f>
        <v>0</v>
      </c>
      <c r="W49" s="182">
        <f>SUMIFS('май 2025'!$G$5:$G$2466,'май 2025'!$D$5:$D$2466,$B49,'май 2025'!$J$5:$J$2466,W$1)</f>
        <v>0</v>
      </c>
      <c r="X49" s="182">
        <f>SUMIFS('май 2025'!$G$5:$G$2466,'май 2025'!$D$5:$D$2466,$B49,'май 2025'!$J$5:$J$2466,X$1)</f>
        <v>0</v>
      </c>
      <c r="Y49" s="182">
        <f>SUMIFS('май 2025'!$G$5:$G$2466,'май 2025'!$D$5:$D$2466,$B49,'май 2025'!$J$5:$J$2466,Y$1)</f>
        <v>0</v>
      </c>
      <c r="Z49" s="182">
        <f>SUMIFS('май 2025'!$G$5:$G$2466,'май 2025'!$D$5:$D$2466,$B49,'май 2025'!$J$5:$J$2466,Z$1)</f>
        <v>0</v>
      </c>
      <c r="AA49" s="182">
        <f>SUMIFS('май 2025'!$G$5:$G$2466,'май 2025'!$D$5:$D$2466,$B49,'май 2025'!$J$5:$J$2466,AA$1)</f>
        <v>0</v>
      </c>
      <c r="AB49" s="182">
        <f>SUMIFS('май 2025'!$G$5:$G$2466,'май 2025'!$D$5:$D$2466,$B49,'май 2025'!$J$5:$J$2466,AB$1)</f>
        <v>0</v>
      </c>
      <c r="AC49" s="182">
        <f>SUMIFS('май 2025'!$G$5:$G$2466,'май 2025'!$D$5:$D$2466,$B49,'май 2025'!$J$5:$J$2466,AC$1)</f>
        <v>0</v>
      </c>
      <c r="AD49" s="182">
        <f>SUMIFS('май 2025'!$G$5:$G$2466,'май 2025'!$D$5:$D$2466,$B49,'май 2025'!$J$5:$J$2466,AD$1)</f>
        <v>0</v>
      </c>
      <c r="AE49" s="182">
        <f>SUMIFS('май 2025'!$G$5:$G$2466,'май 2025'!$D$5:$D$2466,$B49,'май 2025'!$J$5:$J$2466,AE$1)</f>
        <v>0</v>
      </c>
      <c r="AF49" s="182">
        <f>SUMIFS('май 2025'!$G$5:$G$2466,'май 2025'!$D$5:$D$2466,$B49,'май 2025'!$J$5:$J$2466,AF$1)</f>
        <v>0</v>
      </c>
      <c r="AG49" s="182">
        <f>SUMIFS('май 2025'!$G$5:$G$2466,'май 2025'!$D$5:$D$2466,$B49,'май 2025'!$J$5:$J$2466,AG$1)</f>
        <v>0</v>
      </c>
      <c r="AH49" s="182">
        <f>SUMIFS('май 2025'!$G$5:$G$2466,'май 2025'!$D$5:$D$2466,$B49,'май 2025'!$J$5:$J$2466,AH$1)</f>
        <v>0</v>
      </c>
      <c r="AI49" s="20">
        <f t="shared" si="1"/>
        <v>0</v>
      </c>
    </row>
    <row r="50" spans="2:35" ht="15" customHeight="1" x14ac:dyDescent="0.25">
      <c r="B50" s="131" t="s">
        <v>238</v>
      </c>
      <c r="C50" s="134">
        <v>20</v>
      </c>
      <c r="D50" s="182">
        <f>SUMIFS('май 2025'!$G$5:$G$2466,'май 2025'!$D$5:$D$2466,$B50,'май 2025'!$J$5:$J$2466,D$1)</f>
        <v>0</v>
      </c>
      <c r="E50" s="182">
        <f>SUMIFS('май 2025'!$G$5:$G$2466,'май 2025'!$D$5:$D$2466,$B50,'май 2025'!$J$5:$J$2466,E$1)</f>
        <v>0</v>
      </c>
      <c r="F50" s="182">
        <f>SUMIFS('май 2025'!$G$5:$G$2466,'май 2025'!$D$5:$D$2466,$B50,'май 2025'!$J$5:$J$2466,F$1)</f>
        <v>0</v>
      </c>
      <c r="G50" s="182">
        <f>SUMIFS('май 2025'!$G$5:$G$2466,'май 2025'!$D$5:$D$2466,$B50,'май 2025'!$J$5:$J$2466,G$1)</f>
        <v>0</v>
      </c>
      <c r="H50" s="182">
        <f>SUMIFS('май 2025'!$G$5:$G$2466,'май 2025'!$D$5:$D$2466,$B50,'май 2025'!$J$5:$J$2466,H$1)</f>
        <v>0</v>
      </c>
      <c r="I50" s="182">
        <f>SUMIFS('май 2025'!$G$5:$G$2466,'май 2025'!$D$5:$D$2466,$B50,'май 2025'!$J$5:$J$2466,I$1)</f>
        <v>0</v>
      </c>
      <c r="J50" s="182">
        <f>SUMIFS('май 2025'!$G$5:$G$2466,'май 2025'!$D$5:$D$2466,$B50,'май 2025'!$J$5:$J$2466,J$1)</f>
        <v>0</v>
      </c>
      <c r="K50" s="182">
        <f>SUMIFS('май 2025'!$G$5:$G$2466,'май 2025'!$D$5:$D$2466,$B50,'май 2025'!$J$5:$J$2466,K$1)</f>
        <v>0</v>
      </c>
      <c r="L50" s="182">
        <f>SUMIFS('май 2025'!$G$5:$G$2466,'май 2025'!$D$5:$D$2466,$B50,'май 2025'!$J$5:$J$2466,L$1)</f>
        <v>0</v>
      </c>
      <c r="M50" s="182">
        <f>SUMIFS('май 2025'!$G$5:$G$2466,'май 2025'!$D$5:$D$2466,$B50,'май 2025'!$J$5:$J$2466,M$1)</f>
        <v>0</v>
      </c>
      <c r="N50" s="182">
        <f>SUMIFS('май 2025'!$G$5:$G$2466,'май 2025'!$D$5:$D$2466,$B50,'май 2025'!$J$5:$J$2466,N$1)</f>
        <v>0</v>
      </c>
      <c r="O50" s="182">
        <f>SUMIFS('май 2025'!$G$5:$G$2466,'май 2025'!$D$5:$D$2466,$B50,'май 2025'!$J$5:$J$2466,O$1)</f>
        <v>0</v>
      </c>
      <c r="P50" s="182">
        <f>SUMIFS('май 2025'!$G$5:$G$2466,'май 2025'!$D$5:$D$2466,$B50,'май 2025'!$J$5:$J$2466,P$1)</f>
        <v>0</v>
      </c>
      <c r="Q50" s="182">
        <f>SUMIFS('май 2025'!$G$5:$G$2466,'май 2025'!$D$5:$D$2466,$B50,'май 2025'!$J$5:$J$2466,Q$1)</f>
        <v>0</v>
      </c>
      <c r="R50" s="182">
        <f>SUMIFS('май 2025'!$G$5:$G$2466,'май 2025'!$D$5:$D$2466,$B50,'май 2025'!$J$5:$J$2466,R$1)</f>
        <v>0</v>
      </c>
      <c r="S50" s="182">
        <f>SUMIFS('май 2025'!$G$5:$G$2466,'май 2025'!$D$5:$D$2466,$B50,'май 2025'!$J$5:$J$2466,S$1)</f>
        <v>0</v>
      </c>
      <c r="T50" s="182">
        <f>SUMIFS('май 2025'!$G$5:$G$2466,'май 2025'!$D$5:$D$2466,$B50,'май 2025'!$J$5:$J$2466,T$1)</f>
        <v>0</v>
      </c>
      <c r="U50" s="182">
        <f>SUMIFS('май 2025'!$G$5:$G$2466,'май 2025'!$D$5:$D$2466,$B50,'май 2025'!$J$5:$J$2466,U$1)</f>
        <v>0</v>
      </c>
      <c r="V50" s="182">
        <f>SUMIFS('май 2025'!$G$5:$G$2466,'май 2025'!$D$5:$D$2466,$B50,'май 2025'!$J$5:$J$2466,V$1)</f>
        <v>0</v>
      </c>
      <c r="W50" s="182">
        <f>SUMIFS('май 2025'!$G$5:$G$2466,'май 2025'!$D$5:$D$2466,$B50,'май 2025'!$J$5:$J$2466,W$1)</f>
        <v>0</v>
      </c>
      <c r="X50" s="182">
        <f>SUMIFS('май 2025'!$G$5:$G$2466,'май 2025'!$D$5:$D$2466,$B50,'май 2025'!$J$5:$J$2466,X$1)</f>
        <v>0</v>
      </c>
      <c r="Y50" s="182">
        <f>SUMIFS('май 2025'!$G$5:$G$2466,'май 2025'!$D$5:$D$2466,$B50,'май 2025'!$J$5:$J$2466,Y$1)</f>
        <v>0</v>
      </c>
      <c r="Z50" s="182">
        <f>SUMIFS('май 2025'!$G$5:$G$2466,'май 2025'!$D$5:$D$2466,$B50,'май 2025'!$J$5:$J$2466,Z$1)</f>
        <v>0</v>
      </c>
      <c r="AA50" s="182">
        <f>SUMIFS('май 2025'!$G$5:$G$2466,'май 2025'!$D$5:$D$2466,$B50,'май 2025'!$J$5:$J$2466,AA$1)</f>
        <v>0</v>
      </c>
      <c r="AB50" s="182">
        <f>SUMIFS('май 2025'!$G$5:$G$2466,'май 2025'!$D$5:$D$2466,$B50,'май 2025'!$J$5:$J$2466,AB$1)</f>
        <v>0</v>
      </c>
      <c r="AC50" s="182">
        <f>SUMIFS('май 2025'!$G$5:$G$2466,'май 2025'!$D$5:$D$2466,$B50,'май 2025'!$J$5:$J$2466,AC$1)</f>
        <v>0</v>
      </c>
      <c r="AD50" s="182">
        <f>SUMIFS('май 2025'!$G$5:$G$2466,'май 2025'!$D$5:$D$2466,$B50,'май 2025'!$J$5:$J$2466,AD$1)</f>
        <v>0</v>
      </c>
      <c r="AE50" s="182">
        <f>SUMIFS('май 2025'!$G$5:$G$2466,'май 2025'!$D$5:$D$2466,$B50,'май 2025'!$J$5:$J$2466,AE$1)</f>
        <v>0</v>
      </c>
      <c r="AF50" s="182">
        <f>SUMIFS('май 2025'!$G$5:$G$2466,'май 2025'!$D$5:$D$2466,$B50,'май 2025'!$J$5:$J$2466,AF$1)</f>
        <v>0</v>
      </c>
      <c r="AG50" s="182">
        <f>SUMIFS('май 2025'!$G$5:$G$2466,'май 2025'!$D$5:$D$2466,$B50,'май 2025'!$J$5:$J$2466,AG$1)</f>
        <v>0</v>
      </c>
      <c r="AH50" s="182">
        <f>SUMIFS('май 2025'!$G$5:$G$2466,'май 2025'!$D$5:$D$2466,$B50,'май 2025'!$J$5:$J$2466,AH$1)</f>
        <v>0</v>
      </c>
      <c r="AI50" s="20">
        <f t="shared" si="1"/>
        <v>0</v>
      </c>
    </row>
    <row r="51" spans="2:35" ht="15" customHeight="1" x14ac:dyDescent="0.25">
      <c r="B51" s="131" t="s">
        <v>240</v>
      </c>
      <c r="C51" s="130">
        <v>20</v>
      </c>
      <c r="D51" s="182">
        <f>SUMIFS('май 2025'!$G$5:$G$2466,'май 2025'!$D$5:$D$2466,$B51,'май 2025'!$J$5:$J$2466,D$1)</f>
        <v>0</v>
      </c>
      <c r="E51" s="182">
        <f>SUMIFS('май 2025'!$G$5:$G$2466,'май 2025'!$D$5:$D$2466,$B51,'май 2025'!$J$5:$J$2466,E$1)</f>
        <v>0</v>
      </c>
      <c r="F51" s="182">
        <f>SUMIFS('май 2025'!$G$5:$G$2466,'май 2025'!$D$5:$D$2466,$B51,'май 2025'!$J$5:$J$2466,F$1)</f>
        <v>0</v>
      </c>
      <c r="G51" s="182">
        <f>SUMIFS('май 2025'!$G$5:$G$2466,'май 2025'!$D$5:$D$2466,$B51,'май 2025'!$J$5:$J$2466,G$1)</f>
        <v>0</v>
      </c>
      <c r="H51" s="182">
        <f>SUMIFS('май 2025'!$G$5:$G$2466,'май 2025'!$D$5:$D$2466,$B51,'май 2025'!$J$5:$J$2466,H$1)</f>
        <v>0</v>
      </c>
      <c r="I51" s="182">
        <f>SUMIFS('май 2025'!$G$5:$G$2466,'май 2025'!$D$5:$D$2466,$B51,'май 2025'!$J$5:$J$2466,I$1)</f>
        <v>0</v>
      </c>
      <c r="J51" s="182">
        <f>SUMIFS('май 2025'!$G$5:$G$2466,'май 2025'!$D$5:$D$2466,$B51,'май 2025'!$J$5:$J$2466,J$1)</f>
        <v>0</v>
      </c>
      <c r="K51" s="182">
        <f>SUMIFS('май 2025'!$G$5:$G$2466,'май 2025'!$D$5:$D$2466,$B51,'май 2025'!$J$5:$J$2466,K$1)</f>
        <v>0</v>
      </c>
      <c r="L51" s="182">
        <f>SUMIFS('май 2025'!$G$5:$G$2466,'май 2025'!$D$5:$D$2466,$B51,'май 2025'!$J$5:$J$2466,L$1)</f>
        <v>0</v>
      </c>
      <c r="M51" s="182">
        <f>SUMIFS('май 2025'!$G$5:$G$2466,'май 2025'!$D$5:$D$2466,$B51,'май 2025'!$J$5:$J$2466,M$1)</f>
        <v>0</v>
      </c>
      <c r="N51" s="182">
        <f>SUMIFS('май 2025'!$G$5:$G$2466,'май 2025'!$D$5:$D$2466,$B51,'май 2025'!$J$5:$J$2466,N$1)</f>
        <v>0</v>
      </c>
      <c r="O51" s="182">
        <f>SUMIFS('май 2025'!$G$5:$G$2466,'май 2025'!$D$5:$D$2466,$B51,'май 2025'!$J$5:$J$2466,O$1)</f>
        <v>0</v>
      </c>
      <c r="P51" s="182">
        <f>SUMIFS('май 2025'!$G$5:$G$2466,'май 2025'!$D$5:$D$2466,$B51,'май 2025'!$J$5:$J$2466,P$1)</f>
        <v>0</v>
      </c>
      <c r="Q51" s="182">
        <f>SUMIFS('май 2025'!$G$5:$G$2466,'май 2025'!$D$5:$D$2466,$B51,'май 2025'!$J$5:$J$2466,Q$1)</f>
        <v>0</v>
      </c>
      <c r="R51" s="182">
        <f>SUMIFS('май 2025'!$G$5:$G$2466,'май 2025'!$D$5:$D$2466,$B51,'май 2025'!$J$5:$J$2466,R$1)</f>
        <v>0</v>
      </c>
      <c r="S51" s="182">
        <f>SUMIFS('май 2025'!$G$5:$G$2466,'май 2025'!$D$5:$D$2466,$B51,'май 2025'!$J$5:$J$2466,S$1)</f>
        <v>0</v>
      </c>
      <c r="T51" s="182">
        <f>SUMIFS('май 2025'!$G$5:$G$2466,'май 2025'!$D$5:$D$2466,$B51,'май 2025'!$J$5:$J$2466,T$1)</f>
        <v>0</v>
      </c>
      <c r="U51" s="182">
        <f>SUMIFS('май 2025'!$G$5:$G$2466,'май 2025'!$D$5:$D$2466,$B51,'май 2025'!$J$5:$J$2466,U$1)</f>
        <v>0</v>
      </c>
      <c r="V51" s="182">
        <f>SUMIFS('май 2025'!$G$5:$G$2466,'май 2025'!$D$5:$D$2466,$B51,'май 2025'!$J$5:$J$2466,V$1)</f>
        <v>0</v>
      </c>
      <c r="W51" s="182">
        <f>SUMIFS('май 2025'!$G$5:$G$2466,'май 2025'!$D$5:$D$2466,$B51,'май 2025'!$J$5:$J$2466,W$1)</f>
        <v>0</v>
      </c>
      <c r="X51" s="182">
        <f>SUMIFS('май 2025'!$G$5:$G$2466,'май 2025'!$D$5:$D$2466,$B51,'май 2025'!$J$5:$J$2466,X$1)</f>
        <v>0</v>
      </c>
      <c r="Y51" s="182">
        <f>SUMIFS('май 2025'!$G$5:$G$2466,'май 2025'!$D$5:$D$2466,$B51,'май 2025'!$J$5:$J$2466,Y$1)</f>
        <v>0</v>
      </c>
      <c r="Z51" s="182">
        <f>SUMIFS('май 2025'!$G$5:$G$2466,'май 2025'!$D$5:$D$2466,$B51,'май 2025'!$J$5:$J$2466,Z$1)</f>
        <v>0</v>
      </c>
      <c r="AA51" s="182">
        <f>SUMIFS('май 2025'!$G$5:$G$2466,'май 2025'!$D$5:$D$2466,$B51,'май 2025'!$J$5:$J$2466,AA$1)</f>
        <v>0</v>
      </c>
      <c r="AB51" s="182">
        <f>SUMIFS('май 2025'!$G$5:$G$2466,'май 2025'!$D$5:$D$2466,$B51,'май 2025'!$J$5:$J$2466,AB$1)</f>
        <v>0</v>
      </c>
      <c r="AC51" s="182">
        <f>SUMIFS('май 2025'!$G$5:$G$2466,'май 2025'!$D$5:$D$2466,$B51,'май 2025'!$J$5:$J$2466,AC$1)</f>
        <v>0</v>
      </c>
      <c r="AD51" s="182">
        <f>SUMIFS('май 2025'!$G$5:$G$2466,'май 2025'!$D$5:$D$2466,$B51,'май 2025'!$J$5:$J$2466,AD$1)</f>
        <v>0</v>
      </c>
      <c r="AE51" s="182">
        <f>SUMIFS('май 2025'!$G$5:$G$2466,'май 2025'!$D$5:$D$2466,$B51,'май 2025'!$J$5:$J$2466,AE$1)</f>
        <v>0</v>
      </c>
      <c r="AF51" s="182">
        <f>SUMIFS('май 2025'!$G$5:$G$2466,'май 2025'!$D$5:$D$2466,$B51,'май 2025'!$J$5:$J$2466,AF$1)</f>
        <v>0</v>
      </c>
      <c r="AG51" s="182">
        <f>SUMIFS('май 2025'!$G$5:$G$2466,'май 2025'!$D$5:$D$2466,$B51,'май 2025'!$J$5:$J$2466,AG$1)</f>
        <v>0</v>
      </c>
      <c r="AH51" s="182">
        <f>SUMIFS('май 2025'!$G$5:$G$2466,'май 2025'!$D$5:$D$2466,$B51,'май 2025'!$J$5:$J$2466,AH$1)</f>
        <v>0</v>
      </c>
      <c r="AI51" s="20">
        <f t="shared" si="1"/>
        <v>0</v>
      </c>
    </row>
    <row r="52" spans="2:35" ht="15" customHeight="1" x14ac:dyDescent="0.25">
      <c r="B52" s="131" t="s">
        <v>242</v>
      </c>
      <c r="C52" s="132">
        <v>20</v>
      </c>
      <c r="D52" s="182">
        <f>SUMIFS('май 2025'!$G$5:$G$2466,'май 2025'!$D$5:$D$2466,$B52,'май 2025'!$J$5:$J$2466,D$1)</f>
        <v>0</v>
      </c>
      <c r="E52" s="182">
        <f>SUMIFS('май 2025'!$G$5:$G$2466,'май 2025'!$D$5:$D$2466,$B52,'май 2025'!$J$5:$J$2466,E$1)</f>
        <v>0</v>
      </c>
      <c r="F52" s="182">
        <f>SUMIFS('май 2025'!$G$5:$G$2466,'май 2025'!$D$5:$D$2466,$B52,'май 2025'!$J$5:$J$2466,F$1)</f>
        <v>0</v>
      </c>
      <c r="G52" s="182">
        <f>SUMIFS('май 2025'!$G$5:$G$2466,'май 2025'!$D$5:$D$2466,$B52,'май 2025'!$J$5:$J$2466,G$1)</f>
        <v>0</v>
      </c>
      <c r="H52" s="182">
        <f>SUMIFS('май 2025'!$G$5:$G$2466,'май 2025'!$D$5:$D$2466,$B52,'май 2025'!$J$5:$J$2466,H$1)</f>
        <v>0</v>
      </c>
      <c r="I52" s="182">
        <f>SUMIFS('май 2025'!$G$5:$G$2466,'май 2025'!$D$5:$D$2466,$B52,'май 2025'!$J$5:$J$2466,I$1)</f>
        <v>0</v>
      </c>
      <c r="J52" s="182">
        <f>SUMIFS('май 2025'!$G$5:$G$2466,'май 2025'!$D$5:$D$2466,$B52,'май 2025'!$J$5:$J$2466,J$1)</f>
        <v>0</v>
      </c>
      <c r="K52" s="182">
        <f>SUMIFS('май 2025'!$G$5:$G$2466,'май 2025'!$D$5:$D$2466,$B52,'май 2025'!$J$5:$J$2466,K$1)</f>
        <v>0</v>
      </c>
      <c r="L52" s="182">
        <f>SUMIFS('май 2025'!$G$5:$G$2466,'май 2025'!$D$5:$D$2466,$B52,'май 2025'!$J$5:$J$2466,L$1)</f>
        <v>0</v>
      </c>
      <c r="M52" s="182">
        <f>SUMIFS('май 2025'!$G$5:$G$2466,'май 2025'!$D$5:$D$2466,$B52,'май 2025'!$J$5:$J$2466,M$1)</f>
        <v>0</v>
      </c>
      <c r="N52" s="182">
        <f>SUMIFS('май 2025'!$G$5:$G$2466,'май 2025'!$D$5:$D$2466,$B52,'май 2025'!$J$5:$J$2466,N$1)</f>
        <v>0</v>
      </c>
      <c r="O52" s="182">
        <f>SUMIFS('май 2025'!$G$5:$G$2466,'май 2025'!$D$5:$D$2466,$B52,'май 2025'!$J$5:$J$2466,O$1)</f>
        <v>0</v>
      </c>
      <c r="P52" s="182">
        <f>SUMIFS('май 2025'!$G$5:$G$2466,'май 2025'!$D$5:$D$2466,$B52,'май 2025'!$J$5:$J$2466,P$1)</f>
        <v>0</v>
      </c>
      <c r="Q52" s="182">
        <f>SUMIFS('май 2025'!$G$5:$G$2466,'май 2025'!$D$5:$D$2466,$B52,'май 2025'!$J$5:$J$2466,Q$1)</f>
        <v>0</v>
      </c>
      <c r="R52" s="182">
        <f>SUMIFS('май 2025'!$G$5:$G$2466,'май 2025'!$D$5:$D$2466,$B52,'май 2025'!$J$5:$J$2466,R$1)</f>
        <v>0</v>
      </c>
      <c r="S52" s="182">
        <f>SUMIFS('май 2025'!$G$5:$G$2466,'май 2025'!$D$5:$D$2466,$B52,'май 2025'!$J$5:$J$2466,S$1)</f>
        <v>0</v>
      </c>
      <c r="T52" s="182">
        <f>SUMIFS('май 2025'!$G$5:$G$2466,'май 2025'!$D$5:$D$2466,$B52,'май 2025'!$J$5:$J$2466,T$1)</f>
        <v>0</v>
      </c>
      <c r="U52" s="182">
        <f>SUMIFS('май 2025'!$G$5:$G$2466,'май 2025'!$D$5:$D$2466,$B52,'май 2025'!$J$5:$J$2466,U$1)</f>
        <v>0</v>
      </c>
      <c r="V52" s="182">
        <f>SUMIFS('май 2025'!$G$5:$G$2466,'май 2025'!$D$5:$D$2466,$B52,'май 2025'!$J$5:$J$2466,V$1)</f>
        <v>0</v>
      </c>
      <c r="W52" s="182">
        <f>SUMIFS('май 2025'!$G$5:$G$2466,'май 2025'!$D$5:$D$2466,$B52,'май 2025'!$J$5:$J$2466,W$1)</f>
        <v>0</v>
      </c>
      <c r="X52" s="182">
        <f>SUMIFS('май 2025'!$G$5:$G$2466,'май 2025'!$D$5:$D$2466,$B52,'май 2025'!$J$5:$J$2466,X$1)</f>
        <v>0</v>
      </c>
      <c r="Y52" s="182">
        <f>SUMIFS('май 2025'!$G$5:$G$2466,'май 2025'!$D$5:$D$2466,$B52,'май 2025'!$J$5:$J$2466,Y$1)</f>
        <v>0</v>
      </c>
      <c r="Z52" s="182">
        <f>SUMIFS('май 2025'!$G$5:$G$2466,'май 2025'!$D$5:$D$2466,$B52,'май 2025'!$J$5:$J$2466,Z$1)</f>
        <v>0</v>
      </c>
      <c r="AA52" s="182">
        <f>SUMIFS('май 2025'!$G$5:$G$2466,'май 2025'!$D$5:$D$2466,$B52,'май 2025'!$J$5:$J$2466,AA$1)</f>
        <v>0</v>
      </c>
      <c r="AB52" s="182">
        <f>SUMIFS('май 2025'!$G$5:$G$2466,'май 2025'!$D$5:$D$2466,$B52,'май 2025'!$J$5:$J$2466,AB$1)</f>
        <v>0</v>
      </c>
      <c r="AC52" s="182">
        <f>SUMIFS('май 2025'!$G$5:$G$2466,'май 2025'!$D$5:$D$2466,$B52,'май 2025'!$J$5:$J$2466,AC$1)</f>
        <v>0</v>
      </c>
      <c r="AD52" s="182">
        <f>SUMIFS('май 2025'!$G$5:$G$2466,'май 2025'!$D$5:$D$2466,$B52,'май 2025'!$J$5:$J$2466,AD$1)</f>
        <v>0</v>
      </c>
      <c r="AE52" s="182">
        <f>SUMIFS('май 2025'!$G$5:$G$2466,'май 2025'!$D$5:$D$2466,$B52,'май 2025'!$J$5:$J$2466,AE$1)</f>
        <v>0</v>
      </c>
      <c r="AF52" s="182">
        <f>SUMIFS('май 2025'!$G$5:$G$2466,'май 2025'!$D$5:$D$2466,$B52,'май 2025'!$J$5:$J$2466,AF$1)</f>
        <v>0</v>
      </c>
      <c r="AG52" s="182">
        <f>SUMIFS('май 2025'!$G$5:$G$2466,'май 2025'!$D$5:$D$2466,$B52,'май 2025'!$J$5:$J$2466,AG$1)</f>
        <v>0</v>
      </c>
      <c r="AH52" s="182">
        <f>SUMIFS('май 2025'!$G$5:$G$2466,'май 2025'!$D$5:$D$2466,$B52,'май 2025'!$J$5:$J$2466,AH$1)</f>
        <v>0</v>
      </c>
      <c r="AI52" s="20">
        <f t="shared" si="1"/>
        <v>0</v>
      </c>
    </row>
    <row r="53" spans="2:35" ht="15" customHeight="1" x14ac:dyDescent="0.25">
      <c r="B53" s="131" t="s">
        <v>244</v>
      </c>
      <c r="C53" s="132">
        <v>14</v>
      </c>
      <c r="D53" s="182">
        <f>SUMIFS('май 2025'!$G$5:$G$2466,'май 2025'!$D$5:$D$2466,$B53,'май 2025'!$J$5:$J$2466,D$1)</f>
        <v>0</v>
      </c>
      <c r="E53" s="182">
        <f>SUMIFS('май 2025'!$G$5:$G$2466,'май 2025'!$D$5:$D$2466,$B53,'май 2025'!$J$5:$J$2466,E$1)</f>
        <v>0</v>
      </c>
      <c r="F53" s="182">
        <f>SUMIFS('май 2025'!$G$5:$G$2466,'май 2025'!$D$5:$D$2466,$B53,'май 2025'!$J$5:$J$2466,F$1)</f>
        <v>0</v>
      </c>
      <c r="G53" s="182">
        <f>SUMIFS('май 2025'!$G$5:$G$2466,'май 2025'!$D$5:$D$2466,$B53,'май 2025'!$J$5:$J$2466,G$1)</f>
        <v>0</v>
      </c>
      <c r="H53" s="182">
        <f>SUMIFS('май 2025'!$G$5:$G$2466,'май 2025'!$D$5:$D$2466,$B53,'май 2025'!$J$5:$J$2466,H$1)</f>
        <v>0</v>
      </c>
      <c r="I53" s="182">
        <f>SUMIFS('май 2025'!$G$5:$G$2466,'май 2025'!$D$5:$D$2466,$B53,'май 2025'!$J$5:$J$2466,I$1)</f>
        <v>0</v>
      </c>
      <c r="J53" s="182">
        <f>SUMIFS('май 2025'!$G$5:$G$2466,'май 2025'!$D$5:$D$2466,$B53,'май 2025'!$J$5:$J$2466,J$1)</f>
        <v>0</v>
      </c>
      <c r="K53" s="182">
        <f>SUMIFS('май 2025'!$G$5:$G$2466,'май 2025'!$D$5:$D$2466,$B53,'май 2025'!$J$5:$J$2466,K$1)</f>
        <v>0</v>
      </c>
      <c r="L53" s="182">
        <f>SUMIFS('май 2025'!$G$5:$G$2466,'май 2025'!$D$5:$D$2466,$B53,'май 2025'!$J$5:$J$2466,L$1)</f>
        <v>0</v>
      </c>
      <c r="M53" s="182">
        <f>SUMIFS('май 2025'!$G$5:$G$2466,'май 2025'!$D$5:$D$2466,$B53,'май 2025'!$J$5:$J$2466,M$1)</f>
        <v>0</v>
      </c>
      <c r="N53" s="182">
        <f>SUMIFS('май 2025'!$G$5:$G$2466,'май 2025'!$D$5:$D$2466,$B53,'май 2025'!$J$5:$J$2466,N$1)</f>
        <v>0</v>
      </c>
      <c r="O53" s="182">
        <f>SUMIFS('май 2025'!$G$5:$G$2466,'май 2025'!$D$5:$D$2466,$B53,'май 2025'!$J$5:$J$2466,O$1)</f>
        <v>0</v>
      </c>
      <c r="P53" s="182">
        <f>SUMIFS('май 2025'!$G$5:$G$2466,'май 2025'!$D$5:$D$2466,$B53,'май 2025'!$J$5:$J$2466,P$1)</f>
        <v>0</v>
      </c>
      <c r="Q53" s="182">
        <f>SUMIFS('май 2025'!$G$5:$G$2466,'май 2025'!$D$5:$D$2466,$B53,'май 2025'!$J$5:$J$2466,Q$1)</f>
        <v>0</v>
      </c>
      <c r="R53" s="182">
        <f>SUMIFS('май 2025'!$G$5:$G$2466,'май 2025'!$D$5:$D$2466,$B53,'май 2025'!$J$5:$J$2466,R$1)</f>
        <v>0</v>
      </c>
      <c r="S53" s="182">
        <f>SUMIFS('май 2025'!$G$5:$G$2466,'май 2025'!$D$5:$D$2466,$B53,'май 2025'!$J$5:$J$2466,S$1)</f>
        <v>0</v>
      </c>
      <c r="T53" s="182">
        <f>SUMIFS('май 2025'!$G$5:$G$2466,'май 2025'!$D$5:$D$2466,$B53,'май 2025'!$J$5:$J$2466,T$1)</f>
        <v>0</v>
      </c>
      <c r="U53" s="182">
        <f>SUMIFS('май 2025'!$G$5:$G$2466,'май 2025'!$D$5:$D$2466,$B53,'май 2025'!$J$5:$J$2466,U$1)</f>
        <v>0</v>
      </c>
      <c r="V53" s="182">
        <f>SUMIFS('май 2025'!$G$5:$G$2466,'май 2025'!$D$5:$D$2466,$B53,'май 2025'!$J$5:$J$2466,V$1)</f>
        <v>0</v>
      </c>
      <c r="W53" s="182">
        <f>SUMIFS('май 2025'!$G$5:$G$2466,'май 2025'!$D$5:$D$2466,$B53,'май 2025'!$J$5:$J$2466,W$1)</f>
        <v>0</v>
      </c>
      <c r="X53" s="182">
        <f>SUMIFS('май 2025'!$G$5:$G$2466,'май 2025'!$D$5:$D$2466,$B53,'май 2025'!$J$5:$J$2466,X$1)</f>
        <v>0</v>
      </c>
      <c r="Y53" s="182">
        <f>SUMIFS('май 2025'!$G$5:$G$2466,'май 2025'!$D$5:$D$2466,$B53,'май 2025'!$J$5:$J$2466,Y$1)</f>
        <v>0</v>
      </c>
      <c r="Z53" s="182">
        <f>SUMIFS('май 2025'!$G$5:$G$2466,'май 2025'!$D$5:$D$2466,$B53,'май 2025'!$J$5:$J$2466,Z$1)</f>
        <v>0</v>
      </c>
      <c r="AA53" s="182">
        <f>SUMIFS('май 2025'!$G$5:$G$2466,'май 2025'!$D$5:$D$2466,$B53,'май 2025'!$J$5:$J$2466,AA$1)</f>
        <v>0</v>
      </c>
      <c r="AB53" s="182">
        <f>SUMIFS('май 2025'!$G$5:$G$2466,'май 2025'!$D$5:$D$2466,$B53,'май 2025'!$J$5:$J$2466,AB$1)</f>
        <v>0</v>
      </c>
      <c r="AC53" s="182">
        <f>SUMIFS('май 2025'!$G$5:$G$2466,'май 2025'!$D$5:$D$2466,$B53,'май 2025'!$J$5:$J$2466,AC$1)</f>
        <v>0</v>
      </c>
      <c r="AD53" s="182">
        <f>SUMIFS('май 2025'!$G$5:$G$2466,'май 2025'!$D$5:$D$2466,$B53,'май 2025'!$J$5:$J$2466,AD$1)</f>
        <v>0</v>
      </c>
      <c r="AE53" s="182">
        <f>SUMIFS('май 2025'!$G$5:$G$2466,'май 2025'!$D$5:$D$2466,$B53,'май 2025'!$J$5:$J$2466,AE$1)</f>
        <v>0</v>
      </c>
      <c r="AF53" s="182">
        <f>SUMIFS('май 2025'!$G$5:$G$2466,'май 2025'!$D$5:$D$2466,$B53,'май 2025'!$J$5:$J$2466,AF$1)</f>
        <v>0</v>
      </c>
      <c r="AG53" s="182">
        <f>SUMIFS('май 2025'!$G$5:$G$2466,'май 2025'!$D$5:$D$2466,$B53,'май 2025'!$J$5:$J$2466,AG$1)</f>
        <v>0</v>
      </c>
      <c r="AH53" s="182">
        <f>SUMIFS('май 2025'!$G$5:$G$2466,'май 2025'!$D$5:$D$2466,$B53,'май 2025'!$J$5:$J$2466,AH$1)</f>
        <v>0</v>
      </c>
      <c r="AI53" s="20">
        <f t="shared" si="1"/>
        <v>0</v>
      </c>
    </row>
    <row r="54" spans="2:35" ht="15" customHeight="1" x14ac:dyDescent="0.25">
      <c r="B54" s="131" t="s">
        <v>246</v>
      </c>
      <c r="C54" s="132">
        <v>25</v>
      </c>
      <c r="D54" s="182">
        <f>SUMIFS('май 2025'!$G$5:$G$2466,'май 2025'!$D$5:$D$2466,$B54,'май 2025'!$J$5:$J$2466,D$1)</f>
        <v>0</v>
      </c>
      <c r="E54" s="182">
        <f>SUMIFS('май 2025'!$G$5:$G$2466,'май 2025'!$D$5:$D$2466,$B54,'май 2025'!$J$5:$J$2466,E$1)</f>
        <v>0</v>
      </c>
      <c r="F54" s="182">
        <f>SUMIFS('май 2025'!$G$5:$G$2466,'май 2025'!$D$5:$D$2466,$B54,'май 2025'!$J$5:$J$2466,F$1)</f>
        <v>0</v>
      </c>
      <c r="G54" s="182">
        <f>SUMIFS('май 2025'!$G$5:$G$2466,'май 2025'!$D$5:$D$2466,$B54,'май 2025'!$J$5:$J$2466,G$1)</f>
        <v>0</v>
      </c>
      <c r="H54" s="182">
        <f>SUMIFS('май 2025'!$G$5:$G$2466,'май 2025'!$D$5:$D$2466,$B54,'май 2025'!$J$5:$J$2466,H$1)</f>
        <v>0</v>
      </c>
      <c r="I54" s="182">
        <f>SUMIFS('май 2025'!$G$5:$G$2466,'май 2025'!$D$5:$D$2466,$B54,'май 2025'!$J$5:$J$2466,I$1)</f>
        <v>0</v>
      </c>
      <c r="J54" s="182">
        <f>SUMIFS('май 2025'!$G$5:$G$2466,'май 2025'!$D$5:$D$2466,$B54,'май 2025'!$J$5:$J$2466,J$1)</f>
        <v>0</v>
      </c>
      <c r="K54" s="182">
        <f>SUMIFS('май 2025'!$G$5:$G$2466,'май 2025'!$D$5:$D$2466,$B54,'май 2025'!$J$5:$J$2466,K$1)</f>
        <v>0</v>
      </c>
      <c r="L54" s="182">
        <f>SUMIFS('май 2025'!$G$5:$G$2466,'май 2025'!$D$5:$D$2466,$B54,'май 2025'!$J$5:$J$2466,L$1)</f>
        <v>0</v>
      </c>
      <c r="M54" s="182">
        <f>SUMIFS('май 2025'!$G$5:$G$2466,'май 2025'!$D$5:$D$2466,$B54,'май 2025'!$J$5:$J$2466,M$1)</f>
        <v>0</v>
      </c>
      <c r="N54" s="182">
        <f>SUMIFS('май 2025'!$G$5:$G$2466,'май 2025'!$D$5:$D$2466,$B54,'май 2025'!$J$5:$J$2466,N$1)</f>
        <v>0</v>
      </c>
      <c r="O54" s="182">
        <f>SUMIFS('май 2025'!$G$5:$G$2466,'май 2025'!$D$5:$D$2466,$B54,'май 2025'!$J$5:$J$2466,O$1)</f>
        <v>0</v>
      </c>
      <c r="P54" s="182">
        <f>SUMIFS('май 2025'!$G$5:$G$2466,'май 2025'!$D$5:$D$2466,$B54,'май 2025'!$J$5:$J$2466,P$1)</f>
        <v>0</v>
      </c>
      <c r="Q54" s="182">
        <f>SUMIFS('май 2025'!$G$5:$G$2466,'май 2025'!$D$5:$D$2466,$B54,'май 2025'!$J$5:$J$2466,Q$1)</f>
        <v>0</v>
      </c>
      <c r="R54" s="182">
        <f>SUMIFS('май 2025'!$G$5:$G$2466,'май 2025'!$D$5:$D$2466,$B54,'май 2025'!$J$5:$J$2466,R$1)</f>
        <v>0</v>
      </c>
      <c r="S54" s="182">
        <f>SUMIFS('май 2025'!$G$5:$G$2466,'май 2025'!$D$5:$D$2466,$B54,'май 2025'!$J$5:$J$2466,S$1)</f>
        <v>0</v>
      </c>
      <c r="T54" s="182">
        <f>SUMIFS('май 2025'!$G$5:$G$2466,'май 2025'!$D$5:$D$2466,$B54,'май 2025'!$J$5:$J$2466,T$1)</f>
        <v>0</v>
      </c>
      <c r="U54" s="182">
        <f>SUMIFS('май 2025'!$G$5:$G$2466,'май 2025'!$D$5:$D$2466,$B54,'май 2025'!$J$5:$J$2466,U$1)</f>
        <v>0</v>
      </c>
      <c r="V54" s="182">
        <f>SUMIFS('май 2025'!$G$5:$G$2466,'май 2025'!$D$5:$D$2466,$B54,'май 2025'!$J$5:$J$2466,V$1)</f>
        <v>0</v>
      </c>
      <c r="W54" s="182">
        <f>SUMIFS('май 2025'!$G$5:$G$2466,'май 2025'!$D$5:$D$2466,$B54,'май 2025'!$J$5:$J$2466,W$1)</f>
        <v>0</v>
      </c>
      <c r="X54" s="182">
        <f>SUMIFS('май 2025'!$G$5:$G$2466,'май 2025'!$D$5:$D$2466,$B54,'май 2025'!$J$5:$J$2466,X$1)</f>
        <v>0</v>
      </c>
      <c r="Y54" s="182">
        <f>SUMIFS('май 2025'!$G$5:$G$2466,'май 2025'!$D$5:$D$2466,$B54,'май 2025'!$J$5:$J$2466,Y$1)</f>
        <v>0</v>
      </c>
      <c r="Z54" s="182">
        <f>SUMIFS('май 2025'!$G$5:$G$2466,'май 2025'!$D$5:$D$2466,$B54,'май 2025'!$J$5:$J$2466,Z$1)</f>
        <v>0</v>
      </c>
      <c r="AA54" s="182">
        <f>SUMIFS('май 2025'!$G$5:$G$2466,'май 2025'!$D$5:$D$2466,$B54,'май 2025'!$J$5:$J$2466,AA$1)</f>
        <v>0</v>
      </c>
      <c r="AB54" s="182">
        <f>SUMIFS('май 2025'!$G$5:$G$2466,'май 2025'!$D$5:$D$2466,$B54,'май 2025'!$J$5:$J$2466,AB$1)</f>
        <v>0</v>
      </c>
      <c r="AC54" s="182">
        <f>SUMIFS('май 2025'!$G$5:$G$2466,'май 2025'!$D$5:$D$2466,$B54,'май 2025'!$J$5:$J$2466,AC$1)</f>
        <v>0</v>
      </c>
      <c r="AD54" s="182">
        <f>SUMIFS('май 2025'!$G$5:$G$2466,'май 2025'!$D$5:$D$2466,$B54,'май 2025'!$J$5:$J$2466,AD$1)</f>
        <v>0</v>
      </c>
      <c r="AE54" s="182">
        <f>SUMIFS('май 2025'!$G$5:$G$2466,'май 2025'!$D$5:$D$2466,$B54,'май 2025'!$J$5:$J$2466,AE$1)</f>
        <v>0</v>
      </c>
      <c r="AF54" s="182">
        <f>SUMIFS('май 2025'!$G$5:$G$2466,'май 2025'!$D$5:$D$2466,$B54,'май 2025'!$J$5:$J$2466,AF$1)</f>
        <v>0</v>
      </c>
      <c r="AG54" s="182">
        <f>SUMIFS('май 2025'!$G$5:$G$2466,'май 2025'!$D$5:$D$2466,$B54,'май 2025'!$J$5:$J$2466,AG$1)</f>
        <v>0</v>
      </c>
      <c r="AH54" s="182">
        <f>SUMIFS('май 2025'!$G$5:$G$2466,'май 2025'!$D$5:$D$2466,$B54,'май 2025'!$J$5:$J$2466,AH$1)</f>
        <v>0</v>
      </c>
      <c r="AI54" s="20">
        <f t="shared" si="1"/>
        <v>0</v>
      </c>
    </row>
    <row r="55" spans="2:35" ht="15" customHeight="1" x14ac:dyDescent="0.25">
      <c r="B55" s="131" t="s">
        <v>252</v>
      </c>
      <c r="C55" s="132">
        <v>20</v>
      </c>
      <c r="D55" s="182">
        <f>SUMIFS('май 2025'!$G$5:$G$2466,'май 2025'!$D$5:$D$2466,$B55,'май 2025'!$J$5:$J$2466,D$1)</f>
        <v>0</v>
      </c>
      <c r="E55" s="182">
        <f>SUMIFS('май 2025'!$G$5:$G$2466,'май 2025'!$D$5:$D$2466,$B55,'май 2025'!$J$5:$J$2466,E$1)</f>
        <v>0</v>
      </c>
      <c r="F55" s="182">
        <f>SUMIFS('май 2025'!$G$5:$G$2466,'май 2025'!$D$5:$D$2466,$B55,'май 2025'!$J$5:$J$2466,F$1)</f>
        <v>0</v>
      </c>
      <c r="G55" s="182">
        <f>SUMIFS('май 2025'!$G$5:$G$2466,'май 2025'!$D$5:$D$2466,$B55,'май 2025'!$J$5:$J$2466,G$1)</f>
        <v>0</v>
      </c>
      <c r="H55" s="182">
        <f>SUMIFS('май 2025'!$G$5:$G$2466,'май 2025'!$D$5:$D$2466,$B55,'май 2025'!$J$5:$J$2466,H$1)</f>
        <v>0</v>
      </c>
      <c r="I55" s="182">
        <f>SUMIFS('май 2025'!$G$5:$G$2466,'май 2025'!$D$5:$D$2466,$B55,'май 2025'!$J$5:$J$2466,I$1)</f>
        <v>0</v>
      </c>
      <c r="J55" s="182">
        <f>SUMIFS('май 2025'!$G$5:$G$2466,'май 2025'!$D$5:$D$2466,$B55,'май 2025'!$J$5:$J$2466,J$1)</f>
        <v>0</v>
      </c>
      <c r="K55" s="182">
        <f>SUMIFS('май 2025'!$G$5:$G$2466,'май 2025'!$D$5:$D$2466,$B55,'май 2025'!$J$5:$J$2466,K$1)</f>
        <v>0</v>
      </c>
      <c r="L55" s="182">
        <f>SUMIFS('май 2025'!$G$5:$G$2466,'май 2025'!$D$5:$D$2466,$B55,'май 2025'!$J$5:$J$2466,L$1)</f>
        <v>0</v>
      </c>
      <c r="M55" s="182">
        <f>SUMIFS('май 2025'!$G$5:$G$2466,'май 2025'!$D$5:$D$2466,$B55,'май 2025'!$J$5:$J$2466,M$1)</f>
        <v>0</v>
      </c>
      <c r="N55" s="182">
        <f>SUMIFS('май 2025'!$G$5:$G$2466,'май 2025'!$D$5:$D$2466,$B55,'май 2025'!$J$5:$J$2466,N$1)</f>
        <v>0</v>
      </c>
      <c r="O55" s="182">
        <f>SUMIFS('май 2025'!$G$5:$G$2466,'май 2025'!$D$5:$D$2466,$B55,'май 2025'!$J$5:$J$2466,O$1)</f>
        <v>0</v>
      </c>
      <c r="P55" s="182">
        <f>SUMIFS('май 2025'!$G$5:$G$2466,'май 2025'!$D$5:$D$2466,$B55,'май 2025'!$J$5:$J$2466,P$1)</f>
        <v>0</v>
      </c>
      <c r="Q55" s="182">
        <f>SUMIFS('май 2025'!$G$5:$G$2466,'май 2025'!$D$5:$D$2466,$B55,'май 2025'!$J$5:$J$2466,Q$1)</f>
        <v>0</v>
      </c>
      <c r="R55" s="182">
        <f>SUMIFS('май 2025'!$G$5:$G$2466,'май 2025'!$D$5:$D$2466,$B55,'май 2025'!$J$5:$J$2466,R$1)</f>
        <v>0</v>
      </c>
      <c r="S55" s="182">
        <f>SUMIFS('май 2025'!$G$5:$G$2466,'май 2025'!$D$5:$D$2466,$B55,'май 2025'!$J$5:$J$2466,S$1)</f>
        <v>0</v>
      </c>
      <c r="T55" s="182">
        <f>SUMIFS('май 2025'!$G$5:$G$2466,'май 2025'!$D$5:$D$2466,$B55,'май 2025'!$J$5:$J$2466,T$1)</f>
        <v>0</v>
      </c>
      <c r="U55" s="182">
        <f>SUMIFS('май 2025'!$G$5:$G$2466,'май 2025'!$D$5:$D$2466,$B55,'май 2025'!$J$5:$J$2466,U$1)</f>
        <v>0</v>
      </c>
      <c r="V55" s="182">
        <f>SUMIFS('май 2025'!$G$5:$G$2466,'май 2025'!$D$5:$D$2466,$B55,'май 2025'!$J$5:$J$2466,V$1)</f>
        <v>0</v>
      </c>
      <c r="W55" s="182">
        <f>SUMIFS('май 2025'!$G$5:$G$2466,'май 2025'!$D$5:$D$2466,$B55,'май 2025'!$J$5:$J$2466,W$1)</f>
        <v>0</v>
      </c>
      <c r="X55" s="182">
        <f>SUMIFS('май 2025'!$G$5:$G$2466,'май 2025'!$D$5:$D$2466,$B55,'май 2025'!$J$5:$J$2466,X$1)</f>
        <v>0</v>
      </c>
      <c r="Y55" s="182">
        <f>SUMIFS('май 2025'!$G$5:$G$2466,'май 2025'!$D$5:$D$2466,$B55,'май 2025'!$J$5:$J$2466,Y$1)</f>
        <v>0</v>
      </c>
      <c r="Z55" s="182">
        <f>SUMIFS('май 2025'!$G$5:$G$2466,'май 2025'!$D$5:$D$2466,$B55,'май 2025'!$J$5:$J$2466,Z$1)</f>
        <v>0</v>
      </c>
      <c r="AA55" s="182">
        <f>SUMIFS('май 2025'!$G$5:$G$2466,'май 2025'!$D$5:$D$2466,$B55,'май 2025'!$J$5:$J$2466,AA$1)</f>
        <v>0</v>
      </c>
      <c r="AB55" s="182">
        <f>SUMIFS('май 2025'!$G$5:$G$2466,'май 2025'!$D$5:$D$2466,$B55,'май 2025'!$J$5:$J$2466,AB$1)</f>
        <v>0</v>
      </c>
      <c r="AC55" s="182">
        <f>SUMIFS('май 2025'!$G$5:$G$2466,'май 2025'!$D$5:$D$2466,$B55,'май 2025'!$J$5:$J$2466,AC$1)</f>
        <v>0</v>
      </c>
      <c r="AD55" s="182">
        <f>SUMIFS('май 2025'!$G$5:$G$2466,'май 2025'!$D$5:$D$2466,$B55,'май 2025'!$J$5:$J$2466,AD$1)</f>
        <v>0</v>
      </c>
      <c r="AE55" s="182">
        <f>SUMIFS('май 2025'!$G$5:$G$2466,'май 2025'!$D$5:$D$2466,$B55,'май 2025'!$J$5:$J$2466,AE$1)</f>
        <v>0</v>
      </c>
      <c r="AF55" s="182">
        <f>SUMIFS('май 2025'!$G$5:$G$2466,'май 2025'!$D$5:$D$2466,$B55,'май 2025'!$J$5:$J$2466,AF$1)</f>
        <v>0</v>
      </c>
      <c r="AG55" s="182">
        <f>SUMIFS('май 2025'!$G$5:$G$2466,'май 2025'!$D$5:$D$2466,$B55,'май 2025'!$J$5:$J$2466,AG$1)</f>
        <v>0</v>
      </c>
      <c r="AH55" s="182">
        <f>SUMIFS('май 2025'!$G$5:$G$2466,'май 2025'!$D$5:$D$2466,$B55,'май 2025'!$J$5:$J$2466,AH$1)</f>
        <v>0</v>
      </c>
      <c r="AI55" s="20">
        <f t="shared" si="1"/>
        <v>0</v>
      </c>
    </row>
    <row r="56" spans="2:35" ht="15" customHeight="1" x14ac:dyDescent="0.25">
      <c r="B56" s="131" t="s">
        <v>1156</v>
      </c>
      <c r="C56" s="132">
        <v>20</v>
      </c>
      <c r="D56" s="182">
        <f>SUMIFS('май 2025'!$G$5:$G$2466,'май 2025'!$D$5:$D$2466,$B56,'май 2025'!$J$5:$J$2466,D$1)</f>
        <v>0</v>
      </c>
      <c r="E56" s="182">
        <f>SUMIFS('май 2025'!$G$5:$G$2466,'май 2025'!$D$5:$D$2466,$B56,'май 2025'!$J$5:$J$2466,E$1)</f>
        <v>0</v>
      </c>
      <c r="F56" s="182">
        <f>SUMIFS('май 2025'!$G$5:$G$2466,'май 2025'!$D$5:$D$2466,$B56,'май 2025'!$J$5:$J$2466,F$1)</f>
        <v>0</v>
      </c>
      <c r="G56" s="182">
        <f>SUMIFS('май 2025'!$G$5:$G$2466,'май 2025'!$D$5:$D$2466,$B56,'май 2025'!$J$5:$J$2466,G$1)</f>
        <v>0</v>
      </c>
      <c r="H56" s="182">
        <f>SUMIFS('май 2025'!$G$5:$G$2466,'май 2025'!$D$5:$D$2466,$B56,'май 2025'!$J$5:$J$2466,H$1)</f>
        <v>0</v>
      </c>
      <c r="I56" s="182">
        <f>SUMIFS('май 2025'!$G$5:$G$2466,'май 2025'!$D$5:$D$2466,$B56,'май 2025'!$J$5:$J$2466,I$1)</f>
        <v>0</v>
      </c>
      <c r="J56" s="182">
        <f>SUMIFS('май 2025'!$G$5:$G$2466,'май 2025'!$D$5:$D$2466,$B56,'май 2025'!$J$5:$J$2466,J$1)</f>
        <v>0</v>
      </c>
      <c r="K56" s="182">
        <f>SUMIFS('май 2025'!$G$5:$G$2466,'май 2025'!$D$5:$D$2466,$B56,'май 2025'!$J$5:$J$2466,K$1)</f>
        <v>0</v>
      </c>
      <c r="L56" s="182">
        <f>SUMIFS('май 2025'!$G$5:$G$2466,'май 2025'!$D$5:$D$2466,$B56,'май 2025'!$J$5:$J$2466,L$1)</f>
        <v>0</v>
      </c>
      <c r="M56" s="182">
        <f>SUMIFS('май 2025'!$G$5:$G$2466,'май 2025'!$D$5:$D$2466,$B56,'май 2025'!$J$5:$J$2466,M$1)</f>
        <v>0</v>
      </c>
      <c r="N56" s="182">
        <f>SUMIFS('май 2025'!$G$5:$G$2466,'май 2025'!$D$5:$D$2466,$B56,'май 2025'!$J$5:$J$2466,N$1)</f>
        <v>0</v>
      </c>
      <c r="O56" s="182">
        <f>SUMIFS('май 2025'!$G$5:$G$2466,'май 2025'!$D$5:$D$2466,$B56,'май 2025'!$J$5:$J$2466,O$1)</f>
        <v>0</v>
      </c>
      <c r="P56" s="182">
        <f>SUMIFS('май 2025'!$G$5:$G$2466,'май 2025'!$D$5:$D$2466,$B56,'май 2025'!$J$5:$J$2466,P$1)</f>
        <v>0</v>
      </c>
      <c r="Q56" s="182">
        <f>SUMIFS('май 2025'!$G$5:$G$2466,'май 2025'!$D$5:$D$2466,$B56,'май 2025'!$J$5:$J$2466,Q$1)</f>
        <v>0</v>
      </c>
      <c r="R56" s="182">
        <f>SUMIFS('май 2025'!$G$5:$G$2466,'май 2025'!$D$5:$D$2466,$B56,'май 2025'!$J$5:$J$2466,R$1)</f>
        <v>0</v>
      </c>
      <c r="S56" s="182">
        <f>SUMIFS('май 2025'!$G$5:$G$2466,'май 2025'!$D$5:$D$2466,$B56,'май 2025'!$J$5:$J$2466,S$1)</f>
        <v>0</v>
      </c>
      <c r="T56" s="182">
        <f>SUMIFS('май 2025'!$G$5:$G$2466,'май 2025'!$D$5:$D$2466,$B56,'май 2025'!$J$5:$J$2466,T$1)</f>
        <v>0</v>
      </c>
      <c r="U56" s="182">
        <f>SUMIFS('май 2025'!$G$5:$G$2466,'май 2025'!$D$5:$D$2466,$B56,'май 2025'!$J$5:$J$2466,U$1)</f>
        <v>0</v>
      </c>
      <c r="V56" s="182">
        <f>SUMIFS('май 2025'!$G$5:$G$2466,'май 2025'!$D$5:$D$2466,$B56,'май 2025'!$J$5:$J$2466,V$1)</f>
        <v>0</v>
      </c>
      <c r="W56" s="182">
        <f>SUMIFS('май 2025'!$G$5:$G$2466,'май 2025'!$D$5:$D$2466,$B56,'май 2025'!$J$5:$J$2466,W$1)</f>
        <v>0</v>
      </c>
      <c r="X56" s="182">
        <f>SUMIFS('май 2025'!$G$5:$G$2466,'май 2025'!$D$5:$D$2466,$B56,'май 2025'!$J$5:$J$2466,X$1)</f>
        <v>0</v>
      </c>
      <c r="Y56" s="182">
        <f>SUMIFS('май 2025'!$G$5:$G$2466,'май 2025'!$D$5:$D$2466,$B56,'май 2025'!$J$5:$J$2466,Y$1)</f>
        <v>0</v>
      </c>
      <c r="Z56" s="182">
        <f>SUMIFS('май 2025'!$G$5:$G$2466,'май 2025'!$D$5:$D$2466,$B56,'май 2025'!$J$5:$J$2466,Z$1)</f>
        <v>0</v>
      </c>
      <c r="AA56" s="182">
        <f>SUMIFS('май 2025'!$G$5:$G$2466,'май 2025'!$D$5:$D$2466,$B56,'май 2025'!$J$5:$J$2466,AA$1)</f>
        <v>0</v>
      </c>
      <c r="AB56" s="182">
        <f>SUMIFS('май 2025'!$G$5:$G$2466,'май 2025'!$D$5:$D$2466,$B56,'май 2025'!$J$5:$J$2466,AB$1)</f>
        <v>0</v>
      </c>
      <c r="AC56" s="182">
        <f>SUMIFS('май 2025'!$G$5:$G$2466,'май 2025'!$D$5:$D$2466,$B56,'май 2025'!$J$5:$J$2466,AC$1)</f>
        <v>0</v>
      </c>
      <c r="AD56" s="182">
        <f>SUMIFS('май 2025'!$G$5:$G$2466,'май 2025'!$D$5:$D$2466,$B56,'май 2025'!$J$5:$J$2466,AD$1)</f>
        <v>0</v>
      </c>
      <c r="AE56" s="182">
        <f>SUMIFS('май 2025'!$G$5:$G$2466,'май 2025'!$D$5:$D$2466,$B56,'май 2025'!$J$5:$J$2466,AE$1)</f>
        <v>0</v>
      </c>
      <c r="AF56" s="182">
        <f>SUMIFS('май 2025'!$G$5:$G$2466,'май 2025'!$D$5:$D$2466,$B56,'май 2025'!$J$5:$J$2466,AF$1)</f>
        <v>0</v>
      </c>
      <c r="AG56" s="182">
        <f>SUMIFS('май 2025'!$G$5:$G$2466,'май 2025'!$D$5:$D$2466,$B56,'май 2025'!$J$5:$J$2466,AG$1)</f>
        <v>0</v>
      </c>
      <c r="AH56" s="182">
        <f>SUMIFS('май 2025'!$G$5:$G$2466,'май 2025'!$D$5:$D$2466,$B56,'май 2025'!$J$5:$J$2466,AH$1)</f>
        <v>0</v>
      </c>
      <c r="AI56" s="20">
        <f t="shared" si="1"/>
        <v>0</v>
      </c>
    </row>
    <row r="57" spans="2:35" ht="15" customHeight="1" x14ac:dyDescent="0.25">
      <c r="B57" s="127" t="s">
        <v>253</v>
      </c>
      <c r="C57" s="132">
        <v>20</v>
      </c>
      <c r="D57" s="182">
        <f>SUMIFS('май 2025'!$G$5:$G$2466,'май 2025'!$D$5:$D$2466,$B57,'май 2025'!$J$5:$J$2466,D$1)</f>
        <v>0</v>
      </c>
      <c r="E57" s="182">
        <f>SUMIFS('май 2025'!$G$5:$G$2466,'май 2025'!$D$5:$D$2466,$B57,'май 2025'!$J$5:$J$2466,E$1)</f>
        <v>0</v>
      </c>
      <c r="F57" s="182">
        <f>SUMIFS('май 2025'!$G$5:$G$2466,'май 2025'!$D$5:$D$2466,$B57,'май 2025'!$J$5:$J$2466,F$1)</f>
        <v>0</v>
      </c>
      <c r="G57" s="182">
        <f>SUMIFS('май 2025'!$G$5:$G$2466,'май 2025'!$D$5:$D$2466,$B57,'май 2025'!$J$5:$J$2466,G$1)</f>
        <v>0</v>
      </c>
      <c r="H57" s="182">
        <f>SUMIFS('май 2025'!$G$5:$G$2466,'май 2025'!$D$5:$D$2466,$B57,'май 2025'!$J$5:$J$2466,H$1)</f>
        <v>0</v>
      </c>
      <c r="I57" s="182">
        <f>SUMIFS('май 2025'!$G$5:$G$2466,'май 2025'!$D$5:$D$2466,$B57,'май 2025'!$J$5:$J$2466,I$1)</f>
        <v>0</v>
      </c>
      <c r="J57" s="182">
        <f>SUMIFS('май 2025'!$G$5:$G$2466,'май 2025'!$D$5:$D$2466,$B57,'май 2025'!$J$5:$J$2466,J$1)</f>
        <v>0</v>
      </c>
      <c r="K57" s="182">
        <f>SUMIFS('май 2025'!$G$5:$G$2466,'май 2025'!$D$5:$D$2466,$B57,'май 2025'!$J$5:$J$2466,K$1)</f>
        <v>0</v>
      </c>
      <c r="L57" s="182">
        <f>SUMIFS('май 2025'!$G$5:$G$2466,'май 2025'!$D$5:$D$2466,$B57,'май 2025'!$J$5:$J$2466,L$1)</f>
        <v>0</v>
      </c>
      <c r="M57" s="182">
        <f>SUMIFS('май 2025'!$G$5:$G$2466,'май 2025'!$D$5:$D$2466,$B57,'май 2025'!$J$5:$J$2466,M$1)</f>
        <v>0</v>
      </c>
      <c r="N57" s="182">
        <f>SUMIFS('май 2025'!$G$5:$G$2466,'май 2025'!$D$5:$D$2466,$B57,'май 2025'!$J$5:$J$2466,N$1)</f>
        <v>0</v>
      </c>
      <c r="O57" s="182">
        <f>SUMIFS('май 2025'!$G$5:$G$2466,'май 2025'!$D$5:$D$2466,$B57,'май 2025'!$J$5:$J$2466,O$1)</f>
        <v>0</v>
      </c>
      <c r="P57" s="182">
        <f>SUMIFS('май 2025'!$G$5:$G$2466,'май 2025'!$D$5:$D$2466,$B57,'май 2025'!$J$5:$J$2466,P$1)</f>
        <v>0</v>
      </c>
      <c r="Q57" s="182">
        <f>SUMIFS('май 2025'!$G$5:$G$2466,'май 2025'!$D$5:$D$2466,$B57,'май 2025'!$J$5:$J$2466,Q$1)</f>
        <v>0</v>
      </c>
      <c r="R57" s="182">
        <f>SUMIFS('май 2025'!$G$5:$G$2466,'май 2025'!$D$5:$D$2466,$B57,'май 2025'!$J$5:$J$2466,R$1)</f>
        <v>0</v>
      </c>
      <c r="S57" s="182">
        <f>SUMIFS('май 2025'!$G$5:$G$2466,'май 2025'!$D$5:$D$2466,$B57,'май 2025'!$J$5:$J$2466,S$1)</f>
        <v>0</v>
      </c>
      <c r="T57" s="182">
        <f>SUMIFS('май 2025'!$G$5:$G$2466,'май 2025'!$D$5:$D$2466,$B57,'май 2025'!$J$5:$J$2466,T$1)</f>
        <v>0</v>
      </c>
      <c r="U57" s="182">
        <f>SUMIFS('май 2025'!$G$5:$G$2466,'май 2025'!$D$5:$D$2466,$B57,'май 2025'!$J$5:$J$2466,U$1)</f>
        <v>0</v>
      </c>
      <c r="V57" s="182">
        <f>SUMIFS('май 2025'!$G$5:$G$2466,'май 2025'!$D$5:$D$2466,$B57,'май 2025'!$J$5:$J$2466,V$1)</f>
        <v>0</v>
      </c>
      <c r="W57" s="182">
        <f>SUMIFS('май 2025'!$G$5:$G$2466,'май 2025'!$D$5:$D$2466,$B57,'май 2025'!$J$5:$J$2466,W$1)</f>
        <v>0</v>
      </c>
      <c r="X57" s="182">
        <f>SUMIFS('май 2025'!$G$5:$G$2466,'май 2025'!$D$5:$D$2466,$B57,'май 2025'!$J$5:$J$2466,X$1)</f>
        <v>0</v>
      </c>
      <c r="Y57" s="182">
        <f>SUMIFS('май 2025'!$G$5:$G$2466,'май 2025'!$D$5:$D$2466,$B57,'май 2025'!$J$5:$J$2466,Y$1)</f>
        <v>0</v>
      </c>
      <c r="Z57" s="182">
        <f>SUMIFS('май 2025'!$G$5:$G$2466,'май 2025'!$D$5:$D$2466,$B57,'май 2025'!$J$5:$J$2466,Z$1)</f>
        <v>0</v>
      </c>
      <c r="AA57" s="182">
        <f>SUMIFS('май 2025'!$G$5:$G$2466,'май 2025'!$D$5:$D$2466,$B57,'май 2025'!$J$5:$J$2466,AA$1)</f>
        <v>0</v>
      </c>
      <c r="AB57" s="182">
        <f>SUMIFS('май 2025'!$G$5:$G$2466,'май 2025'!$D$5:$D$2466,$B57,'май 2025'!$J$5:$J$2466,AB$1)</f>
        <v>0</v>
      </c>
      <c r="AC57" s="182">
        <f>SUMIFS('май 2025'!$G$5:$G$2466,'май 2025'!$D$5:$D$2466,$B57,'май 2025'!$J$5:$J$2466,AC$1)</f>
        <v>0</v>
      </c>
      <c r="AD57" s="182">
        <f>SUMIFS('май 2025'!$G$5:$G$2466,'май 2025'!$D$5:$D$2466,$B57,'май 2025'!$J$5:$J$2466,AD$1)</f>
        <v>0</v>
      </c>
      <c r="AE57" s="182">
        <f>SUMIFS('май 2025'!$G$5:$G$2466,'май 2025'!$D$5:$D$2466,$B57,'май 2025'!$J$5:$J$2466,AE$1)</f>
        <v>0</v>
      </c>
      <c r="AF57" s="182">
        <f>SUMIFS('май 2025'!$G$5:$G$2466,'май 2025'!$D$5:$D$2466,$B57,'май 2025'!$J$5:$J$2466,AF$1)</f>
        <v>0</v>
      </c>
      <c r="AG57" s="182">
        <f>SUMIFS('май 2025'!$G$5:$G$2466,'май 2025'!$D$5:$D$2466,$B57,'май 2025'!$J$5:$J$2466,AG$1)</f>
        <v>0</v>
      </c>
      <c r="AH57" s="182">
        <f>SUMIFS('май 2025'!$G$5:$G$2466,'май 2025'!$D$5:$D$2466,$B57,'май 2025'!$J$5:$J$2466,AH$1)</f>
        <v>0</v>
      </c>
      <c r="AI57" s="20">
        <f t="shared" si="1"/>
        <v>0</v>
      </c>
    </row>
    <row r="58" spans="2:35" ht="15" customHeight="1" x14ac:dyDescent="0.25">
      <c r="B58" s="131" t="s">
        <v>254</v>
      </c>
      <c r="C58" s="132">
        <v>20</v>
      </c>
      <c r="D58" s="182">
        <f>SUMIFS('май 2025'!$G$5:$G$2466,'май 2025'!$D$5:$D$2466,$B58,'май 2025'!$J$5:$J$2466,D$1)</f>
        <v>0</v>
      </c>
      <c r="E58" s="182">
        <f>SUMIFS('май 2025'!$G$5:$G$2466,'май 2025'!$D$5:$D$2466,$B58,'май 2025'!$J$5:$J$2466,E$1)</f>
        <v>0</v>
      </c>
      <c r="F58" s="182">
        <f>SUMIFS('май 2025'!$G$5:$G$2466,'май 2025'!$D$5:$D$2466,$B58,'май 2025'!$J$5:$J$2466,F$1)</f>
        <v>0</v>
      </c>
      <c r="G58" s="182">
        <f>SUMIFS('май 2025'!$G$5:$G$2466,'май 2025'!$D$5:$D$2466,$B58,'май 2025'!$J$5:$J$2466,G$1)</f>
        <v>0</v>
      </c>
      <c r="H58" s="182">
        <f>SUMIFS('май 2025'!$G$5:$G$2466,'май 2025'!$D$5:$D$2466,$B58,'май 2025'!$J$5:$J$2466,H$1)</f>
        <v>0</v>
      </c>
      <c r="I58" s="182">
        <f>SUMIFS('май 2025'!$G$5:$G$2466,'май 2025'!$D$5:$D$2466,$B58,'май 2025'!$J$5:$J$2466,I$1)</f>
        <v>0</v>
      </c>
      <c r="J58" s="182">
        <f>SUMIFS('май 2025'!$G$5:$G$2466,'май 2025'!$D$5:$D$2466,$B58,'май 2025'!$J$5:$J$2466,J$1)</f>
        <v>0</v>
      </c>
      <c r="K58" s="182">
        <f>SUMIFS('май 2025'!$G$5:$G$2466,'май 2025'!$D$5:$D$2466,$B58,'май 2025'!$J$5:$J$2466,K$1)</f>
        <v>0</v>
      </c>
      <c r="L58" s="182">
        <f>SUMIFS('май 2025'!$G$5:$G$2466,'май 2025'!$D$5:$D$2466,$B58,'май 2025'!$J$5:$J$2466,L$1)</f>
        <v>0</v>
      </c>
      <c r="M58" s="182">
        <f>SUMIFS('май 2025'!$G$5:$G$2466,'май 2025'!$D$5:$D$2466,$B58,'май 2025'!$J$5:$J$2466,M$1)</f>
        <v>0</v>
      </c>
      <c r="N58" s="182">
        <f>SUMIFS('май 2025'!$G$5:$G$2466,'май 2025'!$D$5:$D$2466,$B58,'май 2025'!$J$5:$J$2466,N$1)</f>
        <v>0</v>
      </c>
      <c r="O58" s="182">
        <f>SUMIFS('май 2025'!$G$5:$G$2466,'май 2025'!$D$5:$D$2466,$B58,'май 2025'!$J$5:$J$2466,O$1)</f>
        <v>0</v>
      </c>
      <c r="P58" s="182">
        <f>SUMIFS('май 2025'!$G$5:$G$2466,'май 2025'!$D$5:$D$2466,$B58,'май 2025'!$J$5:$J$2466,P$1)</f>
        <v>0</v>
      </c>
      <c r="Q58" s="182">
        <f>SUMIFS('май 2025'!$G$5:$G$2466,'май 2025'!$D$5:$D$2466,$B58,'май 2025'!$J$5:$J$2466,Q$1)</f>
        <v>0</v>
      </c>
      <c r="R58" s="182">
        <f>SUMIFS('май 2025'!$G$5:$G$2466,'май 2025'!$D$5:$D$2466,$B58,'май 2025'!$J$5:$J$2466,R$1)</f>
        <v>0</v>
      </c>
      <c r="S58" s="182">
        <f>SUMIFS('май 2025'!$G$5:$G$2466,'май 2025'!$D$5:$D$2466,$B58,'май 2025'!$J$5:$J$2466,S$1)</f>
        <v>0</v>
      </c>
      <c r="T58" s="182">
        <f>SUMIFS('май 2025'!$G$5:$G$2466,'май 2025'!$D$5:$D$2466,$B58,'май 2025'!$J$5:$J$2466,T$1)</f>
        <v>0</v>
      </c>
      <c r="U58" s="182">
        <f>SUMIFS('май 2025'!$G$5:$G$2466,'май 2025'!$D$5:$D$2466,$B58,'май 2025'!$J$5:$J$2466,U$1)</f>
        <v>0</v>
      </c>
      <c r="V58" s="182">
        <f>SUMIFS('май 2025'!$G$5:$G$2466,'май 2025'!$D$5:$D$2466,$B58,'май 2025'!$J$5:$J$2466,V$1)</f>
        <v>0</v>
      </c>
      <c r="W58" s="182">
        <f>SUMIFS('май 2025'!$G$5:$G$2466,'май 2025'!$D$5:$D$2466,$B58,'май 2025'!$J$5:$J$2466,W$1)</f>
        <v>0</v>
      </c>
      <c r="X58" s="182">
        <f>SUMIFS('май 2025'!$G$5:$G$2466,'май 2025'!$D$5:$D$2466,$B58,'май 2025'!$J$5:$J$2466,X$1)</f>
        <v>0</v>
      </c>
      <c r="Y58" s="182">
        <f>SUMIFS('май 2025'!$G$5:$G$2466,'май 2025'!$D$5:$D$2466,$B58,'май 2025'!$J$5:$J$2466,Y$1)</f>
        <v>0</v>
      </c>
      <c r="Z58" s="182">
        <f>SUMIFS('май 2025'!$G$5:$G$2466,'май 2025'!$D$5:$D$2466,$B58,'май 2025'!$J$5:$J$2466,Z$1)</f>
        <v>0</v>
      </c>
      <c r="AA58" s="182">
        <f>SUMIFS('май 2025'!$G$5:$G$2466,'май 2025'!$D$5:$D$2466,$B58,'май 2025'!$J$5:$J$2466,AA$1)</f>
        <v>0</v>
      </c>
      <c r="AB58" s="182">
        <f>SUMIFS('май 2025'!$G$5:$G$2466,'май 2025'!$D$5:$D$2466,$B58,'май 2025'!$J$5:$J$2466,AB$1)</f>
        <v>0</v>
      </c>
      <c r="AC58" s="182">
        <f>SUMIFS('май 2025'!$G$5:$G$2466,'май 2025'!$D$5:$D$2466,$B58,'май 2025'!$J$5:$J$2466,AC$1)</f>
        <v>0</v>
      </c>
      <c r="AD58" s="182">
        <f>SUMIFS('май 2025'!$G$5:$G$2466,'май 2025'!$D$5:$D$2466,$B58,'май 2025'!$J$5:$J$2466,AD$1)</f>
        <v>0</v>
      </c>
      <c r="AE58" s="182">
        <f>SUMIFS('май 2025'!$G$5:$G$2466,'май 2025'!$D$5:$D$2466,$B58,'май 2025'!$J$5:$J$2466,AE$1)</f>
        <v>0</v>
      </c>
      <c r="AF58" s="182">
        <f>SUMIFS('май 2025'!$G$5:$G$2466,'май 2025'!$D$5:$D$2466,$B58,'май 2025'!$J$5:$J$2466,AF$1)</f>
        <v>0</v>
      </c>
      <c r="AG58" s="182">
        <f>SUMIFS('май 2025'!$G$5:$G$2466,'май 2025'!$D$5:$D$2466,$B58,'май 2025'!$J$5:$J$2466,AG$1)</f>
        <v>0</v>
      </c>
      <c r="AH58" s="182">
        <f>SUMIFS('май 2025'!$G$5:$G$2466,'май 2025'!$D$5:$D$2466,$B58,'май 2025'!$J$5:$J$2466,AH$1)</f>
        <v>0</v>
      </c>
      <c r="AI58" s="20">
        <f t="shared" si="1"/>
        <v>0</v>
      </c>
    </row>
    <row r="59" spans="2:35" ht="15" customHeight="1" x14ac:dyDescent="0.25">
      <c r="B59" s="131" t="s">
        <v>255</v>
      </c>
      <c r="C59" s="132">
        <v>20</v>
      </c>
      <c r="D59" s="182">
        <f>SUMIFS('май 2025'!$G$5:$G$2466,'май 2025'!$D$5:$D$2466,$B59,'май 2025'!$J$5:$J$2466,D$1)</f>
        <v>0</v>
      </c>
      <c r="E59" s="182">
        <f>SUMIFS('май 2025'!$G$5:$G$2466,'май 2025'!$D$5:$D$2466,$B59,'май 2025'!$J$5:$J$2466,E$1)</f>
        <v>0</v>
      </c>
      <c r="F59" s="182">
        <f>SUMIFS('май 2025'!$G$5:$G$2466,'май 2025'!$D$5:$D$2466,$B59,'май 2025'!$J$5:$J$2466,F$1)</f>
        <v>0</v>
      </c>
      <c r="G59" s="182">
        <f>SUMIFS('май 2025'!$G$5:$G$2466,'май 2025'!$D$5:$D$2466,$B59,'май 2025'!$J$5:$J$2466,G$1)</f>
        <v>0</v>
      </c>
      <c r="H59" s="182">
        <f>SUMIFS('май 2025'!$G$5:$G$2466,'май 2025'!$D$5:$D$2466,$B59,'май 2025'!$J$5:$J$2466,H$1)</f>
        <v>0</v>
      </c>
      <c r="I59" s="182">
        <f>SUMIFS('май 2025'!$G$5:$G$2466,'май 2025'!$D$5:$D$2466,$B59,'май 2025'!$J$5:$J$2466,I$1)</f>
        <v>0</v>
      </c>
      <c r="J59" s="182">
        <f>SUMIFS('май 2025'!$G$5:$G$2466,'май 2025'!$D$5:$D$2466,$B59,'май 2025'!$J$5:$J$2466,J$1)</f>
        <v>0</v>
      </c>
      <c r="K59" s="182">
        <f>SUMIFS('май 2025'!$G$5:$G$2466,'май 2025'!$D$5:$D$2466,$B59,'май 2025'!$J$5:$J$2466,K$1)</f>
        <v>0</v>
      </c>
      <c r="L59" s="182">
        <f>SUMIFS('май 2025'!$G$5:$G$2466,'май 2025'!$D$5:$D$2466,$B59,'май 2025'!$J$5:$J$2466,L$1)</f>
        <v>0</v>
      </c>
      <c r="M59" s="182">
        <f>SUMIFS('май 2025'!$G$5:$G$2466,'май 2025'!$D$5:$D$2466,$B59,'май 2025'!$J$5:$J$2466,M$1)</f>
        <v>0</v>
      </c>
      <c r="N59" s="182">
        <f>SUMIFS('май 2025'!$G$5:$G$2466,'май 2025'!$D$5:$D$2466,$B59,'май 2025'!$J$5:$J$2466,N$1)</f>
        <v>0</v>
      </c>
      <c r="O59" s="182">
        <f>SUMIFS('май 2025'!$G$5:$G$2466,'май 2025'!$D$5:$D$2466,$B59,'май 2025'!$J$5:$J$2466,O$1)</f>
        <v>0</v>
      </c>
      <c r="P59" s="182">
        <f>SUMIFS('май 2025'!$G$5:$G$2466,'май 2025'!$D$5:$D$2466,$B59,'май 2025'!$J$5:$J$2466,P$1)</f>
        <v>0</v>
      </c>
      <c r="Q59" s="182">
        <f>SUMIFS('май 2025'!$G$5:$G$2466,'май 2025'!$D$5:$D$2466,$B59,'май 2025'!$J$5:$J$2466,Q$1)</f>
        <v>0</v>
      </c>
      <c r="R59" s="182">
        <f>SUMIFS('май 2025'!$G$5:$G$2466,'май 2025'!$D$5:$D$2466,$B59,'май 2025'!$J$5:$J$2466,R$1)</f>
        <v>0</v>
      </c>
      <c r="S59" s="182">
        <f>SUMIFS('май 2025'!$G$5:$G$2466,'май 2025'!$D$5:$D$2466,$B59,'май 2025'!$J$5:$J$2466,S$1)</f>
        <v>0</v>
      </c>
      <c r="T59" s="182">
        <f>SUMIFS('май 2025'!$G$5:$G$2466,'май 2025'!$D$5:$D$2466,$B59,'май 2025'!$J$5:$J$2466,T$1)</f>
        <v>0</v>
      </c>
      <c r="U59" s="182">
        <f>SUMIFS('май 2025'!$G$5:$G$2466,'май 2025'!$D$5:$D$2466,$B59,'май 2025'!$J$5:$J$2466,U$1)</f>
        <v>0</v>
      </c>
      <c r="V59" s="182">
        <f>SUMIFS('май 2025'!$G$5:$G$2466,'май 2025'!$D$5:$D$2466,$B59,'май 2025'!$J$5:$J$2466,V$1)</f>
        <v>0</v>
      </c>
      <c r="W59" s="182">
        <f>SUMIFS('май 2025'!$G$5:$G$2466,'май 2025'!$D$5:$D$2466,$B59,'май 2025'!$J$5:$J$2466,W$1)</f>
        <v>0</v>
      </c>
      <c r="X59" s="182">
        <f>SUMIFS('май 2025'!$G$5:$G$2466,'май 2025'!$D$5:$D$2466,$B59,'май 2025'!$J$5:$J$2466,X$1)</f>
        <v>0</v>
      </c>
      <c r="Y59" s="182">
        <f>SUMIFS('май 2025'!$G$5:$G$2466,'май 2025'!$D$5:$D$2466,$B59,'май 2025'!$J$5:$J$2466,Y$1)</f>
        <v>0</v>
      </c>
      <c r="Z59" s="182">
        <f>SUMIFS('май 2025'!$G$5:$G$2466,'май 2025'!$D$5:$D$2466,$B59,'май 2025'!$J$5:$J$2466,Z$1)</f>
        <v>0</v>
      </c>
      <c r="AA59" s="182">
        <f>SUMIFS('май 2025'!$G$5:$G$2466,'май 2025'!$D$5:$D$2466,$B59,'май 2025'!$J$5:$J$2466,AA$1)</f>
        <v>0</v>
      </c>
      <c r="AB59" s="182">
        <f>SUMIFS('май 2025'!$G$5:$G$2466,'май 2025'!$D$5:$D$2466,$B59,'май 2025'!$J$5:$J$2466,AB$1)</f>
        <v>0</v>
      </c>
      <c r="AC59" s="182">
        <f>SUMIFS('май 2025'!$G$5:$G$2466,'май 2025'!$D$5:$D$2466,$B59,'май 2025'!$J$5:$J$2466,AC$1)</f>
        <v>0</v>
      </c>
      <c r="AD59" s="182">
        <f>SUMIFS('май 2025'!$G$5:$G$2466,'май 2025'!$D$5:$D$2466,$B59,'май 2025'!$J$5:$J$2466,AD$1)</f>
        <v>0</v>
      </c>
      <c r="AE59" s="182">
        <f>SUMIFS('май 2025'!$G$5:$G$2466,'май 2025'!$D$5:$D$2466,$B59,'май 2025'!$J$5:$J$2466,AE$1)</f>
        <v>0</v>
      </c>
      <c r="AF59" s="182">
        <f>SUMIFS('май 2025'!$G$5:$G$2466,'май 2025'!$D$5:$D$2466,$B59,'май 2025'!$J$5:$J$2466,AF$1)</f>
        <v>0</v>
      </c>
      <c r="AG59" s="182">
        <f>SUMIFS('май 2025'!$G$5:$G$2466,'май 2025'!$D$5:$D$2466,$B59,'май 2025'!$J$5:$J$2466,AG$1)</f>
        <v>0</v>
      </c>
      <c r="AH59" s="182">
        <f>SUMIFS('май 2025'!$G$5:$G$2466,'май 2025'!$D$5:$D$2466,$B59,'май 2025'!$J$5:$J$2466,AH$1)</f>
        <v>0</v>
      </c>
      <c r="AI59" s="20">
        <f t="shared" si="1"/>
        <v>0</v>
      </c>
    </row>
    <row r="60" spans="2:35" ht="25.5" x14ac:dyDescent="0.25">
      <c r="B60" s="131" t="s">
        <v>1258</v>
      </c>
      <c r="C60" s="132">
        <v>10</v>
      </c>
      <c r="D60" s="182">
        <f>SUMIFS('май 2025'!$G$5:$G$2466,'май 2025'!$D$5:$D$2466,$B60,'май 2025'!$J$5:$J$2466,D$1)</f>
        <v>0</v>
      </c>
      <c r="E60" s="182">
        <f>SUMIFS('май 2025'!$G$5:$G$2466,'май 2025'!$D$5:$D$2466,$B60,'май 2025'!$J$5:$J$2466,E$1)</f>
        <v>0</v>
      </c>
      <c r="F60" s="182">
        <f>SUMIFS('май 2025'!$G$5:$G$2466,'май 2025'!$D$5:$D$2466,$B60,'май 2025'!$J$5:$J$2466,F$1)</f>
        <v>0</v>
      </c>
      <c r="G60" s="182">
        <f>SUMIFS('май 2025'!$G$5:$G$2466,'май 2025'!$D$5:$D$2466,$B60,'май 2025'!$J$5:$J$2466,G$1)</f>
        <v>0</v>
      </c>
      <c r="H60" s="182">
        <f>SUMIFS('май 2025'!$G$5:$G$2466,'май 2025'!$D$5:$D$2466,$B60,'май 2025'!$J$5:$J$2466,H$1)</f>
        <v>0</v>
      </c>
      <c r="I60" s="182">
        <f>SUMIFS('май 2025'!$G$5:$G$2466,'май 2025'!$D$5:$D$2466,$B60,'май 2025'!$J$5:$J$2466,I$1)</f>
        <v>0</v>
      </c>
      <c r="J60" s="182">
        <f>SUMIFS('май 2025'!$G$5:$G$2466,'май 2025'!$D$5:$D$2466,$B60,'май 2025'!$J$5:$J$2466,J$1)</f>
        <v>0</v>
      </c>
      <c r="K60" s="182">
        <f>SUMIFS('май 2025'!$G$5:$G$2466,'май 2025'!$D$5:$D$2466,$B60,'май 2025'!$J$5:$J$2466,K$1)</f>
        <v>0</v>
      </c>
      <c r="L60" s="182">
        <f>SUMIFS('май 2025'!$G$5:$G$2466,'май 2025'!$D$5:$D$2466,$B60,'май 2025'!$J$5:$J$2466,L$1)</f>
        <v>0</v>
      </c>
      <c r="M60" s="182">
        <f>SUMIFS('май 2025'!$G$5:$G$2466,'май 2025'!$D$5:$D$2466,$B60,'май 2025'!$J$5:$J$2466,M$1)</f>
        <v>0</v>
      </c>
      <c r="N60" s="182">
        <f>SUMIFS('май 2025'!$G$5:$G$2466,'май 2025'!$D$5:$D$2466,$B60,'май 2025'!$J$5:$J$2466,N$1)</f>
        <v>0</v>
      </c>
      <c r="O60" s="182">
        <f>SUMIFS('май 2025'!$G$5:$G$2466,'май 2025'!$D$5:$D$2466,$B60,'май 2025'!$J$5:$J$2466,O$1)</f>
        <v>0</v>
      </c>
      <c r="P60" s="182">
        <f>SUMIFS('май 2025'!$G$5:$G$2466,'май 2025'!$D$5:$D$2466,$B60,'май 2025'!$J$5:$J$2466,P$1)</f>
        <v>0</v>
      </c>
      <c r="Q60" s="182">
        <f>SUMIFS('май 2025'!$G$5:$G$2466,'май 2025'!$D$5:$D$2466,$B60,'май 2025'!$J$5:$J$2466,Q$1)</f>
        <v>0</v>
      </c>
      <c r="R60" s="182">
        <f>SUMIFS('май 2025'!$G$5:$G$2466,'май 2025'!$D$5:$D$2466,$B60,'май 2025'!$J$5:$J$2466,R$1)</f>
        <v>0</v>
      </c>
      <c r="S60" s="182">
        <f>SUMIFS('май 2025'!$G$5:$G$2466,'май 2025'!$D$5:$D$2466,$B60,'май 2025'!$J$5:$J$2466,S$1)</f>
        <v>0</v>
      </c>
      <c r="T60" s="182">
        <f>SUMIFS('май 2025'!$G$5:$G$2466,'май 2025'!$D$5:$D$2466,$B60,'май 2025'!$J$5:$J$2466,T$1)</f>
        <v>0</v>
      </c>
      <c r="U60" s="182">
        <f>SUMIFS('май 2025'!$G$5:$G$2466,'май 2025'!$D$5:$D$2466,$B60,'май 2025'!$J$5:$J$2466,U$1)</f>
        <v>0</v>
      </c>
      <c r="V60" s="182">
        <f>SUMIFS('май 2025'!$G$5:$G$2466,'май 2025'!$D$5:$D$2466,$B60,'май 2025'!$J$5:$J$2466,V$1)</f>
        <v>0</v>
      </c>
      <c r="W60" s="182">
        <f>SUMIFS('май 2025'!$G$5:$G$2466,'май 2025'!$D$5:$D$2466,$B60,'май 2025'!$J$5:$J$2466,W$1)</f>
        <v>0</v>
      </c>
      <c r="X60" s="182">
        <f>SUMIFS('май 2025'!$G$5:$G$2466,'май 2025'!$D$5:$D$2466,$B60,'май 2025'!$J$5:$J$2466,X$1)</f>
        <v>0</v>
      </c>
      <c r="Y60" s="182">
        <f>SUMIFS('май 2025'!$G$5:$G$2466,'май 2025'!$D$5:$D$2466,$B60,'май 2025'!$J$5:$J$2466,Y$1)</f>
        <v>0</v>
      </c>
      <c r="Z60" s="182">
        <f>SUMIFS('май 2025'!$G$5:$G$2466,'май 2025'!$D$5:$D$2466,$B60,'май 2025'!$J$5:$J$2466,Z$1)</f>
        <v>0</v>
      </c>
      <c r="AA60" s="182">
        <f>SUMIFS('май 2025'!$G$5:$G$2466,'май 2025'!$D$5:$D$2466,$B60,'май 2025'!$J$5:$J$2466,AA$1)</f>
        <v>0</v>
      </c>
      <c r="AB60" s="182">
        <f>SUMIFS('май 2025'!$G$5:$G$2466,'май 2025'!$D$5:$D$2466,$B60,'май 2025'!$J$5:$J$2466,AB$1)</f>
        <v>0</v>
      </c>
      <c r="AC60" s="182">
        <f>SUMIFS('май 2025'!$G$5:$G$2466,'май 2025'!$D$5:$D$2466,$B60,'май 2025'!$J$5:$J$2466,AC$1)</f>
        <v>0</v>
      </c>
      <c r="AD60" s="182">
        <f>SUMIFS('май 2025'!$G$5:$G$2466,'май 2025'!$D$5:$D$2466,$B60,'май 2025'!$J$5:$J$2466,AD$1)</f>
        <v>0</v>
      </c>
      <c r="AE60" s="182">
        <f>SUMIFS('май 2025'!$G$5:$G$2466,'май 2025'!$D$5:$D$2466,$B60,'май 2025'!$J$5:$J$2466,AE$1)</f>
        <v>0</v>
      </c>
      <c r="AF60" s="182">
        <f>SUMIFS('май 2025'!$G$5:$G$2466,'май 2025'!$D$5:$D$2466,$B60,'май 2025'!$J$5:$J$2466,AF$1)</f>
        <v>0</v>
      </c>
      <c r="AG60" s="182">
        <f>SUMIFS('май 2025'!$G$5:$G$2466,'май 2025'!$D$5:$D$2466,$B60,'май 2025'!$J$5:$J$2466,AG$1)</f>
        <v>0</v>
      </c>
      <c r="AH60" s="182">
        <f>SUMIFS('май 2025'!$G$5:$G$2466,'май 2025'!$D$5:$D$2466,$B60,'май 2025'!$J$5:$J$2466,AH$1)</f>
        <v>0</v>
      </c>
      <c r="AI60" s="20">
        <f t="shared" si="1"/>
        <v>0</v>
      </c>
    </row>
    <row r="61" spans="2:35" ht="15" customHeight="1" x14ac:dyDescent="0.25">
      <c r="B61" s="131" t="s">
        <v>1259</v>
      </c>
      <c r="C61" s="132">
        <v>10</v>
      </c>
      <c r="D61" s="182">
        <f>SUMIFS('май 2025'!$G$5:$G$2466,'май 2025'!$D$5:$D$2466,$B61,'май 2025'!$J$5:$J$2466,D$1)</f>
        <v>0</v>
      </c>
      <c r="E61" s="182">
        <f>SUMIFS('май 2025'!$G$5:$G$2466,'май 2025'!$D$5:$D$2466,$B61,'май 2025'!$J$5:$J$2466,E$1)</f>
        <v>0</v>
      </c>
      <c r="F61" s="182">
        <f>SUMIFS('май 2025'!$G$5:$G$2466,'май 2025'!$D$5:$D$2466,$B61,'май 2025'!$J$5:$J$2466,F$1)</f>
        <v>0</v>
      </c>
      <c r="G61" s="182">
        <f>SUMIFS('май 2025'!$G$5:$G$2466,'май 2025'!$D$5:$D$2466,$B61,'май 2025'!$J$5:$J$2466,G$1)</f>
        <v>0</v>
      </c>
      <c r="H61" s="182">
        <f>SUMIFS('май 2025'!$G$5:$G$2466,'май 2025'!$D$5:$D$2466,$B61,'май 2025'!$J$5:$J$2466,H$1)</f>
        <v>0</v>
      </c>
      <c r="I61" s="182">
        <f>SUMIFS('май 2025'!$G$5:$G$2466,'май 2025'!$D$5:$D$2466,$B61,'май 2025'!$J$5:$J$2466,I$1)</f>
        <v>0</v>
      </c>
      <c r="J61" s="182">
        <f>SUMIFS('май 2025'!$G$5:$G$2466,'май 2025'!$D$5:$D$2466,$B61,'май 2025'!$J$5:$J$2466,J$1)</f>
        <v>0</v>
      </c>
      <c r="K61" s="182">
        <f>SUMIFS('май 2025'!$G$5:$G$2466,'май 2025'!$D$5:$D$2466,$B61,'май 2025'!$J$5:$J$2466,K$1)</f>
        <v>0</v>
      </c>
      <c r="L61" s="182">
        <f>SUMIFS('май 2025'!$G$5:$G$2466,'май 2025'!$D$5:$D$2466,$B61,'май 2025'!$J$5:$J$2466,L$1)</f>
        <v>0</v>
      </c>
      <c r="M61" s="182">
        <f>SUMIFS('май 2025'!$G$5:$G$2466,'май 2025'!$D$5:$D$2466,$B61,'май 2025'!$J$5:$J$2466,M$1)</f>
        <v>0</v>
      </c>
      <c r="N61" s="182">
        <f>SUMIFS('май 2025'!$G$5:$G$2466,'май 2025'!$D$5:$D$2466,$B61,'май 2025'!$J$5:$J$2466,N$1)</f>
        <v>0</v>
      </c>
      <c r="O61" s="182">
        <f>SUMIFS('май 2025'!$G$5:$G$2466,'май 2025'!$D$5:$D$2466,$B61,'май 2025'!$J$5:$J$2466,O$1)</f>
        <v>0</v>
      </c>
      <c r="P61" s="182">
        <f>SUMIFS('май 2025'!$G$5:$G$2466,'май 2025'!$D$5:$D$2466,$B61,'май 2025'!$J$5:$J$2466,P$1)</f>
        <v>0</v>
      </c>
      <c r="Q61" s="182">
        <f>SUMIFS('май 2025'!$G$5:$G$2466,'май 2025'!$D$5:$D$2466,$B61,'май 2025'!$J$5:$J$2466,Q$1)</f>
        <v>0</v>
      </c>
      <c r="R61" s="182">
        <f>SUMIFS('май 2025'!$G$5:$G$2466,'май 2025'!$D$5:$D$2466,$B61,'май 2025'!$J$5:$J$2466,R$1)</f>
        <v>0</v>
      </c>
      <c r="S61" s="182">
        <f>SUMIFS('май 2025'!$G$5:$G$2466,'май 2025'!$D$5:$D$2466,$B61,'май 2025'!$J$5:$J$2466,S$1)</f>
        <v>0</v>
      </c>
      <c r="T61" s="182">
        <f>SUMIFS('май 2025'!$G$5:$G$2466,'май 2025'!$D$5:$D$2466,$B61,'май 2025'!$J$5:$J$2466,T$1)</f>
        <v>0</v>
      </c>
      <c r="U61" s="182">
        <f>SUMIFS('май 2025'!$G$5:$G$2466,'май 2025'!$D$5:$D$2466,$B61,'май 2025'!$J$5:$J$2466,U$1)</f>
        <v>0</v>
      </c>
      <c r="V61" s="182">
        <f>SUMIFS('май 2025'!$G$5:$G$2466,'май 2025'!$D$5:$D$2466,$B61,'май 2025'!$J$5:$J$2466,V$1)</f>
        <v>0</v>
      </c>
      <c r="W61" s="182">
        <f>SUMIFS('май 2025'!$G$5:$G$2466,'май 2025'!$D$5:$D$2466,$B61,'май 2025'!$J$5:$J$2466,W$1)</f>
        <v>0</v>
      </c>
      <c r="X61" s="182">
        <f>SUMIFS('май 2025'!$G$5:$G$2466,'май 2025'!$D$5:$D$2466,$B61,'май 2025'!$J$5:$J$2466,X$1)</f>
        <v>0</v>
      </c>
      <c r="Y61" s="182">
        <f>SUMIFS('май 2025'!$G$5:$G$2466,'май 2025'!$D$5:$D$2466,$B61,'май 2025'!$J$5:$J$2466,Y$1)</f>
        <v>0</v>
      </c>
      <c r="Z61" s="182">
        <f>SUMIFS('май 2025'!$G$5:$G$2466,'май 2025'!$D$5:$D$2466,$B61,'май 2025'!$J$5:$J$2466,Z$1)</f>
        <v>0</v>
      </c>
      <c r="AA61" s="182">
        <f>SUMIFS('май 2025'!$G$5:$G$2466,'май 2025'!$D$5:$D$2466,$B61,'май 2025'!$J$5:$J$2466,AA$1)</f>
        <v>0</v>
      </c>
      <c r="AB61" s="182">
        <f>SUMIFS('май 2025'!$G$5:$G$2466,'май 2025'!$D$5:$D$2466,$B61,'май 2025'!$J$5:$J$2466,AB$1)</f>
        <v>0</v>
      </c>
      <c r="AC61" s="182">
        <f>SUMIFS('май 2025'!$G$5:$G$2466,'май 2025'!$D$5:$D$2466,$B61,'май 2025'!$J$5:$J$2466,AC$1)</f>
        <v>0</v>
      </c>
      <c r="AD61" s="182">
        <f>SUMIFS('май 2025'!$G$5:$G$2466,'май 2025'!$D$5:$D$2466,$B61,'май 2025'!$J$5:$J$2466,AD$1)</f>
        <v>0</v>
      </c>
      <c r="AE61" s="182">
        <f>SUMIFS('май 2025'!$G$5:$G$2466,'май 2025'!$D$5:$D$2466,$B61,'май 2025'!$J$5:$J$2466,AE$1)</f>
        <v>0</v>
      </c>
      <c r="AF61" s="182">
        <f>SUMIFS('май 2025'!$G$5:$G$2466,'май 2025'!$D$5:$D$2466,$B61,'май 2025'!$J$5:$J$2466,AF$1)</f>
        <v>0</v>
      </c>
      <c r="AG61" s="182">
        <f>SUMIFS('май 2025'!$G$5:$G$2466,'май 2025'!$D$5:$D$2466,$B61,'май 2025'!$J$5:$J$2466,AG$1)</f>
        <v>0</v>
      </c>
      <c r="AH61" s="182">
        <f>SUMIFS('май 2025'!$G$5:$G$2466,'май 2025'!$D$5:$D$2466,$B61,'май 2025'!$J$5:$J$2466,AH$1)</f>
        <v>0</v>
      </c>
      <c r="AI61" s="20">
        <f t="shared" si="1"/>
        <v>0</v>
      </c>
    </row>
    <row r="62" spans="2:35" ht="15" customHeight="1" x14ac:dyDescent="0.25">
      <c r="B62" s="136" t="s">
        <v>1260</v>
      </c>
      <c r="C62" s="132">
        <v>10</v>
      </c>
      <c r="D62" s="182">
        <f>SUMIFS('май 2025'!$G$5:$G$2466,'май 2025'!$D$5:$D$2466,$B62,'май 2025'!$J$5:$J$2466,D$1)</f>
        <v>0</v>
      </c>
      <c r="E62" s="182">
        <f>SUMIFS('май 2025'!$G$5:$G$2466,'май 2025'!$D$5:$D$2466,$B62,'май 2025'!$J$5:$J$2466,E$1)</f>
        <v>0</v>
      </c>
      <c r="F62" s="182">
        <f>SUMIFS('май 2025'!$G$5:$G$2466,'май 2025'!$D$5:$D$2466,$B62,'май 2025'!$J$5:$J$2466,F$1)</f>
        <v>0</v>
      </c>
      <c r="G62" s="182">
        <f>SUMIFS('май 2025'!$G$5:$G$2466,'май 2025'!$D$5:$D$2466,$B62,'май 2025'!$J$5:$J$2466,G$1)</f>
        <v>0</v>
      </c>
      <c r="H62" s="182">
        <f>SUMIFS('май 2025'!$G$5:$G$2466,'май 2025'!$D$5:$D$2466,$B62,'май 2025'!$J$5:$J$2466,H$1)</f>
        <v>0</v>
      </c>
      <c r="I62" s="182">
        <f>SUMIFS('май 2025'!$G$5:$G$2466,'май 2025'!$D$5:$D$2466,$B62,'май 2025'!$J$5:$J$2466,I$1)</f>
        <v>0</v>
      </c>
      <c r="J62" s="182">
        <f>SUMIFS('май 2025'!$G$5:$G$2466,'май 2025'!$D$5:$D$2466,$B62,'май 2025'!$J$5:$J$2466,J$1)</f>
        <v>0</v>
      </c>
      <c r="K62" s="182">
        <f>SUMIFS('май 2025'!$G$5:$G$2466,'май 2025'!$D$5:$D$2466,$B62,'май 2025'!$J$5:$J$2466,K$1)</f>
        <v>0</v>
      </c>
      <c r="L62" s="182">
        <f>SUMIFS('май 2025'!$G$5:$G$2466,'май 2025'!$D$5:$D$2466,$B62,'май 2025'!$J$5:$J$2466,L$1)</f>
        <v>0</v>
      </c>
      <c r="M62" s="182">
        <f>SUMIFS('май 2025'!$G$5:$G$2466,'май 2025'!$D$5:$D$2466,$B62,'май 2025'!$J$5:$J$2466,M$1)</f>
        <v>0</v>
      </c>
      <c r="N62" s="182">
        <f>SUMIFS('май 2025'!$G$5:$G$2466,'май 2025'!$D$5:$D$2466,$B62,'май 2025'!$J$5:$J$2466,N$1)</f>
        <v>0</v>
      </c>
      <c r="O62" s="182">
        <f>SUMIFS('май 2025'!$G$5:$G$2466,'май 2025'!$D$5:$D$2466,$B62,'май 2025'!$J$5:$J$2466,O$1)</f>
        <v>0</v>
      </c>
      <c r="P62" s="182">
        <f>SUMIFS('май 2025'!$G$5:$G$2466,'май 2025'!$D$5:$D$2466,$B62,'май 2025'!$J$5:$J$2466,P$1)</f>
        <v>0</v>
      </c>
      <c r="Q62" s="182">
        <f>SUMIFS('май 2025'!$G$5:$G$2466,'май 2025'!$D$5:$D$2466,$B62,'май 2025'!$J$5:$J$2466,Q$1)</f>
        <v>0</v>
      </c>
      <c r="R62" s="182">
        <f>SUMIFS('май 2025'!$G$5:$G$2466,'май 2025'!$D$5:$D$2466,$B62,'май 2025'!$J$5:$J$2466,R$1)</f>
        <v>0</v>
      </c>
      <c r="S62" s="182">
        <f>SUMIFS('май 2025'!$G$5:$G$2466,'май 2025'!$D$5:$D$2466,$B62,'май 2025'!$J$5:$J$2466,S$1)</f>
        <v>0</v>
      </c>
      <c r="T62" s="182">
        <f>SUMIFS('май 2025'!$G$5:$G$2466,'май 2025'!$D$5:$D$2466,$B62,'май 2025'!$J$5:$J$2466,T$1)</f>
        <v>0</v>
      </c>
      <c r="U62" s="182">
        <f>SUMIFS('май 2025'!$G$5:$G$2466,'май 2025'!$D$5:$D$2466,$B62,'май 2025'!$J$5:$J$2466,U$1)</f>
        <v>0</v>
      </c>
      <c r="V62" s="182">
        <f>SUMIFS('май 2025'!$G$5:$G$2466,'май 2025'!$D$5:$D$2466,$B62,'май 2025'!$J$5:$J$2466,V$1)</f>
        <v>0</v>
      </c>
      <c r="W62" s="182">
        <f>SUMIFS('май 2025'!$G$5:$G$2466,'май 2025'!$D$5:$D$2466,$B62,'май 2025'!$J$5:$J$2466,W$1)</f>
        <v>0</v>
      </c>
      <c r="X62" s="182">
        <f>SUMIFS('май 2025'!$G$5:$G$2466,'май 2025'!$D$5:$D$2466,$B62,'май 2025'!$J$5:$J$2466,X$1)</f>
        <v>0</v>
      </c>
      <c r="Y62" s="182">
        <f>SUMIFS('май 2025'!$G$5:$G$2466,'май 2025'!$D$5:$D$2466,$B62,'май 2025'!$J$5:$J$2466,Y$1)</f>
        <v>0</v>
      </c>
      <c r="Z62" s="182">
        <f>SUMIFS('май 2025'!$G$5:$G$2466,'май 2025'!$D$5:$D$2466,$B62,'май 2025'!$J$5:$J$2466,Z$1)</f>
        <v>0</v>
      </c>
      <c r="AA62" s="182">
        <f>SUMIFS('май 2025'!$G$5:$G$2466,'май 2025'!$D$5:$D$2466,$B62,'май 2025'!$J$5:$J$2466,AA$1)</f>
        <v>0</v>
      </c>
      <c r="AB62" s="182">
        <f>SUMIFS('май 2025'!$G$5:$G$2466,'май 2025'!$D$5:$D$2466,$B62,'май 2025'!$J$5:$J$2466,AB$1)</f>
        <v>0</v>
      </c>
      <c r="AC62" s="182">
        <f>SUMIFS('май 2025'!$G$5:$G$2466,'май 2025'!$D$5:$D$2466,$B62,'май 2025'!$J$5:$J$2466,AC$1)</f>
        <v>0</v>
      </c>
      <c r="AD62" s="182">
        <f>SUMIFS('май 2025'!$G$5:$G$2466,'май 2025'!$D$5:$D$2466,$B62,'май 2025'!$J$5:$J$2466,AD$1)</f>
        <v>0</v>
      </c>
      <c r="AE62" s="182">
        <f>SUMIFS('май 2025'!$G$5:$G$2466,'май 2025'!$D$5:$D$2466,$B62,'май 2025'!$J$5:$J$2466,AE$1)</f>
        <v>0</v>
      </c>
      <c r="AF62" s="182">
        <f>SUMIFS('май 2025'!$G$5:$G$2466,'май 2025'!$D$5:$D$2466,$B62,'май 2025'!$J$5:$J$2466,AF$1)</f>
        <v>0</v>
      </c>
      <c r="AG62" s="182">
        <f>SUMIFS('май 2025'!$G$5:$G$2466,'май 2025'!$D$5:$D$2466,$B62,'май 2025'!$J$5:$J$2466,AG$1)</f>
        <v>0</v>
      </c>
      <c r="AH62" s="182">
        <f>SUMIFS('май 2025'!$G$5:$G$2466,'май 2025'!$D$5:$D$2466,$B62,'май 2025'!$J$5:$J$2466,AH$1)</f>
        <v>0</v>
      </c>
      <c r="AI62" s="20">
        <f t="shared" si="1"/>
        <v>0</v>
      </c>
    </row>
    <row r="63" spans="2:35" ht="15" customHeight="1" x14ac:dyDescent="0.25">
      <c r="B63" s="136" t="s">
        <v>1261</v>
      </c>
      <c r="C63" s="132">
        <v>10</v>
      </c>
      <c r="D63" s="182">
        <f>SUMIFS('май 2025'!$G$5:$G$2466,'май 2025'!$D$5:$D$2466,$B63,'май 2025'!$J$5:$J$2466,D$1)</f>
        <v>0</v>
      </c>
      <c r="E63" s="182">
        <f>SUMIFS('май 2025'!$G$5:$G$2466,'май 2025'!$D$5:$D$2466,$B63,'май 2025'!$J$5:$J$2466,E$1)</f>
        <v>0</v>
      </c>
      <c r="F63" s="182">
        <f>SUMIFS('май 2025'!$G$5:$G$2466,'май 2025'!$D$5:$D$2466,$B63,'май 2025'!$J$5:$J$2466,F$1)</f>
        <v>0</v>
      </c>
      <c r="G63" s="182">
        <f>SUMIFS('май 2025'!$G$5:$G$2466,'май 2025'!$D$5:$D$2466,$B63,'май 2025'!$J$5:$J$2466,G$1)</f>
        <v>0</v>
      </c>
      <c r="H63" s="182">
        <f>SUMIFS('май 2025'!$G$5:$G$2466,'май 2025'!$D$5:$D$2466,$B63,'май 2025'!$J$5:$J$2466,H$1)</f>
        <v>0</v>
      </c>
      <c r="I63" s="182">
        <f>SUMIFS('май 2025'!$G$5:$G$2466,'май 2025'!$D$5:$D$2466,$B63,'май 2025'!$J$5:$J$2466,I$1)</f>
        <v>0</v>
      </c>
      <c r="J63" s="182">
        <f>SUMIFS('май 2025'!$G$5:$G$2466,'май 2025'!$D$5:$D$2466,$B63,'май 2025'!$J$5:$J$2466,J$1)</f>
        <v>0</v>
      </c>
      <c r="K63" s="182">
        <f>SUMIFS('май 2025'!$G$5:$G$2466,'май 2025'!$D$5:$D$2466,$B63,'май 2025'!$J$5:$J$2466,K$1)</f>
        <v>0</v>
      </c>
      <c r="L63" s="182">
        <f>SUMIFS('май 2025'!$G$5:$G$2466,'май 2025'!$D$5:$D$2466,$B63,'май 2025'!$J$5:$J$2466,L$1)</f>
        <v>0</v>
      </c>
      <c r="M63" s="182">
        <f>SUMIFS('май 2025'!$G$5:$G$2466,'май 2025'!$D$5:$D$2466,$B63,'май 2025'!$J$5:$J$2466,M$1)</f>
        <v>0</v>
      </c>
      <c r="N63" s="182">
        <f>SUMIFS('май 2025'!$G$5:$G$2466,'май 2025'!$D$5:$D$2466,$B63,'май 2025'!$J$5:$J$2466,N$1)</f>
        <v>0</v>
      </c>
      <c r="O63" s="182">
        <f>SUMIFS('май 2025'!$G$5:$G$2466,'май 2025'!$D$5:$D$2466,$B63,'май 2025'!$J$5:$J$2466,O$1)</f>
        <v>0</v>
      </c>
      <c r="P63" s="182">
        <f>SUMIFS('май 2025'!$G$5:$G$2466,'май 2025'!$D$5:$D$2466,$B63,'май 2025'!$J$5:$J$2466,P$1)</f>
        <v>0</v>
      </c>
      <c r="Q63" s="182">
        <f>SUMIFS('май 2025'!$G$5:$G$2466,'май 2025'!$D$5:$D$2466,$B63,'май 2025'!$J$5:$J$2466,Q$1)</f>
        <v>0</v>
      </c>
      <c r="R63" s="182">
        <f>SUMIFS('май 2025'!$G$5:$G$2466,'май 2025'!$D$5:$D$2466,$B63,'май 2025'!$J$5:$J$2466,R$1)</f>
        <v>0</v>
      </c>
      <c r="S63" s="182">
        <f>SUMIFS('май 2025'!$G$5:$G$2466,'май 2025'!$D$5:$D$2466,$B63,'май 2025'!$J$5:$J$2466,S$1)</f>
        <v>0</v>
      </c>
      <c r="T63" s="182">
        <f>SUMIFS('май 2025'!$G$5:$G$2466,'май 2025'!$D$5:$D$2466,$B63,'май 2025'!$J$5:$J$2466,T$1)</f>
        <v>0</v>
      </c>
      <c r="U63" s="182">
        <f>SUMIFS('май 2025'!$G$5:$G$2466,'май 2025'!$D$5:$D$2466,$B63,'май 2025'!$J$5:$J$2466,U$1)</f>
        <v>0</v>
      </c>
      <c r="V63" s="182">
        <f>SUMIFS('май 2025'!$G$5:$G$2466,'май 2025'!$D$5:$D$2466,$B63,'май 2025'!$J$5:$J$2466,V$1)</f>
        <v>0</v>
      </c>
      <c r="W63" s="182">
        <f>SUMIFS('май 2025'!$G$5:$G$2466,'май 2025'!$D$5:$D$2466,$B63,'май 2025'!$J$5:$J$2466,W$1)</f>
        <v>0</v>
      </c>
      <c r="X63" s="182">
        <f>SUMIFS('май 2025'!$G$5:$G$2466,'май 2025'!$D$5:$D$2466,$B63,'май 2025'!$J$5:$J$2466,X$1)</f>
        <v>0</v>
      </c>
      <c r="Y63" s="182">
        <f>SUMIFS('май 2025'!$G$5:$G$2466,'май 2025'!$D$5:$D$2466,$B63,'май 2025'!$J$5:$J$2466,Y$1)</f>
        <v>0</v>
      </c>
      <c r="Z63" s="182">
        <f>SUMIFS('май 2025'!$G$5:$G$2466,'май 2025'!$D$5:$D$2466,$B63,'май 2025'!$J$5:$J$2466,Z$1)</f>
        <v>0</v>
      </c>
      <c r="AA63" s="182">
        <f>SUMIFS('май 2025'!$G$5:$G$2466,'май 2025'!$D$5:$D$2466,$B63,'май 2025'!$J$5:$J$2466,AA$1)</f>
        <v>0</v>
      </c>
      <c r="AB63" s="182">
        <f>SUMIFS('май 2025'!$G$5:$G$2466,'май 2025'!$D$5:$D$2466,$B63,'май 2025'!$J$5:$J$2466,AB$1)</f>
        <v>0</v>
      </c>
      <c r="AC63" s="182">
        <f>SUMIFS('май 2025'!$G$5:$G$2466,'май 2025'!$D$5:$D$2466,$B63,'май 2025'!$J$5:$J$2466,AC$1)</f>
        <v>0</v>
      </c>
      <c r="AD63" s="182">
        <f>SUMIFS('май 2025'!$G$5:$G$2466,'май 2025'!$D$5:$D$2466,$B63,'май 2025'!$J$5:$J$2466,AD$1)</f>
        <v>0</v>
      </c>
      <c r="AE63" s="182">
        <f>SUMIFS('май 2025'!$G$5:$G$2466,'май 2025'!$D$5:$D$2466,$B63,'май 2025'!$J$5:$J$2466,AE$1)</f>
        <v>0</v>
      </c>
      <c r="AF63" s="182">
        <f>SUMIFS('май 2025'!$G$5:$G$2466,'май 2025'!$D$5:$D$2466,$B63,'май 2025'!$J$5:$J$2466,AF$1)</f>
        <v>0</v>
      </c>
      <c r="AG63" s="182">
        <f>SUMIFS('май 2025'!$G$5:$G$2466,'май 2025'!$D$5:$D$2466,$B63,'май 2025'!$J$5:$J$2466,AG$1)</f>
        <v>0</v>
      </c>
      <c r="AH63" s="182">
        <f>SUMIFS('май 2025'!$G$5:$G$2466,'май 2025'!$D$5:$D$2466,$B63,'май 2025'!$J$5:$J$2466,AH$1)</f>
        <v>0</v>
      </c>
      <c r="AI63" s="20">
        <f t="shared" si="1"/>
        <v>0</v>
      </c>
    </row>
    <row r="64" spans="2:35" ht="15" customHeight="1" x14ac:dyDescent="0.25">
      <c r="B64" s="136"/>
      <c r="C64" s="132"/>
      <c r="D64" s="182">
        <f>SUMIFS('май 2025'!$G$5:$G$2466,'май 2025'!$D$5:$D$2466,$B64,'май 2025'!$J$5:$J$2466,D$1)</f>
        <v>0</v>
      </c>
      <c r="E64" s="182">
        <f>SUMIFS('май 2025'!$G$5:$G$2466,'май 2025'!$D$5:$D$2466,$B64,'май 2025'!$J$5:$J$2466,E$1)</f>
        <v>0</v>
      </c>
      <c r="F64" s="182">
        <f>SUMIFS('май 2025'!$G$5:$G$2466,'май 2025'!$D$5:$D$2466,$B64,'май 2025'!$J$5:$J$2466,F$1)</f>
        <v>0</v>
      </c>
      <c r="G64" s="182">
        <f>SUMIFS('май 2025'!$G$5:$G$2466,'май 2025'!$D$5:$D$2466,$B64,'май 2025'!$J$5:$J$2466,G$1)</f>
        <v>0</v>
      </c>
      <c r="H64" s="182">
        <f>SUMIFS('май 2025'!$G$5:$G$2466,'май 2025'!$D$5:$D$2466,$B64,'май 2025'!$J$5:$J$2466,H$1)</f>
        <v>0</v>
      </c>
      <c r="I64" s="182">
        <f>SUMIFS('май 2025'!$G$5:$G$2466,'май 2025'!$D$5:$D$2466,$B64,'май 2025'!$J$5:$J$2466,I$1)</f>
        <v>0</v>
      </c>
      <c r="J64" s="182">
        <f>SUMIFS('май 2025'!$G$5:$G$2466,'май 2025'!$D$5:$D$2466,$B64,'май 2025'!$J$5:$J$2466,J$1)</f>
        <v>0</v>
      </c>
      <c r="K64" s="182">
        <f>SUMIFS('май 2025'!$G$5:$G$2466,'май 2025'!$D$5:$D$2466,$B64,'май 2025'!$J$5:$J$2466,K$1)</f>
        <v>0</v>
      </c>
      <c r="L64" s="182">
        <f>SUMIFS('май 2025'!$G$5:$G$2466,'май 2025'!$D$5:$D$2466,$B64,'май 2025'!$J$5:$J$2466,L$1)</f>
        <v>0</v>
      </c>
      <c r="M64" s="182">
        <f>SUMIFS('май 2025'!$G$5:$G$2466,'май 2025'!$D$5:$D$2466,$B64,'май 2025'!$J$5:$J$2466,M$1)</f>
        <v>0</v>
      </c>
      <c r="N64" s="182">
        <f>SUMIFS('май 2025'!$G$5:$G$2466,'май 2025'!$D$5:$D$2466,$B64,'май 2025'!$J$5:$J$2466,N$1)</f>
        <v>0</v>
      </c>
      <c r="O64" s="182">
        <f>SUMIFS('май 2025'!$G$5:$G$2466,'май 2025'!$D$5:$D$2466,$B64,'май 2025'!$J$5:$J$2466,O$1)</f>
        <v>0</v>
      </c>
      <c r="P64" s="182">
        <f>SUMIFS('май 2025'!$G$5:$G$2466,'май 2025'!$D$5:$D$2466,$B64,'май 2025'!$J$5:$J$2466,P$1)</f>
        <v>0</v>
      </c>
      <c r="Q64" s="182">
        <f>SUMIFS('май 2025'!$G$5:$G$2466,'май 2025'!$D$5:$D$2466,$B64,'май 2025'!$J$5:$J$2466,Q$1)</f>
        <v>0</v>
      </c>
      <c r="R64" s="182">
        <f>SUMIFS('май 2025'!$G$5:$G$2466,'май 2025'!$D$5:$D$2466,$B64,'май 2025'!$J$5:$J$2466,R$1)</f>
        <v>0</v>
      </c>
      <c r="S64" s="182">
        <f>SUMIFS('май 2025'!$G$5:$G$2466,'май 2025'!$D$5:$D$2466,$B64,'май 2025'!$J$5:$J$2466,S$1)</f>
        <v>0</v>
      </c>
      <c r="T64" s="182">
        <f>SUMIFS('май 2025'!$G$5:$G$2466,'май 2025'!$D$5:$D$2466,$B64,'май 2025'!$J$5:$J$2466,T$1)</f>
        <v>0</v>
      </c>
      <c r="U64" s="182">
        <f>SUMIFS('май 2025'!$G$5:$G$2466,'май 2025'!$D$5:$D$2466,$B64,'май 2025'!$J$5:$J$2466,U$1)</f>
        <v>0</v>
      </c>
      <c r="V64" s="182">
        <f>SUMIFS('май 2025'!$G$5:$G$2466,'май 2025'!$D$5:$D$2466,$B64,'май 2025'!$J$5:$J$2466,V$1)</f>
        <v>0</v>
      </c>
      <c r="W64" s="182">
        <f>SUMIFS('май 2025'!$G$5:$G$2466,'май 2025'!$D$5:$D$2466,$B64,'май 2025'!$J$5:$J$2466,W$1)</f>
        <v>0</v>
      </c>
      <c r="X64" s="182">
        <f>SUMIFS('май 2025'!$G$5:$G$2466,'май 2025'!$D$5:$D$2466,$B64,'май 2025'!$J$5:$J$2466,X$1)</f>
        <v>0</v>
      </c>
      <c r="Y64" s="182">
        <f>SUMIFS('май 2025'!$G$5:$G$2466,'май 2025'!$D$5:$D$2466,$B64,'май 2025'!$J$5:$J$2466,Y$1)</f>
        <v>0</v>
      </c>
      <c r="Z64" s="182">
        <f>SUMIFS('май 2025'!$G$5:$G$2466,'май 2025'!$D$5:$D$2466,$B64,'май 2025'!$J$5:$J$2466,Z$1)</f>
        <v>0</v>
      </c>
      <c r="AA64" s="182">
        <f>SUMIFS('май 2025'!$G$5:$G$2466,'май 2025'!$D$5:$D$2466,$B64,'май 2025'!$J$5:$J$2466,AA$1)</f>
        <v>0</v>
      </c>
      <c r="AB64" s="182">
        <f>SUMIFS('май 2025'!$G$5:$G$2466,'май 2025'!$D$5:$D$2466,$B64,'май 2025'!$J$5:$J$2466,AB$1)</f>
        <v>0</v>
      </c>
      <c r="AC64" s="182">
        <f>SUMIFS('май 2025'!$G$5:$G$2466,'май 2025'!$D$5:$D$2466,$B64,'май 2025'!$J$5:$J$2466,AC$1)</f>
        <v>0</v>
      </c>
      <c r="AD64" s="182">
        <f>SUMIFS('май 2025'!$G$5:$G$2466,'май 2025'!$D$5:$D$2466,$B64,'май 2025'!$J$5:$J$2466,AD$1)</f>
        <v>0</v>
      </c>
      <c r="AE64" s="182">
        <f>SUMIFS('май 2025'!$G$5:$G$2466,'май 2025'!$D$5:$D$2466,$B64,'май 2025'!$J$5:$J$2466,AE$1)</f>
        <v>0</v>
      </c>
      <c r="AF64" s="182">
        <f>SUMIFS('май 2025'!$G$5:$G$2466,'май 2025'!$D$5:$D$2466,$B64,'май 2025'!$J$5:$J$2466,AF$1)</f>
        <v>0</v>
      </c>
      <c r="AG64" s="182">
        <f>SUMIFS('май 2025'!$G$5:$G$2466,'май 2025'!$D$5:$D$2466,$B64,'май 2025'!$J$5:$J$2466,AG$1)</f>
        <v>0</v>
      </c>
      <c r="AH64" s="182">
        <f>SUMIFS('май 2025'!$G$5:$G$2466,'май 2025'!$D$5:$D$2466,$B64,'май 2025'!$J$5:$J$2466,AH$1)</f>
        <v>0</v>
      </c>
      <c r="AI64" s="20">
        <f t="shared" si="1"/>
        <v>0</v>
      </c>
    </row>
    <row r="65" spans="2:35" ht="15" customHeight="1" x14ac:dyDescent="0.25">
      <c r="B65" s="87" t="s">
        <v>160</v>
      </c>
      <c r="C65" s="86">
        <v>200</v>
      </c>
      <c r="D65" s="183">
        <f>SUMIFS('май 2025'!$G$5:$G$2466,'май 2025'!$D$5:$D$2466,$B65,'май 2025'!$J$5:$J$2466,D$1)</f>
        <v>0</v>
      </c>
      <c r="E65" s="183">
        <f>SUMIFS('май 2025'!$G$5:$G$2466,'май 2025'!$D$5:$D$2466,$B65,'май 2025'!$J$5:$J$2466,E$1)</f>
        <v>0</v>
      </c>
      <c r="F65" s="183">
        <f>SUMIFS('май 2025'!$G$5:$G$2466,'май 2025'!$D$5:$D$2466,$B65,'май 2025'!$J$5:$J$2466,F$1)</f>
        <v>0</v>
      </c>
      <c r="G65" s="183">
        <f>SUMIFS('май 2025'!$G$5:$G$2466,'май 2025'!$D$5:$D$2466,$B65,'май 2025'!$J$5:$J$2466,G$1)</f>
        <v>0</v>
      </c>
      <c r="H65" s="183">
        <f>SUMIFS('май 2025'!$G$5:$G$2466,'май 2025'!$D$5:$D$2466,$B65,'май 2025'!$J$5:$J$2466,H$1)</f>
        <v>0</v>
      </c>
      <c r="I65" s="183">
        <f>SUMIFS('май 2025'!$G$5:$G$2466,'май 2025'!$D$5:$D$2466,$B65,'май 2025'!$J$5:$J$2466,I$1)</f>
        <v>0</v>
      </c>
      <c r="J65" s="183">
        <f>SUMIFS('май 2025'!$G$5:$G$2466,'май 2025'!$D$5:$D$2466,$B65,'май 2025'!$J$5:$J$2466,J$1)</f>
        <v>0</v>
      </c>
      <c r="K65" s="183">
        <f>SUMIFS('май 2025'!$G$5:$G$2466,'май 2025'!$D$5:$D$2466,$B65,'май 2025'!$J$5:$J$2466,K$1)</f>
        <v>0</v>
      </c>
      <c r="L65" s="183">
        <f>SUMIFS('май 2025'!$G$5:$G$2466,'май 2025'!$D$5:$D$2466,$B65,'май 2025'!$J$5:$J$2466,L$1)</f>
        <v>0</v>
      </c>
      <c r="M65" s="183">
        <f>SUMIFS('май 2025'!$G$5:$G$2466,'май 2025'!$D$5:$D$2466,$B65,'май 2025'!$J$5:$J$2466,M$1)</f>
        <v>0</v>
      </c>
      <c r="N65" s="183">
        <f>SUMIFS('май 2025'!$G$5:$G$2466,'май 2025'!$D$5:$D$2466,$B65,'май 2025'!$J$5:$J$2466,N$1)</f>
        <v>0</v>
      </c>
      <c r="O65" s="183">
        <f>SUMIFS('май 2025'!$G$5:$G$2466,'май 2025'!$D$5:$D$2466,$B65,'май 2025'!$J$5:$J$2466,O$1)</f>
        <v>0</v>
      </c>
      <c r="P65" s="183">
        <f>SUMIFS('май 2025'!$G$5:$G$2466,'май 2025'!$D$5:$D$2466,$B65,'май 2025'!$J$5:$J$2466,P$1)</f>
        <v>0</v>
      </c>
      <c r="Q65" s="183">
        <f>SUMIFS('май 2025'!$G$5:$G$2466,'май 2025'!$D$5:$D$2466,$B65,'май 2025'!$J$5:$J$2466,Q$1)</f>
        <v>0</v>
      </c>
      <c r="R65" s="183">
        <f>SUMIFS('май 2025'!$G$5:$G$2466,'май 2025'!$D$5:$D$2466,$B65,'май 2025'!$J$5:$J$2466,R$1)</f>
        <v>0</v>
      </c>
      <c r="S65" s="183">
        <f>SUMIFS('май 2025'!$G$5:$G$2466,'май 2025'!$D$5:$D$2466,$B65,'май 2025'!$J$5:$J$2466,S$1)</f>
        <v>0</v>
      </c>
      <c r="T65" s="183">
        <f>SUMIFS('май 2025'!$G$5:$G$2466,'май 2025'!$D$5:$D$2466,$B65,'май 2025'!$J$5:$J$2466,T$1)</f>
        <v>0</v>
      </c>
      <c r="U65" s="183">
        <f>SUMIFS('май 2025'!$G$5:$G$2466,'май 2025'!$D$5:$D$2466,$B65,'май 2025'!$J$5:$J$2466,U$1)</f>
        <v>0</v>
      </c>
      <c r="V65" s="183">
        <f>SUMIFS('май 2025'!$G$5:$G$2466,'май 2025'!$D$5:$D$2466,$B65,'май 2025'!$J$5:$J$2466,V$1)</f>
        <v>0</v>
      </c>
      <c r="W65" s="183">
        <f>SUMIFS('май 2025'!$G$5:$G$2466,'май 2025'!$D$5:$D$2466,$B65,'май 2025'!$J$5:$J$2466,W$1)</f>
        <v>0</v>
      </c>
      <c r="X65" s="183">
        <f>SUMIFS('май 2025'!$G$5:$G$2466,'май 2025'!$D$5:$D$2466,$B65,'май 2025'!$J$5:$J$2466,X$1)</f>
        <v>0</v>
      </c>
      <c r="Y65" s="183">
        <f>SUMIFS('май 2025'!$G$5:$G$2466,'май 2025'!$D$5:$D$2466,$B65,'май 2025'!$J$5:$J$2466,Y$1)</f>
        <v>0</v>
      </c>
      <c r="Z65" s="183">
        <f>SUMIFS('май 2025'!$G$5:$G$2466,'май 2025'!$D$5:$D$2466,$B65,'май 2025'!$J$5:$J$2466,Z$1)</f>
        <v>0</v>
      </c>
      <c r="AA65" s="183">
        <f>SUMIFS('май 2025'!$G$5:$G$2466,'май 2025'!$D$5:$D$2466,$B65,'май 2025'!$J$5:$J$2466,AA$1)</f>
        <v>0</v>
      </c>
      <c r="AB65" s="183">
        <f>SUMIFS('май 2025'!$G$5:$G$2466,'май 2025'!$D$5:$D$2466,$B65,'май 2025'!$J$5:$J$2466,AB$1)</f>
        <v>0</v>
      </c>
      <c r="AC65" s="183">
        <f>SUMIFS('май 2025'!$G$5:$G$2466,'май 2025'!$D$5:$D$2466,$B65,'май 2025'!$J$5:$J$2466,AC$1)</f>
        <v>0</v>
      </c>
      <c r="AD65" s="183">
        <f>SUMIFS('май 2025'!$G$5:$G$2466,'май 2025'!$D$5:$D$2466,$B65,'май 2025'!$J$5:$J$2466,AD$1)</f>
        <v>0</v>
      </c>
      <c r="AE65" s="183">
        <f>SUMIFS('май 2025'!$G$5:$G$2466,'май 2025'!$D$5:$D$2466,$B65,'май 2025'!$J$5:$J$2466,AE$1)</f>
        <v>0</v>
      </c>
      <c r="AF65" s="183">
        <f>SUMIFS('май 2025'!$G$5:$G$2466,'май 2025'!$D$5:$D$2466,$B65,'май 2025'!$J$5:$J$2466,AF$1)</f>
        <v>0</v>
      </c>
      <c r="AG65" s="183">
        <f>SUMIFS('май 2025'!$G$5:$G$2466,'май 2025'!$D$5:$D$2466,$B65,'май 2025'!$J$5:$J$2466,AG$1)</f>
        <v>0</v>
      </c>
      <c r="AH65" s="183">
        <f>SUMIFS('май 2025'!$G$5:$G$2466,'май 2025'!$D$5:$D$2466,$B65,'май 2025'!$J$5:$J$2466,AH$1)</f>
        <v>0</v>
      </c>
      <c r="AI65" s="20">
        <f t="shared" si="1"/>
        <v>0</v>
      </c>
    </row>
    <row r="66" spans="2:35" ht="15" customHeight="1" x14ac:dyDescent="0.25">
      <c r="B66" s="87" t="s">
        <v>308</v>
      </c>
      <c r="C66" s="86">
        <v>50</v>
      </c>
      <c r="D66" s="183">
        <f>SUMIFS('май 2025'!$G$5:$G$2466,'май 2025'!$D$5:$D$2466,$B66,'май 2025'!$J$5:$J$2466,D$1)</f>
        <v>0</v>
      </c>
      <c r="E66" s="183">
        <f>SUMIFS('май 2025'!$G$5:$G$2466,'май 2025'!$D$5:$D$2466,$B66,'май 2025'!$J$5:$J$2466,E$1)</f>
        <v>0</v>
      </c>
      <c r="F66" s="183">
        <f>SUMIFS('май 2025'!$G$5:$G$2466,'май 2025'!$D$5:$D$2466,$B66,'май 2025'!$J$5:$J$2466,F$1)</f>
        <v>0</v>
      </c>
      <c r="G66" s="183">
        <f>SUMIFS('май 2025'!$G$5:$G$2466,'май 2025'!$D$5:$D$2466,$B66,'май 2025'!$J$5:$J$2466,G$1)</f>
        <v>0</v>
      </c>
      <c r="H66" s="183">
        <f>SUMIFS('май 2025'!$G$5:$G$2466,'май 2025'!$D$5:$D$2466,$B66,'май 2025'!$J$5:$J$2466,H$1)</f>
        <v>0</v>
      </c>
      <c r="I66" s="183">
        <f>SUMIFS('май 2025'!$G$5:$G$2466,'май 2025'!$D$5:$D$2466,$B66,'май 2025'!$J$5:$J$2466,I$1)</f>
        <v>0</v>
      </c>
      <c r="J66" s="183">
        <f>SUMIFS('май 2025'!$G$5:$G$2466,'май 2025'!$D$5:$D$2466,$B66,'май 2025'!$J$5:$J$2466,J$1)</f>
        <v>0</v>
      </c>
      <c r="K66" s="183">
        <f>SUMIFS('май 2025'!$G$5:$G$2466,'май 2025'!$D$5:$D$2466,$B66,'май 2025'!$J$5:$J$2466,K$1)</f>
        <v>0</v>
      </c>
      <c r="L66" s="183">
        <f>SUMIFS('май 2025'!$G$5:$G$2466,'май 2025'!$D$5:$D$2466,$B66,'май 2025'!$J$5:$J$2466,L$1)</f>
        <v>0</v>
      </c>
      <c r="M66" s="183">
        <f>SUMIFS('май 2025'!$G$5:$G$2466,'май 2025'!$D$5:$D$2466,$B66,'май 2025'!$J$5:$J$2466,M$1)</f>
        <v>0</v>
      </c>
      <c r="N66" s="183">
        <f>SUMIFS('май 2025'!$G$5:$G$2466,'май 2025'!$D$5:$D$2466,$B66,'май 2025'!$J$5:$J$2466,N$1)</f>
        <v>0</v>
      </c>
      <c r="O66" s="183">
        <f>SUMIFS('май 2025'!$G$5:$G$2466,'май 2025'!$D$5:$D$2466,$B66,'май 2025'!$J$5:$J$2466,O$1)</f>
        <v>0</v>
      </c>
      <c r="P66" s="183">
        <f>SUMIFS('май 2025'!$G$5:$G$2466,'май 2025'!$D$5:$D$2466,$B66,'май 2025'!$J$5:$J$2466,P$1)</f>
        <v>0</v>
      </c>
      <c r="Q66" s="183">
        <f>SUMIFS('май 2025'!$G$5:$G$2466,'май 2025'!$D$5:$D$2466,$B66,'май 2025'!$J$5:$J$2466,Q$1)</f>
        <v>0</v>
      </c>
      <c r="R66" s="183">
        <f>SUMIFS('май 2025'!$G$5:$G$2466,'май 2025'!$D$5:$D$2466,$B66,'май 2025'!$J$5:$J$2466,R$1)</f>
        <v>0</v>
      </c>
      <c r="S66" s="183">
        <f>SUMIFS('май 2025'!$G$5:$G$2466,'май 2025'!$D$5:$D$2466,$B66,'май 2025'!$J$5:$J$2466,S$1)</f>
        <v>0</v>
      </c>
      <c r="T66" s="183">
        <f>SUMIFS('май 2025'!$G$5:$G$2466,'май 2025'!$D$5:$D$2466,$B66,'май 2025'!$J$5:$J$2466,T$1)</f>
        <v>0</v>
      </c>
      <c r="U66" s="183">
        <f>SUMIFS('май 2025'!$G$5:$G$2466,'май 2025'!$D$5:$D$2466,$B66,'май 2025'!$J$5:$J$2466,U$1)</f>
        <v>0</v>
      </c>
      <c r="V66" s="183">
        <f>SUMIFS('май 2025'!$G$5:$G$2466,'май 2025'!$D$5:$D$2466,$B66,'май 2025'!$J$5:$J$2466,V$1)</f>
        <v>0</v>
      </c>
      <c r="W66" s="183">
        <f>SUMIFS('май 2025'!$G$5:$G$2466,'май 2025'!$D$5:$D$2466,$B66,'май 2025'!$J$5:$J$2466,W$1)</f>
        <v>0</v>
      </c>
      <c r="X66" s="183">
        <f>SUMIFS('май 2025'!$G$5:$G$2466,'май 2025'!$D$5:$D$2466,$B66,'май 2025'!$J$5:$J$2466,X$1)</f>
        <v>0</v>
      </c>
      <c r="Y66" s="183">
        <f>SUMIFS('май 2025'!$G$5:$G$2466,'май 2025'!$D$5:$D$2466,$B66,'май 2025'!$J$5:$J$2466,Y$1)</f>
        <v>0</v>
      </c>
      <c r="Z66" s="183">
        <f>SUMIFS('май 2025'!$G$5:$G$2466,'май 2025'!$D$5:$D$2466,$B66,'май 2025'!$J$5:$J$2466,Z$1)</f>
        <v>0</v>
      </c>
      <c r="AA66" s="183">
        <f>SUMIFS('май 2025'!$G$5:$G$2466,'май 2025'!$D$5:$D$2466,$B66,'май 2025'!$J$5:$J$2466,AA$1)</f>
        <v>0</v>
      </c>
      <c r="AB66" s="183">
        <f>SUMIFS('май 2025'!$G$5:$G$2466,'май 2025'!$D$5:$D$2466,$B66,'май 2025'!$J$5:$J$2466,AB$1)</f>
        <v>0</v>
      </c>
      <c r="AC66" s="183">
        <f>SUMIFS('май 2025'!$G$5:$G$2466,'май 2025'!$D$5:$D$2466,$B66,'май 2025'!$J$5:$J$2466,AC$1)</f>
        <v>0</v>
      </c>
      <c r="AD66" s="183">
        <f>SUMIFS('май 2025'!$G$5:$G$2466,'май 2025'!$D$5:$D$2466,$B66,'май 2025'!$J$5:$J$2466,AD$1)</f>
        <v>0</v>
      </c>
      <c r="AE66" s="183">
        <f>SUMIFS('май 2025'!$G$5:$G$2466,'май 2025'!$D$5:$D$2466,$B66,'май 2025'!$J$5:$J$2466,AE$1)</f>
        <v>0</v>
      </c>
      <c r="AF66" s="183">
        <f>SUMIFS('май 2025'!$G$5:$G$2466,'май 2025'!$D$5:$D$2466,$B66,'май 2025'!$J$5:$J$2466,AF$1)</f>
        <v>0</v>
      </c>
      <c r="AG66" s="183">
        <f>SUMIFS('май 2025'!$G$5:$G$2466,'май 2025'!$D$5:$D$2466,$B66,'май 2025'!$J$5:$J$2466,AG$1)</f>
        <v>0</v>
      </c>
      <c r="AH66" s="183">
        <f>SUMIFS('май 2025'!$G$5:$G$2466,'май 2025'!$D$5:$D$2466,$B66,'май 2025'!$J$5:$J$2466,AH$1)</f>
        <v>0</v>
      </c>
      <c r="AI66" s="20">
        <f t="shared" si="1"/>
        <v>0</v>
      </c>
    </row>
    <row r="67" spans="2:35" ht="15" customHeight="1" x14ac:dyDescent="0.25">
      <c r="B67" s="88" t="s">
        <v>198</v>
      </c>
      <c r="C67" s="86">
        <v>200</v>
      </c>
      <c r="D67" s="183">
        <f>SUMIFS('май 2025'!$G$5:$G$2466,'май 2025'!$D$5:$D$2466,$B67,'май 2025'!$J$5:$J$2466,D$1)</f>
        <v>0</v>
      </c>
      <c r="E67" s="183">
        <f>SUMIFS('май 2025'!$G$5:$G$2466,'май 2025'!$D$5:$D$2466,$B67,'май 2025'!$J$5:$J$2466,E$1)</f>
        <v>0</v>
      </c>
      <c r="F67" s="183">
        <f>SUMIFS('май 2025'!$G$5:$G$2466,'май 2025'!$D$5:$D$2466,$B67,'май 2025'!$J$5:$J$2466,F$1)</f>
        <v>0</v>
      </c>
      <c r="G67" s="183">
        <f>SUMIFS('май 2025'!$G$5:$G$2466,'май 2025'!$D$5:$D$2466,$B67,'май 2025'!$J$5:$J$2466,G$1)</f>
        <v>0</v>
      </c>
      <c r="H67" s="183">
        <f>SUMIFS('май 2025'!$G$5:$G$2466,'май 2025'!$D$5:$D$2466,$B67,'май 2025'!$J$5:$J$2466,H$1)</f>
        <v>0</v>
      </c>
      <c r="I67" s="183">
        <f>SUMIFS('май 2025'!$G$5:$G$2466,'май 2025'!$D$5:$D$2466,$B67,'май 2025'!$J$5:$J$2466,I$1)</f>
        <v>0</v>
      </c>
      <c r="J67" s="183">
        <f>SUMIFS('май 2025'!$G$5:$G$2466,'май 2025'!$D$5:$D$2466,$B67,'май 2025'!$J$5:$J$2466,J$1)</f>
        <v>0</v>
      </c>
      <c r="K67" s="183">
        <f>SUMIFS('май 2025'!$G$5:$G$2466,'май 2025'!$D$5:$D$2466,$B67,'май 2025'!$J$5:$J$2466,K$1)</f>
        <v>0</v>
      </c>
      <c r="L67" s="183">
        <f>SUMIFS('май 2025'!$G$5:$G$2466,'май 2025'!$D$5:$D$2466,$B67,'май 2025'!$J$5:$J$2466,L$1)</f>
        <v>0</v>
      </c>
      <c r="M67" s="183">
        <f>SUMIFS('май 2025'!$G$5:$G$2466,'май 2025'!$D$5:$D$2466,$B67,'май 2025'!$J$5:$J$2466,M$1)</f>
        <v>0</v>
      </c>
      <c r="N67" s="183">
        <f>SUMIFS('май 2025'!$G$5:$G$2466,'май 2025'!$D$5:$D$2466,$B67,'май 2025'!$J$5:$J$2466,N$1)</f>
        <v>0</v>
      </c>
      <c r="O67" s="183">
        <f>SUMIFS('май 2025'!$G$5:$G$2466,'май 2025'!$D$5:$D$2466,$B67,'май 2025'!$J$5:$J$2466,O$1)</f>
        <v>0</v>
      </c>
      <c r="P67" s="183">
        <f>SUMIFS('май 2025'!$G$5:$G$2466,'май 2025'!$D$5:$D$2466,$B67,'май 2025'!$J$5:$J$2466,P$1)</f>
        <v>0</v>
      </c>
      <c r="Q67" s="183">
        <f>SUMIFS('май 2025'!$G$5:$G$2466,'май 2025'!$D$5:$D$2466,$B67,'май 2025'!$J$5:$J$2466,Q$1)</f>
        <v>0</v>
      </c>
      <c r="R67" s="183">
        <f>SUMIFS('май 2025'!$G$5:$G$2466,'май 2025'!$D$5:$D$2466,$B67,'май 2025'!$J$5:$J$2466,R$1)</f>
        <v>0</v>
      </c>
      <c r="S67" s="183">
        <f>SUMIFS('май 2025'!$G$5:$G$2466,'май 2025'!$D$5:$D$2466,$B67,'май 2025'!$J$5:$J$2466,S$1)</f>
        <v>0</v>
      </c>
      <c r="T67" s="183">
        <f>SUMIFS('май 2025'!$G$5:$G$2466,'май 2025'!$D$5:$D$2466,$B67,'май 2025'!$J$5:$J$2466,T$1)</f>
        <v>0</v>
      </c>
      <c r="U67" s="183">
        <f>SUMIFS('май 2025'!$G$5:$G$2466,'май 2025'!$D$5:$D$2466,$B67,'май 2025'!$J$5:$J$2466,U$1)</f>
        <v>0</v>
      </c>
      <c r="V67" s="183">
        <f>SUMIFS('май 2025'!$G$5:$G$2466,'май 2025'!$D$5:$D$2466,$B67,'май 2025'!$J$5:$J$2466,V$1)</f>
        <v>0</v>
      </c>
      <c r="W67" s="183">
        <f>SUMIFS('май 2025'!$G$5:$G$2466,'май 2025'!$D$5:$D$2466,$B67,'май 2025'!$J$5:$J$2466,W$1)</f>
        <v>0</v>
      </c>
      <c r="X67" s="183">
        <f>SUMIFS('май 2025'!$G$5:$G$2466,'май 2025'!$D$5:$D$2466,$B67,'май 2025'!$J$5:$J$2466,X$1)</f>
        <v>0</v>
      </c>
      <c r="Y67" s="183">
        <f>SUMIFS('май 2025'!$G$5:$G$2466,'май 2025'!$D$5:$D$2466,$B67,'май 2025'!$J$5:$J$2466,Y$1)</f>
        <v>0</v>
      </c>
      <c r="Z67" s="183">
        <f>SUMIFS('май 2025'!$G$5:$G$2466,'май 2025'!$D$5:$D$2466,$B67,'май 2025'!$J$5:$J$2466,Z$1)</f>
        <v>0</v>
      </c>
      <c r="AA67" s="183">
        <f>SUMIFS('май 2025'!$G$5:$G$2466,'май 2025'!$D$5:$D$2466,$B67,'май 2025'!$J$5:$J$2466,AA$1)</f>
        <v>0</v>
      </c>
      <c r="AB67" s="183">
        <f>SUMIFS('май 2025'!$G$5:$G$2466,'май 2025'!$D$5:$D$2466,$B67,'май 2025'!$J$5:$J$2466,AB$1)</f>
        <v>0</v>
      </c>
      <c r="AC67" s="183">
        <f>SUMIFS('май 2025'!$G$5:$G$2466,'май 2025'!$D$5:$D$2466,$B67,'май 2025'!$J$5:$J$2466,AC$1)</f>
        <v>0</v>
      </c>
      <c r="AD67" s="183">
        <f>SUMIFS('май 2025'!$G$5:$G$2466,'май 2025'!$D$5:$D$2466,$B67,'май 2025'!$J$5:$J$2466,AD$1)</f>
        <v>0</v>
      </c>
      <c r="AE67" s="183">
        <f>SUMIFS('май 2025'!$G$5:$G$2466,'май 2025'!$D$5:$D$2466,$B67,'май 2025'!$J$5:$J$2466,AE$1)</f>
        <v>0</v>
      </c>
      <c r="AF67" s="183">
        <f>SUMIFS('май 2025'!$G$5:$G$2466,'май 2025'!$D$5:$D$2466,$B67,'май 2025'!$J$5:$J$2466,AF$1)</f>
        <v>0</v>
      </c>
      <c r="AG67" s="183">
        <f>SUMIFS('май 2025'!$G$5:$G$2466,'май 2025'!$D$5:$D$2466,$B67,'май 2025'!$J$5:$J$2466,AG$1)</f>
        <v>0</v>
      </c>
      <c r="AH67" s="183">
        <f>SUMIFS('май 2025'!$G$5:$G$2466,'май 2025'!$D$5:$D$2466,$B67,'май 2025'!$J$5:$J$2466,AH$1)</f>
        <v>0</v>
      </c>
      <c r="AI67" s="20">
        <f t="shared" si="1"/>
        <v>0</v>
      </c>
    </row>
    <row r="68" spans="2:35" ht="15" customHeight="1" x14ac:dyDescent="0.25">
      <c r="B68" s="88" t="s">
        <v>207</v>
      </c>
      <c r="C68" s="86">
        <v>25</v>
      </c>
      <c r="D68" s="183">
        <f>SUMIFS('май 2025'!$G$5:$G$2466,'май 2025'!$D$5:$D$2466,$B68,'май 2025'!$J$5:$J$2466,D$1)</f>
        <v>0</v>
      </c>
      <c r="E68" s="183">
        <f>SUMIFS('май 2025'!$G$5:$G$2466,'май 2025'!$D$5:$D$2466,$B68,'май 2025'!$J$5:$J$2466,E$1)</f>
        <v>0</v>
      </c>
      <c r="F68" s="183">
        <f>SUMIFS('май 2025'!$G$5:$G$2466,'май 2025'!$D$5:$D$2466,$B68,'май 2025'!$J$5:$J$2466,F$1)</f>
        <v>0</v>
      </c>
      <c r="G68" s="183">
        <f>SUMIFS('май 2025'!$G$5:$G$2466,'май 2025'!$D$5:$D$2466,$B68,'май 2025'!$J$5:$J$2466,G$1)</f>
        <v>0</v>
      </c>
      <c r="H68" s="183">
        <f>SUMIFS('май 2025'!$G$5:$G$2466,'май 2025'!$D$5:$D$2466,$B68,'май 2025'!$J$5:$J$2466,H$1)</f>
        <v>0</v>
      </c>
      <c r="I68" s="183">
        <f>SUMIFS('май 2025'!$G$5:$G$2466,'май 2025'!$D$5:$D$2466,$B68,'май 2025'!$J$5:$J$2466,I$1)</f>
        <v>0</v>
      </c>
      <c r="J68" s="183">
        <f>SUMIFS('май 2025'!$G$5:$G$2466,'май 2025'!$D$5:$D$2466,$B68,'май 2025'!$J$5:$J$2466,J$1)</f>
        <v>0</v>
      </c>
      <c r="K68" s="183">
        <f>SUMIFS('май 2025'!$G$5:$G$2466,'май 2025'!$D$5:$D$2466,$B68,'май 2025'!$J$5:$J$2466,K$1)</f>
        <v>0</v>
      </c>
      <c r="L68" s="183">
        <f>SUMIFS('май 2025'!$G$5:$G$2466,'май 2025'!$D$5:$D$2466,$B68,'май 2025'!$J$5:$J$2466,L$1)</f>
        <v>0</v>
      </c>
      <c r="M68" s="183">
        <f>SUMIFS('май 2025'!$G$5:$G$2466,'май 2025'!$D$5:$D$2466,$B68,'май 2025'!$J$5:$J$2466,M$1)</f>
        <v>0</v>
      </c>
      <c r="N68" s="183">
        <f>SUMIFS('май 2025'!$G$5:$G$2466,'май 2025'!$D$5:$D$2466,$B68,'май 2025'!$J$5:$J$2466,N$1)</f>
        <v>0</v>
      </c>
      <c r="O68" s="183">
        <f>SUMIFS('май 2025'!$G$5:$G$2466,'май 2025'!$D$5:$D$2466,$B68,'май 2025'!$J$5:$J$2466,O$1)</f>
        <v>0</v>
      </c>
      <c r="P68" s="183">
        <f>SUMIFS('май 2025'!$G$5:$G$2466,'май 2025'!$D$5:$D$2466,$B68,'май 2025'!$J$5:$J$2466,P$1)</f>
        <v>0</v>
      </c>
      <c r="Q68" s="183">
        <f>SUMIFS('май 2025'!$G$5:$G$2466,'май 2025'!$D$5:$D$2466,$B68,'май 2025'!$J$5:$J$2466,Q$1)</f>
        <v>0</v>
      </c>
      <c r="R68" s="183">
        <f>SUMIFS('май 2025'!$G$5:$G$2466,'май 2025'!$D$5:$D$2466,$B68,'май 2025'!$J$5:$J$2466,R$1)</f>
        <v>0</v>
      </c>
      <c r="S68" s="183">
        <f>SUMIFS('май 2025'!$G$5:$G$2466,'май 2025'!$D$5:$D$2466,$B68,'май 2025'!$J$5:$J$2466,S$1)</f>
        <v>0</v>
      </c>
      <c r="T68" s="183">
        <f>SUMIFS('май 2025'!$G$5:$G$2466,'май 2025'!$D$5:$D$2466,$B68,'май 2025'!$J$5:$J$2466,T$1)</f>
        <v>0</v>
      </c>
      <c r="U68" s="183">
        <f>SUMIFS('май 2025'!$G$5:$G$2466,'май 2025'!$D$5:$D$2466,$B68,'май 2025'!$J$5:$J$2466,U$1)</f>
        <v>0</v>
      </c>
      <c r="V68" s="183">
        <f>SUMIFS('май 2025'!$G$5:$G$2466,'май 2025'!$D$5:$D$2466,$B68,'май 2025'!$J$5:$J$2466,V$1)</f>
        <v>0</v>
      </c>
      <c r="W68" s="183">
        <f>SUMIFS('май 2025'!$G$5:$G$2466,'май 2025'!$D$5:$D$2466,$B68,'май 2025'!$J$5:$J$2466,W$1)</f>
        <v>0</v>
      </c>
      <c r="X68" s="183">
        <f>SUMIFS('май 2025'!$G$5:$G$2466,'май 2025'!$D$5:$D$2466,$B68,'май 2025'!$J$5:$J$2466,X$1)</f>
        <v>0</v>
      </c>
      <c r="Y68" s="183">
        <f>SUMIFS('май 2025'!$G$5:$G$2466,'май 2025'!$D$5:$D$2466,$B68,'май 2025'!$J$5:$J$2466,Y$1)</f>
        <v>0</v>
      </c>
      <c r="Z68" s="183">
        <f>SUMIFS('май 2025'!$G$5:$G$2466,'май 2025'!$D$5:$D$2466,$B68,'май 2025'!$J$5:$J$2466,Z$1)</f>
        <v>0</v>
      </c>
      <c r="AA68" s="183">
        <f>SUMIFS('май 2025'!$G$5:$G$2466,'май 2025'!$D$5:$D$2466,$B68,'май 2025'!$J$5:$J$2466,AA$1)</f>
        <v>0</v>
      </c>
      <c r="AB68" s="183">
        <f>SUMIFS('май 2025'!$G$5:$G$2466,'май 2025'!$D$5:$D$2466,$B68,'май 2025'!$J$5:$J$2466,AB$1)</f>
        <v>0</v>
      </c>
      <c r="AC68" s="183">
        <f>SUMIFS('май 2025'!$G$5:$G$2466,'май 2025'!$D$5:$D$2466,$B68,'май 2025'!$J$5:$J$2466,AC$1)</f>
        <v>0</v>
      </c>
      <c r="AD68" s="183">
        <f>SUMIFS('май 2025'!$G$5:$G$2466,'май 2025'!$D$5:$D$2466,$B68,'май 2025'!$J$5:$J$2466,AD$1)</f>
        <v>0</v>
      </c>
      <c r="AE68" s="183">
        <f>SUMIFS('май 2025'!$G$5:$G$2466,'май 2025'!$D$5:$D$2466,$B68,'май 2025'!$J$5:$J$2466,AE$1)</f>
        <v>0</v>
      </c>
      <c r="AF68" s="183">
        <f>SUMIFS('май 2025'!$G$5:$G$2466,'май 2025'!$D$5:$D$2466,$B68,'май 2025'!$J$5:$J$2466,AF$1)</f>
        <v>0</v>
      </c>
      <c r="AG68" s="183">
        <f>SUMIFS('май 2025'!$G$5:$G$2466,'май 2025'!$D$5:$D$2466,$B68,'май 2025'!$J$5:$J$2466,AG$1)</f>
        <v>0</v>
      </c>
      <c r="AH68" s="183">
        <f>SUMIFS('май 2025'!$G$5:$G$2466,'май 2025'!$D$5:$D$2466,$B68,'май 2025'!$J$5:$J$2466,AH$1)</f>
        <v>0</v>
      </c>
      <c r="AI68" s="20">
        <f t="shared" si="1"/>
        <v>0</v>
      </c>
    </row>
    <row r="69" spans="2:35" ht="15" customHeight="1" x14ac:dyDescent="0.25">
      <c r="B69" s="88" t="s">
        <v>179</v>
      </c>
      <c r="C69" s="86">
        <v>50</v>
      </c>
      <c r="D69" s="183">
        <f>SUMIFS('май 2025'!$G$5:$G$2466,'май 2025'!$D$5:$D$2466,$B69,'май 2025'!$J$5:$J$2466,D$1)</f>
        <v>0</v>
      </c>
      <c r="E69" s="183">
        <f>SUMIFS('май 2025'!$G$5:$G$2466,'май 2025'!$D$5:$D$2466,$B69,'май 2025'!$J$5:$J$2466,E$1)</f>
        <v>0</v>
      </c>
      <c r="F69" s="183">
        <f>SUMIFS('май 2025'!$G$5:$G$2466,'май 2025'!$D$5:$D$2466,$B69,'май 2025'!$J$5:$J$2466,F$1)</f>
        <v>0</v>
      </c>
      <c r="G69" s="183">
        <f>SUMIFS('май 2025'!$G$5:$G$2466,'май 2025'!$D$5:$D$2466,$B69,'май 2025'!$J$5:$J$2466,G$1)</f>
        <v>0</v>
      </c>
      <c r="H69" s="183">
        <f>SUMIFS('май 2025'!$G$5:$G$2466,'май 2025'!$D$5:$D$2466,$B69,'май 2025'!$J$5:$J$2466,H$1)</f>
        <v>0</v>
      </c>
      <c r="I69" s="183">
        <f>SUMIFS('май 2025'!$G$5:$G$2466,'май 2025'!$D$5:$D$2466,$B69,'май 2025'!$J$5:$J$2466,I$1)</f>
        <v>0</v>
      </c>
      <c r="J69" s="183">
        <f>SUMIFS('май 2025'!$G$5:$G$2466,'май 2025'!$D$5:$D$2466,$B69,'май 2025'!$J$5:$J$2466,J$1)</f>
        <v>0</v>
      </c>
      <c r="K69" s="183">
        <f>SUMIFS('май 2025'!$G$5:$G$2466,'май 2025'!$D$5:$D$2466,$B69,'май 2025'!$J$5:$J$2466,K$1)</f>
        <v>0</v>
      </c>
      <c r="L69" s="183">
        <f>SUMIFS('май 2025'!$G$5:$G$2466,'май 2025'!$D$5:$D$2466,$B69,'май 2025'!$J$5:$J$2466,L$1)</f>
        <v>0</v>
      </c>
      <c r="M69" s="183">
        <f>SUMIFS('май 2025'!$G$5:$G$2466,'май 2025'!$D$5:$D$2466,$B69,'май 2025'!$J$5:$J$2466,M$1)</f>
        <v>0</v>
      </c>
      <c r="N69" s="183">
        <f>SUMIFS('май 2025'!$G$5:$G$2466,'май 2025'!$D$5:$D$2466,$B69,'май 2025'!$J$5:$J$2466,N$1)</f>
        <v>0</v>
      </c>
      <c r="O69" s="183">
        <f>SUMIFS('май 2025'!$G$5:$G$2466,'май 2025'!$D$5:$D$2466,$B69,'май 2025'!$J$5:$J$2466,O$1)</f>
        <v>0</v>
      </c>
      <c r="P69" s="183">
        <f>SUMIFS('май 2025'!$G$5:$G$2466,'май 2025'!$D$5:$D$2466,$B69,'май 2025'!$J$5:$J$2466,P$1)</f>
        <v>0</v>
      </c>
      <c r="Q69" s="183">
        <f>SUMIFS('май 2025'!$G$5:$G$2466,'май 2025'!$D$5:$D$2466,$B69,'май 2025'!$J$5:$J$2466,Q$1)</f>
        <v>0</v>
      </c>
      <c r="R69" s="183">
        <f>SUMIFS('май 2025'!$G$5:$G$2466,'май 2025'!$D$5:$D$2466,$B69,'май 2025'!$J$5:$J$2466,R$1)</f>
        <v>0</v>
      </c>
      <c r="S69" s="183">
        <f>SUMIFS('май 2025'!$G$5:$G$2466,'май 2025'!$D$5:$D$2466,$B69,'май 2025'!$J$5:$J$2466,S$1)</f>
        <v>0</v>
      </c>
      <c r="T69" s="183">
        <f>SUMIFS('май 2025'!$G$5:$G$2466,'май 2025'!$D$5:$D$2466,$B69,'май 2025'!$J$5:$J$2466,T$1)</f>
        <v>0</v>
      </c>
      <c r="U69" s="183">
        <f>SUMIFS('май 2025'!$G$5:$G$2466,'май 2025'!$D$5:$D$2466,$B69,'май 2025'!$J$5:$J$2466,U$1)</f>
        <v>0</v>
      </c>
      <c r="V69" s="183">
        <f>SUMIFS('май 2025'!$G$5:$G$2466,'май 2025'!$D$5:$D$2466,$B69,'май 2025'!$J$5:$J$2466,V$1)</f>
        <v>0</v>
      </c>
      <c r="W69" s="183">
        <f>SUMIFS('май 2025'!$G$5:$G$2466,'май 2025'!$D$5:$D$2466,$B69,'май 2025'!$J$5:$J$2466,W$1)</f>
        <v>0</v>
      </c>
      <c r="X69" s="183">
        <f>SUMIFS('май 2025'!$G$5:$G$2466,'май 2025'!$D$5:$D$2466,$B69,'май 2025'!$J$5:$J$2466,X$1)</f>
        <v>0</v>
      </c>
      <c r="Y69" s="183">
        <f>SUMIFS('май 2025'!$G$5:$G$2466,'май 2025'!$D$5:$D$2466,$B69,'май 2025'!$J$5:$J$2466,Y$1)</f>
        <v>0</v>
      </c>
      <c r="Z69" s="183">
        <f>SUMIFS('май 2025'!$G$5:$G$2466,'май 2025'!$D$5:$D$2466,$B69,'май 2025'!$J$5:$J$2466,Z$1)</f>
        <v>0</v>
      </c>
      <c r="AA69" s="183">
        <f>SUMIFS('май 2025'!$G$5:$G$2466,'май 2025'!$D$5:$D$2466,$B69,'май 2025'!$J$5:$J$2466,AA$1)</f>
        <v>0</v>
      </c>
      <c r="AB69" s="183">
        <f>SUMIFS('май 2025'!$G$5:$G$2466,'май 2025'!$D$5:$D$2466,$B69,'май 2025'!$J$5:$J$2466,AB$1)</f>
        <v>0</v>
      </c>
      <c r="AC69" s="183">
        <f>SUMIFS('май 2025'!$G$5:$G$2466,'май 2025'!$D$5:$D$2466,$B69,'май 2025'!$J$5:$J$2466,AC$1)</f>
        <v>0</v>
      </c>
      <c r="AD69" s="183">
        <f>SUMIFS('май 2025'!$G$5:$G$2466,'май 2025'!$D$5:$D$2466,$B69,'май 2025'!$J$5:$J$2466,AD$1)</f>
        <v>0</v>
      </c>
      <c r="AE69" s="183">
        <f>SUMIFS('май 2025'!$G$5:$G$2466,'май 2025'!$D$5:$D$2466,$B69,'май 2025'!$J$5:$J$2466,AE$1)</f>
        <v>0</v>
      </c>
      <c r="AF69" s="183">
        <f>SUMIFS('май 2025'!$G$5:$G$2466,'май 2025'!$D$5:$D$2466,$B69,'май 2025'!$J$5:$J$2466,AF$1)</f>
        <v>0</v>
      </c>
      <c r="AG69" s="183">
        <f>SUMIFS('май 2025'!$G$5:$G$2466,'май 2025'!$D$5:$D$2466,$B69,'май 2025'!$J$5:$J$2466,AG$1)</f>
        <v>0</v>
      </c>
      <c r="AH69" s="183">
        <f>SUMIFS('май 2025'!$G$5:$G$2466,'май 2025'!$D$5:$D$2466,$B69,'май 2025'!$J$5:$J$2466,AH$1)</f>
        <v>0</v>
      </c>
      <c r="AI69" s="20">
        <f t="shared" si="1"/>
        <v>0</v>
      </c>
    </row>
    <row r="70" spans="2:35" ht="15.75" x14ac:dyDescent="0.25">
      <c r="B70" s="84" t="s">
        <v>158</v>
      </c>
      <c r="C70" s="83">
        <v>200</v>
      </c>
      <c r="D70" s="183">
        <f>SUMIFS('май 2025'!$G$5:$G$2466,'май 2025'!$D$5:$D$2466,$B70,'май 2025'!$J$5:$J$2466,D$1)</f>
        <v>0</v>
      </c>
      <c r="E70" s="183">
        <f>SUMIFS('май 2025'!$G$5:$G$2466,'май 2025'!$D$5:$D$2466,$B70,'май 2025'!$J$5:$J$2466,E$1)</f>
        <v>0</v>
      </c>
      <c r="F70" s="183">
        <f>SUMIFS('май 2025'!$G$5:$G$2466,'май 2025'!$D$5:$D$2466,$B70,'май 2025'!$J$5:$J$2466,F$1)</f>
        <v>0</v>
      </c>
      <c r="G70" s="183">
        <f>SUMIFS('май 2025'!$G$5:$G$2466,'май 2025'!$D$5:$D$2466,$B70,'май 2025'!$J$5:$J$2466,G$1)</f>
        <v>0</v>
      </c>
      <c r="H70" s="183">
        <f>SUMIFS('май 2025'!$G$5:$G$2466,'май 2025'!$D$5:$D$2466,$B70,'май 2025'!$J$5:$J$2466,H$1)</f>
        <v>0</v>
      </c>
      <c r="I70" s="183">
        <f>SUMIFS('май 2025'!$G$5:$G$2466,'май 2025'!$D$5:$D$2466,$B70,'май 2025'!$J$5:$J$2466,I$1)</f>
        <v>0</v>
      </c>
      <c r="J70" s="183">
        <f>SUMIFS('май 2025'!$G$5:$G$2466,'май 2025'!$D$5:$D$2466,$B70,'май 2025'!$J$5:$J$2466,J$1)</f>
        <v>0</v>
      </c>
      <c r="K70" s="183">
        <f>SUMIFS('май 2025'!$G$5:$G$2466,'май 2025'!$D$5:$D$2466,$B70,'май 2025'!$J$5:$J$2466,K$1)</f>
        <v>0</v>
      </c>
      <c r="L70" s="183">
        <f>SUMIFS('май 2025'!$G$5:$G$2466,'май 2025'!$D$5:$D$2466,$B70,'май 2025'!$J$5:$J$2466,L$1)</f>
        <v>0</v>
      </c>
      <c r="M70" s="183">
        <f>SUMIFS('май 2025'!$G$5:$G$2466,'май 2025'!$D$5:$D$2466,$B70,'май 2025'!$J$5:$J$2466,M$1)</f>
        <v>0</v>
      </c>
      <c r="N70" s="183">
        <f>SUMIFS('май 2025'!$G$5:$G$2466,'май 2025'!$D$5:$D$2466,$B70,'май 2025'!$J$5:$J$2466,N$1)</f>
        <v>0</v>
      </c>
      <c r="O70" s="183">
        <f>SUMIFS('май 2025'!$G$5:$G$2466,'май 2025'!$D$5:$D$2466,$B70,'май 2025'!$J$5:$J$2466,O$1)</f>
        <v>0</v>
      </c>
      <c r="P70" s="183">
        <f>SUMIFS('май 2025'!$G$5:$G$2466,'май 2025'!$D$5:$D$2466,$B70,'май 2025'!$J$5:$J$2466,P$1)</f>
        <v>0</v>
      </c>
      <c r="Q70" s="183">
        <f>SUMIFS('май 2025'!$G$5:$G$2466,'май 2025'!$D$5:$D$2466,$B70,'май 2025'!$J$5:$J$2466,Q$1)</f>
        <v>0</v>
      </c>
      <c r="R70" s="183">
        <f>SUMIFS('май 2025'!$G$5:$G$2466,'май 2025'!$D$5:$D$2466,$B70,'май 2025'!$J$5:$J$2466,R$1)</f>
        <v>0</v>
      </c>
      <c r="S70" s="183">
        <f>SUMIFS('май 2025'!$G$5:$G$2466,'май 2025'!$D$5:$D$2466,$B70,'май 2025'!$J$5:$J$2466,S$1)</f>
        <v>0</v>
      </c>
      <c r="T70" s="183">
        <f>SUMIFS('май 2025'!$G$5:$G$2466,'май 2025'!$D$5:$D$2466,$B70,'май 2025'!$J$5:$J$2466,T$1)</f>
        <v>0</v>
      </c>
      <c r="U70" s="183">
        <f>SUMIFS('май 2025'!$G$5:$G$2466,'май 2025'!$D$5:$D$2466,$B70,'май 2025'!$J$5:$J$2466,U$1)</f>
        <v>0</v>
      </c>
      <c r="V70" s="183">
        <f>SUMIFS('май 2025'!$G$5:$G$2466,'май 2025'!$D$5:$D$2466,$B70,'май 2025'!$J$5:$J$2466,V$1)</f>
        <v>0</v>
      </c>
      <c r="W70" s="183">
        <f>SUMIFS('май 2025'!$G$5:$G$2466,'май 2025'!$D$5:$D$2466,$B70,'май 2025'!$J$5:$J$2466,W$1)</f>
        <v>0</v>
      </c>
      <c r="X70" s="183">
        <f>SUMIFS('май 2025'!$G$5:$G$2466,'май 2025'!$D$5:$D$2466,$B70,'май 2025'!$J$5:$J$2466,X$1)</f>
        <v>0</v>
      </c>
      <c r="Y70" s="183">
        <f>SUMIFS('май 2025'!$G$5:$G$2466,'май 2025'!$D$5:$D$2466,$B70,'май 2025'!$J$5:$J$2466,Y$1)</f>
        <v>0</v>
      </c>
      <c r="Z70" s="183">
        <f>SUMIFS('май 2025'!$G$5:$G$2466,'май 2025'!$D$5:$D$2466,$B70,'май 2025'!$J$5:$J$2466,Z$1)</f>
        <v>0</v>
      </c>
      <c r="AA70" s="183">
        <f>SUMIFS('май 2025'!$G$5:$G$2466,'май 2025'!$D$5:$D$2466,$B70,'май 2025'!$J$5:$J$2466,AA$1)</f>
        <v>0</v>
      </c>
      <c r="AB70" s="183">
        <f>SUMIFS('май 2025'!$G$5:$G$2466,'май 2025'!$D$5:$D$2466,$B70,'май 2025'!$J$5:$J$2466,AB$1)</f>
        <v>0</v>
      </c>
      <c r="AC70" s="183">
        <f>SUMIFS('май 2025'!$G$5:$G$2466,'май 2025'!$D$5:$D$2466,$B70,'май 2025'!$J$5:$J$2466,AC$1)</f>
        <v>0</v>
      </c>
      <c r="AD70" s="183">
        <f>SUMIFS('май 2025'!$G$5:$G$2466,'май 2025'!$D$5:$D$2466,$B70,'май 2025'!$J$5:$J$2466,AD$1)</f>
        <v>0</v>
      </c>
      <c r="AE70" s="183">
        <f>SUMIFS('май 2025'!$G$5:$G$2466,'май 2025'!$D$5:$D$2466,$B70,'май 2025'!$J$5:$J$2466,AE$1)</f>
        <v>0</v>
      </c>
      <c r="AF70" s="183">
        <f>SUMIFS('май 2025'!$G$5:$G$2466,'май 2025'!$D$5:$D$2466,$B70,'май 2025'!$J$5:$J$2466,AF$1)</f>
        <v>0</v>
      </c>
      <c r="AG70" s="183">
        <f>SUMIFS('май 2025'!$G$5:$G$2466,'май 2025'!$D$5:$D$2466,$B70,'май 2025'!$J$5:$J$2466,AG$1)</f>
        <v>0</v>
      </c>
      <c r="AH70" s="183">
        <f>SUMIFS('май 2025'!$G$5:$G$2466,'май 2025'!$D$5:$D$2466,$B70,'май 2025'!$J$5:$J$2466,AH$1)</f>
        <v>0</v>
      </c>
      <c r="AI70" s="20">
        <f t="shared" si="1"/>
        <v>0</v>
      </c>
    </row>
    <row r="71" spans="2:35" ht="15.75" x14ac:dyDescent="0.25">
      <c r="B71" s="88" t="s">
        <v>157</v>
      </c>
      <c r="C71" s="86">
        <v>200</v>
      </c>
      <c r="D71" s="183">
        <f>SUMIFS('май 2025'!$G$5:$G$2466,'май 2025'!$D$5:$D$2466,$B71,'май 2025'!$J$5:$J$2466,D$1)</f>
        <v>0</v>
      </c>
      <c r="E71" s="183">
        <f>SUMIFS('май 2025'!$G$5:$G$2466,'май 2025'!$D$5:$D$2466,$B71,'май 2025'!$J$5:$J$2466,E$1)</f>
        <v>0</v>
      </c>
      <c r="F71" s="183">
        <f>SUMIFS('май 2025'!$G$5:$G$2466,'май 2025'!$D$5:$D$2466,$B71,'май 2025'!$J$5:$J$2466,F$1)</f>
        <v>0</v>
      </c>
      <c r="G71" s="183">
        <f>SUMIFS('май 2025'!$G$5:$G$2466,'май 2025'!$D$5:$D$2466,$B71,'май 2025'!$J$5:$J$2466,G$1)</f>
        <v>0</v>
      </c>
      <c r="H71" s="183">
        <f>SUMIFS('май 2025'!$G$5:$G$2466,'май 2025'!$D$5:$D$2466,$B71,'май 2025'!$J$5:$J$2466,H$1)</f>
        <v>0</v>
      </c>
      <c r="I71" s="183">
        <f>SUMIFS('май 2025'!$G$5:$G$2466,'май 2025'!$D$5:$D$2466,$B71,'май 2025'!$J$5:$J$2466,I$1)</f>
        <v>0</v>
      </c>
      <c r="J71" s="183">
        <f>SUMIFS('май 2025'!$G$5:$G$2466,'май 2025'!$D$5:$D$2466,$B71,'май 2025'!$J$5:$J$2466,J$1)</f>
        <v>0</v>
      </c>
      <c r="K71" s="183">
        <f>SUMIFS('май 2025'!$G$5:$G$2466,'май 2025'!$D$5:$D$2466,$B71,'май 2025'!$J$5:$J$2466,K$1)</f>
        <v>0</v>
      </c>
      <c r="L71" s="183">
        <f>SUMIFS('май 2025'!$G$5:$G$2466,'май 2025'!$D$5:$D$2466,$B71,'май 2025'!$J$5:$J$2466,L$1)</f>
        <v>0</v>
      </c>
      <c r="M71" s="183">
        <f>SUMIFS('май 2025'!$G$5:$G$2466,'май 2025'!$D$5:$D$2466,$B71,'май 2025'!$J$5:$J$2466,M$1)</f>
        <v>0</v>
      </c>
      <c r="N71" s="183">
        <f>SUMIFS('май 2025'!$G$5:$G$2466,'май 2025'!$D$5:$D$2466,$B71,'май 2025'!$J$5:$J$2466,N$1)</f>
        <v>0</v>
      </c>
      <c r="O71" s="183">
        <f>SUMIFS('май 2025'!$G$5:$G$2466,'май 2025'!$D$5:$D$2466,$B71,'май 2025'!$J$5:$J$2466,O$1)</f>
        <v>0</v>
      </c>
      <c r="P71" s="183">
        <f>SUMIFS('май 2025'!$G$5:$G$2466,'май 2025'!$D$5:$D$2466,$B71,'май 2025'!$J$5:$J$2466,P$1)</f>
        <v>0</v>
      </c>
      <c r="Q71" s="183">
        <f>SUMIFS('май 2025'!$G$5:$G$2466,'май 2025'!$D$5:$D$2466,$B71,'май 2025'!$J$5:$J$2466,Q$1)</f>
        <v>0</v>
      </c>
      <c r="R71" s="183">
        <f>SUMIFS('май 2025'!$G$5:$G$2466,'май 2025'!$D$5:$D$2466,$B71,'май 2025'!$J$5:$J$2466,R$1)</f>
        <v>0</v>
      </c>
      <c r="S71" s="183">
        <f>SUMIFS('май 2025'!$G$5:$G$2466,'май 2025'!$D$5:$D$2466,$B71,'май 2025'!$J$5:$J$2466,S$1)</f>
        <v>0</v>
      </c>
      <c r="T71" s="183">
        <f>SUMIFS('май 2025'!$G$5:$G$2466,'май 2025'!$D$5:$D$2466,$B71,'май 2025'!$J$5:$J$2466,T$1)</f>
        <v>0</v>
      </c>
      <c r="U71" s="183">
        <f>SUMIFS('май 2025'!$G$5:$G$2466,'май 2025'!$D$5:$D$2466,$B71,'май 2025'!$J$5:$J$2466,U$1)</f>
        <v>0</v>
      </c>
      <c r="V71" s="183">
        <f>SUMIFS('май 2025'!$G$5:$G$2466,'май 2025'!$D$5:$D$2466,$B71,'май 2025'!$J$5:$J$2466,V$1)</f>
        <v>88</v>
      </c>
      <c r="W71" s="183">
        <f>SUMIFS('май 2025'!$G$5:$G$2466,'май 2025'!$D$5:$D$2466,$B71,'май 2025'!$J$5:$J$2466,W$1)</f>
        <v>0</v>
      </c>
      <c r="X71" s="183">
        <f>SUMIFS('май 2025'!$G$5:$G$2466,'май 2025'!$D$5:$D$2466,$B71,'май 2025'!$J$5:$J$2466,X$1)</f>
        <v>0</v>
      </c>
      <c r="Y71" s="183">
        <f>SUMIFS('май 2025'!$G$5:$G$2466,'май 2025'!$D$5:$D$2466,$B71,'май 2025'!$J$5:$J$2466,Y$1)</f>
        <v>0</v>
      </c>
      <c r="Z71" s="183">
        <f>SUMIFS('май 2025'!$G$5:$G$2466,'май 2025'!$D$5:$D$2466,$B71,'май 2025'!$J$5:$J$2466,Z$1)</f>
        <v>88</v>
      </c>
      <c r="AA71" s="183">
        <f>SUMIFS('май 2025'!$G$5:$G$2466,'май 2025'!$D$5:$D$2466,$B71,'май 2025'!$J$5:$J$2466,AA$1)</f>
        <v>0</v>
      </c>
      <c r="AB71" s="183">
        <f>SUMIFS('май 2025'!$G$5:$G$2466,'май 2025'!$D$5:$D$2466,$B71,'май 2025'!$J$5:$J$2466,AB$1)</f>
        <v>0</v>
      </c>
      <c r="AC71" s="183">
        <f>SUMIFS('май 2025'!$G$5:$G$2466,'май 2025'!$D$5:$D$2466,$B71,'май 2025'!$J$5:$J$2466,AC$1)</f>
        <v>0</v>
      </c>
      <c r="AD71" s="183">
        <f>SUMIFS('май 2025'!$G$5:$G$2466,'май 2025'!$D$5:$D$2466,$B71,'май 2025'!$J$5:$J$2466,AD$1)</f>
        <v>0</v>
      </c>
      <c r="AE71" s="183">
        <f>SUMIFS('май 2025'!$G$5:$G$2466,'май 2025'!$D$5:$D$2466,$B71,'май 2025'!$J$5:$J$2466,AE$1)</f>
        <v>88</v>
      </c>
      <c r="AF71" s="183">
        <f>SUMIFS('май 2025'!$G$5:$G$2466,'май 2025'!$D$5:$D$2466,$B71,'май 2025'!$J$5:$J$2466,AF$1)</f>
        <v>0</v>
      </c>
      <c r="AG71" s="183">
        <f>SUMIFS('май 2025'!$G$5:$G$2466,'май 2025'!$D$5:$D$2466,$B71,'май 2025'!$J$5:$J$2466,AG$1)</f>
        <v>0</v>
      </c>
      <c r="AH71" s="183">
        <f>SUMIFS('май 2025'!$G$5:$G$2466,'май 2025'!$D$5:$D$2466,$B71,'май 2025'!$J$5:$J$2466,AH$1)</f>
        <v>0</v>
      </c>
      <c r="AI71" s="20">
        <f t="shared" si="1"/>
        <v>264</v>
      </c>
    </row>
    <row r="72" spans="2:35" ht="15.75" x14ac:dyDescent="0.25">
      <c r="B72" s="88" t="s">
        <v>299</v>
      </c>
      <c r="C72" s="86">
        <v>200</v>
      </c>
      <c r="D72" s="183">
        <f>SUMIFS('май 2025'!$G$5:$G$2466,'май 2025'!$D$5:$D$2466,$B72,'май 2025'!$J$5:$J$2466,D$1)</f>
        <v>0</v>
      </c>
      <c r="E72" s="183">
        <f>SUMIFS('май 2025'!$G$5:$G$2466,'май 2025'!$D$5:$D$2466,$B72,'май 2025'!$J$5:$J$2466,E$1)</f>
        <v>0</v>
      </c>
      <c r="F72" s="183">
        <f>SUMIFS('май 2025'!$G$5:$G$2466,'май 2025'!$D$5:$D$2466,$B72,'май 2025'!$J$5:$J$2466,F$1)</f>
        <v>0</v>
      </c>
      <c r="G72" s="183">
        <f>SUMIFS('май 2025'!$G$5:$G$2466,'май 2025'!$D$5:$D$2466,$B72,'май 2025'!$J$5:$J$2466,G$1)</f>
        <v>0</v>
      </c>
      <c r="H72" s="183">
        <f>SUMIFS('май 2025'!$G$5:$G$2466,'май 2025'!$D$5:$D$2466,$B72,'май 2025'!$J$5:$J$2466,H$1)</f>
        <v>0</v>
      </c>
      <c r="I72" s="183">
        <f>SUMIFS('май 2025'!$G$5:$G$2466,'май 2025'!$D$5:$D$2466,$B72,'май 2025'!$J$5:$J$2466,I$1)</f>
        <v>0</v>
      </c>
      <c r="J72" s="183">
        <f>SUMIFS('май 2025'!$G$5:$G$2466,'май 2025'!$D$5:$D$2466,$B72,'май 2025'!$J$5:$J$2466,J$1)</f>
        <v>0</v>
      </c>
      <c r="K72" s="183">
        <f>SUMIFS('май 2025'!$G$5:$G$2466,'май 2025'!$D$5:$D$2466,$B72,'май 2025'!$J$5:$J$2466,K$1)</f>
        <v>0</v>
      </c>
      <c r="L72" s="183">
        <f>SUMIFS('май 2025'!$G$5:$G$2466,'май 2025'!$D$5:$D$2466,$B72,'май 2025'!$J$5:$J$2466,L$1)</f>
        <v>0</v>
      </c>
      <c r="M72" s="183">
        <f>SUMIFS('май 2025'!$G$5:$G$2466,'май 2025'!$D$5:$D$2466,$B72,'май 2025'!$J$5:$J$2466,M$1)</f>
        <v>0</v>
      </c>
      <c r="N72" s="183">
        <f>SUMIFS('май 2025'!$G$5:$G$2466,'май 2025'!$D$5:$D$2466,$B72,'май 2025'!$J$5:$J$2466,N$1)</f>
        <v>0</v>
      </c>
      <c r="O72" s="183">
        <f>SUMIFS('май 2025'!$G$5:$G$2466,'май 2025'!$D$5:$D$2466,$B72,'май 2025'!$J$5:$J$2466,O$1)</f>
        <v>0</v>
      </c>
      <c r="P72" s="183">
        <f>SUMIFS('май 2025'!$G$5:$G$2466,'май 2025'!$D$5:$D$2466,$B72,'май 2025'!$J$5:$J$2466,P$1)</f>
        <v>0</v>
      </c>
      <c r="Q72" s="183">
        <f>SUMIFS('май 2025'!$G$5:$G$2466,'май 2025'!$D$5:$D$2466,$B72,'май 2025'!$J$5:$J$2466,Q$1)</f>
        <v>0</v>
      </c>
      <c r="R72" s="183">
        <f>SUMIFS('май 2025'!$G$5:$G$2466,'май 2025'!$D$5:$D$2466,$B72,'май 2025'!$J$5:$J$2466,R$1)</f>
        <v>0</v>
      </c>
      <c r="S72" s="183">
        <f>SUMIFS('май 2025'!$G$5:$G$2466,'май 2025'!$D$5:$D$2466,$B72,'май 2025'!$J$5:$J$2466,S$1)</f>
        <v>0</v>
      </c>
      <c r="T72" s="183">
        <f>SUMIFS('май 2025'!$G$5:$G$2466,'май 2025'!$D$5:$D$2466,$B72,'май 2025'!$J$5:$J$2466,T$1)</f>
        <v>0</v>
      </c>
      <c r="U72" s="183">
        <f>SUMIFS('май 2025'!$G$5:$G$2466,'май 2025'!$D$5:$D$2466,$B72,'май 2025'!$J$5:$J$2466,U$1)</f>
        <v>0</v>
      </c>
      <c r="V72" s="183">
        <f>SUMIFS('май 2025'!$G$5:$G$2466,'май 2025'!$D$5:$D$2466,$B72,'май 2025'!$J$5:$J$2466,V$1)</f>
        <v>0</v>
      </c>
      <c r="W72" s="183">
        <f>SUMIFS('май 2025'!$G$5:$G$2466,'май 2025'!$D$5:$D$2466,$B72,'май 2025'!$J$5:$J$2466,W$1)</f>
        <v>0</v>
      </c>
      <c r="X72" s="183">
        <f>SUMIFS('май 2025'!$G$5:$G$2466,'май 2025'!$D$5:$D$2466,$B72,'май 2025'!$J$5:$J$2466,X$1)</f>
        <v>0</v>
      </c>
      <c r="Y72" s="183">
        <f>SUMIFS('май 2025'!$G$5:$G$2466,'май 2025'!$D$5:$D$2466,$B72,'май 2025'!$J$5:$J$2466,Y$1)</f>
        <v>0</v>
      </c>
      <c r="Z72" s="183">
        <f>SUMIFS('май 2025'!$G$5:$G$2466,'май 2025'!$D$5:$D$2466,$B72,'май 2025'!$J$5:$J$2466,Z$1)</f>
        <v>0</v>
      </c>
      <c r="AA72" s="183">
        <f>SUMIFS('май 2025'!$G$5:$G$2466,'май 2025'!$D$5:$D$2466,$B72,'май 2025'!$J$5:$J$2466,AA$1)</f>
        <v>0</v>
      </c>
      <c r="AB72" s="183">
        <f>SUMIFS('май 2025'!$G$5:$G$2466,'май 2025'!$D$5:$D$2466,$B72,'май 2025'!$J$5:$J$2466,AB$1)</f>
        <v>0</v>
      </c>
      <c r="AC72" s="183">
        <f>SUMIFS('май 2025'!$G$5:$G$2466,'май 2025'!$D$5:$D$2466,$B72,'май 2025'!$J$5:$J$2466,AC$1)</f>
        <v>0</v>
      </c>
      <c r="AD72" s="183">
        <f>SUMIFS('май 2025'!$G$5:$G$2466,'май 2025'!$D$5:$D$2466,$B72,'май 2025'!$J$5:$J$2466,AD$1)</f>
        <v>0</v>
      </c>
      <c r="AE72" s="183">
        <f>SUMIFS('май 2025'!$G$5:$G$2466,'май 2025'!$D$5:$D$2466,$B72,'май 2025'!$J$5:$J$2466,AE$1)</f>
        <v>0</v>
      </c>
      <c r="AF72" s="183">
        <f>SUMIFS('май 2025'!$G$5:$G$2466,'май 2025'!$D$5:$D$2466,$B72,'май 2025'!$J$5:$J$2466,AF$1)</f>
        <v>0</v>
      </c>
      <c r="AG72" s="183">
        <f>SUMIFS('май 2025'!$G$5:$G$2466,'май 2025'!$D$5:$D$2466,$B72,'май 2025'!$J$5:$J$2466,AG$1)</f>
        <v>0</v>
      </c>
      <c r="AH72" s="183">
        <f>SUMIFS('май 2025'!$G$5:$G$2466,'май 2025'!$D$5:$D$2466,$B72,'май 2025'!$J$5:$J$2466,AH$1)</f>
        <v>0</v>
      </c>
      <c r="AI72" s="20">
        <f t="shared" si="1"/>
        <v>0</v>
      </c>
    </row>
    <row r="73" spans="2:35" ht="15.75" x14ac:dyDescent="0.25">
      <c r="B73" s="88" t="s">
        <v>994</v>
      </c>
      <c r="C73" s="86">
        <v>190</v>
      </c>
      <c r="D73" s="183">
        <f>SUMIFS('май 2025'!$G$5:$G$2466,'май 2025'!$D$5:$D$2466,$B73,'май 2025'!$J$5:$J$2466,D$1)</f>
        <v>0</v>
      </c>
      <c r="E73" s="183">
        <f>SUMIFS('май 2025'!$G$5:$G$2466,'май 2025'!$D$5:$D$2466,$B73,'май 2025'!$J$5:$J$2466,E$1)</f>
        <v>0</v>
      </c>
      <c r="F73" s="183">
        <f>SUMIFS('май 2025'!$G$5:$G$2466,'май 2025'!$D$5:$D$2466,$B73,'май 2025'!$J$5:$J$2466,F$1)</f>
        <v>0</v>
      </c>
      <c r="G73" s="183">
        <f>SUMIFS('май 2025'!$G$5:$G$2466,'май 2025'!$D$5:$D$2466,$B73,'май 2025'!$J$5:$J$2466,G$1)</f>
        <v>0</v>
      </c>
      <c r="H73" s="183">
        <f>SUMIFS('май 2025'!$G$5:$G$2466,'май 2025'!$D$5:$D$2466,$B73,'май 2025'!$J$5:$J$2466,H$1)</f>
        <v>0</v>
      </c>
      <c r="I73" s="183">
        <f>SUMIFS('май 2025'!$G$5:$G$2466,'май 2025'!$D$5:$D$2466,$B73,'май 2025'!$J$5:$J$2466,I$1)</f>
        <v>0</v>
      </c>
      <c r="J73" s="183">
        <f>SUMIFS('май 2025'!$G$5:$G$2466,'май 2025'!$D$5:$D$2466,$B73,'май 2025'!$J$5:$J$2466,J$1)</f>
        <v>0</v>
      </c>
      <c r="K73" s="183">
        <f>SUMIFS('май 2025'!$G$5:$G$2466,'май 2025'!$D$5:$D$2466,$B73,'май 2025'!$J$5:$J$2466,K$1)</f>
        <v>0</v>
      </c>
      <c r="L73" s="183">
        <f>SUMIFS('май 2025'!$G$5:$G$2466,'май 2025'!$D$5:$D$2466,$B73,'май 2025'!$J$5:$J$2466,L$1)</f>
        <v>0</v>
      </c>
      <c r="M73" s="183">
        <f>SUMIFS('май 2025'!$G$5:$G$2466,'май 2025'!$D$5:$D$2466,$B73,'май 2025'!$J$5:$J$2466,M$1)</f>
        <v>0</v>
      </c>
      <c r="N73" s="183">
        <f>SUMIFS('май 2025'!$G$5:$G$2466,'май 2025'!$D$5:$D$2466,$B73,'май 2025'!$J$5:$J$2466,N$1)</f>
        <v>0</v>
      </c>
      <c r="O73" s="183">
        <f>SUMIFS('май 2025'!$G$5:$G$2466,'май 2025'!$D$5:$D$2466,$B73,'май 2025'!$J$5:$J$2466,O$1)</f>
        <v>0</v>
      </c>
      <c r="P73" s="183">
        <f>SUMIFS('май 2025'!$G$5:$G$2466,'май 2025'!$D$5:$D$2466,$B73,'май 2025'!$J$5:$J$2466,P$1)</f>
        <v>0</v>
      </c>
      <c r="Q73" s="183">
        <f>SUMIFS('май 2025'!$G$5:$G$2466,'май 2025'!$D$5:$D$2466,$B73,'май 2025'!$J$5:$J$2466,Q$1)</f>
        <v>0</v>
      </c>
      <c r="R73" s="183">
        <f>SUMIFS('май 2025'!$G$5:$G$2466,'май 2025'!$D$5:$D$2466,$B73,'май 2025'!$J$5:$J$2466,R$1)</f>
        <v>0</v>
      </c>
      <c r="S73" s="183">
        <f>SUMIFS('май 2025'!$G$5:$G$2466,'май 2025'!$D$5:$D$2466,$B73,'май 2025'!$J$5:$J$2466,S$1)</f>
        <v>0</v>
      </c>
      <c r="T73" s="183">
        <f>SUMIFS('май 2025'!$G$5:$G$2466,'май 2025'!$D$5:$D$2466,$B73,'май 2025'!$J$5:$J$2466,T$1)</f>
        <v>0</v>
      </c>
      <c r="U73" s="183">
        <f>SUMIFS('май 2025'!$G$5:$G$2466,'май 2025'!$D$5:$D$2466,$B73,'май 2025'!$J$5:$J$2466,U$1)</f>
        <v>0</v>
      </c>
      <c r="V73" s="183">
        <f>SUMIFS('май 2025'!$G$5:$G$2466,'май 2025'!$D$5:$D$2466,$B73,'май 2025'!$J$5:$J$2466,V$1)</f>
        <v>0</v>
      </c>
      <c r="W73" s="183">
        <f>SUMIFS('май 2025'!$G$5:$G$2466,'май 2025'!$D$5:$D$2466,$B73,'май 2025'!$J$5:$J$2466,W$1)</f>
        <v>0</v>
      </c>
      <c r="X73" s="183">
        <f>SUMIFS('май 2025'!$G$5:$G$2466,'май 2025'!$D$5:$D$2466,$B73,'май 2025'!$J$5:$J$2466,X$1)</f>
        <v>0</v>
      </c>
      <c r="Y73" s="183">
        <f>SUMIFS('май 2025'!$G$5:$G$2466,'май 2025'!$D$5:$D$2466,$B73,'май 2025'!$J$5:$J$2466,Y$1)</f>
        <v>0</v>
      </c>
      <c r="Z73" s="183">
        <f>SUMIFS('май 2025'!$G$5:$G$2466,'май 2025'!$D$5:$D$2466,$B73,'май 2025'!$J$5:$J$2466,Z$1)</f>
        <v>0</v>
      </c>
      <c r="AA73" s="183">
        <f>SUMIFS('май 2025'!$G$5:$G$2466,'май 2025'!$D$5:$D$2466,$B73,'май 2025'!$J$5:$J$2466,AA$1)</f>
        <v>0</v>
      </c>
      <c r="AB73" s="183">
        <f>SUMIFS('май 2025'!$G$5:$G$2466,'май 2025'!$D$5:$D$2466,$B73,'май 2025'!$J$5:$J$2466,AB$1)</f>
        <v>0</v>
      </c>
      <c r="AC73" s="183">
        <f>SUMIFS('май 2025'!$G$5:$G$2466,'май 2025'!$D$5:$D$2466,$B73,'май 2025'!$J$5:$J$2466,AC$1)</f>
        <v>0</v>
      </c>
      <c r="AD73" s="183">
        <f>SUMIFS('май 2025'!$G$5:$G$2466,'май 2025'!$D$5:$D$2466,$B73,'май 2025'!$J$5:$J$2466,AD$1)</f>
        <v>0</v>
      </c>
      <c r="AE73" s="183">
        <f>SUMIFS('май 2025'!$G$5:$G$2466,'май 2025'!$D$5:$D$2466,$B73,'май 2025'!$J$5:$J$2466,AE$1)</f>
        <v>0</v>
      </c>
      <c r="AF73" s="183">
        <f>SUMIFS('май 2025'!$G$5:$G$2466,'май 2025'!$D$5:$D$2466,$B73,'май 2025'!$J$5:$J$2466,AF$1)</f>
        <v>0</v>
      </c>
      <c r="AG73" s="183">
        <f>SUMIFS('май 2025'!$G$5:$G$2466,'май 2025'!$D$5:$D$2466,$B73,'май 2025'!$J$5:$J$2466,AG$1)</f>
        <v>0</v>
      </c>
      <c r="AH73" s="183">
        <f>SUMIFS('май 2025'!$G$5:$G$2466,'май 2025'!$D$5:$D$2466,$B73,'май 2025'!$J$5:$J$2466,AH$1)</f>
        <v>0</v>
      </c>
      <c r="AI73" s="20">
        <f t="shared" si="1"/>
        <v>0</v>
      </c>
    </row>
    <row r="74" spans="2:35" ht="15" customHeight="1" x14ac:dyDescent="0.25">
      <c r="B74" s="88" t="s">
        <v>202</v>
      </c>
      <c r="C74" s="86">
        <v>200</v>
      </c>
      <c r="D74" s="183">
        <f>SUMIFS('май 2025'!$G$5:$G$2466,'май 2025'!$D$5:$D$2466,$B74,'май 2025'!$J$5:$J$2466,D$1)</f>
        <v>0</v>
      </c>
      <c r="E74" s="183">
        <f>SUMIFS('май 2025'!$G$5:$G$2466,'май 2025'!$D$5:$D$2466,$B74,'май 2025'!$J$5:$J$2466,E$1)</f>
        <v>0</v>
      </c>
      <c r="F74" s="183">
        <f>SUMIFS('май 2025'!$G$5:$G$2466,'май 2025'!$D$5:$D$2466,$B74,'май 2025'!$J$5:$J$2466,F$1)</f>
        <v>0</v>
      </c>
      <c r="G74" s="183">
        <f>SUMIFS('май 2025'!$G$5:$G$2466,'май 2025'!$D$5:$D$2466,$B74,'май 2025'!$J$5:$J$2466,G$1)</f>
        <v>0</v>
      </c>
      <c r="H74" s="183">
        <f>SUMIFS('май 2025'!$G$5:$G$2466,'май 2025'!$D$5:$D$2466,$B74,'май 2025'!$J$5:$J$2466,H$1)</f>
        <v>0</v>
      </c>
      <c r="I74" s="183">
        <f>SUMIFS('май 2025'!$G$5:$G$2466,'май 2025'!$D$5:$D$2466,$B74,'май 2025'!$J$5:$J$2466,I$1)</f>
        <v>0</v>
      </c>
      <c r="J74" s="183">
        <f>SUMIFS('май 2025'!$G$5:$G$2466,'май 2025'!$D$5:$D$2466,$B74,'май 2025'!$J$5:$J$2466,J$1)</f>
        <v>0</v>
      </c>
      <c r="K74" s="183">
        <f>SUMIFS('май 2025'!$G$5:$G$2466,'май 2025'!$D$5:$D$2466,$B74,'май 2025'!$J$5:$J$2466,K$1)</f>
        <v>0</v>
      </c>
      <c r="L74" s="183">
        <f>SUMIFS('май 2025'!$G$5:$G$2466,'май 2025'!$D$5:$D$2466,$B74,'май 2025'!$J$5:$J$2466,L$1)</f>
        <v>0</v>
      </c>
      <c r="M74" s="183">
        <f>SUMIFS('май 2025'!$G$5:$G$2466,'май 2025'!$D$5:$D$2466,$B74,'май 2025'!$J$5:$J$2466,M$1)</f>
        <v>0</v>
      </c>
      <c r="N74" s="183">
        <f>SUMIFS('май 2025'!$G$5:$G$2466,'май 2025'!$D$5:$D$2466,$B74,'май 2025'!$J$5:$J$2466,N$1)</f>
        <v>0</v>
      </c>
      <c r="O74" s="183">
        <f>SUMIFS('май 2025'!$G$5:$G$2466,'май 2025'!$D$5:$D$2466,$B74,'май 2025'!$J$5:$J$2466,O$1)</f>
        <v>0</v>
      </c>
      <c r="P74" s="183">
        <f>SUMIFS('май 2025'!$G$5:$G$2466,'май 2025'!$D$5:$D$2466,$B74,'май 2025'!$J$5:$J$2466,P$1)</f>
        <v>0</v>
      </c>
      <c r="Q74" s="183">
        <f>SUMIFS('май 2025'!$G$5:$G$2466,'май 2025'!$D$5:$D$2466,$B74,'май 2025'!$J$5:$J$2466,Q$1)</f>
        <v>0</v>
      </c>
      <c r="R74" s="183">
        <f>SUMIFS('май 2025'!$G$5:$G$2466,'май 2025'!$D$5:$D$2466,$B74,'май 2025'!$J$5:$J$2466,R$1)</f>
        <v>0</v>
      </c>
      <c r="S74" s="183">
        <f>SUMIFS('май 2025'!$G$5:$G$2466,'май 2025'!$D$5:$D$2466,$B74,'май 2025'!$J$5:$J$2466,S$1)</f>
        <v>0</v>
      </c>
      <c r="T74" s="183">
        <f>SUMIFS('май 2025'!$G$5:$G$2466,'май 2025'!$D$5:$D$2466,$B74,'май 2025'!$J$5:$J$2466,T$1)</f>
        <v>0</v>
      </c>
      <c r="U74" s="183">
        <f>SUMIFS('май 2025'!$G$5:$G$2466,'май 2025'!$D$5:$D$2466,$B74,'май 2025'!$J$5:$J$2466,U$1)</f>
        <v>0</v>
      </c>
      <c r="V74" s="183">
        <f>SUMIFS('май 2025'!$G$5:$G$2466,'май 2025'!$D$5:$D$2466,$B74,'май 2025'!$J$5:$J$2466,V$1)</f>
        <v>0</v>
      </c>
      <c r="W74" s="183">
        <f>SUMIFS('май 2025'!$G$5:$G$2466,'май 2025'!$D$5:$D$2466,$B74,'май 2025'!$J$5:$J$2466,W$1)</f>
        <v>0</v>
      </c>
      <c r="X74" s="183">
        <f>SUMIFS('май 2025'!$G$5:$G$2466,'май 2025'!$D$5:$D$2466,$B74,'май 2025'!$J$5:$J$2466,X$1)</f>
        <v>0</v>
      </c>
      <c r="Y74" s="183">
        <f>SUMIFS('май 2025'!$G$5:$G$2466,'май 2025'!$D$5:$D$2466,$B74,'май 2025'!$J$5:$J$2466,Y$1)</f>
        <v>0</v>
      </c>
      <c r="Z74" s="183">
        <f>SUMIFS('май 2025'!$G$5:$G$2466,'май 2025'!$D$5:$D$2466,$B74,'май 2025'!$J$5:$J$2466,Z$1)</f>
        <v>0</v>
      </c>
      <c r="AA74" s="183">
        <f>SUMIFS('май 2025'!$G$5:$G$2466,'май 2025'!$D$5:$D$2466,$B74,'май 2025'!$J$5:$J$2466,AA$1)</f>
        <v>0</v>
      </c>
      <c r="AB74" s="183">
        <f>SUMIFS('май 2025'!$G$5:$G$2466,'май 2025'!$D$5:$D$2466,$B74,'май 2025'!$J$5:$J$2466,AB$1)</f>
        <v>0</v>
      </c>
      <c r="AC74" s="183">
        <f>SUMIFS('май 2025'!$G$5:$G$2466,'май 2025'!$D$5:$D$2466,$B74,'май 2025'!$J$5:$J$2466,AC$1)</f>
        <v>0</v>
      </c>
      <c r="AD74" s="183">
        <f>SUMIFS('май 2025'!$G$5:$G$2466,'май 2025'!$D$5:$D$2466,$B74,'май 2025'!$J$5:$J$2466,AD$1)</f>
        <v>0</v>
      </c>
      <c r="AE74" s="183">
        <f>SUMIFS('май 2025'!$G$5:$G$2466,'май 2025'!$D$5:$D$2466,$B74,'май 2025'!$J$5:$J$2466,AE$1)</f>
        <v>0</v>
      </c>
      <c r="AF74" s="183">
        <f>SUMIFS('май 2025'!$G$5:$G$2466,'май 2025'!$D$5:$D$2466,$B74,'май 2025'!$J$5:$J$2466,AF$1)</f>
        <v>0</v>
      </c>
      <c r="AG74" s="183">
        <f>SUMIFS('май 2025'!$G$5:$G$2466,'май 2025'!$D$5:$D$2466,$B74,'май 2025'!$J$5:$J$2466,AG$1)</f>
        <v>0</v>
      </c>
      <c r="AH74" s="183">
        <f>SUMIFS('май 2025'!$G$5:$G$2466,'май 2025'!$D$5:$D$2466,$B74,'май 2025'!$J$5:$J$2466,AH$1)</f>
        <v>0</v>
      </c>
      <c r="AI74" s="20">
        <f t="shared" si="1"/>
        <v>0</v>
      </c>
    </row>
    <row r="75" spans="2:35" ht="15" customHeight="1" x14ac:dyDescent="0.25">
      <c r="B75" s="88" t="s">
        <v>187</v>
      </c>
      <c r="C75" s="86">
        <v>200</v>
      </c>
      <c r="D75" s="183">
        <f>SUMIFS('май 2025'!$G$5:$G$2466,'май 2025'!$D$5:$D$2466,$B75,'май 2025'!$J$5:$J$2466,D$1)</f>
        <v>0</v>
      </c>
      <c r="E75" s="183">
        <f>SUMIFS('май 2025'!$G$5:$G$2466,'май 2025'!$D$5:$D$2466,$B75,'май 2025'!$J$5:$J$2466,E$1)</f>
        <v>0</v>
      </c>
      <c r="F75" s="183">
        <f>SUMIFS('май 2025'!$G$5:$G$2466,'май 2025'!$D$5:$D$2466,$B75,'май 2025'!$J$5:$J$2466,F$1)</f>
        <v>0</v>
      </c>
      <c r="G75" s="183">
        <f>SUMIFS('май 2025'!$G$5:$G$2466,'май 2025'!$D$5:$D$2466,$B75,'май 2025'!$J$5:$J$2466,G$1)</f>
        <v>0</v>
      </c>
      <c r="H75" s="183">
        <f>SUMIFS('май 2025'!$G$5:$G$2466,'май 2025'!$D$5:$D$2466,$B75,'май 2025'!$J$5:$J$2466,H$1)</f>
        <v>0</v>
      </c>
      <c r="I75" s="183">
        <f>SUMIFS('май 2025'!$G$5:$G$2466,'май 2025'!$D$5:$D$2466,$B75,'май 2025'!$J$5:$J$2466,I$1)</f>
        <v>0</v>
      </c>
      <c r="J75" s="183">
        <f>SUMIFS('май 2025'!$G$5:$G$2466,'май 2025'!$D$5:$D$2466,$B75,'май 2025'!$J$5:$J$2466,J$1)</f>
        <v>0</v>
      </c>
      <c r="K75" s="183">
        <f>SUMIFS('май 2025'!$G$5:$G$2466,'май 2025'!$D$5:$D$2466,$B75,'май 2025'!$J$5:$J$2466,K$1)</f>
        <v>0</v>
      </c>
      <c r="L75" s="183">
        <f>SUMIFS('май 2025'!$G$5:$G$2466,'май 2025'!$D$5:$D$2466,$B75,'май 2025'!$J$5:$J$2466,L$1)</f>
        <v>0</v>
      </c>
      <c r="M75" s="183">
        <f>SUMIFS('май 2025'!$G$5:$G$2466,'май 2025'!$D$5:$D$2466,$B75,'май 2025'!$J$5:$J$2466,M$1)</f>
        <v>0</v>
      </c>
      <c r="N75" s="183">
        <f>SUMIFS('май 2025'!$G$5:$G$2466,'май 2025'!$D$5:$D$2466,$B75,'май 2025'!$J$5:$J$2466,N$1)</f>
        <v>0</v>
      </c>
      <c r="O75" s="183">
        <f>SUMIFS('май 2025'!$G$5:$G$2466,'май 2025'!$D$5:$D$2466,$B75,'май 2025'!$J$5:$J$2466,O$1)</f>
        <v>0</v>
      </c>
      <c r="P75" s="183">
        <f>SUMIFS('май 2025'!$G$5:$G$2466,'май 2025'!$D$5:$D$2466,$B75,'май 2025'!$J$5:$J$2466,P$1)</f>
        <v>0</v>
      </c>
      <c r="Q75" s="183">
        <f>SUMIFS('май 2025'!$G$5:$G$2466,'май 2025'!$D$5:$D$2466,$B75,'май 2025'!$J$5:$J$2466,Q$1)</f>
        <v>0</v>
      </c>
      <c r="R75" s="183">
        <f>SUMIFS('май 2025'!$G$5:$G$2466,'май 2025'!$D$5:$D$2466,$B75,'май 2025'!$J$5:$J$2466,R$1)</f>
        <v>0</v>
      </c>
      <c r="S75" s="183">
        <f>SUMIFS('май 2025'!$G$5:$G$2466,'май 2025'!$D$5:$D$2466,$B75,'май 2025'!$J$5:$J$2466,S$1)</f>
        <v>0</v>
      </c>
      <c r="T75" s="183">
        <f>SUMIFS('май 2025'!$G$5:$G$2466,'май 2025'!$D$5:$D$2466,$B75,'май 2025'!$J$5:$J$2466,T$1)</f>
        <v>0</v>
      </c>
      <c r="U75" s="183">
        <f>SUMIFS('май 2025'!$G$5:$G$2466,'май 2025'!$D$5:$D$2466,$B75,'май 2025'!$J$5:$J$2466,U$1)</f>
        <v>0</v>
      </c>
      <c r="V75" s="183">
        <f>SUMIFS('май 2025'!$G$5:$G$2466,'май 2025'!$D$5:$D$2466,$B75,'май 2025'!$J$5:$J$2466,V$1)</f>
        <v>0</v>
      </c>
      <c r="W75" s="183">
        <f>SUMIFS('май 2025'!$G$5:$G$2466,'май 2025'!$D$5:$D$2466,$B75,'май 2025'!$J$5:$J$2466,W$1)</f>
        <v>0</v>
      </c>
      <c r="X75" s="183">
        <f>SUMIFS('май 2025'!$G$5:$G$2466,'май 2025'!$D$5:$D$2466,$B75,'май 2025'!$J$5:$J$2466,X$1)</f>
        <v>0</v>
      </c>
      <c r="Y75" s="183">
        <f>SUMIFS('май 2025'!$G$5:$G$2466,'май 2025'!$D$5:$D$2466,$B75,'май 2025'!$J$5:$J$2466,Y$1)</f>
        <v>0</v>
      </c>
      <c r="Z75" s="183">
        <f>SUMIFS('май 2025'!$G$5:$G$2466,'май 2025'!$D$5:$D$2466,$B75,'май 2025'!$J$5:$J$2466,Z$1)</f>
        <v>0</v>
      </c>
      <c r="AA75" s="183">
        <f>SUMIFS('май 2025'!$G$5:$G$2466,'май 2025'!$D$5:$D$2466,$B75,'май 2025'!$J$5:$J$2466,AA$1)</f>
        <v>0</v>
      </c>
      <c r="AB75" s="183">
        <f>SUMIFS('май 2025'!$G$5:$G$2466,'май 2025'!$D$5:$D$2466,$B75,'май 2025'!$J$5:$J$2466,AB$1)</f>
        <v>0</v>
      </c>
      <c r="AC75" s="183">
        <f>SUMIFS('май 2025'!$G$5:$G$2466,'май 2025'!$D$5:$D$2466,$B75,'май 2025'!$J$5:$J$2466,AC$1)</f>
        <v>0</v>
      </c>
      <c r="AD75" s="183">
        <f>SUMIFS('май 2025'!$G$5:$G$2466,'май 2025'!$D$5:$D$2466,$B75,'май 2025'!$J$5:$J$2466,AD$1)</f>
        <v>0</v>
      </c>
      <c r="AE75" s="183">
        <f>SUMIFS('май 2025'!$G$5:$G$2466,'май 2025'!$D$5:$D$2466,$B75,'май 2025'!$J$5:$J$2466,AE$1)</f>
        <v>0</v>
      </c>
      <c r="AF75" s="183">
        <f>SUMIFS('май 2025'!$G$5:$G$2466,'май 2025'!$D$5:$D$2466,$B75,'май 2025'!$J$5:$J$2466,AF$1)</f>
        <v>0</v>
      </c>
      <c r="AG75" s="183">
        <f>SUMIFS('май 2025'!$G$5:$G$2466,'май 2025'!$D$5:$D$2466,$B75,'май 2025'!$J$5:$J$2466,AG$1)</f>
        <v>0</v>
      </c>
      <c r="AH75" s="183">
        <f>SUMIFS('май 2025'!$G$5:$G$2466,'май 2025'!$D$5:$D$2466,$B75,'май 2025'!$J$5:$J$2466,AH$1)</f>
        <v>0</v>
      </c>
      <c r="AI75" s="20">
        <f t="shared" si="1"/>
        <v>0</v>
      </c>
    </row>
    <row r="76" spans="2:35" ht="15" customHeight="1" x14ac:dyDescent="0.25">
      <c r="B76" s="88" t="s">
        <v>188</v>
      </c>
      <c r="C76" s="86">
        <v>200</v>
      </c>
      <c r="D76" s="183">
        <f>SUMIFS('май 2025'!$G$5:$G$2466,'май 2025'!$D$5:$D$2466,$B76,'май 2025'!$J$5:$J$2466,D$1)</f>
        <v>0</v>
      </c>
      <c r="E76" s="183">
        <f>SUMIFS('май 2025'!$G$5:$G$2466,'май 2025'!$D$5:$D$2466,$B76,'май 2025'!$J$5:$J$2466,E$1)</f>
        <v>0</v>
      </c>
      <c r="F76" s="183">
        <f>SUMIFS('май 2025'!$G$5:$G$2466,'май 2025'!$D$5:$D$2466,$B76,'май 2025'!$J$5:$J$2466,F$1)</f>
        <v>0</v>
      </c>
      <c r="G76" s="183">
        <f>SUMIFS('май 2025'!$G$5:$G$2466,'май 2025'!$D$5:$D$2466,$B76,'май 2025'!$J$5:$J$2466,G$1)</f>
        <v>0</v>
      </c>
      <c r="H76" s="183">
        <f>SUMIFS('май 2025'!$G$5:$G$2466,'май 2025'!$D$5:$D$2466,$B76,'май 2025'!$J$5:$J$2466,H$1)</f>
        <v>0</v>
      </c>
      <c r="I76" s="183">
        <f>SUMIFS('май 2025'!$G$5:$G$2466,'май 2025'!$D$5:$D$2466,$B76,'май 2025'!$J$5:$J$2466,I$1)</f>
        <v>0</v>
      </c>
      <c r="J76" s="183">
        <f>SUMIFS('май 2025'!$G$5:$G$2466,'май 2025'!$D$5:$D$2466,$B76,'май 2025'!$J$5:$J$2466,J$1)</f>
        <v>0</v>
      </c>
      <c r="K76" s="183">
        <f>SUMIFS('май 2025'!$G$5:$G$2466,'май 2025'!$D$5:$D$2466,$B76,'май 2025'!$J$5:$J$2466,K$1)</f>
        <v>0</v>
      </c>
      <c r="L76" s="183">
        <f>SUMIFS('май 2025'!$G$5:$G$2466,'май 2025'!$D$5:$D$2466,$B76,'май 2025'!$J$5:$J$2466,L$1)</f>
        <v>0</v>
      </c>
      <c r="M76" s="183">
        <f>SUMIFS('май 2025'!$G$5:$G$2466,'май 2025'!$D$5:$D$2466,$B76,'май 2025'!$J$5:$J$2466,M$1)</f>
        <v>0</v>
      </c>
      <c r="N76" s="183">
        <f>SUMIFS('май 2025'!$G$5:$G$2466,'май 2025'!$D$5:$D$2466,$B76,'май 2025'!$J$5:$J$2466,N$1)</f>
        <v>0</v>
      </c>
      <c r="O76" s="183">
        <f>SUMIFS('май 2025'!$G$5:$G$2466,'май 2025'!$D$5:$D$2466,$B76,'май 2025'!$J$5:$J$2466,O$1)</f>
        <v>0</v>
      </c>
      <c r="P76" s="183">
        <f>SUMIFS('май 2025'!$G$5:$G$2466,'май 2025'!$D$5:$D$2466,$B76,'май 2025'!$J$5:$J$2466,P$1)</f>
        <v>0</v>
      </c>
      <c r="Q76" s="183">
        <f>SUMIFS('май 2025'!$G$5:$G$2466,'май 2025'!$D$5:$D$2466,$B76,'май 2025'!$J$5:$J$2466,Q$1)</f>
        <v>0</v>
      </c>
      <c r="R76" s="183">
        <f>SUMIFS('май 2025'!$G$5:$G$2466,'май 2025'!$D$5:$D$2466,$B76,'май 2025'!$J$5:$J$2466,R$1)</f>
        <v>0</v>
      </c>
      <c r="S76" s="183">
        <f>SUMIFS('май 2025'!$G$5:$G$2466,'май 2025'!$D$5:$D$2466,$B76,'май 2025'!$J$5:$J$2466,S$1)</f>
        <v>0</v>
      </c>
      <c r="T76" s="183">
        <f>SUMIFS('май 2025'!$G$5:$G$2466,'май 2025'!$D$5:$D$2466,$B76,'май 2025'!$J$5:$J$2466,T$1)</f>
        <v>0</v>
      </c>
      <c r="U76" s="183">
        <f>SUMIFS('май 2025'!$G$5:$G$2466,'май 2025'!$D$5:$D$2466,$B76,'май 2025'!$J$5:$J$2466,U$1)</f>
        <v>0</v>
      </c>
      <c r="V76" s="183">
        <f>SUMIFS('май 2025'!$G$5:$G$2466,'май 2025'!$D$5:$D$2466,$B76,'май 2025'!$J$5:$J$2466,V$1)</f>
        <v>0</v>
      </c>
      <c r="W76" s="183">
        <f>SUMIFS('май 2025'!$G$5:$G$2466,'май 2025'!$D$5:$D$2466,$B76,'май 2025'!$J$5:$J$2466,W$1)</f>
        <v>0</v>
      </c>
      <c r="X76" s="183">
        <f>SUMIFS('май 2025'!$G$5:$G$2466,'май 2025'!$D$5:$D$2466,$B76,'май 2025'!$J$5:$J$2466,X$1)</f>
        <v>0</v>
      </c>
      <c r="Y76" s="183">
        <f>SUMIFS('май 2025'!$G$5:$G$2466,'май 2025'!$D$5:$D$2466,$B76,'май 2025'!$J$5:$J$2466,Y$1)</f>
        <v>0</v>
      </c>
      <c r="Z76" s="183">
        <f>SUMIFS('май 2025'!$G$5:$G$2466,'май 2025'!$D$5:$D$2466,$B76,'май 2025'!$J$5:$J$2466,Z$1)</f>
        <v>0</v>
      </c>
      <c r="AA76" s="183">
        <f>SUMIFS('май 2025'!$G$5:$G$2466,'май 2025'!$D$5:$D$2466,$B76,'май 2025'!$J$5:$J$2466,AA$1)</f>
        <v>0</v>
      </c>
      <c r="AB76" s="183">
        <f>SUMIFS('май 2025'!$G$5:$G$2466,'май 2025'!$D$5:$D$2466,$B76,'май 2025'!$J$5:$J$2466,AB$1)</f>
        <v>0</v>
      </c>
      <c r="AC76" s="183">
        <f>SUMIFS('май 2025'!$G$5:$G$2466,'май 2025'!$D$5:$D$2466,$B76,'май 2025'!$J$5:$J$2466,AC$1)</f>
        <v>0</v>
      </c>
      <c r="AD76" s="183">
        <f>SUMIFS('май 2025'!$G$5:$G$2466,'май 2025'!$D$5:$D$2466,$B76,'май 2025'!$J$5:$J$2466,AD$1)</f>
        <v>0</v>
      </c>
      <c r="AE76" s="183">
        <f>SUMIFS('май 2025'!$G$5:$G$2466,'май 2025'!$D$5:$D$2466,$B76,'май 2025'!$J$5:$J$2466,AE$1)</f>
        <v>0</v>
      </c>
      <c r="AF76" s="183">
        <f>SUMIFS('май 2025'!$G$5:$G$2466,'май 2025'!$D$5:$D$2466,$B76,'май 2025'!$J$5:$J$2466,AF$1)</f>
        <v>0</v>
      </c>
      <c r="AG76" s="183">
        <f>SUMIFS('май 2025'!$G$5:$G$2466,'май 2025'!$D$5:$D$2466,$B76,'май 2025'!$J$5:$J$2466,AG$1)</f>
        <v>0</v>
      </c>
      <c r="AH76" s="183">
        <f>SUMIFS('май 2025'!$G$5:$G$2466,'май 2025'!$D$5:$D$2466,$B76,'май 2025'!$J$5:$J$2466,AH$1)</f>
        <v>0</v>
      </c>
      <c r="AI76" s="20">
        <f t="shared" si="1"/>
        <v>0</v>
      </c>
    </row>
    <row r="77" spans="2:35" ht="15" customHeight="1" x14ac:dyDescent="0.25">
      <c r="B77" s="88" t="s">
        <v>256</v>
      </c>
      <c r="C77" s="86">
        <v>190</v>
      </c>
      <c r="D77" s="183">
        <f>SUMIFS('май 2025'!$G$5:$G$2466,'май 2025'!$D$5:$D$2466,$B77,'май 2025'!$J$5:$J$2466,D$1)</f>
        <v>0</v>
      </c>
      <c r="E77" s="183">
        <f>SUMIFS('май 2025'!$G$5:$G$2466,'май 2025'!$D$5:$D$2466,$B77,'май 2025'!$J$5:$J$2466,E$1)</f>
        <v>0</v>
      </c>
      <c r="F77" s="183">
        <f>SUMIFS('май 2025'!$G$5:$G$2466,'май 2025'!$D$5:$D$2466,$B77,'май 2025'!$J$5:$J$2466,F$1)</f>
        <v>0</v>
      </c>
      <c r="G77" s="183">
        <f>SUMIFS('май 2025'!$G$5:$G$2466,'май 2025'!$D$5:$D$2466,$B77,'май 2025'!$J$5:$J$2466,G$1)</f>
        <v>0</v>
      </c>
      <c r="H77" s="183">
        <f>SUMIFS('май 2025'!$G$5:$G$2466,'май 2025'!$D$5:$D$2466,$B77,'май 2025'!$J$5:$J$2466,H$1)</f>
        <v>0</v>
      </c>
      <c r="I77" s="183">
        <f>SUMIFS('май 2025'!$G$5:$G$2466,'май 2025'!$D$5:$D$2466,$B77,'май 2025'!$J$5:$J$2466,I$1)</f>
        <v>0</v>
      </c>
      <c r="J77" s="183">
        <f>SUMIFS('май 2025'!$G$5:$G$2466,'май 2025'!$D$5:$D$2466,$B77,'май 2025'!$J$5:$J$2466,J$1)</f>
        <v>0</v>
      </c>
      <c r="K77" s="183">
        <f>SUMIFS('май 2025'!$G$5:$G$2466,'май 2025'!$D$5:$D$2466,$B77,'май 2025'!$J$5:$J$2466,K$1)</f>
        <v>0</v>
      </c>
      <c r="L77" s="183">
        <f>SUMIFS('май 2025'!$G$5:$G$2466,'май 2025'!$D$5:$D$2466,$B77,'май 2025'!$J$5:$J$2466,L$1)</f>
        <v>0</v>
      </c>
      <c r="M77" s="183">
        <f>SUMIFS('май 2025'!$G$5:$G$2466,'май 2025'!$D$5:$D$2466,$B77,'май 2025'!$J$5:$J$2466,M$1)</f>
        <v>0</v>
      </c>
      <c r="N77" s="183">
        <f>SUMIFS('май 2025'!$G$5:$G$2466,'май 2025'!$D$5:$D$2466,$B77,'май 2025'!$J$5:$J$2466,N$1)</f>
        <v>0</v>
      </c>
      <c r="O77" s="183">
        <f>SUMIFS('май 2025'!$G$5:$G$2466,'май 2025'!$D$5:$D$2466,$B77,'май 2025'!$J$5:$J$2466,O$1)</f>
        <v>0</v>
      </c>
      <c r="P77" s="183">
        <f>SUMIFS('май 2025'!$G$5:$G$2466,'май 2025'!$D$5:$D$2466,$B77,'май 2025'!$J$5:$J$2466,P$1)</f>
        <v>0</v>
      </c>
      <c r="Q77" s="183">
        <f>SUMIFS('май 2025'!$G$5:$G$2466,'май 2025'!$D$5:$D$2466,$B77,'май 2025'!$J$5:$J$2466,Q$1)</f>
        <v>0</v>
      </c>
      <c r="R77" s="183">
        <f>SUMIFS('май 2025'!$G$5:$G$2466,'май 2025'!$D$5:$D$2466,$B77,'май 2025'!$J$5:$J$2466,R$1)</f>
        <v>0</v>
      </c>
      <c r="S77" s="183">
        <f>SUMIFS('май 2025'!$G$5:$G$2466,'май 2025'!$D$5:$D$2466,$B77,'май 2025'!$J$5:$J$2466,S$1)</f>
        <v>0</v>
      </c>
      <c r="T77" s="183">
        <f>SUMIFS('май 2025'!$G$5:$G$2466,'май 2025'!$D$5:$D$2466,$B77,'май 2025'!$J$5:$J$2466,T$1)</f>
        <v>0</v>
      </c>
      <c r="U77" s="183">
        <f>SUMIFS('май 2025'!$G$5:$G$2466,'май 2025'!$D$5:$D$2466,$B77,'май 2025'!$J$5:$J$2466,U$1)</f>
        <v>0</v>
      </c>
      <c r="V77" s="183">
        <f>SUMIFS('май 2025'!$G$5:$G$2466,'май 2025'!$D$5:$D$2466,$B77,'май 2025'!$J$5:$J$2466,V$1)</f>
        <v>0</v>
      </c>
      <c r="W77" s="183">
        <f>SUMIFS('май 2025'!$G$5:$G$2466,'май 2025'!$D$5:$D$2466,$B77,'май 2025'!$J$5:$J$2466,W$1)</f>
        <v>0</v>
      </c>
      <c r="X77" s="183">
        <f>SUMIFS('май 2025'!$G$5:$G$2466,'май 2025'!$D$5:$D$2466,$B77,'май 2025'!$J$5:$J$2466,X$1)</f>
        <v>0</v>
      </c>
      <c r="Y77" s="183">
        <f>SUMIFS('май 2025'!$G$5:$G$2466,'май 2025'!$D$5:$D$2466,$B77,'май 2025'!$J$5:$J$2466,Y$1)</f>
        <v>0</v>
      </c>
      <c r="Z77" s="183">
        <f>SUMIFS('май 2025'!$G$5:$G$2466,'май 2025'!$D$5:$D$2466,$B77,'май 2025'!$J$5:$J$2466,Z$1)</f>
        <v>0</v>
      </c>
      <c r="AA77" s="183">
        <f>SUMIFS('май 2025'!$G$5:$G$2466,'май 2025'!$D$5:$D$2466,$B77,'май 2025'!$J$5:$J$2466,AA$1)</f>
        <v>0</v>
      </c>
      <c r="AB77" s="183">
        <f>SUMIFS('май 2025'!$G$5:$G$2466,'май 2025'!$D$5:$D$2466,$B77,'май 2025'!$J$5:$J$2466,AB$1)</f>
        <v>0</v>
      </c>
      <c r="AC77" s="183">
        <f>SUMIFS('май 2025'!$G$5:$G$2466,'май 2025'!$D$5:$D$2466,$B77,'май 2025'!$J$5:$J$2466,AC$1)</f>
        <v>0</v>
      </c>
      <c r="AD77" s="183">
        <f>SUMIFS('май 2025'!$G$5:$G$2466,'май 2025'!$D$5:$D$2466,$B77,'май 2025'!$J$5:$J$2466,AD$1)</f>
        <v>0</v>
      </c>
      <c r="AE77" s="183">
        <f>SUMIFS('май 2025'!$G$5:$G$2466,'май 2025'!$D$5:$D$2466,$B77,'май 2025'!$J$5:$J$2466,AE$1)</f>
        <v>0</v>
      </c>
      <c r="AF77" s="183">
        <f>SUMIFS('май 2025'!$G$5:$G$2466,'май 2025'!$D$5:$D$2466,$B77,'май 2025'!$J$5:$J$2466,AF$1)</f>
        <v>0</v>
      </c>
      <c r="AG77" s="183">
        <f>SUMIFS('май 2025'!$G$5:$G$2466,'май 2025'!$D$5:$D$2466,$B77,'май 2025'!$J$5:$J$2466,AG$1)</f>
        <v>0</v>
      </c>
      <c r="AH77" s="183">
        <f>SUMIFS('май 2025'!$G$5:$G$2466,'май 2025'!$D$5:$D$2466,$B77,'май 2025'!$J$5:$J$2466,AH$1)</f>
        <v>0</v>
      </c>
      <c r="AI77" s="20">
        <f t="shared" si="1"/>
        <v>0</v>
      </c>
    </row>
    <row r="78" spans="2:35" ht="15" customHeight="1" x14ac:dyDescent="0.25">
      <c r="B78" s="88" t="s">
        <v>199</v>
      </c>
      <c r="C78" s="86">
        <v>200</v>
      </c>
      <c r="D78" s="183">
        <f>SUMIFS('май 2025'!$G$5:$G$2466,'май 2025'!$D$5:$D$2466,$B78,'май 2025'!$J$5:$J$2466,D$1)</f>
        <v>0</v>
      </c>
      <c r="E78" s="183">
        <f>SUMIFS('май 2025'!$G$5:$G$2466,'май 2025'!$D$5:$D$2466,$B78,'май 2025'!$J$5:$J$2466,E$1)</f>
        <v>0</v>
      </c>
      <c r="F78" s="183">
        <f>SUMIFS('май 2025'!$G$5:$G$2466,'май 2025'!$D$5:$D$2466,$B78,'май 2025'!$J$5:$J$2466,F$1)</f>
        <v>0</v>
      </c>
      <c r="G78" s="183">
        <f>SUMIFS('май 2025'!$G$5:$G$2466,'май 2025'!$D$5:$D$2466,$B78,'май 2025'!$J$5:$J$2466,G$1)</f>
        <v>0</v>
      </c>
      <c r="H78" s="183">
        <f>SUMIFS('май 2025'!$G$5:$G$2466,'май 2025'!$D$5:$D$2466,$B78,'май 2025'!$J$5:$J$2466,H$1)</f>
        <v>0</v>
      </c>
      <c r="I78" s="183">
        <f>SUMIFS('май 2025'!$G$5:$G$2466,'май 2025'!$D$5:$D$2466,$B78,'май 2025'!$J$5:$J$2466,I$1)</f>
        <v>0</v>
      </c>
      <c r="J78" s="183">
        <f>SUMIFS('май 2025'!$G$5:$G$2466,'май 2025'!$D$5:$D$2466,$B78,'май 2025'!$J$5:$J$2466,J$1)</f>
        <v>0</v>
      </c>
      <c r="K78" s="183">
        <f>SUMIFS('май 2025'!$G$5:$G$2466,'май 2025'!$D$5:$D$2466,$B78,'май 2025'!$J$5:$J$2466,K$1)</f>
        <v>0</v>
      </c>
      <c r="L78" s="183">
        <f>SUMIFS('май 2025'!$G$5:$G$2466,'май 2025'!$D$5:$D$2466,$B78,'май 2025'!$J$5:$J$2466,L$1)</f>
        <v>0</v>
      </c>
      <c r="M78" s="183">
        <f>SUMIFS('май 2025'!$G$5:$G$2466,'май 2025'!$D$5:$D$2466,$B78,'май 2025'!$J$5:$J$2466,M$1)</f>
        <v>0</v>
      </c>
      <c r="N78" s="183">
        <f>SUMIFS('май 2025'!$G$5:$G$2466,'май 2025'!$D$5:$D$2466,$B78,'май 2025'!$J$5:$J$2466,N$1)</f>
        <v>0</v>
      </c>
      <c r="O78" s="183">
        <f>SUMIFS('май 2025'!$G$5:$G$2466,'май 2025'!$D$5:$D$2466,$B78,'май 2025'!$J$5:$J$2466,O$1)</f>
        <v>0</v>
      </c>
      <c r="P78" s="183">
        <f>SUMIFS('май 2025'!$G$5:$G$2466,'май 2025'!$D$5:$D$2466,$B78,'май 2025'!$J$5:$J$2466,P$1)</f>
        <v>0</v>
      </c>
      <c r="Q78" s="183">
        <f>SUMIFS('май 2025'!$G$5:$G$2466,'май 2025'!$D$5:$D$2466,$B78,'май 2025'!$J$5:$J$2466,Q$1)</f>
        <v>0</v>
      </c>
      <c r="R78" s="183">
        <f>SUMIFS('май 2025'!$G$5:$G$2466,'май 2025'!$D$5:$D$2466,$B78,'май 2025'!$J$5:$J$2466,R$1)</f>
        <v>0</v>
      </c>
      <c r="S78" s="183">
        <f>SUMIFS('май 2025'!$G$5:$G$2466,'май 2025'!$D$5:$D$2466,$B78,'май 2025'!$J$5:$J$2466,S$1)</f>
        <v>0</v>
      </c>
      <c r="T78" s="183">
        <f>SUMIFS('май 2025'!$G$5:$G$2466,'май 2025'!$D$5:$D$2466,$B78,'май 2025'!$J$5:$J$2466,T$1)</f>
        <v>0</v>
      </c>
      <c r="U78" s="183">
        <f>SUMIFS('май 2025'!$G$5:$G$2466,'май 2025'!$D$5:$D$2466,$B78,'май 2025'!$J$5:$J$2466,U$1)</f>
        <v>0</v>
      </c>
      <c r="V78" s="183">
        <f>SUMIFS('май 2025'!$G$5:$G$2466,'май 2025'!$D$5:$D$2466,$B78,'май 2025'!$J$5:$J$2466,V$1)</f>
        <v>0</v>
      </c>
      <c r="W78" s="183">
        <f>SUMIFS('май 2025'!$G$5:$G$2466,'май 2025'!$D$5:$D$2466,$B78,'май 2025'!$J$5:$J$2466,W$1)</f>
        <v>0</v>
      </c>
      <c r="X78" s="183">
        <f>SUMIFS('май 2025'!$G$5:$G$2466,'май 2025'!$D$5:$D$2466,$B78,'май 2025'!$J$5:$J$2466,X$1)</f>
        <v>0</v>
      </c>
      <c r="Y78" s="183">
        <f>SUMIFS('май 2025'!$G$5:$G$2466,'май 2025'!$D$5:$D$2466,$B78,'май 2025'!$J$5:$J$2466,Y$1)</f>
        <v>0</v>
      </c>
      <c r="Z78" s="183">
        <f>SUMIFS('май 2025'!$G$5:$G$2466,'май 2025'!$D$5:$D$2466,$B78,'май 2025'!$J$5:$J$2466,Z$1)</f>
        <v>0</v>
      </c>
      <c r="AA78" s="183">
        <f>SUMIFS('май 2025'!$G$5:$G$2466,'май 2025'!$D$5:$D$2466,$B78,'май 2025'!$J$5:$J$2466,AA$1)</f>
        <v>0</v>
      </c>
      <c r="AB78" s="183">
        <f>SUMIFS('май 2025'!$G$5:$G$2466,'май 2025'!$D$5:$D$2466,$B78,'май 2025'!$J$5:$J$2466,AB$1)</f>
        <v>0</v>
      </c>
      <c r="AC78" s="183">
        <f>SUMIFS('май 2025'!$G$5:$G$2466,'май 2025'!$D$5:$D$2466,$B78,'май 2025'!$J$5:$J$2466,AC$1)</f>
        <v>0</v>
      </c>
      <c r="AD78" s="183">
        <f>SUMIFS('май 2025'!$G$5:$G$2466,'май 2025'!$D$5:$D$2466,$B78,'май 2025'!$J$5:$J$2466,AD$1)</f>
        <v>0</v>
      </c>
      <c r="AE78" s="183">
        <f>SUMIFS('май 2025'!$G$5:$G$2466,'май 2025'!$D$5:$D$2466,$B78,'май 2025'!$J$5:$J$2466,AE$1)</f>
        <v>0</v>
      </c>
      <c r="AF78" s="183">
        <f>SUMIFS('май 2025'!$G$5:$G$2466,'май 2025'!$D$5:$D$2466,$B78,'май 2025'!$J$5:$J$2466,AF$1)</f>
        <v>0</v>
      </c>
      <c r="AG78" s="183">
        <f>SUMIFS('май 2025'!$G$5:$G$2466,'май 2025'!$D$5:$D$2466,$B78,'май 2025'!$J$5:$J$2466,AG$1)</f>
        <v>0</v>
      </c>
      <c r="AH78" s="183">
        <f>SUMIFS('май 2025'!$G$5:$G$2466,'май 2025'!$D$5:$D$2466,$B78,'май 2025'!$J$5:$J$2466,AH$1)</f>
        <v>0</v>
      </c>
      <c r="AI78" s="20">
        <f t="shared" si="1"/>
        <v>0</v>
      </c>
    </row>
    <row r="79" spans="2:35" ht="15" customHeight="1" x14ac:dyDescent="0.25">
      <c r="B79" s="88" t="s">
        <v>206</v>
      </c>
      <c r="C79" s="86">
        <v>25</v>
      </c>
      <c r="D79" s="183">
        <f>SUMIFS('май 2025'!$G$5:$G$2466,'май 2025'!$D$5:$D$2466,$B79,'май 2025'!$J$5:$J$2466,D$1)</f>
        <v>0</v>
      </c>
      <c r="E79" s="183">
        <f>SUMIFS('май 2025'!$G$5:$G$2466,'май 2025'!$D$5:$D$2466,$B79,'май 2025'!$J$5:$J$2466,E$1)</f>
        <v>0</v>
      </c>
      <c r="F79" s="183">
        <f>SUMIFS('май 2025'!$G$5:$G$2466,'май 2025'!$D$5:$D$2466,$B79,'май 2025'!$J$5:$J$2466,F$1)</f>
        <v>0</v>
      </c>
      <c r="G79" s="183">
        <f>SUMIFS('май 2025'!$G$5:$G$2466,'май 2025'!$D$5:$D$2466,$B79,'май 2025'!$J$5:$J$2466,G$1)</f>
        <v>0</v>
      </c>
      <c r="H79" s="183">
        <f>SUMIFS('май 2025'!$G$5:$G$2466,'май 2025'!$D$5:$D$2466,$B79,'май 2025'!$J$5:$J$2466,H$1)</f>
        <v>0</v>
      </c>
      <c r="I79" s="183">
        <f>SUMIFS('май 2025'!$G$5:$G$2466,'май 2025'!$D$5:$D$2466,$B79,'май 2025'!$J$5:$J$2466,I$1)</f>
        <v>0</v>
      </c>
      <c r="J79" s="183">
        <f>SUMIFS('май 2025'!$G$5:$G$2466,'май 2025'!$D$5:$D$2466,$B79,'май 2025'!$J$5:$J$2466,J$1)</f>
        <v>0</v>
      </c>
      <c r="K79" s="183">
        <f>SUMIFS('май 2025'!$G$5:$G$2466,'май 2025'!$D$5:$D$2466,$B79,'май 2025'!$J$5:$J$2466,K$1)</f>
        <v>0</v>
      </c>
      <c r="L79" s="183">
        <f>SUMIFS('май 2025'!$G$5:$G$2466,'май 2025'!$D$5:$D$2466,$B79,'май 2025'!$J$5:$J$2466,L$1)</f>
        <v>0</v>
      </c>
      <c r="M79" s="183">
        <f>SUMIFS('май 2025'!$G$5:$G$2466,'май 2025'!$D$5:$D$2466,$B79,'май 2025'!$J$5:$J$2466,M$1)</f>
        <v>0</v>
      </c>
      <c r="N79" s="183">
        <f>SUMIFS('май 2025'!$G$5:$G$2466,'май 2025'!$D$5:$D$2466,$B79,'май 2025'!$J$5:$J$2466,N$1)</f>
        <v>0</v>
      </c>
      <c r="O79" s="183">
        <f>SUMIFS('май 2025'!$G$5:$G$2466,'май 2025'!$D$5:$D$2466,$B79,'май 2025'!$J$5:$J$2466,O$1)</f>
        <v>0</v>
      </c>
      <c r="P79" s="183">
        <f>SUMIFS('май 2025'!$G$5:$G$2466,'май 2025'!$D$5:$D$2466,$B79,'май 2025'!$J$5:$J$2466,P$1)</f>
        <v>0</v>
      </c>
      <c r="Q79" s="183">
        <f>SUMIFS('май 2025'!$G$5:$G$2466,'май 2025'!$D$5:$D$2466,$B79,'май 2025'!$J$5:$J$2466,Q$1)</f>
        <v>0</v>
      </c>
      <c r="R79" s="183">
        <f>SUMIFS('май 2025'!$G$5:$G$2466,'май 2025'!$D$5:$D$2466,$B79,'май 2025'!$J$5:$J$2466,R$1)</f>
        <v>0</v>
      </c>
      <c r="S79" s="183">
        <f>SUMIFS('май 2025'!$G$5:$G$2466,'май 2025'!$D$5:$D$2466,$B79,'май 2025'!$J$5:$J$2466,S$1)</f>
        <v>0</v>
      </c>
      <c r="T79" s="183">
        <f>SUMIFS('май 2025'!$G$5:$G$2466,'май 2025'!$D$5:$D$2466,$B79,'май 2025'!$J$5:$J$2466,T$1)</f>
        <v>0</v>
      </c>
      <c r="U79" s="183">
        <f>SUMIFS('май 2025'!$G$5:$G$2466,'май 2025'!$D$5:$D$2466,$B79,'май 2025'!$J$5:$J$2466,U$1)</f>
        <v>0</v>
      </c>
      <c r="V79" s="183">
        <f>SUMIFS('май 2025'!$G$5:$G$2466,'май 2025'!$D$5:$D$2466,$B79,'май 2025'!$J$5:$J$2466,V$1)</f>
        <v>0</v>
      </c>
      <c r="W79" s="183">
        <f>SUMIFS('май 2025'!$G$5:$G$2466,'май 2025'!$D$5:$D$2466,$B79,'май 2025'!$J$5:$J$2466,W$1)</f>
        <v>0</v>
      </c>
      <c r="X79" s="183">
        <f>SUMIFS('май 2025'!$G$5:$G$2466,'май 2025'!$D$5:$D$2466,$B79,'май 2025'!$J$5:$J$2466,X$1)</f>
        <v>0</v>
      </c>
      <c r="Y79" s="183">
        <f>SUMIFS('май 2025'!$G$5:$G$2466,'май 2025'!$D$5:$D$2466,$B79,'май 2025'!$J$5:$J$2466,Y$1)</f>
        <v>0</v>
      </c>
      <c r="Z79" s="183">
        <f>SUMIFS('май 2025'!$G$5:$G$2466,'май 2025'!$D$5:$D$2466,$B79,'май 2025'!$J$5:$J$2466,Z$1)</f>
        <v>0</v>
      </c>
      <c r="AA79" s="183">
        <f>SUMIFS('май 2025'!$G$5:$G$2466,'май 2025'!$D$5:$D$2466,$B79,'май 2025'!$J$5:$J$2466,AA$1)</f>
        <v>0</v>
      </c>
      <c r="AB79" s="183">
        <f>SUMIFS('май 2025'!$G$5:$G$2466,'май 2025'!$D$5:$D$2466,$B79,'май 2025'!$J$5:$J$2466,AB$1)</f>
        <v>0</v>
      </c>
      <c r="AC79" s="183">
        <f>SUMIFS('май 2025'!$G$5:$G$2466,'май 2025'!$D$5:$D$2466,$B79,'май 2025'!$J$5:$J$2466,AC$1)</f>
        <v>0</v>
      </c>
      <c r="AD79" s="183">
        <f>SUMIFS('май 2025'!$G$5:$G$2466,'май 2025'!$D$5:$D$2466,$B79,'май 2025'!$J$5:$J$2466,AD$1)</f>
        <v>0</v>
      </c>
      <c r="AE79" s="183">
        <f>SUMIFS('май 2025'!$G$5:$G$2466,'май 2025'!$D$5:$D$2466,$B79,'май 2025'!$J$5:$J$2466,AE$1)</f>
        <v>0</v>
      </c>
      <c r="AF79" s="183">
        <f>SUMIFS('май 2025'!$G$5:$G$2466,'май 2025'!$D$5:$D$2466,$B79,'май 2025'!$J$5:$J$2466,AF$1)</f>
        <v>0</v>
      </c>
      <c r="AG79" s="183">
        <f>SUMIFS('май 2025'!$G$5:$G$2466,'май 2025'!$D$5:$D$2466,$B79,'май 2025'!$J$5:$J$2466,AG$1)</f>
        <v>0</v>
      </c>
      <c r="AH79" s="183">
        <f>SUMIFS('май 2025'!$G$5:$G$2466,'май 2025'!$D$5:$D$2466,$B79,'май 2025'!$J$5:$J$2466,AH$1)</f>
        <v>0</v>
      </c>
      <c r="AI79" s="20">
        <f t="shared" si="1"/>
        <v>0</v>
      </c>
    </row>
    <row r="80" spans="2:35" ht="15" customHeight="1" x14ac:dyDescent="0.25">
      <c r="B80" s="88" t="s">
        <v>178</v>
      </c>
      <c r="C80" s="86">
        <v>50</v>
      </c>
      <c r="D80" s="183">
        <f>SUMIFS('май 2025'!$G$5:$G$2466,'май 2025'!$D$5:$D$2466,$B80,'май 2025'!$J$5:$J$2466,D$1)</f>
        <v>0</v>
      </c>
      <c r="E80" s="183">
        <f>SUMIFS('май 2025'!$G$5:$G$2466,'май 2025'!$D$5:$D$2466,$B80,'май 2025'!$J$5:$J$2466,E$1)</f>
        <v>0</v>
      </c>
      <c r="F80" s="183">
        <f>SUMIFS('май 2025'!$G$5:$G$2466,'май 2025'!$D$5:$D$2466,$B80,'май 2025'!$J$5:$J$2466,F$1)</f>
        <v>0</v>
      </c>
      <c r="G80" s="183">
        <f>SUMIFS('май 2025'!$G$5:$G$2466,'май 2025'!$D$5:$D$2466,$B80,'май 2025'!$J$5:$J$2466,G$1)</f>
        <v>0</v>
      </c>
      <c r="H80" s="183">
        <f>SUMIFS('май 2025'!$G$5:$G$2466,'май 2025'!$D$5:$D$2466,$B80,'май 2025'!$J$5:$J$2466,H$1)</f>
        <v>0</v>
      </c>
      <c r="I80" s="183">
        <f>SUMIFS('май 2025'!$G$5:$G$2466,'май 2025'!$D$5:$D$2466,$B80,'май 2025'!$J$5:$J$2466,I$1)</f>
        <v>0</v>
      </c>
      <c r="J80" s="183">
        <f>SUMIFS('май 2025'!$G$5:$G$2466,'май 2025'!$D$5:$D$2466,$B80,'май 2025'!$J$5:$J$2466,J$1)</f>
        <v>0</v>
      </c>
      <c r="K80" s="183">
        <f>SUMIFS('май 2025'!$G$5:$G$2466,'май 2025'!$D$5:$D$2466,$B80,'май 2025'!$J$5:$J$2466,K$1)</f>
        <v>0</v>
      </c>
      <c r="L80" s="183">
        <f>SUMIFS('май 2025'!$G$5:$G$2466,'май 2025'!$D$5:$D$2466,$B80,'май 2025'!$J$5:$J$2466,L$1)</f>
        <v>0</v>
      </c>
      <c r="M80" s="183">
        <f>SUMIFS('май 2025'!$G$5:$G$2466,'май 2025'!$D$5:$D$2466,$B80,'май 2025'!$J$5:$J$2466,M$1)</f>
        <v>0</v>
      </c>
      <c r="N80" s="183">
        <f>SUMIFS('май 2025'!$G$5:$G$2466,'май 2025'!$D$5:$D$2466,$B80,'май 2025'!$J$5:$J$2466,N$1)</f>
        <v>0</v>
      </c>
      <c r="O80" s="183">
        <f>SUMIFS('май 2025'!$G$5:$G$2466,'май 2025'!$D$5:$D$2466,$B80,'май 2025'!$J$5:$J$2466,O$1)</f>
        <v>0</v>
      </c>
      <c r="P80" s="183">
        <f>SUMIFS('май 2025'!$G$5:$G$2466,'май 2025'!$D$5:$D$2466,$B80,'май 2025'!$J$5:$J$2466,P$1)</f>
        <v>0</v>
      </c>
      <c r="Q80" s="183">
        <f>SUMIFS('май 2025'!$G$5:$G$2466,'май 2025'!$D$5:$D$2466,$B80,'май 2025'!$J$5:$J$2466,Q$1)</f>
        <v>0</v>
      </c>
      <c r="R80" s="183">
        <f>SUMIFS('май 2025'!$G$5:$G$2466,'май 2025'!$D$5:$D$2466,$B80,'май 2025'!$J$5:$J$2466,R$1)</f>
        <v>0</v>
      </c>
      <c r="S80" s="183">
        <f>SUMIFS('май 2025'!$G$5:$G$2466,'май 2025'!$D$5:$D$2466,$B80,'май 2025'!$J$5:$J$2466,S$1)</f>
        <v>0</v>
      </c>
      <c r="T80" s="183">
        <f>SUMIFS('май 2025'!$G$5:$G$2466,'май 2025'!$D$5:$D$2466,$B80,'май 2025'!$J$5:$J$2466,T$1)</f>
        <v>0</v>
      </c>
      <c r="U80" s="183">
        <f>SUMIFS('май 2025'!$G$5:$G$2466,'май 2025'!$D$5:$D$2466,$B80,'май 2025'!$J$5:$J$2466,U$1)</f>
        <v>0</v>
      </c>
      <c r="V80" s="183">
        <f>SUMIFS('май 2025'!$G$5:$G$2466,'май 2025'!$D$5:$D$2466,$B80,'май 2025'!$J$5:$J$2466,V$1)</f>
        <v>0</v>
      </c>
      <c r="W80" s="183">
        <f>SUMIFS('май 2025'!$G$5:$G$2466,'май 2025'!$D$5:$D$2466,$B80,'май 2025'!$J$5:$J$2466,W$1)</f>
        <v>0</v>
      </c>
      <c r="X80" s="183">
        <f>SUMIFS('май 2025'!$G$5:$G$2466,'май 2025'!$D$5:$D$2466,$B80,'май 2025'!$J$5:$J$2466,X$1)</f>
        <v>0</v>
      </c>
      <c r="Y80" s="183">
        <f>SUMIFS('май 2025'!$G$5:$G$2466,'май 2025'!$D$5:$D$2466,$B80,'май 2025'!$J$5:$J$2466,Y$1)</f>
        <v>0</v>
      </c>
      <c r="Z80" s="183">
        <f>SUMIFS('май 2025'!$G$5:$G$2466,'май 2025'!$D$5:$D$2466,$B80,'май 2025'!$J$5:$J$2466,Z$1)</f>
        <v>0</v>
      </c>
      <c r="AA80" s="183">
        <f>SUMIFS('май 2025'!$G$5:$G$2466,'май 2025'!$D$5:$D$2466,$B80,'май 2025'!$J$5:$J$2466,AA$1)</f>
        <v>0</v>
      </c>
      <c r="AB80" s="183">
        <f>SUMIFS('май 2025'!$G$5:$G$2466,'май 2025'!$D$5:$D$2466,$B80,'май 2025'!$J$5:$J$2466,AB$1)</f>
        <v>0</v>
      </c>
      <c r="AC80" s="183">
        <f>SUMIFS('май 2025'!$G$5:$G$2466,'май 2025'!$D$5:$D$2466,$B80,'май 2025'!$J$5:$J$2466,AC$1)</f>
        <v>0</v>
      </c>
      <c r="AD80" s="183">
        <f>SUMIFS('май 2025'!$G$5:$G$2466,'май 2025'!$D$5:$D$2466,$B80,'май 2025'!$J$5:$J$2466,AD$1)</f>
        <v>0</v>
      </c>
      <c r="AE80" s="183">
        <f>SUMIFS('май 2025'!$G$5:$G$2466,'май 2025'!$D$5:$D$2466,$B80,'май 2025'!$J$5:$J$2466,AE$1)</f>
        <v>0</v>
      </c>
      <c r="AF80" s="183">
        <f>SUMIFS('май 2025'!$G$5:$G$2466,'май 2025'!$D$5:$D$2466,$B80,'май 2025'!$J$5:$J$2466,AF$1)</f>
        <v>0</v>
      </c>
      <c r="AG80" s="183">
        <f>SUMIFS('май 2025'!$G$5:$G$2466,'май 2025'!$D$5:$D$2466,$B80,'май 2025'!$J$5:$J$2466,AG$1)</f>
        <v>0</v>
      </c>
      <c r="AH80" s="183">
        <f>SUMIFS('май 2025'!$G$5:$G$2466,'май 2025'!$D$5:$D$2466,$B80,'май 2025'!$J$5:$J$2466,AH$1)</f>
        <v>0</v>
      </c>
      <c r="AI80" s="20">
        <f t="shared" si="1"/>
        <v>0</v>
      </c>
    </row>
    <row r="81" spans="2:35" ht="15" customHeight="1" x14ac:dyDescent="0.25">
      <c r="B81" s="88" t="s">
        <v>167</v>
      </c>
      <c r="C81" s="86">
        <v>200</v>
      </c>
      <c r="D81" s="183">
        <f>SUMIFS('май 2025'!$G$5:$G$2466,'май 2025'!$D$5:$D$2466,$B81,'май 2025'!$J$5:$J$2466,D$1)</f>
        <v>0</v>
      </c>
      <c r="E81" s="183">
        <f>SUMIFS('май 2025'!$G$5:$G$2466,'май 2025'!$D$5:$D$2466,$B81,'май 2025'!$J$5:$J$2466,E$1)</f>
        <v>0</v>
      </c>
      <c r="F81" s="183">
        <f>SUMIFS('май 2025'!$G$5:$G$2466,'май 2025'!$D$5:$D$2466,$B81,'май 2025'!$J$5:$J$2466,F$1)</f>
        <v>0</v>
      </c>
      <c r="G81" s="183">
        <f>SUMIFS('май 2025'!$G$5:$G$2466,'май 2025'!$D$5:$D$2466,$B81,'май 2025'!$J$5:$J$2466,G$1)</f>
        <v>0</v>
      </c>
      <c r="H81" s="183">
        <f>SUMIFS('май 2025'!$G$5:$G$2466,'май 2025'!$D$5:$D$2466,$B81,'май 2025'!$J$5:$J$2466,H$1)</f>
        <v>0</v>
      </c>
      <c r="I81" s="183">
        <f>SUMIFS('май 2025'!$G$5:$G$2466,'май 2025'!$D$5:$D$2466,$B81,'май 2025'!$J$5:$J$2466,I$1)</f>
        <v>0</v>
      </c>
      <c r="J81" s="183">
        <f>SUMIFS('май 2025'!$G$5:$G$2466,'май 2025'!$D$5:$D$2466,$B81,'май 2025'!$J$5:$J$2466,J$1)</f>
        <v>0</v>
      </c>
      <c r="K81" s="183">
        <f>SUMIFS('май 2025'!$G$5:$G$2466,'май 2025'!$D$5:$D$2466,$B81,'май 2025'!$J$5:$J$2466,K$1)</f>
        <v>0</v>
      </c>
      <c r="L81" s="183">
        <f>SUMIFS('май 2025'!$G$5:$G$2466,'май 2025'!$D$5:$D$2466,$B81,'май 2025'!$J$5:$J$2466,L$1)</f>
        <v>0</v>
      </c>
      <c r="M81" s="183">
        <f>SUMIFS('май 2025'!$G$5:$G$2466,'май 2025'!$D$5:$D$2466,$B81,'май 2025'!$J$5:$J$2466,M$1)</f>
        <v>0</v>
      </c>
      <c r="N81" s="183">
        <f>SUMIFS('май 2025'!$G$5:$G$2466,'май 2025'!$D$5:$D$2466,$B81,'май 2025'!$J$5:$J$2466,N$1)</f>
        <v>0</v>
      </c>
      <c r="O81" s="183">
        <f>SUMIFS('май 2025'!$G$5:$G$2466,'май 2025'!$D$5:$D$2466,$B81,'май 2025'!$J$5:$J$2466,O$1)</f>
        <v>0</v>
      </c>
      <c r="P81" s="183">
        <f>SUMIFS('май 2025'!$G$5:$G$2466,'май 2025'!$D$5:$D$2466,$B81,'май 2025'!$J$5:$J$2466,P$1)</f>
        <v>0</v>
      </c>
      <c r="Q81" s="183">
        <f>SUMIFS('май 2025'!$G$5:$G$2466,'май 2025'!$D$5:$D$2466,$B81,'май 2025'!$J$5:$J$2466,Q$1)</f>
        <v>0</v>
      </c>
      <c r="R81" s="183">
        <f>SUMIFS('май 2025'!$G$5:$G$2466,'май 2025'!$D$5:$D$2466,$B81,'май 2025'!$J$5:$J$2466,R$1)</f>
        <v>0</v>
      </c>
      <c r="S81" s="183">
        <f>SUMIFS('май 2025'!$G$5:$G$2466,'май 2025'!$D$5:$D$2466,$B81,'май 2025'!$J$5:$J$2466,S$1)</f>
        <v>0</v>
      </c>
      <c r="T81" s="183">
        <f>SUMIFS('май 2025'!$G$5:$G$2466,'май 2025'!$D$5:$D$2466,$B81,'май 2025'!$J$5:$J$2466,T$1)</f>
        <v>0</v>
      </c>
      <c r="U81" s="183">
        <f>SUMIFS('май 2025'!$G$5:$G$2466,'май 2025'!$D$5:$D$2466,$B81,'май 2025'!$J$5:$J$2466,U$1)</f>
        <v>0</v>
      </c>
      <c r="V81" s="183">
        <f>SUMIFS('май 2025'!$G$5:$G$2466,'май 2025'!$D$5:$D$2466,$B81,'май 2025'!$J$5:$J$2466,V$1)</f>
        <v>0</v>
      </c>
      <c r="W81" s="183">
        <f>SUMIFS('май 2025'!$G$5:$G$2466,'май 2025'!$D$5:$D$2466,$B81,'май 2025'!$J$5:$J$2466,W$1)</f>
        <v>0</v>
      </c>
      <c r="X81" s="183">
        <f>SUMIFS('май 2025'!$G$5:$G$2466,'май 2025'!$D$5:$D$2466,$B81,'май 2025'!$J$5:$J$2466,X$1)</f>
        <v>0</v>
      </c>
      <c r="Y81" s="183">
        <f>SUMIFS('май 2025'!$G$5:$G$2466,'май 2025'!$D$5:$D$2466,$B81,'май 2025'!$J$5:$J$2466,Y$1)</f>
        <v>0</v>
      </c>
      <c r="Z81" s="183">
        <f>SUMIFS('май 2025'!$G$5:$G$2466,'май 2025'!$D$5:$D$2466,$B81,'май 2025'!$J$5:$J$2466,Z$1)</f>
        <v>0</v>
      </c>
      <c r="AA81" s="183">
        <f>SUMIFS('май 2025'!$G$5:$G$2466,'май 2025'!$D$5:$D$2466,$B81,'май 2025'!$J$5:$J$2466,AA$1)</f>
        <v>0</v>
      </c>
      <c r="AB81" s="183">
        <f>SUMIFS('май 2025'!$G$5:$G$2466,'май 2025'!$D$5:$D$2466,$B81,'май 2025'!$J$5:$J$2466,AB$1)</f>
        <v>0</v>
      </c>
      <c r="AC81" s="183">
        <f>SUMIFS('май 2025'!$G$5:$G$2466,'май 2025'!$D$5:$D$2466,$B81,'май 2025'!$J$5:$J$2466,AC$1)</f>
        <v>0</v>
      </c>
      <c r="AD81" s="183">
        <f>SUMIFS('май 2025'!$G$5:$G$2466,'май 2025'!$D$5:$D$2466,$B81,'май 2025'!$J$5:$J$2466,AD$1)</f>
        <v>0</v>
      </c>
      <c r="AE81" s="183">
        <f>SUMIFS('май 2025'!$G$5:$G$2466,'май 2025'!$D$5:$D$2466,$B81,'май 2025'!$J$5:$J$2466,AE$1)</f>
        <v>0</v>
      </c>
      <c r="AF81" s="183">
        <f>SUMIFS('май 2025'!$G$5:$G$2466,'май 2025'!$D$5:$D$2466,$B81,'май 2025'!$J$5:$J$2466,AF$1)</f>
        <v>0</v>
      </c>
      <c r="AG81" s="183">
        <f>SUMIFS('май 2025'!$G$5:$G$2466,'май 2025'!$D$5:$D$2466,$B81,'май 2025'!$J$5:$J$2466,AG$1)</f>
        <v>0</v>
      </c>
      <c r="AH81" s="183">
        <f>SUMIFS('май 2025'!$G$5:$G$2466,'май 2025'!$D$5:$D$2466,$B81,'май 2025'!$J$5:$J$2466,AH$1)</f>
        <v>0</v>
      </c>
      <c r="AI81" s="20">
        <f t="shared" si="1"/>
        <v>0</v>
      </c>
    </row>
    <row r="82" spans="2:35" ht="15" customHeight="1" x14ac:dyDescent="0.25">
      <c r="B82" s="88" t="s">
        <v>168</v>
      </c>
      <c r="C82" s="86">
        <v>200</v>
      </c>
      <c r="D82" s="183">
        <f>SUMIFS('май 2025'!$G$5:$G$2466,'май 2025'!$D$5:$D$2466,$B82,'май 2025'!$J$5:$J$2466,D$1)</f>
        <v>0</v>
      </c>
      <c r="E82" s="183">
        <f>SUMIFS('май 2025'!$G$5:$G$2466,'май 2025'!$D$5:$D$2466,$B82,'май 2025'!$J$5:$J$2466,E$1)</f>
        <v>0</v>
      </c>
      <c r="F82" s="183">
        <f>SUMIFS('май 2025'!$G$5:$G$2466,'май 2025'!$D$5:$D$2466,$B82,'май 2025'!$J$5:$J$2466,F$1)</f>
        <v>0</v>
      </c>
      <c r="G82" s="183">
        <f>SUMIFS('май 2025'!$G$5:$G$2466,'май 2025'!$D$5:$D$2466,$B82,'май 2025'!$J$5:$J$2466,G$1)</f>
        <v>0</v>
      </c>
      <c r="H82" s="183">
        <f>SUMIFS('май 2025'!$G$5:$G$2466,'май 2025'!$D$5:$D$2466,$B82,'май 2025'!$J$5:$J$2466,H$1)</f>
        <v>0</v>
      </c>
      <c r="I82" s="183">
        <f>SUMIFS('май 2025'!$G$5:$G$2466,'май 2025'!$D$5:$D$2466,$B82,'май 2025'!$J$5:$J$2466,I$1)</f>
        <v>0</v>
      </c>
      <c r="J82" s="183">
        <f>SUMIFS('май 2025'!$G$5:$G$2466,'май 2025'!$D$5:$D$2466,$B82,'май 2025'!$J$5:$J$2466,J$1)</f>
        <v>0</v>
      </c>
      <c r="K82" s="183">
        <f>SUMIFS('май 2025'!$G$5:$G$2466,'май 2025'!$D$5:$D$2466,$B82,'май 2025'!$J$5:$J$2466,K$1)</f>
        <v>0</v>
      </c>
      <c r="L82" s="183">
        <f>SUMIFS('май 2025'!$G$5:$G$2466,'май 2025'!$D$5:$D$2466,$B82,'май 2025'!$J$5:$J$2466,L$1)</f>
        <v>0</v>
      </c>
      <c r="M82" s="183">
        <f>SUMIFS('май 2025'!$G$5:$G$2466,'май 2025'!$D$5:$D$2466,$B82,'май 2025'!$J$5:$J$2466,M$1)</f>
        <v>0</v>
      </c>
      <c r="N82" s="183">
        <f>SUMIFS('май 2025'!$G$5:$G$2466,'май 2025'!$D$5:$D$2466,$B82,'май 2025'!$J$5:$J$2466,N$1)</f>
        <v>0</v>
      </c>
      <c r="O82" s="183">
        <f>SUMIFS('май 2025'!$G$5:$G$2466,'май 2025'!$D$5:$D$2466,$B82,'май 2025'!$J$5:$J$2466,O$1)</f>
        <v>0</v>
      </c>
      <c r="P82" s="183">
        <f>SUMIFS('май 2025'!$G$5:$G$2466,'май 2025'!$D$5:$D$2466,$B82,'май 2025'!$J$5:$J$2466,P$1)</f>
        <v>0</v>
      </c>
      <c r="Q82" s="183">
        <f>SUMIFS('май 2025'!$G$5:$G$2466,'май 2025'!$D$5:$D$2466,$B82,'май 2025'!$J$5:$J$2466,Q$1)</f>
        <v>0</v>
      </c>
      <c r="R82" s="183">
        <f>SUMIFS('май 2025'!$G$5:$G$2466,'май 2025'!$D$5:$D$2466,$B82,'май 2025'!$J$5:$J$2466,R$1)</f>
        <v>0</v>
      </c>
      <c r="S82" s="183">
        <f>SUMIFS('май 2025'!$G$5:$G$2466,'май 2025'!$D$5:$D$2466,$B82,'май 2025'!$J$5:$J$2466,S$1)</f>
        <v>0</v>
      </c>
      <c r="T82" s="183">
        <f>SUMIFS('май 2025'!$G$5:$G$2466,'май 2025'!$D$5:$D$2466,$B82,'май 2025'!$J$5:$J$2466,T$1)</f>
        <v>0</v>
      </c>
      <c r="U82" s="183">
        <f>SUMIFS('май 2025'!$G$5:$G$2466,'май 2025'!$D$5:$D$2466,$B82,'май 2025'!$J$5:$J$2466,U$1)</f>
        <v>0</v>
      </c>
      <c r="V82" s="183">
        <f>SUMIFS('май 2025'!$G$5:$G$2466,'май 2025'!$D$5:$D$2466,$B82,'май 2025'!$J$5:$J$2466,V$1)</f>
        <v>32</v>
      </c>
      <c r="W82" s="183">
        <f>SUMIFS('май 2025'!$G$5:$G$2466,'май 2025'!$D$5:$D$2466,$B82,'май 2025'!$J$5:$J$2466,W$1)</f>
        <v>0</v>
      </c>
      <c r="X82" s="183">
        <f>SUMIFS('май 2025'!$G$5:$G$2466,'май 2025'!$D$5:$D$2466,$B82,'май 2025'!$J$5:$J$2466,X$1)</f>
        <v>0</v>
      </c>
      <c r="Y82" s="183">
        <f>SUMIFS('май 2025'!$G$5:$G$2466,'май 2025'!$D$5:$D$2466,$B82,'май 2025'!$J$5:$J$2466,Y$1)</f>
        <v>0</v>
      </c>
      <c r="Z82" s="183">
        <f>SUMIFS('май 2025'!$G$5:$G$2466,'май 2025'!$D$5:$D$2466,$B82,'май 2025'!$J$5:$J$2466,Z$1)</f>
        <v>0</v>
      </c>
      <c r="AA82" s="183">
        <f>SUMIFS('май 2025'!$G$5:$G$2466,'май 2025'!$D$5:$D$2466,$B82,'май 2025'!$J$5:$J$2466,AA$1)</f>
        <v>0</v>
      </c>
      <c r="AB82" s="183">
        <f>SUMIFS('май 2025'!$G$5:$G$2466,'май 2025'!$D$5:$D$2466,$B82,'май 2025'!$J$5:$J$2466,AB$1)</f>
        <v>0</v>
      </c>
      <c r="AC82" s="183">
        <f>SUMIFS('май 2025'!$G$5:$G$2466,'май 2025'!$D$5:$D$2466,$B82,'май 2025'!$J$5:$J$2466,AC$1)</f>
        <v>0</v>
      </c>
      <c r="AD82" s="183">
        <f>SUMIFS('май 2025'!$G$5:$G$2466,'май 2025'!$D$5:$D$2466,$B82,'май 2025'!$J$5:$J$2466,AD$1)</f>
        <v>0</v>
      </c>
      <c r="AE82" s="183">
        <f>SUMIFS('май 2025'!$G$5:$G$2466,'май 2025'!$D$5:$D$2466,$B82,'май 2025'!$J$5:$J$2466,AE$1)</f>
        <v>0</v>
      </c>
      <c r="AF82" s="183">
        <f>SUMIFS('май 2025'!$G$5:$G$2466,'май 2025'!$D$5:$D$2466,$B82,'май 2025'!$J$5:$J$2466,AF$1)</f>
        <v>0</v>
      </c>
      <c r="AG82" s="183">
        <f>SUMIFS('май 2025'!$G$5:$G$2466,'май 2025'!$D$5:$D$2466,$B82,'май 2025'!$J$5:$J$2466,AG$1)</f>
        <v>0</v>
      </c>
      <c r="AH82" s="183">
        <f>SUMIFS('май 2025'!$G$5:$G$2466,'май 2025'!$D$5:$D$2466,$B82,'май 2025'!$J$5:$J$2466,AH$1)</f>
        <v>0</v>
      </c>
      <c r="AI82" s="20">
        <f t="shared" si="1"/>
        <v>32</v>
      </c>
    </row>
    <row r="83" spans="2:35" ht="15" customHeight="1" x14ac:dyDescent="0.25">
      <c r="B83" s="88" t="s">
        <v>314</v>
      </c>
      <c r="C83" s="86">
        <v>200</v>
      </c>
      <c r="D83" s="183">
        <f>SUMIFS('май 2025'!$G$5:$G$2466,'май 2025'!$D$5:$D$2466,$B83,'май 2025'!$J$5:$J$2466,D$1)</f>
        <v>0</v>
      </c>
      <c r="E83" s="183">
        <f>SUMIFS('май 2025'!$G$5:$G$2466,'май 2025'!$D$5:$D$2466,$B83,'май 2025'!$J$5:$J$2466,E$1)</f>
        <v>0</v>
      </c>
      <c r="F83" s="183">
        <f>SUMIFS('май 2025'!$G$5:$G$2466,'май 2025'!$D$5:$D$2466,$B83,'май 2025'!$J$5:$J$2466,F$1)</f>
        <v>0</v>
      </c>
      <c r="G83" s="183">
        <f>SUMIFS('май 2025'!$G$5:$G$2466,'май 2025'!$D$5:$D$2466,$B83,'май 2025'!$J$5:$J$2466,G$1)</f>
        <v>0</v>
      </c>
      <c r="H83" s="183">
        <f>SUMIFS('май 2025'!$G$5:$G$2466,'май 2025'!$D$5:$D$2466,$B83,'май 2025'!$J$5:$J$2466,H$1)</f>
        <v>0</v>
      </c>
      <c r="I83" s="183">
        <f>SUMIFS('май 2025'!$G$5:$G$2466,'май 2025'!$D$5:$D$2466,$B83,'май 2025'!$J$5:$J$2466,I$1)</f>
        <v>0</v>
      </c>
      <c r="J83" s="183">
        <f>SUMIFS('май 2025'!$G$5:$G$2466,'май 2025'!$D$5:$D$2466,$B83,'май 2025'!$J$5:$J$2466,J$1)</f>
        <v>0</v>
      </c>
      <c r="K83" s="183">
        <f>SUMIFS('май 2025'!$G$5:$G$2466,'май 2025'!$D$5:$D$2466,$B83,'май 2025'!$J$5:$J$2466,K$1)</f>
        <v>0</v>
      </c>
      <c r="L83" s="183">
        <f>SUMIFS('май 2025'!$G$5:$G$2466,'май 2025'!$D$5:$D$2466,$B83,'май 2025'!$J$5:$J$2466,L$1)</f>
        <v>0</v>
      </c>
      <c r="M83" s="183">
        <f>SUMIFS('май 2025'!$G$5:$G$2466,'май 2025'!$D$5:$D$2466,$B83,'май 2025'!$J$5:$J$2466,M$1)</f>
        <v>0</v>
      </c>
      <c r="N83" s="183">
        <f>SUMIFS('май 2025'!$G$5:$G$2466,'май 2025'!$D$5:$D$2466,$B83,'май 2025'!$J$5:$J$2466,N$1)</f>
        <v>0</v>
      </c>
      <c r="O83" s="183">
        <f>SUMIFS('май 2025'!$G$5:$G$2466,'май 2025'!$D$5:$D$2466,$B83,'май 2025'!$J$5:$J$2466,O$1)</f>
        <v>0</v>
      </c>
      <c r="P83" s="183">
        <f>SUMIFS('май 2025'!$G$5:$G$2466,'май 2025'!$D$5:$D$2466,$B83,'май 2025'!$J$5:$J$2466,P$1)</f>
        <v>0</v>
      </c>
      <c r="Q83" s="183">
        <f>SUMIFS('май 2025'!$G$5:$G$2466,'май 2025'!$D$5:$D$2466,$B83,'май 2025'!$J$5:$J$2466,Q$1)</f>
        <v>0</v>
      </c>
      <c r="R83" s="183">
        <f>SUMIFS('май 2025'!$G$5:$G$2466,'май 2025'!$D$5:$D$2466,$B83,'май 2025'!$J$5:$J$2466,R$1)</f>
        <v>0</v>
      </c>
      <c r="S83" s="183">
        <f>SUMIFS('май 2025'!$G$5:$G$2466,'май 2025'!$D$5:$D$2466,$B83,'май 2025'!$J$5:$J$2466,S$1)</f>
        <v>0</v>
      </c>
      <c r="T83" s="183">
        <f>SUMIFS('май 2025'!$G$5:$G$2466,'май 2025'!$D$5:$D$2466,$B83,'май 2025'!$J$5:$J$2466,T$1)</f>
        <v>0</v>
      </c>
      <c r="U83" s="183">
        <f>SUMIFS('май 2025'!$G$5:$G$2466,'май 2025'!$D$5:$D$2466,$B83,'май 2025'!$J$5:$J$2466,U$1)</f>
        <v>0</v>
      </c>
      <c r="V83" s="183">
        <f>SUMIFS('май 2025'!$G$5:$G$2466,'май 2025'!$D$5:$D$2466,$B83,'май 2025'!$J$5:$J$2466,V$1)</f>
        <v>0</v>
      </c>
      <c r="W83" s="183">
        <f>SUMIFS('май 2025'!$G$5:$G$2466,'май 2025'!$D$5:$D$2466,$B83,'май 2025'!$J$5:$J$2466,W$1)</f>
        <v>0</v>
      </c>
      <c r="X83" s="183">
        <f>SUMIFS('май 2025'!$G$5:$G$2466,'май 2025'!$D$5:$D$2466,$B83,'май 2025'!$J$5:$J$2466,X$1)</f>
        <v>0</v>
      </c>
      <c r="Y83" s="183">
        <f>SUMIFS('май 2025'!$G$5:$G$2466,'май 2025'!$D$5:$D$2466,$B83,'май 2025'!$J$5:$J$2466,Y$1)</f>
        <v>0</v>
      </c>
      <c r="Z83" s="183">
        <f>SUMIFS('май 2025'!$G$5:$G$2466,'май 2025'!$D$5:$D$2466,$B83,'май 2025'!$J$5:$J$2466,Z$1)</f>
        <v>0</v>
      </c>
      <c r="AA83" s="183">
        <f>SUMIFS('май 2025'!$G$5:$G$2466,'май 2025'!$D$5:$D$2466,$B83,'май 2025'!$J$5:$J$2466,AA$1)</f>
        <v>0</v>
      </c>
      <c r="AB83" s="183">
        <f>SUMIFS('май 2025'!$G$5:$G$2466,'май 2025'!$D$5:$D$2466,$B83,'май 2025'!$J$5:$J$2466,AB$1)</f>
        <v>0</v>
      </c>
      <c r="AC83" s="183">
        <f>SUMIFS('май 2025'!$G$5:$G$2466,'май 2025'!$D$5:$D$2466,$B83,'май 2025'!$J$5:$J$2466,AC$1)</f>
        <v>88</v>
      </c>
      <c r="AD83" s="183">
        <f>SUMIFS('май 2025'!$G$5:$G$2466,'май 2025'!$D$5:$D$2466,$B83,'май 2025'!$J$5:$J$2466,AD$1)</f>
        <v>0</v>
      </c>
      <c r="AE83" s="183">
        <f>SUMIFS('май 2025'!$G$5:$G$2466,'май 2025'!$D$5:$D$2466,$B83,'май 2025'!$J$5:$J$2466,AE$1)</f>
        <v>0</v>
      </c>
      <c r="AF83" s="183">
        <f>SUMIFS('май 2025'!$G$5:$G$2466,'май 2025'!$D$5:$D$2466,$B83,'май 2025'!$J$5:$J$2466,AF$1)</f>
        <v>0</v>
      </c>
      <c r="AG83" s="183">
        <f>SUMIFS('май 2025'!$G$5:$G$2466,'май 2025'!$D$5:$D$2466,$B83,'май 2025'!$J$5:$J$2466,AG$1)</f>
        <v>0</v>
      </c>
      <c r="AH83" s="183">
        <f>SUMIFS('май 2025'!$G$5:$G$2466,'май 2025'!$D$5:$D$2466,$B83,'май 2025'!$J$5:$J$2466,AH$1)</f>
        <v>0</v>
      </c>
      <c r="AI83" s="20">
        <f t="shared" si="1"/>
        <v>88</v>
      </c>
    </row>
    <row r="84" spans="2:35" ht="15" customHeight="1" x14ac:dyDescent="0.25">
      <c r="B84" s="88" t="s">
        <v>375</v>
      </c>
      <c r="C84" s="86">
        <v>210</v>
      </c>
      <c r="D84" s="183">
        <f>SUMIFS('май 2025'!$G$5:$G$2466,'май 2025'!$D$5:$D$2466,$B84,'май 2025'!$J$5:$J$2466,D$1)</f>
        <v>0</v>
      </c>
      <c r="E84" s="183">
        <f>SUMIFS('май 2025'!$G$5:$G$2466,'май 2025'!$D$5:$D$2466,$B84,'май 2025'!$J$5:$J$2466,E$1)</f>
        <v>0</v>
      </c>
      <c r="F84" s="183">
        <f>SUMIFS('май 2025'!$G$5:$G$2466,'май 2025'!$D$5:$D$2466,$B84,'май 2025'!$J$5:$J$2466,F$1)</f>
        <v>0</v>
      </c>
      <c r="G84" s="183">
        <f>SUMIFS('май 2025'!$G$5:$G$2466,'май 2025'!$D$5:$D$2466,$B84,'май 2025'!$J$5:$J$2466,G$1)</f>
        <v>0</v>
      </c>
      <c r="H84" s="183">
        <f>SUMIFS('май 2025'!$G$5:$G$2466,'май 2025'!$D$5:$D$2466,$B84,'май 2025'!$J$5:$J$2466,H$1)</f>
        <v>0</v>
      </c>
      <c r="I84" s="183">
        <f>SUMIFS('май 2025'!$G$5:$G$2466,'май 2025'!$D$5:$D$2466,$B84,'май 2025'!$J$5:$J$2466,I$1)</f>
        <v>0</v>
      </c>
      <c r="J84" s="183">
        <f>SUMIFS('май 2025'!$G$5:$G$2466,'май 2025'!$D$5:$D$2466,$B84,'май 2025'!$J$5:$J$2466,J$1)</f>
        <v>0</v>
      </c>
      <c r="K84" s="183">
        <f>SUMIFS('май 2025'!$G$5:$G$2466,'май 2025'!$D$5:$D$2466,$B84,'май 2025'!$J$5:$J$2466,K$1)</f>
        <v>0</v>
      </c>
      <c r="L84" s="183">
        <f>SUMIFS('май 2025'!$G$5:$G$2466,'май 2025'!$D$5:$D$2466,$B84,'май 2025'!$J$5:$J$2466,L$1)</f>
        <v>0</v>
      </c>
      <c r="M84" s="183">
        <f>SUMIFS('май 2025'!$G$5:$G$2466,'май 2025'!$D$5:$D$2466,$B84,'май 2025'!$J$5:$J$2466,M$1)</f>
        <v>0</v>
      </c>
      <c r="N84" s="183">
        <f>SUMIFS('май 2025'!$G$5:$G$2466,'май 2025'!$D$5:$D$2466,$B84,'май 2025'!$J$5:$J$2466,N$1)</f>
        <v>0</v>
      </c>
      <c r="O84" s="183">
        <f>SUMIFS('май 2025'!$G$5:$G$2466,'май 2025'!$D$5:$D$2466,$B84,'май 2025'!$J$5:$J$2466,O$1)</f>
        <v>0</v>
      </c>
      <c r="P84" s="183">
        <f>SUMIFS('май 2025'!$G$5:$G$2466,'май 2025'!$D$5:$D$2466,$B84,'май 2025'!$J$5:$J$2466,P$1)</f>
        <v>0</v>
      </c>
      <c r="Q84" s="183">
        <f>SUMIFS('май 2025'!$G$5:$G$2466,'май 2025'!$D$5:$D$2466,$B84,'май 2025'!$J$5:$J$2466,Q$1)</f>
        <v>0</v>
      </c>
      <c r="R84" s="183">
        <f>SUMIFS('май 2025'!$G$5:$G$2466,'май 2025'!$D$5:$D$2466,$B84,'май 2025'!$J$5:$J$2466,R$1)</f>
        <v>0</v>
      </c>
      <c r="S84" s="183">
        <f>SUMIFS('май 2025'!$G$5:$G$2466,'май 2025'!$D$5:$D$2466,$B84,'май 2025'!$J$5:$J$2466,S$1)</f>
        <v>0</v>
      </c>
      <c r="T84" s="183">
        <f>SUMIFS('май 2025'!$G$5:$G$2466,'май 2025'!$D$5:$D$2466,$B84,'май 2025'!$J$5:$J$2466,T$1)</f>
        <v>0</v>
      </c>
      <c r="U84" s="183">
        <f>SUMIFS('май 2025'!$G$5:$G$2466,'май 2025'!$D$5:$D$2466,$B84,'май 2025'!$J$5:$J$2466,U$1)</f>
        <v>0</v>
      </c>
      <c r="V84" s="183">
        <f>SUMIFS('май 2025'!$G$5:$G$2466,'май 2025'!$D$5:$D$2466,$B84,'май 2025'!$J$5:$J$2466,V$1)</f>
        <v>0</v>
      </c>
      <c r="W84" s="183">
        <f>SUMIFS('май 2025'!$G$5:$G$2466,'май 2025'!$D$5:$D$2466,$B84,'май 2025'!$J$5:$J$2466,W$1)</f>
        <v>0</v>
      </c>
      <c r="X84" s="183">
        <f>SUMIFS('май 2025'!$G$5:$G$2466,'май 2025'!$D$5:$D$2466,$B84,'май 2025'!$J$5:$J$2466,X$1)</f>
        <v>0</v>
      </c>
      <c r="Y84" s="183">
        <f>SUMIFS('май 2025'!$G$5:$G$2466,'май 2025'!$D$5:$D$2466,$B84,'май 2025'!$J$5:$J$2466,Y$1)</f>
        <v>0</v>
      </c>
      <c r="Z84" s="183">
        <f>SUMIFS('май 2025'!$G$5:$G$2466,'май 2025'!$D$5:$D$2466,$B84,'май 2025'!$J$5:$J$2466,Z$1)</f>
        <v>0</v>
      </c>
      <c r="AA84" s="183">
        <f>SUMIFS('май 2025'!$G$5:$G$2466,'май 2025'!$D$5:$D$2466,$B84,'май 2025'!$J$5:$J$2466,AA$1)</f>
        <v>0</v>
      </c>
      <c r="AB84" s="183">
        <f>SUMIFS('май 2025'!$G$5:$G$2466,'май 2025'!$D$5:$D$2466,$B84,'май 2025'!$J$5:$J$2466,AB$1)</f>
        <v>0</v>
      </c>
      <c r="AC84" s="183">
        <f>SUMIFS('май 2025'!$G$5:$G$2466,'май 2025'!$D$5:$D$2466,$B84,'май 2025'!$J$5:$J$2466,AC$1)</f>
        <v>0</v>
      </c>
      <c r="AD84" s="183">
        <f>SUMIFS('май 2025'!$G$5:$G$2466,'май 2025'!$D$5:$D$2466,$B84,'май 2025'!$J$5:$J$2466,AD$1)</f>
        <v>0</v>
      </c>
      <c r="AE84" s="183">
        <f>SUMIFS('май 2025'!$G$5:$G$2466,'май 2025'!$D$5:$D$2466,$B84,'май 2025'!$J$5:$J$2466,AE$1)</f>
        <v>0</v>
      </c>
      <c r="AF84" s="183">
        <f>SUMIFS('май 2025'!$G$5:$G$2466,'май 2025'!$D$5:$D$2466,$B84,'май 2025'!$J$5:$J$2466,AF$1)</f>
        <v>0</v>
      </c>
      <c r="AG84" s="183">
        <f>SUMIFS('май 2025'!$G$5:$G$2466,'май 2025'!$D$5:$D$2466,$B84,'май 2025'!$J$5:$J$2466,AG$1)</f>
        <v>0</v>
      </c>
      <c r="AH84" s="183">
        <f>SUMIFS('май 2025'!$G$5:$G$2466,'май 2025'!$D$5:$D$2466,$B84,'май 2025'!$J$5:$J$2466,AH$1)</f>
        <v>0</v>
      </c>
      <c r="AI84" s="20">
        <f t="shared" si="1"/>
        <v>0</v>
      </c>
    </row>
    <row r="85" spans="2:35" ht="15" customHeight="1" x14ac:dyDescent="0.25">
      <c r="B85" s="88" t="s">
        <v>1255</v>
      </c>
      <c r="C85" s="86">
        <v>1000</v>
      </c>
      <c r="D85" s="183">
        <f>SUMIFS('май 2025'!$G$5:$G$2466,'май 2025'!$D$5:$D$2466,$B85,'май 2025'!$J$5:$J$2466,D$1)</f>
        <v>0</v>
      </c>
      <c r="E85" s="183">
        <f>SUMIFS('май 2025'!$G$5:$G$2466,'май 2025'!$D$5:$D$2466,$B85,'май 2025'!$J$5:$J$2466,E$1)</f>
        <v>0</v>
      </c>
      <c r="F85" s="183">
        <f>SUMIFS('май 2025'!$G$5:$G$2466,'май 2025'!$D$5:$D$2466,$B85,'май 2025'!$J$5:$J$2466,F$1)</f>
        <v>0</v>
      </c>
      <c r="G85" s="183">
        <f>SUMIFS('май 2025'!$G$5:$G$2466,'май 2025'!$D$5:$D$2466,$B85,'май 2025'!$J$5:$J$2466,G$1)</f>
        <v>0</v>
      </c>
      <c r="H85" s="183">
        <f>SUMIFS('май 2025'!$G$5:$G$2466,'май 2025'!$D$5:$D$2466,$B85,'май 2025'!$J$5:$J$2466,H$1)</f>
        <v>0</v>
      </c>
      <c r="I85" s="183">
        <f>SUMIFS('май 2025'!$G$5:$G$2466,'май 2025'!$D$5:$D$2466,$B85,'май 2025'!$J$5:$J$2466,I$1)</f>
        <v>0</v>
      </c>
      <c r="J85" s="183">
        <f>SUMIFS('май 2025'!$G$5:$G$2466,'май 2025'!$D$5:$D$2466,$B85,'май 2025'!$J$5:$J$2466,J$1)</f>
        <v>0</v>
      </c>
      <c r="K85" s="183">
        <f>SUMIFS('май 2025'!$G$5:$G$2466,'май 2025'!$D$5:$D$2466,$B85,'май 2025'!$J$5:$J$2466,K$1)</f>
        <v>0</v>
      </c>
      <c r="L85" s="183">
        <f>SUMIFS('май 2025'!$G$5:$G$2466,'май 2025'!$D$5:$D$2466,$B85,'май 2025'!$J$5:$J$2466,L$1)</f>
        <v>0</v>
      </c>
      <c r="M85" s="183">
        <f>SUMIFS('май 2025'!$G$5:$G$2466,'май 2025'!$D$5:$D$2466,$B85,'май 2025'!$J$5:$J$2466,M$1)</f>
        <v>0</v>
      </c>
      <c r="N85" s="183">
        <f>SUMIFS('май 2025'!$G$5:$G$2466,'май 2025'!$D$5:$D$2466,$B85,'май 2025'!$J$5:$J$2466,N$1)</f>
        <v>0</v>
      </c>
      <c r="O85" s="183">
        <f>SUMIFS('май 2025'!$G$5:$G$2466,'май 2025'!$D$5:$D$2466,$B85,'май 2025'!$J$5:$J$2466,O$1)</f>
        <v>0</v>
      </c>
      <c r="P85" s="183">
        <f>SUMIFS('май 2025'!$G$5:$G$2466,'май 2025'!$D$5:$D$2466,$B85,'май 2025'!$J$5:$J$2466,P$1)</f>
        <v>0</v>
      </c>
      <c r="Q85" s="183">
        <f>SUMIFS('май 2025'!$G$5:$G$2466,'май 2025'!$D$5:$D$2466,$B85,'май 2025'!$J$5:$J$2466,Q$1)</f>
        <v>0</v>
      </c>
      <c r="R85" s="183">
        <f>SUMIFS('май 2025'!$G$5:$G$2466,'май 2025'!$D$5:$D$2466,$B85,'май 2025'!$J$5:$J$2466,R$1)</f>
        <v>0</v>
      </c>
      <c r="S85" s="183">
        <f>SUMIFS('май 2025'!$G$5:$G$2466,'май 2025'!$D$5:$D$2466,$B85,'май 2025'!$J$5:$J$2466,S$1)</f>
        <v>0</v>
      </c>
      <c r="T85" s="183">
        <f>SUMIFS('май 2025'!$G$5:$G$2466,'май 2025'!$D$5:$D$2466,$B85,'май 2025'!$J$5:$J$2466,T$1)</f>
        <v>0</v>
      </c>
      <c r="U85" s="183">
        <f>SUMIFS('май 2025'!$G$5:$G$2466,'май 2025'!$D$5:$D$2466,$B85,'май 2025'!$J$5:$J$2466,U$1)</f>
        <v>0</v>
      </c>
      <c r="V85" s="183">
        <f>SUMIFS('май 2025'!$G$5:$G$2466,'май 2025'!$D$5:$D$2466,$B85,'май 2025'!$J$5:$J$2466,V$1)</f>
        <v>0</v>
      </c>
      <c r="W85" s="183">
        <f>SUMIFS('май 2025'!$G$5:$G$2466,'май 2025'!$D$5:$D$2466,$B85,'май 2025'!$J$5:$J$2466,W$1)</f>
        <v>0</v>
      </c>
      <c r="X85" s="183">
        <f>SUMIFS('май 2025'!$G$5:$G$2466,'май 2025'!$D$5:$D$2466,$B85,'май 2025'!$J$5:$J$2466,X$1)</f>
        <v>0</v>
      </c>
      <c r="Y85" s="183">
        <f>SUMIFS('май 2025'!$G$5:$G$2466,'май 2025'!$D$5:$D$2466,$B85,'май 2025'!$J$5:$J$2466,Y$1)</f>
        <v>0</v>
      </c>
      <c r="Z85" s="183">
        <f>SUMIFS('май 2025'!$G$5:$G$2466,'май 2025'!$D$5:$D$2466,$B85,'май 2025'!$J$5:$J$2466,Z$1)</f>
        <v>0</v>
      </c>
      <c r="AA85" s="183">
        <f>SUMIFS('май 2025'!$G$5:$G$2466,'май 2025'!$D$5:$D$2466,$B85,'май 2025'!$J$5:$J$2466,AA$1)</f>
        <v>0</v>
      </c>
      <c r="AB85" s="183">
        <f>SUMIFS('май 2025'!$G$5:$G$2466,'май 2025'!$D$5:$D$2466,$B85,'май 2025'!$J$5:$J$2466,AB$1)</f>
        <v>0</v>
      </c>
      <c r="AC85" s="183">
        <f>SUMIFS('май 2025'!$G$5:$G$2466,'май 2025'!$D$5:$D$2466,$B85,'май 2025'!$J$5:$J$2466,AC$1)</f>
        <v>0</v>
      </c>
      <c r="AD85" s="183">
        <f>SUMIFS('май 2025'!$G$5:$G$2466,'май 2025'!$D$5:$D$2466,$B85,'май 2025'!$J$5:$J$2466,AD$1)</f>
        <v>0</v>
      </c>
      <c r="AE85" s="183">
        <f>SUMIFS('май 2025'!$G$5:$G$2466,'май 2025'!$D$5:$D$2466,$B85,'май 2025'!$J$5:$J$2466,AE$1)</f>
        <v>0</v>
      </c>
      <c r="AF85" s="183">
        <f>SUMIFS('май 2025'!$G$5:$G$2466,'май 2025'!$D$5:$D$2466,$B85,'май 2025'!$J$5:$J$2466,AF$1)</f>
        <v>0</v>
      </c>
      <c r="AG85" s="183">
        <f>SUMIFS('май 2025'!$G$5:$G$2466,'май 2025'!$D$5:$D$2466,$B85,'май 2025'!$J$5:$J$2466,AG$1)</f>
        <v>0</v>
      </c>
      <c r="AH85" s="183">
        <f>SUMIFS('май 2025'!$G$5:$G$2466,'май 2025'!$D$5:$D$2466,$B85,'май 2025'!$J$5:$J$2466,AH$1)</f>
        <v>0</v>
      </c>
      <c r="AI85" s="20">
        <f t="shared" ref="AI85" si="2">SUM(D85:AH85)</f>
        <v>0</v>
      </c>
    </row>
    <row r="86" spans="2:35" ht="15" customHeight="1" x14ac:dyDescent="0.25">
      <c r="B86" s="88" t="s">
        <v>257</v>
      </c>
      <c r="C86" s="86">
        <v>190</v>
      </c>
      <c r="D86" s="183">
        <f>SUMIFS('май 2025'!$G$5:$G$2466,'май 2025'!$D$5:$D$2466,$B86,'май 2025'!$J$5:$J$2466,D$1)</f>
        <v>0</v>
      </c>
      <c r="E86" s="183">
        <f>SUMIFS('май 2025'!$G$5:$G$2466,'май 2025'!$D$5:$D$2466,$B86,'май 2025'!$J$5:$J$2466,E$1)</f>
        <v>0</v>
      </c>
      <c r="F86" s="183">
        <f>SUMIFS('май 2025'!$G$5:$G$2466,'май 2025'!$D$5:$D$2466,$B86,'май 2025'!$J$5:$J$2466,F$1)</f>
        <v>0</v>
      </c>
      <c r="G86" s="183">
        <f>SUMIFS('май 2025'!$G$5:$G$2466,'май 2025'!$D$5:$D$2466,$B86,'май 2025'!$J$5:$J$2466,G$1)</f>
        <v>0</v>
      </c>
      <c r="H86" s="183">
        <f>SUMIFS('май 2025'!$G$5:$G$2466,'май 2025'!$D$5:$D$2466,$B86,'май 2025'!$J$5:$J$2466,H$1)</f>
        <v>0</v>
      </c>
      <c r="I86" s="183">
        <f>SUMIFS('май 2025'!$G$5:$G$2466,'май 2025'!$D$5:$D$2466,$B86,'май 2025'!$J$5:$J$2466,I$1)</f>
        <v>0</v>
      </c>
      <c r="J86" s="183">
        <f>SUMIFS('май 2025'!$G$5:$G$2466,'май 2025'!$D$5:$D$2466,$B86,'май 2025'!$J$5:$J$2466,J$1)</f>
        <v>0</v>
      </c>
      <c r="K86" s="183">
        <f>SUMIFS('май 2025'!$G$5:$G$2466,'май 2025'!$D$5:$D$2466,$B86,'май 2025'!$J$5:$J$2466,K$1)</f>
        <v>0</v>
      </c>
      <c r="L86" s="183">
        <f>SUMIFS('май 2025'!$G$5:$G$2466,'май 2025'!$D$5:$D$2466,$B86,'май 2025'!$J$5:$J$2466,L$1)</f>
        <v>0</v>
      </c>
      <c r="M86" s="183">
        <f>SUMIFS('май 2025'!$G$5:$G$2466,'май 2025'!$D$5:$D$2466,$B86,'май 2025'!$J$5:$J$2466,M$1)</f>
        <v>0</v>
      </c>
      <c r="N86" s="183">
        <f>SUMIFS('май 2025'!$G$5:$G$2466,'май 2025'!$D$5:$D$2466,$B86,'май 2025'!$J$5:$J$2466,N$1)</f>
        <v>0</v>
      </c>
      <c r="O86" s="183">
        <f>SUMIFS('май 2025'!$G$5:$G$2466,'май 2025'!$D$5:$D$2466,$B86,'май 2025'!$J$5:$J$2466,O$1)</f>
        <v>0</v>
      </c>
      <c r="P86" s="183">
        <f>SUMIFS('май 2025'!$G$5:$G$2466,'май 2025'!$D$5:$D$2466,$B86,'май 2025'!$J$5:$J$2466,P$1)</f>
        <v>0</v>
      </c>
      <c r="Q86" s="183">
        <f>SUMIFS('май 2025'!$G$5:$G$2466,'май 2025'!$D$5:$D$2466,$B86,'май 2025'!$J$5:$J$2466,Q$1)</f>
        <v>0</v>
      </c>
      <c r="R86" s="183">
        <f>SUMIFS('май 2025'!$G$5:$G$2466,'май 2025'!$D$5:$D$2466,$B86,'май 2025'!$J$5:$J$2466,R$1)</f>
        <v>0</v>
      </c>
      <c r="S86" s="183">
        <f>SUMIFS('май 2025'!$G$5:$G$2466,'май 2025'!$D$5:$D$2466,$B86,'май 2025'!$J$5:$J$2466,S$1)</f>
        <v>0</v>
      </c>
      <c r="T86" s="183">
        <f>SUMIFS('май 2025'!$G$5:$G$2466,'май 2025'!$D$5:$D$2466,$B86,'май 2025'!$J$5:$J$2466,T$1)</f>
        <v>0</v>
      </c>
      <c r="U86" s="183">
        <f>SUMIFS('май 2025'!$G$5:$G$2466,'май 2025'!$D$5:$D$2466,$B86,'май 2025'!$J$5:$J$2466,U$1)</f>
        <v>0</v>
      </c>
      <c r="V86" s="183">
        <f>SUMIFS('май 2025'!$G$5:$G$2466,'май 2025'!$D$5:$D$2466,$B86,'май 2025'!$J$5:$J$2466,V$1)</f>
        <v>0</v>
      </c>
      <c r="W86" s="183">
        <f>SUMIFS('май 2025'!$G$5:$G$2466,'май 2025'!$D$5:$D$2466,$B86,'май 2025'!$J$5:$J$2466,W$1)</f>
        <v>0</v>
      </c>
      <c r="X86" s="183">
        <f>SUMIFS('май 2025'!$G$5:$G$2466,'май 2025'!$D$5:$D$2466,$B86,'май 2025'!$J$5:$J$2466,X$1)</f>
        <v>0</v>
      </c>
      <c r="Y86" s="183">
        <f>SUMIFS('май 2025'!$G$5:$G$2466,'май 2025'!$D$5:$D$2466,$B86,'май 2025'!$J$5:$J$2466,Y$1)</f>
        <v>0</v>
      </c>
      <c r="Z86" s="183">
        <f>SUMIFS('май 2025'!$G$5:$G$2466,'май 2025'!$D$5:$D$2466,$B86,'май 2025'!$J$5:$J$2466,Z$1)</f>
        <v>0</v>
      </c>
      <c r="AA86" s="183">
        <f>SUMIFS('май 2025'!$G$5:$G$2466,'май 2025'!$D$5:$D$2466,$B86,'май 2025'!$J$5:$J$2466,AA$1)</f>
        <v>0</v>
      </c>
      <c r="AB86" s="183">
        <f>SUMIFS('май 2025'!$G$5:$G$2466,'май 2025'!$D$5:$D$2466,$B86,'май 2025'!$J$5:$J$2466,AB$1)</f>
        <v>0</v>
      </c>
      <c r="AC86" s="183">
        <f>SUMIFS('май 2025'!$G$5:$G$2466,'май 2025'!$D$5:$D$2466,$B86,'май 2025'!$J$5:$J$2466,AC$1)</f>
        <v>0</v>
      </c>
      <c r="AD86" s="183">
        <f>SUMIFS('май 2025'!$G$5:$G$2466,'май 2025'!$D$5:$D$2466,$B86,'май 2025'!$J$5:$J$2466,AD$1)</f>
        <v>0</v>
      </c>
      <c r="AE86" s="183">
        <f>SUMIFS('май 2025'!$G$5:$G$2466,'май 2025'!$D$5:$D$2466,$B86,'май 2025'!$J$5:$J$2466,AE$1)</f>
        <v>0</v>
      </c>
      <c r="AF86" s="183">
        <f>SUMIFS('май 2025'!$G$5:$G$2466,'май 2025'!$D$5:$D$2466,$B86,'май 2025'!$J$5:$J$2466,AF$1)</f>
        <v>0</v>
      </c>
      <c r="AG86" s="183">
        <f>SUMIFS('май 2025'!$G$5:$G$2466,'май 2025'!$D$5:$D$2466,$B86,'май 2025'!$J$5:$J$2466,AG$1)</f>
        <v>0</v>
      </c>
      <c r="AH86" s="183">
        <f>SUMIFS('май 2025'!$G$5:$G$2466,'май 2025'!$D$5:$D$2466,$B86,'май 2025'!$J$5:$J$2466,AH$1)</f>
        <v>0</v>
      </c>
      <c r="AI86" s="20">
        <f t="shared" si="1"/>
        <v>0</v>
      </c>
    </row>
    <row r="87" spans="2:35" ht="15" customHeight="1" x14ac:dyDescent="0.25">
      <c r="B87" s="84" t="s">
        <v>1396</v>
      </c>
      <c r="C87" s="86">
        <v>180</v>
      </c>
      <c r="D87" s="183">
        <f>SUMIFS('май 2025'!$G$5:$G$2466,'май 2025'!$D$5:$D$2466,$B87,'май 2025'!$J$5:$J$2466,D$1)</f>
        <v>0</v>
      </c>
      <c r="E87" s="183">
        <f>SUMIFS('май 2025'!$G$5:$G$2466,'май 2025'!$D$5:$D$2466,$B87,'май 2025'!$J$5:$J$2466,E$1)</f>
        <v>0</v>
      </c>
      <c r="F87" s="183">
        <f>SUMIFS('май 2025'!$G$5:$G$2466,'май 2025'!$D$5:$D$2466,$B87,'май 2025'!$J$5:$J$2466,F$1)</f>
        <v>0</v>
      </c>
      <c r="G87" s="183">
        <f>SUMIFS('май 2025'!$G$5:$G$2466,'май 2025'!$D$5:$D$2466,$B87,'май 2025'!$J$5:$J$2466,G$1)</f>
        <v>0</v>
      </c>
      <c r="H87" s="183">
        <f>SUMIFS('май 2025'!$G$5:$G$2466,'май 2025'!$D$5:$D$2466,$B87,'май 2025'!$J$5:$J$2466,H$1)</f>
        <v>0</v>
      </c>
      <c r="I87" s="183">
        <f>SUMIFS('май 2025'!$G$5:$G$2466,'май 2025'!$D$5:$D$2466,$B87,'май 2025'!$J$5:$J$2466,I$1)</f>
        <v>0</v>
      </c>
      <c r="J87" s="183">
        <f>SUMIFS('май 2025'!$G$5:$G$2466,'май 2025'!$D$5:$D$2466,$B87,'май 2025'!$J$5:$J$2466,J$1)</f>
        <v>0</v>
      </c>
      <c r="K87" s="183">
        <f>SUMIFS('май 2025'!$G$5:$G$2466,'май 2025'!$D$5:$D$2466,$B87,'май 2025'!$J$5:$J$2466,K$1)</f>
        <v>0</v>
      </c>
      <c r="L87" s="183">
        <f>SUMIFS('май 2025'!$G$5:$G$2466,'май 2025'!$D$5:$D$2466,$B87,'май 2025'!$J$5:$J$2466,L$1)</f>
        <v>0</v>
      </c>
      <c r="M87" s="183">
        <f>SUMIFS('май 2025'!$G$5:$G$2466,'май 2025'!$D$5:$D$2466,$B87,'май 2025'!$J$5:$J$2466,M$1)</f>
        <v>0</v>
      </c>
      <c r="N87" s="183">
        <f>SUMIFS('май 2025'!$G$5:$G$2466,'май 2025'!$D$5:$D$2466,$B87,'май 2025'!$J$5:$J$2466,N$1)</f>
        <v>0</v>
      </c>
      <c r="O87" s="183">
        <f>SUMIFS('май 2025'!$G$5:$G$2466,'май 2025'!$D$5:$D$2466,$B87,'май 2025'!$J$5:$J$2466,O$1)</f>
        <v>0</v>
      </c>
      <c r="P87" s="183">
        <f>SUMIFS('май 2025'!$G$5:$G$2466,'май 2025'!$D$5:$D$2466,$B87,'май 2025'!$J$5:$J$2466,P$1)</f>
        <v>0</v>
      </c>
      <c r="Q87" s="183">
        <f>SUMIFS('май 2025'!$G$5:$G$2466,'май 2025'!$D$5:$D$2466,$B87,'май 2025'!$J$5:$J$2466,Q$1)</f>
        <v>0</v>
      </c>
      <c r="R87" s="183">
        <f>SUMIFS('май 2025'!$G$5:$G$2466,'май 2025'!$D$5:$D$2466,$B87,'май 2025'!$J$5:$J$2466,R$1)</f>
        <v>0</v>
      </c>
      <c r="S87" s="183">
        <f>SUMIFS('май 2025'!$G$5:$G$2466,'май 2025'!$D$5:$D$2466,$B87,'май 2025'!$J$5:$J$2466,S$1)</f>
        <v>0</v>
      </c>
      <c r="T87" s="183">
        <f>SUMIFS('май 2025'!$G$5:$G$2466,'май 2025'!$D$5:$D$2466,$B87,'май 2025'!$J$5:$J$2466,T$1)</f>
        <v>0</v>
      </c>
      <c r="U87" s="183">
        <f>SUMIFS('май 2025'!$G$5:$G$2466,'май 2025'!$D$5:$D$2466,$B87,'май 2025'!$J$5:$J$2466,U$1)</f>
        <v>0</v>
      </c>
      <c r="V87" s="183">
        <f>SUMIFS('май 2025'!$G$5:$G$2466,'май 2025'!$D$5:$D$2466,$B87,'май 2025'!$J$5:$J$2466,V$1)</f>
        <v>0</v>
      </c>
      <c r="W87" s="183">
        <f>SUMIFS('май 2025'!$G$5:$G$2466,'май 2025'!$D$5:$D$2466,$B87,'май 2025'!$J$5:$J$2466,W$1)</f>
        <v>0</v>
      </c>
      <c r="X87" s="183">
        <f>SUMIFS('май 2025'!$G$5:$G$2466,'май 2025'!$D$5:$D$2466,$B87,'май 2025'!$J$5:$J$2466,X$1)</f>
        <v>0</v>
      </c>
      <c r="Y87" s="183">
        <f>SUMIFS('май 2025'!$G$5:$G$2466,'май 2025'!$D$5:$D$2466,$B87,'май 2025'!$J$5:$J$2466,Y$1)</f>
        <v>0</v>
      </c>
      <c r="Z87" s="183">
        <f>SUMIFS('май 2025'!$G$5:$G$2466,'май 2025'!$D$5:$D$2466,$B87,'май 2025'!$J$5:$J$2466,Z$1)</f>
        <v>0</v>
      </c>
      <c r="AA87" s="183">
        <f>SUMIFS('май 2025'!$G$5:$G$2466,'май 2025'!$D$5:$D$2466,$B87,'май 2025'!$J$5:$J$2466,AA$1)</f>
        <v>0</v>
      </c>
      <c r="AB87" s="183">
        <f>SUMIFS('май 2025'!$G$5:$G$2466,'май 2025'!$D$5:$D$2466,$B87,'май 2025'!$J$5:$J$2466,AB$1)</f>
        <v>0</v>
      </c>
      <c r="AC87" s="183">
        <f>SUMIFS('май 2025'!$G$5:$G$2466,'май 2025'!$D$5:$D$2466,$B87,'май 2025'!$J$5:$J$2466,AC$1)</f>
        <v>0</v>
      </c>
      <c r="AD87" s="183">
        <f>SUMIFS('май 2025'!$G$5:$G$2466,'май 2025'!$D$5:$D$2466,$B87,'май 2025'!$J$5:$J$2466,AD$1)</f>
        <v>0</v>
      </c>
      <c r="AE87" s="183">
        <f>SUMIFS('май 2025'!$G$5:$G$2466,'май 2025'!$D$5:$D$2466,$B87,'май 2025'!$J$5:$J$2466,AE$1)</f>
        <v>0</v>
      </c>
      <c r="AF87" s="183">
        <f>SUMIFS('май 2025'!$G$5:$G$2466,'май 2025'!$D$5:$D$2466,$B87,'май 2025'!$J$5:$J$2466,AF$1)</f>
        <v>0</v>
      </c>
      <c r="AG87" s="183">
        <f>SUMIFS('май 2025'!$G$5:$G$2466,'май 2025'!$D$5:$D$2466,$B87,'май 2025'!$J$5:$J$2466,AG$1)</f>
        <v>0</v>
      </c>
      <c r="AH87" s="183">
        <f>SUMIFS('май 2025'!$G$5:$G$2466,'май 2025'!$D$5:$D$2466,$B87,'май 2025'!$J$5:$J$2466,AH$1)</f>
        <v>0</v>
      </c>
      <c r="AI87" s="20">
        <f t="shared" ref="AI87" si="3">SUM(D87:AH87)</f>
        <v>0</v>
      </c>
    </row>
    <row r="88" spans="2:35" ht="15" customHeight="1" x14ac:dyDescent="0.25">
      <c r="B88" s="84" t="s">
        <v>189</v>
      </c>
      <c r="C88" s="83">
        <v>180</v>
      </c>
      <c r="D88" s="183">
        <f>SUMIFS('май 2025'!$G$5:$G$2466,'май 2025'!$D$5:$D$2466,$B88,'май 2025'!$J$5:$J$2466,D$1)</f>
        <v>0</v>
      </c>
      <c r="E88" s="183">
        <f>SUMIFS('май 2025'!$G$5:$G$2466,'май 2025'!$D$5:$D$2466,$B88,'май 2025'!$J$5:$J$2466,E$1)</f>
        <v>0</v>
      </c>
      <c r="F88" s="183">
        <f>SUMIFS('май 2025'!$G$5:$G$2466,'май 2025'!$D$5:$D$2466,$B88,'май 2025'!$J$5:$J$2466,F$1)</f>
        <v>0</v>
      </c>
      <c r="G88" s="183">
        <f>SUMIFS('май 2025'!$G$5:$G$2466,'май 2025'!$D$5:$D$2466,$B88,'май 2025'!$J$5:$J$2466,G$1)</f>
        <v>0</v>
      </c>
      <c r="H88" s="183">
        <f>SUMIFS('май 2025'!$G$5:$G$2466,'май 2025'!$D$5:$D$2466,$B88,'май 2025'!$J$5:$J$2466,H$1)</f>
        <v>0</v>
      </c>
      <c r="I88" s="183">
        <f>SUMIFS('май 2025'!$G$5:$G$2466,'май 2025'!$D$5:$D$2466,$B88,'май 2025'!$J$5:$J$2466,I$1)</f>
        <v>0</v>
      </c>
      <c r="J88" s="183">
        <f>SUMIFS('май 2025'!$G$5:$G$2466,'май 2025'!$D$5:$D$2466,$B88,'май 2025'!$J$5:$J$2466,J$1)</f>
        <v>0</v>
      </c>
      <c r="K88" s="183">
        <f>SUMIFS('май 2025'!$G$5:$G$2466,'май 2025'!$D$5:$D$2466,$B88,'май 2025'!$J$5:$J$2466,K$1)</f>
        <v>0</v>
      </c>
      <c r="L88" s="183">
        <f>SUMIFS('май 2025'!$G$5:$G$2466,'май 2025'!$D$5:$D$2466,$B88,'май 2025'!$J$5:$J$2466,L$1)</f>
        <v>0</v>
      </c>
      <c r="M88" s="183">
        <f>SUMIFS('май 2025'!$G$5:$G$2466,'май 2025'!$D$5:$D$2466,$B88,'май 2025'!$J$5:$J$2466,M$1)</f>
        <v>0</v>
      </c>
      <c r="N88" s="183">
        <f>SUMIFS('май 2025'!$G$5:$G$2466,'май 2025'!$D$5:$D$2466,$B88,'май 2025'!$J$5:$J$2466,N$1)</f>
        <v>0</v>
      </c>
      <c r="O88" s="183">
        <f>SUMIFS('май 2025'!$G$5:$G$2466,'май 2025'!$D$5:$D$2466,$B88,'май 2025'!$J$5:$J$2466,O$1)</f>
        <v>0</v>
      </c>
      <c r="P88" s="183">
        <f>SUMIFS('май 2025'!$G$5:$G$2466,'май 2025'!$D$5:$D$2466,$B88,'май 2025'!$J$5:$J$2466,P$1)</f>
        <v>0</v>
      </c>
      <c r="Q88" s="183">
        <f>SUMIFS('май 2025'!$G$5:$G$2466,'май 2025'!$D$5:$D$2466,$B88,'май 2025'!$J$5:$J$2466,Q$1)</f>
        <v>0</v>
      </c>
      <c r="R88" s="183">
        <f>SUMIFS('май 2025'!$G$5:$G$2466,'май 2025'!$D$5:$D$2466,$B88,'май 2025'!$J$5:$J$2466,R$1)</f>
        <v>0</v>
      </c>
      <c r="S88" s="183">
        <f>SUMIFS('май 2025'!$G$5:$G$2466,'май 2025'!$D$5:$D$2466,$B88,'май 2025'!$J$5:$J$2466,S$1)</f>
        <v>0</v>
      </c>
      <c r="T88" s="183">
        <f>SUMIFS('май 2025'!$G$5:$G$2466,'май 2025'!$D$5:$D$2466,$B88,'май 2025'!$J$5:$J$2466,T$1)</f>
        <v>0</v>
      </c>
      <c r="U88" s="183">
        <f>SUMIFS('май 2025'!$G$5:$G$2466,'май 2025'!$D$5:$D$2466,$B88,'май 2025'!$J$5:$J$2466,U$1)</f>
        <v>0</v>
      </c>
      <c r="V88" s="183">
        <f>SUMIFS('май 2025'!$G$5:$G$2466,'май 2025'!$D$5:$D$2466,$B88,'май 2025'!$J$5:$J$2466,V$1)</f>
        <v>0</v>
      </c>
      <c r="W88" s="183">
        <f>SUMIFS('май 2025'!$G$5:$G$2466,'май 2025'!$D$5:$D$2466,$B88,'май 2025'!$J$5:$J$2466,W$1)</f>
        <v>0</v>
      </c>
      <c r="X88" s="183">
        <f>SUMIFS('май 2025'!$G$5:$G$2466,'май 2025'!$D$5:$D$2466,$B88,'май 2025'!$J$5:$J$2466,X$1)</f>
        <v>0</v>
      </c>
      <c r="Y88" s="183">
        <f>SUMIFS('май 2025'!$G$5:$G$2466,'май 2025'!$D$5:$D$2466,$B88,'май 2025'!$J$5:$J$2466,Y$1)</f>
        <v>0</v>
      </c>
      <c r="Z88" s="183">
        <f>SUMIFS('май 2025'!$G$5:$G$2466,'май 2025'!$D$5:$D$2466,$B88,'май 2025'!$J$5:$J$2466,Z$1)</f>
        <v>0</v>
      </c>
      <c r="AA88" s="183">
        <f>SUMIFS('май 2025'!$G$5:$G$2466,'май 2025'!$D$5:$D$2466,$B88,'май 2025'!$J$5:$J$2466,AA$1)</f>
        <v>0</v>
      </c>
      <c r="AB88" s="183">
        <f>SUMIFS('май 2025'!$G$5:$G$2466,'май 2025'!$D$5:$D$2466,$B88,'май 2025'!$J$5:$J$2466,AB$1)</f>
        <v>0</v>
      </c>
      <c r="AC88" s="183">
        <f>SUMIFS('май 2025'!$G$5:$G$2466,'май 2025'!$D$5:$D$2466,$B88,'май 2025'!$J$5:$J$2466,AC$1)</f>
        <v>0</v>
      </c>
      <c r="AD88" s="183">
        <f>SUMIFS('май 2025'!$G$5:$G$2466,'май 2025'!$D$5:$D$2466,$B88,'май 2025'!$J$5:$J$2466,AD$1)</f>
        <v>0</v>
      </c>
      <c r="AE88" s="183">
        <f>SUMIFS('май 2025'!$G$5:$G$2466,'май 2025'!$D$5:$D$2466,$B88,'май 2025'!$J$5:$J$2466,AE$1)</f>
        <v>0</v>
      </c>
      <c r="AF88" s="183">
        <f>SUMIFS('май 2025'!$G$5:$G$2466,'май 2025'!$D$5:$D$2466,$B88,'май 2025'!$J$5:$J$2466,AF$1)</f>
        <v>0</v>
      </c>
      <c r="AG88" s="183">
        <f>SUMIFS('май 2025'!$G$5:$G$2466,'май 2025'!$D$5:$D$2466,$B88,'май 2025'!$J$5:$J$2466,AG$1)</f>
        <v>0</v>
      </c>
      <c r="AH88" s="183">
        <f>SUMIFS('май 2025'!$G$5:$G$2466,'май 2025'!$D$5:$D$2466,$B88,'май 2025'!$J$5:$J$2466,AH$1)</f>
        <v>0</v>
      </c>
      <c r="AI88" s="20">
        <f t="shared" si="1"/>
        <v>0</v>
      </c>
    </row>
    <row r="89" spans="2:35" ht="15" customHeight="1" x14ac:dyDescent="0.25">
      <c r="B89" s="88" t="s">
        <v>190</v>
      </c>
      <c r="C89" s="86">
        <v>190</v>
      </c>
      <c r="D89" s="183">
        <f>SUMIFS('май 2025'!$G$5:$G$2466,'май 2025'!$D$5:$D$2466,$B89,'май 2025'!$J$5:$J$2466,D$1)</f>
        <v>0</v>
      </c>
      <c r="E89" s="183">
        <f>SUMIFS('май 2025'!$G$5:$G$2466,'май 2025'!$D$5:$D$2466,$B89,'май 2025'!$J$5:$J$2466,E$1)</f>
        <v>0</v>
      </c>
      <c r="F89" s="183">
        <f>SUMIFS('май 2025'!$G$5:$G$2466,'май 2025'!$D$5:$D$2466,$B89,'май 2025'!$J$5:$J$2466,F$1)</f>
        <v>0</v>
      </c>
      <c r="G89" s="183">
        <f>SUMIFS('май 2025'!$G$5:$G$2466,'май 2025'!$D$5:$D$2466,$B89,'май 2025'!$J$5:$J$2466,G$1)</f>
        <v>0</v>
      </c>
      <c r="H89" s="183">
        <f>SUMIFS('май 2025'!$G$5:$G$2466,'май 2025'!$D$5:$D$2466,$B89,'май 2025'!$J$5:$J$2466,H$1)</f>
        <v>0</v>
      </c>
      <c r="I89" s="183">
        <f>SUMIFS('май 2025'!$G$5:$G$2466,'май 2025'!$D$5:$D$2466,$B89,'май 2025'!$J$5:$J$2466,I$1)</f>
        <v>0</v>
      </c>
      <c r="J89" s="183">
        <f>SUMIFS('май 2025'!$G$5:$G$2466,'май 2025'!$D$5:$D$2466,$B89,'май 2025'!$J$5:$J$2466,J$1)</f>
        <v>0</v>
      </c>
      <c r="K89" s="183">
        <f>SUMIFS('май 2025'!$G$5:$G$2466,'май 2025'!$D$5:$D$2466,$B89,'май 2025'!$J$5:$J$2466,K$1)</f>
        <v>0</v>
      </c>
      <c r="L89" s="183">
        <f>SUMIFS('май 2025'!$G$5:$G$2466,'май 2025'!$D$5:$D$2466,$B89,'май 2025'!$J$5:$J$2466,L$1)</f>
        <v>0</v>
      </c>
      <c r="M89" s="183">
        <f>SUMIFS('май 2025'!$G$5:$G$2466,'май 2025'!$D$5:$D$2466,$B89,'май 2025'!$J$5:$J$2466,M$1)</f>
        <v>0</v>
      </c>
      <c r="N89" s="183">
        <f>SUMIFS('май 2025'!$G$5:$G$2466,'май 2025'!$D$5:$D$2466,$B89,'май 2025'!$J$5:$J$2466,N$1)</f>
        <v>0</v>
      </c>
      <c r="O89" s="183">
        <f>SUMIFS('май 2025'!$G$5:$G$2466,'май 2025'!$D$5:$D$2466,$B89,'май 2025'!$J$5:$J$2466,O$1)</f>
        <v>0</v>
      </c>
      <c r="P89" s="183">
        <f>SUMIFS('май 2025'!$G$5:$G$2466,'май 2025'!$D$5:$D$2466,$B89,'май 2025'!$J$5:$J$2466,P$1)</f>
        <v>0</v>
      </c>
      <c r="Q89" s="183">
        <f>SUMIFS('май 2025'!$G$5:$G$2466,'май 2025'!$D$5:$D$2466,$B89,'май 2025'!$J$5:$J$2466,Q$1)</f>
        <v>0</v>
      </c>
      <c r="R89" s="183">
        <f>SUMIFS('май 2025'!$G$5:$G$2466,'май 2025'!$D$5:$D$2466,$B89,'май 2025'!$J$5:$J$2466,R$1)</f>
        <v>0</v>
      </c>
      <c r="S89" s="183">
        <f>SUMIFS('май 2025'!$G$5:$G$2466,'май 2025'!$D$5:$D$2466,$B89,'май 2025'!$J$5:$J$2466,S$1)</f>
        <v>0</v>
      </c>
      <c r="T89" s="183">
        <f>SUMIFS('май 2025'!$G$5:$G$2466,'май 2025'!$D$5:$D$2466,$B89,'май 2025'!$J$5:$J$2466,T$1)</f>
        <v>0</v>
      </c>
      <c r="U89" s="183">
        <f>SUMIFS('май 2025'!$G$5:$G$2466,'май 2025'!$D$5:$D$2466,$B89,'май 2025'!$J$5:$J$2466,U$1)</f>
        <v>0</v>
      </c>
      <c r="V89" s="183">
        <f>SUMIFS('май 2025'!$G$5:$G$2466,'май 2025'!$D$5:$D$2466,$B89,'май 2025'!$J$5:$J$2466,V$1)</f>
        <v>0</v>
      </c>
      <c r="W89" s="183">
        <f>SUMIFS('май 2025'!$G$5:$G$2466,'май 2025'!$D$5:$D$2466,$B89,'май 2025'!$J$5:$J$2466,W$1)</f>
        <v>0</v>
      </c>
      <c r="X89" s="183">
        <f>SUMIFS('май 2025'!$G$5:$G$2466,'май 2025'!$D$5:$D$2466,$B89,'май 2025'!$J$5:$J$2466,X$1)</f>
        <v>0</v>
      </c>
      <c r="Y89" s="183">
        <f>SUMIFS('май 2025'!$G$5:$G$2466,'май 2025'!$D$5:$D$2466,$B89,'май 2025'!$J$5:$J$2466,Y$1)</f>
        <v>0</v>
      </c>
      <c r="Z89" s="183">
        <f>SUMIFS('май 2025'!$G$5:$G$2466,'май 2025'!$D$5:$D$2466,$B89,'май 2025'!$J$5:$J$2466,Z$1)</f>
        <v>0</v>
      </c>
      <c r="AA89" s="183">
        <f>SUMIFS('май 2025'!$G$5:$G$2466,'май 2025'!$D$5:$D$2466,$B89,'май 2025'!$J$5:$J$2466,AA$1)</f>
        <v>0</v>
      </c>
      <c r="AB89" s="183">
        <f>SUMIFS('май 2025'!$G$5:$G$2466,'май 2025'!$D$5:$D$2466,$B89,'май 2025'!$J$5:$J$2466,AB$1)</f>
        <v>0</v>
      </c>
      <c r="AC89" s="183">
        <f>SUMIFS('май 2025'!$G$5:$G$2466,'май 2025'!$D$5:$D$2466,$B89,'май 2025'!$J$5:$J$2466,AC$1)</f>
        <v>0</v>
      </c>
      <c r="AD89" s="183">
        <f>SUMIFS('май 2025'!$G$5:$G$2466,'май 2025'!$D$5:$D$2466,$B89,'май 2025'!$J$5:$J$2466,AD$1)</f>
        <v>0</v>
      </c>
      <c r="AE89" s="183">
        <f>SUMIFS('май 2025'!$G$5:$G$2466,'май 2025'!$D$5:$D$2466,$B89,'май 2025'!$J$5:$J$2466,AE$1)</f>
        <v>0</v>
      </c>
      <c r="AF89" s="183">
        <f>SUMIFS('май 2025'!$G$5:$G$2466,'май 2025'!$D$5:$D$2466,$B89,'май 2025'!$J$5:$J$2466,AF$1)</f>
        <v>0</v>
      </c>
      <c r="AG89" s="183">
        <f>SUMIFS('май 2025'!$G$5:$G$2466,'май 2025'!$D$5:$D$2466,$B89,'май 2025'!$J$5:$J$2466,AG$1)</f>
        <v>0</v>
      </c>
      <c r="AH89" s="183">
        <f>SUMIFS('май 2025'!$G$5:$G$2466,'май 2025'!$D$5:$D$2466,$B89,'май 2025'!$J$5:$J$2466,AH$1)</f>
        <v>0</v>
      </c>
      <c r="AI89" s="20">
        <f t="shared" si="1"/>
        <v>0</v>
      </c>
    </row>
    <row r="90" spans="2:35" ht="15" customHeight="1" x14ac:dyDescent="0.25">
      <c r="B90" s="88" t="s">
        <v>191</v>
      </c>
      <c r="C90" s="86">
        <v>190</v>
      </c>
      <c r="D90" s="183">
        <f>SUMIFS('май 2025'!$G$5:$G$2466,'май 2025'!$D$5:$D$2466,$B90,'май 2025'!$J$5:$J$2466,D$1)</f>
        <v>0</v>
      </c>
      <c r="E90" s="183">
        <f>SUMIFS('май 2025'!$G$5:$G$2466,'май 2025'!$D$5:$D$2466,$B90,'май 2025'!$J$5:$J$2466,E$1)</f>
        <v>0</v>
      </c>
      <c r="F90" s="183">
        <f>SUMIFS('май 2025'!$G$5:$G$2466,'май 2025'!$D$5:$D$2466,$B90,'май 2025'!$J$5:$J$2466,F$1)</f>
        <v>0</v>
      </c>
      <c r="G90" s="183">
        <f>SUMIFS('май 2025'!$G$5:$G$2466,'май 2025'!$D$5:$D$2466,$B90,'май 2025'!$J$5:$J$2466,G$1)</f>
        <v>0</v>
      </c>
      <c r="H90" s="183">
        <f>SUMIFS('май 2025'!$G$5:$G$2466,'май 2025'!$D$5:$D$2466,$B90,'май 2025'!$J$5:$J$2466,H$1)</f>
        <v>0</v>
      </c>
      <c r="I90" s="183">
        <f>SUMIFS('май 2025'!$G$5:$G$2466,'май 2025'!$D$5:$D$2466,$B90,'май 2025'!$J$5:$J$2466,I$1)</f>
        <v>0</v>
      </c>
      <c r="J90" s="183">
        <f>SUMIFS('май 2025'!$G$5:$G$2466,'май 2025'!$D$5:$D$2466,$B90,'май 2025'!$J$5:$J$2466,J$1)</f>
        <v>0</v>
      </c>
      <c r="K90" s="183">
        <f>SUMIFS('май 2025'!$G$5:$G$2466,'май 2025'!$D$5:$D$2466,$B90,'май 2025'!$J$5:$J$2466,K$1)</f>
        <v>0</v>
      </c>
      <c r="L90" s="183">
        <f>SUMIFS('май 2025'!$G$5:$G$2466,'май 2025'!$D$5:$D$2466,$B90,'май 2025'!$J$5:$J$2466,L$1)</f>
        <v>0</v>
      </c>
      <c r="M90" s="183">
        <f>SUMIFS('май 2025'!$G$5:$G$2466,'май 2025'!$D$5:$D$2466,$B90,'май 2025'!$J$5:$J$2466,M$1)</f>
        <v>0</v>
      </c>
      <c r="N90" s="183">
        <f>SUMIFS('май 2025'!$G$5:$G$2466,'май 2025'!$D$5:$D$2466,$B90,'май 2025'!$J$5:$J$2466,N$1)</f>
        <v>0</v>
      </c>
      <c r="O90" s="183">
        <f>SUMIFS('май 2025'!$G$5:$G$2466,'май 2025'!$D$5:$D$2466,$B90,'май 2025'!$J$5:$J$2466,O$1)</f>
        <v>0</v>
      </c>
      <c r="P90" s="183">
        <f>SUMIFS('май 2025'!$G$5:$G$2466,'май 2025'!$D$5:$D$2466,$B90,'май 2025'!$J$5:$J$2466,P$1)</f>
        <v>0</v>
      </c>
      <c r="Q90" s="183">
        <f>SUMIFS('май 2025'!$G$5:$G$2466,'май 2025'!$D$5:$D$2466,$B90,'май 2025'!$J$5:$J$2466,Q$1)</f>
        <v>0</v>
      </c>
      <c r="R90" s="183">
        <f>SUMIFS('май 2025'!$G$5:$G$2466,'май 2025'!$D$5:$D$2466,$B90,'май 2025'!$J$5:$J$2466,R$1)</f>
        <v>0</v>
      </c>
      <c r="S90" s="183">
        <f>SUMIFS('май 2025'!$G$5:$G$2466,'май 2025'!$D$5:$D$2466,$B90,'май 2025'!$J$5:$J$2466,S$1)</f>
        <v>0</v>
      </c>
      <c r="T90" s="183">
        <f>SUMIFS('май 2025'!$G$5:$G$2466,'май 2025'!$D$5:$D$2466,$B90,'май 2025'!$J$5:$J$2466,T$1)</f>
        <v>0</v>
      </c>
      <c r="U90" s="183">
        <f>SUMIFS('май 2025'!$G$5:$G$2466,'май 2025'!$D$5:$D$2466,$B90,'май 2025'!$J$5:$J$2466,U$1)</f>
        <v>0</v>
      </c>
      <c r="V90" s="183">
        <f>SUMIFS('май 2025'!$G$5:$G$2466,'май 2025'!$D$5:$D$2466,$B90,'май 2025'!$J$5:$J$2466,V$1)</f>
        <v>0</v>
      </c>
      <c r="W90" s="183">
        <f>SUMIFS('май 2025'!$G$5:$G$2466,'май 2025'!$D$5:$D$2466,$B90,'май 2025'!$J$5:$J$2466,W$1)</f>
        <v>0</v>
      </c>
      <c r="X90" s="183">
        <f>SUMIFS('май 2025'!$G$5:$G$2466,'май 2025'!$D$5:$D$2466,$B90,'май 2025'!$J$5:$J$2466,X$1)</f>
        <v>0</v>
      </c>
      <c r="Y90" s="183">
        <f>SUMIFS('май 2025'!$G$5:$G$2466,'май 2025'!$D$5:$D$2466,$B90,'май 2025'!$J$5:$J$2466,Y$1)</f>
        <v>0</v>
      </c>
      <c r="Z90" s="183">
        <f>SUMIFS('май 2025'!$G$5:$G$2466,'май 2025'!$D$5:$D$2466,$B90,'май 2025'!$J$5:$J$2466,Z$1)</f>
        <v>0</v>
      </c>
      <c r="AA90" s="183">
        <f>SUMIFS('май 2025'!$G$5:$G$2466,'май 2025'!$D$5:$D$2466,$B90,'май 2025'!$J$5:$J$2466,AA$1)</f>
        <v>0</v>
      </c>
      <c r="AB90" s="183">
        <f>SUMIFS('май 2025'!$G$5:$G$2466,'май 2025'!$D$5:$D$2466,$B90,'май 2025'!$J$5:$J$2466,AB$1)</f>
        <v>0</v>
      </c>
      <c r="AC90" s="183">
        <f>SUMIFS('май 2025'!$G$5:$G$2466,'май 2025'!$D$5:$D$2466,$B90,'май 2025'!$J$5:$J$2466,AC$1)</f>
        <v>0</v>
      </c>
      <c r="AD90" s="183">
        <f>SUMIFS('май 2025'!$G$5:$G$2466,'май 2025'!$D$5:$D$2466,$B90,'май 2025'!$J$5:$J$2466,AD$1)</f>
        <v>0</v>
      </c>
      <c r="AE90" s="183">
        <f>SUMIFS('май 2025'!$G$5:$G$2466,'май 2025'!$D$5:$D$2466,$B90,'май 2025'!$J$5:$J$2466,AE$1)</f>
        <v>0</v>
      </c>
      <c r="AF90" s="183">
        <f>SUMIFS('май 2025'!$G$5:$G$2466,'май 2025'!$D$5:$D$2466,$B90,'май 2025'!$J$5:$J$2466,AF$1)</f>
        <v>0</v>
      </c>
      <c r="AG90" s="183">
        <f>SUMIFS('май 2025'!$G$5:$G$2466,'май 2025'!$D$5:$D$2466,$B90,'май 2025'!$J$5:$J$2466,AG$1)</f>
        <v>0</v>
      </c>
      <c r="AH90" s="183">
        <f>SUMIFS('май 2025'!$G$5:$G$2466,'май 2025'!$D$5:$D$2466,$B90,'май 2025'!$J$5:$J$2466,AH$1)</f>
        <v>0</v>
      </c>
      <c r="AI90" s="20">
        <f t="shared" si="1"/>
        <v>0</v>
      </c>
    </row>
    <row r="91" spans="2:35" ht="15" customHeight="1" x14ac:dyDescent="0.25">
      <c r="B91" s="88" t="s">
        <v>309</v>
      </c>
      <c r="C91" s="86">
        <v>200</v>
      </c>
      <c r="D91" s="183">
        <f>SUMIFS('май 2025'!$G$5:$G$2466,'май 2025'!$D$5:$D$2466,$B91,'май 2025'!$J$5:$J$2466,D$1)</f>
        <v>0</v>
      </c>
      <c r="E91" s="183">
        <f>SUMIFS('май 2025'!$G$5:$G$2466,'май 2025'!$D$5:$D$2466,$B91,'май 2025'!$J$5:$J$2466,E$1)</f>
        <v>0</v>
      </c>
      <c r="F91" s="183">
        <f>SUMIFS('май 2025'!$G$5:$G$2466,'май 2025'!$D$5:$D$2466,$B91,'май 2025'!$J$5:$J$2466,F$1)</f>
        <v>0</v>
      </c>
      <c r="G91" s="183">
        <f>SUMIFS('май 2025'!$G$5:$G$2466,'май 2025'!$D$5:$D$2466,$B91,'май 2025'!$J$5:$J$2466,G$1)</f>
        <v>0</v>
      </c>
      <c r="H91" s="183">
        <f>SUMIFS('май 2025'!$G$5:$G$2466,'май 2025'!$D$5:$D$2466,$B91,'май 2025'!$J$5:$J$2466,H$1)</f>
        <v>0</v>
      </c>
      <c r="I91" s="183">
        <f>SUMIFS('май 2025'!$G$5:$G$2466,'май 2025'!$D$5:$D$2466,$B91,'май 2025'!$J$5:$J$2466,I$1)</f>
        <v>0</v>
      </c>
      <c r="J91" s="183">
        <f>SUMIFS('май 2025'!$G$5:$G$2466,'май 2025'!$D$5:$D$2466,$B91,'май 2025'!$J$5:$J$2466,J$1)</f>
        <v>0</v>
      </c>
      <c r="K91" s="183">
        <f>SUMIFS('май 2025'!$G$5:$G$2466,'май 2025'!$D$5:$D$2466,$B91,'май 2025'!$J$5:$J$2466,K$1)</f>
        <v>0</v>
      </c>
      <c r="L91" s="183">
        <f>SUMIFS('май 2025'!$G$5:$G$2466,'май 2025'!$D$5:$D$2466,$B91,'май 2025'!$J$5:$J$2466,L$1)</f>
        <v>0</v>
      </c>
      <c r="M91" s="183">
        <f>SUMIFS('май 2025'!$G$5:$G$2466,'май 2025'!$D$5:$D$2466,$B91,'май 2025'!$J$5:$J$2466,M$1)</f>
        <v>0</v>
      </c>
      <c r="N91" s="183">
        <f>SUMIFS('май 2025'!$G$5:$G$2466,'май 2025'!$D$5:$D$2466,$B91,'май 2025'!$J$5:$J$2466,N$1)</f>
        <v>0</v>
      </c>
      <c r="O91" s="183">
        <f>SUMIFS('май 2025'!$G$5:$G$2466,'май 2025'!$D$5:$D$2466,$B91,'май 2025'!$J$5:$J$2466,O$1)</f>
        <v>0</v>
      </c>
      <c r="P91" s="183">
        <f>SUMIFS('май 2025'!$G$5:$G$2466,'май 2025'!$D$5:$D$2466,$B91,'май 2025'!$J$5:$J$2466,P$1)</f>
        <v>0</v>
      </c>
      <c r="Q91" s="183">
        <f>SUMIFS('май 2025'!$G$5:$G$2466,'май 2025'!$D$5:$D$2466,$B91,'май 2025'!$J$5:$J$2466,Q$1)</f>
        <v>0</v>
      </c>
      <c r="R91" s="183">
        <f>SUMIFS('май 2025'!$G$5:$G$2466,'май 2025'!$D$5:$D$2466,$B91,'май 2025'!$J$5:$J$2466,R$1)</f>
        <v>0</v>
      </c>
      <c r="S91" s="183">
        <f>SUMIFS('май 2025'!$G$5:$G$2466,'май 2025'!$D$5:$D$2466,$B91,'май 2025'!$J$5:$J$2466,S$1)</f>
        <v>0</v>
      </c>
      <c r="T91" s="183">
        <f>SUMIFS('май 2025'!$G$5:$G$2466,'май 2025'!$D$5:$D$2466,$B91,'май 2025'!$J$5:$J$2466,T$1)</f>
        <v>0</v>
      </c>
      <c r="U91" s="183">
        <f>SUMIFS('май 2025'!$G$5:$G$2466,'май 2025'!$D$5:$D$2466,$B91,'май 2025'!$J$5:$J$2466,U$1)</f>
        <v>0</v>
      </c>
      <c r="V91" s="183">
        <f>SUMIFS('май 2025'!$G$5:$G$2466,'май 2025'!$D$5:$D$2466,$B91,'май 2025'!$J$5:$J$2466,V$1)</f>
        <v>0</v>
      </c>
      <c r="W91" s="183">
        <f>SUMIFS('май 2025'!$G$5:$G$2466,'май 2025'!$D$5:$D$2466,$B91,'май 2025'!$J$5:$J$2466,W$1)</f>
        <v>0</v>
      </c>
      <c r="X91" s="183">
        <f>SUMIFS('май 2025'!$G$5:$G$2466,'май 2025'!$D$5:$D$2466,$B91,'май 2025'!$J$5:$J$2466,X$1)</f>
        <v>0</v>
      </c>
      <c r="Y91" s="183">
        <f>SUMIFS('май 2025'!$G$5:$G$2466,'май 2025'!$D$5:$D$2466,$B91,'май 2025'!$J$5:$J$2466,Y$1)</f>
        <v>0</v>
      </c>
      <c r="Z91" s="183">
        <f>SUMIFS('май 2025'!$G$5:$G$2466,'май 2025'!$D$5:$D$2466,$B91,'май 2025'!$J$5:$J$2466,Z$1)</f>
        <v>0</v>
      </c>
      <c r="AA91" s="183">
        <f>SUMIFS('май 2025'!$G$5:$G$2466,'май 2025'!$D$5:$D$2466,$B91,'май 2025'!$J$5:$J$2466,AA$1)</f>
        <v>0</v>
      </c>
      <c r="AB91" s="183">
        <f>SUMIFS('май 2025'!$G$5:$G$2466,'май 2025'!$D$5:$D$2466,$B91,'май 2025'!$J$5:$J$2466,AB$1)</f>
        <v>0</v>
      </c>
      <c r="AC91" s="183">
        <f>SUMIFS('май 2025'!$G$5:$G$2466,'май 2025'!$D$5:$D$2466,$B91,'май 2025'!$J$5:$J$2466,AC$1)</f>
        <v>0</v>
      </c>
      <c r="AD91" s="183">
        <f>SUMIFS('май 2025'!$G$5:$G$2466,'май 2025'!$D$5:$D$2466,$B91,'май 2025'!$J$5:$J$2466,AD$1)</f>
        <v>0</v>
      </c>
      <c r="AE91" s="183">
        <f>SUMIFS('май 2025'!$G$5:$G$2466,'май 2025'!$D$5:$D$2466,$B91,'май 2025'!$J$5:$J$2466,AE$1)</f>
        <v>0</v>
      </c>
      <c r="AF91" s="183">
        <f>SUMIFS('май 2025'!$G$5:$G$2466,'май 2025'!$D$5:$D$2466,$B91,'май 2025'!$J$5:$J$2466,AF$1)</f>
        <v>0</v>
      </c>
      <c r="AG91" s="183">
        <f>SUMIFS('май 2025'!$G$5:$G$2466,'май 2025'!$D$5:$D$2466,$B91,'май 2025'!$J$5:$J$2466,AG$1)</f>
        <v>0</v>
      </c>
      <c r="AH91" s="183">
        <f>SUMIFS('май 2025'!$G$5:$G$2466,'май 2025'!$D$5:$D$2466,$B91,'май 2025'!$J$5:$J$2466,AH$1)</f>
        <v>0</v>
      </c>
      <c r="AI91" s="20">
        <f t="shared" si="1"/>
        <v>0</v>
      </c>
    </row>
    <row r="92" spans="2:35" ht="15" customHeight="1" x14ac:dyDescent="0.25">
      <c r="B92" s="88" t="s">
        <v>192</v>
      </c>
      <c r="C92" s="86">
        <v>900</v>
      </c>
      <c r="D92" s="183">
        <f>SUMIFS('май 2025'!$G$5:$G$2466,'май 2025'!$D$5:$D$2466,$B92,'май 2025'!$J$5:$J$2466,D$1)</f>
        <v>0</v>
      </c>
      <c r="E92" s="183">
        <f>SUMIFS('май 2025'!$G$5:$G$2466,'май 2025'!$D$5:$D$2466,$B92,'май 2025'!$J$5:$J$2466,E$1)</f>
        <v>0</v>
      </c>
      <c r="F92" s="183">
        <f>SUMIFS('май 2025'!$G$5:$G$2466,'май 2025'!$D$5:$D$2466,$B92,'май 2025'!$J$5:$J$2466,F$1)</f>
        <v>0</v>
      </c>
      <c r="G92" s="183">
        <f>SUMIFS('май 2025'!$G$5:$G$2466,'май 2025'!$D$5:$D$2466,$B92,'май 2025'!$J$5:$J$2466,G$1)</f>
        <v>0</v>
      </c>
      <c r="H92" s="183">
        <f>SUMIFS('май 2025'!$G$5:$G$2466,'май 2025'!$D$5:$D$2466,$B92,'май 2025'!$J$5:$J$2466,H$1)</f>
        <v>0</v>
      </c>
      <c r="I92" s="183">
        <f>SUMIFS('май 2025'!$G$5:$G$2466,'май 2025'!$D$5:$D$2466,$B92,'май 2025'!$J$5:$J$2466,I$1)</f>
        <v>0</v>
      </c>
      <c r="J92" s="183">
        <f>SUMIFS('май 2025'!$G$5:$G$2466,'май 2025'!$D$5:$D$2466,$B92,'май 2025'!$J$5:$J$2466,J$1)</f>
        <v>0</v>
      </c>
      <c r="K92" s="183">
        <f>SUMIFS('май 2025'!$G$5:$G$2466,'май 2025'!$D$5:$D$2466,$B92,'май 2025'!$J$5:$J$2466,K$1)</f>
        <v>0</v>
      </c>
      <c r="L92" s="183">
        <f>SUMIFS('май 2025'!$G$5:$G$2466,'май 2025'!$D$5:$D$2466,$B92,'май 2025'!$J$5:$J$2466,L$1)</f>
        <v>0</v>
      </c>
      <c r="M92" s="183">
        <f>SUMIFS('май 2025'!$G$5:$G$2466,'май 2025'!$D$5:$D$2466,$B92,'май 2025'!$J$5:$J$2466,M$1)</f>
        <v>0</v>
      </c>
      <c r="N92" s="183">
        <f>SUMIFS('май 2025'!$G$5:$G$2466,'май 2025'!$D$5:$D$2466,$B92,'май 2025'!$J$5:$J$2466,N$1)</f>
        <v>0</v>
      </c>
      <c r="O92" s="183">
        <f>SUMIFS('май 2025'!$G$5:$G$2466,'май 2025'!$D$5:$D$2466,$B92,'май 2025'!$J$5:$J$2466,O$1)</f>
        <v>0</v>
      </c>
      <c r="P92" s="183">
        <f>SUMIFS('май 2025'!$G$5:$G$2466,'май 2025'!$D$5:$D$2466,$B92,'май 2025'!$J$5:$J$2466,P$1)</f>
        <v>0</v>
      </c>
      <c r="Q92" s="183">
        <f>SUMIFS('май 2025'!$G$5:$G$2466,'май 2025'!$D$5:$D$2466,$B92,'май 2025'!$J$5:$J$2466,Q$1)</f>
        <v>0</v>
      </c>
      <c r="R92" s="183">
        <f>SUMIFS('май 2025'!$G$5:$G$2466,'май 2025'!$D$5:$D$2466,$B92,'май 2025'!$J$5:$J$2466,R$1)</f>
        <v>0</v>
      </c>
      <c r="S92" s="183">
        <f>SUMIFS('май 2025'!$G$5:$G$2466,'май 2025'!$D$5:$D$2466,$B92,'май 2025'!$J$5:$J$2466,S$1)</f>
        <v>0</v>
      </c>
      <c r="T92" s="183">
        <f>SUMIFS('май 2025'!$G$5:$G$2466,'май 2025'!$D$5:$D$2466,$B92,'май 2025'!$J$5:$J$2466,T$1)</f>
        <v>0</v>
      </c>
      <c r="U92" s="183">
        <f>SUMIFS('май 2025'!$G$5:$G$2466,'май 2025'!$D$5:$D$2466,$B92,'май 2025'!$J$5:$J$2466,U$1)</f>
        <v>0</v>
      </c>
      <c r="V92" s="183">
        <f>SUMIFS('май 2025'!$G$5:$G$2466,'май 2025'!$D$5:$D$2466,$B92,'май 2025'!$J$5:$J$2466,V$1)</f>
        <v>0</v>
      </c>
      <c r="W92" s="183">
        <f>SUMIFS('май 2025'!$G$5:$G$2466,'май 2025'!$D$5:$D$2466,$B92,'май 2025'!$J$5:$J$2466,W$1)</f>
        <v>0</v>
      </c>
      <c r="X92" s="183">
        <f>SUMIFS('май 2025'!$G$5:$G$2466,'май 2025'!$D$5:$D$2466,$B92,'май 2025'!$J$5:$J$2466,X$1)</f>
        <v>0</v>
      </c>
      <c r="Y92" s="183">
        <f>SUMIFS('май 2025'!$G$5:$G$2466,'май 2025'!$D$5:$D$2466,$B92,'май 2025'!$J$5:$J$2466,Y$1)</f>
        <v>0</v>
      </c>
      <c r="Z92" s="183">
        <f>SUMIFS('май 2025'!$G$5:$G$2466,'май 2025'!$D$5:$D$2466,$B92,'май 2025'!$J$5:$J$2466,Z$1)</f>
        <v>0</v>
      </c>
      <c r="AA92" s="183">
        <f>SUMIFS('май 2025'!$G$5:$G$2466,'май 2025'!$D$5:$D$2466,$B92,'май 2025'!$J$5:$J$2466,AA$1)</f>
        <v>0</v>
      </c>
      <c r="AB92" s="183">
        <f>SUMIFS('май 2025'!$G$5:$G$2466,'май 2025'!$D$5:$D$2466,$B92,'май 2025'!$J$5:$J$2466,AB$1)</f>
        <v>0</v>
      </c>
      <c r="AC92" s="183">
        <f>SUMIFS('май 2025'!$G$5:$G$2466,'май 2025'!$D$5:$D$2466,$B92,'май 2025'!$J$5:$J$2466,AC$1)</f>
        <v>0</v>
      </c>
      <c r="AD92" s="183">
        <f>SUMIFS('май 2025'!$G$5:$G$2466,'май 2025'!$D$5:$D$2466,$B92,'май 2025'!$J$5:$J$2466,AD$1)</f>
        <v>0</v>
      </c>
      <c r="AE92" s="183">
        <f>SUMIFS('май 2025'!$G$5:$G$2466,'май 2025'!$D$5:$D$2466,$B92,'май 2025'!$J$5:$J$2466,AE$1)</f>
        <v>0</v>
      </c>
      <c r="AF92" s="183">
        <f>SUMIFS('май 2025'!$G$5:$G$2466,'май 2025'!$D$5:$D$2466,$B92,'май 2025'!$J$5:$J$2466,AF$1)</f>
        <v>0</v>
      </c>
      <c r="AG92" s="183">
        <f>SUMIFS('май 2025'!$G$5:$G$2466,'май 2025'!$D$5:$D$2466,$B92,'май 2025'!$J$5:$J$2466,AG$1)</f>
        <v>0</v>
      </c>
      <c r="AH92" s="183">
        <f>SUMIFS('май 2025'!$G$5:$G$2466,'май 2025'!$D$5:$D$2466,$B92,'май 2025'!$J$5:$J$2466,AH$1)</f>
        <v>0</v>
      </c>
      <c r="AI92" s="20">
        <f t="shared" si="1"/>
        <v>0</v>
      </c>
    </row>
    <row r="93" spans="2:35" ht="15" customHeight="1" x14ac:dyDescent="0.25">
      <c r="B93" s="84" t="s">
        <v>186</v>
      </c>
      <c r="C93" s="83">
        <v>190</v>
      </c>
      <c r="D93" s="183">
        <f>SUMIFS('май 2025'!$G$5:$G$2466,'май 2025'!$D$5:$D$2466,$B93,'май 2025'!$J$5:$J$2466,D$1)</f>
        <v>0</v>
      </c>
      <c r="E93" s="183">
        <f>SUMIFS('май 2025'!$G$5:$G$2466,'май 2025'!$D$5:$D$2466,$B93,'май 2025'!$J$5:$J$2466,E$1)</f>
        <v>0</v>
      </c>
      <c r="F93" s="183">
        <f>SUMIFS('май 2025'!$G$5:$G$2466,'май 2025'!$D$5:$D$2466,$B93,'май 2025'!$J$5:$J$2466,F$1)</f>
        <v>0</v>
      </c>
      <c r="G93" s="183">
        <f>SUMIFS('май 2025'!$G$5:$G$2466,'май 2025'!$D$5:$D$2466,$B93,'май 2025'!$J$5:$J$2466,G$1)</f>
        <v>0</v>
      </c>
      <c r="H93" s="183">
        <f>SUMIFS('май 2025'!$G$5:$G$2466,'май 2025'!$D$5:$D$2466,$B93,'май 2025'!$J$5:$J$2466,H$1)</f>
        <v>0</v>
      </c>
      <c r="I93" s="183">
        <f>SUMIFS('май 2025'!$G$5:$G$2466,'май 2025'!$D$5:$D$2466,$B93,'май 2025'!$J$5:$J$2466,I$1)</f>
        <v>0</v>
      </c>
      <c r="J93" s="183">
        <f>SUMIFS('май 2025'!$G$5:$G$2466,'май 2025'!$D$5:$D$2466,$B93,'май 2025'!$J$5:$J$2466,J$1)</f>
        <v>0</v>
      </c>
      <c r="K93" s="183">
        <f>SUMIFS('май 2025'!$G$5:$G$2466,'май 2025'!$D$5:$D$2466,$B93,'май 2025'!$J$5:$J$2466,K$1)</f>
        <v>0</v>
      </c>
      <c r="L93" s="183">
        <f>SUMIFS('май 2025'!$G$5:$G$2466,'май 2025'!$D$5:$D$2466,$B93,'май 2025'!$J$5:$J$2466,L$1)</f>
        <v>0</v>
      </c>
      <c r="M93" s="183">
        <f>SUMIFS('май 2025'!$G$5:$G$2466,'май 2025'!$D$5:$D$2466,$B93,'май 2025'!$J$5:$J$2466,M$1)</f>
        <v>0</v>
      </c>
      <c r="N93" s="183">
        <f>SUMIFS('май 2025'!$G$5:$G$2466,'май 2025'!$D$5:$D$2466,$B93,'май 2025'!$J$5:$J$2466,N$1)</f>
        <v>0</v>
      </c>
      <c r="O93" s="183">
        <f>SUMIFS('май 2025'!$G$5:$G$2466,'май 2025'!$D$5:$D$2466,$B93,'май 2025'!$J$5:$J$2466,O$1)</f>
        <v>0</v>
      </c>
      <c r="P93" s="183">
        <f>SUMIFS('май 2025'!$G$5:$G$2466,'май 2025'!$D$5:$D$2466,$B93,'май 2025'!$J$5:$J$2466,P$1)</f>
        <v>0</v>
      </c>
      <c r="Q93" s="183">
        <f>SUMIFS('май 2025'!$G$5:$G$2466,'май 2025'!$D$5:$D$2466,$B93,'май 2025'!$J$5:$J$2466,Q$1)</f>
        <v>0</v>
      </c>
      <c r="R93" s="183">
        <f>SUMIFS('май 2025'!$G$5:$G$2466,'май 2025'!$D$5:$D$2466,$B93,'май 2025'!$J$5:$J$2466,R$1)</f>
        <v>0</v>
      </c>
      <c r="S93" s="183">
        <f>SUMIFS('май 2025'!$G$5:$G$2466,'май 2025'!$D$5:$D$2466,$B93,'май 2025'!$J$5:$J$2466,S$1)</f>
        <v>0</v>
      </c>
      <c r="T93" s="183">
        <f>SUMIFS('май 2025'!$G$5:$G$2466,'май 2025'!$D$5:$D$2466,$B93,'май 2025'!$J$5:$J$2466,T$1)</f>
        <v>0</v>
      </c>
      <c r="U93" s="183">
        <f>SUMIFS('май 2025'!$G$5:$G$2466,'май 2025'!$D$5:$D$2466,$B93,'май 2025'!$J$5:$J$2466,U$1)</f>
        <v>0</v>
      </c>
      <c r="V93" s="183">
        <f>SUMIFS('май 2025'!$G$5:$G$2466,'май 2025'!$D$5:$D$2466,$B93,'май 2025'!$J$5:$J$2466,V$1)</f>
        <v>0</v>
      </c>
      <c r="W93" s="183">
        <f>SUMIFS('май 2025'!$G$5:$G$2466,'май 2025'!$D$5:$D$2466,$B93,'май 2025'!$J$5:$J$2466,W$1)</f>
        <v>0</v>
      </c>
      <c r="X93" s="183">
        <f>SUMIFS('май 2025'!$G$5:$G$2466,'май 2025'!$D$5:$D$2466,$B93,'май 2025'!$J$5:$J$2466,X$1)</f>
        <v>0</v>
      </c>
      <c r="Y93" s="183">
        <f>SUMIFS('май 2025'!$G$5:$G$2466,'май 2025'!$D$5:$D$2466,$B93,'май 2025'!$J$5:$J$2466,Y$1)</f>
        <v>0</v>
      </c>
      <c r="Z93" s="183">
        <f>SUMIFS('май 2025'!$G$5:$G$2466,'май 2025'!$D$5:$D$2466,$B93,'май 2025'!$J$5:$J$2466,Z$1)</f>
        <v>0</v>
      </c>
      <c r="AA93" s="183">
        <f>SUMIFS('май 2025'!$G$5:$G$2466,'май 2025'!$D$5:$D$2466,$B93,'май 2025'!$J$5:$J$2466,AA$1)</f>
        <v>0</v>
      </c>
      <c r="AB93" s="183">
        <f>SUMIFS('май 2025'!$G$5:$G$2466,'май 2025'!$D$5:$D$2466,$B93,'май 2025'!$J$5:$J$2466,AB$1)</f>
        <v>0</v>
      </c>
      <c r="AC93" s="183">
        <f>SUMIFS('май 2025'!$G$5:$G$2466,'май 2025'!$D$5:$D$2466,$B93,'май 2025'!$J$5:$J$2466,AC$1)</f>
        <v>0</v>
      </c>
      <c r="AD93" s="183">
        <f>SUMIFS('май 2025'!$G$5:$G$2466,'май 2025'!$D$5:$D$2466,$B93,'май 2025'!$J$5:$J$2466,AD$1)</f>
        <v>0</v>
      </c>
      <c r="AE93" s="183">
        <f>SUMIFS('май 2025'!$G$5:$G$2466,'май 2025'!$D$5:$D$2466,$B93,'май 2025'!$J$5:$J$2466,AE$1)</f>
        <v>0</v>
      </c>
      <c r="AF93" s="183">
        <f>SUMIFS('май 2025'!$G$5:$G$2466,'май 2025'!$D$5:$D$2466,$B93,'май 2025'!$J$5:$J$2466,AF$1)</f>
        <v>0</v>
      </c>
      <c r="AG93" s="183">
        <f>SUMIFS('май 2025'!$G$5:$G$2466,'май 2025'!$D$5:$D$2466,$B93,'май 2025'!$J$5:$J$2466,AG$1)</f>
        <v>0</v>
      </c>
      <c r="AH93" s="183">
        <f>SUMIFS('май 2025'!$G$5:$G$2466,'май 2025'!$D$5:$D$2466,$B93,'май 2025'!$J$5:$J$2466,AH$1)</f>
        <v>0</v>
      </c>
      <c r="AI93" s="20">
        <f t="shared" si="1"/>
        <v>0</v>
      </c>
    </row>
    <row r="94" spans="2:35" ht="15" customHeight="1" x14ac:dyDescent="0.25">
      <c r="B94" s="84" t="s">
        <v>205</v>
      </c>
      <c r="C94" s="83">
        <v>190</v>
      </c>
      <c r="D94" s="183">
        <f>SUMIFS('май 2025'!$G$5:$G$2466,'май 2025'!$D$5:$D$2466,$B94,'май 2025'!$J$5:$J$2466,D$1)</f>
        <v>0</v>
      </c>
      <c r="E94" s="183">
        <f>SUMIFS('май 2025'!$G$5:$G$2466,'май 2025'!$D$5:$D$2466,$B94,'май 2025'!$J$5:$J$2466,E$1)</f>
        <v>0</v>
      </c>
      <c r="F94" s="183">
        <f>SUMIFS('май 2025'!$G$5:$G$2466,'май 2025'!$D$5:$D$2466,$B94,'май 2025'!$J$5:$J$2466,F$1)</f>
        <v>0</v>
      </c>
      <c r="G94" s="183">
        <f>SUMIFS('май 2025'!$G$5:$G$2466,'май 2025'!$D$5:$D$2466,$B94,'май 2025'!$J$5:$J$2466,G$1)</f>
        <v>0</v>
      </c>
      <c r="H94" s="183">
        <f>SUMIFS('май 2025'!$G$5:$G$2466,'май 2025'!$D$5:$D$2466,$B94,'май 2025'!$J$5:$J$2466,H$1)</f>
        <v>0</v>
      </c>
      <c r="I94" s="183">
        <f>SUMIFS('май 2025'!$G$5:$G$2466,'май 2025'!$D$5:$D$2466,$B94,'май 2025'!$J$5:$J$2466,I$1)</f>
        <v>0</v>
      </c>
      <c r="J94" s="183">
        <f>SUMIFS('май 2025'!$G$5:$G$2466,'май 2025'!$D$5:$D$2466,$B94,'май 2025'!$J$5:$J$2466,J$1)</f>
        <v>0</v>
      </c>
      <c r="K94" s="183">
        <f>SUMIFS('май 2025'!$G$5:$G$2466,'май 2025'!$D$5:$D$2466,$B94,'май 2025'!$J$5:$J$2466,K$1)</f>
        <v>0</v>
      </c>
      <c r="L94" s="183">
        <f>SUMIFS('май 2025'!$G$5:$G$2466,'май 2025'!$D$5:$D$2466,$B94,'май 2025'!$J$5:$J$2466,L$1)</f>
        <v>0</v>
      </c>
      <c r="M94" s="183">
        <f>SUMIFS('май 2025'!$G$5:$G$2466,'май 2025'!$D$5:$D$2466,$B94,'май 2025'!$J$5:$J$2466,M$1)</f>
        <v>0</v>
      </c>
      <c r="N94" s="183">
        <f>SUMIFS('май 2025'!$G$5:$G$2466,'май 2025'!$D$5:$D$2466,$B94,'май 2025'!$J$5:$J$2466,N$1)</f>
        <v>0</v>
      </c>
      <c r="O94" s="183">
        <f>SUMIFS('май 2025'!$G$5:$G$2466,'май 2025'!$D$5:$D$2466,$B94,'май 2025'!$J$5:$J$2466,O$1)</f>
        <v>0</v>
      </c>
      <c r="P94" s="183">
        <f>SUMIFS('май 2025'!$G$5:$G$2466,'май 2025'!$D$5:$D$2466,$B94,'май 2025'!$J$5:$J$2466,P$1)</f>
        <v>0</v>
      </c>
      <c r="Q94" s="183">
        <f>SUMIFS('май 2025'!$G$5:$G$2466,'май 2025'!$D$5:$D$2466,$B94,'май 2025'!$J$5:$J$2466,Q$1)</f>
        <v>0</v>
      </c>
      <c r="R94" s="183">
        <f>SUMIFS('май 2025'!$G$5:$G$2466,'май 2025'!$D$5:$D$2466,$B94,'май 2025'!$J$5:$J$2466,R$1)</f>
        <v>0</v>
      </c>
      <c r="S94" s="183">
        <f>SUMIFS('май 2025'!$G$5:$G$2466,'май 2025'!$D$5:$D$2466,$B94,'май 2025'!$J$5:$J$2466,S$1)</f>
        <v>0</v>
      </c>
      <c r="T94" s="183">
        <f>SUMIFS('май 2025'!$G$5:$G$2466,'май 2025'!$D$5:$D$2466,$B94,'май 2025'!$J$5:$J$2466,T$1)</f>
        <v>0</v>
      </c>
      <c r="U94" s="183">
        <f>SUMIFS('май 2025'!$G$5:$G$2466,'май 2025'!$D$5:$D$2466,$B94,'май 2025'!$J$5:$J$2466,U$1)</f>
        <v>0</v>
      </c>
      <c r="V94" s="183">
        <f>SUMIFS('май 2025'!$G$5:$G$2466,'май 2025'!$D$5:$D$2466,$B94,'май 2025'!$J$5:$J$2466,V$1)</f>
        <v>0</v>
      </c>
      <c r="W94" s="183">
        <f>SUMIFS('май 2025'!$G$5:$G$2466,'май 2025'!$D$5:$D$2466,$B94,'май 2025'!$J$5:$J$2466,W$1)</f>
        <v>0</v>
      </c>
      <c r="X94" s="183">
        <f>SUMIFS('май 2025'!$G$5:$G$2466,'май 2025'!$D$5:$D$2466,$B94,'май 2025'!$J$5:$J$2466,X$1)</f>
        <v>0</v>
      </c>
      <c r="Y94" s="183">
        <f>SUMIFS('май 2025'!$G$5:$G$2466,'май 2025'!$D$5:$D$2466,$B94,'май 2025'!$J$5:$J$2466,Y$1)</f>
        <v>0</v>
      </c>
      <c r="Z94" s="183">
        <f>SUMIFS('май 2025'!$G$5:$G$2466,'май 2025'!$D$5:$D$2466,$B94,'май 2025'!$J$5:$J$2466,Z$1)</f>
        <v>0</v>
      </c>
      <c r="AA94" s="183">
        <f>SUMIFS('май 2025'!$G$5:$G$2466,'май 2025'!$D$5:$D$2466,$B94,'май 2025'!$J$5:$J$2466,AA$1)</f>
        <v>0</v>
      </c>
      <c r="AB94" s="183">
        <f>SUMIFS('май 2025'!$G$5:$G$2466,'май 2025'!$D$5:$D$2466,$B94,'май 2025'!$J$5:$J$2466,AB$1)</f>
        <v>0</v>
      </c>
      <c r="AC94" s="183">
        <f>SUMIFS('май 2025'!$G$5:$G$2466,'май 2025'!$D$5:$D$2466,$B94,'май 2025'!$J$5:$J$2466,AC$1)</f>
        <v>0</v>
      </c>
      <c r="AD94" s="183">
        <f>SUMIFS('май 2025'!$G$5:$G$2466,'май 2025'!$D$5:$D$2466,$B94,'май 2025'!$J$5:$J$2466,AD$1)</f>
        <v>0</v>
      </c>
      <c r="AE94" s="183">
        <f>SUMIFS('май 2025'!$G$5:$G$2466,'май 2025'!$D$5:$D$2466,$B94,'май 2025'!$J$5:$J$2466,AE$1)</f>
        <v>0</v>
      </c>
      <c r="AF94" s="183">
        <f>SUMIFS('май 2025'!$G$5:$G$2466,'май 2025'!$D$5:$D$2466,$B94,'май 2025'!$J$5:$J$2466,AF$1)</f>
        <v>0</v>
      </c>
      <c r="AG94" s="183">
        <f>SUMIFS('май 2025'!$G$5:$G$2466,'май 2025'!$D$5:$D$2466,$B94,'май 2025'!$J$5:$J$2466,AG$1)</f>
        <v>0</v>
      </c>
      <c r="AH94" s="183">
        <f>SUMIFS('май 2025'!$G$5:$G$2466,'май 2025'!$D$5:$D$2466,$B94,'май 2025'!$J$5:$J$2466,AH$1)</f>
        <v>0</v>
      </c>
      <c r="AI94" s="20">
        <f t="shared" si="1"/>
        <v>0</v>
      </c>
    </row>
    <row r="95" spans="2:35" ht="15" customHeight="1" x14ac:dyDescent="0.25">
      <c r="B95" s="88" t="s">
        <v>173</v>
      </c>
      <c r="C95" s="83">
        <v>190</v>
      </c>
      <c r="D95" s="183">
        <f>SUMIFS('май 2025'!$G$5:$G$2466,'май 2025'!$D$5:$D$2466,$B95,'май 2025'!$J$5:$J$2466,D$1)</f>
        <v>0</v>
      </c>
      <c r="E95" s="183">
        <f>SUMIFS('май 2025'!$G$5:$G$2466,'май 2025'!$D$5:$D$2466,$B95,'май 2025'!$J$5:$J$2466,E$1)</f>
        <v>0</v>
      </c>
      <c r="F95" s="183">
        <f>SUMIFS('май 2025'!$G$5:$G$2466,'май 2025'!$D$5:$D$2466,$B95,'май 2025'!$J$5:$J$2466,F$1)</f>
        <v>0</v>
      </c>
      <c r="G95" s="183">
        <f>SUMIFS('май 2025'!$G$5:$G$2466,'май 2025'!$D$5:$D$2466,$B95,'май 2025'!$J$5:$J$2466,G$1)</f>
        <v>0</v>
      </c>
      <c r="H95" s="183">
        <f>SUMIFS('май 2025'!$G$5:$G$2466,'май 2025'!$D$5:$D$2466,$B95,'май 2025'!$J$5:$J$2466,H$1)</f>
        <v>0</v>
      </c>
      <c r="I95" s="183">
        <f>SUMIFS('май 2025'!$G$5:$G$2466,'май 2025'!$D$5:$D$2466,$B95,'май 2025'!$J$5:$J$2466,I$1)</f>
        <v>0</v>
      </c>
      <c r="J95" s="183">
        <f>SUMIFS('май 2025'!$G$5:$G$2466,'май 2025'!$D$5:$D$2466,$B95,'май 2025'!$J$5:$J$2466,J$1)</f>
        <v>0</v>
      </c>
      <c r="K95" s="183">
        <f>SUMIFS('май 2025'!$G$5:$G$2466,'май 2025'!$D$5:$D$2466,$B95,'май 2025'!$J$5:$J$2466,K$1)</f>
        <v>0</v>
      </c>
      <c r="L95" s="183">
        <f>SUMIFS('май 2025'!$G$5:$G$2466,'май 2025'!$D$5:$D$2466,$B95,'май 2025'!$J$5:$J$2466,L$1)</f>
        <v>0</v>
      </c>
      <c r="M95" s="183">
        <f>SUMIFS('май 2025'!$G$5:$G$2466,'май 2025'!$D$5:$D$2466,$B95,'май 2025'!$J$5:$J$2466,M$1)</f>
        <v>0</v>
      </c>
      <c r="N95" s="183">
        <f>SUMIFS('май 2025'!$G$5:$G$2466,'май 2025'!$D$5:$D$2466,$B95,'май 2025'!$J$5:$J$2466,N$1)</f>
        <v>0</v>
      </c>
      <c r="O95" s="183">
        <f>SUMIFS('май 2025'!$G$5:$G$2466,'май 2025'!$D$5:$D$2466,$B95,'май 2025'!$J$5:$J$2466,O$1)</f>
        <v>0</v>
      </c>
      <c r="P95" s="183">
        <f>SUMIFS('май 2025'!$G$5:$G$2466,'май 2025'!$D$5:$D$2466,$B95,'май 2025'!$J$5:$J$2466,P$1)</f>
        <v>0</v>
      </c>
      <c r="Q95" s="183">
        <f>SUMIFS('май 2025'!$G$5:$G$2466,'май 2025'!$D$5:$D$2466,$B95,'май 2025'!$J$5:$J$2466,Q$1)</f>
        <v>0</v>
      </c>
      <c r="R95" s="183">
        <f>SUMIFS('май 2025'!$G$5:$G$2466,'май 2025'!$D$5:$D$2466,$B95,'май 2025'!$J$5:$J$2466,R$1)</f>
        <v>0</v>
      </c>
      <c r="S95" s="183">
        <f>SUMIFS('май 2025'!$G$5:$G$2466,'май 2025'!$D$5:$D$2466,$B95,'май 2025'!$J$5:$J$2466,S$1)</f>
        <v>0</v>
      </c>
      <c r="T95" s="183">
        <f>SUMIFS('май 2025'!$G$5:$G$2466,'май 2025'!$D$5:$D$2466,$B95,'май 2025'!$J$5:$J$2466,T$1)</f>
        <v>0</v>
      </c>
      <c r="U95" s="183">
        <f>SUMIFS('май 2025'!$G$5:$G$2466,'май 2025'!$D$5:$D$2466,$B95,'май 2025'!$J$5:$J$2466,U$1)</f>
        <v>0</v>
      </c>
      <c r="V95" s="183">
        <f>SUMIFS('май 2025'!$G$5:$G$2466,'май 2025'!$D$5:$D$2466,$B95,'май 2025'!$J$5:$J$2466,V$1)</f>
        <v>0</v>
      </c>
      <c r="W95" s="183">
        <f>SUMIFS('май 2025'!$G$5:$G$2466,'май 2025'!$D$5:$D$2466,$B95,'май 2025'!$J$5:$J$2466,W$1)</f>
        <v>0</v>
      </c>
      <c r="X95" s="183">
        <f>SUMIFS('май 2025'!$G$5:$G$2466,'май 2025'!$D$5:$D$2466,$B95,'май 2025'!$J$5:$J$2466,X$1)</f>
        <v>0</v>
      </c>
      <c r="Y95" s="183">
        <f>SUMIFS('май 2025'!$G$5:$G$2466,'май 2025'!$D$5:$D$2466,$B95,'май 2025'!$J$5:$J$2466,Y$1)</f>
        <v>0</v>
      </c>
      <c r="Z95" s="183">
        <f>SUMIFS('май 2025'!$G$5:$G$2466,'май 2025'!$D$5:$D$2466,$B95,'май 2025'!$J$5:$J$2466,Z$1)</f>
        <v>0</v>
      </c>
      <c r="AA95" s="183">
        <f>SUMIFS('май 2025'!$G$5:$G$2466,'май 2025'!$D$5:$D$2466,$B95,'май 2025'!$J$5:$J$2466,AA$1)</f>
        <v>0</v>
      </c>
      <c r="AB95" s="183">
        <f>SUMIFS('май 2025'!$G$5:$G$2466,'май 2025'!$D$5:$D$2466,$B95,'май 2025'!$J$5:$J$2466,AB$1)</f>
        <v>0</v>
      </c>
      <c r="AC95" s="183">
        <f>SUMIFS('май 2025'!$G$5:$G$2466,'май 2025'!$D$5:$D$2466,$B95,'май 2025'!$J$5:$J$2466,AC$1)</f>
        <v>0</v>
      </c>
      <c r="AD95" s="183">
        <f>SUMIFS('май 2025'!$G$5:$G$2466,'май 2025'!$D$5:$D$2466,$B95,'май 2025'!$J$5:$J$2466,AD$1)</f>
        <v>0</v>
      </c>
      <c r="AE95" s="183">
        <f>SUMIFS('май 2025'!$G$5:$G$2466,'май 2025'!$D$5:$D$2466,$B95,'май 2025'!$J$5:$J$2466,AE$1)</f>
        <v>0</v>
      </c>
      <c r="AF95" s="183">
        <f>SUMIFS('май 2025'!$G$5:$G$2466,'май 2025'!$D$5:$D$2466,$B95,'май 2025'!$J$5:$J$2466,AF$1)</f>
        <v>0</v>
      </c>
      <c r="AG95" s="183">
        <f>SUMIFS('май 2025'!$G$5:$G$2466,'май 2025'!$D$5:$D$2466,$B95,'май 2025'!$J$5:$J$2466,AG$1)</f>
        <v>0</v>
      </c>
      <c r="AH95" s="183">
        <f>SUMIFS('май 2025'!$G$5:$G$2466,'май 2025'!$D$5:$D$2466,$B95,'май 2025'!$J$5:$J$2466,AH$1)</f>
        <v>0</v>
      </c>
      <c r="AI95" s="20">
        <f t="shared" si="1"/>
        <v>0</v>
      </c>
    </row>
    <row r="96" spans="2:35" ht="15" customHeight="1" x14ac:dyDescent="0.25">
      <c r="B96" s="88" t="s">
        <v>182</v>
      </c>
      <c r="C96" s="86">
        <v>180</v>
      </c>
      <c r="D96" s="183">
        <f>SUMIFS('май 2025'!$G$5:$G$2466,'май 2025'!$D$5:$D$2466,$B96,'май 2025'!$J$5:$J$2466,D$1)</f>
        <v>0</v>
      </c>
      <c r="E96" s="183">
        <f>SUMIFS('май 2025'!$G$5:$G$2466,'май 2025'!$D$5:$D$2466,$B96,'май 2025'!$J$5:$J$2466,E$1)</f>
        <v>0</v>
      </c>
      <c r="F96" s="183">
        <f>SUMIFS('май 2025'!$G$5:$G$2466,'май 2025'!$D$5:$D$2466,$B96,'май 2025'!$J$5:$J$2466,F$1)</f>
        <v>0</v>
      </c>
      <c r="G96" s="183">
        <f>SUMIFS('май 2025'!$G$5:$G$2466,'май 2025'!$D$5:$D$2466,$B96,'май 2025'!$J$5:$J$2466,G$1)</f>
        <v>0</v>
      </c>
      <c r="H96" s="183">
        <f>SUMIFS('май 2025'!$G$5:$G$2466,'май 2025'!$D$5:$D$2466,$B96,'май 2025'!$J$5:$J$2466,H$1)</f>
        <v>0</v>
      </c>
      <c r="I96" s="183">
        <f>SUMIFS('май 2025'!$G$5:$G$2466,'май 2025'!$D$5:$D$2466,$B96,'май 2025'!$J$5:$J$2466,I$1)</f>
        <v>0</v>
      </c>
      <c r="J96" s="183">
        <f>SUMIFS('май 2025'!$G$5:$G$2466,'май 2025'!$D$5:$D$2466,$B96,'май 2025'!$J$5:$J$2466,J$1)</f>
        <v>0</v>
      </c>
      <c r="K96" s="183">
        <f>SUMIFS('май 2025'!$G$5:$G$2466,'май 2025'!$D$5:$D$2466,$B96,'май 2025'!$J$5:$J$2466,K$1)</f>
        <v>0</v>
      </c>
      <c r="L96" s="183">
        <f>SUMIFS('май 2025'!$G$5:$G$2466,'май 2025'!$D$5:$D$2466,$B96,'май 2025'!$J$5:$J$2466,L$1)</f>
        <v>0</v>
      </c>
      <c r="M96" s="183">
        <f>SUMIFS('май 2025'!$G$5:$G$2466,'май 2025'!$D$5:$D$2466,$B96,'май 2025'!$J$5:$J$2466,M$1)</f>
        <v>0</v>
      </c>
      <c r="N96" s="183">
        <f>SUMIFS('май 2025'!$G$5:$G$2466,'май 2025'!$D$5:$D$2466,$B96,'май 2025'!$J$5:$J$2466,N$1)</f>
        <v>0</v>
      </c>
      <c r="O96" s="183">
        <f>SUMIFS('май 2025'!$G$5:$G$2466,'май 2025'!$D$5:$D$2466,$B96,'май 2025'!$J$5:$J$2466,O$1)</f>
        <v>0</v>
      </c>
      <c r="P96" s="183">
        <f>SUMIFS('май 2025'!$G$5:$G$2466,'май 2025'!$D$5:$D$2466,$B96,'май 2025'!$J$5:$J$2466,P$1)</f>
        <v>0</v>
      </c>
      <c r="Q96" s="183">
        <f>SUMIFS('май 2025'!$G$5:$G$2466,'май 2025'!$D$5:$D$2466,$B96,'май 2025'!$J$5:$J$2466,Q$1)</f>
        <v>0</v>
      </c>
      <c r="R96" s="183">
        <f>SUMIFS('май 2025'!$G$5:$G$2466,'май 2025'!$D$5:$D$2466,$B96,'май 2025'!$J$5:$J$2466,R$1)</f>
        <v>0</v>
      </c>
      <c r="S96" s="183">
        <f>SUMIFS('май 2025'!$G$5:$G$2466,'май 2025'!$D$5:$D$2466,$B96,'май 2025'!$J$5:$J$2466,S$1)</f>
        <v>0</v>
      </c>
      <c r="T96" s="183">
        <f>SUMIFS('май 2025'!$G$5:$G$2466,'май 2025'!$D$5:$D$2466,$B96,'май 2025'!$J$5:$J$2466,T$1)</f>
        <v>0</v>
      </c>
      <c r="U96" s="183">
        <f>SUMIFS('май 2025'!$G$5:$G$2466,'май 2025'!$D$5:$D$2466,$B96,'май 2025'!$J$5:$J$2466,U$1)</f>
        <v>0</v>
      </c>
      <c r="V96" s="183">
        <f>SUMIFS('май 2025'!$G$5:$G$2466,'май 2025'!$D$5:$D$2466,$B96,'май 2025'!$J$5:$J$2466,V$1)</f>
        <v>0</v>
      </c>
      <c r="W96" s="183">
        <f>SUMIFS('май 2025'!$G$5:$G$2466,'май 2025'!$D$5:$D$2466,$B96,'май 2025'!$J$5:$J$2466,W$1)</f>
        <v>0</v>
      </c>
      <c r="X96" s="183">
        <f>SUMIFS('май 2025'!$G$5:$G$2466,'май 2025'!$D$5:$D$2466,$B96,'май 2025'!$J$5:$J$2466,X$1)</f>
        <v>0</v>
      </c>
      <c r="Y96" s="183">
        <f>SUMIFS('май 2025'!$G$5:$G$2466,'май 2025'!$D$5:$D$2466,$B96,'май 2025'!$J$5:$J$2466,Y$1)</f>
        <v>0</v>
      </c>
      <c r="Z96" s="183">
        <f>SUMIFS('май 2025'!$G$5:$G$2466,'май 2025'!$D$5:$D$2466,$B96,'май 2025'!$J$5:$J$2466,Z$1)</f>
        <v>0</v>
      </c>
      <c r="AA96" s="183">
        <f>SUMIFS('май 2025'!$G$5:$G$2466,'май 2025'!$D$5:$D$2466,$B96,'май 2025'!$J$5:$J$2466,AA$1)</f>
        <v>0</v>
      </c>
      <c r="AB96" s="183">
        <f>SUMIFS('май 2025'!$G$5:$G$2466,'май 2025'!$D$5:$D$2466,$B96,'май 2025'!$J$5:$J$2466,AB$1)</f>
        <v>0</v>
      </c>
      <c r="AC96" s="183">
        <f>SUMIFS('май 2025'!$G$5:$G$2466,'май 2025'!$D$5:$D$2466,$B96,'май 2025'!$J$5:$J$2466,AC$1)</f>
        <v>0</v>
      </c>
      <c r="AD96" s="183">
        <f>SUMIFS('май 2025'!$G$5:$G$2466,'май 2025'!$D$5:$D$2466,$B96,'май 2025'!$J$5:$J$2466,AD$1)</f>
        <v>0</v>
      </c>
      <c r="AE96" s="183">
        <f>SUMIFS('май 2025'!$G$5:$G$2466,'май 2025'!$D$5:$D$2466,$B96,'май 2025'!$J$5:$J$2466,AE$1)</f>
        <v>0</v>
      </c>
      <c r="AF96" s="183">
        <f>SUMIFS('май 2025'!$G$5:$G$2466,'май 2025'!$D$5:$D$2466,$B96,'май 2025'!$J$5:$J$2466,AF$1)</f>
        <v>0</v>
      </c>
      <c r="AG96" s="183">
        <f>SUMIFS('май 2025'!$G$5:$G$2466,'май 2025'!$D$5:$D$2466,$B96,'май 2025'!$J$5:$J$2466,AG$1)</f>
        <v>0</v>
      </c>
      <c r="AH96" s="183">
        <f>SUMIFS('май 2025'!$G$5:$G$2466,'май 2025'!$D$5:$D$2466,$B96,'май 2025'!$J$5:$J$2466,AH$1)</f>
        <v>0</v>
      </c>
      <c r="AI96" s="20">
        <f t="shared" si="1"/>
        <v>0</v>
      </c>
    </row>
    <row r="97" spans="2:35" ht="15" customHeight="1" x14ac:dyDescent="0.25">
      <c r="B97" s="88" t="s">
        <v>298</v>
      </c>
      <c r="C97" s="86">
        <v>190</v>
      </c>
      <c r="D97" s="183">
        <f>SUMIFS('май 2025'!$G$5:$G$2466,'май 2025'!$D$5:$D$2466,$B97,'май 2025'!$J$5:$J$2466,D$1)</f>
        <v>0</v>
      </c>
      <c r="E97" s="183">
        <f>SUMIFS('май 2025'!$G$5:$G$2466,'май 2025'!$D$5:$D$2466,$B97,'май 2025'!$J$5:$J$2466,E$1)</f>
        <v>0</v>
      </c>
      <c r="F97" s="183">
        <f>SUMIFS('май 2025'!$G$5:$G$2466,'май 2025'!$D$5:$D$2466,$B97,'май 2025'!$J$5:$J$2466,F$1)</f>
        <v>0</v>
      </c>
      <c r="G97" s="183">
        <f>SUMIFS('май 2025'!$G$5:$G$2466,'май 2025'!$D$5:$D$2466,$B97,'май 2025'!$J$5:$J$2466,G$1)</f>
        <v>0</v>
      </c>
      <c r="H97" s="183">
        <f>SUMIFS('май 2025'!$G$5:$G$2466,'май 2025'!$D$5:$D$2466,$B97,'май 2025'!$J$5:$J$2466,H$1)</f>
        <v>0</v>
      </c>
      <c r="I97" s="183">
        <f>SUMIFS('май 2025'!$G$5:$G$2466,'май 2025'!$D$5:$D$2466,$B97,'май 2025'!$J$5:$J$2466,I$1)</f>
        <v>0</v>
      </c>
      <c r="J97" s="183">
        <f>SUMIFS('май 2025'!$G$5:$G$2466,'май 2025'!$D$5:$D$2466,$B97,'май 2025'!$J$5:$J$2466,J$1)</f>
        <v>0</v>
      </c>
      <c r="K97" s="183">
        <f>SUMIFS('май 2025'!$G$5:$G$2466,'май 2025'!$D$5:$D$2466,$B97,'май 2025'!$J$5:$J$2466,K$1)</f>
        <v>0</v>
      </c>
      <c r="L97" s="183">
        <f>SUMIFS('май 2025'!$G$5:$G$2466,'май 2025'!$D$5:$D$2466,$B97,'май 2025'!$J$5:$J$2466,L$1)</f>
        <v>0</v>
      </c>
      <c r="M97" s="183">
        <f>SUMIFS('май 2025'!$G$5:$G$2466,'май 2025'!$D$5:$D$2466,$B97,'май 2025'!$J$5:$J$2466,M$1)</f>
        <v>0</v>
      </c>
      <c r="N97" s="183">
        <f>SUMIFS('май 2025'!$G$5:$G$2466,'май 2025'!$D$5:$D$2466,$B97,'май 2025'!$J$5:$J$2466,N$1)</f>
        <v>0</v>
      </c>
      <c r="O97" s="183">
        <f>SUMIFS('май 2025'!$G$5:$G$2466,'май 2025'!$D$5:$D$2466,$B97,'май 2025'!$J$5:$J$2466,O$1)</f>
        <v>0</v>
      </c>
      <c r="P97" s="183">
        <f>SUMIFS('май 2025'!$G$5:$G$2466,'май 2025'!$D$5:$D$2466,$B97,'май 2025'!$J$5:$J$2466,P$1)</f>
        <v>0</v>
      </c>
      <c r="Q97" s="183">
        <f>SUMIFS('май 2025'!$G$5:$G$2466,'май 2025'!$D$5:$D$2466,$B97,'май 2025'!$J$5:$J$2466,Q$1)</f>
        <v>0</v>
      </c>
      <c r="R97" s="183">
        <f>SUMIFS('май 2025'!$G$5:$G$2466,'май 2025'!$D$5:$D$2466,$B97,'май 2025'!$J$5:$J$2466,R$1)</f>
        <v>0</v>
      </c>
      <c r="S97" s="183">
        <f>SUMIFS('май 2025'!$G$5:$G$2466,'май 2025'!$D$5:$D$2466,$B97,'май 2025'!$J$5:$J$2466,S$1)</f>
        <v>0</v>
      </c>
      <c r="T97" s="183">
        <f>SUMIFS('май 2025'!$G$5:$G$2466,'май 2025'!$D$5:$D$2466,$B97,'май 2025'!$J$5:$J$2466,T$1)</f>
        <v>0</v>
      </c>
      <c r="U97" s="183">
        <f>SUMIFS('май 2025'!$G$5:$G$2466,'май 2025'!$D$5:$D$2466,$B97,'май 2025'!$J$5:$J$2466,U$1)</f>
        <v>0</v>
      </c>
      <c r="V97" s="183">
        <f>SUMIFS('май 2025'!$G$5:$G$2466,'май 2025'!$D$5:$D$2466,$B97,'май 2025'!$J$5:$J$2466,V$1)</f>
        <v>0</v>
      </c>
      <c r="W97" s="183">
        <f>SUMIFS('май 2025'!$G$5:$G$2466,'май 2025'!$D$5:$D$2466,$B97,'май 2025'!$J$5:$J$2466,W$1)</f>
        <v>0</v>
      </c>
      <c r="X97" s="183">
        <f>SUMIFS('май 2025'!$G$5:$G$2466,'май 2025'!$D$5:$D$2466,$B97,'май 2025'!$J$5:$J$2466,X$1)</f>
        <v>0</v>
      </c>
      <c r="Y97" s="183">
        <f>SUMIFS('май 2025'!$G$5:$G$2466,'май 2025'!$D$5:$D$2466,$B97,'май 2025'!$J$5:$J$2466,Y$1)</f>
        <v>0</v>
      </c>
      <c r="Z97" s="183">
        <f>SUMIFS('май 2025'!$G$5:$G$2466,'май 2025'!$D$5:$D$2466,$B97,'май 2025'!$J$5:$J$2466,Z$1)</f>
        <v>0</v>
      </c>
      <c r="AA97" s="183">
        <f>SUMIFS('май 2025'!$G$5:$G$2466,'май 2025'!$D$5:$D$2466,$B97,'май 2025'!$J$5:$J$2466,AA$1)</f>
        <v>0</v>
      </c>
      <c r="AB97" s="183">
        <f>SUMIFS('май 2025'!$G$5:$G$2466,'май 2025'!$D$5:$D$2466,$B97,'май 2025'!$J$5:$J$2466,AB$1)</f>
        <v>0</v>
      </c>
      <c r="AC97" s="183">
        <f>SUMIFS('май 2025'!$G$5:$G$2466,'май 2025'!$D$5:$D$2466,$B97,'май 2025'!$J$5:$J$2466,AC$1)</f>
        <v>0</v>
      </c>
      <c r="AD97" s="183">
        <f>SUMIFS('май 2025'!$G$5:$G$2466,'май 2025'!$D$5:$D$2466,$B97,'май 2025'!$J$5:$J$2466,AD$1)</f>
        <v>0</v>
      </c>
      <c r="AE97" s="183">
        <f>SUMIFS('май 2025'!$G$5:$G$2466,'май 2025'!$D$5:$D$2466,$B97,'май 2025'!$J$5:$J$2466,AE$1)</f>
        <v>0</v>
      </c>
      <c r="AF97" s="183">
        <f>SUMIFS('май 2025'!$G$5:$G$2466,'май 2025'!$D$5:$D$2466,$B97,'май 2025'!$J$5:$J$2466,AF$1)</f>
        <v>0</v>
      </c>
      <c r="AG97" s="183">
        <f>SUMIFS('май 2025'!$G$5:$G$2466,'май 2025'!$D$5:$D$2466,$B97,'май 2025'!$J$5:$J$2466,AG$1)</f>
        <v>0</v>
      </c>
      <c r="AH97" s="183">
        <f>SUMIFS('май 2025'!$G$5:$G$2466,'май 2025'!$D$5:$D$2466,$B97,'май 2025'!$J$5:$J$2466,AH$1)</f>
        <v>0</v>
      </c>
      <c r="AI97" s="20">
        <f t="shared" si="1"/>
        <v>0</v>
      </c>
    </row>
    <row r="98" spans="2:35" ht="15" customHeight="1" x14ac:dyDescent="0.25">
      <c r="B98" s="88" t="s">
        <v>312</v>
      </c>
      <c r="C98" s="86">
        <v>190</v>
      </c>
      <c r="D98" s="183">
        <f>SUMIFS('май 2025'!$G$5:$G$2466,'май 2025'!$D$5:$D$2466,$B98,'май 2025'!$J$5:$J$2466,D$1)</f>
        <v>0</v>
      </c>
      <c r="E98" s="183">
        <f>SUMIFS('май 2025'!$G$5:$G$2466,'май 2025'!$D$5:$D$2466,$B98,'май 2025'!$J$5:$J$2466,E$1)</f>
        <v>0</v>
      </c>
      <c r="F98" s="183">
        <f>SUMIFS('май 2025'!$G$5:$G$2466,'май 2025'!$D$5:$D$2466,$B98,'май 2025'!$J$5:$J$2466,F$1)</f>
        <v>0</v>
      </c>
      <c r="G98" s="183">
        <f>SUMIFS('май 2025'!$G$5:$G$2466,'май 2025'!$D$5:$D$2466,$B98,'май 2025'!$J$5:$J$2466,G$1)</f>
        <v>0</v>
      </c>
      <c r="H98" s="183">
        <f>SUMIFS('май 2025'!$G$5:$G$2466,'май 2025'!$D$5:$D$2466,$B98,'май 2025'!$J$5:$J$2466,H$1)</f>
        <v>0</v>
      </c>
      <c r="I98" s="183">
        <f>SUMIFS('май 2025'!$G$5:$G$2466,'май 2025'!$D$5:$D$2466,$B98,'май 2025'!$J$5:$J$2466,I$1)</f>
        <v>0</v>
      </c>
      <c r="J98" s="183">
        <f>SUMIFS('май 2025'!$G$5:$G$2466,'май 2025'!$D$5:$D$2466,$B98,'май 2025'!$J$5:$J$2466,J$1)</f>
        <v>0</v>
      </c>
      <c r="K98" s="183">
        <f>SUMIFS('май 2025'!$G$5:$G$2466,'май 2025'!$D$5:$D$2466,$B98,'май 2025'!$J$5:$J$2466,K$1)</f>
        <v>0</v>
      </c>
      <c r="L98" s="183">
        <f>SUMIFS('май 2025'!$G$5:$G$2466,'май 2025'!$D$5:$D$2466,$B98,'май 2025'!$J$5:$J$2466,L$1)</f>
        <v>0</v>
      </c>
      <c r="M98" s="183">
        <f>SUMIFS('май 2025'!$G$5:$G$2466,'май 2025'!$D$5:$D$2466,$B98,'май 2025'!$J$5:$J$2466,M$1)</f>
        <v>0</v>
      </c>
      <c r="N98" s="183">
        <f>SUMIFS('май 2025'!$G$5:$G$2466,'май 2025'!$D$5:$D$2466,$B98,'май 2025'!$J$5:$J$2466,N$1)</f>
        <v>0</v>
      </c>
      <c r="O98" s="183">
        <f>SUMIFS('май 2025'!$G$5:$G$2466,'май 2025'!$D$5:$D$2466,$B98,'май 2025'!$J$5:$J$2466,O$1)</f>
        <v>0</v>
      </c>
      <c r="P98" s="183">
        <f>SUMIFS('май 2025'!$G$5:$G$2466,'май 2025'!$D$5:$D$2466,$B98,'май 2025'!$J$5:$J$2466,P$1)</f>
        <v>0</v>
      </c>
      <c r="Q98" s="183">
        <f>SUMIFS('май 2025'!$G$5:$G$2466,'май 2025'!$D$5:$D$2466,$B98,'май 2025'!$J$5:$J$2466,Q$1)</f>
        <v>0</v>
      </c>
      <c r="R98" s="183">
        <f>SUMIFS('май 2025'!$G$5:$G$2466,'май 2025'!$D$5:$D$2466,$B98,'май 2025'!$J$5:$J$2466,R$1)</f>
        <v>0</v>
      </c>
      <c r="S98" s="183">
        <f>SUMIFS('май 2025'!$G$5:$G$2466,'май 2025'!$D$5:$D$2466,$B98,'май 2025'!$J$5:$J$2466,S$1)</f>
        <v>0</v>
      </c>
      <c r="T98" s="183">
        <f>SUMIFS('май 2025'!$G$5:$G$2466,'май 2025'!$D$5:$D$2466,$B98,'май 2025'!$J$5:$J$2466,T$1)</f>
        <v>0</v>
      </c>
      <c r="U98" s="183">
        <f>SUMIFS('май 2025'!$G$5:$G$2466,'май 2025'!$D$5:$D$2466,$B98,'май 2025'!$J$5:$J$2466,U$1)</f>
        <v>0</v>
      </c>
      <c r="V98" s="183">
        <f>SUMIFS('май 2025'!$G$5:$G$2466,'май 2025'!$D$5:$D$2466,$B98,'май 2025'!$J$5:$J$2466,V$1)</f>
        <v>0</v>
      </c>
      <c r="W98" s="183">
        <f>SUMIFS('май 2025'!$G$5:$G$2466,'май 2025'!$D$5:$D$2466,$B98,'май 2025'!$J$5:$J$2466,W$1)</f>
        <v>0</v>
      </c>
      <c r="X98" s="183">
        <f>SUMIFS('май 2025'!$G$5:$G$2466,'май 2025'!$D$5:$D$2466,$B98,'май 2025'!$J$5:$J$2466,X$1)</f>
        <v>0</v>
      </c>
      <c r="Y98" s="183">
        <f>SUMIFS('май 2025'!$G$5:$G$2466,'май 2025'!$D$5:$D$2466,$B98,'май 2025'!$J$5:$J$2466,Y$1)</f>
        <v>0</v>
      </c>
      <c r="Z98" s="183">
        <f>SUMIFS('май 2025'!$G$5:$G$2466,'май 2025'!$D$5:$D$2466,$B98,'май 2025'!$J$5:$J$2466,Z$1)</f>
        <v>0</v>
      </c>
      <c r="AA98" s="183">
        <f>SUMIFS('май 2025'!$G$5:$G$2466,'май 2025'!$D$5:$D$2466,$B98,'май 2025'!$J$5:$J$2466,AA$1)</f>
        <v>0</v>
      </c>
      <c r="AB98" s="183">
        <f>SUMIFS('май 2025'!$G$5:$G$2466,'май 2025'!$D$5:$D$2466,$B98,'май 2025'!$J$5:$J$2466,AB$1)</f>
        <v>0</v>
      </c>
      <c r="AC98" s="183">
        <f>SUMIFS('май 2025'!$G$5:$G$2466,'май 2025'!$D$5:$D$2466,$B98,'май 2025'!$J$5:$J$2466,AC$1)</f>
        <v>0</v>
      </c>
      <c r="AD98" s="183">
        <f>SUMIFS('май 2025'!$G$5:$G$2466,'май 2025'!$D$5:$D$2466,$B98,'май 2025'!$J$5:$J$2466,AD$1)</f>
        <v>0</v>
      </c>
      <c r="AE98" s="183">
        <f>SUMIFS('май 2025'!$G$5:$G$2466,'май 2025'!$D$5:$D$2466,$B98,'май 2025'!$J$5:$J$2466,AE$1)</f>
        <v>0</v>
      </c>
      <c r="AF98" s="183">
        <f>SUMIFS('май 2025'!$G$5:$G$2466,'май 2025'!$D$5:$D$2466,$B98,'май 2025'!$J$5:$J$2466,AF$1)</f>
        <v>0</v>
      </c>
      <c r="AG98" s="183">
        <f>SUMIFS('май 2025'!$G$5:$G$2466,'май 2025'!$D$5:$D$2466,$B98,'май 2025'!$J$5:$J$2466,AG$1)</f>
        <v>0</v>
      </c>
      <c r="AH98" s="183">
        <f>SUMIFS('май 2025'!$G$5:$G$2466,'май 2025'!$D$5:$D$2466,$B98,'май 2025'!$J$5:$J$2466,AH$1)</f>
        <v>0</v>
      </c>
      <c r="AI98" s="20">
        <f t="shared" si="1"/>
        <v>0</v>
      </c>
    </row>
    <row r="99" spans="2:35" ht="15" customHeight="1" x14ac:dyDescent="0.25">
      <c r="B99" s="88" t="s">
        <v>282</v>
      </c>
      <c r="C99" s="86">
        <v>190</v>
      </c>
      <c r="D99" s="183">
        <f>SUMIFS('май 2025'!$G$5:$G$2466,'май 2025'!$D$5:$D$2466,$B99,'май 2025'!$J$5:$J$2466,D$1)</f>
        <v>0</v>
      </c>
      <c r="E99" s="183">
        <f>SUMIFS('май 2025'!$G$5:$G$2466,'май 2025'!$D$5:$D$2466,$B99,'май 2025'!$J$5:$J$2466,E$1)</f>
        <v>0</v>
      </c>
      <c r="F99" s="183">
        <f>SUMIFS('май 2025'!$G$5:$G$2466,'май 2025'!$D$5:$D$2466,$B99,'май 2025'!$J$5:$J$2466,F$1)</f>
        <v>0</v>
      </c>
      <c r="G99" s="183">
        <f>SUMIFS('май 2025'!$G$5:$G$2466,'май 2025'!$D$5:$D$2466,$B99,'май 2025'!$J$5:$J$2466,G$1)</f>
        <v>0</v>
      </c>
      <c r="H99" s="183">
        <f>SUMIFS('май 2025'!$G$5:$G$2466,'май 2025'!$D$5:$D$2466,$B99,'май 2025'!$J$5:$J$2466,H$1)</f>
        <v>0</v>
      </c>
      <c r="I99" s="183">
        <f>SUMIFS('май 2025'!$G$5:$G$2466,'май 2025'!$D$5:$D$2466,$B99,'май 2025'!$J$5:$J$2466,I$1)</f>
        <v>0</v>
      </c>
      <c r="J99" s="183">
        <f>SUMIFS('май 2025'!$G$5:$G$2466,'май 2025'!$D$5:$D$2466,$B99,'май 2025'!$J$5:$J$2466,J$1)</f>
        <v>0</v>
      </c>
      <c r="K99" s="183">
        <f>SUMIFS('май 2025'!$G$5:$G$2466,'май 2025'!$D$5:$D$2466,$B99,'май 2025'!$J$5:$J$2466,K$1)</f>
        <v>0</v>
      </c>
      <c r="L99" s="183">
        <f>SUMIFS('май 2025'!$G$5:$G$2466,'май 2025'!$D$5:$D$2466,$B99,'май 2025'!$J$5:$J$2466,L$1)</f>
        <v>0</v>
      </c>
      <c r="M99" s="183">
        <f>SUMIFS('май 2025'!$G$5:$G$2466,'май 2025'!$D$5:$D$2466,$B99,'май 2025'!$J$5:$J$2466,M$1)</f>
        <v>0</v>
      </c>
      <c r="N99" s="183">
        <f>SUMIFS('май 2025'!$G$5:$G$2466,'май 2025'!$D$5:$D$2466,$B99,'май 2025'!$J$5:$J$2466,N$1)</f>
        <v>0</v>
      </c>
      <c r="O99" s="183">
        <f>SUMIFS('май 2025'!$G$5:$G$2466,'май 2025'!$D$5:$D$2466,$B99,'май 2025'!$J$5:$J$2466,O$1)</f>
        <v>0</v>
      </c>
      <c r="P99" s="183">
        <f>SUMIFS('май 2025'!$G$5:$G$2466,'май 2025'!$D$5:$D$2466,$B99,'май 2025'!$J$5:$J$2466,P$1)</f>
        <v>0</v>
      </c>
      <c r="Q99" s="183">
        <f>SUMIFS('май 2025'!$G$5:$G$2466,'май 2025'!$D$5:$D$2466,$B99,'май 2025'!$J$5:$J$2466,Q$1)</f>
        <v>0</v>
      </c>
      <c r="R99" s="183">
        <f>SUMIFS('май 2025'!$G$5:$G$2466,'май 2025'!$D$5:$D$2466,$B99,'май 2025'!$J$5:$J$2466,R$1)</f>
        <v>0</v>
      </c>
      <c r="S99" s="183">
        <f>SUMIFS('май 2025'!$G$5:$G$2466,'май 2025'!$D$5:$D$2466,$B99,'май 2025'!$J$5:$J$2466,S$1)</f>
        <v>0</v>
      </c>
      <c r="T99" s="183">
        <f>SUMIFS('май 2025'!$G$5:$G$2466,'май 2025'!$D$5:$D$2466,$B99,'май 2025'!$J$5:$J$2466,T$1)</f>
        <v>0</v>
      </c>
      <c r="U99" s="183">
        <f>SUMIFS('май 2025'!$G$5:$G$2466,'май 2025'!$D$5:$D$2466,$B99,'май 2025'!$J$5:$J$2466,U$1)</f>
        <v>0</v>
      </c>
      <c r="V99" s="183">
        <f>SUMIFS('май 2025'!$G$5:$G$2466,'май 2025'!$D$5:$D$2466,$B99,'май 2025'!$J$5:$J$2466,V$1)</f>
        <v>0</v>
      </c>
      <c r="W99" s="183">
        <f>SUMIFS('май 2025'!$G$5:$G$2466,'май 2025'!$D$5:$D$2466,$B99,'май 2025'!$J$5:$J$2466,W$1)</f>
        <v>0</v>
      </c>
      <c r="X99" s="183">
        <f>SUMIFS('май 2025'!$G$5:$G$2466,'май 2025'!$D$5:$D$2466,$B99,'май 2025'!$J$5:$J$2466,X$1)</f>
        <v>0</v>
      </c>
      <c r="Y99" s="183">
        <f>SUMIFS('май 2025'!$G$5:$G$2466,'май 2025'!$D$5:$D$2466,$B99,'май 2025'!$J$5:$J$2466,Y$1)</f>
        <v>0</v>
      </c>
      <c r="Z99" s="183">
        <f>SUMIFS('май 2025'!$G$5:$G$2466,'май 2025'!$D$5:$D$2466,$B99,'май 2025'!$J$5:$J$2466,Z$1)</f>
        <v>0</v>
      </c>
      <c r="AA99" s="183">
        <f>SUMIFS('май 2025'!$G$5:$G$2466,'май 2025'!$D$5:$D$2466,$B99,'май 2025'!$J$5:$J$2466,AA$1)</f>
        <v>0</v>
      </c>
      <c r="AB99" s="183">
        <f>SUMIFS('май 2025'!$G$5:$G$2466,'май 2025'!$D$5:$D$2466,$B99,'май 2025'!$J$5:$J$2466,AB$1)</f>
        <v>0</v>
      </c>
      <c r="AC99" s="183">
        <f>SUMIFS('май 2025'!$G$5:$G$2466,'май 2025'!$D$5:$D$2466,$B99,'май 2025'!$J$5:$J$2466,AC$1)</f>
        <v>0</v>
      </c>
      <c r="AD99" s="183">
        <f>SUMIFS('май 2025'!$G$5:$G$2466,'май 2025'!$D$5:$D$2466,$B99,'май 2025'!$J$5:$J$2466,AD$1)</f>
        <v>0</v>
      </c>
      <c r="AE99" s="183">
        <f>SUMIFS('май 2025'!$G$5:$G$2466,'май 2025'!$D$5:$D$2466,$B99,'май 2025'!$J$5:$J$2466,AE$1)</f>
        <v>0</v>
      </c>
      <c r="AF99" s="183">
        <f>SUMIFS('май 2025'!$G$5:$G$2466,'май 2025'!$D$5:$D$2466,$B99,'май 2025'!$J$5:$J$2466,AF$1)</f>
        <v>0</v>
      </c>
      <c r="AG99" s="183">
        <f>SUMIFS('май 2025'!$G$5:$G$2466,'май 2025'!$D$5:$D$2466,$B99,'май 2025'!$J$5:$J$2466,AG$1)</f>
        <v>0</v>
      </c>
      <c r="AH99" s="183">
        <f>SUMIFS('май 2025'!$G$5:$G$2466,'май 2025'!$D$5:$D$2466,$B99,'май 2025'!$J$5:$J$2466,AH$1)</f>
        <v>0</v>
      </c>
      <c r="AI99" s="20">
        <f t="shared" si="1"/>
        <v>0</v>
      </c>
    </row>
    <row r="100" spans="2:35" ht="15" customHeight="1" x14ac:dyDescent="0.25">
      <c r="B100" s="88" t="s">
        <v>258</v>
      </c>
      <c r="C100" s="86">
        <v>180</v>
      </c>
      <c r="D100" s="183">
        <f>SUMIFS('май 2025'!$G$5:$G$2466,'май 2025'!$D$5:$D$2466,$B100,'май 2025'!$J$5:$J$2466,D$1)</f>
        <v>0</v>
      </c>
      <c r="E100" s="183">
        <f>SUMIFS('май 2025'!$G$5:$G$2466,'май 2025'!$D$5:$D$2466,$B100,'май 2025'!$J$5:$J$2466,E$1)</f>
        <v>0</v>
      </c>
      <c r="F100" s="183">
        <f>SUMIFS('май 2025'!$G$5:$G$2466,'май 2025'!$D$5:$D$2466,$B100,'май 2025'!$J$5:$J$2466,F$1)</f>
        <v>0</v>
      </c>
      <c r="G100" s="183">
        <f>SUMIFS('май 2025'!$G$5:$G$2466,'май 2025'!$D$5:$D$2466,$B100,'май 2025'!$J$5:$J$2466,G$1)</f>
        <v>0</v>
      </c>
      <c r="H100" s="183">
        <f>SUMIFS('май 2025'!$G$5:$G$2466,'май 2025'!$D$5:$D$2466,$B100,'май 2025'!$J$5:$J$2466,H$1)</f>
        <v>0</v>
      </c>
      <c r="I100" s="183">
        <f>SUMIFS('май 2025'!$G$5:$G$2466,'май 2025'!$D$5:$D$2466,$B100,'май 2025'!$J$5:$J$2466,I$1)</f>
        <v>0</v>
      </c>
      <c r="J100" s="183">
        <f>SUMIFS('май 2025'!$G$5:$G$2466,'май 2025'!$D$5:$D$2466,$B100,'май 2025'!$J$5:$J$2466,J$1)</f>
        <v>0</v>
      </c>
      <c r="K100" s="183">
        <f>SUMIFS('май 2025'!$G$5:$G$2466,'май 2025'!$D$5:$D$2466,$B100,'май 2025'!$J$5:$J$2466,K$1)</f>
        <v>0</v>
      </c>
      <c r="L100" s="183">
        <f>SUMIFS('май 2025'!$G$5:$G$2466,'май 2025'!$D$5:$D$2466,$B100,'май 2025'!$J$5:$J$2466,L$1)</f>
        <v>0</v>
      </c>
      <c r="M100" s="183">
        <f>SUMIFS('май 2025'!$G$5:$G$2466,'май 2025'!$D$5:$D$2466,$B100,'май 2025'!$J$5:$J$2466,M$1)</f>
        <v>0</v>
      </c>
      <c r="N100" s="183">
        <f>SUMIFS('май 2025'!$G$5:$G$2466,'май 2025'!$D$5:$D$2466,$B100,'май 2025'!$J$5:$J$2466,N$1)</f>
        <v>0</v>
      </c>
      <c r="O100" s="183">
        <f>SUMIFS('май 2025'!$G$5:$G$2466,'май 2025'!$D$5:$D$2466,$B100,'май 2025'!$J$5:$J$2466,O$1)</f>
        <v>0</v>
      </c>
      <c r="P100" s="183">
        <f>SUMIFS('май 2025'!$G$5:$G$2466,'май 2025'!$D$5:$D$2466,$B100,'май 2025'!$J$5:$J$2466,P$1)</f>
        <v>0</v>
      </c>
      <c r="Q100" s="183">
        <f>SUMIFS('май 2025'!$G$5:$G$2466,'май 2025'!$D$5:$D$2466,$B100,'май 2025'!$J$5:$J$2466,Q$1)</f>
        <v>0</v>
      </c>
      <c r="R100" s="183">
        <f>SUMIFS('май 2025'!$G$5:$G$2466,'май 2025'!$D$5:$D$2466,$B100,'май 2025'!$J$5:$J$2466,R$1)</f>
        <v>0</v>
      </c>
      <c r="S100" s="183">
        <f>SUMIFS('май 2025'!$G$5:$G$2466,'май 2025'!$D$5:$D$2466,$B100,'май 2025'!$J$5:$J$2466,S$1)</f>
        <v>0</v>
      </c>
      <c r="T100" s="183">
        <f>SUMIFS('май 2025'!$G$5:$G$2466,'май 2025'!$D$5:$D$2466,$B100,'май 2025'!$J$5:$J$2466,T$1)</f>
        <v>0</v>
      </c>
      <c r="U100" s="183">
        <f>SUMIFS('май 2025'!$G$5:$G$2466,'май 2025'!$D$5:$D$2466,$B100,'май 2025'!$J$5:$J$2466,U$1)</f>
        <v>0</v>
      </c>
      <c r="V100" s="183">
        <f>SUMIFS('май 2025'!$G$5:$G$2466,'май 2025'!$D$5:$D$2466,$B100,'май 2025'!$J$5:$J$2466,V$1)</f>
        <v>0</v>
      </c>
      <c r="W100" s="183">
        <f>SUMIFS('май 2025'!$G$5:$G$2466,'май 2025'!$D$5:$D$2466,$B100,'май 2025'!$J$5:$J$2466,W$1)</f>
        <v>0</v>
      </c>
      <c r="X100" s="183">
        <f>SUMIFS('май 2025'!$G$5:$G$2466,'май 2025'!$D$5:$D$2466,$B100,'май 2025'!$J$5:$J$2466,X$1)</f>
        <v>0</v>
      </c>
      <c r="Y100" s="183">
        <f>SUMIFS('май 2025'!$G$5:$G$2466,'май 2025'!$D$5:$D$2466,$B100,'май 2025'!$J$5:$J$2466,Y$1)</f>
        <v>0</v>
      </c>
      <c r="Z100" s="183">
        <f>SUMIFS('май 2025'!$G$5:$G$2466,'май 2025'!$D$5:$D$2466,$B100,'май 2025'!$J$5:$J$2466,Z$1)</f>
        <v>0</v>
      </c>
      <c r="AA100" s="183">
        <f>SUMIFS('май 2025'!$G$5:$G$2466,'май 2025'!$D$5:$D$2466,$B100,'май 2025'!$J$5:$J$2466,AA$1)</f>
        <v>0</v>
      </c>
      <c r="AB100" s="183">
        <f>SUMIFS('май 2025'!$G$5:$G$2466,'май 2025'!$D$5:$D$2466,$B100,'май 2025'!$J$5:$J$2466,AB$1)</f>
        <v>0</v>
      </c>
      <c r="AC100" s="183">
        <f>SUMIFS('май 2025'!$G$5:$G$2466,'май 2025'!$D$5:$D$2466,$B100,'май 2025'!$J$5:$J$2466,AC$1)</f>
        <v>0</v>
      </c>
      <c r="AD100" s="183">
        <f>SUMIFS('май 2025'!$G$5:$G$2466,'май 2025'!$D$5:$D$2466,$B100,'май 2025'!$J$5:$J$2466,AD$1)</f>
        <v>0</v>
      </c>
      <c r="AE100" s="183">
        <f>SUMIFS('май 2025'!$G$5:$G$2466,'май 2025'!$D$5:$D$2466,$B100,'май 2025'!$J$5:$J$2466,AE$1)</f>
        <v>0</v>
      </c>
      <c r="AF100" s="183">
        <f>SUMIFS('май 2025'!$G$5:$G$2466,'май 2025'!$D$5:$D$2466,$B100,'май 2025'!$J$5:$J$2466,AF$1)</f>
        <v>0</v>
      </c>
      <c r="AG100" s="183">
        <f>SUMIFS('май 2025'!$G$5:$G$2466,'май 2025'!$D$5:$D$2466,$B100,'май 2025'!$J$5:$J$2466,AG$1)</f>
        <v>0</v>
      </c>
      <c r="AH100" s="183">
        <f>SUMIFS('май 2025'!$G$5:$G$2466,'май 2025'!$D$5:$D$2466,$B100,'май 2025'!$J$5:$J$2466,AH$1)</f>
        <v>0</v>
      </c>
      <c r="AI100" s="20">
        <f t="shared" si="1"/>
        <v>0</v>
      </c>
    </row>
    <row r="101" spans="2:35" ht="15" customHeight="1" x14ac:dyDescent="0.25">
      <c r="B101" s="88" t="s">
        <v>259</v>
      </c>
      <c r="C101" s="86">
        <v>180</v>
      </c>
      <c r="D101" s="183">
        <f>SUMIFS('май 2025'!$G$5:$G$2466,'май 2025'!$D$5:$D$2466,$B101,'май 2025'!$J$5:$J$2466,D$1)</f>
        <v>0</v>
      </c>
      <c r="E101" s="183">
        <f>SUMIFS('май 2025'!$G$5:$G$2466,'май 2025'!$D$5:$D$2466,$B101,'май 2025'!$J$5:$J$2466,E$1)</f>
        <v>0</v>
      </c>
      <c r="F101" s="183">
        <f>SUMIFS('май 2025'!$G$5:$G$2466,'май 2025'!$D$5:$D$2466,$B101,'май 2025'!$J$5:$J$2466,F$1)</f>
        <v>0</v>
      </c>
      <c r="G101" s="183">
        <f>SUMIFS('май 2025'!$G$5:$G$2466,'май 2025'!$D$5:$D$2466,$B101,'май 2025'!$J$5:$J$2466,G$1)</f>
        <v>0</v>
      </c>
      <c r="H101" s="183">
        <f>SUMIFS('май 2025'!$G$5:$G$2466,'май 2025'!$D$5:$D$2466,$B101,'май 2025'!$J$5:$J$2466,H$1)</f>
        <v>0</v>
      </c>
      <c r="I101" s="183">
        <f>SUMIFS('май 2025'!$G$5:$G$2466,'май 2025'!$D$5:$D$2466,$B101,'май 2025'!$J$5:$J$2466,I$1)</f>
        <v>0</v>
      </c>
      <c r="J101" s="183">
        <f>SUMIFS('май 2025'!$G$5:$G$2466,'май 2025'!$D$5:$D$2466,$B101,'май 2025'!$J$5:$J$2466,J$1)</f>
        <v>0</v>
      </c>
      <c r="K101" s="183">
        <f>SUMIFS('май 2025'!$G$5:$G$2466,'май 2025'!$D$5:$D$2466,$B101,'май 2025'!$J$5:$J$2466,K$1)</f>
        <v>0</v>
      </c>
      <c r="L101" s="183">
        <f>SUMIFS('май 2025'!$G$5:$G$2466,'май 2025'!$D$5:$D$2466,$B101,'май 2025'!$J$5:$J$2466,L$1)</f>
        <v>0</v>
      </c>
      <c r="M101" s="183">
        <f>SUMIFS('май 2025'!$G$5:$G$2466,'май 2025'!$D$5:$D$2466,$B101,'май 2025'!$J$5:$J$2466,M$1)</f>
        <v>0</v>
      </c>
      <c r="N101" s="183">
        <f>SUMIFS('май 2025'!$G$5:$G$2466,'май 2025'!$D$5:$D$2466,$B101,'май 2025'!$J$5:$J$2466,N$1)</f>
        <v>0</v>
      </c>
      <c r="O101" s="183">
        <f>SUMIFS('май 2025'!$G$5:$G$2466,'май 2025'!$D$5:$D$2466,$B101,'май 2025'!$J$5:$J$2466,O$1)</f>
        <v>0</v>
      </c>
      <c r="P101" s="183">
        <f>SUMIFS('май 2025'!$G$5:$G$2466,'май 2025'!$D$5:$D$2466,$B101,'май 2025'!$J$5:$J$2466,P$1)</f>
        <v>0</v>
      </c>
      <c r="Q101" s="183">
        <f>SUMIFS('май 2025'!$G$5:$G$2466,'май 2025'!$D$5:$D$2466,$B101,'май 2025'!$J$5:$J$2466,Q$1)</f>
        <v>0</v>
      </c>
      <c r="R101" s="183">
        <f>SUMIFS('май 2025'!$G$5:$G$2466,'май 2025'!$D$5:$D$2466,$B101,'май 2025'!$J$5:$J$2466,R$1)</f>
        <v>0</v>
      </c>
      <c r="S101" s="183">
        <f>SUMIFS('май 2025'!$G$5:$G$2466,'май 2025'!$D$5:$D$2466,$B101,'май 2025'!$J$5:$J$2466,S$1)</f>
        <v>0</v>
      </c>
      <c r="T101" s="183">
        <f>SUMIFS('май 2025'!$G$5:$G$2466,'май 2025'!$D$5:$D$2466,$B101,'май 2025'!$J$5:$J$2466,T$1)</f>
        <v>0</v>
      </c>
      <c r="U101" s="183">
        <f>SUMIFS('май 2025'!$G$5:$G$2466,'май 2025'!$D$5:$D$2466,$B101,'май 2025'!$J$5:$J$2466,U$1)</f>
        <v>0</v>
      </c>
      <c r="V101" s="183">
        <f>SUMIFS('май 2025'!$G$5:$G$2466,'май 2025'!$D$5:$D$2466,$B101,'май 2025'!$J$5:$J$2466,V$1)</f>
        <v>0</v>
      </c>
      <c r="W101" s="183">
        <f>SUMIFS('май 2025'!$G$5:$G$2466,'май 2025'!$D$5:$D$2466,$B101,'май 2025'!$J$5:$J$2466,W$1)</f>
        <v>0</v>
      </c>
      <c r="X101" s="183">
        <f>SUMIFS('май 2025'!$G$5:$G$2466,'май 2025'!$D$5:$D$2466,$B101,'май 2025'!$J$5:$J$2466,X$1)</f>
        <v>0</v>
      </c>
      <c r="Y101" s="183">
        <f>SUMIFS('май 2025'!$G$5:$G$2466,'май 2025'!$D$5:$D$2466,$B101,'май 2025'!$J$5:$J$2466,Y$1)</f>
        <v>0</v>
      </c>
      <c r="Z101" s="183">
        <f>SUMIFS('май 2025'!$G$5:$G$2466,'май 2025'!$D$5:$D$2466,$B101,'май 2025'!$J$5:$J$2466,Z$1)</f>
        <v>0</v>
      </c>
      <c r="AA101" s="183">
        <f>SUMIFS('май 2025'!$G$5:$G$2466,'май 2025'!$D$5:$D$2466,$B101,'май 2025'!$J$5:$J$2466,AA$1)</f>
        <v>0</v>
      </c>
      <c r="AB101" s="183">
        <f>SUMIFS('май 2025'!$G$5:$G$2466,'май 2025'!$D$5:$D$2466,$B101,'май 2025'!$J$5:$J$2466,AB$1)</f>
        <v>0</v>
      </c>
      <c r="AC101" s="183">
        <f>SUMIFS('май 2025'!$G$5:$G$2466,'май 2025'!$D$5:$D$2466,$B101,'май 2025'!$J$5:$J$2466,AC$1)</f>
        <v>0</v>
      </c>
      <c r="AD101" s="183">
        <f>SUMIFS('май 2025'!$G$5:$G$2466,'май 2025'!$D$5:$D$2466,$B101,'май 2025'!$J$5:$J$2466,AD$1)</f>
        <v>0</v>
      </c>
      <c r="AE101" s="183">
        <f>SUMIFS('май 2025'!$G$5:$G$2466,'май 2025'!$D$5:$D$2466,$B101,'май 2025'!$J$5:$J$2466,AE$1)</f>
        <v>0</v>
      </c>
      <c r="AF101" s="183">
        <f>SUMIFS('май 2025'!$G$5:$G$2466,'май 2025'!$D$5:$D$2466,$B101,'май 2025'!$J$5:$J$2466,AF$1)</f>
        <v>0</v>
      </c>
      <c r="AG101" s="183">
        <f>SUMIFS('май 2025'!$G$5:$G$2466,'май 2025'!$D$5:$D$2466,$B101,'май 2025'!$J$5:$J$2466,AG$1)</f>
        <v>0</v>
      </c>
      <c r="AH101" s="183">
        <f>SUMIFS('май 2025'!$G$5:$G$2466,'май 2025'!$D$5:$D$2466,$B101,'май 2025'!$J$5:$J$2466,AH$1)</f>
        <v>0</v>
      </c>
      <c r="AI101" s="20">
        <f t="shared" si="1"/>
        <v>0</v>
      </c>
    </row>
    <row r="102" spans="2:35" ht="15" customHeight="1" x14ac:dyDescent="0.25">
      <c r="B102" s="88" t="s">
        <v>289</v>
      </c>
      <c r="C102" s="86">
        <v>20</v>
      </c>
      <c r="D102" s="183">
        <f>SUMIFS('май 2025'!$G$5:$G$2466,'май 2025'!$D$5:$D$2466,$B102,'май 2025'!$J$5:$J$2466,D$1)</f>
        <v>0</v>
      </c>
      <c r="E102" s="183">
        <f>SUMIFS('май 2025'!$G$5:$G$2466,'май 2025'!$D$5:$D$2466,$B102,'май 2025'!$J$5:$J$2466,E$1)</f>
        <v>0</v>
      </c>
      <c r="F102" s="183">
        <f>SUMIFS('май 2025'!$G$5:$G$2466,'май 2025'!$D$5:$D$2466,$B102,'май 2025'!$J$5:$J$2466,F$1)</f>
        <v>0</v>
      </c>
      <c r="G102" s="183">
        <f>SUMIFS('май 2025'!$G$5:$G$2466,'май 2025'!$D$5:$D$2466,$B102,'май 2025'!$J$5:$J$2466,G$1)</f>
        <v>0</v>
      </c>
      <c r="H102" s="183">
        <f>SUMIFS('май 2025'!$G$5:$G$2466,'май 2025'!$D$5:$D$2466,$B102,'май 2025'!$J$5:$J$2466,H$1)</f>
        <v>0</v>
      </c>
      <c r="I102" s="183">
        <f>SUMIFS('май 2025'!$G$5:$G$2466,'май 2025'!$D$5:$D$2466,$B102,'май 2025'!$J$5:$J$2466,I$1)</f>
        <v>0</v>
      </c>
      <c r="J102" s="183">
        <f>SUMIFS('май 2025'!$G$5:$G$2466,'май 2025'!$D$5:$D$2466,$B102,'май 2025'!$J$5:$J$2466,J$1)</f>
        <v>0</v>
      </c>
      <c r="K102" s="183">
        <f>SUMIFS('май 2025'!$G$5:$G$2466,'май 2025'!$D$5:$D$2466,$B102,'май 2025'!$J$5:$J$2466,K$1)</f>
        <v>0</v>
      </c>
      <c r="L102" s="183">
        <f>SUMIFS('май 2025'!$G$5:$G$2466,'май 2025'!$D$5:$D$2466,$B102,'май 2025'!$J$5:$J$2466,L$1)</f>
        <v>0</v>
      </c>
      <c r="M102" s="183">
        <f>SUMIFS('май 2025'!$G$5:$G$2466,'май 2025'!$D$5:$D$2466,$B102,'май 2025'!$J$5:$J$2466,M$1)</f>
        <v>0</v>
      </c>
      <c r="N102" s="183">
        <f>SUMIFS('май 2025'!$G$5:$G$2466,'май 2025'!$D$5:$D$2466,$B102,'май 2025'!$J$5:$J$2466,N$1)</f>
        <v>0</v>
      </c>
      <c r="O102" s="183">
        <f>SUMIFS('май 2025'!$G$5:$G$2466,'май 2025'!$D$5:$D$2466,$B102,'май 2025'!$J$5:$J$2466,O$1)</f>
        <v>0</v>
      </c>
      <c r="P102" s="183">
        <f>SUMIFS('май 2025'!$G$5:$G$2466,'май 2025'!$D$5:$D$2466,$B102,'май 2025'!$J$5:$J$2466,P$1)</f>
        <v>0</v>
      </c>
      <c r="Q102" s="183">
        <f>SUMIFS('май 2025'!$G$5:$G$2466,'май 2025'!$D$5:$D$2466,$B102,'май 2025'!$J$5:$J$2466,Q$1)</f>
        <v>0</v>
      </c>
      <c r="R102" s="183">
        <f>SUMIFS('май 2025'!$G$5:$G$2466,'май 2025'!$D$5:$D$2466,$B102,'май 2025'!$J$5:$J$2466,R$1)</f>
        <v>0</v>
      </c>
      <c r="S102" s="183">
        <f>SUMIFS('май 2025'!$G$5:$G$2466,'май 2025'!$D$5:$D$2466,$B102,'май 2025'!$J$5:$J$2466,S$1)</f>
        <v>0</v>
      </c>
      <c r="T102" s="183">
        <f>SUMIFS('май 2025'!$G$5:$G$2466,'май 2025'!$D$5:$D$2466,$B102,'май 2025'!$J$5:$J$2466,T$1)</f>
        <v>0</v>
      </c>
      <c r="U102" s="183">
        <f>SUMIFS('май 2025'!$G$5:$G$2466,'май 2025'!$D$5:$D$2466,$B102,'май 2025'!$J$5:$J$2466,U$1)</f>
        <v>0</v>
      </c>
      <c r="V102" s="183">
        <f>SUMIFS('май 2025'!$G$5:$G$2466,'май 2025'!$D$5:$D$2466,$B102,'май 2025'!$J$5:$J$2466,V$1)</f>
        <v>0</v>
      </c>
      <c r="W102" s="183">
        <f>SUMIFS('май 2025'!$G$5:$G$2466,'май 2025'!$D$5:$D$2466,$B102,'май 2025'!$J$5:$J$2466,W$1)</f>
        <v>0</v>
      </c>
      <c r="X102" s="183">
        <f>SUMIFS('май 2025'!$G$5:$G$2466,'май 2025'!$D$5:$D$2466,$B102,'май 2025'!$J$5:$J$2466,X$1)</f>
        <v>0</v>
      </c>
      <c r="Y102" s="183">
        <f>SUMIFS('май 2025'!$G$5:$G$2466,'май 2025'!$D$5:$D$2466,$B102,'май 2025'!$J$5:$J$2466,Y$1)</f>
        <v>0</v>
      </c>
      <c r="Z102" s="183">
        <f>SUMIFS('май 2025'!$G$5:$G$2466,'май 2025'!$D$5:$D$2466,$B102,'май 2025'!$J$5:$J$2466,Z$1)</f>
        <v>0</v>
      </c>
      <c r="AA102" s="183">
        <f>SUMIFS('май 2025'!$G$5:$G$2466,'май 2025'!$D$5:$D$2466,$B102,'май 2025'!$J$5:$J$2466,AA$1)</f>
        <v>0</v>
      </c>
      <c r="AB102" s="183">
        <f>SUMIFS('май 2025'!$G$5:$G$2466,'май 2025'!$D$5:$D$2466,$B102,'май 2025'!$J$5:$J$2466,AB$1)</f>
        <v>0</v>
      </c>
      <c r="AC102" s="183">
        <f>SUMIFS('май 2025'!$G$5:$G$2466,'май 2025'!$D$5:$D$2466,$B102,'май 2025'!$J$5:$J$2466,AC$1)</f>
        <v>0</v>
      </c>
      <c r="AD102" s="183">
        <f>SUMIFS('май 2025'!$G$5:$G$2466,'май 2025'!$D$5:$D$2466,$B102,'май 2025'!$J$5:$J$2466,AD$1)</f>
        <v>0</v>
      </c>
      <c r="AE102" s="183">
        <f>SUMIFS('май 2025'!$G$5:$G$2466,'май 2025'!$D$5:$D$2466,$B102,'май 2025'!$J$5:$J$2466,AE$1)</f>
        <v>0</v>
      </c>
      <c r="AF102" s="183">
        <f>SUMIFS('май 2025'!$G$5:$G$2466,'май 2025'!$D$5:$D$2466,$B102,'май 2025'!$J$5:$J$2466,AF$1)</f>
        <v>0</v>
      </c>
      <c r="AG102" s="183">
        <f>SUMIFS('май 2025'!$G$5:$G$2466,'май 2025'!$D$5:$D$2466,$B102,'май 2025'!$J$5:$J$2466,AG$1)</f>
        <v>0</v>
      </c>
      <c r="AH102" s="183">
        <f>SUMIFS('май 2025'!$G$5:$G$2466,'май 2025'!$D$5:$D$2466,$B102,'май 2025'!$J$5:$J$2466,AH$1)</f>
        <v>0</v>
      </c>
      <c r="AI102" s="20">
        <f t="shared" si="1"/>
        <v>0</v>
      </c>
    </row>
    <row r="103" spans="2:35" ht="15" customHeight="1" x14ac:dyDescent="0.25">
      <c r="B103" s="88" t="s">
        <v>315</v>
      </c>
      <c r="C103" s="86">
        <v>25</v>
      </c>
      <c r="D103" s="183">
        <f>SUMIFS('май 2025'!$G$5:$G$2466,'май 2025'!$D$5:$D$2466,$B103,'май 2025'!$J$5:$J$2466,D$1)</f>
        <v>0</v>
      </c>
      <c r="E103" s="183">
        <f>SUMIFS('май 2025'!$G$5:$G$2466,'май 2025'!$D$5:$D$2466,$B103,'май 2025'!$J$5:$J$2466,E$1)</f>
        <v>0</v>
      </c>
      <c r="F103" s="183">
        <f>SUMIFS('май 2025'!$G$5:$G$2466,'май 2025'!$D$5:$D$2466,$B103,'май 2025'!$J$5:$J$2466,F$1)</f>
        <v>0</v>
      </c>
      <c r="G103" s="183">
        <f>SUMIFS('май 2025'!$G$5:$G$2466,'май 2025'!$D$5:$D$2466,$B103,'май 2025'!$J$5:$J$2466,G$1)</f>
        <v>0</v>
      </c>
      <c r="H103" s="183">
        <f>SUMIFS('май 2025'!$G$5:$G$2466,'май 2025'!$D$5:$D$2466,$B103,'май 2025'!$J$5:$J$2466,H$1)</f>
        <v>0</v>
      </c>
      <c r="I103" s="183">
        <f>SUMIFS('май 2025'!$G$5:$G$2466,'май 2025'!$D$5:$D$2466,$B103,'май 2025'!$J$5:$J$2466,I$1)</f>
        <v>0</v>
      </c>
      <c r="J103" s="183">
        <f>SUMIFS('май 2025'!$G$5:$G$2466,'май 2025'!$D$5:$D$2466,$B103,'май 2025'!$J$5:$J$2466,J$1)</f>
        <v>0</v>
      </c>
      <c r="K103" s="183">
        <f>SUMIFS('май 2025'!$G$5:$G$2466,'май 2025'!$D$5:$D$2466,$B103,'май 2025'!$J$5:$J$2466,K$1)</f>
        <v>0</v>
      </c>
      <c r="L103" s="183">
        <f>SUMIFS('май 2025'!$G$5:$G$2466,'май 2025'!$D$5:$D$2466,$B103,'май 2025'!$J$5:$J$2466,L$1)</f>
        <v>0</v>
      </c>
      <c r="M103" s="183">
        <f>SUMIFS('май 2025'!$G$5:$G$2466,'май 2025'!$D$5:$D$2466,$B103,'май 2025'!$J$5:$J$2466,M$1)</f>
        <v>0</v>
      </c>
      <c r="N103" s="183">
        <f>SUMIFS('май 2025'!$G$5:$G$2466,'май 2025'!$D$5:$D$2466,$B103,'май 2025'!$J$5:$J$2466,N$1)</f>
        <v>0</v>
      </c>
      <c r="O103" s="183">
        <f>SUMIFS('май 2025'!$G$5:$G$2466,'май 2025'!$D$5:$D$2466,$B103,'май 2025'!$J$5:$J$2466,O$1)</f>
        <v>0</v>
      </c>
      <c r="P103" s="183">
        <f>SUMIFS('май 2025'!$G$5:$G$2466,'май 2025'!$D$5:$D$2466,$B103,'май 2025'!$J$5:$J$2466,P$1)</f>
        <v>0</v>
      </c>
      <c r="Q103" s="183">
        <f>SUMIFS('май 2025'!$G$5:$G$2466,'май 2025'!$D$5:$D$2466,$B103,'май 2025'!$J$5:$J$2466,Q$1)</f>
        <v>0</v>
      </c>
      <c r="R103" s="183">
        <f>SUMIFS('май 2025'!$G$5:$G$2466,'май 2025'!$D$5:$D$2466,$B103,'май 2025'!$J$5:$J$2466,R$1)</f>
        <v>0</v>
      </c>
      <c r="S103" s="183">
        <f>SUMIFS('май 2025'!$G$5:$G$2466,'май 2025'!$D$5:$D$2466,$B103,'май 2025'!$J$5:$J$2466,S$1)</f>
        <v>0</v>
      </c>
      <c r="T103" s="183">
        <f>SUMIFS('май 2025'!$G$5:$G$2466,'май 2025'!$D$5:$D$2466,$B103,'май 2025'!$J$5:$J$2466,T$1)</f>
        <v>0</v>
      </c>
      <c r="U103" s="183">
        <f>SUMIFS('май 2025'!$G$5:$G$2466,'май 2025'!$D$5:$D$2466,$B103,'май 2025'!$J$5:$J$2466,U$1)</f>
        <v>0</v>
      </c>
      <c r="V103" s="183">
        <f>SUMIFS('май 2025'!$G$5:$G$2466,'май 2025'!$D$5:$D$2466,$B103,'май 2025'!$J$5:$J$2466,V$1)</f>
        <v>0</v>
      </c>
      <c r="W103" s="183">
        <f>SUMIFS('май 2025'!$G$5:$G$2466,'май 2025'!$D$5:$D$2466,$B103,'май 2025'!$J$5:$J$2466,W$1)</f>
        <v>0</v>
      </c>
      <c r="X103" s="183">
        <f>SUMIFS('май 2025'!$G$5:$G$2466,'май 2025'!$D$5:$D$2466,$B103,'май 2025'!$J$5:$J$2466,X$1)</f>
        <v>0</v>
      </c>
      <c r="Y103" s="183">
        <f>SUMIFS('май 2025'!$G$5:$G$2466,'май 2025'!$D$5:$D$2466,$B103,'май 2025'!$J$5:$J$2466,Y$1)</f>
        <v>0</v>
      </c>
      <c r="Z103" s="183">
        <f>SUMIFS('май 2025'!$G$5:$G$2466,'май 2025'!$D$5:$D$2466,$B103,'май 2025'!$J$5:$J$2466,Z$1)</f>
        <v>0</v>
      </c>
      <c r="AA103" s="183">
        <f>SUMIFS('май 2025'!$G$5:$G$2466,'май 2025'!$D$5:$D$2466,$B103,'май 2025'!$J$5:$J$2466,AA$1)</f>
        <v>0</v>
      </c>
      <c r="AB103" s="183">
        <f>SUMIFS('май 2025'!$G$5:$G$2466,'май 2025'!$D$5:$D$2466,$B103,'май 2025'!$J$5:$J$2466,AB$1)</f>
        <v>0</v>
      </c>
      <c r="AC103" s="183">
        <f>SUMIFS('май 2025'!$G$5:$G$2466,'май 2025'!$D$5:$D$2466,$B103,'май 2025'!$J$5:$J$2466,AC$1)</f>
        <v>0</v>
      </c>
      <c r="AD103" s="183">
        <f>SUMIFS('май 2025'!$G$5:$G$2466,'май 2025'!$D$5:$D$2466,$B103,'май 2025'!$J$5:$J$2466,AD$1)</f>
        <v>0</v>
      </c>
      <c r="AE103" s="183">
        <f>SUMIFS('май 2025'!$G$5:$G$2466,'май 2025'!$D$5:$D$2466,$B103,'май 2025'!$J$5:$J$2466,AE$1)</f>
        <v>0</v>
      </c>
      <c r="AF103" s="183">
        <f>SUMIFS('май 2025'!$G$5:$G$2466,'май 2025'!$D$5:$D$2466,$B103,'май 2025'!$J$5:$J$2466,AF$1)</f>
        <v>0</v>
      </c>
      <c r="AG103" s="183">
        <f>SUMIFS('май 2025'!$G$5:$G$2466,'май 2025'!$D$5:$D$2466,$B103,'май 2025'!$J$5:$J$2466,AG$1)</f>
        <v>0</v>
      </c>
      <c r="AH103" s="183">
        <f>SUMIFS('май 2025'!$G$5:$G$2466,'май 2025'!$D$5:$D$2466,$B103,'май 2025'!$J$5:$J$2466,AH$1)</f>
        <v>0</v>
      </c>
      <c r="AI103" s="20">
        <f t="shared" si="1"/>
        <v>0</v>
      </c>
    </row>
    <row r="104" spans="2:35" ht="15" customHeight="1" x14ac:dyDescent="0.25">
      <c r="B104" s="88" t="s">
        <v>385</v>
      </c>
      <c r="C104" s="86">
        <v>28</v>
      </c>
      <c r="D104" s="183">
        <f>SUMIFS('май 2025'!$G$5:$G$2466,'май 2025'!$D$5:$D$2466,$B104,'май 2025'!$J$5:$J$2466,D$1)</f>
        <v>0</v>
      </c>
      <c r="E104" s="183">
        <f>SUMIFS('май 2025'!$G$5:$G$2466,'май 2025'!$D$5:$D$2466,$B104,'май 2025'!$J$5:$J$2466,E$1)</f>
        <v>0</v>
      </c>
      <c r="F104" s="183">
        <f>SUMIFS('май 2025'!$G$5:$G$2466,'май 2025'!$D$5:$D$2466,$B104,'май 2025'!$J$5:$J$2466,F$1)</f>
        <v>0</v>
      </c>
      <c r="G104" s="183">
        <f>SUMIFS('май 2025'!$G$5:$G$2466,'май 2025'!$D$5:$D$2466,$B104,'май 2025'!$J$5:$J$2466,G$1)</f>
        <v>0</v>
      </c>
      <c r="H104" s="183">
        <f>SUMIFS('май 2025'!$G$5:$G$2466,'май 2025'!$D$5:$D$2466,$B104,'май 2025'!$J$5:$J$2466,H$1)</f>
        <v>0</v>
      </c>
      <c r="I104" s="183">
        <f>SUMIFS('май 2025'!$G$5:$G$2466,'май 2025'!$D$5:$D$2466,$B104,'май 2025'!$J$5:$J$2466,I$1)</f>
        <v>0</v>
      </c>
      <c r="J104" s="183">
        <f>SUMIFS('май 2025'!$G$5:$G$2466,'май 2025'!$D$5:$D$2466,$B104,'май 2025'!$J$5:$J$2466,J$1)</f>
        <v>0</v>
      </c>
      <c r="K104" s="183">
        <f>SUMIFS('май 2025'!$G$5:$G$2466,'май 2025'!$D$5:$D$2466,$B104,'май 2025'!$J$5:$J$2466,K$1)</f>
        <v>0</v>
      </c>
      <c r="L104" s="183">
        <f>SUMIFS('май 2025'!$G$5:$G$2466,'май 2025'!$D$5:$D$2466,$B104,'май 2025'!$J$5:$J$2466,L$1)</f>
        <v>0</v>
      </c>
      <c r="M104" s="183">
        <f>SUMIFS('май 2025'!$G$5:$G$2466,'май 2025'!$D$5:$D$2466,$B104,'май 2025'!$J$5:$J$2466,M$1)</f>
        <v>0</v>
      </c>
      <c r="N104" s="183">
        <f>SUMIFS('май 2025'!$G$5:$G$2466,'май 2025'!$D$5:$D$2466,$B104,'май 2025'!$J$5:$J$2466,N$1)</f>
        <v>0</v>
      </c>
      <c r="O104" s="183">
        <f>SUMIFS('май 2025'!$G$5:$G$2466,'май 2025'!$D$5:$D$2466,$B104,'май 2025'!$J$5:$J$2466,O$1)</f>
        <v>0</v>
      </c>
      <c r="P104" s="183">
        <f>SUMIFS('май 2025'!$G$5:$G$2466,'май 2025'!$D$5:$D$2466,$B104,'май 2025'!$J$5:$J$2466,P$1)</f>
        <v>0</v>
      </c>
      <c r="Q104" s="183">
        <f>SUMIFS('май 2025'!$G$5:$G$2466,'май 2025'!$D$5:$D$2466,$B104,'май 2025'!$J$5:$J$2466,Q$1)</f>
        <v>0</v>
      </c>
      <c r="R104" s="183">
        <f>SUMIFS('май 2025'!$G$5:$G$2466,'май 2025'!$D$5:$D$2466,$B104,'май 2025'!$J$5:$J$2466,R$1)</f>
        <v>0</v>
      </c>
      <c r="S104" s="183">
        <f>SUMIFS('май 2025'!$G$5:$G$2466,'май 2025'!$D$5:$D$2466,$B104,'май 2025'!$J$5:$J$2466,S$1)</f>
        <v>0</v>
      </c>
      <c r="T104" s="183">
        <f>SUMIFS('май 2025'!$G$5:$G$2466,'май 2025'!$D$5:$D$2466,$B104,'май 2025'!$J$5:$J$2466,T$1)</f>
        <v>0</v>
      </c>
      <c r="U104" s="183">
        <f>SUMIFS('май 2025'!$G$5:$G$2466,'май 2025'!$D$5:$D$2466,$B104,'май 2025'!$J$5:$J$2466,U$1)</f>
        <v>0</v>
      </c>
      <c r="V104" s="183">
        <f>SUMIFS('май 2025'!$G$5:$G$2466,'май 2025'!$D$5:$D$2466,$B104,'май 2025'!$J$5:$J$2466,V$1)</f>
        <v>0</v>
      </c>
      <c r="W104" s="183">
        <f>SUMIFS('май 2025'!$G$5:$G$2466,'май 2025'!$D$5:$D$2466,$B104,'май 2025'!$J$5:$J$2466,W$1)</f>
        <v>0</v>
      </c>
      <c r="X104" s="183">
        <f>SUMIFS('май 2025'!$G$5:$G$2466,'май 2025'!$D$5:$D$2466,$B104,'май 2025'!$J$5:$J$2466,X$1)</f>
        <v>0</v>
      </c>
      <c r="Y104" s="183">
        <f>SUMIFS('май 2025'!$G$5:$G$2466,'май 2025'!$D$5:$D$2466,$B104,'май 2025'!$J$5:$J$2466,Y$1)</f>
        <v>0</v>
      </c>
      <c r="Z104" s="183">
        <f>SUMIFS('май 2025'!$G$5:$G$2466,'май 2025'!$D$5:$D$2466,$B104,'май 2025'!$J$5:$J$2466,Z$1)</f>
        <v>0</v>
      </c>
      <c r="AA104" s="183">
        <f>SUMIFS('май 2025'!$G$5:$G$2466,'май 2025'!$D$5:$D$2466,$B104,'май 2025'!$J$5:$J$2466,AA$1)</f>
        <v>0</v>
      </c>
      <c r="AB104" s="183">
        <f>SUMIFS('май 2025'!$G$5:$G$2466,'май 2025'!$D$5:$D$2466,$B104,'май 2025'!$J$5:$J$2466,AB$1)</f>
        <v>0</v>
      </c>
      <c r="AC104" s="183">
        <f>SUMIFS('май 2025'!$G$5:$G$2466,'май 2025'!$D$5:$D$2466,$B104,'май 2025'!$J$5:$J$2466,AC$1)</f>
        <v>0</v>
      </c>
      <c r="AD104" s="183">
        <f>SUMIFS('май 2025'!$G$5:$G$2466,'май 2025'!$D$5:$D$2466,$B104,'май 2025'!$J$5:$J$2466,AD$1)</f>
        <v>0</v>
      </c>
      <c r="AE104" s="183">
        <f>SUMIFS('май 2025'!$G$5:$G$2466,'май 2025'!$D$5:$D$2466,$B104,'май 2025'!$J$5:$J$2466,AE$1)</f>
        <v>0</v>
      </c>
      <c r="AF104" s="183">
        <f>SUMIFS('май 2025'!$G$5:$G$2466,'май 2025'!$D$5:$D$2466,$B104,'май 2025'!$J$5:$J$2466,AF$1)</f>
        <v>0</v>
      </c>
      <c r="AG104" s="183">
        <f>SUMIFS('май 2025'!$G$5:$G$2466,'май 2025'!$D$5:$D$2466,$B104,'май 2025'!$J$5:$J$2466,AG$1)</f>
        <v>0</v>
      </c>
      <c r="AH104" s="183">
        <f>SUMIFS('май 2025'!$G$5:$G$2466,'май 2025'!$D$5:$D$2466,$B104,'май 2025'!$J$5:$J$2466,AH$1)</f>
        <v>0</v>
      </c>
      <c r="AI104" s="20">
        <f t="shared" si="1"/>
        <v>0</v>
      </c>
    </row>
    <row r="105" spans="2:35" ht="15" customHeight="1" x14ac:dyDescent="0.25">
      <c r="B105" s="88" t="s">
        <v>193</v>
      </c>
      <c r="C105" s="86">
        <v>180</v>
      </c>
      <c r="D105" s="183">
        <f>SUMIFS('май 2025'!$G$5:$G$2466,'май 2025'!$D$5:$D$2466,$B105,'май 2025'!$J$5:$J$2466,D$1)</f>
        <v>0</v>
      </c>
      <c r="E105" s="183">
        <f>SUMIFS('май 2025'!$G$5:$G$2466,'май 2025'!$D$5:$D$2466,$B105,'май 2025'!$J$5:$J$2466,E$1)</f>
        <v>0</v>
      </c>
      <c r="F105" s="183">
        <f>SUMIFS('май 2025'!$G$5:$G$2466,'май 2025'!$D$5:$D$2466,$B105,'май 2025'!$J$5:$J$2466,F$1)</f>
        <v>0</v>
      </c>
      <c r="G105" s="183">
        <f>SUMIFS('май 2025'!$G$5:$G$2466,'май 2025'!$D$5:$D$2466,$B105,'май 2025'!$J$5:$J$2466,G$1)</f>
        <v>0</v>
      </c>
      <c r="H105" s="183">
        <f>SUMIFS('май 2025'!$G$5:$G$2466,'май 2025'!$D$5:$D$2466,$B105,'май 2025'!$J$5:$J$2466,H$1)</f>
        <v>0</v>
      </c>
      <c r="I105" s="183">
        <f>SUMIFS('май 2025'!$G$5:$G$2466,'май 2025'!$D$5:$D$2466,$B105,'май 2025'!$J$5:$J$2466,I$1)</f>
        <v>0</v>
      </c>
      <c r="J105" s="183">
        <f>SUMIFS('май 2025'!$G$5:$G$2466,'май 2025'!$D$5:$D$2466,$B105,'май 2025'!$J$5:$J$2466,J$1)</f>
        <v>0</v>
      </c>
      <c r="K105" s="183">
        <f>SUMIFS('май 2025'!$G$5:$G$2466,'май 2025'!$D$5:$D$2466,$B105,'май 2025'!$J$5:$J$2466,K$1)</f>
        <v>0</v>
      </c>
      <c r="L105" s="183">
        <f>SUMIFS('май 2025'!$G$5:$G$2466,'май 2025'!$D$5:$D$2466,$B105,'май 2025'!$J$5:$J$2466,L$1)</f>
        <v>0</v>
      </c>
      <c r="M105" s="183">
        <f>SUMIFS('май 2025'!$G$5:$G$2466,'май 2025'!$D$5:$D$2466,$B105,'май 2025'!$J$5:$J$2466,M$1)</f>
        <v>0</v>
      </c>
      <c r="N105" s="183">
        <f>SUMIFS('май 2025'!$G$5:$G$2466,'май 2025'!$D$5:$D$2466,$B105,'май 2025'!$J$5:$J$2466,N$1)</f>
        <v>0</v>
      </c>
      <c r="O105" s="183">
        <f>SUMIFS('май 2025'!$G$5:$G$2466,'май 2025'!$D$5:$D$2466,$B105,'май 2025'!$J$5:$J$2466,O$1)</f>
        <v>0</v>
      </c>
      <c r="P105" s="183">
        <f>SUMIFS('май 2025'!$G$5:$G$2466,'май 2025'!$D$5:$D$2466,$B105,'май 2025'!$J$5:$J$2466,P$1)</f>
        <v>0</v>
      </c>
      <c r="Q105" s="183">
        <f>SUMIFS('май 2025'!$G$5:$G$2466,'май 2025'!$D$5:$D$2466,$B105,'май 2025'!$J$5:$J$2466,Q$1)</f>
        <v>0</v>
      </c>
      <c r="R105" s="183">
        <f>SUMIFS('май 2025'!$G$5:$G$2466,'май 2025'!$D$5:$D$2466,$B105,'май 2025'!$J$5:$J$2466,R$1)</f>
        <v>0</v>
      </c>
      <c r="S105" s="183">
        <f>SUMIFS('май 2025'!$G$5:$G$2466,'май 2025'!$D$5:$D$2466,$B105,'май 2025'!$J$5:$J$2466,S$1)</f>
        <v>0</v>
      </c>
      <c r="T105" s="183">
        <f>SUMIFS('май 2025'!$G$5:$G$2466,'май 2025'!$D$5:$D$2466,$B105,'май 2025'!$J$5:$J$2466,T$1)</f>
        <v>0</v>
      </c>
      <c r="U105" s="183">
        <f>SUMIFS('май 2025'!$G$5:$G$2466,'май 2025'!$D$5:$D$2466,$B105,'май 2025'!$J$5:$J$2466,U$1)</f>
        <v>0</v>
      </c>
      <c r="V105" s="183">
        <f>SUMIFS('май 2025'!$G$5:$G$2466,'май 2025'!$D$5:$D$2466,$B105,'май 2025'!$J$5:$J$2466,V$1)</f>
        <v>0</v>
      </c>
      <c r="W105" s="183">
        <f>SUMIFS('май 2025'!$G$5:$G$2466,'май 2025'!$D$5:$D$2466,$B105,'май 2025'!$J$5:$J$2466,W$1)</f>
        <v>0</v>
      </c>
      <c r="X105" s="183">
        <f>SUMIFS('май 2025'!$G$5:$G$2466,'май 2025'!$D$5:$D$2466,$B105,'май 2025'!$J$5:$J$2466,X$1)</f>
        <v>0</v>
      </c>
      <c r="Y105" s="183">
        <f>SUMIFS('май 2025'!$G$5:$G$2466,'май 2025'!$D$5:$D$2466,$B105,'май 2025'!$J$5:$J$2466,Y$1)</f>
        <v>0</v>
      </c>
      <c r="Z105" s="183">
        <f>SUMIFS('май 2025'!$G$5:$G$2466,'май 2025'!$D$5:$D$2466,$B105,'май 2025'!$J$5:$J$2466,Z$1)</f>
        <v>0</v>
      </c>
      <c r="AA105" s="183">
        <f>SUMIFS('май 2025'!$G$5:$G$2466,'май 2025'!$D$5:$D$2466,$B105,'май 2025'!$J$5:$J$2466,AA$1)</f>
        <v>0</v>
      </c>
      <c r="AB105" s="183">
        <f>SUMIFS('май 2025'!$G$5:$G$2466,'май 2025'!$D$5:$D$2466,$B105,'май 2025'!$J$5:$J$2466,AB$1)</f>
        <v>0</v>
      </c>
      <c r="AC105" s="183">
        <f>SUMIFS('май 2025'!$G$5:$G$2466,'май 2025'!$D$5:$D$2466,$B105,'май 2025'!$J$5:$J$2466,AC$1)</f>
        <v>0</v>
      </c>
      <c r="AD105" s="183">
        <f>SUMIFS('май 2025'!$G$5:$G$2466,'май 2025'!$D$5:$D$2466,$B105,'май 2025'!$J$5:$J$2466,AD$1)</f>
        <v>0</v>
      </c>
      <c r="AE105" s="183">
        <f>SUMIFS('май 2025'!$G$5:$G$2466,'май 2025'!$D$5:$D$2466,$B105,'май 2025'!$J$5:$J$2466,AE$1)</f>
        <v>0</v>
      </c>
      <c r="AF105" s="183">
        <f>SUMIFS('май 2025'!$G$5:$G$2466,'май 2025'!$D$5:$D$2466,$B105,'май 2025'!$J$5:$J$2466,AF$1)</f>
        <v>0</v>
      </c>
      <c r="AG105" s="183">
        <f>SUMIFS('май 2025'!$G$5:$G$2466,'май 2025'!$D$5:$D$2466,$B105,'май 2025'!$J$5:$J$2466,AG$1)</f>
        <v>0</v>
      </c>
      <c r="AH105" s="183">
        <f>SUMIFS('май 2025'!$G$5:$G$2466,'май 2025'!$D$5:$D$2466,$B105,'май 2025'!$J$5:$J$2466,AH$1)</f>
        <v>0</v>
      </c>
      <c r="AI105" s="20">
        <f t="shared" si="1"/>
        <v>0</v>
      </c>
    </row>
    <row r="106" spans="2:35" ht="15" customHeight="1" x14ac:dyDescent="0.25">
      <c r="B106" s="84" t="s">
        <v>194</v>
      </c>
      <c r="C106" s="83">
        <v>200</v>
      </c>
      <c r="D106" s="183">
        <f>SUMIFS('май 2025'!$G$5:$G$2466,'май 2025'!$D$5:$D$2466,$B106,'май 2025'!$J$5:$J$2466,D$1)</f>
        <v>0</v>
      </c>
      <c r="E106" s="183">
        <f>SUMIFS('май 2025'!$G$5:$G$2466,'май 2025'!$D$5:$D$2466,$B106,'май 2025'!$J$5:$J$2466,E$1)</f>
        <v>0</v>
      </c>
      <c r="F106" s="183">
        <f>SUMIFS('май 2025'!$G$5:$G$2466,'май 2025'!$D$5:$D$2466,$B106,'май 2025'!$J$5:$J$2466,F$1)</f>
        <v>0</v>
      </c>
      <c r="G106" s="183">
        <f>SUMIFS('май 2025'!$G$5:$G$2466,'май 2025'!$D$5:$D$2466,$B106,'май 2025'!$J$5:$J$2466,G$1)</f>
        <v>0</v>
      </c>
      <c r="H106" s="183">
        <f>SUMIFS('май 2025'!$G$5:$G$2466,'май 2025'!$D$5:$D$2466,$B106,'май 2025'!$J$5:$J$2466,H$1)</f>
        <v>0</v>
      </c>
      <c r="I106" s="183">
        <f>SUMIFS('май 2025'!$G$5:$G$2466,'май 2025'!$D$5:$D$2466,$B106,'май 2025'!$J$5:$J$2466,I$1)</f>
        <v>0</v>
      </c>
      <c r="J106" s="183">
        <f>SUMIFS('май 2025'!$G$5:$G$2466,'май 2025'!$D$5:$D$2466,$B106,'май 2025'!$J$5:$J$2466,J$1)</f>
        <v>0</v>
      </c>
      <c r="K106" s="183">
        <f>SUMIFS('май 2025'!$G$5:$G$2466,'май 2025'!$D$5:$D$2466,$B106,'май 2025'!$J$5:$J$2466,K$1)</f>
        <v>0</v>
      </c>
      <c r="L106" s="183">
        <f>SUMIFS('май 2025'!$G$5:$G$2466,'май 2025'!$D$5:$D$2466,$B106,'май 2025'!$J$5:$J$2466,L$1)</f>
        <v>0</v>
      </c>
      <c r="M106" s="183">
        <f>SUMIFS('май 2025'!$G$5:$G$2466,'май 2025'!$D$5:$D$2466,$B106,'май 2025'!$J$5:$J$2466,M$1)</f>
        <v>0</v>
      </c>
      <c r="N106" s="183">
        <f>SUMIFS('май 2025'!$G$5:$G$2466,'май 2025'!$D$5:$D$2466,$B106,'май 2025'!$J$5:$J$2466,N$1)</f>
        <v>0</v>
      </c>
      <c r="O106" s="183">
        <f>SUMIFS('май 2025'!$G$5:$G$2466,'май 2025'!$D$5:$D$2466,$B106,'май 2025'!$J$5:$J$2466,O$1)</f>
        <v>0</v>
      </c>
      <c r="P106" s="183">
        <f>SUMIFS('май 2025'!$G$5:$G$2466,'май 2025'!$D$5:$D$2466,$B106,'май 2025'!$J$5:$J$2466,P$1)</f>
        <v>0</v>
      </c>
      <c r="Q106" s="183">
        <f>SUMIFS('май 2025'!$G$5:$G$2466,'май 2025'!$D$5:$D$2466,$B106,'май 2025'!$J$5:$J$2466,Q$1)</f>
        <v>0</v>
      </c>
      <c r="R106" s="183">
        <f>SUMIFS('май 2025'!$G$5:$G$2466,'май 2025'!$D$5:$D$2466,$B106,'май 2025'!$J$5:$J$2466,R$1)</f>
        <v>0</v>
      </c>
      <c r="S106" s="183">
        <f>SUMIFS('май 2025'!$G$5:$G$2466,'май 2025'!$D$5:$D$2466,$B106,'май 2025'!$J$5:$J$2466,S$1)</f>
        <v>0</v>
      </c>
      <c r="T106" s="183">
        <f>SUMIFS('май 2025'!$G$5:$G$2466,'май 2025'!$D$5:$D$2466,$B106,'май 2025'!$J$5:$J$2466,T$1)</f>
        <v>0</v>
      </c>
      <c r="U106" s="183">
        <f>SUMIFS('май 2025'!$G$5:$G$2466,'май 2025'!$D$5:$D$2466,$B106,'май 2025'!$J$5:$J$2466,U$1)</f>
        <v>0</v>
      </c>
      <c r="V106" s="183">
        <f>SUMIFS('май 2025'!$G$5:$G$2466,'май 2025'!$D$5:$D$2466,$B106,'май 2025'!$J$5:$J$2466,V$1)</f>
        <v>88</v>
      </c>
      <c r="W106" s="183">
        <f>SUMIFS('май 2025'!$G$5:$G$2466,'май 2025'!$D$5:$D$2466,$B106,'май 2025'!$J$5:$J$2466,W$1)</f>
        <v>0</v>
      </c>
      <c r="X106" s="183">
        <f>SUMIFS('май 2025'!$G$5:$G$2466,'май 2025'!$D$5:$D$2466,$B106,'май 2025'!$J$5:$J$2466,X$1)</f>
        <v>0</v>
      </c>
      <c r="Y106" s="183">
        <f>SUMIFS('май 2025'!$G$5:$G$2466,'май 2025'!$D$5:$D$2466,$B106,'май 2025'!$J$5:$J$2466,Y$1)</f>
        <v>0</v>
      </c>
      <c r="Z106" s="183">
        <f>SUMIFS('май 2025'!$G$5:$G$2466,'май 2025'!$D$5:$D$2466,$B106,'май 2025'!$J$5:$J$2466,Z$1)</f>
        <v>88</v>
      </c>
      <c r="AA106" s="183">
        <f>SUMIFS('май 2025'!$G$5:$G$2466,'май 2025'!$D$5:$D$2466,$B106,'май 2025'!$J$5:$J$2466,AA$1)</f>
        <v>0</v>
      </c>
      <c r="AB106" s="183">
        <f>SUMIFS('май 2025'!$G$5:$G$2466,'май 2025'!$D$5:$D$2466,$B106,'май 2025'!$J$5:$J$2466,AB$1)</f>
        <v>0</v>
      </c>
      <c r="AC106" s="183">
        <f>SUMIFS('май 2025'!$G$5:$G$2466,'май 2025'!$D$5:$D$2466,$B106,'май 2025'!$J$5:$J$2466,AC$1)</f>
        <v>48</v>
      </c>
      <c r="AD106" s="183">
        <f>SUMIFS('май 2025'!$G$5:$G$2466,'май 2025'!$D$5:$D$2466,$B106,'май 2025'!$J$5:$J$2466,AD$1)</f>
        <v>0</v>
      </c>
      <c r="AE106" s="183">
        <f>SUMIFS('май 2025'!$G$5:$G$2466,'май 2025'!$D$5:$D$2466,$B106,'май 2025'!$J$5:$J$2466,AE$1)</f>
        <v>80</v>
      </c>
      <c r="AF106" s="183">
        <f>SUMIFS('май 2025'!$G$5:$G$2466,'май 2025'!$D$5:$D$2466,$B106,'май 2025'!$J$5:$J$2466,AF$1)</f>
        <v>0</v>
      </c>
      <c r="AG106" s="183">
        <f>SUMIFS('май 2025'!$G$5:$G$2466,'май 2025'!$D$5:$D$2466,$B106,'май 2025'!$J$5:$J$2466,AG$1)</f>
        <v>0</v>
      </c>
      <c r="AH106" s="183">
        <f>SUMIFS('май 2025'!$G$5:$G$2466,'май 2025'!$D$5:$D$2466,$B106,'май 2025'!$J$5:$J$2466,AH$1)</f>
        <v>0</v>
      </c>
      <c r="AI106" s="20">
        <f t="shared" si="1"/>
        <v>304</v>
      </c>
    </row>
    <row r="107" spans="2:35" ht="15" customHeight="1" x14ac:dyDescent="0.25">
      <c r="B107" s="87" t="s">
        <v>169</v>
      </c>
      <c r="C107" s="86">
        <v>180</v>
      </c>
      <c r="D107" s="183">
        <f>SUMIFS('май 2025'!$G$5:$G$2466,'май 2025'!$D$5:$D$2466,$B107,'май 2025'!$J$5:$J$2466,D$1)</f>
        <v>0</v>
      </c>
      <c r="E107" s="183">
        <f>SUMIFS('май 2025'!$G$5:$G$2466,'май 2025'!$D$5:$D$2466,$B107,'май 2025'!$J$5:$J$2466,E$1)</f>
        <v>0</v>
      </c>
      <c r="F107" s="183">
        <f>SUMIFS('май 2025'!$G$5:$G$2466,'май 2025'!$D$5:$D$2466,$B107,'май 2025'!$J$5:$J$2466,F$1)</f>
        <v>0</v>
      </c>
      <c r="G107" s="183">
        <f>SUMIFS('май 2025'!$G$5:$G$2466,'май 2025'!$D$5:$D$2466,$B107,'май 2025'!$J$5:$J$2466,G$1)</f>
        <v>0</v>
      </c>
      <c r="H107" s="183">
        <f>SUMIFS('май 2025'!$G$5:$G$2466,'май 2025'!$D$5:$D$2466,$B107,'май 2025'!$J$5:$J$2466,H$1)</f>
        <v>0</v>
      </c>
      <c r="I107" s="183">
        <f>SUMIFS('май 2025'!$G$5:$G$2466,'май 2025'!$D$5:$D$2466,$B107,'май 2025'!$J$5:$J$2466,I$1)</f>
        <v>0</v>
      </c>
      <c r="J107" s="183">
        <f>SUMIFS('май 2025'!$G$5:$G$2466,'май 2025'!$D$5:$D$2466,$B107,'май 2025'!$J$5:$J$2466,J$1)</f>
        <v>0</v>
      </c>
      <c r="K107" s="183">
        <f>SUMIFS('май 2025'!$G$5:$G$2466,'май 2025'!$D$5:$D$2466,$B107,'май 2025'!$J$5:$J$2466,K$1)</f>
        <v>0</v>
      </c>
      <c r="L107" s="183">
        <f>SUMIFS('май 2025'!$G$5:$G$2466,'май 2025'!$D$5:$D$2466,$B107,'май 2025'!$J$5:$J$2466,L$1)</f>
        <v>0</v>
      </c>
      <c r="M107" s="183">
        <f>SUMIFS('май 2025'!$G$5:$G$2466,'май 2025'!$D$5:$D$2466,$B107,'май 2025'!$J$5:$J$2466,M$1)</f>
        <v>0</v>
      </c>
      <c r="N107" s="183">
        <f>SUMIFS('май 2025'!$G$5:$G$2466,'май 2025'!$D$5:$D$2466,$B107,'май 2025'!$J$5:$J$2466,N$1)</f>
        <v>0</v>
      </c>
      <c r="O107" s="183">
        <f>SUMIFS('май 2025'!$G$5:$G$2466,'май 2025'!$D$5:$D$2466,$B107,'май 2025'!$J$5:$J$2466,O$1)</f>
        <v>0</v>
      </c>
      <c r="P107" s="183">
        <f>SUMIFS('май 2025'!$G$5:$G$2466,'май 2025'!$D$5:$D$2466,$B107,'май 2025'!$J$5:$J$2466,P$1)</f>
        <v>0</v>
      </c>
      <c r="Q107" s="183">
        <f>SUMIFS('май 2025'!$G$5:$G$2466,'май 2025'!$D$5:$D$2466,$B107,'май 2025'!$J$5:$J$2466,Q$1)</f>
        <v>0</v>
      </c>
      <c r="R107" s="183">
        <f>SUMIFS('май 2025'!$G$5:$G$2466,'май 2025'!$D$5:$D$2466,$B107,'май 2025'!$J$5:$J$2466,R$1)</f>
        <v>0</v>
      </c>
      <c r="S107" s="183">
        <f>SUMIFS('май 2025'!$G$5:$G$2466,'май 2025'!$D$5:$D$2466,$B107,'май 2025'!$J$5:$J$2466,S$1)</f>
        <v>0</v>
      </c>
      <c r="T107" s="183">
        <f>SUMIFS('май 2025'!$G$5:$G$2466,'май 2025'!$D$5:$D$2466,$B107,'май 2025'!$J$5:$J$2466,T$1)</f>
        <v>0</v>
      </c>
      <c r="U107" s="183">
        <f>SUMIFS('май 2025'!$G$5:$G$2466,'май 2025'!$D$5:$D$2466,$B107,'май 2025'!$J$5:$J$2466,U$1)</f>
        <v>0</v>
      </c>
      <c r="V107" s="183">
        <f>SUMIFS('май 2025'!$G$5:$G$2466,'май 2025'!$D$5:$D$2466,$B107,'май 2025'!$J$5:$J$2466,V$1)</f>
        <v>0</v>
      </c>
      <c r="W107" s="183">
        <f>SUMIFS('май 2025'!$G$5:$G$2466,'май 2025'!$D$5:$D$2466,$B107,'май 2025'!$J$5:$J$2466,W$1)</f>
        <v>0</v>
      </c>
      <c r="X107" s="183">
        <f>SUMIFS('май 2025'!$G$5:$G$2466,'май 2025'!$D$5:$D$2466,$B107,'май 2025'!$J$5:$J$2466,X$1)</f>
        <v>0</v>
      </c>
      <c r="Y107" s="183">
        <f>SUMIFS('май 2025'!$G$5:$G$2466,'май 2025'!$D$5:$D$2466,$B107,'май 2025'!$J$5:$J$2466,Y$1)</f>
        <v>0</v>
      </c>
      <c r="Z107" s="183">
        <f>SUMIFS('май 2025'!$G$5:$G$2466,'май 2025'!$D$5:$D$2466,$B107,'май 2025'!$J$5:$J$2466,Z$1)</f>
        <v>0</v>
      </c>
      <c r="AA107" s="183">
        <f>SUMIFS('май 2025'!$G$5:$G$2466,'май 2025'!$D$5:$D$2466,$B107,'май 2025'!$J$5:$J$2466,AA$1)</f>
        <v>0</v>
      </c>
      <c r="AB107" s="183">
        <f>SUMIFS('май 2025'!$G$5:$G$2466,'май 2025'!$D$5:$D$2466,$B107,'май 2025'!$J$5:$J$2466,AB$1)</f>
        <v>0</v>
      </c>
      <c r="AC107" s="183">
        <f>SUMIFS('май 2025'!$G$5:$G$2466,'май 2025'!$D$5:$D$2466,$B107,'май 2025'!$J$5:$J$2466,AC$1)</f>
        <v>0</v>
      </c>
      <c r="AD107" s="183">
        <f>SUMIFS('май 2025'!$G$5:$G$2466,'май 2025'!$D$5:$D$2466,$B107,'май 2025'!$J$5:$J$2466,AD$1)</f>
        <v>0</v>
      </c>
      <c r="AE107" s="183">
        <f>SUMIFS('май 2025'!$G$5:$G$2466,'май 2025'!$D$5:$D$2466,$B107,'май 2025'!$J$5:$J$2466,AE$1)</f>
        <v>0</v>
      </c>
      <c r="AF107" s="183">
        <f>SUMIFS('май 2025'!$G$5:$G$2466,'май 2025'!$D$5:$D$2466,$B107,'май 2025'!$J$5:$J$2466,AF$1)</f>
        <v>0</v>
      </c>
      <c r="AG107" s="183">
        <f>SUMIFS('май 2025'!$G$5:$G$2466,'май 2025'!$D$5:$D$2466,$B107,'май 2025'!$J$5:$J$2466,AG$1)</f>
        <v>0</v>
      </c>
      <c r="AH107" s="183">
        <f>SUMIFS('май 2025'!$G$5:$G$2466,'май 2025'!$D$5:$D$2466,$B107,'май 2025'!$J$5:$J$2466,AH$1)</f>
        <v>0</v>
      </c>
      <c r="AI107" s="20">
        <f t="shared" si="1"/>
        <v>0</v>
      </c>
    </row>
    <row r="108" spans="2:35" ht="15" customHeight="1" x14ac:dyDescent="0.25">
      <c r="B108" s="84" t="s">
        <v>170</v>
      </c>
      <c r="C108" s="86">
        <v>200</v>
      </c>
      <c r="D108" s="183">
        <f>SUMIFS('май 2025'!$G$5:$G$2466,'май 2025'!$D$5:$D$2466,$B108,'май 2025'!$J$5:$J$2466,D$1)</f>
        <v>0</v>
      </c>
      <c r="E108" s="183">
        <f>SUMIFS('май 2025'!$G$5:$G$2466,'май 2025'!$D$5:$D$2466,$B108,'май 2025'!$J$5:$J$2466,E$1)</f>
        <v>0</v>
      </c>
      <c r="F108" s="183">
        <f>SUMIFS('май 2025'!$G$5:$G$2466,'май 2025'!$D$5:$D$2466,$B108,'май 2025'!$J$5:$J$2466,F$1)</f>
        <v>0</v>
      </c>
      <c r="G108" s="183">
        <f>SUMIFS('май 2025'!$G$5:$G$2466,'май 2025'!$D$5:$D$2466,$B108,'май 2025'!$J$5:$J$2466,G$1)</f>
        <v>0</v>
      </c>
      <c r="H108" s="183">
        <f>SUMIFS('май 2025'!$G$5:$G$2466,'май 2025'!$D$5:$D$2466,$B108,'май 2025'!$J$5:$J$2466,H$1)</f>
        <v>0</v>
      </c>
      <c r="I108" s="183">
        <f>SUMIFS('май 2025'!$G$5:$G$2466,'май 2025'!$D$5:$D$2466,$B108,'май 2025'!$J$5:$J$2466,I$1)</f>
        <v>0</v>
      </c>
      <c r="J108" s="183">
        <f>SUMIFS('май 2025'!$G$5:$G$2466,'май 2025'!$D$5:$D$2466,$B108,'май 2025'!$J$5:$J$2466,J$1)</f>
        <v>0</v>
      </c>
      <c r="K108" s="183">
        <f>SUMIFS('май 2025'!$G$5:$G$2466,'май 2025'!$D$5:$D$2466,$B108,'май 2025'!$J$5:$J$2466,K$1)</f>
        <v>0</v>
      </c>
      <c r="L108" s="183">
        <f>SUMIFS('май 2025'!$G$5:$G$2466,'май 2025'!$D$5:$D$2466,$B108,'май 2025'!$J$5:$J$2466,L$1)</f>
        <v>0</v>
      </c>
      <c r="M108" s="183">
        <f>SUMIFS('май 2025'!$G$5:$G$2466,'май 2025'!$D$5:$D$2466,$B108,'май 2025'!$J$5:$J$2466,M$1)</f>
        <v>0</v>
      </c>
      <c r="N108" s="183">
        <f>SUMIFS('май 2025'!$G$5:$G$2466,'май 2025'!$D$5:$D$2466,$B108,'май 2025'!$J$5:$J$2466,N$1)</f>
        <v>0</v>
      </c>
      <c r="O108" s="183">
        <f>SUMIFS('май 2025'!$G$5:$G$2466,'май 2025'!$D$5:$D$2466,$B108,'май 2025'!$J$5:$J$2466,O$1)</f>
        <v>0</v>
      </c>
      <c r="P108" s="183">
        <f>SUMIFS('май 2025'!$G$5:$G$2466,'май 2025'!$D$5:$D$2466,$B108,'май 2025'!$J$5:$J$2466,P$1)</f>
        <v>0</v>
      </c>
      <c r="Q108" s="183">
        <f>SUMIFS('май 2025'!$G$5:$G$2466,'май 2025'!$D$5:$D$2466,$B108,'май 2025'!$J$5:$J$2466,Q$1)</f>
        <v>0</v>
      </c>
      <c r="R108" s="183">
        <f>SUMIFS('май 2025'!$G$5:$G$2466,'май 2025'!$D$5:$D$2466,$B108,'май 2025'!$J$5:$J$2466,R$1)</f>
        <v>0</v>
      </c>
      <c r="S108" s="183">
        <f>SUMIFS('май 2025'!$G$5:$G$2466,'май 2025'!$D$5:$D$2466,$B108,'май 2025'!$J$5:$J$2466,S$1)</f>
        <v>0</v>
      </c>
      <c r="T108" s="183">
        <f>SUMIFS('май 2025'!$G$5:$G$2466,'май 2025'!$D$5:$D$2466,$B108,'май 2025'!$J$5:$J$2466,T$1)</f>
        <v>0</v>
      </c>
      <c r="U108" s="183">
        <f>SUMIFS('май 2025'!$G$5:$G$2466,'май 2025'!$D$5:$D$2466,$B108,'май 2025'!$J$5:$J$2466,U$1)</f>
        <v>0</v>
      </c>
      <c r="V108" s="183">
        <f>SUMIFS('май 2025'!$G$5:$G$2466,'май 2025'!$D$5:$D$2466,$B108,'май 2025'!$J$5:$J$2466,V$1)</f>
        <v>0</v>
      </c>
      <c r="W108" s="183">
        <f>SUMIFS('май 2025'!$G$5:$G$2466,'май 2025'!$D$5:$D$2466,$B108,'май 2025'!$J$5:$J$2466,W$1)</f>
        <v>0</v>
      </c>
      <c r="X108" s="183">
        <f>SUMIFS('май 2025'!$G$5:$G$2466,'май 2025'!$D$5:$D$2466,$B108,'май 2025'!$J$5:$J$2466,X$1)</f>
        <v>0</v>
      </c>
      <c r="Y108" s="183">
        <f>SUMIFS('май 2025'!$G$5:$G$2466,'май 2025'!$D$5:$D$2466,$B108,'май 2025'!$J$5:$J$2466,Y$1)</f>
        <v>0</v>
      </c>
      <c r="Z108" s="183">
        <f>SUMIFS('май 2025'!$G$5:$G$2466,'май 2025'!$D$5:$D$2466,$B108,'май 2025'!$J$5:$J$2466,Z$1)</f>
        <v>0</v>
      </c>
      <c r="AA108" s="183">
        <f>SUMIFS('май 2025'!$G$5:$G$2466,'май 2025'!$D$5:$D$2466,$B108,'май 2025'!$J$5:$J$2466,AA$1)</f>
        <v>0</v>
      </c>
      <c r="AB108" s="183">
        <f>SUMIFS('май 2025'!$G$5:$G$2466,'май 2025'!$D$5:$D$2466,$B108,'май 2025'!$J$5:$J$2466,AB$1)</f>
        <v>0</v>
      </c>
      <c r="AC108" s="183">
        <f>SUMIFS('май 2025'!$G$5:$G$2466,'май 2025'!$D$5:$D$2466,$B108,'май 2025'!$J$5:$J$2466,AC$1)</f>
        <v>0</v>
      </c>
      <c r="AD108" s="183">
        <f>SUMIFS('май 2025'!$G$5:$G$2466,'май 2025'!$D$5:$D$2466,$B108,'май 2025'!$J$5:$J$2466,AD$1)</f>
        <v>0</v>
      </c>
      <c r="AE108" s="183">
        <f>SUMIFS('май 2025'!$G$5:$G$2466,'май 2025'!$D$5:$D$2466,$B108,'май 2025'!$J$5:$J$2466,AE$1)</f>
        <v>0</v>
      </c>
      <c r="AF108" s="183">
        <f>SUMIFS('май 2025'!$G$5:$G$2466,'май 2025'!$D$5:$D$2466,$B108,'май 2025'!$J$5:$J$2466,AF$1)</f>
        <v>0</v>
      </c>
      <c r="AG108" s="183">
        <f>SUMIFS('май 2025'!$G$5:$G$2466,'май 2025'!$D$5:$D$2466,$B108,'май 2025'!$J$5:$J$2466,AG$1)</f>
        <v>0</v>
      </c>
      <c r="AH108" s="183">
        <f>SUMIFS('май 2025'!$G$5:$G$2466,'май 2025'!$D$5:$D$2466,$B108,'май 2025'!$J$5:$J$2466,AH$1)</f>
        <v>0</v>
      </c>
      <c r="AI108" s="20">
        <f t="shared" si="1"/>
        <v>0</v>
      </c>
    </row>
    <row r="109" spans="2:35" ht="15" customHeight="1" x14ac:dyDescent="0.25">
      <c r="B109" s="84" t="s">
        <v>195</v>
      </c>
      <c r="C109" s="83">
        <v>185</v>
      </c>
      <c r="D109" s="183">
        <f>SUMIFS('май 2025'!$G$5:$G$2466,'май 2025'!$D$5:$D$2466,$B109,'май 2025'!$J$5:$J$2466,D$1)</f>
        <v>0</v>
      </c>
      <c r="E109" s="183">
        <f>SUMIFS('май 2025'!$G$5:$G$2466,'май 2025'!$D$5:$D$2466,$B109,'май 2025'!$J$5:$J$2466,E$1)</f>
        <v>0</v>
      </c>
      <c r="F109" s="183">
        <f>SUMIFS('май 2025'!$G$5:$G$2466,'май 2025'!$D$5:$D$2466,$B109,'май 2025'!$J$5:$J$2466,F$1)</f>
        <v>0</v>
      </c>
      <c r="G109" s="183">
        <f>SUMIFS('май 2025'!$G$5:$G$2466,'май 2025'!$D$5:$D$2466,$B109,'май 2025'!$J$5:$J$2466,G$1)</f>
        <v>0</v>
      </c>
      <c r="H109" s="183">
        <f>SUMIFS('май 2025'!$G$5:$G$2466,'май 2025'!$D$5:$D$2466,$B109,'май 2025'!$J$5:$J$2466,H$1)</f>
        <v>0</v>
      </c>
      <c r="I109" s="183">
        <f>SUMIFS('май 2025'!$G$5:$G$2466,'май 2025'!$D$5:$D$2466,$B109,'май 2025'!$J$5:$J$2466,I$1)</f>
        <v>0</v>
      </c>
      <c r="J109" s="183">
        <f>SUMIFS('май 2025'!$G$5:$G$2466,'май 2025'!$D$5:$D$2466,$B109,'май 2025'!$J$5:$J$2466,J$1)</f>
        <v>0</v>
      </c>
      <c r="K109" s="183">
        <f>SUMIFS('май 2025'!$G$5:$G$2466,'май 2025'!$D$5:$D$2466,$B109,'май 2025'!$J$5:$J$2466,K$1)</f>
        <v>0</v>
      </c>
      <c r="L109" s="183">
        <f>SUMIFS('май 2025'!$G$5:$G$2466,'май 2025'!$D$5:$D$2466,$B109,'май 2025'!$J$5:$J$2466,L$1)</f>
        <v>0</v>
      </c>
      <c r="M109" s="183">
        <f>SUMIFS('май 2025'!$G$5:$G$2466,'май 2025'!$D$5:$D$2466,$B109,'май 2025'!$J$5:$J$2466,M$1)</f>
        <v>0</v>
      </c>
      <c r="N109" s="183">
        <f>SUMIFS('май 2025'!$G$5:$G$2466,'май 2025'!$D$5:$D$2466,$B109,'май 2025'!$J$5:$J$2466,N$1)</f>
        <v>0</v>
      </c>
      <c r="O109" s="183">
        <f>SUMIFS('май 2025'!$G$5:$G$2466,'май 2025'!$D$5:$D$2466,$B109,'май 2025'!$J$5:$J$2466,O$1)</f>
        <v>0</v>
      </c>
      <c r="P109" s="183">
        <f>SUMIFS('май 2025'!$G$5:$G$2466,'май 2025'!$D$5:$D$2466,$B109,'май 2025'!$J$5:$J$2466,P$1)</f>
        <v>0</v>
      </c>
      <c r="Q109" s="183">
        <f>SUMIFS('май 2025'!$G$5:$G$2466,'май 2025'!$D$5:$D$2466,$B109,'май 2025'!$J$5:$J$2466,Q$1)</f>
        <v>0</v>
      </c>
      <c r="R109" s="183">
        <f>SUMIFS('май 2025'!$G$5:$G$2466,'май 2025'!$D$5:$D$2466,$B109,'май 2025'!$J$5:$J$2466,R$1)</f>
        <v>0</v>
      </c>
      <c r="S109" s="183">
        <f>SUMIFS('май 2025'!$G$5:$G$2466,'май 2025'!$D$5:$D$2466,$B109,'май 2025'!$J$5:$J$2466,S$1)</f>
        <v>0</v>
      </c>
      <c r="T109" s="183">
        <f>SUMIFS('май 2025'!$G$5:$G$2466,'май 2025'!$D$5:$D$2466,$B109,'май 2025'!$J$5:$J$2466,T$1)</f>
        <v>0</v>
      </c>
      <c r="U109" s="183">
        <f>SUMIFS('май 2025'!$G$5:$G$2466,'май 2025'!$D$5:$D$2466,$B109,'май 2025'!$J$5:$J$2466,U$1)</f>
        <v>0</v>
      </c>
      <c r="V109" s="183">
        <f>SUMIFS('май 2025'!$G$5:$G$2466,'май 2025'!$D$5:$D$2466,$B109,'май 2025'!$J$5:$J$2466,V$1)</f>
        <v>0</v>
      </c>
      <c r="W109" s="183">
        <f>SUMIFS('май 2025'!$G$5:$G$2466,'май 2025'!$D$5:$D$2466,$B109,'май 2025'!$J$5:$J$2466,W$1)</f>
        <v>0</v>
      </c>
      <c r="X109" s="183">
        <f>SUMIFS('май 2025'!$G$5:$G$2466,'май 2025'!$D$5:$D$2466,$B109,'май 2025'!$J$5:$J$2466,X$1)</f>
        <v>0</v>
      </c>
      <c r="Y109" s="183">
        <f>SUMIFS('май 2025'!$G$5:$G$2466,'май 2025'!$D$5:$D$2466,$B109,'май 2025'!$J$5:$J$2466,Y$1)</f>
        <v>0</v>
      </c>
      <c r="Z109" s="183">
        <f>SUMIFS('май 2025'!$G$5:$G$2466,'май 2025'!$D$5:$D$2466,$B109,'май 2025'!$J$5:$J$2466,Z$1)</f>
        <v>0</v>
      </c>
      <c r="AA109" s="183">
        <f>SUMIFS('май 2025'!$G$5:$G$2466,'май 2025'!$D$5:$D$2466,$B109,'май 2025'!$J$5:$J$2466,AA$1)</f>
        <v>0</v>
      </c>
      <c r="AB109" s="183">
        <f>SUMIFS('май 2025'!$G$5:$G$2466,'май 2025'!$D$5:$D$2466,$B109,'май 2025'!$J$5:$J$2466,AB$1)</f>
        <v>0</v>
      </c>
      <c r="AC109" s="183">
        <f>SUMIFS('май 2025'!$G$5:$G$2466,'май 2025'!$D$5:$D$2466,$B109,'май 2025'!$J$5:$J$2466,AC$1)</f>
        <v>0</v>
      </c>
      <c r="AD109" s="183">
        <f>SUMIFS('май 2025'!$G$5:$G$2466,'май 2025'!$D$5:$D$2466,$B109,'май 2025'!$J$5:$J$2466,AD$1)</f>
        <v>0</v>
      </c>
      <c r="AE109" s="183">
        <f>SUMIFS('май 2025'!$G$5:$G$2466,'май 2025'!$D$5:$D$2466,$B109,'май 2025'!$J$5:$J$2466,AE$1)</f>
        <v>0</v>
      </c>
      <c r="AF109" s="183">
        <f>SUMIFS('май 2025'!$G$5:$G$2466,'май 2025'!$D$5:$D$2466,$B109,'май 2025'!$J$5:$J$2466,AF$1)</f>
        <v>0</v>
      </c>
      <c r="AG109" s="183">
        <f>SUMIFS('май 2025'!$G$5:$G$2466,'май 2025'!$D$5:$D$2466,$B109,'май 2025'!$J$5:$J$2466,AG$1)</f>
        <v>0</v>
      </c>
      <c r="AH109" s="183">
        <f>SUMIFS('май 2025'!$G$5:$G$2466,'май 2025'!$D$5:$D$2466,$B109,'май 2025'!$J$5:$J$2466,AH$1)</f>
        <v>0</v>
      </c>
      <c r="AI109" s="20">
        <f t="shared" si="1"/>
        <v>0</v>
      </c>
    </row>
    <row r="110" spans="2:35" ht="15" customHeight="1" x14ac:dyDescent="0.25">
      <c r="B110" s="84" t="s">
        <v>196</v>
      </c>
      <c r="C110" s="83">
        <v>185</v>
      </c>
      <c r="D110" s="183">
        <f>SUMIFS('май 2025'!$G$5:$G$2466,'май 2025'!$D$5:$D$2466,$B110,'май 2025'!$J$5:$J$2466,D$1)</f>
        <v>0</v>
      </c>
      <c r="E110" s="183">
        <f>SUMIFS('май 2025'!$G$5:$G$2466,'май 2025'!$D$5:$D$2466,$B110,'май 2025'!$J$5:$J$2466,E$1)</f>
        <v>0</v>
      </c>
      <c r="F110" s="183">
        <f>SUMIFS('май 2025'!$G$5:$G$2466,'май 2025'!$D$5:$D$2466,$B110,'май 2025'!$J$5:$J$2466,F$1)</f>
        <v>0</v>
      </c>
      <c r="G110" s="183">
        <f>SUMIFS('май 2025'!$G$5:$G$2466,'май 2025'!$D$5:$D$2466,$B110,'май 2025'!$J$5:$J$2466,G$1)</f>
        <v>0</v>
      </c>
      <c r="H110" s="183">
        <f>SUMIFS('май 2025'!$G$5:$G$2466,'май 2025'!$D$5:$D$2466,$B110,'май 2025'!$J$5:$J$2466,H$1)</f>
        <v>0</v>
      </c>
      <c r="I110" s="183">
        <f>SUMIFS('май 2025'!$G$5:$G$2466,'май 2025'!$D$5:$D$2466,$B110,'май 2025'!$J$5:$J$2466,I$1)</f>
        <v>0</v>
      </c>
      <c r="J110" s="183">
        <f>SUMIFS('май 2025'!$G$5:$G$2466,'май 2025'!$D$5:$D$2466,$B110,'май 2025'!$J$5:$J$2466,J$1)</f>
        <v>0</v>
      </c>
      <c r="K110" s="183">
        <f>SUMIFS('май 2025'!$G$5:$G$2466,'май 2025'!$D$5:$D$2466,$B110,'май 2025'!$J$5:$J$2466,K$1)</f>
        <v>0</v>
      </c>
      <c r="L110" s="183">
        <f>SUMIFS('май 2025'!$G$5:$G$2466,'май 2025'!$D$5:$D$2466,$B110,'май 2025'!$J$5:$J$2466,L$1)</f>
        <v>0</v>
      </c>
      <c r="M110" s="183">
        <f>SUMIFS('май 2025'!$G$5:$G$2466,'май 2025'!$D$5:$D$2466,$B110,'май 2025'!$J$5:$J$2466,M$1)</f>
        <v>0</v>
      </c>
      <c r="N110" s="183">
        <f>SUMIFS('май 2025'!$G$5:$G$2466,'май 2025'!$D$5:$D$2466,$B110,'май 2025'!$J$5:$J$2466,N$1)</f>
        <v>0</v>
      </c>
      <c r="O110" s="183">
        <f>SUMIFS('май 2025'!$G$5:$G$2466,'май 2025'!$D$5:$D$2466,$B110,'май 2025'!$J$5:$J$2466,O$1)</f>
        <v>0</v>
      </c>
      <c r="P110" s="183">
        <f>SUMIFS('май 2025'!$G$5:$G$2466,'май 2025'!$D$5:$D$2466,$B110,'май 2025'!$J$5:$J$2466,P$1)</f>
        <v>0</v>
      </c>
      <c r="Q110" s="183">
        <f>SUMIFS('май 2025'!$G$5:$G$2466,'май 2025'!$D$5:$D$2466,$B110,'май 2025'!$J$5:$J$2466,Q$1)</f>
        <v>0</v>
      </c>
      <c r="R110" s="183">
        <f>SUMIFS('май 2025'!$G$5:$G$2466,'май 2025'!$D$5:$D$2466,$B110,'май 2025'!$J$5:$J$2466,R$1)</f>
        <v>0</v>
      </c>
      <c r="S110" s="183">
        <f>SUMIFS('май 2025'!$G$5:$G$2466,'май 2025'!$D$5:$D$2466,$B110,'май 2025'!$J$5:$J$2466,S$1)</f>
        <v>0</v>
      </c>
      <c r="T110" s="183">
        <f>SUMIFS('май 2025'!$G$5:$G$2466,'май 2025'!$D$5:$D$2466,$B110,'май 2025'!$J$5:$J$2466,T$1)</f>
        <v>0</v>
      </c>
      <c r="U110" s="183">
        <f>SUMIFS('май 2025'!$G$5:$G$2466,'май 2025'!$D$5:$D$2466,$B110,'май 2025'!$J$5:$J$2466,U$1)</f>
        <v>0</v>
      </c>
      <c r="V110" s="183">
        <f>SUMIFS('май 2025'!$G$5:$G$2466,'май 2025'!$D$5:$D$2466,$B110,'май 2025'!$J$5:$J$2466,V$1)</f>
        <v>0</v>
      </c>
      <c r="W110" s="183">
        <f>SUMIFS('май 2025'!$G$5:$G$2466,'май 2025'!$D$5:$D$2466,$B110,'май 2025'!$J$5:$J$2466,W$1)</f>
        <v>0</v>
      </c>
      <c r="X110" s="183">
        <f>SUMIFS('май 2025'!$G$5:$G$2466,'май 2025'!$D$5:$D$2466,$B110,'май 2025'!$J$5:$J$2466,X$1)</f>
        <v>0</v>
      </c>
      <c r="Y110" s="183">
        <f>SUMIFS('май 2025'!$G$5:$G$2466,'май 2025'!$D$5:$D$2466,$B110,'май 2025'!$J$5:$J$2466,Y$1)</f>
        <v>0</v>
      </c>
      <c r="Z110" s="183">
        <f>SUMIFS('май 2025'!$G$5:$G$2466,'май 2025'!$D$5:$D$2466,$B110,'май 2025'!$J$5:$J$2466,Z$1)</f>
        <v>0</v>
      </c>
      <c r="AA110" s="183">
        <f>SUMIFS('май 2025'!$G$5:$G$2466,'май 2025'!$D$5:$D$2466,$B110,'май 2025'!$J$5:$J$2466,AA$1)</f>
        <v>0</v>
      </c>
      <c r="AB110" s="183">
        <f>SUMIFS('май 2025'!$G$5:$G$2466,'май 2025'!$D$5:$D$2466,$B110,'май 2025'!$J$5:$J$2466,AB$1)</f>
        <v>0</v>
      </c>
      <c r="AC110" s="183">
        <f>SUMIFS('май 2025'!$G$5:$G$2466,'май 2025'!$D$5:$D$2466,$B110,'май 2025'!$J$5:$J$2466,AC$1)</f>
        <v>0</v>
      </c>
      <c r="AD110" s="183">
        <f>SUMIFS('май 2025'!$G$5:$G$2466,'май 2025'!$D$5:$D$2466,$B110,'май 2025'!$J$5:$J$2466,AD$1)</f>
        <v>0</v>
      </c>
      <c r="AE110" s="183">
        <f>SUMIFS('май 2025'!$G$5:$G$2466,'май 2025'!$D$5:$D$2466,$B110,'май 2025'!$J$5:$J$2466,AE$1)</f>
        <v>0</v>
      </c>
      <c r="AF110" s="183">
        <f>SUMIFS('май 2025'!$G$5:$G$2466,'май 2025'!$D$5:$D$2466,$B110,'май 2025'!$J$5:$J$2466,AF$1)</f>
        <v>0</v>
      </c>
      <c r="AG110" s="183">
        <f>SUMIFS('май 2025'!$G$5:$G$2466,'май 2025'!$D$5:$D$2466,$B110,'май 2025'!$J$5:$J$2466,AG$1)</f>
        <v>0</v>
      </c>
      <c r="AH110" s="183">
        <f>SUMIFS('май 2025'!$G$5:$G$2466,'май 2025'!$D$5:$D$2466,$B110,'май 2025'!$J$5:$J$2466,AH$1)</f>
        <v>0</v>
      </c>
      <c r="AI110" s="20">
        <f t="shared" si="1"/>
        <v>0</v>
      </c>
    </row>
    <row r="111" spans="2:35" ht="15" customHeight="1" x14ac:dyDescent="0.25">
      <c r="B111" s="84" t="s">
        <v>260</v>
      </c>
      <c r="C111" s="83">
        <v>180</v>
      </c>
      <c r="D111" s="183">
        <f>SUMIFS('май 2025'!$G$5:$G$2466,'май 2025'!$D$5:$D$2466,$B111,'май 2025'!$J$5:$J$2466,D$1)</f>
        <v>0</v>
      </c>
      <c r="E111" s="183">
        <f>SUMIFS('май 2025'!$G$5:$G$2466,'май 2025'!$D$5:$D$2466,$B111,'май 2025'!$J$5:$J$2466,E$1)</f>
        <v>0</v>
      </c>
      <c r="F111" s="183">
        <f>SUMIFS('май 2025'!$G$5:$G$2466,'май 2025'!$D$5:$D$2466,$B111,'май 2025'!$J$5:$J$2466,F$1)</f>
        <v>0</v>
      </c>
      <c r="G111" s="183">
        <f>SUMIFS('май 2025'!$G$5:$G$2466,'май 2025'!$D$5:$D$2466,$B111,'май 2025'!$J$5:$J$2466,G$1)</f>
        <v>0</v>
      </c>
      <c r="H111" s="183">
        <f>SUMIFS('май 2025'!$G$5:$G$2466,'май 2025'!$D$5:$D$2466,$B111,'май 2025'!$J$5:$J$2466,H$1)</f>
        <v>0</v>
      </c>
      <c r="I111" s="183">
        <f>SUMIFS('май 2025'!$G$5:$G$2466,'май 2025'!$D$5:$D$2466,$B111,'май 2025'!$J$5:$J$2466,I$1)</f>
        <v>0</v>
      </c>
      <c r="J111" s="183">
        <f>SUMIFS('май 2025'!$G$5:$G$2466,'май 2025'!$D$5:$D$2466,$B111,'май 2025'!$J$5:$J$2466,J$1)</f>
        <v>0</v>
      </c>
      <c r="K111" s="183">
        <f>SUMIFS('май 2025'!$G$5:$G$2466,'май 2025'!$D$5:$D$2466,$B111,'май 2025'!$J$5:$J$2466,K$1)</f>
        <v>0</v>
      </c>
      <c r="L111" s="183">
        <f>SUMIFS('май 2025'!$G$5:$G$2466,'май 2025'!$D$5:$D$2466,$B111,'май 2025'!$J$5:$J$2466,L$1)</f>
        <v>0</v>
      </c>
      <c r="M111" s="183">
        <f>SUMIFS('май 2025'!$G$5:$G$2466,'май 2025'!$D$5:$D$2466,$B111,'май 2025'!$J$5:$J$2466,M$1)</f>
        <v>0</v>
      </c>
      <c r="N111" s="183">
        <f>SUMIFS('май 2025'!$G$5:$G$2466,'май 2025'!$D$5:$D$2466,$B111,'май 2025'!$J$5:$J$2466,N$1)</f>
        <v>0</v>
      </c>
      <c r="O111" s="183">
        <f>SUMIFS('май 2025'!$G$5:$G$2466,'май 2025'!$D$5:$D$2466,$B111,'май 2025'!$J$5:$J$2466,O$1)</f>
        <v>0</v>
      </c>
      <c r="P111" s="183">
        <f>SUMIFS('май 2025'!$G$5:$G$2466,'май 2025'!$D$5:$D$2466,$B111,'май 2025'!$J$5:$J$2466,P$1)</f>
        <v>0</v>
      </c>
      <c r="Q111" s="183">
        <f>SUMIFS('май 2025'!$G$5:$G$2466,'май 2025'!$D$5:$D$2466,$B111,'май 2025'!$J$5:$J$2466,Q$1)</f>
        <v>0</v>
      </c>
      <c r="R111" s="183">
        <f>SUMIFS('май 2025'!$G$5:$G$2466,'май 2025'!$D$5:$D$2466,$B111,'май 2025'!$J$5:$J$2466,R$1)</f>
        <v>0</v>
      </c>
      <c r="S111" s="183">
        <f>SUMIFS('май 2025'!$G$5:$G$2466,'май 2025'!$D$5:$D$2466,$B111,'май 2025'!$J$5:$J$2466,S$1)</f>
        <v>0</v>
      </c>
      <c r="T111" s="183">
        <f>SUMIFS('май 2025'!$G$5:$G$2466,'май 2025'!$D$5:$D$2466,$B111,'май 2025'!$J$5:$J$2466,T$1)</f>
        <v>0</v>
      </c>
      <c r="U111" s="183">
        <f>SUMIFS('май 2025'!$G$5:$G$2466,'май 2025'!$D$5:$D$2466,$B111,'май 2025'!$J$5:$J$2466,U$1)</f>
        <v>0</v>
      </c>
      <c r="V111" s="183">
        <f>SUMIFS('май 2025'!$G$5:$G$2466,'май 2025'!$D$5:$D$2466,$B111,'май 2025'!$J$5:$J$2466,V$1)</f>
        <v>0</v>
      </c>
      <c r="W111" s="183">
        <f>SUMIFS('май 2025'!$G$5:$G$2466,'май 2025'!$D$5:$D$2466,$B111,'май 2025'!$J$5:$J$2466,W$1)</f>
        <v>0</v>
      </c>
      <c r="X111" s="183">
        <f>SUMIFS('май 2025'!$G$5:$G$2466,'май 2025'!$D$5:$D$2466,$B111,'май 2025'!$J$5:$J$2466,X$1)</f>
        <v>0</v>
      </c>
      <c r="Y111" s="183">
        <f>SUMIFS('май 2025'!$G$5:$G$2466,'май 2025'!$D$5:$D$2466,$B111,'май 2025'!$J$5:$J$2466,Y$1)</f>
        <v>0</v>
      </c>
      <c r="Z111" s="183">
        <f>SUMIFS('май 2025'!$G$5:$G$2466,'май 2025'!$D$5:$D$2466,$B111,'май 2025'!$J$5:$J$2466,Z$1)</f>
        <v>0</v>
      </c>
      <c r="AA111" s="183">
        <f>SUMIFS('май 2025'!$G$5:$G$2466,'май 2025'!$D$5:$D$2466,$B111,'май 2025'!$J$5:$J$2466,AA$1)</f>
        <v>0</v>
      </c>
      <c r="AB111" s="183">
        <f>SUMIFS('май 2025'!$G$5:$G$2466,'май 2025'!$D$5:$D$2466,$B111,'май 2025'!$J$5:$J$2466,AB$1)</f>
        <v>0</v>
      </c>
      <c r="AC111" s="183">
        <f>SUMIFS('май 2025'!$G$5:$G$2466,'май 2025'!$D$5:$D$2466,$B111,'май 2025'!$J$5:$J$2466,AC$1)</f>
        <v>0</v>
      </c>
      <c r="AD111" s="183">
        <f>SUMIFS('май 2025'!$G$5:$G$2466,'май 2025'!$D$5:$D$2466,$B111,'май 2025'!$J$5:$J$2466,AD$1)</f>
        <v>0</v>
      </c>
      <c r="AE111" s="183">
        <f>SUMIFS('май 2025'!$G$5:$G$2466,'май 2025'!$D$5:$D$2466,$B111,'май 2025'!$J$5:$J$2466,AE$1)</f>
        <v>0</v>
      </c>
      <c r="AF111" s="183">
        <f>SUMIFS('май 2025'!$G$5:$G$2466,'май 2025'!$D$5:$D$2466,$B111,'май 2025'!$J$5:$J$2466,AF$1)</f>
        <v>0</v>
      </c>
      <c r="AG111" s="183">
        <f>SUMIFS('май 2025'!$G$5:$G$2466,'май 2025'!$D$5:$D$2466,$B111,'май 2025'!$J$5:$J$2466,AG$1)</f>
        <v>0</v>
      </c>
      <c r="AH111" s="183">
        <f>SUMIFS('май 2025'!$G$5:$G$2466,'май 2025'!$D$5:$D$2466,$B111,'май 2025'!$J$5:$J$2466,AH$1)</f>
        <v>0</v>
      </c>
      <c r="AI111" s="20">
        <f t="shared" si="1"/>
        <v>0</v>
      </c>
    </row>
    <row r="112" spans="2:35" ht="15" customHeight="1" x14ac:dyDescent="0.25">
      <c r="B112" s="88" t="s">
        <v>261</v>
      </c>
      <c r="C112" s="86">
        <v>200</v>
      </c>
      <c r="D112" s="183">
        <f>SUMIFS('май 2025'!$G$5:$G$2466,'май 2025'!$D$5:$D$2466,$B112,'май 2025'!$J$5:$J$2466,D$1)</f>
        <v>0</v>
      </c>
      <c r="E112" s="183">
        <f>SUMIFS('май 2025'!$G$5:$G$2466,'май 2025'!$D$5:$D$2466,$B112,'май 2025'!$J$5:$J$2466,E$1)</f>
        <v>0</v>
      </c>
      <c r="F112" s="183">
        <f>SUMIFS('май 2025'!$G$5:$G$2466,'май 2025'!$D$5:$D$2466,$B112,'май 2025'!$J$5:$J$2466,F$1)</f>
        <v>0</v>
      </c>
      <c r="G112" s="183">
        <f>SUMIFS('май 2025'!$G$5:$G$2466,'май 2025'!$D$5:$D$2466,$B112,'май 2025'!$J$5:$J$2466,G$1)</f>
        <v>0</v>
      </c>
      <c r="H112" s="183">
        <f>SUMIFS('май 2025'!$G$5:$G$2466,'май 2025'!$D$5:$D$2466,$B112,'май 2025'!$J$5:$J$2466,H$1)</f>
        <v>0</v>
      </c>
      <c r="I112" s="183">
        <f>SUMIFS('май 2025'!$G$5:$G$2466,'май 2025'!$D$5:$D$2466,$B112,'май 2025'!$J$5:$J$2466,I$1)</f>
        <v>0</v>
      </c>
      <c r="J112" s="183">
        <f>SUMIFS('май 2025'!$G$5:$G$2466,'май 2025'!$D$5:$D$2466,$B112,'май 2025'!$J$5:$J$2466,J$1)</f>
        <v>0</v>
      </c>
      <c r="K112" s="183">
        <f>SUMIFS('май 2025'!$G$5:$G$2466,'май 2025'!$D$5:$D$2466,$B112,'май 2025'!$J$5:$J$2466,K$1)</f>
        <v>0</v>
      </c>
      <c r="L112" s="183">
        <f>SUMIFS('май 2025'!$G$5:$G$2466,'май 2025'!$D$5:$D$2466,$B112,'май 2025'!$J$5:$J$2466,L$1)</f>
        <v>0</v>
      </c>
      <c r="M112" s="183">
        <f>SUMIFS('май 2025'!$G$5:$G$2466,'май 2025'!$D$5:$D$2466,$B112,'май 2025'!$J$5:$J$2466,M$1)</f>
        <v>0</v>
      </c>
      <c r="N112" s="183">
        <f>SUMIFS('май 2025'!$G$5:$G$2466,'май 2025'!$D$5:$D$2466,$B112,'май 2025'!$J$5:$J$2466,N$1)</f>
        <v>0</v>
      </c>
      <c r="O112" s="183">
        <f>SUMIFS('май 2025'!$G$5:$G$2466,'май 2025'!$D$5:$D$2466,$B112,'май 2025'!$J$5:$J$2466,O$1)</f>
        <v>0</v>
      </c>
      <c r="P112" s="183">
        <f>SUMIFS('май 2025'!$G$5:$G$2466,'май 2025'!$D$5:$D$2466,$B112,'май 2025'!$J$5:$J$2466,P$1)</f>
        <v>0</v>
      </c>
      <c r="Q112" s="183">
        <f>SUMIFS('май 2025'!$G$5:$G$2466,'май 2025'!$D$5:$D$2466,$B112,'май 2025'!$J$5:$J$2466,Q$1)</f>
        <v>0</v>
      </c>
      <c r="R112" s="183">
        <f>SUMIFS('май 2025'!$G$5:$G$2466,'май 2025'!$D$5:$D$2466,$B112,'май 2025'!$J$5:$J$2466,R$1)</f>
        <v>0</v>
      </c>
      <c r="S112" s="183">
        <f>SUMIFS('май 2025'!$G$5:$G$2466,'май 2025'!$D$5:$D$2466,$B112,'май 2025'!$J$5:$J$2466,S$1)</f>
        <v>0</v>
      </c>
      <c r="T112" s="183">
        <f>SUMIFS('май 2025'!$G$5:$G$2466,'май 2025'!$D$5:$D$2466,$B112,'май 2025'!$J$5:$J$2466,T$1)</f>
        <v>0</v>
      </c>
      <c r="U112" s="183">
        <f>SUMIFS('май 2025'!$G$5:$G$2466,'май 2025'!$D$5:$D$2466,$B112,'май 2025'!$J$5:$J$2466,U$1)</f>
        <v>0</v>
      </c>
      <c r="V112" s="183">
        <f>SUMIFS('май 2025'!$G$5:$G$2466,'май 2025'!$D$5:$D$2466,$B112,'май 2025'!$J$5:$J$2466,V$1)</f>
        <v>0</v>
      </c>
      <c r="W112" s="183">
        <f>SUMIFS('май 2025'!$G$5:$G$2466,'май 2025'!$D$5:$D$2466,$B112,'май 2025'!$J$5:$J$2466,W$1)</f>
        <v>0</v>
      </c>
      <c r="X112" s="183">
        <f>SUMIFS('май 2025'!$G$5:$G$2466,'май 2025'!$D$5:$D$2466,$B112,'май 2025'!$J$5:$J$2466,X$1)</f>
        <v>0</v>
      </c>
      <c r="Y112" s="183">
        <f>SUMIFS('май 2025'!$G$5:$G$2466,'май 2025'!$D$5:$D$2466,$B112,'май 2025'!$J$5:$J$2466,Y$1)</f>
        <v>0</v>
      </c>
      <c r="Z112" s="183">
        <f>SUMIFS('май 2025'!$G$5:$G$2466,'май 2025'!$D$5:$D$2466,$B112,'май 2025'!$J$5:$J$2466,Z$1)</f>
        <v>0</v>
      </c>
      <c r="AA112" s="183">
        <f>SUMIFS('май 2025'!$G$5:$G$2466,'май 2025'!$D$5:$D$2466,$B112,'май 2025'!$J$5:$J$2466,AA$1)</f>
        <v>0</v>
      </c>
      <c r="AB112" s="183">
        <f>SUMIFS('май 2025'!$G$5:$G$2466,'май 2025'!$D$5:$D$2466,$B112,'май 2025'!$J$5:$J$2466,AB$1)</f>
        <v>0</v>
      </c>
      <c r="AC112" s="183">
        <f>SUMIFS('май 2025'!$G$5:$G$2466,'май 2025'!$D$5:$D$2466,$B112,'май 2025'!$J$5:$J$2466,AC$1)</f>
        <v>0</v>
      </c>
      <c r="AD112" s="183">
        <f>SUMIFS('май 2025'!$G$5:$G$2466,'май 2025'!$D$5:$D$2466,$B112,'май 2025'!$J$5:$J$2466,AD$1)</f>
        <v>0</v>
      </c>
      <c r="AE112" s="183">
        <f>SUMIFS('май 2025'!$G$5:$G$2466,'май 2025'!$D$5:$D$2466,$B112,'май 2025'!$J$5:$J$2466,AE$1)</f>
        <v>0</v>
      </c>
      <c r="AF112" s="183">
        <f>SUMIFS('май 2025'!$G$5:$G$2466,'май 2025'!$D$5:$D$2466,$B112,'май 2025'!$J$5:$J$2466,AF$1)</f>
        <v>0</v>
      </c>
      <c r="AG112" s="183">
        <f>SUMIFS('май 2025'!$G$5:$G$2466,'май 2025'!$D$5:$D$2466,$B112,'май 2025'!$J$5:$J$2466,AG$1)</f>
        <v>0</v>
      </c>
      <c r="AH112" s="183">
        <f>SUMIFS('май 2025'!$G$5:$G$2466,'май 2025'!$D$5:$D$2466,$B112,'май 2025'!$J$5:$J$2466,AH$1)</f>
        <v>0</v>
      </c>
      <c r="AI112" s="20">
        <f t="shared" si="1"/>
        <v>0</v>
      </c>
    </row>
    <row r="113" spans="2:35" ht="15" customHeight="1" x14ac:dyDescent="0.25">
      <c r="B113" s="88" t="s">
        <v>180</v>
      </c>
      <c r="C113" s="86">
        <v>200</v>
      </c>
      <c r="D113" s="183">
        <f>SUMIFS('май 2025'!$G$5:$G$2466,'май 2025'!$D$5:$D$2466,$B113,'май 2025'!$J$5:$J$2466,D$1)</f>
        <v>0</v>
      </c>
      <c r="E113" s="183">
        <f>SUMIFS('май 2025'!$G$5:$G$2466,'май 2025'!$D$5:$D$2466,$B113,'май 2025'!$J$5:$J$2466,E$1)</f>
        <v>0</v>
      </c>
      <c r="F113" s="183">
        <f>SUMIFS('май 2025'!$G$5:$G$2466,'май 2025'!$D$5:$D$2466,$B113,'май 2025'!$J$5:$J$2466,F$1)</f>
        <v>0</v>
      </c>
      <c r="G113" s="183">
        <f>SUMIFS('май 2025'!$G$5:$G$2466,'май 2025'!$D$5:$D$2466,$B113,'май 2025'!$J$5:$J$2466,G$1)</f>
        <v>0</v>
      </c>
      <c r="H113" s="183">
        <f>SUMIFS('май 2025'!$G$5:$G$2466,'май 2025'!$D$5:$D$2466,$B113,'май 2025'!$J$5:$J$2466,H$1)</f>
        <v>0</v>
      </c>
      <c r="I113" s="183">
        <f>SUMIFS('май 2025'!$G$5:$G$2466,'май 2025'!$D$5:$D$2466,$B113,'май 2025'!$J$5:$J$2466,I$1)</f>
        <v>0</v>
      </c>
      <c r="J113" s="183">
        <f>SUMIFS('май 2025'!$G$5:$G$2466,'май 2025'!$D$5:$D$2466,$B113,'май 2025'!$J$5:$J$2466,J$1)</f>
        <v>0</v>
      </c>
      <c r="K113" s="183">
        <f>SUMIFS('май 2025'!$G$5:$G$2466,'май 2025'!$D$5:$D$2466,$B113,'май 2025'!$J$5:$J$2466,K$1)</f>
        <v>0</v>
      </c>
      <c r="L113" s="183">
        <f>SUMIFS('май 2025'!$G$5:$G$2466,'май 2025'!$D$5:$D$2466,$B113,'май 2025'!$J$5:$J$2466,L$1)</f>
        <v>0</v>
      </c>
      <c r="M113" s="183">
        <f>SUMIFS('май 2025'!$G$5:$G$2466,'май 2025'!$D$5:$D$2466,$B113,'май 2025'!$J$5:$J$2466,M$1)</f>
        <v>0</v>
      </c>
      <c r="N113" s="183">
        <f>SUMIFS('май 2025'!$G$5:$G$2466,'май 2025'!$D$5:$D$2466,$B113,'май 2025'!$J$5:$J$2466,N$1)</f>
        <v>0</v>
      </c>
      <c r="O113" s="183">
        <f>SUMIFS('май 2025'!$G$5:$G$2466,'май 2025'!$D$5:$D$2466,$B113,'май 2025'!$J$5:$J$2466,O$1)</f>
        <v>0</v>
      </c>
      <c r="P113" s="183">
        <f>SUMIFS('май 2025'!$G$5:$G$2466,'май 2025'!$D$5:$D$2466,$B113,'май 2025'!$J$5:$J$2466,P$1)</f>
        <v>0</v>
      </c>
      <c r="Q113" s="183">
        <f>SUMIFS('май 2025'!$G$5:$G$2466,'май 2025'!$D$5:$D$2466,$B113,'май 2025'!$J$5:$J$2466,Q$1)</f>
        <v>0</v>
      </c>
      <c r="R113" s="183">
        <f>SUMIFS('май 2025'!$G$5:$G$2466,'май 2025'!$D$5:$D$2466,$B113,'май 2025'!$J$5:$J$2466,R$1)</f>
        <v>0</v>
      </c>
      <c r="S113" s="183">
        <f>SUMIFS('май 2025'!$G$5:$G$2466,'май 2025'!$D$5:$D$2466,$B113,'май 2025'!$J$5:$J$2466,S$1)</f>
        <v>0</v>
      </c>
      <c r="T113" s="183">
        <f>SUMIFS('май 2025'!$G$5:$G$2466,'май 2025'!$D$5:$D$2466,$B113,'май 2025'!$J$5:$J$2466,T$1)</f>
        <v>0</v>
      </c>
      <c r="U113" s="183">
        <f>SUMIFS('май 2025'!$G$5:$G$2466,'май 2025'!$D$5:$D$2466,$B113,'май 2025'!$J$5:$J$2466,U$1)</f>
        <v>0</v>
      </c>
      <c r="V113" s="183">
        <f>SUMIFS('май 2025'!$G$5:$G$2466,'май 2025'!$D$5:$D$2466,$B113,'май 2025'!$J$5:$J$2466,V$1)</f>
        <v>0</v>
      </c>
      <c r="W113" s="183">
        <f>SUMIFS('май 2025'!$G$5:$G$2466,'май 2025'!$D$5:$D$2466,$B113,'май 2025'!$J$5:$J$2466,W$1)</f>
        <v>0</v>
      </c>
      <c r="X113" s="183">
        <f>SUMIFS('май 2025'!$G$5:$G$2466,'май 2025'!$D$5:$D$2466,$B113,'май 2025'!$J$5:$J$2466,X$1)</f>
        <v>0</v>
      </c>
      <c r="Y113" s="183">
        <f>SUMIFS('май 2025'!$G$5:$G$2466,'май 2025'!$D$5:$D$2466,$B113,'май 2025'!$J$5:$J$2466,Y$1)</f>
        <v>0</v>
      </c>
      <c r="Z113" s="183">
        <f>SUMIFS('май 2025'!$G$5:$G$2466,'май 2025'!$D$5:$D$2466,$B113,'май 2025'!$J$5:$J$2466,Z$1)</f>
        <v>0</v>
      </c>
      <c r="AA113" s="183">
        <f>SUMIFS('май 2025'!$G$5:$G$2466,'май 2025'!$D$5:$D$2466,$B113,'май 2025'!$J$5:$J$2466,AA$1)</f>
        <v>0</v>
      </c>
      <c r="AB113" s="183">
        <f>SUMIFS('май 2025'!$G$5:$G$2466,'май 2025'!$D$5:$D$2466,$B113,'май 2025'!$J$5:$J$2466,AB$1)</f>
        <v>0</v>
      </c>
      <c r="AC113" s="183">
        <f>SUMIFS('май 2025'!$G$5:$G$2466,'май 2025'!$D$5:$D$2466,$B113,'май 2025'!$J$5:$J$2466,AC$1)</f>
        <v>0</v>
      </c>
      <c r="AD113" s="183">
        <f>SUMIFS('май 2025'!$G$5:$G$2466,'май 2025'!$D$5:$D$2466,$B113,'май 2025'!$J$5:$J$2466,AD$1)</f>
        <v>0</v>
      </c>
      <c r="AE113" s="183">
        <f>SUMIFS('май 2025'!$G$5:$G$2466,'май 2025'!$D$5:$D$2466,$B113,'май 2025'!$J$5:$J$2466,AE$1)</f>
        <v>0</v>
      </c>
      <c r="AF113" s="183">
        <f>SUMIFS('май 2025'!$G$5:$G$2466,'май 2025'!$D$5:$D$2466,$B113,'май 2025'!$J$5:$J$2466,AF$1)</f>
        <v>0</v>
      </c>
      <c r="AG113" s="183">
        <f>SUMIFS('май 2025'!$G$5:$G$2466,'май 2025'!$D$5:$D$2466,$B113,'май 2025'!$J$5:$J$2466,AG$1)</f>
        <v>0</v>
      </c>
      <c r="AH113" s="183">
        <f>SUMIFS('май 2025'!$G$5:$G$2466,'май 2025'!$D$5:$D$2466,$B113,'май 2025'!$J$5:$J$2466,AH$1)</f>
        <v>0</v>
      </c>
      <c r="AI113" s="20">
        <f t="shared" si="1"/>
        <v>0</v>
      </c>
    </row>
    <row r="114" spans="2:35" ht="15" customHeight="1" x14ac:dyDescent="0.25">
      <c r="B114" s="88" t="s">
        <v>262</v>
      </c>
      <c r="C114" s="86">
        <v>200</v>
      </c>
      <c r="D114" s="183">
        <f>SUMIFS('май 2025'!$G$5:$G$2466,'май 2025'!$D$5:$D$2466,$B114,'май 2025'!$J$5:$J$2466,D$1)</f>
        <v>0</v>
      </c>
      <c r="E114" s="183">
        <f>SUMIFS('май 2025'!$G$5:$G$2466,'май 2025'!$D$5:$D$2466,$B114,'май 2025'!$J$5:$J$2466,E$1)</f>
        <v>0</v>
      </c>
      <c r="F114" s="183">
        <f>SUMIFS('май 2025'!$G$5:$G$2466,'май 2025'!$D$5:$D$2466,$B114,'май 2025'!$J$5:$J$2466,F$1)</f>
        <v>0</v>
      </c>
      <c r="G114" s="183">
        <f>SUMIFS('май 2025'!$G$5:$G$2466,'май 2025'!$D$5:$D$2466,$B114,'май 2025'!$J$5:$J$2466,G$1)</f>
        <v>0</v>
      </c>
      <c r="H114" s="183">
        <f>SUMIFS('май 2025'!$G$5:$G$2466,'май 2025'!$D$5:$D$2466,$B114,'май 2025'!$J$5:$J$2466,H$1)</f>
        <v>0</v>
      </c>
      <c r="I114" s="183">
        <f>SUMIFS('май 2025'!$G$5:$G$2466,'май 2025'!$D$5:$D$2466,$B114,'май 2025'!$J$5:$J$2466,I$1)</f>
        <v>0</v>
      </c>
      <c r="J114" s="183">
        <f>SUMIFS('май 2025'!$G$5:$G$2466,'май 2025'!$D$5:$D$2466,$B114,'май 2025'!$J$5:$J$2466,J$1)</f>
        <v>0</v>
      </c>
      <c r="K114" s="183">
        <f>SUMIFS('май 2025'!$G$5:$G$2466,'май 2025'!$D$5:$D$2466,$B114,'май 2025'!$J$5:$J$2466,K$1)</f>
        <v>0</v>
      </c>
      <c r="L114" s="183">
        <f>SUMIFS('май 2025'!$G$5:$G$2466,'май 2025'!$D$5:$D$2466,$B114,'май 2025'!$J$5:$J$2466,L$1)</f>
        <v>0</v>
      </c>
      <c r="M114" s="183">
        <f>SUMIFS('май 2025'!$G$5:$G$2466,'май 2025'!$D$5:$D$2466,$B114,'май 2025'!$J$5:$J$2466,M$1)</f>
        <v>0</v>
      </c>
      <c r="N114" s="183">
        <f>SUMIFS('май 2025'!$G$5:$G$2466,'май 2025'!$D$5:$D$2466,$B114,'май 2025'!$J$5:$J$2466,N$1)</f>
        <v>0</v>
      </c>
      <c r="O114" s="183">
        <f>SUMIFS('май 2025'!$G$5:$G$2466,'май 2025'!$D$5:$D$2466,$B114,'май 2025'!$J$5:$J$2466,O$1)</f>
        <v>0</v>
      </c>
      <c r="P114" s="183">
        <f>SUMIFS('май 2025'!$G$5:$G$2466,'май 2025'!$D$5:$D$2466,$B114,'май 2025'!$J$5:$J$2466,P$1)</f>
        <v>0</v>
      </c>
      <c r="Q114" s="183">
        <f>SUMIFS('май 2025'!$G$5:$G$2466,'май 2025'!$D$5:$D$2466,$B114,'май 2025'!$J$5:$J$2466,Q$1)</f>
        <v>0</v>
      </c>
      <c r="R114" s="183">
        <f>SUMIFS('май 2025'!$G$5:$G$2466,'май 2025'!$D$5:$D$2466,$B114,'май 2025'!$J$5:$J$2466,R$1)</f>
        <v>0</v>
      </c>
      <c r="S114" s="183">
        <f>SUMIFS('май 2025'!$G$5:$G$2466,'май 2025'!$D$5:$D$2466,$B114,'май 2025'!$J$5:$J$2466,S$1)</f>
        <v>0</v>
      </c>
      <c r="T114" s="183">
        <f>SUMIFS('май 2025'!$G$5:$G$2466,'май 2025'!$D$5:$D$2466,$B114,'май 2025'!$J$5:$J$2466,T$1)</f>
        <v>0</v>
      </c>
      <c r="U114" s="183">
        <f>SUMIFS('май 2025'!$G$5:$G$2466,'май 2025'!$D$5:$D$2466,$B114,'май 2025'!$J$5:$J$2466,U$1)</f>
        <v>0</v>
      </c>
      <c r="V114" s="183">
        <f>SUMIFS('май 2025'!$G$5:$G$2466,'май 2025'!$D$5:$D$2466,$B114,'май 2025'!$J$5:$J$2466,V$1)</f>
        <v>0</v>
      </c>
      <c r="W114" s="183">
        <f>SUMIFS('май 2025'!$G$5:$G$2466,'май 2025'!$D$5:$D$2466,$B114,'май 2025'!$J$5:$J$2466,W$1)</f>
        <v>0</v>
      </c>
      <c r="X114" s="183">
        <f>SUMIFS('май 2025'!$G$5:$G$2466,'май 2025'!$D$5:$D$2466,$B114,'май 2025'!$J$5:$J$2466,X$1)</f>
        <v>0</v>
      </c>
      <c r="Y114" s="183">
        <f>SUMIFS('май 2025'!$G$5:$G$2466,'май 2025'!$D$5:$D$2466,$B114,'май 2025'!$J$5:$J$2466,Y$1)</f>
        <v>0</v>
      </c>
      <c r="Z114" s="183">
        <f>SUMIFS('май 2025'!$G$5:$G$2466,'май 2025'!$D$5:$D$2466,$B114,'май 2025'!$J$5:$J$2466,Z$1)</f>
        <v>0</v>
      </c>
      <c r="AA114" s="183">
        <f>SUMIFS('май 2025'!$G$5:$G$2466,'май 2025'!$D$5:$D$2466,$B114,'май 2025'!$J$5:$J$2466,AA$1)</f>
        <v>0</v>
      </c>
      <c r="AB114" s="183">
        <f>SUMIFS('май 2025'!$G$5:$G$2466,'май 2025'!$D$5:$D$2466,$B114,'май 2025'!$J$5:$J$2466,AB$1)</f>
        <v>0</v>
      </c>
      <c r="AC114" s="183">
        <f>SUMIFS('май 2025'!$G$5:$G$2466,'май 2025'!$D$5:$D$2466,$B114,'май 2025'!$J$5:$J$2466,AC$1)</f>
        <v>0</v>
      </c>
      <c r="AD114" s="183">
        <f>SUMIFS('май 2025'!$G$5:$G$2466,'май 2025'!$D$5:$D$2466,$B114,'май 2025'!$J$5:$J$2466,AD$1)</f>
        <v>0</v>
      </c>
      <c r="AE114" s="183">
        <f>SUMIFS('май 2025'!$G$5:$G$2466,'май 2025'!$D$5:$D$2466,$B114,'май 2025'!$J$5:$J$2466,AE$1)</f>
        <v>0</v>
      </c>
      <c r="AF114" s="183">
        <f>SUMIFS('май 2025'!$G$5:$G$2466,'май 2025'!$D$5:$D$2466,$B114,'май 2025'!$J$5:$J$2466,AF$1)</f>
        <v>0</v>
      </c>
      <c r="AG114" s="183">
        <f>SUMIFS('май 2025'!$G$5:$G$2466,'май 2025'!$D$5:$D$2466,$B114,'май 2025'!$J$5:$J$2466,AG$1)</f>
        <v>0</v>
      </c>
      <c r="AH114" s="183">
        <f>SUMIFS('май 2025'!$G$5:$G$2466,'май 2025'!$D$5:$D$2466,$B114,'май 2025'!$J$5:$J$2466,AH$1)</f>
        <v>0</v>
      </c>
      <c r="AI114" s="20">
        <f t="shared" si="1"/>
        <v>0</v>
      </c>
    </row>
    <row r="115" spans="2:35" ht="15" customHeight="1" x14ac:dyDescent="0.25">
      <c r="B115" s="88" t="s">
        <v>263</v>
      </c>
      <c r="C115" s="86">
        <v>200</v>
      </c>
      <c r="D115" s="183">
        <f>SUMIFS('май 2025'!$G$5:$G$2466,'май 2025'!$D$5:$D$2466,$B115,'май 2025'!$J$5:$J$2466,D$1)</f>
        <v>0</v>
      </c>
      <c r="E115" s="183">
        <f>SUMIFS('май 2025'!$G$5:$G$2466,'май 2025'!$D$5:$D$2466,$B115,'май 2025'!$J$5:$J$2466,E$1)</f>
        <v>0</v>
      </c>
      <c r="F115" s="183">
        <f>SUMIFS('май 2025'!$G$5:$G$2466,'май 2025'!$D$5:$D$2466,$B115,'май 2025'!$J$5:$J$2466,F$1)</f>
        <v>0</v>
      </c>
      <c r="G115" s="183">
        <f>SUMIFS('май 2025'!$G$5:$G$2466,'май 2025'!$D$5:$D$2466,$B115,'май 2025'!$J$5:$J$2466,G$1)</f>
        <v>0</v>
      </c>
      <c r="H115" s="183">
        <f>SUMIFS('май 2025'!$G$5:$G$2466,'май 2025'!$D$5:$D$2466,$B115,'май 2025'!$J$5:$J$2466,H$1)</f>
        <v>0</v>
      </c>
      <c r="I115" s="183">
        <f>SUMIFS('май 2025'!$G$5:$G$2466,'май 2025'!$D$5:$D$2466,$B115,'май 2025'!$J$5:$J$2466,I$1)</f>
        <v>0</v>
      </c>
      <c r="J115" s="183">
        <f>SUMIFS('май 2025'!$G$5:$G$2466,'май 2025'!$D$5:$D$2466,$B115,'май 2025'!$J$5:$J$2466,J$1)</f>
        <v>0</v>
      </c>
      <c r="K115" s="183">
        <f>SUMIFS('май 2025'!$G$5:$G$2466,'май 2025'!$D$5:$D$2466,$B115,'май 2025'!$J$5:$J$2466,K$1)</f>
        <v>0</v>
      </c>
      <c r="L115" s="183">
        <f>SUMIFS('май 2025'!$G$5:$G$2466,'май 2025'!$D$5:$D$2466,$B115,'май 2025'!$J$5:$J$2466,L$1)</f>
        <v>0</v>
      </c>
      <c r="M115" s="183">
        <f>SUMIFS('май 2025'!$G$5:$G$2466,'май 2025'!$D$5:$D$2466,$B115,'май 2025'!$J$5:$J$2466,M$1)</f>
        <v>0</v>
      </c>
      <c r="N115" s="183">
        <f>SUMIFS('май 2025'!$G$5:$G$2466,'май 2025'!$D$5:$D$2466,$B115,'май 2025'!$J$5:$J$2466,N$1)</f>
        <v>0</v>
      </c>
      <c r="O115" s="183">
        <f>SUMIFS('май 2025'!$G$5:$G$2466,'май 2025'!$D$5:$D$2466,$B115,'май 2025'!$J$5:$J$2466,O$1)</f>
        <v>0</v>
      </c>
      <c r="P115" s="183">
        <f>SUMIFS('май 2025'!$G$5:$G$2466,'май 2025'!$D$5:$D$2466,$B115,'май 2025'!$J$5:$J$2466,P$1)</f>
        <v>0</v>
      </c>
      <c r="Q115" s="183">
        <f>SUMIFS('май 2025'!$G$5:$G$2466,'май 2025'!$D$5:$D$2466,$B115,'май 2025'!$J$5:$J$2466,Q$1)</f>
        <v>0</v>
      </c>
      <c r="R115" s="183">
        <f>SUMIFS('май 2025'!$G$5:$G$2466,'май 2025'!$D$5:$D$2466,$B115,'май 2025'!$J$5:$J$2466,R$1)</f>
        <v>0</v>
      </c>
      <c r="S115" s="183">
        <f>SUMIFS('май 2025'!$G$5:$G$2466,'май 2025'!$D$5:$D$2466,$B115,'май 2025'!$J$5:$J$2466,S$1)</f>
        <v>0</v>
      </c>
      <c r="T115" s="183">
        <f>SUMIFS('май 2025'!$G$5:$G$2466,'май 2025'!$D$5:$D$2466,$B115,'май 2025'!$J$5:$J$2466,T$1)</f>
        <v>0</v>
      </c>
      <c r="U115" s="183">
        <f>SUMIFS('май 2025'!$G$5:$G$2466,'май 2025'!$D$5:$D$2466,$B115,'май 2025'!$J$5:$J$2466,U$1)</f>
        <v>0</v>
      </c>
      <c r="V115" s="183">
        <f>SUMIFS('май 2025'!$G$5:$G$2466,'май 2025'!$D$5:$D$2466,$B115,'май 2025'!$J$5:$J$2466,V$1)</f>
        <v>0</v>
      </c>
      <c r="W115" s="183">
        <f>SUMIFS('май 2025'!$G$5:$G$2466,'май 2025'!$D$5:$D$2466,$B115,'май 2025'!$J$5:$J$2466,W$1)</f>
        <v>0</v>
      </c>
      <c r="X115" s="183">
        <f>SUMIFS('май 2025'!$G$5:$G$2466,'май 2025'!$D$5:$D$2466,$B115,'май 2025'!$J$5:$J$2466,X$1)</f>
        <v>0</v>
      </c>
      <c r="Y115" s="183">
        <f>SUMIFS('май 2025'!$G$5:$G$2466,'май 2025'!$D$5:$D$2466,$B115,'май 2025'!$J$5:$J$2466,Y$1)</f>
        <v>0</v>
      </c>
      <c r="Z115" s="183">
        <f>SUMIFS('май 2025'!$G$5:$G$2466,'май 2025'!$D$5:$D$2466,$B115,'май 2025'!$J$5:$J$2466,Z$1)</f>
        <v>0</v>
      </c>
      <c r="AA115" s="183">
        <f>SUMIFS('май 2025'!$G$5:$G$2466,'май 2025'!$D$5:$D$2466,$B115,'май 2025'!$J$5:$J$2466,AA$1)</f>
        <v>0</v>
      </c>
      <c r="AB115" s="183">
        <f>SUMIFS('май 2025'!$G$5:$G$2466,'май 2025'!$D$5:$D$2466,$B115,'май 2025'!$J$5:$J$2466,AB$1)</f>
        <v>0</v>
      </c>
      <c r="AC115" s="183">
        <f>SUMIFS('май 2025'!$G$5:$G$2466,'май 2025'!$D$5:$D$2466,$B115,'май 2025'!$J$5:$J$2466,AC$1)</f>
        <v>0</v>
      </c>
      <c r="AD115" s="183">
        <f>SUMIFS('май 2025'!$G$5:$G$2466,'май 2025'!$D$5:$D$2466,$B115,'май 2025'!$J$5:$J$2466,AD$1)</f>
        <v>0</v>
      </c>
      <c r="AE115" s="183">
        <f>SUMIFS('май 2025'!$G$5:$G$2466,'май 2025'!$D$5:$D$2466,$B115,'май 2025'!$J$5:$J$2466,AE$1)</f>
        <v>0</v>
      </c>
      <c r="AF115" s="183">
        <f>SUMIFS('май 2025'!$G$5:$G$2466,'май 2025'!$D$5:$D$2466,$B115,'май 2025'!$J$5:$J$2466,AF$1)</f>
        <v>0</v>
      </c>
      <c r="AG115" s="183">
        <f>SUMIFS('май 2025'!$G$5:$G$2466,'май 2025'!$D$5:$D$2466,$B115,'май 2025'!$J$5:$J$2466,AG$1)</f>
        <v>0</v>
      </c>
      <c r="AH115" s="183">
        <f>SUMIFS('май 2025'!$G$5:$G$2466,'май 2025'!$D$5:$D$2466,$B115,'май 2025'!$J$5:$J$2466,AH$1)</f>
        <v>0</v>
      </c>
      <c r="AI115" s="20">
        <f t="shared" si="1"/>
        <v>0</v>
      </c>
    </row>
    <row r="116" spans="2:35" ht="15" customHeight="1" x14ac:dyDescent="0.25">
      <c r="B116" s="84" t="s">
        <v>208</v>
      </c>
      <c r="C116" s="83">
        <v>25</v>
      </c>
      <c r="D116" s="183">
        <f>SUMIFS('май 2025'!$G$5:$G$2466,'май 2025'!$D$5:$D$2466,$B116,'май 2025'!$J$5:$J$2466,D$1)</f>
        <v>0</v>
      </c>
      <c r="E116" s="183">
        <f>SUMIFS('май 2025'!$G$5:$G$2466,'май 2025'!$D$5:$D$2466,$B116,'май 2025'!$J$5:$J$2466,E$1)</f>
        <v>0</v>
      </c>
      <c r="F116" s="183">
        <f>SUMIFS('май 2025'!$G$5:$G$2466,'май 2025'!$D$5:$D$2466,$B116,'май 2025'!$J$5:$J$2466,F$1)</f>
        <v>0</v>
      </c>
      <c r="G116" s="183">
        <f>SUMIFS('май 2025'!$G$5:$G$2466,'май 2025'!$D$5:$D$2466,$B116,'май 2025'!$J$5:$J$2466,G$1)</f>
        <v>0</v>
      </c>
      <c r="H116" s="183">
        <f>SUMIFS('май 2025'!$G$5:$G$2466,'май 2025'!$D$5:$D$2466,$B116,'май 2025'!$J$5:$J$2466,H$1)</f>
        <v>0</v>
      </c>
      <c r="I116" s="183">
        <f>SUMIFS('май 2025'!$G$5:$G$2466,'май 2025'!$D$5:$D$2466,$B116,'май 2025'!$J$5:$J$2466,I$1)</f>
        <v>0</v>
      </c>
      <c r="J116" s="183">
        <f>SUMIFS('май 2025'!$G$5:$G$2466,'май 2025'!$D$5:$D$2466,$B116,'май 2025'!$J$5:$J$2466,J$1)</f>
        <v>0</v>
      </c>
      <c r="K116" s="183">
        <f>SUMIFS('май 2025'!$G$5:$G$2466,'май 2025'!$D$5:$D$2466,$B116,'май 2025'!$J$5:$J$2466,K$1)</f>
        <v>0</v>
      </c>
      <c r="L116" s="183">
        <f>SUMIFS('май 2025'!$G$5:$G$2466,'май 2025'!$D$5:$D$2466,$B116,'май 2025'!$J$5:$J$2466,L$1)</f>
        <v>0</v>
      </c>
      <c r="M116" s="183">
        <f>SUMIFS('май 2025'!$G$5:$G$2466,'май 2025'!$D$5:$D$2466,$B116,'май 2025'!$J$5:$J$2466,M$1)</f>
        <v>0</v>
      </c>
      <c r="N116" s="183">
        <f>SUMIFS('май 2025'!$G$5:$G$2466,'май 2025'!$D$5:$D$2466,$B116,'май 2025'!$J$5:$J$2466,N$1)</f>
        <v>0</v>
      </c>
      <c r="O116" s="183">
        <f>SUMIFS('май 2025'!$G$5:$G$2466,'май 2025'!$D$5:$D$2466,$B116,'май 2025'!$J$5:$J$2466,O$1)</f>
        <v>0</v>
      </c>
      <c r="P116" s="183">
        <f>SUMIFS('май 2025'!$G$5:$G$2466,'май 2025'!$D$5:$D$2466,$B116,'май 2025'!$J$5:$J$2466,P$1)</f>
        <v>0</v>
      </c>
      <c r="Q116" s="183">
        <f>SUMIFS('май 2025'!$G$5:$G$2466,'май 2025'!$D$5:$D$2466,$B116,'май 2025'!$J$5:$J$2466,Q$1)</f>
        <v>0</v>
      </c>
      <c r="R116" s="183">
        <f>SUMIFS('май 2025'!$G$5:$G$2466,'май 2025'!$D$5:$D$2466,$B116,'май 2025'!$J$5:$J$2466,R$1)</f>
        <v>0</v>
      </c>
      <c r="S116" s="183">
        <f>SUMIFS('май 2025'!$G$5:$G$2466,'май 2025'!$D$5:$D$2466,$B116,'май 2025'!$J$5:$J$2466,S$1)</f>
        <v>0</v>
      </c>
      <c r="T116" s="183">
        <f>SUMIFS('май 2025'!$G$5:$G$2466,'май 2025'!$D$5:$D$2466,$B116,'май 2025'!$J$5:$J$2466,T$1)</f>
        <v>0</v>
      </c>
      <c r="U116" s="183">
        <f>SUMIFS('май 2025'!$G$5:$G$2466,'май 2025'!$D$5:$D$2466,$B116,'май 2025'!$J$5:$J$2466,U$1)</f>
        <v>0</v>
      </c>
      <c r="V116" s="183">
        <f>SUMIFS('май 2025'!$G$5:$G$2466,'май 2025'!$D$5:$D$2466,$B116,'май 2025'!$J$5:$J$2466,V$1)</f>
        <v>0</v>
      </c>
      <c r="W116" s="183">
        <f>SUMIFS('май 2025'!$G$5:$G$2466,'май 2025'!$D$5:$D$2466,$B116,'май 2025'!$J$5:$J$2466,W$1)</f>
        <v>0</v>
      </c>
      <c r="X116" s="183">
        <f>SUMIFS('май 2025'!$G$5:$G$2466,'май 2025'!$D$5:$D$2466,$B116,'май 2025'!$J$5:$J$2466,X$1)</f>
        <v>0</v>
      </c>
      <c r="Y116" s="183">
        <f>SUMIFS('май 2025'!$G$5:$G$2466,'май 2025'!$D$5:$D$2466,$B116,'май 2025'!$J$5:$J$2466,Y$1)</f>
        <v>0</v>
      </c>
      <c r="Z116" s="183">
        <f>SUMIFS('май 2025'!$G$5:$G$2466,'май 2025'!$D$5:$D$2466,$B116,'май 2025'!$J$5:$J$2466,Z$1)</f>
        <v>0</v>
      </c>
      <c r="AA116" s="183">
        <f>SUMIFS('май 2025'!$G$5:$G$2466,'май 2025'!$D$5:$D$2466,$B116,'май 2025'!$J$5:$J$2466,AA$1)</f>
        <v>0</v>
      </c>
      <c r="AB116" s="183">
        <f>SUMIFS('май 2025'!$G$5:$G$2466,'май 2025'!$D$5:$D$2466,$B116,'май 2025'!$J$5:$J$2466,AB$1)</f>
        <v>0</v>
      </c>
      <c r="AC116" s="183">
        <f>SUMIFS('май 2025'!$G$5:$G$2466,'май 2025'!$D$5:$D$2466,$B116,'май 2025'!$J$5:$J$2466,AC$1)</f>
        <v>0</v>
      </c>
      <c r="AD116" s="183">
        <f>SUMIFS('май 2025'!$G$5:$G$2466,'май 2025'!$D$5:$D$2466,$B116,'май 2025'!$J$5:$J$2466,AD$1)</f>
        <v>0</v>
      </c>
      <c r="AE116" s="183">
        <f>SUMIFS('май 2025'!$G$5:$G$2466,'май 2025'!$D$5:$D$2466,$B116,'май 2025'!$J$5:$J$2466,AE$1)</f>
        <v>0</v>
      </c>
      <c r="AF116" s="183">
        <f>SUMIFS('май 2025'!$G$5:$G$2466,'май 2025'!$D$5:$D$2466,$B116,'май 2025'!$J$5:$J$2466,AF$1)</f>
        <v>0</v>
      </c>
      <c r="AG116" s="183">
        <f>SUMIFS('май 2025'!$G$5:$G$2466,'май 2025'!$D$5:$D$2466,$B116,'май 2025'!$J$5:$J$2466,AG$1)</f>
        <v>0</v>
      </c>
      <c r="AH116" s="183">
        <f>SUMIFS('май 2025'!$G$5:$G$2466,'май 2025'!$D$5:$D$2466,$B116,'май 2025'!$J$5:$J$2466,AH$1)</f>
        <v>0</v>
      </c>
      <c r="AI116" s="20">
        <f t="shared" si="1"/>
        <v>0</v>
      </c>
    </row>
    <row r="117" spans="2:35" ht="15" customHeight="1" x14ac:dyDescent="0.25">
      <c r="B117" s="88" t="s">
        <v>264</v>
      </c>
      <c r="C117" s="86">
        <v>50</v>
      </c>
      <c r="D117" s="183">
        <f>SUMIFS('май 2025'!$G$5:$G$2466,'май 2025'!$D$5:$D$2466,$B117,'май 2025'!$J$5:$J$2466,D$1)</f>
        <v>0</v>
      </c>
      <c r="E117" s="183">
        <f>SUMIFS('май 2025'!$G$5:$G$2466,'май 2025'!$D$5:$D$2466,$B117,'май 2025'!$J$5:$J$2466,E$1)</f>
        <v>0</v>
      </c>
      <c r="F117" s="183">
        <f>SUMIFS('май 2025'!$G$5:$G$2466,'май 2025'!$D$5:$D$2466,$B117,'май 2025'!$J$5:$J$2466,F$1)</f>
        <v>0</v>
      </c>
      <c r="G117" s="183">
        <f>SUMIFS('май 2025'!$G$5:$G$2466,'май 2025'!$D$5:$D$2466,$B117,'май 2025'!$J$5:$J$2466,G$1)</f>
        <v>0</v>
      </c>
      <c r="H117" s="183">
        <f>SUMIFS('май 2025'!$G$5:$G$2466,'май 2025'!$D$5:$D$2466,$B117,'май 2025'!$J$5:$J$2466,H$1)</f>
        <v>0</v>
      </c>
      <c r="I117" s="183">
        <f>SUMIFS('май 2025'!$G$5:$G$2466,'май 2025'!$D$5:$D$2466,$B117,'май 2025'!$J$5:$J$2466,I$1)</f>
        <v>0</v>
      </c>
      <c r="J117" s="183">
        <f>SUMIFS('май 2025'!$G$5:$G$2466,'май 2025'!$D$5:$D$2466,$B117,'май 2025'!$J$5:$J$2466,J$1)</f>
        <v>0</v>
      </c>
      <c r="K117" s="183">
        <f>SUMIFS('май 2025'!$G$5:$G$2466,'май 2025'!$D$5:$D$2466,$B117,'май 2025'!$J$5:$J$2466,K$1)</f>
        <v>0</v>
      </c>
      <c r="L117" s="183">
        <f>SUMIFS('май 2025'!$G$5:$G$2466,'май 2025'!$D$5:$D$2466,$B117,'май 2025'!$J$5:$J$2466,L$1)</f>
        <v>0</v>
      </c>
      <c r="M117" s="183">
        <f>SUMIFS('май 2025'!$G$5:$G$2466,'май 2025'!$D$5:$D$2466,$B117,'май 2025'!$J$5:$J$2466,M$1)</f>
        <v>0</v>
      </c>
      <c r="N117" s="183">
        <f>SUMIFS('май 2025'!$G$5:$G$2466,'май 2025'!$D$5:$D$2466,$B117,'май 2025'!$J$5:$J$2466,N$1)</f>
        <v>0</v>
      </c>
      <c r="O117" s="183">
        <f>SUMIFS('май 2025'!$G$5:$G$2466,'май 2025'!$D$5:$D$2466,$B117,'май 2025'!$J$5:$J$2466,O$1)</f>
        <v>0</v>
      </c>
      <c r="P117" s="183">
        <f>SUMIFS('май 2025'!$G$5:$G$2466,'май 2025'!$D$5:$D$2466,$B117,'май 2025'!$J$5:$J$2466,P$1)</f>
        <v>0</v>
      </c>
      <c r="Q117" s="183">
        <f>SUMIFS('май 2025'!$G$5:$G$2466,'май 2025'!$D$5:$D$2466,$B117,'май 2025'!$J$5:$J$2466,Q$1)</f>
        <v>0</v>
      </c>
      <c r="R117" s="183">
        <f>SUMIFS('май 2025'!$G$5:$G$2466,'май 2025'!$D$5:$D$2466,$B117,'май 2025'!$J$5:$J$2466,R$1)</f>
        <v>0</v>
      </c>
      <c r="S117" s="183">
        <f>SUMIFS('май 2025'!$G$5:$G$2466,'май 2025'!$D$5:$D$2466,$B117,'май 2025'!$J$5:$J$2466,S$1)</f>
        <v>0</v>
      </c>
      <c r="T117" s="183">
        <f>SUMIFS('май 2025'!$G$5:$G$2466,'май 2025'!$D$5:$D$2466,$B117,'май 2025'!$J$5:$J$2466,T$1)</f>
        <v>0</v>
      </c>
      <c r="U117" s="183">
        <f>SUMIFS('май 2025'!$G$5:$G$2466,'май 2025'!$D$5:$D$2466,$B117,'май 2025'!$J$5:$J$2466,U$1)</f>
        <v>0</v>
      </c>
      <c r="V117" s="183">
        <f>SUMIFS('май 2025'!$G$5:$G$2466,'май 2025'!$D$5:$D$2466,$B117,'май 2025'!$J$5:$J$2466,V$1)</f>
        <v>0</v>
      </c>
      <c r="W117" s="183">
        <f>SUMIFS('май 2025'!$G$5:$G$2466,'май 2025'!$D$5:$D$2466,$B117,'май 2025'!$J$5:$J$2466,W$1)</f>
        <v>0</v>
      </c>
      <c r="X117" s="183">
        <f>SUMIFS('май 2025'!$G$5:$G$2466,'май 2025'!$D$5:$D$2466,$B117,'май 2025'!$J$5:$J$2466,X$1)</f>
        <v>0</v>
      </c>
      <c r="Y117" s="183">
        <f>SUMIFS('май 2025'!$G$5:$G$2466,'май 2025'!$D$5:$D$2466,$B117,'май 2025'!$J$5:$J$2466,Y$1)</f>
        <v>0</v>
      </c>
      <c r="Z117" s="183">
        <f>SUMIFS('май 2025'!$G$5:$G$2466,'май 2025'!$D$5:$D$2466,$B117,'май 2025'!$J$5:$J$2466,Z$1)</f>
        <v>0</v>
      </c>
      <c r="AA117" s="183">
        <f>SUMIFS('май 2025'!$G$5:$G$2466,'май 2025'!$D$5:$D$2466,$B117,'май 2025'!$J$5:$J$2466,AA$1)</f>
        <v>0</v>
      </c>
      <c r="AB117" s="183">
        <f>SUMIFS('май 2025'!$G$5:$G$2466,'май 2025'!$D$5:$D$2466,$B117,'май 2025'!$J$5:$J$2466,AB$1)</f>
        <v>0</v>
      </c>
      <c r="AC117" s="183">
        <f>SUMIFS('май 2025'!$G$5:$G$2466,'май 2025'!$D$5:$D$2466,$B117,'май 2025'!$J$5:$J$2466,AC$1)</f>
        <v>0</v>
      </c>
      <c r="AD117" s="183">
        <f>SUMIFS('май 2025'!$G$5:$G$2466,'май 2025'!$D$5:$D$2466,$B117,'май 2025'!$J$5:$J$2466,AD$1)</f>
        <v>0</v>
      </c>
      <c r="AE117" s="183">
        <f>SUMIFS('май 2025'!$G$5:$G$2466,'май 2025'!$D$5:$D$2466,$B117,'май 2025'!$J$5:$J$2466,AE$1)</f>
        <v>0</v>
      </c>
      <c r="AF117" s="183">
        <f>SUMIFS('май 2025'!$G$5:$G$2466,'май 2025'!$D$5:$D$2466,$B117,'май 2025'!$J$5:$J$2466,AF$1)</f>
        <v>0</v>
      </c>
      <c r="AG117" s="183">
        <f>SUMIFS('май 2025'!$G$5:$G$2466,'май 2025'!$D$5:$D$2466,$B117,'май 2025'!$J$5:$J$2466,AG$1)</f>
        <v>0</v>
      </c>
      <c r="AH117" s="183">
        <f>SUMIFS('май 2025'!$G$5:$G$2466,'май 2025'!$D$5:$D$2466,$B117,'май 2025'!$J$5:$J$2466,AH$1)</f>
        <v>0</v>
      </c>
      <c r="AI117" s="20">
        <f t="shared" si="1"/>
        <v>0</v>
      </c>
    </row>
    <row r="118" spans="2:35" ht="15" customHeight="1" x14ac:dyDescent="0.25">
      <c r="B118" s="88" t="s">
        <v>185</v>
      </c>
      <c r="C118" s="86">
        <v>180</v>
      </c>
      <c r="D118" s="183">
        <f>SUMIFS('май 2025'!$G$5:$G$2466,'май 2025'!$D$5:$D$2466,$B118,'май 2025'!$J$5:$J$2466,D$1)</f>
        <v>0</v>
      </c>
      <c r="E118" s="183">
        <f>SUMIFS('май 2025'!$G$5:$G$2466,'май 2025'!$D$5:$D$2466,$B118,'май 2025'!$J$5:$J$2466,E$1)</f>
        <v>0</v>
      </c>
      <c r="F118" s="183">
        <f>SUMIFS('май 2025'!$G$5:$G$2466,'май 2025'!$D$5:$D$2466,$B118,'май 2025'!$J$5:$J$2466,F$1)</f>
        <v>0</v>
      </c>
      <c r="G118" s="183">
        <f>SUMIFS('май 2025'!$G$5:$G$2466,'май 2025'!$D$5:$D$2466,$B118,'май 2025'!$J$5:$J$2466,G$1)</f>
        <v>0</v>
      </c>
      <c r="H118" s="183">
        <f>SUMIFS('май 2025'!$G$5:$G$2466,'май 2025'!$D$5:$D$2466,$B118,'май 2025'!$J$5:$J$2466,H$1)</f>
        <v>0</v>
      </c>
      <c r="I118" s="183">
        <f>SUMIFS('май 2025'!$G$5:$G$2466,'май 2025'!$D$5:$D$2466,$B118,'май 2025'!$J$5:$J$2466,I$1)</f>
        <v>0</v>
      </c>
      <c r="J118" s="183">
        <f>SUMIFS('май 2025'!$G$5:$G$2466,'май 2025'!$D$5:$D$2466,$B118,'май 2025'!$J$5:$J$2466,J$1)</f>
        <v>0</v>
      </c>
      <c r="K118" s="183">
        <f>SUMIFS('май 2025'!$G$5:$G$2466,'май 2025'!$D$5:$D$2466,$B118,'май 2025'!$J$5:$J$2466,K$1)</f>
        <v>0</v>
      </c>
      <c r="L118" s="183">
        <f>SUMIFS('май 2025'!$G$5:$G$2466,'май 2025'!$D$5:$D$2466,$B118,'май 2025'!$J$5:$J$2466,L$1)</f>
        <v>0</v>
      </c>
      <c r="M118" s="183">
        <f>SUMIFS('май 2025'!$G$5:$G$2466,'май 2025'!$D$5:$D$2466,$B118,'май 2025'!$J$5:$J$2466,M$1)</f>
        <v>0</v>
      </c>
      <c r="N118" s="183">
        <f>SUMIFS('май 2025'!$G$5:$G$2466,'май 2025'!$D$5:$D$2466,$B118,'май 2025'!$J$5:$J$2466,N$1)</f>
        <v>0</v>
      </c>
      <c r="O118" s="183">
        <f>SUMIFS('май 2025'!$G$5:$G$2466,'май 2025'!$D$5:$D$2466,$B118,'май 2025'!$J$5:$J$2466,O$1)</f>
        <v>0</v>
      </c>
      <c r="P118" s="183">
        <f>SUMIFS('май 2025'!$G$5:$G$2466,'май 2025'!$D$5:$D$2466,$B118,'май 2025'!$J$5:$J$2466,P$1)</f>
        <v>0</v>
      </c>
      <c r="Q118" s="183">
        <f>SUMIFS('май 2025'!$G$5:$G$2466,'май 2025'!$D$5:$D$2466,$B118,'май 2025'!$J$5:$J$2466,Q$1)</f>
        <v>0</v>
      </c>
      <c r="R118" s="183">
        <f>SUMIFS('май 2025'!$G$5:$G$2466,'май 2025'!$D$5:$D$2466,$B118,'май 2025'!$J$5:$J$2466,R$1)</f>
        <v>0</v>
      </c>
      <c r="S118" s="183">
        <f>SUMIFS('май 2025'!$G$5:$G$2466,'май 2025'!$D$5:$D$2466,$B118,'май 2025'!$J$5:$J$2466,S$1)</f>
        <v>0</v>
      </c>
      <c r="T118" s="183">
        <f>SUMIFS('май 2025'!$G$5:$G$2466,'май 2025'!$D$5:$D$2466,$B118,'май 2025'!$J$5:$J$2466,T$1)</f>
        <v>0</v>
      </c>
      <c r="U118" s="183">
        <f>SUMIFS('май 2025'!$G$5:$G$2466,'май 2025'!$D$5:$D$2466,$B118,'май 2025'!$J$5:$J$2466,U$1)</f>
        <v>0</v>
      </c>
      <c r="V118" s="183">
        <f>SUMIFS('май 2025'!$G$5:$G$2466,'май 2025'!$D$5:$D$2466,$B118,'май 2025'!$J$5:$J$2466,V$1)</f>
        <v>0</v>
      </c>
      <c r="W118" s="183">
        <f>SUMIFS('май 2025'!$G$5:$G$2466,'май 2025'!$D$5:$D$2466,$B118,'май 2025'!$J$5:$J$2466,W$1)</f>
        <v>0</v>
      </c>
      <c r="X118" s="183">
        <f>SUMIFS('май 2025'!$G$5:$G$2466,'май 2025'!$D$5:$D$2466,$B118,'май 2025'!$J$5:$J$2466,X$1)</f>
        <v>0</v>
      </c>
      <c r="Y118" s="183">
        <f>SUMIFS('май 2025'!$G$5:$G$2466,'май 2025'!$D$5:$D$2466,$B118,'май 2025'!$J$5:$J$2466,Y$1)</f>
        <v>0</v>
      </c>
      <c r="Z118" s="183">
        <f>SUMIFS('май 2025'!$G$5:$G$2466,'май 2025'!$D$5:$D$2466,$B118,'май 2025'!$J$5:$J$2466,Z$1)</f>
        <v>0</v>
      </c>
      <c r="AA118" s="183">
        <f>SUMIFS('май 2025'!$G$5:$G$2466,'май 2025'!$D$5:$D$2466,$B118,'май 2025'!$J$5:$J$2466,AA$1)</f>
        <v>0</v>
      </c>
      <c r="AB118" s="183">
        <f>SUMIFS('май 2025'!$G$5:$G$2466,'май 2025'!$D$5:$D$2466,$B118,'май 2025'!$J$5:$J$2466,AB$1)</f>
        <v>0</v>
      </c>
      <c r="AC118" s="183">
        <f>SUMIFS('май 2025'!$G$5:$G$2466,'май 2025'!$D$5:$D$2466,$B118,'май 2025'!$J$5:$J$2466,AC$1)</f>
        <v>0</v>
      </c>
      <c r="AD118" s="183">
        <f>SUMIFS('май 2025'!$G$5:$G$2466,'май 2025'!$D$5:$D$2466,$B118,'май 2025'!$J$5:$J$2466,AD$1)</f>
        <v>0</v>
      </c>
      <c r="AE118" s="183">
        <f>SUMIFS('май 2025'!$G$5:$G$2466,'май 2025'!$D$5:$D$2466,$B118,'май 2025'!$J$5:$J$2466,AE$1)</f>
        <v>0</v>
      </c>
      <c r="AF118" s="183">
        <f>SUMIFS('май 2025'!$G$5:$G$2466,'май 2025'!$D$5:$D$2466,$B118,'май 2025'!$J$5:$J$2466,AF$1)</f>
        <v>0</v>
      </c>
      <c r="AG118" s="183">
        <f>SUMIFS('май 2025'!$G$5:$G$2466,'май 2025'!$D$5:$D$2466,$B118,'май 2025'!$J$5:$J$2466,AG$1)</f>
        <v>0</v>
      </c>
      <c r="AH118" s="183">
        <f>SUMIFS('май 2025'!$G$5:$G$2466,'май 2025'!$D$5:$D$2466,$B118,'май 2025'!$J$5:$J$2466,AH$1)</f>
        <v>0</v>
      </c>
      <c r="AI118" s="20">
        <f t="shared" si="1"/>
        <v>0</v>
      </c>
    </row>
    <row r="119" spans="2:35" ht="15" customHeight="1" x14ac:dyDescent="0.25">
      <c r="B119" s="88" t="s">
        <v>203</v>
      </c>
      <c r="C119" s="86">
        <v>185</v>
      </c>
      <c r="D119" s="183">
        <f>SUMIFS('май 2025'!$G$5:$G$2466,'май 2025'!$D$5:$D$2466,$B119,'май 2025'!$J$5:$J$2466,D$1)</f>
        <v>0</v>
      </c>
      <c r="E119" s="183">
        <f>SUMIFS('май 2025'!$G$5:$G$2466,'май 2025'!$D$5:$D$2466,$B119,'май 2025'!$J$5:$J$2466,E$1)</f>
        <v>0</v>
      </c>
      <c r="F119" s="183">
        <f>SUMIFS('май 2025'!$G$5:$G$2466,'май 2025'!$D$5:$D$2466,$B119,'май 2025'!$J$5:$J$2466,F$1)</f>
        <v>0</v>
      </c>
      <c r="G119" s="183">
        <f>SUMIFS('май 2025'!$G$5:$G$2466,'май 2025'!$D$5:$D$2466,$B119,'май 2025'!$J$5:$J$2466,G$1)</f>
        <v>0</v>
      </c>
      <c r="H119" s="183">
        <f>SUMIFS('май 2025'!$G$5:$G$2466,'май 2025'!$D$5:$D$2466,$B119,'май 2025'!$J$5:$J$2466,H$1)</f>
        <v>0</v>
      </c>
      <c r="I119" s="183">
        <f>SUMIFS('май 2025'!$G$5:$G$2466,'май 2025'!$D$5:$D$2466,$B119,'май 2025'!$J$5:$J$2466,I$1)</f>
        <v>0</v>
      </c>
      <c r="J119" s="183">
        <f>SUMIFS('май 2025'!$G$5:$G$2466,'май 2025'!$D$5:$D$2466,$B119,'май 2025'!$J$5:$J$2466,J$1)</f>
        <v>0</v>
      </c>
      <c r="K119" s="183">
        <f>SUMIFS('май 2025'!$G$5:$G$2466,'май 2025'!$D$5:$D$2466,$B119,'май 2025'!$J$5:$J$2466,K$1)</f>
        <v>0</v>
      </c>
      <c r="L119" s="183">
        <f>SUMIFS('май 2025'!$G$5:$G$2466,'май 2025'!$D$5:$D$2466,$B119,'май 2025'!$J$5:$J$2466,L$1)</f>
        <v>0</v>
      </c>
      <c r="M119" s="183">
        <f>SUMIFS('май 2025'!$G$5:$G$2466,'май 2025'!$D$5:$D$2466,$B119,'май 2025'!$J$5:$J$2466,M$1)</f>
        <v>0</v>
      </c>
      <c r="N119" s="183">
        <f>SUMIFS('май 2025'!$G$5:$G$2466,'май 2025'!$D$5:$D$2466,$B119,'май 2025'!$J$5:$J$2466,N$1)</f>
        <v>0</v>
      </c>
      <c r="O119" s="183">
        <f>SUMIFS('май 2025'!$G$5:$G$2466,'май 2025'!$D$5:$D$2466,$B119,'май 2025'!$J$5:$J$2466,O$1)</f>
        <v>0</v>
      </c>
      <c r="P119" s="183">
        <f>SUMIFS('май 2025'!$G$5:$G$2466,'май 2025'!$D$5:$D$2466,$B119,'май 2025'!$J$5:$J$2466,P$1)</f>
        <v>0</v>
      </c>
      <c r="Q119" s="183">
        <f>SUMIFS('май 2025'!$G$5:$G$2466,'май 2025'!$D$5:$D$2466,$B119,'май 2025'!$J$5:$J$2466,Q$1)</f>
        <v>0</v>
      </c>
      <c r="R119" s="183">
        <f>SUMIFS('май 2025'!$G$5:$G$2466,'май 2025'!$D$5:$D$2466,$B119,'май 2025'!$J$5:$J$2466,R$1)</f>
        <v>0</v>
      </c>
      <c r="S119" s="183">
        <f>SUMIFS('май 2025'!$G$5:$G$2466,'май 2025'!$D$5:$D$2466,$B119,'май 2025'!$J$5:$J$2466,S$1)</f>
        <v>0</v>
      </c>
      <c r="T119" s="183">
        <f>SUMIFS('май 2025'!$G$5:$G$2466,'май 2025'!$D$5:$D$2466,$B119,'май 2025'!$J$5:$J$2466,T$1)</f>
        <v>0</v>
      </c>
      <c r="U119" s="183">
        <f>SUMIFS('май 2025'!$G$5:$G$2466,'май 2025'!$D$5:$D$2466,$B119,'май 2025'!$J$5:$J$2466,U$1)</f>
        <v>0</v>
      </c>
      <c r="V119" s="183">
        <f>SUMIFS('май 2025'!$G$5:$G$2466,'май 2025'!$D$5:$D$2466,$B119,'май 2025'!$J$5:$J$2466,V$1)</f>
        <v>0</v>
      </c>
      <c r="W119" s="183">
        <f>SUMIFS('май 2025'!$G$5:$G$2466,'май 2025'!$D$5:$D$2466,$B119,'май 2025'!$J$5:$J$2466,W$1)</f>
        <v>0</v>
      </c>
      <c r="X119" s="183">
        <f>SUMIFS('май 2025'!$G$5:$G$2466,'май 2025'!$D$5:$D$2466,$B119,'май 2025'!$J$5:$J$2466,X$1)</f>
        <v>0</v>
      </c>
      <c r="Y119" s="183">
        <f>SUMIFS('май 2025'!$G$5:$G$2466,'май 2025'!$D$5:$D$2466,$B119,'май 2025'!$J$5:$J$2466,Y$1)</f>
        <v>0</v>
      </c>
      <c r="Z119" s="183">
        <f>SUMIFS('май 2025'!$G$5:$G$2466,'май 2025'!$D$5:$D$2466,$B119,'май 2025'!$J$5:$J$2466,Z$1)</f>
        <v>0</v>
      </c>
      <c r="AA119" s="183">
        <f>SUMIFS('май 2025'!$G$5:$G$2466,'май 2025'!$D$5:$D$2466,$B119,'май 2025'!$J$5:$J$2466,AA$1)</f>
        <v>0</v>
      </c>
      <c r="AB119" s="183">
        <f>SUMIFS('май 2025'!$G$5:$G$2466,'май 2025'!$D$5:$D$2466,$B119,'май 2025'!$J$5:$J$2466,AB$1)</f>
        <v>0</v>
      </c>
      <c r="AC119" s="183">
        <f>SUMIFS('май 2025'!$G$5:$G$2466,'май 2025'!$D$5:$D$2466,$B119,'май 2025'!$J$5:$J$2466,AC$1)</f>
        <v>0</v>
      </c>
      <c r="AD119" s="183">
        <f>SUMIFS('май 2025'!$G$5:$G$2466,'май 2025'!$D$5:$D$2466,$B119,'май 2025'!$J$5:$J$2466,AD$1)</f>
        <v>0</v>
      </c>
      <c r="AE119" s="183">
        <f>SUMIFS('май 2025'!$G$5:$G$2466,'май 2025'!$D$5:$D$2466,$B119,'май 2025'!$J$5:$J$2466,AE$1)</f>
        <v>0</v>
      </c>
      <c r="AF119" s="183">
        <f>SUMIFS('май 2025'!$G$5:$G$2466,'май 2025'!$D$5:$D$2466,$B119,'май 2025'!$J$5:$J$2466,AF$1)</f>
        <v>0</v>
      </c>
      <c r="AG119" s="183">
        <f>SUMIFS('май 2025'!$G$5:$G$2466,'май 2025'!$D$5:$D$2466,$B119,'май 2025'!$J$5:$J$2466,AG$1)</f>
        <v>0</v>
      </c>
      <c r="AH119" s="183">
        <f>SUMIFS('май 2025'!$G$5:$G$2466,'май 2025'!$D$5:$D$2466,$B119,'май 2025'!$J$5:$J$2466,AH$1)</f>
        <v>0</v>
      </c>
      <c r="AI119" s="20">
        <f t="shared" si="1"/>
        <v>0</v>
      </c>
    </row>
    <row r="120" spans="2:35" ht="15" customHeight="1" x14ac:dyDescent="0.25">
      <c r="B120" s="88" t="s">
        <v>304</v>
      </c>
      <c r="C120" s="86">
        <v>175</v>
      </c>
      <c r="D120" s="183">
        <f>SUMIFS('май 2025'!$G$5:$G$2466,'май 2025'!$D$5:$D$2466,$B120,'май 2025'!$J$5:$J$2466,D$1)</f>
        <v>0</v>
      </c>
      <c r="E120" s="183">
        <f>SUMIFS('май 2025'!$G$5:$G$2466,'май 2025'!$D$5:$D$2466,$B120,'май 2025'!$J$5:$J$2466,E$1)</f>
        <v>0</v>
      </c>
      <c r="F120" s="183">
        <f>SUMIFS('май 2025'!$G$5:$G$2466,'май 2025'!$D$5:$D$2466,$B120,'май 2025'!$J$5:$J$2466,F$1)</f>
        <v>0</v>
      </c>
      <c r="G120" s="183">
        <f>SUMIFS('май 2025'!$G$5:$G$2466,'май 2025'!$D$5:$D$2466,$B120,'май 2025'!$J$5:$J$2466,G$1)</f>
        <v>0</v>
      </c>
      <c r="H120" s="183">
        <f>SUMIFS('май 2025'!$G$5:$G$2466,'май 2025'!$D$5:$D$2466,$B120,'май 2025'!$J$5:$J$2466,H$1)</f>
        <v>0</v>
      </c>
      <c r="I120" s="183">
        <f>SUMIFS('май 2025'!$G$5:$G$2466,'май 2025'!$D$5:$D$2466,$B120,'май 2025'!$J$5:$J$2466,I$1)</f>
        <v>0</v>
      </c>
      <c r="J120" s="183">
        <f>SUMIFS('май 2025'!$G$5:$G$2466,'май 2025'!$D$5:$D$2466,$B120,'май 2025'!$J$5:$J$2466,J$1)</f>
        <v>0</v>
      </c>
      <c r="K120" s="183">
        <f>SUMIFS('май 2025'!$G$5:$G$2466,'май 2025'!$D$5:$D$2466,$B120,'май 2025'!$J$5:$J$2466,K$1)</f>
        <v>0</v>
      </c>
      <c r="L120" s="183">
        <f>SUMIFS('май 2025'!$G$5:$G$2466,'май 2025'!$D$5:$D$2466,$B120,'май 2025'!$J$5:$J$2466,L$1)</f>
        <v>0</v>
      </c>
      <c r="M120" s="183">
        <f>SUMIFS('май 2025'!$G$5:$G$2466,'май 2025'!$D$5:$D$2466,$B120,'май 2025'!$J$5:$J$2466,M$1)</f>
        <v>0</v>
      </c>
      <c r="N120" s="183">
        <f>SUMIFS('май 2025'!$G$5:$G$2466,'май 2025'!$D$5:$D$2466,$B120,'май 2025'!$J$5:$J$2466,N$1)</f>
        <v>0</v>
      </c>
      <c r="O120" s="183">
        <f>SUMIFS('май 2025'!$G$5:$G$2466,'май 2025'!$D$5:$D$2466,$B120,'май 2025'!$J$5:$J$2466,O$1)</f>
        <v>0</v>
      </c>
      <c r="P120" s="183">
        <f>SUMIFS('май 2025'!$G$5:$G$2466,'май 2025'!$D$5:$D$2466,$B120,'май 2025'!$J$5:$J$2466,P$1)</f>
        <v>0</v>
      </c>
      <c r="Q120" s="183">
        <f>SUMIFS('май 2025'!$G$5:$G$2466,'май 2025'!$D$5:$D$2466,$B120,'май 2025'!$J$5:$J$2466,Q$1)</f>
        <v>0</v>
      </c>
      <c r="R120" s="183">
        <f>SUMIFS('май 2025'!$G$5:$G$2466,'май 2025'!$D$5:$D$2466,$B120,'май 2025'!$J$5:$J$2466,R$1)</f>
        <v>0</v>
      </c>
      <c r="S120" s="183">
        <f>SUMIFS('май 2025'!$G$5:$G$2466,'май 2025'!$D$5:$D$2466,$B120,'май 2025'!$J$5:$J$2466,S$1)</f>
        <v>0</v>
      </c>
      <c r="T120" s="183">
        <f>SUMIFS('май 2025'!$G$5:$G$2466,'май 2025'!$D$5:$D$2466,$B120,'май 2025'!$J$5:$J$2466,T$1)</f>
        <v>0</v>
      </c>
      <c r="U120" s="183">
        <f>SUMIFS('май 2025'!$G$5:$G$2466,'май 2025'!$D$5:$D$2466,$B120,'май 2025'!$J$5:$J$2466,U$1)</f>
        <v>0</v>
      </c>
      <c r="V120" s="183">
        <f>SUMIFS('май 2025'!$G$5:$G$2466,'май 2025'!$D$5:$D$2466,$B120,'май 2025'!$J$5:$J$2466,V$1)</f>
        <v>0</v>
      </c>
      <c r="W120" s="183">
        <f>SUMIFS('май 2025'!$G$5:$G$2466,'май 2025'!$D$5:$D$2466,$B120,'май 2025'!$J$5:$J$2466,W$1)</f>
        <v>0</v>
      </c>
      <c r="X120" s="183">
        <f>SUMIFS('май 2025'!$G$5:$G$2466,'май 2025'!$D$5:$D$2466,$B120,'май 2025'!$J$5:$J$2466,X$1)</f>
        <v>0</v>
      </c>
      <c r="Y120" s="183">
        <f>SUMIFS('май 2025'!$G$5:$G$2466,'май 2025'!$D$5:$D$2466,$B120,'май 2025'!$J$5:$J$2466,Y$1)</f>
        <v>0</v>
      </c>
      <c r="Z120" s="183">
        <f>SUMIFS('май 2025'!$G$5:$G$2466,'май 2025'!$D$5:$D$2466,$B120,'май 2025'!$J$5:$J$2466,Z$1)</f>
        <v>0</v>
      </c>
      <c r="AA120" s="183">
        <f>SUMIFS('май 2025'!$G$5:$G$2466,'май 2025'!$D$5:$D$2466,$B120,'май 2025'!$J$5:$J$2466,AA$1)</f>
        <v>0</v>
      </c>
      <c r="AB120" s="183">
        <f>SUMIFS('май 2025'!$G$5:$G$2466,'май 2025'!$D$5:$D$2466,$B120,'май 2025'!$J$5:$J$2466,AB$1)</f>
        <v>0</v>
      </c>
      <c r="AC120" s="183">
        <f>SUMIFS('май 2025'!$G$5:$G$2466,'май 2025'!$D$5:$D$2466,$B120,'май 2025'!$J$5:$J$2466,AC$1)</f>
        <v>0</v>
      </c>
      <c r="AD120" s="183">
        <f>SUMIFS('май 2025'!$G$5:$G$2466,'май 2025'!$D$5:$D$2466,$B120,'май 2025'!$J$5:$J$2466,AD$1)</f>
        <v>0</v>
      </c>
      <c r="AE120" s="183">
        <f>SUMIFS('май 2025'!$G$5:$G$2466,'май 2025'!$D$5:$D$2466,$B120,'май 2025'!$J$5:$J$2466,AE$1)</f>
        <v>0</v>
      </c>
      <c r="AF120" s="183">
        <f>SUMIFS('май 2025'!$G$5:$G$2466,'май 2025'!$D$5:$D$2466,$B120,'май 2025'!$J$5:$J$2466,AF$1)</f>
        <v>0</v>
      </c>
      <c r="AG120" s="183">
        <f>SUMIFS('май 2025'!$G$5:$G$2466,'май 2025'!$D$5:$D$2466,$B120,'май 2025'!$J$5:$J$2466,AG$1)</f>
        <v>0</v>
      </c>
      <c r="AH120" s="183">
        <f>SUMIFS('май 2025'!$G$5:$G$2466,'май 2025'!$D$5:$D$2466,$B120,'май 2025'!$J$5:$J$2466,AH$1)</f>
        <v>0</v>
      </c>
      <c r="AI120" s="20">
        <f t="shared" si="1"/>
        <v>0</v>
      </c>
    </row>
    <row r="121" spans="2:35" ht="15" customHeight="1" x14ac:dyDescent="0.25">
      <c r="B121" s="88" t="s">
        <v>310</v>
      </c>
      <c r="C121" s="86">
        <v>200</v>
      </c>
      <c r="D121" s="183">
        <f>SUMIFS('май 2025'!$G$5:$G$2466,'май 2025'!$D$5:$D$2466,$B121,'май 2025'!$J$5:$J$2466,D$1)</f>
        <v>0</v>
      </c>
      <c r="E121" s="183">
        <f>SUMIFS('май 2025'!$G$5:$G$2466,'май 2025'!$D$5:$D$2466,$B121,'май 2025'!$J$5:$J$2466,E$1)</f>
        <v>0</v>
      </c>
      <c r="F121" s="183">
        <f>SUMIFS('май 2025'!$G$5:$G$2466,'май 2025'!$D$5:$D$2466,$B121,'май 2025'!$J$5:$J$2466,F$1)</f>
        <v>0</v>
      </c>
      <c r="G121" s="183">
        <f>SUMIFS('май 2025'!$G$5:$G$2466,'май 2025'!$D$5:$D$2466,$B121,'май 2025'!$J$5:$J$2466,G$1)</f>
        <v>0</v>
      </c>
      <c r="H121" s="183">
        <f>SUMIFS('май 2025'!$G$5:$G$2466,'май 2025'!$D$5:$D$2466,$B121,'май 2025'!$J$5:$J$2466,H$1)</f>
        <v>0</v>
      </c>
      <c r="I121" s="183">
        <f>SUMIFS('май 2025'!$G$5:$G$2466,'май 2025'!$D$5:$D$2466,$B121,'май 2025'!$J$5:$J$2466,I$1)</f>
        <v>0</v>
      </c>
      <c r="J121" s="183">
        <f>SUMIFS('май 2025'!$G$5:$G$2466,'май 2025'!$D$5:$D$2466,$B121,'май 2025'!$J$5:$J$2466,J$1)</f>
        <v>0</v>
      </c>
      <c r="K121" s="183">
        <f>SUMIFS('май 2025'!$G$5:$G$2466,'май 2025'!$D$5:$D$2466,$B121,'май 2025'!$J$5:$J$2466,K$1)</f>
        <v>0</v>
      </c>
      <c r="L121" s="183">
        <f>SUMIFS('май 2025'!$G$5:$G$2466,'май 2025'!$D$5:$D$2466,$B121,'май 2025'!$J$5:$J$2466,L$1)</f>
        <v>0</v>
      </c>
      <c r="M121" s="183">
        <f>SUMIFS('май 2025'!$G$5:$G$2466,'май 2025'!$D$5:$D$2466,$B121,'май 2025'!$J$5:$J$2466,M$1)</f>
        <v>0</v>
      </c>
      <c r="N121" s="183">
        <f>SUMIFS('май 2025'!$G$5:$G$2466,'май 2025'!$D$5:$D$2466,$B121,'май 2025'!$J$5:$J$2466,N$1)</f>
        <v>0</v>
      </c>
      <c r="O121" s="183">
        <f>SUMIFS('май 2025'!$G$5:$G$2466,'май 2025'!$D$5:$D$2466,$B121,'май 2025'!$J$5:$J$2466,O$1)</f>
        <v>0</v>
      </c>
      <c r="P121" s="183">
        <f>SUMIFS('май 2025'!$G$5:$G$2466,'май 2025'!$D$5:$D$2466,$B121,'май 2025'!$J$5:$J$2466,P$1)</f>
        <v>0</v>
      </c>
      <c r="Q121" s="183">
        <f>SUMIFS('май 2025'!$G$5:$G$2466,'май 2025'!$D$5:$D$2466,$B121,'май 2025'!$J$5:$J$2466,Q$1)</f>
        <v>0</v>
      </c>
      <c r="R121" s="183">
        <f>SUMIFS('май 2025'!$G$5:$G$2466,'май 2025'!$D$5:$D$2466,$B121,'май 2025'!$J$5:$J$2466,R$1)</f>
        <v>0</v>
      </c>
      <c r="S121" s="183">
        <f>SUMIFS('май 2025'!$G$5:$G$2466,'май 2025'!$D$5:$D$2466,$B121,'май 2025'!$J$5:$J$2466,S$1)</f>
        <v>0</v>
      </c>
      <c r="T121" s="183">
        <f>SUMIFS('май 2025'!$G$5:$G$2466,'май 2025'!$D$5:$D$2466,$B121,'май 2025'!$J$5:$J$2466,T$1)</f>
        <v>0</v>
      </c>
      <c r="U121" s="183">
        <f>SUMIFS('май 2025'!$G$5:$G$2466,'май 2025'!$D$5:$D$2466,$B121,'май 2025'!$J$5:$J$2466,U$1)</f>
        <v>0</v>
      </c>
      <c r="V121" s="183">
        <f>SUMIFS('май 2025'!$G$5:$G$2466,'май 2025'!$D$5:$D$2466,$B121,'май 2025'!$J$5:$J$2466,V$1)</f>
        <v>0</v>
      </c>
      <c r="W121" s="183">
        <f>SUMIFS('май 2025'!$G$5:$G$2466,'май 2025'!$D$5:$D$2466,$B121,'май 2025'!$J$5:$J$2466,W$1)</f>
        <v>0</v>
      </c>
      <c r="X121" s="183">
        <f>SUMIFS('май 2025'!$G$5:$G$2466,'май 2025'!$D$5:$D$2466,$B121,'май 2025'!$J$5:$J$2466,X$1)</f>
        <v>0</v>
      </c>
      <c r="Y121" s="183">
        <f>SUMIFS('май 2025'!$G$5:$G$2466,'май 2025'!$D$5:$D$2466,$B121,'май 2025'!$J$5:$J$2466,Y$1)</f>
        <v>0</v>
      </c>
      <c r="Z121" s="183">
        <f>SUMIFS('май 2025'!$G$5:$G$2466,'май 2025'!$D$5:$D$2466,$B121,'май 2025'!$J$5:$J$2466,Z$1)</f>
        <v>0</v>
      </c>
      <c r="AA121" s="183">
        <f>SUMIFS('май 2025'!$G$5:$G$2466,'май 2025'!$D$5:$D$2466,$B121,'май 2025'!$J$5:$J$2466,AA$1)</f>
        <v>0</v>
      </c>
      <c r="AB121" s="183">
        <f>SUMIFS('май 2025'!$G$5:$G$2466,'май 2025'!$D$5:$D$2466,$B121,'май 2025'!$J$5:$J$2466,AB$1)</f>
        <v>0</v>
      </c>
      <c r="AC121" s="183">
        <f>SUMIFS('май 2025'!$G$5:$G$2466,'май 2025'!$D$5:$D$2466,$B121,'май 2025'!$J$5:$J$2466,AC$1)</f>
        <v>0</v>
      </c>
      <c r="AD121" s="183">
        <f>SUMIFS('май 2025'!$G$5:$G$2466,'май 2025'!$D$5:$D$2466,$B121,'май 2025'!$J$5:$J$2466,AD$1)</f>
        <v>0</v>
      </c>
      <c r="AE121" s="183">
        <f>SUMIFS('май 2025'!$G$5:$G$2466,'май 2025'!$D$5:$D$2466,$B121,'май 2025'!$J$5:$J$2466,AE$1)</f>
        <v>0</v>
      </c>
      <c r="AF121" s="183">
        <f>SUMIFS('май 2025'!$G$5:$G$2466,'май 2025'!$D$5:$D$2466,$B121,'май 2025'!$J$5:$J$2466,AF$1)</f>
        <v>0</v>
      </c>
      <c r="AG121" s="183">
        <f>SUMIFS('май 2025'!$G$5:$G$2466,'май 2025'!$D$5:$D$2466,$B121,'май 2025'!$J$5:$J$2466,AG$1)</f>
        <v>0</v>
      </c>
      <c r="AH121" s="183">
        <f>SUMIFS('май 2025'!$G$5:$G$2466,'май 2025'!$D$5:$D$2466,$B121,'май 2025'!$J$5:$J$2466,AH$1)</f>
        <v>0</v>
      </c>
      <c r="AI121" s="20">
        <f t="shared" si="1"/>
        <v>0</v>
      </c>
    </row>
    <row r="122" spans="2:35" ht="15" customHeight="1" x14ac:dyDescent="0.25">
      <c r="B122" s="88" t="s">
        <v>1256</v>
      </c>
      <c r="C122" s="86">
        <v>200</v>
      </c>
      <c r="D122" s="183">
        <f>SUMIFS('май 2025'!$G$5:$G$2466,'май 2025'!$D$5:$D$2466,$B122,'май 2025'!$J$5:$J$2466,D$1)</f>
        <v>0</v>
      </c>
      <c r="E122" s="183">
        <f>SUMIFS('май 2025'!$G$5:$G$2466,'май 2025'!$D$5:$D$2466,$B122,'май 2025'!$J$5:$J$2466,E$1)</f>
        <v>0</v>
      </c>
      <c r="F122" s="183">
        <f>SUMIFS('май 2025'!$G$5:$G$2466,'май 2025'!$D$5:$D$2466,$B122,'май 2025'!$J$5:$J$2466,F$1)</f>
        <v>0</v>
      </c>
      <c r="G122" s="183">
        <f>SUMIFS('май 2025'!$G$5:$G$2466,'май 2025'!$D$5:$D$2466,$B122,'май 2025'!$J$5:$J$2466,G$1)</f>
        <v>0</v>
      </c>
      <c r="H122" s="183">
        <f>SUMIFS('май 2025'!$G$5:$G$2466,'май 2025'!$D$5:$D$2466,$B122,'май 2025'!$J$5:$J$2466,H$1)</f>
        <v>0</v>
      </c>
      <c r="I122" s="183">
        <f>SUMIFS('май 2025'!$G$5:$G$2466,'май 2025'!$D$5:$D$2466,$B122,'май 2025'!$J$5:$J$2466,I$1)</f>
        <v>0</v>
      </c>
      <c r="J122" s="183">
        <f>SUMIFS('май 2025'!$G$5:$G$2466,'май 2025'!$D$5:$D$2466,$B122,'май 2025'!$J$5:$J$2466,J$1)</f>
        <v>0</v>
      </c>
      <c r="K122" s="183">
        <f>SUMIFS('май 2025'!$G$5:$G$2466,'май 2025'!$D$5:$D$2466,$B122,'май 2025'!$J$5:$J$2466,K$1)</f>
        <v>0</v>
      </c>
      <c r="L122" s="183">
        <f>SUMIFS('май 2025'!$G$5:$G$2466,'май 2025'!$D$5:$D$2466,$B122,'май 2025'!$J$5:$J$2466,L$1)</f>
        <v>0</v>
      </c>
      <c r="M122" s="183">
        <f>SUMIFS('май 2025'!$G$5:$G$2466,'май 2025'!$D$5:$D$2466,$B122,'май 2025'!$J$5:$J$2466,M$1)</f>
        <v>0</v>
      </c>
      <c r="N122" s="183">
        <f>SUMIFS('май 2025'!$G$5:$G$2466,'май 2025'!$D$5:$D$2466,$B122,'май 2025'!$J$5:$J$2466,N$1)</f>
        <v>0</v>
      </c>
      <c r="O122" s="183">
        <f>SUMIFS('май 2025'!$G$5:$G$2466,'май 2025'!$D$5:$D$2466,$B122,'май 2025'!$J$5:$J$2466,O$1)</f>
        <v>0</v>
      </c>
      <c r="P122" s="183">
        <f>SUMIFS('май 2025'!$G$5:$G$2466,'май 2025'!$D$5:$D$2466,$B122,'май 2025'!$J$5:$J$2466,P$1)</f>
        <v>0</v>
      </c>
      <c r="Q122" s="183">
        <f>SUMIFS('май 2025'!$G$5:$G$2466,'май 2025'!$D$5:$D$2466,$B122,'май 2025'!$J$5:$J$2466,Q$1)</f>
        <v>0</v>
      </c>
      <c r="R122" s="183">
        <f>SUMIFS('май 2025'!$G$5:$G$2466,'май 2025'!$D$5:$D$2466,$B122,'май 2025'!$J$5:$J$2466,R$1)</f>
        <v>0</v>
      </c>
      <c r="S122" s="183">
        <f>SUMIFS('май 2025'!$G$5:$G$2466,'май 2025'!$D$5:$D$2466,$B122,'май 2025'!$J$5:$J$2466,S$1)</f>
        <v>0</v>
      </c>
      <c r="T122" s="183">
        <f>SUMIFS('май 2025'!$G$5:$G$2466,'май 2025'!$D$5:$D$2466,$B122,'май 2025'!$J$5:$J$2466,T$1)</f>
        <v>0</v>
      </c>
      <c r="U122" s="183">
        <f>SUMIFS('май 2025'!$G$5:$G$2466,'май 2025'!$D$5:$D$2466,$B122,'май 2025'!$J$5:$J$2466,U$1)</f>
        <v>0</v>
      </c>
      <c r="V122" s="183">
        <f>SUMIFS('май 2025'!$G$5:$G$2466,'май 2025'!$D$5:$D$2466,$B122,'май 2025'!$J$5:$J$2466,V$1)</f>
        <v>0</v>
      </c>
      <c r="W122" s="183">
        <f>SUMIFS('май 2025'!$G$5:$G$2466,'май 2025'!$D$5:$D$2466,$B122,'май 2025'!$J$5:$J$2466,W$1)</f>
        <v>0</v>
      </c>
      <c r="X122" s="183">
        <f>SUMIFS('май 2025'!$G$5:$G$2466,'май 2025'!$D$5:$D$2466,$B122,'май 2025'!$J$5:$J$2466,X$1)</f>
        <v>0</v>
      </c>
      <c r="Y122" s="183">
        <f>SUMIFS('май 2025'!$G$5:$G$2466,'май 2025'!$D$5:$D$2466,$B122,'май 2025'!$J$5:$J$2466,Y$1)</f>
        <v>0</v>
      </c>
      <c r="Z122" s="183">
        <f>SUMIFS('май 2025'!$G$5:$G$2466,'май 2025'!$D$5:$D$2466,$B122,'май 2025'!$J$5:$J$2466,Z$1)</f>
        <v>0</v>
      </c>
      <c r="AA122" s="183">
        <f>SUMIFS('май 2025'!$G$5:$G$2466,'май 2025'!$D$5:$D$2466,$B122,'май 2025'!$J$5:$J$2466,AA$1)</f>
        <v>0</v>
      </c>
      <c r="AB122" s="183">
        <f>SUMIFS('май 2025'!$G$5:$G$2466,'май 2025'!$D$5:$D$2466,$B122,'май 2025'!$J$5:$J$2466,AB$1)</f>
        <v>0</v>
      </c>
      <c r="AC122" s="183">
        <f>SUMIFS('май 2025'!$G$5:$G$2466,'май 2025'!$D$5:$D$2466,$B122,'май 2025'!$J$5:$J$2466,AC$1)</f>
        <v>0</v>
      </c>
      <c r="AD122" s="183">
        <f>SUMIFS('май 2025'!$G$5:$G$2466,'май 2025'!$D$5:$D$2466,$B122,'май 2025'!$J$5:$J$2466,AD$1)</f>
        <v>0</v>
      </c>
      <c r="AE122" s="183">
        <f>SUMIFS('май 2025'!$G$5:$G$2466,'май 2025'!$D$5:$D$2466,$B122,'май 2025'!$J$5:$J$2466,AE$1)</f>
        <v>0</v>
      </c>
      <c r="AF122" s="183">
        <f>SUMIFS('май 2025'!$G$5:$G$2466,'май 2025'!$D$5:$D$2466,$B122,'май 2025'!$J$5:$J$2466,AF$1)</f>
        <v>0</v>
      </c>
      <c r="AG122" s="183">
        <f>SUMIFS('май 2025'!$G$5:$G$2466,'май 2025'!$D$5:$D$2466,$B122,'май 2025'!$J$5:$J$2466,AG$1)</f>
        <v>0</v>
      </c>
      <c r="AH122" s="183">
        <f>SUMIFS('май 2025'!$G$5:$G$2466,'май 2025'!$D$5:$D$2466,$B122,'май 2025'!$J$5:$J$2466,AH$1)</f>
        <v>0</v>
      </c>
      <c r="AI122" s="20">
        <f t="shared" ref="AI122:AI123" si="4">SUM(D122:AH122)</f>
        <v>0</v>
      </c>
    </row>
    <row r="123" spans="2:35" ht="15" customHeight="1" x14ac:dyDescent="0.25">
      <c r="B123" s="88" t="s">
        <v>265</v>
      </c>
      <c r="C123" s="86">
        <v>180</v>
      </c>
      <c r="D123" s="183">
        <f>SUMIFS('май 2025'!$G$5:$G$2466,'май 2025'!$D$5:$D$2466,$B123,'май 2025'!$J$5:$J$2466,D$1)</f>
        <v>0</v>
      </c>
      <c r="E123" s="183">
        <f>SUMIFS('май 2025'!$G$5:$G$2466,'май 2025'!$D$5:$D$2466,$B123,'май 2025'!$J$5:$J$2466,E$1)</f>
        <v>0</v>
      </c>
      <c r="F123" s="183">
        <f>SUMIFS('май 2025'!$G$5:$G$2466,'май 2025'!$D$5:$D$2466,$B123,'май 2025'!$J$5:$J$2466,F$1)</f>
        <v>0</v>
      </c>
      <c r="G123" s="183">
        <f>SUMIFS('май 2025'!$G$5:$G$2466,'май 2025'!$D$5:$D$2466,$B123,'май 2025'!$J$5:$J$2466,G$1)</f>
        <v>0</v>
      </c>
      <c r="H123" s="183">
        <f>SUMIFS('май 2025'!$G$5:$G$2466,'май 2025'!$D$5:$D$2466,$B123,'май 2025'!$J$5:$J$2466,H$1)</f>
        <v>0</v>
      </c>
      <c r="I123" s="183">
        <f>SUMIFS('май 2025'!$G$5:$G$2466,'май 2025'!$D$5:$D$2466,$B123,'май 2025'!$J$5:$J$2466,I$1)</f>
        <v>0</v>
      </c>
      <c r="J123" s="183">
        <f>SUMIFS('май 2025'!$G$5:$G$2466,'май 2025'!$D$5:$D$2466,$B123,'май 2025'!$J$5:$J$2466,J$1)</f>
        <v>0</v>
      </c>
      <c r="K123" s="183">
        <f>SUMIFS('май 2025'!$G$5:$G$2466,'май 2025'!$D$5:$D$2466,$B123,'май 2025'!$J$5:$J$2466,K$1)</f>
        <v>0</v>
      </c>
      <c r="L123" s="183">
        <f>SUMIFS('май 2025'!$G$5:$G$2466,'май 2025'!$D$5:$D$2466,$B123,'май 2025'!$J$5:$J$2466,L$1)</f>
        <v>0</v>
      </c>
      <c r="M123" s="183">
        <f>SUMIFS('май 2025'!$G$5:$G$2466,'май 2025'!$D$5:$D$2466,$B123,'май 2025'!$J$5:$J$2466,M$1)</f>
        <v>0</v>
      </c>
      <c r="N123" s="183">
        <f>SUMIFS('май 2025'!$G$5:$G$2466,'май 2025'!$D$5:$D$2466,$B123,'май 2025'!$J$5:$J$2466,N$1)</f>
        <v>0</v>
      </c>
      <c r="O123" s="183">
        <f>SUMIFS('май 2025'!$G$5:$G$2466,'май 2025'!$D$5:$D$2466,$B123,'май 2025'!$J$5:$J$2466,O$1)</f>
        <v>0</v>
      </c>
      <c r="P123" s="183">
        <f>SUMIFS('май 2025'!$G$5:$G$2466,'май 2025'!$D$5:$D$2466,$B123,'май 2025'!$J$5:$J$2466,P$1)</f>
        <v>0</v>
      </c>
      <c r="Q123" s="183">
        <f>SUMIFS('май 2025'!$G$5:$G$2466,'май 2025'!$D$5:$D$2466,$B123,'май 2025'!$J$5:$J$2466,Q$1)</f>
        <v>0</v>
      </c>
      <c r="R123" s="183">
        <f>SUMIFS('май 2025'!$G$5:$G$2466,'май 2025'!$D$5:$D$2466,$B123,'май 2025'!$J$5:$J$2466,R$1)</f>
        <v>0</v>
      </c>
      <c r="S123" s="183">
        <f>SUMIFS('май 2025'!$G$5:$G$2466,'май 2025'!$D$5:$D$2466,$B123,'май 2025'!$J$5:$J$2466,S$1)</f>
        <v>0</v>
      </c>
      <c r="T123" s="183">
        <f>SUMIFS('май 2025'!$G$5:$G$2466,'май 2025'!$D$5:$D$2466,$B123,'май 2025'!$J$5:$J$2466,T$1)</f>
        <v>0</v>
      </c>
      <c r="U123" s="183">
        <f>SUMIFS('май 2025'!$G$5:$G$2466,'май 2025'!$D$5:$D$2466,$B123,'май 2025'!$J$5:$J$2466,U$1)</f>
        <v>0</v>
      </c>
      <c r="V123" s="183">
        <f>SUMIFS('май 2025'!$G$5:$G$2466,'май 2025'!$D$5:$D$2466,$B123,'май 2025'!$J$5:$J$2466,V$1)</f>
        <v>0</v>
      </c>
      <c r="W123" s="183">
        <f>SUMIFS('май 2025'!$G$5:$G$2466,'май 2025'!$D$5:$D$2466,$B123,'май 2025'!$J$5:$J$2466,W$1)</f>
        <v>0</v>
      </c>
      <c r="X123" s="183">
        <f>SUMIFS('май 2025'!$G$5:$G$2466,'май 2025'!$D$5:$D$2466,$B123,'май 2025'!$J$5:$J$2466,X$1)</f>
        <v>0</v>
      </c>
      <c r="Y123" s="183">
        <f>SUMIFS('май 2025'!$G$5:$G$2466,'май 2025'!$D$5:$D$2466,$B123,'май 2025'!$J$5:$J$2466,Y$1)</f>
        <v>0</v>
      </c>
      <c r="Z123" s="183">
        <f>SUMIFS('май 2025'!$G$5:$G$2466,'май 2025'!$D$5:$D$2466,$B123,'май 2025'!$J$5:$J$2466,Z$1)</f>
        <v>0</v>
      </c>
      <c r="AA123" s="183">
        <f>SUMIFS('май 2025'!$G$5:$G$2466,'май 2025'!$D$5:$D$2466,$B123,'май 2025'!$J$5:$J$2466,AA$1)</f>
        <v>0</v>
      </c>
      <c r="AB123" s="183">
        <f>SUMIFS('май 2025'!$G$5:$G$2466,'май 2025'!$D$5:$D$2466,$B123,'май 2025'!$J$5:$J$2466,AB$1)</f>
        <v>0</v>
      </c>
      <c r="AC123" s="183">
        <f>SUMIFS('май 2025'!$G$5:$G$2466,'май 2025'!$D$5:$D$2466,$B123,'май 2025'!$J$5:$J$2466,AC$1)</f>
        <v>0</v>
      </c>
      <c r="AD123" s="183">
        <f>SUMIFS('май 2025'!$G$5:$G$2466,'май 2025'!$D$5:$D$2466,$B123,'май 2025'!$J$5:$J$2466,AD$1)</f>
        <v>0</v>
      </c>
      <c r="AE123" s="183">
        <f>SUMIFS('май 2025'!$G$5:$G$2466,'май 2025'!$D$5:$D$2466,$B123,'май 2025'!$J$5:$J$2466,AE$1)</f>
        <v>0</v>
      </c>
      <c r="AF123" s="183">
        <f>SUMIFS('май 2025'!$G$5:$G$2466,'май 2025'!$D$5:$D$2466,$B123,'май 2025'!$J$5:$J$2466,AF$1)</f>
        <v>0</v>
      </c>
      <c r="AG123" s="183">
        <f>SUMIFS('май 2025'!$G$5:$G$2466,'май 2025'!$D$5:$D$2466,$B123,'май 2025'!$J$5:$J$2466,AG$1)</f>
        <v>0</v>
      </c>
      <c r="AH123" s="183">
        <f>SUMIFS('май 2025'!$G$5:$G$2466,'май 2025'!$D$5:$D$2466,$B123,'май 2025'!$J$5:$J$2466,AH$1)</f>
        <v>0</v>
      </c>
      <c r="AI123" s="20">
        <f t="shared" si="4"/>
        <v>0</v>
      </c>
    </row>
    <row r="124" spans="2:35" ht="15" customHeight="1" x14ac:dyDescent="0.25">
      <c r="B124" s="88" t="s">
        <v>326</v>
      </c>
      <c r="C124" s="86">
        <v>200</v>
      </c>
      <c r="D124" s="183">
        <f>SUMIFS('май 2025'!$G$5:$G$2466,'май 2025'!$D$5:$D$2466,$B124,'май 2025'!$J$5:$J$2466,D$1)</f>
        <v>0</v>
      </c>
      <c r="E124" s="183">
        <f>SUMIFS('май 2025'!$G$5:$G$2466,'май 2025'!$D$5:$D$2466,$B124,'май 2025'!$J$5:$J$2466,E$1)</f>
        <v>0</v>
      </c>
      <c r="F124" s="183">
        <f>SUMIFS('май 2025'!$G$5:$G$2466,'май 2025'!$D$5:$D$2466,$B124,'май 2025'!$J$5:$J$2466,F$1)</f>
        <v>0</v>
      </c>
      <c r="G124" s="183">
        <f>SUMIFS('май 2025'!$G$5:$G$2466,'май 2025'!$D$5:$D$2466,$B124,'май 2025'!$J$5:$J$2466,G$1)</f>
        <v>0</v>
      </c>
      <c r="H124" s="183">
        <f>SUMIFS('май 2025'!$G$5:$G$2466,'май 2025'!$D$5:$D$2466,$B124,'май 2025'!$J$5:$J$2466,H$1)</f>
        <v>0</v>
      </c>
      <c r="I124" s="183">
        <f>SUMIFS('май 2025'!$G$5:$G$2466,'май 2025'!$D$5:$D$2466,$B124,'май 2025'!$J$5:$J$2466,I$1)</f>
        <v>0</v>
      </c>
      <c r="J124" s="183">
        <f>SUMIFS('май 2025'!$G$5:$G$2466,'май 2025'!$D$5:$D$2466,$B124,'май 2025'!$J$5:$J$2466,J$1)</f>
        <v>0</v>
      </c>
      <c r="K124" s="183">
        <f>SUMIFS('май 2025'!$G$5:$G$2466,'май 2025'!$D$5:$D$2466,$B124,'май 2025'!$J$5:$J$2466,K$1)</f>
        <v>0</v>
      </c>
      <c r="L124" s="183">
        <f>SUMIFS('май 2025'!$G$5:$G$2466,'май 2025'!$D$5:$D$2466,$B124,'май 2025'!$J$5:$J$2466,L$1)</f>
        <v>0</v>
      </c>
      <c r="M124" s="183">
        <f>SUMIFS('май 2025'!$G$5:$G$2466,'май 2025'!$D$5:$D$2466,$B124,'май 2025'!$J$5:$J$2466,M$1)</f>
        <v>0</v>
      </c>
      <c r="N124" s="183">
        <f>SUMIFS('май 2025'!$G$5:$G$2466,'май 2025'!$D$5:$D$2466,$B124,'май 2025'!$J$5:$J$2466,N$1)</f>
        <v>0</v>
      </c>
      <c r="O124" s="183">
        <f>SUMIFS('май 2025'!$G$5:$G$2466,'май 2025'!$D$5:$D$2466,$B124,'май 2025'!$J$5:$J$2466,O$1)</f>
        <v>0</v>
      </c>
      <c r="P124" s="183">
        <f>SUMIFS('май 2025'!$G$5:$G$2466,'май 2025'!$D$5:$D$2466,$B124,'май 2025'!$J$5:$J$2466,P$1)</f>
        <v>0</v>
      </c>
      <c r="Q124" s="183">
        <f>SUMIFS('май 2025'!$G$5:$G$2466,'май 2025'!$D$5:$D$2466,$B124,'май 2025'!$J$5:$J$2466,Q$1)</f>
        <v>0</v>
      </c>
      <c r="R124" s="183">
        <f>SUMIFS('май 2025'!$G$5:$G$2466,'май 2025'!$D$5:$D$2466,$B124,'май 2025'!$J$5:$J$2466,R$1)</f>
        <v>0</v>
      </c>
      <c r="S124" s="183">
        <f>SUMIFS('май 2025'!$G$5:$G$2466,'май 2025'!$D$5:$D$2466,$B124,'май 2025'!$J$5:$J$2466,S$1)</f>
        <v>0</v>
      </c>
      <c r="T124" s="183">
        <f>SUMIFS('май 2025'!$G$5:$G$2466,'май 2025'!$D$5:$D$2466,$B124,'май 2025'!$J$5:$J$2466,T$1)</f>
        <v>0</v>
      </c>
      <c r="U124" s="183">
        <f>SUMIFS('май 2025'!$G$5:$G$2466,'май 2025'!$D$5:$D$2466,$B124,'май 2025'!$J$5:$J$2466,U$1)</f>
        <v>0</v>
      </c>
      <c r="V124" s="183">
        <f>SUMIFS('май 2025'!$G$5:$G$2466,'май 2025'!$D$5:$D$2466,$B124,'май 2025'!$J$5:$J$2466,V$1)</f>
        <v>0</v>
      </c>
      <c r="W124" s="183">
        <f>SUMIFS('май 2025'!$G$5:$G$2466,'май 2025'!$D$5:$D$2466,$B124,'май 2025'!$J$5:$J$2466,W$1)</f>
        <v>0</v>
      </c>
      <c r="X124" s="183">
        <f>SUMIFS('май 2025'!$G$5:$G$2466,'май 2025'!$D$5:$D$2466,$B124,'май 2025'!$J$5:$J$2466,X$1)</f>
        <v>0</v>
      </c>
      <c r="Y124" s="183">
        <f>SUMIFS('май 2025'!$G$5:$G$2466,'май 2025'!$D$5:$D$2466,$B124,'май 2025'!$J$5:$J$2466,Y$1)</f>
        <v>0</v>
      </c>
      <c r="Z124" s="183">
        <f>SUMIFS('май 2025'!$G$5:$G$2466,'май 2025'!$D$5:$D$2466,$B124,'май 2025'!$J$5:$J$2466,Z$1)</f>
        <v>0</v>
      </c>
      <c r="AA124" s="183">
        <f>SUMIFS('май 2025'!$G$5:$G$2466,'май 2025'!$D$5:$D$2466,$B124,'май 2025'!$J$5:$J$2466,AA$1)</f>
        <v>0</v>
      </c>
      <c r="AB124" s="183">
        <f>SUMIFS('май 2025'!$G$5:$G$2466,'май 2025'!$D$5:$D$2466,$B124,'май 2025'!$J$5:$J$2466,AB$1)</f>
        <v>0</v>
      </c>
      <c r="AC124" s="183">
        <f>SUMIFS('май 2025'!$G$5:$G$2466,'май 2025'!$D$5:$D$2466,$B124,'май 2025'!$J$5:$J$2466,AC$1)</f>
        <v>0</v>
      </c>
      <c r="AD124" s="183">
        <f>SUMIFS('май 2025'!$G$5:$G$2466,'май 2025'!$D$5:$D$2466,$B124,'май 2025'!$J$5:$J$2466,AD$1)</f>
        <v>0</v>
      </c>
      <c r="AE124" s="183">
        <f>SUMIFS('май 2025'!$G$5:$G$2466,'май 2025'!$D$5:$D$2466,$B124,'май 2025'!$J$5:$J$2466,AE$1)</f>
        <v>0</v>
      </c>
      <c r="AF124" s="183">
        <f>SUMIFS('май 2025'!$G$5:$G$2466,'май 2025'!$D$5:$D$2466,$B124,'май 2025'!$J$5:$J$2466,AF$1)</f>
        <v>0</v>
      </c>
      <c r="AG124" s="183">
        <f>SUMIFS('май 2025'!$G$5:$G$2466,'май 2025'!$D$5:$D$2466,$B124,'май 2025'!$J$5:$J$2466,AG$1)</f>
        <v>0</v>
      </c>
      <c r="AH124" s="183">
        <f>SUMIFS('май 2025'!$G$5:$G$2466,'май 2025'!$D$5:$D$2466,$B124,'май 2025'!$J$5:$J$2466,AH$1)</f>
        <v>0</v>
      </c>
      <c r="AI124" s="20">
        <f t="shared" si="1"/>
        <v>0</v>
      </c>
    </row>
    <row r="125" spans="2:35" ht="15" customHeight="1" x14ac:dyDescent="0.25">
      <c r="B125" s="88" t="s">
        <v>280</v>
      </c>
      <c r="C125" s="86">
        <v>185</v>
      </c>
      <c r="D125" s="183">
        <f>SUMIFS('май 2025'!$G$5:$G$2466,'май 2025'!$D$5:$D$2466,$B125,'май 2025'!$J$5:$J$2466,D$1)</f>
        <v>0</v>
      </c>
      <c r="E125" s="183">
        <f>SUMIFS('май 2025'!$G$5:$G$2466,'май 2025'!$D$5:$D$2466,$B125,'май 2025'!$J$5:$J$2466,E$1)</f>
        <v>0</v>
      </c>
      <c r="F125" s="183">
        <f>SUMIFS('май 2025'!$G$5:$G$2466,'май 2025'!$D$5:$D$2466,$B125,'май 2025'!$J$5:$J$2466,F$1)</f>
        <v>0</v>
      </c>
      <c r="G125" s="183">
        <f>SUMIFS('май 2025'!$G$5:$G$2466,'май 2025'!$D$5:$D$2466,$B125,'май 2025'!$J$5:$J$2466,G$1)</f>
        <v>0</v>
      </c>
      <c r="H125" s="183">
        <f>SUMIFS('май 2025'!$G$5:$G$2466,'май 2025'!$D$5:$D$2466,$B125,'май 2025'!$J$5:$J$2466,H$1)</f>
        <v>0</v>
      </c>
      <c r="I125" s="183">
        <f>SUMIFS('май 2025'!$G$5:$G$2466,'май 2025'!$D$5:$D$2466,$B125,'май 2025'!$J$5:$J$2466,I$1)</f>
        <v>0</v>
      </c>
      <c r="J125" s="183">
        <f>SUMIFS('май 2025'!$G$5:$G$2466,'май 2025'!$D$5:$D$2466,$B125,'май 2025'!$J$5:$J$2466,J$1)</f>
        <v>0</v>
      </c>
      <c r="K125" s="183">
        <f>SUMIFS('май 2025'!$G$5:$G$2466,'май 2025'!$D$5:$D$2466,$B125,'май 2025'!$J$5:$J$2466,K$1)</f>
        <v>0</v>
      </c>
      <c r="L125" s="183">
        <f>SUMIFS('май 2025'!$G$5:$G$2466,'май 2025'!$D$5:$D$2466,$B125,'май 2025'!$J$5:$J$2466,L$1)</f>
        <v>0</v>
      </c>
      <c r="M125" s="183">
        <f>SUMIFS('май 2025'!$G$5:$G$2466,'май 2025'!$D$5:$D$2466,$B125,'май 2025'!$J$5:$J$2466,M$1)</f>
        <v>0</v>
      </c>
      <c r="N125" s="183">
        <f>SUMIFS('май 2025'!$G$5:$G$2466,'май 2025'!$D$5:$D$2466,$B125,'май 2025'!$J$5:$J$2466,N$1)</f>
        <v>0</v>
      </c>
      <c r="O125" s="183">
        <f>SUMIFS('май 2025'!$G$5:$G$2466,'май 2025'!$D$5:$D$2466,$B125,'май 2025'!$J$5:$J$2466,O$1)</f>
        <v>0</v>
      </c>
      <c r="P125" s="183">
        <f>SUMIFS('май 2025'!$G$5:$G$2466,'май 2025'!$D$5:$D$2466,$B125,'май 2025'!$J$5:$J$2466,P$1)</f>
        <v>0</v>
      </c>
      <c r="Q125" s="183">
        <f>SUMIFS('май 2025'!$G$5:$G$2466,'май 2025'!$D$5:$D$2466,$B125,'май 2025'!$J$5:$J$2466,Q$1)</f>
        <v>0</v>
      </c>
      <c r="R125" s="183">
        <f>SUMIFS('май 2025'!$G$5:$G$2466,'май 2025'!$D$5:$D$2466,$B125,'май 2025'!$J$5:$J$2466,R$1)</f>
        <v>0</v>
      </c>
      <c r="S125" s="183">
        <f>SUMIFS('май 2025'!$G$5:$G$2466,'май 2025'!$D$5:$D$2466,$B125,'май 2025'!$J$5:$J$2466,S$1)</f>
        <v>0</v>
      </c>
      <c r="T125" s="183">
        <f>SUMIFS('май 2025'!$G$5:$G$2466,'май 2025'!$D$5:$D$2466,$B125,'май 2025'!$J$5:$J$2466,T$1)</f>
        <v>0</v>
      </c>
      <c r="U125" s="183">
        <f>SUMIFS('май 2025'!$G$5:$G$2466,'май 2025'!$D$5:$D$2466,$B125,'май 2025'!$J$5:$J$2466,U$1)</f>
        <v>0</v>
      </c>
      <c r="V125" s="183">
        <f>SUMIFS('май 2025'!$G$5:$G$2466,'май 2025'!$D$5:$D$2466,$B125,'май 2025'!$J$5:$J$2466,V$1)</f>
        <v>0</v>
      </c>
      <c r="W125" s="183">
        <f>SUMIFS('май 2025'!$G$5:$G$2466,'май 2025'!$D$5:$D$2466,$B125,'май 2025'!$J$5:$J$2466,W$1)</f>
        <v>0</v>
      </c>
      <c r="X125" s="183">
        <f>SUMIFS('май 2025'!$G$5:$G$2466,'май 2025'!$D$5:$D$2466,$B125,'май 2025'!$J$5:$J$2466,X$1)</f>
        <v>0</v>
      </c>
      <c r="Y125" s="183">
        <f>SUMIFS('май 2025'!$G$5:$G$2466,'май 2025'!$D$5:$D$2466,$B125,'май 2025'!$J$5:$J$2466,Y$1)</f>
        <v>0</v>
      </c>
      <c r="Z125" s="183">
        <f>SUMIFS('май 2025'!$G$5:$G$2466,'май 2025'!$D$5:$D$2466,$B125,'май 2025'!$J$5:$J$2466,Z$1)</f>
        <v>0</v>
      </c>
      <c r="AA125" s="183">
        <f>SUMIFS('май 2025'!$G$5:$G$2466,'май 2025'!$D$5:$D$2466,$B125,'май 2025'!$J$5:$J$2466,AA$1)</f>
        <v>0</v>
      </c>
      <c r="AB125" s="183">
        <f>SUMIFS('май 2025'!$G$5:$G$2466,'май 2025'!$D$5:$D$2466,$B125,'май 2025'!$J$5:$J$2466,AB$1)</f>
        <v>0</v>
      </c>
      <c r="AC125" s="183">
        <f>SUMIFS('май 2025'!$G$5:$G$2466,'май 2025'!$D$5:$D$2466,$B125,'май 2025'!$J$5:$J$2466,AC$1)</f>
        <v>0</v>
      </c>
      <c r="AD125" s="183">
        <f>SUMIFS('май 2025'!$G$5:$G$2466,'май 2025'!$D$5:$D$2466,$B125,'май 2025'!$J$5:$J$2466,AD$1)</f>
        <v>0</v>
      </c>
      <c r="AE125" s="183">
        <f>SUMIFS('май 2025'!$G$5:$G$2466,'май 2025'!$D$5:$D$2466,$B125,'май 2025'!$J$5:$J$2466,AE$1)</f>
        <v>0</v>
      </c>
      <c r="AF125" s="183">
        <f>SUMIFS('май 2025'!$G$5:$G$2466,'май 2025'!$D$5:$D$2466,$B125,'май 2025'!$J$5:$J$2466,AF$1)</f>
        <v>0</v>
      </c>
      <c r="AG125" s="183">
        <f>SUMIFS('май 2025'!$G$5:$G$2466,'май 2025'!$D$5:$D$2466,$B125,'май 2025'!$J$5:$J$2466,AG$1)</f>
        <v>0</v>
      </c>
      <c r="AH125" s="183">
        <f>SUMIFS('май 2025'!$G$5:$G$2466,'май 2025'!$D$5:$D$2466,$B125,'май 2025'!$J$5:$J$2466,AH$1)</f>
        <v>0</v>
      </c>
      <c r="AI125" s="20">
        <f t="shared" si="1"/>
        <v>0</v>
      </c>
    </row>
    <row r="126" spans="2:35" ht="15" customHeight="1" x14ac:dyDescent="0.25">
      <c r="B126" s="88" t="s">
        <v>283</v>
      </c>
      <c r="C126" s="86">
        <v>185</v>
      </c>
      <c r="D126" s="183">
        <f>SUMIFS('май 2025'!$G$5:$G$2466,'май 2025'!$D$5:$D$2466,$B126,'май 2025'!$J$5:$J$2466,D$1)</f>
        <v>0</v>
      </c>
      <c r="E126" s="183">
        <f>SUMIFS('май 2025'!$G$5:$G$2466,'май 2025'!$D$5:$D$2466,$B126,'май 2025'!$J$5:$J$2466,E$1)</f>
        <v>0</v>
      </c>
      <c r="F126" s="183">
        <f>SUMIFS('май 2025'!$G$5:$G$2466,'май 2025'!$D$5:$D$2466,$B126,'май 2025'!$J$5:$J$2466,F$1)</f>
        <v>0</v>
      </c>
      <c r="G126" s="183">
        <f>SUMIFS('май 2025'!$G$5:$G$2466,'май 2025'!$D$5:$D$2466,$B126,'май 2025'!$J$5:$J$2466,G$1)</f>
        <v>0</v>
      </c>
      <c r="H126" s="183">
        <f>SUMIFS('май 2025'!$G$5:$G$2466,'май 2025'!$D$5:$D$2466,$B126,'май 2025'!$J$5:$J$2466,H$1)</f>
        <v>0</v>
      </c>
      <c r="I126" s="183">
        <f>SUMIFS('май 2025'!$G$5:$G$2466,'май 2025'!$D$5:$D$2466,$B126,'май 2025'!$J$5:$J$2466,I$1)</f>
        <v>0</v>
      </c>
      <c r="J126" s="183">
        <f>SUMIFS('май 2025'!$G$5:$G$2466,'май 2025'!$D$5:$D$2466,$B126,'май 2025'!$J$5:$J$2466,J$1)</f>
        <v>0</v>
      </c>
      <c r="K126" s="183">
        <f>SUMIFS('май 2025'!$G$5:$G$2466,'май 2025'!$D$5:$D$2466,$B126,'май 2025'!$J$5:$J$2466,K$1)</f>
        <v>0</v>
      </c>
      <c r="L126" s="183">
        <f>SUMIFS('май 2025'!$G$5:$G$2466,'май 2025'!$D$5:$D$2466,$B126,'май 2025'!$J$5:$J$2466,L$1)</f>
        <v>0</v>
      </c>
      <c r="M126" s="183">
        <f>SUMIFS('май 2025'!$G$5:$G$2466,'май 2025'!$D$5:$D$2466,$B126,'май 2025'!$J$5:$J$2466,M$1)</f>
        <v>0</v>
      </c>
      <c r="N126" s="183">
        <f>SUMIFS('май 2025'!$G$5:$G$2466,'май 2025'!$D$5:$D$2466,$B126,'май 2025'!$J$5:$J$2466,N$1)</f>
        <v>0</v>
      </c>
      <c r="O126" s="183">
        <f>SUMIFS('май 2025'!$G$5:$G$2466,'май 2025'!$D$5:$D$2466,$B126,'май 2025'!$J$5:$J$2466,O$1)</f>
        <v>0</v>
      </c>
      <c r="P126" s="183">
        <f>SUMIFS('май 2025'!$G$5:$G$2466,'май 2025'!$D$5:$D$2466,$B126,'май 2025'!$J$5:$J$2466,P$1)</f>
        <v>0</v>
      </c>
      <c r="Q126" s="183">
        <f>SUMIFS('май 2025'!$G$5:$G$2466,'май 2025'!$D$5:$D$2466,$B126,'май 2025'!$J$5:$J$2466,Q$1)</f>
        <v>0</v>
      </c>
      <c r="R126" s="183">
        <f>SUMIFS('май 2025'!$G$5:$G$2466,'май 2025'!$D$5:$D$2466,$B126,'май 2025'!$J$5:$J$2466,R$1)</f>
        <v>0</v>
      </c>
      <c r="S126" s="183">
        <f>SUMIFS('май 2025'!$G$5:$G$2466,'май 2025'!$D$5:$D$2466,$B126,'май 2025'!$J$5:$J$2466,S$1)</f>
        <v>0</v>
      </c>
      <c r="T126" s="183">
        <f>SUMIFS('май 2025'!$G$5:$G$2466,'май 2025'!$D$5:$D$2466,$B126,'май 2025'!$J$5:$J$2466,T$1)</f>
        <v>0</v>
      </c>
      <c r="U126" s="183">
        <f>SUMIFS('май 2025'!$G$5:$G$2466,'май 2025'!$D$5:$D$2466,$B126,'май 2025'!$J$5:$J$2466,U$1)</f>
        <v>0</v>
      </c>
      <c r="V126" s="183">
        <f>SUMIFS('май 2025'!$G$5:$G$2466,'май 2025'!$D$5:$D$2466,$B126,'май 2025'!$J$5:$J$2466,V$1)</f>
        <v>0</v>
      </c>
      <c r="W126" s="183">
        <f>SUMIFS('май 2025'!$G$5:$G$2466,'май 2025'!$D$5:$D$2466,$B126,'май 2025'!$J$5:$J$2466,W$1)</f>
        <v>0</v>
      </c>
      <c r="X126" s="183">
        <f>SUMIFS('май 2025'!$G$5:$G$2466,'май 2025'!$D$5:$D$2466,$B126,'май 2025'!$J$5:$J$2466,X$1)</f>
        <v>0</v>
      </c>
      <c r="Y126" s="183">
        <f>SUMIFS('май 2025'!$G$5:$G$2466,'май 2025'!$D$5:$D$2466,$B126,'май 2025'!$J$5:$J$2466,Y$1)</f>
        <v>0</v>
      </c>
      <c r="Z126" s="183">
        <f>SUMIFS('май 2025'!$G$5:$G$2466,'май 2025'!$D$5:$D$2466,$B126,'май 2025'!$J$5:$J$2466,Z$1)</f>
        <v>0</v>
      </c>
      <c r="AA126" s="183">
        <f>SUMIFS('май 2025'!$G$5:$G$2466,'май 2025'!$D$5:$D$2466,$B126,'май 2025'!$J$5:$J$2466,AA$1)</f>
        <v>0</v>
      </c>
      <c r="AB126" s="183">
        <f>SUMIFS('май 2025'!$G$5:$G$2466,'май 2025'!$D$5:$D$2466,$B126,'май 2025'!$J$5:$J$2466,AB$1)</f>
        <v>0</v>
      </c>
      <c r="AC126" s="183">
        <f>SUMIFS('май 2025'!$G$5:$G$2466,'май 2025'!$D$5:$D$2466,$B126,'май 2025'!$J$5:$J$2466,AC$1)</f>
        <v>0</v>
      </c>
      <c r="AD126" s="183">
        <f>SUMIFS('май 2025'!$G$5:$G$2466,'май 2025'!$D$5:$D$2466,$B126,'май 2025'!$J$5:$J$2466,AD$1)</f>
        <v>0</v>
      </c>
      <c r="AE126" s="183">
        <f>SUMIFS('май 2025'!$G$5:$G$2466,'май 2025'!$D$5:$D$2466,$B126,'май 2025'!$J$5:$J$2466,AE$1)</f>
        <v>0</v>
      </c>
      <c r="AF126" s="183">
        <f>SUMIFS('май 2025'!$G$5:$G$2466,'май 2025'!$D$5:$D$2466,$B126,'май 2025'!$J$5:$J$2466,AF$1)</f>
        <v>0</v>
      </c>
      <c r="AG126" s="183">
        <f>SUMIFS('май 2025'!$G$5:$G$2466,'май 2025'!$D$5:$D$2466,$B126,'май 2025'!$J$5:$J$2466,AG$1)</f>
        <v>0</v>
      </c>
      <c r="AH126" s="183">
        <f>SUMIFS('май 2025'!$G$5:$G$2466,'май 2025'!$D$5:$D$2466,$B126,'май 2025'!$J$5:$J$2466,AH$1)</f>
        <v>0</v>
      </c>
      <c r="AI126" s="20">
        <f t="shared" si="1"/>
        <v>0</v>
      </c>
    </row>
    <row r="127" spans="2:35" ht="15" customHeight="1" x14ac:dyDescent="0.25">
      <c r="B127" s="88" t="s">
        <v>866</v>
      </c>
      <c r="C127" s="86">
        <v>185</v>
      </c>
      <c r="D127" s="183">
        <f>SUMIFS('май 2025'!$G$5:$G$2466,'май 2025'!$D$5:$D$2466,$B127,'май 2025'!$J$5:$J$2466,D$1)</f>
        <v>0</v>
      </c>
      <c r="E127" s="183">
        <f>SUMIFS('май 2025'!$G$5:$G$2466,'май 2025'!$D$5:$D$2466,$B127,'май 2025'!$J$5:$J$2466,E$1)</f>
        <v>0</v>
      </c>
      <c r="F127" s="183">
        <f>SUMIFS('май 2025'!$G$5:$G$2466,'май 2025'!$D$5:$D$2466,$B127,'май 2025'!$J$5:$J$2466,F$1)</f>
        <v>0</v>
      </c>
      <c r="G127" s="183">
        <f>SUMIFS('май 2025'!$G$5:$G$2466,'май 2025'!$D$5:$D$2466,$B127,'май 2025'!$J$5:$J$2466,G$1)</f>
        <v>0</v>
      </c>
      <c r="H127" s="183">
        <f>SUMIFS('май 2025'!$G$5:$G$2466,'май 2025'!$D$5:$D$2466,$B127,'май 2025'!$J$5:$J$2466,H$1)</f>
        <v>0</v>
      </c>
      <c r="I127" s="183">
        <f>SUMIFS('май 2025'!$G$5:$G$2466,'май 2025'!$D$5:$D$2466,$B127,'май 2025'!$J$5:$J$2466,I$1)</f>
        <v>0</v>
      </c>
      <c r="J127" s="183">
        <f>SUMIFS('май 2025'!$G$5:$G$2466,'май 2025'!$D$5:$D$2466,$B127,'май 2025'!$J$5:$J$2466,J$1)</f>
        <v>0</v>
      </c>
      <c r="K127" s="183">
        <f>SUMIFS('май 2025'!$G$5:$G$2466,'май 2025'!$D$5:$D$2466,$B127,'май 2025'!$J$5:$J$2466,K$1)</f>
        <v>0</v>
      </c>
      <c r="L127" s="183">
        <f>SUMIFS('май 2025'!$G$5:$G$2466,'май 2025'!$D$5:$D$2466,$B127,'май 2025'!$J$5:$J$2466,L$1)</f>
        <v>0</v>
      </c>
      <c r="M127" s="183">
        <f>SUMIFS('май 2025'!$G$5:$G$2466,'май 2025'!$D$5:$D$2466,$B127,'май 2025'!$J$5:$J$2466,M$1)</f>
        <v>0</v>
      </c>
      <c r="N127" s="183">
        <f>SUMIFS('май 2025'!$G$5:$G$2466,'май 2025'!$D$5:$D$2466,$B127,'май 2025'!$J$5:$J$2466,N$1)</f>
        <v>0</v>
      </c>
      <c r="O127" s="183">
        <f>SUMIFS('май 2025'!$G$5:$G$2466,'май 2025'!$D$5:$D$2466,$B127,'май 2025'!$J$5:$J$2466,O$1)</f>
        <v>0</v>
      </c>
      <c r="P127" s="183">
        <f>SUMIFS('май 2025'!$G$5:$G$2466,'май 2025'!$D$5:$D$2466,$B127,'май 2025'!$J$5:$J$2466,P$1)</f>
        <v>0</v>
      </c>
      <c r="Q127" s="183">
        <f>SUMIFS('май 2025'!$G$5:$G$2466,'май 2025'!$D$5:$D$2466,$B127,'май 2025'!$J$5:$J$2466,Q$1)</f>
        <v>0</v>
      </c>
      <c r="R127" s="183">
        <f>SUMIFS('май 2025'!$G$5:$G$2466,'май 2025'!$D$5:$D$2466,$B127,'май 2025'!$J$5:$J$2466,R$1)</f>
        <v>0</v>
      </c>
      <c r="S127" s="183">
        <f>SUMIFS('май 2025'!$G$5:$G$2466,'май 2025'!$D$5:$D$2466,$B127,'май 2025'!$J$5:$J$2466,S$1)</f>
        <v>0</v>
      </c>
      <c r="T127" s="183">
        <f>SUMIFS('май 2025'!$G$5:$G$2466,'май 2025'!$D$5:$D$2466,$B127,'май 2025'!$J$5:$J$2466,T$1)</f>
        <v>0</v>
      </c>
      <c r="U127" s="183">
        <f>SUMIFS('май 2025'!$G$5:$G$2466,'май 2025'!$D$5:$D$2466,$B127,'май 2025'!$J$5:$J$2466,U$1)</f>
        <v>0</v>
      </c>
      <c r="V127" s="183">
        <f>SUMIFS('май 2025'!$G$5:$G$2466,'май 2025'!$D$5:$D$2466,$B127,'май 2025'!$J$5:$J$2466,V$1)</f>
        <v>0</v>
      </c>
      <c r="W127" s="183">
        <f>SUMIFS('май 2025'!$G$5:$G$2466,'май 2025'!$D$5:$D$2466,$B127,'май 2025'!$J$5:$J$2466,W$1)</f>
        <v>0</v>
      </c>
      <c r="X127" s="183">
        <f>SUMIFS('май 2025'!$G$5:$G$2466,'май 2025'!$D$5:$D$2466,$B127,'май 2025'!$J$5:$J$2466,X$1)</f>
        <v>0</v>
      </c>
      <c r="Y127" s="183">
        <f>SUMIFS('май 2025'!$G$5:$G$2466,'май 2025'!$D$5:$D$2466,$B127,'май 2025'!$J$5:$J$2466,Y$1)</f>
        <v>0</v>
      </c>
      <c r="Z127" s="183">
        <f>SUMIFS('май 2025'!$G$5:$G$2466,'май 2025'!$D$5:$D$2466,$B127,'май 2025'!$J$5:$J$2466,Z$1)</f>
        <v>0</v>
      </c>
      <c r="AA127" s="183">
        <f>SUMIFS('май 2025'!$G$5:$G$2466,'май 2025'!$D$5:$D$2466,$B127,'май 2025'!$J$5:$J$2466,AA$1)</f>
        <v>0</v>
      </c>
      <c r="AB127" s="183">
        <f>SUMIFS('май 2025'!$G$5:$G$2466,'май 2025'!$D$5:$D$2466,$B127,'май 2025'!$J$5:$J$2466,AB$1)</f>
        <v>0</v>
      </c>
      <c r="AC127" s="183">
        <f>SUMIFS('май 2025'!$G$5:$G$2466,'май 2025'!$D$5:$D$2466,$B127,'май 2025'!$J$5:$J$2466,AC$1)</f>
        <v>0</v>
      </c>
      <c r="AD127" s="183">
        <f>SUMIFS('май 2025'!$G$5:$G$2466,'май 2025'!$D$5:$D$2466,$B127,'май 2025'!$J$5:$J$2466,AD$1)</f>
        <v>0</v>
      </c>
      <c r="AE127" s="183">
        <f>SUMIFS('май 2025'!$G$5:$G$2466,'май 2025'!$D$5:$D$2466,$B127,'май 2025'!$J$5:$J$2466,AE$1)</f>
        <v>0</v>
      </c>
      <c r="AF127" s="183">
        <f>SUMIFS('май 2025'!$G$5:$G$2466,'май 2025'!$D$5:$D$2466,$B127,'май 2025'!$J$5:$J$2466,AF$1)</f>
        <v>0</v>
      </c>
      <c r="AG127" s="183">
        <f>SUMIFS('май 2025'!$G$5:$G$2466,'май 2025'!$D$5:$D$2466,$B127,'май 2025'!$J$5:$J$2466,AG$1)</f>
        <v>0</v>
      </c>
      <c r="AH127" s="183">
        <f>SUMIFS('май 2025'!$G$5:$G$2466,'май 2025'!$D$5:$D$2466,$B127,'май 2025'!$J$5:$J$2466,AH$1)</f>
        <v>0</v>
      </c>
      <c r="AI127" s="20">
        <f t="shared" si="1"/>
        <v>0</v>
      </c>
    </row>
    <row r="128" spans="2:35" ht="15" customHeight="1" x14ac:dyDescent="0.25">
      <c r="B128" s="88" t="s">
        <v>266</v>
      </c>
      <c r="C128" s="86">
        <v>180</v>
      </c>
      <c r="D128" s="183">
        <f>SUMIFS('май 2025'!$G$5:$G$2466,'май 2025'!$D$5:$D$2466,$B128,'май 2025'!$J$5:$J$2466,D$1)</f>
        <v>0</v>
      </c>
      <c r="E128" s="183">
        <f>SUMIFS('май 2025'!$G$5:$G$2466,'май 2025'!$D$5:$D$2466,$B128,'май 2025'!$J$5:$J$2466,E$1)</f>
        <v>0</v>
      </c>
      <c r="F128" s="183">
        <f>SUMIFS('май 2025'!$G$5:$G$2466,'май 2025'!$D$5:$D$2466,$B128,'май 2025'!$J$5:$J$2466,F$1)</f>
        <v>0</v>
      </c>
      <c r="G128" s="183">
        <f>SUMIFS('май 2025'!$G$5:$G$2466,'май 2025'!$D$5:$D$2466,$B128,'май 2025'!$J$5:$J$2466,G$1)</f>
        <v>0</v>
      </c>
      <c r="H128" s="183">
        <f>SUMIFS('май 2025'!$G$5:$G$2466,'май 2025'!$D$5:$D$2466,$B128,'май 2025'!$J$5:$J$2466,H$1)</f>
        <v>0</v>
      </c>
      <c r="I128" s="183">
        <f>SUMIFS('май 2025'!$G$5:$G$2466,'май 2025'!$D$5:$D$2466,$B128,'май 2025'!$J$5:$J$2466,I$1)</f>
        <v>0</v>
      </c>
      <c r="J128" s="183">
        <f>SUMIFS('май 2025'!$G$5:$G$2466,'май 2025'!$D$5:$D$2466,$B128,'май 2025'!$J$5:$J$2466,J$1)</f>
        <v>0</v>
      </c>
      <c r="K128" s="183">
        <f>SUMIFS('май 2025'!$G$5:$G$2466,'май 2025'!$D$5:$D$2466,$B128,'май 2025'!$J$5:$J$2466,K$1)</f>
        <v>0</v>
      </c>
      <c r="L128" s="183">
        <f>SUMIFS('май 2025'!$G$5:$G$2466,'май 2025'!$D$5:$D$2466,$B128,'май 2025'!$J$5:$J$2466,L$1)</f>
        <v>0</v>
      </c>
      <c r="M128" s="183">
        <f>SUMIFS('май 2025'!$G$5:$G$2466,'май 2025'!$D$5:$D$2466,$B128,'май 2025'!$J$5:$J$2466,M$1)</f>
        <v>0</v>
      </c>
      <c r="N128" s="183">
        <f>SUMIFS('май 2025'!$G$5:$G$2466,'май 2025'!$D$5:$D$2466,$B128,'май 2025'!$J$5:$J$2466,N$1)</f>
        <v>0</v>
      </c>
      <c r="O128" s="183">
        <f>SUMIFS('май 2025'!$G$5:$G$2466,'май 2025'!$D$5:$D$2466,$B128,'май 2025'!$J$5:$J$2466,O$1)</f>
        <v>0</v>
      </c>
      <c r="P128" s="183">
        <f>SUMIFS('май 2025'!$G$5:$G$2466,'май 2025'!$D$5:$D$2466,$B128,'май 2025'!$J$5:$J$2466,P$1)</f>
        <v>0</v>
      </c>
      <c r="Q128" s="183">
        <f>SUMIFS('май 2025'!$G$5:$G$2466,'май 2025'!$D$5:$D$2466,$B128,'май 2025'!$J$5:$J$2466,Q$1)</f>
        <v>0</v>
      </c>
      <c r="R128" s="183">
        <f>SUMIFS('май 2025'!$G$5:$G$2466,'май 2025'!$D$5:$D$2466,$B128,'май 2025'!$J$5:$J$2466,R$1)</f>
        <v>0</v>
      </c>
      <c r="S128" s="183">
        <f>SUMIFS('май 2025'!$G$5:$G$2466,'май 2025'!$D$5:$D$2466,$B128,'май 2025'!$J$5:$J$2466,S$1)</f>
        <v>0</v>
      </c>
      <c r="T128" s="183">
        <f>SUMIFS('май 2025'!$G$5:$G$2466,'май 2025'!$D$5:$D$2466,$B128,'май 2025'!$J$5:$J$2466,T$1)</f>
        <v>0</v>
      </c>
      <c r="U128" s="183">
        <f>SUMIFS('май 2025'!$G$5:$G$2466,'май 2025'!$D$5:$D$2466,$B128,'май 2025'!$J$5:$J$2466,U$1)</f>
        <v>0</v>
      </c>
      <c r="V128" s="183">
        <f>SUMIFS('май 2025'!$G$5:$G$2466,'май 2025'!$D$5:$D$2466,$B128,'май 2025'!$J$5:$J$2466,V$1)</f>
        <v>0</v>
      </c>
      <c r="W128" s="183">
        <f>SUMIFS('май 2025'!$G$5:$G$2466,'май 2025'!$D$5:$D$2466,$B128,'май 2025'!$J$5:$J$2466,W$1)</f>
        <v>0</v>
      </c>
      <c r="X128" s="183">
        <f>SUMIFS('май 2025'!$G$5:$G$2466,'май 2025'!$D$5:$D$2466,$B128,'май 2025'!$J$5:$J$2466,X$1)</f>
        <v>0</v>
      </c>
      <c r="Y128" s="183">
        <f>SUMIFS('май 2025'!$G$5:$G$2466,'май 2025'!$D$5:$D$2466,$B128,'май 2025'!$J$5:$J$2466,Y$1)</f>
        <v>0</v>
      </c>
      <c r="Z128" s="183">
        <f>SUMIFS('май 2025'!$G$5:$G$2466,'май 2025'!$D$5:$D$2466,$B128,'май 2025'!$J$5:$J$2466,Z$1)</f>
        <v>0</v>
      </c>
      <c r="AA128" s="183">
        <f>SUMIFS('май 2025'!$G$5:$G$2466,'май 2025'!$D$5:$D$2466,$B128,'май 2025'!$J$5:$J$2466,AA$1)</f>
        <v>0</v>
      </c>
      <c r="AB128" s="183">
        <f>SUMIFS('май 2025'!$G$5:$G$2466,'май 2025'!$D$5:$D$2466,$B128,'май 2025'!$J$5:$J$2466,AB$1)</f>
        <v>0</v>
      </c>
      <c r="AC128" s="183">
        <f>SUMIFS('май 2025'!$G$5:$G$2466,'май 2025'!$D$5:$D$2466,$B128,'май 2025'!$J$5:$J$2466,AC$1)</f>
        <v>0</v>
      </c>
      <c r="AD128" s="183">
        <f>SUMIFS('май 2025'!$G$5:$G$2466,'май 2025'!$D$5:$D$2466,$B128,'май 2025'!$J$5:$J$2466,AD$1)</f>
        <v>0</v>
      </c>
      <c r="AE128" s="183">
        <f>SUMIFS('май 2025'!$G$5:$G$2466,'май 2025'!$D$5:$D$2466,$B128,'май 2025'!$J$5:$J$2466,AE$1)</f>
        <v>0</v>
      </c>
      <c r="AF128" s="183">
        <f>SUMIFS('май 2025'!$G$5:$G$2466,'май 2025'!$D$5:$D$2466,$B128,'май 2025'!$J$5:$J$2466,AF$1)</f>
        <v>0</v>
      </c>
      <c r="AG128" s="183">
        <f>SUMIFS('май 2025'!$G$5:$G$2466,'май 2025'!$D$5:$D$2466,$B128,'май 2025'!$J$5:$J$2466,AG$1)</f>
        <v>0</v>
      </c>
      <c r="AH128" s="183">
        <f>SUMIFS('май 2025'!$G$5:$G$2466,'май 2025'!$D$5:$D$2466,$B128,'май 2025'!$J$5:$J$2466,AH$1)</f>
        <v>0</v>
      </c>
      <c r="AI128" s="20">
        <f t="shared" si="1"/>
        <v>0</v>
      </c>
    </row>
    <row r="129" spans="2:35" ht="15" customHeight="1" x14ac:dyDescent="0.25">
      <c r="B129" s="88" t="s">
        <v>267</v>
      </c>
      <c r="C129" s="86">
        <v>200</v>
      </c>
      <c r="D129" s="183">
        <f>SUMIFS('май 2025'!$G$5:$G$2466,'май 2025'!$D$5:$D$2466,$B129,'май 2025'!$J$5:$J$2466,D$1)</f>
        <v>0</v>
      </c>
      <c r="E129" s="183">
        <f>SUMIFS('май 2025'!$G$5:$G$2466,'май 2025'!$D$5:$D$2466,$B129,'май 2025'!$J$5:$J$2466,E$1)</f>
        <v>0</v>
      </c>
      <c r="F129" s="183">
        <f>SUMIFS('май 2025'!$G$5:$G$2466,'май 2025'!$D$5:$D$2466,$B129,'май 2025'!$J$5:$J$2466,F$1)</f>
        <v>0</v>
      </c>
      <c r="G129" s="183">
        <f>SUMIFS('май 2025'!$G$5:$G$2466,'май 2025'!$D$5:$D$2466,$B129,'май 2025'!$J$5:$J$2466,G$1)</f>
        <v>0</v>
      </c>
      <c r="H129" s="183">
        <f>SUMIFS('май 2025'!$G$5:$G$2466,'май 2025'!$D$5:$D$2466,$B129,'май 2025'!$J$5:$J$2466,H$1)</f>
        <v>0</v>
      </c>
      <c r="I129" s="183">
        <f>SUMIFS('май 2025'!$G$5:$G$2466,'май 2025'!$D$5:$D$2466,$B129,'май 2025'!$J$5:$J$2466,I$1)</f>
        <v>0</v>
      </c>
      <c r="J129" s="183">
        <f>SUMIFS('май 2025'!$G$5:$G$2466,'май 2025'!$D$5:$D$2466,$B129,'май 2025'!$J$5:$J$2466,J$1)</f>
        <v>0</v>
      </c>
      <c r="K129" s="183">
        <f>SUMIFS('май 2025'!$G$5:$G$2466,'май 2025'!$D$5:$D$2466,$B129,'май 2025'!$J$5:$J$2466,K$1)</f>
        <v>0</v>
      </c>
      <c r="L129" s="183">
        <f>SUMIFS('май 2025'!$G$5:$G$2466,'май 2025'!$D$5:$D$2466,$B129,'май 2025'!$J$5:$J$2466,L$1)</f>
        <v>0</v>
      </c>
      <c r="M129" s="183">
        <f>SUMIFS('май 2025'!$G$5:$G$2466,'май 2025'!$D$5:$D$2466,$B129,'май 2025'!$J$5:$J$2466,M$1)</f>
        <v>0</v>
      </c>
      <c r="N129" s="183">
        <f>SUMIFS('май 2025'!$G$5:$G$2466,'май 2025'!$D$5:$D$2466,$B129,'май 2025'!$J$5:$J$2466,N$1)</f>
        <v>0</v>
      </c>
      <c r="O129" s="183">
        <f>SUMIFS('май 2025'!$G$5:$G$2466,'май 2025'!$D$5:$D$2466,$B129,'май 2025'!$J$5:$J$2466,O$1)</f>
        <v>0</v>
      </c>
      <c r="P129" s="183">
        <f>SUMIFS('май 2025'!$G$5:$G$2466,'май 2025'!$D$5:$D$2466,$B129,'май 2025'!$J$5:$J$2466,P$1)</f>
        <v>0</v>
      </c>
      <c r="Q129" s="183">
        <f>SUMIFS('май 2025'!$G$5:$G$2466,'май 2025'!$D$5:$D$2466,$B129,'май 2025'!$J$5:$J$2466,Q$1)</f>
        <v>0</v>
      </c>
      <c r="R129" s="183">
        <f>SUMIFS('май 2025'!$G$5:$G$2466,'май 2025'!$D$5:$D$2466,$B129,'май 2025'!$J$5:$J$2466,R$1)</f>
        <v>0</v>
      </c>
      <c r="S129" s="183">
        <f>SUMIFS('май 2025'!$G$5:$G$2466,'май 2025'!$D$5:$D$2466,$B129,'май 2025'!$J$5:$J$2466,S$1)</f>
        <v>0</v>
      </c>
      <c r="T129" s="183">
        <f>SUMIFS('май 2025'!$G$5:$G$2466,'май 2025'!$D$5:$D$2466,$B129,'май 2025'!$J$5:$J$2466,T$1)</f>
        <v>0</v>
      </c>
      <c r="U129" s="183">
        <f>SUMIFS('май 2025'!$G$5:$G$2466,'май 2025'!$D$5:$D$2466,$B129,'май 2025'!$J$5:$J$2466,U$1)</f>
        <v>0</v>
      </c>
      <c r="V129" s="183">
        <f>SUMIFS('май 2025'!$G$5:$G$2466,'май 2025'!$D$5:$D$2466,$B129,'май 2025'!$J$5:$J$2466,V$1)</f>
        <v>0</v>
      </c>
      <c r="W129" s="183">
        <f>SUMIFS('май 2025'!$G$5:$G$2466,'май 2025'!$D$5:$D$2466,$B129,'май 2025'!$J$5:$J$2466,W$1)</f>
        <v>0</v>
      </c>
      <c r="X129" s="183">
        <f>SUMIFS('май 2025'!$G$5:$G$2466,'май 2025'!$D$5:$D$2466,$B129,'май 2025'!$J$5:$J$2466,X$1)</f>
        <v>0</v>
      </c>
      <c r="Y129" s="183">
        <f>SUMIFS('май 2025'!$G$5:$G$2466,'май 2025'!$D$5:$D$2466,$B129,'май 2025'!$J$5:$J$2466,Y$1)</f>
        <v>0</v>
      </c>
      <c r="Z129" s="183">
        <f>SUMIFS('май 2025'!$G$5:$G$2466,'май 2025'!$D$5:$D$2466,$B129,'май 2025'!$J$5:$J$2466,Z$1)</f>
        <v>0</v>
      </c>
      <c r="AA129" s="183">
        <f>SUMIFS('май 2025'!$G$5:$G$2466,'май 2025'!$D$5:$D$2466,$B129,'май 2025'!$J$5:$J$2466,AA$1)</f>
        <v>0</v>
      </c>
      <c r="AB129" s="183">
        <f>SUMIFS('май 2025'!$G$5:$G$2466,'май 2025'!$D$5:$D$2466,$B129,'май 2025'!$J$5:$J$2466,AB$1)</f>
        <v>0</v>
      </c>
      <c r="AC129" s="183">
        <f>SUMIFS('май 2025'!$G$5:$G$2466,'май 2025'!$D$5:$D$2466,$B129,'май 2025'!$J$5:$J$2466,AC$1)</f>
        <v>88</v>
      </c>
      <c r="AD129" s="183">
        <f>SUMIFS('май 2025'!$G$5:$G$2466,'май 2025'!$D$5:$D$2466,$B129,'май 2025'!$J$5:$J$2466,AD$1)</f>
        <v>0</v>
      </c>
      <c r="AE129" s="183">
        <f>SUMIFS('май 2025'!$G$5:$G$2466,'май 2025'!$D$5:$D$2466,$B129,'май 2025'!$J$5:$J$2466,AE$1)</f>
        <v>0</v>
      </c>
      <c r="AF129" s="183">
        <f>SUMIFS('май 2025'!$G$5:$G$2466,'май 2025'!$D$5:$D$2466,$B129,'май 2025'!$J$5:$J$2466,AF$1)</f>
        <v>0</v>
      </c>
      <c r="AG129" s="183">
        <f>SUMIFS('май 2025'!$G$5:$G$2466,'май 2025'!$D$5:$D$2466,$B129,'май 2025'!$J$5:$J$2466,AG$1)</f>
        <v>0</v>
      </c>
      <c r="AH129" s="183">
        <f>SUMIFS('май 2025'!$G$5:$G$2466,'май 2025'!$D$5:$D$2466,$B129,'май 2025'!$J$5:$J$2466,AH$1)</f>
        <v>0</v>
      </c>
      <c r="AI129" s="20">
        <f t="shared" si="1"/>
        <v>88</v>
      </c>
    </row>
    <row r="130" spans="2:35" ht="15" customHeight="1" x14ac:dyDescent="0.25">
      <c r="B130" s="84" t="s">
        <v>163</v>
      </c>
      <c r="C130" s="83">
        <v>950</v>
      </c>
      <c r="D130" s="183">
        <f>SUMIFS('май 2025'!$G$5:$G$2466,'май 2025'!$D$5:$D$2466,$B130,'май 2025'!$J$5:$J$2466,D$1)</f>
        <v>0</v>
      </c>
      <c r="E130" s="183">
        <f>SUMIFS('май 2025'!$G$5:$G$2466,'май 2025'!$D$5:$D$2466,$B130,'май 2025'!$J$5:$J$2466,E$1)</f>
        <v>0</v>
      </c>
      <c r="F130" s="183">
        <f>SUMIFS('май 2025'!$G$5:$G$2466,'май 2025'!$D$5:$D$2466,$B130,'май 2025'!$J$5:$J$2466,F$1)</f>
        <v>0</v>
      </c>
      <c r="G130" s="183">
        <f>SUMIFS('май 2025'!$G$5:$G$2466,'май 2025'!$D$5:$D$2466,$B130,'май 2025'!$J$5:$J$2466,G$1)</f>
        <v>0</v>
      </c>
      <c r="H130" s="183">
        <f>SUMIFS('май 2025'!$G$5:$G$2466,'май 2025'!$D$5:$D$2466,$B130,'май 2025'!$J$5:$J$2466,H$1)</f>
        <v>0</v>
      </c>
      <c r="I130" s="183">
        <f>SUMIFS('май 2025'!$G$5:$G$2466,'май 2025'!$D$5:$D$2466,$B130,'май 2025'!$J$5:$J$2466,I$1)</f>
        <v>0</v>
      </c>
      <c r="J130" s="183">
        <f>SUMIFS('май 2025'!$G$5:$G$2466,'май 2025'!$D$5:$D$2466,$B130,'май 2025'!$J$5:$J$2466,J$1)</f>
        <v>0</v>
      </c>
      <c r="K130" s="183">
        <f>SUMIFS('май 2025'!$G$5:$G$2466,'май 2025'!$D$5:$D$2466,$B130,'май 2025'!$J$5:$J$2466,K$1)</f>
        <v>0</v>
      </c>
      <c r="L130" s="183">
        <f>SUMIFS('май 2025'!$G$5:$G$2466,'май 2025'!$D$5:$D$2466,$B130,'май 2025'!$J$5:$J$2466,L$1)</f>
        <v>0</v>
      </c>
      <c r="M130" s="183">
        <f>SUMIFS('май 2025'!$G$5:$G$2466,'май 2025'!$D$5:$D$2466,$B130,'май 2025'!$J$5:$J$2466,M$1)</f>
        <v>0</v>
      </c>
      <c r="N130" s="183">
        <f>SUMIFS('май 2025'!$G$5:$G$2466,'май 2025'!$D$5:$D$2466,$B130,'май 2025'!$J$5:$J$2466,N$1)</f>
        <v>0</v>
      </c>
      <c r="O130" s="183">
        <f>SUMIFS('май 2025'!$G$5:$G$2466,'май 2025'!$D$5:$D$2466,$B130,'май 2025'!$J$5:$J$2466,O$1)</f>
        <v>0</v>
      </c>
      <c r="P130" s="183">
        <f>SUMIFS('май 2025'!$G$5:$G$2466,'май 2025'!$D$5:$D$2466,$B130,'май 2025'!$J$5:$J$2466,P$1)</f>
        <v>0</v>
      </c>
      <c r="Q130" s="183">
        <f>SUMIFS('май 2025'!$G$5:$G$2466,'май 2025'!$D$5:$D$2466,$B130,'май 2025'!$J$5:$J$2466,Q$1)</f>
        <v>0</v>
      </c>
      <c r="R130" s="183">
        <f>SUMIFS('май 2025'!$G$5:$G$2466,'май 2025'!$D$5:$D$2466,$B130,'май 2025'!$J$5:$J$2466,R$1)</f>
        <v>0</v>
      </c>
      <c r="S130" s="183">
        <f>SUMIFS('май 2025'!$G$5:$G$2466,'май 2025'!$D$5:$D$2466,$B130,'май 2025'!$J$5:$J$2466,S$1)</f>
        <v>0</v>
      </c>
      <c r="T130" s="183">
        <f>SUMIFS('май 2025'!$G$5:$G$2466,'май 2025'!$D$5:$D$2466,$B130,'май 2025'!$J$5:$J$2466,T$1)</f>
        <v>0</v>
      </c>
      <c r="U130" s="183">
        <f>SUMIFS('май 2025'!$G$5:$G$2466,'май 2025'!$D$5:$D$2466,$B130,'май 2025'!$J$5:$J$2466,U$1)</f>
        <v>0</v>
      </c>
      <c r="V130" s="183">
        <f>SUMIFS('май 2025'!$G$5:$G$2466,'май 2025'!$D$5:$D$2466,$B130,'май 2025'!$J$5:$J$2466,V$1)</f>
        <v>0</v>
      </c>
      <c r="W130" s="183">
        <f>SUMIFS('май 2025'!$G$5:$G$2466,'май 2025'!$D$5:$D$2466,$B130,'май 2025'!$J$5:$J$2466,W$1)</f>
        <v>0</v>
      </c>
      <c r="X130" s="183">
        <f>SUMIFS('май 2025'!$G$5:$G$2466,'май 2025'!$D$5:$D$2466,$B130,'май 2025'!$J$5:$J$2466,X$1)</f>
        <v>0</v>
      </c>
      <c r="Y130" s="183">
        <f>SUMIFS('май 2025'!$G$5:$G$2466,'май 2025'!$D$5:$D$2466,$B130,'май 2025'!$J$5:$J$2466,Y$1)</f>
        <v>0</v>
      </c>
      <c r="Z130" s="183">
        <f>SUMIFS('май 2025'!$G$5:$G$2466,'май 2025'!$D$5:$D$2466,$B130,'май 2025'!$J$5:$J$2466,Z$1)</f>
        <v>0</v>
      </c>
      <c r="AA130" s="183">
        <f>SUMIFS('май 2025'!$G$5:$G$2466,'май 2025'!$D$5:$D$2466,$B130,'май 2025'!$J$5:$J$2466,AA$1)</f>
        <v>0</v>
      </c>
      <c r="AB130" s="183">
        <f>SUMIFS('май 2025'!$G$5:$G$2466,'май 2025'!$D$5:$D$2466,$B130,'май 2025'!$J$5:$J$2466,AB$1)</f>
        <v>0</v>
      </c>
      <c r="AC130" s="183">
        <f>SUMIFS('май 2025'!$G$5:$G$2466,'май 2025'!$D$5:$D$2466,$B130,'май 2025'!$J$5:$J$2466,AC$1)</f>
        <v>0</v>
      </c>
      <c r="AD130" s="183">
        <f>SUMIFS('май 2025'!$G$5:$G$2466,'май 2025'!$D$5:$D$2466,$B130,'май 2025'!$J$5:$J$2466,AD$1)</f>
        <v>0</v>
      </c>
      <c r="AE130" s="183">
        <f>SUMIFS('май 2025'!$G$5:$G$2466,'май 2025'!$D$5:$D$2466,$B130,'май 2025'!$J$5:$J$2466,AE$1)</f>
        <v>0</v>
      </c>
      <c r="AF130" s="183">
        <f>SUMIFS('май 2025'!$G$5:$G$2466,'май 2025'!$D$5:$D$2466,$B130,'май 2025'!$J$5:$J$2466,AF$1)</f>
        <v>0</v>
      </c>
      <c r="AG130" s="183">
        <f>SUMIFS('май 2025'!$G$5:$G$2466,'май 2025'!$D$5:$D$2466,$B130,'май 2025'!$J$5:$J$2466,AG$1)</f>
        <v>0</v>
      </c>
      <c r="AH130" s="183">
        <f>SUMIFS('май 2025'!$G$5:$G$2466,'май 2025'!$D$5:$D$2466,$B130,'май 2025'!$J$5:$J$2466,AH$1)</f>
        <v>0</v>
      </c>
      <c r="AI130" s="20">
        <f t="shared" si="1"/>
        <v>0</v>
      </c>
    </row>
    <row r="131" spans="2:35" ht="15" customHeight="1" x14ac:dyDescent="0.25">
      <c r="B131" s="84" t="s">
        <v>183</v>
      </c>
      <c r="C131" s="83">
        <v>180</v>
      </c>
      <c r="D131" s="183">
        <f>SUMIFS('май 2025'!$G$5:$G$2466,'май 2025'!$D$5:$D$2466,$B131,'май 2025'!$J$5:$J$2466,D$1)</f>
        <v>0</v>
      </c>
      <c r="E131" s="183">
        <f>SUMIFS('май 2025'!$G$5:$G$2466,'май 2025'!$D$5:$D$2466,$B131,'май 2025'!$J$5:$J$2466,E$1)</f>
        <v>0</v>
      </c>
      <c r="F131" s="183">
        <f>SUMIFS('май 2025'!$G$5:$G$2466,'май 2025'!$D$5:$D$2466,$B131,'май 2025'!$J$5:$J$2466,F$1)</f>
        <v>0</v>
      </c>
      <c r="G131" s="183">
        <f>SUMIFS('май 2025'!$G$5:$G$2466,'май 2025'!$D$5:$D$2466,$B131,'май 2025'!$J$5:$J$2466,G$1)</f>
        <v>0</v>
      </c>
      <c r="H131" s="183">
        <f>SUMIFS('май 2025'!$G$5:$G$2466,'май 2025'!$D$5:$D$2466,$B131,'май 2025'!$J$5:$J$2466,H$1)</f>
        <v>0</v>
      </c>
      <c r="I131" s="183">
        <f>SUMIFS('май 2025'!$G$5:$G$2466,'май 2025'!$D$5:$D$2466,$B131,'май 2025'!$J$5:$J$2466,I$1)</f>
        <v>0</v>
      </c>
      <c r="J131" s="183">
        <f>SUMIFS('май 2025'!$G$5:$G$2466,'май 2025'!$D$5:$D$2466,$B131,'май 2025'!$J$5:$J$2466,J$1)</f>
        <v>0</v>
      </c>
      <c r="K131" s="183">
        <f>SUMIFS('май 2025'!$G$5:$G$2466,'май 2025'!$D$5:$D$2466,$B131,'май 2025'!$J$5:$J$2466,K$1)</f>
        <v>0</v>
      </c>
      <c r="L131" s="183">
        <f>SUMIFS('май 2025'!$G$5:$G$2466,'май 2025'!$D$5:$D$2466,$B131,'май 2025'!$J$5:$J$2466,L$1)</f>
        <v>0</v>
      </c>
      <c r="M131" s="183">
        <f>SUMIFS('май 2025'!$G$5:$G$2466,'май 2025'!$D$5:$D$2466,$B131,'май 2025'!$J$5:$J$2466,M$1)</f>
        <v>0</v>
      </c>
      <c r="N131" s="183">
        <f>SUMIFS('май 2025'!$G$5:$G$2466,'май 2025'!$D$5:$D$2466,$B131,'май 2025'!$J$5:$J$2466,N$1)</f>
        <v>0</v>
      </c>
      <c r="O131" s="183">
        <f>SUMIFS('май 2025'!$G$5:$G$2466,'май 2025'!$D$5:$D$2466,$B131,'май 2025'!$J$5:$J$2466,O$1)</f>
        <v>0</v>
      </c>
      <c r="P131" s="183">
        <f>SUMIFS('май 2025'!$G$5:$G$2466,'май 2025'!$D$5:$D$2466,$B131,'май 2025'!$J$5:$J$2466,P$1)</f>
        <v>0</v>
      </c>
      <c r="Q131" s="183">
        <f>SUMIFS('май 2025'!$G$5:$G$2466,'май 2025'!$D$5:$D$2466,$B131,'май 2025'!$J$5:$J$2466,Q$1)</f>
        <v>0</v>
      </c>
      <c r="R131" s="183">
        <f>SUMIFS('май 2025'!$G$5:$G$2466,'май 2025'!$D$5:$D$2466,$B131,'май 2025'!$J$5:$J$2466,R$1)</f>
        <v>0</v>
      </c>
      <c r="S131" s="183">
        <f>SUMIFS('май 2025'!$G$5:$G$2466,'май 2025'!$D$5:$D$2466,$B131,'май 2025'!$J$5:$J$2466,S$1)</f>
        <v>0</v>
      </c>
      <c r="T131" s="183">
        <f>SUMIFS('май 2025'!$G$5:$G$2466,'май 2025'!$D$5:$D$2466,$B131,'май 2025'!$J$5:$J$2466,T$1)</f>
        <v>0</v>
      </c>
      <c r="U131" s="183">
        <f>SUMIFS('май 2025'!$G$5:$G$2466,'май 2025'!$D$5:$D$2466,$B131,'май 2025'!$J$5:$J$2466,U$1)</f>
        <v>0</v>
      </c>
      <c r="V131" s="183">
        <f>SUMIFS('май 2025'!$G$5:$G$2466,'май 2025'!$D$5:$D$2466,$B131,'май 2025'!$J$5:$J$2466,V$1)</f>
        <v>0</v>
      </c>
      <c r="W131" s="183">
        <f>SUMIFS('май 2025'!$G$5:$G$2466,'май 2025'!$D$5:$D$2466,$B131,'май 2025'!$J$5:$J$2466,W$1)</f>
        <v>0</v>
      </c>
      <c r="X131" s="183">
        <f>SUMIFS('май 2025'!$G$5:$G$2466,'май 2025'!$D$5:$D$2466,$B131,'май 2025'!$J$5:$J$2466,X$1)</f>
        <v>0</v>
      </c>
      <c r="Y131" s="183">
        <f>SUMIFS('май 2025'!$G$5:$G$2466,'май 2025'!$D$5:$D$2466,$B131,'май 2025'!$J$5:$J$2466,Y$1)</f>
        <v>0</v>
      </c>
      <c r="Z131" s="183">
        <f>SUMIFS('май 2025'!$G$5:$G$2466,'май 2025'!$D$5:$D$2466,$B131,'май 2025'!$J$5:$J$2466,Z$1)</f>
        <v>0</v>
      </c>
      <c r="AA131" s="183">
        <f>SUMIFS('май 2025'!$G$5:$G$2466,'май 2025'!$D$5:$D$2466,$B131,'май 2025'!$J$5:$J$2466,AA$1)</f>
        <v>0</v>
      </c>
      <c r="AB131" s="183">
        <f>SUMIFS('май 2025'!$G$5:$G$2466,'май 2025'!$D$5:$D$2466,$B131,'май 2025'!$J$5:$J$2466,AB$1)</f>
        <v>0</v>
      </c>
      <c r="AC131" s="183">
        <f>SUMIFS('май 2025'!$G$5:$G$2466,'май 2025'!$D$5:$D$2466,$B131,'май 2025'!$J$5:$J$2466,AC$1)</f>
        <v>0</v>
      </c>
      <c r="AD131" s="183">
        <f>SUMIFS('май 2025'!$G$5:$G$2466,'май 2025'!$D$5:$D$2466,$B131,'май 2025'!$J$5:$J$2466,AD$1)</f>
        <v>0</v>
      </c>
      <c r="AE131" s="183">
        <f>SUMIFS('май 2025'!$G$5:$G$2466,'май 2025'!$D$5:$D$2466,$B131,'май 2025'!$J$5:$J$2466,AE$1)</f>
        <v>0</v>
      </c>
      <c r="AF131" s="183">
        <f>SUMIFS('май 2025'!$G$5:$G$2466,'май 2025'!$D$5:$D$2466,$B131,'май 2025'!$J$5:$J$2466,AF$1)</f>
        <v>0</v>
      </c>
      <c r="AG131" s="183">
        <f>SUMIFS('май 2025'!$G$5:$G$2466,'май 2025'!$D$5:$D$2466,$B131,'май 2025'!$J$5:$J$2466,AG$1)</f>
        <v>0</v>
      </c>
      <c r="AH131" s="183">
        <f>SUMIFS('май 2025'!$G$5:$G$2466,'май 2025'!$D$5:$D$2466,$B131,'май 2025'!$J$5:$J$2466,AH$1)</f>
        <v>0</v>
      </c>
      <c r="AI131" s="20">
        <f t="shared" si="1"/>
        <v>0</v>
      </c>
    </row>
    <row r="132" spans="2:35" ht="15" customHeight="1" x14ac:dyDescent="0.25">
      <c r="B132" s="84" t="s">
        <v>305</v>
      </c>
      <c r="C132" s="83">
        <v>180</v>
      </c>
      <c r="D132" s="183">
        <f>SUMIFS('май 2025'!$G$5:$G$2466,'май 2025'!$D$5:$D$2466,$B132,'май 2025'!$J$5:$J$2466,D$1)</f>
        <v>0</v>
      </c>
      <c r="E132" s="183">
        <f>SUMIFS('май 2025'!$G$5:$G$2466,'май 2025'!$D$5:$D$2466,$B132,'май 2025'!$J$5:$J$2466,E$1)</f>
        <v>0</v>
      </c>
      <c r="F132" s="183">
        <f>SUMIFS('май 2025'!$G$5:$G$2466,'май 2025'!$D$5:$D$2466,$B132,'май 2025'!$J$5:$J$2466,F$1)</f>
        <v>0</v>
      </c>
      <c r="G132" s="183">
        <f>SUMIFS('май 2025'!$G$5:$G$2466,'май 2025'!$D$5:$D$2466,$B132,'май 2025'!$J$5:$J$2466,G$1)</f>
        <v>0</v>
      </c>
      <c r="H132" s="183">
        <f>SUMIFS('май 2025'!$G$5:$G$2466,'май 2025'!$D$5:$D$2466,$B132,'май 2025'!$J$5:$J$2466,H$1)</f>
        <v>0</v>
      </c>
      <c r="I132" s="183">
        <f>SUMIFS('май 2025'!$G$5:$G$2466,'май 2025'!$D$5:$D$2466,$B132,'май 2025'!$J$5:$J$2466,I$1)</f>
        <v>0</v>
      </c>
      <c r="J132" s="183">
        <f>SUMIFS('май 2025'!$G$5:$G$2466,'май 2025'!$D$5:$D$2466,$B132,'май 2025'!$J$5:$J$2466,J$1)</f>
        <v>0</v>
      </c>
      <c r="K132" s="183">
        <f>SUMIFS('май 2025'!$G$5:$G$2466,'май 2025'!$D$5:$D$2466,$B132,'май 2025'!$J$5:$J$2466,K$1)</f>
        <v>0</v>
      </c>
      <c r="L132" s="183">
        <f>SUMIFS('май 2025'!$G$5:$G$2466,'май 2025'!$D$5:$D$2466,$B132,'май 2025'!$J$5:$J$2466,L$1)</f>
        <v>0</v>
      </c>
      <c r="M132" s="183">
        <f>SUMIFS('май 2025'!$G$5:$G$2466,'май 2025'!$D$5:$D$2466,$B132,'май 2025'!$J$5:$J$2466,M$1)</f>
        <v>0</v>
      </c>
      <c r="N132" s="183">
        <f>SUMIFS('май 2025'!$G$5:$G$2466,'май 2025'!$D$5:$D$2466,$B132,'май 2025'!$J$5:$J$2466,N$1)</f>
        <v>0</v>
      </c>
      <c r="O132" s="183">
        <f>SUMIFS('май 2025'!$G$5:$G$2466,'май 2025'!$D$5:$D$2466,$B132,'май 2025'!$J$5:$J$2466,O$1)</f>
        <v>0</v>
      </c>
      <c r="P132" s="183">
        <f>SUMIFS('май 2025'!$G$5:$G$2466,'май 2025'!$D$5:$D$2466,$B132,'май 2025'!$J$5:$J$2466,P$1)</f>
        <v>0</v>
      </c>
      <c r="Q132" s="183">
        <f>SUMIFS('май 2025'!$G$5:$G$2466,'май 2025'!$D$5:$D$2466,$B132,'май 2025'!$J$5:$J$2466,Q$1)</f>
        <v>0</v>
      </c>
      <c r="R132" s="183">
        <f>SUMIFS('май 2025'!$G$5:$G$2466,'май 2025'!$D$5:$D$2466,$B132,'май 2025'!$J$5:$J$2466,R$1)</f>
        <v>0</v>
      </c>
      <c r="S132" s="183">
        <f>SUMIFS('май 2025'!$G$5:$G$2466,'май 2025'!$D$5:$D$2466,$B132,'май 2025'!$J$5:$J$2466,S$1)</f>
        <v>0</v>
      </c>
      <c r="T132" s="183">
        <f>SUMIFS('май 2025'!$G$5:$G$2466,'май 2025'!$D$5:$D$2466,$B132,'май 2025'!$J$5:$J$2466,T$1)</f>
        <v>0</v>
      </c>
      <c r="U132" s="183">
        <f>SUMIFS('май 2025'!$G$5:$G$2466,'май 2025'!$D$5:$D$2466,$B132,'май 2025'!$J$5:$J$2466,U$1)</f>
        <v>0</v>
      </c>
      <c r="V132" s="183">
        <f>SUMIFS('май 2025'!$G$5:$G$2466,'май 2025'!$D$5:$D$2466,$B132,'май 2025'!$J$5:$J$2466,V$1)</f>
        <v>0</v>
      </c>
      <c r="W132" s="183">
        <f>SUMIFS('май 2025'!$G$5:$G$2466,'май 2025'!$D$5:$D$2466,$B132,'май 2025'!$J$5:$J$2466,W$1)</f>
        <v>0</v>
      </c>
      <c r="X132" s="183">
        <f>SUMIFS('май 2025'!$G$5:$G$2466,'май 2025'!$D$5:$D$2466,$B132,'май 2025'!$J$5:$J$2466,X$1)</f>
        <v>0</v>
      </c>
      <c r="Y132" s="183">
        <f>SUMIFS('май 2025'!$G$5:$G$2466,'май 2025'!$D$5:$D$2466,$B132,'май 2025'!$J$5:$J$2466,Y$1)</f>
        <v>0</v>
      </c>
      <c r="Z132" s="183">
        <f>SUMIFS('май 2025'!$G$5:$G$2466,'май 2025'!$D$5:$D$2466,$B132,'май 2025'!$J$5:$J$2466,Z$1)</f>
        <v>0</v>
      </c>
      <c r="AA132" s="183">
        <f>SUMIFS('май 2025'!$G$5:$G$2466,'май 2025'!$D$5:$D$2466,$B132,'май 2025'!$J$5:$J$2466,AA$1)</f>
        <v>0</v>
      </c>
      <c r="AB132" s="183">
        <f>SUMIFS('май 2025'!$G$5:$G$2466,'май 2025'!$D$5:$D$2466,$B132,'май 2025'!$J$5:$J$2466,AB$1)</f>
        <v>0</v>
      </c>
      <c r="AC132" s="183">
        <f>SUMIFS('май 2025'!$G$5:$G$2466,'май 2025'!$D$5:$D$2466,$B132,'май 2025'!$J$5:$J$2466,AC$1)</f>
        <v>0</v>
      </c>
      <c r="AD132" s="183">
        <f>SUMIFS('май 2025'!$G$5:$G$2466,'май 2025'!$D$5:$D$2466,$B132,'май 2025'!$J$5:$J$2466,AD$1)</f>
        <v>0</v>
      </c>
      <c r="AE132" s="183">
        <f>SUMIFS('май 2025'!$G$5:$G$2466,'май 2025'!$D$5:$D$2466,$B132,'май 2025'!$J$5:$J$2466,AE$1)</f>
        <v>0</v>
      </c>
      <c r="AF132" s="183">
        <f>SUMIFS('май 2025'!$G$5:$G$2466,'май 2025'!$D$5:$D$2466,$B132,'май 2025'!$J$5:$J$2466,AF$1)</f>
        <v>0</v>
      </c>
      <c r="AG132" s="183">
        <f>SUMIFS('май 2025'!$G$5:$G$2466,'май 2025'!$D$5:$D$2466,$B132,'май 2025'!$J$5:$J$2466,AG$1)</f>
        <v>0</v>
      </c>
      <c r="AH132" s="183">
        <f>SUMIFS('май 2025'!$G$5:$G$2466,'май 2025'!$D$5:$D$2466,$B132,'май 2025'!$J$5:$J$2466,AH$1)</f>
        <v>0</v>
      </c>
      <c r="AI132" s="20"/>
    </row>
    <row r="133" spans="2:35" ht="15" customHeight="1" x14ac:dyDescent="0.25">
      <c r="B133" s="84" t="s">
        <v>171</v>
      </c>
      <c r="C133" s="83">
        <v>200</v>
      </c>
      <c r="D133" s="183">
        <f>SUMIFS('май 2025'!$G$5:$G$2466,'май 2025'!$D$5:$D$2466,$B133,'май 2025'!$J$5:$J$2466,D$1)</f>
        <v>0</v>
      </c>
      <c r="E133" s="183">
        <f>SUMIFS('май 2025'!$G$5:$G$2466,'май 2025'!$D$5:$D$2466,$B133,'май 2025'!$J$5:$J$2466,E$1)</f>
        <v>0</v>
      </c>
      <c r="F133" s="183">
        <f>SUMIFS('май 2025'!$G$5:$G$2466,'май 2025'!$D$5:$D$2466,$B133,'май 2025'!$J$5:$J$2466,F$1)</f>
        <v>0</v>
      </c>
      <c r="G133" s="183">
        <f>SUMIFS('май 2025'!$G$5:$G$2466,'май 2025'!$D$5:$D$2466,$B133,'май 2025'!$J$5:$J$2466,G$1)</f>
        <v>0</v>
      </c>
      <c r="H133" s="183">
        <f>SUMIFS('май 2025'!$G$5:$G$2466,'май 2025'!$D$5:$D$2466,$B133,'май 2025'!$J$5:$J$2466,H$1)</f>
        <v>0</v>
      </c>
      <c r="I133" s="183">
        <f>SUMIFS('май 2025'!$G$5:$G$2466,'май 2025'!$D$5:$D$2466,$B133,'май 2025'!$J$5:$J$2466,I$1)</f>
        <v>0</v>
      </c>
      <c r="J133" s="183">
        <f>SUMIFS('май 2025'!$G$5:$G$2466,'май 2025'!$D$5:$D$2466,$B133,'май 2025'!$J$5:$J$2466,J$1)</f>
        <v>0</v>
      </c>
      <c r="K133" s="183">
        <f>SUMIFS('май 2025'!$G$5:$G$2466,'май 2025'!$D$5:$D$2466,$B133,'май 2025'!$J$5:$J$2466,K$1)</f>
        <v>0</v>
      </c>
      <c r="L133" s="183">
        <f>SUMIFS('май 2025'!$G$5:$G$2466,'май 2025'!$D$5:$D$2466,$B133,'май 2025'!$J$5:$J$2466,L$1)</f>
        <v>0</v>
      </c>
      <c r="M133" s="183">
        <f>SUMIFS('май 2025'!$G$5:$G$2466,'май 2025'!$D$5:$D$2466,$B133,'май 2025'!$J$5:$J$2466,M$1)</f>
        <v>0</v>
      </c>
      <c r="N133" s="183">
        <f>SUMIFS('май 2025'!$G$5:$G$2466,'май 2025'!$D$5:$D$2466,$B133,'май 2025'!$J$5:$J$2466,N$1)</f>
        <v>0</v>
      </c>
      <c r="O133" s="183">
        <f>SUMIFS('май 2025'!$G$5:$G$2466,'май 2025'!$D$5:$D$2466,$B133,'май 2025'!$J$5:$J$2466,O$1)</f>
        <v>0</v>
      </c>
      <c r="P133" s="183">
        <f>SUMIFS('май 2025'!$G$5:$G$2466,'май 2025'!$D$5:$D$2466,$B133,'май 2025'!$J$5:$J$2466,P$1)</f>
        <v>0</v>
      </c>
      <c r="Q133" s="183">
        <f>SUMIFS('май 2025'!$G$5:$G$2466,'май 2025'!$D$5:$D$2466,$B133,'май 2025'!$J$5:$J$2466,Q$1)</f>
        <v>0</v>
      </c>
      <c r="R133" s="183">
        <f>SUMIFS('май 2025'!$G$5:$G$2466,'май 2025'!$D$5:$D$2466,$B133,'май 2025'!$J$5:$J$2466,R$1)</f>
        <v>0</v>
      </c>
      <c r="S133" s="183">
        <f>SUMIFS('май 2025'!$G$5:$G$2466,'май 2025'!$D$5:$D$2466,$B133,'май 2025'!$J$5:$J$2466,S$1)</f>
        <v>0</v>
      </c>
      <c r="T133" s="183">
        <f>SUMIFS('май 2025'!$G$5:$G$2466,'май 2025'!$D$5:$D$2466,$B133,'май 2025'!$J$5:$J$2466,T$1)</f>
        <v>0</v>
      </c>
      <c r="U133" s="183">
        <f>SUMIFS('май 2025'!$G$5:$G$2466,'май 2025'!$D$5:$D$2466,$B133,'май 2025'!$J$5:$J$2466,U$1)</f>
        <v>0</v>
      </c>
      <c r="V133" s="183">
        <f>SUMIFS('май 2025'!$G$5:$G$2466,'май 2025'!$D$5:$D$2466,$B133,'май 2025'!$J$5:$J$2466,V$1)</f>
        <v>0</v>
      </c>
      <c r="W133" s="183">
        <f>SUMIFS('май 2025'!$G$5:$G$2466,'май 2025'!$D$5:$D$2466,$B133,'май 2025'!$J$5:$J$2466,W$1)</f>
        <v>0</v>
      </c>
      <c r="X133" s="183">
        <f>SUMIFS('май 2025'!$G$5:$G$2466,'май 2025'!$D$5:$D$2466,$B133,'май 2025'!$J$5:$J$2466,X$1)</f>
        <v>0</v>
      </c>
      <c r="Y133" s="183">
        <f>SUMIFS('май 2025'!$G$5:$G$2466,'май 2025'!$D$5:$D$2466,$B133,'май 2025'!$J$5:$J$2466,Y$1)</f>
        <v>0</v>
      </c>
      <c r="Z133" s="183">
        <f>SUMIFS('май 2025'!$G$5:$G$2466,'май 2025'!$D$5:$D$2466,$B133,'май 2025'!$J$5:$J$2466,Z$1)</f>
        <v>0</v>
      </c>
      <c r="AA133" s="183">
        <f>SUMIFS('май 2025'!$G$5:$G$2466,'май 2025'!$D$5:$D$2466,$B133,'май 2025'!$J$5:$J$2466,AA$1)</f>
        <v>0</v>
      </c>
      <c r="AB133" s="183">
        <f>SUMIFS('май 2025'!$G$5:$G$2466,'май 2025'!$D$5:$D$2466,$B133,'май 2025'!$J$5:$J$2466,AB$1)</f>
        <v>0</v>
      </c>
      <c r="AC133" s="183">
        <f>SUMIFS('май 2025'!$G$5:$G$2466,'май 2025'!$D$5:$D$2466,$B133,'май 2025'!$J$5:$J$2466,AC$1)</f>
        <v>0</v>
      </c>
      <c r="AD133" s="183">
        <f>SUMIFS('май 2025'!$G$5:$G$2466,'май 2025'!$D$5:$D$2466,$B133,'май 2025'!$J$5:$J$2466,AD$1)</f>
        <v>0</v>
      </c>
      <c r="AE133" s="183">
        <f>SUMIFS('май 2025'!$G$5:$G$2466,'май 2025'!$D$5:$D$2466,$B133,'май 2025'!$J$5:$J$2466,AE$1)</f>
        <v>0</v>
      </c>
      <c r="AF133" s="183">
        <f>SUMIFS('май 2025'!$G$5:$G$2466,'май 2025'!$D$5:$D$2466,$B133,'май 2025'!$J$5:$J$2466,AF$1)</f>
        <v>0</v>
      </c>
      <c r="AG133" s="183">
        <f>SUMIFS('май 2025'!$G$5:$G$2466,'май 2025'!$D$5:$D$2466,$B133,'май 2025'!$J$5:$J$2466,AG$1)</f>
        <v>0</v>
      </c>
      <c r="AH133" s="183">
        <f>SUMIFS('май 2025'!$G$5:$G$2466,'май 2025'!$D$5:$D$2466,$B133,'май 2025'!$J$5:$J$2466,AH$1)</f>
        <v>0</v>
      </c>
      <c r="AI133" s="20">
        <f t="shared" si="1"/>
        <v>0</v>
      </c>
    </row>
    <row r="134" spans="2:35" ht="15" customHeight="1" x14ac:dyDescent="0.25">
      <c r="B134" s="84" t="s">
        <v>172</v>
      </c>
      <c r="C134" s="83">
        <v>200</v>
      </c>
      <c r="D134" s="183">
        <f>SUMIFS('май 2025'!$G$5:$G$2466,'май 2025'!$D$5:$D$2466,$B134,'май 2025'!$J$5:$J$2466,D$1)</f>
        <v>0</v>
      </c>
      <c r="E134" s="183">
        <f>SUMIFS('май 2025'!$G$5:$G$2466,'май 2025'!$D$5:$D$2466,$B134,'май 2025'!$J$5:$J$2466,E$1)</f>
        <v>0</v>
      </c>
      <c r="F134" s="183">
        <f>SUMIFS('май 2025'!$G$5:$G$2466,'май 2025'!$D$5:$D$2466,$B134,'май 2025'!$J$5:$J$2466,F$1)</f>
        <v>0</v>
      </c>
      <c r="G134" s="183">
        <f>SUMIFS('май 2025'!$G$5:$G$2466,'май 2025'!$D$5:$D$2466,$B134,'май 2025'!$J$5:$J$2466,G$1)</f>
        <v>0</v>
      </c>
      <c r="H134" s="183">
        <f>SUMIFS('май 2025'!$G$5:$G$2466,'май 2025'!$D$5:$D$2466,$B134,'май 2025'!$J$5:$J$2466,H$1)</f>
        <v>0</v>
      </c>
      <c r="I134" s="183">
        <f>SUMIFS('май 2025'!$G$5:$G$2466,'май 2025'!$D$5:$D$2466,$B134,'май 2025'!$J$5:$J$2466,I$1)</f>
        <v>0</v>
      </c>
      <c r="J134" s="183">
        <f>SUMIFS('май 2025'!$G$5:$G$2466,'май 2025'!$D$5:$D$2466,$B134,'май 2025'!$J$5:$J$2466,J$1)</f>
        <v>0</v>
      </c>
      <c r="K134" s="183">
        <f>SUMIFS('май 2025'!$G$5:$G$2466,'май 2025'!$D$5:$D$2466,$B134,'май 2025'!$J$5:$J$2466,K$1)</f>
        <v>0</v>
      </c>
      <c r="L134" s="183">
        <f>SUMIFS('май 2025'!$G$5:$G$2466,'май 2025'!$D$5:$D$2466,$B134,'май 2025'!$J$5:$J$2466,L$1)</f>
        <v>0</v>
      </c>
      <c r="M134" s="183">
        <f>SUMIFS('май 2025'!$G$5:$G$2466,'май 2025'!$D$5:$D$2466,$B134,'май 2025'!$J$5:$J$2466,M$1)</f>
        <v>0</v>
      </c>
      <c r="N134" s="183">
        <f>SUMIFS('май 2025'!$G$5:$G$2466,'май 2025'!$D$5:$D$2466,$B134,'май 2025'!$J$5:$J$2466,N$1)</f>
        <v>0</v>
      </c>
      <c r="O134" s="183">
        <f>SUMIFS('май 2025'!$G$5:$G$2466,'май 2025'!$D$5:$D$2466,$B134,'май 2025'!$J$5:$J$2466,O$1)</f>
        <v>0</v>
      </c>
      <c r="P134" s="183">
        <f>SUMIFS('май 2025'!$G$5:$G$2466,'май 2025'!$D$5:$D$2466,$B134,'май 2025'!$J$5:$J$2466,P$1)</f>
        <v>0</v>
      </c>
      <c r="Q134" s="183">
        <f>SUMIFS('май 2025'!$G$5:$G$2466,'май 2025'!$D$5:$D$2466,$B134,'май 2025'!$J$5:$J$2466,Q$1)</f>
        <v>0</v>
      </c>
      <c r="R134" s="183">
        <f>SUMIFS('май 2025'!$G$5:$G$2466,'май 2025'!$D$5:$D$2466,$B134,'май 2025'!$J$5:$J$2466,R$1)</f>
        <v>0</v>
      </c>
      <c r="S134" s="183">
        <f>SUMIFS('май 2025'!$G$5:$G$2466,'май 2025'!$D$5:$D$2466,$B134,'май 2025'!$J$5:$J$2466,S$1)</f>
        <v>0</v>
      </c>
      <c r="T134" s="183">
        <f>SUMIFS('май 2025'!$G$5:$G$2466,'май 2025'!$D$5:$D$2466,$B134,'май 2025'!$J$5:$J$2466,T$1)</f>
        <v>0</v>
      </c>
      <c r="U134" s="183">
        <f>SUMIFS('май 2025'!$G$5:$G$2466,'май 2025'!$D$5:$D$2466,$B134,'май 2025'!$J$5:$J$2466,U$1)</f>
        <v>0</v>
      </c>
      <c r="V134" s="183">
        <f>SUMIFS('май 2025'!$G$5:$G$2466,'май 2025'!$D$5:$D$2466,$B134,'май 2025'!$J$5:$J$2466,V$1)</f>
        <v>0</v>
      </c>
      <c r="W134" s="183">
        <f>SUMIFS('май 2025'!$G$5:$G$2466,'май 2025'!$D$5:$D$2466,$B134,'май 2025'!$J$5:$J$2466,W$1)</f>
        <v>0</v>
      </c>
      <c r="X134" s="183">
        <f>SUMIFS('май 2025'!$G$5:$G$2466,'май 2025'!$D$5:$D$2466,$B134,'май 2025'!$J$5:$J$2466,X$1)</f>
        <v>0</v>
      </c>
      <c r="Y134" s="183">
        <f>SUMIFS('май 2025'!$G$5:$G$2466,'май 2025'!$D$5:$D$2466,$B134,'май 2025'!$J$5:$J$2466,Y$1)</f>
        <v>0</v>
      </c>
      <c r="Z134" s="183">
        <f>SUMIFS('май 2025'!$G$5:$G$2466,'май 2025'!$D$5:$D$2466,$B134,'май 2025'!$J$5:$J$2466,Z$1)</f>
        <v>0</v>
      </c>
      <c r="AA134" s="183">
        <f>SUMIFS('май 2025'!$G$5:$G$2466,'май 2025'!$D$5:$D$2466,$B134,'май 2025'!$J$5:$J$2466,AA$1)</f>
        <v>0</v>
      </c>
      <c r="AB134" s="183">
        <f>SUMIFS('май 2025'!$G$5:$G$2466,'май 2025'!$D$5:$D$2466,$B134,'май 2025'!$J$5:$J$2466,AB$1)</f>
        <v>0</v>
      </c>
      <c r="AC134" s="183">
        <f>SUMIFS('май 2025'!$G$5:$G$2466,'май 2025'!$D$5:$D$2466,$B134,'май 2025'!$J$5:$J$2466,AC$1)</f>
        <v>0</v>
      </c>
      <c r="AD134" s="183">
        <f>SUMIFS('май 2025'!$G$5:$G$2466,'май 2025'!$D$5:$D$2466,$B134,'май 2025'!$J$5:$J$2466,AD$1)</f>
        <v>0</v>
      </c>
      <c r="AE134" s="183">
        <f>SUMIFS('май 2025'!$G$5:$G$2466,'май 2025'!$D$5:$D$2466,$B134,'май 2025'!$J$5:$J$2466,AE$1)</f>
        <v>0</v>
      </c>
      <c r="AF134" s="183">
        <f>SUMIFS('май 2025'!$G$5:$G$2466,'май 2025'!$D$5:$D$2466,$B134,'май 2025'!$J$5:$J$2466,AF$1)</f>
        <v>0</v>
      </c>
      <c r="AG134" s="183">
        <f>SUMIFS('май 2025'!$G$5:$G$2466,'май 2025'!$D$5:$D$2466,$B134,'май 2025'!$J$5:$J$2466,AG$1)</f>
        <v>0</v>
      </c>
      <c r="AH134" s="183">
        <f>SUMIFS('май 2025'!$G$5:$G$2466,'май 2025'!$D$5:$D$2466,$B134,'май 2025'!$J$5:$J$2466,AH$1)</f>
        <v>0</v>
      </c>
      <c r="AI134" s="20">
        <f t="shared" si="1"/>
        <v>0</v>
      </c>
    </row>
    <row r="135" spans="2:35" ht="15" customHeight="1" x14ac:dyDescent="0.25">
      <c r="B135" s="84" t="s">
        <v>174</v>
      </c>
      <c r="C135" s="83">
        <v>200</v>
      </c>
      <c r="D135" s="183">
        <f>SUMIFS('май 2025'!$G$5:$G$2466,'май 2025'!$D$5:$D$2466,$B135,'май 2025'!$J$5:$J$2466,D$1)</f>
        <v>0</v>
      </c>
      <c r="E135" s="183">
        <f>SUMIFS('май 2025'!$G$5:$G$2466,'май 2025'!$D$5:$D$2466,$B135,'май 2025'!$J$5:$J$2466,E$1)</f>
        <v>0</v>
      </c>
      <c r="F135" s="183">
        <f>SUMIFS('май 2025'!$G$5:$G$2466,'май 2025'!$D$5:$D$2466,$B135,'май 2025'!$J$5:$J$2466,F$1)</f>
        <v>0</v>
      </c>
      <c r="G135" s="183">
        <f>SUMIFS('май 2025'!$G$5:$G$2466,'май 2025'!$D$5:$D$2466,$B135,'май 2025'!$J$5:$J$2466,G$1)</f>
        <v>0</v>
      </c>
      <c r="H135" s="183">
        <f>SUMIFS('май 2025'!$G$5:$G$2466,'май 2025'!$D$5:$D$2466,$B135,'май 2025'!$J$5:$J$2466,H$1)</f>
        <v>0</v>
      </c>
      <c r="I135" s="183">
        <f>SUMIFS('май 2025'!$G$5:$G$2466,'май 2025'!$D$5:$D$2466,$B135,'май 2025'!$J$5:$J$2466,I$1)</f>
        <v>0</v>
      </c>
      <c r="J135" s="183">
        <f>SUMIFS('май 2025'!$G$5:$G$2466,'май 2025'!$D$5:$D$2466,$B135,'май 2025'!$J$5:$J$2466,J$1)</f>
        <v>0</v>
      </c>
      <c r="K135" s="183">
        <f>SUMIFS('май 2025'!$G$5:$G$2466,'май 2025'!$D$5:$D$2466,$B135,'май 2025'!$J$5:$J$2466,K$1)</f>
        <v>0</v>
      </c>
      <c r="L135" s="183">
        <f>SUMIFS('май 2025'!$G$5:$G$2466,'май 2025'!$D$5:$D$2466,$B135,'май 2025'!$J$5:$J$2466,L$1)</f>
        <v>0</v>
      </c>
      <c r="M135" s="183">
        <f>SUMIFS('май 2025'!$G$5:$G$2466,'май 2025'!$D$5:$D$2466,$B135,'май 2025'!$J$5:$J$2466,M$1)</f>
        <v>0</v>
      </c>
      <c r="N135" s="183">
        <f>SUMIFS('май 2025'!$G$5:$G$2466,'май 2025'!$D$5:$D$2466,$B135,'май 2025'!$J$5:$J$2466,N$1)</f>
        <v>0</v>
      </c>
      <c r="O135" s="183">
        <f>SUMIFS('май 2025'!$G$5:$G$2466,'май 2025'!$D$5:$D$2466,$B135,'май 2025'!$J$5:$J$2466,O$1)</f>
        <v>0</v>
      </c>
      <c r="P135" s="183">
        <f>SUMIFS('май 2025'!$G$5:$G$2466,'май 2025'!$D$5:$D$2466,$B135,'май 2025'!$J$5:$J$2466,P$1)</f>
        <v>0</v>
      </c>
      <c r="Q135" s="183">
        <f>SUMIFS('май 2025'!$G$5:$G$2466,'май 2025'!$D$5:$D$2466,$B135,'май 2025'!$J$5:$J$2466,Q$1)</f>
        <v>0</v>
      </c>
      <c r="R135" s="183">
        <f>SUMIFS('май 2025'!$G$5:$G$2466,'май 2025'!$D$5:$D$2466,$B135,'май 2025'!$J$5:$J$2466,R$1)</f>
        <v>0</v>
      </c>
      <c r="S135" s="183">
        <f>SUMIFS('май 2025'!$G$5:$G$2466,'май 2025'!$D$5:$D$2466,$B135,'май 2025'!$J$5:$J$2466,S$1)</f>
        <v>0</v>
      </c>
      <c r="T135" s="183">
        <f>SUMIFS('май 2025'!$G$5:$G$2466,'май 2025'!$D$5:$D$2466,$B135,'май 2025'!$J$5:$J$2466,T$1)</f>
        <v>0</v>
      </c>
      <c r="U135" s="183">
        <f>SUMIFS('май 2025'!$G$5:$G$2466,'май 2025'!$D$5:$D$2466,$B135,'май 2025'!$J$5:$J$2466,U$1)</f>
        <v>0</v>
      </c>
      <c r="V135" s="183">
        <f>SUMIFS('май 2025'!$G$5:$G$2466,'май 2025'!$D$5:$D$2466,$B135,'май 2025'!$J$5:$J$2466,V$1)</f>
        <v>0</v>
      </c>
      <c r="W135" s="183">
        <f>SUMIFS('май 2025'!$G$5:$G$2466,'май 2025'!$D$5:$D$2466,$B135,'май 2025'!$J$5:$J$2466,W$1)</f>
        <v>0</v>
      </c>
      <c r="X135" s="183">
        <f>SUMIFS('май 2025'!$G$5:$G$2466,'май 2025'!$D$5:$D$2466,$B135,'май 2025'!$J$5:$J$2466,X$1)</f>
        <v>0</v>
      </c>
      <c r="Y135" s="183">
        <f>SUMIFS('май 2025'!$G$5:$G$2466,'май 2025'!$D$5:$D$2466,$B135,'май 2025'!$J$5:$J$2466,Y$1)</f>
        <v>0</v>
      </c>
      <c r="Z135" s="183">
        <f>SUMIFS('май 2025'!$G$5:$G$2466,'май 2025'!$D$5:$D$2466,$B135,'май 2025'!$J$5:$J$2466,Z$1)</f>
        <v>0</v>
      </c>
      <c r="AA135" s="183">
        <f>SUMIFS('май 2025'!$G$5:$G$2466,'май 2025'!$D$5:$D$2466,$B135,'май 2025'!$J$5:$J$2466,AA$1)</f>
        <v>0</v>
      </c>
      <c r="AB135" s="183">
        <f>SUMIFS('май 2025'!$G$5:$G$2466,'май 2025'!$D$5:$D$2466,$B135,'май 2025'!$J$5:$J$2466,AB$1)</f>
        <v>0</v>
      </c>
      <c r="AC135" s="183">
        <f>SUMIFS('май 2025'!$G$5:$G$2466,'май 2025'!$D$5:$D$2466,$B135,'май 2025'!$J$5:$J$2466,AC$1)</f>
        <v>0</v>
      </c>
      <c r="AD135" s="183">
        <f>SUMIFS('май 2025'!$G$5:$G$2466,'май 2025'!$D$5:$D$2466,$B135,'май 2025'!$J$5:$J$2466,AD$1)</f>
        <v>0</v>
      </c>
      <c r="AE135" s="183">
        <f>SUMIFS('май 2025'!$G$5:$G$2466,'май 2025'!$D$5:$D$2466,$B135,'май 2025'!$J$5:$J$2466,AE$1)</f>
        <v>0</v>
      </c>
      <c r="AF135" s="183">
        <f>SUMIFS('май 2025'!$G$5:$G$2466,'май 2025'!$D$5:$D$2466,$B135,'май 2025'!$J$5:$J$2466,AF$1)</f>
        <v>0</v>
      </c>
      <c r="AG135" s="183">
        <f>SUMIFS('май 2025'!$G$5:$G$2466,'май 2025'!$D$5:$D$2466,$B135,'май 2025'!$J$5:$J$2466,AG$1)</f>
        <v>0</v>
      </c>
      <c r="AH135" s="183">
        <f>SUMIFS('май 2025'!$G$5:$G$2466,'май 2025'!$D$5:$D$2466,$B135,'май 2025'!$J$5:$J$2466,AH$1)</f>
        <v>0</v>
      </c>
      <c r="AI135" s="20">
        <f t="shared" si="1"/>
        <v>0</v>
      </c>
    </row>
    <row r="136" spans="2:35" ht="15" customHeight="1" x14ac:dyDescent="0.25">
      <c r="B136" s="89" t="s">
        <v>184</v>
      </c>
      <c r="C136" s="90">
        <v>180</v>
      </c>
      <c r="D136" s="183">
        <f>SUMIFS('май 2025'!$G$5:$G$2466,'май 2025'!$D$5:$D$2466,$B136,'май 2025'!$J$5:$J$2466,D$1)</f>
        <v>0</v>
      </c>
      <c r="E136" s="183">
        <f>SUMIFS('май 2025'!$G$5:$G$2466,'май 2025'!$D$5:$D$2466,$B136,'май 2025'!$J$5:$J$2466,E$1)</f>
        <v>0</v>
      </c>
      <c r="F136" s="183">
        <f>SUMIFS('май 2025'!$G$5:$G$2466,'май 2025'!$D$5:$D$2466,$B136,'май 2025'!$J$5:$J$2466,F$1)</f>
        <v>0</v>
      </c>
      <c r="G136" s="183">
        <f>SUMIFS('май 2025'!$G$5:$G$2466,'май 2025'!$D$5:$D$2466,$B136,'май 2025'!$J$5:$J$2466,G$1)</f>
        <v>0</v>
      </c>
      <c r="H136" s="183">
        <f>SUMIFS('май 2025'!$G$5:$G$2466,'май 2025'!$D$5:$D$2466,$B136,'май 2025'!$J$5:$J$2466,H$1)</f>
        <v>0</v>
      </c>
      <c r="I136" s="183">
        <f>SUMIFS('май 2025'!$G$5:$G$2466,'май 2025'!$D$5:$D$2466,$B136,'май 2025'!$J$5:$J$2466,I$1)</f>
        <v>0</v>
      </c>
      <c r="J136" s="183">
        <f>SUMIFS('май 2025'!$G$5:$G$2466,'май 2025'!$D$5:$D$2466,$B136,'май 2025'!$J$5:$J$2466,J$1)</f>
        <v>0</v>
      </c>
      <c r="K136" s="183">
        <f>SUMIFS('май 2025'!$G$5:$G$2466,'май 2025'!$D$5:$D$2466,$B136,'май 2025'!$J$5:$J$2466,K$1)</f>
        <v>0</v>
      </c>
      <c r="L136" s="183">
        <f>SUMIFS('май 2025'!$G$5:$G$2466,'май 2025'!$D$5:$D$2466,$B136,'май 2025'!$J$5:$J$2466,L$1)</f>
        <v>0</v>
      </c>
      <c r="M136" s="183">
        <f>SUMIFS('май 2025'!$G$5:$G$2466,'май 2025'!$D$5:$D$2466,$B136,'май 2025'!$J$5:$J$2466,M$1)</f>
        <v>0</v>
      </c>
      <c r="N136" s="183">
        <f>SUMIFS('май 2025'!$G$5:$G$2466,'май 2025'!$D$5:$D$2466,$B136,'май 2025'!$J$5:$J$2466,N$1)</f>
        <v>0</v>
      </c>
      <c r="O136" s="183">
        <f>SUMIFS('май 2025'!$G$5:$G$2466,'май 2025'!$D$5:$D$2466,$B136,'май 2025'!$J$5:$J$2466,O$1)</f>
        <v>0</v>
      </c>
      <c r="P136" s="183">
        <f>SUMIFS('май 2025'!$G$5:$G$2466,'май 2025'!$D$5:$D$2466,$B136,'май 2025'!$J$5:$J$2466,P$1)</f>
        <v>0</v>
      </c>
      <c r="Q136" s="183">
        <f>SUMIFS('май 2025'!$G$5:$G$2466,'май 2025'!$D$5:$D$2466,$B136,'май 2025'!$J$5:$J$2466,Q$1)</f>
        <v>0</v>
      </c>
      <c r="R136" s="183">
        <f>SUMIFS('май 2025'!$G$5:$G$2466,'май 2025'!$D$5:$D$2466,$B136,'май 2025'!$J$5:$J$2466,R$1)</f>
        <v>0</v>
      </c>
      <c r="S136" s="183">
        <f>SUMIFS('май 2025'!$G$5:$G$2466,'май 2025'!$D$5:$D$2466,$B136,'май 2025'!$J$5:$J$2466,S$1)</f>
        <v>0</v>
      </c>
      <c r="T136" s="183">
        <f>SUMIFS('май 2025'!$G$5:$G$2466,'май 2025'!$D$5:$D$2466,$B136,'май 2025'!$J$5:$J$2466,T$1)</f>
        <v>0</v>
      </c>
      <c r="U136" s="183">
        <f>SUMIFS('май 2025'!$G$5:$G$2466,'май 2025'!$D$5:$D$2466,$B136,'май 2025'!$J$5:$J$2466,U$1)</f>
        <v>0</v>
      </c>
      <c r="V136" s="183">
        <f>SUMIFS('май 2025'!$G$5:$G$2466,'май 2025'!$D$5:$D$2466,$B136,'май 2025'!$J$5:$J$2466,V$1)</f>
        <v>0</v>
      </c>
      <c r="W136" s="183">
        <f>SUMIFS('май 2025'!$G$5:$G$2466,'май 2025'!$D$5:$D$2466,$B136,'май 2025'!$J$5:$J$2466,W$1)</f>
        <v>0</v>
      </c>
      <c r="X136" s="183">
        <f>SUMIFS('май 2025'!$G$5:$G$2466,'май 2025'!$D$5:$D$2466,$B136,'май 2025'!$J$5:$J$2466,X$1)</f>
        <v>0</v>
      </c>
      <c r="Y136" s="183">
        <f>SUMIFS('май 2025'!$G$5:$G$2466,'май 2025'!$D$5:$D$2466,$B136,'май 2025'!$J$5:$J$2466,Y$1)</f>
        <v>0</v>
      </c>
      <c r="Z136" s="183">
        <f>SUMIFS('май 2025'!$G$5:$G$2466,'май 2025'!$D$5:$D$2466,$B136,'май 2025'!$J$5:$J$2466,Z$1)</f>
        <v>0</v>
      </c>
      <c r="AA136" s="183">
        <f>SUMIFS('май 2025'!$G$5:$G$2466,'май 2025'!$D$5:$D$2466,$B136,'май 2025'!$J$5:$J$2466,AA$1)</f>
        <v>0</v>
      </c>
      <c r="AB136" s="183">
        <f>SUMIFS('май 2025'!$G$5:$G$2466,'май 2025'!$D$5:$D$2466,$B136,'май 2025'!$J$5:$J$2466,AB$1)</f>
        <v>0</v>
      </c>
      <c r="AC136" s="183">
        <f>SUMIFS('май 2025'!$G$5:$G$2466,'май 2025'!$D$5:$D$2466,$B136,'май 2025'!$J$5:$J$2466,AC$1)</f>
        <v>0</v>
      </c>
      <c r="AD136" s="183">
        <f>SUMIFS('май 2025'!$G$5:$G$2466,'май 2025'!$D$5:$D$2466,$B136,'май 2025'!$J$5:$J$2466,AD$1)</f>
        <v>0</v>
      </c>
      <c r="AE136" s="183">
        <f>SUMIFS('май 2025'!$G$5:$G$2466,'май 2025'!$D$5:$D$2466,$B136,'май 2025'!$J$5:$J$2466,AE$1)</f>
        <v>0</v>
      </c>
      <c r="AF136" s="183">
        <f>SUMIFS('май 2025'!$G$5:$G$2466,'май 2025'!$D$5:$D$2466,$B136,'май 2025'!$J$5:$J$2466,AF$1)</f>
        <v>0</v>
      </c>
      <c r="AG136" s="183">
        <f>SUMIFS('май 2025'!$G$5:$G$2466,'май 2025'!$D$5:$D$2466,$B136,'май 2025'!$J$5:$J$2466,AG$1)</f>
        <v>0</v>
      </c>
      <c r="AH136" s="183">
        <f>SUMIFS('май 2025'!$G$5:$G$2466,'май 2025'!$D$5:$D$2466,$B136,'май 2025'!$J$5:$J$2466,AH$1)</f>
        <v>0</v>
      </c>
      <c r="AI136" s="20">
        <f t="shared" si="1"/>
        <v>0</v>
      </c>
    </row>
    <row r="137" spans="2:35" ht="15" customHeight="1" x14ac:dyDescent="0.25">
      <c r="B137" s="84" t="s">
        <v>268</v>
      </c>
      <c r="C137" s="86">
        <v>180</v>
      </c>
      <c r="D137" s="183">
        <f>SUMIFS('май 2025'!$G$5:$G$2466,'май 2025'!$D$5:$D$2466,$B137,'май 2025'!$J$5:$J$2466,D$1)</f>
        <v>0</v>
      </c>
      <c r="E137" s="183">
        <f>SUMIFS('май 2025'!$G$5:$G$2466,'май 2025'!$D$5:$D$2466,$B137,'май 2025'!$J$5:$J$2466,E$1)</f>
        <v>0</v>
      </c>
      <c r="F137" s="183">
        <f>SUMIFS('май 2025'!$G$5:$G$2466,'май 2025'!$D$5:$D$2466,$B137,'май 2025'!$J$5:$J$2466,F$1)</f>
        <v>0</v>
      </c>
      <c r="G137" s="183">
        <f>SUMIFS('май 2025'!$G$5:$G$2466,'май 2025'!$D$5:$D$2466,$B137,'май 2025'!$J$5:$J$2466,G$1)</f>
        <v>0</v>
      </c>
      <c r="H137" s="183">
        <f>SUMIFS('май 2025'!$G$5:$G$2466,'май 2025'!$D$5:$D$2466,$B137,'май 2025'!$J$5:$J$2466,H$1)</f>
        <v>0</v>
      </c>
      <c r="I137" s="183">
        <f>SUMIFS('май 2025'!$G$5:$G$2466,'май 2025'!$D$5:$D$2466,$B137,'май 2025'!$J$5:$J$2466,I$1)</f>
        <v>0</v>
      </c>
      <c r="J137" s="183">
        <f>SUMIFS('май 2025'!$G$5:$G$2466,'май 2025'!$D$5:$D$2466,$B137,'май 2025'!$J$5:$J$2466,J$1)</f>
        <v>0</v>
      </c>
      <c r="K137" s="183">
        <f>SUMIFS('май 2025'!$G$5:$G$2466,'май 2025'!$D$5:$D$2466,$B137,'май 2025'!$J$5:$J$2466,K$1)</f>
        <v>0</v>
      </c>
      <c r="L137" s="183">
        <f>SUMIFS('май 2025'!$G$5:$G$2466,'май 2025'!$D$5:$D$2466,$B137,'май 2025'!$J$5:$J$2466,L$1)</f>
        <v>0</v>
      </c>
      <c r="M137" s="183">
        <f>SUMIFS('май 2025'!$G$5:$G$2466,'май 2025'!$D$5:$D$2466,$B137,'май 2025'!$J$5:$J$2466,M$1)</f>
        <v>0</v>
      </c>
      <c r="N137" s="183">
        <f>SUMIFS('май 2025'!$G$5:$G$2466,'май 2025'!$D$5:$D$2466,$B137,'май 2025'!$J$5:$J$2466,N$1)</f>
        <v>0</v>
      </c>
      <c r="O137" s="183">
        <f>SUMIFS('май 2025'!$G$5:$G$2466,'май 2025'!$D$5:$D$2466,$B137,'май 2025'!$J$5:$J$2466,O$1)</f>
        <v>0</v>
      </c>
      <c r="P137" s="183">
        <f>SUMIFS('май 2025'!$G$5:$G$2466,'май 2025'!$D$5:$D$2466,$B137,'май 2025'!$J$5:$J$2466,P$1)</f>
        <v>0</v>
      </c>
      <c r="Q137" s="183">
        <f>SUMIFS('май 2025'!$G$5:$G$2466,'май 2025'!$D$5:$D$2466,$B137,'май 2025'!$J$5:$J$2466,Q$1)</f>
        <v>0</v>
      </c>
      <c r="R137" s="183">
        <f>SUMIFS('май 2025'!$G$5:$G$2466,'май 2025'!$D$5:$D$2466,$B137,'май 2025'!$J$5:$J$2466,R$1)</f>
        <v>0</v>
      </c>
      <c r="S137" s="183">
        <f>SUMIFS('май 2025'!$G$5:$G$2466,'май 2025'!$D$5:$D$2466,$B137,'май 2025'!$J$5:$J$2466,S$1)</f>
        <v>0</v>
      </c>
      <c r="T137" s="183">
        <f>SUMIFS('май 2025'!$G$5:$G$2466,'май 2025'!$D$5:$D$2466,$B137,'май 2025'!$J$5:$J$2466,T$1)</f>
        <v>0</v>
      </c>
      <c r="U137" s="183">
        <f>SUMIFS('май 2025'!$G$5:$G$2466,'май 2025'!$D$5:$D$2466,$B137,'май 2025'!$J$5:$J$2466,U$1)</f>
        <v>0</v>
      </c>
      <c r="V137" s="183">
        <f>SUMIFS('май 2025'!$G$5:$G$2466,'май 2025'!$D$5:$D$2466,$B137,'май 2025'!$J$5:$J$2466,V$1)</f>
        <v>0</v>
      </c>
      <c r="W137" s="183">
        <f>SUMIFS('май 2025'!$G$5:$G$2466,'май 2025'!$D$5:$D$2466,$B137,'май 2025'!$J$5:$J$2466,W$1)</f>
        <v>0</v>
      </c>
      <c r="X137" s="183">
        <f>SUMIFS('май 2025'!$G$5:$G$2466,'май 2025'!$D$5:$D$2466,$B137,'май 2025'!$J$5:$J$2466,X$1)</f>
        <v>0</v>
      </c>
      <c r="Y137" s="183">
        <f>SUMIFS('май 2025'!$G$5:$G$2466,'май 2025'!$D$5:$D$2466,$B137,'май 2025'!$J$5:$J$2466,Y$1)</f>
        <v>0</v>
      </c>
      <c r="Z137" s="183">
        <f>SUMIFS('май 2025'!$G$5:$G$2466,'май 2025'!$D$5:$D$2466,$B137,'май 2025'!$J$5:$J$2466,Z$1)</f>
        <v>0</v>
      </c>
      <c r="AA137" s="183">
        <f>SUMIFS('май 2025'!$G$5:$G$2466,'май 2025'!$D$5:$D$2466,$B137,'май 2025'!$J$5:$J$2466,AA$1)</f>
        <v>0</v>
      </c>
      <c r="AB137" s="183">
        <f>SUMIFS('май 2025'!$G$5:$G$2466,'май 2025'!$D$5:$D$2466,$B137,'май 2025'!$J$5:$J$2466,AB$1)</f>
        <v>0</v>
      </c>
      <c r="AC137" s="183">
        <f>SUMIFS('май 2025'!$G$5:$G$2466,'май 2025'!$D$5:$D$2466,$B137,'май 2025'!$J$5:$J$2466,AC$1)</f>
        <v>0</v>
      </c>
      <c r="AD137" s="183">
        <f>SUMIFS('май 2025'!$G$5:$G$2466,'май 2025'!$D$5:$D$2466,$B137,'май 2025'!$J$5:$J$2466,AD$1)</f>
        <v>0</v>
      </c>
      <c r="AE137" s="183">
        <f>SUMIFS('май 2025'!$G$5:$G$2466,'май 2025'!$D$5:$D$2466,$B137,'май 2025'!$J$5:$J$2466,AE$1)</f>
        <v>0</v>
      </c>
      <c r="AF137" s="183">
        <f>SUMIFS('май 2025'!$G$5:$G$2466,'май 2025'!$D$5:$D$2466,$B137,'май 2025'!$J$5:$J$2466,AF$1)</f>
        <v>0</v>
      </c>
      <c r="AG137" s="183">
        <f>SUMIFS('май 2025'!$G$5:$G$2466,'май 2025'!$D$5:$D$2466,$B137,'май 2025'!$J$5:$J$2466,AG$1)</f>
        <v>0</v>
      </c>
      <c r="AH137" s="183">
        <f>SUMIFS('май 2025'!$G$5:$G$2466,'май 2025'!$D$5:$D$2466,$B137,'май 2025'!$J$5:$J$2466,AH$1)</f>
        <v>0</v>
      </c>
      <c r="AI137" s="20">
        <f t="shared" si="1"/>
        <v>0</v>
      </c>
    </row>
    <row r="138" spans="2:35" ht="15" customHeight="1" x14ac:dyDescent="0.25">
      <c r="B138" s="84" t="s">
        <v>278</v>
      </c>
      <c r="C138" s="86">
        <v>180</v>
      </c>
      <c r="D138" s="183">
        <f>SUMIFS('май 2025'!$G$5:$G$2466,'май 2025'!$D$5:$D$2466,$B138,'май 2025'!$J$5:$J$2466,D$1)</f>
        <v>0</v>
      </c>
      <c r="E138" s="183">
        <f>SUMIFS('май 2025'!$G$5:$G$2466,'май 2025'!$D$5:$D$2466,$B138,'май 2025'!$J$5:$J$2466,E$1)</f>
        <v>0</v>
      </c>
      <c r="F138" s="183">
        <f>SUMIFS('май 2025'!$G$5:$G$2466,'май 2025'!$D$5:$D$2466,$B138,'май 2025'!$J$5:$J$2466,F$1)</f>
        <v>0</v>
      </c>
      <c r="G138" s="183">
        <f>SUMIFS('май 2025'!$G$5:$G$2466,'май 2025'!$D$5:$D$2466,$B138,'май 2025'!$J$5:$J$2466,G$1)</f>
        <v>0</v>
      </c>
      <c r="H138" s="183">
        <f>SUMIFS('май 2025'!$G$5:$G$2466,'май 2025'!$D$5:$D$2466,$B138,'май 2025'!$J$5:$J$2466,H$1)</f>
        <v>0</v>
      </c>
      <c r="I138" s="183">
        <f>SUMIFS('май 2025'!$G$5:$G$2466,'май 2025'!$D$5:$D$2466,$B138,'май 2025'!$J$5:$J$2466,I$1)</f>
        <v>0</v>
      </c>
      <c r="J138" s="183">
        <f>SUMIFS('май 2025'!$G$5:$G$2466,'май 2025'!$D$5:$D$2466,$B138,'май 2025'!$J$5:$J$2466,J$1)</f>
        <v>0</v>
      </c>
      <c r="K138" s="183">
        <f>SUMIFS('май 2025'!$G$5:$G$2466,'май 2025'!$D$5:$D$2466,$B138,'май 2025'!$J$5:$J$2466,K$1)</f>
        <v>0</v>
      </c>
      <c r="L138" s="183">
        <f>SUMIFS('май 2025'!$G$5:$G$2466,'май 2025'!$D$5:$D$2466,$B138,'май 2025'!$J$5:$J$2466,L$1)</f>
        <v>0</v>
      </c>
      <c r="M138" s="183">
        <f>SUMIFS('май 2025'!$G$5:$G$2466,'май 2025'!$D$5:$D$2466,$B138,'май 2025'!$J$5:$J$2466,M$1)</f>
        <v>0</v>
      </c>
      <c r="N138" s="183">
        <f>SUMIFS('май 2025'!$G$5:$G$2466,'май 2025'!$D$5:$D$2466,$B138,'май 2025'!$J$5:$J$2466,N$1)</f>
        <v>0</v>
      </c>
      <c r="O138" s="183">
        <f>SUMIFS('май 2025'!$G$5:$G$2466,'май 2025'!$D$5:$D$2466,$B138,'май 2025'!$J$5:$J$2466,O$1)</f>
        <v>0</v>
      </c>
      <c r="P138" s="183">
        <f>SUMIFS('май 2025'!$G$5:$G$2466,'май 2025'!$D$5:$D$2466,$B138,'май 2025'!$J$5:$J$2466,P$1)</f>
        <v>0</v>
      </c>
      <c r="Q138" s="183">
        <f>SUMIFS('май 2025'!$G$5:$G$2466,'май 2025'!$D$5:$D$2466,$B138,'май 2025'!$J$5:$J$2466,Q$1)</f>
        <v>0</v>
      </c>
      <c r="R138" s="183">
        <f>SUMIFS('май 2025'!$G$5:$G$2466,'май 2025'!$D$5:$D$2466,$B138,'май 2025'!$J$5:$J$2466,R$1)</f>
        <v>0</v>
      </c>
      <c r="S138" s="183">
        <f>SUMIFS('май 2025'!$G$5:$G$2466,'май 2025'!$D$5:$D$2466,$B138,'май 2025'!$J$5:$J$2466,S$1)</f>
        <v>0</v>
      </c>
      <c r="T138" s="183">
        <f>SUMIFS('май 2025'!$G$5:$G$2466,'май 2025'!$D$5:$D$2466,$B138,'май 2025'!$J$5:$J$2466,T$1)</f>
        <v>0</v>
      </c>
      <c r="U138" s="183">
        <f>SUMIFS('май 2025'!$G$5:$G$2466,'май 2025'!$D$5:$D$2466,$B138,'май 2025'!$J$5:$J$2466,U$1)</f>
        <v>0</v>
      </c>
      <c r="V138" s="183">
        <f>SUMIFS('май 2025'!$G$5:$G$2466,'май 2025'!$D$5:$D$2466,$B138,'май 2025'!$J$5:$J$2466,V$1)</f>
        <v>0</v>
      </c>
      <c r="W138" s="183">
        <f>SUMIFS('май 2025'!$G$5:$G$2466,'май 2025'!$D$5:$D$2466,$B138,'май 2025'!$J$5:$J$2466,W$1)</f>
        <v>0</v>
      </c>
      <c r="X138" s="183">
        <f>SUMIFS('май 2025'!$G$5:$G$2466,'май 2025'!$D$5:$D$2466,$B138,'май 2025'!$J$5:$J$2466,X$1)</f>
        <v>0</v>
      </c>
      <c r="Y138" s="183">
        <f>SUMIFS('май 2025'!$G$5:$G$2466,'май 2025'!$D$5:$D$2466,$B138,'май 2025'!$J$5:$J$2466,Y$1)</f>
        <v>0</v>
      </c>
      <c r="Z138" s="183">
        <f>SUMIFS('май 2025'!$G$5:$G$2466,'май 2025'!$D$5:$D$2466,$B138,'май 2025'!$J$5:$J$2466,Z$1)</f>
        <v>0</v>
      </c>
      <c r="AA138" s="183">
        <f>SUMIFS('май 2025'!$G$5:$G$2466,'май 2025'!$D$5:$D$2466,$B138,'май 2025'!$J$5:$J$2466,AA$1)</f>
        <v>0</v>
      </c>
      <c r="AB138" s="183">
        <f>SUMIFS('май 2025'!$G$5:$G$2466,'май 2025'!$D$5:$D$2466,$B138,'май 2025'!$J$5:$J$2466,AB$1)</f>
        <v>0</v>
      </c>
      <c r="AC138" s="183">
        <f>SUMIFS('май 2025'!$G$5:$G$2466,'май 2025'!$D$5:$D$2466,$B138,'май 2025'!$J$5:$J$2466,AC$1)</f>
        <v>0</v>
      </c>
      <c r="AD138" s="183">
        <f>SUMIFS('май 2025'!$G$5:$G$2466,'май 2025'!$D$5:$D$2466,$B138,'май 2025'!$J$5:$J$2466,AD$1)</f>
        <v>0</v>
      </c>
      <c r="AE138" s="183">
        <f>SUMIFS('май 2025'!$G$5:$G$2466,'май 2025'!$D$5:$D$2466,$B138,'май 2025'!$J$5:$J$2466,AE$1)</f>
        <v>0</v>
      </c>
      <c r="AF138" s="183">
        <f>SUMIFS('май 2025'!$G$5:$G$2466,'май 2025'!$D$5:$D$2466,$B138,'май 2025'!$J$5:$J$2466,AF$1)</f>
        <v>0</v>
      </c>
      <c r="AG138" s="183">
        <f>SUMIFS('май 2025'!$G$5:$G$2466,'май 2025'!$D$5:$D$2466,$B138,'май 2025'!$J$5:$J$2466,AG$1)</f>
        <v>0</v>
      </c>
      <c r="AH138" s="183">
        <f>SUMIFS('май 2025'!$G$5:$G$2466,'май 2025'!$D$5:$D$2466,$B138,'май 2025'!$J$5:$J$2466,AH$1)</f>
        <v>0</v>
      </c>
      <c r="AI138" s="20">
        <f t="shared" si="1"/>
        <v>0</v>
      </c>
    </row>
    <row r="139" spans="2:35" ht="15" customHeight="1" x14ac:dyDescent="0.25">
      <c r="B139" s="84" t="s">
        <v>295</v>
      </c>
      <c r="C139" s="86">
        <v>190</v>
      </c>
      <c r="D139" s="183">
        <f>SUMIFS('май 2025'!$G$5:$G$2466,'май 2025'!$D$5:$D$2466,$B139,'май 2025'!$J$5:$J$2466,D$1)</f>
        <v>0</v>
      </c>
      <c r="E139" s="183">
        <f>SUMIFS('май 2025'!$G$5:$G$2466,'май 2025'!$D$5:$D$2466,$B139,'май 2025'!$J$5:$J$2466,E$1)</f>
        <v>0</v>
      </c>
      <c r="F139" s="183">
        <f>SUMIFS('май 2025'!$G$5:$G$2466,'май 2025'!$D$5:$D$2466,$B139,'май 2025'!$J$5:$J$2466,F$1)</f>
        <v>0</v>
      </c>
      <c r="G139" s="183">
        <f>SUMIFS('май 2025'!$G$5:$G$2466,'май 2025'!$D$5:$D$2466,$B139,'май 2025'!$J$5:$J$2466,G$1)</f>
        <v>0</v>
      </c>
      <c r="H139" s="183">
        <f>SUMIFS('май 2025'!$G$5:$G$2466,'май 2025'!$D$5:$D$2466,$B139,'май 2025'!$J$5:$J$2466,H$1)</f>
        <v>0</v>
      </c>
      <c r="I139" s="183">
        <f>SUMIFS('май 2025'!$G$5:$G$2466,'май 2025'!$D$5:$D$2466,$B139,'май 2025'!$J$5:$J$2466,I$1)</f>
        <v>0</v>
      </c>
      <c r="J139" s="183">
        <f>SUMIFS('май 2025'!$G$5:$G$2466,'май 2025'!$D$5:$D$2466,$B139,'май 2025'!$J$5:$J$2466,J$1)</f>
        <v>0</v>
      </c>
      <c r="K139" s="183">
        <f>SUMIFS('май 2025'!$G$5:$G$2466,'май 2025'!$D$5:$D$2466,$B139,'май 2025'!$J$5:$J$2466,K$1)</f>
        <v>0</v>
      </c>
      <c r="L139" s="183">
        <f>SUMIFS('май 2025'!$G$5:$G$2466,'май 2025'!$D$5:$D$2466,$B139,'май 2025'!$J$5:$J$2466,L$1)</f>
        <v>0</v>
      </c>
      <c r="M139" s="183">
        <f>SUMIFS('май 2025'!$G$5:$G$2466,'май 2025'!$D$5:$D$2466,$B139,'май 2025'!$J$5:$J$2466,M$1)</f>
        <v>0</v>
      </c>
      <c r="N139" s="183">
        <f>SUMIFS('май 2025'!$G$5:$G$2466,'май 2025'!$D$5:$D$2466,$B139,'май 2025'!$J$5:$J$2466,N$1)</f>
        <v>0</v>
      </c>
      <c r="O139" s="183">
        <f>SUMIFS('май 2025'!$G$5:$G$2466,'май 2025'!$D$5:$D$2466,$B139,'май 2025'!$J$5:$J$2466,O$1)</f>
        <v>0</v>
      </c>
      <c r="P139" s="183">
        <f>SUMIFS('май 2025'!$G$5:$G$2466,'май 2025'!$D$5:$D$2466,$B139,'май 2025'!$J$5:$J$2466,P$1)</f>
        <v>0</v>
      </c>
      <c r="Q139" s="183">
        <f>SUMIFS('май 2025'!$G$5:$G$2466,'май 2025'!$D$5:$D$2466,$B139,'май 2025'!$J$5:$J$2466,Q$1)</f>
        <v>0</v>
      </c>
      <c r="R139" s="183">
        <f>SUMIFS('май 2025'!$G$5:$G$2466,'май 2025'!$D$5:$D$2466,$B139,'май 2025'!$J$5:$J$2466,R$1)</f>
        <v>0</v>
      </c>
      <c r="S139" s="183">
        <f>SUMIFS('май 2025'!$G$5:$G$2466,'май 2025'!$D$5:$D$2466,$B139,'май 2025'!$J$5:$J$2466,S$1)</f>
        <v>0</v>
      </c>
      <c r="T139" s="183">
        <f>SUMIFS('май 2025'!$G$5:$G$2466,'май 2025'!$D$5:$D$2466,$B139,'май 2025'!$J$5:$J$2466,T$1)</f>
        <v>0</v>
      </c>
      <c r="U139" s="183">
        <f>SUMIFS('май 2025'!$G$5:$G$2466,'май 2025'!$D$5:$D$2466,$B139,'май 2025'!$J$5:$J$2466,U$1)</f>
        <v>0</v>
      </c>
      <c r="V139" s="183">
        <f>SUMIFS('май 2025'!$G$5:$G$2466,'май 2025'!$D$5:$D$2466,$B139,'май 2025'!$J$5:$J$2466,V$1)</f>
        <v>0</v>
      </c>
      <c r="W139" s="183">
        <f>SUMIFS('май 2025'!$G$5:$G$2466,'май 2025'!$D$5:$D$2466,$B139,'май 2025'!$J$5:$J$2466,W$1)</f>
        <v>0</v>
      </c>
      <c r="X139" s="183">
        <f>SUMIFS('май 2025'!$G$5:$G$2466,'май 2025'!$D$5:$D$2466,$B139,'май 2025'!$J$5:$J$2466,X$1)</f>
        <v>0</v>
      </c>
      <c r="Y139" s="183">
        <f>SUMIFS('май 2025'!$G$5:$G$2466,'май 2025'!$D$5:$D$2466,$B139,'май 2025'!$J$5:$J$2466,Y$1)</f>
        <v>0</v>
      </c>
      <c r="Z139" s="183">
        <f>SUMIFS('май 2025'!$G$5:$G$2466,'май 2025'!$D$5:$D$2466,$B139,'май 2025'!$J$5:$J$2466,Z$1)</f>
        <v>0</v>
      </c>
      <c r="AA139" s="183">
        <f>SUMIFS('май 2025'!$G$5:$G$2466,'май 2025'!$D$5:$D$2466,$B139,'май 2025'!$J$5:$J$2466,AA$1)</f>
        <v>0</v>
      </c>
      <c r="AB139" s="183">
        <f>SUMIFS('май 2025'!$G$5:$G$2466,'май 2025'!$D$5:$D$2466,$B139,'май 2025'!$J$5:$J$2466,AB$1)</f>
        <v>0</v>
      </c>
      <c r="AC139" s="183">
        <f>SUMIFS('май 2025'!$G$5:$G$2466,'май 2025'!$D$5:$D$2466,$B139,'май 2025'!$J$5:$J$2466,AC$1)</f>
        <v>0</v>
      </c>
      <c r="AD139" s="183">
        <f>SUMIFS('май 2025'!$G$5:$G$2466,'май 2025'!$D$5:$D$2466,$B139,'май 2025'!$J$5:$J$2466,AD$1)</f>
        <v>0</v>
      </c>
      <c r="AE139" s="183">
        <f>SUMIFS('май 2025'!$G$5:$G$2466,'май 2025'!$D$5:$D$2466,$B139,'май 2025'!$J$5:$J$2466,AE$1)</f>
        <v>0</v>
      </c>
      <c r="AF139" s="183">
        <f>SUMIFS('май 2025'!$G$5:$G$2466,'май 2025'!$D$5:$D$2466,$B139,'май 2025'!$J$5:$J$2466,AF$1)</f>
        <v>0</v>
      </c>
      <c r="AG139" s="183">
        <f>SUMIFS('май 2025'!$G$5:$G$2466,'май 2025'!$D$5:$D$2466,$B139,'май 2025'!$J$5:$J$2466,AG$1)</f>
        <v>0</v>
      </c>
      <c r="AH139" s="183">
        <f>SUMIFS('май 2025'!$G$5:$G$2466,'май 2025'!$D$5:$D$2466,$B139,'май 2025'!$J$5:$J$2466,AH$1)</f>
        <v>0</v>
      </c>
      <c r="AI139" s="20">
        <f t="shared" si="1"/>
        <v>0</v>
      </c>
    </row>
    <row r="140" spans="2:35" ht="15" customHeight="1" x14ac:dyDescent="0.25">
      <c r="B140" s="84" t="s">
        <v>269</v>
      </c>
      <c r="C140" s="86">
        <v>200</v>
      </c>
      <c r="D140" s="183">
        <f>SUMIFS('май 2025'!$G$5:$G$2466,'май 2025'!$D$5:$D$2466,$B140,'май 2025'!$J$5:$J$2466,D$1)</f>
        <v>0</v>
      </c>
      <c r="E140" s="183">
        <f>SUMIFS('май 2025'!$G$5:$G$2466,'май 2025'!$D$5:$D$2466,$B140,'май 2025'!$J$5:$J$2466,E$1)</f>
        <v>0</v>
      </c>
      <c r="F140" s="183">
        <f>SUMIFS('май 2025'!$G$5:$G$2466,'май 2025'!$D$5:$D$2466,$B140,'май 2025'!$J$5:$J$2466,F$1)</f>
        <v>0</v>
      </c>
      <c r="G140" s="183">
        <f>SUMIFS('май 2025'!$G$5:$G$2466,'май 2025'!$D$5:$D$2466,$B140,'май 2025'!$J$5:$J$2466,G$1)</f>
        <v>0</v>
      </c>
      <c r="H140" s="183">
        <f>SUMIFS('май 2025'!$G$5:$G$2466,'май 2025'!$D$5:$D$2466,$B140,'май 2025'!$J$5:$J$2466,H$1)</f>
        <v>0</v>
      </c>
      <c r="I140" s="183">
        <f>SUMIFS('май 2025'!$G$5:$G$2466,'май 2025'!$D$5:$D$2466,$B140,'май 2025'!$J$5:$J$2466,I$1)</f>
        <v>0</v>
      </c>
      <c r="J140" s="183">
        <f>SUMIFS('май 2025'!$G$5:$G$2466,'май 2025'!$D$5:$D$2466,$B140,'май 2025'!$J$5:$J$2466,J$1)</f>
        <v>0</v>
      </c>
      <c r="K140" s="183">
        <f>SUMIFS('май 2025'!$G$5:$G$2466,'май 2025'!$D$5:$D$2466,$B140,'май 2025'!$J$5:$J$2466,K$1)</f>
        <v>0</v>
      </c>
      <c r="L140" s="183">
        <f>SUMIFS('май 2025'!$G$5:$G$2466,'май 2025'!$D$5:$D$2466,$B140,'май 2025'!$J$5:$J$2466,L$1)</f>
        <v>0</v>
      </c>
      <c r="M140" s="183">
        <f>SUMIFS('май 2025'!$G$5:$G$2466,'май 2025'!$D$5:$D$2466,$B140,'май 2025'!$J$5:$J$2466,M$1)</f>
        <v>0</v>
      </c>
      <c r="N140" s="183">
        <f>SUMIFS('май 2025'!$G$5:$G$2466,'май 2025'!$D$5:$D$2466,$B140,'май 2025'!$J$5:$J$2466,N$1)</f>
        <v>0</v>
      </c>
      <c r="O140" s="183">
        <f>SUMIFS('май 2025'!$G$5:$G$2466,'май 2025'!$D$5:$D$2466,$B140,'май 2025'!$J$5:$J$2466,O$1)</f>
        <v>0</v>
      </c>
      <c r="P140" s="183">
        <f>SUMIFS('май 2025'!$G$5:$G$2466,'май 2025'!$D$5:$D$2466,$B140,'май 2025'!$J$5:$J$2466,P$1)</f>
        <v>0</v>
      </c>
      <c r="Q140" s="183">
        <f>SUMIFS('май 2025'!$G$5:$G$2466,'май 2025'!$D$5:$D$2466,$B140,'май 2025'!$J$5:$J$2466,Q$1)</f>
        <v>0</v>
      </c>
      <c r="R140" s="183">
        <f>SUMIFS('май 2025'!$G$5:$G$2466,'май 2025'!$D$5:$D$2466,$B140,'май 2025'!$J$5:$J$2466,R$1)</f>
        <v>0</v>
      </c>
      <c r="S140" s="183">
        <f>SUMIFS('май 2025'!$G$5:$G$2466,'май 2025'!$D$5:$D$2466,$B140,'май 2025'!$J$5:$J$2466,S$1)</f>
        <v>0</v>
      </c>
      <c r="T140" s="183">
        <f>SUMIFS('май 2025'!$G$5:$G$2466,'май 2025'!$D$5:$D$2466,$B140,'май 2025'!$J$5:$J$2466,T$1)</f>
        <v>0</v>
      </c>
      <c r="U140" s="183">
        <f>SUMIFS('май 2025'!$G$5:$G$2466,'май 2025'!$D$5:$D$2466,$B140,'май 2025'!$J$5:$J$2466,U$1)</f>
        <v>0</v>
      </c>
      <c r="V140" s="183">
        <f>SUMIFS('май 2025'!$G$5:$G$2466,'май 2025'!$D$5:$D$2466,$B140,'май 2025'!$J$5:$J$2466,V$1)</f>
        <v>0</v>
      </c>
      <c r="W140" s="183">
        <f>SUMIFS('май 2025'!$G$5:$G$2466,'май 2025'!$D$5:$D$2466,$B140,'май 2025'!$J$5:$J$2466,W$1)</f>
        <v>0</v>
      </c>
      <c r="X140" s="183">
        <f>SUMIFS('май 2025'!$G$5:$G$2466,'май 2025'!$D$5:$D$2466,$B140,'май 2025'!$J$5:$J$2466,X$1)</f>
        <v>0</v>
      </c>
      <c r="Y140" s="183">
        <f>SUMIFS('май 2025'!$G$5:$G$2466,'май 2025'!$D$5:$D$2466,$B140,'май 2025'!$J$5:$J$2466,Y$1)</f>
        <v>0</v>
      </c>
      <c r="Z140" s="183">
        <f>SUMIFS('май 2025'!$G$5:$G$2466,'май 2025'!$D$5:$D$2466,$B140,'май 2025'!$J$5:$J$2466,Z$1)</f>
        <v>0</v>
      </c>
      <c r="AA140" s="183">
        <f>SUMIFS('май 2025'!$G$5:$G$2466,'май 2025'!$D$5:$D$2466,$B140,'май 2025'!$J$5:$J$2466,AA$1)</f>
        <v>0</v>
      </c>
      <c r="AB140" s="183">
        <f>SUMIFS('май 2025'!$G$5:$G$2466,'май 2025'!$D$5:$D$2466,$B140,'май 2025'!$J$5:$J$2466,AB$1)</f>
        <v>0</v>
      </c>
      <c r="AC140" s="183">
        <f>SUMIFS('май 2025'!$G$5:$G$2466,'май 2025'!$D$5:$D$2466,$B140,'май 2025'!$J$5:$J$2466,AC$1)</f>
        <v>0</v>
      </c>
      <c r="AD140" s="183">
        <f>SUMIFS('май 2025'!$G$5:$G$2466,'май 2025'!$D$5:$D$2466,$B140,'май 2025'!$J$5:$J$2466,AD$1)</f>
        <v>0</v>
      </c>
      <c r="AE140" s="183">
        <f>SUMIFS('май 2025'!$G$5:$G$2466,'май 2025'!$D$5:$D$2466,$B140,'май 2025'!$J$5:$J$2466,AE$1)</f>
        <v>0</v>
      </c>
      <c r="AF140" s="183">
        <f>SUMIFS('май 2025'!$G$5:$G$2466,'май 2025'!$D$5:$D$2466,$B140,'май 2025'!$J$5:$J$2466,AF$1)</f>
        <v>0</v>
      </c>
      <c r="AG140" s="183">
        <f>SUMIFS('май 2025'!$G$5:$G$2466,'май 2025'!$D$5:$D$2466,$B140,'май 2025'!$J$5:$J$2466,AG$1)</f>
        <v>0</v>
      </c>
      <c r="AH140" s="183">
        <f>SUMIFS('май 2025'!$G$5:$G$2466,'май 2025'!$D$5:$D$2466,$B140,'май 2025'!$J$5:$J$2466,AH$1)</f>
        <v>0</v>
      </c>
      <c r="AI140" s="20">
        <f t="shared" si="1"/>
        <v>0</v>
      </c>
    </row>
    <row r="141" spans="2:35" ht="15" customHeight="1" x14ac:dyDescent="0.25">
      <c r="B141" s="84" t="s">
        <v>279</v>
      </c>
      <c r="C141" s="86">
        <v>200</v>
      </c>
      <c r="D141" s="183">
        <f>SUMIFS('май 2025'!$G$5:$G$2466,'май 2025'!$D$5:$D$2466,$B141,'май 2025'!$J$5:$J$2466,D$1)</f>
        <v>0</v>
      </c>
      <c r="E141" s="183">
        <f>SUMIFS('май 2025'!$G$5:$G$2466,'май 2025'!$D$5:$D$2466,$B141,'май 2025'!$J$5:$J$2466,E$1)</f>
        <v>0</v>
      </c>
      <c r="F141" s="183">
        <f>SUMIFS('май 2025'!$G$5:$G$2466,'май 2025'!$D$5:$D$2466,$B141,'май 2025'!$J$5:$J$2466,F$1)</f>
        <v>0</v>
      </c>
      <c r="G141" s="183">
        <f>SUMIFS('май 2025'!$G$5:$G$2466,'май 2025'!$D$5:$D$2466,$B141,'май 2025'!$J$5:$J$2466,G$1)</f>
        <v>0</v>
      </c>
      <c r="H141" s="183">
        <f>SUMIFS('май 2025'!$G$5:$G$2466,'май 2025'!$D$5:$D$2466,$B141,'май 2025'!$J$5:$J$2466,H$1)</f>
        <v>0</v>
      </c>
      <c r="I141" s="183">
        <f>SUMIFS('май 2025'!$G$5:$G$2466,'май 2025'!$D$5:$D$2466,$B141,'май 2025'!$J$5:$J$2466,I$1)</f>
        <v>0</v>
      </c>
      <c r="J141" s="183">
        <f>SUMIFS('май 2025'!$G$5:$G$2466,'май 2025'!$D$5:$D$2466,$B141,'май 2025'!$J$5:$J$2466,J$1)</f>
        <v>0</v>
      </c>
      <c r="K141" s="183">
        <f>SUMIFS('май 2025'!$G$5:$G$2466,'май 2025'!$D$5:$D$2466,$B141,'май 2025'!$J$5:$J$2466,K$1)</f>
        <v>0</v>
      </c>
      <c r="L141" s="183">
        <f>SUMIFS('май 2025'!$G$5:$G$2466,'май 2025'!$D$5:$D$2466,$B141,'май 2025'!$J$5:$J$2466,L$1)</f>
        <v>0</v>
      </c>
      <c r="M141" s="183">
        <f>SUMIFS('май 2025'!$G$5:$G$2466,'май 2025'!$D$5:$D$2466,$B141,'май 2025'!$J$5:$J$2466,M$1)</f>
        <v>0</v>
      </c>
      <c r="N141" s="183">
        <f>SUMIFS('май 2025'!$G$5:$G$2466,'май 2025'!$D$5:$D$2466,$B141,'май 2025'!$J$5:$J$2466,N$1)</f>
        <v>0</v>
      </c>
      <c r="O141" s="183">
        <f>SUMIFS('май 2025'!$G$5:$G$2466,'май 2025'!$D$5:$D$2466,$B141,'май 2025'!$J$5:$J$2466,O$1)</f>
        <v>0</v>
      </c>
      <c r="P141" s="183">
        <f>SUMIFS('май 2025'!$G$5:$G$2466,'май 2025'!$D$5:$D$2466,$B141,'май 2025'!$J$5:$J$2466,P$1)</f>
        <v>0</v>
      </c>
      <c r="Q141" s="183">
        <f>SUMIFS('май 2025'!$G$5:$G$2466,'май 2025'!$D$5:$D$2466,$B141,'май 2025'!$J$5:$J$2466,Q$1)</f>
        <v>0</v>
      </c>
      <c r="R141" s="183">
        <f>SUMIFS('май 2025'!$G$5:$G$2466,'май 2025'!$D$5:$D$2466,$B141,'май 2025'!$J$5:$J$2466,R$1)</f>
        <v>0</v>
      </c>
      <c r="S141" s="183">
        <f>SUMIFS('май 2025'!$G$5:$G$2466,'май 2025'!$D$5:$D$2466,$B141,'май 2025'!$J$5:$J$2466,S$1)</f>
        <v>0</v>
      </c>
      <c r="T141" s="183">
        <f>SUMIFS('май 2025'!$G$5:$G$2466,'май 2025'!$D$5:$D$2466,$B141,'май 2025'!$J$5:$J$2466,T$1)</f>
        <v>0</v>
      </c>
      <c r="U141" s="183">
        <f>SUMIFS('май 2025'!$G$5:$G$2466,'май 2025'!$D$5:$D$2466,$B141,'май 2025'!$J$5:$J$2466,U$1)</f>
        <v>0</v>
      </c>
      <c r="V141" s="183">
        <f>SUMIFS('май 2025'!$G$5:$G$2466,'май 2025'!$D$5:$D$2466,$B141,'май 2025'!$J$5:$J$2466,V$1)</f>
        <v>0</v>
      </c>
      <c r="W141" s="183">
        <f>SUMIFS('май 2025'!$G$5:$G$2466,'май 2025'!$D$5:$D$2466,$B141,'май 2025'!$J$5:$J$2466,W$1)</f>
        <v>0</v>
      </c>
      <c r="X141" s="183">
        <f>SUMIFS('май 2025'!$G$5:$G$2466,'май 2025'!$D$5:$D$2466,$B141,'май 2025'!$J$5:$J$2466,X$1)</f>
        <v>0</v>
      </c>
      <c r="Y141" s="183">
        <f>SUMIFS('май 2025'!$G$5:$G$2466,'май 2025'!$D$5:$D$2466,$B141,'май 2025'!$J$5:$J$2466,Y$1)</f>
        <v>0</v>
      </c>
      <c r="Z141" s="183">
        <f>SUMIFS('май 2025'!$G$5:$G$2466,'май 2025'!$D$5:$D$2466,$B141,'май 2025'!$J$5:$J$2466,Z$1)</f>
        <v>0</v>
      </c>
      <c r="AA141" s="183">
        <f>SUMIFS('май 2025'!$G$5:$G$2466,'май 2025'!$D$5:$D$2466,$B141,'май 2025'!$J$5:$J$2466,AA$1)</f>
        <v>0</v>
      </c>
      <c r="AB141" s="183">
        <f>SUMIFS('май 2025'!$G$5:$G$2466,'май 2025'!$D$5:$D$2466,$B141,'май 2025'!$J$5:$J$2466,AB$1)</f>
        <v>0</v>
      </c>
      <c r="AC141" s="183">
        <f>SUMIFS('май 2025'!$G$5:$G$2466,'май 2025'!$D$5:$D$2466,$B141,'май 2025'!$J$5:$J$2466,AC$1)</f>
        <v>0</v>
      </c>
      <c r="AD141" s="183">
        <f>SUMIFS('май 2025'!$G$5:$G$2466,'май 2025'!$D$5:$D$2466,$B141,'май 2025'!$J$5:$J$2466,AD$1)</f>
        <v>0</v>
      </c>
      <c r="AE141" s="183">
        <f>SUMIFS('май 2025'!$G$5:$G$2466,'май 2025'!$D$5:$D$2466,$B141,'май 2025'!$J$5:$J$2466,AE$1)</f>
        <v>0</v>
      </c>
      <c r="AF141" s="183">
        <f>SUMIFS('май 2025'!$G$5:$G$2466,'май 2025'!$D$5:$D$2466,$B141,'май 2025'!$J$5:$J$2466,AF$1)</f>
        <v>0</v>
      </c>
      <c r="AG141" s="183">
        <f>SUMIFS('май 2025'!$G$5:$G$2466,'май 2025'!$D$5:$D$2466,$B141,'май 2025'!$J$5:$J$2466,AG$1)</f>
        <v>0</v>
      </c>
      <c r="AH141" s="183">
        <f>SUMIFS('май 2025'!$G$5:$G$2466,'май 2025'!$D$5:$D$2466,$B141,'май 2025'!$J$5:$J$2466,AH$1)</f>
        <v>0</v>
      </c>
      <c r="AI141" s="20">
        <f t="shared" si="1"/>
        <v>0</v>
      </c>
    </row>
    <row r="142" spans="2:35" ht="15" customHeight="1" x14ac:dyDescent="0.25">
      <c r="B142" s="84" t="s">
        <v>197</v>
      </c>
      <c r="C142" s="86">
        <v>180</v>
      </c>
      <c r="D142" s="183">
        <f>SUMIFS('май 2025'!$G$5:$G$2466,'май 2025'!$D$5:$D$2466,$B142,'май 2025'!$J$5:$J$2466,D$1)</f>
        <v>0</v>
      </c>
      <c r="E142" s="183">
        <f>SUMIFS('май 2025'!$G$5:$G$2466,'май 2025'!$D$5:$D$2466,$B142,'май 2025'!$J$5:$J$2466,E$1)</f>
        <v>0</v>
      </c>
      <c r="F142" s="183">
        <f>SUMIFS('май 2025'!$G$5:$G$2466,'май 2025'!$D$5:$D$2466,$B142,'май 2025'!$J$5:$J$2466,F$1)</f>
        <v>0</v>
      </c>
      <c r="G142" s="183">
        <f>SUMIFS('май 2025'!$G$5:$G$2466,'май 2025'!$D$5:$D$2466,$B142,'май 2025'!$J$5:$J$2466,G$1)</f>
        <v>0</v>
      </c>
      <c r="H142" s="183">
        <f>SUMIFS('май 2025'!$G$5:$G$2466,'май 2025'!$D$5:$D$2466,$B142,'май 2025'!$J$5:$J$2466,H$1)</f>
        <v>0</v>
      </c>
      <c r="I142" s="183">
        <f>SUMIFS('май 2025'!$G$5:$G$2466,'май 2025'!$D$5:$D$2466,$B142,'май 2025'!$J$5:$J$2466,I$1)</f>
        <v>0</v>
      </c>
      <c r="J142" s="183">
        <f>SUMIFS('май 2025'!$G$5:$G$2466,'май 2025'!$D$5:$D$2466,$B142,'май 2025'!$J$5:$J$2466,J$1)</f>
        <v>0</v>
      </c>
      <c r="K142" s="183">
        <f>SUMIFS('май 2025'!$G$5:$G$2466,'май 2025'!$D$5:$D$2466,$B142,'май 2025'!$J$5:$J$2466,K$1)</f>
        <v>0</v>
      </c>
      <c r="L142" s="183">
        <f>SUMIFS('май 2025'!$G$5:$G$2466,'май 2025'!$D$5:$D$2466,$B142,'май 2025'!$J$5:$J$2466,L$1)</f>
        <v>0</v>
      </c>
      <c r="M142" s="183">
        <f>SUMIFS('май 2025'!$G$5:$G$2466,'май 2025'!$D$5:$D$2466,$B142,'май 2025'!$J$5:$J$2466,M$1)</f>
        <v>0</v>
      </c>
      <c r="N142" s="183">
        <f>SUMIFS('май 2025'!$G$5:$G$2466,'май 2025'!$D$5:$D$2466,$B142,'май 2025'!$J$5:$J$2466,N$1)</f>
        <v>0</v>
      </c>
      <c r="O142" s="183">
        <f>SUMIFS('май 2025'!$G$5:$G$2466,'май 2025'!$D$5:$D$2466,$B142,'май 2025'!$J$5:$J$2466,O$1)</f>
        <v>0</v>
      </c>
      <c r="P142" s="183">
        <f>SUMIFS('май 2025'!$G$5:$G$2466,'май 2025'!$D$5:$D$2466,$B142,'май 2025'!$J$5:$J$2466,P$1)</f>
        <v>0</v>
      </c>
      <c r="Q142" s="183">
        <f>SUMIFS('май 2025'!$G$5:$G$2466,'май 2025'!$D$5:$D$2466,$B142,'май 2025'!$J$5:$J$2466,Q$1)</f>
        <v>0</v>
      </c>
      <c r="R142" s="183">
        <f>SUMIFS('май 2025'!$G$5:$G$2466,'май 2025'!$D$5:$D$2466,$B142,'май 2025'!$J$5:$J$2466,R$1)</f>
        <v>0</v>
      </c>
      <c r="S142" s="183">
        <f>SUMIFS('май 2025'!$G$5:$G$2466,'май 2025'!$D$5:$D$2466,$B142,'май 2025'!$J$5:$J$2466,S$1)</f>
        <v>0</v>
      </c>
      <c r="T142" s="183">
        <f>SUMIFS('май 2025'!$G$5:$G$2466,'май 2025'!$D$5:$D$2466,$B142,'май 2025'!$J$5:$J$2466,T$1)</f>
        <v>0</v>
      </c>
      <c r="U142" s="183">
        <f>SUMIFS('май 2025'!$G$5:$G$2466,'май 2025'!$D$5:$D$2466,$B142,'май 2025'!$J$5:$J$2466,U$1)</f>
        <v>0</v>
      </c>
      <c r="V142" s="183">
        <f>SUMIFS('май 2025'!$G$5:$G$2466,'май 2025'!$D$5:$D$2466,$B142,'май 2025'!$J$5:$J$2466,V$1)</f>
        <v>0</v>
      </c>
      <c r="W142" s="183">
        <f>SUMIFS('май 2025'!$G$5:$G$2466,'май 2025'!$D$5:$D$2466,$B142,'май 2025'!$J$5:$J$2466,W$1)</f>
        <v>0</v>
      </c>
      <c r="X142" s="183">
        <f>SUMIFS('май 2025'!$G$5:$G$2466,'май 2025'!$D$5:$D$2466,$B142,'май 2025'!$J$5:$J$2466,X$1)</f>
        <v>0</v>
      </c>
      <c r="Y142" s="183">
        <f>SUMIFS('май 2025'!$G$5:$G$2466,'май 2025'!$D$5:$D$2466,$B142,'май 2025'!$J$5:$J$2466,Y$1)</f>
        <v>0</v>
      </c>
      <c r="Z142" s="183">
        <f>SUMIFS('май 2025'!$G$5:$G$2466,'май 2025'!$D$5:$D$2466,$B142,'май 2025'!$J$5:$J$2466,Z$1)</f>
        <v>0</v>
      </c>
      <c r="AA142" s="183">
        <f>SUMIFS('май 2025'!$G$5:$G$2466,'май 2025'!$D$5:$D$2466,$B142,'май 2025'!$J$5:$J$2466,AA$1)</f>
        <v>0</v>
      </c>
      <c r="AB142" s="183">
        <f>SUMIFS('май 2025'!$G$5:$G$2466,'май 2025'!$D$5:$D$2466,$B142,'май 2025'!$J$5:$J$2466,AB$1)</f>
        <v>0</v>
      </c>
      <c r="AC142" s="183">
        <f>SUMIFS('май 2025'!$G$5:$G$2466,'май 2025'!$D$5:$D$2466,$B142,'май 2025'!$J$5:$J$2466,AC$1)</f>
        <v>0</v>
      </c>
      <c r="AD142" s="183">
        <f>SUMIFS('май 2025'!$G$5:$G$2466,'май 2025'!$D$5:$D$2466,$B142,'май 2025'!$J$5:$J$2466,AD$1)</f>
        <v>0</v>
      </c>
      <c r="AE142" s="183">
        <f>SUMIFS('май 2025'!$G$5:$G$2466,'май 2025'!$D$5:$D$2466,$B142,'май 2025'!$J$5:$J$2466,AE$1)</f>
        <v>0</v>
      </c>
      <c r="AF142" s="183">
        <f>SUMIFS('май 2025'!$G$5:$G$2466,'май 2025'!$D$5:$D$2466,$B142,'май 2025'!$J$5:$J$2466,AF$1)</f>
        <v>0</v>
      </c>
      <c r="AG142" s="183">
        <f>SUMIFS('май 2025'!$G$5:$G$2466,'май 2025'!$D$5:$D$2466,$B142,'май 2025'!$J$5:$J$2466,AG$1)</f>
        <v>0</v>
      </c>
      <c r="AH142" s="183">
        <f>SUMIFS('май 2025'!$G$5:$G$2466,'май 2025'!$D$5:$D$2466,$B142,'май 2025'!$J$5:$J$2466,AH$1)</f>
        <v>0</v>
      </c>
      <c r="AI142" s="20">
        <f t="shared" si="1"/>
        <v>0</v>
      </c>
    </row>
    <row r="143" spans="2:35" ht="15" customHeight="1" x14ac:dyDescent="0.25">
      <c r="B143" s="88" t="s">
        <v>293</v>
      </c>
      <c r="C143" s="86">
        <v>180</v>
      </c>
      <c r="D143" s="183">
        <f>SUMIFS('май 2025'!$G$5:$G$2466,'май 2025'!$D$5:$D$2466,$B143,'май 2025'!$J$5:$J$2466,D$1)</f>
        <v>0</v>
      </c>
      <c r="E143" s="183">
        <f>SUMIFS('май 2025'!$G$5:$G$2466,'май 2025'!$D$5:$D$2466,$B143,'май 2025'!$J$5:$J$2466,E$1)</f>
        <v>0</v>
      </c>
      <c r="F143" s="183">
        <f>SUMIFS('май 2025'!$G$5:$G$2466,'май 2025'!$D$5:$D$2466,$B143,'май 2025'!$J$5:$J$2466,F$1)</f>
        <v>0</v>
      </c>
      <c r="G143" s="183">
        <f>SUMIFS('май 2025'!$G$5:$G$2466,'май 2025'!$D$5:$D$2466,$B143,'май 2025'!$J$5:$J$2466,G$1)</f>
        <v>0</v>
      </c>
      <c r="H143" s="183">
        <f>SUMIFS('май 2025'!$G$5:$G$2466,'май 2025'!$D$5:$D$2466,$B143,'май 2025'!$J$5:$J$2466,H$1)</f>
        <v>0</v>
      </c>
      <c r="I143" s="183">
        <f>SUMIFS('май 2025'!$G$5:$G$2466,'май 2025'!$D$5:$D$2466,$B143,'май 2025'!$J$5:$J$2466,I$1)</f>
        <v>0</v>
      </c>
      <c r="J143" s="183">
        <f>SUMIFS('май 2025'!$G$5:$G$2466,'май 2025'!$D$5:$D$2466,$B143,'май 2025'!$J$5:$J$2466,J$1)</f>
        <v>0</v>
      </c>
      <c r="K143" s="183">
        <f>SUMIFS('май 2025'!$G$5:$G$2466,'май 2025'!$D$5:$D$2466,$B143,'май 2025'!$J$5:$J$2466,K$1)</f>
        <v>0</v>
      </c>
      <c r="L143" s="183">
        <f>SUMIFS('май 2025'!$G$5:$G$2466,'май 2025'!$D$5:$D$2466,$B143,'май 2025'!$J$5:$J$2466,L$1)</f>
        <v>0</v>
      </c>
      <c r="M143" s="183">
        <f>SUMIFS('май 2025'!$G$5:$G$2466,'май 2025'!$D$5:$D$2466,$B143,'май 2025'!$J$5:$J$2466,M$1)</f>
        <v>0</v>
      </c>
      <c r="N143" s="183">
        <f>SUMIFS('май 2025'!$G$5:$G$2466,'май 2025'!$D$5:$D$2466,$B143,'май 2025'!$J$5:$J$2466,N$1)</f>
        <v>0</v>
      </c>
      <c r="O143" s="183">
        <f>SUMIFS('май 2025'!$G$5:$G$2466,'май 2025'!$D$5:$D$2466,$B143,'май 2025'!$J$5:$J$2466,O$1)</f>
        <v>0</v>
      </c>
      <c r="P143" s="183">
        <f>SUMIFS('май 2025'!$G$5:$G$2466,'май 2025'!$D$5:$D$2466,$B143,'май 2025'!$J$5:$J$2466,P$1)</f>
        <v>0</v>
      </c>
      <c r="Q143" s="183">
        <f>SUMIFS('май 2025'!$G$5:$G$2466,'май 2025'!$D$5:$D$2466,$B143,'май 2025'!$J$5:$J$2466,Q$1)</f>
        <v>0</v>
      </c>
      <c r="R143" s="183">
        <f>SUMIFS('май 2025'!$G$5:$G$2466,'май 2025'!$D$5:$D$2466,$B143,'май 2025'!$J$5:$J$2466,R$1)</f>
        <v>0</v>
      </c>
      <c r="S143" s="183">
        <f>SUMIFS('май 2025'!$G$5:$G$2466,'май 2025'!$D$5:$D$2466,$B143,'май 2025'!$J$5:$J$2466,S$1)</f>
        <v>0</v>
      </c>
      <c r="T143" s="183">
        <f>SUMIFS('май 2025'!$G$5:$G$2466,'май 2025'!$D$5:$D$2466,$B143,'май 2025'!$J$5:$J$2466,T$1)</f>
        <v>0</v>
      </c>
      <c r="U143" s="183">
        <f>SUMIFS('май 2025'!$G$5:$G$2466,'май 2025'!$D$5:$D$2466,$B143,'май 2025'!$J$5:$J$2466,U$1)</f>
        <v>0</v>
      </c>
      <c r="V143" s="183">
        <f>SUMIFS('май 2025'!$G$5:$G$2466,'май 2025'!$D$5:$D$2466,$B143,'май 2025'!$J$5:$J$2466,V$1)</f>
        <v>0</v>
      </c>
      <c r="W143" s="183">
        <f>SUMIFS('май 2025'!$G$5:$G$2466,'май 2025'!$D$5:$D$2466,$B143,'май 2025'!$J$5:$J$2466,W$1)</f>
        <v>0</v>
      </c>
      <c r="X143" s="183">
        <f>SUMIFS('май 2025'!$G$5:$G$2466,'май 2025'!$D$5:$D$2466,$B143,'май 2025'!$J$5:$J$2466,X$1)</f>
        <v>0</v>
      </c>
      <c r="Y143" s="183">
        <f>SUMIFS('май 2025'!$G$5:$G$2466,'май 2025'!$D$5:$D$2466,$B143,'май 2025'!$J$5:$J$2466,Y$1)</f>
        <v>0</v>
      </c>
      <c r="Z143" s="183">
        <f>SUMIFS('май 2025'!$G$5:$G$2466,'май 2025'!$D$5:$D$2466,$B143,'май 2025'!$J$5:$J$2466,Z$1)</f>
        <v>0</v>
      </c>
      <c r="AA143" s="183">
        <f>SUMIFS('май 2025'!$G$5:$G$2466,'май 2025'!$D$5:$D$2466,$B143,'май 2025'!$J$5:$J$2466,AA$1)</f>
        <v>0</v>
      </c>
      <c r="AB143" s="183">
        <f>SUMIFS('май 2025'!$G$5:$G$2466,'май 2025'!$D$5:$D$2466,$B143,'май 2025'!$J$5:$J$2466,AB$1)</f>
        <v>0</v>
      </c>
      <c r="AC143" s="183">
        <f>SUMIFS('май 2025'!$G$5:$G$2466,'май 2025'!$D$5:$D$2466,$B143,'май 2025'!$J$5:$J$2466,AC$1)</f>
        <v>0</v>
      </c>
      <c r="AD143" s="183">
        <f>SUMIFS('май 2025'!$G$5:$G$2466,'май 2025'!$D$5:$D$2466,$B143,'май 2025'!$J$5:$J$2466,AD$1)</f>
        <v>0</v>
      </c>
      <c r="AE143" s="183">
        <f>SUMIFS('май 2025'!$G$5:$G$2466,'май 2025'!$D$5:$D$2466,$B143,'май 2025'!$J$5:$J$2466,AE$1)</f>
        <v>0</v>
      </c>
      <c r="AF143" s="183">
        <f>SUMIFS('май 2025'!$G$5:$G$2466,'май 2025'!$D$5:$D$2466,$B143,'май 2025'!$J$5:$J$2466,AF$1)</f>
        <v>0</v>
      </c>
      <c r="AG143" s="183">
        <f>SUMIFS('май 2025'!$G$5:$G$2466,'май 2025'!$D$5:$D$2466,$B143,'май 2025'!$J$5:$J$2466,AG$1)</f>
        <v>0</v>
      </c>
      <c r="AH143" s="183">
        <f>SUMIFS('май 2025'!$G$5:$G$2466,'май 2025'!$D$5:$D$2466,$B143,'май 2025'!$J$5:$J$2466,AH$1)</f>
        <v>0</v>
      </c>
      <c r="AI143" s="20">
        <f t="shared" si="1"/>
        <v>0</v>
      </c>
    </row>
    <row r="144" spans="2:35" ht="15" customHeight="1" x14ac:dyDescent="0.25">
      <c r="B144" s="88" t="s">
        <v>181</v>
      </c>
      <c r="C144" s="86">
        <v>190</v>
      </c>
      <c r="D144" s="183">
        <f>SUMIFS('май 2025'!$G$5:$G$2466,'май 2025'!$D$5:$D$2466,$B144,'май 2025'!$J$5:$J$2466,D$1)</f>
        <v>0</v>
      </c>
      <c r="E144" s="183">
        <f>SUMIFS('май 2025'!$G$5:$G$2466,'май 2025'!$D$5:$D$2466,$B144,'май 2025'!$J$5:$J$2466,E$1)</f>
        <v>0</v>
      </c>
      <c r="F144" s="183">
        <f>SUMIFS('май 2025'!$G$5:$G$2466,'май 2025'!$D$5:$D$2466,$B144,'май 2025'!$J$5:$J$2466,F$1)</f>
        <v>0</v>
      </c>
      <c r="G144" s="183">
        <f>SUMIFS('май 2025'!$G$5:$G$2466,'май 2025'!$D$5:$D$2466,$B144,'май 2025'!$J$5:$J$2466,G$1)</f>
        <v>0</v>
      </c>
      <c r="H144" s="183">
        <f>SUMIFS('май 2025'!$G$5:$G$2466,'май 2025'!$D$5:$D$2466,$B144,'май 2025'!$J$5:$J$2466,H$1)</f>
        <v>0</v>
      </c>
      <c r="I144" s="183">
        <f>SUMIFS('май 2025'!$G$5:$G$2466,'май 2025'!$D$5:$D$2466,$B144,'май 2025'!$J$5:$J$2466,I$1)</f>
        <v>0</v>
      </c>
      <c r="J144" s="183">
        <f>SUMIFS('май 2025'!$G$5:$G$2466,'май 2025'!$D$5:$D$2466,$B144,'май 2025'!$J$5:$J$2466,J$1)</f>
        <v>0</v>
      </c>
      <c r="K144" s="183">
        <f>SUMIFS('май 2025'!$G$5:$G$2466,'май 2025'!$D$5:$D$2466,$B144,'май 2025'!$J$5:$J$2466,K$1)</f>
        <v>0</v>
      </c>
      <c r="L144" s="183">
        <f>SUMIFS('май 2025'!$G$5:$G$2466,'май 2025'!$D$5:$D$2466,$B144,'май 2025'!$J$5:$J$2466,L$1)</f>
        <v>0</v>
      </c>
      <c r="M144" s="183">
        <f>SUMIFS('май 2025'!$G$5:$G$2466,'май 2025'!$D$5:$D$2466,$B144,'май 2025'!$J$5:$J$2466,M$1)</f>
        <v>0</v>
      </c>
      <c r="N144" s="183">
        <f>SUMIFS('май 2025'!$G$5:$G$2466,'май 2025'!$D$5:$D$2466,$B144,'май 2025'!$J$5:$J$2466,N$1)</f>
        <v>0</v>
      </c>
      <c r="O144" s="183">
        <f>SUMIFS('май 2025'!$G$5:$G$2466,'май 2025'!$D$5:$D$2466,$B144,'май 2025'!$J$5:$J$2466,O$1)</f>
        <v>0</v>
      </c>
      <c r="P144" s="183">
        <f>SUMIFS('май 2025'!$G$5:$G$2466,'май 2025'!$D$5:$D$2466,$B144,'май 2025'!$J$5:$J$2466,P$1)</f>
        <v>0</v>
      </c>
      <c r="Q144" s="183">
        <f>SUMIFS('май 2025'!$G$5:$G$2466,'май 2025'!$D$5:$D$2466,$B144,'май 2025'!$J$5:$J$2466,Q$1)</f>
        <v>0</v>
      </c>
      <c r="R144" s="183">
        <f>SUMIFS('май 2025'!$G$5:$G$2466,'май 2025'!$D$5:$D$2466,$B144,'май 2025'!$J$5:$J$2466,R$1)</f>
        <v>0</v>
      </c>
      <c r="S144" s="183">
        <f>SUMIFS('май 2025'!$G$5:$G$2466,'май 2025'!$D$5:$D$2466,$B144,'май 2025'!$J$5:$J$2466,S$1)</f>
        <v>0</v>
      </c>
      <c r="T144" s="183">
        <f>SUMIFS('май 2025'!$G$5:$G$2466,'май 2025'!$D$5:$D$2466,$B144,'май 2025'!$J$5:$J$2466,T$1)</f>
        <v>0</v>
      </c>
      <c r="U144" s="183">
        <f>SUMIFS('май 2025'!$G$5:$G$2466,'май 2025'!$D$5:$D$2466,$B144,'май 2025'!$J$5:$J$2466,U$1)</f>
        <v>0</v>
      </c>
      <c r="V144" s="183">
        <f>SUMIFS('май 2025'!$G$5:$G$2466,'май 2025'!$D$5:$D$2466,$B144,'май 2025'!$J$5:$J$2466,V$1)</f>
        <v>0</v>
      </c>
      <c r="W144" s="183">
        <f>SUMIFS('май 2025'!$G$5:$G$2466,'май 2025'!$D$5:$D$2466,$B144,'май 2025'!$J$5:$J$2466,W$1)</f>
        <v>0</v>
      </c>
      <c r="X144" s="183">
        <f>SUMIFS('май 2025'!$G$5:$G$2466,'май 2025'!$D$5:$D$2466,$B144,'май 2025'!$J$5:$J$2466,X$1)</f>
        <v>0</v>
      </c>
      <c r="Y144" s="183">
        <f>SUMIFS('май 2025'!$G$5:$G$2466,'май 2025'!$D$5:$D$2466,$B144,'май 2025'!$J$5:$J$2466,Y$1)</f>
        <v>0</v>
      </c>
      <c r="Z144" s="183">
        <f>SUMIFS('май 2025'!$G$5:$G$2466,'май 2025'!$D$5:$D$2466,$B144,'май 2025'!$J$5:$J$2466,Z$1)</f>
        <v>0</v>
      </c>
      <c r="AA144" s="183">
        <f>SUMIFS('май 2025'!$G$5:$G$2466,'май 2025'!$D$5:$D$2466,$B144,'май 2025'!$J$5:$J$2466,AA$1)</f>
        <v>0</v>
      </c>
      <c r="AB144" s="183">
        <f>SUMIFS('май 2025'!$G$5:$G$2466,'май 2025'!$D$5:$D$2466,$B144,'май 2025'!$J$5:$J$2466,AB$1)</f>
        <v>0</v>
      </c>
      <c r="AC144" s="183">
        <f>SUMIFS('май 2025'!$G$5:$G$2466,'май 2025'!$D$5:$D$2466,$B144,'май 2025'!$J$5:$J$2466,AC$1)</f>
        <v>0</v>
      </c>
      <c r="AD144" s="183">
        <f>SUMIFS('май 2025'!$G$5:$G$2466,'май 2025'!$D$5:$D$2466,$B144,'май 2025'!$J$5:$J$2466,AD$1)</f>
        <v>0</v>
      </c>
      <c r="AE144" s="183">
        <f>SUMIFS('май 2025'!$G$5:$G$2466,'май 2025'!$D$5:$D$2466,$B144,'май 2025'!$J$5:$J$2466,AE$1)</f>
        <v>0</v>
      </c>
      <c r="AF144" s="183">
        <f>SUMIFS('май 2025'!$G$5:$G$2466,'май 2025'!$D$5:$D$2466,$B144,'май 2025'!$J$5:$J$2466,AF$1)</f>
        <v>0</v>
      </c>
      <c r="AG144" s="183">
        <f>SUMIFS('май 2025'!$G$5:$G$2466,'май 2025'!$D$5:$D$2466,$B144,'май 2025'!$J$5:$J$2466,AG$1)</f>
        <v>0</v>
      </c>
      <c r="AH144" s="183">
        <f>SUMIFS('май 2025'!$G$5:$G$2466,'май 2025'!$D$5:$D$2466,$B144,'май 2025'!$J$5:$J$2466,AH$1)</f>
        <v>0</v>
      </c>
      <c r="AI144" s="20">
        <f t="shared" si="1"/>
        <v>0</v>
      </c>
    </row>
    <row r="145" spans="2:35" ht="15" customHeight="1" x14ac:dyDescent="0.25">
      <c r="B145" s="88" t="s">
        <v>270</v>
      </c>
      <c r="C145" s="86">
        <v>190</v>
      </c>
      <c r="D145" s="183">
        <f>SUMIFS('май 2025'!$G$5:$G$2466,'май 2025'!$D$5:$D$2466,$B145,'май 2025'!$J$5:$J$2466,D$1)</f>
        <v>0</v>
      </c>
      <c r="E145" s="183">
        <f>SUMIFS('май 2025'!$G$5:$G$2466,'май 2025'!$D$5:$D$2466,$B145,'май 2025'!$J$5:$J$2466,E$1)</f>
        <v>0</v>
      </c>
      <c r="F145" s="183">
        <f>SUMIFS('май 2025'!$G$5:$G$2466,'май 2025'!$D$5:$D$2466,$B145,'май 2025'!$J$5:$J$2466,F$1)</f>
        <v>0</v>
      </c>
      <c r="G145" s="183">
        <f>SUMIFS('май 2025'!$G$5:$G$2466,'май 2025'!$D$5:$D$2466,$B145,'май 2025'!$J$5:$J$2466,G$1)</f>
        <v>0</v>
      </c>
      <c r="H145" s="183">
        <f>SUMIFS('май 2025'!$G$5:$G$2466,'май 2025'!$D$5:$D$2466,$B145,'май 2025'!$J$5:$J$2466,H$1)</f>
        <v>0</v>
      </c>
      <c r="I145" s="183">
        <f>SUMIFS('май 2025'!$G$5:$G$2466,'май 2025'!$D$5:$D$2466,$B145,'май 2025'!$J$5:$J$2466,I$1)</f>
        <v>0</v>
      </c>
      <c r="J145" s="183">
        <f>SUMIFS('май 2025'!$G$5:$G$2466,'май 2025'!$D$5:$D$2466,$B145,'май 2025'!$J$5:$J$2466,J$1)</f>
        <v>0</v>
      </c>
      <c r="K145" s="183">
        <f>SUMIFS('май 2025'!$G$5:$G$2466,'май 2025'!$D$5:$D$2466,$B145,'май 2025'!$J$5:$J$2466,K$1)</f>
        <v>0</v>
      </c>
      <c r="L145" s="183">
        <f>SUMIFS('май 2025'!$G$5:$G$2466,'май 2025'!$D$5:$D$2466,$B145,'май 2025'!$J$5:$J$2466,L$1)</f>
        <v>0</v>
      </c>
      <c r="M145" s="183">
        <f>SUMIFS('май 2025'!$G$5:$G$2466,'май 2025'!$D$5:$D$2466,$B145,'май 2025'!$J$5:$J$2466,M$1)</f>
        <v>0</v>
      </c>
      <c r="N145" s="183">
        <f>SUMIFS('май 2025'!$G$5:$G$2466,'май 2025'!$D$5:$D$2466,$B145,'май 2025'!$J$5:$J$2466,N$1)</f>
        <v>0</v>
      </c>
      <c r="O145" s="183">
        <f>SUMIFS('май 2025'!$G$5:$G$2466,'май 2025'!$D$5:$D$2466,$B145,'май 2025'!$J$5:$J$2466,O$1)</f>
        <v>0</v>
      </c>
      <c r="P145" s="183">
        <f>SUMIFS('май 2025'!$G$5:$G$2466,'май 2025'!$D$5:$D$2466,$B145,'май 2025'!$J$5:$J$2466,P$1)</f>
        <v>0</v>
      </c>
      <c r="Q145" s="183">
        <f>SUMIFS('май 2025'!$G$5:$G$2466,'май 2025'!$D$5:$D$2466,$B145,'май 2025'!$J$5:$J$2466,Q$1)</f>
        <v>0</v>
      </c>
      <c r="R145" s="183">
        <f>SUMIFS('май 2025'!$G$5:$G$2466,'май 2025'!$D$5:$D$2466,$B145,'май 2025'!$J$5:$J$2466,R$1)</f>
        <v>0</v>
      </c>
      <c r="S145" s="183">
        <f>SUMIFS('май 2025'!$G$5:$G$2466,'май 2025'!$D$5:$D$2466,$B145,'май 2025'!$J$5:$J$2466,S$1)</f>
        <v>0</v>
      </c>
      <c r="T145" s="183">
        <f>SUMIFS('май 2025'!$G$5:$G$2466,'май 2025'!$D$5:$D$2466,$B145,'май 2025'!$J$5:$J$2466,T$1)</f>
        <v>0</v>
      </c>
      <c r="U145" s="183">
        <f>SUMIFS('май 2025'!$G$5:$G$2466,'май 2025'!$D$5:$D$2466,$B145,'май 2025'!$J$5:$J$2466,U$1)</f>
        <v>0</v>
      </c>
      <c r="V145" s="183">
        <f>SUMIFS('май 2025'!$G$5:$G$2466,'май 2025'!$D$5:$D$2466,$B145,'май 2025'!$J$5:$J$2466,V$1)</f>
        <v>0</v>
      </c>
      <c r="W145" s="183">
        <f>SUMIFS('май 2025'!$G$5:$G$2466,'май 2025'!$D$5:$D$2466,$B145,'май 2025'!$J$5:$J$2466,W$1)</f>
        <v>0</v>
      </c>
      <c r="X145" s="183">
        <f>SUMIFS('май 2025'!$G$5:$G$2466,'май 2025'!$D$5:$D$2466,$B145,'май 2025'!$J$5:$J$2466,X$1)</f>
        <v>0</v>
      </c>
      <c r="Y145" s="183">
        <f>SUMIFS('май 2025'!$G$5:$G$2466,'май 2025'!$D$5:$D$2466,$B145,'май 2025'!$J$5:$J$2466,Y$1)</f>
        <v>0</v>
      </c>
      <c r="Z145" s="183">
        <f>SUMIFS('май 2025'!$G$5:$G$2466,'май 2025'!$D$5:$D$2466,$B145,'май 2025'!$J$5:$J$2466,Z$1)</f>
        <v>0</v>
      </c>
      <c r="AA145" s="183">
        <f>SUMIFS('май 2025'!$G$5:$G$2466,'май 2025'!$D$5:$D$2466,$B145,'май 2025'!$J$5:$J$2466,AA$1)</f>
        <v>0</v>
      </c>
      <c r="AB145" s="183">
        <f>SUMIFS('май 2025'!$G$5:$G$2466,'май 2025'!$D$5:$D$2466,$B145,'май 2025'!$J$5:$J$2466,AB$1)</f>
        <v>0</v>
      </c>
      <c r="AC145" s="183">
        <f>SUMIFS('май 2025'!$G$5:$G$2466,'май 2025'!$D$5:$D$2466,$B145,'май 2025'!$J$5:$J$2466,AC$1)</f>
        <v>0</v>
      </c>
      <c r="AD145" s="183">
        <f>SUMIFS('май 2025'!$G$5:$G$2466,'май 2025'!$D$5:$D$2466,$B145,'май 2025'!$J$5:$J$2466,AD$1)</f>
        <v>0</v>
      </c>
      <c r="AE145" s="183">
        <f>SUMIFS('май 2025'!$G$5:$G$2466,'май 2025'!$D$5:$D$2466,$B145,'май 2025'!$J$5:$J$2466,AE$1)</f>
        <v>0</v>
      </c>
      <c r="AF145" s="183">
        <f>SUMIFS('май 2025'!$G$5:$G$2466,'май 2025'!$D$5:$D$2466,$B145,'май 2025'!$J$5:$J$2466,AF$1)</f>
        <v>0</v>
      </c>
      <c r="AG145" s="183">
        <f>SUMIFS('май 2025'!$G$5:$G$2466,'май 2025'!$D$5:$D$2466,$B145,'май 2025'!$J$5:$J$2466,AG$1)</f>
        <v>0</v>
      </c>
      <c r="AH145" s="183">
        <f>SUMIFS('май 2025'!$G$5:$G$2466,'май 2025'!$D$5:$D$2466,$B145,'май 2025'!$J$5:$J$2466,AH$1)</f>
        <v>0</v>
      </c>
      <c r="AI145" s="20">
        <f t="shared" si="1"/>
        <v>0</v>
      </c>
    </row>
    <row r="146" spans="2:35" ht="16.899999999999999" customHeight="1" x14ac:dyDescent="0.25">
      <c r="B146" s="84" t="s">
        <v>271</v>
      </c>
      <c r="C146" s="83">
        <v>200</v>
      </c>
      <c r="D146" s="183">
        <f>SUMIFS('май 2025'!$G$5:$G$2466,'май 2025'!$D$5:$D$2466,$B146,'май 2025'!$J$5:$J$2466,D$1)</f>
        <v>0</v>
      </c>
      <c r="E146" s="183">
        <f>SUMIFS('май 2025'!$G$5:$G$2466,'май 2025'!$D$5:$D$2466,$B146,'май 2025'!$J$5:$J$2466,E$1)</f>
        <v>0</v>
      </c>
      <c r="F146" s="183">
        <f>SUMIFS('май 2025'!$G$5:$G$2466,'май 2025'!$D$5:$D$2466,$B146,'май 2025'!$J$5:$J$2466,F$1)</f>
        <v>0</v>
      </c>
      <c r="G146" s="183">
        <f>SUMIFS('май 2025'!$G$5:$G$2466,'май 2025'!$D$5:$D$2466,$B146,'май 2025'!$J$5:$J$2466,G$1)</f>
        <v>0</v>
      </c>
      <c r="H146" s="183">
        <f>SUMIFS('май 2025'!$G$5:$G$2466,'май 2025'!$D$5:$D$2466,$B146,'май 2025'!$J$5:$J$2466,H$1)</f>
        <v>0</v>
      </c>
      <c r="I146" s="183">
        <f>SUMIFS('май 2025'!$G$5:$G$2466,'май 2025'!$D$5:$D$2466,$B146,'май 2025'!$J$5:$J$2466,I$1)</f>
        <v>0</v>
      </c>
      <c r="J146" s="183">
        <f>SUMIFS('май 2025'!$G$5:$G$2466,'май 2025'!$D$5:$D$2466,$B146,'май 2025'!$J$5:$J$2466,J$1)</f>
        <v>0</v>
      </c>
      <c r="K146" s="183">
        <f>SUMIFS('май 2025'!$G$5:$G$2466,'май 2025'!$D$5:$D$2466,$B146,'май 2025'!$J$5:$J$2466,K$1)</f>
        <v>0</v>
      </c>
      <c r="L146" s="183">
        <f>SUMIFS('май 2025'!$G$5:$G$2466,'май 2025'!$D$5:$D$2466,$B146,'май 2025'!$J$5:$J$2466,L$1)</f>
        <v>0</v>
      </c>
      <c r="M146" s="183">
        <f>SUMIFS('май 2025'!$G$5:$G$2466,'май 2025'!$D$5:$D$2466,$B146,'май 2025'!$J$5:$J$2466,M$1)</f>
        <v>0</v>
      </c>
      <c r="N146" s="183">
        <f>SUMIFS('май 2025'!$G$5:$G$2466,'май 2025'!$D$5:$D$2466,$B146,'май 2025'!$J$5:$J$2466,N$1)</f>
        <v>0</v>
      </c>
      <c r="O146" s="183">
        <f>SUMIFS('май 2025'!$G$5:$G$2466,'май 2025'!$D$5:$D$2466,$B146,'май 2025'!$J$5:$J$2466,O$1)</f>
        <v>0</v>
      </c>
      <c r="P146" s="183">
        <f>SUMIFS('май 2025'!$G$5:$G$2466,'май 2025'!$D$5:$D$2466,$B146,'май 2025'!$J$5:$J$2466,P$1)</f>
        <v>0</v>
      </c>
      <c r="Q146" s="183">
        <f>SUMIFS('май 2025'!$G$5:$G$2466,'май 2025'!$D$5:$D$2466,$B146,'май 2025'!$J$5:$J$2466,Q$1)</f>
        <v>0</v>
      </c>
      <c r="R146" s="183">
        <f>SUMIFS('май 2025'!$G$5:$G$2466,'май 2025'!$D$5:$D$2466,$B146,'май 2025'!$J$5:$J$2466,R$1)</f>
        <v>0</v>
      </c>
      <c r="S146" s="183">
        <f>SUMIFS('май 2025'!$G$5:$G$2466,'май 2025'!$D$5:$D$2466,$B146,'май 2025'!$J$5:$J$2466,S$1)</f>
        <v>0</v>
      </c>
      <c r="T146" s="183">
        <f>SUMIFS('май 2025'!$G$5:$G$2466,'май 2025'!$D$5:$D$2466,$B146,'май 2025'!$J$5:$J$2466,T$1)</f>
        <v>0</v>
      </c>
      <c r="U146" s="183">
        <f>SUMIFS('май 2025'!$G$5:$G$2466,'май 2025'!$D$5:$D$2466,$B146,'май 2025'!$J$5:$J$2466,U$1)</f>
        <v>0</v>
      </c>
      <c r="V146" s="183">
        <f>SUMIFS('май 2025'!$G$5:$G$2466,'май 2025'!$D$5:$D$2466,$B146,'май 2025'!$J$5:$J$2466,V$1)</f>
        <v>0</v>
      </c>
      <c r="W146" s="183">
        <f>SUMIFS('май 2025'!$G$5:$G$2466,'май 2025'!$D$5:$D$2466,$B146,'май 2025'!$J$5:$J$2466,W$1)</f>
        <v>0</v>
      </c>
      <c r="X146" s="183">
        <f>SUMIFS('май 2025'!$G$5:$G$2466,'май 2025'!$D$5:$D$2466,$B146,'май 2025'!$J$5:$J$2466,X$1)</f>
        <v>0</v>
      </c>
      <c r="Y146" s="183">
        <f>SUMIFS('май 2025'!$G$5:$G$2466,'май 2025'!$D$5:$D$2466,$B146,'май 2025'!$J$5:$J$2466,Y$1)</f>
        <v>0</v>
      </c>
      <c r="Z146" s="183">
        <f>SUMIFS('май 2025'!$G$5:$G$2466,'май 2025'!$D$5:$D$2466,$B146,'май 2025'!$J$5:$J$2466,Z$1)</f>
        <v>0</v>
      </c>
      <c r="AA146" s="183">
        <f>SUMIFS('май 2025'!$G$5:$G$2466,'май 2025'!$D$5:$D$2466,$B146,'май 2025'!$J$5:$J$2466,AA$1)</f>
        <v>0</v>
      </c>
      <c r="AB146" s="183">
        <f>SUMIFS('май 2025'!$G$5:$G$2466,'май 2025'!$D$5:$D$2466,$B146,'май 2025'!$J$5:$J$2466,AB$1)</f>
        <v>0</v>
      </c>
      <c r="AC146" s="183">
        <f>SUMIFS('май 2025'!$G$5:$G$2466,'май 2025'!$D$5:$D$2466,$B146,'май 2025'!$J$5:$J$2466,AC$1)</f>
        <v>0</v>
      </c>
      <c r="AD146" s="183">
        <f>SUMIFS('май 2025'!$G$5:$G$2466,'май 2025'!$D$5:$D$2466,$B146,'май 2025'!$J$5:$J$2466,AD$1)</f>
        <v>0</v>
      </c>
      <c r="AE146" s="183">
        <f>SUMIFS('май 2025'!$G$5:$G$2466,'май 2025'!$D$5:$D$2466,$B146,'май 2025'!$J$5:$J$2466,AE$1)</f>
        <v>0</v>
      </c>
      <c r="AF146" s="183">
        <f>SUMIFS('май 2025'!$G$5:$G$2466,'май 2025'!$D$5:$D$2466,$B146,'май 2025'!$J$5:$J$2466,AF$1)</f>
        <v>0</v>
      </c>
      <c r="AG146" s="183">
        <f>SUMIFS('май 2025'!$G$5:$G$2466,'май 2025'!$D$5:$D$2466,$B146,'май 2025'!$J$5:$J$2466,AG$1)</f>
        <v>0</v>
      </c>
      <c r="AH146" s="183">
        <f>SUMIFS('май 2025'!$G$5:$G$2466,'май 2025'!$D$5:$D$2466,$B146,'май 2025'!$J$5:$J$2466,AH$1)</f>
        <v>0</v>
      </c>
      <c r="AI146" s="20">
        <f t="shared" si="1"/>
        <v>0</v>
      </c>
    </row>
    <row r="147" spans="2:35" ht="16.899999999999999" customHeight="1" x14ac:dyDescent="0.25">
      <c r="B147" s="84" t="s">
        <v>276</v>
      </c>
      <c r="C147" s="83">
        <v>200</v>
      </c>
      <c r="D147" s="183">
        <f>SUMIFS('май 2025'!$G$5:$G$2466,'май 2025'!$D$5:$D$2466,$B147,'май 2025'!$J$5:$J$2466,D$1)</f>
        <v>0</v>
      </c>
      <c r="E147" s="183">
        <f>SUMIFS('май 2025'!$G$5:$G$2466,'май 2025'!$D$5:$D$2466,$B147,'май 2025'!$J$5:$J$2466,E$1)</f>
        <v>0</v>
      </c>
      <c r="F147" s="183">
        <f>SUMIFS('май 2025'!$G$5:$G$2466,'май 2025'!$D$5:$D$2466,$B147,'май 2025'!$J$5:$J$2466,F$1)</f>
        <v>0</v>
      </c>
      <c r="G147" s="183">
        <f>SUMIFS('май 2025'!$G$5:$G$2466,'май 2025'!$D$5:$D$2466,$B147,'май 2025'!$J$5:$J$2466,G$1)</f>
        <v>0</v>
      </c>
      <c r="H147" s="183">
        <f>SUMIFS('май 2025'!$G$5:$G$2466,'май 2025'!$D$5:$D$2466,$B147,'май 2025'!$J$5:$J$2466,H$1)</f>
        <v>0</v>
      </c>
      <c r="I147" s="183">
        <f>SUMIFS('май 2025'!$G$5:$G$2466,'май 2025'!$D$5:$D$2466,$B147,'май 2025'!$J$5:$J$2466,I$1)</f>
        <v>0</v>
      </c>
      <c r="J147" s="183">
        <f>SUMIFS('май 2025'!$G$5:$G$2466,'май 2025'!$D$5:$D$2466,$B147,'май 2025'!$J$5:$J$2466,J$1)</f>
        <v>0</v>
      </c>
      <c r="K147" s="183">
        <f>SUMIFS('май 2025'!$G$5:$G$2466,'май 2025'!$D$5:$D$2466,$B147,'май 2025'!$J$5:$J$2466,K$1)</f>
        <v>0</v>
      </c>
      <c r="L147" s="183">
        <f>SUMIFS('май 2025'!$G$5:$G$2466,'май 2025'!$D$5:$D$2466,$B147,'май 2025'!$J$5:$J$2466,L$1)</f>
        <v>0</v>
      </c>
      <c r="M147" s="183">
        <f>SUMIFS('май 2025'!$G$5:$G$2466,'май 2025'!$D$5:$D$2466,$B147,'май 2025'!$J$5:$J$2466,M$1)</f>
        <v>0</v>
      </c>
      <c r="N147" s="183">
        <f>SUMIFS('май 2025'!$G$5:$G$2466,'май 2025'!$D$5:$D$2466,$B147,'май 2025'!$J$5:$J$2466,N$1)</f>
        <v>0</v>
      </c>
      <c r="O147" s="183">
        <f>SUMIFS('май 2025'!$G$5:$G$2466,'май 2025'!$D$5:$D$2466,$B147,'май 2025'!$J$5:$J$2466,O$1)</f>
        <v>0</v>
      </c>
      <c r="P147" s="183">
        <f>SUMIFS('май 2025'!$G$5:$G$2466,'май 2025'!$D$5:$D$2466,$B147,'май 2025'!$J$5:$J$2466,P$1)</f>
        <v>0</v>
      </c>
      <c r="Q147" s="183">
        <f>SUMIFS('май 2025'!$G$5:$G$2466,'май 2025'!$D$5:$D$2466,$B147,'май 2025'!$J$5:$J$2466,Q$1)</f>
        <v>0</v>
      </c>
      <c r="R147" s="183">
        <f>SUMIFS('май 2025'!$G$5:$G$2466,'май 2025'!$D$5:$D$2466,$B147,'май 2025'!$J$5:$J$2466,R$1)</f>
        <v>0</v>
      </c>
      <c r="S147" s="183">
        <f>SUMIFS('май 2025'!$G$5:$G$2466,'май 2025'!$D$5:$D$2466,$B147,'май 2025'!$J$5:$J$2466,S$1)</f>
        <v>0</v>
      </c>
      <c r="T147" s="183">
        <f>SUMIFS('май 2025'!$G$5:$G$2466,'май 2025'!$D$5:$D$2466,$B147,'май 2025'!$J$5:$J$2466,T$1)</f>
        <v>0</v>
      </c>
      <c r="U147" s="183">
        <f>SUMIFS('май 2025'!$G$5:$G$2466,'май 2025'!$D$5:$D$2466,$B147,'май 2025'!$J$5:$J$2466,U$1)</f>
        <v>0</v>
      </c>
      <c r="V147" s="183">
        <f>SUMIFS('май 2025'!$G$5:$G$2466,'май 2025'!$D$5:$D$2466,$B147,'май 2025'!$J$5:$J$2466,V$1)</f>
        <v>0</v>
      </c>
      <c r="W147" s="183">
        <f>SUMIFS('май 2025'!$G$5:$G$2466,'май 2025'!$D$5:$D$2466,$B147,'май 2025'!$J$5:$J$2466,W$1)</f>
        <v>0</v>
      </c>
      <c r="X147" s="183">
        <f>SUMIFS('май 2025'!$G$5:$G$2466,'май 2025'!$D$5:$D$2466,$B147,'май 2025'!$J$5:$J$2466,X$1)</f>
        <v>0</v>
      </c>
      <c r="Y147" s="183">
        <f>SUMIFS('май 2025'!$G$5:$G$2466,'май 2025'!$D$5:$D$2466,$B147,'май 2025'!$J$5:$J$2466,Y$1)</f>
        <v>0</v>
      </c>
      <c r="Z147" s="183">
        <f>SUMIFS('май 2025'!$G$5:$G$2466,'май 2025'!$D$5:$D$2466,$B147,'май 2025'!$J$5:$J$2466,Z$1)</f>
        <v>0</v>
      </c>
      <c r="AA147" s="183">
        <f>SUMIFS('май 2025'!$G$5:$G$2466,'май 2025'!$D$5:$D$2466,$B147,'май 2025'!$J$5:$J$2466,AA$1)</f>
        <v>0</v>
      </c>
      <c r="AB147" s="183">
        <f>SUMIFS('май 2025'!$G$5:$G$2466,'май 2025'!$D$5:$D$2466,$B147,'май 2025'!$J$5:$J$2466,AB$1)</f>
        <v>0</v>
      </c>
      <c r="AC147" s="183">
        <f>SUMIFS('май 2025'!$G$5:$G$2466,'май 2025'!$D$5:$D$2466,$B147,'май 2025'!$J$5:$J$2466,AC$1)</f>
        <v>0</v>
      </c>
      <c r="AD147" s="183">
        <f>SUMIFS('май 2025'!$G$5:$G$2466,'май 2025'!$D$5:$D$2466,$B147,'май 2025'!$J$5:$J$2466,AD$1)</f>
        <v>0</v>
      </c>
      <c r="AE147" s="183">
        <f>SUMIFS('май 2025'!$G$5:$G$2466,'май 2025'!$D$5:$D$2466,$B147,'май 2025'!$J$5:$J$2466,AE$1)</f>
        <v>0</v>
      </c>
      <c r="AF147" s="183">
        <f>SUMIFS('май 2025'!$G$5:$G$2466,'май 2025'!$D$5:$D$2466,$B147,'май 2025'!$J$5:$J$2466,AF$1)</f>
        <v>0</v>
      </c>
      <c r="AG147" s="183">
        <f>SUMIFS('май 2025'!$G$5:$G$2466,'май 2025'!$D$5:$D$2466,$B147,'май 2025'!$J$5:$J$2466,AG$1)</f>
        <v>0</v>
      </c>
      <c r="AH147" s="183">
        <f>SUMIFS('май 2025'!$G$5:$G$2466,'май 2025'!$D$5:$D$2466,$B147,'май 2025'!$J$5:$J$2466,AH$1)</f>
        <v>0</v>
      </c>
      <c r="AI147" s="20">
        <f t="shared" si="1"/>
        <v>0</v>
      </c>
    </row>
    <row r="148" spans="2:35" ht="16.899999999999999" customHeight="1" x14ac:dyDescent="0.25">
      <c r="B148" s="84" t="s">
        <v>272</v>
      </c>
      <c r="C148" s="83">
        <v>200</v>
      </c>
      <c r="D148" s="183">
        <f>SUMIFS('май 2025'!$G$5:$G$2466,'май 2025'!$D$5:$D$2466,$B148,'май 2025'!$J$5:$J$2466,D$1)</f>
        <v>0</v>
      </c>
      <c r="E148" s="183">
        <f>SUMIFS('май 2025'!$G$5:$G$2466,'май 2025'!$D$5:$D$2466,$B148,'май 2025'!$J$5:$J$2466,E$1)</f>
        <v>0</v>
      </c>
      <c r="F148" s="183">
        <f>SUMIFS('май 2025'!$G$5:$G$2466,'май 2025'!$D$5:$D$2466,$B148,'май 2025'!$J$5:$J$2466,F$1)</f>
        <v>0</v>
      </c>
      <c r="G148" s="183">
        <f>SUMIFS('май 2025'!$G$5:$G$2466,'май 2025'!$D$5:$D$2466,$B148,'май 2025'!$J$5:$J$2466,G$1)</f>
        <v>0</v>
      </c>
      <c r="H148" s="183">
        <f>SUMIFS('май 2025'!$G$5:$G$2466,'май 2025'!$D$5:$D$2466,$B148,'май 2025'!$J$5:$J$2466,H$1)</f>
        <v>0</v>
      </c>
      <c r="I148" s="183">
        <f>SUMIFS('май 2025'!$G$5:$G$2466,'май 2025'!$D$5:$D$2466,$B148,'май 2025'!$J$5:$J$2466,I$1)</f>
        <v>0</v>
      </c>
      <c r="J148" s="183">
        <f>SUMIFS('май 2025'!$G$5:$G$2466,'май 2025'!$D$5:$D$2466,$B148,'май 2025'!$J$5:$J$2466,J$1)</f>
        <v>0</v>
      </c>
      <c r="K148" s="183">
        <f>SUMIFS('май 2025'!$G$5:$G$2466,'май 2025'!$D$5:$D$2466,$B148,'май 2025'!$J$5:$J$2466,K$1)</f>
        <v>0</v>
      </c>
      <c r="L148" s="183">
        <f>SUMIFS('май 2025'!$G$5:$G$2466,'май 2025'!$D$5:$D$2466,$B148,'май 2025'!$J$5:$J$2466,L$1)</f>
        <v>0</v>
      </c>
      <c r="M148" s="183">
        <f>SUMIFS('май 2025'!$G$5:$G$2466,'май 2025'!$D$5:$D$2466,$B148,'май 2025'!$J$5:$J$2466,M$1)</f>
        <v>0</v>
      </c>
      <c r="N148" s="183">
        <f>SUMIFS('май 2025'!$G$5:$G$2466,'май 2025'!$D$5:$D$2466,$B148,'май 2025'!$J$5:$J$2466,N$1)</f>
        <v>0</v>
      </c>
      <c r="O148" s="183">
        <f>SUMIFS('май 2025'!$G$5:$G$2466,'май 2025'!$D$5:$D$2466,$B148,'май 2025'!$J$5:$J$2466,O$1)</f>
        <v>0</v>
      </c>
      <c r="P148" s="183">
        <f>SUMIFS('май 2025'!$G$5:$G$2466,'май 2025'!$D$5:$D$2466,$B148,'май 2025'!$J$5:$J$2466,P$1)</f>
        <v>0</v>
      </c>
      <c r="Q148" s="183">
        <f>SUMIFS('май 2025'!$G$5:$G$2466,'май 2025'!$D$5:$D$2466,$B148,'май 2025'!$J$5:$J$2466,Q$1)</f>
        <v>0</v>
      </c>
      <c r="R148" s="183">
        <f>SUMIFS('май 2025'!$G$5:$G$2466,'май 2025'!$D$5:$D$2466,$B148,'май 2025'!$J$5:$J$2466,R$1)</f>
        <v>0</v>
      </c>
      <c r="S148" s="183">
        <f>SUMIFS('май 2025'!$G$5:$G$2466,'май 2025'!$D$5:$D$2466,$B148,'май 2025'!$J$5:$J$2466,S$1)</f>
        <v>0</v>
      </c>
      <c r="T148" s="183">
        <f>SUMIFS('май 2025'!$G$5:$G$2466,'май 2025'!$D$5:$D$2466,$B148,'май 2025'!$J$5:$J$2466,T$1)</f>
        <v>0</v>
      </c>
      <c r="U148" s="183">
        <f>SUMIFS('май 2025'!$G$5:$G$2466,'май 2025'!$D$5:$D$2466,$B148,'май 2025'!$J$5:$J$2466,U$1)</f>
        <v>0</v>
      </c>
      <c r="V148" s="183">
        <f>SUMIFS('май 2025'!$G$5:$G$2466,'май 2025'!$D$5:$D$2466,$B148,'май 2025'!$J$5:$J$2466,V$1)</f>
        <v>0</v>
      </c>
      <c r="W148" s="183">
        <f>SUMIFS('май 2025'!$G$5:$G$2466,'май 2025'!$D$5:$D$2466,$B148,'май 2025'!$J$5:$J$2466,W$1)</f>
        <v>0</v>
      </c>
      <c r="X148" s="183">
        <f>SUMIFS('май 2025'!$G$5:$G$2466,'май 2025'!$D$5:$D$2466,$B148,'май 2025'!$J$5:$J$2466,X$1)</f>
        <v>0</v>
      </c>
      <c r="Y148" s="183">
        <f>SUMIFS('май 2025'!$G$5:$G$2466,'май 2025'!$D$5:$D$2466,$B148,'май 2025'!$J$5:$J$2466,Y$1)</f>
        <v>0</v>
      </c>
      <c r="Z148" s="183">
        <f>SUMIFS('май 2025'!$G$5:$G$2466,'май 2025'!$D$5:$D$2466,$B148,'май 2025'!$J$5:$J$2466,Z$1)</f>
        <v>0</v>
      </c>
      <c r="AA148" s="183">
        <f>SUMIFS('май 2025'!$G$5:$G$2466,'май 2025'!$D$5:$D$2466,$B148,'май 2025'!$J$5:$J$2466,AA$1)</f>
        <v>0</v>
      </c>
      <c r="AB148" s="183">
        <f>SUMIFS('май 2025'!$G$5:$G$2466,'май 2025'!$D$5:$D$2466,$B148,'май 2025'!$J$5:$J$2466,AB$1)</f>
        <v>0</v>
      </c>
      <c r="AC148" s="183">
        <f>SUMIFS('май 2025'!$G$5:$G$2466,'май 2025'!$D$5:$D$2466,$B148,'май 2025'!$J$5:$J$2466,AC$1)</f>
        <v>0</v>
      </c>
      <c r="AD148" s="183">
        <f>SUMIFS('май 2025'!$G$5:$G$2466,'май 2025'!$D$5:$D$2466,$B148,'май 2025'!$J$5:$J$2466,AD$1)</f>
        <v>0</v>
      </c>
      <c r="AE148" s="183">
        <f>SUMIFS('май 2025'!$G$5:$G$2466,'май 2025'!$D$5:$D$2466,$B148,'май 2025'!$J$5:$J$2466,AE$1)</f>
        <v>0</v>
      </c>
      <c r="AF148" s="183">
        <f>SUMIFS('май 2025'!$G$5:$G$2466,'май 2025'!$D$5:$D$2466,$B148,'май 2025'!$J$5:$J$2466,AF$1)</f>
        <v>0</v>
      </c>
      <c r="AG148" s="183">
        <f>SUMIFS('май 2025'!$G$5:$G$2466,'май 2025'!$D$5:$D$2466,$B148,'май 2025'!$J$5:$J$2466,AG$1)</f>
        <v>0</v>
      </c>
      <c r="AH148" s="183">
        <f>SUMIFS('май 2025'!$G$5:$G$2466,'май 2025'!$D$5:$D$2466,$B148,'май 2025'!$J$5:$J$2466,AH$1)</f>
        <v>0</v>
      </c>
      <c r="AI148" s="20">
        <f t="shared" si="1"/>
        <v>0</v>
      </c>
    </row>
    <row r="149" spans="2:35" ht="15" customHeight="1" x14ac:dyDescent="0.25">
      <c r="B149" s="84" t="s">
        <v>277</v>
      </c>
      <c r="C149" s="83">
        <v>200</v>
      </c>
      <c r="D149" s="183">
        <f>SUMIFS('май 2025'!$G$5:$G$2466,'май 2025'!$D$5:$D$2466,$B149,'май 2025'!$J$5:$J$2466,D$1)</f>
        <v>0</v>
      </c>
      <c r="E149" s="183">
        <f>SUMIFS('май 2025'!$G$5:$G$2466,'май 2025'!$D$5:$D$2466,$B149,'май 2025'!$J$5:$J$2466,E$1)</f>
        <v>0</v>
      </c>
      <c r="F149" s="183">
        <f>SUMIFS('май 2025'!$G$5:$G$2466,'май 2025'!$D$5:$D$2466,$B149,'май 2025'!$J$5:$J$2466,F$1)</f>
        <v>0</v>
      </c>
      <c r="G149" s="183">
        <f>SUMIFS('май 2025'!$G$5:$G$2466,'май 2025'!$D$5:$D$2466,$B149,'май 2025'!$J$5:$J$2466,G$1)</f>
        <v>0</v>
      </c>
      <c r="H149" s="183">
        <f>SUMIFS('май 2025'!$G$5:$G$2466,'май 2025'!$D$5:$D$2466,$B149,'май 2025'!$J$5:$J$2466,H$1)</f>
        <v>0</v>
      </c>
      <c r="I149" s="183">
        <f>SUMIFS('май 2025'!$G$5:$G$2466,'май 2025'!$D$5:$D$2466,$B149,'май 2025'!$J$5:$J$2466,I$1)</f>
        <v>0</v>
      </c>
      <c r="J149" s="183">
        <f>SUMIFS('май 2025'!$G$5:$G$2466,'май 2025'!$D$5:$D$2466,$B149,'май 2025'!$J$5:$J$2466,J$1)</f>
        <v>0</v>
      </c>
      <c r="K149" s="183">
        <f>SUMIFS('май 2025'!$G$5:$G$2466,'май 2025'!$D$5:$D$2466,$B149,'май 2025'!$J$5:$J$2466,K$1)</f>
        <v>0</v>
      </c>
      <c r="L149" s="183">
        <f>SUMIFS('май 2025'!$G$5:$G$2466,'май 2025'!$D$5:$D$2466,$B149,'май 2025'!$J$5:$J$2466,L$1)</f>
        <v>0</v>
      </c>
      <c r="M149" s="183">
        <f>SUMIFS('май 2025'!$G$5:$G$2466,'май 2025'!$D$5:$D$2466,$B149,'май 2025'!$J$5:$J$2466,M$1)</f>
        <v>0</v>
      </c>
      <c r="N149" s="183">
        <f>SUMIFS('май 2025'!$G$5:$G$2466,'май 2025'!$D$5:$D$2466,$B149,'май 2025'!$J$5:$J$2466,N$1)</f>
        <v>0</v>
      </c>
      <c r="O149" s="183">
        <f>SUMIFS('май 2025'!$G$5:$G$2466,'май 2025'!$D$5:$D$2466,$B149,'май 2025'!$J$5:$J$2466,O$1)</f>
        <v>0</v>
      </c>
      <c r="P149" s="183">
        <f>SUMIFS('май 2025'!$G$5:$G$2466,'май 2025'!$D$5:$D$2466,$B149,'май 2025'!$J$5:$J$2466,P$1)</f>
        <v>0</v>
      </c>
      <c r="Q149" s="183">
        <f>SUMIFS('май 2025'!$G$5:$G$2466,'май 2025'!$D$5:$D$2466,$B149,'май 2025'!$J$5:$J$2466,Q$1)</f>
        <v>0</v>
      </c>
      <c r="R149" s="183">
        <f>SUMIFS('май 2025'!$G$5:$G$2466,'май 2025'!$D$5:$D$2466,$B149,'май 2025'!$J$5:$J$2466,R$1)</f>
        <v>0</v>
      </c>
      <c r="S149" s="183">
        <f>SUMIFS('май 2025'!$G$5:$G$2466,'май 2025'!$D$5:$D$2466,$B149,'май 2025'!$J$5:$J$2466,S$1)</f>
        <v>0</v>
      </c>
      <c r="T149" s="183">
        <f>SUMIFS('май 2025'!$G$5:$G$2466,'май 2025'!$D$5:$D$2466,$B149,'май 2025'!$J$5:$J$2466,T$1)</f>
        <v>0</v>
      </c>
      <c r="U149" s="183">
        <f>SUMIFS('май 2025'!$G$5:$G$2466,'май 2025'!$D$5:$D$2466,$B149,'май 2025'!$J$5:$J$2466,U$1)</f>
        <v>0</v>
      </c>
      <c r="V149" s="183">
        <f>SUMIFS('май 2025'!$G$5:$G$2466,'май 2025'!$D$5:$D$2466,$B149,'май 2025'!$J$5:$J$2466,V$1)</f>
        <v>0</v>
      </c>
      <c r="W149" s="183">
        <f>SUMIFS('май 2025'!$G$5:$G$2466,'май 2025'!$D$5:$D$2466,$B149,'май 2025'!$J$5:$J$2466,W$1)</f>
        <v>0</v>
      </c>
      <c r="X149" s="183">
        <f>SUMIFS('май 2025'!$G$5:$G$2466,'май 2025'!$D$5:$D$2466,$B149,'май 2025'!$J$5:$J$2466,X$1)</f>
        <v>0</v>
      </c>
      <c r="Y149" s="183">
        <f>SUMIFS('май 2025'!$G$5:$G$2466,'май 2025'!$D$5:$D$2466,$B149,'май 2025'!$J$5:$J$2466,Y$1)</f>
        <v>0</v>
      </c>
      <c r="Z149" s="183">
        <f>SUMIFS('май 2025'!$G$5:$G$2466,'май 2025'!$D$5:$D$2466,$B149,'май 2025'!$J$5:$J$2466,Z$1)</f>
        <v>0</v>
      </c>
      <c r="AA149" s="183">
        <f>SUMIFS('май 2025'!$G$5:$G$2466,'май 2025'!$D$5:$D$2466,$B149,'май 2025'!$J$5:$J$2466,AA$1)</f>
        <v>0</v>
      </c>
      <c r="AB149" s="183">
        <f>SUMIFS('май 2025'!$G$5:$G$2466,'май 2025'!$D$5:$D$2466,$B149,'май 2025'!$J$5:$J$2466,AB$1)</f>
        <v>0</v>
      </c>
      <c r="AC149" s="183">
        <f>SUMIFS('май 2025'!$G$5:$G$2466,'май 2025'!$D$5:$D$2466,$B149,'май 2025'!$J$5:$J$2466,AC$1)</f>
        <v>0</v>
      </c>
      <c r="AD149" s="183">
        <f>SUMIFS('май 2025'!$G$5:$G$2466,'май 2025'!$D$5:$D$2466,$B149,'май 2025'!$J$5:$J$2466,AD$1)</f>
        <v>0</v>
      </c>
      <c r="AE149" s="183">
        <f>SUMIFS('май 2025'!$G$5:$G$2466,'май 2025'!$D$5:$D$2466,$B149,'май 2025'!$J$5:$J$2466,AE$1)</f>
        <v>0</v>
      </c>
      <c r="AF149" s="183">
        <f>SUMIFS('май 2025'!$G$5:$G$2466,'май 2025'!$D$5:$D$2466,$B149,'май 2025'!$J$5:$J$2466,AF$1)</f>
        <v>0</v>
      </c>
      <c r="AG149" s="183">
        <f>SUMIFS('май 2025'!$G$5:$G$2466,'май 2025'!$D$5:$D$2466,$B149,'май 2025'!$J$5:$J$2466,AG$1)</f>
        <v>0</v>
      </c>
      <c r="AH149" s="183">
        <f>SUMIFS('май 2025'!$G$5:$G$2466,'май 2025'!$D$5:$D$2466,$B149,'май 2025'!$J$5:$J$2466,AH$1)</f>
        <v>0</v>
      </c>
      <c r="AI149" s="20">
        <f t="shared" si="1"/>
        <v>0</v>
      </c>
    </row>
    <row r="150" spans="2:35" ht="15" customHeight="1" x14ac:dyDescent="0.25">
      <c r="B150" s="84" t="s">
        <v>273</v>
      </c>
      <c r="C150" s="83">
        <v>200</v>
      </c>
      <c r="D150" s="183">
        <f>SUMIFS('май 2025'!$G$5:$G$2466,'май 2025'!$D$5:$D$2466,$B150,'май 2025'!$J$5:$J$2466,D$1)</f>
        <v>0</v>
      </c>
      <c r="E150" s="183">
        <f>SUMIFS('май 2025'!$G$5:$G$2466,'май 2025'!$D$5:$D$2466,$B150,'май 2025'!$J$5:$J$2466,E$1)</f>
        <v>0</v>
      </c>
      <c r="F150" s="183">
        <f>SUMIFS('май 2025'!$G$5:$G$2466,'май 2025'!$D$5:$D$2466,$B150,'май 2025'!$J$5:$J$2466,F$1)</f>
        <v>0</v>
      </c>
      <c r="G150" s="183">
        <f>SUMIFS('май 2025'!$G$5:$G$2466,'май 2025'!$D$5:$D$2466,$B150,'май 2025'!$J$5:$J$2466,G$1)</f>
        <v>0</v>
      </c>
      <c r="H150" s="183">
        <f>SUMIFS('май 2025'!$G$5:$G$2466,'май 2025'!$D$5:$D$2466,$B150,'май 2025'!$J$5:$J$2466,H$1)</f>
        <v>0</v>
      </c>
      <c r="I150" s="183">
        <f>SUMIFS('май 2025'!$G$5:$G$2466,'май 2025'!$D$5:$D$2466,$B150,'май 2025'!$J$5:$J$2466,I$1)</f>
        <v>0</v>
      </c>
      <c r="J150" s="183">
        <f>SUMIFS('май 2025'!$G$5:$G$2466,'май 2025'!$D$5:$D$2466,$B150,'май 2025'!$J$5:$J$2466,J$1)</f>
        <v>0</v>
      </c>
      <c r="K150" s="183">
        <f>SUMIFS('май 2025'!$G$5:$G$2466,'май 2025'!$D$5:$D$2466,$B150,'май 2025'!$J$5:$J$2466,K$1)</f>
        <v>0</v>
      </c>
      <c r="L150" s="183">
        <f>SUMIFS('май 2025'!$G$5:$G$2466,'май 2025'!$D$5:$D$2466,$B150,'май 2025'!$J$5:$J$2466,L$1)</f>
        <v>0</v>
      </c>
      <c r="M150" s="183">
        <f>SUMIFS('май 2025'!$G$5:$G$2466,'май 2025'!$D$5:$D$2466,$B150,'май 2025'!$J$5:$J$2466,M$1)</f>
        <v>0</v>
      </c>
      <c r="N150" s="183">
        <f>SUMIFS('май 2025'!$G$5:$G$2466,'май 2025'!$D$5:$D$2466,$B150,'май 2025'!$J$5:$J$2466,N$1)</f>
        <v>0</v>
      </c>
      <c r="O150" s="183">
        <f>SUMIFS('май 2025'!$G$5:$G$2466,'май 2025'!$D$5:$D$2466,$B150,'май 2025'!$J$5:$J$2466,O$1)</f>
        <v>0</v>
      </c>
      <c r="P150" s="183">
        <f>SUMIFS('май 2025'!$G$5:$G$2466,'май 2025'!$D$5:$D$2466,$B150,'май 2025'!$J$5:$J$2466,P$1)</f>
        <v>0</v>
      </c>
      <c r="Q150" s="183">
        <f>SUMIFS('май 2025'!$G$5:$G$2466,'май 2025'!$D$5:$D$2466,$B150,'май 2025'!$J$5:$J$2466,Q$1)</f>
        <v>0</v>
      </c>
      <c r="R150" s="183">
        <f>SUMIFS('май 2025'!$G$5:$G$2466,'май 2025'!$D$5:$D$2466,$B150,'май 2025'!$J$5:$J$2466,R$1)</f>
        <v>0</v>
      </c>
      <c r="S150" s="183">
        <f>SUMIFS('май 2025'!$G$5:$G$2466,'май 2025'!$D$5:$D$2466,$B150,'май 2025'!$J$5:$J$2466,S$1)</f>
        <v>0</v>
      </c>
      <c r="T150" s="183">
        <f>SUMIFS('май 2025'!$G$5:$G$2466,'май 2025'!$D$5:$D$2466,$B150,'май 2025'!$J$5:$J$2466,T$1)</f>
        <v>0</v>
      </c>
      <c r="U150" s="183">
        <f>SUMIFS('май 2025'!$G$5:$G$2466,'май 2025'!$D$5:$D$2466,$B150,'май 2025'!$J$5:$J$2466,U$1)</f>
        <v>0</v>
      </c>
      <c r="V150" s="183">
        <f>SUMIFS('май 2025'!$G$5:$G$2466,'май 2025'!$D$5:$D$2466,$B150,'май 2025'!$J$5:$J$2466,V$1)</f>
        <v>0</v>
      </c>
      <c r="W150" s="183">
        <f>SUMIFS('май 2025'!$G$5:$G$2466,'май 2025'!$D$5:$D$2466,$B150,'май 2025'!$J$5:$J$2466,W$1)</f>
        <v>0</v>
      </c>
      <c r="X150" s="183">
        <f>SUMIFS('май 2025'!$G$5:$G$2466,'май 2025'!$D$5:$D$2466,$B150,'май 2025'!$J$5:$J$2466,X$1)</f>
        <v>0</v>
      </c>
      <c r="Y150" s="183">
        <f>SUMIFS('май 2025'!$G$5:$G$2466,'май 2025'!$D$5:$D$2466,$B150,'май 2025'!$J$5:$J$2466,Y$1)</f>
        <v>0</v>
      </c>
      <c r="Z150" s="183">
        <f>SUMIFS('май 2025'!$G$5:$G$2466,'май 2025'!$D$5:$D$2466,$B150,'май 2025'!$J$5:$J$2466,Z$1)</f>
        <v>0</v>
      </c>
      <c r="AA150" s="183">
        <f>SUMIFS('май 2025'!$G$5:$G$2466,'май 2025'!$D$5:$D$2466,$B150,'май 2025'!$J$5:$J$2466,AA$1)</f>
        <v>0</v>
      </c>
      <c r="AB150" s="183">
        <f>SUMIFS('май 2025'!$G$5:$G$2466,'май 2025'!$D$5:$D$2466,$B150,'май 2025'!$J$5:$J$2466,AB$1)</f>
        <v>0</v>
      </c>
      <c r="AC150" s="183">
        <f>SUMIFS('май 2025'!$G$5:$G$2466,'май 2025'!$D$5:$D$2466,$B150,'май 2025'!$J$5:$J$2466,AC$1)</f>
        <v>0</v>
      </c>
      <c r="AD150" s="183">
        <f>SUMIFS('май 2025'!$G$5:$G$2466,'май 2025'!$D$5:$D$2466,$B150,'май 2025'!$J$5:$J$2466,AD$1)</f>
        <v>0</v>
      </c>
      <c r="AE150" s="183">
        <f>SUMIFS('май 2025'!$G$5:$G$2466,'май 2025'!$D$5:$D$2466,$B150,'май 2025'!$J$5:$J$2466,AE$1)</f>
        <v>0</v>
      </c>
      <c r="AF150" s="183">
        <f>SUMIFS('май 2025'!$G$5:$G$2466,'май 2025'!$D$5:$D$2466,$B150,'май 2025'!$J$5:$J$2466,AF$1)</f>
        <v>0</v>
      </c>
      <c r="AG150" s="183">
        <f>SUMIFS('май 2025'!$G$5:$G$2466,'май 2025'!$D$5:$D$2466,$B150,'май 2025'!$J$5:$J$2466,AG$1)</f>
        <v>0</v>
      </c>
      <c r="AH150" s="183">
        <f>SUMIFS('май 2025'!$G$5:$G$2466,'май 2025'!$D$5:$D$2466,$B150,'май 2025'!$J$5:$J$2466,AH$1)</f>
        <v>0</v>
      </c>
      <c r="AI150" s="20">
        <f t="shared" si="1"/>
        <v>0</v>
      </c>
    </row>
    <row r="151" spans="2:35" ht="15" customHeight="1" x14ac:dyDescent="0.25">
      <c r="B151" s="84" t="s">
        <v>274</v>
      </c>
      <c r="C151" s="83">
        <v>200</v>
      </c>
      <c r="D151" s="183">
        <f>SUMIFS('май 2025'!$G$5:$G$2466,'май 2025'!$D$5:$D$2466,$B151,'май 2025'!$J$5:$J$2466,D$1)</f>
        <v>0</v>
      </c>
      <c r="E151" s="183">
        <f>SUMIFS('май 2025'!$G$5:$G$2466,'май 2025'!$D$5:$D$2466,$B151,'май 2025'!$J$5:$J$2466,E$1)</f>
        <v>0</v>
      </c>
      <c r="F151" s="183">
        <f>SUMIFS('май 2025'!$G$5:$G$2466,'май 2025'!$D$5:$D$2466,$B151,'май 2025'!$J$5:$J$2466,F$1)</f>
        <v>0</v>
      </c>
      <c r="G151" s="183">
        <f>SUMIFS('май 2025'!$G$5:$G$2466,'май 2025'!$D$5:$D$2466,$B151,'май 2025'!$J$5:$J$2466,G$1)</f>
        <v>0</v>
      </c>
      <c r="H151" s="183">
        <f>SUMIFS('май 2025'!$G$5:$G$2466,'май 2025'!$D$5:$D$2466,$B151,'май 2025'!$J$5:$J$2466,H$1)</f>
        <v>0</v>
      </c>
      <c r="I151" s="183">
        <f>SUMIFS('май 2025'!$G$5:$G$2466,'май 2025'!$D$5:$D$2466,$B151,'май 2025'!$J$5:$J$2466,I$1)</f>
        <v>0</v>
      </c>
      <c r="J151" s="183">
        <f>SUMIFS('май 2025'!$G$5:$G$2466,'май 2025'!$D$5:$D$2466,$B151,'май 2025'!$J$5:$J$2466,J$1)</f>
        <v>0</v>
      </c>
      <c r="K151" s="183">
        <f>SUMIFS('май 2025'!$G$5:$G$2466,'май 2025'!$D$5:$D$2466,$B151,'май 2025'!$J$5:$J$2466,K$1)</f>
        <v>0</v>
      </c>
      <c r="L151" s="183">
        <f>SUMIFS('май 2025'!$G$5:$G$2466,'май 2025'!$D$5:$D$2466,$B151,'май 2025'!$J$5:$J$2466,L$1)</f>
        <v>0</v>
      </c>
      <c r="M151" s="183">
        <f>SUMIFS('май 2025'!$G$5:$G$2466,'май 2025'!$D$5:$D$2466,$B151,'май 2025'!$J$5:$J$2466,M$1)</f>
        <v>0</v>
      </c>
      <c r="N151" s="183">
        <f>SUMIFS('май 2025'!$G$5:$G$2466,'май 2025'!$D$5:$D$2466,$B151,'май 2025'!$J$5:$J$2466,N$1)</f>
        <v>0</v>
      </c>
      <c r="O151" s="183">
        <f>SUMIFS('май 2025'!$G$5:$G$2466,'май 2025'!$D$5:$D$2466,$B151,'май 2025'!$J$5:$J$2466,O$1)</f>
        <v>0</v>
      </c>
      <c r="P151" s="183">
        <f>SUMIFS('май 2025'!$G$5:$G$2466,'май 2025'!$D$5:$D$2466,$B151,'май 2025'!$J$5:$J$2466,P$1)</f>
        <v>0</v>
      </c>
      <c r="Q151" s="183">
        <f>SUMIFS('май 2025'!$G$5:$G$2466,'май 2025'!$D$5:$D$2466,$B151,'май 2025'!$J$5:$J$2466,Q$1)</f>
        <v>0</v>
      </c>
      <c r="R151" s="183">
        <f>SUMIFS('май 2025'!$G$5:$G$2466,'май 2025'!$D$5:$D$2466,$B151,'май 2025'!$J$5:$J$2466,R$1)</f>
        <v>0</v>
      </c>
      <c r="S151" s="183">
        <f>SUMIFS('май 2025'!$G$5:$G$2466,'май 2025'!$D$5:$D$2466,$B151,'май 2025'!$J$5:$J$2466,S$1)</f>
        <v>0</v>
      </c>
      <c r="T151" s="183">
        <f>SUMIFS('май 2025'!$G$5:$G$2466,'май 2025'!$D$5:$D$2466,$B151,'май 2025'!$J$5:$J$2466,T$1)</f>
        <v>0</v>
      </c>
      <c r="U151" s="183">
        <f>SUMIFS('май 2025'!$G$5:$G$2466,'май 2025'!$D$5:$D$2466,$B151,'май 2025'!$J$5:$J$2466,U$1)</f>
        <v>0</v>
      </c>
      <c r="V151" s="183">
        <f>SUMIFS('май 2025'!$G$5:$G$2466,'май 2025'!$D$5:$D$2466,$B151,'май 2025'!$J$5:$J$2466,V$1)</f>
        <v>0</v>
      </c>
      <c r="W151" s="183">
        <f>SUMIFS('май 2025'!$G$5:$G$2466,'май 2025'!$D$5:$D$2466,$B151,'май 2025'!$J$5:$J$2466,W$1)</f>
        <v>0</v>
      </c>
      <c r="X151" s="183">
        <f>SUMIFS('май 2025'!$G$5:$G$2466,'май 2025'!$D$5:$D$2466,$B151,'май 2025'!$J$5:$J$2466,X$1)</f>
        <v>0</v>
      </c>
      <c r="Y151" s="183">
        <f>SUMIFS('май 2025'!$G$5:$G$2466,'май 2025'!$D$5:$D$2466,$B151,'май 2025'!$J$5:$J$2466,Y$1)</f>
        <v>0</v>
      </c>
      <c r="Z151" s="183">
        <f>SUMIFS('май 2025'!$G$5:$G$2466,'май 2025'!$D$5:$D$2466,$B151,'май 2025'!$J$5:$J$2466,Z$1)</f>
        <v>0</v>
      </c>
      <c r="AA151" s="183">
        <f>SUMIFS('май 2025'!$G$5:$G$2466,'май 2025'!$D$5:$D$2466,$B151,'май 2025'!$J$5:$J$2466,AA$1)</f>
        <v>0</v>
      </c>
      <c r="AB151" s="183">
        <f>SUMIFS('май 2025'!$G$5:$G$2466,'май 2025'!$D$5:$D$2466,$B151,'май 2025'!$J$5:$J$2466,AB$1)</f>
        <v>0</v>
      </c>
      <c r="AC151" s="183">
        <f>SUMIFS('май 2025'!$G$5:$G$2466,'май 2025'!$D$5:$D$2466,$B151,'май 2025'!$J$5:$J$2466,AC$1)</f>
        <v>0</v>
      </c>
      <c r="AD151" s="183">
        <f>SUMIFS('май 2025'!$G$5:$G$2466,'май 2025'!$D$5:$D$2466,$B151,'май 2025'!$J$5:$J$2466,AD$1)</f>
        <v>0</v>
      </c>
      <c r="AE151" s="183">
        <f>SUMIFS('май 2025'!$G$5:$G$2466,'май 2025'!$D$5:$D$2466,$B151,'май 2025'!$J$5:$J$2466,AE$1)</f>
        <v>0</v>
      </c>
      <c r="AF151" s="183">
        <f>SUMIFS('май 2025'!$G$5:$G$2466,'май 2025'!$D$5:$D$2466,$B151,'май 2025'!$J$5:$J$2466,AF$1)</f>
        <v>0</v>
      </c>
      <c r="AG151" s="183">
        <f>SUMIFS('май 2025'!$G$5:$G$2466,'май 2025'!$D$5:$D$2466,$B151,'май 2025'!$J$5:$J$2466,AG$1)</f>
        <v>0</v>
      </c>
      <c r="AH151" s="183">
        <f>SUMIFS('май 2025'!$G$5:$G$2466,'май 2025'!$D$5:$D$2466,$B151,'май 2025'!$J$5:$J$2466,AH$1)</f>
        <v>0</v>
      </c>
      <c r="AI151" s="20">
        <f t="shared" si="1"/>
        <v>0</v>
      </c>
    </row>
    <row r="152" spans="2:35" ht="15" customHeight="1" x14ac:dyDescent="0.25">
      <c r="B152" s="84" t="s">
        <v>313</v>
      </c>
      <c r="C152" s="83">
        <v>1000</v>
      </c>
      <c r="D152" s="183">
        <f>SUMIFS('май 2025'!$G$5:$G$2466,'май 2025'!$D$5:$D$2466,$B152,'май 2025'!$J$5:$J$2466,D$1)</f>
        <v>0</v>
      </c>
      <c r="E152" s="183">
        <f>SUMIFS('май 2025'!$G$5:$G$2466,'май 2025'!$D$5:$D$2466,$B152,'май 2025'!$J$5:$J$2466,E$1)</f>
        <v>0</v>
      </c>
      <c r="F152" s="183">
        <f>SUMIFS('май 2025'!$G$5:$G$2466,'май 2025'!$D$5:$D$2466,$B152,'май 2025'!$J$5:$J$2466,F$1)</f>
        <v>0</v>
      </c>
      <c r="G152" s="183">
        <f>SUMIFS('май 2025'!$G$5:$G$2466,'май 2025'!$D$5:$D$2466,$B152,'май 2025'!$J$5:$J$2466,G$1)</f>
        <v>0</v>
      </c>
      <c r="H152" s="183">
        <f>SUMIFS('май 2025'!$G$5:$G$2466,'май 2025'!$D$5:$D$2466,$B152,'май 2025'!$J$5:$J$2466,H$1)</f>
        <v>0</v>
      </c>
      <c r="I152" s="183">
        <f>SUMIFS('май 2025'!$G$5:$G$2466,'май 2025'!$D$5:$D$2466,$B152,'май 2025'!$J$5:$J$2466,I$1)</f>
        <v>0</v>
      </c>
      <c r="J152" s="183">
        <f>SUMIFS('май 2025'!$G$5:$G$2466,'май 2025'!$D$5:$D$2466,$B152,'май 2025'!$J$5:$J$2466,J$1)</f>
        <v>0</v>
      </c>
      <c r="K152" s="183">
        <f>SUMIFS('май 2025'!$G$5:$G$2466,'май 2025'!$D$5:$D$2466,$B152,'май 2025'!$J$5:$J$2466,K$1)</f>
        <v>0</v>
      </c>
      <c r="L152" s="183">
        <f>SUMIFS('май 2025'!$G$5:$G$2466,'май 2025'!$D$5:$D$2466,$B152,'май 2025'!$J$5:$J$2466,L$1)</f>
        <v>0</v>
      </c>
      <c r="M152" s="183">
        <f>SUMIFS('май 2025'!$G$5:$G$2466,'май 2025'!$D$5:$D$2466,$B152,'май 2025'!$J$5:$J$2466,M$1)</f>
        <v>0</v>
      </c>
      <c r="N152" s="183">
        <f>SUMIFS('май 2025'!$G$5:$G$2466,'май 2025'!$D$5:$D$2466,$B152,'май 2025'!$J$5:$J$2466,N$1)</f>
        <v>0</v>
      </c>
      <c r="O152" s="183">
        <f>SUMIFS('май 2025'!$G$5:$G$2466,'май 2025'!$D$5:$D$2466,$B152,'май 2025'!$J$5:$J$2466,O$1)</f>
        <v>0</v>
      </c>
      <c r="P152" s="183">
        <f>SUMIFS('май 2025'!$G$5:$G$2466,'май 2025'!$D$5:$D$2466,$B152,'май 2025'!$J$5:$J$2466,P$1)</f>
        <v>0</v>
      </c>
      <c r="Q152" s="183">
        <f>SUMIFS('май 2025'!$G$5:$G$2466,'май 2025'!$D$5:$D$2466,$B152,'май 2025'!$J$5:$J$2466,Q$1)</f>
        <v>0</v>
      </c>
      <c r="R152" s="183">
        <f>SUMIFS('май 2025'!$G$5:$G$2466,'май 2025'!$D$5:$D$2466,$B152,'май 2025'!$J$5:$J$2466,R$1)</f>
        <v>0</v>
      </c>
      <c r="S152" s="183">
        <f>SUMIFS('май 2025'!$G$5:$G$2466,'май 2025'!$D$5:$D$2466,$B152,'май 2025'!$J$5:$J$2466,S$1)</f>
        <v>0</v>
      </c>
      <c r="T152" s="183">
        <f>SUMIFS('май 2025'!$G$5:$G$2466,'май 2025'!$D$5:$D$2466,$B152,'май 2025'!$J$5:$J$2466,T$1)</f>
        <v>0</v>
      </c>
      <c r="U152" s="183">
        <f>SUMIFS('май 2025'!$G$5:$G$2466,'май 2025'!$D$5:$D$2466,$B152,'май 2025'!$J$5:$J$2466,U$1)</f>
        <v>0</v>
      </c>
      <c r="V152" s="183">
        <f>SUMIFS('май 2025'!$G$5:$G$2466,'май 2025'!$D$5:$D$2466,$B152,'май 2025'!$J$5:$J$2466,V$1)</f>
        <v>0</v>
      </c>
      <c r="W152" s="183">
        <f>SUMIFS('май 2025'!$G$5:$G$2466,'май 2025'!$D$5:$D$2466,$B152,'май 2025'!$J$5:$J$2466,W$1)</f>
        <v>0</v>
      </c>
      <c r="X152" s="183">
        <f>SUMIFS('май 2025'!$G$5:$G$2466,'май 2025'!$D$5:$D$2466,$B152,'май 2025'!$J$5:$J$2466,X$1)</f>
        <v>0</v>
      </c>
      <c r="Y152" s="183">
        <f>SUMIFS('май 2025'!$G$5:$G$2466,'май 2025'!$D$5:$D$2466,$B152,'май 2025'!$J$5:$J$2466,Y$1)</f>
        <v>0</v>
      </c>
      <c r="Z152" s="183">
        <f>SUMIFS('май 2025'!$G$5:$G$2466,'май 2025'!$D$5:$D$2466,$B152,'май 2025'!$J$5:$J$2466,Z$1)</f>
        <v>0</v>
      </c>
      <c r="AA152" s="183">
        <f>SUMIFS('май 2025'!$G$5:$G$2466,'май 2025'!$D$5:$D$2466,$B152,'май 2025'!$J$5:$J$2466,AA$1)</f>
        <v>0</v>
      </c>
      <c r="AB152" s="183">
        <f>SUMIFS('май 2025'!$G$5:$G$2466,'май 2025'!$D$5:$D$2466,$B152,'май 2025'!$J$5:$J$2466,AB$1)</f>
        <v>0</v>
      </c>
      <c r="AC152" s="183">
        <f>SUMIFS('май 2025'!$G$5:$G$2466,'май 2025'!$D$5:$D$2466,$B152,'май 2025'!$J$5:$J$2466,AC$1)</f>
        <v>0</v>
      </c>
      <c r="AD152" s="183">
        <f>SUMIFS('май 2025'!$G$5:$G$2466,'май 2025'!$D$5:$D$2466,$B152,'май 2025'!$J$5:$J$2466,AD$1)</f>
        <v>0</v>
      </c>
      <c r="AE152" s="183">
        <f>SUMIFS('май 2025'!$G$5:$G$2466,'май 2025'!$D$5:$D$2466,$B152,'май 2025'!$J$5:$J$2466,AE$1)</f>
        <v>0</v>
      </c>
      <c r="AF152" s="183">
        <f>SUMIFS('май 2025'!$G$5:$G$2466,'май 2025'!$D$5:$D$2466,$B152,'май 2025'!$J$5:$J$2466,AF$1)</f>
        <v>0</v>
      </c>
      <c r="AG152" s="183">
        <f>SUMIFS('май 2025'!$G$5:$G$2466,'май 2025'!$D$5:$D$2466,$B152,'май 2025'!$J$5:$J$2466,AG$1)</f>
        <v>0</v>
      </c>
      <c r="AH152" s="183">
        <f>SUMIFS('май 2025'!$G$5:$G$2466,'май 2025'!$D$5:$D$2466,$B152,'май 2025'!$J$5:$J$2466,AH$1)</f>
        <v>0</v>
      </c>
      <c r="AI152" s="20">
        <f t="shared" si="1"/>
        <v>0</v>
      </c>
    </row>
    <row r="153" spans="2:35" ht="15" customHeight="1" x14ac:dyDescent="0.25">
      <c r="B153" s="84" t="s">
        <v>200</v>
      </c>
      <c r="C153" s="83">
        <v>200</v>
      </c>
      <c r="D153" s="183">
        <f>SUMIFS('май 2025'!$G$5:$G$2466,'май 2025'!$D$5:$D$2466,$B153,'май 2025'!$J$5:$J$2466,D$1)</f>
        <v>0</v>
      </c>
      <c r="E153" s="183">
        <f>SUMIFS('май 2025'!$G$5:$G$2466,'май 2025'!$D$5:$D$2466,$B153,'май 2025'!$J$5:$J$2466,E$1)</f>
        <v>0</v>
      </c>
      <c r="F153" s="183">
        <f>SUMIFS('май 2025'!$G$5:$G$2466,'май 2025'!$D$5:$D$2466,$B153,'май 2025'!$J$5:$J$2466,F$1)</f>
        <v>0</v>
      </c>
      <c r="G153" s="183">
        <f>SUMIFS('май 2025'!$G$5:$G$2466,'май 2025'!$D$5:$D$2466,$B153,'май 2025'!$J$5:$J$2466,G$1)</f>
        <v>0</v>
      </c>
      <c r="H153" s="183">
        <f>SUMIFS('май 2025'!$G$5:$G$2466,'май 2025'!$D$5:$D$2466,$B153,'май 2025'!$J$5:$J$2466,H$1)</f>
        <v>0</v>
      </c>
      <c r="I153" s="183">
        <f>SUMIFS('май 2025'!$G$5:$G$2466,'май 2025'!$D$5:$D$2466,$B153,'май 2025'!$J$5:$J$2466,I$1)</f>
        <v>0</v>
      </c>
      <c r="J153" s="183">
        <f>SUMIFS('май 2025'!$G$5:$G$2466,'май 2025'!$D$5:$D$2466,$B153,'май 2025'!$J$5:$J$2466,J$1)</f>
        <v>0</v>
      </c>
      <c r="K153" s="183">
        <f>SUMIFS('май 2025'!$G$5:$G$2466,'май 2025'!$D$5:$D$2466,$B153,'май 2025'!$J$5:$J$2466,K$1)</f>
        <v>0</v>
      </c>
      <c r="L153" s="183">
        <f>SUMIFS('май 2025'!$G$5:$G$2466,'май 2025'!$D$5:$D$2466,$B153,'май 2025'!$J$5:$J$2466,L$1)</f>
        <v>0</v>
      </c>
      <c r="M153" s="183">
        <f>SUMIFS('май 2025'!$G$5:$G$2466,'май 2025'!$D$5:$D$2466,$B153,'май 2025'!$J$5:$J$2466,M$1)</f>
        <v>0</v>
      </c>
      <c r="N153" s="183">
        <f>SUMIFS('май 2025'!$G$5:$G$2466,'май 2025'!$D$5:$D$2466,$B153,'май 2025'!$J$5:$J$2466,N$1)</f>
        <v>0</v>
      </c>
      <c r="O153" s="183">
        <f>SUMIFS('май 2025'!$G$5:$G$2466,'май 2025'!$D$5:$D$2466,$B153,'май 2025'!$J$5:$J$2466,O$1)</f>
        <v>0</v>
      </c>
      <c r="P153" s="183">
        <f>SUMIFS('май 2025'!$G$5:$G$2466,'май 2025'!$D$5:$D$2466,$B153,'май 2025'!$J$5:$J$2466,P$1)</f>
        <v>0</v>
      </c>
      <c r="Q153" s="183">
        <f>SUMIFS('май 2025'!$G$5:$G$2466,'май 2025'!$D$5:$D$2466,$B153,'май 2025'!$J$5:$J$2466,Q$1)</f>
        <v>0</v>
      </c>
      <c r="R153" s="183">
        <f>SUMIFS('май 2025'!$G$5:$G$2466,'май 2025'!$D$5:$D$2466,$B153,'май 2025'!$J$5:$J$2466,R$1)</f>
        <v>0</v>
      </c>
      <c r="S153" s="183">
        <f>SUMIFS('май 2025'!$G$5:$G$2466,'май 2025'!$D$5:$D$2466,$B153,'май 2025'!$J$5:$J$2466,S$1)</f>
        <v>0</v>
      </c>
      <c r="T153" s="183">
        <f>SUMIFS('май 2025'!$G$5:$G$2466,'май 2025'!$D$5:$D$2466,$B153,'май 2025'!$J$5:$J$2466,T$1)</f>
        <v>0</v>
      </c>
      <c r="U153" s="183">
        <f>SUMIFS('май 2025'!$G$5:$G$2466,'май 2025'!$D$5:$D$2466,$B153,'май 2025'!$J$5:$J$2466,U$1)</f>
        <v>0</v>
      </c>
      <c r="V153" s="183">
        <f>SUMIFS('май 2025'!$G$5:$G$2466,'май 2025'!$D$5:$D$2466,$B153,'май 2025'!$J$5:$J$2466,V$1)</f>
        <v>0</v>
      </c>
      <c r="W153" s="183">
        <f>SUMIFS('май 2025'!$G$5:$G$2466,'май 2025'!$D$5:$D$2466,$B153,'май 2025'!$J$5:$J$2466,W$1)</f>
        <v>0</v>
      </c>
      <c r="X153" s="183">
        <f>SUMIFS('май 2025'!$G$5:$G$2466,'май 2025'!$D$5:$D$2466,$B153,'май 2025'!$J$5:$J$2466,X$1)</f>
        <v>0</v>
      </c>
      <c r="Y153" s="183">
        <f>SUMIFS('май 2025'!$G$5:$G$2466,'май 2025'!$D$5:$D$2466,$B153,'май 2025'!$J$5:$J$2466,Y$1)</f>
        <v>0</v>
      </c>
      <c r="Z153" s="183">
        <f>SUMIFS('май 2025'!$G$5:$G$2466,'май 2025'!$D$5:$D$2466,$B153,'май 2025'!$J$5:$J$2466,Z$1)</f>
        <v>0</v>
      </c>
      <c r="AA153" s="183">
        <f>SUMIFS('май 2025'!$G$5:$G$2466,'май 2025'!$D$5:$D$2466,$B153,'май 2025'!$J$5:$J$2466,AA$1)</f>
        <v>0</v>
      </c>
      <c r="AB153" s="183">
        <f>SUMIFS('май 2025'!$G$5:$G$2466,'май 2025'!$D$5:$D$2466,$B153,'май 2025'!$J$5:$J$2466,AB$1)</f>
        <v>0</v>
      </c>
      <c r="AC153" s="183">
        <f>SUMIFS('май 2025'!$G$5:$G$2466,'май 2025'!$D$5:$D$2466,$B153,'май 2025'!$J$5:$J$2466,AC$1)</f>
        <v>0</v>
      </c>
      <c r="AD153" s="183">
        <f>SUMIFS('май 2025'!$G$5:$G$2466,'май 2025'!$D$5:$D$2466,$B153,'май 2025'!$J$5:$J$2466,AD$1)</f>
        <v>0</v>
      </c>
      <c r="AE153" s="183">
        <f>SUMIFS('май 2025'!$G$5:$G$2466,'май 2025'!$D$5:$D$2466,$B153,'май 2025'!$J$5:$J$2466,AE$1)</f>
        <v>0</v>
      </c>
      <c r="AF153" s="183">
        <f>SUMIFS('май 2025'!$G$5:$G$2466,'май 2025'!$D$5:$D$2466,$B153,'май 2025'!$J$5:$J$2466,AF$1)</f>
        <v>0</v>
      </c>
      <c r="AG153" s="183">
        <f>SUMIFS('май 2025'!$G$5:$G$2466,'май 2025'!$D$5:$D$2466,$B153,'май 2025'!$J$5:$J$2466,AG$1)</f>
        <v>0</v>
      </c>
      <c r="AH153" s="183">
        <f>SUMIFS('май 2025'!$G$5:$G$2466,'май 2025'!$D$5:$D$2466,$B153,'май 2025'!$J$5:$J$2466,AH$1)</f>
        <v>0</v>
      </c>
      <c r="AI153" s="20">
        <f t="shared" si="1"/>
        <v>0</v>
      </c>
    </row>
    <row r="154" spans="2:35" ht="15" customHeight="1" x14ac:dyDescent="0.25">
      <c r="B154" s="84" t="s">
        <v>275</v>
      </c>
      <c r="C154" s="83">
        <v>200</v>
      </c>
      <c r="D154" s="183">
        <f>SUMIFS('май 2025'!$G$5:$G$2466,'май 2025'!$D$5:$D$2466,$B154,'май 2025'!$J$5:$J$2466,D$1)</f>
        <v>0</v>
      </c>
      <c r="E154" s="183">
        <f>SUMIFS('май 2025'!$G$5:$G$2466,'май 2025'!$D$5:$D$2466,$B154,'май 2025'!$J$5:$J$2466,E$1)</f>
        <v>0</v>
      </c>
      <c r="F154" s="183">
        <f>SUMIFS('май 2025'!$G$5:$G$2466,'май 2025'!$D$5:$D$2466,$B154,'май 2025'!$J$5:$J$2466,F$1)</f>
        <v>0</v>
      </c>
      <c r="G154" s="183">
        <f>SUMIFS('май 2025'!$G$5:$G$2466,'май 2025'!$D$5:$D$2466,$B154,'май 2025'!$J$5:$J$2466,G$1)</f>
        <v>0</v>
      </c>
      <c r="H154" s="183">
        <f>SUMIFS('май 2025'!$G$5:$G$2466,'май 2025'!$D$5:$D$2466,$B154,'май 2025'!$J$5:$J$2466,H$1)</f>
        <v>0</v>
      </c>
      <c r="I154" s="183">
        <f>SUMIFS('май 2025'!$G$5:$G$2466,'май 2025'!$D$5:$D$2466,$B154,'май 2025'!$J$5:$J$2466,I$1)</f>
        <v>0</v>
      </c>
      <c r="J154" s="183">
        <f>SUMIFS('май 2025'!$G$5:$G$2466,'май 2025'!$D$5:$D$2466,$B154,'май 2025'!$J$5:$J$2466,J$1)</f>
        <v>0</v>
      </c>
      <c r="K154" s="183">
        <f>SUMIFS('май 2025'!$G$5:$G$2466,'май 2025'!$D$5:$D$2466,$B154,'май 2025'!$J$5:$J$2466,K$1)</f>
        <v>0</v>
      </c>
      <c r="L154" s="183">
        <f>SUMIFS('май 2025'!$G$5:$G$2466,'май 2025'!$D$5:$D$2466,$B154,'май 2025'!$J$5:$J$2466,L$1)</f>
        <v>0</v>
      </c>
      <c r="M154" s="183">
        <f>SUMIFS('май 2025'!$G$5:$G$2466,'май 2025'!$D$5:$D$2466,$B154,'май 2025'!$J$5:$J$2466,M$1)</f>
        <v>0</v>
      </c>
      <c r="N154" s="183">
        <f>SUMIFS('май 2025'!$G$5:$G$2466,'май 2025'!$D$5:$D$2466,$B154,'май 2025'!$J$5:$J$2466,N$1)</f>
        <v>0</v>
      </c>
      <c r="O154" s="183">
        <f>SUMIFS('май 2025'!$G$5:$G$2466,'май 2025'!$D$5:$D$2466,$B154,'май 2025'!$J$5:$J$2466,O$1)</f>
        <v>0</v>
      </c>
      <c r="P154" s="183">
        <f>SUMIFS('май 2025'!$G$5:$G$2466,'май 2025'!$D$5:$D$2466,$B154,'май 2025'!$J$5:$J$2466,P$1)</f>
        <v>0</v>
      </c>
      <c r="Q154" s="183">
        <f>SUMIFS('май 2025'!$G$5:$G$2466,'май 2025'!$D$5:$D$2466,$B154,'май 2025'!$J$5:$J$2466,Q$1)</f>
        <v>0</v>
      </c>
      <c r="R154" s="183">
        <f>SUMIFS('май 2025'!$G$5:$G$2466,'май 2025'!$D$5:$D$2466,$B154,'май 2025'!$J$5:$J$2466,R$1)</f>
        <v>0</v>
      </c>
      <c r="S154" s="183">
        <f>SUMIFS('май 2025'!$G$5:$G$2466,'май 2025'!$D$5:$D$2466,$B154,'май 2025'!$J$5:$J$2466,S$1)</f>
        <v>0</v>
      </c>
      <c r="T154" s="183">
        <f>SUMIFS('май 2025'!$G$5:$G$2466,'май 2025'!$D$5:$D$2466,$B154,'май 2025'!$J$5:$J$2466,T$1)</f>
        <v>0</v>
      </c>
      <c r="U154" s="183">
        <f>SUMIFS('май 2025'!$G$5:$G$2466,'май 2025'!$D$5:$D$2466,$B154,'май 2025'!$J$5:$J$2466,U$1)</f>
        <v>0</v>
      </c>
      <c r="V154" s="183">
        <f>SUMIFS('май 2025'!$G$5:$G$2466,'май 2025'!$D$5:$D$2466,$B154,'май 2025'!$J$5:$J$2466,V$1)</f>
        <v>0</v>
      </c>
      <c r="W154" s="183">
        <f>SUMIFS('май 2025'!$G$5:$G$2466,'май 2025'!$D$5:$D$2466,$B154,'май 2025'!$J$5:$J$2466,W$1)</f>
        <v>0</v>
      </c>
      <c r="X154" s="183">
        <f>SUMIFS('май 2025'!$G$5:$G$2466,'май 2025'!$D$5:$D$2466,$B154,'май 2025'!$J$5:$J$2466,X$1)</f>
        <v>0</v>
      </c>
      <c r="Y154" s="183">
        <f>SUMIFS('май 2025'!$G$5:$G$2466,'май 2025'!$D$5:$D$2466,$B154,'май 2025'!$J$5:$J$2466,Y$1)</f>
        <v>0</v>
      </c>
      <c r="Z154" s="183">
        <f>SUMIFS('май 2025'!$G$5:$G$2466,'май 2025'!$D$5:$D$2466,$B154,'май 2025'!$J$5:$J$2466,Z$1)</f>
        <v>0</v>
      </c>
      <c r="AA154" s="183">
        <f>SUMIFS('май 2025'!$G$5:$G$2466,'май 2025'!$D$5:$D$2466,$B154,'май 2025'!$J$5:$J$2466,AA$1)</f>
        <v>0</v>
      </c>
      <c r="AB154" s="183">
        <f>SUMIFS('май 2025'!$G$5:$G$2466,'май 2025'!$D$5:$D$2466,$B154,'май 2025'!$J$5:$J$2466,AB$1)</f>
        <v>0</v>
      </c>
      <c r="AC154" s="183">
        <f>SUMIFS('май 2025'!$G$5:$G$2466,'май 2025'!$D$5:$D$2466,$B154,'май 2025'!$J$5:$J$2466,AC$1)</f>
        <v>0</v>
      </c>
      <c r="AD154" s="183">
        <f>SUMIFS('май 2025'!$G$5:$G$2466,'май 2025'!$D$5:$D$2466,$B154,'май 2025'!$J$5:$J$2466,AD$1)</f>
        <v>0</v>
      </c>
      <c r="AE154" s="183">
        <f>SUMIFS('май 2025'!$G$5:$G$2466,'май 2025'!$D$5:$D$2466,$B154,'май 2025'!$J$5:$J$2466,AE$1)</f>
        <v>0</v>
      </c>
      <c r="AF154" s="183">
        <f>SUMIFS('май 2025'!$G$5:$G$2466,'май 2025'!$D$5:$D$2466,$B154,'май 2025'!$J$5:$J$2466,AF$1)</f>
        <v>0</v>
      </c>
      <c r="AG154" s="183">
        <f>SUMIFS('май 2025'!$G$5:$G$2466,'май 2025'!$D$5:$D$2466,$B154,'май 2025'!$J$5:$J$2466,AG$1)</f>
        <v>0</v>
      </c>
      <c r="AH154" s="183">
        <f>SUMIFS('май 2025'!$G$5:$G$2466,'май 2025'!$D$5:$D$2466,$B154,'май 2025'!$J$5:$J$2466,AH$1)</f>
        <v>0</v>
      </c>
      <c r="AI154" s="20">
        <f t="shared" si="1"/>
        <v>0</v>
      </c>
    </row>
    <row r="155" spans="2:35" ht="15" customHeight="1" x14ac:dyDescent="0.25">
      <c r="B155" s="84" t="s">
        <v>204</v>
      </c>
      <c r="C155" s="86">
        <v>200</v>
      </c>
      <c r="D155" s="183">
        <f>SUMIFS('май 2025'!$G$5:$G$2466,'май 2025'!$D$5:$D$2466,$B155,'май 2025'!$J$5:$J$2466,D$1)</f>
        <v>0</v>
      </c>
      <c r="E155" s="183">
        <f>SUMIFS('май 2025'!$G$5:$G$2466,'май 2025'!$D$5:$D$2466,$B155,'май 2025'!$J$5:$J$2466,E$1)</f>
        <v>0</v>
      </c>
      <c r="F155" s="183">
        <f>SUMIFS('май 2025'!$G$5:$G$2466,'май 2025'!$D$5:$D$2466,$B155,'май 2025'!$J$5:$J$2466,F$1)</f>
        <v>0</v>
      </c>
      <c r="G155" s="183">
        <f>SUMIFS('май 2025'!$G$5:$G$2466,'май 2025'!$D$5:$D$2466,$B155,'май 2025'!$J$5:$J$2466,G$1)</f>
        <v>0</v>
      </c>
      <c r="H155" s="183">
        <f>SUMIFS('май 2025'!$G$5:$G$2466,'май 2025'!$D$5:$D$2466,$B155,'май 2025'!$J$5:$J$2466,H$1)</f>
        <v>0</v>
      </c>
      <c r="I155" s="183">
        <f>SUMIFS('май 2025'!$G$5:$G$2466,'май 2025'!$D$5:$D$2466,$B155,'май 2025'!$J$5:$J$2466,I$1)</f>
        <v>0</v>
      </c>
      <c r="J155" s="183">
        <f>SUMIFS('май 2025'!$G$5:$G$2466,'май 2025'!$D$5:$D$2466,$B155,'май 2025'!$J$5:$J$2466,J$1)</f>
        <v>0</v>
      </c>
      <c r="K155" s="183">
        <f>SUMIFS('май 2025'!$G$5:$G$2466,'май 2025'!$D$5:$D$2466,$B155,'май 2025'!$J$5:$J$2466,K$1)</f>
        <v>0</v>
      </c>
      <c r="L155" s="183">
        <f>SUMIFS('май 2025'!$G$5:$G$2466,'май 2025'!$D$5:$D$2466,$B155,'май 2025'!$J$5:$J$2466,L$1)</f>
        <v>0</v>
      </c>
      <c r="M155" s="183">
        <f>SUMIFS('май 2025'!$G$5:$G$2466,'май 2025'!$D$5:$D$2466,$B155,'май 2025'!$J$5:$J$2466,M$1)</f>
        <v>0</v>
      </c>
      <c r="N155" s="183">
        <f>SUMIFS('май 2025'!$G$5:$G$2466,'май 2025'!$D$5:$D$2466,$B155,'май 2025'!$J$5:$J$2466,N$1)</f>
        <v>0</v>
      </c>
      <c r="O155" s="183">
        <f>SUMIFS('май 2025'!$G$5:$G$2466,'май 2025'!$D$5:$D$2466,$B155,'май 2025'!$J$5:$J$2466,O$1)</f>
        <v>0</v>
      </c>
      <c r="P155" s="183">
        <f>SUMIFS('май 2025'!$G$5:$G$2466,'май 2025'!$D$5:$D$2466,$B155,'май 2025'!$J$5:$J$2466,P$1)</f>
        <v>0</v>
      </c>
      <c r="Q155" s="183">
        <f>SUMIFS('май 2025'!$G$5:$G$2466,'май 2025'!$D$5:$D$2466,$B155,'май 2025'!$J$5:$J$2466,Q$1)</f>
        <v>0</v>
      </c>
      <c r="R155" s="183">
        <f>SUMIFS('май 2025'!$G$5:$G$2466,'май 2025'!$D$5:$D$2466,$B155,'май 2025'!$J$5:$J$2466,R$1)</f>
        <v>0</v>
      </c>
      <c r="S155" s="183">
        <f>SUMIFS('май 2025'!$G$5:$G$2466,'май 2025'!$D$5:$D$2466,$B155,'май 2025'!$J$5:$J$2466,S$1)</f>
        <v>0</v>
      </c>
      <c r="T155" s="183">
        <f>SUMIFS('май 2025'!$G$5:$G$2466,'май 2025'!$D$5:$D$2466,$B155,'май 2025'!$J$5:$J$2466,T$1)</f>
        <v>0</v>
      </c>
      <c r="U155" s="183">
        <f>SUMIFS('май 2025'!$G$5:$G$2466,'май 2025'!$D$5:$D$2466,$B155,'май 2025'!$J$5:$J$2466,U$1)</f>
        <v>0</v>
      </c>
      <c r="V155" s="183">
        <f>SUMIFS('май 2025'!$G$5:$G$2466,'май 2025'!$D$5:$D$2466,$B155,'май 2025'!$J$5:$J$2466,V$1)</f>
        <v>0</v>
      </c>
      <c r="W155" s="183">
        <f>SUMIFS('май 2025'!$G$5:$G$2466,'май 2025'!$D$5:$D$2466,$B155,'май 2025'!$J$5:$J$2466,W$1)</f>
        <v>0</v>
      </c>
      <c r="X155" s="183">
        <f>SUMIFS('май 2025'!$G$5:$G$2466,'май 2025'!$D$5:$D$2466,$B155,'май 2025'!$J$5:$J$2466,X$1)</f>
        <v>0</v>
      </c>
      <c r="Y155" s="183">
        <f>SUMIFS('май 2025'!$G$5:$G$2466,'май 2025'!$D$5:$D$2466,$B155,'май 2025'!$J$5:$J$2466,Y$1)</f>
        <v>0</v>
      </c>
      <c r="Z155" s="183">
        <f>SUMIFS('май 2025'!$G$5:$G$2466,'май 2025'!$D$5:$D$2466,$B155,'май 2025'!$J$5:$J$2466,Z$1)</f>
        <v>0</v>
      </c>
      <c r="AA155" s="183">
        <f>SUMIFS('май 2025'!$G$5:$G$2466,'май 2025'!$D$5:$D$2466,$B155,'май 2025'!$J$5:$J$2466,AA$1)</f>
        <v>0</v>
      </c>
      <c r="AB155" s="183">
        <f>SUMIFS('май 2025'!$G$5:$G$2466,'май 2025'!$D$5:$D$2466,$B155,'май 2025'!$J$5:$J$2466,AB$1)</f>
        <v>0</v>
      </c>
      <c r="AC155" s="183">
        <f>SUMIFS('май 2025'!$G$5:$G$2466,'май 2025'!$D$5:$D$2466,$B155,'май 2025'!$J$5:$J$2466,AC$1)</f>
        <v>0</v>
      </c>
      <c r="AD155" s="183">
        <f>SUMIFS('май 2025'!$G$5:$G$2466,'май 2025'!$D$5:$D$2466,$B155,'май 2025'!$J$5:$J$2466,AD$1)</f>
        <v>0</v>
      </c>
      <c r="AE155" s="183">
        <f>SUMIFS('май 2025'!$G$5:$G$2466,'май 2025'!$D$5:$D$2466,$B155,'май 2025'!$J$5:$J$2466,AE$1)</f>
        <v>0</v>
      </c>
      <c r="AF155" s="183">
        <f>SUMIFS('май 2025'!$G$5:$G$2466,'май 2025'!$D$5:$D$2466,$B155,'май 2025'!$J$5:$J$2466,AF$1)</f>
        <v>0</v>
      </c>
      <c r="AG155" s="183">
        <f>SUMIFS('май 2025'!$G$5:$G$2466,'май 2025'!$D$5:$D$2466,$B155,'май 2025'!$J$5:$J$2466,AG$1)</f>
        <v>0</v>
      </c>
      <c r="AH155" s="183">
        <f>SUMIFS('май 2025'!$G$5:$G$2466,'май 2025'!$D$5:$D$2466,$B155,'май 2025'!$J$5:$J$2466,AH$1)</f>
        <v>0</v>
      </c>
      <c r="AI155" s="20">
        <f t="shared" si="1"/>
        <v>0</v>
      </c>
    </row>
    <row r="156" spans="2:35" ht="15" customHeight="1" x14ac:dyDescent="0.25">
      <c r="B156" s="84" t="s">
        <v>290</v>
      </c>
      <c r="C156" s="86">
        <v>200</v>
      </c>
      <c r="D156" s="183">
        <f>SUMIFS('май 2025'!$G$5:$G$2466,'май 2025'!$D$5:$D$2466,$B156,'май 2025'!$J$5:$J$2466,D$1)</f>
        <v>0</v>
      </c>
      <c r="E156" s="183">
        <f>SUMIFS('май 2025'!$G$5:$G$2466,'май 2025'!$D$5:$D$2466,$B156,'май 2025'!$J$5:$J$2466,E$1)</f>
        <v>0</v>
      </c>
      <c r="F156" s="183">
        <f>SUMIFS('май 2025'!$G$5:$G$2466,'май 2025'!$D$5:$D$2466,$B156,'май 2025'!$J$5:$J$2466,F$1)</f>
        <v>0</v>
      </c>
      <c r="G156" s="183">
        <f>SUMIFS('май 2025'!$G$5:$G$2466,'май 2025'!$D$5:$D$2466,$B156,'май 2025'!$J$5:$J$2466,G$1)</f>
        <v>0</v>
      </c>
      <c r="H156" s="183">
        <f>SUMIFS('май 2025'!$G$5:$G$2466,'май 2025'!$D$5:$D$2466,$B156,'май 2025'!$J$5:$J$2466,H$1)</f>
        <v>0</v>
      </c>
      <c r="I156" s="183">
        <f>SUMIFS('май 2025'!$G$5:$G$2466,'май 2025'!$D$5:$D$2466,$B156,'май 2025'!$J$5:$J$2466,I$1)</f>
        <v>0</v>
      </c>
      <c r="J156" s="183">
        <f>SUMIFS('май 2025'!$G$5:$G$2466,'май 2025'!$D$5:$D$2466,$B156,'май 2025'!$J$5:$J$2466,J$1)</f>
        <v>0</v>
      </c>
      <c r="K156" s="183">
        <f>SUMIFS('май 2025'!$G$5:$G$2466,'май 2025'!$D$5:$D$2466,$B156,'май 2025'!$J$5:$J$2466,K$1)</f>
        <v>0</v>
      </c>
      <c r="L156" s="183">
        <f>SUMIFS('май 2025'!$G$5:$G$2466,'май 2025'!$D$5:$D$2466,$B156,'май 2025'!$J$5:$J$2466,L$1)</f>
        <v>0</v>
      </c>
      <c r="M156" s="183">
        <f>SUMIFS('май 2025'!$G$5:$G$2466,'май 2025'!$D$5:$D$2466,$B156,'май 2025'!$J$5:$J$2466,M$1)</f>
        <v>0</v>
      </c>
      <c r="N156" s="183">
        <f>SUMIFS('май 2025'!$G$5:$G$2466,'май 2025'!$D$5:$D$2466,$B156,'май 2025'!$J$5:$J$2466,N$1)</f>
        <v>0</v>
      </c>
      <c r="O156" s="183">
        <f>SUMIFS('май 2025'!$G$5:$G$2466,'май 2025'!$D$5:$D$2466,$B156,'май 2025'!$J$5:$J$2466,O$1)</f>
        <v>0</v>
      </c>
      <c r="P156" s="183">
        <f>SUMIFS('май 2025'!$G$5:$G$2466,'май 2025'!$D$5:$D$2466,$B156,'май 2025'!$J$5:$J$2466,P$1)</f>
        <v>0</v>
      </c>
      <c r="Q156" s="183">
        <f>SUMIFS('май 2025'!$G$5:$G$2466,'май 2025'!$D$5:$D$2466,$B156,'май 2025'!$J$5:$J$2466,Q$1)</f>
        <v>0</v>
      </c>
      <c r="R156" s="183">
        <f>SUMIFS('май 2025'!$G$5:$G$2466,'май 2025'!$D$5:$D$2466,$B156,'май 2025'!$J$5:$J$2466,R$1)</f>
        <v>0</v>
      </c>
      <c r="S156" s="183">
        <f>SUMIFS('май 2025'!$G$5:$G$2466,'май 2025'!$D$5:$D$2466,$B156,'май 2025'!$J$5:$J$2466,S$1)</f>
        <v>0</v>
      </c>
      <c r="T156" s="183">
        <f>SUMIFS('май 2025'!$G$5:$G$2466,'май 2025'!$D$5:$D$2466,$B156,'май 2025'!$J$5:$J$2466,T$1)</f>
        <v>0</v>
      </c>
      <c r="U156" s="183">
        <f>SUMIFS('май 2025'!$G$5:$G$2466,'май 2025'!$D$5:$D$2466,$B156,'май 2025'!$J$5:$J$2466,U$1)</f>
        <v>0</v>
      </c>
      <c r="V156" s="183">
        <f>SUMIFS('май 2025'!$G$5:$G$2466,'май 2025'!$D$5:$D$2466,$B156,'май 2025'!$J$5:$J$2466,V$1)</f>
        <v>0</v>
      </c>
      <c r="W156" s="183">
        <f>SUMIFS('май 2025'!$G$5:$G$2466,'май 2025'!$D$5:$D$2466,$B156,'май 2025'!$J$5:$J$2466,W$1)</f>
        <v>0</v>
      </c>
      <c r="X156" s="183">
        <f>SUMIFS('май 2025'!$G$5:$G$2466,'май 2025'!$D$5:$D$2466,$B156,'май 2025'!$J$5:$J$2466,X$1)</f>
        <v>0</v>
      </c>
      <c r="Y156" s="183">
        <f>SUMIFS('май 2025'!$G$5:$G$2466,'май 2025'!$D$5:$D$2466,$B156,'май 2025'!$J$5:$J$2466,Y$1)</f>
        <v>0</v>
      </c>
      <c r="Z156" s="183">
        <f>SUMIFS('май 2025'!$G$5:$G$2466,'май 2025'!$D$5:$D$2466,$B156,'май 2025'!$J$5:$J$2466,Z$1)</f>
        <v>0</v>
      </c>
      <c r="AA156" s="183">
        <f>SUMIFS('май 2025'!$G$5:$G$2466,'май 2025'!$D$5:$D$2466,$B156,'май 2025'!$J$5:$J$2466,AA$1)</f>
        <v>0</v>
      </c>
      <c r="AB156" s="183">
        <f>SUMIFS('май 2025'!$G$5:$G$2466,'май 2025'!$D$5:$D$2466,$B156,'май 2025'!$J$5:$J$2466,AB$1)</f>
        <v>0</v>
      </c>
      <c r="AC156" s="183">
        <f>SUMIFS('май 2025'!$G$5:$G$2466,'май 2025'!$D$5:$D$2466,$B156,'май 2025'!$J$5:$J$2466,AC$1)</f>
        <v>0</v>
      </c>
      <c r="AD156" s="183">
        <f>SUMIFS('май 2025'!$G$5:$G$2466,'май 2025'!$D$5:$D$2466,$B156,'май 2025'!$J$5:$J$2466,AD$1)</f>
        <v>0</v>
      </c>
      <c r="AE156" s="183">
        <f>SUMIFS('май 2025'!$G$5:$G$2466,'май 2025'!$D$5:$D$2466,$B156,'май 2025'!$J$5:$J$2466,AE$1)</f>
        <v>0</v>
      </c>
      <c r="AF156" s="183">
        <f>SUMIFS('май 2025'!$G$5:$G$2466,'май 2025'!$D$5:$D$2466,$B156,'май 2025'!$J$5:$J$2466,AF$1)</f>
        <v>0</v>
      </c>
      <c r="AG156" s="183">
        <f>SUMIFS('май 2025'!$G$5:$G$2466,'май 2025'!$D$5:$D$2466,$B156,'май 2025'!$J$5:$J$2466,AG$1)</f>
        <v>0</v>
      </c>
      <c r="AH156" s="183">
        <f>SUMIFS('май 2025'!$G$5:$G$2466,'май 2025'!$D$5:$D$2466,$B156,'май 2025'!$J$5:$J$2466,AH$1)</f>
        <v>0</v>
      </c>
      <c r="AI156" s="20">
        <f t="shared" si="1"/>
        <v>0</v>
      </c>
    </row>
    <row r="157" spans="2:35" ht="15" customHeight="1" x14ac:dyDescent="0.25">
      <c r="B157" s="88" t="s">
        <v>177</v>
      </c>
      <c r="C157" s="86">
        <v>25</v>
      </c>
      <c r="D157" s="183">
        <f>SUMIFS('май 2025'!$G$5:$G$2466,'май 2025'!$D$5:$D$2466,$B157,'май 2025'!$J$5:$J$2466,D$1)</f>
        <v>0</v>
      </c>
      <c r="E157" s="183">
        <f>SUMIFS('май 2025'!$G$5:$G$2466,'май 2025'!$D$5:$D$2466,$B157,'май 2025'!$J$5:$J$2466,E$1)</f>
        <v>0</v>
      </c>
      <c r="F157" s="183">
        <f>SUMIFS('май 2025'!$G$5:$G$2466,'май 2025'!$D$5:$D$2466,$B157,'май 2025'!$J$5:$J$2466,F$1)</f>
        <v>0</v>
      </c>
      <c r="G157" s="183">
        <f>SUMIFS('май 2025'!$G$5:$G$2466,'май 2025'!$D$5:$D$2466,$B157,'май 2025'!$J$5:$J$2466,G$1)</f>
        <v>0</v>
      </c>
      <c r="H157" s="183">
        <f>SUMIFS('май 2025'!$G$5:$G$2466,'май 2025'!$D$5:$D$2466,$B157,'май 2025'!$J$5:$J$2466,H$1)</f>
        <v>0</v>
      </c>
      <c r="I157" s="183">
        <f>SUMIFS('май 2025'!$G$5:$G$2466,'май 2025'!$D$5:$D$2466,$B157,'май 2025'!$J$5:$J$2466,I$1)</f>
        <v>0</v>
      </c>
      <c r="J157" s="183">
        <f>SUMIFS('май 2025'!$G$5:$G$2466,'май 2025'!$D$5:$D$2466,$B157,'май 2025'!$J$5:$J$2466,J$1)</f>
        <v>0</v>
      </c>
      <c r="K157" s="183">
        <f>SUMIFS('май 2025'!$G$5:$G$2466,'май 2025'!$D$5:$D$2466,$B157,'май 2025'!$J$5:$J$2466,K$1)</f>
        <v>0</v>
      </c>
      <c r="L157" s="183">
        <f>SUMIFS('май 2025'!$G$5:$G$2466,'май 2025'!$D$5:$D$2466,$B157,'май 2025'!$J$5:$J$2466,L$1)</f>
        <v>0</v>
      </c>
      <c r="M157" s="183">
        <f>SUMIFS('май 2025'!$G$5:$G$2466,'май 2025'!$D$5:$D$2466,$B157,'май 2025'!$J$5:$J$2466,M$1)</f>
        <v>0</v>
      </c>
      <c r="N157" s="183">
        <f>SUMIFS('май 2025'!$G$5:$G$2466,'май 2025'!$D$5:$D$2466,$B157,'май 2025'!$J$5:$J$2466,N$1)</f>
        <v>0</v>
      </c>
      <c r="O157" s="183">
        <f>SUMIFS('май 2025'!$G$5:$G$2466,'май 2025'!$D$5:$D$2466,$B157,'май 2025'!$J$5:$J$2466,O$1)</f>
        <v>0</v>
      </c>
      <c r="P157" s="183">
        <f>SUMIFS('май 2025'!$G$5:$G$2466,'май 2025'!$D$5:$D$2466,$B157,'май 2025'!$J$5:$J$2466,P$1)</f>
        <v>0</v>
      </c>
      <c r="Q157" s="183">
        <f>SUMIFS('май 2025'!$G$5:$G$2466,'май 2025'!$D$5:$D$2466,$B157,'май 2025'!$J$5:$J$2466,Q$1)</f>
        <v>0</v>
      </c>
      <c r="R157" s="183">
        <f>SUMIFS('май 2025'!$G$5:$G$2466,'май 2025'!$D$5:$D$2466,$B157,'май 2025'!$J$5:$J$2466,R$1)</f>
        <v>0</v>
      </c>
      <c r="S157" s="183">
        <f>SUMIFS('май 2025'!$G$5:$G$2466,'май 2025'!$D$5:$D$2466,$B157,'май 2025'!$J$5:$J$2466,S$1)</f>
        <v>0</v>
      </c>
      <c r="T157" s="183">
        <f>SUMIFS('май 2025'!$G$5:$G$2466,'май 2025'!$D$5:$D$2466,$B157,'май 2025'!$J$5:$J$2466,T$1)</f>
        <v>0</v>
      </c>
      <c r="U157" s="183">
        <f>SUMIFS('май 2025'!$G$5:$G$2466,'май 2025'!$D$5:$D$2466,$B157,'май 2025'!$J$5:$J$2466,U$1)</f>
        <v>0</v>
      </c>
      <c r="V157" s="183">
        <f>SUMIFS('май 2025'!$G$5:$G$2466,'май 2025'!$D$5:$D$2466,$B157,'май 2025'!$J$5:$J$2466,V$1)</f>
        <v>0</v>
      </c>
      <c r="W157" s="183">
        <f>SUMIFS('май 2025'!$G$5:$G$2466,'май 2025'!$D$5:$D$2466,$B157,'май 2025'!$J$5:$J$2466,W$1)</f>
        <v>0</v>
      </c>
      <c r="X157" s="183">
        <f>SUMIFS('май 2025'!$G$5:$G$2466,'май 2025'!$D$5:$D$2466,$B157,'май 2025'!$J$5:$J$2466,X$1)</f>
        <v>0</v>
      </c>
      <c r="Y157" s="183">
        <f>SUMIFS('май 2025'!$G$5:$G$2466,'май 2025'!$D$5:$D$2466,$B157,'май 2025'!$J$5:$J$2466,Y$1)</f>
        <v>0</v>
      </c>
      <c r="Z157" s="183">
        <f>SUMIFS('май 2025'!$G$5:$G$2466,'май 2025'!$D$5:$D$2466,$B157,'май 2025'!$J$5:$J$2466,Z$1)</f>
        <v>0</v>
      </c>
      <c r="AA157" s="183">
        <f>SUMIFS('май 2025'!$G$5:$G$2466,'май 2025'!$D$5:$D$2466,$B157,'май 2025'!$J$5:$J$2466,AA$1)</f>
        <v>0</v>
      </c>
      <c r="AB157" s="183">
        <f>SUMIFS('май 2025'!$G$5:$G$2466,'май 2025'!$D$5:$D$2466,$B157,'май 2025'!$J$5:$J$2466,AB$1)</f>
        <v>0</v>
      </c>
      <c r="AC157" s="183">
        <f>SUMIFS('май 2025'!$G$5:$G$2466,'май 2025'!$D$5:$D$2466,$B157,'май 2025'!$J$5:$J$2466,AC$1)</f>
        <v>0</v>
      </c>
      <c r="AD157" s="183">
        <f>SUMIFS('май 2025'!$G$5:$G$2466,'май 2025'!$D$5:$D$2466,$B157,'май 2025'!$J$5:$J$2466,AD$1)</f>
        <v>0</v>
      </c>
      <c r="AE157" s="183">
        <f>SUMIFS('май 2025'!$G$5:$G$2466,'май 2025'!$D$5:$D$2466,$B157,'май 2025'!$J$5:$J$2466,AE$1)</f>
        <v>0</v>
      </c>
      <c r="AF157" s="183">
        <f>SUMIFS('май 2025'!$G$5:$G$2466,'май 2025'!$D$5:$D$2466,$B157,'май 2025'!$J$5:$J$2466,AF$1)</f>
        <v>0</v>
      </c>
      <c r="AG157" s="183">
        <f>SUMIFS('май 2025'!$G$5:$G$2466,'май 2025'!$D$5:$D$2466,$B157,'май 2025'!$J$5:$J$2466,AG$1)</f>
        <v>0</v>
      </c>
      <c r="AH157" s="183">
        <f>SUMIFS('май 2025'!$G$5:$G$2466,'май 2025'!$D$5:$D$2466,$B157,'май 2025'!$J$5:$J$2466,AH$1)</f>
        <v>0</v>
      </c>
      <c r="AI157" s="20">
        <f t="shared" si="1"/>
        <v>0</v>
      </c>
    </row>
    <row r="158" spans="2:35" ht="15" customHeight="1" x14ac:dyDescent="0.25">
      <c r="B158" s="84" t="s">
        <v>175</v>
      </c>
      <c r="C158" s="83">
        <v>25</v>
      </c>
      <c r="D158" s="183">
        <f>SUMIFS('май 2025'!$G$5:$G$2466,'май 2025'!$D$5:$D$2466,$B158,'май 2025'!$J$5:$J$2466,D$1)</f>
        <v>0</v>
      </c>
      <c r="E158" s="183">
        <f>SUMIFS('май 2025'!$G$5:$G$2466,'май 2025'!$D$5:$D$2466,$B158,'май 2025'!$J$5:$J$2466,E$1)</f>
        <v>0</v>
      </c>
      <c r="F158" s="183">
        <f>SUMIFS('май 2025'!$G$5:$G$2466,'май 2025'!$D$5:$D$2466,$B158,'май 2025'!$J$5:$J$2466,F$1)</f>
        <v>0</v>
      </c>
      <c r="G158" s="183">
        <f>SUMIFS('май 2025'!$G$5:$G$2466,'май 2025'!$D$5:$D$2466,$B158,'май 2025'!$J$5:$J$2466,G$1)</f>
        <v>0</v>
      </c>
      <c r="H158" s="183">
        <f>SUMIFS('май 2025'!$G$5:$G$2466,'май 2025'!$D$5:$D$2466,$B158,'май 2025'!$J$5:$J$2466,H$1)</f>
        <v>0</v>
      </c>
      <c r="I158" s="183">
        <f>SUMIFS('май 2025'!$G$5:$G$2466,'май 2025'!$D$5:$D$2466,$B158,'май 2025'!$J$5:$J$2466,I$1)</f>
        <v>0</v>
      </c>
      <c r="J158" s="183">
        <f>SUMIFS('май 2025'!$G$5:$G$2466,'май 2025'!$D$5:$D$2466,$B158,'май 2025'!$J$5:$J$2466,J$1)</f>
        <v>0</v>
      </c>
      <c r="K158" s="183">
        <f>SUMIFS('май 2025'!$G$5:$G$2466,'май 2025'!$D$5:$D$2466,$B158,'май 2025'!$J$5:$J$2466,K$1)</f>
        <v>0</v>
      </c>
      <c r="L158" s="183">
        <f>SUMIFS('май 2025'!$G$5:$G$2466,'май 2025'!$D$5:$D$2466,$B158,'май 2025'!$J$5:$J$2466,L$1)</f>
        <v>0</v>
      </c>
      <c r="M158" s="183">
        <f>SUMIFS('май 2025'!$G$5:$G$2466,'май 2025'!$D$5:$D$2466,$B158,'май 2025'!$J$5:$J$2466,M$1)</f>
        <v>0</v>
      </c>
      <c r="N158" s="183">
        <f>SUMIFS('май 2025'!$G$5:$G$2466,'май 2025'!$D$5:$D$2466,$B158,'май 2025'!$J$5:$J$2466,N$1)</f>
        <v>0</v>
      </c>
      <c r="O158" s="183">
        <f>SUMIFS('май 2025'!$G$5:$G$2466,'май 2025'!$D$5:$D$2466,$B158,'май 2025'!$J$5:$J$2466,O$1)</f>
        <v>0</v>
      </c>
      <c r="P158" s="183">
        <f>SUMIFS('май 2025'!$G$5:$G$2466,'май 2025'!$D$5:$D$2466,$B158,'май 2025'!$J$5:$J$2466,P$1)</f>
        <v>0</v>
      </c>
      <c r="Q158" s="183">
        <f>SUMIFS('май 2025'!$G$5:$G$2466,'май 2025'!$D$5:$D$2466,$B158,'май 2025'!$J$5:$J$2466,Q$1)</f>
        <v>0</v>
      </c>
      <c r="R158" s="183">
        <f>SUMIFS('май 2025'!$G$5:$G$2466,'май 2025'!$D$5:$D$2466,$B158,'май 2025'!$J$5:$J$2466,R$1)</f>
        <v>0</v>
      </c>
      <c r="S158" s="183">
        <f>SUMIFS('май 2025'!$G$5:$G$2466,'май 2025'!$D$5:$D$2466,$B158,'май 2025'!$J$5:$J$2466,S$1)</f>
        <v>0</v>
      </c>
      <c r="T158" s="183">
        <f>SUMIFS('май 2025'!$G$5:$G$2466,'май 2025'!$D$5:$D$2466,$B158,'май 2025'!$J$5:$J$2466,T$1)</f>
        <v>0</v>
      </c>
      <c r="U158" s="183">
        <f>SUMIFS('май 2025'!$G$5:$G$2466,'май 2025'!$D$5:$D$2466,$B158,'май 2025'!$J$5:$J$2466,U$1)</f>
        <v>0</v>
      </c>
      <c r="V158" s="183">
        <f>SUMIFS('май 2025'!$G$5:$G$2466,'май 2025'!$D$5:$D$2466,$B158,'май 2025'!$J$5:$J$2466,V$1)</f>
        <v>0</v>
      </c>
      <c r="W158" s="183">
        <f>SUMIFS('май 2025'!$G$5:$G$2466,'май 2025'!$D$5:$D$2466,$B158,'май 2025'!$J$5:$J$2466,W$1)</f>
        <v>0</v>
      </c>
      <c r="X158" s="183">
        <f>SUMIFS('май 2025'!$G$5:$G$2466,'май 2025'!$D$5:$D$2466,$B158,'май 2025'!$J$5:$J$2466,X$1)</f>
        <v>0</v>
      </c>
      <c r="Y158" s="183">
        <f>SUMIFS('май 2025'!$G$5:$G$2466,'май 2025'!$D$5:$D$2466,$B158,'май 2025'!$J$5:$J$2466,Y$1)</f>
        <v>0</v>
      </c>
      <c r="Z158" s="183">
        <f>SUMIFS('май 2025'!$G$5:$G$2466,'май 2025'!$D$5:$D$2466,$B158,'май 2025'!$J$5:$J$2466,Z$1)</f>
        <v>0</v>
      </c>
      <c r="AA158" s="183">
        <f>SUMIFS('май 2025'!$G$5:$G$2466,'май 2025'!$D$5:$D$2466,$B158,'май 2025'!$J$5:$J$2466,AA$1)</f>
        <v>0</v>
      </c>
      <c r="AB158" s="183">
        <f>SUMIFS('май 2025'!$G$5:$G$2466,'май 2025'!$D$5:$D$2466,$B158,'май 2025'!$J$5:$J$2466,AB$1)</f>
        <v>0</v>
      </c>
      <c r="AC158" s="183">
        <f>SUMIFS('май 2025'!$G$5:$G$2466,'май 2025'!$D$5:$D$2466,$B158,'май 2025'!$J$5:$J$2466,AC$1)</f>
        <v>0</v>
      </c>
      <c r="AD158" s="183">
        <f>SUMIFS('май 2025'!$G$5:$G$2466,'май 2025'!$D$5:$D$2466,$B158,'май 2025'!$J$5:$J$2466,AD$1)</f>
        <v>0</v>
      </c>
      <c r="AE158" s="183">
        <f>SUMIFS('май 2025'!$G$5:$G$2466,'май 2025'!$D$5:$D$2466,$B158,'май 2025'!$J$5:$J$2466,AE$1)</f>
        <v>0</v>
      </c>
      <c r="AF158" s="183">
        <f>SUMIFS('май 2025'!$G$5:$G$2466,'май 2025'!$D$5:$D$2466,$B158,'май 2025'!$J$5:$J$2466,AF$1)</f>
        <v>0</v>
      </c>
      <c r="AG158" s="183">
        <f>SUMIFS('май 2025'!$G$5:$G$2466,'май 2025'!$D$5:$D$2466,$B158,'май 2025'!$J$5:$J$2466,AG$1)</f>
        <v>0</v>
      </c>
      <c r="AH158" s="183">
        <f>SUMIFS('май 2025'!$G$5:$G$2466,'май 2025'!$D$5:$D$2466,$B158,'май 2025'!$J$5:$J$2466,AH$1)</f>
        <v>0</v>
      </c>
      <c r="AI158" s="20">
        <f t="shared" si="1"/>
        <v>0</v>
      </c>
    </row>
    <row r="159" spans="2:35" ht="15" customHeight="1" x14ac:dyDescent="0.25">
      <c r="B159" s="84" t="s">
        <v>176</v>
      </c>
      <c r="C159" s="83">
        <v>25</v>
      </c>
      <c r="D159" s="183">
        <f>SUMIFS('май 2025'!$G$5:$G$2466,'май 2025'!$D$5:$D$2466,$B159,'май 2025'!$J$5:$J$2466,D$1)</f>
        <v>0</v>
      </c>
      <c r="E159" s="183">
        <f>SUMIFS('май 2025'!$G$5:$G$2466,'май 2025'!$D$5:$D$2466,$B159,'май 2025'!$J$5:$J$2466,E$1)</f>
        <v>0</v>
      </c>
      <c r="F159" s="183">
        <f>SUMIFS('май 2025'!$G$5:$G$2466,'май 2025'!$D$5:$D$2466,$B159,'май 2025'!$J$5:$J$2466,F$1)</f>
        <v>0</v>
      </c>
      <c r="G159" s="183">
        <f>SUMIFS('май 2025'!$G$5:$G$2466,'май 2025'!$D$5:$D$2466,$B159,'май 2025'!$J$5:$J$2466,G$1)</f>
        <v>0</v>
      </c>
      <c r="H159" s="183">
        <f>SUMIFS('май 2025'!$G$5:$G$2466,'май 2025'!$D$5:$D$2466,$B159,'май 2025'!$J$5:$J$2466,H$1)</f>
        <v>0</v>
      </c>
      <c r="I159" s="183">
        <f>SUMIFS('май 2025'!$G$5:$G$2466,'май 2025'!$D$5:$D$2466,$B159,'май 2025'!$J$5:$J$2466,I$1)</f>
        <v>0</v>
      </c>
      <c r="J159" s="183">
        <f>SUMIFS('май 2025'!$G$5:$G$2466,'май 2025'!$D$5:$D$2466,$B159,'май 2025'!$J$5:$J$2466,J$1)</f>
        <v>0</v>
      </c>
      <c r="K159" s="183">
        <f>SUMIFS('май 2025'!$G$5:$G$2466,'май 2025'!$D$5:$D$2466,$B159,'май 2025'!$J$5:$J$2466,K$1)</f>
        <v>0</v>
      </c>
      <c r="L159" s="183">
        <f>SUMIFS('май 2025'!$G$5:$G$2466,'май 2025'!$D$5:$D$2466,$B159,'май 2025'!$J$5:$J$2466,L$1)</f>
        <v>0</v>
      </c>
      <c r="M159" s="183">
        <f>SUMIFS('май 2025'!$G$5:$G$2466,'май 2025'!$D$5:$D$2466,$B159,'май 2025'!$J$5:$J$2466,M$1)</f>
        <v>0</v>
      </c>
      <c r="N159" s="183">
        <f>SUMIFS('май 2025'!$G$5:$G$2466,'май 2025'!$D$5:$D$2466,$B159,'май 2025'!$J$5:$J$2466,N$1)</f>
        <v>0</v>
      </c>
      <c r="O159" s="183">
        <f>SUMIFS('май 2025'!$G$5:$G$2466,'май 2025'!$D$5:$D$2466,$B159,'май 2025'!$J$5:$J$2466,O$1)</f>
        <v>0</v>
      </c>
      <c r="P159" s="183">
        <f>SUMIFS('май 2025'!$G$5:$G$2466,'май 2025'!$D$5:$D$2466,$B159,'май 2025'!$J$5:$J$2466,P$1)</f>
        <v>0</v>
      </c>
      <c r="Q159" s="183">
        <f>SUMIFS('май 2025'!$G$5:$G$2466,'май 2025'!$D$5:$D$2466,$B159,'май 2025'!$J$5:$J$2466,Q$1)</f>
        <v>0</v>
      </c>
      <c r="R159" s="183">
        <f>SUMIFS('май 2025'!$G$5:$G$2466,'май 2025'!$D$5:$D$2466,$B159,'май 2025'!$J$5:$J$2466,R$1)</f>
        <v>0</v>
      </c>
      <c r="S159" s="183">
        <f>SUMIFS('май 2025'!$G$5:$G$2466,'май 2025'!$D$5:$D$2466,$B159,'май 2025'!$J$5:$J$2466,S$1)</f>
        <v>0</v>
      </c>
      <c r="T159" s="183">
        <f>SUMIFS('май 2025'!$G$5:$G$2466,'май 2025'!$D$5:$D$2466,$B159,'май 2025'!$J$5:$J$2466,T$1)</f>
        <v>0</v>
      </c>
      <c r="U159" s="183">
        <f>SUMIFS('май 2025'!$G$5:$G$2466,'май 2025'!$D$5:$D$2466,$B159,'май 2025'!$J$5:$J$2466,U$1)</f>
        <v>0</v>
      </c>
      <c r="V159" s="183">
        <f>SUMIFS('май 2025'!$G$5:$G$2466,'май 2025'!$D$5:$D$2466,$B159,'май 2025'!$J$5:$J$2466,V$1)</f>
        <v>0</v>
      </c>
      <c r="W159" s="183">
        <f>SUMIFS('май 2025'!$G$5:$G$2466,'май 2025'!$D$5:$D$2466,$B159,'май 2025'!$J$5:$J$2466,W$1)</f>
        <v>0</v>
      </c>
      <c r="X159" s="183">
        <f>SUMIFS('май 2025'!$G$5:$G$2466,'май 2025'!$D$5:$D$2466,$B159,'май 2025'!$J$5:$J$2466,X$1)</f>
        <v>0</v>
      </c>
      <c r="Y159" s="183">
        <f>SUMIFS('май 2025'!$G$5:$G$2466,'май 2025'!$D$5:$D$2466,$B159,'май 2025'!$J$5:$J$2466,Y$1)</f>
        <v>0</v>
      </c>
      <c r="Z159" s="183">
        <f>SUMIFS('май 2025'!$G$5:$G$2466,'май 2025'!$D$5:$D$2466,$B159,'май 2025'!$J$5:$J$2466,Z$1)</f>
        <v>0</v>
      </c>
      <c r="AA159" s="183">
        <f>SUMIFS('май 2025'!$G$5:$G$2466,'май 2025'!$D$5:$D$2466,$B159,'май 2025'!$J$5:$J$2466,AA$1)</f>
        <v>0</v>
      </c>
      <c r="AB159" s="183">
        <f>SUMIFS('май 2025'!$G$5:$G$2466,'май 2025'!$D$5:$D$2466,$B159,'май 2025'!$J$5:$J$2466,AB$1)</f>
        <v>0</v>
      </c>
      <c r="AC159" s="183">
        <f>SUMIFS('май 2025'!$G$5:$G$2466,'май 2025'!$D$5:$D$2466,$B159,'май 2025'!$J$5:$J$2466,AC$1)</f>
        <v>0</v>
      </c>
      <c r="AD159" s="183">
        <f>SUMIFS('май 2025'!$G$5:$G$2466,'май 2025'!$D$5:$D$2466,$B159,'май 2025'!$J$5:$J$2466,AD$1)</f>
        <v>0</v>
      </c>
      <c r="AE159" s="183">
        <f>SUMIFS('май 2025'!$G$5:$G$2466,'май 2025'!$D$5:$D$2466,$B159,'май 2025'!$J$5:$J$2466,AE$1)</f>
        <v>0</v>
      </c>
      <c r="AF159" s="183">
        <f>SUMIFS('май 2025'!$G$5:$G$2466,'май 2025'!$D$5:$D$2466,$B159,'май 2025'!$J$5:$J$2466,AF$1)</f>
        <v>0</v>
      </c>
      <c r="AG159" s="183">
        <f>SUMIFS('май 2025'!$G$5:$G$2466,'май 2025'!$D$5:$D$2466,$B159,'май 2025'!$J$5:$J$2466,AG$1)</f>
        <v>0</v>
      </c>
      <c r="AH159" s="183">
        <f>SUMIFS('май 2025'!$G$5:$G$2466,'май 2025'!$D$5:$D$2466,$B159,'май 2025'!$J$5:$J$2466,AH$1)</f>
        <v>0</v>
      </c>
      <c r="AI159" s="20">
        <f t="shared" si="1"/>
        <v>0</v>
      </c>
    </row>
    <row r="160" spans="2:35" ht="15" customHeight="1" x14ac:dyDescent="0.25">
      <c r="B160" s="84" t="s">
        <v>201</v>
      </c>
      <c r="C160" s="83">
        <v>25</v>
      </c>
      <c r="D160" s="183">
        <f>SUMIFS('май 2025'!$G$5:$G$2466,'май 2025'!$D$5:$D$2466,$B160,'май 2025'!$J$5:$J$2466,D$1)</f>
        <v>0</v>
      </c>
      <c r="E160" s="183">
        <f>SUMIFS('май 2025'!$G$5:$G$2466,'май 2025'!$D$5:$D$2466,$B160,'май 2025'!$J$5:$J$2466,E$1)</f>
        <v>0</v>
      </c>
      <c r="F160" s="183">
        <f>SUMIFS('май 2025'!$G$5:$G$2466,'май 2025'!$D$5:$D$2466,$B160,'май 2025'!$J$5:$J$2466,F$1)</f>
        <v>0</v>
      </c>
      <c r="G160" s="183">
        <f>SUMIFS('май 2025'!$G$5:$G$2466,'май 2025'!$D$5:$D$2466,$B160,'май 2025'!$J$5:$J$2466,G$1)</f>
        <v>0</v>
      </c>
      <c r="H160" s="183">
        <f>SUMIFS('май 2025'!$G$5:$G$2466,'май 2025'!$D$5:$D$2466,$B160,'май 2025'!$J$5:$J$2466,H$1)</f>
        <v>0</v>
      </c>
      <c r="I160" s="183">
        <f>SUMIFS('май 2025'!$G$5:$G$2466,'май 2025'!$D$5:$D$2466,$B160,'май 2025'!$J$5:$J$2466,I$1)</f>
        <v>0</v>
      </c>
      <c r="J160" s="183">
        <f>SUMIFS('май 2025'!$G$5:$G$2466,'май 2025'!$D$5:$D$2466,$B160,'май 2025'!$J$5:$J$2466,J$1)</f>
        <v>0</v>
      </c>
      <c r="K160" s="183">
        <f>SUMIFS('май 2025'!$G$5:$G$2466,'май 2025'!$D$5:$D$2466,$B160,'май 2025'!$J$5:$J$2466,K$1)</f>
        <v>0</v>
      </c>
      <c r="L160" s="183">
        <f>SUMIFS('май 2025'!$G$5:$G$2466,'май 2025'!$D$5:$D$2466,$B160,'май 2025'!$J$5:$J$2466,L$1)</f>
        <v>0</v>
      </c>
      <c r="M160" s="183">
        <f>SUMIFS('май 2025'!$G$5:$G$2466,'май 2025'!$D$5:$D$2466,$B160,'май 2025'!$J$5:$J$2466,M$1)</f>
        <v>0</v>
      </c>
      <c r="N160" s="183">
        <f>SUMIFS('май 2025'!$G$5:$G$2466,'май 2025'!$D$5:$D$2466,$B160,'май 2025'!$J$5:$J$2466,N$1)</f>
        <v>0</v>
      </c>
      <c r="O160" s="183">
        <f>SUMIFS('май 2025'!$G$5:$G$2466,'май 2025'!$D$5:$D$2466,$B160,'май 2025'!$J$5:$J$2466,O$1)</f>
        <v>0</v>
      </c>
      <c r="P160" s="183">
        <f>SUMIFS('май 2025'!$G$5:$G$2466,'май 2025'!$D$5:$D$2466,$B160,'май 2025'!$J$5:$J$2466,P$1)</f>
        <v>0</v>
      </c>
      <c r="Q160" s="183">
        <f>SUMIFS('май 2025'!$G$5:$G$2466,'май 2025'!$D$5:$D$2466,$B160,'май 2025'!$J$5:$J$2466,Q$1)</f>
        <v>0</v>
      </c>
      <c r="R160" s="183">
        <f>SUMIFS('май 2025'!$G$5:$G$2466,'май 2025'!$D$5:$D$2466,$B160,'май 2025'!$J$5:$J$2466,R$1)</f>
        <v>0</v>
      </c>
      <c r="S160" s="183">
        <f>SUMIFS('май 2025'!$G$5:$G$2466,'май 2025'!$D$5:$D$2466,$B160,'май 2025'!$J$5:$J$2466,S$1)</f>
        <v>0</v>
      </c>
      <c r="T160" s="183">
        <f>SUMIFS('май 2025'!$G$5:$G$2466,'май 2025'!$D$5:$D$2466,$B160,'май 2025'!$J$5:$J$2466,T$1)</f>
        <v>0</v>
      </c>
      <c r="U160" s="183">
        <f>SUMIFS('май 2025'!$G$5:$G$2466,'май 2025'!$D$5:$D$2466,$B160,'май 2025'!$J$5:$J$2466,U$1)</f>
        <v>0</v>
      </c>
      <c r="V160" s="183">
        <f>SUMIFS('май 2025'!$G$5:$G$2466,'май 2025'!$D$5:$D$2466,$B160,'май 2025'!$J$5:$J$2466,V$1)</f>
        <v>0</v>
      </c>
      <c r="W160" s="183">
        <f>SUMIFS('май 2025'!$G$5:$G$2466,'май 2025'!$D$5:$D$2466,$B160,'май 2025'!$J$5:$J$2466,W$1)</f>
        <v>0</v>
      </c>
      <c r="X160" s="183">
        <f>SUMIFS('май 2025'!$G$5:$G$2466,'май 2025'!$D$5:$D$2466,$B160,'май 2025'!$J$5:$J$2466,X$1)</f>
        <v>0</v>
      </c>
      <c r="Y160" s="183">
        <f>SUMIFS('май 2025'!$G$5:$G$2466,'май 2025'!$D$5:$D$2466,$B160,'май 2025'!$J$5:$J$2466,Y$1)</f>
        <v>0</v>
      </c>
      <c r="Z160" s="183">
        <f>SUMIFS('май 2025'!$G$5:$G$2466,'май 2025'!$D$5:$D$2466,$B160,'май 2025'!$J$5:$J$2466,Z$1)</f>
        <v>0</v>
      </c>
      <c r="AA160" s="183">
        <f>SUMIFS('май 2025'!$G$5:$G$2466,'май 2025'!$D$5:$D$2466,$B160,'май 2025'!$J$5:$J$2466,AA$1)</f>
        <v>0</v>
      </c>
      <c r="AB160" s="183">
        <f>SUMIFS('май 2025'!$G$5:$G$2466,'май 2025'!$D$5:$D$2466,$B160,'май 2025'!$J$5:$J$2466,AB$1)</f>
        <v>0</v>
      </c>
      <c r="AC160" s="183">
        <f>SUMIFS('май 2025'!$G$5:$G$2466,'май 2025'!$D$5:$D$2466,$B160,'май 2025'!$J$5:$J$2466,AC$1)</f>
        <v>0</v>
      </c>
      <c r="AD160" s="183">
        <f>SUMIFS('май 2025'!$G$5:$G$2466,'май 2025'!$D$5:$D$2466,$B160,'май 2025'!$J$5:$J$2466,AD$1)</f>
        <v>0</v>
      </c>
      <c r="AE160" s="183">
        <f>SUMIFS('май 2025'!$G$5:$G$2466,'май 2025'!$D$5:$D$2466,$B160,'май 2025'!$J$5:$J$2466,AE$1)</f>
        <v>0</v>
      </c>
      <c r="AF160" s="183">
        <f>SUMIFS('май 2025'!$G$5:$G$2466,'май 2025'!$D$5:$D$2466,$B160,'май 2025'!$J$5:$J$2466,AF$1)</f>
        <v>0</v>
      </c>
      <c r="AG160" s="183">
        <f>SUMIFS('май 2025'!$G$5:$G$2466,'май 2025'!$D$5:$D$2466,$B160,'май 2025'!$J$5:$J$2466,AG$1)</f>
        <v>0</v>
      </c>
      <c r="AH160" s="183">
        <f>SUMIFS('май 2025'!$G$5:$G$2466,'май 2025'!$D$5:$D$2466,$B160,'май 2025'!$J$5:$J$2466,AH$1)</f>
        <v>0</v>
      </c>
      <c r="AI160" s="20">
        <f t="shared" si="1"/>
        <v>0</v>
      </c>
    </row>
    <row r="161" spans="2:35" ht="15" customHeight="1" x14ac:dyDescent="0.25">
      <c r="B161" s="84" t="s">
        <v>300</v>
      </c>
      <c r="C161" s="83">
        <v>200</v>
      </c>
      <c r="D161" s="183">
        <f>SUMIFS('май 2025'!$G$5:$G$2466,'май 2025'!$D$5:$D$2466,$B161,'май 2025'!$J$5:$J$2466,D$1)</f>
        <v>0</v>
      </c>
      <c r="E161" s="183">
        <f>SUMIFS('май 2025'!$G$5:$G$2466,'май 2025'!$D$5:$D$2466,$B161,'май 2025'!$J$5:$J$2466,E$1)</f>
        <v>0</v>
      </c>
      <c r="F161" s="183">
        <f>SUMIFS('май 2025'!$G$5:$G$2466,'май 2025'!$D$5:$D$2466,$B161,'май 2025'!$J$5:$J$2466,F$1)</f>
        <v>0</v>
      </c>
      <c r="G161" s="183">
        <f>SUMIFS('май 2025'!$G$5:$G$2466,'май 2025'!$D$5:$D$2466,$B161,'май 2025'!$J$5:$J$2466,G$1)</f>
        <v>0</v>
      </c>
      <c r="H161" s="183">
        <f>SUMIFS('май 2025'!$G$5:$G$2466,'май 2025'!$D$5:$D$2466,$B161,'май 2025'!$J$5:$J$2466,H$1)</f>
        <v>0</v>
      </c>
      <c r="I161" s="183">
        <f>SUMIFS('май 2025'!$G$5:$G$2466,'май 2025'!$D$5:$D$2466,$B161,'май 2025'!$J$5:$J$2466,I$1)</f>
        <v>0</v>
      </c>
      <c r="J161" s="183">
        <f>SUMIFS('май 2025'!$G$5:$G$2466,'май 2025'!$D$5:$D$2466,$B161,'май 2025'!$J$5:$J$2466,J$1)</f>
        <v>0</v>
      </c>
      <c r="K161" s="183">
        <f>SUMIFS('май 2025'!$G$5:$G$2466,'май 2025'!$D$5:$D$2466,$B161,'май 2025'!$J$5:$J$2466,K$1)</f>
        <v>0</v>
      </c>
      <c r="L161" s="183">
        <f>SUMIFS('май 2025'!$G$5:$G$2466,'май 2025'!$D$5:$D$2466,$B161,'май 2025'!$J$5:$J$2466,L$1)</f>
        <v>0</v>
      </c>
      <c r="M161" s="183">
        <f>SUMIFS('май 2025'!$G$5:$G$2466,'май 2025'!$D$5:$D$2466,$B161,'май 2025'!$J$5:$J$2466,M$1)</f>
        <v>0</v>
      </c>
      <c r="N161" s="183">
        <f>SUMIFS('май 2025'!$G$5:$G$2466,'май 2025'!$D$5:$D$2466,$B161,'май 2025'!$J$5:$J$2466,N$1)</f>
        <v>0</v>
      </c>
      <c r="O161" s="183">
        <f>SUMIFS('май 2025'!$G$5:$G$2466,'май 2025'!$D$5:$D$2466,$B161,'май 2025'!$J$5:$J$2466,O$1)</f>
        <v>0</v>
      </c>
      <c r="P161" s="183">
        <f>SUMIFS('май 2025'!$G$5:$G$2466,'май 2025'!$D$5:$D$2466,$B161,'май 2025'!$J$5:$J$2466,P$1)</f>
        <v>0</v>
      </c>
      <c r="Q161" s="183">
        <f>SUMIFS('май 2025'!$G$5:$G$2466,'май 2025'!$D$5:$D$2466,$B161,'май 2025'!$J$5:$J$2466,Q$1)</f>
        <v>0</v>
      </c>
      <c r="R161" s="183">
        <f>SUMIFS('май 2025'!$G$5:$G$2466,'май 2025'!$D$5:$D$2466,$B161,'май 2025'!$J$5:$J$2466,R$1)</f>
        <v>0</v>
      </c>
      <c r="S161" s="183">
        <f>SUMIFS('май 2025'!$G$5:$G$2466,'май 2025'!$D$5:$D$2466,$B161,'май 2025'!$J$5:$J$2466,S$1)</f>
        <v>0</v>
      </c>
      <c r="T161" s="183">
        <f>SUMIFS('май 2025'!$G$5:$G$2466,'май 2025'!$D$5:$D$2466,$B161,'май 2025'!$J$5:$J$2466,T$1)</f>
        <v>0</v>
      </c>
      <c r="U161" s="183">
        <f>SUMIFS('май 2025'!$G$5:$G$2466,'май 2025'!$D$5:$D$2466,$B161,'май 2025'!$J$5:$J$2466,U$1)</f>
        <v>0</v>
      </c>
      <c r="V161" s="183">
        <f>SUMIFS('май 2025'!$G$5:$G$2466,'май 2025'!$D$5:$D$2466,$B161,'май 2025'!$J$5:$J$2466,V$1)</f>
        <v>0</v>
      </c>
      <c r="W161" s="183">
        <f>SUMIFS('май 2025'!$G$5:$G$2466,'май 2025'!$D$5:$D$2466,$B161,'май 2025'!$J$5:$J$2466,W$1)</f>
        <v>0</v>
      </c>
      <c r="X161" s="183">
        <f>SUMIFS('май 2025'!$G$5:$G$2466,'май 2025'!$D$5:$D$2466,$B161,'май 2025'!$J$5:$J$2466,X$1)</f>
        <v>0</v>
      </c>
      <c r="Y161" s="183">
        <f>SUMIFS('май 2025'!$G$5:$G$2466,'май 2025'!$D$5:$D$2466,$B161,'май 2025'!$J$5:$J$2466,Y$1)</f>
        <v>0</v>
      </c>
      <c r="Z161" s="183">
        <f>SUMIFS('май 2025'!$G$5:$G$2466,'май 2025'!$D$5:$D$2466,$B161,'май 2025'!$J$5:$J$2466,Z$1)</f>
        <v>0</v>
      </c>
      <c r="AA161" s="183">
        <f>SUMIFS('май 2025'!$G$5:$G$2466,'май 2025'!$D$5:$D$2466,$B161,'май 2025'!$J$5:$J$2466,AA$1)</f>
        <v>0</v>
      </c>
      <c r="AB161" s="183">
        <f>SUMIFS('май 2025'!$G$5:$G$2466,'май 2025'!$D$5:$D$2466,$B161,'май 2025'!$J$5:$J$2466,AB$1)</f>
        <v>0</v>
      </c>
      <c r="AC161" s="183">
        <f>SUMIFS('май 2025'!$G$5:$G$2466,'май 2025'!$D$5:$D$2466,$B161,'май 2025'!$J$5:$J$2466,AC$1)</f>
        <v>0</v>
      </c>
      <c r="AD161" s="183">
        <f>SUMIFS('май 2025'!$G$5:$G$2466,'май 2025'!$D$5:$D$2466,$B161,'май 2025'!$J$5:$J$2466,AD$1)</f>
        <v>0</v>
      </c>
      <c r="AE161" s="183">
        <f>SUMIFS('май 2025'!$G$5:$G$2466,'май 2025'!$D$5:$D$2466,$B161,'май 2025'!$J$5:$J$2466,AE$1)</f>
        <v>0</v>
      </c>
      <c r="AF161" s="183">
        <f>SUMIFS('май 2025'!$G$5:$G$2466,'май 2025'!$D$5:$D$2466,$B161,'май 2025'!$J$5:$J$2466,AF$1)</f>
        <v>0</v>
      </c>
      <c r="AG161" s="183">
        <f>SUMIFS('май 2025'!$G$5:$G$2466,'май 2025'!$D$5:$D$2466,$B161,'май 2025'!$J$5:$J$2466,AG$1)</f>
        <v>0</v>
      </c>
      <c r="AH161" s="183">
        <f>SUMIFS('май 2025'!$G$5:$G$2466,'май 2025'!$D$5:$D$2466,$B161,'май 2025'!$J$5:$J$2466,AH$1)</f>
        <v>0</v>
      </c>
      <c r="AI161" s="20">
        <f>SUM(D161:AH161)</f>
        <v>0</v>
      </c>
    </row>
    <row r="162" spans="2:35" ht="15" customHeight="1" x14ac:dyDescent="0.25">
      <c r="B162" s="84" t="s">
        <v>307</v>
      </c>
      <c r="C162" s="83">
        <v>175</v>
      </c>
      <c r="D162" s="183">
        <f>SUMIFS('май 2025'!$G$5:$G$2466,'май 2025'!$D$5:$D$2466,$B162,'май 2025'!$J$5:$J$2466,D$1)</f>
        <v>0</v>
      </c>
      <c r="E162" s="183">
        <f>SUMIFS('май 2025'!$G$5:$G$2466,'май 2025'!$D$5:$D$2466,$B162,'май 2025'!$J$5:$J$2466,E$1)</f>
        <v>0</v>
      </c>
      <c r="F162" s="183">
        <f>SUMIFS('май 2025'!$G$5:$G$2466,'май 2025'!$D$5:$D$2466,$B162,'май 2025'!$J$5:$J$2466,F$1)</f>
        <v>0</v>
      </c>
      <c r="G162" s="183">
        <f>SUMIFS('май 2025'!$G$5:$G$2466,'май 2025'!$D$5:$D$2466,$B162,'май 2025'!$J$5:$J$2466,G$1)</f>
        <v>0</v>
      </c>
      <c r="H162" s="183">
        <f>SUMIFS('май 2025'!$G$5:$G$2466,'май 2025'!$D$5:$D$2466,$B162,'май 2025'!$J$5:$J$2466,H$1)</f>
        <v>0</v>
      </c>
      <c r="I162" s="183">
        <f>SUMIFS('май 2025'!$G$5:$G$2466,'май 2025'!$D$5:$D$2466,$B162,'май 2025'!$J$5:$J$2466,I$1)</f>
        <v>0</v>
      </c>
      <c r="J162" s="183">
        <f>SUMIFS('май 2025'!$G$5:$G$2466,'май 2025'!$D$5:$D$2466,$B162,'май 2025'!$J$5:$J$2466,J$1)</f>
        <v>0</v>
      </c>
      <c r="K162" s="183">
        <f>SUMIFS('май 2025'!$G$5:$G$2466,'май 2025'!$D$5:$D$2466,$B162,'май 2025'!$J$5:$J$2466,K$1)</f>
        <v>0</v>
      </c>
      <c r="L162" s="183">
        <f>SUMIFS('май 2025'!$G$5:$G$2466,'май 2025'!$D$5:$D$2466,$B162,'май 2025'!$J$5:$J$2466,L$1)</f>
        <v>0</v>
      </c>
      <c r="M162" s="183">
        <f>SUMIFS('май 2025'!$G$5:$G$2466,'май 2025'!$D$5:$D$2466,$B162,'май 2025'!$J$5:$J$2466,M$1)</f>
        <v>0</v>
      </c>
      <c r="N162" s="183">
        <f>SUMIFS('май 2025'!$G$5:$G$2466,'май 2025'!$D$5:$D$2466,$B162,'май 2025'!$J$5:$J$2466,N$1)</f>
        <v>0</v>
      </c>
      <c r="O162" s="183">
        <f>SUMIFS('май 2025'!$G$5:$G$2466,'май 2025'!$D$5:$D$2466,$B162,'май 2025'!$J$5:$J$2466,O$1)</f>
        <v>0</v>
      </c>
      <c r="P162" s="183">
        <f>SUMIFS('май 2025'!$G$5:$G$2466,'май 2025'!$D$5:$D$2466,$B162,'май 2025'!$J$5:$J$2466,P$1)</f>
        <v>0</v>
      </c>
      <c r="Q162" s="183">
        <f>SUMIFS('май 2025'!$G$5:$G$2466,'май 2025'!$D$5:$D$2466,$B162,'май 2025'!$J$5:$J$2466,Q$1)</f>
        <v>0</v>
      </c>
      <c r="R162" s="183">
        <f>SUMIFS('май 2025'!$G$5:$G$2466,'май 2025'!$D$5:$D$2466,$B162,'май 2025'!$J$5:$J$2466,R$1)</f>
        <v>0</v>
      </c>
      <c r="S162" s="183">
        <f>SUMIFS('май 2025'!$G$5:$G$2466,'май 2025'!$D$5:$D$2466,$B162,'май 2025'!$J$5:$J$2466,S$1)</f>
        <v>0</v>
      </c>
      <c r="T162" s="183">
        <f>SUMIFS('май 2025'!$G$5:$G$2466,'май 2025'!$D$5:$D$2466,$B162,'май 2025'!$J$5:$J$2466,T$1)</f>
        <v>0</v>
      </c>
      <c r="U162" s="183">
        <f>SUMIFS('май 2025'!$G$5:$G$2466,'май 2025'!$D$5:$D$2466,$B162,'май 2025'!$J$5:$J$2466,U$1)</f>
        <v>0</v>
      </c>
      <c r="V162" s="183">
        <f>SUMIFS('май 2025'!$G$5:$G$2466,'май 2025'!$D$5:$D$2466,$B162,'май 2025'!$J$5:$J$2466,V$1)</f>
        <v>0</v>
      </c>
      <c r="W162" s="183">
        <f>SUMIFS('май 2025'!$G$5:$G$2466,'май 2025'!$D$5:$D$2466,$B162,'май 2025'!$J$5:$J$2466,W$1)</f>
        <v>0</v>
      </c>
      <c r="X162" s="183">
        <f>SUMIFS('май 2025'!$G$5:$G$2466,'май 2025'!$D$5:$D$2466,$B162,'май 2025'!$J$5:$J$2466,X$1)</f>
        <v>0</v>
      </c>
      <c r="Y162" s="183">
        <f>SUMIFS('май 2025'!$G$5:$G$2466,'май 2025'!$D$5:$D$2466,$B162,'май 2025'!$J$5:$J$2466,Y$1)</f>
        <v>0</v>
      </c>
      <c r="Z162" s="183">
        <f>SUMIFS('май 2025'!$G$5:$G$2466,'май 2025'!$D$5:$D$2466,$B162,'май 2025'!$J$5:$J$2466,Z$1)</f>
        <v>0</v>
      </c>
      <c r="AA162" s="183">
        <f>SUMIFS('май 2025'!$G$5:$G$2466,'май 2025'!$D$5:$D$2466,$B162,'май 2025'!$J$5:$J$2466,AA$1)</f>
        <v>0</v>
      </c>
      <c r="AB162" s="183">
        <f>SUMIFS('май 2025'!$G$5:$G$2466,'май 2025'!$D$5:$D$2466,$B162,'май 2025'!$J$5:$J$2466,AB$1)</f>
        <v>0</v>
      </c>
      <c r="AC162" s="183">
        <f>SUMIFS('май 2025'!$G$5:$G$2466,'май 2025'!$D$5:$D$2466,$B162,'май 2025'!$J$5:$J$2466,AC$1)</f>
        <v>0</v>
      </c>
      <c r="AD162" s="183">
        <f>SUMIFS('май 2025'!$G$5:$G$2466,'май 2025'!$D$5:$D$2466,$B162,'май 2025'!$J$5:$J$2466,AD$1)</f>
        <v>0</v>
      </c>
      <c r="AE162" s="183">
        <f>SUMIFS('май 2025'!$G$5:$G$2466,'май 2025'!$D$5:$D$2466,$B162,'май 2025'!$J$5:$J$2466,AE$1)</f>
        <v>0</v>
      </c>
      <c r="AF162" s="183">
        <f>SUMIFS('май 2025'!$G$5:$G$2466,'май 2025'!$D$5:$D$2466,$B162,'май 2025'!$J$5:$J$2466,AF$1)</f>
        <v>0</v>
      </c>
      <c r="AG162" s="183">
        <f>SUMIFS('май 2025'!$G$5:$G$2466,'май 2025'!$D$5:$D$2466,$B162,'май 2025'!$J$5:$J$2466,AG$1)</f>
        <v>0</v>
      </c>
      <c r="AH162" s="183">
        <f>SUMIFS('май 2025'!$G$5:$G$2466,'май 2025'!$D$5:$D$2466,$B162,'май 2025'!$J$5:$J$2466,AH$1)</f>
        <v>0</v>
      </c>
      <c r="AI162" s="20">
        <f>SUM(D162:AH162)</f>
        <v>0</v>
      </c>
    </row>
    <row r="163" spans="2:35" ht="15" customHeight="1" x14ac:dyDescent="0.25">
      <c r="B163" s="84" t="s">
        <v>324</v>
      </c>
      <c r="C163" s="83">
        <v>950</v>
      </c>
      <c r="D163" s="183">
        <f>SUMIFS('май 2025'!$G$5:$G$2466,'май 2025'!$D$5:$D$2466,$B163,'май 2025'!$J$5:$J$2466,D$1)</f>
        <v>0</v>
      </c>
      <c r="E163" s="183">
        <f>SUMIFS('май 2025'!$G$5:$G$2466,'май 2025'!$D$5:$D$2466,$B163,'май 2025'!$J$5:$J$2466,E$1)</f>
        <v>0</v>
      </c>
      <c r="F163" s="183">
        <f>SUMIFS('май 2025'!$G$5:$G$2466,'май 2025'!$D$5:$D$2466,$B163,'май 2025'!$J$5:$J$2466,F$1)</f>
        <v>0</v>
      </c>
      <c r="G163" s="183">
        <f>SUMIFS('май 2025'!$G$5:$G$2466,'май 2025'!$D$5:$D$2466,$B163,'май 2025'!$J$5:$J$2466,G$1)</f>
        <v>0</v>
      </c>
      <c r="H163" s="183">
        <f>SUMIFS('май 2025'!$G$5:$G$2466,'май 2025'!$D$5:$D$2466,$B163,'май 2025'!$J$5:$J$2466,H$1)</f>
        <v>0</v>
      </c>
      <c r="I163" s="183">
        <f>SUMIFS('май 2025'!$G$5:$G$2466,'май 2025'!$D$5:$D$2466,$B163,'май 2025'!$J$5:$J$2466,I$1)</f>
        <v>0</v>
      </c>
      <c r="J163" s="183">
        <f>SUMIFS('май 2025'!$G$5:$G$2466,'май 2025'!$D$5:$D$2466,$B163,'май 2025'!$J$5:$J$2466,J$1)</f>
        <v>0</v>
      </c>
      <c r="K163" s="183">
        <f>SUMIFS('май 2025'!$G$5:$G$2466,'май 2025'!$D$5:$D$2466,$B163,'май 2025'!$J$5:$J$2466,K$1)</f>
        <v>0</v>
      </c>
      <c r="L163" s="183">
        <f>SUMIFS('май 2025'!$G$5:$G$2466,'май 2025'!$D$5:$D$2466,$B163,'май 2025'!$J$5:$J$2466,L$1)</f>
        <v>0</v>
      </c>
      <c r="M163" s="183">
        <f>SUMIFS('май 2025'!$G$5:$G$2466,'май 2025'!$D$5:$D$2466,$B163,'май 2025'!$J$5:$J$2466,M$1)</f>
        <v>0</v>
      </c>
      <c r="N163" s="183">
        <f>SUMIFS('май 2025'!$G$5:$G$2466,'май 2025'!$D$5:$D$2466,$B163,'май 2025'!$J$5:$J$2466,N$1)</f>
        <v>0</v>
      </c>
      <c r="O163" s="183">
        <f>SUMIFS('май 2025'!$G$5:$G$2466,'май 2025'!$D$5:$D$2466,$B163,'май 2025'!$J$5:$J$2466,O$1)</f>
        <v>0</v>
      </c>
      <c r="P163" s="183">
        <f>SUMIFS('май 2025'!$G$5:$G$2466,'май 2025'!$D$5:$D$2466,$B163,'май 2025'!$J$5:$J$2466,P$1)</f>
        <v>0</v>
      </c>
      <c r="Q163" s="183">
        <f>SUMIFS('май 2025'!$G$5:$G$2466,'май 2025'!$D$5:$D$2466,$B163,'май 2025'!$J$5:$J$2466,Q$1)</f>
        <v>0</v>
      </c>
      <c r="R163" s="183">
        <f>SUMIFS('май 2025'!$G$5:$G$2466,'май 2025'!$D$5:$D$2466,$B163,'май 2025'!$J$5:$J$2466,R$1)</f>
        <v>0</v>
      </c>
      <c r="S163" s="183">
        <f>SUMIFS('май 2025'!$G$5:$G$2466,'май 2025'!$D$5:$D$2466,$B163,'май 2025'!$J$5:$J$2466,S$1)</f>
        <v>0</v>
      </c>
      <c r="T163" s="183">
        <f>SUMIFS('май 2025'!$G$5:$G$2466,'май 2025'!$D$5:$D$2466,$B163,'май 2025'!$J$5:$J$2466,T$1)</f>
        <v>0</v>
      </c>
      <c r="U163" s="183">
        <f>SUMIFS('май 2025'!$G$5:$G$2466,'май 2025'!$D$5:$D$2466,$B163,'май 2025'!$J$5:$J$2466,U$1)</f>
        <v>0</v>
      </c>
      <c r="V163" s="183">
        <f>SUMIFS('май 2025'!$G$5:$G$2466,'май 2025'!$D$5:$D$2466,$B163,'май 2025'!$J$5:$J$2466,V$1)</f>
        <v>0</v>
      </c>
      <c r="W163" s="183">
        <f>SUMIFS('май 2025'!$G$5:$G$2466,'май 2025'!$D$5:$D$2466,$B163,'май 2025'!$J$5:$J$2466,W$1)</f>
        <v>0</v>
      </c>
      <c r="X163" s="183">
        <f>SUMIFS('май 2025'!$G$5:$G$2466,'май 2025'!$D$5:$D$2466,$B163,'май 2025'!$J$5:$J$2466,X$1)</f>
        <v>0</v>
      </c>
      <c r="Y163" s="183">
        <f>SUMIFS('май 2025'!$G$5:$G$2466,'май 2025'!$D$5:$D$2466,$B163,'май 2025'!$J$5:$J$2466,Y$1)</f>
        <v>0</v>
      </c>
      <c r="Z163" s="183">
        <f>SUMIFS('май 2025'!$G$5:$G$2466,'май 2025'!$D$5:$D$2466,$B163,'май 2025'!$J$5:$J$2466,Z$1)</f>
        <v>0</v>
      </c>
      <c r="AA163" s="183">
        <f>SUMIFS('май 2025'!$G$5:$G$2466,'май 2025'!$D$5:$D$2466,$B163,'май 2025'!$J$5:$J$2466,AA$1)</f>
        <v>0</v>
      </c>
      <c r="AB163" s="183">
        <f>SUMIFS('май 2025'!$G$5:$G$2466,'май 2025'!$D$5:$D$2466,$B163,'май 2025'!$J$5:$J$2466,AB$1)</f>
        <v>0</v>
      </c>
      <c r="AC163" s="183">
        <f>SUMIFS('май 2025'!$G$5:$G$2466,'май 2025'!$D$5:$D$2466,$B163,'май 2025'!$J$5:$J$2466,AC$1)</f>
        <v>0</v>
      </c>
      <c r="AD163" s="183">
        <f>SUMIFS('май 2025'!$G$5:$G$2466,'май 2025'!$D$5:$D$2466,$B163,'май 2025'!$J$5:$J$2466,AD$1)</f>
        <v>20</v>
      </c>
      <c r="AE163" s="183">
        <f>SUMIFS('май 2025'!$G$5:$G$2466,'май 2025'!$D$5:$D$2466,$B163,'май 2025'!$J$5:$J$2466,AE$1)</f>
        <v>0</v>
      </c>
      <c r="AF163" s="183">
        <f>SUMIFS('май 2025'!$G$5:$G$2466,'май 2025'!$D$5:$D$2466,$B163,'май 2025'!$J$5:$J$2466,AF$1)</f>
        <v>0</v>
      </c>
      <c r="AG163" s="183">
        <f>SUMIFS('май 2025'!$G$5:$G$2466,'май 2025'!$D$5:$D$2466,$B163,'май 2025'!$J$5:$J$2466,AG$1)</f>
        <v>0</v>
      </c>
      <c r="AH163" s="183">
        <f>SUMIFS('май 2025'!$G$5:$G$2466,'май 2025'!$D$5:$D$2466,$B163,'май 2025'!$J$5:$J$2466,AH$1)</f>
        <v>0</v>
      </c>
      <c r="AI163" s="20">
        <f t="shared" ref="AI163:AI166" si="5">SUM(D163:AH163)</f>
        <v>20</v>
      </c>
    </row>
    <row r="164" spans="2:35" ht="15" customHeight="1" x14ac:dyDescent="0.25">
      <c r="B164" s="84" t="s">
        <v>322</v>
      </c>
      <c r="C164" s="83">
        <v>200</v>
      </c>
      <c r="D164" s="183">
        <f>SUMIFS('май 2025'!$G$5:$G$2466,'май 2025'!$D$5:$D$2466,$B164,'май 2025'!$J$5:$J$2466,D$1)</f>
        <v>0</v>
      </c>
      <c r="E164" s="183">
        <f>SUMIFS('май 2025'!$G$5:$G$2466,'май 2025'!$D$5:$D$2466,$B164,'май 2025'!$J$5:$J$2466,E$1)</f>
        <v>0</v>
      </c>
      <c r="F164" s="183">
        <f>SUMIFS('май 2025'!$G$5:$G$2466,'май 2025'!$D$5:$D$2466,$B164,'май 2025'!$J$5:$J$2466,F$1)</f>
        <v>0</v>
      </c>
      <c r="G164" s="183">
        <f>SUMIFS('май 2025'!$G$5:$G$2466,'май 2025'!$D$5:$D$2466,$B164,'май 2025'!$J$5:$J$2466,G$1)</f>
        <v>0</v>
      </c>
      <c r="H164" s="183">
        <f>SUMIFS('май 2025'!$G$5:$G$2466,'май 2025'!$D$5:$D$2466,$B164,'май 2025'!$J$5:$J$2466,H$1)</f>
        <v>0</v>
      </c>
      <c r="I164" s="183">
        <f>SUMIFS('май 2025'!$G$5:$G$2466,'май 2025'!$D$5:$D$2466,$B164,'май 2025'!$J$5:$J$2466,I$1)</f>
        <v>0</v>
      </c>
      <c r="J164" s="183">
        <f>SUMIFS('май 2025'!$G$5:$G$2466,'май 2025'!$D$5:$D$2466,$B164,'май 2025'!$J$5:$J$2466,J$1)</f>
        <v>0</v>
      </c>
      <c r="K164" s="183">
        <f>SUMIFS('май 2025'!$G$5:$G$2466,'май 2025'!$D$5:$D$2466,$B164,'май 2025'!$J$5:$J$2466,K$1)</f>
        <v>0</v>
      </c>
      <c r="L164" s="183">
        <f>SUMIFS('май 2025'!$G$5:$G$2466,'май 2025'!$D$5:$D$2466,$B164,'май 2025'!$J$5:$J$2466,L$1)</f>
        <v>0</v>
      </c>
      <c r="M164" s="183">
        <f>SUMIFS('май 2025'!$G$5:$G$2466,'май 2025'!$D$5:$D$2466,$B164,'май 2025'!$J$5:$J$2466,M$1)</f>
        <v>0</v>
      </c>
      <c r="N164" s="183">
        <f>SUMIFS('май 2025'!$G$5:$G$2466,'май 2025'!$D$5:$D$2466,$B164,'май 2025'!$J$5:$J$2466,N$1)</f>
        <v>0</v>
      </c>
      <c r="O164" s="183">
        <f>SUMIFS('май 2025'!$G$5:$G$2466,'май 2025'!$D$5:$D$2466,$B164,'май 2025'!$J$5:$J$2466,O$1)</f>
        <v>0</v>
      </c>
      <c r="P164" s="183">
        <f>SUMIFS('май 2025'!$G$5:$G$2466,'май 2025'!$D$5:$D$2466,$B164,'май 2025'!$J$5:$J$2466,P$1)</f>
        <v>0</v>
      </c>
      <c r="Q164" s="183">
        <f>SUMIFS('май 2025'!$G$5:$G$2466,'май 2025'!$D$5:$D$2466,$B164,'май 2025'!$J$5:$J$2466,Q$1)</f>
        <v>0</v>
      </c>
      <c r="R164" s="183">
        <f>SUMIFS('май 2025'!$G$5:$G$2466,'май 2025'!$D$5:$D$2466,$B164,'май 2025'!$J$5:$J$2466,R$1)</f>
        <v>0</v>
      </c>
      <c r="S164" s="183">
        <f>SUMIFS('май 2025'!$G$5:$G$2466,'май 2025'!$D$5:$D$2466,$B164,'май 2025'!$J$5:$J$2466,S$1)</f>
        <v>0</v>
      </c>
      <c r="T164" s="183">
        <f>SUMIFS('май 2025'!$G$5:$G$2466,'май 2025'!$D$5:$D$2466,$B164,'май 2025'!$J$5:$J$2466,T$1)</f>
        <v>0</v>
      </c>
      <c r="U164" s="183">
        <f>SUMIFS('май 2025'!$G$5:$G$2466,'май 2025'!$D$5:$D$2466,$B164,'май 2025'!$J$5:$J$2466,U$1)</f>
        <v>0</v>
      </c>
      <c r="V164" s="183">
        <f>SUMIFS('май 2025'!$G$5:$G$2466,'май 2025'!$D$5:$D$2466,$B164,'май 2025'!$J$5:$J$2466,V$1)</f>
        <v>0</v>
      </c>
      <c r="W164" s="183">
        <f>SUMIFS('май 2025'!$G$5:$G$2466,'май 2025'!$D$5:$D$2466,$B164,'май 2025'!$J$5:$J$2466,W$1)</f>
        <v>0</v>
      </c>
      <c r="X164" s="183">
        <f>SUMIFS('май 2025'!$G$5:$G$2466,'май 2025'!$D$5:$D$2466,$B164,'май 2025'!$J$5:$J$2466,X$1)</f>
        <v>0</v>
      </c>
      <c r="Y164" s="183">
        <f>SUMIFS('май 2025'!$G$5:$G$2466,'май 2025'!$D$5:$D$2466,$B164,'май 2025'!$J$5:$J$2466,Y$1)</f>
        <v>0</v>
      </c>
      <c r="Z164" s="183">
        <f>SUMIFS('май 2025'!$G$5:$G$2466,'май 2025'!$D$5:$D$2466,$B164,'май 2025'!$J$5:$J$2466,Z$1)</f>
        <v>0</v>
      </c>
      <c r="AA164" s="183">
        <f>SUMIFS('май 2025'!$G$5:$G$2466,'май 2025'!$D$5:$D$2466,$B164,'май 2025'!$J$5:$J$2466,AA$1)</f>
        <v>0</v>
      </c>
      <c r="AB164" s="183">
        <f>SUMIFS('май 2025'!$G$5:$G$2466,'май 2025'!$D$5:$D$2466,$B164,'май 2025'!$J$5:$J$2466,AB$1)</f>
        <v>0</v>
      </c>
      <c r="AC164" s="183">
        <f>SUMIFS('май 2025'!$G$5:$G$2466,'май 2025'!$D$5:$D$2466,$B164,'май 2025'!$J$5:$J$2466,AC$1)</f>
        <v>0</v>
      </c>
      <c r="AD164" s="183">
        <f>SUMIFS('май 2025'!$G$5:$G$2466,'май 2025'!$D$5:$D$2466,$B164,'май 2025'!$J$5:$J$2466,AD$1)</f>
        <v>0</v>
      </c>
      <c r="AE164" s="183">
        <f>SUMIFS('май 2025'!$G$5:$G$2466,'май 2025'!$D$5:$D$2466,$B164,'май 2025'!$J$5:$J$2466,AE$1)</f>
        <v>0</v>
      </c>
      <c r="AF164" s="183">
        <f>SUMIFS('май 2025'!$G$5:$G$2466,'май 2025'!$D$5:$D$2466,$B164,'май 2025'!$J$5:$J$2466,AF$1)</f>
        <v>0</v>
      </c>
      <c r="AG164" s="183">
        <f>SUMIFS('май 2025'!$G$5:$G$2466,'май 2025'!$D$5:$D$2466,$B164,'май 2025'!$J$5:$J$2466,AG$1)</f>
        <v>0</v>
      </c>
      <c r="AH164" s="183">
        <f>SUMIFS('май 2025'!$G$5:$G$2466,'май 2025'!$D$5:$D$2466,$B164,'май 2025'!$J$5:$J$2466,AH$1)</f>
        <v>0</v>
      </c>
      <c r="AI164" s="20">
        <f t="shared" si="5"/>
        <v>0</v>
      </c>
    </row>
    <row r="165" spans="2:35" ht="15" customHeight="1" x14ac:dyDescent="0.25">
      <c r="B165" s="84" t="s">
        <v>810</v>
      </c>
      <c r="C165" s="83">
        <v>200</v>
      </c>
      <c r="D165" s="183">
        <f>SUMIFS('май 2025'!$G$5:$G$2466,'май 2025'!$D$5:$D$2466,$B165,'май 2025'!$J$5:$J$2466,D$1)</f>
        <v>0</v>
      </c>
      <c r="E165" s="183">
        <f>SUMIFS('май 2025'!$G$5:$G$2466,'май 2025'!$D$5:$D$2466,$B165,'май 2025'!$J$5:$J$2466,E$1)</f>
        <v>0</v>
      </c>
      <c r="F165" s="183">
        <f>SUMIFS('май 2025'!$G$5:$G$2466,'май 2025'!$D$5:$D$2466,$B165,'май 2025'!$J$5:$J$2466,F$1)</f>
        <v>0</v>
      </c>
      <c r="G165" s="183">
        <f>SUMIFS('май 2025'!$G$5:$G$2466,'май 2025'!$D$5:$D$2466,$B165,'май 2025'!$J$5:$J$2466,G$1)</f>
        <v>0</v>
      </c>
      <c r="H165" s="183">
        <f>SUMIFS('май 2025'!$G$5:$G$2466,'май 2025'!$D$5:$D$2466,$B165,'май 2025'!$J$5:$J$2466,H$1)</f>
        <v>0</v>
      </c>
      <c r="I165" s="183">
        <f>SUMIFS('май 2025'!$G$5:$G$2466,'май 2025'!$D$5:$D$2466,$B165,'май 2025'!$J$5:$J$2466,I$1)</f>
        <v>0</v>
      </c>
      <c r="J165" s="183">
        <f>SUMIFS('май 2025'!$G$5:$G$2466,'май 2025'!$D$5:$D$2466,$B165,'май 2025'!$J$5:$J$2466,J$1)</f>
        <v>0</v>
      </c>
      <c r="K165" s="183">
        <f>SUMIFS('май 2025'!$G$5:$G$2466,'май 2025'!$D$5:$D$2466,$B165,'май 2025'!$J$5:$J$2466,K$1)</f>
        <v>0</v>
      </c>
      <c r="L165" s="183">
        <f>SUMIFS('май 2025'!$G$5:$G$2466,'май 2025'!$D$5:$D$2466,$B165,'май 2025'!$J$5:$J$2466,L$1)</f>
        <v>0</v>
      </c>
      <c r="M165" s="183">
        <f>SUMIFS('май 2025'!$G$5:$G$2466,'май 2025'!$D$5:$D$2466,$B165,'май 2025'!$J$5:$J$2466,M$1)</f>
        <v>0</v>
      </c>
      <c r="N165" s="183">
        <f>SUMIFS('май 2025'!$G$5:$G$2466,'май 2025'!$D$5:$D$2466,$B165,'май 2025'!$J$5:$J$2466,N$1)</f>
        <v>0</v>
      </c>
      <c r="O165" s="183">
        <f>SUMIFS('май 2025'!$G$5:$G$2466,'май 2025'!$D$5:$D$2466,$B165,'май 2025'!$J$5:$J$2466,O$1)</f>
        <v>0</v>
      </c>
      <c r="P165" s="183">
        <f>SUMIFS('май 2025'!$G$5:$G$2466,'май 2025'!$D$5:$D$2466,$B165,'май 2025'!$J$5:$J$2466,P$1)</f>
        <v>0</v>
      </c>
      <c r="Q165" s="183">
        <f>SUMIFS('май 2025'!$G$5:$G$2466,'май 2025'!$D$5:$D$2466,$B165,'май 2025'!$J$5:$J$2466,Q$1)</f>
        <v>0</v>
      </c>
      <c r="R165" s="183">
        <f>SUMIFS('май 2025'!$G$5:$G$2466,'май 2025'!$D$5:$D$2466,$B165,'май 2025'!$J$5:$J$2466,R$1)</f>
        <v>0</v>
      </c>
      <c r="S165" s="183">
        <f>SUMIFS('май 2025'!$G$5:$G$2466,'май 2025'!$D$5:$D$2466,$B165,'май 2025'!$J$5:$J$2466,S$1)</f>
        <v>0</v>
      </c>
      <c r="T165" s="183">
        <f>SUMIFS('май 2025'!$G$5:$G$2466,'май 2025'!$D$5:$D$2466,$B165,'май 2025'!$J$5:$J$2466,T$1)</f>
        <v>0</v>
      </c>
      <c r="U165" s="183">
        <f>SUMIFS('май 2025'!$G$5:$G$2466,'май 2025'!$D$5:$D$2466,$B165,'май 2025'!$J$5:$J$2466,U$1)</f>
        <v>0</v>
      </c>
      <c r="V165" s="183">
        <f>SUMIFS('май 2025'!$G$5:$G$2466,'май 2025'!$D$5:$D$2466,$B165,'май 2025'!$J$5:$J$2466,V$1)</f>
        <v>0</v>
      </c>
      <c r="W165" s="183">
        <f>SUMIFS('май 2025'!$G$5:$G$2466,'май 2025'!$D$5:$D$2466,$B165,'май 2025'!$J$5:$J$2466,W$1)</f>
        <v>0</v>
      </c>
      <c r="X165" s="183">
        <f>SUMIFS('май 2025'!$G$5:$G$2466,'май 2025'!$D$5:$D$2466,$B165,'май 2025'!$J$5:$J$2466,X$1)</f>
        <v>0</v>
      </c>
      <c r="Y165" s="183">
        <f>SUMIFS('май 2025'!$G$5:$G$2466,'май 2025'!$D$5:$D$2466,$B165,'май 2025'!$J$5:$J$2466,Y$1)</f>
        <v>0</v>
      </c>
      <c r="Z165" s="183">
        <f>SUMIFS('май 2025'!$G$5:$G$2466,'май 2025'!$D$5:$D$2466,$B165,'май 2025'!$J$5:$J$2466,Z$1)</f>
        <v>0</v>
      </c>
      <c r="AA165" s="183">
        <f>SUMIFS('май 2025'!$G$5:$G$2466,'май 2025'!$D$5:$D$2466,$B165,'май 2025'!$J$5:$J$2466,AA$1)</f>
        <v>0</v>
      </c>
      <c r="AB165" s="183">
        <f>SUMIFS('май 2025'!$G$5:$G$2466,'май 2025'!$D$5:$D$2466,$B165,'май 2025'!$J$5:$J$2466,AB$1)</f>
        <v>0</v>
      </c>
      <c r="AC165" s="183">
        <f>SUMIFS('май 2025'!$G$5:$G$2466,'май 2025'!$D$5:$D$2466,$B165,'май 2025'!$J$5:$J$2466,AC$1)</f>
        <v>0</v>
      </c>
      <c r="AD165" s="183">
        <f>SUMIFS('май 2025'!$G$5:$G$2466,'май 2025'!$D$5:$D$2466,$B165,'май 2025'!$J$5:$J$2466,AD$1)</f>
        <v>0</v>
      </c>
      <c r="AE165" s="183">
        <f>SUMIFS('май 2025'!$G$5:$G$2466,'май 2025'!$D$5:$D$2466,$B165,'май 2025'!$J$5:$J$2466,AE$1)</f>
        <v>0</v>
      </c>
      <c r="AF165" s="183">
        <f>SUMIFS('май 2025'!$G$5:$G$2466,'май 2025'!$D$5:$D$2466,$B165,'май 2025'!$J$5:$J$2466,AF$1)</f>
        <v>0</v>
      </c>
      <c r="AG165" s="183">
        <f>SUMIFS('май 2025'!$G$5:$G$2466,'май 2025'!$D$5:$D$2466,$B165,'май 2025'!$J$5:$J$2466,AG$1)</f>
        <v>0</v>
      </c>
      <c r="AH165" s="183">
        <f>SUMIFS('май 2025'!$G$5:$G$2466,'май 2025'!$D$5:$D$2466,$B165,'май 2025'!$J$5:$J$2466,AH$1)</f>
        <v>0</v>
      </c>
      <c r="AI165" s="20">
        <f t="shared" si="5"/>
        <v>0</v>
      </c>
    </row>
    <row r="166" spans="2:35" ht="15" customHeight="1" x14ac:dyDescent="0.25">
      <c r="B166" s="84" t="s">
        <v>995</v>
      </c>
      <c r="C166" s="83">
        <v>200</v>
      </c>
      <c r="D166" s="183">
        <f>SUMIFS('май 2025'!$G$5:$G$2466,'май 2025'!$D$5:$D$2466,$B166,'май 2025'!$J$5:$J$2466,D$1)</f>
        <v>0</v>
      </c>
      <c r="E166" s="183">
        <f>SUMIFS('май 2025'!$G$5:$G$2466,'май 2025'!$D$5:$D$2466,$B166,'май 2025'!$J$5:$J$2466,E$1)</f>
        <v>0</v>
      </c>
      <c r="F166" s="183">
        <f>SUMIFS('май 2025'!$G$5:$G$2466,'май 2025'!$D$5:$D$2466,$B166,'май 2025'!$J$5:$J$2466,F$1)</f>
        <v>0</v>
      </c>
      <c r="G166" s="183">
        <f>SUMIFS('май 2025'!$G$5:$G$2466,'май 2025'!$D$5:$D$2466,$B166,'май 2025'!$J$5:$J$2466,G$1)</f>
        <v>0</v>
      </c>
      <c r="H166" s="183">
        <f>SUMIFS('май 2025'!$G$5:$G$2466,'май 2025'!$D$5:$D$2466,$B166,'май 2025'!$J$5:$J$2466,H$1)</f>
        <v>0</v>
      </c>
      <c r="I166" s="183">
        <f>SUMIFS('май 2025'!$G$5:$G$2466,'май 2025'!$D$5:$D$2466,$B166,'май 2025'!$J$5:$J$2466,I$1)</f>
        <v>0</v>
      </c>
      <c r="J166" s="183">
        <f>SUMIFS('май 2025'!$G$5:$G$2466,'май 2025'!$D$5:$D$2466,$B166,'май 2025'!$J$5:$J$2466,J$1)</f>
        <v>0</v>
      </c>
      <c r="K166" s="183">
        <f>SUMIFS('май 2025'!$G$5:$G$2466,'май 2025'!$D$5:$D$2466,$B166,'май 2025'!$J$5:$J$2466,K$1)</f>
        <v>0</v>
      </c>
      <c r="L166" s="183">
        <f>SUMIFS('май 2025'!$G$5:$G$2466,'май 2025'!$D$5:$D$2466,$B166,'май 2025'!$J$5:$J$2466,L$1)</f>
        <v>0</v>
      </c>
      <c r="M166" s="183">
        <f>SUMIFS('май 2025'!$G$5:$G$2466,'май 2025'!$D$5:$D$2466,$B166,'май 2025'!$J$5:$J$2466,M$1)</f>
        <v>0</v>
      </c>
      <c r="N166" s="183">
        <f>SUMIFS('май 2025'!$G$5:$G$2466,'май 2025'!$D$5:$D$2466,$B166,'май 2025'!$J$5:$J$2466,N$1)</f>
        <v>0</v>
      </c>
      <c r="O166" s="183">
        <f>SUMIFS('май 2025'!$G$5:$G$2466,'май 2025'!$D$5:$D$2466,$B166,'май 2025'!$J$5:$J$2466,O$1)</f>
        <v>0</v>
      </c>
      <c r="P166" s="183">
        <f>SUMIFS('май 2025'!$G$5:$G$2466,'май 2025'!$D$5:$D$2466,$B166,'май 2025'!$J$5:$J$2466,P$1)</f>
        <v>0</v>
      </c>
      <c r="Q166" s="183">
        <f>SUMIFS('май 2025'!$G$5:$G$2466,'май 2025'!$D$5:$D$2466,$B166,'май 2025'!$J$5:$J$2466,Q$1)</f>
        <v>0</v>
      </c>
      <c r="R166" s="183">
        <f>SUMIFS('май 2025'!$G$5:$G$2466,'май 2025'!$D$5:$D$2466,$B166,'май 2025'!$J$5:$J$2466,R$1)</f>
        <v>0</v>
      </c>
      <c r="S166" s="183">
        <f>SUMIFS('май 2025'!$G$5:$G$2466,'май 2025'!$D$5:$D$2466,$B166,'май 2025'!$J$5:$J$2466,S$1)</f>
        <v>0</v>
      </c>
      <c r="T166" s="183">
        <f>SUMIFS('май 2025'!$G$5:$G$2466,'май 2025'!$D$5:$D$2466,$B166,'май 2025'!$J$5:$J$2466,T$1)</f>
        <v>0</v>
      </c>
      <c r="U166" s="183">
        <f>SUMIFS('май 2025'!$G$5:$G$2466,'май 2025'!$D$5:$D$2466,$B166,'май 2025'!$J$5:$J$2466,U$1)</f>
        <v>0</v>
      </c>
      <c r="V166" s="183">
        <f>SUMIFS('май 2025'!$G$5:$G$2466,'май 2025'!$D$5:$D$2466,$B166,'май 2025'!$J$5:$J$2466,V$1)</f>
        <v>0</v>
      </c>
      <c r="W166" s="183">
        <f>SUMIFS('май 2025'!$G$5:$G$2466,'май 2025'!$D$5:$D$2466,$B166,'май 2025'!$J$5:$J$2466,W$1)</f>
        <v>0</v>
      </c>
      <c r="X166" s="183">
        <f>SUMIFS('май 2025'!$G$5:$G$2466,'май 2025'!$D$5:$D$2466,$B166,'май 2025'!$J$5:$J$2466,X$1)</f>
        <v>0</v>
      </c>
      <c r="Y166" s="183">
        <f>SUMIFS('май 2025'!$G$5:$G$2466,'май 2025'!$D$5:$D$2466,$B166,'май 2025'!$J$5:$J$2466,Y$1)</f>
        <v>0</v>
      </c>
      <c r="Z166" s="183">
        <f>SUMIFS('май 2025'!$G$5:$G$2466,'май 2025'!$D$5:$D$2466,$B166,'май 2025'!$J$5:$J$2466,Z$1)</f>
        <v>0</v>
      </c>
      <c r="AA166" s="183">
        <f>SUMIFS('май 2025'!$G$5:$G$2466,'май 2025'!$D$5:$D$2466,$B166,'май 2025'!$J$5:$J$2466,AA$1)</f>
        <v>0</v>
      </c>
      <c r="AB166" s="183">
        <f>SUMIFS('май 2025'!$G$5:$G$2466,'май 2025'!$D$5:$D$2466,$B166,'май 2025'!$J$5:$J$2466,AB$1)</f>
        <v>0</v>
      </c>
      <c r="AC166" s="183">
        <f>SUMIFS('май 2025'!$G$5:$G$2466,'май 2025'!$D$5:$D$2466,$B166,'май 2025'!$J$5:$J$2466,AC$1)</f>
        <v>0</v>
      </c>
      <c r="AD166" s="183">
        <f>SUMIFS('май 2025'!$G$5:$G$2466,'май 2025'!$D$5:$D$2466,$B166,'май 2025'!$J$5:$J$2466,AD$1)</f>
        <v>0</v>
      </c>
      <c r="AE166" s="183">
        <f>SUMIFS('май 2025'!$G$5:$G$2466,'май 2025'!$D$5:$D$2466,$B166,'май 2025'!$J$5:$J$2466,AE$1)</f>
        <v>0</v>
      </c>
      <c r="AF166" s="183">
        <f>SUMIFS('май 2025'!$G$5:$G$2466,'май 2025'!$D$5:$D$2466,$B166,'май 2025'!$J$5:$J$2466,AF$1)</f>
        <v>0</v>
      </c>
      <c r="AG166" s="183">
        <f>SUMIFS('май 2025'!$G$5:$G$2466,'май 2025'!$D$5:$D$2466,$B166,'май 2025'!$J$5:$J$2466,AG$1)</f>
        <v>0</v>
      </c>
      <c r="AH166" s="183">
        <f>SUMIFS('май 2025'!$G$5:$G$2466,'май 2025'!$D$5:$D$2466,$B166,'май 2025'!$J$5:$J$2466,AH$1)</f>
        <v>0</v>
      </c>
      <c r="AI166" s="20">
        <f t="shared" si="5"/>
        <v>0</v>
      </c>
    </row>
    <row r="167" spans="2:35" ht="15" customHeight="1" x14ac:dyDescent="0.25">
      <c r="B167" s="84"/>
      <c r="C167" s="83"/>
      <c r="D167" s="183"/>
      <c r="E167" s="183"/>
      <c r="F167" s="183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  <c r="AA167" s="183"/>
      <c r="AB167" s="183"/>
      <c r="AC167" s="183"/>
      <c r="AD167" s="183"/>
      <c r="AE167" s="183"/>
      <c r="AF167" s="183"/>
      <c r="AG167" s="183"/>
      <c r="AH167" s="183"/>
      <c r="AI167" s="20"/>
    </row>
    <row r="168" spans="2:35" ht="15" customHeight="1" x14ac:dyDescent="0.25">
      <c r="B168" s="84"/>
      <c r="C168" s="83"/>
      <c r="D168" s="183"/>
      <c r="E168" s="183"/>
      <c r="F168" s="183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  <c r="AA168" s="183"/>
      <c r="AB168" s="183"/>
      <c r="AC168" s="183"/>
      <c r="AD168" s="183"/>
      <c r="AE168" s="183"/>
      <c r="AF168" s="183"/>
      <c r="AG168" s="183"/>
      <c r="AH168" s="183"/>
      <c r="AI168" s="20"/>
    </row>
    <row r="169" spans="2:35" ht="15" customHeight="1" x14ac:dyDescent="0.25">
      <c r="B169" s="84"/>
      <c r="C169" s="83"/>
      <c r="D169" s="183"/>
      <c r="E169" s="183"/>
      <c r="F169" s="183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  <c r="AA169" s="183"/>
      <c r="AB169" s="183"/>
      <c r="AC169" s="183"/>
      <c r="AD169" s="183"/>
      <c r="AE169" s="183"/>
      <c r="AF169" s="183"/>
      <c r="AG169" s="183"/>
      <c r="AH169" s="183"/>
      <c r="AI169" s="20"/>
    </row>
    <row r="170" spans="2:35" ht="15" customHeight="1" x14ac:dyDescent="0.25">
      <c r="B170" s="84"/>
      <c r="C170" s="83"/>
      <c r="D170" s="183"/>
      <c r="E170" s="183"/>
      <c r="F170" s="183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  <c r="AA170" s="183"/>
      <c r="AB170" s="183"/>
      <c r="AC170" s="183"/>
      <c r="AD170" s="183"/>
      <c r="AE170" s="183"/>
      <c r="AF170" s="183"/>
      <c r="AG170" s="183"/>
      <c r="AH170" s="183"/>
      <c r="AI170" s="20"/>
    </row>
    <row r="171" spans="2:35" ht="15" customHeight="1" x14ac:dyDescent="0.25">
      <c r="B171" s="84"/>
      <c r="C171" s="83"/>
      <c r="D171" s="183"/>
      <c r="E171" s="183"/>
      <c r="F171" s="183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  <c r="AA171" s="183"/>
      <c r="AB171" s="183"/>
      <c r="AC171" s="183"/>
      <c r="AD171" s="183"/>
      <c r="AE171" s="183"/>
      <c r="AF171" s="183"/>
      <c r="AG171" s="183"/>
      <c r="AH171" s="183"/>
      <c r="AI171" s="20"/>
    </row>
    <row r="172" spans="2:35" ht="15" customHeight="1" x14ac:dyDescent="0.25">
      <c r="B172" s="84"/>
      <c r="C172" s="83"/>
      <c r="D172" s="183"/>
      <c r="E172" s="183"/>
      <c r="F172" s="183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  <c r="AA172" s="183"/>
      <c r="AB172" s="183"/>
      <c r="AC172" s="183"/>
      <c r="AD172" s="183"/>
      <c r="AE172" s="183"/>
      <c r="AF172" s="183"/>
      <c r="AG172" s="183"/>
      <c r="AH172" s="183"/>
      <c r="AI172" s="20"/>
    </row>
    <row r="173" spans="2:35" ht="15" customHeight="1" x14ac:dyDescent="0.25">
      <c r="B173" s="84"/>
      <c r="C173" s="83"/>
      <c r="D173" s="183"/>
      <c r="E173" s="183"/>
      <c r="F173" s="183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  <c r="AA173" s="183"/>
      <c r="AB173" s="183"/>
      <c r="AC173" s="183"/>
      <c r="AD173" s="183"/>
      <c r="AE173" s="183"/>
      <c r="AF173" s="183"/>
      <c r="AG173" s="183"/>
      <c r="AH173" s="183"/>
      <c r="AI173" s="20"/>
    </row>
    <row r="174" spans="2:35" ht="15" customHeight="1" x14ac:dyDescent="0.25">
      <c r="B174" s="84"/>
      <c r="C174" s="83"/>
      <c r="D174" s="183"/>
      <c r="E174" s="183"/>
      <c r="F174" s="183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  <c r="AA174" s="183"/>
      <c r="AB174" s="183"/>
      <c r="AC174" s="183"/>
      <c r="AD174" s="183"/>
      <c r="AE174" s="183"/>
      <c r="AF174" s="183"/>
      <c r="AG174" s="183"/>
      <c r="AH174" s="183"/>
      <c r="AI174" s="20"/>
    </row>
    <row r="175" spans="2:35" ht="15" customHeight="1" x14ac:dyDescent="0.25">
      <c r="B175" s="84"/>
      <c r="C175" s="83"/>
      <c r="D175" s="183"/>
      <c r="E175" s="183"/>
      <c r="F175" s="183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  <c r="AA175" s="183"/>
      <c r="AB175" s="183"/>
      <c r="AC175" s="183"/>
      <c r="AD175" s="183"/>
      <c r="AE175" s="183"/>
      <c r="AF175" s="183"/>
      <c r="AG175" s="183"/>
      <c r="AH175" s="183"/>
      <c r="AI175" s="20"/>
    </row>
    <row r="176" spans="2:35" ht="15" customHeight="1" x14ac:dyDescent="0.25">
      <c r="B176" s="84"/>
      <c r="C176" s="83"/>
      <c r="D176" s="183"/>
      <c r="E176" s="183"/>
      <c r="F176" s="183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  <c r="AA176" s="183"/>
      <c r="AB176" s="183"/>
      <c r="AC176" s="183"/>
      <c r="AD176" s="183"/>
      <c r="AE176" s="183"/>
      <c r="AF176" s="183"/>
      <c r="AG176" s="183"/>
      <c r="AH176" s="183"/>
      <c r="AI176" s="20"/>
    </row>
    <row r="177" spans="2:35" ht="15" customHeight="1" x14ac:dyDescent="0.25">
      <c r="B177" s="84"/>
      <c r="C177" s="83"/>
      <c r="D177" s="183"/>
      <c r="E177" s="183"/>
      <c r="F177" s="183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  <c r="AA177" s="183"/>
      <c r="AB177" s="183"/>
      <c r="AC177" s="183"/>
      <c r="AD177" s="183"/>
      <c r="AE177" s="183"/>
      <c r="AF177" s="183"/>
      <c r="AG177" s="183"/>
      <c r="AH177" s="183"/>
      <c r="AI177" s="20"/>
    </row>
    <row r="178" spans="2:35" ht="15" customHeight="1" x14ac:dyDescent="0.25">
      <c r="B178" s="84"/>
      <c r="C178" s="83"/>
      <c r="D178" s="183"/>
      <c r="E178" s="183"/>
      <c r="F178" s="183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  <c r="AA178" s="183"/>
      <c r="AB178" s="183"/>
      <c r="AC178" s="183"/>
      <c r="AD178" s="183"/>
      <c r="AE178" s="183"/>
      <c r="AF178" s="183"/>
      <c r="AG178" s="183"/>
      <c r="AH178" s="183"/>
      <c r="AI178" s="20"/>
    </row>
    <row r="179" spans="2:35" ht="15" customHeight="1" x14ac:dyDescent="0.25">
      <c r="B179" s="84"/>
      <c r="C179" s="83"/>
      <c r="D179" s="183"/>
      <c r="E179" s="183"/>
      <c r="F179" s="183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  <c r="AA179" s="183"/>
      <c r="AB179" s="183"/>
      <c r="AC179" s="183"/>
      <c r="AD179" s="183"/>
      <c r="AE179" s="183"/>
      <c r="AF179" s="183"/>
      <c r="AG179" s="183"/>
      <c r="AH179" s="183"/>
      <c r="AI179" s="20"/>
    </row>
    <row r="180" spans="2:35" ht="15" customHeight="1" x14ac:dyDescent="0.25">
      <c r="B180" s="84"/>
      <c r="C180" s="83"/>
      <c r="D180" s="183"/>
      <c r="E180" s="183"/>
      <c r="F180" s="183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  <c r="AA180" s="183"/>
      <c r="AB180" s="183"/>
      <c r="AC180" s="183"/>
      <c r="AD180" s="183"/>
      <c r="AE180" s="183"/>
      <c r="AF180" s="183"/>
      <c r="AG180" s="183"/>
      <c r="AH180" s="183"/>
      <c r="AI180" s="20"/>
    </row>
    <row r="181" spans="2:35" ht="15" customHeight="1" x14ac:dyDescent="0.25">
      <c r="B181" s="84"/>
      <c r="C181" s="83"/>
      <c r="D181" s="183"/>
      <c r="E181" s="183"/>
      <c r="F181" s="183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  <c r="AA181" s="183"/>
      <c r="AB181" s="183"/>
      <c r="AC181" s="183"/>
      <c r="AD181" s="183"/>
      <c r="AE181" s="183"/>
      <c r="AF181" s="183"/>
      <c r="AG181" s="183"/>
      <c r="AH181" s="183"/>
      <c r="AI181" s="20"/>
    </row>
    <row r="182" spans="2:35" ht="15" customHeight="1" x14ac:dyDescent="0.25">
      <c r="B182" s="84"/>
      <c r="C182" s="83"/>
      <c r="D182" s="183"/>
      <c r="E182" s="183"/>
      <c r="F182" s="183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  <c r="AA182" s="183"/>
      <c r="AB182" s="183"/>
      <c r="AC182" s="183"/>
      <c r="AD182" s="183"/>
      <c r="AE182" s="183"/>
      <c r="AF182" s="183"/>
      <c r="AG182" s="183"/>
      <c r="AH182" s="183"/>
      <c r="AI182" s="20"/>
    </row>
    <row r="183" spans="2:35" ht="15" customHeight="1" x14ac:dyDescent="0.25">
      <c r="B183" s="84"/>
      <c r="C183" s="83"/>
      <c r="D183" s="183"/>
      <c r="E183" s="183"/>
      <c r="F183" s="183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  <c r="AA183" s="183"/>
      <c r="AB183" s="183"/>
      <c r="AC183" s="183"/>
      <c r="AD183" s="183"/>
      <c r="AE183" s="183"/>
      <c r="AF183" s="183"/>
      <c r="AG183" s="183"/>
      <c r="AH183" s="183"/>
      <c r="AI183" s="20"/>
    </row>
    <row r="184" spans="2:35" ht="15" customHeight="1" x14ac:dyDescent="0.25">
      <c r="B184" s="84"/>
      <c r="C184" s="83"/>
      <c r="D184" s="183"/>
      <c r="E184" s="183"/>
      <c r="F184" s="183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  <c r="AA184" s="183"/>
      <c r="AB184" s="183"/>
      <c r="AC184" s="183"/>
      <c r="AD184" s="183"/>
      <c r="AE184" s="183"/>
      <c r="AF184" s="183"/>
      <c r="AG184" s="183"/>
      <c r="AH184" s="183"/>
      <c r="AI184" s="20"/>
    </row>
    <row r="185" spans="2:35" ht="15" customHeight="1" x14ac:dyDescent="0.25">
      <c r="B185" s="84"/>
      <c r="C185" s="83"/>
      <c r="D185" s="183"/>
      <c r="E185" s="183"/>
      <c r="F185" s="183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  <c r="AA185" s="183"/>
      <c r="AB185" s="183"/>
      <c r="AC185" s="183"/>
      <c r="AD185" s="183"/>
      <c r="AE185" s="183"/>
      <c r="AF185" s="183"/>
      <c r="AG185" s="183"/>
      <c r="AH185" s="183"/>
      <c r="AI185" s="20"/>
    </row>
    <row r="186" spans="2:35" ht="15" customHeight="1" x14ac:dyDescent="0.25">
      <c r="B186" s="84"/>
      <c r="C186" s="83"/>
      <c r="D186" s="183"/>
      <c r="E186" s="183"/>
      <c r="F186" s="183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  <c r="AA186" s="183"/>
      <c r="AB186" s="183"/>
      <c r="AC186" s="183"/>
      <c r="AD186" s="183"/>
      <c r="AE186" s="183"/>
      <c r="AF186" s="183"/>
      <c r="AG186" s="183"/>
      <c r="AH186" s="183"/>
      <c r="AI186" s="20"/>
    </row>
    <row r="187" spans="2:35" ht="15" customHeight="1" x14ac:dyDescent="0.25">
      <c r="B187" s="84"/>
      <c r="C187" s="83"/>
      <c r="D187" s="183"/>
      <c r="E187" s="183"/>
      <c r="F187" s="183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  <c r="AA187" s="183"/>
      <c r="AB187" s="183"/>
      <c r="AC187" s="183"/>
      <c r="AD187" s="183"/>
      <c r="AE187" s="183"/>
      <c r="AF187" s="183"/>
      <c r="AG187" s="183"/>
      <c r="AH187" s="183"/>
      <c r="AI187" s="20"/>
    </row>
    <row r="188" spans="2:35" ht="15" customHeight="1" x14ac:dyDescent="0.25">
      <c r="B188" s="84"/>
      <c r="C188" s="83"/>
      <c r="D188" s="183"/>
      <c r="E188" s="183"/>
      <c r="F188" s="183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  <c r="AA188" s="183"/>
      <c r="AB188" s="183"/>
      <c r="AC188" s="183"/>
      <c r="AD188" s="183"/>
      <c r="AE188" s="183"/>
      <c r="AF188" s="183"/>
      <c r="AG188" s="183"/>
      <c r="AH188" s="183"/>
      <c r="AI188" s="20"/>
    </row>
    <row r="189" spans="2:35" ht="15" customHeight="1" x14ac:dyDescent="0.25">
      <c r="B189" s="84"/>
      <c r="C189" s="83"/>
      <c r="D189" s="183"/>
      <c r="E189" s="183"/>
      <c r="F189" s="183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  <c r="AA189" s="183"/>
      <c r="AB189" s="183"/>
      <c r="AC189" s="183"/>
      <c r="AD189" s="183"/>
      <c r="AE189" s="183"/>
      <c r="AF189" s="183"/>
      <c r="AG189" s="183"/>
      <c r="AH189" s="183"/>
      <c r="AI189" s="20"/>
    </row>
    <row r="190" spans="2:35" ht="15" customHeight="1" x14ac:dyDescent="0.25">
      <c r="B190" s="84"/>
      <c r="C190" s="83"/>
      <c r="D190" s="183"/>
      <c r="E190" s="183"/>
      <c r="F190" s="183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  <c r="AA190" s="183"/>
      <c r="AB190" s="183"/>
      <c r="AC190" s="183"/>
      <c r="AD190" s="183"/>
      <c r="AE190" s="183"/>
      <c r="AF190" s="183"/>
      <c r="AG190" s="183"/>
      <c r="AH190" s="183"/>
      <c r="AI190" s="20"/>
    </row>
    <row r="191" spans="2:35" ht="15" customHeight="1" x14ac:dyDescent="0.25">
      <c r="B191" s="84"/>
      <c r="C191" s="83"/>
      <c r="D191" s="183"/>
      <c r="E191" s="183"/>
      <c r="F191" s="183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  <c r="AA191" s="183"/>
      <c r="AB191" s="183"/>
      <c r="AC191" s="183"/>
      <c r="AD191" s="183"/>
      <c r="AE191" s="183"/>
      <c r="AF191" s="183"/>
      <c r="AG191" s="183"/>
      <c r="AH191" s="183"/>
      <c r="AI191" s="20"/>
    </row>
    <row r="192" spans="2:35" ht="15" customHeight="1" x14ac:dyDescent="0.25">
      <c r="B192" s="84"/>
      <c r="C192" s="83"/>
      <c r="D192" s="183"/>
      <c r="E192" s="183"/>
      <c r="F192" s="183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  <c r="AA192" s="183"/>
      <c r="AB192" s="183"/>
      <c r="AC192" s="183"/>
      <c r="AD192" s="183"/>
      <c r="AE192" s="183"/>
      <c r="AF192" s="183"/>
      <c r="AG192" s="183"/>
      <c r="AH192" s="183"/>
      <c r="AI192" s="20"/>
    </row>
    <row r="193" spans="2:35" ht="15" customHeight="1" x14ac:dyDescent="0.25">
      <c r="B193" s="84"/>
      <c r="C193" s="83"/>
      <c r="D193" s="183"/>
      <c r="E193" s="183"/>
      <c r="F193" s="183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  <c r="AA193" s="183"/>
      <c r="AB193" s="183"/>
      <c r="AC193" s="183"/>
      <c r="AD193" s="183"/>
      <c r="AE193" s="183"/>
      <c r="AF193" s="183"/>
      <c r="AG193" s="183"/>
      <c r="AH193" s="183"/>
      <c r="AI193" s="20"/>
    </row>
    <row r="194" spans="2:35" ht="15" customHeight="1" x14ac:dyDescent="0.25">
      <c r="B194" s="84"/>
      <c r="C194" s="83"/>
      <c r="D194" s="183"/>
      <c r="E194" s="183"/>
      <c r="F194" s="183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  <c r="AA194" s="183"/>
      <c r="AB194" s="183"/>
      <c r="AC194" s="183"/>
      <c r="AD194" s="183"/>
      <c r="AE194" s="183"/>
      <c r="AF194" s="183"/>
      <c r="AG194" s="183"/>
      <c r="AH194" s="183"/>
      <c r="AI194" s="20"/>
    </row>
    <row r="195" spans="2:35" ht="15" customHeight="1" x14ac:dyDescent="0.25">
      <c r="B195" s="84"/>
      <c r="C195" s="83"/>
      <c r="D195" s="183"/>
      <c r="E195" s="183"/>
      <c r="F195" s="183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  <c r="AA195" s="183"/>
      <c r="AB195" s="183"/>
      <c r="AC195" s="183"/>
      <c r="AD195" s="183"/>
      <c r="AE195" s="183"/>
      <c r="AF195" s="183"/>
      <c r="AG195" s="183"/>
      <c r="AH195" s="183"/>
      <c r="AI195" s="20"/>
    </row>
    <row r="196" spans="2:35" ht="15" customHeight="1" x14ac:dyDescent="0.25">
      <c r="B196" s="84"/>
      <c r="C196" s="83"/>
      <c r="D196" s="183"/>
      <c r="E196" s="183"/>
      <c r="F196" s="183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  <c r="AA196" s="183"/>
      <c r="AB196" s="183"/>
      <c r="AC196" s="183"/>
      <c r="AD196" s="183"/>
      <c r="AE196" s="183"/>
      <c r="AF196" s="183"/>
      <c r="AG196" s="183"/>
      <c r="AH196" s="183"/>
      <c r="AI196" s="20"/>
    </row>
    <row r="197" spans="2:35" ht="15" customHeight="1" x14ac:dyDescent="0.25">
      <c r="B197" s="84"/>
      <c r="C197" s="83"/>
      <c r="D197" s="183"/>
      <c r="E197" s="183"/>
      <c r="F197" s="183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  <c r="AA197" s="183"/>
      <c r="AB197" s="183"/>
      <c r="AC197" s="183"/>
      <c r="AD197" s="183"/>
      <c r="AE197" s="183"/>
      <c r="AF197" s="183"/>
      <c r="AG197" s="183"/>
      <c r="AH197" s="183"/>
      <c r="AI197" s="20"/>
    </row>
    <row r="198" spans="2:35" ht="15" customHeight="1" x14ac:dyDescent="0.25">
      <c r="B198" s="84"/>
      <c r="C198" s="83"/>
      <c r="D198" s="183"/>
      <c r="E198" s="183"/>
      <c r="F198" s="183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20"/>
    </row>
    <row r="199" spans="2:35" ht="15" customHeight="1" x14ac:dyDescent="0.25">
      <c r="B199" s="84"/>
      <c r="C199" s="83"/>
      <c r="D199" s="183"/>
      <c r="E199" s="183"/>
      <c r="F199" s="183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  <c r="AA199" s="183"/>
      <c r="AB199" s="183"/>
      <c r="AC199" s="183"/>
      <c r="AD199" s="183"/>
      <c r="AE199" s="183"/>
      <c r="AF199" s="183"/>
      <c r="AG199" s="183"/>
      <c r="AH199" s="183"/>
      <c r="AI199" s="20"/>
    </row>
    <row r="200" spans="2:35" ht="15" customHeight="1" x14ac:dyDescent="0.25">
      <c r="B200" s="84"/>
      <c r="C200" s="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  <c r="AA200" s="183"/>
      <c r="AB200" s="183"/>
      <c r="AC200" s="183"/>
      <c r="AD200" s="183"/>
      <c r="AE200" s="183"/>
      <c r="AF200" s="183"/>
      <c r="AG200" s="183"/>
      <c r="AH200" s="183"/>
      <c r="AI200" s="20"/>
    </row>
    <row r="201" spans="2:35" ht="15" customHeight="1" x14ac:dyDescent="0.25">
      <c r="B201" s="84"/>
      <c r="C201" s="83"/>
      <c r="D201" s="183"/>
      <c r="E201" s="183"/>
      <c r="F201" s="183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  <c r="AA201" s="183"/>
      <c r="AB201" s="183"/>
      <c r="AC201" s="183"/>
      <c r="AD201" s="183"/>
      <c r="AE201" s="183"/>
      <c r="AF201" s="183"/>
      <c r="AG201" s="183"/>
      <c r="AH201" s="183"/>
      <c r="AI201" s="20"/>
    </row>
    <row r="202" spans="2:35" ht="15" customHeight="1" x14ac:dyDescent="0.25">
      <c r="B202" s="84"/>
      <c r="C202" s="83"/>
      <c r="D202" s="183"/>
      <c r="E202" s="183"/>
      <c r="F202" s="183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  <c r="AA202" s="183"/>
      <c r="AB202" s="183"/>
      <c r="AC202" s="183"/>
      <c r="AD202" s="183"/>
      <c r="AE202" s="183"/>
      <c r="AF202" s="183"/>
      <c r="AG202" s="183"/>
      <c r="AH202" s="183"/>
      <c r="AI202" s="20"/>
    </row>
    <row r="203" spans="2:35" ht="15" customHeight="1" x14ac:dyDescent="0.25">
      <c r="B203" s="84"/>
      <c r="C203" s="83"/>
      <c r="D203" s="183"/>
      <c r="E203" s="183"/>
      <c r="F203" s="183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  <c r="AA203" s="183"/>
      <c r="AB203" s="183"/>
      <c r="AC203" s="183"/>
      <c r="AD203" s="183"/>
      <c r="AE203" s="183"/>
      <c r="AF203" s="183"/>
      <c r="AG203" s="183"/>
      <c r="AH203" s="183"/>
      <c r="AI203" s="20"/>
    </row>
    <row r="204" spans="2:35" ht="15" customHeight="1" x14ac:dyDescent="0.25">
      <c r="B204" s="84"/>
      <c r="C204" s="83"/>
      <c r="D204" s="183"/>
      <c r="E204" s="183"/>
      <c r="F204" s="183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  <c r="AA204" s="183"/>
      <c r="AB204" s="183"/>
      <c r="AC204" s="183"/>
      <c r="AD204" s="183"/>
      <c r="AE204" s="183"/>
      <c r="AF204" s="183"/>
      <c r="AG204" s="183"/>
      <c r="AH204" s="183"/>
      <c r="AI204" s="20"/>
    </row>
    <row r="205" spans="2:35" ht="15" customHeight="1" x14ac:dyDescent="0.25">
      <c r="B205" s="84"/>
      <c r="C205" s="83"/>
      <c r="D205" s="183"/>
      <c r="E205" s="183"/>
      <c r="F205" s="183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  <c r="AA205" s="183"/>
      <c r="AB205" s="183"/>
      <c r="AC205" s="183"/>
      <c r="AD205" s="183"/>
      <c r="AE205" s="183"/>
      <c r="AF205" s="183"/>
      <c r="AG205" s="183"/>
      <c r="AH205" s="183"/>
      <c r="AI205" s="20"/>
    </row>
    <row r="206" spans="2:35" ht="15" customHeight="1" x14ac:dyDescent="0.25">
      <c r="B206" s="84"/>
      <c r="C206" s="83"/>
      <c r="D206" s="183"/>
      <c r="E206" s="183"/>
      <c r="F206" s="183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  <c r="AA206" s="183"/>
      <c r="AB206" s="183"/>
      <c r="AC206" s="183"/>
      <c r="AD206" s="183"/>
      <c r="AE206" s="183"/>
      <c r="AF206" s="183"/>
      <c r="AG206" s="183"/>
      <c r="AH206" s="183"/>
      <c r="AI206" s="20"/>
    </row>
    <row r="207" spans="2:35" ht="15.75" x14ac:dyDescent="0.25">
      <c r="B207" s="84"/>
      <c r="C207" s="83"/>
      <c r="D207" s="183"/>
      <c r="E207" s="183"/>
      <c r="F207" s="183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  <c r="AA207" s="183"/>
      <c r="AB207" s="183"/>
      <c r="AC207" s="183"/>
      <c r="AD207" s="183"/>
      <c r="AE207" s="183"/>
      <c r="AF207" s="183"/>
      <c r="AG207" s="183"/>
      <c r="AH207" s="183"/>
      <c r="AI207" s="20"/>
    </row>
    <row r="208" spans="2:35" ht="15.75" x14ac:dyDescent="0.25">
      <c r="B208" s="84"/>
      <c r="C208" s="83"/>
      <c r="D208" s="183"/>
      <c r="E208" s="183"/>
      <c r="F208" s="183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  <c r="AA208" s="183"/>
      <c r="AB208" s="183"/>
      <c r="AC208" s="183"/>
      <c r="AD208" s="183"/>
      <c r="AE208" s="183"/>
      <c r="AF208" s="183"/>
      <c r="AG208" s="183"/>
      <c r="AH208" s="183"/>
      <c r="AI208" s="20"/>
    </row>
    <row r="209" spans="2:35" ht="15.75" x14ac:dyDescent="0.25">
      <c r="B209" s="84"/>
      <c r="C209" s="83"/>
      <c r="D209" s="183"/>
      <c r="E209" s="183"/>
      <c r="F209" s="183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  <c r="AA209" s="183"/>
      <c r="AB209" s="183"/>
      <c r="AC209" s="183"/>
      <c r="AD209" s="183"/>
      <c r="AE209" s="183"/>
      <c r="AF209" s="183"/>
      <c r="AG209" s="183"/>
      <c r="AH209" s="183"/>
      <c r="AI209" s="20"/>
    </row>
    <row r="210" spans="2:35" ht="15.75" x14ac:dyDescent="0.25">
      <c r="B210" s="84"/>
      <c r="C210" s="83"/>
      <c r="D210" s="183"/>
      <c r="E210" s="183"/>
      <c r="F210" s="183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  <c r="AA210" s="183"/>
      <c r="AB210" s="183"/>
      <c r="AC210" s="183"/>
      <c r="AD210" s="183"/>
      <c r="AE210" s="183"/>
      <c r="AF210" s="183"/>
      <c r="AG210" s="183"/>
      <c r="AH210" s="183"/>
      <c r="AI210" s="20"/>
    </row>
    <row r="211" spans="2:35" ht="15.75" x14ac:dyDescent="0.25">
      <c r="B211" s="84"/>
      <c r="C211" s="83"/>
      <c r="D211" s="183"/>
      <c r="E211" s="183"/>
      <c r="F211" s="183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  <c r="AA211" s="183"/>
      <c r="AB211" s="183"/>
      <c r="AC211" s="183"/>
      <c r="AD211" s="183"/>
      <c r="AE211" s="183"/>
      <c r="AF211" s="183"/>
      <c r="AG211" s="183"/>
      <c r="AH211" s="183"/>
      <c r="AI211" s="20"/>
    </row>
    <row r="212" spans="2:35" ht="15.75" x14ac:dyDescent="0.25">
      <c r="B212" s="84"/>
      <c r="C212" s="83"/>
      <c r="D212" s="183"/>
      <c r="E212" s="183"/>
      <c r="F212" s="183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  <c r="AA212" s="183"/>
      <c r="AB212" s="183"/>
      <c r="AC212" s="183"/>
      <c r="AD212" s="183"/>
      <c r="AE212" s="183"/>
      <c r="AF212" s="183"/>
      <c r="AG212" s="183"/>
      <c r="AH212" s="183"/>
      <c r="AI212" s="20"/>
    </row>
    <row r="213" spans="2:35" ht="15.75" x14ac:dyDescent="0.25">
      <c r="B213" s="84"/>
      <c r="C213" s="83"/>
      <c r="D213" s="183"/>
      <c r="E213" s="183"/>
      <c r="F213" s="183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  <c r="AA213" s="183"/>
      <c r="AB213" s="183"/>
      <c r="AC213" s="183"/>
      <c r="AD213" s="183"/>
      <c r="AE213" s="183"/>
      <c r="AF213" s="183"/>
      <c r="AG213" s="183"/>
      <c r="AH213" s="183"/>
      <c r="AI213" s="20"/>
    </row>
    <row r="214" spans="2:35" ht="15.75" x14ac:dyDescent="0.25">
      <c r="B214" s="84"/>
      <c r="C214" s="83"/>
      <c r="D214" s="183"/>
      <c r="E214" s="183"/>
      <c r="F214" s="183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  <c r="AA214" s="183"/>
      <c r="AB214" s="183"/>
      <c r="AC214" s="183"/>
      <c r="AD214" s="183"/>
      <c r="AE214" s="183"/>
      <c r="AF214" s="183"/>
      <c r="AG214" s="183"/>
      <c r="AH214" s="183"/>
      <c r="AI214" s="20"/>
    </row>
    <row r="215" spans="2:35" ht="15.75" x14ac:dyDescent="0.25">
      <c r="B215" s="84"/>
      <c r="C215" s="83"/>
      <c r="D215" s="183"/>
      <c r="E215" s="183"/>
      <c r="F215" s="183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  <c r="AA215" s="183"/>
      <c r="AB215" s="183"/>
      <c r="AC215" s="183"/>
      <c r="AD215" s="183"/>
      <c r="AE215" s="183"/>
      <c r="AF215" s="183"/>
      <c r="AG215" s="183"/>
      <c r="AH215" s="183"/>
      <c r="AI215" s="20"/>
    </row>
    <row r="216" spans="2:35" ht="15.75" x14ac:dyDescent="0.25">
      <c r="B216" s="84"/>
      <c r="C216" s="83"/>
      <c r="D216" s="183"/>
      <c r="E216" s="183"/>
      <c r="F216" s="183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  <c r="AA216" s="183"/>
      <c r="AB216" s="183"/>
      <c r="AC216" s="183"/>
      <c r="AD216" s="183"/>
      <c r="AE216" s="183"/>
      <c r="AF216" s="183"/>
      <c r="AG216" s="183"/>
      <c r="AH216" s="183"/>
      <c r="AI216" s="20"/>
    </row>
    <row r="217" spans="2:35" ht="15.75" x14ac:dyDescent="0.25">
      <c r="B217" s="84"/>
      <c r="C217" s="83"/>
      <c r="D217" s="183"/>
      <c r="E217" s="183"/>
      <c r="F217" s="183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  <c r="AA217" s="183"/>
      <c r="AB217" s="183"/>
      <c r="AC217" s="183"/>
      <c r="AD217" s="183"/>
      <c r="AE217" s="183"/>
      <c r="AF217" s="183"/>
      <c r="AG217" s="183"/>
      <c r="AH217" s="183"/>
      <c r="AI217" s="20"/>
    </row>
    <row r="218" spans="2:35" ht="15.75" x14ac:dyDescent="0.25">
      <c r="B218" s="84"/>
      <c r="C218" s="83"/>
      <c r="D218" s="183"/>
      <c r="E218" s="183"/>
      <c r="F218" s="183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  <c r="AA218" s="183"/>
      <c r="AB218" s="183"/>
      <c r="AC218" s="183"/>
      <c r="AD218" s="183"/>
      <c r="AE218" s="183"/>
      <c r="AF218" s="183"/>
      <c r="AG218" s="183"/>
      <c r="AH218" s="183"/>
      <c r="AI218" s="20"/>
    </row>
    <row r="219" spans="2:35" ht="15.75" x14ac:dyDescent="0.25">
      <c r="B219" s="84"/>
      <c r="C219" s="83"/>
      <c r="D219" s="183"/>
      <c r="E219" s="183"/>
      <c r="F219" s="183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  <c r="AA219" s="183"/>
      <c r="AB219" s="183"/>
      <c r="AC219" s="183"/>
      <c r="AD219" s="183"/>
      <c r="AE219" s="183"/>
      <c r="AF219" s="183"/>
      <c r="AG219" s="183"/>
      <c r="AH219" s="183"/>
      <c r="AI219" s="20"/>
    </row>
    <row r="220" spans="2:35" ht="15.75" x14ac:dyDescent="0.25">
      <c r="B220" s="84"/>
      <c r="C220" s="83"/>
      <c r="D220" s="183"/>
      <c r="E220" s="183"/>
      <c r="F220" s="183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  <c r="AA220" s="183"/>
      <c r="AB220" s="183"/>
      <c r="AC220" s="183"/>
      <c r="AD220" s="183"/>
      <c r="AE220" s="183"/>
      <c r="AF220" s="183"/>
      <c r="AG220" s="183"/>
      <c r="AH220" s="183"/>
      <c r="AI220" s="20"/>
    </row>
    <row r="221" spans="2:35" ht="15.75" x14ac:dyDescent="0.25">
      <c r="B221" s="84"/>
      <c r="C221" s="83"/>
      <c r="D221" s="183"/>
      <c r="E221" s="183"/>
      <c r="F221" s="183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  <c r="AA221" s="183"/>
      <c r="AB221" s="183"/>
      <c r="AC221" s="183"/>
      <c r="AD221" s="183"/>
      <c r="AE221" s="183"/>
      <c r="AF221" s="183"/>
      <c r="AG221" s="183"/>
      <c r="AH221" s="183"/>
      <c r="AI221" s="20"/>
    </row>
    <row r="222" spans="2:35" ht="15.75" x14ac:dyDescent="0.25">
      <c r="B222" s="84"/>
      <c r="C222" s="83"/>
      <c r="D222" s="183"/>
      <c r="E222" s="183"/>
      <c r="F222" s="183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  <c r="AA222" s="183"/>
      <c r="AB222" s="183"/>
      <c r="AC222" s="183"/>
      <c r="AD222" s="183"/>
      <c r="AE222" s="183"/>
      <c r="AF222" s="183"/>
      <c r="AG222" s="183"/>
      <c r="AH222" s="183"/>
      <c r="AI222" s="20"/>
    </row>
    <row r="223" spans="2:35" ht="15.75" x14ac:dyDescent="0.25">
      <c r="B223" s="84"/>
      <c r="C223" s="83"/>
      <c r="D223" s="183"/>
      <c r="E223" s="183"/>
      <c r="F223" s="183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  <c r="AA223" s="183"/>
      <c r="AB223" s="183"/>
      <c r="AC223" s="183"/>
      <c r="AD223" s="183"/>
      <c r="AE223" s="183"/>
      <c r="AF223" s="183"/>
      <c r="AG223" s="183"/>
      <c r="AH223" s="183"/>
      <c r="AI223" s="20"/>
    </row>
    <row r="224" spans="2:35" ht="15.75" x14ac:dyDescent="0.25">
      <c r="B224" s="84"/>
      <c r="C224" s="83"/>
      <c r="D224" s="183"/>
      <c r="E224" s="183"/>
      <c r="F224" s="183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  <c r="AA224" s="183"/>
      <c r="AB224" s="183"/>
      <c r="AC224" s="183"/>
      <c r="AD224" s="183"/>
      <c r="AE224" s="183"/>
      <c r="AF224" s="183"/>
      <c r="AG224" s="183"/>
      <c r="AH224" s="183"/>
      <c r="AI224" s="20"/>
    </row>
    <row r="225" spans="2:35" ht="15.75" x14ac:dyDescent="0.25">
      <c r="B225" s="84"/>
      <c r="C225" s="83"/>
      <c r="D225" s="183"/>
      <c r="E225" s="183"/>
      <c r="F225" s="183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  <c r="AA225" s="183"/>
      <c r="AB225" s="183"/>
      <c r="AC225" s="183"/>
      <c r="AD225" s="183"/>
      <c r="AE225" s="183"/>
      <c r="AF225" s="183"/>
      <c r="AG225" s="183"/>
      <c r="AH225" s="183"/>
      <c r="AI225" s="20"/>
    </row>
    <row r="226" spans="2:35" ht="15.75" x14ac:dyDescent="0.25">
      <c r="B226" s="84"/>
      <c r="C226" s="83"/>
      <c r="D226" s="183"/>
      <c r="E226" s="183"/>
      <c r="F226" s="183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  <c r="AA226" s="183"/>
      <c r="AB226" s="183"/>
      <c r="AC226" s="183"/>
      <c r="AD226" s="183"/>
      <c r="AE226" s="183"/>
      <c r="AF226" s="183"/>
      <c r="AG226" s="183"/>
      <c r="AH226" s="183"/>
      <c r="AI226" s="20"/>
    </row>
    <row r="227" spans="2:35" ht="15.75" x14ac:dyDescent="0.25">
      <c r="B227" s="84"/>
      <c r="C227" s="83"/>
      <c r="D227" s="183"/>
      <c r="E227" s="183"/>
      <c r="F227" s="183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  <c r="AA227" s="183"/>
      <c r="AB227" s="183"/>
      <c r="AC227" s="183"/>
      <c r="AD227" s="183"/>
      <c r="AE227" s="183"/>
      <c r="AF227" s="183"/>
      <c r="AG227" s="183"/>
      <c r="AH227" s="183"/>
      <c r="AI227" s="20"/>
    </row>
    <row r="228" spans="2:35" ht="15.75" x14ac:dyDescent="0.25">
      <c r="B228" s="84"/>
      <c r="C228" s="83"/>
      <c r="D228" s="183"/>
      <c r="E228" s="183"/>
      <c r="F228" s="183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  <c r="AA228" s="183"/>
      <c r="AB228" s="183"/>
      <c r="AC228" s="183"/>
      <c r="AD228" s="183"/>
      <c r="AE228" s="183"/>
      <c r="AF228" s="183"/>
      <c r="AG228" s="183"/>
      <c r="AH228" s="183"/>
      <c r="AI228" s="20"/>
    </row>
    <row r="229" spans="2:35" ht="15.75" x14ac:dyDescent="0.25">
      <c r="B229" s="84"/>
      <c r="C229" s="83"/>
      <c r="D229" s="183"/>
      <c r="E229" s="183"/>
      <c r="F229" s="183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  <c r="AA229" s="183"/>
      <c r="AB229" s="183"/>
      <c r="AC229" s="183"/>
      <c r="AD229" s="183"/>
      <c r="AE229" s="183"/>
      <c r="AF229" s="183"/>
      <c r="AG229" s="183"/>
      <c r="AH229" s="183"/>
      <c r="AI229" s="20"/>
    </row>
    <row r="230" spans="2:35" ht="15.75" x14ac:dyDescent="0.25">
      <c r="B230" s="84"/>
      <c r="C230" s="83"/>
      <c r="D230" s="183"/>
      <c r="E230" s="183"/>
      <c r="F230" s="183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  <c r="AA230" s="183"/>
      <c r="AB230" s="183"/>
      <c r="AC230" s="183"/>
      <c r="AD230" s="183"/>
      <c r="AE230" s="183"/>
      <c r="AF230" s="183"/>
      <c r="AG230" s="183"/>
      <c r="AH230" s="183"/>
      <c r="AI230" s="20"/>
    </row>
    <row r="231" spans="2:35" ht="15.75" x14ac:dyDescent="0.25">
      <c r="B231" s="84"/>
      <c r="C231" s="83"/>
      <c r="D231" s="183"/>
      <c r="E231" s="183"/>
      <c r="F231" s="183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  <c r="Z231" s="183"/>
      <c r="AA231" s="183"/>
      <c r="AB231" s="183"/>
      <c r="AC231" s="183"/>
      <c r="AD231" s="183"/>
      <c r="AE231" s="183"/>
      <c r="AF231" s="183"/>
      <c r="AG231" s="183"/>
      <c r="AH231" s="183"/>
      <c r="AI231" s="20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0000000}">
          <x14:formula1>
            <xm:f>справочник!$E$2:$E$172</xm:f>
          </x14:formula1>
          <xm:sqref>B3:B231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AI230"/>
  <sheetViews>
    <sheetView showZeros="0" topLeftCell="A100" zoomScale="70" zoomScaleNormal="70" workbookViewId="0">
      <selection activeCell="C121" sqref="B121:C121"/>
    </sheetView>
  </sheetViews>
  <sheetFormatPr defaultRowHeight="15" x14ac:dyDescent="0.25"/>
  <cols>
    <col min="1" max="1" width="2.140625" customWidth="1"/>
    <col min="2" max="2" width="41.85546875" customWidth="1"/>
    <col min="4" max="34" width="6.7109375" customWidth="1"/>
  </cols>
  <sheetData>
    <row r="1" spans="2:35" ht="15" customHeight="1" thickBot="1" x14ac:dyDescent="0.3">
      <c r="B1" s="67">
        <v>45748</v>
      </c>
      <c r="C1" s="68"/>
      <c r="D1" s="69">
        <f>B1</f>
        <v>45748</v>
      </c>
      <c r="E1" s="69">
        <f>D1+1</f>
        <v>45749</v>
      </c>
      <c r="F1" s="69">
        <f t="shared" ref="F1:AH1" si="0">E1+1</f>
        <v>45750</v>
      </c>
      <c r="G1" s="69">
        <f t="shared" si="0"/>
        <v>45751</v>
      </c>
      <c r="H1" s="69">
        <f t="shared" si="0"/>
        <v>45752</v>
      </c>
      <c r="I1" s="69">
        <f t="shared" si="0"/>
        <v>45753</v>
      </c>
      <c r="J1" s="69">
        <f t="shared" si="0"/>
        <v>45754</v>
      </c>
      <c r="K1" s="69">
        <f t="shared" si="0"/>
        <v>45755</v>
      </c>
      <c r="L1" s="69">
        <f t="shared" si="0"/>
        <v>45756</v>
      </c>
      <c r="M1" s="69">
        <f t="shared" si="0"/>
        <v>45757</v>
      </c>
      <c r="N1" s="69">
        <f t="shared" si="0"/>
        <v>45758</v>
      </c>
      <c r="O1" s="69">
        <f t="shared" si="0"/>
        <v>45759</v>
      </c>
      <c r="P1" s="69">
        <f t="shared" si="0"/>
        <v>45760</v>
      </c>
      <c r="Q1" s="69">
        <f t="shared" si="0"/>
        <v>45761</v>
      </c>
      <c r="R1" s="69">
        <f t="shared" si="0"/>
        <v>45762</v>
      </c>
      <c r="S1" s="69">
        <f t="shared" si="0"/>
        <v>45763</v>
      </c>
      <c r="T1" s="69">
        <f t="shared" si="0"/>
        <v>45764</v>
      </c>
      <c r="U1" s="69">
        <f t="shared" si="0"/>
        <v>45765</v>
      </c>
      <c r="V1" s="69">
        <f t="shared" si="0"/>
        <v>45766</v>
      </c>
      <c r="W1" s="69">
        <f t="shared" si="0"/>
        <v>45767</v>
      </c>
      <c r="X1" s="69">
        <f t="shared" si="0"/>
        <v>45768</v>
      </c>
      <c r="Y1" s="69">
        <f t="shared" si="0"/>
        <v>45769</v>
      </c>
      <c r="Z1" s="69">
        <f t="shared" si="0"/>
        <v>45770</v>
      </c>
      <c r="AA1" s="69">
        <f t="shared" si="0"/>
        <v>45771</v>
      </c>
      <c r="AB1" s="69">
        <f t="shared" si="0"/>
        <v>45772</v>
      </c>
      <c r="AC1" s="69">
        <f t="shared" si="0"/>
        <v>45773</v>
      </c>
      <c r="AD1" s="69">
        <f t="shared" si="0"/>
        <v>45774</v>
      </c>
      <c r="AE1" s="69">
        <f t="shared" si="0"/>
        <v>45775</v>
      </c>
      <c r="AF1" s="69">
        <f t="shared" si="0"/>
        <v>45776</v>
      </c>
      <c r="AG1" s="69">
        <f t="shared" si="0"/>
        <v>45777</v>
      </c>
      <c r="AH1" s="69">
        <f t="shared" si="0"/>
        <v>45778</v>
      </c>
      <c r="AI1" s="70"/>
    </row>
    <row r="2" spans="2:35" ht="15" customHeight="1" thickBot="1" x14ac:dyDescent="0.3">
      <c r="B2" s="71"/>
      <c r="C2" s="68"/>
      <c r="D2" s="72">
        <v>1</v>
      </c>
      <c r="E2" s="73">
        <v>2</v>
      </c>
      <c r="F2" s="73">
        <v>3</v>
      </c>
      <c r="G2" s="73">
        <v>4</v>
      </c>
      <c r="H2" s="73">
        <v>5</v>
      </c>
      <c r="I2" s="73">
        <v>6</v>
      </c>
      <c r="J2" s="73">
        <v>7</v>
      </c>
      <c r="K2" s="73">
        <v>8</v>
      </c>
      <c r="L2" s="73">
        <v>9</v>
      </c>
      <c r="M2" s="73">
        <v>10</v>
      </c>
      <c r="N2" s="73">
        <v>11</v>
      </c>
      <c r="O2" s="73">
        <v>12</v>
      </c>
      <c r="P2" s="73">
        <v>13</v>
      </c>
      <c r="Q2" s="73">
        <v>14</v>
      </c>
      <c r="R2" s="73">
        <v>15</v>
      </c>
      <c r="S2" s="73">
        <v>16</v>
      </c>
      <c r="T2" s="73">
        <v>17</v>
      </c>
      <c r="U2" s="73">
        <v>18</v>
      </c>
      <c r="V2" s="73">
        <v>19</v>
      </c>
      <c r="W2" s="73">
        <v>20</v>
      </c>
      <c r="X2" s="73">
        <v>21</v>
      </c>
      <c r="Y2" s="73">
        <v>22</v>
      </c>
      <c r="Z2" s="73">
        <v>23</v>
      </c>
      <c r="AA2" s="73">
        <v>24</v>
      </c>
      <c r="AB2" s="73">
        <v>25</v>
      </c>
      <c r="AC2" s="73">
        <v>26</v>
      </c>
      <c r="AD2" s="73">
        <v>27</v>
      </c>
      <c r="AE2" s="73">
        <v>28</v>
      </c>
      <c r="AF2" s="73">
        <v>29</v>
      </c>
      <c r="AG2" s="73">
        <v>30</v>
      </c>
      <c r="AH2" s="73">
        <v>31</v>
      </c>
      <c r="AI2" s="70"/>
    </row>
    <row r="3" spans="2:35" ht="15" customHeight="1" x14ac:dyDescent="0.25">
      <c r="B3" s="74" t="s">
        <v>212</v>
      </c>
      <c r="C3" s="75">
        <v>25</v>
      </c>
      <c r="D3" s="76">
        <f>SUMIFS('апрель 2025'!$G$4:$G$2485,'апрель 2025'!$D$4:$D$2485,$B3,'апрель 2025'!$J$4:$J$2485,D$1)</f>
        <v>0</v>
      </c>
      <c r="E3" s="76">
        <f>SUMIFS('апрель 2025'!$G$4:$G$2485,'апрель 2025'!$D$4:$D$2485,$B3,'апрель 2025'!$J$4:$J$2485,E$1)</f>
        <v>0</v>
      </c>
      <c r="F3" s="76">
        <f>SUMIFS('апрель 2025'!$G$4:$G$2485,'апрель 2025'!$D$4:$D$2485,$B3,'апрель 2025'!$J$4:$J$2485,F$1)</f>
        <v>0</v>
      </c>
      <c r="G3" s="76">
        <f>SUMIFS('апрель 2025'!$G$4:$G$2485,'апрель 2025'!$D$4:$D$2485,$B3,'апрель 2025'!$J$4:$J$2485,G$1)</f>
        <v>400</v>
      </c>
      <c r="H3" s="76">
        <f>SUMIFS('апрель 2025'!$G$4:$G$2485,'апрель 2025'!$D$4:$D$2485,$B3,'апрель 2025'!$J$4:$J$2485,H$1)</f>
        <v>0</v>
      </c>
      <c r="I3" s="76">
        <f>SUMIFS('апрель 2025'!$G$4:$G$2485,'апрель 2025'!$D$4:$D$2485,$B3,'апрель 2025'!$J$4:$J$2485,I$1)</f>
        <v>0</v>
      </c>
      <c r="J3" s="76">
        <f>SUMIFS('апрель 2025'!$G$4:$G$2485,'апрель 2025'!$D$4:$D$2485,$B3,'апрель 2025'!$J$4:$J$2485,J$1)</f>
        <v>0</v>
      </c>
      <c r="K3" s="76">
        <f>SUMIFS('апрель 2025'!$G$4:$G$2485,'апрель 2025'!$D$4:$D$2485,$B3,'апрель 2025'!$J$4:$J$2485,K$1)</f>
        <v>0</v>
      </c>
      <c r="L3" s="76">
        <f>SUMIFS('апрель 2025'!$G$4:$G$2485,'апрель 2025'!$D$4:$D$2485,$B3,'апрель 2025'!$J$4:$J$2485,L$1)</f>
        <v>0</v>
      </c>
      <c r="M3" s="76">
        <f>SUMIFS('апрель 2025'!$G$4:$G$2485,'апрель 2025'!$D$4:$D$2485,$B3,'апрель 2025'!$J$4:$J$2485,M$1)</f>
        <v>0</v>
      </c>
      <c r="N3" s="76">
        <f>SUMIFS('апрель 2025'!$G$4:$G$2485,'апрель 2025'!$D$4:$D$2485,$B3,'апрель 2025'!$J$4:$J$2485,N$1)</f>
        <v>700</v>
      </c>
      <c r="O3" s="76">
        <f>SUMIFS('апрель 2025'!$G$4:$G$2485,'апрель 2025'!$D$4:$D$2485,$B3,'апрель 2025'!$J$4:$J$2485,O$1)</f>
        <v>0</v>
      </c>
      <c r="P3" s="76">
        <f>SUMIFS('апрель 2025'!$G$4:$G$2485,'апрель 2025'!$D$4:$D$2485,$B3,'апрель 2025'!$J$4:$J$2485,P$1)</f>
        <v>0</v>
      </c>
      <c r="Q3" s="76">
        <f>SUMIFS('апрель 2025'!$G$4:$G$2485,'апрель 2025'!$D$4:$D$2485,$B3,'апрель 2025'!$J$4:$J$2485,Q$1)</f>
        <v>0</v>
      </c>
      <c r="R3" s="76">
        <f>SUMIFS('апрель 2025'!$G$4:$G$2485,'апрель 2025'!$D$4:$D$2485,$B3,'апрель 2025'!$J$4:$J$2485,R$1)</f>
        <v>0</v>
      </c>
      <c r="S3" s="76">
        <f>SUMIFS('апрель 2025'!$G$4:$G$2485,'апрель 2025'!$D$4:$D$2485,$B3,'апрель 2025'!$J$4:$J$2485,S$1)</f>
        <v>0</v>
      </c>
      <c r="T3" s="76">
        <f>SUMIFS('апрель 2025'!$G$4:$G$2485,'апрель 2025'!$D$4:$D$2485,$B3,'апрель 2025'!$J$4:$J$2485,T$1)</f>
        <v>0</v>
      </c>
      <c r="U3" s="76">
        <f>SUMIFS('апрель 2025'!$G$4:$G$2485,'апрель 2025'!$D$4:$D$2485,$B3,'апрель 2025'!$J$4:$J$2485,U$1)</f>
        <v>0</v>
      </c>
      <c r="V3" s="76">
        <f>SUMIFS('апрель 2025'!$G$4:$G$2485,'апрель 2025'!$D$4:$D$2485,$B3,'апрель 2025'!$J$4:$J$2485,V$1)</f>
        <v>0</v>
      </c>
      <c r="W3" s="76">
        <f>SUMIFS('апрель 2025'!$G$4:$G$2485,'апрель 2025'!$D$4:$D$2485,$B3,'апрель 2025'!$J$4:$J$2485,W$1)</f>
        <v>0</v>
      </c>
      <c r="X3" s="76">
        <f>SUMIFS('апрель 2025'!$G$4:$G$2485,'апрель 2025'!$D$4:$D$2485,$B3,'апрель 2025'!$J$4:$J$2485,X$1)</f>
        <v>0</v>
      </c>
      <c r="Y3" s="76">
        <f>SUMIFS('апрель 2025'!$G$4:$G$2485,'апрель 2025'!$D$4:$D$2485,$B3,'апрель 2025'!$J$4:$J$2485,Y$1)</f>
        <v>0</v>
      </c>
      <c r="Z3" s="76">
        <f>SUMIFS('апрель 2025'!$G$4:$G$2485,'апрель 2025'!$D$4:$D$2485,$B3,'апрель 2025'!$J$4:$J$2485,Z$1)</f>
        <v>800</v>
      </c>
      <c r="AA3" s="76">
        <f>SUMIFS('апрель 2025'!$G$4:$G$2485,'апрель 2025'!$D$4:$D$2485,$B3,'апрель 2025'!$J$4:$J$2485,AA$1)</f>
        <v>0</v>
      </c>
      <c r="AB3" s="76">
        <f>SUMIFS('апрель 2025'!$G$4:$G$2485,'апрель 2025'!$D$4:$D$2485,$B3,'апрель 2025'!$J$4:$J$2485,AB$1)</f>
        <v>0</v>
      </c>
      <c r="AC3" s="76">
        <f>SUMIFS('апрель 2025'!$G$4:$G$2485,'апрель 2025'!$D$4:$D$2485,$B3,'апрель 2025'!$J$4:$J$2485,AC$1)</f>
        <v>0</v>
      </c>
      <c r="AD3" s="76">
        <f>SUMIFS('апрель 2025'!$G$4:$G$2485,'апрель 2025'!$D$4:$D$2485,$B3,'апрель 2025'!$J$4:$J$2485,AD$1)</f>
        <v>0</v>
      </c>
      <c r="AE3" s="76">
        <f>SUMIFS('апрель 2025'!$G$4:$G$2485,'апрель 2025'!$D$4:$D$2485,$B3,'апрель 2025'!$J$4:$J$2485,AE$1)</f>
        <v>0</v>
      </c>
      <c r="AF3" s="76">
        <f>SUMIFS('апрель 2025'!$G$4:$G$2485,'апрель 2025'!$D$4:$D$2485,$B3,'апрель 2025'!$J$4:$J$2485,AF$1)</f>
        <v>0</v>
      </c>
      <c r="AG3" s="76">
        <f>SUMIFS('апрель 2025'!$G$4:$G$2485,'апрель 2025'!$D$4:$D$2485,$B3,'апрель 2025'!$J$4:$J$2485,AG$1)</f>
        <v>0</v>
      </c>
      <c r="AH3" s="76">
        <f>SUMIFS('апрель 2025'!$G$4:$G$2485,'апрель 2025'!$D$4:$D$2485,$B3,'апрель 2025'!$J$4:$J$2485,AH$1)</f>
        <v>0</v>
      </c>
      <c r="AI3" s="48">
        <f t="shared" ref="AI3:AI159" si="1">SUM(D3:AH3)</f>
        <v>1900</v>
      </c>
    </row>
    <row r="4" spans="2:35" ht="15" customHeight="1" x14ac:dyDescent="0.25">
      <c r="B4" s="77" t="s">
        <v>214</v>
      </c>
      <c r="C4" s="78">
        <v>25</v>
      </c>
      <c r="D4" s="76">
        <f>SUMIFS('апрель 2025'!$G$4:$G$2485,'апрель 2025'!$D$4:$D$2485,$B4,'апрель 2025'!$J$4:$J$2485,D$1)</f>
        <v>0</v>
      </c>
      <c r="E4" s="76">
        <f>SUMIFS('апрель 2025'!$G$4:$G$2485,'апрель 2025'!$D$4:$D$2485,$B4,'апрель 2025'!$J$4:$J$2485,E$1)</f>
        <v>0</v>
      </c>
      <c r="F4" s="76">
        <f>SUMIFS('апрель 2025'!$G$4:$G$2485,'апрель 2025'!$D$4:$D$2485,$B4,'апрель 2025'!$J$4:$J$2485,F$1)</f>
        <v>0</v>
      </c>
      <c r="G4" s="76">
        <f>SUMIFS('апрель 2025'!$G$4:$G$2485,'апрель 2025'!$D$4:$D$2485,$B4,'апрель 2025'!$J$4:$J$2485,G$1)</f>
        <v>0</v>
      </c>
      <c r="H4" s="76">
        <f>SUMIFS('апрель 2025'!$G$4:$G$2485,'апрель 2025'!$D$4:$D$2485,$B4,'апрель 2025'!$J$4:$J$2485,H$1)</f>
        <v>0</v>
      </c>
      <c r="I4" s="76">
        <f>SUMIFS('апрель 2025'!$G$4:$G$2485,'апрель 2025'!$D$4:$D$2485,$B4,'апрель 2025'!$J$4:$J$2485,I$1)</f>
        <v>0</v>
      </c>
      <c r="J4" s="76">
        <f>SUMIFS('апрель 2025'!$G$4:$G$2485,'апрель 2025'!$D$4:$D$2485,$B4,'апрель 2025'!$J$4:$J$2485,J$1)</f>
        <v>0</v>
      </c>
      <c r="K4" s="76">
        <f>SUMIFS('апрель 2025'!$G$4:$G$2485,'апрель 2025'!$D$4:$D$2485,$B4,'апрель 2025'!$J$4:$J$2485,K$1)</f>
        <v>0</v>
      </c>
      <c r="L4" s="76">
        <f>SUMIFS('апрель 2025'!$G$4:$G$2485,'апрель 2025'!$D$4:$D$2485,$B4,'апрель 2025'!$J$4:$J$2485,L$1)</f>
        <v>0</v>
      </c>
      <c r="M4" s="76">
        <f>SUMIFS('апрель 2025'!$G$4:$G$2485,'апрель 2025'!$D$4:$D$2485,$B4,'апрель 2025'!$J$4:$J$2485,M$1)</f>
        <v>0</v>
      </c>
      <c r="N4" s="76">
        <f>SUMIFS('апрель 2025'!$G$4:$G$2485,'апрель 2025'!$D$4:$D$2485,$B4,'апрель 2025'!$J$4:$J$2485,N$1)</f>
        <v>0</v>
      </c>
      <c r="O4" s="76">
        <f>SUMIFS('апрель 2025'!$G$4:$G$2485,'апрель 2025'!$D$4:$D$2485,$B4,'апрель 2025'!$J$4:$J$2485,O$1)</f>
        <v>0</v>
      </c>
      <c r="P4" s="76">
        <f>SUMIFS('апрель 2025'!$G$4:$G$2485,'апрель 2025'!$D$4:$D$2485,$B4,'апрель 2025'!$J$4:$J$2485,P$1)</f>
        <v>0</v>
      </c>
      <c r="Q4" s="76">
        <f>SUMIFS('апрель 2025'!$G$4:$G$2485,'апрель 2025'!$D$4:$D$2485,$B4,'апрель 2025'!$J$4:$J$2485,Q$1)</f>
        <v>0</v>
      </c>
      <c r="R4" s="76">
        <f>SUMIFS('апрель 2025'!$G$4:$G$2485,'апрель 2025'!$D$4:$D$2485,$B4,'апрель 2025'!$J$4:$J$2485,R$1)</f>
        <v>0</v>
      </c>
      <c r="S4" s="76">
        <f>SUMIFS('апрель 2025'!$G$4:$G$2485,'апрель 2025'!$D$4:$D$2485,$B4,'апрель 2025'!$J$4:$J$2485,S$1)</f>
        <v>0</v>
      </c>
      <c r="T4" s="76">
        <f>SUMIFS('апрель 2025'!$G$4:$G$2485,'апрель 2025'!$D$4:$D$2485,$B4,'апрель 2025'!$J$4:$J$2485,T$1)</f>
        <v>0</v>
      </c>
      <c r="U4" s="76">
        <f>SUMIFS('апрель 2025'!$G$4:$G$2485,'апрель 2025'!$D$4:$D$2485,$B4,'апрель 2025'!$J$4:$J$2485,U$1)</f>
        <v>0</v>
      </c>
      <c r="V4" s="76">
        <f>SUMIFS('апрель 2025'!$G$4:$G$2485,'апрель 2025'!$D$4:$D$2485,$B4,'апрель 2025'!$J$4:$J$2485,V$1)</f>
        <v>0</v>
      </c>
      <c r="W4" s="76">
        <f>SUMIFS('апрель 2025'!$G$4:$G$2485,'апрель 2025'!$D$4:$D$2485,$B4,'апрель 2025'!$J$4:$J$2485,W$1)</f>
        <v>0</v>
      </c>
      <c r="X4" s="76">
        <f>SUMIFS('апрель 2025'!$G$4:$G$2485,'апрель 2025'!$D$4:$D$2485,$B4,'апрель 2025'!$J$4:$J$2485,X$1)</f>
        <v>0</v>
      </c>
      <c r="Y4" s="76">
        <f>SUMIFS('апрель 2025'!$G$4:$G$2485,'апрель 2025'!$D$4:$D$2485,$B4,'апрель 2025'!$J$4:$J$2485,Y$1)</f>
        <v>0</v>
      </c>
      <c r="Z4" s="76">
        <f>SUMIFS('апрель 2025'!$G$4:$G$2485,'апрель 2025'!$D$4:$D$2485,$B4,'апрель 2025'!$J$4:$J$2485,Z$1)</f>
        <v>0</v>
      </c>
      <c r="AA4" s="76">
        <f>SUMIFS('апрель 2025'!$G$4:$G$2485,'апрель 2025'!$D$4:$D$2485,$B4,'апрель 2025'!$J$4:$J$2485,AA$1)</f>
        <v>0</v>
      </c>
      <c r="AB4" s="76">
        <f>SUMIFS('апрель 2025'!$G$4:$G$2485,'апрель 2025'!$D$4:$D$2485,$B4,'апрель 2025'!$J$4:$J$2485,AB$1)</f>
        <v>0</v>
      </c>
      <c r="AC4" s="76">
        <f>SUMIFS('апрель 2025'!$G$4:$G$2485,'апрель 2025'!$D$4:$D$2485,$B4,'апрель 2025'!$J$4:$J$2485,AC$1)</f>
        <v>0</v>
      </c>
      <c r="AD4" s="76">
        <f>SUMIFS('апрель 2025'!$G$4:$G$2485,'апрель 2025'!$D$4:$D$2485,$B4,'апрель 2025'!$J$4:$J$2485,AD$1)</f>
        <v>0</v>
      </c>
      <c r="AE4" s="76">
        <f>SUMIFS('апрель 2025'!$G$4:$G$2485,'апрель 2025'!$D$4:$D$2485,$B4,'апрель 2025'!$J$4:$J$2485,AE$1)</f>
        <v>0</v>
      </c>
      <c r="AF4" s="76">
        <f>SUMIFS('апрель 2025'!$G$4:$G$2485,'апрель 2025'!$D$4:$D$2485,$B4,'апрель 2025'!$J$4:$J$2485,AF$1)</f>
        <v>0</v>
      </c>
      <c r="AG4" s="76">
        <f>SUMIFS('апрель 2025'!$G$4:$G$2485,'апрель 2025'!$D$4:$D$2485,$B4,'апрель 2025'!$J$4:$J$2485,AG$1)</f>
        <v>0</v>
      </c>
      <c r="AH4" s="76">
        <f>SUMIFS('апрель 2025'!$G$4:$G$2485,'апрель 2025'!$D$4:$D$2485,$B4,'апрель 2025'!$J$4:$J$2485,AH$1)</f>
        <v>0</v>
      </c>
      <c r="AI4" s="20">
        <f t="shared" si="1"/>
        <v>0</v>
      </c>
    </row>
    <row r="5" spans="2:35" ht="15" customHeight="1" x14ac:dyDescent="0.25">
      <c r="B5" s="77" t="s">
        <v>216</v>
      </c>
      <c r="C5" s="78">
        <v>25</v>
      </c>
      <c r="D5" s="76">
        <f>SUMIFS('апрель 2025'!$G$4:$G$2485,'апрель 2025'!$D$4:$D$2485,$B5,'апрель 2025'!$J$4:$J$2485,D$1)</f>
        <v>0</v>
      </c>
      <c r="E5" s="76">
        <f>SUMIFS('апрель 2025'!$G$4:$G$2485,'апрель 2025'!$D$4:$D$2485,$B5,'апрель 2025'!$J$4:$J$2485,E$1)</f>
        <v>0</v>
      </c>
      <c r="F5" s="76">
        <f>SUMIFS('апрель 2025'!$G$4:$G$2485,'апрель 2025'!$D$4:$D$2485,$B5,'апрель 2025'!$J$4:$J$2485,F$1)</f>
        <v>0</v>
      </c>
      <c r="G5" s="76">
        <f>SUMIFS('апрель 2025'!$G$4:$G$2485,'апрель 2025'!$D$4:$D$2485,$B5,'апрель 2025'!$J$4:$J$2485,G$1)</f>
        <v>0</v>
      </c>
      <c r="H5" s="76">
        <f>SUMIFS('апрель 2025'!$G$4:$G$2485,'апрель 2025'!$D$4:$D$2485,$B5,'апрель 2025'!$J$4:$J$2485,H$1)</f>
        <v>0</v>
      </c>
      <c r="I5" s="76">
        <f>SUMIFS('апрель 2025'!$G$4:$G$2485,'апрель 2025'!$D$4:$D$2485,$B5,'апрель 2025'!$J$4:$J$2485,I$1)</f>
        <v>0</v>
      </c>
      <c r="J5" s="76">
        <f>SUMIFS('апрель 2025'!$G$4:$G$2485,'апрель 2025'!$D$4:$D$2485,$B5,'апрель 2025'!$J$4:$J$2485,J$1)</f>
        <v>0</v>
      </c>
      <c r="K5" s="76">
        <f>SUMIFS('апрель 2025'!$G$4:$G$2485,'апрель 2025'!$D$4:$D$2485,$B5,'апрель 2025'!$J$4:$J$2485,K$1)</f>
        <v>0</v>
      </c>
      <c r="L5" s="76">
        <f>SUMIFS('апрель 2025'!$G$4:$G$2485,'апрель 2025'!$D$4:$D$2485,$B5,'апрель 2025'!$J$4:$J$2485,L$1)</f>
        <v>0</v>
      </c>
      <c r="M5" s="76">
        <f>SUMIFS('апрель 2025'!$G$4:$G$2485,'апрель 2025'!$D$4:$D$2485,$B5,'апрель 2025'!$J$4:$J$2485,M$1)</f>
        <v>0</v>
      </c>
      <c r="N5" s="76">
        <f>SUMIFS('апрель 2025'!$G$4:$G$2485,'апрель 2025'!$D$4:$D$2485,$B5,'апрель 2025'!$J$4:$J$2485,N$1)</f>
        <v>0</v>
      </c>
      <c r="O5" s="76">
        <f>SUMIFS('апрель 2025'!$G$4:$G$2485,'апрель 2025'!$D$4:$D$2485,$B5,'апрель 2025'!$J$4:$J$2485,O$1)</f>
        <v>0</v>
      </c>
      <c r="P5" s="76">
        <f>SUMIFS('апрель 2025'!$G$4:$G$2485,'апрель 2025'!$D$4:$D$2485,$B5,'апрель 2025'!$J$4:$J$2485,P$1)</f>
        <v>0</v>
      </c>
      <c r="Q5" s="76">
        <f>SUMIFS('апрель 2025'!$G$4:$G$2485,'апрель 2025'!$D$4:$D$2485,$B5,'апрель 2025'!$J$4:$J$2485,Q$1)</f>
        <v>0</v>
      </c>
      <c r="R5" s="76">
        <f>SUMIFS('апрель 2025'!$G$4:$G$2485,'апрель 2025'!$D$4:$D$2485,$B5,'апрель 2025'!$J$4:$J$2485,R$1)</f>
        <v>0</v>
      </c>
      <c r="S5" s="76">
        <f>SUMIFS('апрель 2025'!$G$4:$G$2485,'апрель 2025'!$D$4:$D$2485,$B5,'апрель 2025'!$J$4:$J$2485,S$1)</f>
        <v>0</v>
      </c>
      <c r="T5" s="76">
        <f>SUMIFS('апрель 2025'!$G$4:$G$2485,'апрель 2025'!$D$4:$D$2485,$B5,'апрель 2025'!$J$4:$J$2485,T$1)</f>
        <v>0</v>
      </c>
      <c r="U5" s="76">
        <f>SUMIFS('апрель 2025'!$G$4:$G$2485,'апрель 2025'!$D$4:$D$2485,$B5,'апрель 2025'!$J$4:$J$2485,U$1)</f>
        <v>0</v>
      </c>
      <c r="V5" s="76">
        <f>SUMIFS('апрель 2025'!$G$4:$G$2485,'апрель 2025'!$D$4:$D$2485,$B5,'апрель 2025'!$J$4:$J$2485,V$1)</f>
        <v>0</v>
      </c>
      <c r="W5" s="76">
        <f>SUMIFS('апрель 2025'!$G$4:$G$2485,'апрель 2025'!$D$4:$D$2485,$B5,'апрель 2025'!$J$4:$J$2485,W$1)</f>
        <v>0</v>
      </c>
      <c r="X5" s="76">
        <f>SUMIFS('апрель 2025'!$G$4:$G$2485,'апрель 2025'!$D$4:$D$2485,$B5,'апрель 2025'!$J$4:$J$2485,X$1)</f>
        <v>0</v>
      </c>
      <c r="Y5" s="76">
        <f>SUMIFS('апрель 2025'!$G$4:$G$2485,'апрель 2025'!$D$4:$D$2485,$B5,'апрель 2025'!$J$4:$J$2485,Y$1)</f>
        <v>0</v>
      </c>
      <c r="Z5" s="76">
        <f>SUMIFS('апрель 2025'!$G$4:$G$2485,'апрель 2025'!$D$4:$D$2485,$B5,'апрель 2025'!$J$4:$J$2485,Z$1)</f>
        <v>0</v>
      </c>
      <c r="AA5" s="76">
        <f>SUMIFS('апрель 2025'!$G$4:$G$2485,'апрель 2025'!$D$4:$D$2485,$B5,'апрель 2025'!$J$4:$J$2485,AA$1)</f>
        <v>0</v>
      </c>
      <c r="AB5" s="76">
        <f>SUMIFS('апрель 2025'!$G$4:$G$2485,'апрель 2025'!$D$4:$D$2485,$B5,'апрель 2025'!$J$4:$J$2485,AB$1)</f>
        <v>0</v>
      </c>
      <c r="AC5" s="76">
        <f>SUMIFS('апрель 2025'!$G$4:$G$2485,'апрель 2025'!$D$4:$D$2485,$B5,'апрель 2025'!$J$4:$J$2485,AC$1)</f>
        <v>0</v>
      </c>
      <c r="AD5" s="76">
        <f>SUMIFS('апрель 2025'!$G$4:$G$2485,'апрель 2025'!$D$4:$D$2485,$B5,'апрель 2025'!$J$4:$J$2485,AD$1)</f>
        <v>0</v>
      </c>
      <c r="AE5" s="76">
        <f>SUMIFS('апрель 2025'!$G$4:$G$2485,'апрель 2025'!$D$4:$D$2485,$B5,'апрель 2025'!$J$4:$J$2485,AE$1)</f>
        <v>0</v>
      </c>
      <c r="AF5" s="76">
        <f>SUMIFS('апрель 2025'!$G$4:$G$2485,'апрель 2025'!$D$4:$D$2485,$B5,'апрель 2025'!$J$4:$J$2485,AF$1)</f>
        <v>0</v>
      </c>
      <c r="AG5" s="76">
        <f>SUMIFS('апрель 2025'!$G$4:$G$2485,'апрель 2025'!$D$4:$D$2485,$B5,'апрель 2025'!$J$4:$J$2485,AG$1)</f>
        <v>0</v>
      </c>
      <c r="AH5" s="76">
        <f>SUMIFS('апрель 2025'!$G$4:$G$2485,'апрель 2025'!$D$4:$D$2485,$B5,'апрель 2025'!$J$4:$J$2485,AH$1)</f>
        <v>0</v>
      </c>
      <c r="AI5" s="20">
        <f t="shared" si="1"/>
        <v>0</v>
      </c>
    </row>
    <row r="6" spans="2:35" ht="15" customHeight="1" x14ac:dyDescent="0.25">
      <c r="B6" s="77" t="s">
        <v>218</v>
      </c>
      <c r="C6" s="78">
        <v>22.7</v>
      </c>
      <c r="D6" s="76">
        <f>SUMIFS('апрель 2025'!$G$4:$G$2485,'апрель 2025'!$D$4:$D$2485,$B6,'апрель 2025'!$J$4:$J$2485,D$1)</f>
        <v>0</v>
      </c>
      <c r="E6" s="76">
        <f>SUMIFS('апрель 2025'!$G$4:$G$2485,'апрель 2025'!$D$4:$D$2485,$B6,'апрель 2025'!$J$4:$J$2485,E$1)</f>
        <v>0</v>
      </c>
      <c r="F6" s="76">
        <f>SUMIFS('апрель 2025'!$G$4:$G$2485,'апрель 2025'!$D$4:$D$2485,$B6,'апрель 2025'!$J$4:$J$2485,F$1)</f>
        <v>0</v>
      </c>
      <c r="G6" s="76">
        <f>SUMIFS('апрель 2025'!$G$4:$G$2485,'апрель 2025'!$D$4:$D$2485,$B6,'апрель 2025'!$J$4:$J$2485,G$1)</f>
        <v>0</v>
      </c>
      <c r="H6" s="76">
        <f>SUMIFS('апрель 2025'!$G$4:$G$2485,'апрель 2025'!$D$4:$D$2485,$B6,'апрель 2025'!$J$4:$J$2485,H$1)</f>
        <v>0</v>
      </c>
      <c r="I6" s="76">
        <f>SUMIFS('апрель 2025'!$G$4:$G$2485,'апрель 2025'!$D$4:$D$2485,$B6,'апрель 2025'!$J$4:$J$2485,I$1)</f>
        <v>0</v>
      </c>
      <c r="J6" s="76">
        <f>SUMIFS('апрель 2025'!$G$4:$G$2485,'апрель 2025'!$D$4:$D$2485,$B6,'апрель 2025'!$J$4:$J$2485,J$1)</f>
        <v>0</v>
      </c>
      <c r="K6" s="76">
        <f>SUMIFS('апрель 2025'!$G$4:$G$2485,'апрель 2025'!$D$4:$D$2485,$B6,'апрель 2025'!$J$4:$J$2485,K$1)</f>
        <v>0</v>
      </c>
      <c r="L6" s="76">
        <f>SUMIFS('апрель 2025'!$G$4:$G$2485,'апрель 2025'!$D$4:$D$2485,$B6,'апрель 2025'!$J$4:$J$2485,L$1)</f>
        <v>0</v>
      </c>
      <c r="M6" s="76">
        <f>SUMIFS('апрель 2025'!$G$4:$G$2485,'апрель 2025'!$D$4:$D$2485,$B6,'апрель 2025'!$J$4:$J$2485,M$1)</f>
        <v>0</v>
      </c>
      <c r="N6" s="76">
        <f>SUMIFS('апрель 2025'!$G$4:$G$2485,'апрель 2025'!$D$4:$D$2485,$B6,'апрель 2025'!$J$4:$J$2485,N$1)</f>
        <v>0</v>
      </c>
      <c r="O6" s="76">
        <f>SUMIFS('апрель 2025'!$G$4:$G$2485,'апрель 2025'!$D$4:$D$2485,$B6,'апрель 2025'!$J$4:$J$2485,O$1)</f>
        <v>0</v>
      </c>
      <c r="P6" s="76">
        <f>SUMIFS('апрель 2025'!$G$4:$G$2485,'апрель 2025'!$D$4:$D$2485,$B6,'апрель 2025'!$J$4:$J$2485,P$1)</f>
        <v>0</v>
      </c>
      <c r="Q6" s="76">
        <f>SUMIFS('апрель 2025'!$G$4:$G$2485,'апрель 2025'!$D$4:$D$2485,$B6,'апрель 2025'!$J$4:$J$2485,Q$1)</f>
        <v>0</v>
      </c>
      <c r="R6" s="76">
        <f>SUMIFS('апрель 2025'!$G$4:$G$2485,'апрель 2025'!$D$4:$D$2485,$B6,'апрель 2025'!$J$4:$J$2485,R$1)</f>
        <v>0</v>
      </c>
      <c r="S6" s="76">
        <f>SUMIFS('апрель 2025'!$G$4:$G$2485,'апрель 2025'!$D$4:$D$2485,$B6,'апрель 2025'!$J$4:$J$2485,S$1)</f>
        <v>0</v>
      </c>
      <c r="T6" s="76">
        <f>SUMIFS('апрель 2025'!$G$4:$G$2485,'апрель 2025'!$D$4:$D$2485,$B6,'апрель 2025'!$J$4:$J$2485,T$1)</f>
        <v>0</v>
      </c>
      <c r="U6" s="76">
        <f>SUMIFS('апрель 2025'!$G$4:$G$2485,'апрель 2025'!$D$4:$D$2485,$B6,'апрель 2025'!$J$4:$J$2485,U$1)</f>
        <v>0</v>
      </c>
      <c r="V6" s="76">
        <f>SUMIFS('апрель 2025'!$G$4:$G$2485,'апрель 2025'!$D$4:$D$2485,$B6,'апрель 2025'!$J$4:$J$2485,V$1)</f>
        <v>0</v>
      </c>
      <c r="W6" s="76">
        <f>SUMIFS('апрель 2025'!$G$4:$G$2485,'апрель 2025'!$D$4:$D$2485,$B6,'апрель 2025'!$J$4:$J$2485,W$1)</f>
        <v>0</v>
      </c>
      <c r="X6" s="76">
        <f>SUMIFS('апрель 2025'!$G$4:$G$2485,'апрель 2025'!$D$4:$D$2485,$B6,'апрель 2025'!$J$4:$J$2485,X$1)</f>
        <v>0</v>
      </c>
      <c r="Y6" s="76">
        <f>SUMIFS('апрель 2025'!$G$4:$G$2485,'апрель 2025'!$D$4:$D$2485,$B6,'апрель 2025'!$J$4:$J$2485,Y$1)</f>
        <v>0</v>
      </c>
      <c r="Z6" s="76">
        <f>SUMIFS('апрель 2025'!$G$4:$G$2485,'апрель 2025'!$D$4:$D$2485,$B6,'апрель 2025'!$J$4:$J$2485,Z$1)</f>
        <v>0</v>
      </c>
      <c r="AA6" s="76">
        <f>SUMIFS('апрель 2025'!$G$4:$G$2485,'апрель 2025'!$D$4:$D$2485,$B6,'апрель 2025'!$J$4:$J$2485,AA$1)</f>
        <v>0</v>
      </c>
      <c r="AB6" s="76">
        <f>SUMIFS('апрель 2025'!$G$4:$G$2485,'апрель 2025'!$D$4:$D$2485,$B6,'апрель 2025'!$J$4:$J$2485,AB$1)</f>
        <v>0</v>
      </c>
      <c r="AC6" s="76">
        <f>SUMIFS('апрель 2025'!$G$4:$G$2485,'апрель 2025'!$D$4:$D$2485,$B6,'апрель 2025'!$J$4:$J$2485,AC$1)</f>
        <v>0</v>
      </c>
      <c r="AD6" s="76">
        <f>SUMIFS('апрель 2025'!$G$4:$G$2485,'апрель 2025'!$D$4:$D$2485,$B6,'апрель 2025'!$J$4:$J$2485,AD$1)</f>
        <v>0</v>
      </c>
      <c r="AE6" s="76">
        <f>SUMIFS('апрель 2025'!$G$4:$G$2485,'апрель 2025'!$D$4:$D$2485,$B6,'апрель 2025'!$J$4:$J$2485,AE$1)</f>
        <v>0</v>
      </c>
      <c r="AF6" s="76">
        <f>SUMIFS('апрель 2025'!$G$4:$G$2485,'апрель 2025'!$D$4:$D$2485,$B6,'апрель 2025'!$J$4:$J$2485,AF$1)</f>
        <v>0</v>
      </c>
      <c r="AG6" s="76">
        <f>SUMIFS('апрель 2025'!$G$4:$G$2485,'апрель 2025'!$D$4:$D$2485,$B6,'апрель 2025'!$J$4:$J$2485,AG$1)</f>
        <v>0</v>
      </c>
      <c r="AH6" s="76">
        <f>SUMIFS('апрель 2025'!$G$4:$G$2485,'апрель 2025'!$D$4:$D$2485,$B6,'апрель 2025'!$J$4:$J$2485,AH$1)</f>
        <v>0</v>
      </c>
      <c r="AI6" s="20">
        <f t="shared" si="1"/>
        <v>0</v>
      </c>
    </row>
    <row r="7" spans="2:35" ht="15" customHeight="1" x14ac:dyDescent="0.25">
      <c r="B7" s="77" t="s">
        <v>220</v>
      </c>
      <c r="C7" s="78">
        <v>22.7</v>
      </c>
      <c r="D7" s="76">
        <f>SUMIFS('апрель 2025'!$G$4:$G$2485,'апрель 2025'!$D$4:$D$2485,$B7,'апрель 2025'!$J$4:$J$2485,D$1)</f>
        <v>0</v>
      </c>
      <c r="E7" s="76">
        <f>SUMIFS('апрель 2025'!$G$4:$G$2485,'апрель 2025'!$D$4:$D$2485,$B7,'апрель 2025'!$J$4:$J$2485,E$1)</f>
        <v>0</v>
      </c>
      <c r="F7" s="76">
        <f>SUMIFS('апрель 2025'!$G$4:$G$2485,'апрель 2025'!$D$4:$D$2485,$B7,'апрель 2025'!$J$4:$J$2485,F$1)</f>
        <v>0</v>
      </c>
      <c r="G7" s="76">
        <f>SUMIFS('апрель 2025'!$G$4:$G$2485,'апрель 2025'!$D$4:$D$2485,$B7,'апрель 2025'!$J$4:$J$2485,G$1)</f>
        <v>0</v>
      </c>
      <c r="H7" s="76">
        <f>SUMIFS('апрель 2025'!$G$4:$G$2485,'апрель 2025'!$D$4:$D$2485,$B7,'апрель 2025'!$J$4:$J$2485,H$1)</f>
        <v>0</v>
      </c>
      <c r="I7" s="76">
        <f>SUMIFS('апрель 2025'!$G$4:$G$2485,'апрель 2025'!$D$4:$D$2485,$B7,'апрель 2025'!$J$4:$J$2485,I$1)</f>
        <v>0</v>
      </c>
      <c r="J7" s="76">
        <f>SUMIFS('апрель 2025'!$G$4:$G$2485,'апрель 2025'!$D$4:$D$2485,$B7,'апрель 2025'!$J$4:$J$2485,J$1)</f>
        <v>0</v>
      </c>
      <c r="K7" s="76">
        <f>SUMIFS('апрель 2025'!$G$4:$G$2485,'апрель 2025'!$D$4:$D$2485,$B7,'апрель 2025'!$J$4:$J$2485,K$1)</f>
        <v>0</v>
      </c>
      <c r="L7" s="76">
        <f>SUMIFS('апрель 2025'!$G$4:$G$2485,'апрель 2025'!$D$4:$D$2485,$B7,'апрель 2025'!$J$4:$J$2485,L$1)</f>
        <v>0</v>
      </c>
      <c r="M7" s="76">
        <f>SUMIFS('апрель 2025'!$G$4:$G$2485,'апрель 2025'!$D$4:$D$2485,$B7,'апрель 2025'!$J$4:$J$2485,M$1)</f>
        <v>0</v>
      </c>
      <c r="N7" s="76">
        <f>SUMIFS('апрель 2025'!$G$4:$G$2485,'апрель 2025'!$D$4:$D$2485,$B7,'апрель 2025'!$J$4:$J$2485,N$1)</f>
        <v>0</v>
      </c>
      <c r="O7" s="76">
        <f>SUMIFS('апрель 2025'!$G$4:$G$2485,'апрель 2025'!$D$4:$D$2485,$B7,'апрель 2025'!$J$4:$J$2485,O$1)</f>
        <v>0</v>
      </c>
      <c r="P7" s="76">
        <f>SUMIFS('апрель 2025'!$G$4:$G$2485,'апрель 2025'!$D$4:$D$2485,$B7,'апрель 2025'!$J$4:$J$2485,P$1)</f>
        <v>0</v>
      </c>
      <c r="Q7" s="76">
        <f>SUMIFS('апрель 2025'!$G$4:$G$2485,'апрель 2025'!$D$4:$D$2485,$B7,'апрель 2025'!$J$4:$J$2485,Q$1)</f>
        <v>0</v>
      </c>
      <c r="R7" s="76">
        <f>SUMIFS('апрель 2025'!$G$4:$G$2485,'апрель 2025'!$D$4:$D$2485,$B7,'апрель 2025'!$J$4:$J$2485,R$1)</f>
        <v>0</v>
      </c>
      <c r="S7" s="76">
        <f>SUMIFS('апрель 2025'!$G$4:$G$2485,'апрель 2025'!$D$4:$D$2485,$B7,'апрель 2025'!$J$4:$J$2485,S$1)</f>
        <v>0</v>
      </c>
      <c r="T7" s="76">
        <f>SUMIFS('апрель 2025'!$G$4:$G$2485,'апрель 2025'!$D$4:$D$2485,$B7,'апрель 2025'!$J$4:$J$2485,T$1)</f>
        <v>0</v>
      </c>
      <c r="U7" s="76">
        <f>SUMIFS('апрель 2025'!$G$4:$G$2485,'апрель 2025'!$D$4:$D$2485,$B7,'апрель 2025'!$J$4:$J$2485,U$1)</f>
        <v>0</v>
      </c>
      <c r="V7" s="76">
        <f>SUMIFS('апрель 2025'!$G$4:$G$2485,'апрель 2025'!$D$4:$D$2485,$B7,'апрель 2025'!$J$4:$J$2485,V$1)</f>
        <v>0</v>
      </c>
      <c r="W7" s="76">
        <f>SUMIFS('апрель 2025'!$G$4:$G$2485,'апрель 2025'!$D$4:$D$2485,$B7,'апрель 2025'!$J$4:$J$2485,W$1)</f>
        <v>0</v>
      </c>
      <c r="X7" s="76">
        <f>SUMIFS('апрель 2025'!$G$4:$G$2485,'апрель 2025'!$D$4:$D$2485,$B7,'апрель 2025'!$J$4:$J$2485,X$1)</f>
        <v>0</v>
      </c>
      <c r="Y7" s="76">
        <f>SUMIFS('апрель 2025'!$G$4:$G$2485,'апрель 2025'!$D$4:$D$2485,$B7,'апрель 2025'!$J$4:$J$2485,Y$1)</f>
        <v>0</v>
      </c>
      <c r="Z7" s="76">
        <f>SUMIFS('апрель 2025'!$G$4:$G$2485,'апрель 2025'!$D$4:$D$2485,$B7,'апрель 2025'!$J$4:$J$2485,Z$1)</f>
        <v>0</v>
      </c>
      <c r="AA7" s="76">
        <f>SUMIFS('апрель 2025'!$G$4:$G$2485,'апрель 2025'!$D$4:$D$2485,$B7,'апрель 2025'!$J$4:$J$2485,AA$1)</f>
        <v>0</v>
      </c>
      <c r="AB7" s="76">
        <f>SUMIFS('апрель 2025'!$G$4:$G$2485,'апрель 2025'!$D$4:$D$2485,$B7,'апрель 2025'!$J$4:$J$2485,AB$1)</f>
        <v>0</v>
      </c>
      <c r="AC7" s="76">
        <f>SUMIFS('апрель 2025'!$G$4:$G$2485,'апрель 2025'!$D$4:$D$2485,$B7,'апрель 2025'!$J$4:$J$2485,AC$1)</f>
        <v>0</v>
      </c>
      <c r="AD7" s="76">
        <f>SUMIFS('апрель 2025'!$G$4:$G$2485,'апрель 2025'!$D$4:$D$2485,$B7,'апрель 2025'!$J$4:$J$2485,AD$1)</f>
        <v>0</v>
      </c>
      <c r="AE7" s="76">
        <f>SUMIFS('апрель 2025'!$G$4:$G$2485,'апрель 2025'!$D$4:$D$2485,$B7,'апрель 2025'!$J$4:$J$2485,AE$1)</f>
        <v>0</v>
      </c>
      <c r="AF7" s="76">
        <f>SUMIFS('апрель 2025'!$G$4:$G$2485,'апрель 2025'!$D$4:$D$2485,$B7,'апрель 2025'!$J$4:$J$2485,AF$1)</f>
        <v>0</v>
      </c>
      <c r="AG7" s="76">
        <f>SUMIFS('апрель 2025'!$G$4:$G$2485,'апрель 2025'!$D$4:$D$2485,$B7,'апрель 2025'!$J$4:$J$2485,AG$1)</f>
        <v>0</v>
      </c>
      <c r="AH7" s="76">
        <f>SUMIFS('апрель 2025'!$G$4:$G$2485,'апрель 2025'!$D$4:$D$2485,$B7,'апрель 2025'!$J$4:$J$2485,AH$1)</f>
        <v>0</v>
      </c>
      <c r="AI7" s="20">
        <f t="shared" si="1"/>
        <v>0</v>
      </c>
    </row>
    <row r="8" spans="2:35" ht="15" customHeight="1" x14ac:dyDescent="0.25">
      <c r="B8" s="79" t="s">
        <v>222</v>
      </c>
      <c r="C8" s="78">
        <v>25</v>
      </c>
      <c r="D8" s="76">
        <f>SUMIFS('апрель 2025'!$G$4:$G$2485,'апрель 2025'!$D$4:$D$2485,$B8,'апрель 2025'!$J$4:$J$2485,D$1)</f>
        <v>0</v>
      </c>
      <c r="E8" s="76">
        <f>SUMIFS('апрель 2025'!$G$4:$G$2485,'апрель 2025'!$D$4:$D$2485,$B8,'апрель 2025'!$J$4:$J$2485,E$1)</f>
        <v>0</v>
      </c>
      <c r="F8" s="76">
        <f>SUMIFS('апрель 2025'!$G$4:$G$2485,'апрель 2025'!$D$4:$D$2485,$B8,'апрель 2025'!$J$4:$J$2485,F$1)</f>
        <v>0</v>
      </c>
      <c r="G8" s="76">
        <f>SUMIFS('апрель 2025'!$G$4:$G$2485,'апрель 2025'!$D$4:$D$2485,$B8,'апрель 2025'!$J$4:$J$2485,G$1)</f>
        <v>320</v>
      </c>
      <c r="H8" s="76">
        <f>SUMIFS('апрель 2025'!$G$4:$G$2485,'апрель 2025'!$D$4:$D$2485,$B8,'апрель 2025'!$J$4:$J$2485,H$1)</f>
        <v>0</v>
      </c>
      <c r="I8" s="76">
        <f>SUMIFS('апрель 2025'!$G$4:$G$2485,'апрель 2025'!$D$4:$D$2485,$B8,'апрель 2025'!$J$4:$J$2485,I$1)</f>
        <v>0</v>
      </c>
      <c r="J8" s="76">
        <f>SUMIFS('апрель 2025'!$G$4:$G$2485,'апрель 2025'!$D$4:$D$2485,$B8,'апрель 2025'!$J$4:$J$2485,J$1)</f>
        <v>0</v>
      </c>
      <c r="K8" s="76">
        <f>SUMIFS('апрель 2025'!$G$4:$G$2485,'апрель 2025'!$D$4:$D$2485,$B8,'апрель 2025'!$J$4:$J$2485,K$1)</f>
        <v>800</v>
      </c>
      <c r="L8" s="76">
        <f>SUMIFS('апрель 2025'!$G$4:$G$2485,'апрель 2025'!$D$4:$D$2485,$B8,'апрель 2025'!$J$4:$J$2485,L$1)</f>
        <v>0</v>
      </c>
      <c r="M8" s="76">
        <f>SUMIFS('апрель 2025'!$G$4:$G$2485,'апрель 2025'!$D$4:$D$2485,$B8,'апрель 2025'!$J$4:$J$2485,M$1)</f>
        <v>0</v>
      </c>
      <c r="N8" s="76">
        <f>SUMIFS('апрель 2025'!$G$4:$G$2485,'апрель 2025'!$D$4:$D$2485,$B8,'апрель 2025'!$J$4:$J$2485,N$1)</f>
        <v>800</v>
      </c>
      <c r="O8" s="76">
        <f>SUMIFS('апрель 2025'!$G$4:$G$2485,'апрель 2025'!$D$4:$D$2485,$B8,'апрель 2025'!$J$4:$J$2485,O$1)</f>
        <v>0</v>
      </c>
      <c r="P8" s="76">
        <f>SUMIFS('апрель 2025'!$G$4:$G$2485,'апрель 2025'!$D$4:$D$2485,$B8,'апрель 2025'!$J$4:$J$2485,P$1)</f>
        <v>0</v>
      </c>
      <c r="Q8" s="76">
        <f>SUMIFS('апрель 2025'!$G$4:$G$2485,'апрель 2025'!$D$4:$D$2485,$B8,'апрель 2025'!$J$4:$J$2485,Q$1)</f>
        <v>0</v>
      </c>
      <c r="R8" s="76">
        <f>SUMIFS('апрель 2025'!$G$4:$G$2485,'апрель 2025'!$D$4:$D$2485,$B8,'апрель 2025'!$J$4:$J$2485,R$1)</f>
        <v>800</v>
      </c>
      <c r="S8" s="76">
        <f>SUMIFS('апрель 2025'!$G$4:$G$2485,'апрель 2025'!$D$4:$D$2485,$B8,'апрель 2025'!$J$4:$J$2485,S$1)</f>
        <v>800</v>
      </c>
      <c r="T8" s="76">
        <f>SUMIFS('апрель 2025'!$G$4:$G$2485,'апрель 2025'!$D$4:$D$2485,$B8,'апрель 2025'!$J$4:$J$2485,T$1)</f>
        <v>0</v>
      </c>
      <c r="U8" s="76">
        <f>SUMIFS('апрель 2025'!$G$4:$G$2485,'апрель 2025'!$D$4:$D$2485,$B8,'апрель 2025'!$J$4:$J$2485,U$1)</f>
        <v>520</v>
      </c>
      <c r="V8" s="76">
        <f>SUMIFS('апрель 2025'!$G$4:$G$2485,'апрель 2025'!$D$4:$D$2485,$B8,'апрель 2025'!$J$4:$J$2485,V$1)</f>
        <v>0</v>
      </c>
      <c r="W8" s="76">
        <f>SUMIFS('апрель 2025'!$G$4:$G$2485,'апрель 2025'!$D$4:$D$2485,$B8,'апрель 2025'!$J$4:$J$2485,W$1)</f>
        <v>0</v>
      </c>
      <c r="X8" s="76">
        <f>SUMIFS('апрель 2025'!$G$4:$G$2485,'апрель 2025'!$D$4:$D$2485,$B8,'апрель 2025'!$J$4:$J$2485,X$1)</f>
        <v>0</v>
      </c>
      <c r="Y8" s="76">
        <f>SUMIFS('апрель 2025'!$G$4:$G$2485,'апрель 2025'!$D$4:$D$2485,$B8,'апрель 2025'!$J$4:$J$2485,Y$1)</f>
        <v>0</v>
      </c>
      <c r="Z8" s="76">
        <f>SUMIFS('апрель 2025'!$G$4:$G$2485,'апрель 2025'!$D$4:$D$2485,$B8,'апрель 2025'!$J$4:$J$2485,Z$1)</f>
        <v>0</v>
      </c>
      <c r="AA8" s="76">
        <f>SUMIFS('апрель 2025'!$G$4:$G$2485,'апрель 2025'!$D$4:$D$2485,$B8,'апрель 2025'!$J$4:$J$2485,AA$1)</f>
        <v>0</v>
      </c>
      <c r="AB8" s="76">
        <f>SUMIFS('апрель 2025'!$G$4:$G$2485,'апрель 2025'!$D$4:$D$2485,$B8,'апрель 2025'!$J$4:$J$2485,AB$1)</f>
        <v>0</v>
      </c>
      <c r="AC8" s="76">
        <f>SUMIFS('апрель 2025'!$G$4:$G$2485,'апрель 2025'!$D$4:$D$2485,$B8,'апрель 2025'!$J$4:$J$2485,AC$1)</f>
        <v>0</v>
      </c>
      <c r="AD8" s="76">
        <f>SUMIFS('апрель 2025'!$G$4:$G$2485,'апрель 2025'!$D$4:$D$2485,$B8,'апрель 2025'!$J$4:$J$2485,AD$1)</f>
        <v>0</v>
      </c>
      <c r="AE8" s="76">
        <f>SUMIFS('апрель 2025'!$G$4:$G$2485,'апрель 2025'!$D$4:$D$2485,$B8,'апрель 2025'!$J$4:$J$2485,AE$1)</f>
        <v>400</v>
      </c>
      <c r="AF8" s="76">
        <f>SUMIFS('апрель 2025'!$G$4:$G$2485,'апрель 2025'!$D$4:$D$2485,$B8,'апрель 2025'!$J$4:$J$2485,AF$1)</f>
        <v>0</v>
      </c>
      <c r="AG8" s="76">
        <f>SUMIFS('апрель 2025'!$G$4:$G$2485,'апрель 2025'!$D$4:$D$2485,$B8,'апрель 2025'!$J$4:$J$2485,AG$1)</f>
        <v>800</v>
      </c>
      <c r="AH8" s="76">
        <f>SUMIFS('апрель 2025'!$G$4:$G$2485,'апрель 2025'!$D$4:$D$2485,$B8,'апрель 2025'!$J$4:$J$2485,AH$1)</f>
        <v>0</v>
      </c>
      <c r="AI8" s="20">
        <f t="shared" si="1"/>
        <v>5240</v>
      </c>
    </row>
    <row r="9" spans="2:35" ht="15" customHeight="1" x14ac:dyDescent="0.25">
      <c r="B9" s="77" t="s">
        <v>224</v>
      </c>
      <c r="C9" s="78">
        <v>25</v>
      </c>
      <c r="D9" s="76">
        <f>SUMIFS('апрель 2025'!$G$4:$G$2485,'апрель 2025'!$D$4:$D$2485,$B9,'апрель 2025'!$J$4:$J$2485,D$1)</f>
        <v>0</v>
      </c>
      <c r="E9" s="76">
        <f>SUMIFS('апрель 2025'!$G$4:$G$2485,'апрель 2025'!$D$4:$D$2485,$B9,'апрель 2025'!$J$4:$J$2485,E$1)</f>
        <v>0</v>
      </c>
      <c r="F9" s="76">
        <f>SUMIFS('апрель 2025'!$G$4:$G$2485,'апрель 2025'!$D$4:$D$2485,$B9,'апрель 2025'!$J$4:$J$2485,F$1)</f>
        <v>0</v>
      </c>
      <c r="G9" s="76">
        <f>SUMIFS('апрель 2025'!$G$4:$G$2485,'апрель 2025'!$D$4:$D$2485,$B9,'апрель 2025'!$J$4:$J$2485,G$1)</f>
        <v>0</v>
      </c>
      <c r="H9" s="76">
        <f>SUMIFS('апрель 2025'!$G$4:$G$2485,'апрель 2025'!$D$4:$D$2485,$B9,'апрель 2025'!$J$4:$J$2485,H$1)</f>
        <v>0</v>
      </c>
      <c r="I9" s="76">
        <f>SUMIFS('апрель 2025'!$G$4:$G$2485,'апрель 2025'!$D$4:$D$2485,$B9,'апрель 2025'!$J$4:$J$2485,I$1)</f>
        <v>0</v>
      </c>
      <c r="J9" s="76">
        <f>SUMIFS('апрель 2025'!$G$4:$G$2485,'апрель 2025'!$D$4:$D$2485,$B9,'апрель 2025'!$J$4:$J$2485,J$1)</f>
        <v>0</v>
      </c>
      <c r="K9" s="76">
        <f>SUMIFS('апрель 2025'!$G$4:$G$2485,'апрель 2025'!$D$4:$D$2485,$B9,'апрель 2025'!$J$4:$J$2485,K$1)</f>
        <v>0</v>
      </c>
      <c r="L9" s="76">
        <f>SUMIFS('апрель 2025'!$G$4:$G$2485,'апрель 2025'!$D$4:$D$2485,$B9,'апрель 2025'!$J$4:$J$2485,L$1)</f>
        <v>0</v>
      </c>
      <c r="M9" s="76">
        <f>SUMIFS('апрель 2025'!$G$4:$G$2485,'апрель 2025'!$D$4:$D$2485,$B9,'апрель 2025'!$J$4:$J$2485,M$1)</f>
        <v>0</v>
      </c>
      <c r="N9" s="76">
        <f>SUMIFS('апрель 2025'!$G$4:$G$2485,'апрель 2025'!$D$4:$D$2485,$B9,'апрель 2025'!$J$4:$J$2485,N$1)</f>
        <v>0</v>
      </c>
      <c r="O9" s="76">
        <f>SUMIFS('апрель 2025'!$G$4:$G$2485,'апрель 2025'!$D$4:$D$2485,$B9,'апрель 2025'!$J$4:$J$2485,O$1)</f>
        <v>0</v>
      </c>
      <c r="P9" s="76">
        <f>SUMIFS('апрель 2025'!$G$4:$G$2485,'апрель 2025'!$D$4:$D$2485,$B9,'апрель 2025'!$J$4:$J$2485,P$1)</f>
        <v>0</v>
      </c>
      <c r="Q9" s="76">
        <f>SUMIFS('апрель 2025'!$G$4:$G$2485,'апрель 2025'!$D$4:$D$2485,$B9,'апрель 2025'!$J$4:$J$2485,Q$1)</f>
        <v>0</v>
      </c>
      <c r="R9" s="76">
        <f>SUMIFS('апрель 2025'!$G$4:$G$2485,'апрель 2025'!$D$4:$D$2485,$B9,'апрель 2025'!$J$4:$J$2485,R$1)</f>
        <v>0</v>
      </c>
      <c r="S9" s="76">
        <f>SUMIFS('апрель 2025'!$G$4:$G$2485,'апрель 2025'!$D$4:$D$2485,$B9,'апрель 2025'!$J$4:$J$2485,S$1)</f>
        <v>0</v>
      </c>
      <c r="T9" s="76">
        <f>SUMIFS('апрель 2025'!$G$4:$G$2485,'апрель 2025'!$D$4:$D$2485,$B9,'апрель 2025'!$J$4:$J$2485,T$1)</f>
        <v>0</v>
      </c>
      <c r="U9" s="76">
        <f>SUMIFS('апрель 2025'!$G$4:$G$2485,'апрель 2025'!$D$4:$D$2485,$B9,'апрель 2025'!$J$4:$J$2485,U$1)</f>
        <v>0</v>
      </c>
      <c r="V9" s="76">
        <f>SUMIFS('апрель 2025'!$G$4:$G$2485,'апрель 2025'!$D$4:$D$2485,$B9,'апрель 2025'!$J$4:$J$2485,V$1)</f>
        <v>0</v>
      </c>
      <c r="W9" s="76">
        <f>SUMIFS('апрель 2025'!$G$4:$G$2485,'апрель 2025'!$D$4:$D$2485,$B9,'апрель 2025'!$J$4:$J$2485,W$1)</f>
        <v>0</v>
      </c>
      <c r="X9" s="76">
        <f>SUMIFS('апрель 2025'!$G$4:$G$2485,'апрель 2025'!$D$4:$D$2485,$B9,'апрель 2025'!$J$4:$J$2485,X$1)</f>
        <v>0</v>
      </c>
      <c r="Y9" s="76">
        <f>SUMIFS('апрель 2025'!$G$4:$G$2485,'апрель 2025'!$D$4:$D$2485,$B9,'апрель 2025'!$J$4:$J$2485,Y$1)</f>
        <v>0</v>
      </c>
      <c r="Z9" s="76">
        <f>SUMIFS('апрель 2025'!$G$4:$G$2485,'апрель 2025'!$D$4:$D$2485,$B9,'апрель 2025'!$J$4:$J$2485,Z$1)</f>
        <v>0</v>
      </c>
      <c r="AA9" s="76">
        <f>SUMIFS('апрель 2025'!$G$4:$G$2485,'апрель 2025'!$D$4:$D$2485,$B9,'апрель 2025'!$J$4:$J$2485,AA$1)</f>
        <v>0</v>
      </c>
      <c r="AB9" s="76">
        <f>SUMIFS('апрель 2025'!$G$4:$G$2485,'апрель 2025'!$D$4:$D$2485,$B9,'апрель 2025'!$J$4:$J$2485,AB$1)</f>
        <v>0</v>
      </c>
      <c r="AC9" s="76">
        <f>SUMIFS('апрель 2025'!$G$4:$G$2485,'апрель 2025'!$D$4:$D$2485,$B9,'апрель 2025'!$J$4:$J$2485,AC$1)</f>
        <v>0</v>
      </c>
      <c r="AD9" s="76">
        <f>SUMIFS('апрель 2025'!$G$4:$G$2485,'апрель 2025'!$D$4:$D$2485,$B9,'апрель 2025'!$J$4:$J$2485,AD$1)</f>
        <v>0</v>
      </c>
      <c r="AE9" s="76">
        <f>SUMIFS('апрель 2025'!$G$4:$G$2485,'апрель 2025'!$D$4:$D$2485,$B9,'апрель 2025'!$J$4:$J$2485,AE$1)</f>
        <v>0</v>
      </c>
      <c r="AF9" s="76">
        <f>SUMIFS('апрель 2025'!$G$4:$G$2485,'апрель 2025'!$D$4:$D$2485,$B9,'апрель 2025'!$J$4:$J$2485,AF$1)</f>
        <v>0</v>
      </c>
      <c r="AG9" s="76">
        <f>SUMIFS('апрель 2025'!$G$4:$G$2485,'апрель 2025'!$D$4:$D$2485,$B9,'апрель 2025'!$J$4:$J$2485,AG$1)</f>
        <v>0</v>
      </c>
      <c r="AH9" s="76">
        <f>SUMIFS('апрель 2025'!$G$4:$G$2485,'апрель 2025'!$D$4:$D$2485,$B9,'апрель 2025'!$J$4:$J$2485,AH$1)</f>
        <v>0</v>
      </c>
      <c r="AI9" s="20">
        <f t="shared" si="1"/>
        <v>0</v>
      </c>
    </row>
    <row r="10" spans="2:35" ht="15" customHeight="1" x14ac:dyDescent="0.25">
      <c r="B10" s="77" t="s">
        <v>226</v>
      </c>
      <c r="C10" s="78">
        <v>25</v>
      </c>
      <c r="D10" s="76">
        <f>SUMIFS('апрель 2025'!$G$4:$G$2485,'апрель 2025'!$D$4:$D$2485,$B10,'апрель 2025'!$J$4:$J$2485,D$1)</f>
        <v>0</v>
      </c>
      <c r="E10" s="76">
        <f>SUMIFS('апрель 2025'!$G$4:$G$2485,'апрель 2025'!$D$4:$D$2485,$B10,'апрель 2025'!$J$4:$J$2485,E$1)</f>
        <v>0</v>
      </c>
      <c r="F10" s="76">
        <f>SUMIFS('апрель 2025'!$G$4:$G$2485,'апрель 2025'!$D$4:$D$2485,$B10,'апрель 2025'!$J$4:$J$2485,F$1)</f>
        <v>0</v>
      </c>
      <c r="G10" s="76">
        <f>SUMIFS('апрель 2025'!$G$4:$G$2485,'апрель 2025'!$D$4:$D$2485,$B10,'апрель 2025'!$J$4:$J$2485,G$1)</f>
        <v>0</v>
      </c>
      <c r="H10" s="76">
        <f>SUMIFS('апрель 2025'!$G$4:$G$2485,'апрель 2025'!$D$4:$D$2485,$B10,'апрель 2025'!$J$4:$J$2485,H$1)</f>
        <v>0</v>
      </c>
      <c r="I10" s="76">
        <f>SUMIFS('апрель 2025'!$G$4:$G$2485,'апрель 2025'!$D$4:$D$2485,$B10,'апрель 2025'!$J$4:$J$2485,I$1)</f>
        <v>0</v>
      </c>
      <c r="J10" s="76">
        <f>SUMIFS('апрель 2025'!$G$4:$G$2485,'апрель 2025'!$D$4:$D$2485,$B10,'апрель 2025'!$J$4:$J$2485,J$1)</f>
        <v>0</v>
      </c>
      <c r="K10" s="76">
        <f>SUMIFS('апрель 2025'!$G$4:$G$2485,'апрель 2025'!$D$4:$D$2485,$B10,'апрель 2025'!$J$4:$J$2485,K$1)</f>
        <v>0</v>
      </c>
      <c r="L10" s="76">
        <f>SUMIFS('апрель 2025'!$G$4:$G$2485,'апрель 2025'!$D$4:$D$2485,$B10,'апрель 2025'!$J$4:$J$2485,L$1)</f>
        <v>0</v>
      </c>
      <c r="M10" s="76">
        <f>SUMIFS('апрель 2025'!$G$4:$G$2485,'апрель 2025'!$D$4:$D$2485,$B10,'апрель 2025'!$J$4:$J$2485,M$1)</f>
        <v>0</v>
      </c>
      <c r="N10" s="76">
        <f>SUMIFS('апрель 2025'!$G$4:$G$2485,'апрель 2025'!$D$4:$D$2485,$B10,'апрель 2025'!$J$4:$J$2485,N$1)</f>
        <v>0</v>
      </c>
      <c r="O10" s="76">
        <f>SUMIFS('апрель 2025'!$G$4:$G$2485,'апрель 2025'!$D$4:$D$2485,$B10,'апрель 2025'!$J$4:$J$2485,O$1)</f>
        <v>0</v>
      </c>
      <c r="P10" s="76">
        <f>SUMIFS('апрель 2025'!$G$4:$G$2485,'апрель 2025'!$D$4:$D$2485,$B10,'апрель 2025'!$J$4:$J$2485,P$1)</f>
        <v>0</v>
      </c>
      <c r="Q10" s="76">
        <f>SUMIFS('апрель 2025'!$G$4:$G$2485,'апрель 2025'!$D$4:$D$2485,$B10,'апрель 2025'!$J$4:$J$2485,Q$1)</f>
        <v>0</v>
      </c>
      <c r="R10" s="76">
        <f>SUMIFS('апрель 2025'!$G$4:$G$2485,'апрель 2025'!$D$4:$D$2485,$B10,'апрель 2025'!$J$4:$J$2485,R$1)</f>
        <v>0</v>
      </c>
      <c r="S10" s="76">
        <f>SUMIFS('апрель 2025'!$G$4:$G$2485,'апрель 2025'!$D$4:$D$2485,$B10,'апрель 2025'!$J$4:$J$2485,S$1)</f>
        <v>0</v>
      </c>
      <c r="T10" s="76">
        <f>SUMIFS('апрель 2025'!$G$4:$G$2485,'апрель 2025'!$D$4:$D$2485,$B10,'апрель 2025'!$J$4:$J$2485,T$1)</f>
        <v>0</v>
      </c>
      <c r="U10" s="76">
        <f>SUMIFS('апрель 2025'!$G$4:$G$2485,'апрель 2025'!$D$4:$D$2485,$B10,'апрель 2025'!$J$4:$J$2485,U$1)</f>
        <v>0</v>
      </c>
      <c r="V10" s="76">
        <f>SUMIFS('апрель 2025'!$G$4:$G$2485,'апрель 2025'!$D$4:$D$2485,$B10,'апрель 2025'!$J$4:$J$2485,V$1)</f>
        <v>0</v>
      </c>
      <c r="W10" s="76">
        <f>SUMIFS('апрель 2025'!$G$4:$G$2485,'апрель 2025'!$D$4:$D$2485,$B10,'апрель 2025'!$J$4:$J$2485,W$1)</f>
        <v>0</v>
      </c>
      <c r="X10" s="76">
        <f>SUMIFS('апрель 2025'!$G$4:$G$2485,'апрель 2025'!$D$4:$D$2485,$B10,'апрель 2025'!$J$4:$J$2485,X$1)</f>
        <v>0</v>
      </c>
      <c r="Y10" s="76">
        <f>SUMIFS('апрель 2025'!$G$4:$G$2485,'апрель 2025'!$D$4:$D$2485,$B10,'апрель 2025'!$J$4:$J$2485,Y$1)</f>
        <v>0</v>
      </c>
      <c r="Z10" s="76">
        <f>SUMIFS('апрель 2025'!$G$4:$G$2485,'апрель 2025'!$D$4:$D$2485,$B10,'апрель 2025'!$J$4:$J$2485,Z$1)</f>
        <v>0</v>
      </c>
      <c r="AA10" s="76">
        <f>SUMIFS('апрель 2025'!$G$4:$G$2485,'апрель 2025'!$D$4:$D$2485,$B10,'апрель 2025'!$J$4:$J$2485,AA$1)</f>
        <v>0</v>
      </c>
      <c r="AB10" s="76">
        <f>SUMIFS('апрель 2025'!$G$4:$G$2485,'апрель 2025'!$D$4:$D$2485,$B10,'апрель 2025'!$J$4:$J$2485,AB$1)</f>
        <v>0</v>
      </c>
      <c r="AC10" s="76">
        <f>SUMIFS('апрель 2025'!$G$4:$G$2485,'апрель 2025'!$D$4:$D$2485,$B10,'апрель 2025'!$J$4:$J$2485,AC$1)</f>
        <v>0</v>
      </c>
      <c r="AD10" s="76">
        <f>SUMIFS('апрель 2025'!$G$4:$G$2485,'апрель 2025'!$D$4:$D$2485,$B10,'апрель 2025'!$J$4:$J$2485,AD$1)</f>
        <v>0</v>
      </c>
      <c r="AE10" s="76">
        <f>SUMIFS('апрель 2025'!$G$4:$G$2485,'апрель 2025'!$D$4:$D$2485,$B10,'апрель 2025'!$J$4:$J$2485,AE$1)</f>
        <v>0</v>
      </c>
      <c r="AF10" s="76">
        <f>SUMIFS('апрель 2025'!$G$4:$G$2485,'апрель 2025'!$D$4:$D$2485,$B10,'апрель 2025'!$J$4:$J$2485,AF$1)</f>
        <v>0</v>
      </c>
      <c r="AG10" s="76">
        <f>SUMIFS('апрель 2025'!$G$4:$G$2485,'апрель 2025'!$D$4:$D$2485,$B10,'апрель 2025'!$J$4:$J$2485,AG$1)</f>
        <v>0</v>
      </c>
      <c r="AH10" s="76">
        <f>SUMIFS('апрель 2025'!$G$4:$G$2485,'апрель 2025'!$D$4:$D$2485,$B10,'апрель 2025'!$J$4:$J$2485,AH$1)</f>
        <v>0</v>
      </c>
      <c r="AI10" s="20">
        <f t="shared" si="1"/>
        <v>0</v>
      </c>
    </row>
    <row r="11" spans="2:35" ht="15" customHeight="1" x14ac:dyDescent="0.25">
      <c r="B11" s="80" t="s">
        <v>228</v>
      </c>
      <c r="C11" s="81">
        <v>22.68</v>
      </c>
      <c r="D11" s="76">
        <f>SUMIFS('апрель 2025'!$G$4:$G$2485,'апрель 2025'!$D$4:$D$2485,$B11,'апрель 2025'!$J$4:$J$2485,D$1)</f>
        <v>0</v>
      </c>
      <c r="E11" s="76">
        <f>SUMIFS('апрель 2025'!$G$4:$G$2485,'апрель 2025'!$D$4:$D$2485,$B11,'апрель 2025'!$J$4:$J$2485,E$1)</f>
        <v>0</v>
      </c>
      <c r="F11" s="76">
        <f>SUMIFS('апрель 2025'!$G$4:$G$2485,'апрель 2025'!$D$4:$D$2485,$B11,'апрель 2025'!$J$4:$J$2485,F$1)</f>
        <v>0</v>
      </c>
      <c r="G11" s="76">
        <f>SUMIFS('апрель 2025'!$G$4:$G$2485,'апрель 2025'!$D$4:$D$2485,$B11,'апрель 2025'!$J$4:$J$2485,G$1)</f>
        <v>0</v>
      </c>
      <c r="H11" s="76">
        <f>SUMIFS('апрель 2025'!$G$4:$G$2485,'апрель 2025'!$D$4:$D$2485,$B11,'апрель 2025'!$J$4:$J$2485,H$1)</f>
        <v>0</v>
      </c>
      <c r="I11" s="76">
        <f>SUMIFS('апрель 2025'!$G$4:$G$2485,'апрель 2025'!$D$4:$D$2485,$B11,'апрель 2025'!$J$4:$J$2485,I$1)</f>
        <v>0</v>
      </c>
      <c r="J11" s="76">
        <f>SUMIFS('апрель 2025'!$G$4:$G$2485,'апрель 2025'!$D$4:$D$2485,$B11,'апрель 2025'!$J$4:$J$2485,J$1)</f>
        <v>0</v>
      </c>
      <c r="K11" s="76">
        <f>SUMIFS('апрель 2025'!$G$4:$G$2485,'апрель 2025'!$D$4:$D$2485,$B11,'апрель 2025'!$J$4:$J$2485,K$1)</f>
        <v>0</v>
      </c>
      <c r="L11" s="76">
        <f>SUMIFS('апрель 2025'!$G$4:$G$2485,'апрель 2025'!$D$4:$D$2485,$B11,'апрель 2025'!$J$4:$J$2485,L$1)</f>
        <v>0</v>
      </c>
      <c r="M11" s="76">
        <f>SUMIFS('апрель 2025'!$G$4:$G$2485,'апрель 2025'!$D$4:$D$2485,$B11,'апрель 2025'!$J$4:$J$2485,M$1)</f>
        <v>0</v>
      </c>
      <c r="N11" s="76">
        <f>SUMIFS('апрель 2025'!$G$4:$G$2485,'апрель 2025'!$D$4:$D$2485,$B11,'апрель 2025'!$J$4:$J$2485,N$1)</f>
        <v>0</v>
      </c>
      <c r="O11" s="76">
        <f>SUMIFS('апрель 2025'!$G$4:$G$2485,'апрель 2025'!$D$4:$D$2485,$B11,'апрель 2025'!$J$4:$J$2485,O$1)</f>
        <v>0</v>
      </c>
      <c r="P11" s="76">
        <f>SUMIFS('апрель 2025'!$G$4:$G$2485,'апрель 2025'!$D$4:$D$2485,$B11,'апрель 2025'!$J$4:$J$2485,P$1)</f>
        <v>0</v>
      </c>
      <c r="Q11" s="76">
        <f>SUMIFS('апрель 2025'!$G$4:$G$2485,'апрель 2025'!$D$4:$D$2485,$B11,'апрель 2025'!$J$4:$J$2485,Q$1)</f>
        <v>0</v>
      </c>
      <c r="R11" s="76">
        <f>SUMIFS('апрель 2025'!$G$4:$G$2485,'апрель 2025'!$D$4:$D$2485,$B11,'апрель 2025'!$J$4:$J$2485,R$1)</f>
        <v>0</v>
      </c>
      <c r="S11" s="76">
        <f>SUMIFS('апрель 2025'!$G$4:$G$2485,'апрель 2025'!$D$4:$D$2485,$B11,'апрель 2025'!$J$4:$J$2485,S$1)</f>
        <v>0</v>
      </c>
      <c r="T11" s="76">
        <f>SUMIFS('апрель 2025'!$G$4:$G$2485,'апрель 2025'!$D$4:$D$2485,$B11,'апрель 2025'!$J$4:$J$2485,T$1)</f>
        <v>0</v>
      </c>
      <c r="U11" s="76">
        <f>SUMIFS('апрель 2025'!$G$4:$G$2485,'апрель 2025'!$D$4:$D$2485,$B11,'апрель 2025'!$J$4:$J$2485,U$1)</f>
        <v>0</v>
      </c>
      <c r="V11" s="76">
        <f>SUMIFS('апрель 2025'!$G$4:$G$2485,'апрель 2025'!$D$4:$D$2485,$B11,'апрель 2025'!$J$4:$J$2485,V$1)</f>
        <v>0</v>
      </c>
      <c r="W11" s="76">
        <f>SUMIFS('апрель 2025'!$G$4:$G$2485,'апрель 2025'!$D$4:$D$2485,$B11,'апрель 2025'!$J$4:$J$2485,W$1)</f>
        <v>0</v>
      </c>
      <c r="X11" s="76">
        <f>SUMIFS('апрель 2025'!$G$4:$G$2485,'апрель 2025'!$D$4:$D$2485,$B11,'апрель 2025'!$J$4:$J$2485,X$1)</f>
        <v>0</v>
      </c>
      <c r="Y11" s="76">
        <f>SUMIFS('апрель 2025'!$G$4:$G$2485,'апрель 2025'!$D$4:$D$2485,$B11,'апрель 2025'!$J$4:$J$2485,Y$1)</f>
        <v>0</v>
      </c>
      <c r="Z11" s="76">
        <f>SUMIFS('апрель 2025'!$G$4:$G$2485,'апрель 2025'!$D$4:$D$2485,$B11,'апрель 2025'!$J$4:$J$2485,Z$1)</f>
        <v>0</v>
      </c>
      <c r="AA11" s="76">
        <f>SUMIFS('апрель 2025'!$G$4:$G$2485,'апрель 2025'!$D$4:$D$2485,$B11,'апрель 2025'!$J$4:$J$2485,AA$1)</f>
        <v>0</v>
      </c>
      <c r="AB11" s="76">
        <f>SUMIFS('апрель 2025'!$G$4:$G$2485,'апрель 2025'!$D$4:$D$2485,$B11,'апрель 2025'!$J$4:$J$2485,AB$1)</f>
        <v>0</v>
      </c>
      <c r="AC11" s="76">
        <f>SUMIFS('апрель 2025'!$G$4:$G$2485,'апрель 2025'!$D$4:$D$2485,$B11,'апрель 2025'!$J$4:$J$2485,AC$1)</f>
        <v>0</v>
      </c>
      <c r="AD11" s="76">
        <f>SUMIFS('апрель 2025'!$G$4:$G$2485,'апрель 2025'!$D$4:$D$2485,$B11,'апрель 2025'!$J$4:$J$2485,AD$1)</f>
        <v>0</v>
      </c>
      <c r="AE11" s="76">
        <f>SUMIFS('апрель 2025'!$G$4:$G$2485,'апрель 2025'!$D$4:$D$2485,$B11,'апрель 2025'!$J$4:$J$2485,AE$1)</f>
        <v>0</v>
      </c>
      <c r="AF11" s="76">
        <f>SUMIFS('апрель 2025'!$G$4:$G$2485,'апрель 2025'!$D$4:$D$2485,$B11,'апрель 2025'!$J$4:$J$2485,AF$1)</f>
        <v>0</v>
      </c>
      <c r="AG11" s="76">
        <f>SUMIFS('апрель 2025'!$G$4:$G$2485,'апрель 2025'!$D$4:$D$2485,$B11,'апрель 2025'!$J$4:$J$2485,AG$1)</f>
        <v>0</v>
      </c>
      <c r="AH11" s="76">
        <f>SUMIFS('апрель 2025'!$G$4:$G$2485,'апрель 2025'!$D$4:$D$2485,$B11,'апрель 2025'!$J$4:$J$2485,AH$1)</f>
        <v>0</v>
      </c>
      <c r="AI11" s="20">
        <f t="shared" si="1"/>
        <v>0</v>
      </c>
    </row>
    <row r="12" spans="2:35" ht="15" customHeight="1" x14ac:dyDescent="0.25">
      <c r="B12" s="80" t="s">
        <v>328</v>
      </c>
      <c r="C12" s="81">
        <v>22.7</v>
      </c>
      <c r="D12" s="76">
        <f>SUMIFS('апрель 2025'!$G$4:$G$2485,'апрель 2025'!$D$4:$D$2485,$B12,'апрель 2025'!$J$4:$J$2485,D$1)</f>
        <v>0</v>
      </c>
      <c r="E12" s="76">
        <f>SUMIFS('апрель 2025'!$G$4:$G$2485,'апрель 2025'!$D$4:$D$2485,$B12,'апрель 2025'!$J$4:$J$2485,E$1)</f>
        <v>0</v>
      </c>
      <c r="F12" s="76">
        <f>SUMIFS('апрель 2025'!$G$4:$G$2485,'апрель 2025'!$D$4:$D$2485,$B12,'апрель 2025'!$J$4:$J$2485,F$1)</f>
        <v>0</v>
      </c>
      <c r="G12" s="76">
        <f>SUMIFS('апрель 2025'!$G$4:$G$2485,'апрель 2025'!$D$4:$D$2485,$B12,'апрель 2025'!$J$4:$J$2485,G$1)</f>
        <v>0</v>
      </c>
      <c r="H12" s="76">
        <f>SUMIFS('апрель 2025'!$G$4:$G$2485,'апрель 2025'!$D$4:$D$2485,$B12,'апрель 2025'!$J$4:$J$2485,H$1)</f>
        <v>0</v>
      </c>
      <c r="I12" s="76">
        <f>SUMIFS('апрель 2025'!$G$4:$G$2485,'апрель 2025'!$D$4:$D$2485,$B12,'апрель 2025'!$J$4:$J$2485,I$1)</f>
        <v>0</v>
      </c>
      <c r="J12" s="76">
        <f>SUMIFS('апрель 2025'!$G$4:$G$2485,'апрель 2025'!$D$4:$D$2485,$B12,'апрель 2025'!$J$4:$J$2485,J$1)</f>
        <v>0</v>
      </c>
      <c r="K12" s="76">
        <f>SUMIFS('апрель 2025'!$G$4:$G$2485,'апрель 2025'!$D$4:$D$2485,$B12,'апрель 2025'!$J$4:$J$2485,K$1)</f>
        <v>0</v>
      </c>
      <c r="L12" s="76">
        <f>SUMIFS('апрель 2025'!$G$4:$G$2485,'апрель 2025'!$D$4:$D$2485,$B12,'апрель 2025'!$J$4:$J$2485,L$1)</f>
        <v>0</v>
      </c>
      <c r="M12" s="76">
        <f>SUMIFS('апрель 2025'!$G$4:$G$2485,'апрель 2025'!$D$4:$D$2485,$B12,'апрель 2025'!$J$4:$J$2485,M$1)</f>
        <v>0</v>
      </c>
      <c r="N12" s="76">
        <f>SUMIFS('апрель 2025'!$G$4:$G$2485,'апрель 2025'!$D$4:$D$2485,$B12,'апрель 2025'!$J$4:$J$2485,N$1)</f>
        <v>0</v>
      </c>
      <c r="O12" s="76">
        <f>SUMIFS('апрель 2025'!$G$4:$G$2485,'апрель 2025'!$D$4:$D$2485,$B12,'апрель 2025'!$J$4:$J$2485,O$1)</f>
        <v>0</v>
      </c>
      <c r="P12" s="76">
        <f>SUMIFS('апрель 2025'!$G$4:$G$2485,'апрель 2025'!$D$4:$D$2485,$B12,'апрель 2025'!$J$4:$J$2485,P$1)</f>
        <v>0</v>
      </c>
      <c r="Q12" s="76">
        <f>SUMIFS('апрель 2025'!$G$4:$G$2485,'апрель 2025'!$D$4:$D$2485,$B12,'апрель 2025'!$J$4:$J$2485,Q$1)</f>
        <v>0</v>
      </c>
      <c r="R12" s="76">
        <f>SUMIFS('апрель 2025'!$G$4:$G$2485,'апрель 2025'!$D$4:$D$2485,$B12,'апрель 2025'!$J$4:$J$2485,R$1)</f>
        <v>0</v>
      </c>
      <c r="S12" s="76">
        <f>SUMIFS('апрель 2025'!$G$4:$G$2485,'апрель 2025'!$D$4:$D$2485,$B12,'апрель 2025'!$J$4:$J$2485,S$1)</f>
        <v>0</v>
      </c>
      <c r="T12" s="76">
        <f>SUMIFS('апрель 2025'!$G$4:$G$2485,'апрель 2025'!$D$4:$D$2485,$B12,'апрель 2025'!$J$4:$J$2485,T$1)</f>
        <v>0</v>
      </c>
      <c r="U12" s="76">
        <f>SUMIFS('апрель 2025'!$G$4:$G$2485,'апрель 2025'!$D$4:$D$2485,$B12,'апрель 2025'!$J$4:$J$2485,U$1)</f>
        <v>0</v>
      </c>
      <c r="V12" s="76">
        <f>SUMIFS('апрель 2025'!$G$4:$G$2485,'апрель 2025'!$D$4:$D$2485,$B12,'апрель 2025'!$J$4:$J$2485,V$1)</f>
        <v>0</v>
      </c>
      <c r="W12" s="76">
        <f>SUMIFS('апрель 2025'!$G$4:$G$2485,'апрель 2025'!$D$4:$D$2485,$B12,'апрель 2025'!$J$4:$J$2485,W$1)</f>
        <v>0</v>
      </c>
      <c r="X12" s="76">
        <f>SUMIFS('апрель 2025'!$G$4:$G$2485,'апрель 2025'!$D$4:$D$2485,$B12,'апрель 2025'!$J$4:$J$2485,X$1)</f>
        <v>0</v>
      </c>
      <c r="Y12" s="76">
        <f>SUMIFS('апрель 2025'!$G$4:$G$2485,'апрель 2025'!$D$4:$D$2485,$B12,'апрель 2025'!$J$4:$J$2485,Y$1)</f>
        <v>0</v>
      </c>
      <c r="Z12" s="76">
        <f>SUMIFS('апрель 2025'!$G$4:$G$2485,'апрель 2025'!$D$4:$D$2485,$B12,'апрель 2025'!$J$4:$J$2485,Z$1)</f>
        <v>0</v>
      </c>
      <c r="AA12" s="76">
        <f>SUMIFS('апрель 2025'!$G$4:$G$2485,'апрель 2025'!$D$4:$D$2485,$B12,'апрель 2025'!$J$4:$J$2485,AA$1)</f>
        <v>0</v>
      </c>
      <c r="AB12" s="76">
        <f>SUMIFS('апрель 2025'!$G$4:$G$2485,'апрель 2025'!$D$4:$D$2485,$B12,'апрель 2025'!$J$4:$J$2485,AB$1)</f>
        <v>0</v>
      </c>
      <c r="AC12" s="76">
        <f>SUMIFS('апрель 2025'!$G$4:$G$2485,'апрель 2025'!$D$4:$D$2485,$B12,'апрель 2025'!$J$4:$J$2485,AC$1)</f>
        <v>0</v>
      </c>
      <c r="AD12" s="76">
        <f>SUMIFS('апрель 2025'!$G$4:$G$2485,'апрель 2025'!$D$4:$D$2485,$B12,'апрель 2025'!$J$4:$J$2485,AD$1)</f>
        <v>0</v>
      </c>
      <c r="AE12" s="76">
        <f>SUMIFS('апрель 2025'!$G$4:$G$2485,'апрель 2025'!$D$4:$D$2485,$B12,'апрель 2025'!$J$4:$J$2485,AE$1)</f>
        <v>0</v>
      </c>
      <c r="AF12" s="76">
        <f>SUMIFS('апрель 2025'!$G$4:$G$2485,'апрель 2025'!$D$4:$D$2485,$B12,'апрель 2025'!$J$4:$J$2485,AF$1)</f>
        <v>0</v>
      </c>
      <c r="AG12" s="76">
        <f>SUMIFS('апрель 2025'!$G$4:$G$2485,'апрель 2025'!$D$4:$D$2485,$B12,'апрель 2025'!$J$4:$J$2485,AG$1)</f>
        <v>0</v>
      </c>
      <c r="AH12" s="76">
        <f>SUMIFS('апрель 2025'!$G$4:$G$2485,'апрель 2025'!$D$4:$D$2485,$B12,'апрель 2025'!$J$4:$J$2485,AH$1)</f>
        <v>0</v>
      </c>
      <c r="AI12" s="20">
        <f t="shared" si="1"/>
        <v>0</v>
      </c>
    </row>
    <row r="13" spans="2:35" ht="15" customHeight="1" x14ac:dyDescent="0.25">
      <c r="B13" s="80" t="s">
        <v>302</v>
      </c>
      <c r="C13" s="81">
        <v>25</v>
      </c>
      <c r="D13" s="76">
        <f>SUMIFS('апрель 2025'!$G$4:$G$2485,'апрель 2025'!$D$4:$D$2485,$B13,'апрель 2025'!$J$4:$J$2485,D$1)</f>
        <v>0</v>
      </c>
      <c r="E13" s="76">
        <f>SUMIFS('апрель 2025'!$G$4:$G$2485,'апрель 2025'!$D$4:$D$2485,$B13,'апрель 2025'!$J$4:$J$2485,E$1)</f>
        <v>0</v>
      </c>
      <c r="F13" s="76">
        <f>SUMIFS('апрель 2025'!$G$4:$G$2485,'апрель 2025'!$D$4:$D$2485,$B13,'апрель 2025'!$J$4:$J$2485,F$1)</f>
        <v>0</v>
      </c>
      <c r="G13" s="76">
        <f>SUMIFS('апрель 2025'!$G$4:$G$2485,'апрель 2025'!$D$4:$D$2485,$B13,'апрель 2025'!$J$4:$J$2485,G$1)</f>
        <v>0</v>
      </c>
      <c r="H13" s="76">
        <f>SUMIFS('апрель 2025'!$G$4:$G$2485,'апрель 2025'!$D$4:$D$2485,$B13,'апрель 2025'!$J$4:$J$2485,H$1)</f>
        <v>0</v>
      </c>
      <c r="I13" s="76">
        <f>SUMIFS('апрель 2025'!$G$4:$G$2485,'апрель 2025'!$D$4:$D$2485,$B13,'апрель 2025'!$J$4:$J$2485,I$1)</f>
        <v>0</v>
      </c>
      <c r="J13" s="76">
        <f>SUMIFS('апрель 2025'!$G$4:$G$2485,'апрель 2025'!$D$4:$D$2485,$B13,'апрель 2025'!$J$4:$J$2485,J$1)</f>
        <v>0</v>
      </c>
      <c r="K13" s="76">
        <f>SUMIFS('апрель 2025'!$G$4:$G$2485,'апрель 2025'!$D$4:$D$2485,$B13,'апрель 2025'!$J$4:$J$2485,K$1)</f>
        <v>0</v>
      </c>
      <c r="L13" s="76">
        <f>SUMIFS('апрель 2025'!$G$4:$G$2485,'апрель 2025'!$D$4:$D$2485,$B13,'апрель 2025'!$J$4:$J$2485,L$1)</f>
        <v>0</v>
      </c>
      <c r="M13" s="76">
        <f>SUMIFS('апрель 2025'!$G$4:$G$2485,'апрель 2025'!$D$4:$D$2485,$B13,'апрель 2025'!$J$4:$J$2485,M$1)</f>
        <v>0</v>
      </c>
      <c r="N13" s="76">
        <f>SUMIFS('апрель 2025'!$G$4:$G$2485,'апрель 2025'!$D$4:$D$2485,$B13,'апрель 2025'!$J$4:$J$2485,N$1)</f>
        <v>0</v>
      </c>
      <c r="O13" s="76">
        <f>SUMIFS('апрель 2025'!$G$4:$G$2485,'апрель 2025'!$D$4:$D$2485,$B13,'апрель 2025'!$J$4:$J$2485,O$1)</f>
        <v>0</v>
      </c>
      <c r="P13" s="76">
        <f>SUMIFS('апрель 2025'!$G$4:$G$2485,'апрель 2025'!$D$4:$D$2485,$B13,'апрель 2025'!$J$4:$J$2485,P$1)</f>
        <v>0</v>
      </c>
      <c r="Q13" s="76">
        <f>SUMIFS('апрель 2025'!$G$4:$G$2485,'апрель 2025'!$D$4:$D$2485,$B13,'апрель 2025'!$J$4:$J$2485,Q$1)</f>
        <v>0</v>
      </c>
      <c r="R13" s="76">
        <f>SUMIFS('апрель 2025'!$G$4:$G$2485,'апрель 2025'!$D$4:$D$2485,$B13,'апрель 2025'!$J$4:$J$2485,R$1)</f>
        <v>0</v>
      </c>
      <c r="S13" s="76">
        <f>SUMIFS('апрель 2025'!$G$4:$G$2485,'апрель 2025'!$D$4:$D$2485,$B13,'апрель 2025'!$J$4:$J$2485,S$1)</f>
        <v>0</v>
      </c>
      <c r="T13" s="76">
        <f>SUMIFS('апрель 2025'!$G$4:$G$2485,'апрель 2025'!$D$4:$D$2485,$B13,'апрель 2025'!$J$4:$J$2485,T$1)</f>
        <v>0</v>
      </c>
      <c r="U13" s="76">
        <f>SUMIFS('апрель 2025'!$G$4:$G$2485,'апрель 2025'!$D$4:$D$2485,$B13,'апрель 2025'!$J$4:$J$2485,U$1)</f>
        <v>0</v>
      </c>
      <c r="V13" s="76">
        <f>SUMIFS('апрель 2025'!$G$4:$G$2485,'апрель 2025'!$D$4:$D$2485,$B13,'апрель 2025'!$J$4:$J$2485,V$1)</f>
        <v>0</v>
      </c>
      <c r="W13" s="76">
        <f>SUMIFS('апрель 2025'!$G$4:$G$2485,'апрель 2025'!$D$4:$D$2485,$B13,'апрель 2025'!$J$4:$J$2485,W$1)</f>
        <v>0</v>
      </c>
      <c r="X13" s="76">
        <f>SUMIFS('апрель 2025'!$G$4:$G$2485,'апрель 2025'!$D$4:$D$2485,$B13,'апрель 2025'!$J$4:$J$2485,X$1)</f>
        <v>0</v>
      </c>
      <c r="Y13" s="76">
        <f>SUMIFS('апрель 2025'!$G$4:$G$2485,'апрель 2025'!$D$4:$D$2485,$B13,'апрель 2025'!$J$4:$J$2485,Y$1)</f>
        <v>0</v>
      </c>
      <c r="Z13" s="76">
        <f>SUMIFS('апрель 2025'!$G$4:$G$2485,'апрель 2025'!$D$4:$D$2485,$B13,'апрель 2025'!$J$4:$J$2485,Z$1)</f>
        <v>0</v>
      </c>
      <c r="AA13" s="76">
        <f>SUMIFS('апрель 2025'!$G$4:$G$2485,'апрель 2025'!$D$4:$D$2485,$B13,'апрель 2025'!$J$4:$J$2485,AA$1)</f>
        <v>0</v>
      </c>
      <c r="AB13" s="76">
        <f>SUMIFS('апрель 2025'!$G$4:$G$2485,'апрель 2025'!$D$4:$D$2485,$B13,'апрель 2025'!$J$4:$J$2485,AB$1)</f>
        <v>0</v>
      </c>
      <c r="AC13" s="76">
        <f>SUMIFS('апрель 2025'!$G$4:$G$2485,'апрель 2025'!$D$4:$D$2485,$B13,'апрель 2025'!$J$4:$J$2485,AC$1)</f>
        <v>0</v>
      </c>
      <c r="AD13" s="76">
        <f>SUMIFS('апрель 2025'!$G$4:$G$2485,'апрель 2025'!$D$4:$D$2485,$B13,'апрель 2025'!$J$4:$J$2485,AD$1)</f>
        <v>0</v>
      </c>
      <c r="AE13" s="76">
        <f>SUMIFS('апрель 2025'!$G$4:$G$2485,'апрель 2025'!$D$4:$D$2485,$B13,'апрель 2025'!$J$4:$J$2485,AE$1)</f>
        <v>0</v>
      </c>
      <c r="AF13" s="76">
        <f>SUMIFS('апрель 2025'!$G$4:$G$2485,'апрель 2025'!$D$4:$D$2485,$B13,'апрель 2025'!$J$4:$J$2485,AF$1)</f>
        <v>0</v>
      </c>
      <c r="AG13" s="76">
        <f>SUMIFS('апрель 2025'!$G$4:$G$2485,'апрель 2025'!$D$4:$D$2485,$B13,'апрель 2025'!$J$4:$J$2485,AG$1)</f>
        <v>0</v>
      </c>
      <c r="AH13" s="76">
        <f>SUMIFS('апрель 2025'!$G$4:$G$2485,'апрель 2025'!$D$4:$D$2485,$B13,'апрель 2025'!$J$4:$J$2485,AH$1)</f>
        <v>0</v>
      </c>
      <c r="AI13" s="20">
        <f t="shared" si="1"/>
        <v>0</v>
      </c>
    </row>
    <row r="14" spans="2:35" ht="15" customHeight="1" x14ac:dyDescent="0.25">
      <c r="B14" s="80" t="s">
        <v>306</v>
      </c>
      <c r="C14" s="81">
        <v>25</v>
      </c>
      <c r="D14" s="76">
        <f>SUMIFS('апрель 2025'!$G$4:$G$2485,'апрель 2025'!$D$4:$D$2485,$B14,'апрель 2025'!$J$4:$J$2485,D$1)</f>
        <v>0</v>
      </c>
      <c r="E14" s="76">
        <f>SUMIFS('апрель 2025'!$G$4:$G$2485,'апрель 2025'!$D$4:$D$2485,$B14,'апрель 2025'!$J$4:$J$2485,E$1)</f>
        <v>805</v>
      </c>
      <c r="F14" s="76">
        <f>SUMIFS('апрель 2025'!$G$4:$G$2485,'апрель 2025'!$D$4:$D$2485,$B14,'апрель 2025'!$J$4:$J$2485,F$1)</f>
        <v>0</v>
      </c>
      <c r="G14" s="76">
        <f>SUMIFS('апрель 2025'!$G$4:$G$2485,'апрель 2025'!$D$4:$D$2485,$B14,'апрель 2025'!$J$4:$J$2485,G$1)</f>
        <v>0</v>
      </c>
      <c r="H14" s="76">
        <f>SUMIFS('апрель 2025'!$G$4:$G$2485,'апрель 2025'!$D$4:$D$2485,$B14,'апрель 2025'!$J$4:$J$2485,H$1)</f>
        <v>0</v>
      </c>
      <c r="I14" s="76">
        <f>SUMIFS('апрель 2025'!$G$4:$G$2485,'апрель 2025'!$D$4:$D$2485,$B14,'апрель 2025'!$J$4:$J$2485,I$1)</f>
        <v>0</v>
      </c>
      <c r="J14" s="76">
        <f>SUMIFS('апрель 2025'!$G$4:$G$2485,'апрель 2025'!$D$4:$D$2485,$B14,'апрель 2025'!$J$4:$J$2485,J$1)</f>
        <v>0</v>
      </c>
      <c r="K14" s="76">
        <f>SUMIFS('апрель 2025'!$G$4:$G$2485,'апрель 2025'!$D$4:$D$2485,$B14,'апрель 2025'!$J$4:$J$2485,K$1)</f>
        <v>0</v>
      </c>
      <c r="L14" s="76">
        <f>SUMIFS('апрель 2025'!$G$4:$G$2485,'апрель 2025'!$D$4:$D$2485,$B14,'апрель 2025'!$J$4:$J$2485,L$1)</f>
        <v>0</v>
      </c>
      <c r="M14" s="76">
        <f>SUMIFS('апрель 2025'!$G$4:$G$2485,'апрель 2025'!$D$4:$D$2485,$B14,'апрель 2025'!$J$4:$J$2485,M$1)</f>
        <v>700</v>
      </c>
      <c r="N14" s="76">
        <f>SUMIFS('апрель 2025'!$G$4:$G$2485,'апрель 2025'!$D$4:$D$2485,$B14,'апрель 2025'!$J$4:$J$2485,N$1)</f>
        <v>0</v>
      </c>
      <c r="O14" s="76">
        <f>SUMIFS('апрель 2025'!$G$4:$G$2485,'апрель 2025'!$D$4:$D$2485,$B14,'апрель 2025'!$J$4:$J$2485,O$1)</f>
        <v>0</v>
      </c>
      <c r="P14" s="76">
        <f>SUMIFS('апрель 2025'!$G$4:$G$2485,'апрель 2025'!$D$4:$D$2485,$B14,'апрель 2025'!$J$4:$J$2485,P$1)</f>
        <v>0</v>
      </c>
      <c r="Q14" s="76">
        <f>SUMIFS('апрель 2025'!$G$4:$G$2485,'апрель 2025'!$D$4:$D$2485,$B14,'апрель 2025'!$J$4:$J$2485,Q$1)</f>
        <v>0</v>
      </c>
      <c r="R14" s="76">
        <f>SUMIFS('апрель 2025'!$G$4:$G$2485,'апрель 2025'!$D$4:$D$2485,$B14,'апрель 2025'!$J$4:$J$2485,R$1)</f>
        <v>0</v>
      </c>
      <c r="S14" s="76">
        <f>SUMIFS('апрель 2025'!$G$4:$G$2485,'апрель 2025'!$D$4:$D$2485,$B14,'апрель 2025'!$J$4:$J$2485,S$1)</f>
        <v>0</v>
      </c>
      <c r="T14" s="76">
        <f>SUMIFS('апрель 2025'!$G$4:$G$2485,'апрель 2025'!$D$4:$D$2485,$B14,'апрель 2025'!$J$4:$J$2485,T$1)</f>
        <v>0</v>
      </c>
      <c r="U14" s="76">
        <f>SUMIFS('апрель 2025'!$G$4:$G$2485,'апрель 2025'!$D$4:$D$2485,$B14,'апрель 2025'!$J$4:$J$2485,U$1)</f>
        <v>0</v>
      </c>
      <c r="V14" s="76">
        <f>SUMIFS('апрель 2025'!$G$4:$G$2485,'апрель 2025'!$D$4:$D$2485,$B14,'апрель 2025'!$J$4:$J$2485,V$1)</f>
        <v>0</v>
      </c>
      <c r="W14" s="76">
        <f>SUMIFS('апрель 2025'!$G$4:$G$2485,'апрель 2025'!$D$4:$D$2485,$B14,'апрель 2025'!$J$4:$J$2485,W$1)</f>
        <v>0</v>
      </c>
      <c r="X14" s="76">
        <f>SUMIFS('апрель 2025'!$G$4:$G$2485,'апрель 2025'!$D$4:$D$2485,$B14,'апрель 2025'!$J$4:$J$2485,X$1)</f>
        <v>0</v>
      </c>
      <c r="Y14" s="76">
        <f>SUMIFS('апрель 2025'!$G$4:$G$2485,'апрель 2025'!$D$4:$D$2485,$B14,'апрель 2025'!$J$4:$J$2485,Y$1)</f>
        <v>1610</v>
      </c>
      <c r="Z14" s="76">
        <f>SUMIFS('апрель 2025'!$G$4:$G$2485,'апрель 2025'!$D$4:$D$2485,$B14,'апрель 2025'!$J$4:$J$2485,Z$1)</f>
        <v>0</v>
      </c>
      <c r="AA14" s="76">
        <f>SUMIFS('апрель 2025'!$G$4:$G$2485,'апрель 2025'!$D$4:$D$2485,$B14,'апрель 2025'!$J$4:$J$2485,AA$1)</f>
        <v>0</v>
      </c>
      <c r="AB14" s="76">
        <f>SUMIFS('апрель 2025'!$G$4:$G$2485,'апрель 2025'!$D$4:$D$2485,$B14,'апрель 2025'!$J$4:$J$2485,AB$1)</f>
        <v>0</v>
      </c>
      <c r="AC14" s="76">
        <f>SUMIFS('апрель 2025'!$G$4:$G$2485,'апрель 2025'!$D$4:$D$2485,$B14,'апрель 2025'!$J$4:$J$2485,AC$1)</f>
        <v>0</v>
      </c>
      <c r="AD14" s="76">
        <f>SUMIFS('апрель 2025'!$G$4:$G$2485,'апрель 2025'!$D$4:$D$2485,$B14,'апрель 2025'!$J$4:$J$2485,AD$1)</f>
        <v>0</v>
      </c>
      <c r="AE14" s="76">
        <f>SUMIFS('апрель 2025'!$G$4:$G$2485,'апрель 2025'!$D$4:$D$2485,$B14,'апрель 2025'!$J$4:$J$2485,AE$1)</f>
        <v>0</v>
      </c>
      <c r="AF14" s="76">
        <f>SUMIFS('апрель 2025'!$G$4:$G$2485,'апрель 2025'!$D$4:$D$2485,$B14,'апрель 2025'!$J$4:$J$2485,AF$1)</f>
        <v>1610</v>
      </c>
      <c r="AG14" s="76">
        <f>SUMIFS('апрель 2025'!$G$4:$G$2485,'апрель 2025'!$D$4:$D$2485,$B14,'апрель 2025'!$J$4:$J$2485,AG$1)</f>
        <v>0</v>
      </c>
      <c r="AH14" s="76">
        <f>SUMIFS('апрель 2025'!$G$4:$G$2485,'апрель 2025'!$D$4:$D$2485,$B14,'апрель 2025'!$J$4:$J$2485,AH$1)</f>
        <v>0</v>
      </c>
      <c r="AI14" s="20">
        <f t="shared" si="1"/>
        <v>4725</v>
      </c>
    </row>
    <row r="15" spans="2:35" ht="15" customHeight="1" x14ac:dyDescent="0.25">
      <c r="B15" s="80" t="s">
        <v>231</v>
      </c>
      <c r="C15" s="81">
        <v>22.7</v>
      </c>
      <c r="D15" s="76">
        <f>SUMIFS('апрель 2025'!$G$4:$G$2485,'апрель 2025'!$D$4:$D$2485,$B15,'апрель 2025'!$J$4:$J$2485,D$1)</f>
        <v>0</v>
      </c>
      <c r="E15" s="76">
        <f>SUMIFS('апрель 2025'!$G$4:$G$2485,'апрель 2025'!$D$4:$D$2485,$B15,'апрель 2025'!$J$4:$J$2485,E$1)</f>
        <v>0</v>
      </c>
      <c r="F15" s="76">
        <f>SUMIFS('апрель 2025'!$G$4:$G$2485,'апрель 2025'!$D$4:$D$2485,$B15,'апрель 2025'!$J$4:$J$2485,F$1)</f>
        <v>0</v>
      </c>
      <c r="G15" s="76">
        <f>SUMIFS('апрель 2025'!$G$4:$G$2485,'апрель 2025'!$D$4:$D$2485,$B15,'апрель 2025'!$J$4:$J$2485,G$1)</f>
        <v>0</v>
      </c>
      <c r="H15" s="76">
        <f>SUMIFS('апрель 2025'!$G$4:$G$2485,'апрель 2025'!$D$4:$D$2485,$B15,'апрель 2025'!$J$4:$J$2485,H$1)</f>
        <v>0</v>
      </c>
      <c r="I15" s="76">
        <f>SUMIFS('апрель 2025'!$G$4:$G$2485,'апрель 2025'!$D$4:$D$2485,$B15,'апрель 2025'!$J$4:$J$2485,I$1)</f>
        <v>0</v>
      </c>
      <c r="J15" s="76">
        <f>SUMIFS('апрель 2025'!$G$4:$G$2485,'апрель 2025'!$D$4:$D$2485,$B15,'апрель 2025'!$J$4:$J$2485,J$1)</f>
        <v>0</v>
      </c>
      <c r="K15" s="76">
        <f>SUMIFS('апрель 2025'!$G$4:$G$2485,'апрель 2025'!$D$4:$D$2485,$B15,'апрель 2025'!$J$4:$J$2485,K$1)</f>
        <v>0</v>
      </c>
      <c r="L15" s="76">
        <f>SUMIFS('апрель 2025'!$G$4:$G$2485,'апрель 2025'!$D$4:$D$2485,$B15,'апрель 2025'!$J$4:$J$2485,L$1)</f>
        <v>0</v>
      </c>
      <c r="M15" s="76">
        <f>SUMIFS('апрель 2025'!$G$4:$G$2485,'апрель 2025'!$D$4:$D$2485,$B15,'апрель 2025'!$J$4:$J$2485,M$1)</f>
        <v>0</v>
      </c>
      <c r="N15" s="76">
        <f>SUMIFS('апрель 2025'!$G$4:$G$2485,'апрель 2025'!$D$4:$D$2485,$B15,'апрель 2025'!$J$4:$J$2485,N$1)</f>
        <v>0</v>
      </c>
      <c r="O15" s="76">
        <f>SUMIFS('апрель 2025'!$G$4:$G$2485,'апрель 2025'!$D$4:$D$2485,$B15,'апрель 2025'!$J$4:$J$2485,O$1)</f>
        <v>0</v>
      </c>
      <c r="P15" s="76">
        <f>SUMIFS('апрель 2025'!$G$4:$G$2485,'апрель 2025'!$D$4:$D$2485,$B15,'апрель 2025'!$J$4:$J$2485,P$1)</f>
        <v>0</v>
      </c>
      <c r="Q15" s="76">
        <f>SUMIFS('апрель 2025'!$G$4:$G$2485,'апрель 2025'!$D$4:$D$2485,$B15,'апрель 2025'!$J$4:$J$2485,Q$1)</f>
        <v>0</v>
      </c>
      <c r="R15" s="76">
        <f>SUMIFS('апрель 2025'!$G$4:$G$2485,'апрель 2025'!$D$4:$D$2485,$B15,'апрель 2025'!$J$4:$J$2485,R$1)</f>
        <v>0</v>
      </c>
      <c r="S15" s="76">
        <f>SUMIFS('апрель 2025'!$G$4:$G$2485,'апрель 2025'!$D$4:$D$2485,$B15,'апрель 2025'!$J$4:$J$2485,S$1)</f>
        <v>0</v>
      </c>
      <c r="T15" s="76">
        <f>SUMIFS('апрель 2025'!$G$4:$G$2485,'апрель 2025'!$D$4:$D$2485,$B15,'апрель 2025'!$J$4:$J$2485,T$1)</f>
        <v>0</v>
      </c>
      <c r="U15" s="76">
        <f>SUMIFS('апрель 2025'!$G$4:$G$2485,'апрель 2025'!$D$4:$D$2485,$B15,'апрель 2025'!$J$4:$J$2485,U$1)</f>
        <v>0</v>
      </c>
      <c r="V15" s="76">
        <f>SUMIFS('апрель 2025'!$G$4:$G$2485,'апрель 2025'!$D$4:$D$2485,$B15,'апрель 2025'!$J$4:$J$2485,V$1)</f>
        <v>0</v>
      </c>
      <c r="W15" s="76">
        <f>SUMIFS('апрель 2025'!$G$4:$G$2485,'апрель 2025'!$D$4:$D$2485,$B15,'апрель 2025'!$J$4:$J$2485,W$1)</f>
        <v>0</v>
      </c>
      <c r="X15" s="76">
        <f>SUMIFS('апрель 2025'!$G$4:$G$2485,'апрель 2025'!$D$4:$D$2485,$B15,'апрель 2025'!$J$4:$J$2485,X$1)</f>
        <v>0</v>
      </c>
      <c r="Y15" s="76">
        <f>SUMIFS('апрель 2025'!$G$4:$G$2485,'апрель 2025'!$D$4:$D$2485,$B15,'апрель 2025'!$J$4:$J$2485,Y$1)</f>
        <v>0</v>
      </c>
      <c r="Z15" s="76">
        <f>SUMIFS('апрель 2025'!$G$4:$G$2485,'апрель 2025'!$D$4:$D$2485,$B15,'апрель 2025'!$J$4:$J$2485,Z$1)</f>
        <v>0</v>
      </c>
      <c r="AA15" s="76">
        <f>SUMIFS('апрель 2025'!$G$4:$G$2485,'апрель 2025'!$D$4:$D$2485,$B15,'апрель 2025'!$J$4:$J$2485,AA$1)</f>
        <v>0</v>
      </c>
      <c r="AB15" s="76">
        <f>SUMIFS('апрель 2025'!$G$4:$G$2485,'апрель 2025'!$D$4:$D$2485,$B15,'апрель 2025'!$J$4:$J$2485,AB$1)</f>
        <v>0</v>
      </c>
      <c r="AC15" s="76">
        <f>SUMIFS('апрель 2025'!$G$4:$G$2485,'апрель 2025'!$D$4:$D$2485,$B15,'апрель 2025'!$J$4:$J$2485,AC$1)</f>
        <v>0</v>
      </c>
      <c r="AD15" s="76">
        <f>SUMIFS('апрель 2025'!$G$4:$G$2485,'апрель 2025'!$D$4:$D$2485,$B15,'апрель 2025'!$J$4:$J$2485,AD$1)</f>
        <v>0</v>
      </c>
      <c r="AE15" s="76">
        <f>SUMIFS('апрель 2025'!$G$4:$G$2485,'апрель 2025'!$D$4:$D$2485,$B15,'апрель 2025'!$J$4:$J$2485,AE$1)</f>
        <v>0</v>
      </c>
      <c r="AF15" s="76">
        <f>SUMIFS('апрель 2025'!$G$4:$G$2485,'апрель 2025'!$D$4:$D$2485,$B15,'апрель 2025'!$J$4:$J$2485,AF$1)</f>
        <v>0</v>
      </c>
      <c r="AG15" s="76">
        <f>SUMIFS('апрель 2025'!$G$4:$G$2485,'апрель 2025'!$D$4:$D$2485,$B15,'апрель 2025'!$J$4:$J$2485,AG$1)</f>
        <v>0</v>
      </c>
      <c r="AH15" s="76">
        <f>SUMIFS('апрель 2025'!$G$4:$G$2485,'апрель 2025'!$D$4:$D$2485,$B15,'апрель 2025'!$J$4:$J$2485,AH$1)</f>
        <v>0</v>
      </c>
      <c r="AI15" s="20">
        <f t="shared" si="1"/>
        <v>0</v>
      </c>
    </row>
    <row r="16" spans="2:35" ht="15" customHeight="1" x14ac:dyDescent="0.25">
      <c r="B16" s="77" t="s">
        <v>233</v>
      </c>
      <c r="C16" s="78">
        <v>22.7</v>
      </c>
      <c r="D16" s="76">
        <f>SUMIFS('апрель 2025'!$G$4:$G$2485,'апрель 2025'!$D$4:$D$2485,$B16,'апрель 2025'!$J$4:$J$2485,D$1)</f>
        <v>0</v>
      </c>
      <c r="E16" s="76">
        <f>SUMIFS('апрель 2025'!$G$4:$G$2485,'апрель 2025'!$D$4:$D$2485,$B16,'апрель 2025'!$J$4:$J$2485,E$1)</f>
        <v>0</v>
      </c>
      <c r="F16" s="76">
        <f>SUMIFS('апрель 2025'!$G$4:$G$2485,'апрель 2025'!$D$4:$D$2485,$B16,'апрель 2025'!$J$4:$J$2485,F$1)</f>
        <v>0</v>
      </c>
      <c r="G16" s="76">
        <f>SUMIFS('апрель 2025'!$G$4:$G$2485,'апрель 2025'!$D$4:$D$2485,$B16,'апрель 2025'!$J$4:$J$2485,G$1)</f>
        <v>0</v>
      </c>
      <c r="H16" s="76">
        <f>SUMIFS('апрель 2025'!$G$4:$G$2485,'апрель 2025'!$D$4:$D$2485,$B16,'апрель 2025'!$J$4:$J$2485,H$1)</f>
        <v>0</v>
      </c>
      <c r="I16" s="76">
        <f>SUMIFS('апрель 2025'!$G$4:$G$2485,'апрель 2025'!$D$4:$D$2485,$B16,'апрель 2025'!$J$4:$J$2485,I$1)</f>
        <v>0</v>
      </c>
      <c r="J16" s="76">
        <f>SUMIFS('апрель 2025'!$G$4:$G$2485,'апрель 2025'!$D$4:$D$2485,$B16,'апрель 2025'!$J$4:$J$2485,J$1)</f>
        <v>0</v>
      </c>
      <c r="K16" s="76">
        <f>SUMIFS('апрель 2025'!$G$4:$G$2485,'апрель 2025'!$D$4:$D$2485,$B16,'апрель 2025'!$J$4:$J$2485,K$1)</f>
        <v>0</v>
      </c>
      <c r="L16" s="76">
        <f>SUMIFS('апрель 2025'!$G$4:$G$2485,'апрель 2025'!$D$4:$D$2485,$B16,'апрель 2025'!$J$4:$J$2485,L$1)</f>
        <v>0</v>
      </c>
      <c r="M16" s="76">
        <f>SUMIFS('апрель 2025'!$G$4:$G$2485,'апрель 2025'!$D$4:$D$2485,$B16,'апрель 2025'!$J$4:$J$2485,M$1)</f>
        <v>0</v>
      </c>
      <c r="N16" s="76">
        <f>SUMIFS('апрель 2025'!$G$4:$G$2485,'апрель 2025'!$D$4:$D$2485,$B16,'апрель 2025'!$J$4:$J$2485,N$1)</f>
        <v>0</v>
      </c>
      <c r="O16" s="76">
        <f>SUMIFS('апрель 2025'!$G$4:$G$2485,'апрель 2025'!$D$4:$D$2485,$B16,'апрель 2025'!$J$4:$J$2485,O$1)</f>
        <v>0</v>
      </c>
      <c r="P16" s="76">
        <f>SUMIFS('апрель 2025'!$G$4:$G$2485,'апрель 2025'!$D$4:$D$2485,$B16,'апрель 2025'!$J$4:$J$2485,P$1)</f>
        <v>0</v>
      </c>
      <c r="Q16" s="76">
        <f>SUMIFS('апрель 2025'!$G$4:$G$2485,'апрель 2025'!$D$4:$D$2485,$B16,'апрель 2025'!$J$4:$J$2485,Q$1)</f>
        <v>0</v>
      </c>
      <c r="R16" s="76">
        <f>SUMIFS('апрель 2025'!$G$4:$G$2485,'апрель 2025'!$D$4:$D$2485,$B16,'апрель 2025'!$J$4:$J$2485,R$1)</f>
        <v>0</v>
      </c>
      <c r="S16" s="76">
        <f>SUMIFS('апрель 2025'!$G$4:$G$2485,'апрель 2025'!$D$4:$D$2485,$B16,'апрель 2025'!$J$4:$J$2485,S$1)</f>
        <v>0</v>
      </c>
      <c r="T16" s="76">
        <f>SUMIFS('апрель 2025'!$G$4:$G$2485,'апрель 2025'!$D$4:$D$2485,$B16,'апрель 2025'!$J$4:$J$2485,T$1)</f>
        <v>0</v>
      </c>
      <c r="U16" s="76">
        <f>SUMIFS('апрель 2025'!$G$4:$G$2485,'апрель 2025'!$D$4:$D$2485,$B16,'апрель 2025'!$J$4:$J$2485,U$1)</f>
        <v>0</v>
      </c>
      <c r="V16" s="76">
        <f>SUMIFS('апрель 2025'!$G$4:$G$2485,'апрель 2025'!$D$4:$D$2485,$B16,'апрель 2025'!$J$4:$J$2485,V$1)</f>
        <v>0</v>
      </c>
      <c r="W16" s="76">
        <f>SUMIFS('апрель 2025'!$G$4:$G$2485,'апрель 2025'!$D$4:$D$2485,$B16,'апрель 2025'!$J$4:$J$2485,W$1)</f>
        <v>0</v>
      </c>
      <c r="X16" s="76">
        <f>SUMIFS('апрель 2025'!$G$4:$G$2485,'апрель 2025'!$D$4:$D$2485,$B16,'апрель 2025'!$J$4:$J$2485,X$1)</f>
        <v>0</v>
      </c>
      <c r="Y16" s="76">
        <f>SUMIFS('апрель 2025'!$G$4:$G$2485,'апрель 2025'!$D$4:$D$2485,$B16,'апрель 2025'!$J$4:$J$2485,Y$1)</f>
        <v>0</v>
      </c>
      <c r="Z16" s="76">
        <f>SUMIFS('апрель 2025'!$G$4:$G$2485,'апрель 2025'!$D$4:$D$2485,$B16,'апрель 2025'!$J$4:$J$2485,Z$1)</f>
        <v>0</v>
      </c>
      <c r="AA16" s="76">
        <f>SUMIFS('апрель 2025'!$G$4:$G$2485,'апрель 2025'!$D$4:$D$2485,$B16,'апрель 2025'!$J$4:$J$2485,AA$1)</f>
        <v>0</v>
      </c>
      <c r="AB16" s="76">
        <f>SUMIFS('апрель 2025'!$G$4:$G$2485,'апрель 2025'!$D$4:$D$2485,$B16,'апрель 2025'!$J$4:$J$2485,AB$1)</f>
        <v>0</v>
      </c>
      <c r="AC16" s="76">
        <f>SUMIFS('апрель 2025'!$G$4:$G$2485,'апрель 2025'!$D$4:$D$2485,$B16,'апрель 2025'!$J$4:$J$2485,AC$1)</f>
        <v>0</v>
      </c>
      <c r="AD16" s="76">
        <f>SUMIFS('апрель 2025'!$G$4:$G$2485,'апрель 2025'!$D$4:$D$2485,$B16,'апрель 2025'!$J$4:$J$2485,AD$1)</f>
        <v>0</v>
      </c>
      <c r="AE16" s="76">
        <f>SUMIFS('апрель 2025'!$G$4:$G$2485,'апрель 2025'!$D$4:$D$2485,$B16,'апрель 2025'!$J$4:$J$2485,AE$1)</f>
        <v>0</v>
      </c>
      <c r="AF16" s="76">
        <f>SUMIFS('апрель 2025'!$G$4:$G$2485,'апрель 2025'!$D$4:$D$2485,$B16,'апрель 2025'!$J$4:$J$2485,AF$1)</f>
        <v>0</v>
      </c>
      <c r="AG16" s="76">
        <f>SUMIFS('апрель 2025'!$G$4:$G$2485,'апрель 2025'!$D$4:$D$2485,$B16,'апрель 2025'!$J$4:$J$2485,AG$1)</f>
        <v>0</v>
      </c>
      <c r="AH16" s="76">
        <f>SUMIFS('апрель 2025'!$G$4:$G$2485,'апрель 2025'!$D$4:$D$2485,$B16,'апрель 2025'!$J$4:$J$2485,AH$1)</f>
        <v>0</v>
      </c>
      <c r="AI16" s="20">
        <f t="shared" si="1"/>
        <v>0</v>
      </c>
    </row>
    <row r="17" spans="2:35" ht="15" customHeight="1" x14ac:dyDescent="0.25">
      <c r="B17" s="80" t="s">
        <v>235</v>
      </c>
      <c r="C17" s="81">
        <v>22.7</v>
      </c>
      <c r="D17" s="76">
        <f>SUMIFS('апрель 2025'!$G$4:$G$2485,'апрель 2025'!$D$4:$D$2485,$B17,'апрель 2025'!$J$4:$J$2485,D$1)</f>
        <v>0</v>
      </c>
      <c r="E17" s="76">
        <f>SUMIFS('апрель 2025'!$G$4:$G$2485,'апрель 2025'!$D$4:$D$2485,$B17,'апрель 2025'!$J$4:$J$2485,E$1)</f>
        <v>0</v>
      </c>
      <c r="F17" s="76">
        <f>SUMIFS('апрель 2025'!$G$4:$G$2485,'апрель 2025'!$D$4:$D$2485,$B17,'апрель 2025'!$J$4:$J$2485,F$1)</f>
        <v>0</v>
      </c>
      <c r="G17" s="76">
        <f>SUMIFS('апрель 2025'!$G$4:$G$2485,'апрель 2025'!$D$4:$D$2485,$B17,'апрель 2025'!$J$4:$J$2485,G$1)</f>
        <v>0</v>
      </c>
      <c r="H17" s="76">
        <f>SUMIFS('апрель 2025'!$G$4:$G$2485,'апрель 2025'!$D$4:$D$2485,$B17,'апрель 2025'!$J$4:$J$2485,H$1)</f>
        <v>0</v>
      </c>
      <c r="I17" s="76">
        <f>SUMIFS('апрель 2025'!$G$4:$G$2485,'апрель 2025'!$D$4:$D$2485,$B17,'апрель 2025'!$J$4:$J$2485,I$1)</f>
        <v>0</v>
      </c>
      <c r="J17" s="76">
        <f>SUMIFS('апрель 2025'!$G$4:$G$2485,'апрель 2025'!$D$4:$D$2485,$B17,'апрель 2025'!$J$4:$J$2485,J$1)</f>
        <v>0</v>
      </c>
      <c r="K17" s="76">
        <f>SUMIFS('апрель 2025'!$G$4:$G$2485,'апрель 2025'!$D$4:$D$2485,$B17,'апрель 2025'!$J$4:$J$2485,K$1)</f>
        <v>0</v>
      </c>
      <c r="L17" s="76">
        <f>SUMIFS('апрель 2025'!$G$4:$G$2485,'апрель 2025'!$D$4:$D$2485,$B17,'апрель 2025'!$J$4:$J$2485,L$1)</f>
        <v>0</v>
      </c>
      <c r="M17" s="76">
        <f>SUMIFS('апрель 2025'!$G$4:$G$2485,'апрель 2025'!$D$4:$D$2485,$B17,'апрель 2025'!$J$4:$J$2485,M$1)</f>
        <v>0</v>
      </c>
      <c r="N17" s="76">
        <f>SUMIFS('апрель 2025'!$G$4:$G$2485,'апрель 2025'!$D$4:$D$2485,$B17,'апрель 2025'!$J$4:$J$2485,N$1)</f>
        <v>0</v>
      </c>
      <c r="O17" s="76">
        <f>SUMIFS('апрель 2025'!$G$4:$G$2485,'апрель 2025'!$D$4:$D$2485,$B17,'апрель 2025'!$J$4:$J$2485,O$1)</f>
        <v>0</v>
      </c>
      <c r="P17" s="76">
        <f>SUMIFS('апрель 2025'!$G$4:$G$2485,'апрель 2025'!$D$4:$D$2485,$B17,'апрель 2025'!$J$4:$J$2485,P$1)</f>
        <v>0</v>
      </c>
      <c r="Q17" s="76">
        <f>SUMIFS('апрель 2025'!$G$4:$G$2485,'апрель 2025'!$D$4:$D$2485,$B17,'апрель 2025'!$J$4:$J$2485,Q$1)</f>
        <v>0</v>
      </c>
      <c r="R17" s="76">
        <f>SUMIFS('апрель 2025'!$G$4:$G$2485,'апрель 2025'!$D$4:$D$2485,$B17,'апрель 2025'!$J$4:$J$2485,R$1)</f>
        <v>0</v>
      </c>
      <c r="S17" s="76">
        <f>SUMIFS('апрель 2025'!$G$4:$G$2485,'апрель 2025'!$D$4:$D$2485,$B17,'апрель 2025'!$J$4:$J$2485,S$1)</f>
        <v>0</v>
      </c>
      <c r="T17" s="76">
        <f>SUMIFS('апрель 2025'!$G$4:$G$2485,'апрель 2025'!$D$4:$D$2485,$B17,'апрель 2025'!$J$4:$J$2485,T$1)</f>
        <v>0</v>
      </c>
      <c r="U17" s="76">
        <f>SUMIFS('апрель 2025'!$G$4:$G$2485,'апрель 2025'!$D$4:$D$2485,$B17,'апрель 2025'!$J$4:$J$2485,U$1)</f>
        <v>0</v>
      </c>
      <c r="V17" s="76">
        <f>SUMIFS('апрель 2025'!$G$4:$G$2485,'апрель 2025'!$D$4:$D$2485,$B17,'апрель 2025'!$J$4:$J$2485,V$1)</f>
        <v>0</v>
      </c>
      <c r="W17" s="76">
        <f>SUMIFS('апрель 2025'!$G$4:$G$2485,'апрель 2025'!$D$4:$D$2485,$B17,'апрель 2025'!$J$4:$J$2485,W$1)</f>
        <v>0</v>
      </c>
      <c r="X17" s="76">
        <f>SUMIFS('апрель 2025'!$G$4:$G$2485,'апрель 2025'!$D$4:$D$2485,$B17,'апрель 2025'!$J$4:$J$2485,X$1)</f>
        <v>0</v>
      </c>
      <c r="Y17" s="76">
        <f>SUMIFS('апрель 2025'!$G$4:$G$2485,'апрель 2025'!$D$4:$D$2485,$B17,'апрель 2025'!$J$4:$J$2485,Y$1)</f>
        <v>0</v>
      </c>
      <c r="Z17" s="76">
        <f>SUMIFS('апрель 2025'!$G$4:$G$2485,'апрель 2025'!$D$4:$D$2485,$B17,'апрель 2025'!$J$4:$J$2485,Z$1)</f>
        <v>0</v>
      </c>
      <c r="AA17" s="76">
        <f>SUMIFS('апрель 2025'!$G$4:$G$2485,'апрель 2025'!$D$4:$D$2485,$B17,'апрель 2025'!$J$4:$J$2485,AA$1)</f>
        <v>0</v>
      </c>
      <c r="AB17" s="76">
        <f>SUMIFS('апрель 2025'!$G$4:$G$2485,'апрель 2025'!$D$4:$D$2485,$B17,'апрель 2025'!$J$4:$J$2485,AB$1)</f>
        <v>0</v>
      </c>
      <c r="AC17" s="76">
        <f>SUMIFS('апрель 2025'!$G$4:$G$2485,'апрель 2025'!$D$4:$D$2485,$B17,'апрель 2025'!$J$4:$J$2485,AC$1)</f>
        <v>0</v>
      </c>
      <c r="AD17" s="76">
        <f>SUMIFS('апрель 2025'!$G$4:$G$2485,'апрель 2025'!$D$4:$D$2485,$B17,'апрель 2025'!$J$4:$J$2485,AD$1)</f>
        <v>0</v>
      </c>
      <c r="AE17" s="76">
        <f>SUMIFS('апрель 2025'!$G$4:$G$2485,'апрель 2025'!$D$4:$D$2485,$B17,'апрель 2025'!$J$4:$J$2485,AE$1)</f>
        <v>0</v>
      </c>
      <c r="AF17" s="76">
        <f>SUMIFS('апрель 2025'!$G$4:$G$2485,'апрель 2025'!$D$4:$D$2485,$B17,'апрель 2025'!$J$4:$J$2485,AF$1)</f>
        <v>0</v>
      </c>
      <c r="AG17" s="76">
        <f>SUMIFS('апрель 2025'!$G$4:$G$2485,'апрель 2025'!$D$4:$D$2485,$B17,'апрель 2025'!$J$4:$J$2485,AG$1)</f>
        <v>0</v>
      </c>
      <c r="AH17" s="76">
        <f>SUMIFS('апрель 2025'!$G$4:$G$2485,'апрель 2025'!$D$4:$D$2485,$B17,'апрель 2025'!$J$4:$J$2485,AH$1)</f>
        <v>0</v>
      </c>
      <c r="AI17" s="20">
        <f t="shared" si="1"/>
        <v>0</v>
      </c>
    </row>
    <row r="18" spans="2:35" ht="15" customHeight="1" x14ac:dyDescent="0.25">
      <c r="B18" s="80" t="s">
        <v>237</v>
      </c>
      <c r="C18" s="81">
        <v>25</v>
      </c>
      <c r="D18" s="76">
        <f>SUMIFS('апрель 2025'!$G$4:$G$2485,'апрель 2025'!$D$4:$D$2485,$B18,'апрель 2025'!$J$4:$J$2485,D$1)</f>
        <v>0</v>
      </c>
      <c r="E18" s="76">
        <f>SUMIFS('апрель 2025'!$G$4:$G$2485,'апрель 2025'!$D$4:$D$2485,$B18,'апрель 2025'!$J$4:$J$2485,E$1)</f>
        <v>800</v>
      </c>
      <c r="F18" s="76">
        <f>SUMIFS('апрель 2025'!$G$4:$G$2485,'апрель 2025'!$D$4:$D$2485,$B18,'апрель 2025'!$J$4:$J$2485,F$1)</f>
        <v>840</v>
      </c>
      <c r="G18" s="76">
        <f>SUMIFS('апрель 2025'!$G$4:$G$2485,'апрель 2025'!$D$4:$D$2485,$B18,'апрель 2025'!$J$4:$J$2485,G$1)</f>
        <v>0</v>
      </c>
      <c r="H18" s="76">
        <f>SUMIFS('апрель 2025'!$G$4:$G$2485,'апрель 2025'!$D$4:$D$2485,$B18,'апрель 2025'!$J$4:$J$2485,H$1)</f>
        <v>0</v>
      </c>
      <c r="I18" s="76">
        <f>SUMIFS('апрель 2025'!$G$4:$G$2485,'апрель 2025'!$D$4:$D$2485,$B18,'апрель 2025'!$J$4:$J$2485,I$1)</f>
        <v>0</v>
      </c>
      <c r="J18" s="76">
        <f>SUMIFS('апрель 2025'!$G$4:$G$2485,'апрель 2025'!$D$4:$D$2485,$B18,'апрель 2025'!$J$4:$J$2485,J$1)</f>
        <v>0</v>
      </c>
      <c r="K18" s="76">
        <f>SUMIFS('апрель 2025'!$G$4:$G$2485,'апрель 2025'!$D$4:$D$2485,$B18,'апрель 2025'!$J$4:$J$2485,K$1)</f>
        <v>800</v>
      </c>
      <c r="L18" s="76">
        <f>SUMIFS('апрель 2025'!$G$4:$G$2485,'апрель 2025'!$D$4:$D$2485,$B18,'апрель 2025'!$J$4:$J$2485,L$1)</f>
        <v>800</v>
      </c>
      <c r="M18" s="76">
        <f>SUMIFS('апрель 2025'!$G$4:$G$2485,'апрель 2025'!$D$4:$D$2485,$B18,'апрель 2025'!$J$4:$J$2485,M$1)</f>
        <v>0</v>
      </c>
      <c r="N18" s="76">
        <f>SUMIFS('апрель 2025'!$G$4:$G$2485,'апрель 2025'!$D$4:$D$2485,$B18,'апрель 2025'!$J$4:$J$2485,N$1)</f>
        <v>800</v>
      </c>
      <c r="O18" s="76">
        <f>SUMIFS('апрель 2025'!$G$4:$G$2485,'апрель 2025'!$D$4:$D$2485,$B18,'апрель 2025'!$J$4:$J$2485,O$1)</f>
        <v>0</v>
      </c>
      <c r="P18" s="76">
        <f>SUMIFS('апрель 2025'!$G$4:$G$2485,'апрель 2025'!$D$4:$D$2485,$B18,'апрель 2025'!$J$4:$J$2485,P$1)</f>
        <v>0</v>
      </c>
      <c r="Q18" s="76">
        <f>SUMIFS('апрель 2025'!$G$4:$G$2485,'апрель 2025'!$D$4:$D$2485,$B18,'апрель 2025'!$J$4:$J$2485,Q$1)</f>
        <v>800</v>
      </c>
      <c r="R18" s="76">
        <f>SUMIFS('апрель 2025'!$G$4:$G$2485,'апрель 2025'!$D$4:$D$2485,$B18,'апрель 2025'!$J$4:$J$2485,R$1)</f>
        <v>0</v>
      </c>
      <c r="S18" s="76">
        <f>SUMIFS('апрель 2025'!$G$4:$G$2485,'апрель 2025'!$D$4:$D$2485,$B18,'апрель 2025'!$J$4:$J$2485,S$1)</f>
        <v>0</v>
      </c>
      <c r="T18" s="76">
        <f>SUMIFS('апрель 2025'!$G$4:$G$2485,'апрель 2025'!$D$4:$D$2485,$B18,'апрель 2025'!$J$4:$J$2485,T$1)</f>
        <v>0</v>
      </c>
      <c r="U18" s="76">
        <f>SUMIFS('апрель 2025'!$G$4:$G$2485,'апрель 2025'!$D$4:$D$2485,$B18,'апрель 2025'!$J$4:$J$2485,U$1)</f>
        <v>1600</v>
      </c>
      <c r="V18" s="76">
        <f>SUMIFS('апрель 2025'!$G$4:$G$2485,'апрель 2025'!$D$4:$D$2485,$B18,'апрель 2025'!$J$4:$J$2485,V$1)</f>
        <v>0</v>
      </c>
      <c r="W18" s="76">
        <f>SUMIFS('апрель 2025'!$G$4:$G$2485,'апрель 2025'!$D$4:$D$2485,$B18,'апрель 2025'!$J$4:$J$2485,W$1)</f>
        <v>0</v>
      </c>
      <c r="X18" s="76">
        <f>SUMIFS('апрель 2025'!$G$4:$G$2485,'апрель 2025'!$D$4:$D$2485,$B18,'апрель 2025'!$J$4:$J$2485,X$1)</f>
        <v>0</v>
      </c>
      <c r="Y18" s="76">
        <f>SUMIFS('апрель 2025'!$G$4:$G$2485,'апрель 2025'!$D$4:$D$2485,$B18,'апрель 2025'!$J$4:$J$2485,Y$1)</f>
        <v>800</v>
      </c>
      <c r="Z18" s="76">
        <f>SUMIFS('апрель 2025'!$G$4:$G$2485,'апрель 2025'!$D$4:$D$2485,$B18,'апрель 2025'!$J$4:$J$2485,Z$1)</f>
        <v>0</v>
      </c>
      <c r="AA18" s="76">
        <f>SUMIFS('апрель 2025'!$G$4:$G$2485,'апрель 2025'!$D$4:$D$2485,$B18,'апрель 2025'!$J$4:$J$2485,AA$1)</f>
        <v>0</v>
      </c>
      <c r="AB18" s="76">
        <f>SUMIFS('апрель 2025'!$G$4:$G$2485,'апрель 2025'!$D$4:$D$2485,$B18,'апрель 2025'!$J$4:$J$2485,AB$1)</f>
        <v>800</v>
      </c>
      <c r="AC18" s="76">
        <f>SUMIFS('апрель 2025'!$G$4:$G$2485,'апрель 2025'!$D$4:$D$2485,$B18,'апрель 2025'!$J$4:$J$2485,AC$1)</f>
        <v>0</v>
      </c>
      <c r="AD18" s="76">
        <f>SUMIFS('апрель 2025'!$G$4:$G$2485,'апрель 2025'!$D$4:$D$2485,$B18,'апрель 2025'!$J$4:$J$2485,AD$1)</f>
        <v>0</v>
      </c>
      <c r="AE18" s="76">
        <f>SUMIFS('апрель 2025'!$G$4:$G$2485,'апрель 2025'!$D$4:$D$2485,$B18,'апрель 2025'!$J$4:$J$2485,AE$1)</f>
        <v>1600</v>
      </c>
      <c r="AF18" s="76">
        <f>SUMIFS('апрель 2025'!$G$4:$G$2485,'апрель 2025'!$D$4:$D$2485,$B18,'апрель 2025'!$J$4:$J$2485,AF$1)</f>
        <v>800</v>
      </c>
      <c r="AG18" s="76">
        <f>SUMIFS('апрель 2025'!$G$4:$G$2485,'апрель 2025'!$D$4:$D$2485,$B18,'апрель 2025'!$J$4:$J$2485,AG$1)</f>
        <v>1440</v>
      </c>
      <c r="AH18" s="76">
        <f>SUMIFS('апрель 2025'!$G$4:$G$2485,'апрель 2025'!$D$4:$D$2485,$B18,'апрель 2025'!$J$4:$J$2485,AH$1)</f>
        <v>0</v>
      </c>
      <c r="AI18" s="20">
        <f t="shared" si="1"/>
        <v>11880</v>
      </c>
    </row>
    <row r="19" spans="2:35" ht="15" customHeight="1" x14ac:dyDescent="0.25">
      <c r="B19" s="77" t="s">
        <v>239</v>
      </c>
      <c r="C19" s="78">
        <v>25</v>
      </c>
      <c r="D19" s="76">
        <f>SUMIFS('апрель 2025'!$G$4:$G$2485,'апрель 2025'!$D$4:$D$2485,$B19,'апрель 2025'!$J$4:$J$2485,D$1)</f>
        <v>0</v>
      </c>
      <c r="E19" s="76">
        <f>SUMIFS('апрель 2025'!$G$4:$G$2485,'апрель 2025'!$D$4:$D$2485,$B19,'апрель 2025'!$J$4:$J$2485,E$1)</f>
        <v>0</v>
      </c>
      <c r="F19" s="76">
        <f>SUMIFS('апрель 2025'!$G$4:$G$2485,'апрель 2025'!$D$4:$D$2485,$B19,'апрель 2025'!$J$4:$J$2485,F$1)</f>
        <v>0</v>
      </c>
      <c r="G19" s="76">
        <f>SUMIFS('апрель 2025'!$G$4:$G$2485,'апрель 2025'!$D$4:$D$2485,$B19,'апрель 2025'!$J$4:$J$2485,G$1)</f>
        <v>0</v>
      </c>
      <c r="H19" s="76">
        <f>SUMIFS('апрель 2025'!$G$4:$G$2485,'апрель 2025'!$D$4:$D$2485,$B19,'апрель 2025'!$J$4:$J$2485,H$1)</f>
        <v>0</v>
      </c>
      <c r="I19" s="76">
        <f>SUMIFS('апрель 2025'!$G$4:$G$2485,'апрель 2025'!$D$4:$D$2485,$B19,'апрель 2025'!$J$4:$J$2485,I$1)</f>
        <v>0</v>
      </c>
      <c r="J19" s="76">
        <f>SUMIFS('апрель 2025'!$G$4:$G$2485,'апрель 2025'!$D$4:$D$2485,$B19,'апрель 2025'!$J$4:$J$2485,J$1)</f>
        <v>0</v>
      </c>
      <c r="K19" s="76">
        <f>SUMIFS('апрель 2025'!$G$4:$G$2485,'апрель 2025'!$D$4:$D$2485,$B19,'апрель 2025'!$J$4:$J$2485,K$1)</f>
        <v>0</v>
      </c>
      <c r="L19" s="76">
        <f>SUMIFS('апрель 2025'!$G$4:$G$2485,'апрель 2025'!$D$4:$D$2485,$B19,'апрель 2025'!$J$4:$J$2485,L$1)</f>
        <v>0</v>
      </c>
      <c r="M19" s="76">
        <f>SUMIFS('апрель 2025'!$G$4:$G$2485,'апрель 2025'!$D$4:$D$2485,$B19,'апрель 2025'!$J$4:$J$2485,M$1)</f>
        <v>0</v>
      </c>
      <c r="N19" s="76">
        <f>SUMIFS('апрель 2025'!$G$4:$G$2485,'апрель 2025'!$D$4:$D$2485,$B19,'апрель 2025'!$J$4:$J$2485,N$1)</f>
        <v>0</v>
      </c>
      <c r="O19" s="76">
        <f>SUMIFS('апрель 2025'!$G$4:$G$2485,'апрель 2025'!$D$4:$D$2485,$B19,'апрель 2025'!$J$4:$J$2485,O$1)</f>
        <v>0</v>
      </c>
      <c r="P19" s="76">
        <f>SUMIFS('апрель 2025'!$G$4:$G$2485,'апрель 2025'!$D$4:$D$2485,$B19,'апрель 2025'!$J$4:$J$2485,P$1)</f>
        <v>0</v>
      </c>
      <c r="Q19" s="76">
        <f>SUMIFS('апрель 2025'!$G$4:$G$2485,'апрель 2025'!$D$4:$D$2485,$B19,'апрель 2025'!$J$4:$J$2485,Q$1)</f>
        <v>0</v>
      </c>
      <c r="R19" s="76">
        <f>SUMIFS('апрель 2025'!$G$4:$G$2485,'апрель 2025'!$D$4:$D$2485,$B19,'апрель 2025'!$J$4:$J$2485,R$1)</f>
        <v>0</v>
      </c>
      <c r="S19" s="76">
        <f>SUMIFS('апрель 2025'!$G$4:$G$2485,'апрель 2025'!$D$4:$D$2485,$B19,'апрель 2025'!$J$4:$J$2485,S$1)</f>
        <v>0</v>
      </c>
      <c r="T19" s="76">
        <f>SUMIFS('апрель 2025'!$G$4:$G$2485,'апрель 2025'!$D$4:$D$2485,$B19,'апрель 2025'!$J$4:$J$2485,T$1)</f>
        <v>0</v>
      </c>
      <c r="U19" s="76">
        <f>SUMIFS('апрель 2025'!$G$4:$G$2485,'апрель 2025'!$D$4:$D$2485,$B19,'апрель 2025'!$J$4:$J$2485,U$1)</f>
        <v>0</v>
      </c>
      <c r="V19" s="76">
        <f>SUMIFS('апрель 2025'!$G$4:$G$2485,'апрель 2025'!$D$4:$D$2485,$B19,'апрель 2025'!$J$4:$J$2485,V$1)</f>
        <v>0</v>
      </c>
      <c r="W19" s="76">
        <f>SUMIFS('апрель 2025'!$G$4:$G$2485,'апрель 2025'!$D$4:$D$2485,$B19,'апрель 2025'!$J$4:$J$2485,W$1)</f>
        <v>0</v>
      </c>
      <c r="X19" s="76">
        <f>SUMIFS('апрель 2025'!$G$4:$G$2485,'апрель 2025'!$D$4:$D$2485,$B19,'апрель 2025'!$J$4:$J$2485,X$1)</f>
        <v>0</v>
      </c>
      <c r="Y19" s="76">
        <f>SUMIFS('апрель 2025'!$G$4:$G$2485,'апрель 2025'!$D$4:$D$2485,$B19,'апрель 2025'!$J$4:$J$2485,Y$1)</f>
        <v>0</v>
      </c>
      <c r="Z19" s="76">
        <f>SUMIFS('апрель 2025'!$G$4:$G$2485,'апрель 2025'!$D$4:$D$2485,$B19,'апрель 2025'!$J$4:$J$2485,Z$1)</f>
        <v>0</v>
      </c>
      <c r="AA19" s="76">
        <f>SUMIFS('апрель 2025'!$G$4:$G$2485,'апрель 2025'!$D$4:$D$2485,$B19,'апрель 2025'!$J$4:$J$2485,AA$1)</f>
        <v>0</v>
      </c>
      <c r="AB19" s="76">
        <f>SUMIFS('апрель 2025'!$G$4:$G$2485,'апрель 2025'!$D$4:$D$2485,$B19,'апрель 2025'!$J$4:$J$2485,AB$1)</f>
        <v>0</v>
      </c>
      <c r="AC19" s="76">
        <f>SUMIFS('апрель 2025'!$G$4:$G$2485,'апрель 2025'!$D$4:$D$2485,$B19,'апрель 2025'!$J$4:$J$2485,AC$1)</f>
        <v>0</v>
      </c>
      <c r="AD19" s="76">
        <f>SUMIFS('апрель 2025'!$G$4:$G$2485,'апрель 2025'!$D$4:$D$2485,$B19,'апрель 2025'!$J$4:$J$2485,AD$1)</f>
        <v>0</v>
      </c>
      <c r="AE19" s="76">
        <f>SUMIFS('апрель 2025'!$G$4:$G$2485,'апрель 2025'!$D$4:$D$2485,$B19,'апрель 2025'!$J$4:$J$2485,AE$1)</f>
        <v>0</v>
      </c>
      <c r="AF19" s="76">
        <f>SUMIFS('апрель 2025'!$G$4:$G$2485,'апрель 2025'!$D$4:$D$2485,$B19,'апрель 2025'!$J$4:$J$2485,AF$1)</f>
        <v>0</v>
      </c>
      <c r="AG19" s="76">
        <f>SUMIFS('апрель 2025'!$G$4:$G$2485,'апрель 2025'!$D$4:$D$2485,$B19,'апрель 2025'!$J$4:$J$2485,AG$1)</f>
        <v>0</v>
      </c>
      <c r="AH19" s="76">
        <f>SUMIFS('апрель 2025'!$G$4:$G$2485,'апрель 2025'!$D$4:$D$2485,$B19,'апрель 2025'!$J$4:$J$2485,AH$1)</f>
        <v>0</v>
      </c>
      <c r="AI19" s="20">
        <f t="shared" si="1"/>
        <v>0</v>
      </c>
    </row>
    <row r="20" spans="2:35" ht="15" customHeight="1" x14ac:dyDescent="0.25">
      <c r="B20" s="77" t="s">
        <v>241</v>
      </c>
      <c r="C20" s="78">
        <v>25</v>
      </c>
      <c r="D20" s="76">
        <f>SUMIFS('апрель 2025'!$G$4:$G$2485,'апрель 2025'!$D$4:$D$2485,$B20,'апрель 2025'!$J$4:$J$2485,D$1)</f>
        <v>0</v>
      </c>
      <c r="E20" s="76">
        <f>SUMIFS('апрель 2025'!$G$4:$G$2485,'апрель 2025'!$D$4:$D$2485,$B20,'апрель 2025'!$J$4:$J$2485,E$1)</f>
        <v>0</v>
      </c>
      <c r="F20" s="76">
        <f>SUMIFS('апрель 2025'!$G$4:$G$2485,'апрель 2025'!$D$4:$D$2485,$B20,'апрель 2025'!$J$4:$J$2485,F$1)</f>
        <v>0</v>
      </c>
      <c r="G20" s="76">
        <f>SUMIFS('апрель 2025'!$G$4:$G$2485,'апрель 2025'!$D$4:$D$2485,$B20,'апрель 2025'!$J$4:$J$2485,G$1)</f>
        <v>0</v>
      </c>
      <c r="H20" s="76">
        <f>SUMIFS('апрель 2025'!$G$4:$G$2485,'апрель 2025'!$D$4:$D$2485,$B20,'апрель 2025'!$J$4:$J$2485,H$1)</f>
        <v>0</v>
      </c>
      <c r="I20" s="76">
        <f>SUMIFS('апрель 2025'!$G$4:$G$2485,'апрель 2025'!$D$4:$D$2485,$B20,'апрель 2025'!$J$4:$J$2485,I$1)</f>
        <v>0</v>
      </c>
      <c r="J20" s="76">
        <f>SUMIFS('апрель 2025'!$G$4:$G$2485,'апрель 2025'!$D$4:$D$2485,$B20,'апрель 2025'!$J$4:$J$2485,J$1)</f>
        <v>0</v>
      </c>
      <c r="K20" s="76">
        <f>SUMIFS('апрель 2025'!$G$4:$G$2485,'апрель 2025'!$D$4:$D$2485,$B20,'апрель 2025'!$J$4:$J$2485,K$1)</f>
        <v>0</v>
      </c>
      <c r="L20" s="76">
        <f>SUMIFS('апрель 2025'!$G$4:$G$2485,'апрель 2025'!$D$4:$D$2485,$B20,'апрель 2025'!$J$4:$J$2485,L$1)</f>
        <v>0</v>
      </c>
      <c r="M20" s="76">
        <f>SUMIFS('апрель 2025'!$G$4:$G$2485,'апрель 2025'!$D$4:$D$2485,$B20,'апрель 2025'!$J$4:$J$2485,M$1)</f>
        <v>0</v>
      </c>
      <c r="N20" s="76">
        <f>SUMIFS('апрель 2025'!$G$4:$G$2485,'апрель 2025'!$D$4:$D$2485,$B20,'апрель 2025'!$J$4:$J$2485,N$1)</f>
        <v>0</v>
      </c>
      <c r="O20" s="76">
        <f>SUMIFS('апрель 2025'!$G$4:$G$2485,'апрель 2025'!$D$4:$D$2485,$B20,'апрель 2025'!$J$4:$J$2485,O$1)</f>
        <v>0</v>
      </c>
      <c r="P20" s="76">
        <f>SUMIFS('апрель 2025'!$G$4:$G$2485,'апрель 2025'!$D$4:$D$2485,$B20,'апрель 2025'!$J$4:$J$2485,P$1)</f>
        <v>0</v>
      </c>
      <c r="Q20" s="76">
        <f>SUMIFS('апрель 2025'!$G$4:$G$2485,'апрель 2025'!$D$4:$D$2485,$B20,'апрель 2025'!$J$4:$J$2485,Q$1)</f>
        <v>0</v>
      </c>
      <c r="R20" s="76">
        <f>SUMIFS('апрель 2025'!$G$4:$G$2485,'апрель 2025'!$D$4:$D$2485,$B20,'апрель 2025'!$J$4:$J$2485,R$1)</f>
        <v>1600</v>
      </c>
      <c r="S20" s="76">
        <f>SUMIFS('апрель 2025'!$G$4:$G$2485,'апрель 2025'!$D$4:$D$2485,$B20,'апрель 2025'!$J$4:$J$2485,S$1)</f>
        <v>0</v>
      </c>
      <c r="T20" s="76">
        <f>SUMIFS('апрель 2025'!$G$4:$G$2485,'апрель 2025'!$D$4:$D$2485,$B20,'апрель 2025'!$J$4:$J$2485,T$1)</f>
        <v>0</v>
      </c>
      <c r="U20" s="76">
        <f>SUMIFS('апрель 2025'!$G$4:$G$2485,'апрель 2025'!$D$4:$D$2485,$B20,'апрель 2025'!$J$4:$J$2485,U$1)</f>
        <v>0</v>
      </c>
      <c r="V20" s="76">
        <f>SUMIFS('апрель 2025'!$G$4:$G$2485,'апрель 2025'!$D$4:$D$2485,$B20,'апрель 2025'!$J$4:$J$2485,V$1)</f>
        <v>0</v>
      </c>
      <c r="W20" s="76">
        <f>SUMIFS('апрель 2025'!$G$4:$G$2485,'апрель 2025'!$D$4:$D$2485,$B20,'апрель 2025'!$J$4:$J$2485,W$1)</f>
        <v>0</v>
      </c>
      <c r="X20" s="76">
        <f>SUMIFS('апрель 2025'!$G$4:$G$2485,'апрель 2025'!$D$4:$D$2485,$B20,'апрель 2025'!$J$4:$J$2485,X$1)</f>
        <v>0</v>
      </c>
      <c r="Y20" s="76">
        <f>SUMIFS('апрель 2025'!$G$4:$G$2485,'апрель 2025'!$D$4:$D$2485,$B20,'апрель 2025'!$J$4:$J$2485,Y$1)</f>
        <v>0</v>
      </c>
      <c r="Z20" s="76">
        <f>SUMIFS('апрель 2025'!$G$4:$G$2485,'апрель 2025'!$D$4:$D$2485,$B20,'апрель 2025'!$J$4:$J$2485,Z$1)</f>
        <v>0</v>
      </c>
      <c r="AA20" s="76">
        <f>SUMIFS('апрель 2025'!$G$4:$G$2485,'апрель 2025'!$D$4:$D$2485,$B20,'апрель 2025'!$J$4:$J$2485,AA$1)</f>
        <v>0</v>
      </c>
      <c r="AB20" s="76">
        <f>SUMIFS('апрель 2025'!$G$4:$G$2485,'апрель 2025'!$D$4:$D$2485,$B20,'апрель 2025'!$J$4:$J$2485,AB$1)</f>
        <v>0</v>
      </c>
      <c r="AC20" s="76">
        <f>SUMIFS('апрель 2025'!$G$4:$G$2485,'апрель 2025'!$D$4:$D$2485,$B20,'апрель 2025'!$J$4:$J$2485,AC$1)</f>
        <v>0</v>
      </c>
      <c r="AD20" s="76">
        <f>SUMIFS('апрель 2025'!$G$4:$G$2485,'апрель 2025'!$D$4:$D$2485,$B20,'апрель 2025'!$J$4:$J$2485,AD$1)</f>
        <v>0</v>
      </c>
      <c r="AE20" s="76">
        <f>SUMIFS('апрель 2025'!$G$4:$G$2485,'апрель 2025'!$D$4:$D$2485,$B20,'апрель 2025'!$J$4:$J$2485,AE$1)</f>
        <v>0</v>
      </c>
      <c r="AF20" s="76">
        <f>SUMIFS('апрель 2025'!$G$4:$G$2485,'апрель 2025'!$D$4:$D$2485,$B20,'апрель 2025'!$J$4:$J$2485,AF$1)</f>
        <v>0</v>
      </c>
      <c r="AG20" s="76">
        <f>SUMIFS('апрель 2025'!$G$4:$G$2485,'апрель 2025'!$D$4:$D$2485,$B20,'апрель 2025'!$J$4:$J$2485,AG$1)</f>
        <v>0</v>
      </c>
      <c r="AH20" s="76">
        <f>SUMIFS('апрель 2025'!$G$4:$G$2485,'апрель 2025'!$D$4:$D$2485,$B20,'апрель 2025'!$J$4:$J$2485,AH$1)</f>
        <v>0</v>
      </c>
      <c r="AI20" s="20">
        <f t="shared" si="1"/>
        <v>1600</v>
      </c>
    </row>
    <row r="21" spans="2:35" ht="15" customHeight="1" x14ac:dyDescent="0.25">
      <c r="B21" s="77" t="s">
        <v>243</v>
      </c>
      <c r="C21" s="78">
        <v>25</v>
      </c>
      <c r="D21" s="76">
        <f>SUMIFS('апрель 2025'!$G$4:$G$2485,'апрель 2025'!$D$4:$D$2485,$B21,'апрель 2025'!$J$4:$J$2485,D$1)</f>
        <v>0</v>
      </c>
      <c r="E21" s="76">
        <f>SUMIFS('апрель 2025'!$G$4:$G$2485,'апрель 2025'!$D$4:$D$2485,$B21,'апрель 2025'!$J$4:$J$2485,E$1)</f>
        <v>0</v>
      </c>
      <c r="F21" s="76">
        <f>SUMIFS('апрель 2025'!$G$4:$G$2485,'апрель 2025'!$D$4:$D$2485,$B21,'апрель 2025'!$J$4:$J$2485,F$1)</f>
        <v>0</v>
      </c>
      <c r="G21" s="76">
        <f>SUMIFS('апрель 2025'!$G$4:$G$2485,'апрель 2025'!$D$4:$D$2485,$B21,'апрель 2025'!$J$4:$J$2485,G$1)</f>
        <v>0</v>
      </c>
      <c r="H21" s="76">
        <f>SUMIFS('апрель 2025'!$G$4:$G$2485,'апрель 2025'!$D$4:$D$2485,$B21,'апрель 2025'!$J$4:$J$2485,H$1)</f>
        <v>0</v>
      </c>
      <c r="I21" s="76">
        <f>SUMIFS('апрель 2025'!$G$4:$G$2485,'апрель 2025'!$D$4:$D$2485,$B21,'апрель 2025'!$J$4:$J$2485,I$1)</f>
        <v>0</v>
      </c>
      <c r="J21" s="76">
        <f>SUMIFS('апрель 2025'!$G$4:$G$2485,'апрель 2025'!$D$4:$D$2485,$B21,'апрель 2025'!$J$4:$J$2485,J$1)</f>
        <v>0</v>
      </c>
      <c r="K21" s="76">
        <f>SUMIFS('апрель 2025'!$G$4:$G$2485,'апрель 2025'!$D$4:$D$2485,$B21,'апрель 2025'!$J$4:$J$2485,K$1)</f>
        <v>0</v>
      </c>
      <c r="L21" s="76">
        <f>SUMIFS('апрель 2025'!$G$4:$G$2485,'апрель 2025'!$D$4:$D$2485,$B21,'апрель 2025'!$J$4:$J$2485,L$1)</f>
        <v>0</v>
      </c>
      <c r="M21" s="76">
        <f>SUMIFS('апрель 2025'!$G$4:$G$2485,'апрель 2025'!$D$4:$D$2485,$B21,'апрель 2025'!$J$4:$J$2485,M$1)</f>
        <v>0</v>
      </c>
      <c r="N21" s="76">
        <f>SUMIFS('апрель 2025'!$G$4:$G$2485,'апрель 2025'!$D$4:$D$2485,$B21,'апрель 2025'!$J$4:$J$2485,N$1)</f>
        <v>0</v>
      </c>
      <c r="O21" s="76">
        <f>SUMIFS('апрель 2025'!$G$4:$G$2485,'апрель 2025'!$D$4:$D$2485,$B21,'апрель 2025'!$J$4:$J$2485,O$1)</f>
        <v>0</v>
      </c>
      <c r="P21" s="76">
        <f>SUMIFS('апрель 2025'!$G$4:$G$2485,'апрель 2025'!$D$4:$D$2485,$B21,'апрель 2025'!$J$4:$J$2485,P$1)</f>
        <v>0</v>
      </c>
      <c r="Q21" s="76">
        <f>SUMIFS('апрель 2025'!$G$4:$G$2485,'апрель 2025'!$D$4:$D$2485,$B21,'апрель 2025'!$J$4:$J$2485,Q$1)</f>
        <v>0</v>
      </c>
      <c r="R21" s="76">
        <f>SUMIFS('апрель 2025'!$G$4:$G$2485,'апрель 2025'!$D$4:$D$2485,$B21,'апрель 2025'!$J$4:$J$2485,R$1)</f>
        <v>0</v>
      </c>
      <c r="S21" s="76">
        <f>SUMIFS('апрель 2025'!$G$4:$G$2485,'апрель 2025'!$D$4:$D$2485,$B21,'апрель 2025'!$J$4:$J$2485,S$1)</f>
        <v>0</v>
      </c>
      <c r="T21" s="76">
        <f>SUMIFS('апрель 2025'!$G$4:$G$2485,'апрель 2025'!$D$4:$D$2485,$B21,'апрель 2025'!$J$4:$J$2485,T$1)</f>
        <v>0</v>
      </c>
      <c r="U21" s="76">
        <f>SUMIFS('апрель 2025'!$G$4:$G$2485,'апрель 2025'!$D$4:$D$2485,$B21,'апрель 2025'!$J$4:$J$2485,U$1)</f>
        <v>0</v>
      </c>
      <c r="V21" s="76">
        <f>SUMIFS('апрель 2025'!$G$4:$G$2485,'апрель 2025'!$D$4:$D$2485,$B21,'апрель 2025'!$J$4:$J$2485,V$1)</f>
        <v>0</v>
      </c>
      <c r="W21" s="76">
        <f>SUMIFS('апрель 2025'!$G$4:$G$2485,'апрель 2025'!$D$4:$D$2485,$B21,'апрель 2025'!$J$4:$J$2485,W$1)</f>
        <v>0</v>
      </c>
      <c r="X21" s="76">
        <f>SUMIFS('апрель 2025'!$G$4:$G$2485,'апрель 2025'!$D$4:$D$2485,$B21,'апрель 2025'!$J$4:$J$2485,X$1)</f>
        <v>0</v>
      </c>
      <c r="Y21" s="76">
        <f>SUMIFS('апрель 2025'!$G$4:$G$2485,'апрель 2025'!$D$4:$D$2485,$B21,'апрель 2025'!$J$4:$J$2485,Y$1)</f>
        <v>0</v>
      </c>
      <c r="Z21" s="76">
        <f>SUMIFS('апрель 2025'!$G$4:$G$2485,'апрель 2025'!$D$4:$D$2485,$B21,'апрель 2025'!$J$4:$J$2485,Z$1)</f>
        <v>0</v>
      </c>
      <c r="AA21" s="76">
        <f>SUMIFS('апрель 2025'!$G$4:$G$2485,'апрель 2025'!$D$4:$D$2485,$B21,'апрель 2025'!$J$4:$J$2485,AA$1)</f>
        <v>0</v>
      </c>
      <c r="AB21" s="76">
        <f>SUMIFS('апрель 2025'!$G$4:$G$2485,'апрель 2025'!$D$4:$D$2485,$B21,'апрель 2025'!$J$4:$J$2485,AB$1)</f>
        <v>0</v>
      </c>
      <c r="AC21" s="76">
        <f>SUMIFS('апрель 2025'!$G$4:$G$2485,'апрель 2025'!$D$4:$D$2485,$B21,'апрель 2025'!$J$4:$J$2485,AC$1)</f>
        <v>0</v>
      </c>
      <c r="AD21" s="76">
        <f>SUMIFS('апрель 2025'!$G$4:$G$2485,'апрель 2025'!$D$4:$D$2485,$B21,'апрель 2025'!$J$4:$J$2485,AD$1)</f>
        <v>0</v>
      </c>
      <c r="AE21" s="76">
        <f>SUMIFS('апрель 2025'!$G$4:$G$2485,'апрель 2025'!$D$4:$D$2485,$B21,'апрель 2025'!$J$4:$J$2485,AE$1)</f>
        <v>0</v>
      </c>
      <c r="AF21" s="76">
        <f>SUMIFS('апрель 2025'!$G$4:$G$2485,'апрель 2025'!$D$4:$D$2485,$B21,'апрель 2025'!$J$4:$J$2485,AF$1)</f>
        <v>0</v>
      </c>
      <c r="AG21" s="76">
        <f>SUMIFS('апрель 2025'!$G$4:$G$2485,'апрель 2025'!$D$4:$D$2485,$B21,'апрель 2025'!$J$4:$J$2485,AG$1)</f>
        <v>0</v>
      </c>
      <c r="AH21" s="76">
        <f>SUMIFS('апрель 2025'!$G$4:$G$2485,'апрель 2025'!$D$4:$D$2485,$B21,'апрель 2025'!$J$4:$J$2485,AH$1)</f>
        <v>0</v>
      </c>
      <c r="AI21" s="20">
        <f t="shared" si="1"/>
        <v>0</v>
      </c>
    </row>
    <row r="22" spans="2:35" ht="15" customHeight="1" x14ac:dyDescent="0.25">
      <c r="B22" s="77" t="s">
        <v>245</v>
      </c>
      <c r="C22" s="78">
        <v>25</v>
      </c>
      <c r="D22" s="76">
        <f>SUMIFS('апрель 2025'!$G$4:$G$2485,'апрель 2025'!$D$4:$D$2485,$B22,'апрель 2025'!$J$4:$J$2485,D$1)</f>
        <v>0</v>
      </c>
      <c r="E22" s="76">
        <f>SUMIFS('апрель 2025'!$G$4:$G$2485,'апрель 2025'!$D$4:$D$2485,$B22,'апрель 2025'!$J$4:$J$2485,E$1)</f>
        <v>0</v>
      </c>
      <c r="F22" s="76">
        <f>SUMIFS('апрель 2025'!$G$4:$G$2485,'апрель 2025'!$D$4:$D$2485,$B22,'апрель 2025'!$J$4:$J$2485,F$1)</f>
        <v>0</v>
      </c>
      <c r="G22" s="76">
        <f>SUMIFS('апрель 2025'!$G$4:$G$2485,'апрель 2025'!$D$4:$D$2485,$B22,'апрель 2025'!$J$4:$J$2485,G$1)</f>
        <v>0</v>
      </c>
      <c r="H22" s="76">
        <f>SUMIFS('апрель 2025'!$G$4:$G$2485,'апрель 2025'!$D$4:$D$2485,$B22,'апрель 2025'!$J$4:$J$2485,H$1)</f>
        <v>0</v>
      </c>
      <c r="I22" s="76">
        <f>SUMIFS('апрель 2025'!$G$4:$G$2485,'апрель 2025'!$D$4:$D$2485,$B22,'апрель 2025'!$J$4:$J$2485,I$1)</f>
        <v>0</v>
      </c>
      <c r="J22" s="76">
        <f>SUMIFS('апрель 2025'!$G$4:$G$2485,'апрель 2025'!$D$4:$D$2485,$B22,'апрель 2025'!$J$4:$J$2485,J$1)</f>
        <v>0</v>
      </c>
      <c r="K22" s="76">
        <f>SUMIFS('апрель 2025'!$G$4:$G$2485,'апрель 2025'!$D$4:$D$2485,$B22,'апрель 2025'!$J$4:$J$2485,K$1)</f>
        <v>0</v>
      </c>
      <c r="L22" s="76">
        <f>SUMIFS('апрель 2025'!$G$4:$G$2485,'апрель 2025'!$D$4:$D$2485,$B22,'апрель 2025'!$J$4:$J$2485,L$1)</f>
        <v>0</v>
      </c>
      <c r="M22" s="76">
        <f>SUMIFS('апрель 2025'!$G$4:$G$2485,'апрель 2025'!$D$4:$D$2485,$B22,'апрель 2025'!$J$4:$J$2485,M$1)</f>
        <v>0</v>
      </c>
      <c r="N22" s="76">
        <f>SUMIFS('апрель 2025'!$G$4:$G$2485,'апрель 2025'!$D$4:$D$2485,$B22,'апрель 2025'!$J$4:$J$2485,N$1)</f>
        <v>0</v>
      </c>
      <c r="O22" s="76">
        <f>SUMIFS('апрель 2025'!$G$4:$G$2485,'апрель 2025'!$D$4:$D$2485,$B22,'апрель 2025'!$J$4:$J$2485,O$1)</f>
        <v>0</v>
      </c>
      <c r="P22" s="76">
        <f>SUMIFS('апрель 2025'!$G$4:$G$2485,'апрель 2025'!$D$4:$D$2485,$B22,'апрель 2025'!$J$4:$J$2485,P$1)</f>
        <v>0</v>
      </c>
      <c r="Q22" s="76">
        <f>SUMIFS('апрель 2025'!$G$4:$G$2485,'апрель 2025'!$D$4:$D$2485,$B22,'апрель 2025'!$J$4:$J$2485,Q$1)</f>
        <v>0</v>
      </c>
      <c r="R22" s="76">
        <f>SUMIFS('апрель 2025'!$G$4:$G$2485,'апрель 2025'!$D$4:$D$2485,$B22,'апрель 2025'!$J$4:$J$2485,R$1)</f>
        <v>0</v>
      </c>
      <c r="S22" s="76">
        <f>SUMIFS('апрель 2025'!$G$4:$G$2485,'апрель 2025'!$D$4:$D$2485,$B22,'апрель 2025'!$J$4:$J$2485,S$1)</f>
        <v>0</v>
      </c>
      <c r="T22" s="76">
        <f>SUMIFS('апрель 2025'!$G$4:$G$2485,'апрель 2025'!$D$4:$D$2485,$B22,'апрель 2025'!$J$4:$J$2485,T$1)</f>
        <v>0</v>
      </c>
      <c r="U22" s="76">
        <f>SUMIFS('апрель 2025'!$G$4:$G$2485,'апрель 2025'!$D$4:$D$2485,$B22,'апрель 2025'!$J$4:$J$2485,U$1)</f>
        <v>0</v>
      </c>
      <c r="V22" s="76">
        <f>SUMIFS('апрель 2025'!$G$4:$G$2485,'апрель 2025'!$D$4:$D$2485,$B22,'апрель 2025'!$J$4:$J$2485,V$1)</f>
        <v>0</v>
      </c>
      <c r="W22" s="76">
        <f>SUMIFS('апрель 2025'!$G$4:$G$2485,'апрель 2025'!$D$4:$D$2485,$B22,'апрель 2025'!$J$4:$J$2485,W$1)</f>
        <v>0</v>
      </c>
      <c r="X22" s="76">
        <f>SUMIFS('апрель 2025'!$G$4:$G$2485,'апрель 2025'!$D$4:$D$2485,$B22,'апрель 2025'!$J$4:$J$2485,X$1)</f>
        <v>0</v>
      </c>
      <c r="Y22" s="76">
        <f>SUMIFS('апрель 2025'!$G$4:$G$2485,'апрель 2025'!$D$4:$D$2485,$B22,'апрель 2025'!$J$4:$J$2485,Y$1)</f>
        <v>0</v>
      </c>
      <c r="Z22" s="76">
        <f>SUMIFS('апрель 2025'!$G$4:$G$2485,'апрель 2025'!$D$4:$D$2485,$B22,'апрель 2025'!$J$4:$J$2485,Z$1)</f>
        <v>0</v>
      </c>
      <c r="AA22" s="76">
        <f>SUMIFS('апрель 2025'!$G$4:$G$2485,'апрель 2025'!$D$4:$D$2485,$B22,'апрель 2025'!$J$4:$J$2485,AA$1)</f>
        <v>0</v>
      </c>
      <c r="AB22" s="76">
        <f>SUMIFS('апрель 2025'!$G$4:$G$2485,'апрель 2025'!$D$4:$D$2485,$B22,'апрель 2025'!$J$4:$J$2485,AB$1)</f>
        <v>0</v>
      </c>
      <c r="AC22" s="76">
        <f>SUMIFS('апрель 2025'!$G$4:$G$2485,'апрель 2025'!$D$4:$D$2485,$B22,'апрель 2025'!$J$4:$J$2485,AC$1)</f>
        <v>0</v>
      </c>
      <c r="AD22" s="76">
        <f>SUMIFS('апрель 2025'!$G$4:$G$2485,'апрель 2025'!$D$4:$D$2485,$B22,'апрель 2025'!$J$4:$J$2485,AD$1)</f>
        <v>0</v>
      </c>
      <c r="AE22" s="76">
        <f>SUMIFS('апрель 2025'!$G$4:$G$2485,'апрель 2025'!$D$4:$D$2485,$B22,'апрель 2025'!$J$4:$J$2485,AE$1)</f>
        <v>0</v>
      </c>
      <c r="AF22" s="76">
        <f>SUMIFS('апрель 2025'!$G$4:$G$2485,'апрель 2025'!$D$4:$D$2485,$B22,'апрель 2025'!$J$4:$J$2485,AF$1)</f>
        <v>0</v>
      </c>
      <c r="AG22" s="76">
        <f>SUMIFS('апрель 2025'!$G$4:$G$2485,'апрель 2025'!$D$4:$D$2485,$B22,'апрель 2025'!$J$4:$J$2485,AG$1)</f>
        <v>0</v>
      </c>
      <c r="AH22" s="76">
        <f>SUMIFS('апрель 2025'!$G$4:$G$2485,'апрель 2025'!$D$4:$D$2485,$B22,'апрель 2025'!$J$4:$J$2485,AH$1)</f>
        <v>0</v>
      </c>
      <c r="AI22" s="20">
        <f t="shared" si="1"/>
        <v>0</v>
      </c>
    </row>
    <row r="23" spans="2:35" ht="15" customHeight="1" x14ac:dyDescent="0.25">
      <c r="B23" s="80" t="s">
        <v>247</v>
      </c>
      <c r="C23" s="96">
        <v>25</v>
      </c>
      <c r="D23" s="76">
        <f>SUMIFS('апрель 2025'!$G$4:$G$2485,'апрель 2025'!$D$4:$D$2485,$B23,'апрель 2025'!$J$4:$J$2485,D$1)</f>
        <v>0</v>
      </c>
      <c r="E23" s="76">
        <f>SUMIFS('апрель 2025'!$G$4:$G$2485,'апрель 2025'!$D$4:$D$2485,$B23,'апрель 2025'!$J$4:$J$2485,E$1)</f>
        <v>0</v>
      </c>
      <c r="F23" s="76">
        <f>SUMIFS('апрель 2025'!$G$4:$G$2485,'апрель 2025'!$D$4:$D$2485,$B23,'апрель 2025'!$J$4:$J$2485,F$1)</f>
        <v>0</v>
      </c>
      <c r="G23" s="76">
        <f>SUMIFS('апрель 2025'!$G$4:$G$2485,'апрель 2025'!$D$4:$D$2485,$B23,'апрель 2025'!$J$4:$J$2485,G$1)</f>
        <v>0</v>
      </c>
      <c r="H23" s="76">
        <f>SUMIFS('апрель 2025'!$G$4:$G$2485,'апрель 2025'!$D$4:$D$2485,$B23,'апрель 2025'!$J$4:$J$2485,H$1)</f>
        <v>0</v>
      </c>
      <c r="I23" s="76">
        <f>SUMIFS('апрель 2025'!$G$4:$G$2485,'апрель 2025'!$D$4:$D$2485,$B23,'апрель 2025'!$J$4:$J$2485,I$1)</f>
        <v>0</v>
      </c>
      <c r="J23" s="76">
        <f>SUMIFS('апрель 2025'!$G$4:$G$2485,'апрель 2025'!$D$4:$D$2485,$B23,'апрель 2025'!$J$4:$J$2485,J$1)</f>
        <v>0</v>
      </c>
      <c r="K23" s="76">
        <f>SUMIFS('апрель 2025'!$G$4:$G$2485,'апрель 2025'!$D$4:$D$2485,$B23,'апрель 2025'!$J$4:$J$2485,K$1)</f>
        <v>0</v>
      </c>
      <c r="L23" s="76">
        <f>SUMIFS('апрель 2025'!$G$4:$G$2485,'апрель 2025'!$D$4:$D$2485,$B23,'апрель 2025'!$J$4:$J$2485,L$1)</f>
        <v>0</v>
      </c>
      <c r="M23" s="76">
        <f>SUMIFS('апрель 2025'!$G$4:$G$2485,'апрель 2025'!$D$4:$D$2485,$B23,'апрель 2025'!$J$4:$J$2485,M$1)</f>
        <v>0</v>
      </c>
      <c r="N23" s="76">
        <f>SUMIFS('апрель 2025'!$G$4:$G$2485,'апрель 2025'!$D$4:$D$2485,$B23,'апрель 2025'!$J$4:$J$2485,N$1)</f>
        <v>0</v>
      </c>
      <c r="O23" s="76">
        <f>SUMIFS('апрель 2025'!$G$4:$G$2485,'апрель 2025'!$D$4:$D$2485,$B23,'апрель 2025'!$J$4:$J$2485,O$1)</f>
        <v>0</v>
      </c>
      <c r="P23" s="76">
        <f>SUMIFS('апрель 2025'!$G$4:$G$2485,'апрель 2025'!$D$4:$D$2485,$B23,'апрель 2025'!$J$4:$J$2485,P$1)</f>
        <v>0</v>
      </c>
      <c r="Q23" s="76">
        <f>SUMIFS('апрель 2025'!$G$4:$G$2485,'апрель 2025'!$D$4:$D$2485,$B23,'апрель 2025'!$J$4:$J$2485,Q$1)</f>
        <v>0</v>
      </c>
      <c r="R23" s="76">
        <f>SUMIFS('апрель 2025'!$G$4:$G$2485,'апрель 2025'!$D$4:$D$2485,$B23,'апрель 2025'!$J$4:$J$2485,R$1)</f>
        <v>0</v>
      </c>
      <c r="S23" s="76">
        <f>SUMIFS('апрель 2025'!$G$4:$G$2485,'апрель 2025'!$D$4:$D$2485,$B23,'апрель 2025'!$J$4:$J$2485,S$1)</f>
        <v>0</v>
      </c>
      <c r="T23" s="76">
        <f>SUMIFS('апрель 2025'!$G$4:$G$2485,'апрель 2025'!$D$4:$D$2485,$B23,'апрель 2025'!$J$4:$J$2485,T$1)</f>
        <v>0</v>
      </c>
      <c r="U23" s="76">
        <f>SUMIFS('апрель 2025'!$G$4:$G$2485,'апрель 2025'!$D$4:$D$2485,$B23,'апрель 2025'!$J$4:$J$2485,U$1)</f>
        <v>0</v>
      </c>
      <c r="V23" s="76">
        <f>SUMIFS('апрель 2025'!$G$4:$G$2485,'апрель 2025'!$D$4:$D$2485,$B23,'апрель 2025'!$J$4:$J$2485,V$1)</f>
        <v>0</v>
      </c>
      <c r="W23" s="76">
        <f>SUMIFS('апрель 2025'!$G$4:$G$2485,'апрель 2025'!$D$4:$D$2485,$B23,'апрель 2025'!$J$4:$J$2485,W$1)</f>
        <v>0</v>
      </c>
      <c r="X23" s="76">
        <f>SUMIFS('апрель 2025'!$G$4:$G$2485,'апрель 2025'!$D$4:$D$2485,$B23,'апрель 2025'!$J$4:$J$2485,X$1)</f>
        <v>0</v>
      </c>
      <c r="Y23" s="76">
        <f>SUMIFS('апрель 2025'!$G$4:$G$2485,'апрель 2025'!$D$4:$D$2485,$B23,'апрель 2025'!$J$4:$J$2485,Y$1)</f>
        <v>0</v>
      </c>
      <c r="Z23" s="76">
        <f>SUMIFS('апрель 2025'!$G$4:$G$2485,'апрель 2025'!$D$4:$D$2485,$B23,'апрель 2025'!$J$4:$J$2485,Z$1)</f>
        <v>0</v>
      </c>
      <c r="AA23" s="76">
        <f>SUMIFS('апрель 2025'!$G$4:$G$2485,'апрель 2025'!$D$4:$D$2485,$B23,'апрель 2025'!$J$4:$J$2485,AA$1)</f>
        <v>0</v>
      </c>
      <c r="AB23" s="76">
        <f>SUMIFS('апрель 2025'!$G$4:$G$2485,'апрель 2025'!$D$4:$D$2485,$B23,'апрель 2025'!$J$4:$J$2485,AB$1)</f>
        <v>0</v>
      </c>
      <c r="AC23" s="76">
        <f>SUMIFS('апрель 2025'!$G$4:$G$2485,'апрель 2025'!$D$4:$D$2485,$B23,'апрель 2025'!$J$4:$J$2485,AC$1)</f>
        <v>0</v>
      </c>
      <c r="AD23" s="76">
        <f>SUMIFS('апрель 2025'!$G$4:$G$2485,'апрель 2025'!$D$4:$D$2485,$B23,'апрель 2025'!$J$4:$J$2485,AD$1)</f>
        <v>0</v>
      </c>
      <c r="AE23" s="76">
        <f>SUMIFS('апрель 2025'!$G$4:$G$2485,'апрель 2025'!$D$4:$D$2485,$B23,'апрель 2025'!$J$4:$J$2485,AE$1)</f>
        <v>0</v>
      </c>
      <c r="AF23" s="76">
        <f>SUMIFS('апрель 2025'!$G$4:$G$2485,'апрель 2025'!$D$4:$D$2485,$B23,'апрель 2025'!$J$4:$J$2485,AF$1)</f>
        <v>0</v>
      </c>
      <c r="AG23" s="76">
        <f>SUMIFS('апрель 2025'!$G$4:$G$2485,'апрель 2025'!$D$4:$D$2485,$B23,'апрель 2025'!$J$4:$J$2485,AG$1)</f>
        <v>0</v>
      </c>
      <c r="AH23" s="76">
        <f>SUMIFS('апрель 2025'!$G$4:$G$2485,'апрель 2025'!$D$4:$D$2485,$B23,'апрель 2025'!$J$4:$J$2485,AH$1)</f>
        <v>0</v>
      </c>
      <c r="AI23" s="20">
        <f t="shared" si="1"/>
        <v>0</v>
      </c>
    </row>
    <row r="24" spans="2:35" ht="15" customHeight="1" x14ac:dyDescent="0.25">
      <c r="B24" s="80" t="s">
        <v>248</v>
      </c>
      <c r="C24" s="78">
        <v>25</v>
      </c>
      <c r="D24" s="76">
        <f>SUMIFS('апрель 2025'!$G$4:$G$2485,'апрель 2025'!$D$4:$D$2485,$B24,'апрель 2025'!$J$4:$J$2485,D$1)</f>
        <v>0</v>
      </c>
      <c r="E24" s="76">
        <f>SUMIFS('апрель 2025'!$G$4:$G$2485,'апрель 2025'!$D$4:$D$2485,$B24,'апрель 2025'!$J$4:$J$2485,E$1)</f>
        <v>0</v>
      </c>
      <c r="F24" s="76">
        <f>SUMIFS('апрель 2025'!$G$4:$G$2485,'апрель 2025'!$D$4:$D$2485,$B24,'апрель 2025'!$J$4:$J$2485,F$1)</f>
        <v>0</v>
      </c>
      <c r="G24" s="76">
        <f>SUMIFS('апрель 2025'!$G$4:$G$2485,'апрель 2025'!$D$4:$D$2485,$B24,'апрель 2025'!$J$4:$J$2485,G$1)</f>
        <v>0</v>
      </c>
      <c r="H24" s="76">
        <f>SUMIFS('апрель 2025'!$G$4:$G$2485,'апрель 2025'!$D$4:$D$2485,$B24,'апрель 2025'!$J$4:$J$2485,H$1)</f>
        <v>0</v>
      </c>
      <c r="I24" s="76">
        <f>SUMIFS('апрель 2025'!$G$4:$G$2485,'апрель 2025'!$D$4:$D$2485,$B24,'апрель 2025'!$J$4:$J$2485,I$1)</f>
        <v>0</v>
      </c>
      <c r="J24" s="76">
        <f>SUMIFS('апрель 2025'!$G$4:$G$2485,'апрель 2025'!$D$4:$D$2485,$B24,'апрель 2025'!$J$4:$J$2485,J$1)</f>
        <v>0</v>
      </c>
      <c r="K24" s="76">
        <f>SUMIFS('апрель 2025'!$G$4:$G$2485,'апрель 2025'!$D$4:$D$2485,$B24,'апрель 2025'!$J$4:$J$2485,K$1)</f>
        <v>0</v>
      </c>
      <c r="L24" s="76">
        <f>SUMIFS('апрель 2025'!$G$4:$G$2485,'апрель 2025'!$D$4:$D$2485,$B24,'апрель 2025'!$J$4:$J$2485,L$1)</f>
        <v>0</v>
      </c>
      <c r="M24" s="76">
        <f>SUMIFS('апрель 2025'!$G$4:$G$2485,'апрель 2025'!$D$4:$D$2485,$B24,'апрель 2025'!$J$4:$J$2485,M$1)</f>
        <v>0</v>
      </c>
      <c r="N24" s="76">
        <f>SUMIFS('апрель 2025'!$G$4:$G$2485,'апрель 2025'!$D$4:$D$2485,$B24,'апрель 2025'!$J$4:$J$2485,N$1)</f>
        <v>0</v>
      </c>
      <c r="O24" s="76">
        <f>SUMIFS('апрель 2025'!$G$4:$G$2485,'апрель 2025'!$D$4:$D$2485,$B24,'апрель 2025'!$J$4:$J$2485,O$1)</f>
        <v>0</v>
      </c>
      <c r="P24" s="76">
        <f>SUMIFS('апрель 2025'!$G$4:$G$2485,'апрель 2025'!$D$4:$D$2485,$B24,'апрель 2025'!$J$4:$J$2485,P$1)</f>
        <v>0</v>
      </c>
      <c r="Q24" s="76">
        <f>SUMIFS('апрель 2025'!$G$4:$G$2485,'апрель 2025'!$D$4:$D$2485,$B24,'апрель 2025'!$J$4:$J$2485,Q$1)</f>
        <v>0</v>
      </c>
      <c r="R24" s="76">
        <f>SUMIFS('апрель 2025'!$G$4:$G$2485,'апрель 2025'!$D$4:$D$2485,$B24,'апрель 2025'!$J$4:$J$2485,R$1)</f>
        <v>0</v>
      </c>
      <c r="S24" s="76">
        <f>SUMIFS('апрель 2025'!$G$4:$G$2485,'апрель 2025'!$D$4:$D$2485,$B24,'апрель 2025'!$J$4:$J$2485,S$1)</f>
        <v>0</v>
      </c>
      <c r="T24" s="76">
        <f>SUMIFS('апрель 2025'!$G$4:$G$2485,'апрель 2025'!$D$4:$D$2485,$B24,'апрель 2025'!$J$4:$J$2485,T$1)</f>
        <v>0</v>
      </c>
      <c r="U24" s="76">
        <f>SUMIFS('апрель 2025'!$G$4:$G$2485,'апрель 2025'!$D$4:$D$2485,$B24,'апрель 2025'!$J$4:$J$2485,U$1)</f>
        <v>0</v>
      </c>
      <c r="V24" s="76">
        <f>SUMIFS('апрель 2025'!$G$4:$G$2485,'апрель 2025'!$D$4:$D$2485,$B24,'апрель 2025'!$J$4:$J$2485,V$1)</f>
        <v>0</v>
      </c>
      <c r="W24" s="76">
        <f>SUMIFS('апрель 2025'!$G$4:$G$2485,'апрель 2025'!$D$4:$D$2485,$B24,'апрель 2025'!$J$4:$J$2485,W$1)</f>
        <v>0</v>
      </c>
      <c r="X24" s="76">
        <f>SUMIFS('апрель 2025'!$G$4:$G$2485,'апрель 2025'!$D$4:$D$2485,$B24,'апрель 2025'!$J$4:$J$2485,X$1)</f>
        <v>0</v>
      </c>
      <c r="Y24" s="76">
        <f>SUMIFS('апрель 2025'!$G$4:$G$2485,'апрель 2025'!$D$4:$D$2485,$B24,'апрель 2025'!$J$4:$J$2485,Y$1)</f>
        <v>0</v>
      </c>
      <c r="Z24" s="76">
        <f>SUMIFS('апрель 2025'!$G$4:$G$2485,'апрель 2025'!$D$4:$D$2485,$B24,'апрель 2025'!$J$4:$J$2485,Z$1)</f>
        <v>0</v>
      </c>
      <c r="AA24" s="76">
        <f>SUMIFS('апрель 2025'!$G$4:$G$2485,'апрель 2025'!$D$4:$D$2485,$B24,'апрель 2025'!$J$4:$J$2485,AA$1)</f>
        <v>0</v>
      </c>
      <c r="AB24" s="76">
        <f>SUMIFS('апрель 2025'!$G$4:$G$2485,'апрель 2025'!$D$4:$D$2485,$B24,'апрель 2025'!$J$4:$J$2485,AB$1)</f>
        <v>0</v>
      </c>
      <c r="AC24" s="76">
        <f>SUMIFS('апрель 2025'!$G$4:$G$2485,'апрель 2025'!$D$4:$D$2485,$B24,'апрель 2025'!$J$4:$J$2485,AC$1)</f>
        <v>0</v>
      </c>
      <c r="AD24" s="76">
        <f>SUMIFS('апрель 2025'!$G$4:$G$2485,'апрель 2025'!$D$4:$D$2485,$B24,'апрель 2025'!$J$4:$J$2485,AD$1)</f>
        <v>0</v>
      </c>
      <c r="AE24" s="76">
        <f>SUMIFS('апрель 2025'!$G$4:$G$2485,'апрель 2025'!$D$4:$D$2485,$B24,'апрель 2025'!$J$4:$J$2485,AE$1)</f>
        <v>0</v>
      </c>
      <c r="AF24" s="76">
        <f>SUMIFS('апрель 2025'!$G$4:$G$2485,'апрель 2025'!$D$4:$D$2485,$B24,'апрель 2025'!$J$4:$J$2485,AF$1)</f>
        <v>0</v>
      </c>
      <c r="AG24" s="76">
        <f>SUMIFS('апрель 2025'!$G$4:$G$2485,'апрель 2025'!$D$4:$D$2485,$B24,'апрель 2025'!$J$4:$J$2485,AG$1)</f>
        <v>0</v>
      </c>
      <c r="AH24" s="76">
        <f>SUMIFS('апрель 2025'!$G$4:$G$2485,'апрель 2025'!$D$4:$D$2485,$B24,'апрель 2025'!$J$4:$J$2485,AH$1)</f>
        <v>0</v>
      </c>
      <c r="AI24" s="20">
        <f t="shared" si="1"/>
        <v>0</v>
      </c>
    </row>
    <row r="25" spans="2:35" ht="15" customHeight="1" x14ac:dyDescent="0.25">
      <c r="B25" s="80" t="s">
        <v>249</v>
      </c>
      <c r="C25" s="78">
        <v>25</v>
      </c>
      <c r="D25" s="76">
        <f>SUMIFS('апрель 2025'!$G$4:$G$2485,'апрель 2025'!$D$4:$D$2485,$B25,'апрель 2025'!$J$4:$J$2485,D$1)</f>
        <v>0</v>
      </c>
      <c r="E25" s="76">
        <f>SUMIFS('апрель 2025'!$G$4:$G$2485,'апрель 2025'!$D$4:$D$2485,$B25,'апрель 2025'!$J$4:$J$2485,E$1)</f>
        <v>0</v>
      </c>
      <c r="F25" s="76">
        <f>SUMIFS('апрель 2025'!$G$4:$G$2485,'апрель 2025'!$D$4:$D$2485,$B25,'апрель 2025'!$J$4:$J$2485,F$1)</f>
        <v>0</v>
      </c>
      <c r="G25" s="76">
        <f>SUMIFS('апрель 2025'!$G$4:$G$2485,'апрель 2025'!$D$4:$D$2485,$B25,'апрель 2025'!$J$4:$J$2485,G$1)</f>
        <v>0</v>
      </c>
      <c r="H25" s="76">
        <f>SUMIFS('апрель 2025'!$G$4:$G$2485,'апрель 2025'!$D$4:$D$2485,$B25,'апрель 2025'!$J$4:$J$2485,H$1)</f>
        <v>0</v>
      </c>
      <c r="I25" s="76">
        <f>SUMIFS('апрель 2025'!$G$4:$G$2485,'апрель 2025'!$D$4:$D$2485,$B25,'апрель 2025'!$J$4:$J$2485,I$1)</f>
        <v>0</v>
      </c>
      <c r="J25" s="76">
        <f>SUMIFS('апрель 2025'!$G$4:$G$2485,'апрель 2025'!$D$4:$D$2485,$B25,'апрель 2025'!$J$4:$J$2485,J$1)</f>
        <v>0</v>
      </c>
      <c r="K25" s="76">
        <f>SUMIFS('апрель 2025'!$G$4:$G$2485,'апрель 2025'!$D$4:$D$2485,$B25,'апрель 2025'!$J$4:$J$2485,K$1)</f>
        <v>0</v>
      </c>
      <c r="L25" s="76">
        <f>SUMIFS('апрель 2025'!$G$4:$G$2485,'апрель 2025'!$D$4:$D$2485,$B25,'апрель 2025'!$J$4:$J$2485,L$1)</f>
        <v>0</v>
      </c>
      <c r="M25" s="76">
        <f>SUMIFS('апрель 2025'!$G$4:$G$2485,'апрель 2025'!$D$4:$D$2485,$B25,'апрель 2025'!$J$4:$J$2485,M$1)</f>
        <v>0</v>
      </c>
      <c r="N25" s="76">
        <f>SUMIFS('апрель 2025'!$G$4:$G$2485,'апрель 2025'!$D$4:$D$2485,$B25,'апрель 2025'!$J$4:$J$2485,N$1)</f>
        <v>0</v>
      </c>
      <c r="O25" s="76">
        <f>SUMIFS('апрель 2025'!$G$4:$G$2485,'апрель 2025'!$D$4:$D$2485,$B25,'апрель 2025'!$J$4:$J$2485,O$1)</f>
        <v>0</v>
      </c>
      <c r="P25" s="76">
        <f>SUMIFS('апрель 2025'!$G$4:$G$2485,'апрель 2025'!$D$4:$D$2485,$B25,'апрель 2025'!$J$4:$J$2485,P$1)</f>
        <v>0</v>
      </c>
      <c r="Q25" s="76">
        <f>SUMIFS('апрель 2025'!$G$4:$G$2485,'апрель 2025'!$D$4:$D$2485,$B25,'апрель 2025'!$J$4:$J$2485,Q$1)</f>
        <v>0</v>
      </c>
      <c r="R25" s="76">
        <f>SUMIFS('апрель 2025'!$G$4:$G$2485,'апрель 2025'!$D$4:$D$2485,$B25,'апрель 2025'!$J$4:$J$2485,R$1)</f>
        <v>0</v>
      </c>
      <c r="S25" s="76">
        <f>SUMIFS('апрель 2025'!$G$4:$G$2485,'апрель 2025'!$D$4:$D$2485,$B25,'апрель 2025'!$J$4:$J$2485,S$1)</f>
        <v>0</v>
      </c>
      <c r="T25" s="76">
        <f>SUMIFS('апрель 2025'!$G$4:$G$2485,'апрель 2025'!$D$4:$D$2485,$B25,'апрель 2025'!$J$4:$J$2485,T$1)</f>
        <v>0</v>
      </c>
      <c r="U25" s="76">
        <f>SUMIFS('апрель 2025'!$G$4:$G$2485,'апрель 2025'!$D$4:$D$2485,$B25,'апрель 2025'!$J$4:$J$2485,U$1)</f>
        <v>0</v>
      </c>
      <c r="V25" s="76">
        <f>SUMIFS('апрель 2025'!$G$4:$G$2485,'апрель 2025'!$D$4:$D$2485,$B25,'апрель 2025'!$J$4:$J$2485,V$1)</f>
        <v>0</v>
      </c>
      <c r="W25" s="76">
        <f>SUMIFS('апрель 2025'!$G$4:$G$2485,'апрель 2025'!$D$4:$D$2485,$B25,'апрель 2025'!$J$4:$J$2485,W$1)</f>
        <v>0</v>
      </c>
      <c r="X25" s="76">
        <f>SUMIFS('апрель 2025'!$G$4:$G$2485,'апрель 2025'!$D$4:$D$2485,$B25,'апрель 2025'!$J$4:$J$2485,X$1)</f>
        <v>0</v>
      </c>
      <c r="Y25" s="76">
        <f>SUMIFS('апрель 2025'!$G$4:$G$2485,'апрель 2025'!$D$4:$D$2485,$B25,'апрель 2025'!$J$4:$J$2485,Y$1)</f>
        <v>0</v>
      </c>
      <c r="Z25" s="76">
        <f>SUMIFS('апрель 2025'!$G$4:$G$2485,'апрель 2025'!$D$4:$D$2485,$B25,'апрель 2025'!$J$4:$J$2485,Z$1)</f>
        <v>0</v>
      </c>
      <c r="AA25" s="76">
        <f>SUMIFS('апрель 2025'!$G$4:$G$2485,'апрель 2025'!$D$4:$D$2485,$B25,'апрель 2025'!$J$4:$J$2485,AA$1)</f>
        <v>0</v>
      </c>
      <c r="AB25" s="76">
        <f>SUMIFS('апрель 2025'!$G$4:$G$2485,'апрель 2025'!$D$4:$D$2485,$B25,'апрель 2025'!$J$4:$J$2485,AB$1)</f>
        <v>0</v>
      </c>
      <c r="AC25" s="76">
        <f>SUMIFS('апрель 2025'!$G$4:$G$2485,'апрель 2025'!$D$4:$D$2485,$B25,'апрель 2025'!$J$4:$J$2485,AC$1)</f>
        <v>0</v>
      </c>
      <c r="AD25" s="76">
        <f>SUMIFS('апрель 2025'!$G$4:$G$2485,'апрель 2025'!$D$4:$D$2485,$B25,'апрель 2025'!$J$4:$J$2485,AD$1)</f>
        <v>0</v>
      </c>
      <c r="AE25" s="76">
        <f>SUMIFS('апрель 2025'!$G$4:$G$2485,'апрель 2025'!$D$4:$D$2485,$B25,'апрель 2025'!$J$4:$J$2485,AE$1)</f>
        <v>0</v>
      </c>
      <c r="AF25" s="76">
        <f>SUMIFS('апрель 2025'!$G$4:$G$2485,'апрель 2025'!$D$4:$D$2485,$B25,'апрель 2025'!$J$4:$J$2485,AF$1)</f>
        <v>0</v>
      </c>
      <c r="AG25" s="76">
        <f>SUMIFS('апрель 2025'!$G$4:$G$2485,'апрель 2025'!$D$4:$D$2485,$B25,'апрель 2025'!$J$4:$J$2485,AG$1)</f>
        <v>0</v>
      </c>
      <c r="AH25" s="76">
        <f>SUMIFS('апрель 2025'!$G$4:$G$2485,'апрель 2025'!$D$4:$D$2485,$B25,'апрель 2025'!$J$4:$J$2485,AH$1)</f>
        <v>0</v>
      </c>
      <c r="AI25" s="20">
        <f t="shared" si="1"/>
        <v>0</v>
      </c>
    </row>
    <row r="26" spans="2:35" ht="15" customHeight="1" x14ac:dyDescent="0.25">
      <c r="B26" s="80" t="s">
        <v>250</v>
      </c>
      <c r="C26" s="78">
        <v>25</v>
      </c>
      <c r="D26" s="76">
        <f>SUMIFS('апрель 2025'!$G$4:$G$2485,'апрель 2025'!$D$4:$D$2485,$B26,'апрель 2025'!$J$4:$J$2485,D$1)</f>
        <v>0</v>
      </c>
      <c r="E26" s="76">
        <f>SUMIFS('апрель 2025'!$G$4:$G$2485,'апрель 2025'!$D$4:$D$2485,$B26,'апрель 2025'!$J$4:$J$2485,E$1)</f>
        <v>0</v>
      </c>
      <c r="F26" s="76">
        <f>SUMIFS('апрель 2025'!$G$4:$G$2485,'апрель 2025'!$D$4:$D$2485,$B26,'апрель 2025'!$J$4:$J$2485,F$1)</f>
        <v>0</v>
      </c>
      <c r="G26" s="76">
        <f>SUMIFS('апрель 2025'!$G$4:$G$2485,'апрель 2025'!$D$4:$D$2485,$B26,'апрель 2025'!$J$4:$J$2485,G$1)</f>
        <v>0</v>
      </c>
      <c r="H26" s="76">
        <f>SUMIFS('апрель 2025'!$G$4:$G$2485,'апрель 2025'!$D$4:$D$2485,$B26,'апрель 2025'!$J$4:$J$2485,H$1)</f>
        <v>0</v>
      </c>
      <c r="I26" s="76">
        <f>SUMIFS('апрель 2025'!$G$4:$G$2485,'апрель 2025'!$D$4:$D$2485,$B26,'апрель 2025'!$J$4:$J$2485,I$1)</f>
        <v>0</v>
      </c>
      <c r="J26" s="76">
        <f>SUMIFS('апрель 2025'!$G$4:$G$2485,'апрель 2025'!$D$4:$D$2485,$B26,'апрель 2025'!$J$4:$J$2485,J$1)</f>
        <v>0</v>
      </c>
      <c r="K26" s="76">
        <f>SUMIFS('апрель 2025'!$G$4:$G$2485,'апрель 2025'!$D$4:$D$2485,$B26,'апрель 2025'!$J$4:$J$2485,K$1)</f>
        <v>0</v>
      </c>
      <c r="L26" s="76">
        <f>SUMIFS('апрель 2025'!$G$4:$G$2485,'апрель 2025'!$D$4:$D$2485,$B26,'апрель 2025'!$J$4:$J$2485,L$1)</f>
        <v>0</v>
      </c>
      <c r="M26" s="76">
        <f>SUMIFS('апрель 2025'!$G$4:$G$2485,'апрель 2025'!$D$4:$D$2485,$B26,'апрель 2025'!$J$4:$J$2485,M$1)</f>
        <v>0</v>
      </c>
      <c r="N26" s="76">
        <f>SUMIFS('апрель 2025'!$G$4:$G$2485,'апрель 2025'!$D$4:$D$2485,$B26,'апрель 2025'!$J$4:$J$2485,N$1)</f>
        <v>0</v>
      </c>
      <c r="O26" s="76">
        <f>SUMIFS('апрель 2025'!$G$4:$G$2485,'апрель 2025'!$D$4:$D$2485,$B26,'апрель 2025'!$J$4:$J$2485,O$1)</f>
        <v>0</v>
      </c>
      <c r="P26" s="76">
        <f>SUMIFS('апрель 2025'!$G$4:$G$2485,'апрель 2025'!$D$4:$D$2485,$B26,'апрель 2025'!$J$4:$J$2485,P$1)</f>
        <v>0</v>
      </c>
      <c r="Q26" s="76">
        <f>SUMIFS('апрель 2025'!$G$4:$G$2485,'апрель 2025'!$D$4:$D$2485,$B26,'апрель 2025'!$J$4:$J$2485,Q$1)</f>
        <v>0</v>
      </c>
      <c r="R26" s="76">
        <f>SUMIFS('апрель 2025'!$G$4:$G$2485,'апрель 2025'!$D$4:$D$2485,$B26,'апрель 2025'!$J$4:$J$2485,R$1)</f>
        <v>0</v>
      </c>
      <c r="S26" s="76">
        <f>SUMIFS('апрель 2025'!$G$4:$G$2485,'апрель 2025'!$D$4:$D$2485,$B26,'апрель 2025'!$J$4:$J$2485,S$1)</f>
        <v>0</v>
      </c>
      <c r="T26" s="76">
        <f>SUMIFS('апрель 2025'!$G$4:$G$2485,'апрель 2025'!$D$4:$D$2485,$B26,'апрель 2025'!$J$4:$J$2485,T$1)</f>
        <v>0</v>
      </c>
      <c r="U26" s="76">
        <f>SUMIFS('апрель 2025'!$G$4:$G$2485,'апрель 2025'!$D$4:$D$2485,$B26,'апрель 2025'!$J$4:$J$2485,U$1)</f>
        <v>0</v>
      </c>
      <c r="V26" s="76">
        <f>SUMIFS('апрель 2025'!$G$4:$G$2485,'апрель 2025'!$D$4:$D$2485,$B26,'апрель 2025'!$J$4:$J$2485,V$1)</f>
        <v>0</v>
      </c>
      <c r="W26" s="76">
        <f>SUMIFS('апрель 2025'!$G$4:$G$2485,'апрель 2025'!$D$4:$D$2485,$B26,'апрель 2025'!$J$4:$J$2485,W$1)</f>
        <v>0</v>
      </c>
      <c r="X26" s="76">
        <f>SUMIFS('апрель 2025'!$G$4:$G$2485,'апрель 2025'!$D$4:$D$2485,$B26,'апрель 2025'!$J$4:$J$2485,X$1)</f>
        <v>0</v>
      </c>
      <c r="Y26" s="76">
        <f>SUMIFS('апрель 2025'!$G$4:$G$2485,'апрель 2025'!$D$4:$D$2485,$B26,'апрель 2025'!$J$4:$J$2485,Y$1)</f>
        <v>0</v>
      </c>
      <c r="Z26" s="76">
        <f>SUMIFS('апрель 2025'!$G$4:$G$2485,'апрель 2025'!$D$4:$D$2485,$B26,'апрель 2025'!$J$4:$J$2485,Z$1)</f>
        <v>0</v>
      </c>
      <c r="AA26" s="76">
        <f>SUMIFS('апрель 2025'!$G$4:$G$2485,'апрель 2025'!$D$4:$D$2485,$B26,'апрель 2025'!$J$4:$J$2485,AA$1)</f>
        <v>0</v>
      </c>
      <c r="AB26" s="76">
        <f>SUMIFS('апрель 2025'!$G$4:$G$2485,'апрель 2025'!$D$4:$D$2485,$B26,'апрель 2025'!$J$4:$J$2485,AB$1)</f>
        <v>0</v>
      </c>
      <c r="AC26" s="76">
        <f>SUMIFS('апрель 2025'!$G$4:$G$2485,'апрель 2025'!$D$4:$D$2485,$B26,'апрель 2025'!$J$4:$J$2485,AC$1)</f>
        <v>0</v>
      </c>
      <c r="AD26" s="76">
        <f>SUMIFS('апрель 2025'!$G$4:$G$2485,'апрель 2025'!$D$4:$D$2485,$B26,'апрель 2025'!$J$4:$J$2485,AD$1)</f>
        <v>0</v>
      </c>
      <c r="AE26" s="76">
        <f>SUMIFS('апрель 2025'!$G$4:$G$2485,'апрель 2025'!$D$4:$D$2485,$B26,'апрель 2025'!$J$4:$J$2485,AE$1)</f>
        <v>0</v>
      </c>
      <c r="AF26" s="76">
        <f>SUMIFS('апрель 2025'!$G$4:$G$2485,'апрель 2025'!$D$4:$D$2485,$B26,'апрель 2025'!$J$4:$J$2485,AF$1)</f>
        <v>0</v>
      </c>
      <c r="AG26" s="76">
        <f>SUMIFS('апрель 2025'!$G$4:$G$2485,'апрель 2025'!$D$4:$D$2485,$B26,'апрель 2025'!$J$4:$J$2485,AG$1)</f>
        <v>0</v>
      </c>
      <c r="AH26" s="76">
        <f>SUMIFS('апрель 2025'!$G$4:$G$2485,'апрель 2025'!$D$4:$D$2485,$B26,'апрель 2025'!$J$4:$J$2485,AH$1)</f>
        <v>0</v>
      </c>
      <c r="AI26" s="20">
        <f t="shared" si="1"/>
        <v>0</v>
      </c>
    </row>
    <row r="27" spans="2:35" ht="15" customHeight="1" x14ac:dyDescent="0.25">
      <c r="B27" s="80" t="s">
        <v>251</v>
      </c>
      <c r="C27" s="78">
        <v>25</v>
      </c>
      <c r="D27" s="76">
        <f>SUMIFS('апрель 2025'!$G$4:$G$2485,'апрель 2025'!$D$4:$D$2485,$B27,'апрель 2025'!$J$4:$J$2485,D$1)</f>
        <v>0</v>
      </c>
      <c r="E27" s="76">
        <f>SUMIFS('апрель 2025'!$G$4:$G$2485,'апрель 2025'!$D$4:$D$2485,$B27,'апрель 2025'!$J$4:$J$2485,E$1)</f>
        <v>0</v>
      </c>
      <c r="F27" s="76">
        <f>SUMIFS('апрель 2025'!$G$4:$G$2485,'апрель 2025'!$D$4:$D$2485,$B27,'апрель 2025'!$J$4:$J$2485,F$1)</f>
        <v>0</v>
      </c>
      <c r="G27" s="76">
        <f>SUMIFS('апрель 2025'!$G$4:$G$2485,'апрель 2025'!$D$4:$D$2485,$B27,'апрель 2025'!$J$4:$J$2485,G$1)</f>
        <v>0</v>
      </c>
      <c r="H27" s="76">
        <f>SUMIFS('апрель 2025'!$G$4:$G$2485,'апрель 2025'!$D$4:$D$2485,$B27,'апрель 2025'!$J$4:$J$2485,H$1)</f>
        <v>0</v>
      </c>
      <c r="I27" s="76">
        <f>SUMIFS('апрель 2025'!$G$4:$G$2485,'апрель 2025'!$D$4:$D$2485,$B27,'апрель 2025'!$J$4:$J$2485,I$1)</f>
        <v>0</v>
      </c>
      <c r="J27" s="76">
        <f>SUMIFS('апрель 2025'!$G$4:$G$2485,'апрель 2025'!$D$4:$D$2485,$B27,'апрель 2025'!$J$4:$J$2485,J$1)</f>
        <v>0</v>
      </c>
      <c r="K27" s="76">
        <f>SUMIFS('апрель 2025'!$G$4:$G$2485,'апрель 2025'!$D$4:$D$2485,$B27,'апрель 2025'!$J$4:$J$2485,K$1)</f>
        <v>0</v>
      </c>
      <c r="L27" s="76">
        <f>SUMIFS('апрель 2025'!$G$4:$G$2485,'апрель 2025'!$D$4:$D$2485,$B27,'апрель 2025'!$J$4:$J$2485,L$1)</f>
        <v>0</v>
      </c>
      <c r="M27" s="76">
        <f>SUMIFS('апрель 2025'!$G$4:$G$2485,'апрель 2025'!$D$4:$D$2485,$B27,'апрель 2025'!$J$4:$J$2485,M$1)</f>
        <v>0</v>
      </c>
      <c r="N27" s="76">
        <f>SUMIFS('апрель 2025'!$G$4:$G$2485,'апрель 2025'!$D$4:$D$2485,$B27,'апрель 2025'!$J$4:$J$2485,N$1)</f>
        <v>0</v>
      </c>
      <c r="O27" s="76">
        <f>SUMIFS('апрель 2025'!$G$4:$G$2485,'апрель 2025'!$D$4:$D$2485,$B27,'апрель 2025'!$J$4:$J$2485,O$1)</f>
        <v>0</v>
      </c>
      <c r="P27" s="76">
        <f>SUMIFS('апрель 2025'!$G$4:$G$2485,'апрель 2025'!$D$4:$D$2485,$B27,'апрель 2025'!$J$4:$J$2485,P$1)</f>
        <v>0</v>
      </c>
      <c r="Q27" s="76">
        <f>SUMIFS('апрель 2025'!$G$4:$G$2485,'апрель 2025'!$D$4:$D$2485,$B27,'апрель 2025'!$J$4:$J$2485,Q$1)</f>
        <v>0</v>
      </c>
      <c r="R27" s="76">
        <f>SUMIFS('апрель 2025'!$G$4:$G$2485,'апрель 2025'!$D$4:$D$2485,$B27,'апрель 2025'!$J$4:$J$2485,R$1)</f>
        <v>0</v>
      </c>
      <c r="S27" s="76">
        <f>SUMIFS('апрель 2025'!$G$4:$G$2485,'апрель 2025'!$D$4:$D$2485,$B27,'апрель 2025'!$J$4:$J$2485,S$1)</f>
        <v>0</v>
      </c>
      <c r="T27" s="76">
        <f>SUMIFS('апрель 2025'!$G$4:$G$2485,'апрель 2025'!$D$4:$D$2485,$B27,'апрель 2025'!$J$4:$J$2485,T$1)</f>
        <v>0</v>
      </c>
      <c r="U27" s="76">
        <f>SUMIFS('апрель 2025'!$G$4:$G$2485,'апрель 2025'!$D$4:$D$2485,$B27,'апрель 2025'!$J$4:$J$2485,U$1)</f>
        <v>0</v>
      </c>
      <c r="V27" s="76">
        <f>SUMIFS('апрель 2025'!$G$4:$G$2485,'апрель 2025'!$D$4:$D$2485,$B27,'апрель 2025'!$J$4:$J$2485,V$1)</f>
        <v>0</v>
      </c>
      <c r="W27" s="76">
        <f>SUMIFS('апрель 2025'!$G$4:$G$2485,'апрель 2025'!$D$4:$D$2485,$B27,'апрель 2025'!$J$4:$J$2485,W$1)</f>
        <v>0</v>
      </c>
      <c r="X27" s="76">
        <f>SUMIFS('апрель 2025'!$G$4:$G$2485,'апрель 2025'!$D$4:$D$2485,$B27,'апрель 2025'!$J$4:$J$2485,X$1)</f>
        <v>0</v>
      </c>
      <c r="Y27" s="76">
        <f>SUMIFS('апрель 2025'!$G$4:$G$2485,'апрель 2025'!$D$4:$D$2485,$B27,'апрель 2025'!$J$4:$J$2485,Y$1)</f>
        <v>0</v>
      </c>
      <c r="Z27" s="76">
        <f>SUMIFS('апрель 2025'!$G$4:$G$2485,'апрель 2025'!$D$4:$D$2485,$B27,'апрель 2025'!$J$4:$J$2485,Z$1)</f>
        <v>0</v>
      </c>
      <c r="AA27" s="76">
        <f>SUMIFS('апрель 2025'!$G$4:$G$2485,'апрель 2025'!$D$4:$D$2485,$B27,'апрель 2025'!$J$4:$J$2485,AA$1)</f>
        <v>0</v>
      </c>
      <c r="AB27" s="76">
        <f>SUMIFS('апрель 2025'!$G$4:$G$2485,'апрель 2025'!$D$4:$D$2485,$B27,'апрель 2025'!$J$4:$J$2485,AB$1)</f>
        <v>0</v>
      </c>
      <c r="AC27" s="76">
        <f>SUMIFS('апрель 2025'!$G$4:$G$2485,'апрель 2025'!$D$4:$D$2485,$B27,'апрель 2025'!$J$4:$J$2485,AC$1)</f>
        <v>0</v>
      </c>
      <c r="AD27" s="76">
        <f>SUMIFS('апрель 2025'!$G$4:$G$2485,'апрель 2025'!$D$4:$D$2485,$B27,'апрель 2025'!$J$4:$J$2485,AD$1)</f>
        <v>0</v>
      </c>
      <c r="AE27" s="76">
        <f>SUMIFS('апрель 2025'!$G$4:$G$2485,'апрель 2025'!$D$4:$D$2485,$B27,'апрель 2025'!$J$4:$J$2485,AE$1)</f>
        <v>0</v>
      </c>
      <c r="AF27" s="76">
        <f>SUMIFS('апрель 2025'!$G$4:$G$2485,'апрель 2025'!$D$4:$D$2485,$B27,'апрель 2025'!$J$4:$J$2485,AF$1)</f>
        <v>0</v>
      </c>
      <c r="AG27" s="76">
        <f>SUMIFS('апрель 2025'!$G$4:$G$2485,'апрель 2025'!$D$4:$D$2485,$B27,'апрель 2025'!$J$4:$J$2485,AG$1)</f>
        <v>0</v>
      </c>
      <c r="AH27" s="76">
        <f>SUMIFS('апрель 2025'!$G$4:$G$2485,'апрель 2025'!$D$4:$D$2485,$B27,'апрель 2025'!$J$4:$J$2485,AH$1)</f>
        <v>0</v>
      </c>
      <c r="AI27" s="20">
        <f t="shared" si="1"/>
        <v>0</v>
      </c>
    </row>
    <row r="28" spans="2:35" ht="15" customHeight="1" x14ac:dyDescent="0.25">
      <c r="B28" s="80" t="s">
        <v>383</v>
      </c>
      <c r="C28" s="78">
        <v>25</v>
      </c>
      <c r="D28" s="76">
        <f>SUMIFS('апрель 2025'!$G$4:$G$2485,'апрель 2025'!$D$4:$D$2485,$B28,'апрель 2025'!$J$4:$J$2485,D$1)</f>
        <v>0</v>
      </c>
      <c r="E28" s="76">
        <f>SUMIFS('апрель 2025'!$G$4:$G$2485,'апрель 2025'!$D$4:$D$2485,$B28,'апрель 2025'!$J$4:$J$2485,E$1)</f>
        <v>0</v>
      </c>
      <c r="F28" s="76">
        <f>SUMIFS('апрель 2025'!$G$4:$G$2485,'апрель 2025'!$D$4:$D$2485,$B28,'апрель 2025'!$J$4:$J$2485,F$1)</f>
        <v>0</v>
      </c>
      <c r="G28" s="76">
        <f>SUMIFS('апрель 2025'!$G$4:$G$2485,'апрель 2025'!$D$4:$D$2485,$B28,'апрель 2025'!$J$4:$J$2485,G$1)</f>
        <v>0</v>
      </c>
      <c r="H28" s="76">
        <f>SUMIFS('апрель 2025'!$G$4:$G$2485,'апрель 2025'!$D$4:$D$2485,$B28,'апрель 2025'!$J$4:$J$2485,H$1)</f>
        <v>0</v>
      </c>
      <c r="I28" s="76">
        <f>SUMIFS('апрель 2025'!$G$4:$G$2485,'апрель 2025'!$D$4:$D$2485,$B28,'апрель 2025'!$J$4:$J$2485,I$1)</f>
        <v>0</v>
      </c>
      <c r="J28" s="76">
        <f>SUMIFS('апрель 2025'!$G$4:$G$2485,'апрель 2025'!$D$4:$D$2485,$B28,'апрель 2025'!$J$4:$J$2485,J$1)</f>
        <v>0</v>
      </c>
      <c r="K28" s="76">
        <f>SUMIFS('апрель 2025'!$G$4:$G$2485,'апрель 2025'!$D$4:$D$2485,$B28,'апрель 2025'!$J$4:$J$2485,K$1)</f>
        <v>0</v>
      </c>
      <c r="L28" s="76">
        <f>SUMIFS('апрель 2025'!$G$4:$G$2485,'апрель 2025'!$D$4:$D$2485,$B28,'апрель 2025'!$J$4:$J$2485,L$1)</f>
        <v>0</v>
      </c>
      <c r="M28" s="76">
        <f>SUMIFS('апрель 2025'!$G$4:$G$2485,'апрель 2025'!$D$4:$D$2485,$B28,'апрель 2025'!$J$4:$J$2485,M$1)</f>
        <v>0</v>
      </c>
      <c r="N28" s="76">
        <f>SUMIFS('апрель 2025'!$G$4:$G$2485,'апрель 2025'!$D$4:$D$2485,$B28,'апрель 2025'!$J$4:$J$2485,N$1)</f>
        <v>0</v>
      </c>
      <c r="O28" s="76">
        <f>SUMIFS('апрель 2025'!$G$4:$G$2485,'апрель 2025'!$D$4:$D$2485,$B28,'апрель 2025'!$J$4:$J$2485,O$1)</f>
        <v>0</v>
      </c>
      <c r="P28" s="76">
        <f>SUMIFS('апрель 2025'!$G$4:$G$2485,'апрель 2025'!$D$4:$D$2485,$B28,'апрель 2025'!$J$4:$J$2485,P$1)</f>
        <v>0</v>
      </c>
      <c r="Q28" s="76">
        <f>SUMIFS('апрель 2025'!$G$4:$G$2485,'апрель 2025'!$D$4:$D$2485,$B28,'апрель 2025'!$J$4:$J$2485,Q$1)</f>
        <v>0</v>
      </c>
      <c r="R28" s="76">
        <f>SUMIFS('апрель 2025'!$G$4:$G$2485,'апрель 2025'!$D$4:$D$2485,$B28,'апрель 2025'!$J$4:$J$2485,R$1)</f>
        <v>0</v>
      </c>
      <c r="S28" s="76">
        <f>SUMIFS('апрель 2025'!$G$4:$G$2485,'апрель 2025'!$D$4:$D$2485,$B28,'апрель 2025'!$J$4:$J$2485,S$1)</f>
        <v>0</v>
      </c>
      <c r="T28" s="76">
        <f>SUMIFS('апрель 2025'!$G$4:$G$2485,'апрель 2025'!$D$4:$D$2485,$B28,'апрель 2025'!$J$4:$J$2485,T$1)</f>
        <v>0</v>
      </c>
      <c r="U28" s="76">
        <f>SUMIFS('апрель 2025'!$G$4:$G$2485,'апрель 2025'!$D$4:$D$2485,$B28,'апрель 2025'!$J$4:$J$2485,U$1)</f>
        <v>0</v>
      </c>
      <c r="V28" s="76">
        <f>SUMIFS('апрель 2025'!$G$4:$G$2485,'апрель 2025'!$D$4:$D$2485,$B28,'апрель 2025'!$J$4:$J$2485,V$1)</f>
        <v>0</v>
      </c>
      <c r="W28" s="76">
        <f>SUMIFS('апрель 2025'!$G$4:$G$2485,'апрель 2025'!$D$4:$D$2485,$B28,'апрель 2025'!$J$4:$J$2485,W$1)</f>
        <v>0</v>
      </c>
      <c r="X28" s="76">
        <f>SUMIFS('апрель 2025'!$G$4:$G$2485,'апрель 2025'!$D$4:$D$2485,$B28,'апрель 2025'!$J$4:$J$2485,X$1)</f>
        <v>0</v>
      </c>
      <c r="Y28" s="76">
        <f>SUMIFS('апрель 2025'!$G$4:$G$2485,'апрель 2025'!$D$4:$D$2485,$B28,'апрель 2025'!$J$4:$J$2485,Y$1)</f>
        <v>0</v>
      </c>
      <c r="Z28" s="76">
        <f>SUMIFS('апрель 2025'!$G$4:$G$2485,'апрель 2025'!$D$4:$D$2485,$B28,'апрель 2025'!$J$4:$J$2485,Z$1)</f>
        <v>0</v>
      </c>
      <c r="AA28" s="76">
        <f>SUMIFS('апрель 2025'!$G$4:$G$2485,'апрель 2025'!$D$4:$D$2485,$B28,'апрель 2025'!$J$4:$J$2485,AA$1)</f>
        <v>0</v>
      </c>
      <c r="AB28" s="76">
        <f>SUMIFS('апрель 2025'!$G$4:$G$2485,'апрель 2025'!$D$4:$D$2485,$B28,'апрель 2025'!$J$4:$J$2485,AB$1)</f>
        <v>0</v>
      </c>
      <c r="AC28" s="76">
        <f>SUMIFS('апрель 2025'!$G$4:$G$2485,'апрель 2025'!$D$4:$D$2485,$B28,'апрель 2025'!$J$4:$J$2485,AC$1)</f>
        <v>0</v>
      </c>
      <c r="AD28" s="76">
        <f>SUMIFS('апрель 2025'!$G$4:$G$2485,'апрель 2025'!$D$4:$D$2485,$B28,'апрель 2025'!$J$4:$J$2485,AD$1)</f>
        <v>0</v>
      </c>
      <c r="AE28" s="76">
        <f>SUMIFS('апрель 2025'!$G$4:$G$2485,'апрель 2025'!$D$4:$D$2485,$B28,'апрель 2025'!$J$4:$J$2485,AE$1)</f>
        <v>0</v>
      </c>
      <c r="AF28" s="76">
        <f>SUMIFS('апрель 2025'!$G$4:$G$2485,'апрель 2025'!$D$4:$D$2485,$B28,'апрель 2025'!$J$4:$J$2485,AF$1)</f>
        <v>0</v>
      </c>
      <c r="AG28" s="76">
        <f>SUMIFS('апрель 2025'!$G$4:$G$2485,'апрель 2025'!$D$4:$D$2485,$B28,'апрель 2025'!$J$4:$J$2485,AG$1)</f>
        <v>0</v>
      </c>
      <c r="AH28" s="76">
        <f>SUMIFS('апрель 2025'!$G$4:$G$2485,'апрель 2025'!$D$4:$D$2485,$B28,'апрель 2025'!$J$4:$J$2485,AH$1)</f>
        <v>0</v>
      </c>
      <c r="AI28" s="20">
        <f t="shared" si="1"/>
        <v>0</v>
      </c>
    </row>
    <row r="29" spans="2:35" ht="15" customHeight="1" x14ac:dyDescent="0.25">
      <c r="B29" s="80"/>
      <c r="C29" s="78"/>
      <c r="D29" s="76">
        <f>SUMIFS('апрель 2025'!$G$4:$G$2485,'апрель 2025'!$D$4:$D$2485,$B29,'апрель 2025'!$J$4:$J$2485,D$1)</f>
        <v>0</v>
      </c>
      <c r="E29" s="76">
        <f>SUMIFS('апрель 2025'!$G$4:$G$2485,'апрель 2025'!$D$4:$D$2485,$B29,'апрель 2025'!$J$4:$J$2485,E$1)</f>
        <v>0</v>
      </c>
      <c r="F29" s="76">
        <f>SUMIFS('апрель 2025'!$G$4:$G$2485,'апрель 2025'!$D$4:$D$2485,$B29,'апрель 2025'!$J$4:$J$2485,F$1)</f>
        <v>0</v>
      </c>
      <c r="G29" s="76">
        <f>SUMIFS('апрель 2025'!$G$4:$G$2485,'апрель 2025'!$D$4:$D$2485,$B29,'апрель 2025'!$J$4:$J$2485,G$1)</f>
        <v>0</v>
      </c>
      <c r="H29" s="76">
        <f>SUMIFS('апрель 2025'!$G$4:$G$2485,'апрель 2025'!$D$4:$D$2485,$B29,'апрель 2025'!$J$4:$J$2485,H$1)</f>
        <v>0</v>
      </c>
      <c r="I29" s="76">
        <f>SUMIFS('апрель 2025'!$G$4:$G$2485,'апрель 2025'!$D$4:$D$2485,$B29,'апрель 2025'!$J$4:$J$2485,I$1)</f>
        <v>0</v>
      </c>
      <c r="J29" s="76">
        <f>SUMIFS('апрель 2025'!$G$4:$G$2485,'апрель 2025'!$D$4:$D$2485,$B29,'апрель 2025'!$J$4:$J$2485,J$1)</f>
        <v>0</v>
      </c>
      <c r="K29" s="76">
        <f>SUMIFS('апрель 2025'!$G$4:$G$2485,'апрель 2025'!$D$4:$D$2485,$B29,'апрель 2025'!$J$4:$J$2485,K$1)</f>
        <v>0</v>
      </c>
      <c r="L29" s="76">
        <f>SUMIFS('апрель 2025'!$G$4:$G$2485,'апрель 2025'!$D$4:$D$2485,$B29,'апрель 2025'!$J$4:$J$2485,L$1)</f>
        <v>0</v>
      </c>
      <c r="M29" s="76">
        <f>SUMIFS('апрель 2025'!$G$4:$G$2485,'апрель 2025'!$D$4:$D$2485,$B29,'апрель 2025'!$J$4:$J$2485,M$1)</f>
        <v>0</v>
      </c>
      <c r="N29" s="76">
        <f>SUMIFS('апрель 2025'!$G$4:$G$2485,'апрель 2025'!$D$4:$D$2485,$B29,'апрель 2025'!$J$4:$J$2485,N$1)</f>
        <v>0</v>
      </c>
      <c r="O29" s="76">
        <f>SUMIFS('апрель 2025'!$G$4:$G$2485,'апрель 2025'!$D$4:$D$2485,$B29,'апрель 2025'!$J$4:$J$2485,O$1)</f>
        <v>0</v>
      </c>
      <c r="P29" s="76">
        <f>SUMIFS('апрель 2025'!$G$4:$G$2485,'апрель 2025'!$D$4:$D$2485,$B29,'апрель 2025'!$J$4:$J$2485,P$1)</f>
        <v>0</v>
      </c>
      <c r="Q29" s="76">
        <f>SUMIFS('апрель 2025'!$G$4:$G$2485,'апрель 2025'!$D$4:$D$2485,$B29,'апрель 2025'!$J$4:$J$2485,Q$1)</f>
        <v>0</v>
      </c>
      <c r="R29" s="76">
        <f>SUMIFS('апрель 2025'!$G$4:$G$2485,'апрель 2025'!$D$4:$D$2485,$B29,'апрель 2025'!$J$4:$J$2485,R$1)</f>
        <v>0</v>
      </c>
      <c r="S29" s="76">
        <f>SUMIFS('апрель 2025'!$G$4:$G$2485,'апрель 2025'!$D$4:$D$2485,$B29,'апрель 2025'!$J$4:$J$2485,S$1)</f>
        <v>0</v>
      </c>
      <c r="T29" s="76">
        <f>SUMIFS('апрель 2025'!$G$4:$G$2485,'апрель 2025'!$D$4:$D$2485,$B29,'апрель 2025'!$J$4:$J$2485,T$1)</f>
        <v>0</v>
      </c>
      <c r="U29" s="76">
        <f>SUMIFS('апрель 2025'!$G$4:$G$2485,'апрель 2025'!$D$4:$D$2485,$B29,'апрель 2025'!$J$4:$J$2485,U$1)</f>
        <v>0</v>
      </c>
      <c r="V29" s="76">
        <f>SUMIFS('апрель 2025'!$G$4:$G$2485,'апрель 2025'!$D$4:$D$2485,$B29,'апрель 2025'!$J$4:$J$2485,V$1)</f>
        <v>0</v>
      </c>
      <c r="W29" s="76">
        <f>SUMIFS('апрель 2025'!$G$4:$G$2485,'апрель 2025'!$D$4:$D$2485,$B29,'апрель 2025'!$J$4:$J$2485,W$1)</f>
        <v>0</v>
      </c>
      <c r="X29" s="76">
        <f>SUMIFS('апрель 2025'!$G$4:$G$2485,'апрель 2025'!$D$4:$D$2485,$B29,'апрель 2025'!$J$4:$J$2485,X$1)</f>
        <v>0</v>
      </c>
      <c r="Y29" s="76">
        <f>SUMIFS('апрель 2025'!$G$4:$G$2485,'апрель 2025'!$D$4:$D$2485,$B29,'апрель 2025'!$J$4:$J$2485,Y$1)</f>
        <v>0</v>
      </c>
      <c r="Z29" s="76">
        <f>SUMIFS('апрель 2025'!$G$4:$G$2485,'апрель 2025'!$D$4:$D$2485,$B29,'апрель 2025'!$J$4:$J$2485,Z$1)</f>
        <v>0</v>
      </c>
      <c r="AA29" s="76">
        <f>SUMIFS('апрель 2025'!$G$4:$G$2485,'апрель 2025'!$D$4:$D$2485,$B29,'апрель 2025'!$J$4:$J$2485,AA$1)</f>
        <v>0</v>
      </c>
      <c r="AB29" s="76">
        <f>SUMIFS('апрель 2025'!$G$4:$G$2485,'апрель 2025'!$D$4:$D$2485,$B29,'апрель 2025'!$J$4:$J$2485,AB$1)</f>
        <v>0</v>
      </c>
      <c r="AC29" s="76">
        <f>SUMIFS('апрель 2025'!$G$4:$G$2485,'апрель 2025'!$D$4:$D$2485,$B29,'апрель 2025'!$J$4:$J$2485,AC$1)</f>
        <v>0</v>
      </c>
      <c r="AD29" s="76">
        <f>SUMIFS('апрель 2025'!$G$4:$G$2485,'апрель 2025'!$D$4:$D$2485,$B29,'апрель 2025'!$J$4:$J$2485,AD$1)</f>
        <v>0</v>
      </c>
      <c r="AE29" s="76">
        <f>SUMIFS('апрель 2025'!$G$4:$G$2485,'апрель 2025'!$D$4:$D$2485,$B29,'апрель 2025'!$J$4:$J$2485,AE$1)</f>
        <v>0</v>
      </c>
      <c r="AF29" s="76">
        <f>SUMIFS('апрель 2025'!$G$4:$G$2485,'апрель 2025'!$D$4:$D$2485,$B29,'апрель 2025'!$J$4:$J$2485,AF$1)</f>
        <v>0</v>
      </c>
      <c r="AG29" s="76">
        <f>SUMIFS('апрель 2025'!$G$4:$G$2485,'апрель 2025'!$D$4:$D$2485,$B29,'апрель 2025'!$J$4:$J$2485,AG$1)</f>
        <v>0</v>
      </c>
      <c r="AH29" s="76">
        <f>SUMIFS('апрель 2025'!$G$4:$G$2485,'апрель 2025'!$D$4:$D$2485,$B29,'апрель 2025'!$J$4:$J$2485,AH$1)</f>
        <v>0</v>
      </c>
      <c r="AI29" s="20">
        <f t="shared" si="1"/>
        <v>0</v>
      </c>
    </row>
    <row r="30" spans="2:35" ht="15" customHeight="1" x14ac:dyDescent="0.25">
      <c r="B30" s="80"/>
      <c r="C30" s="78"/>
      <c r="D30" s="76">
        <f>SUMIFS('апрель 2025'!$G$4:$G$2485,'апрель 2025'!$D$4:$D$2485,$B30,'апрель 2025'!$J$4:$J$2485,D$1)</f>
        <v>0</v>
      </c>
      <c r="E30" s="76">
        <f>SUMIFS('апрель 2025'!$G$4:$G$2485,'апрель 2025'!$D$4:$D$2485,$B30,'апрель 2025'!$J$4:$J$2485,E$1)</f>
        <v>0</v>
      </c>
      <c r="F30" s="76">
        <f>SUMIFS('апрель 2025'!$G$4:$G$2485,'апрель 2025'!$D$4:$D$2485,$B30,'апрель 2025'!$J$4:$J$2485,F$1)</f>
        <v>0</v>
      </c>
      <c r="G30" s="76">
        <f>SUMIFS('апрель 2025'!$G$4:$G$2485,'апрель 2025'!$D$4:$D$2485,$B30,'апрель 2025'!$J$4:$J$2485,G$1)</f>
        <v>0</v>
      </c>
      <c r="H30" s="76">
        <f>SUMIFS('апрель 2025'!$G$4:$G$2485,'апрель 2025'!$D$4:$D$2485,$B30,'апрель 2025'!$J$4:$J$2485,H$1)</f>
        <v>0</v>
      </c>
      <c r="I30" s="76">
        <f>SUMIFS('апрель 2025'!$G$4:$G$2485,'апрель 2025'!$D$4:$D$2485,$B30,'апрель 2025'!$J$4:$J$2485,I$1)</f>
        <v>0</v>
      </c>
      <c r="J30" s="76">
        <f>SUMIFS('апрель 2025'!$G$4:$G$2485,'апрель 2025'!$D$4:$D$2485,$B30,'апрель 2025'!$J$4:$J$2485,J$1)</f>
        <v>0</v>
      </c>
      <c r="K30" s="76">
        <f>SUMIFS('апрель 2025'!$G$4:$G$2485,'апрель 2025'!$D$4:$D$2485,$B30,'апрель 2025'!$J$4:$J$2485,K$1)</f>
        <v>0</v>
      </c>
      <c r="L30" s="76">
        <f>SUMIFS('апрель 2025'!$G$4:$G$2485,'апрель 2025'!$D$4:$D$2485,$B30,'апрель 2025'!$J$4:$J$2485,L$1)</f>
        <v>0</v>
      </c>
      <c r="M30" s="76">
        <f>SUMIFS('апрель 2025'!$G$4:$G$2485,'апрель 2025'!$D$4:$D$2485,$B30,'апрель 2025'!$J$4:$J$2485,M$1)</f>
        <v>0</v>
      </c>
      <c r="N30" s="76">
        <f>SUMIFS('апрель 2025'!$G$4:$G$2485,'апрель 2025'!$D$4:$D$2485,$B30,'апрель 2025'!$J$4:$J$2485,N$1)</f>
        <v>0</v>
      </c>
      <c r="O30" s="76">
        <f>SUMIFS('апрель 2025'!$G$4:$G$2485,'апрель 2025'!$D$4:$D$2485,$B30,'апрель 2025'!$J$4:$J$2485,O$1)</f>
        <v>0</v>
      </c>
      <c r="P30" s="76">
        <f>SUMIFS('апрель 2025'!$G$4:$G$2485,'апрель 2025'!$D$4:$D$2485,$B30,'апрель 2025'!$J$4:$J$2485,P$1)</f>
        <v>0</v>
      </c>
      <c r="Q30" s="76">
        <f>SUMIFS('апрель 2025'!$G$4:$G$2485,'апрель 2025'!$D$4:$D$2485,$B30,'апрель 2025'!$J$4:$J$2485,Q$1)</f>
        <v>0</v>
      </c>
      <c r="R30" s="76">
        <f>SUMIFS('апрель 2025'!$G$4:$G$2485,'апрель 2025'!$D$4:$D$2485,$B30,'апрель 2025'!$J$4:$J$2485,R$1)</f>
        <v>0</v>
      </c>
      <c r="S30" s="76">
        <f>SUMIFS('апрель 2025'!$G$4:$G$2485,'апрель 2025'!$D$4:$D$2485,$B30,'апрель 2025'!$J$4:$J$2485,S$1)</f>
        <v>0</v>
      </c>
      <c r="T30" s="76">
        <f>SUMIFS('апрель 2025'!$G$4:$G$2485,'апрель 2025'!$D$4:$D$2485,$B30,'апрель 2025'!$J$4:$J$2485,T$1)</f>
        <v>0</v>
      </c>
      <c r="U30" s="76">
        <f>SUMIFS('апрель 2025'!$G$4:$G$2485,'апрель 2025'!$D$4:$D$2485,$B30,'апрель 2025'!$J$4:$J$2485,U$1)</f>
        <v>0</v>
      </c>
      <c r="V30" s="76">
        <f>SUMIFS('апрель 2025'!$G$4:$G$2485,'апрель 2025'!$D$4:$D$2485,$B30,'апрель 2025'!$J$4:$J$2485,V$1)</f>
        <v>0</v>
      </c>
      <c r="W30" s="76">
        <f>SUMIFS('апрель 2025'!$G$4:$G$2485,'апрель 2025'!$D$4:$D$2485,$B30,'апрель 2025'!$J$4:$J$2485,W$1)</f>
        <v>0</v>
      </c>
      <c r="X30" s="76">
        <f>SUMIFS('апрель 2025'!$G$4:$G$2485,'апрель 2025'!$D$4:$D$2485,$B30,'апрель 2025'!$J$4:$J$2485,X$1)</f>
        <v>0</v>
      </c>
      <c r="Y30" s="76">
        <f>SUMIFS('апрель 2025'!$G$4:$G$2485,'апрель 2025'!$D$4:$D$2485,$B30,'апрель 2025'!$J$4:$J$2485,Y$1)</f>
        <v>0</v>
      </c>
      <c r="Z30" s="76">
        <f>SUMIFS('апрель 2025'!$G$4:$G$2485,'апрель 2025'!$D$4:$D$2485,$B30,'апрель 2025'!$J$4:$J$2485,Z$1)</f>
        <v>0</v>
      </c>
      <c r="AA30" s="76">
        <f>SUMIFS('апрель 2025'!$G$4:$G$2485,'апрель 2025'!$D$4:$D$2485,$B30,'апрель 2025'!$J$4:$J$2485,AA$1)</f>
        <v>0</v>
      </c>
      <c r="AB30" s="76">
        <f>SUMIFS('апрель 2025'!$G$4:$G$2485,'апрель 2025'!$D$4:$D$2485,$B30,'апрель 2025'!$J$4:$J$2485,AB$1)</f>
        <v>0</v>
      </c>
      <c r="AC30" s="76">
        <f>SUMIFS('апрель 2025'!$G$4:$G$2485,'апрель 2025'!$D$4:$D$2485,$B30,'апрель 2025'!$J$4:$J$2485,AC$1)</f>
        <v>0</v>
      </c>
      <c r="AD30" s="76">
        <f>SUMIFS('апрель 2025'!$G$4:$G$2485,'апрель 2025'!$D$4:$D$2485,$B30,'апрель 2025'!$J$4:$J$2485,AD$1)</f>
        <v>0</v>
      </c>
      <c r="AE30" s="76">
        <f>SUMIFS('апрель 2025'!$G$4:$G$2485,'апрель 2025'!$D$4:$D$2485,$B30,'апрель 2025'!$J$4:$J$2485,AE$1)</f>
        <v>0</v>
      </c>
      <c r="AF30" s="76">
        <f>SUMIFS('апрель 2025'!$G$4:$G$2485,'апрель 2025'!$D$4:$D$2485,$B30,'апрель 2025'!$J$4:$J$2485,AF$1)</f>
        <v>0</v>
      </c>
      <c r="AG30" s="76">
        <f>SUMIFS('апрель 2025'!$G$4:$G$2485,'апрель 2025'!$D$4:$D$2485,$B30,'апрель 2025'!$J$4:$J$2485,AG$1)</f>
        <v>0</v>
      </c>
      <c r="AH30" s="76">
        <f>SUMIFS('апрель 2025'!$G$4:$G$2485,'апрель 2025'!$D$4:$D$2485,$B30,'апрель 2025'!$J$4:$J$2485,AH$1)</f>
        <v>0</v>
      </c>
      <c r="AI30" s="20">
        <f t="shared" si="1"/>
        <v>0</v>
      </c>
    </row>
    <row r="31" spans="2:35" ht="15" customHeight="1" x14ac:dyDescent="0.25">
      <c r="B31" s="80"/>
      <c r="C31" s="78"/>
      <c r="D31" s="76">
        <f>SUMIFS('апрель 2025'!$G$4:$G$2485,'апрель 2025'!$D$4:$D$2485,$B31,'апрель 2025'!$J$4:$J$2485,D$1)</f>
        <v>0</v>
      </c>
      <c r="E31" s="76">
        <f>SUMIFS('апрель 2025'!$G$4:$G$2485,'апрель 2025'!$D$4:$D$2485,$B31,'апрель 2025'!$J$4:$J$2485,E$1)</f>
        <v>0</v>
      </c>
      <c r="F31" s="76">
        <f>SUMIFS('апрель 2025'!$G$4:$G$2485,'апрель 2025'!$D$4:$D$2485,$B31,'апрель 2025'!$J$4:$J$2485,F$1)</f>
        <v>0</v>
      </c>
      <c r="G31" s="76">
        <f>SUMIFS('апрель 2025'!$G$4:$G$2485,'апрель 2025'!$D$4:$D$2485,$B31,'апрель 2025'!$J$4:$J$2485,G$1)</f>
        <v>0</v>
      </c>
      <c r="H31" s="76">
        <f>SUMIFS('апрель 2025'!$G$4:$G$2485,'апрель 2025'!$D$4:$D$2485,$B31,'апрель 2025'!$J$4:$J$2485,H$1)</f>
        <v>0</v>
      </c>
      <c r="I31" s="76">
        <f>SUMIFS('апрель 2025'!$G$4:$G$2485,'апрель 2025'!$D$4:$D$2485,$B31,'апрель 2025'!$J$4:$J$2485,I$1)</f>
        <v>0</v>
      </c>
      <c r="J31" s="76">
        <f>SUMIFS('апрель 2025'!$G$4:$G$2485,'апрель 2025'!$D$4:$D$2485,$B31,'апрель 2025'!$J$4:$J$2485,J$1)</f>
        <v>0</v>
      </c>
      <c r="K31" s="76">
        <f>SUMIFS('апрель 2025'!$G$4:$G$2485,'апрель 2025'!$D$4:$D$2485,$B31,'апрель 2025'!$J$4:$J$2485,K$1)</f>
        <v>0</v>
      </c>
      <c r="L31" s="76">
        <f>SUMIFS('апрель 2025'!$G$4:$G$2485,'апрель 2025'!$D$4:$D$2485,$B31,'апрель 2025'!$J$4:$J$2485,L$1)</f>
        <v>0</v>
      </c>
      <c r="M31" s="76">
        <f>SUMIFS('апрель 2025'!$G$4:$G$2485,'апрель 2025'!$D$4:$D$2485,$B31,'апрель 2025'!$J$4:$J$2485,M$1)</f>
        <v>0</v>
      </c>
      <c r="N31" s="76">
        <f>SUMIFS('апрель 2025'!$G$4:$G$2485,'апрель 2025'!$D$4:$D$2485,$B31,'апрель 2025'!$J$4:$J$2485,N$1)</f>
        <v>0</v>
      </c>
      <c r="O31" s="76">
        <f>SUMIFS('апрель 2025'!$G$4:$G$2485,'апрель 2025'!$D$4:$D$2485,$B31,'апрель 2025'!$J$4:$J$2485,O$1)</f>
        <v>0</v>
      </c>
      <c r="P31" s="76">
        <f>SUMIFS('апрель 2025'!$G$4:$G$2485,'апрель 2025'!$D$4:$D$2485,$B31,'апрель 2025'!$J$4:$J$2485,P$1)</f>
        <v>0</v>
      </c>
      <c r="Q31" s="76">
        <f>SUMIFS('апрель 2025'!$G$4:$G$2485,'апрель 2025'!$D$4:$D$2485,$B31,'апрель 2025'!$J$4:$J$2485,Q$1)</f>
        <v>0</v>
      </c>
      <c r="R31" s="76">
        <f>SUMIFS('апрель 2025'!$G$4:$G$2485,'апрель 2025'!$D$4:$D$2485,$B31,'апрель 2025'!$J$4:$J$2485,R$1)</f>
        <v>0</v>
      </c>
      <c r="S31" s="76">
        <f>SUMIFS('апрель 2025'!$G$4:$G$2485,'апрель 2025'!$D$4:$D$2485,$B31,'апрель 2025'!$J$4:$J$2485,S$1)</f>
        <v>0</v>
      </c>
      <c r="T31" s="76">
        <f>SUMIFS('апрель 2025'!$G$4:$G$2485,'апрель 2025'!$D$4:$D$2485,$B31,'апрель 2025'!$J$4:$J$2485,T$1)</f>
        <v>0</v>
      </c>
      <c r="U31" s="76">
        <f>SUMIFS('апрель 2025'!$G$4:$G$2485,'апрель 2025'!$D$4:$D$2485,$B31,'апрель 2025'!$J$4:$J$2485,U$1)</f>
        <v>0</v>
      </c>
      <c r="V31" s="76">
        <f>SUMIFS('апрель 2025'!$G$4:$G$2485,'апрель 2025'!$D$4:$D$2485,$B31,'апрель 2025'!$J$4:$J$2485,V$1)</f>
        <v>0</v>
      </c>
      <c r="W31" s="76">
        <f>SUMIFS('апрель 2025'!$G$4:$G$2485,'апрель 2025'!$D$4:$D$2485,$B31,'апрель 2025'!$J$4:$J$2485,W$1)</f>
        <v>0</v>
      </c>
      <c r="X31" s="76">
        <f>SUMIFS('апрель 2025'!$G$4:$G$2485,'апрель 2025'!$D$4:$D$2485,$B31,'апрель 2025'!$J$4:$J$2485,X$1)</f>
        <v>0</v>
      </c>
      <c r="Y31" s="76">
        <f>SUMIFS('апрель 2025'!$G$4:$G$2485,'апрель 2025'!$D$4:$D$2485,$B31,'апрель 2025'!$J$4:$J$2485,Y$1)</f>
        <v>0</v>
      </c>
      <c r="Z31" s="76">
        <f>SUMIFS('апрель 2025'!$G$4:$G$2485,'апрель 2025'!$D$4:$D$2485,$B31,'апрель 2025'!$J$4:$J$2485,Z$1)</f>
        <v>0</v>
      </c>
      <c r="AA31" s="76">
        <f>SUMIFS('апрель 2025'!$G$4:$G$2485,'апрель 2025'!$D$4:$D$2485,$B31,'апрель 2025'!$J$4:$J$2485,AA$1)</f>
        <v>0</v>
      </c>
      <c r="AB31" s="76">
        <f>SUMIFS('апрель 2025'!$G$4:$G$2485,'апрель 2025'!$D$4:$D$2485,$B31,'апрель 2025'!$J$4:$J$2485,AB$1)</f>
        <v>0</v>
      </c>
      <c r="AC31" s="76">
        <f>SUMIFS('апрель 2025'!$G$4:$G$2485,'апрель 2025'!$D$4:$D$2485,$B31,'апрель 2025'!$J$4:$J$2485,AC$1)</f>
        <v>0</v>
      </c>
      <c r="AD31" s="76">
        <f>SUMIFS('апрель 2025'!$G$4:$G$2485,'апрель 2025'!$D$4:$D$2485,$B31,'апрель 2025'!$J$4:$J$2485,AD$1)</f>
        <v>0</v>
      </c>
      <c r="AE31" s="76">
        <f>SUMIFS('апрель 2025'!$G$4:$G$2485,'апрель 2025'!$D$4:$D$2485,$B31,'апрель 2025'!$J$4:$J$2485,AE$1)</f>
        <v>0</v>
      </c>
      <c r="AF31" s="76">
        <f>SUMIFS('апрель 2025'!$G$4:$G$2485,'апрель 2025'!$D$4:$D$2485,$B31,'апрель 2025'!$J$4:$J$2485,AF$1)</f>
        <v>0</v>
      </c>
      <c r="AG31" s="76">
        <f>SUMIFS('апрель 2025'!$G$4:$G$2485,'апрель 2025'!$D$4:$D$2485,$B31,'апрель 2025'!$J$4:$J$2485,AG$1)</f>
        <v>0</v>
      </c>
      <c r="AH31" s="76">
        <f>SUMIFS('апрель 2025'!$G$4:$G$2485,'апрель 2025'!$D$4:$D$2485,$B31,'апрель 2025'!$J$4:$J$2485,AH$1)</f>
        <v>0</v>
      </c>
      <c r="AI31" s="20">
        <f t="shared" si="1"/>
        <v>0</v>
      </c>
    </row>
    <row r="32" spans="2:35" ht="15" customHeight="1" x14ac:dyDescent="0.25">
      <c r="B32" s="80"/>
      <c r="C32" s="78"/>
      <c r="D32" s="76">
        <f>SUMIFS('апрель 2025'!$G$4:$G$2485,'апрель 2025'!$D$4:$D$2485,$B32,'апрель 2025'!$J$4:$J$2485,D$1)</f>
        <v>0</v>
      </c>
      <c r="E32" s="76">
        <f>SUMIFS('апрель 2025'!$G$4:$G$2485,'апрель 2025'!$D$4:$D$2485,$B32,'апрель 2025'!$J$4:$J$2485,E$1)</f>
        <v>0</v>
      </c>
      <c r="F32" s="76">
        <f>SUMIFS('апрель 2025'!$G$4:$G$2485,'апрель 2025'!$D$4:$D$2485,$B32,'апрель 2025'!$J$4:$J$2485,F$1)</f>
        <v>0</v>
      </c>
      <c r="G32" s="76">
        <f>SUMIFS('апрель 2025'!$G$4:$G$2485,'апрель 2025'!$D$4:$D$2485,$B32,'апрель 2025'!$J$4:$J$2485,G$1)</f>
        <v>0</v>
      </c>
      <c r="H32" s="76">
        <f>SUMIFS('апрель 2025'!$G$4:$G$2485,'апрель 2025'!$D$4:$D$2485,$B32,'апрель 2025'!$J$4:$J$2485,H$1)</f>
        <v>0</v>
      </c>
      <c r="I32" s="76">
        <f>SUMIFS('апрель 2025'!$G$4:$G$2485,'апрель 2025'!$D$4:$D$2485,$B32,'апрель 2025'!$J$4:$J$2485,I$1)</f>
        <v>0</v>
      </c>
      <c r="J32" s="76">
        <f>SUMIFS('апрель 2025'!$G$4:$G$2485,'апрель 2025'!$D$4:$D$2485,$B32,'апрель 2025'!$J$4:$J$2485,J$1)</f>
        <v>0</v>
      </c>
      <c r="K32" s="76">
        <f>SUMIFS('апрель 2025'!$G$4:$G$2485,'апрель 2025'!$D$4:$D$2485,$B32,'апрель 2025'!$J$4:$J$2485,K$1)</f>
        <v>0</v>
      </c>
      <c r="L32" s="76">
        <f>SUMIFS('апрель 2025'!$G$4:$G$2485,'апрель 2025'!$D$4:$D$2485,$B32,'апрель 2025'!$J$4:$J$2485,L$1)</f>
        <v>0</v>
      </c>
      <c r="M32" s="76">
        <f>SUMIFS('апрель 2025'!$G$4:$G$2485,'апрель 2025'!$D$4:$D$2485,$B32,'апрель 2025'!$J$4:$J$2485,M$1)</f>
        <v>0</v>
      </c>
      <c r="N32" s="76">
        <f>SUMIFS('апрель 2025'!$G$4:$G$2485,'апрель 2025'!$D$4:$D$2485,$B32,'апрель 2025'!$J$4:$J$2485,N$1)</f>
        <v>0</v>
      </c>
      <c r="O32" s="76">
        <f>SUMIFS('апрель 2025'!$G$4:$G$2485,'апрель 2025'!$D$4:$D$2485,$B32,'апрель 2025'!$J$4:$J$2485,O$1)</f>
        <v>0</v>
      </c>
      <c r="P32" s="76">
        <f>SUMIFS('апрель 2025'!$G$4:$G$2485,'апрель 2025'!$D$4:$D$2485,$B32,'апрель 2025'!$J$4:$J$2485,P$1)</f>
        <v>0</v>
      </c>
      <c r="Q32" s="76">
        <f>SUMIFS('апрель 2025'!$G$4:$G$2485,'апрель 2025'!$D$4:$D$2485,$B32,'апрель 2025'!$J$4:$J$2485,Q$1)</f>
        <v>0</v>
      </c>
      <c r="R32" s="76">
        <f>SUMIFS('апрель 2025'!$G$4:$G$2485,'апрель 2025'!$D$4:$D$2485,$B32,'апрель 2025'!$J$4:$J$2485,R$1)</f>
        <v>0</v>
      </c>
      <c r="S32" s="76">
        <f>SUMIFS('апрель 2025'!$G$4:$G$2485,'апрель 2025'!$D$4:$D$2485,$B32,'апрель 2025'!$J$4:$J$2485,S$1)</f>
        <v>0</v>
      </c>
      <c r="T32" s="76">
        <f>SUMIFS('апрель 2025'!$G$4:$G$2485,'апрель 2025'!$D$4:$D$2485,$B32,'апрель 2025'!$J$4:$J$2485,T$1)</f>
        <v>0</v>
      </c>
      <c r="U32" s="76">
        <f>SUMIFS('апрель 2025'!$G$4:$G$2485,'апрель 2025'!$D$4:$D$2485,$B32,'апрель 2025'!$J$4:$J$2485,U$1)</f>
        <v>0</v>
      </c>
      <c r="V32" s="76">
        <f>SUMIFS('апрель 2025'!$G$4:$G$2485,'апрель 2025'!$D$4:$D$2485,$B32,'апрель 2025'!$J$4:$J$2485,V$1)</f>
        <v>0</v>
      </c>
      <c r="W32" s="76">
        <f>SUMIFS('апрель 2025'!$G$4:$G$2485,'апрель 2025'!$D$4:$D$2485,$B32,'апрель 2025'!$J$4:$J$2485,W$1)</f>
        <v>0</v>
      </c>
      <c r="X32" s="76">
        <f>SUMIFS('апрель 2025'!$G$4:$G$2485,'апрель 2025'!$D$4:$D$2485,$B32,'апрель 2025'!$J$4:$J$2485,X$1)</f>
        <v>0</v>
      </c>
      <c r="Y32" s="76">
        <f>SUMIFS('апрель 2025'!$G$4:$G$2485,'апрель 2025'!$D$4:$D$2485,$B32,'апрель 2025'!$J$4:$J$2485,Y$1)</f>
        <v>0</v>
      </c>
      <c r="Z32" s="76">
        <f>SUMIFS('апрель 2025'!$G$4:$G$2485,'апрель 2025'!$D$4:$D$2485,$B32,'апрель 2025'!$J$4:$J$2485,Z$1)</f>
        <v>0</v>
      </c>
      <c r="AA32" s="76">
        <f>SUMIFS('апрель 2025'!$G$4:$G$2485,'апрель 2025'!$D$4:$D$2485,$B32,'апрель 2025'!$J$4:$J$2485,AA$1)</f>
        <v>0</v>
      </c>
      <c r="AB32" s="76">
        <f>SUMIFS('апрель 2025'!$G$4:$G$2485,'апрель 2025'!$D$4:$D$2485,$B32,'апрель 2025'!$J$4:$J$2485,AB$1)</f>
        <v>0</v>
      </c>
      <c r="AC32" s="76">
        <f>SUMIFS('апрель 2025'!$G$4:$G$2485,'апрель 2025'!$D$4:$D$2485,$B32,'апрель 2025'!$J$4:$J$2485,AC$1)</f>
        <v>0</v>
      </c>
      <c r="AD32" s="76">
        <f>SUMIFS('апрель 2025'!$G$4:$G$2485,'апрель 2025'!$D$4:$D$2485,$B32,'апрель 2025'!$J$4:$J$2485,AD$1)</f>
        <v>0</v>
      </c>
      <c r="AE32" s="76">
        <f>SUMIFS('апрель 2025'!$G$4:$G$2485,'апрель 2025'!$D$4:$D$2485,$B32,'апрель 2025'!$J$4:$J$2485,AE$1)</f>
        <v>0</v>
      </c>
      <c r="AF32" s="76">
        <f>SUMIFS('апрель 2025'!$G$4:$G$2485,'апрель 2025'!$D$4:$D$2485,$B32,'апрель 2025'!$J$4:$J$2485,AF$1)</f>
        <v>0</v>
      </c>
      <c r="AG32" s="76">
        <f>SUMIFS('апрель 2025'!$G$4:$G$2485,'апрель 2025'!$D$4:$D$2485,$B32,'апрель 2025'!$J$4:$J$2485,AG$1)</f>
        <v>0</v>
      </c>
      <c r="AH32" s="76">
        <f>SUMIFS('апрель 2025'!$G$4:$G$2485,'апрель 2025'!$D$4:$D$2485,$B32,'апрель 2025'!$J$4:$J$2485,AH$1)</f>
        <v>0</v>
      </c>
      <c r="AI32" s="20">
        <f t="shared" si="1"/>
        <v>0</v>
      </c>
    </row>
    <row r="33" spans="2:35" ht="15" customHeight="1" x14ac:dyDescent="0.25">
      <c r="B33" s="125" t="s">
        <v>213</v>
      </c>
      <c r="C33" s="126">
        <v>25</v>
      </c>
      <c r="D33" s="182">
        <f>SUMIFS('апрель 2025'!$G$4:$G$2485,'апрель 2025'!$D$4:$D$2485,$B33,'апрель 2025'!$J$4:$J$2485,D$1)</f>
        <v>0</v>
      </c>
      <c r="E33" s="182">
        <f>SUMIFS('апрель 2025'!$G$4:$G$2485,'апрель 2025'!$D$4:$D$2485,$B33,'апрель 2025'!$J$4:$J$2485,E$1)</f>
        <v>0</v>
      </c>
      <c r="F33" s="182">
        <f>SUMIFS('апрель 2025'!$G$4:$G$2485,'апрель 2025'!$D$4:$D$2485,$B33,'апрель 2025'!$J$4:$J$2485,F$1)</f>
        <v>0</v>
      </c>
      <c r="G33" s="182">
        <f>SUMIFS('апрель 2025'!$G$4:$G$2485,'апрель 2025'!$D$4:$D$2485,$B33,'апрель 2025'!$J$4:$J$2485,G$1)</f>
        <v>0</v>
      </c>
      <c r="H33" s="182">
        <f>SUMIFS('апрель 2025'!$G$4:$G$2485,'апрель 2025'!$D$4:$D$2485,$B33,'апрель 2025'!$J$4:$J$2485,H$1)</f>
        <v>0</v>
      </c>
      <c r="I33" s="182">
        <f>SUMIFS('апрель 2025'!$G$4:$G$2485,'апрель 2025'!$D$4:$D$2485,$B33,'апрель 2025'!$J$4:$J$2485,I$1)</f>
        <v>0</v>
      </c>
      <c r="J33" s="182">
        <f>SUMIFS('апрель 2025'!$G$4:$G$2485,'апрель 2025'!$D$4:$D$2485,$B33,'апрель 2025'!$J$4:$J$2485,J$1)</f>
        <v>0</v>
      </c>
      <c r="K33" s="182">
        <f>SUMIFS('апрель 2025'!$G$4:$G$2485,'апрель 2025'!$D$4:$D$2485,$B33,'апрель 2025'!$J$4:$J$2485,K$1)</f>
        <v>0</v>
      </c>
      <c r="L33" s="182">
        <f>SUMIFS('апрель 2025'!$G$4:$G$2485,'апрель 2025'!$D$4:$D$2485,$B33,'апрель 2025'!$J$4:$J$2485,L$1)</f>
        <v>0</v>
      </c>
      <c r="M33" s="182">
        <f>SUMIFS('апрель 2025'!$G$4:$G$2485,'апрель 2025'!$D$4:$D$2485,$B33,'апрель 2025'!$J$4:$J$2485,M$1)</f>
        <v>0</v>
      </c>
      <c r="N33" s="182">
        <f>SUMIFS('апрель 2025'!$G$4:$G$2485,'апрель 2025'!$D$4:$D$2485,$B33,'апрель 2025'!$J$4:$J$2485,N$1)</f>
        <v>0</v>
      </c>
      <c r="O33" s="182">
        <f>SUMIFS('апрель 2025'!$G$4:$G$2485,'апрель 2025'!$D$4:$D$2485,$B33,'апрель 2025'!$J$4:$J$2485,O$1)</f>
        <v>0</v>
      </c>
      <c r="P33" s="182">
        <f>SUMIFS('апрель 2025'!$G$4:$G$2485,'апрель 2025'!$D$4:$D$2485,$B33,'апрель 2025'!$J$4:$J$2485,P$1)</f>
        <v>0</v>
      </c>
      <c r="Q33" s="182">
        <f>SUMIFS('апрель 2025'!$G$4:$G$2485,'апрель 2025'!$D$4:$D$2485,$B33,'апрель 2025'!$J$4:$J$2485,Q$1)</f>
        <v>0</v>
      </c>
      <c r="R33" s="182">
        <f>SUMIFS('апрель 2025'!$G$4:$G$2485,'апрель 2025'!$D$4:$D$2485,$B33,'апрель 2025'!$J$4:$J$2485,R$1)</f>
        <v>0</v>
      </c>
      <c r="S33" s="182">
        <f>SUMIFS('апрель 2025'!$G$4:$G$2485,'апрель 2025'!$D$4:$D$2485,$B33,'апрель 2025'!$J$4:$J$2485,S$1)</f>
        <v>0</v>
      </c>
      <c r="T33" s="182">
        <f>SUMIFS('апрель 2025'!$G$4:$G$2485,'апрель 2025'!$D$4:$D$2485,$B33,'апрель 2025'!$J$4:$J$2485,T$1)</f>
        <v>0</v>
      </c>
      <c r="U33" s="182">
        <f>SUMIFS('апрель 2025'!$G$4:$G$2485,'апрель 2025'!$D$4:$D$2485,$B33,'апрель 2025'!$J$4:$J$2485,U$1)</f>
        <v>0</v>
      </c>
      <c r="V33" s="182">
        <f>SUMIFS('апрель 2025'!$G$4:$G$2485,'апрель 2025'!$D$4:$D$2485,$B33,'апрель 2025'!$J$4:$J$2485,V$1)</f>
        <v>0</v>
      </c>
      <c r="W33" s="182">
        <f>SUMIFS('апрель 2025'!$G$4:$G$2485,'апрель 2025'!$D$4:$D$2485,$B33,'апрель 2025'!$J$4:$J$2485,W$1)</f>
        <v>0</v>
      </c>
      <c r="X33" s="182">
        <f>SUMIFS('апрель 2025'!$G$4:$G$2485,'апрель 2025'!$D$4:$D$2485,$B33,'апрель 2025'!$J$4:$J$2485,X$1)</f>
        <v>0</v>
      </c>
      <c r="Y33" s="182">
        <f>SUMIFS('апрель 2025'!$G$4:$G$2485,'апрель 2025'!$D$4:$D$2485,$B33,'апрель 2025'!$J$4:$J$2485,Y$1)</f>
        <v>0</v>
      </c>
      <c r="Z33" s="182">
        <f>SUMIFS('апрель 2025'!$G$4:$G$2485,'апрель 2025'!$D$4:$D$2485,$B33,'апрель 2025'!$J$4:$J$2485,Z$1)</f>
        <v>0</v>
      </c>
      <c r="AA33" s="182">
        <f>SUMIFS('апрель 2025'!$G$4:$G$2485,'апрель 2025'!$D$4:$D$2485,$B33,'апрель 2025'!$J$4:$J$2485,AA$1)</f>
        <v>0</v>
      </c>
      <c r="AB33" s="182">
        <f>SUMIFS('апрель 2025'!$G$4:$G$2485,'апрель 2025'!$D$4:$D$2485,$B33,'апрель 2025'!$J$4:$J$2485,AB$1)</f>
        <v>0</v>
      </c>
      <c r="AC33" s="182">
        <f>SUMIFS('апрель 2025'!$G$4:$G$2485,'апрель 2025'!$D$4:$D$2485,$B33,'апрель 2025'!$J$4:$J$2485,AC$1)</f>
        <v>0</v>
      </c>
      <c r="AD33" s="182">
        <f>SUMIFS('апрель 2025'!$G$4:$G$2485,'апрель 2025'!$D$4:$D$2485,$B33,'апрель 2025'!$J$4:$J$2485,AD$1)</f>
        <v>0</v>
      </c>
      <c r="AE33" s="182">
        <f>SUMIFS('апрель 2025'!$G$4:$G$2485,'апрель 2025'!$D$4:$D$2485,$B33,'апрель 2025'!$J$4:$J$2485,AE$1)</f>
        <v>0</v>
      </c>
      <c r="AF33" s="182">
        <f>SUMIFS('апрель 2025'!$G$4:$G$2485,'апрель 2025'!$D$4:$D$2485,$B33,'апрель 2025'!$J$4:$J$2485,AF$1)</f>
        <v>0</v>
      </c>
      <c r="AG33" s="182">
        <f>SUMIFS('апрель 2025'!$G$4:$G$2485,'апрель 2025'!$D$4:$D$2485,$B33,'апрель 2025'!$J$4:$J$2485,AG$1)</f>
        <v>0</v>
      </c>
      <c r="AH33" s="182">
        <f>SUMIFS('апрель 2025'!$G$4:$G$2485,'апрель 2025'!$D$4:$D$2485,$B33,'апрель 2025'!$J$4:$J$2485,AH$1)</f>
        <v>0</v>
      </c>
      <c r="AI33" s="20">
        <f t="shared" si="1"/>
        <v>0</v>
      </c>
    </row>
    <row r="34" spans="2:35" ht="15" customHeight="1" x14ac:dyDescent="0.25">
      <c r="B34" s="127" t="s">
        <v>215</v>
      </c>
      <c r="C34" s="126">
        <v>25</v>
      </c>
      <c r="D34" s="182">
        <f>SUMIFS('апрель 2025'!$G$4:$G$2485,'апрель 2025'!$D$4:$D$2485,$B34,'апрель 2025'!$J$4:$J$2485,D$1)</f>
        <v>0</v>
      </c>
      <c r="E34" s="182">
        <f>SUMIFS('апрель 2025'!$G$4:$G$2485,'апрель 2025'!$D$4:$D$2485,$B34,'апрель 2025'!$J$4:$J$2485,E$1)</f>
        <v>0</v>
      </c>
      <c r="F34" s="182">
        <f>SUMIFS('апрель 2025'!$G$4:$G$2485,'апрель 2025'!$D$4:$D$2485,$B34,'апрель 2025'!$J$4:$J$2485,F$1)</f>
        <v>0</v>
      </c>
      <c r="G34" s="182">
        <f>SUMIFS('апрель 2025'!$G$4:$G$2485,'апрель 2025'!$D$4:$D$2485,$B34,'апрель 2025'!$J$4:$J$2485,G$1)</f>
        <v>0</v>
      </c>
      <c r="H34" s="182">
        <f>SUMIFS('апрель 2025'!$G$4:$G$2485,'апрель 2025'!$D$4:$D$2485,$B34,'апрель 2025'!$J$4:$J$2485,H$1)</f>
        <v>0</v>
      </c>
      <c r="I34" s="182">
        <f>SUMIFS('апрель 2025'!$G$4:$G$2485,'апрель 2025'!$D$4:$D$2485,$B34,'апрель 2025'!$J$4:$J$2485,I$1)</f>
        <v>0</v>
      </c>
      <c r="J34" s="182">
        <f>SUMIFS('апрель 2025'!$G$4:$G$2485,'апрель 2025'!$D$4:$D$2485,$B34,'апрель 2025'!$J$4:$J$2485,J$1)</f>
        <v>0</v>
      </c>
      <c r="K34" s="182">
        <f>SUMIFS('апрель 2025'!$G$4:$G$2485,'апрель 2025'!$D$4:$D$2485,$B34,'апрель 2025'!$J$4:$J$2485,K$1)</f>
        <v>0</v>
      </c>
      <c r="L34" s="182">
        <f>SUMIFS('апрель 2025'!$G$4:$G$2485,'апрель 2025'!$D$4:$D$2485,$B34,'апрель 2025'!$J$4:$J$2485,L$1)</f>
        <v>0</v>
      </c>
      <c r="M34" s="182">
        <f>SUMIFS('апрель 2025'!$G$4:$G$2485,'апрель 2025'!$D$4:$D$2485,$B34,'апрель 2025'!$J$4:$J$2485,M$1)</f>
        <v>0</v>
      </c>
      <c r="N34" s="182">
        <f>SUMIFS('апрель 2025'!$G$4:$G$2485,'апрель 2025'!$D$4:$D$2485,$B34,'апрель 2025'!$J$4:$J$2485,N$1)</f>
        <v>0</v>
      </c>
      <c r="O34" s="182">
        <f>SUMIFS('апрель 2025'!$G$4:$G$2485,'апрель 2025'!$D$4:$D$2485,$B34,'апрель 2025'!$J$4:$J$2485,O$1)</f>
        <v>0</v>
      </c>
      <c r="P34" s="182">
        <f>SUMIFS('апрель 2025'!$G$4:$G$2485,'апрель 2025'!$D$4:$D$2485,$B34,'апрель 2025'!$J$4:$J$2485,P$1)</f>
        <v>0</v>
      </c>
      <c r="Q34" s="182">
        <f>SUMIFS('апрель 2025'!$G$4:$G$2485,'апрель 2025'!$D$4:$D$2485,$B34,'апрель 2025'!$J$4:$J$2485,Q$1)</f>
        <v>0</v>
      </c>
      <c r="R34" s="182">
        <f>SUMIFS('апрель 2025'!$G$4:$G$2485,'апрель 2025'!$D$4:$D$2485,$B34,'апрель 2025'!$J$4:$J$2485,R$1)</f>
        <v>0</v>
      </c>
      <c r="S34" s="182">
        <f>SUMIFS('апрель 2025'!$G$4:$G$2485,'апрель 2025'!$D$4:$D$2485,$B34,'апрель 2025'!$J$4:$J$2485,S$1)</f>
        <v>0</v>
      </c>
      <c r="T34" s="182">
        <f>SUMIFS('апрель 2025'!$G$4:$G$2485,'апрель 2025'!$D$4:$D$2485,$B34,'апрель 2025'!$J$4:$J$2485,T$1)</f>
        <v>0</v>
      </c>
      <c r="U34" s="182">
        <f>SUMIFS('апрель 2025'!$G$4:$G$2485,'апрель 2025'!$D$4:$D$2485,$B34,'апрель 2025'!$J$4:$J$2485,U$1)</f>
        <v>0</v>
      </c>
      <c r="V34" s="182">
        <f>SUMIFS('апрель 2025'!$G$4:$G$2485,'апрель 2025'!$D$4:$D$2485,$B34,'апрель 2025'!$J$4:$J$2485,V$1)</f>
        <v>0</v>
      </c>
      <c r="W34" s="182">
        <f>SUMIFS('апрель 2025'!$G$4:$G$2485,'апрель 2025'!$D$4:$D$2485,$B34,'апрель 2025'!$J$4:$J$2485,W$1)</f>
        <v>0</v>
      </c>
      <c r="X34" s="182">
        <f>SUMIFS('апрель 2025'!$G$4:$G$2485,'апрель 2025'!$D$4:$D$2485,$B34,'апрель 2025'!$J$4:$J$2485,X$1)</f>
        <v>0</v>
      </c>
      <c r="Y34" s="182">
        <f>SUMIFS('апрель 2025'!$G$4:$G$2485,'апрель 2025'!$D$4:$D$2485,$B34,'апрель 2025'!$J$4:$J$2485,Y$1)</f>
        <v>0</v>
      </c>
      <c r="Z34" s="182">
        <f>SUMIFS('апрель 2025'!$G$4:$G$2485,'апрель 2025'!$D$4:$D$2485,$B34,'апрель 2025'!$J$4:$J$2485,Z$1)</f>
        <v>0</v>
      </c>
      <c r="AA34" s="182">
        <f>SUMIFS('апрель 2025'!$G$4:$G$2485,'апрель 2025'!$D$4:$D$2485,$B34,'апрель 2025'!$J$4:$J$2485,AA$1)</f>
        <v>0</v>
      </c>
      <c r="AB34" s="182">
        <f>SUMIFS('апрель 2025'!$G$4:$G$2485,'апрель 2025'!$D$4:$D$2485,$B34,'апрель 2025'!$J$4:$J$2485,AB$1)</f>
        <v>0</v>
      </c>
      <c r="AC34" s="182">
        <f>SUMIFS('апрель 2025'!$G$4:$G$2485,'апрель 2025'!$D$4:$D$2485,$B34,'апрель 2025'!$J$4:$J$2485,AC$1)</f>
        <v>0</v>
      </c>
      <c r="AD34" s="182">
        <f>SUMIFS('апрель 2025'!$G$4:$G$2485,'апрель 2025'!$D$4:$D$2485,$B34,'апрель 2025'!$J$4:$J$2485,AD$1)</f>
        <v>0</v>
      </c>
      <c r="AE34" s="182">
        <f>SUMIFS('апрель 2025'!$G$4:$G$2485,'апрель 2025'!$D$4:$D$2485,$B34,'апрель 2025'!$J$4:$J$2485,AE$1)</f>
        <v>0</v>
      </c>
      <c r="AF34" s="182">
        <f>SUMIFS('апрель 2025'!$G$4:$G$2485,'апрель 2025'!$D$4:$D$2485,$B34,'апрель 2025'!$J$4:$J$2485,AF$1)</f>
        <v>0</v>
      </c>
      <c r="AG34" s="182">
        <f>SUMIFS('апрель 2025'!$G$4:$G$2485,'апрель 2025'!$D$4:$D$2485,$B34,'апрель 2025'!$J$4:$J$2485,AG$1)</f>
        <v>0</v>
      </c>
      <c r="AH34" s="182">
        <f>SUMIFS('апрель 2025'!$G$4:$G$2485,'апрель 2025'!$D$4:$D$2485,$B34,'апрель 2025'!$J$4:$J$2485,AH$1)</f>
        <v>0</v>
      </c>
      <c r="AI34" s="20">
        <f t="shared" si="1"/>
        <v>0</v>
      </c>
    </row>
    <row r="35" spans="2:35" ht="15" customHeight="1" x14ac:dyDescent="0.25">
      <c r="B35" s="128" t="s">
        <v>384</v>
      </c>
      <c r="C35" s="126">
        <v>25</v>
      </c>
      <c r="D35" s="182">
        <f>SUMIFS('апрель 2025'!$G$4:$G$2485,'апрель 2025'!$D$4:$D$2485,$B35,'апрель 2025'!$J$4:$J$2485,D$1)</f>
        <v>0</v>
      </c>
      <c r="E35" s="182">
        <f>SUMIFS('апрель 2025'!$G$4:$G$2485,'апрель 2025'!$D$4:$D$2485,$B35,'апрель 2025'!$J$4:$J$2485,E$1)</f>
        <v>0</v>
      </c>
      <c r="F35" s="182">
        <f>SUMIFS('апрель 2025'!$G$4:$G$2485,'апрель 2025'!$D$4:$D$2485,$B35,'апрель 2025'!$J$4:$J$2485,F$1)</f>
        <v>0</v>
      </c>
      <c r="G35" s="182">
        <f>SUMIFS('апрель 2025'!$G$4:$G$2485,'апрель 2025'!$D$4:$D$2485,$B35,'апрель 2025'!$J$4:$J$2485,G$1)</f>
        <v>0</v>
      </c>
      <c r="H35" s="182">
        <f>SUMIFS('апрель 2025'!$G$4:$G$2485,'апрель 2025'!$D$4:$D$2485,$B35,'апрель 2025'!$J$4:$J$2485,H$1)</f>
        <v>0</v>
      </c>
      <c r="I35" s="182">
        <f>SUMIFS('апрель 2025'!$G$4:$G$2485,'апрель 2025'!$D$4:$D$2485,$B35,'апрель 2025'!$J$4:$J$2485,I$1)</f>
        <v>0</v>
      </c>
      <c r="J35" s="182">
        <f>SUMIFS('апрель 2025'!$G$4:$G$2485,'апрель 2025'!$D$4:$D$2485,$B35,'апрель 2025'!$J$4:$J$2485,J$1)</f>
        <v>0</v>
      </c>
      <c r="K35" s="182">
        <f>SUMIFS('апрель 2025'!$G$4:$G$2485,'апрель 2025'!$D$4:$D$2485,$B35,'апрель 2025'!$J$4:$J$2485,K$1)</f>
        <v>0</v>
      </c>
      <c r="L35" s="182">
        <f>SUMIFS('апрель 2025'!$G$4:$G$2485,'апрель 2025'!$D$4:$D$2485,$B35,'апрель 2025'!$J$4:$J$2485,L$1)</f>
        <v>0</v>
      </c>
      <c r="M35" s="182">
        <f>SUMIFS('апрель 2025'!$G$4:$G$2485,'апрель 2025'!$D$4:$D$2485,$B35,'апрель 2025'!$J$4:$J$2485,M$1)</f>
        <v>0</v>
      </c>
      <c r="N35" s="182">
        <f>SUMIFS('апрель 2025'!$G$4:$G$2485,'апрель 2025'!$D$4:$D$2485,$B35,'апрель 2025'!$J$4:$J$2485,N$1)</f>
        <v>0</v>
      </c>
      <c r="O35" s="182">
        <f>SUMIFS('апрель 2025'!$G$4:$G$2485,'апрель 2025'!$D$4:$D$2485,$B35,'апрель 2025'!$J$4:$J$2485,O$1)</f>
        <v>0</v>
      </c>
      <c r="P35" s="182">
        <f>SUMIFS('апрель 2025'!$G$4:$G$2485,'апрель 2025'!$D$4:$D$2485,$B35,'апрель 2025'!$J$4:$J$2485,P$1)</f>
        <v>0</v>
      </c>
      <c r="Q35" s="182">
        <f>SUMIFS('апрель 2025'!$G$4:$G$2485,'апрель 2025'!$D$4:$D$2485,$B35,'апрель 2025'!$J$4:$J$2485,Q$1)</f>
        <v>0</v>
      </c>
      <c r="R35" s="182">
        <f>SUMIFS('апрель 2025'!$G$4:$G$2485,'апрель 2025'!$D$4:$D$2485,$B35,'апрель 2025'!$J$4:$J$2485,R$1)</f>
        <v>0</v>
      </c>
      <c r="S35" s="182">
        <f>SUMIFS('апрель 2025'!$G$4:$G$2485,'апрель 2025'!$D$4:$D$2485,$B35,'апрель 2025'!$J$4:$J$2485,S$1)</f>
        <v>0</v>
      </c>
      <c r="T35" s="182">
        <f>SUMIFS('апрель 2025'!$G$4:$G$2485,'апрель 2025'!$D$4:$D$2485,$B35,'апрель 2025'!$J$4:$J$2485,T$1)</f>
        <v>0</v>
      </c>
      <c r="U35" s="182">
        <f>SUMIFS('апрель 2025'!$G$4:$G$2485,'апрель 2025'!$D$4:$D$2485,$B35,'апрель 2025'!$J$4:$J$2485,U$1)</f>
        <v>0</v>
      </c>
      <c r="V35" s="182">
        <f>SUMIFS('апрель 2025'!$G$4:$G$2485,'апрель 2025'!$D$4:$D$2485,$B35,'апрель 2025'!$J$4:$J$2485,V$1)</f>
        <v>0</v>
      </c>
      <c r="W35" s="182">
        <f>SUMIFS('апрель 2025'!$G$4:$G$2485,'апрель 2025'!$D$4:$D$2485,$B35,'апрель 2025'!$J$4:$J$2485,W$1)</f>
        <v>0</v>
      </c>
      <c r="X35" s="182">
        <f>SUMIFS('апрель 2025'!$G$4:$G$2485,'апрель 2025'!$D$4:$D$2485,$B35,'апрель 2025'!$J$4:$J$2485,X$1)</f>
        <v>0</v>
      </c>
      <c r="Y35" s="182">
        <f>SUMIFS('апрель 2025'!$G$4:$G$2485,'апрель 2025'!$D$4:$D$2485,$B35,'апрель 2025'!$J$4:$J$2485,Y$1)</f>
        <v>0</v>
      </c>
      <c r="Z35" s="182">
        <f>SUMIFS('апрель 2025'!$G$4:$G$2485,'апрель 2025'!$D$4:$D$2485,$B35,'апрель 2025'!$J$4:$J$2485,Z$1)</f>
        <v>0</v>
      </c>
      <c r="AA35" s="182">
        <f>SUMIFS('апрель 2025'!$G$4:$G$2485,'апрель 2025'!$D$4:$D$2485,$B35,'апрель 2025'!$J$4:$J$2485,AA$1)</f>
        <v>0</v>
      </c>
      <c r="AB35" s="182">
        <f>SUMIFS('апрель 2025'!$G$4:$G$2485,'апрель 2025'!$D$4:$D$2485,$B35,'апрель 2025'!$J$4:$J$2485,AB$1)</f>
        <v>0</v>
      </c>
      <c r="AC35" s="182">
        <f>SUMIFS('апрель 2025'!$G$4:$G$2485,'апрель 2025'!$D$4:$D$2485,$B35,'апрель 2025'!$J$4:$J$2485,AC$1)</f>
        <v>0</v>
      </c>
      <c r="AD35" s="182">
        <f>SUMIFS('апрель 2025'!$G$4:$G$2485,'апрель 2025'!$D$4:$D$2485,$B35,'апрель 2025'!$J$4:$J$2485,AD$1)</f>
        <v>0</v>
      </c>
      <c r="AE35" s="182">
        <f>SUMIFS('апрель 2025'!$G$4:$G$2485,'апрель 2025'!$D$4:$D$2485,$B35,'апрель 2025'!$J$4:$J$2485,AE$1)</f>
        <v>0</v>
      </c>
      <c r="AF35" s="182">
        <f>SUMIFS('апрель 2025'!$G$4:$G$2485,'апрель 2025'!$D$4:$D$2485,$B35,'апрель 2025'!$J$4:$J$2485,AF$1)</f>
        <v>0</v>
      </c>
      <c r="AG35" s="182">
        <f>SUMIFS('апрель 2025'!$G$4:$G$2485,'апрель 2025'!$D$4:$D$2485,$B35,'апрель 2025'!$J$4:$J$2485,AG$1)</f>
        <v>0</v>
      </c>
      <c r="AH35" s="182">
        <f>SUMIFS('апрель 2025'!$G$4:$G$2485,'апрель 2025'!$D$4:$D$2485,$B35,'апрель 2025'!$J$4:$J$2485,AH$1)</f>
        <v>0</v>
      </c>
      <c r="AI35" s="20">
        <f t="shared" si="1"/>
        <v>0</v>
      </c>
    </row>
    <row r="36" spans="2:35" ht="15" customHeight="1" x14ac:dyDescent="0.25">
      <c r="B36" s="128" t="s">
        <v>217</v>
      </c>
      <c r="C36" s="126">
        <v>25</v>
      </c>
      <c r="D36" s="182">
        <f>SUMIFS('апрель 2025'!$G$4:$G$2485,'апрель 2025'!$D$4:$D$2485,$B36,'апрель 2025'!$J$4:$J$2485,D$1)</f>
        <v>0</v>
      </c>
      <c r="E36" s="182">
        <f>SUMIFS('апрель 2025'!$G$4:$G$2485,'апрель 2025'!$D$4:$D$2485,$B36,'апрель 2025'!$J$4:$J$2485,E$1)</f>
        <v>0</v>
      </c>
      <c r="F36" s="182">
        <f>SUMIFS('апрель 2025'!$G$4:$G$2485,'апрель 2025'!$D$4:$D$2485,$B36,'апрель 2025'!$J$4:$J$2485,F$1)</f>
        <v>0</v>
      </c>
      <c r="G36" s="182">
        <f>SUMIFS('апрель 2025'!$G$4:$G$2485,'апрель 2025'!$D$4:$D$2485,$B36,'апрель 2025'!$J$4:$J$2485,G$1)</f>
        <v>0</v>
      </c>
      <c r="H36" s="182">
        <f>SUMIFS('апрель 2025'!$G$4:$G$2485,'апрель 2025'!$D$4:$D$2485,$B36,'апрель 2025'!$J$4:$J$2485,H$1)</f>
        <v>0</v>
      </c>
      <c r="I36" s="182">
        <f>SUMIFS('апрель 2025'!$G$4:$G$2485,'апрель 2025'!$D$4:$D$2485,$B36,'апрель 2025'!$J$4:$J$2485,I$1)</f>
        <v>0</v>
      </c>
      <c r="J36" s="182">
        <f>SUMIFS('апрель 2025'!$G$4:$G$2485,'апрель 2025'!$D$4:$D$2485,$B36,'апрель 2025'!$J$4:$J$2485,J$1)</f>
        <v>0</v>
      </c>
      <c r="K36" s="182">
        <f>SUMIFS('апрель 2025'!$G$4:$G$2485,'апрель 2025'!$D$4:$D$2485,$B36,'апрель 2025'!$J$4:$J$2485,K$1)</f>
        <v>0</v>
      </c>
      <c r="L36" s="182">
        <f>SUMIFS('апрель 2025'!$G$4:$G$2485,'апрель 2025'!$D$4:$D$2485,$B36,'апрель 2025'!$J$4:$J$2485,L$1)</f>
        <v>0</v>
      </c>
      <c r="M36" s="182">
        <f>SUMIFS('апрель 2025'!$G$4:$G$2485,'апрель 2025'!$D$4:$D$2485,$B36,'апрель 2025'!$J$4:$J$2485,M$1)</f>
        <v>0</v>
      </c>
      <c r="N36" s="182">
        <f>SUMIFS('апрель 2025'!$G$4:$G$2485,'апрель 2025'!$D$4:$D$2485,$B36,'апрель 2025'!$J$4:$J$2485,N$1)</f>
        <v>0</v>
      </c>
      <c r="O36" s="182">
        <f>SUMIFS('апрель 2025'!$G$4:$G$2485,'апрель 2025'!$D$4:$D$2485,$B36,'апрель 2025'!$J$4:$J$2485,O$1)</f>
        <v>0</v>
      </c>
      <c r="P36" s="182">
        <f>SUMIFS('апрель 2025'!$G$4:$G$2485,'апрель 2025'!$D$4:$D$2485,$B36,'апрель 2025'!$J$4:$J$2485,P$1)</f>
        <v>0</v>
      </c>
      <c r="Q36" s="182">
        <f>SUMIFS('апрель 2025'!$G$4:$G$2485,'апрель 2025'!$D$4:$D$2485,$B36,'апрель 2025'!$J$4:$J$2485,Q$1)</f>
        <v>0</v>
      </c>
      <c r="R36" s="182">
        <f>SUMIFS('апрель 2025'!$G$4:$G$2485,'апрель 2025'!$D$4:$D$2485,$B36,'апрель 2025'!$J$4:$J$2485,R$1)</f>
        <v>0</v>
      </c>
      <c r="S36" s="182">
        <f>SUMIFS('апрель 2025'!$G$4:$G$2485,'апрель 2025'!$D$4:$D$2485,$B36,'апрель 2025'!$J$4:$J$2485,S$1)</f>
        <v>0</v>
      </c>
      <c r="T36" s="182">
        <f>SUMIFS('апрель 2025'!$G$4:$G$2485,'апрель 2025'!$D$4:$D$2485,$B36,'апрель 2025'!$J$4:$J$2485,T$1)</f>
        <v>0</v>
      </c>
      <c r="U36" s="182">
        <f>SUMIFS('апрель 2025'!$G$4:$G$2485,'апрель 2025'!$D$4:$D$2485,$B36,'апрель 2025'!$J$4:$J$2485,U$1)</f>
        <v>0</v>
      </c>
      <c r="V36" s="182">
        <f>SUMIFS('апрель 2025'!$G$4:$G$2485,'апрель 2025'!$D$4:$D$2485,$B36,'апрель 2025'!$J$4:$J$2485,V$1)</f>
        <v>0</v>
      </c>
      <c r="W36" s="182">
        <f>SUMIFS('апрель 2025'!$G$4:$G$2485,'апрель 2025'!$D$4:$D$2485,$B36,'апрель 2025'!$J$4:$J$2485,W$1)</f>
        <v>0</v>
      </c>
      <c r="X36" s="182">
        <f>SUMIFS('апрель 2025'!$G$4:$G$2485,'апрель 2025'!$D$4:$D$2485,$B36,'апрель 2025'!$J$4:$J$2485,X$1)</f>
        <v>0</v>
      </c>
      <c r="Y36" s="182">
        <f>SUMIFS('апрель 2025'!$G$4:$G$2485,'апрель 2025'!$D$4:$D$2485,$B36,'апрель 2025'!$J$4:$J$2485,Y$1)</f>
        <v>0</v>
      </c>
      <c r="Z36" s="182">
        <f>SUMIFS('апрель 2025'!$G$4:$G$2485,'апрель 2025'!$D$4:$D$2485,$B36,'апрель 2025'!$J$4:$J$2485,Z$1)</f>
        <v>0</v>
      </c>
      <c r="AA36" s="182">
        <f>SUMIFS('апрель 2025'!$G$4:$G$2485,'апрель 2025'!$D$4:$D$2485,$B36,'апрель 2025'!$J$4:$J$2485,AA$1)</f>
        <v>0</v>
      </c>
      <c r="AB36" s="182">
        <f>SUMIFS('апрель 2025'!$G$4:$G$2485,'апрель 2025'!$D$4:$D$2485,$B36,'апрель 2025'!$J$4:$J$2485,AB$1)</f>
        <v>0</v>
      </c>
      <c r="AC36" s="182">
        <f>SUMIFS('апрель 2025'!$G$4:$G$2485,'апрель 2025'!$D$4:$D$2485,$B36,'апрель 2025'!$J$4:$J$2485,AC$1)</f>
        <v>0</v>
      </c>
      <c r="AD36" s="182">
        <f>SUMIFS('апрель 2025'!$G$4:$G$2485,'апрель 2025'!$D$4:$D$2485,$B36,'апрель 2025'!$J$4:$J$2485,AD$1)</f>
        <v>0</v>
      </c>
      <c r="AE36" s="182">
        <f>SUMIFS('апрель 2025'!$G$4:$G$2485,'апрель 2025'!$D$4:$D$2485,$B36,'апрель 2025'!$J$4:$J$2485,AE$1)</f>
        <v>0</v>
      </c>
      <c r="AF36" s="182">
        <f>SUMIFS('апрель 2025'!$G$4:$G$2485,'апрель 2025'!$D$4:$D$2485,$B36,'апрель 2025'!$J$4:$J$2485,AF$1)</f>
        <v>0</v>
      </c>
      <c r="AG36" s="182">
        <f>SUMIFS('апрель 2025'!$G$4:$G$2485,'апрель 2025'!$D$4:$D$2485,$B36,'апрель 2025'!$J$4:$J$2485,AG$1)</f>
        <v>0</v>
      </c>
      <c r="AH36" s="182">
        <f>SUMIFS('апрель 2025'!$G$4:$G$2485,'апрель 2025'!$D$4:$D$2485,$B36,'апрель 2025'!$J$4:$J$2485,AH$1)</f>
        <v>0</v>
      </c>
      <c r="AI36" s="20">
        <f t="shared" si="1"/>
        <v>0</v>
      </c>
    </row>
    <row r="37" spans="2:35" ht="15" customHeight="1" x14ac:dyDescent="0.25">
      <c r="B37" s="129" t="s">
        <v>219</v>
      </c>
      <c r="C37" s="130">
        <v>25</v>
      </c>
      <c r="D37" s="182">
        <f>SUMIFS('апрель 2025'!$G$4:$G$2485,'апрель 2025'!$D$4:$D$2485,$B37,'апрель 2025'!$J$4:$J$2485,D$1)</f>
        <v>0</v>
      </c>
      <c r="E37" s="182">
        <f>SUMIFS('апрель 2025'!$G$4:$G$2485,'апрель 2025'!$D$4:$D$2485,$B37,'апрель 2025'!$J$4:$J$2485,E$1)</f>
        <v>0</v>
      </c>
      <c r="F37" s="182">
        <f>SUMIFS('апрель 2025'!$G$4:$G$2485,'апрель 2025'!$D$4:$D$2485,$B37,'апрель 2025'!$J$4:$J$2485,F$1)</f>
        <v>0</v>
      </c>
      <c r="G37" s="182">
        <f>SUMIFS('апрель 2025'!$G$4:$G$2485,'апрель 2025'!$D$4:$D$2485,$B37,'апрель 2025'!$J$4:$J$2485,G$1)</f>
        <v>0</v>
      </c>
      <c r="H37" s="182">
        <f>SUMIFS('апрель 2025'!$G$4:$G$2485,'апрель 2025'!$D$4:$D$2485,$B37,'апрель 2025'!$J$4:$J$2485,H$1)</f>
        <v>0</v>
      </c>
      <c r="I37" s="182">
        <f>SUMIFS('апрель 2025'!$G$4:$G$2485,'апрель 2025'!$D$4:$D$2485,$B37,'апрель 2025'!$J$4:$J$2485,I$1)</f>
        <v>0</v>
      </c>
      <c r="J37" s="182">
        <f>SUMIFS('апрель 2025'!$G$4:$G$2485,'апрель 2025'!$D$4:$D$2485,$B37,'апрель 2025'!$J$4:$J$2485,J$1)</f>
        <v>0</v>
      </c>
      <c r="K37" s="182">
        <f>SUMIFS('апрель 2025'!$G$4:$G$2485,'апрель 2025'!$D$4:$D$2485,$B37,'апрель 2025'!$J$4:$J$2485,K$1)</f>
        <v>0</v>
      </c>
      <c r="L37" s="182">
        <f>SUMIFS('апрель 2025'!$G$4:$G$2485,'апрель 2025'!$D$4:$D$2485,$B37,'апрель 2025'!$J$4:$J$2485,L$1)</f>
        <v>0</v>
      </c>
      <c r="M37" s="182">
        <f>SUMIFS('апрель 2025'!$G$4:$G$2485,'апрель 2025'!$D$4:$D$2485,$B37,'апрель 2025'!$J$4:$J$2485,M$1)</f>
        <v>0</v>
      </c>
      <c r="N37" s="182">
        <f>SUMIFS('апрель 2025'!$G$4:$G$2485,'апрель 2025'!$D$4:$D$2485,$B37,'апрель 2025'!$J$4:$J$2485,N$1)</f>
        <v>0</v>
      </c>
      <c r="O37" s="182">
        <f>SUMIFS('апрель 2025'!$G$4:$G$2485,'апрель 2025'!$D$4:$D$2485,$B37,'апрель 2025'!$J$4:$J$2485,O$1)</f>
        <v>0</v>
      </c>
      <c r="P37" s="182">
        <f>SUMIFS('апрель 2025'!$G$4:$G$2485,'апрель 2025'!$D$4:$D$2485,$B37,'апрель 2025'!$J$4:$J$2485,P$1)</f>
        <v>0</v>
      </c>
      <c r="Q37" s="182">
        <f>SUMIFS('апрель 2025'!$G$4:$G$2485,'апрель 2025'!$D$4:$D$2485,$B37,'апрель 2025'!$J$4:$J$2485,Q$1)</f>
        <v>0</v>
      </c>
      <c r="R37" s="182">
        <f>SUMIFS('апрель 2025'!$G$4:$G$2485,'апрель 2025'!$D$4:$D$2485,$B37,'апрель 2025'!$J$4:$J$2485,R$1)</f>
        <v>0</v>
      </c>
      <c r="S37" s="182">
        <f>SUMIFS('апрель 2025'!$G$4:$G$2485,'апрель 2025'!$D$4:$D$2485,$B37,'апрель 2025'!$J$4:$J$2485,S$1)</f>
        <v>0</v>
      </c>
      <c r="T37" s="182">
        <f>SUMIFS('апрель 2025'!$G$4:$G$2485,'апрель 2025'!$D$4:$D$2485,$B37,'апрель 2025'!$J$4:$J$2485,T$1)</f>
        <v>0</v>
      </c>
      <c r="U37" s="182">
        <f>SUMIFS('апрель 2025'!$G$4:$G$2485,'апрель 2025'!$D$4:$D$2485,$B37,'апрель 2025'!$J$4:$J$2485,U$1)</f>
        <v>0</v>
      </c>
      <c r="V37" s="182">
        <f>SUMIFS('апрель 2025'!$G$4:$G$2485,'апрель 2025'!$D$4:$D$2485,$B37,'апрель 2025'!$J$4:$J$2485,V$1)</f>
        <v>0</v>
      </c>
      <c r="W37" s="182">
        <f>SUMIFS('апрель 2025'!$G$4:$G$2485,'апрель 2025'!$D$4:$D$2485,$B37,'апрель 2025'!$J$4:$J$2485,W$1)</f>
        <v>0</v>
      </c>
      <c r="X37" s="182">
        <f>SUMIFS('апрель 2025'!$G$4:$G$2485,'апрель 2025'!$D$4:$D$2485,$B37,'апрель 2025'!$J$4:$J$2485,X$1)</f>
        <v>0</v>
      </c>
      <c r="Y37" s="182">
        <f>SUMIFS('апрель 2025'!$G$4:$G$2485,'апрель 2025'!$D$4:$D$2485,$B37,'апрель 2025'!$J$4:$J$2485,Y$1)</f>
        <v>0</v>
      </c>
      <c r="Z37" s="182">
        <f>SUMIFS('апрель 2025'!$G$4:$G$2485,'апрель 2025'!$D$4:$D$2485,$B37,'апрель 2025'!$J$4:$J$2485,Z$1)</f>
        <v>0</v>
      </c>
      <c r="AA37" s="182">
        <f>SUMIFS('апрель 2025'!$G$4:$G$2485,'апрель 2025'!$D$4:$D$2485,$B37,'апрель 2025'!$J$4:$J$2485,AA$1)</f>
        <v>0</v>
      </c>
      <c r="AB37" s="182">
        <f>SUMIFS('апрель 2025'!$G$4:$G$2485,'апрель 2025'!$D$4:$D$2485,$B37,'апрель 2025'!$J$4:$J$2485,AB$1)</f>
        <v>0</v>
      </c>
      <c r="AC37" s="182">
        <f>SUMIFS('апрель 2025'!$G$4:$G$2485,'апрель 2025'!$D$4:$D$2485,$B37,'апрель 2025'!$J$4:$J$2485,AC$1)</f>
        <v>0</v>
      </c>
      <c r="AD37" s="182">
        <f>SUMIFS('апрель 2025'!$G$4:$G$2485,'апрель 2025'!$D$4:$D$2485,$B37,'апрель 2025'!$J$4:$J$2485,AD$1)</f>
        <v>0</v>
      </c>
      <c r="AE37" s="182">
        <f>SUMIFS('апрель 2025'!$G$4:$G$2485,'апрель 2025'!$D$4:$D$2485,$B37,'апрель 2025'!$J$4:$J$2485,AE$1)</f>
        <v>0</v>
      </c>
      <c r="AF37" s="182">
        <f>SUMIFS('апрель 2025'!$G$4:$G$2485,'апрель 2025'!$D$4:$D$2485,$B37,'апрель 2025'!$J$4:$J$2485,AF$1)</f>
        <v>0</v>
      </c>
      <c r="AG37" s="182">
        <f>SUMIFS('апрель 2025'!$G$4:$G$2485,'апрель 2025'!$D$4:$D$2485,$B37,'апрель 2025'!$J$4:$J$2485,AG$1)</f>
        <v>0</v>
      </c>
      <c r="AH37" s="182">
        <f>SUMIFS('апрель 2025'!$G$4:$G$2485,'апрель 2025'!$D$4:$D$2485,$B37,'апрель 2025'!$J$4:$J$2485,AH$1)</f>
        <v>0</v>
      </c>
      <c r="AI37" s="20">
        <f t="shared" si="1"/>
        <v>0</v>
      </c>
    </row>
    <row r="38" spans="2:35" ht="15" customHeight="1" x14ac:dyDescent="0.25">
      <c r="B38" s="131" t="s">
        <v>221</v>
      </c>
      <c r="C38" s="132">
        <v>22.68</v>
      </c>
      <c r="D38" s="182">
        <f>SUMIFS('апрель 2025'!$G$4:$G$2485,'апрель 2025'!$D$4:$D$2485,$B38,'апрель 2025'!$J$4:$J$2485,D$1)</f>
        <v>0</v>
      </c>
      <c r="E38" s="182">
        <f>SUMIFS('апрель 2025'!$G$4:$G$2485,'апрель 2025'!$D$4:$D$2485,$B38,'апрель 2025'!$J$4:$J$2485,E$1)</f>
        <v>0</v>
      </c>
      <c r="F38" s="182">
        <f>SUMIFS('апрель 2025'!$G$4:$G$2485,'апрель 2025'!$D$4:$D$2485,$B38,'апрель 2025'!$J$4:$J$2485,F$1)</f>
        <v>0</v>
      </c>
      <c r="G38" s="182">
        <f>SUMIFS('апрель 2025'!$G$4:$G$2485,'апрель 2025'!$D$4:$D$2485,$B38,'апрель 2025'!$J$4:$J$2485,G$1)</f>
        <v>0</v>
      </c>
      <c r="H38" s="182">
        <f>SUMIFS('апрель 2025'!$G$4:$G$2485,'апрель 2025'!$D$4:$D$2485,$B38,'апрель 2025'!$J$4:$J$2485,H$1)</f>
        <v>0</v>
      </c>
      <c r="I38" s="182">
        <f>SUMIFS('апрель 2025'!$G$4:$G$2485,'апрель 2025'!$D$4:$D$2485,$B38,'апрель 2025'!$J$4:$J$2485,I$1)</f>
        <v>0</v>
      </c>
      <c r="J38" s="182">
        <f>SUMIFS('апрель 2025'!$G$4:$G$2485,'апрель 2025'!$D$4:$D$2485,$B38,'апрель 2025'!$J$4:$J$2485,J$1)</f>
        <v>0</v>
      </c>
      <c r="K38" s="182">
        <f>SUMIFS('апрель 2025'!$G$4:$G$2485,'апрель 2025'!$D$4:$D$2485,$B38,'апрель 2025'!$J$4:$J$2485,K$1)</f>
        <v>0</v>
      </c>
      <c r="L38" s="182">
        <f>SUMIFS('апрель 2025'!$G$4:$G$2485,'апрель 2025'!$D$4:$D$2485,$B38,'апрель 2025'!$J$4:$J$2485,L$1)</f>
        <v>0</v>
      </c>
      <c r="M38" s="182">
        <f>SUMIFS('апрель 2025'!$G$4:$G$2485,'апрель 2025'!$D$4:$D$2485,$B38,'апрель 2025'!$J$4:$J$2485,M$1)</f>
        <v>0</v>
      </c>
      <c r="N38" s="182">
        <f>SUMIFS('апрель 2025'!$G$4:$G$2485,'апрель 2025'!$D$4:$D$2485,$B38,'апрель 2025'!$J$4:$J$2485,N$1)</f>
        <v>0</v>
      </c>
      <c r="O38" s="182">
        <f>SUMIFS('апрель 2025'!$G$4:$G$2485,'апрель 2025'!$D$4:$D$2485,$B38,'апрель 2025'!$J$4:$J$2485,O$1)</f>
        <v>0</v>
      </c>
      <c r="P38" s="182">
        <f>SUMIFS('апрель 2025'!$G$4:$G$2485,'апрель 2025'!$D$4:$D$2485,$B38,'апрель 2025'!$J$4:$J$2485,P$1)</f>
        <v>0</v>
      </c>
      <c r="Q38" s="182">
        <f>SUMIFS('апрель 2025'!$G$4:$G$2485,'апрель 2025'!$D$4:$D$2485,$B38,'апрель 2025'!$J$4:$J$2485,Q$1)</f>
        <v>0</v>
      </c>
      <c r="R38" s="182">
        <f>SUMIFS('апрель 2025'!$G$4:$G$2485,'апрель 2025'!$D$4:$D$2485,$B38,'апрель 2025'!$J$4:$J$2485,R$1)</f>
        <v>0</v>
      </c>
      <c r="S38" s="182">
        <f>SUMIFS('апрель 2025'!$G$4:$G$2485,'апрель 2025'!$D$4:$D$2485,$B38,'апрель 2025'!$J$4:$J$2485,S$1)</f>
        <v>0</v>
      </c>
      <c r="T38" s="182">
        <f>SUMIFS('апрель 2025'!$G$4:$G$2485,'апрель 2025'!$D$4:$D$2485,$B38,'апрель 2025'!$J$4:$J$2485,T$1)</f>
        <v>0</v>
      </c>
      <c r="U38" s="182">
        <f>SUMIFS('апрель 2025'!$G$4:$G$2485,'апрель 2025'!$D$4:$D$2485,$B38,'апрель 2025'!$J$4:$J$2485,U$1)</f>
        <v>0</v>
      </c>
      <c r="V38" s="182">
        <f>SUMIFS('апрель 2025'!$G$4:$G$2485,'апрель 2025'!$D$4:$D$2485,$B38,'апрель 2025'!$J$4:$J$2485,V$1)</f>
        <v>0</v>
      </c>
      <c r="W38" s="182">
        <f>SUMIFS('апрель 2025'!$G$4:$G$2485,'апрель 2025'!$D$4:$D$2485,$B38,'апрель 2025'!$J$4:$J$2485,W$1)</f>
        <v>0</v>
      </c>
      <c r="X38" s="182">
        <f>SUMIFS('апрель 2025'!$G$4:$G$2485,'апрель 2025'!$D$4:$D$2485,$B38,'апрель 2025'!$J$4:$J$2485,X$1)</f>
        <v>0</v>
      </c>
      <c r="Y38" s="182">
        <f>SUMIFS('апрель 2025'!$G$4:$G$2485,'апрель 2025'!$D$4:$D$2485,$B38,'апрель 2025'!$J$4:$J$2485,Y$1)</f>
        <v>0</v>
      </c>
      <c r="Z38" s="182">
        <f>SUMIFS('апрель 2025'!$G$4:$G$2485,'апрель 2025'!$D$4:$D$2485,$B38,'апрель 2025'!$J$4:$J$2485,Z$1)</f>
        <v>0</v>
      </c>
      <c r="AA38" s="182">
        <f>SUMIFS('апрель 2025'!$G$4:$G$2485,'апрель 2025'!$D$4:$D$2485,$B38,'апрель 2025'!$J$4:$J$2485,AA$1)</f>
        <v>0</v>
      </c>
      <c r="AB38" s="182">
        <f>SUMIFS('апрель 2025'!$G$4:$G$2485,'апрель 2025'!$D$4:$D$2485,$B38,'апрель 2025'!$J$4:$J$2485,AB$1)</f>
        <v>0</v>
      </c>
      <c r="AC38" s="182">
        <f>SUMIFS('апрель 2025'!$G$4:$G$2485,'апрель 2025'!$D$4:$D$2485,$B38,'апрель 2025'!$J$4:$J$2485,AC$1)</f>
        <v>0</v>
      </c>
      <c r="AD38" s="182">
        <f>SUMIFS('апрель 2025'!$G$4:$G$2485,'апрель 2025'!$D$4:$D$2485,$B38,'апрель 2025'!$J$4:$J$2485,AD$1)</f>
        <v>0</v>
      </c>
      <c r="AE38" s="182">
        <f>SUMIFS('апрель 2025'!$G$4:$G$2485,'апрель 2025'!$D$4:$D$2485,$B38,'апрель 2025'!$J$4:$J$2485,AE$1)</f>
        <v>0</v>
      </c>
      <c r="AF38" s="182">
        <f>SUMIFS('апрель 2025'!$G$4:$G$2485,'апрель 2025'!$D$4:$D$2485,$B38,'апрель 2025'!$J$4:$J$2485,AF$1)</f>
        <v>0</v>
      </c>
      <c r="AG38" s="182">
        <f>SUMIFS('апрель 2025'!$G$4:$G$2485,'апрель 2025'!$D$4:$D$2485,$B38,'апрель 2025'!$J$4:$J$2485,AG$1)</f>
        <v>0</v>
      </c>
      <c r="AH38" s="182">
        <f>SUMIFS('апрель 2025'!$G$4:$G$2485,'апрель 2025'!$D$4:$D$2485,$B38,'апрель 2025'!$J$4:$J$2485,AH$1)</f>
        <v>0</v>
      </c>
      <c r="AI38" s="20">
        <f t="shared" si="1"/>
        <v>0</v>
      </c>
    </row>
    <row r="39" spans="2:35" ht="15" customHeight="1" x14ac:dyDescent="0.25">
      <c r="B39" s="131" t="s">
        <v>1016</v>
      </c>
      <c r="C39" s="133">
        <v>20</v>
      </c>
      <c r="D39" s="182">
        <f>SUMIFS('апрель 2025'!$G$4:$G$2485,'апрель 2025'!$D$4:$D$2485,$B39,'апрель 2025'!$J$4:$J$2485,D$1)</f>
        <v>0</v>
      </c>
      <c r="E39" s="182">
        <f>SUMIFS('апрель 2025'!$G$4:$G$2485,'апрель 2025'!$D$4:$D$2485,$B39,'апрель 2025'!$J$4:$J$2485,E$1)</f>
        <v>0</v>
      </c>
      <c r="F39" s="182">
        <f>SUMIFS('апрель 2025'!$G$4:$G$2485,'апрель 2025'!$D$4:$D$2485,$B39,'апрель 2025'!$J$4:$J$2485,F$1)</f>
        <v>0</v>
      </c>
      <c r="G39" s="182">
        <f>SUMIFS('апрель 2025'!$G$4:$G$2485,'апрель 2025'!$D$4:$D$2485,$B39,'апрель 2025'!$J$4:$J$2485,G$1)</f>
        <v>0</v>
      </c>
      <c r="H39" s="182">
        <f>SUMIFS('апрель 2025'!$G$4:$G$2485,'апрель 2025'!$D$4:$D$2485,$B39,'апрель 2025'!$J$4:$J$2485,H$1)</f>
        <v>0</v>
      </c>
      <c r="I39" s="182">
        <f>SUMIFS('апрель 2025'!$G$4:$G$2485,'апрель 2025'!$D$4:$D$2485,$B39,'апрель 2025'!$J$4:$J$2485,I$1)</f>
        <v>0</v>
      </c>
      <c r="J39" s="182">
        <f>SUMIFS('апрель 2025'!$G$4:$G$2485,'апрель 2025'!$D$4:$D$2485,$B39,'апрель 2025'!$J$4:$J$2485,J$1)</f>
        <v>0</v>
      </c>
      <c r="K39" s="182">
        <f>SUMIFS('апрель 2025'!$G$4:$G$2485,'апрель 2025'!$D$4:$D$2485,$B39,'апрель 2025'!$J$4:$J$2485,K$1)</f>
        <v>0</v>
      </c>
      <c r="L39" s="182">
        <f>SUMIFS('апрель 2025'!$G$4:$G$2485,'апрель 2025'!$D$4:$D$2485,$B39,'апрель 2025'!$J$4:$J$2485,L$1)</f>
        <v>0</v>
      </c>
      <c r="M39" s="182">
        <f>SUMIFS('апрель 2025'!$G$4:$G$2485,'апрель 2025'!$D$4:$D$2485,$B39,'апрель 2025'!$J$4:$J$2485,M$1)</f>
        <v>0</v>
      </c>
      <c r="N39" s="182">
        <f>SUMIFS('апрель 2025'!$G$4:$G$2485,'апрель 2025'!$D$4:$D$2485,$B39,'апрель 2025'!$J$4:$J$2485,N$1)</f>
        <v>0</v>
      </c>
      <c r="O39" s="182">
        <f>SUMIFS('апрель 2025'!$G$4:$G$2485,'апрель 2025'!$D$4:$D$2485,$B39,'апрель 2025'!$J$4:$J$2485,O$1)</f>
        <v>0</v>
      </c>
      <c r="P39" s="182">
        <f>SUMIFS('апрель 2025'!$G$4:$G$2485,'апрель 2025'!$D$4:$D$2485,$B39,'апрель 2025'!$J$4:$J$2485,P$1)</f>
        <v>0</v>
      </c>
      <c r="Q39" s="182">
        <f>SUMIFS('апрель 2025'!$G$4:$G$2485,'апрель 2025'!$D$4:$D$2485,$B39,'апрель 2025'!$J$4:$J$2485,Q$1)</f>
        <v>0</v>
      </c>
      <c r="R39" s="182">
        <f>SUMIFS('апрель 2025'!$G$4:$G$2485,'апрель 2025'!$D$4:$D$2485,$B39,'апрель 2025'!$J$4:$J$2485,R$1)</f>
        <v>1000</v>
      </c>
      <c r="S39" s="182">
        <f>SUMIFS('апрель 2025'!$G$4:$G$2485,'апрель 2025'!$D$4:$D$2485,$B39,'апрель 2025'!$J$4:$J$2485,S$1)</f>
        <v>0</v>
      </c>
      <c r="T39" s="182">
        <f>SUMIFS('апрель 2025'!$G$4:$G$2485,'апрель 2025'!$D$4:$D$2485,$B39,'апрель 2025'!$J$4:$J$2485,T$1)</f>
        <v>0</v>
      </c>
      <c r="U39" s="182">
        <f>SUMIFS('апрель 2025'!$G$4:$G$2485,'апрель 2025'!$D$4:$D$2485,$B39,'апрель 2025'!$J$4:$J$2485,U$1)</f>
        <v>0</v>
      </c>
      <c r="V39" s="182">
        <f>SUMIFS('апрель 2025'!$G$4:$G$2485,'апрель 2025'!$D$4:$D$2485,$B39,'апрель 2025'!$J$4:$J$2485,V$1)</f>
        <v>0</v>
      </c>
      <c r="W39" s="182">
        <f>SUMIFS('апрель 2025'!$G$4:$G$2485,'апрель 2025'!$D$4:$D$2485,$B39,'апрель 2025'!$J$4:$J$2485,W$1)</f>
        <v>0</v>
      </c>
      <c r="X39" s="182">
        <f>SUMIFS('апрель 2025'!$G$4:$G$2485,'апрель 2025'!$D$4:$D$2485,$B39,'апрель 2025'!$J$4:$J$2485,X$1)</f>
        <v>0</v>
      </c>
      <c r="Y39" s="182">
        <f>SUMIFS('апрель 2025'!$G$4:$G$2485,'апрель 2025'!$D$4:$D$2485,$B39,'апрель 2025'!$J$4:$J$2485,Y$1)</f>
        <v>0</v>
      </c>
      <c r="Z39" s="182">
        <f>SUMIFS('апрель 2025'!$G$4:$G$2485,'апрель 2025'!$D$4:$D$2485,$B39,'апрель 2025'!$J$4:$J$2485,Z$1)</f>
        <v>0</v>
      </c>
      <c r="AA39" s="182">
        <f>SUMIFS('апрель 2025'!$G$4:$G$2485,'апрель 2025'!$D$4:$D$2485,$B39,'апрель 2025'!$J$4:$J$2485,AA$1)</f>
        <v>0</v>
      </c>
      <c r="AB39" s="182">
        <f>SUMIFS('апрель 2025'!$G$4:$G$2485,'апрель 2025'!$D$4:$D$2485,$B39,'апрель 2025'!$J$4:$J$2485,AB$1)</f>
        <v>0</v>
      </c>
      <c r="AC39" s="182">
        <f>SUMIFS('апрель 2025'!$G$4:$G$2485,'апрель 2025'!$D$4:$D$2485,$B39,'апрель 2025'!$J$4:$J$2485,AC$1)</f>
        <v>0</v>
      </c>
      <c r="AD39" s="182">
        <f>SUMIFS('апрель 2025'!$G$4:$G$2485,'апрель 2025'!$D$4:$D$2485,$B39,'апрель 2025'!$J$4:$J$2485,AD$1)</f>
        <v>0</v>
      </c>
      <c r="AE39" s="182">
        <f>SUMIFS('апрель 2025'!$G$4:$G$2485,'апрель 2025'!$D$4:$D$2485,$B39,'апрель 2025'!$J$4:$J$2485,AE$1)</f>
        <v>0</v>
      </c>
      <c r="AF39" s="182">
        <f>SUMIFS('апрель 2025'!$G$4:$G$2485,'апрель 2025'!$D$4:$D$2485,$B39,'апрель 2025'!$J$4:$J$2485,AF$1)</f>
        <v>0</v>
      </c>
      <c r="AG39" s="182">
        <f>SUMIFS('апрель 2025'!$G$4:$G$2485,'апрель 2025'!$D$4:$D$2485,$B39,'апрель 2025'!$J$4:$J$2485,AG$1)</f>
        <v>0</v>
      </c>
      <c r="AH39" s="182">
        <f>SUMIFS('апрель 2025'!$G$4:$G$2485,'апрель 2025'!$D$4:$D$2485,$B39,'апрель 2025'!$J$4:$J$2485,AH$1)</f>
        <v>0</v>
      </c>
      <c r="AI39" s="20">
        <f t="shared" si="1"/>
        <v>1000</v>
      </c>
    </row>
    <row r="40" spans="2:35" ht="15" customHeight="1" x14ac:dyDescent="0.25">
      <c r="B40" s="131" t="s">
        <v>223</v>
      </c>
      <c r="C40" s="133">
        <v>25</v>
      </c>
      <c r="D40" s="182">
        <f>SUMIFS('апрель 2025'!$G$4:$G$2485,'апрель 2025'!$D$4:$D$2485,$B40,'апрель 2025'!$J$4:$J$2485,D$1)</f>
        <v>0</v>
      </c>
      <c r="E40" s="182">
        <f>SUMIFS('апрель 2025'!$G$4:$G$2485,'апрель 2025'!$D$4:$D$2485,$B40,'апрель 2025'!$J$4:$J$2485,E$1)</f>
        <v>0</v>
      </c>
      <c r="F40" s="182">
        <f>SUMIFS('апрель 2025'!$G$4:$G$2485,'апрель 2025'!$D$4:$D$2485,$B40,'апрель 2025'!$J$4:$J$2485,F$1)</f>
        <v>0</v>
      </c>
      <c r="G40" s="182">
        <f>SUMIFS('апрель 2025'!$G$4:$G$2485,'апрель 2025'!$D$4:$D$2485,$B40,'апрель 2025'!$J$4:$J$2485,G$1)</f>
        <v>0</v>
      </c>
      <c r="H40" s="182">
        <f>SUMIFS('апрель 2025'!$G$4:$G$2485,'апрель 2025'!$D$4:$D$2485,$B40,'апрель 2025'!$J$4:$J$2485,H$1)</f>
        <v>0</v>
      </c>
      <c r="I40" s="182">
        <f>SUMIFS('апрель 2025'!$G$4:$G$2485,'апрель 2025'!$D$4:$D$2485,$B40,'апрель 2025'!$J$4:$J$2485,I$1)</f>
        <v>0</v>
      </c>
      <c r="J40" s="182">
        <f>SUMIFS('апрель 2025'!$G$4:$G$2485,'апрель 2025'!$D$4:$D$2485,$B40,'апрель 2025'!$J$4:$J$2485,J$1)</f>
        <v>0</v>
      </c>
      <c r="K40" s="182">
        <f>SUMIFS('апрель 2025'!$G$4:$G$2485,'апрель 2025'!$D$4:$D$2485,$B40,'апрель 2025'!$J$4:$J$2485,K$1)</f>
        <v>0</v>
      </c>
      <c r="L40" s="182">
        <f>SUMIFS('апрель 2025'!$G$4:$G$2485,'апрель 2025'!$D$4:$D$2485,$B40,'апрель 2025'!$J$4:$J$2485,L$1)</f>
        <v>0</v>
      </c>
      <c r="M40" s="182">
        <f>SUMIFS('апрель 2025'!$G$4:$G$2485,'апрель 2025'!$D$4:$D$2485,$B40,'апрель 2025'!$J$4:$J$2485,M$1)</f>
        <v>0</v>
      </c>
      <c r="N40" s="182">
        <f>SUMIFS('апрель 2025'!$G$4:$G$2485,'апрель 2025'!$D$4:$D$2485,$B40,'апрель 2025'!$J$4:$J$2485,N$1)</f>
        <v>0</v>
      </c>
      <c r="O40" s="182">
        <f>SUMIFS('апрель 2025'!$G$4:$G$2485,'апрель 2025'!$D$4:$D$2485,$B40,'апрель 2025'!$J$4:$J$2485,O$1)</f>
        <v>0</v>
      </c>
      <c r="P40" s="182">
        <f>SUMIFS('апрель 2025'!$G$4:$G$2485,'апрель 2025'!$D$4:$D$2485,$B40,'апрель 2025'!$J$4:$J$2485,P$1)</f>
        <v>0</v>
      </c>
      <c r="Q40" s="182">
        <f>SUMIFS('апрель 2025'!$G$4:$G$2485,'апрель 2025'!$D$4:$D$2485,$B40,'апрель 2025'!$J$4:$J$2485,Q$1)</f>
        <v>0</v>
      </c>
      <c r="R40" s="182">
        <f>SUMIFS('апрель 2025'!$G$4:$G$2485,'апрель 2025'!$D$4:$D$2485,$B40,'апрель 2025'!$J$4:$J$2485,R$1)</f>
        <v>0</v>
      </c>
      <c r="S40" s="182">
        <f>SUMIFS('апрель 2025'!$G$4:$G$2485,'апрель 2025'!$D$4:$D$2485,$B40,'апрель 2025'!$J$4:$J$2485,S$1)</f>
        <v>0</v>
      </c>
      <c r="T40" s="182">
        <f>SUMIFS('апрель 2025'!$G$4:$G$2485,'апрель 2025'!$D$4:$D$2485,$B40,'апрель 2025'!$J$4:$J$2485,T$1)</f>
        <v>0</v>
      </c>
      <c r="U40" s="182">
        <f>SUMIFS('апрель 2025'!$G$4:$G$2485,'апрель 2025'!$D$4:$D$2485,$B40,'апрель 2025'!$J$4:$J$2485,U$1)</f>
        <v>280</v>
      </c>
      <c r="V40" s="182">
        <f>SUMIFS('апрель 2025'!$G$4:$G$2485,'апрель 2025'!$D$4:$D$2485,$B40,'апрель 2025'!$J$4:$J$2485,V$1)</f>
        <v>0</v>
      </c>
      <c r="W40" s="182">
        <f>SUMIFS('апрель 2025'!$G$4:$G$2485,'апрель 2025'!$D$4:$D$2485,$B40,'апрель 2025'!$J$4:$J$2485,W$1)</f>
        <v>0</v>
      </c>
      <c r="X40" s="182">
        <f>SUMIFS('апрель 2025'!$G$4:$G$2485,'апрель 2025'!$D$4:$D$2485,$B40,'апрель 2025'!$J$4:$J$2485,X$1)</f>
        <v>0</v>
      </c>
      <c r="Y40" s="182">
        <f>SUMIFS('апрель 2025'!$G$4:$G$2485,'апрель 2025'!$D$4:$D$2485,$B40,'апрель 2025'!$J$4:$J$2485,Y$1)</f>
        <v>0</v>
      </c>
      <c r="Z40" s="182">
        <f>SUMIFS('апрель 2025'!$G$4:$G$2485,'апрель 2025'!$D$4:$D$2485,$B40,'апрель 2025'!$J$4:$J$2485,Z$1)</f>
        <v>0</v>
      </c>
      <c r="AA40" s="182">
        <f>SUMIFS('апрель 2025'!$G$4:$G$2485,'апрель 2025'!$D$4:$D$2485,$B40,'апрель 2025'!$J$4:$J$2485,AA$1)</f>
        <v>0</v>
      </c>
      <c r="AB40" s="182">
        <f>SUMIFS('апрель 2025'!$G$4:$G$2485,'апрель 2025'!$D$4:$D$2485,$B40,'апрель 2025'!$J$4:$J$2485,AB$1)</f>
        <v>0</v>
      </c>
      <c r="AC40" s="182">
        <f>SUMIFS('апрель 2025'!$G$4:$G$2485,'апрель 2025'!$D$4:$D$2485,$B40,'апрель 2025'!$J$4:$J$2485,AC$1)</f>
        <v>0</v>
      </c>
      <c r="AD40" s="182">
        <f>SUMIFS('апрель 2025'!$G$4:$G$2485,'апрель 2025'!$D$4:$D$2485,$B40,'апрель 2025'!$J$4:$J$2485,AD$1)</f>
        <v>0</v>
      </c>
      <c r="AE40" s="182">
        <f>SUMIFS('апрель 2025'!$G$4:$G$2485,'апрель 2025'!$D$4:$D$2485,$B40,'апрель 2025'!$J$4:$J$2485,AE$1)</f>
        <v>400</v>
      </c>
      <c r="AF40" s="182">
        <f>SUMIFS('апрель 2025'!$G$4:$G$2485,'апрель 2025'!$D$4:$D$2485,$B40,'апрель 2025'!$J$4:$J$2485,AF$1)</f>
        <v>0</v>
      </c>
      <c r="AG40" s="182">
        <f>SUMIFS('апрель 2025'!$G$4:$G$2485,'апрель 2025'!$D$4:$D$2485,$B40,'апрель 2025'!$J$4:$J$2485,AG$1)</f>
        <v>0</v>
      </c>
      <c r="AH40" s="182">
        <f>SUMIFS('апрель 2025'!$G$4:$G$2485,'апрель 2025'!$D$4:$D$2485,$B40,'апрель 2025'!$J$4:$J$2485,AH$1)</f>
        <v>0</v>
      </c>
      <c r="AI40" s="20">
        <f t="shared" si="1"/>
        <v>680</v>
      </c>
    </row>
    <row r="41" spans="2:35" ht="15" customHeight="1" x14ac:dyDescent="0.25">
      <c r="B41" s="131" t="s">
        <v>225</v>
      </c>
      <c r="C41" s="134">
        <v>25</v>
      </c>
      <c r="D41" s="182">
        <f>SUMIFS('апрель 2025'!$G$4:$G$2485,'апрель 2025'!$D$4:$D$2485,$B41,'апрель 2025'!$J$4:$J$2485,D$1)</f>
        <v>0</v>
      </c>
      <c r="E41" s="182">
        <f>SUMIFS('апрель 2025'!$G$4:$G$2485,'апрель 2025'!$D$4:$D$2485,$B41,'апрель 2025'!$J$4:$J$2485,E$1)</f>
        <v>0</v>
      </c>
      <c r="F41" s="182">
        <f>SUMIFS('апрель 2025'!$G$4:$G$2485,'апрель 2025'!$D$4:$D$2485,$B41,'апрель 2025'!$J$4:$J$2485,F$1)</f>
        <v>0</v>
      </c>
      <c r="G41" s="182">
        <f>SUMIFS('апрель 2025'!$G$4:$G$2485,'апрель 2025'!$D$4:$D$2485,$B41,'апрель 2025'!$J$4:$J$2485,G$1)</f>
        <v>0</v>
      </c>
      <c r="H41" s="182">
        <f>SUMIFS('апрель 2025'!$G$4:$G$2485,'апрель 2025'!$D$4:$D$2485,$B41,'апрель 2025'!$J$4:$J$2485,H$1)</f>
        <v>0</v>
      </c>
      <c r="I41" s="182">
        <f>SUMIFS('апрель 2025'!$G$4:$G$2485,'апрель 2025'!$D$4:$D$2485,$B41,'апрель 2025'!$J$4:$J$2485,I$1)</f>
        <v>0</v>
      </c>
      <c r="J41" s="182">
        <f>SUMIFS('апрель 2025'!$G$4:$G$2485,'апрель 2025'!$D$4:$D$2485,$B41,'апрель 2025'!$J$4:$J$2485,J$1)</f>
        <v>0</v>
      </c>
      <c r="K41" s="182">
        <f>SUMIFS('апрель 2025'!$G$4:$G$2485,'апрель 2025'!$D$4:$D$2485,$B41,'апрель 2025'!$J$4:$J$2485,K$1)</f>
        <v>0</v>
      </c>
      <c r="L41" s="182">
        <f>SUMIFS('апрель 2025'!$G$4:$G$2485,'апрель 2025'!$D$4:$D$2485,$B41,'апрель 2025'!$J$4:$J$2485,L$1)</f>
        <v>0</v>
      </c>
      <c r="M41" s="182">
        <f>SUMIFS('апрель 2025'!$G$4:$G$2485,'апрель 2025'!$D$4:$D$2485,$B41,'апрель 2025'!$J$4:$J$2485,M$1)</f>
        <v>0</v>
      </c>
      <c r="N41" s="182">
        <f>SUMIFS('апрель 2025'!$G$4:$G$2485,'апрель 2025'!$D$4:$D$2485,$B41,'апрель 2025'!$J$4:$J$2485,N$1)</f>
        <v>0</v>
      </c>
      <c r="O41" s="182">
        <f>SUMIFS('апрель 2025'!$G$4:$G$2485,'апрель 2025'!$D$4:$D$2485,$B41,'апрель 2025'!$J$4:$J$2485,O$1)</f>
        <v>0</v>
      </c>
      <c r="P41" s="182">
        <f>SUMIFS('апрель 2025'!$G$4:$G$2485,'апрель 2025'!$D$4:$D$2485,$B41,'апрель 2025'!$J$4:$J$2485,P$1)</f>
        <v>0</v>
      </c>
      <c r="Q41" s="182">
        <f>SUMIFS('апрель 2025'!$G$4:$G$2485,'апрель 2025'!$D$4:$D$2485,$B41,'апрель 2025'!$J$4:$J$2485,Q$1)</f>
        <v>0</v>
      </c>
      <c r="R41" s="182">
        <f>SUMIFS('апрель 2025'!$G$4:$G$2485,'апрель 2025'!$D$4:$D$2485,$B41,'апрель 2025'!$J$4:$J$2485,R$1)</f>
        <v>0</v>
      </c>
      <c r="S41" s="182">
        <f>SUMIFS('апрель 2025'!$G$4:$G$2485,'апрель 2025'!$D$4:$D$2485,$B41,'апрель 2025'!$J$4:$J$2485,S$1)</f>
        <v>0</v>
      </c>
      <c r="T41" s="182">
        <f>SUMIFS('апрель 2025'!$G$4:$G$2485,'апрель 2025'!$D$4:$D$2485,$B41,'апрель 2025'!$J$4:$J$2485,T$1)</f>
        <v>0</v>
      </c>
      <c r="U41" s="182">
        <f>SUMIFS('апрель 2025'!$G$4:$G$2485,'апрель 2025'!$D$4:$D$2485,$B41,'апрель 2025'!$J$4:$J$2485,U$1)</f>
        <v>0</v>
      </c>
      <c r="V41" s="182">
        <f>SUMIFS('апрель 2025'!$G$4:$G$2485,'апрель 2025'!$D$4:$D$2485,$B41,'апрель 2025'!$J$4:$J$2485,V$1)</f>
        <v>0</v>
      </c>
      <c r="W41" s="182">
        <f>SUMIFS('апрель 2025'!$G$4:$G$2485,'апрель 2025'!$D$4:$D$2485,$B41,'апрель 2025'!$J$4:$J$2485,W$1)</f>
        <v>0</v>
      </c>
      <c r="X41" s="182">
        <f>SUMIFS('апрель 2025'!$G$4:$G$2485,'апрель 2025'!$D$4:$D$2485,$B41,'апрель 2025'!$J$4:$J$2485,X$1)</f>
        <v>0</v>
      </c>
      <c r="Y41" s="182">
        <f>SUMIFS('апрель 2025'!$G$4:$G$2485,'апрель 2025'!$D$4:$D$2485,$B41,'апрель 2025'!$J$4:$J$2485,Y$1)</f>
        <v>0</v>
      </c>
      <c r="Z41" s="182">
        <f>SUMIFS('апрель 2025'!$G$4:$G$2485,'апрель 2025'!$D$4:$D$2485,$B41,'апрель 2025'!$J$4:$J$2485,Z$1)</f>
        <v>0</v>
      </c>
      <c r="AA41" s="182">
        <f>SUMIFS('апрель 2025'!$G$4:$G$2485,'апрель 2025'!$D$4:$D$2485,$B41,'апрель 2025'!$J$4:$J$2485,AA$1)</f>
        <v>0</v>
      </c>
      <c r="AB41" s="182">
        <f>SUMIFS('апрель 2025'!$G$4:$G$2485,'апрель 2025'!$D$4:$D$2485,$B41,'апрель 2025'!$J$4:$J$2485,AB$1)</f>
        <v>0</v>
      </c>
      <c r="AC41" s="182">
        <f>SUMIFS('апрель 2025'!$G$4:$G$2485,'апрель 2025'!$D$4:$D$2485,$B41,'апрель 2025'!$J$4:$J$2485,AC$1)</f>
        <v>0</v>
      </c>
      <c r="AD41" s="182">
        <f>SUMIFS('апрель 2025'!$G$4:$G$2485,'апрель 2025'!$D$4:$D$2485,$B41,'апрель 2025'!$J$4:$J$2485,AD$1)</f>
        <v>0</v>
      </c>
      <c r="AE41" s="182">
        <f>SUMIFS('апрель 2025'!$G$4:$G$2485,'апрель 2025'!$D$4:$D$2485,$B41,'апрель 2025'!$J$4:$J$2485,AE$1)</f>
        <v>0</v>
      </c>
      <c r="AF41" s="182">
        <f>SUMIFS('апрель 2025'!$G$4:$G$2485,'апрель 2025'!$D$4:$D$2485,$B41,'апрель 2025'!$J$4:$J$2485,AF$1)</f>
        <v>0</v>
      </c>
      <c r="AG41" s="182">
        <f>SUMIFS('апрель 2025'!$G$4:$G$2485,'апрель 2025'!$D$4:$D$2485,$B41,'апрель 2025'!$J$4:$J$2485,AG$1)</f>
        <v>0</v>
      </c>
      <c r="AH41" s="182">
        <f>SUMIFS('апрель 2025'!$G$4:$G$2485,'апрель 2025'!$D$4:$D$2485,$B41,'апрель 2025'!$J$4:$J$2485,AH$1)</f>
        <v>0</v>
      </c>
      <c r="AI41" s="20">
        <f t="shared" si="1"/>
        <v>0</v>
      </c>
    </row>
    <row r="42" spans="2:35" ht="15" customHeight="1" x14ac:dyDescent="0.25">
      <c r="B42" s="131" t="s">
        <v>227</v>
      </c>
      <c r="C42" s="130">
        <v>22.68</v>
      </c>
      <c r="D42" s="182">
        <f>SUMIFS('апрель 2025'!$G$4:$G$2485,'апрель 2025'!$D$4:$D$2485,$B42,'апрель 2025'!$J$4:$J$2485,D$1)</f>
        <v>0</v>
      </c>
      <c r="E42" s="182">
        <f>SUMIFS('апрель 2025'!$G$4:$G$2485,'апрель 2025'!$D$4:$D$2485,$B42,'апрель 2025'!$J$4:$J$2485,E$1)</f>
        <v>0</v>
      </c>
      <c r="F42" s="182">
        <f>SUMIFS('апрель 2025'!$G$4:$G$2485,'апрель 2025'!$D$4:$D$2485,$B42,'апрель 2025'!$J$4:$J$2485,F$1)</f>
        <v>0</v>
      </c>
      <c r="G42" s="182">
        <f>SUMIFS('апрель 2025'!$G$4:$G$2485,'апрель 2025'!$D$4:$D$2485,$B42,'апрель 2025'!$J$4:$J$2485,G$1)</f>
        <v>0</v>
      </c>
      <c r="H42" s="182">
        <f>SUMIFS('апрель 2025'!$G$4:$G$2485,'апрель 2025'!$D$4:$D$2485,$B42,'апрель 2025'!$J$4:$J$2485,H$1)</f>
        <v>0</v>
      </c>
      <c r="I42" s="182">
        <f>SUMIFS('апрель 2025'!$G$4:$G$2485,'апрель 2025'!$D$4:$D$2485,$B42,'апрель 2025'!$J$4:$J$2485,I$1)</f>
        <v>0</v>
      </c>
      <c r="J42" s="182">
        <f>SUMIFS('апрель 2025'!$G$4:$G$2485,'апрель 2025'!$D$4:$D$2485,$B42,'апрель 2025'!$J$4:$J$2485,J$1)</f>
        <v>0</v>
      </c>
      <c r="K42" s="182">
        <f>SUMIFS('апрель 2025'!$G$4:$G$2485,'апрель 2025'!$D$4:$D$2485,$B42,'апрель 2025'!$J$4:$J$2485,K$1)</f>
        <v>0</v>
      </c>
      <c r="L42" s="182">
        <f>SUMIFS('апрель 2025'!$G$4:$G$2485,'апрель 2025'!$D$4:$D$2485,$B42,'апрель 2025'!$J$4:$J$2485,L$1)</f>
        <v>0</v>
      </c>
      <c r="M42" s="182">
        <f>SUMIFS('апрель 2025'!$G$4:$G$2485,'апрель 2025'!$D$4:$D$2485,$B42,'апрель 2025'!$J$4:$J$2485,M$1)</f>
        <v>0</v>
      </c>
      <c r="N42" s="182">
        <f>SUMIFS('апрель 2025'!$G$4:$G$2485,'апрель 2025'!$D$4:$D$2485,$B42,'апрель 2025'!$J$4:$J$2485,N$1)</f>
        <v>0</v>
      </c>
      <c r="O42" s="182">
        <f>SUMIFS('апрель 2025'!$G$4:$G$2485,'апрель 2025'!$D$4:$D$2485,$B42,'апрель 2025'!$J$4:$J$2485,O$1)</f>
        <v>0</v>
      </c>
      <c r="P42" s="182">
        <f>SUMIFS('апрель 2025'!$G$4:$G$2485,'апрель 2025'!$D$4:$D$2485,$B42,'апрель 2025'!$J$4:$J$2485,P$1)</f>
        <v>0</v>
      </c>
      <c r="Q42" s="182">
        <f>SUMIFS('апрель 2025'!$G$4:$G$2485,'апрель 2025'!$D$4:$D$2485,$B42,'апрель 2025'!$J$4:$J$2485,Q$1)</f>
        <v>0</v>
      </c>
      <c r="R42" s="182">
        <f>SUMIFS('апрель 2025'!$G$4:$G$2485,'апрель 2025'!$D$4:$D$2485,$B42,'апрель 2025'!$J$4:$J$2485,R$1)</f>
        <v>0</v>
      </c>
      <c r="S42" s="182">
        <f>SUMIFS('апрель 2025'!$G$4:$G$2485,'апрель 2025'!$D$4:$D$2485,$B42,'апрель 2025'!$J$4:$J$2485,S$1)</f>
        <v>0</v>
      </c>
      <c r="T42" s="182">
        <f>SUMIFS('апрель 2025'!$G$4:$G$2485,'апрель 2025'!$D$4:$D$2485,$B42,'апрель 2025'!$J$4:$J$2485,T$1)</f>
        <v>0</v>
      </c>
      <c r="U42" s="182">
        <f>SUMIFS('апрель 2025'!$G$4:$G$2485,'апрель 2025'!$D$4:$D$2485,$B42,'апрель 2025'!$J$4:$J$2485,U$1)</f>
        <v>0</v>
      </c>
      <c r="V42" s="182">
        <f>SUMIFS('апрель 2025'!$G$4:$G$2485,'апрель 2025'!$D$4:$D$2485,$B42,'апрель 2025'!$J$4:$J$2485,V$1)</f>
        <v>0</v>
      </c>
      <c r="W42" s="182">
        <f>SUMIFS('апрель 2025'!$G$4:$G$2485,'апрель 2025'!$D$4:$D$2485,$B42,'апрель 2025'!$J$4:$J$2485,W$1)</f>
        <v>0</v>
      </c>
      <c r="X42" s="182">
        <f>SUMIFS('апрель 2025'!$G$4:$G$2485,'апрель 2025'!$D$4:$D$2485,$B42,'апрель 2025'!$J$4:$J$2485,X$1)</f>
        <v>0</v>
      </c>
      <c r="Y42" s="182">
        <f>SUMIFS('апрель 2025'!$G$4:$G$2485,'апрель 2025'!$D$4:$D$2485,$B42,'апрель 2025'!$J$4:$J$2485,Y$1)</f>
        <v>0</v>
      </c>
      <c r="Z42" s="182">
        <f>SUMIFS('апрель 2025'!$G$4:$G$2485,'апрель 2025'!$D$4:$D$2485,$B42,'апрель 2025'!$J$4:$J$2485,Z$1)</f>
        <v>0</v>
      </c>
      <c r="AA42" s="182">
        <f>SUMIFS('апрель 2025'!$G$4:$G$2485,'апрель 2025'!$D$4:$D$2485,$B42,'апрель 2025'!$J$4:$J$2485,AA$1)</f>
        <v>0</v>
      </c>
      <c r="AB42" s="182">
        <f>SUMIFS('апрель 2025'!$G$4:$G$2485,'апрель 2025'!$D$4:$D$2485,$B42,'апрель 2025'!$J$4:$J$2485,AB$1)</f>
        <v>0</v>
      </c>
      <c r="AC42" s="182">
        <f>SUMIFS('апрель 2025'!$G$4:$G$2485,'апрель 2025'!$D$4:$D$2485,$B42,'апрель 2025'!$J$4:$J$2485,AC$1)</f>
        <v>0</v>
      </c>
      <c r="AD42" s="182">
        <f>SUMIFS('апрель 2025'!$G$4:$G$2485,'апрель 2025'!$D$4:$D$2485,$B42,'апрель 2025'!$J$4:$J$2485,AD$1)</f>
        <v>0</v>
      </c>
      <c r="AE42" s="182">
        <f>SUMIFS('апрель 2025'!$G$4:$G$2485,'апрель 2025'!$D$4:$D$2485,$B42,'апрель 2025'!$J$4:$J$2485,AE$1)</f>
        <v>0</v>
      </c>
      <c r="AF42" s="182">
        <f>SUMIFS('апрель 2025'!$G$4:$G$2485,'апрель 2025'!$D$4:$D$2485,$B42,'апрель 2025'!$J$4:$J$2485,AF$1)</f>
        <v>0</v>
      </c>
      <c r="AG42" s="182">
        <f>SUMIFS('апрель 2025'!$G$4:$G$2485,'апрель 2025'!$D$4:$D$2485,$B42,'апрель 2025'!$J$4:$J$2485,AG$1)</f>
        <v>0</v>
      </c>
      <c r="AH42" s="182">
        <f>SUMIFS('апрель 2025'!$G$4:$G$2485,'апрель 2025'!$D$4:$D$2485,$B42,'апрель 2025'!$J$4:$J$2485,AH$1)</f>
        <v>0</v>
      </c>
      <c r="AI42" s="20">
        <f t="shared" si="1"/>
        <v>0</v>
      </c>
    </row>
    <row r="43" spans="2:35" ht="15" customHeight="1" x14ac:dyDescent="0.25">
      <c r="B43" s="135" t="s">
        <v>229</v>
      </c>
      <c r="C43" s="132">
        <v>25</v>
      </c>
      <c r="D43" s="182">
        <f>SUMIFS('апрель 2025'!$G$4:$G$2485,'апрель 2025'!$D$4:$D$2485,$B43,'апрель 2025'!$J$4:$J$2485,D$1)</f>
        <v>0</v>
      </c>
      <c r="E43" s="182">
        <f>SUMIFS('апрель 2025'!$G$4:$G$2485,'апрель 2025'!$D$4:$D$2485,$B43,'апрель 2025'!$J$4:$J$2485,E$1)</f>
        <v>0</v>
      </c>
      <c r="F43" s="182">
        <f>SUMIFS('апрель 2025'!$G$4:$G$2485,'апрель 2025'!$D$4:$D$2485,$B43,'апрель 2025'!$J$4:$J$2485,F$1)</f>
        <v>0</v>
      </c>
      <c r="G43" s="182">
        <f>SUMIFS('апрель 2025'!$G$4:$G$2485,'апрель 2025'!$D$4:$D$2485,$B43,'апрель 2025'!$J$4:$J$2485,G$1)</f>
        <v>0</v>
      </c>
      <c r="H43" s="182">
        <f>SUMIFS('апрель 2025'!$G$4:$G$2485,'апрель 2025'!$D$4:$D$2485,$B43,'апрель 2025'!$J$4:$J$2485,H$1)</f>
        <v>0</v>
      </c>
      <c r="I43" s="182">
        <f>SUMIFS('апрель 2025'!$G$4:$G$2485,'апрель 2025'!$D$4:$D$2485,$B43,'апрель 2025'!$J$4:$J$2485,I$1)</f>
        <v>0</v>
      </c>
      <c r="J43" s="182">
        <f>SUMIFS('апрель 2025'!$G$4:$G$2485,'апрель 2025'!$D$4:$D$2485,$B43,'апрель 2025'!$J$4:$J$2485,J$1)</f>
        <v>0</v>
      </c>
      <c r="K43" s="182">
        <f>SUMIFS('апрель 2025'!$G$4:$G$2485,'апрель 2025'!$D$4:$D$2485,$B43,'апрель 2025'!$J$4:$J$2485,K$1)</f>
        <v>0</v>
      </c>
      <c r="L43" s="182">
        <f>SUMIFS('апрель 2025'!$G$4:$G$2485,'апрель 2025'!$D$4:$D$2485,$B43,'апрель 2025'!$J$4:$J$2485,L$1)</f>
        <v>0</v>
      </c>
      <c r="M43" s="182">
        <f>SUMIFS('апрель 2025'!$G$4:$G$2485,'апрель 2025'!$D$4:$D$2485,$B43,'апрель 2025'!$J$4:$J$2485,M$1)</f>
        <v>0</v>
      </c>
      <c r="N43" s="182">
        <f>SUMIFS('апрель 2025'!$G$4:$G$2485,'апрель 2025'!$D$4:$D$2485,$B43,'апрель 2025'!$J$4:$J$2485,N$1)</f>
        <v>0</v>
      </c>
      <c r="O43" s="182">
        <f>SUMIFS('апрель 2025'!$G$4:$G$2485,'апрель 2025'!$D$4:$D$2485,$B43,'апрель 2025'!$J$4:$J$2485,O$1)</f>
        <v>0</v>
      </c>
      <c r="P43" s="182">
        <f>SUMIFS('апрель 2025'!$G$4:$G$2485,'апрель 2025'!$D$4:$D$2485,$B43,'апрель 2025'!$J$4:$J$2485,P$1)</f>
        <v>0</v>
      </c>
      <c r="Q43" s="182">
        <f>SUMIFS('апрель 2025'!$G$4:$G$2485,'апрель 2025'!$D$4:$D$2485,$B43,'апрель 2025'!$J$4:$J$2485,Q$1)</f>
        <v>0</v>
      </c>
      <c r="R43" s="182">
        <f>SUMIFS('апрель 2025'!$G$4:$G$2485,'апрель 2025'!$D$4:$D$2485,$B43,'апрель 2025'!$J$4:$J$2485,R$1)</f>
        <v>0</v>
      </c>
      <c r="S43" s="182">
        <f>SUMIFS('апрель 2025'!$G$4:$G$2485,'апрель 2025'!$D$4:$D$2485,$B43,'апрель 2025'!$J$4:$J$2485,S$1)</f>
        <v>0</v>
      </c>
      <c r="T43" s="182">
        <f>SUMIFS('апрель 2025'!$G$4:$G$2485,'апрель 2025'!$D$4:$D$2485,$B43,'апрель 2025'!$J$4:$J$2485,T$1)</f>
        <v>0</v>
      </c>
      <c r="U43" s="182">
        <f>SUMIFS('апрель 2025'!$G$4:$G$2485,'апрель 2025'!$D$4:$D$2485,$B43,'апрель 2025'!$J$4:$J$2485,U$1)</f>
        <v>0</v>
      </c>
      <c r="V43" s="182">
        <f>SUMIFS('апрель 2025'!$G$4:$G$2485,'апрель 2025'!$D$4:$D$2485,$B43,'апрель 2025'!$J$4:$J$2485,V$1)</f>
        <v>0</v>
      </c>
      <c r="W43" s="182">
        <f>SUMIFS('апрель 2025'!$G$4:$G$2485,'апрель 2025'!$D$4:$D$2485,$B43,'апрель 2025'!$J$4:$J$2485,W$1)</f>
        <v>0</v>
      </c>
      <c r="X43" s="182">
        <f>SUMIFS('апрель 2025'!$G$4:$G$2485,'апрель 2025'!$D$4:$D$2485,$B43,'апрель 2025'!$J$4:$J$2485,X$1)</f>
        <v>0</v>
      </c>
      <c r="Y43" s="182">
        <f>SUMIFS('апрель 2025'!$G$4:$G$2485,'апрель 2025'!$D$4:$D$2485,$B43,'апрель 2025'!$J$4:$J$2485,Y$1)</f>
        <v>0</v>
      </c>
      <c r="Z43" s="182">
        <f>SUMIFS('апрель 2025'!$G$4:$G$2485,'апрель 2025'!$D$4:$D$2485,$B43,'апрель 2025'!$J$4:$J$2485,Z$1)</f>
        <v>0</v>
      </c>
      <c r="AA43" s="182">
        <f>SUMIFS('апрель 2025'!$G$4:$G$2485,'апрель 2025'!$D$4:$D$2485,$B43,'апрель 2025'!$J$4:$J$2485,AA$1)</f>
        <v>0</v>
      </c>
      <c r="AB43" s="182">
        <f>SUMIFS('апрель 2025'!$G$4:$G$2485,'апрель 2025'!$D$4:$D$2485,$B43,'апрель 2025'!$J$4:$J$2485,AB$1)</f>
        <v>0</v>
      </c>
      <c r="AC43" s="182">
        <f>SUMIFS('апрель 2025'!$G$4:$G$2485,'апрель 2025'!$D$4:$D$2485,$B43,'апрель 2025'!$J$4:$J$2485,AC$1)</f>
        <v>0</v>
      </c>
      <c r="AD43" s="182">
        <f>SUMIFS('апрель 2025'!$G$4:$G$2485,'апрель 2025'!$D$4:$D$2485,$B43,'апрель 2025'!$J$4:$J$2485,AD$1)</f>
        <v>0</v>
      </c>
      <c r="AE43" s="182">
        <f>SUMIFS('апрель 2025'!$G$4:$G$2485,'апрель 2025'!$D$4:$D$2485,$B43,'апрель 2025'!$J$4:$J$2485,AE$1)</f>
        <v>0</v>
      </c>
      <c r="AF43" s="182">
        <f>SUMIFS('апрель 2025'!$G$4:$G$2485,'апрель 2025'!$D$4:$D$2485,$B43,'апрель 2025'!$J$4:$J$2485,AF$1)</f>
        <v>0</v>
      </c>
      <c r="AG43" s="182">
        <f>SUMIFS('апрель 2025'!$G$4:$G$2485,'апрель 2025'!$D$4:$D$2485,$B43,'апрель 2025'!$J$4:$J$2485,AG$1)</f>
        <v>0</v>
      </c>
      <c r="AH43" s="182">
        <f>SUMIFS('апрель 2025'!$G$4:$G$2485,'апрель 2025'!$D$4:$D$2485,$B43,'апрель 2025'!$J$4:$J$2485,AH$1)</f>
        <v>0</v>
      </c>
      <c r="AI43" s="20">
        <f t="shared" si="1"/>
        <v>0</v>
      </c>
    </row>
    <row r="44" spans="2:35" ht="15" customHeight="1" x14ac:dyDescent="0.25">
      <c r="B44" s="131" t="s">
        <v>230</v>
      </c>
      <c r="C44" s="134">
        <v>25</v>
      </c>
      <c r="D44" s="182">
        <f>SUMIFS('апрель 2025'!$G$4:$G$2485,'апрель 2025'!$D$4:$D$2485,$B44,'апрель 2025'!$J$4:$J$2485,D$1)</f>
        <v>0</v>
      </c>
      <c r="E44" s="182">
        <f>SUMIFS('апрель 2025'!$G$4:$G$2485,'апрель 2025'!$D$4:$D$2485,$B44,'апрель 2025'!$J$4:$J$2485,E$1)</f>
        <v>0</v>
      </c>
      <c r="F44" s="182">
        <f>SUMIFS('апрель 2025'!$G$4:$G$2485,'апрель 2025'!$D$4:$D$2485,$B44,'апрель 2025'!$J$4:$J$2485,F$1)</f>
        <v>0</v>
      </c>
      <c r="G44" s="182">
        <f>SUMIFS('апрель 2025'!$G$4:$G$2485,'апрель 2025'!$D$4:$D$2485,$B44,'апрель 2025'!$J$4:$J$2485,G$1)</f>
        <v>0</v>
      </c>
      <c r="H44" s="182">
        <f>SUMIFS('апрель 2025'!$G$4:$G$2485,'апрель 2025'!$D$4:$D$2485,$B44,'апрель 2025'!$J$4:$J$2485,H$1)</f>
        <v>0</v>
      </c>
      <c r="I44" s="182">
        <f>SUMIFS('апрель 2025'!$G$4:$G$2485,'апрель 2025'!$D$4:$D$2485,$B44,'апрель 2025'!$J$4:$J$2485,I$1)</f>
        <v>0</v>
      </c>
      <c r="J44" s="182">
        <f>SUMIFS('апрель 2025'!$G$4:$G$2485,'апрель 2025'!$D$4:$D$2485,$B44,'апрель 2025'!$J$4:$J$2485,J$1)</f>
        <v>0</v>
      </c>
      <c r="K44" s="182">
        <f>SUMIFS('апрель 2025'!$G$4:$G$2485,'апрель 2025'!$D$4:$D$2485,$B44,'апрель 2025'!$J$4:$J$2485,K$1)</f>
        <v>0</v>
      </c>
      <c r="L44" s="182">
        <f>SUMIFS('апрель 2025'!$G$4:$G$2485,'апрель 2025'!$D$4:$D$2485,$B44,'апрель 2025'!$J$4:$J$2485,L$1)</f>
        <v>0</v>
      </c>
      <c r="M44" s="182">
        <f>SUMIFS('апрель 2025'!$G$4:$G$2485,'апрель 2025'!$D$4:$D$2485,$B44,'апрель 2025'!$J$4:$J$2485,M$1)</f>
        <v>1</v>
      </c>
      <c r="N44" s="182">
        <f>SUMIFS('апрель 2025'!$G$4:$G$2485,'апрель 2025'!$D$4:$D$2485,$B44,'апрель 2025'!$J$4:$J$2485,N$1)</f>
        <v>0</v>
      </c>
      <c r="O44" s="182">
        <f>SUMIFS('апрель 2025'!$G$4:$G$2485,'апрель 2025'!$D$4:$D$2485,$B44,'апрель 2025'!$J$4:$J$2485,O$1)</f>
        <v>0</v>
      </c>
      <c r="P44" s="182">
        <f>SUMIFS('апрель 2025'!$G$4:$G$2485,'апрель 2025'!$D$4:$D$2485,$B44,'апрель 2025'!$J$4:$J$2485,P$1)</f>
        <v>0</v>
      </c>
      <c r="Q44" s="182">
        <f>SUMIFS('апрель 2025'!$G$4:$G$2485,'апрель 2025'!$D$4:$D$2485,$B44,'апрель 2025'!$J$4:$J$2485,Q$1)</f>
        <v>0</v>
      </c>
      <c r="R44" s="182">
        <f>SUMIFS('апрель 2025'!$G$4:$G$2485,'апрель 2025'!$D$4:$D$2485,$B44,'апрель 2025'!$J$4:$J$2485,R$1)</f>
        <v>0</v>
      </c>
      <c r="S44" s="182">
        <f>SUMIFS('апрель 2025'!$G$4:$G$2485,'апрель 2025'!$D$4:$D$2485,$B44,'апрель 2025'!$J$4:$J$2485,S$1)</f>
        <v>0</v>
      </c>
      <c r="T44" s="182">
        <f>SUMIFS('апрель 2025'!$G$4:$G$2485,'апрель 2025'!$D$4:$D$2485,$B44,'апрель 2025'!$J$4:$J$2485,T$1)</f>
        <v>0</v>
      </c>
      <c r="U44" s="182">
        <f>SUMIFS('апрель 2025'!$G$4:$G$2485,'апрель 2025'!$D$4:$D$2485,$B44,'апрель 2025'!$J$4:$J$2485,U$1)</f>
        <v>0</v>
      </c>
      <c r="V44" s="182">
        <f>SUMIFS('апрель 2025'!$G$4:$G$2485,'апрель 2025'!$D$4:$D$2485,$B44,'апрель 2025'!$J$4:$J$2485,V$1)</f>
        <v>0</v>
      </c>
      <c r="W44" s="182">
        <f>SUMIFS('апрель 2025'!$G$4:$G$2485,'апрель 2025'!$D$4:$D$2485,$B44,'апрель 2025'!$J$4:$J$2485,W$1)</f>
        <v>0</v>
      </c>
      <c r="X44" s="182">
        <f>SUMIFS('апрель 2025'!$G$4:$G$2485,'апрель 2025'!$D$4:$D$2485,$B44,'апрель 2025'!$J$4:$J$2485,X$1)</f>
        <v>0</v>
      </c>
      <c r="Y44" s="182">
        <f>SUMIFS('апрель 2025'!$G$4:$G$2485,'апрель 2025'!$D$4:$D$2485,$B44,'апрель 2025'!$J$4:$J$2485,Y$1)</f>
        <v>0</v>
      </c>
      <c r="Z44" s="182">
        <f>SUMIFS('апрель 2025'!$G$4:$G$2485,'апрель 2025'!$D$4:$D$2485,$B44,'апрель 2025'!$J$4:$J$2485,Z$1)</f>
        <v>0</v>
      </c>
      <c r="AA44" s="182">
        <f>SUMIFS('апрель 2025'!$G$4:$G$2485,'апрель 2025'!$D$4:$D$2485,$B44,'апрель 2025'!$J$4:$J$2485,AA$1)</f>
        <v>0</v>
      </c>
      <c r="AB44" s="182">
        <f>SUMIFS('апрель 2025'!$G$4:$G$2485,'апрель 2025'!$D$4:$D$2485,$B44,'апрель 2025'!$J$4:$J$2485,AB$1)</f>
        <v>0</v>
      </c>
      <c r="AC44" s="182">
        <f>SUMIFS('апрель 2025'!$G$4:$G$2485,'апрель 2025'!$D$4:$D$2485,$B44,'апрель 2025'!$J$4:$J$2485,AC$1)</f>
        <v>0</v>
      </c>
      <c r="AD44" s="182">
        <f>SUMIFS('апрель 2025'!$G$4:$G$2485,'апрель 2025'!$D$4:$D$2485,$B44,'апрель 2025'!$J$4:$J$2485,AD$1)</f>
        <v>0</v>
      </c>
      <c r="AE44" s="182">
        <f>SUMIFS('апрель 2025'!$G$4:$G$2485,'апрель 2025'!$D$4:$D$2485,$B44,'апрель 2025'!$J$4:$J$2485,AE$1)</f>
        <v>0</v>
      </c>
      <c r="AF44" s="182">
        <f>SUMIFS('апрель 2025'!$G$4:$G$2485,'апрель 2025'!$D$4:$D$2485,$B44,'апрель 2025'!$J$4:$J$2485,AF$1)</f>
        <v>0</v>
      </c>
      <c r="AG44" s="182">
        <f>SUMIFS('апрель 2025'!$G$4:$G$2485,'апрель 2025'!$D$4:$D$2485,$B44,'апрель 2025'!$J$4:$J$2485,AG$1)</f>
        <v>0</v>
      </c>
      <c r="AH44" s="182">
        <f>SUMIFS('апрель 2025'!$G$4:$G$2485,'апрель 2025'!$D$4:$D$2485,$B44,'апрель 2025'!$J$4:$J$2485,AH$1)</f>
        <v>0</v>
      </c>
      <c r="AI44" s="20">
        <f t="shared" si="1"/>
        <v>1</v>
      </c>
    </row>
    <row r="45" spans="2:35" ht="15" customHeight="1" x14ac:dyDescent="0.25">
      <c r="B45" s="135" t="s">
        <v>288</v>
      </c>
      <c r="C45" s="137">
        <v>25</v>
      </c>
      <c r="D45" s="182">
        <f>SUMIFS('апрель 2025'!$G$4:$G$2485,'апрель 2025'!$D$4:$D$2485,$B45,'апрель 2025'!$J$4:$J$2485,D$1)</f>
        <v>0</v>
      </c>
      <c r="E45" s="182">
        <f>SUMIFS('апрель 2025'!$G$4:$G$2485,'апрель 2025'!$D$4:$D$2485,$B45,'апрель 2025'!$J$4:$J$2485,E$1)</f>
        <v>0</v>
      </c>
      <c r="F45" s="182">
        <f>SUMIFS('апрель 2025'!$G$4:$G$2485,'апрель 2025'!$D$4:$D$2485,$B45,'апрель 2025'!$J$4:$J$2485,F$1)</f>
        <v>0</v>
      </c>
      <c r="G45" s="182">
        <f>SUMIFS('апрель 2025'!$G$4:$G$2485,'апрель 2025'!$D$4:$D$2485,$B45,'апрель 2025'!$J$4:$J$2485,G$1)</f>
        <v>0</v>
      </c>
      <c r="H45" s="182">
        <f>SUMIFS('апрель 2025'!$G$4:$G$2485,'апрель 2025'!$D$4:$D$2485,$B45,'апрель 2025'!$J$4:$J$2485,H$1)</f>
        <v>0</v>
      </c>
      <c r="I45" s="182">
        <f>SUMIFS('апрель 2025'!$G$4:$G$2485,'апрель 2025'!$D$4:$D$2485,$B45,'апрель 2025'!$J$4:$J$2485,I$1)</f>
        <v>0</v>
      </c>
      <c r="J45" s="182">
        <f>SUMIFS('апрель 2025'!$G$4:$G$2485,'апрель 2025'!$D$4:$D$2485,$B45,'апрель 2025'!$J$4:$J$2485,J$1)</f>
        <v>0</v>
      </c>
      <c r="K45" s="182">
        <f>SUMIFS('апрель 2025'!$G$4:$G$2485,'апрель 2025'!$D$4:$D$2485,$B45,'апрель 2025'!$J$4:$J$2485,K$1)</f>
        <v>0</v>
      </c>
      <c r="L45" s="182">
        <f>SUMIFS('апрель 2025'!$G$4:$G$2485,'апрель 2025'!$D$4:$D$2485,$B45,'апрель 2025'!$J$4:$J$2485,L$1)</f>
        <v>0</v>
      </c>
      <c r="M45" s="182">
        <f>SUMIFS('апрель 2025'!$G$4:$G$2485,'апрель 2025'!$D$4:$D$2485,$B45,'апрель 2025'!$J$4:$J$2485,M$1)</f>
        <v>0</v>
      </c>
      <c r="N45" s="182">
        <f>SUMIFS('апрель 2025'!$G$4:$G$2485,'апрель 2025'!$D$4:$D$2485,$B45,'апрель 2025'!$J$4:$J$2485,N$1)</f>
        <v>0</v>
      </c>
      <c r="O45" s="182">
        <f>SUMIFS('апрель 2025'!$G$4:$G$2485,'апрель 2025'!$D$4:$D$2485,$B45,'апрель 2025'!$J$4:$J$2485,O$1)</f>
        <v>0</v>
      </c>
      <c r="P45" s="182">
        <f>SUMIFS('апрель 2025'!$G$4:$G$2485,'апрель 2025'!$D$4:$D$2485,$B45,'апрель 2025'!$J$4:$J$2485,P$1)</f>
        <v>0</v>
      </c>
      <c r="Q45" s="182">
        <f>SUMIFS('апрель 2025'!$G$4:$G$2485,'апрель 2025'!$D$4:$D$2485,$B45,'апрель 2025'!$J$4:$J$2485,Q$1)</f>
        <v>0</v>
      </c>
      <c r="R45" s="182">
        <f>SUMIFS('апрель 2025'!$G$4:$G$2485,'апрель 2025'!$D$4:$D$2485,$B45,'апрель 2025'!$J$4:$J$2485,R$1)</f>
        <v>0</v>
      </c>
      <c r="S45" s="182">
        <f>SUMIFS('апрель 2025'!$G$4:$G$2485,'апрель 2025'!$D$4:$D$2485,$B45,'апрель 2025'!$J$4:$J$2485,S$1)</f>
        <v>0</v>
      </c>
      <c r="T45" s="182">
        <f>SUMIFS('апрель 2025'!$G$4:$G$2485,'апрель 2025'!$D$4:$D$2485,$B45,'апрель 2025'!$J$4:$J$2485,T$1)</f>
        <v>0</v>
      </c>
      <c r="U45" s="182">
        <f>SUMIFS('апрель 2025'!$G$4:$G$2485,'апрель 2025'!$D$4:$D$2485,$B45,'апрель 2025'!$J$4:$J$2485,U$1)</f>
        <v>0</v>
      </c>
      <c r="V45" s="182">
        <f>SUMIFS('апрель 2025'!$G$4:$G$2485,'апрель 2025'!$D$4:$D$2485,$B45,'апрель 2025'!$J$4:$J$2485,V$1)</f>
        <v>0</v>
      </c>
      <c r="W45" s="182">
        <f>SUMIFS('апрель 2025'!$G$4:$G$2485,'апрель 2025'!$D$4:$D$2485,$B45,'апрель 2025'!$J$4:$J$2485,W$1)</f>
        <v>0</v>
      </c>
      <c r="X45" s="182">
        <f>SUMIFS('апрель 2025'!$G$4:$G$2485,'апрель 2025'!$D$4:$D$2485,$B45,'апрель 2025'!$J$4:$J$2485,X$1)</f>
        <v>0</v>
      </c>
      <c r="Y45" s="182">
        <f>SUMIFS('апрель 2025'!$G$4:$G$2485,'апрель 2025'!$D$4:$D$2485,$B45,'апрель 2025'!$J$4:$J$2485,Y$1)</f>
        <v>0</v>
      </c>
      <c r="Z45" s="182">
        <f>SUMIFS('апрель 2025'!$G$4:$G$2485,'апрель 2025'!$D$4:$D$2485,$B45,'апрель 2025'!$J$4:$J$2485,Z$1)</f>
        <v>0</v>
      </c>
      <c r="AA45" s="182">
        <f>SUMIFS('апрель 2025'!$G$4:$G$2485,'апрель 2025'!$D$4:$D$2485,$B45,'апрель 2025'!$J$4:$J$2485,AA$1)</f>
        <v>0</v>
      </c>
      <c r="AB45" s="182">
        <f>SUMIFS('апрель 2025'!$G$4:$G$2485,'апрель 2025'!$D$4:$D$2485,$B45,'апрель 2025'!$J$4:$J$2485,AB$1)</f>
        <v>0</v>
      </c>
      <c r="AC45" s="182">
        <f>SUMIFS('апрель 2025'!$G$4:$G$2485,'апрель 2025'!$D$4:$D$2485,$B45,'апрель 2025'!$J$4:$J$2485,AC$1)</f>
        <v>0</v>
      </c>
      <c r="AD45" s="182">
        <f>SUMIFS('апрель 2025'!$G$4:$G$2485,'апрель 2025'!$D$4:$D$2485,$B45,'апрель 2025'!$J$4:$J$2485,AD$1)</f>
        <v>0</v>
      </c>
      <c r="AE45" s="182">
        <f>SUMIFS('апрель 2025'!$G$4:$G$2485,'апрель 2025'!$D$4:$D$2485,$B45,'апрель 2025'!$J$4:$J$2485,AE$1)</f>
        <v>0</v>
      </c>
      <c r="AF45" s="182">
        <f>SUMIFS('апрель 2025'!$G$4:$G$2485,'апрель 2025'!$D$4:$D$2485,$B45,'апрель 2025'!$J$4:$J$2485,AF$1)</f>
        <v>0</v>
      </c>
      <c r="AG45" s="182">
        <f>SUMIFS('апрель 2025'!$G$4:$G$2485,'апрель 2025'!$D$4:$D$2485,$B45,'апрель 2025'!$J$4:$J$2485,AG$1)</f>
        <v>0</v>
      </c>
      <c r="AH45" s="182">
        <f>SUMIFS('апрель 2025'!$G$4:$G$2485,'апрель 2025'!$D$4:$D$2485,$B45,'апрель 2025'!$J$4:$J$2485,AH$1)</f>
        <v>0</v>
      </c>
      <c r="AI45" s="20">
        <f t="shared" si="1"/>
        <v>0</v>
      </c>
    </row>
    <row r="46" spans="2:35" ht="15" customHeight="1" x14ac:dyDescent="0.25">
      <c r="B46" s="135" t="s">
        <v>232</v>
      </c>
      <c r="C46" s="132">
        <v>25</v>
      </c>
      <c r="D46" s="182">
        <f>SUMIFS('апрель 2025'!$G$4:$G$2485,'апрель 2025'!$D$4:$D$2485,$B46,'апрель 2025'!$J$4:$J$2485,D$1)</f>
        <v>0</v>
      </c>
      <c r="E46" s="182">
        <f>SUMIFS('апрель 2025'!$G$4:$G$2485,'апрель 2025'!$D$4:$D$2485,$B46,'апрель 2025'!$J$4:$J$2485,E$1)</f>
        <v>0</v>
      </c>
      <c r="F46" s="182">
        <f>SUMIFS('апрель 2025'!$G$4:$G$2485,'апрель 2025'!$D$4:$D$2485,$B46,'апрель 2025'!$J$4:$J$2485,F$1)</f>
        <v>0</v>
      </c>
      <c r="G46" s="182">
        <f>SUMIFS('апрель 2025'!$G$4:$G$2485,'апрель 2025'!$D$4:$D$2485,$B46,'апрель 2025'!$J$4:$J$2485,G$1)</f>
        <v>0</v>
      </c>
      <c r="H46" s="182">
        <f>SUMIFS('апрель 2025'!$G$4:$G$2485,'апрель 2025'!$D$4:$D$2485,$B46,'апрель 2025'!$J$4:$J$2485,H$1)</f>
        <v>0</v>
      </c>
      <c r="I46" s="182">
        <f>SUMIFS('апрель 2025'!$G$4:$G$2485,'апрель 2025'!$D$4:$D$2485,$B46,'апрель 2025'!$J$4:$J$2485,I$1)</f>
        <v>0</v>
      </c>
      <c r="J46" s="182">
        <f>SUMIFS('апрель 2025'!$G$4:$G$2485,'апрель 2025'!$D$4:$D$2485,$B46,'апрель 2025'!$J$4:$J$2485,J$1)</f>
        <v>0</v>
      </c>
      <c r="K46" s="182">
        <f>SUMIFS('апрель 2025'!$G$4:$G$2485,'апрель 2025'!$D$4:$D$2485,$B46,'апрель 2025'!$J$4:$J$2485,K$1)</f>
        <v>0</v>
      </c>
      <c r="L46" s="182">
        <f>SUMIFS('апрель 2025'!$G$4:$G$2485,'апрель 2025'!$D$4:$D$2485,$B46,'апрель 2025'!$J$4:$J$2485,L$1)</f>
        <v>0</v>
      </c>
      <c r="M46" s="182">
        <f>SUMIFS('апрель 2025'!$G$4:$G$2485,'апрель 2025'!$D$4:$D$2485,$B46,'апрель 2025'!$J$4:$J$2485,M$1)</f>
        <v>0</v>
      </c>
      <c r="N46" s="182">
        <f>SUMIFS('апрель 2025'!$G$4:$G$2485,'апрель 2025'!$D$4:$D$2485,$B46,'апрель 2025'!$J$4:$J$2485,N$1)</f>
        <v>0</v>
      </c>
      <c r="O46" s="182">
        <f>SUMIFS('апрель 2025'!$G$4:$G$2485,'апрель 2025'!$D$4:$D$2485,$B46,'апрель 2025'!$J$4:$J$2485,O$1)</f>
        <v>0</v>
      </c>
      <c r="P46" s="182">
        <f>SUMIFS('апрель 2025'!$G$4:$G$2485,'апрель 2025'!$D$4:$D$2485,$B46,'апрель 2025'!$J$4:$J$2485,P$1)</f>
        <v>0</v>
      </c>
      <c r="Q46" s="182">
        <f>SUMIFS('апрель 2025'!$G$4:$G$2485,'апрель 2025'!$D$4:$D$2485,$B46,'апрель 2025'!$J$4:$J$2485,Q$1)</f>
        <v>0</v>
      </c>
      <c r="R46" s="182">
        <f>SUMIFS('апрель 2025'!$G$4:$G$2485,'апрель 2025'!$D$4:$D$2485,$B46,'апрель 2025'!$J$4:$J$2485,R$1)</f>
        <v>0</v>
      </c>
      <c r="S46" s="182">
        <f>SUMIFS('апрель 2025'!$G$4:$G$2485,'апрель 2025'!$D$4:$D$2485,$B46,'апрель 2025'!$J$4:$J$2485,S$1)</f>
        <v>0</v>
      </c>
      <c r="T46" s="182">
        <f>SUMIFS('апрель 2025'!$G$4:$G$2485,'апрель 2025'!$D$4:$D$2485,$B46,'апрель 2025'!$J$4:$J$2485,T$1)</f>
        <v>0</v>
      </c>
      <c r="U46" s="182">
        <f>SUMIFS('апрель 2025'!$G$4:$G$2485,'апрель 2025'!$D$4:$D$2485,$B46,'апрель 2025'!$J$4:$J$2485,U$1)</f>
        <v>0</v>
      </c>
      <c r="V46" s="182">
        <f>SUMIFS('апрель 2025'!$G$4:$G$2485,'апрель 2025'!$D$4:$D$2485,$B46,'апрель 2025'!$J$4:$J$2485,V$1)</f>
        <v>0</v>
      </c>
      <c r="W46" s="182">
        <f>SUMIFS('апрель 2025'!$G$4:$G$2485,'апрель 2025'!$D$4:$D$2485,$B46,'апрель 2025'!$J$4:$J$2485,W$1)</f>
        <v>0</v>
      </c>
      <c r="X46" s="182">
        <f>SUMIFS('апрель 2025'!$G$4:$G$2485,'апрель 2025'!$D$4:$D$2485,$B46,'апрель 2025'!$J$4:$J$2485,X$1)</f>
        <v>0</v>
      </c>
      <c r="Y46" s="182">
        <f>SUMIFS('апрель 2025'!$G$4:$G$2485,'апрель 2025'!$D$4:$D$2485,$B46,'апрель 2025'!$J$4:$J$2485,Y$1)</f>
        <v>0</v>
      </c>
      <c r="Z46" s="182">
        <f>SUMIFS('апрель 2025'!$G$4:$G$2485,'апрель 2025'!$D$4:$D$2485,$B46,'апрель 2025'!$J$4:$J$2485,Z$1)</f>
        <v>0</v>
      </c>
      <c r="AA46" s="182">
        <f>SUMIFS('апрель 2025'!$G$4:$G$2485,'апрель 2025'!$D$4:$D$2485,$B46,'апрель 2025'!$J$4:$J$2485,AA$1)</f>
        <v>0</v>
      </c>
      <c r="AB46" s="182">
        <f>SUMIFS('апрель 2025'!$G$4:$G$2485,'апрель 2025'!$D$4:$D$2485,$B46,'апрель 2025'!$J$4:$J$2485,AB$1)</f>
        <v>0</v>
      </c>
      <c r="AC46" s="182">
        <f>SUMIFS('апрель 2025'!$G$4:$G$2485,'апрель 2025'!$D$4:$D$2485,$B46,'апрель 2025'!$J$4:$J$2485,AC$1)</f>
        <v>0</v>
      </c>
      <c r="AD46" s="182">
        <f>SUMIFS('апрель 2025'!$G$4:$G$2485,'апрель 2025'!$D$4:$D$2485,$B46,'апрель 2025'!$J$4:$J$2485,AD$1)</f>
        <v>0</v>
      </c>
      <c r="AE46" s="182">
        <f>SUMIFS('апрель 2025'!$G$4:$G$2485,'апрель 2025'!$D$4:$D$2485,$B46,'апрель 2025'!$J$4:$J$2485,AE$1)</f>
        <v>0</v>
      </c>
      <c r="AF46" s="182">
        <f>SUMIFS('апрель 2025'!$G$4:$G$2485,'апрель 2025'!$D$4:$D$2485,$B46,'апрель 2025'!$J$4:$J$2485,AF$1)</f>
        <v>0</v>
      </c>
      <c r="AG46" s="182">
        <f>SUMIFS('апрель 2025'!$G$4:$G$2485,'апрель 2025'!$D$4:$D$2485,$B46,'апрель 2025'!$J$4:$J$2485,AG$1)</f>
        <v>0</v>
      </c>
      <c r="AH46" s="182">
        <f>SUMIFS('апрель 2025'!$G$4:$G$2485,'апрель 2025'!$D$4:$D$2485,$B46,'апрель 2025'!$J$4:$J$2485,AH$1)</f>
        <v>0</v>
      </c>
      <c r="AI46" s="20">
        <f t="shared" si="1"/>
        <v>0</v>
      </c>
    </row>
    <row r="47" spans="2:35" ht="15" customHeight="1" x14ac:dyDescent="0.25">
      <c r="B47" s="135" t="s">
        <v>234</v>
      </c>
      <c r="C47" s="132">
        <v>18</v>
      </c>
      <c r="D47" s="182">
        <f>SUMIFS('апрель 2025'!$G$4:$G$2485,'апрель 2025'!$D$4:$D$2485,$B47,'апрель 2025'!$J$4:$J$2485,D$1)</f>
        <v>0</v>
      </c>
      <c r="E47" s="182">
        <f>SUMIFS('апрель 2025'!$G$4:$G$2485,'апрель 2025'!$D$4:$D$2485,$B47,'апрель 2025'!$J$4:$J$2485,E$1)</f>
        <v>0</v>
      </c>
      <c r="F47" s="182">
        <f>SUMIFS('апрель 2025'!$G$4:$G$2485,'апрель 2025'!$D$4:$D$2485,$B47,'апрель 2025'!$J$4:$J$2485,F$1)</f>
        <v>0</v>
      </c>
      <c r="G47" s="182">
        <f>SUMIFS('апрель 2025'!$G$4:$G$2485,'апрель 2025'!$D$4:$D$2485,$B47,'апрель 2025'!$J$4:$J$2485,G$1)</f>
        <v>0</v>
      </c>
      <c r="H47" s="182">
        <f>SUMIFS('апрель 2025'!$G$4:$G$2485,'апрель 2025'!$D$4:$D$2485,$B47,'апрель 2025'!$J$4:$J$2485,H$1)</f>
        <v>0</v>
      </c>
      <c r="I47" s="182">
        <f>SUMIFS('апрель 2025'!$G$4:$G$2485,'апрель 2025'!$D$4:$D$2485,$B47,'апрель 2025'!$J$4:$J$2485,I$1)</f>
        <v>0</v>
      </c>
      <c r="J47" s="182">
        <f>SUMIFS('апрель 2025'!$G$4:$G$2485,'апрель 2025'!$D$4:$D$2485,$B47,'апрель 2025'!$J$4:$J$2485,J$1)</f>
        <v>0</v>
      </c>
      <c r="K47" s="182">
        <f>SUMIFS('апрель 2025'!$G$4:$G$2485,'апрель 2025'!$D$4:$D$2485,$B47,'апрель 2025'!$J$4:$J$2485,K$1)</f>
        <v>0</v>
      </c>
      <c r="L47" s="182">
        <f>SUMIFS('апрель 2025'!$G$4:$G$2485,'апрель 2025'!$D$4:$D$2485,$B47,'апрель 2025'!$J$4:$J$2485,L$1)</f>
        <v>0</v>
      </c>
      <c r="M47" s="182">
        <f>SUMIFS('апрель 2025'!$G$4:$G$2485,'апрель 2025'!$D$4:$D$2485,$B47,'апрель 2025'!$J$4:$J$2485,M$1)</f>
        <v>0</v>
      </c>
      <c r="N47" s="182">
        <f>SUMIFS('апрель 2025'!$G$4:$G$2485,'апрель 2025'!$D$4:$D$2485,$B47,'апрель 2025'!$J$4:$J$2485,N$1)</f>
        <v>0</v>
      </c>
      <c r="O47" s="182">
        <f>SUMIFS('апрель 2025'!$G$4:$G$2485,'апрель 2025'!$D$4:$D$2485,$B47,'апрель 2025'!$J$4:$J$2485,O$1)</f>
        <v>0</v>
      </c>
      <c r="P47" s="182">
        <f>SUMIFS('апрель 2025'!$G$4:$G$2485,'апрель 2025'!$D$4:$D$2485,$B47,'апрель 2025'!$J$4:$J$2485,P$1)</f>
        <v>0</v>
      </c>
      <c r="Q47" s="182">
        <f>SUMIFS('апрель 2025'!$G$4:$G$2485,'апрель 2025'!$D$4:$D$2485,$B47,'апрель 2025'!$J$4:$J$2485,Q$1)</f>
        <v>0</v>
      </c>
      <c r="R47" s="182">
        <f>SUMIFS('апрель 2025'!$G$4:$G$2485,'апрель 2025'!$D$4:$D$2485,$B47,'апрель 2025'!$J$4:$J$2485,R$1)</f>
        <v>0</v>
      </c>
      <c r="S47" s="182">
        <f>SUMIFS('апрель 2025'!$G$4:$G$2485,'апрель 2025'!$D$4:$D$2485,$B47,'апрель 2025'!$J$4:$J$2485,S$1)</f>
        <v>0</v>
      </c>
      <c r="T47" s="182">
        <f>SUMIFS('апрель 2025'!$G$4:$G$2485,'апрель 2025'!$D$4:$D$2485,$B47,'апрель 2025'!$J$4:$J$2485,T$1)</f>
        <v>0</v>
      </c>
      <c r="U47" s="182">
        <f>SUMIFS('апрель 2025'!$G$4:$G$2485,'апрель 2025'!$D$4:$D$2485,$B47,'апрель 2025'!$J$4:$J$2485,U$1)</f>
        <v>0</v>
      </c>
      <c r="V47" s="182">
        <f>SUMIFS('апрель 2025'!$G$4:$G$2485,'апрель 2025'!$D$4:$D$2485,$B47,'апрель 2025'!$J$4:$J$2485,V$1)</f>
        <v>0</v>
      </c>
      <c r="W47" s="182">
        <f>SUMIFS('апрель 2025'!$G$4:$G$2485,'апрель 2025'!$D$4:$D$2485,$B47,'апрель 2025'!$J$4:$J$2485,W$1)</f>
        <v>0</v>
      </c>
      <c r="X47" s="182">
        <f>SUMIFS('апрель 2025'!$G$4:$G$2485,'апрель 2025'!$D$4:$D$2485,$B47,'апрель 2025'!$J$4:$J$2485,X$1)</f>
        <v>0</v>
      </c>
      <c r="Y47" s="182">
        <f>SUMIFS('апрель 2025'!$G$4:$G$2485,'апрель 2025'!$D$4:$D$2485,$B47,'апрель 2025'!$J$4:$J$2485,Y$1)</f>
        <v>0</v>
      </c>
      <c r="Z47" s="182">
        <f>SUMIFS('апрель 2025'!$G$4:$G$2485,'апрель 2025'!$D$4:$D$2485,$B47,'апрель 2025'!$J$4:$J$2485,Z$1)</f>
        <v>0</v>
      </c>
      <c r="AA47" s="182">
        <f>SUMIFS('апрель 2025'!$G$4:$G$2485,'апрель 2025'!$D$4:$D$2485,$B47,'апрель 2025'!$J$4:$J$2485,AA$1)</f>
        <v>0</v>
      </c>
      <c r="AB47" s="182">
        <f>SUMIFS('апрель 2025'!$G$4:$G$2485,'апрель 2025'!$D$4:$D$2485,$B47,'апрель 2025'!$J$4:$J$2485,AB$1)</f>
        <v>0</v>
      </c>
      <c r="AC47" s="182">
        <f>SUMIFS('апрель 2025'!$G$4:$G$2485,'апрель 2025'!$D$4:$D$2485,$B47,'апрель 2025'!$J$4:$J$2485,AC$1)</f>
        <v>0</v>
      </c>
      <c r="AD47" s="182">
        <f>SUMIFS('апрель 2025'!$G$4:$G$2485,'апрель 2025'!$D$4:$D$2485,$B47,'апрель 2025'!$J$4:$J$2485,AD$1)</f>
        <v>0</v>
      </c>
      <c r="AE47" s="182">
        <f>SUMIFS('апрель 2025'!$G$4:$G$2485,'апрель 2025'!$D$4:$D$2485,$B47,'апрель 2025'!$J$4:$J$2485,AE$1)</f>
        <v>0</v>
      </c>
      <c r="AF47" s="182">
        <f>SUMIFS('апрель 2025'!$G$4:$G$2485,'апрель 2025'!$D$4:$D$2485,$B47,'апрель 2025'!$J$4:$J$2485,AF$1)</f>
        <v>0</v>
      </c>
      <c r="AG47" s="182">
        <f>SUMIFS('апрель 2025'!$G$4:$G$2485,'апрель 2025'!$D$4:$D$2485,$B47,'апрель 2025'!$J$4:$J$2485,AG$1)</f>
        <v>0</v>
      </c>
      <c r="AH47" s="182">
        <f>SUMIFS('апрель 2025'!$G$4:$G$2485,'апрель 2025'!$D$4:$D$2485,$B47,'апрель 2025'!$J$4:$J$2485,AH$1)</f>
        <v>0</v>
      </c>
      <c r="AI47" s="20">
        <f t="shared" si="1"/>
        <v>0</v>
      </c>
    </row>
    <row r="48" spans="2:35" ht="15" customHeight="1" x14ac:dyDescent="0.25">
      <c r="B48" s="135" t="s">
        <v>1079</v>
      </c>
      <c r="C48" s="132">
        <v>18</v>
      </c>
      <c r="D48" s="182">
        <f>SUMIFS('апрель 2025'!$G$4:$G$2485,'апрель 2025'!$D$4:$D$2485,$B48,'апрель 2025'!$J$4:$J$2485,D$1)</f>
        <v>0</v>
      </c>
      <c r="E48" s="182">
        <f>SUMIFS('апрель 2025'!$G$4:$G$2485,'апрель 2025'!$D$4:$D$2485,$B48,'апрель 2025'!$J$4:$J$2485,E$1)</f>
        <v>0</v>
      </c>
      <c r="F48" s="182">
        <f>SUMIFS('апрель 2025'!$G$4:$G$2485,'апрель 2025'!$D$4:$D$2485,$B48,'апрель 2025'!$J$4:$J$2485,F$1)</f>
        <v>0</v>
      </c>
      <c r="G48" s="182">
        <f>SUMIFS('апрель 2025'!$G$4:$G$2485,'апрель 2025'!$D$4:$D$2485,$B48,'апрель 2025'!$J$4:$J$2485,G$1)</f>
        <v>0</v>
      </c>
      <c r="H48" s="182">
        <f>SUMIFS('апрель 2025'!$G$4:$G$2485,'апрель 2025'!$D$4:$D$2485,$B48,'апрель 2025'!$J$4:$J$2485,H$1)</f>
        <v>0</v>
      </c>
      <c r="I48" s="182">
        <f>SUMIFS('апрель 2025'!$G$4:$G$2485,'апрель 2025'!$D$4:$D$2485,$B48,'апрель 2025'!$J$4:$J$2485,I$1)</f>
        <v>0</v>
      </c>
      <c r="J48" s="182">
        <f>SUMIFS('апрель 2025'!$G$4:$G$2485,'апрель 2025'!$D$4:$D$2485,$B48,'апрель 2025'!$J$4:$J$2485,J$1)</f>
        <v>0</v>
      </c>
      <c r="K48" s="182">
        <f>SUMIFS('апрель 2025'!$G$4:$G$2485,'апрель 2025'!$D$4:$D$2485,$B48,'апрель 2025'!$J$4:$J$2485,K$1)</f>
        <v>0</v>
      </c>
      <c r="L48" s="182">
        <f>SUMIFS('апрель 2025'!$G$4:$G$2485,'апрель 2025'!$D$4:$D$2485,$B48,'апрель 2025'!$J$4:$J$2485,L$1)</f>
        <v>0</v>
      </c>
      <c r="M48" s="182">
        <f>SUMIFS('апрель 2025'!$G$4:$G$2485,'апрель 2025'!$D$4:$D$2485,$B48,'апрель 2025'!$J$4:$J$2485,M$1)</f>
        <v>0</v>
      </c>
      <c r="N48" s="182">
        <f>SUMIFS('апрель 2025'!$G$4:$G$2485,'апрель 2025'!$D$4:$D$2485,$B48,'апрель 2025'!$J$4:$J$2485,N$1)</f>
        <v>0</v>
      </c>
      <c r="O48" s="182">
        <f>SUMIFS('апрель 2025'!$G$4:$G$2485,'апрель 2025'!$D$4:$D$2485,$B48,'апрель 2025'!$J$4:$J$2485,O$1)</f>
        <v>0</v>
      </c>
      <c r="P48" s="182">
        <f>SUMIFS('апрель 2025'!$G$4:$G$2485,'апрель 2025'!$D$4:$D$2485,$B48,'апрель 2025'!$J$4:$J$2485,P$1)</f>
        <v>0</v>
      </c>
      <c r="Q48" s="182">
        <f>SUMIFS('апрель 2025'!$G$4:$G$2485,'апрель 2025'!$D$4:$D$2485,$B48,'апрель 2025'!$J$4:$J$2485,Q$1)</f>
        <v>0</v>
      </c>
      <c r="R48" s="182">
        <f>SUMIFS('апрель 2025'!$G$4:$G$2485,'апрель 2025'!$D$4:$D$2485,$B48,'апрель 2025'!$J$4:$J$2485,R$1)</f>
        <v>0</v>
      </c>
      <c r="S48" s="182">
        <f>SUMIFS('апрель 2025'!$G$4:$G$2485,'апрель 2025'!$D$4:$D$2485,$B48,'апрель 2025'!$J$4:$J$2485,S$1)</f>
        <v>0</v>
      </c>
      <c r="T48" s="182">
        <f>SUMIFS('апрель 2025'!$G$4:$G$2485,'апрель 2025'!$D$4:$D$2485,$B48,'апрель 2025'!$J$4:$J$2485,T$1)</f>
        <v>0</v>
      </c>
      <c r="U48" s="182">
        <f>SUMIFS('апрель 2025'!$G$4:$G$2485,'апрель 2025'!$D$4:$D$2485,$B48,'апрель 2025'!$J$4:$J$2485,U$1)</f>
        <v>0</v>
      </c>
      <c r="V48" s="182">
        <f>SUMIFS('апрель 2025'!$G$4:$G$2485,'апрель 2025'!$D$4:$D$2485,$B48,'апрель 2025'!$J$4:$J$2485,V$1)</f>
        <v>0</v>
      </c>
      <c r="W48" s="182">
        <f>SUMIFS('апрель 2025'!$G$4:$G$2485,'апрель 2025'!$D$4:$D$2485,$B48,'апрель 2025'!$J$4:$J$2485,W$1)</f>
        <v>0</v>
      </c>
      <c r="X48" s="182">
        <f>SUMIFS('апрель 2025'!$G$4:$G$2485,'апрель 2025'!$D$4:$D$2485,$B48,'апрель 2025'!$J$4:$J$2485,X$1)</f>
        <v>0</v>
      </c>
      <c r="Y48" s="182">
        <f>SUMIFS('апрель 2025'!$G$4:$G$2485,'апрель 2025'!$D$4:$D$2485,$B48,'апрель 2025'!$J$4:$J$2485,Y$1)</f>
        <v>0</v>
      </c>
      <c r="Z48" s="182">
        <f>SUMIFS('апрель 2025'!$G$4:$G$2485,'апрель 2025'!$D$4:$D$2485,$B48,'апрель 2025'!$J$4:$J$2485,Z$1)</f>
        <v>0</v>
      </c>
      <c r="AA48" s="182">
        <f>SUMIFS('апрель 2025'!$G$4:$G$2485,'апрель 2025'!$D$4:$D$2485,$B48,'апрель 2025'!$J$4:$J$2485,AA$1)</f>
        <v>0</v>
      </c>
      <c r="AB48" s="182">
        <f>SUMIFS('апрель 2025'!$G$4:$G$2485,'апрель 2025'!$D$4:$D$2485,$B48,'апрель 2025'!$J$4:$J$2485,AB$1)</f>
        <v>0</v>
      </c>
      <c r="AC48" s="182">
        <f>SUMIFS('апрель 2025'!$G$4:$G$2485,'апрель 2025'!$D$4:$D$2485,$B48,'апрель 2025'!$J$4:$J$2485,AC$1)</f>
        <v>0</v>
      </c>
      <c r="AD48" s="182">
        <f>SUMIFS('апрель 2025'!$G$4:$G$2485,'апрель 2025'!$D$4:$D$2485,$B48,'апрель 2025'!$J$4:$J$2485,AD$1)</f>
        <v>0</v>
      </c>
      <c r="AE48" s="182">
        <f>SUMIFS('апрель 2025'!$G$4:$G$2485,'апрель 2025'!$D$4:$D$2485,$B48,'апрель 2025'!$J$4:$J$2485,AE$1)</f>
        <v>0</v>
      </c>
      <c r="AF48" s="182">
        <f>SUMIFS('апрель 2025'!$G$4:$G$2485,'апрель 2025'!$D$4:$D$2485,$B48,'апрель 2025'!$J$4:$J$2485,AF$1)</f>
        <v>0</v>
      </c>
      <c r="AG48" s="182">
        <f>SUMIFS('апрель 2025'!$G$4:$G$2485,'апрель 2025'!$D$4:$D$2485,$B48,'апрель 2025'!$J$4:$J$2485,AG$1)</f>
        <v>0</v>
      </c>
      <c r="AH48" s="182">
        <f>SUMIFS('апрель 2025'!$G$4:$G$2485,'апрель 2025'!$D$4:$D$2485,$B48,'апрель 2025'!$J$4:$J$2485,AH$1)</f>
        <v>0</v>
      </c>
      <c r="AI48" s="20">
        <f t="shared" si="1"/>
        <v>0</v>
      </c>
    </row>
    <row r="49" spans="2:35" ht="15" customHeight="1" x14ac:dyDescent="0.25">
      <c r="B49" s="135" t="s">
        <v>236</v>
      </c>
      <c r="C49" s="132">
        <v>20</v>
      </c>
      <c r="D49" s="182">
        <f>SUMIFS('апрель 2025'!$G$4:$G$2485,'апрель 2025'!$D$4:$D$2485,$B49,'апрель 2025'!$J$4:$J$2485,D$1)</f>
        <v>0</v>
      </c>
      <c r="E49" s="182">
        <f>SUMIFS('апрель 2025'!$G$4:$G$2485,'апрель 2025'!$D$4:$D$2485,$B49,'апрель 2025'!$J$4:$J$2485,E$1)</f>
        <v>0</v>
      </c>
      <c r="F49" s="182">
        <f>SUMIFS('апрель 2025'!$G$4:$G$2485,'апрель 2025'!$D$4:$D$2485,$B49,'апрель 2025'!$J$4:$J$2485,F$1)</f>
        <v>0</v>
      </c>
      <c r="G49" s="182">
        <f>SUMIFS('апрель 2025'!$G$4:$G$2485,'апрель 2025'!$D$4:$D$2485,$B49,'апрель 2025'!$J$4:$J$2485,G$1)</f>
        <v>0</v>
      </c>
      <c r="H49" s="182">
        <f>SUMIFS('апрель 2025'!$G$4:$G$2485,'апрель 2025'!$D$4:$D$2485,$B49,'апрель 2025'!$J$4:$J$2485,H$1)</f>
        <v>0</v>
      </c>
      <c r="I49" s="182">
        <f>SUMIFS('апрель 2025'!$G$4:$G$2485,'апрель 2025'!$D$4:$D$2485,$B49,'апрель 2025'!$J$4:$J$2485,I$1)</f>
        <v>0</v>
      </c>
      <c r="J49" s="182">
        <f>SUMIFS('апрель 2025'!$G$4:$G$2485,'апрель 2025'!$D$4:$D$2485,$B49,'апрель 2025'!$J$4:$J$2485,J$1)</f>
        <v>0</v>
      </c>
      <c r="K49" s="182">
        <f>SUMIFS('апрель 2025'!$G$4:$G$2485,'апрель 2025'!$D$4:$D$2485,$B49,'апрель 2025'!$J$4:$J$2485,K$1)</f>
        <v>0</v>
      </c>
      <c r="L49" s="182">
        <f>SUMIFS('апрель 2025'!$G$4:$G$2485,'апрель 2025'!$D$4:$D$2485,$B49,'апрель 2025'!$J$4:$J$2485,L$1)</f>
        <v>0</v>
      </c>
      <c r="M49" s="182">
        <f>SUMIFS('апрель 2025'!$G$4:$G$2485,'апрель 2025'!$D$4:$D$2485,$B49,'апрель 2025'!$J$4:$J$2485,M$1)</f>
        <v>0</v>
      </c>
      <c r="N49" s="182">
        <f>SUMIFS('апрель 2025'!$G$4:$G$2485,'апрель 2025'!$D$4:$D$2485,$B49,'апрель 2025'!$J$4:$J$2485,N$1)</f>
        <v>0</v>
      </c>
      <c r="O49" s="182">
        <f>SUMIFS('апрель 2025'!$G$4:$G$2485,'апрель 2025'!$D$4:$D$2485,$B49,'апрель 2025'!$J$4:$J$2485,O$1)</f>
        <v>0</v>
      </c>
      <c r="P49" s="182">
        <f>SUMIFS('апрель 2025'!$G$4:$G$2485,'апрель 2025'!$D$4:$D$2485,$B49,'апрель 2025'!$J$4:$J$2485,P$1)</f>
        <v>0</v>
      </c>
      <c r="Q49" s="182">
        <f>SUMIFS('апрель 2025'!$G$4:$G$2485,'апрель 2025'!$D$4:$D$2485,$B49,'апрель 2025'!$J$4:$J$2485,Q$1)</f>
        <v>0</v>
      </c>
      <c r="R49" s="182">
        <f>SUMIFS('апрель 2025'!$G$4:$G$2485,'апрель 2025'!$D$4:$D$2485,$B49,'апрель 2025'!$J$4:$J$2485,R$1)</f>
        <v>0</v>
      </c>
      <c r="S49" s="182">
        <f>SUMIFS('апрель 2025'!$G$4:$G$2485,'апрель 2025'!$D$4:$D$2485,$B49,'апрель 2025'!$J$4:$J$2485,S$1)</f>
        <v>0</v>
      </c>
      <c r="T49" s="182">
        <f>SUMIFS('апрель 2025'!$G$4:$G$2485,'апрель 2025'!$D$4:$D$2485,$B49,'апрель 2025'!$J$4:$J$2485,T$1)</f>
        <v>0</v>
      </c>
      <c r="U49" s="182">
        <f>SUMIFS('апрель 2025'!$G$4:$G$2485,'апрель 2025'!$D$4:$D$2485,$B49,'апрель 2025'!$J$4:$J$2485,U$1)</f>
        <v>0</v>
      </c>
      <c r="V49" s="182">
        <f>SUMIFS('апрель 2025'!$G$4:$G$2485,'апрель 2025'!$D$4:$D$2485,$B49,'апрель 2025'!$J$4:$J$2485,V$1)</f>
        <v>0</v>
      </c>
      <c r="W49" s="182">
        <f>SUMIFS('апрель 2025'!$G$4:$G$2485,'апрель 2025'!$D$4:$D$2485,$B49,'апрель 2025'!$J$4:$J$2485,W$1)</f>
        <v>0</v>
      </c>
      <c r="X49" s="182">
        <f>SUMIFS('апрель 2025'!$G$4:$G$2485,'апрель 2025'!$D$4:$D$2485,$B49,'апрель 2025'!$J$4:$J$2485,X$1)</f>
        <v>1</v>
      </c>
      <c r="Y49" s="182">
        <f>SUMIFS('апрель 2025'!$G$4:$G$2485,'апрель 2025'!$D$4:$D$2485,$B49,'апрель 2025'!$J$4:$J$2485,Y$1)</f>
        <v>0</v>
      </c>
      <c r="Z49" s="182">
        <f>SUMIFS('апрель 2025'!$G$4:$G$2485,'апрель 2025'!$D$4:$D$2485,$B49,'апрель 2025'!$J$4:$J$2485,Z$1)</f>
        <v>0</v>
      </c>
      <c r="AA49" s="182">
        <f>SUMIFS('апрель 2025'!$G$4:$G$2485,'апрель 2025'!$D$4:$D$2485,$B49,'апрель 2025'!$J$4:$J$2485,AA$1)</f>
        <v>0</v>
      </c>
      <c r="AB49" s="182">
        <f>SUMIFS('апрель 2025'!$G$4:$G$2485,'апрель 2025'!$D$4:$D$2485,$B49,'апрель 2025'!$J$4:$J$2485,AB$1)</f>
        <v>0</v>
      </c>
      <c r="AC49" s="182">
        <f>SUMIFS('апрель 2025'!$G$4:$G$2485,'апрель 2025'!$D$4:$D$2485,$B49,'апрель 2025'!$J$4:$J$2485,AC$1)</f>
        <v>0</v>
      </c>
      <c r="AD49" s="182">
        <f>SUMIFS('апрель 2025'!$G$4:$G$2485,'апрель 2025'!$D$4:$D$2485,$B49,'апрель 2025'!$J$4:$J$2485,AD$1)</f>
        <v>0</v>
      </c>
      <c r="AE49" s="182">
        <f>SUMIFS('апрель 2025'!$G$4:$G$2485,'апрель 2025'!$D$4:$D$2485,$B49,'апрель 2025'!$J$4:$J$2485,AE$1)</f>
        <v>0</v>
      </c>
      <c r="AF49" s="182">
        <f>SUMIFS('апрель 2025'!$G$4:$G$2485,'апрель 2025'!$D$4:$D$2485,$B49,'апрель 2025'!$J$4:$J$2485,AF$1)</f>
        <v>0</v>
      </c>
      <c r="AG49" s="182">
        <f>SUMIFS('апрель 2025'!$G$4:$G$2485,'апрель 2025'!$D$4:$D$2485,$B49,'апрель 2025'!$J$4:$J$2485,AG$1)</f>
        <v>0</v>
      </c>
      <c r="AH49" s="182">
        <f>SUMIFS('апрель 2025'!$G$4:$G$2485,'апрель 2025'!$D$4:$D$2485,$B49,'апрель 2025'!$J$4:$J$2485,AH$1)</f>
        <v>0</v>
      </c>
      <c r="AI49" s="20">
        <f t="shared" si="1"/>
        <v>1</v>
      </c>
    </row>
    <row r="50" spans="2:35" ht="15" customHeight="1" x14ac:dyDescent="0.25">
      <c r="B50" s="131" t="s">
        <v>238</v>
      </c>
      <c r="C50" s="134">
        <v>20</v>
      </c>
      <c r="D50" s="182">
        <f>SUMIFS('апрель 2025'!$G$4:$G$2485,'апрель 2025'!$D$4:$D$2485,$B50,'апрель 2025'!$J$4:$J$2485,D$1)</f>
        <v>0</v>
      </c>
      <c r="E50" s="182">
        <f>SUMIFS('апрель 2025'!$G$4:$G$2485,'апрель 2025'!$D$4:$D$2485,$B50,'апрель 2025'!$J$4:$J$2485,E$1)</f>
        <v>0</v>
      </c>
      <c r="F50" s="182">
        <f>SUMIFS('апрель 2025'!$G$4:$G$2485,'апрель 2025'!$D$4:$D$2485,$B50,'апрель 2025'!$J$4:$J$2485,F$1)</f>
        <v>0</v>
      </c>
      <c r="G50" s="182">
        <f>SUMIFS('апрель 2025'!$G$4:$G$2485,'апрель 2025'!$D$4:$D$2485,$B50,'апрель 2025'!$J$4:$J$2485,G$1)</f>
        <v>0</v>
      </c>
      <c r="H50" s="182">
        <f>SUMIFS('апрель 2025'!$G$4:$G$2485,'апрель 2025'!$D$4:$D$2485,$B50,'апрель 2025'!$J$4:$J$2485,H$1)</f>
        <v>0</v>
      </c>
      <c r="I50" s="182">
        <f>SUMIFS('апрель 2025'!$G$4:$G$2485,'апрель 2025'!$D$4:$D$2485,$B50,'апрель 2025'!$J$4:$J$2485,I$1)</f>
        <v>0</v>
      </c>
      <c r="J50" s="182">
        <f>SUMIFS('апрель 2025'!$G$4:$G$2485,'апрель 2025'!$D$4:$D$2485,$B50,'апрель 2025'!$J$4:$J$2485,J$1)</f>
        <v>0</v>
      </c>
      <c r="K50" s="182">
        <f>SUMIFS('апрель 2025'!$G$4:$G$2485,'апрель 2025'!$D$4:$D$2485,$B50,'апрель 2025'!$J$4:$J$2485,K$1)</f>
        <v>0</v>
      </c>
      <c r="L50" s="182">
        <f>SUMIFS('апрель 2025'!$G$4:$G$2485,'апрель 2025'!$D$4:$D$2485,$B50,'апрель 2025'!$J$4:$J$2485,L$1)</f>
        <v>0</v>
      </c>
      <c r="M50" s="182">
        <f>SUMIFS('апрель 2025'!$G$4:$G$2485,'апрель 2025'!$D$4:$D$2485,$B50,'апрель 2025'!$J$4:$J$2485,M$1)</f>
        <v>0</v>
      </c>
      <c r="N50" s="182">
        <f>SUMIFS('апрель 2025'!$G$4:$G$2485,'апрель 2025'!$D$4:$D$2485,$B50,'апрель 2025'!$J$4:$J$2485,N$1)</f>
        <v>0</v>
      </c>
      <c r="O50" s="182">
        <f>SUMIFS('апрель 2025'!$G$4:$G$2485,'апрель 2025'!$D$4:$D$2485,$B50,'апрель 2025'!$J$4:$J$2485,O$1)</f>
        <v>0</v>
      </c>
      <c r="P50" s="182">
        <f>SUMIFS('апрель 2025'!$G$4:$G$2485,'апрель 2025'!$D$4:$D$2485,$B50,'апрель 2025'!$J$4:$J$2485,P$1)</f>
        <v>0</v>
      </c>
      <c r="Q50" s="182">
        <f>SUMIFS('апрель 2025'!$G$4:$G$2485,'апрель 2025'!$D$4:$D$2485,$B50,'апрель 2025'!$J$4:$J$2485,Q$1)</f>
        <v>0</v>
      </c>
      <c r="R50" s="182">
        <f>SUMIFS('апрель 2025'!$G$4:$G$2485,'апрель 2025'!$D$4:$D$2485,$B50,'апрель 2025'!$J$4:$J$2485,R$1)</f>
        <v>0</v>
      </c>
      <c r="S50" s="182">
        <f>SUMIFS('апрель 2025'!$G$4:$G$2485,'апрель 2025'!$D$4:$D$2485,$B50,'апрель 2025'!$J$4:$J$2485,S$1)</f>
        <v>0</v>
      </c>
      <c r="T50" s="182">
        <f>SUMIFS('апрель 2025'!$G$4:$G$2485,'апрель 2025'!$D$4:$D$2485,$B50,'апрель 2025'!$J$4:$J$2485,T$1)</f>
        <v>0</v>
      </c>
      <c r="U50" s="182">
        <f>SUMIFS('апрель 2025'!$G$4:$G$2485,'апрель 2025'!$D$4:$D$2485,$B50,'апрель 2025'!$J$4:$J$2485,U$1)</f>
        <v>0</v>
      </c>
      <c r="V50" s="182">
        <f>SUMIFS('апрель 2025'!$G$4:$G$2485,'апрель 2025'!$D$4:$D$2485,$B50,'апрель 2025'!$J$4:$J$2485,V$1)</f>
        <v>0</v>
      </c>
      <c r="W50" s="182">
        <f>SUMIFS('апрель 2025'!$G$4:$G$2485,'апрель 2025'!$D$4:$D$2485,$B50,'апрель 2025'!$J$4:$J$2485,W$1)</f>
        <v>0</v>
      </c>
      <c r="X50" s="182">
        <f>SUMIFS('апрель 2025'!$G$4:$G$2485,'апрель 2025'!$D$4:$D$2485,$B50,'апрель 2025'!$J$4:$J$2485,X$1)</f>
        <v>0</v>
      </c>
      <c r="Y50" s="182">
        <f>SUMIFS('апрель 2025'!$G$4:$G$2485,'апрель 2025'!$D$4:$D$2485,$B50,'апрель 2025'!$J$4:$J$2485,Y$1)</f>
        <v>0</v>
      </c>
      <c r="Z50" s="182">
        <f>SUMIFS('апрель 2025'!$G$4:$G$2485,'апрель 2025'!$D$4:$D$2485,$B50,'апрель 2025'!$J$4:$J$2485,Z$1)</f>
        <v>0</v>
      </c>
      <c r="AA50" s="182">
        <f>SUMIFS('апрель 2025'!$G$4:$G$2485,'апрель 2025'!$D$4:$D$2485,$B50,'апрель 2025'!$J$4:$J$2485,AA$1)</f>
        <v>0</v>
      </c>
      <c r="AB50" s="182">
        <f>SUMIFS('апрель 2025'!$G$4:$G$2485,'апрель 2025'!$D$4:$D$2485,$B50,'апрель 2025'!$J$4:$J$2485,AB$1)</f>
        <v>0</v>
      </c>
      <c r="AC50" s="182">
        <f>SUMIFS('апрель 2025'!$G$4:$G$2485,'апрель 2025'!$D$4:$D$2485,$B50,'апрель 2025'!$J$4:$J$2485,AC$1)</f>
        <v>0</v>
      </c>
      <c r="AD50" s="182">
        <f>SUMIFS('апрель 2025'!$G$4:$G$2485,'апрель 2025'!$D$4:$D$2485,$B50,'апрель 2025'!$J$4:$J$2485,AD$1)</f>
        <v>0</v>
      </c>
      <c r="AE50" s="182">
        <f>SUMIFS('апрель 2025'!$G$4:$G$2485,'апрель 2025'!$D$4:$D$2485,$B50,'апрель 2025'!$J$4:$J$2485,AE$1)</f>
        <v>0</v>
      </c>
      <c r="AF50" s="182">
        <f>SUMIFS('апрель 2025'!$G$4:$G$2485,'апрель 2025'!$D$4:$D$2485,$B50,'апрель 2025'!$J$4:$J$2485,AF$1)</f>
        <v>0</v>
      </c>
      <c r="AG50" s="182">
        <f>SUMIFS('апрель 2025'!$G$4:$G$2485,'апрель 2025'!$D$4:$D$2485,$B50,'апрель 2025'!$J$4:$J$2485,AG$1)</f>
        <v>0</v>
      </c>
      <c r="AH50" s="182">
        <f>SUMIFS('апрель 2025'!$G$4:$G$2485,'апрель 2025'!$D$4:$D$2485,$B50,'апрель 2025'!$J$4:$J$2485,AH$1)</f>
        <v>0</v>
      </c>
      <c r="AI50" s="20">
        <f t="shared" si="1"/>
        <v>0</v>
      </c>
    </row>
    <row r="51" spans="2:35" ht="15" customHeight="1" x14ac:dyDescent="0.25">
      <c r="B51" s="131" t="s">
        <v>240</v>
      </c>
      <c r="C51" s="130">
        <v>20</v>
      </c>
      <c r="D51" s="182">
        <f>SUMIFS('апрель 2025'!$G$4:$G$2485,'апрель 2025'!$D$4:$D$2485,$B51,'апрель 2025'!$J$4:$J$2485,D$1)</f>
        <v>0</v>
      </c>
      <c r="E51" s="182">
        <f>SUMIFS('апрель 2025'!$G$4:$G$2485,'апрель 2025'!$D$4:$D$2485,$B51,'апрель 2025'!$J$4:$J$2485,E$1)</f>
        <v>0</v>
      </c>
      <c r="F51" s="182">
        <f>SUMIFS('апрель 2025'!$G$4:$G$2485,'апрель 2025'!$D$4:$D$2485,$B51,'апрель 2025'!$J$4:$J$2485,F$1)</f>
        <v>0</v>
      </c>
      <c r="G51" s="182">
        <f>SUMIFS('апрель 2025'!$G$4:$G$2485,'апрель 2025'!$D$4:$D$2485,$B51,'апрель 2025'!$J$4:$J$2485,G$1)</f>
        <v>0</v>
      </c>
      <c r="H51" s="182">
        <f>SUMIFS('апрель 2025'!$G$4:$G$2485,'апрель 2025'!$D$4:$D$2485,$B51,'апрель 2025'!$J$4:$J$2485,H$1)</f>
        <v>0</v>
      </c>
      <c r="I51" s="182">
        <f>SUMIFS('апрель 2025'!$G$4:$G$2485,'апрель 2025'!$D$4:$D$2485,$B51,'апрель 2025'!$J$4:$J$2485,I$1)</f>
        <v>0</v>
      </c>
      <c r="J51" s="182">
        <f>SUMIFS('апрель 2025'!$G$4:$G$2485,'апрель 2025'!$D$4:$D$2485,$B51,'апрель 2025'!$J$4:$J$2485,J$1)</f>
        <v>0</v>
      </c>
      <c r="K51" s="182">
        <f>SUMIFS('апрель 2025'!$G$4:$G$2485,'апрель 2025'!$D$4:$D$2485,$B51,'апрель 2025'!$J$4:$J$2485,K$1)</f>
        <v>0</v>
      </c>
      <c r="L51" s="182">
        <f>SUMIFS('апрель 2025'!$G$4:$G$2485,'апрель 2025'!$D$4:$D$2485,$B51,'апрель 2025'!$J$4:$J$2485,L$1)</f>
        <v>0</v>
      </c>
      <c r="M51" s="182">
        <f>SUMIFS('апрель 2025'!$G$4:$G$2485,'апрель 2025'!$D$4:$D$2485,$B51,'апрель 2025'!$J$4:$J$2485,M$1)</f>
        <v>0</v>
      </c>
      <c r="N51" s="182">
        <f>SUMIFS('апрель 2025'!$G$4:$G$2485,'апрель 2025'!$D$4:$D$2485,$B51,'апрель 2025'!$J$4:$J$2485,N$1)</f>
        <v>0</v>
      </c>
      <c r="O51" s="182">
        <f>SUMIFS('апрель 2025'!$G$4:$G$2485,'апрель 2025'!$D$4:$D$2485,$B51,'апрель 2025'!$J$4:$J$2485,O$1)</f>
        <v>0</v>
      </c>
      <c r="P51" s="182">
        <f>SUMIFS('апрель 2025'!$G$4:$G$2485,'апрель 2025'!$D$4:$D$2485,$B51,'апрель 2025'!$J$4:$J$2485,P$1)</f>
        <v>0</v>
      </c>
      <c r="Q51" s="182">
        <f>SUMIFS('апрель 2025'!$G$4:$G$2485,'апрель 2025'!$D$4:$D$2485,$B51,'апрель 2025'!$J$4:$J$2485,Q$1)</f>
        <v>0</v>
      </c>
      <c r="R51" s="182">
        <f>SUMIFS('апрель 2025'!$G$4:$G$2485,'апрель 2025'!$D$4:$D$2485,$B51,'апрель 2025'!$J$4:$J$2485,R$1)</f>
        <v>0</v>
      </c>
      <c r="S51" s="182">
        <f>SUMIFS('апрель 2025'!$G$4:$G$2485,'апрель 2025'!$D$4:$D$2485,$B51,'апрель 2025'!$J$4:$J$2485,S$1)</f>
        <v>0</v>
      </c>
      <c r="T51" s="182">
        <f>SUMIFS('апрель 2025'!$G$4:$G$2485,'апрель 2025'!$D$4:$D$2485,$B51,'апрель 2025'!$J$4:$J$2485,T$1)</f>
        <v>0</v>
      </c>
      <c r="U51" s="182">
        <f>SUMIFS('апрель 2025'!$G$4:$G$2485,'апрель 2025'!$D$4:$D$2485,$B51,'апрель 2025'!$J$4:$J$2485,U$1)</f>
        <v>0</v>
      </c>
      <c r="V51" s="182">
        <f>SUMIFS('апрель 2025'!$G$4:$G$2485,'апрель 2025'!$D$4:$D$2485,$B51,'апрель 2025'!$J$4:$J$2485,V$1)</f>
        <v>0</v>
      </c>
      <c r="W51" s="182">
        <f>SUMIFS('апрель 2025'!$G$4:$G$2485,'апрель 2025'!$D$4:$D$2485,$B51,'апрель 2025'!$J$4:$J$2485,W$1)</f>
        <v>0</v>
      </c>
      <c r="X51" s="182">
        <f>SUMIFS('апрель 2025'!$G$4:$G$2485,'апрель 2025'!$D$4:$D$2485,$B51,'апрель 2025'!$J$4:$J$2485,X$1)</f>
        <v>0</v>
      </c>
      <c r="Y51" s="182">
        <f>SUMIFS('апрель 2025'!$G$4:$G$2485,'апрель 2025'!$D$4:$D$2485,$B51,'апрель 2025'!$J$4:$J$2485,Y$1)</f>
        <v>0</v>
      </c>
      <c r="Z51" s="182">
        <f>SUMIFS('апрель 2025'!$G$4:$G$2485,'апрель 2025'!$D$4:$D$2485,$B51,'апрель 2025'!$J$4:$J$2485,Z$1)</f>
        <v>0</v>
      </c>
      <c r="AA51" s="182">
        <f>SUMIFS('апрель 2025'!$G$4:$G$2485,'апрель 2025'!$D$4:$D$2485,$B51,'апрель 2025'!$J$4:$J$2485,AA$1)</f>
        <v>0</v>
      </c>
      <c r="AB51" s="182">
        <f>SUMIFS('апрель 2025'!$G$4:$G$2485,'апрель 2025'!$D$4:$D$2485,$B51,'апрель 2025'!$J$4:$J$2485,AB$1)</f>
        <v>0</v>
      </c>
      <c r="AC51" s="182">
        <f>SUMIFS('апрель 2025'!$G$4:$G$2485,'апрель 2025'!$D$4:$D$2485,$B51,'апрель 2025'!$J$4:$J$2485,AC$1)</f>
        <v>0</v>
      </c>
      <c r="AD51" s="182">
        <f>SUMIFS('апрель 2025'!$G$4:$G$2485,'апрель 2025'!$D$4:$D$2485,$B51,'апрель 2025'!$J$4:$J$2485,AD$1)</f>
        <v>0</v>
      </c>
      <c r="AE51" s="182">
        <f>SUMIFS('апрель 2025'!$G$4:$G$2485,'апрель 2025'!$D$4:$D$2485,$B51,'апрель 2025'!$J$4:$J$2485,AE$1)</f>
        <v>0</v>
      </c>
      <c r="AF51" s="182">
        <f>SUMIFS('апрель 2025'!$G$4:$G$2485,'апрель 2025'!$D$4:$D$2485,$B51,'апрель 2025'!$J$4:$J$2485,AF$1)</f>
        <v>0</v>
      </c>
      <c r="AG51" s="182">
        <f>SUMIFS('апрель 2025'!$G$4:$G$2485,'апрель 2025'!$D$4:$D$2485,$B51,'апрель 2025'!$J$4:$J$2485,AG$1)</f>
        <v>0</v>
      </c>
      <c r="AH51" s="182">
        <f>SUMIFS('апрель 2025'!$G$4:$G$2485,'апрель 2025'!$D$4:$D$2485,$B51,'апрель 2025'!$J$4:$J$2485,AH$1)</f>
        <v>0</v>
      </c>
      <c r="AI51" s="20">
        <f t="shared" si="1"/>
        <v>0</v>
      </c>
    </row>
    <row r="52" spans="2:35" ht="15" customHeight="1" x14ac:dyDescent="0.25">
      <c r="B52" s="131" t="s">
        <v>242</v>
      </c>
      <c r="C52" s="132">
        <v>20</v>
      </c>
      <c r="D52" s="182">
        <f>SUMIFS('апрель 2025'!$G$4:$G$2485,'апрель 2025'!$D$4:$D$2485,$B52,'апрель 2025'!$J$4:$J$2485,D$1)</f>
        <v>0</v>
      </c>
      <c r="E52" s="182">
        <f>SUMIFS('апрель 2025'!$G$4:$G$2485,'апрель 2025'!$D$4:$D$2485,$B52,'апрель 2025'!$J$4:$J$2485,E$1)</f>
        <v>0</v>
      </c>
      <c r="F52" s="182">
        <f>SUMIFS('апрель 2025'!$G$4:$G$2485,'апрель 2025'!$D$4:$D$2485,$B52,'апрель 2025'!$J$4:$J$2485,F$1)</f>
        <v>0</v>
      </c>
      <c r="G52" s="182">
        <f>SUMIFS('апрель 2025'!$G$4:$G$2485,'апрель 2025'!$D$4:$D$2485,$B52,'апрель 2025'!$J$4:$J$2485,G$1)</f>
        <v>0</v>
      </c>
      <c r="H52" s="182">
        <f>SUMIFS('апрель 2025'!$G$4:$G$2485,'апрель 2025'!$D$4:$D$2485,$B52,'апрель 2025'!$J$4:$J$2485,H$1)</f>
        <v>0</v>
      </c>
      <c r="I52" s="182">
        <f>SUMIFS('апрель 2025'!$G$4:$G$2485,'апрель 2025'!$D$4:$D$2485,$B52,'апрель 2025'!$J$4:$J$2485,I$1)</f>
        <v>0</v>
      </c>
      <c r="J52" s="182">
        <f>SUMIFS('апрель 2025'!$G$4:$G$2485,'апрель 2025'!$D$4:$D$2485,$B52,'апрель 2025'!$J$4:$J$2485,J$1)</f>
        <v>0</v>
      </c>
      <c r="K52" s="182">
        <f>SUMIFS('апрель 2025'!$G$4:$G$2485,'апрель 2025'!$D$4:$D$2485,$B52,'апрель 2025'!$J$4:$J$2485,K$1)</f>
        <v>0</v>
      </c>
      <c r="L52" s="182">
        <f>SUMIFS('апрель 2025'!$G$4:$G$2485,'апрель 2025'!$D$4:$D$2485,$B52,'апрель 2025'!$J$4:$J$2485,L$1)</f>
        <v>0</v>
      </c>
      <c r="M52" s="182">
        <f>SUMIFS('апрель 2025'!$G$4:$G$2485,'апрель 2025'!$D$4:$D$2485,$B52,'апрель 2025'!$J$4:$J$2485,M$1)</f>
        <v>0</v>
      </c>
      <c r="N52" s="182">
        <f>SUMIFS('апрель 2025'!$G$4:$G$2485,'апрель 2025'!$D$4:$D$2485,$B52,'апрель 2025'!$J$4:$J$2485,N$1)</f>
        <v>0</v>
      </c>
      <c r="O52" s="182">
        <f>SUMIFS('апрель 2025'!$G$4:$G$2485,'апрель 2025'!$D$4:$D$2485,$B52,'апрель 2025'!$J$4:$J$2485,O$1)</f>
        <v>0</v>
      </c>
      <c r="P52" s="182">
        <f>SUMIFS('апрель 2025'!$G$4:$G$2485,'апрель 2025'!$D$4:$D$2485,$B52,'апрель 2025'!$J$4:$J$2485,P$1)</f>
        <v>0</v>
      </c>
      <c r="Q52" s="182">
        <f>SUMIFS('апрель 2025'!$G$4:$G$2485,'апрель 2025'!$D$4:$D$2485,$B52,'апрель 2025'!$J$4:$J$2485,Q$1)</f>
        <v>0</v>
      </c>
      <c r="R52" s="182">
        <f>SUMIFS('апрель 2025'!$G$4:$G$2485,'апрель 2025'!$D$4:$D$2485,$B52,'апрель 2025'!$J$4:$J$2485,R$1)</f>
        <v>0</v>
      </c>
      <c r="S52" s="182">
        <f>SUMIFS('апрель 2025'!$G$4:$G$2485,'апрель 2025'!$D$4:$D$2485,$B52,'апрель 2025'!$J$4:$J$2485,S$1)</f>
        <v>0</v>
      </c>
      <c r="T52" s="182">
        <f>SUMIFS('апрель 2025'!$G$4:$G$2485,'апрель 2025'!$D$4:$D$2485,$B52,'апрель 2025'!$J$4:$J$2485,T$1)</f>
        <v>0</v>
      </c>
      <c r="U52" s="182">
        <f>SUMIFS('апрель 2025'!$G$4:$G$2485,'апрель 2025'!$D$4:$D$2485,$B52,'апрель 2025'!$J$4:$J$2485,U$1)</f>
        <v>0</v>
      </c>
      <c r="V52" s="182">
        <f>SUMIFS('апрель 2025'!$G$4:$G$2485,'апрель 2025'!$D$4:$D$2485,$B52,'апрель 2025'!$J$4:$J$2485,V$1)</f>
        <v>0</v>
      </c>
      <c r="W52" s="182">
        <f>SUMIFS('апрель 2025'!$G$4:$G$2485,'апрель 2025'!$D$4:$D$2485,$B52,'апрель 2025'!$J$4:$J$2485,W$1)</f>
        <v>0</v>
      </c>
      <c r="X52" s="182">
        <f>SUMIFS('апрель 2025'!$G$4:$G$2485,'апрель 2025'!$D$4:$D$2485,$B52,'апрель 2025'!$J$4:$J$2485,X$1)</f>
        <v>0</v>
      </c>
      <c r="Y52" s="182">
        <f>SUMIFS('апрель 2025'!$G$4:$G$2485,'апрель 2025'!$D$4:$D$2485,$B52,'апрель 2025'!$J$4:$J$2485,Y$1)</f>
        <v>0</v>
      </c>
      <c r="Z52" s="182">
        <f>SUMIFS('апрель 2025'!$G$4:$G$2485,'апрель 2025'!$D$4:$D$2485,$B52,'апрель 2025'!$J$4:$J$2485,Z$1)</f>
        <v>0</v>
      </c>
      <c r="AA52" s="182">
        <f>SUMIFS('апрель 2025'!$G$4:$G$2485,'апрель 2025'!$D$4:$D$2485,$B52,'апрель 2025'!$J$4:$J$2485,AA$1)</f>
        <v>0</v>
      </c>
      <c r="AB52" s="182">
        <f>SUMIFS('апрель 2025'!$G$4:$G$2485,'апрель 2025'!$D$4:$D$2485,$B52,'апрель 2025'!$J$4:$J$2485,AB$1)</f>
        <v>0</v>
      </c>
      <c r="AC52" s="182">
        <f>SUMIFS('апрель 2025'!$G$4:$G$2485,'апрель 2025'!$D$4:$D$2485,$B52,'апрель 2025'!$J$4:$J$2485,AC$1)</f>
        <v>0</v>
      </c>
      <c r="AD52" s="182">
        <f>SUMIFS('апрель 2025'!$G$4:$G$2485,'апрель 2025'!$D$4:$D$2485,$B52,'апрель 2025'!$J$4:$J$2485,AD$1)</f>
        <v>0</v>
      </c>
      <c r="AE52" s="182">
        <f>SUMIFS('апрель 2025'!$G$4:$G$2485,'апрель 2025'!$D$4:$D$2485,$B52,'апрель 2025'!$J$4:$J$2485,AE$1)</f>
        <v>0</v>
      </c>
      <c r="AF52" s="182">
        <f>SUMIFS('апрель 2025'!$G$4:$G$2485,'апрель 2025'!$D$4:$D$2485,$B52,'апрель 2025'!$J$4:$J$2485,AF$1)</f>
        <v>0</v>
      </c>
      <c r="AG52" s="182">
        <f>SUMIFS('апрель 2025'!$G$4:$G$2485,'апрель 2025'!$D$4:$D$2485,$B52,'апрель 2025'!$J$4:$J$2485,AG$1)</f>
        <v>0</v>
      </c>
      <c r="AH52" s="182">
        <f>SUMIFS('апрель 2025'!$G$4:$G$2485,'апрель 2025'!$D$4:$D$2485,$B52,'апрель 2025'!$J$4:$J$2485,AH$1)</f>
        <v>0</v>
      </c>
      <c r="AI52" s="20">
        <f t="shared" si="1"/>
        <v>0</v>
      </c>
    </row>
    <row r="53" spans="2:35" ht="15" customHeight="1" x14ac:dyDescent="0.25">
      <c r="B53" s="131" t="s">
        <v>244</v>
      </c>
      <c r="C53" s="132">
        <v>14</v>
      </c>
      <c r="D53" s="182">
        <f>SUMIFS('апрель 2025'!$G$4:$G$2485,'апрель 2025'!$D$4:$D$2485,$B53,'апрель 2025'!$J$4:$J$2485,D$1)</f>
        <v>0</v>
      </c>
      <c r="E53" s="182">
        <f>SUMIFS('апрель 2025'!$G$4:$G$2485,'апрель 2025'!$D$4:$D$2485,$B53,'апрель 2025'!$J$4:$J$2485,E$1)</f>
        <v>0</v>
      </c>
      <c r="F53" s="182">
        <f>SUMIFS('апрель 2025'!$G$4:$G$2485,'апрель 2025'!$D$4:$D$2485,$B53,'апрель 2025'!$J$4:$J$2485,F$1)</f>
        <v>0</v>
      </c>
      <c r="G53" s="182">
        <f>SUMIFS('апрель 2025'!$G$4:$G$2485,'апрель 2025'!$D$4:$D$2485,$B53,'апрель 2025'!$J$4:$J$2485,G$1)</f>
        <v>0</v>
      </c>
      <c r="H53" s="182">
        <f>SUMIFS('апрель 2025'!$G$4:$G$2485,'апрель 2025'!$D$4:$D$2485,$B53,'апрель 2025'!$J$4:$J$2485,H$1)</f>
        <v>0</v>
      </c>
      <c r="I53" s="182">
        <f>SUMIFS('апрель 2025'!$G$4:$G$2485,'апрель 2025'!$D$4:$D$2485,$B53,'апрель 2025'!$J$4:$J$2485,I$1)</f>
        <v>0</v>
      </c>
      <c r="J53" s="182">
        <f>SUMIFS('апрель 2025'!$G$4:$G$2485,'апрель 2025'!$D$4:$D$2485,$B53,'апрель 2025'!$J$4:$J$2485,J$1)</f>
        <v>0</v>
      </c>
      <c r="K53" s="182">
        <f>SUMIFS('апрель 2025'!$G$4:$G$2485,'апрель 2025'!$D$4:$D$2485,$B53,'апрель 2025'!$J$4:$J$2485,K$1)</f>
        <v>0</v>
      </c>
      <c r="L53" s="182">
        <f>SUMIFS('апрель 2025'!$G$4:$G$2485,'апрель 2025'!$D$4:$D$2485,$B53,'апрель 2025'!$J$4:$J$2485,L$1)</f>
        <v>0</v>
      </c>
      <c r="M53" s="182">
        <f>SUMIFS('апрель 2025'!$G$4:$G$2485,'апрель 2025'!$D$4:$D$2485,$B53,'апрель 2025'!$J$4:$J$2485,M$1)</f>
        <v>0</v>
      </c>
      <c r="N53" s="182">
        <f>SUMIFS('апрель 2025'!$G$4:$G$2485,'апрель 2025'!$D$4:$D$2485,$B53,'апрель 2025'!$J$4:$J$2485,N$1)</f>
        <v>0</v>
      </c>
      <c r="O53" s="182">
        <f>SUMIFS('апрель 2025'!$G$4:$G$2485,'апрель 2025'!$D$4:$D$2485,$B53,'апрель 2025'!$J$4:$J$2485,O$1)</f>
        <v>0</v>
      </c>
      <c r="P53" s="182">
        <f>SUMIFS('апрель 2025'!$G$4:$G$2485,'апрель 2025'!$D$4:$D$2485,$B53,'апрель 2025'!$J$4:$J$2485,P$1)</f>
        <v>0</v>
      </c>
      <c r="Q53" s="182">
        <f>SUMIFS('апрель 2025'!$G$4:$G$2485,'апрель 2025'!$D$4:$D$2485,$B53,'апрель 2025'!$J$4:$J$2485,Q$1)</f>
        <v>0</v>
      </c>
      <c r="R53" s="182">
        <f>SUMIFS('апрель 2025'!$G$4:$G$2485,'апрель 2025'!$D$4:$D$2485,$B53,'апрель 2025'!$J$4:$J$2485,R$1)</f>
        <v>0</v>
      </c>
      <c r="S53" s="182">
        <f>SUMIFS('апрель 2025'!$G$4:$G$2485,'апрель 2025'!$D$4:$D$2485,$B53,'апрель 2025'!$J$4:$J$2485,S$1)</f>
        <v>0</v>
      </c>
      <c r="T53" s="182">
        <f>SUMIFS('апрель 2025'!$G$4:$G$2485,'апрель 2025'!$D$4:$D$2485,$B53,'апрель 2025'!$J$4:$J$2485,T$1)</f>
        <v>0</v>
      </c>
      <c r="U53" s="182">
        <f>SUMIFS('апрель 2025'!$G$4:$G$2485,'апрель 2025'!$D$4:$D$2485,$B53,'апрель 2025'!$J$4:$J$2485,U$1)</f>
        <v>0</v>
      </c>
      <c r="V53" s="182">
        <f>SUMIFS('апрель 2025'!$G$4:$G$2485,'апрель 2025'!$D$4:$D$2485,$B53,'апрель 2025'!$J$4:$J$2485,V$1)</f>
        <v>0</v>
      </c>
      <c r="W53" s="182">
        <f>SUMIFS('апрель 2025'!$G$4:$G$2485,'апрель 2025'!$D$4:$D$2485,$B53,'апрель 2025'!$J$4:$J$2485,W$1)</f>
        <v>0</v>
      </c>
      <c r="X53" s="182">
        <f>SUMIFS('апрель 2025'!$G$4:$G$2485,'апрель 2025'!$D$4:$D$2485,$B53,'апрель 2025'!$J$4:$J$2485,X$1)</f>
        <v>0</v>
      </c>
      <c r="Y53" s="182">
        <f>SUMIFS('апрель 2025'!$G$4:$G$2485,'апрель 2025'!$D$4:$D$2485,$B53,'апрель 2025'!$J$4:$J$2485,Y$1)</f>
        <v>0</v>
      </c>
      <c r="Z53" s="182">
        <f>SUMIFS('апрель 2025'!$G$4:$G$2485,'апрель 2025'!$D$4:$D$2485,$B53,'апрель 2025'!$J$4:$J$2485,Z$1)</f>
        <v>0</v>
      </c>
      <c r="AA53" s="182">
        <f>SUMIFS('апрель 2025'!$G$4:$G$2485,'апрель 2025'!$D$4:$D$2485,$B53,'апрель 2025'!$J$4:$J$2485,AA$1)</f>
        <v>0</v>
      </c>
      <c r="AB53" s="182">
        <f>SUMIFS('апрель 2025'!$G$4:$G$2485,'апрель 2025'!$D$4:$D$2485,$B53,'апрель 2025'!$J$4:$J$2485,AB$1)</f>
        <v>0</v>
      </c>
      <c r="AC53" s="182">
        <f>SUMIFS('апрель 2025'!$G$4:$G$2485,'апрель 2025'!$D$4:$D$2485,$B53,'апрель 2025'!$J$4:$J$2485,AC$1)</f>
        <v>0</v>
      </c>
      <c r="AD53" s="182">
        <f>SUMIFS('апрель 2025'!$G$4:$G$2485,'апрель 2025'!$D$4:$D$2485,$B53,'апрель 2025'!$J$4:$J$2485,AD$1)</f>
        <v>0</v>
      </c>
      <c r="AE53" s="182">
        <f>SUMIFS('апрель 2025'!$G$4:$G$2485,'апрель 2025'!$D$4:$D$2485,$B53,'апрель 2025'!$J$4:$J$2485,AE$1)</f>
        <v>0</v>
      </c>
      <c r="AF53" s="182">
        <f>SUMIFS('апрель 2025'!$G$4:$G$2485,'апрель 2025'!$D$4:$D$2485,$B53,'апрель 2025'!$J$4:$J$2485,AF$1)</f>
        <v>0</v>
      </c>
      <c r="AG53" s="182">
        <f>SUMIFS('апрель 2025'!$G$4:$G$2485,'апрель 2025'!$D$4:$D$2485,$B53,'апрель 2025'!$J$4:$J$2485,AG$1)</f>
        <v>0</v>
      </c>
      <c r="AH53" s="182">
        <f>SUMIFS('апрель 2025'!$G$4:$G$2485,'апрель 2025'!$D$4:$D$2485,$B53,'апрель 2025'!$J$4:$J$2485,AH$1)</f>
        <v>0</v>
      </c>
      <c r="AI53" s="20">
        <f t="shared" si="1"/>
        <v>0</v>
      </c>
    </row>
    <row r="54" spans="2:35" ht="15" customHeight="1" x14ac:dyDescent="0.25">
      <c r="B54" s="131" t="s">
        <v>246</v>
      </c>
      <c r="C54" s="132">
        <v>25</v>
      </c>
      <c r="D54" s="182">
        <f>SUMIFS('апрель 2025'!$G$4:$G$2485,'апрель 2025'!$D$4:$D$2485,$B54,'апрель 2025'!$J$4:$J$2485,D$1)</f>
        <v>0</v>
      </c>
      <c r="E54" s="182">
        <f>SUMIFS('апрель 2025'!$G$4:$G$2485,'апрель 2025'!$D$4:$D$2485,$B54,'апрель 2025'!$J$4:$J$2485,E$1)</f>
        <v>0</v>
      </c>
      <c r="F54" s="182">
        <f>SUMIFS('апрель 2025'!$G$4:$G$2485,'апрель 2025'!$D$4:$D$2485,$B54,'апрель 2025'!$J$4:$J$2485,F$1)</f>
        <v>0</v>
      </c>
      <c r="G54" s="182">
        <f>SUMIFS('апрель 2025'!$G$4:$G$2485,'апрель 2025'!$D$4:$D$2485,$B54,'апрель 2025'!$J$4:$J$2485,G$1)</f>
        <v>0</v>
      </c>
      <c r="H54" s="182">
        <f>SUMIFS('апрель 2025'!$G$4:$G$2485,'апрель 2025'!$D$4:$D$2485,$B54,'апрель 2025'!$J$4:$J$2485,H$1)</f>
        <v>0</v>
      </c>
      <c r="I54" s="182">
        <f>SUMIFS('апрель 2025'!$G$4:$G$2485,'апрель 2025'!$D$4:$D$2485,$B54,'апрель 2025'!$J$4:$J$2485,I$1)</f>
        <v>0</v>
      </c>
      <c r="J54" s="182">
        <f>SUMIFS('апрель 2025'!$G$4:$G$2485,'апрель 2025'!$D$4:$D$2485,$B54,'апрель 2025'!$J$4:$J$2485,J$1)</f>
        <v>0</v>
      </c>
      <c r="K54" s="182">
        <f>SUMIFS('апрель 2025'!$G$4:$G$2485,'апрель 2025'!$D$4:$D$2485,$B54,'апрель 2025'!$J$4:$J$2485,K$1)</f>
        <v>0</v>
      </c>
      <c r="L54" s="182">
        <f>SUMIFS('апрель 2025'!$G$4:$G$2485,'апрель 2025'!$D$4:$D$2485,$B54,'апрель 2025'!$J$4:$J$2485,L$1)</f>
        <v>0</v>
      </c>
      <c r="M54" s="182">
        <f>SUMIFS('апрель 2025'!$G$4:$G$2485,'апрель 2025'!$D$4:$D$2485,$B54,'апрель 2025'!$J$4:$J$2485,M$1)</f>
        <v>0</v>
      </c>
      <c r="N54" s="182">
        <f>SUMIFS('апрель 2025'!$G$4:$G$2485,'апрель 2025'!$D$4:$D$2485,$B54,'апрель 2025'!$J$4:$J$2485,N$1)</f>
        <v>0</v>
      </c>
      <c r="O54" s="182">
        <f>SUMIFS('апрель 2025'!$G$4:$G$2485,'апрель 2025'!$D$4:$D$2485,$B54,'апрель 2025'!$J$4:$J$2485,O$1)</f>
        <v>0</v>
      </c>
      <c r="P54" s="182">
        <f>SUMIFS('апрель 2025'!$G$4:$G$2485,'апрель 2025'!$D$4:$D$2485,$B54,'апрель 2025'!$J$4:$J$2485,P$1)</f>
        <v>0</v>
      </c>
      <c r="Q54" s="182">
        <f>SUMIFS('апрель 2025'!$G$4:$G$2485,'апрель 2025'!$D$4:$D$2485,$B54,'апрель 2025'!$J$4:$J$2485,Q$1)</f>
        <v>0</v>
      </c>
      <c r="R54" s="182">
        <f>SUMIFS('апрель 2025'!$G$4:$G$2485,'апрель 2025'!$D$4:$D$2485,$B54,'апрель 2025'!$J$4:$J$2485,R$1)</f>
        <v>0</v>
      </c>
      <c r="S54" s="182">
        <f>SUMIFS('апрель 2025'!$G$4:$G$2485,'апрель 2025'!$D$4:$D$2485,$B54,'апрель 2025'!$J$4:$J$2485,S$1)</f>
        <v>0</v>
      </c>
      <c r="T54" s="182">
        <f>SUMIFS('апрель 2025'!$G$4:$G$2485,'апрель 2025'!$D$4:$D$2485,$B54,'апрель 2025'!$J$4:$J$2485,T$1)</f>
        <v>0</v>
      </c>
      <c r="U54" s="182">
        <f>SUMIFS('апрель 2025'!$G$4:$G$2485,'апрель 2025'!$D$4:$D$2485,$B54,'апрель 2025'!$J$4:$J$2485,U$1)</f>
        <v>0</v>
      </c>
      <c r="V54" s="182">
        <f>SUMIFS('апрель 2025'!$G$4:$G$2485,'апрель 2025'!$D$4:$D$2485,$B54,'апрель 2025'!$J$4:$J$2485,V$1)</f>
        <v>0</v>
      </c>
      <c r="W54" s="182">
        <f>SUMIFS('апрель 2025'!$G$4:$G$2485,'апрель 2025'!$D$4:$D$2485,$B54,'апрель 2025'!$J$4:$J$2485,W$1)</f>
        <v>0</v>
      </c>
      <c r="X54" s="182">
        <f>SUMIFS('апрель 2025'!$G$4:$G$2485,'апрель 2025'!$D$4:$D$2485,$B54,'апрель 2025'!$J$4:$J$2485,X$1)</f>
        <v>0</v>
      </c>
      <c r="Y54" s="182">
        <f>SUMIFS('апрель 2025'!$G$4:$G$2485,'апрель 2025'!$D$4:$D$2485,$B54,'апрель 2025'!$J$4:$J$2485,Y$1)</f>
        <v>0</v>
      </c>
      <c r="Z54" s="182">
        <f>SUMIFS('апрель 2025'!$G$4:$G$2485,'апрель 2025'!$D$4:$D$2485,$B54,'апрель 2025'!$J$4:$J$2485,Z$1)</f>
        <v>0</v>
      </c>
      <c r="AA54" s="182">
        <f>SUMIFS('апрель 2025'!$G$4:$G$2485,'апрель 2025'!$D$4:$D$2485,$B54,'апрель 2025'!$J$4:$J$2485,AA$1)</f>
        <v>0</v>
      </c>
      <c r="AB54" s="182">
        <f>SUMIFS('апрель 2025'!$G$4:$G$2485,'апрель 2025'!$D$4:$D$2485,$B54,'апрель 2025'!$J$4:$J$2485,AB$1)</f>
        <v>0</v>
      </c>
      <c r="AC54" s="182">
        <f>SUMIFS('апрель 2025'!$G$4:$G$2485,'апрель 2025'!$D$4:$D$2485,$B54,'апрель 2025'!$J$4:$J$2485,AC$1)</f>
        <v>0</v>
      </c>
      <c r="AD54" s="182">
        <f>SUMIFS('апрель 2025'!$G$4:$G$2485,'апрель 2025'!$D$4:$D$2485,$B54,'апрель 2025'!$J$4:$J$2485,AD$1)</f>
        <v>0</v>
      </c>
      <c r="AE54" s="182">
        <f>SUMIFS('апрель 2025'!$G$4:$G$2485,'апрель 2025'!$D$4:$D$2485,$B54,'апрель 2025'!$J$4:$J$2485,AE$1)</f>
        <v>0</v>
      </c>
      <c r="AF54" s="182">
        <f>SUMIFS('апрель 2025'!$G$4:$G$2485,'апрель 2025'!$D$4:$D$2485,$B54,'апрель 2025'!$J$4:$J$2485,AF$1)</f>
        <v>0</v>
      </c>
      <c r="AG54" s="182">
        <f>SUMIFS('апрель 2025'!$G$4:$G$2485,'апрель 2025'!$D$4:$D$2485,$B54,'апрель 2025'!$J$4:$J$2485,AG$1)</f>
        <v>0</v>
      </c>
      <c r="AH54" s="182">
        <f>SUMIFS('апрель 2025'!$G$4:$G$2485,'апрель 2025'!$D$4:$D$2485,$B54,'апрель 2025'!$J$4:$J$2485,AH$1)</f>
        <v>0</v>
      </c>
      <c r="AI54" s="20">
        <f t="shared" si="1"/>
        <v>0</v>
      </c>
    </row>
    <row r="55" spans="2:35" ht="15" customHeight="1" x14ac:dyDescent="0.25">
      <c r="B55" s="131" t="s">
        <v>252</v>
      </c>
      <c r="C55" s="132">
        <v>20</v>
      </c>
      <c r="D55" s="182">
        <f>SUMIFS('апрель 2025'!$G$4:$G$2485,'апрель 2025'!$D$4:$D$2485,$B55,'апрель 2025'!$J$4:$J$2485,D$1)</f>
        <v>0</v>
      </c>
      <c r="E55" s="182">
        <f>SUMIFS('апрель 2025'!$G$4:$G$2485,'апрель 2025'!$D$4:$D$2485,$B55,'апрель 2025'!$J$4:$J$2485,E$1)</f>
        <v>0</v>
      </c>
      <c r="F55" s="182">
        <f>SUMIFS('апрель 2025'!$G$4:$G$2485,'апрель 2025'!$D$4:$D$2485,$B55,'апрель 2025'!$J$4:$J$2485,F$1)</f>
        <v>0</v>
      </c>
      <c r="G55" s="182">
        <f>SUMIFS('апрель 2025'!$G$4:$G$2485,'апрель 2025'!$D$4:$D$2485,$B55,'апрель 2025'!$J$4:$J$2485,G$1)</f>
        <v>0</v>
      </c>
      <c r="H55" s="182">
        <f>SUMIFS('апрель 2025'!$G$4:$G$2485,'апрель 2025'!$D$4:$D$2485,$B55,'апрель 2025'!$J$4:$J$2485,H$1)</f>
        <v>0</v>
      </c>
      <c r="I55" s="182">
        <f>SUMIFS('апрель 2025'!$G$4:$G$2485,'апрель 2025'!$D$4:$D$2485,$B55,'апрель 2025'!$J$4:$J$2485,I$1)</f>
        <v>0</v>
      </c>
      <c r="J55" s="182">
        <f>SUMIFS('апрель 2025'!$G$4:$G$2485,'апрель 2025'!$D$4:$D$2485,$B55,'апрель 2025'!$J$4:$J$2485,J$1)</f>
        <v>0</v>
      </c>
      <c r="K55" s="182">
        <f>SUMIFS('апрель 2025'!$G$4:$G$2485,'апрель 2025'!$D$4:$D$2485,$B55,'апрель 2025'!$J$4:$J$2485,K$1)</f>
        <v>0</v>
      </c>
      <c r="L55" s="182">
        <f>SUMIFS('апрель 2025'!$G$4:$G$2485,'апрель 2025'!$D$4:$D$2485,$B55,'апрель 2025'!$J$4:$J$2485,L$1)</f>
        <v>0</v>
      </c>
      <c r="M55" s="182">
        <f>SUMIFS('апрель 2025'!$G$4:$G$2485,'апрель 2025'!$D$4:$D$2485,$B55,'апрель 2025'!$J$4:$J$2485,M$1)</f>
        <v>0</v>
      </c>
      <c r="N55" s="182">
        <f>SUMIFS('апрель 2025'!$G$4:$G$2485,'апрель 2025'!$D$4:$D$2485,$B55,'апрель 2025'!$J$4:$J$2485,N$1)</f>
        <v>0</v>
      </c>
      <c r="O55" s="182">
        <f>SUMIFS('апрель 2025'!$G$4:$G$2485,'апрель 2025'!$D$4:$D$2485,$B55,'апрель 2025'!$J$4:$J$2485,O$1)</f>
        <v>0</v>
      </c>
      <c r="P55" s="182">
        <f>SUMIFS('апрель 2025'!$G$4:$G$2485,'апрель 2025'!$D$4:$D$2485,$B55,'апрель 2025'!$J$4:$J$2485,P$1)</f>
        <v>0</v>
      </c>
      <c r="Q55" s="182">
        <f>SUMIFS('апрель 2025'!$G$4:$G$2485,'апрель 2025'!$D$4:$D$2485,$B55,'апрель 2025'!$J$4:$J$2485,Q$1)</f>
        <v>0</v>
      </c>
      <c r="R55" s="182">
        <f>SUMIFS('апрель 2025'!$G$4:$G$2485,'апрель 2025'!$D$4:$D$2485,$B55,'апрель 2025'!$J$4:$J$2485,R$1)</f>
        <v>0</v>
      </c>
      <c r="S55" s="182">
        <f>SUMIFS('апрель 2025'!$G$4:$G$2485,'апрель 2025'!$D$4:$D$2485,$B55,'апрель 2025'!$J$4:$J$2485,S$1)</f>
        <v>0</v>
      </c>
      <c r="T55" s="182">
        <f>SUMIFS('апрель 2025'!$G$4:$G$2485,'апрель 2025'!$D$4:$D$2485,$B55,'апрель 2025'!$J$4:$J$2485,T$1)</f>
        <v>0</v>
      </c>
      <c r="U55" s="182">
        <f>SUMIFS('апрель 2025'!$G$4:$G$2485,'апрель 2025'!$D$4:$D$2485,$B55,'апрель 2025'!$J$4:$J$2485,U$1)</f>
        <v>0</v>
      </c>
      <c r="V55" s="182">
        <f>SUMIFS('апрель 2025'!$G$4:$G$2485,'апрель 2025'!$D$4:$D$2485,$B55,'апрель 2025'!$J$4:$J$2485,V$1)</f>
        <v>0</v>
      </c>
      <c r="W55" s="182">
        <f>SUMIFS('апрель 2025'!$G$4:$G$2485,'апрель 2025'!$D$4:$D$2485,$B55,'апрель 2025'!$J$4:$J$2485,W$1)</f>
        <v>0</v>
      </c>
      <c r="X55" s="182">
        <f>SUMIFS('апрель 2025'!$G$4:$G$2485,'апрель 2025'!$D$4:$D$2485,$B55,'апрель 2025'!$J$4:$J$2485,X$1)</f>
        <v>0</v>
      </c>
      <c r="Y55" s="182">
        <f>SUMIFS('апрель 2025'!$G$4:$G$2485,'апрель 2025'!$D$4:$D$2485,$B55,'апрель 2025'!$J$4:$J$2485,Y$1)</f>
        <v>0</v>
      </c>
      <c r="Z55" s="182">
        <f>SUMIFS('апрель 2025'!$G$4:$G$2485,'апрель 2025'!$D$4:$D$2485,$B55,'апрель 2025'!$J$4:$J$2485,Z$1)</f>
        <v>0</v>
      </c>
      <c r="AA55" s="182">
        <f>SUMIFS('апрель 2025'!$G$4:$G$2485,'апрель 2025'!$D$4:$D$2485,$B55,'апрель 2025'!$J$4:$J$2485,AA$1)</f>
        <v>0</v>
      </c>
      <c r="AB55" s="182">
        <f>SUMIFS('апрель 2025'!$G$4:$G$2485,'апрель 2025'!$D$4:$D$2485,$B55,'апрель 2025'!$J$4:$J$2485,AB$1)</f>
        <v>0</v>
      </c>
      <c r="AC55" s="182">
        <f>SUMIFS('апрель 2025'!$G$4:$G$2485,'апрель 2025'!$D$4:$D$2485,$B55,'апрель 2025'!$J$4:$J$2485,AC$1)</f>
        <v>0</v>
      </c>
      <c r="AD55" s="182">
        <f>SUMIFS('апрель 2025'!$G$4:$G$2485,'апрель 2025'!$D$4:$D$2485,$B55,'апрель 2025'!$J$4:$J$2485,AD$1)</f>
        <v>0</v>
      </c>
      <c r="AE55" s="182">
        <f>SUMIFS('апрель 2025'!$G$4:$G$2485,'апрель 2025'!$D$4:$D$2485,$B55,'апрель 2025'!$J$4:$J$2485,AE$1)</f>
        <v>0</v>
      </c>
      <c r="AF55" s="182">
        <f>SUMIFS('апрель 2025'!$G$4:$G$2485,'апрель 2025'!$D$4:$D$2485,$B55,'апрель 2025'!$J$4:$J$2485,AF$1)</f>
        <v>0</v>
      </c>
      <c r="AG55" s="182">
        <f>SUMIFS('апрель 2025'!$G$4:$G$2485,'апрель 2025'!$D$4:$D$2485,$B55,'апрель 2025'!$J$4:$J$2485,AG$1)</f>
        <v>0</v>
      </c>
      <c r="AH55" s="182">
        <f>SUMIFS('апрель 2025'!$G$4:$G$2485,'апрель 2025'!$D$4:$D$2485,$B55,'апрель 2025'!$J$4:$J$2485,AH$1)</f>
        <v>0</v>
      </c>
      <c r="AI55" s="20">
        <f t="shared" si="1"/>
        <v>0</v>
      </c>
    </row>
    <row r="56" spans="2:35" ht="15" customHeight="1" x14ac:dyDescent="0.25">
      <c r="B56" s="131" t="s">
        <v>1156</v>
      </c>
      <c r="C56" s="132">
        <v>20</v>
      </c>
      <c r="D56" s="182">
        <f>SUMIFS('апрель 2025'!$G$4:$G$2485,'апрель 2025'!$D$4:$D$2485,$B56,'апрель 2025'!$J$4:$J$2485,D$1)</f>
        <v>0</v>
      </c>
      <c r="E56" s="182">
        <f>SUMIFS('апрель 2025'!$G$4:$G$2485,'апрель 2025'!$D$4:$D$2485,$B56,'апрель 2025'!$J$4:$J$2485,E$1)</f>
        <v>0</v>
      </c>
      <c r="F56" s="182">
        <f>SUMIFS('апрель 2025'!$G$4:$G$2485,'апрель 2025'!$D$4:$D$2485,$B56,'апрель 2025'!$J$4:$J$2485,F$1)</f>
        <v>0</v>
      </c>
      <c r="G56" s="182">
        <f>SUMIFS('апрель 2025'!$G$4:$G$2485,'апрель 2025'!$D$4:$D$2485,$B56,'апрель 2025'!$J$4:$J$2485,G$1)</f>
        <v>0</v>
      </c>
      <c r="H56" s="182">
        <f>SUMIFS('апрель 2025'!$G$4:$G$2485,'апрель 2025'!$D$4:$D$2485,$B56,'апрель 2025'!$J$4:$J$2485,H$1)</f>
        <v>0</v>
      </c>
      <c r="I56" s="182">
        <f>SUMIFS('апрель 2025'!$G$4:$G$2485,'апрель 2025'!$D$4:$D$2485,$B56,'апрель 2025'!$J$4:$J$2485,I$1)</f>
        <v>0</v>
      </c>
      <c r="J56" s="182">
        <f>SUMIFS('апрель 2025'!$G$4:$G$2485,'апрель 2025'!$D$4:$D$2485,$B56,'апрель 2025'!$J$4:$J$2485,J$1)</f>
        <v>0</v>
      </c>
      <c r="K56" s="182">
        <f>SUMIFS('апрель 2025'!$G$4:$G$2485,'апрель 2025'!$D$4:$D$2485,$B56,'апрель 2025'!$J$4:$J$2485,K$1)</f>
        <v>0</v>
      </c>
      <c r="L56" s="182">
        <f>SUMIFS('апрель 2025'!$G$4:$G$2485,'апрель 2025'!$D$4:$D$2485,$B56,'апрель 2025'!$J$4:$J$2485,L$1)</f>
        <v>0</v>
      </c>
      <c r="M56" s="182">
        <f>SUMIFS('апрель 2025'!$G$4:$G$2485,'апрель 2025'!$D$4:$D$2485,$B56,'апрель 2025'!$J$4:$J$2485,M$1)</f>
        <v>0</v>
      </c>
      <c r="N56" s="182">
        <f>SUMIFS('апрель 2025'!$G$4:$G$2485,'апрель 2025'!$D$4:$D$2485,$B56,'апрель 2025'!$J$4:$J$2485,N$1)</f>
        <v>0</v>
      </c>
      <c r="O56" s="182">
        <f>SUMIFS('апрель 2025'!$G$4:$G$2485,'апрель 2025'!$D$4:$D$2485,$B56,'апрель 2025'!$J$4:$J$2485,O$1)</f>
        <v>0</v>
      </c>
      <c r="P56" s="182">
        <f>SUMIFS('апрель 2025'!$G$4:$G$2485,'апрель 2025'!$D$4:$D$2485,$B56,'апрель 2025'!$J$4:$J$2485,P$1)</f>
        <v>0</v>
      </c>
      <c r="Q56" s="182">
        <f>SUMIFS('апрель 2025'!$G$4:$G$2485,'апрель 2025'!$D$4:$D$2485,$B56,'апрель 2025'!$J$4:$J$2485,Q$1)</f>
        <v>0</v>
      </c>
      <c r="R56" s="182">
        <f>SUMIFS('апрель 2025'!$G$4:$G$2485,'апрель 2025'!$D$4:$D$2485,$B56,'апрель 2025'!$J$4:$J$2485,R$1)</f>
        <v>0</v>
      </c>
      <c r="S56" s="182">
        <f>SUMIFS('апрель 2025'!$G$4:$G$2485,'апрель 2025'!$D$4:$D$2485,$B56,'апрель 2025'!$J$4:$J$2485,S$1)</f>
        <v>0</v>
      </c>
      <c r="T56" s="182">
        <f>SUMIFS('апрель 2025'!$G$4:$G$2485,'апрель 2025'!$D$4:$D$2485,$B56,'апрель 2025'!$J$4:$J$2485,T$1)</f>
        <v>0</v>
      </c>
      <c r="U56" s="182">
        <f>SUMIFS('апрель 2025'!$G$4:$G$2485,'апрель 2025'!$D$4:$D$2485,$B56,'апрель 2025'!$J$4:$J$2485,U$1)</f>
        <v>0</v>
      </c>
      <c r="V56" s="182">
        <f>SUMIFS('апрель 2025'!$G$4:$G$2485,'апрель 2025'!$D$4:$D$2485,$B56,'апрель 2025'!$J$4:$J$2485,V$1)</f>
        <v>0</v>
      </c>
      <c r="W56" s="182">
        <f>SUMIFS('апрель 2025'!$G$4:$G$2485,'апрель 2025'!$D$4:$D$2485,$B56,'апрель 2025'!$J$4:$J$2485,W$1)</f>
        <v>0</v>
      </c>
      <c r="X56" s="182">
        <f>SUMIFS('апрель 2025'!$G$4:$G$2485,'апрель 2025'!$D$4:$D$2485,$B56,'апрель 2025'!$J$4:$J$2485,X$1)</f>
        <v>0</v>
      </c>
      <c r="Y56" s="182">
        <f>SUMIFS('апрель 2025'!$G$4:$G$2485,'апрель 2025'!$D$4:$D$2485,$B56,'апрель 2025'!$J$4:$J$2485,Y$1)</f>
        <v>0</v>
      </c>
      <c r="Z56" s="182">
        <f>SUMIFS('апрель 2025'!$G$4:$G$2485,'апрель 2025'!$D$4:$D$2485,$B56,'апрель 2025'!$J$4:$J$2485,Z$1)</f>
        <v>0</v>
      </c>
      <c r="AA56" s="182">
        <f>SUMIFS('апрель 2025'!$G$4:$G$2485,'апрель 2025'!$D$4:$D$2485,$B56,'апрель 2025'!$J$4:$J$2485,AA$1)</f>
        <v>200</v>
      </c>
      <c r="AB56" s="182">
        <f>SUMIFS('апрель 2025'!$G$4:$G$2485,'апрель 2025'!$D$4:$D$2485,$B56,'апрель 2025'!$J$4:$J$2485,AB$1)</f>
        <v>0</v>
      </c>
      <c r="AC56" s="182">
        <f>SUMIFS('апрель 2025'!$G$4:$G$2485,'апрель 2025'!$D$4:$D$2485,$B56,'апрель 2025'!$J$4:$J$2485,AC$1)</f>
        <v>0</v>
      </c>
      <c r="AD56" s="182">
        <f>SUMIFS('апрель 2025'!$G$4:$G$2485,'апрель 2025'!$D$4:$D$2485,$B56,'апрель 2025'!$J$4:$J$2485,AD$1)</f>
        <v>0</v>
      </c>
      <c r="AE56" s="182">
        <f>SUMIFS('апрель 2025'!$G$4:$G$2485,'апрель 2025'!$D$4:$D$2485,$B56,'апрель 2025'!$J$4:$J$2485,AE$1)</f>
        <v>0</v>
      </c>
      <c r="AF56" s="182">
        <f>SUMIFS('апрель 2025'!$G$4:$G$2485,'апрель 2025'!$D$4:$D$2485,$B56,'апрель 2025'!$J$4:$J$2485,AF$1)</f>
        <v>0</v>
      </c>
      <c r="AG56" s="182">
        <f>SUMIFS('апрель 2025'!$G$4:$G$2485,'апрель 2025'!$D$4:$D$2485,$B56,'апрель 2025'!$J$4:$J$2485,AG$1)</f>
        <v>0</v>
      </c>
      <c r="AH56" s="182">
        <f>SUMIFS('апрель 2025'!$G$4:$G$2485,'апрель 2025'!$D$4:$D$2485,$B56,'апрель 2025'!$J$4:$J$2485,AH$1)</f>
        <v>0</v>
      </c>
      <c r="AI56" s="20">
        <f t="shared" ref="AI56" si="2">SUM(D56:AH56)</f>
        <v>200</v>
      </c>
    </row>
    <row r="57" spans="2:35" ht="15" customHeight="1" x14ac:dyDescent="0.25">
      <c r="B57" s="127" t="s">
        <v>253</v>
      </c>
      <c r="C57" s="132">
        <v>20</v>
      </c>
      <c r="D57" s="182">
        <f>SUMIFS('апрель 2025'!$G$4:$G$2485,'апрель 2025'!$D$4:$D$2485,$B57,'апрель 2025'!$J$4:$J$2485,D$1)</f>
        <v>0</v>
      </c>
      <c r="E57" s="182">
        <f>SUMIFS('апрель 2025'!$G$4:$G$2485,'апрель 2025'!$D$4:$D$2485,$B57,'апрель 2025'!$J$4:$J$2485,E$1)</f>
        <v>0</v>
      </c>
      <c r="F57" s="182">
        <f>SUMIFS('апрель 2025'!$G$4:$G$2485,'апрель 2025'!$D$4:$D$2485,$B57,'апрель 2025'!$J$4:$J$2485,F$1)</f>
        <v>0</v>
      </c>
      <c r="G57" s="182">
        <f>SUMIFS('апрель 2025'!$G$4:$G$2485,'апрель 2025'!$D$4:$D$2485,$B57,'апрель 2025'!$J$4:$J$2485,G$1)</f>
        <v>0</v>
      </c>
      <c r="H57" s="182">
        <f>SUMIFS('апрель 2025'!$G$4:$G$2485,'апрель 2025'!$D$4:$D$2485,$B57,'апрель 2025'!$J$4:$J$2485,H$1)</f>
        <v>0</v>
      </c>
      <c r="I57" s="182">
        <f>SUMIFS('апрель 2025'!$G$4:$G$2485,'апрель 2025'!$D$4:$D$2485,$B57,'апрель 2025'!$J$4:$J$2485,I$1)</f>
        <v>0</v>
      </c>
      <c r="J57" s="182">
        <f>SUMIFS('апрель 2025'!$G$4:$G$2485,'апрель 2025'!$D$4:$D$2485,$B57,'апрель 2025'!$J$4:$J$2485,J$1)</f>
        <v>0</v>
      </c>
      <c r="K57" s="182">
        <f>SUMIFS('апрель 2025'!$G$4:$G$2485,'апрель 2025'!$D$4:$D$2485,$B57,'апрель 2025'!$J$4:$J$2485,K$1)</f>
        <v>0</v>
      </c>
      <c r="L57" s="182">
        <f>SUMIFS('апрель 2025'!$G$4:$G$2485,'апрель 2025'!$D$4:$D$2485,$B57,'апрель 2025'!$J$4:$J$2485,L$1)</f>
        <v>0</v>
      </c>
      <c r="M57" s="182">
        <f>SUMIFS('апрель 2025'!$G$4:$G$2485,'апрель 2025'!$D$4:$D$2485,$B57,'апрель 2025'!$J$4:$J$2485,M$1)</f>
        <v>0</v>
      </c>
      <c r="N57" s="182">
        <f>SUMIFS('апрель 2025'!$G$4:$G$2485,'апрель 2025'!$D$4:$D$2485,$B57,'апрель 2025'!$J$4:$J$2485,N$1)</f>
        <v>0</v>
      </c>
      <c r="O57" s="182">
        <f>SUMIFS('апрель 2025'!$G$4:$G$2485,'апрель 2025'!$D$4:$D$2485,$B57,'апрель 2025'!$J$4:$J$2485,O$1)</f>
        <v>0</v>
      </c>
      <c r="P57" s="182">
        <f>SUMIFS('апрель 2025'!$G$4:$G$2485,'апрель 2025'!$D$4:$D$2485,$B57,'апрель 2025'!$J$4:$J$2485,P$1)</f>
        <v>0</v>
      </c>
      <c r="Q57" s="182">
        <f>SUMIFS('апрель 2025'!$G$4:$G$2485,'апрель 2025'!$D$4:$D$2485,$B57,'апрель 2025'!$J$4:$J$2485,Q$1)</f>
        <v>0</v>
      </c>
      <c r="R57" s="182">
        <f>SUMIFS('апрель 2025'!$G$4:$G$2485,'апрель 2025'!$D$4:$D$2485,$B57,'апрель 2025'!$J$4:$J$2485,R$1)</f>
        <v>0</v>
      </c>
      <c r="S57" s="182">
        <f>SUMIFS('апрель 2025'!$G$4:$G$2485,'апрель 2025'!$D$4:$D$2485,$B57,'апрель 2025'!$J$4:$J$2485,S$1)</f>
        <v>0</v>
      </c>
      <c r="T57" s="182">
        <f>SUMIFS('апрель 2025'!$G$4:$G$2485,'апрель 2025'!$D$4:$D$2485,$B57,'апрель 2025'!$J$4:$J$2485,T$1)</f>
        <v>0</v>
      </c>
      <c r="U57" s="182">
        <f>SUMIFS('апрель 2025'!$G$4:$G$2485,'апрель 2025'!$D$4:$D$2485,$B57,'апрель 2025'!$J$4:$J$2485,U$1)</f>
        <v>0</v>
      </c>
      <c r="V57" s="182">
        <f>SUMIFS('апрель 2025'!$G$4:$G$2485,'апрель 2025'!$D$4:$D$2485,$B57,'апрель 2025'!$J$4:$J$2485,V$1)</f>
        <v>0</v>
      </c>
      <c r="W57" s="182">
        <f>SUMIFS('апрель 2025'!$G$4:$G$2485,'апрель 2025'!$D$4:$D$2485,$B57,'апрель 2025'!$J$4:$J$2485,W$1)</f>
        <v>0</v>
      </c>
      <c r="X57" s="182">
        <f>SUMIFS('апрель 2025'!$G$4:$G$2485,'апрель 2025'!$D$4:$D$2485,$B57,'апрель 2025'!$J$4:$J$2485,X$1)</f>
        <v>0</v>
      </c>
      <c r="Y57" s="182">
        <f>SUMIFS('апрель 2025'!$G$4:$G$2485,'апрель 2025'!$D$4:$D$2485,$B57,'апрель 2025'!$J$4:$J$2485,Y$1)</f>
        <v>0</v>
      </c>
      <c r="Z57" s="182">
        <f>SUMIFS('апрель 2025'!$G$4:$G$2485,'апрель 2025'!$D$4:$D$2485,$B57,'апрель 2025'!$J$4:$J$2485,Z$1)</f>
        <v>0</v>
      </c>
      <c r="AA57" s="182">
        <f>SUMIFS('апрель 2025'!$G$4:$G$2485,'апрель 2025'!$D$4:$D$2485,$B57,'апрель 2025'!$J$4:$J$2485,AA$1)</f>
        <v>0</v>
      </c>
      <c r="AB57" s="182">
        <f>SUMIFS('апрель 2025'!$G$4:$G$2485,'апрель 2025'!$D$4:$D$2485,$B57,'апрель 2025'!$J$4:$J$2485,AB$1)</f>
        <v>0</v>
      </c>
      <c r="AC57" s="182">
        <f>SUMIFS('апрель 2025'!$G$4:$G$2485,'апрель 2025'!$D$4:$D$2485,$B57,'апрель 2025'!$J$4:$J$2485,AC$1)</f>
        <v>0</v>
      </c>
      <c r="AD57" s="182">
        <f>SUMIFS('апрель 2025'!$G$4:$G$2485,'апрель 2025'!$D$4:$D$2485,$B57,'апрель 2025'!$J$4:$J$2485,AD$1)</f>
        <v>0</v>
      </c>
      <c r="AE57" s="182">
        <f>SUMIFS('апрель 2025'!$G$4:$G$2485,'апрель 2025'!$D$4:$D$2485,$B57,'апрель 2025'!$J$4:$J$2485,AE$1)</f>
        <v>0</v>
      </c>
      <c r="AF57" s="182">
        <f>SUMIFS('апрель 2025'!$G$4:$G$2485,'апрель 2025'!$D$4:$D$2485,$B57,'апрель 2025'!$J$4:$J$2485,AF$1)</f>
        <v>0</v>
      </c>
      <c r="AG57" s="182">
        <f>SUMIFS('апрель 2025'!$G$4:$G$2485,'апрель 2025'!$D$4:$D$2485,$B57,'апрель 2025'!$J$4:$J$2485,AG$1)</f>
        <v>0</v>
      </c>
      <c r="AH57" s="182">
        <f>SUMIFS('апрель 2025'!$G$4:$G$2485,'апрель 2025'!$D$4:$D$2485,$B57,'апрель 2025'!$J$4:$J$2485,AH$1)</f>
        <v>0</v>
      </c>
      <c r="AI57" s="20">
        <f t="shared" si="1"/>
        <v>0</v>
      </c>
    </row>
    <row r="58" spans="2:35" ht="15" customHeight="1" x14ac:dyDescent="0.25">
      <c r="B58" s="131" t="s">
        <v>254</v>
      </c>
      <c r="C58" s="132">
        <v>20</v>
      </c>
      <c r="D58" s="182">
        <f>SUMIFS('апрель 2025'!$G$4:$G$2485,'апрель 2025'!$D$4:$D$2485,$B58,'апрель 2025'!$J$4:$J$2485,D$1)</f>
        <v>0</v>
      </c>
      <c r="E58" s="182">
        <f>SUMIFS('апрель 2025'!$G$4:$G$2485,'апрель 2025'!$D$4:$D$2485,$B58,'апрель 2025'!$J$4:$J$2485,E$1)</f>
        <v>0</v>
      </c>
      <c r="F58" s="182">
        <f>SUMIFS('апрель 2025'!$G$4:$G$2485,'апрель 2025'!$D$4:$D$2485,$B58,'апрель 2025'!$J$4:$J$2485,F$1)</f>
        <v>0</v>
      </c>
      <c r="G58" s="182">
        <f>SUMIFS('апрель 2025'!$G$4:$G$2485,'апрель 2025'!$D$4:$D$2485,$B58,'апрель 2025'!$J$4:$J$2485,G$1)</f>
        <v>0</v>
      </c>
      <c r="H58" s="182">
        <f>SUMIFS('апрель 2025'!$G$4:$G$2485,'апрель 2025'!$D$4:$D$2485,$B58,'апрель 2025'!$J$4:$J$2485,H$1)</f>
        <v>0</v>
      </c>
      <c r="I58" s="182">
        <f>SUMIFS('апрель 2025'!$G$4:$G$2485,'апрель 2025'!$D$4:$D$2485,$B58,'апрель 2025'!$J$4:$J$2485,I$1)</f>
        <v>0</v>
      </c>
      <c r="J58" s="182">
        <f>SUMIFS('апрель 2025'!$G$4:$G$2485,'апрель 2025'!$D$4:$D$2485,$B58,'апрель 2025'!$J$4:$J$2485,J$1)</f>
        <v>0</v>
      </c>
      <c r="K58" s="182">
        <f>SUMIFS('апрель 2025'!$G$4:$G$2485,'апрель 2025'!$D$4:$D$2485,$B58,'апрель 2025'!$J$4:$J$2485,K$1)</f>
        <v>0</v>
      </c>
      <c r="L58" s="182">
        <f>SUMIFS('апрель 2025'!$G$4:$G$2485,'апрель 2025'!$D$4:$D$2485,$B58,'апрель 2025'!$J$4:$J$2485,L$1)</f>
        <v>0</v>
      </c>
      <c r="M58" s="182">
        <f>SUMIFS('апрель 2025'!$G$4:$G$2485,'апрель 2025'!$D$4:$D$2485,$B58,'апрель 2025'!$J$4:$J$2485,M$1)</f>
        <v>0</v>
      </c>
      <c r="N58" s="182">
        <f>SUMIFS('апрель 2025'!$G$4:$G$2485,'апрель 2025'!$D$4:$D$2485,$B58,'апрель 2025'!$J$4:$J$2485,N$1)</f>
        <v>0</v>
      </c>
      <c r="O58" s="182">
        <f>SUMIFS('апрель 2025'!$G$4:$G$2485,'апрель 2025'!$D$4:$D$2485,$B58,'апрель 2025'!$J$4:$J$2485,O$1)</f>
        <v>0</v>
      </c>
      <c r="P58" s="182">
        <f>SUMIFS('апрель 2025'!$G$4:$G$2485,'апрель 2025'!$D$4:$D$2485,$B58,'апрель 2025'!$J$4:$J$2485,P$1)</f>
        <v>0</v>
      </c>
      <c r="Q58" s="182">
        <f>SUMIFS('апрель 2025'!$G$4:$G$2485,'апрель 2025'!$D$4:$D$2485,$B58,'апрель 2025'!$J$4:$J$2485,Q$1)</f>
        <v>0</v>
      </c>
      <c r="R58" s="182">
        <f>SUMIFS('апрель 2025'!$G$4:$G$2485,'апрель 2025'!$D$4:$D$2485,$B58,'апрель 2025'!$J$4:$J$2485,R$1)</f>
        <v>0</v>
      </c>
      <c r="S58" s="182">
        <f>SUMIFS('апрель 2025'!$G$4:$G$2485,'апрель 2025'!$D$4:$D$2485,$B58,'апрель 2025'!$J$4:$J$2485,S$1)</f>
        <v>0</v>
      </c>
      <c r="T58" s="182">
        <f>SUMIFS('апрель 2025'!$G$4:$G$2485,'апрель 2025'!$D$4:$D$2485,$B58,'апрель 2025'!$J$4:$J$2485,T$1)</f>
        <v>0</v>
      </c>
      <c r="U58" s="182">
        <f>SUMIFS('апрель 2025'!$G$4:$G$2485,'апрель 2025'!$D$4:$D$2485,$B58,'апрель 2025'!$J$4:$J$2485,U$1)</f>
        <v>0</v>
      </c>
      <c r="V58" s="182">
        <f>SUMIFS('апрель 2025'!$G$4:$G$2485,'апрель 2025'!$D$4:$D$2485,$B58,'апрель 2025'!$J$4:$J$2485,V$1)</f>
        <v>0</v>
      </c>
      <c r="W58" s="182">
        <f>SUMIFS('апрель 2025'!$G$4:$G$2485,'апрель 2025'!$D$4:$D$2485,$B58,'апрель 2025'!$J$4:$J$2485,W$1)</f>
        <v>0</v>
      </c>
      <c r="X58" s="182">
        <f>SUMIFS('апрель 2025'!$G$4:$G$2485,'апрель 2025'!$D$4:$D$2485,$B58,'апрель 2025'!$J$4:$J$2485,X$1)</f>
        <v>0</v>
      </c>
      <c r="Y58" s="182">
        <f>SUMIFS('апрель 2025'!$G$4:$G$2485,'апрель 2025'!$D$4:$D$2485,$B58,'апрель 2025'!$J$4:$J$2485,Y$1)</f>
        <v>0</v>
      </c>
      <c r="Z58" s="182">
        <f>SUMIFS('апрель 2025'!$G$4:$G$2485,'апрель 2025'!$D$4:$D$2485,$B58,'апрель 2025'!$J$4:$J$2485,Z$1)</f>
        <v>0</v>
      </c>
      <c r="AA58" s="182">
        <f>SUMIFS('апрель 2025'!$G$4:$G$2485,'апрель 2025'!$D$4:$D$2485,$B58,'апрель 2025'!$J$4:$J$2485,AA$1)</f>
        <v>0</v>
      </c>
      <c r="AB58" s="182">
        <f>SUMIFS('апрель 2025'!$G$4:$G$2485,'апрель 2025'!$D$4:$D$2485,$B58,'апрель 2025'!$J$4:$J$2485,AB$1)</f>
        <v>0</v>
      </c>
      <c r="AC58" s="182">
        <f>SUMIFS('апрель 2025'!$G$4:$G$2485,'апрель 2025'!$D$4:$D$2485,$B58,'апрель 2025'!$J$4:$J$2485,AC$1)</f>
        <v>0</v>
      </c>
      <c r="AD58" s="182">
        <f>SUMIFS('апрель 2025'!$G$4:$G$2485,'апрель 2025'!$D$4:$D$2485,$B58,'апрель 2025'!$J$4:$J$2485,AD$1)</f>
        <v>0</v>
      </c>
      <c r="AE58" s="182">
        <f>SUMIFS('апрель 2025'!$G$4:$G$2485,'апрель 2025'!$D$4:$D$2485,$B58,'апрель 2025'!$J$4:$J$2485,AE$1)</f>
        <v>0</v>
      </c>
      <c r="AF58" s="182">
        <f>SUMIFS('апрель 2025'!$G$4:$G$2485,'апрель 2025'!$D$4:$D$2485,$B58,'апрель 2025'!$J$4:$J$2485,AF$1)</f>
        <v>0</v>
      </c>
      <c r="AG58" s="182">
        <f>SUMIFS('апрель 2025'!$G$4:$G$2485,'апрель 2025'!$D$4:$D$2485,$B58,'апрель 2025'!$J$4:$J$2485,AG$1)</f>
        <v>0</v>
      </c>
      <c r="AH58" s="182">
        <f>SUMIFS('апрель 2025'!$G$4:$G$2485,'апрель 2025'!$D$4:$D$2485,$B58,'апрель 2025'!$J$4:$J$2485,AH$1)</f>
        <v>0</v>
      </c>
      <c r="AI58" s="20">
        <f t="shared" si="1"/>
        <v>0</v>
      </c>
    </row>
    <row r="59" spans="2:35" ht="15" customHeight="1" x14ac:dyDescent="0.25">
      <c r="B59" s="131" t="s">
        <v>255</v>
      </c>
      <c r="C59" s="132">
        <v>20</v>
      </c>
      <c r="D59" s="182">
        <f>SUMIFS('апрель 2025'!$G$4:$G$2485,'апрель 2025'!$D$4:$D$2485,$B59,'апрель 2025'!$J$4:$J$2485,D$1)</f>
        <v>0</v>
      </c>
      <c r="E59" s="182">
        <f>SUMIFS('апрель 2025'!$G$4:$G$2485,'апрель 2025'!$D$4:$D$2485,$B59,'апрель 2025'!$J$4:$J$2485,E$1)</f>
        <v>0</v>
      </c>
      <c r="F59" s="182">
        <f>SUMIFS('апрель 2025'!$G$4:$G$2485,'апрель 2025'!$D$4:$D$2485,$B59,'апрель 2025'!$J$4:$J$2485,F$1)</f>
        <v>0</v>
      </c>
      <c r="G59" s="182">
        <f>SUMIFS('апрель 2025'!$G$4:$G$2485,'апрель 2025'!$D$4:$D$2485,$B59,'апрель 2025'!$J$4:$J$2485,G$1)</f>
        <v>0</v>
      </c>
      <c r="H59" s="182">
        <f>SUMIFS('апрель 2025'!$G$4:$G$2485,'апрель 2025'!$D$4:$D$2485,$B59,'апрель 2025'!$J$4:$J$2485,H$1)</f>
        <v>0</v>
      </c>
      <c r="I59" s="182">
        <f>SUMIFS('апрель 2025'!$G$4:$G$2485,'апрель 2025'!$D$4:$D$2485,$B59,'апрель 2025'!$J$4:$J$2485,I$1)</f>
        <v>0</v>
      </c>
      <c r="J59" s="182">
        <f>SUMIFS('апрель 2025'!$G$4:$G$2485,'апрель 2025'!$D$4:$D$2485,$B59,'апрель 2025'!$J$4:$J$2485,J$1)</f>
        <v>0</v>
      </c>
      <c r="K59" s="182">
        <f>SUMIFS('апрель 2025'!$G$4:$G$2485,'апрель 2025'!$D$4:$D$2485,$B59,'апрель 2025'!$J$4:$J$2485,K$1)</f>
        <v>0</v>
      </c>
      <c r="L59" s="182">
        <f>SUMIFS('апрель 2025'!$G$4:$G$2485,'апрель 2025'!$D$4:$D$2485,$B59,'апрель 2025'!$J$4:$J$2485,L$1)</f>
        <v>0</v>
      </c>
      <c r="M59" s="182">
        <f>SUMIFS('апрель 2025'!$G$4:$G$2485,'апрель 2025'!$D$4:$D$2485,$B59,'апрель 2025'!$J$4:$J$2485,M$1)</f>
        <v>0</v>
      </c>
      <c r="N59" s="182">
        <f>SUMIFS('апрель 2025'!$G$4:$G$2485,'апрель 2025'!$D$4:$D$2485,$B59,'апрель 2025'!$J$4:$J$2485,N$1)</f>
        <v>0</v>
      </c>
      <c r="O59" s="182">
        <f>SUMIFS('апрель 2025'!$G$4:$G$2485,'апрель 2025'!$D$4:$D$2485,$B59,'апрель 2025'!$J$4:$J$2485,O$1)</f>
        <v>0</v>
      </c>
      <c r="P59" s="182">
        <f>SUMIFS('апрель 2025'!$G$4:$G$2485,'апрель 2025'!$D$4:$D$2485,$B59,'апрель 2025'!$J$4:$J$2485,P$1)</f>
        <v>0</v>
      </c>
      <c r="Q59" s="182">
        <f>SUMIFS('апрель 2025'!$G$4:$G$2485,'апрель 2025'!$D$4:$D$2485,$B59,'апрель 2025'!$J$4:$J$2485,Q$1)</f>
        <v>0</v>
      </c>
      <c r="R59" s="182">
        <f>SUMIFS('апрель 2025'!$G$4:$G$2485,'апрель 2025'!$D$4:$D$2485,$B59,'апрель 2025'!$J$4:$J$2485,R$1)</f>
        <v>0</v>
      </c>
      <c r="S59" s="182">
        <f>SUMIFS('апрель 2025'!$G$4:$G$2485,'апрель 2025'!$D$4:$D$2485,$B59,'апрель 2025'!$J$4:$J$2485,S$1)</f>
        <v>0</v>
      </c>
      <c r="T59" s="182">
        <f>SUMIFS('апрель 2025'!$G$4:$G$2485,'апрель 2025'!$D$4:$D$2485,$B59,'апрель 2025'!$J$4:$J$2485,T$1)</f>
        <v>0</v>
      </c>
      <c r="U59" s="182">
        <f>SUMIFS('апрель 2025'!$G$4:$G$2485,'апрель 2025'!$D$4:$D$2485,$B59,'апрель 2025'!$J$4:$J$2485,U$1)</f>
        <v>0</v>
      </c>
      <c r="V59" s="182">
        <f>SUMIFS('апрель 2025'!$G$4:$G$2485,'апрель 2025'!$D$4:$D$2485,$B59,'апрель 2025'!$J$4:$J$2485,V$1)</f>
        <v>0</v>
      </c>
      <c r="W59" s="182">
        <f>SUMIFS('апрель 2025'!$G$4:$G$2485,'апрель 2025'!$D$4:$D$2485,$B59,'апрель 2025'!$J$4:$J$2485,W$1)</f>
        <v>0</v>
      </c>
      <c r="X59" s="182">
        <f>SUMIFS('апрель 2025'!$G$4:$G$2485,'апрель 2025'!$D$4:$D$2485,$B59,'апрель 2025'!$J$4:$J$2485,X$1)</f>
        <v>0</v>
      </c>
      <c r="Y59" s="182">
        <f>SUMIFS('апрель 2025'!$G$4:$G$2485,'апрель 2025'!$D$4:$D$2485,$B59,'апрель 2025'!$J$4:$J$2485,Y$1)</f>
        <v>0</v>
      </c>
      <c r="Z59" s="182">
        <f>SUMIFS('апрель 2025'!$G$4:$G$2485,'апрель 2025'!$D$4:$D$2485,$B59,'апрель 2025'!$J$4:$J$2485,Z$1)</f>
        <v>0</v>
      </c>
      <c r="AA59" s="182">
        <f>SUMIFS('апрель 2025'!$G$4:$G$2485,'апрель 2025'!$D$4:$D$2485,$B59,'апрель 2025'!$J$4:$J$2485,AA$1)</f>
        <v>0</v>
      </c>
      <c r="AB59" s="182">
        <f>SUMIFS('апрель 2025'!$G$4:$G$2485,'апрель 2025'!$D$4:$D$2485,$B59,'апрель 2025'!$J$4:$J$2485,AB$1)</f>
        <v>0</v>
      </c>
      <c r="AC59" s="182">
        <f>SUMIFS('апрель 2025'!$G$4:$G$2485,'апрель 2025'!$D$4:$D$2485,$B59,'апрель 2025'!$J$4:$J$2485,AC$1)</f>
        <v>0</v>
      </c>
      <c r="AD59" s="182">
        <f>SUMIFS('апрель 2025'!$G$4:$G$2485,'апрель 2025'!$D$4:$D$2485,$B59,'апрель 2025'!$J$4:$J$2485,AD$1)</f>
        <v>0</v>
      </c>
      <c r="AE59" s="182">
        <f>SUMIFS('апрель 2025'!$G$4:$G$2485,'апрель 2025'!$D$4:$D$2485,$B59,'апрель 2025'!$J$4:$J$2485,AE$1)</f>
        <v>0</v>
      </c>
      <c r="AF59" s="182">
        <f>SUMIFS('апрель 2025'!$G$4:$G$2485,'апрель 2025'!$D$4:$D$2485,$B59,'апрель 2025'!$J$4:$J$2485,AF$1)</f>
        <v>0</v>
      </c>
      <c r="AG59" s="182">
        <f>SUMIFS('апрель 2025'!$G$4:$G$2485,'апрель 2025'!$D$4:$D$2485,$B59,'апрель 2025'!$J$4:$J$2485,AG$1)</f>
        <v>0</v>
      </c>
      <c r="AH59" s="182">
        <f>SUMIFS('апрель 2025'!$G$4:$G$2485,'апрель 2025'!$D$4:$D$2485,$B59,'апрель 2025'!$J$4:$J$2485,AH$1)</f>
        <v>0</v>
      </c>
      <c r="AI59" s="20">
        <f t="shared" si="1"/>
        <v>0</v>
      </c>
    </row>
    <row r="60" spans="2:35" ht="15" customHeight="1" x14ac:dyDescent="0.25">
      <c r="B60" s="131"/>
      <c r="C60" s="132"/>
      <c r="D60" s="182">
        <f>SUMIFS('апрель 2025'!$G$4:$G$2485,'апрель 2025'!$D$4:$D$2485,$B60,'апрель 2025'!$J$4:$J$2485,D$1)</f>
        <v>0</v>
      </c>
      <c r="E60" s="182">
        <f>SUMIFS('апрель 2025'!$G$4:$G$2485,'апрель 2025'!$D$4:$D$2485,$B60,'апрель 2025'!$J$4:$J$2485,E$1)</f>
        <v>0</v>
      </c>
      <c r="F60" s="182">
        <f>SUMIFS('апрель 2025'!$G$4:$G$2485,'апрель 2025'!$D$4:$D$2485,$B60,'апрель 2025'!$J$4:$J$2485,F$1)</f>
        <v>0</v>
      </c>
      <c r="G60" s="182">
        <f>SUMIFS('апрель 2025'!$G$4:$G$2485,'апрель 2025'!$D$4:$D$2485,$B60,'апрель 2025'!$J$4:$J$2485,G$1)</f>
        <v>0</v>
      </c>
      <c r="H60" s="182">
        <f>SUMIFS('апрель 2025'!$G$4:$G$2485,'апрель 2025'!$D$4:$D$2485,$B60,'апрель 2025'!$J$4:$J$2485,H$1)</f>
        <v>0</v>
      </c>
      <c r="I60" s="182">
        <f>SUMIFS('апрель 2025'!$G$4:$G$2485,'апрель 2025'!$D$4:$D$2485,$B60,'апрель 2025'!$J$4:$J$2485,I$1)</f>
        <v>0</v>
      </c>
      <c r="J60" s="182">
        <f>SUMIFS('апрель 2025'!$G$4:$G$2485,'апрель 2025'!$D$4:$D$2485,$B60,'апрель 2025'!$J$4:$J$2485,J$1)</f>
        <v>0</v>
      </c>
      <c r="K60" s="182">
        <f>SUMIFS('апрель 2025'!$G$4:$G$2485,'апрель 2025'!$D$4:$D$2485,$B60,'апрель 2025'!$J$4:$J$2485,K$1)</f>
        <v>0</v>
      </c>
      <c r="L60" s="182">
        <f>SUMIFS('апрель 2025'!$G$4:$G$2485,'апрель 2025'!$D$4:$D$2485,$B60,'апрель 2025'!$J$4:$J$2485,L$1)</f>
        <v>0</v>
      </c>
      <c r="M60" s="182">
        <f>SUMIFS('апрель 2025'!$G$4:$G$2485,'апрель 2025'!$D$4:$D$2485,$B60,'апрель 2025'!$J$4:$J$2485,M$1)</f>
        <v>0</v>
      </c>
      <c r="N60" s="182">
        <f>SUMIFS('апрель 2025'!$G$4:$G$2485,'апрель 2025'!$D$4:$D$2485,$B60,'апрель 2025'!$J$4:$J$2485,N$1)</f>
        <v>0</v>
      </c>
      <c r="O60" s="182">
        <f>SUMIFS('апрель 2025'!$G$4:$G$2485,'апрель 2025'!$D$4:$D$2485,$B60,'апрель 2025'!$J$4:$J$2485,O$1)</f>
        <v>0</v>
      </c>
      <c r="P60" s="182">
        <f>SUMIFS('апрель 2025'!$G$4:$G$2485,'апрель 2025'!$D$4:$D$2485,$B60,'апрель 2025'!$J$4:$J$2485,P$1)</f>
        <v>0</v>
      </c>
      <c r="Q60" s="182">
        <f>SUMIFS('апрель 2025'!$G$4:$G$2485,'апрель 2025'!$D$4:$D$2485,$B60,'апрель 2025'!$J$4:$J$2485,Q$1)</f>
        <v>0</v>
      </c>
      <c r="R60" s="182">
        <f>SUMIFS('апрель 2025'!$G$4:$G$2485,'апрель 2025'!$D$4:$D$2485,$B60,'апрель 2025'!$J$4:$J$2485,R$1)</f>
        <v>0</v>
      </c>
      <c r="S60" s="182">
        <f>SUMIFS('апрель 2025'!$G$4:$G$2485,'апрель 2025'!$D$4:$D$2485,$B60,'апрель 2025'!$J$4:$J$2485,S$1)</f>
        <v>0</v>
      </c>
      <c r="T60" s="182">
        <f>SUMIFS('апрель 2025'!$G$4:$G$2485,'апрель 2025'!$D$4:$D$2485,$B60,'апрель 2025'!$J$4:$J$2485,T$1)</f>
        <v>0</v>
      </c>
      <c r="U60" s="182">
        <f>SUMIFS('апрель 2025'!$G$4:$G$2485,'апрель 2025'!$D$4:$D$2485,$B60,'апрель 2025'!$J$4:$J$2485,U$1)</f>
        <v>0</v>
      </c>
      <c r="V60" s="182">
        <f>SUMIFS('апрель 2025'!$G$4:$G$2485,'апрель 2025'!$D$4:$D$2485,$B60,'апрель 2025'!$J$4:$J$2485,V$1)</f>
        <v>0</v>
      </c>
      <c r="W60" s="182">
        <f>SUMIFS('апрель 2025'!$G$4:$G$2485,'апрель 2025'!$D$4:$D$2485,$B60,'апрель 2025'!$J$4:$J$2485,W$1)</f>
        <v>0</v>
      </c>
      <c r="X60" s="182">
        <f>SUMIFS('апрель 2025'!$G$4:$G$2485,'апрель 2025'!$D$4:$D$2485,$B60,'апрель 2025'!$J$4:$J$2485,X$1)</f>
        <v>0</v>
      </c>
      <c r="Y60" s="182">
        <f>SUMIFS('апрель 2025'!$G$4:$G$2485,'апрель 2025'!$D$4:$D$2485,$B60,'апрель 2025'!$J$4:$J$2485,Y$1)</f>
        <v>0</v>
      </c>
      <c r="Z60" s="182">
        <f>SUMIFS('апрель 2025'!$G$4:$G$2485,'апрель 2025'!$D$4:$D$2485,$B60,'апрель 2025'!$J$4:$J$2485,Z$1)</f>
        <v>0</v>
      </c>
      <c r="AA60" s="182">
        <f>SUMIFS('апрель 2025'!$G$4:$G$2485,'апрель 2025'!$D$4:$D$2485,$B60,'апрель 2025'!$J$4:$J$2485,AA$1)</f>
        <v>0</v>
      </c>
      <c r="AB60" s="182">
        <f>SUMIFS('апрель 2025'!$G$4:$G$2485,'апрель 2025'!$D$4:$D$2485,$B60,'апрель 2025'!$J$4:$J$2485,AB$1)</f>
        <v>0</v>
      </c>
      <c r="AC60" s="182">
        <f>SUMIFS('апрель 2025'!$G$4:$G$2485,'апрель 2025'!$D$4:$D$2485,$B60,'апрель 2025'!$J$4:$J$2485,AC$1)</f>
        <v>0</v>
      </c>
      <c r="AD60" s="182">
        <f>SUMIFS('апрель 2025'!$G$4:$G$2485,'апрель 2025'!$D$4:$D$2485,$B60,'апрель 2025'!$J$4:$J$2485,AD$1)</f>
        <v>0</v>
      </c>
      <c r="AE60" s="182">
        <f>SUMIFS('апрель 2025'!$G$4:$G$2485,'апрель 2025'!$D$4:$D$2485,$B60,'апрель 2025'!$J$4:$J$2485,AE$1)</f>
        <v>0</v>
      </c>
      <c r="AF60" s="182">
        <f>SUMIFS('апрель 2025'!$G$4:$G$2485,'апрель 2025'!$D$4:$D$2485,$B60,'апрель 2025'!$J$4:$J$2485,AF$1)</f>
        <v>0</v>
      </c>
      <c r="AG60" s="182">
        <f>SUMIFS('апрель 2025'!$G$4:$G$2485,'апрель 2025'!$D$4:$D$2485,$B60,'апрель 2025'!$J$4:$J$2485,AG$1)</f>
        <v>0</v>
      </c>
      <c r="AH60" s="182">
        <f>SUMIFS('апрель 2025'!$G$4:$G$2485,'апрель 2025'!$D$4:$D$2485,$B60,'апрель 2025'!$J$4:$J$2485,AH$1)</f>
        <v>0</v>
      </c>
      <c r="AI60" s="20">
        <f t="shared" si="1"/>
        <v>0</v>
      </c>
    </row>
    <row r="61" spans="2:35" ht="15" customHeight="1" x14ac:dyDescent="0.25">
      <c r="B61" s="131"/>
      <c r="C61" s="132"/>
      <c r="D61" s="182">
        <f>SUMIFS('апрель 2025'!$G$4:$G$2485,'апрель 2025'!$D$4:$D$2485,$B61,'апрель 2025'!$J$4:$J$2485,D$1)</f>
        <v>0</v>
      </c>
      <c r="E61" s="182">
        <f>SUMIFS('апрель 2025'!$G$4:$G$2485,'апрель 2025'!$D$4:$D$2485,$B61,'апрель 2025'!$J$4:$J$2485,E$1)</f>
        <v>0</v>
      </c>
      <c r="F61" s="182">
        <f>SUMIFS('апрель 2025'!$G$4:$G$2485,'апрель 2025'!$D$4:$D$2485,$B61,'апрель 2025'!$J$4:$J$2485,F$1)</f>
        <v>0</v>
      </c>
      <c r="G61" s="182">
        <f>SUMIFS('апрель 2025'!$G$4:$G$2485,'апрель 2025'!$D$4:$D$2485,$B61,'апрель 2025'!$J$4:$J$2485,G$1)</f>
        <v>0</v>
      </c>
      <c r="H61" s="182">
        <f>SUMIFS('апрель 2025'!$G$4:$G$2485,'апрель 2025'!$D$4:$D$2485,$B61,'апрель 2025'!$J$4:$J$2485,H$1)</f>
        <v>0</v>
      </c>
      <c r="I61" s="182">
        <f>SUMIFS('апрель 2025'!$G$4:$G$2485,'апрель 2025'!$D$4:$D$2485,$B61,'апрель 2025'!$J$4:$J$2485,I$1)</f>
        <v>0</v>
      </c>
      <c r="J61" s="182">
        <f>SUMIFS('апрель 2025'!$G$4:$G$2485,'апрель 2025'!$D$4:$D$2485,$B61,'апрель 2025'!$J$4:$J$2485,J$1)</f>
        <v>0</v>
      </c>
      <c r="K61" s="182">
        <f>SUMIFS('апрель 2025'!$G$4:$G$2485,'апрель 2025'!$D$4:$D$2485,$B61,'апрель 2025'!$J$4:$J$2485,K$1)</f>
        <v>0</v>
      </c>
      <c r="L61" s="182">
        <f>SUMIFS('апрель 2025'!$G$4:$G$2485,'апрель 2025'!$D$4:$D$2485,$B61,'апрель 2025'!$J$4:$J$2485,L$1)</f>
        <v>0</v>
      </c>
      <c r="M61" s="182">
        <f>SUMIFS('апрель 2025'!$G$4:$G$2485,'апрель 2025'!$D$4:$D$2485,$B61,'апрель 2025'!$J$4:$J$2485,M$1)</f>
        <v>0</v>
      </c>
      <c r="N61" s="182">
        <f>SUMIFS('апрель 2025'!$G$4:$G$2485,'апрель 2025'!$D$4:$D$2485,$B61,'апрель 2025'!$J$4:$J$2485,N$1)</f>
        <v>0</v>
      </c>
      <c r="O61" s="182">
        <f>SUMIFS('апрель 2025'!$G$4:$G$2485,'апрель 2025'!$D$4:$D$2485,$B61,'апрель 2025'!$J$4:$J$2485,O$1)</f>
        <v>0</v>
      </c>
      <c r="P61" s="182">
        <f>SUMIFS('апрель 2025'!$G$4:$G$2485,'апрель 2025'!$D$4:$D$2485,$B61,'апрель 2025'!$J$4:$J$2485,P$1)</f>
        <v>0</v>
      </c>
      <c r="Q61" s="182">
        <f>SUMIFS('апрель 2025'!$G$4:$G$2485,'апрель 2025'!$D$4:$D$2485,$B61,'апрель 2025'!$J$4:$J$2485,Q$1)</f>
        <v>0</v>
      </c>
      <c r="R61" s="182">
        <f>SUMIFS('апрель 2025'!$G$4:$G$2485,'апрель 2025'!$D$4:$D$2485,$B61,'апрель 2025'!$J$4:$J$2485,R$1)</f>
        <v>0</v>
      </c>
      <c r="S61" s="182">
        <f>SUMIFS('апрель 2025'!$G$4:$G$2485,'апрель 2025'!$D$4:$D$2485,$B61,'апрель 2025'!$J$4:$J$2485,S$1)</f>
        <v>0</v>
      </c>
      <c r="T61" s="182">
        <f>SUMIFS('апрель 2025'!$G$4:$G$2485,'апрель 2025'!$D$4:$D$2485,$B61,'апрель 2025'!$J$4:$J$2485,T$1)</f>
        <v>0</v>
      </c>
      <c r="U61" s="182">
        <f>SUMIFS('апрель 2025'!$G$4:$G$2485,'апрель 2025'!$D$4:$D$2485,$B61,'апрель 2025'!$J$4:$J$2485,U$1)</f>
        <v>0</v>
      </c>
      <c r="V61" s="182">
        <f>SUMIFS('апрель 2025'!$G$4:$G$2485,'апрель 2025'!$D$4:$D$2485,$B61,'апрель 2025'!$J$4:$J$2485,V$1)</f>
        <v>0</v>
      </c>
      <c r="W61" s="182">
        <f>SUMIFS('апрель 2025'!$G$4:$G$2485,'апрель 2025'!$D$4:$D$2485,$B61,'апрель 2025'!$J$4:$J$2485,W$1)</f>
        <v>0</v>
      </c>
      <c r="X61" s="182">
        <f>SUMIFS('апрель 2025'!$G$4:$G$2485,'апрель 2025'!$D$4:$D$2485,$B61,'апрель 2025'!$J$4:$J$2485,X$1)</f>
        <v>0</v>
      </c>
      <c r="Y61" s="182">
        <f>SUMIFS('апрель 2025'!$G$4:$G$2485,'апрель 2025'!$D$4:$D$2485,$B61,'апрель 2025'!$J$4:$J$2485,Y$1)</f>
        <v>0</v>
      </c>
      <c r="Z61" s="182">
        <f>SUMIFS('апрель 2025'!$G$4:$G$2485,'апрель 2025'!$D$4:$D$2485,$B61,'апрель 2025'!$J$4:$J$2485,Z$1)</f>
        <v>0</v>
      </c>
      <c r="AA61" s="182">
        <f>SUMIFS('апрель 2025'!$G$4:$G$2485,'апрель 2025'!$D$4:$D$2485,$B61,'апрель 2025'!$J$4:$J$2485,AA$1)</f>
        <v>0</v>
      </c>
      <c r="AB61" s="182">
        <f>SUMIFS('апрель 2025'!$G$4:$G$2485,'апрель 2025'!$D$4:$D$2485,$B61,'апрель 2025'!$J$4:$J$2485,AB$1)</f>
        <v>0</v>
      </c>
      <c r="AC61" s="182">
        <f>SUMIFS('апрель 2025'!$G$4:$G$2485,'апрель 2025'!$D$4:$D$2485,$B61,'апрель 2025'!$J$4:$J$2485,AC$1)</f>
        <v>0</v>
      </c>
      <c r="AD61" s="182">
        <f>SUMIFS('апрель 2025'!$G$4:$G$2485,'апрель 2025'!$D$4:$D$2485,$B61,'апрель 2025'!$J$4:$J$2485,AD$1)</f>
        <v>0</v>
      </c>
      <c r="AE61" s="182">
        <f>SUMIFS('апрель 2025'!$G$4:$G$2485,'апрель 2025'!$D$4:$D$2485,$B61,'апрель 2025'!$J$4:$J$2485,AE$1)</f>
        <v>0</v>
      </c>
      <c r="AF61" s="182">
        <f>SUMIFS('апрель 2025'!$G$4:$G$2485,'апрель 2025'!$D$4:$D$2485,$B61,'апрель 2025'!$J$4:$J$2485,AF$1)</f>
        <v>0</v>
      </c>
      <c r="AG61" s="182">
        <f>SUMIFS('апрель 2025'!$G$4:$G$2485,'апрель 2025'!$D$4:$D$2485,$B61,'апрель 2025'!$J$4:$J$2485,AG$1)</f>
        <v>0</v>
      </c>
      <c r="AH61" s="182">
        <f>SUMIFS('апрель 2025'!$G$4:$G$2485,'апрель 2025'!$D$4:$D$2485,$B61,'апрель 2025'!$J$4:$J$2485,AH$1)</f>
        <v>0</v>
      </c>
      <c r="AI61" s="20">
        <f t="shared" si="1"/>
        <v>0</v>
      </c>
    </row>
    <row r="62" spans="2:35" ht="15" customHeight="1" x14ac:dyDescent="0.25">
      <c r="B62" s="136"/>
      <c r="C62" s="132"/>
      <c r="D62" s="182">
        <f>SUMIFS('апрель 2025'!$G$4:$G$2485,'апрель 2025'!$D$4:$D$2485,$B62,'апрель 2025'!$J$4:$J$2485,D$1)</f>
        <v>0</v>
      </c>
      <c r="E62" s="182">
        <f>SUMIFS('апрель 2025'!$G$4:$G$2485,'апрель 2025'!$D$4:$D$2485,$B62,'апрель 2025'!$J$4:$J$2485,E$1)</f>
        <v>0</v>
      </c>
      <c r="F62" s="182">
        <f>SUMIFS('апрель 2025'!$G$4:$G$2485,'апрель 2025'!$D$4:$D$2485,$B62,'апрель 2025'!$J$4:$J$2485,F$1)</f>
        <v>0</v>
      </c>
      <c r="G62" s="182">
        <f>SUMIFS('апрель 2025'!$G$4:$G$2485,'апрель 2025'!$D$4:$D$2485,$B62,'апрель 2025'!$J$4:$J$2485,G$1)</f>
        <v>0</v>
      </c>
      <c r="H62" s="182">
        <f>SUMIFS('апрель 2025'!$G$4:$G$2485,'апрель 2025'!$D$4:$D$2485,$B62,'апрель 2025'!$J$4:$J$2485,H$1)</f>
        <v>0</v>
      </c>
      <c r="I62" s="182">
        <f>SUMIFS('апрель 2025'!$G$4:$G$2485,'апрель 2025'!$D$4:$D$2485,$B62,'апрель 2025'!$J$4:$J$2485,I$1)</f>
        <v>0</v>
      </c>
      <c r="J62" s="182">
        <f>SUMIFS('апрель 2025'!$G$4:$G$2485,'апрель 2025'!$D$4:$D$2485,$B62,'апрель 2025'!$J$4:$J$2485,J$1)</f>
        <v>0</v>
      </c>
      <c r="K62" s="182">
        <f>SUMIFS('апрель 2025'!$G$4:$G$2485,'апрель 2025'!$D$4:$D$2485,$B62,'апрель 2025'!$J$4:$J$2485,K$1)</f>
        <v>0</v>
      </c>
      <c r="L62" s="182">
        <f>SUMIFS('апрель 2025'!$G$4:$G$2485,'апрель 2025'!$D$4:$D$2485,$B62,'апрель 2025'!$J$4:$J$2485,L$1)</f>
        <v>0</v>
      </c>
      <c r="M62" s="182">
        <f>SUMIFS('апрель 2025'!$G$4:$G$2485,'апрель 2025'!$D$4:$D$2485,$B62,'апрель 2025'!$J$4:$J$2485,M$1)</f>
        <v>0</v>
      </c>
      <c r="N62" s="182">
        <f>SUMIFS('апрель 2025'!$G$4:$G$2485,'апрель 2025'!$D$4:$D$2485,$B62,'апрель 2025'!$J$4:$J$2485,N$1)</f>
        <v>0</v>
      </c>
      <c r="O62" s="182">
        <f>SUMIFS('апрель 2025'!$G$4:$G$2485,'апрель 2025'!$D$4:$D$2485,$B62,'апрель 2025'!$J$4:$J$2485,O$1)</f>
        <v>0</v>
      </c>
      <c r="P62" s="182">
        <f>SUMIFS('апрель 2025'!$G$4:$G$2485,'апрель 2025'!$D$4:$D$2485,$B62,'апрель 2025'!$J$4:$J$2485,P$1)</f>
        <v>0</v>
      </c>
      <c r="Q62" s="182">
        <f>SUMIFS('апрель 2025'!$G$4:$G$2485,'апрель 2025'!$D$4:$D$2485,$B62,'апрель 2025'!$J$4:$J$2485,Q$1)</f>
        <v>0</v>
      </c>
      <c r="R62" s="182">
        <f>SUMIFS('апрель 2025'!$G$4:$G$2485,'апрель 2025'!$D$4:$D$2485,$B62,'апрель 2025'!$J$4:$J$2485,R$1)</f>
        <v>0</v>
      </c>
      <c r="S62" s="182">
        <f>SUMIFS('апрель 2025'!$G$4:$G$2485,'апрель 2025'!$D$4:$D$2485,$B62,'апрель 2025'!$J$4:$J$2485,S$1)</f>
        <v>0</v>
      </c>
      <c r="T62" s="182">
        <f>SUMIFS('апрель 2025'!$G$4:$G$2485,'апрель 2025'!$D$4:$D$2485,$B62,'апрель 2025'!$J$4:$J$2485,T$1)</f>
        <v>0</v>
      </c>
      <c r="U62" s="182">
        <f>SUMIFS('апрель 2025'!$G$4:$G$2485,'апрель 2025'!$D$4:$D$2485,$B62,'апрель 2025'!$J$4:$J$2485,U$1)</f>
        <v>0</v>
      </c>
      <c r="V62" s="182">
        <f>SUMIFS('апрель 2025'!$G$4:$G$2485,'апрель 2025'!$D$4:$D$2485,$B62,'апрель 2025'!$J$4:$J$2485,V$1)</f>
        <v>0</v>
      </c>
      <c r="W62" s="182">
        <f>SUMIFS('апрель 2025'!$G$4:$G$2485,'апрель 2025'!$D$4:$D$2485,$B62,'апрель 2025'!$J$4:$J$2485,W$1)</f>
        <v>0</v>
      </c>
      <c r="X62" s="182">
        <f>SUMIFS('апрель 2025'!$G$4:$G$2485,'апрель 2025'!$D$4:$D$2485,$B62,'апрель 2025'!$J$4:$J$2485,X$1)</f>
        <v>0</v>
      </c>
      <c r="Y62" s="182">
        <f>SUMIFS('апрель 2025'!$G$4:$G$2485,'апрель 2025'!$D$4:$D$2485,$B62,'апрель 2025'!$J$4:$J$2485,Y$1)</f>
        <v>0</v>
      </c>
      <c r="Z62" s="182">
        <f>SUMIFS('апрель 2025'!$G$4:$G$2485,'апрель 2025'!$D$4:$D$2485,$B62,'апрель 2025'!$J$4:$J$2485,Z$1)</f>
        <v>0</v>
      </c>
      <c r="AA62" s="182">
        <f>SUMIFS('апрель 2025'!$G$4:$G$2485,'апрель 2025'!$D$4:$D$2485,$B62,'апрель 2025'!$J$4:$J$2485,AA$1)</f>
        <v>0</v>
      </c>
      <c r="AB62" s="182">
        <f>SUMIFS('апрель 2025'!$G$4:$G$2485,'апрель 2025'!$D$4:$D$2485,$B62,'апрель 2025'!$J$4:$J$2485,AB$1)</f>
        <v>0</v>
      </c>
      <c r="AC62" s="182">
        <f>SUMIFS('апрель 2025'!$G$4:$G$2485,'апрель 2025'!$D$4:$D$2485,$B62,'апрель 2025'!$J$4:$J$2485,AC$1)</f>
        <v>0</v>
      </c>
      <c r="AD62" s="182">
        <f>SUMIFS('апрель 2025'!$G$4:$G$2485,'апрель 2025'!$D$4:$D$2485,$B62,'апрель 2025'!$J$4:$J$2485,AD$1)</f>
        <v>0</v>
      </c>
      <c r="AE62" s="182">
        <f>SUMIFS('апрель 2025'!$G$4:$G$2485,'апрель 2025'!$D$4:$D$2485,$B62,'апрель 2025'!$J$4:$J$2485,AE$1)</f>
        <v>0</v>
      </c>
      <c r="AF62" s="182">
        <f>SUMIFS('апрель 2025'!$G$4:$G$2485,'апрель 2025'!$D$4:$D$2485,$B62,'апрель 2025'!$J$4:$J$2485,AF$1)</f>
        <v>0</v>
      </c>
      <c r="AG62" s="182">
        <f>SUMIFS('апрель 2025'!$G$4:$G$2485,'апрель 2025'!$D$4:$D$2485,$B62,'апрель 2025'!$J$4:$J$2485,AG$1)</f>
        <v>0</v>
      </c>
      <c r="AH62" s="182">
        <f>SUMIFS('апрель 2025'!$G$4:$G$2485,'апрель 2025'!$D$4:$D$2485,$B62,'апрель 2025'!$J$4:$J$2485,AH$1)</f>
        <v>0</v>
      </c>
      <c r="AI62" s="20">
        <f t="shared" si="1"/>
        <v>0</v>
      </c>
    </row>
    <row r="63" spans="2:35" ht="15" customHeight="1" x14ac:dyDescent="0.25">
      <c r="B63" s="136"/>
      <c r="C63" s="132"/>
      <c r="D63" s="182">
        <f>SUMIFS('апрель 2025'!$G$4:$G$2485,'апрель 2025'!$D$4:$D$2485,$B63,'апрель 2025'!$J$4:$J$2485,D$1)</f>
        <v>0</v>
      </c>
      <c r="E63" s="182">
        <f>SUMIFS('апрель 2025'!$G$4:$G$2485,'апрель 2025'!$D$4:$D$2485,$B63,'апрель 2025'!$J$4:$J$2485,E$1)</f>
        <v>0</v>
      </c>
      <c r="F63" s="182">
        <f>SUMIFS('апрель 2025'!$G$4:$G$2485,'апрель 2025'!$D$4:$D$2485,$B63,'апрель 2025'!$J$4:$J$2485,F$1)</f>
        <v>0</v>
      </c>
      <c r="G63" s="182">
        <f>SUMIFS('апрель 2025'!$G$4:$G$2485,'апрель 2025'!$D$4:$D$2485,$B63,'апрель 2025'!$J$4:$J$2485,G$1)</f>
        <v>0</v>
      </c>
      <c r="H63" s="182">
        <f>SUMIFS('апрель 2025'!$G$4:$G$2485,'апрель 2025'!$D$4:$D$2485,$B63,'апрель 2025'!$J$4:$J$2485,H$1)</f>
        <v>0</v>
      </c>
      <c r="I63" s="182">
        <f>SUMIFS('апрель 2025'!$G$4:$G$2485,'апрель 2025'!$D$4:$D$2485,$B63,'апрель 2025'!$J$4:$J$2485,I$1)</f>
        <v>0</v>
      </c>
      <c r="J63" s="182">
        <f>SUMIFS('апрель 2025'!$G$4:$G$2485,'апрель 2025'!$D$4:$D$2485,$B63,'апрель 2025'!$J$4:$J$2485,J$1)</f>
        <v>0</v>
      </c>
      <c r="K63" s="182">
        <f>SUMIFS('апрель 2025'!$G$4:$G$2485,'апрель 2025'!$D$4:$D$2485,$B63,'апрель 2025'!$J$4:$J$2485,K$1)</f>
        <v>0</v>
      </c>
      <c r="L63" s="182">
        <f>SUMIFS('апрель 2025'!$G$4:$G$2485,'апрель 2025'!$D$4:$D$2485,$B63,'апрель 2025'!$J$4:$J$2485,L$1)</f>
        <v>0</v>
      </c>
      <c r="M63" s="182">
        <f>SUMIFS('апрель 2025'!$G$4:$G$2485,'апрель 2025'!$D$4:$D$2485,$B63,'апрель 2025'!$J$4:$J$2485,M$1)</f>
        <v>0</v>
      </c>
      <c r="N63" s="182">
        <f>SUMIFS('апрель 2025'!$G$4:$G$2485,'апрель 2025'!$D$4:$D$2485,$B63,'апрель 2025'!$J$4:$J$2485,N$1)</f>
        <v>0</v>
      </c>
      <c r="O63" s="182">
        <f>SUMIFS('апрель 2025'!$G$4:$G$2485,'апрель 2025'!$D$4:$D$2485,$B63,'апрель 2025'!$J$4:$J$2485,O$1)</f>
        <v>0</v>
      </c>
      <c r="P63" s="182">
        <f>SUMIFS('апрель 2025'!$G$4:$G$2485,'апрель 2025'!$D$4:$D$2485,$B63,'апрель 2025'!$J$4:$J$2485,P$1)</f>
        <v>0</v>
      </c>
      <c r="Q63" s="182">
        <f>SUMIFS('апрель 2025'!$G$4:$G$2485,'апрель 2025'!$D$4:$D$2485,$B63,'апрель 2025'!$J$4:$J$2485,Q$1)</f>
        <v>0</v>
      </c>
      <c r="R63" s="182">
        <f>SUMIFS('апрель 2025'!$G$4:$G$2485,'апрель 2025'!$D$4:$D$2485,$B63,'апрель 2025'!$J$4:$J$2485,R$1)</f>
        <v>0</v>
      </c>
      <c r="S63" s="182">
        <f>SUMIFS('апрель 2025'!$G$4:$G$2485,'апрель 2025'!$D$4:$D$2485,$B63,'апрель 2025'!$J$4:$J$2485,S$1)</f>
        <v>0</v>
      </c>
      <c r="T63" s="182">
        <f>SUMIFS('апрель 2025'!$G$4:$G$2485,'апрель 2025'!$D$4:$D$2485,$B63,'апрель 2025'!$J$4:$J$2485,T$1)</f>
        <v>0</v>
      </c>
      <c r="U63" s="182">
        <f>SUMIFS('апрель 2025'!$G$4:$G$2485,'апрель 2025'!$D$4:$D$2485,$B63,'апрель 2025'!$J$4:$J$2485,U$1)</f>
        <v>0</v>
      </c>
      <c r="V63" s="182">
        <f>SUMIFS('апрель 2025'!$G$4:$G$2485,'апрель 2025'!$D$4:$D$2485,$B63,'апрель 2025'!$J$4:$J$2485,V$1)</f>
        <v>0</v>
      </c>
      <c r="W63" s="182">
        <f>SUMIFS('апрель 2025'!$G$4:$G$2485,'апрель 2025'!$D$4:$D$2485,$B63,'апрель 2025'!$J$4:$J$2485,W$1)</f>
        <v>0</v>
      </c>
      <c r="X63" s="182">
        <f>SUMIFS('апрель 2025'!$G$4:$G$2485,'апрель 2025'!$D$4:$D$2485,$B63,'апрель 2025'!$J$4:$J$2485,X$1)</f>
        <v>0</v>
      </c>
      <c r="Y63" s="182">
        <f>SUMIFS('апрель 2025'!$G$4:$G$2485,'апрель 2025'!$D$4:$D$2485,$B63,'апрель 2025'!$J$4:$J$2485,Y$1)</f>
        <v>0</v>
      </c>
      <c r="Z63" s="182">
        <f>SUMIFS('апрель 2025'!$G$4:$G$2485,'апрель 2025'!$D$4:$D$2485,$B63,'апрель 2025'!$J$4:$J$2485,Z$1)</f>
        <v>0</v>
      </c>
      <c r="AA63" s="182">
        <f>SUMIFS('апрель 2025'!$G$4:$G$2485,'апрель 2025'!$D$4:$D$2485,$B63,'апрель 2025'!$J$4:$J$2485,AA$1)</f>
        <v>0</v>
      </c>
      <c r="AB63" s="182">
        <f>SUMIFS('апрель 2025'!$G$4:$G$2485,'апрель 2025'!$D$4:$D$2485,$B63,'апрель 2025'!$J$4:$J$2485,AB$1)</f>
        <v>0</v>
      </c>
      <c r="AC63" s="182">
        <f>SUMIFS('апрель 2025'!$G$4:$G$2485,'апрель 2025'!$D$4:$D$2485,$B63,'апрель 2025'!$J$4:$J$2485,AC$1)</f>
        <v>0</v>
      </c>
      <c r="AD63" s="182">
        <f>SUMIFS('апрель 2025'!$G$4:$G$2485,'апрель 2025'!$D$4:$D$2485,$B63,'апрель 2025'!$J$4:$J$2485,AD$1)</f>
        <v>0</v>
      </c>
      <c r="AE63" s="182">
        <f>SUMIFS('апрель 2025'!$G$4:$G$2485,'апрель 2025'!$D$4:$D$2485,$B63,'апрель 2025'!$J$4:$J$2485,AE$1)</f>
        <v>0</v>
      </c>
      <c r="AF63" s="182">
        <f>SUMIFS('апрель 2025'!$G$4:$G$2485,'апрель 2025'!$D$4:$D$2485,$B63,'апрель 2025'!$J$4:$J$2485,AF$1)</f>
        <v>0</v>
      </c>
      <c r="AG63" s="182">
        <f>SUMIFS('апрель 2025'!$G$4:$G$2485,'апрель 2025'!$D$4:$D$2485,$B63,'апрель 2025'!$J$4:$J$2485,AG$1)</f>
        <v>0</v>
      </c>
      <c r="AH63" s="182">
        <f>SUMIFS('апрель 2025'!$G$4:$G$2485,'апрель 2025'!$D$4:$D$2485,$B63,'апрель 2025'!$J$4:$J$2485,AH$1)</f>
        <v>0</v>
      </c>
      <c r="AI63" s="20">
        <f t="shared" si="1"/>
        <v>0</v>
      </c>
    </row>
    <row r="64" spans="2:35" ht="15" customHeight="1" x14ac:dyDescent="0.25">
      <c r="B64" s="136"/>
      <c r="C64" s="132"/>
      <c r="D64" s="182">
        <f>SUMIFS('апрель 2025'!$G$4:$G$2485,'апрель 2025'!$D$4:$D$2485,$B64,'апрель 2025'!$J$4:$J$2485,D$1)</f>
        <v>0</v>
      </c>
      <c r="E64" s="182">
        <f>SUMIFS('апрель 2025'!$G$4:$G$2485,'апрель 2025'!$D$4:$D$2485,$B64,'апрель 2025'!$J$4:$J$2485,E$1)</f>
        <v>0</v>
      </c>
      <c r="F64" s="182">
        <f>SUMIFS('апрель 2025'!$G$4:$G$2485,'апрель 2025'!$D$4:$D$2485,$B64,'апрель 2025'!$J$4:$J$2485,F$1)</f>
        <v>0</v>
      </c>
      <c r="G64" s="182">
        <f>SUMIFS('апрель 2025'!$G$4:$G$2485,'апрель 2025'!$D$4:$D$2485,$B64,'апрель 2025'!$J$4:$J$2485,G$1)</f>
        <v>0</v>
      </c>
      <c r="H64" s="182">
        <f>SUMIFS('апрель 2025'!$G$4:$G$2485,'апрель 2025'!$D$4:$D$2485,$B64,'апрель 2025'!$J$4:$J$2485,H$1)</f>
        <v>0</v>
      </c>
      <c r="I64" s="182">
        <f>SUMIFS('апрель 2025'!$G$4:$G$2485,'апрель 2025'!$D$4:$D$2485,$B64,'апрель 2025'!$J$4:$J$2485,I$1)</f>
        <v>0</v>
      </c>
      <c r="J64" s="182">
        <f>SUMIFS('апрель 2025'!$G$4:$G$2485,'апрель 2025'!$D$4:$D$2485,$B64,'апрель 2025'!$J$4:$J$2485,J$1)</f>
        <v>0</v>
      </c>
      <c r="K64" s="182">
        <f>SUMIFS('апрель 2025'!$G$4:$G$2485,'апрель 2025'!$D$4:$D$2485,$B64,'апрель 2025'!$J$4:$J$2485,K$1)</f>
        <v>0</v>
      </c>
      <c r="L64" s="182">
        <f>SUMIFS('апрель 2025'!$G$4:$G$2485,'апрель 2025'!$D$4:$D$2485,$B64,'апрель 2025'!$J$4:$J$2485,L$1)</f>
        <v>0</v>
      </c>
      <c r="M64" s="182">
        <f>SUMIFS('апрель 2025'!$G$4:$G$2485,'апрель 2025'!$D$4:$D$2485,$B64,'апрель 2025'!$J$4:$J$2485,M$1)</f>
        <v>0</v>
      </c>
      <c r="N64" s="182">
        <f>SUMIFS('апрель 2025'!$G$4:$G$2485,'апрель 2025'!$D$4:$D$2485,$B64,'апрель 2025'!$J$4:$J$2485,N$1)</f>
        <v>0</v>
      </c>
      <c r="O64" s="182">
        <f>SUMIFS('апрель 2025'!$G$4:$G$2485,'апрель 2025'!$D$4:$D$2485,$B64,'апрель 2025'!$J$4:$J$2485,O$1)</f>
        <v>0</v>
      </c>
      <c r="P64" s="182">
        <f>SUMIFS('апрель 2025'!$G$4:$G$2485,'апрель 2025'!$D$4:$D$2485,$B64,'апрель 2025'!$J$4:$J$2485,P$1)</f>
        <v>0</v>
      </c>
      <c r="Q64" s="182">
        <f>SUMIFS('апрель 2025'!$G$4:$G$2485,'апрель 2025'!$D$4:$D$2485,$B64,'апрель 2025'!$J$4:$J$2485,Q$1)</f>
        <v>0</v>
      </c>
      <c r="R64" s="182">
        <f>SUMIFS('апрель 2025'!$G$4:$G$2485,'апрель 2025'!$D$4:$D$2485,$B64,'апрель 2025'!$J$4:$J$2485,R$1)</f>
        <v>0</v>
      </c>
      <c r="S64" s="182">
        <f>SUMIFS('апрель 2025'!$G$4:$G$2485,'апрель 2025'!$D$4:$D$2485,$B64,'апрель 2025'!$J$4:$J$2485,S$1)</f>
        <v>0</v>
      </c>
      <c r="T64" s="182">
        <f>SUMIFS('апрель 2025'!$G$4:$G$2485,'апрель 2025'!$D$4:$D$2485,$B64,'апрель 2025'!$J$4:$J$2485,T$1)</f>
        <v>0</v>
      </c>
      <c r="U64" s="182">
        <f>SUMIFS('апрель 2025'!$G$4:$G$2485,'апрель 2025'!$D$4:$D$2485,$B64,'апрель 2025'!$J$4:$J$2485,U$1)</f>
        <v>0</v>
      </c>
      <c r="V64" s="182">
        <f>SUMIFS('апрель 2025'!$G$4:$G$2485,'апрель 2025'!$D$4:$D$2485,$B64,'апрель 2025'!$J$4:$J$2485,V$1)</f>
        <v>0</v>
      </c>
      <c r="W64" s="182">
        <f>SUMIFS('апрель 2025'!$G$4:$G$2485,'апрель 2025'!$D$4:$D$2485,$B64,'апрель 2025'!$J$4:$J$2485,W$1)</f>
        <v>0</v>
      </c>
      <c r="X64" s="182">
        <f>SUMIFS('апрель 2025'!$G$4:$G$2485,'апрель 2025'!$D$4:$D$2485,$B64,'апрель 2025'!$J$4:$J$2485,X$1)</f>
        <v>0</v>
      </c>
      <c r="Y64" s="182">
        <f>SUMIFS('апрель 2025'!$G$4:$G$2485,'апрель 2025'!$D$4:$D$2485,$B64,'апрель 2025'!$J$4:$J$2485,Y$1)</f>
        <v>0</v>
      </c>
      <c r="Z64" s="182">
        <f>SUMIFS('апрель 2025'!$G$4:$G$2485,'апрель 2025'!$D$4:$D$2485,$B64,'апрель 2025'!$J$4:$J$2485,Z$1)</f>
        <v>0</v>
      </c>
      <c r="AA64" s="182">
        <f>SUMIFS('апрель 2025'!$G$4:$G$2485,'апрель 2025'!$D$4:$D$2485,$B64,'апрель 2025'!$J$4:$J$2485,AA$1)</f>
        <v>0</v>
      </c>
      <c r="AB64" s="182">
        <f>SUMIFS('апрель 2025'!$G$4:$G$2485,'апрель 2025'!$D$4:$D$2485,$B64,'апрель 2025'!$J$4:$J$2485,AB$1)</f>
        <v>0</v>
      </c>
      <c r="AC64" s="182">
        <f>SUMIFS('апрель 2025'!$G$4:$G$2485,'апрель 2025'!$D$4:$D$2485,$B64,'апрель 2025'!$J$4:$J$2485,AC$1)</f>
        <v>0</v>
      </c>
      <c r="AD64" s="182">
        <f>SUMIFS('апрель 2025'!$G$4:$G$2485,'апрель 2025'!$D$4:$D$2485,$B64,'апрель 2025'!$J$4:$J$2485,AD$1)</f>
        <v>0</v>
      </c>
      <c r="AE64" s="182">
        <f>SUMIFS('апрель 2025'!$G$4:$G$2485,'апрель 2025'!$D$4:$D$2485,$B64,'апрель 2025'!$J$4:$J$2485,AE$1)</f>
        <v>0</v>
      </c>
      <c r="AF64" s="182">
        <f>SUMIFS('апрель 2025'!$G$4:$G$2485,'апрель 2025'!$D$4:$D$2485,$B64,'апрель 2025'!$J$4:$J$2485,AF$1)</f>
        <v>0</v>
      </c>
      <c r="AG64" s="182">
        <f>SUMIFS('апрель 2025'!$G$4:$G$2485,'апрель 2025'!$D$4:$D$2485,$B64,'апрель 2025'!$J$4:$J$2485,AG$1)</f>
        <v>0</v>
      </c>
      <c r="AH64" s="182">
        <f>SUMIFS('апрель 2025'!$G$4:$G$2485,'апрель 2025'!$D$4:$D$2485,$B64,'апрель 2025'!$J$4:$J$2485,AH$1)</f>
        <v>0</v>
      </c>
      <c r="AI64" s="20">
        <f t="shared" si="1"/>
        <v>0</v>
      </c>
    </row>
    <row r="65" spans="2:35" ht="15" customHeight="1" x14ac:dyDescent="0.25">
      <c r="B65" s="87" t="s">
        <v>160</v>
      </c>
      <c r="C65" s="86">
        <v>200</v>
      </c>
      <c r="D65" s="183">
        <f>SUMIFS('апрель 2025'!$G$4:$G$2485,'апрель 2025'!$D$4:$D$2485,$B65,'апрель 2025'!$J$4:$J$2485,D$1)</f>
        <v>0</v>
      </c>
      <c r="E65" s="183">
        <f>SUMIFS('апрель 2025'!$G$4:$G$2485,'апрель 2025'!$D$4:$D$2485,$B65,'апрель 2025'!$J$4:$J$2485,E$1)</f>
        <v>0</v>
      </c>
      <c r="F65" s="183">
        <f>SUMIFS('апрель 2025'!$G$4:$G$2485,'апрель 2025'!$D$4:$D$2485,$B65,'апрель 2025'!$J$4:$J$2485,F$1)</f>
        <v>0</v>
      </c>
      <c r="G65" s="183">
        <f>SUMIFS('апрель 2025'!$G$4:$G$2485,'апрель 2025'!$D$4:$D$2485,$B65,'апрель 2025'!$J$4:$J$2485,G$1)</f>
        <v>0</v>
      </c>
      <c r="H65" s="183">
        <f>SUMIFS('апрель 2025'!$G$4:$G$2485,'апрель 2025'!$D$4:$D$2485,$B65,'апрель 2025'!$J$4:$J$2485,H$1)</f>
        <v>0</v>
      </c>
      <c r="I65" s="183">
        <f>SUMIFS('апрель 2025'!$G$4:$G$2485,'апрель 2025'!$D$4:$D$2485,$B65,'апрель 2025'!$J$4:$J$2485,I$1)</f>
        <v>0</v>
      </c>
      <c r="J65" s="183">
        <f>SUMIFS('апрель 2025'!$G$4:$G$2485,'апрель 2025'!$D$4:$D$2485,$B65,'апрель 2025'!$J$4:$J$2485,J$1)</f>
        <v>0</v>
      </c>
      <c r="K65" s="183">
        <f>SUMIFS('апрель 2025'!$G$4:$G$2485,'апрель 2025'!$D$4:$D$2485,$B65,'апрель 2025'!$J$4:$J$2485,K$1)</f>
        <v>0</v>
      </c>
      <c r="L65" s="183">
        <f>SUMIFS('апрель 2025'!$G$4:$G$2485,'апрель 2025'!$D$4:$D$2485,$B65,'апрель 2025'!$J$4:$J$2485,L$1)</f>
        <v>0</v>
      </c>
      <c r="M65" s="183">
        <f>SUMIFS('апрель 2025'!$G$4:$G$2485,'апрель 2025'!$D$4:$D$2485,$B65,'апрель 2025'!$J$4:$J$2485,M$1)</f>
        <v>0</v>
      </c>
      <c r="N65" s="183">
        <f>SUMIFS('апрель 2025'!$G$4:$G$2485,'апрель 2025'!$D$4:$D$2485,$B65,'апрель 2025'!$J$4:$J$2485,N$1)</f>
        <v>0</v>
      </c>
      <c r="O65" s="183">
        <f>SUMIFS('апрель 2025'!$G$4:$G$2485,'апрель 2025'!$D$4:$D$2485,$B65,'апрель 2025'!$J$4:$J$2485,O$1)</f>
        <v>0</v>
      </c>
      <c r="P65" s="183">
        <f>SUMIFS('апрель 2025'!$G$4:$G$2485,'апрель 2025'!$D$4:$D$2485,$B65,'апрель 2025'!$J$4:$J$2485,P$1)</f>
        <v>0</v>
      </c>
      <c r="Q65" s="183">
        <f>SUMIFS('апрель 2025'!$G$4:$G$2485,'апрель 2025'!$D$4:$D$2485,$B65,'апрель 2025'!$J$4:$J$2485,Q$1)</f>
        <v>0</v>
      </c>
      <c r="R65" s="183">
        <f>SUMIFS('апрель 2025'!$G$4:$G$2485,'апрель 2025'!$D$4:$D$2485,$B65,'апрель 2025'!$J$4:$J$2485,R$1)</f>
        <v>0</v>
      </c>
      <c r="S65" s="183">
        <f>SUMIFS('апрель 2025'!$G$4:$G$2485,'апрель 2025'!$D$4:$D$2485,$B65,'апрель 2025'!$J$4:$J$2485,S$1)</f>
        <v>0</v>
      </c>
      <c r="T65" s="183">
        <f>SUMIFS('апрель 2025'!$G$4:$G$2485,'апрель 2025'!$D$4:$D$2485,$B65,'апрель 2025'!$J$4:$J$2485,T$1)</f>
        <v>0</v>
      </c>
      <c r="U65" s="183">
        <f>SUMIFS('апрель 2025'!$G$4:$G$2485,'апрель 2025'!$D$4:$D$2485,$B65,'апрель 2025'!$J$4:$J$2485,U$1)</f>
        <v>0</v>
      </c>
      <c r="V65" s="183">
        <f>SUMIFS('апрель 2025'!$G$4:$G$2485,'апрель 2025'!$D$4:$D$2485,$B65,'апрель 2025'!$J$4:$J$2485,V$1)</f>
        <v>0</v>
      </c>
      <c r="W65" s="183">
        <f>SUMIFS('апрель 2025'!$G$4:$G$2485,'апрель 2025'!$D$4:$D$2485,$B65,'апрель 2025'!$J$4:$J$2485,W$1)</f>
        <v>0</v>
      </c>
      <c r="X65" s="183">
        <f>SUMIFS('апрель 2025'!$G$4:$G$2485,'апрель 2025'!$D$4:$D$2485,$B65,'апрель 2025'!$J$4:$J$2485,X$1)</f>
        <v>0</v>
      </c>
      <c r="Y65" s="183">
        <f>SUMIFS('апрель 2025'!$G$4:$G$2485,'апрель 2025'!$D$4:$D$2485,$B65,'апрель 2025'!$J$4:$J$2485,Y$1)</f>
        <v>0</v>
      </c>
      <c r="Z65" s="183">
        <f>SUMIFS('апрель 2025'!$G$4:$G$2485,'апрель 2025'!$D$4:$D$2485,$B65,'апрель 2025'!$J$4:$J$2485,Z$1)</f>
        <v>0</v>
      </c>
      <c r="AA65" s="183">
        <f>SUMIFS('апрель 2025'!$G$4:$G$2485,'апрель 2025'!$D$4:$D$2485,$B65,'апрель 2025'!$J$4:$J$2485,AA$1)</f>
        <v>0</v>
      </c>
      <c r="AB65" s="183">
        <f>SUMIFS('апрель 2025'!$G$4:$G$2485,'апрель 2025'!$D$4:$D$2485,$B65,'апрель 2025'!$J$4:$J$2485,AB$1)</f>
        <v>0</v>
      </c>
      <c r="AC65" s="183">
        <f>SUMIFS('апрель 2025'!$G$4:$G$2485,'апрель 2025'!$D$4:$D$2485,$B65,'апрель 2025'!$J$4:$J$2485,AC$1)</f>
        <v>0</v>
      </c>
      <c r="AD65" s="183">
        <f>SUMIFS('апрель 2025'!$G$4:$G$2485,'апрель 2025'!$D$4:$D$2485,$B65,'апрель 2025'!$J$4:$J$2485,AD$1)</f>
        <v>0</v>
      </c>
      <c r="AE65" s="183">
        <f>SUMIFS('апрель 2025'!$G$4:$G$2485,'апрель 2025'!$D$4:$D$2485,$B65,'апрель 2025'!$J$4:$J$2485,AE$1)</f>
        <v>0</v>
      </c>
      <c r="AF65" s="183">
        <f>SUMIFS('апрель 2025'!$G$4:$G$2485,'апрель 2025'!$D$4:$D$2485,$B65,'апрель 2025'!$J$4:$J$2485,AF$1)</f>
        <v>0</v>
      </c>
      <c r="AG65" s="183">
        <f>SUMIFS('апрель 2025'!$G$4:$G$2485,'апрель 2025'!$D$4:$D$2485,$B65,'апрель 2025'!$J$4:$J$2485,AG$1)</f>
        <v>0</v>
      </c>
      <c r="AH65" s="183">
        <f>SUMIFS('апрель 2025'!$G$4:$G$2485,'апрель 2025'!$D$4:$D$2485,$B65,'апрель 2025'!$J$4:$J$2485,AH$1)</f>
        <v>0</v>
      </c>
      <c r="AI65" s="20">
        <f t="shared" si="1"/>
        <v>0</v>
      </c>
    </row>
    <row r="66" spans="2:35" ht="15" customHeight="1" x14ac:dyDescent="0.25">
      <c r="B66" s="87" t="s">
        <v>308</v>
      </c>
      <c r="C66" s="86">
        <v>50</v>
      </c>
      <c r="D66" s="183">
        <f>SUMIFS('апрель 2025'!$G$4:$G$2485,'апрель 2025'!$D$4:$D$2485,$B66,'апрель 2025'!$J$4:$J$2485,D$1)</f>
        <v>0</v>
      </c>
      <c r="E66" s="183">
        <f>SUMIFS('апрель 2025'!$G$4:$G$2485,'апрель 2025'!$D$4:$D$2485,$B66,'апрель 2025'!$J$4:$J$2485,E$1)</f>
        <v>0</v>
      </c>
      <c r="F66" s="183">
        <f>SUMIFS('апрель 2025'!$G$4:$G$2485,'апрель 2025'!$D$4:$D$2485,$B66,'апрель 2025'!$J$4:$J$2485,F$1)</f>
        <v>0</v>
      </c>
      <c r="G66" s="183">
        <f>SUMIFS('апрель 2025'!$G$4:$G$2485,'апрель 2025'!$D$4:$D$2485,$B66,'апрель 2025'!$J$4:$J$2485,G$1)</f>
        <v>0</v>
      </c>
      <c r="H66" s="183">
        <f>SUMIFS('апрель 2025'!$G$4:$G$2485,'апрель 2025'!$D$4:$D$2485,$B66,'апрель 2025'!$J$4:$J$2485,H$1)</f>
        <v>0</v>
      </c>
      <c r="I66" s="183">
        <f>SUMIFS('апрель 2025'!$G$4:$G$2485,'апрель 2025'!$D$4:$D$2485,$B66,'апрель 2025'!$J$4:$J$2485,I$1)</f>
        <v>0</v>
      </c>
      <c r="J66" s="183">
        <f>SUMIFS('апрель 2025'!$G$4:$G$2485,'апрель 2025'!$D$4:$D$2485,$B66,'апрель 2025'!$J$4:$J$2485,J$1)</f>
        <v>0</v>
      </c>
      <c r="K66" s="183">
        <f>SUMIFS('апрель 2025'!$G$4:$G$2485,'апрель 2025'!$D$4:$D$2485,$B66,'апрель 2025'!$J$4:$J$2485,K$1)</f>
        <v>0</v>
      </c>
      <c r="L66" s="183">
        <f>SUMIFS('апрель 2025'!$G$4:$G$2485,'апрель 2025'!$D$4:$D$2485,$B66,'апрель 2025'!$J$4:$J$2485,L$1)</f>
        <v>0</v>
      </c>
      <c r="M66" s="183">
        <f>SUMIFS('апрель 2025'!$G$4:$G$2485,'апрель 2025'!$D$4:$D$2485,$B66,'апрель 2025'!$J$4:$J$2485,M$1)</f>
        <v>0</v>
      </c>
      <c r="N66" s="183">
        <f>SUMIFS('апрель 2025'!$G$4:$G$2485,'апрель 2025'!$D$4:$D$2485,$B66,'апрель 2025'!$J$4:$J$2485,N$1)</f>
        <v>0</v>
      </c>
      <c r="O66" s="183">
        <f>SUMIFS('апрель 2025'!$G$4:$G$2485,'апрель 2025'!$D$4:$D$2485,$B66,'апрель 2025'!$J$4:$J$2485,O$1)</f>
        <v>0</v>
      </c>
      <c r="P66" s="183">
        <f>SUMIFS('апрель 2025'!$G$4:$G$2485,'апрель 2025'!$D$4:$D$2485,$B66,'апрель 2025'!$J$4:$J$2485,P$1)</f>
        <v>0</v>
      </c>
      <c r="Q66" s="183">
        <f>SUMIFS('апрель 2025'!$G$4:$G$2485,'апрель 2025'!$D$4:$D$2485,$B66,'апрель 2025'!$J$4:$J$2485,Q$1)</f>
        <v>0</v>
      </c>
      <c r="R66" s="183">
        <f>SUMIFS('апрель 2025'!$G$4:$G$2485,'апрель 2025'!$D$4:$D$2485,$B66,'апрель 2025'!$J$4:$J$2485,R$1)</f>
        <v>0</v>
      </c>
      <c r="S66" s="183">
        <f>SUMIFS('апрель 2025'!$G$4:$G$2485,'апрель 2025'!$D$4:$D$2485,$B66,'апрель 2025'!$J$4:$J$2485,S$1)</f>
        <v>0</v>
      </c>
      <c r="T66" s="183">
        <f>SUMIFS('апрель 2025'!$G$4:$G$2485,'апрель 2025'!$D$4:$D$2485,$B66,'апрель 2025'!$J$4:$J$2485,T$1)</f>
        <v>0</v>
      </c>
      <c r="U66" s="183">
        <f>SUMIFS('апрель 2025'!$G$4:$G$2485,'апрель 2025'!$D$4:$D$2485,$B66,'апрель 2025'!$J$4:$J$2485,U$1)</f>
        <v>0</v>
      </c>
      <c r="V66" s="183">
        <f>SUMIFS('апрель 2025'!$G$4:$G$2485,'апрель 2025'!$D$4:$D$2485,$B66,'апрель 2025'!$J$4:$J$2485,V$1)</f>
        <v>0</v>
      </c>
      <c r="W66" s="183">
        <f>SUMIFS('апрель 2025'!$G$4:$G$2485,'апрель 2025'!$D$4:$D$2485,$B66,'апрель 2025'!$J$4:$J$2485,W$1)</f>
        <v>0</v>
      </c>
      <c r="X66" s="183">
        <f>SUMIFS('апрель 2025'!$G$4:$G$2485,'апрель 2025'!$D$4:$D$2485,$B66,'апрель 2025'!$J$4:$J$2485,X$1)</f>
        <v>0</v>
      </c>
      <c r="Y66" s="183">
        <f>SUMIFS('апрель 2025'!$G$4:$G$2485,'апрель 2025'!$D$4:$D$2485,$B66,'апрель 2025'!$J$4:$J$2485,Y$1)</f>
        <v>0</v>
      </c>
      <c r="Z66" s="183">
        <f>SUMIFS('апрель 2025'!$G$4:$G$2485,'апрель 2025'!$D$4:$D$2485,$B66,'апрель 2025'!$J$4:$J$2485,Z$1)</f>
        <v>0</v>
      </c>
      <c r="AA66" s="183">
        <f>SUMIFS('апрель 2025'!$G$4:$G$2485,'апрель 2025'!$D$4:$D$2485,$B66,'апрель 2025'!$J$4:$J$2485,AA$1)</f>
        <v>0</v>
      </c>
      <c r="AB66" s="183">
        <f>SUMIFS('апрель 2025'!$G$4:$G$2485,'апрель 2025'!$D$4:$D$2485,$B66,'апрель 2025'!$J$4:$J$2485,AB$1)</f>
        <v>0</v>
      </c>
      <c r="AC66" s="183">
        <f>SUMIFS('апрель 2025'!$G$4:$G$2485,'апрель 2025'!$D$4:$D$2485,$B66,'апрель 2025'!$J$4:$J$2485,AC$1)</f>
        <v>0</v>
      </c>
      <c r="AD66" s="183">
        <f>SUMIFS('апрель 2025'!$G$4:$G$2485,'апрель 2025'!$D$4:$D$2485,$B66,'апрель 2025'!$J$4:$J$2485,AD$1)</f>
        <v>0</v>
      </c>
      <c r="AE66" s="183">
        <f>SUMIFS('апрель 2025'!$G$4:$G$2485,'апрель 2025'!$D$4:$D$2485,$B66,'апрель 2025'!$J$4:$J$2485,AE$1)</f>
        <v>0</v>
      </c>
      <c r="AF66" s="183">
        <f>SUMIFS('апрель 2025'!$G$4:$G$2485,'апрель 2025'!$D$4:$D$2485,$B66,'апрель 2025'!$J$4:$J$2485,AF$1)</f>
        <v>0</v>
      </c>
      <c r="AG66" s="183">
        <f>SUMIFS('апрель 2025'!$G$4:$G$2485,'апрель 2025'!$D$4:$D$2485,$B66,'апрель 2025'!$J$4:$J$2485,AG$1)</f>
        <v>0</v>
      </c>
      <c r="AH66" s="183">
        <f>SUMIFS('апрель 2025'!$G$4:$G$2485,'апрель 2025'!$D$4:$D$2485,$B66,'апрель 2025'!$J$4:$J$2485,AH$1)</f>
        <v>0</v>
      </c>
      <c r="AI66" s="20">
        <f t="shared" si="1"/>
        <v>0</v>
      </c>
    </row>
    <row r="67" spans="2:35" ht="15" customHeight="1" x14ac:dyDescent="0.25">
      <c r="B67" s="88" t="s">
        <v>198</v>
      </c>
      <c r="C67" s="86">
        <v>200</v>
      </c>
      <c r="D67" s="183">
        <f>SUMIFS('апрель 2025'!$G$4:$G$2485,'апрель 2025'!$D$4:$D$2485,$B67,'апрель 2025'!$J$4:$J$2485,D$1)</f>
        <v>0</v>
      </c>
      <c r="E67" s="183">
        <f>SUMIFS('апрель 2025'!$G$4:$G$2485,'апрель 2025'!$D$4:$D$2485,$B67,'апрель 2025'!$J$4:$J$2485,E$1)</f>
        <v>0</v>
      </c>
      <c r="F67" s="183">
        <f>SUMIFS('апрель 2025'!$G$4:$G$2485,'апрель 2025'!$D$4:$D$2485,$B67,'апрель 2025'!$J$4:$J$2485,F$1)</f>
        <v>0</v>
      </c>
      <c r="G67" s="183">
        <f>SUMIFS('апрель 2025'!$G$4:$G$2485,'апрель 2025'!$D$4:$D$2485,$B67,'апрель 2025'!$J$4:$J$2485,G$1)</f>
        <v>0</v>
      </c>
      <c r="H67" s="183">
        <f>SUMIFS('апрель 2025'!$G$4:$G$2485,'апрель 2025'!$D$4:$D$2485,$B67,'апрель 2025'!$J$4:$J$2485,H$1)</f>
        <v>0</v>
      </c>
      <c r="I67" s="183">
        <f>SUMIFS('апрель 2025'!$G$4:$G$2485,'апрель 2025'!$D$4:$D$2485,$B67,'апрель 2025'!$J$4:$J$2485,I$1)</f>
        <v>0</v>
      </c>
      <c r="J67" s="183">
        <f>SUMIFS('апрель 2025'!$G$4:$G$2485,'апрель 2025'!$D$4:$D$2485,$B67,'апрель 2025'!$J$4:$J$2485,J$1)</f>
        <v>0</v>
      </c>
      <c r="K67" s="183">
        <f>SUMIFS('апрель 2025'!$G$4:$G$2485,'апрель 2025'!$D$4:$D$2485,$B67,'апрель 2025'!$J$4:$J$2485,K$1)</f>
        <v>0</v>
      </c>
      <c r="L67" s="183">
        <f>SUMIFS('апрель 2025'!$G$4:$G$2485,'апрель 2025'!$D$4:$D$2485,$B67,'апрель 2025'!$J$4:$J$2485,L$1)</f>
        <v>0</v>
      </c>
      <c r="M67" s="183">
        <f>SUMIFS('апрель 2025'!$G$4:$G$2485,'апрель 2025'!$D$4:$D$2485,$B67,'апрель 2025'!$J$4:$J$2485,M$1)</f>
        <v>0</v>
      </c>
      <c r="N67" s="183">
        <f>SUMIFS('апрель 2025'!$G$4:$G$2485,'апрель 2025'!$D$4:$D$2485,$B67,'апрель 2025'!$J$4:$J$2485,N$1)</f>
        <v>0</v>
      </c>
      <c r="O67" s="183">
        <f>SUMIFS('апрель 2025'!$G$4:$G$2485,'апрель 2025'!$D$4:$D$2485,$B67,'апрель 2025'!$J$4:$J$2485,O$1)</f>
        <v>0</v>
      </c>
      <c r="P67" s="183">
        <f>SUMIFS('апрель 2025'!$G$4:$G$2485,'апрель 2025'!$D$4:$D$2485,$B67,'апрель 2025'!$J$4:$J$2485,P$1)</f>
        <v>0</v>
      </c>
      <c r="Q67" s="183">
        <f>SUMIFS('апрель 2025'!$G$4:$G$2485,'апрель 2025'!$D$4:$D$2485,$B67,'апрель 2025'!$J$4:$J$2485,Q$1)</f>
        <v>0</v>
      </c>
      <c r="R67" s="183">
        <f>SUMIFS('апрель 2025'!$G$4:$G$2485,'апрель 2025'!$D$4:$D$2485,$B67,'апрель 2025'!$J$4:$J$2485,R$1)</f>
        <v>0</v>
      </c>
      <c r="S67" s="183">
        <f>SUMIFS('апрель 2025'!$G$4:$G$2485,'апрель 2025'!$D$4:$D$2485,$B67,'апрель 2025'!$J$4:$J$2485,S$1)</f>
        <v>0</v>
      </c>
      <c r="T67" s="183">
        <f>SUMIFS('апрель 2025'!$G$4:$G$2485,'апрель 2025'!$D$4:$D$2485,$B67,'апрель 2025'!$J$4:$J$2485,T$1)</f>
        <v>0</v>
      </c>
      <c r="U67" s="183">
        <f>SUMIFS('апрель 2025'!$G$4:$G$2485,'апрель 2025'!$D$4:$D$2485,$B67,'апрель 2025'!$J$4:$J$2485,U$1)</f>
        <v>0</v>
      </c>
      <c r="V67" s="183">
        <f>SUMIFS('апрель 2025'!$G$4:$G$2485,'апрель 2025'!$D$4:$D$2485,$B67,'апрель 2025'!$J$4:$J$2485,V$1)</f>
        <v>0</v>
      </c>
      <c r="W67" s="183">
        <f>SUMIFS('апрель 2025'!$G$4:$G$2485,'апрель 2025'!$D$4:$D$2485,$B67,'апрель 2025'!$J$4:$J$2485,W$1)</f>
        <v>0</v>
      </c>
      <c r="X67" s="183">
        <f>SUMIFS('апрель 2025'!$G$4:$G$2485,'апрель 2025'!$D$4:$D$2485,$B67,'апрель 2025'!$J$4:$J$2485,X$1)</f>
        <v>0</v>
      </c>
      <c r="Y67" s="183">
        <f>SUMIFS('апрель 2025'!$G$4:$G$2485,'апрель 2025'!$D$4:$D$2485,$B67,'апрель 2025'!$J$4:$J$2485,Y$1)</f>
        <v>0</v>
      </c>
      <c r="Z67" s="183">
        <f>SUMIFS('апрель 2025'!$G$4:$G$2485,'апрель 2025'!$D$4:$D$2485,$B67,'апрель 2025'!$J$4:$J$2485,Z$1)</f>
        <v>0</v>
      </c>
      <c r="AA67" s="183">
        <f>SUMIFS('апрель 2025'!$G$4:$G$2485,'апрель 2025'!$D$4:$D$2485,$B67,'апрель 2025'!$J$4:$J$2485,AA$1)</f>
        <v>0</v>
      </c>
      <c r="AB67" s="183">
        <f>SUMIFS('апрель 2025'!$G$4:$G$2485,'апрель 2025'!$D$4:$D$2485,$B67,'апрель 2025'!$J$4:$J$2485,AB$1)</f>
        <v>0</v>
      </c>
      <c r="AC67" s="183">
        <f>SUMIFS('апрель 2025'!$G$4:$G$2485,'апрель 2025'!$D$4:$D$2485,$B67,'апрель 2025'!$J$4:$J$2485,AC$1)</f>
        <v>0</v>
      </c>
      <c r="AD67" s="183">
        <f>SUMIFS('апрель 2025'!$G$4:$G$2485,'апрель 2025'!$D$4:$D$2485,$B67,'апрель 2025'!$J$4:$J$2485,AD$1)</f>
        <v>0</v>
      </c>
      <c r="AE67" s="183">
        <f>SUMIFS('апрель 2025'!$G$4:$G$2485,'апрель 2025'!$D$4:$D$2485,$B67,'апрель 2025'!$J$4:$J$2485,AE$1)</f>
        <v>0</v>
      </c>
      <c r="AF67" s="183">
        <f>SUMIFS('апрель 2025'!$G$4:$G$2485,'апрель 2025'!$D$4:$D$2485,$B67,'апрель 2025'!$J$4:$J$2485,AF$1)</f>
        <v>0</v>
      </c>
      <c r="AG67" s="183">
        <f>SUMIFS('апрель 2025'!$G$4:$G$2485,'апрель 2025'!$D$4:$D$2485,$B67,'апрель 2025'!$J$4:$J$2485,AG$1)</f>
        <v>0</v>
      </c>
      <c r="AH67" s="183">
        <f>SUMIFS('апрель 2025'!$G$4:$G$2485,'апрель 2025'!$D$4:$D$2485,$B67,'апрель 2025'!$J$4:$J$2485,AH$1)</f>
        <v>0</v>
      </c>
      <c r="AI67" s="20">
        <f t="shared" si="1"/>
        <v>0</v>
      </c>
    </row>
    <row r="68" spans="2:35" ht="15" customHeight="1" x14ac:dyDescent="0.25">
      <c r="B68" s="88" t="s">
        <v>207</v>
      </c>
      <c r="C68" s="86">
        <v>25</v>
      </c>
      <c r="D68" s="183">
        <f>SUMIFS('апрель 2025'!$G$4:$G$2485,'апрель 2025'!$D$4:$D$2485,$B68,'апрель 2025'!$J$4:$J$2485,D$1)</f>
        <v>0</v>
      </c>
      <c r="E68" s="183">
        <f>SUMIFS('апрель 2025'!$G$4:$G$2485,'апрель 2025'!$D$4:$D$2485,$B68,'апрель 2025'!$J$4:$J$2485,E$1)</f>
        <v>0</v>
      </c>
      <c r="F68" s="183">
        <f>SUMIFS('апрель 2025'!$G$4:$G$2485,'апрель 2025'!$D$4:$D$2485,$B68,'апрель 2025'!$J$4:$J$2485,F$1)</f>
        <v>0</v>
      </c>
      <c r="G68" s="183">
        <f>SUMIFS('апрель 2025'!$G$4:$G$2485,'апрель 2025'!$D$4:$D$2485,$B68,'апрель 2025'!$J$4:$J$2485,G$1)</f>
        <v>0</v>
      </c>
      <c r="H68" s="183">
        <f>SUMIFS('апрель 2025'!$G$4:$G$2485,'апрель 2025'!$D$4:$D$2485,$B68,'апрель 2025'!$J$4:$J$2485,H$1)</f>
        <v>0</v>
      </c>
      <c r="I68" s="183">
        <f>SUMIFS('апрель 2025'!$G$4:$G$2485,'апрель 2025'!$D$4:$D$2485,$B68,'апрель 2025'!$J$4:$J$2485,I$1)</f>
        <v>0</v>
      </c>
      <c r="J68" s="183">
        <f>SUMIFS('апрель 2025'!$G$4:$G$2485,'апрель 2025'!$D$4:$D$2485,$B68,'апрель 2025'!$J$4:$J$2485,J$1)</f>
        <v>0</v>
      </c>
      <c r="K68" s="183">
        <f>SUMIFS('апрель 2025'!$G$4:$G$2485,'апрель 2025'!$D$4:$D$2485,$B68,'апрель 2025'!$J$4:$J$2485,K$1)</f>
        <v>0</v>
      </c>
      <c r="L68" s="183">
        <f>SUMIFS('апрель 2025'!$G$4:$G$2485,'апрель 2025'!$D$4:$D$2485,$B68,'апрель 2025'!$J$4:$J$2485,L$1)</f>
        <v>0</v>
      </c>
      <c r="M68" s="183">
        <f>SUMIFS('апрель 2025'!$G$4:$G$2485,'апрель 2025'!$D$4:$D$2485,$B68,'апрель 2025'!$J$4:$J$2485,M$1)</f>
        <v>0</v>
      </c>
      <c r="N68" s="183">
        <f>SUMIFS('апрель 2025'!$G$4:$G$2485,'апрель 2025'!$D$4:$D$2485,$B68,'апрель 2025'!$J$4:$J$2485,N$1)</f>
        <v>0</v>
      </c>
      <c r="O68" s="183">
        <f>SUMIFS('апрель 2025'!$G$4:$G$2485,'апрель 2025'!$D$4:$D$2485,$B68,'апрель 2025'!$J$4:$J$2485,O$1)</f>
        <v>0</v>
      </c>
      <c r="P68" s="183">
        <f>SUMIFS('апрель 2025'!$G$4:$G$2485,'апрель 2025'!$D$4:$D$2485,$B68,'апрель 2025'!$J$4:$J$2485,P$1)</f>
        <v>0</v>
      </c>
      <c r="Q68" s="183">
        <f>SUMIFS('апрель 2025'!$G$4:$G$2485,'апрель 2025'!$D$4:$D$2485,$B68,'апрель 2025'!$J$4:$J$2485,Q$1)</f>
        <v>0</v>
      </c>
      <c r="R68" s="183">
        <f>SUMIFS('апрель 2025'!$G$4:$G$2485,'апрель 2025'!$D$4:$D$2485,$B68,'апрель 2025'!$J$4:$J$2485,R$1)</f>
        <v>0</v>
      </c>
      <c r="S68" s="183">
        <f>SUMIFS('апрель 2025'!$G$4:$G$2485,'апрель 2025'!$D$4:$D$2485,$B68,'апрель 2025'!$J$4:$J$2485,S$1)</f>
        <v>0</v>
      </c>
      <c r="T68" s="183">
        <f>SUMIFS('апрель 2025'!$G$4:$G$2485,'апрель 2025'!$D$4:$D$2485,$B68,'апрель 2025'!$J$4:$J$2485,T$1)</f>
        <v>0</v>
      </c>
      <c r="U68" s="183">
        <f>SUMIFS('апрель 2025'!$G$4:$G$2485,'апрель 2025'!$D$4:$D$2485,$B68,'апрель 2025'!$J$4:$J$2485,U$1)</f>
        <v>0</v>
      </c>
      <c r="V68" s="183">
        <f>SUMIFS('апрель 2025'!$G$4:$G$2485,'апрель 2025'!$D$4:$D$2485,$B68,'апрель 2025'!$J$4:$J$2485,V$1)</f>
        <v>0</v>
      </c>
      <c r="W68" s="183">
        <f>SUMIFS('апрель 2025'!$G$4:$G$2485,'апрель 2025'!$D$4:$D$2485,$B68,'апрель 2025'!$J$4:$J$2485,W$1)</f>
        <v>0</v>
      </c>
      <c r="X68" s="183">
        <f>SUMIFS('апрель 2025'!$G$4:$G$2485,'апрель 2025'!$D$4:$D$2485,$B68,'апрель 2025'!$J$4:$J$2485,X$1)</f>
        <v>0</v>
      </c>
      <c r="Y68" s="183">
        <f>SUMIFS('апрель 2025'!$G$4:$G$2485,'апрель 2025'!$D$4:$D$2485,$B68,'апрель 2025'!$J$4:$J$2485,Y$1)</f>
        <v>0</v>
      </c>
      <c r="Z68" s="183">
        <f>SUMIFS('апрель 2025'!$G$4:$G$2485,'апрель 2025'!$D$4:$D$2485,$B68,'апрель 2025'!$J$4:$J$2485,Z$1)</f>
        <v>0</v>
      </c>
      <c r="AA68" s="183">
        <f>SUMIFS('апрель 2025'!$G$4:$G$2485,'апрель 2025'!$D$4:$D$2485,$B68,'апрель 2025'!$J$4:$J$2485,AA$1)</f>
        <v>0</v>
      </c>
      <c r="AB68" s="183">
        <f>SUMIFS('апрель 2025'!$G$4:$G$2485,'апрель 2025'!$D$4:$D$2485,$B68,'апрель 2025'!$J$4:$J$2485,AB$1)</f>
        <v>0</v>
      </c>
      <c r="AC68" s="183">
        <f>SUMIFS('апрель 2025'!$G$4:$G$2485,'апрель 2025'!$D$4:$D$2485,$B68,'апрель 2025'!$J$4:$J$2485,AC$1)</f>
        <v>0</v>
      </c>
      <c r="AD68" s="183">
        <f>SUMIFS('апрель 2025'!$G$4:$G$2485,'апрель 2025'!$D$4:$D$2485,$B68,'апрель 2025'!$J$4:$J$2485,AD$1)</f>
        <v>0</v>
      </c>
      <c r="AE68" s="183">
        <f>SUMIFS('апрель 2025'!$G$4:$G$2485,'апрель 2025'!$D$4:$D$2485,$B68,'апрель 2025'!$J$4:$J$2485,AE$1)</f>
        <v>0</v>
      </c>
      <c r="AF68" s="183">
        <f>SUMIFS('апрель 2025'!$G$4:$G$2485,'апрель 2025'!$D$4:$D$2485,$B68,'апрель 2025'!$J$4:$J$2485,AF$1)</f>
        <v>0</v>
      </c>
      <c r="AG68" s="183">
        <f>SUMIFS('апрель 2025'!$G$4:$G$2485,'апрель 2025'!$D$4:$D$2485,$B68,'апрель 2025'!$J$4:$J$2485,AG$1)</f>
        <v>0</v>
      </c>
      <c r="AH68" s="183">
        <f>SUMIFS('апрель 2025'!$G$4:$G$2485,'апрель 2025'!$D$4:$D$2485,$B68,'апрель 2025'!$J$4:$J$2485,AH$1)</f>
        <v>0</v>
      </c>
      <c r="AI68" s="20">
        <f t="shared" si="1"/>
        <v>0</v>
      </c>
    </row>
    <row r="69" spans="2:35" ht="15" customHeight="1" x14ac:dyDescent="0.25">
      <c r="B69" s="88" t="s">
        <v>179</v>
      </c>
      <c r="C69" s="86">
        <v>50</v>
      </c>
      <c r="D69" s="183">
        <f>SUMIFS('апрель 2025'!$G$4:$G$2485,'апрель 2025'!$D$4:$D$2485,$B69,'апрель 2025'!$J$4:$J$2485,D$1)</f>
        <v>0</v>
      </c>
      <c r="E69" s="183">
        <f>SUMIFS('апрель 2025'!$G$4:$G$2485,'апрель 2025'!$D$4:$D$2485,$B69,'апрель 2025'!$J$4:$J$2485,E$1)</f>
        <v>0</v>
      </c>
      <c r="F69" s="183">
        <f>SUMIFS('апрель 2025'!$G$4:$G$2485,'апрель 2025'!$D$4:$D$2485,$B69,'апрель 2025'!$J$4:$J$2485,F$1)</f>
        <v>0</v>
      </c>
      <c r="G69" s="183">
        <f>SUMIFS('апрель 2025'!$G$4:$G$2485,'апрель 2025'!$D$4:$D$2485,$B69,'апрель 2025'!$J$4:$J$2485,G$1)</f>
        <v>0</v>
      </c>
      <c r="H69" s="183">
        <f>SUMIFS('апрель 2025'!$G$4:$G$2485,'апрель 2025'!$D$4:$D$2485,$B69,'апрель 2025'!$J$4:$J$2485,H$1)</f>
        <v>0</v>
      </c>
      <c r="I69" s="183">
        <f>SUMIFS('апрель 2025'!$G$4:$G$2485,'апрель 2025'!$D$4:$D$2485,$B69,'апрель 2025'!$J$4:$J$2485,I$1)</f>
        <v>0</v>
      </c>
      <c r="J69" s="183">
        <f>SUMIFS('апрель 2025'!$G$4:$G$2485,'апрель 2025'!$D$4:$D$2485,$B69,'апрель 2025'!$J$4:$J$2485,J$1)</f>
        <v>0</v>
      </c>
      <c r="K69" s="183">
        <f>SUMIFS('апрель 2025'!$G$4:$G$2485,'апрель 2025'!$D$4:$D$2485,$B69,'апрель 2025'!$J$4:$J$2485,K$1)</f>
        <v>0</v>
      </c>
      <c r="L69" s="183">
        <f>SUMIFS('апрель 2025'!$G$4:$G$2485,'апрель 2025'!$D$4:$D$2485,$B69,'апрель 2025'!$J$4:$J$2485,L$1)</f>
        <v>0</v>
      </c>
      <c r="M69" s="183">
        <f>SUMIFS('апрель 2025'!$G$4:$G$2485,'апрель 2025'!$D$4:$D$2485,$B69,'апрель 2025'!$J$4:$J$2485,M$1)</f>
        <v>0</v>
      </c>
      <c r="N69" s="183">
        <f>SUMIFS('апрель 2025'!$G$4:$G$2485,'апрель 2025'!$D$4:$D$2485,$B69,'апрель 2025'!$J$4:$J$2485,N$1)</f>
        <v>0</v>
      </c>
      <c r="O69" s="183">
        <f>SUMIFS('апрель 2025'!$G$4:$G$2485,'апрель 2025'!$D$4:$D$2485,$B69,'апрель 2025'!$J$4:$J$2485,O$1)</f>
        <v>0</v>
      </c>
      <c r="P69" s="183">
        <f>SUMIFS('апрель 2025'!$G$4:$G$2485,'апрель 2025'!$D$4:$D$2485,$B69,'апрель 2025'!$J$4:$J$2485,P$1)</f>
        <v>0</v>
      </c>
      <c r="Q69" s="183">
        <f>SUMIFS('апрель 2025'!$G$4:$G$2485,'апрель 2025'!$D$4:$D$2485,$B69,'апрель 2025'!$J$4:$J$2485,Q$1)</f>
        <v>0</v>
      </c>
      <c r="R69" s="183">
        <f>SUMIFS('апрель 2025'!$G$4:$G$2485,'апрель 2025'!$D$4:$D$2485,$B69,'апрель 2025'!$J$4:$J$2485,R$1)</f>
        <v>0</v>
      </c>
      <c r="S69" s="183">
        <f>SUMIFS('апрель 2025'!$G$4:$G$2485,'апрель 2025'!$D$4:$D$2485,$B69,'апрель 2025'!$J$4:$J$2485,S$1)</f>
        <v>0</v>
      </c>
      <c r="T69" s="183">
        <f>SUMIFS('апрель 2025'!$G$4:$G$2485,'апрель 2025'!$D$4:$D$2485,$B69,'апрель 2025'!$J$4:$J$2485,T$1)</f>
        <v>0</v>
      </c>
      <c r="U69" s="183">
        <f>SUMIFS('апрель 2025'!$G$4:$G$2485,'апрель 2025'!$D$4:$D$2485,$B69,'апрель 2025'!$J$4:$J$2485,U$1)</f>
        <v>0</v>
      </c>
      <c r="V69" s="183">
        <f>SUMIFS('апрель 2025'!$G$4:$G$2485,'апрель 2025'!$D$4:$D$2485,$B69,'апрель 2025'!$J$4:$J$2485,V$1)</f>
        <v>0</v>
      </c>
      <c r="W69" s="183">
        <f>SUMIFS('апрель 2025'!$G$4:$G$2485,'апрель 2025'!$D$4:$D$2485,$B69,'апрель 2025'!$J$4:$J$2485,W$1)</f>
        <v>0</v>
      </c>
      <c r="X69" s="183">
        <f>SUMIFS('апрель 2025'!$G$4:$G$2485,'апрель 2025'!$D$4:$D$2485,$B69,'апрель 2025'!$J$4:$J$2485,X$1)</f>
        <v>0</v>
      </c>
      <c r="Y69" s="183">
        <f>SUMIFS('апрель 2025'!$G$4:$G$2485,'апрель 2025'!$D$4:$D$2485,$B69,'апрель 2025'!$J$4:$J$2485,Y$1)</f>
        <v>0</v>
      </c>
      <c r="Z69" s="183">
        <f>SUMIFS('апрель 2025'!$G$4:$G$2485,'апрель 2025'!$D$4:$D$2485,$B69,'апрель 2025'!$J$4:$J$2485,Z$1)</f>
        <v>0</v>
      </c>
      <c r="AA69" s="183">
        <f>SUMIFS('апрель 2025'!$G$4:$G$2485,'апрель 2025'!$D$4:$D$2485,$B69,'апрель 2025'!$J$4:$J$2485,AA$1)</f>
        <v>0</v>
      </c>
      <c r="AB69" s="183">
        <f>SUMIFS('апрель 2025'!$G$4:$G$2485,'апрель 2025'!$D$4:$D$2485,$B69,'апрель 2025'!$J$4:$J$2485,AB$1)</f>
        <v>0</v>
      </c>
      <c r="AC69" s="183">
        <f>SUMIFS('апрель 2025'!$G$4:$G$2485,'апрель 2025'!$D$4:$D$2485,$B69,'апрель 2025'!$J$4:$J$2485,AC$1)</f>
        <v>0</v>
      </c>
      <c r="AD69" s="183">
        <f>SUMIFS('апрель 2025'!$G$4:$G$2485,'апрель 2025'!$D$4:$D$2485,$B69,'апрель 2025'!$J$4:$J$2485,AD$1)</f>
        <v>0</v>
      </c>
      <c r="AE69" s="183">
        <f>SUMIFS('апрель 2025'!$G$4:$G$2485,'апрель 2025'!$D$4:$D$2485,$B69,'апрель 2025'!$J$4:$J$2485,AE$1)</f>
        <v>0</v>
      </c>
      <c r="AF69" s="183">
        <f>SUMIFS('апрель 2025'!$G$4:$G$2485,'апрель 2025'!$D$4:$D$2485,$B69,'апрель 2025'!$J$4:$J$2485,AF$1)</f>
        <v>0</v>
      </c>
      <c r="AG69" s="183">
        <f>SUMIFS('апрель 2025'!$G$4:$G$2485,'апрель 2025'!$D$4:$D$2485,$B69,'апрель 2025'!$J$4:$J$2485,AG$1)</f>
        <v>0</v>
      </c>
      <c r="AH69" s="183">
        <f>SUMIFS('апрель 2025'!$G$4:$G$2485,'апрель 2025'!$D$4:$D$2485,$B69,'апрель 2025'!$J$4:$J$2485,AH$1)</f>
        <v>0</v>
      </c>
      <c r="AI69" s="20">
        <f t="shared" si="1"/>
        <v>0</v>
      </c>
    </row>
    <row r="70" spans="2:35" ht="15.75" x14ac:dyDescent="0.25">
      <c r="B70" s="84" t="s">
        <v>158</v>
      </c>
      <c r="C70" s="83">
        <v>200</v>
      </c>
      <c r="D70" s="183">
        <f>SUMIFS('апрель 2025'!$G$4:$G$2485,'апрель 2025'!$D$4:$D$2485,$B70,'апрель 2025'!$J$4:$J$2485,D$1)</f>
        <v>0</v>
      </c>
      <c r="E70" s="183">
        <f>SUMIFS('апрель 2025'!$G$4:$G$2485,'апрель 2025'!$D$4:$D$2485,$B70,'апрель 2025'!$J$4:$J$2485,E$1)</f>
        <v>0</v>
      </c>
      <c r="F70" s="183">
        <f>SUMIFS('апрель 2025'!$G$4:$G$2485,'апрель 2025'!$D$4:$D$2485,$B70,'апрель 2025'!$J$4:$J$2485,F$1)</f>
        <v>0</v>
      </c>
      <c r="G70" s="183">
        <f>SUMIFS('апрель 2025'!$G$4:$G$2485,'апрель 2025'!$D$4:$D$2485,$B70,'апрель 2025'!$J$4:$J$2485,G$1)</f>
        <v>0</v>
      </c>
      <c r="H70" s="183">
        <f>SUMIFS('апрель 2025'!$G$4:$G$2485,'апрель 2025'!$D$4:$D$2485,$B70,'апрель 2025'!$J$4:$J$2485,H$1)</f>
        <v>0</v>
      </c>
      <c r="I70" s="183">
        <f>SUMIFS('апрель 2025'!$G$4:$G$2485,'апрель 2025'!$D$4:$D$2485,$B70,'апрель 2025'!$J$4:$J$2485,I$1)</f>
        <v>0</v>
      </c>
      <c r="J70" s="183">
        <f>SUMIFS('апрель 2025'!$G$4:$G$2485,'апрель 2025'!$D$4:$D$2485,$B70,'апрель 2025'!$J$4:$J$2485,J$1)</f>
        <v>0</v>
      </c>
      <c r="K70" s="183">
        <f>SUMIFS('апрель 2025'!$G$4:$G$2485,'апрель 2025'!$D$4:$D$2485,$B70,'апрель 2025'!$J$4:$J$2485,K$1)</f>
        <v>0</v>
      </c>
      <c r="L70" s="183">
        <f>SUMIFS('апрель 2025'!$G$4:$G$2485,'апрель 2025'!$D$4:$D$2485,$B70,'апрель 2025'!$J$4:$J$2485,L$1)</f>
        <v>0</v>
      </c>
      <c r="M70" s="183">
        <f>SUMIFS('апрель 2025'!$G$4:$G$2485,'апрель 2025'!$D$4:$D$2485,$B70,'апрель 2025'!$J$4:$J$2485,M$1)</f>
        <v>0</v>
      </c>
      <c r="N70" s="183">
        <f>SUMIFS('апрель 2025'!$G$4:$G$2485,'апрель 2025'!$D$4:$D$2485,$B70,'апрель 2025'!$J$4:$J$2485,N$1)</f>
        <v>0</v>
      </c>
      <c r="O70" s="183">
        <f>SUMIFS('апрель 2025'!$G$4:$G$2485,'апрель 2025'!$D$4:$D$2485,$B70,'апрель 2025'!$J$4:$J$2485,O$1)</f>
        <v>0</v>
      </c>
      <c r="P70" s="183">
        <f>SUMIFS('апрель 2025'!$G$4:$G$2485,'апрель 2025'!$D$4:$D$2485,$B70,'апрель 2025'!$J$4:$J$2485,P$1)</f>
        <v>0</v>
      </c>
      <c r="Q70" s="183">
        <f>SUMIFS('апрель 2025'!$G$4:$G$2485,'апрель 2025'!$D$4:$D$2485,$B70,'апрель 2025'!$J$4:$J$2485,Q$1)</f>
        <v>0</v>
      </c>
      <c r="R70" s="183">
        <f>SUMIFS('апрель 2025'!$G$4:$G$2485,'апрель 2025'!$D$4:$D$2485,$B70,'апрель 2025'!$J$4:$J$2485,R$1)</f>
        <v>0</v>
      </c>
      <c r="S70" s="183">
        <f>SUMIFS('апрель 2025'!$G$4:$G$2485,'апрель 2025'!$D$4:$D$2485,$B70,'апрель 2025'!$J$4:$J$2485,S$1)</f>
        <v>0</v>
      </c>
      <c r="T70" s="183">
        <f>SUMIFS('апрель 2025'!$G$4:$G$2485,'апрель 2025'!$D$4:$D$2485,$B70,'апрель 2025'!$J$4:$J$2485,T$1)</f>
        <v>0</v>
      </c>
      <c r="U70" s="183">
        <f>SUMIFS('апрель 2025'!$G$4:$G$2485,'апрель 2025'!$D$4:$D$2485,$B70,'апрель 2025'!$J$4:$J$2485,U$1)</f>
        <v>0</v>
      </c>
      <c r="V70" s="183">
        <f>SUMIFS('апрель 2025'!$G$4:$G$2485,'апрель 2025'!$D$4:$D$2485,$B70,'апрель 2025'!$J$4:$J$2485,V$1)</f>
        <v>0</v>
      </c>
      <c r="W70" s="183">
        <f>SUMIFS('апрель 2025'!$G$4:$G$2485,'апрель 2025'!$D$4:$D$2485,$B70,'апрель 2025'!$J$4:$J$2485,W$1)</f>
        <v>0</v>
      </c>
      <c r="X70" s="183">
        <f>SUMIFS('апрель 2025'!$G$4:$G$2485,'апрель 2025'!$D$4:$D$2485,$B70,'апрель 2025'!$J$4:$J$2485,X$1)</f>
        <v>0</v>
      </c>
      <c r="Y70" s="183">
        <f>SUMIFS('апрель 2025'!$G$4:$G$2485,'апрель 2025'!$D$4:$D$2485,$B70,'апрель 2025'!$J$4:$J$2485,Y$1)</f>
        <v>0</v>
      </c>
      <c r="Z70" s="183">
        <f>SUMIFS('апрель 2025'!$G$4:$G$2485,'апрель 2025'!$D$4:$D$2485,$B70,'апрель 2025'!$J$4:$J$2485,Z$1)</f>
        <v>0</v>
      </c>
      <c r="AA70" s="183">
        <f>SUMIFS('апрель 2025'!$G$4:$G$2485,'апрель 2025'!$D$4:$D$2485,$B70,'апрель 2025'!$J$4:$J$2485,AA$1)</f>
        <v>0</v>
      </c>
      <c r="AB70" s="183">
        <f>SUMIFS('апрель 2025'!$G$4:$G$2485,'апрель 2025'!$D$4:$D$2485,$B70,'апрель 2025'!$J$4:$J$2485,AB$1)</f>
        <v>0</v>
      </c>
      <c r="AC70" s="183">
        <f>SUMIFS('апрель 2025'!$G$4:$G$2485,'апрель 2025'!$D$4:$D$2485,$B70,'апрель 2025'!$J$4:$J$2485,AC$1)</f>
        <v>0</v>
      </c>
      <c r="AD70" s="183">
        <f>SUMIFS('апрель 2025'!$G$4:$G$2485,'апрель 2025'!$D$4:$D$2485,$B70,'апрель 2025'!$J$4:$J$2485,AD$1)</f>
        <v>0</v>
      </c>
      <c r="AE70" s="183">
        <f>SUMIFS('апрель 2025'!$G$4:$G$2485,'апрель 2025'!$D$4:$D$2485,$B70,'апрель 2025'!$J$4:$J$2485,AE$1)</f>
        <v>0</v>
      </c>
      <c r="AF70" s="183">
        <f>SUMIFS('апрель 2025'!$G$4:$G$2485,'апрель 2025'!$D$4:$D$2485,$B70,'апрель 2025'!$J$4:$J$2485,AF$1)</f>
        <v>0</v>
      </c>
      <c r="AG70" s="183">
        <f>SUMIFS('апрель 2025'!$G$4:$G$2485,'апрель 2025'!$D$4:$D$2485,$B70,'апрель 2025'!$J$4:$J$2485,AG$1)</f>
        <v>0</v>
      </c>
      <c r="AH70" s="183">
        <f>SUMIFS('апрель 2025'!$G$4:$G$2485,'апрель 2025'!$D$4:$D$2485,$B70,'апрель 2025'!$J$4:$J$2485,AH$1)</f>
        <v>0</v>
      </c>
      <c r="AI70" s="20">
        <f t="shared" si="1"/>
        <v>0</v>
      </c>
    </row>
    <row r="71" spans="2:35" ht="15.75" x14ac:dyDescent="0.25">
      <c r="B71" s="88" t="s">
        <v>157</v>
      </c>
      <c r="C71" s="86">
        <v>200</v>
      </c>
      <c r="D71" s="183">
        <f>SUMIFS('апрель 2025'!$G$4:$G$2485,'апрель 2025'!$D$4:$D$2485,$B71,'апрель 2025'!$J$4:$J$2485,D$1)</f>
        <v>0</v>
      </c>
      <c r="E71" s="183">
        <f>SUMIFS('апрель 2025'!$G$4:$G$2485,'апрель 2025'!$D$4:$D$2485,$B71,'апрель 2025'!$J$4:$J$2485,E$1)</f>
        <v>0</v>
      </c>
      <c r="F71" s="183">
        <f>SUMIFS('апрель 2025'!$G$4:$G$2485,'апрель 2025'!$D$4:$D$2485,$B71,'апрель 2025'!$J$4:$J$2485,F$1)</f>
        <v>0</v>
      </c>
      <c r="G71" s="183">
        <f>SUMIFS('апрель 2025'!$G$4:$G$2485,'апрель 2025'!$D$4:$D$2485,$B71,'апрель 2025'!$J$4:$J$2485,G$1)</f>
        <v>0</v>
      </c>
      <c r="H71" s="183">
        <f>SUMIFS('апрель 2025'!$G$4:$G$2485,'апрель 2025'!$D$4:$D$2485,$B71,'апрель 2025'!$J$4:$J$2485,H$1)</f>
        <v>0</v>
      </c>
      <c r="I71" s="183">
        <f>SUMIFS('апрель 2025'!$G$4:$G$2485,'апрель 2025'!$D$4:$D$2485,$B71,'апрель 2025'!$J$4:$J$2485,I$1)</f>
        <v>0</v>
      </c>
      <c r="J71" s="183">
        <f>SUMIFS('апрель 2025'!$G$4:$G$2485,'апрель 2025'!$D$4:$D$2485,$B71,'апрель 2025'!$J$4:$J$2485,J$1)</f>
        <v>0</v>
      </c>
      <c r="K71" s="183">
        <f>SUMIFS('апрель 2025'!$G$4:$G$2485,'апрель 2025'!$D$4:$D$2485,$B71,'апрель 2025'!$J$4:$J$2485,K$1)</f>
        <v>0</v>
      </c>
      <c r="L71" s="183">
        <f>SUMIFS('апрель 2025'!$G$4:$G$2485,'апрель 2025'!$D$4:$D$2485,$B71,'апрель 2025'!$J$4:$J$2485,L$1)</f>
        <v>50</v>
      </c>
      <c r="M71" s="183">
        <f>SUMIFS('апрель 2025'!$G$4:$G$2485,'апрель 2025'!$D$4:$D$2485,$B71,'апрель 2025'!$J$4:$J$2485,M$1)</f>
        <v>0</v>
      </c>
      <c r="N71" s="183">
        <f>SUMIFS('апрель 2025'!$G$4:$G$2485,'апрель 2025'!$D$4:$D$2485,$B71,'апрель 2025'!$J$4:$J$2485,N$1)</f>
        <v>0</v>
      </c>
      <c r="O71" s="183">
        <f>SUMIFS('апрель 2025'!$G$4:$G$2485,'апрель 2025'!$D$4:$D$2485,$B71,'апрель 2025'!$J$4:$J$2485,O$1)</f>
        <v>0</v>
      </c>
      <c r="P71" s="183">
        <f>SUMIFS('апрель 2025'!$G$4:$G$2485,'апрель 2025'!$D$4:$D$2485,$B71,'апрель 2025'!$J$4:$J$2485,P$1)</f>
        <v>0</v>
      </c>
      <c r="Q71" s="183">
        <f>SUMIFS('апрель 2025'!$G$4:$G$2485,'апрель 2025'!$D$4:$D$2485,$B71,'апрель 2025'!$J$4:$J$2485,Q$1)</f>
        <v>0</v>
      </c>
      <c r="R71" s="183">
        <f>SUMIFS('апрель 2025'!$G$4:$G$2485,'апрель 2025'!$D$4:$D$2485,$B71,'апрель 2025'!$J$4:$J$2485,R$1)</f>
        <v>0</v>
      </c>
      <c r="S71" s="183">
        <f>SUMIFS('апрель 2025'!$G$4:$G$2485,'апрель 2025'!$D$4:$D$2485,$B71,'апрель 2025'!$J$4:$J$2485,S$1)</f>
        <v>0</v>
      </c>
      <c r="T71" s="183">
        <f>SUMIFS('апрель 2025'!$G$4:$G$2485,'апрель 2025'!$D$4:$D$2485,$B71,'апрель 2025'!$J$4:$J$2485,T$1)</f>
        <v>0</v>
      </c>
      <c r="U71" s="183">
        <f>SUMIFS('апрель 2025'!$G$4:$G$2485,'апрель 2025'!$D$4:$D$2485,$B71,'апрель 2025'!$J$4:$J$2485,U$1)</f>
        <v>0</v>
      </c>
      <c r="V71" s="183">
        <f>SUMIFS('апрель 2025'!$G$4:$G$2485,'апрель 2025'!$D$4:$D$2485,$B71,'апрель 2025'!$J$4:$J$2485,V$1)</f>
        <v>0</v>
      </c>
      <c r="W71" s="183">
        <f>SUMIFS('апрель 2025'!$G$4:$G$2485,'апрель 2025'!$D$4:$D$2485,$B71,'апрель 2025'!$J$4:$J$2485,W$1)</f>
        <v>0</v>
      </c>
      <c r="X71" s="183">
        <f>SUMIFS('апрель 2025'!$G$4:$G$2485,'апрель 2025'!$D$4:$D$2485,$B71,'апрель 2025'!$J$4:$J$2485,X$1)</f>
        <v>0</v>
      </c>
      <c r="Y71" s="183">
        <f>SUMIFS('апрель 2025'!$G$4:$G$2485,'апрель 2025'!$D$4:$D$2485,$B71,'апрель 2025'!$J$4:$J$2485,Y$1)</f>
        <v>0</v>
      </c>
      <c r="Z71" s="183">
        <f>SUMIFS('апрель 2025'!$G$4:$G$2485,'апрель 2025'!$D$4:$D$2485,$B71,'апрель 2025'!$J$4:$J$2485,Z$1)</f>
        <v>0</v>
      </c>
      <c r="AA71" s="183">
        <f>SUMIFS('апрель 2025'!$G$4:$G$2485,'апрель 2025'!$D$4:$D$2485,$B71,'апрель 2025'!$J$4:$J$2485,AA$1)</f>
        <v>20</v>
      </c>
      <c r="AB71" s="183">
        <f>SUMIFS('апрель 2025'!$G$4:$G$2485,'апрель 2025'!$D$4:$D$2485,$B71,'апрель 2025'!$J$4:$J$2485,AB$1)</f>
        <v>0</v>
      </c>
      <c r="AC71" s="183">
        <f>SUMIFS('апрель 2025'!$G$4:$G$2485,'апрель 2025'!$D$4:$D$2485,$B71,'апрель 2025'!$J$4:$J$2485,AC$1)</f>
        <v>0</v>
      </c>
      <c r="AD71" s="183">
        <f>SUMIFS('апрель 2025'!$G$4:$G$2485,'апрель 2025'!$D$4:$D$2485,$B71,'апрель 2025'!$J$4:$J$2485,AD$1)</f>
        <v>0</v>
      </c>
      <c r="AE71" s="183">
        <f>SUMIFS('апрель 2025'!$G$4:$G$2485,'апрель 2025'!$D$4:$D$2485,$B71,'апрель 2025'!$J$4:$J$2485,AE$1)</f>
        <v>0</v>
      </c>
      <c r="AF71" s="183">
        <f>SUMIFS('апрель 2025'!$G$4:$G$2485,'апрель 2025'!$D$4:$D$2485,$B71,'апрель 2025'!$J$4:$J$2485,AF$1)</f>
        <v>0</v>
      </c>
      <c r="AG71" s="183">
        <f>SUMIFS('апрель 2025'!$G$4:$G$2485,'апрель 2025'!$D$4:$D$2485,$B71,'апрель 2025'!$J$4:$J$2485,AG$1)</f>
        <v>0</v>
      </c>
      <c r="AH71" s="183">
        <f>SUMIFS('апрель 2025'!$G$4:$G$2485,'апрель 2025'!$D$4:$D$2485,$B71,'апрель 2025'!$J$4:$J$2485,AH$1)</f>
        <v>0</v>
      </c>
      <c r="AI71" s="20">
        <f t="shared" si="1"/>
        <v>70</v>
      </c>
    </row>
    <row r="72" spans="2:35" ht="15.75" x14ac:dyDescent="0.25">
      <c r="B72" s="88" t="s">
        <v>299</v>
      </c>
      <c r="C72" s="86">
        <v>200</v>
      </c>
      <c r="D72" s="183">
        <f>SUMIFS('апрель 2025'!$G$4:$G$2485,'апрель 2025'!$D$4:$D$2485,$B72,'апрель 2025'!$J$4:$J$2485,D$1)</f>
        <v>0</v>
      </c>
      <c r="E72" s="183">
        <f>SUMIFS('апрель 2025'!$G$4:$G$2485,'апрель 2025'!$D$4:$D$2485,$B72,'апрель 2025'!$J$4:$J$2485,E$1)</f>
        <v>0</v>
      </c>
      <c r="F72" s="183">
        <f>SUMIFS('апрель 2025'!$G$4:$G$2485,'апрель 2025'!$D$4:$D$2485,$B72,'апрель 2025'!$J$4:$J$2485,F$1)</f>
        <v>0</v>
      </c>
      <c r="G72" s="183">
        <f>SUMIFS('апрель 2025'!$G$4:$G$2485,'апрель 2025'!$D$4:$D$2485,$B72,'апрель 2025'!$J$4:$J$2485,G$1)</f>
        <v>0</v>
      </c>
      <c r="H72" s="183">
        <f>SUMIFS('апрель 2025'!$G$4:$G$2485,'апрель 2025'!$D$4:$D$2485,$B72,'апрель 2025'!$J$4:$J$2485,H$1)</f>
        <v>0</v>
      </c>
      <c r="I72" s="183">
        <f>SUMIFS('апрель 2025'!$G$4:$G$2485,'апрель 2025'!$D$4:$D$2485,$B72,'апрель 2025'!$J$4:$J$2485,I$1)</f>
        <v>0</v>
      </c>
      <c r="J72" s="183">
        <f>SUMIFS('апрель 2025'!$G$4:$G$2485,'апрель 2025'!$D$4:$D$2485,$B72,'апрель 2025'!$J$4:$J$2485,J$1)</f>
        <v>0</v>
      </c>
      <c r="K72" s="183">
        <f>SUMIFS('апрель 2025'!$G$4:$G$2485,'апрель 2025'!$D$4:$D$2485,$B72,'апрель 2025'!$J$4:$J$2485,K$1)</f>
        <v>0</v>
      </c>
      <c r="L72" s="183">
        <f>SUMIFS('апрель 2025'!$G$4:$G$2485,'апрель 2025'!$D$4:$D$2485,$B72,'апрель 2025'!$J$4:$J$2485,L$1)</f>
        <v>0</v>
      </c>
      <c r="M72" s="183">
        <f>SUMIFS('апрель 2025'!$G$4:$G$2485,'апрель 2025'!$D$4:$D$2485,$B72,'апрель 2025'!$J$4:$J$2485,M$1)</f>
        <v>0</v>
      </c>
      <c r="N72" s="183">
        <f>SUMIFS('апрель 2025'!$G$4:$G$2485,'апрель 2025'!$D$4:$D$2485,$B72,'апрель 2025'!$J$4:$J$2485,N$1)</f>
        <v>0</v>
      </c>
      <c r="O72" s="183">
        <f>SUMIFS('апрель 2025'!$G$4:$G$2485,'апрель 2025'!$D$4:$D$2485,$B72,'апрель 2025'!$J$4:$J$2485,O$1)</f>
        <v>0</v>
      </c>
      <c r="P72" s="183">
        <f>SUMIFS('апрель 2025'!$G$4:$G$2485,'апрель 2025'!$D$4:$D$2485,$B72,'апрель 2025'!$J$4:$J$2485,P$1)</f>
        <v>0</v>
      </c>
      <c r="Q72" s="183">
        <f>SUMIFS('апрель 2025'!$G$4:$G$2485,'апрель 2025'!$D$4:$D$2485,$B72,'апрель 2025'!$J$4:$J$2485,Q$1)</f>
        <v>0</v>
      </c>
      <c r="R72" s="183">
        <f>SUMIFS('апрель 2025'!$G$4:$G$2485,'апрель 2025'!$D$4:$D$2485,$B72,'апрель 2025'!$J$4:$J$2485,R$1)</f>
        <v>0</v>
      </c>
      <c r="S72" s="183">
        <f>SUMIFS('апрель 2025'!$G$4:$G$2485,'апрель 2025'!$D$4:$D$2485,$B72,'апрель 2025'!$J$4:$J$2485,S$1)</f>
        <v>0</v>
      </c>
      <c r="T72" s="183">
        <f>SUMIFS('апрель 2025'!$G$4:$G$2485,'апрель 2025'!$D$4:$D$2485,$B72,'апрель 2025'!$J$4:$J$2485,T$1)</f>
        <v>0</v>
      </c>
      <c r="U72" s="183">
        <f>SUMIFS('апрель 2025'!$G$4:$G$2485,'апрель 2025'!$D$4:$D$2485,$B72,'апрель 2025'!$J$4:$J$2485,U$1)</f>
        <v>0</v>
      </c>
      <c r="V72" s="183">
        <f>SUMIFS('апрель 2025'!$G$4:$G$2485,'апрель 2025'!$D$4:$D$2485,$B72,'апрель 2025'!$J$4:$J$2485,V$1)</f>
        <v>0</v>
      </c>
      <c r="W72" s="183">
        <f>SUMIFS('апрель 2025'!$G$4:$G$2485,'апрель 2025'!$D$4:$D$2485,$B72,'апрель 2025'!$J$4:$J$2485,W$1)</f>
        <v>0</v>
      </c>
      <c r="X72" s="183">
        <f>SUMIFS('апрель 2025'!$G$4:$G$2485,'апрель 2025'!$D$4:$D$2485,$B72,'апрель 2025'!$J$4:$J$2485,X$1)</f>
        <v>0</v>
      </c>
      <c r="Y72" s="183">
        <f>SUMIFS('апрель 2025'!$G$4:$G$2485,'апрель 2025'!$D$4:$D$2485,$B72,'апрель 2025'!$J$4:$J$2485,Y$1)</f>
        <v>0</v>
      </c>
      <c r="Z72" s="183">
        <f>SUMIFS('апрель 2025'!$G$4:$G$2485,'апрель 2025'!$D$4:$D$2485,$B72,'апрель 2025'!$J$4:$J$2485,Z$1)</f>
        <v>0</v>
      </c>
      <c r="AA72" s="183">
        <f>SUMIFS('апрель 2025'!$G$4:$G$2485,'апрель 2025'!$D$4:$D$2485,$B72,'апрель 2025'!$J$4:$J$2485,AA$1)</f>
        <v>0</v>
      </c>
      <c r="AB72" s="183">
        <f>SUMIFS('апрель 2025'!$G$4:$G$2485,'апрель 2025'!$D$4:$D$2485,$B72,'апрель 2025'!$J$4:$J$2485,AB$1)</f>
        <v>0</v>
      </c>
      <c r="AC72" s="183">
        <f>SUMIFS('апрель 2025'!$G$4:$G$2485,'апрель 2025'!$D$4:$D$2485,$B72,'апрель 2025'!$J$4:$J$2485,AC$1)</f>
        <v>0</v>
      </c>
      <c r="AD72" s="183">
        <f>SUMIFS('апрель 2025'!$G$4:$G$2485,'апрель 2025'!$D$4:$D$2485,$B72,'апрель 2025'!$J$4:$J$2485,AD$1)</f>
        <v>0</v>
      </c>
      <c r="AE72" s="183">
        <f>SUMIFS('апрель 2025'!$G$4:$G$2485,'апрель 2025'!$D$4:$D$2485,$B72,'апрель 2025'!$J$4:$J$2485,AE$1)</f>
        <v>0</v>
      </c>
      <c r="AF72" s="183">
        <f>SUMIFS('апрель 2025'!$G$4:$G$2485,'апрель 2025'!$D$4:$D$2485,$B72,'апрель 2025'!$J$4:$J$2485,AF$1)</f>
        <v>0</v>
      </c>
      <c r="AG72" s="183">
        <f>SUMIFS('апрель 2025'!$G$4:$G$2485,'апрель 2025'!$D$4:$D$2485,$B72,'апрель 2025'!$J$4:$J$2485,AG$1)</f>
        <v>0</v>
      </c>
      <c r="AH72" s="183">
        <f>SUMIFS('апрель 2025'!$G$4:$G$2485,'апрель 2025'!$D$4:$D$2485,$B72,'апрель 2025'!$J$4:$J$2485,AH$1)</f>
        <v>0</v>
      </c>
      <c r="AI72" s="20">
        <f t="shared" si="1"/>
        <v>0</v>
      </c>
    </row>
    <row r="73" spans="2:35" ht="15.75" x14ac:dyDescent="0.25">
      <c r="B73" s="88" t="s">
        <v>994</v>
      </c>
      <c r="C73" s="86">
        <v>190</v>
      </c>
      <c r="D73" s="183">
        <f>SUMIFS('апрель 2025'!$G$4:$G$2485,'апрель 2025'!$D$4:$D$2485,$B73,'апрель 2025'!$J$4:$J$2485,D$1)</f>
        <v>0</v>
      </c>
      <c r="E73" s="183">
        <f>SUMIFS('апрель 2025'!$G$4:$G$2485,'апрель 2025'!$D$4:$D$2485,$B73,'апрель 2025'!$J$4:$J$2485,E$1)</f>
        <v>0</v>
      </c>
      <c r="F73" s="183">
        <f>SUMIFS('апрель 2025'!$G$4:$G$2485,'апрель 2025'!$D$4:$D$2485,$B73,'апрель 2025'!$J$4:$J$2485,F$1)</f>
        <v>0</v>
      </c>
      <c r="G73" s="183">
        <f>SUMIFS('апрель 2025'!$G$4:$G$2485,'апрель 2025'!$D$4:$D$2485,$B73,'апрель 2025'!$J$4:$J$2485,G$1)</f>
        <v>0</v>
      </c>
      <c r="H73" s="183">
        <f>SUMIFS('апрель 2025'!$G$4:$G$2485,'апрель 2025'!$D$4:$D$2485,$B73,'апрель 2025'!$J$4:$J$2485,H$1)</f>
        <v>0</v>
      </c>
      <c r="I73" s="183">
        <f>SUMIFS('апрель 2025'!$G$4:$G$2485,'апрель 2025'!$D$4:$D$2485,$B73,'апрель 2025'!$J$4:$J$2485,I$1)</f>
        <v>0</v>
      </c>
      <c r="J73" s="183">
        <f>SUMIFS('апрель 2025'!$G$4:$G$2485,'апрель 2025'!$D$4:$D$2485,$B73,'апрель 2025'!$J$4:$J$2485,J$1)</f>
        <v>0</v>
      </c>
      <c r="K73" s="183">
        <f>SUMIFS('апрель 2025'!$G$4:$G$2485,'апрель 2025'!$D$4:$D$2485,$B73,'апрель 2025'!$J$4:$J$2485,K$1)</f>
        <v>0</v>
      </c>
      <c r="L73" s="183">
        <f>SUMIFS('апрель 2025'!$G$4:$G$2485,'апрель 2025'!$D$4:$D$2485,$B73,'апрель 2025'!$J$4:$J$2485,L$1)</f>
        <v>0</v>
      </c>
      <c r="M73" s="183">
        <f>SUMIFS('апрель 2025'!$G$4:$G$2485,'апрель 2025'!$D$4:$D$2485,$B73,'апрель 2025'!$J$4:$J$2485,M$1)</f>
        <v>0</v>
      </c>
      <c r="N73" s="183">
        <f>SUMIFS('апрель 2025'!$G$4:$G$2485,'апрель 2025'!$D$4:$D$2485,$B73,'апрель 2025'!$J$4:$J$2485,N$1)</f>
        <v>0</v>
      </c>
      <c r="O73" s="183">
        <f>SUMIFS('апрель 2025'!$G$4:$G$2485,'апрель 2025'!$D$4:$D$2485,$B73,'апрель 2025'!$J$4:$J$2485,O$1)</f>
        <v>0</v>
      </c>
      <c r="P73" s="183">
        <f>SUMIFS('апрель 2025'!$G$4:$G$2485,'апрель 2025'!$D$4:$D$2485,$B73,'апрель 2025'!$J$4:$J$2485,P$1)</f>
        <v>0</v>
      </c>
      <c r="Q73" s="183">
        <f>SUMIFS('апрель 2025'!$G$4:$G$2485,'апрель 2025'!$D$4:$D$2485,$B73,'апрель 2025'!$J$4:$J$2485,Q$1)</f>
        <v>0</v>
      </c>
      <c r="R73" s="183">
        <f>SUMIFS('апрель 2025'!$G$4:$G$2485,'апрель 2025'!$D$4:$D$2485,$B73,'апрель 2025'!$J$4:$J$2485,R$1)</f>
        <v>0</v>
      </c>
      <c r="S73" s="183">
        <f>SUMIFS('апрель 2025'!$G$4:$G$2485,'апрель 2025'!$D$4:$D$2485,$B73,'апрель 2025'!$J$4:$J$2485,S$1)</f>
        <v>0</v>
      </c>
      <c r="T73" s="183">
        <f>SUMIFS('апрель 2025'!$G$4:$G$2485,'апрель 2025'!$D$4:$D$2485,$B73,'апрель 2025'!$J$4:$J$2485,T$1)</f>
        <v>0</v>
      </c>
      <c r="U73" s="183">
        <f>SUMIFS('апрель 2025'!$G$4:$G$2485,'апрель 2025'!$D$4:$D$2485,$B73,'апрель 2025'!$J$4:$J$2485,U$1)</f>
        <v>0</v>
      </c>
      <c r="V73" s="183">
        <f>SUMIFS('апрель 2025'!$G$4:$G$2485,'апрель 2025'!$D$4:$D$2485,$B73,'апрель 2025'!$J$4:$J$2485,V$1)</f>
        <v>0</v>
      </c>
      <c r="W73" s="183">
        <f>SUMIFS('апрель 2025'!$G$4:$G$2485,'апрель 2025'!$D$4:$D$2485,$B73,'апрель 2025'!$J$4:$J$2485,W$1)</f>
        <v>0</v>
      </c>
      <c r="X73" s="183">
        <f>SUMIFS('апрель 2025'!$G$4:$G$2485,'апрель 2025'!$D$4:$D$2485,$B73,'апрель 2025'!$J$4:$J$2485,X$1)</f>
        <v>0</v>
      </c>
      <c r="Y73" s="183">
        <f>SUMIFS('апрель 2025'!$G$4:$G$2485,'апрель 2025'!$D$4:$D$2485,$B73,'апрель 2025'!$J$4:$J$2485,Y$1)</f>
        <v>0</v>
      </c>
      <c r="Z73" s="183">
        <f>SUMIFS('апрель 2025'!$G$4:$G$2485,'апрель 2025'!$D$4:$D$2485,$B73,'апрель 2025'!$J$4:$J$2485,Z$1)</f>
        <v>0</v>
      </c>
      <c r="AA73" s="183">
        <f>SUMIFS('апрель 2025'!$G$4:$G$2485,'апрель 2025'!$D$4:$D$2485,$B73,'апрель 2025'!$J$4:$J$2485,AA$1)</f>
        <v>0</v>
      </c>
      <c r="AB73" s="183">
        <f>SUMIFS('апрель 2025'!$G$4:$G$2485,'апрель 2025'!$D$4:$D$2485,$B73,'апрель 2025'!$J$4:$J$2485,AB$1)</f>
        <v>0</v>
      </c>
      <c r="AC73" s="183">
        <f>SUMIFS('апрель 2025'!$G$4:$G$2485,'апрель 2025'!$D$4:$D$2485,$B73,'апрель 2025'!$J$4:$J$2485,AC$1)</f>
        <v>0</v>
      </c>
      <c r="AD73" s="183">
        <f>SUMIFS('апрель 2025'!$G$4:$G$2485,'апрель 2025'!$D$4:$D$2485,$B73,'апрель 2025'!$J$4:$J$2485,AD$1)</f>
        <v>0</v>
      </c>
      <c r="AE73" s="183">
        <f>SUMIFS('апрель 2025'!$G$4:$G$2485,'апрель 2025'!$D$4:$D$2485,$B73,'апрель 2025'!$J$4:$J$2485,AE$1)</f>
        <v>0</v>
      </c>
      <c r="AF73" s="183">
        <f>SUMIFS('апрель 2025'!$G$4:$G$2485,'апрель 2025'!$D$4:$D$2485,$B73,'апрель 2025'!$J$4:$J$2485,AF$1)</f>
        <v>0</v>
      </c>
      <c r="AG73" s="183">
        <f>SUMIFS('апрель 2025'!$G$4:$G$2485,'апрель 2025'!$D$4:$D$2485,$B73,'апрель 2025'!$J$4:$J$2485,AG$1)</f>
        <v>0</v>
      </c>
      <c r="AH73" s="183">
        <f>SUMIFS('апрель 2025'!$G$4:$G$2485,'апрель 2025'!$D$4:$D$2485,$B73,'апрель 2025'!$J$4:$J$2485,AH$1)</f>
        <v>0</v>
      </c>
      <c r="AI73" s="20">
        <f t="shared" si="1"/>
        <v>0</v>
      </c>
    </row>
    <row r="74" spans="2:35" ht="15" customHeight="1" x14ac:dyDescent="0.25">
      <c r="B74" s="88" t="s">
        <v>202</v>
      </c>
      <c r="C74" s="86">
        <v>200</v>
      </c>
      <c r="D74" s="183">
        <f>SUMIFS('апрель 2025'!$G$4:$G$2485,'апрель 2025'!$D$4:$D$2485,$B74,'апрель 2025'!$J$4:$J$2485,D$1)</f>
        <v>0</v>
      </c>
      <c r="E74" s="183">
        <f>SUMIFS('апрель 2025'!$G$4:$G$2485,'апрель 2025'!$D$4:$D$2485,$B74,'апрель 2025'!$J$4:$J$2485,E$1)</f>
        <v>0</v>
      </c>
      <c r="F74" s="183">
        <f>SUMIFS('апрель 2025'!$G$4:$G$2485,'апрель 2025'!$D$4:$D$2485,$B74,'апрель 2025'!$J$4:$J$2485,F$1)</f>
        <v>0</v>
      </c>
      <c r="G74" s="183">
        <f>SUMIFS('апрель 2025'!$G$4:$G$2485,'апрель 2025'!$D$4:$D$2485,$B74,'апрель 2025'!$J$4:$J$2485,G$1)</f>
        <v>0</v>
      </c>
      <c r="H74" s="183">
        <f>SUMIFS('апрель 2025'!$G$4:$G$2485,'апрель 2025'!$D$4:$D$2485,$B74,'апрель 2025'!$J$4:$J$2485,H$1)</f>
        <v>0</v>
      </c>
      <c r="I74" s="183">
        <f>SUMIFS('апрель 2025'!$G$4:$G$2485,'апрель 2025'!$D$4:$D$2485,$B74,'апрель 2025'!$J$4:$J$2485,I$1)</f>
        <v>0</v>
      </c>
      <c r="J74" s="183">
        <f>SUMIFS('апрель 2025'!$G$4:$G$2485,'апрель 2025'!$D$4:$D$2485,$B74,'апрель 2025'!$J$4:$J$2485,J$1)</f>
        <v>0</v>
      </c>
      <c r="K74" s="183">
        <f>SUMIFS('апрель 2025'!$G$4:$G$2485,'апрель 2025'!$D$4:$D$2485,$B74,'апрель 2025'!$J$4:$J$2485,K$1)</f>
        <v>0</v>
      </c>
      <c r="L74" s="183">
        <f>SUMIFS('апрель 2025'!$G$4:$G$2485,'апрель 2025'!$D$4:$D$2485,$B74,'апрель 2025'!$J$4:$J$2485,L$1)</f>
        <v>0</v>
      </c>
      <c r="M74" s="183">
        <f>SUMIFS('апрель 2025'!$G$4:$G$2485,'апрель 2025'!$D$4:$D$2485,$B74,'апрель 2025'!$J$4:$J$2485,M$1)</f>
        <v>0</v>
      </c>
      <c r="N74" s="183">
        <f>SUMIFS('апрель 2025'!$G$4:$G$2485,'апрель 2025'!$D$4:$D$2485,$B74,'апрель 2025'!$J$4:$J$2485,N$1)</f>
        <v>0</v>
      </c>
      <c r="O74" s="183">
        <f>SUMIFS('апрель 2025'!$G$4:$G$2485,'апрель 2025'!$D$4:$D$2485,$B74,'апрель 2025'!$J$4:$J$2485,O$1)</f>
        <v>0</v>
      </c>
      <c r="P74" s="183">
        <f>SUMIFS('апрель 2025'!$G$4:$G$2485,'апрель 2025'!$D$4:$D$2485,$B74,'апрель 2025'!$J$4:$J$2485,P$1)</f>
        <v>0</v>
      </c>
      <c r="Q74" s="183">
        <f>SUMIFS('апрель 2025'!$G$4:$G$2485,'апрель 2025'!$D$4:$D$2485,$B74,'апрель 2025'!$J$4:$J$2485,Q$1)</f>
        <v>0</v>
      </c>
      <c r="R74" s="183">
        <f>SUMIFS('апрель 2025'!$G$4:$G$2485,'апрель 2025'!$D$4:$D$2485,$B74,'апрель 2025'!$J$4:$J$2485,R$1)</f>
        <v>0</v>
      </c>
      <c r="S74" s="183">
        <f>SUMIFS('апрель 2025'!$G$4:$G$2485,'апрель 2025'!$D$4:$D$2485,$B74,'апрель 2025'!$J$4:$J$2485,S$1)</f>
        <v>0</v>
      </c>
      <c r="T74" s="183">
        <f>SUMIFS('апрель 2025'!$G$4:$G$2485,'апрель 2025'!$D$4:$D$2485,$B74,'апрель 2025'!$J$4:$J$2485,T$1)</f>
        <v>0</v>
      </c>
      <c r="U74" s="183">
        <f>SUMIFS('апрель 2025'!$G$4:$G$2485,'апрель 2025'!$D$4:$D$2485,$B74,'апрель 2025'!$J$4:$J$2485,U$1)</f>
        <v>0</v>
      </c>
      <c r="V74" s="183">
        <f>SUMIFS('апрель 2025'!$G$4:$G$2485,'апрель 2025'!$D$4:$D$2485,$B74,'апрель 2025'!$J$4:$J$2485,V$1)</f>
        <v>0</v>
      </c>
      <c r="W74" s="183">
        <f>SUMIFS('апрель 2025'!$G$4:$G$2485,'апрель 2025'!$D$4:$D$2485,$B74,'апрель 2025'!$J$4:$J$2485,W$1)</f>
        <v>0</v>
      </c>
      <c r="X74" s="183">
        <f>SUMIFS('апрель 2025'!$G$4:$G$2485,'апрель 2025'!$D$4:$D$2485,$B74,'апрель 2025'!$J$4:$J$2485,X$1)</f>
        <v>0</v>
      </c>
      <c r="Y74" s="183">
        <f>SUMIFS('апрель 2025'!$G$4:$G$2485,'апрель 2025'!$D$4:$D$2485,$B74,'апрель 2025'!$J$4:$J$2485,Y$1)</f>
        <v>0</v>
      </c>
      <c r="Z74" s="183">
        <f>SUMIFS('апрель 2025'!$G$4:$G$2485,'апрель 2025'!$D$4:$D$2485,$B74,'апрель 2025'!$J$4:$J$2485,Z$1)</f>
        <v>0</v>
      </c>
      <c r="AA74" s="183">
        <f>SUMIFS('апрель 2025'!$G$4:$G$2485,'апрель 2025'!$D$4:$D$2485,$B74,'апрель 2025'!$J$4:$J$2485,AA$1)</f>
        <v>0</v>
      </c>
      <c r="AB74" s="183">
        <f>SUMIFS('апрель 2025'!$G$4:$G$2485,'апрель 2025'!$D$4:$D$2485,$B74,'апрель 2025'!$J$4:$J$2485,AB$1)</f>
        <v>0</v>
      </c>
      <c r="AC74" s="183">
        <f>SUMIFS('апрель 2025'!$G$4:$G$2485,'апрель 2025'!$D$4:$D$2485,$B74,'апрель 2025'!$J$4:$J$2485,AC$1)</f>
        <v>0</v>
      </c>
      <c r="AD74" s="183">
        <f>SUMIFS('апрель 2025'!$G$4:$G$2485,'апрель 2025'!$D$4:$D$2485,$B74,'апрель 2025'!$J$4:$J$2485,AD$1)</f>
        <v>0</v>
      </c>
      <c r="AE74" s="183">
        <f>SUMIFS('апрель 2025'!$G$4:$G$2485,'апрель 2025'!$D$4:$D$2485,$B74,'апрель 2025'!$J$4:$J$2485,AE$1)</f>
        <v>0</v>
      </c>
      <c r="AF74" s="183">
        <f>SUMIFS('апрель 2025'!$G$4:$G$2485,'апрель 2025'!$D$4:$D$2485,$B74,'апрель 2025'!$J$4:$J$2485,AF$1)</f>
        <v>0</v>
      </c>
      <c r="AG74" s="183">
        <f>SUMIFS('апрель 2025'!$G$4:$G$2485,'апрель 2025'!$D$4:$D$2485,$B74,'апрель 2025'!$J$4:$J$2485,AG$1)</f>
        <v>0</v>
      </c>
      <c r="AH74" s="183">
        <f>SUMIFS('апрель 2025'!$G$4:$G$2485,'апрель 2025'!$D$4:$D$2485,$B74,'апрель 2025'!$J$4:$J$2485,AH$1)</f>
        <v>0</v>
      </c>
      <c r="AI74" s="20">
        <f t="shared" si="1"/>
        <v>0</v>
      </c>
    </row>
    <row r="75" spans="2:35" ht="15" customHeight="1" x14ac:dyDescent="0.25">
      <c r="B75" s="88" t="s">
        <v>187</v>
      </c>
      <c r="C75" s="86">
        <v>200</v>
      </c>
      <c r="D75" s="183">
        <f>SUMIFS('апрель 2025'!$G$4:$G$2485,'апрель 2025'!$D$4:$D$2485,$B75,'апрель 2025'!$J$4:$J$2485,D$1)</f>
        <v>0</v>
      </c>
      <c r="E75" s="183">
        <f>SUMIFS('апрель 2025'!$G$4:$G$2485,'апрель 2025'!$D$4:$D$2485,$B75,'апрель 2025'!$J$4:$J$2485,E$1)</f>
        <v>0</v>
      </c>
      <c r="F75" s="183">
        <f>SUMIFS('апрель 2025'!$G$4:$G$2485,'апрель 2025'!$D$4:$D$2485,$B75,'апрель 2025'!$J$4:$J$2485,F$1)</f>
        <v>0</v>
      </c>
      <c r="G75" s="183">
        <f>SUMIFS('апрель 2025'!$G$4:$G$2485,'апрель 2025'!$D$4:$D$2485,$B75,'апрель 2025'!$J$4:$J$2485,G$1)</f>
        <v>0</v>
      </c>
      <c r="H75" s="183">
        <f>SUMIFS('апрель 2025'!$G$4:$G$2485,'апрель 2025'!$D$4:$D$2485,$B75,'апрель 2025'!$J$4:$J$2485,H$1)</f>
        <v>0</v>
      </c>
      <c r="I75" s="183">
        <f>SUMIFS('апрель 2025'!$G$4:$G$2485,'апрель 2025'!$D$4:$D$2485,$B75,'апрель 2025'!$J$4:$J$2485,I$1)</f>
        <v>0</v>
      </c>
      <c r="J75" s="183">
        <f>SUMIFS('апрель 2025'!$G$4:$G$2485,'апрель 2025'!$D$4:$D$2485,$B75,'апрель 2025'!$J$4:$J$2485,J$1)</f>
        <v>0</v>
      </c>
      <c r="K75" s="183">
        <f>SUMIFS('апрель 2025'!$G$4:$G$2485,'апрель 2025'!$D$4:$D$2485,$B75,'апрель 2025'!$J$4:$J$2485,K$1)</f>
        <v>0</v>
      </c>
      <c r="L75" s="183">
        <f>SUMIFS('апрель 2025'!$G$4:$G$2485,'апрель 2025'!$D$4:$D$2485,$B75,'апрель 2025'!$J$4:$J$2485,L$1)</f>
        <v>0</v>
      </c>
      <c r="M75" s="183">
        <f>SUMIFS('апрель 2025'!$G$4:$G$2485,'апрель 2025'!$D$4:$D$2485,$B75,'апрель 2025'!$J$4:$J$2485,M$1)</f>
        <v>0</v>
      </c>
      <c r="N75" s="183">
        <f>SUMIFS('апрель 2025'!$G$4:$G$2485,'апрель 2025'!$D$4:$D$2485,$B75,'апрель 2025'!$J$4:$J$2485,N$1)</f>
        <v>0</v>
      </c>
      <c r="O75" s="183">
        <f>SUMIFS('апрель 2025'!$G$4:$G$2485,'апрель 2025'!$D$4:$D$2485,$B75,'апрель 2025'!$J$4:$J$2485,O$1)</f>
        <v>0</v>
      </c>
      <c r="P75" s="183">
        <f>SUMIFS('апрель 2025'!$G$4:$G$2485,'апрель 2025'!$D$4:$D$2485,$B75,'апрель 2025'!$J$4:$J$2485,P$1)</f>
        <v>0</v>
      </c>
      <c r="Q75" s="183">
        <f>SUMIFS('апрель 2025'!$G$4:$G$2485,'апрель 2025'!$D$4:$D$2485,$B75,'апрель 2025'!$J$4:$J$2485,Q$1)</f>
        <v>0</v>
      </c>
      <c r="R75" s="183">
        <f>SUMIFS('апрель 2025'!$G$4:$G$2485,'апрель 2025'!$D$4:$D$2485,$B75,'апрель 2025'!$J$4:$J$2485,R$1)</f>
        <v>0</v>
      </c>
      <c r="S75" s="183">
        <f>SUMIFS('апрель 2025'!$G$4:$G$2485,'апрель 2025'!$D$4:$D$2485,$B75,'апрель 2025'!$J$4:$J$2485,S$1)</f>
        <v>0</v>
      </c>
      <c r="T75" s="183">
        <f>SUMIFS('апрель 2025'!$G$4:$G$2485,'апрель 2025'!$D$4:$D$2485,$B75,'апрель 2025'!$J$4:$J$2485,T$1)</f>
        <v>0</v>
      </c>
      <c r="U75" s="183">
        <f>SUMIFS('апрель 2025'!$G$4:$G$2485,'апрель 2025'!$D$4:$D$2485,$B75,'апрель 2025'!$J$4:$J$2485,U$1)</f>
        <v>0</v>
      </c>
      <c r="V75" s="183">
        <f>SUMIFS('апрель 2025'!$G$4:$G$2485,'апрель 2025'!$D$4:$D$2485,$B75,'апрель 2025'!$J$4:$J$2485,V$1)</f>
        <v>0</v>
      </c>
      <c r="W75" s="183">
        <f>SUMIFS('апрель 2025'!$G$4:$G$2485,'апрель 2025'!$D$4:$D$2485,$B75,'апрель 2025'!$J$4:$J$2485,W$1)</f>
        <v>0</v>
      </c>
      <c r="X75" s="183">
        <f>SUMIFS('апрель 2025'!$G$4:$G$2485,'апрель 2025'!$D$4:$D$2485,$B75,'апрель 2025'!$J$4:$J$2485,X$1)</f>
        <v>0</v>
      </c>
      <c r="Y75" s="183">
        <f>SUMIFS('апрель 2025'!$G$4:$G$2485,'апрель 2025'!$D$4:$D$2485,$B75,'апрель 2025'!$J$4:$J$2485,Y$1)</f>
        <v>0</v>
      </c>
      <c r="Z75" s="183">
        <f>SUMIFS('апрель 2025'!$G$4:$G$2485,'апрель 2025'!$D$4:$D$2485,$B75,'апрель 2025'!$J$4:$J$2485,Z$1)</f>
        <v>0</v>
      </c>
      <c r="AA75" s="183">
        <f>SUMIFS('апрель 2025'!$G$4:$G$2485,'апрель 2025'!$D$4:$D$2485,$B75,'апрель 2025'!$J$4:$J$2485,AA$1)</f>
        <v>0</v>
      </c>
      <c r="AB75" s="183">
        <f>SUMIFS('апрель 2025'!$G$4:$G$2485,'апрель 2025'!$D$4:$D$2485,$B75,'апрель 2025'!$J$4:$J$2485,AB$1)</f>
        <v>0</v>
      </c>
      <c r="AC75" s="183">
        <f>SUMIFS('апрель 2025'!$G$4:$G$2485,'апрель 2025'!$D$4:$D$2485,$B75,'апрель 2025'!$J$4:$J$2485,AC$1)</f>
        <v>0</v>
      </c>
      <c r="AD75" s="183">
        <f>SUMIFS('апрель 2025'!$G$4:$G$2485,'апрель 2025'!$D$4:$D$2485,$B75,'апрель 2025'!$J$4:$J$2485,AD$1)</f>
        <v>0</v>
      </c>
      <c r="AE75" s="183">
        <f>SUMIFS('апрель 2025'!$G$4:$G$2485,'апрель 2025'!$D$4:$D$2485,$B75,'апрель 2025'!$J$4:$J$2485,AE$1)</f>
        <v>0</v>
      </c>
      <c r="AF75" s="183">
        <f>SUMIFS('апрель 2025'!$G$4:$G$2485,'апрель 2025'!$D$4:$D$2485,$B75,'апрель 2025'!$J$4:$J$2485,AF$1)</f>
        <v>0</v>
      </c>
      <c r="AG75" s="183">
        <f>SUMIFS('апрель 2025'!$G$4:$G$2485,'апрель 2025'!$D$4:$D$2485,$B75,'апрель 2025'!$J$4:$J$2485,AG$1)</f>
        <v>0</v>
      </c>
      <c r="AH75" s="183">
        <f>SUMIFS('апрель 2025'!$G$4:$G$2485,'апрель 2025'!$D$4:$D$2485,$B75,'апрель 2025'!$J$4:$J$2485,AH$1)</f>
        <v>0</v>
      </c>
      <c r="AI75" s="20">
        <f t="shared" si="1"/>
        <v>0</v>
      </c>
    </row>
    <row r="76" spans="2:35" ht="15" customHeight="1" x14ac:dyDescent="0.25">
      <c r="B76" s="88" t="s">
        <v>188</v>
      </c>
      <c r="C76" s="86">
        <v>200</v>
      </c>
      <c r="D76" s="183">
        <f>SUMIFS('апрель 2025'!$G$4:$G$2485,'апрель 2025'!$D$4:$D$2485,$B76,'апрель 2025'!$J$4:$J$2485,D$1)</f>
        <v>0</v>
      </c>
      <c r="E76" s="183">
        <f>SUMIFS('апрель 2025'!$G$4:$G$2485,'апрель 2025'!$D$4:$D$2485,$B76,'апрель 2025'!$J$4:$J$2485,E$1)</f>
        <v>0</v>
      </c>
      <c r="F76" s="183">
        <f>SUMIFS('апрель 2025'!$G$4:$G$2485,'апрель 2025'!$D$4:$D$2485,$B76,'апрель 2025'!$J$4:$J$2485,F$1)</f>
        <v>0</v>
      </c>
      <c r="G76" s="183">
        <f>SUMIFS('апрель 2025'!$G$4:$G$2485,'апрель 2025'!$D$4:$D$2485,$B76,'апрель 2025'!$J$4:$J$2485,G$1)</f>
        <v>0</v>
      </c>
      <c r="H76" s="183">
        <f>SUMIFS('апрель 2025'!$G$4:$G$2485,'апрель 2025'!$D$4:$D$2485,$B76,'апрель 2025'!$J$4:$J$2485,H$1)</f>
        <v>0</v>
      </c>
      <c r="I76" s="183">
        <f>SUMIFS('апрель 2025'!$G$4:$G$2485,'апрель 2025'!$D$4:$D$2485,$B76,'апрель 2025'!$J$4:$J$2485,I$1)</f>
        <v>0</v>
      </c>
      <c r="J76" s="183">
        <f>SUMIFS('апрель 2025'!$G$4:$G$2485,'апрель 2025'!$D$4:$D$2485,$B76,'апрель 2025'!$J$4:$J$2485,J$1)</f>
        <v>0</v>
      </c>
      <c r="K76" s="183">
        <f>SUMIFS('апрель 2025'!$G$4:$G$2485,'апрель 2025'!$D$4:$D$2485,$B76,'апрель 2025'!$J$4:$J$2485,K$1)</f>
        <v>0</v>
      </c>
      <c r="L76" s="183">
        <f>SUMIFS('апрель 2025'!$G$4:$G$2485,'апрель 2025'!$D$4:$D$2485,$B76,'апрель 2025'!$J$4:$J$2485,L$1)</f>
        <v>0</v>
      </c>
      <c r="M76" s="183">
        <f>SUMIFS('апрель 2025'!$G$4:$G$2485,'апрель 2025'!$D$4:$D$2485,$B76,'апрель 2025'!$J$4:$J$2485,M$1)</f>
        <v>0</v>
      </c>
      <c r="N76" s="183">
        <f>SUMIFS('апрель 2025'!$G$4:$G$2485,'апрель 2025'!$D$4:$D$2485,$B76,'апрель 2025'!$J$4:$J$2485,N$1)</f>
        <v>0</v>
      </c>
      <c r="O76" s="183">
        <f>SUMIFS('апрель 2025'!$G$4:$G$2485,'апрель 2025'!$D$4:$D$2485,$B76,'апрель 2025'!$J$4:$J$2485,O$1)</f>
        <v>0</v>
      </c>
      <c r="P76" s="183">
        <f>SUMIFS('апрель 2025'!$G$4:$G$2485,'апрель 2025'!$D$4:$D$2485,$B76,'апрель 2025'!$J$4:$J$2485,P$1)</f>
        <v>0</v>
      </c>
      <c r="Q76" s="183">
        <f>SUMIFS('апрель 2025'!$G$4:$G$2485,'апрель 2025'!$D$4:$D$2485,$B76,'апрель 2025'!$J$4:$J$2485,Q$1)</f>
        <v>0</v>
      </c>
      <c r="R76" s="183">
        <f>SUMIFS('апрель 2025'!$G$4:$G$2485,'апрель 2025'!$D$4:$D$2485,$B76,'апрель 2025'!$J$4:$J$2485,R$1)</f>
        <v>0</v>
      </c>
      <c r="S76" s="183">
        <f>SUMIFS('апрель 2025'!$G$4:$G$2485,'апрель 2025'!$D$4:$D$2485,$B76,'апрель 2025'!$J$4:$J$2485,S$1)</f>
        <v>0</v>
      </c>
      <c r="T76" s="183">
        <f>SUMIFS('апрель 2025'!$G$4:$G$2485,'апрель 2025'!$D$4:$D$2485,$B76,'апрель 2025'!$J$4:$J$2485,T$1)</f>
        <v>0</v>
      </c>
      <c r="U76" s="183">
        <f>SUMIFS('апрель 2025'!$G$4:$G$2485,'апрель 2025'!$D$4:$D$2485,$B76,'апрель 2025'!$J$4:$J$2485,U$1)</f>
        <v>0</v>
      </c>
      <c r="V76" s="183">
        <f>SUMIFS('апрель 2025'!$G$4:$G$2485,'апрель 2025'!$D$4:$D$2485,$B76,'апрель 2025'!$J$4:$J$2485,V$1)</f>
        <v>0</v>
      </c>
      <c r="W76" s="183">
        <f>SUMIFS('апрель 2025'!$G$4:$G$2485,'апрель 2025'!$D$4:$D$2485,$B76,'апрель 2025'!$J$4:$J$2485,W$1)</f>
        <v>0</v>
      </c>
      <c r="X76" s="183">
        <f>SUMIFS('апрель 2025'!$G$4:$G$2485,'апрель 2025'!$D$4:$D$2485,$B76,'апрель 2025'!$J$4:$J$2485,X$1)</f>
        <v>0</v>
      </c>
      <c r="Y76" s="183">
        <f>SUMIFS('апрель 2025'!$G$4:$G$2485,'апрель 2025'!$D$4:$D$2485,$B76,'апрель 2025'!$J$4:$J$2485,Y$1)</f>
        <v>0</v>
      </c>
      <c r="Z76" s="183">
        <f>SUMIFS('апрель 2025'!$G$4:$G$2485,'апрель 2025'!$D$4:$D$2485,$B76,'апрель 2025'!$J$4:$J$2485,Z$1)</f>
        <v>0</v>
      </c>
      <c r="AA76" s="183">
        <f>SUMIFS('апрель 2025'!$G$4:$G$2485,'апрель 2025'!$D$4:$D$2485,$B76,'апрель 2025'!$J$4:$J$2485,AA$1)</f>
        <v>0</v>
      </c>
      <c r="AB76" s="183">
        <f>SUMIFS('апрель 2025'!$G$4:$G$2485,'апрель 2025'!$D$4:$D$2485,$B76,'апрель 2025'!$J$4:$J$2485,AB$1)</f>
        <v>0</v>
      </c>
      <c r="AC76" s="183">
        <f>SUMIFS('апрель 2025'!$G$4:$G$2485,'апрель 2025'!$D$4:$D$2485,$B76,'апрель 2025'!$J$4:$J$2485,AC$1)</f>
        <v>0</v>
      </c>
      <c r="AD76" s="183">
        <f>SUMIFS('апрель 2025'!$G$4:$G$2485,'апрель 2025'!$D$4:$D$2485,$B76,'апрель 2025'!$J$4:$J$2485,AD$1)</f>
        <v>0</v>
      </c>
      <c r="AE76" s="183">
        <f>SUMIFS('апрель 2025'!$G$4:$G$2485,'апрель 2025'!$D$4:$D$2485,$B76,'апрель 2025'!$J$4:$J$2485,AE$1)</f>
        <v>0</v>
      </c>
      <c r="AF76" s="183">
        <f>SUMIFS('апрель 2025'!$G$4:$G$2485,'апрель 2025'!$D$4:$D$2485,$B76,'апрель 2025'!$J$4:$J$2485,AF$1)</f>
        <v>0</v>
      </c>
      <c r="AG76" s="183">
        <f>SUMIFS('апрель 2025'!$G$4:$G$2485,'апрель 2025'!$D$4:$D$2485,$B76,'апрель 2025'!$J$4:$J$2485,AG$1)</f>
        <v>0</v>
      </c>
      <c r="AH76" s="183">
        <f>SUMIFS('апрель 2025'!$G$4:$G$2485,'апрель 2025'!$D$4:$D$2485,$B76,'апрель 2025'!$J$4:$J$2485,AH$1)</f>
        <v>0</v>
      </c>
      <c r="AI76" s="20">
        <f t="shared" si="1"/>
        <v>0</v>
      </c>
    </row>
    <row r="77" spans="2:35" ht="15" customHeight="1" x14ac:dyDescent="0.25">
      <c r="B77" s="88" t="s">
        <v>256</v>
      </c>
      <c r="C77" s="86">
        <v>190</v>
      </c>
      <c r="D77" s="183">
        <f>SUMIFS('апрель 2025'!$G$4:$G$2485,'апрель 2025'!$D$4:$D$2485,$B77,'апрель 2025'!$J$4:$J$2485,D$1)</f>
        <v>0</v>
      </c>
      <c r="E77" s="183">
        <f>SUMIFS('апрель 2025'!$G$4:$G$2485,'апрель 2025'!$D$4:$D$2485,$B77,'апрель 2025'!$J$4:$J$2485,E$1)</f>
        <v>0</v>
      </c>
      <c r="F77" s="183">
        <f>SUMIFS('апрель 2025'!$G$4:$G$2485,'апрель 2025'!$D$4:$D$2485,$B77,'апрель 2025'!$J$4:$J$2485,F$1)</f>
        <v>0</v>
      </c>
      <c r="G77" s="183">
        <f>SUMIFS('апрель 2025'!$G$4:$G$2485,'апрель 2025'!$D$4:$D$2485,$B77,'апрель 2025'!$J$4:$J$2485,G$1)</f>
        <v>0</v>
      </c>
      <c r="H77" s="183">
        <f>SUMIFS('апрель 2025'!$G$4:$G$2485,'апрель 2025'!$D$4:$D$2485,$B77,'апрель 2025'!$J$4:$J$2485,H$1)</f>
        <v>0</v>
      </c>
      <c r="I77" s="183">
        <f>SUMIFS('апрель 2025'!$G$4:$G$2485,'апрель 2025'!$D$4:$D$2485,$B77,'апрель 2025'!$J$4:$J$2485,I$1)</f>
        <v>0</v>
      </c>
      <c r="J77" s="183">
        <f>SUMIFS('апрель 2025'!$G$4:$G$2485,'апрель 2025'!$D$4:$D$2485,$B77,'апрель 2025'!$J$4:$J$2485,J$1)</f>
        <v>0</v>
      </c>
      <c r="K77" s="183">
        <f>SUMIFS('апрель 2025'!$G$4:$G$2485,'апрель 2025'!$D$4:$D$2485,$B77,'апрель 2025'!$J$4:$J$2485,K$1)</f>
        <v>0</v>
      </c>
      <c r="L77" s="183">
        <f>SUMIFS('апрель 2025'!$G$4:$G$2485,'апрель 2025'!$D$4:$D$2485,$B77,'апрель 2025'!$J$4:$J$2485,L$1)</f>
        <v>0</v>
      </c>
      <c r="M77" s="183">
        <f>SUMIFS('апрель 2025'!$G$4:$G$2485,'апрель 2025'!$D$4:$D$2485,$B77,'апрель 2025'!$J$4:$J$2485,M$1)</f>
        <v>0</v>
      </c>
      <c r="N77" s="183">
        <f>SUMIFS('апрель 2025'!$G$4:$G$2485,'апрель 2025'!$D$4:$D$2485,$B77,'апрель 2025'!$J$4:$J$2485,N$1)</f>
        <v>0</v>
      </c>
      <c r="O77" s="183">
        <f>SUMIFS('апрель 2025'!$G$4:$G$2485,'апрель 2025'!$D$4:$D$2485,$B77,'апрель 2025'!$J$4:$J$2485,O$1)</f>
        <v>0</v>
      </c>
      <c r="P77" s="183">
        <f>SUMIFS('апрель 2025'!$G$4:$G$2485,'апрель 2025'!$D$4:$D$2485,$B77,'апрель 2025'!$J$4:$J$2485,P$1)</f>
        <v>0</v>
      </c>
      <c r="Q77" s="183">
        <f>SUMIFS('апрель 2025'!$G$4:$G$2485,'апрель 2025'!$D$4:$D$2485,$B77,'апрель 2025'!$J$4:$J$2485,Q$1)</f>
        <v>0</v>
      </c>
      <c r="R77" s="183">
        <f>SUMIFS('апрель 2025'!$G$4:$G$2485,'апрель 2025'!$D$4:$D$2485,$B77,'апрель 2025'!$J$4:$J$2485,R$1)</f>
        <v>0</v>
      </c>
      <c r="S77" s="183">
        <f>SUMIFS('апрель 2025'!$G$4:$G$2485,'апрель 2025'!$D$4:$D$2485,$B77,'апрель 2025'!$J$4:$J$2485,S$1)</f>
        <v>0</v>
      </c>
      <c r="T77" s="183">
        <f>SUMIFS('апрель 2025'!$G$4:$G$2485,'апрель 2025'!$D$4:$D$2485,$B77,'апрель 2025'!$J$4:$J$2485,T$1)</f>
        <v>0</v>
      </c>
      <c r="U77" s="183">
        <f>SUMIFS('апрель 2025'!$G$4:$G$2485,'апрель 2025'!$D$4:$D$2485,$B77,'апрель 2025'!$J$4:$J$2485,U$1)</f>
        <v>0</v>
      </c>
      <c r="V77" s="183">
        <f>SUMIFS('апрель 2025'!$G$4:$G$2485,'апрель 2025'!$D$4:$D$2485,$B77,'апрель 2025'!$J$4:$J$2485,V$1)</f>
        <v>0</v>
      </c>
      <c r="W77" s="183">
        <f>SUMIFS('апрель 2025'!$G$4:$G$2485,'апрель 2025'!$D$4:$D$2485,$B77,'апрель 2025'!$J$4:$J$2485,W$1)</f>
        <v>0</v>
      </c>
      <c r="X77" s="183">
        <f>SUMIFS('апрель 2025'!$G$4:$G$2485,'апрель 2025'!$D$4:$D$2485,$B77,'апрель 2025'!$J$4:$J$2485,X$1)</f>
        <v>0</v>
      </c>
      <c r="Y77" s="183">
        <f>SUMIFS('апрель 2025'!$G$4:$G$2485,'апрель 2025'!$D$4:$D$2485,$B77,'апрель 2025'!$J$4:$J$2485,Y$1)</f>
        <v>0</v>
      </c>
      <c r="Z77" s="183">
        <f>SUMIFS('апрель 2025'!$G$4:$G$2485,'апрель 2025'!$D$4:$D$2485,$B77,'апрель 2025'!$J$4:$J$2485,Z$1)</f>
        <v>0</v>
      </c>
      <c r="AA77" s="183">
        <f>SUMIFS('апрель 2025'!$G$4:$G$2485,'апрель 2025'!$D$4:$D$2485,$B77,'апрель 2025'!$J$4:$J$2485,AA$1)</f>
        <v>0</v>
      </c>
      <c r="AB77" s="183">
        <f>SUMIFS('апрель 2025'!$G$4:$G$2485,'апрель 2025'!$D$4:$D$2485,$B77,'апрель 2025'!$J$4:$J$2485,AB$1)</f>
        <v>0</v>
      </c>
      <c r="AC77" s="183">
        <f>SUMIFS('апрель 2025'!$G$4:$G$2485,'апрель 2025'!$D$4:$D$2485,$B77,'апрель 2025'!$J$4:$J$2485,AC$1)</f>
        <v>0</v>
      </c>
      <c r="AD77" s="183">
        <f>SUMIFS('апрель 2025'!$G$4:$G$2485,'апрель 2025'!$D$4:$D$2485,$B77,'апрель 2025'!$J$4:$J$2485,AD$1)</f>
        <v>0</v>
      </c>
      <c r="AE77" s="183">
        <f>SUMIFS('апрель 2025'!$G$4:$G$2485,'апрель 2025'!$D$4:$D$2485,$B77,'апрель 2025'!$J$4:$J$2485,AE$1)</f>
        <v>0</v>
      </c>
      <c r="AF77" s="183">
        <f>SUMIFS('апрель 2025'!$G$4:$G$2485,'апрель 2025'!$D$4:$D$2485,$B77,'апрель 2025'!$J$4:$J$2485,AF$1)</f>
        <v>0</v>
      </c>
      <c r="AG77" s="183">
        <f>SUMIFS('апрель 2025'!$G$4:$G$2485,'апрель 2025'!$D$4:$D$2485,$B77,'апрель 2025'!$J$4:$J$2485,AG$1)</f>
        <v>0</v>
      </c>
      <c r="AH77" s="183">
        <f>SUMIFS('апрель 2025'!$G$4:$G$2485,'апрель 2025'!$D$4:$D$2485,$B77,'апрель 2025'!$J$4:$J$2485,AH$1)</f>
        <v>0</v>
      </c>
      <c r="AI77" s="20">
        <f t="shared" si="1"/>
        <v>0</v>
      </c>
    </row>
    <row r="78" spans="2:35" ht="15" customHeight="1" x14ac:dyDescent="0.25">
      <c r="B78" s="88" t="s">
        <v>199</v>
      </c>
      <c r="C78" s="86">
        <v>200</v>
      </c>
      <c r="D78" s="183">
        <f>SUMIFS('апрель 2025'!$G$4:$G$2485,'апрель 2025'!$D$4:$D$2485,$B78,'апрель 2025'!$J$4:$J$2485,D$1)</f>
        <v>0</v>
      </c>
      <c r="E78" s="183">
        <f>SUMIFS('апрель 2025'!$G$4:$G$2485,'апрель 2025'!$D$4:$D$2485,$B78,'апрель 2025'!$J$4:$J$2485,E$1)</f>
        <v>0</v>
      </c>
      <c r="F78" s="183">
        <f>SUMIFS('апрель 2025'!$G$4:$G$2485,'апрель 2025'!$D$4:$D$2485,$B78,'апрель 2025'!$J$4:$J$2485,F$1)</f>
        <v>0</v>
      </c>
      <c r="G78" s="183">
        <f>SUMIFS('апрель 2025'!$G$4:$G$2485,'апрель 2025'!$D$4:$D$2485,$B78,'апрель 2025'!$J$4:$J$2485,G$1)</f>
        <v>0</v>
      </c>
      <c r="H78" s="183">
        <f>SUMIFS('апрель 2025'!$G$4:$G$2485,'апрель 2025'!$D$4:$D$2485,$B78,'апрель 2025'!$J$4:$J$2485,H$1)</f>
        <v>0</v>
      </c>
      <c r="I78" s="183">
        <f>SUMIFS('апрель 2025'!$G$4:$G$2485,'апрель 2025'!$D$4:$D$2485,$B78,'апрель 2025'!$J$4:$J$2485,I$1)</f>
        <v>0</v>
      </c>
      <c r="J78" s="183">
        <f>SUMIFS('апрель 2025'!$G$4:$G$2485,'апрель 2025'!$D$4:$D$2485,$B78,'апрель 2025'!$J$4:$J$2485,J$1)</f>
        <v>0</v>
      </c>
      <c r="K78" s="183">
        <f>SUMIFS('апрель 2025'!$G$4:$G$2485,'апрель 2025'!$D$4:$D$2485,$B78,'апрель 2025'!$J$4:$J$2485,K$1)</f>
        <v>0</v>
      </c>
      <c r="L78" s="183">
        <f>SUMIFS('апрель 2025'!$G$4:$G$2485,'апрель 2025'!$D$4:$D$2485,$B78,'апрель 2025'!$J$4:$J$2485,L$1)</f>
        <v>0</v>
      </c>
      <c r="M78" s="183">
        <f>SUMIFS('апрель 2025'!$G$4:$G$2485,'апрель 2025'!$D$4:$D$2485,$B78,'апрель 2025'!$J$4:$J$2485,M$1)</f>
        <v>0</v>
      </c>
      <c r="N78" s="183">
        <f>SUMIFS('апрель 2025'!$G$4:$G$2485,'апрель 2025'!$D$4:$D$2485,$B78,'апрель 2025'!$J$4:$J$2485,N$1)</f>
        <v>0</v>
      </c>
      <c r="O78" s="183">
        <f>SUMIFS('апрель 2025'!$G$4:$G$2485,'апрель 2025'!$D$4:$D$2485,$B78,'апрель 2025'!$J$4:$J$2485,O$1)</f>
        <v>0</v>
      </c>
      <c r="P78" s="183">
        <f>SUMIFS('апрель 2025'!$G$4:$G$2485,'апрель 2025'!$D$4:$D$2485,$B78,'апрель 2025'!$J$4:$J$2485,P$1)</f>
        <v>0</v>
      </c>
      <c r="Q78" s="183">
        <f>SUMIFS('апрель 2025'!$G$4:$G$2485,'апрель 2025'!$D$4:$D$2485,$B78,'апрель 2025'!$J$4:$J$2485,Q$1)</f>
        <v>0</v>
      </c>
      <c r="R78" s="183">
        <f>SUMIFS('апрель 2025'!$G$4:$G$2485,'апрель 2025'!$D$4:$D$2485,$B78,'апрель 2025'!$J$4:$J$2485,R$1)</f>
        <v>0</v>
      </c>
      <c r="S78" s="183">
        <f>SUMIFS('апрель 2025'!$G$4:$G$2485,'апрель 2025'!$D$4:$D$2485,$B78,'апрель 2025'!$J$4:$J$2485,S$1)</f>
        <v>0</v>
      </c>
      <c r="T78" s="183">
        <f>SUMIFS('апрель 2025'!$G$4:$G$2485,'апрель 2025'!$D$4:$D$2485,$B78,'апрель 2025'!$J$4:$J$2485,T$1)</f>
        <v>0</v>
      </c>
      <c r="U78" s="183">
        <f>SUMIFS('апрель 2025'!$G$4:$G$2485,'апрель 2025'!$D$4:$D$2485,$B78,'апрель 2025'!$J$4:$J$2485,U$1)</f>
        <v>0</v>
      </c>
      <c r="V78" s="183">
        <f>SUMIFS('апрель 2025'!$G$4:$G$2485,'апрель 2025'!$D$4:$D$2485,$B78,'апрель 2025'!$J$4:$J$2485,V$1)</f>
        <v>0</v>
      </c>
      <c r="W78" s="183">
        <f>SUMIFS('апрель 2025'!$G$4:$G$2485,'апрель 2025'!$D$4:$D$2485,$B78,'апрель 2025'!$J$4:$J$2485,W$1)</f>
        <v>0</v>
      </c>
      <c r="X78" s="183">
        <f>SUMIFS('апрель 2025'!$G$4:$G$2485,'апрель 2025'!$D$4:$D$2485,$B78,'апрель 2025'!$J$4:$J$2485,X$1)</f>
        <v>0</v>
      </c>
      <c r="Y78" s="183">
        <f>SUMIFS('апрель 2025'!$G$4:$G$2485,'апрель 2025'!$D$4:$D$2485,$B78,'апрель 2025'!$J$4:$J$2485,Y$1)</f>
        <v>0</v>
      </c>
      <c r="Z78" s="183">
        <f>SUMIFS('апрель 2025'!$G$4:$G$2485,'апрель 2025'!$D$4:$D$2485,$B78,'апрель 2025'!$J$4:$J$2485,Z$1)</f>
        <v>0</v>
      </c>
      <c r="AA78" s="183">
        <f>SUMIFS('апрель 2025'!$G$4:$G$2485,'апрель 2025'!$D$4:$D$2485,$B78,'апрель 2025'!$J$4:$J$2485,AA$1)</f>
        <v>0</v>
      </c>
      <c r="AB78" s="183">
        <f>SUMIFS('апрель 2025'!$G$4:$G$2485,'апрель 2025'!$D$4:$D$2485,$B78,'апрель 2025'!$J$4:$J$2485,AB$1)</f>
        <v>0</v>
      </c>
      <c r="AC78" s="183">
        <f>SUMIFS('апрель 2025'!$G$4:$G$2485,'апрель 2025'!$D$4:$D$2485,$B78,'апрель 2025'!$J$4:$J$2485,AC$1)</f>
        <v>0</v>
      </c>
      <c r="AD78" s="183">
        <f>SUMIFS('апрель 2025'!$G$4:$G$2485,'апрель 2025'!$D$4:$D$2485,$B78,'апрель 2025'!$J$4:$J$2485,AD$1)</f>
        <v>0</v>
      </c>
      <c r="AE78" s="183">
        <f>SUMIFS('апрель 2025'!$G$4:$G$2485,'апрель 2025'!$D$4:$D$2485,$B78,'апрель 2025'!$J$4:$J$2485,AE$1)</f>
        <v>0</v>
      </c>
      <c r="AF78" s="183">
        <f>SUMIFS('апрель 2025'!$G$4:$G$2485,'апрель 2025'!$D$4:$D$2485,$B78,'апрель 2025'!$J$4:$J$2485,AF$1)</f>
        <v>0</v>
      </c>
      <c r="AG78" s="183">
        <f>SUMIFS('апрель 2025'!$G$4:$G$2485,'апрель 2025'!$D$4:$D$2485,$B78,'апрель 2025'!$J$4:$J$2485,AG$1)</f>
        <v>0</v>
      </c>
      <c r="AH78" s="183">
        <f>SUMIFS('апрель 2025'!$G$4:$G$2485,'апрель 2025'!$D$4:$D$2485,$B78,'апрель 2025'!$J$4:$J$2485,AH$1)</f>
        <v>0</v>
      </c>
      <c r="AI78" s="20">
        <f t="shared" si="1"/>
        <v>0</v>
      </c>
    </row>
    <row r="79" spans="2:35" ht="15" customHeight="1" x14ac:dyDescent="0.25">
      <c r="B79" s="88" t="s">
        <v>206</v>
      </c>
      <c r="C79" s="86">
        <v>25</v>
      </c>
      <c r="D79" s="183">
        <f>SUMIFS('апрель 2025'!$G$4:$G$2485,'апрель 2025'!$D$4:$D$2485,$B79,'апрель 2025'!$J$4:$J$2485,D$1)</f>
        <v>0</v>
      </c>
      <c r="E79" s="183">
        <f>SUMIFS('апрель 2025'!$G$4:$G$2485,'апрель 2025'!$D$4:$D$2485,$B79,'апрель 2025'!$J$4:$J$2485,E$1)</f>
        <v>0</v>
      </c>
      <c r="F79" s="183">
        <f>SUMIFS('апрель 2025'!$G$4:$G$2485,'апрель 2025'!$D$4:$D$2485,$B79,'апрель 2025'!$J$4:$J$2485,F$1)</f>
        <v>0</v>
      </c>
      <c r="G79" s="183">
        <f>SUMIFS('апрель 2025'!$G$4:$G$2485,'апрель 2025'!$D$4:$D$2485,$B79,'апрель 2025'!$J$4:$J$2485,G$1)</f>
        <v>0</v>
      </c>
      <c r="H79" s="183">
        <f>SUMIFS('апрель 2025'!$G$4:$G$2485,'апрель 2025'!$D$4:$D$2485,$B79,'апрель 2025'!$J$4:$J$2485,H$1)</f>
        <v>0</v>
      </c>
      <c r="I79" s="183">
        <f>SUMIFS('апрель 2025'!$G$4:$G$2485,'апрель 2025'!$D$4:$D$2485,$B79,'апрель 2025'!$J$4:$J$2485,I$1)</f>
        <v>0</v>
      </c>
      <c r="J79" s="183">
        <f>SUMIFS('апрель 2025'!$G$4:$G$2485,'апрель 2025'!$D$4:$D$2485,$B79,'апрель 2025'!$J$4:$J$2485,J$1)</f>
        <v>0</v>
      </c>
      <c r="K79" s="183">
        <f>SUMIFS('апрель 2025'!$G$4:$G$2485,'апрель 2025'!$D$4:$D$2485,$B79,'апрель 2025'!$J$4:$J$2485,K$1)</f>
        <v>0</v>
      </c>
      <c r="L79" s="183">
        <f>SUMIFS('апрель 2025'!$G$4:$G$2485,'апрель 2025'!$D$4:$D$2485,$B79,'апрель 2025'!$J$4:$J$2485,L$1)</f>
        <v>0</v>
      </c>
      <c r="M79" s="183">
        <f>SUMIFS('апрель 2025'!$G$4:$G$2485,'апрель 2025'!$D$4:$D$2485,$B79,'апрель 2025'!$J$4:$J$2485,M$1)</f>
        <v>0</v>
      </c>
      <c r="N79" s="183">
        <f>SUMIFS('апрель 2025'!$G$4:$G$2485,'апрель 2025'!$D$4:$D$2485,$B79,'апрель 2025'!$J$4:$J$2485,N$1)</f>
        <v>0</v>
      </c>
      <c r="O79" s="183">
        <f>SUMIFS('апрель 2025'!$G$4:$G$2485,'апрель 2025'!$D$4:$D$2485,$B79,'апрель 2025'!$J$4:$J$2485,O$1)</f>
        <v>0</v>
      </c>
      <c r="P79" s="183">
        <f>SUMIFS('апрель 2025'!$G$4:$G$2485,'апрель 2025'!$D$4:$D$2485,$B79,'апрель 2025'!$J$4:$J$2485,P$1)</f>
        <v>0</v>
      </c>
      <c r="Q79" s="183">
        <f>SUMIFS('апрель 2025'!$G$4:$G$2485,'апрель 2025'!$D$4:$D$2485,$B79,'апрель 2025'!$J$4:$J$2485,Q$1)</f>
        <v>0</v>
      </c>
      <c r="R79" s="183">
        <f>SUMIFS('апрель 2025'!$G$4:$G$2485,'апрель 2025'!$D$4:$D$2485,$B79,'апрель 2025'!$J$4:$J$2485,R$1)</f>
        <v>0</v>
      </c>
      <c r="S79" s="183">
        <f>SUMIFS('апрель 2025'!$G$4:$G$2485,'апрель 2025'!$D$4:$D$2485,$B79,'апрель 2025'!$J$4:$J$2485,S$1)</f>
        <v>0</v>
      </c>
      <c r="T79" s="183">
        <f>SUMIFS('апрель 2025'!$G$4:$G$2485,'апрель 2025'!$D$4:$D$2485,$B79,'апрель 2025'!$J$4:$J$2485,T$1)</f>
        <v>0</v>
      </c>
      <c r="U79" s="183">
        <f>SUMIFS('апрель 2025'!$G$4:$G$2485,'апрель 2025'!$D$4:$D$2485,$B79,'апрель 2025'!$J$4:$J$2485,U$1)</f>
        <v>0</v>
      </c>
      <c r="V79" s="183">
        <f>SUMIFS('апрель 2025'!$G$4:$G$2485,'апрель 2025'!$D$4:$D$2485,$B79,'апрель 2025'!$J$4:$J$2485,V$1)</f>
        <v>0</v>
      </c>
      <c r="W79" s="183">
        <f>SUMIFS('апрель 2025'!$G$4:$G$2485,'апрель 2025'!$D$4:$D$2485,$B79,'апрель 2025'!$J$4:$J$2485,W$1)</f>
        <v>0</v>
      </c>
      <c r="X79" s="183">
        <f>SUMIFS('апрель 2025'!$G$4:$G$2485,'апрель 2025'!$D$4:$D$2485,$B79,'апрель 2025'!$J$4:$J$2485,X$1)</f>
        <v>0</v>
      </c>
      <c r="Y79" s="183">
        <f>SUMIFS('апрель 2025'!$G$4:$G$2485,'апрель 2025'!$D$4:$D$2485,$B79,'апрель 2025'!$J$4:$J$2485,Y$1)</f>
        <v>0</v>
      </c>
      <c r="Z79" s="183">
        <f>SUMIFS('апрель 2025'!$G$4:$G$2485,'апрель 2025'!$D$4:$D$2485,$B79,'апрель 2025'!$J$4:$J$2485,Z$1)</f>
        <v>0</v>
      </c>
      <c r="AA79" s="183">
        <f>SUMIFS('апрель 2025'!$G$4:$G$2485,'апрель 2025'!$D$4:$D$2485,$B79,'апрель 2025'!$J$4:$J$2485,AA$1)</f>
        <v>0</v>
      </c>
      <c r="AB79" s="183">
        <f>SUMIFS('апрель 2025'!$G$4:$G$2485,'апрель 2025'!$D$4:$D$2485,$B79,'апрель 2025'!$J$4:$J$2485,AB$1)</f>
        <v>0</v>
      </c>
      <c r="AC79" s="183">
        <f>SUMIFS('апрель 2025'!$G$4:$G$2485,'апрель 2025'!$D$4:$D$2485,$B79,'апрель 2025'!$J$4:$J$2485,AC$1)</f>
        <v>0</v>
      </c>
      <c r="AD79" s="183">
        <f>SUMIFS('апрель 2025'!$G$4:$G$2485,'апрель 2025'!$D$4:$D$2485,$B79,'апрель 2025'!$J$4:$J$2485,AD$1)</f>
        <v>0</v>
      </c>
      <c r="AE79" s="183">
        <f>SUMIFS('апрель 2025'!$G$4:$G$2485,'апрель 2025'!$D$4:$D$2485,$B79,'апрель 2025'!$J$4:$J$2485,AE$1)</f>
        <v>0</v>
      </c>
      <c r="AF79" s="183">
        <f>SUMIFS('апрель 2025'!$G$4:$G$2485,'апрель 2025'!$D$4:$D$2485,$B79,'апрель 2025'!$J$4:$J$2485,AF$1)</f>
        <v>0</v>
      </c>
      <c r="AG79" s="183">
        <f>SUMIFS('апрель 2025'!$G$4:$G$2485,'апрель 2025'!$D$4:$D$2485,$B79,'апрель 2025'!$J$4:$J$2485,AG$1)</f>
        <v>0</v>
      </c>
      <c r="AH79" s="183">
        <f>SUMIFS('апрель 2025'!$G$4:$G$2485,'апрель 2025'!$D$4:$D$2485,$B79,'апрель 2025'!$J$4:$J$2485,AH$1)</f>
        <v>0</v>
      </c>
      <c r="AI79" s="20">
        <f t="shared" si="1"/>
        <v>0</v>
      </c>
    </row>
    <row r="80" spans="2:35" ht="15" customHeight="1" x14ac:dyDescent="0.25">
      <c r="B80" s="88" t="s">
        <v>178</v>
      </c>
      <c r="C80" s="86">
        <v>50</v>
      </c>
      <c r="D80" s="183">
        <f>SUMIFS('апрель 2025'!$G$4:$G$2485,'апрель 2025'!$D$4:$D$2485,$B80,'апрель 2025'!$J$4:$J$2485,D$1)</f>
        <v>0</v>
      </c>
      <c r="E80" s="183">
        <f>SUMIFS('апрель 2025'!$G$4:$G$2485,'апрель 2025'!$D$4:$D$2485,$B80,'апрель 2025'!$J$4:$J$2485,E$1)</f>
        <v>0</v>
      </c>
      <c r="F80" s="183">
        <f>SUMIFS('апрель 2025'!$G$4:$G$2485,'апрель 2025'!$D$4:$D$2485,$B80,'апрель 2025'!$J$4:$J$2485,F$1)</f>
        <v>0</v>
      </c>
      <c r="G80" s="183">
        <f>SUMIFS('апрель 2025'!$G$4:$G$2485,'апрель 2025'!$D$4:$D$2485,$B80,'апрель 2025'!$J$4:$J$2485,G$1)</f>
        <v>0</v>
      </c>
      <c r="H80" s="183">
        <f>SUMIFS('апрель 2025'!$G$4:$G$2485,'апрель 2025'!$D$4:$D$2485,$B80,'апрель 2025'!$J$4:$J$2485,H$1)</f>
        <v>0</v>
      </c>
      <c r="I80" s="183">
        <f>SUMIFS('апрель 2025'!$G$4:$G$2485,'апрель 2025'!$D$4:$D$2485,$B80,'апрель 2025'!$J$4:$J$2485,I$1)</f>
        <v>0</v>
      </c>
      <c r="J80" s="183">
        <f>SUMIFS('апрель 2025'!$G$4:$G$2485,'апрель 2025'!$D$4:$D$2485,$B80,'апрель 2025'!$J$4:$J$2485,J$1)</f>
        <v>0</v>
      </c>
      <c r="K80" s="183">
        <f>SUMIFS('апрель 2025'!$G$4:$G$2485,'апрель 2025'!$D$4:$D$2485,$B80,'апрель 2025'!$J$4:$J$2485,K$1)</f>
        <v>0</v>
      </c>
      <c r="L80" s="183">
        <f>SUMIFS('апрель 2025'!$G$4:$G$2485,'апрель 2025'!$D$4:$D$2485,$B80,'апрель 2025'!$J$4:$J$2485,L$1)</f>
        <v>0</v>
      </c>
      <c r="M80" s="183">
        <f>SUMIFS('апрель 2025'!$G$4:$G$2485,'апрель 2025'!$D$4:$D$2485,$B80,'апрель 2025'!$J$4:$J$2485,M$1)</f>
        <v>0</v>
      </c>
      <c r="N80" s="183">
        <f>SUMIFS('апрель 2025'!$G$4:$G$2485,'апрель 2025'!$D$4:$D$2485,$B80,'апрель 2025'!$J$4:$J$2485,N$1)</f>
        <v>0</v>
      </c>
      <c r="O80" s="183">
        <f>SUMIFS('апрель 2025'!$G$4:$G$2485,'апрель 2025'!$D$4:$D$2485,$B80,'апрель 2025'!$J$4:$J$2485,O$1)</f>
        <v>0</v>
      </c>
      <c r="P80" s="183">
        <f>SUMIFS('апрель 2025'!$G$4:$G$2485,'апрель 2025'!$D$4:$D$2485,$B80,'апрель 2025'!$J$4:$J$2485,P$1)</f>
        <v>0</v>
      </c>
      <c r="Q80" s="183">
        <f>SUMIFS('апрель 2025'!$G$4:$G$2485,'апрель 2025'!$D$4:$D$2485,$B80,'апрель 2025'!$J$4:$J$2485,Q$1)</f>
        <v>0</v>
      </c>
      <c r="R80" s="183">
        <f>SUMIFS('апрель 2025'!$G$4:$G$2485,'апрель 2025'!$D$4:$D$2485,$B80,'апрель 2025'!$J$4:$J$2485,R$1)</f>
        <v>0</v>
      </c>
      <c r="S80" s="183">
        <f>SUMIFS('апрель 2025'!$G$4:$G$2485,'апрель 2025'!$D$4:$D$2485,$B80,'апрель 2025'!$J$4:$J$2485,S$1)</f>
        <v>0</v>
      </c>
      <c r="T80" s="183">
        <f>SUMIFS('апрель 2025'!$G$4:$G$2485,'апрель 2025'!$D$4:$D$2485,$B80,'апрель 2025'!$J$4:$J$2485,T$1)</f>
        <v>0</v>
      </c>
      <c r="U80" s="183">
        <f>SUMIFS('апрель 2025'!$G$4:$G$2485,'апрель 2025'!$D$4:$D$2485,$B80,'апрель 2025'!$J$4:$J$2485,U$1)</f>
        <v>0</v>
      </c>
      <c r="V80" s="183">
        <f>SUMIFS('апрель 2025'!$G$4:$G$2485,'апрель 2025'!$D$4:$D$2485,$B80,'апрель 2025'!$J$4:$J$2485,V$1)</f>
        <v>0</v>
      </c>
      <c r="W80" s="183">
        <f>SUMIFS('апрель 2025'!$G$4:$G$2485,'апрель 2025'!$D$4:$D$2485,$B80,'апрель 2025'!$J$4:$J$2485,W$1)</f>
        <v>0</v>
      </c>
      <c r="X80" s="183">
        <f>SUMIFS('апрель 2025'!$G$4:$G$2485,'апрель 2025'!$D$4:$D$2485,$B80,'апрель 2025'!$J$4:$J$2485,X$1)</f>
        <v>0</v>
      </c>
      <c r="Y80" s="183">
        <f>SUMIFS('апрель 2025'!$G$4:$G$2485,'апрель 2025'!$D$4:$D$2485,$B80,'апрель 2025'!$J$4:$J$2485,Y$1)</f>
        <v>0</v>
      </c>
      <c r="Z80" s="183">
        <f>SUMIFS('апрель 2025'!$G$4:$G$2485,'апрель 2025'!$D$4:$D$2485,$B80,'апрель 2025'!$J$4:$J$2485,Z$1)</f>
        <v>0</v>
      </c>
      <c r="AA80" s="183">
        <f>SUMIFS('апрель 2025'!$G$4:$G$2485,'апрель 2025'!$D$4:$D$2485,$B80,'апрель 2025'!$J$4:$J$2485,AA$1)</f>
        <v>0</v>
      </c>
      <c r="AB80" s="183">
        <f>SUMIFS('апрель 2025'!$G$4:$G$2485,'апрель 2025'!$D$4:$D$2485,$B80,'апрель 2025'!$J$4:$J$2485,AB$1)</f>
        <v>0</v>
      </c>
      <c r="AC80" s="183">
        <f>SUMIFS('апрель 2025'!$G$4:$G$2485,'апрель 2025'!$D$4:$D$2485,$B80,'апрель 2025'!$J$4:$J$2485,AC$1)</f>
        <v>0</v>
      </c>
      <c r="AD80" s="183">
        <f>SUMIFS('апрель 2025'!$G$4:$G$2485,'апрель 2025'!$D$4:$D$2485,$B80,'апрель 2025'!$J$4:$J$2485,AD$1)</f>
        <v>0</v>
      </c>
      <c r="AE80" s="183">
        <f>SUMIFS('апрель 2025'!$G$4:$G$2485,'апрель 2025'!$D$4:$D$2485,$B80,'апрель 2025'!$J$4:$J$2485,AE$1)</f>
        <v>0</v>
      </c>
      <c r="AF80" s="183">
        <f>SUMIFS('апрель 2025'!$G$4:$G$2485,'апрель 2025'!$D$4:$D$2485,$B80,'апрель 2025'!$J$4:$J$2485,AF$1)</f>
        <v>0</v>
      </c>
      <c r="AG80" s="183">
        <f>SUMIFS('апрель 2025'!$G$4:$G$2485,'апрель 2025'!$D$4:$D$2485,$B80,'апрель 2025'!$J$4:$J$2485,AG$1)</f>
        <v>0</v>
      </c>
      <c r="AH80" s="183">
        <f>SUMIFS('апрель 2025'!$G$4:$G$2485,'апрель 2025'!$D$4:$D$2485,$B80,'апрель 2025'!$J$4:$J$2485,AH$1)</f>
        <v>0</v>
      </c>
      <c r="AI80" s="20">
        <f t="shared" si="1"/>
        <v>0</v>
      </c>
    </row>
    <row r="81" spans="2:35" ht="15" customHeight="1" x14ac:dyDescent="0.25">
      <c r="B81" s="88" t="s">
        <v>167</v>
      </c>
      <c r="C81" s="86">
        <v>200</v>
      </c>
      <c r="D81" s="183">
        <f>SUMIFS('апрель 2025'!$G$4:$G$2485,'апрель 2025'!$D$4:$D$2485,$B81,'апрель 2025'!$J$4:$J$2485,D$1)</f>
        <v>0</v>
      </c>
      <c r="E81" s="183">
        <f>SUMIFS('апрель 2025'!$G$4:$G$2485,'апрель 2025'!$D$4:$D$2485,$B81,'апрель 2025'!$J$4:$J$2485,E$1)</f>
        <v>0</v>
      </c>
      <c r="F81" s="183">
        <f>SUMIFS('апрель 2025'!$G$4:$G$2485,'апрель 2025'!$D$4:$D$2485,$B81,'апрель 2025'!$J$4:$J$2485,F$1)</f>
        <v>0</v>
      </c>
      <c r="G81" s="183">
        <f>SUMIFS('апрель 2025'!$G$4:$G$2485,'апрель 2025'!$D$4:$D$2485,$B81,'апрель 2025'!$J$4:$J$2485,G$1)</f>
        <v>0</v>
      </c>
      <c r="H81" s="183">
        <f>SUMIFS('апрель 2025'!$G$4:$G$2485,'апрель 2025'!$D$4:$D$2485,$B81,'апрель 2025'!$J$4:$J$2485,H$1)</f>
        <v>0</v>
      </c>
      <c r="I81" s="183">
        <f>SUMIFS('апрель 2025'!$G$4:$G$2485,'апрель 2025'!$D$4:$D$2485,$B81,'апрель 2025'!$J$4:$J$2485,I$1)</f>
        <v>0</v>
      </c>
      <c r="J81" s="183">
        <f>SUMIFS('апрель 2025'!$G$4:$G$2485,'апрель 2025'!$D$4:$D$2485,$B81,'апрель 2025'!$J$4:$J$2485,J$1)</f>
        <v>0</v>
      </c>
      <c r="K81" s="183">
        <f>SUMIFS('апрель 2025'!$G$4:$G$2485,'апрель 2025'!$D$4:$D$2485,$B81,'апрель 2025'!$J$4:$J$2485,K$1)</f>
        <v>0</v>
      </c>
      <c r="L81" s="183">
        <f>SUMIFS('апрель 2025'!$G$4:$G$2485,'апрель 2025'!$D$4:$D$2485,$B81,'апрель 2025'!$J$4:$J$2485,L$1)</f>
        <v>0</v>
      </c>
      <c r="M81" s="183">
        <f>SUMIFS('апрель 2025'!$G$4:$G$2485,'апрель 2025'!$D$4:$D$2485,$B81,'апрель 2025'!$J$4:$J$2485,M$1)</f>
        <v>0</v>
      </c>
      <c r="N81" s="183">
        <f>SUMIFS('апрель 2025'!$G$4:$G$2485,'апрель 2025'!$D$4:$D$2485,$B81,'апрель 2025'!$J$4:$J$2485,N$1)</f>
        <v>0</v>
      </c>
      <c r="O81" s="183">
        <f>SUMIFS('апрель 2025'!$G$4:$G$2485,'апрель 2025'!$D$4:$D$2485,$B81,'апрель 2025'!$J$4:$J$2485,O$1)</f>
        <v>0</v>
      </c>
      <c r="P81" s="183">
        <f>SUMIFS('апрель 2025'!$G$4:$G$2485,'апрель 2025'!$D$4:$D$2485,$B81,'апрель 2025'!$J$4:$J$2485,P$1)</f>
        <v>0</v>
      </c>
      <c r="Q81" s="183">
        <f>SUMIFS('апрель 2025'!$G$4:$G$2485,'апрель 2025'!$D$4:$D$2485,$B81,'апрель 2025'!$J$4:$J$2485,Q$1)</f>
        <v>0</v>
      </c>
      <c r="R81" s="183">
        <f>SUMIFS('апрель 2025'!$G$4:$G$2485,'апрель 2025'!$D$4:$D$2485,$B81,'апрель 2025'!$J$4:$J$2485,R$1)</f>
        <v>0</v>
      </c>
      <c r="S81" s="183">
        <f>SUMIFS('апрель 2025'!$G$4:$G$2485,'апрель 2025'!$D$4:$D$2485,$B81,'апрель 2025'!$J$4:$J$2485,S$1)</f>
        <v>0</v>
      </c>
      <c r="T81" s="183">
        <f>SUMIFS('апрель 2025'!$G$4:$G$2485,'апрель 2025'!$D$4:$D$2485,$B81,'апрель 2025'!$J$4:$J$2485,T$1)</f>
        <v>0</v>
      </c>
      <c r="U81" s="183">
        <f>SUMIFS('апрель 2025'!$G$4:$G$2485,'апрель 2025'!$D$4:$D$2485,$B81,'апрель 2025'!$J$4:$J$2485,U$1)</f>
        <v>0</v>
      </c>
      <c r="V81" s="183">
        <f>SUMIFS('апрель 2025'!$G$4:$G$2485,'апрель 2025'!$D$4:$D$2485,$B81,'апрель 2025'!$J$4:$J$2485,V$1)</f>
        <v>0</v>
      </c>
      <c r="W81" s="183">
        <f>SUMIFS('апрель 2025'!$G$4:$G$2485,'апрель 2025'!$D$4:$D$2485,$B81,'апрель 2025'!$J$4:$J$2485,W$1)</f>
        <v>0</v>
      </c>
      <c r="X81" s="183">
        <f>SUMIFS('апрель 2025'!$G$4:$G$2485,'апрель 2025'!$D$4:$D$2485,$B81,'апрель 2025'!$J$4:$J$2485,X$1)</f>
        <v>0</v>
      </c>
      <c r="Y81" s="183">
        <f>SUMIFS('апрель 2025'!$G$4:$G$2485,'апрель 2025'!$D$4:$D$2485,$B81,'апрель 2025'!$J$4:$J$2485,Y$1)</f>
        <v>0</v>
      </c>
      <c r="Z81" s="183">
        <f>SUMIFS('апрель 2025'!$G$4:$G$2485,'апрель 2025'!$D$4:$D$2485,$B81,'апрель 2025'!$J$4:$J$2485,Z$1)</f>
        <v>0</v>
      </c>
      <c r="AA81" s="183">
        <f>SUMIFS('апрель 2025'!$G$4:$G$2485,'апрель 2025'!$D$4:$D$2485,$B81,'апрель 2025'!$J$4:$J$2485,AA$1)</f>
        <v>0</v>
      </c>
      <c r="AB81" s="183">
        <f>SUMIFS('апрель 2025'!$G$4:$G$2485,'апрель 2025'!$D$4:$D$2485,$B81,'апрель 2025'!$J$4:$J$2485,AB$1)</f>
        <v>0</v>
      </c>
      <c r="AC81" s="183">
        <f>SUMIFS('апрель 2025'!$G$4:$G$2485,'апрель 2025'!$D$4:$D$2485,$B81,'апрель 2025'!$J$4:$J$2485,AC$1)</f>
        <v>0</v>
      </c>
      <c r="AD81" s="183">
        <f>SUMIFS('апрель 2025'!$G$4:$G$2485,'апрель 2025'!$D$4:$D$2485,$B81,'апрель 2025'!$J$4:$J$2485,AD$1)</f>
        <v>0</v>
      </c>
      <c r="AE81" s="183">
        <f>SUMIFS('апрель 2025'!$G$4:$G$2485,'апрель 2025'!$D$4:$D$2485,$B81,'апрель 2025'!$J$4:$J$2485,AE$1)</f>
        <v>0</v>
      </c>
      <c r="AF81" s="183">
        <f>SUMIFS('апрель 2025'!$G$4:$G$2485,'апрель 2025'!$D$4:$D$2485,$B81,'апрель 2025'!$J$4:$J$2485,AF$1)</f>
        <v>0</v>
      </c>
      <c r="AG81" s="183">
        <f>SUMIFS('апрель 2025'!$G$4:$G$2485,'апрель 2025'!$D$4:$D$2485,$B81,'апрель 2025'!$J$4:$J$2485,AG$1)</f>
        <v>0</v>
      </c>
      <c r="AH81" s="183">
        <f>SUMIFS('апрель 2025'!$G$4:$G$2485,'апрель 2025'!$D$4:$D$2485,$B81,'апрель 2025'!$J$4:$J$2485,AH$1)</f>
        <v>0</v>
      </c>
      <c r="AI81" s="20">
        <f t="shared" si="1"/>
        <v>0</v>
      </c>
    </row>
    <row r="82" spans="2:35" ht="15" customHeight="1" x14ac:dyDescent="0.25">
      <c r="B82" s="88" t="s">
        <v>168</v>
      </c>
      <c r="C82" s="86">
        <v>200</v>
      </c>
      <c r="D82" s="183">
        <f>SUMIFS('апрель 2025'!$G$4:$G$2485,'апрель 2025'!$D$4:$D$2485,$B82,'апрель 2025'!$J$4:$J$2485,D$1)</f>
        <v>0</v>
      </c>
      <c r="E82" s="183">
        <f>SUMIFS('апрель 2025'!$G$4:$G$2485,'апрель 2025'!$D$4:$D$2485,$B82,'апрель 2025'!$J$4:$J$2485,E$1)</f>
        <v>0</v>
      </c>
      <c r="F82" s="183">
        <f>SUMIFS('апрель 2025'!$G$4:$G$2485,'апрель 2025'!$D$4:$D$2485,$B82,'апрель 2025'!$J$4:$J$2485,F$1)</f>
        <v>0</v>
      </c>
      <c r="G82" s="183">
        <f>SUMIFS('апрель 2025'!$G$4:$G$2485,'апрель 2025'!$D$4:$D$2485,$B82,'апрель 2025'!$J$4:$J$2485,G$1)</f>
        <v>0</v>
      </c>
      <c r="H82" s="183">
        <f>SUMIFS('апрель 2025'!$G$4:$G$2485,'апрель 2025'!$D$4:$D$2485,$B82,'апрель 2025'!$J$4:$J$2485,H$1)</f>
        <v>0</v>
      </c>
      <c r="I82" s="183">
        <f>SUMIFS('апрель 2025'!$G$4:$G$2485,'апрель 2025'!$D$4:$D$2485,$B82,'апрель 2025'!$J$4:$J$2485,I$1)</f>
        <v>0</v>
      </c>
      <c r="J82" s="183">
        <f>SUMIFS('апрель 2025'!$G$4:$G$2485,'апрель 2025'!$D$4:$D$2485,$B82,'апрель 2025'!$J$4:$J$2485,J$1)</f>
        <v>0</v>
      </c>
      <c r="K82" s="183">
        <f>SUMIFS('апрель 2025'!$G$4:$G$2485,'апрель 2025'!$D$4:$D$2485,$B82,'апрель 2025'!$J$4:$J$2485,K$1)</f>
        <v>0</v>
      </c>
      <c r="L82" s="183">
        <f>SUMIFS('апрель 2025'!$G$4:$G$2485,'апрель 2025'!$D$4:$D$2485,$B82,'апрель 2025'!$J$4:$J$2485,L$1)</f>
        <v>50</v>
      </c>
      <c r="M82" s="183">
        <f>SUMIFS('апрель 2025'!$G$4:$G$2485,'апрель 2025'!$D$4:$D$2485,$B82,'апрель 2025'!$J$4:$J$2485,M$1)</f>
        <v>0</v>
      </c>
      <c r="N82" s="183">
        <f>SUMIFS('апрель 2025'!$G$4:$G$2485,'апрель 2025'!$D$4:$D$2485,$B82,'апрель 2025'!$J$4:$J$2485,N$1)</f>
        <v>176</v>
      </c>
      <c r="O82" s="183">
        <f>SUMIFS('апрель 2025'!$G$4:$G$2485,'апрель 2025'!$D$4:$D$2485,$B82,'апрель 2025'!$J$4:$J$2485,O$1)</f>
        <v>0</v>
      </c>
      <c r="P82" s="183">
        <f>SUMIFS('апрель 2025'!$G$4:$G$2485,'апрель 2025'!$D$4:$D$2485,$B82,'апрель 2025'!$J$4:$J$2485,P$1)</f>
        <v>0</v>
      </c>
      <c r="Q82" s="183">
        <f>SUMIFS('апрель 2025'!$G$4:$G$2485,'апрель 2025'!$D$4:$D$2485,$B82,'апрель 2025'!$J$4:$J$2485,Q$1)</f>
        <v>0</v>
      </c>
      <c r="R82" s="183">
        <f>SUMIFS('апрель 2025'!$G$4:$G$2485,'апрель 2025'!$D$4:$D$2485,$B82,'апрель 2025'!$J$4:$J$2485,R$1)</f>
        <v>0</v>
      </c>
      <c r="S82" s="183">
        <f>SUMIFS('апрель 2025'!$G$4:$G$2485,'апрель 2025'!$D$4:$D$2485,$B82,'апрель 2025'!$J$4:$J$2485,S$1)</f>
        <v>0</v>
      </c>
      <c r="T82" s="183">
        <f>SUMIFS('апрель 2025'!$G$4:$G$2485,'апрель 2025'!$D$4:$D$2485,$B82,'апрель 2025'!$J$4:$J$2485,T$1)</f>
        <v>0</v>
      </c>
      <c r="U82" s="183">
        <f>SUMIFS('апрель 2025'!$G$4:$G$2485,'апрель 2025'!$D$4:$D$2485,$B82,'апрель 2025'!$J$4:$J$2485,U$1)</f>
        <v>12</v>
      </c>
      <c r="V82" s="183">
        <f>SUMIFS('апрель 2025'!$G$4:$G$2485,'апрель 2025'!$D$4:$D$2485,$B82,'апрель 2025'!$J$4:$J$2485,V$1)</f>
        <v>0</v>
      </c>
      <c r="W82" s="183">
        <f>SUMIFS('апрель 2025'!$G$4:$G$2485,'апрель 2025'!$D$4:$D$2485,$B82,'апрель 2025'!$J$4:$J$2485,W$1)</f>
        <v>0</v>
      </c>
      <c r="X82" s="183">
        <f>SUMIFS('апрель 2025'!$G$4:$G$2485,'апрель 2025'!$D$4:$D$2485,$B82,'апрель 2025'!$J$4:$J$2485,X$1)</f>
        <v>0</v>
      </c>
      <c r="Y82" s="183">
        <f>SUMIFS('апрель 2025'!$G$4:$G$2485,'апрель 2025'!$D$4:$D$2485,$B82,'апрель 2025'!$J$4:$J$2485,Y$1)</f>
        <v>0</v>
      </c>
      <c r="Z82" s="183">
        <f>SUMIFS('апрель 2025'!$G$4:$G$2485,'апрель 2025'!$D$4:$D$2485,$B82,'апрель 2025'!$J$4:$J$2485,Z$1)</f>
        <v>0</v>
      </c>
      <c r="AA82" s="183">
        <f>SUMIFS('апрель 2025'!$G$4:$G$2485,'апрель 2025'!$D$4:$D$2485,$B82,'апрель 2025'!$J$4:$J$2485,AA$1)</f>
        <v>8</v>
      </c>
      <c r="AB82" s="183">
        <f>SUMIFS('апрель 2025'!$G$4:$G$2485,'апрель 2025'!$D$4:$D$2485,$B82,'апрель 2025'!$J$4:$J$2485,AB$1)</f>
        <v>0</v>
      </c>
      <c r="AC82" s="183">
        <f>SUMIFS('апрель 2025'!$G$4:$G$2485,'апрель 2025'!$D$4:$D$2485,$B82,'апрель 2025'!$J$4:$J$2485,AC$1)</f>
        <v>0</v>
      </c>
      <c r="AD82" s="183">
        <f>SUMIFS('апрель 2025'!$G$4:$G$2485,'апрель 2025'!$D$4:$D$2485,$B82,'апрель 2025'!$J$4:$J$2485,AD$1)</f>
        <v>0</v>
      </c>
      <c r="AE82" s="183">
        <f>SUMIFS('апрель 2025'!$G$4:$G$2485,'апрель 2025'!$D$4:$D$2485,$B82,'апрель 2025'!$J$4:$J$2485,AE$1)</f>
        <v>0</v>
      </c>
      <c r="AF82" s="183">
        <f>SUMIFS('апрель 2025'!$G$4:$G$2485,'апрель 2025'!$D$4:$D$2485,$B82,'апрель 2025'!$J$4:$J$2485,AF$1)</f>
        <v>0</v>
      </c>
      <c r="AG82" s="183">
        <f>SUMIFS('апрель 2025'!$G$4:$G$2485,'апрель 2025'!$D$4:$D$2485,$B82,'апрель 2025'!$J$4:$J$2485,AG$1)</f>
        <v>0</v>
      </c>
      <c r="AH82" s="183">
        <f>SUMIFS('апрель 2025'!$G$4:$G$2485,'апрель 2025'!$D$4:$D$2485,$B82,'апрель 2025'!$J$4:$J$2485,AH$1)</f>
        <v>0</v>
      </c>
      <c r="AI82" s="20">
        <f t="shared" si="1"/>
        <v>246</v>
      </c>
    </row>
    <row r="83" spans="2:35" ht="15" customHeight="1" x14ac:dyDescent="0.25">
      <c r="B83" s="88" t="s">
        <v>314</v>
      </c>
      <c r="C83" s="86">
        <v>200</v>
      </c>
      <c r="D83" s="183">
        <f>SUMIFS('апрель 2025'!$G$4:$G$2485,'апрель 2025'!$D$4:$D$2485,$B83,'апрель 2025'!$J$4:$J$2485,D$1)</f>
        <v>0</v>
      </c>
      <c r="E83" s="183">
        <f>SUMIFS('апрель 2025'!$G$4:$G$2485,'апрель 2025'!$D$4:$D$2485,$B83,'апрель 2025'!$J$4:$J$2485,E$1)</f>
        <v>0</v>
      </c>
      <c r="F83" s="183">
        <f>SUMIFS('апрель 2025'!$G$4:$G$2485,'апрель 2025'!$D$4:$D$2485,$B83,'апрель 2025'!$J$4:$J$2485,F$1)</f>
        <v>0</v>
      </c>
      <c r="G83" s="183">
        <f>SUMIFS('апрель 2025'!$G$4:$G$2485,'апрель 2025'!$D$4:$D$2485,$B83,'апрель 2025'!$J$4:$J$2485,G$1)</f>
        <v>0</v>
      </c>
      <c r="H83" s="183">
        <f>SUMIFS('апрель 2025'!$G$4:$G$2485,'апрель 2025'!$D$4:$D$2485,$B83,'апрель 2025'!$J$4:$J$2485,H$1)</f>
        <v>0</v>
      </c>
      <c r="I83" s="183">
        <f>SUMIFS('апрель 2025'!$G$4:$G$2485,'апрель 2025'!$D$4:$D$2485,$B83,'апрель 2025'!$J$4:$J$2485,I$1)</f>
        <v>0</v>
      </c>
      <c r="J83" s="183">
        <f>SUMIFS('апрель 2025'!$G$4:$G$2485,'апрель 2025'!$D$4:$D$2485,$B83,'апрель 2025'!$J$4:$J$2485,J$1)</f>
        <v>0</v>
      </c>
      <c r="K83" s="183">
        <f>SUMIFS('апрель 2025'!$G$4:$G$2485,'апрель 2025'!$D$4:$D$2485,$B83,'апрель 2025'!$J$4:$J$2485,K$1)</f>
        <v>0</v>
      </c>
      <c r="L83" s="183">
        <f>SUMIFS('апрель 2025'!$G$4:$G$2485,'апрель 2025'!$D$4:$D$2485,$B83,'апрель 2025'!$J$4:$J$2485,L$1)</f>
        <v>0</v>
      </c>
      <c r="M83" s="183">
        <f>SUMIFS('апрель 2025'!$G$4:$G$2485,'апрель 2025'!$D$4:$D$2485,$B83,'апрель 2025'!$J$4:$J$2485,M$1)</f>
        <v>0</v>
      </c>
      <c r="N83" s="183">
        <f>SUMIFS('апрель 2025'!$G$4:$G$2485,'апрель 2025'!$D$4:$D$2485,$B83,'апрель 2025'!$J$4:$J$2485,N$1)</f>
        <v>0</v>
      </c>
      <c r="O83" s="183">
        <f>SUMIFS('апрель 2025'!$G$4:$G$2485,'апрель 2025'!$D$4:$D$2485,$B83,'апрель 2025'!$J$4:$J$2485,O$1)</f>
        <v>0</v>
      </c>
      <c r="P83" s="183">
        <f>SUMIFS('апрель 2025'!$G$4:$G$2485,'апрель 2025'!$D$4:$D$2485,$B83,'апрель 2025'!$J$4:$J$2485,P$1)</f>
        <v>0</v>
      </c>
      <c r="Q83" s="183">
        <f>SUMIFS('апрель 2025'!$G$4:$G$2485,'апрель 2025'!$D$4:$D$2485,$B83,'апрель 2025'!$J$4:$J$2485,Q$1)</f>
        <v>0</v>
      </c>
      <c r="R83" s="183">
        <f>SUMIFS('апрель 2025'!$G$4:$G$2485,'апрель 2025'!$D$4:$D$2485,$B83,'апрель 2025'!$J$4:$J$2485,R$1)</f>
        <v>0</v>
      </c>
      <c r="S83" s="183">
        <f>SUMIFS('апрель 2025'!$G$4:$G$2485,'апрель 2025'!$D$4:$D$2485,$B83,'апрель 2025'!$J$4:$J$2485,S$1)</f>
        <v>0</v>
      </c>
      <c r="T83" s="183">
        <f>SUMIFS('апрель 2025'!$G$4:$G$2485,'апрель 2025'!$D$4:$D$2485,$B83,'апрель 2025'!$J$4:$J$2485,T$1)</f>
        <v>0</v>
      </c>
      <c r="U83" s="183">
        <f>SUMIFS('апрель 2025'!$G$4:$G$2485,'апрель 2025'!$D$4:$D$2485,$B83,'апрель 2025'!$J$4:$J$2485,U$1)</f>
        <v>0</v>
      </c>
      <c r="V83" s="183">
        <f>SUMIFS('апрель 2025'!$G$4:$G$2485,'апрель 2025'!$D$4:$D$2485,$B83,'апрель 2025'!$J$4:$J$2485,V$1)</f>
        <v>0</v>
      </c>
      <c r="W83" s="183">
        <f>SUMIFS('апрель 2025'!$G$4:$G$2485,'апрель 2025'!$D$4:$D$2485,$B83,'апрель 2025'!$J$4:$J$2485,W$1)</f>
        <v>0</v>
      </c>
      <c r="X83" s="183">
        <f>SUMIFS('апрель 2025'!$G$4:$G$2485,'апрель 2025'!$D$4:$D$2485,$B83,'апрель 2025'!$J$4:$J$2485,X$1)</f>
        <v>0</v>
      </c>
      <c r="Y83" s="183">
        <f>SUMIFS('апрель 2025'!$G$4:$G$2485,'апрель 2025'!$D$4:$D$2485,$B83,'апрель 2025'!$J$4:$J$2485,Y$1)</f>
        <v>0</v>
      </c>
      <c r="Z83" s="183">
        <f>SUMIFS('апрель 2025'!$G$4:$G$2485,'апрель 2025'!$D$4:$D$2485,$B83,'апрель 2025'!$J$4:$J$2485,Z$1)</f>
        <v>0</v>
      </c>
      <c r="AA83" s="183">
        <f>SUMIFS('апрель 2025'!$G$4:$G$2485,'апрель 2025'!$D$4:$D$2485,$B83,'апрель 2025'!$J$4:$J$2485,AA$1)</f>
        <v>0</v>
      </c>
      <c r="AB83" s="183">
        <f>SUMIFS('апрель 2025'!$G$4:$G$2485,'апрель 2025'!$D$4:$D$2485,$B83,'апрель 2025'!$J$4:$J$2485,AB$1)</f>
        <v>0</v>
      </c>
      <c r="AC83" s="183">
        <f>SUMIFS('апрель 2025'!$G$4:$G$2485,'апрель 2025'!$D$4:$D$2485,$B83,'апрель 2025'!$J$4:$J$2485,AC$1)</f>
        <v>0</v>
      </c>
      <c r="AD83" s="183">
        <f>SUMIFS('апрель 2025'!$G$4:$G$2485,'апрель 2025'!$D$4:$D$2485,$B83,'апрель 2025'!$J$4:$J$2485,AD$1)</f>
        <v>0</v>
      </c>
      <c r="AE83" s="183">
        <f>SUMIFS('апрель 2025'!$G$4:$G$2485,'апрель 2025'!$D$4:$D$2485,$B83,'апрель 2025'!$J$4:$J$2485,AE$1)</f>
        <v>0</v>
      </c>
      <c r="AF83" s="183">
        <f>SUMIFS('апрель 2025'!$G$4:$G$2485,'апрель 2025'!$D$4:$D$2485,$B83,'апрель 2025'!$J$4:$J$2485,AF$1)</f>
        <v>0</v>
      </c>
      <c r="AG83" s="183">
        <f>SUMIFS('апрель 2025'!$G$4:$G$2485,'апрель 2025'!$D$4:$D$2485,$B83,'апрель 2025'!$J$4:$J$2485,AG$1)</f>
        <v>0</v>
      </c>
      <c r="AH83" s="183">
        <f>SUMIFS('апрель 2025'!$G$4:$G$2485,'апрель 2025'!$D$4:$D$2485,$B83,'апрель 2025'!$J$4:$J$2485,AH$1)</f>
        <v>0</v>
      </c>
      <c r="AI83" s="20">
        <f t="shared" si="1"/>
        <v>0</v>
      </c>
    </row>
    <row r="84" spans="2:35" ht="15" customHeight="1" x14ac:dyDescent="0.25">
      <c r="B84" s="88" t="s">
        <v>375</v>
      </c>
      <c r="C84" s="86">
        <v>210</v>
      </c>
      <c r="D84" s="183">
        <f>SUMIFS('апрель 2025'!$G$4:$G$2485,'апрель 2025'!$D$4:$D$2485,$B84,'апрель 2025'!$J$4:$J$2485,D$1)</f>
        <v>0</v>
      </c>
      <c r="E84" s="183">
        <f>SUMIFS('апрель 2025'!$G$4:$G$2485,'апрель 2025'!$D$4:$D$2485,$B84,'апрель 2025'!$J$4:$J$2485,E$1)</f>
        <v>0</v>
      </c>
      <c r="F84" s="183">
        <f>SUMIFS('апрель 2025'!$G$4:$G$2485,'апрель 2025'!$D$4:$D$2485,$B84,'апрель 2025'!$J$4:$J$2485,F$1)</f>
        <v>0</v>
      </c>
      <c r="G84" s="183">
        <f>SUMIFS('апрель 2025'!$G$4:$G$2485,'апрель 2025'!$D$4:$D$2485,$B84,'апрель 2025'!$J$4:$J$2485,G$1)</f>
        <v>0</v>
      </c>
      <c r="H84" s="183">
        <f>SUMIFS('апрель 2025'!$G$4:$G$2485,'апрель 2025'!$D$4:$D$2485,$B84,'апрель 2025'!$J$4:$J$2485,H$1)</f>
        <v>0</v>
      </c>
      <c r="I84" s="183">
        <f>SUMIFS('апрель 2025'!$G$4:$G$2485,'апрель 2025'!$D$4:$D$2485,$B84,'апрель 2025'!$J$4:$J$2485,I$1)</f>
        <v>0</v>
      </c>
      <c r="J84" s="183">
        <f>SUMIFS('апрель 2025'!$G$4:$G$2485,'апрель 2025'!$D$4:$D$2485,$B84,'апрель 2025'!$J$4:$J$2485,J$1)</f>
        <v>0</v>
      </c>
      <c r="K84" s="183">
        <f>SUMIFS('апрель 2025'!$G$4:$G$2485,'апрель 2025'!$D$4:$D$2485,$B84,'апрель 2025'!$J$4:$J$2485,K$1)</f>
        <v>0</v>
      </c>
      <c r="L84" s="183">
        <f>SUMIFS('апрель 2025'!$G$4:$G$2485,'апрель 2025'!$D$4:$D$2485,$B84,'апрель 2025'!$J$4:$J$2485,L$1)</f>
        <v>0</v>
      </c>
      <c r="M84" s="183">
        <f>SUMIFS('апрель 2025'!$G$4:$G$2485,'апрель 2025'!$D$4:$D$2485,$B84,'апрель 2025'!$J$4:$J$2485,M$1)</f>
        <v>0</v>
      </c>
      <c r="N84" s="183">
        <f>SUMIFS('апрель 2025'!$G$4:$G$2485,'апрель 2025'!$D$4:$D$2485,$B84,'апрель 2025'!$J$4:$J$2485,N$1)</f>
        <v>0</v>
      </c>
      <c r="O84" s="183">
        <f>SUMIFS('апрель 2025'!$G$4:$G$2485,'апрель 2025'!$D$4:$D$2485,$B84,'апрель 2025'!$J$4:$J$2485,O$1)</f>
        <v>0</v>
      </c>
      <c r="P84" s="183">
        <f>SUMIFS('апрель 2025'!$G$4:$G$2485,'апрель 2025'!$D$4:$D$2485,$B84,'апрель 2025'!$J$4:$J$2485,P$1)</f>
        <v>0</v>
      </c>
      <c r="Q84" s="183">
        <f>SUMIFS('апрель 2025'!$G$4:$G$2485,'апрель 2025'!$D$4:$D$2485,$B84,'апрель 2025'!$J$4:$J$2485,Q$1)</f>
        <v>0</v>
      </c>
      <c r="R84" s="183">
        <f>SUMIFS('апрель 2025'!$G$4:$G$2485,'апрель 2025'!$D$4:$D$2485,$B84,'апрель 2025'!$J$4:$J$2485,R$1)</f>
        <v>0</v>
      </c>
      <c r="S84" s="183">
        <f>SUMIFS('апрель 2025'!$G$4:$G$2485,'апрель 2025'!$D$4:$D$2485,$B84,'апрель 2025'!$J$4:$J$2485,S$1)</f>
        <v>0</v>
      </c>
      <c r="T84" s="183">
        <f>SUMIFS('апрель 2025'!$G$4:$G$2485,'апрель 2025'!$D$4:$D$2485,$B84,'апрель 2025'!$J$4:$J$2485,T$1)</f>
        <v>0</v>
      </c>
      <c r="U84" s="183">
        <f>SUMIFS('апрель 2025'!$G$4:$G$2485,'апрель 2025'!$D$4:$D$2485,$B84,'апрель 2025'!$J$4:$J$2485,U$1)</f>
        <v>0</v>
      </c>
      <c r="V84" s="183">
        <f>SUMIFS('апрель 2025'!$G$4:$G$2485,'апрель 2025'!$D$4:$D$2485,$B84,'апрель 2025'!$J$4:$J$2485,V$1)</f>
        <v>0</v>
      </c>
      <c r="W84" s="183">
        <f>SUMIFS('апрель 2025'!$G$4:$G$2485,'апрель 2025'!$D$4:$D$2485,$B84,'апрель 2025'!$J$4:$J$2485,W$1)</f>
        <v>0</v>
      </c>
      <c r="X84" s="183">
        <f>SUMIFS('апрель 2025'!$G$4:$G$2485,'апрель 2025'!$D$4:$D$2485,$B84,'апрель 2025'!$J$4:$J$2485,X$1)</f>
        <v>0</v>
      </c>
      <c r="Y84" s="183">
        <f>SUMIFS('апрель 2025'!$G$4:$G$2485,'апрель 2025'!$D$4:$D$2485,$B84,'апрель 2025'!$J$4:$J$2485,Y$1)</f>
        <v>0</v>
      </c>
      <c r="Z84" s="183">
        <f>SUMIFS('апрель 2025'!$G$4:$G$2485,'апрель 2025'!$D$4:$D$2485,$B84,'апрель 2025'!$J$4:$J$2485,Z$1)</f>
        <v>0</v>
      </c>
      <c r="AA84" s="183">
        <f>SUMIFS('апрель 2025'!$G$4:$G$2485,'апрель 2025'!$D$4:$D$2485,$B84,'апрель 2025'!$J$4:$J$2485,AA$1)</f>
        <v>0</v>
      </c>
      <c r="AB84" s="183">
        <f>SUMIFS('апрель 2025'!$G$4:$G$2485,'апрель 2025'!$D$4:$D$2485,$B84,'апрель 2025'!$J$4:$J$2485,AB$1)</f>
        <v>0</v>
      </c>
      <c r="AC84" s="183">
        <f>SUMIFS('апрель 2025'!$G$4:$G$2485,'апрель 2025'!$D$4:$D$2485,$B84,'апрель 2025'!$J$4:$J$2485,AC$1)</f>
        <v>0</v>
      </c>
      <c r="AD84" s="183">
        <f>SUMIFS('апрель 2025'!$G$4:$G$2485,'апрель 2025'!$D$4:$D$2485,$B84,'апрель 2025'!$J$4:$J$2485,AD$1)</f>
        <v>0</v>
      </c>
      <c r="AE84" s="183">
        <f>SUMIFS('апрель 2025'!$G$4:$G$2485,'апрель 2025'!$D$4:$D$2485,$B84,'апрель 2025'!$J$4:$J$2485,AE$1)</f>
        <v>0</v>
      </c>
      <c r="AF84" s="183">
        <f>SUMIFS('апрель 2025'!$G$4:$G$2485,'апрель 2025'!$D$4:$D$2485,$B84,'апрель 2025'!$J$4:$J$2485,AF$1)</f>
        <v>0</v>
      </c>
      <c r="AG84" s="183">
        <f>SUMIFS('апрель 2025'!$G$4:$G$2485,'апрель 2025'!$D$4:$D$2485,$B84,'апрель 2025'!$J$4:$J$2485,AG$1)</f>
        <v>0</v>
      </c>
      <c r="AH84" s="183">
        <f>SUMIFS('апрель 2025'!$G$4:$G$2485,'апрель 2025'!$D$4:$D$2485,$B84,'апрель 2025'!$J$4:$J$2485,AH$1)</f>
        <v>0</v>
      </c>
      <c r="AI84" s="20">
        <f t="shared" si="1"/>
        <v>0</v>
      </c>
    </row>
    <row r="85" spans="2:35" ht="15" customHeight="1" x14ac:dyDescent="0.25">
      <c r="B85" s="88" t="s">
        <v>1255</v>
      </c>
      <c r="C85" s="86">
        <v>1000</v>
      </c>
      <c r="D85" s="183">
        <f>SUMIFS('апрель 2025'!$G$4:$G$2485,'апрель 2025'!$D$4:$D$2485,$B85,'апрель 2025'!$J$4:$J$2485,D$1)</f>
        <v>0</v>
      </c>
      <c r="E85" s="183">
        <f>SUMIFS('апрель 2025'!$G$4:$G$2485,'апрель 2025'!$D$4:$D$2485,$B85,'апрель 2025'!$J$4:$J$2485,E$1)</f>
        <v>0</v>
      </c>
      <c r="F85" s="183">
        <f>SUMIFS('апрель 2025'!$G$4:$G$2485,'апрель 2025'!$D$4:$D$2485,$B85,'апрель 2025'!$J$4:$J$2485,F$1)</f>
        <v>0</v>
      </c>
      <c r="G85" s="183">
        <f>SUMIFS('апрель 2025'!$G$4:$G$2485,'апрель 2025'!$D$4:$D$2485,$B85,'апрель 2025'!$J$4:$J$2485,G$1)</f>
        <v>0</v>
      </c>
      <c r="H85" s="183">
        <f>SUMIFS('апрель 2025'!$G$4:$G$2485,'апрель 2025'!$D$4:$D$2485,$B85,'апрель 2025'!$J$4:$J$2485,H$1)</f>
        <v>0</v>
      </c>
      <c r="I85" s="183">
        <f>SUMIFS('апрель 2025'!$G$4:$G$2485,'апрель 2025'!$D$4:$D$2485,$B85,'апрель 2025'!$J$4:$J$2485,I$1)</f>
        <v>0</v>
      </c>
      <c r="J85" s="183">
        <f>SUMIFS('апрель 2025'!$G$4:$G$2485,'апрель 2025'!$D$4:$D$2485,$B85,'апрель 2025'!$J$4:$J$2485,J$1)</f>
        <v>0</v>
      </c>
      <c r="K85" s="183">
        <f>SUMIFS('апрель 2025'!$G$4:$G$2485,'апрель 2025'!$D$4:$D$2485,$B85,'апрель 2025'!$J$4:$J$2485,K$1)</f>
        <v>0</v>
      </c>
      <c r="L85" s="183">
        <f>SUMIFS('апрель 2025'!$G$4:$G$2485,'апрель 2025'!$D$4:$D$2485,$B85,'апрель 2025'!$J$4:$J$2485,L$1)</f>
        <v>0</v>
      </c>
      <c r="M85" s="183">
        <f>SUMIFS('апрель 2025'!$G$4:$G$2485,'апрель 2025'!$D$4:$D$2485,$B85,'апрель 2025'!$J$4:$J$2485,M$1)</f>
        <v>0</v>
      </c>
      <c r="N85" s="183">
        <f>SUMIFS('апрель 2025'!$G$4:$G$2485,'апрель 2025'!$D$4:$D$2485,$B85,'апрель 2025'!$J$4:$J$2485,N$1)</f>
        <v>0</v>
      </c>
      <c r="O85" s="183">
        <f>SUMIFS('апрель 2025'!$G$4:$G$2485,'апрель 2025'!$D$4:$D$2485,$B85,'апрель 2025'!$J$4:$J$2485,O$1)</f>
        <v>0</v>
      </c>
      <c r="P85" s="183">
        <f>SUMIFS('апрель 2025'!$G$4:$G$2485,'апрель 2025'!$D$4:$D$2485,$B85,'апрель 2025'!$J$4:$J$2485,P$1)</f>
        <v>0</v>
      </c>
      <c r="Q85" s="183">
        <f>SUMIFS('апрель 2025'!$G$4:$G$2485,'апрель 2025'!$D$4:$D$2485,$B85,'апрель 2025'!$J$4:$J$2485,Q$1)</f>
        <v>0</v>
      </c>
      <c r="R85" s="183">
        <f>SUMIFS('апрель 2025'!$G$4:$G$2485,'апрель 2025'!$D$4:$D$2485,$B85,'апрель 2025'!$J$4:$J$2485,R$1)</f>
        <v>0</v>
      </c>
      <c r="S85" s="183">
        <f>SUMIFS('апрель 2025'!$G$4:$G$2485,'апрель 2025'!$D$4:$D$2485,$B85,'апрель 2025'!$J$4:$J$2485,S$1)</f>
        <v>0</v>
      </c>
      <c r="T85" s="183">
        <f>SUMIFS('апрель 2025'!$G$4:$G$2485,'апрель 2025'!$D$4:$D$2485,$B85,'апрель 2025'!$J$4:$J$2485,T$1)</f>
        <v>0</v>
      </c>
      <c r="U85" s="183">
        <f>SUMIFS('апрель 2025'!$G$4:$G$2485,'апрель 2025'!$D$4:$D$2485,$B85,'апрель 2025'!$J$4:$J$2485,U$1)</f>
        <v>0</v>
      </c>
      <c r="V85" s="183">
        <f>SUMIFS('апрель 2025'!$G$4:$G$2485,'апрель 2025'!$D$4:$D$2485,$B85,'апрель 2025'!$J$4:$J$2485,V$1)</f>
        <v>0</v>
      </c>
      <c r="W85" s="183">
        <f>SUMIFS('апрель 2025'!$G$4:$G$2485,'апрель 2025'!$D$4:$D$2485,$B85,'апрель 2025'!$J$4:$J$2485,W$1)</f>
        <v>0</v>
      </c>
      <c r="X85" s="183">
        <f>SUMIFS('апрель 2025'!$G$4:$G$2485,'апрель 2025'!$D$4:$D$2485,$B85,'апрель 2025'!$J$4:$J$2485,X$1)</f>
        <v>0</v>
      </c>
      <c r="Y85" s="183">
        <f>SUMIFS('апрель 2025'!$G$4:$G$2485,'апрель 2025'!$D$4:$D$2485,$B85,'апрель 2025'!$J$4:$J$2485,Y$1)</f>
        <v>0</v>
      </c>
      <c r="Z85" s="183">
        <f>SUMIFS('апрель 2025'!$G$4:$G$2485,'апрель 2025'!$D$4:$D$2485,$B85,'апрель 2025'!$J$4:$J$2485,Z$1)</f>
        <v>0</v>
      </c>
      <c r="AA85" s="183">
        <f>SUMIFS('апрель 2025'!$G$4:$G$2485,'апрель 2025'!$D$4:$D$2485,$B85,'апрель 2025'!$J$4:$J$2485,AA$1)</f>
        <v>0</v>
      </c>
      <c r="AB85" s="183">
        <f>SUMIFS('апрель 2025'!$G$4:$G$2485,'апрель 2025'!$D$4:$D$2485,$B85,'апрель 2025'!$J$4:$J$2485,AB$1)</f>
        <v>0</v>
      </c>
      <c r="AC85" s="183">
        <f>SUMIFS('апрель 2025'!$G$4:$G$2485,'апрель 2025'!$D$4:$D$2485,$B85,'апрель 2025'!$J$4:$J$2485,AC$1)</f>
        <v>0</v>
      </c>
      <c r="AD85" s="183">
        <f>SUMIFS('апрель 2025'!$G$4:$G$2485,'апрель 2025'!$D$4:$D$2485,$B85,'апрель 2025'!$J$4:$J$2485,AD$1)</f>
        <v>0</v>
      </c>
      <c r="AE85" s="183">
        <f>SUMIFS('апрель 2025'!$G$4:$G$2485,'апрель 2025'!$D$4:$D$2485,$B85,'апрель 2025'!$J$4:$J$2485,AE$1)</f>
        <v>0</v>
      </c>
      <c r="AF85" s="183">
        <f>SUMIFS('апрель 2025'!$G$4:$G$2485,'апрель 2025'!$D$4:$D$2485,$B85,'апрель 2025'!$J$4:$J$2485,AF$1)</f>
        <v>0</v>
      </c>
      <c r="AG85" s="183">
        <f>SUMIFS('апрель 2025'!$G$4:$G$2485,'апрель 2025'!$D$4:$D$2485,$B85,'апрель 2025'!$J$4:$J$2485,AG$1)</f>
        <v>20</v>
      </c>
      <c r="AH85" s="183">
        <f>SUMIFS('апрель 2025'!$G$4:$G$2485,'апрель 2025'!$D$4:$D$2485,$B85,'апрель 2025'!$J$4:$J$2485,AH$1)</f>
        <v>0</v>
      </c>
      <c r="AI85" s="20">
        <f t="shared" ref="AI85" si="3">SUM(D85:AH85)</f>
        <v>20</v>
      </c>
    </row>
    <row r="86" spans="2:35" ht="15" customHeight="1" x14ac:dyDescent="0.25">
      <c r="B86" s="88" t="s">
        <v>257</v>
      </c>
      <c r="C86" s="86">
        <v>190</v>
      </c>
      <c r="D86" s="183">
        <f>SUMIFS('апрель 2025'!$G$4:$G$2485,'апрель 2025'!$D$4:$D$2485,$B86,'апрель 2025'!$J$4:$J$2485,D$1)</f>
        <v>0</v>
      </c>
      <c r="E86" s="183">
        <f>SUMIFS('апрель 2025'!$G$4:$G$2485,'апрель 2025'!$D$4:$D$2485,$B86,'апрель 2025'!$J$4:$J$2485,E$1)</f>
        <v>0</v>
      </c>
      <c r="F86" s="183">
        <f>SUMIFS('апрель 2025'!$G$4:$G$2485,'апрель 2025'!$D$4:$D$2485,$B86,'апрель 2025'!$J$4:$J$2485,F$1)</f>
        <v>0</v>
      </c>
      <c r="G86" s="183">
        <f>SUMIFS('апрель 2025'!$G$4:$G$2485,'апрель 2025'!$D$4:$D$2485,$B86,'апрель 2025'!$J$4:$J$2485,G$1)</f>
        <v>0</v>
      </c>
      <c r="H86" s="183">
        <f>SUMIFS('апрель 2025'!$G$4:$G$2485,'апрель 2025'!$D$4:$D$2485,$B86,'апрель 2025'!$J$4:$J$2485,H$1)</f>
        <v>0</v>
      </c>
      <c r="I86" s="183">
        <f>SUMIFS('апрель 2025'!$G$4:$G$2485,'апрель 2025'!$D$4:$D$2485,$B86,'апрель 2025'!$J$4:$J$2485,I$1)</f>
        <v>0</v>
      </c>
      <c r="J86" s="183">
        <f>SUMIFS('апрель 2025'!$G$4:$G$2485,'апрель 2025'!$D$4:$D$2485,$B86,'апрель 2025'!$J$4:$J$2485,J$1)</f>
        <v>0</v>
      </c>
      <c r="K86" s="183">
        <f>SUMIFS('апрель 2025'!$G$4:$G$2485,'апрель 2025'!$D$4:$D$2485,$B86,'апрель 2025'!$J$4:$J$2485,K$1)</f>
        <v>0</v>
      </c>
      <c r="L86" s="183">
        <f>SUMIFS('апрель 2025'!$G$4:$G$2485,'апрель 2025'!$D$4:$D$2485,$B86,'апрель 2025'!$J$4:$J$2485,L$1)</f>
        <v>0</v>
      </c>
      <c r="M86" s="183">
        <f>SUMIFS('апрель 2025'!$G$4:$G$2485,'апрель 2025'!$D$4:$D$2485,$B86,'апрель 2025'!$J$4:$J$2485,M$1)</f>
        <v>0</v>
      </c>
      <c r="N86" s="183">
        <f>SUMIFS('апрель 2025'!$G$4:$G$2485,'апрель 2025'!$D$4:$D$2485,$B86,'апрель 2025'!$J$4:$J$2485,N$1)</f>
        <v>0</v>
      </c>
      <c r="O86" s="183">
        <f>SUMIFS('апрель 2025'!$G$4:$G$2485,'апрель 2025'!$D$4:$D$2485,$B86,'апрель 2025'!$J$4:$J$2485,O$1)</f>
        <v>0</v>
      </c>
      <c r="P86" s="183">
        <f>SUMIFS('апрель 2025'!$G$4:$G$2485,'апрель 2025'!$D$4:$D$2485,$B86,'апрель 2025'!$J$4:$J$2485,P$1)</f>
        <v>0</v>
      </c>
      <c r="Q86" s="183">
        <f>SUMIFS('апрель 2025'!$G$4:$G$2485,'апрель 2025'!$D$4:$D$2485,$B86,'апрель 2025'!$J$4:$J$2485,Q$1)</f>
        <v>0</v>
      </c>
      <c r="R86" s="183">
        <f>SUMIFS('апрель 2025'!$G$4:$G$2485,'апрель 2025'!$D$4:$D$2485,$B86,'апрель 2025'!$J$4:$J$2485,R$1)</f>
        <v>0</v>
      </c>
      <c r="S86" s="183">
        <f>SUMIFS('апрель 2025'!$G$4:$G$2485,'апрель 2025'!$D$4:$D$2485,$B86,'апрель 2025'!$J$4:$J$2485,S$1)</f>
        <v>0</v>
      </c>
      <c r="T86" s="183">
        <f>SUMIFS('апрель 2025'!$G$4:$G$2485,'апрель 2025'!$D$4:$D$2485,$B86,'апрель 2025'!$J$4:$J$2485,T$1)</f>
        <v>0</v>
      </c>
      <c r="U86" s="183">
        <f>SUMIFS('апрель 2025'!$G$4:$G$2485,'апрель 2025'!$D$4:$D$2485,$B86,'апрель 2025'!$J$4:$J$2485,U$1)</f>
        <v>0</v>
      </c>
      <c r="V86" s="183">
        <f>SUMIFS('апрель 2025'!$G$4:$G$2485,'апрель 2025'!$D$4:$D$2485,$B86,'апрель 2025'!$J$4:$J$2485,V$1)</f>
        <v>0</v>
      </c>
      <c r="W86" s="183">
        <f>SUMIFS('апрель 2025'!$G$4:$G$2485,'апрель 2025'!$D$4:$D$2485,$B86,'апрель 2025'!$J$4:$J$2485,W$1)</f>
        <v>0</v>
      </c>
      <c r="X86" s="183">
        <f>SUMIFS('апрель 2025'!$G$4:$G$2485,'апрель 2025'!$D$4:$D$2485,$B86,'апрель 2025'!$J$4:$J$2485,X$1)</f>
        <v>0</v>
      </c>
      <c r="Y86" s="183">
        <f>SUMIFS('апрель 2025'!$G$4:$G$2485,'апрель 2025'!$D$4:$D$2485,$B86,'апрель 2025'!$J$4:$J$2485,Y$1)</f>
        <v>0</v>
      </c>
      <c r="Z86" s="183">
        <f>SUMIFS('апрель 2025'!$G$4:$G$2485,'апрель 2025'!$D$4:$D$2485,$B86,'апрель 2025'!$J$4:$J$2485,Z$1)</f>
        <v>0</v>
      </c>
      <c r="AA86" s="183">
        <f>SUMIFS('апрель 2025'!$G$4:$G$2485,'апрель 2025'!$D$4:$D$2485,$B86,'апрель 2025'!$J$4:$J$2485,AA$1)</f>
        <v>0</v>
      </c>
      <c r="AB86" s="183">
        <f>SUMIFS('апрель 2025'!$G$4:$G$2485,'апрель 2025'!$D$4:$D$2485,$B86,'апрель 2025'!$J$4:$J$2485,AB$1)</f>
        <v>0</v>
      </c>
      <c r="AC86" s="183">
        <f>SUMIFS('апрель 2025'!$G$4:$G$2485,'апрель 2025'!$D$4:$D$2485,$B86,'апрель 2025'!$J$4:$J$2485,AC$1)</f>
        <v>0</v>
      </c>
      <c r="AD86" s="183">
        <f>SUMIFS('апрель 2025'!$G$4:$G$2485,'апрель 2025'!$D$4:$D$2485,$B86,'апрель 2025'!$J$4:$J$2485,AD$1)</f>
        <v>0</v>
      </c>
      <c r="AE86" s="183">
        <f>SUMIFS('апрель 2025'!$G$4:$G$2485,'апрель 2025'!$D$4:$D$2485,$B86,'апрель 2025'!$J$4:$J$2485,AE$1)</f>
        <v>0</v>
      </c>
      <c r="AF86" s="183">
        <f>SUMIFS('апрель 2025'!$G$4:$G$2485,'апрель 2025'!$D$4:$D$2485,$B86,'апрель 2025'!$J$4:$J$2485,AF$1)</f>
        <v>0</v>
      </c>
      <c r="AG86" s="183">
        <f>SUMIFS('апрель 2025'!$G$4:$G$2485,'апрель 2025'!$D$4:$D$2485,$B86,'апрель 2025'!$J$4:$J$2485,AG$1)</f>
        <v>0</v>
      </c>
      <c r="AH86" s="183">
        <f>SUMIFS('апрель 2025'!$G$4:$G$2485,'апрель 2025'!$D$4:$D$2485,$B86,'апрель 2025'!$J$4:$J$2485,AH$1)</f>
        <v>0</v>
      </c>
      <c r="AI86" s="20">
        <f t="shared" si="1"/>
        <v>0</v>
      </c>
    </row>
    <row r="87" spans="2:35" ht="15" customHeight="1" x14ac:dyDescent="0.25">
      <c r="B87" s="84" t="s">
        <v>189</v>
      </c>
      <c r="C87" s="83">
        <v>180</v>
      </c>
      <c r="D87" s="183">
        <f>SUMIFS('апрель 2025'!$G$4:$G$2485,'апрель 2025'!$D$4:$D$2485,$B87,'апрель 2025'!$J$4:$J$2485,D$1)</f>
        <v>0</v>
      </c>
      <c r="E87" s="183">
        <f>SUMIFS('апрель 2025'!$G$4:$G$2485,'апрель 2025'!$D$4:$D$2485,$B87,'апрель 2025'!$J$4:$J$2485,E$1)</f>
        <v>0</v>
      </c>
      <c r="F87" s="183">
        <f>SUMIFS('апрель 2025'!$G$4:$G$2485,'апрель 2025'!$D$4:$D$2485,$B87,'апрель 2025'!$J$4:$J$2485,F$1)</f>
        <v>0</v>
      </c>
      <c r="G87" s="183">
        <f>SUMIFS('апрель 2025'!$G$4:$G$2485,'апрель 2025'!$D$4:$D$2485,$B87,'апрель 2025'!$J$4:$J$2485,G$1)</f>
        <v>0</v>
      </c>
      <c r="H87" s="183">
        <f>SUMIFS('апрель 2025'!$G$4:$G$2485,'апрель 2025'!$D$4:$D$2485,$B87,'апрель 2025'!$J$4:$J$2485,H$1)</f>
        <v>0</v>
      </c>
      <c r="I87" s="183">
        <f>SUMIFS('апрель 2025'!$G$4:$G$2485,'апрель 2025'!$D$4:$D$2485,$B87,'апрель 2025'!$J$4:$J$2485,I$1)</f>
        <v>0</v>
      </c>
      <c r="J87" s="183">
        <f>SUMIFS('апрель 2025'!$G$4:$G$2485,'апрель 2025'!$D$4:$D$2485,$B87,'апрель 2025'!$J$4:$J$2485,J$1)</f>
        <v>0</v>
      </c>
      <c r="K87" s="183">
        <f>SUMIFS('апрель 2025'!$G$4:$G$2485,'апрель 2025'!$D$4:$D$2485,$B87,'апрель 2025'!$J$4:$J$2485,K$1)</f>
        <v>0</v>
      </c>
      <c r="L87" s="183">
        <f>SUMIFS('апрель 2025'!$G$4:$G$2485,'апрель 2025'!$D$4:$D$2485,$B87,'апрель 2025'!$J$4:$J$2485,L$1)</f>
        <v>0</v>
      </c>
      <c r="M87" s="183">
        <f>SUMIFS('апрель 2025'!$G$4:$G$2485,'апрель 2025'!$D$4:$D$2485,$B87,'апрель 2025'!$J$4:$J$2485,M$1)</f>
        <v>0</v>
      </c>
      <c r="N87" s="183">
        <f>SUMIFS('апрель 2025'!$G$4:$G$2485,'апрель 2025'!$D$4:$D$2485,$B87,'апрель 2025'!$J$4:$J$2485,N$1)</f>
        <v>0</v>
      </c>
      <c r="O87" s="183">
        <f>SUMIFS('апрель 2025'!$G$4:$G$2485,'апрель 2025'!$D$4:$D$2485,$B87,'апрель 2025'!$J$4:$J$2485,O$1)</f>
        <v>0</v>
      </c>
      <c r="P87" s="183">
        <f>SUMIFS('апрель 2025'!$G$4:$G$2485,'апрель 2025'!$D$4:$D$2485,$B87,'апрель 2025'!$J$4:$J$2485,P$1)</f>
        <v>0</v>
      </c>
      <c r="Q87" s="183">
        <f>SUMIFS('апрель 2025'!$G$4:$G$2485,'апрель 2025'!$D$4:$D$2485,$B87,'апрель 2025'!$J$4:$J$2485,Q$1)</f>
        <v>0</v>
      </c>
      <c r="R87" s="183">
        <f>SUMIFS('апрель 2025'!$G$4:$G$2485,'апрель 2025'!$D$4:$D$2485,$B87,'апрель 2025'!$J$4:$J$2485,R$1)</f>
        <v>0</v>
      </c>
      <c r="S87" s="183">
        <f>SUMIFS('апрель 2025'!$G$4:$G$2485,'апрель 2025'!$D$4:$D$2485,$B87,'апрель 2025'!$J$4:$J$2485,S$1)</f>
        <v>0</v>
      </c>
      <c r="T87" s="183">
        <f>SUMIFS('апрель 2025'!$G$4:$G$2485,'апрель 2025'!$D$4:$D$2485,$B87,'апрель 2025'!$J$4:$J$2485,T$1)</f>
        <v>0</v>
      </c>
      <c r="U87" s="183">
        <f>SUMIFS('апрель 2025'!$G$4:$G$2485,'апрель 2025'!$D$4:$D$2485,$B87,'апрель 2025'!$J$4:$J$2485,U$1)</f>
        <v>0</v>
      </c>
      <c r="V87" s="183">
        <f>SUMIFS('апрель 2025'!$G$4:$G$2485,'апрель 2025'!$D$4:$D$2485,$B87,'апрель 2025'!$J$4:$J$2485,V$1)</f>
        <v>0</v>
      </c>
      <c r="W87" s="183">
        <f>SUMIFS('апрель 2025'!$G$4:$G$2485,'апрель 2025'!$D$4:$D$2485,$B87,'апрель 2025'!$J$4:$J$2485,W$1)</f>
        <v>0</v>
      </c>
      <c r="X87" s="183">
        <f>SUMIFS('апрель 2025'!$G$4:$G$2485,'апрель 2025'!$D$4:$D$2485,$B87,'апрель 2025'!$J$4:$J$2485,X$1)</f>
        <v>0</v>
      </c>
      <c r="Y87" s="183">
        <f>SUMIFS('апрель 2025'!$G$4:$G$2485,'апрель 2025'!$D$4:$D$2485,$B87,'апрель 2025'!$J$4:$J$2485,Y$1)</f>
        <v>0</v>
      </c>
      <c r="Z87" s="183">
        <f>SUMIFS('апрель 2025'!$G$4:$G$2485,'апрель 2025'!$D$4:$D$2485,$B87,'апрель 2025'!$J$4:$J$2485,Z$1)</f>
        <v>0</v>
      </c>
      <c r="AA87" s="183">
        <f>SUMIFS('апрель 2025'!$G$4:$G$2485,'апрель 2025'!$D$4:$D$2485,$B87,'апрель 2025'!$J$4:$J$2485,AA$1)</f>
        <v>0</v>
      </c>
      <c r="AB87" s="183">
        <f>SUMIFS('апрель 2025'!$G$4:$G$2485,'апрель 2025'!$D$4:$D$2485,$B87,'апрель 2025'!$J$4:$J$2485,AB$1)</f>
        <v>0</v>
      </c>
      <c r="AC87" s="183">
        <f>SUMIFS('апрель 2025'!$G$4:$G$2485,'апрель 2025'!$D$4:$D$2485,$B87,'апрель 2025'!$J$4:$J$2485,AC$1)</f>
        <v>0</v>
      </c>
      <c r="AD87" s="183">
        <f>SUMIFS('апрель 2025'!$G$4:$G$2485,'апрель 2025'!$D$4:$D$2485,$B87,'апрель 2025'!$J$4:$J$2485,AD$1)</f>
        <v>0</v>
      </c>
      <c r="AE87" s="183">
        <f>SUMIFS('апрель 2025'!$G$4:$G$2485,'апрель 2025'!$D$4:$D$2485,$B87,'апрель 2025'!$J$4:$J$2485,AE$1)</f>
        <v>0</v>
      </c>
      <c r="AF87" s="183">
        <f>SUMIFS('апрель 2025'!$G$4:$G$2485,'апрель 2025'!$D$4:$D$2485,$B87,'апрель 2025'!$J$4:$J$2485,AF$1)</f>
        <v>0</v>
      </c>
      <c r="AG87" s="183">
        <f>SUMIFS('апрель 2025'!$G$4:$G$2485,'апрель 2025'!$D$4:$D$2485,$B87,'апрель 2025'!$J$4:$J$2485,AG$1)</f>
        <v>0</v>
      </c>
      <c r="AH87" s="183">
        <f>SUMIFS('апрель 2025'!$G$4:$G$2485,'апрель 2025'!$D$4:$D$2485,$B87,'апрель 2025'!$J$4:$J$2485,AH$1)</f>
        <v>0</v>
      </c>
      <c r="AI87" s="20">
        <f t="shared" si="1"/>
        <v>0</v>
      </c>
    </row>
    <row r="88" spans="2:35" ht="15" customHeight="1" x14ac:dyDescent="0.25">
      <c r="B88" s="88" t="s">
        <v>190</v>
      </c>
      <c r="C88" s="86">
        <v>190</v>
      </c>
      <c r="D88" s="183">
        <f>SUMIFS('апрель 2025'!$G$4:$G$2485,'апрель 2025'!$D$4:$D$2485,$B88,'апрель 2025'!$J$4:$J$2485,D$1)</f>
        <v>0</v>
      </c>
      <c r="E88" s="183">
        <f>SUMIFS('апрель 2025'!$G$4:$G$2485,'апрель 2025'!$D$4:$D$2485,$B88,'апрель 2025'!$J$4:$J$2485,E$1)</f>
        <v>0</v>
      </c>
      <c r="F88" s="183">
        <f>SUMIFS('апрель 2025'!$G$4:$G$2485,'апрель 2025'!$D$4:$D$2485,$B88,'апрель 2025'!$J$4:$J$2485,F$1)</f>
        <v>0</v>
      </c>
      <c r="G88" s="183">
        <f>SUMIFS('апрель 2025'!$G$4:$G$2485,'апрель 2025'!$D$4:$D$2485,$B88,'апрель 2025'!$J$4:$J$2485,G$1)</f>
        <v>0</v>
      </c>
      <c r="H88" s="183">
        <f>SUMIFS('апрель 2025'!$G$4:$G$2485,'апрель 2025'!$D$4:$D$2485,$B88,'апрель 2025'!$J$4:$J$2485,H$1)</f>
        <v>0</v>
      </c>
      <c r="I88" s="183">
        <f>SUMIFS('апрель 2025'!$G$4:$G$2485,'апрель 2025'!$D$4:$D$2485,$B88,'апрель 2025'!$J$4:$J$2485,I$1)</f>
        <v>0</v>
      </c>
      <c r="J88" s="183">
        <f>SUMIFS('апрель 2025'!$G$4:$G$2485,'апрель 2025'!$D$4:$D$2485,$B88,'апрель 2025'!$J$4:$J$2485,J$1)</f>
        <v>0</v>
      </c>
      <c r="K88" s="183">
        <f>SUMIFS('апрель 2025'!$G$4:$G$2485,'апрель 2025'!$D$4:$D$2485,$B88,'апрель 2025'!$J$4:$J$2485,K$1)</f>
        <v>0</v>
      </c>
      <c r="L88" s="183">
        <f>SUMIFS('апрель 2025'!$G$4:$G$2485,'апрель 2025'!$D$4:$D$2485,$B88,'апрель 2025'!$J$4:$J$2485,L$1)</f>
        <v>0</v>
      </c>
      <c r="M88" s="183">
        <f>SUMIFS('апрель 2025'!$G$4:$G$2485,'апрель 2025'!$D$4:$D$2485,$B88,'апрель 2025'!$J$4:$J$2485,M$1)</f>
        <v>0</v>
      </c>
      <c r="N88" s="183">
        <f>SUMIFS('апрель 2025'!$G$4:$G$2485,'апрель 2025'!$D$4:$D$2485,$B88,'апрель 2025'!$J$4:$J$2485,N$1)</f>
        <v>0</v>
      </c>
      <c r="O88" s="183">
        <f>SUMIFS('апрель 2025'!$G$4:$G$2485,'апрель 2025'!$D$4:$D$2485,$B88,'апрель 2025'!$J$4:$J$2485,O$1)</f>
        <v>0</v>
      </c>
      <c r="P88" s="183">
        <f>SUMIFS('апрель 2025'!$G$4:$G$2485,'апрель 2025'!$D$4:$D$2485,$B88,'апрель 2025'!$J$4:$J$2485,P$1)</f>
        <v>0</v>
      </c>
      <c r="Q88" s="183">
        <f>SUMIFS('апрель 2025'!$G$4:$G$2485,'апрель 2025'!$D$4:$D$2485,$B88,'апрель 2025'!$J$4:$J$2485,Q$1)</f>
        <v>0</v>
      </c>
      <c r="R88" s="183">
        <f>SUMIFS('апрель 2025'!$G$4:$G$2485,'апрель 2025'!$D$4:$D$2485,$B88,'апрель 2025'!$J$4:$J$2485,R$1)</f>
        <v>0</v>
      </c>
      <c r="S88" s="183">
        <f>SUMIFS('апрель 2025'!$G$4:$G$2485,'апрель 2025'!$D$4:$D$2485,$B88,'апрель 2025'!$J$4:$J$2485,S$1)</f>
        <v>0</v>
      </c>
      <c r="T88" s="183">
        <f>SUMIFS('апрель 2025'!$G$4:$G$2485,'апрель 2025'!$D$4:$D$2485,$B88,'апрель 2025'!$J$4:$J$2485,T$1)</f>
        <v>0</v>
      </c>
      <c r="U88" s="183">
        <f>SUMIFS('апрель 2025'!$G$4:$G$2485,'апрель 2025'!$D$4:$D$2485,$B88,'апрель 2025'!$J$4:$J$2485,U$1)</f>
        <v>0</v>
      </c>
      <c r="V88" s="183">
        <f>SUMIFS('апрель 2025'!$G$4:$G$2485,'апрель 2025'!$D$4:$D$2485,$B88,'апрель 2025'!$J$4:$J$2485,V$1)</f>
        <v>0</v>
      </c>
      <c r="W88" s="183">
        <f>SUMIFS('апрель 2025'!$G$4:$G$2485,'апрель 2025'!$D$4:$D$2485,$B88,'апрель 2025'!$J$4:$J$2485,W$1)</f>
        <v>0</v>
      </c>
      <c r="X88" s="183">
        <f>SUMIFS('апрель 2025'!$G$4:$G$2485,'апрель 2025'!$D$4:$D$2485,$B88,'апрель 2025'!$J$4:$J$2485,X$1)</f>
        <v>0</v>
      </c>
      <c r="Y88" s="183">
        <f>SUMIFS('апрель 2025'!$G$4:$G$2485,'апрель 2025'!$D$4:$D$2485,$B88,'апрель 2025'!$J$4:$J$2485,Y$1)</f>
        <v>0</v>
      </c>
      <c r="Z88" s="183">
        <f>SUMIFS('апрель 2025'!$G$4:$G$2485,'апрель 2025'!$D$4:$D$2485,$B88,'апрель 2025'!$J$4:$J$2485,Z$1)</f>
        <v>0</v>
      </c>
      <c r="AA88" s="183">
        <f>SUMIFS('апрель 2025'!$G$4:$G$2485,'апрель 2025'!$D$4:$D$2485,$B88,'апрель 2025'!$J$4:$J$2485,AA$1)</f>
        <v>0</v>
      </c>
      <c r="AB88" s="183">
        <f>SUMIFS('апрель 2025'!$G$4:$G$2485,'апрель 2025'!$D$4:$D$2485,$B88,'апрель 2025'!$J$4:$J$2485,AB$1)</f>
        <v>0</v>
      </c>
      <c r="AC88" s="183">
        <f>SUMIFS('апрель 2025'!$G$4:$G$2485,'апрель 2025'!$D$4:$D$2485,$B88,'апрель 2025'!$J$4:$J$2485,AC$1)</f>
        <v>0</v>
      </c>
      <c r="AD88" s="183">
        <f>SUMIFS('апрель 2025'!$G$4:$G$2485,'апрель 2025'!$D$4:$D$2485,$B88,'апрель 2025'!$J$4:$J$2485,AD$1)</f>
        <v>0</v>
      </c>
      <c r="AE88" s="183">
        <f>SUMIFS('апрель 2025'!$G$4:$G$2485,'апрель 2025'!$D$4:$D$2485,$B88,'апрель 2025'!$J$4:$J$2485,AE$1)</f>
        <v>0</v>
      </c>
      <c r="AF88" s="183">
        <f>SUMIFS('апрель 2025'!$G$4:$G$2485,'апрель 2025'!$D$4:$D$2485,$B88,'апрель 2025'!$J$4:$J$2485,AF$1)</f>
        <v>0</v>
      </c>
      <c r="AG88" s="183">
        <f>SUMIFS('апрель 2025'!$G$4:$G$2485,'апрель 2025'!$D$4:$D$2485,$B88,'апрель 2025'!$J$4:$J$2485,AG$1)</f>
        <v>0</v>
      </c>
      <c r="AH88" s="183">
        <f>SUMIFS('апрель 2025'!$G$4:$G$2485,'апрель 2025'!$D$4:$D$2485,$B88,'апрель 2025'!$J$4:$J$2485,AH$1)</f>
        <v>0</v>
      </c>
      <c r="AI88" s="20">
        <f t="shared" si="1"/>
        <v>0</v>
      </c>
    </row>
    <row r="89" spans="2:35" ht="15" customHeight="1" x14ac:dyDescent="0.25">
      <c r="B89" s="88" t="s">
        <v>191</v>
      </c>
      <c r="C89" s="86">
        <v>190</v>
      </c>
      <c r="D89" s="183">
        <f>SUMIFS('апрель 2025'!$G$4:$G$2485,'апрель 2025'!$D$4:$D$2485,$B89,'апрель 2025'!$J$4:$J$2485,D$1)</f>
        <v>0</v>
      </c>
      <c r="E89" s="183">
        <f>SUMIFS('апрель 2025'!$G$4:$G$2485,'апрель 2025'!$D$4:$D$2485,$B89,'апрель 2025'!$J$4:$J$2485,E$1)</f>
        <v>0</v>
      </c>
      <c r="F89" s="183">
        <f>SUMIFS('апрель 2025'!$G$4:$G$2485,'апрель 2025'!$D$4:$D$2485,$B89,'апрель 2025'!$J$4:$J$2485,F$1)</f>
        <v>0</v>
      </c>
      <c r="G89" s="183">
        <f>SUMIFS('апрель 2025'!$G$4:$G$2485,'апрель 2025'!$D$4:$D$2485,$B89,'апрель 2025'!$J$4:$J$2485,G$1)</f>
        <v>0</v>
      </c>
      <c r="H89" s="183">
        <f>SUMIFS('апрель 2025'!$G$4:$G$2485,'апрель 2025'!$D$4:$D$2485,$B89,'апрель 2025'!$J$4:$J$2485,H$1)</f>
        <v>0</v>
      </c>
      <c r="I89" s="183">
        <f>SUMIFS('апрель 2025'!$G$4:$G$2485,'апрель 2025'!$D$4:$D$2485,$B89,'апрель 2025'!$J$4:$J$2485,I$1)</f>
        <v>0</v>
      </c>
      <c r="J89" s="183">
        <f>SUMIFS('апрель 2025'!$G$4:$G$2485,'апрель 2025'!$D$4:$D$2485,$B89,'апрель 2025'!$J$4:$J$2485,J$1)</f>
        <v>0</v>
      </c>
      <c r="K89" s="183">
        <f>SUMIFS('апрель 2025'!$G$4:$G$2485,'апрель 2025'!$D$4:$D$2485,$B89,'апрель 2025'!$J$4:$J$2485,K$1)</f>
        <v>0</v>
      </c>
      <c r="L89" s="183">
        <f>SUMIFS('апрель 2025'!$G$4:$G$2485,'апрель 2025'!$D$4:$D$2485,$B89,'апрель 2025'!$J$4:$J$2485,L$1)</f>
        <v>0</v>
      </c>
      <c r="M89" s="183">
        <f>SUMIFS('апрель 2025'!$G$4:$G$2485,'апрель 2025'!$D$4:$D$2485,$B89,'апрель 2025'!$J$4:$J$2485,M$1)</f>
        <v>0</v>
      </c>
      <c r="N89" s="183">
        <f>SUMIFS('апрель 2025'!$G$4:$G$2485,'апрель 2025'!$D$4:$D$2485,$B89,'апрель 2025'!$J$4:$J$2485,N$1)</f>
        <v>0</v>
      </c>
      <c r="O89" s="183">
        <f>SUMIFS('апрель 2025'!$G$4:$G$2485,'апрель 2025'!$D$4:$D$2485,$B89,'апрель 2025'!$J$4:$J$2485,O$1)</f>
        <v>0</v>
      </c>
      <c r="P89" s="183">
        <f>SUMIFS('апрель 2025'!$G$4:$G$2485,'апрель 2025'!$D$4:$D$2485,$B89,'апрель 2025'!$J$4:$J$2485,P$1)</f>
        <v>0</v>
      </c>
      <c r="Q89" s="183">
        <f>SUMIFS('апрель 2025'!$G$4:$G$2485,'апрель 2025'!$D$4:$D$2485,$B89,'апрель 2025'!$J$4:$J$2485,Q$1)</f>
        <v>0</v>
      </c>
      <c r="R89" s="183">
        <f>SUMIFS('апрель 2025'!$G$4:$G$2485,'апрель 2025'!$D$4:$D$2485,$B89,'апрель 2025'!$J$4:$J$2485,R$1)</f>
        <v>0</v>
      </c>
      <c r="S89" s="183">
        <f>SUMIFS('апрель 2025'!$G$4:$G$2485,'апрель 2025'!$D$4:$D$2485,$B89,'апрель 2025'!$J$4:$J$2485,S$1)</f>
        <v>0</v>
      </c>
      <c r="T89" s="183">
        <f>SUMIFS('апрель 2025'!$G$4:$G$2485,'апрель 2025'!$D$4:$D$2485,$B89,'апрель 2025'!$J$4:$J$2485,T$1)</f>
        <v>0</v>
      </c>
      <c r="U89" s="183">
        <f>SUMIFS('апрель 2025'!$G$4:$G$2485,'апрель 2025'!$D$4:$D$2485,$B89,'апрель 2025'!$J$4:$J$2485,U$1)</f>
        <v>0</v>
      </c>
      <c r="V89" s="183">
        <f>SUMIFS('апрель 2025'!$G$4:$G$2485,'апрель 2025'!$D$4:$D$2485,$B89,'апрель 2025'!$J$4:$J$2485,V$1)</f>
        <v>0</v>
      </c>
      <c r="W89" s="183">
        <f>SUMIFS('апрель 2025'!$G$4:$G$2485,'апрель 2025'!$D$4:$D$2485,$B89,'апрель 2025'!$J$4:$J$2485,W$1)</f>
        <v>0</v>
      </c>
      <c r="X89" s="183">
        <f>SUMIFS('апрель 2025'!$G$4:$G$2485,'апрель 2025'!$D$4:$D$2485,$B89,'апрель 2025'!$J$4:$J$2485,X$1)</f>
        <v>0</v>
      </c>
      <c r="Y89" s="183">
        <f>SUMIFS('апрель 2025'!$G$4:$G$2485,'апрель 2025'!$D$4:$D$2485,$B89,'апрель 2025'!$J$4:$J$2485,Y$1)</f>
        <v>0</v>
      </c>
      <c r="Z89" s="183">
        <f>SUMIFS('апрель 2025'!$G$4:$G$2485,'апрель 2025'!$D$4:$D$2485,$B89,'апрель 2025'!$J$4:$J$2485,Z$1)</f>
        <v>0</v>
      </c>
      <c r="AA89" s="183">
        <f>SUMIFS('апрель 2025'!$G$4:$G$2485,'апрель 2025'!$D$4:$D$2485,$B89,'апрель 2025'!$J$4:$J$2485,AA$1)</f>
        <v>0</v>
      </c>
      <c r="AB89" s="183">
        <f>SUMIFS('апрель 2025'!$G$4:$G$2485,'апрель 2025'!$D$4:$D$2485,$B89,'апрель 2025'!$J$4:$J$2485,AB$1)</f>
        <v>0</v>
      </c>
      <c r="AC89" s="183">
        <f>SUMIFS('апрель 2025'!$G$4:$G$2485,'апрель 2025'!$D$4:$D$2485,$B89,'апрель 2025'!$J$4:$J$2485,AC$1)</f>
        <v>0</v>
      </c>
      <c r="AD89" s="183">
        <f>SUMIFS('апрель 2025'!$G$4:$G$2485,'апрель 2025'!$D$4:$D$2485,$B89,'апрель 2025'!$J$4:$J$2485,AD$1)</f>
        <v>0</v>
      </c>
      <c r="AE89" s="183">
        <f>SUMIFS('апрель 2025'!$G$4:$G$2485,'апрель 2025'!$D$4:$D$2485,$B89,'апрель 2025'!$J$4:$J$2485,AE$1)</f>
        <v>0</v>
      </c>
      <c r="AF89" s="183">
        <f>SUMIFS('апрель 2025'!$G$4:$G$2485,'апрель 2025'!$D$4:$D$2485,$B89,'апрель 2025'!$J$4:$J$2485,AF$1)</f>
        <v>0</v>
      </c>
      <c r="AG89" s="183">
        <f>SUMIFS('апрель 2025'!$G$4:$G$2485,'апрель 2025'!$D$4:$D$2485,$B89,'апрель 2025'!$J$4:$J$2485,AG$1)</f>
        <v>0</v>
      </c>
      <c r="AH89" s="183">
        <f>SUMIFS('апрель 2025'!$G$4:$G$2485,'апрель 2025'!$D$4:$D$2485,$B89,'апрель 2025'!$J$4:$J$2485,AH$1)</f>
        <v>0</v>
      </c>
      <c r="AI89" s="20">
        <f t="shared" si="1"/>
        <v>0</v>
      </c>
    </row>
    <row r="90" spans="2:35" ht="15" customHeight="1" x14ac:dyDescent="0.25">
      <c r="B90" s="88" t="s">
        <v>309</v>
      </c>
      <c r="C90" s="86">
        <v>200</v>
      </c>
      <c r="D90" s="183">
        <f>SUMIFS('апрель 2025'!$G$4:$G$2485,'апрель 2025'!$D$4:$D$2485,$B90,'апрель 2025'!$J$4:$J$2485,D$1)</f>
        <v>0</v>
      </c>
      <c r="E90" s="183">
        <f>SUMIFS('апрель 2025'!$G$4:$G$2485,'апрель 2025'!$D$4:$D$2485,$B90,'апрель 2025'!$J$4:$J$2485,E$1)</f>
        <v>0</v>
      </c>
      <c r="F90" s="183">
        <f>SUMIFS('апрель 2025'!$G$4:$G$2485,'апрель 2025'!$D$4:$D$2485,$B90,'апрель 2025'!$J$4:$J$2485,F$1)</f>
        <v>0</v>
      </c>
      <c r="G90" s="183">
        <f>SUMIFS('апрель 2025'!$G$4:$G$2485,'апрель 2025'!$D$4:$D$2485,$B90,'апрель 2025'!$J$4:$J$2485,G$1)</f>
        <v>0</v>
      </c>
      <c r="H90" s="183">
        <f>SUMIFS('апрель 2025'!$G$4:$G$2485,'апрель 2025'!$D$4:$D$2485,$B90,'апрель 2025'!$J$4:$J$2485,H$1)</f>
        <v>0</v>
      </c>
      <c r="I90" s="183">
        <f>SUMIFS('апрель 2025'!$G$4:$G$2485,'апрель 2025'!$D$4:$D$2485,$B90,'апрель 2025'!$J$4:$J$2485,I$1)</f>
        <v>0</v>
      </c>
      <c r="J90" s="183">
        <f>SUMIFS('апрель 2025'!$G$4:$G$2485,'апрель 2025'!$D$4:$D$2485,$B90,'апрель 2025'!$J$4:$J$2485,J$1)</f>
        <v>0</v>
      </c>
      <c r="K90" s="183">
        <f>SUMIFS('апрель 2025'!$G$4:$G$2485,'апрель 2025'!$D$4:$D$2485,$B90,'апрель 2025'!$J$4:$J$2485,K$1)</f>
        <v>0</v>
      </c>
      <c r="L90" s="183">
        <f>SUMIFS('апрель 2025'!$G$4:$G$2485,'апрель 2025'!$D$4:$D$2485,$B90,'апрель 2025'!$J$4:$J$2485,L$1)</f>
        <v>0</v>
      </c>
      <c r="M90" s="183">
        <f>SUMIFS('апрель 2025'!$G$4:$G$2485,'апрель 2025'!$D$4:$D$2485,$B90,'апрель 2025'!$J$4:$J$2485,M$1)</f>
        <v>0</v>
      </c>
      <c r="N90" s="183">
        <f>SUMIFS('апрель 2025'!$G$4:$G$2485,'апрель 2025'!$D$4:$D$2485,$B90,'апрель 2025'!$J$4:$J$2485,N$1)</f>
        <v>0</v>
      </c>
      <c r="O90" s="183">
        <f>SUMIFS('апрель 2025'!$G$4:$G$2485,'апрель 2025'!$D$4:$D$2485,$B90,'апрель 2025'!$J$4:$J$2485,O$1)</f>
        <v>0</v>
      </c>
      <c r="P90" s="183">
        <f>SUMIFS('апрель 2025'!$G$4:$G$2485,'апрель 2025'!$D$4:$D$2485,$B90,'апрель 2025'!$J$4:$J$2485,P$1)</f>
        <v>0</v>
      </c>
      <c r="Q90" s="183">
        <f>SUMIFS('апрель 2025'!$G$4:$G$2485,'апрель 2025'!$D$4:$D$2485,$B90,'апрель 2025'!$J$4:$J$2485,Q$1)</f>
        <v>0</v>
      </c>
      <c r="R90" s="183">
        <f>SUMIFS('апрель 2025'!$G$4:$G$2485,'апрель 2025'!$D$4:$D$2485,$B90,'апрель 2025'!$J$4:$J$2485,R$1)</f>
        <v>0</v>
      </c>
      <c r="S90" s="183">
        <f>SUMIFS('апрель 2025'!$G$4:$G$2485,'апрель 2025'!$D$4:$D$2485,$B90,'апрель 2025'!$J$4:$J$2485,S$1)</f>
        <v>0</v>
      </c>
      <c r="T90" s="183">
        <f>SUMIFS('апрель 2025'!$G$4:$G$2485,'апрель 2025'!$D$4:$D$2485,$B90,'апрель 2025'!$J$4:$J$2485,T$1)</f>
        <v>0</v>
      </c>
      <c r="U90" s="183">
        <f>SUMIFS('апрель 2025'!$G$4:$G$2485,'апрель 2025'!$D$4:$D$2485,$B90,'апрель 2025'!$J$4:$J$2485,U$1)</f>
        <v>0</v>
      </c>
      <c r="V90" s="183">
        <f>SUMIFS('апрель 2025'!$G$4:$G$2485,'апрель 2025'!$D$4:$D$2485,$B90,'апрель 2025'!$J$4:$J$2485,V$1)</f>
        <v>0</v>
      </c>
      <c r="W90" s="183">
        <f>SUMIFS('апрель 2025'!$G$4:$G$2485,'апрель 2025'!$D$4:$D$2485,$B90,'апрель 2025'!$J$4:$J$2485,W$1)</f>
        <v>0</v>
      </c>
      <c r="X90" s="183">
        <f>SUMIFS('апрель 2025'!$G$4:$G$2485,'апрель 2025'!$D$4:$D$2485,$B90,'апрель 2025'!$J$4:$J$2485,X$1)</f>
        <v>0</v>
      </c>
      <c r="Y90" s="183">
        <f>SUMIFS('апрель 2025'!$G$4:$G$2485,'апрель 2025'!$D$4:$D$2485,$B90,'апрель 2025'!$J$4:$J$2485,Y$1)</f>
        <v>0</v>
      </c>
      <c r="Z90" s="183">
        <f>SUMIFS('апрель 2025'!$G$4:$G$2485,'апрель 2025'!$D$4:$D$2485,$B90,'апрель 2025'!$J$4:$J$2485,Z$1)</f>
        <v>0</v>
      </c>
      <c r="AA90" s="183">
        <f>SUMIFS('апрель 2025'!$G$4:$G$2485,'апрель 2025'!$D$4:$D$2485,$B90,'апрель 2025'!$J$4:$J$2485,AA$1)</f>
        <v>0</v>
      </c>
      <c r="AB90" s="183">
        <f>SUMIFS('апрель 2025'!$G$4:$G$2485,'апрель 2025'!$D$4:$D$2485,$B90,'апрель 2025'!$J$4:$J$2485,AB$1)</f>
        <v>0</v>
      </c>
      <c r="AC90" s="183">
        <f>SUMIFS('апрель 2025'!$G$4:$G$2485,'апрель 2025'!$D$4:$D$2485,$B90,'апрель 2025'!$J$4:$J$2485,AC$1)</f>
        <v>0</v>
      </c>
      <c r="AD90" s="183">
        <f>SUMIFS('апрель 2025'!$G$4:$G$2485,'апрель 2025'!$D$4:$D$2485,$B90,'апрель 2025'!$J$4:$J$2485,AD$1)</f>
        <v>0</v>
      </c>
      <c r="AE90" s="183">
        <f>SUMIFS('апрель 2025'!$G$4:$G$2485,'апрель 2025'!$D$4:$D$2485,$B90,'апрель 2025'!$J$4:$J$2485,AE$1)</f>
        <v>0</v>
      </c>
      <c r="AF90" s="183">
        <f>SUMIFS('апрель 2025'!$G$4:$G$2485,'апрель 2025'!$D$4:$D$2485,$B90,'апрель 2025'!$J$4:$J$2485,AF$1)</f>
        <v>0</v>
      </c>
      <c r="AG90" s="183">
        <f>SUMIFS('апрель 2025'!$G$4:$G$2485,'апрель 2025'!$D$4:$D$2485,$B90,'апрель 2025'!$J$4:$J$2485,AG$1)</f>
        <v>0</v>
      </c>
      <c r="AH90" s="183">
        <f>SUMIFS('апрель 2025'!$G$4:$G$2485,'апрель 2025'!$D$4:$D$2485,$B90,'апрель 2025'!$J$4:$J$2485,AH$1)</f>
        <v>0</v>
      </c>
      <c r="AI90" s="20">
        <f t="shared" si="1"/>
        <v>0</v>
      </c>
    </row>
    <row r="91" spans="2:35" ht="15" customHeight="1" x14ac:dyDescent="0.25">
      <c r="B91" s="88" t="s">
        <v>192</v>
      </c>
      <c r="C91" s="86">
        <v>900</v>
      </c>
      <c r="D91" s="183">
        <f>SUMIFS('апрель 2025'!$G$4:$G$2485,'апрель 2025'!$D$4:$D$2485,$B91,'апрель 2025'!$J$4:$J$2485,D$1)</f>
        <v>0</v>
      </c>
      <c r="E91" s="183">
        <f>SUMIFS('апрель 2025'!$G$4:$G$2485,'апрель 2025'!$D$4:$D$2485,$B91,'апрель 2025'!$J$4:$J$2485,E$1)</f>
        <v>0</v>
      </c>
      <c r="F91" s="183">
        <f>SUMIFS('апрель 2025'!$G$4:$G$2485,'апрель 2025'!$D$4:$D$2485,$B91,'апрель 2025'!$J$4:$J$2485,F$1)</f>
        <v>0</v>
      </c>
      <c r="G91" s="183">
        <f>SUMIFS('апрель 2025'!$G$4:$G$2485,'апрель 2025'!$D$4:$D$2485,$B91,'апрель 2025'!$J$4:$J$2485,G$1)</f>
        <v>0</v>
      </c>
      <c r="H91" s="183">
        <f>SUMIFS('апрель 2025'!$G$4:$G$2485,'апрель 2025'!$D$4:$D$2485,$B91,'апрель 2025'!$J$4:$J$2485,H$1)</f>
        <v>0</v>
      </c>
      <c r="I91" s="183">
        <f>SUMIFS('апрель 2025'!$G$4:$G$2485,'апрель 2025'!$D$4:$D$2485,$B91,'апрель 2025'!$J$4:$J$2485,I$1)</f>
        <v>0</v>
      </c>
      <c r="J91" s="183">
        <f>SUMIFS('апрель 2025'!$G$4:$G$2485,'апрель 2025'!$D$4:$D$2485,$B91,'апрель 2025'!$J$4:$J$2485,J$1)</f>
        <v>0</v>
      </c>
      <c r="K91" s="183">
        <f>SUMIFS('апрель 2025'!$G$4:$G$2485,'апрель 2025'!$D$4:$D$2485,$B91,'апрель 2025'!$J$4:$J$2485,K$1)</f>
        <v>0</v>
      </c>
      <c r="L91" s="183">
        <f>SUMIFS('апрель 2025'!$G$4:$G$2485,'апрель 2025'!$D$4:$D$2485,$B91,'апрель 2025'!$J$4:$J$2485,L$1)</f>
        <v>0</v>
      </c>
      <c r="M91" s="183">
        <f>SUMIFS('апрель 2025'!$G$4:$G$2485,'апрель 2025'!$D$4:$D$2485,$B91,'апрель 2025'!$J$4:$J$2485,M$1)</f>
        <v>0</v>
      </c>
      <c r="N91" s="183">
        <f>SUMIFS('апрель 2025'!$G$4:$G$2485,'апрель 2025'!$D$4:$D$2485,$B91,'апрель 2025'!$J$4:$J$2485,N$1)</f>
        <v>0</v>
      </c>
      <c r="O91" s="183">
        <f>SUMIFS('апрель 2025'!$G$4:$G$2485,'апрель 2025'!$D$4:$D$2485,$B91,'апрель 2025'!$J$4:$J$2485,O$1)</f>
        <v>0</v>
      </c>
      <c r="P91" s="183">
        <f>SUMIFS('апрель 2025'!$G$4:$G$2485,'апрель 2025'!$D$4:$D$2485,$B91,'апрель 2025'!$J$4:$J$2485,P$1)</f>
        <v>0</v>
      </c>
      <c r="Q91" s="183">
        <f>SUMIFS('апрель 2025'!$G$4:$G$2485,'апрель 2025'!$D$4:$D$2485,$B91,'апрель 2025'!$J$4:$J$2485,Q$1)</f>
        <v>0</v>
      </c>
      <c r="R91" s="183">
        <f>SUMIFS('апрель 2025'!$G$4:$G$2485,'апрель 2025'!$D$4:$D$2485,$B91,'апрель 2025'!$J$4:$J$2485,R$1)</f>
        <v>0</v>
      </c>
      <c r="S91" s="183">
        <f>SUMIFS('апрель 2025'!$G$4:$G$2485,'апрель 2025'!$D$4:$D$2485,$B91,'апрель 2025'!$J$4:$J$2485,S$1)</f>
        <v>0</v>
      </c>
      <c r="T91" s="183">
        <f>SUMIFS('апрель 2025'!$G$4:$G$2485,'апрель 2025'!$D$4:$D$2485,$B91,'апрель 2025'!$J$4:$J$2485,T$1)</f>
        <v>0</v>
      </c>
      <c r="U91" s="183">
        <f>SUMIFS('апрель 2025'!$G$4:$G$2485,'апрель 2025'!$D$4:$D$2485,$B91,'апрель 2025'!$J$4:$J$2485,U$1)</f>
        <v>0</v>
      </c>
      <c r="V91" s="183">
        <f>SUMIFS('апрель 2025'!$G$4:$G$2485,'апрель 2025'!$D$4:$D$2485,$B91,'апрель 2025'!$J$4:$J$2485,V$1)</f>
        <v>0</v>
      </c>
      <c r="W91" s="183">
        <f>SUMIFS('апрель 2025'!$G$4:$G$2485,'апрель 2025'!$D$4:$D$2485,$B91,'апрель 2025'!$J$4:$J$2485,W$1)</f>
        <v>0</v>
      </c>
      <c r="X91" s="183">
        <f>SUMIFS('апрель 2025'!$G$4:$G$2485,'апрель 2025'!$D$4:$D$2485,$B91,'апрель 2025'!$J$4:$J$2485,X$1)</f>
        <v>0</v>
      </c>
      <c r="Y91" s="183">
        <f>SUMIFS('апрель 2025'!$G$4:$G$2485,'апрель 2025'!$D$4:$D$2485,$B91,'апрель 2025'!$J$4:$J$2485,Y$1)</f>
        <v>0</v>
      </c>
      <c r="Z91" s="183">
        <f>SUMIFS('апрель 2025'!$G$4:$G$2485,'апрель 2025'!$D$4:$D$2485,$B91,'апрель 2025'!$J$4:$J$2485,Z$1)</f>
        <v>0</v>
      </c>
      <c r="AA91" s="183">
        <f>SUMIFS('апрель 2025'!$G$4:$G$2485,'апрель 2025'!$D$4:$D$2485,$B91,'апрель 2025'!$J$4:$J$2485,AA$1)</f>
        <v>0</v>
      </c>
      <c r="AB91" s="183">
        <f>SUMIFS('апрель 2025'!$G$4:$G$2485,'апрель 2025'!$D$4:$D$2485,$B91,'апрель 2025'!$J$4:$J$2485,AB$1)</f>
        <v>0</v>
      </c>
      <c r="AC91" s="183">
        <f>SUMIFS('апрель 2025'!$G$4:$G$2485,'апрель 2025'!$D$4:$D$2485,$B91,'апрель 2025'!$J$4:$J$2485,AC$1)</f>
        <v>0</v>
      </c>
      <c r="AD91" s="183">
        <f>SUMIFS('апрель 2025'!$G$4:$G$2485,'апрель 2025'!$D$4:$D$2485,$B91,'апрель 2025'!$J$4:$J$2485,AD$1)</f>
        <v>0</v>
      </c>
      <c r="AE91" s="183">
        <f>SUMIFS('апрель 2025'!$G$4:$G$2485,'апрель 2025'!$D$4:$D$2485,$B91,'апрель 2025'!$J$4:$J$2485,AE$1)</f>
        <v>0</v>
      </c>
      <c r="AF91" s="183">
        <f>SUMIFS('апрель 2025'!$G$4:$G$2485,'апрель 2025'!$D$4:$D$2485,$B91,'апрель 2025'!$J$4:$J$2485,AF$1)</f>
        <v>0</v>
      </c>
      <c r="AG91" s="183">
        <f>SUMIFS('апрель 2025'!$G$4:$G$2485,'апрель 2025'!$D$4:$D$2485,$B91,'апрель 2025'!$J$4:$J$2485,AG$1)</f>
        <v>0</v>
      </c>
      <c r="AH91" s="183">
        <f>SUMIFS('апрель 2025'!$G$4:$G$2485,'апрель 2025'!$D$4:$D$2485,$B91,'апрель 2025'!$J$4:$J$2485,AH$1)</f>
        <v>0</v>
      </c>
      <c r="AI91" s="20">
        <f t="shared" si="1"/>
        <v>0</v>
      </c>
    </row>
    <row r="92" spans="2:35" ht="15" customHeight="1" x14ac:dyDescent="0.25">
      <c r="B92" s="84" t="s">
        <v>186</v>
      </c>
      <c r="C92" s="83">
        <v>190</v>
      </c>
      <c r="D92" s="183">
        <f>SUMIFS('апрель 2025'!$G$4:$G$2485,'апрель 2025'!$D$4:$D$2485,$B92,'апрель 2025'!$J$4:$J$2485,D$1)</f>
        <v>0</v>
      </c>
      <c r="E92" s="183">
        <f>SUMIFS('апрель 2025'!$G$4:$G$2485,'апрель 2025'!$D$4:$D$2485,$B92,'апрель 2025'!$J$4:$J$2485,E$1)</f>
        <v>0</v>
      </c>
      <c r="F92" s="183">
        <f>SUMIFS('апрель 2025'!$G$4:$G$2485,'апрель 2025'!$D$4:$D$2485,$B92,'апрель 2025'!$J$4:$J$2485,F$1)</f>
        <v>0</v>
      </c>
      <c r="G92" s="183">
        <f>SUMIFS('апрель 2025'!$G$4:$G$2485,'апрель 2025'!$D$4:$D$2485,$B92,'апрель 2025'!$J$4:$J$2485,G$1)</f>
        <v>0</v>
      </c>
      <c r="H92" s="183">
        <f>SUMIFS('апрель 2025'!$G$4:$G$2485,'апрель 2025'!$D$4:$D$2485,$B92,'апрель 2025'!$J$4:$J$2485,H$1)</f>
        <v>0</v>
      </c>
      <c r="I92" s="183">
        <f>SUMIFS('апрель 2025'!$G$4:$G$2485,'апрель 2025'!$D$4:$D$2485,$B92,'апрель 2025'!$J$4:$J$2485,I$1)</f>
        <v>0</v>
      </c>
      <c r="J92" s="183">
        <f>SUMIFS('апрель 2025'!$G$4:$G$2485,'апрель 2025'!$D$4:$D$2485,$B92,'апрель 2025'!$J$4:$J$2485,J$1)</f>
        <v>0</v>
      </c>
      <c r="K92" s="183">
        <f>SUMIFS('апрель 2025'!$G$4:$G$2485,'апрель 2025'!$D$4:$D$2485,$B92,'апрель 2025'!$J$4:$J$2485,K$1)</f>
        <v>0</v>
      </c>
      <c r="L92" s="183">
        <f>SUMIFS('апрель 2025'!$G$4:$G$2485,'апрель 2025'!$D$4:$D$2485,$B92,'апрель 2025'!$J$4:$J$2485,L$1)</f>
        <v>0</v>
      </c>
      <c r="M92" s="183">
        <f>SUMIFS('апрель 2025'!$G$4:$G$2485,'апрель 2025'!$D$4:$D$2485,$B92,'апрель 2025'!$J$4:$J$2485,M$1)</f>
        <v>0</v>
      </c>
      <c r="N92" s="183">
        <f>SUMIFS('апрель 2025'!$G$4:$G$2485,'апрель 2025'!$D$4:$D$2485,$B92,'апрель 2025'!$J$4:$J$2485,N$1)</f>
        <v>0</v>
      </c>
      <c r="O92" s="183">
        <f>SUMIFS('апрель 2025'!$G$4:$G$2485,'апрель 2025'!$D$4:$D$2485,$B92,'апрель 2025'!$J$4:$J$2485,O$1)</f>
        <v>0</v>
      </c>
      <c r="P92" s="183">
        <f>SUMIFS('апрель 2025'!$G$4:$G$2485,'апрель 2025'!$D$4:$D$2485,$B92,'апрель 2025'!$J$4:$J$2485,P$1)</f>
        <v>0</v>
      </c>
      <c r="Q92" s="183">
        <f>SUMIFS('апрель 2025'!$G$4:$G$2485,'апрель 2025'!$D$4:$D$2485,$B92,'апрель 2025'!$J$4:$J$2485,Q$1)</f>
        <v>0</v>
      </c>
      <c r="R92" s="183">
        <f>SUMIFS('апрель 2025'!$G$4:$G$2485,'апрель 2025'!$D$4:$D$2485,$B92,'апрель 2025'!$J$4:$J$2485,R$1)</f>
        <v>0</v>
      </c>
      <c r="S92" s="183">
        <f>SUMIFS('апрель 2025'!$G$4:$G$2485,'апрель 2025'!$D$4:$D$2485,$B92,'апрель 2025'!$J$4:$J$2485,S$1)</f>
        <v>0</v>
      </c>
      <c r="T92" s="183">
        <f>SUMIFS('апрель 2025'!$G$4:$G$2485,'апрель 2025'!$D$4:$D$2485,$B92,'апрель 2025'!$J$4:$J$2485,T$1)</f>
        <v>0</v>
      </c>
      <c r="U92" s="183">
        <f>SUMIFS('апрель 2025'!$G$4:$G$2485,'апрель 2025'!$D$4:$D$2485,$B92,'апрель 2025'!$J$4:$J$2485,U$1)</f>
        <v>0</v>
      </c>
      <c r="V92" s="183">
        <f>SUMIFS('апрель 2025'!$G$4:$G$2485,'апрель 2025'!$D$4:$D$2485,$B92,'апрель 2025'!$J$4:$J$2485,V$1)</f>
        <v>0</v>
      </c>
      <c r="W92" s="183">
        <f>SUMIFS('апрель 2025'!$G$4:$G$2485,'апрель 2025'!$D$4:$D$2485,$B92,'апрель 2025'!$J$4:$J$2485,W$1)</f>
        <v>0</v>
      </c>
      <c r="X92" s="183">
        <f>SUMIFS('апрель 2025'!$G$4:$G$2485,'апрель 2025'!$D$4:$D$2485,$B92,'апрель 2025'!$J$4:$J$2485,X$1)</f>
        <v>0</v>
      </c>
      <c r="Y92" s="183">
        <f>SUMIFS('апрель 2025'!$G$4:$G$2485,'апрель 2025'!$D$4:$D$2485,$B92,'апрель 2025'!$J$4:$J$2485,Y$1)</f>
        <v>0</v>
      </c>
      <c r="Z92" s="183">
        <f>SUMIFS('апрель 2025'!$G$4:$G$2485,'апрель 2025'!$D$4:$D$2485,$B92,'апрель 2025'!$J$4:$J$2485,Z$1)</f>
        <v>0</v>
      </c>
      <c r="AA92" s="183">
        <f>SUMIFS('апрель 2025'!$G$4:$G$2485,'апрель 2025'!$D$4:$D$2485,$B92,'апрель 2025'!$J$4:$J$2485,AA$1)</f>
        <v>0</v>
      </c>
      <c r="AB92" s="183">
        <f>SUMIFS('апрель 2025'!$G$4:$G$2485,'апрель 2025'!$D$4:$D$2485,$B92,'апрель 2025'!$J$4:$J$2485,AB$1)</f>
        <v>0</v>
      </c>
      <c r="AC92" s="183">
        <f>SUMIFS('апрель 2025'!$G$4:$G$2485,'апрель 2025'!$D$4:$D$2485,$B92,'апрель 2025'!$J$4:$J$2485,AC$1)</f>
        <v>0</v>
      </c>
      <c r="AD92" s="183">
        <f>SUMIFS('апрель 2025'!$G$4:$G$2485,'апрель 2025'!$D$4:$D$2485,$B92,'апрель 2025'!$J$4:$J$2485,AD$1)</f>
        <v>0</v>
      </c>
      <c r="AE92" s="183">
        <f>SUMIFS('апрель 2025'!$G$4:$G$2485,'апрель 2025'!$D$4:$D$2485,$B92,'апрель 2025'!$J$4:$J$2485,AE$1)</f>
        <v>0</v>
      </c>
      <c r="AF92" s="183">
        <f>SUMIFS('апрель 2025'!$G$4:$G$2485,'апрель 2025'!$D$4:$D$2485,$B92,'апрель 2025'!$J$4:$J$2485,AF$1)</f>
        <v>0</v>
      </c>
      <c r="AG92" s="183">
        <f>SUMIFS('апрель 2025'!$G$4:$G$2485,'апрель 2025'!$D$4:$D$2485,$B92,'апрель 2025'!$J$4:$J$2485,AG$1)</f>
        <v>0</v>
      </c>
      <c r="AH92" s="183">
        <f>SUMIFS('апрель 2025'!$G$4:$G$2485,'апрель 2025'!$D$4:$D$2485,$B92,'апрель 2025'!$J$4:$J$2485,AH$1)</f>
        <v>0</v>
      </c>
      <c r="AI92" s="20">
        <f t="shared" si="1"/>
        <v>0</v>
      </c>
    </row>
    <row r="93" spans="2:35" ht="15" customHeight="1" x14ac:dyDescent="0.25">
      <c r="B93" s="84" t="s">
        <v>205</v>
      </c>
      <c r="C93" s="83">
        <v>190</v>
      </c>
      <c r="D93" s="183">
        <f>SUMIFS('апрель 2025'!$G$4:$G$2485,'апрель 2025'!$D$4:$D$2485,$B93,'апрель 2025'!$J$4:$J$2485,D$1)</f>
        <v>0</v>
      </c>
      <c r="E93" s="183">
        <f>SUMIFS('апрель 2025'!$G$4:$G$2485,'апрель 2025'!$D$4:$D$2485,$B93,'апрель 2025'!$J$4:$J$2485,E$1)</f>
        <v>0</v>
      </c>
      <c r="F93" s="183">
        <f>SUMIFS('апрель 2025'!$G$4:$G$2485,'апрель 2025'!$D$4:$D$2485,$B93,'апрель 2025'!$J$4:$J$2485,F$1)</f>
        <v>0</v>
      </c>
      <c r="G93" s="183">
        <f>SUMIFS('апрель 2025'!$G$4:$G$2485,'апрель 2025'!$D$4:$D$2485,$B93,'апрель 2025'!$J$4:$J$2485,G$1)</f>
        <v>0</v>
      </c>
      <c r="H93" s="183">
        <f>SUMIFS('апрель 2025'!$G$4:$G$2485,'апрель 2025'!$D$4:$D$2485,$B93,'апрель 2025'!$J$4:$J$2485,H$1)</f>
        <v>0</v>
      </c>
      <c r="I93" s="183">
        <f>SUMIFS('апрель 2025'!$G$4:$G$2485,'апрель 2025'!$D$4:$D$2485,$B93,'апрель 2025'!$J$4:$J$2485,I$1)</f>
        <v>0</v>
      </c>
      <c r="J93" s="183">
        <f>SUMIFS('апрель 2025'!$G$4:$G$2485,'апрель 2025'!$D$4:$D$2485,$B93,'апрель 2025'!$J$4:$J$2485,J$1)</f>
        <v>0</v>
      </c>
      <c r="K93" s="183">
        <f>SUMIFS('апрель 2025'!$G$4:$G$2485,'апрель 2025'!$D$4:$D$2485,$B93,'апрель 2025'!$J$4:$J$2485,K$1)</f>
        <v>0</v>
      </c>
      <c r="L93" s="183">
        <f>SUMIFS('апрель 2025'!$G$4:$G$2485,'апрель 2025'!$D$4:$D$2485,$B93,'апрель 2025'!$J$4:$J$2485,L$1)</f>
        <v>0</v>
      </c>
      <c r="M93" s="183">
        <f>SUMIFS('апрель 2025'!$G$4:$G$2485,'апрель 2025'!$D$4:$D$2485,$B93,'апрель 2025'!$J$4:$J$2485,M$1)</f>
        <v>0</v>
      </c>
      <c r="N93" s="183">
        <f>SUMIFS('апрель 2025'!$G$4:$G$2485,'апрель 2025'!$D$4:$D$2485,$B93,'апрель 2025'!$J$4:$J$2485,N$1)</f>
        <v>0</v>
      </c>
      <c r="O93" s="183">
        <f>SUMIFS('апрель 2025'!$G$4:$G$2485,'апрель 2025'!$D$4:$D$2485,$B93,'апрель 2025'!$J$4:$J$2485,O$1)</f>
        <v>0</v>
      </c>
      <c r="P93" s="183">
        <f>SUMIFS('апрель 2025'!$G$4:$G$2485,'апрель 2025'!$D$4:$D$2485,$B93,'апрель 2025'!$J$4:$J$2485,P$1)</f>
        <v>0</v>
      </c>
      <c r="Q93" s="183">
        <f>SUMIFS('апрель 2025'!$G$4:$G$2485,'апрель 2025'!$D$4:$D$2485,$B93,'апрель 2025'!$J$4:$J$2485,Q$1)</f>
        <v>0</v>
      </c>
      <c r="R93" s="183">
        <f>SUMIFS('апрель 2025'!$G$4:$G$2485,'апрель 2025'!$D$4:$D$2485,$B93,'апрель 2025'!$J$4:$J$2485,R$1)</f>
        <v>0</v>
      </c>
      <c r="S93" s="183">
        <f>SUMIFS('апрель 2025'!$G$4:$G$2485,'апрель 2025'!$D$4:$D$2485,$B93,'апрель 2025'!$J$4:$J$2485,S$1)</f>
        <v>0</v>
      </c>
      <c r="T93" s="183">
        <f>SUMIFS('апрель 2025'!$G$4:$G$2485,'апрель 2025'!$D$4:$D$2485,$B93,'апрель 2025'!$J$4:$J$2485,T$1)</f>
        <v>0</v>
      </c>
      <c r="U93" s="183">
        <f>SUMIFS('апрель 2025'!$G$4:$G$2485,'апрель 2025'!$D$4:$D$2485,$B93,'апрель 2025'!$J$4:$J$2485,U$1)</f>
        <v>0</v>
      </c>
      <c r="V93" s="183">
        <f>SUMIFS('апрель 2025'!$G$4:$G$2485,'апрель 2025'!$D$4:$D$2485,$B93,'апрель 2025'!$J$4:$J$2485,V$1)</f>
        <v>0</v>
      </c>
      <c r="W93" s="183">
        <f>SUMIFS('апрель 2025'!$G$4:$G$2485,'апрель 2025'!$D$4:$D$2485,$B93,'апрель 2025'!$J$4:$J$2485,W$1)</f>
        <v>0</v>
      </c>
      <c r="X93" s="183">
        <f>SUMIFS('апрель 2025'!$G$4:$G$2485,'апрель 2025'!$D$4:$D$2485,$B93,'апрель 2025'!$J$4:$J$2485,X$1)</f>
        <v>0</v>
      </c>
      <c r="Y93" s="183">
        <f>SUMIFS('апрель 2025'!$G$4:$G$2485,'апрель 2025'!$D$4:$D$2485,$B93,'апрель 2025'!$J$4:$J$2485,Y$1)</f>
        <v>0</v>
      </c>
      <c r="Z93" s="183">
        <f>SUMIFS('апрель 2025'!$G$4:$G$2485,'апрель 2025'!$D$4:$D$2485,$B93,'апрель 2025'!$J$4:$J$2485,Z$1)</f>
        <v>0</v>
      </c>
      <c r="AA93" s="183">
        <f>SUMIFS('апрель 2025'!$G$4:$G$2485,'апрель 2025'!$D$4:$D$2485,$B93,'апрель 2025'!$J$4:$J$2485,AA$1)</f>
        <v>0</v>
      </c>
      <c r="AB93" s="183">
        <f>SUMIFS('апрель 2025'!$G$4:$G$2485,'апрель 2025'!$D$4:$D$2485,$B93,'апрель 2025'!$J$4:$J$2485,AB$1)</f>
        <v>0</v>
      </c>
      <c r="AC93" s="183">
        <f>SUMIFS('апрель 2025'!$G$4:$G$2485,'апрель 2025'!$D$4:$D$2485,$B93,'апрель 2025'!$J$4:$J$2485,AC$1)</f>
        <v>0</v>
      </c>
      <c r="AD93" s="183">
        <f>SUMIFS('апрель 2025'!$G$4:$G$2485,'апрель 2025'!$D$4:$D$2485,$B93,'апрель 2025'!$J$4:$J$2485,AD$1)</f>
        <v>0</v>
      </c>
      <c r="AE93" s="183">
        <f>SUMIFS('апрель 2025'!$G$4:$G$2485,'апрель 2025'!$D$4:$D$2485,$B93,'апрель 2025'!$J$4:$J$2485,AE$1)</f>
        <v>0</v>
      </c>
      <c r="AF93" s="183">
        <f>SUMIFS('апрель 2025'!$G$4:$G$2485,'апрель 2025'!$D$4:$D$2485,$B93,'апрель 2025'!$J$4:$J$2485,AF$1)</f>
        <v>0</v>
      </c>
      <c r="AG93" s="183">
        <f>SUMIFS('апрель 2025'!$G$4:$G$2485,'апрель 2025'!$D$4:$D$2485,$B93,'апрель 2025'!$J$4:$J$2485,AG$1)</f>
        <v>0</v>
      </c>
      <c r="AH93" s="183">
        <f>SUMIFS('апрель 2025'!$G$4:$G$2485,'апрель 2025'!$D$4:$D$2485,$B93,'апрель 2025'!$J$4:$J$2485,AH$1)</f>
        <v>0</v>
      </c>
      <c r="AI93" s="20">
        <f t="shared" si="1"/>
        <v>0</v>
      </c>
    </row>
    <row r="94" spans="2:35" ht="15" customHeight="1" x14ac:dyDescent="0.25">
      <c r="B94" s="88" t="s">
        <v>173</v>
      </c>
      <c r="C94" s="83">
        <v>190</v>
      </c>
      <c r="D94" s="183">
        <f>SUMIFS('апрель 2025'!$G$4:$G$2485,'апрель 2025'!$D$4:$D$2485,$B94,'апрель 2025'!$J$4:$J$2485,D$1)</f>
        <v>0</v>
      </c>
      <c r="E94" s="183">
        <f>SUMIFS('апрель 2025'!$G$4:$G$2485,'апрель 2025'!$D$4:$D$2485,$B94,'апрель 2025'!$J$4:$J$2485,E$1)</f>
        <v>0</v>
      </c>
      <c r="F94" s="183">
        <f>SUMIFS('апрель 2025'!$G$4:$G$2485,'апрель 2025'!$D$4:$D$2485,$B94,'апрель 2025'!$J$4:$J$2485,F$1)</f>
        <v>0</v>
      </c>
      <c r="G94" s="183">
        <f>SUMIFS('апрель 2025'!$G$4:$G$2485,'апрель 2025'!$D$4:$D$2485,$B94,'апрель 2025'!$J$4:$J$2485,G$1)</f>
        <v>0</v>
      </c>
      <c r="H94" s="183">
        <f>SUMIFS('апрель 2025'!$G$4:$G$2485,'апрель 2025'!$D$4:$D$2485,$B94,'апрель 2025'!$J$4:$J$2485,H$1)</f>
        <v>0</v>
      </c>
      <c r="I94" s="183">
        <f>SUMIFS('апрель 2025'!$G$4:$G$2485,'апрель 2025'!$D$4:$D$2485,$B94,'апрель 2025'!$J$4:$J$2485,I$1)</f>
        <v>0</v>
      </c>
      <c r="J94" s="183">
        <f>SUMIFS('апрель 2025'!$G$4:$G$2485,'апрель 2025'!$D$4:$D$2485,$B94,'апрель 2025'!$J$4:$J$2485,J$1)</f>
        <v>0</v>
      </c>
      <c r="K94" s="183">
        <f>SUMIFS('апрель 2025'!$G$4:$G$2485,'апрель 2025'!$D$4:$D$2485,$B94,'апрель 2025'!$J$4:$J$2485,K$1)</f>
        <v>0</v>
      </c>
      <c r="L94" s="183">
        <f>SUMIFS('апрель 2025'!$G$4:$G$2485,'апрель 2025'!$D$4:$D$2485,$B94,'апрель 2025'!$J$4:$J$2485,L$1)</f>
        <v>0</v>
      </c>
      <c r="M94" s="183">
        <f>SUMIFS('апрель 2025'!$G$4:$G$2485,'апрель 2025'!$D$4:$D$2485,$B94,'апрель 2025'!$J$4:$J$2485,M$1)</f>
        <v>0</v>
      </c>
      <c r="N94" s="183">
        <f>SUMIFS('апрель 2025'!$G$4:$G$2485,'апрель 2025'!$D$4:$D$2485,$B94,'апрель 2025'!$J$4:$J$2485,N$1)</f>
        <v>0</v>
      </c>
      <c r="O94" s="183">
        <f>SUMIFS('апрель 2025'!$G$4:$G$2485,'апрель 2025'!$D$4:$D$2485,$B94,'апрель 2025'!$J$4:$J$2485,O$1)</f>
        <v>0</v>
      </c>
      <c r="P94" s="183">
        <f>SUMIFS('апрель 2025'!$G$4:$G$2485,'апрель 2025'!$D$4:$D$2485,$B94,'апрель 2025'!$J$4:$J$2485,P$1)</f>
        <v>0</v>
      </c>
      <c r="Q94" s="183">
        <f>SUMIFS('апрель 2025'!$G$4:$G$2485,'апрель 2025'!$D$4:$D$2485,$B94,'апрель 2025'!$J$4:$J$2485,Q$1)</f>
        <v>0</v>
      </c>
      <c r="R94" s="183">
        <f>SUMIFS('апрель 2025'!$G$4:$G$2485,'апрель 2025'!$D$4:$D$2485,$B94,'апрель 2025'!$J$4:$J$2485,R$1)</f>
        <v>0</v>
      </c>
      <c r="S94" s="183">
        <f>SUMIFS('апрель 2025'!$G$4:$G$2485,'апрель 2025'!$D$4:$D$2485,$B94,'апрель 2025'!$J$4:$J$2485,S$1)</f>
        <v>0</v>
      </c>
      <c r="T94" s="183">
        <f>SUMIFS('апрель 2025'!$G$4:$G$2485,'апрель 2025'!$D$4:$D$2485,$B94,'апрель 2025'!$J$4:$J$2485,T$1)</f>
        <v>0</v>
      </c>
      <c r="U94" s="183">
        <f>SUMIFS('апрель 2025'!$G$4:$G$2485,'апрель 2025'!$D$4:$D$2485,$B94,'апрель 2025'!$J$4:$J$2485,U$1)</f>
        <v>0</v>
      </c>
      <c r="V94" s="183">
        <f>SUMIFS('апрель 2025'!$G$4:$G$2485,'апрель 2025'!$D$4:$D$2485,$B94,'апрель 2025'!$J$4:$J$2485,V$1)</f>
        <v>0</v>
      </c>
      <c r="W94" s="183">
        <f>SUMIFS('апрель 2025'!$G$4:$G$2485,'апрель 2025'!$D$4:$D$2485,$B94,'апрель 2025'!$J$4:$J$2485,W$1)</f>
        <v>0</v>
      </c>
      <c r="X94" s="183">
        <f>SUMIFS('апрель 2025'!$G$4:$G$2485,'апрель 2025'!$D$4:$D$2485,$B94,'апрель 2025'!$J$4:$J$2485,X$1)</f>
        <v>0</v>
      </c>
      <c r="Y94" s="183">
        <f>SUMIFS('апрель 2025'!$G$4:$G$2485,'апрель 2025'!$D$4:$D$2485,$B94,'апрель 2025'!$J$4:$J$2485,Y$1)</f>
        <v>0</v>
      </c>
      <c r="Z94" s="183">
        <f>SUMIFS('апрель 2025'!$G$4:$G$2485,'апрель 2025'!$D$4:$D$2485,$B94,'апрель 2025'!$J$4:$J$2485,Z$1)</f>
        <v>0</v>
      </c>
      <c r="AA94" s="183">
        <f>SUMIFS('апрель 2025'!$G$4:$G$2485,'апрель 2025'!$D$4:$D$2485,$B94,'апрель 2025'!$J$4:$J$2485,AA$1)</f>
        <v>0</v>
      </c>
      <c r="AB94" s="183">
        <f>SUMIFS('апрель 2025'!$G$4:$G$2485,'апрель 2025'!$D$4:$D$2485,$B94,'апрель 2025'!$J$4:$J$2485,AB$1)</f>
        <v>0</v>
      </c>
      <c r="AC94" s="183">
        <f>SUMIFS('апрель 2025'!$G$4:$G$2485,'апрель 2025'!$D$4:$D$2485,$B94,'апрель 2025'!$J$4:$J$2485,AC$1)</f>
        <v>0</v>
      </c>
      <c r="AD94" s="183">
        <f>SUMIFS('апрель 2025'!$G$4:$G$2485,'апрель 2025'!$D$4:$D$2485,$B94,'апрель 2025'!$J$4:$J$2485,AD$1)</f>
        <v>0</v>
      </c>
      <c r="AE94" s="183">
        <f>SUMIFS('апрель 2025'!$G$4:$G$2485,'апрель 2025'!$D$4:$D$2485,$B94,'апрель 2025'!$J$4:$J$2485,AE$1)</f>
        <v>0</v>
      </c>
      <c r="AF94" s="183">
        <f>SUMIFS('апрель 2025'!$G$4:$G$2485,'апрель 2025'!$D$4:$D$2485,$B94,'апрель 2025'!$J$4:$J$2485,AF$1)</f>
        <v>0</v>
      </c>
      <c r="AG94" s="183">
        <f>SUMIFS('апрель 2025'!$G$4:$G$2485,'апрель 2025'!$D$4:$D$2485,$B94,'апрель 2025'!$J$4:$J$2485,AG$1)</f>
        <v>0</v>
      </c>
      <c r="AH94" s="183">
        <f>SUMIFS('апрель 2025'!$G$4:$G$2485,'апрель 2025'!$D$4:$D$2485,$B94,'апрель 2025'!$J$4:$J$2485,AH$1)</f>
        <v>0</v>
      </c>
      <c r="AI94" s="20">
        <f t="shared" si="1"/>
        <v>0</v>
      </c>
    </row>
    <row r="95" spans="2:35" ht="15" customHeight="1" x14ac:dyDescent="0.25">
      <c r="B95" s="88" t="s">
        <v>182</v>
      </c>
      <c r="C95" s="86">
        <v>180</v>
      </c>
      <c r="D95" s="183">
        <f>SUMIFS('апрель 2025'!$G$4:$G$2485,'апрель 2025'!$D$4:$D$2485,$B95,'апрель 2025'!$J$4:$J$2485,D$1)</f>
        <v>0</v>
      </c>
      <c r="E95" s="183">
        <f>SUMIFS('апрель 2025'!$G$4:$G$2485,'апрель 2025'!$D$4:$D$2485,$B95,'апрель 2025'!$J$4:$J$2485,E$1)</f>
        <v>0</v>
      </c>
      <c r="F95" s="183">
        <f>SUMIFS('апрель 2025'!$G$4:$G$2485,'апрель 2025'!$D$4:$D$2485,$B95,'апрель 2025'!$J$4:$J$2485,F$1)</f>
        <v>0</v>
      </c>
      <c r="G95" s="183">
        <f>SUMIFS('апрель 2025'!$G$4:$G$2485,'апрель 2025'!$D$4:$D$2485,$B95,'апрель 2025'!$J$4:$J$2485,G$1)</f>
        <v>0</v>
      </c>
      <c r="H95" s="183">
        <f>SUMIFS('апрель 2025'!$G$4:$G$2485,'апрель 2025'!$D$4:$D$2485,$B95,'апрель 2025'!$J$4:$J$2485,H$1)</f>
        <v>0</v>
      </c>
      <c r="I95" s="183">
        <f>SUMIFS('апрель 2025'!$G$4:$G$2485,'апрель 2025'!$D$4:$D$2485,$B95,'апрель 2025'!$J$4:$J$2485,I$1)</f>
        <v>0</v>
      </c>
      <c r="J95" s="183">
        <f>SUMIFS('апрель 2025'!$G$4:$G$2485,'апрель 2025'!$D$4:$D$2485,$B95,'апрель 2025'!$J$4:$J$2485,J$1)</f>
        <v>0</v>
      </c>
      <c r="K95" s="183">
        <f>SUMIFS('апрель 2025'!$G$4:$G$2485,'апрель 2025'!$D$4:$D$2485,$B95,'апрель 2025'!$J$4:$J$2485,K$1)</f>
        <v>0</v>
      </c>
      <c r="L95" s="183">
        <f>SUMIFS('апрель 2025'!$G$4:$G$2485,'апрель 2025'!$D$4:$D$2485,$B95,'апрель 2025'!$J$4:$J$2485,L$1)</f>
        <v>0</v>
      </c>
      <c r="M95" s="183">
        <f>SUMIFS('апрель 2025'!$G$4:$G$2485,'апрель 2025'!$D$4:$D$2485,$B95,'апрель 2025'!$J$4:$J$2485,M$1)</f>
        <v>0</v>
      </c>
      <c r="N95" s="183">
        <f>SUMIFS('апрель 2025'!$G$4:$G$2485,'апрель 2025'!$D$4:$D$2485,$B95,'апрель 2025'!$J$4:$J$2485,N$1)</f>
        <v>0</v>
      </c>
      <c r="O95" s="183">
        <f>SUMIFS('апрель 2025'!$G$4:$G$2485,'апрель 2025'!$D$4:$D$2485,$B95,'апрель 2025'!$J$4:$J$2485,O$1)</f>
        <v>0</v>
      </c>
      <c r="P95" s="183">
        <f>SUMIFS('апрель 2025'!$G$4:$G$2485,'апрель 2025'!$D$4:$D$2485,$B95,'апрель 2025'!$J$4:$J$2485,P$1)</f>
        <v>0</v>
      </c>
      <c r="Q95" s="183">
        <f>SUMIFS('апрель 2025'!$G$4:$G$2485,'апрель 2025'!$D$4:$D$2485,$B95,'апрель 2025'!$J$4:$J$2485,Q$1)</f>
        <v>0</v>
      </c>
      <c r="R95" s="183">
        <f>SUMIFS('апрель 2025'!$G$4:$G$2485,'апрель 2025'!$D$4:$D$2485,$B95,'апрель 2025'!$J$4:$J$2485,R$1)</f>
        <v>0</v>
      </c>
      <c r="S95" s="183">
        <f>SUMIFS('апрель 2025'!$G$4:$G$2485,'апрель 2025'!$D$4:$D$2485,$B95,'апрель 2025'!$J$4:$J$2485,S$1)</f>
        <v>0</v>
      </c>
      <c r="T95" s="183">
        <f>SUMIFS('апрель 2025'!$G$4:$G$2485,'апрель 2025'!$D$4:$D$2485,$B95,'апрель 2025'!$J$4:$J$2485,T$1)</f>
        <v>0</v>
      </c>
      <c r="U95" s="183">
        <f>SUMIFS('апрель 2025'!$G$4:$G$2485,'апрель 2025'!$D$4:$D$2485,$B95,'апрель 2025'!$J$4:$J$2485,U$1)</f>
        <v>0</v>
      </c>
      <c r="V95" s="183">
        <f>SUMIFS('апрель 2025'!$G$4:$G$2485,'апрель 2025'!$D$4:$D$2485,$B95,'апрель 2025'!$J$4:$J$2485,V$1)</f>
        <v>0</v>
      </c>
      <c r="W95" s="183">
        <f>SUMIFS('апрель 2025'!$G$4:$G$2485,'апрель 2025'!$D$4:$D$2485,$B95,'апрель 2025'!$J$4:$J$2485,W$1)</f>
        <v>0</v>
      </c>
      <c r="X95" s="183">
        <f>SUMIFS('апрель 2025'!$G$4:$G$2485,'апрель 2025'!$D$4:$D$2485,$B95,'апрель 2025'!$J$4:$J$2485,X$1)</f>
        <v>0</v>
      </c>
      <c r="Y95" s="183">
        <f>SUMIFS('апрель 2025'!$G$4:$G$2485,'апрель 2025'!$D$4:$D$2485,$B95,'апрель 2025'!$J$4:$J$2485,Y$1)</f>
        <v>0</v>
      </c>
      <c r="Z95" s="183">
        <f>SUMIFS('апрель 2025'!$G$4:$G$2485,'апрель 2025'!$D$4:$D$2485,$B95,'апрель 2025'!$J$4:$J$2485,Z$1)</f>
        <v>0</v>
      </c>
      <c r="AA95" s="183">
        <f>SUMIFS('апрель 2025'!$G$4:$G$2485,'апрель 2025'!$D$4:$D$2485,$B95,'апрель 2025'!$J$4:$J$2485,AA$1)</f>
        <v>0</v>
      </c>
      <c r="AB95" s="183">
        <f>SUMIFS('апрель 2025'!$G$4:$G$2485,'апрель 2025'!$D$4:$D$2485,$B95,'апрель 2025'!$J$4:$J$2485,AB$1)</f>
        <v>0</v>
      </c>
      <c r="AC95" s="183">
        <f>SUMIFS('апрель 2025'!$G$4:$G$2485,'апрель 2025'!$D$4:$D$2485,$B95,'апрель 2025'!$J$4:$J$2485,AC$1)</f>
        <v>0</v>
      </c>
      <c r="AD95" s="183">
        <f>SUMIFS('апрель 2025'!$G$4:$G$2485,'апрель 2025'!$D$4:$D$2485,$B95,'апрель 2025'!$J$4:$J$2485,AD$1)</f>
        <v>0</v>
      </c>
      <c r="AE95" s="183">
        <f>SUMIFS('апрель 2025'!$G$4:$G$2485,'апрель 2025'!$D$4:$D$2485,$B95,'апрель 2025'!$J$4:$J$2485,AE$1)</f>
        <v>0</v>
      </c>
      <c r="AF95" s="183">
        <f>SUMIFS('апрель 2025'!$G$4:$G$2485,'апрель 2025'!$D$4:$D$2485,$B95,'апрель 2025'!$J$4:$J$2485,AF$1)</f>
        <v>0</v>
      </c>
      <c r="AG95" s="183">
        <f>SUMIFS('апрель 2025'!$G$4:$G$2485,'апрель 2025'!$D$4:$D$2485,$B95,'апрель 2025'!$J$4:$J$2485,AG$1)</f>
        <v>0</v>
      </c>
      <c r="AH95" s="183">
        <f>SUMIFS('апрель 2025'!$G$4:$G$2485,'апрель 2025'!$D$4:$D$2485,$B95,'апрель 2025'!$J$4:$J$2485,AH$1)</f>
        <v>0</v>
      </c>
      <c r="AI95" s="20">
        <f t="shared" si="1"/>
        <v>0</v>
      </c>
    </row>
    <row r="96" spans="2:35" ht="15" customHeight="1" x14ac:dyDescent="0.25">
      <c r="B96" s="88" t="s">
        <v>298</v>
      </c>
      <c r="C96" s="86">
        <v>190</v>
      </c>
      <c r="D96" s="183">
        <f>SUMIFS('апрель 2025'!$G$4:$G$2485,'апрель 2025'!$D$4:$D$2485,$B96,'апрель 2025'!$J$4:$J$2485,D$1)</f>
        <v>0</v>
      </c>
      <c r="E96" s="183">
        <f>SUMIFS('апрель 2025'!$G$4:$G$2485,'апрель 2025'!$D$4:$D$2485,$B96,'апрель 2025'!$J$4:$J$2485,E$1)</f>
        <v>0</v>
      </c>
      <c r="F96" s="183">
        <f>SUMIFS('апрель 2025'!$G$4:$G$2485,'апрель 2025'!$D$4:$D$2485,$B96,'апрель 2025'!$J$4:$J$2485,F$1)</f>
        <v>0</v>
      </c>
      <c r="G96" s="183">
        <f>SUMIFS('апрель 2025'!$G$4:$G$2485,'апрель 2025'!$D$4:$D$2485,$B96,'апрель 2025'!$J$4:$J$2485,G$1)</f>
        <v>0</v>
      </c>
      <c r="H96" s="183">
        <f>SUMIFS('апрель 2025'!$G$4:$G$2485,'апрель 2025'!$D$4:$D$2485,$B96,'апрель 2025'!$J$4:$J$2485,H$1)</f>
        <v>0</v>
      </c>
      <c r="I96" s="183">
        <f>SUMIFS('апрель 2025'!$G$4:$G$2485,'апрель 2025'!$D$4:$D$2485,$B96,'апрель 2025'!$J$4:$J$2485,I$1)</f>
        <v>0</v>
      </c>
      <c r="J96" s="183">
        <f>SUMIFS('апрель 2025'!$G$4:$G$2485,'апрель 2025'!$D$4:$D$2485,$B96,'апрель 2025'!$J$4:$J$2485,J$1)</f>
        <v>0</v>
      </c>
      <c r="K96" s="183">
        <f>SUMIFS('апрель 2025'!$G$4:$G$2485,'апрель 2025'!$D$4:$D$2485,$B96,'апрель 2025'!$J$4:$J$2485,K$1)</f>
        <v>0</v>
      </c>
      <c r="L96" s="183">
        <f>SUMIFS('апрель 2025'!$G$4:$G$2485,'апрель 2025'!$D$4:$D$2485,$B96,'апрель 2025'!$J$4:$J$2485,L$1)</f>
        <v>0</v>
      </c>
      <c r="M96" s="183">
        <f>SUMIFS('апрель 2025'!$G$4:$G$2485,'апрель 2025'!$D$4:$D$2485,$B96,'апрель 2025'!$J$4:$J$2485,M$1)</f>
        <v>0</v>
      </c>
      <c r="N96" s="183">
        <f>SUMIFS('апрель 2025'!$G$4:$G$2485,'апрель 2025'!$D$4:$D$2485,$B96,'апрель 2025'!$J$4:$J$2485,N$1)</f>
        <v>0</v>
      </c>
      <c r="O96" s="183">
        <f>SUMIFS('апрель 2025'!$G$4:$G$2485,'апрель 2025'!$D$4:$D$2485,$B96,'апрель 2025'!$J$4:$J$2485,O$1)</f>
        <v>0</v>
      </c>
      <c r="P96" s="183">
        <f>SUMIFS('апрель 2025'!$G$4:$G$2485,'апрель 2025'!$D$4:$D$2485,$B96,'апрель 2025'!$J$4:$J$2485,P$1)</f>
        <v>0</v>
      </c>
      <c r="Q96" s="183">
        <f>SUMIFS('апрель 2025'!$G$4:$G$2485,'апрель 2025'!$D$4:$D$2485,$B96,'апрель 2025'!$J$4:$J$2485,Q$1)</f>
        <v>0</v>
      </c>
      <c r="R96" s="183">
        <f>SUMIFS('апрель 2025'!$G$4:$G$2485,'апрель 2025'!$D$4:$D$2485,$B96,'апрель 2025'!$J$4:$J$2485,R$1)</f>
        <v>0</v>
      </c>
      <c r="S96" s="183">
        <f>SUMIFS('апрель 2025'!$G$4:$G$2485,'апрель 2025'!$D$4:$D$2485,$B96,'апрель 2025'!$J$4:$J$2485,S$1)</f>
        <v>0</v>
      </c>
      <c r="T96" s="183">
        <f>SUMIFS('апрель 2025'!$G$4:$G$2485,'апрель 2025'!$D$4:$D$2485,$B96,'апрель 2025'!$J$4:$J$2485,T$1)</f>
        <v>0</v>
      </c>
      <c r="U96" s="183">
        <f>SUMIFS('апрель 2025'!$G$4:$G$2485,'апрель 2025'!$D$4:$D$2485,$B96,'апрель 2025'!$J$4:$J$2485,U$1)</f>
        <v>0</v>
      </c>
      <c r="V96" s="183">
        <f>SUMIFS('апрель 2025'!$G$4:$G$2485,'апрель 2025'!$D$4:$D$2485,$B96,'апрель 2025'!$J$4:$J$2485,V$1)</f>
        <v>0</v>
      </c>
      <c r="W96" s="183">
        <f>SUMIFS('апрель 2025'!$G$4:$G$2485,'апрель 2025'!$D$4:$D$2485,$B96,'апрель 2025'!$J$4:$J$2485,W$1)</f>
        <v>0</v>
      </c>
      <c r="X96" s="183">
        <f>SUMIFS('апрель 2025'!$G$4:$G$2485,'апрель 2025'!$D$4:$D$2485,$B96,'апрель 2025'!$J$4:$J$2485,X$1)</f>
        <v>0</v>
      </c>
      <c r="Y96" s="183">
        <f>SUMIFS('апрель 2025'!$G$4:$G$2485,'апрель 2025'!$D$4:$D$2485,$B96,'апрель 2025'!$J$4:$J$2485,Y$1)</f>
        <v>0</v>
      </c>
      <c r="Z96" s="183">
        <f>SUMIFS('апрель 2025'!$G$4:$G$2485,'апрель 2025'!$D$4:$D$2485,$B96,'апрель 2025'!$J$4:$J$2485,Z$1)</f>
        <v>0</v>
      </c>
      <c r="AA96" s="183">
        <f>SUMIFS('апрель 2025'!$G$4:$G$2485,'апрель 2025'!$D$4:$D$2485,$B96,'апрель 2025'!$J$4:$J$2485,AA$1)</f>
        <v>0</v>
      </c>
      <c r="AB96" s="183">
        <f>SUMIFS('апрель 2025'!$G$4:$G$2485,'апрель 2025'!$D$4:$D$2485,$B96,'апрель 2025'!$J$4:$J$2485,AB$1)</f>
        <v>0</v>
      </c>
      <c r="AC96" s="183">
        <f>SUMIFS('апрель 2025'!$G$4:$G$2485,'апрель 2025'!$D$4:$D$2485,$B96,'апрель 2025'!$J$4:$J$2485,AC$1)</f>
        <v>0</v>
      </c>
      <c r="AD96" s="183">
        <f>SUMIFS('апрель 2025'!$G$4:$G$2485,'апрель 2025'!$D$4:$D$2485,$B96,'апрель 2025'!$J$4:$J$2485,AD$1)</f>
        <v>0</v>
      </c>
      <c r="AE96" s="183">
        <f>SUMIFS('апрель 2025'!$G$4:$G$2485,'апрель 2025'!$D$4:$D$2485,$B96,'апрель 2025'!$J$4:$J$2485,AE$1)</f>
        <v>0</v>
      </c>
      <c r="AF96" s="183">
        <f>SUMIFS('апрель 2025'!$G$4:$G$2485,'апрель 2025'!$D$4:$D$2485,$B96,'апрель 2025'!$J$4:$J$2485,AF$1)</f>
        <v>0</v>
      </c>
      <c r="AG96" s="183">
        <f>SUMIFS('апрель 2025'!$G$4:$G$2485,'апрель 2025'!$D$4:$D$2485,$B96,'апрель 2025'!$J$4:$J$2485,AG$1)</f>
        <v>0</v>
      </c>
      <c r="AH96" s="183">
        <f>SUMIFS('апрель 2025'!$G$4:$G$2485,'апрель 2025'!$D$4:$D$2485,$B96,'апрель 2025'!$J$4:$J$2485,AH$1)</f>
        <v>0</v>
      </c>
      <c r="AI96" s="20">
        <f t="shared" si="1"/>
        <v>0</v>
      </c>
    </row>
    <row r="97" spans="2:35" ht="15" customHeight="1" x14ac:dyDescent="0.25">
      <c r="B97" s="88" t="s">
        <v>312</v>
      </c>
      <c r="C97" s="86">
        <v>190</v>
      </c>
      <c r="D97" s="183">
        <f>SUMIFS('апрель 2025'!$G$4:$G$2485,'апрель 2025'!$D$4:$D$2485,$B97,'апрель 2025'!$J$4:$J$2485,D$1)</f>
        <v>0</v>
      </c>
      <c r="E97" s="183">
        <f>SUMIFS('апрель 2025'!$G$4:$G$2485,'апрель 2025'!$D$4:$D$2485,$B97,'апрель 2025'!$J$4:$J$2485,E$1)</f>
        <v>0</v>
      </c>
      <c r="F97" s="183">
        <f>SUMIFS('апрель 2025'!$G$4:$G$2485,'апрель 2025'!$D$4:$D$2485,$B97,'апрель 2025'!$J$4:$J$2485,F$1)</f>
        <v>0</v>
      </c>
      <c r="G97" s="183">
        <f>SUMIFS('апрель 2025'!$G$4:$G$2485,'апрель 2025'!$D$4:$D$2485,$B97,'апрель 2025'!$J$4:$J$2485,G$1)</f>
        <v>0</v>
      </c>
      <c r="H97" s="183">
        <f>SUMIFS('апрель 2025'!$G$4:$G$2485,'апрель 2025'!$D$4:$D$2485,$B97,'апрель 2025'!$J$4:$J$2485,H$1)</f>
        <v>0</v>
      </c>
      <c r="I97" s="183">
        <f>SUMIFS('апрель 2025'!$G$4:$G$2485,'апрель 2025'!$D$4:$D$2485,$B97,'апрель 2025'!$J$4:$J$2485,I$1)</f>
        <v>0</v>
      </c>
      <c r="J97" s="183">
        <f>SUMIFS('апрель 2025'!$G$4:$G$2485,'апрель 2025'!$D$4:$D$2485,$B97,'апрель 2025'!$J$4:$J$2485,J$1)</f>
        <v>0</v>
      </c>
      <c r="K97" s="183">
        <f>SUMIFS('апрель 2025'!$G$4:$G$2485,'апрель 2025'!$D$4:$D$2485,$B97,'апрель 2025'!$J$4:$J$2485,K$1)</f>
        <v>0</v>
      </c>
      <c r="L97" s="183">
        <f>SUMIFS('апрель 2025'!$G$4:$G$2485,'апрель 2025'!$D$4:$D$2485,$B97,'апрель 2025'!$J$4:$J$2485,L$1)</f>
        <v>0</v>
      </c>
      <c r="M97" s="183">
        <f>SUMIFS('апрель 2025'!$G$4:$G$2485,'апрель 2025'!$D$4:$D$2485,$B97,'апрель 2025'!$J$4:$J$2485,M$1)</f>
        <v>0</v>
      </c>
      <c r="N97" s="183">
        <f>SUMIFS('апрель 2025'!$G$4:$G$2485,'апрель 2025'!$D$4:$D$2485,$B97,'апрель 2025'!$J$4:$J$2485,N$1)</f>
        <v>0</v>
      </c>
      <c r="O97" s="183">
        <f>SUMIFS('апрель 2025'!$G$4:$G$2485,'апрель 2025'!$D$4:$D$2485,$B97,'апрель 2025'!$J$4:$J$2485,O$1)</f>
        <v>0</v>
      </c>
      <c r="P97" s="183">
        <f>SUMIFS('апрель 2025'!$G$4:$G$2485,'апрель 2025'!$D$4:$D$2485,$B97,'апрель 2025'!$J$4:$J$2485,P$1)</f>
        <v>0</v>
      </c>
      <c r="Q97" s="183">
        <f>SUMIFS('апрель 2025'!$G$4:$G$2485,'апрель 2025'!$D$4:$D$2485,$B97,'апрель 2025'!$J$4:$J$2485,Q$1)</f>
        <v>0</v>
      </c>
      <c r="R97" s="183">
        <f>SUMIFS('апрель 2025'!$G$4:$G$2485,'апрель 2025'!$D$4:$D$2485,$B97,'апрель 2025'!$J$4:$J$2485,R$1)</f>
        <v>0</v>
      </c>
      <c r="S97" s="183">
        <f>SUMIFS('апрель 2025'!$G$4:$G$2485,'апрель 2025'!$D$4:$D$2485,$B97,'апрель 2025'!$J$4:$J$2485,S$1)</f>
        <v>0</v>
      </c>
      <c r="T97" s="183">
        <f>SUMIFS('апрель 2025'!$G$4:$G$2485,'апрель 2025'!$D$4:$D$2485,$B97,'апрель 2025'!$J$4:$J$2485,T$1)</f>
        <v>0</v>
      </c>
      <c r="U97" s="183">
        <f>SUMIFS('апрель 2025'!$G$4:$G$2485,'апрель 2025'!$D$4:$D$2485,$B97,'апрель 2025'!$J$4:$J$2485,U$1)</f>
        <v>0</v>
      </c>
      <c r="V97" s="183">
        <f>SUMIFS('апрель 2025'!$G$4:$G$2485,'апрель 2025'!$D$4:$D$2485,$B97,'апрель 2025'!$J$4:$J$2485,V$1)</f>
        <v>0</v>
      </c>
      <c r="W97" s="183">
        <f>SUMIFS('апрель 2025'!$G$4:$G$2485,'апрель 2025'!$D$4:$D$2485,$B97,'апрель 2025'!$J$4:$J$2485,W$1)</f>
        <v>0</v>
      </c>
      <c r="X97" s="183">
        <f>SUMIFS('апрель 2025'!$G$4:$G$2485,'апрель 2025'!$D$4:$D$2485,$B97,'апрель 2025'!$J$4:$J$2485,X$1)</f>
        <v>0</v>
      </c>
      <c r="Y97" s="183">
        <f>SUMIFS('апрель 2025'!$G$4:$G$2485,'апрель 2025'!$D$4:$D$2485,$B97,'апрель 2025'!$J$4:$J$2485,Y$1)</f>
        <v>0</v>
      </c>
      <c r="Z97" s="183">
        <f>SUMIFS('апрель 2025'!$G$4:$G$2485,'апрель 2025'!$D$4:$D$2485,$B97,'апрель 2025'!$J$4:$J$2485,Z$1)</f>
        <v>0</v>
      </c>
      <c r="AA97" s="183">
        <f>SUMIFS('апрель 2025'!$G$4:$G$2485,'апрель 2025'!$D$4:$D$2485,$B97,'апрель 2025'!$J$4:$J$2485,AA$1)</f>
        <v>0</v>
      </c>
      <c r="AB97" s="183">
        <f>SUMIFS('апрель 2025'!$G$4:$G$2485,'апрель 2025'!$D$4:$D$2485,$B97,'апрель 2025'!$J$4:$J$2485,AB$1)</f>
        <v>0</v>
      </c>
      <c r="AC97" s="183">
        <f>SUMIFS('апрель 2025'!$G$4:$G$2485,'апрель 2025'!$D$4:$D$2485,$B97,'апрель 2025'!$J$4:$J$2485,AC$1)</f>
        <v>0</v>
      </c>
      <c r="AD97" s="183">
        <f>SUMIFS('апрель 2025'!$G$4:$G$2485,'апрель 2025'!$D$4:$D$2485,$B97,'апрель 2025'!$J$4:$J$2485,AD$1)</f>
        <v>0</v>
      </c>
      <c r="AE97" s="183">
        <f>SUMIFS('апрель 2025'!$G$4:$G$2485,'апрель 2025'!$D$4:$D$2485,$B97,'апрель 2025'!$J$4:$J$2485,AE$1)</f>
        <v>0</v>
      </c>
      <c r="AF97" s="183">
        <f>SUMIFS('апрель 2025'!$G$4:$G$2485,'апрель 2025'!$D$4:$D$2485,$B97,'апрель 2025'!$J$4:$J$2485,AF$1)</f>
        <v>0</v>
      </c>
      <c r="AG97" s="183">
        <f>SUMIFS('апрель 2025'!$G$4:$G$2485,'апрель 2025'!$D$4:$D$2485,$B97,'апрель 2025'!$J$4:$J$2485,AG$1)</f>
        <v>0</v>
      </c>
      <c r="AH97" s="183">
        <f>SUMIFS('апрель 2025'!$G$4:$G$2485,'апрель 2025'!$D$4:$D$2485,$B97,'апрель 2025'!$J$4:$J$2485,AH$1)</f>
        <v>0</v>
      </c>
      <c r="AI97" s="20">
        <f t="shared" si="1"/>
        <v>0</v>
      </c>
    </row>
    <row r="98" spans="2:35" ht="15" customHeight="1" x14ac:dyDescent="0.25">
      <c r="B98" s="88" t="s">
        <v>282</v>
      </c>
      <c r="C98" s="86">
        <v>190</v>
      </c>
      <c r="D98" s="183">
        <f>SUMIFS('апрель 2025'!$G$4:$G$2485,'апрель 2025'!$D$4:$D$2485,$B98,'апрель 2025'!$J$4:$J$2485,D$1)</f>
        <v>0</v>
      </c>
      <c r="E98" s="183">
        <f>SUMIFS('апрель 2025'!$G$4:$G$2485,'апрель 2025'!$D$4:$D$2485,$B98,'апрель 2025'!$J$4:$J$2485,E$1)</f>
        <v>0</v>
      </c>
      <c r="F98" s="183">
        <f>SUMIFS('апрель 2025'!$G$4:$G$2485,'апрель 2025'!$D$4:$D$2485,$B98,'апрель 2025'!$J$4:$J$2485,F$1)</f>
        <v>0</v>
      </c>
      <c r="G98" s="183">
        <f>SUMIFS('апрель 2025'!$G$4:$G$2485,'апрель 2025'!$D$4:$D$2485,$B98,'апрель 2025'!$J$4:$J$2485,G$1)</f>
        <v>0</v>
      </c>
      <c r="H98" s="183">
        <f>SUMIFS('апрель 2025'!$G$4:$G$2485,'апрель 2025'!$D$4:$D$2485,$B98,'апрель 2025'!$J$4:$J$2485,H$1)</f>
        <v>0</v>
      </c>
      <c r="I98" s="183">
        <f>SUMIFS('апрель 2025'!$G$4:$G$2485,'апрель 2025'!$D$4:$D$2485,$B98,'апрель 2025'!$J$4:$J$2485,I$1)</f>
        <v>0</v>
      </c>
      <c r="J98" s="183">
        <f>SUMIFS('апрель 2025'!$G$4:$G$2485,'апрель 2025'!$D$4:$D$2485,$B98,'апрель 2025'!$J$4:$J$2485,J$1)</f>
        <v>0</v>
      </c>
      <c r="K98" s="183">
        <f>SUMIFS('апрель 2025'!$G$4:$G$2485,'апрель 2025'!$D$4:$D$2485,$B98,'апрель 2025'!$J$4:$J$2485,K$1)</f>
        <v>0</v>
      </c>
      <c r="L98" s="183">
        <f>SUMIFS('апрель 2025'!$G$4:$G$2485,'апрель 2025'!$D$4:$D$2485,$B98,'апрель 2025'!$J$4:$J$2485,L$1)</f>
        <v>0</v>
      </c>
      <c r="M98" s="183">
        <f>SUMIFS('апрель 2025'!$G$4:$G$2485,'апрель 2025'!$D$4:$D$2485,$B98,'апрель 2025'!$J$4:$J$2485,M$1)</f>
        <v>0</v>
      </c>
      <c r="N98" s="183">
        <f>SUMIFS('апрель 2025'!$G$4:$G$2485,'апрель 2025'!$D$4:$D$2485,$B98,'апрель 2025'!$J$4:$J$2485,N$1)</f>
        <v>0</v>
      </c>
      <c r="O98" s="183">
        <f>SUMIFS('апрель 2025'!$G$4:$G$2485,'апрель 2025'!$D$4:$D$2485,$B98,'апрель 2025'!$J$4:$J$2485,O$1)</f>
        <v>0</v>
      </c>
      <c r="P98" s="183">
        <f>SUMIFS('апрель 2025'!$G$4:$G$2485,'апрель 2025'!$D$4:$D$2485,$B98,'апрель 2025'!$J$4:$J$2485,P$1)</f>
        <v>0</v>
      </c>
      <c r="Q98" s="183">
        <f>SUMIFS('апрель 2025'!$G$4:$G$2485,'апрель 2025'!$D$4:$D$2485,$B98,'апрель 2025'!$J$4:$J$2485,Q$1)</f>
        <v>0</v>
      </c>
      <c r="R98" s="183">
        <f>SUMIFS('апрель 2025'!$G$4:$G$2485,'апрель 2025'!$D$4:$D$2485,$B98,'апрель 2025'!$J$4:$J$2485,R$1)</f>
        <v>0</v>
      </c>
      <c r="S98" s="183">
        <f>SUMIFS('апрель 2025'!$G$4:$G$2485,'апрель 2025'!$D$4:$D$2485,$B98,'апрель 2025'!$J$4:$J$2485,S$1)</f>
        <v>0</v>
      </c>
      <c r="T98" s="183">
        <f>SUMIFS('апрель 2025'!$G$4:$G$2485,'апрель 2025'!$D$4:$D$2485,$B98,'апрель 2025'!$J$4:$J$2485,T$1)</f>
        <v>0</v>
      </c>
      <c r="U98" s="183">
        <f>SUMIFS('апрель 2025'!$G$4:$G$2485,'апрель 2025'!$D$4:$D$2485,$B98,'апрель 2025'!$J$4:$J$2485,U$1)</f>
        <v>0</v>
      </c>
      <c r="V98" s="183">
        <f>SUMIFS('апрель 2025'!$G$4:$G$2485,'апрель 2025'!$D$4:$D$2485,$B98,'апрель 2025'!$J$4:$J$2485,V$1)</f>
        <v>0</v>
      </c>
      <c r="W98" s="183">
        <f>SUMIFS('апрель 2025'!$G$4:$G$2485,'апрель 2025'!$D$4:$D$2485,$B98,'апрель 2025'!$J$4:$J$2485,W$1)</f>
        <v>0</v>
      </c>
      <c r="X98" s="183">
        <f>SUMIFS('апрель 2025'!$G$4:$G$2485,'апрель 2025'!$D$4:$D$2485,$B98,'апрель 2025'!$J$4:$J$2485,X$1)</f>
        <v>0</v>
      </c>
      <c r="Y98" s="183">
        <f>SUMIFS('апрель 2025'!$G$4:$G$2485,'апрель 2025'!$D$4:$D$2485,$B98,'апрель 2025'!$J$4:$J$2485,Y$1)</f>
        <v>0</v>
      </c>
      <c r="Z98" s="183">
        <f>SUMIFS('апрель 2025'!$G$4:$G$2485,'апрель 2025'!$D$4:$D$2485,$B98,'апрель 2025'!$J$4:$J$2485,Z$1)</f>
        <v>0</v>
      </c>
      <c r="AA98" s="183">
        <f>SUMIFS('апрель 2025'!$G$4:$G$2485,'апрель 2025'!$D$4:$D$2485,$B98,'апрель 2025'!$J$4:$J$2485,AA$1)</f>
        <v>40</v>
      </c>
      <c r="AB98" s="183">
        <f>SUMIFS('апрель 2025'!$G$4:$G$2485,'апрель 2025'!$D$4:$D$2485,$B98,'апрель 2025'!$J$4:$J$2485,AB$1)</f>
        <v>0</v>
      </c>
      <c r="AC98" s="183">
        <f>SUMIFS('апрель 2025'!$G$4:$G$2485,'апрель 2025'!$D$4:$D$2485,$B98,'апрель 2025'!$J$4:$J$2485,AC$1)</f>
        <v>0</v>
      </c>
      <c r="AD98" s="183">
        <f>SUMIFS('апрель 2025'!$G$4:$G$2485,'апрель 2025'!$D$4:$D$2485,$B98,'апрель 2025'!$J$4:$J$2485,AD$1)</f>
        <v>0</v>
      </c>
      <c r="AE98" s="183">
        <f>SUMIFS('апрель 2025'!$G$4:$G$2485,'апрель 2025'!$D$4:$D$2485,$B98,'апрель 2025'!$J$4:$J$2485,AE$1)</f>
        <v>0</v>
      </c>
      <c r="AF98" s="183">
        <f>SUMIFS('апрель 2025'!$G$4:$G$2485,'апрель 2025'!$D$4:$D$2485,$B98,'апрель 2025'!$J$4:$J$2485,AF$1)</f>
        <v>0</v>
      </c>
      <c r="AG98" s="183">
        <f>SUMIFS('апрель 2025'!$G$4:$G$2485,'апрель 2025'!$D$4:$D$2485,$B98,'апрель 2025'!$J$4:$J$2485,AG$1)</f>
        <v>0</v>
      </c>
      <c r="AH98" s="183">
        <f>SUMIFS('апрель 2025'!$G$4:$G$2485,'апрель 2025'!$D$4:$D$2485,$B98,'апрель 2025'!$J$4:$J$2485,AH$1)</f>
        <v>0</v>
      </c>
      <c r="AI98" s="20">
        <f t="shared" si="1"/>
        <v>40</v>
      </c>
    </row>
    <row r="99" spans="2:35" ht="15" customHeight="1" x14ac:dyDescent="0.25">
      <c r="B99" s="88" t="s">
        <v>258</v>
      </c>
      <c r="C99" s="86">
        <v>180</v>
      </c>
      <c r="D99" s="183">
        <f>SUMIFS('апрель 2025'!$G$4:$G$2485,'апрель 2025'!$D$4:$D$2485,$B99,'апрель 2025'!$J$4:$J$2485,D$1)</f>
        <v>0</v>
      </c>
      <c r="E99" s="183">
        <f>SUMIFS('апрель 2025'!$G$4:$G$2485,'апрель 2025'!$D$4:$D$2485,$B99,'апрель 2025'!$J$4:$J$2485,E$1)</f>
        <v>0</v>
      </c>
      <c r="F99" s="183">
        <f>SUMIFS('апрель 2025'!$G$4:$G$2485,'апрель 2025'!$D$4:$D$2485,$B99,'апрель 2025'!$J$4:$J$2485,F$1)</f>
        <v>0</v>
      </c>
      <c r="G99" s="183">
        <f>SUMIFS('апрель 2025'!$G$4:$G$2485,'апрель 2025'!$D$4:$D$2485,$B99,'апрель 2025'!$J$4:$J$2485,G$1)</f>
        <v>0</v>
      </c>
      <c r="H99" s="183">
        <f>SUMIFS('апрель 2025'!$G$4:$G$2485,'апрель 2025'!$D$4:$D$2485,$B99,'апрель 2025'!$J$4:$J$2485,H$1)</f>
        <v>0</v>
      </c>
      <c r="I99" s="183">
        <f>SUMIFS('апрель 2025'!$G$4:$G$2485,'апрель 2025'!$D$4:$D$2485,$B99,'апрель 2025'!$J$4:$J$2485,I$1)</f>
        <v>0</v>
      </c>
      <c r="J99" s="183">
        <f>SUMIFS('апрель 2025'!$G$4:$G$2485,'апрель 2025'!$D$4:$D$2485,$B99,'апрель 2025'!$J$4:$J$2485,J$1)</f>
        <v>0</v>
      </c>
      <c r="K99" s="183">
        <f>SUMIFS('апрель 2025'!$G$4:$G$2485,'апрель 2025'!$D$4:$D$2485,$B99,'апрель 2025'!$J$4:$J$2485,K$1)</f>
        <v>0</v>
      </c>
      <c r="L99" s="183">
        <f>SUMIFS('апрель 2025'!$G$4:$G$2485,'апрель 2025'!$D$4:$D$2485,$B99,'апрель 2025'!$J$4:$J$2485,L$1)</f>
        <v>0</v>
      </c>
      <c r="M99" s="183">
        <f>SUMIFS('апрель 2025'!$G$4:$G$2485,'апрель 2025'!$D$4:$D$2485,$B99,'апрель 2025'!$J$4:$J$2485,M$1)</f>
        <v>0</v>
      </c>
      <c r="N99" s="183">
        <f>SUMIFS('апрель 2025'!$G$4:$G$2485,'апрель 2025'!$D$4:$D$2485,$B99,'апрель 2025'!$J$4:$J$2485,N$1)</f>
        <v>0</v>
      </c>
      <c r="O99" s="183">
        <f>SUMIFS('апрель 2025'!$G$4:$G$2485,'апрель 2025'!$D$4:$D$2485,$B99,'апрель 2025'!$J$4:$J$2485,O$1)</f>
        <v>0</v>
      </c>
      <c r="P99" s="183">
        <f>SUMIFS('апрель 2025'!$G$4:$G$2485,'апрель 2025'!$D$4:$D$2485,$B99,'апрель 2025'!$J$4:$J$2485,P$1)</f>
        <v>0</v>
      </c>
      <c r="Q99" s="183">
        <f>SUMIFS('апрель 2025'!$G$4:$G$2485,'апрель 2025'!$D$4:$D$2485,$B99,'апрель 2025'!$J$4:$J$2485,Q$1)</f>
        <v>0</v>
      </c>
      <c r="R99" s="183">
        <f>SUMIFS('апрель 2025'!$G$4:$G$2485,'апрель 2025'!$D$4:$D$2485,$B99,'апрель 2025'!$J$4:$J$2485,R$1)</f>
        <v>0</v>
      </c>
      <c r="S99" s="183">
        <f>SUMIFS('апрель 2025'!$G$4:$G$2485,'апрель 2025'!$D$4:$D$2485,$B99,'апрель 2025'!$J$4:$J$2485,S$1)</f>
        <v>0</v>
      </c>
      <c r="T99" s="183">
        <f>SUMIFS('апрель 2025'!$G$4:$G$2485,'апрель 2025'!$D$4:$D$2485,$B99,'апрель 2025'!$J$4:$J$2485,T$1)</f>
        <v>0</v>
      </c>
      <c r="U99" s="183">
        <f>SUMIFS('апрель 2025'!$G$4:$G$2485,'апрель 2025'!$D$4:$D$2485,$B99,'апрель 2025'!$J$4:$J$2485,U$1)</f>
        <v>0</v>
      </c>
      <c r="V99" s="183">
        <f>SUMIFS('апрель 2025'!$G$4:$G$2485,'апрель 2025'!$D$4:$D$2485,$B99,'апрель 2025'!$J$4:$J$2485,V$1)</f>
        <v>0</v>
      </c>
      <c r="W99" s="183">
        <f>SUMIFS('апрель 2025'!$G$4:$G$2485,'апрель 2025'!$D$4:$D$2485,$B99,'апрель 2025'!$J$4:$J$2485,W$1)</f>
        <v>0</v>
      </c>
      <c r="X99" s="183">
        <f>SUMIFS('апрель 2025'!$G$4:$G$2485,'апрель 2025'!$D$4:$D$2485,$B99,'апрель 2025'!$J$4:$J$2485,X$1)</f>
        <v>0</v>
      </c>
      <c r="Y99" s="183">
        <f>SUMIFS('апрель 2025'!$G$4:$G$2485,'апрель 2025'!$D$4:$D$2485,$B99,'апрель 2025'!$J$4:$J$2485,Y$1)</f>
        <v>0</v>
      </c>
      <c r="Z99" s="183">
        <f>SUMIFS('апрель 2025'!$G$4:$G$2485,'апрель 2025'!$D$4:$D$2485,$B99,'апрель 2025'!$J$4:$J$2485,Z$1)</f>
        <v>0</v>
      </c>
      <c r="AA99" s="183">
        <f>SUMIFS('апрель 2025'!$G$4:$G$2485,'апрель 2025'!$D$4:$D$2485,$B99,'апрель 2025'!$J$4:$J$2485,AA$1)</f>
        <v>0</v>
      </c>
      <c r="AB99" s="183">
        <f>SUMIFS('апрель 2025'!$G$4:$G$2485,'апрель 2025'!$D$4:$D$2485,$B99,'апрель 2025'!$J$4:$J$2485,AB$1)</f>
        <v>0</v>
      </c>
      <c r="AC99" s="183">
        <f>SUMIFS('апрель 2025'!$G$4:$G$2485,'апрель 2025'!$D$4:$D$2485,$B99,'апрель 2025'!$J$4:$J$2485,AC$1)</f>
        <v>0</v>
      </c>
      <c r="AD99" s="183">
        <f>SUMIFS('апрель 2025'!$G$4:$G$2485,'апрель 2025'!$D$4:$D$2485,$B99,'апрель 2025'!$J$4:$J$2485,AD$1)</f>
        <v>0</v>
      </c>
      <c r="AE99" s="183">
        <f>SUMIFS('апрель 2025'!$G$4:$G$2485,'апрель 2025'!$D$4:$D$2485,$B99,'апрель 2025'!$J$4:$J$2485,AE$1)</f>
        <v>0</v>
      </c>
      <c r="AF99" s="183">
        <f>SUMIFS('апрель 2025'!$G$4:$G$2485,'апрель 2025'!$D$4:$D$2485,$B99,'апрель 2025'!$J$4:$J$2485,AF$1)</f>
        <v>0</v>
      </c>
      <c r="AG99" s="183">
        <f>SUMIFS('апрель 2025'!$G$4:$G$2485,'апрель 2025'!$D$4:$D$2485,$B99,'апрель 2025'!$J$4:$J$2485,AG$1)</f>
        <v>0</v>
      </c>
      <c r="AH99" s="183">
        <f>SUMIFS('апрель 2025'!$G$4:$G$2485,'апрель 2025'!$D$4:$D$2485,$B99,'апрель 2025'!$J$4:$J$2485,AH$1)</f>
        <v>0</v>
      </c>
      <c r="AI99" s="20">
        <f t="shared" si="1"/>
        <v>0</v>
      </c>
    </row>
    <row r="100" spans="2:35" ht="15" customHeight="1" x14ac:dyDescent="0.25">
      <c r="B100" s="88" t="s">
        <v>259</v>
      </c>
      <c r="C100" s="86">
        <v>180</v>
      </c>
      <c r="D100" s="183">
        <f>SUMIFS('апрель 2025'!$G$4:$G$2485,'апрель 2025'!$D$4:$D$2485,$B100,'апрель 2025'!$J$4:$J$2485,D$1)</f>
        <v>0</v>
      </c>
      <c r="E100" s="183">
        <f>SUMIFS('апрель 2025'!$G$4:$G$2485,'апрель 2025'!$D$4:$D$2485,$B100,'апрель 2025'!$J$4:$J$2485,E$1)</f>
        <v>0</v>
      </c>
      <c r="F100" s="183">
        <f>SUMIFS('апрель 2025'!$G$4:$G$2485,'апрель 2025'!$D$4:$D$2485,$B100,'апрель 2025'!$J$4:$J$2485,F$1)</f>
        <v>0</v>
      </c>
      <c r="G100" s="183">
        <f>SUMIFS('апрель 2025'!$G$4:$G$2485,'апрель 2025'!$D$4:$D$2485,$B100,'апрель 2025'!$J$4:$J$2485,G$1)</f>
        <v>0</v>
      </c>
      <c r="H100" s="183">
        <f>SUMIFS('апрель 2025'!$G$4:$G$2485,'апрель 2025'!$D$4:$D$2485,$B100,'апрель 2025'!$J$4:$J$2485,H$1)</f>
        <v>0</v>
      </c>
      <c r="I100" s="183">
        <f>SUMIFS('апрель 2025'!$G$4:$G$2485,'апрель 2025'!$D$4:$D$2485,$B100,'апрель 2025'!$J$4:$J$2485,I$1)</f>
        <v>0</v>
      </c>
      <c r="J100" s="183">
        <f>SUMIFS('апрель 2025'!$G$4:$G$2485,'апрель 2025'!$D$4:$D$2485,$B100,'апрель 2025'!$J$4:$J$2485,J$1)</f>
        <v>0</v>
      </c>
      <c r="K100" s="183">
        <f>SUMIFS('апрель 2025'!$G$4:$G$2485,'апрель 2025'!$D$4:$D$2485,$B100,'апрель 2025'!$J$4:$J$2485,K$1)</f>
        <v>0</v>
      </c>
      <c r="L100" s="183">
        <f>SUMIFS('апрель 2025'!$G$4:$G$2485,'апрель 2025'!$D$4:$D$2485,$B100,'апрель 2025'!$J$4:$J$2485,L$1)</f>
        <v>0</v>
      </c>
      <c r="M100" s="183">
        <f>SUMIFS('апрель 2025'!$G$4:$G$2485,'апрель 2025'!$D$4:$D$2485,$B100,'апрель 2025'!$J$4:$J$2485,M$1)</f>
        <v>0</v>
      </c>
      <c r="N100" s="183">
        <f>SUMIFS('апрель 2025'!$G$4:$G$2485,'апрель 2025'!$D$4:$D$2485,$B100,'апрель 2025'!$J$4:$J$2485,N$1)</f>
        <v>0</v>
      </c>
      <c r="O100" s="183">
        <f>SUMIFS('апрель 2025'!$G$4:$G$2485,'апрель 2025'!$D$4:$D$2485,$B100,'апрель 2025'!$J$4:$J$2485,O$1)</f>
        <v>0</v>
      </c>
      <c r="P100" s="183">
        <f>SUMIFS('апрель 2025'!$G$4:$G$2485,'апрель 2025'!$D$4:$D$2485,$B100,'апрель 2025'!$J$4:$J$2485,P$1)</f>
        <v>0</v>
      </c>
      <c r="Q100" s="183">
        <f>SUMIFS('апрель 2025'!$G$4:$G$2485,'апрель 2025'!$D$4:$D$2485,$B100,'апрель 2025'!$J$4:$J$2485,Q$1)</f>
        <v>0</v>
      </c>
      <c r="R100" s="183">
        <f>SUMIFS('апрель 2025'!$G$4:$G$2485,'апрель 2025'!$D$4:$D$2485,$B100,'апрель 2025'!$J$4:$J$2485,R$1)</f>
        <v>0</v>
      </c>
      <c r="S100" s="183">
        <f>SUMIFS('апрель 2025'!$G$4:$G$2485,'апрель 2025'!$D$4:$D$2485,$B100,'апрель 2025'!$J$4:$J$2485,S$1)</f>
        <v>0</v>
      </c>
      <c r="T100" s="183">
        <f>SUMIFS('апрель 2025'!$G$4:$G$2485,'апрель 2025'!$D$4:$D$2485,$B100,'апрель 2025'!$J$4:$J$2485,T$1)</f>
        <v>0</v>
      </c>
      <c r="U100" s="183">
        <f>SUMIFS('апрель 2025'!$G$4:$G$2485,'апрель 2025'!$D$4:$D$2485,$B100,'апрель 2025'!$J$4:$J$2485,U$1)</f>
        <v>0</v>
      </c>
      <c r="V100" s="183">
        <f>SUMIFS('апрель 2025'!$G$4:$G$2485,'апрель 2025'!$D$4:$D$2485,$B100,'апрель 2025'!$J$4:$J$2485,V$1)</f>
        <v>0</v>
      </c>
      <c r="W100" s="183">
        <f>SUMIFS('апрель 2025'!$G$4:$G$2485,'апрель 2025'!$D$4:$D$2485,$B100,'апрель 2025'!$J$4:$J$2485,W$1)</f>
        <v>0</v>
      </c>
      <c r="X100" s="183">
        <f>SUMIFS('апрель 2025'!$G$4:$G$2485,'апрель 2025'!$D$4:$D$2485,$B100,'апрель 2025'!$J$4:$J$2485,X$1)</f>
        <v>0</v>
      </c>
      <c r="Y100" s="183">
        <f>SUMIFS('апрель 2025'!$G$4:$G$2485,'апрель 2025'!$D$4:$D$2485,$B100,'апрель 2025'!$J$4:$J$2485,Y$1)</f>
        <v>0</v>
      </c>
      <c r="Z100" s="183">
        <f>SUMIFS('апрель 2025'!$G$4:$G$2485,'апрель 2025'!$D$4:$D$2485,$B100,'апрель 2025'!$J$4:$J$2485,Z$1)</f>
        <v>0</v>
      </c>
      <c r="AA100" s="183">
        <f>SUMIFS('апрель 2025'!$G$4:$G$2485,'апрель 2025'!$D$4:$D$2485,$B100,'апрель 2025'!$J$4:$J$2485,AA$1)</f>
        <v>0</v>
      </c>
      <c r="AB100" s="183">
        <f>SUMIFS('апрель 2025'!$G$4:$G$2485,'апрель 2025'!$D$4:$D$2485,$B100,'апрель 2025'!$J$4:$J$2485,AB$1)</f>
        <v>0</v>
      </c>
      <c r="AC100" s="183">
        <f>SUMIFS('апрель 2025'!$G$4:$G$2485,'апрель 2025'!$D$4:$D$2485,$B100,'апрель 2025'!$J$4:$J$2485,AC$1)</f>
        <v>0</v>
      </c>
      <c r="AD100" s="183">
        <f>SUMIFS('апрель 2025'!$G$4:$G$2485,'апрель 2025'!$D$4:$D$2485,$B100,'апрель 2025'!$J$4:$J$2485,AD$1)</f>
        <v>0</v>
      </c>
      <c r="AE100" s="183">
        <f>SUMIFS('апрель 2025'!$G$4:$G$2485,'апрель 2025'!$D$4:$D$2485,$B100,'апрель 2025'!$J$4:$J$2485,AE$1)</f>
        <v>0</v>
      </c>
      <c r="AF100" s="183">
        <f>SUMIFS('апрель 2025'!$G$4:$G$2485,'апрель 2025'!$D$4:$D$2485,$B100,'апрель 2025'!$J$4:$J$2485,AF$1)</f>
        <v>0</v>
      </c>
      <c r="AG100" s="183">
        <f>SUMIFS('апрель 2025'!$G$4:$G$2485,'апрель 2025'!$D$4:$D$2485,$B100,'апрель 2025'!$J$4:$J$2485,AG$1)</f>
        <v>0</v>
      </c>
      <c r="AH100" s="183">
        <f>SUMIFS('апрель 2025'!$G$4:$G$2485,'апрель 2025'!$D$4:$D$2485,$B100,'апрель 2025'!$J$4:$J$2485,AH$1)</f>
        <v>0</v>
      </c>
      <c r="AI100" s="20">
        <f t="shared" si="1"/>
        <v>0</v>
      </c>
    </row>
    <row r="101" spans="2:35" ht="15" customHeight="1" x14ac:dyDescent="0.25">
      <c r="B101" s="88" t="s">
        <v>289</v>
      </c>
      <c r="C101" s="86">
        <v>20</v>
      </c>
      <c r="D101" s="183">
        <f>SUMIFS('апрель 2025'!$G$4:$G$2485,'апрель 2025'!$D$4:$D$2485,$B101,'апрель 2025'!$J$4:$J$2485,D$1)</f>
        <v>0</v>
      </c>
      <c r="E101" s="183">
        <f>SUMIFS('апрель 2025'!$G$4:$G$2485,'апрель 2025'!$D$4:$D$2485,$B101,'апрель 2025'!$J$4:$J$2485,E$1)</f>
        <v>0</v>
      </c>
      <c r="F101" s="183">
        <f>SUMIFS('апрель 2025'!$G$4:$G$2485,'апрель 2025'!$D$4:$D$2485,$B101,'апрель 2025'!$J$4:$J$2485,F$1)</f>
        <v>0</v>
      </c>
      <c r="G101" s="183">
        <f>SUMIFS('апрель 2025'!$G$4:$G$2485,'апрель 2025'!$D$4:$D$2485,$B101,'апрель 2025'!$J$4:$J$2485,G$1)</f>
        <v>0</v>
      </c>
      <c r="H101" s="183">
        <f>SUMIFS('апрель 2025'!$G$4:$G$2485,'апрель 2025'!$D$4:$D$2485,$B101,'апрель 2025'!$J$4:$J$2485,H$1)</f>
        <v>0</v>
      </c>
      <c r="I101" s="183">
        <f>SUMIFS('апрель 2025'!$G$4:$G$2485,'апрель 2025'!$D$4:$D$2485,$B101,'апрель 2025'!$J$4:$J$2485,I$1)</f>
        <v>0</v>
      </c>
      <c r="J101" s="183">
        <f>SUMIFS('апрель 2025'!$G$4:$G$2485,'апрель 2025'!$D$4:$D$2485,$B101,'апрель 2025'!$J$4:$J$2485,J$1)</f>
        <v>0</v>
      </c>
      <c r="K101" s="183">
        <f>SUMIFS('апрель 2025'!$G$4:$G$2485,'апрель 2025'!$D$4:$D$2485,$B101,'апрель 2025'!$J$4:$J$2485,K$1)</f>
        <v>0</v>
      </c>
      <c r="L101" s="183">
        <f>SUMIFS('апрель 2025'!$G$4:$G$2485,'апрель 2025'!$D$4:$D$2485,$B101,'апрель 2025'!$J$4:$J$2485,L$1)</f>
        <v>0</v>
      </c>
      <c r="M101" s="183">
        <f>SUMIFS('апрель 2025'!$G$4:$G$2485,'апрель 2025'!$D$4:$D$2485,$B101,'апрель 2025'!$J$4:$J$2485,M$1)</f>
        <v>0</v>
      </c>
      <c r="N101" s="183">
        <f>SUMIFS('апрель 2025'!$G$4:$G$2485,'апрель 2025'!$D$4:$D$2485,$B101,'апрель 2025'!$J$4:$J$2485,N$1)</f>
        <v>0</v>
      </c>
      <c r="O101" s="183">
        <f>SUMIFS('апрель 2025'!$G$4:$G$2485,'апрель 2025'!$D$4:$D$2485,$B101,'апрель 2025'!$J$4:$J$2485,O$1)</f>
        <v>0</v>
      </c>
      <c r="P101" s="183">
        <f>SUMIFS('апрель 2025'!$G$4:$G$2485,'апрель 2025'!$D$4:$D$2485,$B101,'апрель 2025'!$J$4:$J$2485,P$1)</f>
        <v>0</v>
      </c>
      <c r="Q101" s="183">
        <f>SUMIFS('апрель 2025'!$G$4:$G$2485,'апрель 2025'!$D$4:$D$2485,$B101,'апрель 2025'!$J$4:$J$2485,Q$1)</f>
        <v>0</v>
      </c>
      <c r="R101" s="183">
        <f>SUMIFS('апрель 2025'!$G$4:$G$2485,'апрель 2025'!$D$4:$D$2485,$B101,'апрель 2025'!$J$4:$J$2485,R$1)</f>
        <v>0</v>
      </c>
      <c r="S101" s="183">
        <f>SUMIFS('апрель 2025'!$G$4:$G$2485,'апрель 2025'!$D$4:$D$2485,$B101,'апрель 2025'!$J$4:$J$2485,S$1)</f>
        <v>0</v>
      </c>
      <c r="T101" s="183">
        <f>SUMIFS('апрель 2025'!$G$4:$G$2485,'апрель 2025'!$D$4:$D$2485,$B101,'апрель 2025'!$J$4:$J$2485,T$1)</f>
        <v>0</v>
      </c>
      <c r="U101" s="183">
        <f>SUMIFS('апрель 2025'!$G$4:$G$2485,'апрель 2025'!$D$4:$D$2485,$B101,'апрель 2025'!$J$4:$J$2485,U$1)</f>
        <v>0</v>
      </c>
      <c r="V101" s="183">
        <f>SUMIFS('апрель 2025'!$G$4:$G$2485,'апрель 2025'!$D$4:$D$2485,$B101,'апрель 2025'!$J$4:$J$2485,V$1)</f>
        <v>0</v>
      </c>
      <c r="W101" s="183">
        <f>SUMIFS('апрель 2025'!$G$4:$G$2485,'апрель 2025'!$D$4:$D$2485,$B101,'апрель 2025'!$J$4:$J$2485,W$1)</f>
        <v>0</v>
      </c>
      <c r="X101" s="183">
        <f>SUMIFS('апрель 2025'!$G$4:$G$2485,'апрель 2025'!$D$4:$D$2485,$B101,'апрель 2025'!$J$4:$J$2485,X$1)</f>
        <v>0</v>
      </c>
      <c r="Y101" s="183">
        <f>SUMIFS('апрель 2025'!$G$4:$G$2485,'апрель 2025'!$D$4:$D$2485,$B101,'апрель 2025'!$J$4:$J$2485,Y$1)</f>
        <v>0</v>
      </c>
      <c r="Z101" s="183">
        <f>SUMIFS('апрель 2025'!$G$4:$G$2485,'апрель 2025'!$D$4:$D$2485,$B101,'апрель 2025'!$J$4:$J$2485,Z$1)</f>
        <v>0</v>
      </c>
      <c r="AA101" s="183">
        <f>SUMIFS('апрель 2025'!$G$4:$G$2485,'апрель 2025'!$D$4:$D$2485,$B101,'апрель 2025'!$J$4:$J$2485,AA$1)</f>
        <v>0</v>
      </c>
      <c r="AB101" s="183">
        <f>SUMIFS('апрель 2025'!$G$4:$G$2485,'апрель 2025'!$D$4:$D$2485,$B101,'апрель 2025'!$J$4:$J$2485,AB$1)</f>
        <v>0</v>
      </c>
      <c r="AC101" s="183">
        <f>SUMIFS('апрель 2025'!$G$4:$G$2485,'апрель 2025'!$D$4:$D$2485,$B101,'апрель 2025'!$J$4:$J$2485,AC$1)</f>
        <v>0</v>
      </c>
      <c r="AD101" s="183">
        <f>SUMIFS('апрель 2025'!$G$4:$G$2485,'апрель 2025'!$D$4:$D$2485,$B101,'апрель 2025'!$J$4:$J$2485,AD$1)</f>
        <v>0</v>
      </c>
      <c r="AE101" s="183">
        <f>SUMIFS('апрель 2025'!$G$4:$G$2485,'апрель 2025'!$D$4:$D$2485,$B101,'апрель 2025'!$J$4:$J$2485,AE$1)</f>
        <v>0</v>
      </c>
      <c r="AF101" s="183">
        <f>SUMIFS('апрель 2025'!$G$4:$G$2485,'апрель 2025'!$D$4:$D$2485,$B101,'апрель 2025'!$J$4:$J$2485,AF$1)</f>
        <v>0</v>
      </c>
      <c r="AG101" s="183">
        <f>SUMIFS('апрель 2025'!$G$4:$G$2485,'апрель 2025'!$D$4:$D$2485,$B101,'апрель 2025'!$J$4:$J$2485,AG$1)</f>
        <v>0</v>
      </c>
      <c r="AH101" s="183">
        <f>SUMIFS('апрель 2025'!$G$4:$G$2485,'апрель 2025'!$D$4:$D$2485,$B101,'апрель 2025'!$J$4:$J$2485,AH$1)</f>
        <v>0</v>
      </c>
      <c r="AI101" s="20">
        <f t="shared" si="1"/>
        <v>0</v>
      </c>
    </row>
    <row r="102" spans="2:35" ht="15" customHeight="1" x14ac:dyDescent="0.25">
      <c r="B102" s="88" t="s">
        <v>315</v>
      </c>
      <c r="C102" s="86">
        <v>25</v>
      </c>
      <c r="D102" s="183">
        <f>SUMIFS('апрель 2025'!$G$4:$G$2485,'апрель 2025'!$D$4:$D$2485,$B102,'апрель 2025'!$J$4:$J$2485,D$1)</f>
        <v>0</v>
      </c>
      <c r="E102" s="183">
        <f>SUMIFS('апрель 2025'!$G$4:$G$2485,'апрель 2025'!$D$4:$D$2485,$B102,'апрель 2025'!$J$4:$J$2485,E$1)</f>
        <v>0</v>
      </c>
      <c r="F102" s="183">
        <f>SUMIFS('апрель 2025'!$G$4:$G$2485,'апрель 2025'!$D$4:$D$2485,$B102,'апрель 2025'!$J$4:$J$2485,F$1)</f>
        <v>0</v>
      </c>
      <c r="G102" s="183">
        <f>SUMIFS('апрель 2025'!$G$4:$G$2485,'апрель 2025'!$D$4:$D$2485,$B102,'апрель 2025'!$J$4:$J$2485,G$1)</f>
        <v>0</v>
      </c>
      <c r="H102" s="183">
        <f>SUMIFS('апрель 2025'!$G$4:$G$2485,'апрель 2025'!$D$4:$D$2485,$B102,'апрель 2025'!$J$4:$J$2485,H$1)</f>
        <v>0</v>
      </c>
      <c r="I102" s="183">
        <f>SUMIFS('апрель 2025'!$G$4:$G$2485,'апрель 2025'!$D$4:$D$2485,$B102,'апрель 2025'!$J$4:$J$2485,I$1)</f>
        <v>0</v>
      </c>
      <c r="J102" s="183">
        <f>SUMIFS('апрель 2025'!$G$4:$G$2485,'апрель 2025'!$D$4:$D$2485,$B102,'апрель 2025'!$J$4:$J$2485,J$1)</f>
        <v>0</v>
      </c>
      <c r="K102" s="183">
        <f>SUMIFS('апрель 2025'!$G$4:$G$2485,'апрель 2025'!$D$4:$D$2485,$B102,'апрель 2025'!$J$4:$J$2485,K$1)</f>
        <v>0</v>
      </c>
      <c r="L102" s="183">
        <f>SUMIFS('апрель 2025'!$G$4:$G$2485,'апрель 2025'!$D$4:$D$2485,$B102,'апрель 2025'!$J$4:$J$2485,L$1)</f>
        <v>0</v>
      </c>
      <c r="M102" s="183">
        <f>SUMIFS('апрель 2025'!$G$4:$G$2485,'апрель 2025'!$D$4:$D$2485,$B102,'апрель 2025'!$J$4:$J$2485,M$1)</f>
        <v>0</v>
      </c>
      <c r="N102" s="183">
        <f>SUMIFS('апрель 2025'!$G$4:$G$2485,'апрель 2025'!$D$4:$D$2485,$B102,'апрель 2025'!$J$4:$J$2485,N$1)</f>
        <v>0</v>
      </c>
      <c r="O102" s="183">
        <f>SUMIFS('апрель 2025'!$G$4:$G$2485,'апрель 2025'!$D$4:$D$2485,$B102,'апрель 2025'!$J$4:$J$2485,O$1)</f>
        <v>0</v>
      </c>
      <c r="P102" s="183">
        <f>SUMIFS('апрель 2025'!$G$4:$G$2485,'апрель 2025'!$D$4:$D$2485,$B102,'апрель 2025'!$J$4:$J$2485,P$1)</f>
        <v>0</v>
      </c>
      <c r="Q102" s="183">
        <f>SUMIFS('апрель 2025'!$G$4:$G$2485,'апрель 2025'!$D$4:$D$2485,$B102,'апрель 2025'!$J$4:$J$2485,Q$1)</f>
        <v>0</v>
      </c>
      <c r="R102" s="183">
        <f>SUMIFS('апрель 2025'!$G$4:$G$2485,'апрель 2025'!$D$4:$D$2485,$B102,'апрель 2025'!$J$4:$J$2485,R$1)</f>
        <v>0</v>
      </c>
      <c r="S102" s="183">
        <f>SUMIFS('апрель 2025'!$G$4:$G$2485,'апрель 2025'!$D$4:$D$2485,$B102,'апрель 2025'!$J$4:$J$2485,S$1)</f>
        <v>0</v>
      </c>
      <c r="T102" s="183">
        <f>SUMIFS('апрель 2025'!$G$4:$G$2485,'апрель 2025'!$D$4:$D$2485,$B102,'апрель 2025'!$J$4:$J$2485,T$1)</f>
        <v>0</v>
      </c>
      <c r="U102" s="183">
        <f>SUMIFS('апрель 2025'!$G$4:$G$2485,'апрель 2025'!$D$4:$D$2485,$B102,'апрель 2025'!$J$4:$J$2485,U$1)</f>
        <v>0</v>
      </c>
      <c r="V102" s="183">
        <f>SUMIFS('апрель 2025'!$G$4:$G$2485,'апрель 2025'!$D$4:$D$2485,$B102,'апрель 2025'!$J$4:$J$2485,V$1)</f>
        <v>0</v>
      </c>
      <c r="W102" s="183">
        <f>SUMIFS('апрель 2025'!$G$4:$G$2485,'апрель 2025'!$D$4:$D$2485,$B102,'апрель 2025'!$J$4:$J$2485,W$1)</f>
        <v>0</v>
      </c>
      <c r="X102" s="183">
        <f>SUMIFS('апрель 2025'!$G$4:$G$2485,'апрель 2025'!$D$4:$D$2485,$B102,'апрель 2025'!$J$4:$J$2485,X$1)</f>
        <v>0</v>
      </c>
      <c r="Y102" s="183">
        <f>SUMIFS('апрель 2025'!$G$4:$G$2485,'апрель 2025'!$D$4:$D$2485,$B102,'апрель 2025'!$J$4:$J$2485,Y$1)</f>
        <v>0</v>
      </c>
      <c r="Z102" s="183">
        <f>SUMIFS('апрель 2025'!$G$4:$G$2485,'апрель 2025'!$D$4:$D$2485,$B102,'апрель 2025'!$J$4:$J$2485,Z$1)</f>
        <v>0</v>
      </c>
      <c r="AA102" s="183">
        <f>SUMIFS('апрель 2025'!$G$4:$G$2485,'апрель 2025'!$D$4:$D$2485,$B102,'апрель 2025'!$J$4:$J$2485,AA$1)</f>
        <v>0</v>
      </c>
      <c r="AB102" s="183">
        <f>SUMIFS('апрель 2025'!$G$4:$G$2485,'апрель 2025'!$D$4:$D$2485,$B102,'апрель 2025'!$J$4:$J$2485,AB$1)</f>
        <v>0</v>
      </c>
      <c r="AC102" s="183">
        <f>SUMIFS('апрель 2025'!$G$4:$G$2485,'апрель 2025'!$D$4:$D$2485,$B102,'апрель 2025'!$J$4:$J$2485,AC$1)</f>
        <v>0</v>
      </c>
      <c r="AD102" s="183">
        <f>SUMIFS('апрель 2025'!$G$4:$G$2485,'апрель 2025'!$D$4:$D$2485,$B102,'апрель 2025'!$J$4:$J$2485,AD$1)</f>
        <v>0</v>
      </c>
      <c r="AE102" s="183">
        <f>SUMIFS('апрель 2025'!$G$4:$G$2485,'апрель 2025'!$D$4:$D$2485,$B102,'апрель 2025'!$J$4:$J$2485,AE$1)</f>
        <v>0</v>
      </c>
      <c r="AF102" s="183">
        <f>SUMIFS('апрель 2025'!$G$4:$G$2485,'апрель 2025'!$D$4:$D$2485,$B102,'апрель 2025'!$J$4:$J$2485,AF$1)</f>
        <v>0</v>
      </c>
      <c r="AG102" s="183">
        <f>SUMIFS('апрель 2025'!$G$4:$G$2485,'апрель 2025'!$D$4:$D$2485,$B102,'апрель 2025'!$J$4:$J$2485,AG$1)</f>
        <v>0</v>
      </c>
      <c r="AH102" s="183">
        <f>SUMIFS('апрель 2025'!$G$4:$G$2485,'апрель 2025'!$D$4:$D$2485,$B102,'апрель 2025'!$J$4:$J$2485,AH$1)</f>
        <v>0</v>
      </c>
      <c r="AI102" s="20">
        <f t="shared" si="1"/>
        <v>0</v>
      </c>
    </row>
    <row r="103" spans="2:35" ht="15" customHeight="1" x14ac:dyDescent="0.25">
      <c r="B103" s="88" t="s">
        <v>385</v>
      </c>
      <c r="C103" s="86">
        <v>28</v>
      </c>
      <c r="D103" s="183">
        <f>SUMIFS('апрель 2025'!$G$4:$G$2485,'апрель 2025'!$D$4:$D$2485,$B103,'апрель 2025'!$J$4:$J$2485,D$1)</f>
        <v>0</v>
      </c>
      <c r="E103" s="183">
        <f>SUMIFS('апрель 2025'!$G$4:$G$2485,'апрель 2025'!$D$4:$D$2485,$B103,'апрель 2025'!$J$4:$J$2485,E$1)</f>
        <v>0</v>
      </c>
      <c r="F103" s="183">
        <f>SUMIFS('апрель 2025'!$G$4:$G$2485,'апрель 2025'!$D$4:$D$2485,$B103,'апрель 2025'!$J$4:$J$2485,F$1)</f>
        <v>0</v>
      </c>
      <c r="G103" s="183">
        <f>SUMIFS('апрель 2025'!$G$4:$G$2485,'апрель 2025'!$D$4:$D$2485,$B103,'апрель 2025'!$J$4:$J$2485,G$1)</f>
        <v>0</v>
      </c>
      <c r="H103" s="183">
        <f>SUMIFS('апрель 2025'!$G$4:$G$2485,'апрель 2025'!$D$4:$D$2485,$B103,'апрель 2025'!$J$4:$J$2485,H$1)</f>
        <v>0</v>
      </c>
      <c r="I103" s="183">
        <f>SUMIFS('апрель 2025'!$G$4:$G$2485,'апрель 2025'!$D$4:$D$2485,$B103,'апрель 2025'!$J$4:$J$2485,I$1)</f>
        <v>0</v>
      </c>
      <c r="J103" s="183">
        <f>SUMIFS('апрель 2025'!$G$4:$G$2485,'апрель 2025'!$D$4:$D$2485,$B103,'апрель 2025'!$J$4:$J$2485,J$1)</f>
        <v>0</v>
      </c>
      <c r="K103" s="183">
        <f>SUMIFS('апрель 2025'!$G$4:$G$2485,'апрель 2025'!$D$4:$D$2485,$B103,'апрель 2025'!$J$4:$J$2485,K$1)</f>
        <v>0</v>
      </c>
      <c r="L103" s="183">
        <f>SUMIFS('апрель 2025'!$G$4:$G$2485,'апрель 2025'!$D$4:$D$2485,$B103,'апрель 2025'!$J$4:$J$2485,L$1)</f>
        <v>0</v>
      </c>
      <c r="M103" s="183">
        <f>SUMIFS('апрель 2025'!$G$4:$G$2485,'апрель 2025'!$D$4:$D$2485,$B103,'апрель 2025'!$J$4:$J$2485,M$1)</f>
        <v>0</v>
      </c>
      <c r="N103" s="183">
        <f>SUMIFS('апрель 2025'!$G$4:$G$2485,'апрель 2025'!$D$4:$D$2485,$B103,'апрель 2025'!$J$4:$J$2485,N$1)</f>
        <v>0</v>
      </c>
      <c r="O103" s="183">
        <f>SUMIFS('апрель 2025'!$G$4:$G$2485,'апрель 2025'!$D$4:$D$2485,$B103,'апрель 2025'!$J$4:$J$2485,O$1)</f>
        <v>0</v>
      </c>
      <c r="P103" s="183">
        <f>SUMIFS('апрель 2025'!$G$4:$G$2485,'апрель 2025'!$D$4:$D$2485,$B103,'апрель 2025'!$J$4:$J$2485,P$1)</f>
        <v>0</v>
      </c>
      <c r="Q103" s="183">
        <f>SUMIFS('апрель 2025'!$G$4:$G$2485,'апрель 2025'!$D$4:$D$2485,$B103,'апрель 2025'!$J$4:$J$2485,Q$1)</f>
        <v>0</v>
      </c>
      <c r="R103" s="183">
        <f>SUMIFS('апрель 2025'!$G$4:$G$2485,'апрель 2025'!$D$4:$D$2485,$B103,'апрель 2025'!$J$4:$J$2485,R$1)</f>
        <v>0</v>
      </c>
      <c r="S103" s="183">
        <f>SUMIFS('апрель 2025'!$G$4:$G$2485,'апрель 2025'!$D$4:$D$2485,$B103,'апрель 2025'!$J$4:$J$2485,S$1)</f>
        <v>0</v>
      </c>
      <c r="T103" s="183">
        <f>SUMIFS('апрель 2025'!$G$4:$G$2485,'апрель 2025'!$D$4:$D$2485,$B103,'апрель 2025'!$J$4:$J$2485,T$1)</f>
        <v>0</v>
      </c>
      <c r="U103" s="183">
        <f>SUMIFS('апрель 2025'!$G$4:$G$2485,'апрель 2025'!$D$4:$D$2485,$B103,'апрель 2025'!$J$4:$J$2485,U$1)</f>
        <v>0</v>
      </c>
      <c r="V103" s="183">
        <f>SUMIFS('апрель 2025'!$G$4:$G$2485,'апрель 2025'!$D$4:$D$2485,$B103,'апрель 2025'!$J$4:$J$2485,V$1)</f>
        <v>0</v>
      </c>
      <c r="W103" s="183">
        <f>SUMIFS('апрель 2025'!$G$4:$G$2485,'апрель 2025'!$D$4:$D$2485,$B103,'апрель 2025'!$J$4:$J$2485,W$1)</f>
        <v>0</v>
      </c>
      <c r="X103" s="183">
        <f>SUMIFS('апрель 2025'!$G$4:$G$2485,'апрель 2025'!$D$4:$D$2485,$B103,'апрель 2025'!$J$4:$J$2485,X$1)</f>
        <v>0</v>
      </c>
      <c r="Y103" s="183">
        <f>SUMIFS('апрель 2025'!$G$4:$G$2485,'апрель 2025'!$D$4:$D$2485,$B103,'апрель 2025'!$J$4:$J$2485,Y$1)</f>
        <v>0</v>
      </c>
      <c r="Z103" s="183">
        <f>SUMIFS('апрель 2025'!$G$4:$G$2485,'апрель 2025'!$D$4:$D$2485,$B103,'апрель 2025'!$J$4:$J$2485,Z$1)</f>
        <v>0</v>
      </c>
      <c r="AA103" s="183">
        <f>SUMIFS('апрель 2025'!$G$4:$G$2485,'апрель 2025'!$D$4:$D$2485,$B103,'апрель 2025'!$J$4:$J$2485,AA$1)</f>
        <v>0</v>
      </c>
      <c r="AB103" s="183">
        <f>SUMIFS('апрель 2025'!$G$4:$G$2485,'апрель 2025'!$D$4:$D$2485,$B103,'апрель 2025'!$J$4:$J$2485,AB$1)</f>
        <v>0</v>
      </c>
      <c r="AC103" s="183">
        <f>SUMIFS('апрель 2025'!$G$4:$G$2485,'апрель 2025'!$D$4:$D$2485,$B103,'апрель 2025'!$J$4:$J$2485,AC$1)</f>
        <v>0</v>
      </c>
      <c r="AD103" s="183">
        <f>SUMIFS('апрель 2025'!$G$4:$G$2485,'апрель 2025'!$D$4:$D$2485,$B103,'апрель 2025'!$J$4:$J$2485,AD$1)</f>
        <v>0</v>
      </c>
      <c r="AE103" s="183">
        <f>SUMIFS('апрель 2025'!$G$4:$G$2485,'апрель 2025'!$D$4:$D$2485,$B103,'апрель 2025'!$J$4:$J$2485,AE$1)</f>
        <v>0</v>
      </c>
      <c r="AF103" s="183">
        <f>SUMIFS('апрель 2025'!$G$4:$G$2485,'апрель 2025'!$D$4:$D$2485,$B103,'апрель 2025'!$J$4:$J$2485,AF$1)</f>
        <v>0</v>
      </c>
      <c r="AG103" s="183">
        <f>SUMIFS('апрель 2025'!$G$4:$G$2485,'апрель 2025'!$D$4:$D$2485,$B103,'апрель 2025'!$J$4:$J$2485,AG$1)</f>
        <v>0</v>
      </c>
      <c r="AH103" s="183">
        <f>SUMIFS('апрель 2025'!$G$4:$G$2485,'апрель 2025'!$D$4:$D$2485,$B103,'апрель 2025'!$J$4:$J$2485,AH$1)</f>
        <v>0</v>
      </c>
      <c r="AI103" s="20">
        <f t="shared" si="1"/>
        <v>0</v>
      </c>
    </row>
    <row r="104" spans="2:35" ht="15" customHeight="1" x14ac:dyDescent="0.25">
      <c r="B104" s="88" t="s">
        <v>193</v>
      </c>
      <c r="C104" s="86">
        <v>180</v>
      </c>
      <c r="D104" s="183">
        <f>SUMIFS('апрель 2025'!$G$4:$G$2485,'апрель 2025'!$D$4:$D$2485,$B104,'апрель 2025'!$J$4:$J$2485,D$1)</f>
        <v>0</v>
      </c>
      <c r="E104" s="183">
        <f>SUMIFS('апрель 2025'!$G$4:$G$2485,'апрель 2025'!$D$4:$D$2485,$B104,'апрель 2025'!$J$4:$J$2485,E$1)</f>
        <v>0</v>
      </c>
      <c r="F104" s="183">
        <f>SUMIFS('апрель 2025'!$G$4:$G$2485,'апрель 2025'!$D$4:$D$2485,$B104,'апрель 2025'!$J$4:$J$2485,F$1)</f>
        <v>0</v>
      </c>
      <c r="G104" s="183">
        <f>SUMIFS('апрель 2025'!$G$4:$G$2485,'апрель 2025'!$D$4:$D$2485,$B104,'апрель 2025'!$J$4:$J$2485,G$1)</f>
        <v>0</v>
      </c>
      <c r="H104" s="183">
        <f>SUMIFS('апрель 2025'!$G$4:$G$2485,'апрель 2025'!$D$4:$D$2485,$B104,'апрель 2025'!$J$4:$J$2485,H$1)</f>
        <v>0</v>
      </c>
      <c r="I104" s="183">
        <f>SUMIFS('апрель 2025'!$G$4:$G$2485,'апрель 2025'!$D$4:$D$2485,$B104,'апрель 2025'!$J$4:$J$2485,I$1)</f>
        <v>0</v>
      </c>
      <c r="J104" s="183">
        <f>SUMIFS('апрель 2025'!$G$4:$G$2485,'апрель 2025'!$D$4:$D$2485,$B104,'апрель 2025'!$J$4:$J$2485,J$1)</f>
        <v>0</v>
      </c>
      <c r="K104" s="183">
        <f>SUMIFS('апрель 2025'!$G$4:$G$2485,'апрель 2025'!$D$4:$D$2485,$B104,'апрель 2025'!$J$4:$J$2485,K$1)</f>
        <v>0</v>
      </c>
      <c r="L104" s="183">
        <f>SUMIFS('апрель 2025'!$G$4:$G$2485,'апрель 2025'!$D$4:$D$2485,$B104,'апрель 2025'!$J$4:$J$2485,L$1)</f>
        <v>0</v>
      </c>
      <c r="M104" s="183">
        <f>SUMIFS('апрель 2025'!$G$4:$G$2485,'апрель 2025'!$D$4:$D$2485,$B104,'апрель 2025'!$J$4:$J$2485,M$1)</f>
        <v>0</v>
      </c>
      <c r="N104" s="183">
        <f>SUMIFS('апрель 2025'!$G$4:$G$2485,'апрель 2025'!$D$4:$D$2485,$B104,'апрель 2025'!$J$4:$J$2485,N$1)</f>
        <v>0</v>
      </c>
      <c r="O104" s="183">
        <f>SUMIFS('апрель 2025'!$G$4:$G$2485,'апрель 2025'!$D$4:$D$2485,$B104,'апрель 2025'!$J$4:$J$2485,O$1)</f>
        <v>0</v>
      </c>
      <c r="P104" s="183">
        <f>SUMIFS('апрель 2025'!$G$4:$G$2485,'апрель 2025'!$D$4:$D$2485,$B104,'апрель 2025'!$J$4:$J$2485,P$1)</f>
        <v>0</v>
      </c>
      <c r="Q104" s="183">
        <f>SUMIFS('апрель 2025'!$G$4:$G$2485,'апрель 2025'!$D$4:$D$2485,$B104,'апрель 2025'!$J$4:$J$2485,Q$1)</f>
        <v>0</v>
      </c>
      <c r="R104" s="183">
        <f>SUMIFS('апрель 2025'!$G$4:$G$2485,'апрель 2025'!$D$4:$D$2485,$B104,'апрель 2025'!$J$4:$J$2485,R$1)</f>
        <v>0</v>
      </c>
      <c r="S104" s="183">
        <f>SUMIFS('апрель 2025'!$G$4:$G$2485,'апрель 2025'!$D$4:$D$2485,$B104,'апрель 2025'!$J$4:$J$2485,S$1)</f>
        <v>0</v>
      </c>
      <c r="T104" s="183">
        <f>SUMIFS('апрель 2025'!$G$4:$G$2485,'апрель 2025'!$D$4:$D$2485,$B104,'апрель 2025'!$J$4:$J$2485,T$1)</f>
        <v>0</v>
      </c>
      <c r="U104" s="183">
        <f>SUMIFS('апрель 2025'!$G$4:$G$2485,'апрель 2025'!$D$4:$D$2485,$B104,'апрель 2025'!$J$4:$J$2485,U$1)</f>
        <v>0</v>
      </c>
      <c r="V104" s="183">
        <f>SUMIFS('апрель 2025'!$G$4:$G$2485,'апрель 2025'!$D$4:$D$2485,$B104,'апрель 2025'!$J$4:$J$2485,V$1)</f>
        <v>0</v>
      </c>
      <c r="W104" s="183">
        <f>SUMIFS('апрель 2025'!$G$4:$G$2485,'апрель 2025'!$D$4:$D$2485,$B104,'апрель 2025'!$J$4:$J$2485,W$1)</f>
        <v>0</v>
      </c>
      <c r="X104" s="183">
        <f>SUMIFS('апрель 2025'!$G$4:$G$2485,'апрель 2025'!$D$4:$D$2485,$B104,'апрель 2025'!$J$4:$J$2485,X$1)</f>
        <v>0</v>
      </c>
      <c r="Y104" s="183">
        <f>SUMIFS('апрель 2025'!$G$4:$G$2485,'апрель 2025'!$D$4:$D$2485,$B104,'апрель 2025'!$J$4:$J$2485,Y$1)</f>
        <v>0</v>
      </c>
      <c r="Z104" s="183">
        <f>SUMIFS('апрель 2025'!$G$4:$G$2485,'апрель 2025'!$D$4:$D$2485,$B104,'апрель 2025'!$J$4:$J$2485,Z$1)</f>
        <v>0</v>
      </c>
      <c r="AA104" s="183">
        <f>SUMIFS('апрель 2025'!$G$4:$G$2485,'апрель 2025'!$D$4:$D$2485,$B104,'апрель 2025'!$J$4:$J$2485,AA$1)</f>
        <v>0</v>
      </c>
      <c r="AB104" s="183">
        <f>SUMIFS('апрель 2025'!$G$4:$G$2485,'апрель 2025'!$D$4:$D$2485,$B104,'апрель 2025'!$J$4:$J$2485,AB$1)</f>
        <v>0</v>
      </c>
      <c r="AC104" s="183">
        <f>SUMIFS('апрель 2025'!$G$4:$G$2485,'апрель 2025'!$D$4:$D$2485,$B104,'апрель 2025'!$J$4:$J$2485,AC$1)</f>
        <v>0</v>
      </c>
      <c r="AD104" s="183">
        <f>SUMIFS('апрель 2025'!$G$4:$G$2485,'апрель 2025'!$D$4:$D$2485,$B104,'апрель 2025'!$J$4:$J$2485,AD$1)</f>
        <v>0</v>
      </c>
      <c r="AE104" s="183">
        <f>SUMIFS('апрель 2025'!$G$4:$G$2485,'апрель 2025'!$D$4:$D$2485,$B104,'апрель 2025'!$J$4:$J$2485,AE$1)</f>
        <v>0</v>
      </c>
      <c r="AF104" s="183">
        <f>SUMIFS('апрель 2025'!$G$4:$G$2485,'апрель 2025'!$D$4:$D$2485,$B104,'апрель 2025'!$J$4:$J$2485,AF$1)</f>
        <v>0</v>
      </c>
      <c r="AG104" s="183">
        <f>SUMIFS('апрель 2025'!$G$4:$G$2485,'апрель 2025'!$D$4:$D$2485,$B104,'апрель 2025'!$J$4:$J$2485,AG$1)</f>
        <v>0</v>
      </c>
      <c r="AH104" s="183">
        <f>SUMIFS('апрель 2025'!$G$4:$G$2485,'апрель 2025'!$D$4:$D$2485,$B104,'апрель 2025'!$J$4:$J$2485,AH$1)</f>
        <v>0</v>
      </c>
      <c r="AI104" s="20">
        <f t="shared" si="1"/>
        <v>0</v>
      </c>
    </row>
    <row r="105" spans="2:35" ht="15" customHeight="1" x14ac:dyDescent="0.25">
      <c r="B105" s="84" t="s">
        <v>194</v>
      </c>
      <c r="C105" s="83">
        <v>200</v>
      </c>
      <c r="D105" s="183">
        <f>SUMIFS('апрель 2025'!$G$4:$G$2485,'апрель 2025'!$D$4:$D$2485,$B105,'апрель 2025'!$J$4:$J$2485,D$1)</f>
        <v>0</v>
      </c>
      <c r="E105" s="183">
        <f>SUMIFS('апрель 2025'!$G$4:$G$2485,'апрель 2025'!$D$4:$D$2485,$B105,'апрель 2025'!$J$4:$J$2485,E$1)</f>
        <v>0</v>
      </c>
      <c r="F105" s="183">
        <f>SUMIFS('апрель 2025'!$G$4:$G$2485,'апрель 2025'!$D$4:$D$2485,$B105,'апрель 2025'!$J$4:$J$2485,F$1)</f>
        <v>0</v>
      </c>
      <c r="G105" s="183">
        <f>SUMIFS('апрель 2025'!$G$4:$G$2485,'апрель 2025'!$D$4:$D$2485,$B105,'апрель 2025'!$J$4:$J$2485,G$1)</f>
        <v>88</v>
      </c>
      <c r="H105" s="183">
        <f>SUMIFS('апрель 2025'!$G$4:$G$2485,'апрель 2025'!$D$4:$D$2485,$B105,'апрель 2025'!$J$4:$J$2485,H$1)</f>
        <v>0</v>
      </c>
      <c r="I105" s="183">
        <f>SUMIFS('апрель 2025'!$G$4:$G$2485,'апрель 2025'!$D$4:$D$2485,$B105,'апрель 2025'!$J$4:$J$2485,I$1)</f>
        <v>0</v>
      </c>
      <c r="J105" s="183">
        <f>SUMIFS('апрель 2025'!$G$4:$G$2485,'апрель 2025'!$D$4:$D$2485,$B105,'апрель 2025'!$J$4:$J$2485,J$1)</f>
        <v>0</v>
      </c>
      <c r="K105" s="183">
        <f>SUMIFS('апрель 2025'!$G$4:$G$2485,'апрель 2025'!$D$4:$D$2485,$B105,'апрель 2025'!$J$4:$J$2485,K$1)</f>
        <v>0</v>
      </c>
      <c r="L105" s="183">
        <f>SUMIFS('апрель 2025'!$G$4:$G$2485,'апрель 2025'!$D$4:$D$2485,$B105,'апрель 2025'!$J$4:$J$2485,L$1)</f>
        <v>0</v>
      </c>
      <c r="M105" s="183">
        <f>SUMIFS('апрель 2025'!$G$4:$G$2485,'апрель 2025'!$D$4:$D$2485,$B105,'апрель 2025'!$J$4:$J$2485,M$1)</f>
        <v>0</v>
      </c>
      <c r="N105" s="183">
        <f>SUMIFS('апрель 2025'!$G$4:$G$2485,'апрель 2025'!$D$4:$D$2485,$B105,'апрель 2025'!$J$4:$J$2485,N$1)</f>
        <v>0</v>
      </c>
      <c r="O105" s="183">
        <f>SUMIFS('апрель 2025'!$G$4:$G$2485,'апрель 2025'!$D$4:$D$2485,$B105,'апрель 2025'!$J$4:$J$2485,O$1)</f>
        <v>0</v>
      </c>
      <c r="P105" s="183">
        <f>SUMIFS('апрель 2025'!$G$4:$G$2485,'апрель 2025'!$D$4:$D$2485,$B105,'апрель 2025'!$J$4:$J$2485,P$1)</f>
        <v>0</v>
      </c>
      <c r="Q105" s="183">
        <f>SUMIFS('апрель 2025'!$G$4:$G$2485,'апрель 2025'!$D$4:$D$2485,$B105,'апрель 2025'!$J$4:$J$2485,Q$1)</f>
        <v>0</v>
      </c>
      <c r="R105" s="183">
        <f>SUMIFS('апрель 2025'!$G$4:$G$2485,'апрель 2025'!$D$4:$D$2485,$B105,'апрель 2025'!$J$4:$J$2485,R$1)</f>
        <v>0</v>
      </c>
      <c r="S105" s="183">
        <f>SUMIFS('апрель 2025'!$G$4:$G$2485,'апрель 2025'!$D$4:$D$2485,$B105,'апрель 2025'!$J$4:$J$2485,S$1)</f>
        <v>0</v>
      </c>
      <c r="T105" s="183">
        <f>SUMIFS('апрель 2025'!$G$4:$G$2485,'апрель 2025'!$D$4:$D$2485,$B105,'апрель 2025'!$J$4:$J$2485,T$1)</f>
        <v>0</v>
      </c>
      <c r="U105" s="183">
        <f>SUMIFS('апрель 2025'!$G$4:$G$2485,'апрель 2025'!$D$4:$D$2485,$B105,'апрель 2025'!$J$4:$J$2485,U$1)</f>
        <v>76</v>
      </c>
      <c r="V105" s="183">
        <f>SUMIFS('апрель 2025'!$G$4:$G$2485,'апрель 2025'!$D$4:$D$2485,$B105,'апрель 2025'!$J$4:$J$2485,V$1)</f>
        <v>0</v>
      </c>
      <c r="W105" s="183">
        <f>SUMIFS('апрель 2025'!$G$4:$G$2485,'апрель 2025'!$D$4:$D$2485,$B105,'апрель 2025'!$J$4:$J$2485,W$1)</f>
        <v>0</v>
      </c>
      <c r="X105" s="183">
        <f>SUMIFS('апрель 2025'!$G$4:$G$2485,'апрель 2025'!$D$4:$D$2485,$B105,'апрель 2025'!$J$4:$J$2485,X$1)</f>
        <v>80</v>
      </c>
      <c r="Y105" s="183">
        <f>SUMIFS('апрель 2025'!$G$4:$G$2485,'апрель 2025'!$D$4:$D$2485,$B105,'апрель 2025'!$J$4:$J$2485,Y$1)</f>
        <v>0</v>
      </c>
      <c r="Z105" s="183">
        <f>SUMIFS('апрель 2025'!$G$4:$G$2485,'апрель 2025'!$D$4:$D$2485,$B105,'апрель 2025'!$J$4:$J$2485,Z$1)</f>
        <v>0</v>
      </c>
      <c r="AA105" s="183">
        <f>SUMIFS('апрель 2025'!$G$4:$G$2485,'апрель 2025'!$D$4:$D$2485,$B105,'апрель 2025'!$J$4:$J$2485,AA$1)</f>
        <v>0</v>
      </c>
      <c r="AB105" s="183">
        <f>SUMIFS('апрель 2025'!$G$4:$G$2485,'апрель 2025'!$D$4:$D$2485,$B105,'апрель 2025'!$J$4:$J$2485,AB$1)</f>
        <v>0</v>
      </c>
      <c r="AC105" s="183">
        <f>SUMIFS('апрель 2025'!$G$4:$G$2485,'апрель 2025'!$D$4:$D$2485,$B105,'апрель 2025'!$J$4:$J$2485,AC$1)</f>
        <v>0</v>
      </c>
      <c r="AD105" s="183">
        <f>SUMIFS('апрель 2025'!$G$4:$G$2485,'апрель 2025'!$D$4:$D$2485,$B105,'апрель 2025'!$J$4:$J$2485,AD$1)</f>
        <v>0</v>
      </c>
      <c r="AE105" s="183">
        <f>SUMIFS('апрель 2025'!$G$4:$G$2485,'апрель 2025'!$D$4:$D$2485,$B105,'апрель 2025'!$J$4:$J$2485,AE$1)</f>
        <v>0</v>
      </c>
      <c r="AF105" s="183">
        <f>SUMIFS('апрель 2025'!$G$4:$G$2485,'апрель 2025'!$D$4:$D$2485,$B105,'апрель 2025'!$J$4:$J$2485,AF$1)</f>
        <v>0</v>
      </c>
      <c r="AG105" s="183">
        <f>SUMIFS('апрель 2025'!$G$4:$G$2485,'апрель 2025'!$D$4:$D$2485,$B105,'апрель 2025'!$J$4:$J$2485,AG$1)</f>
        <v>0</v>
      </c>
      <c r="AH105" s="183">
        <f>SUMIFS('апрель 2025'!$G$4:$G$2485,'апрель 2025'!$D$4:$D$2485,$B105,'апрель 2025'!$J$4:$J$2485,AH$1)</f>
        <v>0</v>
      </c>
      <c r="AI105" s="20">
        <f t="shared" si="1"/>
        <v>244</v>
      </c>
    </row>
    <row r="106" spans="2:35" ht="15" customHeight="1" x14ac:dyDescent="0.25">
      <c r="B106" s="87" t="s">
        <v>169</v>
      </c>
      <c r="C106" s="86">
        <v>180</v>
      </c>
      <c r="D106" s="183">
        <f>SUMIFS('апрель 2025'!$G$4:$G$2485,'апрель 2025'!$D$4:$D$2485,$B106,'апрель 2025'!$J$4:$J$2485,D$1)</f>
        <v>0</v>
      </c>
      <c r="E106" s="183">
        <f>SUMIFS('апрель 2025'!$G$4:$G$2485,'апрель 2025'!$D$4:$D$2485,$B106,'апрель 2025'!$J$4:$J$2485,E$1)</f>
        <v>0</v>
      </c>
      <c r="F106" s="183">
        <f>SUMIFS('апрель 2025'!$G$4:$G$2485,'апрель 2025'!$D$4:$D$2485,$B106,'апрель 2025'!$J$4:$J$2485,F$1)</f>
        <v>0</v>
      </c>
      <c r="G106" s="183">
        <f>SUMIFS('апрель 2025'!$G$4:$G$2485,'апрель 2025'!$D$4:$D$2485,$B106,'апрель 2025'!$J$4:$J$2485,G$1)</f>
        <v>0</v>
      </c>
      <c r="H106" s="183">
        <f>SUMIFS('апрель 2025'!$G$4:$G$2485,'апрель 2025'!$D$4:$D$2485,$B106,'апрель 2025'!$J$4:$J$2485,H$1)</f>
        <v>0</v>
      </c>
      <c r="I106" s="183">
        <f>SUMIFS('апрель 2025'!$G$4:$G$2485,'апрель 2025'!$D$4:$D$2485,$B106,'апрель 2025'!$J$4:$J$2485,I$1)</f>
        <v>0</v>
      </c>
      <c r="J106" s="183">
        <f>SUMIFS('апрель 2025'!$G$4:$G$2485,'апрель 2025'!$D$4:$D$2485,$B106,'апрель 2025'!$J$4:$J$2485,J$1)</f>
        <v>0</v>
      </c>
      <c r="K106" s="183">
        <f>SUMIFS('апрель 2025'!$G$4:$G$2485,'апрель 2025'!$D$4:$D$2485,$B106,'апрель 2025'!$J$4:$J$2485,K$1)</f>
        <v>0</v>
      </c>
      <c r="L106" s="183">
        <f>SUMIFS('апрель 2025'!$G$4:$G$2485,'апрель 2025'!$D$4:$D$2485,$B106,'апрель 2025'!$J$4:$J$2485,L$1)</f>
        <v>0</v>
      </c>
      <c r="M106" s="183">
        <f>SUMIFS('апрель 2025'!$G$4:$G$2485,'апрель 2025'!$D$4:$D$2485,$B106,'апрель 2025'!$J$4:$J$2485,M$1)</f>
        <v>0</v>
      </c>
      <c r="N106" s="183">
        <f>SUMIFS('апрель 2025'!$G$4:$G$2485,'апрель 2025'!$D$4:$D$2485,$B106,'апрель 2025'!$J$4:$J$2485,N$1)</f>
        <v>0</v>
      </c>
      <c r="O106" s="183">
        <f>SUMIFS('апрель 2025'!$G$4:$G$2485,'апрель 2025'!$D$4:$D$2485,$B106,'апрель 2025'!$J$4:$J$2485,O$1)</f>
        <v>0</v>
      </c>
      <c r="P106" s="183">
        <f>SUMIFS('апрель 2025'!$G$4:$G$2485,'апрель 2025'!$D$4:$D$2485,$B106,'апрель 2025'!$J$4:$J$2485,P$1)</f>
        <v>0</v>
      </c>
      <c r="Q106" s="183">
        <f>SUMIFS('апрель 2025'!$G$4:$G$2485,'апрель 2025'!$D$4:$D$2485,$B106,'апрель 2025'!$J$4:$J$2485,Q$1)</f>
        <v>0</v>
      </c>
      <c r="R106" s="183">
        <f>SUMIFS('апрель 2025'!$G$4:$G$2485,'апрель 2025'!$D$4:$D$2485,$B106,'апрель 2025'!$J$4:$J$2485,R$1)</f>
        <v>0</v>
      </c>
      <c r="S106" s="183">
        <f>SUMIFS('апрель 2025'!$G$4:$G$2485,'апрель 2025'!$D$4:$D$2485,$B106,'апрель 2025'!$J$4:$J$2485,S$1)</f>
        <v>0</v>
      </c>
      <c r="T106" s="183">
        <f>SUMIFS('апрель 2025'!$G$4:$G$2485,'апрель 2025'!$D$4:$D$2485,$B106,'апрель 2025'!$J$4:$J$2485,T$1)</f>
        <v>0</v>
      </c>
      <c r="U106" s="183">
        <f>SUMIFS('апрель 2025'!$G$4:$G$2485,'апрель 2025'!$D$4:$D$2485,$B106,'апрель 2025'!$J$4:$J$2485,U$1)</f>
        <v>0</v>
      </c>
      <c r="V106" s="183">
        <f>SUMIFS('апрель 2025'!$G$4:$G$2485,'апрель 2025'!$D$4:$D$2485,$B106,'апрель 2025'!$J$4:$J$2485,V$1)</f>
        <v>0</v>
      </c>
      <c r="W106" s="183">
        <f>SUMIFS('апрель 2025'!$G$4:$G$2485,'апрель 2025'!$D$4:$D$2485,$B106,'апрель 2025'!$J$4:$J$2485,W$1)</f>
        <v>0</v>
      </c>
      <c r="X106" s="183">
        <f>SUMIFS('апрель 2025'!$G$4:$G$2485,'апрель 2025'!$D$4:$D$2485,$B106,'апрель 2025'!$J$4:$J$2485,X$1)</f>
        <v>0</v>
      </c>
      <c r="Y106" s="183">
        <f>SUMIFS('апрель 2025'!$G$4:$G$2485,'апрель 2025'!$D$4:$D$2485,$B106,'апрель 2025'!$J$4:$J$2485,Y$1)</f>
        <v>0</v>
      </c>
      <c r="Z106" s="183">
        <f>SUMIFS('апрель 2025'!$G$4:$G$2485,'апрель 2025'!$D$4:$D$2485,$B106,'апрель 2025'!$J$4:$J$2485,Z$1)</f>
        <v>0</v>
      </c>
      <c r="AA106" s="183">
        <f>SUMIFS('апрель 2025'!$G$4:$G$2485,'апрель 2025'!$D$4:$D$2485,$B106,'апрель 2025'!$J$4:$J$2485,AA$1)</f>
        <v>0</v>
      </c>
      <c r="AB106" s="183">
        <f>SUMIFS('апрель 2025'!$G$4:$G$2485,'апрель 2025'!$D$4:$D$2485,$B106,'апрель 2025'!$J$4:$J$2485,AB$1)</f>
        <v>0</v>
      </c>
      <c r="AC106" s="183">
        <f>SUMIFS('апрель 2025'!$G$4:$G$2485,'апрель 2025'!$D$4:$D$2485,$B106,'апрель 2025'!$J$4:$J$2485,AC$1)</f>
        <v>0</v>
      </c>
      <c r="AD106" s="183">
        <f>SUMIFS('апрель 2025'!$G$4:$G$2485,'апрель 2025'!$D$4:$D$2485,$B106,'апрель 2025'!$J$4:$J$2485,AD$1)</f>
        <v>0</v>
      </c>
      <c r="AE106" s="183">
        <f>SUMIFS('апрель 2025'!$G$4:$G$2485,'апрель 2025'!$D$4:$D$2485,$B106,'апрель 2025'!$J$4:$J$2485,AE$1)</f>
        <v>0</v>
      </c>
      <c r="AF106" s="183">
        <f>SUMIFS('апрель 2025'!$G$4:$G$2485,'апрель 2025'!$D$4:$D$2485,$B106,'апрель 2025'!$J$4:$J$2485,AF$1)</f>
        <v>0</v>
      </c>
      <c r="AG106" s="183">
        <f>SUMIFS('апрель 2025'!$G$4:$G$2485,'апрель 2025'!$D$4:$D$2485,$B106,'апрель 2025'!$J$4:$J$2485,AG$1)</f>
        <v>0</v>
      </c>
      <c r="AH106" s="183">
        <f>SUMIFS('апрель 2025'!$G$4:$G$2485,'апрель 2025'!$D$4:$D$2485,$B106,'апрель 2025'!$J$4:$J$2485,AH$1)</f>
        <v>0</v>
      </c>
      <c r="AI106" s="20">
        <f t="shared" si="1"/>
        <v>0</v>
      </c>
    </row>
    <row r="107" spans="2:35" ht="15" customHeight="1" x14ac:dyDescent="0.25">
      <c r="B107" s="84" t="s">
        <v>170</v>
      </c>
      <c r="C107" s="86">
        <v>200</v>
      </c>
      <c r="D107" s="183">
        <f>SUMIFS('апрель 2025'!$G$4:$G$2485,'апрель 2025'!$D$4:$D$2485,$B107,'апрель 2025'!$J$4:$J$2485,D$1)</f>
        <v>0</v>
      </c>
      <c r="E107" s="183">
        <f>SUMIFS('апрель 2025'!$G$4:$G$2485,'апрель 2025'!$D$4:$D$2485,$B107,'апрель 2025'!$J$4:$J$2485,E$1)</f>
        <v>0</v>
      </c>
      <c r="F107" s="183">
        <f>SUMIFS('апрель 2025'!$G$4:$G$2485,'апрель 2025'!$D$4:$D$2485,$B107,'апрель 2025'!$J$4:$J$2485,F$1)</f>
        <v>0</v>
      </c>
      <c r="G107" s="183">
        <f>SUMIFS('апрель 2025'!$G$4:$G$2485,'апрель 2025'!$D$4:$D$2485,$B107,'апрель 2025'!$J$4:$J$2485,G$1)</f>
        <v>0</v>
      </c>
      <c r="H107" s="183">
        <f>SUMIFS('апрель 2025'!$G$4:$G$2485,'апрель 2025'!$D$4:$D$2485,$B107,'апрель 2025'!$J$4:$J$2485,H$1)</f>
        <v>0</v>
      </c>
      <c r="I107" s="183">
        <f>SUMIFS('апрель 2025'!$G$4:$G$2485,'апрель 2025'!$D$4:$D$2485,$B107,'апрель 2025'!$J$4:$J$2485,I$1)</f>
        <v>0</v>
      </c>
      <c r="J107" s="183">
        <f>SUMIFS('апрель 2025'!$G$4:$G$2485,'апрель 2025'!$D$4:$D$2485,$B107,'апрель 2025'!$J$4:$J$2485,J$1)</f>
        <v>0</v>
      </c>
      <c r="K107" s="183">
        <f>SUMIFS('апрель 2025'!$G$4:$G$2485,'апрель 2025'!$D$4:$D$2485,$B107,'апрель 2025'!$J$4:$J$2485,K$1)</f>
        <v>0</v>
      </c>
      <c r="L107" s="183">
        <f>SUMIFS('апрель 2025'!$G$4:$G$2485,'апрель 2025'!$D$4:$D$2485,$B107,'апрель 2025'!$J$4:$J$2485,L$1)</f>
        <v>0</v>
      </c>
      <c r="M107" s="183">
        <f>SUMIFS('апрель 2025'!$G$4:$G$2485,'апрель 2025'!$D$4:$D$2485,$B107,'апрель 2025'!$J$4:$J$2485,M$1)</f>
        <v>0</v>
      </c>
      <c r="N107" s="183">
        <f>SUMIFS('апрель 2025'!$G$4:$G$2485,'апрель 2025'!$D$4:$D$2485,$B107,'апрель 2025'!$J$4:$J$2485,N$1)</f>
        <v>0</v>
      </c>
      <c r="O107" s="183">
        <f>SUMIFS('апрель 2025'!$G$4:$G$2485,'апрель 2025'!$D$4:$D$2485,$B107,'апрель 2025'!$J$4:$J$2485,O$1)</f>
        <v>0</v>
      </c>
      <c r="P107" s="183">
        <f>SUMIFS('апрель 2025'!$G$4:$G$2485,'апрель 2025'!$D$4:$D$2485,$B107,'апрель 2025'!$J$4:$J$2485,P$1)</f>
        <v>0</v>
      </c>
      <c r="Q107" s="183">
        <f>SUMIFS('апрель 2025'!$G$4:$G$2485,'апрель 2025'!$D$4:$D$2485,$B107,'апрель 2025'!$J$4:$J$2485,Q$1)</f>
        <v>0</v>
      </c>
      <c r="R107" s="183">
        <f>SUMIFS('апрель 2025'!$G$4:$G$2485,'апрель 2025'!$D$4:$D$2485,$B107,'апрель 2025'!$J$4:$J$2485,R$1)</f>
        <v>0</v>
      </c>
      <c r="S107" s="183">
        <f>SUMIFS('апрель 2025'!$G$4:$G$2485,'апрель 2025'!$D$4:$D$2485,$B107,'апрель 2025'!$J$4:$J$2485,S$1)</f>
        <v>0</v>
      </c>
      <c r="T107" s="183">
        <f>SUMIFS('апрель 2025'!$G$4:$G$2485,'апрель 2025'!$D$4:$D$2485,$B107,'апрель 2025'!$J$4:$J$2485,T$1)</f>
        <v>0</v>
      </c>
      <c r="U107" s="183">
        <f>SUMIFS('апрель 2025'!$G$4:$G$2485,'апрель 2025'!$D$4:$D$2485,$B107,'апрель 2025'!$J$4:$J$2485,U$1)</f>
        <v>0</v>
      </c>
      <c r="V107" s="183">
        <f>SUMIFS('апрель 2025'!$G$4:$G$2485,'апрель 2025'!$D$4:$D$2485,$B107,'апрель 2025'!$J$4:$J$2485,V$1)</f>
        <v>0</v>
      </c>
      <c r="W107" s="183">
        <f>SUMIFS('апрель 2025'!$G$4:$G$2485,'апрель 2025'!$D$4:$D$2485,$B107,'апрель 2025'!$J$4:$J$2485,W$1)</f>
        <v>0</v>
      </c>
      <c r="X107" s="183">
        <f>SUMIFS('апрель 2025'!$G$4:$G$2485,'апрель 2025'!$D$4:$D$2485,$B107,'апрель 2025'!$J$4:$J$2485,X$1)</f>
        <v>0</v>
      </c>
      <c r="Y107" s="183">
        <f>SUMIFS('апрель 2025'!$G$4:$G$2485,'апрель 2025'!$D$4:$D$2485,$B107,'апрель 2025'!$J$4:$J$2485,Y$1)</f>
        <v>0</v>
      </c>
      <c r="Z107" s="183">
        <f>SUMIFS('апрель 2025'!$G$4:$G$2485,'апрель 2025'!$D$4:$D$2485,$B107,'апрель 2025'!$J$4:$J$2485,Z$1)</f>
        <v>0</v>
      </c>
      <c r="AA107" s="183">
        <f>SUMIFS('апрель 2025'!$G$4:$G$2485,'апрель 2025'!$D$4:$D$2485,$B107,'апрель 2025'!$J$4:$J$2485,AA$1)</f>
        <v>0</v>
      </c>
      <c r="AB107" s="183">
        <f>SUMIFS('апрель 2025'!$G$4:$G$2485,'апрель 2025'!$D$4:$D$2485,$B107,'апрель 2025'!$J$4:$J$2485,AB$1)</f>
        <v>0</v>
      </c>
      <c r="AC107" s="183">
        <f>SUMIFS('апрель 2025'!$G$4:$G$2485,'апрель 2025'!$D$4:$D$2485,$B107,'апрель 2025'!$J$4:$J$2485,AC$1)</f>
        <v>0</v>
      </c>
      <c r="AD107" s="183">
        <f>SUMIFS('апрель 2025'!$G$4:$G$2485,'апрель 2025'!$D$4:$D$2485,$B107,'апрель 2025'!$J$4:$J$2485,AD$1)</f>
        <v>0</v>
      </c>
      <c r="AE107" s="183">
        <f>SUMIFS('апрель 2025'!$G$4:$G$2485,'апрель 2025'!$D$4:$D$2485,$B107,'апрель 2025'!$J$4:$J$2485,AE$1)</f>
        <v>0</v>
      </c>
      <c r="AF107" s="183">
        <f>SUMIFS('апрель 2025'!$G$4:$G$2485,'апрель 2025'!$D$4:$D$2485,$B107,'апрель 2025'!$J$4:$J$2485,AF$1)</f>
        <v>0</v>
      </c>
      <c r="AG107" s="183">
        <f>SUMIFS('апрель 2025'!$G$4:$G$2485,'апрель 2025'!$D$4:$D$2485,$B107,'апрель 2025'!$J$4:$J$2485,AG$1)</f>
        <v>0</v>
      </c>
      <c r="AH107" s="183">
        <f>SUMIFS('апрель 2025'!$G$4:$G$2485,'апрель 2025'!$D$4:$D$2485,$B107,'апрель 2025'!$J$4:$J$2485,AH$1)</f>
        <v>0</v>
      </c>
      <c r="AI107" s="20">
        <f t="shared" si="1"/>
        <v>0</v>
      </c>
    </row>
    <row r="108" spans="2:35" ht="15" customHeight="1" x14ac:dyDescent="0.25">
      <c r="B108" s="84" t="s">
        <v>195</v>
      </c>
      <c r="C108" s="83">
        <v>185</v>
      </c>
      <c r="D108" s="183">
        <f>SUMIFS('апрель 2025'!$G$4:$G$2485,'апрель 2025'!$D$4:$D$2485,$B108,'апрель 2025'!$J$4:$J$2485,D$1)</f>
        <v>0</v>
      </c>
      <c r="E108" s="183">
        <f>SUMIFS('апрель 2025'!$G$4:$G$2485,'апрель 2025'!$D$4:$D$2485,$B108,'апрель 2025'!$J$4:$J$2485,E$1)</f>
        <v>0</v>
      </c>
      <c r="F108" s="183">
        <f>SUMIFS('апрель 2025'!$G$4:$G$2485,'апрель 2025'!$D$4:$D$2485,$B108,'апрель 2025'!$J$4:$J$2485,F$1)</f>
        <v>0</v>
      </c>
      <c r="G108" s="183">
        <f>SUMIFS('апрель 2025'!$G$4:$G$2485,'апрель 2025'!$D$4:$D$2485,$B108,'апрель 2025'!$J$4:$J$2485,G$1)</f>
        <v>0</v>
      </c>
      <c r="H108" s="183">
        <f>SUMIFS('апрель 2025'!$G$4:$G$2485,'апрель 2025'!$D$4:$D$2485,$B108,'апрель 2025'!$J$4:$J$2485,H$1)</f>
        <v>0</v>
      </c>
      <c r="I108" s="183">
        <f>SUMIFS('апрель 2025'!$G$4:$G$2485,'апрель 2025'!$D$4:$D$2485,$B108,'апрель 2025'!$J$4:$J$2485,I$1)</f>
        <v>0</v>
      </c>
      <c r="J108" s="183">
        <f>SUMIFS('апрель 2025'!$G$4:$G$2485,'апрель 2025'!$D$4:$D$2485,$B108,'апрель 2025'!$J$4:$J$2485,J$1)</f>
        <v>0</v>
      </c>
      <c r="K108" s="183">
        <f>SUMIFS('апрель 2025'!$G$4:$G$2485,'апрель 2025'!$D$4:$D$2485,$B108,'апрель 2025'!$J$4:$J$2485,K$1)</f>
        <v>0</v>
      </c>
      <c r="L108" s="183">
        <f>SUMIFS('апрель 2025'!$G$4:$G$2485,'апрель 2025'!$D$4:$D$2485,$B108,'апрель 2025'!$J$4:$J$2485,L$1)</f>
        <v>0</v>
      </c>
      <c r="M108" s="183">
        <f>SUMIFS('апрель 2025'!$G$4:$G$2485,'апрель 2025'!$D$4:$D$2485,$B108,'апрель 2025'!$J$4:$J$2485,M$1)</f>
        <v>0</v>
      </c>
      <c r="N108" s="183">
        <f>SUMIFS('апрель 2025'!$G$4:$G$2485,'апрель 2025'!$D$4:$D$2485,$B108,'апрель 2025'!$J$4:$J$2485,N$1)</f>
        <v>0</v>
      </c>
      <c r="O108" s="183">
        <f>SUMIFS('апрель 2025'!$G$4:$G$2485,'апрель 2025'!$D$4:$D$2485,$B108,'апрель 2025'!$J$4:$J$2485,O$1)</f>
        <v>0</v>
      </c>
      <c r="P108" s="183">
        <f>SUMIFS('апрель 2025'!$G$4:$G$2485,'апрель 2025'!$D$4:$D$2485,$B108,'апрель 2025'!$J$4:$J$2485,P$1)</f>
        <v>0</v>
      </c>
      <c r="Q108" s="183">
        <f>SUMIFS('апрель 2025'!$G$4:$G$2485,'апрель 2025'!$D$4:$D$2485,$B108,'апрель 2025'!$J$4:$J$2485,Q$1)</f>
        <v>0</v>
      </c>
      <c r="R108" s="183">
        <f>SUMIFS('апрель 2025'!$G$4:$G$2485,'апрель 2025'!$D$4:$D$2485,$B108,'апрель 2025'!$J$4:$J$2485,R$1)</f>
        <v>0</v>
      </c>
      <c r="S108" s="183">
        <f>SUMIFS('апрель 2025'!$G$4:$G$2485,'апрель 2025'!$D$4:$D$2485,$B108,'апрель 2025'!$J$4:$J$2485,S$1)</f>
        <v>0</v>
      </c>
      <c r="T108" s="183">
        <f>SUMIFS('апрель 2025'!$G$4:$G$2485,'апрель 2025'!$D$4:$D$2485,$B108,'апрель 2025'!$J$4:$J$2485,T$1)</f>
        <v>0</v>
      </c>
      <c r="U108" s="183">
        <f>SUMIFS('апрель 2025'!$G$4:$G$2485,'апрель 2025'!$D$4:$D$2485,$B108,'апрель 2025'!$J$4:$J$2485,U$1)</f>
        <v>0</v>
      </c>
      <c r="V108" s="183">
        <f>SUMIFS('апрель 2025'!$G$4:$G$2485,'апрель 2025'!$D$4:$D$2485,$B108,'апрель 2025'!$J$4:$J$2485,V$1)</f>
        <v>0</v>
      </c>
      <c r="W108" s="183">
        <f>SUMIFS('апрель 2025'!$G$4:$G$2485,'апрель 2025'!$D$4:$D$2485,$B108,'апрель 2025'!$J$4:$J$2485,W$1)</f>
        <v>0</v>
      </c>
      <c r="X108" s="183">
        <f>SUMIFS('апрель 2025'!$G$4:$G$2485,'апрель 2025'!$D$4:$D$2485,$B108,'апрель 2025'!$J$4:$J$2485,X$1)</f>
        <v>0</v>
      </c>
      <c r="Y108" s="183">
        <f>SUMIFS('апрель 2025'!$G$4:$G$2485,'апрель 2025'!$D$4:$D$2485,$B108,'апрель 2025'!$J$4:$J$2485,Y$1)</f>
        <v>0</v>
      </c>
      <c r="Z108" s="183">
        <f>SUMIFS('апрель 2025'!$G$4:$G$2485,'апрель 2025'!$D$4:$D$2485,$B108,'апрель 2025'!$J$4:$J$2485,Z$1)</f>
        <v>0</v>
      </c>
      <c r="AA108" s="183">
        <f>SUMIFS('апрель 2025'!$G$4:$G$2485,'апрель 2025'!$D$4:$D$2485,$B108,'апрель 2025'!$J$4:$J$2485,AA$1)</f>
        <v>0</v>
      </c>
      <c r="AB108" s="183">
        <f>SUMIFS('апрель 2025'!$G$4:$G$2485,'апрель 2025'!$D$4:$D$2485,$B108,'апрель 2025'!$J$4:$J$2485,AB$1)</f>
        <v>0</v>
      </c>
      <c r="AC108" s="183">
        <f>SUMIFS('апрель 2025'!$G$4:$G$2485,'апрель 2025'!$D$4:$D$2485,$B108,'апрель 2025'!$J$4:$J$2485,AC$1)</f>
        <v>0</v>
      </c>
      <c r="AD108" s="183">
        <f>SUMIFS('апрель 2025'!$G$4:$G$2485,'апрель 2025'!$D$4:$D$2485,$B108,'апрель 2025'!$J$4:$J$2485,AD$1)</f>
        <v>0</v>
      </c>
      <c r="AE108" s="183">
        <f>SUMIFS('апрель 2025'!$G$4:$G$2485,'апрель 2025'!$D$4:$D$2485,$B108,'апрель 2025'!$J$4:$J$2485,AE$1)</f>
        <v>0</v>
      </c>
      <c r="AF108" s="183">
        <f>SUMIFS('апрель 2025'!$G$4:$G$2485,'апрель 2025'!$D$4:$D$2485,$B108,'апрель 2025'!$J$4:$J$2485,AF$1)</f>
        <v>0</v>
      </c>
      <c r="AG108" s="183">
        <f>SUMIFS('апрель 2025'!$G$4:$G$2485,'апрель 2025'!$D$4:$D$2485,$B108,'апрель 2025'!$J$4:$J$2485,AG$1)</f>
        <v>0</v>
      </c>
      <c r="AH108" s="183">
        <f>SUMIFS('апрель 2025'!$G$4:$G$2485,'апрель 2025'!$D$4:$D$2485,$B108,'апрель 2025'!$J$4:$J$2485,AH$1)</f>
        <v>0</v>
      </c>
      <c r="AI108" s="20">
        <f t="shared" si="1"/>
        <v>0</v>
      </c>
    </row>
    <row r="109" spans="2:35" ht="15" customHeight="1" x14ac:dyDescent="0.25">
      <c r="B109" s="84" t="s">
        <v>196</v>
      </c>
      <c r="C109" s="83">
        <v>185</v>
      </c>
      <c r="D109" s="183">
        <f>SUMIFS('апрель 2025'!$G$4:$G$2485,'апрель 2025'!$D$4:$D$2485,$B109,'апрель 2025'!$J$4:$J$2485,D$1)</f>
        <v>0</v>
      </c>
      <c r="E109" s="183">
        <f>SUMIFS('апрель 2025'!$G$4:$G$2485,'апрель 2025'!$D$4:$D$2485,$B109,'апрель 2025'!$J$4:$J$2485,E$1)</f>
        <v>0</v>
      </c>
      <c r="F109" s="183">
        <f>SUMIFS('апрель 2025'!$G$4:$G$2485,'апрель 2025'!$D$4:$D$2485,$B109,'апрель 2025'!$J$4:$J$2485,F$1)</f>
        <v>0</v>
      </c>
      <c r="G109" s="183">
        <f>SUMIFS('апрель 2025'!$G$4:$G$2485,'апрель 2025'!$D$4:$D$2485,$B109,'апрель 2025'!$J$4:$J$2485,G$1)</f>
        <v>0</v>
      </c>
      <c r="H109" s="183">
        <f>SUMIFS('апрель 2025'!$G$4:$G$2485,'апрель 2025'!$D$4:$D$2485,$B109,'апрель 2025'!$J$4:$J$2485,H$1)</f>
        <v>0</v>
      </c>
      <c r="I109" s="183">
        <f>SUMIFS('апрель 2025'!$G$4:$G$2485,'апрель 2025'!$D$4:$D$2485,$B109,'апрель 2025'!$J$4:$J$2485,I$1)</f>
        <v>0</v>
      </c>
      <c r="J109" s="183">
        <f>SUMIFS('апрель 2025'!$G$4:$G$2485,'апрель 2025'!$D$4:$D$2485,$B109,'апрель 2025'!$J$4:$J$2485,J$1)</f>
        <v>0</v>
      </c>
      <c r="K109" s="183">
        <f>SUMIFS('апрель 2025'!$G$4:$G$2485,'апрель 2025'!$D$4:$D$2485,$B109,'апрель 2025'!$J$4:$J$2485,K$1)</f>
        <v>0</v>
      </c>
      <c r="L109" s="183">
        <f>SUMIFS('апрель 2025'!$G$4:$G$2485,'апрель 2025'!$D$4:$D$2485,$B109,'апрель 2025'!$J$4:$J$2485,L$1)</f>
        <v>0</v>
      </c>
      <c r="M109" s="183">
        <f>SUMIFS('апрель 2025'!$G$4:$G$2485,'апрель 2025'!$D$4:$D$2485,$B109,'апрель 2025'!$J$4:$J$2485,M$1)</f>
        <v>0</v>
      </c>
      <c r="N109" s="183">
        <f>SUMIFS('апрель 2025'!$G$4:$G$2485,'апрель 2025'!$D$4:$D$2485,$B109,'апрель 2025'!$J$4:$J$2485,N$1)</f>
        <v>0</v>
      </c>
      <c r="O109" s="183">
        <f>SUMIFS('апрель 2025'!$G$4:$G$2485,'апрель 2025'!$D$4:$D$2485,$B109,'апрель 2025'!$J$4:$J$2485,O$1)</f>
        <v>0</v>
      </c>
      <c r="P109" s="183">
        <f>SUMIFS('апрель 2025'!$G$4:$G$2485,'апрель 2025'!$D$4:$D$2485,$B109,'апрель 2025'!$J$4:$J$2485,P$1)</f>
        <v>0</v>
      </c>
      <c r="Q109" s="183">
        <f>SUMIFS('апрель 2025'!$G$4:$G$2485,'апрель 2025'!$D$4:$D$2485,$B109,'апрель 2025'!$J$4:$J$2485,Q$1)</f>
        <v>0</v>
      </c>
      <c r="R109" s="183">
        <f>SUMIFS('апрель 2025'!$G$4:$G$2485,'апрель 2025'!$D$4:$D$2485,$B109,'апрель 2025'!$J$4:$J$2485,R$1)</f>
        <v>0</v>
      </c>
      <c r="S109" s="183">
        <f>SUMIFS('апрель 2025'!$G$4:$G$2485,'апрель 2025'!$D$4:$D$2485,$B109,'апрель 2025'!$J$4:$J$2485,S$1)</f>
        <v>0</v>
      </c>
      <c r="T109" s="183">
        <f>SUMIFS('апрель 2025'!$G$4:$G$2485,'апрель 2025'!$D$4:$D$2485,$B109,'апрель 2025'!$J$4:$J$2485,T$1)</f>
        <v>0</v>
      </c>
      <c r="U109" s="183">
        <f>SUMIFS('апрель 2025'!$G$4:$G$2485,'апрель 2025'!$D$4:$D$2485,$B109,'апрель 2025'!$J$4:$J$2485,U$1)</f>
        <v>0</v>
      </c>
      <c r="V109" s="183">
        <f>SUMIFS('апрель 2025'!$G$4:$G$2485,'апрель 2025'!$D$4:$D$2485,$B109,'апрель 2025'!$J$4:$J$2485,V$1)</f>
        <v>0</v>
      </c>
      <c r="W109" s="183">
        <f>SUMIFS('апрель 2025'!$G$4:$G$2485,'апрель 2025'!$D$4:$D$2485,$B109,'апрель 2025'!$J$4:$J$2485,W$1)</f>
        <v>0</v>
      </c>
      <c r="X109" s="183">
        <f>SUMIFS('апрель 2025'!$G$4:$G$2485,'апрель 2025'!$D$4:$D$2485,$B109,'апрель 2025'!$J$4:$J$2485,X$1)</f>
        <v>0</v>
      </c>
      <c r="Y109" s="183">
        <f>SUMIFS('апрель 2025'!$G$4:$G$2485,'апрель 2025'!$D$4:$D$2485,$B109,'апрель 2025'!$J$4:$J$2485,Y$1)</f>
        <v>0</v>
      </c>
      <c r="Z109" s="183">
        <f>SUMIFS('апрель 2025'!$G$4:$G$2485,'апрель 2025'!$D$4:$D$2485,$B109,'апрель 2025'!$J$4:$J$2485,Z$1)</f>
        <v>0</v>
      </c>
      <c r="AA109" s="183">
        <f>SUMIFS('апрель 2025'!$G$4:$G$2485,'апрель 2025'!$D$4:$D$2485,$B109,'апрель 2025'!$J$4:$J$2485,AA$1)</f>
        <v>0</v>
      </c>
      <c r="AB109" s="183">
        <f>SUMIFS('апрель 2025'!$G$4:$G$2485,'апрель 2025'!$D$4:$D$2485,$B109,'апрель 2025'!$J$4:$J$2485,AB$1)</f>
        <v>0</v>
      </c>
      <c r="AC109" s="183">
        <f>SUMIFS('апрель 2025'!$G$4:$G$2485,'апрель 2025'!$D$4:$D$2485,$B109,'апрель 2025'!$J$4:$J$2485,AC$1)</f>
        <v>0</v>
      </c>
      <c r="AD109" s="183">
        <f>SUMIFS('апрель 2025'!$G$4:$G$2485,'апрель 2025'!$D$4:$D$2485,$B109,'апрель 2025'!$J$4:$J$2485,AD$1)</f>
        <v>0</v>
      </c>
      <c r="AE109" s="183">
        <f>SUMIFS('апрель 2025'!$G$4:$G$2485,'апрель 2025'!$D$4:$D$2485,$B109,'апрель 2025'!$J$4:$J$2485,AE$1)</f>
        <v>0</v>
      </c>
      <c r="AF109" s="183">
        <f>SUMIFS('апрель 2025'!$G$4:$G$2485,'апрель 2025'!$D$4:$D$2485,$B109,'апрель 2025'!$J$4:$J$2485,AF$1)</f>
        <v>0</v>
      </c>
      <c r="AG109" s="183">
        <f>SUMIFS('апрель 2025'!$G$4:$G$2485,'апрель 2025'!$D$4:$D$2485,$B109,'апрель 2025'!$J$4:$J$2485,AG$1)</f>
        <v>0</v>
      </c>
      <c r="AH109" s="183">
        <f>SUMIFS('апрель 2025'!$G$4:$G$2485,'апрель 2025'!$D$4:$D$2485,$B109,'апрель 2025'!$J$4:$J$2485,AH$1)</f>
        <v>0</v>
      </c>
      <c r="AI109" s="20">
        <f t="shared" si="1"/>
        <v>0</v>
      </c>
    </row>
    <row r="110" spans="2:35" ht="15" customHeight="1" x14ac:dyDescent="0.25">
      <c r="B110" s="84" t="s">
        <v>260</v>
      </c>
      <c r="C110" s="83">
        <v>180</v>
      </c>
      <c r="D110" s="183">
        <f>SUMIFS('апрель 2025'!$G$4:$G$2485,'апрель 2025'!$D$4:$D$2485,$B110,'апрель 2025'!$J$4:$J$2485,D$1)</f>
        <v>0</v>
      </c>
      <c r="E110" s="183">
        <f>SUMIFS('апрель 2025'!$G$4:$G$2485,'апрель 2025'!$D$4:$D$2485,$B110,'апрель 2025'!$J$4:$J$2485,E$1)</f>
        <v>0</v>
      </c>
      <c r="F110" s="183">
        <f>SUMIFS('апрель 2025'!$G$4:$G$2485,'апрель 2025'!$D$4:$D$2485,$B110,'апрель 2025'!$J$4:$J$2485,F$1)</f>
        <v>0</v>
      </c>
      <c r="G110" s="183">
        <f>SUMIFS('апрель 2025'!$G$4:$G$2485,'апрель 2025'!$D$4:$D$2485,$B110,'апрель 2025'!$J$4:$J$2485,G$1)</f>
        <v>0</v>
      </c>
      <c r="H110" s="183">
        <f>SUMIFS('апрель 2025'!$G$4:$G$2485,'апрель 2025'!$D$4:$D$2485,$B110,'апрель 2025'!$J$4:$J$2485,H$1)</f>
        <v>0</v>
      </c>
      <c r="I110" s="183">
        <f>SUMIFS('апрель 2025'!$G$4:$G$2485,'апрель 2025'!$D$4:$D$2485,$B110,'апрель 2025'!$J$4:$J$2485,I$1)</f>
        <v>0</v>
      </c>
      <c r="J110" s="183">
        <f>SUMIFS('апрель 2025'!$G$4:$G$2485,'апрель 2025'!$D$4:$D$2485,$B110,'апрель 2025'!$J$4:$J$2485,J$1)</f>
        <v>0</v>
      </c>
      <c r="K110" s="183">
        <f>SUMIFS('апрель 2025'!$G$4:$G$2485,'апрель 2025'!$D$4:$D$2485,$B110,'апрель 2025'!$J$4:$J$2485,K$1)</f>
        <v>0</v>
      </c>
      <c r="L110" s="183">
        <f>SUMIFS('апрель 2025'!$G$4:$G$2485,'апрель 2025'!$D$4:$D$2485,$B110,'апрель 2025'!$J$4:$J$2485,L$1)</f>
        <v>0</v>
      </c>
      <c r="M110" s="183">
        <f>SUMIFS('апрель 2025'!$G$4:$G$2485,'апрель 2025'!$D$4:$D$2485,$B110,'апрель 2025'!$J$4:$J$2485,M$1)</f>
        <v>0</v>
      </c>
      <c r="N110" s="183">
        <f>SUMIFS('апрель 2025'!$G$4:$G$2485,'апрель 2025'!$D$4:$D$2485,$B110,'апрель 2025'!$J$4:$J$2485,N$1)</f>
        <v>0</v>
      </c>
      <c r="O110" s="183">
        <f>SUMIFS('апрель 2025'!$G$4:$G$2485,'апрель 2025'!$D$4:$D$2485,$B110,'апрель 2025'!$J$4:$J$2485,O$1)</f>
        <v>0</v>
      </c>
      <c r="P110" s="183">
        <f>SUMIFS('апрель 2025'!$G$4:$G$2485,'апрель 2025'!$D$4:$D$2485,$B110,'апрель 2025'!$J$4:$J$2485,P$1)</f>
        <v>0</v>
      </c>
      <c r="Q110" s="183">
        <f>SUMIFS('апрель 2025'!$G$4:$G$2485,'апрель 2025'!$D$4:$D$2485,$B110,'апрель 2025'!$J$4:$J$2485,Q$1)</f>
        <v>0</v>
      </c>
      <c r="R110" s="183">
        <f>SUMIFS('апрель 2025'!$G$4:$G$2485,'апрель 2025'!$D$4:$D$2485,$B110,'апрель 2025'!$J$4:$J$2485,R$1)</f>
        <v>0</v>
      </c>
      <c r="S110" s="183">
        <f>SUMIFS('апрель 2025'!$G$4:$G$2485,'апрель 2025'!$D$4:$D$2485,$B110,'апрель 2025'!$J$4:$J$2485,S$1)</f>
        <v>0</v>
      </c>
      <c r="T110" s="183">
        <f>SUMIFS('апрель 2025'!$G$4:$G$2485,'апрель 2025'!$D$4:$D$2485,$B110,'апрель 2025'!$J$4:$J$2485,T$1)</f>
        <v>0</v>
      </c>
      <c r="U110" s="183">
        <f>SUMIFS('апрель 2025'!$G$4:$G$2485,'апрель 2025'!$D$4:$D$2485,$B110,'апрель 2025'!$J$4:$J$2485,U$1)</f>
        <v>0</v>
      </c>
      <c r="V110" s="183">
        <f>SUMIFS('апрель 2025'!$G$4:$G$2485,'апрель 2025'!$D$4:$D$2485,$B110,'апрель 2025'!$J$4:$J$2485,V$1)</f>
        <v>0</v>
      </c>
      <c r="W110" s="183">
        <f>SUMIFS('апрель 2025'!$G$4:$G$2485,'апрель 2025'!$D$4:$D$2485,$B110,'апрель 2025'!$J$4:$J$2485,W$1)</f>
        <v>0</v>
      </c>
      <c r="X110" s="183">
        <f>SUMIFS('апрель 2025'!$G$4:$G$2485,'апрель 2025'!$D$4:$D$2485,$B110,'апрель 2025'!$J$4:$J$2485,X$1)</f>
        <v>0</v>
      </c>
      <c r="Y110" s="183">
        <f>SUMIFS('апрель 2025'!$G$4:$G$2485,'апрель 2025'!$D$4:$D$2485,$B110,'апрель 2025'!$J$4:$J$2485,Y$1)</f>
        <v>0</v>
      </c>
      <c r="Z110" s="183">
        <f>SUMIFS('апрель 2025'!$G$4:$G$2485,'апрель 2025'!$D$4:$D$2485,$B110,'апрель 2025'!$J$4:$J$2485,Z$1)</f>
        <v>0</v>
      </c>
      <c r="AA110" s="183">
        <f>SUMIFS('апрель 2025'!$G$4:$G$2485,'апрель 2025'!$D$4:$D$2485,$B110,'апрель 2025'!$J$4:$J$2485,AA$1)</f>
        <v>0</v>
      </c>
      <c r="AB110" s="183">
        <f>SUMIFS('апрель 2025'!$G$4:$G$2485,'апрель 2025'!$D$4:$D$2485,$B110,'апрель 2025'!$J$4:$J$2485,AB$1)</f>
        <v>0</v>
      </c>
      <c r="AC110" s="183">
        <f>SUMIFS('апрель 2025'!$G$4:$G$2485,'апрель 2025'!$D$4:$D$2485,$B110,'апрель 2025'!$J$4:$J$2485,AC$1)</f>
        <v>0</v>
      </c>
      <c r="AD110" s="183">
        <f>SUMIFS('апрель 2025'!$G$4:$G$2485,'апрель 2025'!$D$4:$D$2485,$B110,'апрель 2025'!$J$4:$J$2485,AD$1)</f>
        <v>0</v>
      </c>
      <c r="AE110" s="183">
        <f>SUMIFS('апрель 2025'!$G$4:$G$2485,'апрель 2025'!$D$4:$D$2485,$B110,'апрель 2025'!$J$4:$J$2485,AE$1)</f>
        <v>0</v>
      </c>
      <c r="AF110" s="183">
        <f>SUMIFS('апрель 2025'!$G$4:$G$2485,'апрель 2025'!$D$4:$D$2485,$B110,'апрель 2025'!$J$4:$J$2485,AF$1)</f>
        <v>0</v>
      </c>
      <c r="AG110" s="183">
        <f>SUMIFS('апрель 2025'!$G$4:$G$2485,'апрель 2025'!$D$4:$D$2485,$B110,'апрель 2025'!$J$4:$J$2485,AG$1)</f>
        <v>0</v>
      </c>
      <c r="AH110" s="183">
        <f>SUMIFS('апрель 2025'!$G$4:$G$2485,'апрель 2025'!$D$4:$D$2485,$B110,'апрель 2025'!$J$4:$J$2485,AH$1)</f>
        <v>0</v>
      </c>
      <c r="AI110" s="20">
        <f t="shared" si="1"/>
        <v>0</v>
      </c>
    </row>
    <row r="111" spans="2:35" ht="15" customHeight="1" x14ac:dyDescent="0.25">
      <c r="B111" s="88" t="s">
        <v>261</v>
      </c>
      <c r="C111" s="86">
        <v>200</v>
      </c>
      <c r="D111" s="183">
        <f>SUMIFS('апрель 2025'!$G$4:$G$2485,'апрель 2025'!$D$4:$D$2485,$B111,'апрель 2025'!$J$4:$J$2485,D$1)</f>
        <v>0</v>
      </c>
      <c r="E111" s="183">
        <f>SUMIFS('апрель 2025'!$G$4:$G$2485,'апрель 2025'!$D$4:$D$2485,$B111,'апрель 2025'!$J$4:$J$2485,E$1)</f>
        <v>0</v>
      </c>
      <c r="F111" s="183">
        <f>SUMIFS('апрель 2025'!$G$4:$G$2485,'апрель 2025'!$D$4:$D$2485,$B111,'апрель 2025'!$J$4:$J$2485,F$1)</f>
        <v>0</v>
      </c>
      <c r="G111" s="183">
        <f>SUMIFS('апрель 2025'!$G$4:$G$2485,'апрель 2025'!$D$4:$D$2485,$B111,'апрель 2025'!$J$4:$J$2485,G$1)</f>
        <v>0</v>
      </c>
      <c r="H111" s="183">
        <f>SUMIFS('апрель 2025'!$G$4:$G$2485,'апрель 2025'!$D$4:$D$2485,$B111,'апрель 2025'!$J$4:$J$2485,H$1)</f>
        <v>0</v>
      </c>
      <c r="I111" s="183">
        <f>SUMIFS('апрель 2025'!$G$4:$G$2485,'апрель 2025'!$D$4:$D$2485,$B111,'апрель 2025'!$J$4:$J$2485,I$1)</f>
        <v>0</v>
      </c>
      <c r="J111" s="183">
        <f>SUMIFS('апрель 2025'!$G$4:$G$2485,'апрель 2025'!$D$4:$D$2485,$B111,'апрель 2025'!$J$4:$J$2485,J$1)</f>
        <v>0</v>
      </c>
      <c r="K111" s="183">
        <f>SUMIFS('апрель 2025'!$G$4:$G$2485,'апрель 2025'!$D$4:$D$2485,$B111,'апрель 2025'!$J$4:$J$2485,K$1)</f>
        <v>0</v>
      </c>
      <c r="L111" s="183">
        <f>SUMIFS('апрель 2025'!$G$4:$G$2485,'апрель 2025'!$D$4:$D$2485,$B111,'апрель 2025'!$J$4:$J$2485,L$1)</f>
        <v>0</v>
      </c>
      <c r="M111" s="183">
        <f>SUMIFS('апрель 2025'!$G$4:$G$2485,'апрель 2025'!$D$4:$D$2485,$B111,'апрель 2025'!$J$4:$J$2485,M$1)</f>
        <v>0</v>
      </c>
      <c r="N111" s="183">
        <f>SUMIFS('апрель 2025'!$G$4:$G$2485,'апрель 2025'!$D$4:$D$2485,$B111,'апрель 2025'!$J$4:$J$2485,N$1)</f>
        <v>0</v>
      </c>
      <c r="O111" s="183">
        <f>SUMIFS('апрель 2025'!$G$4:$G$2485,'апрель 2025'!$D$4:$D$2485,$B111,'апрель 2025'!$J$4:$J$2485,O$1)</f>
        <v>0</v>
      </c>
      <c r="P111" s="183">
        <f>SUMIFS('апрель 2025'!$G$4:$G$2485,'апрель 2025'!$D$4:$D$2485,$B111,'апрель 2025'!$J$4:$J$2485,P$1)</f>
        <v>0</v>
      </c>
      <c r="Q111" s="183">
        <f>SUMIFS('апрель 2025'!$G$4:$G$2485,'апрель 2025'!$D$4:$D$2485,$B111,'апрель 2025'!$J$4:$J$2485,Q$1)</f>
        <v>0</v>
      </c>
      <c r="R111" s="183">
        <f>SUMIFS('апрель 2025'!$G$4:$G$2485,'апрель 2025'!$D$4:$D$2485,$B111,'апрель 2025'!$J$4:$J$2485,R$1)</f>
        <v>0</v>
      </c>
      <c r="S111" s="183">
        <f>SUMIFS('апрель 2025'!$G$4:$G$2485,'апрель 2025'!$D$4:$D$2485,$B111,'апрель 2025'!$J$4:$J$2485,S$1)</f>
        <v>0</v>
      </c>
      <c r="T111" s="183">
        <f>SUMIFS('апрель 2025'!$G$4:$G$2485,'апрель 2025'!$D$4:$D$2485,$B111,'апрель 2025'!$J$4:$J$2485,T$1)</f>
        <v>0</v>
      </c>
      <c r="U111" s="183">
        <f>SUMIFS('апрель 2025'!$G$4:$G$2485,'апрель 2025'!$D$4:$D$2485,$B111,'апрель 2025'!$J$4:$J$2485,U$1)</f>
        <v>0</v>
      </c>
      <c r="V111" s="183">
        <f>SUMIFS('апрель 2025'!$G$4:$G$2485,'апрель 2025'!$D$4:$D$2485,$B111,'апрель 2025'!$J$4:$J$2485,V$1)</f>
        <v>0</v>
      </c>
      <c r="W111" s="183">
        <f>SUMIFS('апрель 2025'!$G$4:$G$2485,'апрель 2025'!$D$4:$D$2485,$B111,'апрель 2025'!$J$4:$J$2485,W$1)</f>
        <v>0</v>
      </c>
      <c r="X111" s="183">
        <f>SUMIFS('апрель 2025'!$G$4:$G$2485,'апрель 2025'!$D$4:$D$2485,$B111,'апрель 2025'!$J$4:$J$2485,X$1)</f>
        <v>0</v>
      </c>
      <c r="Y111" s="183">
        <f>SUMIFS('апрель 2025'!$G$4:$G$2485,'апрель 2025'!$D$4:$D$2485,$B111,'апрель 2025'!$J$4:$J$2485,Y$1)</f>
        <v>0</v>
      </c>
      <c r="Z111" s="183">
        <f>SUMIFS('апрель 2025'!$G$4:$G$2485,'апрель 2025'!$D$4:$D$2485,$B111,'апрель 2025'!$J$4:$J$2485,Z$1)</f>
        <v>0</v>
      </c>
      <c r="AA111" s="183">
        <f>SUMIFS('апрель 2025'!$G$4:$G$2485,'апрель 2025'!$D$4:$D$2485,$B111,'апрель 2025'!$J$4:$J$2485,AA$1)</f>
        <v>0</v>
      </c>
      <c r="AB111" s="183">
        <f>SUMIFS('апрель 2025'!$G$4:$G$2485,'апрель 2025'!$D$4:$D$2485,$B111,'апрель 2025'!$J$4:$J$2485,AB$1)</f>
        <v>0</v>
      </c>
      <c r="AC111" s="183">
        <f>SUMIFS('апрель 2025'!$G$4:$G$2485,'апрель 2025'!$D$4:$D$2485,$B111,'апрель 2025'!$J$4:$J$2485,AC$1)</f>
        <v>0</v>
      </c>
      <c r="AD111" s="183">
        <f>SUMIFS('апрель 2025'!$G$4:$G$2485,'апрель 2025'!$D$4:$D$2485,$B111,'апрель 2025'!$J$4:$J$2485,AD$1)</f>
        <v>0</v>
      </c>
      <c r="AE111" s="183">
        <f>SUMIFS('апрель 2025'!$G$4:$G$2485,'апрель 2025'!$D$4:$D$2485,$B111,'апрель 2025'!$J$4:$J$2485,AE$1)</f>
        <v>0</v>
      </c>
      <c r="AF111" s="183">
        <f>SUMIFS('апрель 2025'!$G$4:$G$2485,'апрель 2025'!$D$4:$D$2485,$B111,'апрель 2025'!$J$4:$J$2485,AF$1)</f>
        <v>0</v>
      </c>
      <c r="AG111" s="183">
        <f>SUMIFS('апрель 2025'!$G$4:$G$2485,'апрель 2025'!$D$4:$D$2485,$B111,'апрель 2025'!$J$4:$J$2485,AG$1)</f>
        <v>0</v>
      </c>
      <c r="AH111" s="183">
        <f>SUMIFS('апрель 2025'!$G$4:$G$2485,'апрель 2025'!$D$4:$D$2485,$B111,'апрель 2025'!$J$4:$J$2485,AH$1)</f>
        <v>0</v>
      </c>
      <c r="AI111" s="20">
        <f t="shared" si="1"/>
        <v>0</v>
      </c>
    </row>
    <row r="112" spans="2:35" ht="15" customHeight="1" x14ac:dyDescent="0.25">
      <c r="B112" s="88" t="s">
        <v>180</v>
      </c>
      <c r="C112" s="86">
        <v>200</v>
      </c>
      <c r="D112" s="183">
        <f>SUMIFS('апрель 2025'!$G$4:$G$2485,'апрель 2025'!$D$4:$D$2485,$B112,'апрель 2025'!$J$4:$J$2485,D$1)</f>
        <v>0</v>
      </c>
      <c r="E112" s="183">
        <f>SUMIFS('апрель 2025'!$G$4:$G$2485,'апрель 2025'!$D$4:$D$2485,$B112,'апрель 2025'!$J$4:$J$2485,E$1)</f>
        <v>0</v>
      </c>
      <c r="F112" s="183">
        <f>SUMIFS('апрель 2025'!$G$4:$G$2485,'апрель 2025'!$D$4:$D$2485,$B112,'апрель 2025'!$J$4:$J$2485,F$1)</f>
        <v>0</v>
      </c>
      <c r="G112" s="183">
        <f>SUMIFS('апрель 2025'!$G$4:$G$2485,'апрель 2025'!$D$4:$D$2485,$B112,'апрель 2025'!$J$4:$J$2485,G$1)</f>
        <v>0</v>
      </c>
      <c r="H112" s="183">
        <f>SUMIFS('апрель 2025'!$G$4:$G$2485,'апрель 2025'!$D$4:$D$2485,$B112,'апрель 2025'!$J$4:$J$2485,H$1)</f>
        <v>0</v>
      </c>
      <c r="I112" s="183">
        <f>SUMIFS('апрель 2025'!$G$4:$G$2485,'апрель 2025'!$D$4:$D$2485,$B112,'апрель 2025'!$J$4:$J$2485,I$1)</f>
        <v>0</v>
      </c>
      <c r="J112" s="183">
        <f>SUMIFS('апрель 2025'!$G$4:$G$2485,'апрель 2025'!$D$4:$D$2485,$B112,'апрель 2025'!$J$4:$J$2485,J$1)</f>
        <v>0</v>
      </c>
      <c r="K112" s="183">
        <f>SUMIFS('апрель 2025'!$G$4:$G$2485,'апрель 2025'!$D$4:$D$2485,$B112,'апрель 2025'!$J$4:$J$2485,K$1)</f>
        <v>0</v>
      </c>
      <c r="L112" s="183">
        <f>SUMIFS('апрель 2025'!$G$4:$G$2485,'апрель 2025'!$D$4:$D$2485,$B112,'апрель 2025'!$J$4:$J$2485,L$1)</f>
        <v>0</v>
      </c>
      <c r="M112" s="183">
        <f>SUMIFS('апрель 2025'!$G$4:$G$2485,'апрель 2025'!$D$4:$D$2485,$B112,'апрель 2025'!$J$4:$J$2485,M$1)</f>
        <v>0</v>
      </c>
      <c r="N112" s="183">
        <f>SUMIFS('апрель 2025'!$G$4:$G$2485,'апрель 2025'!$D$4:$D$2485,$B112,'апрель 2025'!$J$4:$J$2485,N$1)</f>
        <v>0</v>
      </c>
      <c r="O112" s="183">
        <f>SUMIFS('апрель 2025'!$G$4:$G$2485,'апрель 2025'!$D$4:$D$2485,$B112,'апрель 2025'!$J$4:$J$2485,O$1)</f>
        <v>0</v>
      </c>
      <c r="P112" s="183">
        <f>SUMIFS('апрель 2025'!$G$4:$G$2485,'апрель 2025'!$D$4:$D$2485,$B112,'апрель 2025'!$J$4:$J$2485,P$1)</f>
        <v>0</v>
      </c>
      <c r="Q112" s="183">
        <f>SUMIFS('апрель 2025'!$G$4:$G$2485,'апрель 2025'!$D$4:$D$2485,$B112,'апрель 2025'!$J$4:$J$2485,Q$1)</f>
        <v>0</v>
      </c>
      <c r="R112" s="183">
        <f>SUMIFS('апрель 2025'!$G$4:$G$2485,'апрель 2025'!$D$4:$D$2485,$B112,'апрель 2025'!$J$4:$J$2485,R$1)</f>
        <v>0</v>
      </c>
      <c r="S112" s="183">
        <f>SUMIFS('апрель 2025'!$G$4:$G$2485,'апрель 2025'!$D$4:$D$2485,$B112,'апрель 2025'!$J$4:$J$2485,S$1)</f>
        <v>0</v>
      </c>
      <c r="T112" s="183">
        <f>SUMIFS('апрель 2025'!$G$4:$G$2485,'апрель 2025'!$D$4:$D$2485,$B112,'апрель 2025'!$J$4:$J$2485,T$1)</f>
        <v>0</v>
      </c>
      <c r="U112" s="183">
        <f>SUMIFS('апрель 2025'!$G$4:$G$2485,'апрель 2025'!$D$4:$D$2485,$B112,'апрель 2025'!$J$4:$J$2485,U$1)</f>
        <v>0</v>
      </c>
      <c r="V112" s="183">
        <f>SUMIFS('апрель 2025'!$G$4:$G$2485,'апрель 2025'!$D$4:$D$2485,$B112,'апрель 2025'!$J$4:$J$2485,V$1)</f>
        <v>0</v>
      </c>
      <c r="W112" s="183">
        <f>SUMIFS('апрель 2025'!$G$4:$G$2485,'апрель 2025'!$D$4:$D$2485,$B112,'апрель 2025'!$J$4:$J$2485,W$1)</f>
        <v>0</v>
      </c>
      <c r="X112" s="183">
        <f>SUMIFS('апрель 2025'!$G$4:$G$2485,'апрель 2025'!$D$4:$D$2485,$B112,'апрель 2025'!$J$4:$J$2485,X$1)</f>
        <v>0</v>
      </c>
      <c r="Y112" s="183">
        <f>SUMIFS('апрель 2025'!$G$4:$G$2485,'апрель 2025'!$D$4:$D$2485,$B112,'апрель 2025'!$J$4:$J$2485,Y$1)</f>
        <v>0</v>
      </c>
      <c r="Z112" s="183">
        <f>SUMIFS('апрель 2025'!$G$4:$G$2485,'апрель 2025'!$D$4:$D$2485,$B112,'апрель 2025'!$J$4:$J$2485,Z$1)</f>
        <v>0</v>
      </c>
      <c r="AA112" s="183">
        <f>SUMIFS('апрель 2025'!$G$4:$G$2485,'апрель 2025'!$D$4:$D$2485,$B112,'апрель 2025'!$J$4:$J$2485,AA$1)</f>
        <v>0</v>
      </c>
      <c r="AB112" s="183">
        <f>SUMIFS('апрель 2025'!$G$4:$G$2485,'апрель 2025'!$D$4:$D$2485,$B112,'апрель 2025'!$J$4:$J$2485,AB$1)</f>
        <v>0</v>
      </c>
      <c r="AC112" s="183">
        <f>SUMIFS('апрель 2025'!$G$4:$G$2485,'апрель 2025'!$D$4:$D$2485,$B112,'апрель 2025'!$J$4:$J$2485,AC$1)</f>
        <v>0</v>
      </c>
      <c r="AD112" s="183">
        <f>SUMIFS('апрель 2025'!$G$4:$G$2485,'апрель 2025'!$D$4:$D$2485,$B112,'апрель 2025'!$J$4:$J$2485,AD$1)</f>
        <v>0</v>
      </c>
      <c r="AE112" s="183">
        <f>SUMIFS('апрель 2025'!$G$4:$G$2485,'апрель 2025'!$D$4:$D$2485,$B112,'апрель 2025'!$J$4:$J$2485,AE$1)</f>
        <v>0</v>
      </c>
      <c r="AF112" s="183">
        <f>SUMIFS('апрель 2025'!$G$4:$G$2485,'апрель 2025'!$D$4:$D$2485,$B112,'апрель 2025'!$J$4:$J$2485,AF$1)</f>
        <v>0</v>
      </c>
      <c r="AG112" s="183">
        <f>SUMIFS('апрель 2025'!$G$4:$G$2485,'апрель 2025'!$D$4:$D$2485,$B112,'апрель 2025'!$J$4:$J$2485,AG$1)</f>
        <v>0</v>
      </c>
      <c r="AH112" s="183">
        <f>SUMIFS('апрель 2025'!$G$4:$G$2485,'апрель 2025'!$D$4:$D$2485,$B112,'апрель 2025'!$J$4:$J$2485,AH$1)</f>
        <v>0</v>
      </c>
      <c r="AI112" s="20">
        <f t="shared" si="1"/>
        <v>0</v>
      </c>
    </row>
    <row r="113" spans="2:35" ht="15" customHeight="1" x14ac:dyDescent="0.25">
      <c r="B113" s="88" t="s">
        <v>262</v>
      </c>
      <c r="C113" s="86">
        <v>200</v>
      </c>
      <c r="D113" s="183">
        <f>SUMIFS('апрель 2025'!$G$4:$G$2485,'апрель 2025'!$D$4:$D$2485,$B113,'апрель 2025'!$J$4:$J$2485,D$1)</f>
        <v>0</v>
      </c>
      <c r="E113" s="183">
        <f>SUMIFS('апрель 2025'!$G$4:$G$2485,'апрель 2025'!$D$4:$D$2485,$B113,'апрель 2025'!$J$4:$J$2485,E$1)</f>
        <v>0</v>
      </c>
      <c r="F113" s="183">
        <f>SUMIFS('апрель 2025'!$G$4:$G$2485,'апрель 2025'!$D$4:$D$2485,$B113,'апрель 2025'!$J$4:$J$2485,F$1)</f>
        <v>0</v>
      </c>
      <c r="G113" s="183">
        <f>SUMIFS('апрель 2025'!$G$4:$G$2485,'апрель 2025'!$D$4:$D$2485,$B113,'апрель 2025'!$J$4:$J$2485,G$1)</f>
        <v>0</v>
      </c>
      <c r="H113" s="183">
        <f>SUMIFS('апрель 2025'!$G$4:$G$2485,'апрель 2025'!$D$4:$D$2485,$B113,'апрель 2025'!$J$4:$J$2485,H$1)</f>
        <v>0</v>
      </c>
      <c r="I113" s="183">
        <f>SUMIFS('апрель 2025'!$G$4:$G$2485,'апрель 2025'!$D$4:$D$2485,$B113,'апрель 2025'!$J$4:$J$2485,I$1)</f>
        <v>0</v>
      </c>
      <c r="J113" s="183">
        <f>SUMIFS('апрель 2025'!$G$4:$G$2485,'апрель 2025'!$D$4:$D$2485,$B113,'апрель 2025'!$J$4:$J$2485,J$1)</f>
        <v>0</v>
      </c>
      <c r="K113" s="183">
        <f>SUMIFS('апрель 2025'!$G$4:$G$2485,'апрель 2025'!$D$4:$D$2485,$B113,'апрель 2025'!$J$4:$J$2485,K$1)</f>
        <v>0</v>
      </c>
      <c r="L113" s="183">
        <f>SUMIFS('апрель 2025'!$G$4:$G$2485,'апрель 2025'!$D$4:$D$2485,$B113,'апрель 2025'!$J$4:$J$2485,L$1)</f>
        <v>0</v>
      </c>
      <c r="M113" s="183">
        <f>SUMIFS('апрель 2025'!$G$4:$G$2485,'апрель 2025'!$D$4:$D$2485,$B113,'апрель 2025'!$J$4:$J$2485,M$1)</f>
        <v>0</v>
      </c>
      <c r="N113" s="183">
        <f>SUMIFS('апрель 2025'!$G$4:$G$2485,'апрель 2025'!$D$4:$D$2485,$B113,'апрель 2025'!$J$4:$J$2485,N$1)</f>
        <v>0</v>
      </c>
      <c r="O113" s="183">
        <f>SUMIFS('апрель 2025'!$G$4:$G$2485,'апрель 2025'!$D$4:$D$2485,$B113,'апрель 2025'!$J$4:$J$2485,O$1)</f>
        <v>0</v>
      </c>
      <c r="P113" s="183">
        <f>SUMIFS('апрель 2025'!$G$4:$G$2485,'апрель 2025'!$D$4:$D$2485,$B113,'апрель 2025'!$J$4:$J$2485,P$1)</f>
        <v>0</v>
      </c>
      <c r="Q113" s="183">
        <f>SUMIFS('апрель 2025'!$G$4:$G$2485,'апрель 2025'!$D$4:$D$2485,$B113,'апрель 2025'!$J$4:$J$2485,Q$1)</f>
        <v>0</v>
      </c>
      <c r="R113" s="183">
        <f>SUMIFS('апрель 2025'!$G$4:$G$2485,'апрель 2025'!$D$4:$D$2485,$B113,'апрель 2025'!$J$4:$J$2485,R$1)</f>
        <v>0</v>
      </c>
      <c r="S113" s="183">
        <f>SUMIFS('апрель 2025'!$G$4:$G$2485,'апрель 2025'!$D$4:$D$2485,$B113,'апрель 2025'!$J$4:$J$2485,S$1)</f>
        <v>0</v>
      </c>
      <c r="T113" s="183">
        <f>SUMIFS('апрель 2025'!$G$4:$G$2485,'апрель 2025'!$D$4:$D$2485,$B113,'апрель 2025'!$J$4:$J$2485,T$1)</f>
        <v>0</v>
      </c>
      <c r="U113" s="183">
        <f>SUMIFS('апрель 2025'!$G$4:$G$2485,'апрель 2025'!$D$4:$D$2485,$B113,'апрель 2025'!$J$4:$J$2485,U$1)</f>
        <v>0</v>
      </c>
      <c r="V113" s="183">
        <f>SUMIFS('апрель 2025'!$G$4:$G$2485,'апрель 2025'!$D$4:$D$2485,$B113,'апрель 2025'!$J$4:$J$2485,V$1)</f>
        <v>0</v>
      </c>
      <c r="W113" s="183">
        <f>SUMIFS('апрель 2025'!$G$4:$G$2485,'апрель 2025'!$D$4:$D$2485,$B113,'апрель 2025'!$J$4:$J$2485,W$1)</f>
        <v>0</v>
      </c>
      <c r="X113" s="183">
        <f>SUMIFS('апрель 2025'!$G$4:$G$2485,'апрель 2025'!$D$4:$D$2485,$B113,'апрель 2025'!$J$4:$J$2485,X$1)</f>
        <v>0</v>
      </c>
      <c r="Y113" s="183">
        <f>SUMIFS('апрель 2025'!$G$4:$G$2485,'апрель 2025'!$D$4:$D$2485,$B113,'апрель 2025'!$J$4:$J$2485,Y$1)</f>
        <v>0</v>
      </c>
      <c r="Z113" s="183">
        <f>SUMIFS('апрель 2025'!$G$4:$G$2485,'апрель 2025'!$D$4:$D$2485,$B113,'апрель 2025'!$J$4:$J$2485,Z$1)</f>
        <v>0</v>
      </c>
      <c r="AA113" s="183">
        <f>SUMIFS('апрель 2025'!$G$4:$G$2485,'апрель 2025'!$D$4:$D$2485,$B113,'апрель 2025'!$J$4:$J$2485,AA$1)</f>
        <v>0</v>
      </c>
      <c r="AB113" s="183">
        <f>SUMIFS('апрель 2025'!$G$4:$G$2485,'апрель 2025'!$D$4:$D$2485,$B113,'апрель 2025'!$J$4:$J$2485,AB$1)</f>
        <v>0</v>
      </c>
      <c r="AC113" s="183">
        <f>SUMIFS('апрель 2025'!$G$4:$G$2485,'апрель 2025'!$D$4:$D$2485,$B113,'апрель 2025'!$J$4:$J$2485,AC$1)</f>
        <v>0</v>
      </c>
      <c r="AD113" s="183">
        <f>SUMIFS('апрель 2025'!$G$4:$G$2485,'апрель 2025'!$D$4:$D$2485,$B113,'апрель 2025'!$J$4:$J$2485,AD$1)</f>
        <v>0</v>
      </c>
      <c r="AE113" s="183">
        <f>SUMIFS('апрель 2025'!$G$4:$G$2485,'апрель 2025'!$D$4:$D$2485,$B113,'апрель 2025'!$J$4:$J$2485,AE$1)</f>
        <v>0</v>
      </c>
      <c r="AF113" s="183">
        <f>SUMIFS('апрель 2025'!$G$4:$G$2485,'апрель 2025'!$D$4:$D$2485,$B113,'апрель 2025'!$J$4:$J$2485,AF$1)</f>
        <v>0</v>
      </c>
      <c r="AG113" s="183">
        <f>SUMIFS('апрель 2025'!$G$4:$G$2485,'апрель 2025'!$D$4:$D$2485,$B113,'апрель 2025'!$J$4:$J$2485,AG$1)</f>
        <v>0</v>
      </c>
      <c r="AH113" s="183">
        <f>SUMIFS('апрель 2025'!$G$4:$G$2485,'апрель 2025'!$D$4:$D$2485,$B113,'апрель 2025'!$J$4:$J$2485,AH$1)</f>
        <v>0</v>
      </c>
      <c r="AI113" s="20">
        <f t="shared" si="1"/>
        <v>0</v>
      </c>
    </row>
    <row r="114" spans="2:35" ht="15" customHeight="1" x14ac:dyDescent="0.25">
      <c r="B114" s="88" t="s">
        <v>263</v>
      </c>
      <c r="C114" s="86">
        <v>200</v>
      </c>
      <c r="D114" s="183">
        <f>SUMIFS('апрель 2025'!$G$4:$G$2485,'апрель 2025'!$D$4:$D$2485,$B114,'апрель 2025'!$J$4:$J$2485,D$1)</f>
        <v>0</v>
      </c>
      <c r="E114" s="183">
        <f>SUMIFS('апрель 2025'!$G$4:$G$2485,'апрель 2025'!$D$4:$D$2485,$B114,'апрель 2025'!$J$4:$J$2485,E$1)</f>
        <v>0</v>
      </c>
      <c r="F114" s="183">
        <f>SUMIFS('апрель 2025'!$G$4:$G$2485,'апрель 2025'!$D$4:$D$2485,$B114,'апрель 2025'!$J$4:$J$2485,F$1)</f>
        <v>0</v>
      </c>
      <c r="G114" s="183">
        <f>SUMIFS('апрель 2025'!$G$4:$G$2485,'апрель 2025'!$D$4:$D$2485,$B114,'апрель 2025'!$J$4:$J$2485,G$1)</f>
        <v>0</v>
      </c>
      <c r="H114" s="183">
        <f>SUMIFS('апрель 2025'!$G$4:$G$2485,'апрель 2025'!$D$4:$D$2485,$B114,'апрель 2025'!$J$4:$J$2485,H$1)</f>
        <v>0</v>
      </c>
      <c r="I114" s="183">
        <f>SUMIFS('апрель 2025'!$G$4:$G$2485,'апрель 2025'!$D$4:$D$2485,$B114,'апрель 2025'!$J$4:$J$2485,I$1)</f>
        <v>0</v>
      </c>
      <c r="J114" s="183">
        <f>SUMIFS('апрель 2025'!$G$4:$G$2485,'апрель 2025'!$D$4:$D$2485,$B114,'апрель 2025'!$J$4:$J$2485,J$1)</f>
        <v>0</v>
      </c>
      <c r="K114" s="183">
        <f>SUMIFS('апрель 2025'!$G$4:$G$2485,'апрель 2025'!$D$4:$D$2485,$B114,'апрель 2025'!$J$4:$J$2485,K$1)</f>
        <v>0</v>
      </c>
      <c r="L114" s="183">
        <f>SUMIFS('апрель 2025'!$G$4:$G$2485,'апрель 2025'!$D$4:$D$2485,$B114,'апрель 2025'!$J$4:$J$2485,L$1)</f>
        <v>0</v>
      </c>
      <c r="M114" s="183">
        <f>SUMIFS('апрель 2025'!$G$4:$G$2485,'апрель 2025'!$D$4:$D$2485,$B114,'апрель 2025'!$J$4:$J$2485,M$1)</f>
        <v>0</v>
      </c>
      <c r="N114" s="183">
        <f>SUMIFS('апрель 2025'!$G$4:$G$2485,'апрель 2025'!$D$4:$D$2485,$B114,'апрель 2025'!$J$4:$J$2485,N$1)</f>
        <v>0</v>
      </c>
      <c r="O114" s="183">
        <f>SUMIFS('апрель 2025'!$G$4:$G$2485,'апрель 2025'!$D$4:$D$2485,$B114,'апрель 2025'!$J$4:$J$2485,O$1)</f>
        <v>0</v>
      </c>
      <c r="P114" s="183">
        <f>SUMIFS('апрель 2025'!$G$4:$G$2485,'апрель 2025'!$D$4:$D$2485,$B114,'апрель 2025'!$J$4:$J$2485,P$1)</f>
        <v>0</v>
      </c>
      <c r="Q114" s="183">
        <f>SUMIFS('апрель 2025'!$G$4:$G$2485,'апрель 2025'!$D$4:$D$2485,$B114,'апрель 2025'!$J$4:$J$2485,Q$1)</f>
        <v>0</v>
      </c>
      <c r="R114" s="183">
        <f>SUMIFS('апрель 2025'!$G$4:$G$2485,'апрель 2025'!$D$4:$D$2485,$B114,'апрель 2025'!$J$4:$J$2485,R$1)</f>
        <v>0</v>
      </c>
      <c r="S114" s="183">
        <f>SUMIFS('апрель 2025'!$G$4:$G$2485,'апрель 2025'!$D$4:$D$2485,$B114,'апрель 2025'!$J$4:$J$2485,S$1)</f>
        <v>0</v>
      </c>
      <c r="T114" s="183">
        <f>SUMIFS('апрель 2025'!$G$4:$G$2485,'апрель 2025'!$D$4:$D$2485,$B114,'апрель 2025'!$J$4:$J$2485,T$1)</f>
        <v>80</v>
      </c>
      <c r="U114" s="183">
        <f>SUMIFS('апрель 2025'!$G$4:$G$2485,'апрель 2025'!$D$4:$D$2485,$B114,'апрель 2025'!$J$4:$J$2485,U$1)</f>
        <v>0</v>
      </c>
      <c r="V114" s="183">
        <f>SUMIFS('апрель 2025'!$G$4:$G$2485,'апрель 2025'!$D$4:$D$2485,$B114,'апрель 2025'!$J$4:$J$2485,V$1)</f>
        <v>0</v>
      </c>
      <c r="W114" s="183">
        <f>SUMIFS('апрель 2025'!$G$4:$G$2485,'апрель 2025'!$D$4:$D$2485,$B114,'апрель 2025'!$J$4:$J$2485,W$1)</f>
        <v>0</v>
      </c>
      <c r="X114" s="183">
        <f>SUMIFS('апрель 2025'!$G$4:$G$2485,'апрель 2025'!$D$4:$D$2485,$B114,'апрель 2025'!$J$4:$J$2485,X$1)</f>
        <v>0</v>
      </c>
      <c r="Y114" s="183">
        <f>SUMIFS('апрель 2025'!$G$4:$G$2485,'апрель 2025'!$D$4:$D$2485,$B114,'апрель 2025'!$J$4:$J$2485,Y$1)</f>
        <v>0</v>
      </c>
      <c r="Z114" s="183">
        <f>SUMIFS('апрель 2025'!$G$4:$G$2485,'апрель 2025'!$D$4:$D$2485,$B114,'апрель 2025'!$J$4:$J$2485,Z$1)</f>
        <v>0</v>
      </c>
      <c r="AA114" s="183">
        <f>SUMIFS('апрель 2025'!$G$4:$G$2485,'апрель 2025'!$D$4:$D$2485,$B114,'апрель 2025'!$J$4:$J$2485,AA$1)</f>
        <v>0</v>
      </c>
      <c r="AB114" s="183">
        <f>SUMIFS('апрель 2025'!$G$4:$G$2485,'апрель 2025'!$D$4:$D$2485,$B114,'апрель 2025'!$J$4:$J$2485,AB$1)</f>
        <v>0</v>
      </c>
      <c r="AC114" s="183">
        <f>SUMIFS('апрель 2025'!$G$4:$G$2485,'апрель 2025'!$D$4:$D$2485,$B114,'апрель 2025'!$J$4:$J$2485,AC$1)</f>
        <v>0</v>
      </c>
      <c r="AD114" s="183">
        <f>SUMIFS('апрель 2025'!$G$4:$G$2485,'апрель 2025'!$D$4:$D$2485,$B114,'апрель 2025'!$J$4:$J$2485,AD$1)</f>
        <v>0</v>
      </c>
      <c r="AE114" s="183">
        <f>SUMIFS('апрель 2025'!$G$4:$G$2485,'апрель 2025'!$D$4:$D$2485,$B114,'апрель 2025'!$J$4:$J$2485,AE$1)</f>
        <v>0</v>
      </c>
      <c r="AF114" s="183">
        <f>SUMIFS('апрель 2025'!$G$4:$G$2485,'апрель 2025'!$D$4:$D$2485,$B114,'апрель 2025'!$J$4:$J$2485,AF$1)</f>
        <v>0</v>
      </c>
      <c r="AG114" s="183">
        <f>SUMIFS('апрель 2025'!$G$4:$G$2485,'апрель 2025'!$D$4:$D$2485,$B114,'апрель 2025'!$J$4:$J$2485,AG$1)</f>
        <v>0</v>
      </c>
      <c r="AH114" s="183">
        <f>SUMIFS('апрель 2025'!$G$4:$G$2485,'апрель 2025'!$D$4:$D$2485,$B114,'апрель 2025'!$J$4:$J$2485,AH$1)</f>
        <v>0</v>
      </c>
      <c r="AI114" s="20">
        <f t="shared" si="1"/>
        <v>80</v>
      </c>
    </row>
    <row r="115" spans="2:35" ht="15" customHeight="1" x14ac:dyDescent="0.25">
      <c r="B115" s="84" t="s">
        <v>208</v>
      </c>
      <c r="C115" s="83">
        <v>25</v>
      </c>
      <c r="D115" s="183">
        <f>SUMIFS('апрель 2025'!$G$4:$G$2485,'апрель 2025'!$D$4:$D$2485,$B115,'апрель 2025'!$J$4:$J$2485,D$1)</f>
        <v>0</v>
      </c>
      <c r="E115" s="183">
        <f>SUMIFS('апрель 2025'!$G$4:$G$2485,'апрель 2025'!$D$4:$D$2485,$B115,'апрель 2025'!$J$4:$J$2485,E$1)</f>
        <v>0</v>
      </c>
      <c r="F115" s="183">
        <f>SUMIFS('апрель 2025'!$G$4:$G$2485,'апрель 2025'!$D$4:$D$2485,$B115,'апрель 2025'!$J$4:$J$2485,F$1)</f>
        <v>0</v>
      </c>
      <c r="G115" s="183">
        <f>SUMIFS('апрель 2025'!$G$4:$G$2485,'апрель 2025'!$D$4:$D$2485,$B115,'апрель 2025'!$J$4:$J$2485,G$1)</f>
        <v>0</v>
      </c>
      <c r="H115" s="183">
        <f>SUMIFS('апрель 2025'!$G$4:$G$2485,'апрель 2025'!$D$4:$D$2485,$B115,'апрель 2025'!$J$4:$J$2485,H$1)</f>
        <v>0</v>
      </c>
      <c r="I115" s="183">
        <f>SUMIFS('апрель 2025'!$G$4:$G$2485,'апрель 2025'!$D$4:$D$2485,$B115,'апрель 2025'!$J$4:$J$2485,I$1)</f>
        <v>0</v>
      </c>
      <c r="J115" s="183">
        <f>SUMIFS('апрель 2025'!$G$4:$G$2485,'апрель 2025'!$D$4:$D$2485,$B115,'апрель 2025'!$J$4:$J$2485,J$1)</f>
        <v>0</v>
      </c>
      <c r="K115" s="183">
        <f>SUMIFS('апрель 2025'!$G$4:$G$2485,'апрель 2025'!$D$4:$D$2485,$B115,'апрель 2025'!$J$4:$J$2485,K$1)</f>
        <v>0</v>
      </c>
      <c r="L115" s="183">
        <f>SUMIFS('апрель 2025'!$G$4:$G$2485,'апрель 2025'!$D$4:$D$2485,$B115,'апрель 2025'!$J$4:$J$2485,L$1)</f>
        <v>0</v>
      </c>
      <c r="M115" s="183">
        <f>SUMIFS('апрель 2025'!$G$4:$G$2485,'апрель 2025'!$D$4:$D$2485,$B115,'апрель 2025'!$J$4:$J$2485,M$1)</f>
        <v>0</v>
      </c>
      <c r="N115" s="183">
        <f>SUMIFS('апрель 2025'!$G$4:$G$2485,'апрель 2025'!$D$4:$D$2485,$B115,'апрель 2025'!$J$4:$J$2485,N$1)</f>
        <v>0</v>
      </c>
      <c r="O115" s="183">
        <f>SUMIFS('апрель 2025'!$G$4:$G$2485,'апрель 2025'!$D$4:$D$2485,$B115,'апрель 2025'!$J$4:$J$2485,O$1)</f>
        <v>0</v>
      </c>
      <c r="P115" s="183">
        <f>SUMIFS('апрель 2025'!$G$4:$G$2485,'апрель 2025'!$D$4:$D$2485,$B115,'апрель 2025'!$J$4:$J$2485,P$1)</f>
        <v>0</v>
      </c>
      <c r="Q115" s="183">
        <f>SUMIFS('апрель 2025'!$G$4:$G$2485,'апрель 2025'!$D$4:$D$2485,$B115,'апрель 2025'!$J$4:$J$2485,Q$1)</f>
        <v>0</v>
      </c>
      <c r="R115" s="183">
        <f>SUMIFS('апрель 2025'!$G$4:$G$2485,'апрель 2025'!$D$4:$D$2485,$B115,'апрель 2025'!$J$4:$J$2485,R$1)</f>
        <v>0</v>
      </c>
      <c r="S115" s="183">
        <f>SUMIFS('апрель 2025'!$G$4:$G$2485,'апрель 2025'!$D$4:$D$2485,$B115,'апрель 2025'!$J$4:$J$2485,S$1)</f>
        <v>0</v>
      </c>
      <c r="T115" s="183">
        <f>SUMIFS('апрель 2025'!$G$4:$G$2485,'апрель 2025'!$D$4:$D$2485,$B115,'апрель 2025'!$J$4:$J$2485,T$1)</f>
        <v>0</v>
      </c>
      <c r="U115" s="183">
        <f>SUMIFS('апрель 2025'!$G$4:$G$2485,'апрель 2025'!$D$4:$D$2485,$B115,'апрель 2025'!$J$4:$J$2485,U$1)</f>
        <v>0</v>
      </c>
      <c r="V115" s="183">
        <f>SUMIFS('апрель 2025'!$G$4:$G$2485,'апрель 2025'!$D$4:$D$2485,$B115,'апрель 2025'!$J$4:$J$2485,V$1)</f>
        <v>0</v>
      </c>
      <c r="W115" s="183">
        <f>SUMIFS('апрель 2025'!$G$4:$G$2485,'апрель 2025'!$D$4:$D$2485,$B115,'апрель 2025'!$J$4:$J$2485,W$1)</f>
        <v>0</v>
      </c>
      <c r="X115" s="183">
        <f>SUMIFS('апрель 2025'!$G$4:$G$2485,'апрель 2025'!$D$4:$D$2485,$B115,'апрель 2025'!$J$4:$J$2485,X$1)</f>
        <v>0</v>
      </c>
      <c r="Y115" s="183">
        <f>SUMIFS('апрель 2025'!$G$4:$G$2485,'апрель 2025'!$D$4:$D$2485,$B115,'апрель 2025'!$J$4:$J$2485,Y$1)</f>
        <v>0</v>
      </c>
      <c r="Z115" s="183">
        <f>SUMIFS('апрель 2025'!$G$4:$G$2485,'апрель 2025'!$D$4:$D$2485,$B115,'апрель 2025'!$J$4:$J$2485,Z$1)</f>
        <v>0</v>
      </c>
      <c r="AA115" s="183">
        <f>SUMIFS('апрель 2025'!$G$4:$G$2485,'апрель 2025'!$D$4:$D$2485,$B115,'апрель 2025'!$J$4:$J$2485,AA$1)</f>
        <v>0</v>
      </c>
      <c r="AB115" s="183">
        <f>SUMIFS('апрель 2025'!$G$4:$G$2485,'апрель 2025'!$D$4:$D$2485,$B115,'апрель 2025'!$J$4:$J$2485,AB$1)</f>
        <v>0</v>
      </c>
      <c r="AC115" s="183">
        <f>SUMIFS('апрель 2025'!$G$4:$G$2485,'апрель 2025'!$D$4:$D$2485,$B115,'апрель 2025'!$J$4:$J$2485,AC$1)</f>
        <v>0</v>
      </c>
      <c r="AD115" s="183">
        <f>SUMIFS('апрель 2025'!$G$4:$G$2485,'апрель 2025'!$D$4:$D$2485,$B115,'апрель 2025'!$J$4:$J$2485,AD$1)</f>
        <v>0</v>
      </c>
      <c r="AE115" s="183">
        <f>SUMIFS('апрель 2025'!$G$4:$G$2485,'апрель 2025'!$D$4:$D$2485,$B115,'апрель 2025'!$J$4:$J$2485,AE$1)</f>
        <v>0</v>
      </c>
      <c r="AF115" s="183">
        <f>SUMIFS('апрель 2025'!$G$4:$G$2485,'апрель 2025'!$D$4:$D$2485,$B115,'апрель 2025'!$J$4:$J$2485,AF$1)</f>
        <v>0</v>
      </c>
      <c r="AG115" s="183">
        <f>SUMIFS('апрель 2025'!$G$4:$G$2485,'апрель 2025'!$D$4:$D$2485,$B115,'апрель 2025'!$J$4:$J$2485,AG$1)</f>
        <v>0</v>
      </c>
      <c r="AH115" s="183">
        <f>SUMIFS('апрель 2025'!$G$4:$G$2485,'апрель 2025'!$D$4:$D$2485,$B115,'апрель 2025'!$J$4:$J$2485,AH$1)</f>
        <v>0</v>
      </c>
      <c r="AI115" s="20">
        <f t="shared" si="1"/>
        <v>0</v>
      </c>
    </row>
    <row r="116" spans="2:35" ht="15" customHeight="1" x14ac:dyDescent="0.25">
      <c r="B116" s="88" t="s">
        <v>264</v>
      </c>
      <c r="C116" s="86">
        <v>50</v>
      </c>
      <c r="D116" s="183">
        <f>SUMIFS('апрель 2025'!$G$4:$G$2485,'апрель 2025'!$D$4:$D$2485,$B116,'апрель 2025'!$J$4:$J$2485,D$1)</f>
        <v>0</v>
      </c>
      <c r="E116" s="183">
        <f>SUMIFS('апрель 2025'!$G$4:$G$2485,'апрель 2025'!$D$4:$D$2485,$B116,'апрель 2025'!$J$4:$J$2485,E$1)</f>
        <v>0</v>
      </c>
      <c r="F116" s="183">
        <f>SUMIFS('апрель 2025'!$G$4:$G$2485,'апрель 2025'!$D$4:$D$2485,$B116,'апрель 2025'!$J$4:$J$2485,F$1)</f>
        <v>0</v>
      </c>
      <c r="G116" s="183">
        <f>SUMIFS('апрель 2025'!$G$4:$G$2485,'апрель 2025'!$D$4:$D$2485,$B116,'апрель 2025'!$J$4:$J$2485,G$1)</f>
        <v>0</v>
      </c>
      <c r="H116" s="183">
        <f>SUMIFS('апрель 2025'!$G$4:$G$2485,'апрель 2025'!$D$4:$D$2485,$B116,'апрель 2025'!$J$4:$J$2485,H$1)</f>
        <v>0</v>
      </c>
      <c r="I116" s="183">
        <f>SUMIFS('апрель 2025'!$G$4:$G$2485,'апрель 2025'!$D$4:$D$2485,$B116,'апрель 2025'!$J$4:$J$2485,I$1)</f>
        <v>0</v>
      </c>
      <c r="J116" s="183">
        <f>SUMIFS('апрель 2025'!$G$4:$G$2485,'апрель 2025'!$D$4:$D$2485,$B116,'апрель 2025'!$J$4:$J$2485,J$1)</f>
        <v>0</v>
      </c>
      <c r="K116" s="183">
        <f>SUMIFS('апрель 2025'!$G$4:$G$2485,'апрель 2025'!$D$4:$D$2485,$B116,'апрель 2025'!$J$4:$J$2485,K$1)</f>
        <v>0</v>
      </c>
      <c r="L116" s="183">
        <f>SUMIFS('апрель 2025'!$G$4:$G$2485,'апрель 2025'!$D$4:$D$2485,$B116,'апрель 2025'!$J$4:$J$2485,L$1)</f>
        <v>0</v>
      </c>
      <c r="M116" s="183">
        <f>SUMIFS('апрель 2025'!$G$4:$G$2485,'апрель 2025'!$D$4:$D$2485,$B116,'апрель 2025'!$J$4:$J$2485,M$1)</f>
        <v>0</v>
      </c>
      <c r="N116" s="183">
        <f>SUMIFS('апрель 2025'!$G$4:$G$2485,'апрель 2025'!$D$4:$D$2485,$B116,'апрель 2025'!$J$4:$J$2485,N$1)</f>
        <v>0</v>
      </c>
      <c r="O116" s="183">
        <f>SUMIFS('апрель 2025'!$G$4:$G$2485,'апрель 2025'!$D$4:$D$2485,$B116,'апрель 2025'!$J$4:$J$2485,O$1)</f>
        <v>0</v>
      </c>
      <c r="P116" s="183">
        <f>SUMIFS('апрель 2025'!$G$4:$G$2485,'апрель 2025'!$D$4:$D$2485,$B116,'апрель 2025'!$J$4:$J$2485,P$1)</f>
        <v>0</v>
      </c>
      <c r="Q116" s="183">
        <f>SUMIFS('апрель 2025'!$G$4:$G$2485,'апрель 2025'!$D$4:$D$2485,$B116,'апрель 2025'!$J$4:$J$2485,Q$1)</f>
        <v>0</v>
      </c>
      <c r="R116" s="183">
        <f>SUMIFS('апрель 2025'!$G$4:$G$2485,'апрель 2025'!$D$4:$D$2485,$B116,'апрель 2025'!$J$4:$J$2485,R$1)</f>
        <v>0</v>
      </c>
      <c r="S116" s="183">
        <f>SUMIFS('апрель 2025'!$G$4:$G$2485,'апрель 2025'!$D$4:$D$2485,$B116,'апрель 2025'!$J$4:$J$2485,S$1)</f>
        <v>0</v>
      </c>
      <c r="T116" s="183">
        <f>SUMIFS('апрель 2025'!$G$4:$G$2485,'апрель 2025'!$D$4:$D$2485,$B116,'апрель 2025'!$J$4:$J$2485,T$1)</f>
        <v>0</v>
      </c>
      <c r="U116" s="183">
        <f>SUMIFS('апрель 2025'!$G$4:$G$2485,'апрель 2025'!$D$4:$D$2485,$B116,'апрель 2025'!$J$4:$J$2485,U$1)</f>
        <v>0</v>
      </c>
      <c r="V116" s="183">
        <f>SUMIFS('апрель 2025'!$G$4:$G$2485,'апрель 2025'!$D$4:$D$2485,$B116,'апрель 2025'!$J$4:$J$2485,V$1)</f>
        <v>0</v>
      </c>
      <c r="W116" s="183">
        <f>SUMIFS('апрель 2025'!$G$4:$G$2485,'апрель 2025'!$D$4:$D$2485,$B116,'апрель 2025'!$J$4:$J$2485,W$1)</f>
        <v>0</v>
      </c>
      <c r="X116" s="183">
        <f>SUMIFS('апрель 2025'!$G$4:$G$2485,'апрель 2025'!$D$4:$D$2485,$B116,'апрель 2025'!$J$4:$J$2485,X$1)</f>
        <v>0</v>
      </c>
      <c r="Y116" s="183">
        <f>SUMIFS('апрель 2025'!$G$4:$G$2485,'апрель 2025'!$D$4:$D$2485,$B116,'апрель 2025'!$J$4:$J$2485,Y$1)</f>
        <v>0</v>
      </c>
      <c r="Z116" s="183">
        <f>SUMIFS('апрель 2025'!$G$4:$G$2485,'апрель 2025'!$D$4:$D$2485,$B116,'апрель 2025'!$J$4:$J$2485,Z$1)</f>
        <v>0</v>
      </c>
      <c r="AA116" s="183">
        <f>SUMIFS('апрель 2025'!$G$4:$G$2485,'апрель 2025'!$D$4:$D$2485,$B116,'апрель 2025'!$J$4:$J$2485,AA$1)</f>
        <v>0</v>
      </c>
      <c r="AB116" s="183">
        <f>SUMIFS('апрель 2025'!$G$4:$G$2485,'апрель 2025'!$D$4:$D$2485,$B116,'апрель 2025'!$J$4:$J$2485,AB$1)</f>
        <v>0</v>
      </c>
      <c r="AC116" s="183">
        <f>SUMIFS('апрель 2025'!$G$4:$G$2485,'апрель 2025'!$D$4:$D$2485,$B116,'апрель 2025'!$J$4:$J$2485,AC$1)</f>
        <v>0</v>
      </c>
      <c r="AD116" s="183">
        <f>SUMIFS('апрель 2025'!$G$4:$G$2485,'апрель 2025'!$D$4:$D$2485,$B116,'апрель 2025'!$J$4:$J$2485,AD$1)</f>
        <v>0</v>
      </c>
      <c r="AE116" s="183">
        <f>SUMIFS('апрель 2025'!$G$4:$G$2485,'апрель 2025'!$D$4:$D$2485,$B116,'апрель 2025'!$J$4:$J$2485,AE$1)</f>
        <v>0</v>
      </c>
      <c r="AF116" s="183">
        <f>SUMIFS('апрель 2025'!$G$4:$G$2485,'апрель 2025'!$D$4:$D$2485,$B116,'апрель 2025'!$J$4:$J$2485,AF$1)</f>
        <v>0</v>
      </c>
      <c r="AG116" s="183">
        <f>SUMIFS('апрель 2025'!$G$4:$G$2485,'апрель 2025'!$D$4:$D$2485,$B116,'апрель 2025'!$J$4:$J$2485,AG$1)</f>
        <v>0</v>
      </c>
      <c r="AH116" s="183">
        <f>SUMIFS('апрель 2025'!$G$4:$G$2485,'апрель 2025'!$D$4:$D$2485,$B116,'апрель 2025'!$J$4:$J$2485,AH$1)</f>
        <v>0</v>
      </c>
      <c r="AI116" s="20">
        <f t="shared" si="1"/>
        <v>0</v>
      </c>
    </row>
    <row r="117" spans="2:35" ht="15" customHeight="1" x14ac:dyDescent="0.25">
      <c r="B117" s="88" t="s">
        <v>185</v>
      </c>
      <c r="C117" s="86">
        <v>180</v>
      </c>
      <c r="D117" s="183">
        <f>SUMIFS('апрель 2025'!$G$4:$G$2485,'апрель 2025'!$D$4:$D$2485,$B117,'апрель 2025'!$J$4:$J$2485,D$1)</f>
        <v>0</v>
      </c>
      <c r="E117" s="183">
        <f>SUMIFS('апрель 2025'!$G$4:$G$2485,'апрель 2025'!$D$4:$D$2485,$B117,'апрель 2025'!$J$4:$J$2485,E$1)</f>
        <v>0</v>
      </c>
      <c r="F117" s="183">
        <f>SUMIFS('апрель 2025'!$G$4:$G$2485,'апрель 2025'!$D$4:$D$2485,$B117,'апрель 2025'!$J$4:$J$2485,F$1)</f>
        <v>0</v>
      </c>
      <c r="G117" s="183">
        <f>SUMIFS('апрель 2025'!$G$4:$G$2485,'апрель 2025'!$D$4:$D$2485,$B117,'апрель 2025'!$J$4:$J$2485,G$1)</f>
        <v>0</v>
      </c>
      <c r="H117" s="183">
        <f>SUMIFS('апрель 2025'!$G$4:$G$2485,'апрель 2025'!$D$4:$D$2485,$B117,'апрель 2025'!$J$4:$J$2485,H$1)</f>
        <v>0</v>
      </c>
      <c r="I117" s="183">
        <f>SUMIFS('апрель 2025'!$G$4:$G$2485,'апрель 2025'!$D$4:$D$2485,$B117,'апрель 2025'!$J$4:$J$2485,I$1)</f>
        <v>0</v>
      </c>
      <c r="J117" s="183">
        <f>SUMIFS('апрель 2025'!$G$4:$G$2485,'апрель 2025'!$D$4:$D$2485,$B117,'апрель 2025'!$J$4:$J$2485,J$1)</f>
        <v>0</v>
      </c>
      <c r="K117" s="183">
        <f>SUMIFS('апрель 2025'!$G$4:$G$2485,'апрель 2025'!$D$4:$D$2485,$B117,'апрель 2025'!$J$4:$J$2485,K$1)</f>
        <v>0</v>
      </c>
      <c r="L117" s="183">
        <f>SUMIFS('апрель 2025'!$G$4:$G$2485,'апрель 2025'!$D$4:$D$2485,$B117,'апрель 2025'!$J$4:$J$2485,L$1)</f>
        <v>0</v>
      </c>
      <c r="M117" s="183">
        <f>SUMIFS('апрель 2025'!$G$4:$G$2485,'апрель 2025'!$D$4:$D$2485,$B117,'апрель 2025'!$J$4:$J$2485,M$1)</f>
        <v>0</v>
      </c>
      <c r="N117" s="183">
        <f>SUMIFS('апрель 2025'!$G$4:$G$2485,'апрель 2025'!$D$4:$D$2485,$B117,'апрель 2025'!$J$4:$J$2485,N$1)</f>
        <v>0</v>
      </c>
      <c r="O117" s="183">
        <f>SUMIFS('апрель 2025'!$G$4:$G$2485,'апрель 2025'!$D$4:$D$2485,$B117,'апрель 2025'!$J$4:$J$2485,O$1)</f>
        <v>0</v>
      </c>
      <c r="P117" s="183">
        <f>SUMIFS('апрель 2025'!$G$4:$G$2485,'апрель 2025'!$D$4:$D$2485,$B117,'апрель 2025'!$J$4:$J$2485,P$1)</f>
        <v>0</v>
      </c>
      <c r="Q117" s="183">
        <f>SUMIFS('апрель 2025'!$G$4:$G$2485,'апрель 2025'!$D$4:$D$2485,$B117,'апрель 2025'!$J$4:$J$2485,Q$1)</f>
        <v>0</v>
      </c>
      <c r="R117" s="183">
        <f>SUMIFS('апрель 2025'!$G$4:$G$2485,'апрель 2025'!$D$4:$D$2485,$B117,'апрель 2025'!$J$4:$J$2485,R$1)</f>
        <v>0</v>
      </c>
      <c r="S117" s="183">
        <f>SUMIFS('апрель 2025'!$G$4:$G$2485,'апрель 2025'!$D$4:$D$2485,$B117,'апрель 2025'!$J$4:$J$2485,S$1)</f>
        <v>0</v>
      </c>
      <c r="T117" s="183">
        <f>SUMIFS('апрель 2025'!$G$4:$G$2485,'апрель 2025'!$D$4:$D$2485,$B117,'апрель 2025'!$J$4:$J$2485,T$1)</f>
        <v>0</v>
      </c>
      <c r="U117" s="183">
        <f>SUMIFS('апрель 2025'!$G$4:$G$2485,'апрель 2025'!$D$4:$D$2485,$B117,'апрель 2025'!$J$4:$J$2485,U$1)</f>
        <v>0</v>
      </c>
      <c r="V117" s="183">
        <f>SUMIFS('апрель 2025'!$G$4:$G$2485,'апрель 2025'!$D$4:$D$2485,$B117,'апрель 2025'!$J$4:$J$2485,V$1)</f>
        <v>0</v>
      </c>
      <c r="W117" s="183">
        <f>SUMIFS('апрель 2025'!$G$4:$G$2485,'апрель 2025'!$D$4:$D$2485,$B117,'апрель 2025'!$J$4:$J$2485,W$1)</f>
        <v>0</v>
      </c>
      <c r="X117" s="183">
        <f>SUMIFS('апрель 2025'!$G$4:$G$2485,'апрель 2025'!$D$4:$D$2485,$B117,'апрель 2025'!$J$4:$J$2485,X$1)</f>
        <v>0</v>
      </c>
      <c r="Y117" s="183">
        <f>SUMIFS('апрель 2025'!$G$4:$G$2485,'апрель 2025'!$D$4:$D$2485,$B117,'апрель 2025'!$J$4:$J$2485,Y$1)</f>
        <v>0</v>
      </c>
      <c r="Z117" s="183">
        <f>SUMIFS('апрель 2025'!$G$4:$G$2485,'апрель 2025'!$D$4:$D$2485,$B117,'апрель 2025'!$J$4:$J$2485,Z$1)</f>
        <v>0</v>
      </c>
      <c r="AA117" s="183">
        <f>SUMIFS('апрель 2025'!$G$4:$G$2485,'апрель 2025'!$D$4:$D$2485,$B117,'апрель 2025'!$J$4:$J$2485,AA$1)</f>
        <v>0</v>
      </c>
      <c r="AB117" s="183">
        <f>SUMIFS('апрель 2025'!$G$4:$G$2485,'апрель 2025'!$D$4:$D$2485,$B117,'апрель 2025'!$J$4:$J$2485,AB$1)</f>
        <v>0</v>
      </c>
      <c r="AC117" s="183">
        <f>SUMIFS('апрель 2025'!$G$4:$G$2485,'апрель 2025'!$D$4:$D$2485,$B117,'апрель 2025'!$J$4:$J$2485,AC$1)</f>
        <v>0</v>
      </c>
      <c r="AD117" s="183">
        <f>SUMIFS('апрель 2025'!$G$4:$G$2485,'апрель 2025'!$D$4:$D$2485,$B117,'апрель 2025'!$J$4:$J$2485,AD$1)</f>
        <v>0</v>
      </c>
      <c r="AE117" s="183">
        <f>SUMIFS('апрель 2025'!$G$4:$G$2485,'апрель 2025'!$D$4:$D$2485,$B117,'апрель 2025'!$J$4:$J$2485,AE$1)</f>
        <v>0</v>
      </c>
      <c r="AF117" s="183">
        <f>SUMIFS('апрель 2025'!$G$4:$G$2485,'апрель 2025'!$D$4:$D$2485,$B117,'апрель 2025'!$J$4:$J$2485,AF$1)</f>
        <v>0</v>
      </c>
      <c r="AG117" s="183">
        <f>SUMIFS('апрель 2025'!$G$4:$G$2485,'апрель 2025'!$D$4:$D$2485,$B117,'апрель 2025'!$J$4:$J$2485,AG$1)</f>
        <v>0</v>
      </c>
      <c r="AH117" s="183">
        <f>SUMIFS('апрель 2025'!$G$4:$G$2485,'апрель 2025'!$D$4:$D$2485,$B117,'апрель 2025'!$J$4:$J$2485,AH$1)</f>
        <v>0</v>
      </c>
      <c r="AI117" s="20">
        <f t="shared" si="1"/>
        <v>0</v>
      </c>
    </row>
    <row r="118" spans="2:35" ht="15" customHeight="1" x14ac:dyDescent="0.25">
      <c r="B118" s="88" t="s">
        <v>203</v>
      </c>
      <c r="C118" s="86">
        <v>185</v>
      </c>
      <c r="D118" s="183">
        <f>SUMIFS('апрель 2025'!$G$4:$G$2485,'апрель 2025'!$D$4:$D$2485,$B118,'апрель 2025'!$J$4:$J$2485,D$1)</f>
        <v>0</v>
      </c>
      <c r="E118" s="183">
        <f>SUMIFS('апрель 2025'!$G$4:$G$2485,'апрель 2025'!$D$4:$D$2485,$B118,'апрель 2025'!$J$4:$J$2485,E$1)</f>
        <v>0</v>
      </c>
      <c r="F118" s="183">
        <f>SUMIFS('апрель 2025'!$G$4:$G$2485,'апрель 2025'!$D$4:$D$2485,$B118,'апрель 2025'!$J$4:$J$2485,F$1)</f>
        <v>0</v>
      </c>
      <c r="G118" s="183">
        <f>SUMIFS('апрель 2025'!$G$4:$G$2485,'апрель 2025'!$D$4:$D$2485,$B118,'апрель 2025'!$J$4:$J$2485,G$1)</f>
        <v>0</v>
      </c>
      <c r="H118" s="183">
        <f>SUMIFS('апрель 2025'!$G$4:$G$2485,'апрель 2025'!$D$4:$D$2485,$B118,'апрель 2025'!$J$4:$J$2485,H$1)</f>
        <v>0</v>
      </c>
      <c r="I118" s="183">
        <f>SUMIFS('апрель 2025'!$G$4:$G$2485,'апрель 2025'!$D$4:$D$2485,$B118,'апрель 2025'!$J$4:$J$2485,I$1)</f>
        <v>0</v>
      </c>
      <c r="J118" s="183">
        <f>SUMIFS('апрель 2025'!$G$4:$G$2485,'апрель 2025'!$D$4:$D$2485,$B118,'апрель 2025'!$J$4:$J$2485,J$1)</f>
        <v>0</v>
      </c>
      <c r="K118" s="183">
        <f>SUMIFS('апрель 2025'!$G$4:$G$2485,'апрель 2025'!$D$4:$D$2485,$B118,'апрель 2025'!$J$4:$J$2485,K$1)</f>
        <v>0</v>
      </c>
      <c r="L118" s="183">
        <f>SUMIFS('апрель 2025'!$G$4:$G$2485,'апрель 2025'!$D$4:$D$2485,$B118,'апрель 2025'!$J$4:$J$2485,L$1)</f>
        <v>0</v>
      </c>
      <c r="M118" s="183">
        <f>SUMIFS('апрель 2025'!$G$4:$G$2485,'апрель 2025'!$D$4:$D$2485,$B118,'апрель 2025'!$J$4:$J$2485,M$1)</f>
        <v>0</v>
      </c>
      <c r="N118" s="183">
        <f>SUMIFS('апрель 2025'!$G$4:$G$2485,'апрель 2025'!$D$4:$D$2485,$B118,'апрель 2025'!$J$4:$J$2485,N$1)</f>
        <v>0</v>
      </c>
      <c r="O118" s="183">
        <f>SUMIFS('апрель 2025'!$G$4:$G$2485,'апрель 2025'!$D$4:$D$2485,$B118,'апрель 2025'!$J$4:$J$2485,O$1)</f>
        <v>0</v>
      </c>
      <c r="P118" s="183">
        <f>SUMIFS('апрель 2025'!$G$4:$G$2485,'апрель 2025'!$D$4:$D$2485,$B118,'апрель 2025'!$J$4:$J$2485,P$1)</f>
        <v>0</v>
      </c>
      <c r="Q118" s="183">
        <f>SUMIFS('апрель 2025'!$G$4:$G$2485,'апрель 2025'!$D$4:$D$2485,$B118,'апрель 2025'!$J$4:$J$2485,Q$1)</f>
        <v>0</v>
      </c>
      <c r="R118" s="183">
        <f>SUMIFS('апрель 2025'!$G$4:$G$2485,'апрель 2025'!$D$4:$D$2485,$B118,'апрель 2025'!$J$4:$J$2485,R$1)</f>
        <v>0</v>
      </c>
      <c r="S118" s="183">
        <f>SUMIFS('апрель 2025'!$G$4:$G$2485,'апрель 2025'!$D$4:$D$2485,$B118,'апрель 2025'!$J$4:$J$2485,S$1)</f>
        <v>0</v>
      </c>
      <c r="T118" s="183">
        <f>SUMIFS('апрель 2025'!$G$4:$G$2485,'апрель 2025'!$D$4:$D$2485,$B118,'апрель 2025'!$J$4:$J$2485,T$1)</f>
        <v>0</v>
      </c>
      <c r="U118" s="183">
        <f>SUMIFS('апрель 2025'!$G$4:$G$2485,'апрель 2025'!$D$4:$D$2485,$B118,'апрель 2025'!$J$4:$J$2485,U$1)</f>
        <v>0</v>
      </c>
      <c r="V118" s="183">
        <f>SUMIFS('апрель 2025'!$G$4:$G$2485,'апрель 2025'!$D$4:$D$2485,$B118,'апрель 2025'!$J$4:$J$2485,V$1)</f>
        <v>0</v>
      </c>
      <c r="W118" s="183">
        <f>SUMIFS('апрель 2025'!$G$4:$G$2485,'апрель 2025'!$D$4:$D$2485,$B118,'апрель 2025'!$J$4:$J$2485,W$1)</f>
        <v>0</v>
      </c>
      <c r="X118" s="183">
        <f>SUMIFS('апрель 2025'!$G$4:$G$2485,'апрель 2025'!$D$4:$D$2485,$B118,'апрель 2025'!$J$4:$J$2485,X$1)</f>
        <v>0</v>
      </c>
      <c r="Y118" s="183">
        <f>SUMIFS('апрель 2025'!$G$4:$G$2485,'апрель 2025'!$D$4:$D$2485,$B118,'апрель 2025'!$J$4:$J$2485,Y$1)</f>
        <v>0</v>
      </c>
      <c r="Z118" s="183">
        <f>SUMIFS('апрель 2025'!$G$4:$G$2485,'апрель 2025'!$D$4:$D$2485,$B118,'апрель 2025'!$J$4:$J$2485,Z$1)</f>
        <v>0</v>
      </c>
      <c r="AA118" s="183">
        <f>SUMIFS('апрель 2025'!$G$4:$G$2485,'апрель 2025'!$D$4:$D$2485,$B118,'апрель 2025'!$J$4:$J$2485,AA$1)</f>
        <v>0</v>
      </c>
      <c r="AB118" s="183">
        <f>SUMIFS('апрель 2025'!$G$4:$G$2485,'апрель 2025'!$D$4:$D$2485,$B118,'апрель 2025'!$J$4:$J$2485,AB$1)</f>
        <v>0</v>
      </c>
      <c r="AC118" s="183">
        <f>SUMIFS('апрель 2025'!$G$4:$G$2485,'апрель 2025'!$D$4:$D$2485,$B118,'апрель 2025'!$J$4:$J$2485,AC$1)</f>
        <v>0</v>
      </c>
      <c r="AD118" s="183">
        <f>SUMIFS('апрель 2025'!$G$4:$G$2485,'апрель 2025'!$D$4:$D$2485,$B118,'апрель 2025'!$J$4:$J$2485,AD$1)</f>
        <v>0</v>
      </c>
      <c r="AE118" s="183">
        <f>SUMIFS('апрель 2025'!$G$4:$G$2485,'апрель 2025'!$D$4:$D$2485,$B118,'апрель 2025'!$J$4:$J$2485,AE$1)</f>
        <v>0</v>
      </c>
      <c r="AF118" s="183">
        <f>SUMIFS('апрель 2025'!$G$4:$G$2485,'апрель 2025'!$D$4:$D$2485,$B118,'апрель 2025'!$J$4:$J$2485,AF$1)</f>
        <v>0</v>
      </c>
      <c r="AG118" s="183">
        <f>SUMIFS('апрель 2025'!$G$4:$G$2485,'апрель 2025'!$D$4:$D$2485,$B118,'апрель 2025'!$J$4:$J$2485,AG$1)</f>
        <v>0</v>
      </c>
      <c r="AH118" s="183">
        <f>SUMIFS('апрель 2025'!$G$4:$G$2485,'апрель 2025'!$D$4:$D$2485,$B118,'апрель 2025'!$J$4:$J$2485,AH$1)</f>
        <v>0</v>
      </c>
      <c r="AI118" s="20">
        <f t="shared" si="1"/>
        <v>0</v>
      </c>
    </row>
    <row r="119" spans="2:35" ht="15" customHeight="1" x14ac:dyDescent="0.25">
      <c r="B119" s="88" t="s">
        <v>304</v>
      </c>
      <c r="C119" s="86">
        <v>175</v>
      </c>
      <c r="D119" s="183">
        <f>SUMIFS('апрель 2025'!$G$4:$G$2485,'апрель 2025'!$D$4:$D$2485,$B119,'апрель 2025'!$J$4:$J$2485,D$1)</f>
        <v>0</v>
      </c>
      <c r="E119" s="183">
        <f>SUMIFS('апрель 2025'!$G$4:$G$2485,'апрель 2025'!$D$4:$D$2485,$B119,'апрель 2025'!$J$4:$J$2485,E$1)</f>
        <v>0</v>
      </c>
      <c r="F119" s="183">
        <f>SUMIFS('апрель 2025'!$G$4:$G$2485,'апрель 2025'!$D$4:$D$2485,$B119,'апрель 2025'!$J$4:$J$2485,F$1)</f>
        <v>0</v>
      </c>
      <c r="G119" s="183">
        <f>SUMIFS('апрель 2025'!$G$4:$G$2485,'апрель 2025'!$D$4:$D$2485,$B119,'апрель 2025'!$J$4:$J$2485,G$1)</f>
        <v>0</v>
      </c>
      <c r="H119" s="183">
        <f>SUMIFS('апрель 2025'!$G$4:$G$2485,'апрель 2025'!$D$4:$D$2485,$B119,'апрель 2025'!$J$4:$J$2485,H$1)</f>
        <v>0</v>
      </c>
      <c r="I119" s="183">
        <f>SUMIFS('апрель 2025'!$G$4:$G$2485,'апрель 2025'!$D$4:$D$2485,$B119,'апрель 2025'!$J$4:$J$2485,I$1)</f>
        <v>0</v>
      </c>
      <c r="J119" s="183">
        <f>SUMIFS('апрель 2025'!$G$4:$G$2485,'апрель 2025'!$D$4:$D$2485,$B119,'апрель 2025'!$J$4:$J$2485,J$1)</f>
        <v>0</v>
      </c>
      <c r="K119" s="183">
        <f>SUMIFS('апрель 2025'!$G$4:$G$2485,'апрель 2025'!$D$4:$D$2485,$B119,'апрель 2025'!$J$4:$J$2485,K$1)</f>
        <v>0</v>
      </c>
      <c r="L119" s="183">
        <f>SUMIFS('апрель 2025'!$G$4:$G$2485,'апрель 2025'!$D$4:$D$2485,$B119,'апрель 2025'!$J$4:$J$2485,L$1)</f>
        <v>160</v>
      </c>
      <c r="M119" s="183">
        <f>SUMIFS('апрель 2025'!$G$4:$G$2485,'апрель 2025'!$D$4:$D$2485,$B119,'апрель 2025'!$J$4:$J$2485,M$1)</f>
        <v>0</v>
      </c>
      <c r="N119" s="183">
        <f>SUMIFS('апрель 2025'!$G$4:$G$2485,'апрель 2025'!$D$4:$D$2485,$B119,'апрель 2025'!$J$4:$J$2485,N$1)</f>
        <v>0</v>
      </c>
      <c r="O119" s="183">
        <f>SUMIFS('апрель 2025'!$G$4:$G$2485,'апрель 2025'!$D$4:$D$2485,$B119,'апрель 2025'!$J$4:$J$2485,O$1)</f>
        <v>0</v>
      </c>
      <c r="P119" s="183">
        <f>SUMIFS('апрель 2025'!$G$4:$G$2485,'апрель 2025'!$D$4:$D$2485,$B119,'апрель 2025'!$J$4:$J$2485,P$1)</f>
        <v>0</v>
      </c>
      <c r="Q119" s="183">
        <f>SUMIFS('апрель 2025'!$G$4:$G$2485,'апрель 2025'!$D$4:$D$2485,$B119,'апрель 2025'!$J$4:$J$2485,Q$1)</f>
        <v>0</v>
      </c>
      <c r="R119" s="183">
        <f>SUMIFS('апрель 2025'!$G$4:$G$2485,'апрель 2025'!$D$4:$D$2485,$B119,'апрель 2025'!$J$4:$J$2485,R$1)</f>
        <v>0</v>
      </c>
      <c r="S119" s="183">
        <f>SUMIFS('апрель 2025'!$G$4:$G$2485,'апрель 2025'!$D$4:$D$2485,$B119,'апрель 2025'!$J$4:$J$2485,S$1)</f>
        <v>0</v>
      </c>
      <c r="T119" s="183">
        <f>SUMIFS('апрель 2025'!$G$4:$G$2485,'апрель 2025'!$D$4:$D$2485,$B119,'апрель 2025'!$J$4:$J$2485,T$1)</f>
        <v>0</v>
      </c>
      <c r="U119" s="183">
        <f>SUMIFS('апрель 2025'!$G$4:$G$2485,'апрель 2025'!$D$4:$D$2485,$B119,'апрель 2025'!$J$4:$J$2485,U$1)</f>
        <v>0</v>
      </c>
      <c r="V119" s="183">
        <f>SUMIFS('апрель 2025'!$G$4:$G$2485,'апрель 2025'!$D$4:$D$2485,$B119,'апрель 2025'!$J$4:$J$2485,V$1)</f>
        <v>0</v>
      </c>
      <c r="W119" s="183">
        <f>SUMIFS('апрель 2025'!$G$4:$G$2485,'апрель 2025'!$D$4:$D$2485,$B119,'апрель 2025'!$J$4:$J$2485,W$1)</f>
        <v>0</v>
      </c>
      <c r="X119" s="183">
        <f>SUMIFS('апрель 2025'!$G$4:$G$2485,'апрель 2025'!$D$4:$D$2485,$B119,'апрель 2025'!$J$4:$J$2485,X$1)</f>
        <v>0</v>
      </c>
      <c r="Y119" s="183">
        <f>SUMIFS('апрель 2025'!$G$4:$G$2485,'апрель 2025'!$D$4:$D$2485,$B119,'апрель 2025'!$J$4:$J$2485,Y$1)</f>
        <v>0</v>
      </c>
      <c r="Z119" s="183">
        <f>SUMIFS('апрель 2025'!$G$4:$G$2485,'апрель 2025'!$D$4:$D$2485,$B119,'апрель 2025'!$J$4:$J$2485,Z$1)</f>
        <v>0</v>
      </c>
      <c r="AA119" s="183">
        <f>SUMIFS('апрель 2025'!$G$4:$G$2485,'апрель 2025'!$D$4:$D$2485,$B119,'апрель 2025'!$J$4:$J$2485,AA$1)</f>
        <v>0</v>
      </c>
      <c r="AB119" s="183">
        <f>SUMIFS('апрель 2025'!$G$4:$G$2485,'апрель 2025'!$D$4:$D$2485,$B119,'апрель 2025'!$J$4:$J$2485,AB$1)</f>
        <v>0</v>
      </c>
      <c r="AC119" s="183">
        <f>SUMIFS('апрель 2025'!$G$4:$G$2485,'апрель 2025'!$D$4:$D$2485,$B119,'апрель 2025'!$J$4:$J$2485,AC$1)</f>
        <v>0</v>
      </c>
      <c r="AD119" s="183">
        <f>SUMIFS('апрель 2025'!$G$4:$G$2485,'апрель 2025'!$D$4:$D$2485,$B119,'апрель 2025'!$J$4:$J$2485,AD$1)</f>
        <v>0</v>
      </c>
      <c r="AE119" s="183">
        <f>SUMIFS('апрель 2025'!$G$4:$G$2485,'апрель 2025'!$D$4:$D$2485,$B119,'апрель 2025'!$J$4:$J$2485,AE$1)</f>
        <v>0</v>
      </c>
      <c r="AF119" s="183">
        <f>SUMIFS('апрель 2025'!$G$4:$G$2485,'апрель 2025'!$D$4:$D$2485,$B119,'апрель 2025'!$J$4:$J$2485,AF$1)</f>
        <v>0</v>
      </c>
      <c r="AG119" s="183">
        <f>SUMIFS('апрель 2025'!$G$4:$G$2485,'апрель 2025'!$D$4:$D$2485,$B119,'апрель 2025'!$J$4:$J$2485,AG$1)</f>
        <v>0</v>
      </c>
      <c r="AH119" s="183">
        <f>SUMIFS('апрель 2025'!$G$4:$G$2485,'апрель 2025'!$D$4:$D$2485,$B119,'апрель 2025'!$J$4:$J$2485,AH$1)</f>
        <v>0</v>
      </c>
      <c r="AI119" s="20">
        <f t="shared" si="1"/>
        <v>160</v>
      </c>
    </row>
    <row r="120" spans="2:35" ht="15" customHeight="1" x14ac:dyDescent="0.25">
      <c r="B120" s="88" t="s">
        <v>310</v>
      </c>
      <c r="C120" s="86">
        <v>200</v>
      </c>
      <c r="D120" s="183">
        <f>SUMIFS('апрель 2025'!$G$4:$G$2485,'апрель 2025'!$D$4:$D$2485,$B120,'апрель 2025'!$J$4:$J$2485,D$1)</f>
        <v>0</v>
      </c>
      <c r="E120" s="183">
        <f>SUMIFS('апрель 2025'!$G$4:$G$2485,'апрель 2025'!$D$4:$D$2485,$B120,'апрель 2025'!$J$4:$J$2485,E$1)</f>
        <v>0</v>
      </c>
      <c r="F120" s="183">
        <f>SUMIFS('апрель 2025'!$G$4:$G$2485,'апрель 2025'!$D$4:$D$2485,$B120,'апрель 2025'!$J$4:$J$2485,F$1)</f>
        <v>0</v>
      </c>
      <c r="G120" s="183">
        <f>SUMIFS('апрель 2025'!$G$4:$G$2485,'апрель 2025'!$D$4:$D$2485,$B120,'апрель 2025'!$J$4:$J$2485,G$1)</f>
        <v>0</v>
      </c>
      <c r="H120" s="183">
        <f>SUMIFS('апрель 2025'!$G$4:$G$2485,'апрель 2025'!$D$4:$D$2485,$B120,'апрель 2025'!$J$4:$J$2485,H$1)</f>
        <v>0</v>
      </c>
      <c r="I120" s="183">
        <f>SUMIFS('апрель 2025'!$G$4:$G$2485,'апрель 2025'!$D$4:$D$2485,$B120,'апрель 2025'!$J$4:$J$2485,I$1)</f>
        <v>0</v>
      </c>
      <c r="J120" s="183">
        <f>SUMIFS('апрель 2025'!$G$4:$G$2485,'апрель 2025'!$D$4:$D$2485,$B120,'апрель 2025'!$J$4:$J$2485,J$1)</f>
        <v>0</v>
      </c>
      <c r="K120" s="183">
        <f>SUMIFS('апрель 2025'!$G$4:$G$2485,'апрель 2025'!$D$4:$D$2485,$B120,'апрель 2025'!$J$4:$J$2485,K$1)</f>
        <v>0</v>
      </c>
      <c r="L120" s="183">
        <f>SUMIFS('апрель 2025'!$G$4:$G$2485,'апрель 2025'!$D$4:$D$2485,$B120,'апрель 2025'!$J$4:$J$2485,L$1)</f>
        <v>0</v>
      </c>
      <c r="M120" s="183">
        <f>SUMIFS('апрель 2025'!$G$4:$G$2485,'апрель 2025'!$D$4:$D$2485,$B120,'апрель 2025'!$J$4:$J$2485,M$1)</f>
        <v>0</v>
      </c>
      <c r="N120" s="183">
        <f>SUMIFS('апрель 2025'!$G$4:$G$2485,'апрель 2025'!$D$4:$D$2485,$B120,'апрель 2025'!$J$4:$J$2485,N$1)</f>
        <v>0</v>
      </c>
      <c r="O120" s="183">
        <f>SUMIFS('апрель 2025'!$G$4:$G$2485,'апрель 2025'!$D$4:$D$2485,$B120,'апрель 2025'!$J$4:$J$2485,O$1)</f>
        <v>0</v>
      </c>
      <c r="P120" s="183">
        <f>SUMIFS('апрель 2025'!$G$4:$G$2485,'апрель 2025'!$D$4:$D$2485,$B120,'апрель 2025'!$J$4:$J$2485,P$1)</f>
        <v>0</v>
      </c>
      <c r="Q120" s="183">
        <f>SUMIFS('апрель 2025'!$G$4:$G$2485,'апрель 2025'!$D$4:$D$2485,$B120,'апрель 2025'!$J$4:$J$2485,Q$1)</f>
        <v>0</v>
      </c>
      <c r="R120" s="183">
        <f>SUMIFS('апрель 2025'!$G$4:$G$2485,'апрель 2025'!$D$4:$D$2485,$B120,'апрель 2025'!$J$4:$J$2485,R$1)</f>
        <v>0</v>
      </c>
      <c r="S120" s="183">
        <f>SUMIFS('апрель 2025'!$G$4:$G$2485,'апрель 2025'!$D$4:$D$2485,$B120,'апрель 2025'!$J$4:$J$2485,S$1)</f>
        <v>0</v>
      </c>
      <c r="T120" s="183">
        <f>SUMIFS('апрель 2025'!$G$4:$G$2485,'апрель 2025'!$D$4:$D$2485,$B120,'апрель 2025'!$J$4:$J$2485,T$1)</f>
        <v>0</v>
      </c>
      <c r="U120" s="183">
        <f>SUMIFS('апрель 2025'!$G$4:$G$2485,'апрель 2025'!$D$4:$D$2485,$B120,'апрель 2025'!$J$4:$J$2485,U$1)</f>
        <v>0</v>
      </c>
      <c r="V120" s="183">
        <f>SUMIFS('апрель 2025'!$G$4:$G$2485,'апрель 2025'!$D$4:$D$2485,$B120,'апрель 2025'!$J$4:$J$2485,V$1)</f>
        <v>0</v>
      </c>
      <c r="W120" s="183">
        <f>SUMIFS('апрель 2025'!$G$4:$G$2485,'апрель 2025'!$D$4:$D$2485,$B120,'апрель 2025'!$J$4:$J$2485,W$1)</f>
        <v>0</v>
      </c>
      <c r="X120" s="183">
        <f>SUMIFS('апрель 2025'!$G$4:$G$2485,'апрель 2025'!$D$4:$D$2485,$B120,'апрель 2025'!$J$4:$J$2485,X$1)</f>
        <v>0</v>
      </c>
      <c r="Y120" s="183">
        <f>SUMIFS('апрель 2025'!$G$4:$G$2485,'апрель 2025'!$D$4:$D$2485,$B120,'апрель 2025'!$J$4:$J$2485,Y$1)</f>
        <v>0</v>
      </c>
      <c r="Z120" s="183">
        <f>SUMIFS('апрель 2025'!$G$4:$G$2485,'апрель 2025'!$D$4:$D$2485,$B120,'апрель 2025'!$J$4:$J$2485,Z$1)</f>
        <v>0</v>
      </c>
      <c r="AA120" s="183">
        <f>SUMIFS('апрель 2025'!$G$4:$G$2485,'апрель 2025'!$D$4:$D$2485,$B120,'апрель 2025'!$J$4:$J$2485,AA$1)</f>
        <v>0</v>
      </c>
      <c r="AB120" s="183">
        <f>SUMIFS('апрель 2025'!$G$4:$G$2485,'апрель 2025'!$D$4:$D$2485,$B120,'апрель 2025'!$J$4:$J$2485,AB$1)</f>
        <v>0</v>
      </c>
      <c r="AC120" s="183">
        <f>SUMIFS('апрель 2025'!$G$4:$G$2485,'апрель 2025'!$D$4:$D$2485,$B120,'апрель 2025'!$J$4:$J$2485,AC$1)</f>
        <v>0</v>
      </c>
      <c r="AD120" s="183">
        <f>SUMIFS('апрель 2025'!$G$4:$G$2485,'апрель 2025'!$D$4:$D$2485,$B120,'апрель 2025'!$J$4:$J$2485,AD$1)</f>
        <v>0</v>
      </c>
      <c r="AE120" s="183">
        <f>SUMIFS('апрель 2025'!$G$4:$G$2485,'апрель 2025'!$D$4:$D$2485,$B120,'апрель 2025'!$J$4:$J$2485,AE$1)</f>
        <v>0</v>
      </c>
      <c r="AF120" s="183">
        <f>SUMIFS('апрель 2025'!$G$4:$G$2485,'апрель 2025'!$D$4:$D$2485,$B120,'апрель 2025'!$J$4:$J$2485,AF$1)</f>
        <v>0</v>
      </c>
      <c r="AG120" s="183">
        <f>SUMIFS('апрель 2025'!$G$4:$G$2485,'апрель 2025'!$D$4:$D$2485,$B120,'апрель 2025'!$J$4:$J$2485,AG$1)</f>
        <v>0</v>
      </c>
      <c r="AH120" s="183">
        <f>SUMIFS('апрель 2025'!$G$4:$G$2485,'апрель 2025'!$D$4:$D$2485,$B120,'апрель 2025'!$J$4:$J$2485,AH$1)</f>
        <v>0</v>
      </c>
      <c r="AI120" s="20">
        <f t="shared" si="1"/>
        <v>0</v>
      </c>
    </row>
    <row r="121" spans="2:35" ht="15" customHeight="1" x14ac:dyDescent="0.25">
      <c r="B121" s="88" t="s">
        <v>1256</v>
      </c>
      <c r="C121" s="86">
        <v>200</v>
      </c>
      <c r="D121" s="183">
        <f>SUMIFS('апрель 2025'!$G$4:$G$2485,'апрель 2025'!$D$4:$D$2485,$B121,'апрель 2025'!$J$4:$J$2485,D$1)</f>
        <v>0</v>
      </c>
      <c r="E121" s="183">
        <f>SUMIFS('апрель 2025'!$G$4:$G$2485,'апрель 2025'!$D$4:$D$2485,$B121,'апрель 2025'!$J$4:$J$2485,E$1)</f>
        <v>0</v>
      </c>
      <c r="F121" s="183">
        <f>SUMIFS('апрель 2025'!$G$4:$G$2485,'апрель 2025'!$D$4:$D$2485,$B121,'апрель 2025'!$J$4:$J$2485,F$1)</f>
        <v>0</v>
      </c>
      <c r="G121" s="183">
        <f>SUMIFS('апрель 2025'!$G$4:$G$2485,'апрель 2025'!$D$4:$D$2485,$B121,'апрель 2025'!$J$4:$J$2485,G$1)</f>
        <v>0</v>
      </c>
      <c r="H121" s="183">
        <f>SUMIFS('апрель 2025'!$G$4:$G$2485,'апрель 2025'!$D$4:$D$2485,$B121,'апрель 2025'!$J$4:$J$2485,H$1)</f>
        <v>0</v>
      </c>
      <c r="I121" s="183">
        <f>SUMIFS('апрель 2025'!$G$4:$G$2485,'апрель 2025'!$D$4:$D$2485,$B121,'апрель 2025'!$J$4:$J$2485,I$1)</f>
        <v>0</v>
      </c>
      <c r="J121" s="183">
        <f>SUMIFS('апрель 2025'!$G$4:$G$2485,'апрель 2025'!$D$4:$D$2485,$B121,'апрель 2025'!$J$4:$J$2485,J$1)</f>
        <v>0</v>
      </c>
      <c r="K121" s="183">
        <f>SUMIFS('апрель 2025'!$G$4:$G$2485,'апрель 2025'!$D$4:$D$2485,$B121,'апрель 2025'!$J$4:$J$2485,K$1)</f>
        <v>0</v>
      </c>
      <c r="L121" s="183">
        <f>SUMIFS('апрель 2025'!$G$4:$G$2485,'апрель 2025'!$D$4:$D$2485,$B121,'апрель 2025'!$J$4:$J$2485,L$1)</f>
        <v>0</v>
      </c>
      <c r="M121" s="183">
        <f>SUMIFS('апрель 2025'!$G$4:$G$2485,'апрель 2025'!$D$4:$D$2485,$B121,'апрель 2025'!$J$4:$J$2485,M$1)</f>
        <v>0</v>
      </c>
      <c r="N121" s="183">
        <f>SUMIFS('апрель 2025'!$G$4:$G$2485,'апрель 2025'!$D$4:$D$2485,$B121,'апрель 2025'!$J$4:$J$2485,N$1)</f>
        <v>0</v>
      </c>
      <c r="O121" s="183">
        <f>SUMIFS('апрель 2025'!$G$4:$G$2485,'апрель 2025'!$D$4:$D$2485,$B121,'апрель 2025'!$J$4:$J$2485,O$1)</f>
        <v>0</v>
      </c>
      <c r="P121" s="183">
        <f>SUMIFS('апрель 2025'!$G$4:$G$2485,'апрель 2025'!$D$4:$D$2485,$B121,'апрель 2025'!$J$4:$J$2485,P$1)</f>
        <v>0</v>
      </c>
      <c r="Q121" s="183">
        <f>SUMIFS('апрель 2025'!$G$4:$G$2485,'апрель 2025'!$D$4:$D$2485,$B121,'апрель 2025'!$J$4:$J$2485,Q$1)</f>
        <v>0</v>
      </c>
      <c r="R121" s="183">
        <f>SUMIFS('апрель 2025'!$G$4:$G$2485,'апрель 2025'!$D$4:$D$2485,$B121,'апрель 2025'!$J$4:$J$2485,R$1)</f>
        <v>0</v>
      </c>
      <c r="S121" s="183">
        <f>SUMIFS('апрель 2025'!$G$4:$G$2485,'апрель 2025'!$D$4:$D$2485,$B121,'апрель 2025'!$J$4:$J$2485,S$1)</f>
        <v>0</v>
      </c>
      <c r="T121" s="183">
        <f>SUMIFS('апрель 2025'!$G$4:$G$2485,'апрель 2025'!$D$4:$D$2485,$B121,'апрель 2025'!$J$4:$J$2485,T$1)</f>
        <v>0</v>
      </c>
      <c r="U121" s="183">
        <f>SUMIFS('апрель 2025'!$G$4:$G$2485,'апрель 2025'!$D$4:$D$2485,$B121,'апрель 2025'!$J$4:$J$2485,U$1)</f>
        <v>0</v>
      </c>
      <c r="V121" s="183">
        <f>SUMIFS('апрель 2025'!$G$4:$G$2485,'апрель 2025'!$D$4:$D$2485,$B121,'апрель 2025'!$J$4:$J$2485,V$1)</f>
        <v>0</v>
      </c>
      <c r="W121" s="183">
        <f>SUMIFS('апрель 2025'!$G$4:$G$2485,'апрель 2025'!$D$4:$D$2485,$B121,'апрель 2025'!$J$4:$J$2485,W$1)</f>
        <v>0</v>
      </c>
      <c r="X121" s="183">
        <f>SUMIFS('апрель 2025'!$G$4:$G$2485,'апрель 2025'!$D$4:$D$2485,$B121,'апрель 2025'!$J$4:$J$2485,X$1)</f>
        <v>0</v>
      </c>
      <c r="Y121" s="183">
        <f>SUMIFS('апрель 2025'!$G$4:$G$2485,'апрель 2025'!$D$4:$D$2485,$B121,'апрель 2025'!$J$4:$J$2485,Y$1)</f>
        <v>0</v>
      </c>
      <c r="Z121" s="183">
        <f>SUMIFS('апрель 2025'!$G$4:$G$2485,'апрель 2025'!$D$4:$D$2485,$B121,'апрель 2025'!$J$4:$J$2485,Z$1)</f>
        <v>0</v>
      </c>
      <c r="AA121" s="183">
        <f>SUMIFS('апрель 2025'!$G$4:$G$2485,'апрель 2025'!$D$4:$D$2485,$B121,'апрель 2025'!$J$4:$J$2485,AA$1)</f>
        <v>0</v>
      </c>
      <c r="AB121" s="183">
        <f>SUMIFS('апрель 2025'!$G$4:$G$2485,'апрель 2025'!$D$4:$D$2485,$B121,'апрель 2025'!$J$4:$J$2485,AB$1)</f>
        <v>0</v>
      </c>
      <c r="AC121" s="183">
        <f>SUMIFS('апрель 2025'!$G$4:$G$2485,'апрель 2025'!$D$4:$D$2485,$B121,'апрель 2025'!$J$4:$J$2485,AC$1)</f>
        <v>0</v>
      </c>
      <c r="AD121" s="183">
        <f>SUMIFS('апрель 2025'!$G$4:$G$2485,'апрель 2025'!$D$4:$D$2485,$B121,'апрель 2025'!$J$4:$J$2485,AD$1)</f>
        <v>0</v>
      </c>
      <c r="AE121" s="183">
        <f>SUMIFS('апрель 2025'!$G$4:$G$2485,'апрель 2025'!$D$4:$D$2485,$B121,'апрель 2025'!$J$4:$J$2485,AE$1)</f>
        <v>0</v>
      </c>
      <c r="AF121" s="183">
        <f>SUMIFS('апрель 2025'!$G$4:$G$2485,'апрель 2025'!$D$4:$D$2485,$B121,'апрель 2025'!$J$4:$J$2485,AF$1)</f>
        <v>0</v>
      </c>
      <c r="AG121" s="183">
        <f>SUMIFS('апрель 2025'!$G$4:$G$2485,'апрель 2025'!$D$4:$D$2485,$B121,'апрель 2025'!$J$4:$J$2485,AG$1)</f>
        <v>0</v>
      </c>
      <c r="AH121" s="183">
        <f>SUMIFS('апрель 2025'!$G$4:$G$2485,'апрель 2025'!$D$4:$D$2485,$B121,'апрель 2025'!$J$4:$J$2485,AH$1)</f>
        <v>0</v>
      </c>
      <c r="AI121" s="20">
        <f t="shared" ref="AI121:AI124" si="4">SUM(D121:AH121)</f>
        <v>0</v>
      </c>
    </row>
    <row r="122" spans="2:35" ht="15" customHeight="1" x14ac:dyDescent="0.25">
      <c r="B122" s="88" t="s">
        <v>265</v>
      </c>
      <c r="C122" s="86">
        <v>180</v>
      </c>
      <c r="D122" s="183">
        <f>SUMIFS('апрель 2025'!$G$4:$G$2485,'апрель 2025'!$D$4:$D$2485,$B122,'апрель 2025'!$J$4:$J$2485,D$1)</f>
        <v>0</v>
      </c>
      <c r="E122" s="183">
        <f>SUMIFS('апрель 2025'!$G$4:$G$2485,'апрель 2025'!$D$4:$D$2485,$B122,'апрель 2025'!$J$4:$J$2485,E$1)</f>
        <v>0</v>
      </c>
      <c r="F122" s="183">
        <f>SUMIFS('апрель 2025'!$G$4:$G$2485,'апрель 2025'!$D$4:$D$2485,$B122,'апрель 2025'!$J$4:$J$2485,F$1)</f>
        <v>0</v>
      </c>
      <c r="G122" s="183">
        <f>SUMIFS('апрель 2025'!$G$4:$G$2485,'апрель 2025'!$D$4:$D$2485,$B122,'апрель 2025'!$J$4:$J$2485,G$1)</f>
        <v>0</v>
      </c>
      <c r="H122" s="183">
        <f>SUMIFS('апрель 2025'!$G$4:$G$2485,'апрель 2025'!$D$4:$D$2485,$B122,'апрель 2025'!$J$4:$J$2485,H$1)</f>
        <v>0</v>
      </c>
      <c r="I122" s="183">
        <f>SUMIFS('апрель 2025'!$G$4:$G$2485,'апрель 2025'!$D$4:$D$2485,$B122,'апрель 2025'!$J$4:$J$2485,I$1)</f>
        <v>0</v>
      </c>
      <c r="J122" s="183">
        <f>SUMIFS('апрель 2025'!$G$4:$G$2485,'апрель 2025'!$D$4:$D$2485,$B122,'апрель 2025'!$J$4:$J$2485,J$1)</f>
        <v>0</v>
      </c>
      <c r="K122" s="183">
        <f>SUMIFS('апрель 2025'!$G$4:$G$2485,'апрель 2025'!$D$4:$D$2485,$B122,'апрель 2025'!$J$4:$J$2485,K$1)</f>
        <v>0</v>
      </c>
      <c r="L122" s="183">
        <f>SUMIFS('апрель 2025'!$G$4:$G$2485,'апрель 2025'!$D$4:$D$2485,$B122,'апрель 2025'!$J$4:$J$2485,L$1)</f>
        <v>0</v>
      </c>
      <c r="M122" s="183">
        <f>SUMIFS('апрель 2025'!$G$4:$G$2485,'апрель 2025'!$D$4:$D$2485,$B122,'апрель 2025'!$J$4:$J$2485,M$1)</f>
        <v>0</v>
      </c>
      <c r="N122" s="183">
        <f>SUMIFS('апрель 2025'!$G$4:$G$2485,'апрель 2025'!$D$4:$D$2485,$B122,'апрель 2025'!$J$4:$J$2485,N$1)</f>
        <v>0</v>
      </c>
      <c r="O122" s="183">
        <f>SUMIFS('апрель 2025'!$G$4:$G$2485,'апрель 2025'!$D$4:$D$2485,$B122,'апрель 2025'!$J$4:$J$2485,O$1)</f>
        <v>0</v>
      </c>
      <c r="P122" s="183">
        <f>SUMIFS('апрель 2025'!$G$4:$G$2485,'апрель 2025'!$D$4:$D$2485,$B122,'апрель 2025'!$J$4:$J$2485,P$1)</f>
        <v>0</v>
      </c>
      <c r="Q122" s="183">
        <f>SUMIFS('апрель 2025'!$G$4:$G$2485,'апрель 2025'!$D$4:$D$2485,$B122,'апрель 2025'!$J$4:$J$2485,Q$1)</f>
        <v>0</v>
      </c>
      <c r="R122" s="183">
        <f>SUMIFS('апрель 2025'!$G$4:$G$2485,'апрель 2025'!$D$4:$D$2485,$B122,'апрель 2025'!$J$4:$J$2485,R$1)</f>
        <v>0</v>
      </c>
      <c r="S122" s="183">
        <f>SUMIFS('апрель 2025'!$G$4:$G$2485,'апрель 2025'!$D$4:$D$2485,$B122,'апрель 2025'!$J$4:$J$2485,S$1)</f>
        <v>0</v>
      </c>
      <c r="T122" s="183">
        <f>SUMIFS('апрель 2025'!$G$4:$G$2485,'апрель 2025'!$D$4:$D$2485,$B122,'апрель 2025'!$J$4:$J$2485,T$1)</f>
        <v>0</v>
      </c>
      <c r="U122" s="183">
        <f>SUMIFS('апрель 2025'!$G$4:$G$2485,'апрель 2025'!$D$4:$D$2485,$B122,'апрель 2025'!$J$4:$J$2485,U$1)</f>
        <v>0</v>
      </c>
      <c r="V122" s="183">
        <f>SUMIFS('апрель 2025'!$G$4:$G$2485,'апрель 2025'!$D$4:$D$2485,$B122,'апрель 2025'!$J$4:$J$2485,V$1)</f>
        <v>0</v>
      </c>
      <c r="W122" s="183">
        <f>SUMIFS('апрель 2025'!$G$4:$G$2485,'апрель 2025'!$D$4:$D$2485,$B122,'апрель 2025'!$J$4:$J$2485,W$1)</f>
        <v>0</v>
      </c>
      <c r="X122" s="183">
        <f>SUMIFS('апрель 2025'!$G$4:$G$2485,'апрель 2025'!$D$4:$D$2485,$B122,'апрель 2025'!$J$4:$J$2485,X$1)</f>
        <v>0</v>
      </c>
      <c r="Y122" s="183">
        <f>SUMIFS('апрель 2025'!$G$4:$G$2485,'апрель 2025'!$D$4:$D$2485,$B122,'апрель 2025'!$J$4:$J$2485,Y$1)</f>
        <v>0</v>
      </c>
      <c r="Z122" s="183">
        <f>SUMIFS('апрель 2025'!$G$4:$G$2485,'апрель 2025'!$D$4:$D$2485,$B122,'апрель 2025'!$J$4:$J$2485,Z$1)</f>
        <v>0</v>
      </c>
      <c r="AA122" s="183">
        <f>SUMIFS('апрель 2025'!$G$4:$G$2485,'апрель 2025'!$D$4:$D$2485,$B122,'апрель 2025'!$J$4:$J$2485,AA$1)</f>
        <v>0</v>
      </c>
      <c r="AB122" s="183">
        <f>SUMIFS('апрель 2025'!$G$4:$G$2485,'апрель 2025'!$D$4:$D$2485,$B122,'апрель 2025'!$J$4:$J$2485,AB$1)</f>
        <v>0</v>
      </c>
      <c r="AC122" s="183">
        <f>SUMIFS('апрель 2025'!$G$4:$G$2485,'апрель 2025'!$D$4:$D$2485,$B122,'апрель 2025'!$J$4:$J$2485,AC$1)</f>
        <v>0</v>
      </c>
      <c r="AD122" s="183">
        <f>SUMIFS('апрель 2025'!$G$4:$G$2485,'апрель 2025'!$D$4:$D$2485,$B122,'апрель 2025'!$J$4:$J$2485,AD$1)</f>
        <v>0</v>
      </c>
      <c r="AE122" s="183">
        <f>SUMIFS('апрель 2025'!$G$4:$G$2485,'апрель 2025'!$D$4:$D$2485,$B122,'апрель 2025'!$J$4:$J$2485,AE$1)</f>
        <v>0</v>
      </c>
      <c r="AF122" s="183">
        <f>SUMIFS('апрель 2025'!$G$4:$G$2485,'апрель 2025'!$D$4:$D$2485,$B122,'апрель 2025'!$J$4:$J$2485,AF$1)</f>
        <v>0</v>
      </c>
      <c r="AG122" s="183">
        <f>SUMIFS('апрель 2025'!$G$4:$G$2485,'апрель 2025'!$D$4:$D$2485,$B122,'апрель 2025'!$J$4:$J$2485,AG$1)</f>
        <v>0</v>
      </c>
      <c r="AH122" s="183">
        <f>SUMIFS('апрель 2025'!$G$4:$G$2485,'апрель 2025'!$D$4:$D$2485,$B122,'апрель 2025'!$J$4:$J$2485,AH$1)</f>
        <v>0</v>
      </c>
      <c r="AI122" s="20">
        <f t="shared" si="4"/>
        <v>0</v>
      </c>
    </row>
    <row r="123" spans="2:35" ht="15" customHeight="1" x14ac:dyDescent="0.25">
      <c r="B123" s="88" t="s">
        <v>326</v>
      </c>
      <c r="C123" s="86">
        <v>200</v>
      </c>
      <c r="D123" s="183">
        <f>SUMIFS('апрель 2025'!$G$4:$G$2485,'апрель 2025'!$D$4:$D$2485,$B123,'апрель 2025'!$J$4:$J$2485,D$1)</f>
        <v>0</v>
      </c>
      <c r="E123" s="183">
        <f>SUMIFS('апрель 2025'!$G$4:$G$2485,'апрель 2025'!$D$4:$D$2485,$B123,'апрель 2025'!$J$4:$J$2485,E$1)</f>
        <v>0</v>
      </c>
      <c r="F123" s="183">
        <f>SUMIFS('апрель 2025'!$G$4:$G$2485,'апрель 2025'!$D$4:$D$2485,$B123,'апрель 2025'!$J$4:$J$2485,F$1)</f>
        <v>0</v>
      </c>
      <c r="G123" s="183">
        <f>SUMIFS('апрель 2025'!$G$4:$G$2485,'апрель 2025'!$D$4:$D$2485,$B123,'апрель 2025'!$J$4:$J$2485,G$1)</f>
        <v>0</v>
      </c>
      <c r="H123" s="183">
        <f>SUMIFS('апрель 2025'!$G$4:$G$2485,'апрель 2025'!$D$4:$D$2485,$B123,'апрель 2025'!$J$4:$J$2485,H$1)</f>
        <v>0</v>
      </c>
      <c r="I123" s="183">
        <f>SUMIFS('апрель 2025'!$G$4:$G$2485,'апрель 2025'!$D$4:$D$2485,$B123,'апрель 2025'!$J$4:$J$2485,I$1)</f>
        <v>0</v>
      </c>
      <c r="J123" s="183">
        <f>SUMIFS('апрель 2025'!$G$4:$G$2485,'апрель 2025'!$D$4:$D$2485,$B123,'апрель 2025'!$J$4:$J$2485,J$1)</f>
        <v>0</v>
      </c>
      <c r="K123" s="183">
        <f>SUMIFS('апрель 2025'!$G$4:$G$2485,'апрель 2025'!$D$4:$D$2485,$B123,'апрель 2025'!$J$4:$J$2485,K$1)</f>
        <v>0</v>
      </c>
      <c r="L123" s="183">
        <f>SUMIFS('апрель 2025'!$G$4:$G$2485,'апрель 2025'!$D$4:$D$2485,$B123,'апрель 2025'!$J$4:$J$2485,L$1)</f>
        <v>0</v>
      </c>
      <c r="M123" s="183">
        <f>SUMIFS('апрель 2025'!$G$4:$G$2485,'апрель 2025'!$D$4:$D$2485,$B123,'апрель 2025'!$J$4:$J$2485,M$1)</f>
        <v>0</v>
      </c>
      <c r="N123" s="183">
        <f>SUMIFS('апрель 2025'!$G$4:$G$2485,'апрель 2025'!$D$4:$D$2485,$B123,'апрель 2025'!$J$4:$J$2485,N$1)</f>
        <v>0</v>
      </c>
      <c r="O123" s="183">
        <f>SUMIFS('апрель 2025'!$G$4:$G$2485,'апрель 2025'!$D$4:$D$2485,$B123,'апрель 2025'!$J$4:$J$2485,O$1)</f>
        <v>0</v>
      </c>
      <c r="P123" s="183">
        <f>SUMIFS('апрель 2025'!$G$4:$G$2485,'апрель 2025'!$D$4:$D$2485,$B123,'апрель 2025'!$J$4:$J$2485,P$1)</f>
        <v>0</v>
      </c>
      <c r="Q123" s="183">
        <f>SUMIFS('апрель 2025'!$G$4:$G$2485,'апрель 2025'!$D$4:$D$2485,$B123,'апрель 2025'!$J$4:$J$2485,Q$1)</f>
        <v>0</v>
      </c>
      <c r="R123" s="183">
        <f>SUMIFS('апрель 2025'!$G$4:$G$2485,'апрель 2025'!$D$4:$D$2485,$B123,'апрель 2025'!$J$4:$J$2485,R$1)</f>
        <v>0</v>
      </c>
      <c r="S123" s="183">
        <f>SUMIFS('апрель 2025'!$G$4:$G$2485,'апрель 2025'!$D$4:$D$2485,$B123,'апрель 2025'!$J$4:$J$2485,S$1)</f>
        <v>0</v>
      </c>
      <c r="T123" s="183">
        <f>SUMIFS('апрель 2025'!$G$4:$G$2485,'апрель 2025'!$D$4:$D$2485,$B123,'апрель 2025'!$J$4:$J$2485,T$1)</f>
        <v>0</v>
      </c>
      <c r="U123" s="183">
        <f>SUMIFS('апрель 2025'!$G$4:$G$2485,'апрель 2025'!$D$4:$D$2485,$B123,'апрель 2025'!$J$4:$J$2485,U$1)</f>
        <v>0</v>
      </c>
      <c r="V123" s="183">
        <f>SUMIFS('апрель 2025'!$G$4:$G$2485,'апрель 2025'!$D$4:$D$2485,$B123,'апрель 2025'!$J$4:$J$2485,V$1)</f>
        <v>0</v>
      </c>
      <c r="W123" s="183">
        <f>SUMIFS('апрель 2025'!$G$4:$G$2485,'апрель 2025'!$D$4:$D$2485,$B123,'апрель 2025'!$J$4:$J$2485,W$1)</f>
        <v>0</v>
      </c>
      <c r="X123" s="183">
        <f>SUMIFS('апрель 2025'!$G$4:$G$2485,'апрель 2025'!$D$4:$D$2485,$B123,'апрель 2025'!$J$4:$J$2485,X$1)</f>
        <v>0</v>
      </c>
      <c r="Y123" s="183">
        <f>SUMIFS('апрель 2025'!$G$4:$G$2485,'апрель 2025'!$D$4:$D$2485,$B123,'апрель 2025'!$J$4:$J$2485,Y$1)</f>
        <v>0</v>
      </c>
      <c r="Z123" s="183">
        <f>SUMIFS('апрель 2025'!$G$4:$G$2485,'апрель 2025'!$D$4:$D$2485,$B123,'апрель 2025'!$J$4:$J$2485,Z$1)</f>
        <v>0</v>
      </c>
      <c r="AA123" s="183">
        <f>SUMIFS('апрель 2025'!$G$4:$G$2485,'апрель 2025'!$D$4:$D$2485,$B123,'апрель 2025'!$J$4:$J$2485,AA$1)</f>
        <v>0</v>
      </c>
      <c r="AB123" s="183">
        <f>SUMIFS('апрель 2025'!$G$4:$G$2485,'апрель 2025'!$D$4:$D$2485,$B123,'апрель 2025'!$J$4:$J$2485,AB$1)</f>
        <v>0</v>
      </c>
      <c r="AC123" s="183">
        <f>SUMIFS('апрель 2025'!$G$4:$G$2485,'апрель 2025'!$D$4:$D$2485,$B123,'апрель 2025'!$J$4:$J$2485,AC$1)</f>
        <v>0</v>
      </c>
      <c r="AD123" s="183">
        <f>SUMIFS('апрель 2025'!$G$4:$G$2485,'апрель 2025'!$D$4:$D$2485,$B123,'апрель 2025'!$J$4:$J$2485,AD$1)</f>
        <v>0</v>
      </c>
      <c r="AE123" s="183">
        <f>SUMIFS('апрель 2025'!$G$4:$G$2485,'апрель 2025'!$D$4:$D$2485,$B123,'апрель 2025'!$J$4:$J$2485,AE$1)</f>
        <v>0</v>
      </c>
      <c r="AF123" s="183">
        <f>SUMIFS('апрель 2025'!$G$4:$G$2485,'апрель 2025'!$D$4:$D$2485,$B123,'апрель 2025'!$J$4:$J$2485,AF$1)</f>
        <v>0</v>
      </c>
      <c r="AG123" s="183">
        <f>SUMIFS('апрель 2025'!$G$4:$G$2485,'апрель 2025'!$D$4:$D$2485,$B123,'апрель 2025'!$J$4:$J$2485,AG$1)</f>
        <v>0</v>
      </c>
      <c r="AH123" s="183">
        <f>SUMIFS('апрель 2025'!$G$4:$G$2485,'апрель 2025'!$D$4:$D$2485,$B123,'апрель 2025'!$J$4:$J$2485,AH$1)</f>
        <v>0</v>
      </c>
      <c r="AI123" s="20">
        <f t="shared" si="4"/>
        <v>0</v>
      </c>
    </row>
    <row r="124" spans="2:35" ht="15" customHeight="1" x14ac:dyDescent="0.25">
      <c r="B124" s="88" t="s">
        <v>280</v>
      </c>
      <c r="C124" s="86">
        <v>185</v>
      </c>
      <c r="D124" s="183">
        <f>SUMIFS('апрель 2025'!$G$4:$G$2485,'апрель 2025'!$D$4:$D$2485,$B124,'апрель 2025'!$J$4:$J$2485,D$1)</f>
        <v>0</v>
      </c>
      <c r="E124" s="183">
        <f>SUMIFS('апрель 2025'!$G$4:$G$2485,'апрель 2025'!$D$4:$D$2485,$B124,'апрель 2025'!$J$4:$J$2485,E$1)</f>
        <v>0</v>
      </c>
      <c r="F124" s="183">
        <f>SUMIFS('апрель 2025'!$G$4:$G$2485,'апрель 2025'!$D$4:$D$2485,$B124,'апрель 2025'!$J$4:$J$2485,F$1)</f>
        <v>0</v>
      </c>
      <c r="G124" s="183">
        <f>SUMIFS('апрель 2025'!$G$4:$G$2485,'апрель 2025'!$D$4:$D$2485,$B124,'апрель 2025'!$J$4:$J$2485,G$1)</f>
        <v>0</v>
      </c>
      <c r="H124" s="183">
        <f>SUMIFS('апрель 2025'!$G$4:$G$2485,'апрель 2025'!$D$4:$D$2485,$B124,'апрель 2025'!$J$4:$J$2485,H$1)</f>
        <v>0</v>
      </c>
      <c r="I124" s="183">
        <f>SUMIFS('апрель 2025'!$G$4:$G$2485,'апрель 2025'!$D$4:$D$2485,$B124,'апрель 2025'!$J$4:$J$2485,I$1)</f>
        <v>0</v>
      </c>
      <c r="J124" s="183">
        <f>SUMIFS('апрель 2025'!$G$4:$G$2485,'апрель 2025'!$D$4:$D$2485,$B124,'апрель 2025'!$J$4:$J$2485,J$1)</f>
        <v>0</v>
      </c>
      <c r="K124" s="183">
        <f>SUMIFS('апрель 2025'!$G$4:$G$2485,'апрель 2025'!$D$4:$D$2485,$B124,'апрель 2025'!$J$4:$J$2485,K$1)</f>
        <v>0</v>
      </c>
      <c r="L124" s="183">
        <f>SUMIFS('апрель 2025'!$G$4:$G$2485,'апрель 2025'!$D$4:$D$2485,$B124,'апрель 2025'!$J$4:$J$2485,L$1)</f>
        <v>0</v>
      </c>
      <c r="M124" s="183">
        <f>SUMIFS('апрель 2025'!$G$4:$G$2485,'апрель 2025'!$D$4:$D$2485,$B124,'апрель 2025'!$J$4:$J$2485,M$1)</f>
        <v>0</v>
      </c>
      <c r="N124" s="183">
        <f>SUMIFS('апрель 2025'!$G$4:$G$2485,'апрель 2025'!$D$4:$D$2485,$B124,'апрель 2025'!$J$4:$J$2485,N$1)</f>
        <v>0</v>
      </c>
      <c r="O124" s="183">
        <f>SUMIFS('апрель 2025'!$G$4:$G$2485,'апрель 2025'!$D$4:$D$2485,$B124,'апрель 2025'!$J$4:$J$2485,O$1)</f>
        <v>0</v>
      </c>
      <c r="P124" s="183">
        <f>SUMIFS('апрель 2025'!$G$4:$G$2485,'апрель 2025'!$D$4:$D$2485,$B124,'апрель 2025'!$J$4:$J$2485,P$1)</f>
        <v>0</v>
      </c>
      <c r="Q124" s="183">
        <f>SUMIFS('апрель 2025'!$G$4:$G$2485,'апрель 2025'!$D$4:$D$2485,$B124,'апрель 2025'!$J$4:$J$2485,Q$1)</f>
        <v>0</v>
      </c>
      <c r="R124" s="183">
        <f>SUMIFS('апрель 2025'!$G$4:$G$2485,'апрель 2025'!$D$4:$D$2485,$B124,'апрель 2025'!$J$4:$J$2485,R$1)</f>
        <v>0</v>
      </c>
      <c r="S124" s="183">
        <f>SUMIFS('апрель 2025'!$G$4:$G$2485,'апрель 2025'!$D$4:$D$2485,$B124,'апрель 2025'!$J$4:$J$2485,S$1)</f>
        <v>0</v>
      </c>
      <c r="T124" s="183">
        <f>SUMIFS('апрель 2025'!$G$4:$G$2485,'апрель 2025'!$D$4:$D$2485,$B124,'апрель 2025'!$J$4:$J$2485,T$1)</f>
        <v>0</v>
      </c>
      <c r="U124" s="183">
        <f>SUMIFS('апрель 2025'!$G$4:$G$2485,'апрель 2025'!$D$4:$D$2485,$B124,'апрель 2025'!$J$4:$J$2485,U$1)</f>
        <v>0</v>
      </c>
      <c r="V124" s="183">
        <f>SUMIFS('апрель 2025'!$G$4:$G$2485,'апрель 2025'!$D$4:$D$2485,$B124,'апрель 2025'!$J$4:$J$2485,V$1)</f>
        <v>0</v>
      </c>
      <c r="W124" s="183">
        <f>SUMIFS('апрель 2025'!$G$4:$G$2485,'апрель 2025'!$D$4:$D$2485,$B124,'апрель 2025'!$J$4:$J$2485,W$1)</f>
        <v>0</v>
      </c>
      <c r="X124" s="183">
        <f>SUMIFS('апрель 2025'!$G$4:$G$2485,'апрель 2025'!$D$4:$D$2485,$B124,'апрель 2025'!$J$4:$J$2485,X$1)</f>
        <v>0</v>
      </c>
      <c r="Y124" s="183">
        <f>SUMIFS('апрель 2025'!$G$4:$G$2485,'апрель 2025'!$D$4:$D$2485,$B124,'апрель 2025'!$J$4:$J$2485,Y$1)</f>
        <v>0</v>
      </c>
      <c r="Z124" s="183">
        <f>SUMIFS('апрель 2025'!$G$4:$G$2485,'апрель 2025'!$D$4:$D$2485,$B124,'апрель 2025'!$J$4:$J$2485,Z$1)</f>
        <v>0</v>
      </c>
      <c r="AA124" s="183">
        <f>SUMIFS('апрель 2025'!$G$4:$G$2485,'апрель 2025'!$D$4:$D$2485,$B124,'апрель 2025'!$J$4:$J$2485,AA$1)</f>
        <v>0</v>
      </c>
      <c r="AB124" s="183">
        <f>SUMIFS('апрель 2025'!$G$4:$G$2485,'апрель 2025'!$D$4:$D$2485,$B124,'апрель 2025'!$J$4:$J$2485,AB$1)</f>
        <v>0</v>
      </c>
      <c r="AC124" s="183">
        <f>SUMIFS('апрель 2025'!$G$4:$G$2485,'апрель 2025'!$D$4:$D$2485,$B124,'апрель 2025'!$J$4:$J$2485,AC$1)</f>
        <v>0</v>
      </c>
      <c r="AD124" s="183">
        <f>SUMIFS('апрель 2025'!$G$4:$G$2485,'апрель 2025'!$D$4:$D$2485,$B124,'апрель 2025'!$J$4:$J$2485,AD$1)</f>
        <v>0</v>
      </c>
      <c r="AE124" s="183">
        <f>SUMIFS('апрель 2025'!$G$4:$G$2485,'апрель 2025'!$D$4:$D$2485,$B124,'апрель 2025'!$J$4:$J$2485,AE$1)</f>
        <v>0</v>
      </c>
      <c r="AF124" s="183">
        <f>SUMIFS('апрель 2025'!$G$4:$G$2485,'апрель 2025'!$D$4:$D$2485,$B124,'апрель 2025'!$J$4:$J$2485,AF$1)</f>
        <v>0</v>
      </c>
      <c r="AG124" s="183">
        <f>SUMIFS('апрель 2025'!$G$4:$G$2485,'апрель 2025'!$D$4:$D$2485,$B124,'апрель 2025'!$J$4:$J$2485,AG$1)</f>
        <v>0</v>
      </c>
      <c r="AH124" s="183">
        <f>SUMIFS('апрель 2025'!$G$4:$G$2485,'апрель 2025'!$D$4:$D$2485,$B124,'апрель 2025'!$J$4:$J$2485,AH$1)</f>
        <v>0</v>
      </c>
      <c r="AI124" s="20">
        <f t="shared" si="4"/>
        <v>0</v>
      </c>
    </row>
    <row r="125" spans="2:35" ht="15" customHeight="1" x14ac:dyDescent="0.25">
      <c r="B125" s="88" t="s">
        <v>283</v>
      </c>
      <c r="C125" s="86">
        <v>185</v>
      </c>
      <c r="D125" s="183">
        <f>SUMIFS('апрель 2025'!$G$4:$G$2485,'апрель 2025'!$D$4:$D$2485,$B125,'апрель 2025'!$J$4:$J$2485,D$1)</f>
        <v>0</v>
      </c>
      <c r="E125" s="183">
        <f>SUMIFS('апрель 2025'!$G$4:$G$2485,'апрель 2025'!$D$4:$D$2485,$B125,'апрель 2025'!$J$4:$J$2485,E$1)</f>
        <v>0</v>
      </c>
      <c r="F125" s="183">
        <f>SUMIFS('апрель 2025'!$G$4:$G$2485,'апрель 2025'!$D$4:$D$2485,$B125,'апрель 2025'!$J$4:$J$2485,F$1)</f>
        <v>0</v>
      </c>
      <c r="G125" s="183">
        <f>SUMIFS('апрель 2025'!$G$4:$G$2485,'апрель 2025'!$D$4:$D$2485,$B125,'апрель 2025'!$J$4:$J$2485,G$1)</f>
        <v>0</v>
      </c>
      <c r="H125" s="183">
        <f>SUMIFS('апрель 2025'!$G$4:$G$2485,'апрель 2025'!$D$4:$D$2485,$B125,'апрель 2025'!$J$4:$J$2485,H$1)</f>
        <v>0</v>
      </c>
      <c r="I125" s="183">
        <f>SUMIFS('апрель 2025'!$G$4:$G$2485,'апрель 2025'!$D$4:$D$2485,$B125,'апрель 2025'!$J$4:$J$2485,I$1)</f>
        <v>0</v>
      </c>
      <c r="J125" s="183">
        <f>SUMIFS('апрель 2025'!$G$4:$G$2485,'апрель 2025'!$D$4:$D$2485,$B125,'апрель 2025'!$J$4:$J$2485,J$1)</f>
        <v>0</v>
      </c>
      <c r="K125" s="183">
        <f>SUMIFS('апрель 2025'!$G$4:$G$2485,'апрель 2025'!$D$4:$D$2485,$B125,'апрель 2025'!$J$4:$J$2485,K$1)</f>
        <v>0</v>
      </c>
      <c r="L125" s="183">
        <f>SUMIFS('апрель 2025'!$G$4:$G$2485,'апрель 2025'!$D$4:$D$2485,$B125,'апрель 2025'!$J$4:$J$2485,L$1)</f>
        <v>0</v>
      </c>
      <c r="M125" s="183">
        <f>SUMIFS('апрель 2025'!$G$4:$G$2485,'апрель 2025'!$D$4:$D$2485,$B125,'апрель 2025'!$J$4:$J$2485,M$1)</f>
        <v>0</v>
      </c>
      <c r="N125" s="183">
        <f>SUMIFS('апрель 2025'!$G$4:$G$2485,'апрель 2025'!$D$4:$D$2485,$B125,'апрель 2025'!$J$4:$J$2485,N$1)</f>
        <v>0</v>
      </c>
      <c r="O125" s="183">
        <f>SUMIFS('апрель 2025'!$G$4:$G$2485,'апрель 2025'!$D$4:$D$2485,$B125,'апрель 2025'!$J$4:$J$2485,O$1)</f>
        <v>0</v>
      </c>
      <c r="P125" s="183">
        <f>SUMIFS('апрель 2025'!$G$4:$G$2485,'апрель 2025'!$D$4:$D$2485,$B125,'апрель 2025'!$J$4:$J$2485,P$1)</f>
        <v>0</v>
      </c>
      <c r="Q125" s="183">
        <f>SUMIFS('апрель 2025'!$G$4:$G$2485,'апрель 2025'!$D$4:$D$2485,$B125,'апрель 2025'!$J$4:$J$2485,Q$1)</f>
        <v>0</v>
      </c>
      <c r="R125" s="183">
        <f>SUMIFS('апрель 2025'!$G$4:$G$2485,'апрель 2025'!$D$4:$D$2485,$B125,'апрель 2025'!$J$4:$J$2485,R$1)</f>
        <v>0</v>
      </c>
      <c r="S125" s="183">
        <f>SUMIFS('апрель 2025'!$G$4:$G$2485,'апрель 2025'!$D$4:$D$2485,$B125,'апрель 2025'!$J$4:$J$2485,S$1)</f>
        <v>0</v>
      </c>
      <c r="T125" s="183">
        <f>SUMIFS('апрель 2025'!$G$4:$G$2485,'апрель 2025'!$D$4:$D$2485,$B125,'апрель 2025'!$J$4:$J$2485,T$1)</f>
        <v>0</v>
      </c>
      <c r="U125" s="183">
        <f>SUMIFS('апрель 2025'!$G$4:$G$2485,'апрель 2025'!$D$4:$D$2485,$B125,'апрель 2025'!$J$4:$J$2485,U$1)</f>
        <v>0</v>
      </c>
      <c r="V125" s="183">
        <f>SUMIFS('апрель 2025'!$G$4:$G$2485,'апрель 2025'!$D$4:$D$2485,$B125,'апрель 2025'!$J$4:$J$2485,V$1)</f>
        <v>0</v>
      </c>
      <c r="W125" s="183">
        <f>SUMIFS('апрель 2025'!$G$4:$G$2485,'апрель 2025'!$D$4:$D$2485,$B125,'апрель 2025'!$J$4:$J$2485,W$1)</f>
        <v>0</v>
      </c>
      <c r="X125" s="183">
        <f>SUMIFS('апрель 2025'!$G$4:$G$2485,'апрель 2025'!$D$4:$D$2485,$B125,'апрель 2025'!$J$4:$J$2485,X$1)</f>
        <v>0</v>
      </c>
      <c r="Y125" s="183">
        <f>SUMIFS('апрель 2025'!$G$4:$G$2485,'апрель 2025'!$D$4:$D$2485,$B125,'апрель 2025'!$J$4:$J$2485,Y$1)</f>
        <v>0</v>
      </c>
      <c r="Z125" s="183">
        <f>SUMIFS('апрель 2025'!$G$4:$G$2485,'апрель 2025'!$D$4:$D$2485,$B125,'апрель 2025'!$J$4:$J$2485,Z$1)</f>
        <v>0</v>
      </c>
      <c r="AA125" s="183">
        <f>SUMIFS('апрель 2025'!$G$4:$G$2485,'апрель 2025'!$D$4:$D$2485,$B125,'апрель 2025'!$J$4:$J$2485,AA$1)</f>
        <v>0</v>
      </c>
      <c r="AB125" s="183">
        <f>SUMIFS('апрель 2025'!$G$4:$G$2485,'апрель 2025'!$D$4:$D$2485,$B125,'апрель 2025'!$J$4:$J$2485,AB$1)</f>
        <v>0</v>
      </c>
      <c r="AC125" s="183">
        <f>SUMIFS('апрель 2025'!$G$4:$G$2485,'апрель 2025'!$D$4:$D$2485,$B125,'апрель 2025'!$J$4:$J$2485,AC$1)</f>
        <v>0</v>
      </c>
      <c r="AD125" s="183">
        <f>SUMIFS('апрель 2025'!$G$4:$G$2485,'апрель 2025'!$D$4:$D$2485,$B125,'апрель 2025'!$J$4:$J$2485,AD$1)</f>
        <v>0</v>
      </c>
      <c r="AE125" s="183">
        <f>SUMIFS('апрель 2025'!$G$4:$G$2485,'апрель 2025'!$D$4:$D$2485,$B125,'апрель 2025'!$J$4:$J$2485,AE$1)</f>
        <v>0</v>
      </c>
      <c r="AF125" s="183">
        <f>SUMIFS('апрель 2025'!$G$4:$G$2485,'апрель 2025'!$D$4:$D$2485,$B125,'апрель 2025'!$J$4:$J$2485,AF$1)</f>
        <v>0</v>
      </c>
      <c r="AG125" s="183">
        <f>SUMIFS('апрель 2025'!$G$4:$G$2485,'апрель 2025'!$D$4:$D$2485,$B125,'апрель 2025'!$J$4:$J$2485,AG$1)</f>
        <v>0</v>
      </c>
      <c r="AH125" s="183">
        <f>SUMIFS('апрель 2025'!$G$4:$G$2485,'апрель 2025'!$D$4:$D$2485,$B125,'апрель 2025'!$J$4:$J$2485,AH$1)</f>
        <v>0</v>
      </c>
      <c r="AI125" s="20">
        <f t="shared" si="1"/>
        <v>0</v>
      </c>
    </row>
    <row r="126" spans="2:35" ht="15" customHeight="1" x14ac:dyDescent="0.25">
      <c r="B126" s="88" t="s">
        <v>866</v>
      </c>
      <c r="C126" s="86">
        <v>185</v>
      </c>
      <c r="D126" s="183">
        <f>SUMIFS('апрель 2025'!$G$4:$G$2485,'апрель 2025'!$D$4:$D$2485,$B126,'апрель 2025'!$J$4:$J$2485,D$1)</f>
        <v>80</v>
      </c>
      <c r="E126" s="183">
        <f>SUMIFS('апрель 2025'!$G$4:$G$2485,'апрель 2025'!$D$4:$D$2485,$B126,'апрель 2025'!$J$4:$J$2485,E$1)</f>
        <v>0</v>
      </c>
      <c r="F126" s="183">
        <f>SUMIFS('апрель 2025'!$G$4:$G$2485,'апрель 2025'!$D$4:$D$2485,$B126,'апрель 2025'!$J$4:$J$2485,F$1)</f>
        <v>0</v>
      </c>
      <c r="G126" s="183">
        <f>SUMIFS('апрель 2025'!$G$4:$G$2485,'апрель 2025'!$D$4:$D$2485,$B126,'апрель 2025'!$J$4:$J$2485,G$1)</f>
        <v>0</v>
      </c>
      <c r="H126" s="183">
        <f>SUMIFS('апрель 2025'!$G$4:$G$2485,'апрель 2025'!$D$4:$D$2485,$B126,'апрель 2025'!$J$4:$J$2485,H$1)</f>
        <v>0</v>
      </c>
      <c r="I126" s="183">
        <f>SUMIFS('апрель 2025'!$G$4:$G$2485,'апрель 2025'!$D$4:$D$2485,$B126,'апрель 2025'!$J$4:$J$2485,I$1)</f>
        <v>0</v>
      </c>
      <c r="J126" s="183">
        <f>SUMIFS('апрель 2025'!$G$4:$G$2485,'апрель 2025'!$D$4:$D$2485,$B126,'апрель 2025'!$J$4:$J$2485,J$1)</f>
        <v>0</v>
      </c>
      <c r="K126" s="183">
        <f>SUMIFS('апрель 2025'!$G$4:$G$2485,'апрель 2025'!$D$4:$D$2485,$B126,'апрель 2025'!$J$4:$J$2485,K$1)</f>
        <v>0</v>
      </c>
      <c r="L126" s="183">
        <f>SUMIFS('апрель 2025'!$G$4:$G$2485,'апрель 2025'!$D$4:$D$2485,$B126,'апрель 2025'!$J$4:$J$2485,L$1)</f>
        <v>0</v>
      </c>
      <c r="M126" s="183">
        <f>SUMIFS('апрель 2025'!$G$4:$G$2485,'апрель 2025'!$D$4:$D$2485,$B126,'апрель 2025'!$J$4:$J$2485,M$1)</f>
        <v>0</v>
      </c>
      <c r="N126" s="183">
        <f>SUMIFS('апрель 2025'!$G$4:$G$2485,'апрель 2025'!$D$4:$D$2485,$B126,'апрель 2025'!$J$4:$J$2485,N$1)</f>
        <v>0</v>
      </c>
      <c r="O126" s="183">
        <f>SUMIFS('апрель 2025'!$G$4:$G$2485,'апрель 2025'!$D$4:$D$2485,$B126,'апрель 2025'!$J$4:$J$2485,O$1)</f>
        <v>0</v>
      </c>
      <c r="P126" s="183">
        <f>SUMIFS('апрель 2025'!$G$4:$G$2485,'апрель 2025'!$D$4:$D$2485,$B126,'апрель 2025'!$J$4:$J$2485,P$1)</f>
        <v>0</v>
      </c>
      <c r="Q126" s="183">
        <f>SUMIFS('апрель 2025'!$G$4:$G$2485,'апрель 2025'!$D$4:$D$2485,$B126,'апрель 2025'!$J$4:$J$2485,Q$1)</f>
        <v>0</v>
      </c>
      <c r="R126" s="183">
        <f>SUMIFS('апрель 2025'!$G$4:$G$2485,'апрель 2025'!$D$4:$D$2485,$B126,'апрель 2025'!$J$4:$J$2485,R$1)</f>
        <v>0</v>
      </c>
      <c r="S126" s="183">
        <f>SUMIFS('апрель 2025'!$G$4:$G$2485,'апрель 2025'!$D$4:$D$2485,$B126,'апрель 2025'!$J$4:$J$2485,S$1)</f>
        <v>0</v>
      </c>
      <c r="T126" s="183">
        <f>SUMIFS('апрель 2025'!$G$4:$G$2485,'апрель 2025'!$D$4:$D$2485,$B126,'апрель 2025'!$J$4:$J$2485,T$1)</f>
        <v>0</v>
      </c>
      <c r="U126" s="183">
        <f>SUMIFS('апрель 2025'!$G$4:$G$2485,'апрель 2025'!$D$4:$D$2485,$B126,'апрель 2025'!$J$4:$J$2485,U$1)</f>
        <v>0</v>
      </c>
      <c r="V126" s="183">
        <f>SUMIFS('апрель 2025'!$G$4:$G$2485,'апрель 2025'!$D$4:$D$2485,$B126,'апрель 2025'!$J$4:$J$2485,V$1)</f>
        <v>0</v>
      </c>
      <c r="W126" s="183">
        <f>SUMIFS('апрель 2025'!$G$4:$G$2485,'апрель 2025'!$D$4:$D$2485,$B126,'апрель 2025'!$J$4:$J$2485,W$1)</f>
        <v>0</v>
      </c>
      <c r="X126" s="183">
        <f>SUMIFS('апрель 2025'!$G$4:$G$2485,'апрель 2025'!$D$4:$D$2485,$B126,'апрель 2025'!$J$4:$J$2485,X$1)</f>
        <v>0</v>
      </c>
      <c r="Y126" s="183">
        <f>SUMIFS('апрель 2025'!$G$4:$G$2485,'апрель 2025'!$D$4:$D$2485,$B126,'апрель 2025'!$J$4:$J$2485,Y$1)</f>
        <v>0</v>
      </c>
      <c r="Z126" s="183">
        <f>SUMIFS('апрель 2025'!$G$4:$G$2485,'апрель 2025'!$D$4:$D$2485,$B126,'апрель 2025'!$J$4:$J$2485,Z$1)</f>
        <v>0</v>
      </c>
      <c r="AA126" s="183">
        <f>SUMIFS('апрель 2025'!$G$4:$G$2485,'апрель 2025'!$D$4:$D$2485,$B126,'апрель 2025'!$J$4:$J$2485,AA$1)</f>
        <v>0</v>
      </c>
      <c r="AB126" s="183">
        <f>SUMIFS('апрель 2025'!$G$4:$G$2485,'апрель 2025'!$D$4:$D$2485,$B126,'апрель 2025'!$J$4:$J$2485,AB$1)</f>
        <v>0</v>
      </c>
      <c r="AC126" s="183">
        <f>SUMIFS('апрель 2025'!$G$4:$G$2485,'апрель 2025'!$D$4:$D$2485,$B126,'апрель 2025'!$J$4:$J$2485,AC$1)</f>
        <v>0</v>
      </c>
      <c r="AD126" s="183">
        <f>SUMIFS('апрель 2025'!$G$4:$G$2485,'апрель 2025'!$D$4:$D$2485,$B126,'апрель 2025'!$J$4:$J$2485,AD$1)</f>
        <v>0</v>
      </c>
      <c r="AE126" s="183">
        <f>SUMIFS('апрель 2025'!$G$4:$G$2485,'апрель 2025'!$D$4:$D$2485,$B126,'апрель 2025'!$J$4:$J$2485,AE$1)</f>
        <v>0</v>
      </c>
      <c r="AF126" s="183">
        <f>SUMIFS('апрель 2025'!$G$4:$G$2485,'апрель 2025'!$D$4:$D$2485,$B126,'апрель 2025'!$J$4:$J$2485,AF$1)</f>
        <v>0</v>
      </c>
      <c r="AG126" s="183">
        <f>SUMIFS('апрель 2025'!$G$4:$G$2485,'апрель 2025'!$D$4:$D$2485,$B126,'апрель 2025'!$J$4:$J$2485,AG$1)</f>
        <v>0</v>
      </c>
      <c r="AH126" s="183">
        <f>SUMIFS('апрель 2025'!$G$4:$G$2485,'апрель 2025'!$D$4:$D$2485,$B126,'апрель 2025'!$J$4:$J$2485,AH$1)</f>
        <v>0</v>
      </c>
      <c r="AI126" s="20">
        <f t="shared" si="1"/>
        <v>80</v>
      </c>
    </row>
    <row r="127" spans="2:35" ht="15" customHeight="1" x14ac:dyDescent="0.25">
      <c r="B127" s="88" t="s">
        <v>266</v>
      </c>
      <c r="C127" s="86">
        <v>180</v>
      </c>
      <c r="D127" s="183">
        <f>SUMIFS('апрель 2025'!$G$4:$G$2485,'апрель 2025'!$D$4:$D$2485,$B127,'апрель 2025'!$J$4:$J$2485,D$1)</f>
        <v>0</v>
      </c>
      <c r="E127" s="183">
        <f>SUMIFS('апрель 2025'!$G$4:$G$2485,'апрель 2025'!$D$4:$D$2485,$B127,'апрель 2025'!$J$4:$J$2485,E$1)</f>
        <v>0</v>
      </c>
      <c r="F127" s="183">
        <f>SUMIFS('апрель 2025'!$G$4:$G$2485,'апрель 2025'!$D$4:$D$2485,$B127,'апрель 2025'!$J$4:$J$2485,F$1)</f>
        <v>0</v>
      </c>
      <c r="G127" s="183">
        <f>SUMIFS('апрель 2025'!$G$4:$G$2485,'апрель 2025'!$D$4:$D$2485,$B127,'апрель 2025'!$J$4:$J$2485,G$1)</f>
        <v>0</v>
      </c>
      <c r="H127" s="183">
        <f>SUMIFS('апрель 2025'!$G$4:$G$2485,'апрель 2025'!$D$4:$D$2485,$B127,'апрель 2025'!$J$4:$J$2485,H$1)</f>
        <v>0</v>
      </c>
      <c r="I127" s="183">
        <f>SUMIFS('апрель 2025'!$G$4:$G$2485,'апрель 2025'!$D$4:$D$2485,$B127,'апрель 2025'!$J$4:$J$2485,I$1)</f>
        <v>0</v>
      </c>
      <c r="J127" s="183">
        <f>SUMIFS('апрель 2025'!$G$4:$G$2485,'апрель 2025'!$D$4:$D$2485,$B127,'апрель 2025'!$J$4:$J$2485,J$1)</f>
        <v>0</v>
      </c>
      <c r="K127" s="183">
        <f>SUMIFS('апрель 2025'!$G$4:$G$2485,'апрель 2025'!$D$4:$D$2485,$B127,'апрель 2025'!$J$4:$J$2485,K$1)</f>
        <v>0</v>
      </c>
      <c r="L127" s="183">
        <f>SUMIFS('апрель 2025'!$G$4:$G$2485,'апрель 2025'!$D$4:$D$2485,$B127,'апрель 2025'!$J$4:$J$2485,L$1)</f>
        <v>0</v>
      </c>
      <c r="M127" s="183">
        <f>SUMIFS('апрель 2025'!$G$4:$G$2485,'апрель 2025'!$D$4:$D$2485,$B127,'апрель 2025'!$J$4:$J$2485,M$1)</f>
        <v>0</v>
      </c>
      <c r="N127" s="183">
        <f>SUMIFS('апрель 2025'!$G$4:$G$2485,'апрель 2025'!$D$4:$D$2485,$B127,'апрель 2025'!$J$4:$J$2485,N$1)</f>
        <v>0</v>
      </c>
      <c r="O127" s="183">
        <f>SUMIFS('апрель 2025'!$G$4:$G$2485,'апрель 2025'!$D$4:$D$2485,$B127,'апрель 2025'!$J$4:$J$2485,O$1)</f>
        <v>0</v>
      </c>
      <c r="P127" s="183">
        <f>SUMIFS('апрель 2025'!$G$4:$G$2485,'апрель 2025'!$D$4:$D$2485,$B127,'апрель 2025'!$J$4:$J$2485,P$1)</f>
        <v>0</v>
      </c>
      <c r="Q127" s="183">
        <f>SUMIFS('апрель 2025'!$G$4:$G$2485,'апрель 2025'!$D$4:$D$2485,$B127,'апрель 2025'!$J$4:$J$2485,Q$1)</f>
        <v>0</v>
      </c>
      <c r="R127" s="183">
        <f>SUMIFS('апрель 2025'!$G$4:$G$2485,'апрель 2025'!$D$4:$D$2485,$B127,'апрель 2025'!$J$4:$J$2485,R$1)</f>
        <v>0</v>
      </c>
      <c r="S127" s="183">
        <f>SUMIFS('апрель 2025'!$G$4:$G$2485,'апрель 2025'!$D$4:$D$2485,$B127,'апрель 2025'!$J$4:$J$2485,S$1)</f>
        <v>0</v>
      </c>
      <c r="T127" s="183">
        <f>SUMIFS('апрель 2025'!$G$4:$G$2485,'апрель 2025'!$D$4:$D$2485,$B127,'апрель 2025'!$J$4:$J$2485,T$1)</f>
        <v>0</v>
      </c>
      <c r="U127" s="183">
        <f>SUMIFS('апрель 2025'!$G$4:$G$2485,'апрель 2025'!$D$4:$D$2485,$B127,'апрель 2025'!$J$4:$J$2485,U$1)</f>
        <v>0</v>
      </c>
      <c r="V127" s="183">
        <f>SUMIFS('апрель 2025'!$G$4:$G$2485,'апрель 2025'!$D$4:$D$2485,$B127,'апрель 2025'!$J$4:$J$2485,V$1)</f>
        <v>0</v>
      </c>
      <c r="W127" s="183">
        <f>SUMIFS('апрель 2025'!$G$4:$G$2485,'апрель 2025'!$D$4:$D$2485,$B127,'апрель 2025'!$J$4:$J$2485,W$1)</f>
        <v>0</v>
      </c>
      <c r="X127" s="183">
        <f>SUMIFS('апрель 2025'!$G$4:$G$2485,'апрель 2025'!$D$4:$D$2485,$B127,'апрель 2025'!$J$4:$J$2485,X$1)</f>
        <v>0</v>
      </c>
      <c r="Y127" s="183">
        <f>SUMIFS('апрель 2025'!$G$4:$G$2485,'апрель 2025'!$D$4:$D$2485,$B127,'апрель 2025'!$J$4:$J$2485,Y$1)</f>
        <v>0</v>
      </c>
      <c r="Z127" s="183">
        <f>SUMIFS('апрель 2025'!$G$4:$G$2485,'апрель 2025'!$D$4:$D$2485,$B127,'апрель 2025'!$J$4:$J$2485,Z$1)</f>
        <v>0</v>
      </c>
      <c r="AA127" s="183">
        <f>SUMIFS('апрель 2025'!$G$4:$G$2485,'апрель 2025'!$D$4:$D$2485,$B127,'апрель 2025'!$J$4:$J$2485,AA$1)</f>
        <v>0</v>
      </c>
      <c r="AB127" s="183">
        <f>SUMIFS('апрель 2025'!$G$4:$G$2485,'апрель 2025'!$D$4:$D$2485,$B127,'апрель 2025'!$J$4:$J$2485,AB$1)</f>
        <v>0</v>
      </c>
      <c r="AC127" s="183">
        <f>SUMIFS('апрель 2025'!$G$4:$G$2485,'апрель 2025'!$D$4:$D$2485,$B127,'апрель 2025'!$J$4:$J$2485,AC$1)</f>
        <v>0</v>
      </c>
      <c r="AD127" s="183">
        <f>SUMIFS('апрель 2025'!$G$4:$G$2485,'апрель 2025'!$D$4:$D$2485,$B127,'апрель 2025'!$J$4:$J$2485,AD$1)</f>
        <v>0</v>
      </c>
      <c r="AE127" s="183">
        <f>SUMIFS('апрель 2025'!$G$4:$G$2485,'апрель 2025'!$D$4:$D$2485,$B127,'апрель 2025'!$J$4:$J$2485,AE$1)</f>
        <v>0</v>
      </c>
      <c r="AF127" s="183">
        <f>SUMIFS('апрель 2025'!$G$4:$G$2485,'апрель 2025'!$D$4:$D$2485,$B127,'апрель 2025'!$J$4:$J$2485,AF$1)</f>
        <v>0</v>
      </c>
      <c r="AG127" s="183">
        <f>SUMIFS('апрель 2025'!$G$4:$G$2485,'апрель 2025'!$D$4:$D$2485,$B127,'апрель 2025'!$J$4:$J$2485,AG$1)</f>
        <v>0</v>
      </c>
      <c r="AH127" s="183">
        <f>SUMIFS('апрель 2025'!$G$4:$G$2485,'апрель 2025'!$D$4:$D$2485,$B127,'апрель 2025'!$J$4:$J$2485,AH$1)</f>
        <v>0</v>
      </c>
      <c r="AI127" s="20">
        <f t="shared" si="1"/>
        <v>0</v>
      </c>
    </row>
    <row r="128" spans="2:35" ht="15" customHeight="1" x14ac:dyDescent="0.25">
      <c r="B128" s="88" t="s">
        <v>267</v>
      </c>
      <c r="C128" s="86">
        <v>200</v>
      </c>
      <c r="D128" s="183">
        <f>SUMIFS('апрель 2025'!$G$4:$G$2485,'апрель 2025'!$D$4:$D$2485,$B128,'апрель 2025'!$J$4:$J$2485,D$1)</f>
        <v>0</v>
      </c>
      <c r="E128" s="183">
        <f>SUMIFS('апрель 2025'!$G$4:$G$2485,'апрель 2025'!$D$4:$D$2485,$B128,'апрель 2025'!$J$4:$J$2485,E$1)</f>
        <v>0</v>
      </c>
      <c r="F128" s="183">
        <f>SUMIFS('апрель 2025'!$G$4:$G$2485,'апрель 2025'!$D$4:$D$2485,$B128,'апрель 2025'!$J$4:$J$2485,F$1)</f>
        <v>0</v>
      </c>
      <c r="G128" s="183">
        <f>SUMIFS('апрель 2025'!$G$4:$G$2485,'апрель 2025'!$D$4:$D$2485,$B128,'апрель 2025'!$J$4:$J$2485,G$1)</f>
        <v>0</v>
      </c>
      <c r="H128" s="183">
        <f>SUMIFS('апрель 2025'!$G$4:$G$2485,'апрель 2025'!$D$4:$D$2485,$B128,'апрель 2025'!$J$4:$J$2485,H$1)</f>
        <v>0</v>
      </c>
      <c r="I128" s="183">
        <f>SUMIFS('апрель 2025'!$G$4:$G$2485,'апрель 2025'!$D$4:$D$2485,$B128,'апрель 2025'!$J$4:$J$2485,I$1)</f>
        <v>0</v>
      </c>
      <c r="J128" s="183">
        <f>SUMIFS('апрель 2025'!$G$4:$G$2485,'апрель 2025'!$D$4:$D$2485,$B128,'апрель 2025'!$J$4:$J$2485,J$1)</f>
        <v>0</v>
      </c>
      <c r="K128" s="183">
        <f>SUMIFS('апрель 2025'!$G$4:$G$2485,'апрель 2025'!$D$4:$D$2485,$B128,'апрель 2025'!$J$4:$J$2485,K$1)</f>
        <v>0</v>
      </c>
      <c r="L128" s="183">
        <f>SUMIFS('апрель 2025'!$G$4:$G$2485,'апрель 2025'!$D$4:$D$2485,$B128,'апрель 2025'!$J$4:$J$2485,L$1)</f>
        <v>0</v>
      </c>
      <c r="M128" s="183">
        <f>SUMIFS('апрель 2025'!$G$4:$G$2485,'апрель 2025'!$D$4:$D$2485,$B128,'апрель 2025'!$J$4:$J$2485,M$1)</f>
        <v>0</v>
      </c>
      <c r="N128" s="183">
        <f>SUMIFS('апрель 2025'!$G$4:$G$2485,'апрель 2025'!$D$4:$D$2485,$B128,'апрель 2025'!$J$4:$J$2485,N$1)</f>
        <v>0</v>
      </c>
      <c r="O128" s="183">
        <f>SUMIFS('апрель 2025'!$G$4:$G$2485,'апрель 2025'!$D$4:$D$2485,$B128,'апрель 2025'!$J$4:$J$2485,O$1)</f>
        <v>0</v>
      </c>
      <c r="P128" s="183">
        <f>SUMIFS('апрель 2025'!$G$4:$G$2485,'апрель 2025'!$D$4:$D$2485,$B128,'апрель 2025'!$J$4:$J$2485,P$1)</f>
        <v>0</v>
      </c>
      <c r="Q128" s="183">
        <f>SUMIFS('апрель 2025'!$G$4:$G$2485,'апрель 2025'!$D$4:$D$2485,$B128,'апрель 2025'!$J$4:$J$2485,Q$1)</f>
        <v>0</v>
      </c>
      <c r="R128" s="183">
        <f>SUMIFS('апрель 2025'!$G$4:$G$2485,'апрель 2025'!$D$4:$D$2485,$B128,'апрель 2025'!$J$4:$J$2485,R$1)</f>
        <v>0</v>
      </c>
      <c r="S128" s="183">
        <f>SUMIFS('апрель 2025'!$G$4:$G$2485,'апрель 2025'!$D$4:$D$2485,$B128,'апрель 2025'!$J$4:$J$2485,S$1)</f>
        <v>0</v>
      </c>
      <c r="T128" s="183">
        <f>SUMIFS('апрель 2025'!$G$4:$G$2485,'апрель 2025'!$D$4:$D$2485,$B128,'апрель 2025'!$J$4:$J$2485,T$1)</f>
        <v>0</v>
      </c>
      <c r="U128" s="183">
        <f>SUMIFS('апрель 2025'!$G$4:$G$2485,'апрель 2025'!$D$4:$D$2485,$B128,'апрель 2025'!$J$4:$J$2485,U$1)</f>
        <v>0</v>
      </c>
      <c r="V128" s="183">
        <f>SUMIFS('апрель 2025'!$G$4:$G$2485,'апрель 2025'!$D$4:$D$2485,$B128,'апрель 2025'!$J$4:$J$2485,V$1)</f>
        <v>0</v>
      </c>
      <c r="W128" s="183">
        <f>SUMIFS('апрель 2025'!$G$4:$G$2485,'апрель 2025'!$D$4:$D$2485,$B128,'апрель 2025'!$J$4:$J$2485,W$1)</f>
        <v>0</v>
      </c>
      <c r="X128" s="183">
        <f>SUMIFS('апрель 2025'!$G$4:$G$2485,'апрель 2025'!$D$4:$D$2485,$B128,'апрель 2025'!$J$4:$J$2485,X$1)</f>
        <v>0</v>
      </c>
      <c r="Y128" s="183">
        <f>SUMIFS('апрель 2025'!$G$4:$G$2485,'апрель 2025'!$D$4:$D$2485,$B128,'апрель 2025'!$J$4:$J$2485,Y$1)</f>
        <v>0</v>
      </c>
      <c r="Z128" s="183">
        <f>SUMIFS('апрель 2025'!$G$4:$G$2485,'апрель 2025'!$D$4:$D$2485,$B128,'апрель 2025'!$J$4:$J$2485,Z$1)</f>
        <v>0</v>
      </c>
      <c r="AA128" s="183">
        <f>SUMIFS('апрель 2025'!$G$4:$G$2485,'апрель 2025'!$D$4:$D$2485,$B128,'апрель 2025'!$J$4:$J$2485,AA$1)</f>
        <v>0</v>
      </c>
      <c r="AB128" s="183">
        <f>SUMIFS('апрель 2025'!$G$4:$G$2485,'апрель 2025'!$D$4:$D$2485,$B128,'апрель 2025'!$J$4:$J$2485,AB$1)</f>
        <v>0</v>
      </c>
      <c r="AC128" s="183">
        <f>SUMIFS('апрель 2025'!$G$4:$G$2485,'апрель 2025'!$D$4:$D$2485,$B128,'апрель 2025'!$J$4:$J$2485,AC$1)</f>
        <v>0</v>
      </c>
      <c r="AD128" s="183">
        <f>SUMIFS('апрель 2025'!$G$4:$G$2485,'апрель 2025'!$D$4:$D$2485,$B128,'апрель 2025'!$J$4:$J$2485,AD$1)</f>
        <v>0</v>
      </c>
      <c r="AE128" s="183">
        <f>SUMIFS('апрель 2025'!$G$4:$G$2485,'апрель 2025'!$D$4:$D$2485,$B128,'апрель 2025'!$J$4:$J$2485,AE$1)</f>
        <v>0</v>
      </c>
      <c r="AF128" s="183">
        <f>SUMIFS('апрель 2025'!$G$4:$G$2485,'апрель 2025'!$D$4:$D$2485,$B128,'апрель 2025'!$J$4:$J$2485,AF$1)</f>
        <v>0</v>
      </c>
      <c r="AG128" s="183">
        <f>SUMIFS('апрель 2025'!$G$4:$G$2485,'апрель 2025'!$D$4:$D$2485,$B128,'апрель 2025'!$J$4:$J$2485,AG$1)</f>
        <v>0</v>
      </c>
      <c r="AH128" s="183">
        <f>SUMIFS('апрель 2025'!$G$4:$G$2485,'апрель 2025'!$D$4:$D$2485,$B128,'апрель 2025'!$J$4:$J$2485,AH$1)</f>
        <v>0</v>
      </c>
      <c r="AI128" s="20">
        <f t="shared" si="1"/>
        <v>0</v>
      </c>
    </row>
    <row r="129" spans="2:35" ht="15" customHeight="1" x14ac:dyDescent="0.25">
      <c r="B129" s="84" t="s">
        <v>163</v>
      </c>
      <c r="C129" s="83">
        <v>950</v>
      </c>
      <c r="D129" s="183">
        <f>SUMIFS('апрель 2025'!$G$4:$G$2485,'апрель 2025'!$D$4:$D$2485,$B129,'апрель 2025'!$J$4:$J$2485,D$1)</f>
        <v>0</v>
      </c>
      <c r="E129" s="183">
        <f>SUMIFS('апрель 2025'!$G$4:$G$2485,'апрель 2025'!$D$4:$D$2485,$B129,'апрель 2025'!$J$4:$J$2485,E$1)</f>
        <v>0</v>
      </c>
      <c r="F129" s="183">
        <f>SUMIFS('апрель 2025'!$G$4:$G$2485,'апрель 2025'!$D$4:$D$2485,$B129,'апрель 2025'!$J$4:$J$2485,F$1)</f>
        <v>0</v>
      </c>
      <c r="G129" s="183">
        <f>SUMIFS('апрель 2025'!$G$4:$G$2485,'апрель 2025'!$D$4:$D$2485,$B129,'апрель 2025'!$J$4:$J$2485,G$1)</f>
        <v>0</v>
      </c>
      <c r="H129" s="183">
        <f>SUMIFS('апрель 2025'!$G$4:$G$2485,'апрель 2025'!$D$4:$D$2485,$B129,'апрель 2025'!$J$4:$J$2485,H$1)</f>
        <v>0</v>
      </c>
      <c r="I129" s="183">
        <f>SUMIFS('апрель 2025'!$G$4:$G$2485,'апрель 2025'!$D$4:$D$2485,$B129,'апрель 2025'!$J$4:$J$2485,I$1)</f>
        <v>0</v>
      </c>
      <c r="J129" s="183">
        <f>SUMIFS('апрель 2025'!$G$4:$G$2485,'апрель 2025'!$D$4:$D$2485,$B129,'апрель 2025'!$J$4:$J$2485,J$1)</f>
        <v>0</v>
      </c>
      <c r="K129" s="183">
        <f>SUMIFS('апрель 2025'!$G$4:$G$2485,'апрель 2025'!$D$4:$D$2485,$B129,'апрель 2025'!$J$4:$J$2485,K$1)</f>
        <v>0</v>
      </c>
      <c r="L129" s="183">
        <f>SUMIFS('апрель 2025'!$G$4:$G$2485,'апрель 2025'!$D$4:$D$2485,$B129,'апрель 2025'!$J$4:$J$2485,L$1)</f>
        <v>0</v>
      </c>
      <c r="M129" s="183">
        <f>SUMIFS('апрель 2025'!$G$4:$G$2485,'апрель 2025'!$D$4:$D$2485,$B129,'апрель 2025'!$J$4:$J$2485,M$1)</f>
        <v>0</v>
      </c>
      <c r="N129" s="183">
        <f>SUMIFS('апрель 2025'!$G$4:$G$2485,'апрель 2025'!$D$4:$D$2485,$B129,'апрель 2025'!$J$4:$J$2485,N$1)</f>
        <v>0</v>
      </c>
      <c r="O129" s="183">
        <f>SUMIFS('апрель 2025'!$G$4:$G$2485,'апрель 2025'!$D$4:$D$2485,$B129,'апрель 2025'!$J$4:$J$2485,O$1)</f>
        <v>0</v>
      </c>
      <c r="P129" s="183">
        <f>SUMIFS('апрель 2025'!$G$4:$G$2485,'апрель 2025'!$D$4:$D$2485,$B129,'апрель 2025'!$J$4:$J$2485,P$1)</f>
        <v>0</v>
      </c>
      <c r="Q129" s="183">
        <f>SUMIFS('апрель 2025'!$G$4:$G$2485,'апрель 2025'!$D$4:$D$2485,$B129,'апрель 2025'!$J$4:$J$2485,Q$1)</f>
        <v>0</v>
      </c>
      <c r="R129" s="183">
        <f>SUMIFS('апрель 2025'!$G$4:$G$2485,'апрель 2025'!$D$4:$D$2485,$B129,'апрель 2025'!$J$4:$J$2485,R$1)</f>
        <v>0</v>
      </c>
      <c r="S129" s="183">
        <f>SUMIFS('апрель 2025'!$G$4:$G$2485,'апрель 2025'!$D$4:$D$2485,$B129,'апрель 2025'!$J$4:$J$2485,S$1)</f>
        <v>0</v>
      </c>
      <c r="T129" s="183">
        <f>SUMIFS('апрель 2025'!$G$4:$G$2485,'апрель 2025'!$D$4:$D$2485,$B129,'апрель 2025'!$J$4:$J$2485,T$1)</f>
        <v>0</v>
      </c>
      <c r="U129" s="183">
        <f>SUMIFS('апрель 2025'!$G$4:$G$2485,'апрель 2025'!$D$4:$D$2485,$B129,'апрель 2025'!$J$4:$J$2485,U$1)</f>
        <v>0</v>
      </c>
      <c r="V129" s="183">
        <f>SUMIFS('апрель 2025'!$G$4:$G$2485,'апрель 2025'!$D$4:$D$2485,$B129,'апрель 2025'!$J$4:$J$2485,V$1)</f>
        <v>0</v>
      </c>
      <c r="W129" s="183">
        <f>SUMIFS('апрель 2025'!$G$4:$G$2485,'апрель 2025'!$D$4:$D$2485,$B129,'апрель 2025'!$J$4:$J$2485,W$1)</f>
        <v>0</v>
      </c>
      <c r="X129" s="183">
        <f>SUMIFS('апрель 2025'!$G$4:$G$2485,'апрель 2025'!$D$4:$D$2485,$B129,'апрель 2025'!$J$4:$J$2485,X$1)</f>
        <v>0</v>
      </c>
      <c r="Y129" s="183">
        <f>SUMIFS('апрель 2025'!$G$4:$G$2485,'апрель 2025'!$D$4:$D$2485,$B129,'апрель 2025'!$J$4:$J$2485,Y$1)</f>
        <v>0</v>
      </c>
      <c r="Z129" s="183">
        <f>SUMIFS('апрель 2025'!$G$4:$G$2485,'апрель 2025'!$D$4:$D$2485,$B129,'апрель 2025'!$J$4:$J$2485,Z$1)</f>
        <v>0</v>
      </c>
      <c r="AA129" s="183">
        <f>SUMIFS('апрель 2025'!$G$4:$G$2485,'апрель 2025'!$D$4:$D$2485,$B129,'апрель 2025'!$J$4:$J$2485,AA$1)</f>
        <v>0</v>
      </c>
      <c r="AB129" s="183">
        <f>SUMIFS('апрель 2025'!$G$4:$G$2485,'апрель 2025'!$D$4:$D$2485,$B129,'апрель 2025'!$J$4:$J$2485,AB$1)</f>
        <v>0</v>
      </c>
      <c r="AC129" s="183">
        <f>SUMIFS('апрель 2025'!$G$4:$G$2485,'апрель 2025'!$D$4:$D$2485,$B129,'апрель 2025'!$J$4:$J$2485,AC$1)</f>
        <v>0</v>
      </c>
      <c r="AD129" s="183">
        <f>SUMIFS('апрель 2025'!$G$4:$G$2485,'апрель 2025'!$D$4:$D$2485,$B129,'апрель 2025'!$J$4:$J$2485,AD$1)</f>
        <v>0</v>
      </c>
      <c r="AE129" s="183">
        <f>SUMIFS('апрель 2025'!$G$4:$G$2485,'апрель 2025'!$D$4:$D$2485,$B129,'апрель 2025'!$J$4:$J$2485,AE$1)</f>
        <v>0</v>
      </c>
      <c r="AF129" s="183">
        <f>SUMIFS('апрель 2025'!$G$4:$G$2485,'апрель 2025'!$D$4:$D$2485,$B129,'апрель 2025'!$J$4:$J$2485,AF$1)</f>
        <v>0</v>
      </c>
      <c r="AG129" s="183">
        <f>SUMIFS('апрель 2025'!$G$4:$G$2485,'апрель 2025'!$D$4:$D$2485,$B129,'апрель 2025'!$J$4:$J$2485,AG$1)</f>
        <v>0</v>
      </c>
      <c r="AH129" s="183">
        <f>SUMIFS('апрель 2025'!$G$4:$G$2485,'апрель 2025'!$D$4:$D$2485,$B129,'апрель 2025'!$J$4:$J$2485,AH$1)</f>
        <v>0</v>
      </c>
      <c r="AI129" s="20">
        <f t="shared" si="1"/>
        <v>0</v>
      </c>
    </row>
    <row r="130" spans="2:35" ht="15" customHeight="1" x14ac:dyDescent="0.25">
      <c r="B130" s="84" t="s">
        <v>183</v>
      </c>
      <c r="C130" s="83">
        <v>180</v>
      </c>
      <c r="D130" s="183">
        <f>SUMIFS('апрель 2025'!$G$4:$G$2485,'апрель 2025'!$D$4:$D$2485,$B130,'апрель 2025'!$J$4:$J$2485,D$1)</f>
        <v>0</v>
      </c>
      <c r="E130" s="183">
        <f>SUMIFS('апрель 2025'!$G$4:$G$2485,'апрель 2025'!$D$4:$D$2485,$B130,'апрель 2025'!$J$4:$J$2485,E$1)</f>
        <v>0</v>
      </c>
      <c r="F130" s="183">
        <f>SUMIFS('апрель 2025'!$G$4:$G$2485,'апрель 2025'!$D$4:$D$2485,$B130,'апрель 2025'!$J$4:$J$2485,F$1)</f>
        <v>0</v>
      </c>
      <c r="G130" s="183">
        <f>SUMIFS('апрель 2025'!$G$4:$G$2485,'апрель 2025'!$D$4:$D$2485,$B130,'апрель 2025'!$J$4:$J$2485,G$1)</f>
        <v>0</v>
      </c>
      <c r="H130" s="183">
        <f>SUMIFS('апрель 2025'!$G$4:$G$2485,'апрель 2025'!$D$4:$D$2485,$B130,'апрель 2025'!$J$4:$J$2485,H$1)</f>
        <v>0</v>
      </c>
      <c r="I130" s="183">
        <f>SUMIFS('апрель 2025'!$G$4:$G$2485,'апрель 2025'!$D$4:$D$2485,$B130,'апрель 2025'!$J$4:$J$2485,I$1)</f>
        <v>0</v>
      </c>
      <c r="J130" s="183">
        <f>SUMIFS('апрель 2025'!$G$4:$G$2485,'апрель 2025'!$D$4:$D$2485,$B130,'апрель 2025'!$J$4:$J$2485,J$1)</f>
        <v>0</v>
      </c>
      <c r="K130" s="183">
        <f>SUMIFS('апрель 2025'!$G$4:$G$2485,'апрель 2025'!$D$4:$D$2485,$B130,'апрель 2025'!$J$4:$J$2485,K$1)</f>
        <v>0</v>
      </c>
      <c r="L130" s="183">
        <f>SUMIFS('апрель 2025'!$G$4:$G$2485,'апрель 2025'!$D$4:$D$2485,$B130,'апрель 2025'!$J$4:$J$2485,L$1)</f>
        <v>0</v>
      </c>
      <c r="M130" s="183">
        <f>SUMIFS('апрель 2025'!$G$4:$G$2485,'апрель 2025'!$D$4:$D$2485,$B130,'апрель 2025'!$J$4:$J$2485,M$1)</f>
        <v>0</v>
      </c>
      <c r="N130" s="183">
        <f>SUMIFS('апрель 2025'!$G$4:$G$2485,'апрель 2025'!$D$4:$D$2485,$B130,'апрель 2025'!$J$4:$J$2485,N$1)</f>
        <v>0</v>
      </c>
      <c r="O130" s="183">
        <f>SUMIFS('апрель 2025'!$G$4:$G$2485,'апрель 2025'!$D$4:$D$2485,$B130,'апрель 2025'!$J$4:$J$2485,O$1)</f>
        <v>0</v>
      </c>
      <c r="P130" s="183">
        <f>SUMIFS('апрель 2025'!$G$4:$G$2485,'апрель 2025'!$D$4:$D$2485,$B130,'апрель 2025'!$J$4:$J$2485,P$1)</f>
        <v>0</v>
      </c>
      <c r="Q130" s="183">
        <f>SUMIFS('апрель 2025'!$G$4:$G$2485,'апрель 2025'!$D$4:$D$2485,$B130,'апрель 2025'!$J$4:$J$2485,Q$1)</f>
        <v>0</v>
      </c>
      <c r="R130" s="183">
        <f>SUMIFS('апрель 2025'!$G$4:$G$2485,'апрель 2025'!$D$4:$D$2485,$B130,'апрель 2025'!$J$4:$J$2485,R$1)</f>
        <v>0</v>
      </c>
      <c r="S130" s="183">
        <f>SUMIFS('апрель 2025'!$G$4:$G$2485,'апрель 2025'!$D$4:$D$2485,$B130,'апрель 2025'!$J$4:$J$2485,S$1)</f>
        <v>0</v>
      </c>
      <c r="T130" s="183">
        <f>SUMIFS('апрель 2025'!$G$4:$G$2485,'апрель 2025'!$D$4:$D$2485,$B130,'апрель 2025'!$J$4:$J$2485,T$1)</f>
        <v>0</v>
      </c>
      <c r="U130" s="183">
        <f>SUMIFS('апрель 2025'!$G$4:$G$2485,'апрель 2025'!$D$4:$D$2485,$B130,'апрель 2025'!$J$4:$J$2485,U$1)</f>
        <v>0</v>
      </c>
      <c r="V130" s="183">
        <f>SUMIFS('апрель 2025'!$G$4:$G$2485,'апрель 2025'!$D$4:$D$2485,$B130,'апрель 2025'!$J$4:$J$2485,V$1)</f>
        <v>0</v>
      </c>
      <c r="W130" s="183">
        <f>SUMIFS('апрель 2025'!$G$4:$G$2485,'апрель 2025'!$D$4:$D$2485,$B130,'апрель 2025'!$J$4:$J$2485,W$1)</f>
        <v>0</v>
      </c>
      <c r="X130" s="183">
        <f>SUMIFS('апрель 2025'!$G$4:$G$2485,'апрель 2025'!$D$4:$D$2485,$B130,'апрель 2025'!$J$4:$J$2485,X$1)</f>
        <v>0</v>
      </c>
      <c r="Y130" s="183">
        <f>SUMIFS('апрель 2025'!$G$4:$G$2485,'апрель 2025'!$D$4:$D$2485,$B130,'апрель 2025'!$J$4:$J$2485,Y$1)</f>
        <v>0</v>
      </c>
      <c r="Z130" s="183">
        <f>SUMIFS('апрель 2025'!$G$4:$G$2485,'апрель 2025'!$D$4:$D$2485,$B130,'апрель 2025'!$J$4:$J$2485,Z$1)</f>
        <v>0</v>
      </c>
      <c r="AA130" s="183">
        <f>SUMIFS('апрель 2025'!$G$4:$G$2485,'апрель 2025'!$D$4:$D$2485,$B130,'апрель 2025'!$J$4:$J$2485,AA$1)</f>
        <v>0</v>
      </c>
      <c r="AB130" s="183">
        <f>SUMIFS('апрель 2025'!$G$4:$G$2485,'апрель 2025'!$D$4:$D$2485,$B130,'апрель 2025'!$J$4:$J$2485,AB$1)</f>
        <v>0</v>
      </c>
      <c r="AC130" s="183">
        <f>SUMIFS('апрель 2025'!$G$4:$G$2485,'апрель 2025'!$D$4:$D$2485,$B130,'апрель 2025'!$J$4:$J$2485,AC$1)</f>
        <v>0</v>
      </c>
      <c r="AD130" s="183">
        <f>SUMIFS('апрель 2025'!$G$4:$G$2485,'апрель 2025'!$D$4:$D$2485,$B130,'апрель 2025'!$J$4:$J$2485,AD$1)</f>
        <v>0</v>
      </c>
      <c r="AE130" s="183">
        <f>SUMIFS('апрель 2025'!$G$4:$G$2485,'апрель 2025'!$D$4:$D$2485,$B130,'апрель 2025'!$J$4:$J$2485,AE$1)</f>
        <v>0</v>
      </c>
      <c r="AF130" s="183">
        <f>SUMIFS('апрель 2025'!$G$4:$G$2485,'апрель 2025'!$D$4:$D$2485,$B130,'апрель 2025'!$J$4:$J$2485,AF$1)</f>
        <v>0</v>
      </c>
      <c r="AG130" s="183">
        <f>SUMIFS('апрель 2025'!$G$4:$G$2485,'апрель 2025'!$D$4:$D$2485,$B130,'апрель 2025'!$J$4:$J$2485,AG$1)</f>
        <v>0</v>
      </c>
      <c r="AH130" s="183">
        <f>SUMIFS('апрель 2025'!$G$4:$G$2485,'апрель 2025'!$D$4:$D$2485,$B130,'апрель 2025'!$J$4:$J$2485,AH$1)</f>
        <v>0</v>
      </c>
      <c r="AI130" s="20">
        <f t="shared" si="1"/>
        <v>0</v>
      </c>
    </row>
    <row r="131" spans="2:35" ht="15" customHeight="1" x14ac:dyDescent="0.25">
      <c r="B131" s="84" t="s">
        <v>305</v>
      </c>
      <c r="C131" s="83">
        <v>180</v>
      </c>
      <c r="D131" s="183">
        <f>SUMIFS('апрель 2025'!$G$4:$G$2485,'апрель 2025'!$D$4:$D$2485,$B131,'апрель 2025'!$J$4:$J$2485,D$1)</f>
        <v>0</v>
      </c>
      <c r="E131" s="183">
        <f>SUMIFS('апрель 2025'!$G$4:$G$2485,'апрель 2025'!$D$4:$D$2485,$B131,'апрель 2025'!$J$4:$J$2485,E$1)</f>
        <v>0</v>
      </c>
      <c r="F131" s="183">
        <f>SUMIFS('апрель 2025'!$G$4:$G$2485,'апрель 2025'!$D$4:$D$2485,$B131,'апрель 2025'!$J$4:$J$2485,F$1)</f>
        <v>0</v>
      </c>
      <c r="G131" s="183">
        <f>SUMIFS('апрель 2025'!$G$4:$G$2485,'апрель 2025'!$D$4:$D$2485,$B131,'апрель 2025'!$J$4:$J$2485,G$1)</f>
        <v>0</v>
      </c>
      <c r="H131" s="183">
        <f>SUMIFS('апрель 2025'!$G$4:$G$2485,'апрель 2025'!$D$4:$D$2485,$B131,'апрель 2025'!$J$4:$J$2485,H$1)</f>
        <v>0</v>
      </c>
      <c r="I131" s="183">
        <f>SUMIFS('апрель 2025'!$G$4:$G$2485,'апрель 2025'!$D$4:$D$2485,$B131,'апрель 2025'!$J$4:$J$2485,I$1)</f>
        <v>0</v>
      </c>
      <c r="J131" s="183">
        <f>SUMIFS('апрель 2025'!$G$4:$G$2485,'апрель 2025'!$D$4:$D$2485,$B131,'апрель 2025'!$J$4:$J$2485,J$1)</f>
        <v>0</v>
      </c>
      <c r="K131" s="183">
        <f>SUMIFS('апрель 2025'!$G$4:$G$2485,'апрель 2025'!$D$4:$D$2485,$B131,'апрель 2025'!$J$4:$J$2485,K$1)</f>
        <v>0</v>
      </c>
      <c r="L131" s="183">
        <f>SUMIFS('апрель 2025'!$G$4:$G$2485,'апрель 2025'!$D$4:$D$2485,$B131,'апрель 2025'!$J$4:$J$2485,L$1)</f>
        <v>0</v>
      </c>
      <c r="M131" s="183">
        <f>SUMIFS('апрель 2025'!$G$4:$G$2485,'апрель 2025'!$D$4:$D$2485,$B131,'апрель 2025'!$J$4:$J$2485,M$1)</f>
        <v>0</v>
      </c>
      <c r="N131" s="183">
        <f>SUMIFS('апрель 2025'!$G$4:$G$2485,'апрель 2025'!$D$4:$D$2485,$B131,'апрель 2025'!$J$4:$J$2485,N$1)</f>
        <v>0</v>
      </c>
      <c r="O131" s="183">
        <f>SUMIFS('апрель 2025'!$G$4:$G$2485,'апрель 2025'!$D$4:$D$2485,$B131,'апрель 2025'!$J$4:$J$2485,O$1)</f>
        <v>0</v>
      </c>
      <c r="P131" s="183">
        <f>SUMIFS('апрель 2025'!$G$4:$G$2485,'апрель 2025'!$D$4:$D$2485,$B131,'апрель 2025'!$J$4:$J$2485,P$1)</f>
        <v>0</v>
      </c>
      <c r="Q131" s="183">
        <f>SUMIFS('апрель 2025'!$G$4:$G$2485,'апрель 2025'!$D$4:$D$2485,$B131,'апрель 2025'!$J$4:$J$2485,Q$1)</f>
        <v>0</v>
      </c>
      <c r="R131" s="183">
        <f>SUMIFS('апрель 2025'!$G$4:$G$2485,'апрель 2025'!$D$4:$D$2485,$B131,'апрель 2025'!$J$4:$J$2485,R$1)</f>
        <v>0</v>
      </c>
      <c r="S131" s="183">
        <f>SUMIFS('апрель 2025'!$G$4:$G$2485,'апрель 2025'!$D$4:$D$2485,$B131,'апрель 2025'!$J$4:$J$2485,S$1)</f>
        <v>0</v>
      </c>
      <c r="T131" s="183">
        <f>SUMIFS('апрель 2025'!$G$4:$G$2485,'апрель 2025'!$D$4:$D$2485,$B131,'апрель 2025'!$J$4:$J$2485,T$1)</f>
        <v>0</v>
      </c>
      <c r="U131" s="183">
        <f>SUMIFS('апрель 2025'!$G$4:$G$2485,'апрель 2025'!$D$4:$D$2485,$B131,'апрель 2025'!$J$4:$J$2485,U$1)</f>
        <v>0</v>
      </c>
      <c r="V131" s="183">
        <f>SUMIFS('апрель 2025'!$G$4:$G$2485,'апрель 2025'!$D$4:$D$2485,$B131,'апрель 2025'!$J$4:$J$2485,V$1)</f>
        <v>0</v>
      </c>
      <c r="W131" s="183">
        <f>SUMIFS('апрель 2025'!$G$4:$G$2485,'апрель 2025'!$D$4:$D$2485,$B131,'апрель 2025'!$J$4:$J$2485,W$1)</f>
        <v>0</v>
      </c>
      <c r="X131" s="183">
        <f>SUMIFS('апрель 2025'!$G$4:$G$2485,'апрель 2025'!$D$4:$D$2485,$B131,'апрель 2025'!$J$4:$J$2485,X$1)</f>
        <v>0</v>
      </c>
      <c r="Y131" s="183">
        <f>SUMIFS('апрель 2025'!$G$4:$G$2485,'апрель 2025'!$D$4:$D$2485,$B131,'апрель 2025'!$J$4:$J$2485,Y$1)</f>
        <v>0</v>
      </c>
      <c r="Z131" s="183">
        <f>SUMIFS('апрель 2025'!$G$4:$G$2485,'апрель 2025'!$D$4:$D$2485,$B131,'апрель 2025'!$J$4:$J$2485,Z$1)</f>
        <v>0</v>
      </c>
      <c r="AA131" s="183">
        <f>SUMIFS('апрель 2025'!$G$4:$G$2485,'апрель 2025'!$D$4:$D$2485,$B131,'апрель 2025'!$J$4:$J$2485,AA$1)</f>
        <v>0</v>
      </c>
      <c r="AB131" s="183">
        <f>SUMIFS('апрель 2025'!$G$4:$G$2485,'апрель 2025'!$D$4:$D$2485,$B131,'апрель 2025'!$J$4:$J$2485,AB$1)</f>
        <v>0</v>
      </c>
      <c r="AC131" s="183">
        <f>SUMIFS('апрель 2025'!$G$4:$G$2485,'апрель 2025'!$D$4:$D$2485,$B131,'апрель 2025'!$J$4:$J$2485,AC$1)</f>
        <v>0</v>
      </c>
      <c r="AD131" s="183">
        <f>SUMIFS('апрель 2025'!$G$4:$G$2485,'апрель 2025'!$D$4:$D$2485,$B131,'апрель 2025'!$J$4:$J$2485,AD$1)</f>
        <v>0</v>
      </c>
      <c r="AE131" s="183">
        <f>SUMIFS('апрель 2025'!$G$4:$G$2485,'апрель 2025'!$D$4:$D$2485,$B131,'апрель 2025'!$J$4:$J$2485,AE$1)</f>
        <v>0</v>
      </c>
      <c r="AF131" s="183">
        <f>SUMIFS('апрель 2025'!$G$4:$G$2485,'апрель 2025'!$D$4:$D$2485,$B131,'апрель 2025'!$J$4:$J$2485,AF$1)</f>
        <v>0</v>
      </c>
      <c r="AG131" s="183">
        <f>SUMIFS('апрель 2025'!$G$4:$G$2485,'апрель 2025'!$D$4:$D$2485,$B131,'апрель 2025'!$J$4:$J$2485,AG$1)</f>
        <v>0</v>
      </c>
      <c r="AH131" s="183">
        <f>SUMIFS('апрель 2025'!$G$4:$G$2485,'апрель 2025'!$D$4:$D$2485,$B131,'апрель 2025'!$J$4:$J$2485,AH$1)</f>
        <v>0</v>
      </c>
      <c r="AI131" s="20"/>
    </row>
    <row r="132" spans="2:35" ht="15" customHeight="1" x14ac:dyDescent="0.25">
      <c r="B132" s="84" t="s">
        <v>171</v>
      </c>
      <c r="C132" s="83">
        <v>200</v>
      </c>
      <c r="D132" s="183">
        <f>SUMIFS('апрель 2025'!$G$4:$G$2485,'апрель 2025'!$D$4:$D$2485,$B132,'апрель 2025'!$J$4:$J$2485,D$1)</f>
        <v>0</v>
      </c>
      <c r="E132" s="183">
        <f>SUMIFS('апрель 2025'!$G$4:$G$2485,'апрель 2025'!$D$4:$D$2485,$B132,'апрель 2025'!$J$4:$J$2485,E$1)</f>
        <v>0</v>
      </c>
      <c r="F132" s="183">
        <f>SUMIFS('апрель 2025'!$G$4:$G$2485,'апрель 2025'!$D$4:$D$2485,$B132,'апрель 2025'!$J$4:$J$2485,F$1)</f>
        <v>0</v>
      </c>
      <c r="G132" s="183">
        <f>SUMIFS('апрель 2025'!$G$4:$G$2485,'апрель 2025'!$D$4:$D$2485,$B132,'апрель 2025'!$J$4:$J$2485,G$1)</f>
        <v>0</v>
      </c>
      <c r="H132" s="183">
        <f>SUMIFS('апрель 2025'!$G$4:$G$2485,'апрель 2025'!$D$4:$D$2485,$B132,'апрель 2025'!$J$4:$J$2485,H$1)</f>
        <v>0</v>
      </c>
      <c r="I132" s="183">
        <f>SUMIFS('апрель 2025'!$G$4:$G$2485,'апрель 2025'!$D$4:$D$2485,$B132,'апрель 2025'!$J$4:$J$2485,I$1)</f>
        <v>0</v>
      </c>
      <c r="J132" s="183">
        <f>SUMIFS('апрель 2025'!$G$4:$G$2485,'апрель 2025'!$D$4:$D$2485,$B132,'апрель 2025'!$J$4:$J$2485,J$1)</f>
        <v>0</v>
      </c>
      <c r="K132" s="183">
        <f>SUMIFS('апрель 2025'!$G$4:$G$2485,'апрель 2025'!$D$4:$D$2485,$B132,'апрель 2025'!$J$4:$J$2485,K$1)</f>
        <v>0</v>
      </c>
      <c r="L132" s="183">
        <f>SUMIFS('апрель 2025'!$G$4:$G$2485,'апрель 2025'!$D$4:$D$2485,$B132,'апрель 2025'!$J$4:$J$2485,L$1)</f>
        <v>0</v>
      </c>
      <c r="M132" s="183">
        <f>SUMIFS('апрель 2025'!$G$4:$G$2485,'апрель 2025'!$D$4:$D$2485,$B132,'апрель 2025'!$J$4:$J$2485,M$1)</f>
        <v>0</v>
      </c>
      <c r="N132" s="183">
        <f>SUMIFS('апрель 2025'!$G$4:$G$2485,'апрель 2025'!$D$4:$D$2485,$B132,'апрель 2025'!$J$4:$J$2485,N$1)</f>
        <v>0</v>
      </c>
      <c r="O132" s="183">
        <f>SUMIFS('апрель 2025'!$G$4:$G$2485,'апрель 2025'!$D$4:$D$2485,$B132,'апрель 2025'!$J$4:$J$2485,O$1)</f>
        <v>0</v>
      </c>
      <c r="P132" s="183">
        <f>SUMIFS('апрель 2025'!$G$4:$G$2485,'апрель 2025'!$D$4:$D$2485,$B132,'апрель 2025'!$J$4:$J$2485,P$1)</f>
        <v>0</v>
      </c>
      <c r="Q132" s="183">
        <f>SUMIFS('апрель 2025'!$G$4:$G$2485,'апрель 2025'!$D$4:$D$2485,$B132,'апрель 2025'!$J$4:$J$2485,Q$1)</f>
        <v>0</v>
      </c>
      <c r="R132" s="183">
        <f>SUMIFS('апрель 2025'!$G$4:$G$2485,'апрель 2025'!$D$4:$D$2485,$B132,'апрель 2025'!$J$4:$J$2485,R$1)</f>
        <v>0</v>
      </c>
      <c r="S132" s="183">
        <f>SUMIFS('апрель 2025'!$G$4:$G$2485,'апрель 2025'!$D$4:$D$2485,$B132,'апрель 2025'!$J$4:$J$2485,S$1)</f>
        <v>0</v>
      </c>
      <c r="T132" s="183">
        <f>SUMIFS('апрель 2025'!$G$4:$G$2485,'апрель 2025'!$D$4:$D$2485,$B132,'апрель 2025'!$J$4:$J$2485,T$1)</f>
        <v>0</v>
      </c>
      <c r="U132" s="183">
        <f>SUMIFS('апрель 2025'!$G$4:$G$2485,'апрель 2025'!$D$4:$D$2485,$B132,'апрель 2025'!$J$4:$J$2485,U$1)</f>
        <v>0</v>
      </c>
      <c r="V132" s="183">
        <f>SUMIFS('апрель 2025'!$G$4:$G$2485,'апрель 2025'!$D$4:$D$2485,$B132,'апрель 2025'!$J$4:$J$2485,V$1)</f>
        <v>0</v>
      </c>
      <c r="W132" s="183">
        <f>SUMIFS('апрель 2025'!$G$4:$G$2485,'апрель 2025'!$D$4:$D$2485,$B132,'апрель 2025'!$J$4:$J$2485,W$1)</f>
        <v>0</v>
      </c>
      <c r="X132" s="183">
        <f>SUMIFS('апрель 2025'!$G$4:$G$2485,'апрель 2025'!$D$4:$D$2485,$B132,'апрель 2025'!$J$4:$J$2485,X$1)</f>
        <v>0</v>
      </c>
      <c r="Y132" s="183">
        <f>SUMIFS('апрель 2025'!$G$4:$G$2485,'апрель 2025'!$D$4:$D$2485,$B132,'апрель 2025'!$J$4:$J$2485,Y$1)</f>
        <v>0</v>
      </c>
      <c r="Z132" s="183">
        <f>SUMIFS('апрель 2025'!$G$4:$G$2485,'апрель 2025'!$D$4:$D$2485,$B132,'апрель 2025'!$J$4:$J$2485,Z$1)</f>
        <v>0</v>
      </c>
      <c r="AA132" s="183">
        <f>SUMIFS('апрель 2025'!$G$4:$G$2485,'апрель 2025'!$D$4:$D$2485,$B132,'апрель 2025'!$J$4:$J$2485,AA$1)</f>
        <v>0</v>
      </c>
      <c r="AB132" s="183">
        <f>SUMIFS('апрель 2025'!$G$4:$G$2485,'апрель 2025'!$D$4:$D$2485,$B132,'апрель 2025'!$J$4:$J$2485,AB$1)</f>
        <v>0</v>
      </c>
      <c r="AC132" s="183">
        <f>SUMIFS('апрель 2025'!$G$4:$G$2485,'апрель 2025'!$D$4:$D$2485,$B132,'апрель 2025'!$J$4:$J$2485,AC$1)</f>
        <v>0</v>
      </c>
      <c r="AD132" s="183">
        <f>SUMIFS('апрель 2025'!$G$4:$G$2485,'апрель 2025'!$D$4:$D$2485,$B132,'апрель 2025'!$J$4:$J$2485,AD$1)</f>
        <v>0</v>
      </c>
      <c r="AE132" s="183">
        <f>SUMIFS('апрель 2025'!$G$4:$G$2485,'апрель 2025'!$D$4:$D$2485,$B132,'апрель 2025'!$J$4:$J$2485,AE$1)</f>
        <v>0</v>
      </c>
      <c r="AF132" s="183">
        <f>SUMIFS('апрель 2025'!$G$4:$G$2485,'апрель 2025'!$D$4:$D$2485,$B132,'апрель 2025'!$J$4:$J$2485,AF$1)</f>
        <v>0</v>
      </c>
      <c r="AG132" s="183">
        <f>SUMIFS('апрель 2025'!$G$4:$G$2485,'апрель 2025'!$D$4:$D$2485,$B132,'апрель 2025'!$J$4:$J$2485,AG$1)</f>
        <v>0</v>
      </c>
      <c r="AH132" s="183">
        <f>SUMIFS('апрель 2025'!$G$4:$G$2485,'апрель 2025'!$D$4:$D$2485,$B132,'апрель 2025'!$J$4:$J$2485,AH$1)</f>
        <v>0</v>
      </c>
      <c r="AI132" s="20">
        <f t="shared" si="1"/>
        <v>0</v>
      </c>
    </row>
    <row r="133" spans="2:35" ht="15" customHeight="1" x14ac:dyDescent="0.25">
      <c r="B133" s="84" t="s">
        <v>172</v>
      </c>
      <c r="C133" s="83">
        <v>200</v>
      </c>
      <c r="D133" s="183">
        <f>SUMIFS('апрель 2025'!$G$4:$G$2485,'апрель 2025'!$D$4:$D$2485,$B133,'апрель 2025'!$J$4:$J$2485,D$1)</f>
        <v>0</v>
      </c>
      <c r="E133" s="183">
        <f>SUMIFS('апрель 2025'!$G$4:$G$2485,'апрель 2025'!$D$4:$D$2485,$B133,'апрель 2025'!$J$4:$J$2485,E$1)</f>
        <v>0</v>
      </c>
      <c r="F133" s="183">
        <f>SUMIFS('апрель 2025'!$G$4:$G$2485,'апрель 2025'!$D$4:$D$2485,$B133,'апрель 2025'!$J$4:$J$2485,F$1)</f>
        <v>0</v>
      </c>
      <c r="G133" s="183">
        <f>SUMIFS('апрель 2025'!$G$4:$G$2485,'апрель 2025'!$D$4:$D$2485,$B133,'апрель 2025'!$J$4:$J$2485,G$1)</f>
        <v>12</v>
      </c>
      <c r="H133" s="183">
        <f>SUMIFS('апрель 2025'!$G$4:$G$2485,'апрель 2025'!$D$4:$D$2485,$B133,'апрель 2025'!$J$4:$J$2485,H$1)</f>
        <v>0</v>
      </c>
      <c r="I133" s="183">
        <f>SUMIFS('апрель 2025'!$G$4:$G$2485,'апрель 2025'!$D$4:$D$2485,$B133,'апрель 2025'!$J$4:$J$2485,I$1)</f>
        <v>0</v>
      </c>
      <c r="J133" s="183">
        <f>SUMIFS('апрель 2025'!$G$4:$G$2485,'апрель 2025'!$D$4:$D$2485,$B133,'апрель 2025'!$J$4:$J$2485,J$1)</f>
        <v>0</v>
      </c>
      <c r="K133" s="183">
        <f>SUMIFS('апрель 2025'!$G$4:$G$2485,'апрель 2025'!$D$4:$D$2485,$B133,'апрель 2025'!$J$4:$J$2485,K$1)</f>
        <v>0</v>
      </c>
      <c r="L133" s="183">
        <f>SUMIFS('апрель 2025'!$G$4:$G$2485,'апрель 2025'!$D$4:$D$2485,$B133,'апрель 2025'!$J$4:$J$2485,L$1)</f>
        <v>0</v>
      </c>
      <c r="M133" s="183">
        <f>SUMIFS('апрель 2025'!$G$4:$G$2485,'апрель 2025'!$D$4:$D$2485,$B133,'апрель 2025'!$J$4:$J$2485,M$1)</f>
        <v>0</v>
      </c>
      <c r="N133" s="183">
        <f>SUMIFS('апрель 2025'!$G$4:$G$2485,'апрель 2025'!$D$4:$D$2485,$B133,'апрель 2025'!$J$4:$J$2485,N$1)</f>
        <v>0</v>
      </c>
      <c r="O133" s="183">
        <f>SUMIFS('апрель 2025'!$G$4:$G$2485,'апрель 2025'!$D$4:$D$2485,$B133,'апрель 2025'!$J$4:$J$2485,O$1)</f>
        <v>0</v>
      </c>
      <c r="P133" s="183">
        <f>SUMIFS('апрель 2025'!$G$4:$G$2485,'апрель 2025'!$D$4:$D$2485,$B133,'апрель 2025'!$J$4:$J$2485,P$1)</f>
        <v>0</v>
      </c>
      <c r="Q133" s="183">
        <f>SUMIFS('апрель 2025'!$G$4:$G$2485,'апрель 2025'!$D$4:$D$2485,$B133,'апрель 2025'!$J$4:$J$2485,Q$1)</f>
        <v>0</v>
      </c>
      <c r="R133" s="183">
        <f>SUMIFS('апрель 2025'!$G$4:$G$2485,'апрель 2025'!$D$4:$D$2485,$B133,'апрель 2025'!$J$4:$J$2485,R$1)</f>
        <v>0</v>
      </c>
      <c r="S133" s="183">
        <f>SUMIFS('апрель 2025'!$G$4:$G$2485,'апрель 2025'!$D$4:$D$2485,$B133,'апрель 2025'!$J$4:$J$2485,S$1)</f>
        <v>0</v>
      </c>
      <c r="T133" s="183">
        <f>SUMIFS('апрель 2025'!$G$4:$G$2485,'апрель 2025'!$D$4:$D$2485,$B133,'апрель 2025'!$J$4:$J$2485,T$1)</f>
        <v>0</v>
      </c>
      <c r="U133" s="183">
        <f>SUMIFS('апрель 2025'!$G$4:$G$2485,'апрель 2025'!$D$4:$D$2485,$B133,'апрель 2025'!$J$4:$J$2485,U$1)</f>
        <v>0</v>
      </c>
      <c r="V133" s="183">
        <f>SUMIFS('апрель 2025'!$G$4:$G$2485,'апрель 2025'!$D$4:$D$2485,$B133,'апрель 2025'!$J$4:$J$2485,V$1)</f>
        <v>0</v>
      </c>
      <c r="W133" s="183">
        <f>SUMIFS('апрель 2025'!$G$4:$G$2485,'апрель 2025'!$D$4:$D$2485,$B133,'апрель 2025'!$J$4:$J$2485,W$1)</f>
        <v>0</v>
      </c>
      <c r="X133" s="183">
        <f>SUMIFS('апрель 2025'!$G$4:$G$2485,'апрель 2025'!$D$4:$D$2485,$B133,'апрель 2025'!$J$4:$J$2485,X$1)</f>
        <v>0</v>
      </c>
      <c r="Y133" s="183">
        <f>SUMIFS('апрель 2025'!$G$4:$G$2485,'апрель 2025'!$D$4:$D$2485,$B133,'апрель 2025'!$J$4:$J$2485,Y$1)</f>
        <v>0</v>
      </c>
      <c r="Z133" s="183">
        <f>SUMIFS('апрель 2025'!$G$4:$G$2485,'апрель 2025'!$D$4:$D$2485,$B133,'апрель 2025'!$J$4:$J$2485,Z$1)</f>
        <v>0</v>
      </c>
      <c r="AA133" s="183">
        <f>SUMIFS('апрель 2025'!$G$4:$G$2485,'апрель 2025'!$D$4:$D$2485,$B133,'апрель 2025'!$J$4:$J$2485,AA$1)</f>
        <v>0</v>
      </c>
      <c r="AB133" s="183">
        <f>SUMIFS('апрель 2025'!$G$4:$G$2485,'апрель 2025'!$D$4:$D$2485,$B133,'апрель 2025'!$J$4:$J$2485,AB$1)</f>
        <v>0</v>
      </c>
      <c r="AC133" s="183">
        <f>SUMIFS('апрель 2025'!$G$4:$G$2485,'апрель 2025'!$D$4:$D$2485,$B133,'апрель 2025'!$J$4:$J$2485,AC$1)</f>
        <v>0</v>
      </c>
      <c r="AD133" s="183">
        <f>SUMIFS('апрель 2025'!$G$4:$G$2485,'апрель 2025'!$D$4:$D$2485,$B133,'апрель 2025'!$J$4:$J$2485,AD$1)</f>
        <v>0</v>
      </c>
      <c r="AE133" s="183">
        <f>SUMIFS('апрель 2025'!$G$4:$G$2485,'апрель 2025'!$D$4:$D$2485,$B133,'апрель 2025'!$J$4:$J$2485,AE$1)</f>
        <v>0</v>
      </c>
      <c r="AF133" s="183">
        <f>SUMIFS('апрель 2025'!$G$4:$G$2485,'апрель 2025'!$D$4:$D$2485,$B133,'апрель 2025'!$J$4:$J$2485,AF$1)</f>
        <v>0</v>
      </c>
      <c r="AG133" s="183">
        <f>SUMIFS('апрель 2025'!$G$4:$G$2485,'апрель 2025'!$D$4:$D$2485,$B133,'апрель 2025'!$J$4:$J$2485,AG$1)</f>
        <v>0</v>
      </c>
      <c r="AH133" s="183">
        <f>SUMIFS('апрель 2025'!$G$4:$G$2485,'апрель 2025'!$D$4:$D$2485,$B133,'апрель 2025'!$J$4:$J$2485,AH$1)</f>
        <v>0</v>
      </c>
      <c r="AI133" s="20">
        <f t="shared" si="1"/>
        <v>12</v>
      </c>
    </row>
    <row r="134" spans="2:35" ht="15" customHeight="1" x14ac:dyDescent="0.25">
      <c r="B134" s="84" t="s">
        <v>174</v>
      </c>
      <c r="C134" s="83">
        <v>200</v>
      </c>
      <c r="D134" s="183">
        <f>SUMIFS('апрель 2025'!$G$4:$G$2485,'апрель 2025'!$D$4:$D$2485,$B134,'апрель 2025'!$J$4:$J$2485,D$1)</f>
        <v>0</v>
      </c>
      <c r="E134" s="183">
        <f>SUMIFS('апрель 2025'!$G$4:$G$2485,'апрель 2025'!$D$4:$D$2485,$B134,'апрель 2025'!$J$4:$J$2485,E$1)</f>
        <v>0</v>
      </c>
      <c r="F134" s="183">
        <f>SUMIFS('апрель 2025'!$G$4:$G$2485,'апрель 2025'!$D$4:$D$2485,$B134,'апрель 2025'!$J$4:$J$2485,F$1)</f>
        <v>0</v>
      </c>
      <c r="G134" s="183">
        <f>SUMIFS('апрель 2025'!$G$4:$G$2485,'апрель 2025'!$D$4:$D$2485,$B134,'апрель 2025'!$J$4:$J$2485,G$1)</f>
        <v>0</v>
      </c>
      <c r="H134" s="183">
        <f>SUMIFS('апрель 2025'!$G$4:$G$2485,'апрель 2025'!$D$4:$D$2485,$B134,'апрель 2025'!$J$4:$J$2485,H$1)</f>
        <v>0</v>
      </c>
      <c r="I134" s="183">
        <f>SUMIFS('апрель 2025'!$G$4:$G$2485,'апрель 2025'!$D$4:$D$2485,$B134,'апрель 2025'!$J$4:$J$2485,I$1)</f>
        <v>0</v>
      </c>
      <c r="J134" s="183">
        <f>SUMIFS('апрель 2025'!$G$4:$G$2485,'апрель 2025'!$D$4:$D$2485,$B134,'апрель 2025'!$J$4:$J$2485,J$1)</f>
        <v>0</v>
      </c>
      <c r="K134" s="183">
        <f>SUMIFS('апрель 2025'!$G$4:$G$2485,'апрель 2025'!$D$4:$D$2485,$B134,'апрель 2025'!$J$4:$J$2485,K$1)</f>
        <v>0</v>
      </c>
      <c r="L134" s="183">
        <f>SUMIFS('апрель 2025'!$G$4:$G$2485,'апрель 2025'!$D$4:$D$2485,$B134,'апрель 2025'!$J$4:$J$2485,L$1)</f>
        <v>0</v>
      </c>
      <c r="M134" s="183">
        <f>SUMIFS('апрель 2025'!$G$4:$G$2485,'апрель 2025'!$D$4:$D$2485,$B134,'апрель 2025'!$J$4:$J$2485,M$1)</f>
        <v>0</v>
      </c>
      <c r="N134" s="183">
        <f>SUMIFS('апрель 2025'!$G$4:$G$2485,'апрель 2025'!$D$4:$D$2485,$B134,'апрель 2025'!$J$4:$J$2485,N$1)</f>
        <v>0</v>
      </c>
      <c r="O134" s="183">
        <f>SUMIFS('апрель 2025'!$G$4:$G$2485,'апрель 2025'!$D$4:$D$2485,$B134,'апрель 2025'!$J$4:$J$2485,O$1)</f>
        <v>0</v>
      </c>
      <c r="P134" s="183">
        <f>SUMIFS('апрель 2025'!$G$4:$G$2485,'апрель 2025'!$D$4:$D$2485,$B134,'апрель 2025'!$J$4:$J$2485,P$1)</f>
        <v>0</v>
      </c>
      <c r="Q134" s="183">
        <f>SUMIFS('апрель 2025'!$G$4:$G$2485,'апрель 2025'!$D$4:$D$2485,$B134,'апрель 2025'!$J$4:$J$2485,Q$1)</f>
        <v>0</v>
      </c>
      <c r="R134" s="183">
        <f>SUMIFS('апрель 2025'!$G$4:$G$2485,'апрель 2025'!$D$4:$D$2485,$B134,'апрель 2025'!$J$4:$J$2485,R$1)</f>
        <v>0</v>
      </c>
      <c r="S134" s="183">
        <f>SUMIFS('апрель 2025'!$G$4:$G$2485,'апрель 2025'!$D$4:$D$2485,$B134,'апрель 2025'!$J$4:$J$2485,S$1)</f>
        <v>0</v>
      </c>
      <c r="T134" s="183">
        <f>SUMIFS('апрель 2025'!$G$4:$G$2485,'апрель 2025'!$D$4:$D$2485,$B134,'апрель 2025'!$J$4:$J$2485,T$1)</f>
        <v>0</v>
      </c>
      <c r="U134" s="183">
        <f>SUMIFS('апрель 2025'!$G$4:$G$2485,'апрель 2025'!$D$4:$D$2485,$B134,'апрель 2025'!$J$4:$J$2485,U$1)</f>
        <v>0</v>
      </c>
      <c r="V134" s="183">
        <f>SUMIFS('апрель 2025'!$G$4:$G$2485,'апрель 2025'!$D$4:$D$2485,$B134,'апрель 2025'!$J$4:$J$2485,V$1)</f>
        <v>0</v>
      </c>
      <c r="W134" s="183">
        <f>SUMIFS('апрель 2025'!$G$4:$G$2485,'апрель 2025'!$D$4:$D$2485,$B134,'апрель 2025'!$J$4:$J$2485,W$1)</f>
        <v>0</v>
      </c>
      <c r="X134" s="183">
        <f>SUMIFS('апрель 2025'!$G$4:$G$2485,'апрель 2025'!$D$4:$D$2485,$B134,'апрель 2025'!$J$4:$J$2485,X$1)</f>
        <v>0</v>
      </c>
      <c r="Y134" s="183">
        <f>SUMIFS('апрель 2025'!$G$4:$G$2485,'апрель 2025'!$D$4:$D$2485,$B134,'апрель 2025'!$J$4:$J$2485,Y$1)</f>
        <v>0</v>
      </c>
      <c r="Z134" s="183">
        <f>SUMIFS('апрель 2025'!$G$4:$G$2485,'апрель 2025'!$D$4:$D$2485,$B134,'апрель 2025'!$J$4:$J$2485,Z$1)</f>
        <v>0</v>
      </c>
      <c r="AA134" s="183">
        <f>SUMIFS('апрель 2025'!$G$4:$G$2485,'апрель 2025'!$D$4:$D$2485,$B134,'апрель 2025'!$J$4:$J$2485,AA$1)</f>
        <v>0</v>
      </c>
      <c r="AB134" s="183">
        <f>SUMIFS('апрель 2025'!$G$4:$G$2485,'апрель 2025'!$D$4:$D$2485,$B134,'апрель 2025'!$J$4:$J$2485,AB$1)</f>
        <v>0</v>
      </c>
      <c r="AC134" s="183">
        <f>SUMIFS('апрель 2025'!$G$4:$G$2485,'апрель 2025'!$D$4:$D$2485,$B134,'апрель 2025'!$J$4:$J$2485,AC$1)</f>
        <v>0</v>
      </c>
      <c r="AD134" s="183">
        <f>SUMIFS('апрель 2025'!$G$4:$G$2485,'апрель 2025'!$D$4:$D$2485,$B134,'апрель 2025'!$J$4:$J$2485,AD$1)</f>
        <v>0</v>
      </c>
      <c r="AE134" s="183">
        <f>SUMIFS('апрель 2025'!$G$4:$G$2485,'апрель 2025'!$D$4:$D$2485,$B134,'апрель 2025'!$J$4:$J$2485,AE$1)</f>
        <v>0</v>
      </c>
      <c r="AF134" s="183">
        <f>SUMIFS('апрель 2025'!$G$4:$G$2485,'апрель 2025'!$D$4:$D$2485,$B134,'апрель 2025'!$J$4:$J$2485,AF$1)</f>
        <v>0</v>
      </c>
      <c r="AG134" s="183">
        <f>SUMIFS('апрель 2025'!$G$4:$G$2485,'апрель 2025'!$D$4:$D$2485,$B134,'апрель 2025'!$J$4:$J$2485,AG$1)</f>
        <v>0</v>
      </c>
      <c r="AH134" s="183">
        <f>SUMIFS('апрель 2025'!$G$4:$G$2485,'апрель 2025'!$D$4:$D$2485,$B134,'апрель 2025'!$J$4:$J$2485,AH$1)</f>
        <v>0</v>
      </c>
      <c r="AI134" s="20">
        <f t="shared" si="1"/>
        <v>0</v>
      </c>
    </row>
    <row r="135" spans="2:35" ht="15" customHeight="1" x14ac:dyDescent="0.25">
      <c r="B135" s="89" t="s">
        <v>184</v>
      </c>
      <c r="C135" s="90">
        <v>180</v>
      </c>
      <c r="D135" s="183">
        <f>SUMIFS('апрель 2025'!$G$4:$G$2485,'апрель 2025'!$D$4:$D$2485,$B135,'апрель 2025'!$J$4:$J$2485,D$1)</f>
        <v>0</v>
      </c>
      <c r="E135" s="183">
        <f>SUMIFS('апрель 2025'!$G$4:$G$2485,'апрель 2025'!$D$4:$D$2485,$B135,'апрель 2025'!$J$4:$J$2485,E$1)</f>
        <v>0</v>
      </c>
      <c r="F135" s="183">
        <f>SUMIFS('апрель 2025'!$G$4:$G$2485,'апрель 2025'!$D$4:$D$2485,$B135,'апрель 2025'!$J$4:$J$2485,F$1)</f>
        <v>0</v>
      </c>
      <c r="G135" s="183">
        <f>SUMIFS('апрель 2025'!$G$4:$G$2485,'апрель 2025'!$D$4:$D$2485,$B135,'апрель 2025'!$J$4:$J$2485,G$1)</f>
        <v>0</v>
      </c>
      <c r="H135" s="183">
        <f>SUMIFS('апрель 2025'!$G$4:$G$2485,'апрель 2025'!$D$4:$D$2485,$B135,'апрель 2025'!$J$4:$J$2485,H$1)</f>
        <v>0</v>
      </c>
      <c r="I135" s="183">
        <f>SUMIFS('апрель 2025'!$G$4:$G$2485,'апрель 2025'!$D$4:$D$2485,$B135,'апрель 2025'!$J$4:$J$2485,I$1)</f>
        <v>0</v>
      </c>
      <c r="J135" s="183">
        <f>SUMIFS('апрель 2025'!$G$4:$G$2485,'апрель 2025'!$D$4:$D$2485,$B135,'апрель 2025'!$J$4:$J$2485,J$1)</f>
        <v>0</v>
      </c>
      <c r="K135" s="183">
        <f>SUMIFS('апрель 2025'!$G$4:$G$2485,'апрель 2025'!$D$4:$D$2485,$B135,'апрель 2025'!$J$4:$J$2485,K$1)</f>
        <v>0</v>
      </c>
      <c r="L135" s="183">
        <f>SUMIFS('апрель 2025'!$G$4:$G$2485,'апрель 2025'!$D$4:$D$2485,$B135,'апрель 2025'!$J$4:$J$2485,L$1)</f>
        <v>0</v>
      </c>
      <c r="M135" s="183">
        <f>SUMIFS('апрель 2025'!$G$4:$G$2485,'апрель 2025'!$D$4:$D$2485,$B135,'апрель 2025'!$J$4:$J$2485,M$1)</f>
        <v>0</v>
      </c>
      <c r="N135" s="183">
        <f>SUMIFS('апрель 2025'!$G$4:$G$2485,'апрель 2025'!$D$4:$D$2485,$B135,'апрель 2025'!$J$4:$J$2485,N$1)</f>
        <v>0</v>
      </c>
      <c r="O135" s="183">
        <f>SUMIFS('апрель 2025'!$G$4:$G$2485,'апрель 2025'!$D$4:$D$2485,$B135,'апрель 2025'!$J$4:$J$2485,O$1)</f>
        <v>0</v>
      </c>
      <c r="P135" s="183">
        <f>SUMIFS('апрель 2025'!$G$4:$G$2485,'апрель 2025'!$D$4:$D$2485,$B135,'апрель 2025'!$J$4:$J$2485,P$1)</f>
        <v>0</v>
      </c>
      <c r="Q135" s="183">
        <f>SUMIFS('апрель 2025'!$G$4:$G$2485,'апрель 2025'!$D$4:$D$2485,$B135,'апрель 2025'!$J$4:$J$2485,Q$1)</f>
        <v>0</v>
      </c>
      <c r="R135" s="183">
        <f>SUMIFS('апрель 2025'!$G$4:$G$2485,'апрель 2025'!$D$4:$D$2485,$B135,'апрель 2025'!$J$4:$J$2485,R$1)</f>
        <v>0</v>
      </c>
      <c r="S135" s="183">
        <f>SUMIFS('апрель 2025'!$G$4:$G$2485,'апрель 2025'!$D$4:$D$2485,$B135,'апрель 2025'!$J$4:$J$2485,S$1)</f>
        <v>0</v>
      </c>
      <c r="T135" s="183">
        <f>SUMIFS('апрель 2025'!$G$4:$G$2485,'апрель 2025'!$D$4:$D$2485,$B135,'апрель 2025'!$J$4:$J$2485,T$1)</f>
        <v>0</v>
      </c>
      <c r="U135" s="183">
        <f>SUMIFS('апрель 2025'!$G$4:$G$2485,'апрель 2025'!$D$4:$D$2485,$B135,'апрель 2025'!$J$4:$J$2485,U$1)</f>
        <v>0</v>
      </c>
      <c r="V135" s="183">
        <f>SUMIFS('апрель 2025'!$G$4:$G$2485,'апрель 2025'!$D$4:$D$2485,$B135,'апрель 2025'!$J$4:$J$2485,V$1)</f>
        <v>0</v>
      </c>
      <c r="W135" s="183">
        <f>SUMIFS('апрель 2025'!$G$4:$G$2485,'апрель 2025'!$D$4:$D$2485,$B135,'апрель 2025'!$J$4:$J$2485,W$1)</f>
        <v>0</v>
      </c>
      <c r="X135" s="183">
        <f>SUMIFS('апрель 2025'!$G$4:$G$2485,'апрель 2025'!$D$4:$D$2485,$B135,'апрель 2025'!$J$4:$J$2485,X$1)</f>
        <v>0</v>
      </c>
      <c r="Y135" s="183">
        <f>SUMIFS('апрель 2025'!$G$4:$G$2485,'апрель 2025'!$D$4:$D$2485,$B135,'апрель 2025'!$J$4:$J$2485,Y$1)</f>
        <v>0</v>
      </c>
      <c r="Z135" s="183">
        <f>SUMIFS('апрель 2025'!$G$4:$G$2485,'апрель 2025'!$D$4:$D$2485,$B135,'апрель 2025'!$J$4:$J$2485,Z$1)</f>
        <v>0</v>
      </c>
      <c r="AA135" s="183">
        <f>SUMIFS('апрель 2025'!$G$4:$G$2485,'апрель 2025'!$D$4:$D$2485,$B135,'апрель 2025'!$J$4:$J$2485,AA$1)</f>
        <v>0</v>
      </c>
      <c r="AB135" s="183">
        <f>SUMIFS('апрель 2025'!$G$4:$G$2485,'апрель 2025'!$D$4:$D$2485,$B135,'апрель 2025'!$J$4:$J$2485,AB$1)</f>
        <v>0</v>
      </c>
      <c r="AC135" s="183">
        <f>SUMIFS('апрель 2025'!$G$4:$G$2485,'апрель 2025'!$D$4:$D$2485,$B135,'апрель 2025'!$J$4:$J$2485,AC$1)</f>
        <v>0</v>
      </c>
      <c r="AD135" s="183">
        <f>SUMIFS('апрель 2025'!$G$4:$G$2485,'апрель 2025'!$D$4:$D$2485,$B135,'апрель 2025'!$J$4:$J$2485,AD$1)</f>
        <v>0</v>
      </c>
      <c r="AE135" s="183">
        <f>SUMIFS('апрель 2025'!$G$4:$G$2485,'апрель 2025'!$D$4:$D$2485,$B135,'апрель 2025'!$J$4:$J$2485,AE$1)</f>
        <v>0</v>
      </c>
      <c r="AF135" s="183">
        <f>SUMIFS('апрель 2025'!$G$4:$G$2485,'апрель 2025'!$D$4:$D$2485,$B135,'апрель 2025'!$J$4:$J$2485,AF$1)</f>
        <v>0</v>
      </c>
      <c r="AG135" s="183">
        <f>SUMIFS('апрель 2025'!$G$4:$G$2485,'апрель 2025'!$D$4:$D$2485,$B135,'апрель 2025'!$J$4:$J$2485,AG$1)</f>
        <v>0</v>
      </c>
      <c r="AH135" s="183">
        <f>SUMIFS('апрель 2025'!$G$4:$G$2485,'апрель 2025'!$D$4:$D$2485,$B135,'апрель 2025'!$J$4:$J$2485,AH$1)</f>
        <v>0</v>
      </c>
      <c r="AI135" s="20">
        <f t="shared" si="1"/>
        <v>0</v>
      </c>
    </row>
    <row r="136" spans="2:35" ht="15" customHeight="1" x14ac:dyDescent="0.25">
      <c r="B136" s="84" t="s">
        <v>268</v>
      </c>
      <c r="C136" s="86">
        <v>180</v>
      </c>
      <c r="D136" s="183">
        <f>SUMIFS('апрель 2025'!$G$4:$G$2485,'апрель 2025'!$D$4:$D$2485,$B136,'апрель 2025'!$J$4:$J$2485,D$1)</f>
        <v>0</v>
      </c>
      <c r="E136" s="183">
        <f>SUMIFS('апрель 2025'!$G$4:$G$2485,'апрель 2025'!$D$4:$D$2485,$B136,'апрель 2025'!$J$4:$J$2485,E$1)</f>
        <v>0</v>
      </c>
      <c r="F136" s="183">
        <f>SUMIFS('апрель 2025'!$G$4:$G$2485,'апрель 2025'!$D$4:$D$2485,$B136,'апрель 2025'!$J$4:$J$2485,F$1)</f>
        <v>0</v>
      </c>
      <c r="G136" s="183">
        <f>SUMIFS('апрель 2025'!$G$4:$G$2485,'апрель 2025'!$D$4:$D$2485,$B136,'апрель 2025'!$J$4:$J$2485,G$1)</f>
        <v>0</v>
      </c>
      <c r="H136" s="183">
        <f>SUMIFS('апрель 2025'!$G$4:$G$2485,'апрель 2025'!$D$4:$D$2485,$B136,'апрель 2025'!$J$4:$J$2485,H$1)</f>
        <v>0</v>
      </c>
      <c r="I136" s="183">
        <f>SUMIFS('апрель 2025'!$G$4:$G$2485,'апрель 2025'!$D$4:$D$2485,$B136,'апрель 2025'!$J$4:$J$2485,I$1)</f>
        <v>0</v>
      </c>
      <c r="J136" s="183">
        <f>SUMIFS('апрель 2025'!$G$4:$G$2485,'апрель 2025'!$D$4:$D$2485,$B136,'апрель 2025'!$J$4:$J$2485,J$1)</f>
        <v>0</v>
      </c>
      <c r="K136" s="183">
        <f>SUMIFS('апрель 2025'!$G$4:$G$2485,'апрель 2025'!$D$4:$D$2485,$B136,'апрель 2025'!$J$4:$J$2485,K$1)</f>
        <v>0</v>
      </c>
      <c r="L136" s="183">
        <f>SUMIFS('апрель 2025'!$G$4:$G$2485,'апрель 2025'!$D$4:$D$2485,$B136,'апрель 2025'!$J$4:$J$2485,L$1)</f>
        <v>0</v>
      </c>
      <c r="M136" s="183">
        <f>SUMIFS('апрель 2025'!$G$4:$G$2485,'апрель 2025'!$D$4:$D$2485,$B136,'апрель 2025'!$J$4:$J$2485,M$1)</f>
        <v>0</v>
      </c>
      <c r="N136" s="183">
        <f>SUMIFS('апрель 2025'!$G$4:$G$2485,'апрель 2025'!$D$4:$D$2485,$B136,'апрель 2025'!$J$4:$J$2485,N$1)</f>
        <v>0</v>
      </c>
      <c r="O136" s="183">
        <f>SUMIFS('апрель 2025'!$G$4:$G$2485,'апрель 2025'!$D$4:$D$2485,$B136,'апрель 2025'!$J$4:$J$2485,O$1)</f>
        <v>0</v>
      </c>
      <c r="P136" s="183">
        <f>SUMIFS('апрель 2025'!$G$4:$G$2485,'апрель 2025'!$D$4:$D$2485,$B136,'апрель 2025'!$J$4:$J$2485,P$1)</f>
        <v>0</v>
      </c>
      <c r="Q136" s="183">
        <f>SUMIFS('апрель 2025'!$G$4:$G$2485,'апрель 2025'!$D$4:$D$2485,$B136,'апрель 2025'!$J$4:$J$2485,Q$1)</f>
        <v>0</v>
      </c>
      <c r="R136" s="183">
        <f>SUMIFS('апрель 2025'!$G$4:$G$2485,'апрель 2025'!$D$4:$D$2485,$B136,'апрель 2025'!$J$4:$J$2485,R$1)</f>
        <v>0</v>
      </c>
      <c r="S136" s="183">
        <f>SUMIFS('апрель 2025'!$G$4:$G$2485,'апрель 2025'!$D$4:$D$2485,$B136,'апрель 2025'!$J$4:$J$2485,S$1)</f>
        <v>0</v>
      </c>
      <c r="T136" s="183">
        <f>SUMIFS('апрель 2025'!$G$4:$G$2485,'апрель 2025'!$D$4:$D$2485,$B136,'апрель 2025'!$J$4:$J$2485,T$1)</f>
        <v>0</v>
      </c>
      <c r="U136" s="183">
        <f>SUMIFS('апрель 2025'!$G$4:$G$2485,'апрель 2025'!$D$4:$D$2485,$B136,'апрель 2025'!$J$4:$J$2485,U$1)</f>
        <v>0</v>
      </c>
      <c r="V136" s="183">
        <f>SUMIFS('апрель 2025'!$G$4:$G$2485,'апрель 2025'!$D$4:$D$2485,$B136,'апрель 2025'!$J$4:$J$2485,V$1)</f>
        <v>0</v>
      </c>
      <c r="W136" s="183">
        <f>SUMIFS('апрель 2025'!$G$4:$G$2485,'апрель 2025'!$D$4:$D$2485,$B136,'апрель 2025'!$J$4:$J$2485,W$1)</f>
        <v>0</v>
      </c>
      <c r="X136" s="183">
        <f>SUMIFS('апрель 2025'!$G$4:$G$2485,'апрель 2025'!$D$4:$D$2485,$B136,'апрель 2025'!$J$4:$J$2485,X$1)</f>
        <v>0</v>
      </c>
      <c r="Y136" s="183">
        <f>SUMIFS('апрель 2025'!$G$4:$G$2485,'апрель 2025'!$D$4:$D$2485,$B136,'апрель 2025'!$J$4:$J$2485,Y$1)</f>
        <v>0</v>
      </c>
      <c r="Z136" s="183">
        <f>SUMIFS('апрель 2025'!$G$4:$G$2485,'апрель 2025'!$D$4:$D$2485,$B136,'апрель 2025'!$J$4:$J$2485,Z$1)</f>
        <v>0</v>
      </c>
      <c r="AA136" s="183">
        <f>SUMIFS('апрель 2025'!$G$4:$G$2485,'апрель 2025'!$D$4:$D$2485,$B136,'апрель 2025'!$J$4:$J$2485,AA$1)</f>
        <v>0</v>
      </c>
      <c r="AB136" s="183">
        <f>SUMIFS('апрель 2025'!$G$4:$G$2485,'апрель 2025'!$D$4:$D$2485,$B136,'апрель 2025'!$J$4:$J$2485,AB$1)</f>
        <v>0</v>
      </c>
      <c r="AC136" s="183">
        <f>SUMIFS('апрель 2025'!$G$4:$G$2485,'апрель 2025'!$D$4:$D$2485,$B136,'апрель 2025'!$J$4:$J$2485,AC$1)</f>
        <v>0</v>
      </c>
      <c r="AD136" s="183">
        <f>SUMIFS('апрель 2025'!$G$4:$G$2485,'апрель 2025'!$D$4:$D$2485,$B136,'апрель 2025'!$J$4:$J$2485,AD$1)</f>
        <v>0</v>
      </c>
      <c r="AE136" s="183">
        <f>SUMIFS('апрель 2025'!$G$4:$G$2485,'апрель 2025'!$D$4:$D$2485,$B136,'апрель 2025'!$J$4:$J$2485,AE$1)</f>
        <v>0</v>
      </c>
      <c r="AF136" s="183">
        <f>SUMIFS('апрель 2025'!$G$4:$G$2485,'апрель 2025'!$D$4:$D$2485,$B136,'апрель 2025'!$J$4:$J$2485,AF$1)</f>
        <v>0</v>
      </c>
      <c r="AG136" s="183">
        <f>SUMIFS('апрель 2025'!$G$4:$G$2485,'апрель 2025'!$D$4:$D$2485,$B136,'апрель 2025'!$J$4:$J$2485,AG$1)</f>
        <v>0</v>
      </c>
      <c r="AH136" s="183">
        <f>SUMIFS('апрель 2025'!$G$4:$G$2485,'апрель 2025'!$D$4:$D$2485,$B136,'апрель 2025'!$J$4:$J$2485,AH$1)</f>
        <v>0</v>
      </c>
      <c r="AI136" s="20">
        <f t="shared" si="1"/>
        <v>0</v>
      </c>
    </row>
    <row r="137" spans="2:35" ht="15" customHeight="1" x14ac:dyDescent="0.25">
      <c r="B137" s="84" t="s">
        <v>278</v>
      </c>
      <c r="C137" s="86">
        <v>180</v>
      </c>
      <c r="D137" s="183">
        <f>SUMIFS('апрель 2025'!$G$4:$G$2485,'апрель 2025'!$D$4:$D$2485,$B137,'апрель 2025'!$J$4:$J$2485,D$1)</f>
        <v>0</v>
      </c>
      <c r="E137" s="183">
        <f>SUMIFS('апрель 2025'!$G$4:$G$2485,'апрель 2025'!$D$4:$D$2485,$B137,'апрель 2025'!$J$4:$J$2485,E$1)</f>
        <v>0</v>
      </c>
      <c r="F137" s="183">
        <f>SUMIFS('апрель 2025'!$G$4:$G$2485,'апрель 2025'!$D$4:$D$2485,$B137,'апрель 2025'!$J$4:$J$2485,F$1)</f>
        <v>0</v>
      </c>
      <c r="G137" s="183">
        <f>SUMIFS('апрель 2025'!$G$4:$G$2485,'апрель 2025'!$D$4:$D$2485,$B137,'апрель 2025'!$J$4:$J$2485,G$1)</f>
        <v>0</v>
      </c>
      <c r="H137" s="183">
        <f>SUMIFS('апрель 2025'!$G$4:$G$2485,'апрель 2025'!$D$4:$D$2485,$B137,'апрель 2025'!$J$4:$J$2485,H$1)</f>
        <v>0</v>
      </c>
      <c r="I137" s="183">
        <f>SUMIFS('апрель 2025'!$G$4:$G$2485,'апрель 2025'!$D$4:$D$2485,$B137,'апрель 2025'!$J$4:$J$2485,I$1)</f>
        <v>0</v>
      </c>
      <c r="J137" s="183">
        <f>SUMIFS('апрель 2025'!$G$4:$G$2485,'апрель 2025'!$D$4:$D$2485,$B137,'апрель 2025'!$J$4:$J$2485,J$1)</f>
        <v>0</v>
      </c>
      <c r="K137" s="183">
        <f>SUMIFS('апрель 2025'!$G$4:$G$2485,'апрель 2025'!$D$4:$D$2485,$B137,'апрель 2025'!$J$4:$J$2485,K$1)</f>
        <v>0</v>
      </c>
      <c r="L137" s="183">
        <f>SUMIFS('апрель 2025'!$G$4:$G$2485,'апрель 2025'!$D$4:$D$2485,$B137,'апрель 2025'!$J$4:$J$2485,L$1)</f>
        <v>0</v>
      </c>
      <c r="M137" s="183">
        <f>SUMIFS('апрель 2025'!$G$4:$G$2485,'апрель 2025'!$D$4:$D$2485,$B137,'апрель 2025'!$J$4:$J$2485,M$1)</f>
        <v>0</v>
      </c>
      <c r="N137" s="183">
        <f>SUMIFS('апрель 2025'!$G$4:$G$2485,'апрель 2025'!$D$4:$D$2485,$B137,'апрель 2025'!$J$4:$J$2485,N$1)</f>
        <v>0</v>
      </c>
      <c r="O137" s="183">
        <f>SUMIFS('апрель 2025'!$G$4:$G$2485,'апрель 2025'!$D$4:$D$2485,$B137,'апрель 2025'!$J$4:$J$2485,O$1)</f>
        <v>0</v>
      </c>
      <c r="P137" s="183">
        <f>SUMIFS('апрель 2025'!$G$4:$G$2485,'апрель 2025'!$D$4:$D$2485,$B137,'апрель 2025'!$J$4:$J$2485,P$1)</f>
        <v>0</v>
      </c>
      <c r="Q137" s="183">
        <f>SUMIFS('апрель 2025'!$G$4:$G$2485,'апрель 2025'!$D$4:$D$2485,$B137,'апрель 2025'!$J$4:$J$2485,Q$1)</f>
        <v>0</v>
      </c>
      <c r="R137" s="183">
        <f>SUMIFS('апрель 2025'!$G$4:$G$2485,'апрель 2025'!$D$4:$D$2485,$B137,'апрель 2025'!$J$4:$J$2485,R$1)</f>
        <v>0</v>
      </c>
      <c r="S137" s="183">
        <f>SUMIFS('апрель 2025'!$G$4:$G$2485,'апрель 2025'!$D$4:$D$2485,$B137,'апрель 2025'!$J$4:$J$2485,S$1)</f>
        <v>0</v>
      </c>
      <c r="T137" s="183">
        <f>SUMIFS('апрель 2025'!$G$4:$G$2485,'апрель 2025'!$D$4:$D$2485,$B137,'апрель 2025'!$J$4:$J$2485,T$1)</f>
        <v>0</v>
      </c>
      <c r="U137" s="183">
        <f>SUMIFS('апрель 2025'!$G$4:$G$2485,'апрель 2025'!$D$4:$D$2485,$B137,'апрель 2025'!$J$4:$J$2485,U$1)</f>
        <v>0</v>
      </c>
      <c r="V137" s="183">
        <f>SUMIFS('апрель 2025'!$G$4:$G$2485,'апрель 2025'!$D$4:$D$2485,$B137,'апрель 2025'!$J$4:$J$2485,V$1)</f>
        <v>0</v>
      </c>
      <c r="W137" s="183">
        <f>SUMIFS('апрель 2025'!$G$4:$G$2485,'апрель 2025'!$D$4:$D$2485,$B137,'апрель 2025'!$J$4:$J$2485,W$1)</f>
        <v>0</v>
      </c>
      <c r="X137" s="183">
        <f>SUMIFS('апрель 2025'!$G$4:$G$2485,'апрель 2025'!$D$4:$D$2485,$B137,'апрель 2025'!$J$4:$J$2485,X$1)</f>
        <v>0</v>
      </c>
      <c r="Y137" s="183">
        <f>SUMIFS('апрель 2025'!$G$4:$G$2485,'апрель 2025'!$D$4:$D$2485,$B137,'апрель 2025'!$J$4:$J$2485,Y$1)</f>
        <v>0</v>
      </c>
      <c r="Z137" s="183">
        <f>SUMIFS('апрель 2025'!$G$4:$G$2485,'апрель 2025'!$D$4:$D$2485,$B137,'апрель 2025'!$J$4:$J$2485,Z$1)</f>
        <v>0</v>
      </c>
      <c r="AA137" s="183">
        <f>SUMIFS('апрель 2025'!$G$4:$G$2485,'апрель 2025'!$D$4:$D$2485,$B137,'апрель 2025'!$J$4:$J$2485,AA$1)</f>
        <v>0</v>
      </c>
      <c r="AB137" s="183">
        <f>SUMIFS('апрель 2025'!$G$4:$G$2485,'апрель 2025'!$D$4:$D$2485,$B137,'апрель 2025'!$J$4:$J$2485,AB$1)</f>
        <v>0</v>
      </c>
      <c r="AC137" s="183">
        <f>SUMIFS('апрель 2025'!$G$4:$G$2485,'апрель 2025'!$D$4:$D$2485,$B137,'апрель 2025'!$J$4:$J$2485,AC$1)</f>
        <v>0</v>
      </c>
      <c r="AD137" s="183">
        <f>SUMIFS('апрель 2025'!$G$4:$G$2485,'апрель 2025'!$D$4:$D$2485,$B137,'апрель 2025'!$J$4:$J$2485,AD$1)</f>
        <v>0</v>
      </c>
      <c r="AE137" s="183">
        <f>SUMIFS('апрель 2025'!$G$4:$G$2485,'апрель 2025'!$D$4:$D$2485,$B137,'апрель 2025'!$J$4:$J$2485,AE$1)</f>
        <v>0</v>
      </c>
      <c r="AF137" s="183">
        <f>SUMIFS('апрель 2025'!$G$4:$G$2485,'апрель 2025'!$D$4:$D$2485,$B137,'апрель 2025'!$J$4:$J$2485,AF$1)</f>
        <v>0</v>
      </c>
      <c r="AG137" s="183">
        <f>SUMIFS('апрель 2025'!$G$4:$G$2485,'апрель 2025'!$D$4:$D$2485,$B137,'апрель 2025'!$J$4:$J$2485,AG$1)</f>
        <v>0</v>
      </c>
      <c r="AH137" s="183">
        <f>SUMIFS('апрель 2025'!$G$4:$G$2485,'апрель 2025'!$D$4:$D$2485,$B137,'апрель 2025'!$J$4:$J$2485,AH$1)</f>
        <v>0</v>
      </c>
      <c r="AI137" s="20">
        <f t="shared" si="1"/>
        <v>0</v>
      </c>
    </row>
    <row r="138" spans="2:35" ht="15" customHeight="1" x14ac:dyDescent="0.25">
      <c r="B138" s="84" t="s">
        <v>295</v>
      </c>
      <c r="C138" s="86">
        <v>190</v>
      </c>
      <c r="D138" s="183">
        <f>SUMIFS('апрель 2025'!$G$4:$G$2485,'апрель 2025'!$D$4:$D$2485,$B138,'апрель 2025'!$J$4:$J$2485,D$1)</f>
        <v>0</v>
      </c>
      <c r="E138" s="183">
        <f>SUMIFS('апрель 2025'!$G$4:$G$2485,'апрель 2025'!$D$4:$D$2485,$B138,'апрель 2025'!$J$4:$J$2485,E$1)</f>
        <v>0</v>
      </c>
      <c r="F138" s="183">
        <f>SUMIFS('апрель 2025'!$G$4:$G$2485,'апрель 2025'!$D$4:$D$2485,$B138,'апрель 2025'!$J$4:$J$2485,F$1)</f>
        <v>0</v>
      </c>
      <c r="G138" s="183">
        <f>SUMIFS('апрель 2025'!$G$4:$G$2485,'апрель 2025'!$D$4:$D$2485,$B138,'апрель 2025'!$J$4:$J$2485,G$1)</f>
        <v>0</v>
      </c>
      <c r="H138" s="183">
        <f>SUMIFS('апрель 2025'!$G$4:$G$2485,'апрель 2025'!$D$4:$D$2485,$B138,'апрель 2025'!$J$4:$J$2485,H$1)</f>
        <v>0</v>
      </c>
      <c r="I138" s="183">
        <f>SUMIFS('апрель 2025'!$G$4:$G$2485,'апрель 2025'!$D$4:$D$2485,$B138,'апрель 2025'!$J$4:$J$2485,I$1)</f>
        <v>0</v>
      </c>
      <c r="J138" s="183">
        <f>SUMIFS('апрель 2025'!$G$4:$G$2485,'апрель 2025'!$D$4:$D$2485,$B138,'апрель 2025'!$J$4:$J$2485,J$1)</f>
        <v>0</v>
      </c>
      <c r="K138" s="183">
        <f>SUMIFS('апрель 2025'!$G$4:$G$2485,'апрель 2025'!$D$4:$D$2485,$B138,'апрель 2025'!$J$4:$J$2485,K$1)</f>
        <v>0</v>
      </c>
      <c r="L138" s="183">
        <f>SUMIFS('апрель 2025'!$G$4:$G$2485,'апрель 2025'!$D$4:$D$2485,$B138,'апрель 2025'!$J$4:$J$2485,L$1)</f>
        <v>0</v>
      </c>
      <c r="M138" s="183">
        <f>SUMIFS('апрель 2025'!$G$4:$G$2485,'апрель 2025'!$D$4:$D$2485,$B138,'апрель 2025'!$J$4:$J$2485,M$1)</f>
        <v>0</v>
      </c>
      <c r="N138" s="183">
        <f>SUMIFS('апрель 2025'!$G$4:$G$2485,'апрель 2025'!$D$4:$D$2485,$B138,'апрель 2025'!$J$4:$J$2485,N$1)</f>
        <v>0</v>
      </c>
      <c r="O138" s="183">
        <f>SUMIFS('апрель 2025'!$G$4:$G$2485,'апрель 2025'!$D$4:$D$2485,$B138,'апрель 2025'!$J$4:$J$2485,O$1)</f>
        <v>0</v>
      </c>
      <c r="P138" s="183">
        <f>SUMIFS('апрель 2025'!$G$4:$G$2485,'апрель 2025'!$D$4:$D$2485,$B138,'апрель 2025'!$J$4:$J$2485,P$1)</f>
        <v>0</v>
      </c>
      <c r="Q138" s="183">
        <f>SUMIFS('апрель 2025'!$G$4:$G$2485,'апрель 2025'!$D$4:$D$2485,$B138,'апрель 2025'!$J$4:$J$2485,Q$1)</f>
        <v>0</v>
      </c>
      <c r="R138" s="183">
        <f>SUMIFS('апрель 2025'!$G$4:$G$2485,'апрель 2025'!$D$4:$D$2485,$B138,'апрель 2025'!$J$4:$J$2485,R$1)</f>
        <v>0</v>
      </c>
      <c r="S138" s="183">
        <f>SUMIFS('апрель 2025'!$G$4:$G$2485,'апрель 2025'!$D$4:$D$2485,$B138,'апрель 2025'!$J$4:$J$2485,S$1)</f>
        <v>0</v>
      </c>
      <c r="T138" s="183">
        <f>SUMIFS('апрель 2025'!$G$4:$G$2485,'апрель 2025'!$D$4:$D$2485,$B138,'апрель 2025'!$J$4:$J$2485,T$1)</f>
        <v>0</v>
      </c>
      <c r="U138" s="183">
        <f>SUMIFS('апрель 2025'!$G$4:$G$2485,'апрель 2025'!$D$4:$D$2485,$B138,'апрель 2025'!$J$4:$J$2485,U$1)</f>
        <v>0</v>
      </c>
      <c r="V138" s="183">
        <f>SUMIFS('апрель 2025'!$G$4:$G$2485,'апрель 2025'!$D$4:$D$2485,$B138,'апрель 2025'!$J$4:$J$2485,V$1)</f>
        <v>0</v>
      </c>
      <c r="W138" s="183">
        <f>SUMIFS('апрель 2025'!$G$4:$G$2485,'апрель 2025'!$D$4:$D$2485,$B138,'апрель 2025'!$J$4:$J$2485,W$1)</f>
        <v>0</v>
      </c>
      <c r="X138" s="183">
        <f>SUMIFS('апрель 2025'!$G$4:$G$2485,'апрель 2025'!$D$4:$D$2485,$B138,'апрель 2025'!$J$4:$J$2485,X$1)</f>
        <v>0</v>
      </c>
      <c r="Y138" s="183">
        <f>SUMIFS('апрель 2025'!$G$4:$G$2485,'апрель 2025'!$D$4:$D$2485,$B138,'апрель 2025'!$J$4:$J$2485,Y$1)</f>
        <v>0</v>
      </c>
      <c r="Z138" s="183">
        <f>SUMIFS('апрель 2025'!$G$4:$G$2485,'апрель 2025'!$D$4:$D$2485,$B138,'апрель 2025'!$J$4:$J$2485,Z$1)</f>
        <v>0</v>
      </c>
      <c r="AA138" s="183">
        <f>SUMIFS('апрель 2025'!$G$4:$G$2485,'апрель 2025'!$D$4:$D$2485,$B138,'апрель 2025'!$J$4:$J$2485,AA$1)</f>
        <v>0</v>
      </c>
      <c r="AB138" s="183">
        <f>SUMIFS('апрель 2025'!$G$4:$G$2485,'апрель 2025'!$D$4:$D$2485,$B138,'апрель 2025'!$J$4:$J$2485,AB$1)</f>
        <v>0</v>
      </c>
      <c r="AC138" s="183">
        <f>SUMIFS('апрель 2025'!$G$4:$G$2485,'апрель 2025'!$D$4:$D$2485,$B138,'апрель 2025'!$J$4:$J$2485,AC$1)</f>
        <v>0</v>
      </c>
      <c r="AD138" s="183">
        <f>SUMIFS('апрель 2025'!$G$4:$G$2485,'апрель 2025'!$D$4:$D$2485,$B138,'апрель 2025'!$J$4:$J$2485,AD$1)</f>
        <v>0</v>
      </c>
      <c r="AE138" s="183">
        <f>SUMIFS('апрель 2025'!$G$4:$G$2485,'апрель 2025'!$D$4:$D$2485,$B138,'апрель 2025'!$J$4:$J$2485,AE$1)</f>
        <v>0</v>
      </c>
      <c r="AF138" s="183">
        <f>SUMIFS('апрель 2025'!$G$4:$G$2485,'апрель 2025'!$D$4:$D$2485,$B138,'апрель 2025'!$J$4:$J$2485,AF$1)</f>
        <v>0</v>
      </c>
      <c r="AG138" s="183">
        <f>SUMIFS('апрель 2025'!$G$4:$G$2485,'апрель 2025'!$D$4:$D$2485,$B138,'апрель 2025'!$J$4:$J$2485,AG$1)</f>
        <v>24</v>
      </c>
      <c r="AH138" s="183">
        <f>SUMIFS('апрель 2025'!$G$4:$G$2485,'апрель 2025'!$D$4:$D$2485,$B138,'апрель 2025'!$J$4:$J$2485,AH$1)</f>
        <v>0</v>
      </c>
      <c r="AI138" s="20">
        <f t="shared" si="1"/>
        <v>24</v>
      </c>
    </row>
    <row r="139" spans="2:35" ht="15" customHeight="1" x14ac:dyDescent="0.25">
      <c r="B139" s="84" t="s">
        <v>269</v>
      </c>
      <c r="C139" s="86">
        <v>200</v>
      </c>
      <c r="D139" s="183">
        <f>SUMIFS('апрель 2025'!$G$4:$G$2485,'апрель 2025'!$D$4:$D$2485,$B139,'апрель 2025'!$J$4:$J$2485,D$1)</f>
        <v>0</v>
      </c>
      <c r="E139" s="183">
        <f>SUMIFS('апрель 2025'!$G$4:$G$2485,'апрель 2025'!$D$4:$D$2485,$B139,'апрель 2025'!$J$4:$J$2485,E$1)</f>
        <v>0</v>
      </c>
      <c r="F139" s="183">
        <f>SUMIFS('апрель 2025'!$G$4:$G$2485,'апрель 2025'!$D$4:$D$2485,$B139,'апрель 2025'!$J$4:$J$2485,F$1)</f>
        <v>0</v>
      </c>
      <c r="G139" s="183">
        <f>SUMIFS('апрель 2025'!$G$4:$G$2485,'апрель 2025'!$D$4:$D$2485,$B139,'апрель 2025'!$J$4:$J$2485,G$1)</f>
        <v>0</v>
      </c>
      <c r="H139" s="183">
        <f>SUMIFS('апрель 2025'!$G$4:$G$2485,'апрель 2025'!$D$4:$D$2485,$B139,'апрель 2025'!$J$4:$J$2485,H$1)</f>
        <v>0</v>
      </c>
      <c r="I139" s="183">
        <f>SUMIFS('апрель 2025'!$G$4:$G$2485,'апрель 2025'!$D$4:$D$2485,$B139,'апрель 2025'!$J$4:$J$2485,I$1)</f>
        <v>0</v>
      </c>
      <c r="J139" s="183">
        <f>SUMIFS('апрель 2025'!$G$4:$G$2485,'апрель 2025'!$D$4:$D$2485,$B139,'апрель 2025'!$J$4:$J$2485,J$1)</f>
        <v>0</v>
      </c>
      <c r="K139" s="183">
        <f>SUMIFS('апрель 2025'!$G$4:$G$2485,'апрель 2025'!$D$4:$D$2485,$B139,'апрель 2025'!$J$4:$J$2485,K$1)</f>
        <v>0</v>
      </c>
      <c r="L139" s="183">
        <f>SUMIFS('апрель 2025'!$G$4:$G$2485,'апрель 2025'!$D$4:$D$2485,$B139,'апрель 2025'!$J$4:$J$2485,L$1)</f>
        <v>0</v>
      </c>
      <c r="M139" s="183">
        <f>SUMIFS('апрель 2025'!$G$4:$G$2485,'апрель 2025'!$D$4:$D$2485,$B139,'апрель 2025'!$J$4:$J$2485,M$1)</f>
        <v>0</v>
      </c>
      <c r="N139" s="183">
        <f>SUMIFS('апрель 2025'!$G$4:$G$2485,'апрель 2025'!$D$4:$D$2485,$B139,'апрель 2025'!$J$4:$J$2485,N$1)</f>
        <v>0</v>
      </c>
      <c r="O139" s="183">
        <f>SUMIFS('апрель 2025'!$G$4:$G$2485,'апрель 2025'!$D$4:$D$2485,$B139,'апрель 2025'!$J$4:$J$2485,O$1)</f>
        <v>0</v>
      </c>
      <c r="P139" s="183">
        <f>SUMIFS('апрель 2025'!$G$4:$G$2485,'апрель 2025'!$D$4:$D$2485,$B139,'апрель 2025'!$J$4:$J$2485,P$1)</f>
        <v>0</v>
      </c>
      <c r="Q139" s="183">
        <f>SUMIFS('апрель 2025'!$G$4:$G$2485,'апрель 2025'!$D$4:$D$2485,$B139,'апрель 2025'!$J$4:$J$2485,Q$1)</f>
        <v>0</v>
      </c>
      <c r="R139" s="183">
        <f>SUMIFS('апрель 2025'!$G$4:$G$2485,'апрель 2025'!$D$4:$D$2485,$B139,'апрель 2025'!$J$4:$J$2485,R$1)</f>
        <v>0</v>
      </c>
      <c r="S139" s="183">
        <f>SUMIFS('апрель 2025'!$G$4:$G$2485,'апрель 2025'!$D$4:$D$2485,$B139,'апрель 2025'!$J$4:$J$2485,S$1)</f>
        <v>0</v>
      </c>
      <c r="T139" s="183">
        <f>SUMIFS('апрель 2025'!$G$4:$G$2485,'апрель 2025'!$D$4:$D$2485,$B139,'апрель 2025'!$J$4:$J$2485,T$1)</f>
        <v>0</v>
      </c>
      <c r="U139" s="183">
        <f>SUMIFS('апрель 2025'!$G$4:$G$2485,'апрель 2025'!$D$4:$D$2485,$B139,'апрель 2025'!$J$4:$J$2485,U$1)</f>
        <v>0</v>
      </c>
      <c r="V139" s="183">
        <f>SUMIFS('апрель 2025'!$G$4:$G$2485,'апрель 2025'!$D$4:$D$2485,$B139,'апрель 2025'!$J$4:$J$2485,V$1)</f>
        <v>0</v>
      </c>
      <c r="W139" s="183">
        <f>SUMIFS('апрель 2025'!$G$4:$G$2485,'апрель 2025'!$D$4:$D$2485,$B139,'апрель 2025'!$J$4:$J$2485,W$1)</f>
        <v>0</v>
      </c>
      <c r="X139" s="183">
        <f>SUMIFS('апрель 2025'!$G$4:$G$2485,'апрель 2025'!$D$4:$D$2485,$B139,'апрель 2025'!$J$4:$J$2485,X$1)</f>
        <v>0</v>
      </c>
      <c r="Y139" s="183">
        <f>SUMIFS('апрель 2025'!$G$4:$G$2485,'апрель 2025'!$D$4:$D$2485,$B139,'апрель 2025'!$J$4:$J$2485,Y$1)</f>
        <v>0</v>
      </c>
      <c r="Z139" s="183">
        <f>SUMIFS('апрель 2025'!$G$4:$G$2485,'апрель 2025'!$D$4:$D$2485,$B139,'апрель 2025'!$J$4:$J$2485,Z$1)</f>
        <v>0</v>
      </c>
      <c r="AA139" s="183">
        <f>SUMIFS('апрель 2025'!$G$4:$G$2485,'апрель 2025'!$D$4:$D$2485,$B139,'апрель 2025'!$J$4:$J$2485,AA$1)</f>
        <v>0</v>
      </c>
      <c r="AB139" s="183">
        <f>SUMIFS('апрель 2025'!$G$4:$G$2485,'апрель 2025'!$D$4:$D$2485,$B139,'апрель 2025'!$J$4:$J$2485,AB$1)</f>
        <v>0</v>
      </c>
      <c r="AC139" s="183">
        <f>SUMIFS('апрель 2025'!$G$4:$G$2485,'апрель 2025'!$D$4:$D$2485,$B139,'апрель 2025'!$J$4:$J$2485,AC$1)</f>
        <v>0</v>
      </c>
      <c r="AD139" s="183">
        <f>SUMIFS('апрель 2025'!$G$4:$G$2485,'апрель 2025'!$D$4:$D$2485,$B139,'апрель 2025'!$J$4:$J$2485,AD$1)</f>
        <v>0</v>
      </c>
      <c r="AE139" s="183">
        <f>SUMIFS('апрель 2025'!$G$4:$G$2485,'апрель 2025'!$D$4:$D$2485,$B139,'апрель 2025'!$J$4:$J$2485,AE$1)</f>
        <v>0</v>
      </c>
      <c r="AF139" s="183">
        <f>SUMIFS('апрель 2025'!$G$4:$G$2485,'апрель 2025'!$D$4:$D$2485,$B139,'апрель 2025'!$J$4:$J$2485,AF$1)</f>
        <v>0</v>
      </c>
      <c r="AG139" s="183">
        <f>SUMIFS('апрель 2025'!$G$4:$G$2485,'апрель 2025'!$D$4:$D$2485,$B139,'апрель 2025'!$J$4:$J$2485,AG$1)</f>
        <v>0</v>
      </c>
      <c r="AH139" s="183">
        <f>SUMIFS('апрель 2025'!$G$4:$G$2485,'апрель 2025'!$D$4:$D$2485,$B139,'апрель 2025'!$J$4:$J$2485,AH$1)</f>
        <v>0</v>
      </c>
      <c r="AI139" s="20">
        <f t="shared" si="1"/>
        <v>0</v>
      </c>
    </row>
    <row r="140" spans="2:35" ht="15" customHeight="1" x14ac:dyDescent="0.25">
      <c r="B140" s="84" t="s">
        <v>279</v>
      </c>
      <c r="C140" s="86">
        <v>200</v>
      </c>
      <c r="D140" s="183">
        <f>SUMIFS('апрель 2025'!$G$4:$G$2485,'апрель 2025'!$D$4:$D$2485,$B140,'апрель 2025'!$J$4:$J$2485,D$1)</f>
        <v>0</v>
      </c>
      <c r="E140" s="183">
        <f>SUMIFS('апрель 2025'!$G$4:$G$2485,'апрель 2025'!$D$4:$D$2485,$B140,'апрель 2025'!$J$4:$J$2485,E$1)</f>
        <v>0</v>
      </c>
      <c r="F140" s="183">
        <f>SUMIFS('апрель 2025'!$G$4:$G$2485,'апрель 2025'!$D$4:$D$2485,$B140,'апрель 2025'!$J$4:$J$2485,F$1)</f>
        <v>0</v>
      </c>
      <c r="G140" s="183">
        <f>SUMIFS('апрель 2025'!$G$4:$G$2485,'апрель 2025'!$D$4:$D$2485,$B140,'апрель 2025'!$J$4:$J$2485,G$1)</f>
        <v>0</v>
      </c>
      <c r="H140" s="183">
        <f>SUMIFS('апрель 2025'!$G$4:$G$2485,'апрель 2025'!$D$4:$D$2485,$B140,'апрель 2025'!$J$4:$J$2485,H$1)</f>
        <v>0</v>
      </c>
      <c r="I140" s="183">
        <f>SUMIFS('апрель 2025'!$G$4:$G$2485,'апрель 2025'!$D$4:$D$2485,$B140,'апрель 2025'!$J$4:$J$2485,I$1)</f>
        <v>0</v>
      </c>
      <c r="J140" s="183">
        <f>SUMIFS('апрель 2025'!$G$4:$G$2485,'апрель 2025'!$D$4:$D$2485,$B140,'апрель 2025'!$J$4:$J$2485,J$1)</f>
        <v>0</v>
      </c>
      <c r="K140" s="183">
        <f>SUMIFS('апрель 2025'!$G$4:$G$2485,'апрель 2025'!$D$4:$D$2485,$B140,'апрель 2025'!$J$4:$J$2485,K$1)</f>
        <v>0</v>
      </c>
      <c r="L140" s="183">
        <f>SUMIFS('апрель 2025'!$G$4:$G$2485,'апрель 2025'!$D$4:$D$2485,$B140,'апрель 2025'!$J$4:$J$2485,L$1)</f>
        <v>0</v>
      </c>
      <c r="M140" s="183">
        <f>SUMIFS('апрель 2025'!$G$4:$G$2485,'апрель 2025'!$D$4:$D$2485,$B140,'апрель 2025'!$J$4:$J$2485,M$1)</f>
        <v>0</v>
      </c>
      <c r="N140" s="183">
        <f>SUMIFS('апрель 2025'!$G$4:$G$2485,'апрель 2025'!$D$4:$D$2485,$B140,'апрель 2025'!$J$4:$J$2485,N$1)</f>
        <v>0</v>
      </c>
      <c r="O140" s="183">
        <f>SUMIFS('апрель 2025'!$G$4:$G$2485,'апрель 2025'!$D$4:$D$2485,$B140,'апрель 2025'!$J$4:$J$2485,O$1)</f>
        <v>0</v>
      </c>
      <c r="P140" s="183">
        <f>SUMIFS('апрель 2025'!$G$4:$G$2485,'апрель 2025'!$D$4:$D$2485,$B140,'апрель 2025'!$J$4:$J$2485,P$1)</f>
        <v>0</v>
      </c>
      <c r="Q140" s="183">
        <f>SUMIFS('апрель 2025'!$G$4:$G$2485,'апрель 2025'!$D$4:$D$2485,$B140,'апрель 2025'!$J$4:$J$2485,Q$1)</f>
        <v>0</v>
      </c>
      <c r="R140" s="183">
        <f>SUMIFS('апрель 2025'!$G$4:$G$2485,'апрель 2025'!$D$4:$D$2485,$B140,'апрель 2025'!$J$4:$J$2485,R$1)</f>
        <v>0</v>
      </c>
      <c r="S140" s="183">
        <f>SUMIFS('апрель 2025'!$G$4:$G$2485,'апрель 2025'!$D$4:$D$2485,$B140,'апрель 2025'!$J$4:$J$2485,S$1)</f>
        <v>0</v>
      </c>
      <c r="T140" s="183">
        <f>SUMIFS('апрель 2025'!$G$4:$G$2485,'апрель 2025'!$D$4:$D$2485,$B140,'апрель 2025'!$J$4:$J$2485,T$1)</f>
        <v>0</v>
      </c>
      <c r="U140" s="183">
        <f>SUMIFS('апрель 2025'!$G$4:$G$2485,'апрель 2025'!$D$4:$D$2485,$B140,'апрель 2025'!$J$4:$J$2485,U$1)</f>
        <v>0</v>
      </c>
      <c r="V140" s="183">
        <f>SUMIFS('апрель 2025'!$G$4:$G$2485,'апрель 2025'!$D$4:$D$2485,$B140,'апрель 2025'!$J$4:$J$2485,V$1)</f>
        <v>0</v>
      </c>
      <c r="W140" s="183">
        <f>SUMIFS('апрель 2025'!$G$4:$G$2485,'апрель 2025'!$D$4:$D$2485,$B140,'апрель 2025'!$J$4:$J$2485,W$1)</f>
        <v>0</v>
      </c>
      <c r="X140" s="183">
        <f>SUMIFS('апрель 2025'!$G$4:$G$2485,'апрель 2025'!$D$4:$D$2485,$B140,'апрель 2025'!$J$4:$J$2485,X$1)</f>
        <v>0</v>
      </c>
      <c r="Y140" s="183">
        <f>SUMIFS('апрель 2025'!$G$4:$G$2485,'апрель 2025'!$D$4:$D$2485,$B140,'апрель 2025'!$J$4:$J$2485,Y$1)</f>
        <v>0</v>
      </c>
      <c r="Z140" s="183">
        <f>SUMIFS('апрель 2025'!$G$4:$G$2485,'апрель 2025'!$D$4:$D$2485,$B140,'апрель 2025'!$J$4:$J$2485,Z$1)</f>
        <v>0</v>
      </c>
      <c r="AA140" s="183">
        <f>SUMIFS('апрель 2025'!$G$4:$G$2485,'апрель 2025'!$D$4:$D$2485,$B140,'апрель 2025'!$J$4:$J$2485,AA$1)</f>
        <v>0</v>
      </c>
      <c r="AB140" s="183">
        <f>SUMIFS('апрель 2025'!$G$4:$G$2485,'апрель 2025'!$D$4:$D$2485,$B140,'апрель 2025'!$J$4:$J$2485,AB$1)</f>
        <v>0</v>
      </c>
      <c r="AC140" s="183">
        <f>SUMIFS('апрель 2025'!$G$4:$G$2485,'апрель 2025'!$D$4:$D$2485,$B140,'апрель 2025'!$J$4:$J$2485,AC$1)</f>
        <v>0</v>
      </c>
      <c r="AD140" s="183">
        <f>SUMIFS('апрель 2025'!$G$4:$G$2485,'апрель 2025'!$D$4:$D$2485,$B140,'апрель 2025'!$J$4:$J$2485,AD$1)</f>
        <v>0</v>
      </c>
      <c r="AE140" s="183">
        <f>SUMIFS('апрель 2025'!$G$4:$G$2485,'апрель 2025'!$D$4:$D$2485,$B140,'апрель 2025'!$J$4:$J$2485,AE$1)</f>
        <v>0</v>
      </c>
      <c r="AF140" s="183">
        <f>SUMIFS('апрель 2025'!$G$4:$G$2485,'апрель 2025'!$D$4:$D$2485,$B140,'апрель 2025'!$J$4:$J$2485,AF$1)</f>
        <v>0</v>
      </c>
      <c r="AG140" s="183">
        <f>SUMIFS('апрель 2025'!$G$4:$G$2485,'апрель 2025'!$D$4:$D$2485,$B140,'апрель 2025'!$J$4:$J$2485,AG$1)</f>
        <v>0</v>
      </c>
      <c r="AH140" s="183">
        <f>SUMIFS('апрель 2025'!$G$4:$G$2485,'апрель 2025'!$D$4:$D$2485,$B140,'апрель 2025'!$J$4:$J$2485,AH$1)</f>
        <v>0</v>
      </c>
      <c r="AI140" s="20">
        <f t="shared" si="1"/>
        <v>0</v>
      </c>
    </row>
    <row r="141" spans="2:35" ht="15" customHeight="1" x14ac:dyDescent="0.25">
      <c r="B141" s="84" t="s">
        <v>197</v>
      </c>
      <c r="C141" s="86">
        <v>180</v>
      </c>
      <c r="D141" s="183">
        <f>SUMIFS('апрель 2025'!$G$4:$G$2485,'апрель 2025'!$D$4:$D$2485,$B141,'апрель 2025'!$J$4:$J$2485,D$1)</f>
        <v>0</v>
      </c>
      <c r="E141" s="183">
        <f>SUMIFS('апрель 2025'!$G$4:$G$2485,'апрель 2025'!$D$4:$D$2485,$B141,'апрель 2025'!$J$4:$J$2485,E$1)</f>
        <v>0</v>
      </c>
      <c r="F141" s="183">
        <f>SUMIFS('апрель 2025'!$G$4:$G$2485,'апрель 2025'!$D$4:$D$2485,$B141,'апрель 2025'!$J$4:$J$2485,F$1)</f>
        <v>0</v>
      </c>
      <c r="G141" s="183">
        <f>SUMIFS('апрель 2025'!$G$4:$G$2485,'апрель 2025'!$D$4:$D$2485,$B141,'апрель 2025'!$J$4:$J$2485,G$1)</f>
        <v>0</v>
      </c>
      <c r="H141" s="183">
        <f>SUMIFS('апрель 2025'!$G$4:$G$2485,'апрель 2025'!$D$4:$D$2485,$B141,'апрель 2025'!$J$4:$J$2485,H$1)</f>
        <v>0</v>
      </c>
      <c r="I141" s="183">
        <f>SUMIFS('апрель 2025'!$G$4:$G$2485,'апрель 2025'!$D$4:$D$2485,$B141,'апрель 2025'!$J$4:$J$2485,I$1)</f>
        <v>0</v>
      </c>
      <c r="J141" s="183">
        <f>SUMIFS('апрель 2025'!$G$4:$G$2485,'апрель 2025'!$D$4:$D$2485,$B141,'апрель 2025'!$J$4:$J$2485,J$1)</f>
        <v>0</v>
      </c>
      <c r="K141" s="183">
        <f>SUMIFS('апрель 2025'!$G$4:$G$2485,'апрель 2025'!$D$4:$D$2485,$B141,'апрель 2025'!$J$4:$J$2485,K$1)</f>
        <v>0</v>
      </c>
      <c r="L141" s="183">
        <f>SUMIFS('апрель 2025'!$G$4:$G$2485,'апрель 2025'!$D$4:$D$2485,$B141,'апрель 2025'!$J$4:$J$2485,L$1)</f>
        <v>0</v>
      </c>
      <c r="M141" s="183">
        <f>SUMIFS('апрель 2025'!$G$4:$G$2485,'апрель 2025'!$D$4:$D$2485,$B141,'апрель 2025'!$J$4:$J$2485,M$1)</f>
        <v>0</v>
      </c>
      <c r="N141" s="183">
        <f>SUMIFS('апрель 2025'!$G$4:$G$2485,'апрель 2025'!$D$4:$D$2485,$B141,'апрель 2025'!$J$4:$J$2485,N$1)</f>
        <v>0</v>
      </c>
      <c r="O141" s="183">
        <f>SUMIFS('апрель 2025'!$G$4:$G$2485,'апрель 2025'!$D$4:$D$2485,$B141,'апрель 2025'!$J$4:$J$2485,O$1)</f>
        <v>0</v>
      </c>
      <c r="P141" s="183">
        <f>SUMIFS('апрель 2025'!$G$4:$G$2485,'апрель 2025'!$D$4:$D$2485,$B141,'апрель 2025'!$J$4:$J$2485,P$1)</f>
        <v>0</v>
      </c>
      <c r="Q141" s="183">
        <f>SUMIFS('апрель 2025'!$G$4:$G$2485,'апрель 2025'!$D$4:$D$2485,$B141,'апрель 2025'!$J$4:$J$2485,Q$1)</f>
        <v>0</v>
      </c>
      <c r="R141" s="183">
        <f>SUMIFS('апрель 2025'!$G$4:$G$2485,'апрель 2025'!$D$4:$D$2485,$B141,'апрель 2025'!$J$4:$J$2485,R$1)</f>
        <v>0</v>
      </c>
      <c r="S141" s="183">
        <f>SUMIFS('апрель 2025'!$G$4:$G$2485,'апрель 2025'!$D$4:$D$2485,$B141,'апрель 2025'!$J$4:$J$2485,S$1)</f>
        <v>0</v>
      </c>
      <c r="T141" s="183">
        <f>SUMIFS('апрель 2025'!$G$4:$G$2485,'апрель 2025'!$D$4:$D$2485,$B141,'апрель 2025'!$J$4:$J$2485,T$1)</f>
        <v>0</v>
      </c>
      <c r="U141" s="183">
        <f>SUMIFS('апрель 2025'!$G$4:$G$2485,'апрель 2025'!$D$4:$D$2485,$B141,'апрель 2025'!$J$4:$J$2485,U$1)</f>
        <v>0</v>
      </c>
      <c r="V141" s="183">
        <f>SUMIFS('апрель 2025'!$G$4:$G$2485,'апрель 2025'!$D$4:$D$2485,$B141,'апрель 2025'!$J$4:$J$2485,V$1)</f>
        <v>0</v>
      </c>
      <c r="W141" s="183">
        <f>SUMIFS('апрель 2025'!$G$4:$G$2485,'апрель 2025'!$D$4:$D$2485,$B141,'апрель 2025'!$J$4:$J$2485,W$1)</f>
        <v>0</v>
      </c>
      <c r="X141" s="183">
        <f>SUMIFS('апрель 2025'!$G$4:$G$2485,'апрель 2025'!$D$4:$D$2485,$B141,'апрель 2025'!$J$4:$J$2485,X$1)</f>
        <v>0</v>
      </c>
      <c r="Y141" s="183">
        <f>SUMIFS('апрель 2025'!$G$4:$G$2485,'апрель 2025'!$D$4:$D$2485,$B141,'апрель 2025'!$J$4:$J$2485,Y$1)</f>
        <v>0</v>
      </c>
      <c r="Z141" s="183">
        <f>SUMIFS('апрель 2025'!$G$4:$G$2485,'апрель 2025'!$D$4:$D$2485,$B141,'апрель 2025'!$J$4:$J$2485,Z$1)</f>
        <v>0</v>
      </c>
      <c r="AA141" s="183">
        <f>SUMIFS('апрель 2025'!$G$4:$G$2485,'апрель 2025'!$D$4:$D$2485,$B141,'апрель 2025'!$J$4:$J$2485,AA$1)</f>
        <v>0</v>
      </c>
      <c r="AB141" s="183">
        <f>SUMIFS('апрель 2025'!$G$4:$G$2485,'апрель 2025'!$D$4:$D$2485,$B141,'апрель 2025'!$J$4:$J$2485,AB$1)</f>
        <v>0</v>
      </c>
      <c r="AC141" s="183">
        <f>SUMIFS('апрель 2025'!$G$4:$G$2485,'апрель 2025'!$D$4:$D$2485,$B141,'апрель 2025'!$J$4:$J$2485,AC$1)</f>
        <v>0</v>
      </c>
      <c r="AD141" s="183">
        <f>SUMIFS('апрель 2025'!$G$4:$G$2485,'апрель 2025'!$D$4:$D$2485,$B141,'апрель 2025'!$J$4:$J$2485,AD$1)</f>
        <v>0</v>
      </c>
      <c r="AE141" s="183">
        <f>SUMIFS('апрель 2025'!$G$4:$G$2485,'апрель 2025'!$D$4:$D$2485,$B141,'апрель 2025'!$J$4:$J$2485,AE$1)</f>
        <v>0</v>
      </c>
      <c r="AF141" s="183">
        <f>SUMIFS('апрель 2025'!$G$4:$G$2485,'апрель 2025'!$D$4:$D$2485,$B141,'апрель 2025'!$J$4:$J$2485,AF$1)</f>
        <v>0</v>
      </c>
      <c r="AG141" s="183">
        <f>SUMIFS('апрель 2025'!$G$4:$G$2485,'апрель 2025'!$D$4:$D$2485,$B141,'апрель 2025'!$J$4:$J$2485,AG$1)</f>
        <v>0</v>
      </c>
      <c r="AH141" s="183">
        <f>SUMIFS('апрель 2025'!$G$4:$G$2485,'апрель 2025'!$D$4:$D$2485,$B141,'апрель 2025'!$J$4:$J$2485,AH$1)</f>
        <v>0</v>
      </c>
      <c r="AI141" s="20">
        <f t="shared" si="1"/>
        <v>0</v>
      </c>
    </row>
    <row r="142" spans="2:35" ht="15" customHeight="1" x14ac:dyDescent="0.25">
      <c r="B142" s="88" t="s">
        <v>293</v>
      </c>
      <c r="C142" s="86">
        <v>180</v>
      </c>
      <c r="D142" s="183">
        <f>SUMIFS('апрель 2025'!$G$4:$G$2485,'апрель 2025'!$D$4:$D$2485,$B142,'апрель 2025'!$J$4:$J$2485,D$1)</f>
        <v>0</v>
      </c>
      <c r="E142" s="183">
        <f>SUMIFS('апрель 2025'!$G$4:$G$2485,'апрель 2025'!$D$4:$D$2485,$B142,'апрель 2025'!$J$4:$J$2485,E$1)</f>
        <v>0</v>
      </c>
      <c r="F142" s="183">
        <f>SUMIFS('апрель 2025'!$G$4:$G$2485,'апрель 2025'!$D$4:$D$2485,$B142,'апрель 2025'!$J$4:$J$2485,F$1)</f>
        <v>0</v>
      </c>
      <c r="G142" s="183">
        <f>SUMIFS('апрель 2025'!$G$4:$G$2485,'апрель 2025'!$D$4:$D$2485,$B142,'апрель 2025'!$J$4:$J$2485,G$1)</f>
        <v>0</v>
      </c>
      <c r="H142" s="183">
        <f>SUMIFS('апрель 2025'!$G$4:$G$2485,'апрель 2025'!$D$4:$D$2485,$B142,'апрель 2025'!$J$4:$J$2485,H$1)</f>
        <v>0</v>
      </c>
      <c r="I142" s="183">
        <f>SUMIFS('апрель 2025'!$G$4:$G$2485,'апрель 2025'!$D$4:$D$2485,$B142,'апрель 2025'!$J$4:$J$2485,I$1)</f>
        <v>0</v>
      </c>
      <c r="J142" s="183">
        <f>SUMIFS('апрель 2025'!$G$4:$G$2485,'апрель 2025'!$D$4:$D$2485,$B142,'апрель 2025'!$J$4:$J$2485,J$1)</f>
        <v>0</v>
      </c>
      <c r="K142" s="183">
        <f>SUMIFS('апрель 2025'!$G$4:$G$2485,'апрель 2025'!$D$4:$D$2485,$B142,'апрель 2025'!$J$4:$J$2485,K$1)</f>
        <v>0</v>
      </c>
      <c r="L142" s="183">
        <f>SUMIFS('апрель 2025'!$G$4:$G$2485,'апрель 2025'!$D$4:$D$2485,$B142,'апрель 2025'!$J$4:$J$2485,L$1)</f>
        <v>0</v>
      </c>
      <c r="M142" s="183">
        <f>SUMIFS('апрель 2025'!$G$4:$G$2485,'апрель 2025'!$D$4:$D$2485,$B142,'апрель 2025'!$J$4:$J$2485,M$1)</f>
        <v>0</v>
      </c>
      <c r="N142" s="183">
        <f>SUMIFS('апрель 2025'!$G$4:$G$2485,'апрель 2025'!$D$4:$D$2485,$B142,'апрель 2025'!$J$4:$J$2485,N$1)</f>
        <v>0</v>
      </c>
      <c r="O142" s="183">
        <f>SUMIFS('апрель 2025'!$G$4:$G$2485,'апрель 2025'!$D$4:$D$2485,$B142,'апрель 2025'!$J$4:$J$2485,O$1)</f>
        <v>0</v>
      </c>
      <c r="P142" s="183">
        <f>SUMIFS('апрель 2025'!$G$4:$G$2485,'апрель 2025'!$D$4:$D$2485,$B142,'апрель 2025'!$J$4:$J$2485,P$1)</f>
        <v>0</v>
      </c>
      <c r="Q142" s="183">
        <f>SUMIFS('апрель 2025'!$G$4:$G$2485,'апрель 2025'!$D$4:$D$2485,$B142,'апрель 2025'!$J$4:$J$2485,Q$1)</f>
        <v>0</v>
      </c>
      <c r="R142" s="183">
        <f>SUMIFS('апрель 2025'!$G$4:$G$2485,'апрель 2025'!$D$4:$D$2485,$B142,'апрель 2025'!$J$4:$J$2485,R$1)</f>
        <v>0</v>
      </c>
      <c r="S142" s="183">
        <f>SUMIFS('апрель 2025'!$G$4:$G$2485,'апрель 2025'!$D$4:$D$2485,$B142,'апрель 2025'!$J$4:$J$2485,S$1)</f>
        <v>0</v>
      </c>
      <c r="T142" s="183">
        <f>SUMIFS('апрель 2025'!$G$4:$G$2485,'апрель 2025'!$D$4:$D$2485,$B142,'апрель 2025'!$J$4:$J$2485,T$1)</f>
        <v>0</v>
      </c>
      <c r="U142" s="183">
        <f>SUMIFS('апрель 2025'!$G$4:$G$2485,'апрель 2025'!$D$4:$D$2485,$B142,'апрель 2025'!$J$4:$J$2485,U$1)</f>
        <v>0</v>
      </c>
      <c r="V142" s="183">
        <f>SUMIFS('апрель 2025'!$G$4:$G$2485,'апрель 2025'!$D$4:$D$2485,$B142,'апрель 2025'!$J$4:$J$2485,V$1)</f>
        <v>0</v>
      </c>
      <c r="W142" s="183">
        <f>SUMIFS('апрель 2025'!$G$4:$G$2485,'апрель 2025'!$D$4:$D$2485,$B142,'апрель 2025'!$J$4:$J$2485,W$1)</f>
        <v>0</v>
      </c>
      <c r="X142" s="183">
        <f>SUMIFS('апрель 2025'!$G$4:$G$2485,'апрель 2025'!$D$4:$D$2485,$B142,'апрель 2025'!$J$4:$J$2485,X$1)</f>
        <v>0</v>
      </c>
      <c r="Y142" s="183">
        <f>SUMIFS('апрель 2025'!$G$4:$G$2485,'апрель 2025'!$D$4:$D$2485,$B142,'апрель 2025'!$J$4:$J$2485,Y$1)</f>
        <v>0</v>
      </c>
      <c r="Z142" s="183">
        <f>SUMIFS('апрель 2025'!$G$4:$G$2485,'апрель 2025'!$D$4:$D$2485,$B142,'апрель 2025'!$J$4:$J$2485,Z$1)</f>
        <v>0</v>
      </c>
      <c r="AA142" s="183">
        <f>SUMIFS('апрель 2025'!$G$4:$G$2485,'апрель 2025'!$D$4:$D$2485,$B142,'апрель 2025'!$J$4:$J$2485,AA$1)</f>
        <v>0</v>
      </c>
      <c r="AB142" s="183">
        <f>SUMIFS('апрель 2025'!$G$4:$G$2485,'апрель 2025'!$D$4:$D$2485,$B142,'апрель 2025'!$J$4:$J$2485,AB$1)</f>
        <v>0</v>
      </c>
      <c r="AC142" s="183">
        <f>SUMIFS('апрель 2025'!$G$4:$G$2485,'апрель 2025'!$D$4:$D$2485,$B142,'апрель 2025'!$J$4:$J$2485,AC$1)</f>
        <v>0</v>
      </c>
      <c r="AD142" s="183">
        <f>SUMIFS('апрель 2025'!$G$4:$G$2485,'апрель 2025'!$D$4:$D$2485,$B142,'апрель 2025'!$J$4:$J$2485,AD$1)</f>
        <v>0</v>
      </c>
      <c r="AE142" s="183">
        <f>SUMIFS('апрель 2025'!$G$4:$G$2485,'апрель 2025'!$D$4:$D$2485,$B142,'апрель 2025'!$J$4:$J$2485,AE$1)</f>
        <v>0</v>
      </c>
      <c r="AF142" s="183">
        <f>SUMIFS('апрель 2025'!$G$4:$G$2485,'апрель 2025'!$D$4:$D$2485,$B142,'апрель 2025'!$J$4:$J$2485,AF$1)</f>
        <v>0</v>
      </c>
      <c r="AG142" s="183">
        <f>SUMIFS('апрель 2025'!$G$4:$G$2485,'апрель 2025'!$D$4:$D$2485,$B142,'апрель 2025'!$J$4:$J$2485,AG$1)</f>
        <v>0</v>
      </c>
      <c r="AH142" s="183">
        <f>SUMIFS('апрель 2025'!$G$4:$G$2485,'апрель 2025'!$D$4:$D$2485,$B142,'апрель 2025'!$J$4:$J$2485,AH$1)</f>
        <v>0</v>
      </c>
      <c r="AI142" s="20">
        <f t="shared" si="1"/>
        <v>0</v>
      </c>
    </row>
    <row r="143" spans="2:35" ht="15" customHeight="1" x14ac:dyDescent="0.25">
      <c r="B143" s="88" t="s">
        <v>181</v>
      </c>
      <c r="C143" s="86">
        <v>190</v>
      </c>
      <c r="D143" s="183">
        <f>SUMIFS('апрель 2025'!$G$4:$G$2485,'апрель 2025'!$D$4:$D$2485,$B143,'апрель 2025'!$J$4:$J$2485,D$1)</f>
        <v>0</v>
      </c>
      <c r="E143" s="183">
        <f>SUMIFS('апрель 2025'!$G$4:$G$2485,'апрель 2025'!$D$4:$D$2485,$B143,'апрель 2025'!$J$4:$J$2485,E$1)</f>
        <v>0</v>
      </c>
      <c r="F143" s="183">
        <f>SUMIFS('апрель 2025'!$G$4:$G$2485,'апрель 2025'!$D$4:$D$2485,$B143,'апрель 2025'!$J$4:$J$2485,F$1)</f>
        <v>0</v>
      </c>
      <c r="G143" s="183">
        <f>SUMIFS('апрель 2025'!$G$4:$G$2485,'апрель 2025'!$D$4:$D$2485,$B143,'апрель 2025'!$J$4:$J$2485,G$1)</f>
        <v>0</v>
      </c>
      <c r="H143" s="183">
        <f>SUMIFS('апрель 2025'!$G$4:$G$2485,'апрель 2025'!$D$4:$D$2485,$B143,'апрель 2025'!$J$4:$J$2485,H$1)</f>
        <v>0</v>
      </c>
      <c r="I143" s="183">
        <f>SUMIFS('апрель 2025'!$G$4:$G$2485,'апрель 2025'!$D$4:$D$2485,$B143,'апрель 2025'!$J$4:$J$2485,I$1)</f>
        <v>0</v>
      </c>
      <c r="J143" s="183">
        <f>SUMIFS('апрель 2025'!$G$4:$G$2485,'апрель 2025'!$D$4:$D$2485,$B143,'апрель 2025'!$J$4:$J$2485,J$1)</f>
        <v>0</v>
      </c>
      <c r="K143" s="183">
        <f>SUMIFS('апрель 2025'!$G$4:$G$2485,'апрель 2025'!$D$4:$D$2485,$B143,'апрель 2025'!$J$4:$J$2485,K$1)</f>
        <v>0</v>
      </c>
      <c r="L143" s="183">
        <f>SUMIFS('апрель 2025'!$G$4:$G$2485,'апрель 2025'!$D$4:$D$2485,$B143,'апрель 2025'!$J$4:$J$2485,L$1)</f>
        <v>0</v>
      </c>
      <c r="M143" s="183">
        <f>SUMIFS('апрель 2025'!$G$4:$G$2485,'апрель 2025'!$D$4:$D$2485,$B143,'апрель 2025'!$J$4:$J$2485,M$1)</f>
        <v>0</v>
      </c>
      <c r="N143" s="183">
        <f>SUMIFS('апрель 2025'!$G$4:$G$2485,'апрель 2025'!$D$4:$D$2485,$B143,'апрель 2025'!$J$4:$J$2485,N$1)</f>
        <v>0</v>
      </c>
      <c r="O143" s="183">
        <f>SUMIFS('апрель 2025'!$G$4:$G$2485,'апрель 2025'!$D$4:$D$2485,$B143,'апрель 2025'!$J$4:$J$2485,O$1)</f>
        <v>0</v>
      </c>
      <c r="P143" s="183">
        <f>SUMIFS('апрель 2025'!$G$4:$G$2485,'апрель 2025'!$D$4:$D$2485,$B143,'апрель 2025'!$J$4:$J$2485,P$1)</f>
        <v>0</v>
      </c>
      <c r="Q143" s="183">
        <f>SUMIFS('апрель 2025'!$G$4:$G$2485,'апрель 2025'!$D$4:$D$2485,$B143,'апрель 2025'!$J$4:$J$2485,Q$1)</f>
        <v>0</v>
      </c>
      <c r="R143" s="183">
        <f>SUMIFS('апрель 2025'!$G$4:$G$2485,'апрель 2025'!$D$4:$D$2485,$B143,'апрель 2025'!$J$4:$J$2485,R$1)</f>
        <v>0</v>
      </c>
      <c r="S143" s="183">
        <f>SUMIFS('апрель 2025'!$G$4:$G$2485,'апрель 2025'!$D$4:$D$2485,$B143,'апрель 2025'!$J$4:$J$2485,S$1)</f>
        <v>0</v>
      </c>
      <c r="T143" s="183">
        <f>SUMIFS('апрель 2025'!$G$4:$G$2485,'апрель 2025'!$D$4:$D$2485,$B143,'апрель 2025'!$J$4:$J$2485,T$1)</f>
        <v>0</v>
      </c>
      <c r="U143" s="183">
        <f>SUMIFS('апрель 2025'!$G$4:$G$2485,'апрель 2025'!$D$4:$D$2485,$B143,'апрель 2025'!$J$4:$J$2485,U$1)</f>
        <v>0</v>
      </c>
      <c r="V143" s="183">
        <f>SUMIFS('апрель 2025'!$G$4:$G$2485,'апрель 2025'!$D$4:$D$2485,$B143,'апрель 2025'!$J$4:$J$2485,V$1)</f>
        <v>0</v>
      </c>
      <c r="W143" s="183">
        <f>SUMIFS('апрель 2025'!$G$4:$G$2485,'апрель 2025'!$D$4:$D$2485,$B143,'апрель 2025'!$J$4:$J$2485,W$1)</f>
        <v>0</v>
      </c>
      <c r="X143" s="183">
        <f>SUMIFS('апрель 2025'!$G$4:$G$2485,'апрель 2025'!$D$4:$D$2485,$B143,'апрель 2025'!$J$4:$J$2485,X$1)</f>
        <v>0</v>
      </c>
      <c r="Y143" s="183">
        <f>SUMIFS('апрель 2025'!$G$4:$G$2485,'апрель 2025'!$D$4:$D$2485,$B143,'апрель 2025'!$J$4:$J$2485,Y$1)</f>
        <v>0</v>
      </c>
      <c r="Z143" s="183">
        <f>SUMIFS('апрель 2025'!$G$4:$G$2485,'апрель 2025'!$D$4:$D$2485,$B143,'апрель 2025'!$J$4:$J$2485,Z$1)</f>
        <v>0</v>
      </c>
      <c r="AA143" s="183">
        <f>SUMIFS('апрель 2025'!$G$4:$G$2485,'апрель 2025'!$D$4:$D$2485,$B143,'апрель 2025'!$J$4:$J$2485,AA$1)</f>
        <v>0</v>
      </c>
      <c r="AB143" s="183">
        <f>SUMIFS('апрель 2025'!$G$4:$G$2485,'апрель 2025'!$D$4:$D$2485,$B143,'апрель 2025'!$J$4:$J$2485,AB$1)</f>
        <v>0</v>
      </c>
      <c r="AC143" s="183">
        <f>SUMIFS('апрель 2025'!$G$4:$G$2485,'апрель 2025'!$D$4:$D$2485,$B143,'апрель 2025'!$J$4:$J$2485,AC$1)</f>
        <v>0</v>
      </c>
      <c r="AD143" s="183">
        <f>SUMIFS('апрель 2025'!$G$4:$G$2485,'апрель 2025'!$D$4:$D$2485,$B143,'апрель 2025'!$J$4:$J$2485,AD$1)</f>
        <v>0</v>
      </c>
      <c r="AE143" s="183">
        <f>SUMIFS('апрель 2025'!$G$4:$G$2485,'апрель 2025'!$D$4:$D$2485,$B143,'апрель 2025'!$J$4:$J$2485,AE$1)</f>
        <v>0</v>
      </c>
      <c r="AF143" s="183">
        <f>SUMIFS('апрель 2025'!$G$4:$G$2485,'апрель 2025'!$D$4:$D$2485,$B143,'апрель 2025'!$J$4:$J$2485,AF$1)</f>
        <v>0</v>
      </c>
      <c r="AG143" s="183">
        <f>SUMIFS('апрель 2025'!$G$4:$G$2485,'апрель 2025'!$D$4:$D$2485,$B143,'апрель 2025'!$J$4:$J$2485,AG$1)</f>
        <v>0</v>
      </c>
      <c r="AH143" s="183">
        <f>SUMIFS('апрель 2025'!$G$4:$G$2485,'апрель 2025'!$D$4:$D$2485,$B143,'апрель 2025'!$J$4:$J$2485,AH$1)</f>
        <v>0</v>
      </c>
      <c r="AI143" s="20">
        <f t="shared" si="1"/>
        <v>0</v>
      </c>
    </row>
    <row r="144" spans="2:35" ht="15" customHeight="1" x14ac:dyDescent="0.25">
      <c r="B144" s="88" t="s">
        <v>270</v>
      </c>
      <c r="C144" s="86">
        <v>190</v>
      </c>
      <c r="D144" s="183">
        <f>SUMIFS('апрель 2025'!$G$4:$G$2485,'апрель 2025'!$D$4:$D$2485,$B144,'апрель 2025'!$J$4:$J$2485,D$1)</f>
        <v>0</v>
      </c>
      <c r="E144" s="183">
        <f>SUMIFS('апрель 2025'!$G$4:$G$2485,'апрель 2025'!$D$4:$D$2485,$B144,'апрель 2025'!$J$4:$J$2485,E$1)</f>
        <v>0</v>
      </c>
      <c r="F144" s="183">
        <f>SUMIFS('апрель 2025'!$G$4:$G$2485,'апрель 2025'!$D$4:$D$2485,$B144,'апрель 2025'!$J$4:$J$2485,F$1)</f>
        <v>0</v>
      </c>
      <c r="G144" s="183">
        <f>SUMIFS('апрель 2025'!$G$4:$G$2485,'апрель 2025'!$D$4:$D$2485,$B144,'апрель 2025'!$J$4:$J$2485,G$1)</f>
        <v>0</v>
      </c>
      <c r="H144" s="183">
        <f>SUMIFS('апрель 2025'!$G$4:$G$2485,'апрель 2025'!$D$4:$D$2485,$B144,'апрель 2025'!$J$4:$J$2485,H$1)</f>
        <v>0</v>
      </c>
      <c r="I144" s="183">
        <f>SUMIFS('апрель 2025'!$G$4:$G$2485,'апрель 2025'!$D$4:$D$2485,$B144,'апрель 2025'!$J$4:$J$2485,I$1)</f>
        <v>0</v>
      </c>
      <c r="J144" s="183">
        <f>SUMIFS('апрель 2025'!$G$4:$G$2485,'апрель 2025'!$D$4:$D$2485,$B144,'апрель 2025'!$J$4:$J$2485,J$1)</f>
        <v>0</v>
      </c>
      <c r="K144" s="183">
        <f>SUMIFS('апрель 2025'!$G$4:$G$2485,'апрель 2025'!$D$4:$D$2485,$B144,'апрель 2025'!$J$4:$J$2485,K$1)</f>
        <v>0</v>
      </c>
      <c r="L144" s="183">
        <f>SUMIFS('апрель 2025'!$G$4:$G$2485,'апрель 2025'!$D$4:$D$2485,$B144,'апрель 2025'!$J$4:$J$2485,L$1)</f>
        <v>0</v>
      </c>
      <c r="M144" s="183">
        <f>SUMIFS('апрель 2025'!$G$4:$G$2485,'апрель 2025'!$D$4:$D$2485,$B144,'апрель 2025'!$J$4:$J$2485,M$1)</f>
        <v>0</v>
      </c>
      <c r="N144" s="183">
        <f>SUMIFS('апрель 2025'!$G$4:$G$2485,'апрель 2025'!$D$4:$D$2485,$B144,'апрель 2025'!$J$4:$J$2485,N$1)</f>
        <v>0</v>
      </c>
      <c r="O144" s="183">
        <f>SUMIFS('апрель 2025'!$G$4:$G$2485,'апрель 2025'!$D$4:$D$2485,$B144,'апрель 2025'!$J$4:$J$2485,O$1)</f>
        <v>0</v>
      </c>
      <c r="P144" s="183">
        <f>SUMIFS('апрель 2025'!$G$4:$G$2485,'апрель 2025'!$D$4:$D$2485,$B144,'апрель 2025'!$J$4:$J$2485,P$1)</f>
        <v>0</v>
      </c>
      <c r="Q144" s="183">
        <f>SUMIFS('апрель 2025'!$G$4:$G$2485,'апрель 2025'!$D$4:$D$2485,$B144,'апрель 2025'!$J$4:$J$2485,Q$1)</f>
        <v>0</v>
      </c>
      <c r="R144" s="183">
        <f>SUMIFS('апрель 2025'!$G$4:$G$2485,'апрель 2025'!$D$4:$D$2485,$B144,'апрель 2025'!$J$4:$J$2485,R$1)</f>
        <v>0</v>
      </c>
      <c r="S144" s="183">
        <f>SUMIFS('апрель 2025'!$G$4:$G$2485,'апрель 2025'!$D$4:$D$2485,$B144,'апрель 2025'!$J$4:$J$2485,S$1)</f>
        <v>0</v>
      </c>
      <c r="T144" s="183">
        <f>SUMIFS('апрель 2025'!$G$4:$G$2485,'апрель 2025'!$D$4:$D$2485,$B144,'апрель 2025'!$J$4:$J$2485,T$1)</f>
        <v>0</v>
      </c>
      <c r="U144" s="183">
        <f>SUMIFS('апрель 2025'!$G$4:$G$2485,'апрель 2025'!$D$4:$D$2485,$B144,'апрель 2025'!$J$4:$J$2485,U$1)</f>
        <v>0</v>
      </c>
      <c r="V144" s="183">
        <f>SUMIFS('апрель 2025'!$G$4:$G$2485,'апрель 2025'!$D$4:$D$2485,$B144,'апрель 2025'!$J$4:$J$2485,V$1)</f>
        <v>0</v>
      </c>
      <c r="W144" s="183">
        <f>SUMIFS('апрель 2025'!$G$4:$G$2485,'апрель 2025'!$D$4:$D$2485,$B144,'апрель 2025'!$J$4:$J$2485,W$1)</f>
        <v>0</v>
      </c>
      <c r="X144" s="183">
        <f>SUMIFS('апрель 2025'!$G$4:$G$2485,'апрель 2025'!$D$4:$D$2485,$B144,'апрель 2025'!$J$4:$J$2485,X$1)</f>
        <v>0</v>
      </c>
      <c r="Y144" s="183">
        <f>SUMIFS('апрель 2025'!$G$4:$G$2485,'апрель 2025'!$D$4:$D$2485,$B144,'апрель 2025'!$J$4:$J$2485,Y$1)</f>
        <v>0</v>
      </c>
      <c r="Z144" s="183">
        <f>SUMIFS('апрель 2025'!$G$4:$G$2485,'апрель 2025'!$D$4:$D$2485,$B144,'апрель 2025'!$J$4:$J$2485,Z$1)</f>
        <v>0</v>
      </c>
      <c r="AA144" s="183">
        <f>SUMIFS('апрель 2025'!$G$4:$G$2485,'апрель 2025'!$D$4:$D$2485,$B144,'апрель 2025'!$J$4:$J$2485,AA$1)</f>
        <v>0</v>
      </c>
      <c r="AB144" s="183">
        <f>SUMIFS('апрель 2025'!$G$4:$G$2485,'апрель 2025'!$D$4:$D$2485,$B144,'апрель 2025'!$J$4:$J$2485,AB$1)</f>
        <v>0</v>
      </c>
      <c r="AC144" s="183">
        <f>SUMIFS('апрель 2025'!$G$4:$G$2485,'апрель 2025'!$D$4:$D$2485,$B144,'апрель 2025'!$J$4:$J$2485,AC$1)</f>
        <v>0</v>
      </c>
      <c r="AD144" s="183">
        <f>SUMIFS('апрель 2025'!$G$4:$G$2485,'апрель 2025'!$D$4:$D$2485,$B144,'апрель 2025'!$J$4:$J$2485,AD$1)</f>
        <v>0</v>
      </c>
      <c r="AE144" s="183">
        <f>SUMIFS('апрель 2025'!$G$4:$G$2485,'апрель 2025'!$D$4:$D$2485,$B144,'апрель 2025'!$J$4:$J$2485,AE$1)</f>
        <v>0</v>
      </c>
      <c r="AF144" s="183">
        <f>SUMIFS('апрель 2025'!$G$4:$G$2485,'апрель 2025'!$D$4:$D$2485,$B144,'апрель 2025'!$J$4:$J$2485,AF$1)</f>
        <v>0</v>
      </c>
      <c r="AG144" s="183">
        <f>SUMIFS('апрель 2025'!$G$4:$G$2485,'апрель 2025'!$D$4:$D$2485,$B144,'апрель 2025'!$J$4:$J$2485,AG$1)</f>
        <v>0</v>
      </c>
      <c r="AH144" s="183">
        <f>SUMIFS('апрель 2025'!$G$4:$G$2485,'апрель 2025'!$D$4:$D$2485,$B144,'апрель 2025'!$J$4:$J$2485,AH$1)</f>
        <v>0</v>
      </c>
      <c r="AI144" s="20">
        <f t="shared" si="1"/>
        <v>0</v>
      </c>
    </row>
    <row r="145" spans="2:35" ht="16.899999999999999" customHeight="1" x14ac:dyDescent="0.25">
      <c r="B145" s="84" t="s">
        <v>271</v>
      </c>
      <c r="C145" s="83">
        <v>200</v>
      </c>
      <c r="D145" s="183">
        <f>SUMIFS('апрель 2025'!$G$4:$G$2485,'апрель 2025'!$D$4:$D$2485,$B145,'апрель 2025'!$J$4:$J$2485,D$1)</f>
        <v>0</v>
      </c>
      <c r="E145" s="183">
        <f>SUMIFS('апрель 2025'!$G$4:$G$2485,'апрель 2025'!$D$4:$D$2485,$B145,'апрель 2025'!$J$4:$J$2485,E$1)</f>
        <v>0</v>
      </c>
      <c r="F145" s="183">
        <f>SUMIFS('апрель 2025'!$G$4:$G$2485,'апрель 2025'!$D$4:$D$2485,$B145,'апрель 2025'!$J$4:$J$2485,F$1)</f>
        <v>0</v>
      </c>
      <c r="G145" s="183">
        <f>SUMIFS('апрель 2025'!$G$4:$G$2485,'апрель 2025'!$D$4:$D$2485,$B145,'апрель 2025'!$J$4:$J$2485,G$1)</f>
        <v>0</v>
      </c>
      <c r="H145" s="183">
        <f>SUMIFS('апрель 2025'!$G$4:$G$2485,'апрель 2025'!$D$4:$D$2485,$B145,'апрель 2025'!$J$4:$J$2485,H$1)</f>
        <v>0</v>
      </c>
      <c r="I145" s="183">
        <f>SUMIFS('апрель 2025'!$G$4:$G$2485,'апрель 2025'!$D$4:$D$2485,$B145,'апрель 2025'!$J$4:$J$2485,I$1)</f>
        <v>0</v>
      </c>
      <c r="J145" s="183">
        <f>SUMIFS('апрель 2025'!$G$4:$G$2485,'апрель 2025'!$D$4:$D$2485,$B145,'апрель 2025'!$J$4:$J$2485,J$1)</f>
        <v>0</v>
      </c>
      <c r="K145" s="183">
        <f>SUMIFS('апрель 2025'!$G$4:$G$2485,'апрель 2025'!$D$4:$D$2485,$B145,'апрель 2025'!$J$4:$J$2485,K$1)</f>
        <v>0</v>
      </c>
      <c r="L145" s="183">
        <f>SUMIFS('апрель 2025'!$G$4:$G$2485,'апрель 2025'!$D$4:$D$2485,$B145,'апрель 2025'!$J$4:$J$2485,L$1)</f>
        <v>0</v>
      </c>
      <c r="M145" s="183">
        <f>SUMIFS('апрель 2025'!$G$4:$G$2485,'апрель 2025'!$D$4:$D$2485,$B145,'апрель 2025'!$J$4:$J$2485,M$1)</f>
        <v>0</v>
      </c>
      <c r="N145" s="183">
        <f>SUMIFS('апрель 2025'!$G$4:$G$2485,'апрель 2025'!$D$4:$D$2485,$B145,'апрель 2025'!$J$4:$J$2485,N$1)</f>
        <v>0</v>
      </c>
      <c r="O145" s="183">
        <f>SUMIFS('апрель 2025'!$G$4:$G$2485,'апрель 2025'!$D$4:$D$2485,$B145,'апрель 2025'!$J$4:$J$2485,O$1)</f>
        <v>0</v>
      </c>
      <c r="P145" s="183">
        <f>SUMIFS('апрель 2025'!$G$4:$G$2485,'апрель 2025'!$D$4:$D$2485,$B145,'апрель 2025'!$J$4:$J$2485,P$1)</f>
        <v>0</v>
      </c>
      <c r="Q145" s="183">
        <f>SUMIFS('апрель 2025'!$G$4:$G$2485,'апрель 2025'!$D$4:$D$2485,$B145,'апрель 2025'!$J$4:$J$2485,Q$1)</f>
        <v>0</v>
      </c>
      <c r="R145" s="183">
        <f>SUMIFS('апрель 2025'!$G$4:$G$2485,'апрель 2025'!$D$4:$D$2485,$B145,'апрель 2025'!$J$4:$J$2485,R$1)</f>
        <v>0</v>
      </c>
      <c r="S145" s="183">
        <f>SUMIFS('апрель 2025'!$G$4:$G$2485,'апрель 2025'!$D$4:$D$2485,$B145,'апрель 2025'!$J$4:$J$2485,S$1)</f>
        <v>0</v>
      </c>
      <c r="T145" s="183">
        <f>SUMIFS('апрель 2025'!$G$4:$G$2485,'апрель 2025'!$D$4:$D$2485,$B145,'апрель 2025'!$J$4:$J$2485,T$1)</f>
        <v>0</v>
      </c>
      <c r="U145" s="183">
        <f>SUMIFS('апрель 2025'!$G$4:$G$2485,'апрель 2025'!$D$4:$D$2485,$B145,'апрель 2025'!$J$4:$J$2485,U$1)</f>
        <v>0</v>
      </c>
      <c r="V145" s="183">
        <f>SUMIFS('апрель 2025'!$G$4:$G$2485,'апрель 2025'!$D$4:$D$2485,$B145,'апрель 2025'!$J$4:$J$2485,V$1)</f>
        <v>0</v>
      </c>
      <c r="W145" s="183">
        <f>SUMIFS('апрель 2025'!$G$4:$G$2485,'апрель 2025'!$D$4:$D$2485,$B145,'апрель 2025'!$J$4:$J$2485,W$1)</f>
        <v>0</v>
      </c>
      <c r="X145" s="183">
        <f>SUMIFS('апрель 2025'!$G$4:$G$2485,'апрель 2025'!$D$4:$D$2485,$B145,'апрель 2025'!$J$4:$J$2485,X$1)</f>
        <v>0</v>
      </c>
      <c r="Y145" s="183">
        <f>SUMIFS('апрель 2025'!$G$4:$G$2485,'апрель 2025'!$D$4:$D$2485,$B145,'апрель 2025'!$J$4:$J$2485,Y$1)</f>
        <v>0</v>
      </c>
      <c r="Z145" s="183">
        <f>SUMIFS('апрель 2025'!$G$4:$G$2485,'апрель 2025'!$D$4:$D$2485,$B145,'апрель 2025'!$J$4:$J$2485,Z$1)</f>
        <v>0</v>
      </c>
      <c r="AA145" s="183">
        <f>SUMIFS('апрель 2025'!$G$4:$G$2485,'апрель 2025'!$D$4:$D$2485,$B145,'апрель 2025'!$J$4:$J$2485,AA$1)</f>
        <v>0</v>
      </c>
      <c r="AB145" s="183">
        <f>SUMIFS('апрель 2025'!$G$4:$G$2485,'апрель 2025'!$D$4:$D$2485,$B145,'апрель 2025'!$J$4:$J$2485,AB$1)</f>
        <v>0</v>
      </c>
      <c r="AC145" s="183">
        <f>SUMIFS('апрель 2025'!$G$4:$G$2485,'апрель 2025'!$D$4:$D$2485,$B145,'апрель 2025'!$J$4:$J$2485,AC$1)</f>
        <v>0</v>
      </c>
      <c r="AD145" s="183">
        <f>SUMIFS('апрель 2025'!$G$4:$G$2485,'апрель 2025'!$D$4:$D$2485,$B145,'апрель 2025'!$J$4:$J$2485,AD$1)</f>
        <v>0</v>
      </c>
      <c r="AE145" s="183">
        <f>SUMIFS('апрель 2025'!$G$4:$G$2485,'апрель 2025'!$D$4:$D$2485,$B145,'апрель 2025'!$J$4:$J$2485,AE$1)</f>
        <v>0</v>
      </c>
      <c r="AF145" s="183">
        <f>SUMIFS('апрель 2025'!$G$4:$G$2485,'апрель 2025'!$D$4:$D$2485,$B145,'апрель 2025'!$J$4:$J$2485,AF$1)</f>
        <v>0</v>
      </c>
      <c r="AG145" s="183">
        <f>SUMIFS('апрель 2025'!$G$4:$G$2485,'апрель 2025'!$D$4:$D$2485,$B145,'апрель 2025'!$J$4:$J$2485,AG$1)</f>
        <v>0</v>
      </c>
      <c r="AH145" s="183">
        <f>SUMIFS('апрель 2025'!$G$4:$G$2485,'апрель 2025'!$D$4:$D$2485,$B145,'апрель 2025'!$J$4:$J$2485,AH$1)</f>
        <v>0</v>
      </c>
      <c r="AI145" s="20">
        <f t="shared" si="1"/>
        <v>0</v>
      </c>
    </row>
    <row r="146" spans="2:35" ht="16.899999999999999" customHeight="1" x14ac:dyDescent="0.25">
      <c r="B146" s="84" t="s">
        <v>276</v>
      </c>
      <c r="C146" s="83">
        <v>200</v>
      </c>
      <c r="D146" s="183">
        <f>SUMIFS('апрель 2025'!$G$4:$G$2485,'апрель 2025'!$D$4:$D$2485,$B146,'апрель 2025'!$J$4:$J$2485,D$1)</f>
        <v>0</v>
      </c>
      <c r="E146" s="183">
        <f>SUMIFS('апрель 2025'!$G$4:$G$2485,'апрель 2025'!$D$4:$D$2485,$B146,'апрель 2025'!$J$4:$J$2485,E$1)</f>
        <v>0</v>
      </c>
      <c r="F146" s="183">
        <f>SUMIFS('апрель 2025'!$G$4:$G$2485,'апрель 2025'!$D$4:$D$2485,$B146,'апрель 2025'!$J$4:$J$2485,F$1)</f>
        <v>0</v>
      </c>
      <c r="G146" s="183">
        <f>SUMIFS('апрель 2025'!$G$4:$G$2485,'апрель 2025'!$D$4:$D$2485,$B146,'апрель 2025'!$J$4:$J$2485,G$1)</f>
        <v>0</v>
      </c>
      <c r="H146" s="183">
        <f>SUMIFS('апрель 2025'!$G$4:$G$2485,'апрель 2025'!$D$4:$D$2485,$B146,'апрель 2025'!$J$4:$J$2485,H$1)</f>
        <v>0</v>
      </c>
      <c r="I146" s="183">
        <f>SUMIFS('апрель 2025'!$G$4:$G$2485,'апрель 2025'!$D$4:$D$2485,$B146,'апрель 2025'!$J$4:$J$2485,I$1)</f>
        <v>0</v>
      </c>
      <c r="J146" s="183">
        <f>SUMIFS('апрель 2025'!$G$4:$G$2485,'апрель 2025'!$D$4:$D$2485,$B146,'апрель 2025'!$J$4:$J$2485,J$1)</f>
        <v>0</v>
      </c>
      <c r="K146" s="183">
        <f>SUMIFS('апрель 2025'!$G$4:$G$2485,'апрель 2025'!$D$4:$D$2485,$B146,'апрель 2025'!$J$4:$J$2485,K$1)</f>
        <v>0</v>
      </c>
      <c r="L146" s="183">
        <f>SUMIFS('апрель 2025'!$G$4:$G$2485,'апрель 2025'!$D$4:$D$2485,$B146,'апрель 2025'!$J$4:$J$2485,L$1)</f>
        <v>0</v>
      </c>
      <c r="M146" s="183">
        <f>SUMIFS('апрель 2025'!$G$4:$G$2485,'апрель 2025'!$D$4:$D$2485,$B146,'апрель 2025'!$J$4:$J$2485,M$1)</f>
        <v>0</v>
      </c>
      <c r="N146" s="183">
        <f>SUMIFS('апрель 2025'!$G$4:$G$2485,'апрель 2025'!$D$4:$D$2485,$B146,'апрель 2025'!$J$4:$J$2485,N$1)</f>
        <v>0</v>
      </c>
      <c r="O146" s="183">
        <f>SUMIFS('апрель 2025'!$G$4:$G$2485,'апрель 2025'!$D$4:$D$2485,$B146,'апрель 2025'!$J$4:$J$2485,O$1)</f>
        <v>0</v>
      </c>
      <c r="P146" s="183">
        <f>SUMIFS('апрель 2025'!$G$4:$G$2485,'апрель 2025'!$D$4:$D$2485,$B146,'апрель 2025'!$J$4:$J$2485,P$1)</f>
        <v>0</v>
      </c>
      <c r="Q146" s="183">
        <f>SUMIFS('апрель 2025'!$G$4:$G$2485,'апрель 2025'!$D$4:$D$2485,$B146,'апрель 2025'!$J$4:$J$2485,Q$1)</f>
        <v>0</v>
      </c>
      <c r="R146" s="183">
        <f>SUMIFS('апрель 2025'!$G$4:$G$2485,'апрель 2025'!$D$4:$D$2485,$B146,'апрель 2025'!$J$4:$J$2485,R$1)</f>
        <v>0</v>
      </c>
      <c r="S146" s="183">
        <f>SUMIFS('апрель 2025'!$G$4:$G$2485,'апрель 2025'!$D$4:$D$2485,$B146,'апрель 2025'!$J$4:$J$2485,S$1)</f>
        <v>0</v>
      </c>
      <c r="T146" s="183">
        <f>SUMIFS('апрель 2025'!$G$4:$G$2485,'апрель 2025'!$D$4:$D$2485,$B146,'апрель 2025'!$J$4:$J$2485,T$1)</f>
        <v>0</v>
      </c>
      <c r="U146" s="183">
        <f>SUMIFS('апрель 2025'!$G$4:$G$2485,'апрель 2025'!$D$4:$D$2485,$B146,'апрель 2025'!$J$4:$J$2485,U$1)</f>
        <v>0</v>
      </c>
      <c r="V146" s="183">
        <f>SUMIFS('апрель 2025'!$G$4:$G$2485,'апрель 2025'!$D$4:$D$2485,$B146,'апрель 2025'!$J$4:$J$2485,V$1)</f>
        <v>0</v>
      </c>
      <c r="W146" s="183">
        <f>SUMIFS('апрель 2025'!$G$4:$G$2485,'апрель 2025'!$D$4:$D$2485,$B146,'апрель 2025'!$J$4:$J$2485,W$1)</f>
        <v>0</v>
      </c>
      <c r="X146" s="183">
        <f>SUMIFS('апрель 2025'!$G$4:$G$2485,'апрель 2025'!$D$4:$D$2485,$B146,'апрель 2025'!$J$4:$J$2485,X$1)</f>
        <v>0</v>
      </c>
      <c r="Y146" s="183">
        <f>SUMIFS('апрель 2025'!$G$4:$G$2485,'апрель 2025'!$D$4:$D$2485,$B146,'апрель 2025'!$J$4:$J$2485,Y$1)</f>
        <v>0</v>
      </c>
      <c r="Z146" s="183">
        <f>SUMIFS('апрель 2025'!$G$4:$G$2485,'апрель 2025'!$D$4:$D$2485,$B146,'апрель 2025'!$J$4:$J$2485,Z$1)</f>
        <v>0</v>
      </c>
      <c r="AA146" s="183">
        <f>SUMIFS('апрель 2025'!$G$4:$G$2485,'апрель 2025'!$D$4:$D$2485,$B146,'апрель 2025'!$J$4:$J$2485,AA$1)</f>
        <v>0</v>
      </c>
      <c r="AB146" s="183">
        <f>SUMIFS('апрель 2025'!$G$4:$G$2485,'апрель 2025'!$D$4:$D$2485,$B146,'апрель 2025'!$J$4:$J$2485,AB$1)</f>
        <v>0</v>
      </c>
      <c r="AC146" s="183">
        <f>SUMIFS('апрель 2025'!$G$4:$G$2485,'апрель 2025'!$D$4:$D$2485,$B146,'апрель 2025'!$J$4:$J$2485,AC$1)</f>
        <v>0</v>
      </c>
      <c r="AD146" s="183">
        <f>SUMIFS('апрель 2025'!$G$4:$G$2485,'апрель 2025'!$D$4:$D$2485,$B146,'апрель 2025'!$J$4:$J$2485,AD$1)</f>
        <v>0</v>
      </c>
      <c r="AE146" s="183">
        <f>SUMIFS('апрель 2025'!$G$4:$G$2485,'апрель 2025'!$D$4:$D$2485,$B146,'апрель 2025'!$J$4:$J$2485,AE$1)</f>
        <v>0</v>
      </c>
      <c r="AF146" s="183">
        <f>SUMIFS('апрель 2025'!$G$4:$G$2485,'апрель 2025'!$D$4:$D$2485,$B146,'апрель 2025'!$J$4:$J$2485,AF$1)</f>
        <v>0</v>
      </c>
      <c r="AG146" s="183">
        <f>SUMIFS('апрель 2025'!$G$4:$G$2485,'апрель 2025'!$D$4:$D$2485,$B146,'апрель 2025'!$J$4:$J$2485,AG$1)</f>
        <v>0</v>
      </c>
      <c r="AH146" s="183">
        <f>SUMIFS('апрель 2025'!$G$4:$G$2485,'апрель 2025'!$D$4:$D$2485,$B146,'апрель 2025'!$J$4:$J$2485,AH$1)</f>
        <v>0</v>
      </c>
      <c r="AI146" s="20">
        <f t="shared" si="1"/>
        <v>0</v>
      </c>
    </row>
    <row r="147" spans="2:35" ht="16.899999999999999" customHeight="1" x14ac:dyDescent="0.25">
      <c r="B147" s="84" t="s">
        <v>272</v>
      </c>
      <c r="C147" s="83">
        <v>200</v>
      </c>
      <c r="D147" s="183">
        <f>SUMIFS('апрель 2025'!$G$4:$G$2485,'апрель 2025'!$D$4:$D$2485,$B147,'апрель 2025'!$J$4:$J$2485,D$1)</f>
        <v>0</v>
      </c>
      <c r="E147" s="183">
        <f>SUMIFS('апрель 2025'!$G$4:$G$2485,'апрель 2025'!$D$4:$D$2485,$B147,'апрель 2025'!$J$4:$J$2485,E$1)</f>
        <v>0</v>
      </c>
      <c r="F147" s="183">
        <f>SUMIFS('апрель 2025'!$G$4:$G$2485,'апрель 2025'!$D$4:$D$2485,$B147,'апрель 2025'!$J$4:$J$2485,F$1)</f>
        <v>0</v>
      </c>
      <c r="G147" s="183">
        <f>SUMIFS('апрель 2025'!$G$4:$G$2485,'апрель 2025'!$D$4:$D$2485,$B147,'апрель 2025'!$J$4:$J$2485,G$1)</f>
        <v>0</v>
      </c>
      <c r="H147" s="183">
        <f>SUMIFS('апрель 2025'!$G$4:$G$2485,'апрель 2025'!$D$4:$D$2485,$B147,'апрель 2025'!$J$4:$J$2485,H$1)</f>
        <v>0</v>
      </c>
      <c r="I147" s="183">
        <f>SUMIFS('апрель 2025'!$G$4:$G$2485,'апрель 2025'!$D$4:$D$2485,$B147,'апрель 2025'!$J$4:$J$2485,I$1)</f>
        <v>0</v>
      </c>
      <c r="J147" s="183">
        <f>SUMIFS('апрель 2025'!$G$4:$G$2485,'апрель 2025'!$D$4:$D$2485,$B147,'апрель 2025'!$J$4:$J$2485,J$1)</f>
        <v>0</v>
      </c>
      <c r="K147" s="183">
        <f>SUMIFS('апрель 2025'!$G$4:$G$2485,'апрель 2025'!$D$4:$D$2485,$B147,'апрель 2025'!$J$4:$J$2485,K$1)</f>
        <v>0</v>
      </c>
      <c r="L147" s="183">
        <f>SUMIFS('апрель 2025'!$G$4:$G$2485,'апрель 2025'!$D$4:$D$2485,$B147,'апрель 2025'!$J$4:$J$2485,L$1)</f>
        <v>0</v>
      </c>
      <c r="M147" s="183">
        <f>SUMIFS('апрель 2025'!$G$4:$G$2485,'апрель 2025'!$D$4:$D$2485,$B147,'апрель 2025'!$J$4:$J$2485,M$1)</f>
        <v>0</v>
      </c>
      <c r="N147" s="183">
        <f>SUMIFS('апрель 2025'!$G$4:$G$2485,'апрель 2025'!$D$4:$D$2485,$B147,'апрель 2025'!$J$4:$J$2485,N$1)</f>
        <v>0</v>
      </c>
      <c r="O147" s="183">
        <f>SUMIFS('апрель 2025'!$G$4:$G$2485,'апрель 2025'!$D$4:$D$2485,$B147,'апрель 2025'!$J$4:$J$2485,O$1)</f>
        <v>0</v>
      </c>
      <c r="P147" s="183">
        <f>SUMIFS('апрель 2025'!$G$4:$G$2485,'апрель 2025'!$D$4:$D$2485,$B147,'апрель 2025'!$J$4:$J$2485,P$1)</f>
        <v>0</v>
      </c>
      <c r="Q147" s="183">
        <f>SUMIFS('апрель 2025'!$G$4:$G$2485,'апрель 2025'!$D$4:$D$2485,$B147,'апрель 2025'!$J$4:$J$2485,Q$1)</f>
        <v>0</v>
      </c>
      <c r="R147" s="183">
        <f>SUMIFS('апрель 2025'!$G$4:$G$2485,'апрель 2025'!$D$4:$D$2485,$B147,'апрель 2025'!$J$4:$J$2485,R$1)</f>
        <v>0</v>
      </c>
      <c r="S147" s="183">
        <f>SUMIFS('апрель 2025'!$G$4:$G$2485,'апрель 2025'!$D$4:$D$2485,$B147,'апрель 2025'!$J$4:$J$2485,S$1)</f>
        <v>0</v>
      </c>
      <c r="T147" s="183">
        <f>SUMIFS('апрель 2025'!$G$4:$G$2485,'апрель 2025'!$D$4:$D$2485,$B147,'апрель 2025'!$J$4:$J$2485,T$1)</f>
        <v>0</v>
      </c>
      <c r="U147" s="183">
        <f>SUMIFS('апрель 2025'!$G$4:$G$2485,'апрель 2025'!$D$4:$D$2485,$B147,'апрель 2025'!$J$4:$J$2485,U$1)</f>
        <v>0</v>
      </c>
      <c r="V147" s="183">
        <f>SUMIFS('апрель 2025'!$G$4:$G$2485,'апрель 2025'!$D$4:$D$2485,$B147,'апрель 2025'!$J$4:$J$2485,V$1)</f>
        <v>0</v>
      </c>
      <c r="W147" s="183">
        <f>SUMIFS('апрель 2025'!$G$4:$G$2485,'апрель 2025'!$D$4:$D$2485,$B147,'апрель 2025'!$J$4:$J$2485,W$1)</f>
        <v>0</v>
      </c>
      <c r="X147" s="183">
        <f>SUMIFS('апрель 2025'!$G$4:$G$2485,'апрель 2025'!$D$4:$D$2485,$B147,'апрель 2025'!$J$4:$J$2485,X$1)</f>
        <v>0</v>
      </c>
      <c r="Y147" s="183">
        <f>SUMIFS('апрель 2025'!$G$4:$G$2485,'апрель 2025'!$D$4:$D$2485,$B147,'апрель 2025'!$J$4:$J$2485,Y$1)</f>
        <v>0</v>
      </c>
      <c r="Z147" s="183">
        <f>SUMIFS('апрель 2025'!$G$4:$G$2485,'апрель 2025'!$D$4:$D$2485,$B147,'апрель 2025'!$J$4:$J$2485,Z$1)</f>
        <v>0</v>
      </c>
      <c r="AA147" s="183">
        <f>SUMIFS('апрель 2025'!$G$4:$G$2485,'апрель 2025'!$D$4:$D$2485,$B147,'апрель 2025'!$J$4:$J$2485,AA$1)</f>
        <v>0</v>
      </c>
      <c r="AB147" s="183">
        <f>SUMIFS('апрель 2025'!$G$4:$G$2485,'апрель 2025'!$D$4:$D$2485,$B147,'апрель 2025'!$J$4:$J$2485,AB$1)</f>
        <v>0</v>
      </c>
      <c r="AC147" s="183">
        <f>SUMIFS('апрель 2025'!$G$4:$G$2485,'апрель 2025'!$D$4:$D$2485,$B147,'апрель 2025'!$J$4:$J$2485,AC$1)</f>
        <v>0</v>
      </c>
      <c r="AD147" s="183">
        <f>SUMIFS('апрель 2025'!$G$4:$G$2485,'апрель 2025'!$D$4:$D$2485,$B147,'апрель 2025'!$J$4:$J$2485,AD$1)</f>
        <v>0</v>
      </c>
      <c r="AE147" s="183">
        <f>SUMIFS('апрель 2025'!$G$4:$G$2485,'апрель 2025'!$D$4:$D$2485,$B147,'апрель 2025'!$J$4:$J$2485,AE$1)</f>
        <v>0</v>
      </c>
      <c r="AF147" s="183">
        <f>SUMIFS('апрель 2025'!$G$4:$G$2485,'апрель 2025'!$D$4:$D$2485,$B147,'апрель 2025'!$J$4:$J$2485,AF$1)</f>
        <v>0</v>
      </c>
      <c r="AG147" s="183">
        <f>SUMIFS('апрель 2025'!$G$4:$G$2485,'апрель 2025'!$D$4:$D$2485,$B147,'апрель 2025'!$J$4:$J$2485,AG$1)</f>
        <v>0</v>
      </c>
      <c r="AH147" s="183">
        <f>SUMIFS('апрель 2025'!$G$4:$G$2485,'апрель 2025'!$D$4:$D$2485,$B147,'апрель 2025'!$J$4:$J$2485,AH$1)</f>
        <v>0</v>
      </c>
      <c r="AI147" s="20">
        <f t="shared" si="1"/>
        <v>0</v>
      </c>
    </row>
    <row r="148" spans="2:35" ht="15" customHeight="1" x14ac:dyDescent="0.25">
      <c r="B148" s="84" t="s">
        <v>277</v>
      </c>
      <c r="C148" s="83">
        <v>200</v>
      </c>
      <c r="D148" s="183">
        <f>SUMIFS('апрель 2025'!$G$4:$G$2485,'апрель 2025'!$D$4:$D$2485,$B148,'апрель 2025'!$J$4:$J$2485,D$1)</f>
        <v>0</v>
      </c>
      <c r="E148" s="183">
        <f>SUMIFS('апрель 2025'!$G$4:$G$2485,'апрель 2025'!$D$4:$D$2485,$B148,'апрель 2025'!$J$4:$J$2485,E$1)</f>
        <v>0</v>
      </c>
      <c r="F148" s="183">
        <f>SUMIFS('апрель 2025'!$G$4:$G$2485,'апрель 2025'!$D$4:$D$2485,$B148,'апрель 2025'!$J$4:$J$2485,F$1)</f>
        <v>0</v>
      </c>
      <c r="G148" s="183">
        <f>SUMIFS('апрель 2025'!$G$4:$G$2485,'апрель 2025'!$D$4:$D$2485,$B148,'апрель 2025'!$J$4:$J$2485,G$1)</f>
        <v>0</v>
      </c>
      <c r="H148" s="183">
        <f>SUMIFS('апрель 2025'!$G$4:$G$2485,'апрель 2025'!$D$4:$D$2485,$B148,'апрель 2025'!$J$4:$J$2485,H$1)</f>
        <v>0</v>
      </c>
      <c r="I148" s="183">
        <f>SUMIFS('апрель 2025'!$G$4:$G$2485,'апрель 2025'!$D$4:$D$2485,$B148,'апрель 2025'!$J$4:$J$2485,I$1)</f>
        <v>0</v>
      </c>
      <c r="J148" s="183">
        <f>SUMIFS('апрель 2025'!$G$4:$G$2485,'апрель 2025'!$D$4:$D$2485,$B148,'апрель 2025'!$J$4:$J$2485,J$1)</f>
        <v>0</v>
      </c>
      <c r="K148" s="183">
        <f>SUMIFS('апрель 2025'!$G$4:$G$2485,'апрель 2025'!$D$4:$D$2485,$B148,'апрель 2025'!$J$4:$J$2485,K$1)</f>
        <v>0</v>
      </c>
      <c r="L148" s="183">
        <f>SUMIFS('апрель 2025'!$G$4:$G$2485,'апрель 2025'!$D$4:$D$2485,$B148,'апрель 2025'!$J$4:$J$2485,L$1)</f>
        <v>0</v>
      </c>
      <c r="M148" s="183">
        <f>SUMIFS('апрель 2025'!$G$4:$G$2485,'апрель 2025'!$D$4:$D$2485,$B148,'апрель 2025'!$J$4:$J$2485,M$1)</f>
        <v>0</v>
      </c>
      <c r="N148" s="183">
        <f>SUMIFS('апрель 2025'!$G$4:$G$2485,'апрель 2025'!$D$4:$D$2485,$B148,'апрель 2025'!$J$4:$J$2485,N$1)</f>
        <v>0</v>
      </c>
      <c r="O148" s="183">
        <f>SUMIFS('апрель 2025'!$G$4:$G$2485,'апрель 2025'!$D$4:$D$2485,$B148,'апрель 2025'!$J$4:$J$2485,O$1)</f>
        <v>0</v>
      </c>
      <c r="P148" s="183">
        <f>SUMIFS('апрель 2025'!$G$4:$G$2485,'апрель 2025'!$D$4:$D$2485,$B148,'апрель 2025'!$J$4:$J$2485,P$1)</f>
        <v>0</v>
      </c>
      <c r="Q148" s="183">
        <f>SUMIFS('апрель 2025'!$G$4:$G$2485,'апрель 2025'!$D$4:$D$2485,$B148,'апрель 2025'!$J$4:$J$2485,Q$1)</f>
        <v>0</v>
      </c>
      <c r="R148" s="183">
        <f>SUMIFS('апрель 2025'!$G$4:$G$2485,'апрель 2025'!$D$4:$D$2485,$B148,'апрель 2025'!$J$4:$J$2485,R$1)</f>
        <v>0</v>
      </c>
      <c r="S148" s="183">
        <f>SUMIFS('апрель 2025'!$G$4:$G$2485,'апрель 2025'!$D$4:$D$2485,$B148,'апрель 2025'!$J$4:$J$2485,S$1)</f>
        <v>0</v>
      </c>
      <c r="T148" s="183">
        <f>SUMIFS('апрель 2025'!$G$4:$G$2485,'апрель 2025'!$D$4:$D$2485,$B148,'апрель 2025'!$J$4:$J$2485,T$1)</f>
        <v>0</v>
      </c>
      <c r="U148" s="183">
        <f>SUMIFS('апрель 2025'!$G$4:$G$2485,'апрель 2025'!$D$4:$D$2485,$B148,'апрель 2025'!$J$4:$J$2485,U$1)</f>
        <v>0</v>
      </c>
      <c r="V148" s="183">
        <f>SUMIFS('апрель 2025'!$G$4:$G$2485,'апрель 2025'!$D$4:$D$2485,$B148,'апрель 2025'!$J$4:$J$2485,V$1)</f>
        <v>0</v>
      </c>
      <c r="W148" s="183">
        <f>SUMIFS('апрель 2025'!$G$4:$G$2485,'апрель 2025'!$D$4:$D$2485,$B148,'апрель 2025'!$J$4:$J$2485,W$1)</f>
        <v>0</v>
      </c>
      <c r="X148" s="183">
        <f>SUMIFS('апрель 2025'!$G$4:$G$2485,'апрель 2025'!$D$4:$D$2485,$B148,'апрель 2025'!$J$4:$J$2485,X$1)</f>
        <v>0</v>
      </c>
      <c r="Y148" s="183">
        <f>SUMIFS('апрель 2025'!$G$4:$G$2485,'апрель 2025'!$D$4:$D$2485,$B148,'апрель 2025'!$J$4:$J$2485,Y$1)</f>
        <v>0</v>
      </c>
      <c r="Z148" s="183">
        <f>SUMIFS('апрель 2025'!$G$4:$G$2485,'апрель 2025'!$D$4:$D$2485,$B148,'апрель 2025'!$J$4:$J$2485,Z$1)</f>
        <v>0</v>
      </c>
      <c r="AA148" s="183">
        <f>SUMIFS('апрель 2025'!$G$4:$G$2485,'апрель 2025'!$D$4:$D$2485,$B148,'апрель 2025'!$J$4:$J$2485,AA$1)</f>
        <v>0</v>
      </c>
      <c r="AB148" s="183">
        <f>SUMIFS('апрель 2025'!$G$4:$G$2485,'апрель 2025'!$D$4:$D$2485,$B148,'апрель 2025'!$J$4:$J$2485,AB$1)</f>
        <v>0</v>
      </c>
      <c r="AC148" s="183">
        <f>SUMIFS('апрель 2025'!$G$4:$G$2485,'апрель 2025'!$D$4:$D$2485,$B148,'апрель 2025'!$J$4:$J$2485,AC$1)</f>
        <v>0</v>
      </c>
      <c r="AD148" s="183">
        <f>SUMIFS('апрель 2025'!$G$4:$G$2485,'апрель 2025'!$D$4:$D$2485,$B148,'апрель 2025'!$J$4:$J$2485,AD$1)</f>
        <v>0</v>
      </c>
      <c r="AE148" s="183">
        <f>SUMIFS('апрель 2025'!$G$4:$G$2485,'апрель 2025'!$D$4:$D$2485,$B148,'апрель 2025'!$J$4:$J$2485,AE$1)</f>
        <v>0</v>
      </c>
      <c r="AF148" s="183">
        <f>SUMIFS('апрель 2025'!$G$4:$G$2485,'апрель 2025'!$D$4:$D$2485,$B148,'апрель 2025'!$J$4:$J$2485,AF$1)</f>
        <v>0</v>
      </c>
      <c r="AG148" s="183">
        <f>SUMIFS('апрель 2025'!$G$4:$G$2485,'апрель 2025'!$D$4:$D$2485,$B148,'апрель 2025'!$J$4:$J$2485,AG$1)</f>
        <v>0</v>
      </c>
      <c r="AH148" s="183">
        <f>SUMIFS('апрель 2025'!$G$4:$G$2485,'апрель 2025'!$D$4:$D$2485,$B148,'апрель 2025'!$J$4:$J$2485,AH$1)</f>
        <v>0</v>
      </c>
      <c r="AI148" s="20">
        <f t="shared" si="1"/>
        <v>0</v>
      </c>
    </row>
    <row r="149" spans="2:35" ht="15" customHeight="1" x14ac:dyDescent="0.25">
      <c r="B149" s="84" t="s">
        <v>273</v>
      </c>
      <c r="C149" s="83">
        <v>200</v>
      </c>
      <c r="D149" s="183">
        <f>SUMIFS('апрель 2025'!$G$4:$G$2485,'апрель 2025'!$D$4:$D$2485,$B149,'апрель 2025'!$J$4:$J$2485,D$1)</f>
        <v>0</v>
      </c>
      <c r="E149" s="183">
        <f>SUMIFS('апрель 2025'!$G$4:$G$2485,'апрель 2025'!$D$4:$D$2485,$B149,'апрель 2025'!$J$4:$J$2485,E$1)</f>
        <v>0</v>
      </c>
      <c r="F149" s="183">
        <f>SUMIFS('апрель 2025'!$G$4:$G$2485,'апрель 2025'!$D$4:$D$2485,$B149,'апрель 2025'!$J$4:$J$2485,F$1)</f>
        <v>0</v>
      </c>
      <c r="G149" s="183">
        <f>SUMIFS('апрель 2025'!$G$4:$G$2485,'апрель 2025'!$D$4:$D$2485,$B149,'апрель 2025'!$J$4:$J$2485,G$1)</f>
        <v>0</v>
      </c>
      <c r="H149" s="183">
        <f>SUMIFS('апрель 2025'!$G$4:$G$2485,'апрель 2025'!$D$4:$D$2485,$B149,'апрель 2025'!$J$4:$J$2485,H$1)</f>
        <v>0</v>
      </c>
      <c r="I149" s="183">
        <f>SUMIFS('апрель 2025'!$G$4:$G$2485,'апрель 2025'!$D$4:$D$2485,$B149,'апрель 2025'!$J$4:$J$2485,I$1)</f>
        <v>0</v>
      </c>
      <c r="J149" s="183">
        <f>SUMIFS('апрель 2025'!$G$4:$G$2485,'апрель 2025'!$D$4:$D$2485,$B149,'апрель 2025'!$J$4:$J$2485,J$1)</f>
        <v>0</v>
      </c>
      <c r="K149" s="183">
        <f>SUMIFS('апрель 2025'!$G$4:$G$2485,'апрель 2025'!$D$4:$D$2485,$B149,'апрель 2025'!$J$4:$J$2485,K$1)</f>
        <v>0</v>
      </c>
      <c r="L149" s="183">
        <f>SUMIFS('апрель 2025'!$G$4:$G$2485,'апрель 2025'!$D$4:$D$2485,$B149,'апрель 2025'!$J$4:$J$2485,L$1)</f>
        <v>0</v>
      </c>
      <c r="M149" s="183">
        <f>SUMIFS('апрель 2025'!$G$4:$G$2485,'апрель 2025'!$D$4:$D$2485,$B149,'апрель 2025'!$J$4:$J$2485,M$1)</f>
        <v>0</v>
      </c>
      <c r="N149" s="183">
        <f>SUMIFS('апрель 2025'!$G$4:$G$2485,'апрель 2025'!$D$4:$D$2485,$B149,'апрель 2025'!$J$4:$J$2485,N$1)</f>
        <v>0</v>
      </c>
      <c r="O149" s="183">
        <f>SUMIFS('апрель 2025'!$G$4:$G$2485,'апрель 2025'!$D$4:$D$2485,$B149,'апрель 2025'!$J$4:$J$2485,O$1)</f>
        <v>0</v>
      </c>
      <c r="P149" s="183">
        <f>SUMIFS('апрель 2025'!$G$4:$G$2485,'апрель 2025'!$D$4:$D$2485,$B149,'апрель 2025'!$J$4:$J$2485,P$1)</f>
        <v>0</v>
      </c>
      <c r="Q149" s="183">
        <f>SUMIFS('апрель 2025'!$G$4:$G$2485,'апрель 2025'!$D$4:$D$2485,$B149,'апрель 2025'!$J$4:$J$2485,Q$1)</f>
        <v>0</v>
      </c>
      <c r="R149" s="183">
        <f>SUMIFS('апрель 2025'!$G$4:$G$2485,'апрель 2025'!$D$4:$D$2485,$B149,'апрель 2025'!$J$4:$J$2485,R$1)</f>
        <v>0</v>
      </c>
      <c r="S149" s="183">
        <f>SUMIFS('апрель 2025'!$G$4:$G$2485,'апрель 2025'!$D$4:$D$2485,$B149,'апрель 2025'!$J$4:$J$2485,S$1)</f>
        <v>0</v>
      </c>
      <c r="T149" s="183">
        <f>SUMIFS('апрель 2025'!$G$4:$G$2485,'апрель 2025'!$D$4:$D$2485,$B149,'апрель 2025'!$J$4:$J$2485,T$1)</f>
        <v>0</v>
      </c>
      <c r="U149" s="183">
        <f>SUMIFS('апрель 2025'!$G$4:$G$2485,'апрель 2025'!$D$4:$D$2485,$B149,'апрель 2025'!$J$4:$J$2485,U$1)</f>
        <v>0</v>
      </c>
      <c r="V149" s="183">
        <f>SUMIFS('апрель 2025'!$G$4:$G$2485,'апрель 2025'!$D$4:$D$2485,$B149,'апрель 2025'!$J$4:$J$2485,V$1)</f>
        <v>0</v>
      </c>
      <c r="W149" s="183">
        <f>SUMIFS('апрель 2025'!$G$4:$G$2485,'апрель 2025'!$D$4:$D$2485,$B149,'апрель 2025'!$J$4:$J$2485,W$1)</f>
        <v>0</v>
      </c>
      <c r="X149" s="183">
        <f>SUMIFS('апрель 2025'!$G$4:$G$2485,'апрель 2025'!$D$4:$D$2485,$B149,'апрель 2025'!$J$4:$J$2485,X$1)</f>
        <v>0</v>
      </c>
      <c r="Y149" s="183">
        <f>SUMIFS('апрель 2025'!$G$4:$G$2485,'апрель 2025'!$D$4:$D$2485,$B149,'апрель 2025'!$J$4:$J$2485,Y$1)</f>
        <v>0</v>
      </c>
      <c r="Z149" s="183">
        <f>SUMIFS('апрель 2025'!$G$4:$G$2485,'апрель 2025'!$D$4:$D$2485,$B149,'апрель 2025'!$J$4:$J$2485,Z$1)</f>
        <v>0</v>
      </c>
      <c r="AA149" s="183">
        <f>SUMIFS('апрель 2025'!$G$4:$G$2485,'апрель 2025'!$D$4:$D$2485,$B149,'апрель 2025'!$J$4:$J$2485,AA$1)</f>
        <v>0</v>
      </c>
      <c r="AB149" s="183">
        <f>SUMIFS('апрель 2025'!$G$4:$G$2485,'апрель 2025'!$D$4:$D$2485,$B149,'апрель 2025'!$J$4:$J$2485,AB$1)</f>
        <v>0</v>
      </c>
      <c r="AC149" s="183">
        <f>SUMIFS('апрель 2025'!$G$4:$G$2485,'апрель 2025'!$D$4:$D$2485,$B149,'апрель 2025'!$J$4:$J$2485,AC$1)</f>
        <v>0</v>
      </c>
      <c r="AD149" s="183">
        <f>SUMIFS('апрель 2025'!$G$4:$G$2485,'апрель 2025'!$D$4:$D$2485,$B149,'апрель 2025'!$J$4:$J$2485,AD$1)</f>
        <v>0</v>
      </c>
      <c r="AE149" s="183">
        <f>SUMIFS('апрель 2025'!$G$4:$G$2485,'апрель 2025'!$D$4:$D$2485,$B149,'апрель 2025'!$J$4:$J$2485,AE$1)</f>
        <v>0</v>
      </c>
      <c r="AF149" s="183">
        <f>SUMIFS('апрель 2025'!$G$4:$G$2485,'апрель 2025'!$D$4:$D$2485,$B149,'апрель 2025'!$J$4:$J$2485,AF$1)</f>
        <v>0</v>
      </c>
      <c r="AG149" s="183">
        <f>SUMIFS('апрель 2025'!$G$4:$G$2485,'апрель 2025'!$D$4:$D$2485,$B149,'апрель 2025'!$J$4:$J$2485,AG$1)</f>
        <v>0</v>
      </c>
      <c r="AH149" s="183">
        <f>SUMIFS('апрель 2025'!$G$4:$G$2485,'апрель 2025'!$D$4:$D$2485,$B149,'апрель 2025'!$J$4:$J$2485,AH$1)</f>
        <v>0</v>
      </c>
      <c r="AI149" s="20">
        <f t="shared" si="1"/>
        <v>0</v>
      </c>
    </row>
    <row r="150" spans="2:35" ht="15" customHeight="1" x14ac:dyDescent="0.25">
      <c r="B150" s="84" t="s">
        <v>274</v>
      </c>
      <c r="C150" s="83">
        <v>200</v>
      </c>
      <c r="D150" s="183">
        <f>SUMIFS('апрель 2025'!$G$4:$G$2485,'апрель 2025'!$D$4:$D$2485,$B150,'апрель 2025'!$J$4:$J$2485,D$1)</f>
        <v>0</v>
      </c>
      <c r="E150" s="183">
        <f>SUMIFS('апрель 2025'!$G$4:$G$2485,'апрель 2025'!$D$4:$D$2485,$B150,'апрель 2025'!$J$4:$J$2485,E$1)</f>
        <v>0</v>
      </c>
      <c r="F150" s="183">
        <f>SUMIFS('апрель 2025'!$G$4:$G$2485,'апрель 2025'!$D$4:$D$2485,$B150,'апрель 2025'!$J$4:$J$2485,F$1)</f>
        <v>0</v>
      </c>
      <c r="G150" s="183">
        <f>SUMIFS('апрель 2025'!$G$4:$G$2485,'апрель 2025'!$D$4:$D$2485,$B150,'апрель 2025'!$J$4:$J$2485,G$1)</f>
        <v>0</v>
      </c>
      <c r="H150" s="183">
        <f>SUMIFS('апрель 2025'!$G$4:$G$2485,'апрель 2025'!$D$4:$D$2485,$B150,'апрель 2025'!$J$4:$J$2485,H$1)</f>
        <v>0</v>
      </c>
      <c r="I150" s="183">
        <f>SUMIFS('апрель 2025'!$G$4:$G$2485,'апрель 2025'!$D$4:$D$2485,$B150,'апрель 2025'!$J$4:$J$2485,I$1)</f>
        <v>0</v>
      </c>
      <c r="J150" s="183">
        <f>SUMIFS('апрель 2025'!$G$4:$G$2485,'апрель 2025'!$D$4:$D$2485,$B150,'апрель 2025'!$J$4:$J$2485,J$1)</f>
        <v>0</v>
      </c>
      <c r="K150" s="183">
        <f>SUMIFS('апрель 2025'!$G$4:$G$2485,'апрель 2025'!$D$4:$D$2485,$B150,'апрель 2025'!$J$4:$J$2485,K$1)</f>
        <v>0</v>
      </c>
      <c r="L150" s="183">
        <f>SUMIFS('апрель 2025'!$G$4:$G$2485,'апрель 2025'!$D$4:$D$2485,$B150,'апрель 2025'!$J$4:$J$2485,L$1)</f>
        <v>0</v>
      </c>
      <c r="M150" s="183">
        <f>SUMIFS('апрель 2025'!$G$4:$G$2485,'апрель 2025'!$D$4:$D$2485,$B150,'апрель 2025'!$J$4:$J$2485,M$1)</f>
        <v>0</v>
      </c>
      <c r="N150" s="183">
        <f>SUMIFS('апрель 2025'!$G$4:$G$2485,'апрель 2025'!$D$4:$D$2485,$B150,'апрель 2025'!$J$4:$J$2485,N$1)</f>
        <v>0</v>
      </c>
      <c r="O150" s="183">
        <f>SUMIFS('апрель 2025'!$G$4:$G$2485,'апрель 2025'!$D$4:$D$2485,$B150,'апрель 2025'!$J$4:$J$2485,O$1)</f>
        <v>0</v>
      </c>
      <c r="P150" s="183">
        <f>SUMIFS('апрель 2025'!$G$4:$G$2485,'апрель 2025'!$D$4:$D$2485,$B150,'апрель 2025'!$J$4:$J$2485,P$1)</f>
        <v>0</v>
      </c>
      <c r="Q150" s="183">
        <f>SUMIFS('апрель 2025'!$G$4:$G$2485,'апрель 2025'!$D$4:$D$2485,$B150,'апрель 2025'!$J$4:$J$2485,Q$1)</f>
        <v>0</v>
      </c>
      <c r="R150" s="183">
        <f>SUMIFS('апрель 2025'!$G$4:$G$2485,'апрель 2025'!$D$4:$D$2485,$B150,'апрель 2025'!$J$4:$J$2485,R$1)</f>
        <v>0</v>
      </c>
      <c r="S150" s="183">
        <f>SUMIFS('апрель 2025'!$G$4:$G$2485,'апрель 2025'!$D$4:$D$2485,$B150,'апрель 2025'!$J$4:$J$2485,S$1)</f>
        <v>0</v>
      </c>
      <c r="T150" s="183">
        <f>SUMIFS('апрель 2025'!$G$4:$G$2485,'апрель 2025'!$D$4:$D$2485,$B150,'апрель 2025'!$J$4:$J$2485,T$1)</f>
        <v>0</v>
      </c>
      <c r="U150" s="183">
        <f>SUMIFS('апрель 2025'!$G$4:$G$2485,'апрель 2025'!$D$4:$D$2485,$B150,'апрель 2025'!$J$4:$J$2485,U$1)</f>
        <v>0</v>
      </c>
      <c r="V150" s="183">
        <f>SUMIFS('апрель 2025'!$G$4:$G$2485,'апрель 2025'!$D$4:$D$2485,$B150,'апрель 2025'!$J$4:$J$2485,V$1)</f>
        <v>0</v>
      </c>
      <c r="W150" s="183">
        <f>SUMIFS('апрель 2025'!$G$4:$G$2485,'апрель 2025'!$D$4:$D$2485,$B150,'апрель 2025'!$J$4:$J$2485,W$1)</f>
        <v>0</v>
      </c>
      <c r="X150" s="183">
        <f>SUMIFS('апрель 2025'!$G$4:$G$2485,'апрель 2025'!$D$4:$D$2485,$B150,'апрель 2025'!$J$4:$J$2485,X$1)</f>
        <v>0</v>
      </c>
      <c r="Y150" s="183">
        <f>SUMIFS('апрель 2025'!$G$4:$G$2485,'апрель 2025'!$D$4:$D$2485,$B150,'апрель 2025'!$J$4:$J$2485,Y$1)</f>
        <v>0</v>
      </c>
      <c r="Z150" s="183">
        <f>SUMIFS('апрель 2025'!$G$4:$G$2485,'апрель 2025'!$D$4:$D$2485,$B150,'апрель 2025'!$J$4:$J$2485,Z$1)</f>
        <v>0</v>
      </c>
      <c r="AA150" s="183">
        <f>SUMIFS('апрель 2025'!$G$4:$G$2485,'апрель 2025'!$D$4:$D$2485,$B150,'апрель 2025'!$J$4:$J$2485,AA$1)</f>
        <v>0</v>
      </c>
      <c r="AB150" s="183">
        <f>SUMIFS('апрель 2025'!$G$4:$G$2485,'апрель 2025'!$D$4:$D$2485,$B150,'апрель 2025'!$J$4:$J$2485,AB$1)</f>
        <v>0</v>
      </c>
      <c r="AC150" s="183">
        <f>SUMIFS('апрель 2025'!$G$4:$G$2485,'апрель 2025'!$D$4:$D$2485,$B150,'апрель 2025'!$J$4:$J$2485,AC$1)</f>
        <v>0</v>
      </c>
      <c r="AD150" s="183">
        <f>SUMIFS('апрель 2025'!$G$4:$G$2485,'апрель 2025'!$D$4:$D$2485,$B150,'апрель 2025'!$J$4:$J$2485,AD$1)</f>
        <v>0</v>
      </c>
      <c r="AE150" s="183">
        <f>SUMIFS('апрель 2025'!$G$4:$G$2485,'апрель 2025'!$D$4:$D$2485,$B150,'апрель 2025'!$J$4:$J$2485,AE$1)</f>
        <v>0</v>
      </c>
      <c r="AF150" s="183">
        <f>SUMIFS('апрель 2025'!$G$4:$G$2485,'апрель 2025'!$D$4:$D$2485,$B150,'апрель 2025'!$J$4:$J$2485,AF$1)</f>
        <v>0</v>
      </c>
      <c r="AG150" s="183">
        <f>SUMIFS('апрель 2025'!$G$4:$G$2485,'апрель 2025'!$D$4:$D$2485,$B150,'апрель 2025'!$J$4:$J$2485,AG$1)</f>
        <v>0</v>
      </c>
      <c r="AH150" s="183">
        <f>SUMIFS('апрель 2025'!$G$4:$G$2485,'апрель 2025'!$D$4:$D$2485,$B150,'апрель 2025'!$J$4:$J$2485,AH$1)</f>
        <v>0</v>
      </c>
      <c r="AI150" s="20">
        <f t="shared" si="1"/>
        <v>0</v>
      </c>
    </row>
    <row r="151" spans="2:35" ht="15" customHeight="1" x14ac:dyDescent="0.25">
      <c r="B151" s="84" t="s">
        <v>313</v>
      </c>
      <c r="C151" s="83">
        <v>1000</v>
      </c>
      <c r="D151" s="183">
        <f>SUMIFS('апрель 2025'!$G$4:$G$2485,'апрель 2025'!$D$4:$D$2485,$B151,'апрель 2025'!$J$4:$J$2485,D$1)</f>
        <v>0</v>
      </c>
      <c r="E151" s="183">
        <f>SUMIFS('апрель 2025'!$G$4:$G$2485,'апрель 2025'!$D$4:$D$2485,$B151,'апрель 2025'!$J$4:$J$2485,E$1)</f>
        <v>0</v>
      </c>
      <c r="F151" s="183">
        <f>SUMIFS('апрель 2025'!$G$4:$G$2485,'апрель 2025'!$D$4:$D$2485,$B151,'апрель 2025'!$J$4:$J$2485,F$1)</f>
        <v>0</v>
      </c>
      <c r="G151" s="183">
        <f>SUMIFS('апрель 2025'!$G$4:$G$2485,'апрель 2025'!$D$4:$D$2485,$B151,'апрель 2025'!$J$4:$J$2485,G$1)</f>
        <v>0</v>
      </c>
      <c r="H151" s="183">
        <f>SUMIFS('апрель 2025'!$G$4:$G$2485,'апрель 2025'!$D$4:$D$2485,$B151,'апрель 2025'!$J$4:$J$2485,H$1)</f>
        <v>0</v>
      </c>
      <c r="I151" s="183">
        <f>SUMIFS('апрель 2025'!$G$4:$G$2485,'апрель 2025'!$D$4:$D$2485,$B151,'апрель 2025'!$J$4:$J$2485,I$1)</f>
        <v>0</v>
      </c>
      <c r="J151" s="183">
        <f>SUMIFS('апрель 2025'!$G$4:$G$2485,'апрель 2025'!$D$4:$D$2485,$B151,'апрель 2025'!$J$4:$J$2485,J$1)</f>
        <v>0</v>
      </c>
      <c r="K151" s="183">
        <f>SUMIFS('апрель 2025'!$G$4:$G$2485,'апрель 2025'!$D$4:$D$2485,$B151,'апрель 2025'!$J$4:$J$2485,K$1)</f>
        <v>0</v>
      </c>
      <c r="L151" s="183">
        <f>SUMIFS('апрель 2025'!$G$4:$G$2485,'апрель 2025'!$D$4:$D$2485,$B151,'апрель 2025'!$J$4:$J$2485,L$1)</f>
        <v>0</v>
      </c>
      <c r="M151" s="183">
        <f>SUMIFS('апрель 2025'!$G$4:$G$2485,'апрель 2025'!$D$4:$D$2485,$B151,'апрель 2025'!$J$4:$J$2485,M$1)</f>
        <v>0</v>
      </c>
      <c r="N151" s="183">
        <f>SUMIFS('апрель 2025'!$G$4:$G$2485,'апрель 2025'!$D$4:$D$2485,$B151,'апрель 2025'!$J$4:$J$2485,N$1)</f>
        <v>0</v>
      </c>
      <c r="O151" s="183">
        <f>SUMIFS('апрель 2025'!$G$4:$G$2485,'апрель 2025'!$D$4:$D$2485,$B151,'апрель 2025'!$J$4:$J$2485,O$1)</f>
        <v>0</v>
      </c>
      <c r="P151" s="183">
        <f>SUMIFS('апрель 2025'!$G$4:$G$2485,'апрель 2025'!$D$4:$D$2485,$B151,'апрель 2025'!$J$4:$J$2485,P$1)</f>
        <v>0</v>
      </c>
      <c r="Q151" s="183">
        <f>SUMIFS('апрель 2025'!$G$4:$G$2485,'апрель 2025'!$D$4:$D$2485,$B151,'апрель 2025'!$J$4:$J$2485,Q$1)</f>
        <v>0</v>
      </c>
      <c r="R151" s="183">
        <f>SUMIFS('апрель 2025'!$G$4:$G$2485,'апрель 2025'!$D$4:$D$2485,$B151,'апрель 2025'!$J$4:$J$2485,R$1)</f>
        <v>0</v>
      </c>
      <c r="S151" s="183">
        <f>SUMIFS('апрель 2025'!$G$4:$G$2485,'апрель 2025'!$D$4:$D$2485,$B151,'апрель 2025'!$J$4:$J$2485,S$1)</f>
        <v>0</v>
      </c>
      <c r="T151" s="183">
        <f>SUMIFS('апрель 2025'!$G$4:$G$2485,'апрель 2025'!$D$4:$D$2485,$B151,'апрель 2025'!$J$4:$J$2485,T$1)</f>
        <v>0</v>
      </c>
      <c r="U151" s="183">
        <f>SUMIFS('апрель 2025'!$G$4:$G$2485,'апрель 2025'!$D$4:$D$2485,$B151,'апрель 2025'!$J$4:$J$2485,U$1)</f>
        <v>0</v>
      </c>
      <c r="V151" s="183">
        <f>SUMIFS('апрель 2025'!$G$4:$G$2485,'апрель 2025'!$D$4:$D$2485,$B151,'апрель 2025'!$J$4:$J$2485,V$1)</f>
        <v>0</v>
      </c>
      <c r="W151" s="183">
        <f>SUMIFS('апрель 2025'!$G$4:$G$2485,'апрель 2025'!$D$4:$D$2485,$B151,'апрель 2025'!$J$4:$J$2485,W$1)</f>
        <v>0</v>
      </c>
      <c r="X151" s="183">
        <f>SUMIFS('апрель 2025'!$G$4:$G$2485,'апрель 2025'!$D$4:$D$2485,$B151,'апрель 2025'!$J$4:$J$2485,X$1)</f>
        <v>0</v>
      </c>
      <c r="Y151" s="183">
        <f>SUMIFS('апрель 2025'!$G$4:$G$2485,'апрель 2025'!$D$4:$D$2485,$B151,'апрель 2025'!$J$4:$J$2485,Y$1)</f>
        <v>0</v>
      </c>
      <c r="Z151" s="183">
        <f>SUMIFS('апрель 2025'!$G$4:$G$2485,'апрель 2025'!$D$4:$D$2485,$B151,'апрель 2025'!$J$4:$J$2485,Z$1)</f>
        <v>0</v>
      </c>
      <c r="AA151" s="183">
        <f>SUMIFS('апрель 2025'!$G$4:$G$2485,'апрель 2025'!$D$4:$D$2485,$B151,'апрель 2025'!$J$4:$J$2485,AA$1)</f>
        <v>0</v>
      </c>
      <c r="AB151" s="183">
        <f>SUMIFS('апрель 2025'!$G$4:$G$2485,'апрель 2025'!$D$4:$D$2485,$B151,'апрель 2025'!$J$4:$J$2485,AB$1)</f>
        <v>0</v>
      </c>
      <c r="AC151" s="183">
        <f>SUMIFS('апрель 2025'!$G$4:$G$2485,'апрель 2025'!$D$4:$D$2485,$B151,'апрель 2025'!$J$4:$J$2485,AC$1)</f>
        <v>0</v>
      </c>
      <c r="AD151" s="183">
        <f>SUMIFS('апрель 2025'!$G$4:$G$2485,'апрель 2025'!$D$4:$D$2485,$B151,'апрель 2025'!$J$4:$J$2485,AD$1)</f>
        <v>0</v>
      </c>
      <c r="AE151" s="183">
        <f>SUMIFS('апрель 2025'!$G$4:$G$2485,'апрель 2025'!$D$4:$D$2485,$B151,'апрель 2025'!$J$4:$J$2485,AE$1)</f>
        <v>0</v>
      </c>
      <c r="AF151" s="183">
        <f>SUMIFS('апрель 2025'!$G$4:$G$2485,'апрель 2025'!$D$4:$D$2485,$B151,'апрель 2025'!$J$4:$J$2485,AF$1)</f>
        <v>0</v>
      </c>
      <c r="AG151" s="183">
        <f>SUMIFS('апрель 2025'!$G$4:$G$2485,'апрель 2025'!$D$4:$D$2485,$B151,'апрель 2025'!$J$4:$J$2485,AG$1)</f>
        <v>0</v>
      </c>
      <c r="AH151" s="183">
        <f>SUMIFS('апрель 2025'!$G$4:$G$2485,'апрель 2025'!$D$4:$D$2485,$B151,'апрель 2025'!$J$4:$J$2485,AH$1)</f>
        <v>0</v>
      </c>
      <c r="AI151" s="20">
        <f t="shared" si="1"/>
        <v>0</v>
      </c>
    </row>
    <row r="152" spans="2:35" ht="15" customHeight="1" x14ac:dyDescent="0.25">
      <c r="B152" s="84" t="s">
        <v>200</v>
      </c>
      <c r="C152" s="83">
        <v>200</v>
      </c>
      <c r="D152" s="183">
        <f>SUMIFS('апрель 2025'!$G$4:$G$2485,'апрель 2025'!$D$4:$D$2485,$B152,'апрель 2025'!$J$4:$J$2485,D$1)</f>
        <v>0</v>
      </c>
      <c r="E152" s="183">
        <f>SUMIFS('апрель 2025'!$G$4:$G$2485,'апрель 2025'!$D$4:$D$2485,$B152,'апрель 2025'!$J$4:$J$2485,E$1)</f>
        <v>0</v>
      </c>
      <c r="F152" s="183">
        <f>SUMIFS('апрель 2025'!$G$4:$G$2485,'апрель 2025'!$D$4:$D$2485,$B152,'апрель 2025'!$J$4:$J$2485,F$1)</f>
        <v>0</v>
      </c>
      <c r="G152" s="183">
        <f>SUMIFS('апрель 2025'!$G$4:$G$2485,'апрель 2025'!$D$4:$D$2485,$B152,'апрель 2025'!$J$4:$J$2485,G$1)</f>
        <v>0</v>
      </c>
      <c r="H152" s="183">
        <f>SUMIFS('апрель 2025'!$G$4:$G$2485,'апрель 2025'!$D$4:$D$2485,$B152,'апрель 2025'!$J$4:$J$2485,H$1)</f>
        <v>0</v>
      </c>
      <c r="I152" s="183">
        <f>SUMIFS('апрель 2025'!$G$4:$G$2485,'апрель 2025'!$D$4:$D$2485,$B152,'апрель 2025'!$J$4:$J$2485,I$1)</f>
        <v>0</v>
      </c>
      <c r="J152" s="183">
        <f>SUMIFS('апрель 2025'!$G$4:$G$2485,'апрель 2025'!$D$4:$D$2485,$B152,'апрель 2025'!$J$4:$J$2485,J$1)</f>
        <v>0</v>
      </c>
      <c r="K152" s="183">
        <f>SUMIFS('апрель 2025'!$G$4:$G$2485,'апрель 2025'!$D$4:$D$2485,$B152,'апрель 2025'!$J$4:$J$2485,K$1)</f>
        <v>0</v>
      </c>
      <c r="L152" s="183">
        <f>SUMIFS('апрель 2025'!$G$4:$G$2485,'апрель 2025'!$D$4:$D$2485,$B152,'апрель 2025'!$J$4:$J$2485,L$1)</f>
        <v>0</v>
      </c>
      <c r="M152" s="183">
        <f>SUMIFS('апрель 2025'!$G$4:$G$2485,'апрель 2025'!$D$4:$D$2485,$B152,'апрель 2025'!$J$4:$J$2485,M$1)</f>
        <v>0</v>
      </c>
      <c r="N152" s="183">
        <f>SUMIFS('апрель 2025'!$G$4:$G$2485,'апрель 2025'!$D$4:$D$2485,$B152,'апрель 2025'!$J$4:$J$2485,N$1)</f>
        <v>0</v>
      </c>
      <c r="O152" s="183">
        <f>SUMIFS('апрель 2025'!$G$4:$G$2485,'апрель 2025'!$D$4:$D$2485,$B152,'апрель 2025'!$J$4:$J$2485,O$1)</f>
        <v>0</v>
      </c>
      <c r="P152" s="183">
        <f>SUMIFS('апрель 2025'!$G$4:$G$2485,'апрель 2025'!$D$4:$D$2485,$B152,'апрель 2025'!$J$4:$J$2485,P$1)</f>
        <v>0</v>
      </c>
      <c r="Q152" s="183">
        <f>SUMIFS('апрель 2025'!$G$4:$G$2485,'апрель 2025'!$D$4:$D$2485,$B152,'апрель 2025'!$J$4:$J$2485,Q$1)</f>
        <v>0</v>
      </c>
      <c r="R152" s="183">
        <f>SUMIFS('апрель 2025'!$G$4:$G$2485,'апрель 2025'!$D$4:$D$2485,$B152,'апрель 2025'!$J$4:$J$2485,R$1)</f>
        <v>0</v>
      </c>
      <c r="S152" s="183">
        <f>SUMIFS('апрель 2025'!$G$4:$G$2485,'апрель 2025'!$D$4:$D$2485,$B152,'апрель 2025'!$J$4:$J$2485,S$1)</f>
        <v>0</v>
      </c>
      <c r="T152" s="183">
        <f>SUMIFS('апрель 2025'!$G$4:$G$2485,'апрель 2025'!$D$4:$D$2485,$B152,'апрель 2025'!$J$4:$J$2485,T$1)</f>
        <v>0</v>
      </c>
      <c r="U152" s="183">
        <f>SUMIFS('апрель 2025'!$G$4:$G$2485,'апрель 2025'!$D$4:$D$2485,$B152,'апрель 2025'!$J$4:$J$2485,U$1)</f>
        <v>0</v>
      </c>
      <c r="V152" s="183">
        <f>SUMIFS('апрель 2025'!$G$4:$G$2485,'апрель 2025'!$D$4:$D$2485,$B152,'апрель 2025'!$J$4:$J$2485,V$1)</f>
        <v>0</v>
      </c>
      <c r="W152" s="183">
        <f>SUMIFS('апрель 2025'!$G$4:$G$2485,'апрель 2025'!$D$4:$D$2485,$B152,'апрель 2025'!$J$4:$J$2485,W$1)</f>
        <v>0</v>
      </c>
      <c r="X152" s="183">
        <f>SUMIFS('апрель 2025'!$G$4:$G$2485,'апрель 2025'!$D$4:$D$2485,$B152,'апрель 2025'!$J$4:$J$2485,X$1)</f>
        <v>0</v>
      </c>
      <c r="Y152" s="183">
        <f>SUMIFS('апрель 2025'!$G$4:$G$2485,'апрель 2025'!$D$4:$D$2485,$B152,'апрель 2025'!$J$4:$J$2485,Y$1)</f>
        <v>0</v>
      </c>
      <c r="Z152" s="183">
        <f>SUMIFS('апрель 2025'!$G$4:$G$2485,'апрель 2025'!$D$4:$D$2485,$B152,'апрель 2025'!$J$4:$J$2485,Z$1)</f>
        <v>0</v>
      </c>
      <c r="AA152" s="183">
        <f>SUMIFS('апрель 2025'!$G$4:$G$2485,'апрель 2025'!$D$4:$D$2485,$B152,'апрель 2025'!$J$4:$J$2485,AA$1)</f>
        <v>0</v>
      </c>
      <c r="AB152" s="183">
        <f>SUMIFS('апрель 2025'!$G$4:$G$2485,'апрель 2025'!$D$4:$D$2485,$B152,'апрель 2025'!$J$4:$J$2485,AB$1)</f>
        <v>0</v>
      </c>
      <c r="AC152" s="183">
        <f>SUMIFS('апрель 2025'!$G$4:$G$2485,'апрель 2025'!$D$4:$D$2485,$B152,'апрель 2025'!$J$4:$J$2485,AC$1)</f>
        <v>0</v>
      </c>
      <c r="AD152" s="183">
        <f>SUMIFS('апрель 2025'!$G$4:$G$2485,'апрель 2025'!$D$4:$D$2485,$B152,'апрель 2025'!$J$4:$J$2485,AD$1)</f>
        <v>0</v>
      </c>
      <c r="AE152" s="183">
        <f>SUMIFS('апрель 2025'!$G$4:$G$2485,'апрель 2025'!$D$4:$D$2485,$B152,'апрель 2025'!$J$4:$J$2485,AE$1)</f>
        <v>0</v>
      </c>
      <c r="AF152" s="183">
        <f>SUMIFS('апрель 2025'!$G$4:$G$2485,'апрель 2025'!$D$4:$D$2485,$B152,'апрель 2025'!$J$4:$J$2485,AF$1)</f>
        <v>0</v>
      </c>
      <c r="AG152" s="183">
        <f>SUMIFS('апрель 2025'!$G$4:$G$2485,'апрель 2025'!$D$4:$D$2485,$B152,'апрель 2025'!$J$4:$J$2485,AG$1)</f>
        <v>0</v>
      </c>
      <c r="AH152" s="183">
        <f>SUMIFS('апрель 2025'!$G$4:$G$2485,'апрель 2025'!$D$4:$D$2485,$B152,'апрель 2025'!$J$4:$J$2485,AH$1)</f>
        <v>0</v>
      </c>
      <c r="AI152" s="20">
        <f t="shared" si="1"/>
        <v>0</v>
      </c>
    </row>
    <row r="153" spans="2:35" ht="15" customHeight="1" x14ac:dyDescent="0.25">
      <c r="B153" s="84" t="s">
        <v>275</v>
      </c>
      <c r="C153" s="83">
        <v>200</v>
      </c>
      <c r="D153" s="183">
        <f>SUMIFS('апрель 2025'!$G$4:$G$2485,'апрель 2025'!$D$4:$D$2485,$B153,'апрель 2025'!$J$4:$J$2485,D$1)</f>
        <v>0</v>
      </c>
      <c r="E153" s="183">
        <f>SUMIFS('апрель 2025'!$G$4:$G$2485,'апрель 2025'!$D$4:$D$2485,$B153,'апрель 2025'!$J$4:$J$2485,E$1)</f>
        <v>0</v>
      </c>
      <c r="F153" s="183">
        <f>SUMIFS('апрель 2025'!$G$4:$G$2485,'апрель 2025'!$D$4:$D$2485,$B153,'апрель 2025'!$J$4:$J$2485,F$1)</f>
        <v>0</v>
      </c>
      <c r="G153" s="183">
        <f>SUMIFS('апрель 2025'!$G$4:$G$2485,'апрель 2025'!$D$4:$D$2485,$B153,'апрель 2025'!$J$4:$J$2485,G$1)</f>
        <v>0</v>
      </c>
      <c r="H153" s="183">
        <f>SUMIFS('апрель 2025'!$G$4:$G$2485,'апрель 2025'!$D$4:$D$2485,$B153,'апрель 2025'!$J$4:$J$2485,H$1)</f>
        <v>0</v>
      </c>
      <c r="I153" s="183">
        <f>SUMIFS('апрель 2025'!$G$4:$G$2485,'апрель 2025'!$D$4:$D$2485,$B153,'апрель 2025'!$J$4:$J$2485,I$1)</f>
        <v>0</v>
      </c>
      <c r="J153" s="183">
        <f>SUMIFS('апрель 2025'!$G$4:$G$2485,'апрель 2025'!$D$4:$D$2485,$B153,'апрель 2025'!$J$4:$J$2485,J$1)</f>
        <v>0</v>
      </c>
      <c r="K153" s="183">
        <f>SUMIFS('апрель 2025'!$G$4:$G$2485,'апрель 2025'!$D$4:$D$2485,$B153,'апрель 2025'!$J$4:$J$2485,K$1)</f>
        <v>0</v>
      </c>
      <c r="L153" s="183">
        <f>SUMIFS('апрель 2025'!$G$4:$G$2485,'апрель 2025'!$D$4:$D$2485,$B153,'апрель 2025'!$J$4:$J$2485,L$1)</f>
        <v>0</v>
      </c>
      <c r="M153" s="183">
        <f>SUMIFS('апрель 2025'!$G$4:$G$2485,'апрель 2025'!$D$4:$D$2485,$B153,'апрель 2025'!$J$4:$J$2485,M$1)</f>
        <v>0</v>
      </c>
      <c r="N153" s="183">
        <f>SUMIFS('апрель 2025'!$G$4:$G$2485,'апрель 2025'!$D$4:$D$2485,$B153,'апрель 2025'!$J$4:$J$2485,N$1)</f>
        <v>0</v>
      </c>
      <c r="O153" s="183">
        <f>SUMIFS('апрель 2025'!$G$4:$G$2485,'апрель 2025'!$D$4:$D$2485,$B153,'апрель 2025'!$J$4:$J$2485,O$1)</f>
        <v>0</v>
      </c>
      <c r="P153" s="183">
        <f>SUMIFS('апрель 2025'!$G$4:$G$2485,'апрель 2025'!$D$4:$D$2485,$B153,'апрель 2025'!$J$4:$J$2485,P$1)</f>
        <v>0</v>
      </c>
      <c r="Q153" s="183">
        <f>SUMIFS('апрель 2025'!$G$4:$G$2485,'апрель 2025'!$D$4:$D$2485,$B153,'апрель 2025'!$J$4:$J$2485,Q$1)</f>
        <v>0</v>
      </c>
      <c r="R153" s="183">
        <f>SUMIFS('апрель 2025'!$G$4:$G$2485,'апрель 2025'!$D$4:$D$2485,$B153,'апрель 2025'!$J$4:$J$2485,R$1)</f>
        <v>0</v>
      </c>
      <c r="S153" s="183">
        <f>SUMIFS('апрель 2025'!$G$4:$G$2485,'апрель 2025'!$D$4:$D$2485,$B153,'апрель 2025'!$J$4:$J$2485,S$1)</f>
        <v>0</v>
      </c>
      <c r="T153" s="183">
        <f>SUMIFS('апрель 2025'!$G$4:$G$2485,'апрель 2025'!$D$4:$D$2485,$B153,'апрель 2025'!$J$4:$J$2485,T$1)</f>
        <v>0</v>
      </c>
      <c r="U153" s="183">
        <f>SUMIFS('апрель 2025'!$G$4:$G$2485,'апрель 2025'!$D$4:$D$2485,$B153,'апрель 2025'!$J$4:$J$2485,U$1)</f>
        <v>0</v>
      </c>
      <c r="V153" s="183">
        <f>SUMIFS('апрель 2025'!$G$4:$G$2485,'апрель 2025'!$D$4:$D$2485,$B153,'апрель 2025'!$J$4:$J$2485,V$1)</f>
        <v>0</v>
      </c>
      <c r="W153" s="183">
        <f>SUMIFS('апрель 2025'!$G$4:$G$2485,'апрель 2025'!$D$4:$D$2485,$B153,'апрель 2025'!$J$4:$J$2485,W$1)</f>
        <v>0</v>
      </c>
      <c r="X153" s="183">
        <f>SUMIFS('апрель 2025'!$G$4:$G$2485,'апрель 2025'!$D$4:$D$2485,$B153,'апрель 2025'!$J$4:$J$2485,X$1)</f>
        <v>0</v>
      </c>
      <c r="Y153" s="183">
        <f>SUMIFS('апрель 2025'!$G$4:$G$2485,'апрель 2025'!$D$4:$D$2485,$B153,'апрель 2025'!$J$4:$J$2485,Y$1)</f>
        <v>0</v>
      </c>
      <c r="Z153" s="183">
        <f>SUMIFS('апрель 2025'!$G$4:$G$2485,'апрель 2025'!$D$4:$D$2485,$B153,'апрель 2025'!$J$4:$J$2485,Z$1)</f>
        <v>0</v>
      </c>
      <c r="AA153" s="183">
        <f>SUMIFS('апрель 2025'!$G$4:$G$2485,'апрель 2025'!$D$4:$D$2485,$B153,'апрель 2025'!$J$4:$J$2485,AA$1)</f>
        <v>0</v>
      </c>
      <c r="AB153" s="183">
        <f>SUMIFS('апрель 2025'!$G$4:$G$2485,'апрель 2025'!$D$4:$D$2485,$B153,'апрель 2025'!$J$4:$J$2485,AB$1)</f>
        <v>0</v>
      </c>
      <c r="AC153" s="183">
        <f>SUMIFS('апрель 2025'!$G$4:$G$2485,'апрель 2025'!$D$4:$D$2485,$B153,'апрель 2025'!$J$4:$J$2485,AC$1)</f>
        <v>0</v>
      </c>
      <c r="AD153" s="183">
        <f>SUMIFS('апрель 2025'!$G$4:$G$2485,'апрель 2025'!$D$4:$D$2485,$B153,'апрель 2025'!$J$4:$J$2485,AD$1)</f>
        <v>0</v>
      </c>
      <c r="AE153" s="183">
        <f>SUMIFS('апрель 2025'!$G$4:$G$2485,'апрель 2025'!$D$4:$D$2485,$B153,'апрель 2025'!$J$4:$J$2485,AE$1)</f>
        <v>0</v>
      </c>
      <c r="AF153" s="183">
        <f>SUMIFS('апрель 2025'!$G$4:$G$2485,'апрель 2025'!$D$4:$D$2485,$B153,'апрель 2025'!$J$4:$J$2485,AF$1)</f>
        <v>0</v>
      </c>
      <c r="AG153" s="183">
        <f>SUMIFS('апрель 2025'!$G$4:$G$2485,'апрель 2025'!$D$4:$D$2485,$B153,'апрель 2025'!$J$4:$J$2485,AG$1)</f>
        <v>0</v>
      </c>
      <c r="AH153" s="183">
        <f>SUMIFS('апрель 2025'!$G$4:$G$2485,'апрель 2025'!$D$4:$D$2485,$B153,'апрель 2025'!$J$4:$J$2485,AH$1)</f>
        <v>0</v>
      </c>
      <c r="AI153" s="20">
        <f t="shared" si="1"/>
        <v>0</v>
      </c>
    </row>
    <row r="154" spans="2:35" ht="15" customHeight="1" x14ac:dyDescent="0.25">
      <c r="B154" s="84" t="s">
        <v>204</v>
      </c>
      <c r="C154" s="86">
        <v>200</v>
      </c>
      <c r="D154" s="183">
        <f>SUMIFS('апрель 2025'!$G$4:$G$2485,'апрель 2025'!$D$4:$D$2485,$B154,'апрель 2025'!$J$4:$J$2485,D$1)</f>
        <v>0</v>
      </c>
      <c r="E154" s="183">
        <f>SUMIFS('апрель 2025'!$G$4:$G$2485,'апрель 2025'!$D$4:$D$2485,$B154,'апрель 2025'!$J$4:$J$2485,E$1)</f>
        <v>0</v>
      </c>
      <c r="F154" s="183">
        <f>SUMIFS('апрель 2025'!$G$4:$G$2485,'апрель 2025'!$D$4:$D$2485,$B154,'апрель 2025'!$J$4:$J$2485,F$1)</f>
        <v>0</v>
      </c>
      <c r="G154" s="183">
        <f>SUMIFS('апрель 2025'!$G$4:$G$2485,'апрель 2025'!$D$4:$D$2485,$B154,'апрель 2025'!$J$4:$J$2485,G$1)</f>
        <v>0</v>
      </c>
      <c r="H154" s="183">
        <f>SUMIFS('апрель 2025'!$G$4:$G$2485,'апрель 2025'!$D$4:$D$2485,$B154,'апрель 2025'!$J$4:$J$2485,H$1)</f>
        <v>0</v>
      </c>
      <c r="I154" s="183">
        <f>SUMIFS('апрель 2025'!$G$4:$G$2485,'апрель 2025'!$D$4:$D$2485,$B154,'апрель 2025'!$J$4:$J$2485,I$1)</f>
        <v>0</v>
      </c>
      <c r="J154" s="183">
        <f>SUMIFS('апрель 2025'!$G$4:$G$2485,'апрель 2025'!$D$4:$D$2485,$B154,'апрель 2025'!$J$4:$J$2485,J$1)</f>
        <v>0</v>
      </c>
      <c r="K154" s="183">
        <f>SUMIFS('апрель 2025'!$G$4:$G$2485,'апрель 2025'!$D$4:$D$2485,$B154,'апрель 2025'!$J$4:$J$2485,K$1)</f>
        <v>0</v>
      </c>
      <c r="L154" s="183">
        <f>SUMIFS('апрель 2025'!$G$4:$G$2485,'апрель 2025'!$D$4:$D$2485,$B154,'апрель 2025'!$J$4:$J$2485,L$1)</f>
        <v>0</v>
      </c>
      <c r="M154" s="183">
        <f>SUMIFS('апрель 2025'!$G$4:$G$2485,'апрель 2025'!$D$4:$D$2485,$B154,'апрель 2025'!$J$4:$J$2485,M$1)</f>
        <v>0</v>
      </c>
      <c r="N154" s="183">
        <f>SUMIFS('апрель 2025'!$G$4:$G$2485,'апрель 2025'!$D$4:$D$2485,$B154,'апрель 2025'!$J$4:$J$2485,N$1)</f>
        <v>0</v>
      </c>
      <c r="O154" s="183">
        <f>SUMIFS('апрель 2025'!$G$4:$G$2485,'апрель 2025'!$D$4:$D$2485,$B154,'апрель 2025'!$J$4:$J$2485,O$1)</f>
        <v>0</v>
      </c>
      <c r="P154" s="183">
        <f>SUMIFS('апрель 2025'!$G$4:$G$2485,'апрель 2025'!$D$4:$D$2485,$B154,'апрель 2025'!$J$4:$J$2485,P$1)</f>
        <v>0</v>
      </c>
      <c r="Q154" s="183">
        <f>SUMIFS('апрель 2025'!$G$4:$G$2485,'апрель 2025'!$D$4:$D$2485,$B154,'апрель 2025'!$J$4:$J$2485,Q$1)</f>
        <v>0</v>
      </c>
      <c r="R154" s="183">
        <f>SUMIFS('апрель 2025'!$G$4:$G$2485,'апрель 2025'!$D$4:$D$2485,$B154,'апрель 2025'!$J$4:$J$2485,R$1)</f>
        <v>0</v>
      </c>
      <c r="S154" s="183">
        <f>SUMIFS('апрель 2025'!$G$4:$G$2485,'апрель 2025'!$D$4:$D$2485,$B154,'апрель 2025'!$J$4:$J$2485,S$1)</f>
        <v>0</v>
      </c>
      <c r="T154" s="183">
        <f>SUMIFS('апрель 2025'!$G$4:$G$2485,'апрель 2025'!$D$4:$D$2485,$B154,'апрель 2025'!$J$4:$J$2485,T$1)</f>
        <v>0</v>
      </c>
      <c r="U154" s="183">
        <f>SUMIFS('апрель 2025'!$G$4:$G$2485,'апрель 2025'!$D$4:$D$2485,$B154,'апрель 2025'!$J$4:$J$2485,U$1)</f>
        <v>0</v>
      </c>
      <c r="V154" s="183">
        <f>SUMIFS('апрель 2025'!$G$4:$G$2485,'апрель 2025'!$D$4:$D$2485,$B154,'апрель 2025'!$J$4:$J$2485,V$1)</f>
        <v>0</v>
      </c>
      <c r="W154" s="183">
        <f>SUMIFS('апрель 2025'!$G$4:$G$2485,'апрель 2025'!$D$4:$D$2485,$B154,'апрель 2025'!$J$4:$J$2485,W$1)</f>
        <v>0</v>
      </c>
      <c r="X154" s="183">
        <f>SUMIFS('апрель 2025'!$G$4:$G$2485,'апрель 2025'!$D$4:$D$2485,$B154,'апрель 2025'!$J$4:$J$2485,X$1)</f>
        <v>0</v>
      </c>
      <c r="Y154" s="183">
        <f>SUMIFS('апрель 2025'!$G$4:$G$2485,'апрель 2025'!$D$4:$D$2485,$B154,'апрель 2025'!$J$4:$J$2485,Y$1)</f>
        <v>0</v>
      </c>
      <c r="Z154" s="183">
        <f>SUMIFS('апрель 2025'!$G$4:$G$2485,'апрель 2025'!$D$4:$D$2485,$B154,'апрель 2025'!$J$4:$J$2485,Z$1)</f>
        <v>0</v>
      </c>
      <c r="AA154" s="183">
        <f>SUMIFS('апрель 2025'!$G$4:$G$2485,'апрель 2025'!$D$4:$D$2485,$B154,'апрель 2025'!$J$4:$J$2485,AA$1)</f>
        <v>0</v>
      </c>
      <c r="AB154" s="183">
        <f>SUMIFS('апрель 2025'!$G$4:$G$2485,'апрель 2025'!$D$4:$D$2485,$B154,'апрель 2025'!$J$4:$J$2485,AB$1)</f>
        <v>0</v>
      </c>
      <c r="AC154" s="183">
        <f>SUMIFS('апрель 2025'!$G$4:$G$2485,'апрель 2025'!$D$4:$D$2485,$B154,'апрель 2025'!$J$4:$J$2485,AC$1)</f>
        <v>0</v>
      </c>
      <c r="AD154" s="183">
        <f>SUMIFS('апрель 2025'!$G$4:$G$2485,'апрель 2025'!$D$4:$D$2485,$B154,'апрель 2025'!$J$4:$J$2485,AD$1)</f>
        <v>0</v>
      </c>
      <c r="AE154" s="183">
        <f>SUMIFS('апрель 2025'!$G$4:$G$2485,'апрель 2025'!$D$4:$D$2485,$B154,'апрель 2025'!$J$4:$J$2485,AE$1)</f>
        <v>0</v>
      </c>
      <c r="AF154" s="183">
        <f>SUMIFS('апрель 2025'!$G$4:$G$2485,'апрель 2025'!$D$4:$D$2485,$B154,'апрель 2025'!$J$4:$J$2485,AF$1)</f>
        <v>0</v>
      </c>
      <c r="AG154" s="183">
        <f>SUMIFS('апрель 2025'!$G$4:$G$2485,'апрель 2025'!$D$4:$D$2485,$B154,'апрель 2025'!$J$4:$J$2485,AG$1)</f>
        <v>0</v>
      </c>
      <c r="AH154" s="183">
        <f>SUMIFS('апрель 2025'!$G$4:$G$2485,'апрель 2025'!$D$4:$D$2485,$B154,'апрель 2025'!$J$4:$J$2485,AH$1)</f>
        <v>0</v>
      </c>
      <c r="AI154" s="20">
        <f t="shared" si="1"/>
        <v>0</v>
      </c>
    </row>
    <row r="155" spans="2:35" ht="15" customHeight="1" x14ac:dyDescent="0.25">
      <c r="B155" s="84" t="s">
        <v>290</v>
      </c>
      <c r="C155" s="86">
        <v>200</v>
      </c>
      <c r="D155" s="183">
        <f>SUMIFS('апрель 2025'!$G$4:$G$2485,'апрель 2025'!$D$4:$D$2485,$B155,'апрель 2025'!$J$4:$J$2485,D$1)</f>
        <v>0</v>
      </c>
      <c r="E155" s="183">
        <f>SUMIFS('апрель 2025'!$G$4:$G$2485,'апрель 2025'!$D$4:$D$2485,$B155,'апрель 2025'!$J$4:$J$2485,E$1)</f>
        <v>0</v>
      </c>
      <c r="F155" s="183">
        <f>SUMIFS('апрель 2025'!$G$4:$G$2485,'апрель 2025'!$D$4:$D$2485,$B155,'апрель 2025'!$J$4:$J$2485,F$1)</f>
        <v>0</v>
      </c>
      <c r="G155" s="183">
        <f>SUMIFS('апрель 2025'!$G$4:$G$2485,'апрель 2025'!$D$4:$D$2485,$B155,'апрель 2025'!$J$4:$J$2485,G$1)</f>
        <v>0</v>
      </c>
      <c r="H155" s="183">
        <f>SUMIFS('апрель 2025'!$G$4:$G$2485,'апрель 2025'!$D$4:$D$2485,$B155,'апрель 2025'!$J$4:$J$2485,H$1)</f>
        <v>0</v>
      </c>
      <c r="I155" s="183">
        <f>SUMIFS('апрель 2025'!$G$4:$G$2485,'апрель 2025'!$D$4:$D$2485,$B155,'апрель 2025'!$J$4:$J$2485,I$1)</f>
        <v>0</v>
      </c>
      <c r="J155" s="183">
        <f>SUMIFS('апрель 2025'!$G$4:$G$2485,'апрель 2025'!$D$4:$D$2485,$B155,'апрель 2025'!$J$4:$J$2485,J$1)</f>
        <v>0</v>
      </c>
      <c r="K155" s="183">
        <f>SUMIFS('апрель 2025'!$G$4:$G$2485,'апрель 2025'!$D$4:$D$2485,$B155,'апрель 2025'!$J$4:$J$2485,K$1)</f>
        <v>0</v>
      </c>
      <c r="L155" s="183">
        <f>SUMIFS('апрель 2025'!$G$4:$G$2485,'апрель 2025'!$D$4:$D$2485,$B155,'апрель 2025'!$J$4:$J$2485,L$1)</f>
        <v>0</v>
      </c>
      <c r="M155" s="183">
        <f>SUMIFS('апрель 2025'!$G$4:$G$2485,'апрель 2025'!$D$4:$D$2485,$B155,'апрель 2025'!$J$4:$J$2485,M$1)</f>
        <v>0</v>
      </c>
      <c r="N155" s="183">
        <f>SUMIFS('апрель 2025'!$G$4:$G$2485,'апрель 2025'!$D$4:$D$2485,$B155,'апрель 2025'!$J$4:$J$2485,N$1)</f>
        <v>0</v>
      </c>
      <c r="O155" s="183">
        <f>SUMIFS('апрель 2025'!$G$4:$G$2485,'апрель 2025'!$D$4:$D$2485,$B155,'апрель 2025'!$J$4:$J$2485,O$1)</f>
        <v>0</v>
      </c>
      <c r="P155" s="183">
        <f>SUMIFS('апрель 2025'!$G$4:$G$2485,'апрель 2025'!$D$4:$D$2485,$B155,'апрель 2025'!$J$4:$J$2485,P$1)</f>
        <v>0</v>
      </c>
      <c r="Q155" s="183">
        <f>SUMIFS('апрель 2025'!$G$4:$G$2485,'апрель 2025'!$D$4:$D$2485,$B155,'апрель 2025'!$J$4:$J$2485,Q$1)</f>
        <v>0</v>
      </c>
      <c r="R155" s="183">
        <f>SUMIFS('апрель 2025'!$G$4:$G$2485,'апрель 2025'!$D$4:$D$2485,$B155,'апрель 2025'!$J$4:$J$2485,R$1)</f>
        <v>0</v>
      </c>
      <c r="S155" s="183">
        <f>SUMIFS('апрель 2025'!$G$4:$G$2485,'апрель 2025'!$D$4:$D$2485,$B155,'апрель 2025'!$J$4:$J$2485,S$1)</f>
        <v>0</v>
      </c>
      <c r="T155" s="183">
        <f>SUMIFS('апрель 2025'!$G$4:$G$2485,'апрель 2025'!$D$4:$D$2485,$B155,'апрель 2025'!$J$4:$J$2485,T$1)</f>
        <v>0</v>
      </c>
      <c r="U155" s="183">
        <f>SUMIFS('апрель 2025'!$G$4:$G$2485,'апрель 2025'!$D$4:$D$2485,$B155,'апрель 2025'!$J$4:$J$2485,U$1)</f>
        <v>0</v>
      </c>
      <c r="V155" s="183">
        <f>SUMIFS('апрель 2025'!$G$4:$G$2485,'апрель 2025'!$D$4:$D$2485,$B155,'апрель 2025'!$J$4:$J$2485,V$1)</f>
        <v>0</v>
      </c>
      <c r="W155" s="183">
        <f>SUMIFS('апрель 2025'!$G$4:$G$2485,'апрель 2025'!$D$4:$D$2485,$B155,'апрель 2025'!$J$4:$J$2485,W$1)</f>
        <v>0</v>
      </c>
      <c r="X155" s="183">
        <f>SUMIFS('апрель 2025'!$G$4:$G$2485,'апрель 2025'!$D$4:$D$2485,$B155,'апрель 2025'!$J$4:$J$2485,X$1)</f>
        <v>0</v>
      </c>
      <c r="Y155" s="183">
        <f>SUMIFS('апрель 2025'!$G$4:$G$2485,'апрель 2025'!$D$4:$D$2485,$B155,'апрель 2025'!$J$4:$J$2485,Y$1)</f>
        <v>0</v>
      </c>
      <c r="Z155" s="183">
        <f>SUMIFS('апрель 2025'!$G$4:$G$2485,'апрель 2025'!$D$4:$D$2485,$B155,'апрель 2025'!$J$4:$J$2485,Z$1)</f>
        <v>0</v>
      </c>
      <c r="AA155" s="183">
        <f>SUMIFS('апрель 2025'!$G$4:$G$2485,'апрель 2025'!$D$4:$D$2485,$B155,'апрель 2025'!$J$4:$J$2485,AA$1)</f>
        <v>0</v>
      </c>
      <c r="AB155" s="183">
        <f>SUMIFS('апрель 2025'!$G$4:$G$2485,'апрель 2025'!$D$4:$D$2485,$B155,'апрель 2025'!$J$4:$J$2485,AB$1)</f>
        <v>0</v>
      </c>
      <c r="AC155" s="183">
        <f>SUMIFS('апрель 2025'!$G$4:$G$2485,'апрель 2025'!$D$4:$D$2485,$B155,'апрель 2025'!$J$4:$J$2485,AC$1)</f>
        <v>0</v>
      </c>
      <c r="AD155" s="183">
        <f>SUMIFS('апрель 2025'!$G$4:$G$2485,'апрель 2025'!$D$4:$D$2485,$B155,'апрель 2025'!$J$4:$J$2485,AD$1)</f>
        <v>0</v>
      </c>
      <c r="AE155" s="183">
        <f>SUMIFS('апрель 2025'!$G$4:$G$2485,'апрель 2025'!$D$4:$D$2485,$B155,'апрель 2025'!$J$4:$J$2485,AE$1)</f>
        <v>0</v>
      </c>
      <c r="AF155" s="183">
        <f>SUMIFS('апрель 2025'!$G$4:$G$2485,'апрель 2025'!$D$4:$D$2485,$B155,'апрель 2025'!$J$4:$J$2485,AF$1)</f>
        <v>0</v>
      </c>
      <c r="AG155" s="183">
        <f>SUMIFS('апрель 2025'!$G$4:$G$2485,'апрель 2025'!$D$4:$D$2485,$B155,'апрель 2025'!$J$4:$J$2485,AG$1)</f>
        <v>0</v>
      </c>
      <c r="AH155" s="183">
        <f>SUMIFS('апрель 2025'!$G$4:$G$2485,'апрель 2025'!$D$4:$D$2485,$B155,'апрель 2025'!$J$4:$J$2485,AH$1)</f>
        <v>0</v>
      </c>
      <c r="AI155" s="20">
        <f t="shared" si="1"/>
        <v>0</v>
      </c>
    </row>
    <row r="156" spans="2:35" ht="15" customHeight="1" x14ac:dyDescent="0.25">
      <c r="B156" s="88" t="s">
        <v>177</v>
      </c>
      <c r="C156" s="86">
        <v>25</v>
      </c>
      <c r="D156" s="183">
        <f>SUMIFS('апрель 2025'!$G$4:$G$2485,'апрель 2025'!$D$4:$D$2485,$B156,'апрель 2025'!$J$4:$J$2485,D$1)</f>
        <v>0</v>
      </c>
      <c r="E156" s="183">
        <f>SUMIFS('апрель 2025'!$G$4:$G$2485,'апрель 2025'!$D$4:$D$2485,$B156,'апрель 2025'!$J$4:$J$2485,E$1)</f>
        <v>0</v>
      </c>
      <c r="F156" s="183">
        <f>SUMIFS('апрель 2025'!$G$4:$G$2485,'апрель 2025'!$D$4:$D$2485,$B156,'апрель 2025'!$J$4:$J$2485,F$1)</f>
        <v>0</v>
      </c>
      <c r="G156" s="183">
        <f>SUMIFS('апрель 2025'!$G$4:$G$2485,'апрель 2025'!$D$4:$D$2485,$B156,'апрель 2025'!$J$4:$J$2485,G$1)</f>
        <v>0</v>
      </c>
      <c r="H156" s="183">
        <f>SUMIFS('апрель 2025'!$G$4:$G$2485,'апрель 2025'!$D$4:$D$2485,$B156,'апрель 2025'!$J$4:$J$2485,H$1)</f>
        <v>0</v>
      </c>
      <c r="I156" s="183">
        <f>SUMIFS('апрель 2025'!$G$4:$G$2485,'апрель 2025'!$D$4:$D$2485,$B156,'апрель 2025'!$J$4:$J$2485,I$1)</f>
        <v>0</v>
      </c>
      <c r="J156" s="183">
        <f>SUMIFS('апрель 2025'!$G$4:$G$2485,'апрель 2025'!$D$4:$D$2485,$B156,'апрель 2025'!$J$4:$J$2485,J$1)</f>
        <v>0</v>
      </c>
      <c r="K156" s="183">
        <f>SUMIFS('апрель 2025'!$G$4:$G$2485,'апрель 2025'!$D$4:$D$2485,$B156,'апрель 2025'!$J$4:$J$2485,K$1)</f>
        <v>0</v>
      </c>
      <c r="L156" s="183">
        <f>SUMIFS('апрель 2025'!$G$4:$G$2485,'апрель 2025'!$D$4:$D$2485,$B156,'апрель 2025'!$J$4:$J$2485,L$1)</f>
        <v>0</v>
      </c>
      <c r="M156" s="183">
        <f>SUMIFS('апрель 2025'!$G$4:$G$2485,'апрель 2025'!$D$4:$D$2485,$B156,'апрель 2025'!$J$4:$J$2485,M$1)</f>
        <v>0</v>
      </c>
      <c r="N156" s="183">
        <f>SUMIFS('апрель 2025'!$G$4:$G$2485,'апрель 2025'!$D$4:$D$2485,$B156,'апрель 2025'!$J$4:$J$2485,N$1)</f>
        <v>0</v>
      </c>
      <c r="O156" s="183">
        <f>SUMIFS('апрель 2025'!$G$4:$G$2485,'апрель 2025'!$D$4:$D$2485,$B156,'апрель 2025'!$J$4:$J$2485,O$1)</f>
        <v>0</v>
      </c>
      <c r="P156" s="183">
        <f>SUMIFS('апрель 2025'!$G$4:$G$2485,'апрель 2025'!$D$4:$D$2485,$B156,'апрель 2025'!$J$4:$J$2485,P$1)</f>
        <v>0</v>
      </c>
      <c r="Q156" s="183">
        <f>SUMIFS('апрель 2025'!$G$4:$G$2485,'апрель 2025'!$D$4:$D$2485,$B156,'апрель 2025'!$J$4:$J$2485,Q$1)</f>
        <v>0</v>
      </c>
      <c r="R156" s="183">
        <f>SUMIFS('апрель 2025'!$G$4:$G$2485,'апрель 2025'!$D$4:$D$2485,$B156,'апрель 2025'!$J$4:$J$2485,R$1)</f>
        <v>0</v>
      </c>
      <c r="S156" s="183">
        <f>SUMIFS('апрель 2025'!$G$4:$G$2485,'апрель 2025'!$D$4:$D$2485,$B156,'апрель 2025'!$J$4:$J$2485,S$1)</f>
        <v>0</v>
      </c>
      <c r="T156" s="183">
        <f>SUMIFS('апрель 2025'!$G$4:$G$2485,'апрель 2025'!$D$4:$D$2485,$B156,'апрель 2025'!$J$4:$J$2485,T$1)</f>
        <v>0</v>
      </c>
      <c r="U156" s="183">
        <f>SUMIFS('апрель 2025'!$G$4:$G$2485,'апрель 2025'!$D$4:$D$2485,$B156,'апрель 2025'!$J$4:$J$2485,U$1)</f>
        <v>0</v>
      </c>
      <c r="V156" s="183">
        <f>SUMIFS('апрель 2025'!$G$4:$G$2485,'апрель 2025'!$D$4:$D$2485,$B156,'апрель 2025'!$J$4:$J$2485,V$1)</f>
        <v>0</v>
      </c>
      <c r="W156" s="183">
        <f>SUMIFS('апрель 2025'!$G$4:$G$2485,'апрель 2025'!$D$4:$D$2485,$B156,'апрель 2025'!$J$4:$J$2485,W$1)</f>
        <v>0</v>
      </c>
      <c r="X156" s="183">
        <f>SUMIFS('апрель 2025'!$G$4:$G$2485,'апрель 2025'!$D$4:$D$2485,$B156,'апрель 2025'!$J$4:$J$2485,X$1)</f>
        <v>0</v>
      </c>
      <c r="Y156" s="183">
        <f>SUMIFS('апрель 2025'!$G$4:$G$2485,'апрель 2025'!$D$4:$D$2485,$B156,'апрель 2025'!$J$4:$J$2485,Y$1)</f>
        <v>0</v>
      </c>
      <c r="Z156" s="183">
        <f>SUMIFS('апрель 2025'!$G$4:$G$2485,'апрель 2025'!$D$4:$D$2485,$B156,'апрель 2025'!$J$4:$J$2485,Z$1)</f>
        <v>0</v>
      </c>
      <c r="AA156" s="183">
        <f>SUMIFS('апрель 2025'!$G$4:$G$2485,'апрель 2025'!$D$4:$D$2485,$B156,'апрель 2025'!$J$4:$J$2485,AA$1)</f>
        <v>0</v>
      </c>
      <c r="AB156" s="183">
        <f>SUMIFS('апрель 2025'!$G$4:$G$2485,'апрель 2025'!$D$4:$D$2485,$B156,'апрель 2025'!$J$4:$J$2485,AB$1)</f>
        <v>0</v>
      </c>
      <c r="AC156" s="183">
        <f>SUMIFS('апрель 2025'!$G$4:$G$2485,'апрель 2025'!$D$4:$D$2485,$B156,'апрель 2025'!$J$4:$J$2485,AC$1)</f>
        <v>0</v>
      </c>
      <c r="AD156" s="183">
        <f>SUMIFS('апрель 2025'!$G$4:$G$2485,'апрель 2025'!$D$4:$D$2485,$B156,'апрель 2025'!$J$4:$J$2485,AD$1)</f>
        <v>0</v>
      </c>
      <c r="AE156" s="183">
        <f>SUMIFS('апрель 2025'!$G$4:$G$2485,'апрель 2025'!$D$4:$D$2485,$B156,'апрель 2025'!$J$4:$J$2485,AE$1)</f>
        <v>0</v>
      </c>
      <c r="AF156" s="183">
        <f>SUMIFS('апрель 2025'!$G$4:$G$2485,'апрель 2025'!$D$4:$D$2485,$B156,'апрель 2025'!$J$4:$J$2485,AF$1)</f>
        <v>0</v>
      </c>
      <c r="AG156" s="183">
        <f>SUMIFS('апрель 2025'!$G$4:$G$2485,'апрель 2025'!$D$4:$D$2485,$B156,'апрель 2025'!$J$4:$J$2485,AG$1)</f>
        <v>0</v>
      </c>
      <c r="AH156" s="183">
        <f>SUMIFS('апрель 2025'!$G$4:$G$2485,'апрель 2025'!$D$4:$D$2485,$B156,'апрель 2025'!$J$4:$J$2485,AH$1)</f>
        <v>0</v>
      </c>
      <c r="AI156" s="20">
        <f t="shared" si="1"/>
        <v>0</v>
      </c>
    </row>
    <row r="157" spans="2:35" ht="15" customHeight="1" x14ac:dyDescent="0.25">
      <c r="B157" s="84" t="s">
        <v>175</v>
      </c>
      <c r="C157" s="83">
        <v>25</v>
      </c>
      <c r="D157" s="183">
        <f>SUMIFS('апрель 2025'!$G$4:$G$2485,'апрель 2025'!$D$4:$D$2485,$B157,'апрель 2025'!$J$4:$J$2485,D$1)</f>
        <v>0</v>
      </c>
      <c r="E157" s="183">
        <f>SUMIFS('апрель 2025'!$G$4:$G$2485,'апрель 2025'!$D$4:$D$2485,$B157,'апрель 2025'!$J$4:$J$2485,E$1)</f>
        <v>0</v>
      </c>
      <c r="F157" s="183">
        <f>SUMIFS('апрель 2025'!$G$4:$G$2485,'апрель 2025'!$D$4:$D$2485,$B157,'апрель 2025'!$J$4:$J$2485,F$1)</f>
        <v>0</v>
      </c>
      <c r="G157" s="183">
        <f>SUMIFS('апрель 2025'!$G$4:$G$2485,'апрель 2025'!$D$4:$D$2485,$B157,'апрель 2025'!$J$4:$J$2485,G$1)</f>
        <v>0</v>
      </c>
      <c r="H157" s="183">
        <f>SUMIFS('апрель 2025'!$G$4:$G$2485,'апрель 2025'!$D$4:$D$2485,$B157,'апрель 2025'!$J$4:$J$2485,H$1)</f>
        <v>0</v>
      </c>
      <c r="I157" s="183">
        <f>SUMIFS('апрель 2025'!$G$4:$G$2485,'апрель 2025'!$D$4:$D$2485,$B157,'апрель 2025'!$J$4:$J$2485,I$1)</f>
        <v>0</v>
      </c>
      <c r="J157" s="183">
        <f>SUMIFS('апрель 2025'!$G$4:$G$2485,'апрель 2025'!$D$4:$D$2485,$B157,'апрель 2025'!$J$4:$J$2485,J$1)</f>
        <v>0</v>
      </c>
      <c r="K157" s="183">
        <f>SUMIFS('апрель 2025'!$G$4:$G$2485,'апрель 2025'!$D$4:$D$2485,$B157,'апрель 2025'!$J$4:$J$2485,K$1)</f>
        <v>0</v>
      </c>
      <c r="L157" s="183">
        <f>SUMIFS('апрель 2025'!$G$4:$G$2485,'апрель 2025'!$D$4:$D$2485,$B157,'апрель 2025'!$J$4:$J$2485,L$1)</f>
        <v>0</v>
      </c>
      <c r="M157" s="183">
        <f>SUMIFS('апрель 2025'!$G$4:$G$2485,'апрель 2025'!$D$4:$D$2485,$B157,'апрель 2025'!$J$4:$J$2485,M$1)</f>
        <v>0</v>
      </c>
      <c r="N157" s="183">
        <f>SUMIFS('апрель 2025'!$G$4:$G$2485,'апрель 2025'!$D$4:$D$2485,$B157,'апрель 2025'!$J$4:$J$2485,N$1)</f>
        <v>0</v>
      </c>
      <c r="O157" s="183">
        <f>SUMIFS('апрель 2025'!$G$4:$G$2485,'апрель 2025'!$D$4:$D$2485,$B157,'апрель 2025'!$J$4:$J$2485,O$1)</f>
        <v>0</v>
      </c>
      <c r="P157" s="183">
        <f>SUMIFS('апрель 2025'!$G$4:$G$2485,'апрель 2025'!$D$4:$D$2485,$B157,'апрель 2025'!$J$4:$J$2485,P$1)</f>
        <v>0</v>
      </c>
      <c r="Q157" s="183">
        <f>SUMIFS('апрель 2025'!$G$4:$G$2485,'апрель 2025'!$D$4:$D$2485,$B157,'апрель 2025'!$J$4:$J$2485,Q$1)</f>
        <v>0</v>
      </c>
      <c r="R157" s="183">
        <f>SUMIFS('апрель 2025'!$G$4:$G$2485,'апрель 2025'!$D$4:$D$2485,$B157,'апрель 2025'!$J$4:$J$2485,R$1)</f>
        <v>0</v>
      </c>
      <c r="S157" s="183">
        <f>SUMIFS('апрель 2025'!$G$4:$G$2485,'апрель 2025'!$D$4:$D$2485,$B157,'апрель 2025'!$J$4:$J$2485,S$1)</f>
        <v>0</v>
      </c>
      <c r="T157" s="183">
        <f>SUMIFS('апрель 2025'!$G$4:$G$2485,'апрель 2025'!$D$4:$D$2485,$B157,'апрель 2025'!$J$4:$J$2485,T$1)</f>
        <v>0</v>
      </c>
      <c r="U157" s="183">
        <f>SUMIFS('апрель 2025'!$G$4:$G$2485,'апрель 2025'!$D$4:$D$2485,$B157,'апрель 2025'!$J$4:$J$2485,U$1)</f>
        <v>0</v>
      </c>
      <c r="V157" s="183">
        <f>SUMIFS('апрель 2025'!$G$4:$G$2485,'апрель 2025'!$D$4:$D$2485,$B157,'апрель 2025'!$J$4:$J$2485,V$1)</f>
        <v>0</v>
      </c>
      <c r="W157" s="183">
        <f>SUMIFS('апрель 2025'!$G$4:$G$2485,'апрель 2025'!$D$4:$D$2485,$B157,'апрель 2025'!$J$4:$J$2485,W$1)</f>
        <v>0</v>
      </c>
      <c r="X157" s="183">
        <f>SUMIFS('апрель 2025'!$G$4:$G$2485,'апрель 2025'!$D$4:$D$2485,$B157,'апрель 2025'!$J$4:$J$2485,X$1)</f>
        <v>0</v>
      </c>
      <c r="Y157" s="183">
        <f>SUMIFS('апрель 2025'!$G$4:$G$2485,'апрель 2025'!$D$4:$D$2485,$B157,'апрель 2025'!$J$4:$J$2485,Y$1)</f>
        <v>0</v>
      </c>
      <c r="Z157" s="183">
        <f>SUMIFS('апрель 2025'!$G$4:$G$2485,'апрель 2025'!$D$4:$D$2485,$B157,'апрель 2025'!$J$4:$J$2485,Z$1)</f>
        <v>0</v>
      </c>
      <c r="AA157" s="183">
        <f>SUMIFS('апрель 2025'!$G$4:$G$2485,'апрель 2025'!$D$4:$D$2485,$B157,'апрель 2025'!$J$4:$J$2485,AA$1)</f>
        <v>0</v>
      </c>
      <c r="AB157" s="183">
        <f>SUMIFS('апрель 2025'!$G$4:$G$2485,'апрель 2025'!$D$4:$D$2485,$B157,'апрель 2025'!$J$4:$J$2485,AB$1)</f>
        <v>0</v>
      </c>
      <c r="AC157" s="183">
        <f>SUMIFS('апрель 2025'!$G$4:$G$2485,'апрель 2025'!$D$4:$D$2485,$B157,'апрель 2025'!$J$4:$J$2485,AC$1)</f>
        <v>0</v>
      </c>
      <c r="AD157" s="183">
        <f>SUMIFS('апрель 2025'!$G$4:$G$2485,'апрель 2025'!$D$4:$D$2485,$B157,'апрель 2025'!$J$4:$J$2485,AD$1)</f>
        <v>0</v>
      </c>
      <c r="AE157" s="183">
        <f>SUMIFS('апрель 2025'!$G$4:$G$2485,'апрель 2025'!$D$4:$D$2485,$B157,'апрель 2025'!$J$4:$J$2485,AE$1)</f>
        <v>0</v>
      </c>
      <c r="AF157" s="183">
        <f>SUMIFS('апрель 2025'!$G$4:$G$2485,'апрель 2025'!$D$4:$D$2485,$B157,'апрель 2025'!$J$4:$J$2485,AF$1)</f>
        <v>0</v>
      </c>
      <c r="AG157" s="183">
        <f>SUMIFS('апрель 2025'!$G$4:$G$2485,'апрель 2025'!$D$4:$D$2485,$B157,'апрель 2025'!$J$4:$J$2485,AG$1)</f>
        <v>0</v>
      </c>
      <c r="AH157" s="183">
        <f>SUMIFS('апрель 2025'!$G$4:$G$2485,'апрель 2025'!$D$4:$D$2485,$B157,'апрель 2025'!$J$4:$J$2485,AH$1)</f>
        <v>0</v>
      </c>
      <c r="AI157" s="20">
        <f t="shared" si="1"/>
        <v>0</v>
      </c>
    </row>
    <row r="158" spans="2:35" ht="15" customHeight="1" x14ac:dyDescent="0.25">
      <c r="B158" s="84" t="s">
        <v>176</v>
      </c>
      <c r="C158" s="83">
        <v>25</v>
      </c>
      <c r="D158" s="183">
        <f>SUMIFS('апрель 2025'!$G$4:$G$2485,'апрель 2025'!$D$4:$D$2485,$B158,'апрель 2025'!$J$4:$J$2485,D$1)</f>
        <v>0</v>
      </c>
      <c r="E158" s="183">
        <f>SUMIFS('апрель 2025'!$G$4:$G$2485,'апрель 2025'!$D$4:$D$2485,$B158,'апрель 2025'!$J$4:$J$2485,E$1)</f>
        <v>0</v>
      </c>
      <c r="F158" s="183">
        <f>SUMIFS('апрель 2025'!$G$4:$G$2485,'апрель 2025'!$D$4:$D$2485,$B158,'апрель 2025'!$J$4:$J$2485,F$1)</f>
        <v>0</v>
      </c>
      <c r="G158" s="183">
        <f>SUMIFS('апрель 2025'!$G$4:$G$2485,'апрель 2025'!$D$4:$D$2485,$B158,'апрель 2025'!$J$4:$J$2485,G$1)</f>
        <v>0</v>
      </c>
      <c r="H158" s="183">
        <f>SUMIFS('апрель 2025'!$G$4:$G$2485,'апрель 2025'!$D$4:$D$2485,$B158,'апрель 2025'!$J$4:$J$2485,H$1)</f>
        <v>0</v>
      </c>
      <c r="I158" s="183">
        <f>SUMIFS('апрель 2025'!$G$4:$G$2485,'апрель 2025'!$D$4:$D$2485,$B158,'апрель 2025'!$J$4:$J$2485,I$1)</f>
        <v>0</v>
      </c>
      <c r="J158" s="183">
        <f>SUMIFS('апрель 2025'!$G$4:$G$2485,'апрель 2025'!$D$4:$D$2485,$B158,'апрель 2025'!$J$4:$J$2485,J$1)</f>
        <v>0</v>
      </c>
      <c r="K158" s="183">
        <f>SUMIFS('апрель 2025'!$G$4:$G$2485,'апрель 2025'!$D$4:$D$2485,$B158,'апрель 2025'!$J$4:$J$2485,K$1)</f>
        <v>0</v>
      </c>
      <c r="L158" s="183">
        <f>SUMIFS('апрель 2025'!$G$4:$G$2485,'апрель 2025'!$D$4:$D$2485,$B158,'апрель 2025'!$J$4:$J$2485,L$1)</f>
        <v>0</v>
      </c>
      <c r="M158" s="183">
        <f>SUMIFS('апрель 2025'!$G$4:$G$2485,'апрель 2025'!$D$4:$D$2485,$B158,'апрель 2025'!$J$4:$J$2485,M$1)</f>
        <v>0</v>
      </c>
      <c r="N158" s="183">
        <f>SUMIFS('апрель 2025'!$G$4:$G$2485,'апрель 2025'!$D$4:$D$2485,$B158,'апрель 2025'!$J$4:$J$2485,N$1)</f>
        <v>0</v>
      </c>
      <c r="O158" s="183">
        <f>SUMIFS('апрель 2025'!$G$4:$G$2485,'апрель 2025'!$D$4:$D$2485,$B158,'апрель 2025'!$J$4:$J$2485,O$1)</f>
        <v>0</v>
      </c>
      <c r="P158" s="183">
        <f>SUMIFS('апрель 2025'!$G$4:$G$2485,'апрель 2025'!$D$4:$D$2485,$B158,'апрель 2025'!$J$4:$J$2485,P$1)</f>
        <v>0</v>
      </c>
      <c r="Q158" s="183">
        <f>SUMIFS('апрель 2025'!$G$4:$G$2485,'апрель 2025'!$D$4:$D$2485,$B158,'апрель 2025'!$J$4:$J$2485,Q$1)</f>
        <v>0</v>
      </c>
      <c r="R158" s="183">
        <f>SUMIFS('апрель 2025'!$G$4:$G$2485,'апрель 2025'!$D$4:$D$2485,$B158,'апрель 2025'!$J$4:$J$2485,R$1)</f>
        <v>0</v>
      </c>
      <c r="S158" s="183">
        <f>SUMIFS('апрель 2025'!$G$4:$G$2485,'апрель 2025'!$D$4:$D$2485,$B158,'апрель 2025'!$J$4:$J$2485,S$1)</f>
        <v>0</v>
      </c>
      <c r="T158" s="183">
        <f>SUMIFS('апрель 2025'!$G$4:$G$2485,'апрель 2025'!$D$4:$D$2485,$B158,'апрель 2025'!$J$4:$J$2485,T$1)</f>
        <v>0</v>
      </c>
      <c r="U158" s="183">
        <f>SUMIFS('апрель 2025'!$G$4:$G$2485,'апрель 2025'!$D$4:$D$2485,$B158,'апрель 2025'!$J$4:$J$2485,U$1)</f>
        <v>0</v>
      </c>
      <c r="V158" s="183">
        <f>SUMIFS('апрель 2025'!$G$4:$G$2485,'апрель 2025'!$D$4:$D$2485,$B158,'апрель 2025'!$J$4:$J$2485,V$1)</f>
        <v>0</v>
      </c>
      <c r="W158" s="183">
        <f>SUMIFS('апрель 2025'!$G$4:$G$2485,'апрель 2025'!$D$4:$D$2485,$B158,'апрель 2025'!$J$4:$J$2485,W$1)</f>
        <v>0</v>
      </c>
      <c r="X158" s="183">
        <f>SUMIFS('апрель 2025'!$G$4:$G$2485,'апрель 2025'!$D$4:$D$2485,$B158,'апрель 2025'!$J$4:$J$2485,X$1)</f>
        <v>0</v>
      </c>
      <c r="Y158" s="183">
        <f>SUMIFS('апрель 2025'!$G$4:$G$2485,'апрель 2025'!$D$4:$D$2485,$B158,'апрель 2025'!$J$4:$J$2485,Y$1)</f>
        <v>0</v>
      </c>
      <c r="Z158" s="183">
        <f>SUMIFS('апрель 2025'!$G$4:$G$2485,'апрель 2025'!$D$4:$D$2485,$B158,'апрель 2025'!$J$4:$J$2485,Z$1)</f>
        <v>0</v>
      </c>
      <c r="AA158" s="183">
        <f>SUMIFS('апрель 2025'!$G$4:$G$2485,'апрель 2025'!$D$4:$D$2485,$B158,'апрель 2025'!$J$4:$J$2485,AA$1)</f>
        <v>0</v>
      </c>
      <c r="AB158" s="183">
        <f>SUMIFS('апрель 2025'!$G$4:$G$2485,'апрель 2025'!$D$4:$D$2485,$B158,'апрель 2025'!$J$4:$J$2485,AB$1)</f>
        <v>0</v>
      </c>
      <c r="AC158" s="183">
        <f>SUMIFS('апрель 2025'!$G$4:$G$2485,'апрель 2025'!$D$4:$D$2485,$B158,'апрель 2025'!$J$4:$J$2485,AC$1)</f>
        <v>0</v>
      </c>
      <c r="AD158" s="183">
        <f>SUMIFS('апрель 2025'!$G$4:$G$2485,'апрель 2025'!$D$4:$D$2485,$B158,'апрель 2025'!$J$4:$J$2485,AD$1)</f>
        <v>0</v>
      </c>
      <c r="AE158" s="183">
        <f>SUMIFS('апрель 2025'!$G$4:$G$2485,'апрель 2025'!$D$4:$D$2485,$B158,'апрель 2025'!$J$4:$J$2485,AE$1)</f>
        <v>0</v>
      </c>
      <c r="AF158" s="183">
        <f>SUMIFS('апрель 2025'!$G$4:$G$2485,'апрель 2025'!$D$4:$D$2485,$B158,'апрель 2025'!$J$4:$J$2485,AF$1)</f>
        <v>0</v>
      </c>
      <c r="AG158" s="183">
        <f>SUMIFS('апрель 2025'!$G$4:$G$2485,'апрель 2025'!$D$4:$D$2485,$B158,'апрель 2025'!$J$4:$J$2485,AG$1)</f>
        <v>0</v>
      </c>
      <c r="AH158" s="183">
        <f>SUMIFS('апрель 2025'!$G$4:$G$2485,'апрель 2025'!$D$4:$D$2485,$B158,'апрель 2025'!$J$4:$J$2485,AH$1)</f>
        <v>0</v>
      </c>
      <c r="AI158" s="20">
        <f t="shared" si="1"/>
        <v>0</v>
      </c>
    </row>
    <row r="159" spans="2:35" ht="15" customHeight="1" x14ac:dyDescent="0.25">
      <c r="B159" s="84" t="s">
        <v>201</v>
      </c>
      <c r="C159" s="83">
        <v>25</v>
      </c>
      <c r="D159" s="183">
        <f>SUMIFS('апрель 2025'!$G$4:$G$2485,'апрель 2025'!$D$4:$D$2485,$B159,'апрель 2025'!$J$4:$J$2485,D$1)</f>
        <v>0</v>
      </c>
      <c r="E159" s="183">
        <f>SUMIFS('апрель 2025'!$G$4:$G$2485,'апрель 2025'!$D$4:$D$2485,$B159,'апрель 2025'!$J$4:$J$2485,E$1)</f>
        <v>0</v>
      </c>
      <c r="F159" s="183">
        <f>SUMIFS('апрель 2025'!$G$4:$G$2485,'апрель 2025'!$D$4:$D$2485,$B159,'апрель 2025'!$J$4:$J$2485,F$1)</f>
        <v>0</v>
      </c>
      <c r="G159" s="183">
        <f>SUMIFS('апрель 2025'!$G$4:$G$2485,'апрель 2025'!$D$4:$D$2485,$B159,'апрель 2025'!$J$4:$J$2485,G$1)</f>
        <v>0</v>
      </c>
      <c r="H159" s="183">
        <f>SUMIFS('апрель 2025'!$G$4:$G$2485,'апрель 2025'!$D$4:$D$2485,$B159,'апрель 2025'!$J$4:$J$2485,H$1)</f>
        <v>0</v>
      </c>
      <c r="I159" s="183">
        <f>SUMIFS('апрель 2025'!$G$4:$G$2485,'апрель 2025'!$D$4:$D$2485,$B159,'апрель 2025'!$J$4:$J$2485,I$1)</f>
        <v>0</v>
      </c>
      <c r="J159" s="183">
        <f>SUMIFS('апрель 2025'!$G$4:$G$2485,'апрель 2025'!$D$4:$D$2485,$B159,'апрель 2025'!$J$4:$J$2485,J$1)</f>
        <v>0</v>
      </c>
      <c r="K159" s="183">
        <f>SUMIFS('апрель 2025'!$G$4:$G$2485,'апрель 2025'!$D$4:$D$2485,$B159,'апрель 2025'!$J$4:$J$2485,K$1)</f>
        <v>0</v>
      </c>
      <c r="L159" s="183">
        <f>SUMIFS('апрель 2025'!$G$4:$G$2485,'апрель 2025'!$D$4:$D$2485,$B159,'апрель 2025'!$J$4:$J$2485,L$1)</f>
        <v>0</v>
      </c>
      <c r="M159" s="183">
        <f>SUMIFS('апрель 2025'!$G$4:$G$2485,'апрель 2025'!$D$4:$D$2485,$B159,'апрель 2025'!$J$4:$J$2485,M$1)</f>
        <v>0</v>
      </c>
      <c r="N159" s="183">
        <f>SUMIFS('апрель 2025'!$G$4:$G$2485,'апрель 2025'!$D$4:$D$2485,$B159,'апрель 2025'!$J$4:$J$2485,N$1)</f>
        <v>0</v>
      </c>
      <c r="O159" s="183">
        <f>SUMIFS('апрель 2025'!$G$4:$G$2485,'апрель 2025'!$D$4:$D$2485,$B159,'апрель 2025'!$J$4:$J$2485,O$1)</f>
        <v>0</v>
      </c>
      <c r="P159" s="183">
        <f>SUMIFS('апрель 2025'!$G$4:$G$2485,'апрель 2025'!$D$4:$D$2485,$B159,'апрель 2025'!$J$4:$J$2485,P$1)</f>
        <v>0</v>
      </c>
      <c r="Q159" s="183">
        <f>SUMIFS('апрель 2025'!$G$4:$G$2485,'апрель 2025'!$D$4:$D$2485,$B159,'апрель 2025'!$J$4:$J$2485,Q$1)</f>
        <v>0</v>
      </c>
      <c r="R159" s="183">
        <f>SUMIFS('апрель 2025'!$G$4:$G$2485,'апрель 2025'!$D$4:$D$2485,$B159,'апрель 2025'!$J$4:$J$2485,R$1)</f>
        <v>0</v>
      </c>
      <c r="S159" s="183">
        <f>SUMIFS('апрель 2025'!$G$4:$G$2485,'апрель 2025'!$D$4:$D$2485,$B159,'апрель 2025'!$J$4:$J$2485,S$1)</f>
        <v>0</v>
      </c>
      <c r="T159" s="183">
        <f>SUMIFS('апрель 2025'!$G$4:$G$2485,'апрель 2025'!$D$4:$D$2485,$B159,'апрель 2025'!$J$4:$J$2485,T$1)</f>
        <v>0</v>
      </c>
      <c r="U159" s="183">
        <f>SUMIFS('апрель 2025'!$G$4:$G$2485,'апрель 2025'!$D$4:$D$2485,$B159,'апрель 2025'!$J$4:$J$2485,U$1)</f>
        <v>0</v>
      </c>
      <c r="V159" s="183">
        <f>SUMIFS('апрель 2025'!$G$4:$G$2485,'апрель 2025'!$D$4:$D$2485,$B159,'апрель 2025'!$J$4:$J$2485,V$1)</f>
        <v>0</v>
      </c>
      <c r="W159" s="183">
        <f>SUMIFS('апрель 2025'!$G$4:$G$2485,'апрель 2025'!$D$4:$D$2485,$B159,'апрель 2025'!$J$4:$J$2485,W$1)</f>
        <v>0</v>
      </c>
      <c r="X159" s="183">
        <f>SUMIFS('апрель 2025'!$G$4:$G$2485,'апрель 2025'!$D$4:$D$2485,$B159,'апрель 2025'!$J$4:$J$2485,X$1)</f>
        <v>0</v>
      </c>
      <c r="Y159" s="183">
        <f>SUMIFS('апрель 2025'!$G$4:$G$2485,'апрель 2025'!$D$4:$D$2485,$B159,'апрель 2025'!$J$4:$J$2485,Y$1)</f>
        <v>0</v>
      </c>
      <c r="Z159" s="183">
        <f>SUMIFS('апрель 2025'!$G$4:$G$2485,'апрель 2025'!$D$4:$D$2485,$B159,'апрель 2025'!$J$4:$J$2485,Z$1)</f>
        <v>0</v>
      </c>
      <c r="AA159" s="183">
        <f>SUMIFS('апрель 2025'!$G$4:$G$2485,'апрель 2025'!$D$4:$D$2485,$B159,'апрель 2025'!$J$4:$J$2485,AA$1)</f>
        <v>0</v>
      </c>
      <c r="AB159" s="183">
        <f>SUMIFS('апрель 2025'!$G$4:$G$2485,'апрель 2025'!$D$4:$D$2485,$B159,'апрель 2025'!$J$4:$J$2485,AB$1)</f>
        <v>0</v>
      </c>
      <c r="AC159" s="183">
        <f>SUMIFS('апрель 2025'!$G$4:$G$2485,'апрель 2025'!$D$4:$D$2485,$B159,'апрель 2025'!$J$4:$J$2485,AC$1)</f>
        <v>0</v>
      </c>
      <c r="AD159" s="183">
        <f>SUMIFS('апрель 2025'!$G$4:$G$2485,'апрель 2025'!$D$4:$D$2485,$B159,'апрель 2025'!$J$4:$J$2485,AD$1)</f>
        <v>0</v>
      </c>
      <c r="AE159" s="183">
        <f>SUMIFS('апрель 2025'!$G$4:$G$2485,'апрель 2025'!$D$4:$D$2485,$B159,'апрель 2025'!$J$4:$J$2485,AE$1)</f>
        <v>0</v>
      </c>
      <c r="AF159" s="183">
        <f>SUMIFS('апрель 2025'!$G$4:$G$2485,'апрель 2025'!$D$4:$D$2485,$B159,'апрель 2025'!$J$4:$J$2485,AF$1)</f>
        <v>0</v>
      </c>
      <c r="AG159" s="183">
        <f>SUMIFS('апрель 2025'!$G$4:$G$2485,'апрель 2025'!$D$4:$D$2485,$B159,'апрель 2025'!$J$4:$J$2485,AG$1)</f>
        <v>0</v>
      </c>
      <c r="AH159" s="183">
        <f>SUMIFS('апрель 2025'!$G$4:$G$2485,'апрель 2025'!$D$4:$D$2485,$B159,'апрель 2025'!$J$4:$J$2485,AH$1)</f>
        <v>0</v>
      </c>
      <c r="AI159" s="20">
        <f t="shared" si="1"/>
        <v>0</v>
      </c>
    </row>
    <row r="160" spans="2:35" ht="15" customHeight="1" x14ac:dyDescent="0.25">
      <c r="B160" s="84" t="s">
        <v>300</v>
      </c>
      <c r="C160" s="83">
        <v>200</v>
      </c>
      <c r="D160" s="183">
        <f>SUMIFS('апрель 2025'!$G$4:$G$2485,'апрель 2025'!$D$4:$D$2485,$B160,'апрель 2025'!$J$4:$J$2485,D$1)</f>
        <v>0</v>
      </c>
      <c r="E160" s="183">
        <f>SUMIFS('апрель 2025'!$G$4:$G$2485,'апрель 2025'!$D$4:$D$2485,$B160,'апрель 2025'!$J$4:$J$2485,E$1)</f>
        <v>0</v>
      </c>
      <c r="F160" s="183">
        <f>SUMIFS('апрель 2025'!$G$4:$G$2485,'апрель 2025'!$D$4:$D$2485,$B160,'апрель 2025'!$J$4:$J$2485,F$1)</f>
        <v>0</v>
      </c>
      <c r="G160" s="183">
        <f>SUMIFS('апрель 2025'!$G$4:$G$2485,'апрель 2025'!$D$4:$D$2485,$B160,'апрель 2025'!$J$4:$J$2485,G$1)</f>
        <v>0</v>
      </c>
      <c r="H160" s="183">
        <f>SUMIFS('апрель 2025'!$G$4:$G$2485,'апрель 2025'!$D$4:$D$2485,$B160,'апрель 2025'!$J$4:$J$2485,H$1)</f>
        <v>0</v>
      </c>
      <c r="I160" s="183">
        <f>SUMIFS('апрель 2025'!$G$4:$G$2485,'апрель 2025'!$D$4:$D$2485,$B160,'апрель 2025'!$J$4:$J$2485,I$1)</f>
        <v>0</v>
      </c>
      <c r="J160" s="183">
        <f>SUMIFS('апрель 2025'!$G$4:$G$2485,'апрель 2025'!$D$4:$D$2485,$B160,'апрель 2025'!$J$4:$J$2485,J$1)</f>
        <v>0</v>
      </c>
      <c r="K160" s="183">
        <f>SUMIFS('апрель 2025'!$G$4:$G$2485,'апрель 2025'!$D$4:$D$2485,$B160,'апрель 2025'!$J$4:$J$2485,K$1)</f>
        <v>0</v>
      </c>
      <c r="L160" s="183">
        <f>SUMIFS('апрель 2025'!$G$4:$G$2485,'апрель 2025'!$D$4:$D$2485,$B160,'апрель 2025'!$J$4:$J$2485,L$1)</f>
        <v>0</v>
      </c>
      <c r="M160" s="183">
        <f>SUMIFS('апрель 2025'!$G$4:$G$2485,'апрель 2025'!$D$4:$D$2485,$B160,'апрель 2025'!$J$4:$J$2485,M$1)</f>
        <v>0</v>
      </c>
      <c r="N160" s="183">
        <f>SUMIFS('апрель 2025'!$G$4:$G$2485,'апрель 2025'!$D$4:$D$2485,$B160,'апрель 2025'!$J$4:$J$2485,N$1)</f>
        <v>0</v>
      </c>
      <c r="O160" s="183">
        <f>SUMIFS('апрель 2025'!$G$4:$G$2485,'апрель 2025'!$D$4:$D$2485,$B160,'апрель 2025'!$J$4:$J$2485,O$1)</f>
        <v>0</v>
      </c>
      <c r="P160" s="183">
        <f>SUMIFS('апрель 2025'!$G$4:$G$2485,'апрель 2025'!$D$4:$D$2485,$B160,'апрель 2025'!$J$4:$J$2485,P$1)</f>
        <v>0</v>
      </c>
      <c r="Q160" s="183">
        <f>SUMIFS('апрель 2025'!$G$4:$G$2485,'апрель 2025'!$D$4:$D$2485,$B160,'апрель 2025'!$J$4:$J$2485,Q$1)</f>
        <v>0</v>
      </c>
      <c r="R160" s="183">
        <f>SUMIFS('апрель 2025'!$G$4:$G$2485,'апрель 2025'!$D$4:$D$2485,$B160,'апрель 2025'!$J$4:$J$2485,R$1)</f>
        <v>0</v>
      </c>
      <c r="S160" s="183">
        <f>SUMIFS('апрель 2025'!$G$4:$G$2485,'апрель 2025'!$D$4:$D$2485,$B160,'апрель 2025'!$J$4:$J$2485,S$1)</f>
        <v>0</v>
      </c>
      <c r="T160" s="183">
        <f>SUMIFS('апрель 2025'!$G$4:$G$2485,'апрель 2025'!$D$4:$D$2485,$B160,'апрель 2025'!$J$4:$J$2485,T$1)</f>
        <v>0</v>
      </c>
      <c r="U160" s="183">
        <f>SUMIFS('апрель 2025'!$G$4:$G$2485,'апрель 2025'!$D$4:$D$2485,$B160,'апрель 2025'!$J$4:$J$2485,U$1)</f>
        <v>0</v>
      </c>
      <c r="V160" s="183">
        <f>SUMIFS('апрель 2025'!$G$4:$G$2485,'апрель 2025'!$D$4:$D$2485,$B160,'апрель 2025'!$J$4:$J$2485,V$1)</f>
        <v>0</v>
      </c>
      <c r="W160" s="183">
        <f>SUMIFS('апрель 2025'!$G$4:$G$2485,'апрель 2025'!$D$4:$D$2485,$B160,'апрель 2025'!$J$4:$J$2485,W$1)</f>
        <v>0</v>
      </c>
      <c r="X160" s="183">
        <f>SUMIFS('апрель 2025'!$G$4:$G$2485,'апрель 2025'!$D$4:$D$2485,$B160,'апрель 2025'!$J$4:$J$2485,X$1)</f>
        <v>0</v>
      </c>
      <c r="Y160" s="183">
        <f>SUMIFS('апрель 2025'!$G$4:$G$2485,'апрель 2025'!$D$4:$D$2485,$B160,'апрель 2025'!$J$4:$J$2485,Y$1)</f>
        <v>0</v>
      </c>
      <c r="Z160" s="183">
        <f>SUMIFS('апрель 2025'!$G$4:$G$2485,'апрель 2025'!$D$4:$D$2485,$B160,'апрель 2025'!$J$4:$J$2485,Z$1)</f>
        <v>0</v>
      </c>
      <c r="AA160" s="183">
        <f>SUMIFS('апрель 2025'!$G$4:$G$2485,'апрель 2025'!$D$4:$D$2485,$B160,'апрель 2025'!$J$4:$J$2485,AA$1)</f>
        <v>0</v>
      </c>
      <c r="AB160" s="183">
        <f>SUMIFS('апрель 2025'!$G$4:$G$2485,'апрель 2025'!$D$4:$D$2485,$B160,'апрель 2025'!$J$4:$J$2485,AB$1)</f>
        <v>0</v>
      </c>
      <c r="AC160" s="183">
        <f>SUMIFS('апрель 2025'!$G$4:$G$2485,'апрель 2025'!$D$4:$D$2485,$B160,'апрель 2025'!$J$4:$J$2485,AC$1)</f>
        <v>0</v>
      </c>
      <c r="AD160" s="183">
        <f>SUMIFS('апрель 2025'!$G$4:$G$2485,'апрель 2025'!$D$4:$D$2485,$B160,'апрель 2025'!$J$4:$J$2485,AD$1)</f>
        <v>0</v>
      </c>
      <c r="AE160" s="183">
        <f>SUMIFS('апрель 2025'!$G$4:$G$2485,'апрель 2025'!$D$4:$D$2485,$B160,'апрель 2025'!$J$4:$J$2485,AE$1)</f>
        <v>0</v>
      </c>
      <c r="AF160" s="183">
        <f>SUMIFS('апрель 2025'!$G$4:$G$2485,'апрель 2025'!$D$4:$D$2485,$B160,'апрель 2025'!$J$4:$J$2485,AF$1)</f>
        <v>0</v>
      </c>
      <c r="AG160" s="183">
        <f>SUMIFS('апрель 2025'!$G$4:$G$2485,'апрель 2025'!$D$4:$D$2485,$B160,'апрель 2025'!$J$4:$J$2485,AG$1)</f>
        <v>0</v>
      </c>
      <c r="AH160" s="183">
        <f>SUMIFS('апрель 2025'!$G$4:$G$2485,'апрель 2025'!$D$4:$D$2485,$B160,'апрель 2025'!$J$4:$J$2485,AH$1)</f>
        <v>0</v>
      </c>
      <c r="AI160" s="20">
        <f>SUM(D160:AH160)</f>
        <v>0</v>
      </c>
    </row>
    <row r="161" spans="2:35" ht="15" customHeight="1" x14ac:dyDescent="0.25">
      <c r="B161" s="84" t="s">
        <v>307</v>
      </c>
      <c r="C161" s="83">
        <v>175</v>
      </c>
      <c r="D161" s="183">
        <f>SUMIFS('апрель 2025'!$G$4:$G$2485,'апрель 2025'!$D$4:$D$2485,$B161,'апрель 2025'!$J$4:$J$2485,D$1)</f>
        <v>0</v>
      </c>
      <c r="E161" s="183">
        <f>SUMIFS('апрель 2025'!$G$4:$G$2485,'апрель 2025'!$D$4:$D$2485,$B161,'апрель 2025'!$J$4:$J$2485,E$1)</f>
        <v>0</v>
      </c>
      <c r="F161" s="183">
        <f>SUMIFS('апрель 2025'!$G$4:$G$2485,'апрель 2025'!$D$4:$D$2485,$B161,'апрель 2025'!$J$4:$J$2485,F$1)</f>
        <v>0</v>
      </c>
      <c r="G161" s="183">
        <f>SUMIFS('апрель 2025'!$G$4:$G$2485,'апрель 2025'!$D$4:$D$2485,$B161,'апрель 2025'!$J$4:$J$2485,G$1)</f>
        <v>0</v>
      </c>
      <c r="H161" s="183">
        <f>SUMIFS('апрель 2025'!$G$4:$G$2485,'апрель 2025'!$D$4:$D$2485,$B161,'апрель 2025'!$J$4:$J$2485,H$1)</f>
        <v>0</v>
      </c>
      <c r="I161" s="183">
        <f>SUMIFS('апрель 2025'!$G$4:$G$2485,'апрель 2025'!$D$4:$D$2485,$B161,'апрель 2025'!$J$4:$J$2485,I$1)</f>
        <v>0</v>
      </c>
      <c r="J161" s="183">
        <f>SUMIFS('апрель 2025'!$G$4:$G$2485,'апрель 2025'!$D$4:$D$2485,$B161,'апрель 2025'!$J$4:$J$2485,J$1)</f>
        <v>0</v>
      </c>
      <c r="K161" s="183">
        <f>SUMIFS('апрель 2025'!$G$4:$G$2485,'апрель 2025'!$D$4:$D$2485,$B161,'апрель 2025'!$J$4:$J$2485,K$1)</f>
        <v>0</v>
      </c>
      <c r="L161" s="183">
        <f>SUMIFS('апрель 2025'!$G$4:$G$2485,'апрель 2025'!$D$4:$D$2485,$B161,'апрель 2025'!$J$4:$J$2485,L$1)</f>
        <v>0</v>
      </c>
      <c r="M161" s="183">
        <f>SUMIFS('апрель 2025'!$G$4:$G$2485,'апрель 2025'!$D$4:$D$2485,$B161,'апрель 2025'!$J$4:$J$2485,M$1)</f>
        <v>0</v>
      </c>
      <c r="N161" s="183">
        <f>SUMIFS('апрель 2025'!$G$4:$G$2485,'апрель 2025'!$D$4:$D$2485,$B161,'апрель 2025'!$J$4:$J$2485,N$1)</f>
        <v>0</v>
      </c>
      <c r="O161" s="183">
        <f>SUMIFS('апрель 2025'!$G$4:$G$2485,'апрель 2025'!$D$4:$D$2485,$B161,'апрель 2025'!$J$4:$J$2485,O$1)</f>
        <v>0</v>
      </c>
      <c r="P161" s="183">
        <f>SUMIFS('апрель 2025'!$G$4:$G$2485,'апрель 2025'!$D$4:$D$2485,$B161,'апрель 2025'!$J$4:$J$2485,P$1)</f>
        <v>0</v>
      </c>
      <c r="Q161" s="183">
        <f>SUMIFS('апрель 2025'!$G$4:$G$2485,'апрель 2025'!$D$4:$D$2485,$B161,'апрель 2025'!$J$4:$J$2485,Q$1)</f>
        <v>0</v>
      </c>
      <c r="R161" s="183">
        <f>SUMIFS('апрель 2025'!$G$4:$G$2485,'апрель 2025'!$D$4:$D$2485,$B161,'апрель 2025'!$J$4:$J$2485,R$1)</f>
        <v>0</v>
      </c>
      <c r="S161" s="183">
        <f>SUMIFS('апрель 2025'!$G$4:$G$2485,'апрель 2025'!$D$4:$D$2485,$B161,'апрель 2025'!$J$4:$J$2485,S$1)</f>
        <v>0</v>
      </c>
      <c r="T161" s="183">
        <f>SUMIFS('апрель 2025'!$G$4:$G$2485,'апрель 2025'!$D$4:$D$2485,$B161,'апрель 2025'!$J$4:$J$2485,T$1)</f>
        <v>0</v>
      </c>
      <c r="U161" s="183">
        <f>SUMIFS('апрель 2025'!$G$4:$G$2485,'апрель 2025'!$D$4:$D$2485,$B161,'апрель 2025'!$J$4:$J$2485,U$1)</f>
        <v>0</v>
      </c>
      <c r="V161" s="183">
        <f>SUMIFS('апрель 2025'!$G$4:$G$2485,'апрель 2025'!$D$4:$D$2485,$B161,'апрель 2025'!$J$4:$J$2485,V$1)</f>
        <v>0</v>
      </c>
      <c r="W161" s="183">
        <f>SUMIFS('апрель 2025'!$G$4:$G$2485,'апрель 2025'!$D$4:$D$2485,$B161,'апрель 2025'!$J$4:$J$2485,W$1)</f>
        <v>0</v>
      </c>
      <c r="X161" s="183">
        <f>SUMIFS('апрель 2025'!$G$4:$G$2485,'апрель 2025'!$D$4:$D$2485,$B161,'апрель 2025'!$J$4:$J$2485,X$1)</f>
        <v>0</v>
      </c>
      <c r="Y161" s="183">
        <f>SUMIFS('апрель 2025'!$G$4:$G$2485,'апрель 2025'!$D$4:$D$2485,$B161,'апрель 2025'!$J$4:$J$2485,Y$1)</f>
        <v>0</v>
      </c>
      <c r="Z161" s="183">
        <f>SUMIFS('апрель 2025'!$G$4:$G$2485,'апрель 2025'!$D$4:$D$2485,$B161,'апрель 2025'!$J$4:$J$2485,Z$1)</f>
        <v>0</v>
      </c>
      <c r="AA161" s="183">
        <f>SUMIFS('апрель 2025'!$G$4:$G$2485,'апрель 2025'!$D$4:$D$2485,$B161,'апрель 2025'!$J$4:$J$2485,AA$1)</f>
        <v>0</v>
      </c>
      <c r="AB161" s="183">
        <f>SUMIFS('апрель 2025'!$G$4:$G$2485,'апрель 2025'!$D$4:$D$2485,$B161,'апрель 2025'!$J$4:$J$2485,AB$1)</f>
        <v>0</v>
      </c>
      <c r="AC161" s="183">
        <f>SUMIFS('апрель 2025'!$G$4:$G$2485,'апрель 2025'!$D$4:$D$2485,$B161,'апрель 2025'!$J$4:$J$2485,AC$1)</f>
        <v>0</v>
      </c>
      <c r="AD161" s="183">
        <f>SUMIFS('апрель 2025'!$G$4:$G$2485,'апрель 2025'!$D$4:$D$2485,$B161,'апрель 2025'!$J$4:$J$2485,AD$1)</f>
        <v>0</v>
      </c>
      <c r="AE161" s="183">
        <f>SUMIFS('апрель 2025'!$G$4:$G$2485,'апрель 2025'!$D$4:$D$2485,$B161,'апрель 2025'!$J$4:$J$2485,AE$1)</f>
        <v>0</v>
      </c>
      <c r="AF161" s="183">
        <f>SUMIFS('апрель 2025'!$G$4:$G$2485,'апрель 2025'!$D$4:$D$2485,$B161,'апрель 2025'!$J$4:$J$2485,AF$1)</f>
        <v>0</v>
      </c>
      <c r="AG161" s="183">
        <f>SUMIFS('апрель 2025'!$G$4:$G$2485,'апрель 2025'!$D$4:$D$2485,$B161,'апрель 2025'!$J$4:$J$2485,AG$1)</f>
        <v>0</v>
      </c>
      <c r="AH161" s="183">
        <f>SUMIFS('апрель 2025'!$G$4:$G$2485,'апрель 2025'!$D$4:$D$2485,$B161,'апрель 2025'!$J$4:$J$2485,AH$1)</f>
        <v>0</v>
      </c>
      <c r="AI161" s="20">
        <f>SUM(D161:AH161)</f>
        <v>0</v>
      </c>
    </row>
    <row r="162" spans="2:35" ht="15" customHeight="1" x14ac:dyDescent="0.25">
      <c r="B162" s="84" t="s">
        <v>324</v>
      </c>
      <c r="C162" s="83">
        <v>950</v>
      </c>
      <c r="D162" s="183">
        <f>SUMIFS('апрель 2025'!$G$4:$G$2485,'апрель 2025'!$D$4:$D$2485,$B162,'апрель 2025'!$J$4:$J$2485,D$1)</f>
        <v>0</v>
      </c>
      <c r="E162" s="183">
        <f>SUMIFS('апрель 2025'!$G$4:$G$2485,'апрель 2025'!$D$4:$D$2485,$B162,'апрель 2025'!$J$4:$J$2485,E$1)</f>
        <v>0</v>
      </c>
      <c r="F162" s="183">
        <f>SUMIFS('апрель 2025'!$G$4:$G$2485,'апрель 2025'!$D$4:$D$2485,$B162,'апрель 2025'!$J$4:$J$2485,F$1)</f>
        <v>0</v>
      </c>
      <c r="G162" s="183">
        <f>SUMIFS('апрель 2025'!$G$4:$G$2485,'апрель 2025'!$D$4:$D$2485,$B162,'апрель 2025'!$J$4:$J$2485,G$1)</f>
        <v>0</v>
      </c>
      <c r="H162" s="183">
        <f>SUMIFS('апрель 2025'!$G$4:$G$2485,'апрель 2025'!$D$4:$D$2485,$B162,'апрель 2025'!$J$4:$J$2485,H$1)</f>
        <v>0</v>
      </c>
      <c r="I162" s="183">
        <f>SUMIFS('апрель 2025'!$G$4:$G$2485,'апрель 2025'!$D$4:$D$2485,$B162,'апрель 2025'!$J$4:$J$2485,I$1)</f>
        <v>0</v>
      </c>
      <c r="J162" s="183">
        <f>SUMIFS('апрель 2025'!$G$4:$G$2485,'апрель 2025'!$D$4:$D$2485,$B162,'апрель 2025'!$J$4:$J$2485,J$1)</f>
        <v>0</v>
      </c>
      <c r="K162" s="183">
        <f>SUMIFS('апрель 2025'!$G$4:$G$2485,'апрель 2025'!$D$4:$D$2485,$B162,'апрель 2025'!$J$4:$J$2485,K$1)</f>
        <v>0</v>
      </c>
      <c r="L162" s="183">
        <f>SUMIFS('апрель 2025'!$G$4:$G$2485,'апрель 2025'!$D$4:$D$2485,$B162,'апрель 2025'!$J$4:$J$2485,L$1)</f>
        <v>0</v>
      </c>
      <c r="M162" s="183">
        <f>SUMIFS('апрель 2025'!$G$4:$G$2485,'апрель 2025'!$D$4:$D$2485,$B162,'апрель 2025'!$J$4:$J$2485,M$1)</f>
        <v>0</v>
      </c>
      <c r="N162" s="183">
        <f>SUMIFS('апрель 2025'!$G$4:$G$2485,'апрель 2025'!$D$4:$D$2485,$B162,'апрель 2025'!$J$4:$J$2485,N$1)</f>
        <v>0</v>
      </c>
      <c r="O162" s="183">
        <f>SUMIFS('апрель 2025'!$G$4:$G$2485,'апрель 2025'!$D$4:$D$2485,$B162,'апрель 2025'!$J$4:$J$2485,O$1)</f>
        <v>0</v>
      </c>
      <c r="P162" s="183">
        <f>SUMIFS('апрель 2025'!$G$4:$G$2485,'апрель 2025'!$D$4:$D$2485,$B162,'апрель 2025'!$J$4:$J$2485,P$1)</f>
        <v>0</v>
      </c>
      <c r="Q162" s="183">
        <f>SUMIFS('апрель 2025'!$G$4:$G$2485,'апрель 2025'!$D$4:$D$2485,$B162,'апрель 2025'!$J$4:$J$2485,Q$1)</f>
        <v>0</v>
      </c>
      <c r="R162" s="183">
        <f>SUMIFS('апрель 2025'!$G$4:$G$2485,'апрель 2025'!$D$4:$D$2485,$B162,'апрель 2025'!$J$4:$J$2485,R$1)</f>
        <v>0</v>
      </c>
      <c r="S162" s="183">
        <f>SUMIFS('апрель 2025'!$G$4:$G$2485,'апрель 2025'!$D$4:$D$2485,$B162,'апрель 2025'!$J$4:$J$2485,S$1)</f>
        <v>0</v>
      </c>
      <c r="T162" s="183">
        <f>SUMIFS('апрель 2025'!$G$4:$G$2485,'апрель 2025'!$D$4:$D$2485,$B162,'апрель 2025'!$J$4:$J$2485,T$1)</f>
        <v>0</v>
      </c>
      <c r="U162" s="183">
        <f>SUMIFS('апрель 2025'!$G$4:$G$2485,'апрель 2025'!$D$4:$D$2485,$B162,'апрель 2025'!$J$4:$J$2485,U$1)</f>
        <v>0</v>
      </c>
      <c r="V162" s="183">
        <f>SUMIFS('апрель 2025'!$G$4:$G$2485,'апрель 2025'!$D$4:$D$2485,$B162,'апрель 2025'!$J$4:$J$2485,V$1)</f>
        <v>0</v>
      </c>
      <c r="W162" s="183">
        <f>SUMIFS('апрель 2025'!$G$4:$G$2485,'апрель 2025'!$D$4:$D$2485,$B162,'апрель 2025'!$J$4:$J$2485,W$1)</f>
        <v>0</v>
      </c>
      <c r="X162" s="183">
        <f>SUMIFS('апрель 2025'!$G$4:$G$2485,'апрель 2025'!$D$4:$D$2485,$B162,'апрель 2025'!$J$4:$J$2485,X$1)</f>
        <v>0</v>
      </c>
      <c r="Y162" s="183">
        <f>SUMIFS('апрель 2025'!$G$4:$G$2485,'апрель 2025'!$D$4:$D$2485,$B162,'апрель 2025'!$J$4:$J$2485,Y$1)</f>
        <v>0</v>
      </c>
      <c r="Z162" s="183">
        <f>SUMIFS('апрель 2025'!$G$4:$G$2485,'апрель 2025'!$D$4:$D$2485,$B162,'апрель 2025'!$J$4:$J$2485,Z$1)</f>
        <v>0</v>
      </c>
      <c r="AA162" s="183">
        <f>SUMIFS('апрель 2025'!$G$4:$G$2485,'апрель 2025'!$D$4:$D$2485,$B162,'апрель 2025'!$J$4:$J$2485,AA$1)</f>
        <v>0</v>
      </c>
      <c r="AB162" s="183">
        <f>SUMIFS('апрель 2025'!$G$4:$G$2485,'апрель 2025'!$D$4:$D$2485,$B162,'апрель 2025'!$J$4:$J$2485,AB$1)</f>
        <v>0</v>
      </c>
      <c r="AC162" s="183">
        <f>SUMIFS('апрель 2025'!$G$4:$G$2485,'апрель 2025'!$D$4:$D$2485,$B162,'апрель 2025'!$J$4:$J$2485,AC$1)</f>
        <v>0</v>
      </c>
      <c r="AD162" s="183">
        <f>SUMIFS('апрель 2025'!$G$4:$G$2485,'апрель 2025'!$D$4:$D$2485,$B162,'апрель 2025'!$J$4:$J$2485,AD$1)</f>
        <v>0</v>
      </c>
      <c r="AE162" s="183">
        <f>SUMIFS('апрель 2025'!$G$4:$G$2485,'апрель 2025'!$D$4:$D$2485,$B162,'апрель 2025'!$J$4:$J$2485,AE$1)</f>
        <v>0</v>
      </c>
      <c r="AF162" s="183">
        <f>SUMIFS('апрель 2025'!$G$4:$G$2485,'апрель 2025'!$D$4:$D$2485,$B162,'апрель 2025'!$J$4:$J$2485,AF$1)</f>
        <v>0</v>
      </c>
      <c r="AG162" s="183">
        <f>SUMIFS('апрель 2025'!$G$4:$G$2485,'апрель 2025'!$D$4:$D$2485,$B162,'апрель 2025'!$J$4:$J$2485,AG$1)</f>
        <v>0</v>
      </c>
      <c r="AH162" s="183">
        <f>SUMIFS('апрель 2025'!$G$4:$G$2485,'апрель 2025'!$D$4:$D$2485,$B162,'апрель 2025'!$J$4:$J$2485,AH$1)</f>
        <v>0</v>
      </c>
      <c r="AI162" s="20">
        <f t="shared" ref="AI162:AI165" si="5">SUM(D162:AH162)</f>
        <v>0</v>
      </c>
    </row>
    <row r="163" spans="2:35" ht="15" customHeight="1" x14ac:dyDescent="0.25">
      <c r="B163" s="84" t="s">
        <v>322</v>
      </c>
      <c r="C163" s="83">
        <v>200</v>
      </c>
      <c r="D163" s="183">
        <f>SUMIFS('апрель 2025'!$G$4:$G$2485,'апрель 2025'!$D$4:$D$2485,$B163,'апрель 2025'!$J$4:$J$2485,D$1)</f>
        <v>0</v>
      </c>
      <c r="E163" s="183">
        <f>SUMIFS('апрель 2025'!$G$4:$G$2485,'апрель 2025'!$D$4:$D$2485,$B163,'апрель 2025'!$J$4:$J$2485,E$1)</f>
        <v>0</v>
      </c>
      <c r="F163" s="183">
        <f>SUMIFS('апрель 2025'!$G$4:$G$2485,'апрель 2025'!$D$4:$D$2485,$B163,'апрель 2025'!$J$4:$J$2485,F$1)</f>
        <v>0</v>
      </c>
      <c r="G163" s="183">
        <f>SUMIFS('апрель 2025'!$G$4:$G$2485,'апрель 2025'!$D$4:$D$2485,$B163,'апрель 2025'!$J$4:$J$2485,G$1)</f>
        <v>0</v>
      </c>
      <c r="H163" s="183">
        <f>SUMIFS('апрель 2025'!$G$4:$G$2485,'апрель 2025'!$D$4:$D$2485,$B163,'апрель 2025'!$J$4:$J$2485,H$1)</f>
        <v>0</v>
      </c>
      <c r="I163" s="183">
        <f>SUMIFS('апрель 2025'!$G$4:$G$2485,'апрель 2025'!$D$4:$D$2485,$B163,'апрель 2025'!$J$4:$J$2485,I$1)</f>
        <v>0</v>
      </c>
      <c r="J163" s="183">
        <f>SUMIFS('апрель 2025'!$G$4:$G$2485,'апрель 2025'!$D$4:$D$2485,$B163,'апрель 2025'!$J$4:$J$2485,J$1)</f>
        <v>0</v>
      </c>
      <c r="K163" s="183">
        <f>SUMIFS('апрель 2025'!$G$4:$G$2485,'апрель 2025'!$D$4:$D$2485,$B163,'апрель 2025'!$J$4:$J$2485,K$1)</f>
        <v>0</v>
      </c>
      <c r="L163" s="183">
        <f>SUMIFS('апрель 2025'!$G$4:$G$2485,'апрель 2025'!$D$4:$D$2485,$B163,'апрель 2025'!$J$4:$J$2485,L$1)</f>
        <v>0</v>
      </c>
      <c r="M163" s="183">
        <f>SUMIFS('апрель 2025'!$G$4:$G$2485,'апрель 2025'!$D$4:$D$2485,$B163,'апрель 2025'!$J$4:$J$2485,M$1)</f>
        <v>0</v>
      </c>
      <c r="N163" s="183">
        <f>SUMIFS('апрель 2025'!$G$4:$G$2485,'апрель 2025'!$D$4:$D$2485,$B163,'апрель 2025'!$J$4:$J$2485,N$1)</f>
        <v>0</v>
      </c>
      <c r="O163" s="183">
        <f>SUMIFS('апрель 2025'!$G$4:$G$2485,'апрель 2025'!$D$4:$D$2485,$B163,'апрель 2025'!$J$4:$J$2485,O$1)</f>
        <v>0</v>
      </c>
      <c r="P163" s="183">
        <f>SUMIFS('апрель 2025'!$G$4:$G$2485,'апрель 2025'!$D$4:$D$2485,$B163,'апрель 2025'!$J$4:$J$2485,P$1)</f>
        <v>0</v>
      </c>
      <c r="Q163" s="183">
        <f>SUMIFS('апрель 2025'!$G$4:$G$2485,'апрель 2025'!$D$4:$D$2485,$B163,'апрель 2025'!$J$4:$J$2485,Q$1)</f>
        <v>0</v>
      </c>
      <c r="R163" s="183">
        <f>SUMIFS('апрель 2025'!$G$4:$G$2485,'апрель 2025'!$D$4:$D$2485,$B163,'апрель 2025'!$J$4:$J$2485,R$1)</f>
        <v>0</v>
      </c>
      <c r="S163" s="183">
        <f>SUMIFS('апрель 2025'!$G$4:$G$2485,'апрель 2025'!$D$4:$D$2485,$B163,'апрель 2025'!$J$4:$J$2485,S$1)</f>
        <v>0</v>
      </c>
      <c r="T163" s="183">
        <f>SUMIFS('апрель 2025'!$G$4:$G$2485,'апрель 2025'!$D$4:$D$2485,$B163,'апрель 2025'!$J$4:$J$2485,T$1)</f>
        <v>0</v>
      </c>
      <c r="U163" s="183">
        <f>SUMIFS('апрель 2025'!$G$4:$G$2485,'апрель 2025'!$D$4:$D$2485,$B163,'апрель 2025'!$J$4:$J$2485,U$1)</f>
        <v>0</v>
      </c>
      <c r="V163" s="183">
        <f>SUMIFS('апрель 2025'!$G$4:$G$2485,'апрель 2025'!$D$4:$D$2485,$B163,'апрель 2025'!$J$4:$J$2485,V$1)</f>
        <v>0</v>
      </c>
      <c r="W163" s="183">
        <f>SUMIFS('апрель 2025'!$G$4:$G$2485,'апрель 2025'!$D$4:$D$2485,$B163,'апрель 2025'!$J$4:$J$2485,W$1)</f>
        <v>0</v>
      </c>
      <c r="X163" s="183">
        <f>SUMIFS('апрель 2025'!$G$4:$G$2485,'апрель 2025'!$D$4:$D$2485,$B163,'апрель 2025'!$J$4:$J$2485,X$1)</f>
        <v>0</v>
      </c>
      <c r="Y163" s="183">
        <f>SUMIFS('апрель 2025'!$G$4:$G$2485,'апрель 2025'!$D$4:$D$2485,$B163,'апрель 2025'!$J$4:$J$2485,Y$1)</f>
        <v>0</v>
      </c>
      <c r="Z163" s="183">
        <f>SUMIFS('апрель 2025'!$G$4:$G$2485,'апрель 2025'!$D$4:$D$2485,$B163,'апрель 2025'!$J$4:$J$2485,Z$1)</f>
        <v>0</v>
      </c>
      <c r="AA163" s="183">
        <f>SUMIFS('апрель 2025'!$G$4:$G$2485,'апрель 2025'!$D$4:$D$2485,$B163,'апрель 2025'!$J$4:$J$2485,AA$1)</f>
        <v>0</v>
      </c>
      <c r="AB163" s="183">
        <f>SUMIFS('апрель 2025'!$G$4:$G$2485,'апрель 2025'!$D$4:$D$2485,$B163,'апрель 2025'!$J$4:$J$2485,AB$1)</f>
        <v>0</v>
      </c>
      <c r="AC163" s="183">
        <f>SUMIFS('апрель 2025'!$G$4:$G$2485,'апрель 2025'!$D$4:$D$2485,$B163,'апрель 2025'!$J$4:$J$2485,AC$1)</f>
        <v>0</v>
      </c>
      <c r="AD163" s="183">
        <f>SUMIFS('апрель 2025'!$G$4:$G$2485,'апрель 2025'!$D$4:$D$2485,$B163,'апрель 2025'!$J$4:$J$2485,AD$1)</f>
        <v>0</v>
      </c>
      <c r="AE163" s="183">
        <f>SUMIFS('апрель 2025'!$G$4:$G$2485,'апрель 2025'!$D$4:$D$2485,$B163,'апрель 2025'!$J$4:$J$2485,AE$1)</f>
        <v>0</v>
      </c>
      <c r="AF163" s="183">
        <f>SUMIFS('апрель 2025'!$G$4:$G$2485,'апрель 2025'!$D$4:$D$2485,$B163,'апрель 2025'!$J$4:$J$2485,AF$1)</f>
        <v>0</v>
      </c>
      <c r="AG163" s="183">
        <f>SUMIFS('апрель 2025'!$G$4:$G$2485,'апрель 2025'!$D$4:$D$2485,$B163,'апрель 2025'!$J$4:$J$2485,AG$1)</f>
        <v>0</v>
      </c>
      <c r="AH163" s="183">
        <f>SUMIFS('апрель 2025'!$G$4:$G$2485,'апрель 2025'!$D$4:$D$2485,$B163,'апрель 2025'!$J$4:$J$2485,AH$1)</f>
        <v>0</v>
      </c>
      <c r="AI163" s="20">
        <f t="shared" si="5"/>
        <v>0</v>
      </c>
    </row>
    <row r="164" spans="2:35" ht="15" customHeight="1" x14ac:dyDescent="0.25">
      <c r="B164" s="84" t="s">
        <v>810</v>
      </c>
      <c r="C164" s="83">
        <v>200</v>
      </c>
      <c r="D164" s="183">
        <f>SUMIFS('апрель 2025'!$G$4:$G$2485,'апрель 2025'!$D$4:$D$2485,$B164,'апрель 2025'!$J$4:$J$2485,D$1)</f>
        <v>0</v>
      </c>
      <c r="E164" s="183">
        <f>SUMIFS('апрель 2025'!$G$4:$G$2485,'апрель 2025'!$D$4:$D$2485,$B164,'апрель 2025'!$J$4:$J$2485,E$1)</f>
        <v>0</v>
      </c>
      <c r="F164" s="183">
        <f>SUMIFS('апрель 2025'!$G$4:$G$2485,'апрель 2025'!$D$4:$D$2485,$B164,'апрель 2025'!$J$4:$J$2485,F$1)</f>
        <v>0</v>
      </c>
      <c r="G164" s="183">
        <f>SUMIFS('апрель 2025'!$G$4:$G$2485,'апрель 2025'!$D$4:$D$2485,$B164,'апрель 2025'!$J$4:$J$2485,G$1)</f>
        <v>0</v>
      </c>
      <c r="H164" s="183">
        <f>SUMIFS('апрель 2025'!$G$4:$G$2485,'апрель 2025'!$D$4:$D$2485,$B164,'апрель 2025'!$J$4:$J$2485,H$1)</f>
        <v>0</v>
      </c>
      <c r="I164" s="183">
        <f>SUMIFS('апрель 2025'!$G$4:$G$2485,'апрель 2025'!$D$4:$D$2485,$B164,'апрель 2025'!$J$4:$J$2485,I$1)</f>
        <v>0</v>
      </c>
      <c r="J164" s="183">
        <f>SUMIFS('апрель 2025'!$G$4:$G$2485,'апрель 2025'!$D$4:$D$2485,$B164,'апрель 2025'!$J$4:$J$2485,J$1)</f>
        <v>0</v>
      </c>
      <c r="K164" s="183">
        <f>SUMIFS('апрель 2025'!$G$4:$G$2485,'апрель 2025'!$D$4:$D$2485,$B164,'апрель 2025'!$J$4:$J$2485,K$1)</f>
        <v>0</v>
      </c>
      <c r="L164" s="183">
        <f>SUMIFS('апрель 2025'!$G$4:$G$2485,'апрель 2025'!$D$4:$D$2485,$B164,'апрель 2025'!$J$4:$J$2485,L$1)</f>
        <v>0</v>
      </c>
      <c r="M164" s="183">
        <f>SUMIFS('апрель 2025'!$G$4:$G$2485,'апрель 2025'!$D$4:$D$2485,$B164,'апрель 2025'!$J$4:$J$2485,M$1)</f>
        <v>0</v>
      </c>
      <c r="N164" s="183">
        <f>SUMIFS('апрель 2025'!$G$4:$G$2485,'апрель 2025'!$D$4:$D$2485,$B164,'апрель 2025'!$J$4:$J$2485,N$1)</f>
        <v>0</v>
      </c>
      <c r="O164" s="183">
        <f>SUMIFS('апрель 2025'!$G$4:$G$2485,'апрель 2025'!$D$4:$D$2485,$B164,'апрель 2025'!$J$4:$J$2485,O$1)</f>
        <v>0</v>
      </c>
      <c r="P164" s="183">
        <f>SUMIFS('апрель 2025'!$G$4:$G$2485,'апрель 2025'!$D$4:$D$2485,$B164,'апрель 2025'!$J$4:$J$2485,P$1)</f>
        <v>0</v>
      </c>
      <c r="Q164" s="183">
        <f>SUMIFS('апрель 2025'!$G$4:$G$2485,'апрель 2025'!$D$4:$D$2485,$B164,'апрель 2025'!$J$4:$J$2485,Q$1)</f>
        <v>0</v>
      </c>
      <c r="R164" s="183">
        <f>SUMIFS('апрель 2025'!$G$4:$G$2485,'апрель 2025'!$D$4:$D$2485,$B164,'апрель 2025'!$J$4:$J$2485,R$1)</f>
        <v>0</v>
      </c>
      <c r="S164" s="183">
        <f>SUMIFS('апрель 2025'!$G$4:$G$2485,'апрель 2025'!$D$4:$D$2485,$B164,'апрель 2025'!$J$4:$J$2485,S$1)</f>
        <v>0</v>
      </c>
      <c r="T164" s="183">
        <f>SUMIFS('апрель 2025'!$G$4:$G$2485,'апрель 2025'!$D$4:$D$2485,$B164,'апрель 2025'!$J$4:$J$2485,T$1)</f>
        <v>0</v>
      </c>
      <c r="U164" s="183">
        <f>SUMIFS('апрель 2025'!$G$4:$G$2485,'апрель 2025'!$D$4:$D$2485,$B164,'апрель 2025'!$J$4:$J$2485,U$1)</f>
        <v>0</v>
      </c>
      <c r="V164" s="183">
        <f>SUMIFS('апрель 2025'!$G$4:$G$2485,'апрель 2025'!$D$4:$D$2485,$B164,'апрель 2025'!$J$4:$J$2485,V$1)</f>
        <v>0</v>
      </c>
      <c r="W164" s="183">
        <f>SUMIFS('апрель 2025'!$G$4:$G$2485,'апрель 2025'!$D$4:$D$2485,$B164,'апрель 2025'!$J$4:$J$2485,W$1)</f>
        <v>0</v>
      </c>
      <c r="X164" s="183">
        <f>SUMIFS('апрель 2025'!$G$4:$G$2485,'апрель 2025'!$D$4:$D$2485,$B164,'апрель 2025'!$J$4:$J$2485,X$1)</f>
        <v>0</v>
      </c>
      <c r="Y164" s="183">
        <f>SUMIFS('апрель 2025'!$G$4:$G$2485,'апрель 2025'!$D$4:$D$2485,$B164,'апрель 2025'!$J$4:$J$2485,Y$1)</f>
        <v>0</v>
      </c>
      <c r="Z164" s="183">
        <f>SUMIFS('апрель 2025'!$G$4:$G$2485,'апрель 2025'!$D$4:$D$2485,$B164,'апрель 2025'!$J$4:$J$2485,Z$1)</f>
        <v>0</v>
      </c>
      <c r="AA164" s="183">
        <f>SUMIFS('апрель 2025'!$G$4:$G$2485,'апрель 2025'!$D$4:$D$2485,$B164,'апрель 2025'!$J$4:$J$2485,AA$1)</f>
        <v>0</v>
      </c>
      <c r="AB164" s="183">
        <f>SUMIFS('апрель 2025'!$G$4:$G$2485,'апрель 2025'!$D$4:$D$2485,$B164,'апрель 2025'!$J$4:$J$2485,AB$1)</f>
        <v>0</v>
      </c>
      <c r="AC164" s="183">
        <f>SUMIFS('апрель 2025'!$G$4:$G$2485,'апрель 2025'!$D$4:$D$2485,$B164,'апрель 2025'!$J$4:$J$2485,AC$1)</f>
        <v>0</v>
      </c>
      <c r="AD164" s="183">
        <f>SUMIFS('апрель 2025'!$G$4:$G$2485,'апрель 2025'!$D$4:$D$2485,$B164,'апрель 2025'!$J$4:$J$2485,AD$1)</f>
        <v>0</v>
      </c>
      <c r="AE164" s="183">
        <f>SUMIFS('апрель 2025'!$G$4:$G$2485,'апрель 2025'!$D$4:$D$2485,$B164,'апрель 2025'!$J$4:$J$2485,AE$1)</f>
        <v>0</v>
      </c>
      <c r="AF164" s="183">
        <f>SUMIFS('апрель 2025'!$G$4:$G$2485,'апрель 2025'!$D$4:$D$2485,$B164,'апрель 2025'!$J$4:$J$2485,AF$1)</f>
        <v>0</v>
      </c>
      <c r="AG164" s="183">
        <f>SUMIFS('апрель 2025'!$G$4:$G$2485,'апрель 2025'!$D$4:$D$2485,$B164,'апрель 2025'!$J$4:$J$2485,AG$1)</f>
        <v>0</v>
      </c>
      <c r="AH164" s="183">
        <f>SUMIFS('апрель 2025'!$G$4:$G$2485,'апрель 2025'!$D$4:$D$2485,$B164,'апрель 2025'!$J$4:$J$2485,AH$1)</f>
        <v>0</v>
      </c>
      <c r="AI164" s="20">
        <f t="shared" si="5"/>
        <v>0</v>
      </c>
    </row>
    <row r="165" spans="2:35" ht="15" customHeight="1" x14ac:dyDescent="0.25">
      <c r="B165" s="84" t="s">
        <v>995</v>
      </c>
      <c r="C165" s="83">
        <v>200</v>
      </c>
      <c r="D165" s="183">
        <f>SUMIFS('апрель 2025'!$G$4:$G$2485,'апрель 2025'!$D$4:$D$2485,$B165,'апрель 2025'!$J$4:$J$2485,D$1)</f>
        <v>0</v>
      </c>
      <c r="E165" s="183">
        <f>SUMIFS('апрель 2025'!$G$4:$G$2485,'апрель 2025'!$D$4:$D$2485,$B165,'апрель 2025'!$J$4:$J$2485,E$1)</f>
        <v>0</v>
      </c>
      <c r="F165" s="183">
        <f>SUMIFS('апрель 2025'!$G$4:$G$2485,'апрель 2025'!$D$4:$D$2485,$B165,'апрель 2025'!$J$4:$J$2485,F$1)</f>
        <v>0</v>
      </c>
      <c r="G165" s="183">
        <f>SUMIFS('апрель 2025'!$G$4:$G$2485,'апрель 2025'!$D$4:$D$2485,$B165,'апрель 2025'!$J$4:$J$2485,G$1)</f>
        <v>0</v>
      </c>
      <c r="H165" s="183">
        <f>SUMIFS('апрель 2025'!$G$4:$G$2485,'апрель 2025'!$D$4:$D$2485,$B165,'апрель 2025'!$J$4:$J$2485,H$1)</f>
        <v>0</v>
      </c>
      <c r="I165" s="183">
        <f>SUMIFS('апрель 2025'!$G$4:$G$2485,'апрель 2025'!$D$4:$D$2485,$B165,'апрель 2025'!$J$4:$J$2485,I$1)</f>
        <v>0</v>
      </c>
      <c r="J165" s="183">
        <f>SUMIFS('апрель 2025'!$G$4:$G$2485,'апрель 2025'!$D$4:$D$2485,$B165,'апрель 2025'!$J$4:$J$2485,J$1)</f>
        <v>0</v>
      </c>
      <c r="K165" s="183">
        <f>SUMIFS('апрель 2025'!$G$4:$G$2485,'апрель 2025'!$D$4:$D$2485,$B165,'апрель 2025'!$J$4:$J$2485,K$1)</f>
        <v>0</v>
      </c>
      <c r="L165" s="183">
        <f>SUMIFS('апрель 2025'!$G$4:$G$2485,'апрель 2025'!$D$4:$D$2485,$B165,'апрель 2025'!$J$4:$J$2485,L$1)</f>
        <v>0</v>
      </c>
      <c r="M165" s="183">
        <f>SUMIFS('апрель 2025'!$G$4:$G$2485,'апрель 2025'!$D$4:$D$2485,$B165,'апрель 2025'!$J$4:$J$2485,M$1)</f>
        <v>0</v>
      </c>
      <c r="N165" s="183">
        <f>SUMIFS('апрель 2025'!$G$4:$G$2485,'апрель 2025'!$D$4:$D$2485,$B165,'апрель 2025'!$J$4:$J$2485,N$1)</f>
        <v>0</v>
      </c>
      <c r="O165" s="183">
        <f>SUMIFS('апрель 2025'!$G$4:$G$2485,'апрель 2025'!$D$4:$D$2485,$B165,'апрель 2025'!$J$4:$J$2485,O$1)</f>
        <v>0</v>
      </c>
      <c r="P165" s="183">
        <f>SUMIFS('апрель 2025'!$G$4:$G$2485,'апрель 2025'!$D$4:$D$2485,$B165,'апрель 2025'!$J$4:$J$2485,P$1)</f>
        <v>0</v>
      </c>
      <c r="Q165" s="183">
        <f>SUMIFS('апрель 2025'!$G$4:$G$2485,'апрель 2025'!$D$4:$D$2485,$B165,'апрель 2025'!$J$4:$J$2485,Q$1)</f>
        <v>0</v>
      </c>
      <c r="R165" s="183">
        <f>SUMIFS('апрель 2025'!$G$4:$G$2485,'апрель 2025'!$D$4:$D$2485,$B165,'апрель 2025'!$J$4:$J$2485,R$1)</f>
        <v>0</v>
      </c>
      <c r="S165" s="183">
        <f>SUMIFS('апрель 2025'!$G$4:$G$2485,'апрель 2025'!$D$4:$D$2485,$B165,'апрель 2025'!$J$4:$J$2485,S$1)</f>
        <v>0</v>
      </c>
      <c r="T165" s="183">
        <f>SUMIFS('апрель 2025'!$G$4:$G$2485,'апрель 2025'!$D$4:$D$2485,$B165,'апрель 2025'!$J$4:$J$2485,T$1)</f>
        <v>0</v>
      </c>
      <c r="U165" s="183">
        <f>SUMIFS('апрель 2025'!$G$4:$G$2485,'апрель 2025'!$D$4:$D$2485,$B165,'апрель 2025'!$J$4:$J$2485,U$1)</f>
        <v>0</v>
      </c>
      <c r="V165" s="183">
        <f>SUMIFS('апрель 2025'!$G$4:$G$2485,'апрель 2025'!$D$4:$D$2485,$B165,'апрель 2025'!$J$4:$J$2485,V$1)</f>
        <v>0</v>
      </c>
      <c r="W165" s="183">
        <f>SUMIFS('апрель 2025'!$G$4:$G$2485,'апрель 2025'!$D$4:$D$2485,$B165,'апрель 2025'!$J$4:$J$2485,W$1)</f>
        <v>0</v>
      </c>
      <c r="X165" s="183">
        <f>SUMIFS('апрель 2025'!$G$4:$G$2485,'апрель 2025'!$D$4:$D$2485,$B165,'апрель 2025'!$J$4:$J$2485,X$1)</f>
        <v>0</v>
      </c>
      <c r="Y165" s="183">
        <f>SUMIFS('апрель 2025'!$G$4:$G$2485,'апрель 2025'!$D$4:$D$2485,$B165,'апрель 2025'!$J$4:$J$2485,Y$1)</f>
        <v>0</v>
      </c>
      <c r="Z165" s="183">
        <f>SUMIFS('апрель 2025'!$G$4:$G$2485,'апрель 2025'!$D$4:$D$2485,$B165,'апрель 2025'!$J$4:$J$2485,Z$1)</f>
        <v>0</v>
      </c>
      <c r="AA165" s="183">
        <f>SUMIFS('апрель 2025'!$G$4:$G$2485,'апрель 2025'!$D$4:$D$2485,$B165,'апрель 2025'!$J$4:$J$2485,AA$1)</f>
        <v>0</v>
      </c>
      <c r="AB165" s="183">
        <f>SUMIFS('апрель 2025'!$G$4:$G$2485,'апрель 2025'!$D$4:$D$2485,$B165,'апрель 2025'!$J$4:$J$2485,AB$1)</f>
        <v>56</v>
      </c>
      <c r="AC165" s="183">
        <f>SUMIFS('апрель 2025'!$G$4:$G$2485,'апрель 2025'!$D$4:$D$2485,$B165,'апрель 2025'!$J$4:$J$2485,AC$1)</f>
        <v>0</v>
      </c>
      <c r="AD165" s="183">
        <f>SUMIFS('апрель 2025'!$G$4:$G$2485,'апрель 2025'!$D$4:$D$2485,$B165,'апрель 2025'!$J$4:$J$2485,AD$1)</f>
        <v>0</v>
      </c>
      <c r="AE165" s="183">
        <f>SUMIFS('апрель 2025'!$G$4:$G$2485,'апрель 2025'!$D$4:$D$2485,$B165,'апрель 2025'!$J$4:$J$2485,AE$1)</f>
        <v>0</v>
      </c>
      <c r="AF165" s="183">
        <f>SUMIFS('апрель 2025'!$G$4:$G$2485,'апрель 2025'!$D$4:$D$2485,$B165,'апрель 2025'!$J$4:$J$2485,AF$1)</f>
        <v>0</v>
      </c>
      <c r="AG165" s="183">
        <f>SUMIFS('апрель 2025'!$G$4:$G$2485,'апрель 2025'!$D$4:$D$2485,$B165,'апрель 2025'!$J$4:$J$2485,AG$1)</f>
        <v>0</v>
      </c>
      <c r="AH165" s="183">
        <f>SUMIFS('апрель 2025'!$G$4:$G$2485,'апрель 2025'!$D$4:$D$2485,$B165,'апрель 2025'!$J$4:$J$2485,AH$1)</f>
        <v>0</v>
      </c>
      <c r="AI165" s="20">
        <f t="shared" si="5"/>
        <v>56</v>
      </c>
    </row>
    <row r="166" spans="2:35" ht="15" customHeight="1" x14ac:dyDescent="0.25">
      <c r="B166" s="84"/>
      <c r="C166" s="83"/>
      <c r="D166" s="183"/>
      <c r="E166" s="183"/>
      <c r="F166" s="183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  <c r="AA166" s="183"/>
      <c r="AB166" s="183"/>
      <c r="AC166" s="183"/>
      <c r="AD166" s="183"/>
      <c r="AE166" s="183"/>
      <c r="AF166" s="183"/>
      <c r="AG166" s="183"/>
      <c r="AH166" s="183"/>
      <c r="AI166" s="20"/>
    </row>
    <row r="167" spans="2:35" ht="15" customHeight="1" x14ac:dyDescent="0.25">
      <c r="B167" s="84"/>
      <c r="C167" s="83"/>
      <c r="D167" s="183"/>
      <c r="E167" s="183"/>
      <c r="F167" s="183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  <c r="AA167" s="183"/>
      <c r="AB167" s="183"/>
      <c r="AC167" s="183"/>
      <c r="AD167" s="183"/>
      <c r="AE167" s="183"/>
      <c r="AF167" s="183"/>
      <c r="AG167" s="183"/>
      <c r="AH167" s="183"/>
      <c r="AI167" s="20"/>
    </row>
    <row r="168" spans="2:35" ht="15" customHeight="1" x14ac:dyDescent="0.25">
      <c r="B168" s="84"/>
      <c r="C168" s="83"/>
      <c r="D168" s="183"/>
      <c r="E168" s="183"/>
      <c r="F168" s="183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  <c r="AA168" s="183"/>
      <c r="AB168" s="183"/>
      <c r="AC168" s="183"/>
      <c r="AD168" s="183"/>
      <c r="AE168" s="183"/>
      <c r="AF168" s="183"/>
      <c r="AG168" s="183"/>
      <c r="AH168" s="183"/>
      <c r="AI168" s="20"/>
    </row>
    <row r="169" spans="2:35" ht="15" customHeight="1" x14ac:dyDescent="0.25">
      <c r="B169" s="84"/>
      <c r="C169" s="83"/>
      <c r="D169" s="183"/>
      <c r="E169" s="183"/>
      <c r="F169" s="183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  <c r="AA169" s="183"/>
      <c r="AB169" s="183"/>
      <c r="AC169" s="183"/>
      <c r="AD169" s="183"/>
      <c r="AE169" s="183"/>
      <c r="AF169" s="183"/>
      <c r="AG169" s="183"/>
      <c r="AH169" s="183"/>
      <c r="AI169" s="20"/>
    </row>
    <row r="170" spans="2:35" ht="15" customHeight="1" x14ac:dyDescent="0.25">
      <c r="B170" s="84"/>
      <c r="C170" s="83"/>
      <c r="D170" s="183"/>
      <c r="E170" s="183"/>
      <c r="F170" s="183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  <c r="AA170" s="183"/>
      <c r="AB170" s="183"/>
      <c r="AC170" s="183"/>
      <c r="AD170" s="183"/>
      <c r="AE170" s="183"/>
      <c r="AF170" s="183"/>
      <c r="AG170" s="183"/>
      <c r="AH170" s="183"/>
      <c r="AI170" s="20"/>
    </row>
    <row r="171" spans="2:35" ht="15" customHeight="1" x14ac:dyDescent="0.25">
      <c r="B171" s="84"/>
      <c r="C171" s="83"/>
      <c r="D171" s="183"/>
      <c r="E171" s="183"/>
      <c r="F171" s="183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  <c r="AA171" s="183"/>
      <c r="AB171" s="183"/>
      <c r="AC171" s="183"/>
      <c r="AD171" s="183"/>
      <c r="AE171" s="183"/>
      <c r="AF171" s="183"/>
      <c r="AG171" s="183"/>
      <c r="AH171" s="183"/>
      <c r="AI171" s="20"/>
    </row>
    <row r="172" spans="2:35" ht="15" customHeight="1" x14ac:dyDescent="0.25">
      <c r="B172" s="84"/>
      <c r="C172" s="83"/>
      <c r="D172" s="183"/>
      <c r="E172" s="183"/>
      <c r="F172" s="183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  <c r="AA172" s="183"/>
      <c r="AB172" s="183"/>
      <c r="AC172" s="183"/>
      <c r="AD172" s="183"/>
      <c r="AE172" s="183"/>
      <c r="AF172" s="183"/>
      <c r="AG172" s="183"/>
      <c r="AH172" s="183"/>
      <c r="AI172" s="20"/>
    </row>
    <row r="173" spans="2:35" ht="15" customHeight="1" x14ac:dyDescent="0.25">
      <c r="B173" s="84"/>
      <c r="C173" s="83"/>
      <c r="D173" s="183"/>
      <c r="E173" s="183"/>
      <c r="F173" s="183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  <c r="AA173" s="183"/>
      <c r="AB173" s="183"/>
      <c r="AC173" s="183"/>
      <c r="AD173" s="183"/>
      <c r="AE173" s="183"/>
      <c r="AF173" s="183"/>
      <c r="AG173" s="183"/>
      <c r="AH173" s="183"/>
      <c r="AI173" s="20"/>
    </row>
    <row r="174" spans="2:35" ht="15" customHeight="1" x14ac:dyDescent="0.25">
      <c r="B174" s="84"/>
      <c r="C174" s="83"/>
      <c r="D174" s="183"/>
      <c r="E174" s="183"/>
      <c r="F174" s="183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  <c r="AA174" s="183"/>
      <c r="AB174" s="183"/>
      <c r="AC174" s="183"/>
      <c r="AD174" s="183"/>
      <c r="AE174" s="183"/>
      <c r="AF174" s="183"/>
      <c r="AG174" s="183"/>
      <c r="AH174" s="183"/>
      <c r="AI174" s="20"/>
    </row>
    <row r="175" spans="2:35" ht="15" customHeight="1" x14ac:dyDescent="0.25">
      <c r="B175" s="84"/>
      <c r="C175" s="83"/>
      <c r="D175" s="183"/>
      <c r="E175" s="183"/>
      <c r="F175" s="183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  <c r="AA175" s="183"/>
      <c r="AB175" s="183"/>
      <c r="AC175" s="183"/>
      <c r="AD175" s="183"/>
      <c r="AE175" s="183"/>
      <c r="AF175" s="183"/>
      <c r="AG175" s="183"/>
      <c r="AH175" s="183"/>
      <c r="AI175" s="20"/>
    </row>
    <row r="176" spans="2:35" ht="15" customHeight="1" x14ac:dyDescent="0.25">
      <c r="B176" s="84"/>
      <c r="C176" s="83"/>
      <c r="D176" s="183"/>
      <c r="E176" s="183"/>
      <c r="F176" s="183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  <c r="AA176" s="183"/>
      <c r="AB176" s="183"/>
      <c r="AC176" s="183"/>
      <c r="AD176" s="183"/>
      <c r="AE176" s="183"/>
      <c r="AF176" s="183"/>
      <c r="AG176" s="183"/>
      <c r="AH176" s="183"/>
      <c r="AI176" s="20"/>
    </row>
    <row r="177" spans="2:35" ht="15" customHeight="1" x14ac:dyDescent="0.25">
      <c r="B177" s="84"/>
      <c r="C177" s="83"/>
      <c r="D177" s="183"/>
      <c r="E177" s="183"/>
      <c r="F177" s="183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  <c r="AA177" s="183"/>
      <c r="AB177" s="183"/>
      <c r="AC177" s="183"/>
      <c r="AD177" s="183"/>
      <c r="AE177" s="183"/>
      <c r="AF177" s="183"/>
      <c r="AG177" s="183"/>
      <c r="AH177" s="183"/>
      <c r="AI177" s="20"/>
    </row>
    <row r="178" spans="2:35" ht="15" customHeight="1" x14ac:dyDescent="0.25">
      <c r="B178" s="84"/>
      <c r="C178" s="83"/>
      <c r="D178" s="183"/>
      <c r="E178" s="183"/>
      <c r="F178" s="183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  <c r="AA178" s="183"/>
      <c r="AB178" s="183"/>
      <c r="AC178" s="183"/>
      <c r="AD178" s="183"/>
      <c r="AE178" s="183"/>
      <c r="AF178" s="183"/>
      <c r="AG178" s="183"/>
      <c r="AH178" s="183"/>
      <c r="AI178" s="20"/>
    </row>
    <row r="179" spans="2:35" ht="15" customHeight="1" x14ac:dyDescent="0.25">
      <c r="B179" s="84"/>
      <c r="C179" s="83"/>
      <c r="D179" s="183"/>
      <c r="E179" s="183"/>
      <c r="F179" s="183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  <c r="AA179" s="183"/>
      <c r="AB179" s="183"/>
      <c r="AC179" s="183"/>
      <c r="AD179" s="183"/>
      <c r="AE179" s="183"/>
      <c r="AF179" s="183"/>
      <c r="AG179" s="183"/>
      <c r="AH179" s="183"/>
      <c r="AI179" s="20"/>
    </row>
    <row r="180" spans="2:35" ht="15" customHeight="1" x14ac:dyDescent="0.25">
      <c r="B180" s="84"/>
      <c r="C180" s="83"/>
      <c r="D180" s="183"/>
      <c r="E180" s="183"/>
      <c r="F180" s="183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  <c r="AA180" s="183"/>
      <c r="AB180" s="183"/>
      <c r="AC180" s="183"/>
      <c r="AD180" s="183"/>
      <c r="AE180" s="183"/>
      <c r="AF180" s="183"/>
      <c r="AG180" s="183"/>
      <c r="AH180" s="183"/>
      <c r="AI180" s="20"/>
    </row>
    <row r="181" spans="2:35" ht="15" customHeight="1" x14ac:dyDescent="0.25">
      <c r="B181" s="84"/>
      <c r="C181" s="83"/>
      <c r="D181" s="183"/>
      <c r="E181" s="183"/>
      <c r="F181" s="183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  <c r="AA181" s="183"/>
      <c r="AB181" s="183"/>
      <c r="AC181" s="183"/>
      <c r="AD181" s="183"/>
      <c r="AE181" s="183"/>
      <c r="AF181" s="183"/>
      <c r="AG181" s="183"/>
      <c r="AH181" s="183"/>
      <c r="AI181" s="20"/>
    </row>
    <row r="182" spans="2:35" ht="15" customHeight="1" x14ac:dyDescent="0.25">
      <c r="B182" s="84"/>
      <c r="C182" s="83"/>
      <c r="D182" s="183"/>
      <c r="E182" s="183"/>
      <c r="F182" s="183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  <c r="AA182" s="183"/>
      <c r="AB182" s="183"/>
      <c r="AC182" s="183"/>
      <c r="AD182" s="183"/>
      <c r="AE182" s="183"/>
      <c r="AF182" s="183"/>
      <c r="AG182" s="183"/>
      <c r="AH182" s="183"/>
      <c r="AI182" s="20"/>
    </row>
    <row r="183" spans="2:35" ht="15" customHeight="1" x14ac:dyDescent="0.25">
      <c r="B183" s="84"/>
      <c r="C183" s="83"/>
      <c r="D183" s="183"/>
      <c r="E183" s="183"/>
      <c r="F183" s="183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  <c r="AA183" s="183"/>
      <c r="AB183" s="183"/>
      <c r="AC183" s="183"/>
      <c r="AD183" s="183"/>
      <c r="AE183" s="183"/>
      <c r="AF183" s="183"/>
      <c r="AG183" s="183"/>
      <c r="AH183" s="183"/>
      <c r="AI183" s="20"/>
    </row>
    <row r="184" spans="2:35" ht="15" customHeight="1" x14ac:dyDescent="0.25">
      <c r="B184" s="84"/>
      <c r="C184" s="83"/>
      <c r="D184" s="183"/>
      <c r="E184" s="183"/>
      <c r="F184" s="183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  <c r="AA184" s="183"/>
      <c r="AB184" s="183"/>
      <c r="AC184" s="183"/>
      <c r="AD184" s="183"/>
      <c r="AE184" s="183"/>
      <c r="AF184" s="183"/>
      <c r="AG184" s="183"/>
      <c r="AH184" s="183"/>
      <c r="AI184" s="20"/>
    </row>
    <row r="185" spans="2:35" ht="15" customHeight="1" x14ac:dyDescent="0.25">
      <c r="B185" s="84"/>
      <c r="C185" s="83"/>
      <c r="D185" s="183"/>
      <c r="E185" s="183"/>
      <c r="F185" s="183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  <c r="AA185" s="183"/>
      <c r="AB185" s="183"/>
      <c r="AC185" s="183"/>
      <c r="AD185" s="183"/>
      <c r="AE185" s="183"/>
      <c r="AF185" s="183"/>
      <c r="AG185" s="183"/>
      <c r="AH185" s="183"/>
      <c r="AI185" s="20"/>
    </row>
    <row r="186" spans="2:35" ht="15" customHeight="1" x14ac:dyDescent="0.25">
      <c r="B186" s="84"/>
      <c r="C186" s="83"/>
      <c r="D186" s="183"/>
      <c r="E186" s="183"/>
      <c r="F186" s="183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  <c r="AA186" s="183"/>
      <c r="AB186" s="183"/>
      <c r="AC186" s="183"/>
      <c r="AD186" s="183"/>
      <c r="AE186" s="183"/>
      <c r="AF186" s="183"/>
      <c r="AG186" s="183"/>
      <c r="AH186" s="183"/>
      <c r="AI186" s="20"/>
    </row>
    <row r="187" spans="2:35" ht="15" customHeight="1" x14ac:dyDescent="0.25">
      <c r="B187" s="84"/>
      <c r="C187" s="83"/>
      <c r="D187" s="183"/>
      <c r="E187" s="183"/>
      <c r="F187" s="183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  <c r="AA187" s="183"/>
      <c r="AB187" s="183"/>
      <c r="AC187" s="183"/>
      <c r="AD187" s="183"/>
      <c r="AE187" s="183"/>
      <c r="AF187" s="183"/>
      <c r="AG187" s="183"/>
      <c r="AH187" s="183"/>
      <c r="AI187" s="20"/>
    </row>
    <row r="188" spans="2:35" ht="15" customHeight="1" x14ac:dyDescent="0.25">
      <c r="B188" s="84"/>
      <c r="C188" s="83"/>
      <c r="D188" s="183"/>
      <c r="E188" s="183"/>
      <c r="F188" s="183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  <c r="AA188" s="183"/>
      <c r="AB188" s="183"/>
      <c r="AC188" s="183"/>
      <c r="AD188" s="183"/>
      <c r="AE188" s="183"/>
      <c r="AF188" s="183"/>
      <c r="AG188" s="183"/>
      <c r="AH188" s="183"/>
      <c r="AI188" s="20"/>
    </row>
    <row r="189" spans="2:35" ht="15" customHeight="1" x14ac:dyDescent="0.25">
      <c r="B189" s="84"/>
      <c r="C189" s="83"/>
      <c r="D189" s="183"/>
      <c r="E189" s="183"/>
      <c r="F189" s="183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  <c r="AA189" s="183"/>
      <c r="AB189" s="183"/>
      <c r="AC189" s="183"/>
      <c r="AD189" s="183"/>
      <c r="AE189" s="183"/>
      <c r="AF189" s="183"/>
      <c r="AG189" s="183"/>
      <c r="AH189" s="183"/>
      <c r="AI189" s="20"/>
    </row>
    <row r="190" spans="2:35" ht="15" customHeight="1" x14ac:dyDescent="0.25">
      <c r="B190" s="84"/>
      <c r="C190" s="83"/>
      <c r="D190" s="183"/>
      <c r="E190" s="183"/>
      <c r="F190" s="183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  <c r="AA190" s="183"/>
      <c r="AB190" s="183"/>
      <c r="AC190" s="183"/>
      <c r="AD190" s="183"/>
      <c r="AE190" s="183"/>
      <c r="AF190" s="183"/>
      <c r="AG190" s="183"/>
      <c r="AH190" s="183"/>
      <c r="AI190" s="20"/>
    </row>
    <row r="191" spans="2:35" ht="15" customHeight="1" x14ac:dyDescent="0.25">
      <c r="B191" s="84"/>
      <c r="C191" s="83"/>
      <c r="D191" s="183"/>
      <c r="E191" s="183"/>
      <c r="F191" s="183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  <c r="AA191" s="183"/>
      <c r="AB191" s="183"/>
      <c r="AC191" s="183"/>
      <c r="AD191" s="183"/>
      <c r="AE191" s="183"/>
      <c r="AF191" s="183"/>
      <c r="AG191" s="183"/>
      <c r="AH191" s="183"/>
      <c r="AI191" s="20"/>
    </row>
    <row r="192" spans="2:35" ht="15" customHeight="1" x14ac:dyDescent="0.25">
      <c r="B192" s="84"/>
      <c r="C192" s="83"/>
      <c r="D192" s="183"/>
      <c r="E192" s="183"/>
      <c r="F192" s="183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  <c r="AA192" s="183"/>
      <c r="AB192" s="183"/>
      <c r="AC192" s="183"/>
      <c r="AD192" s="183"/>
      <c r="AE192" s="183"/>
      <c r="AF192" s="183"/>
      <c r="AG192" s="183"/>
      <c r="AH192" s="183"/>
      <c r="AI192" s="20"/>
    </row>
    <row r="193" spans="2:35" ht="15" customHeight="1" x14ac:dyDescent="0.25">
      <c r="B193" s="84"/>
      <c r="C193" s="83"/>
      <c r="D193" s="183"/>
      <c r="E193" s="183"/>
      <c r="F193" s="183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  <c r="AA193" s="183"/>
      <c r="AB193" s="183"/>
      <c r="AC193" s="183"/>
      <c r="AD193" s="183"/>
      <c r="AE193" s="183"/>
      <c r="AF193" s="183"/>
      <c r="AG193" s="183"/>
      <c r="AH193" s="183"/>
      <c r="AI193" s="20"/>
    </row>
    <row r="194" spans="2:35" ht="15" customHeight="1" x14ac:dyDescent="0.25">
      <c r="B194" s="84"/>
      <c r="C194" s="83"/>
      <c r="D194" s="183"/>
      <c r="E194" s="183"/>
      <c r="F194" s="183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  <c r="AA194" s="183"/>
      <c r="AB194" s="183"/>
      <c r="AC194" s="183"/>
      <c r="AD194" s="183"/>
      <c r="AE194" s="183"/>
      <c r="AF194" s="183"/>
      <c r="AG194" s="183"/>
      <c r="AH194" s="183"/>
      <c r="AI194" s="20"/>
    </row>
    <row r="195" spans="2:35" ht="15" customHeight="1" x14ac:dyDescent="0.25">
      <c r="B195" s="84"/>
      <c r="C195" s="83"/>
      <c r="D195" s="183"/>
      <c r="E195" s="183"/>
      <c r="F195" s="183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  <c r="AA195" s="183"/>
      <c r="AB195" s="183"/>
      <c r="AC195" s="183"/>
      <c r="AD195" s="183"/>
      <c r="AE195" s="183"/>
      <c r="AF195" s="183"/>
      <c r="AG195" s="183"/>
      <c r="AH195" s="183"/>
      <c r="AI195" s="20"/>
    </row>
    <row r="196" spans="2:35" ht="15" customHeight="1" x14ac:dyDescent="0.25">
      <c r="B196" s="84"/>
      <c r="C196" s="83"/>
      <c r="D196" s="183"/>
      <c r="E196" s="183"/>
      <c r="F196" s="183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  <c r="AA196" s="183"/>
      <c r="AB196" s="183"/>
      <c r="AC196" s="183"/>
      <c r="AD196" s="183"/>
      <c r="AE196" s="183"/>
      <c r="AF196" s="183"/>
      <c r="AG196" s="183"/>
      <c r="AH196" s="183"/>
      <c r="AI196" s="20"/>
    </row>
    <row r="197" spans="2:35" ht="15" customHeight="1" x14ac:dyDescent="0.25">
      <c r="B197" s="84"/>
      <c r="C197" s="83"/>
      <c r="D197" s="183"/>
      <c r="E197" s="183"/>
      <c r="F197" s="183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  <c r="AA197" s="183"/>
      <c r="AB197" s="183"/>
      <c r="AC197" s="183"/>
      <c r="AD197" s="183"/>
      <c r="AE197" s="183"/>
      <c r="AF197" s="183"/>
      <c r="AG197" s="183"/>
      <c r="AH197" s="183"/>
      <c r="AI197" s="20"/>
    </row>
    <row r="198" spans="2:35" ht="15" customHeight="1" x14ac:dyDescent="0.25">
      <c r="B198" s="84"/>
      <c r="C198" s="83"/>
      <c r="D198" s="183"/>
      <c r="E198" s="183"/>
      <c r="F198" s="183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20"/>
    </row>
    <row r="199" spans="2:35" ht="15" customHeight="1" x14ac:dyDescent="0.25">
      <c r="B199" s="84"/>
      <c r="C199" s="83"/>
      <c r="D199" s="183"/>
      <c r="E199" s="183"/>
      <c r="F199" s="183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  <c r="AA199" s="183"/>
      <c r="AB199" s="183"/>
      <c r="AC199" s="183"/>
      <c r="AD199" s="183"/>
      <c r="AE199" s="183"/>
      <c r="AF199" s="183"/>
      <c r="AG199" s="183"/>
      <c r="AH199" s="183"/>
      <c r="AI199" s="20"/>
    </row>
    <row r="200" spans="2:35" ht="15" customHeight="1" x14ac:dyDescent="0.25">
      <c r="B200" s="84"/>
      <c r="C200" s="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  <c r="AA200" s="183"/>
      <c r="AB200" s="183"/>
      <c r="AC200" s="183"/>
      <c r="AD200" s="183"/>
      <c r="AE200" s="183"/>
      <c r="AF200" s="183"/>
      <c r="AG200" s="183"/>
      <c r="AH200" s="183"/>
      <c r="AI200" s="20"/>
    </row>
    <row r="201" spans="2:35" ht="15" customHeight="1" x14ac:dyDescent="0.25">
      <c r="B201" s="84"/>
      <c r="C201" s="83"/>
      <c r="D201" s="183"/>
      <c r="E201" s="183"/>
      <c r="F201" s="183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  <c r="AA201" s="183"/>
      <c r="AB201" s="183"/>
      <c r="AC201" s="183"/>
      <c r="AD201" s="183"/>
      <c r="AE201" s="183"/>
      <c r="AF201" s="183"/>
      <c r="AG201" s="183"/>
      <c r="AH201" s="183"/>
      <c r="AI201" s="20"/>
    </row>
    <row r="202" spans="2:35" ht="15" customHeight="1" x14ac:dyDescent="0.25">
      <c r="B202" s="84"/>
      <c r="C202" s="83"/>
      <c r="D202" s="183"/>
      <c r="E202" s="183"/>
      <c r="F202" s="183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  <c r="AA202" s="183"/>
      <c r="AB202" s="183"/>
      <c r="AC202" s="183"/>
      <c r="AD202" s="183"/>
      <c r="AE202" s="183"/>
      <c r="AF202" s="183"/>
      <c r="AG202" s="183"/>
      <c r="AH202" s="183"/>
      <c r="AI202" s="20"/>
    </row>
    <row r="203" spans="2:35" ht="15" customHeight="1" x14ac:dyDescent="0.25">
      <c r="B203" s="84"/>
      <c r="C203" s="83"/>
      <c r="D203" s="183"/>
      <c r="E203" s="183"/>
      <c r="F203" s="183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  <c r="AA203" s="183"/>
      <c r="AB203" s="183"/>
      <c r="AC203" s="183"/>
      <c r="AD203" s="183"/>
      <c r="AE203" s="183"/>
      <c r="AF203" s="183"/>
      <c r="AG203" s="183"/>
      <c r="AH203" s="183"/>
      <c r="AI203" s="20"/>
    </row>
    <row r="204" spans="2:35" ht="15" customHeight="1" x14ac:dyDescent="0.25">
      <c r="B204" s="84"/>
      <c r="C204" s="83"/>
      <c r="D204" s="183"/>
      <c r="E204" s="183"/>
      <c r="F204" s="183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  <c r="AA204" s="183"/>
      <c r="AB204" s="183"/>
      <c r="AC204" s="183"/>
      <c r="AD204" s="183"/>
      <c r="AE204" s="183"/>
      <c r="AF204" s="183"/>
      <c r="AG204" s="183"/>
      <c r="AH204" s="183"/>
      <c r="AI204" s="20"/>
    </row>
    <row r="205" spans="2:35" ht="15" customHeight="1" x14ac:dyDescent="0.25">
      <c r="B205" s="84"/>
      <c r="C205" s="83"/>
      <c r="D205" s="183"/>
      <c r="E205" s="183"/>
      <c r="F205" s="183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  <c r="AA205" s="183"/>
      <c r="AB205" s="183"/>
      <c r="AC205" s="183"/>
      <c r="AD205" s="183"/>
      <c r="AE205" s="183"/>
      <c r="AF205" s="183"/>
      <c r="AG205" s="183"/>
      <c r="AH205" s="183"/>
      <c r="AI205" s="20"/>
    </row>
    <row r="206" spans="2:35" ht="15.75" x14ac:dyDescent="0.25">
      <c r="B206" s="84"/>
      <c r="C206" s="83"/>
      <c r="D206" s="183"/>
      <c r="E206" s="183"/>
      <c r="F206" s="183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  <c r="AA206" s="183"/>
      <c r="AB206" s="183"/>
      <c r="AC206" s="183"/>
      <c r="AD206" s="183"/>
      <c r="AE206" s="183"/>
      <c r="AF206" s="183"/>
      <c r="AG206" s="183"/>
      <c r="AH206" s="183"/>
      <c r="AI206" s="20"/>
    </row>
    <row r="207" spans="2:35" ht="15.75" x14ac:dyDescent="0.25">
      <c r="B207" s="84"/>
      <c r="C207" s="83"/>
      <c r="D207" s="183"/>
      <c r="E207" s="183"/>
      <c r="F207" s="183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  <c r="AA207" s="183"/>
      <c r="AB207" s="183"/>
      <c r="AC207" s="183"/>
      <c r="AD207" s="183"/>
      <c r="AE207" s="183"/>
      <c r="AF207" s="183"/>
      <c r="AG207" s="183"/>
      <c r="AH207" s="183"/>
      <c r="AI207" s="20"/>
    </row>
    <row r="208" spans="2:35" ht="15.75" x14ac:dyDescent="0.25">
      <c r="B208" s="84"/>
      <c r="C208" s="83"/>
      <c r="D208" s="183"/>
      <c r="E208" s="183"/>
      <c r="F208" s="183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  <c r="AA208" s="183"/>
      <c r="AB208" s="183"/>
      <c r="AC208" s="183"/>
      <c r="AD208" s="183"/>
      <c r="AE208" s="183"/>
      <c r="AF208" s="183"/>
      <c r="AG208" s="183"/>
      <c r="AH208" s="183"/>
      <c r="AI208" s="20"/>
    </row>
    <row r="209" spans="2:35" ht="15.75" x14ac:dyDescent="0.25">
      <c r="B209" s="84"/>
      <c r="C209" s="83"/>
      <c r="D209" s="183"/>
      <c r="E209" s="183"/>
      <c r="F209" s="183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  <c r="AA209" s="183"/>
      <c r="AB209" s="183"/>
      <c r="AC209" s="183"/>
      <c r="AD209" s="183"/>
      <c r="AE209" s="183"/>
      <c r="AF209" s="183"/>
      <c r="AG209" s="183"/>
      <c r="AH209" s="183"/>
      <c r="AI209" s="20"/>
    </row>
    <row r="210" spans="2:35" ht="15.75" x14ac:dyDescent="0.25">
      <c r="B210" s="84"/>
      <c r="C210" s="83"/>
      <c r="D210" s="183"/>
      <c r="E210" s="183"/>
      <c r="F210" s="183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  <c r="AA210" s="183"/>
      <c r="AB210" s="183"/>
      <c r="AC210" s="183"/>
      <c r="AD210" s="183"/>
      <c r="AE210" s="183"/>
      <c r="AF210" s="183"/>
      <c r="AG210" s="183"/>
      <c r="AH210" s="183"/>
      <c r="AI210" s="20"/>
    </row>
    <row r="211" spans="2:35" ht="15.75" x14ac:dyDescent="0.25">
      <c r="B211" s="84"/>
      <c r="C211" s="83"/>
      <c r="D211" s="183"/>
      <c r="E211" s="183"/>
      <c r="F211" s="183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  <c r="AA211" s="183"/>
      <c r="AB211" s="183"/>
      <c r="AC211" s="183"/>
      <c r="AD211" s="183"/>
      <c r="AE211" s="183"/>
      <c r="AF211" s="183"/>
      <c r="AG211" s="183"/>
      <c r="AH211" s="183"/>
      <c r="AI211" s="20"/>
    </row>
    <row r="212" spans="2:35" ht="15.75" x14ac:dyDescent="0.25">
      <c r="B212" s="84"/>
      <c r="C212" s="83"/>
      <c r="D212" s="183"/>
      <c r="E212" s="183"/>
      <c r="F212" s="183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  <c r="AA212" s="183"/>
      <c r="AB212" s="183"/>
      <c r="AC212" s="183"/>
      <c r="AD212" s="183"/>
      <c r="AE212" s="183"/>
      <c r="AF212" s="183"/>
      <c r="AG212" s="183"/>
      <c r="AH212" s="183"/>
      <c r="AI212" s="20"/>
    </row>
    <row r="213" spans="2:35" ht="15.75" x14ac:dyDescent="0.25">
      <c r="B213" s="84"/>
      <c r="C213" s="83"/>
      <c r="D213" s="183"/>
      <c r="E213" s="183"/>
      <c r="F213" s="183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  <c r="AA213" s="183"/>
      <c r="AB213" s="183"/>
      <c r="AC213" s="183"/>
      <c r="AD213" s="183"/>
      <c r="AE213" s="183"/>
      <c r="AF213" s="183"/>
      <c r="AG213" s="183"/>
      <c r="AH213" s="183"/>
      <c r="AI213" s="20"/>
    </row>
    <row r="214" spans="2:35" ht="15.75" x14ac:dyDescent="0.25">
      <c r="B214" s="84"/>
      <c r="C214" s="83"/>
      <c r="D214" s="183"/>
      <c r="E214" s="183"/>
      <c r="F214" s="183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  <c r="AA214" s="183"/>
      <c r="AB214" s="183"/>
      <c r="AC214" s="183"/>
      <c r="AD214" s="183"/>
      <c r="AE214" s="183"/>
      <c r="AF214" s="183"/>
      <c r="AG214" s="183"/>
      <c r="AH214" s="183"/>
      <c r="AI214" s="20"/>
    </row>
    <row r="215" spans="2:35" ht="15.75" x14ac:dyDescent="0.25">
      <c r="B215" s="84"/>
      <c r="C215" s="83"/>
      <c r="D215" s="183"/>
      <c r="E215" s="183"/>
      <c r="F215" s="183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  <c r="AA215" s="183"/>
      <c r="AB215" s="183"/>
      <c r="AC215" s="183"/>
      <c r="AD215" s="183"/>
      <c r="AE215" s="183"/>
      <c r="AF215" s="183"/>
      <c r="AG215" s="183"/>
      <c r="AH215" s="183"/>
      <c r="AI215" s="20"/>
    </row>
    <row r="216" spans="2:35" ht="15.75" x14ac:dyDescent="0.25">
      <c r="B216" s="84"/>
      <c r="C216" s="83"/>
      <c r="D216" s="183"/>
      <c r="E216" s="183"/>
      <c r="F216" s="183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  <c r="AA216" s="183"/>
      <c r="AB216" s="183"/>
      <c r="AC216" s="183"/>
      <c r="AD216" s="183"/>
      <c r="AE216" s="183"/>
      <c r="AF216" s="183"/>
      <c r="AG216" s="183"/>
      <c r="AH216" s="183"/>
      <c r="AI216" s="20"/>
    </row>
    <row r="217" spans="2:35" ht="15.75" x14ac:dyDescent="0.25">
      <c r="B217" s="84"/>
      <c r="C217" s="83"/>
      <c r="D217" s="183"/>
      <c r="E217" s="183"/>
      <c r="F217" s="183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  <c r="AA217" s="183"/>
      <c r="AB217" s="183"/>
      <c r="AC217" s="183"/>
      <c r="AD217" s="183"/>
      <c r="AE217" s="183"/>
      <c r="AF217" s="183"/>
      <c r="AG217" s="183"/>
      <c r="AH217" s="183"/>
      <c r="AI217" s="20"/>
    </row>
    <row r="218" spans="2:35" ht="15.75" x14ac:dyDescent="0.25">
      <c r="B218" s="84"/>
      <c r="C218" s="83"/>
      <c r="D218" s="183"/>
      <c r="E218" s="183"/>
      <c r="F218" s="183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  <c r="AA218" s="183"/>
      <c r="AB218" s="183"/>
      <c r="AC218" s="183"/>
      <c r="AD218" s="183"/>
      <c r="AE218" s="183"/>
      <c r="AF218" s="183"/>
      <c r="AG218" s="183"/>
      <c r="AH218" s="183"/>
      <c r="AI218" s="20"/>
    </row>
    <row r="219" spans="2:35" ht="15.75" x14ac:dyDescent="0.25">
      <c r="B219" s="84"/>
      <c r="C219" s="83"/>
      <c r="D219" s="183"/>
      <c r="E219" s="183"/>
      <c r="F219" s="183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  <c r="AA219" s="183"/>
      <c r="AB219" s="183"/>
      <c r="AC219" s="183"/>
      <c r="AD219" s="183"/>
      <c r="AE219" s="183"/>
      <c r="AF219" s="183"/>
      <c r="AG219" s="183"/>
      <c r="AH219" s="183"/>
      <c r="AI219" s="20"/>
    </row>
    <row r="220" spans="2:35" ht="15.75" x14ac:dyDescent="0.25">
      <c r="B220" s="84"/>
      <c r="C220" s="83"/>
      <c r="D220" s="183"/>
      <c r="E220" s="183"/>
      <c r="F220" s="183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  <c r="AA220" s="183"/>
      <c r="AB220" s="183"/>
      <c r="AC220" s="183"/>
      <c r="AD220" s="183"/>
      <c r="AE220" s="183"/>
      <c r="AF220" s="183"/>
      <c r="AG220" s="183"/>
      <c r="AH220" s="183"/>
      <c r="AI220" s="20"/>
    </row>
    <row r="221" spans="2:35" ht="15.75" x14ac:dyDescent="0.25">
      <c r="B221" s="84"/>
      <c r="C221" s="83"/>
      <c r="D221" s="183"/>
      <c r="E221" s="183"/>
      <c r="F221" s="183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  <c r="AA221" s="183"/>
      <c r="AB221" s="183"/>
      <c r="AC221" s="183"/>
      <c r="AD221" s="183"/>
      <c r="AE221" s="183"/>
      <c r="AF221" s="183"/>
      <c r="AG221" s="183"/>
      <c r="AH221" s="183"/>
      <c r="AI221" s="20"/>
    </row>
    <row r="222" spans="2:35" ht="15.75" x14ac:dyDescent="0.25">
      <c r="B222" s="84"/>
      <c r="C222" s="83"/>
      <c r="D222" s="183"/>
      <c r="E222" s="183"/>
      <c r="F222" s="183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  <c r="AA222" s="183"/>
      <c r="AB222" s="183"/>
      <c r="AC222" s="183"/>
      <c r="AD222" s="183"/>
      <c r="AE222" s="183"/>
      <c r="AF222" s="183"/>
      <c r="AG222" s="183"/>
      <c r="AH222" s="183"/>
      <c r="AI222" s="20"/>
    </row>
    <row r="223" spans="2:35" ht="15.75" x14ac:dyDescent="0.25">
      <c r="B223" s="84"/>
      <c r="C223" s="83"/>
      <c r="D223" s="183"/>
      <c r="E223" s="183"/>
      <c r="F223" s="183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  <c r="AA223" s="183"/>
      <c r="AB223" s="183"/>
      <c r="AC223" s="183"/>
      <c r="AD223" s="183"/>
      <c r="AE223" s="183"/>
      <c r="AF223" s="183"/>
      <c r="AG223" s="183"/>
      <c r="AH223" s="183"/>
      <c r="AI223" s="20"/>
    </row>
    <row r="224" spans="2:35" ht="15.75" x14ac:dyDescent="0.25">
      <c r="B224" s="84"/>
      <c r="C224" s="83"/>
      <c r="D224" s="183"/>
      <c r="E224" s="183"/>
      <c r="F224" s="183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  <c r="AA224" s="183"/>
      <c r="AB224" s="183"/>
      <c r="AC224" s="183"/>
      <c r="AD224" s="183"/>
      <c r="AE224" s="183"/>
      <c r="AF224" s="183"/>
      <c r="AG224" s="183"/>
      <c r="AH224" s="183"/>
      <c r="AI224" s="20"/>
    </row>
    <row r="225" spans="2:35" ht="15.75" x14ac:dyDescent="0.25">
      <c r="B225" s="84"/>
      <c r="C225" s="83"/>
      <c r="D225" s="183"/>
      <c r="E225" s="183"/>
      <c r="F225" s="183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  <c r="AA225" s="183"/>
      <c r="AB225" s="183"/>
      <c r="AC225" s="183"/>
      <c r="AD225" s="183"/>
      <c r="AE225" s="183"/>
      <c r="AF225" s="183"/>
      <c r="AG225" s="183"/>
      <c r="AH225" s="183"/>
      <c r="AI225" s="20"/>
    </row>
    <row r="226" spans="2:35" ht="15.75" x14ac:dyDescent="0.25">
      <c r="B226" s="84"/>
      <c r="C226" s="83"/>
      <c r="D226" s="183"/>
      <c r="E226" s="183"/>
      <c r="F226" s="183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  <c r="AA226" s="183"/>
      <c r="AB226" s="183"/>
      <c r="AC226" s="183"/>
      <c r="AD226" s="183"/>
      <c r="AE226" s="183"/>
      <c r="AF226" s="183"/>
      <c r="AG226" s="183"/>
      <c r="AH226" s="183"/>
      <c r="AI226" s="20"/>
    </row>
    <row r="227" spans="2:35" ht="15.75" x14ac:dyDescent="0.25">
      <c r="B227" s="84"/>
      <c r="C227" s="83"/>
      <c r="D227" s="183"/>
      <c r="E227" s="183"/>
      <c r="F227" s="183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  <c r="AA227" s="183"/>
      <c r="AB227" s="183"/>
      <c r="AC227" s="183"/>
      <c r="AD227" s="183"/>
      <c r="AE227" s="183"/>
      <c r="AF227" s="183"/>
      <c r="AG227" s="183"/>
      <c r="AH227" s="183"/>
      <c r="AI227" s="20"/>
    </row>
    <row r="228" spans="2:35" ht="15.75" x14ac:dyDescent="0.25">
      <c r="B228" s="84"/>
      <c r="C228" s="83"/>
      <c r="D228" s="183"/>
      <c r="E228" s="183"/>
      <c r="F228" s="183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  <c r="AA228" s="183"/>
      <c r="AB228" s="183"/>
      <c r="AC228" s="183"/>
      <c r="AD228" s="183"/>
      <c r="AE228" s="183"/>
      <c r="AF228" s="183"/>
      <c r="AG228" s="183"/>
      <c r="AH228" s="183"/>
      <c r="AI228" s="20"/>
    </row>
    <row r="229" spans="2:35" ht="15.75" x14ac:dyDescent="0.25">
      <c r="B229" s="84"/>
      <c r="C229" s="83"/>
      <c r="D229" s="183"/>
      <c r="E229" s="183"/>
      <c r="F229" s="183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  <c r="AA229" s="183"/>
      <c r="AB229" s="183"/>
      <c r="AC229" s="183"/>
      <c r="AD229" s="183"/>
      <c r="AE229" s="183"/>
      <c r="AF229" s="183"/>
      <c r="AG229" s="183"/>
      <c r="AH229" s="183"/>
      <c r="AI229" s="20"/>
    </row>
    <row r="230" spans="2:35" ht="15.75" x14ac:dyDescent="0.25">
      <c r="B230" s="84"/>
      <c r="C230" s="83"/>
      <c r="D230" s="183"/>
      <c r="E230" s="183"/>
      <c r="F230" s="183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  <c r="AA230" s="183"/>
      <c r="AB230" s="183"/>
      <c r="AC230" s="183"/>
      <c r="AD230" s="183"/>
      <c r="AE230" s="183"/>
      <c r="AF230" s="183"/>
      <c r="AG230" s="183"/>
      <c r="AH230" s="183"/>
      <c r="AI230" s="20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0000000}">
          <x14:formula1>
            <xm:f>справочник!$E$2:$E$172</xm:f>
          </x14:formula1>
          <xm:sqref>B3:B230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AI227"/>
  <sheetViews>
    <sheetView showZeros="0" topLeftCell="A13" zoomScale="70" zoomScaleNormal="70" workbookViewId="0">
      <selection activeCell="B48" sqref="B48:AH48"/>
    </sheetView>
  </sheetViews>
  <sheetFormatPr defaultRowHeight="15" x14ac:dyDescent="0.25"/>
  <cols>
    <col min="1" max="1" width="2.140625" customWidth="1"/>
    <col min="2" max="2" width="41.85546875" customWidth="1"/>
    <col min="4" max="34" width="6.7109375" customWidth="1"/>
  </cols>
  <sheetData>
    <row r="1" spans="2:35" ht="15" customHeight="1" thickBot="1" x14ac:dyDescent="0.3">
      <c r="B1" s="67">
        <v>45717</v>
      </c>
      <c r="C1" s="68"/>
      <c r="D1" s="69">
        <f>B1</f>
        <v>45717</v>
      </c>
      <c r="E1" s="69">
        <f>D1+1</f>
        <v>45718</v>
      </c>
      <c r="F1" s="69">
        <f t="shared" ref="F1:AH1" si="0">E1+1</f>
        <v>45719</v>
      </c>
      <c r="G1" s="69">
        <f t="shared" si="0"/>
        <v>45720</v>
      </c>
      <c r="H1" s="69">
        <f t="shared" si="0"/>
        <v>45721</v>
      </c>
      <c r="I1" s="69">
        <f t="shared" si="0"/>
        <v>45722</v>
      </c>
      <c r="J1" s="69">
        <f t="shared" si="0"/>
        <v>45723</v>
      </c>
      <c r="K1" s="69">
        <f t="shared" si="0"/>
        <v>45724</v>
      </c>
      <c r="L1" s="69">
        <f t="shared" si="0"/>
        <v>45725</v>
      </c>
      <c r="M1" s="69">
        <f t="shared" si="0"/>
        <v>45726</v>
      </c>
      <c r="N1" s="69">
        <f t="shared" si="0"/>
        <v>45727</v>
      </c>
      <c r="O1" s="69">
        <f t="shared" si="0"/>
        <v>45728</v>
      </c>
      <c r="P1" s="69">
        <f t="shared" si="0"/>
        <v>45729</v>
      </c>
      <c r="Q1" s="69">
        <f t="shared" si="0"/>
        <v>45730</v>
      </c>
      <c r="R1" s="69">
        <f t="shared" si="0"/>
        <v>45731</v>
      </c>
      <c r="S1" s="69">
        <f t="shared" si="0"/>
        <v>45732</v>
      </c>
      <c r="T1" s="69">
        <f t="shared" si="0"/>
        <v>45733</v>
      </c>
      <c r="U1" s="69">
        <f t="shared" si="0"/>
        <v>45734</v>
      </c>
      <c r="V1" s="69">
        <f t="shared" si="0"/>
        <v>45735</v>
      </c>
      <c r="W1" s="69">
        <f t="shared" si="0"/>
        <v>45736</v>
      </c>
      <c r="X1" s="69">
        <f t="shared" si="0"/>
        <v>45737</v>
      </c>
      <c r="Y1" s="69">
        <f t="shared" si="0"/>
        <v>45738</v>
      </c>
      <c r="Z1" s="69">
        <f t="shared" si="0"/>
        <v>45739</v>
      </c>
      <c r="AA1" s="69">
        <f t="shared" si="0"/>
        <v>45740</v>
      </c>
      <c r="AB1" s="69">
        <f t="shared" si="0"/>
        <v>45741</v>
      </c>
      <c r="AC1" s="69">
        <f t="shared" si="0"/>
        <v>45742</v>
      </c>
      <c r="AD1" s="69">
        <f t="shared" si="0"/>
        <v>45743</v>
      </c>
      <c r="AE1" s="69">
        <f t="shared" si="0"/>
        <v>45744</v>
      </c>
      <c r="AF1" s="69">
        <f t="shared" si="0"/>
        <v>45745</v>
      </c>
      <c r="AG1" s="69">
        <f t="shared" si="0"/>
        <v>45746</v>
      </c>
      <c r="AH1" s="69">
        <f t="shared" si="0"/>
        <v>45747</v>
      </c>
      <c r="AI1" s="70"/>
    </row>
    <row r="2" spans="2:35" ht="15" customHeight="1" thickBot="1" x14ac:dyDescent="0.3">
      <c r="B2" s="71"/>
      <c r="C2" s="68"/>
      <c r="D2" s="72">
        <v>1</v>
      </c>
      <c r="E2" s="73">
        <v>2</v>
      </c>
      <c r="F2" s="73">
        <v>3</v>
      </c>
      <c r="G2" s="73">
        <v>4</v>
      </c>
      <c r="H2" s="73">
        <v>5</v>
      </c>
      <c r="I2" s="73">
        <v>6</v>
      </c>
      <c r="J2" s="73">
        <v>7</v>
      </c>
      <c r="K2" s="73">
        <v>8</v>
      </c>
      <c r="L2" s="73">
        <v>9</v>
      </c>
      <c r="M2" s="73">
        <v>10</v>
      </c>
      <c r="N2" s="73">
        <v>11</v>
      </c>
      <c r="O2" s="73">
        <v>12</v>
      </c>
      <c r="P2" s="73">
        <v>13</v>
      </c>
      <c r="Q2" s="73">
        <v>14</v>
      </c>
      <c r="R2" s="73">
        <v>15</v>
      </c>
      <c r="S2" s="73">
        <v>16</v>
      </c>
      <c r="T2" s="73">
        <v>17</v>
      </c>
      <c r="U2" s="73">
        <v>18</v>
      </c>
      <c r="V2" s="73">
        <v>19</v>
      </c>
      <c r="W2" s="73">
        <v>20</v>
      </c>
      <c r="X2" s="73">
        <v>21</v>
      </c>
      <c r="Y2" s="73">
        <v>22</v>
      </c>
      <c r="Z2" s="73">
        <v>23</v>
      </c>
      <c r="AA2" s="73">
        <v>24</v>
      </c>
      <c r="AB2" s="73">
        <v>25</v>
      </c>
      <c r="AC2" s="73">
        <v>26</v>
      </c>
      <c r="AD2" s="73">
        <v>27</v>
      </c>
      <c r="AE2" s="73">
        <v>28</v>
      </c>
      <c r="AF2" s="73">
        <v>29</v>
      </c>
      <c r="AG2" s="73">
        <v>30</v>
      </c>
      <c r="AH2" s="73">
        <v>31</v>
      </c>
      <c r="AI2" s="70"/>
    </row>
    <row r="3" spans="2:35" ht="15" customHeight="1" x14ac:dyDescent="0.25">
      <c r="B3" s="74" t="s">
        <v>212</v>
      </c>
      <c r="C3" s="75">
        <v>25</v>
      </c>
      <c r="D3" s="76">
        <f>SUMIFS('март 2025'!$G$5:$G$2427,'март 2025'!$D$5:$D$2427,$B3,'март 2025'!$J$5:$J$2427,D$1)</f>
        <v>0</v>
      </c>
      <c r="E3" s="76">
        <f>SUMIFS('март 2025'!$G$5:$G$2427,'март 2025'!$D$5:$D$2427,$B3,'март 2025'!$J$5:$J$2427,E$1)</f>
        <v>0</v>
      </c>
      <c r="F3" s="76">
        <f>SUMIFS('март 2025'!$G$5:$G$2427,'март 2025'!$D$5:$D$2427,$B3,'март 2025'!$J$5:$J$2427,F$1)</f>
        <v>0</v>
      </c>
      <c r="G3" s="76">
        <f>SUMIFS('март 2025'!$G$5:$G$2427,'март 2025'!$D$5:$D$2427,$B3,'март 2025'!$J$5:$J$2427,G$1)</f>
        <v>0</v>
      </c>
      <c r="H3" s="76">
        <f>SUMIFS('март 2025'!$G$5:$G$2427,'март 2025'!$D$5:$D$2427,$B3,'март 2025'!$J$5:$J$2427,H$1)</f>
        <v>0</v>
      </c>
      <c r="I3" s="76">
        <f>SUMIFS('март 2025'!$G$5:$G$2427,'март 2025'!$D$5:$D$2427,$B3,'март 2025'!$J$5:$J$2427,I$1)</f>
        <v>0</v>
      </c>
      <c r="J3" s="76">
        <f>SUMIFS('март 2025'!$G$5:$G$2427,'март 2025'!$D$5:$D$2427,$B3,'март 2025'!$J$5:$J$2427,J$1)</f>
        <v>0</v>
      </c>
      <c r="K3" s="76">
        <f>SUMIFS('март 2025'!$G$5:$G$2427,'март 2025'!$D$5:$D$2427,$B3,'март 2025'!$J$5:$J$2427,K$1)</f>
        <v>0</v>
      </c>
      <c r="L3" s="76">
        <f>SUMIFS('март 2025'!$G$5:$G$2427,'март 2025'!$D$5:$D$2427,$B3,'март 2025'!$J$5:$J$2427,L$1)</f>
        <v>0</v>
      </c>
      <c r="M3" s="76">
        <f>SUMIFS('март 2025'!$G$5:$G$2427,'март 2025'!$D$5:$D$2427,$B3,'март 2025'!$J$5:$J$2427,M$1)</f>
        <v>800</v>
      </c>
      <c r="N3" s="76">
        <f>SUMIFS('март 2025'!$G$5:$G$2427,'март 2025'!$D$5:$D$2427,$B3,'март 2025'!$J$5:$J$2427,N$1)</f>
        <v>0</v>
      </c>
      <c r="O3" s="76">
        <f>SUMIFS('март 2025'!$G$5:$G$2427,'март 2025'!$D$5:$D$2427,$B3,'март 2025'!$J$5:$J$2427,O$1)</f>
        <v>0</v>
      </c>
      <c r="P3" s="76">
        <f>SUMIFS('март 2025'!$G$5:$G$2427,'март 2025'!$D$5:$D$2427,$B3,'март 2025'!$J$5:$J$2427,P$1)</f>
        <v>0</v>
      </c>
      <c r="Q3" s="76">
        <f>SUMIFS('март 2025'!$G$5:$G$2427,'март 2025'!$D$5:$D$2427,$B3,'март 2025'!$J$5:$J$2427,Q$1)</f>
        <v>0</v>
      </c>
      <c r="R3" s="76">
        <f>SUMIFS('март 2025'!$G$5:$G$2427,'март 2025'!$D$5:$D$2427,$B3,'март 2025'!$J$5:$J$2427,R$1)</f>
        <v>0</v>
      </c>
      <c r="S3" s="76">
        <f>SUMIFS('март 2025'!$G$5:$G$2427,'март 2025'!$D$5:$D$2427,$B3,'март 2025'!$J$5:$J$2427,S$1)</f>
        <v>0</v>
      </c>
      <c r="T3" s="76">
        <f>SUMIFS('март 2025'!$G$5:$G$2427,'март 2025'!$D$5:$D$2427,$B3,'март 2025'!$J$5:$J$2427,T$1)</f>
        <v>800</v>
      </c>
      <c r="U3" s="76">
        <f>SUMIFS('март 2025'!$G$5:$G$2427,'март 2025'!$D$5:$D$2427,$B3,'март 2025'!$J$5:$J$2427,U$1)</f>
        <v>800</v>
      </c>
      <c r="V3" s="76">
        <f>SUMIFS('март 2025'!$G$5:$G$2427,'март 2025'!$D$5:$D$2427,$B3,'март 2025'!$J$5:$J$2427,V$1)</f>
        <v>0</v>
      </c>
      <c r="W3" s="76">
        <f>SUMIFS('март 2025'!$G$5:$G$2427,'март 2025'!$D$5:$D$2427,$B3,'март 2025'!$J$5:$J$2427,W$1)</f>
        <v>0</v>
      </c>
      <c r="X3" s="76">
        <f>SUMIFS('март 2025'!$G$5:$G$2427,'март 2025'!$D$5:$D$2427,$B3,'март 2025'!$J$5:$J$2427,X$1)</f>
        <v>0</v>
      </c>
      <c r="Y3" s="76">
        <f>SUMIFS('март 2025'!$G$5:$G$2427,'март 2025'!$D$5:$D$2427,$B3,'март 2025'!$J$5:$J$2427,Y$1)</f>
        <v>0</v>
      </c>
      <c r="Z3" s="76">
        <f>SUMIFS('март 2025'!$G$5:$G$2427,'март 2025'!$D$5:$D$2427,$B3,'март 2025'!$J$5:$J$2427,Z$1)</f>
        <v>0</v>
      </c>
      <c r="AA3" s="76">
        <f>SUMIFS('март 2025'!$G$5:$G$2427,'март 2025'!$D$5:$D$2427,$B3,'март 2025'!$J$5:$J$2427,AA$1)</f>
        <v>0</v>
      </c>
      <c r="AB3" s="76">
        <f>SUMIFS('март 2025'!$G$5:$G$2427,'март 2025'!$D$5:$D$2427,$B3,'март 2025'!$J$5:$J$2427,AB$1)</f>
        <v>0</v>
      </c>
      <c r="AC3" s="76">
        <f>SUMIFS('март 2025'!$G$5:$G$2427,'март 2025'!$D$5:$D$2427,$B3,'март 2025'!$J$5:$J$2427,AC$1)</f>
        <v>0</v>
      </c>
      <c r="AD3" s="76">
        <f>SUMIFS('март 2025'!$G$5:$G$2427,'март 2025'!$D$5:$D$2427,$B3,'март 2025'!$J$5:$J$2427,AD$1)</f>
        <v>0</v>
      </c>
      <c r="AE3" s="76">
        <f>SUMIFS('март 2025'!$G$5:$G$2427,'март 2025'!$D$5:$D$2427,$B3,'март 2025'!$J$5:$J$2427,AE$1)</f>
        <v>0</v>
      </c>
      <c r="AF3" s="76">
        <f>SUMIFS('март 2025'!$G$5:$G$2427,'март 2025'!$D$5:$D$2427,$B3,'март 2025'!$J$5:$J$2427,AF$1)</f>
        <v>0</v>
      </c>
      <c r="AG3" s="76">
        <f>SUMIFS('март 2025'!$G$5:$G$2427,'март 2025'!$D$5:$D$2427,$B3,'март 2025'!$J$5:$J$2427,AG$1)</f>
        <v>0</v>
      </c>
      <c r="AH3" s="76">
        <f>SUMIFS('март 2025'!$G$5:$G$2427,'март 2025'!$D$5:$D$2427,$B3,'март 2025'!$J$5:$J$2427,AH$1)</f>
        <v>0</v>
      </c>
      <c r="AI3" s="48">
        <f t="shared" ref="AI3:AI156" si="1">SUM(D3:AH3)</f>
        <v>2400</v>
      </c>
    </row>
    <row r="4" spans="2:35" ht="15" customHeight="1" x14ac:dyDescent="0.25">
      <c r="B4" s="77" t="s">
        <v>214</v>
      </c>
      <c r="C4" s="78">
        <v>25</v>
      </c>
      <c r="D4" s="76">
        <f>SUMIFS('март 2025'!$G$5:$G$2427,'март 2025'!$D$5:$D$2427,$B4,'март 2025'!$J$5:$J$2427,D$1)</f>
        <v>0</v>
      </c>
      <c r="E4" s="76">
        <f>SUMIFS('март 2025'!$G$5:$G$2427,'март 2025'!$D$5:$D$2427,$B4,'март 2025'!$J$5:$J$2427,E$1)</f>
        <v>0</v>
      </c>
      <c r="F4" s="76">
        <f>SUMIFS('март 2025'!$G$5:$G$2427,'март 2025'!$D$5:$D$2427,$B4,'март 2025'!$J$5:$J$2427,F$1)</f>
        <v>0</v>
      </c>
      <c r="G4" s="76">
        <f>SUMIFS('март 2025'!$G$5:$G$2427,'март 2025'!$D$5:$D$2427,$B4,'март 2025'!$J$5:$J$2427,G$1)</f>
        <v>0</v>
      </c>
      <c r="H4" s="76">
        <f>SUMIFS('март 2025'!$G$5:$G$2427,'март 2025'!$D$5:$D$2427,$B4,'март 2025'!$J$5:$J$2427,H$1)</f>
        <v>0</v>
      </c>
      <c r="I4" s="76">
        <f>SUMIFS('март 2025'!$G$5:$G$2427,'март 2025'!$D$5:$D$2427,$B4,'март 2025'!$J$5:$J$2427,I$1)</f>
        <v>0</v>
      </c>
      <c r="J4" s="76">
        <f>SUMIFS('март 2025'!$G$5:$G$2427,'март 2025'!$D$5:$D$2427,$B4,'март 2025'!$J$5:$J$2427,J$1)</f>
        <v>800</v>
      </c>
      <c r="K4" s="76">
        <f>SUMIFS('март 2025'!$G$5:$G$2427,'март 2025'!$D$5:$D$2427,$B4,'март 2025'!$J$5:$J$2427,K$1)</f>
        <v>0</v>
      </c>
      <c r="L4" s="76">
        <f>SUMIFS('март 2025'!$G$5:$G$2427,'март 2025'!$D$5:$D$2427,$B4,'март 2025'!$J$5:$J$2427,L$1)</f>
        <v>0</v>
      </c>
      <c r="M4" s="76">
        <f>SUMIFS('март 2025'!$G$5:$G$2427,'март 2025'!$D$5:$D$2427,$B4,'март 2025'!$J$5:$J$2427,M$1)</f>
        <v>0</v>
      </c>
      <c r="N4" s="76">
        <f>SUMIFS('март 2025'!$G$5:$G$2427,'март 2025'!$D$5:$D$2427,$B4,'март 2025'!$J$5:$J$2427,N$1)</f>
        <v>0</v>
      </c>
      <c r="O4" s="76">
        <f>SUMIFS('март 2025'!$G$5:$G$2427,'март 2025'!$D$5:$D$2427,$B4,'март 2025'!$J$5:$J$2427,O$1)</f>
        <v>0</v>
      </c>
      <c r="P4" s="76">
        <f>SUMIFS('март 2025'!$G$5:$G$2427,'март 2025'!$D$5:$D$2427,$B4,'март 2025'!$J$5:$J$2427,P$1)</f>
        <v>0</v>
      </c>
      <c r="Q4" s="76">
        <f>SUMIFS('март 2025'!$G$5:$G$2427,'март 2025'!$D$5:$D$2427,$B4,'март 2025'!$J$5:$J$2427,Q$1)</f>
        <v>0</v>
      </c>
      <c r="R4" s="76">
        <f>SUMIFS('март 2025'!$G$5:$G$2427,'март 2025'!$D$5:$D$2427,$B4,'март 2025'!$J$5:$J$2427,R$1)</f>
        <v>0</v>
      </c>
      <c r="S4" s="76">
        <f>SUMIFS('март 2025'!$G$5:$G$2427,'март 2025'!$D$5:$D$2427,$B4,'март 2025'!$J$5:$J$2427,S$1)</f>
        <v>0</v>
      </c>
      <c r="T4" s="76">
        <f>SUMIFS('март 2025'!$G$5:$G$2427,'март 2025'!$D$5:$D$2427,$B4,'март 2025'!$J$5:$J$2427,T$1)</f>
        <v>0</v>
      </c>
      <c r="U4" s="76">
        <f>SUMIFS('март 2025'!$G$5:$G$2427,'март 2025'!$D$5:$D$2427,$B4,'март 2025'!$J$5:$J$2427,U$1)</f>
        <v>0</v>
      </c>
      <c r="V4" s="76">
        <f>SUMIFS('март 2025'!$G$5:$G$2427,'март 2025'!$D$5:$D$2427,$B4,'март 2025'!$J$5:$J$2427,V$1)</f>
        <v>0</v>
      </c>
      <c r="W4" s="76">
        <f>SUMIFS('март 2025'!$G$5:$G$2427,'март 2025'!$D$5:$D$2427,$B4,'март 2025'!$J$5:$J$2427,W$1)</f>
        <v>0</v>
      </c>
      <c r="X4" s="76">
        <f>SUMIFS('март 2025'!$G$5:$G$2427,'март 2025'!$D$5:$D$2427,$B4,'март 2025'!$J$5:$J$2427,X$1)</f>
        <v>0</v>
      </c>
      <c r="Y4" s="76">
        <f>SUMIFS('март 2025'!$G$5:$G$2427,'март 2025'!$D$5:$D$2427,$B4,'март 2025'!$J$5:$J$2427,Y$1)</f>
        <v>0</v>
      </c>
      <c r="Z4" s="76">
        <f>SUMIFS('март 2025'!$G$5:$G$2427,'март 2025'!$D$5:$D$2427,$B4,'март 2025'!$J$5:$J$2427,Z$1)</f>
        <v>0</v>
      </c>
      <c r="AA4" s="76">
        <f>SUMIFS('март 2025'!$G$5:$G$2427,'март 2025'!$D$5:$D$2427,$B4,'март 2025'!$J$5:$J$2427,AA$1)</f>
        <v>0</v>
      </c>
      <c r="AB4" s="76">
        <f>SUMIFS('март 2025'!$G$5:$G$2427,'март 2025'!$D$5:$D$2427,$B4,'март 2025'!$J$5:$J$2427,AB$1)</f>
        <v>0</v>
      </c>
      <c r="AC4" s="76">
        <f>SUMIFS('март 2025'!$G$5:$G$2427,'март 2025'!$D$5:$D$2427,$B4,'март 2025'!$J$5:$J$2427,AC$1)</f>
        <v>0</v>
      </c>
      <c r="AD4" s="76">
        <f>SUMIFS('март 2025'!$G$5:$G$2427,'март 2025'!$D$5:$D$2427,$B4,'март 2025'!$J$5:$J$2427,AD$1)</f>
        <v>0</v>
      </c>
      <c r="AE4" s="76">
        <f>SUMIFS('март 2025'!$G$5:$G$2427,'март 2025'!$D$5:$D$2427,$B4,'март 2025'!$J$5:$J$2427,AE$1)</f>
        <v>800</v>
      </c>
      <c r="AF4" s="76">
        <f>SUMIFS('март 2025'!$G$5:$G$2427,'март 2025'!$D$5:$D$2427,$B4,'март 2025'!$J$5:$J$2427,AF$1)</f>
        <v>0</v>
      </c>
      <c r="AG4" s="76">
        <f>SUMIFS('март 2025'!$G$5:$G$2427,'март 2025'!$D$5:$D$2427,$B4,'март 2025'!$J$5:$J$2427,AG$1)</f>
        <v>0</v>
      </c>
      <c r="AH4" s="76">
        <f>SUMIFS('март 2025'!$G$5:$G$2427,'март 2025'!$D$5:$D$2427,$B4,'март 2025'!$J$5:$J$2427,AH$1)</f>
        <v>800</v>
      </c>
      <c r="AI4" s="20">
        <f t="shared" si="1"/>
        <v>2400</v>
      </c>
    </row>
    <row r="5" spans="2:35" ht="15" customHeight="1" x14ac:dyDescent="0.25">
      <c r="B5" s="77" t="s">
        <v>216</v>
      </c>
      <c r="C5" s="78">
        <v>25</v>
      </c>
      <c r="D5" s="76">
        <f>SUMIFS('март 2025'!$G$5:$G$2427,'март 2025'!$D$5:$D$2427,$B5,'март 2025'!$J$5:$J$2427,D$1)</f>
        <v>0</v>
      </c>
      <c r="E5" s="76">
        <f>SUMIFS('март 2025'!$G$5:$G$2427,'март 2025'!$D$5:$D$2427,$B5,'март 2025'!$J$5:$J$2427,E$1)</f>
        <v>0</v>
      </c>
      <c r="F5" s="76">
        <f>SUMIFS('март 2025'!$G$5:$G$2427,'март 2025'!$D$5:$D$2427,$B5,'март 2025'!$J$5:$J$2427,F$1)</f>
        <v>0</v>
      </c>
      <c r="G5" s="76">
        <f>SUMIFS('март 2025'!$G$5:$G$2427,'март 2025'!$D$5:$D$2427,$B5,'март 2025'!$J$5:$J$2427,G$1)</f>
        <v>0</v>
      </c>
      <c r="H5" s="76">
        <f>SUMIFS('март 2025'!$G$5:$G$2427,'март 2025'!$D$5:$D$2427,$B5,'март 2025'!$J$5:$J$2427,H$1)</f>
        <v>0</v>
      </c>
      <c r="I5" s="76">
        <f>SUMIFS('март 2025'!$G$5:$G$2427,'март 2025'!$D$5:$D$2427,$B5,'март 2025'!$J$5:$J$2427,I$1)</f>
        <v>0</v>
      </c>
      <c r="J5" s="76">
        <f>SUMIFS('март 2025'!$G$5:$G$2427,'март 2025'!$D$5:$D$2427,$B5,'март 2025'!$J$5:$J$2427,J$1)</f>
        <v>0</v>
      </c>
      <c r="K5" s="76">
        <f>SUMIFS('март 2025'!$G$5:$G$2427,'март 2025'!$D$5:$D$2427,$B5,'март 2025'!$J$5:$J$2427,K$1)</f>
        <v>0</v>
      </c>
      <c r="L5" s="76">
        <f>SUMIFS('март 2025'!$G$5:$G$2427,'март 2025'!$D$5:$D$2427,$B5,'март 2025'!$J$5:$J$2427,L$1)</f>
        <v>0</v>
      </c>
      <c r="M5" s="76">
        <f>SUMIFS('март 2025'!$G$5:$G$2427,'март 2025'!$D$5:$D$2427,$B5,'март 2025'!$J$5:$J$2427,M$1)</f>
        <v>0</v>
      </c>
      <c r="N5" s="76">
        <f>SUMIFS('март 2025'!$G$5:$G$2427,'март 2025'!$D$5:$D$2427,$B5,'март 2025'!$J$5:$J$2427,N$1)</f>
        <v>0</v>
      </c>
      <c r="O5" s="76">
        <f>SUMIFS('март 2025'!$G$5:$G$2427,'март 2025'!$D$5:$D$2427,$B5,'март 2025'!$J$5:$J$2427,O$1)</f>
        <v>0</v>
      </c>
      <c r="P5" s="76">
        <f>SUMIFS('март 2025'!$G$5:$G$2427,'март 2025'!$D$5:$D$2427,$B5,'март 2025'!$J$5:$J$2427,P$1)</f>
        <v>0</v>
      </c>
      <c r="Q5" s="76">
        <f>SUMIFS('март 2025'!$G$5:$G$2427,'март 2025'!$D$5:$D$2427,$B5,'март 2025'!$J$5:$J$2427,Q$1)</f>
        <v>0</v>
      </c>
      <c r="R5" s="76">
        <f>SUMIFS('март 2025'!$G$5:$G$2427,'март 2025'!$D$5:$D$2427,$B5,'март 2025'!$J$5:$J$2427,R$1)</f>
        <v>0</v>
      </c>
      <c r="S5" s="76">
        <f>SUMIFS('март 2025'!$G$5:$G$2427,'март 2025'!$D$5:$D$2427,$B5,'март 2025'!$J$5:$J$2427,S$1)</f>
        <v>0</v>
      </c>
      <c r="T5" s="76">
        <f>SUMIFS('март 2025'!$G$5:$G$2427,'март 2025'!$D$5:$D$2427,$B5,'март 2025'!$J$5:$J$2427,T$1)</f>
        <v>0</v>
      </c>
      <c r="U5" s="76">
        <f>SUMIFS('март 2025'!$G$5:$G$2427,'март 2025'!$D$5:$D$2427,$B5,'март 2025'!$J$5:$J$2427,U$1)</f>
        <v>0</v>
      </c>
      <c r="V5" s="76">
        <f>SUMIFS('март 2025'!$G$5:$G$2427,'март 2025'!$D$5:$D$2427,$B5,'март 2025'!$J$5:$J$2427,V$1)</f>
        <v>0</v>
      </c>
      <c r="W5" s="76">
        <f>SUMIFS('март 2025'!$G$5:$G$2427,'март 2025'!$D$5:$D$2427,$B5,'март 2025'!$J$5:$J$2427,W$1)</f>
        <v>0</v>
      </c>
      <c r="X5" s="76">
        <f>SUMIFS('март 2025'!$G$5:$G$2427,'март 2025'!$D$5:$D$2427,$B5,'март 2025'!$J$5:$J$2427,X$1)</f>
        <v>0</v>
      </c>
      <c r="Y5" s="76">
        <f>SUMIFS('март 2025'!$G$5:$G$2427,'март 2025'!$D$5:$D$2427,$B5,'март 2025'!$J$5:$J$2427,Y$1)</f>
        <v>0</v>
      </c>
      <c r="Z5" s="76">
        <f>SUMIFS('март 2025'!$G$5:$G$2427,'март 2025'!$D$5:$D$2427,$B5,'март 2025'!$J$5:$J$2427,Z$1)</f>
        <v>0</v>
      </c>
      <c r="AA5" s="76">
        <f>SUMIFS('март 2025'!$G$5:$G$2427,'март 2025'!$D$5:$D$2427,$B5,'март 2025'!$J$5:$J$2427,AA$1)</f>
        <v>0</v>
      </c>
      <c r="AB5" s="76">
        <f>SUMIFS('март 2025'!$G$5:$G$2427,'март 2025'!$D$5:$D$2427,$B5,'март 2025'!$J$5:$J$2427,AB$1)</f>
        <v>0</v>
      </c>
      <c r="AC5" s="76">
        <f>SUMIFS('март 2025'!$G$5:$G$2427,'март 2025'!$D$5:$D$2427,$B5,'март 2025'!$J$5:$J$2427,AC$1)</f>
        <v>0</v>
      </c>
      <c r="AD5" s="76">
        <f>SUMIFS('март 2025'!$G$5:$G$2427,'март 2025'!$D$5:$D$2427,$B5,'март 2025'!$J$5:$J$2427,AD$1)</f>
        <v>0</v>
      </c>
      <c r="AE5" s="76">
        <f>SUMIFS('март 2025'!$G$5:$G$2427,'март 2025'!$D$5:$D$2427,$B5,'март 2025'!$J$5:$J$2427,AE$1)</f>
        <v>0</v>
      </c>
      <c r="AF5" s="76">
        <f>SUMIFS('март 2025'!$G$5:$G$2427,'март 2025'!$D$5:$D$2427,$B5,'март 2025'!$J$5:$J$2427,AF$1)</f>
        <v>0</v>
      </c>
      <c r="AG5" s="76">
        <f>SUMIFS('март 2025'!$G$5:$G$2427,'март 2025'!$D$5:$D$2427,$B5,'март 2025'!$J$5:$J$2427,AG$1)</f>
        <v>0</v>
      </c>
      <c r="AH5" s="76">
        <f>SUMIFS('март 2025'!$G$5:$G$2427,'март 2025'!$D$5:$D$2427,$B5,'март 2025'!$J$5:$J$2427,AH$1)</f>
        <v>0</v>
      </c>
      <c r="AI5" s="20">
        <f t="shared" si="1"/>
        <v>0</v>
      </c>
    </row>
    <row r="6" spans="2:35" ht="15" customHeight="1" x14ac:dyDescent="0.25">
      <c r="B6" s="77" t="s">
        <v>218</v>
      </c>
      <c r="C6" s="78">
        <v>22.7</v>
      </c>
      <c r="D6" s="76">
        <f>SUMIFS('март 2025'!$G$5:$G$2427,'март 2025'!$D$5:$D$2427,$B6,'март 2025'!$J$5:$J$2427,D$1)</f>
        <v>0</v>
      </c>
      <c r="E6" s="76">
        <f>SUMIFS('март 2025'!$G$5:$G$2427,'март 2025'!$D$5:$D$2427,$B6,'март 2025'!$J$5:$J$2427,E$1)</f>
        <v>0</v>
      </c>
      <c r="F6" s="76">
        <f>SUMIFS('март 2025'!$G$5:$G$2427,'март 2025'!$D$5:$D$2427,$B6,'март 2025'!$J$5:$J$2427,F$1)</f>
        <v>0</v>
      </c>
      <c r="G6" s="76">
        <f>SUMIFS('март 2025'!$G$5:$G$2427,'март 2025'!$D$5:$D$2427,$B6,'март 2025'!$J$5:$J$2427,G$1)</f>
        <v>0</v>
      </c>
      <c r="H6" s="76">
        <f>SUMIFS('март 2025'!$G$5:$G$2427,'март 2025'!$D$5:$D$2427,$B6,'март 2025'!$J$5:$J$2427,H$1)</f>
        <v>0</v>
      </c>
      <c r="I6" s="76">
        <f>SUMIFS('март 2025'!$G$5:$G$2427,'март 2025'!$D$5:$D$2427,$B6,'март 2025'!$J$5:$J$2427,I$1)</f>
        <v>0</v>
      </c>
      <c r="J6" s="76">
        <f>SUMIFS('март 2025'!$G$5:$G$2427,'март 2025'!$D$5:$D$2427,$B6,'март 2025'!$J$5:$J$2427,J$1)</f>
        <v>0</v>
      </c>
      <c r="K6" s="76">
        <f>SUMIFS('март 2025'!$G$5:$G$2427,'март 2025'!$D$5:$D$2427,$B6,'март 2025'!$J$5:$J$2427,K$1)</f>
        <v>0</v>
      </c>
      <c r="L6" s="76">
        <f>SUMIFS('март 2025'!$G$5:$G$2427,'март 2025'!$D$5:$D$2427,$B6,'март 2025'!$J$5:$J$2427,L$1)</f>
        <v>0</v>
      </c>
      <c r="M6" s="76">
        <f>SUMIFS('март 2025'!$G$5:$G$2427,'март 2025'!$D$5:$D$2427,$B6,'март 2025'!$J$5:$J$2427,M$1)</f>
        <v>0</v>
      </c>
      <c r="N6" s="76">
        <f>SUMIFS('март 2025'!$G$5:$G$2427,'март 2025'!$D$5:$D$2427,$B6,'март 2025'!$J$5:$J$2427,N$1)</f>
        <v>0</v>
      </c>
      <c r="O6" s="76">
        <f>SUMIFS('март 2025'!$G$5:$G$2427,'март 2025'!$D$5:$D$2427,$B6,'март 2025'!$J$5:$J$2427,O$1)</f>
        <v>0</v>
      </c>
      <c r="P6" s="76">
        <f>SUMIFS('март 2025'!$G$5:$G$2427,'март 2025'!$D$5:$D$2427,$B6,'март 2025'!$J$5:$J$2427,P$1)</f>
        <v>0</v>
      </c>
      <c r="Q6" s="76">
        <f>SUMIFS('март 2025'!$G$5:$G$2427,'март 2025'!$D$5:$D$2427,$B6,'март 2025'!$J$5:$J$2427,Q$1)</f>
        <v>0</v>
      </c>
      <c r="R6" s="76">
        <f>SUMIFS('март 2025'!$G$5:$G$2427,'март 2025'!$D$5:$D$2427,$B6,'март 2025'!$J$5:$J$2427,R$1)</f>
        <v>0</v>
      </c>
      <c r="S6" s="76">
        <f>SUMIFS('март 2025'!$G$5:$G$2427,'март 2025'!$D$5:$D$2427,$B6,'март 2025'!$J$5:$J$2427,S$1)</f>
        <v>0</v>
      </c>
      <c r="T6" s="76">
        <f>SUMIFS('март 2025'!$G$5:$G$2427,'март 2025'!$D$5:$D$2427,$B6,'март 2025'!$J$5:$J$2427,T$1)</f>
        <v>0</v>
      </c>
      <c r="U6" s="76">
        <f>SUMIFS('март 2025'!$G$5:$G$2427,'март 2025'!$D$5:$D$2427,$B6,'март 2025'!$J$5:$J$2427,U$1)</f>
        <v>0</v>
      </c>
      <c r="V6" s="76">
        <f>SUMIFS('март 2025'!$G$5:$G$2427,'март 2025'!$D$5:$D$2427,$B6,'март 2025'!$J$5:$J$2427,V$1)</f>
        <v>0</v>
      </c>
      <c r="W6" s="76">
        <f>SUMIFS('март 2025'!$G$5:$G$2427,'март 2025'!$D$5:$D$2427,$B6,'март 2025'!$J$5:$J$2427,W$1)</f>
        <v>0</v>
      </c>
      <c r="X6" s="76">
        <f>SUMIFS('март 2025'!$G$5:$G$2427,'март 2025'!$D$5:$D$2427,$B6,'март 2025'!$J$5:$J$2427,X$1)</f>
        <v>0</v>
      </c>
      <c r="Y6" s="76">
        <f>SUMIFS('март 2025'!$G$5:$G$2427,'март 2025'!$D$5:$D$2427,$B6,'март 2025'!$J$5:$J$2427,Y$1)</f>
        <v>0</v>
      </c>
      <c r="Z6" s="76">
        <f>SUMIFS('март 2025'!$G$5:$G$2427,'март 2025'!$D$5:$D$2427,$B6,'март 2025'!$J$5:$J$2427,Z$1)</f>
        <v>0</v>
      </c>
      <c r="AA6" s="76">
        <f>SUMIFS('март 2025'!$G$5:$G$2427,'март 2025'!$D$5:$D$2427,$B6,'март 2025'!$J$5:$J$2427,AA$1)</f>
        <v>0</v>
      </c>
      <c r="AB6" s="76">
        <f>SUMIFS('март 2025'!$G$5:$G$2427,'март 2025'!$D$5:$D$2427,$B6,'март 2025'!$J$5:$J$2427,AB$1)</f>
        <v>0</v>
      </c>
      <c r="AC6" s="76">
        <f>SUMIFS('март 2025'!$G$5:$G$2427,'март 2025'!$D$5:$D$2427,$B6,'март 2025'!$J$5:$J$2427,AC$1)</f>
        <v>0</v>
      </c>
      <c r="AD6" s="76">
        <f>SUMIFS('март 2025'!$G$5:$G$2427,'март 2025'!$D$5:$D$2427,$B6,'март 2025'!$J$5:$J$2427,AD$1)</f>
        <v>0</v>
      </c>
      <c r="AE6" s="76">
        <f>SUMIFS('март 2025'!$G$5:$G$2427,'март 2025'!$D$5:$D$2427,$B6,'март 2025'!$J$5:$J$2427,AE$1)</f>
        <v>0</v>
      </c>
      <c r="AF6" s="76">
        <f>SUMIFS('март 2025'!$G$5:$G$2427,'март 2025'!$D$5:$D$2427,$B6,'март 2025'!$J$5:$J$2427,AF$1)</f>
        <v>0</v>
      </c>
      <c r="AG6" s="76">
        <f>SUMIFS('март 2025'!$G$5:$G$2427,'март 2025'!$D$5:$D$2427,$B6,'март 2025'!$J$5:$J$2427,AG$1)</f>
        <v>0</v>
      </c>
      <c r="AH6" s="76">
        <f>SUMIFS('март 2025'!$G$5:$G$2427,'март 2025'!$D$5:$D$2427,$B6,'март 2025'!$J$5:$J$2427,AH$1)</f>
        <v>0</v>
      </c>
      <c r="AI6" s="20">
        <f t="shared" si="1"/>
        <v>0</v>
      </c>
    </row>
    <row r="7" spans="2:35" ht="15" customHeight="1" x14ac:dyDescent="0.25">
      <c r="B7" s="77" t="s">
        <v>220</v>
      </c>
      <c r="C7" s="78">
        <v>22.7</v>
      </c>
      <c r="D7" s="76">
        <f>SUMIFS('март 2025'!$G$5:$G$2427,'март 2025'!$D$5:$D$2427,$B7,'март 2025'!$J$5:$J$2427,D$1)</f>
        <v>0</v>
      </c>
      <c r="E7" s="76">
        <f>SUMIFS('март 2025'!$G$5:$G$2427,'март 2025'!$D$5:$D$2427,$B7,'март 2025'!$J$5:$J$2427,E$1)</f>
        <v>0</v>
      </c>
      <c r="F7" s="76">
        <f>SUMIFS('март 2025'!$G$5:$G$2427,'март 2025'!$D$5:$D$2427,$B7,'март 2025'!$J$5:$J$2427,F$1)</f>
        <v>0</v>
      </c>
      <c r="G7" s="76">
        <f>SUMIFS('март 2025'!$G$5:$G$2427,'март 2025'!$D$5:$D$2427,$B7,'март 2025'!$J$5:$J$2427,G$1)</f>
        <v>0</v>
      </c>
      <c r="H7" s="76">
        <f>SUMIFS('март 2025'!$G$5:$G$2427,'март 2025'!$D$5:$D$2427,$B7,'март 2025'!$J$5:$J$2427,H$1)</f>
        <v>0</v>
      </c>
      <c r="I7" s="76">
        <f>SUMIFS('март 2025'!$G$5:$G$2427,'март 2025'!$D$5:$D$2427,$B7,'март 2025'!$J$5:$J$2427,I$1)</f>
        <v>0</v>
      </c>
      <c r="J7" s="76">
        <f>SUMIFS('март 2025'!$G$5:$G$2427,'март 2025'!$D$5:$D$2427,$B7,'март 2025'!$J$5:$J$2427,J$1)</f>
        <v>0</v>
      </c>
      <c r="K7" s="76">
        <f>SUMIFS('март 2025'!$G$5:$G$2427,'март 2025'!$D$5:$D$2427,$B7,'март 2025'!$J$5:$J$2427,K$1)</f>
        <v>0</v>
      </c>
      <c r="L7" s="76">
        <f>SUMIFS('март 2025'!$G$5:$G$2427,'март 2025'!$D$5:$D$2427,$B7,'март 2025'!$J$5:$J$2427,L$1)</f>
        <v>0</v>
      </c>
      <c r="M7" s="76">
        <f>SUMIFS('март 2025'!$G$5:$G$2427,'март 2025'!$D$5:$D$2427,$B7,'март 2025'!$J$5:$J$2427,M$1)</f>
        <v>0</v>
      </c>
      <c r="N7" s="76">
        <f>SUMIFS('март 2025'!$G$5:$G$2427,'март 2025'!$D$5:$D$2427,$B7,'март 2025'!$J$5:$J$2427,N$1)</f>
        <v>0</v>
      </c>
      <c r="O7" s="76">
        <f>SUMIFS('март 2025'!$G$5:$G$2427,'март 2025'!$D$5:$D$2427,$B7,'март 2025'!$J$5:$J$2427,O$1)</f>
        <v>0</v>
      </c>
      <c r="P7" s="76">
        <f>SUMIFS('март 2025'!$G$5:$G$2427,'март 2025'!$D$5:$D$2427,$B7,'март 2025'!$J$5:$J$2427,P$1)</f>
        <v>0</v>
      </c>
      <c r="Q7" s="76">
        <f>SUMIFS('март 2025'!$G$5:$G$2427,'март 2025'!$D$5:$D$2427,$B7,'март 2025'!$J$5:$J$2427,Q$1)</f>
        <v>0</v>
      </c>
      <c r="R7" s="76">
        <f>SUMIFS('март 2025'!$G$5:$G$2427,'март 2025'!$D$5:$D$2427,$B7,'март 2025'!$J$5:$J$2427,R$1)</f>
        <v>0</v>
      </c>
      <c r="S7" s="76">
        <f>SUMIFS('март 2025'!$G$5:$G$2427,'март 2025'!$D$5:$D$2427,$B7,'март 2025'!$J$5:$J$2427,S$1)</f>
        <v>0</v>
      </c>
      <c r="T7" s="76">
        <f>SUMIFS('март 2025'!$G$5:$G$2427,'март 2025'!$D$5:$D$2427,$B7,'март 2025'!$J$5:$J$2427,T$1)</f>
        <v>0</v>
      </c>
      <c r="U7" s="76">
        <f>SUMIFS('март 2025'!$G$5:$G$2427,'март 2025'!$D$5:$D$2427,$B7,'март 2025'!$J$5:$J$2427,U$1)</f>
        <v>0</v>
      </c>
      <c r="V7" s="76">
        <f>SUMIFS('март 2025'!$G$5:$G$2427,'март 2025'!$D$5:$D$2427,$B7,'март 2025'!$J$5:$J$2427,V$1)</f>
        <v>0</v>
      </c>
      <c r="W7" s="76">
        <f>SUMIFS('март 2025'!$G$5:$G$2427,'март 2025'!$D$5:$D$2427,$B7,'март 2025'!$J$5:$J$2427,W$1)</f>
        <v>0</v>
      </c>
      <c r="X7" s="76">
        <f>SUMIFS('март 2025'!$G$5:$G$2427,'март 2025'!$D$5:$D$2427,$B7,'март 2025'!$J$5:$J$2427,X$1)</f>
        <v>0</v>
      </c>
      <c r="Y7" s="76">
        <f>SUMIFS('март 2025'!$G$5:$G$2427,'март 2025'!$D$5:$D$2427,$B7,'март 2025'!$J$5:$J$2427,Y$1)</f>
        <v>0</v>
      </c>
      <c r="Z7" s="76">
        <f>SUMIFS('март 2025'!$G$5:$G$2427,'март 2025'!$D$5:$D$2427,$B7,'март 2025'!$J$5:$J$2427,Z$1)</f>
        <v>0</v>
      </c>
      <c r="AA7" s="76">
        <f>SUMIFS('март 2025'!$G$5:$G$2427,'март 2025'!$D$5:$D$2427,$B7,'март 2025'!$J$5:$J$2427,AA$1)</f>
        <v>0</v>
      </c>
      <c r="AB7" s="76">
        <f>SUMIFS('март 2025'!$G$5:$G$2427,'март 2025'!$D$5:$D$2427,$B7,'март 2025'!$J$5:$J$2427,AB$1)</f>
        <v>0</v>
      </c>
      <c r="AC7" s="76">
        <f>SUMIFS('март 2025'!$G$5:$G$2427,'март 2025'!$D$5:$D$2427,$B7,'март 2025'!$J$5:$J$2427,AC$1)</f>
        <v>0</v>
      </c>
      <c r="AD7" s="76">
        <f>SUMIFS('март 2025'!$G$5:$G$2427,'март 2025'!$D$5:$D$2427,$B7,'март 2025'!$J$5:$J$2427,AD$1)</f>
        <v>0</v>
      </c>
      <c r="AE7" s="76">
        <f>SUMIFS('март 2025'!$G$5:$G$2427,'март 2025'!$D$5:$D$2427,$B7,'март 2025'!$J$5:$J$2427,AE$1)</f>
        <v>0</v>
      </c>
      <c r="AF7" s="76">
        <f>SUMIFS('март 2025'!$G$5:$G$2427,'март 2025'!$D$5:$D$2427,$B7,'март 2025'!$J$5:$J$2427,AF$1)</f>
        <v>0</v>
      </c>
      <c r="AG7" s="76">
        <f>SUMIFS('март 2025'!$G$5:$G$2427,'март 2025'!$D$5:$D$2427,$B7,'март 2025'!$J$5:$J$2427,AG$1)</f>
        <v>0</v>
      </c>
      <c r="AH7" s="76">
        <f>SUMIFS('март 2025'!$G$5:$G$2427,'март 2025'!$D$5:$D$2427,$B7,'март 2025'!$J$5:$J$2427,AH$1)</f>
        <v>0</v>
      </c>
      <c r="AI7" s="20">
        <f t="shared" si="1"/>
        <v>0</v>
      </c>
    </row>
    <row r="8" spans="2:35" ht="15" customHeight="1" x14ac:dyDescent="0.25">
      <c r="B8" s="79" t="s">
        <v>222</v>
      </c>
      <c r="C8" s="78">
        <v>25</v>
      </c>
      <c r="D8" s="76">
        <f>SUMIFS('март 2025'!$G$5:$G$2427,'март 2025'!$D$5:$D$2427,$B8,'март 2025'!$J$5:$J$2427,D$1)</f>
        <v>0</v>
      </c>
      <c r="E8" s="76">
        <f>SUMIFS('март 2025'!$G$5:$G$2427,'март 2025'!$D$5:$D$2427,$B8,'март 2025'!$J$5:$J$2427,E$1)</f>
        <v>0</v>
      </c>
      <c r="F8" s="76">
        <f>SUMIFS('март 2025'!$G$5:$G$2427,'март 2025'!$D$5:$D$2427,$B8,'март 2025'!$J$5:$J$2427,F$1)</f>
        <v>0</v>
      </c>
      <c r="G8" s="76">
        <f>SUMIFS('март 2025'!$G$5:$G$2427,'март 2025'!$D$5:$D$2427,$B8,'март 2025'!$J$5:$J$2427,G$1)</f>
        <v>0</v>
      </c>
      <c r="H8" s="76">
        <f>SUMIFS('март 2025'!$G$5:$G$2427,'март 2025'!$D$5:$D$2427,$B8,'март 2025'!$J$5:$J$2427,H$1)</f>
        <v>0</v>
      </c>
      <c r="I8" s="76">
        <f>SUMIFS('март 2025'!$G$5:$G$2427,'март 2025'!$D$5:$D$2427,$B8,'март 2025'!$J$5:$J$2427,I$1)</f>
        <v>0</v>
      </c>
      <c r="J8" s="76">
        <f>SUMIFS('март 2025'!$G$5:$G$2427,'март 2025'!$D$5:$D$2427,$B8,'март 2025'!$J$5:$J$2427,J$1)</f>
        <v>0</v>
      </c>
      <c r="K8" s="76">
        <f>SUMIFS('март 2025'!$G$5:$G$2427,'март 2025'!$D$5:$D$2427,$B8,'март 2025'!$J$5:$J$2427,K$1)</f>
        <v>0</v>
      </c>
      <c r="L8" s="76">
        <f>SUMIFS('март 2025'!$G$5:$G$2427,'март 2025'!$D$5:$D$2427,$B8,'март 2025'!$J$5:$J$2427,L$1)</f>
        <v>0</v>
      </c>
      <c r="M8" s="76">
        <f>SUMIFS('март 2025'!$G$5:$G$2427,'март 2025'!$D$5:$D$2427,$B8,'март 2025'!$J$5:$J$2427,M$1)</f>
        <v>0</v>
      </c>
      <c r="N8" s="76">
        <f>SUMIFS('март 2025'!$G$5:$G$2427,'март 2025'!$D$5:$D$2427,$B8,'март 2025'!$J$5:$J$2427,N$1)</f>
        <v>800</v>
      </c>
      <c r="O8" s="76">
        <f>SUMIFS('март 2025'!$G$5:$G$2427,'март 2025'!$D$5:$D$2427,$B8,'март 2025'!$J$5:$J$2427,O$1)</f>
        <v>0</v>
      </c>
      <c r="P8" s="76">
        <f>SUMIFS('март 2025'!$G$5:$G$2427,'март 2025'!$D$5:$D$2427,$B8,'март 2025'!$J$5:$J$2427,P$1)</f>
        <v>0</v>
      </c>
      <c r="Q8" s="76">
        <f>SUMIFS('март 2025'!$G$5:$G$2427,'март 2025'!$D$5:$D$2427,$B8,'март 2025'!$J$5:$J$2427,Q$1)</f>
        <v>800</v>
      </c>
      <c r="R8" s="76">
        <f>SUMIFS('март 2025'!$G$5:$G$2427,'март 2025'!$D$5:$D$2427,$B8,'март 2025'!$J$5:$J$2427,R$1)</f>
        <v>0</v>
      </c>
      <c r="S8" s="76">
        <f>SUMIFS('март 2025'!$G$5:$G$2427,'март 2025'!$D$5:$D$2427,$B8,'март 2025'!$J$5:$J$2427,S$1)</f>
        <v>0</v>
      </c>
      <c r="T8" s="76">
        <f>SUMIFS('март 2025'!$G$5:$G$2427,'март 2025'!$D$5:$D$2427,$B8,'март 2025'!$J$5:$J$2427,T$1)</f>
        <v>800</v>
      </c>
      <c r="U8" s="76">
        <f>SUMIFS('март 2025'!$G$5:$G$2427,'март 2025'!$D$5:$D$2427,$B8,'март 2025'!$J$5:$J$2427,U$1)</f>
        <v>0</v>
      </c>
      <c r="V8" s="76">
        <f>SUMIFS('март 2025'!$G$5:$G$2427,'март 2025'!$D$5:$D$2427,$B8,'март 2025'!$J$5:$J$2427,V$1)</f>
        <v>800</v>
      </c>
      <c r="W8" s="76">
        <f>SUMIFS('март 2025'!$G$5:$G$2427,'март 2025'!$D$5:$D$2427,$B8,'март 2025'!$J$5:$J$2427,W$1)</f>
        <v>0</v>
      </c>
      <c r="X8" s="76">
        <f>SUMIFS('март 2025'!$G$5:$G$2427,'март 2025'!$D$5:$D$2427,$B8,'март 2025'!$J$5:$J$2427,X$1)</f>
        <v>0</v>
      </c>
      <c r="Y8" s="76">
        <f>SUMIFS('март 2025'!$G$5:$G$2427,'март 2025'!$D$5:$D$2427,$B8,'март 2025'!$J$5:$J$2427,Y$1)</f>
        <v>0</v>
      </c>
      <c r="Z8" s="76">
        <f>SUMIFS('март 2025'!$G$5:$G$2427,'март 2025'!$D$5:$D$2427,$B8,'март 2025'!$J$5:$J$2427,Z$1)</f>
        <v>0</v>
      </c>
      <c r="AA8" s="76">
        <f>SUMIFS('март 2025'!$G$5:$G$2427,'март 2025'!$D$5:$D$2427,$B8,'март 2025'!$J$5:$J$2427,AA$1)</f>
        <v>0</v>
      </c>
      <c r="AB8" s="76">
        <f>SUMIFS('март 2025'!$G$5:$G$2427,'март 2025'!$D$5:$D$2427,$B8,'март 2025'!$J$5:$J$2427,AB$1)</f>
        <v>0</v>
      </c>
      <c r="AC8" s="76">
        <f>SUMIFS('март 2025'!$G$5:$G$2427,'март 2025'!$D$5:$D$2427,$B8,'март 2025'!$J$5:$J$2427,AC$1)</f>
        <v>480</v>
      </c>
      <c r="AD8" s="76">
        <f>SUMIFS('март 2025'!$G$5:$G$2427,'март 2025'!$D$5:$D$2427,$B8,'март 2025'!$J$5:$J$2427,AD$1)</f>
        <v>0</v>
      </c>
      <c r="AE8" s="76">
        <f>SUMIFS('март 2025'!$G$5:$G$2427,'март 2025'!$D$5:$D$2427,$B8,'март 2025'!$J$5:$J$2427,AE$1)</f>
        <v>0</v>
      </c>
      <c r="AF8" s="76">
        <f>SUMIFS('март 2025'!$G$5:$G$2427,'март 2025'!$D$5:$D$2427,$B8,'март 2025'!$J$5:$J$2427,AF$1)</f>
        <v>0</v>
      </c>
      <c r="AG8" s="76">
        <f>SUMIFS('март 2025'!$G$5:$G$2427,'март 2025'!$D$5:$D$2427,$B8,'март 2025'!$J$5:$J$2427,AG$1)</f>
        <v>0</v>
      </c>
      <c r="AH8" s="76">
        <f>SUMIFS('март 2025'!$G$5:$G$2427,'март 2025'!$D$5:$D$2427,$B8,'март 2025'!$J$5:$J$2427,AH$1)</f>
        <v>0</v>
      </c>
      <c r="AI8" s="20">
        <f t="shared" si="1"/>
        <v>3680</v>
      </c>
    </row>
    <row r="9" spans="2:35" ht="15" customHeight="1" x14ac:dyDescent="0.25">
      <c r="B9" s="77" t="s">
        <v>224</v>
      </c>
      <c r="C9" s="78">
        <v>25</v>
      </c>
      <c r="D9" s="76">
        <f>SUMIFS('март 2025'!$G$5:$G$2427,'март 2025'!$D$5:$D$2427,$B9,'март 2025'!$J$5:$J$2427,D$1)</f>
        <v>0</v>
      </c>
      <c r="E9" s="76">
        <f>SUMIFS('март 2025'!$G$5:$G$2427,'март 2025'!$D$5:$D$2427,$B9,'март 2025'!$J$5:$J$2427,E$1)</f>
        <v>0</v>
      </c>
      <c r="F9" s="76">
        <f>SUMIFS('март 2025'!$G$5:$G$2427,'март 2025'!$D$5:$D$2427,$B9,'март 2025'!$J$5:$J$2427,F$1)</f>
        <v>0</v>
      </c>
      <c r="G9" s="76">
        <f>SUMIFS('март 2025'!$G$5:$G$2427,'март 2025'!$D$5:$D$2427,$B9,'март 2025'!$J$5:$J$2427,G$1)</f>
        <v>0</v>
      </c>
      <c r="H9" s="76">
        <f>SUMIFS('март 2025'!$G$5:$G$2427,'март 2025'!$D$5:$D$2427,$B9,'март 2025'!$J$5:$J$2427,H$1)</f>
        <v>0</v>
      </c>
      <c r="I9" s="76">
        <f>SUMIFS('март 2025'!$G$5:$G$2427,'март 2025'!$D$5:$D$2427,$B9,'март 2025'!$J$5:$J$2427,I$1)</f>
        <v>0</v>
      </c>
      <c r="J9" s="76">
        <f>SUMIFS('март 2025'!$G$5:$G$2427,'март 2025'!$D$5:$D$2427,$B9,'март 2025'!$J$5:$J$2427,J$1)</f>
        <v>0</v>
      </c>
      <c r="K9" s="76">
        <f>SUMIFS('март 2025'!$G$5:$G$2427,'март 2025'!$D$5:$D$2427,$B9,'март 2025'!$J$5:$J$2427,K$1)</f>
        <v>0</v>
      </c>
      <c r="L9" s="76">
        <f>SUMIFS('март 2025'!$G$5:$G$2427,'март 2025'!$D$5:$D$2427,$B9,'март 2025'!$J$5:$J$2427,L$1)</f>
        <v>0</v>
      </c>
      <c r="M9" s="76">
        <f>SUMIFS('март 2025'!$G$5:$G$2427,'март 2025'!$D$5:$D$2427,$B9,'март 2025'!$J$5:$J$2427,M$1)</f>
        <v>0</v>
      </c>
      <c r="N9" s="76">
        <f>SUMIFS('март 2025'!$G$5:$G$2427,'март 2025'!$D$5:$D$2427,$B9,'март 2025'!$J$5:$J$2427,N$1)</f>
        <v>0</v>
      </c>
      <c r="O9" s="76">
        <f>SUMIFS('март 2025'!$G$5:$G$2427,'март 2025'!$D$5:$D$2427,$B9,'март 2025'!$J$5:$J$2427,O$1)</f>
        <v>0</v>
      </c>
      <c r="P9" s="76">
        <f>SUMIFS('март 2025'!$G$5:$G$2427,'март 2025'!$D$5:$D$2427,$B9,'март 2025'!$J$5:$J$2427,P$1)</f>
        <v>0</v>
      </c>
      <c r="Q9" s="76">
        <f>SUMIFS('март 2025'!$G$5:$G$2427,'март 2025'!$D$5:$D$2427,$B9,'март 2025'!$J$5:$J$2427,Q$1)</f>
        <v>0</v>
      </c>
      <c r="R9" s="76">
        <f>SUMIFS('март 2025'!$G$5:$G$2427,'март 2025'!$D$5:$D$2427,$B9,'март 2025'!$J$5:$J$2427,R$1)</f>
        <v>0</v>
      </c>
      <c r="S9" s="76">
        <f>SUMIFS('март 2025'!$G$5:$G$2427,'март 2025'!$D$5:$D$2427,$B9,'март 2025'!$J$5:$J$2427,S$1)</f>
        <v>0</v>
      </c>
      <c r="T9" s="76">
        <f>SUMIFS('март 2025'!$G$5:$G$2427,'март 2025'!$D$5:$D$2427,$B9,'март 2025'!$J$5:$J$2427,T$1)</f>
        <v>0</v>
      </c>
      <c r="U9" s="76">
        <f>SUMIFS('март 2025'!$G$5:$G$2427,'март 2025'!$D$5:$D$2427,$B9,'март 2025'!$J$5:$J$2427,U$1)</f>
        <v>0</v>
      </c>
      <c r="V9" s="76">
        <f>SUMIFS('март 2025'!$G$5:$G$2427,'март 2025'!$D$5:$D$2427,$B9,'март 2025'!$J$5:$J$2427,V$1)</f>
        <v>0</v>
      </c>
      <c r="W9" s="76">
        <f>SUMIFS('март 2025'!$G$5:$G$2427,'март 2025'!$D$5:$D$2427,$B9,'март 2025'!$J$5:$J$2427,W$1)</f>
        <v>0</v>
      </c>
      <c r="X9" s="76">
        <f>SUMIFS('март 2025'!$G$5:$G$2427,'март 2025'!$D$5:$D$2427,$B9,'март 2025'!$J$5:$J$2427,X$1)</f>
        <v>0</v>
      </c>
      <c r="Y9" s="76">
        <f>SUMIFS('март 2025'!$G$5:$G$2427,'март 2025'!$D$5:$D$2427,$B9,'март 2025'!$J$5:$J$2427,Y$1)</f>
        <v>0</v>
      </c>
      <c r="Z9" s="76">
        <f>SUMIFS('март 2025'!$G$5:$G$2427,'март 2025'!$D$5:$D$2427,$B9,'март 2025'!$J$5:$J$2427,Z$1)</f>
        <v>0</v>
      </c>
      <c r="AA9" s="76">
        <f>SUMIFS('март 2025'!$G$5:$G$2427,'март 2025'!$D$5:$D$2427,$B9,'март 2025'!$J$5:$J$2427,AA$1)</f>
        <v>0</v>
      </c>
      <c r="AB9" s="76">
        <f>SUMIFS('март 2025'!$G$5:$G$2427,'март 2025'!$D$5:$D$2427,$B9,'март 2025'!$J$5:$J$2427,AB$1)</f>
        <v>0</v>
      </c>
      <c r="AC9" s="76">
        <f>SUMIFS('март 2025'!$G$5:$G$2427,'март 2025'!$D$5:$D$2427,$B9,'март 2025'!$J$5:$J$2427,AC$1)</f>
        <v>0</v>
      </c>
      <c r="AD9" s="76">
        <f>SUMIFS('март 2025'!$G$5:$G$2427,'март 2025'!$D$5:$D$2427,$B9,'март 2025'!$J$5:$J$2427,AD$1)</f>
        <v>0</v>
      </c>
      <c r="AE9" s="76">
        <f>SUMIFS('март 2025'!$G$5:$G$2427,'март 2025'!$D$5:$D$2427,$B9,'март 2025'!$J$5:$J$2427,AE$1)</f>
        <v>0</v>
      </c>
      <c r="AF9" s="76">
        <f>SUMIFS('март 2025'!$G$5:$G$2427,'март 2025'!$D$5:$D$2427,$B9,'март 2025'!$J$5:$J$2427,AF$1)</f>
        <v>0</v>
      </c>
      <c r="AG9" s="76">
        <f>SUMIFS('март 2025'!$G$5:$G$2427,'март 2025'!$D$5:$D$2427,$B9,'март 2025'!$J$5:$J$2427,AG$1)</f>
        <v>0</v>
      </c>
      <c r="AH9" s="76">
        <f>SUMIFS('март 2025'!$G$5:$G$2427,'март 2025'!$D$5:$D$2427,$B9,'март 2025'!$J$5:$J$2427,AH$1)</f>
        <v>0</v>
      </c>
      <c r="AI9" s="20">
        <f t="shared" si="1"/>
        <v>0</v>
      </c>
    </row>
    <row r="10" spans="2:35" ht="15" customHeight="1" x14ac:dyDescent="0.25">
      <c r="B10" s="77" t="s">
        <v>226</v>
      </c>
      <c r="C10" s="78">
        <v>25</v>
      </c>
      <c r="D10" s="76">
        <f>SUMIFS('март 2025'!$G$5:$G$2427,'март 2025'!$D$5:$D$2427,$B10,'март 2025'!$J$5:$J$2427,D$1)</f>
        <v>0</v>
      </c>
      <c r="E10" s="76">
        <f>SUMIFS('март 2025'!$G$5:$G$2427,'март 2025'!$D$5:$D$2427,$B10,'март 2025'!$J$5:$J$2427,E$1)</f>
        <v>0</v>
      </c>
      <c r="F10" s="76">
        <f>SUMIFS('март 2025'!$G$5:$G$2427,'март 2025'!$D$5:$D$2427,$B10,'март 2025'!$J$5:$J$2427,F$1)</f>
        <v>0</v>
      </c>
      <c r="G10" s="76">
        <f>SUMIFS('март 2025'!$G$5:$G$2427,'март 2025'!$D$5:$D$2427,$B10,'март 2025'!$J$5:$J$2427,G$1)</f>
        <v>0</v>
      </c>
      <c r="H10" s="76">
        <f>SUMIFS('март 2025'!$G$5:$G$2427,'март 2025'!$D$5:$D$2427,$B10,'март 2025'!$J$5:$J$2427,H$1)</f>
        <v>0</v>
      </c>
      <c r="I10" s="76">
        <f>SUMIFS('март 2025'!$G$5:$G$2427,'март 2025'!$D$5:$D$2427,$B10,'март 2025'!$J$5:$J$2427,I$1)</f>
        <v>0</v>
      </c>
      <c r="J10" s="76">
        <f>SUMIFS('март 2025'!$G$5:$G$2427,'март 2025'!$D$5:$D$2427,$B10,'март 2025'!$J$5:$J$2427,J$1)</f>
        <v>0</v>
      </c>
      <c r="K10" s="76">
        <f>SUMIFS('март 2025'!$G$5:$G$2427,'март 2025'!$D$5:$D$2427,$B10,'март 2025'!$J$5:$J$2427,K$1)</f>
        <v>0</v>
      </c>
      <c r="L10" s="76">
        <f>SUMIFS('март 2025'!$G$5:$G$2427,'март 2025'!$D$5:$D$2427,$B10,'март 2025'!$J$5:$J$2427,L$1)</f>
        <v>0</v>
      </c>
      <c r="M10" s="76">
        <f>SUMIFS('март 2025'!$G$5:$G$2427,'март 2025'!$D$5:$D$2427,$B10,'март 2025'!$J$5:$J$2427,M$1)</f>
        <v>0</v>
      </c>
      <c r="N10" s="76">
        <f>SUMIFS('март 2025'!$G$5:$G$2427,'март 2025'!$D$5:$D$2427,$B10,'март 2025'!$J$5:$J$2427,N$1)</f>
        <v>0</v>
      </c>
      <c r="O10" s="76">
        <f>SUMIFS('март 2025'!$G$5:$G$2427,'март 2025'!$D$5:$D$2427,$B10,'март 2025'!$J$5:$J$2427,O$1)</f>
        <v>0</v>
      </c>
      <c r="P10" s="76">
        <f>SUMIFS('март 2025'!$G$5:$G$2427,'март 2025'!$D$5:$D$2427,$B10,'март 2025'!$J$5:$J$2427,P$1)</f>
        <v>0</v>
      </c>
      <c r="Q10" s="76">
        <f>SUMIFS('март 2025'!$G$5:$G$2427,'март 2025'!$D$5:$D$2427,$B10,'март 2025'!$J$5:$J$2427,Q$1)</f>
        <v>0</v>
      </c>
      <c r="R10" s="76">
        <f>SUMIFS('март 2025'!$G$5:$G$2427,'март 2025'!$D$5:$D$2427,$B10,'март 2025'!$J$5:$J$2427,R$1)</f>
        <v>0</v>
      </c>
      <c r="S10" s="76">
        <f>SUMIFS('март 2025'!$G$5:$G$2427,'март 2025'!$D$5:$D$2427,$B10,'март 2025'!$J$5:$J$2427,S$1)</f>
        <v>0</v>
      </c>
      <c r="T10" s="76">
        <f>SUMIFS('март 2025'!$G$5:$G$2427,'март 2025'!$D$5:$D$2427,$B10,'март 2025'!$J$5:$J$2427,T$1)</f>
        <v>800</v>
      </c>
      <c r="U10" s="76">
        <f>SUMIFS('март 2025'!$G$5:$G$2427,'март 2025'!$D$5:$D$2427,$B10,'март 2025'!$J$5:$J$2427,U$1)</f>
        <v>0</v>
      </c>
      <c r="V10" s="76">
        <f>SUMIFS('март 2025'!$G$5:$G$2427,'март 2025'!$D$5:$D$2427,$B10,'март 2025'!$J$5:$J$2427,V$1)</f>
        <v>0</v>
      </c>
      <c r="W10" s="76">
        <f>SUMIFS('март 2025'!$G$5:$G$2427,'март 2025'!$D$5:$D$2427,$B10,'март 2025'!$J$5:$J$2427,W$1)</f>
        <v>0</v>
      </c>
      <c r="X10" s="76">
        <f>SUMIFS('март 2025'!$G$5:$G$2427,'март 2025'!$D$5:$D$2427,$B10,'март 2025'!$J$5:$J$2427,X$1)</f>
        <v>0</v>
      </c>
      <c r="Y10" s="76">
        <f>SUMIFS('март 2025'!$G$5:$G$2427,'март 2025'!$D$5:$D$2427,$B10,'март 2025'!$J$5:$J$2427,Y$1)</f>
        <v>0</v>
      </c>
      <c r="Z10" s="76">
        <f>SUMIFS('март 2025'!$G$5:$G$2427,'март 2025'!$D$5:$D$2427,$B10,'март 2025'!$J$5:$J$2427,Z$1)</f>
        <v>0</v>
      </c>
      <c r="AA10" s="76">
        <f>SUMIFS('март 2025'!$G$5:$G$2427,'март 2025'!$D$5:$D$2427,$B10,'март 2025'!$J$5:$J$2427,AA$1)</f>
        <v>0</v>
      </c>
      <c r="AB10" s="76">
        <f>SUMIFS('март 2025'!$G$5:$G$2427,'март 2025'!$D$5:$D$2427,$B10,'март 2025'!$J$5:$J$2427,AB$1)</f>
        <v>800</v>
      </c>
      <c r="AC10" s="76">
        <f>SUMIFS('март 2025'!$G$5:$G$2427,'март 2025'!$D$5:$D$2427,$B10,'март 2025'!$J$5:$J$2427,AC$1)</f>
        <v>0</v>
      </c>
      <c r="AD10" s="76">
        <f>SUMIFS('март 2025'!$G$5:$G$2427,'март 2025'!$D$5:$D$2427,$B10,'март 2025'!$J$5:$J$2427,AD$1)</f>
        <v>0</v>
      </c>
      <c r="AE10" s="76">
        <f>SUMIFS('март 2025'!$G$5:$G$2427,'март 2025'!$D$5:$D$2427,$B10,'март 2025'!$J$5:$J$2427,AE$1)</f>
        <v>0</v>
      </c>
      <c r="AF10" s="76">
        <f>SUMIFS('март 2025'!$G$5:$G$2427,'март 2025'!$D$5:$D$2427,$B10,'март 2025'!$J$5:$J$2427,AF$1)</f>
        <v>0</v>
      </c>
      <c r="AG10" s="76">
        <f>SUMIFS('март 2025'!$G$5:$G$2427,'март 2025'!$D$5:$D$2427,$B10,'март 2025'!$J$5:$J$2427,AG$1)</f>
        <v>0</v>
      </c>
      <c r="AH10" s="76">
        <f>SUMIFS('март 2025'!$G$5:$G$2427,'март 2025'!$D$5:$D$2427,$B10,'март 2025'!$J$5:$J$2427,AH$1)</f>
        <v>0</v>
      </c>
      <c r="AI10" s="20">
        <f t="shared" si="1"/>
        <v>1600</v>
      </c>
    </row>
    <row r="11" spans="2:35" ht="15" customHeight="1" x14ac:dyDescent="0.25">
      <c r="B11" s="80" t="s">
        <v>228</v>
      </c>
      <c r="C11" s="81">
        <v>22.68</v>
      </c>
      <c r="D11" s="76">
        <f>SUMIFS('март 2025'!$G$5:$G$2427,'март 2025'!$D$5:$D$2427,$B11,'март 2025'!$J$5:$J$2427,D$1)</f>
        <v>0</v>
      </c>
      <c r="E11" s="76">
        <f>SUMIFS('март 2025'!$G$5:$G$2427,'март 2025'!$D$5:$D$2427,$B11,'март 2025'!$J$5:$J$2427,E$1)</f>
        <v>0</v>
      </c>
      <c r="F11" s="76">
        <f>SUMIFS('март 2025'!$G$5:$G$2427,'март 2025'!$D$5:$D$2427,$B11,'март 2025'!$J$5:$J$2427,F$1)</f>
        <v>0</v>
      </c>
      <c r="G11" s="76">
        <f>SUMIFS('март 2025'!$G$5:$G$2427,'март 2025'!$D$5:$D$2427,$B11,'март 2025'!$J$5:$J$2427,G$1)</f>
        <v>0</v>
      </c>
      <c r="H11" s="76">
        <f>SUMIFS('март 2025'!$G$5:$G$2427,'март 2025'!$D$5:$D$2427,$B11,'март 2025'!$J$5:$J$2427,H$1)</f>
        <v>0</v>
      </c>
      <c r="I11" s="76">
        <f>SUMIFS('март 2025'!$G$5:$G$2427,'март 2025'!$D$5:$D$2427,$B11,'март 2025'!$J$5:$J$2427,I$1)</f>
        <v>0</v>
      </c>
      <c r="J11" s="76">
        <f>SUMIFS('март 2025'!$G$5:$G$2427,'март 2025'!$D$5:$D$2427,$B11,'март 2025'!$J$5:$J$2427,J$1)</f>
        <v>0</v>
      </c>
      <c r="K11" s="76">
        <f>SUMIFS('март 2025'!$G$5:$G$2427,'март 2025'!$D$5:$D$2427,$B11,'март 2025'!$J$5:$J$2427,K$1)</f>
        <v>0</v>
      </c>
      <c r="L11" s="76">
        <f>SUMIFS('март 2025'!$G$5:$G$2427,'март 2025'!$D$5:$D$2427,$B11,'март 2025'!$J$5:$J$2427,L$1)</f>
        <v>0</v>
      </c>
      <c r="M11" s="76">
        <f>SUMIFS('март 2025'!$G$5:$G$2427,'март 2025'!$D$5:$D$2427,$B11,'март 2025'!$J$5:$J$2427,M$1)</f>
        <v>0</v>
      </c>
      <c r="N11" s="76">
        <f>SUMIFS('март 2025'!$G$5:$G$2427,'март 2025'!$D$5:$D$2427,$B11,'март 2025'!$J$5:$J$2427,N$1)</f>
        <v>0</v>
      </c>
      <c r="O11" s="76">
        <f>SUMIFS('март 2025'!$G$5:$G$2427,'март 2025'!$D$5:$D$2427,$B11,'март 2025'!$J$5:$J$2427,O$1)</f>
        <v>0</v>
      </c>
      <c r="P11" s="76">
        <f>SUMIFS('март 2025'!$G$5:$G$2427,'март 2025'!$D$5:$D$2427,$B11,'март 2025'!$J$5:$J$2427,P$1)</f>
        <v>0</v>
      </c>
      <c r="Q11" s="76">
        <f>SUMIFS('март 2025'!$G$5:$G$2427,'март 2025'!$D$5:$D$2427,$B11,'март 2025'!$J$5:$J$2427,Q$1)</f>
        <v>0</v>
      </c>
      <c r="R11" s="76">
        <f>SUMIFS('март 2025'!$G$5:$G$2427,'март 2025'!$D$5:$D$2427,$B11,'март 2025'!$J$5:$J$2427,R$1)</f>
        <v>0</v>
      </c>
      <c r="S11" s="76">
        <f>SUMIFS('март 2025'!$G$5:$G$2427,'март 2025'!$D$5:$D$2427,$B11,'март 2025'!$J$5:$J$2427,S$1)</f>
        <v>0</v>
      </c>
      <c r="T11" s="76">
        <f>SUMIFS('март 2025'!$G$5:$G$2427,'март 2025'!$D$5:$D$2427,$B11,'март 2025'!$J$5:$J$2427,T$1)</f>
        <v>0</v>
      </c>
      <c r="U11" s="76">
        <f>SUMIFS('март 2025'!$G$5:$G$2427,'март 2025'!$D$5:$D$2427,$B11,'март 2025'!$J$5:$J$2427,U$1)</f>
        <v>0</v>
      </c>
      <c r="V11" s="76">
        <f>SUMIFS('март 2025'!$G$5:$G$2427,'март 2025'!$D$5:$D$2427,$B11,'март 2025'!$J$5:$J$2427,V$1)</f>
        <v>0</v>
      </c>
      <c r="W11" s="76">
        <f>SUMIFS('март 2025'!$G$5:$G$2427,'март 2025'!$D$5:$D$2427,$B11,'март 2025'!$J$5:$J$2427,W$1)</f>
        <v>0</v>
      </c>
      <c r="X11" s="76">
        <f>SUMIFS('март 2025'!$G$5:$G$2427,'март 2025'!$D$5:$D$2427,$B11,'март 2025'!$J$5:$J$2427,X$1)</f>
        <v>0</v>
      </c>
      <c r="Y11" s="76">
        <f>SUMIFS('март 2025'!$G$5:$G$2427,'март 2025'!$D$5:$D$2427,$B11,'март 2025'!$J$5:$J$2427,Y$1)</f>
        <v>0</v>
      </c>
      <c r="Z11" s="76">
        <f>SUMIFS('март 2025'!$G$5:$G$2427,'март 2025'!$D$5:$D$2427,$B11,'март 2025'!$J$5:$J$2427,Z$1)</f>
        <v>0</v>
      </c>
      <c r="AA11" s="76">
        <f>SUMIFS('март 2025'!$G$5:$G$2427,'март 2025'!$D$5:$D$2427,$B11,'март 2025'!$J$5:$J$2427,AA$1)</f>
        <v>0</v>
      </c>
      <c r="AB11" s="76">
        <f>SUMIFS('март 2025'!$G$5:$G$2427,'март 2025'!$D$5:$D$2427,$B11,'март 2025'!$J$5:$J$2427,AB$1)</f>
        <v>0</v>
      </c>
      <c r="AC11" s="76">
        <f>SUMIFS('март 2025'!$G$5:$G$2427,'март 2025'!$D$5:$D$2427,$B11,'март 2025'!$J$5:$J$2427,AC$1)</f>
        <v>0</v>
      </c>
      <c r="AD11" s="76">
        <f>SUMIFS('март 2025'!$G$5:$G$2427,'март 2025'!$D$5:$D$2427,$B11,'март 2025'!$J$5:$J$2427,AD$1)</f>
        <v>0</v>
      </c>
      <c r="AE11" s="76">
        <f>SUMIFS('март 2025'!$G$5:$G$2427,'март 2025'!$D$5:$D$2427,$B11,'март 2025'!$J$5:$J$2427,AE$1)</f>
        <v>0</v>
      </c>
      <c r="AF11" s="76">
        <f>SUMIFS('март 2025'!$G$5:$G$2427,'март 2025'!$D$5:$D$2427,$B11,'март 2025'!$J$5:$J$2427,AF$1)</f>
        <v>0</v>
      </c>
      <c r="AG11" s="76">
        <f>SUMIFS('март 2025'!$G$5:$G$2427,'март 2025'!$D$5:$D$2427,$B11,'март 2025'!$J$5:$J$2427,AG$1)</f>
        <v>0</v>
      </c>
      <c r="AH11" s="76">
        <f>SUMIFS('март 2025'!$G$5:$G$2427,'март 2025'!$D$5:$D$2427,$B11,'март 2025'!$J$5:$J$2427,AH$1)</f>
        <v>0</v>
      </c>
      <c r="AI11" s="20">
        <f t="shared" si="1"/>
        <v>0</v>
      </c>
    </row>
    <row r="12" spans="2:35" ht="15" customHeight="1" x14ac:dyDescent="0.25">
      <c r="B12" s="80" t="s">
        <v>328</v>
      </c>
      <c r="C12" s="81">
        <v>22.7</v>
      </c>
      <c r="D12" s="76">
        <f>SUMIFS('март 2025'!$G$5:$G$2427,'март 2025'!$D$5:$D$2427,$B12,'март 2025'!$J$5:$J$2427,D$1)</f>
        <v>0</v>
      </c>
      <c r="E12" s="76">
        <f>SUMIFS('март 2025'!$G$5:$G$2427,'март 2025'!$D$5:$D$2427,$B12,'март 2025'!$J$5:$J$2427,E$1)</f>
        <v>0</v>
      </c>
      <c r="F12" s="76">
        <f>SUMIFS('март 2025'!$G$5:$G$2427,'март 2025'!$D$5:$D$2427,$B12,'март 2025'!$J$5:$J$2427,F$1)</f>
        <v>0</v>
      </c>
      <c r="G12" s="76">
        <f>SUMIFS('март 2025'!$G$5:$G$2427,'март 2025'!$D$5:$D$2427,$B12,'март 2025'!$J$5:$J$2427,G$1)</f>
        <v>0</v>
      </c>
      <c r="H12" s="76">
        <f>SUMIFS('март 2025'!$G$5:$G$2427,'март 2025'!$D$5:$D$2427,$B12,'март 2025'!$J$5:$J$2427,H$1)</f>
        <v>0</v>
      </c>
      <c r="I12" s="76">
        <f>SUMIFS('март 2025'!$G$5:$G$2427,'март 2025'!$D$5:$D$2427,$B12,'март 2025'!$J$5:$J$2427,I$1)</f>
        <v>0</v>
      </c>
      <c r="J12" s="76">
        <f>SUMIFS('март 2025'!$G$5:$G$2427,'март 2025'!$D$5:$D$2427,$B12,'март 2025'!$J$5:$J$2427,J$1)</f>
        <v>0</v>
      </c>
      <c r="K12" s="76">
        <f>SUMIFS('март 2025'!$G$5:$G$2427,'март 2025'!$D$5:$D$2427,$B12,'март 2025'!$J$5:$J$2427,K$1)</f>
        <v>0</v>
      </c>
      <c r="L12" s="76">
        <f>SUMIFS('март 2025'!$G$5:$G$2427,'март 2025'!$D$5:$D$2427,$B12,'март 2025'!$J$5:$J$2427,L$1)</f>
        <v>0</v>
      </c>
      <c r="M12" s="76">
        <f>SUMIFS('март 2025'!$G$5:$G$2427,'март 2025'!$D$5:$D$2427,$B12,'март 2025'!$J$5:$J$2427,M$1)</f>
        <v>0</v>
      </c>
      <c r="N12" s="76">
        <f>SUMIFS('март 2025'!$G$5:$G$2427,'март 2025'!$D$5:$D$2427,$B12,'март 2025'!$J$5:$J$2427,N$1)</f>
        <v>0</v>
      </c>
      <c r="O12" s="76">
        <f>SUMIFS('март 2025'!$G$5:$G$2427,'март 2025'!$D$5:$D$2427,$B12,'март 2025'!$J$5:$J$2427,O$1)</f>
        <v>0</v>
      </c>
      <c r="P12" s="76">
        <f>SUMIFS('март 2025'!$G$5:$G$2427,'март 2025'!$D$5:$D$2427,$B12,'март 2025'!$J$5:$J$2427,P$1)</f>
        <v>0</v>
      </c>
      <c r="Q12" s="76">
        <f>SUMIFS('март 2025'!$G$5:$G$2427,'март 2025'!$D$5:$D$2427,$B12,'март 2025'!$J$5:$J$2427,Q$1)</f>
        <v>0</v>
      </c>
      <c r="R12" s="76">
        <f>SUMIFS('март 2025'!$G$5:$G$2427,'март 2025'!$D$5:$D$2427,$B12,'март 2025'!$J$5:$J$2427,R$1)</f>
        <v>0</v>
      </c>
      <c r="S12" s="76">
        <f>SUMIFS('март 2025'!$G$5:$G$2427,'март 2025'!$D$5:$D$2427,$B12,'март 2025'!$J$5:$J$2427,S$1)</f>
        <v>0</v>
      </c>
      <c r="T12" s="76">
        <f>SUMIFS('март 2025'!$G$5:$G$2427,'март 2025'!$D$5:$D$2427,$B12,'март 2025'!$J$5:$J$2427,T$1)</f>
        <v>0</v>
      </c>
      <c r="U12" s="76">
        <f>SUMIFS('март 2025'!$G$5:$G$2427,'март 2025'!$D$5:$D$2427,$B12,'март 2025'!$J$5:$J$2427,U$1)</f>
        <v>0</v>
      </c>
      <c r="V12" s="76">
        <f>SUMIFS('март 2025'!$G$5:$G$2427,'март 2025'!$D$5:$D$2427,$B12,'март 2025'!$J$5:$J$2427,V$1)</f>
        <v>0</v>
      </c>
      <c r="W12" s="76">
        <f>SUMIFS('март 2025'!$G$5:$G$2427,'март 2025'!$D$5:$D$2427,$B12,'март 2025'!$J$5:$J$2427,W$1)</f>
        <v>0</v>
      </c>
      <c r="X12" s="76">
        <f>SUMIFS('март 2025'!$G$5:$G$2427,'март 2025'!$D$5:$D$2427,$B12,'март 2025'!$J$5:$J$2427,X$1)</f>
        <v>0</v>
      </c>
      <c r="Y12" s="76">
        <f>SUMIFS('март 2025'!$G$5:$G$2427,'март 2025'!$D$5:$D$2427,$B12,'март 2025'!$J$5:$J$2427,Y$1)</f>
        <v>0</v>
      </c>
      <c r="Z12" s="76">
        <f>SUMIFS('март 2025'!$G$5:$G$2427,'март 2025'!$D$5:$D$2427,$B12,'март 2025'!$J$5:$J$2427,Z$1)</f>
        <v>0</v>
      </c>
      <c r="AA12" s="76">
        <f>SUMIFS('март 2025'!$G$5:$G$2427,'март 2025'!$D$5:$D$2427,$B12,'март 2025'!$J$5:$J$2427,AA$1)</f>
        <v>0</v>
      </c>
      <c r="AB12" s="76">
        <f>SUMIFS('март 2025'!$G$5:$G$2427,'март 2025'!$D$5:$D$2427,$B12,'март 2025'!$J$5:$J$2427,AB$1)</f>
        <v>0</v>
      </c>
      <c r="AC12" s="76">
        <f>SUMIFS('март 2025'!$G$5:$G$2427,'март 2025'!$D$5:$D$2427,$B12,'март 2025'!$J$5:$J$2427,AC$1)</f>
        <v>0</v>
      </c>
      <c r="AD12" s="76">
        <f>SUMIFS('март 2025'!$G$5:$G$2427,'март 2025'!$D$5:$D$2427,$B12,'март 2025'!$J$5:$J$2427,AD$1)</f>
        <v>0</v>
      </c>
      <c r="AE12" s="76">
        <f>SUMIFS('март 2025'!$G$5:$G$2427,'март 2025'!$D$5:$D$2427,$B12,'март 2025'!$J$5:$J$2427,AE$1)</f>
        <v>0</v>
      </c>
      <c r="AF12" s="76">
        <f>SUMIFS('март 2025'!$G$5:$G$2427,'март 2025'!$D$5:$D$2427,$B12,'март 2025'!$J$5:$J$2427,AF$1)</f>
        <v>0</v>
      </c>
      <c r="AG12" s="76">
        <f>SUMIFS('март 2025'!$G$5:$G$2427,'март 2025'!$D$5:$D$2427,$B12,'март 2025'!$J$5:$J$2427,AG$1)</f>
        <v>0</v>
      </c>
      <c r="AH12" s="76">
        <f>SUMIFS('март 2025'!$G$5:$G$2427,'март 2025'!$D$5:$D$2427,$B12,'март 2025'!$J$5:$J$2427,AH$1)</f>
        <v>700</v>
      </c>
      <c r="AI12" s="20">
        <f t="shared" si="1"/>
        <v>700</v>
      </c>
    </row>
    <row r="13" spans="2:35" ht="15" customHeight="1" x14ac:dyDescent="0.25">
      <c r="B13" s="80" t="s">
        <v>302</v>
      </c>
      <c r="C13" s="81">
        <v>25</v>
      </c>
      <c r="D13" s="76">
        <f>SUMIFS('март 2025'!$G$5:$G$2427,'март 2025'!$D$5:$D$2427,$B13,'март 2025'!$J$5:$J$2427,D$1)</f>
        <v>0</v>
      </c>
      <c r="E13" s="76">
        <f>SUMIFS('март 2025'!$G$5:$G$2427,'март 2025'!$D$5:$D$2427,$B13,'март 2025'!$J$5:$J$2427,E$1)</f>
        <v>0</v>
      </c>
      <c r="F13" s="76">
        <f>SUMIFS('март 2025'!$G$5:$G$2427,'март 2025'!$D$5:$D$2427,$B13,'март 2025'!$J$5:$J$2427,F$1)</f>
        <v>0</v>
      </c>
      <c r="G13" s="76">
        <f>SUMIFS('март 2025'!$G$5:$G$2427,'март 2025'!$D$5:$D$2427,$B13,'март 2025'!$J$5:$J$2427,G$1)</f>
        <v>0</v>
      </c>
      <c r="H13" s="76">
        <f>SUMIFS('март 2025'!$G$5:$G$2427,'март 2025'!$D$5:$D$2427,$B13,'март 2025'!$J$5:$J$2427,H$1)</f>
        <v>0</v>
      </c>
      <c r="I13" s="76">
        <f>SUMIFS('март 2025'!$G$5:$G$2427,'март 2025'!$D$5:$D$2427,$B13,'март 2025'!$J$5:$J$2427,I$1)</f>
        <v>0</v>
      </c>
      <c r="J13" s="76">
        <f>SUMIFS('март 2025'!$G$5:$G$2427,'март 2025'!$D$5:$D$2427,$B13,'март 2025'!$J$5:$J$2427,J$1)</f>
        <v>0</v>
      </c>
      <c r="K13" s="76">
        <f>SUMIFS('март 2025'!$G$5:$G$2427,'март 2025'!$D$5:$D$2427,$B13,'март 2025'!$J$5:$J$2427,K$1)</f>
        <v>0</v>
      </c>
      <c r="L13" s="76">
        <f>SUMIFS('март 2025'!$G$5:$G$2427,'март 2025'!$D$5:$D$2427,$B13,'март 2025'!$J$5:$J$2427,L$1)</f>
        <v>0</v>
      </c>
      <c r="M13" s="76">
        <f>SUMIFS('март 2025'!$G$5:$G$2427,'март 2025'!$D$5:$D$2427,$B13,'март 2025'!$J$5:$J$2427,M$1)</f>
        <v>0</v>
      </c>
      <c r="N13" s="76">
        <f>SUMIFS('март 2025'!$G$5:$G$2427,'март 2025'!$D$5:$D$2427,$B13,'март 2025'!$J$5:$J$2427,N$1)</f>
        <v>0</v>
      </c>
      <c r="O13" s="76">
        <f>SUMIFS('март 2025'!$G$5:$G$2427,'март 2025'!$D$5:$D$2427,$B13,'март 2025'!$J$5:$J$2427,O$1)</f>
        <v>0</v>
      </c>
      <c r="P13" s="76">
        <f>SUMIFS('март 2025'!$G$5:$G$2427,'март 2025'!$D$5:$D$2427,$B13,'март 2025'!$J$5:$J$2427,P$1)</f>
        <v>0</v>
      </c>
      <c r="Q13" s="76">
        <f>SUMIFS('март 2025'!$G$5:$G$2427,'март 2025'!$D$5:$D$2427,$B13,'март 2025'!$J$5:$J$2427,Q$1)</f>
        <v>0</v>
      </c>
      <c r="R13" s="76">
        <f>SUMIFS('март 2025'!$G$5:$G$2427,'март 2025'!$D$5:$D$2427,$B13,'март 2025'!$J$5:$J$2427,R$1)</f>
        <v>0</v>
      </c>
      <c r="S13" s="76">
        <f>SUMIFS('март 2025'!$G$5:$G$2427,'март 2025'!$D$5:$D$2427,$B13,'март 2025'!$J$5:$J$2427,S$1)</f>
        <v>0</v>
      </c>
      <c r="T13" s="76">
        <f>SUMIFS('март 2025'!$G$5:$G$2427,'март 2025'!$D$5:$D$2427,$B13,'март 2025'!$J$5:$J$2427,T$1)</f>
        <v>0</v>
      </c>
      <c r="U13" s="76">
        <f>SUMIFS('март 2025'!$G$5:$G$2427,'март 2025'!$D$5:$D$2427,$B13,'март 2025'!$J$5:$J$2427,U$1)</f>
        <v>0</v>
      </c>
      <c r="V13" s="76">
        <f>SUMIFS('март 2025'!$G$5:$G$2427,'март 2025'!$D$5:$D$2427,$B13,'март 2025'!$J$5:$J$2427,V$1)</f>
        <v>0</v>
      </c>
      <c r="W13" s="76">
        <f>SUMIFS('март 2025'!$G$5:$G$2427,'март 2025'!$D$5:$D$2427,$B13,'март 2025'!$J$5:$J$2427,W$1)</f>
        <v>0</v>
      </c>
      <c r="X13" s="76">
        <f>SUMIFS('март 2025'!$G$5:$G$2427,'март 2025'!$D$5:$D$2427,$B13,'март 2025'!$J$5:$J$2427,X$1)</f>
        <v>0</v>
      </c>
      <c r="Y13" s="76">
        <f>SUMIFS('март 2025'!$G$5:$G$2427,'март 2025'!$D$5:$D$2427,$B13,'март 2025'!$J$5:$J$2427,Y$1)</f>
        <v>0</v>
      </c>
      <c r="Z13" s="76">
        <f>SUMIFS('март 2025'!$G$5:$G$2427,'март 2025'!$D$5:$D$2427,$B13,'март 2025'!$J$5:$J$2427,Z$1)</f>
        <v>0</v>
      </c>
      <c r="AA13" s="76">
        <f>SUMIFS('март 2025'!$G$5:$G$2427,'март 2025'!$D$5:$D$2427,$B13,'март 2025'!$J$5:$J$2427,AA$1)</f>
        <v>0</v>
      </c>
      <c r="AB13" s="76">
        <f>SUMIFS('март 2025'!$G$5:$G$2427,'март 2025'!$D$5:$D$2427,$B13,'март 2025'!$J$5:$J$2427,AB$1)</f>
        <v>0</v>
      </c>
      <c r="AC13" s="76">
        <f>SUMIFS('март 2025'!$G$5:$G$2427,'март 2025'!$D$5:$D$2427,$B13,'март 2025'!$J$5:$J$2427,AC$1)</f>
        <v>0</v>
      </c>
      <c r="AD13" s="76">
        <f>SUMIFS('март 2025'!$G$5:$G$2427,'март 2025'!$D$5:$D$2427,$B13,'март 2025'!$J$5:$J$2427,AD$1)</f>
        <v>0</v>
      </c>
      <c r="AE13" s="76">
        <f>SUMIFS('март 2025'!$G$5:$G$2427,'март 2025'!$D$5:$D$2427,$B13,'март 2025'!$J$5:$J$2427,AE$1)</f>
        <v>0</v>
      </c>
      <c r="AF13" s="76">
        <f>SUMIFS('март 2025'!$G$5:$G$2427,'март 2025'!$D$5:$D$2427,$B13,'март 2025'!$J$5:$J$2427,AF$1)</f>
        <v>0</v>
      </c>
      <c r="AG13" s="76">
        <f>SUMIFS('март 2025'!$G$5:$G$2427,'март 2025'!$D$5:$D$2427,$B13,'март 2025'!$J$5:$J$2427,AG$1)</f>
        <v>0</v>
      </c>
      <c r="AH13" s="76">
        <f>SUMIFS('март 2025'!$G$5:$G$2427,'март 2025'!$D$5:$D$2427,$B13,'март 2025'!$J$5:$J$2427,AH$1)</f>
        <v>0</v>
      </c>
      <c r="AI13" s="20">
        <f t="shared" si="1"/>
        <v>0</v>
      </c>
    </row>
    <row r="14" spans="2:35" ht="15" customHeight="1" x14ac:dyDescent="0.25">
      <c r="B14" s="80" t="s">
        <v>306</v>
      </c>
      <c r="C14" s="81">
        <v>25</v>
      </c>
      <c r="D14" s="76">
        <f>SUMIFS('март 2025'!$G$5:$G$2427,'март 2025'!$D$5:$D$2427,$B14,'март 2025'!$J$5:$J$2427,D$1)</f>
        <v>0</v>
      </c>
      <c r="E14" s="76">
        <f>SUMIFS('март 2025'!$G$5:$G$2427,'март 2025'!$D$5:$D$2427,$B14,'март 2025'!$J$5:$J$2427,E$1)</f>
        <v>0</v>
      </c>
      <c r="F14" s="76">
        <f>SUMIFS('март 2025'!$G$5:$G$2427,'март 2025'!$D$5:$D$2427,$B14,'март 2025'!$J$5:$J$2427,F$1)</f>
        <v>0</v>
      </c>
      <c r="G14" s="76">
        <f>SUMIFS('март 2025'!$G$5:$G$2427,'март 2025'!$D$5:$D$2427,$B14,'март 2025'!$J$5:$J$2427,G$1)</f>
        <v>4200</v>
      </c>
      <c r="H14" s="76">
        <f>SUMIFS('март 2025'!$G$5:$G$2427,'март 2025'!$D$5:$D$2427,$B14,'март 2025'!$J$5:$J$2427,H$1)</f>
        <v>1400</v>
      </c>
      <c r="I14" s="76">
        <f>SUMIFS('март 2025'!$G$5:$G$2427,'март 2025'!$D$5:$D$2427,$B14,'март 2025'!$J$5:$J$2427,I$1)</f>
        <v>2100</v>
      </c>
      <c r="J14" s="76">
        <f>SUMIFS('март 2025'!$G$5:$G$2427,'март 2025'!$D$5:$D$2427,$B14,'март 2025'!$J$5:$J$2427,J$1)</f>
        <v>0</v>
      </c>
      <c r="K14" s="76">
        <f>SUMIFS('март 2025'!$G$5:$G$2427,'март 2025'!$D$5:$D$2427,$B14,'март 2025'!$J$5:$J$2427,K$1)</f>
        <v>0</v>
      </c>
      <c r="L14" s="76">
        <f>SUMIFS('март 2025'!$G$5:$G$2427,'март 2025'!$D$5:$D$2427,$B14,'март 2025'!$J$5:$J$2427,L$1)</f>
        <v>0</v>
      </c>
      <c r="M14" s="76">
        <f>SUMIFS('март 2025'!$G$5:$G$2427,'март 2025'!$D$5:$D$2427,$B14,'март 2025'!$J$5:$J$2427,M$1)</f>
        <v>0</v>
      </c>
      <c r="N14" s="76">
        <f>SUMIFS('март 2025'!$G$5:$G$2427,'март 2025'!$D$5:$D$2427,$B14,'март 2025'!$J$5:$J$2427,N$1)</f>
        <v>0</v>
      </c>
      <c r="O14" s="76">
        <f>SUMIFS('март 2025'!$G$5:$G$2427,'март 2025'!$D$5:$D$2427,$B14,'март 2025'!$J$5:$J$2427,O$1)</f>
        <v>0</v>
      </c>
      <c r="P14" s="76">
        <f>SUMIFS('март 2025'!$G$5:$G$2427,'март 2025'!$D$5:$D$2427,$B14,'март 2025'!$J$5:$J$2427,P$1)</f>
        <v>0</v>
      </c>
      <c r="Q14" s="76">
        <f>SUMIFS('март 2025'!$G$5:$G$2427,'март 2025'!$D$5:$D$2427,$B14,'март 2025'!$J$5:$J$2427,Q$1)</f>
        <v>0</v>
      </c>
      <c r="R14" s="76">
        <f>SUMIFS('март 2025'!$G$5:$G$2427,'март 2025'!$D$5:$D$2427,$B14,'март 2025'!$J$5:$J$2427,R$1)</f>
        <v>0</v>
      </c>
      <c r="S14" s="76">
        <f>SUMIFS('март 2025'!$G$5:$G$2427,'март 2025'!$D$5:$D$2427,$B14,'март 2025'!$J$5:$J$2427,S$1)</f>
        <v>0</v>
      </c>
      <c r="T14" s="76">
        <f>SUMIFS('март 2025'!$G$5:$G$2427,'март 2025'!$D$5:$D$2427,$B14,'март 2025'!$J$5:$J$2427,T$1)</f>
        <v>0</v>
      </c>
      <c r="U14" s="76">
        <f>SUMIFS('март 2025'!$G$5:$G$2427,'март 2025'!$D$5:$D$2427,$B14,'март 2025'!$J$5:$J$2427,U$1)</f>
        <v>0</v>
      </c>
      <c r="V14" s="76">
        <f>SUMIFS('март 2025'!$G$5:$G$2427,'март 2025'!$D$5:$D$2427,$B14,'март 2025'!$J$5:$J$2427,V$1)</f>
        <v>0</v>
      </c>
      <c r="W14" s="76">
        <f>SUMIFS('март 2025'!$G$5:$G$2427,'март 2025'!$D$5:$D$2427,$B14,'март 2025'!$J$5:$J$2427,W$1)</f>
        <v>0</v>
      </c>
      <c r="X14" s="76">
        <f>SUMIFS('март 2025'!$G$5:$G$2427,'март 2025'!$D$5:$D$2427,$B14,'март 2025'!$J$5:$J$2427,X$1)</f>
        <v>0</v>
      </c>
      <c r="Y14" s="76">
        <f>SUMIFS('март 2025'!$G$5:$G$2427,'март 2025'!$D$5:$D$2427,$B14,'март 2025'!$J$5:$J$2427,Y$1)</f>
        <v>0</v>
      </c>
      <c r="Z14" s="76">
        <f>SUMIFS('март 2025'!$G$5:$G$2427,'март 2025'!$D$5:$D$2427,$B14,'март 2025'!$J$5:$J$2427,Z$1)</f>
        <v>0</v>
      </c>
      <c r="AA14" s="76">
        <f>SUMIFS('март 2025'!$G$5:$G$2427,'март 2025'!$D$5:$D$2427,$B14,'март 2025'!$J$5:$J$2427,AA$1)</f>
        <v>0</v>
      </c>
      <c r="AB14" s="76">
        <f>SUMIFS('март 2025'!$G$5:$G$2427,'март 2025'!$D$5:$D$2427,$B14,'март 2025'!$J$5:$J$2427,AB$1)</f>
        <v>0</v>
      </c>
      <c r="AC14" s="76">
        <f>SUMIFS('март 2025'!$G$5:$G$2427,'март 2025'!$D$5:$D$2427,$B14,'март 2025'!$J$5:$J$2427,AC$1)</f>
        <v>0</v>
      </c>
      <c r="AD14" s="76">
        <f>SUMIFS('март 2025'!$G$5:$G$2427,'март 2025'!$D$5:$D$2427,$B14,'март 2025'!$J$5:$J$2427,AD$1)</f>
        <v>420</v>
      </c>
      <c r="AE14" s="76">
        <f>SUMIFS('март 2025'!$G$5:$G$2427,'март 2025'!$D$5:$D$2427,$B14,'март 2025'!$J$5:$J$2427,AE$1)</f>
        <v>805</v>
      </c>
      <c r="AF14" s="76">
        <f>SUMIFS('март 2025'!$G$5:$G$2427,'март 2025'!$D$5:$D$2427,$B14,'март 2025'!$J$5:$J$2427,AF$1)</f>
        <v>0</v>
      </c>
      <c r="AG14" s="76">
        <f>SUMIFS('март 2025'!$G$5:$G$2427,'март 2025'!$D$5:$D$2427,$B14,'март 2025'!$J$5:$J$2427,AG$1)</f>
        <v>0</v>
      </c>
      <c r="AH14" s="76">
        <f>SUMIFS('март 2025'!$G$5:$G$2427,'март 2025'!$D$5:$D$2427,$B14,'март 2025'!$J$5:$J$2427,AH$1)</f>
        <v>0</v>
      </c>
      <c r="AI14" s="20">
        <f t="shared" si="1"/>
        <v>8925</v>
      </c>
    </row>
    <row r="15" spans="2:35" ht="15" customHeight="1" x14ac:dyDescent="0.25">
      <c r="B15" s="80" t="s">
        <v>231</v>
      </c>
      <c r="C15" s="81">
        <v>22.7</v>
      </c>
      <c r="D15" s="76">
        <f>SUMIFS('март 2025'!$G$5:$G$2427,'март 2025'!$D$5:$D$2427,$B15,'март 2025'!$J$5:$J$2427,D$1)</f>
        <v>0</v>
      </c>
      <c r="E15" s="76">
        <f>SUMIFS('март 2025'!$G$5:$G$2427,'март 2025'!$D$5:$D$2427,$B15,'март 2025'!$J$5:$J$2427,E$1)</f>
        <v>0</v>
      </c>
      <c r="F15" s="76">
        <f>SUMIFS('март 2025'!$G$5:$G$2427,'март 2025'!$D$5:$D$2427,$B15,'март 2025'!$J$5:$J$2427,F$1)</f>
        <v>0</v>
      </c>
      <c r="G15" s="76">
        <f>SUMIFS('март 2025'!$G$5:$G$2427,'март 2025'!$D$5:$D$2427,$B15,'март 2025'!$J$5:$J$2427,G$1)</f>
        <v>0</v>
      </c>
      <c r="H15" s="76">
        <f>SUMIFS('март 2025'!$G$5:$G$2427,'март 2025'!$D$5:$D$2427,$B15,'март 2025'!$J$5:$J$2427,H$1)</f>
        <v>0</v>
      </c>
      <c r="I15" s="76">
        <f>SUMIFS('март 2025'!$G$5:$G$2427,'март 2025'!$D$5:$D$2427,$B15,'март 2025'!$J$5:$J$2427,I$1)</f>
        <v>0</v>
      </c>
      <c r="J15" s="76">
        <f>SUMIFS('март 2025'!$G$5:$G$2427,'март 2025'!$D$5:$D$2427,$B15,'март 2025'!$J$5:$J$2427,J$1)</f>
        <v>0</v>
      </c>
      <c r="K15" s="76">
        <f>SUMIFS('март 2025'!$G$5:$G$2427,'март 2025'!$D$5:$D$2427,$B15,'март 2025'!$J$5:$J$2427,K$1)</f>
        <v>0</v>
      </c>
      <c r="L15" s="76">
        <f>SUMIFS('март 2025'!$G$5:$G$2427,'март 2025'!$D$5:$D$2427,$B15,'март 2025'!$J$5:$J$2427,L$1)</f>
        <v>0</v>
      </c>
      <c r="M15" s="76">
        <f>SUMIFS('март 2025'!$G$5:$G$2427,'март 2025'!$D$5:$D$2427,$B15,'март 2025'!$J$5:$J$2427,M$1)</f>
        <v>0</v>
      </c>
      <c r="N15" s="76">
        <f>SUMIFS('март 2025'!$G$5:$G$2427,'март 2025'!$D$5:$D$2427,$B15,'март 2025'!$J$5:$J$2427,N$1)</f>
        <v>0</v>
      </c>
      <c r="O15" s="76">
        <f>SUMIFS('март 2025'!$G$5:$G$2427,'март 2025'!$D$5:$D$2427,$B15,'март 2025'!$J$5:$J$2427,O$1)</f>
        <v>0</v>
      </c>
      <c r="P15" s="76">
        <f>SUMIFS('март 2025'!$G$5:$G$2427,'март 2025'!$D$5:$D$2427,$B15,'март 2025'!$J$5:$J$2427,P$1)</f>
        <v>0</v>
      </c>
      <c r="Q15" s="76">
        <f>SUMIFS('март 2025'!$G$5:$G$2427,'март 2025'!$D$5:$D$2427,$B15,'март 2025'!$J$5:$J$2427,Q$1)</f>
        <v>0</v>
      </c>
      <c r="R15" s="76">
        <f>SUMIFS('март 2025'!$G$5:$G$2427,'март 2025'!$D$5:$D$2427,$B15,'март 2025'!$J$5:$J$2427,R$1)</f>
        <v>0</v>
      </c>
      <c r="S15" s="76">
        <f>SUMIFS('март 2025'!$G$5:$G$2427,'март 2025'!$D$5:$D$2427,$B15,'март 2025'!$J$5:$J$2427,S$1)</f>
        <v>0</v>
      </c>
      <c r="T15" s="76">
        <f>SUMIFS('март 2025'!$G$5:$G$2427,'март 2025'!$D$5:$D$2427,$B15,'март 2025'!$J$5:$J$2427,T$1)</f>
        <v>0</v>
      </c>
      <c r="U15" s="76">
        <f>SUMIFS('март 2025'!$G$5:$G$2427,'март 2025'!$D$5:$D$2427,$B15,'март 2025'!$J$5:$J$2427,U$1)</f>
        <v>0</v>
      </c>
      <c r="V15" s="76">
        <f>SUMIFS('март 2025'!$G$5:$G$2427,'март 2025'!$D$5:$D$2427,$B15,'март 2025'!$J$5:$J$2427,V$1)</f>
        <v>0</v>
      </c>
      <c r="W15" s="76">
        <f>SUMIFS('март 2025'!$G$5:$G$2427,'март 2025'!$D$5:$D$2427,$B15,'март 2025'!$J$5:$J$2427,W$1)</f>
        <v>0</v>
      </c>
      <c r="X15" s="76">
        <f>SUMIFS('март 2025'!$G$5:$G$2427,'март 2025'!$D$5:$D$2427,$B15,'март 2025'!$J$5:$J$2427,X$1)</f>
        <v>0</v>
      </c>
      <c r="Y15" s="76">
        <f>SUMIFS('март 2025'!$G$5:$G$2427,'март 2025'!$D$5:$D$2427,$B15,'март 2025'!$J$5:$J$2427,Y$1)</f>
        <v>0</v>
      </c>
      <c r="Z15" s="76">
        <f>SUMIFS('март 2025'!$G$5:$G$2427,'март 2025'!$D$5:$D$2427,$B15,'март 2025'!$J$5:$J$2427,Z$1)</f>
        <v>0</v>
      </c>
      <c r="AA15" s="76">
        <f>SUMIFS('март 2025'!$G$5:$G$2427,'март 2025'!$D$5:$D$2427,$B15,'март 2025'!$J$5:$J$2427,AA$1)</f>
        <v>0</v>
      </c>
      <c r="AB15" s="76">
        <f>SUMIFS('март 2025'!$G$5:$G$2427,'март 2025'!$D$5:$D$2427,$B15,'март 2025'!$J$5:$J$2427,AB$1)</f>
        <v>0</v>
      </c>
      <c r="AC15" s="76">
        <f>SUMIFS('март 2025'!$G$5:$G$2427,'март 2025'!$D$5:$D$2427,$B15,'март 2025'!$J$5:$J$2427,AC$1)</f>
        <v>0</v>
      </c>
      <c r="AD15" s="76">
        <f>SUMIFS('март 2025'!$G$5:$G$2427,'март 2025'!$D$5:$D$2427,$B15,'март 2025'!$J$5:$J$2427,AD$1)</f>
        <v>0</v>
      </c>
      <c r="AE15" s="76">
        <f>SUMIFS('март 2025'!$G$5:$G$2427,'март 2025'!$D$5:$D$2427,$B15,'март 2025'!$J$5:$J$2427,AE$1)</f>
        <v>0</v>
      </c>
      <c r="AF15" s="76">
        <f>SUMIFS('март 2025'!$G$5:$G$2427,'март 2025'!$D$5:$D$2427,$B15,'март 2025'!$J$5:$J$2427,AF$1)</f>
        <v>0</v>
      </c>
      <c r="AG15" s="76">
        <f>SUMIFS('март 2025'!$G$5:$G$2427,'март 2025'!$D$5:$D$2427,$B15,'март 2025'!$J$5:$J$2427,AG$1)</f>
        <v>0</v>
      </c>
      <c r="AH15" s="76">
        <f>SUMIFS('март 2025'!$G$5:$G$2427,'март 2025'!$D$5:$D$2427,$B15,'март 2025'!$J$5:$J$2427,AH$1)</f>
        <v>0</v>
      </c>
      <c r="AI15" s="20">
        <f t="shared" si="1"/>
        <v>0</v>
      </c>
    </row>
    <row r="16" spans="2:35" ht="15" customHeight="1" x14ac:dyDescent="0.25">
      <c r="B16" s="77" t="s">
        <v>233</v>
      </c>
      <c r="C16" s="78">
        <v>22.7</v>
      </c>
      <c r="D16" s="76">
        <f>SUMIFS('март 2025'!$G$5:$G$2427,'март 2025'!$D$5:$D$2427,$B16,'март 2025'!$J$5:$J$2427,D$1)</f>
        <v>0</v>
      </c>
      <c r="E16" s="76">
        <f>SUMIFS('март 2025'!$G$5:$G$2427,'март 2025'!$D$5:$D$2427,$B16,'март 2025'!$J$5:$J$2427,E$1)</f>
        <v>0</v>
      </c>
      <c r="F16" s="76">
        <f>SUMIFS('март 2025'!$G$5:$G$2427,'март 2025'!$D$5:$D$2427,$B16,'март 2025'!$J$5:$J$2427,F$1)</f>
        <v>0</v>
      </c>
      <c r="G16" s="76">
        <f>SUMIFS('март 2025'!$G$5:$G$2427,'март 2025'!$D$5:$D$2427,$B16,'март 2025'!$J$5:$J$2427,G$1)</f>
        <v>0</v>
      </c>
      <c r="H16" s="76">
        <f>SUMIFS('март 2025'!$G$5:$G$2427,'март 2025'!$D$5:$D$2427,$B16,'март 2025'!$J$5:$J$2427,H$1)</f>
        <v>0</v>
      </c>
      <c r="I16" s="76">
        <f>SUMIFS('март 2025'!$G$5:$G$2427,'март 2025'!$D$5:$D$2427,$B16,'март 2025'!$J$5:$J$2427,I$1)</f>
        <v>0</v>
      </c>
      <c r="J16" s="76">
        <f>SUMIFS('март 2025'!$G$5:$G$2427,'март 2025'!$D$5:$D$2427,$B16,'март 2025'!$J$5:$J$2427,J$1)</f>
        <v>0</v>
      </c>
      <c r="K16" s="76">
        <f>SUMIFS('март 2025'!$G$5:$G$2427,'март 2025'!$D$5:$D$2427,$B16,'март 2025'!$J$5:$J$2427,K$1)</f>
        <v>0</v>
      </c>
      <c r="L16" s="76">
        <f>SUMIFS('март 2025'!$G$5:$G$2427,'март 2025'!$D$5:$D$2427,$B16,'март 2025'!$J$5:$J$2427,L$1)</f>
        <v>0</v>
      </c>
      <c r="M16" s="76">
        <f>SUMIFS('март 2025'!$G$5:$G$2427,'март 2025'!$D$5:$D$2427,$B16,'март 2025'!$J$5:$J$2427,M$1)</f>
        <v>0</v>
      </c>
      <c r="N16" s="76">
        <f>SUMIFS('март 2025'!$G$5:$G$2427,'март 2025'!$D$5:$D$2427,$B16,'март 2025'!$J$5:$J$2427,N$1)</f>
        <v>0</v>
      </c>
      <c r="O16" s="76">
        <f>SUMIFS('март 2025'!$G$5:$G$2427,'март 2025'!$D$5:$D$2427,$B16,'март 2025'!$J$5:$J$2427,O$1)</f>
        <v>0</v>
      </c>
      <c r="P16" s="76">
        <f>SUMIFS('март 2025'!$G$5:$G$2427,'март 2025'!$D$5:$D$2427,$B16,'март 2025'!$J$5:$J$2427,P$1)</f>
        <v>0</v>
      </c>
      <c r="Q16" s="76">
        <f>SUMIFS('март 2025'!$G$5:$G$2427,'март 2025'!$D$5:$D$2427,$B16,'март 2025'!$J$5:$J$2427,Q$1)</f>
        <v>0</v>
      </c>
      <c r="R16" s="76">
        <f>SUMIFS('март 2025'!$G$5:$G$2427,'март 2025'!$D$5:$D$2427,$B16,'март 2025'!$J$5:$J$2427,R$1)</f>
        <v>0</v>
      </c>
      <c r="S16" s="76">
        <f>SUMIFS('март 2025'!$G$5:$G$2427,'март 2025'!$D$5:$D$2427,$B16,'март 2025'!$J$5:$J$2427,S$1)</f>
        <v>0</v>
      </c>
      <c r="T16" s="76">
        <f>SUMIFS('март 2025'!$G$5:$G$2427,'март 2025'!$D$5:$D$2427,$B16,'март 2025'!$J$5:$J$2427,T$1)</f>
        <v>0</v>
      </c>
      <c r="U16" s="76">
        <f>SUMIFS('март 2025'!$G$5:$G$2427,'март 2025'!$D$5:$D$2427,$B16,'март 2025'!$J$5:$J$2427,U$1)</f>
        <v>0</v>
      </c>
      <c r="V16" s="76">
        <f>SUMIFS('март 2025'!$G$5:$G$2427,'март 2025'!$D$5:$D$2427,$B16,'март 2025'!$J$5:$J$2427,V$1)</f>
        <v>0</v>
      </c>
      <c r="W16" s="76">
        <f>SUMIFS('март 2025'!$G$5:$G$2427,'март 2025'!$D$5:$D$2427,$B16,'март 2025'!$J$5:$J$2427,W$1)</f>
        <v>0</v>
      </c>
      <c r="X16" s="76">
        <f>SUMIFS('март 2025'!$G$5:$G$2427,'март 2025'!$D$5:$D$2427,$B16,'март 2025'!$J$5:$J$2427,X$1)</f>
        <v>0</v>
      </c>
      <c r="Y16" s="76">
        <f>SUMIFS('март 2025'!$G$5:$G$2427,'март 2025'!$D$5:$D$2427,$B16,'март 2025'!$J$5:$J$2427,Y$1)</f>
        <v>0</v>
      </c>
      <c r="Z16" s="76">
        <f>SUMIFS('март 2025'!$G$5:$G$2427,'март 2025'!$D$5:$D$2427,$B16,'март 2025'!$J$5:$J$2427,Z$1)</f>
        <v>0</v>
      </c>
      <c r="AA16" s="76">
        <f>SUMIFS('март 2025'!$G$5:$G$2427,'март 2025'!$D$5:$D$2427,$B16,'март 2025'!$J$5:$J$2427,AA$1)</f>
        <v>0</v>
      </c>
      <c r="AB16" s="76">
        <f>SUMIFS('март 2025'!$G$5:$G$2427,'март 2025'!$D$5:$D$2427,$B16,'март 2025'!$J$5:$J$2427,AB$1)</f>
        <v>0</v>
      </c>
      <c r="AC16" s="76">
        <f>SUMIFS('март 2025'!$G$5:$G$2427,'март 2025'!$D$5:$D$2427,$B16,'март 2025'!$J$5:$J$2427,AC$1)</f>
        <v>0</v>
      </c>
      <c r="AD16" s="76">
        <f>SUMIFS('март 2025'!$G$5:$G$2427,'март 2025'!$D$5:$D$2427,$B16,'март 2025'!$J$5:$J$2427,AD$1)</f>
        <v>0</v>
      </c>
      <c r="AE16" s="76">
        <f>SUMIFS('март 2025'!$G$5:$G$2427,'март 2025'!$D$5:$D$2427,$B16,'март 2025'!$J$5:$J$2427,AE$1)</f>
        <v>0</v>
      </c>
      <c r="AF16" s="76">
        <f>SUMIFS('март 2025'!$G$5:$G$2427,'март 2025'!$D$5:$D$2427,$B16,'март 2025'!$J$5:$J$2427,AF$1)</f>
        <v>0</v>
      </c>
      <c r="AG16" s="76">
        <f>SUMIFS('март 2025'!$G$5:$G$2427,'март 2025'!$D$5:$D$2427,$B16,'март 2025'!$J$5:$J$2427,AG$1)</f>
        <v>0</v>
      </c>
      <c r="AH16" s="76">
        <f>SUMIFS('март 2025'!$G$5:$G$2427,'март 2025'!$D$5:$D$2427,$B16,'март 2025'!$J$5:$J$2427,AH$1)</f>
        <v>0</v>
      </c>
      <c r="AI16" s="20">
        <f t="shared" si="1"/>
        <v>0</v>
      </c>
    </row>
    <row r="17" spans="2:35" ht="15" customHeight="1" x14ac:dyDescent="0.25">
      <c r="B17" s="80" t="s">
        <v>235</v>
      </c>
      <c r="C17" s="81">
        <v>22.7</v>
      </c>
      <c r="D17" s="76">
        <f>SUMIFS('март 2025'!$G$5:$G$2427,'март 2025'!$D$5:$D$2427,$B17,'март 2025'!$J$5:$J$2427,D$1)</f>
        <v>0</v>
      </c>
      <c r="E17" s="76">
        <f>SUMIFS('март 2025'!$G$5:$G$2427,'март 2025'!$D$5:$D$2427,$B17,'март 2025'!$J$5:$J$2427,E$1)</f>
        <v>0</v>
      </c>
      <c r="F17" s="76">
        <f>SUMIFS('март 2025'!$G$5:$G$2427,'март 2025'!$D$5:$D$2427,$B17,'март 2025'!$J$5:$J$2427,F$1)</f>
        <v>0</v>
      </c>
      <c r="G17" s="76">
        <f>SUMIFS('март 2025'!$G$5:$G$2427,'март 2025'!$D$5:$D$2427,$B17,'март 2025'!$J$5:$J$2427,G$1)</f>
        <v>0</v>
      </c>
      <c r="H17" s="76">
        <f>SUMIFS('март 2025'!$G$5:$G$2427,'март 2025'!$D$5:$D$2427,$B17,'март 2025'!$J$5:$J$2427,H$1)</f>
        <v>0</v>
      </c>
      <c r="I17" s="76">
        <f>SUMIFS('март 2025'!$G$5:$G$2427,'март 2025'!$D$5:$D$2427,$B17,'март 2025'!$J$5:$J$2427,I$1)</f>
        <v>0</v>
      </c>
      <c r="J17" s="76">
        <f>SUMIFS('март 2025'!$G$5:$G$2427,'март 2025'!$D$5:$D$2427,$B17,'март 2025'!$J$5:$J$2427,J$1)</f>
        <v>0</v>
      </c>
      <c r="K17" s="76">
        <f>SUMIFS('март 2025'!$G$5:$G$2427,'март 2025'!$D$5:$D$2427,$B17,'март 2025'!$J$5:$J$2427,K$1)</f>
        <v>0</v>
      </c>
      <c r="L17" s="76">
        <f>SUMIFS('март 2025'!$G$5:$G$2427,'март 2025'!$D$5:$D$2427,$B17,'март 2025'!$J$5:$J$2427,L$1)</f>
        <v>0</v>
      </c>
      <c r="M17" s="76">
        <f>SUMIFS('март 2025'!$G$5:$G$2427,'март 2025'!$D$5:$D$2427,$B17,'март 2025'!$J$5:$J$2427,M$1)</f>
        <v>0</v>
      </c>
      <c r="N17" s="76">
        <f>SUMIFS('март 2025'!$G$5:$G$2427,'март 2025'!$D$5:$D$2427,$B17,'март 2025'!$J$5:$J$2427,N$1)</f>
        <v>0</v>
      </c>
      <c r="O17" s="76">
        <f>SUMIFS('март 2025'!$G$5:$G$2427,'март 2025'!$D$5:$D$2427,$B17,'март 2025'!$J$5:$J$2427,O$1)</f>
        <v>0</v>
      </c>
      <c r="P17" s="76">
        <f>SUMIFS('март 2025'!$G$5:$G$2427,'март 2025'!$D$5:$D$2427,$B17,'март 2025'!$J$5:$J$2427,P$1)</f>
        <v>0</v>
      </c>
      <c r="Q17" s="76">
        <f>SUMIFS('март 2025'!$G$5:$G$2427,'март 2025'!$D$5:$D$2427,$B17,'март 2025'!$J$5:$J$2427,Q$1)</f>
        <v>0</v>
      </c>
      <c r="R17" s="76">
        <f>SUMIFS('март 2025'!$G$5:$G$2427,'март 2025'!$D$5:$D$2427,$B17,'март 2025'!$J$5:$J$2427,R$1)</f>
        <v>0</v>
      </c>
      <c r="S17" s="76">
        <f>SUMIFS('март 2025'!$G$5:$G$2427,'март 2025'!$D$5:$D$2427,$B17,'март 2025'!$J$5:$J$2427,S$1)</f>
        <v>0</v>
      </c>
      <c r="T17" s="76">
        <f>SUMIFS('март 2025'!$G$5:$G$2427,'март 2025'!$D$5:$D$2427,$B17,'март 2025'!$J$5:$J$2427,T$1)</f>
        <v>0</v>
      </c>
      <c r="U17" s="76">
        <f>SUMIFS('март 2025'!$G$5:$G$2427,'март 2025'!$D$5:$D$2427,$B17,'март 2025'!$J$5:$J$2427,U$1)</f>
        <v>0</v>
      </c>
      <c r="V17" s="76">
        <f>SUMIFS('март 2025'!$G$5:$G$2427,'март 2025'!$D$5:$D$2427,$B17,'март 2025'!$J$5:$J$2427,V$1)</f>
        <v>0</v>
      </c>
      <c r="W17" s="76">
        <f>SUMIFS('март 2025'!$G$5:$G$2427,'март 2025'!$D$5:$D$2427,$B17,'март 2025'!$J$5:$J$2427,W$1)</f>
        <v>0</v>
      </c>
      <c r="X17" s="76">
        <f>SUMIFS('март 2025'!$G$5:$G$2427,'март 2025'!$D$5:$D$2427,$B17,'март 2025'!$J$5:$J$2427,X$1)</f>
        <v>0</v>
      </c>
      <c r="Y17" s="76">
        <f>SUMIFS('март 2025'!$G$5:$G$2427,'март 2025'!$D$5:$D$2427,$B17,'март 2025'!$J$5:$J$2427,Y$1)</f>
        <v>0</v>
      </c>
      <c r="Z17" s="76">
        <f>SUMIFS('март 2025'!$G$5:$G$2427,'март 2025'!$D$5:$D$2427,$B17,'март 2025'!$J$5:$J$2427,Z$1)</f>
        <v>0</v>
      </c>
      <c r="AA17" s="76">
        <f>SUMIFS('март 2025'!$G$5:$G$2427,'март 2025'!$D$5:$D$2427,$B17,'март 2025'!$J$5:$J$2427,AA$1)</f>
        <v>0</v>
      </c>
      <c r="AB17" s="76">
        <f>SUMIFS('март 2025'!$G$5:$G$2427,'март 2025'!$D$5:$D$2427,$B17,'март 2025'!$J$5:$J$2427,AB$1)</f>
        <v>0</v>
      </c>
      <c r="AC17" s="76">
        <f>SUMIFS('март 2025'!$G$5:$G$2427,'март 2025'!$D$5:$D$2427,$B17,'март 2025'!$J$5:$J$2427,AC$1)</f>
        <v>0</v>
      </c>
      <c r="AD17" s="76">
        <f>SUMIFS('март 2025'!$G$5:$G$2427,'март 2025'!$D$5:$D$2427,$B17,'март 2025'!$J$5:$J$2427,AD$1)</f>
        <v>0</v>
      </c>
      <c r="AE17" s="76">
        <f>SUMIFS('март 2025'!$G$5:$G$2427,'март 2025'!$D$5:$D$2427,$B17,'март 2025'!$J$5:$J$2427,AE$1)</f>
        <v>0</v>
      </c>
      <c r="AF17" s="76">
        <f>SUMIFS('март 2025'!$G$5:$G$2427,'март 2025'!$D$5:$D$2427,$B17,'март 2025'!$J$5:$J$2427,AF$1)</f>
        <v>0</v>
      </c>
      <c r="AG17" s="76">
        <f>SUMIFS('март 2025'!$G$5:$G$2427,'март 2025'!$D$5:$D$2427,$B17,'март 2025'!$J$5:$J$2427,AG$1)</f>
        <v>0</v>
      </c>
      <c r="AH17" s="76">
        <f>SUMIFS('март 2025'!$G$5:$G$2427,'март 2025'!$D$5:$D$2427,$B17,'март 2025'!$J$5:$J$2427,AH$1)</f>
        <v>0</v>
      </c>
      <c r="AI17" s="20">
        <f t="shared" si="1"/>
        <v>0</v>
      </c>
    </row>
    <row r="18" spans="2:35" ht="15" customHeight="1" x14ac:dyDescent="0.25">
      <c r="B18" s="80" t="s">
        <v>237</v>
      </c>
      <c r="C18" s="81">
        <v>25</v>
      </c>
      <c r="D18" s="76">
        <f>SUMIFS('март 2025'!$G$5:$G$2427,'март 2025'!$D$5:$D$2427,$B18,'март 2025'!$J$5:$J$2427,D$1)</f>
        <v>0</v>
      </c>
      <c r="E18" s="76">
        <f>SUMIFS('март 2025'!$G$5:$G$2427,'март 2025'!$D$5:$D$2427,$B18,'март 2025'!$J$5:$J$2427,E$1)</f>
        <v>0</v>
      </c>
      <c r="F18" s="76">
        <f>SUMIFS('март 2025'!$G$5:$G$2427,'март 2025'!$D$5:$D$2427,$B18,'март 2025'!$J$5:$J$2427,F$1)</f>
        <v>800</v>
      </c>
      <c r="G18" s="76">
        <f>SUMIFS('март 2025'!$G$5:$G$2427,'март 2025'!$D$5:$D$2427,$B18,'март 2025'!$J$5:$J$2427,G$1)</f>
        <v>0</v>
      </c>
      <c r="H18" s="76">
        <f>SUMIFS('март 2025'!$G$5:$G$2427,'март 2025'!$D$5:$D$2427,$B18,'март 2025'!$J$5:$J$2427,H$1)</f>
        <v>0</v>
      </c>
      <c r="I18" s="76">
        <f>SUMIFS('март 2025'!$G$5:$G$2427,'март 2025'!$D$5:$D$2427,$B18,'март 2025'!$J$5:$J$2427,I$1)</f>
        <v>0</v>
      </c>
      <c r="J18" s="76">
        <f>SUMIFS('март 2025'!$G$5:$G$2427,'март 2025'!$D$5:$D$2427,$B18,'март 2025'!$J$5:$J$2427,J$1)</f>
        <v>0</v>
      </c>
      <c r="K18" s="76">
        <f>SUMIFS('март 2025'!$G$5:$G$2427,'март 2025'!$D$5:$D$2427,$B18,'март 2025'!$J$5:$J$2427,K$1)</f>
        <v>0</v>
      </c>
      <c r="L18" s="76">
        <f>SUMIFS('март 2025'!$G$5:$G$2427,'март 2025'!$D$5:$D$2427,$B18,'март 2025'!$J$5:$J$2427,L$1)</f>
        <v>0</v>
      </c>
      <c r="M18" s="76">
        <f>SUMIFS('март 2025'!$G$5:$G$2427,'март 2025'!$D$5:$D$2427,$B18,'март 2025'!$J$5:$J$2427,M$1)</f>
        <v>800</v>
      </c>
      <c r="N18" s="76">
        <f>SUMIFS('март 2025'!$G$5:$G$2427,'март 2025'!$D$5:$D$2427,$B18,'март 2025'!$J$5:$J$2427,N$1)</f>
        <v>0</v>
      </c>
      <c r="O18" s="76">
        <f>SUMIFS('март 2025'!$G$5:$G$2427,'март 2025'!$D$5:$D$2427,$B18,'март 2025'!$J$5:$J$2427,O$1)</f>
        <v>0</v>
      </c>
      <c r="P18" s="76">
        <f>SUMIFS('март 2025'!$G$5:$G$2427,'март 2025'!$D$5:$D$2427,$B18,'март 2025'!$J$5:$J$2427,P$1)</f>
        <v>800</v>
      </c>
      <c r="Q18" s="76">
        <f>SUMIFS('март 2025'!$G$5:$G$2427,'март 2025'!$D$5:$D$2427,$B18,'март 2025'!$J$5:$J$2427,Q$1)</f>
        <v>0</v>
      </c>
      <c r="R18" s="76">
        <f>SUMIFS('март 2025'!$G$5:$G$2427,'март 2025'!$D$5:$D$2427,$B18,'март 2025'!$J$5:$J$2427,R$1)</f>
        <v>0</v>
      </c>
      <c r="S18" s="76">
        <f>SUMIFS('март 2025'!$G$5:$G$2427,'март 2025'!$D$5:$D$2427,$B18,'март 2025'!$J$5:$J$2427,S$1)</f>
        <v>0</v>
      </c>
      <c r="T18" s="76">
        <f>SUMIFS('март 2025'!$G$5:$G$2427,'март 2025'!$D$5:$D$2427,$B18,'март 2025'!$J$5:$J$2427,T$1)</f>
        <v>0</v>
      </c>
      <c r="U18" s="76">
        <f>SUMIFS('март 2025'!$G$5:$G$2427,'март 2025'!$D$5:$D$2427,$B18,'март 2025'!$J$5:$J$2427,U$1)</f>
        <v>800</v>
      </c>
      <c r="V18" s="76">
        <f>SUMIFS('март 2025'!$G$5:$G$2427,'март 2025'!$D$5:$D$2427,$B18,'март 2025'!$J$5:$J$2427,V$1)</f>
        <v>800</v>
      </c>
      <c r="W18" s="76">
        <f>SUMIFS('март 2025'!$G$5:$G$2427,'март 2025'!$D$5:$D$2427,$B18,'март 2025'!$J$5:$J$2427,W$1)</f>
        <v>0</v>
      </c>
      <c r="X18" s="76">
        <f>SUMIFS('март 2025'!$G$5:$G$2427,'март 2025'!$D$5:$D$2427,$B18,'март 2025'!$J$5:$J$2427,X$1)</f>
        <v>0</v>
      </c>
      <c r="Y18" s="76">
        <f>SUMIFS('март 2025'!$G$5:$G$2427,'март 2025'!$D$5:$D$2427,$B18,'март 2025'!$J$5:$J$2427,Y$1)</f>
        <v>0</v>
      </c>
      <c r="Z18" s="76">
        <f>SUMIFS('март 2025'!$G$5:$G$2427,'март 2025'!$D$5:$D$2427,$B18,'март 2025'!$J$5:$J$2427,Z$1)</f>
        <v>0</v>
      </c>
      <c r="AA18" s="76">
        <f>SUMIFS('март 2025'!$G$5:$G$2427,'март 2025'!$D$5:$D$2427,$B18,'март 2025'!$J$5:$J$2427,AA$1)</f>
        <v>0</v>
      </c>
      <c r="AB18" s="76">
        <f>SUMIFS('март 2025'!$G$5:$G$2427,'март 2025'!$D$5:$D$2427,$B18,'март 2025'!$J$5:$J$2427,AB$1)</f>
        <v>800</v>
      </c>
      <c r="AC18" s="76">
        <f>SUMIFS('март 2025'!$G$5:$G$2427,'март 2025'!$D$5:$D$2427,$B18,'март 2025'!$J$5:$J$2427,AC$1)</f>
        <v>800</v>
      </c>
      <c r="AD18" s="76">
        <f>SUMIFS('март 2025'!$G$5:$G$2427,'март 2025'!$D$5:$D$2427,$B18,'март 2025'!$J$5:$J$2427,AD$1)</f>
        <v>0</v>
      </c>
      <c r="AE18" s="76">
        <f>SUMIFS('март 2025'!$G$5:$G$2427,'март 2025'!$D$5:$D$2427,$B18,'март 2025'!$J$5:$J$2427,AE$1)</f>
        <v>0</v>
      </c>
      <c r="AF18" s="76">
        <f>SUMIFS('март 2025'!$G$5:$G$2427,'март 2025'!$D$5:$D$2427,$B18,'март 2025'!$J$5:$J$2427,AF$1)</f>
        <v>0</v>
      </c>
      <c r="AG18" s="76">
        <f>SUMIFS('март 2025'!$G$5:$G$2427,'март 2025'!$D$5:$D$2427,$B18,'март 2025'!$J$5:$J$2427,AG$1)</f>
        <v>0</v>
      </c>
      <c r="AH18" s="76">
        <f>SUMIFS('март 2025'!$G$5:$G$2427,'март 2025'!$D$5:$D$2427,$B18,'март 2025'!$J$5:$J$2427,AH$1)</f>
        <v>0</v>
      </c>
      <c r="AI18" s="20">
        <f t="shared" si="1"/>
        <v>5600</v>
      </c>
    </row>
    <row r="19" spans="2:35" ht="15" customHeight="1" x14ac:dyDescent="0.25">
      <c r="B19" s="77" t="s">
        <v>239</v>
      </c>
      <c r="C19" s="78">
        <v>25</v>
      </c>
      <c r="D19" s="76">
        <f>SUMIFS('март 2025'!$G$5:$G$2427,'март 2025'!$D$5:$D$2427,$B19,'март 2025'!$J$5:$J$2427,D$1)</f>
        <v>0</v>
      </c>
      <c r="E19" s="76">
        <f>SUMIFS('март 2025'!$G$5:$G$2427,'март 2025'!$D$5:$D$2427,$B19,'март 2025'!$J$5:$J$2427,E$1)</f>
        <v>0</v>
      </c>
      <c r="F19" s="76">
        <f>SUMIFS('март 2025'!$G$5:$G$2427,'март 2025'!$D$5:$D$2427,$B19,'март 2025'!$J$5:$J$2427,F$1)</f>
        <v>0</v>
      </c>
      <c r="G19" s="76">
        <f>SUMIFS('март 2025'!$G$5:$G$2427,'март 2025'!$D$5:$D$2427,$B19,'март 2025'!$J$5:$J$2427,G$1)</f>
        <v>0</v>
      </c>
      <c r="H19" s="76">
        <f>SUMIFS('март 2025'!$G$5:$G$2427,'март 2025'!$D$5:$D$2427,$B19,'март 2025'!$J$5:$J$2427,H$1)</f>
        <v>0</v>
      </c>
      <c r="I19" s="76">
        <f>SUMIFS('март 2025'!$G$5:$G$2427,'март 2025'!$D$5:$D$2427,$B19,'март 2025'!$J$5:$J$2427,I$1)</f>
        <v>0</v>
      </c>
      <c r="J19" s="76">
        <f>SUMIFS('март 2025'!$G$5:$G$2427,'март 2025'!$D$5:$D$2427,$B19,'март 2025'!$J$5:$J$2427,J$1)</f>
        <v>0</v>
      </c>
      <c r="K19" s="76">
        <f>SUMIFS('март 2025'!$G$5:$G$2427,'март 2025'!$D$5:$D$2427,$B19,'март 2025'!$J$5:$J$2427,K$1)</f>
        <v>0</v>
      </c>
      <c r="L19" s="76">
        <f>SUMIFS('март 2025'!$G$5:$G$2427,'март 2025'!$D$5:$D$2427,$B19,'март 2025'!$J$5:$J$2427,L$1)</f>
        <v>0</v>
      </c>
      <c r="M19" s="76">
        <f>SUMIFS('март 2025'!$G$5:$G$2427,'март 2025'!$D$5:$D$2427,$B19,'март 2025'!$J$5:$J$2427,M$1)</f>
        <v>0</v>
      </c>
      <c r="N19" s="76">
        <f>SUMIFS('март 2025'!$G$5:$G$2427,'март 2025'!$D$5:$D$2427,$B19,'март 2025'!$J$5:$J$2427,N$1)</f>
        <v>0</v>
      </c>
      <c r="O19" s="76">
        <f>SUMIFS('март 2025'!$G$5:$G$2427,'март 2025'!$D$5:$D$2427,$B19,'март 2025'!$J$5:$J$2427,O$1)</f>
        <v>0</v>
      </c>
      <c r="P19" s="76">
        <f>SUMIFS('март 2025'!$G$5:$G$2427,'март 2025'!$D$5:$D$2427,$B19,'март 2025'!$J$5:$J$2427,P$1)</f>
        <v>0</v>
      </c>
      <c r="Q19" s="76">
        <f>SUMIFS('март 2025'!$G$5:$G$2427,'март 2025'!$D$5:$D$2427,$B19,'март 2025'!$J$5:$J$2427,Q$1)</f>
        <v>0</v>
      </c>
      <c r="R19" s="76">
        <f>SUMIFS('март 2025'!$G$5:$G$2427,'март 2025'!$D$5:$D$2427,$B19,'март 2025'!$J$5:$J$2427,R$1)</f>
        <v>0</v>
      </c>
      <c r="S19" s="76">
        <f>SUMIFS('март 2025'!$G$5:$G$2427,'март 2025'!$D$5:$D$2427,$B19,'март 2025'!$J$5:$J$2427,S$1)</f>
        <v>0</v>
      </c>
      <c r="T19" s="76">
        <f>SUMIFS('март 2025'!$G$5:$G$2427,'март 2025'!$D$5:$D$2427,$B19,'март 2025'!$J$5:$J$2427,T$1)</f>
        <v>0</v>
      </c>
      <c r="U19" s="76">
        <f>SUMIFS('март 2025'!$G$5:$G$2427,'март 2025'!$D$5:$D$2427,$B19,'март 2025'!$J$5:$J$2427,U$1)</f>
        <v>0</v>
      </c>
      <c r="V19" s="76">
        <f>SUMIFS('март 2025'!$G$5:$G$2427,'март 2025'!$D$5:$D$2427,$B19,'март 2025'!$J$5:$J$2427,V$1)</f>
        <v>0</v>
      </c>
      <c r="W19" s="76">
        <f>SUMIFS('март 2025'!$G$5:$G$2427,'март 2025'!$D$5:$D$2427,$B19,'март 2025'!$J$5:$J$2427,W$1)</f>
        <v>0</v>
      </c>
      <c r="X19" s="76">
        <f>SUMIFS('март 2025'!$G$5:$G$2427,'март 2025'!$D$5:$D$2427,$B19,'март 2025'!$J$5:$J$2427,X$1)</f>
        <v>0</v>
      </c>
      <c r="Y19" s="76">
        <f>SUMIFS('март 2025'!$G$5:$G$2427,'март 2025'!$D$5:$D$2427,$B19,'март 2025'!$J$5:$J$2427,Y$1)</f>
        <v>0</v>
      </c>
      <c r="Z19" s="76">
        <f>SUMIFS('март 2025'!$G$5:$G$2427,'март 2025'!$D$5:$D$2427,$B19,'март 2025'!$J$5:$J$2427,Z$1)</f>
        <v>0</v>
      </c>
      <c r="AA19" s="76">
        <f>SUMIFS('март 2025'!$G$5:$G$2427,'март 2025'!$D$5:$D$2427,$B19,'март 2025'!$J$5:$J$2427,AA$1)</f>
        <v>800</v>
      </c>
      <c r="AB19" s="76">
        <f>SUMIFS('март 2025'!$G$5:$G$2427,'март 2025'!$D$5:$D$2427,$B19,'март 2025'!$J$5:$J$2427,AB$1)</f>
        <v>0</v>
      </c>
      <c r="AC19" s="76">
        <f>SUMIFS('март 2025'!$G$5:$G$2427,'март 2025'!$D$5:$D$2427,$B19,'март 2025'!$J$5:$J$2427,AC$1)</f>
        <v>0</v>
      </c>
      <c r="AD19" s="76">
        <f>SUMIFS('март 2025'!$G$5:$G$2427,'март 2025'!$D$5:$D$2427,$B19,'март 2025'!$J$5:$J$2427,AD$1)</f>
        <v>0</v>
      </c>
      <c r="AE19" s="76">
        <f>SUMIFS('март 2025'!$G$5:$G$2427,'март 2025'!$D$5:$D$2427,$B19,'март 2025'!$J$5:$J$2427,AE$1)</f>
        <v>0</v>
      </c>
      <c r="AF19" s="76">
        <f>SUMIFS('март 2025'!$G$5:$G$2427,'март 2025'!$D$5:$D$2427,$B19,'март 2025'!$J$5:$J$2427,AF$1)</f>
        <v>0</v>
      </c>
      <c r="AG19" s="76">
        <f>SUMIFS('март 2025'!$G$5:$G$2427,'март 2025'!$D$5:$D$2427,$B19,'март 2025'!$J$5:$J$2427,AG$1)</f>
        <v>0</v>
      </c>
      <c r="AH19" s="76">
        <f>SUMIFS('март 2025'!$G$5:$G$2427,'март 2025'!$D$5:$D$2427,$B19,'март 2025'!$J$5:$J$2427,AH$1)</f>
        <v>0</v>
      </c>
      <c r="AI19" s="20">
        <f t="shared" si="1"/>
        <v>800</v>
      </c>
    </row>
    <row r="20" spans="2:35" ht="15" customHeight="1" x14ac:dyDescent="0.25">
      <c r="B20" s="77" t="s">
        <v>241</v>
      </c>
      <c r="C20" s="78">
        <v>25</v>
      </c>
      <c r="D20" s="76">
        <f>SUMIFS('март 2025'!$G$5:$G$2427,'март 2025'!$D$5:$D$2427,$B20,'март 2025'!$J$5:$J$2427,D$1)</f>
        <v>0</v>
      </c>
      <c r="E20" s="76">
        <f>SUMIFS('март 2025'!$G$5:$G$2427,'март 2025'!$D$5:$D$2427,$B20,'март 2025'!$J$5:$J$2427,E$1)</f>
        <v>0</v>
      </c>
      <c r="F20" s="76">
        <f>SUMIFS('март 2025'!$G$5:$G$2427,'март 2025'!$D$5:$D$2427,$B20,'март 2025'!$J$5:$J$2427,F$1)</f>
        <v>0</v>
      </c>
      <c r="G20" s="76">
        <f>SUMIFS('март 2025'!$G$5:$G$2427,'март 2025'!$D$5:$D$2427,$B20,'март 2025'!$J$5:$J$2427,G$1)</f>
        <v>0</v>
      </c>
      <c r="H20" s="76">
        <f>SUMIFS('март 2025'!$G$5:$G$2427,'март 2025'!$D$5:$D$2427,$B20,'март 2025'!$J$5:$J$2427,H$1)</f>
        <v>0</v>
      </c>
      <c r="I20" s="76">
        <f>SUMIFS('март 2025'!$G$5:$G$2427,'март 2025'!$D$5:$D$2427,$B20,'март 2025'!$J$5:$J$2427,I$1)</f>
        <v>0</v>
      </c>
      <c r="J20" s="76">
        <f>SUMIFS('март 2025'!$G$5:$G$2427,'март 2025'!$D$5:$D$2427,$B20,'март 2025'!$J$5:$J$2427,J$1)</f>
        <v>0</v>
      </c>
      <c r="K20" s="76">
        <f>SUMIFS('март 2025'!$G$5:$G$2427,'март 2025'!$D$5:$D$2427,$B20,'март 2025'!$J$5:$J$2427,K$1)</f>
        <v>0</v>
      </c>
      <c r="L20" s="76">
        <f>SUMIFS('март 2025'!$G$5:$G$2427,'март 2025'!$D$5:$D$2427,$B20,'март 2025'!$J$5:$J$2427,L$1)</f>
        <v>0</v>
      </c>
      <c r="M20" s="76">
        <f>SUMIFS('март 2025'!$G$5:$G$2427,'март 2025'!$D$5:$D$2427,$B20,'март 2025'!$J$5:$J$2427,M$1)</f>
        <v>0</v>
      </c>
      <c r="N20" s="76">
        <f>SUMIFS('март 2025'!$G$5:$G$2427,'март 2025'!$D$5:$D$2427,$B20,'март 2025'!$J$5:$J$2427,N$1)</f>
        <v>0</v>
      </c>
      <c r="O20" s="76">
        <f>SUMIFS('март 2025'!$G$5:$G$2427,'март 2025'!$D$5:$D$2427,$B20,'март 2025'!$J$5:$J$2427,O$1)</f>
        <v>0</v>
      </c>
      <c r="P20" s="76">
        <f>SUMIFS('март 2025'!$G$5:$G$2427,'март 2025'!$D$5:$D$2427,$B20,'март 2025'!$J$5:$J$2427,P$1)</f>
        <v>0</v>
      </c>
      <c r="Q20" s="76">
        <f>SUMIFS('март 2025'!$G$5:$G$2427,'март 2025'!$D$5:$D$2427,$B20,'март 2025'!$J$5:$J$2427,Q$1)</f>
        <v>0</v>
      </c>
      <c r="R20" s="76">
        <f>SUMIFS('март 2025'!$G$5:$G$2427,'март 2025'!$D$5:$D$2427,$B20,'март 2025'!$J$5:$J$2427,R$1)</f>
        <v>0</v>
      </c>
      <c r="S20" s="76">
        <f>SUMIFS('март 2025'!$G$5:$G$2427,'март 2025'!$D$5:$D$2427,$B20,'март 2025'!$J$5:$J$2427,S$1)</f>
        <v>0</v>
      </c>
      <c r="T20" s="76">
        <f>SUMIFS('март 2025'!$G$5:$G$2427,'март 2025'!$D$5:$D$2427,$B20,'март 2025'!$J$5:$J$2427,T$1)</f>
        <v>0</v>
      </c>
      <c r="U20" s="76">
        <f>SUMIFS('март 2025'!$G$5:$G$2427,'март 2025'!$D$5:$D$2427,$B20,'март 2025'!$J$5:$J$2427,U$1)</f>
        <v>0</v>
      </c>
      <c r="V20" s="76">
        <f>SUMIFS('март 2025'!$G$5:$G$2427,'март 2025'!$D$5:$D$2427,$B20,'март 2025'!$J$5:$J$2427,V$1)</f>
        <v>0</v>
      </c>
      <c r="W20" s="76">
        <f>SUMIFS('март 2025'!$G$5:$G$2427,'март 2025'!$D$5:$D$2427,$B20,'март 2025'!$J$5:$J$2427,W$1)</f>
        <v>0</v>
      </c>
      <c r="X20" s="76">
        <f>SUMIFS('март 2025'!$G$5:$G$2427,'март 2025'!$D$5:$D$2427,$B20,'март 2025'!$J$5:$J$2427,X$1)</f>
        <v>0</v>
      </c>
      <c r="Y20" s="76">
        <f>SUMIFS('март 2025'!$G$5:$G$2427,'март 2025'!$D$5:$D$2427,$B20,'март 2025'!$J$5:$J$2427,Y$1)</f>
        <v>0</v>
      </c>
      <c r="Z20" s="76">
        <f>SUMIFS('март 2025'!$G$5:$G$2427,'март 2025'!$D$5:$D$2427,$B20,'март 2025'!$J$5:$J$2427,Z$1)</f>
        <v>0</v>
      </c>
      <c r="AA20" s="76">
        <f>SUMIFS('март 2025'!$G$5:$G$2427,'март 2025'!$D$5:$D$2427,$B20,'март 2025'!$J$5:$J$2427,AA$1)</f>
        <v>0</v>
      </c>
      <c r="AB20" s="76">
        <f>SUMIFS('март 2025'!$G$5:$G$2427,'март 2025'!$D$5:$D$2427,$B20,'март 2025'!$J$5:$J$2427,AB$1)</f>
        <v>0</v>
      </c>
      <c r="AC20" s="76">
        <f>SUMIFS('март 2025'!$G$5:$G$2427,'март 2025'!$D$5:$D$2427,$B20,'март 2025'!$J$5:$J$2427,AC$1)</f>
        <v>0</v>
      </c>
      <c r="AD20" s="76">
        <f>SUMIFS('март 2025'!$G$5:$G$2427,'март 2025'!$D$5:$D$2427,$B20,'март 2025'!$J$5:$J$2427,AD$1)</f>
        <v>0</v>
      </c>
      <c r="AE20" s="76">
        <f>SUMIFS('март 2025'!$G$5:$G$2427,'март 2025'!$D$5:$D$2427,$B20,'март 2025'!$J$5:$J$2427,AE$1)</f>
        <v>0</v>
      </c>
      <c r="AF20" s="76">
        <f>SUMIFS('март 2025'!$G$5:$G$2427,'март 2025'!$D$5:$D$2427,$B20,'март 2025'!$J$5:$J$2427,AF$1)</f>
        <v>0</v>
      </c>
      <c r="AG20" s="76">
        <f>SUMIFS('март 2025'!$G$5:$G$2427,'март 2025'!$D$5:$D$2427,$B20,'март 2025'!$J$5:$J$2427,AG$1)</f>
        <v>0</v>
      </c>
      <c r="AH20" s="76">
        <f>SUMIFS('март 2025'!$G$5:$G$2427,'март 2025'!$D$5:$D$2427,$B20,'март 2025'!$J$5:$J$2427,AH$1)</f>
        <v>0</v>
      </c>
      <c r="AI20" s="20">
        <f t="shared" si="1"/>
        <v>0</v>
      </c>
    </row>
    <row r="21" spans="2:35" ht="15" customHeight="1" x14ac:dyDescent="0.25">
      <c r="B21" s="77" t="s">
        <v>243</v>
      </c>
      <c r="C21" s="78">
        <v>25</v>
      </c>
      <c r="D21" s="76">
        <f>SUMIFS('март 2025'!$G$5:$G$2427,'март 2025'!$D$5:$D$2427,$B21,'март 2025'!$J$5:$J$2427,D$1)</f>
        <v>0</v>
      </c>
      <c r="E21" s="76">
        <f>SUMIFS('март 2025'!$G$5:$G$2427,'март 2025'!$D$5:$D$2427,$B21,'март 2025'!$J$5:$J$2427,E$1)</f>
        <v>0</v>
      </c>
      <c r="F21" s="76">
        <f>SUMIFS('март 2025'!$G$5:$G$2427,'март 2025'!$D$5:$D$2427,$B21,'март 2025'!$J$5:$J$2427,F$1)</f>
        <v>0</v>
      </c>
      <c r="G21" s="76">
        <f>SUMIFS('март 2025'!$G$5:$G$2427,'март 2025'!$D$5:$D$2427,$B21,'март 2025'!$J$5:$J$2427,G$1)</f>
        <v>0</v>
      </c>
      <c r="H21" s="76">
        <f>SUMIFS('март 2025'!$G$5:$G$2427,'март 2025'!$D$5:$D$2427,$B21,'март 2025'!$J$5:$J$2427,H$1)</f>
        <v>0</v>
      </c>
      <c r="I21" s="76">
        <f>SUMIFS('март 2025'!$G$5:$G$2427,'март 2025'!$D$5:$D$2427,$B21,'март 2025'!$J$5:$J$2427,I$1)</f>
        <v>0</v>
      </c>
      <c r="J21" s="76">
        <f>SUMIFS('март 2025'!$G$5:$G$2427,'март 2025'!$D$5:$D$2427,$B21,'март 2025'!$J$5:$J$2427,J$1)</f>
        <v>0</v>
      </c>
      <c r="K21" s="76">
        <f>SUMIFS('март 2025'!$G$5:$G$2427,'март 2025'!$D$5:$D$2427,$B21,'март 2025'!$J$5:$J$2427,K$1)</f>
        <v>0</v>
      </c>
      <c r="L21" s="76">
        <f>SUMIFS('март 2025'!$G$5:$G$2427,'март 2025'!$D$5:$D$2427,$B21,'март 2025'!$J$5:$J$2427,L$1)</f>
        <v>0</v>
      </c>
      <c r="M21" s="76">
        <f>SUMIFS('март 2025'!$G$5:$G$2427,'март 2025'!$D$5:$D$2427,$B21,'март 2025'!$J$5:$J$2427,M$1)</f>
        <v>0</v>
      </c>
      <c r="N21" s="76">
        <f>SUMIFS('март 2025'!$G$5:$G$2427,'март 2025'!$D$5:$D$2427,$B21,'март 2025'!$J$5:$J$2427,N$1)</f>
        <v>0</v>
      </c>
      <c r="O21" s="76">
        <f>SUMIFS('март 2025'!$G$5:$G$2427,'март 2025'!$D$5:$D$2427,$B21,'март 2025'!$J$5:$J$2427,O$1)</f>
        <v>0</v>
      </c>
      <c r="P21" s="76">
        <f>SUMIFS('март 2025'!$G$5:$G$2427,'март 2025'!$D$5:$D$2427,$B21,'март 2025'!$J$5:$J$2427,P$1)</f>
        <v>0</v>
      </c>
      <c r="Q21" s="76">
        <f>SUMIFS('март 2025'!$G$5:$G$2427,'март 2025'!$D$5:$D$2427,$B21,'март 2025'!$J$5:$J$2427,Q$1)</f>
        <v>0</v>
      </c>
      <c r="R21" s="76">
        <f>SUMIFS('март 2025'!$G$5:$G$2427,'март 2025'!$D$5:$D$2427,$B21,'март 2025'!$J$5:$J$2427,R$1)</f>
        <v>0</v>
      </c>
      <c r="S21" s="76">
        <f>SUMIFS('март 2025'!$G$5:$G$2427,'март 2025'!$D$5:$D$2427,$B21,'март 2025'!$J$5:$J$2427,S$1)</f>
        <v>0</v>
      </c>
      <c r="T21" s="76">
        <f>SUMIFS('март 2025'!$G$5:$G$2427,'март 2025'!$D$5:$D$2427,$B21,'март 2025'!$J$5:$J$2427,T$1)</f>
        <v>0</v>
      </c>
      <c r="U21" s="76">
        <f>SUMIFS('март 2025'!$G$5:$G$2427,'март 2025'!$D$5:$D$2427,$B21,'март 2025'!$J$5:$J$2427,U$1)</f>
        <v>0</v>
      </c>
      <c r="V21" s="76">
        <f>SUMIFS('март 2025'!$G$5:$G$2427,'март 2025'!$D$5:$D$2427,$B21,'март 2025'!$J$5:$J$2427,V$1)</f>
        <v>0</v>
      </c>
      <c r="W21" s="76">
        <f>SUMIFS('март 2025'!$G$5:$G$2427,'март 2025'!$D$5:$D$2427,$B21,'март 2025'!$J$5:$J$2427,W$1)</f>
        <v>0</v>
      </c>
      <c r="X21" s="76">
        <f>SUMIFS('март 2025'!$G$5:$G$2427,'март 2025'!$D$5:$D$2427,$B21,'март 2025'!$J$5:$J$2427,X$1)</f>
        <v>0</v>
      </c>
      <c r="Y21" s="76">
        <f>SUMIFS('март 2025'!$G$5:$G$2427,'март 2025'!$D$5:$D$2427,$B21,'март 2025'!$J$5:$J$2427,Y$1)</f>
        <v>0</v>
      </c>
      <c r="Z21" s="76">
        <f>SUMIFS('март 2025'!$G$5:$G$2427,'март 2025'!$D$5:$D$2427,$B21,'март 2025'!$J$5:$J$2427,Z$1)</f>
        <v>0</v>
      </c>
      <c r="AA21" s="76">
        <f>SUMIFS('март 2025'!$G$5:$G$2427,'март 2025'!$D$5:$D$2427,$B21,'март 2025'!$J$5:$J$2427,AA$1)</f>
        <v>0</v>
      </c>
      <c r="AB21" s="76">
        <f>SUMIFS('март 2025'!$G$5:$G$2427,'март 2025'!$D$5:$D$2427,$B21,'март 2025'!$J$5:$J$2427,AB$1)</f>
        <v>0</v>
      </c>
      <c r="AC21" s="76">
        <f>SUMIFS('март 2025'!$G$5:$G$2427,'март 2025'!$D$5:$D$2427,$B21,'март 2025'!$J$5:$J$2427,AC$1)</f>
        <v>0</v>
      </c>
      <c r="AD21" s="76">
        <f>SUMIFS('март 2025'!$G$5:$G$2427,'март 2025'!$D$5:$D$2427,$B21,'март 2025'!$J$5:$J$2427,AD$1)</f>
        <v>0</v>
      </c>
      <c r="AE21" s="76">
        <f>SUMIFS('март 2025'!$G$5:$G$2427,'март 2025'!$D$5:$D$2427,$B21,'март 2025'!$J$5:$J$2427,AE$1)</f>
        <v>0</v>
      </c>
      <c r="AF21" s="76">
        <f>SUMIFS('март 2025'!$G$5:$G$2427,'март 2025'!$D$5:$D$2427,$B21,'март 2025'!$J$5:$J$2427,AF$1)</f>
        <v>0</v>
      </c>
      <c r="AG21" s="76">
        <f>SUMIFS('март 2025'!$G$5:$G$2427,'март 2025'!$D$5:$D$2427,$B21,'март 2025'!$J$5:$J$2427,AG$1)</f>
        <v>0</v>
      </c>
      <c r="AH21" s="76">
        <f>SUMIFS('март 2025'!$G$5:$G$2427,'март 2025'!$D$5:$D$2427,$B21,'март 2025'!$J$5:$J$2427,AH$1)</f>
        <v>0</v>
      </c>
      <c r="AI21" s="20">
        <f t="shared" si="1"/>
        <v>0</v>
      </c>
    </row>
    <row r="22" spans="2:35" ht="15" customHeight="1" x14ac:dyDescent="0.25">
      <c r="B22" s="77" t="s">
        <v>245</v>
      </c>
      <c r="C22" s="78">
        <v>25</v>
      </c>
      <c r="D22" s="76">
        <f>SUMIFS('март 2025'!$G$5:$G$2427,'март 2025'!$D$5:$D$2427,$B22,'март 2025'!$J$5:$J$2427,D$1)</f>
        <v>0</v>
      </c>
      <c r="E22" s="76">
        <f>SUMIFS('март 2025'!$G$5:$G$2427,'март 2025'!$D$5:$D$2427,$B22,'март 2025'!$J$5:$J$2427,E$1)</f>
        <v>0</v>
      </c>
      <c r="F22" s="76">
        <f>SUMIFS('март 2025'!$G$5:$G$2427,'март 2025'!$D$5:$D$2427,$B22,'март 2025'!$J$5:$J$2427,F$1)</f>
        <v>0</v>
      </c>
      <c r="G22" s="76">
        <f>SUMIFS('март 2025'!$G$5:$G$2427,'март 2025'!$D$5:$D$2427,$B22,'март 2025'!$J$5:$J$2427,G$1)</f>
        <v>0</v>
      </c>
      <c r="H22" s="76">
        <f>SUMIFS('март 2025'!$G$5:$G$2427,'март 2025'!$D$5:$D$2427,$B22,'март 2025'!$J$5:$J$2427,H$1)</f>
        <v>0</v>
      </c>
      <c r="I22" s="76">
        <f>SUMIFS('март 2025'!$G$5:$G$2427,'март 2025'!$D$5:$D$2427,$B22,'март 2025'!$J$5:$J$2427,I$1)</f>
        <v>0</v>
      </c>
      <c r="J22" s="76">
        <f>SUMIFS('март 2025'!$G$5:$G$2427,'март 2025'!$D$5:$D$2427,$B22,'март 2025'!$J$5:$J$2427,J$1)</f>
        <v>0</v>
      </c>
      <c r="K22" s="76">
        <f>SUMIFS('март 2025'!$G$5:$G$2427,'март 2025'!$D$5:$D$2427,$B22,'март 2025'!$J$5:$J$2427,K$1)</f>
        <v>0</v>
      </c>
      <c r="L22" s="76">
        <f>SUMIFS('март 2025'!$G$5:$G$2427,'март 2025'!$D$5:$D$2427,$B22,'март 2025'!$J$5:$J$2427,L$1)</f>
        <v>0</v>
      </c>
      <c r="M22" s="76">
        <f>SUMIFS('март 2025'!$G$5:$G$2427,'март 2025'!$D$5:$D$2427,$B22,'март 2025'!$J$5:$J$2427,M$1)</f>
        <v>0</v>
      </c>
      <c r="N22" s="76">
        <f>SUMIFS('март 2025'!$G$5:$G$2427,'март 2025'!$D$5:$D$2427,$B22,'март 2025'!$J$5:$J$2427,N$1)</f>
        <v>0</v>
      </c>
      <c r="O22" s="76">
        <f>SUMIFS('март 2025'!$G$5:$G$2427,'март 2025'!$D$5:$D$2427,$B22,'март 2025'!$J$5:$J$2427,O$1)</f>
        <v>0</v>
      </c>
      <c r="P22" s="76">
        <f>SUMIFS('март 2025'!$G$5:$G$2427,'март 2025'!$D$5:$D$2427,$B22,'март 2025'!$J$5:$J$2427,P$1)</f>
        <v>0</v>
      </c>
      <c r="Q22" s="76">
        <f>SUMIFS('март 2025'!$G$5:$G$2427,'март 2025'!$D$5:$D$2427,$B22,'март 2025'!$J$5:$J$2427,Q$1)</f>
        <v>0</v>
      </c>
      <c r="R22" s="76">
        <f>SUMIFS('март 2025'!$G$5:$G$2427,'март 2025'!$D$5:$D$2427,$B22,'март 2025'!$J$5:$J$2427,R$1)</f>
        <v>0</v>
      </c>
      <c r="S22" s="76">
        <f>SUMIFS('март 2025'!$G$5:$G$2427,'март 2025'!$D$5:$D$2427,$B22,'март 2025'!$J$5:$J$2427,S$1)</f>
        <v>0</v>
      </c>
      <c r="T22" s="76">
        <f>SUMIFS('март 2025'!$G$5:$G$2427,'март 2025'!$D$5:$D$2427,$B22,'март 2025'!$J$5:$J$2427,T$1)</f>
        <v>0</v>
      </c>
      <c r="U22" s="76">
        <f>SUMIFS('март 2025'!$G$5:$G$2427,'март 2025'!$D$5:$D$2427,$B22,'март 2025'!$J$5:$J$2427,U$1)</f>
        <v>0</v>
      </c>
      <c r="V22" s="76">
        <f>SUMIFS('март 2025'!$G$5:$G$2427,'март 2025'!$D$5:$D$2427,$B22,'март 2025'!$J$5:$J$2427,V$1)</f>
        <v>0</v>
      </c>
      <c r="W22" s="76">
        <f>SUMIFS('март 2025'!$G$5:$G$2427,'март 2025'!$D$5:$D$2427,$B22,'март 2025'!$J$5:$J$2427,W$1)</f>
        <v>0</v>
      </c>
      <c r="X22" s="76">
        <f>SUMIFS('март 2025'!$G$5:$G$2427,'март 2025'!$D$5:$D$2427,$B22,'март 2025'!$J$5:$J$2427,X$1)</f>
        <v>0</v>
      </c>
      <c r="Y22" s="76">
        <f>SUMIFS('март 2025'!$G$5:$G$2427,'март 2025'!$D$5:$D$2427,$B22,'март 2025'!$J$5:$J$2427,Y$1)</f>
        <v>0</v>
      </c>
      <c r="Z22" s="76">
        <f>SUMIFS('март 2025'!$G$5:$G$2427,'март 2025'!$D$5:$D$2427,$B22,'март 2025'!$J$5:$J$2427,Z$1)</f>
        <v>0</v>
      </c>
      <c r="AA22" s="76">
        <f>SUMIFS('март 2025'!$G$5:$G$2427,'март 2025'!$D$5:$D$2427,$B22,'март 2025'!$J$5:$J$2427,AA$1)</f>
        <v>0</v>
      </c>
      <c r="AB22" s="76">
        <f>SUMIFS('март 2025'!$G$5:$G$2427,'март 2025'!$D$5:$D$2427,$B22,'март 2025'!$J$5:$J$2427,AB$1)</f>
        <v>0</v>
      </c>
      <c r="AC22" s="76">
        <f>SUMIFS('март 2025'!$G$5:$G$2427,'март 2025'!$D$5:$D$2427,$B22,'март 2025'!$J$5:$J$2427,AC$1)</f>
        <v>0</v>
      </c>
      <c r="AD22" s="76">
        <f>SUMIFS('март 2025'!$G$5:$G$2427,'март 2025'!$D$5:$D$2427,$B22,'март 2025'!$J$5:$J$2427,AD$1)</f>
        <v>0</v>
      </c>
      <c r="AE22" s="76">
        <f>SUMIFS('март 2025'!$G$5:$G$2427,'март 2025'!$D$5:$D$2427,$B22,'март 2025'!$J$5:$J$2427,AE$1)</f>
        <v>0</v>
      </c>
      <c r="AF22" s="76">
        <f>SUMIFS('март 2025'!$G$5:$G$2427,'март 2025'!$D$5:$D$2427,$B22,'март 2025'!$J$5:$J$2427,AF$1)</f>
        <v>0</v>
      </c>
      <c r="AG22" s="76">
        <f>SUMIFS('март 2025'!$G$5:$G$2427,'март 2025'!$D$5:$D$2427,$B22,'март 2025'!$J$5:$J$2427,AG$1)</f>
        <v>0</v>
      </c>
      <c r="AH22" s="76">
        <f>SUMIFS('март 2025'!$G$5:$G$2427,'март 2025'!$D$5:$D$2427,$B22,'март 2025'!$J$5:$J$2427,AH$1)</f>
        <v>0</v>
      </c>
      <c r="AI22" s="20">
        <f t="shared" si="1"/>
        <v>0</v>
      </c>
    </row>
    <row r="23" spans="2:35" ht="15" customHeight="1" x14ac:dyDescent="0.25">
      <c r="B23" s="80" t="s">
        <v>247</v>
      </c>
      <c r="C23" s="96">
        <v>25</v>
      </c>
      <c r="D23" s="76">
        <f>SUMIFS('март 2025'!$G$5:$G$2427,'март 2025'!$D$5:$D$2427,$B23,'март 2025'!$J$5:$J$2427,D$1)</f>
        <v>0</v>
      </c>
      <c r="E23" s="76">
        <f>SUMIFS('март 2025'!$G$5:$G$2427,'март 2025'!$D$5:$D$2427,$B23,'март 2025'!$J$5:$J$2427,E$1)</f>
        <v>0</v>
      </c>
      <c r="F23" s="76">
        <f>SUMIFS('март 2025'!$G$5:$G$2427,'март 2025'!$D$5:$D$2427,$B23,'март 2025'!$J$5:$J$2427,F$1)</f>
        <v>0</v>
      </c>
      <c r="G23" s="76">
        <f>SUMIFS('март 2025'!$G$5:$G$2427,'март 2025'!$D$5:$D$2427,$B23,'март 2025'!$J$5:$J$2427,G$1)</f>
        <v>0</v>
      </c>
      <c r="H23" s="76">
        <f>SUMIFS('март 2025'!$G$5:$G$2427,'март 2025'!$D$5:$D$2427,$B23,'март 2025'!$J$5:$J$2427,H$1)</f>
        <v>0</v>
      </c>
      <c r="I23" s="76">
        <f>SUMIFS('март 2025'!$G$5:$G$2427,'март 2025'!$D$5:$D$2427,$B23,'март 2025'!$J$5:$J$2427,I$1)</f>
        <v>0</v>
      </c>
      <c r="J23" s="76">
        <f>SUMIFS('март 2025'!$G$5:$G$2427,'март 2025'!$D$5:$D$2427,$B23,'март 2025'!$J$5:$J$2427,J$1)</f>
        <v>0</v>
      </c>
      <c r="K23" s="76">
        <f>SUMIFS('март 2025'!$G$5:$G$2427,'март 2025'!$D$5:$D$2427,$B23,'март 2025'!$J$5:$J$2427,K$1)</f>
        <v>0</v>
      </c>
      <c r="L23" s="76">
        <f>SUMIFS('март 2025'!$G$5:$G$2427,'март 2025'!$D$5:$D$2427,$B23,'март 2025'!$J$5:$J$2427,L$1)</f>
        <v>0</v>
      </c>
      <c r="M23" s="76">
        <f>SUMIFS('март 2025'!$G$5:$G$2427,'март 2025'!$D$5:$D$2427,$B23,'март 2025'!$J$5:$J$2427,M$1)</f>
        <v>0</v>
      </c>
      <c r="N23" s="76">
        <f>SUMIFS('март 2025'!$G$5:$G$2427,'март 2025'!$D$5:$D$2427,$B23,'март 2025'!$J$5:$J$2427,N$1)</f>
        <v>0</v>
      </c>
      <c r="O23" s="76">
        <f>SUMIFS('март 2025'!$G$5:$G$2427,'март 2025'!$D$5:$D$2427,$B23,'март 2025'!$J$5:$J$2427,O$1)</f>
        <v>0</v>
      </c>
      <c r="P23" s="76">
        <f>SUMIFS('март 2025'!$G$5:$G$2427,'март 2025'!$D$5:$D$2427,$B23,'март 2025'!$J$5:$J$2427,P$1)</f>
        <v>0</v>
      </c>
      <c r="Q23" s="76">
        <f>SUMIFS('март 2025'!$G$5:$G$2427,'март 2025'!$D$5:$D$2427,$B23,'март 2025'!$J$5:$J$2427,Q$1)</f>
        <v>0</v>
      </c>
      <c r="R23" s="76">
        <f>SUMIFS('март 2025'!$G$5:$G$2427,'март 2025'!$D$5:$D$2427,$B23,'март 2025'!$J$5:$J$2427,R$1)</f>
        <v>0</v>
      </c>
      <c r="S23" s="76">
        <f>SUMIFS('март 2025'!$G$5:$G$2427,'март 2025'!$D$5:$D$2427,$B23,'март 2025'!$J$5:$J$2427,S$1)</f>
        <v>0</v>
      </c>
      <c r="T23" s="76">
        <f>SUMIFS('март 2025'!$G$5:$G$2427,'март 2025'!$D$5:$D$2427,$B23,'март 2025'!$J$5:$J$2427,T$1)</f>
        <v>0</v>
      </c>
      <c r="U23" s="76">
        <f>SUMIFS('март 2025'!$G$5:$G$2427,'март 2025'!$D$5:$D$2427,$B23,'март 2025'!$J$5:$J$2427,U$1)</f>
        <v>0</v>
      </c>
      <c r="V23" s="76">
        <f>SUMIFS('март 2025'!$G$5:$G$2427,'март 2025'!$D$5:$D$2427,$B23,'март 2025'!$J$5:$J$2427,V$1)</f>
        <v>0</v>
      </c>
      <c r="W23" s="76">
        <f>SUMIFS('март 2025'!$G$5:$G$2427,'март 2025'!$D$5:$D$2427,$B23,'март 2025'!$J$5:$J$2427,W$1)</f>
        <v>0</v>
      </c>
      <c r="X23" s="76">
        <f>SUMIFS('март 2025'!$G$5:$G$2427,'март 2025'!$D$5:$D$2427,$B23,'март 2025'!$J$5:$J$2427,X$1)</f>
        <v>0</v>
      </c>
      <c r="Y23" s="76">
        <f>SUMIFS('март 2025'!$G$5:$G$2427,'март 2025'!$D$5:$D$2427,$B23,'март 2025'!$J$5:$J$2427,Y$1)</f>
        <v>0</v>
      </c>
      <c r="Z23" s="76">
        <f>SUMIFS('март 2025'!$G$5:$G$2427,'март 2025'!$D$5:$D$2427,$B23,'март 2025'!$J$5:$J$2427,Z$1)</f>
        <v>0</v>
      </c>
      <c r="AA23" s="76">
        <f>SUMIFS('март 2025'!$G$5:$G$2427,'март 2025'!$D$5:$D$2427,$B23,'март 2025'!$J$5:$J$2427,AA$1)</f>
        <v>0</v>
      </c>
      <c r="AB23" s="76">
        <f>SUMIFS('март 2025'!$G$5:$G$2427,'март 2025'!$D$5:$D$2427,$B23,'март 2025'!$J$5:$J$2427,AB$1)</f>
        <v>0</v>
      </c>
      <c r="AC23" s="76">
        <f>SUMIFS('март 2025'!$G$5:$G$2427,'март 2025'!$D$5:$D$2427,$B23,'март 2025'!$J$5:$J$2427,AC$1)</f>
        <v>0</v>
      </c>
      <c r="AD23" s="76">
        <f>SUMIFS('март 2025'!$G$5:$G$2427,'март 2025'!$D$5:$D$2427,$B23,'март 2025'!$J$5:$J$2427,AD$1)</f>
        <v>0</v>
      </c>
      <c r="AE23" s="76">
        <f>SUMIFS('март 2025'!$G$5:$G$2427,'март 2025'!$D$5:$D$2427,$B23,'март 2025'!$J$5:$J$2427,AE$1)</f>
        <v>0</v>
      </c>
      <c r="AF23" s="76">
        <f>SUMIFS('март 2025'!$G$5:$G$2427,'март 2025'!$D$5:$D$2427,$B23,'март 2025'!$J$5:$J$2427,AF$1)</f>
        <v>0</v>
      </c>
      <c r="AG23" s="76">
        <f>SUMIFS('март 2025'!$G$5:$G$2427,'март 2025'!$D$5:$D$2427,$B23,'март 2025'!$J$5:$J$2427,AG$1)</f>
        <v>0</v>
      </c>
      <c r="AH23" s="76">
        <f>SUMIFS('март 2025'!$G$5:$G$2427,'март 2025'!$D$5:$D$2427,$B23,'март 2025'!$J$5:$J$2427,AH$1)</f>
        <v>0</v>
      </c>
      <c r="AI23" s="20">
        <f t="shared" si="1"/>
        <v>0</v>
      </c>
    </row>
    <row r="24" spans="2:35" ht="15" customHeight="1" x14ac:dyDescent="0.25">
      <c r="B24" s="80" t="s">
        <v>248</v>
      </c>
      <c r="C24" s="78">
        <v>25</v>
      </c>
      <c r="D24" s="76">
        <f>SUMIFS('март 2025'!$G$5:$G$2427,'март 2025'!$D$5:$D$2427,$B24,'март 2025'!$J$5:$J$2427,D$1)</f>
        <v>0</v>
      </c>
      <c r="E24" s="76">
        <f>SUMIFS('март 2025'!$G$5:$G$2427,'март 2025'!$D$5:$D$2427,$B24,'март 2025'!$J$5:$J$2427,E$1)</f>
        <v>0</v>
      </c>
      <c r="F24" s="76">
        <f>SUMIFS('март 2025'!$G$5:$G$2427,'март 2025'!$D$5:$D$2427,$B24,'март 2025'!$J$5:$J$2427,F$1)</f>
        <v>0</v>
      </c>
      <c r="G24" s="76">
        <f>SUMIFS('март 2025'!$G$5:$G$2427,'март 2025'!$D$5:$D$2427,$B24,'март 2025'!$J$5:$J$2427,G$1)</f>
        <v>0</v>
      </c>
      <c r="H24" s="76">
        <f>SUMIFS('март 2025'!$G$5:$G$2427,'март 2025'!$D$5:$D$2427,$B24,'март 2025'!$J$5:$J$2427,H$1)</f>
        <v>0</v>
      </c>
      <c r="I24" s="76">
        <f>SUMIFS('март 2025'!$G$5:$G$2427,'март 2025'!$D$5:$D$2427,$B24,'март 2025'!$J$5:$J$2427,I$1)</f>
        <v>0</v>
      </c>
      <c r="J24" s="76">
        <f>SUMIFS('март 2025'!$G$5:$G$2427,'март 2025'!$D$5:$D$2427,$B24,'март 2025'!$J$5:$J$2427,J$1)</f>
        <v>0</v>
      </c>
      <c r="K24" s="76">
        <f>SUMIFS('март 2025'!$G$5:$G$2427,'март 2025'!$D$5:$D$2427,$B24,'март 2025'!$J$5:$J$2427,K$1)</f>
        <v>0</v>
      </c>
      <c r="L24" s="76">
        <f>SUMIFS('март 2025'!$G$5:$G$2427,'март 2025'!$D$5:$D$2427,$B24,'март 2025'!$J$5:$J$2427,L$1)</f>
        <v>0</v>
      </c>
      <c r="M24" s="76">
        <f>SUMIFS('март 2025'!$G$5:$G$2427,'март 2025'!$D$5:$D$2427,$B24,'март 2025'!$J$5:$J$2427,M$1)</f>
        <v>0</v>
      </c>
      <c r="N24" s="76">
        <f>SUMIFS('март 2025'!$G$5:$G$2427,'март 2025'!$D$5:$D$2427,$B24,'март 2025'!$J$5:$J$2427,N$1)</f>
        <v>0</v>
      </c>
      <c r="O24" s="76">
        <f>SUMIFS('март 2025'!$G$5:$G$2427,'март 2025'!$D$5:$D$2427,$B24,'март 2025'!$J$5:$J$2427,O$1)</f>
        <v>0</v>
      </c>
      <c r="P24" s="76">
        <f>SUMIFS('март 2025'!$G$5:$G$2427,'март 2025'!$D$5:$D$2427,$B24,'март 2025'!$J$5:$J$2427,P$1)</f>
        <v>0</v>
      </c>
      <c r="Q24" s="76">
        <f>SUMIFS('март 2025'!$G$5:$G$2427,'март 2025'!$D$5:$D$2427,$B24,'март 2025'!$J$5:$J$2427,Q$1)</f>
        <v>0</v>
      </c>
      <c r="R24" s="76">
        <f>SUMIFS('март 2025'!$G$5:$G$2427,'март 2025'!$D$5:$D$2427,$B24,'март 2025'!$J$5:$J$2427,R$1)</f>
        <v>0</v>
      </c>
      <c r="S24" s="76">
        <f>SUMIFS('март 2025'!$G$5:$G$2427,'март 2025'!$D$5:$D$2427,$B24,'март 2025'!$J$5:$J$2427,S$1)</f>
        <v>0</v>
      </c>
      <c r="T24" s="76">
        <f>SUMIFS('март 2025'!$G$5:$G$2427,'март 2025'!$D$5:$D$2427,$B24,'март 2025'!$J$5:$J$2427,T$1)</f>
        <v>0</v>
      </c>
      <c r="U24" s="76">
        <f>SUMIFS('март 2025'!$G$5:$G$2427,'март 2025'!$D$5:$D$2427,$B24,'март 2025'!$J$5:$J$2427,U$1)</f>
        <v>0</v>
      </c>
      <c r="V24" s="76">
        <f>SUMIFS('март 2025'!$G$5:$G$2427,'март 2025'!$D$5:$D$2427,$B24,'март 2025'!$J$5:$J$2427,V$1)</f>
        <v>0</v>
      </c>
      <c r="W24" s="76">
        <f>SUMIFS('март 2025'!$G$5:$G$2427,'март 2025'!$D$5:$D$2427,$B24,'март 2025'!$J$5:$J$2427,W$1)</f>
        <v>0</v>
      </c>
      <c r="X24" s="76">
        <f>SUMIFS('март 2025'!$G$5:$G$2427,'март 2025'!$D$5:$D$2427,$B24,'март 2025'!$J$5:$J$2427,X$1)</f>
        <v>0</v>
      </c>
      <c r="Y24" s="76">
        <f>SUMIFS('март 2025'!$G$5:$G$2427,'март 2025'!$D$5:$D$2427,$B24,'март 2025'!$J$5:$J$2427,Y$1)</f>
        <v>0</v>
      </c>
      <c r="Z24" s="76">
        <f>SUMIFS('март 2025'!$G$5:$G$2427,'март 2025'!$D$5:$D$2427,$B24,'март 2025'!$J$5:$J$2427,Z$1)</f>
        <v>0</v>
      </c>
      <c r="AA24" s="76">
        <f>SUMIFS('март 2025'!$G$5:$G$2427,'март 2025'!$D$5:$D$2427,$B24,'март 2025'!$J$5:$J$2427,AA$1)</f>
        <v>0</v>
      </c>
      <c r="AB24" s="76">
        <f>SUMIFS('март 2025'!$G$5:$G$2427,'март 2025'!$D$5:$D$2427,$B24,'март 2025'!$J$5:$J$2427,AB$1)</f>
        <v>0</v>
      </c>
      <c r="AC24" s="76">
        <f>SUMIFS('март 2025'!$G$5:$G$2427,'март 2025'!$D$5:$D$2427,$B24,'март 2025'!$J$5:$J$2427,AC$1)</f>
        <v>0</v>
      </c>
      <c r="AD24" s="76">
        <f>SUMIFS('март 2025'!$G$5:$G$2427,'март 2025'!$D$5:$D$2427,$B24,'март 2025'!$J$5:$J$2427,AD$1)</f>
        <v>0</v>
      </c>
      <c r="AE24" s="76">
        <f>SUMIFS('март 2025'!$G$5:$G$2427,'март 2025'!$D$5:$D$2427,$B24,'март 2025'!$J$5:$J$2427,AE$1)</f>
        <v>0</v>
      </c>
      <c r="AF24" s="76">
        <f>SUMIFS('март 2025'!$G$5:$G$2427,'март 2025'!$D$5:$D$2427,$B24,'март 2025'!$J$5:$J$2427,AF$1)</f>
        <v>0</v>
      </c>
      <c r="AG24" s="76">
        <f>SUMIFS('март 2025'!$G$5:$G$2427,'март 2025'!$D$5:$D$2427,$B24,'март 2025'!$J$5:$J$2427,AG$1)</f>
        <v>0</v>
      </c>
      <c r="AH24" s="76">
        <f>SUMIFS('март 2025'!$G$5:$G$2427,'март 2025'!$D$5:$D$2427,$B24,'март 2025'!$J$5:$J$2427,AH$1)</f>
        <v>0</v>
      </c>
      <c r="AI24" s="20">
        <f t="shared" si="1"/>
        <v>0</v>
      </c>
    </row>
    <row r="25" spans="2:35" ht="15" customHeight="1" x14ac:dyDescent="0.25">
      <c r="B25" s="80" t="s">
        <v>249</v>
      </c>
      <c r="C25" s="78">
        <v>25</v>
      </c>
      <c r="D25" s="76">
        <f>SUMIFS('март 2025'!$G$5:$G$2427,'март 2025'!$D$5:$D$2427,$B25,'март 2025'!$J$5:$J$2427,D$1)</f>
        <v>0</v>
      </c>
      <c r="E25" s="76">
        <f>SUMIFS('март 2025'!$G$5:$G$2427,'март 2025'!$D$5:$D$2427,$B25,'март 2025'!$J$5:$J$2427,E$1)</f>
        <v>0</v>
      </c>
      <c r="F25" s="76">
        <f>SUMIFS('март 2025'!$G$5:$G$2427,'март 2025'!$D$5:$D$2427,$B25,'март 2025'!$J$5:$J$2427,F$1)</f>
        <v>0</v>
      </c>
      <c r="G25" s="76">
        <f>SUMIFS('март 2025'!$G$5:$G$2427,'март 2025'!$D$5:$D$2427,$B25,'март 2025'!$J$5:$J$2427,G$1)</f>
        <v>0</v>
      </c>
      <c r="H25" s="76">
        <f>SUMIFS('март 2025'!$G$5:$G$2427,'март 2025'!$D$5:$D$2427,$B25,'март 2025'!$J$5:$J$2427,H$1)</f>
        <v>0</v>
      </c>
      <c r="I25" s="76">
        <f>SUMIFS('март 2025'!$G$5:$G$2427,'март 2025'!$D$5:$D$2427,$B25,'март 2025'!$J$5:$J$2427,I$1)</f>
        <v>0</v>
      </c>
      <c r="J25" s="76">
        <f>SUMIFS('март 2025'!$G$5:$G$2427,'март 2025'!$D$5:$D$2427,$B25,'март 2025'!$J$5:$J$2427,J$1)</f>
        <v>0</v>
      </c>
      <c r="K25" s="76">
        <f>SUMIFS('март 2025'!$G$5:$G$2427,'март 2025'!$D$5:$D$2427,$B25,'март 2025'!$J$5:$J$2427,K$1)</f>
        <v>0</v>
      </c>
      <c r="L25" s="76">
        <f>SUMIFS('март 2025'!$G$5:$G$2427,'март 2025'!$D$5:$D$2427,$B25,'март 2025'!$J$5:$J$2427,L$1)</f>
        <v>0</v>
      </c>
      <c r="M25" s="76">
        <f>SUMIFS('март 2025'!$G$5:$G$2427,'март 2025'!$D$5:$D$2427,$B25,'март 2025'!$J$5:$J$2427,M$1)</f>
        <v>0</v>
      </c>
      <c r="N25" s="76">
        <f>SUMIFS('март 2025'!$G$5:$G$2427,'март 2025'!$D$5:$D$2427,$B25,'март 2025'!$J$5:$J$2427,N$1)</f>
        <v>0</v>
      </c>
      <c r="O25" s="76">
        <f>SUMIFS('март 2025'!$G$5:$G$2427,'март 2025'!$D$5:$D$2427,$B25,'март 2025'!$J$5:$J$2427,O$1)</f>
        <v>0</v>
      </c>
      <c r="P25" s="76">
        <f>SUMIFS('март 2025'!$G$5:$G$2427,'март 2025'!$D$5:$D$2427,$B25,'март 2025'!$J$5:$J$2427,P$1)</f>
        <v>0</v>
      </c>
      <c r="Q25" s="76">
        <f>SUMIFS('март 2025'!$G$5:$G$2427,'март 2025'!$D$5:$D$2427,$B25,'март 2025'!$J$5:$J$2427,Q$1)</f>
        <v>0</v>
      </c>
      <c r="R25" s="76">
        <f>SUMIFS('март 2025'!$G$5:$G$2427,'март 2025'!$D$5:$D$2427,$B25,'март 2025'!$J$5:$J$2427,R$1)</f>
        <v>0</v>
      </c>
      <c r="S25" s="76">
        <f>SUMIFS('март 2025'!$G$5:$G$2427,'март 2025'!$D$5:$D$2427,$B25,'март 2025'!$J$5:$J$2427,S$1)</f>
        <v>0</v>
      </c>
      <c r="T25" s="76">
        <f>SUMIFS('март 2025'!$G$5:$G$2427,'март 2025'!$D$5:$D$2427,$B25,'март 2025'!$J$5:$J$2427,T$1)</f>
        <v>0</v>
      </c>
      <c r="U25" s="76">
        <f>SUMIFS('март 2025'!$G$5:$G$2427,'март 2025'!$D$5:$D$2427,$B25,'март 2025'!$J$5:$J$2427,U$1)</f>
        <v>0</v>
      </c>
      <c r="V25" s="76">
        <f>SUMIFS('март 2025'!$G$5:$G$2427,'март 2025'!$D$5:$D$2427,$B25,'март 2025'!$J$5:$J$2427,V$1)</f>
        <v>0</v>
      </c>
      <c r="W25" s="76">
        <f>SUMIFS('март 2025'!$G$5:$G$2427,'март 2025'!$D$5:$D$2427,$B25,'март 2025'!$J$5:$J$2427,W$1)</f>
        <v>0</v>
      </c>
      <c r="X25" s="76">
        <f>SUMIFS('март 2025'!$G$5:$G$2427,'март 2025'!$D$5:$D$2427,$B25,'март 2025'!$J$5:$J$2427,X$1)</f>
        <v>0</v>
      </c>
      <c r="Y25" s="76">
        <f>SUMIFS('март 2025'!$G$5:$G$2427,'март 2025'!$D$5:$D$2427,$B25,'март 2025'!$J$5:$J$2427,Y$1)</f>
        <v>0</v>
      </c>
      <c r="Z25" s="76">
        <f>SUMIFS('март 2025'!$G$5:$G$2427,'март 2025'!$D$5:$D$2427,$B25,'март 2025'!$J$5:$J$2427,Z$1)</f>
        <v>0</v>
      </c>
      <c r="AA25" s="76">
        <f>SUMIFS('март 2025'!$G$5:$G$2427,'март 2025'!$D$5:$D$2427,$B25,'март 2025'!$J$5:$J$2427,AA$1)</f>
        <v>0</v>
      </c>
      <c r="AB25" s="76">
        <f>SUMIFS('март 2025'!$G$5:$G$2427,'март 2025'!$D$5:$D$2427,$B25,'март 2025'!$J$5:$J$2427,AB$1)</f>
        <v>0</v>
      </c>
      <c r="AC25" s="76">
        <f>SUMIFS('март 2025'!$G$5:$G$2427,'март 2025'!$D$5:$D$2427,$B25,'март 2025'!$J$5:$J$2427,AC$1)</f>
        <v>0</v>
      </c>
      <c r="AD25" s="76">
        <f>SUMIFS('март 2025'!$G$5:$G$2427,'март 2025'!$D$5:$D$2427,$B25,'март 2025'!$J$5:$J$2427,AD$1)</f>
        <v>0</v>
      </c>
      <c r="AE25" s="76">
        <f>SUMIFS('март 2025'!$G$5:$G$2427,'март 2025'!$D$5:$D$2427,$B25,'март 2025'!$J$5:$J$2427,AE$1)</f>
        <v>0</v>
      </c>
      <c r="AF25" s="76">
        <f>SUMIFS('март 2025'!$G$5:$G$2427,'март 2025'!$D$5:$D$2427,$B25,'март 2025'!$J$5:$J$2427,AF$1)</f>
        <v>0</v>
      </c>
      <c r="AG25" s="76">
        <f>SUMIFS('март 2025'!$G$5:$G$2427,'март 2025'!$D$5:$D$2427,$B25,'март 2025'!$J$5:$J$2427,AG$1)</f>
        <v>0</v>
      </c>
      <c r="AH25" s="76">
        <f>SUMIFS('март 2025'!$G$5:$G$2427,'март 2025'!$D$5:$D$2427,$B25,'март 2025'!$J$5:$J$2427,AH$1)</f>
        <v>0</v>
      </c>
      <c r="AI25" s="20">
        <f t="shared" si="1"/>
        <v>0</v>
      </c>
    </row>
    <row r="26" spans="2:35" ht="15" customHeight="1" x14ac:dyDescent="0.25">
      <c r="B26" s="80" t="s">
        <v>250</v>
      </c>
      <c r="C26" s="78">
        <v>25</v>
      </c>
      <c r="D26" s="76">
        <f>SUMIFS('март 2025'!$G$5:$G$2427,'март 2025'!$D$5:$D$2427,$B26,'март 2025'!$J$5:$J$2427,D$1)</f>
        <v>0</v>
      </c>
      <c r="E26" s="76">
        <f>SUMIFS('март 2025'!$G$5:$G$2427,'март 2025'!$D$5:$D$2427,$B26,'март 2025'!$J$5:$J$2427,E$1)</f>
        <v>0</v>
      </c>
      <c r="F26" s="76">
        <f>SUMIFS('март 2025'!$G$5:$G$2427,'март 2025'!$D$5:$D$2427,$B26,'март 2025'!$J$5:$J$2427,F$1)</f>
        <v>0</v>
      </c>
      <c r="G26" s="76">
        <f>SUMIFS('март 2025'!$G$5:$G$2427,'март 2025'!$D$5:$D$2427,$B26,'март 2025'!$J$5:$J$2427,G$1)</f>
        <v>0</v>
      </c>
      <c r="H26" s="76">
        <f>SUMIFS('март 2025'!$G$5:$G$2427,'март 2025'!$D$5:$D$2427,$B26,'март 2025'!$J$5:$J$2427,H$1)</f>
        <v>0</v>
      </c>
      <c r="I26" s="76">
        <f>SUMIFS('март 2025'!$G$5:$G$2427,'март 2025'!$D$5:$D$2427,$B26,'март 2025'!$J$5:$J$2427,I$1)</f>
        <v>0</v>
      </c>
      <c r="J26" s="76">
        <f>SUMIFS('март 2025'!$G$5:$G$2427,'март 2025'!$D$5:$D$2427,$B26,'март 2025'!$J$5:$J$2427,J$1)</f>
        <v>0</v>
      </c>
      <c r="K26" s="76">
        <f>SUMIFS('март 2025'!$G$5:$G$2427,'март 2025'!$D$5:$D$2427,$B26,'март 2025'!$J$5:$J$2427,K$1)</f>
        <v>0</v>
      </c>
      <c r="L26" s="76">
        <f>SUMIFS('март 2025'!$G$5:$G$2427,'март 2025'!$D$5:$D$2427,$B26,'март 2025'!$J$5:$J$2427,L$1)</f>
        <v>0</v>
      </c>
      <c r="M26" s="76">
        <f>SUMIFS('март 2025'!$G$5:$G$2427,'март 2025'!$D$5:$D$2427,$B26,'март 2025'!$J$5:$J$2427,M$1)</f>
        <v>0</v>
      </c>
      <c r="N26" s="76">
        <f>SUMIFS('март 2025'!$G$5:$G$2427,'март 2025'!$D$5:$D$2427,$B26,'март 2025'!$J$5:$J$2427,N$1)</f>
        <v>0</v>
      </c>
      <c r="O26" s="76">
        <f>SUMIFS('март 2025'!$G$5:$G$2427,'март 2025'!$D$5:$D$2427,$B26,'март 2025'!$J$5:$J$2427,O$1)</f>
        <v>0</v>
      </c>
      <c r="P26" s="76">
        <f>SUMIFS('март 2025'!$G$5:$G$2427,'март 2025'!$D$5:$D$2427,$B26,'март 2025'!$J$5:$J$2427,P$1)</f>
        <v>0</v>
      </c>
      <c r="Q26" s="76">
        <f>SUMIFS('март 2025'!$G$5:$G$2427,'март 2025'!$D$5:$D$2427,$B26,'март 2025'!$J$5:$J$2427,Q$1)</f>
        <v>0</v>
      </c>
      <c r="R26" s="76">
        <f>SUMIFS('март 2025'!$G$5:$G$2427,'март 2025'!$D$5:$D$2427,$B26,'март 2025'!$J$5:$J$2427,R$1)</f>
        <v>0</v>
      </c>
      <c r="S26" s="76">
        <f>SUMIFS('март 2025'!$G$5:$G$2427,'март 2025'!$D$5:$D$2427,$B26,'март 2025'!$J$5:$J$2427,S$1)</f>
        <v>0</v>
      </c>
      <c r="T26" s="76">
        <f>SUMIFS('март 2025'!$G$5:$G$2427,'март 2025'!$D$5:$D$2427,$B26,'март 2025'!$J$5:$J$2427,T$1)</f>
        <v>0</v>
      </c>
      <c r="U26" s="76">
        <f>SUMIFS('март 2025'!$G$5:$G$2427,'март 2025'!$D$5:$D$2427,$B26,'март 2025'!$J$5:$J$2427,U$1)</f>
        <v>0</v>
      </c>
      <c r="V26" s="76">
        <f>SUMIFS('март 2025'!$G$5:$G$2427,'март 2025'!$D$5:$D$2427,$B26,'март 2025'!$J$5:$J$2427,V$1)</f>
        <v>0</v>
      </c>
      <c r="W26" s="76">
        <f>SUMIFS('март 2025'!$G$5:$G$2427,'март 2025'!$D$5:$D$2427,$B26,'март 2025'!$J$5:$J$2427,W$1)</f>
        <v>0</v>
      </c>
      <c r="X26" s="76">
        <f>SUMIFS('март 2025'!$G$5:$G$2427,'март 2025'!$D$5:$D$2427,$B26,'март 2025'!$J$5:$J$2427,X$1)</f>
        <v>0</v>
      </c>
      <c r="Y26" s="76">
        <f>SUMIFS('март 2025'!$G$5:$G$2427,'март 2025'!$D$5:$D$2427,$B26,'март 2025'!$J$5:$J$2427,Y$1)</f>
        <v>0</v>
      </c>
      <c r="Z26" s="76">
        <f>SUMIFS('март 2025'!$G$5:$G$2427,'март 2025'!$D$5:$D$2427,$B26,'март 2025'!$J$5:$J$2427,Z$1)</f>
        <v>0</v>
      </c>
      <c r="AA26" s="76">
        <f>SUMIFS('март 2025'!$G$5:$G$2427,'март 2025'!$D$5:$D$2427,$B26,'март 2025'!$J$5:$J$2427,AA$1)</f>
        <v>0</v>
      </c>
      <c r="AB26" s="76">
        <f>SUMIFS('март 2025'!$G$5:$G$2427,'март 2025'!$D$5:$D$2427,$B26,'март 2025'!$J$5:$J$2427,AB$1)</f>
        <v>0</v>
      </c>
      <c r="AC26" s="76">
        <f>SUMIFS('март 2025'!$G$5:$G$2427,'март 2025'!$D$5:$D$2427,$B26,'март 2025'!$J$5:$J$2427,AC$1)</f>
        <v>0</v>
      </c>
      <c r="AD26" s="76">
        <f>SUMIFS('март 2025'!$G$5:$G$2427,'март 2025'!$D$5:$D$2427,$B26,'март 2025'!$J$5:$J$2427,AD$1)</f>
        <v>0</v>
      </c>
      <c r="AE26" s="76">
        <f>SUMIFS('март 2025'!$G$5:$G$2427,'март 2025'!$D$5:$D$2427,$B26,'март 2025'!$J$5:$J$2427,AE$1)</f>
        <v>0</v>
      </c>
      <c r="AF26" s="76">
        <f>SUMIFS('март 2025'!$G$5:$G$2427,'март 2025'!$D$5:$D$2427,$B26,'март 2025'!$J$5:$J$2427,AF$1)</f>
        <v>0</v>
      </c>
      <c r="AG26" s="76">
        <f>SUMIFS('март 2025'!$G$5:$G$2427,'март 2025'!$D$5:$D$2427,$B26,'март 2025'!$J$5:$J$2427,AG$1)</f>
        <v>0</v>
      </c>
      <c r="AH26" s="76">
        <f>SUMIFS('март 2025'!$G$5:$G$2427,'март 2025'!$D$5:$D$2427,$B26,'март 2025'!$J$5:$J$2427,AH$1)</f>
        <v>0</v>
      </c>
      <c r="AI26" s="20">
        <f t="shared" si="1"/>
        <v>0</v>
      </c>
    </row>
    <row r="27" spans="2:35" ht="15" customHeight="1" x14ac:dyDescent="0.25">
      <c r="B27" s="80" t="s">
        <v>251</v>
      </c>
      <c r="C27" s="78">
        <v>25</v>
      </c>
      <c r="D27" s="76">
        <f>SUMIFS('март 2025'!$G$5:$G$2427,'март 2025'!$D$5:$D$2427,$B27,'март 2025'!$J$5:$J$2427,D$1)</f>
        <v>0</v>
      </c>
      <c r="E27" s="76">
        <f>SUMIFS('март 2025'!$G$5:$G$2427,'март 2025'!$D$5:$D$2427,$B27,'март 2025'!$J$5:$J$2427,E$1)</f>
        <v>0</v>
      </c>
      <c r="F27" s="76">
        <f>SUMIFS('март 2025'!$G$5:$G$2427,'март 2025'!$D$5:$D$2427,$B27,'март 2025'!$J$5:$J$2427,F$1)</f>
        <v>0</v>
      </c>
      <c r="G27" s="76">
        <f>SUMIFS('март 2025'!$G$5:$G$2427,'март 2025'!$D$5:$D$2427,$B27,'март 2025'!$J$5:$J$2427,G$1)</f>
        <v>0</v>
      </c>
      <c r="H27" s="76">
        <f>SUMIFS('март 2025'!$G$5:$G$2427,'март 2025'!$D$5:$D$2427,$B27,'март 2025'!$J$5:$J$2427,H$1)</f>
        <v>0</v>
      </c>
      <c r="I27" s="76">
        <f>SUMIFS('март 2025'!$G$5:$G$2427,'март 2025'!$D$5:$D$2427,$B27,'март 2025'!$J$5:$J$2427,I$1)</f>
        <v>0</v>
      </c>
      <c r="J27" s="76">
        <f>SUMIFS('март 2025'!$G$5:$G$2427,'март 2025'!$D$5:$D$2427,$B27,'март 2025'!$J$5:$J$2427,J$1)</f>
        <v>0</v>
      </c>
      <c r="K27" s="76">
        <f>SUMIFS('март 2025'!$G$5:$G$2427,'март 2025'!$D$5:$D$2427,$B27,'март 2025'!$J$5:$J$2427,K$1)</f>
        <v>0</v>
      </c>
      <c r="L27" s="76">
        <f>SUMIFS('март 2025'!$G$5:$G$2427,'март 2025'!$D$5:$D$2427,$B27,'март 2025'!$J$5:$J$2427,L$1)</f>
        <v>0</v>
      </c>
      <c r="M27" s="76">
        <f>SUMIFS('март 2025'!$G$5:$G$2427,'март 2025'!$D$5:$D$2427,$B27,'март 2025'!$J$5:$J$2427,M$1)</f>
        <v>0</v>
      </c>
      <c r="N27" s="76">
        <f>SUMIFS('март 2025'!$G$5:$G$2427,'март 2025'!$D$5:$D$2427,$B27,'март 2025'!$J$5:$J$2427,N$1)</f>
        <v>0</v>
      </c>
      <c r="O27" s="76">
        <f>SUMIFS('март 2025'!$G$5:$G$2427,'март 2025'!$D$5:$D$2427,$B27,'март 2025'!$J$5:$J$2427,O$1)</f>
        <v>0</v>
      </c>
      <c r="P27" s="76">
        <f>SUMIFS('март 2025'!$G$5:$G$2427,'март 2025'!$D$5:$D$2427,$B27,'март 2025'!$J$5:$J$2427,P$1)</f>
        <v>0</v>
      </c>
      <c r="Q27" s="76">
        <f>SUMIFS('март 2025'!$G$5:$G$2427,'март 2025'!$D$5:$D$2427,$B27,'март 2025'!$J$5:$J$2427,Q$1)</f>
        <v>0</v>
      </c>
      <c r="R27" s="76">
        <f>SUMIFS('март 2025'!$G$5:$G$2427,'март 2025'!$D$5:$D$2427,$B27,'март 2025'!$J$5:$J$2427,R$1)</f>
        <v>0</v>
      </c>
      <c r="S27" s="76">
        <f>SUMIFS('март 2025'!$G$5:$G$2427,'март 2025'!$D$5:$D$2427,$B27,'март 2025'!$J$5:$J$2427,S$1)</f>
        <v>0</v>
      </c>
      <c r="T27" s="76">
        <f>SUMIFS('март 2025'!$G$5:$G$2427,'март 2025'!$D$5:$D$2427,$B27,'март 2025'!$J$5:$J$2427,T$1)</f>
        <v>0</v>
      </c>
      <c r="U27" s="76">
        <f>SUMIFS('март 2025'!$G$5:$G$2427,'март 2025'!$D$5:$D$2427,$B27,'март 2025'!$J$5:$J$2427,U$1)</f>
        <v>0</v>
      </c>
      <c r="V27" s="76">
        <f>SUMIFS('март 2025'!$G$5:$G$2427,'март 2025'!$D$5:$D$2427,$B27,'март 2025'!$J$5:$J$2427,V$1)</f>
        <v>0</v>
      </c>
      <c r="W27" s="76">
        <f>SUMIFS('март 2025'!$G$5:$G$2427,'март 2025'!$D$5:$D$2427,$B27,'март 2025'!$J$5:$J$2427,W$1)</f>
        <v>0</v>
      </c>
      <c r="X27" s="76">
        <f>SUMIFS('март 2025'!$G$5:$G$2427,'март 2025'!$D$5:$D$2427,$B27,'март 2025'!$J$5:$J$2427,X$1)</f>
        <v>0</v>
      </c>
      <c r="Y27" s="76">
        <f>SUMIFS('март 2025'!$G$5:$G$2427,'март 2025'!$D$5:$D$2427,$B27,'март 2025'!$J$5:$J$2427,Y$1)</f>
        <v>0</v>
      </c>
      <c r="Z27" s="76">
        <f>SUMIFS('март 2025'!$G$5:$G$2427,'март 2025'!$D$5:$D$2427,$B27,'март 2025'!$J$5:$J$2427,Z$1)</f>
        <v>0</v>
      </c>
      <c r="AA27" s="76">
        <f>SUMIFS('март 2025'!$G$5:$G$2427,'март 2025'!$D$5:$D$2427,$B27,'март 2025'!$J$5:$J$2427,AA$1)</f>
        <v>0</v>
      </c>
      <c r="AB27" s="76">
        <f>SUMIFS('март 2025'!$G$5:$G$2427,'март 2025'!$D$5:$D$2427,$B27,'март 2025'!$J$5:$J$2427,AB$1)</f>
        <v>0</v>
      </c>
      <c r="AC27" s="76">
        <f>SUMIFS('март 2025'!$G$5:$G$2427,'март 2025'!$D$5:$D$2427,$B27,'март 2025'!$J$5:$J$2427,AC$1)</f>
        <v>0</v>
      </c>
      <c r="AD27" s="76">
        <f>SUMIFS('март 2025'!$G$5:$G$2427,'март 2025'!$D$5:$D$2427,$B27,'март 2025'!$J$5:$J$2427,AD$1)</f>
        <v>0</v>
      </c>
      <c r="AE27" s="76">
        <f>SUMIFS('март 2025'!$G$5:$G$2427,'март 2025'!$D$5:$D$2427,$B27,'март 2025'!$J$5:$J$2427,AE$1)</f>
        <v>0</v>
      </c>
      <c r="AF27" s="76">
        <f>SUMIFS('март 2025'!$G$5:$G$2427,'март 2025'!$D$5:$D$2427,$B27,'март 2025'!$J$5:$J$2427,AF$1)</f>
        <v>0</v>
      </c>
      <c r="AG27" s="76">
        <f>SUMIFS('март 2025'!$G$5:$G$2427,'март 2025'!$D$5:$D$2427,$B27,'март 2025'!$J$5:$J$2427,AG$1)</f>
        <v>0</v>
      </c>
      <c r="AH27" s="76">
        <f>SUMIFS('март 2025'!$G$5:$G$2427,'март 2025'!$D$5:$D$2427,$B27,'март 2025'!$J$5:$J$2427,AH$1)</f>
        <v>0</v>
      </c>
      <c r="AI27" s="20">
        <f t="shared" si="1"/>
        <v>0</v>
      </c>
    </row>
    <row r="28" spans="2:35" ht="15" customHeight="1" x14ac:dyDescent="0.25">
      <c r="B28" s="80" t="s">
        <v>383</v>
      </c>
      <c r="C28" s="78">
        <v>25</v>
      </c>
      <c r="D28" s="76">
        <f>SUMIFS('март 2025'!$G$5:$G$2427,'март 2025'!$D$5:$D$2427,$B28,'март 2025'!$J$5:$J$2427,D$1)</f>
        <v>0</v>
      </c>
      <c r="E28" s="76">
        <f>SUMIFS('март 2025'!$G$5:$G$2427,'март 2025'!$D$5:$D$2427,$B28,'март 2025'!$J$5:$J$2427,E$1)</f>
        <v>0</v>
      </c>
      <c r="F28" s="76">
        <f>SUMIFS('март 2025'!$G$5:$G$2427,'март 2025'!$D$5:$D$2427,$B28,'март 2025'!$J$5:$J$2427,F$1)</f>
        <v>0</v>
      </c>
      <c r="G28" s="76">
        <f>SUMIFS('март 2025'!$G$5:$G$2427,'март 2025'!$D$5:$D$2427,$B28,'март 2025'!$J$5:$J$2427,G$1)</f>
        <v>0</v>
      </c>
      <c r="H28" s="76">
        <f>SUMIFS('март 2025'!$G$5:$G$2427,'март 2025'!$D$5:$D$2427,$B28,'март 2025'!$J$5:$J$2427,H$1)</f>
        <v>0</v>
      </c>
      <c r="I28" s="76">
        <f>SUMIFS('март 2025'!$G$5:$G$2427,'март 2025'!$D$5:$D$2427,$B28,'март 2025'!$J$5:$J$2427,I$1)</f>
        <v>0</v>
      </c>
      <c r="J28" s="76">
        <f>SUMIFS('март 2025'!$G$5:$G$2427,'март 2025'!$D$5:$D$2427,$B28,'март 2025'!$J$5:$J$2427,J$1)</f>
        <v>0</v>
      </c>
      <c r="K28" s="76">
        <f>SUMIFS('март 2025'!$G$5:$G$2427,'март 2025'!$D$5:$D$2427,$B28,'март 2025'!$J$5:$J$2427,K$1)</f>
        <v>0</v>
      </c>
      <c r="L28" s="76">
        <f>SUMIFS('март 2025'!$G$5:$G$2427,'март 2025'!$D$5:$D$2427,$B28,'март 2025'!$J$5:$J$2427,L$1)</f>
        <v>0</v>
      </c>
      <c r="M28" s="76">
        <f>SUMIFS('март 2025'!$G$5:$G$2427,'март 2025'!$D$5:$D$2427,$B28,'март 2025'!$J$5:$J$2427,M$1)</f>
        <v>0</v>
      </c>
      <c r="N28" s="76">
        <f>SUMIFS('март 2025'!$G$5:$G$2427,'март 2025'!$D$5:$D$2427,$B28,'март 2025'!$J$5:$J$2427,N$1)</f>
        <v>0</v>
      </c>
      <c r="O28" s="76">
        <f>SUMIFS('март 2025'!$G$5:$G$2427,'март 2025'!$D$5:$D$2427,$B28,'март 2025'!$J$5:$J$2427,O$1)</f>
        <v>0</v>
      </c>
      <c r="P28" s="76">
        <f>SUMIFS('март 2025'!$G$5:$G$2427,'март 2025'!$D$5:$D$2427,$B28,'март 2025'!$J$5:$J$2427,P$1)</f>
        <v>0</v>
      </c>
      <c r="Q28" s="76">
        <f>SUMIFS('март 2025'!$G$5:$G$2427,'март 2025'!$D$5:$D$2427,$B28,'март 2025'!$J$5:$J$2427,Q$1)</f>
        <v>0</v>
      </c>
      <c r="R28" s="76">
        <f>SUMIFS('март 2025'!$G$5:$G$2427,'март 2025'!$D$5:$D$2427,$B28,'март 2025'!$J$5:$J$2427,R$1)</f>
        <v>0</v>
      </c>
      <c r="S28" s="76">
        <f>SUMIFS('март 2025'!$G$5:$G$2427,'март 2025'!$D$5:$D$2427,$B28,'март 2025'!$J$5:$J$2427,S$1)</f>
        <v>0</v>
      </c>
      <c r="T28" s="76">
        <f>SUMIFS('март 2025'!$G$5:$G$2427,'март 2025'!$D$5:$D$2427,$B28,'март 2025'!$J$5:$J$2427,T$1)</f>
        <v>0</v>
      </c>
      <c r="U28" s="76">
        <f>SUMIFS('март 2025'!$G$5:$G$2427,'март 2025'!$D$5:$D$2427,$B28,'март 2025'!$J$5:$J$2427,U$1)</f>
        <v>0</v>
      </c>
      <c r="V28" s="76">
        <f>SUMIFS('март 2025'!$G$5:$G$2427,'март 2025'!$D$5:$D$2427,$B28,'март 2025'!$J$5:$J$2427,V$1)</f>
        <v>0</v>
      </c>
      <c r="W28" s="76">
        <f>SUMIFS('март 2025'!$G$5:$G$2427,'март 2025'!$D$5:$D$2427,$B28,'март 2025'!$J$5:$J$2427,W$1)</f>
        <v>0</v>
      </c>
      <c r="X28" s="76">
        <f>SUMIFS('март 2025'!$G$5:$G$2427,'март 2025'!$D$5:$D$2427,$B28,'март 2025'!$J$5:$J$2427,X$1)</f>
        <v>0</v>
      </c>
      <c r="Y28" s="76">
        <f>SUMIFS('март 2025'!$G$5:$G$2427,'март 2025'!$D$5:$D$2427,$B28,'март 2025'!$J$5:$J$2427,Y$1)</f>
        <v>0</v>
      </c>
      <c r="Z28" s="76">
        <f>SUMIFS('март 2025'!$G$5:$G$2427,'март 2025'!$D$5:$D$2427,$B28,'март 2025'!$J$5:$J$2427,Z$1)</f>
        <v>0</v>
      </c>
      <c r="AA28" s="76">
        <f>SUMIFS('март 2025'!$G$5:$G$2427,'март 2025'!$D$5:$D$2427,$B28,'март 2025'!$J$5:$J$2427,AA$1)</f>
        <v>0</v>
      </c>
      <c r="AB28" s="76">
        <f>SUMIFS('март 2025'!$G$5:$G$2427,'март 2025'!$D$5:$D$2427,$B28,'март 2025'!$J$5:$J$2427,AB$1)</f>
        <v>0</v>
      </c>
      <c r="AC28" s="76">
        <f>SUMIFS('март 2025'!$G$5:$G$2427,'март 2025'!$D$5:$D$2427,$B28,'март 2025'!$J$5:$J$2427,AC$1)</f>
        <v>0</v>
      </c>
      <c r="AD28" s="76">
        <f>SUMIFS('март 2025'!$G$5:$G$2427,'март 2025'!$D$5:$D$2427,$B28,'март 2025'!$J$5:$J$2427,AD$1)</f>
        <v>0</v>
      </c>
      <c r="AE28" s="76">
        <f>SUMIFS('март 2025'!$G$5:$G$2427,'март 2025'!$D$5:$D$2427,$B28,'март 2025'!$J$5:$J$2427,AE$1)</f>
        <v>0</v>
      </c>
      <c r="AF28" s="76">
        <f>SUMIFS('март 2025'!$G$5:$G$2427,'март 2025'!$D$5:$D$2427,$B28,'март 2025'!$J$5:$J$2427,AF$1)</f>
        <v>0</v>
      </c>
      <c r="AG28" s="76">
        <f>SUMIFS('март 2025'!$G$5:$G$2427,'март 2025'!$D$5:$D$2427,$B28,'март 2025'!$J$5:$J$2427,AG$1)</f>
        <v>0</v>
      </c>
      <c r="AH28" s="76">
        <f>SUMIFS('март 2025'!$G$5:$G$2427,'март 2025'!$D$5:$D$2427,$B28,'март 2025'!$J$5:$J$2427,AH$1)</f>
        <v>0</v>
      </c>
      <c r="AI28" s="20">
        <f t="shared" si="1"/>
        <v>0</v>
      </c>
    </row>
    <row r="29" spans="2:35" ht="15" customHeight="1" x14ac:dyDescent="0.25">
      <c r="B29" s="80"/>
      <c r="C29" s="78"/>
      <c r="D29" s="76">
        <f>SUMIFS('март 2025'!$G$5:$G$2427,'март 2025'!$D$5:$D$2427,$B29,'март 2025'!$J$5:$J$2427,D$1)</f>
        <v>0</v>
      </c>
      <c r="E29" s="76">
        <f>SUMIFS('март 2025'!$G$5:$G$2427,'март 2025'!$D$5:$D$2427,$B29,'март 2025'!$J$5:$J$2427,E$1)</f>
        <v>0</v>
      </c>
      <c r="F29" s="76">
        <f>SUMIFS('март 2025'!$G$5:$G$2427,'март 2025'!$D$5:$D$2427,$B29,'март 2025'!$J$5:$J$2427,F$1)</f>
        <v>0</v>
      </c>
      <c r="G29" s="76">
        <f>SUMIFS('март 2025'!$G$5:$G$2427,'март 2025'!$D$5:$D$2427,$B29,'март 2025'!$J$5:$J$2427,G$1)</f>
        <v>0</v>
      </c>
      <c r="H29" s="76">
        <f>SUMIFS('март 2025'!$G$5:$G$2427,'март 2025'!$D$5:$D$2427,$B29,'март 2025'!$J$5:$J$2427,H$1)</f>
        <v>0</v>
      </c>
      <c r="I29" s="76">
        <f>SUMIFS('март 2025'!$G$5:$G$2427,'март 2025'!$D$5:$D$2427,$B29,'март 2025'!$J$5:$J$2427,I$1)</f>
        <v>0</v>
      </c>
      <c r="J29" s="76">
        <f>SUMIFS('март 2025'!$G$5:$G$2427,'март 2025'!$D$5:$D$2427,$B29,'март 2025'!$J$5:$J$2427,J$1)</f>
        <v>0</v>
      </c>
      <c r="K29" s="76">
        <f>SUMIFS('март 2025'!$G$5:$G$2427,'март 2025'!$D$5:$D$2427,$B29,'март 2025'!$J$5:$J$2427,K$1)</f>
        <v>0</v>
      </c>
      <c r="L29" s="76">
        <f>SUMIFS('март 2025'!$G$5:$G$2427,'март 2025'!$D$5:$D$2427,$B29,'март 2025'!$J$5:$J$2427,L$1)</f>
        <v>0</v>
      </c>
      <c r="M29" s="76">
        <f>SUMIFS('март 2025'!$G$5:$G$2427,'март 2025'!$D$5:$D$2427,$B29,'март 2025'!$J$5:$J$2427,M$1)</f>
        <v>0</v>
      </c>
      <c r="N29" s="76">
        <f>SUMIFS('март 2025'!$G$5:$G$2427,'март 2025'!$D$5:$D$2427,$B29,'март 2025'!$J$5:$J$2427,N$1)</f>
        <v>0</v>
      </c>
      <c r="O29" s="76">
        <f>SUMIFS('март 2025'!$G$5:$G$2427,'март 2025'!$D$5:$D$2427,$B29,'март 2025'!$J$5:$J$2427,O$1)</f>
        <v>0</v>
      </c>
      <c r="P29" s="76">
        <f>SUMIFS('март 2025'!$G$5:$G$2427,'март 2025'!$D$5:$D$2427,$B29,'март 2025'!$J$5:$J$2427,P$1)</f>
        <v>0</v>
      </c>
      <c r="Q29" s="76">
        <f>SUMIFS('март 2025'!$G$5:$G$2427,'март 2025'!$D$5:$D$2427,$B29,'март 2025'!$J$5:$J$2427,Q$1)</f>
        <v>0</v>
      </c>
      <c r="R29" s="76">
        <f>SUMIFS('март 2025'!$G$5:$G$2427,'март 2025'!$D$5:$D$2427,$B29,'март 2025'!$J$5:$J$2427,R$1)</f>
        <v>0</v>
      </c>
      <c r="S29" s="76">
        <f>SUMIFS('март 2025'!$G$5:$G$2427,'март 2025'!$D$5:$D$2427,$B29,'март 2025'!$J$5:$J$2427,S$1)</f>
        <v>0</v>
      </c>
      <c r="T29" s="76">
        <f>SUMIFS('март 2025'!$G$5:$G$2427,'март 2025'!$D$5:$D$2427,$B29,'март 2025'!$J$5:$J$2427,T$1)</f>
        <v>0</v>
      </c>
      <c r="U29" s="76">
        <f>SUMIFS('март 2025'!$G$5:$G$2427,'март 2025'!$D$5:$D$2427,$B29,'март 2025'!$J$5:$J$2427,U$1)</f>
        <v>0</v>
      </c>
      <c r="V29" s="76">
        <f>SUMIFS('март 2025'!$G$5:$G$2427,'март 2025'!$D$5:$D$2427,$B29,'март 2025'!$J$5:$J$2427,V$1)</f>
        <v>0</v>
      </c>
      <c r="W29" s="76">
        <f>SUMIFS('март 2025'!$G$5:$G$2427,'март 2025'!$D$5:$D$2427,$B29,'март 2025'!$J$5:$J$2427,W$1)</f>
        <v>0</v>
      </c>
      <c r="X29" s="76">
        <f>SUMIFS('март 2025'!$G$5:$G$2427,'март 2025'!$D$5:$D$2427,$B29,'март 2025'!$J$5:$J$2427,X$1)</f>
        <v>0</v>
      </c>
      <c r="Y29" s="76">
        <f>SUMIFS('март 2025'!$G$5:$G$2427,'март 2025'!$D$5:$D$2427,$B29,'март 2025'!$J$5:$J$2427,Y$1)</f>
        <v>0</v>
      </c>
      <c r="Z29" s="76">
        <f>SUMIFS('март 2025'!$G$5:$G$2427,'март 2025'!$D$5:$D$2427,$B29,'март 2025'!$J$5:$J$2427,Z$1)</f>
        <v>0</v>
      </c>
      <c r="AA29" s="76">
        <f>SUMIFS('март 2025'!$G$5:$G$2427,'март 2025'!$D$5:$D$2427,$B29,'март 2025'!$J$5:$J$2427,AA$1)</f>
        <v>0</v>
      </c>
      <c r="AB29" s="76">
        <f>SUMIFS('март 2025'!$G$5:$G$2427,'март 2025'!$D$5:$D$2427,$B29,'март 2025'!$J$5:$J$2427,AB$1)</f>
        <v>0</v>
      </c>
      <c r="AC29" s="76">
        <f>SUMIFS('март 2025'!$G$5:$G$2427,'март 2025'!$D$5:$D$2427,$B29,'март 2025'!$J$5:$J$2427,AC$1)</f>
        <v>0</v>
      </c>
      <c r="AD29" s="76">
        <f>SUMIFS('март 2025'!$G$5:$G$2427,'март 2025'!$D$5:$D$2427,$B29,'март 2025'!$J$5:$J$2427,AD$1)</f>
        <v>0</v>
      </c>
      <c r="AE29" s="76">
        <f>SUMIFS('март 2025'!$G$5:$G$2427,'март 2025'!$D$5:$D$2427,$B29,'март 2025'!$J$5:$J$2427,AE$1)</f>
        <v>0</v>
      </c>
      <c r="AF29" s="76">
        <f>SUMIFS('март 2025'!$G$5:$G$2427,'март 2025'!$D$5:$D$2427,$B29,'март 2025'!$J$5:$J$2427,AF$1)</f>
        <v>0</v>
      </c>
      <c r="AG29" s="76">
        <f>SUMIFS('март 2025'!$G$5:$G$2427,'март 2025'!$D$5:$D$2427,$B29,'март 2025'!$J$5:$J$2427,AG$1)</f>
        <v>0</v>
      </c>
      <c r="AH29" s="76">
        <f>SUMIFS('март 2025'!$G$5:$G$2427,'март 2025'!$D$5:$D$2427,$B29,'март 2025'!$J$5:$J$2427,AH$1)</f>
        <v>0</v>
      </c>
      <c r="AI29" s="20">
        <f t="shared" si="1"/>
        <v>0</v>
      </c>
    </row>
    <row r="30" spans="2:35" ht="15" customHeight="1" x14ac:dyDescent="0.25">
      <c r="B30" s="80"/>
      <c r="C30" s="78"/>
      <c r="D30" s="76">
        <f>SUMIFS('март 2025'!$G$5:$G$2427,'март 2025'!$D$5:$D$2427,$B30,'март 2025'!$J$5:$J$2427,D$1)</f>
        <v>0</v>
      </c>
      <c r="E30" s="76">
        <f>SUMIFS('март 2025'!$G$5:$G$2427,'март 2025'!$D$5:$D$2427,$B30,'март 2025'!$J$5:$J$2427,E$1)</f>
        <v>0</v>
      </c>
      <c r="F30" s="76">
        <f>SUMIFS('март 2025'!$G$5:$G$2427,'март 2025'!$D$5:$D$2427,$B30,'март 2025'!$J$5:$J$2427,F$1)</f>
        <v>0</v>
      </c>
      <c r="G30" s="76">
        <f>SUMIFS('март 2025'!$G$5:$G$2427,'март 2025'!$D$5:$D$2427,$B30,'март 2025'!$J$5:$J$2427,G$1)</f>
        <v>0</v>
      </c>
      <c r="H30" s="76">
        <f>SUMIFS('март 2025'!$G$5:$G$2427,'март 2025'!$D$5:$D$2427,$B30,'март 2025'!$J$5:$J$2427,H$1)</f>
        <v>0</v>
      </c>
      <c r="I30" s="76">
        <f>SUMIFS('март 2025'!$G$5:$G$2427,'март 2025'!$D$5:$D$2427,$B30,'март 2025'!$J$5:$J$2427,I$1)</f>
        <v>0</v>
      </c>
      <c r="J30" s="76">
        <f>SUMIFS('март 2025'!$G$5:$G$2427,'март 2025'!$D$5:$D$2427,$B30,'март 2025'!$J$5:$J$2427,J$1)</f>
        <v>0</v>
      </c>
      <c r="K30" s="76">
        <f>SUMIFS('март 2025'!$G$5:$G$2427,'март 2025'!$D$5:$D$2427,$B30,'март 2025'!$J$5:$J$2427,K$1)</f>
        <v>0</v>
      </c>
      <c r="L30" s="76">
        <f>SUMIFS('март 2025'!$G$5:$G$2427,'март 2025'!$D$5:$D$2427,$B30,'март 2025'!$J$5:$J$2427,L$1)</f>
        <v>0</v>
      </c>
      <c r="M30" s="76">
        <f>SUMIFS('март 2025'!$G$5:$G$2427,'март 2025'!$D$5:$D$2427,$B30,'март 2025'!$J$5:$J$2427,M$1)</f>
        <v>0</v>
      </c>
      <c r="N30" s="76">
        <f>SUMIFS('март 2025'!$G$5:$G$2427,'март 2025'!$D$5:$D$2427,$B30,'март 2025'!$J$5:$J$2427,N$1)</f>
        <v>0</v>
      </c>
      <c r="O30" s="76">
        <f>SUMIFS('март 2025'!$G$5:$G$2427,'март 2025'!$D$5:$D$2427,$B30,'март 2025'!$J$5:$J$2427,O$1)</f>
        <v>0</v>
      </c>
      <c r="P30" s="76">
        <f>SUMIFS('март 2025'!$G$5:$G$2427,'март 2025'!$D$5:$D$2427,$B30,'март 2025'!$J$5:$J$2427,P$1)</f>
        <v>0</v>
      </c>
      <c r="Q30" s="76">
        <f>SUMIFS('март 2025'!$G$5:$G$2427,'март 2025'!$D$5:$D$2427,$B30,'март 2025'!$J$5:$J$2427,Q$1)</f>
        <v>0</v>
      </c>
      <c r="R30" s="76">
        <f>SUMIFS('март 2025'!$G$5:$G$2427,'март 2025'!$D$5:$D$2427,$B30,'март 2025'!$J$5:$J$2427,R$1)</f>
        <v>0</v>
      </c>
      <c r="S30" s="76">
        <f>SUMIFS('март 2025'!$G$5:$G$2427,'март 2025'!$D$5:$D$2427,$B30,'март 2025'!$J$5:$J$2427,S$1)</f>
        <v>0</v>
      </c>
      <c r="T30" s="76">
        <f>SUMIFS('март 2025'!$G$5:$G$2427,'март 2025'!$D$5:$D$2427,$B30,'март 2025'!$J$5:$J$2427,T$1)</f>
        <v>0</v>
      </c>
      <c r="U30" s="76">
        <f>SUMIFS('март 2025'!$G$5:$G$2427,'март 2025'!$D$5:$D$2427,$B30,'март 2025'!$J$5:$J$2427,U$1)</f>
        <v>0</v>
      </c>
      <c r="V30" s="76">
        <f>SUMIFS('март 2025'!$G$5:$G$2427,'март 2025'!$D$5:$D$2427,$B30,'март 2025'!$J$5:$J$2427,V$1)</f>
        <v>0</v>
      </c>
      <c r="W30" s="76">
        <f>SUMIFS('март 2025'!$G$5:$G$2427,'март 2025'!$D$5:$D$2427,$B30,'март 2025'!$J$5:$J$2427,W$1)</f>
        <v>0</v>
      </c>
      <c r="X30" s="76">
        <f>SUMIFS('март 2025'!$G$5:$G$2427,'март 2025'!$D$5:$D$2427,$B30,'март 2025'!$J$5:$J$2427,X$1)</f>
        <v>0</v>
      </c>
      <c r="Y30" s="76">
        <f>SUMIFS('март 2025'!$G$5:$G$2427,'март 2025'!$D$5:$D$2427,$B30,'март 2025'!$J$5:$J$2427,Y$1)</f>
        <v>0</v>
      </c>
      <c r="Z30" s="76">
        <f>SUMIFS('март 2025'!$G$5:$G$2427,'март 2025'!$D$5:$D$2427,$B30,'март 2025'!$J$5:$J$2427,Z$1)</f>
        <v>0</v>
      </c>
      <c r="AA30" s="76">
        <f>SUMIFS('март 2025'!$G$5:$G$2427,'март 2025'!$D$5:$D$2427,$B30,'март 2025'!$J$5:$J$2427,AA$1)</f>
        <v>0</v>
      </c>
      <c r="AB30" s="76">
        <f>SUMIFS('март 2025'!$G$5:$G$2427,'март 2025'!$D$5:$D$2427,$B30,'март 2025'!$J$5:$J$2427,AB$1)</f>
        <v>0</v>
      </c>
      <c r="AC30" s="76">
        <f>SUMIFS('март 2025'!$G$5:$G$2427,'март 2025'!$D$5:$D$2427,$B30,'март 2025'!$J$5:$J$2427,AC$1)</f>
        <v>0</v>
      </c>
      <c r="AD30" s="76">
        <f>SUMIFS('март 2025'!$G$5:$G$2427,'март 2025'!$D$5:$D$2427,$B30,'март 2025'!$J$5:$J$2427,AD$1)</f>
        <v>0</v>
      </c>
      <c r="AE30" s="76">
        <f>SUMIFS('март 2025'!$G$5:$G$2427,'март 2025'!$D$5:$D$2427,$B30,'март 2025'!$J$5:$J$2427,AE$1)</f>
        <v>0</v>
      </c>
      <c r="AF30" s="76">
        <f>SUMIFS('март 2025'!$G$5:$G$2427,'март 2025'!$D$5:$D$2427,$B30,'март 2025'!$J$5:$J$2427,AF$1)</f>
        <v>0</v>
      </c>
      <c r="AG30" s="76">
        <f>SUMIFS('март 2025'!$G$5:$G$2427,'март 2025'!$D$5:$D$2427,$B30,'март 2025'!$J$5:$J$2427,AG$1)</f>
        <v>0</v>
      </c>
      <c r="AH30" s="76">
        <f>SUMIFS('март 2025'!$G$5:$G$2427,'март 2025'!$D$5:$D$2427,$B30,'март 2025'!$J$5:$J$2427,AH$1)</f>
        <v>0</v>
      </c>
      <c r="AI30" s="20">
        <f t="shared" si="1"/>
        <v>0</v>
      </c>
    </row>
    <row r="31" spans="2:35" ht="15" customHeight="1" x14ac:dyDescent="0.25">
      <c r="B31" s="80"/>
      <c r="C31" s="78"/>
      <c r="D31" s="76">
        <f>SUMIFS('март 2025'!$G$5:$G$2427,'март 2025'!$D$5:$D$2427,$B31,'март 2025'!$J$5:$J$2427,D$1)</f>
        <v>0</v>
      </c>
      <c r="E31" s="76">
        <f>SUMIFS('март 2025'!$G$5:$G$2427,'март 2025'!$D$5:$D$2427,$B31,'март 2025'!$J$5:$J$2427,E$1)</f>
        <v>0</v>
      </c>
      <c r="F31" s="76">
        <f>SUMIFS('март 2025'!$G$5:$G$2427,'март 2025'!$D$5:$D$2427,$B31,'март 2025'!$J$5:$J$2427,F$1)</f>
        <v>0</v>
      </c>
      <c r="G31" s="76">
        <f>SUMIFS('март 2025'!$G$5:$G$2427,'март 2025'!$D$5:$D$2427,$B31,'март 2025'!$J$5:$J$2427,G$1)</f>
        <v>0</v>
      </c>
      <c r="H31" s="76">
        <f>SUMIFS('март 2025'!$G$5:$G$2427,'март 2025'!$D$5:$D$2427,$B31,'март 2025'!$J$5:$J$2427,H$1)</f>
        <v>0</v>
      </c>
      <c r="I31" s="76">
        <f>SUMIFS('март 2025'!$G$5:$G$2427,'март 2025'!$D$5:$D$2427,$B31,'март 2025'!$J$5:$J$2427,I$1)</f>
        <v>0</v>
      </c>
      <c r="J31" s="76">
        <f>SUMIFS('март 2025'!$G$5:$G$2427,'март 2025'!$D$5:$D$2427,$B31,'март 2025'!$J$5:$J$2427,J$1)</f>
        <v>0</v>
      </c>
      <c r="K31" s="76">
        <f>SUMIFS('март 2025'!$G$5:$G$2427,'март 2025'!$D$5:$D$2427,$B31,'март 2025'!$J$5:$J$2427,K$1)</f>
        <v>0</v>
      </c>
      <c r="L31" s="76">
        <f>SUMIFS('март 2025'!$G$5:$G$2427,'март 2025'!$D$5:$D$2427,$B31,'март 2025'!$J$5:$J$2427,L$1)</f>
        <v>0</v>
      </c>
      <c r="M31" s="76">
        <f>SUMIFS('март 2025'!$G$5:$G$2427,'март 2025'!$D$5:$D$2427,$B31,'март 2025'!$J$5:$J$2427,M$1)</f>
        <v>0</v>
      </c>
      <c r="N31" s="76">
        <f>SUMIFS('март 2025'!$G$5:$G$2427,'март 2025'!$D$5:$D$2427,$B31,'март 2025'!$J$5:$J$2427,N$1)</f>
        <v>0</v>
      </c>
      <c r="O31" s="76">
        <f>SUMIFS('март 2025'!$G$5:$G$2427,'март 2025'!$D$5:$D$2427,$B31,'март 2025'!$J$5:$J$2427,O$1)</f>
        <v>0</v>
      </c>
      <c r="P31" s="76">
        <f>SUMIFS('март 2025'!$G$5:$G$2427,'март 2025'!$D$5:$D$2427,$B31,'март 2025'!$J$5:$J$2427,P$1)</f>
        <v>0</v>
      </c>
      <c r="Q31" s="76">
        <f>SUMIFS('март 2025'!$G$5:$G$2427,'март 2025'!$D$5:$D$2427,$B31,'март 2025'!$J$5:$J$2427,Q$1)</f>
        <v>0</v>
      </c>
      <c r="R31" s="76">
        <f>SUMIFS('март 2025'!$G$5:$G$2427,'март 2025'!$D$5:$D$2427,$B31,'март 2025'!$J$5:$J$2427,R$1)</f>
        <v>0</v>
      </c>
      <c r="S31" s="76">
        <f>SUMIFS('март 2025'!$G$5:$G$2427,'март 2025'!$D$5:$D$2427,$B31,'март 2025'!$J$5:$J$2427,S$1)</f>
        <v>0</v>
      </c>
      <c r="T31" s="76">
        <f>SUMIFS('март 2025'!$G$5:$G$2427,'март 2025'!$D$5:$D$2427,$B31,'март 2025'!$J$5:$J$2427,T$1)</f>
        <v>0</v>
      </c>
      <c r="U31" s="76">
        <f>SUMIFS('март 2025'!$G$5:$G$2427,'март 2025'!$D$5:$D$2427,$B31,'март 2025'!$J$5:$J$2427,U$1)</f>
        <v>0</v>
      </c>
      <c r="V31" s="76">
        <f>SUMIFS('март 2025'!$G$5:$G$2427,'март 2025'!$D$5:$D$2427,$B31,'март 2025'!$J$5:$J$2427,V$1)</f>
        <v>0</v>
      </c>
      <c r="W31" s="76">
        <f>SUMIFS('март 2025'!$G$5:$G$2427,'март 2025'!$D$5:$D$2427,$B31,'март 2025'!$J$5:$J$2427,W$1)</f>
        <v>0</v>
      </c>
      <c r="X31" s="76">
        <f>SUMIFS('март 2025'!$G$5:$G$2427,'март 2025'!$D$5:$D$2427,$B31,'март 2025'!$J$5:$J$2427,X$1)</f>
        <v>0</v>
      </c>
      <c r="Y31" s="76">
        <f>SUMIFS('март 2025'!$G$5:$G$2427,'март 2025'!$D$5:$D$2427,$B31,'март 2025'!$J$5:$J$2427,Y$1)</f>
        <v>0</v>
      </c>
      <c r="Z31" s="76">
        <f>SUMIFS('март 2025'!$G$5:$G$2427,'март 2025'!$D$5:$D$2427,$B31,'март 2025'!$J$5:$J$2427,Z$1)</f>
        <v>0</v>
      </c>
      <c r="AA31" s="76">
        <f>SUMIFS('март 2025'!$G$5:$G$2427,'март 2025'!$D$5:$D$2427,$B31,'март 2025'!$J$5:$J$2427,AA$1)</f>
        <v>0</v>
      </c>
      <c r="AB31" s="76">
        <f>SUMIFS('март 2025'!$G$5:$G$2427,'март 2025'!$D$5:$D$2427,$B31,'март 2025'!$J$5:$J$2427,AB$1)</f>
        <v>0</v>
      </c>
      <c r="AC31" s="76">
        <f>SUMIFS('март 2025'!$G$5:$G$2427,'март 2025'!$D$5:$D$2427,$B31,'март 2025'!$J$5:$J$2427,AC$1)</f>
        <v>0</v>
      </c>
      <c r="AD31" s="76">
        <f>SUMIFS('март 2025'!$G$5:$G$2427,'март 2025'!$D$5:$D$2427,$B31,'март 2025'!$J$5:$J$2427,AD$1)</f>
        <v>0</v>
      </c>
      <c r="AE31" s="76">
        <f>SUMIFS('март 2025'!$G$5:$G$2427,'март 2025'!$D$5:$D$2427,$B31,'март 2025'!$J$5:$J$2427,AE$1)</f>
        <v>0</v>
      </c>
      <c r="AF31" s="76">
        <f>SUMIFS('март 2025'!$G$5:$G$2427,'март 2025'!$D$5:$D$2427,$B31,'март 2025'!$J$5:$J$2427,AF$1)</f>
        <v>0</v>
      </c>
      <c r="AG31" s="76">
        <f>SUMIFS('март 2025'!$G$5:$G$2427,'март 2025'!$D$5:$D$2427,$B31,'март 2025'!$J$5:$J$2427,AG$1)</f>
        <v>0</v>
      </c>
      <c r="AH31" s="76">
        <f>SUMIFS('март 2025'!$G$5:$G$2427,'март 2025'!$D$5:$D$2427,$B31,'март 2025'!$J$5:$J$2427,AH$1)</f>
        <v>0</v>
      </c>
      <c r="AI31" s="20">
        <f t="shared" si="1"/>
        <v>0</v>
      </c>
    </row>
    <row r="32" spans="2:35" ht="15" customHeight="1" x14ac:dyDescent="0.25">
      <c r="B32" s="80"/>
      <c r="C32" s="78"/>
      <c r="D32" s="76">
        <f>SUMIFS('март 2025'!$G$5:$G$2427,'март 2025'!$D$5:$D$2427,$B32,'март 2025'!$J$5:$J$2427,D$1)</f>
        <v>0</v>
      </c>
      <c r="E32" s="76">
        <f>SUMIFS('март 2025'!$G$5:$G$2427,'март 2025'!$D$5:$D$2427,$B32,'март 2025'!$J$5:$J$2427,E$1)</f>
        <v>0</v>
      </c>
      <c r="F32" s="76">
        <f>SUMIFS('март 2025'!$G$5:$G$2427,'март 2025'!$D$5:$D$2427,$B32,'март 2025'!$J$5:$J$2427,F$1)</f>
        <v>0</v>
      </c>
      <c r="G32" s="76">
        <f>SUMIFS('март 2025'!$G$5:$G$2427,'март 2025'!$D$5:$D$2427,$B32,'март 2025'!$J$5:$J$2427,G$1)</f>
        <v>0</v>
      </c>
      <c r="H32" s="76">
        <f>SUMIFS('март 2025'!$G$5:$G$2427,'март 2025'!$D$5:$D$2427,$B32,'март 2025'!$J$5:$J$2427,H$1)</f>
        <v>0</v>
      </c>
      <c r="I32" s="76">
        <f>SUMIFS('март 2025'!$G$5:$G$2427,'март 2025'!$D$5:$D$2427,$B32,'март 2025'!$J$5:$J$2427,I$1)</f>
        <v>0</v>
      </c>
      <c r="J32" s="76">
        <f>SUMIFS('март 2025'!$G$5:$G$2427,'март 2025'!$D$5:$D$2427,$B32,'март 2025'!$J$5:$J$2427,J$1)</f>
        <v>0</v>
      </c>
      <c r="K32" s="76">
        <f>SUMIFS('март 2025'!$G$5:$G$2427,'март 2025'!$D$5:$D$2427,$B32,'март 2025'!$J$5:$J$2427,K$1)</f>
        <v>0</v>
      </c>
      <c r="L32" s="76">
        <f>SUMIFS('март 2025'!$G$5:$G$2427,'март 2025'!$D$5:$D$2427,$B32,'март 2025'!$J$5:$J$2427,L$1)</f>
        <v>0</v>
      </c>
      <c r="M32" s="76">
        <f>SUMIFS('март 2025'!$G$5:$G$2427,'март 2025'!$D$5:$D$2427,$B32,'март 2025'!$J$5:$J$2427,M$1)</f>
        <v>0</v>
      </c>
      <c r="N32" s="76">
        <f>SUMIFS('март 2025'!$G$5:$G$2427,'март 2025'!$D$5:$D$2427,$B32,'март 2025'!$J$5:$J$2427,N$1)</f>
        <v>0</v>
      </c>
      <c r="O32" s="76">
        <f>SUMIFS('март 2025'!$G$5:$G$2427,'март 2025'!$D$5:$D$2427,$B32,'март 2025'!$J$5:$J$2427,O$1)</f>
        <v>0</v>
      </c>
      <c r="P32" s="76">
        <f>SUMIFS('март 2025'!$G$5:$G$2427,'март 2025'!$D$5:$D$2427,$B32,'март 2025'!$J$5:$J$2427,P$1)</f>
        <v>0</v>
      </c>
      <c r="Q32" s="76">
        <f>SUMIFS('март 2025'!$G$5:$G$2427,'март 2025'!$D$5:$D$2427,$B32,'март 2025'!$J$5:$J$2427,Q$1)</f>
        <v>0</v>
      </c>
      <c r="R32" s="76">
        <f>SUMIFS('март 2025'!$G$5:$G$2427,'март 2025'!$D$5:$D$2427,$B32,'март 2025'!$J$5:$J$2427,R$1)</f>
        <v>0</v>
      </c>
      <c r="S32" s="76">
        <f>SUMIFS('март 2025'!$G$5:$G$2427,'март 2025'!$D$5:$D$2427,$B32,'март 2025'!$J$5:$J$2427,S$1)</f>
        <v>0</v>
      </c>
      <c r="T32" s="76">
        <f>SUMIFS('март 2025'!$G$5:$G$2427,'март 2025'!$D$5:$D$2427,$B32,'март 2025'!$J$5:$J$2427,T$1)</f>
        <v>0</v>
      </c>
      <c r="U32" s="76">
        <f>SUMIFS('март 2025'!$G$5:$G$2427,'март 2025'!$D$5:$D$2427,$B32,'март 2025'!$J$5:$J$2427,U$1)</f>
        <v>0</v>
      </c>
      <c r="V32" s="76">
        <f>SUMIFS('март 2025'!$G$5:$G$2427,'март 2025'!$D$5:$D$2427,$B32,'март 2025'!$J$5:$J$2427,V$1)</f>
        <v>0</v>
      </c>
      <c r="W32" s="76">
        <f>SUMIFS('март 2025'!$G$5:$G$2427,'март 2025'!$D$5:$D$2427,$B32,'март 2025'!$J$5:$J$2427,W$1)</f>
        <v>0</v>
      </c>
      <c r="X32" s="76">
        <f>SUMIFS('март 2025'!$G$5:$G$2427,'март 2025'!$D$5:$D$2427,$B32,'март 2025'!$J$5:$J$2427,X$1)</f>
        <v>0</v>
      </c>
      <c r="Y32" s="76">
        <f>SUMIFS('март 2025'!$G$5:$G$2427,'март 2025'!$D$5:$D$2427,$B32,'март 2025'!$J$5:$J$2427,Y$1)</f>
        <v>0</v>
      </c>
      <c r="Z32" s="76">
        <f>SUMIFS('март 2025'!$G$5:$G$2427,'март 2025'!$D$5:$D$2427,$B32,'март 2025'!$J$5:$J$2427,Z$1)</f>
        <v>0</v>
      </c>
      <c r="AA32" s="76">
        <f>SUMIFS('март 2025'!$G$5:$G$2427,'март 2025'!$D$5:$D$2427,$B32,'март 2025'!$J$5:$J$2427,AA$1)</f>
        <v>0</v>
      </c>
      <c r="AB32" s="76">
        <f>SUMIFS('март 2025'!$G$5:$G$2427,'март 2025'!$D$5:$D$2427,$B32,'март 2025'!$J$5:$J$2427,AB$1)</f>
        <v>0</v>
      </c>
      <c r="AC32" s="76">
        <f>SUMIFS('март 2025'!$G$5:$G$2427,'март 2025'!$D$5:$D$2427,$B32,'март 2025'!$J$5:$J$2427,AC$1)</f>
        <v>0</v>
      </c>
      <c r="AD32" s="76">
        <f>SUMIFS('март 2025'!$G$5:$G$2427,'март 2025'!$D$5:$D$2427,$B32,'март 2025'!$J$5:$J$2427,AD$1)</f>
        <v>0</v>
      </c>
      <c r="AE32" s="76">
        <f>SUMIFS('март 2025'!$G$5:$G$2427,'март 2025'!$D$5:$D$2427,$B32,'март 2025'!$J$5:$J$2427,AE$1)</f>
        <v>0</v>
      </c>
      <c r="AF32" s="76">
        <f>SUMIFS('март 2025'!$G$5:$G$2427,'март 2025'!$D$5:$D$2427,$B32,'март 2025'!$J$5:$J$2427,AF$1)</f>
        <v>0</v>
      </c>
      <c r="AG32" s="76">
        <f>SUMIFS('март 2025'!$G$5:$G$2427,'март 2025'!$D$5:$D$2427,$B32,'март 2025'!$J$5:$J$2427,AG$1)</f>
        <v>0</v>
      </c>
      <c r="AH32" s="76">
        <f>SUMIFS('март 2025'!$G$5:$G$2427,'март 2025'!$D$5:$D$2427,$B32,'март 2025'!$J$5:$J$2427,AH$1)</f>
        <v>0</v>
      </c>
      <c r="AI32" s="20">
        <f t="shared" si="1"/>
        <v>0</v>
      </c>
    </row>
    <row r="33" spans="2:35" ht="15" customHeight="1" x14ac:dyDescent="0.25">
      <c r="B33" s="125" t="s">
        <v>213</v>
      </c>
      <c r="C33" s="126">
        <v>25</v>
      </c>
      <c r="D33" s="182">
        <f>SUMIFS('март 2025'!$G$5:$G$2427,'март 2025'!$D$5:$D$2427,$B33,'март 2025'!$J$5:$J$2427,D$1)</f>
        <v>0</v>
      </c>
      <c r="E33" s="182">
        <f>SUMIFS('март 2025'!$G$5:$G$2427,'март 2025'!$D$5:$D$2427,$B33,'март 2025'!$J$5:$J$2427,E$1)</f>
        <v>0</v>
      </c>
      <c r="F33" s="182">
        <f>SUMIFS('март 2025'!$G$5:$G$2427,'март 2025'!$D$5:$D$2427,$B33,'март 2025'!$J$5:$J$2427,F$1)</f>
        <v>0</v>
      </c>
      <c r="G33" s="182">
        <f>SUMIFS('март 2025'!$G$5:$G$2427,'март 2025'!$D$5:$D$2427,$B33,'март 2025'!$J$5:$J$2427,G$1)</f>
        <v>0</v>
      </c>
      <c r="H33" s="182">
        <f>SUMIFS('март 2025'!$G$5:$G$2427,'март 2025'!$D$5:$D$2427,$B33,'март 2025'!$J$5:$J$2427,H$1)</f>
        <v>0</v>
      </c>
      <c r="I33" s="182">
        <f>SUMIFS('март 2025'!$G$5:$G$2427,'март 2025'!$D$5:$D$2427,$B33,'март 2025'!$J$5:$J$2427,I$1)</f>
        <v>0</v>
      </c>
      <c r="J33" s="182">
        <f>SUMIFS('март 2025'!$G$5:$G$2427,'март 2025'!$D$5:$D$2427,$B33,'март 2025'!$J$5:$J$2427,J$1)</f>
        <v>0</v>
      </c>
      <c r="K33" s="182">
        <f>SUMIFS('март 2025'!$G$5:$G$2427,'март 2025'!$D$5:$D$2427,$B33,'март 2025'!$J$5:$J$2427,K$1)</f>
        <v>0</v>
      </c>
      <c r="L33" s="182">
        <f>SUMIFS('март 2025'!$G$5:$G$2427,'март 2025'!$D$5:$D$2427,$B33,'март 2025'!$J$5:$J$2427,L$1)</f>
        <v>0</v>
      </c>
      <c r="M33" s="182">
        <f>SUMIFS('март 2025'!$G$5:$G$2427,'март 2025'!$D$5:$D$2427,$B33,'март 2025'!$J$5:$J$2427,M$1)</f>
        <v>0</v>
      </c>
      <c r="N33" s="182">
        <f>SUMIFS('март 2025'!$G$5:$G$2427,'март 2025'!$D$5:$D$2427,$B33,'март 2025'!$J$5:$J$2427,N$1)</f>
        <v>0</v>
      </c>
      <c r="O33" s="182">
        <f>SUMIFS('март 2025'!$G$5:$G$2427,'март 2025'!$D$5:$D$2427,$B33,'март 2025'!$J$5:$J$2427,O$1)</f>
        <v>0</v>
      </c>
      <c r="P33" s="182">
        <f>SUMIFS('март 2025'!$G$5:$G$2427,'март 2025'!$D$5:$D$2427,$B33,'март 2025'!$J$5:$J$2427,P$1)</f>
        <v>0</v>
      </c>
      <c r="Q33" s="182">
        <f>SUMIFS('март 2025'!$G$5:$G$2427,'март 2025'!$D$5:$D$2427,$B33,'март 2025'!$J$5:$J$2427,Q$1)</f>
        <v>0</v>
      </c>
      <c r="R33" s="182">
        <f>SUMIFS('март 2025'!$G$5:$G$2427,'март 2025'!$D$5:$D$2427,$B33,'март 2025'!$J$5:$J$2427,R$1)</f>
        <v>0</v>
      </c>
      <c r="S33" s="182">
        <f>SUMIFS('март 2025'!$G$5:$G$2427,'март 2025'!$D$5:$D$2427,$B33,'март 2025'!$J$5:$J$2427,S$1)</f>
        <v>0</v>
      </c>
      <c r="T33" s="182">
        <f>SUMIFS('март 2025'!$G$5:$G$2427,'март 2025'!$D$5:$D$2427,$B33,'март 2025'!$J$5:$J$2427,T$1)</f>
        <v>0</v>
      </c>
      <c r="U33" s="182">
        <f>SUMIFS('март 2025'!$G$5:$G$2427,'март 2025'!$D$5:$D$2427,$B33,'март 2025'!$J$5:$J$2427,U$1)</f>
        <v>0</v>
      </c>
      <c r="V33" s="182">
        <f>SUMIFS('март 2025'!$G$5:$G$2427,'март 2025'!$D$5:$D$2427,$B33,'март 2025'!$J$5:$J$2427,V$1)</f>
        <v>0</v>
      </c>
      <c r="W33" s="182">
        <f>SUMIFS('март 2025'!$G$5:$G$2427,'март 2025'!$D$5:$D$2427,$B33,'март 2025'!$J$5:$J$2427,W$1)</f>
        <v>0</v>
      </c>
      <c r="X33" s="182">
        <f>SUMIFS('март 2025'!$G$5:$G$2427,'март 2025'!$D$5:$D$2427,$B33,'март 2025'!$J$5:$J$2427,X$1)</f>
        <v>0</v>
      </c>
      <c r="Y33" s="182">
        <f>SUMIFS('март 2025'!$G$5:$G$2427,'март 2025'!$D$5:$D$2427,$B33,'март 2025'!$J$5:$J$2427,Y$1)</f>
        <v>0</v>
      </c>
      <c r="Z33" s="182">
        <f>SUMIFS('март 2025'!$G$5:$G$2427,'март 2025'!$D$5:$D$2427,$B33,'март 2025'!$J$5:$J$2427,Z$1)</f>
        <v>0</v>
      </c>
      <c r="AA33" s="182">
        <f>SUMIFS('март 2025'!$G$5:$G$2427,'март 2025'!$D$5:$D$2427,$B33,'март 2025'!$J$5:$J$2427,AA$1)</f>
        <v>0</v>
      </c>
      <c r="AB33" s="182">
        <f>SUMIFS('март 2025'!$G$5:$G$2427,'март 2025'!$D$5:$D$2427,$B33,'март 2025'!$J$5:$J$2427,AB$1)</f>
        <v>0</v>
      </c>
      <c r="AC33" s="182">
        <f>SUMIFS('март 2025'!$G$5:$G$2427,'март 2025'!$D$5:$D$2427,$B33,'март 2025'!$J$5:$J$2427,AC$1)</f>
        <v>0</v>
      </c>
      <c r="AD33" s="182">
        <f>SUMIFS('март 2025'!$G$5:$G$2427,'март 2025'!$D$5:$D$2427,$B33,'март 2025'!$J$5:$J$2427,AD$1)</f>
        <v>0</v>
      </c>
      <c r="AE33" s="182">
        <f>SUMIFS('март 2025'!$G$5:$G$2427,'март 2025'!$D$5:$D$2427,$B33,'март 2025'!$J$5:$J$2427,AE$1)</f>
        <v>0</v>
      </c>
      <c r="AF33" s="182">
        <f>SUMIFS('март 2025'!$G$5:$G$2427,'март 2025'!$D$5:$D$2427,$B33,'март 2025'!$J$5:$J$2427,AF$1)</f>
        <v>0</v>
      </c>
      <c r="AG33" s="182">
        <f>SUMIFS('март 2025'!$G$5:$G$2427,'март 2025'!$D$5:$D$2427,$B33,'март 2025'!$J$5:$J$2427,AG$1)</f>
        <v>0</v>
      </c>
      <c r="AH33" s="182">
        <f>SUMIFS('март 2025'!$G$5:$G$2427,'март 2025'!$D$5:$D$2427,$B33,'март 2025'!$J$5:$J$2427,AH$1)</f>
        <v>0</v>
      </c>
      <c r="AI33" s="20">
        <f t="shared" si="1"/>
        <v>0</v>
      </c>
    </row>
    <row r="34" spans="2:35" ht="15" customHeight="1" x14ac:dyDescent="0.25">
      <c r="B34" s="127" t="s">
        <v>215</v>
      </c>
      <c r="C34" s="126">
        <v>25</v>
      </c>
      <c r="D34" s="182">
        <f>SUMIFS('март 2025'!$G$5:$G$2427,'март 2025'!$D$5:$D$2427,$B34,'март 2025'!$J$5:$J$2427,D$1)</f>
        <v>0</v>
      </c>
      <c r="E34" s="182">
        <f>SUMIFS('март 2025'!$G$5:$G$2427,'март 2025'!$D$5:$D$2427,$B34,'март 2025'!$J$5:$J$2427,E$1)</f>
        <v>0</v>
      </c>
      <c r="F34" s="182">
        <f>SUMIFS('март 2025'!$G$5:$G$2427,'март 2025'!$D$5:$D$2427,$B34,'март 2025'!$J$5:$J$2427,F$1)</f>
        <v>0</v>
      </c>
      <c r="G34" s="182">
        <f>SUMIFS('март 2025'!$G$5:$G$2427,'март 2025'!$D$5:$D$2427,$B34,'март 2025'!$J$5:$J$2427,G$1)</f>
        <v>0</v>
      </c>
      <c r="H34" s="182">
        <f>SUMIFS('март 2025'!$G$5:$G$2427,'март 2025'!$D$5:$D$2427,$B34,'март 2025'!$J$5:$J$2427,H$1)</f>
        <v>0</v>
      </c>
      <c r="I34" s="182">
        <f>SUMIFS('март 2025'!$G$5:$G$2427,'март 2025'!$D$5:$D$2427,$B34,'март 2025'!$J$5:$J$2427,I$1)</f>
        <v>0</v>
      </c>
      <c r="J34" s="182">
        <f>SUMIFS('март 2025'!$G$5:$G$2427,'март 2025'!$D$5:$D$2427,$B34,'март 2025'!$J$5:$J$2427,J$1)</f>
        <v>0</v>
      </c>
      <c r="K34" s="182">
        <f>SUMIFS('март 2025'!$G$5:$G$2427,'март 2025'!$D$5:$D$2427,$B34,'март 2025'!$J$5:$J$2427,K$1)</f>
        <v>0</v>
      </c>
      <c r="L34" s="182">
        <f>SUMIFS('март 2025'!$G$5:$G$2427,'март 2025'!$D$5:$D$2427,$B34,'март 2025'!$J$5:$J$2427,L$1)</f>
        <v>0</v>
      </c>
      <c r="M34" s="182">
        <f>SUMIFS('март 2025'!$G$5:$G$2427,'март 2025'!$D$5:$D$2427,$B34,'март 2025'!$J$5:$J$2427,M$1)</f>
        <v>0</v>
      </c>
      <c r="N34" s="182">
        <f>SUMIFS('март 2025'!$G$5:$G$2427,'март 2025'!$D$5:$D$2427,$B34,'март 2025'!$J$5:$J$2427,N$1)</f>
        <v>0</v>
      </c>
      <c r="O34" s="182">
        <f>SUMIFS('март 2025'!$G$5:$G$2427,'март 2025'!$D$5:$D$2427,$B34,'март 2025'!$J$5:$J$2427,O$1)</f>
        <v>0</v>
      </c>
      <c r="P34" s="182">
        <f>SUMIFS('март 2025'!$G$5:$G$2427,'март 2025'!$D$5:$D$2427,$B34,'март 2025'!$J$5:$J$2427,P$1)</f>
        <v>0</v>
      </c>
      <c r="Q34" s="182">
        <f>SUMIFS('март 2025'!$G$5:$G$2427,'март 2025'!$D$5:$D$2427,$B34,'март 2025'!$J$5:$J$2427,Q$1)</f>
        <v>0</v>
      </c>
      <c r="R34" s="182">
        <f>SUMIFS('март 2025'!$G$5:$G$2427,'март 2025'!$D$5:$D$2427,$B34,'март 2025'!$J$5:$J$2427,R$1)</f>
        <v>0</v>
      </c>
      <c r="S34" s="182">
        <f>SUMIFS('март 2025'!$G$5:$G$2427,'март 2025'!$D$5:$D$2427,$B34,'март 2025'!$J$5:$J$2427,S$1)</f>
        <v>0</v>
      </c>
      <c r="T34" s="182">
        <f>SUMIFS('март 2025'!$G$5:$G$2427,'март 2025'!$D$5:$D$2427,$B34,'март 2025'!$J$5:$J$2427,T$1)</f>
        <v>0</v>
      </c>
      <c r="U34" s="182">
        <f>SUMIFS('март 2025'!$G$5:$G$2427,'март 2025'!$D$5:$D$2427,$B34,'март 2025'!$J$5:$J$2427,U$1)</f>
        <v>0</v>
      </c>
      <c r="V34" s="182">
        <f>SUMIFS('март 2025'!$G$5:$G$2427,'март 2025'!$D$5:$D$2427,$B34,'март 2025'!$J$5:$J$2427,V$1)</f>
        <v>0</v>
      </c>
      <c r="W34" s="182">
        <f>SUMIFS('март 2025'!$G$5:$G$2427,'март 2025'!$D$5:$D$2427,$B34,'март 2025'!$J$5:$J$2427,W$1)</f>
        <v>0</v>
      </c>
      <c r="X34" s="182">
        <f>SUMIFS('март 2025'!$G$5:$G$2427,'март 2025'!$D$5:$D$2427,$B34,'март 2025'!$J$5:$J$2427,X$1)</f>
        <v>0</v>
      </c>
      <c r="Y34" s="182">
        <f>SUMIFS('март 2025'!$G$5:$G$2427,'март 2025'!$D$5:$D$2427,$B34,'март 2025'!$J$5:$J$2427,Y$1)</f>
        <v>0</v>
      </c>
      <c r="Z34" s="182">
        <f>SUMIFS('март 2025'!$G$5:$G$2427,'март 2025'!$D$5:$D$2427,$B34,'март 2025'!$J$5:$J$2427,Z$1)</f>
        <v>0</v>
      </c>
      <c r="AA34" s="182">
        <f>SUMIFS('март 2025'!$G$5:$G$2427,'март 2025'!$D$5:$D$2427,$B34,'март 2025'!$J$5:$J$2427,AA$1)</f>
        <v>0</v>
      </c>
      <c r="AB34" s="182">
        <f>SUMIFS('март 2025'!$G$5:$G$2427,'март 2025'!$D$5:$D$2427,$B34,'март 2025'!$J$5:$J$2427,AB$1)</f>
        <v>0</v>
      </c>
      <c r="AC34" s="182">
        <f>SUMIFS('март 2025'!$G$5:$G$2427,'март 2025'!$D$5:$D$2427,$B34,'март 2025'!$J$5:$J$2427,AC$1)</f>
        <v>0</v>
      </c>
      <c r="AD34" s="182">
        <f>SUMIFS('март 2025'!$G$5:$G$2427,'март 2025'!$D$5:$D$2427,$B34,'март 2025'!$J$5:$J$2427,AD$1)</f>
        <v>0</v>
      </c>
      <c r="AE34" s="182">
        <f>SUMIFS('март 2025'!$G$5:$G$2427,'март 2025'!$D$5:$D$2427,$B34,'март 2025'!$J$5:$J$2427,AE$1)</f>
        <v>0</v>
      </c>
      <c r="AF34" s="182">
        <f>SUMIFS('март 2025'!$G$5:$G$2427,'март 2025'!$D$5:$D$2427,$B34,'март 2025'!$J$5:$J$2427,AF$1)</f>
        <v>0</v>
      </c>
      <c r="AG34" s="182">
        <f>SUMIFS('март 2025'!$G$5:$G$2427,'март 2025'!$D$5:$D$2427,$B34,'март 2025'!$J$5:$J$2427,AG$1)</f>
        <v>0</v>
      </c>
      <c r="AH34" s="182">
        <f>SUMIFS('март 2025'!$G$5:$G$2427,'март 2025'!$D$5:$D$2427,$B34,'март 2025'!$J$5:$J$2427,AH$1)</f>
        <v>0</v>
      </c>
      <c r="AI34" s="20">
        <f t="shared" si="1"/>
        <v>0</v>
      </c>
    </row>
    <row r="35" spans="2:35" ht="15" customHeight="1" x14ac:dyDescent="0.25">
      <c r="B35" s="128" t="s">
        <v>384</v>
      </c>
      <c r="C35" s="126">
        <v>25</v>
      </c>
      <c r="D35" s="182">
        <f>SUMIFS('март 2025'!$G$5:$G$2427,'март 2025'!$D$5:$D$2427,$B35,'март 2025'!$J$5:$J$2427,D$1)</f>
        <v>0</v>
      </c>
      <c r="E35" s="182">
        <f>SUMIFS('март 2025'!$G$5:$G$2427,'март 2025'!$D$5:$D$2427,$B35,'март 2025'!$J$5:$J$2427,E$1)</f>
        <v>0</v>
      </c>
      <c r="F35" s="182">
        <f>SUMIFS('март 2025'!$G$5:$G$2427,'март 2025'!$D$5:$D$2427,$B35,'март 2025'!$J$5:$J$2427,F$1)</f>
        <v>0</v>
      </c>
      <c r="G35" s="182">
        <f>SUMIFS('март 2025'!$G$5:$G$2427,'март 2025'!$D$5:$D$2427,$B35,'март 2025'!$J$5:$J$2427,G$1)</f>
        <v>0</v>
      </c>
      <c r="H35" s="182">
        <f>SUMIFS('март 2025'!$G$5:$G$2427,'март 2025'!$D$5:$D$2427,$B35,'март 2025'!$J$5:$J$2427,H$1)</f>
        <v>0</v>
      </c>
      <c r="I35" s="182">
        <f>SUMIFS('март 2025'!$G$5:$G$2427,'март 2025'!$D$5:$D$2427,$B35,'март 2025'!$J$5:$J$2427,I$1)</f>
        <v>0</v>
      </c>
      <c r="J35" s="182">
        <f>SUMIFS('март 2025'!$G$5:$G$2427,'март 2025'!$D$5:$D$2427,$B35,'март 2025'!$J$5:$J$2427,J$1)</f>
        <v>0</v>
      </c>
      <c r="K35" s="182">
        <f>SUMIFS('март 2025'!$G$5:$G$2427,'март 2025'!$D$5:$D$2427,$B35,'март 2025'!$J$5:$J$2427,K$1)</f>
        <v>0</v>
      </c>
      <c r="L35" s="182">
        <f>SUMIFS('март 2025'!$G$5:$G$2427,'март 2025'!$D$5:$D$2427,$B35,'март 2025'!$J$5:$J$2427,L$1)</f>
        <v>0</v>
      </c>
      <c r="M35" s="182">
        <f>SUMIFS('март 2025'!$G$5:$G$2427,'март 2025'!$D$5:$D$2427,$B35,'март 2025'!$J$5:$J$2427,M$1)</f>
        <v>0</v>
      </c>
      <c r="N35" s="182">
        <f>SUMIFS('март 2025'!$G$5:$G$2427,'март 2025'!$D$5:$D$2427,$B35,'март 2025'!$J$5:$J$2427,N$1)</f>
        <v>0</v>
      </c>
      <c r="O35" s="182">
        <f>SUMIFS('март 2025'!$G$5:$G$2427,'март 2025'!$D$5:$D$2427,$B35,'март 2025'!$J$5:$J$2427,O$1)</f>
        <v>0</v>
      </c>
      <c r="P35" s="182">
        <f>SUMIFS('март 2025'!$G$5:$G$2427,'март 2025'!$D$5:$D$2427,$B35,'март 2025'!$J$5:$J$2427,P$1)</f>
        <v>0</v>
      </c>
      <c r="Q35" s="182">
        <f>SUMIFS('март 2025'!$G$5:$G$2427,'март 2025'!$D$5:$D$2427,$B35,'март 2025'!$J$5:$J$2427,Q$1)</f>
        <v>0</v>
      </c>
      <c r="R35" s="182">
        <f>SUMIFS('март 2025'!$G$5:$G$2427,'март 2025'!$D$5:$D$2427,$B35,'март 2025'!$J$5:$J$2427,R$1)</f>
        <v>0</v>
      </c>
      <c r="S35" s="182">
        <f>SUMIFS('март 2025'!$G$5:$G$2427,'март 2025'!$D$5:$D$2427,$B35,'март 2025'!$J$5:$J$2427,S$1)</f>
        <v>0</v>
      </c>
      <c r="T35" s="182">
        <f>SUMIFS('март 2025'!$G$5:$G$2427,'март 2025'!$D$5:$D$2427,$B35,'март 2025'!$J$5:$J$2427,T$1)</f>
        <v>0</v>
      </c>
      <c r="U35" s="182">
        <f>SUMIFS('март 2025'!$G$5:$G$2427,'март 2025'!$D$5:$D$2427,$B35,'март 2025'!$J$5:$J$2427,U$1)</f>
        <v>0</v>
      </c>
      <c r="V35" s="182">
        <f>SUMIFS('март 2025'!$G$5:$G$2427,'март 2025'!$D$5:$D$2427,$B35,'март 2025'!$J$5:$J$2427,V$1)</f>
        <v>0</v>
      </c>
      <c r="W35" s="182">
        <f>SUMIFS('март 2025'!$G$5:$G$2427,'март 2025'!$D$5:$D$2427,$B35,'март 2025'!$J$5:$J$2427,W$1)</f>
        <v>0</v>
      </c>
      <c r="X35" s="182">
        <f>SUMIFS('март 2025'!$G$5:$G$2427,'март 2025'!$D$5:$D$2427,$B35,'март 2025'!$J$5:$J$2427,X$1)</f>
        <v>0</v>
      </c>
      <c r="Y35" s="182">
        <f>SUMIFS('март 2025'!$G$5:$G$2427,'март 2025'!$D$5:$D$2427,$B35,'март 2025'!$J$5:$J$2427,Y$1)</f>
        <v>0</v>
      </c>
      <c r="Z35" s="182">
        <f>SUMIFS('март 2025'!$G$5:$G$2427,'март 2025'!$D$5:$D$2427,$B35,'март 2025'!$J$5:$J$2427,Z$1)</f>
        <v>0</v>
      </c>
      <c r="AA35" s="182">
        <f>SUMIFS('март 2025'!$G$5:$G$2427,'март 2025'!$D$5:$D$2427,$B35,'март 2025'!$J$5:$J$2427,AA$1)</f>
        <v>0</v>
      </c>
      <c r="AB35" s="182">
        <f>SUMIFS('март 2025'!$G$5:$G$2427,'март 2025'!$D$5:$D$2427,$B35,'март 2025'!$J$5:$J$2427,AB$1)</f>
        <v>0</v>
      </c>
      <c r="AC35" s="182">
        <f>SUMIFS('март 2025'!$G$5:$G$2427,'март 2025'!$D$5:$D$2427,$B35,'март 2025'!$J$5:$J$2427,AC$1)</f>
        <v>0</v>
      </c>
      <c r="AD35" s="182">
        <f>SUMIFS('март 2025'!$G$5:$G$2427,'март 2025'!$D$5:$D$2427,$B35,'март 2025'!$J$5:$J$2427,AD$1)</f>
        <v>0</v>
      </c>
      <c r="AE35" s="182">
        <f>SUMIFS('март 2025'!$G$5:$G$2427,'март 2025'!$D$5:$D$2427,$B35,'март 2025'!$J$5:$J$2427,AE$1)</f>
        <v>0</v>
      </c>
      <c r="AF35" s="182">
        <f>SUMIFS('март 2025'!$G$5:$G$2427,'март 2025'!$D$5:$D$2427,$B35,'март 2025'!$J$5:$J$2427,AF$1)</f>
        <v>0</v>
      </c>
      <c r="AG35" s="182">
        <f>SUMIFS('март 2025'!$G$5:$G$2427,'март 2025'!$D$5:$D$2427,$B35,'март 2025'!$J$5:$J$2427,AG$1)</f>
        <v>0</v>
      </c>
      <c r="AH35" s="182">
        <f>SUMIFS('март 2025'!$G$5:$G$2427,'март 2025'!$D$5:$D$2427,$B35,'март 2025'!$J$5:$J$2427,AH$1)</f>
        <v>0</v>
      </c>
      <c r="AI35" s="20">
        <f t="shared" si="1"/>
        <v>0</v>
      </c>
    </row>
    <row r="36" spans="2:35" ht="15" customHeight="1" x14ac:dyDescent="0.25">
      <c r="B36" s="128" t="s">
        <v>217</v>
      </c>
      <c r="C36" s="126">
        <v>25</v>
      </c>
      <c r="D36" s="182">
        <f>SUMIFS('март 2025'!$G$5:$G$2427,'март 2025'!$D$5:$D$2427,$B36,'март 2025'!$J$5:$J$2427,D$1)</f>
        <v>0</v>
      </c>
      <c r="E36" s="182">
        <f>SUMIFS('март 2025'!$G$5:$G$2427,'март 2025'!$D$5:$D$2427,$B36,'март 2025'!$J$5:$J$2427,E$1)</f>
        <v>0</v>
      </c>
      <c r="F36" s="182">
        <f>SUMIFS('март 2025'!$G$5:$G$2427,'март 2025'!$D$5:$D$2427,$B36,'март 2025'!$J$5:$J$2427,F$1)</f>
        <v>0</v>
      </c>
      <c r="G36" s="182">
        <f>SUMIFS('март 2025'!$G$5:$G$2427,'март 2025'!$D$5:$D$2427,$B36,'март 2025'!$J$5:$J$2427,G$1)</f>
        <v>0</v>
      </c>
      <c r="H36" s="182">
        <f>SUMIFS('март 2025'!$G$5:$G$2427,'март 2025'!$D$5:$D$2427,$B36,'март 2025'!$J$5:$J$2427,H$1)</f>
        <v>0</v>
      </c>
      <c r="I36" s="182">
        <f>SUMIFS('март 2025'!$G$5:$G$2427,'март 2025'!$D$5:$D$2427,$B36,'март 2025'!$J$5:$J$2427,I$1)</f>
        <v>0</v>
      </c>
      <c r="J36" s="182">
        <f>SUMIFS('март 2025'!$G$5:$G$2427,'март 2025'!$D$5:$D$2427,$B36,'март 2025'!$J$5:$J$2427,J$1)</f>
        <v>0</v>
      </c>
      <c r="K36" s="182">
        <f>SUMIFS('март 2025'!$G$5:$G$2427,'март 2025'!$D$5:$D$2427,$B36,'март 2025'!$J$5:$J$2427,K$1)</f>
        <v>0</v>
      </c>
      <c r="L36" s="182">
        <f>SUMIFS('март 2025'!$G$5:$G$2427,'март 2025'!$D$5:$D$2427,$B36,'март 2025'!$J$5:$J$2427,L$1)</f>
        <v>0</v>
      </c>
      <c r="M36" s="182">
        <f>SUMIFS('март 2025'!$G$5:$G$2427,'март 2025'!$D$5:$D$2427,$B36,'март 2025'!$J$5:$J$2427,M$1)</f>
        <v>0</v>
      </c>
      <c r="N36" s="182">
        <f>SUMIFS('март 2025'!$G$5:$G$2427,'март 2025'!$D$5:$D$2427,$B36,'март 2025'!$J$5:$J$2427,N$1)</f>
        <v>0</v>
      </c>
      <c r="O36" s="182">
        <f>SUMIFS('март 2025'!$G$5:$G$2427,'март 2025'!$D$5:$D$2427,$B36,'март 2025'!$J$5:$J$2427,O$1)</f>
        <v>0</v>
      </c>
      <c r="P36" s="182">
        <f>SUMIFS('март 2025'!$G$5:$G$2427,'март 2025'!$D$5:$D$2427,$B36,'март 2025'!$J$5:$J$2427,P$1)</f>
        <v>0</v>
      </c>
      <c r="Q36" s="182">
        <f>SUMIFS('март 2025'!$G$5:$G$2427,'март 2025'!$D$5:$D$2427,$B36,'март 2025'!$J$5:$J$2427,Q$1)</f>
        <v>0</v>
      </c>
      <c r="R36" s="182">
        <f>SUMIFS('март 2025'!$G$5:$G$2427,'март 2025'!$D$5:$D$2427,$B36,'март 2025'!$J$5:$J$2427,R$1)</f>
        <v>0</v>
      </c>
      <c r="S36" s="182">
        <f>SUMIFS('март 2025'!$G$5:$G$2427,'март 2025'!$D$5:$D$2427,$B36,'март 2025'!$J$5:$J$2427,S$1)</f>
        <v>0</v>
      </c>
      <c r="T36" s="182">
        <f>SUMIFS('март 2025'!$G$5:$G$2427,'март 2025'!$D$5:$D$2427,$B36,'март 2025'!$J$5:$J$2427,T$1)</f>
        <v>0</v>
      </c>
      <c r="U36" s="182">
        <f>SUMIFS('март 2025'!$G$5:$G$2427,'март 2025'!$D$5:$D$2427,$B36,'март 2025'!$J$5:$J$2427,U$1)</f>
        <v>0</v>
      </c>
      <c r="V36" s="182">
        <f>SUMIFS('март 2025'!$G$5:$G$2427,'март 2025'!$D$5:$D$2427,$B36,'март 2025'!$J$5:$J$2427,V$1)</f>
        <v>0</v>
      </c>
      <c r="W36" s="182">
        <f>SUMIFS('март 2025'!$G$5:$G$2427,'март 2025'!$D$5:$D$2427,$B36,'март 2025'!$J$5:$J$2427,W$1)</f>
        <v>0</v>
      </c>
      <c r="X36" s="182">
        <f>SUMIFS('март 2025'!$G$5:$G$2427,'март 2025'!$D$5:$D$2427,$B36,'март 2025'!$J$5:$J$2427,X$1)</f>
        <v>0</v>
      </c>
      <c r="Y36" s="182">
        <f>SUMIFS('март 2025'!$G$5:$G$2427,'март 2025'!$D$5:$D$2427,$B36,'март 2025'!$J$5:$J$2427,Y$1)</f>
        <v>0</v>
      </c>
      <c r="Z36" s="182">
        <f>SUMIFS('март 2025'!$G$5:$G$2427,'март 2025'!$D$5:$D$2427,$B36,'март 2025'!$J$5:$J$2427,Z$1)</f>
        <v>0</v>
      </c>
      <c r="AA36" s="182">
        <f>SUMIFS('март 2025'!$G$5:$G$2427,'март 2025'!$D$5:$D$2427,$B36,'март 2025'!$J$5:$J$2427,AA$1)</f>
        <v>0</v>
      </c>
      <c r="AB36" s="182">
        <f>SUMIFS('март 2025'!$G$5:$G$2427,'март 2025'!$D$5:$D$2427,$B36,'март 2025'!$J$5:$J$2427,AB$1)</f>
        <v>0</v>
      </c>
      <c r="AC36" s="182">
        <f>SUMIFS('март 2025'!$G$5:$G$2427,'март 2025'!$D$5:$D$2427,$B36,'март 2025'!$J$5:$J$2427,AC$1)</f>
        <v>0</v>
      </c>
      <c r="AD36" s="182">
        <f>SUMIFS('март 2025'!$G$5:$G$2427,'март 2025'!$D$5:$D$2427,$B36,'март 2025'!$J$5:$J$2427,AD$1)</f>
        <v>0</v>
      </c>
      <c r="AE36" s="182">
        <f>SUMIFS('март 2025'!$G$5:$G$2427,'март 2025'!$D$5:$D$2427,$B36,'март 2025'!$J$5:$J$2427,AE$1)</f>
        <v>0</v>
      </c>
      <c r="AF36" s="182">
        <f>SUMIFS('март 2025'!$G$5:$G$2427,'март 2025'!$D$5:$D$2427,$B36,'март 2025'!$J$5:$J$2427,AF$1)</f>
        <v>0</v>
      </c>
      <c r="AG36" s="182">
        <f>SUMIFS('март 2025'!$G$5:$G$2427,'март 2025'!$D$5:$D$2427,$B36,'март 2025'!$J$5:$J$2427,AG$1)</f>
        <v>0</v>
      </c>
      <c r="AH36" s="182">
        <f>SUMIFS('март 2025'!$G$5:$G$2427,'март 2025'!$D$5:$D$2427,$B36,'март 2025'!$J$5:$J$2427,AH$1)</f>
        <v>0</v>
      </c>
      <c r="AI36" s="20">
        <f t="shared" si="1"/>
        <v>0</v>
      </c>
    </row>
    <row r="37" spans="2:35" ht="15" customHeight="1" x14ac:dyDescent="0.25">
      <c r="B37" s="129" t="s">
        <v>219</v>
      </c>
      <c r="C37" s="130">
        <v>25</v>
      </c>
      <c r="D37" s="182">
        <f>SUMIFS('март 2025'!$G$5:$G$2427,'март 2025'!$D$5:$D$2427,$B37,'март 2025'!$J$5:$J$2427,D$1)</f>
        <v>0</v>
      </c>
      <c r="E37" s="182">
        <f>SUMIFS('март 2025'!$G$5:$G$2427,'март 2025'!$D$5:$D$2427,$B37,'март 2025'!$J$5:$J$2427,E$1)</f>
        <v>0</v>
      </c>
      <c r="F37" s="182">
        <f>SUMIFS('март 2025'!$G$5:$G$2427,'март 2025'!$D$5:$D$2427,$B37,'март 2025'!$J$5:$J$2427,F$1)</f>
        <v>0</v>
      </c>
      <c r="G37" s="182">
        <f>SUMIFS('март 2025'!$G$5:$G$2427,'март 2025'!$D$5:$D$2427,$B37,'март 2025'!$J$5:$J$2427,G$1)</f>
        <v>0</v>
      </c>
      <c r="H37" s="182">
        <f>SUMIFS('март 2025'!$G$5:$G$2427,'март 2025'!$D$5:$D$2427,$B37,'март 2025'!$J$5:$J$2427,H$1)</f>
        <v>0</v>
      </c>
      <c r="I37" s="182">
        <f>SUMIFS('март 2025'!$G$5:$G$2427,'март 2025'!$D$5:$D$2427,$B37,'март 2025'!$J$5:$J$2427,I$1)</f>
        <v>0</v>
      </c>
      <c r="J37" s="182">
        <f>SUMIFS('март 2025'!$G$5:$G$2427,'март 2025'!$D$5:$D$2427,$B37,'март 2025'!$J$5:$J$2427,J$1)</f>
        <v>0</v>
      </c>
      <c r="K37" s="182">
        <f>SUMIFS('март 2025'!$G$5:$G$2427,'март 2025'!$D$5:$D$2427,$B37,'март 2025'!$J$5:$J$2427,K$1)</f>
        <v>0</v>
      </c>
      <c r="L37" s="182">
        <f>SUMIFS('март 2025'!$G$5:$G$2427,'март 2025'!$D$5:$D$2427,$B37,'март 2025'!$J$5:$J$2427,L$1)</f>
        <v>0</v>
      </c>
      <c r="M37" s="182">
        <f>SUMIFS('март 2025'!$G$5:$G$2427,'март 2025'!$D$5:$D$2427,$B37,'март 2025'!$J$5:$J$2427,M$1)</f>
        <v>0</v>
      </c>
      <c r="N37" s="182">
        <f>SUMIFS('март 2025'!$G$5:$G$2427,'март 2025'!$D$5:$D$2427,$B37,'март 2025'!$J$5:$J$2427,N$1)</f>
        <v>0</v>
      </c>
      <c r="O37" s="182">
        <f>SUMIFS('март 2025'!$G$5:$G$2427,'март 2025'!$D$5:$D$2427,$B37,'март 2025'!$J$5:$J$2427,O$1)</f>
        <v>0</v>
      </c>
      <c r="P37" s="182">
        <f>SUMIFS('март 2025'!$G$5:$G$2427,'март 2025'!$D$5:$D$2427,$B37,'март 2025'!$J$5:$J$2427,P$1)</f>
        <v>0</v>
      </c>
      <c r="Q37" s="182">
        <f>SUMIFS('март 2025'!$G$5:$G$2427,'март 2025'!$D$5:$D$2427,$B37,'март 2025'!$J$5:$J$2427,Q$1)</f>
        <v>0</v>
      </c>
      <c r="R37" s="182">
        <f>SUMIFS('март 2025'!$G$5:$G$2427,'март 2025'!$D$5:$D$2427,$B37,'март 2025'!$J$5:$J$2427,R$1)</f>
        <v>0</v>
      </c>
      <c r="S37" s="182">
        <f>SUMIFS('март 2025'!$G$5:$G$2427,'март 2025'!$D$5:$D$2427,$B37,'март 2025'!$J$5:$J$2427,S$1)</f>
        <v>0</v>
      </c>
      <c r="T37" s="182">
        <f>SUMIFS('март 2025'!$G$5:$G$2427,'март 2025'!$D$5:$D$2427,$B37,'март 2025'!$J$5:$J$2427,T$1)</f>
        <v>0</v>
      </c>
      <c r="U37" s="182">
        <f>SUMIFS('март 2025'!$G$5:$G$2427,'март 2025'!$D$5:$D$2427,$B37,'март 2025'!$J$5:$J$2427,U$1)</f>
        <v>0</v>
      </c>
      <c r="V37" s="182">
        <f>SUMIFS('март 2025'!$G$5:$G$2427,'март 2025'!$D$5:$D$2427,$B37,'март 2025'!$J$5:$J$2427,V$1)</f>
        <v>0</v>
      </c>
      <c r="W37" s="182">
        <f>SUMIFS('март 2025'!$G$5:$G$2427,'март 2025'!$D$5:$D$2427,$B37,'март 2025'!$J$5:$J$2427,W$1)</f>
        <v>0</v>
      </c>
      <c r="X37" s="182">
        <f>SUMIFS('март 2025'!$G$5:$G$2427,'март 2025'!$D$5:$D$2427,$B37,'март 2025'!$J$5:$J$2427,X$1)</f>
        <v>0</v>
      </c>
      <c r="Y37" s="182">
        <f>SUMIFS('март 2025'!$G$5:$G$2427,'март 2025'!$D$5:$D$2427,$B37,'март 2025'!$J$5:$J$2427,Y$1)</f>
        <v>0</v>
      </c>
      <c r="Z37" s="182">
        <f>SUMIFS('март 2025'!$G$5:$G$2427,'март 2025'!$D$5:$D$2427,$B37,'март 2025'!$J$5:$J$2427,Z$1)</f>
        <v>0</v>
      </c>
      <c r="AA37" s="182">
        <f>SUMIFS('март 2025'!$G$5:$G$2427,'март 2025'!$D$5:$D$2427,$B37,'март 2025'!$J$5:$J$2427,AA$1)</f>
        <v>0</v>
      </c>
      <c r="AB37" s="182">
        <f>SUMIFS('март 2025'!$G$5:$G$2427,'март 2025'!$D$5:$D$2427,$B37,'март 2025'!$J$5:$J$2427,AB$1)</f>
        <v>0</v>
      </c>
      <c r="AC37" s="182">
        <f>SUMIFS('март 2025'!$G$5:$G$2427,'март 2025'!$D$5:$D$2427,$B37,'март 2025'!$J$5:$J$2427,AC$1)</f>
        <v>0</v>
      </c>
      <c r="AD37" s="182">
        <f>SUMIFS('март 2025'!$G$5:$G$2427,'март 2025'!$D$5:$D$2427,$B37,'март 2025'!$J$5:$J$2427,AD$1)</f>
        <v>0</v>
      </c>
      <c r="AE37" s="182">
        <f>SUMIFS('март 2025'!$G$5:$G$2427,'март 2025'!$D$5:$D$2427,$B37,'март 2025'!$J$5:$J$2427,AE$1)</f>
        <v>0</v>
      </c>
      <c r="AF37" s="182">
        <f>SUMIFS('март 2025'!$G$5:$G$2427,'март 2025'!$D$5:$D$2427,$B37,'март 2025'!$J$5:$J$2427,AF$1)</f>
        <v>0</v>
      </c>
      <c r="AG37" s="182">
        <f>SUMIFS('март 2025'!$G$5:$G$2427,'март 2025'!$D$5:$D$2427,$B37,'март 2025'!$J$5:$J$2427,AG$1)</f>
        <v>0</v>
      </c>
      <c r="AH37" s="182">
        <f>SUMIFS('март 2025'!$G$5:$G$2427,'март 2025'!$D$5:$D$2427,$B37,'март 2025'!$J$5:$J$2427,AH$1)</f>
        <v>0</v>
      </c>
      <c r="AI37" s="20">
        <f t="shared" si="1"/>
        <v>0</v>
      </c>
    </row>
    <row r="38" spans="2:35" ht="15" customHeight="1" x14ac:dyDescent="0.25">
      <c r="B38" s="131" t="s">
        <v>221</v>
      </c>
      <c r="C38" s="132">
        <v>22.68</v>
      </c>
      <c r="D38" s="182">
        <f>SUMIFS('март 2025'!$G$5:$G$2427,'март 2025'!$D$5:$D$2427,$B38,'март 2025'!$J$5:$J$2427,D$1)</f>
        <v>0</v>
      </c>
      <c r="E38" s="182">
        <f>SUMIFS('март 2025'!$G$5:$G$2427,'март 2025'!$D$5:$D$2427,$B38,'март 2025'!$J$5:$J$2427,E$1)</f>
        <v>0</v>
      </c>
      <c r="F38" s="182">
        <f>SUMIFS('март 2025'!$G$5:$G$2427,'март 2025'!$D$5:$D$2427,$B38,'март 2025'!$J$5:$J$2427,F$1)</f>
        <v>0</v>
      </c>
      <c r="G38" s="182">
        <f>SUMIFS('март 2025'!$G$5:$G$2427,'март 2025'!$D$5:$D$2427,$B38,'март 2025'!$J$5:$J$2427,G$1)</f>
        <v>0</v>
      </c>
      <c r="H38" s="182">
        <f>SUMIFS('март 2025'!$G$5:$G$2427,'март 2025'!$D$5:$D$2427,$B38,'март 2025'!$J$5:$J$2427,H$1)</f>
        <v>0</v>
      </c>
      <c r="I38" s="182">
        <f>SUMIFS('март 2025'!$G$5:$G$2427,'март 2025'!$D$5:$D$2427,$B38,'март 2025'!$J$5:$J$2427,I$1)</f>
        <v>0</v>
      </c>
      <c r="J38" s="182">
        <f>SUMIFS('март 2025'!$G$5:$G$2427,'март 2025'!$D$5:$D$2427,$B38,'март 2025'!$J$5:$J$2427,J$1)</f>
        <v>0</v>
      </c>
      <c r="K38" s="182">
        <f>SUMIFS('март 2025'!$G$5:$G$2427,'март 2025'!$D$5:$D$2427,$B38,'март 2025'!$J$5:$J$2427,K$1)</f>
        <v>0</v>
      </c>
      <c r="L38" s="182">
        <f>SUMIFS('март 2025'!$G$5:$G$2427,'март 2025'!$D$5:$D$2427,$B38,'март 2025'!$J$5:$J$2427,L$1)</f>
        <v>0</v>
      </c>
      <c r="M38" s="182">
        <f>SUMIFS('март 2025'!$G$5:$G$2427,'март 2025'!$D$5:$D$2427,$B38,'март 2025'!$J$5:$J$2427,M$1)</f>
        <v>0</v>
      </c>
      <c r="N38" s="182">
        <f>SUMIFS('март 2025'!$G$5:$G$2427,'март 2025'!$D$5:$D$2427,$B38,'март 2025'!$J$5:$J$2427,N$1)</f>
        <v>0</v>
      </c>
      <c r="O38" s="182">
        <f>SUMIFS('март 2025'!$G$5:$G$2427,'март 2025'!$D$5:$D$2427,$B38,'март 2025'!$J$5:$J$2427,O$1)</f>
        <v>0</v>
      </c>
      <c r="P38" s="182">
        <f>SUMIFS('март 2025'!$G$5:$G$2427,'март 2025'!$D$5:$D$2427,$B38,'март 2025'!$J$5:$J$2427,P$1)</f>
        <v>0</v>
      </c>
      <c r="Q38" s="182">
        <f>SUMIFS('март 2025'!$G$5:$G$2427,'март 2025'!$D$5:$D$2427,$B38,'март 2025'!$J$5:$J$2427,Q$1)</f>
        <v>0</v>
      </c>
      <c r="R38" s="182">
        <f>SUMIFS('март 2025'!$G$5:$G$2427,'март 2025'!$D$5:$D$2427,$B38,'март 2025'!$J$5:$J$2427,R$1)</f>
        <v>0</v>
      </c>
      <c r="S38" s="182">
        <f>SUMIFS('март 2025'!$G$5:$G$2427,'март 2025'!$D$5:$D$2427,$B38,'март 2025'!$J$5:$J$2427,S$1)</f>
        <v>0</v>
      </c>
      <c r="T38" s="182">
        <f>SUMIFS('март 2025'!$G$5:$G$2427,'март 2025'!$D$5:$D$2427,$B38,'март 2025'!$J$5:$J$2427,T$1)</f>
        <v>0</v>
      </c>
      <c r="U38" s="182">
        <f>SUMIFS('март 2025'!$G$5:$G$2427,'март 2025'!$D$5:$D$2427,$B38,'март 2025'!$J$5:$J$2427,U$1)</f>
        <v>0</v>
      </c>
      <c r="V38" s="182">
        <f>SUMIFS('март 2025'!$G$5:$G$2427,'март 2025'!$D$5:$D$2427,$B38,'март 2025'!$J$5:$J$2427,V$1)</f>
        <v>0</v>
      </c>
      <c r="W38" s="182">
        <f>SUMIFS('март 2025'!$G$5:$G$2427,'март 2025'!$D$5:$D$2427,$B38,'март 2025'!$J$5:$J$2427,W$1)</f>
        <v>0</v>
      </c>
      <c r="X38" s="182">
        <f>SUMIFS('март 2025'!$G$5:$G$2427,'март 2025'!$D$5:$D$2427,$B38,'март 2025'!$J$5:$J$2427,X$1)</f>
        <v>0</v>
      </c>
      <c r="Y38" s="182">
        <f>SUMIFS('март 2025'!$G$5:$G$2427,'март 2025'!$D$5:$D$2427,$B38,'март 2025'!$J$5:$J$2427,Y$1)</f>
        <v>0</v>
      </c>
      <c r="Z38" s="182">
        <f>SUMIFS('март 2025'!$G$5:$G$2427,'март 2025'!$D$5:$D$2427,$B38,'март 2025'!$J$5:$J$2427,Z$1)</f>
        <v>0</v>
      </c>
      <c r="AA38" s="182">
        <f>SUMIFS('март 2025'!$G$5:$G$2427,'март 2025'!$D$5:$D$2427,$B38,'март 2025'!$J$5:$J$2427,AA$1)</f>
        <v>0</v>
      </c>
      <c r="AB38" s="182">
        <f>SUMIFS('март 2025'!$G$5:$G$2427,'март 2025'!$D$5:$D$2427,$B38,'март 2025'!$J$5:$J$2427,AB$1)</f>
        <v>0</v>
      </c>
      <c r="AC38" s="182">
        <f>SUMIFS('март 2025'!$G$5:$G$2427,'март 2025'!$D$5:$D$2427,$B38,'март 2025'!$J$5:$J$2427,AC$1)</f>
        <v>0</v>
      </c>
      <c r="AD38" s="182">
        <f>SUMIFS('март 2025'!$G$5:$G$2427,'март 2025'!$D$5:$D$2427,$B38,'март 2025'!$J$5:$J$2427,AD$1)</f>
        <v>0</v>
      </c>
      <c r="AE38" s="182">
        <f>SUMIFS('март 2025'!$G$5:$G$2427,'март 2025'!$D$5:$D$2427,$B38,'март 2025'!$J$5:$J$2427,AE$1)</f>
        <v>0</v>
      </c>
      <c r="AF38" s="182">
        <f>SUMIFS('март 2025'!$G$5:$G$2427,'март 2025'!$D$5:$D$2427,$B38,'март 2025'!$J$5:$J$2427,AF$1)</f>
        <v>0</v>
      </c>
      <c r="AG38" s="182">
        <f>SUMIFS('март 2025'!$G$5:$G$2427,'март 2025'!$D$5:$D$2427,$B38,'март 2025'!$J$5:$J$2427,AG$1)</f>
        <v>0</v>
      </c>
      <c r="AH38" s="182">
        <f>SUMIFS('март 2025'!$G$5:$G$2427,'март 2025'!$D$5:$D$2427,$B38,'март 2025'!$J$5:$J$2427,AH$1)</f>
        <v>0</v>
      </c>
      <c r="AI38" s="20">
        <f t="shared" si="1"/>
        <v>0</v>
      </c>
    </row>
    <row r="39" spans="2:35" ht="15" customHeight="1" x14ac:dyDescent="0.25">
      <c r="B39" s="131" t="s">
        <v>1016</v>
      </c>
      <c r="C39" s="133">
        <v>20</v>
      </c>
      <c r="D39" s="182">
        <f>SUMIFS('март 2025'!$G$5:$G$2427,'март 2025'!$D$5:$D$2427,$B39,'март 2025'!$J$5:$J$2427,D$1)</f>
        <v>0</v>
      </c>
      <c r="E39" s="182">
        <f>SUMIFS('март 2025'!$G$5:$G$2427,'март 2025'!$D$5:$D$2427,$B39,'март 2025'!$J$5:$J$2427,E$1)</f>
        <v>0</v>
      </c>
      <c r="F39" s="182">
        <f>SUMIFS('март 2025'!$G$5:$G$2427,'март 2025'!$D$5:$D$2427,$B39,'март 2025'!$J$5:$J$2427,F$1)</f>
        <v>0</v>
      </c>
      <c r="G39" s="182">
        <f>SUMIFS('март 2025'!$G$5:$G$2427,'март 2025'!$D$5:$D$2427,$B39,'март 2025'!$J$5:$J$2427,G$1)</f>
        <v>0</v>
      </c>
      <c r="H39" s="182">
        <f>SUMIFS('март 2025'!$G$5:$G$2427,'март 2025'!$D$5:$D$2427,$B39,'март 2025'!$J$5:$J$2427,H$1)</f>
        <v>0</v>
      </c>
      <c r="I39" s="182">
        <f>SUMIFS('март 2025'!$G$5:$G$2427,'март 2025'!$D$5:$D$2427,$B39,'март 2025'!$J$5:$J$2427,I$1)</f>
        <v>0</v>
      </c>
      <c r="J39" s="182">
        <f>SUMIFS('март 2025'!$G$5:$G$2427,'март 2025'!$D$5:$D$2427,$B39,'март 2025'!$J$5:$J$2427,J$1)</f>
        <v>0</v>
      </c>
      <c r="K39" s="182">
        <f>SUMIFS('март 2025'!$G$5:$G$2427,'март 2025'!$D$5:$D$2427,$B39,'март 2025'!$J$5:$J$2427,K$1)</f>
        <v>0</v>
      </c>
      <c r="L39" s="182">
        <f>SUMIFS('март 2025'!$G$5:$G$2427,'март 2025'!$D$5:$D$2427,$B39,'март 2025'!$J$5:$J$2427,L$1)</f>
        <v>0</v>
      </c>
      <c r="M39" s="182">
        <f>SUMIFS('март 2025'!$G$5:$G$2427,'март 2025'!$D$5:$D$2427,$B39,'март 2025'!$J$5:$J$2427,M$1)</f>
        <v>0</v>
      </c>
      <c r="N39" s="182">
        <f>SUMIFS('март 2025'!$G$5:$G$2427,'март 2025'!$D$5:$D$2427,$B39,'март 2025'!$J$5:$J$2427,N$1)</f>
        <v>0</v>
      </c>
      <c r="O39" s="182">
        <f>SUMIFS('март 2025'!$G$5:$G$2427,'март 2025'!$D$5:$D$2427,$B39,'март 2025'!$J$5:$J$2427,O$1)</f>
        <v>0</v>
      </c>
      <c r="P39" s="182">
        <f>SUMIFS('март 2025'!$G$5:$G$2427,'март 2025'!$D$5:$D$2427,$B39,'март 2025'!$J$5:$J$2427,P$1)</f>
        <v>0</v>
      </c>
      <c r="Q39" s="182">
        <f>SUMIFS('март 2025'!$G$5:$G$2427,'март 2025'!$D$5:$D$2427,$B39,'март 2025'!$J$5:$J$2427,Q$1)</f>
        <v>0</v>
      </c>
      <c r="R39" s="182">
        <f>SUMIFS('март 2025'!$G$5:$G$2427,'март 2025'!$D$5:$D$2427,$B39,'март 2025'!$J$5:$J$2427,R$1)</f>
        <v>0</v>
      </c>
      <c r="S39" s="182">
        <f>SUMIFS('март 2025'!$G$5:$G$2427,'март 2025'!$D$5:$D$2427,$B39,'март 2025'!$J$5:$J$2427,S$1)</f>
        <v>0</v>
      </c>
      <c r="T39" s="182">
        <f>SUMIFS('март 2025'!$G$5:$G$2427,'март 2025'!$D$5:$D$2427,$B39,'март 2025'!$J$5:$J$2427,T$1)</f>
        <v>0</v>
      </c>
      <c r="U39" s="182">
        <f>SUMIFS('март 2025'!$G$5:$G$2427,'март 2025'!$D$5:$D$2427,$B39,'март 2025'!$J$5:$J$2427,U$1)</f>
        <v>0</v>
      </c>
      <c r="V39" s="182">
        <f>SUMIFS('март 2025'!$G$5:$G$2427,'март 2025'!$D$5:$D$2427,$B39,'март 2025'!$J$5:$J$2427,V$1)</f>
        <v>0</v>
      </c>
      <c r="W39" s="182">
        <f>SUMIFS('март 2025'!$G$5:$G$2427,'март 2025'!$D$5:$D$2427,$B39,'март 2025'!$J$5:$J$2427,W$1)</f>
        <v>0</v>
      </c>
      <c r="X39" s="182">
        <f>SUMIFS('март 2025'!$G$5:$G$2427,'март 2025'!$D$5:$D$2427,$B39,'март 2025'!$J$5:$J$2427,X$1)</f>
        <v>0</v>
      </c>
      <c r="Y39" s="182">
        <f>SUMIFS('март 2025'!$G$5:$G$2427,'март 2025'!$D$5:$D$2427,$B39,'март 2025'!$J$5:$J$2427,Y$1)</f>
        <v>0</v>
      </c>
      <c r="Z39" s="182">
        <f>SUMIFS('март 2025'!$G$5:$G$2427,'март 2025'!$D$5:$D$2427,$B39,'март 2025'!$J$5:$J$2427,Z$1)</f>
        <v>0</v>
      </c>
      <c r="AA39" s="182">
        <f>SUMIFS('март 2025'!$G$5:$G$2427,'март 2025'!$D$5:$D$2427,$B39,'март 2025'!$J$5:$J$2427,AA$1)</f>
        <v>1000</v>
      </c>
      <c r="AB39" s="182">
        <f>SUMIFS('март 2025'!$G$5:$G$2427,'март 2025'!$D$5:$D$2427,$B39,'март 2025'!$J$5:$J$2427,AB$1)</f>
        <v>0</v>
      </c>
      <c r="AC39" s="182">
        <f>SUMIFS('март 2025'!$G$5:$G$2427,'март 2025'!$D$5:$D$2427,$B39,'март 2025'!$J$5:$J$2427,AC$1)</f>
        <v>0</v>
      </c>
      <c r="AD39" s="182">
        <f>SUMIFS('март 2025'!$G$5:$G$2427,'март 2025'!$D$5:$D$2427,$B39,'март 2025'!$J$5:$J$2427,AD$1)</f>
        <v>0</v>
      </c>
      <c r="AE39" s="182">
        <f>SUMIFS('март 2025'!$G$5:$G$2427,'март 2025'!$D$5:$D$2427,$B39,'март 2025'!$J$5:$J$2427,AE$1)</f>
        <v>0</v>
      </c>
      <c r="AF39" s="182">
        <f>SUMIFS('март 2025'!$G$5:$G$2427,'март 2025'!$D$5:$D$2427,$B39,'март 2025'!$J$5:$J$2427,AF$1)</f>
        <v>0</v>
      </c>
      <c r="AG39" s="182">
        <f>SUMIFS('март 2025'!$G$5:$G$2427,'март 2025'!$D$5:$D$2427,$B39,'март 2025'!$J$5:$J$2427,AG$1)</f>
        <v>0</v>
      </c>
      <c r="AH39" s="182">
        <f>SUMIFS('март 2025'!$G$5:$G$2427,'март 2025'!$D$5:$D$2427,$B39,'март 2025'!$J$5:$J$2427,AH$1)</f>
        <v>0</v>
      </c>
      <c r="AI39" s="20">
        <f t="shared" ref="AI39" si="2">SUM(D39:AH39)</f>
        <v>1000</v>
      </c>
    </row>
    <row r="40" spans="2:35" ht="15" customHeight="1" x14ac:dyDescent="0.25">
      <c r="B40" s="131" t="s">
        <v>223</v>
      </c>
      <c r="C40" s="133">
        <v>25</v>
      </c>
      <c r="D40" s="182">
        <f>SUMIFS('март 2025'!$G$5:$G$2427,'март 2025'!$D$5:$D$2427,$B40,'март 2025'!$J$5:$J$2427,D$1)</f>
        <v>0</v>
      </c>
      <c r="E40" s="182">
        <f>SUMIFS('март 2025'!$G$5:$G$2427,'март 2025'!$D$5:$D$2427,$B40,'март 2025'!$J$5:$J$2427,E$1)</f>
        <v>0</v>
      </c>
      <c r="F40" s="182">
        <f>SUMIFS('март 2025'!$G$5:$G$2427,'март 2025'!$D$5:$D$2427,$B40,'март 2025'!$J$5:$J$2427,F$1)</f>
        <v>800</v>
      </c>
      <c r="G40" s="182">
        <f>SUMIFS('март 2025'!$G$5:$G$2427,'март 2025'!$D$5:$D$2427,$B40,'март 2025'!$J$5:$J$2427,G$1)</f>
        <v>0</v>
      </c>
      <c r="H40" s="182">
        <f>SUMIFS('март 2025'!$G$5:$G$2427,'март 2025'!$D$5:$D$2427,$B40,'март 2025'!$J$5:$J$2427,H$1)</f>
        <v>0</v>
      </c>
      <c r="I40" s="182">
        <f>SUMIFS('март 2025'!$G$5:$G$2427,'март 2025'!$D$5:$D$2427,$B40,'март 2025'!$J$5:$J$2427,I$1)</f>
        <v>0</v>
      </c>
      <c r="J40" s="182">
        <f>SUMIFS('март 2025'!$G$5:$G$2427,'март 2025'!$D$5:$D$2427,$B40,'март 2025'!$J$5:$J$2427,J$1)</f>
        <v>0</v>
      </c>
      <c r="K40" s="182">
        <f>SUMIFS('март 2025'!$G$5:$G$2427,'март 2025'!$D$5:$D$2427,$B40,'март 2025'!$J$5:$J$2427,K$1)</f>
        <v>0</v>
      </c>
      <c r="L40" s="182">
        <f>SUMIFS('март 2025'!$G$5:$G$2427,'март 2025'!$D$5:$D$2427,$B40,'март 2025'!$J$5:$J$2427,L$1)</f>
        <v>0</v>
      </c>
      <c r="M40" s="182">
        <f>SUMIFS('март 2025'!$G$5:$G$2427,'март 2025'!$D$5:$D$2427,$B40,'март 2025'!$J$5:$J$2427,M$1)</f>
        <v>0</v>
      </c>
      <c r="N40" s="182">
        <f>SUMIFS('март 2025'!$G$5:$G$2427,'март 2025'!$D$5:$D$2427,$B40,'март 2025'!$J$5:$J$2427,N$1)</f>
        <v>1200</v>
      </c>
      <c r="O40" s="182">
        <f>SUMIFS('март 2025'!$G$5:$G$2427,'март 2025'!$D$5:$D$2427,$B40,'март 2025'!$J$5:$J$2427,O$1)</f>
        <v>800</v>
      </c>
      <c r="P40" s="182">
        <f>SUMIFS('март 2025'!$G$5:$G$2427,'март 2025'!$D$5:$D$2427,$B40,'март 2025'!$J$5:$J$2427,P$1)</f>
        <v>0</v>
      </c>
      <c r="Q40" s="182">
        <f>SUMIFS('март 2025'!$G$5:$G$2427,'март 2025'!$D$5:$D$2427,$B40,'март 2025'!$J$5:$J$2427,Q$1)</f>
        <v>800</v>
      </c>
      <c r="R40" s="182">
        <f>SUMIFS('март 2025'!$G$5:$G$2427,'март 2025'!$D$5:$D$2427,$B40,'март 2025'!$J$5:$J$2427,R$1)</f>
        <v>0</v>
      </c>
      <c r="S40" s="182">
        <f>SUMIFS('март 2025'!$G$5:$G$2427,'март 2025'!$D$5:$D$2427,$B40,'март 2025'!$J$5:$J$2427,S$1)</f>
        <v>0</v>
      </c>
      <c r="T40" s="182">
        <f>SUMIFS('март 2025'!$G$5:$G$2427,'март 2025'!$D$5:$D$2427,$B40,'март 2025'!$J$5:$J$2427,T$1)</f>
        <v>0</v>
      </c>
      <c r="U40" s="182">
        <f>SUMIFS('март 2025'!$G$5:$G$2427,'март 2025'!$D$5:$D$2427,$B40,'март 2025'!$J$5:$J$2427,U$1)</f>
        <v>0</v>
      </c>
      <c r="V40" s="182">
        <f>SUMIFS('март 2025'!$G$5:$G$2427,'март 2025'!$D$5:$D$2427,$B40,'март 2025'!$J$5:$J$2427,V$1)</f>
        <v>0</v>
      </c>
      <c r="W40" s="182">
        <f>SUMIFS('март 2025'!$G$5:$G$2427,'март 2025'!$D$5:$D$2427,$B40,'март 2025'!$J$5:$J$2427,W$1)</f>
        <v>0</v>
      </c>
      <c r="X40" s="182">
        <f>SUMIFS('март 2025'!$G$5:$G$2427,'март 2025'!$D$5:$D$2427,$B40,'март 2025'!$J$5:$J$2427,X$1)</f>
        <v>0</v>
      </c>
      <c r="Y40" s="182">
        <f>SUMIFS('март 2025'!$G$5:$G$2427,'март 2025'!$D$5:$D$2427,$B40,'март 2025'!$J$5:$J$2427,Y$1)</f>
        <v>0</v>
      </c>
      <c r="Z40" s="182">
        <f>SUMIFS('март 2025'!$G$5:$G$2427,'март 2025'!$D$5:$D$2427,$B40,'март 2025'!$J$5:$J$2427,Z$1)</f>
        <v>0</v>
      </c>
      <c r="AA40" s="182">
        <f>SUMIFS('март 2025'!$G$5:$G$2427,'март 2025'!$D$5:$D$2427,$B40,'март 2025'!$J$5:$J$2427,AA$1)</f>
        <v>0</v>
      </c>
      <c r="AB40" s="182">
        <f>SUMIFS('март 2025'!$G$5:$G$2427,'март 2025'!$D$5:$D$2427,$B40,'март 2025'!$J$5:$J$2427,AB$1)</f>
        <v>880</v>
      </c>
      <c r="AC40" s="182">
        <f>SUMIFS('март 2025'!$G$5:$G$2427,'март 2025'!$D$5:$D$2427,$B40,'март 2025'!$J$5:$J$2427,AC$1)</f>
        <v>0</v>
      </c>
      <c r="AD40" s="182">
        <f>SUMIFS('март 2025'!$G$5:$G$2427,'март 2025'!$D$5:$D$2427,$B40,'март 2025'!$J$5:$J$2427,AD$1)</f>
        <v>0</v>
      </c>
      <c r="AE40" s="182">
        <f>SUMIFS('март 2025'!$G$5:$G$2427,'март 2025'!$D$5:$D$2427,$B40,'март 2025'!$J$5:$J$2427,AE$1)</f>
        <v>0</v>
      </c>
      <c r="AF40" s="182">
        <f>SUMIFS('март 2025'!$G$5:$G$2427,'март 2025'!$D$5:$D$2427,$B40,'март 2025'!$J$5:$J$2427,AF$1)</f>
        <v>0</v>
      </c>
      <c r="AG40" s="182">
        <f>SUMIFS('март 2025'!$G$5:$G$2427,'март 2025'!$D$5:$D$2427,$B40,'март 2025'!$J$5:$J$2427,AG$1)</f>
        <v>0</v>
      </c>
      <c r="AH40" s="182">
        <f>SUMIFS('март 2025'!$G$5:$G$2427,'март 2025'!$D$5:$D$2427,$B40,'март 2025'!$J$5:$J$2427,AH$1)</f>
        <v>0</v>
      </c>
      <c r="AI40" s="20">
        <f t="shared" si="1"/>
        <v>4480</v>
      </c>
    </row>
    <row r="41" spans="2:35" ht="15" customHeight="1" x14ac:dyDescent="0.25">
      <c r="B41" s="131" t="s">
        <v>225</v>
      </c>
      <c r="C41" s="134">
        <v>25</v>
      </c>
      <c r="D41" s="182">
        <f>SUMIFS('март 2025'!$G$5:$G$2427,'март 2025'!$D$5:$D$2427,$B41,'март 2025'!$J$5:$J$2427,D$1)</f>
        <v>0</v>
      </c>
      <c r="E41" s="182">
        <f>SUMIFS('март 2025'!$G$5:$G$2427,'март 2025'!$D$5:$D$2427,$B41,'март 2025'!$J$5:$J$2427,E$1)</f>
        <v>0</v>
      </c>
      <c r="F41" s="182">
        <f>SUMIFS('март 2025'!$G$5:$G$2427,'март 2025'!$D$5:$D$2427,$B41,'март 2025'!$J$5:$J$2427,F$1)</f>
        <v>0</v>
      </c>
      <c r="G41" s="182">
        <f>SUMIFS('март 2025'!$G$5:$G$2427,'март 2025'!$D$5:$D$2427,$B41,'март 2025'!$J$5:$J$2427,G$1)</f>
        <v>0</v>
      </c>
      <c r="H41" s="182">
        <f>SUMIFS('март 2025'!$G$5:$G$2427,'март 2025'!$D$5:$D$2427,$B41,'март 2025'!$J$5:$J$2427,H$1)</f>
        <v>0</v>
      </c>
      <c r="I41" s="182">
        <f>SUMIFS('март 2025'!$G$5:$G$2427,'март 2025'!$D$5:$D$2427,$B41,'март 2025'!$J$5:$J$2427,I$1)</f>
        <v>0</v>
      </c>
      <c r="J41" s="182">
        <f>SUMIFS('март 2025'!$G$5:$G$2427,'март 2025'!$D$5:$D$2427,$B41,'март 2025'!$J$5:$J$2427,J$1)</f>
        <v>0</v>
      </c>
      <c r="K41" s="182">
        <f>SUMIFS('март 2025'!$G$5:$G$2427,'март 2025'!$D$5:$D$2427,$B41,'март 2025'!$J$5:$J$2427,K$1)</f>
        <v>0</v>
      </c>
      <c r="L41" s="182">
        <f>SUMIFS('март 2025'!$G$5:$G$2427,'март 2025'!$D$5:$D$2427,$B41,'март 2025'!$J$5:$J$2427,L$1)</f>
        <v>0</v>
      </c>
      <c r="M41" s="182">
        <f>SUMIFS('март 2025'!$G$5:$G$2427,'март 2025'!$D$5:$D$2427,$B41,'март 2025'!$J$5:$J$2427,M$1)</f>
        <v>0</v>
      </c>
      <c r="N41" s="182">
        <f>SUMIFS('март 2025'!$G$5:$G$2427,'март 2025'!$D$5:$D$2427,$B41,'март 2025'!$J$5:$J$2427,N$1)</f>
        <v>0</v>
      </c>
      <c r="O41" s="182">
        <f>SUMIFS('март 2025'!$G$5:$G$2427,'март 2025'!$D$5:$D$2427,$B41,'март 2025'!$J$5:$J$2427,O$1)</f>
        <v>0</v>
      </c>
      <c r="P41" s="182">
        <f>SUMIFS('март 2025'!$G$5:$G$2427,'март 2025'!$D$5:$D$2427,$B41,'март 2025'!$J$5:$J$2427,P$1)</f>
        <v>0</v>
      </c>
      <c r="Q41" s="182">
        <f>SUMIFS('март 2025'!$G$5:$G$2427,'март 2025'!$D$5:$D$2427,$B41,'март 2025'!$J$5:$J$2427,Q$1)</f>
        <v>0</v>
      </c>
      <c r="R41" s="182">
        <f>SUMIFS('март 2025'!$G$5:$G$2427,'март 2025'!$D$5:$D$2427,$B41,'март 2025'!$J$5:$J$2427,R$1)</f>
        <v>0</v>
      </c>
      <c r="S41" s="182">
        <f>SUMIFS('март 2025'!$G$5:$G$2427,'март 2025'!$D$5:$D$2427,$B41,'март 2025'!$J$5:$J$2427,S$1)</f>
        <v>0</v>
      </c>
      <c r="T41" s="182">
        <f>SUMIFS('март 2025'!$G$5:$G$2427,'март 2025'!$D$5:$D$2427,$B41,'март 2025'!$J$5:$J$2427,T$1)</f>
        <v>0</v>
      </c>
      <c r="U41" s="182">
        <f>SUMIFS('март 2025'!$G$5:$G$2427,'март 2025'!$D$5:$D$2427,$B41,'март 2025'!$J$5:$J$2427,U$1)</f>
        <v>0</v>
      </c>
      <c r="V41" s="182">
        <f>SUMIFS('март 2025'!$G$5:$G$2427,'март 2025'!$D$5:$D$2427,$B41,'март 2025'!$J$5:$J$2427,V$1)</f>
        <v>0</v>
      </c>
      <c r="W41" s="182">
        <f>SUMIFS('март 2025'!$G$5:$G$2427,'март 2025'!$D$5:$D$2427,$B41,'март 2025'!$J$5:$J$2427,W$1)</f>
        <v>0</v>
      </c>
      <c r="X41" s="182">
        <f>SUMIFS('март 2025'!$G$5:$G$2427,'март 2025'!$D$5:$D$2427,$B41,'март 2025'!$J$5:$J$2427,X$1)</f>
        <v>0</v>
      </c>
      <c r="Y41" s="182">
        <f>SUMIFS('март 2025'!$G$5:$G$2427,'март 2025'!$D$5:$D$2427,$B41,'март 2025'!$J$5:$J$2427,Y$1)</f>
        <v>0</v>
      </c>
      <c r="Z41" s="182">
        <f>SUMIFS('март 2025'!$G$5:$G$2427,'март 2025'!$D$5:$D$2427,$B41,'март 2025'!$J$5:$J$2427,Z$1)</f>
        <v>0</v>
      </c>
      <c r="AA41" s="182">
        <f>SUMIFS('март 2025'!$G$5:$G$2427,'март 2025'!$D$5:$D$2427,$B41,'март 2025'!$J$5:$J$2427,AA$1)</f>
        <v>0</v>
      </c>
      <c r="AB41" s="182">
        <f>SUMIFS('март 2025'!$G$5:$G$2427,'март 2025'!$D$5:$D$2427,$B41,'март 2025'!$J$5:$J$2427,AB$1)</f>
        <v>0</v>
      </c>
      <c r="AC41" s="182">
        <f>SUMIFS('март 2025'!$G$5:$G$2427,'март 2025'!$D$5:$D$2427,$B41,'март 2025'!$J$5:$J$2427,AC$1)</f>
        <v>0</v>
      </c>
      <c r="AD41" s="182">
        <f>SUMIFS('март 2025'!$G$5:$G$2427,'март 2025'!$D$5:$D$2427,$B41,'март 2025'!$J$5:$J$2427,AD$1)</f>
        <v>0</v>
      </c>
      <c r="AE41" s="182">
        <f>SUMIFS('март 2025'!$G$5:$G$2427,'март 2025'!$D$5:$D$2427,$B41,'март 2025'!$J$5:$J$2427,AE$1)</f>
        <v>0</v>
      </c>
      <c r="AF41" s="182">
        <f>SUMIFS('март 2025'!$G$5:$G$2427,'март 2025'!$D$5:$D$2427,$B41,'март 2025'!$J$5:$J$2427,AF$1)</f>
        <v>0</v>
      </c>
      <c r="AG41" s="182">
        <f>SUMIFS('март 2025'!$G$5:$G$2427,'март 2025'!$D$5:$D$2427,$B41,'март 2025'!$J$5:$J$2427,AG$1)</f>
        <v>0</v>
      </c>
      <c r="AH41" s="182">
        <f>SUMIFS('март 2025'!$G$5:$G$2427,'март 2025'!$D$5:$D$2427,$B41,'март 2025'!$J$5:$J$2427,AH$1)</f>
        <v>0</v>
      </c>
      <c r="AI41" s="20">
        <f t="shared" si="1"/>
        <v>0</v>
      </c>
    </row>
    <row r="42" spans="2:35" ht="15" customHeight="1" x14ac:dyDescent="0.25">
      <c r="B42" s="131" t="s">
        <v>227</v>
      </c>
      <c r="C42" s="130">
        <v>22.68</v>
      </c>
      <c r="D42" s="182">
        <f>SUMIFS('март 2025'!$G$5:$G$2427,'март 2025'!$D$5:$D$2427,$B42,'март 2025'!$J$5:$J$2427,D$1)</f>
        <v>0</v>
      </c>
      <c r="E42" s="182">
        <f>SUMIFS('март 2025'!$G$5:$G$2427,'март 2025'!$D$5:$D$2427,$B42,'март 2025'!$J$5:$J$2427,E$1)</f>
        <v>0</v>
      </c>
      <c r="F42" s="182">
        <f>SUMIFS('март 2025'!$G$5:$G$2427,'март 2025'!$D$5:$D$2427,$B42,'март 2025'!$J$5:$J$2427,F$1)</f>
        <v>0</v>
      </c>
      <c r="G42" s="182">
        <f>SUMIFS('март 2025'!$G$5:$G$2427,'март 2025'!$D$5:$D$2427,$B42,'март 2025'!$J$5:$J$2427,G$1)</f>
        <v>0</v>
      </c>
      <c r="H42" s="182">
        <f>SUMIFS('март 2025'!$G$5:$G$2427,'март 2025'!$D$5:$D$2427,$B42,'март 2025'!$J$5:$J$2427,H$1)</f>
        <v>0</v>
      </c>
      <c r="I42" s="182">
        <f>SUMIFS('март 2025'!$G$5:$G$2427,'март 2025'!$D$5:$D$2427,$B42,'март 2025'!$J$5:$J$2427,I$1)</f>
        <v>0</v>
      </c>
      <c r="J42" s="182">
        <f>SUMIFS('март 2025'!$G$5:$G$2427,'март 2025'!$D$5:$D$2427,$B42,'март 2025'!$J$5:$J$2427,J$1)</f>
        <v>0</v>
      </c>
      <c r="K42" s="182">
        <f>SUMIFS('март 2025'!$G$5:$G$2427,'март 2025'!$D$5:$D$2427,$B42,'март 2025'!$J$5:$J$2427,K$1)</f>
        <v>0</v>
      </c>
      <c r="L42" s="182">
        <f>SUMIFS('март 2025'!$G$5:$G$2427,'март 2025'!$D$5:$D$2427,$B42,'март 2025'!$J$5:$J$2427,L$1)</f>
        <v>0</v>
      </c>
      <c r="M42" s="182">
        <f>SUMIFS('март 2025'!$G$5:$G$2427,'март 2025'!$D$5:$D$2427,$B42,'март 2025'!$J$5:$J$2427,M$1)</f>
        <v>0</v>
      </c>
      <c r="N42" s="182">
        <f>SUMIFS('март 2025'!$G$5:$G$2427,'март 2025'!$D$5:$D$2427,$B42,'март 2025'!$J$5:$J$2427,N$1)</f>
        <v>0</v>
      </c>
      <c r="O42" s="182">
        <f>SUMIFS('март 2025'!$G$5:$G$2427,'март 2025'!$D$5:$D$2427,$B42,'март 2025'!$J$5:$J$2427,O$1)</f>
        <v>0</v>
      </c>
      <c r="P42" s="182">
        <f>SUMIFS('март 2025'!$G$5:$G$2427,'март 2025'!$D$5:$D$2427,$B42,'март 2025'!$J$5:$J$2427,P$1)</f>
        <v>0</v>
      </c>
      <c r="Q42" s="182">
        <f>SUMIFS('март 2025'!$G$5:$G$2427,'март 2025'!$D$5:$D$2427,$B42,'март 2025'!$J$5:$J$2427,Q$1)</f>
        <v>0</v>
      </c>
      <c r="R42" s="182">
        <f>SUMIFS('март 2025'!$G$5:$G$2427,'март 2025'!$D$5:$D$2427,$B42,'март 2025'!$J$5:$J$2427,R$1)</f>
        <v>0</v>
      </c>
      <c r="S42" s="182">
        <f>SUMIFS('март 2025'!$G$5:$G$2427,'март 2025'!$D$5:$D$2427,$B42,'март 2025'!$J$5:$J$2427,S$1)</f>
        <v>0</v>
      </c>
      <c r="T42" s="182">
        <f>SUMIFS('март 2025'!$G$5:$G$2427,'март 2025'!$D$5:$D$2427,$B42,'март 2025'!$J$5:$J$2427,T$1)</f>
        <v>0</v>
      </c>
      <c r="U42" s="182">
        <f>SUMIFS('март 2025'!$G$5:$G$2427,'март 2025'!$D$5:$D$2427,$B42,'март 2025'!$J$5:$J$2427,U$1)</f>
        <v>0</v>
      </c>
      <c r="V42" s="182">
        <f>SUMIFS('март 2025'!$G$5:$G$2427,'март 2025'!$D$5:$D$2427,$B42,'март 2025'!$J$5:$J$2427,V$1)</f>
        <v>0</v>
      </c>
      <c r="W42" s="182">
        <f>SUMIFS('март 2025'!$G$5:$G$2427,'март 2025'!$D$5:$D$2427,$B42,'март 2025'!$J$5:$J$2427,W$1)</f>
        <v>0</v>
      </c>
      <c r="X42" s="182">
        <f>SUMIFS('март 2025'!$G$5:$G$2427,'март 2025'!$D$5:$D$2427,$B42,'март 2025'!$J$5:$J$2427,X$1)</f>
        <v>0</v>
      </c>
      <c r="Y42" s="182">
        <f>SUMIFS('март 2025'!$G$5:$G$2427,'март 2025'!$D$5:$D$2427,$B42,'март 2025'!$J$5:$J$2427,Y$1)</f>
        <v>0</v>
      </c>
      <c r="Z42" s="182">
        <f>SUMIFS('март 2025'!$G$5:$G$2427,'март 2025'!$D$5:$D$2427,$B42,'март 2025'!$J$5:$J$2427,Z$1)</f>
        <v>0</v>
      </c>
      <c r="AA42" s="182">
        <f>SUMIFS('март 2025'!$G$5:$G$2427,'март 2025'!$D$5:$D$2427,$B42,'март 2025'!$J$5:$J$2427,AA$1)</f>
        <v>0</v>
      </c>
      <c r="AB42" s="182">
        <f>SUMIFS('март 2025'!$G$5:$G$2427,'март 2025'!$D$5:$D$2427,$B42,'март 2025'!$J$5:$J$2427,AB$1)</f>
        <v>0</v>
      </c>
      <c r="AC42" s="182">
        <f>SUMIFS('март 2025'!$G$5:$G$2427,'март 2025'!$D$5:$D$2427,$B42,'март 2025'!$J$5:$J$2427,AC$1)</f>
        <v>0</v>
      </c>
      <c r="AD42" s="182">
        <f>SUMIFS('март 2025'!$G$5:$G$2427,'март 2025'!$D$5:$D$2427,$B42,'март 2025'!$J$5:$J$2427,AD$1)</f>
        <v>0</v>
      </c>
      <c r="AE42" s="182">
        <f>SUMIFS('март 2025'!$G$5:$G$2427,'март 2025'!$D$5:$D$2427,$B42,'март 2025'!$J$5:$J$2427,AE$1)</f>
        <v>0</v>
      </c>
      <c r="AF42" s="182">
        <f>SUMIFS('март 2025'!$G$5:$G$2427,'март 2025'!$D$5:$D$2427,$B42,'март 2025'!$J$5:$J$2427,AF$1)</f>
        <v>0</v>
      </c>
      <c r="AG42" s="182">
        <f>SUMIFS('март 2025'!$G$5:$G$2427,'март 2025'!$D$5:$D$2427,$B42,'март 2025'!$J$5:$J$2427,AG$1)</f>
        <v>0</v>
      </c>
      <c r="AH42" s="182">
        <f>SUMIFS('март 2025'!$G$5:$G$2427,'март 2025'!$D$5:$D$2427,$B42,'март 2025'!$J$5:$J$2427,AH$1)</f>
        <v>0</v>
      </c>
      <c r="AI42" s="20">
        <f t="shared" si="1"/>
        <v>0</v>
      </c>
    </row>
    <row r="43" spans="2:35" ht="15" customHeight="1" x14ac:dyDescent="0.25">
      <c r="B43" s="135" t="s">
        <v>229</v>
      </c>
      <c r="C43" s="132">
        <v>25</v>
      </c>
      <c r="D43" s="182">
        <f>SUMIFS('март 2025'!$G$5:$G$2427,'март 2025'!$D$5:$D$2427,$B43,'март 2025'!$J$5:$J$2427,D$1)</f>
        <v>0</v>
      </c>
      <c r="E43" s="182">
        <f>SUMIFS('март 2025'!$G$5:$G$2427,'март 2025'!$D$5:$D$2427,$B43,'март 2025'!$J$5:$J$2427,E$1)</f>
        <v>0</v>
      </c>
      <c r="F43" s="182">
        <f>SUMIFS('март 2025'!$G$5:$G$2427,'март 2025'!$D$5:$D$2427,$B43,'март 2025'!$J$5:$J$2427,F$1)</f>
        <v>0</v>
      </c>
      <c r="G43" s="182">
        <f>SUMIFS('март 2025'!$G$5:$G$2427,'март 2025'!$D$5:$D$2427,$B43,'март 2025'!$J$5:$J$2427,G$1)</f>
        <v>0</v>
      </c>
      <c r="H43" s="182">
        <f>SUMIFS('март 2025'!$G$5:$G$2427,'март 2025'!$D$5:$D$2427,$B43,'март 2025'!$J$5:$J$2427,H$1)</f>
        <v>0</v>
      </c>
      <c r="I43" s="182">
        <f>SUMIFS('март 2025'!$G$5:$G$2427,'март 2025'!$D$5:$D$2427,$B43,'март 2025'!$J$5:$J$2427,I$1)</f>
        <v>0</v>
      </c>
      <c r="J43" s="182">
        <f>SUMIFS('март 2025'!$G$5:$G$2427,'март 2025'!$D$5:$D$2427,$B43,'март 2025'!$J$5:$J$2427,J$1)</f>
        <v>0</v>
      </c>
      <c r="K43" s="182">
        <f>SUMIFS('март 2025'!$G$5:$G$2427,'март 2025'!$D$5:$D$2427,$B43,'март 2025'!$J$5:$J$2427,K$1)</f>
        <v>0</v>
      </c>
      <c r="L43" s="182">
        <f>SUMIFS('март 2025'!$G$5:$G$2427,'март 2025'!$D$5:$D$2427,$B43,'март 2025'!$J$5:$J$2427,L$1)</f>
        <v>0</v>
      </c>
      <c r="M43" s="182">
        <f>SUMIFS('март 2025'!$G$5:$G$2427,'март 2025'!$D$5:$D$2427,$B43,'март 2025'!$J$5:$J$2427,M$1)</f>
        <v>0</v>
      </c>
      <c r="N43" s="182">
        <f>SUMIFS('март 2025'!$G$5:$G$2427,'март 2025'!$D$5:$D$2427,$B43,'март 2025'!$J$5:$J$2427,N$1)</f>
        <v>0</v>
      </c>
      <c r="O43" s="182">
        <f>SUMIFS('март 2025'!$G$5:$G$2427,'март 2025'!$D$5:$D$2427,$B43,'март 2025'!$J$5:$J$2427,O$1)</f>
        <v>0</v>
      </c>
      <c r="P43" s="182">
        <f>SUMIFS('март 2025'!$G$5:$G$2427,'март 2025'!$D$5:$D$2427,$B43,'март 2025'!$J$5:$J$2427,P$1)</f>
        <v>0</v>
      </c>
      <c r="Q43" s="182">
        <f>SUMIFS('март 2025'!$G$5:$G$2427,'март 2025'!$D$5:$D$2427,$B43,'март 2025'!$J$5:$J$2427,Q$1)</f>
        <v>0</v>
      </c>
      <c r="R43" s="182">
        <f>SUMIFS('март 2025'!$G$5:$G$2427,'март 2025'!$D$5:$D$2427,$B43,'март 2025'!$J$5:$J$2427,R$1)</f>
        <v>0</v>
      </c>
      <c r="S43" s="182">
        <f>SUMIFS('март 2025'!$G$5:$G$2427,'март 2025'!$D$5:$D$2427,$B43,'март 2025'!$J$5:$J$2427,S$1)</f>
        <v>0</v>
      </c>
      <c r="T43" s="182">
        <f>SUMIFS('март 2025'!$G$5:$G$2427,'март 2025'!$D$5:$D$2427,$B43,'март 2025'!$J$5:$J$2427,T$1)</f>
        <v>0</v>
      </c>
      <c r="U43" s="182">
        <f>SUMIFS('март 2025'!$G$5:$G$2427,'март 2025'!$D$5:$D$2427,$B43,'март 2025'!$J$5:$J$2427,U$1)</f>
        <v>0</v>
      </c>
      <c r="V43" s="182">
        <f>SUMIFS('март 2025'!$G$5:$G$2427,'март 2025'!$D$5:$D$2427,$B43,'март 2025'!$J$5:$J$2427,V$1)</f>
        <v>0</v>
      </c>
      <c r="W43" s="182">
        <f>SUMIFS('март 2025'!$G$5:$G$2427,'март 2025'!$D$5:$D$2427,$B43,'март 2025'!$J$5:$J$2427,W$1)</f>
        <v>0</v>
      </c>
      <c r="X43" s="182">
        <f>SUMIFS('март 2025'!$G$5:$G$2427,'март 2025'!$D$5:$D$2427,$B43,'март 2025'!$J$5:$J$2427,X$1)</f>
        <v>0</v>
      </c>
      <c r="Y43" s="182">
        <f>SUMIFS('март 2025'!$G$5:$G$2427,'март 2025'!$D$5:$D$2427,$B43,'март 2025'!$J$5:$J$2427,Y$1)</f>
        <v>0</v>
      </c>
      <c r="Z43" s="182">
        <f>SUMIFS('март 2025'!$G$5:$G$2427,'март 2025'!$D$5:$D$2427,$B43,'март 2025'!$J$5:$J$2427,Z$1)</f>
        <v>0</v>
      </c>
      <c r="AA43" s="182">
        <f>SUMIFS('март 2025'!$G$5:$G$2427,'март 2025'!$D$5:$D$2427,$B43,'март 2025'!$J$5:$J$2427,AA$1)</f>
        <v>0</v>
      </c>
      <c r="AB43" s="182">
        <f>SUMIFS('март 2025'!$G$5:$G$2427,'март 2025'!$D$5:$D$2427,$B43,'март 2025'!$J$5:$J$2427,AB$1)</f>
        <v>0</v>
      </c>
      <c r="AC43" s="182">
        <f>SUMIFS('март 2025'!$G$5:$G$2427,'март 2025'!$D$5:$D$2427,$B43,'март 2025'!$J$5:$J$2427,AC$1)</f>
        <v>0</v>
      </c>
      <c r="AD43" s="182">
        <f>SUMIFS('март 2025'!$G$5:$G$2427,'март 2025'!$D$5:$D$2427,$B43,'март 2025'!$J$5:$J$2427,AD$1)</f>
        <v>0</v>
      </c>
      <c r="AE43" s="182">
        <f>SUMIFS('март 2025'!$G$5:$G$2427,'март 2025'!$D$5:$D$2427,$B43,'март 2025'!$J$5:$J$2427,AE$1)</f>
        <v>0</v>
      </c>
      <c r="AF43" s="182">
        <f>SUMIFS('март 2025'!$G$5:$G$2427,'март 2025'!$D$5:$D$2427,$B43,'март 2025'!$J$5:$J$2427,AF$1)</f>
        <v>0</v>
      </c>
      <c r="AG43" s="182">
        <f>SUMIFS('март 2025'!$G$5:$G$2427,'март 2025'!$D$5:$D$2427,$B43,'март 2025'!$J$5:$J$2427,AG$1)</f>
        <v>0</v>
      </c>
      <c r="AH43" s="182">
        <f>SUMIFS('март 2025'!$G$5:$G$2427,'март 2025'!$D$5:$D$2427,$B43,'март 2025'!$J$5:$J$2427,AH$1)</f>
        <v>0</v>
      </c>
      <c r="AI43" s="20">
        <f t="shared" si="1"/>
        <v>0</v>
      </c>
    </row>
    <row r="44" spans="2:35" ht="15" customHeight="1" x14ac:dyDescent="0.25">
      <c r="B44" s="131" t="s">
        <v>230</v>
      </c>
      <c r="C44" s="134">
        <v>25</v>
      </c>
      <c r="D44" s="182">
        <f>SUMIFS('март 2025'!$G$5:$G$2427,'март 2025'!$D$5:$D$2427,$B44,'март 2025'!$J$5:$J$2427,D$1)</f>
        <v>0</v>
      </c>
      <c r="E44" s="182">
        <f>SUMIFS('март 2025'!$G$5:$G$2427,'март 2025'!$D$5:$D$2427,$B44,'март 2025'!$J$5:$J$2427,E$1)</f>
        <v>0</v>
      </c>
      <c r="F44" s="182">
        <f>SUMIFS('март 2025'!$G$5:$G$2427,'март 2025'!$D$5:$D$2427,$B44,'март 2025'!$J$5:$J$2427,F$1)</f>
        <v>0</v>
      </c>
      <c r="G44" s="182">
        <f>SUMIFS('март 2025'!$G$5:$G$2427,'март 2025'!$D$5:$D$2427,$B44,'март 2025'!$J$5:$J$2427,G$1)</f>
        <v>0</v>
      </c>
      <c r="H44" s="182">
        <f>SUMIFS('март 2025'!$G$5:$G$2427,'март 2025'!$D$5:$D$2427,$B44,'март 2025'!$J$5:$J$2427,H$1)</f>
        <v>0</v>
      </c>
      <c r="I44" s="182">
        <f>SUMIFS('март 2025'!$G$5:$G$2427,'март 2025'!$D$5:$D$2427,$B44,'март 2025'!$J$5:$J$2427,I$1)</f>
        <v>0</v>
      </c>
      <c r="J44" s="182">
        <f>SUMIFS('март 2025'!$G$5:$G$2427,'март 2025'!$D$5:$D$2427,$B44,'март 2025'!$J$5:$J$2427,J$1)</f>
        <v>0</v>
      </c>
      <c r="K44" s="182">
        <f>SUMIFS('март 2025'!$G$5:$G$2427,'март 2025'!$D$5:$D$2427,$B44,'март 2025'!$J$5:$J$2427,K$1)</f>
        <v>0</v>
      </c>
      <c r="L44" s="182">
        <f>SUMIFS('март 2025'!$G$5:$G$2427,'март 2025'!$D$5:$D$2427,$B44,'март 2025'!$J$5:$J$2427,L$1)</f>
        <v>0</v>
      </c>
      <c r="M44" s="182">
        <f>SUMIFS('март 2025'!$G$5:$G$2427,'март 2025'!$D$5:$D$2427,$B44,'март 2025'!$J$5:$J$2427,M$1)</f>
        <v>0</v>
      </c>
      <c r="N44" s="182">
        <f>SUMIFS('март 2025'!$G$5:$G$2427,'март 2025'!$D$5:$D$2427,$B44,'март 2025'!$J$5:$J$2427,N$1)</f>
        <v>0</v>
      </c>
      <c r="O44" s="182">
        <f>SUMIFS('март 2025'!$G$5:$G$2427,'март 2025'!$D$5:$D$2427,$B44,'март 2025'!$J$5:$J$2427,O$1)</f>
        <v>0</v>
      </c>
      <c r="P44" s="182">
        <f>SUMIFS('март 2025'!$G$5:$G$2427,'март 2025'!$D$5:$D$2427,$B44,'март 2025'!$J$5:$J$2427,P$1)</f>
        <v>0</v>
      </c>
      <c r="Q44" s="182">
        <f>SUMIFS('март 2025'!$G$5:$G$2427,'март 2025'!$D$5:$D$2427,$B44,'март 2025'!$J$5:$J$2427,Q$1)</f>
        <v>0</v>
      </c>
      <c r="R44" s="182">
        <f>SUMIFS('март 2025'!$G$5:$G$2427,'март 2025'!$D$5:$D$2427,$B44,'март 2025'!$J$5:$J$2427,R$1)</f>
        <v>0</v>
      </c>
      <c r="S44" s="182">
        <f>SUMIFS('март 2025'!$G$5:$G$2427,'март 2025'!$D$5:$D$2427,$B44,'март 2025'!$J$5:$J$2427,S$1)</f>
        <v>0</v>
      </c>
      <c r="T44" s="182">
        <f>SUMIFS('март 2025'!$G$5:$G$2427,'март 2025'!$D$5:$D$2427,$B44,'март 2025'!$J$5:$J$2427,T$1)</f>
        <v>0</v>
      </c>
      <c r="U44" s="182">
        <f>SUMIFS('март 2025'!$G$5:$G$2427,'март 2025'!$D$5:$D$2427,$B44,'март 2025'!$J$5:$J$2427,U$1)</f>
        <v>0</v>
      </c>
      <c r="V44" s="182">
        <f>SUMIFS('март 2025'!$G$5:$G$2427,'март 2025'!$D$5:$D$2427,$B44,'март 2025'!$J$5:$J$2427,V$1)</f>
        <v>0</v>
      </c>
      <c r="W44" s="182">
        <f>SUMIFS('март 2025'!$G$5:$G$2427,'март 2025'!$D$5:$D$2427,$B44,'март 2025'!$J$5:$J$2427,W$1)</f>
        <v>0</v>
      </c>
      <c r="X44" s="182">
        <f>SUMIFS('март 2025'!$G$5:$G$2427,'март 2025'!$D$5:$D$2427,$B44,'март 2025'!$J$5:$J$2427,X$1)</f>
        <v>0</v>
      </c>
      <c r="Y44" s="182">
        <f>SUMIFS('март 2025'!$G$5:$G$2427,'март 2025'!$D$5:$D$2427,$B44,'март 2025'!$J$5:$J$2427,Y$1)</f>
        <v>0</v>
      </c>
      <c r="Z44" s="182">
        <f>SUMIFS('март 2025'!$G$5:$G$2427,'март 2025'!$D$5:$D$2427,$B44,'март 2025'!$J$5:$J$2427,Z$1)</f>
        <v>0</v>
      </c>
      <c r="AA44" s="182">
        <f>SUMIFS('март 2025'!$G$5:$G$2427,'март 2025'!$D$5:$D$2427,$B44,'март 2025'!$J$5:$J$2427,AA$1)</f>
        <v>0</v>
      </c>
      <c r="AB44" s="182">
        <f>SUMIFS('март 2025'!$G$5:$G$2427,'март 2025'!$D$5:$D$2427,$B44,'март 2025'!$J$5:$J$2427,AB$1)</f>
        <v>0</v>
      </c>
      <c r="AC44" s="182">
        <f>SUMIFS('март 2025'!$G$5:$G$2427,'март 2025'!$D$5:$D$2427,$B44,'март 2025'!$J$5:$J$2427,AC$1)</f>
        <v>0</v>
      </c>
      <c r="AD44" s="182">
        <f>SUMIFS('март 2025'!$G$5:$G$2427,'март 2025'!$D$5:$D$2427,$B44,'март 2025'!$J$5:$J$2427,AD$1)</f>
        <v>0</v>
      </c>
      <c r="AE44" s="182">
        <f>SUMIFS('март 2025'!$G$5:$G$2427,'март 2025'!$D$5:$D$2427,$B44,'март 2025'!$J$5:$J$2427,AE$1)</f>
        <v>0</v>
      </c>
      <c r="AF44" s="182">
        <f>SUMIFS('март 2025'!$G$5:$G$2427,'март 2025'!$D$5:$D$2427,$B44,'март 2025'!$J$5:$J$2427,AF$1)</f>
        <v>0</v>
      </c>
      <c r="AG44" s="182">
        <f>SUMIFS('март 2025'!$G$5:$G$2427,'март 2025'!$D$5:$D$2427,$B44,'март 2025'!$J$5:$J$2427,AG$1)</f>
        <v>0</v>
      </c>
      <c r="AH44" s="182">
        <f>SUMIFS('март 2025'!$G$5:$G$2427,'март 2025'!$D$5:$D$2427,$B44,'март 2025'!$J$5:$J$2427,AH$1)</f>
        <v>0</v>
      </c>
      <c r="AI44" s="20">
        <f t="shared" si="1"/>
        <v>0</v>
      </c>
    </row>
    <row r="45" spans="2:35" ht="15" customHeight="1" x14ac:dyDescent="0.25">
      <c r="B45" s="135" t="s">
        <v>288</v>
      </c>
      <c r="C45" s="137">
        <v>25</v>
      </c>
      <c r="D45" s="182">
        <f>SUMIFS('март 2025'!$G$5:$G$2427,'март 2025'!$D$5:$D$2427,$B45,'март 2025'!$J$5:$J$2427,D$1)</f>
        <v>0</v>
      </c>
      <c r="E45" s="182">
        <f>SUMIFS('март 2025'!$G$5:$G$2427,'март 2025'!$D$5:$D$2427,$B45,'март 2025'!$J$5:$J$2427,E$1)</f>
        <v>0</v>
      </c>
      <c r="F45" s="182">
        <f>SUMIFS('март 2025'!$G$5:$G$2427,'март 2025'!$D$5:$D$2427,$B45,'март 2025'!$J$5:$J$2427,F$1)</f>
        <v>0</v>
      </c>
      <c r="G45" s="182">
        <f>SUMIFS('март 2025'!$G$5:$G$2427,'март 2025'!$D$5:$D$2427,$B45,'март 2025'!$J$5:$J$2427,G$1)</f>
        <v>0</v>
      </c>
      <c r="H45" s="182">
        <f>SUMIFS('март 2025'!$G$5:$G$2427,'март 2025'!$D$5:$D$2427,$B45,'март 2025'!$J$5:$J$2427,H$1)</f>
        <v>0</v>
      </c>
      <c r="I45" s="182">
        <f>SUMIFS('март 2025'!$G$5:$G$2427,'март 2025'!$D$5:$D$2427,$B45,'март 2025'!$J$5:$J$2427,I$1)</f>
        <v>0</v>
      </c>
      <c r="J45" s="182">
        <f>SUMIFS('март 2025'!$G$5:$G$2427,'март 2025'!$D$5:$D$2427,$B45,'март 2025'!$J$5:$J$2427,J$1)</f>
        <v>0</v>
      </c>
      <c r="K45" s="182">
        <f>SUMIFS('март 2025'!$G$5:$G$2427,'март 2025'!$D$5:$D$2427,$B45,'март 2025'!$J$5:$J$2427,K$1)</f>
        <v>0</v>
      </c>
      <c r="L45" s="182">
        <f>SUMIFS('март 2025'!$G$5:$G$2427,'март 2025'!$D$5:$D$2427,$B45,'март 2025'!$J$5:$J$2427,L$1)</f>
        <v>0</v>
      </c>
      <c r="M45" s="182">
        <f>SUMIFS('март 2025'!$G$5:$G$2427,'март 2025'!$D$5:$D$2427,$B45,'март 2025'!$J$5:$J$2427,M$1)</f>
        <v>0</v>
      </c>
      <c r="N45" s="182">
        <f>SUMIFS('март 2025'!$G$5:$G$2427,'март 2025'!$D$5:$D$2427,$B45,'март 2025'!$J$5:$J$2427,N$1)</f>
        <v>0</v>
      </c>
      <c r="O45" s="182">
        <f>SUMIFS('март 2025'!$G$5:$G$2427,'март 2025'!$D$5:$D$2427,$B45,'март 2025'!$J$5:$J$2427,O$1)</f>
        <v>0</v>
      </c>
      <c r="P45" s="182">
        <f>SUMIFS('март 2025'!$G$5:$G$2427,'март 2025'!$D$5:$D$2427,$B45,'март 2025'!$J$5:$J$2427,P$1)</f>
        <v>0</v>
      </c>
      <c r="Q45" s="182">
        <f>SUMIFS('март 2025'!$G$5:$G$2427,'март 2025'!$D$5:$D$2427,$B45,'март 2025'!$J$5:$J$2427,Q$1)</f>
        <v>0</v>
      </c>
      <c r="R45" s="182">
        <f>SUMIFS('март 2025'!$G$5:$G$2427,'март 2025'!$D$5:$D$2427,$B45,'март 2025'!$J$5:$J$2427,R$1)</f>
        <v>0</v>
      </c>
      <c r="S45" s="182">
        <f>SUMIFS('март 2025'!$G$5:$G$2427,'март 2025'!$D$5:$D$2427,$B45,'март 2025'!$J$5:$J$2427,S$1)</f>
        <v>0</v>
      </c>
      <c r="T45" s="182">
        <f>SUMIFS('март 2025'!$G$5:$G$2427,'март 2025'!$D$5:$D$2427,$B45,'март 2025'!$J$5:$J$2427,T$1)</f>
        <v>0</v>
      </c>
      <c r="U45" s="182">
        <f>SUMIFS('март 2025'!$G$5:$G$2427,'март 2025'!$D$5:$D$2427,$B45,'март 2025'!$J$5:$J$2427,U$1)</f>
        <v>0</v>
      </c>
      <c r="V45" s="182">
        <f>SUMIFS('март 2025'!$G$5:$G$2427,'март 2025'!$D$5:$D$2427,$B45,'март 2025'!$J$5:$J$2427,V$1)</f>
        <v>0</v>
      </c>
      <c r="W45" s="182">
        <f>SUMIFS('март 2025'!$G$5:$G$2427,'март 2025'!$D$5:$D$2427,$B45,'март 2025'!$J$5:$J$2427,W$1)</f>
        <v>0</v>
      </c>
      <c r="X45" s="182">
        <f>SUMIFS('март 2025'!$G$5:$G$2427,'март 2025'!$D$5:$D$2427,$B45,'март 2025'!$J$5:$J$2427,X$1)</f>
        <v>0</v>
      </c>
      <c r="Y45" s="182">
        <f>SUMIFS('март 2025'!$G$5:$G$2427,'март 2025'!$D$5:$D$2427,$B45,'март 2025'!$J$5:$J$2427,Y$1)</f>
        <v>0</v>
      </c>
      <c r="Z45" s="182">
        <f>SUMIFS('март 2025'!$G$5:$G$2427,'март 2025'!$D$5:$D$2427,$B45,'март 2025'!$J$5:$J$2427,Z$1)</f>
        <v>0</v>
      </c>
      <c r="AA45" s="182">
        <f>SUMIFS('март 2025'!$G$5:$G$2427,'март 2025'!$D$5:$D$2427,$B45,'март 2025'!$J$5:$J$2427,AA$1)</f>
        <v>0</v>
      </c>
      <c r="AB45" s="182">
        <f>SUMIFS('март 2025'!$G$5:$G$2427,'март 2025'!$D$5:$D$2427,$B45,'март 2025'!$J$5:$J$2427,AB$1)</f>
        <v>0</v>
      </c>
      <c r="AC45" s="182">
        <f>SUMIFS('март 2025'!$G$5:$G$2427,'март 2025'!$D$5:$D$2427,$B45,'март 2025'!$J$5:$J$2427,AC$1)</f>
        <v>0</v>
      </c>
      <c r="AD45" s="182">
        <f>SUMIFS('март 2025'!$G$5:$G$2427,'март 2025'!$D$5:$D$2427,$B45,'март 2025'!$J$5:$J$2427,AD$1)</f>
        <v>0</v>
      </c>
      <c r="AE45" s="182">
        <f>SUMIFS('март 2025'!$G$5:$G$2427,'март 2025'!$D$5:$D$2427,$B45,'март 2025'!$J$5:$J$2427,AE$1)</f>
        <v>0</v>
      </c>
      <c r="AF45" s="182">
        <f>SUMIFS('март 2025'!$G$5:$G$2427,'март 2025'!$D$5:$D$2427,$B45,'март 2025'!$J$5:$J$2427,AF$1)</f>
        <v>0</v>
      </c>
      <c r="AG45" s="182">
        <f>SUMIFS('март 2025'!$G$5:$G$2427,'март 2025'!$D$5:$D$2427,$B45,'март 2025'!$J$5:$J$2427,AG$1)</f>
        <v>0</v>
      </c>
      <c r="AH45" s="182">
        <f>SUMIFS('март 2025'!$G$5:$G$2427,'март 2025'!$D$5:$D$2427,$B45,'март 2025'!$J$5:$J$2427,AH$1)</f>
        <v>0</v>
      </c>
      <c r="AI45" s="20">
        <f t="shared" si="1"/>
        <v>0</v>
      </c>
    </row>
    <row r="46" spans="2:35" ht="15" customHeight="1" x14ac:dyDescent="0.25">
      <c r="B46" s="135" t="s">
        <v>232</v>
      </c>
      <c r="C46" s="132">
        <v>25</v>
      </c>
      <c r="D46" s="182">
        <f>SUMIFS('март 2025'!$G$5:$G$2427,'март 2025'!$D$5:$D$2427,$B46,'март 2025'!$J$5:$J$2427,D$1)</f>
        <v>0</v>
      </c>
      <c r="E46" s="182">
        <f>SUMIFS('март 2025'!$G$5:$G$2427,'март 2025'!$D$5:$D$2427,$B46,'март 2025'!$J$5:$J$2427,E$1)</f>
        <v>0</v>
      </c>
      <c r="F46" s="182">
        <f>SUMIFS('март 2025'!$G$5:$G$2427,'март 2025'!$D$5:$D$2427,$B46,'март 2025'!$J$5:$J$2427,F$1)</f>
        <v>0</v>
      </c>
      <c r="G46" s="182">
        <f>SUMIFS('март 2025'!$G$5:$G$2427,'март 2025'!$D$5:$D$2427,$B46,'март 2025'!$J$5:$J$2427,G$1)</f>
        <v>0</v>
      </c>
      <c r="H46" s="182">
        <f>SUMIFS('март 2025'!$G$5:$G$2427,'март 2025'!$D$5:$D$2427,$B46,'март 2025'!$J$5:$J$2427,H$1)</f>
        <v>0</v>
      </c>
      <c r="I46" s="182">
        <f>SUMIFS('март 2025'!$G$5:$G$2427,'март 2025'!$D$5:$D$2427,$B46,'март 2025'!$J$5:$J$2427,I$1)</f>
        <v>0</v>
      </c>
      <c r="J46" s="182">
        <f>SUMIFS('март 2025'!$G$5:$G$2427,'март 2025'!$D$5:$D$2427,$B46,'март 2025'!$J$5:$J$2427,J$1)</f>
        <v>0</v>
      </c>
      <c r="K46" s="182">
        <f>SUMIFS('март 2025'!$G$5:$G$2427,'март 2025'!$D$5:$D$2427,$B46,'март 2025'!$J$5:$J$2427,K$1)</f>
        <v>0</v>
      </c>
      <c r="L46" s="182">
        <f>SUMIFS('март 2025'!$G$5:$G$2427,'март 2025'!$D$5:$D$2427,$B46,'март 2025'!$J$5:$J$2427,L$1)</f>
        <v>0</v>
      </c>
      <c r="M46" s="182">
        <f>SUMIFS('март 2025'!$G$5:$G$2427,'март 2025'!$D$5:$D$2427,$B46,'март 2025'!$J$5:$J$2427,M$1)</f>
        <v>0</v>
      </c>
      <c r="N46" s="182">
        <f>SUMIFS('март 2025'!$G$5:$G$2427,'март 2025'!$D$5:$D$2427,$B46,'март 2025'!$J$5:$J$2427,N$1)</f>
        <v>0</v>
      </c>
      <c r="O46" s="182">
        <f>SUMIFS('март 2025'!$G$5:$G$2427,'март 2025'!$D$5:$D$2427,$B46,'март 2025'!$J$5:$J$2427,O$1)</f>
        <v>0</v>
      </c>
      <c r="P46" s="182">
        <f>SUMIFS('март 2025'!$G$5:$G$2427,'март 2025'!$D$5:$D$2427,$B46,'март 2025'!$J$5:$J$2427,P$1)</f>
        <v>0</v>
      </c>
      <c r="Q46" s="182">
        <f>SUMIFS('март 2025'!$G$5:$G$2427,'март 2025'!$D$5:$D$2427,$B46,'март 2025'!$J$5:$J$2427,Q$1)</f>
        <v>0</v>
      </c>
      <c r="R46" s="182">
        <f>SUMIFS('март 2025'!$G$5:$G$2427,'март 2025'!$D$5:$D$2427,$B46,'март 2025'!$J$5:$J$2427,R$1)</f>
        <v>0</v>
      </c>
      <c r="S46" s="182">
        <f>SUMIFS('март 2025'!$G$5:$G$2427,'март 2025'!$D$5:$D$2427,$B46,'март 2025'!$J$5:$J$2427,S$1)</f>
        <v>0</v>
      </c>
      <c r="T46" s="182">
        <f>SUMIFS('март 2025'!$G$5:$G$2427,'март 2025'!$D$5:$D$2427,$B46,'март 2025'!$J$5:$J$2427,T$1)</f>
        <v>0</v>
      </c>
      <c r="U46" s="182">
        <f>SUMIFS('март 2025'!$G$5:$G$2427,'март 2025'!$D$5:$D$2427,$B46,'март 2025'!$J$5:$J$2427,U$1)</f>
        <v>0</v>
      </c>
      <c r="V46" s="182">
        <f>SUMIFS('март 2025'!$G$5:$G$2427,'март 2025'!$D$5:$D$2427,$B46,'март 2025'!$J$5:$J$2427,V$1)</f>
        <v>120</v>
      </c>
      <c r="W46" s="182">
        <f>SUMIFS('март 2025'!$G$5:$G$2427,'март 2025'!$D$5:$D$2427,$B46,'март 2025'!$J$5:$J$2427,W$1)</f>
        <v>0</v>
      </c>
      <c r="X46" s="182">
        <f>SUMIFS('март 2025'!$G$5:$G$2427,'март 2025'!$D$5:$D$2427,$B46,'март 2025'!$J$5:$J$2427,X$1)</f>
        <v>0</v>
      </c>
      <c r="Y46" s="182">
        <f>SUMIFS('март 2025'!$G$5:$G$2427,'март 2025'!$D$5:$D$2427,$B46,'март 2025'!$J$5:$J$2427,Y$1)</f>
        <v>0</v>
      </c>
      <c r="Z46" s="182">
        <f>SUMIFS('март 2025'!$G$5:$G$2427,'март 2025'!$D$5:$D$2427,$B46,'март 2025'!$J$5:$J$2427,Z$1)</f>
        <v>0</v>
      </c>
      <c r="AA46" s="182">
        <f>SUMIFS('март 2025'!$G$5:$G$2427,'март 2025'!$D$5:$D$2427,$B46,'март 2025'!$J$5:$J$2427,AA$1)</f>
        <v>0</v>
      </c>
      <c r="AB46" s="182">
        <f>SUMIFS('март 2025'!$G$5:$G$2427,'март 2025'!$D$5:$D$2427,$B46,'март 2025'!$J$5:$J$2427,AB$1)</f>
        <v>0</v>
      </c>
      <c r="AC46" s="182">
        <f>SUMIFS('март 2025'!$G$5:$G$2427,'март 2025'!$D$5:$D$2427,$B46,'март 2025'!$J$5:$J$2427,AC$1)</f>
        <v>0</v>
      </c>
      <c r="AD46" s="182">
        <f>SUMIFS('март 2025'!$G$5:$G$2427,'март 2025'!$D$5:$D$2427,$B46,'март 2025'!$J$5:$J$2427,AD$1)</f>
        <v>0</v>
      </c>
      <c r="AE46" s="182">
        <f>SUMIFS('март 2025'!$G$5:$G$2427,'март 2025'!$D$5:$D$2427,$B46,'март 2025'!$J$5:$J$2427,AE$1)</f>
        <v>0</v>
      </c>
      <c r="AF46" s="182">
        <f>SUMIFS('март 2025'!$G$5:$G$2427,'март 2025'!$D$5:$D$2427,$B46,'март 2025'!$J$5:$J$2427,AF$1)</f>
        <v>0</v>
      </c>
      <c r="AG46" s="182">
        <f>SUMIFS('март 2025'!$G$5:$G$2427,'март 2025'!$D$5:$D$2427,$B46,'март 2025'!$J$5:$J$2427,AG$1)</f>
        <v>0</v>
      </c>
      <c r="AH46" s="182">
        <f>SUMIFS('март 2025'!$G$5:$G$2427,'март 2025'!$D$5:$D$2427,$B46,'март 2025'!$J$5:$J$2427,AH$1)</f>
        <v>0</v>
      </c>
      <c r="AI46" s="20">
        <f t="shared" si="1"/>
        <v>120</v>
      </c>
    </row>
    <row r="47" spans="2:35" ht="15" customHeight="1" x14ac:dyDescent="0.25">
      <c r="B47" s="135" t="s">
        <v>234</v>
      </c>
      <c r="C47" s="132">
        <v>18</v>
      </c>
      <c r="D47" s="182">
        <f>SUMIFS('март 2025'!$G$5:$G$2427,'март 2025'!$D$5:$D$2427,$B47,'март 2025'!$J$5:$J$2427,D$1)</f>
        <v>0</v>
      </c>
      <c r="E47" s="182">
        <f>SUMIFS('март 2025'!$G$5:$G$2427,'март 2025'!$D$5:$D$2427,$B47,'март 2025'!$J$5:$J$2427,E$1)</f>
        <v>0</v>
      </c>
      <c r="F47" s="182">
        <f>SUMIFS('март 2025'!$G$5:$G$2427,'март 2025'!$D$5:$D$2427,$B47,'март 2025'!$J$5:$J$2427,F$1)</f>
        <v>0</v>
      </c>
      <c r="G47" s="182">
        <f>SUMIFS('март 2025'!$G$5:$G$2427,'март 2025'!$D$5:$D$2427,$B47,'март 2025'!$J$5:$J$2427,G$1)</f>
        <v>0</v>
      </c>
      <c r="H47" s="182">
        <f>SUMIFS('март 2025'!$G$5:$G$2427,'март 2025'!$D$5:$D$2427,$B47,'март 2025'!$J$5:$J$2427,H$1)</f>
        <v>0</v>
      </c>
      <c r="I47" s="182">
        <f>SUMIFS('март 2025'!$G$5:$G$2427,'март 2025'!$D$5:$D$2427,$B47,'март 2025'!$J$5:$J$2427,I$1)</f>
        <v>0</v>
      </c>
      <c r="J47" s="182">
        <f>SUMIFS('март 2025'!$G$5:$G$2427,'март 2025'!$D$5:$D$2427,$B47,'март 2025'!$J$5:$J$2427,J$1)</f>
        <v>0</v>
      </c>
      <c r="K47" s="182">
        <f>SUMIFS('март 2025'!$G$5:$G$2427,'март 2025'!$D$5:$D$2427,$B47,'март 2025'!$J$5:$J$2427,K$1)</f>
        <v>0</v>
      </c>
      <c r="L47" s="182">
        <f>SUMIFS('март 2025'!$G$5:$G$2427,'март 2025'!$D$5:$D$2427,$B47,'март 2025'!$J$5:$J$2427,L$1)</f>
        <v>0</v>
      </c>
      <c r="M47" s="182">
        <f>SUMIFS('март 2025'!$G$5:$G$2427,'март 2025'!$D$5:$D$2427,$B47,'март 2025'!$J$5:$J$2427,M$1)</f>
        <v>0</v>
      </c>
      <c r="N47" s="182">
        <f>SUMIFS('март 2025'!$G$5:$G$2427,'март 2025'!$D$5:$D$2427,$B47,'март 2025'!$J$5:$J$2427,N$1)</f>
        <v>0</v>
      </c>
      <c r="O47" s="182">
        <f>SUMIFS('март 2025'!$G$5:$G$2427,'март 2025'!$D$5:$D$2427,$B47,'март 2025'!$J$5:$J$2427,O$1)</f>
        <v>0</v>
      </c>
      <c r="P47" s="182">
        <f>SUMIFS('март 2025'!$G$5:$G$2427,'март 2025'!$D$5:$D$2427,$B47,'март 2025'!$J$5:$J$2427,P$1)</f>
        <v>0</v>
      </c>
      <c r="Q47" s="182">
        <f>SUMIFS('март 2025'!$G$5:$G$2427,'март 2025'!$D$5:$D$2427,$B47,'март 2025'!$J$5:$J$2427,Q$1)</f>
        <v>0</v>
      </c>
      <c r="R47" s="182">
        <f>SUMIFS('март 2025'!$G$5:$G$2427,'март 2025'!$D$5:$D$2427,$B47,'март 2025'!$J$5:$J$2427,R$1)</f>
        <v>0</v>
      </c>
      <c r="S47" s="182">
        <f>SUMIFS('март 2025'!$G$5:$G$2427,'март 2025'!$D$5:$D$2427,$B47,'март 2025'!$J$5:$J$2427,S$1)</f>
        <v>0</v>
      </c>
      <c r="T47" s="182">
        <f>SUMIFS('март 2025'!$G$5:$G$2427,'март 2025'!$D$5:$D$2427,$B47,'март 2025'!$J$5:$J$2427,T$1)</f>
        <v>0</v>
      </c>
      <c r="U47" s="182">
        <f>SUMIFS('март 2025'!$G$5:$G$2427,'март 2025'!$D$5:$D$2427,$B47,'март 2025'!$J$5:$J$2427,U$1)</f>
        <v>0</v>
      </c>
      <c r="V47" s="182">
        <f>SUMIFS('март 2025'!$G$5:$G$2427,'март 2025'!$D$5:$D$2427,$B47,'март 2025'!$J$5:$J$2427,V$1)</f>
        <v>0</v>
      </c>
      <c r="W47" s="182">
        <f>SUMIFS('март 2025'!$G$5:$G$2427,'март 2025'!$D$5:$D$2427,$B47,'март 2025'!$J$5:$J$2427,W$1)</f>
        <v>0</v>
      </c>
      <c r="X47" s="182">
        <f>SUMIFS('март 2025'!$G$5:$G$2427,'март 2025'!$D$5:$D$2427,$B47,'март 2025'!$J$5:$J$2427,X$1)</f>
        <v>0</v>
      </c>
      <c r="Y47" s="182">
        <f>SUMIFS('март 2025'!$G$5:$G$2427,'март 2025'!$D$5:$D$2427,$B47,'март 2025'!$J$5:$J$2427,Y$1)</f>
        <v>0</v>
      </c>
      <c r="Z47" s="182">
        <f>SUMIFS('март 2025'!$G$5:$G$2427,'март 2025'!$D$5:$D$2427,$B47,'март 2025'!$J$5:$J$2427,Z$1)</f>
        <v>0</v>
      </c>
      <c r="AA47" s="182">
        <f>SUMIFS('март 2025'!$G$5:$G$2427,'март 2025'!$D$5:$D$2427,$B47,'март 2025'!$J$5:$J$2427,AA$1)</f>
        <v>0</v>
      </c>
      <c r="AB47" s="182">
        <f>SUMIFS('март 2025'!$G$5:$G$2427,'март 2025'!$D$5:$D$2427,$B47,'март 2025'!$J$5:$J$2427,AB$1)</f>
        <v>0</v>
      </c>
      <c r="AC47" s="182">
        <f>SUMIFS('март 2025'!$G$5:$G$2427,'март 2025'!$D$5:$D$2427,$B47,'март 2025'!$J$5:$J$2427,AC$1)</f>
        <v>0</v>
      </c>
      <c r="AD47" s="182">
        <f>SUMIFS('март 2025'!$G$5:$G$2427,'март 2025'!$D$5:$D$2427,$B47,'март 2025'!$J$5:$J$2427,AD$1)</f>
        <v>0</v>
      </c>
      <c r="AE47" s="182">
        <f>SUMIFS('март 2025'!$G$5:$G$2427,'март 2025'!$D$5:$D$2427,$B47,'март 2025'!$J$5:$J$2427,AE$1)</f>
        <v>0</v>
      </c>
      <c r="AF47" s="182">
        <f>SUMIFS('март 2025'!$G$5:$G$2427,'март 2025'!$D$5:$D$2427,$B47,'март 2025'!$J$5:$J$2427,AF$1)</f>
        <v>0</v>
      </c>
      <c r="AG47" s="182">
        <f>SUMIFS('март 2025'!$G$5:$G$2427,'март 2025'!$D$5:$D$2427,$B47,'март 2025'!$J$5:$J$2427,AG$1)</f>
        <v>0</v>
      </c>
      <c r="AH47" s="182">
        <f>SUMIFS('март 2025'!$G$5:$G$2427,'март 2025'!$D$5:$D$2427,$B47,'март 2025'!$J$5:$J$2427,AH$1)</f>
        <v>0</v>
      </c>
      <c r="AI47" s="20">
        <f t="shared" si="1"/>
        <v>0</v>
      </c>
    </row>
    <row r="48" spans="2:35" ht="15" customHeight="1" x14ac:dyDescent="0.25">
      <c r="B48" s="135" t="s">
        <v>1079</v>
      </c>
      <c r="C48" s="132">
        <v>18</v>
      </c>
      <c r="D48" s="182">
        <f>SUMIFS('март 2025'!$G$5:$G$2427,'март 2025'!$D$5:$D$2427,$B48,'март 2025'!$J$5:$J$2427,D$1)</f>
        <v>0</v>
      </c>
      <c r="E48" s="182">
        <f>SUMIFS('март 2025'!$G$5:$G$2427,'март 2025'!$D$5:$D$2427,$B48,'март 2025'!$J$5:$J$2427,E$1)</f>
        <v>0</v>
      </c>
      <c r="F48" s="182">
        <f>SUMIFS('март 2025'!$G$5:$G$2427,'март 2025'!$D$5:$D$2427,$B48,'март 2025'!$J$5:$J$2427,F$1)</f>
        <v>0</v>
      </c>
      <c r="G48" s="182">
        <f>SUMIFS('март 2025'!$G$5:$G$2427,'март 2025'!$D$5:$D$2427,$B48,'март 2025'!$J$5:$J$2427,G$1)</f>
        <v>0</v>
      </c>
      <c r="H48" s="182">
        <f>SUMIFS('март 2025'!$G$5:$G$2427,'март 2025'!$D$5:$D$2427,$B48,'март 2025'!$J$5:$J$2427,H$1)</f>
        <v>0</v>
      </c>
      <c r="I48" s="182">
        <f>SUMIFS('март 2025'!$G$5:$G$2427,'март 2025'!$D$5:$D$2427,$B48,'март 2025'!$J$5:$J$2427,I$1)</f>
        <v>0</v>
      </c>
      <c r="J48" s="182">
        <f>SUMIFS('март 2025'!$G$5:$G$2427,'март 2025'!$D$5:$D$2427,$B48,'март 2025'!$J$5:$J$2427,J$1)</f>
        <v>0</v>
      </c>
      <c r="K48" s="182">
        <f>SUMIFS('март 2025'!$G$5:$G$2427,'март 2025'!$D$5:$D$2427,$B48,'март 2025'!$J$5:$J$2427,K$1)</f>
        <v>0</v>
      </c>
      <c r="L48" s="182">
        <f>SUMIFS('март 2025'!$G$5:$G$2427,'март 2025'!$D$5:$D$2427,$B48,'март 2025'!$J$5:$J$2427,L$1)</f>
        <v>0</v>
      </c>
      <c r="M48" s="182">
        <f>SUMIFS('март 2025'!$G$5:$G$2427,'март 2025'!$D$5:$D$2427,$B48,'март 2025'!$J$5:$J$2427,M$1)</f>
        <v>0</v>
      </c>
      <c r="N48" s="182">
        <f>SUMIFS('март 2025'!$G$5:$G$2427,'март 2025'!$D$5:$D$2427,$B48,'март 2025'!$J$5:$J$2427,N$1)</f>
        <v>0</v>
      </c>
      <c r="O48" s="182">
        <f>SUMIFS('март 2025'!$G$5:$G$2427,'март 2025'!$D$5:$D$2427,$B48,'март 2025'!$J$5:$J$2427,O$1)</f>
        <v>0</v>
      </c>
      <c r="P48" s="182">
        <f>SUMIFS('март 2025'!$G$5:$G$2427,'март 2025'!$D$5:$D$2427,$B48,'март 2025'!$J$5:$J$2427,P$1)</f>
        <v>0</v>
      </c>
      <c r="Q48" s="182">
        <f>SUMIFS('март 2025'!$G$5:$G$2427,'март 2025'!$D$5:$D$2427,$B48,'март 2025'!$J$5:$J$2427,Q$1)</f>
        <v>0</v>
      </c>
      <c r="R48" s="182">
        <f>SUMIFS('март 2025'!$G$5:$G$2427,'март 2025'!$D$5:$D$2427,$B48,'март 2025'!$J$5:$J$2427,R$1)</f>
        <v>0</v>
      </c>
      <c r="S48" s="182">
        <f>SUMIFS('март 2025'!$G$5:$G$2427,'март 2025'!$D$5:$D$2427,$B48,'март 2025'!$J$5:$J$2427,S$1)</f>
        <v>0</v>
      </c>
      <c r="T48" s="182">
        <f>SUMIFS('март 2025'!$G$5:$G$2427,'март 2025'!$D$5:$D$2427,$B48,'март 2025'!$J$5:$J$2427,T$1)</f>
        <v>0</v>
      </c>
      <c r="U48" s="182">
        <f>SUMIFS('март 2025'!$G$5:$G$2427,'март 2025'!$D$5:$D$2427,$B48,'март 2025'!$J$5:$J$2427,U$1)</f>
        <v>0</v>
      </c>
      <c r="V48" s="182">
        <f>SUMIFS('март 2025'!$G$5:$G$2427,'март 2025'!$D$5:$D$2427,$B48,'март 2025'!$J$5:$J$2427,V$1)</f>
        <v>0</v>
      </c>
      <c r="W48" s="182">
        <f>SUMIFS('март 2025'!$G$5:$G$2427,'март 2025'!$D$5:$D$2427,$B48,'март 2025'!$J$5:$J$2427,W$1)</f>
        <v>0</v>
      </c>
      <c r="X48" s="182">
        <f>SUMIFS('март 2025'!$G$5:$G$2427,'март 2025'!$D$5:$D$2427,$B48,'март 2025'!$J$5:$J$2427,X$1)</f>
        <v>0</v>
      </c>
      <c r="Y48" s="182">
        <f>SUMIFS('март 2025'!$G$5:$G$2427,'март 2025'!$D$5:$D$2427,$B48,'март 2025'!$J$5:$J$2427,Y$1)</f>
        <v>0</v>
      </c>
      <c r="Z48" s="182">
        <f>SUMIFS('март 2025'!$G$5:$G$2427,'март 2025'!$D$5:$D$2427,$B48,'март 2025'!$J$5:$J$2427,Z$1)</f>
        <v>0</v>
      </c>
      <c r="AA48" s="182">
        <f>SUMIFS('март 2025'!$G$5:$G$2427,'март 2025'!$D$5:$D$2427,$B48,'март 2025'!$J$5:$J$2427,AA$1)</f>
        <v>0</v>
      </c>
      <c r="AB48" s="182">
        <f>SUMIFS('март 2025'!$G$5:$G$2427,'март 2025'!$D$5:$D$2427,$B48,'март 2025'!$J$5:$J$2427,AB$1)</f>
        <v>120</v>
      </c>
      <c r="AC48" s="182">
        <f>SUMIFS('март 2025'!$G$5:$G$2427,'март 2025'!$D$5:$D$2427,$B48,'март 2025'!$J$5:$J$2427,AC$1)</f>
        <v>120</v>
      </c>
      <c r="AD48" s="182">
        <f>SUMIFS('март 2025'!$G$5:$G$2427,'март 2025'!$D$5:$D$2427,$B48,'март 2025'!$J$5:$J$2427,AD$1)</f>
        <v>0</v>
      </c>
      <c r="AE48" s="182">
        <f>SUMIFS('март 2025'!$G$5:$G$2427,'март 2025'!$D$5:$D$2427,$B48,'март 2025'!$J$5:$J$2427,AE$1)</f>
        <v>0</v>
      </c>
      <c r="AF48" s="182">
        <f>SUMIFS('март 2025'!$G$5:$G$2427,'март 2025'!$D$5:$D$2427,$B48,'март 2025'!$J$5:$J$2427,AF$1)</f>
        <v>0</v>
      </c>
      <c r="AG48" s="182">
        <f>SUMIFS('март 2025'!$G$5:$G$2427,'март 2025'!$D$5:$D$2427,$B48,'март 2025'!$J$5:$J$2427,AG$1)</f>
        <v>0</v>
      </c>
      <c r="AH48" s="182">
        <f>SUMIFS('март 2025'!$G$5:$G$2427,'март 2025'!$D$5:$D$2427,$B48,'март 2025'!$J$5:$J$2427,AH$1)</f>
        <v>0</v>
      </c>
      <c r="AI48" s="20">
        <f t="shared" ref="AI48" si="3">SUM(D48:AH48)</f>
        <v>240</v>
      </c>
    </row>
    <row r="49" spans="2:35" ht="15" customHeight="1" x14ac:dyDescent="0.25">
      <c r="B49" s="135" t="s">
        <v>236</v>
      </c>
      <c r="C49" s="132">
        <v>20</v>
      </c>
      <c r="D49" s="182">
        <f>SUMIFS('март 2025'!$G$5:$G$2427,'март 2025'!$D$5:$D$2427,$B49,'март 2025'!$J$5:$J$2427,D$1)</f>
        <v>0</v>
      </c>
      <c r="E49" s="182">
        <f>SUMIFS('март 2025'!$G$5:$G$2427,'март 2025'!$D$5:$D$2427,$B49,'март 2025'!$J$5:$J$2427,E$1)</f>
        <v>0</v>
      </c>
      <c r="F49" s="182">
        <f>SUMIFS('март 2025'!$G$5:$G$2427,'март 2025'!$D$5:$D$2427,$B49,'март 2025'!$J$5:$J$2427,F$1)</f>
        <v>0</v>
      </c>
      <c r="G49" s="182">
        <f>SUMIFS('март 2025'!$G$5:$G$2427,'март 2025'!$D$5:$D$2427,$B49,'март 2025'!$J$5:$J$2427,G$1)</f>
        <v>0</v>
      </c>
      <c r="H49" s="182">
        <f>SUMIFS('март 2025'!$G$5:$G$2427,'март 2025'!$D$5:$D$2427,$B49,'март 2025'!$J$5:$J$2427,H$1)</f>
        <v>0</v>
      </c>
      <c r="I49" s="182">
        <f>SUMIFS('март 2025'!$G$5:$G$2427,'март 2025'!$D$5:$D$2427,$B49,'март 2025'!$J$5:$J$2427,I$1)</f>
        <v>0</v>
      </c>
      <c r="J49" s="182">
        <f>SUMIFS('март 2025'!$G$5:$G$2427,'март 2025'!$D$5:$D$2427,$B49,'март 2025'!$J$5:$J$2427,J$1)</f>
        <v>0</v>
      </c>
      <c r="K49" s="182">
        <f>SUMIFS('март 2025'!$G$5:$G$2427,'март 2025'!$D$5:$D$2427,$B49,'март 2025'!$J$5:$J$2427,K$1)</f>
        <v>0</v>
      </c>
      <c r="L49" s="182">
        <f>SUMIFS('март 2025'!$G$5:$G$2427,'март 2025'!$D$5:$D$2427,$B49,'март 2025'!$J$5:$J$2427,L$1)</f>
        <v>0</v>
      </c>
      <c r="M49" s="182">
        <f>SUMIFS('март 2025'!$G$5:$G$2427,'март 2025'!$D$5:$D$2427,$B49,'март 2025'!$J$5:$J$2427,M$1)</f>
        <v>0</v>
      </c>
      <c r="N49" s="182">
        <f>SUMIFS('март 2025'!$G$5:$G$2427,'март 2025'!$D$5:$D$2427,$B49,'март 2025'!$J$5:$J$2427,N$1)</f>
        <v>0</v>
      </c>
      <c r="O49" s="182">
        <f>SUMIFS('март 2025'!$G$5:$G$2427,'март 2025'!$D$5:$D$2427,$B49,'март 2025'!$J$5:$J$2427,O$1)</f>
        <v>0</v>
      </c>
      <c r="P49" s="182">
        <f>SUMIFS('март 2025'!$G$5:$G$2427,'март 2025'!$D$5:$D$2427,$B49,'март 2025'!$J$5:$J$2427,P$1)</f>
        <v>0</v>
      </c>
      <c r="Q49" s="182">
        <f>SUMIFS('март 2025'!$G$5:$G$2427,'март 2025'!$D$5:$D$2427,$B49,'март 2025'!$J$5:$J$2427,Q$1)</f>
        <v>0</v>
      </c>
      <c r="R49" s="182">
        <f>SUMIFS('март 2025'!$G$5:$G$2427,'март 2025'!$D$5:$D$2427,$B49,'март 2025'!$J$5:$J$2427,R$1)</f>
        <v>0</v>
      </c>
      <c r="S49" s="182">
        <f>SUMIFS('март 2025'!$G$5:$G$2427,'март 2025'!$D$5:$D$2427,$B49,'март 2025'!$J$5:$J$2427,S$1)</f>
        <v>0</v>
      </c>
      <c r="T49" s="182">
        <f>SUMIFS('март 2025'!$G$5:$G$2427,'март 2025'!$D$5:$D$2427,$B49,'март 2025'!$J$5:$J$2427,T$1)</f>
        <v>0</v>
      </c>
      <c r="U49" s="182">
        <f>SUMIFS('март 2025'!$G$5:$G$2427,'март 2025'!$D$5:$D$2427,$B49,'март 2025'!$J$5:$J$2427,U$1)</f>
        <v>0</v>
      </c>
      <c r="V49" s="182">
        <f>SUMIFS('март 2025'!$G$5:$G$2427,'март 2025'!$D$5:$D$2427,$B49,'март 2025'!$J$5:$J$2427,V$1)</f>
        <v>0</v>
      </c>
      <c r="W49" s="182">
        <f>SUMIFS('март 2025'!$G$5:$G$2427,'март 2025'!$D$5:$D$2427,$B49,'март 2025'!$J$5:$J$2427,W$1)</f>
        <v>0</v>
      </c>
      <c r="X49" s="182">
        <f>SUMIFS('март 2025'!$G$5:$G$2427,'март 2025'!$D$5:$D$2427,$B49,'март 2025'!$J$5:$J$2427,X$1)</f>
        <v>0</v>
      </c>
      <c r="Y49" s="182">
        <f>SUMIFS('март 2025'!$G$5:$G$2427,'март 2025'!$D$5:$D$2427,$B49,'март 2025'!$J$5:$J$2427,Y$1)</f>
        <v>0</v>
      </c>
      <c r="Z49" s="182">
        <f>SUMIFS('март 2025'!$G$5:$G$2427,'март 2025'!$D$5:$D$2427,$B49,'март 2025'!$J$5:$J$2427,Z$1)</f>
        <v>0</v>
      </c>
      <c r="AA49" s="182">
        <f>SUMIFS('март 2025'!$G$5:$G$2427,'март 2025'!$D$5:$D$2427,$B49,'март 2025'!$J$5:$J$2427,AA$1)</f>
        <v>0</v>
      </c>
      <c r="AB49" s="182">
        <f>SUMIFS('март 2025'!$G$5:$G$2427,'март 2025'!$D$5:$D$2427,$B49,'март 2025'!$J$5:$J$2427,AB$1)</f>
        <v>0</v>
      </c>
      <c r="AC49" s="182">
        <f>SUMIFS('март 2025'!$G$5:$G$2427,'март 2025'!$D$5:$D$2427,$B49,'март 2025'!$J$5:$J$2427,AC$1)</f>
        <v>0</v>
      </c>
      <c r="AD49" s="182">
        <f>SUMIFS('март 2025'!$G$5:$G$2427,'март 2025'!$D$5:$D$2427,$B49,'март 2025'!$J$5:$J$2427,AD$1)</f>
        <v>0</v>
      </c>
      <c r="AE49" s="182">
        <f>SUMIFS('март 2025'!$G$5:$G$2427,'март 2025'!$D$5:$D$2427,$B49,'март 2025'!$J$5:$J$2427,AE$1)</f>
        <v>0</v>
      </c>
      <c r="AF49" s="182">
        <f>SUMIFS('март 2025'!$G$5:$G$2427,'март 2025'!$D$5:$D$2427,$B49,'март 2025'!$J$5:$J$2427,AF$1)</f>
        <v>0</v>
      </c>
      <c r="AG49" s="182">
        <f>SUMIFS('март 2025'!$G$5:$G$2427,'март 2025'!$D$5:$D$2427,$B49,'март 2025'!$J$5:$J$2427,AG$1)</f>
        <v>0</v>
      </c>
      <c r="AH49" s="182">
        <f>SUMIFS('март 2025'!$G$5:$G$2427,'март 2025'!$D$5:$D$2427,$B49,'март 2025'!$J$5:$J$2427,AH$1)</f>
        <v>0</v>
      </c>
      <c r="AI49" s="20">
        <f t="shared" si="1"/>
        <v>0</v>
      </c>
    </row>
    <row r="50" spans="2:35" ht="15" customHeight="1" x14ac:dyDescent="0.25">
      <c r="B50" s="131" t="s">
        <v>238</v>
      </c>
      <c r="C50" s="134">
        <v>20</v>
      </c>
      <c r="D50" s="182">
        <f>SUMIFS('март 2025'!$G$5:$G$2427,'март 2025'!$D$5:$D$2427,$B50,'март 2025'!$J$5:$J$2427,D$1)</f>
        <v>0</v>
      </c>
      <c r="E50" s="182">
        <f>SUMIFS('март 2025'!$G$5:$G$2427,'март 2025'!$D$5:$D$2427,$B50,'март 2025'!$J$5:$J$2427,E$1)</f>
        <v>0</v>
      </c>
      <c r="F50" s="182">
        <f>SUMIFS('март 2025'!$G$5:$G$2427,'март 2025'!$D$5:$D$2427,$B50,'март 2025'!$J$5:$J$2427,F$1)</f>
        <v>0</v>
      </c>
      <c r="G50" s="182">
        <f>SUMIFS('март 2025'!$G$5:$G$2427,'март 2025'!$D$5:$D$2427,$B50,'март 2025'!$J$5:$J$2427,G$1)</f>
        <v>0</v>
      </c>
      <c r="H50" s="182">
        <f>SUMIFS('март 2025'!$G$5:$G$2427,'март 2025'!$D$5:$D$2427,$B50,'март 2025'!$J$5:$J$2427,H$1)</f>
        <v>0</v>
      </c>
      <c r="I50" s="182">
        <f>SUMIFS('март 2025'!$G$5:$G$2427,'март 2025'!$D$5:$D$2427,$B50,'март 2025'!$J$5:$J$2427,I$1)</f>
        <v>0</v>
      </c>
      <c r="J50" s="182">
        <f>SUMIFS('март 2025'!$G$5:$G$2427,'март 2025'!$D$5:$D$2427,$B50,'март 2025'!$J$5:$J$2427,J$1)</f>
        <v>0</v>
      </c>
      <c r="K50" s="182">
        <f>SUMIFS('март 2025'!$G$5:$G$2427,'март 2025'!$D$5:$D$2427,$B50,'март 2025'!$J$5:$J$2427,K$1)</f>
        <v>0</v>
      </c>
      <c r="L50" s="182">
        <f>SUMIFS('март 2025'!$G$5:$G$2427,'март 2025'!$D$5:$D$2427,$B50,'март 2025'!$J$5:$J$2427,L$1)</f>
        <v>0</v>
      </c>
      <c r="M50" s="182">
        <f>SUMIFS('март 2025'!$G$5:$G$2427,'март 2025'!$D$5:$D$2427,$B50,'март 2025'!$J$5:$J$2427,M$1)</f>
        <v>0</v>
      </c>
      <c r="N50" s="182">
        <f>SUMIFS('март 2025'!$G$5:$G$2427,'март 2025'!$D$5:$D$2427,$B50,'март 2025'!$J$5:$J$2427,N$1)</f>
        <v>0</v>
      </c>
      <c r="O50" s="182">
        <f>SUMIFS('март 2025'!$G$5:$G$2427,'март 2025'!$D$5:$D$2427,$B50,'март 2025'!$J$5:$J$2427,O$1)</f>
        <v>0</v>
      </c>
      <c r="P50" s="182">
        <f>SUMIFS('март 2025'!$G$5:$G$2427,'март 2025'!$D$5:$D$2427,$B50,'март 2025'!$J$5:$J$2427,P$1)</f>
        <v>0</v>
      </c>
      <c r="Q50" s="182">
        <f>SUMIFS('март 2025'!$G$5:$G$2427,'март 2025'!$D$5:$D$2427,$B50,'март 2025'!$J$5:$J$2427,Q$1)</f>
        <v>0</v>
      </c>
      <c r="R50" s="182">
        <f>SUMIFS('март 2025'!$G$5:$G$2427,'март 2025'!$D$5:$D$2427,$B50,'март 2025'!$J$5:$J$2427,R$1)</f>
        <v>0</v>
      </c>
      <c r="S50" s="182">
        <f>SUMIFS('март 2025'!$G$5:$G$2427,'март 2025'!$D$5:$D$2427,$B50,'март 2025'!$J$5:$J$2427,S$1)</f>
        <v>0</v>
      </c>
      <c r="T50" s="182">
        <f>SUMIFS('март 2025'!$G$5:$G$2427,'март 2025'!$D$5:$D$2427,$B50,'март 2025'!$J$5:$J$2427,T$1)</f>
        <v>0</v>
      </c>
      <c r="U50" s="182">
        <f>SUMIFS('март 2025'!$G$5:$G$2427,'март 2025'!$D$5:$D$2427,$B50,'март 2025'!$J$5:$J$2427,U$1)</f>
        <v>0</v>
      </c>
      <c r="V50" s="182">
        <f>SUMIFS('март 2025'!$G$5:$G$2427,'март 2025'!$D$5:$D$2427,$B50,'март 2025'!$J$5:$J$2427,V$1)</f>
        <v>0</v>
      </c>
      <c r="W50" s="182">
        <f>SUMIFS('март 2025'!$G$5:$G$2427,'март 2025'!$D$5:$D$2427,$B50,'март 2025'!$J$5:$J$2427,W$1)</f>
        <v>0</v>
      </c>
      <c r="X50" s="182">
        <f>SUMIFS('март 2025'!$G$5:$G$2427,'март 2025'!$D$5:$D$2427,$B50,'март 2025'!$J$5:$J$2427,X$1)</f>
        <v>0</v>
      </c>
      <c r="Y50" s="182">
        <f>SUMIFS('март 2025'!$G$5:$G$2427,'март 2025'!$D$5:$D$2427,$B50,'март 2025'!$J$5:$J$2427,Y$1)</f>
        <v>0</v>
      </c>
      <c r="Z50" s="182">
        <f>SUMIFS('март 2025'!$G$5:$G$2427,'март 2025'!$D$5:$D$2427,$B50,'март 2025'!$J$5:$J$2427,Z$1)</f>
        <v>0</v>
      </c>
      <c r="AA50" s="182">
        <f>SUMIFS('март 2025'!$G$5:$G$2427,'март 2025'!$D$5:$D$2427,$B50,'март 2025'!$J$5:$J$2427,AA$1)</f>
        <v>0</v>
      </c>
      <c r="AB50" s="182">
        <f>SUMIFS('март 2025'!$G$5:$G$2427,'март 2025'!$D$5:$D$2427,$B50,'март 2025'!$J$5:$J$2427,AB$1)</f>
        <v>0</v>
      </c>
      <c r="AC50" s="182">
        <f>SUMIFS('март 2025'!$G$5:$G$2427,'март 2025'!$D$5:$D$2427,$B50,'март 2025'!$J$5:$J$2427,AC$1)</f>
        <v>0</v>
      </c>
      <c r="AD50" s="182">
        <f>SUMIFS('март 2025'!$G$5:$G$2427,'март 2025'!$D$5:$D$2427,$B50,'март 2025'!$J$5:$J$2427,AD$1)</f>
        <v>0</v>
      </c>
      <c r="AE50" s="182">
        <f>SUMIFS('март 2025'!$G$5:$G$2427,'март 2025'!$D$5:$D$2427,$B50,'март 2025'!$J$5:$J$2427,AE$1)</f>
        <v>0</v>
      </c>
      <c r="AF50" s="182">
        <f>SUMIFS('март 2025'!$G$5:$G$2427,'март 2025'!$D$5:$D$2427,$B50,'март 2025'!$J$5:$J$2427,AF$1)</f>
        <v>0</v>
      </c>
      <c r="AG50" s="182">
        <f>SUMIFS('март 2025'!$G$5:$G$2427,'март 2025'!$D$5:$D$2427,$B50,'март 2025'!$J$5:$J$2427,AG$1)</f>
        <v>0</v>
      </c>
      <c r="AH50" s="182">
        <f>SUMIFS('март 2025'!$G$5:$G$2427,'март 2025'!$D$5:$D$2427,$B50,'март 2025'!$J$5:$J$2427,AH$1)</f>
        <v>0</v>
      </c>
      <c r="AI50" s="20">
        <f t="shared" si="1"/>
        <v>0</v>
      </c>
    </row>
    <row r="51" spans="2:35" ht="15" customHeight="1" x14ac:dyDescent="0.25">
      <c r="B51" s="131" t="s">
        <v>240</v>
      </c>
      <c r="C51" s="130">
        <v>20</v>
      </c>
      <c r="D51" s="182">
        <f>SUMIFS('март 2025'!$G$5:$G$2427,'март 2025'!$D$5:$D$2427,$B51,'март 2025'!$J$5:$J$2427,D$1)</f>
        <v>0</v>
      </c>
      <c r="E51" s="182">
        <f>SUMIFS('март 2025'!$G$5:$G$2427,'март 2025'!$D$5:$D$2427,$B51,'март 2025'!$J$5:$J$2427,E$1)</f>
        <v>0</v>
      </c>
      <c r="F51" s="182">
        <f>SUMIFS('март 2025'!$G$5:$G$2427,'март 2025'!$D$5:$D$2427,$B51,'март 2025'!$J$5:$J$2427,F$1)</f>
        <v>0</v>
      </c>
      <c r="G51" s="182">
        <f>SUMIFS('март 2025'!$G$5:$G$2427,'март 2025'!$D$5:$D$2427,$B51,'март 2025'!$J$5:$J$2427,G$1)</f>
        <v>0</v>
      </c>
      <c r="H51" s="182">
        <f>SUMIFS('март 2025'!$G$5:$G$2427,'март 2025'!$D$5:$D$2427,$B51,'март 2025'!$J$5:$J$2427,H$1)</f>
        <v>0</v>
      </c>
      <c r="I51" s="182">
        <f>SUMIFS('март 2025'!$G$5:$G$2427,'март 2025'!$D$5:$D$2427,$B51,'март 2025'!$J$5:$J$2427,I$1)</f>
        <v>0</v>
      </c>
      <c r="J51" s="182">
        <f>SUMIFS('март 2025'!$G$5:$G$2427,'март 2025'!$D$5:$D$2427,$B51,'март 2025'!$J$5:$J$2427,J$1)</f>
        <v>0</v>
      </c>
      <c r="K51" s="182">
        <f>SUMIFS('март 2025'!$G$5:$G$2427,'март 2025'!$D$5:$D$2427,$B51,'март 2025'!$J$5:$J$2427,K$1)</f>
        <v>0</v>
      </c>
      <c r="L51" s="182">
        <f>SUMIFS('март 2025'!$G$5:$G$2427,'март 2025'!$D$5:$D$2427,$B51,'март 2025'!$J$5:$J$2427,L$1)</f>
        <v>0</v>
      </c>
      <c r="M51" s="182">
        <f>SUMIFS('март 2025'!$G$5:$G$2427,'март 2025'!$D$5:$D$2427,$B51,'март 2025'!$J$5:$J$2427,M$1)</f>
        <v>0</v>
      </c>
      <c r="N51" s="182">
        <f>SUMIFS('март 2025'!$G$5:$G$2427,'март 2025'!$D$5:$D$2427,$B51,'март 2025'!$J$5:$J$2427,N$1)</f>
        <v>0</v>
      </c>
      <c r="O51" s="182">
        <f>SUMIFS('март 2025'!$G$5:$G$2427,'март 2025'!$D$5:$D$2427,$B51,'март 2025'!$J$5:$J$2427,O$1)</f>
        <v>0</v>
      </c>
      <c r="P51" s="182">
        <f>SUMIFS('март 2025'!$G$5:$G$2427,'март 2025'!$D$5:$D$2427,$B51,'март 2025'!$J$5:$J$2427,P$1)</f>
        <v>0</v>
      </c>
      <c r="Q51" s="182">
        <f>SUMIFS('март 2025'!$G$5:$G$2427,'март 2025'!$D$5:$D$2427,$B51,'март 2025'!$J$5:$J$2427,Q$1)</f>
        <v>0</v>
      </c>
      <c r="R51" s="182">
        <f>SUMIFS('март 2025'!$G$5:$G$2427,'март 2025'!$D$5:$D$2427,$B51,'март 2025'!$J$5:$J$2427,R$1)</f>
        <v>0</v>
      </c>
      <c r="S51" s="182">
        <f>SUMIFS('март 2025'!$G$5:$G$2427,'март 2025'!$D$5:$D$2427,$B51,'март 2025'!$J$5:$J$2427,S$1)</f>
        <v>0</v>
      </c>
      <c r="T51" s="182">
        <f>SUMIFS('март 2025'!$G$5:$G$2427,'март 2025'!$D$5:$D$2427,$B51,'март 2025'!$J$5:$J$2427,T$1)</f>
        <v>0</v>
      </c>
      <c r="U51" s="182">
        <f>SUMIFS('март 2025'!$G$5:$G$2427,'март 2025'!$D$5:$D$2427,$B51,'март 2025'!$J$5:$J$2427,U$1)</f>
        <v>0</v>
      </c>
      <c r="V51" s="182">
        <f>SUMIFS('март 2025'!$G$5:$G$2427,'март 2025'!$D$5:$D$2427,$B51,'март 2025'!$J$5:$J$2427,V$1)</f>
        <v>0</v>
      </c>
      <c r="W51" s="182">
        <f>SUMIFS('март 2025'!$G$5:$G$2427,'март 2025'!$D$5:$D$2427,$B51,'март 2025'!$J$5:$J$2427,W$1)</f>
        <v>0</v>
      </c>
      <c r="X51" s="182">
        <f>SUMIFS('март 2025'!$G$5:$G$2427,'март 2025'!$D$5:$D$2427,$B51,'март 2025'!$J$5:$J$2427,X$1)</f>
        <v>0</v>
      </c>
      <c r="Y51" s="182">
        <f>SUMIFS('март 2025'!$G$5:$G$2427,'март 2025'!$D$5:$D$2427,$B51,'март 2025'!$J$5:$J$2427,Y$1)</f>
        <v>0</v>
      </c>
      <c r="Z51" s="182">
        <f>SUMIFS('март 2025'!$G$5:$G$2427,'март 2025'!$D$5:$D$2427,$B51,'март 2025'!$J$5:$J$2427,Z$1)</f>
        <v>0</v>
      </c>
      <c r="AA51" s="182">
        <f>SUMIFS('март 2025'!$G$5:$G$2427,'март 2025'!$D$5:$D$2427,$B51,'март 2025'!$J$5:$J$2427,AA$1)</f>
        <v>0</v>
      </c>
      <c r="AB51" s="182">
        <f>SUMIFS('март 2025'!$G$5:$G$2427,'март 2025'!$D$5:$D$2427,$B51,'март 2025'!$J$5:$J$2427,AB$1)</f>
        <v>0</v>
      </c>
      <c r="AC51" s="182">
        <f>SUMIFS('март 2025'!$G$5:$G$2427,'март 2025'!$D$5:$D$2427,$B51,'март 2025'!$J$5:$J$2427,AC$1)</f>
        <v>0</v>
      </c>
      <c r="AD51" s="182">
        <f>SUMIFS('март 2025'!$G$5:$G$2427,'март 2025'!$D$5:$D$2427,$B51,'март 2025'!$J$5:$J$2427,AD$1)</f>
        <v>0</v>
      </c>
      <c r="AE51" s="182">
        <f>SUMIFS('март 2025'!$G$5:$G$2427,'март 2025'!$D$5:$D$2427,$B51,'март 2025'!$J$5:$J$2427,AE$1)</f>
        <v>0</v>
      </c>
      <c r="AF51" s="182">
        <f>SUMIFS('март 2025'!$G$5:$G$2427,'март 2025'!$D$5:$D$2427,$B51,'март 2025'!$J$5:$J$2427,AF$1)</f>
        <v>0</v>
      </c>
      <c r="AG51" s="182">
        <f>SUMIFS('март 2025'!$G$5:$G$2427,'март 2025'!$D$5:$D$2427,$B51,'март 2025'!$J$5:$J$2427,AG$1)</f>
        <v>0</v>
      </c>
      <c r="AH51" s="182">
        <f>SUMIFS('март 2025'!$G$5:$G$2427,'март 2025'!$D$5:$D$2427,$B51,'март 2025'!$J$5:$J$2427,AH$1)</f>
        <v>0</v>
      </c>
      <c r="AI51" s="20">
        <f t="shared" si="1"/>
        <v>0</v>
      </c>
    </row>
    <row r="52" spans="2:35" ht="15" customHeight="1" x14ac:dyDescent="0.25">
      <c r="B52" s="131" t="s">
        <v>242</v>
      </c>
      <c r="C52" s="132">
        <v>20</v>
      </c>
      <c r="D52" s="182">
        <f>SUMIFS('март 2025'!$G$5:$G$2427,'март 2025'!$D$5:$D$2427,$B52,'март 2025'!$J$5:$J$2427,D$1)</f>
        <v>0</v>
      </c>
      <c r="E52" s="182">
        <f>SUMIFS('март 2025'!$G$5:$G$2427,'март 2025'!$D$5:$D$2427,$B52,'март 2025'!$J$5:$J$2427,E$1)</f>
        <v>0</v>
      </c>
      <c r="F52" s="182">
        <f>SUMIFS('март 2025'!$G$5:$G$2427,'март 2025'!$D$5:$D$2427,$B52,'март 2025'!$J$5:$J$2427,F$1)</f>
        <v>0</v>
      </c>
      <c r="G52" s="182">
        <f>SUMIFS('март 2025'!$G$5:$G$2427,'март 2025'!$D$5:$D$2427,$B52,'март 2025'!$J$5:$J$2427,G$1)</f>
        <v>0</v>
      </c>
      <c r="H52" s="182">
        <f>SUMIFS('март 2025'!$G$5:$G$2427,'март 2025'!$D$5:$D$2427,$B52,'март 2025'!$J$5:$J$2427,H$1)</f>
        <v>0</v>
      </c>
      <c r="I52" s="182">
        <f>SUMIFS('март 2025'!$G$5:$G$2427,'март 2025'!$D$5:$D$2427,$B52,'март 2025'!$J$5:$J$2427,I$1)</f>
        <v>0</v>
      </c>
      <c r="J52" s="182">
        <f>SUMIFS('март 2025'!$G$5:$G$2427,'март 2025'!$D$5:$D$2427,$B52,'март 2025'!$J$5:$J$2427,J$1)</f>
        <v>0</v>
      </c>
      <c r="K52" s="182">
        <f>SUMIFS('март 2025'!$G$5:$G$2427,'март 2025'!$D$5:$D$2427,$B52,'март 2025'!$J$5:$J$2427,K$1)</f>
        <v>0</v>
      </c>
      <c r="L52" s="182">
        <f>SUMIFS('март 2025'!$G$5:$G$2427,'март 2025'!$D$5:$D$2427,$B52,'март 2025'!$J$5:$J$2427,L$1)</f>
        <v>0</v>
      </c>
      <c r="M52" s="182">
        <f>SUMIFS('март 2025'!$G$5:$G$2427,'март 2025'!$D$5:$D$2427,$B52,'март 2025'!$J$5:$J$2427,M$1)</f>
        <v>0</v>
      </c>
      <c r="N52" s="182">
        <f>SUMIFS('март 2025'!$G$5:$G$2427,'март 2025'!$D$5:$D$2427,$B52,'март 2025'!$J$5:$J$2427,N$1)</f>
        <v>0</v>
      </c>
      <c r="O52" s="182">
        <f>SUMIFS('март 2025'!$G$5:$G$2427,'март 2025'!$D$5:$D$2427,$B52,'март 2025'!$J$5:$J$2427,O$1)</f>
        <v>0</v>
      </c>
      <c r="P52" s="182">
        <f>SUMIFS('март 2025'!$G$5:$G$2427,'март 2025'!$D$5:$D$2427,$B52,'март 2025'!$J$5:$J$2427,P$1)</f>
        <v>0</v>
      </c>
      <c r="Q52" s="182">
        <f>SUMIFS('март 2025'!$G$5:$G$2427,'март 2025'!$D$5:$D$2427,$B52,'март 2025'!$J$5:$J$2427,Q$1)</f>
        <v>0</v>
      </c>
      <c r="R52" s="182">
        <f>SUMIFS('март 2025'!$G$5:$G$2427,'март 2025'!$D$5:$D$2427,$B52,'март 2025'!$J$5:$J$2427,R$1)</f>
        <v>0</v>
      </c>
      <c r="S52" s="182">
        <f>SUMIFS('март 2025'!$G$5:$G$2427,'март 2025'!$D$5:$D$2427,$B52,'март 2025'!$J$5:$J$2427,S$1)</f>
        <v>0</v>
      </c>
      <c r="T52" s="182">
        <f>SUMIFS('март 2025'!$G$5:$G$2427,'март 2025'!$D$5:$D$2427,$B52,'март 2025'!$J$5:$J$2427,T$1)</f>
        <v>0</v>
      </c>
      <c r="U52" s="182">
        <f>SUMIFS('март 2025'!$G$5:$G$2427,'март 2025'!$D$5:$D$2427,$B52,'март 2025'!$J$5:$J$2427,U$1)</f>
        <v>0</v>
      </c>
      <c r="V52" s="182">
        <f>SUMIFS('март 2025'!$G$5:$G$2427,'март 2025'!$D$5:$D$2427,$B52,'март 2025'!$J$5:$J$2427,V$1)</f>
        <v>0</v>
      </c>
      <c r="W52" s="182">
        <f>SUMIFS('март 2025'!$G$5:$G$2427,'март 2025'!$D$5:$D$2427,$B52,'март 2025'!$J$5:$J$2427,W$1)</f>
        <v>0</v>
      </c>
      <c r="X52" s="182">
        <f>SUMIFS('март 2025'!$G$5:$G$2427,'март 2025'!$D$5:$D$2427,$B52,'март 2025'!$J$5:$J$2427,X$1)</f>
        <v>0</v>
      </c>
      <c r="Y52" s="182">
        <f>SUMIFS('март 2025'!$G$5:$G$2427,'март 2025'!$D$5:$D$2427,$B52,'март 2025'!$J$5:$J$2427,Y$1)</f>
        <v>0</v>
      </c>
      <c r="Z52" s="182">
        <f>SUMIFS('март 2025'!$G$5:$G$2427,'март 2025'!$D$5:$D$2427,$B52,'март 2025'!$J$5:$J$2427,Z$1)</f>
        <v>0</v>
      </c>
      <c r="AA52" s="182">
        <f>SUMIFS('март 2025'!$G$5:$G$2427,'март 2025'!$D$5:$D$2427,$B52,'март 2025'!$J$5:$J$2427,AA$1)</f>
        <v>0</v>
      </c>
      <c r="AB52" s="182">
        <f>SUMIFS('март 2025'!$G$5:$G$2427,'март 2025'!$D$5:$D$2427,$B52,'март 2025'!$J$5:$J$2427,AB$1)</f>
        <v>0</v>
      </c>
      <c r="AC52" s="182">
        <f>SUMIFS('март 2025'!$G$5:$G$2427,'март 2025'!$D$5:$D$2427,$B52,'март 2025'!$J$5:$J$2427,AC$1)</f>
        <v>0</v>
      </c>
      <c r="AD52" s="182">
        <f>SUMIFS('март 2025'!$G$5:$G$2427,'март 2025'!$D$5:$D$2427,$B52,'март 2025'!$J$5:$J$2427,AD$1)</f>
        <v>0</v>
      </c>
      <c r="AE52" s="182">
        <f>SUMIFS('март 2025'!$G$5:$G$2427,'март 2025'!$D$5:$D$2427,$B52,'март 2025'!$J$5:$J$2427,AE$1)</f>
        <v>0</v>
      </c>
      <c r="AF52" s="182">
        <f>SUMIFS('март 2025'!$G$5:$G$2427,'март 2025'!$D$5:$D$2427,$B52,'март 2025'!$J$5:$J$2427,AF$1)</f>
        <v>0</v>
      </c>
      <c r="AG52" s="182">
        <f>SUMIFS('март 2025'!$G$5:$G$2427,'март 2025'!$D$5:$D$2427,$B52,'март 2025'!$J$5:$J$2427,AG$1)</f>
        <v>0</v>
      </c>
      <c r="AH52" s="182">
        <f>SUMIFS('март 2025'!$G$5:$G$2427,'март 2025'!$D$5:$D$2427,$B52,'март 2025'!$J$5:$J$2427,AH$1)</f>
        <v>0</v>
      </c>
      <c r="AI52" s="20">
        <f t="shared" si="1"/>
        <v>0</v>
      </c>
    </row>
    <row r="53" spans="2:35" ht="15" customHeight="1" x14ac:dyDescent="0.25">
      <c r="B53" s="131" t="s">
        <v>244</v>
      </c>
      <c r="C53" s="132">
        <v>14</v>
      </c>
      <c r="D53" s="182">
        <f>SUMIFS('март 2025'!$G$5:$G$2427,'март 2025'!$D$5:$D$2427,$B53,'март 2025'!$J$5:$J$2427,D$1)</f>
        <v>0</v>
      </c>
      <c r="E53" s="182">
        <f>SUMIFS('март 2025'!$G$5:$G$2427,'март 2025'!$D$5:$D$2427,$B53,'март 2025'!$J$5:$J$2427,E$1)</f>
        <v>0</v>
      </c>
      <c r="F53" s="182">
        <f>SUMIFS('март 2025'!$G$5:$G$2427,'март 2025'!$D$5:$D$2427,$B53,'март 2025'!$J$5:$J$2427,F$1)</f>
        <v>0</v>
      </c>
      <c r="G53" s="182">
        <f>SUMIFS('март 2025'!$G$5:$G$2427,'март 2025'!$D$5:$D$2427,$B53,'март 2025'!$J$5:$J$2427,G$1)</f>
        <v>0</v>
      </c>
      <c r="H53" s="182">
        <f>SUMIFS('март 2025'!$G$5:$G$2427,'март 2025'!$D$5:$D$2427,$B53,'март 2025'!$J$5:$J$2427,H$1)</f>
        <v>0</v>
      </c>
      <c r="I53" s="182">
        <f>SUMIFS('март 2025'!$G$5:$G$2427,'март 2025'!$D$5:$D$2427,$B53,'март 2025'!$J$5:$J$2427,I$1)</f>
        <v>0</v>
      </c>
      <c r="J53" s="182">
        <f>SUMIFS('март 2025'!$G$5:$G$2427,'март 2025'!$D$5:$D$2427,$B53,'март 2025'!$J$5:$J$2427,J$1)</f>
        <v>0</v>
      </c>
      <c r="K53" s="182">
        <f>SUMIFS('март 2025'!$G$5:$G$2427,'март 2025'!$D$5:$D$2427,$B53,'март 2025'!$J$5:$J$2427,K$1)</f>
        <v>0</v>
      </c>
      <c r="L53" s="182">
        <f>SUMIFS('март 2025'!$G$5:$G$2427,'март 2025'!$D$5:$D$2427,$B53,'март 2025'!$J$5:$J$2427,L$1)</f>
        <v>0</v>
      </c>
      <c r="M53" s="182">
        <f>SUMIFS('март 2025'!$G$5:$G$2427,'март 2025'!$D$5:$D$2427,$B53,'март 2025'!$J$5:$J$2427,M$1)</f>
        <v>0</v>
      </c>
      <c r="N53" s="182">
        <f>SUMIFS('март 2025'!$G$5:$G$2427,'март 2025'!$D$5:$D$2427,$B53,'март 2025'!$J$5:$J$2427,N$1)</f>
        <v>0</v>
      </c>
      <c r="O53" s="182">
        <f>SUMIFS('март 2025'!$G$5:$G$2427,'март 2025'!$D$5:$D$2427,$B53,'март 2025'!$J$5:$J$2427,O$1)</f>
        <v>0</v>
      </c>
      <c r="P53" s="182">
        <f>SUMIFS('март 2025'!$G$5:$G$2427,'март 2025'!$D$5:$D$2427,$B53,'март 2025'!$J$5:$J$2427,P$1)</f>
        <v>0</v>
      </c>
      <c r="Q53" s="182">
        <f>SUMIFS('март 2025'!$G$5:$G$2427,'март 2025'!$D$5:$D$2427,$B53,'март 2025'!$J$5:$J$2427,Q$1)</f>
        <v>0</v>
      </c>
      <c r="R53" s="182">
        <f>SUMIFS('март 2025'!$G$5:$G$2427,'март 2025'!$D$5:$D$2427,$B53,'март 2025'!$J$5:$J$2427,R$1)</f>
        <v>0</v>
      </c>
      <c r="S53" s="182">
        <f>SUMIFS('март 2025'!$G$5:$G$2427,'март 2025'!$D$5:$D$2427,$B53,'март 2025'!$J$5:$J$2427,S$1)</f>
        <v>0</v>
      </c>
      <c r="T53" s="182">
        <f>SUMIFS('март 2025'!$G$5:$G$2427,'март 2025'!$D$5:$D$2427,$B53,'март 2025'!$J$5:$J$2427,T$1)</f>
        <v>0</v>
      </c>
      <c r="U53" s="182">
        <f>SUMIFS('март 2025'!$G$5:$G$2427,'март 2025'!$D$5:$D$2427,$B53,'март 2025'!$J$5:$J$2427,U$1)</f>
        <v>0</v>
      </c>
      <c r="V53" s="182">
        <f>SUMIFS('март 2025'!$G$5:$G$2427,'март 2025'!$D$5:$D$2427,$B53,'март 2025'!$J$5:$J$2427,V$1)</f>
        <v>0</v>
      </c>
      <c r="W53" s="182">
        <f>SUMIFS('март 2025'!$G$5:$G$2427,'март 2025'!$D$5:$D$2427,$B53,'март 2025'!$J$5:$J$2427,W$1)</f>
        <v>0</v>
      </c>
      <c r="X53" s="182">
        <f>SUMIFS('март 2025'!$G$5:$G$2427,'март 2025'!$D$5:$D$2427,$B53,'март 2025'!$J$5:$J$2427,X$1)</f>
        <v>0</v>
      </c>
      <c r="Y53" s="182">
        <f>SUMIFS('март 2025'!$G$5:$G$2427,'март 2025'!$D$5:$D$2427,$B53,'март 2025'!$J$5:$J$2427,Y$1)</f>
        <v>0</v>
      </c>
      <c r="Z53" s="182">
        <f>SUMIFS('март 2025'!$G$5:$G$2427,'март 2025'!$D$5:$D$2427,$B53,'март 2025'!$J$5:$J$2427,Z$1)</f>
        <v>0</v>
      </c>
      <c r="AA53" s="182">
        <f>SUMIFS('март 2025'!$G$5:$G$2427,'март 2025'!$D$5:$D$2427,$B53,'март 2025'!$J$5:$J$2427,AA$1)</f>
        <v>0</v>
      </c>
      <c r="AB53" s="182">
        <f>SUMIFS('март 2025'!$G$5:$G$2427,'март 2025'!$D$5:$D$2427,$B53,'март 2025'!$J$5:$J$2427,AB$1)</f>
        <v>0</v>
      </c>
      <c r="AC53" s="182">
        <f>SUMIFS('март 2025'!$G$5:$G$2427,'март 2025'!$D$5:$D$2427,$B53,'март 2025'!$J$5:$J$2427,AC$1)</f>
        <v>0</v>
      </c>
      <c r="AD53" s="182">
        <f>SUMIFS('март 2025'!$G$5:$G$2427,'март 2025'!$D$5:$D$2427,$B53,'март 2025'!$J$5:$J$2427,AD$1)</f>
        <v>0</v>
      </c>
      <c r="AE53" s="182">
        <f>SUMIFS('март 2025'!$G$5:$G$2427,'март 2025'!$D$5:$D$2427,$B53,'март 2025'!$J$5:$J$2427,AE$1)</f>
        <v>0</v>
      </c>
      <c r="AF53" s="182">
        <f>SUMIFS('март 2025'!$G$5:$G$2427,'март 2025'!$D$5:$D$2427,$B53,'март 2025'!$J$5:$J$2427,AF$1)</f>
        <v>0</v>
      </c>
      <c r="AG53" s="182">
        <f>SUMIFS('март 2025'!$G$5:$G$2427,'март 2025'!$D$5:$D$2427,$B53,'март 2025'!$J$5:$J$2427,AG$1)</f>
        <v>0</v>
      </c>
      <c r="AH53" s="182">
        <f>SUMIFS('март 2025'!$G$5:$G$2427,'март 2025'!$D$5:$D$2427,$B53,'март 2025'!$J$5:$J$2427,AH$1)</f>
        <v>0</v>
      </c>
      <c r="AI53" s="20">
        <f t="shared" si="1"/>
        <v>0</v>
      </c>
    </row>
    <row r="54" spans="2:35" ht="15" customHeight="1" x14ac:dyDescent="0.25">
      <c r="B54" s="131" t="s">
        <v>246</v>
      </c>
      <c r="C54" s="132">
        <v>25</v>
      </c>
      <c r="D54" s="182">
        <f>SUMIFS('март 2025'!$G$5:$G$2427,'март 2025'!$D$5:$D$2427,$B54,'март 2025'!$J$5:$J$2427,D$1)</f>
        <v>0</v>
      </c>
      <c r="E54" s="182">
        <f>SUMIFS('март 2025'!$G$5:$G$2427,'март 2025'!$D$5:$D$2427,$B54,'март 2025'!$J$5:$J$2427,E$1)</f>
        <v>0</v>
      </c>
      <c r="F54" s="182">
        <f>SUMIFS('март 2025'!$G$5:$G$2427,'март 2025'!$D$5:$D$2427,$B54,'март 2025'!$J$5:$J$2427,F$1)</f>
        <v>0</v>
      </c>
      <c r="G54" s="182">
        <f>SUMIFS('март 2025'!$G$5:$G$2427,'март 2025'!$D$5:$D$2427,$B54,'март 2025'!$J$5:$J$2427,G$1)</f>
        <v>0</v>
      </c>
      <c r="H54" s="182">
        <f>SUMIFS('март 2025'!$G$5:$G$2427,'март 2025'!$D$5:$D$2427,$B54,'март 2025'!$J$5:$J$2427,H$1)</f>
        <v>0</v>
      </c>
      <c r="I54" s="182">
        <f>SUMIFS('март 2025'!$G$5:$G$2427,'март 2025'!$D$5:$D$2427,$B54,'март 2025'!$J$5:$J$2427,I$1)</f>
        <v>0</v>
      </c>
      <c r="J54" s="182">
        <f>SUMIFS('март 2025'!$G$5:$G$2427,'март 2025'!$D$5:$D$2427,$B54,'март 2025'!$J$5:$J$2427,J$1)</f>
        <v>0</v>
      </c>
      <c r="K54" s="182">
        <f>SUMIFS('март 2025'!$G$5:$G$2427,'март 2025'!$D$5:$D$2427,$B54,'март 2025'!$J$5:$J$2427,K$1)</f>
        <v>0</v>
      </c>
      <c r="L54" s="182">
        <f>SUMIFS('март 2025'!$G$5:$G$2427,'март 2025'!$D$5:$D$2427,$B54,'март 2025'!$J$5:$J$2427,L$1)</f>
        <v>0</v>
      </c>
      <c r="M54" s="182">
        <f>SUMIFS('март 2025'!$G$5:$G$2427,'март 2025'!$D$5:$D$2427,$B54,'март 2025'!$J$5:$J$2427,M$1)</f>
        <v>0</v>
      </c>
      <c r="N54" s="182">
        <f>SUMIFS('март 2025'!$G$5:$G$2427,'март 2025'!$D$5:$D$2427,$B54,'март 2025'!$J$5:$J$2427,N$1)</f>
        <v>0</v>
      </c>
      <c r="O54" s="182">
        <f>SUMIFS('март 2025'!$G$5:$G$2427,'март 2025'!$D$5:$D$2427,$B54,'март 2025'!$J$5:$J$2427,O$1)</f>
        <v>0</v>
      </c>
      <c r="P54" s="182">
        <f>SUMIFS('март 2025'!$G$5:$G$2427,'март 2025'!$D$5:$D$2427,$B54,'март 2025'!$J$5:$J$2427,P$1)</f>
        <v>0</v>
      </c>
      <c r="Q54" s="182">
        <f>SUMIFS('март 2025'!$G$5:$G$2427,'март 2025'!$D$5:$D$2427,$B54,'март 2025'!$J$5:$J$2427,Q$1)</f>
        <v>0</v>
      </c>
      <c r="R54" s="182">
        <f>SUMIFS('март 2025'!$G$5:$G$2427,'март 2025'!$D$5:$D$2427,$B54,'март 2025'!$J$5:$J$2427,R$1)</f>
        <v>0</v>
      </c>
      <c r="S54" s="182">
        <f>SUMIFS('март 2025'!$G$5:$G$2427,'март 2025'!$D$5:$D$2427,$B54,'март 2025'!$J$5:$J$2427,S$1)</f>
        <v>0</v>
      </c>
      <c r="T54" s="182">
        <f>SUMIFS('март 2025'!$G$5:$G$2427,'март 2025'!$D$5:$D$2427,$B54,'март 2025'!$J$5:$J$2427,T$1)</f>
        <v>0</v>
      </c>
      <c r="U54" s="182">
        <f>SUMIFS('март 2025'!$G$5:$G$2427,'март 2025'!$D$5:$D$2427,$B54,'март 2025'!$J$5:$J$2427,U$1)</f>
        <v>0</v>
      </c>
      <c r="V54" s="182">
        <f>SUMIFS('март 2025'!$G$5:$G$2427,'март 2025'!$D$5:$D$2427,$B54,'март 2025'!$J$5:$J$2427,V$1)</f>
        <v>0</v>
      </c>
      <c r="W54" s="182">
        <f>SUMIFS('март 2025'!$G$5:$G$2427,'март 2025'!$D$5:$D$2427,$B54,'март 2025'!$J$5:$J$2427,W$1)</f>
        <v>0</v>
      </c>
      <c r="X54" s="182">
        <f>SUMIFS('март 2025'!$G$5:$G$2427,'март 2025'!$D$5:$D$2427,$B54,'март 2025'!$J$5:$J$2427,X$1)</f>
        <v>0</v>
      </c>
      <c r="Y54" s="182">
        <f>SUMIFS('март 2025'!$G$5:$G$2427,'март 2025'!$D$5:$D$2427,$B54,'март 2025'!$J$5:$J$2427,Y$1)</f>
        <v>0</v>
      </c>
      <c r="Z54" s="182">
        <f>SUMIFS('март 2025'!$G$5:$G$2427,'март 2025'!$D$5:$D$2427,$B54,'март 2025'!$J$5:$J$2427,Z$1)</f>
        <v>0</v>
      </c>
      <c r="AA54" s="182">
        <f>SUMIFS('март 2025'!$G$5:$G$2427,'март 2025'!$D$5:$D$2427,$B54,'март 2025'!$J$5:$J$2427,AA$1)</f>
        <v>0</v>
      </c>
      <c r="AB54" s="182">
        <f>SUMIFS('март 2025'!$G$5:$G$2427,'март 2025'!$D$5:$D$2427,$B54,'март 2025'!$J$5:$J$2427,AB$1)</f>
        <v>0</v>
      </c>
      <c r="AC54" s="182">
        <f>SUMIFS('март 2025'!$G$5:$G$2427,'март 2025'!$D$5:$D$2427,$B54,'март 2025'!$J$5:$J$2427,AC$1)</f>
        <v>0</v>
      </c>
      <c r="AD54" s="182">
        <f>SUMIFS('март 2025'!$G$5:$G$2427,'март 2025'!$D$5:$D$2427,$B54,'март 2025'!$J$5:$J$2427,AD$1)</f>
        <v>0</v>
      </c>
      <c r="AE54" s="182">
        <f>SUMIFS('март 2025'!$G$5:$G$2427,'март 2025'!$D$5:$D$2427,$B54,'март 2025'!$J$5:$J$2427,AE$1)</f>
        <v>0</v>
      </c>
      <c r="AF54" s="182">
        <f>SUMIFS('март 2025'!$G$5:$G$2427,'март 2025'!$D$5:$D$2427,$B54,'март 2025'!$J$5:$J$2427,AF$1)</f>
        <v>0</v>
      </c>
      <c r="AG54" s="182">
        <f>SUMIFS('март 2025'!$G$5:$G$2427,'март 2025'!$D$5:$D$2427,$B54,'март 2025'!$J$5:$J$2427,AG$1)</f>
        <v>0</v>
      </c>
      <c r="AH54" s="182">
        <f>SUMIFS('март 2025'!$G$5:$G$2427,'март 2025'!$D$5:$D$2427,$B54,'март 2025'!$J$5:$J$2427,AH$1)</f>
        <v>0</v>
      </c>
      <c r="AI54" s="20">
        <f t="shared" si="1"/>
        <v>0</v>
      </c>
    </row>
    <row r="55" spans="2:35" ht="15" customHeight="1" x14ac:dyDescent="0.25">
      <c r="B55" s="131" t="s">
        <v>252</v>
      </c>
      <c r="C55" s="132">
        <v>20</v>
      </c>
      <c r="D55" s="182">
        <f>SUMIFS('март 2025'!$G$5:$G$2427,'март 2025'!$D$5:$D$2427,$B55,'март 2025'!$J$5:$J$2427,D$1)</f>
        <v>0</v>
      </c>
      <c r="E55" s="182">
        <f>SUMIFS('март 2025'!$G$5:$G$2427,'март 2025'!$D$5:$D$2427,$B55,'март 2025'!$J$5:$J$2427,E$1)</f>
        <v>0</v>
      </c>
      <c r="F55" s="182">
        <f>SUMIFS('март 2025'!$G$5:$G$2427,'март 2025'!$D$5:$D$2427,$B55,'март 2025'!$J$5:$J$2427,F$1)</f>
        <v>0</v>
      </c>
      <c r="G55" s="182">
        <f>SUMIFS('март 2025'!$G$5:$G$2427,'март 2025'!$D$5:$D$2427,$B55,'март 2025'!$J$5:$J$2427,G$1)</f>
        <v>0</v>
      </c>
      <c r="H55" s="182">
        <f>SUMIFS('март 2025'!$G$5:$G$2427,'март 2025'!$D$5:$D$2427,$B55,'март 2025'!$J$5:$J$2427,H$1)</f>
        <v>0</v>
      </c>
      <c r="I55" s="182">
        <f>SUMIFS('март 2025'!$G$5:$G$2427,'март 2025'!$D$5:$D$2427,$B55,'март 2025'!$J$5:$J$2427,I$1)</f>
        <v>0</v>
      </c>
      <c r="J55" s="182">
        <f>SUMIFS('март 2025'!$G$5:$G$2427,'март 2025'!$D$5:$D$2427,$B55,'март 2025'!$J$5:$J$2427,J$1)</f>
        <v>0</v>
      </c>
      <c r="K55" s="182">
        <f>SUMIFS('март 2025'!$G$5:$G$2427,'март 2025'!$D$5:$D$2427,$B55,'март 2025'!$J$5:$J$2427,K$1)</f>
        <v>0</v>
      </c>
      <c r="L55" s="182">
        <f>SUMIFS('март 2025'!$G$5:$G$2427,'март 2025'!$D$5:$D$2427,$B55,'март 2025'!$J$5:$J$2427,L$1)</f>
        <v>0</v>
      </c>
      <c r="M55" s="182">
        <f>SUMIFS('март 2025'!$G$5:$G$2427,'март 2025'!$D$5:$D$2427,$B55,'март 2025'!$J$5:$J$2427,M$1)</f>
        <v>0</v>
      </c>
      <c r="N55" s="182">
        <f>SUMIFS('март 2025'!$G$5:$G$2427,'март 2025'!$D$5:$D$2427,$B55,'март 2025'!$J$5:$J$2427,N$1)</f>
        <v>0</v>
      </c>
      <c r="O55" s="182">
        <f>SUMIFS('март 2025'!$G$5:$G$2427,'март 2025'!$D$5:$D$2427,$B55,'март 2025'!$J$5:$J$2427,O$1)</f>
        <v>0</v>
      </c>
      <c r="P55" s="182">
        <f>SUMIFS('март 2025'!$G$5:$G$2427,'март 2025'!$D$5:$D$2427,$B55,'март 2025'!$J$5:$J$2427,P$1)</f>
        <v>0</v>
      </c>
      <c r="Q55" s="182">
        <f>SUMIFS('март 2025'!$G$5:$G$2427,'март 2025'!$D$5:$D$2427,$B55,'март 2025'!$J$5:$J$2427,Q$1)</f>
        <v>0</v>
      </c>
      <c r="R55" s="182">
        <f>SUMIFS('март 2025'!$G$5:$G$2427,'март 2025'!$D$5:$D$2427,$B55,'март 2025'!$J$5:$J$2427,R$1)</f>
        <v>0</v>
      </c>
      <c r="S55" s="182">
        <f>SUMIFS('март 2025'!$G$5:$G$2427,'март 2025'!$D$5:$D$2427,$B55,'март 2025'!$J$5:$J$2427,S$1)</f>
        <v>0</v>
      </c>
      <c r="T55" s="182">
        <f>SUMIFS('март 2025'!$G$5:$G$2427,'март 2025'!$D$5:$D$2427,$B55,'март 2025'!$J$5:$J$2427,T$1)</f>
        <v>0</v>
      </c>
      <c r="U55" s="182">
        <f>SUMIFS('март 2025'!$G$5:$G$2427,'март 2025'!$D$5:$D$2427,$B55,'март 2025'!$J$5:$J$2427,U$1)</f>
        <v>0</v>
      </c>
      <c r="V55" s="182">
        <f>SUMIFS('март 2025'!$G$5:$G$2427,'март 2025'!$D$5:$D$2427,$B55,'март 2025'!$J$5:$J$2427,V$1)</f>
        <v>0</v>
      </c>
      <c r="W55" s="182">
        <f>SUMIFS('март 2025'!$G$5:$G$2427,'март 2025'!$D$5:$D$2427,$B55,'март 2025'!$J$5:$J$2427,W$1)</f>
        <v>0</v>
      </c>
      <c r="X55" s="182">
        <f>SUMIFS('март 2025'!$G$5:$G$2427,'март 2025'!$D$5:$D$2427,$B55,'март 2025'!$J$5:$J$2427,X$1)</f>
        <v>0</v>
      </c>
      <c r="Y55" s="182">
        <f>SUMIFS('март 2025'!$G$5:$G$2427,'март 2025'!$D$5:$D$2427,$B55,'март 2025'!$J$5:$J$2427,Y$1)</f>
        <v>0</v>
      </c>
      <c r="Z55" s="182">
        <f>SUMIFS('март 2025'!$G$5:$G$2427,'март 2025'!$D$5:$D$2427,$B55,'март 2025'!$J$5:$J$2427,Z$1)</f>
        <v>0</v>
      </c>
      <c r="AA55" s="182">
        <f>SUMIFS('март 2025'!$G$5:$G$2427,'март 2025'!$D$5:$D$2427,$B55,'март 2025'!$J$5:$J$2427,AA$1)</f>
        <v>0</v>
      </c>
      <c r="AB55" s="182">
        <f>SUMIFS('март 2025'!$G$5:$G$2427,'март 2025'!$D$5:$D$2427,$B55,'март 2025'!$J$5:$J$2427,AB$1)</f>
        <v>0</v>
      </c>
      <c r="AC55" s="182">
        <f>SUMIFS('март 2025'!$G$5:$G$2427,'март 2025'!$D$5:$D$2427,$B55,'март 2025'!$J$5:$J$2427,AC$1)</f>
        <v>0</v>
      </c>
      <c r="AD55" s="182">
        <f>SUMIFS('март 2025'!$G$5:$G$2427,'март 2025'!$D$5:$D$2427,$B55,'март 2025'!$J$5:$J$2427,AD$1)</f>
        <v>0</v>
      </c>
      <c r="AE55" s="182">
        <f>SUMIFS('март 2025'!$G$5:$G$2427,'март 2025'!$D$5:$D$2427,$B55,'март 2025'!$J$5:$J$2427,AE$1)</f>
        <v>0</v>
      </c>
      <c r="AF55" s="182">
        <f>SUMIFS('март 2025'!$G$5:$G$2427,'март 2025'!$D$5:$D$2427,$B55,'март 2025'!$J$5:$J$2427,AF$1)</f>
        <v>0</v>
      </c>
      <c r="AG55" s="182">
        <f>SUMIFS('март 2025'!$G$5:$G$2427,'март 2025'!$D$5:$D$2427,$B55,'март 2025'!$J$5:$J$2427,AG$1)</f>
        <v>0</v>
      </c>
      <c r="AH55" s="182">
        <f>SUMIFS('март 2025'!$G$5:$G$2427,'март 2025'!$D$5:$D$2427,$B55,'март 2025'!$J$5:$J$2427,AH$1)</f>
        <v>0</v>
      </c>
      <c r="AI55" s="20">
        <f t="shared" si="1"/>
        <v>0</v>
      </c>
    </row>
    <row r="56" spans="2:35" ht="15" customHeight="1" x14ac:dyDescent="0.25">
      <c r="B56" s="127" t="s">
        <v>253</v>
      </c>
      <c r="C56" s="132">
        <v>20</v>
      </c>
      <c r="D56" s="182">
        <f>SUMIFS('март 2025'!$G$5:$G$2427,'март 2025'!$D$5:$D$2427,$B56,'март 2025'!$J$5:$J$2427,D$1)</f>
        <v>0</v>
      </c>
      <c r="E56" s="182">
        <f>SUMIFS('март 2025'!$G$5:$G$2427,'март 2025'!$D$5:$D$2427,$B56,'март 2025'!$J$5:$J$2427,E$1)</f>
        <v>0</v>
      </c>
      <c r="F56" s="182">
        <f>SUMIFS('март 2025'!$G$5:$G$2427,'март 2025'!$D$5:$D$2427,$B56,'март 2025'!$J$5:$J$2427,F$1)</f>
        <v>0</v>
      </c>
      <c r="G56" s="182">
        <f>SUMIFS('март 2025'!$G$5:$G$2427,'март 2025'!$D$5:$D$2427,$B56,'март 2025'!$J$5:$J$2427,G$1)</f>
        <v>0</v>
      </c>
      <c r="H56" s="182">
        <f>SUMIFS('март 2025'!$G$5:$G$2427,'март 2025'!$D$5:$D$2427,$B56,'март 2025'!$J$5:$J$2427,H$1)</f>
        <v>0</v>
      </c>
      <c r="I56" s="182">
        <f>SUMIFS('март 2025'!$G$5:$G$2427,'март 2025'!$D$5:$D$2427,$B56,'март 2025'!$J$5:$J$2427,I$1)</f>
        <v>0</v>
      </c>
      <c r="J56" s="182">
        <f>SUMIFS('март 2025'!$G$5:$G$2427,'март 2025'!$D$5:$D$2427,$B56,'март 2025'!$J$5:$J$2427,J$1)</f>
        <v>0</v>
      </c>
      <c r="K56" s="182">
        <f>SUMIFS('март 2025'!$G$5:$G$2427,'март 2025'!$D$5:$D$2427,$B56,'март 2025'!$J$5:$J$2427,K$1)</f>
        <v>0</v>
      </c>
      <c r="L56" s="182">
        <f>SUMIFS('март 2025'!$G$5:$G$2427,'март 2025'!$D$5:$D$2427,$B56,'март 2025'!$J$5:$J$2427,L$1)</f>
        <v>0</v>
      </c>
      <c r="M56" s="182">
        <f>SUMIFS('март 2025'!$G$5:$G$2427,'март 2025'!$D$5:$D$2427,$B56,'март 2025'!$J$5:$J$2427,M$1)</f>
        <v>0</v>
      </c>
      <c r="N56" s="182">
        <f>SUMIFS('март 2025'!$G$5:$G$2427,'март 2025'!$D$5:$D$2427,$B56,'март 2025'!$J$5:$J$2427,N$1)</f>
        <v>0</v>
      </c>
      <c r="O56" s="182">
        <f>SUMIFS('март 2025'!$G$5:$G$2427,'март 2025'!$D$5:$D$2427,$B56,'март 2025'!$J$5:$J$2427,O$1)</f>
        <v>0</v>
      </c>
      <c r="P56" s="182">
        <f>SUMIFS('март 2025'!$G$5:$G$2427,'март 2025'!$D$5:$D$2427,$B56,'март 2025'!$J$5:$J$2427,P$1)</f>
        <v>0</v>
      </c>
      <c r="Q56" s="182">
        <f>SUMIFS('март 2025'!$G$5:$G$2427,'март 2025'!$D$5:$D$2427,$B56,'март 2025'!$J$5:$J$2427,Q$1)</f>
        <v>0</v>
      </c>
      <c r="R56" s="182">
        <f>SUMIFS('март 2025'!$G$5:$G$2427,'март 2025'!$D$5:$D$2427,$B56,'март 2025'!$J$5:$J$2427,R$1)</f>
        <v>0</v>
      </c>
      <c r="S56" s="182">
        <f>SUMIFS('март 2025'!$G$5:$G$2427,'март 2025'!$D$5:$D$2427,$B56,'март 2025'!$J$5:$J$2427,S$1)</f>
        <v>0</v>
      </c>
      <c r="T56" s="182">
        <f>SUMIFS('март 2025'!$G$5:$G$2427,'март 2025'!$D$5:$D$2427,$B56,'март 2025'!$J$5:$J$2427,T$1)</f>
        <v>0</v>
      </c>
      <c r="U56" s="182">
        <f>SUMIFS('март 2025'!$G$5:$G$2427,'март 2025'!$D$5:$D$2427,$B56,'март 2025'!$J$5:$J$2427,U$1)</f>
        <v>0</v>
      </c>
      <c r="V56" s="182">
        <f>SUMIFS('март 2025'!$G$5:$G$2427,'март 2025'!$D$5:$D$2427,$B56,'март 2025'!$J$5:$J$2427,V$1)</f>
        <v>0</v>
      </c>
      <c r="W56" s="182">
        <f>SUMIFS('март 2025'!$G$5:$G$2427,'март 2025'!$D$5:$D$2427,$B56,'март 2025'!$J$5:$J$2427,W$1)</f>
        <v>0</v>
      </c>
      <c r="X56" s="182">
        <f>SUMIFS('март 2025'!$G$5:$G$2427,'март 2025'!$D$5:$D$2427,$B56,'март 2025'!$J$5:$J$2427,X$1)</f>
        <v>0</v>
      </c>
      <c r="Y56" s="182">
        <f>SUMIFS('март 2025'!$G$5:$G$2427,'март 2025'!$D$5:$D$2427,$B56,'март 2025'!$J$5:$J$2427,Y$1)</f>
        <v>0</v>
      </c>
      <c r="Z56" s="182">
        <f>SUMIFS('март 2025'!$G$5:$G$2427,'март 2025'!$D$5:$D$2427,$B56,'март 2025'!$J$5:$J$2427,Z$1)</f>
        <v>0</v>
      </c>
      <c r="AA56" s="182">
        <f>SUMIFS('март 2025'!$G$5:$G$2427,'март 2025'!$D$5:$D$2427,$B56,'март 2025'!$J$5:$J$2427,AA$1)</f>
        <v>0</v>
      </c>
      <c r="AB56" s="182">
        <f>SUMIFS('март 2025'!$G$5:$G$2427,'март 2025'!$D$5:$D$2427,$B56,'март 2025'!$J$5:$J$2427,AB$1)</f>
        <v>0</v>
      </c>
      <c r="AC56" s="182">
        <f>SUMIFS('март 2025'!$G$5:$G$2427,'март 2025'!$D$5:$D$2427,$B56,'март 2025'!$J$5:$J$2427,AC$1)</f>
        <v>0</v>
      </c>
      <c r="AD56" s="182">
        <f>SUMIFS('март 2025'!$G$5:$G$2427,'март 2025'!$D$5:$D$2427,$B56,'март 2025'!$J$5:$J$2427,AD$1)</f>
        <v>0</v>
      </c>
      <c r="AE56" s="182">
        <f>SUMIFS('март 2025'!$G$5:$G$2427,'март 2025'!$D$5:$D$2427,$B56,'март 2025'!$J$5:$J$2427,AE$1)</f>
        <v>0</v>
      </c>
      <c r="AF56" s="182">
        <f>SUMIFS('март 2025'!$G$5:$G$2427,'март 2025'!$D$5:$D$2427,$B56,'март 2025'!$J$5:$J$2427,AF$1)</f>
        <v>0</v>
      </c>
      <c r="AG56" s="182">
        <f>SUMIFS('март 2025'!$G$5:$G$2427,'март 2025'!$D$5:$D$2427,$B56,'март 2025'!$J$5:$J$2427,AG$1)</f>
        <v>0</v>
      </c>
      <c r="AH56" s="182">
        <f>SUMIFS('март 2025'!$G$5:$G$2427,'март 2025'!$D$5:$D$2427,$B56,'март 2025'!$J$5:$J$2427,AH$1)</f>
        <v>0</v>
      </c>
      <c r="AI56" s="20">
        <f t="shared" si="1"/>
        <v>0</v>
      </c>
    </row>
    <row r="57" spans="2:35" ht="15" customHeight="1" x14ac:dyDescent="0.25">
      <c r="B57" s="131" t="s">
        <v>254</v>
      </c>
      <c r="C57" s="132">
        <v>20</v>
      </c>
      <c r="D57" s="182">
        <f>SUMIFS('март 2025'!$G$5:$G$2427,'март 2025'!$D$5:$D$2427,$B57,'март 2025'!$J$5:$J$2427,D$1)</f>
        <v>0</v>
      </c>
      <c r="E57" s="182">
        <f>SUMIFS('март 2025'!$G$5:$G$2427,'март 2025'!$D$5:$D$2427,$B57,'март 2025'!$J$5:$J$2427,E$1)</f>
        <v>0</v>
      </c>
      <c r="F57" s="182">
        <f>SUMIFS('март 2025'!$G$5:$G$2427,'март 2025'!$D$5:$D$2427,$B57,'март 2025'!$J$5:$J$2427,F$1)</f>
        <v>0</v>
      </c>
      <c r="G57" s="182">
        <f>SUMIFS('март 2025'!$G$5:$G$2427,'март 2025'!$D$5:$D$2427,$B57,'март 2025'!$J$5:$J$2427,G$1)</f>
        <v>0</v>
      </c>
      <c r="H57" s="182">
        <f>SUMIFS('март 2025'!$G$5:$G$2427,'март 2025'!$D$5:$D$2427,$B57,'март 2025'!$J$5:$J$2427,H$1)</f>
        <v>0</v>
      </c>
      <c r="I57" s="182">
        <f>SUMIFS('март 2025'!$G$5:$G$2427,'март 2025'!$D$5:$D$2427,$B57,'март 2025'!$J$5:$J$2427,I$1)</f>
        <v>0</v>
      </c>
      <c r="J57" s="182">
        <f>SUMIFS('март 2025'!$G$5:$G$2427,'март 2025'!$D$5:$D$2427,$B57,'март 2025'!$J$5:$J$2427,J$1)</f>
        <v>0</v>
      </c>
      <c r="K57" s="182">
        <f>SUMIFS('март 2025'!$G$5:$G$2427,'март 2025'!$D$5:$D$2427,$B57,'март 2025'!$J$5:$J$2427,K$1)</f>
        <v>0</v>
      </c>
      <c r="L57" s="182">
        <f>SUMIFS('март 2025'!$G$5:$G$2427,'март 2025'!$D$5:$D$2427,$B57,'март 2025'!$J$5:$J$2427,L$1)</f>
        <v>0</v>
      </c>
      <c r="M57" s="182">
        <f>SUMIFS('март 2025'!$G$5:$G$2427,'март 2025'!$D$5:$D$2427,$B57,'март 2025'!$J$5:$J$2427,M$1)</f>
        <v>0</v>
      </c>
      <c r="N57" s="182">
        <f>SUMIFS('март 2025'!$G$5:$G$2427,'март 2025'!$D$5:$D$2427,$B57,'март 2025'!$J$5:$J$2427,N$1)</f>
        <v>0</v>
      </c>
      <c r="O57" s="182">
        <f>SUMIFS('март 2025'!$G$5:$G$2427,'март 2025'!$D$5:$D$2427,$B57,'март 2025'!$J$5:$J$2427,O$1)</f>
        <v>0</v>
      </c>
      <c r="P57" s="182">
        <f>SUMIFS('март 2025'!$G$5:$G$2427,'март 2025'!$D$5:$D$2427,$B57,'март 2025'!$J$5:$J$2427,P$1)</f>
        <v>0</v>
      </c>
      <c r="Q57" s="182">
        <f>SUMIFS('март 2025'!$G$5:$G$2427,'март 2025'!$D$5:$D$2427,$B57,'март 2025'!$J$5:$J$2427,Q$1)</f>
        <v>0</v>
      </c>
      <c r="R57" s="182">
        <f>SUMIFS('март 2025'!$G$5:$G$2427,'март 2025'!$D$5:$D$2427,$B57,'март 2025'!$J$5:$J$2427,R$1)</f>
        <v>0</v>
      </c>
      <c r="S57" s="182">
        <f>SUMIFS('март 2025'!$G$5:$G$2427,'март 2025'!$D$5:$D$2427,$B57,'март 2025'!$J$5:$J$2427,S$1)</f>
        <v>0</v>
      </c>
      <c r="T57" s="182">
        <f>SUMIFS('март 2025'!$G$5:$G$2427,'март 2025'!$D$5:$D$2427,$B57,'март 2025'!$J$5:$J$2427,T$1)</f>
        <v>0</v>
      </c>
      <c r="U57" s="182">
        <f>SUMIFS('март 2025'!$G$5:$G$2427,'март 2025'!$D$5:$D$2427,$B57,'март 2025'!$J$5:$J$2427,U$1)</f>
        <v>0</v>
      </c>
      <c r="V57" s="182">
        <f>SUMIFS('март 2025'!$G$5:$G$2427,'март 2025'!$D$5:$D$2427,$B57,'март 2025'!$J$5:$J$2427,V$1)</f>
        <v>0</v>
      </c>
      <c r="W57" s="182">
        <f>SUMIFS('март 2025'!$G$5:$G$2427,'март 2025'!$D$5:$D$2427,$B57,'март 2025'!$J$5:$J$2427,W$1)</f>
        <v>0</v>
      </c>
      <c r="X57" s="182">
        <f>SUMIFS('март 2025'!$G$5:$G$2427,'март 2025'!$D$5:$D$2427,$B57,'март 2025'!$J$5:$J$2427,X$1)</f>
        <v>0</v>
      </c>
      <c r="Y57" s="182">
        <f>SUMIFS('март 2025'!$G$5:$G$2427,'март 2025'!$D$5:$D$2427,$B57,'март 2025'!$J$5:$J$2427,Y$1)</f>
        <v>0</v>
      </c>
      <c r="Z57" s="182">
        <f>SUMIFS('март 2025'!$G$5:$G$2427,'март 2025'!$D$5:$D$2427,$B57,'март 2025'!$J$5:$J$2427,Z$1)</f>
        <v>0</v>
      </c>
      <c r="AA57" s="182">
        <f>SUMIFS('март 2025'!$G$5:$G$2427,'март 2025'!$D$5:$D$2427,$B57,'март 2025'!$J$5:$J$2427,AA$1)</f>
        <v>0</v>
      </c>
      <c r="AB57" s="182">
        <f>SUMIFS('март 2025'!$G$5:$G$2427,'март 2025'!$D$5:$D$2427,$B57,'март 2025'!$J$5:$J$2427,AB$1)</f>
        <v>0</v>
      </c>
      <c r="AC57" s="182">
        <f>SUMIFS('март 2025'!$G$5:$G$2427,'март 2025'!$D$5:$D$2427,$B57,'март 2025'!$J$5:$J$2427,AC$1)</f>
        <v>0</v>
      </c>
      <c r="AD57" s="182">
        <f>SUMIFS('март 2025'!$G$5:$G$2427,'март 2025'!$D$5:$D$2427,$B57,'март 2025'!$J$5:$J$2427,AD$1)</f>
        <v>0</v>
      </c>
      <c r="AE57" s="182">
        <f>SUMIFS('март 2025'!$G$5:$G$2427,'март 2025'!$D$5:$D$2427,$B57,'март 2025'!$J$5:$J$2427,AE$1)</f>
        <v>0</v>
      </c>
      <c r="AF57" s="182">
        <f>SUMIFS('март 2025'!$G$5:$G$2427,'март 2025'!$D$5:$D$2427,$B57,'март 2025'!$J$5:$J$2427,AF$1)</f>
        <v>0</v>
      </c>
      <c r="AG57" s="182">
        <f>SUMIFS('март 2025'!$G$5:$G$2427,'март 2025'!$D$5:$D$2427,$B57,'март 2025'!$J$5:$J$2427,AG$1)</f>
        <v>0</v>
      </c>
      <c r="AH57" s="182">
        <f>SUMIFS('март 2025'!$G$5:$G$2427,'март 2025'!$D$5:$D$2427,$B57,'март 2025'!$J$5:$J$2427,AH$1)</f>
        <v>0</v>
      </c>
      <c r="AI57" s="20">
        <f t="shared" si="1"/>
        <v>0</v>
      </c>
    </row>
    <row r="58" spans="2:35" ht="15" customHeight="1" x14ac:dyDescent="0.25">
      <c r="B58" s="131" t="s">
        <v>255</v>
      </c>
      <c r="C58" s="132">
        <v>20</v>
      </c>
      <c r="D58" s="182">
        <f>SUMIFS('март 2025'!$G$5:$G$2427,'март 2025'!$D$5:$D$2427,$B58,'март 2025'!$J$5:$J$2427,D$1)</f>
        <v>0</v>
      </c>
      <c r="E58" s="182">
        <f>SUMIFS('март 2025'!$G$5:$G$2427,'март 2025'!$D$5:$D$2427,$B58,'март 2025'!$J$5:$J$2427,E$1)</f>
        <v>0</v>
      </c>
      <c r="F58" s="182">
        <f>SUMIFS('март 2025'!$G$5:$G$2427,'март 2025'!$D$5:$D$2427,$B58,'март 2025'!$J$5:$J$2427,F$1)</f>
        <v>0</v>
      </c>
      <c r="G58" s="182">
        <f>SUMIFS('март 2025'!$G$5:$G$2427,'март 2025'!$D$5:$D$2427,$B58,'март 2025'!$J$5:$J$2427,G$1)</f>
        <v>0</v>
      </c>
      <c r="H58" s="182">
        <f>SUMIFS('март 2025'!$G$5:$G$2427,'март 2025'!$D$5:$D$2427,$B58,'март 2025'!$J$5:$J$2427,H$1)</f>
        <v>0</v>
      </c>
      <c r="I58" s="182">
        <f>SUMIFS('март 2025'!$G$5:$G$2427,'март 2025'!$D$5:$D$2427,$B58,'март 2025'!$J$5:$J$2427,I$1)</f>
        <v>0</v>
      </c>
      <c r="J58" s="182">
        <f>SUMIFS('март 2025'!$G$5:$G$2427,'март 2025'!$D$5:$D$2427,$B58,'март 2025'!$J$5:$J$2427,J$1)</f>
        <v>0</v>
      </c>
      <c r="K58" s="182">
        <f>SUMIFS('март 2025'!$G$5:$G$2427,'март 2025'!$D$5:$D$2427,$B58,'март 2025'!$J$5:$J$2427,K$1)</f>
        <v>0</v>
      </c>
      <c r="L58" s="182">
        <f>SUMIFS('март 2025'!$G$5:$G$2427,'март 2025'!$D$5:$D$2427,$B58,'март 2025'!$J$5:$J$2427,L$1)</f>
        <v>0</v>
      </c>
      <c r="M58" s="182">
        <f>SUMIFS('март 2025'!$G$5:$G$2427,'март 2025'!$D$5:$D$2427,$B58,'март 2025'!$J$5:$J$2427,M$1)</f>
        <v>0</v>
      </c>
      <c r="N58" s="182">
        <f>SUMIFS('март 2025'!$G$5:$G$2427,'март 2025'!$D$5:$D$2427,$B58,'март 2025'!$J$5:$J$2427,N$1)</f>
        <v>0</v>
      </c>
      <c r="O58" s="182">
        <f>SUMIFS('март 2025'!$G$5:$G$2427,'март 2025'!$D$5:$D$2427,$B58,'март 2025'!$J$5:$J$2427,O$1)</f>
        <v>0</v>
      </c>
      <c r="P58" s="182">
        <f>SUMIFS('март 2025'!$G$5:$G$2427,'март 2025'!$D$5:$D$2427,$B58,'март 2025'!$J$5:$J$2427,P$1)</f>
        <v>0</v>
      </c>
      <c r="Q58" s="182">
        <f>SUMIFS('март 2025'!$G$5:$G$2427,'март 2025'!$D$5:$D$2427,$B58,'март 2025'!$J$5:$J$2427,Q$1)</f>
        <v>0</v>
      </c>
      <c r="R58" s="182">
        <f>SUMIFS('март 2025'!$G$5:$G$2427,'март 2025'!$D$5:$D$2427,$B58,'март 2025'!$J$5:$J$2427,R$1)</f>
        <v>0</v>
      </c>
      <c r="S58" s="182">
        <f>SUMIFS('март 2025'!$G$5:$G$2427,'март 2025'!$D$5:$D$2427,$B58,'март 2025'!$J$5:$J$2427,S$1)</f>
        <v>0</v>
      </c>
      <c r="T58" s="182">
        <f>SUMIFS('март 2025'!$G$5:$G$2427,'март 2025'!$D$5:$D$2427,$B58,'март 2025'!$J$5:$J$2427,T$1)</f>
        <v>0</v>
      </c>
      <c r="U58" s="182">
        <f>SUMIFS('март 2025'!$G$5:$G$2427,'март 2025'!$D$5:$D$2427,$B58,'март 2025'!$J$5:$J$2427,U$1)</f>
        <v>0</v>
      </c>
      <c r="V58" s="182">
        <f>SUMIFS('март 2025'!$G$5:$G$2427,'март 2025'!$D$5:$D$2427,$B58,'март 2025'!$J$5:$J$2427,V$1)</f>
        <v>0</v>
      </c>
      <c r="W58" s="182">
        <f>SUMIFS('март 2025'!$G$5:$G$2427,'март 2025'!$D$5:$D$2427,$B58,'март 2025'!$J$5:$J$2427,W$1)</f>
        <v>0</v>
      </c>
      <c r="X58" s="182">
        <f>SUMIFS('март 2025'!$G$5:$G$2427,'март 2025'!$D$5:$D$2427,$B58,'март 2025'!$J$5:$J$2427,X$1)</f>
        <v>0</v>
      </c>
      <c r="Y58" s="182">
        <f>SUMIFS('март 2025'!$G$5:$G$2427,'март 2025'!$D$5:$D$2427,$B58,'март 2025'!$J$5:$J$2427,Y$1)</f>
        <v>0</v>
      </c>
      <c r="Z58" s="182">
        <f>SUMIFS('март 2025'!$G$5:$G$2427,'март 2025'!$D$5:$D$2427,$B58,'март 2025'!$J$5:$J$2427,Z$1)</f>
        <v>0</v>
      </c>
      <c r="AA58" s="182">
        <f>SUMIFS('март 2025'!$G$5:$G$2427,'март 2025'!$D$5:$D$2427,$B58,'март 2025'!$J$5:$J$2427,AA$1)</f>
        <v>0</v>
      </c>
      <c r="AB58" s="182">
        <f>SUMIFS('март 2025'!$G$5:$G$2427,'март 2025'!$D$5:$D$2427,$B58,'март 2025'!$J$5:$J$2427,AB$1)</f>
        <v>0</v>
      </c>
      <c r="AC58" s="182">
        <f>SUMIFS('март 2025'!$G$5:$G$2427,'март 2025'!$D$5:$D$2427,$B58,'март 2025'!$J$5:$J$2427,AC$1)</f>
        <v>0</v>
      </c>
      <c r="AD58" s="182">
        <f>SUMIFS('март 2025'!$G$5:$G$2427,'март 2025'!$D$5:$D$2427,$B58,'март 2025'!$J$5:$J$2427,AD$1)</f>
        <v>0</v>
      </c>
      <c r="AE58" s="182">
        <f>SUMIFS('март 2025'!$G$5:$G$2427,'март 2025'!$D$5:$D$2427,$B58,'март 2025'!$J$5:$J$2427,AE$1)</f>
        <v>0</v>
      </c>
      <c r="AF58" s="182">
        <f>SUMIFS('март 2025'!$G$5:$G$2427,'март 2025'!$D$5:$D$2427,$B58,'март 2025'!$J$5:$J$2427,AF$1)</f>
        <v>0</v>
      </c>
      <c r="AG58" s="182">
        <f>SUMIFS('март 2025'!$G$5:$G$2427,'март 2025'!$D$5:$D$2427,$B58,'март 2025'!$J$5:$J$2427,AG$1)</f>
        <v>0</v>
      </c>
      <c r="AH58" s="182">
        <f>SUMIFS('март 2025'!$G$5:$G$2427,'март 2025'!$D$5:$D$2427,$B58,'март 2025'!$J$5:$J$2427,AH$1)</f>
        <v>0</v>
      </c>
      <c r="AI58" s="20">
        <f t="shared" si="1"/>
        <v>0</v>
      </c>
    </row>
    <row r="59" spans="2:35" ht="15" customHeight="1" x14ac:dyDescent="0.25">
      <c r="B59" s="131"/>
      <c r="C59" s="132"/>
      <c r="D59" s="182">
        <f>SUMIFS('март 2025'!$G$5:$G$2427,'март 2025'!$D$5:$D$2427,$B59,'март 2025'!$J$5:$J$2427,D$1)</f>
        <v>0</v>
      </c>
      <c r="E59" s="182">
        <f>SUMIFS('март 2025'!$G$5:$G$2427,'март 2025'!$D$5:$D$2427,$B59,'март 2025'!$J$5:$J$2427,E$1)</f>
        <v>0</v>
      </c>
      <c r="F59" s="182">
        <f>SUMIFS('март 2025'!$G$5:$G$2427,'март 2025'!$D$5:$D$2427,$B59,'март 2025'!$J$5:$J$2427,F$1)</f>
        <v>0</v>
      </c>
      <c r="G59" s="182">
        <f>SUMIFS('март 2025'!$G$5:$G$2427,'март 2025'!$D$5:$D$2427,$B59,'март 2025'!$J$5:$J$2427,G$1)</f>
        <v>0</v>
      </c>
      <c r="H59" s="182">
        <f>SUMIFS('март 2025'!$G$5:$G$2427,'март 2025'!$D$5:$D$2427,$B59,'март 2025'!$J$5:$J$2427,H$1)</f>
        <v>0</v>
      </c>
      <c r="I59" s="182">
        <f>SUMIFS('март 2025'!$G$5:$G$2427,'март 2025'!$D$5:$D$2427,$B59,'март 2025'!$J$5:$J$2427,I$1)</f>
        <v>0</v>
      </c>
      <c r="J59" s="182">
        <f>SUMIFS('март 2025'!$G$5:$G$2427,'март 2025'!$D$5:$D$2427,$B59,'март 2025'!$J$5:$J$2427,J$1)</f>
        <v>0</v>
      </c>
      <c r="K59" s="182">
        <f>SUMIFS('март 2025'!$G$5:$G$2427,'март 2025'!$D$5:$D$2427,$B59,'март 2025'!$J$5:$J$2427,K$1)</f>
        <v>0</v>
      </c>
      <c r="L59" s="182">
        <f>SUMIFS('март 2025'!$G$5:$G$2427,'март 2025'!$D$5:$D$2427,$B59,'март 2025'!$J$5:$J$2427,L$1)</f>
        <v>0</v>
      </c>
      <c r="M59" s="182">
        <f>SUMIFS('март 2025'!$G$5:$G$2427,'март 2025'!$D$5:$D$2427,$B59,'март 2025'!$J$5:$J$2427,M$1)</f>
        <v>0</v>
      </c>
      <c r="N59" s="182">
        <f>SUMIFS('март 2025'!$G$5:$G$2427,'март 2025'!$D$5:$D$2427,$B59,'март 2025'!$J$5:$J$2427,N$1)</f>
        <v>0</v>
      </c>
      <c r="O59" s="182">
        <f>SUMIFS('март 2025'!$G$5:$G$2427,'март 2025'!$D$5:$D$2427,$B59,'март 2025'!$J$5:$J$2427,O$1)</f>
        <v>0</v>
      </c>
      <c r="P59" s="182">
        <f>SUMIFS('март 2025'!$G$5:$G$2427,'март 2025'!$D$5:$D$2427,$B59,'март 2025'!$J$5:$J$2427,P$1)</f>
        <v>0</v>
      </c>
      <c r="Q59" s="182">
        <f>SUMIFS('март 2025'!$G$5:$G$2427,'март 2025'!$D$5:$D$2427,$B59,'март 2025'!$J$5:$J$2427,Q$1)</f>
        <v>0</v>
      </c>
      <c r="R59" s="182">
        <f>SUMIFS('март 2025'!$G$5:$G$2427,'март 2025'!$D$5:$D$2427,$B59,'март 2025'!$J$5:$J$2427,R$1)</f>
        <v>0</v>
      </c>
      <c r="S59" s="182">
        <f>SUMIFS('март 2025'!$G$5:$G$2427,'март 2025'!$D$5:$D$2427,$B59,'март 2025'!$J$5:$J$2427,S$1)</f>
        <v>0</v>
      </c>
      <c r="T59" s="182">
        <f>SUMIFS('март 2025'!$G$5:$G$2427,'март 2025'!$D$5:$D$2427,$B59,'март 2025'!$J$5:$J$2427,T$1)</f>
        <v>0</v>
      </c>
      <c r="U59" s="182">
        <f>SUMIFS('март 2025'!$G$5:$G$2427,'март 2025'!$D$5:$D$2427,$B59,'март 2025'!$J$5:$J$2427,U$1)</f>
        <v>0</v>
      </c>
      <c r="V59" s="182">
        <f>SUMIFS('март 2025'!$G$5:$G$2427,'март 2025'!$D$5:$D$2427,$B59,'март 2025'!$J$5:$J$2427,V$1)</f>
        <v>0</v>
      </c>
      <c r="W59" s="182">
        <f>SUMIFS('март 2025'!$G$5:$G$2427,'март 2025'!$D$5:$D$2427,$B59,'март 2025'!$J$5:$J$2427,W$1)</f>
        <v>0</v>
      </c>
      <c r="X59" s="182">
        <f>SUMIFS('март 2025'!$G$5:$G$2427,'март 2025'!$D$5:$D$2427,$B59,'март 2025'!$J$5:$J$2427,X$1)</f>
        <v>0</v>
      </c>
      <c r="Y59" s="182">
        <f>SUMIFS('март 2025'!$G$5:$G$2427,'март 2025'!$D$5:$D$2427,$B59,'март 2025'!$J$5:$J$2427,Y$1)</f>
        <v>0</v>
      </c>
      <c r="Z59" s="182">
        <f>SUMIFS('март 2025'!$G$5:$G$2427,'март 2025'!$D$5:$D$2427,$B59,'март 2025'!$J$5:$J$2427,Z$1)</f>
        <v>0</v>
      </c>
      <c r="AA59" s="182">
        <f>SUMIFS('март 2025'!$G$5:$G$2427,'март 2025'!$D$5:$D$2427,$B59,'март 2025'!$J$5:$J$2427,AA$1)</f>
        <v>0</v>
      </c>
      <c r="AB59" s="182">
        <f>SUMIFS('март 2025'!$G$5:$G$2427,'март 2025'!$D$5:$D$2427,$B59,'март 2025'!$J$5:$J$2427,AB$1)</f>
        <v>0</v>
      </c>
      <c r="AC59" s="182">
        <f>SUMIFS('март 2025'!$G$5:$G$2427,'март 2025'!$D$5:$D$2427,$B59,'март 2025'!$J$5:$J$2427,AC$1)</f>
        <v>0</v>
      </c>
      <c r="AD59" s="182">
        <f>SUMIFS('март 2025'!$G$5:$G$2427,'март 2025'!$D$5:$D$2427,$B59,'март 2025'!$J$5:$J$2427,AD$1)</f>
        <v>0</v>
      </c>
      <c r="AE59" s="182">
        <f>SUMIFS('март 2025'!$G$5:$G$2427,'март 2025'!$D$5:$D$2427,$B59,'март 2025'!$J$5:$J$2427,AE$1)</f>
        <v>0</v>
      </c>
      <c r="AF59" s="182">
        <f>SUMIFS('март 2025'!$G$5:$G$2427,'март 2025'!$D$5:$D$2427,$B59,'март 2025'!$J$5:$J$2427,AF$1)</f>
        <v>0</v>
      </c>
      <c r="AG59" s="182">
        <f>SUMIFS('март 2025'!$G$5:$G$2427,'март 2025'!$D$5:$D$2427,$B59,'март 2025'!$J$5:$J$2427,AG$1)</f>
        <v>0</v>
      </c>
      <c r="AH59" s="182">
        <f>SUMIFS('март 2025'!$G$5:$G$2427,'март 2025'!$D$5:$D$2427,$B59,'март 2025'!$J$5:$J$2427,AH$1)</f>
        <v>0</v>
      </c>
      <c r="AI59" s="20">
        <f t="shared" si="1"/>
        <v>0</v>
      </c>
    </row>
    <row r="60" spans="2:35" ht="15" customHeight="1" x14ac:dyDescent="0.25">
      <c r="B60" s="131"/>
      <c r="C60" s="132"/>
      <c r="D60" s="182">
        <f>SUMIFS('март 2025'!$G$5:$G$2427,'март 2025'!$D$5:$D$2427,$B60,'март 2025'!$J$5:$J$2427,D$1)</f>
        <v>0</v>
      </c>
      <c r="E60" s="182">
        <f>SUMIFS('март 2025'!$G$5:$G$2427,'март 2025'!$D$5:$D$2427,$B60,'март 2025'!$J$5:$J$2427,E$1)</f>
        <v>0</v>
      </c>
      <c r="F60" s="182">
        <f>SUMIFS('март 2025'!$G$5:$G$2427,'март 2025'!$D$5:$D$2427,$B60,'март 2025'!$J$5:$J$2427,F$1)</f>
        <v>0</v>
      </c>
      <c r="G60" s="182">
        <f>SUMIFS('март 2025'!$G$5:$G$2427,'март 2025'!$D$5:$D$2427,$B60,'март 2025'!$J$5:$J$2427,G$1)</f>
        <v>0</v>
      </c>
      <c r="H60" s="182">
        <f>SUMIFS('март 2025'!$G$5:$G$2427,'март 2025'!$D$5:$D$2427,$B60,'март 2025'!$J$5:$J$2427,H$1)</f>
        <v>0</v>
      </c>
      <c r="I60" s="182">
        <f>SUMIFS('март 2025'!$G$5:$G$2427,'март 2025'!$D$5:$D$2427,$B60,'март 2025'!$J$5:$J$2427,I$1)</f>
        <v>0</v>
      </c>
      <c r="J60" s="182">
        <f>SUMIFS('март 2025'!$G$5:$G$2427,'март 2025'!$D$5:$D$2427,$B60,'март 2025'!$J$5:$J$2427,J$1)</f>
        <v>0</v>
      </c>
      <c r="K60" s="182">
        <f>SUMIFS('март 2025'!$G$5:$G$2427,'март 2025'!$D$5:$D$2427,$B60,'март 2025'!$J$5:$J$2427,K$1)</f>
        <v>0</v>
      </c>
      <c r="L60" s="182">
        <f>SUMIFS('март 2025'!$G$5:$G$2427,'март 2025'!$D$5:$D$2427,$B60,'март 2025'!$J$5:$J$2427,L$1)</f>
        <v>0</v>
      </c>
      <c r="M60" s="182">
        <f>SUMIFS('март 2025'!$G$5:$G$2427,'март 2025'!$D$5:$D$2427,$B60,'март 2025'!$J$5:$J$2427,M$1)</f>
        <v>0</v>
      </c>
      <c r="N60" s="182">
        <f>SUMIFS('март 2025'!$G$5:$G$2427,'март 2025'!$D$5:$D$2427,$B60,'март 2025'!$J$5:$J$2427,N$1)</f>
        <v>0</v>
      </c>
      <c r="O60" s="182">
        <f>SUMIFS('март 2025'!$G$5:$G$2427,'март 2025'!$D$5:$D$2427,$B60,'март 2025'!$J$5:$J$2427,O$1)</f>
        <v>0</v>
      </c>
      <c r="P60" s="182">
        <f>SUMIFS('март 2025'!$G$5:$G$2427,'март 2025'!$D$5:$D$2427,$B60,'март 2025'!$J$5:$J$2427,P$1)</f>
        <v>0</v>
      </c>
      <c r="Q60" s="182">
        <f>SUMIFS('март 2025'!$G$5:$G$2427,'март 2025'!$D$5:$D$2427,$B60,'март 2025'!$J$5:$J$2427,Q$1)</f>
        <v>0</v>
      </c>
      <c r="R60" s="182">
        <f>SUMIFS('март 2025'!$G$5:$G$2427,'март 2025'!$D$5:$D$2427,$B60,'март 2025'!$J$5:$J$2427,R$1)</f>
        <v>0</v>
      </c>
      <c r="S60" s="182">
        <f>SUMIFS('март 2025'!$G$5:$G$2427,'март 2025'!$D$5:$D$2427,$B60,'март 2025'!$J$5:$J$2427,S$1)</f>
        <v>0</v>
      </c>
      <c r="T60" s="182">
        <f>SUMIFS('март 2025'!$G$5:$G$2427,'март 2025'!$D$5:$D$2427,$B60,'март 2025'!$J$5:$J$2427,T$1)</f>
        <v>0</v>
      </c>
      <c r="U60" s="182">
        <f>SUMIFS('март 2025'!$G$5:$G$2427,'март 2025'!$D$5:$D$2427,$B60,'март 2025'!$J$5:$J$2427,U$1)</f>
        <v>0</v>
      </c>
      <c r="V60" s="182">
        <f>SUMIFS('март 2025'!$G$5:$G$2427,'март 2025'!$D$5:$D$2427,$B60,'март 2025'!$J$5:$J$2427,V$1)</f>
        <v>0</v>
      </c>
      <c r="W60" s="182">
        <f>SUMIFS('март 2025'!$G$5:$G$2427,'март 2025'!$D$5:$D$2427,$B60,'март 2025'!$J$5:$J$2427,W$1)</f>
        <v>0</v>
      </c>
      <c r="X60" s="182">
        <f>SUMIFS('март 2025'!$G$5:$G$2427,'март 2025'!$D$5:$D$2427,$B60,'март 2025'!$J$5:$J$2427,X$1)</f>
        <v>0</v>
      </c>
      <c r="Y60" s="182">
        <f>SUMIFS('март 2025'!$G$5:$G$2427,'март 2025'!$D$5:$D$2427,$B60,'март 2025'!$J$5:$J$2427,Y$1)</f>
        <v>0</v>
      </c>
      <c r="Z60" s="182">
        <f>SUMIFS('март 2025'!$G$5:$G$2427,'март 2025'!$D$5:$D$2427,$B60,'март 2025'!$J$5:$J$2427,Z$1)</f>
        <v>0</v>
      </c>
      <c r="AA60" s="182">
        <f>SUMIFS('март 2025'!$G$5:$G$2427,'март 2025'!$D$5:$D$2427,$B60,'март 2025'!$J$5:$J$2427,AA$1)</f>
        <v>0</v>
      </c>
      <c r="AB60" s="182">
        <f>SUMIFS('март 2025'!$G$5:$G$2427,'март 2025'!$D$5:$D$2427,$B60,'март 2025'!$J$5:$J$2427,AB$1)</f>
        <v>0</v>
      </c>
      <c r="AC60" s="182">
        <f>SUMIFS('март 2025'!$G$5:$G$2427,'март 2025'!$D$5:$D$2427,$B60,'март 2025'!$J$5:$J$2427,AC$1)</f>
        <v>0</v>
      </c>
      <c r="AD60" s="182">
        <f>SUMIFS('март 2025'!$G$5:$G$2427,'март 2025'!$D$5:$D$2427,$B60,'март 2025'!$J$5:$J$2427,AD$1)</f>
        <v>0</v>
      </c>
      <c r="AE60" s="182">
        <f>SUMIFS('март 2025'!$G$5:$G$2427,'март 2025'!$D$5:$D$2427,$B60,'март 2025'!$J$5:$J$2427,AE$1)</f>
        <v>0</v>
      </c>
      <c r="AF60" s="182">
        <f>SUMIFS('март 2025'!$G$5:$G$2427,'март 2025'!$D$5:$D$2427,$B60,'март 2025'!$J$5:$J$2427,AF$1)</f>
        <v>0</v>
      </c>
      <c r="AG60" s="182">
        <f>SUMIFS('март 2025'!$G$5:$G$2427,'март 2025'!$D$5:$D$2427,$B60,'март 2025'!$J$5:$J$2427,AG$1)</f>
        <v>0</v>
      </c>
      <c r="AH60" s="182">
        <f>SUMIFS('март 2025'!$G$5:$G$2427,'март 2025'!$D$5:$D$2427,$B60,'март 2025'!$J$5:$J$2427,AH$1)</f>
        <v>0</v>
      </c>
      <c r="AI60" s="20">
        <f t="shared" si="1"/>
        <v>0</v>
      </c>
    </row>
    <row r="61" spans="2:35" ht="15" customHeight="1" x14ac:dyDescent="0.25">
      <c r="B61" s="136"/>
      <c r="C61" s="132"/>
      <c r="D61" s="182">
        <f>SUMIFS('март 2025'!$G$5:$G$2427,'март 2025'!$D$5:$D$2427,$B61,'март 2025'!$J$5:$J$2427,D$1)</f>
        <v>0</v>
      </c>
      <c r="E61" s="182">
        <f>SUMIFS('март 2025'!$G$5:$G$2427,'март 2025'!$D$5:$D$2427,$B61,'март 2025'!$J$5:$J$2427,E$1)</f>
        <v>0</v>
      </c>
      <c r="F61" s="182">
        <f>SUMIFS('март 2025'!$G$5:$G$2427,'март 2025'!$D$5:$D$2427,$B61,'март 2025'!$J$5:$J$2427,F$1)</f>
        <v>0</v>
      </c>
      <c r="G61" s="182">
        <f>SUMIFS('март 2025'!$G$5:$G$2427,'март 2025'!$D$5:$D$2427,$B61,'март 2025'!$J$5:$J$2427,G$1)</f>
        <v>0</v>
      </c>
      <c r="H61" s="182">
        <f>SUMIFS('март 2025'!$G$5:$G$2427,'март 2025'!$D$5:$D$2427,$B61,'март 2025'!$J$5:$J$2427,H$1)</f>
        <v>0</v>
      </c>
      <c r="I61" s="182">
        <f>SUMIFS('март 2025'!$G$5:$G$2427,'март 2025'!$D$5:$D$2427,$B61,'март 2025'!$J$5:$J$2427,I$1)</f>
        <v>0</v>
      </c>
      <c r="J61" s="182">
        <f>SUMIFS('март 2025'!$G$5:$G$2427,'март 2025'!$D$5:$D$2427,$B61,'март 2025'!$J$5:$J$2427,J$1)</f>
        <v>0</v>
      </c>
      <c r="K61" s="182">
        <f>SUMIFS('март 2025'!$G$5:$G$2427,'март 2025'!$D$5:$D$2427,$B61,'март 2025'!$J$5:$J$2427,K$1)</f>
        <v>0</v>
      </c>
      <c r="L61" s="182">
        <f>SUMIFS('март 2025'!$G$5:$G$2427,'март 2025'!$D$5:$D$2427,$B61,'март 2025'!$J$5:$J$2427,L$1)</f>
        <v>0</v>
      </c>
      <c r="M61" s="182">
        <f>SUMIFS('март 2025'!$G$5:$G$2427,'март 2025'!$D$5:$D$2427,$B61,'март 2025'!$J$5:$J$2427,M$1)</f>
        <v>0</v>
      </c>
      <c r="N61" s="182">
        <f>SUMIFS('март 2025'!$G$5:$G$2427,'март 2025'!$D$5:$D$2427,$B61,'март 2025'!$J$5:$J$2427,N$1)</f>
        <v>0</v>
      </c>
      <c r="O61" s="182">
        <f>SUMIFS('март 2025'!$G$5:$G$2427,'март 2025'!$D$5:$D$2427,$B61,'март 2025'!$J$5:$J$2427,O$1)</f>
        <v>0</v>
      </c>
      <c r="P61" s="182">
        <f>SUMIFS('март 2025'!$G$5:$G$2427,'март 2025'!$D$5:$D$2427,$B61,'март 2025'!$J$5:$J$2427,P$1)</f>
        <v>0</v>
      </c>
      <c r="Q61" s="182">
        <f>SUMIFS('март 2025'!$G$5:$G$2427,'март 2025'!$D$5:$D$2427,$B61,'март 2025'!$J$5:$J$2427,Q$1)</f>
        <v>0</v>
      </c>
      <c r="R61" s="182">
        <f>SUMIFS('март 2025'!$G$5:$G$2427,'март 2025'!$D$5:$D$2427,$B61,'март 2025'!$J$5:$J$2427,R$1)</f>
        <v>0</v>
      </c>
      <c r="S61" s="182">
        <f>SUMIFS('март 2025'!$G$5:$G$2427,'март 2025'!$D$5:$D$2427,$B61,'март 2025'!$J$5:$J$2427,S$1)</f>
        <v>0</v>
      </c>
      <c r="T61" s="182">
        <f>SUMIFS('март 2025'!$G$5:$G$2427,'март 2025'!$D$5:$D$2427,$B61,'март 2025'!$J$5:$J$2427,T$1)</f>
        <v>0</v>
      </c>
      <c r="U61" s="182">
        <f>SUMIFS('март 2025'!$G$5:$G$2427,'март 2025'!$D$5:$D$2427,$B61,'март 2025'!$J$5:$J$2427,U$1)</f>
        <v>0</v>
      </c>
      <c r="V61" s="182">
        <f>SUMIFS('март 2025'!$G$5:$G$2427,'март 2025'!$D$5:$D$2427,$B61,'март 2025'!$J$5:$J$2427,V$1)</f>
        <v>0</v>
      </c>
      <c r="W61" s="182">
        <f>SUMIFS('март 2025'!$G$5:$G$2427,'март 2025'!$D$5:$D$2427,$B61,'март 2025'!$J$5:$J$2427,W$1)</f>
        <v>0</v>
      </c>
      <c r="X61" s="182">
        <f>SUMIFS('март 2025'!$G$5:$G$2427,'март 2025'!$D$5:$D$2427,$B61,'март 2025'!$J$5:$J$2427,X$1)</f>
        <v>0</v>
      </c>
      <c r="Y61" s="182">
        <f>SUMIFS('март 2025'!$G$5:$G$2427,'март 2025'!$D$5:$D$2427,$B61,'март 2025'!$J$5:$J$2427,Y$1)</f>
        <v>0</v>
      </c>
      <c r="Z61" s="182">
        <f>SUMIFS('март 2025'!$G$5:$G$2427,'март 2025'!$D$5:$D$2427,$B61,'март 2025'!$J$5:$J$2427,Z$1)</f>
        <v>0</v>
      </c>
      <c r="AA61" s="182">
        <f>SUMIFS('март 2025'!$G$5:$G$2427,'март 2025'!$D$5:$D$2427,$B61,'март 2025'!$J$5:$J$2427,AA$1)</f>
        <v>0</v>
      </c>
      <c r="AB61" s="182">
        <f>SUMIFS('март 2025'!$G$5:$G$2427,'март 2025'!$D$5:$D$2427,$B61,'март 2025'!$J$5:$J$2427,AB$1)</f>
        <v>0</v>
      </c>
      <c r="AC61" s="182">
        <f>SUMIFS('март 2025'!$G$5:$G$2427,'март 2025'!$D$5:$D$2427,$B61,'март 2025'!$J$5:$J$2427,AC$1)</f>
        <v>0</v>
      </c>
      <c r="AD61" s="182">
        <f>SUMIFS('март 2025'!$G$5:$G$2427,'март 2025'!$D$5:$D$2427,$B61,'март 2025'!$J$5:$J$2427,AD$1)</f>
        <v>0</v>
      </c>
      <c r="AE61" s="182">
        <f>SUMIFS('март 2025'!$G$5:$G$2427,'март 2025'!$D$5:$D$2427,$B61,'март 2025'!$J$5:$J$2427,AE$1)</f>
        <v>0</v>
      </c>
      <c r="AF61" s="182">
        <f>SUMIFS('март 2025'!$G$5:$G$2427,'март 2025'!$D$5:$D$2427,$B61,'март 2025'!$J$5:$J$2427,AF$1)</f>
        <v>0</v>
      </c>
      <c r="AG61" s="182">
        <f>SUMIFS('март 2025'!$G$5:$G$2427,'март 2025'!$D$5:$D$2427,$B61,'март 2025'!$J$5:$J$2427,AG$1)</f>
        <v>0</v>
      </c>
      <c r="AH61" s="182">
        <f>SUMIFS('март 2025'!$G$5:$G$2427,'март 2025'!$D$5:$D$2427,$B61,'март 2025'!$J$5:$J$2427,AH$1)</f>
        <v>0</v>
      </c>
      <c r="AI61" s="20">
        <f t="shared" si="1"/>
        <v>0</v>
      </c>
    </row>
    <row r="62" spans="2:35" ht="15" customHeight="1" x14ac:dyDescent="0.25">
      <c r="B62" s="136"/>
      <c r="C62" s="132"/>
      <c r="D62" s="182">
        <f>SUMIFS('март 2025'!$G$5:$G$2427,'март 2025'!$D$5:$D$2427,$B62,'март 2025'!$J$5:$J$2427,D$1)</f>
        <v>0</v>
      </c>
      <c r="E62" s="182">
        <f>SUMIFS('март 2025'!$G$5:$G$2427,'март 2025'!$D$5:$D$2427,$B62,'март 2025'!$J$5:$J$2427,E$1)</f>
        <v>0</v>
      </c>
      <c r="F62" s="182">
        <f>SUMIFS('март 2025'!$G$5:$G$2427,'март 2025'!$D$5:$D$2427,$B62,'март 2025'!$J$5:$J$2427,F$1)</f>
        <v>0</v>
      </c>
      <c r="G62" s="182">
        <f>SUMIFS('март 2025'!$G$5:$G$2427,'март 2025'!$D$5:$D$2427,$B62,'март 2025'!$J$5:$J$2427,G$1)</f>
        <v>0</v>
      </c>
      <c r="H62" s="182">
        <f>SUMIFS('март 2025'!$G$5:$G$2427,'март 2025'!$D$5:$D$2427,$B62,'март 2025'!$J$5:$J$2427,H$1)</f>
        <v>0</v>
      </c>
      <c r="I62" s="182">
        <f>SUMIFS('март 2025'!$G$5:$G$2427,'март 2025'!$D$5:$D$2427,$B62,'март 2025'!$J$5:$J$2427,I$1)</f>
        <v>0</v>
      </c>
      <c r="J62" s="182">
        <f>SUMIFS('март 2025'!$G$5:$G$2427,'март 2025'!$D$5:$D$2427,$B62,'март 2025'!$J$5:$J$2427,J$1)</f>
        <v>0</v>
      </c>
      <c r="K62" s="182">
        <f>SUMIFS('март 2025'!$G$5:$G$2427,'март 2025'!$D$5:$D$2427,$B62,'март 2025'!$J$5:$J$2427,K$1)</f>
        <v>0</v>
      </c>
      <c r="L62" s="182">
        <f>SUMIFS('март 2025'!$G$5:$G$2427,'март 2025'!$D$5:$D$2427,$B62,'март 2025'!$J$5:$J$2427,L$1)</f>
        <v>0</v>
      </c>
      <c r="M62" s="182">
        <f>SUMIFS('март 2025'!$G$5:$G$2427,'март 2025'!$D$5:$D$2427,$B62,'март 2025'!$J$5:$J$2427,M$1)</f>
        <v>0</v>
      </c>
      <c r="N62" s="182">
        <f>SUMIFS('март 2025'!$G$5:$G$2427,'март 2025'!$D$5:$D$2427,$B62,'март 2025'!$J$5:$J$2427,N$1)</f>
        <v>0</v>
      </c>
      <c r="O62" s="182">
        <f>SUMIFS('март 2025'!$G$5:$G$2427,'март 2025'!$D$5:$D$2427,$B62,'март 2025'!$J$5:$J$2427,O$1)</f>
        <v>0</v>
      </c>
      <c r="P62" s="182">
        <f>SUMIFS('март 2025'!$G$5:$G$2427,'март 2025'!$D$5:$D$2427,$B62,'март 2025'!$J$5:$J$2427,P$1)</f>
        <v>0</v>
      </c>
      <c r="Q62" s="182">
        <f>SUMIFS('март 2025'!$G$5:$G$2427,'март 2025'!$D$5:$D$2427,$B62,'март 2025'!$J$5:$J$2427,Q$1)</f>
        <v>0</v>
      </c>
      <c r="R62" s="182">
        <f>SUMIFS('март 2025'!$G$5:$G$2427,'март 2025'!$D$5:$D$2427,$B62,'март 2025'!$J$5:$J$2427,R$1)</f>
        <v>0</v>
      </c>
      <c r="S62" s="182">
        <f>SUMIFS('март 2025'!$G$5:$G$2427,'март 2025'!$D$5:$D$2427,$B62,'март 2025'!$J$5:$J$2427,S$1)</f>
        <v>0</v>
      </c>
      <c r="T62" s="182">
        <f>SUMIFS('март 2025'!$G$5:$G$2427,'март 2025'!$D$5:$D$2427,$B62,'март 2025'!$J$5:$J$2427,T$1)</f>
        <v>0</v>
      </c>
      <c r="U62" s="182">
        <f>SUMIFS('март 2025'!$G$5:$G$2427,'март 2025'!$D$5:$D$2427,$B62,'март 2025'!$J$5:$J$2427,U$1)</f>
        <v>0</v>
      </c>
      <c r="V62" s="182">
        <f>SUMIFS('март 2025'!$G$5:$G$2427,'март 2025'!$D$5:$D$2427,$B62,'март 2025'!$J$5:$J$2427,V$1)</f>
        <v>0</v>
      </c>
      <c r="W62" s="182">
        <f>SUMIFS('март 2025'!$G$5:$G$2427,'март 2025'!$D$5:$D$2427,$B62,'март 2025'!$J$5:$J$2427,W$1)</f>
        <v>0</v>
      </c>
      <c r="X62" s="182">
        <f>SUMIFS('март 2025'!$G$5:$G$2427,'март 2025'!$D$5:$D$2427,$B62,'март 2025'!$J$5:$J$2427,X$1)</f>
        <v>0</v>
      </c>
      <c r="Y62" s="182">
        <f>SUMIFS('март 2025'!$G$5:$G$2427,'март 2025'!$D$5:$D$2427,$B62,'март 2025'!$J$5:$J$2427,Y$1)</f>
        <v>0</v>
      </c>
      <c r="Z62" s="182">
        <f>SUMIFS('март 2025'!$G$5:$G$2427,'март 2025'!$D$5:$D$2427,$B62,'март 2025'!$J$5:$J$2427,Z$1)</f>
        <v>0</v>
      </c>
      <c r="AA62" s="182">
        <f>SUMIFS('март 2025'!$G$5:$G$2427,'март 2025'!$D$5:$D$2427,$B62,'март 2025'!$J$5:$J$2427,AA$1)</f>
        <v>0</v>
      </c>
      <c r="AB62" s="182">
        <f>SUMIFS('март 2025'!$G$5:$G$2427,'март 2025'!$D$5:$D$2427,$B62,'март 2025'!$J$5:$J$2427,AB$1)</f>
        <v>0</v>
      </c>
      <c r="AC62" s="182">
        <f>SUMIFS('март 2025'!$G$5:$G$2427,'март 2025'!$D$5:$D$2427,$B62,'март 2025'!$J$5:$J$2427,AC$1)</f>
        <v>0</v>
      </c>
      <c r="AD62" s="182">
        <f>SUMIFS('март 2025'!$G$5:$G$2427,'март 2025'!$D$5:$D$2427,$B62,'март 2025'!$J$5:$J$2427,AD$1)</f>
        <v>0</v>
      </c>
      <c r="AE62" s="182">
        <f>SUMIFS('март 2025'!$G$5:$G$2427,'март 2025'!$D$5:$D$2427,$B62,'март 2025'!$J$5:$J$2427,AE$1)</f>
        <v>0</v>
      </c>
      <c r="AF62" s="182">
        <f>SUMIFS('март 2025'!$G$5:$G$2427,'март 2025'!$D$5:$D$2427,$B62,'март 2025'!$J$5:$J$2427,AF$1)</f>
        <v>0</v>
      </c>
      <c r="AG62" s="182">
        <f>SUMIFS('март 2025'!$G$5:$G$2427,'март 2025'!$D$5:$D$2427,$B62,'март 2025'!$J$5:$J$2427,AG$1)</f>
        <v>0</v>
      </c>
      <c r="AH62" s="182">
        <f>SUMIFS('март 2025'!$G$5:$G$2427,'март 2025'!$D$5:$D$2427,$B62,'март 2025'!$J$5:$J$2427,AH$1)</f>
        <v>0</v>
      </c>
      <c r="AI62" s="20">
        <f t="shared" si="1"/>
        <v>0</v>
      </c>
    </row>
    <row r="63" spans="2:35" ht="15" customHeight="1" x14ac:dyDescent="0.25">
      <c r="B63" s="136"/>
      <c r="C63" s="132"/>
      <c r="D63" s="182">
        <f>SUMIFS('март 2025'!$G$5:$G$2427,'март 2025'!$D$5:$D$2427,$B63,'март 2025'!$J$5:$J$2427,D$1)</f>
        <v>0</v>
      </c>
      <c r="E63" s="182">
        <f>SUMIFS('март 2025'!$G$5:$G$2427,'март 2025'!$D$5:$D$2427,$B63,'март 2025'!$J$5:$J$2427,E$1)</f>
        <v>0</v>
      </c>
      <c r="F63" s="182">
        <f>SUMIFS('март 2025'!$G$5:$G$2427,'март 2025'!$D$5:$D$2427,$B63,'март 2025'!$J$5:$J$2427,F$1)</f>
        <v>0</v>
      </c>
      <c r="G63" s="182">
        <f>SUMIFS('март 2025'!$G$5:$G$2427,'март 2025'!$D$5:$D$2427,$B63,'март 2025'!$J$5:$J$2427,G$1)</f>
        <v>0</v>
      </c>
      <c r="H63" s="182">
        <f>SUMIFS('март 2025'!$G$5:$G$2427,'март 2025'!$D$5:$D$2427,$B63,'март 2025'!$J$5:$J$2427,H$1)</f>
        <v>0</v>
      </c>
      <c r="I63" s="182">
        <f>SUMIFS('март 2025'!$G$5:$G$2427,'март 2025'!$D$5:$D$2427,$B63,'март 2025'!$J$5:$J$2427,I$1)</f>
        <v>0</v>
      </c>
      <c r="J63" s="182">
        <f>SUMIFS('март 2025'!$G$5:$G$2427,'март 2025'!$D$5:$D$2427,$B63,'март 2025'!$J$5:$J$2427,J$1)</f>
        <v>0</v>
      </c>
      <c r="K63" s="182">
        <f>SUMIFS('март 2025'!$G$5:$G$2427,'март 2025'!$D$5:$D$2427,$B63,'март 2025'!$J$5:$J$2427,K$1)</f>
        <v>0</v>
      </c>
      <c r="L63" s="182">
        <f>SUMIFS('март 2025'!$G$5:$G$2427,'март 2025'!$D$5:$D$2427,$B63,'март 2025'!$J$5:$J$2427,L$1)</f>
        <v>0</v>
      </c>
      <c r="M63" s="182">
        <f>SUMIFS('март 2025'!$G$5:$G$2427,'март 2025'!$D$5:$D$2427,$B63,'март 2025'!$J$5:$J$2427,M$1)</f>
        <v>0</v>
      </c>
      <c r="N63" s="182">
        <f>SUMIFS('март 2025'!$G$5:$G$2427,'март 2025'!$D$5:$D$2427,$B63,'март 2025'!$J$5:$J$2427,N$1)</f>
        <v>0</v>
      </c>
      <c r="O63" s="182">
        <f>SUMIFS('март 2025'!$G$5:$G$2427,'март 2025'!$D$5:$D$2427,$B63,'март 2025'!$J$5:$J$2427,O$1)</f>
        <v>0</v>
      </c>
      <c r="P63" s="182">
        <f>SUMIFS('март 2025'!$G$5:$G$2427,'март 2025'!$D$5:$D$2427,$B63,'март 2025'!$J$5:$J$2427,P$1)</f>
        <v>0</v>
      </c>
      <c r="Q63" s="182">
        <f>SUMIFS('март 2025'!$G$5:$G$2427,'март 2025'!$D$5:$D$2427,$B63,'март 2025'!$J$5:$J$2427,Q$1)</f>
        <v>0</v>
      </c>
      <c r="R63" s="182">
        <f>SUMIFS('март 2025'!$G$5:$G$2427,'март 2025'!$D$5:$D$2427,$B63,'март 2025'!$J$5:$J$2427,R$1)</f>
        <v>0</v>
      </c>
      <c r="S63" s="182">
        <f>SUMIFS('март 2025'!$G$5:$G$2427,'март 2025'!$D$5:$D$2427,$B63,'март 2025'!$J$5:$J$2427,S$1)</f>
        <v>0</v>
      </c>
      <c r="T63" s="182">
        <f>SUMIFS('март 2025'!$G$5:$G$2427,'март 2025'!$D$5:$D$2427,$B63,'март 2025'!$J$5:$J$2427,T$1)</f>
        <v>0</v>
      </c>
      <c r="U63" s="182">
        <f>SUMIFS('март 2025'!$G$5:$G$2427,'март 2025'!$D$5:$D$2427,$B63,'март 2025'!$J$5:$J$2427,U$1)</f>
        <v>0</v>
      </c>
      <c r="V63" s="182">
        <f>SUMIFS('март 2025'!$G$5:$G$2427,'март 2025'!$D$5:$D$2427,$B63,'март 2025'!$J$5:$J$2427,V$1)</f>
        <v>0</v>
      </c>
      <c r="W63" s="182">
        <f>SUMIFS('март 2025'!$G$5:$G$2427,'март 2025'!$D$5:$D$2427,$B63,'март 2025'!$J$5:$J$2427,W$1)</f>
        <v>0</v>
      </c>
      <c r="X63" s="182">
        <f>SUMIFS('март 2025'!$G$5:$G$2427,'март 2025'!$D$5:$D$2427,$B63,'март 2025'!$J$5:$J$2427,X$1)</f>
        <v>0</v>
      </c>
      <c r="Y63" s="182">
        <f>SUMIFS('март 2025'!$G$5:$G$2427,'март 2025'!$D$5:$D$2427,$B63,'март 2025'!$J$5:$J$2427,Y$1)</f>
        <v>0</v>
      </c>
      <c r="Z63" s="182">
        <f>SUMIFS('март 2025'!$G$5:$G$2427,'март 2025'!$D$5:$D$2427,$B63,'март 2025'!$J$5:$J$2427,Z$1)</f>
        <v>0</v>
      </c>
      <c r="AA63" s="182">
        <f>SUMIFS('март 2025'!$G$5:$G$2427,'март 2025'!$D$5:$D$2427,$B63,'март 2025'!$J$5:$J$2427,AA$1)</f>
        <v>0</v>
      </c>
      <c r="AB63" s="182">
        <f>SUMIFS('март 2025'!$G$5:$G$2427,'март 2025'!$D$5:$D$2427,$B63,'март 2025'!$J$5:$J$2427,AB$1)</f>
        <v>0</v>
      </c>
      <c r="AC63" s="182">
        <f>SUMIFS('март 2025'!$G$5:$G$2427,'март 2025'!$D$5:$D$2427,$B63,'март 2025'!$J$5:$J$2427,AC$1)</f>
        <v>0</v>
      </c>
      <c r="AD63" s="182">
        <f>SUMIFS('март 2025'!$G$5:$G$2427,'март 2025'!$D$5:$D$2427,$B63,'март 2025'!$J$5:$J$2427,AD$1)</f>
        <v>0</v>
      </c>
      <c r="AE63" s="182">
        <f>SUMIFS('март 2025'!$G$5:$G$2427,'март 2025'!$D$5:$D$2427,$B63,'март 2025'!$J$5:$J$2427,AE$1)</f>
        <v>0</v>
      </c>
      <c r="AF63" s="182">
        <f>SUMIFS('март 2025'!$G$5:$G$2427,'март 2025'!$D$5:$D$2427,$B63,'март 2025'!$J$5:$J$2427,AF$1)</f>
        <v>0</v>
      </c>
      <c r="AG63" s="182">
        <f>SUMIFS('март 2025'!$G$5:$G$2427,'март 2025'!$D$5:$D$2427,$B63,'март 2025'!$J$5:$J$2427,AG$1)</f>
        <v>0</v>
      </c>
      <c r="AH63" s="182">
        <f>SUMIFS('март 2025'!$G$5:$G$2427,'март 2025'!$D$5:$D$2427,$B63,'март 2025'!$J$5:$J$2427,AH$1)</f>
        <v>0</v>
      </c>
      <c r="AI63" s="20">
        <f t="shared" si="1"/>
        <v>0</v>
      </c>
    </row>
    <row r="64" spans="2:35" ht="15" customHeight="1" x14ac:dyDescent="0.25">
      <c r="B64" s="87" t="s">
        <v>160</v>
      </c>
      <c r="C64" s="86">
        <v>200</v>
      </c>
      <c r="D64" s="183">
        <f>SUMIFS('март 2025'!$G$5:$G$2427,'март 2025'!$D$5:$D$2427,$B64,'март 2025'!$J$5:$J$2427,D$1)</f>
        <v>0</v>
      </c>
      <c r="E64" s="183">
        <f>SUMIFS('март 2025'!$G$5:$G$2427,'март 2025'!$D$5:$D$2427,$B64,'март 2025'!$J$5:$J$2427,E$1)</f>
        <v>0</v>
      </c>
      <c r="F64" s="183">
        <f>SUMIFS('март 2025'!$G$5:$G$2427,'март 2025'!$D$5:$D$2427,$B64,'март 2025'!$J$5:$J$2427,F$1)</f>
        <v>0</v>
      </c>
      <c r="G64" s="183">
        <f>SUMIFS('март 2025'!$G$5:$G$2427,'март 2025'!$D$5:$D$2427,$B64,'март 2025'!$J$5:$J$2427,G$1)</f>
        <v>0</v>
      </c>
      <c r="H64" s="183">
        <f>SUMIFS('март 2025'!$G$5:$G$2427,'март 2025'!$D$5:$D$2427,$B64,'март 2025'!$J$5:$J$2427,H$1)</f>
        <v>0</v>
      </c>
      <c r="I64" s="183">
        <f>SUMIFS('март 2025'!$G$5:$G$2427,'март 2025'!$D$5:$D$2427,$B64,'март 2025'!$J$5:$J$2427,I$1)</f>
        <v>0</v>
      </c>
      <c r="J64" s="183">
        <f>SUMIFS('март 2025'!$G$5:$G$2427,'март 2025'!$D$5:$D$2427,$B64,'март 2025'!$J$5:$J$2427,J$1)</f>
        <v>0</v>
      </c>
      <c r="K64" s="183">
        <f>SUMIFS('март 2025'!$G$5:$G$2427,'март 2025'!$D$5:$D$2427,$B64,'март 2025'!$J$5:$J$2427,K$1)</f>
        <v>0</v>
      </c>
      <c r="L64" s="183">
        <f>SUMIFS('март 2025'!$G$5:$G$2427,'март 2025'!$D$5:$D$2427,$B64,'март 2025'!$J$5:$J$2427,L$1)</f>
        <v>0</v>
      </c>
      <c r="M64" s="183">
        <f>SUMIFS('март 2025'!$G$5:$G$2427,'март 2025'!$D$5:$D$2427,$B64,'март 2025'!$J$5:$J$2427,M$1)</f>
        <v>0</v>
      </c>
      <c r="N64" s="183">
        <f>SUMIFS('март 2025'!$G$5:$G$2427,'март 2025'!$D$5:$D$2427,$B64,'март 2025'!$J$5:$J$2427,N$1)</f>
        <v>0</v>
      </c>
      <c r="O64" s="183">
        <f>SUMIFS('март 2025'!$G$5:$G$2427,'март 2025'!$D$5:$D$2427,$B64,'март 2025'!$J$5:$J$2427,O$1)</f>
        <v>0</v>
      </c>
      <c r="P64" s="183">
        <f>SUMIFS('март 2025'!$G$5:$G$2427,'март 2025'!$D$5:$D$2427,$B64,'март 2025'!$J$5:$J$2427,P$1)</f>
        <v>0</v>
      </c>
      <c r="Q64" s="183">
        <f>SUMIFS('март 2025'!$G$5:$G$2427,'март 2025'!$D$5:$D$2427,$B64,'март 2025'!$J$5:$J$2427,Q$1)</f>
        <v>0</v>
      </c>
      <c r="R64" s="183">
        <f>SUMIFS('март 2025'!$G$5:$G$2427,'март 2025'!$D$5:$D$2427,$B64,'март 2025'!$J$5:$J$2427,R$1)</f>
        <v>0</v>
      </c>
      <c r="S64" s="183">
        <f>SUMIFS('март 2025'!$G$5:$G$2427,'март 2025'!$D$5:$D$2427,$B64,'март 2025'!$J$5:$J$2427,S$1)</f>
        <v>0</v>
      </c>
      <c r="T64" s="183">
        <f>SUMIFS('март 2025'!$G$5:$G$2427,'март 2025'!$D$5:$D$2427,$B64,'март 2025'!$J$5:$J$2427,T$1)</f>
        <v>0</v>
      </c>
      <c r="U64" s="183">
        <f>SUMIFS('март 2025'!$G$5:$G$2427,'март 2025'!$D$5:$D$2427,$B64,'март 2025'!$J$5:$J$2427,U$1)</f>
        <v>0</v>
      </c>
      <c r="V64" s="183">
        <f>SUMIFS('март 2025'!$G$5:$G$2427,'март 2025'!$D$5:$D$2427,$B64,'март 2025'!$J$5:$J$2427,V$1)</f>
        <v>0</v>
      </c>
      <c r="W64" s="183">
        <f>SUMIFS('март 2025'!$G$5:$G$2427,'март 2025'!$D$5:$D$2427,$B64,'март 2025'!$J$5:$J$2427,W$1)</f>
        <v>0</v>
      </c>
      <c r="X64" s="183">
        <f>SUMIFS('март 2025'!$G$5:$G$2427,'март 2025'!$D$5:$D$2427,$B64,'март 2025'!$J$5:$J$2427,X$1)</f>
        <v>0</v>
      </c>
      <c r="Y64" s="183">
        <f>SUMIFS('март 2025'!$G$5:$G$2427,'март 2025'!$D$5:$D$2427,$B64,'март 2025'!$J$5:$J$2427,Y$1)</f>
        <v>0</v>
      </c>
      <c r="Z64" s="183">
        <f>SUMIFS('март 2025'!$G$5:$G$2427,'март 2025'!$D$5:$D$2427,$B64,'март 2025'!$J$5:$J$2427,Z$1)</f>
        <v>0</v>
      </c>
      <c r="AA64" s="183">
        <f>SUMIFS('март 2025'!$G$5:$G$2427,'март 2025'!$D$5:$D$2427,$B64,'март 2025'!$J$5:$J$2427,AA$1)</f>
        <v>0</v>
      </c>
      <c r="AB64" s="183">
        <f>SUMIFS('март 2025'!$G$5:$G$2427,'март 2025'!$D$5:$D$2427,$B64,'март 2025'!$J$5:$J$2427,AB$1)</f>
        <v>0</v>
      </c>
      <c r="AC64" s="183">
        <f>SUMIFS('март 2025'!$G$5:$G$2427,'март 2025'!$D$5:$D$2427,$B64,'март 2025'!$J$5:$J$2427,AC$1)</f>
        <v>0</v>
      </c>
      <c r="AD64" s="183">
        <f>SUMIFS('март 2025'!$G$5:$G$2427,'март 2025'!$D$5:$D$2427,$B64,'март 2025'!$J$5:$J$2427,AD$1)</f>
        <v>0</v>
      </c>
      <c r="AE64" s="183">
        <f>SUMIFS('март 2025'!$G$5:$G$2427,'март 2025'!$D$5:$D$2427,$B64,'март 2025'!$J$5:$J$2427,AE$1)</f>
        <v>0</v>
      </c>
      <c r="AF64" s="183">
        <f>SUMIFS('март 2025'!$G$5:$G$2427,'март 2025'!$D$5:$D$2427,$B64,'март 2025'!$J$5:$J$2427,AF$1)</f>
        <v>0</v>
      </c>
      <c r="AG64" s="183">
        <f>SUMIFS('март 2025'!$G$5:$G$2427,'март 2025'!$D$5:$D$2427,$B64,'март 2025'!$J$5:$J$2427,AG$1)</f>
        <v>0</v>
      </c>
      <c r="AH64" s="183">
        <f>SUMIFS('март 2025'!$G$5:$G$2427,'март 2025'!$D$5:$D$2427,$B64,'март 2025'!$J$5:$J$2427,AH$1)</f>
        <v>0</v>
      </c>
      <c r="AI64" s="20">
        <f t="shared" si="1"/>
        <v>0</v>
      </c>
    </row>
    <row r="65" spans="2:35" ht="15" customHeight="1" x14ac:dyDescent="0.25">
      <c r="B65" s="87" t="s">
        <v>308</v>
      </c>
      <c r="C65" s="86">
        <v>50</v>
      </c>
      <c r="D65" s="183">
        <f>SUMIFS('март 2025'!$G$5:$G$2427,'март 2025'!$D$5:$D$2427,$B65,'март 2025'!$J$5:$J$2427,D$1)</f>
        <v>0</v>
      </c>
      <c r="E65" s="183">
        <f>SUMIFS('март 2025'!$G$5:$G$2427,'март 2025'!$D$5:$D$2427,$B65,'март 2025'!$J$5:$J$2427,E$1)</f>
        <v>0</v>
      </c>
      <c r="F65" s="183">
        <f>SUMIFS('март 2025'!$G$5:$G$2427,'март 2025'!$D$5:$D$2427,$B65,'март 2025'!$J$5:$J$2427,F$1)</f>
        <v>0</v>
      </c>
      <c r="G65" s="183">
        <f>SUMIFS('март 2025'!$G$5:$G$2427,'март 2025'!$D$5:$D$2427,$B65,'март 2025'!$J$5:$J$2427,G$1)</f>
        <v>0</v>
      </c>
      <c r="H65" s="183">
        <f>SUMIFS('март 2025'!$G$5:$G$2427,'март 2025'!$D$5:$D$2427,$B65,'март 2025'!$J$5:$J$2427,H$1)</f>
        <v>0</v>
      </c>
      <c r="I65" s="183">
        <f>SUMIFS('март 2025'!$G$5:$G$2427,'март 2025'!$D$5:$D$2427,$B65,'март 2025'!$J$5:$J$2427,I$1)</f>
        <v>0</v>
      </c>
      <c r="J65" s="183">
        <f>SUMIFS('март 2025'!$G$5:$G$2427,'март 2025'!$D$5:$D$2427,$B65,'март 2025'!$J$5:$J$2427,J$1)</f>
        <v>0</v>
      </c>
      <c r="K65" s="183">
        <f>SUMIFS('март 2025'!$G$5:$G$2427,'март 2025'!$D$5:$D$2427,$B65,'март 2025'!$J$5:$J$2427,K$1)</f>
        <v>0</v>
      </c>
      <c r="L65" s="183">
        <f>SUMIFS('март 2025'!$G$5:$G$2427,'март 2025'!$D$5:$D$2427,$B65,'март 2025'!$J$5:$J$2427,L$1)</f>
        <v>0</v>
      </c>
      <c r="M65" s="183">
        <f>SUMIFS('март 2025'!$G$5:$G$2427,'март 2025'!$D$5:$D$2427,$B65,'март 2025'!$J$5:$J$2427,M$1)</f>
        <v>0</v>
      </c>
      <c r="N65" s="183">
        <f>SUMIFS('март 2025'!$G$5:$G$2427,'март 2025'!$D$5:$D$2427,$B65,'март 2025'!$J$5:$J$2427,N$1)</f>
        <v>0</v>
      </c>
      <c r="O65" s="183">
        <f>SUMIFS('март 2025'!$G$5:$G$2427,'март 2025'!$D$5:$D$2427,$B65,'март 2025'!$J$5:$J$2427,O$1)</f>
        <v>0</v>
      </c>
      <c r="P65" s="183">
        <f>SUMIFS('март 2025'!$G$5:$G$2427,'март 2025'!$D$5:$D$2427,$B65,'март 2025'!$J$5:$J$2427,P$1)</f>
        <v>0</v>
      </c>
      <c r="Q65" s="183">
        <f>SUMIFS('март 2025'!$G$5:$G$2427,'март 2025'!$D$5:$D$2427,$B65,'март 2025'!$J$5:$J$2427,Q$1)</f>
        <v>0</v>
      </c>
      <c r="R65" s="183">
        <f>SUMIFS('март 2025'!$G$5:$G$2427,'март 2025'!$D$5:$D$2427,$B65,'март 2025'!$J$5:$J$2427,R$1)</f>
        <v>0</v>
      </c>
      <c r="S65" s="183">
        <f>SUMIFS('март 2025'!$G$5:$G$2427,'март 2025'!$D$5:$D$2427,$B65,'март 2025'!$J$5:$J$2427,S$1)</f>
        <v>0</v>
      </c>
      <c r="T65" s="183">
        <f>SUMIFS('март 2025'!$G$5:$G$2427,'март 2025'!$D$5:$D$2427,$B65,'март 2025'!$J$5:$J$2427,T$1)</f>
        <v>0</v>
      </c>
      <c r="U65" s="183">
        <f>SUMIFS('март 2025'!$G$5:$G$2427,'март 2025'!$D$5:$D$2427,$B65,'март 2025'!$J$5:$J$2427,U$1)</f>
        <v>0</v>
      </c>
      <c r="V65" s="183">
        <f>SUMIFS('март 2025'!$G$5:$G$2427,'март 2025'!$D$5:$D$2427,$B65,'март 2025'!$J$5:$J$2427,V$1)</f>
        <v>0</v>
      </c>
      <c r="W65" s="183">
        <f>SUMIFS('март 2025'!$G$5:$G$2427,'март 2025'!$D$5:$D$2427,$B65,'март 2025'!$J$5:$J$2427,W$1)</f>
        <v>0</v>
      </c>
      <c r="X65" s="183">
        <f>SUMIFS('март 2025'!$G$5:$G$2427,'март 2025'!$D$5:$D$2427,$B65,'март 2025'!$J$5:$J$2427,X$1)</f>
        <v>0</v>
      </c>
      <c r="Y65" s="183">
        <f>SUMIFS('март 2025'!$G$5:$G$2427,'март 2025'!$D$5:$D$2427,$B65,'март 2025'!$J$5:$J$2427,Y$1)</f>
        <v>0</v>
      </c>
      <c r="Z65" s="183">
        <f>SUMIFS('март 2025'!$G$5:$G$2427,'март 2025'!$D$5:$D$2427,$B65,'март 2025'!$J$5:$J$2427,Z$1)</f>
        <v>0</v>
      </c>
      <c r="AA65" s="183">
        <f>SUMIFS('март 2025'!$G$5:$G$2427,'март 2025'!$D$5:$D$2427,$B65,'март 2025'!$J$5:$J$2427,AA$1)</f>
        <v>0</v>
      </c>
      <c r="AB65" s="183">
        <f>SUMIFS('март 2025'!$G$5:$G$2427,'март 2025'!$D$5:$D$2427,$B65,'март 2025'!$J$5:$J$2427,AB$1)</f>
        <v>0</v>
      </c>
      <c r="AC65" s="183">
        <f>SUMIFS('март 2025'!$G$5:$G$2427,'март 2025'!$D$5:$D$2427,$B65,'март 2025'!$J$5:$J$2427,AC$1)</f>
        <v>0</v>
      </c>
      <c r="AD65" s="183">
        <f>SUMIFS('март 2025'!$G$5:$G$2427,'март 2025'!$D$5:$D$2427,$B65,'март 2025'!$J$5:$J$2427,AD$1)</f>
        <v>0</v>
      </c>
      <c r="AE65" s="183">
        <f>SUMIFS('март 2025'!$G$5:$G$2427,'март 2025'!$D$5:$D$2427,$B65,'март 2025'!$J$5:$J$2427,AE$1)</f>
        <v>0</v>
      </c>
      <c r="AF65" s="183">
        <f>SUMIFS('март 2025'!$G$5:$G$2427,'март 2025'!$D$5:$D$2427,$B65,'март 2025'!$J$5:$J$2427,AF$1)</f>
        <v>0</v>
      </c>
      <c r="AG65" s="183">
        <f>SUMIFS('март 2025'!$G$5:$G$2427,'март 2025'!$D$5:$D$2427,$B65,'март 2025'!$J$5:$J$2427,AG$1)</f>
        <v>0</v>
      </c>
      <c r="AH65" s="183">
        <f>SUMIFS('март 2025'!$G$5:$G$2427,'март 2025'!$D$5:$D$2427,$B65,'март 2025'!$J$5:$J$2427,AH$1)</f>
        <v>0</v>
      </c>
      <c r="AI65" s="20">
        <f t="shared" si="1"/>
        <v>0</v>
      </c>
    </row>
    <row r="66" spans="2:35" ht="15" customHeight="1" x14ac:dyDescent="0.25">
      <c r="B66" s="88" t="s">
        <v>198</v>
      </c>
      <c r="C66" s="86">
        <v>200</v>
      </c>
      <c r="D66" s="183">
        <f>SUMIFS('март 2025'!$G$5:$G$2427,'март 2025'!$D$5:$D$2427,$B66,'март 2025'!$J$5:$J$2427,D$1)</f>
        <v>0</v>
      </c>
      <c r="E66" s="183">
        <f>SUMIFS('март 2025'!$G$5:$G$2427,'март 2025'!$D$5:$D$2427,$B66,'март 2025'!$J$5:$J$2427,E$1)</f>
        <v>0</v>
      </c>
      <c r="F66" s="183">
        <f>SUMIFS('март 2025'!$G$5:$G$2427,'март 2025'!$D$5:$D$2427,$B66,'март 2025'!$J$5:$J$2427,F$1)</f>
        <v>0</v>
      </c>
      <c r="G66" s="183">
        <f>SUMIFS('март 2025'!$G$5:$G$2427,'март 2025'!$D$5:$D$2427,$B66,'март 2025'!$J$5:$J$2427,G$1)</f>
        <v>0</v>
      </c>
      <c r="H66" s="183">
        <f>SUMIFS('март 2025'!$G$5:$G$2427,'март 2025'!$D$5:$D$2427,$B66,'март 2025'!$J$5:$J$2427,H$1)</f>
        <v>0</v>
      </c>
      <c r="I66" s="183">
        <f>SUMIFS('март 2025'!$G$5:$G$2427,'март 2025'!$D$5:$D$2427,$B66,'март 2025'!$J$5:$J$2427,I$1)</f>
        <v>0</v>
      </c>
      <c r="J66" s="183">
        <f>SUMIFS('март 2025'!$G$5:$G$2427,'март 2025'!$D$5:$D$2427,$B66,'март 2025'!$J$5:$J$2427,J$1)</f>
        <v>0</v>
      </c>
      <c r="K66" s="183">
        <f>SUMIFS('март 2025'!$G$5:$G$2427,'март 2025'!$D$5:$D$2427,$B66,'март 2025'!$J$5:$J$2427,K$1)</f>
        <v>0</v>
      </c>
      <c r="L66" s="183">
        <f>SUMIFS('март 2025'!$G$5:$G$2427,'март 2025'!$D$5:$D$2427,$B66,'март 2025'!$J$5:$J$2427,L$1)</f>
        <v>0</v>
      </c>
      <c r="M66" s="183">
        <f>SUMIFS('март 2025'!$G$5:$G$2427,'март 2025'!$D$5:$D$2427,$B66,'март 2025'!$J$5:$J$2427,M$1)</f>
        <v>0</v>
      </c>
      <c r="N66" s="183">
        <f>SUMIFS('март 2025'!$G$5:$G$2427,'март 2025'!$D$5:$D$2427,$B66,'март 2025'!$J$5:$J$2427,N$1)</f>
        <v>0</v>
      </c>
      <c r="O66" s="183">
        <f>SUMIFS('март 2025'!$G$5:$G$2427,'март 2025'!$D$5:$D$2427,$B66,'март 2025'!$J$5:$J$2427,O$1)</f>
        <v>0</v>
      </c>
      <c r="P66" s="183">
        <f>SUMIFS('март 2025'!$G$5:$G$2427,'март 2025'!$D$5:$D$2427,$B66,'март 2025'!$J$5:$J$2427,P$1)</f>
        <v>0</v>
      </c>
      <c r="Q66" s="183">
        <f>SUMIFS('март 2025'!$G$5:$G$2427,'март 2025'!$D$5:$D$2427,$B66,'март 2025'!$J$5:$J$2427,Q$1)</f>
        <v>0</v>
      </c>
      <c r="R66" s="183">
        <f>SUMIFS('март 2025'!$G$5:$G$2427,'март 2025'!$D$5:$D$2427,$B66,'март 2025'!$J$5:$J$2427,R$1)</f>
        <v>0</v>
      </c>
      <c r="S66" s="183">
        <f>SUMIFS('март 2025'!$G$5:$G$2427,'март 2025'!$D$5:$D$2427,$B66,'март 2025'!$J$5:$J$2427,S$1)</f>
        <v>0</v>
      </c>
      <c r="T66" s="183">
        <f>SUMIFS('март 2025'!$G$5:$G$2427,'март 2025'!$D$5:$D$2427,$B66,'март 2025'!$J$5:$J$2427,T$1)</f>
        <v>0</v>
      </c>
      <c r="U66" s="183">
        <f>SUMIFS('март 2025'!$G$5:$G$2427,'март 2025'!$D$5:$D$2427,$B66,'март 2025'!$J$5:$J$2427,U$1)</f>
        <v>0</v>
      </c>
      <c r="V66" s="183">
        <f>SUMIFS('март 2025'!$G$5:$G$2427,'март 2025'!$D$5:$D$2427,$B66,'март 2025'!$J$5:$J$2427,V$1)</f>
        <v>0</v>
      </c>
      <c r="W66" s="183">
        <f>SUMIFS('март 2025'!$G$5:$G$2427,'март 2025'!$D$5:$D$2427,$B66,'март 2025'!$J$5:$J$2427,W$1)</f>
        <v>0</v>
      </c>
      <c r="X66" s="183">
        <f>SUMIFS('март 2025'!$G$5:$G$2427,'март 2025'!$D$5:$D$2427,$B66,'март 2025'!$J$5:$J$2427,X$1)</f>
        <v>0</v>
      </c>
      <c r="Y66" s="183">
        <f>SUMIFS('март 2025'!$G$5:$G$2427,'март 2025'!$D$5:$D$2427,$B66,'март 2025'!$J$5:$J$2427,Y$1)</f>
        <v>0</v>
      </c>
      <c r="Z66" s="183">
        <f>SUMIFS('март 2025'!$G$5:$G$2427,'март 2025'!$D$5:$D$2427,$B66,'март 2025'!$J$5:$J$2427,Z$1)</f>
        <v>0</v>
      </c>
      <c r="AA66" s="183">
        <f>SUMIFS('март 2025'!$G$5:$G$2427,'март 2025'!$D$5:$D$2427,$B66,'март 2025'!$J$5:$J$2427,AA$1)</f>
        <v>0</v>
      </c>
      <c r="AB66" s="183">
        <f>SUMIFS('март 2025'!$G$5:$G$2427,'март 2025'!$D$5:$D$2427,$B66,'март 2025'!$J$5:$J$2427,AB$1)</f>
        <v>0</v>
      </c>
      <c r="AC66" s="183">
        <f>SUMIFS('март 2025'!$G$5:$G$2427,'март 2025'!$D$5:$D$2427,$B66,'март 2025'!$J$5:$J$2427,AC$1)</f>
        <v>0</v>
      </c>
      <c r="AD66" s="183">
        <f>SUMIFS('март 2025'!$G$5:$G$2427,'март 2025'!$D$5:$D$2427,$B66,'март 2025'!$J$5:$J$2427,AD$1)</f>
        <v>0</v>
      </c>
      <c r="AE66" s="183">
        <f>SUMIFS('март 2025'!$G$5:$G$2427,'март 2025'!$D$5:$D$2427,$B66,'март 2025'!$J$5:$J$2427,AE$1)</f>
        <v>0</v>
      </c>
      <c r="AF66" s="183">
        <f>SUMIFS('март 2025'!$G$5:$G$2427,'март 2025'!$D$5:$D$2427,$B66,'март 2025'!$J$5:$J$2427,AF$1)</f>
        <v>0</v>
      </c>
      <c r="AG66" s="183">
        <f>SUMIFS('март 2025'!$G$5:$G$2427,'март 2025'!$D$5:$D$2427,$B66,'март 2025'!$J$5:$J$2427,AG$1)</f>
        <v>0</v>
      </c>
      <c r="AH66" s="183">
        <f>SUMIFS('март 2025'!$G$5:$G$2427,'март 2025'!$D$5:$D$2427,$B66,'март 2025'!$J$5:$J$2427,AH$1)</f>
        <v>0</v>
      </c>
      <c r="AI66" s="20">
        <f t="shared" si="1"/>
        <v>0</v>
      </c>
    </row>
    <row r="67" spans="2:35" ht="15" customHeight="1" x14ac:dyDescent="0.25">
      <c r="B67" s="88" t="s">
        <v>207</v>
      </c>
      <c r="C67" s="86">
        <v>25</v>
      </c>
      <c r="D67" s="183">
        <f>SUMIFS('март 2025'!$G$5:$G$2427,'март 2025'!$D$5:$D$2427,$B67,'март 2025'!$J$5:$J$2427,D$1)</f>
        <v>0</v>
      </c>
      <c r="E67" s="183">
        <f>SUMIFS('март 2025'!$G$5:$G$2427,'март 2025'!$D$5:$D$2427,$B67,'март 2025'!$J$5:$J$2427,E$1)</f>
        <v>0</v>
      </c>
      <c r="F67" s="183">
        <f>SUMIFS('март 2025'!$G$5:$G$2427,'март 2025'!$D$5:$D$2427,$B67,'март 2025'!$J$5:$J$2427,F$1)</f>
        <v>0</v>
      </c>
      <c r="G67" s="183">
        <f>SUMIFS('март 2025'!$G$5:$G$2427,'март 2025'!$D$5:$D$2427,$B67,'март 2025'!$J$5:$J$2427,G$1)</f>
        <v>0</v>
      </c>
      <c r="H67" s="183">
        <f>SUMIFS('март 2025'!$G$5:$G$2427,'март 2025'!$D$5:$D$2427,$B67,'март 2025'!$J$5:$J$2427,H$1)</f>
        <v>0</v>
      </c>
      <c r="I67" s="183">
        <f>SUMIFS('март 2025'!$G$5:$G$2427,'март 2025'!$D$5:$D$2427,$B67,'март 2025'!$J$5:$J$2427,I$1)</f>
        <v>0</v>
      </c>
      <c r="J67" s="183">
        <f>SUMIFS('март 2025'!$G$5:$G$2427,'март 2025'!$D$5:$D$2427,$B67,'март 2025'!$J$5:$J$2427,J$1)</f>
        <v>0</v>
      </c>
      <c r="K67" s="183">
        <f>SUMIFS('март 2025'!$G$5:$G$2427,'март 2025'!$D$5:$D$2427,$B67,'март 2025'!$J$5:$J$2427,K$1)</f>
        <v>0</v>
      </c>
      <c r="L67" s="183">
        <f>SUMIFS('март 2025'!$G$5:$G$2427,'март 2025'!$D$5:$D$2427,$B67,'март 2025'!$J$5:$J$2427,L$1)</f>
        <v>0</v>
      </c>
      <c r="M67" s="183">
        <f>SUMIFS('март 2025'!$G$5:$G$2427,'март 2025'!$D$5:$D$2427,$B67,'март 2025'!$J$5:$J$2427,M$1)</f>
        <v>0</v>
      </c>
      <c r="N67" s="183">
        <f>SUMIFS('март 2025'!$G$5:$G$2427,'март 2025'!$D$5:$D$2427,$B67,'март 2025'!$J$5:$J$2427,N$1)</f>
        <v>0</v>
      </c>
      <c r="O67" s="183">
        <f>SUMIFS('март 2025'!$G$5:$G$2427,'март 2025'!$D$5:$D$2427,$B67,'март 2025'!$J$5:$J$2427,O$1)</f>
        <v>0</v>
      </c>
      <c r="P67" s="183">
        <f>SUMIFS('март 2025'!$G$5:$G$2427,'март 2025'!$D$5:$D$2427,$B67,'март 2025'!$J$5:$J$2427,P$1)</f>
        <v>0</v>
      </c>
      <c r="Q67" s="183">
        <f>SUMIFS('март 2025'!$G$5:$G$2427,'март 2025'!$D$5:$D$2427,$B67,'март 2025'!$J$5:$J$2427,Q$1)</f>
        <v>0</v>
      </c>
      <c r="R67" s="183">
        <f>SUMIFS('март 2025'!$G$5:$G$2427,'март 2025'!$D$5:$D$2427,$B67,'март 2025'!$J$5:$J$2427,R$1)</f>
        <v>0</v>
      </c>
      <c r="S67" s="183">
        <f>SUMIFS('март 2025'!$G$5:$G$2427,'март 2025'!$D$5:$D$2427,$B67,'март 2025'!$J$5:$J$2427,S$1)</f>
        <v>0</v>
      </c>
      <c r="T67" s="183">
        <f>SUMIFS('март 2025'!$G$5:$G$2427,'март 2025'!$D$5:$D$2427,$B67,'март 2025'!$J$5:$J$2427,T$1)</f>
        <v>0</v>
      </c>
      <c r="U67" s="183">
        <f>SUMIFS('март 2025'!$G$5:$G$2427,'март 2025'!$D$5:$D$2427,$B67,'март 2025'!$J$5:$J$2427,U$1)</f>
        <v>0</v>
      </c>
      <c r="V67" s="183">
        <f>SUMIFS('март 2025'!$G$5:$G$2427,'март 2025'!$D$5:$D$2427,$B67,'март 2025'!$J$5:$J$2427,V$1)</f>
        <v>0</v>
      </c>
      <c r="W67" s="183">
        <f>SUMIFS('март 2025'!$G$5:$G$2427,'март 2025'!$D$5:$D$2427,$B67,'март 2025'!$J$5:$J$2427,W$1)</f>
        <v>0</v>
      </c>
      <c r="X67" s="183">
        <f>SUMIFS('март 2025'!$G$5:$G$2427,'март 2025'!$D$5:$D$2427,$B67,'март 2025'!$J$5:$J$2427,X$1)</f>
        <v>0</v>
      </c>
      <c r="Y67" s="183">
        <f>SUMIFS('март 2025'!$G$5:$G$2427,'март 2025'!$D$5:$D$2427,$B67,'март 2025'!$J$5:$J$2427,Y$1)</f>
        <v>0</v>
      </c>
      <c r="Z67" s="183">
        <f>SUMIFS('март 2025'!$G$5:$G$2427,'март 2025'!$D$5:$D$2427,$B67,'март 2025'!$J$5:$J$2427,Z$1)</f>
        <v>0</v>
      </c>
      <c r="AA67" s="183">
        <f>SUMIFS('март 2025'!$G$5:$G$2427,'март 2025'!$D$5:$D$2427,$B67,'март 2025'!$J$5:$J$2427,AA$1)</f>
        <v>0</v>
      </c>
      <c r="AB67" s="183">
        <f>SUMIFS('март 2025'!$G$5:$G$2427,'март 2025'!$D$5:$D$2427,$B67,'март 2025'!$J$5:$J$2427,AB$1)</f>
        <v>0</v>
      </c>
      <c r="AC67" s="183">
        <f>SUMIFS('март 2025'!$G$5:$G$2427,'март 2025'!$D$5:$D$2427,$B67,'март 2025'!$J$5:$J$2427,AC$1)</f>
        <v>0</v>
      </c>
      <c r="AD67" s="183">
        <f>SUMIFS('март 2025'!$G$5:$G$2427,'март 2025'!$D$5:$D$2427,$B67,'март 2025'!$J$5:$J$2427,AD$1)</f>
        <v>0</v>
      </c>
      <c r="AE67" s="183">
        <f>SUMIFS('март 2025'!$G$5:$G$2427,'март 2025'!$D$5:$D$2427,$B67,'март 2025'!$J$5:$J$2427,AE$1)</f>
        <v>0</v>
      </c>
      <c r="AF67" s="183">
        <f>SUMIFS('март 2025'!$G$5:$G$2427,'март 2025'!$D$5:$D$2427,$B67,'март 2025'!$J$5:$J$2427,AF$1)</f>
        <v>0</v>
      </c>
      <c r="AG67" s="183">
        <f>SUMIFS('март 2025'!$G$5:$G$2427,'март 2025'!$D$5:$D$2427,$B67,'март 2025'!$J$5:$J$2427,AG$1)</f>
        <v>0</v>
      </c>
      <c r="AH67" s="183">
        <f>SUMIFS('март 2025'!$G$5:$G$2427,'март 2025'!$D$5:$D$2427,$B67,'март 2025'!$J$5:$J$2427,AH$1)</f>
        <v>0</v>
      </c>
      <c r="AI67" s="20">
        <f t="shared" si="1"/>
        <v>0</v>
      </c>
    </row>
    <row r="68" spans="2:35" ht="15" customHeight="1" x14ac:dyDescent="0.25">
      <c r="B68" s="88" t="s">
        <v>179</v>
      </c>
      <c r="C68" s="86">
        <v>50</v>
      </c>
      <c r="D68" s="183">
        <f>SUMIFS('март 2025'!$G$5:$G$2427,'март 2025'!$D$5:$D$2427,$B68,'март 2025'!$J$5:$J$2427,D$1)</f>
        <v>0</v>
      </c>
      <c r="E68" s="183">
        <f>SUMIFS('март 2025'!$G$5:$G$2427,'март 2025'!$D$5:$D$2427,$B68,'март 2025'!$J$5:$J$2427,E$1)</f>
        <v>0</v>
      </c>
      <c r="F68" s="183">
        <f>SUMIFS('март 2025'!$G$5:$G$2427,'март 2025'!$D$5:$D$2427,$B68,'март 2025'!$J$5:$J$2427,F$1)</f>
        <v>0</v>
      </c>
      <c r="G68" s="183">
        <f>SUMIFS('март 2025'!$G$5:$G$2427,'март 2025'!$D$5:$D$2427,$B68,'март 2025'!$J$5:$J$2427,G$1)</f>
        <v>0</v>
      </c>
      <c r="H68" s="183">
        <f>SUMIFS('март 2025'!$G$5:$G$2427,'март 2025'!$D$5:$D$2427,$B68,'март 2025'!$J$5:$J$2427,H$1)</f>
        <v>0</v>
      </c>
      <c r="I68" s="183">
        <f>SUMIFS('март 2025'!$G$5:$G$2427,'март 2025'!$D$5:$D$2427,$B68,'март 2025'!$J$5:$J$2427,I$1)</f>
        <v>0</v>
      </c>
      <c r="J68" s="183">
        <f>SUMIFS('март 2025'!$G$5:$G$2427,'март 2025'!$D$5:$D$2427,$B68,'март 2025'!$J$5:$J$2427,J$1)</f>
        <v>0</v>
      </c>
      <c r="K68" s="183">
        <f>SUMIFS('март 2025'!$G$5:$G$2427,'март 2025'!$D$5:$D$2427,$B68,'март 2025'!$J$5:$J$2427,K$1)</f>
        <v>0</v>
      </c>
      <c r="L68" s="183">
        <f>SUMIFS('март 2025'!$G$5:$G$2427,'март 2025'!$D$5:$D$2427,$B68,'март 2025'!$J$5:$J$2427,L$1)</f>
        <v>0</v>
      </c>
      <c r="M68" s="183">
        <f>SUMIFS('март 2025'!$G$5:$G$2427,'март 2025'!$D$5:$D$2427,$B68,'март 2025'!$J$5:$J$2427,M$1)</f>
        <v>0</v>
      </c>
      <c r="N68" s="183">
        <f>SUMIFS('март 2025'!$G$5:$G$2427,'март 2025'!$D$5:$D$2427,$B68,'март 2025'!$J$5:$J$2427,N$1)</f>
        <v>0</v>
      </c>
      <c r="O68" s="183">
        <f>SUMIFS('март 2025'!$G$5:$G$2427,'март 2025'!$D$5:$D$2427,$B68,'март 2025'!$J$5:$J$2427,O$1)</f>
        <v>0</v>
      </c>
      <c r="P68" s="183">
        <f>SUMIFS('март 2025'!$G$5:$G$2427,'март 2025'!$D$5:$D$2427,$B68,'март 2025'!$J$5:$J$2427,P$1)</f>
        <v>0</v>
      </c>
      <c r="Q68" s="183">
        <f>SUMIFS('март 2025'!$G$5:$G$2427,'март 2025'!$D$5:$D$2427,$B68,'март 2025'!$J$5:$J$2427,Q$1)</f>
        <v>0</v>
      </c>
      <c r="R68" s="183">
        <f>SUMIFS('март 2025'!$G$5:$G$2427,'март 2025'!$D$5:$D$2427,$B68,'март 2025'!$J$5:$J$2427,R$1)</f>
        <v>0</v>
      </c>
      <c r="S68" s="183">
        <f>SUMIFS('март 2025'!$G$5:$G$2427,'март 2025'!$D$5:$D$2427,$B68,'март 2025'!$J$5:$J$2427,S$1)</f>
        <v>0</v>
      </c>
      <c r="T68" s="183">
        <f>SUMIFS('март 2025'!$G$5:$G$2427,'март 2025'!$D$5:$D$2427,$B68,'март 2025'!$J$5:$J$2427,T$1)</f>
        <v>0</v>
      </c>
      <c r="U68" s="183">
        <f>SUMIFS('март 2025'!$G$5:$G$2427,'март 2025'!$D$5:$D$2427,$B68,'март 2025'!$J$5:$J$2427,U$1)</f>
        <v>0</v>
      </c>
      <c r="V68" s="183">
        <f>SUMIFS('март 2025'!$G$5:$G$2427,'март 2025'!$D$5:$D$2427,$B68,'март 2025'!$J$5:$J$2427,V$1)</f>
        <v>0</v>
      </c>
      <c r="W68" s="183">
        <f>SUMIFS('март 2025'!$G$5:$G$2427,'март 2025'!$D$5:$D$2427,$B68,'март 2025'!$J$5:$J$2427,W$1)</f>
        <v>0</v>
      </c>
      <c r="X68" s="183">
        <f>SUMIFS('март 2025'!$G$5:$G$2427,'март 2025'!$D$5:$D$2427,$B68,'март 2025'!$J$5:$J$2427,X$1)</f>
        <v>0</v>
      </c>
      <c r="Y68" s="183">
        <f>SUMIFS('март 2025'!$G$5:$G$2427,'март 2025'!$D$5:$D$2427,$B68,'март 2025'!$J$5:$J$2427,Y$1)</f>
        <v>0</v>
      </c>
      <c r="Z68" s="183">
        <f>SUMIFS('март 2025'!$G$5:$G$2427,'март 2025'!$D$5:$D$2427,$B68,'март 2025'!$J$5:$J$2427,Z$1)</f>
        <v>0</v>
      </c>
      <c r="AA68" s="183">
        <f>SUMIFS('март 2025'!$G$5:$G$2427,'март 2025'!$D$5:$D$2427,$B68,'март 2025'!$J$5:$J$2427,AA$1)</f>
        <v>0</v>
      </c>
      <c r="AB68" s="183">
        <f>SUMIFS('март 2025'!$G$5:$G$2427,'март 2025'!$D$5:$D$2427,$B68,'март 2025'!$J$5:$J$2427,AB$1)</f>
        <v>0</v>
      </c>
      <c r="AC68" s="183">
        <f>SUMIFS('март 2025'!$G$5:$G$2427,'март 2025'!$D$5:$D$2427,$B68,'март 2025'!$J$5:$J$2427,AC$1)</f>
        <v>0</v>
      </c>
      <c r="AD68" s="183">
        <f>SUMIFS('март 2025'!$G$5:$G$2427,'март 2025'!$D$5:$D$2427,$B68,'март 2025'!$J$5:$J$2427,AD$1)</f>
        <v>0</v>
      </c>
      <c r="AE68" s="183">
        <f>SUMIFS('март 2025'!$G$5:$G$2427,'март 2025'!$D$5:$D$2427,$B68,'март 2025'!$J$5:$J$2427,AE$1)</f>
        <v>0</v>
      </c>
      <c r="AF68" s="183">
        <f>SUMIFS('март 2025'!$G$5:$G$2427,'март 2025'!$D$5:$D$2427,$B68,'март 2025'!$J$5:$J$2427,AF$1)</f>
        <v>0</v>
      </c>
      <c r="AG68" s="183">
        <f>SUMIFS('март 2025'!$G$5:$G$2427,'март 2025'!$D$5:$D$2427,$B68,'март 2025'!$J$5:$J$2427,AG$1)</f>
        <v>0</v>
      </c>
      <c r="AH68" s="183">
        <f>SUMIFS('март 2025'!$G$5:$G$2427,'март 2025'!$D$5:$D$2427,$B68,'март 2025'!$J$5:$J$2427,AH$1)</f>
        <v>0</v>
      </c>
      <c r="AI68" s="20">
        <f t="shared" si="1"/>
        <v>0</v>
      </c>
    </row>
    <row r="69" spans="2:35" ht="15.75" x14ac:dyDescent="0.25">
      <c r="B69" s="84" t="s">
        <v>158</v>
      </c>
      <c r="C69" s="83">
        <v>200</v>
      </c>
      <c r="D69" s="183">
        <f>SUMIFS('март 2025'!$G$5:$G$2427,'март 2025'!$D$5:$D$2427,$B69,'март 2025'!$J$5:$J$2427,D$1)</f>
        <v>0</v>
      </c>
      <c r="E69" s="183">
        <f>SUMIFS('март 2025'!$G$5:$G$2427,'март 2025'!$D$5:$D$2427,$B69,'март 2025'!$J$5:$J$2427,E$1)</f>
        <v>0</v>
      </c>
      <c r="F69" s="183">
        <f>SUMIFS('март 2025'!$G$5:$G$2427,'март 2025'!$D$5:$D$2427,$B69,'март 2025'!$J$5:$J$2427,F$1)</f>
        <v>0</v>
      </c>
      <c r="G69" s="183">
        <f>SUMIFS('март 2025'!$G$5:$G$2427,'март 2025'!$D$5:$D$2427,$B69,'март 2025'!$J$5:$J$2427,G$1)</f>
        <v>0</v>
      </c>
      <c r="H69" s="183">
        <f>SUMIFS('март 2025'!$G$5:$G$2427,'март 2025'!$D$5:$D$2427,$B69,'март 2025'!$J$5:$J$2427,H$1)</f>
        <v>0</v>
      </c>
      <c r="I69" s="183">
        <f>SUMIFS('март 2025'!$G$5:$G$2427,'март 2025'!$D$5:$D$2427,$B69,'март 2025'!$J$5:$J$2427,I$1)</f>
        <v>0</v>
      </c>
      <c r="J69" s="183">
        <f>SUMIFS('март 2025'!$G$5:$G$2427,'март 2025'!$D$5:$D$2427,$B69,'март 2025'!$J$5:$J$2427,J$1)</f>
        <v>0</v>
      </c>
      <c r="K69" s="183">
        <f>SUMIFS('март 2025'!$G$5:$G$2427,'март 2025'!$D$5:$D$2427,$B69,'март 2025'!$J$5:$J$2427,K$1)</f>
        <v>0</v>
      </c>
      <c r="L69" s="183">
        <f>SUMIFS('март 2025'!$G$5:$G$2427,'март 2025'!$D$5:$D$2427,$B69,'март 2025'!$J$5:$J$2427,L$1)</f>
        <v>0</v>
      </c>
      <c r="M69" s="183">
        <f>SUMIFS('март 2025'!$G$5:$G$2427,'март 2025'!$D$5:$D$2427,$B69,'март 2025'!$J$5:$J$2427,M$1)</f>
        <v>0</v>
      </c>
      <c r="N69" s="183">
        <f>SUMIFS('март 2025'!$G$5:$G$2427,'март 2025'!$D$5:$D$2427,$B69,'март 2025'!$J$5:$J$2427,N$1)</f>
        <v>0</v>
      </c>
      <c r="O69" s="183">
        <f>SUMIFS('март 2025'!$G$5:$G$2427,'март 2025'!$D$5:$D$2427,$B69,'март 2025'!$J$5:$J$2427,O$1)</f>
        <v>0</v>
      </c>
      <c r="P69" s="183">
        <f>SUMIFS('март 2025'!$G$5:$G$2427,'март 2025'!$D$5:$D$2427,$B69,'март 2025'!$J$5:$J$2427,P$1)</f>
        <v>0</v>
      </c>
      <c r="Q69" s="183">
        <f>SUMIFS('март 2025'!$G$5:$G$2427,'март 2025'!$D$5:$D$2427,$B69,'март 2025'!$J$5:$J$2427,Q$1)</f>
        <v>0</v>
      </c>
      <c r="R69" s="183">
        <f>SUMIFS('март 2025'!$G$5:$G$2427,'март 2025'!$D$5:$D$2427,$B69,'март 2025'!$J$5:$J$2427,R$1)</f>
        <v>0</v>
      </c>
      <c r="S69" s="183">
        <f>SUMIFS('март 2025'!$G$5:$G$2427,'март 2025'!$D$5:$D$2427,$B69,'март 2025'!$J$5:$J$2427,S$1)</f>
        <v>0</v>
      </c>
      <c r="T69" s="183">
        <f>SUMIFS('март 2025'!$G$5:$G$2427,'март 2025'!$D$5:$D$2427,$B69,'март 2025'!$J$5:$J$2427,T$1)</f>
        <v>0</v>
      </c>
      <c r="U69" s="183">
        <f>SUMIFS('март 2025'!$G$5:$G$2427,'март 2025'!$D$5:$D$2427,$B69,'март 2025'!$J$5:$J$2427,U$1)</f>
        <v>0</v>
      </c>
      <c r="V69" s="183">
        <f>SUMIFS('март 2025'!$G$5:$G$2427,'март 2025'!$D$5:$D$2427,$B69,'март 2025'!$J$5:$J$2427,V$1)</f>
        <v>0</v>
      </c>
      <c r="W69" s="183">
        <f>SUMIFS('март 2025'!$G$5:$G$2427,'март 2025'!$D$5:$D$2427,$B69,'март 2025'!$J$5:$J$2427,W$1)</f>
        <v>0</v>
      </c>
      <c r="X69" s="183">
        <f>SUMIFS('март 2025'!$G$5:$G$2427,'март 2025'!$D$5:$D$2427,$B69,'март 2025'!$J$5:$J$2427,X$1)</f>
        <v>0</v>
      </c>
      <c r="Y69" s="183">
        <f>SUMIFS('март 2025'!$G$5:$G$2427,'март 2025'!$D$5:$D$2427,$B69,'март 2025'!$J$5:$J$2427,Y$1)</f>
        <v>0</v>
      </c>
      <c r="Z69" s="183">
        <f>SUMIFS('март 2025'!$G$5:$G$2427,'март 2025'!$D$5:$D$2427,$B69,'март 2025'!$J$5:$J$2427,Z$1)</f>
        <v>0</v>
      </c>
      <c r="AA69" s="183">
        <f>SUMIFS('март 2025'!$G$5:$G$2427,'март 2025'!$D$5:$D$2427,$B69,'март 2025'!$J$5:$J$2427,AA$1)</f>
        <v>0</v>
      </c>
      <c r="AB69" s="183">
        <f>SUMIFS('март 2025'!$G$5:$G$2427,'март 2025'!$D$5:$D$2427,$B69,'март 2025'!$J$5:$J$2427,AB$1)</f>
        <v>0</v>
      </c>
      <c r="AC69" s="183">
        <f>SUMIFS('март 2025'!$G$5:$G$2427,'март 2025'!$D$5:$D$2427,$B69,'март 2025'!$J$5:$J$2427,AC$1)</f>
        <v>0</v>
      </c>
      <c r="AD69" s="183">
        <f>SUMIFS('март 2025'!$G$5:$G$2427,'март 2025'!$D$5:$D$2427,$B69,'март 2025'!$J$5:$J$2427,AD$1)</f>
        <v>0</v>
      </c>
      <c r="AE69" s="183">
        <f>SUMIFS('март 2025'!$G$5:$G$2427,'март 2025'!$D$5:$D$2427,$B69,'март 2025'!$J$5:$J$2427,AE$1)</f>
        <v>0</v>
      </c>
      <c r="AF69" s="183">
        <f>SUMIFS('март 2025'!$G$5:$G$2427,'март 2025'!$D$5:$D$2427,$B69,'март 2025'!$J$5:$J$2427,AF$1)</f>
        <v>0</v>
      </c>
      <c r="AG69" s="183">
        <f>SUMIFS('март 2025'!$G$5:$G$2427,'март 2025'!$D$5:$D$2427,$B69,'март 2025'!$J$5:$J$2427,AG$1)</f>
        <v>0</v>
      </c>
      <c r="AH69" s="183">
        <f>SUMIFS('март 2025'!$G$5:$G$2427,'март 2025'!$D$5:$D$2427,$B69,'март 2025'!$J$5:$J$2427,AH$1)</f>
        <v>0</v>
      </c>
      <c r="AI69" s="20">
        <f t="shared" si="1"/>
        <v>0</v>
      </c>
    </row>
    <row r="70" spans="2:35" ht="15.75" x14ac:dyDescent="0.25">
      <c r="B70" s="88" t="s">
        <v>157</v>
      </c>
      <c r="C70" s="86">
        <v>200</v>
      </c>
      <c r="D70" s="183">
        <f>SUMIFS('март 2025'!$G$5:$G$2427,'март 2025'!$D$5:$D$2427,$B70,'март 2025'!$J$5:$J$2427,D$1)</f>
        <v>0</v>
      </c>
      <c r="E70" s="183">
        <f>SUMIFS('март 2025'!$G$5:$G$2427,'март 2025'!$D$5:$D$2427,$B70,'март 2025'!$J$5:$J$2427,E$1)</f>
        <v>0</v>
      </c>
      <c r="F70" s="183">
        <f>SUMIFS('март 2025'!$G$5:$G$2427,'март 2025'!$D$5:$D$2427,$B70,'март 2025'!$J$5:$J$2427,F$1)</f>
        <v>0</v>
      </c>
      <c r="G70" s="183">
        <f>SUMIFS('март 2025'!$G$5:$G$2427,'март 2025'!$D$5:$D$2427,$B70,'март 2025'!$J$5:$J$2427,G$1)</f>
        <v>0</v>
      </c>
      <c r="H70" s="183">
        <f>SUMIFS('март 2025'!$G$5:$G$2427,'март 2025'!$D$5:$D$2427,$B70,'март 2025'!$J$5:$J$2427,H$1)</f>
        <v>0</v>
      </c>
      <c r="I70" s="183">
        <f>SUMIFS('март 2025'!$G$5:$G$2427,'март 2025'!$D$5:$D$2427,$B70,'март 2025'!$J$5:$J$2427,I$1)</f>
        <v>0</v>
      </c>
      <c r="J70" s="183">
        <f>SUMIFS('март 2025'!$G$5:$G$2427,'март 2025'!$D$5:$D$2427,$B70,'март 2025'!$J$5:$J$2427,J$1)</f>
        <v>0</v>
      </c>
      <c r="K70" s="183">
        <f>SUMIFS('март 2025'!$G$5:$G$2427,'март 2025'!$D$5:$D$2427,$B70,'март 2025'!$J$5:$J$2427,K$1)</f>
        <v>0</v>
      </c>
      <c r="L70" s="183">
        <f>SUMIFS('март 2025'!$G$5:$G$2427,'март 2025'!$D$5:$D$2427,$B70,'март 2025'!$J$5:$J$2427,L$1)</f>
        <v>0</v>
      </c>
      <c r="M70" s="183">
        <f>SUMIFS('март 2025'!$G$5:$G$2427,'март 2025'!$D$5:$D$2427,$B70,'март 2025'!$J$5:$J$2427,M$1)</f>
        <v>0</v>
      </c>
      <c r="N70" s="183">
        <f>SUMIFS('март 2025'!$G$5:$G$2427,'март 2025'!$D$5:$D$2427,$B70,'март 2025'!$J$5:$J$2427,N$1)</f>
        <v>0</v>
      </c>
      <c r="O70" s="183">
        <f>SUMIFS('март 2025'!$G$5:$G$2427,'март 2025'!$D$5:$D$2427,$B70,'март 2025'!$J$5:$J$2427,O$1)</f>
        <v>0</v>
      </c>
      <c r="P70" s="183">
        <f>SUMIFS('март 2025'!$G$5:$G$2427,'март 2025'!$D$5:$D$2427,$B70,'март 2025'!$J$5:$J$2427,P$1)</f>
        <v>0</v>
      </c>
      <c r="Q70" s="183">
        <f>SUMIFS('март 2025'!$G$5:$G$2427,'март 2025'!$D$5:$D$2427,$B70,'март 2025'!$J$5:$J$2427,Q$1)</f>
        <v>0</v>
      </c>
      <c r="R70" s="183">
        <f>SUMIFS('март 2025'!$G$5:$G$2427,'март 2025'!$D$5:$D$2427,$B70,'март 2025'!$J$5:$J$2427,R$1)</f>
        <v>0</v>
      </c>
      <c r="S70" s="183">
        <f>SUMIFS('март 2025'!$G$5:$G$2427,'март 2025'!$D$5:$D$2427,$B70,'март 2025'!$J$5:$J$2427,S$1)</f>
        <v>0</v>
      </c>
      <c r="T70" s="183">
        <f>SUMIFS('март 2025'!$G$5:$G$2427,'март 2025'!$D$5:$D$2427,$B70,'март 2025'!$J$5:$J$2427,T$1)</f>
        <v>0</v>
      </c>
      <c r="U70" s="183">
        <f>SUMIFS('март 2025'!$G$5:$G$2427,'март 2025'!$D$5:$D$2427,$B70,'март 2025'!$J$5:$J$2427,U$1)</f>
        <v>0</v>
      </c>
      <c r="V70" s="183">
        <f>SUMIFS('март 2025'!$G$5:$G$2427,'март 2025'!$D$5:$D$2427,$B70,'март 2025'!$J$5:$J$2427,V$1)</f>
        <v>0</v>
      </c>
      <c r="W70" s="183">
        <f>SUMIFS('март 2025'!$G$5:$G$2427,'март 2025'!$D$5:$D$2427,$B70,'март 2025'!$J$5:$J$2427,W$1)</f>
        <v>0</v>
      </c>
      <c r="X70" s="183">
        <f>SUMIFS('март 2025'!$G$5:$G$2427,'март 2025'!$D$5:$D$2427,$B70,'март 2025'!$J$5:$J$2427,X$1)</f>
        <v>0</v>
      </c>
      <c r="Y70" s="183">
        <f>SUMIFS('март 2025'!$G$5:$G$2427,'март 2025'!$D$5:$D$2427,$B70,'март 2025'!$J$5:$J$2427,Y$1)</f>
        <v>0</v>
      </c>
      <c r="Z70" s="183">
        <f>SUMIFS('март 2025'!$G$5:$G$2427,'март 2025'!$D$5:$D$2427,$B70,'март 2025'!$J$5:$J$2427,Z$1)</f>
        <v>0</v>
      </c>
      <c r="AA70" s="183">
        <f>SUMIFS('март 2025'!$G$5:$G$2427,'март 2025'!$D$5:$D$2427,$B70,'март 2025'!$J$5:$J$2427,AA$1)</f>
        <v>0</v>
      </c>
      <c r="AB70" s="183">
        <f>SUMIFS('март 2025'!$G$5:$G$2427,'март 2025'!$D$5:$D$2427,$B70,'март 2025'!$J$5:$J$2427,AB$1)</f>
        <v>0</v>
      </c>
      <c r="AC70" s="183">
        <f>SUMIFS('март 2025'!$G$5:$G$2427,'март 2025'!$D$5:$D$2427,$B70,'март 2025'!$J$5:$J$2427,AC$1)</f>
        <v>0</v>
      </c>
      <c r="AD70" s="183">
        <f>SUMIFS('март 2025'!$G$5:$G$2427,'март 2025'!$D$5:$D$2427,$B70,'март 2025'!$J$5:$J$2427,AD$1)</f>
        <v>0</v>
      </c>
      <c r="AE70" s="183">
        <f>SUMIFS('март 2025'!$G$5:$G$2427,'март 2025'!$D$5:$D$2427,$B70,'март 2025'!$J$5:$J$2427,AE$1)</f>
        <v>0</v>
      </c>
      <c r="AF70" s="183">
        <f>SUMIFS('март 2025'!$G$5:$G$2427,'март 2025'!$D$5:$D$2427,$B70,'март 2025'!$J$5:$J$2427,AF$1)</f>
        <v>0</v>
      </c>
      <c r="AG70" s="183">
        <f>SUMIFS('март 2025'!$G$5:$G$2427,'март 2025'!$D$5:$D$2427,$B70,'март 2025'!$J$5:$J$2427,AG$1)</f>
        <v>0</v>
      </c>
      <c r="AH70" s="183">
        <f>SUMIFS('март 2025'!$G$5:$G$2427,'март 2025'!$D$5:$D$2427,$B70,'март 2025'!$J$5:$J$2427,AH$1)</f>
        <v>0</v>
      </c>
      <c r="AI70" s="20">
        <f t="shared" si="1"/>
        <v>0</v>
      </c>
    </row>
    <row r="71" spans="2:35" ht="15.75" x14ac:dyDescent="0.25">
      <c r="B71" s="88" t="s">
        <v>299</v>
      </c>
      <c r="C71" s="86">
        <v>200</v>
      </c>
      <c r="D71" s="183">
        <f>SUMIFS('март 2025'!$G$5:$G$2427,'март 2025'!$D$5:$D$2427,$B71,'март 2025'!$J$5:$J$2427,D$1)</f>
        <v>0</v>
      </c>
      <c r="E71" s="183">
        <f>SUMIFS('март 2025'!$G$5:$G$2427,'март 2025'!$D$5:$D$2427,$B71,'март 2025'!$J$5:$J$2427,E$1)</f>
        <v>0</v>
      </c>
      <c r="F71" s="183">
        <f>SUMIFS('март 2025'!$G$5:$G$2427,'март 2025'!$D$5:$D$2427,$B71,'март 2025'!$J$5:$J$2427,F$1)</f>
        <v>0</v>
      </c>
      <c r="G71" s="183">
        <f>SUMIFS('март 2025'!$G$5:$G$2427,'март 2025'!$D$5:$D$2427,$B71,'март 2025'!$J$5:$J$2427,G$1)</f>
        <v>0</v>
      </c>
      <c r="H71" s="183">
        <f>SUMIFS('март 2025'!$G$5:$G$2427,'март 2025'!$D$5:$D$2427,$B71,'март 2025'!$J$5:$J$2427,H$1)</f>
        <v>0</v>
      </c>
      <c r="I71" s="183">
        <f>SUMIFS('март 2025'!$G$5:$G$2427,'март 2025'!$D$5:$D$2427,$B71,'март 2025'!$J$5:$J$2427,I$1)</f>
        <v>0</v>
      </c>
      <c r="J71" s="183">
        <f>SUMIFS('март 2025'!$G$5:$G$2427,'март 2025'!$D$5:$D$2427,$B71,'март 2025'!$J$5:$J$2427,J$1)</f>
        <v>0</v>
      </c>
      <c r="K71" s="183">
        <f>SUMIFS('март 2025'!$G$5:$G$2427,'март 2025'!$D$5:$D$2427,$B71,'март 2025'!$J$5:$J$2427,K$1)</f>
        <v>0</v>
      </c>
      <c r="L71" s="183">
        <f>SUMIFS('март 2025'!$G$5:$G$2427,'март 2025'!$D$5:$D$2427,$B71,'март 2025'!$J$5:$J$2427,L$1)</f>
        <v>0</v>
      </c>
      <c r="M71" s="183">
        <f>SUMIFS('март 2025'!$G$5:$G$2427,'март 2025'!$D$5:$D$2427,$B71,'март 2025'!$J$5:$J$2427,M$1)</f>
        <v>0</v>
      </c>
      <c r="N71" s="183">
        <f>SUMIFS('март 2025'!$G$5:$G$2427,'март 2025'!$D$5:$D$2427,$B71,'март 2025'!$J$5:$J$2427,N$1)</f>
        <v>0</v>
      </c>
      <c r="O71" s="183">
        <f>SUMIFS('март 2025'!$G$5:$G$2427,'март 2025'!$D$5:$D$2427,$B71,'март 2025'!$J$5:$J$2427,O$1)</f>
        <v>0</v>
      </c>
      <c r="P71" s="183">
        <f>SUMIFS('март 2025'!$G$5:$G$2427,'март 2025'!$D$5:$D$2427,$B71,'март 2025'!$J$5:$J$2427,P$1)</f>
        <v>0</v>
      </c>
      <c r="Q71" s="183">
        <f>SUMIFS('март 2025'!$G$5:$G$2427,'март 2025'!$D$5:$D$2427,$B71,'март 2025'!$J$5:$J$2427,Q$1)</f>
        <v>0</v>
      </c>
      <c r="R71" s="183">
        <f>SUMIFS('март 2025'!$G$5:$G$2427,'март 2025'!$D$5:$D$2427,$B71,'март 2025'!$J$5:$J$2427,R$1)</f>
        <v>0</v>
      </c>
      <c r="S71" s="183">
        <f>SUMIFS('март 2025'!$G$5:$G$2427,'март 2025'!$D$5:$D$2427,$B71,'март 2025'!$J$5:$J$2427,S$1)</f>
        <v>0</v>
      </c>
      <c r="T71" s="183">
        <f>SUMIFS('март 2025'!$G$5:$G$2427,'март 2025'!$D$5:$D$2427,$B71,'март 2025'!$J$5:$J$2427,T$1)</f>
        <v>0</v>
      </c>
      <c r="U71" s="183">
        <f>SUMIFS('март 2025'!$G$5:$G$2427,'март 2025'!$D$5:$D$2427,$B71,'март 2025'!$J$5:$J$2427,U$1)</f>
        <v>0</v>
      </c>
      <c r="V71" s="183">
        <f>SUMIFS('март 2025'!$G$5:$G$2427,'март 2025'!$D$5:$D$2427,$B71,'март 2025'!$J$5:$J$2427,V$1)</f>
        <v>16</v>
      </c>
      <c r="W71" s="183">
        <f>SUMIFS('март 2025'!$G$5:$G$2427,'март 2025'!$D$5:$D$2427,$B71,'март 2025'!$J$5:$J$2427,W$1)</f>
        <v>0</v>
      </c>
      <c r="X71" s="183">
        <f>SUMIFS('март 2025'!$G$5:$G$2427,'март 2025'!$D$5:$D$2427,$B71,'март 2025'!$J$5:$J$2427,X$1)</f>
        <v>0</v>
      </c>
      <c r="Y71" s="183">
        <f>SUMIFS('март 2025'!$G$5:$G$2427,'март 2025'!$D$5:$D$2427,$B71,'март 2025'!$J$5:$J$2427,Y$1)</f>
        <v>0</v>
      </c>
      <c r="Z71" s="183">
        <f>SUMIFS('март 2025'!$G$5:$G$2427,'март 2025'!$D$5:$D$2427,$B71,'март 2025'!$J$5:$J$2427,Z$1)</f>
        <v>0</v>
      </c>
      <c r="AA71" s="183">
        <f>SUMIFS('март 2025'!$G$5:$G$2427,'март 2025'!$D$5:$D$2427,$B71,'март 2025'!$J$5:$J$2427,AA$1)</f>
        <v>0</v>
      </c>
      <c r="AB71" s="183">
        <f>SUMIFS('март 2025'!$G$5:$G$2427,'март 2025'!$D$5:$D$2427,$B71,'март 2025'!$J$5:$J$2427,AB$1)</f>
        <v>0</v>
      </c>
      <c r="AC71" s="183">
        <f>SUMIFS('март 2025'!$G$5:$G$2427,'март 2025'!$D$5:$D$2427,$B71,'март 2025'!$J$5:$J$2427,AC$1)</f>
        <v>0</v>
      </c>
      <c r="AD71" s="183">
        <f>SUMIFS('март 2025'!$G$5:$G$2427,'март 2025'!$D$5:$D$2427,$B71,'март 2025'!$J$5:$J$2427,AD$1)</f>
        <v>0</v>
      </c>
      <c r="AE71" s="183">
        <f>SUMIFS('март 2025'!$G$5:$G$2427,'март 2025'!$D$5:$D$2427,$B71,'март 2025'!$J$5:$J$2427,AE$1)</f>
        <v>0</v>
      </c>
      <c r="AF71" s="183">
        <f>SUMIFS('март 2025'!$G$5:$G$2427,'март 2025'!$D$5:$D$2427,$B71,'март 2025'!$J$5:$J$2427,AF$1)</f>
        <v>0</v>
      </c>
      <c r="AG71" s="183">
        <f>SUMIFS('март 2025'!$G$5:$G$2427,'март 2025'!$D$5:$D$2427,$B71,'март 2025'!$J$5:$J$2427,AG$1)</f>
        <v>0</v>
      </c>
      <c r="AH71" s="183">
        <f>SUMIFS('март 2025'!$G$5:$G$2427,'март 2025'!$D$5:$D$2427,$B71,'март 2025'!$J$5:$J$2427,AH$1)</f>
        <v>0</v>
      </c>
      <c r="AI71" s="20">
        <f t="shared" si="1"/>
        <v>16</v>
      </c>
    </row>
    <row r="72" spans="2:35" ht="15.75" x14ac:dyDescent="0.25">
      <c r="B72" s="88" t="s">
        <v>994</v>
      </c>
      <c r="C72" s="86">
        <v>190</v>
      </c>
      <c r="D72" s="183">
        <f>SUMIFS('март 2025'!$G$5:$G$2427,'март 2025'!$D$5:$D$2427,$B72,'март 2025'!$J$5:$J$2427,D$1)</f>
        <v>0</v>
      </c>
      <c r="E72" s="183">
        <f>SUMIFS('март 2025'!$G$5:$G$2427,'март 2025'!$D$5:$D$2427,$B72,'март 2025'!$J$5:$J$2427,E$1)</f>
        <v>0</v>
      </c>
      <c r="F72" s="183">
        <f>SUMIFS('март 2025'!$G$5:$G$2427,'март 2025'!$D$5:$D$2427,$B72,'март 2025'!$J$5:$J$2427,F$1)</f>
        <v>0</v>
      </c>
      <c r="G72" s="183">
        <f>SUMIFS('март 2025'!$G$5:$G$2427,'март 2025'!$D$5:$D$2427,$B72,'март 2025'!$J$5:$J$2427,G$1)</f>
        <v>0</v>
      </c>
      <c r="H72" s="183">
        <f>SUMIFS('март 2025'!$G$5:$G$2427,'март 2025'!$D$5:$D$2427,$B72,'март 2025'!$J$5:$J$2427,H$1)</f>
        <v>0</v>
      </c>
      <c r="I72" s="183">
        <f>SUMIFS('март 2025'!$G$5:$G$2427,'март 2025'!$D$5:$D$2427,$B72,'март 2025'!$J$5:$J$2427,I$1)</f>
        <v>0</v>
      </c>
      <c r="J72" s="183">
        <f>SUMIFS('март 2025'!$G$5:$G$2427,'март 2025'!$D$5:$D$2427,$B72,'март 2025'!$J$5:$J$2427,J$1)</f>
        <v>0</v>
      </c>
      <c r="K72" s="183">
        <f>SUMIFS('март 2025'!$G$5:$G$2427,'март 2025'!$D$5:$D$2427,$B72,'март 2025'!$J$5:$J$2427,K$1)</f>
        <v>0</v>
      </c>
      <c r="L72" s="183">
        <f>SUMIFS('март 2025'!$G$5:$G$2427,'март 2025'!$D$5:$D$2427,$B72,'март 2025'!$J$5:$J$2427,L$1)</f>
        <v>0</v>
      </c>
      <c r="M72" s="183">
        <f>SUMIFS('март 2025'!$G$5:$G$2427,'март 2025'!$D$5:$D$2427,$B72,'март 2025'!$J$5:$J$2427,M$1)</f>
        <v>0</v>
      </c>
      <c r="N72" s="183">
        <f>SUMIFS('март 2025'!$G$5:$G$2427,'март 2025'!$D$5:$D$2427,$B72,'март 2025'!$J$5:$J$2427,N$1)</f>
        <v>0</v>
      </c>
      <c r="O72" s="183">
        <f>SUMIFS('март 2025'!$G$5:$G$2427,'март 2025'!$D$5:$D$2427,$B72,'март 2025'!$J$5:$J$2427,O$1)</f>
        <v>0</v>
      </c>
      <c r="P72" s="183">
        <f>SUMIFS('март 2025'!$G$5:$G$2427,'март 2025'!$D$5:$D$2427,$B72,'март 2025'!$J$5:$J$2427,P$1)</f>
        <v>0</v>
      </c>
      <c r="Q72" s="183">
        <f>SUMIFS('март 2025'!$G$5:$G$2427,'март 2025'!$D$5:$D$2427,$B72,'март 2025'!$J$5:$J$2427,Q$1)</f>
        <v>19</v>
      </c>
      <c r="R72" s="183">
        <f>SUMIFS('март 2025'!$G$5:$G$2427,'март 2025'!$D$5:$D$2427,$B72,'март 2025'!$J$5:$J$2427,R$1)</f>
        <v>0</v>
      </c>
      <c r="S72" s="183">
        <f>SUMIFS('март 2025'!$G$5:$G$2427,'март 2025'!$D$5:$D$2427,$B72,'март 2025'!$J$5:$J$2427,S$1)</f>
        <v>0</v>
      </c>
      <c r="T72" s="183">
        <f>SUMIFS('март 2025'!$G$5:$G$2427,'март 2025'!$D$5:$D$2427,$B72,'март 2025'!$J$5:$J$2427,T$1)</f>
        <v>0</v>
      </c>
      <c r="U72" s="183">
        <f>SUMIFS('март 2025'!$G$5:$G$2427,'март 2025'!$D$5:$D$2427,$B72,'март 2025'!$J$5:$J$2427,U$1)</f>
        <v>0</v>
      </c>
      <c r="V72" s="183">
        <f>SUMIFS('март 2025'!$G$5:$G$2427,'март 2025'!$D$5:$D$2427,$B72,'март 2025'!$J$5:$J$2427,V$1)</f>
        <v>0</v>
      </c>
      <c r="W72" s="183">
        <f>SUMIFS('март 2025'!$G$5:$G$2427,'март 2025'!$D$5:$D$2427,$B72,'март 2025'!$J$5:$J$2427,W$1)</f>
        <v>0</v>
      </c>
      <c r="X72" s="183">
        <f>SUMIFS('март 2025'!$G$5:$G$2427,'март 2025'!$D$5:$D$2427,$B72,'март 2025'!$J$5:$J$2427,X$1)</f>
        <v>0</v>
      </c>
      <c r="Y72" s="183">
        <f>SUMIFS('март 2025'!$G$5:$G$2427,'март 2025'!$D$5:$D$2427,$B72,'март 2025'!$J$5:$J$2427,Y$1)</f>
        <v>0</v>
      </c>
      <c r="Z72" s="183">
        <f>SUMIFS('март 2025'!$G$5:$G$2427,'март 2025'!$D$5:$D$2427,$B72,'март 2025'!$J$5:$J$2427,Z$1)</f>
        <v>0</v>
      </c>
      <c r="AA72" s="183">
        <f>SUMIFS('март 2025'!$G$5:$G$2427,'март 2025'!$D$5:$D$2427,$B72,'март 2025'!$J$5:$J$2427,AA$1)</f>
        <v>0</v>
      </c>
      <c r="AB72" s="183">
        <f>SUMIFS('март 2025'!$G$5:$G$2427,'март 2025'!$D$5:$D$2427,$B72,'март 2025'!$J$5:$J$2427,AB$1)</f>
        <v>0</v>
      </c>
      <c r="AC72" s="183">
        <f>SUMIFS('март 2025'!$G$5:$G$2427,'март 2025'!$D$5:$D$2427,$B72,'март 2025'!$J$5:$J$2427,AC$1)</f>
        <v>0</v>
      </c>
      <c r="AD72" s="183">
        <f>SUMIFS('март 2025'!$G$5:$G$2427,'март 2025'!$D$5:$D$2427,$B72,'март 2025'!$J$5:$J$2427,AD$1)</f>
        <v>0</v>
      </c>
      <c r="AE72" s="183">
        <f>SUMIFS('март 2025'!$G$5:$G$2427,'март 2025'!$D$5:$D$2427,$B72,'март 2025'!$J$5:$J$2427,AE$1)</f>
        <v>0</v>
      </c>
      <c r="AF72" s="183">
        <f>SUMIFS('март 2025'!$G$5:$G$2427,'март 2025'!$D$5:$D$2427,$B72,'март 2025'!$J$5:$J$2427,AF$1)</f>
        <v>0</v>
      </c>
      <c r="AG72" s="183">
        <f>SUMIFS('март 2025'!$G$5:$G$2427,'март 2025'!$D$5:$D$2427,$B72,'март 2025'!$J$5:$J$2427,AG$1)</f>
        <v>0</v>
      </c>
      <c r="AH72" s="183">
        <f>SUMIFS('март 2025'!$G$5:$G$2427,'март 2025'!$D$5:$D$2427,$B72,'март 2025'!$J$5:$J$2427,AH$1)</f>
        <v>0</v>
      </c>
      <c r="AI72" s="20">
        <f t="shared" si="1"/>
        <v>19</v>
      </c>
    </row>
    <row r="73" spans="2:35" ht="15" customHeight="1" x14ac:dyDescent="0.25">
      <c r="B73" s="88" t="s">
        <v>202</v>
      </c>
      <c r="C73" s="86">
        <v>200</v>
      </c>
      <c r="D73" s="183">
        <f>SUMIFS('март 2025'!$G$5:$G$2427,'март 2025'!$D$5:$D$2427,$B73,'март 2025'!$J$5:$J$2427,D$1)</f>
        <v>0</v>
      </c>
      <c r="E73" s="183">
        <f>SUMIFS('март 2025'!$G$5:$G$2427,'март 2025'!$D$5:$D$2427,$B73,'март 2025'!$J$5:$J$2427,E$1)</f>
        <v>0</v>
      </c>
      <c r="F73" s="183">
        <f>SUMIFS('март 2025'!$G$5:$G$2427,'март 2025'!$D$5:$D$2427,$B73,'март 2025'!$J$5:$J$2427,F$1)</f>
        <v>0</v>
      </c>
      <c r="G73" s="183">
        <f>SUMIFS('март 2025'!$G$5:$G$2427,'март 2025'!$D$5:$D$2427,$B73,'март 2025'!$J$5:$J$2427,G$1)</f>
        <v>0</v>
      </c>
      <c r="H73" s="183">
        <f>SUMIFS('март 2025'!$G$5:$G$2427,'март 2025'!$D$5:$D$2427,$B73,'март 2025'!$J$5:$J$2427,H$1)</f>
        <v>0</v>
      </c>
      <c r="I73" s="183">
        <f>SUMIFS('март 2025'!$G$5:$G$2427,'март 2025'!$D$5:$D$2427,$B73,'март 2025'!$J$5:$J$2427,I$1)</f>
        <v>0</v>
      </c>
      <c r="J73" s="183">
        <f>SUMIFS('март 2025'!$G$5:$G$2427,'март 2025'!$D$5:$D$2427,$B73,'март 2025'!$J$5:$J$2427,J$1)</f>
        <v>0</v>
      </c>
      <c r="K73" s="183">
        <f>SUMIFS('март 2025'!$G$5:$G$2427,'март 2025'!$D$5:$D$2427,$B73,'март 2025'!$J$5:$J$2427,K$1)</f>
        <v>0</v>
      </c>
      <c r="L73" s="183">
        <f>SUMIFS('март 2025'!$G$5:$G$2427,'март 2025'!$D$5:$D$2427,$B73,'март 2025'!$J$5:$J$2427,L$1)</f>
        <v>0</v>
      </c>
      <c r="M73" s="183">
        <f>SUMIFS('март 2025'!$G$5:$G$2427,'март 2025'!$D$5:$D$2427,$B73,'март 2025'!$J$5:$J$2427,M$1)</f>
        <v>0</v>
      </c>
      <c r="N73" s="183">
        <f>SUMIFS('март 2025'!$G$5:$G$2427,'март 2025'!$D$5:$D$2427,$B73,'март 2025'!$J$5:$J$2427,N$1)</f>
        <v>0</v>
      </c>
      <c r="O73" s="183">
        <f>SUMIFS('март 2025'!$G$5:$G$2427,'март 2025'!$D$5:$D$2427,$B73,'март 2025'!$J$5:$J$2427,O$1)</f>
        <v>0</v>
      </c>
      <c r="P73" s="183">
        <f>SUMIFS('март 2025'!$G$5:$G$2427,'март 2025'!$D$5:$D$2427,$B73,'март 2025'!$J$5:$J$2427,P$1)</f>
        <v>0</v>
      </c>
      <c r="Q73" s="183">
        <f>SUMIFS('март 2025'!$G$5:$G$2427,'март 2025'!$D$5:$D$2427,$B73,'март 2025'!$J$5:$J$2427,Q$1)</f>
        <v>0</v>
      </c>
      <c r="R73" s="183">
        <f>SUMIFS('март 2025'!$G$5:$G$2427,'март 2025'!$D$5:$D$2427,$B73,'март 2025'!$J$5:$J$2427,R$1)</f>
        <v>0</v>
      </c>
      <c r="S73" s="183">
        <f>SUMIFS('март 2025'!$G$5:$G$2427,'март 2025'!$D$5:$D$2427,$B73,'март 2025'!$J$5:$J$2427,S$1)</f>
        <v>0</v>
      </c>
      <c r="T73" s="183">
        <f>SUMIFS('март 2025'!$G$5:$G$2427,'март 2025'!$D$5:$D$2427,$B73,'март 2025'!$J$5:$J$2427,T$1)</f>
        <v>0</v>
      </c>
      <c r="U73" s="183">
        <f>SUMIFS('март 2025'!$G$5:$G$2427,'март 2025'!$D$5:$D$2427,$B73,'март 2025'!$J$5:$J$2427,U$1)</f>
        <v>0</v>
      </c>
      <c r="V73" s="183">
        <f>SUMIFS('март 2025'!$G$5:$G$2427,'март 2025'!$D$5:$D$2427,$B73,'март 2025'!$J$5:$J$2427,V$1)</f>
        <v>0</v>
      </c>
      <c r="W73" s="183">
        <f>SUMIFS('март 2025'!$G$5:$G$2427,'март 2025'!$D$5:$D$2427,$B73,'март 2025'!$J$5:$J$2427,W$1)</f>
        <v>0</v>
      </c>
      <c r="X73" s="183">
        <f>SUMIFS('март 2025'!$G$5:$G$2427,'март 2025'!$D$5:$D$2427,$B73,'март 2025'!$J$5:$J$2427,X$1)</f>
        <v>0</v>
      </c>
      <c r="Y73" s="183">
        <f>SUMIFS('март 2025'!$G$5:$G$2427,'март 2025'!$D$5:$D$2427,$B73,'март 2025'!$J$5:$J$2427,Y$1)</f>
        <v>0</v>
      </c>
      <c r="Z73" s="183">
        <f>SUMIFS('март 2025'!$G$5:$G$2427,'март 2025'!$D$5:$D$2427,$B73,'март 2025'!$J$5:$J$2427,Z$1)</f>
        <v>0</v>
      </c>
      <c r="AA73" s="183">
        <f>SUMIFS('март 2025'!$G$5:$G$2427,'март 2025'!$D$5:$D$2427,$B73,'март 2025'!$J$5:$J$2427,AA$1)</f>
        <v>0</v>
      </c>
      <c r="AB73" s="183">
        <f>SUMIFS('март 2025'!$G$5:$G$2427,'март 2025'!$D$5:$D$2427,$B73,'март 2025'!$J$5:$J$2427,AB$1)</f>
        <v>0</v>
      </c>
      <c r="AC73" s="183">
        <f>SUMIFS('март 2025'!$G$5:$G$2427,'март 2025'!$D$5:$D$2427,$B73,'март 2025'!$J$5:$J$2427,AC$1)</f>
        <v>0</v>
      </c>
      <c r="AD73" s="183">
        <f>SUMIFS('март 2025'!$G$5:$G$2427,'март 2025'!$D$5:$D$2427,$B73,'март 2025'!$J$5:$J$2427,AD$1)</f>
        <v>0</v>
      </c>
      <c r="AE73" s="183">
        <f>SUMIFS('март 2025'!$G$5:$G$2427,'март 2025'!$D$5:$D$2427,$B73,'март 2025'!$J$5:$J$2427,AE$1)</f>
        <v>0</v>
      </c>
      <c r="AF73" s="183">
        <f>SUMIFS('март 2025'!$G$5:$G$2427,'март 2025'!$D$5:$D$2427,$B73,'март 2025'!$J$5:$J$2427,AF$1)</f>
        <v>0</v>
      </c>
      <c r="AG73" s="183">
        <f>SUMIFS('март 2025'!$G$5:$G$2427,'март 2025'!$D$5:$D$2427,$B73,'март 2025'!$J$5:$J$2427,AG$1)</f>
        <v>0</v>
      </c>
      <c r="AH73" s="183">
        <f>SUMIFS('март 2025'!$G$5:$G$2427,'март 2025'!$D$5:$D$2427,$B73,'март 2025'!$J$5:$J$2427,AH$1)</f>
        <v>0</v>
      </c>
      <c r="AI73" s="20">
        <f t="shared" si="1"/>
        <v>0</v>
      </c>
    </row>
    <row r="74" spans="2:35" ht="15" customHeight="1" x14ac:dyDescent="0.25">
      <c r="B74" s="88" t="s">
        <v>187</v>
      </c>
      <c r="C74" s="86">
        <v>200</v>
      </c>
      <c r="D74" s="183">
        <f>SUMIFS('март 2025'!$G$5:$G$2427,'март 2025'!$D$5:$D$2427,$B74,'март 2025'!$J$5:$J$2427,D$1)</f>
        <v>0</v>
      </c>
      <c r="E74" s="183">
        <f>SUMIFS('март 2025'!$G$5:$G$2427,'март 2025'!$D$5:$D$2427,$B74,'март 2025'!$J$5:$J$2427,E$1)</f>
        <v>0</v>
      </c>
      <c r="F74" s="183">
        <f>SUMIFS('март 2025'!$G$5:$G$2427,'март 2025'!$D$5:$D$2427,$B74,'март 2025'!$J$5:$J$2427,F$1)</f>
        <v>0</v>
      </c>
      <c r="G74" s="183">
        <f>SUMIFS('март 2025'!$G$5:$G$2427,'март 2025'!$D$5:$D$2427,$B74,'март 2025'!$J$5:$J$2427,G$1)</f>
        <v>0</v>
      </c>
      <c r="H74" s="183">
        <f>SUMIFS('март 2025'!$G$5:$G$2427,'март 2025'!$D$5:$D$2427,$B74,'март 2025'!$J$5:$J$2427,H$1)</f>
        <v>0</v>
      </c>
      <c r="I74" s="183">
        <f>SUMIFS('март 2025'!$G$5:$G$2427,'март 2025'!$D$5:$D$2427,$B74,'март 2025'!$J$5:$J$2427,I$1)</f>
        <v>0</v>
      </c>
      <c r="J74" s="183">
        <f>SUMIFS('март 2025'!$G$5:$G$2427,'март 2025'!$D$5:$D$2427,$B74,'март 2025'!$J$5:$J$2427,J$1)</f>
        <v>0</v>
      </c>
      <c r="K74" s="183">
        <f>SUMIFS('март 2025'!$G$5:$G$2427,'март 2025'!$D$5:$D$2427,$B74,'март 2025'!$J$5:$J$2427,K$1)</f>
        <v>0</v>
      </c>
      <c r="L74" s="183">
        <f>SUMIFS('март 2025'!$G$5:$G$2427,'март 2025'!$D$5:$D$2427,$B74,'март 2025'!$J$5:$J$2427,L$1)</f>
        <v>0</v>
      </c>
      <c r="M74" s="183">
        <f>SUMIFS('март 2025'!$G$5:$G$2427,'март 2025'!$D$5:$D$2427,$B74,'март 2025'!$J$5:$J$2427,M$1)</f>
        <v>0</v>
      </c>
      <c r="N74" s="183">
        <f>SUMIFS('март 2025'!$G$5:$G$2427,'март 2025'!$D$5:$D$2427,$B74,'март 2025'!$J$5:$J$2427,N$1)</f>
        <v>0</v>
      </c>
      <c r="O74" s="183">
        <f>SUMIFS('март 2025'!$G$5:$G$2427,'март 2025'!$D$5:$D$2427,$B74,'март 2025'!$J$5:$J$2427,O$1)</f>
        <v>0</v>
      </c>
      <c r="P74" s="183">
        <f>SUMIFS('март 2025'!$G$5:$G$2427,'март 2025'!$D$5:$D$2427,$B74,'март 2025'!$J$5:$J$2427,P$1)</f>
        <v>0</v>
      </c>
      <c r="Q74" s="183">
        <f>SUMIFS('март 2025'!$G$5:$G$2427,'март 2025'!$D$5:$D$2427,$B74,'март 2025'!$J$5:$J$2427,Q$1)</f>
        <v>0</v>
      </c>
      <c r="R74" s="183">
        <f>SUMIFS('март 2025'!$G$5:$G$2427,'март 2025'!$D$5:$D$2427,$B74,'март 2025'!$J$5:$J$2427,R$1)</f>
        <v>0</v>
      </c>
      <c r="S74" s="183">
        <f>SUMIFS('март 2025'!$G$5:$G$2427,'март 2025'!$D$5:$D$2427,$B74,'март 2025'!$J$5:$J$2427,S$1)</f>
        <v>0</v>
      </c>
      <c r="T74" s="183">
        <f>SUMIFS('март 2025'!$G$5:$G$2427,'март 2025'!$D$5:$D$2427,$B74,'март 2025'!$J$5:$J$2427,T$1)</f>
        <v>0</v>
      </c>
      <c r="U74" s="183">
        <f>SUMIFS('март 2025'!$G$5:$G$2427,'март 2025'!$D$5:$D$2427,$B74,'март 2025'!$J$5:$J$2427,U$1)</f>
        <v>0</v>
      </c>
      <c r="V74" s="183">
        <f>SUMIFS('март 2025'!$G$5:$G$2427,'март 2025'!$D$5:$D$2427,$B74,'март 2025'!$J$5:$J$2427,V$1)</f>
        <v>0</v>
      </c>
      <c r="W74" s="183">
        <f>SUMIFS('март 2025'!$G$5:$G$2427,'март 2025'!$D$5:$D$2427,$B74,'март 2025'!$J$5:$J$2427,W$1)</f>
        <v>0</v>
      </c>
      <c r="X74" s="183">
        <f>SUMIFS('март 2025'!$G$5:$G$2427,'март 2025'!$D$5:$D$2427,$B74,'март 2025'!$J$5:$J$2427,X$1)</f>
        <v>0</v>
      </c>
      <c r="Y74" s="183">
        <f>SUMIFS('март 2025'!$G$5:$G$2427,'март 2025'!$D$5:$D$2427,$B74,'март 2025'!$J$5:$J$2427,Y$1)</f>
        <v>0</v>
      </c>
      <c r="Z74" s="183">
        <f>SUMIFS('март 2025'!$G$5:$G$2427,'март 2025'!$D$5:$D$2427,$B74,'март 2025'!$J$5:$J$2427,Z$1)</f>
        <v>0</v>
      </c>
      <c r="AA74" s="183">
        <f>SUMIFS('март 2025'!$G$5:$G$2427,'март 2025'!$D$5:$D$2427,$B74,'март 2025'!$J$5:$J$2427,AA$1)</f>
        <v>0</v>
      </c>
      <c r="AB74" s="183">
        <f>SUMIFS('март 2025'!$G$5:$G$2427,'март 2025'!$D$5:$D$2427,$B74,'март 2025'!$J$5:$J$2427,AB$1)</f>
        <v>0</v>
      </c>
      <c r="AC74" s="183">
        <f>SUMIFS('март 2025'!$G$5:$G$2427,'март 2025'!$D$5:$D$2427,$B74,'март 2025'!$J$5:$J$2427,AC$1)</f>
        <v>0</v>
      </c>
      <c r="AD74" s="183">
        <f>SUMIFS('март 2025'!$G$5:$G$2427,'март 2025'!$D$5:$D$2427,$B74,'март 2025'!$J$5:$J$2427,AD$1)</f>
        <v>0</v>
      </c>
      <c r="AE74" s="183">
        <f>SUMIFS('март 2025'!$G$5:$G$2427,'март 2025'!$D$5:$D$2427,$B74,'март 2025'!$J$5:$J$2427,AE$1)</f>
        <v>0</v>
      </c>
      <c r="AF74" s="183">
        <f>SUMIFS('март 2025'!$G$5:$G$2427,'март 2025'!$D$5:$D$2427,$B74,'март 2025'!$J$5:$J$2427,AF$1)</f>
        <v>0</v>
      </c>
      <c r="AG74" s="183">
        <f>SUMIFS('март 2025'!$G$5:$G$2427,'март 2025'!$D$5:$D$2427,$B74,'март 2025'!$J$5:$J$2427,AG$1)</f>
        <v>0</v>
      </c>
      <c r="AH74" s="183">
        <f>SUMIFS('март 2025'!$G$5:$G$2427,'март 2025'!$D$5:$D$2427,$B74,'март 2025'!$J$5:$J$2427,AH$1)</f>
        <v>0</v>
      </c>
      <c r="AI74" s="20">
        <f t="shared" si="1"/>
        <v>0</v>
      </c>
    </row>
    <row r="75" spans="2:35" ht="15" customHeight="1" x14ac:dyDescent="0.25">
      <c r="B75" s="88" t="s">
        <v>188</v>
      </c>
      <c r="C75" s="86">
        <v>200</v>
      </c>
      <c r="D75" s="183">
        <f>SUMIFS('март 2025'!$G$5:$G$2427,'март 2025'!$D$5:$D$2427,$B75,'март 2025'!$J$5:$J$2427,D$1)</f>
        <v>0</v>
      </c>
      <c r="E75" s="183">
        <f>SUMIFS('март 2025'!$G$5:$G$2427,'март 2025'!$D$5:$D$2427,$B75,'март 2025'!$J$5:$J$2427,E$1)</f>
        <v>0</v>
      </c>
      <c r="F75" s="183">
        <f>SUMIFS('март 2025'!$G$5:$G$2427,'март 2025'!$D$5:$D$2427,$B75,'март 2025'!$J$5:$J$2427,F$1)</f>
        <v>0</v>
      </c>
      <c r="G75" s="183">
        <f>SUMIFS('март 2025'!$G$5:$G$2427,'март 2025'!$D$5:$D$2427,$B75,'март 2025'!$J$5:$J$2427,G$1)</f>
        <v>0</v>
      </c>
      <c r="H75" s="183">
        <f>SUMIFS('март 2025'!$G$5:$G$2427,'март 2025'!$D$5:$D$2427,$B75,'март 2025'!$J$5:$J$2427,H$1)</f>
        <v>0</v>
      </c>
      <c r="I75" s="183">
        <f>SUMIFS('март 2025'!$G$5:$G$2427,'март 2025'!$D$5:$D$2427,$B75,'март 2025'!$J$5:$J$2427,I$1)</f>
        <v>0</v>
      </c>
      <c r="J75" s="183">
        <f>SUMIFS('март 2025'!$G$5:$G$2427,'март 2025'!$D$5:$D$2427,$B75,'март 2025'!$J$5:$J$2427,J$1)</f>
        <v>0</v>
      </c>
      <c r="K75" s="183">
        <f>SUMIFS('март 2025'!$G$5:$G$2427,'март 2025'!$D$5:$D$2427,$B75,'март 2025'!$J$5:$J$2427,K$1)</f>
        <v>0</v>
      </c>
      <c r="L75" s="183">
        <f>SUMIFS('март 2025'!$G$5:$G$2427,'март 2025'!$D$5:$D$2427,$B75,'март 2025'!$J$5:$J$2427,L$1)</f>
        <v>0</v>
      </c>
      <c r="M75" s="183">
        <f>SUMIFS('март 2025'!$G$5:$G$2427,'март 2025'!$D$5:$D$2427,$B75,'март 2025'!$J$5:$J$2427,M$1)</f>
        <v>0</v>
      </c>
      <c r="N75" s="183">
        <f>SUMIFS('март 2025'!$G$5:$G$2427,'март 2025'!$D$5:$D$2427,$B75,'март 2025'!$J$5:$J$2427,N$1)</f>
        <v>0</v>
      </c>
      <c r="O75" s="183">
        <f>SUMIFS('март 2025'!$G$5:$G$2427,'март 2025'!$D$5:$D$2427,$B75,'март 2025'!$J$5:$J$2427,O$1)</f>
        <v>0</v>
      </c>
      <c r="P75" s="183">
        <f>SUMIFS('март 2025'!$G$5:$G$2427,'март 2025'!$D$5:$D$2427,$B75,'март 2025'!$J$5:$J$2427,P$1)</f>
        <v>0</v>
      </c>
      <c r="Q75" s="183">
        <f>SUMIFS('март 2025'!$G$5:$G$2427,'март 2025'!$D$5:$D$2427,$B75,'март 2025'!$J$5:$J$2427,Q$1)</f>
        <v>0</v>
      </c>
      <c r="R75" s="183">
        <f>SUMIFS('март 2025'!$G$5:$G$2427,'март 2025'!$D$5:$D$2427,$B75,'март 2025'!$J$5:$J$2427,R$1)</f>
        <v>0</v>
      </c>
      <c r="S75" s="183">
        <f>SUMIFS('март 2025'!$G$5:$G$2427,'март 2025'!$D$5:$D$2427,$B75,'март 2025'!$J$5:$J$2427,S$1)</f>
        <v>0</v>
      </c>
      <c r="T75" s="183">
        <f>SUMIFS('март 2025'!$G$5:$G$2427,'март 2025'!$D$5:$D$2427,$B75,'март 2025'!$J$5:$J$2427,T$1)</f>
        <v>0</v>
      </c>
      <c r="U75" s="183">
        <f>SUMIFS('март 2025'!$G$5:$G$2427,'март 2025'!$D$5:$D$2427,$B75,'март 2025'!$J$5:$J$2427,U$1)</f>
        <v>0</v>
      </c>
      <c r="V75" s="183">
        <f>SUMIFS('март 2025'!$G$5:$G$2427,'март 2025'!$D$5:$D$2427,$B75,'март 2025'!$J$5:$J$2427,V$1)</f>
        <v>0</v>
      </c>
      <c r="W75" s="183">
        <f>SUMIFS('март 2025'!$G$5:$G$2427,'март 2025'!$D$5:$D$2427,$B75,'март 2025'!$J$5:$J$2427,W$1)</f>
        <v>0</v>
      </c>
      <c r="X75" s="183">
        <f>SUMIFS('март 2025'!$G$5:$G$2427,'март 2025'!$D$5:$D$2427,$B75,'март 2025'!$J$5:$J$2427,X$1)</f>
        <v>0</v>
      </c>
      <c r="Y75" s="183">
        <f>SUMIFS('март 2025'!$G$5:$G$2427,'март 2025'!$D$5:$D$2427,$B75,'март 2025'!$J$5:$J$2427,Y$1)</f>
        <v>0</v>
      </c>
      <c r="Z75" s="183">
        <f>SUMIFS('март 2025'!$G$5:$G$2427,'март 2025'!$D$5:$D$2427,$B75,'март 2025'!$J$5:$J$2427,Z$1)</f>
        <v>0</v>
      </c>
      <c r="AA75" s="183">
        <f>SUMIFS('март 2025'!$G$5:$G$2427,'март 2025'!$D$5:$D$2427,$B75,'март 2025'!$J$5:$J$2427,AA$1)</f>
        <v>0</v>
      </c>
      <c r="AB75" s="183">
        <f>SUMIFS('март 2025'!$G$5:$G$2427,'март 2025'!$D$5:$D$2427,$B75,'март 2025'!$J$5:$J$2427,AB$1)</f>
        <v>0</v>
      </c>
      <c r="AC75" s="183">
        <f>SUMIFS('март 2025'!$G$5:$G$2427,'март 2025'!$D$5:$D$2427,$B75,'март 2025'!$J$5:$J$2427,AC$1)</f>
        <v>0</v>
      </c>
      <c r="AD75" s="183">
        <f>SUMIFS('март 2025'!$G$5:$G$2427,'март 2025'!$D$5:$D$2427,$B75,'март 2025'!$J$5:$J$2427,AD$1)</f>
        <v>0</v>
      </c>
      <c r="AE75" s="183">
        <f>SUMIFS('март 2025'!$G$5:$G$2427,'март 2025'!$D$5:$D$2427,$B75,'март 2025'!$J$5:$J$2427,AE$1)</f>
        <v>0</v>
      </c>
      <c r="AF75" s="183">
        <f>SUMIFS('март 2025'!$G$5:$G$2427,'март 2025'!$D$5:$D$2427,$B75,'март 2025'!$J$5:$J$2427,AF$1)</f>
        <v>0</v>
      </c>
      <c r="AG75" s="183">
        <f>SUMIFS('март 2025'!$G$5:$G$2427,'март 2025'!$D$5:$D$2427,$B75,'март 2025'!$J$5:$J$2427,AG$1)</f>
        <v>0</v>
      </c>
      <c r="AH75" s="183">
        <f>SUMIFS('март 2025'!$G$5:$G$2427,'март 2025'!$D$5:$D$2427,$B75,'март 2025'!$J$5:$J$2427,AH$1)</f>
        <v>0</v>
      </c>
      <c r="AI75" s="20">
        <f t="shared" si="1"/>
        <v>0</v>
      </c>
    </row>
    <row r="76" spans="2:35" ht="15" customHeight="1" x14ac:dyDescent="0.25">
      <c r="B76" s="88" t="s">
        <v>256</v>
      </c>
      <c r="C76" s="86">
        <v>190</v>
      </c>
      <c r="D76" s="183">
        <f>SUMIFS('март 2025'!$G$5:$G$2427,'март 2025'!$D$5:$D$2427,$B76,'март 2025'!$J$5:$J$2427,D$1)</f>
        <v>0</v>
      </c>
      <c r="E76" s="183">
        <f>SUMIFS('март 2025'!$G$5:$G$2427,'март 2025'!$D$5:$D$2427,$B76,'март 2025'!$J$5:$J$2427,E$1)</f>
        <v>0</v>
      </c>
      <c r="F76" s="183">
        <f>SUMIFS('март 2025'!$G$5:$G$2427,'март 2025'!$D$5:$D$2427,$B76,'март 2025'!$J$5:$J$2427,F$1)</f>
        <v>0</v>
      </c>
      <c r="G76" s="183">
        <f>SUMIFS('март 2025'!$G$5:$G$2427,'март 2025'!$D$5:$D$2427,$B76,'март 2025'!$J$5:$J$2427,G$1)</f>
        <v>0</v>
      </c>
      <c r="H76" s="183">
        <f>SUMIFS('март 2025'!$G$5:$G$2427,'март 2025'!$D$5:$D$2427,$B76,'март 2025'!$J$5:$J$2427,H$1)</f>
        <v>0</v>
      </c>
      <c r="I76" s="183">
        <f>SUMIFS('март 2025'!$G$5:$G$2427,'март 2025'!$D$5:$D$2427,$B76,'март 2025'!$J$5:$J$2427,I$1)</f>
        <v>0</v>
      </c>
      <c r="J76" s="183">
        <f>SUMIFS('март 2025'!$G$5:$G$2427,'март 2025'!$D$5:$D$2427,$B76,'март 2025'!$J$5:$J$2427,J$1)</f>
        <v>0</v>
      </c>
      <c r="K76" s="183">
        <f>SUMIFS('март 2025'!$G$5:$G$2427,'март 2025'!$D$5:$D$2427,$B76,'март 2025'!$J$5:$J$2427,K$1)</f>
        <v>0</v>
      </c>
      <c r="L76" s="183">
        <f>SUMIFS('март 2025'!$G$5:$G$2427,'март 2025'!$D$5:$D$2427,$B76,'март 2025'!$J$5:$J$2427,L$1)</f>
        <v>0</v>
      </c>
      <c r="M76" s="183">
        <f>SUMIFS('март 2025'!$G$5:$G$2427,'март 2025'!$D$5:$D$2427,$B76,'март 2025'!$J$5:$J$2427,M$1)</f>
        <v>0</v>
      </c>
      <c r="N76" s="183">
        <f>SUMIFS('март 2025'!$G$5:$G$2427,'март 2025'!$D$5:$D$2427,$B76,'март 2025'!$J$5:$J$2427,N$1)</f>
        <v>0</v>
      </c>
      <c r="O76" s="183">
        <f>SUMIFS('март 2025'!$G$5:$G$2427,'март 2025'!$D$5:$D$2427,$B76,'март 2025'!$J$5:$J$2427,O$1)</f>
        <v>0</v>
      </c>
      <c r="P76" s="183">
        <f>SUMIFS('март 2025'!$G$5:$G$2427,'март 2025'!$D$5:$D$2427,$B76,'март 2025'!$J$5:$J$2427,P$1)</f>
        <v>0</v>
      </c>
      <c r="Q76" s="183">
        <f>SUMIFS('март 2025'!$G$5:$G$2427,'март 2025'!$D$5:$D$2427,$B76,'март 2025'!$J$5:$J$2427,Q$1)</f>
        <v>0</v>
      </c>
      <c r="R76" s="183">
        <f>SUMIFS('март 2025'!$G$5:$G$2427,'март 2025'!$D$5:$D$2427,$B76,'март 2025'!$J$5:$J$2427,R$1)</f>
        <v>0</v>
      </c>
      <c r="S76" s="183">
        <f>SUMIFS('март 2025'!$G$5:$G$2427,'март 2025'!$D$5:$D$2427,$B76,'март 2025'!$J$5:$J$2427,S$1)</f>
        <v>0</v>
      </c>
      <c r="T76" s="183">
        <f>SUMIFS('март 2025'!$G$5:$G$2427,'март 2025'!$D$5:$D$2427,$B76,'март 2025'!$J$5:$J$2427,T$1)</f>
        <v>0</v>
      </c>
      <c r="U76" s="183">
        <f>SUMIFS('март 2025'!$G$5:$G$2427,'март 2025'!$D$5:$D$2427,$B76,'март 2025'!$J$5:$J$2427,U$1)</f>
        <v>0</v>
      </c>
      <c r="V76" s="183">
        <f>SUMIFS('март 2025'!$G$5:$G$2427,'март 2025'!$D$5:$D$2427,$B76,'март 2025'!$J$5:$J$2427,V$1)</f>
        <v>0</v>
      </c>
      <c r="W76" s="183">
        <f>SUMIFS('март 2025'!$G$5:$G$2427,'март 2025'!$D$5:$D$2427,$B76,'март 2025'!$J$5:$J$2427,W$1)</f>
        <v>0</v>
      </c>
      <c r="X76" s="183">
        <f>SUMIFS('март 2025'!$G$5:$G$2427,'март 2025'!$D$5:$D$2427,$B76,'март 2025'!$J$5:$J$2427,X$1)</f>
        <v>0</v>
      </c>
      <c r="Y76" s="183">
        <f>SUMIFS('март 2025'!$G$5:$G$2427,'март 2025'!$D$5:$D$2427,$B76,'март 2025'!$J$5:$J$2427,Y$1)</f>
        <v>0</v>
      </c>
      <c r="Z76" s="183">
        <f>SUMIFS('март 2025'!$G$5:$G$2427,'март 2025'!$D$5:$D$2427,$B76,'март 2025'!$J$5:$J$2427,Z$1)</f>
        <v>0</v>
      </c>
      <c r="AA76" s="183">
        <f>SUMIFS('март 2025'!$G$5:$G$2427,'март 2025'!$D$5:$D$2427,$B76,'март 2025'!$J$5:$J$2427,AA$1)</f>
        <v>0</v>
      </c>
      <c r="AB76" s="183">
        <f>SUMIFS('март 2025'!$G$5:$G$2427,'март 2025'!$D$5:$D$2427,$B76,'март 2025'!$J$5:$J$2427,AB$1)</f>
        <v>0</v>
      </c>
      <c r="AC76" s="183">
        <f>SUMIFS('март 2025'!$G$5:$G$2427,'март 2025'!$D$5:$D$2427,$B76,'март 2025'!$J$5:$J$2427,AC$1)</f>
        <v>0</v>
      </c>
      <c r="AD76" s="183">
        <f>SUMIFS('март 2025'!$G$5:$G$2427,'март 2025'!$D$5:$D$2427,$B76,'март 2025'!$J$5:$J$2427,AD$1)</f>
        <v>0</v>
      </c>
      <c r="AE76" s="183">
        <f>SUMIFS('март 2025'!$G$5:$G$2427,'март 2025'!$D$5:$D$2427,$B76,'март 2025'!$J$5:$J$2427,AE$1)</f>
        <v>0</v>
      </c>
      <c r="AF76" s="183">
        <f>SUMIFS('март 2025'!$G$5:$G$2427,'март 2025'!$D$5:$D$2427,$B76,'март 2025'!$J$5:$J$2427,AF$1)</f>
        <v>0</v>
      </c>
      <c r="AG76" s="183">
        <f>SUMIFS('март 2025'!$G$5:$G$2427,'март 2025'!$D$5:$D$2427,$B76,'март 2025'!$J$5:$J$2427,AG$1)</f>
        <v>0</v>
      </c>
      <c r="AH76" s="183">
        <f>SUMIFS('март 2025'!$G$5:$G$2427,'март 2025'!$D$5:$D$2427,$B76,'март 2025'!$J$5:$J$2427,AH$1)</f>
        <v>0</v>
      </c>
      <c r="AI76" s="20">
        <f t="shared" si="1"/>
        <v>0</v>
      </c>
    </row>
    <row r="77" spans="2:35" ht="15" customHeight="1" x14ac:dyDescent="0.25">
      <c r="B77" s="88" t="s">
        <v>199</v>
      </c>
      <c r="C77" s="86">
        <v>200</v>
      </c>
      <c r="D77" s="183">
        <f>SUMIFS('март 2025'!$G$5:$G$2427,'март 2025'!$D$5:$D$2427,$B77,'март 2025'!$J$5:$J$2427,D$1)</f>
        <v>0</v>
      </c>
      <c r="E77" s="183">
        <f>SUMIFS('март 2025'!$G$5:$G$2427,'март 2025'!$D$5:$D$2427,$B77,'март 2025'!$J$5:$J$2427,E$1)</f>
        <v>0</v>
      </c>
      <c r="F77" s="183">
        <f>SUMIFS('март 2025'!$G$5:$G$2427,'март 2025'!$D$5:$D$2427,$B77,'март 2025'!$J$5:$J$2427,F$1)</f>
        <v>0</v>
      </c>
      <c r="G77" s="183">
        <f>SUMIFS('март 2025'!$G$5:$G$2427,'март 2025'!$D$5:$D$2427,$B77,'март 2025'!$J$5:$J$2427,G$1)</f>
        <v>0</v>
      </c>
      <c r="H77" s="183">
        <f>SUMIFS('март 2025'!$G$5:$G$2427,'март 2025'!$D$5:$D$2427,$B77,'март 2025'!$J$5:$J$2427,H$1)</f>
        <v>0</v>
      </c>
      <c r="I77" s="183">
        <f>SUMIFS('март 2025'!$G$5:$G$2427,'март 2025'!$D$5:$D$2427,$B77,'март 2025'!$J$5:$J$2427,I$1)</f>
        <v>0</v>
      </c>
      <c r="J77" s="183">
        <f>SUMIFS('март 2025'!$G$5:$G$2427,'март 2025'!$D$5:$D$2427,$B77,'март 2025'!$J$5:$J$2427,J$1)</f>
        <v>0</v>
      </c>
      <c r="K77" s="183">
        <f>SUMIFS('март 2025'!$G$5:$G$2427,'март 2025'!$D$5:$D$2427,$B77,'март 2025'!$J$5:$J$2427,K$1)</f>
        <v>0</v>
      </c>
      <c r="L77" s="183">
        <f>SUMIFS('март 2025'!$G$5:$G$2427,'март 2025'!$D$5:$D$2427,$B77,'март 2025'!$J$5:$J$2427,L$1)</f>
        <v>0</v>
      </c>
      <c r="M77" s="183">
        <f>SUMIFS('март 2025'!$G$5:$G$2427,'март 2025'!$D$5:$D$2427,$B77,'март 2025'!$J$5:$J$2427,M$1)</f>
        <v>0</v>
      </c>
      <c r="N77" s="183">
        <f>SUMIFS('март 2025'!$G$5:$G$2427,'март 2025'!$D$5:$D$2427,$B77,'март 2025'!$J$5:$J$2427,N$1)</f>
        <v>0</v>
      </c>
      <c r="O77" s="183">
        <f>SUMIFS('март 2025'!$G$5:$G$2427,'март 2025'!$D$5:$D$2427,$B77,'март 2025'!$J$5:$J$2427,O$1)</f>
        <v>0</v>
      </c>
      <c r="P77" s="183">
        <f>SUMIFS('март 2025'!$G$5:$G$2427,'март 2025'!$D$5:$D$2427,$B77,'март 2025'!$J$5:$J$2427,P$1)</f>
        <v>0</v>
      </c>
      <c r="Q77" s="183">
        <f>SUMIFS('март 2025'!$G$5:$G$2427,'март 2025'!$D$5:$D$2427,$B77,'март 2025'!$J$5:$J$2427,Q$1)</f>
        <v>0</v>
      </c>
      <c r="R77" s="183">
        <f>SUMIFS('март 2025'!$G$5:$G$2427,'март 2025'!$D$5:$D$2427,$B77,'март 2025'!$J$5:$J$2427,R$1)</f>
        <v>0</v>
      </c>
      <c r="S77" s="183">
        <f>SUMIFS('март 2025'!$G$5:$G$2427,'март 2025'!$D$5:$D$2427,$B77,'март 2025'!$J$5:$J$2427,S$1)</f>
        <v>0</v>
      </c>
      <c r="T77" s="183">
        <f>SUMIFS('март 2025'!$G$5:$G$2427,'март 2025'!$D$5:$D$2427,$B77,'март 2025'!$J$5:$J$2427,T$1)</f>
        <v>0</v>
      </c>
      <c r="U77" s="183">
        <f>SUMIFS('март 2025'!$G$5:$G$2427,'март 2025'!$D$5:$D$2427,$B77,'март 2025'!$J$5:$J$2427,U$1)</f>
        <v>0</v>
      </c>
      <c r="V77" s="183">
        <f>SUMIFS('март 2025'!$G$5:$G$2427,'март 2025'!$D$5:$D$2427,$B77,'март 2025'!$J$5:$J$2427,V$1)</f>
        <v>0</v>
      </c>
      <c r="W77" s="183">
        <f>SUMIFS('март 2025'!$G$5:$G$2427,'март 2025'!$D$5:$D$2427,$B77,'март 2025'!$J$5:$J$2427,W$1)</f>
        <v>0</v>
      </c>
      <c r="X77" s="183">
        <f>SUMIFS('март 2025'!$G$5:$G$2427,'март 2025'!$D$5:$D$2427,$B77,'март 2025'!$J$5:$J$2427,X$1)</f>
        <v>0</v>
      </c>
      <c r="Y77" s="183">
        <f>SUMIFS('март 2025'!$G$5:$G$2427,'март 2025'!$D$5:$D$2427,$B77,'март 2025'!$J$5:$J$2427,Y$1)</f>
        <v>0</v>
      </c>
      <c r="Z77" s="183">
        <f>SUMIFS('март 2025'!$G$5:$G$2427,'март 2025'!$D$5:$D$2427,$B77,'март 2025'!$J$5:$J$2427,Z$1)</f>
        <v>0</v>
      </c>
      <c r="AA77" s="183">
        <f>SUMIFS('март 2025'!$G$5:$G$2427,'март 2025'!$D$5:$D$2427,$B77,'март 2025'!$J$5:$J$2427,AA$1)</f>
        <v>0</v>
      </c>
      <c r="AB77" s="183">
        <f>SUMIFS('март 2025'!$G$5:$G$2427,'март 2025'!$D$5:$D$2427,$B77,'март 2025'!$J$5:$J$2427,AB$1)</f>
        <v>0</v>
      </c>
      <c r="AC77" s="183">
        <f>SUMIFS('март 2025'!$G$5:$G$2427,'март 2025'!$D$5:$D$2427,$B77,'март 2025'!$J$5:$J$2427,AC$1)</f>
        <v>0</v>
      </c>
      <c r="AD77" s="183">
        <f>SUMIFS('март 2025'!$G$5:$G$2427,'март 2025'!$D$5:$D$2427,$B77,'март 2025'!$J$5:$J$2427,AD$1)</f>
        <v>0</v>
      </c>
      <c r="AE77" s="183">
        <f>SUMIFS('март 2025'!$G$5:$G$2427,'март 2025'!$D$5:$D$2427,$B77,'март 2025'!$J$5:$J$2427,AE$1)</f>
        <v>0</v>
      </c>
      <c r="AF77" s="183">
        <f>SUMIFS('март 2025'!$G$5:$G$2427,'март 2025'!$D$5:$D$2427,$B77,'март 2025'!$J$5:$J$2427,AF$1)</f>
        <v>0</v>
      </c>
      <c r="AG77" s="183">
        <f>SUMIFS('март 2025'!$G$5:$G$2427,'март 2025'!$D$5:$D$2427,$B77,'март 2025'!$J$5:$J$2427,AG$1)</f>
        <v>0</v>
      </c>
      <c r="AH77" s="183">
        <f>SUMIFS('март 2025'!$G$5:$G$2427,'март 2025'!$D$5:$D$2427,$B77,'март 2025'!$J$5:$J$2427,AH$1)</f>
        <v>0</v>
      </c>
      <c r="AI77" s="20">
        <f t="shared" si="1"/>
        <v>0</v>
      </c>
    </row>
    <row r="78" spans="2:35" ht="15" customHeight="1" x14ac:dyDescent="0.25">
      <c r="B78" s="88" t="s">
        <v>206</v>
      </c>
      <c r="C78" s="86">
        <v>25</v>
      </c>
      <c r="D78" s="183">
        <f>SUMIFS('март 2025'!$G$5:$G$2427,'март 2025'!$D$5:$D$2427,$B78,'март 2025'!$J$5:$J$2427,D$1)</f>
        <v>0</v>
      </c>
      <c r="E78" s="183">
        <f>SUMIFS('март 2025'!$G$5:$G$2427,'март 2025'!$D$5:$D$2427,$B78,'март 2025'!$J$5:$J$2427,E$1)</f>
        <v>0</v>
      </c>
      <c r="F78" s="183">
        <f>SUMIFS('март 2025'!$G$5:$G$2427,'март 2025'!$D$5:$D$2427,$B78,'март 2025'!$J$5:$J$2427,F$1)</f>
        <v>0</v>
      </c>
      <c r="G78" s="183">
        <f>SUMIFS('март 2025'!$G$5:$G$2427,'март 2025'!$D$5:$D$2427,$B78,'март 2025'!$J$5:$J$2427,G$1)</f>
        <v>0</v>
      </c>
      <c r="H78" s="183">
        <f>SUMIFS('март 2025'!$G$5:$G$2427,'март 2025'!$D$5:$D$2427,$B78,'март 2025'!$J$5:$J$2427,H$1)</f>
        <v>0</v>
      </c>
      <c r="I78" s="183">
        <f>SUMIFS('март 2025'!$G$5:$G$2427,'март 2025'!$D$5:$D$2427,$B78,'март 2025'!$J$5:$J$2427,I$1)</f>
        <v>0</v>
      </c>
      <c r="J78" s="183">
        <f>SUMIFS('март 2025'!$G$5:$G$2427,'март 2025'!$D$5:$D$2427,$B78,'март 2025'!$J$5:$J$2427,J$1)</f>
        <v>0</v>
      </c>
      <c r="K78" s="183">
        <f>SUMIFS('март 2025'!$G$5:$G$2427,'март 2025'!$D$5:$D$2427,$B78,'март 2025'!$J$5:$J$2427,K$1)</f>
        <v>0</v>
      </c>
      <c r="L78" s="183">
        <f>SUMIFS('март 2025'!$G$5:$G$2427,'март 2025'!$D$5:$D$2427,$B78,'март 2025'!$J$5:$J$2427,L$1)</f>
        <v>0</v>
      </c>
      <c r="M78" s="183">
        <f>SUMIFS('март 2025'!$G$5:$G$2427,'март 2025'!$D$5:$D$2427,$B78,'март 2025'!$J$5:$J$2427,M$1)</f>
        <v>0</v>
      </c>
      <c r="N78" s="183">
        <f>SUMIFS('март 2025'!$G$5:$G$2427,'март 2025'!$D$5:$D$2427,$B78,'март 2025'!$J$5:$J$2427,N$1)</f>
        <v>0</v>
      </c>
      <c r="O78" s="183">
        <f>SUMIFS('март 2025'!$G$5:$G$2427,'март 2025'!$D$5:$D$2427,$B78,'март 2025'!$J$5:$J$2427,O$1)</f>
        <v>0</v>
      </c>
      <c r="P78" s="183">
        <f>SUMIFS('март 2025'!$G$5:$G$2427,'март 2025'!$D$5:$D$2427,$B78,'март 2025'!$J$5:$J$2427,P$1)</f>
        <v>0</v>
      </c>
      <c r="Q78" s="183">
        <f>SUMIFS('март 2025'!$G$5:$G$2427,'март 2025'!$D$5:$D$2427,$B78,'март 2025'!$J$5:$J$2427,Q$1)</f>
        <v>0</v>
      </c>
      <c r="R78" s="183">
        <f>SUMIFS('март 2025'!$G$5:$G$2427,'март 2025'!$D$5:$D$2427,$B78,'март 2025'!$J$5:$J$2427,R$1)</f>
        <v>0</v>
      </c>
      <c r="S78" s="183">
        <f>SUMIFS('март 2025'!$G$5:$G$2427,'март 2025'!$D$5:$D$2427,$B78,'март 2025'!$J$5:$J$2427,S$1)</f>
        <v>0</v>
      </c>
      <c r="T78" s="183">
        <f>SUMIFS('март 2025'!$G$5:$G$2427,'март 2025'!$D$5:$D$2427,$B78,'март 2025'!$J$5:$J$2427,T$1)</f>
        <v>0</v>
      </c>
      <c r="U78" s="183">
        <f>SUMIFS('март 2025'!$G$5:$G$2427,'март 2025'!$D$5:$D$2427,$B78,'март 2025'!$J$5:$J$2427,U$1)</f>
        <v>0</v>
      </c>
      <c r="V78" s="183">
        <f>SUMIFS('март 2025'!$G$5:$G$2427,'март 2025'!$D$5:$D$2427,$B78,'март 2025'!$J$5:$J$2427,V$1)</f>
        <v>0</v>
      </c>
      <c r="W78" s="183">
        <f>SUMIFS('март 2025'!$G$5:$G$2427,'март 2025'!$D$5:$D$2427,$B78,'март 2025'!$J$5:$J$2427,W$1)</f>
        <v>0</v>
      </c>
      <c r="X78" s="183">
        <f>SUMIFS('март 2025'!$G$5:$G$2427,'март 2025'!$D$5:$D$2427,$B78,'март 2025'!$J$5:$J$2427,X$1)</f>
        <v>0</v>
      </c>
      <c r="Y78" s="183">
        <f>SUMIFS('март 2025'!$G$5:$G$2427,'март 2025'!$D$5:$D$2427,$B78,'март 2025'!$J$5:$J$2427,Y$1)</f>
        <v>0</v>
      </c>
      <c r="Z78" s="183">
        <f>SUMIFS('март 2025'!$G$5:$G$2427,'март 2025'!$D$5:$D$2427,$B78,'март 2025'!$J$5:$J$2427,Z$1)</f>
        <v>0</v>
      </c>
      <c r="AA78" s="183">
        <f>SUMIFS('март 2025'!$G$5:$G$2427,'март 2025'!$D$5:$D$2427,$B78,'март 2025'!$J$5:$J$2427,AA$1)</f>
        <v>0</v>
      </c>
      <c r="AB78" s="183">
        <f>SUMIFS('март 2025'!$G$5:$G$2427,'март 2025'!$D$5:$D$2427,$B78,'март 2025'!$J$5:$J$2427,AB$1)</f>
        <v>0</v>
      </c>
      <c r="AC78" s="183">
        <f>SUMIFS('март 2025'!$G$5:$G$2427,'март 2025'!$D$5:$D$2427,$B78,'март 2025'!$J$5:$J$2427,AC$1)</f>
        <v>0</v>
      </c>
      <c r="AD78" s="183">
        <f>SUMIFS('март 2025'!$G$5:$G$2427,'март 2025'!$D$5:$D$2427,$B78,'март 2025'!$J$5:$J$2427,AD$1)</f>
        <v>0</v>
      </c>
      <c r="AE78" s="183">
        <f>SUMIFS('март 2025'!$G$5:$G$2427,'март 2025'!$D$5:$D$2427,$B78,'март 2025'!$J$5:$J$2427,AE$1)</f>
        <v>0</v>
      </c>
      <c r="AF78" s="183">
        <f>SUMIFS('март 2025'!$G$5:$G$2427,'март 2025'!$D$5:$D$2427,$B78,'март 2025'!$J$5:$J$2427,AF$1)</f>
        <v>0</v>
      </c>
      <c r="AG78" s="183">
        <f>SUMIFS('март 2025'!$G$5:$G$2427,'март 2025'!$D$5:$D$2427,$B78,'март 2025'!$J$5:$J$2427,AG$1)</f>
        <v>0</v>
      </c>
      <c r="AH78" s="183">
        <f>SUMIFS('март 2025'!$G$5:$G$2427,'март 2025'!$D$5:$D$2427,$B78,'март 2025'!$J$5:$J$2427,AH$1)</f>
        <v>0</v>
      </c>
      <c r="AI78" s="20">
        <f t="shared" si="1"/>
        <v>0</v>
      </c>
    </row>
    <row r="79" spans="2:35" ht="15" customHeight="1" x14ac:dyDescent="0.25">
      <c r="B79" s="88" t="s">
        <v>178</v>
      </c>
      <c r="C79" s="86">
        <v>50</v>
      </c>
      <c r="D79" s="183">
        <f>SUMIFS('март 2025'!$G$5:$G$2427,'март 2025'!$D$5:$D$2427,$B79,'март 2025'!$J$5:$J$2427,D$1)</f>
        <v>0</v>
      </c>
      <c r="E79" s="183">
        <f>SUMIFS('март 2025'!$G$5:$G$2427,'март 2025'!$D$5:$D$2427,$B79,'март 2025'!$J$5:$J$2427,E$1)</f>
        <v>0</v>
      </c>
      <c r="F79" s="183">
        <f>SUMIFS('март 2025'!$G$5:$G$2427,'март 2025'!$D$5:$D$2427,$B79,'март 2025'!$J$5:$J$2427,F$1)</f>
        <v>0</v>
      </c>
      <c r="G79" s="183">
        <f>SUMIFS('март 2025'!$G$5:$G$2427,'март 2025'!$D$5:$D$2427,$B79,'март 2025'!$J$5:$J$2427,G$1)</f>
        <v>0</v>
      </c>
      <c r="H79" s="183">
        <f>SUMIFS('март 2025'!$G$5:$G$2427,'март 2025'!$D$5:$D$2427,$B79,'март 2025'!$J$5:$J$2427,H$1)</f>
        <v>0</v>
      </c>
      <c r="I79" s="183">
        <f>SUMIFS('март 2025'!$G$5:$G$2427,'март 2025'!$D$5:$D$2427,$B79,'март 2025'!$J$5:$J$2427,I$1)</f>
        <v>0</v>
      </c>
      <c r="J79" s="183">
        <f>SUMIFS('март 2025'!$G$5:$G$2427,'март 2025'!$D$5:$D$2427,$B79,'март 2025'!$J$5:$J$2427,J$1)</f>
        <v>0</v>
      </c>
      <c r="K79" s="183">
        <f>SUMIFS('март 2025'!$G$5:$G$2427,'март 2025'!$D$5:$D$2427,$B79,'март 2025'!$J$5:$J$2427,K$1)</f>
        <v>0</v>
      </c>
      <c r="L79" s="183">
        <f>SUMIFS('март 2025'!$G$5:$G$2427,'март 2025'!$D$5:$D$2427,$B79,'март 2025'!$J$5:$J$2427,L$1)</f>
        <v>0</v>
      </c>
      <c r="M79" s="183">
        <f>SUMIFS('март 2025'!$G$5:$G$2427,'март 2025'!$D$5:$D$2427,$B79,'март 2025'!$J$5:$J$2427,M$1)</f>
        <v>0</v>
      </c>
      <c r="N79" s="183">
        <f>SUMIFS('март 2025'!$G$5:$G$2427,'март 2025'!$D$5:$D$2427,$B79,'март 2025'!$J$5:$J$2427,N$1)</f>
        <v>0</v>
      </c>
      <c r="O79" s="183">
        <f>SUMIFS('март 2025'!$G$5:$G$2427,'март 2025'!$D$5:$D$2427,$B79,'март 2025'!$J$5:$J$2427,O$1)</f>
        <v>0</v>
      </c>
      <c r="P79" s="183">
        <f>SUMIFS('март 2025'!$G$5:$G$2427,'март 2025'!$D$5:$D$2427,$B79,'март 2025'!$J$5:$J$2427,P$1)</f>
        <v>0</v>
      </c>
      <c r="Q79" s="183">
        <f>SUMIFS('март 2025'!$G$5:$G$2427,'март 2025'!$D$5:$D$2427,$B79,'март 2025'!$J$5:$J$2427,Q$1)</f>
        <v>0</v>
      </c>
      <c r="R79" s="183">
        <f>SUMIFS('март 2025'!$G$5:$G$2427,'март 2025'!$D$5:$D$2427,$B79,'март 2025'!$J$5:$J$2427,R$1)</f>
        <v>0</v>
      </c>
      <c r="S79" s="183">
        <f>SUMIFS('март 2025'!$G$5:$G$2427,'март 2025'!$D$5:$D$2427,$B79,'март 2025'!$J$5:$J$2427,S$1)</f>
        <v>0</v>
      </c>
      <c r="T79" s="183">
        <f>SUMIFS('март 2025'!$G$5:$G$2427,'март 2025'!$D$5:$D$2427,$B79,'март 2025'!$J$5:$J$2427,T$1)</f>
        <v>0</v>
      </c>
      <c r="U79" s="183">
        <f>SUMIFS('март 2025'!$G$5:$G$2427,'март 2025'!$D$5:$D$2427,$B79,'март 2025'!$J$5:$J$2427,U$1)</f>
        <v>0</v>
      </c>
      <c r="V79" s="183">
        <f>SUMIFS('март 2025'!$G$5:$G$2427,'март 2025'!$D$5:$D$2427,$B79,'март 2025'!$J$5:$J$2427,V$1)</f>
        <v>0</v>
      </c>
      <c r="W79" s="183">
        <f>SUMIFS('март 2025'!$G$5:$G$2427,'март 2025'!$D$5:$D$2427,$B79,'март 2025'!$J$5:$J$2427,W$1)</f>
        <v>0</v>
      </c>
      <c r="X79" s="183">
        <f>SUMIFS('март 2025'!$G$5:$G$2427,'март 2025'!$D$5:$D$2427,$B79,'март 2025'!$J$5:$J$2427,X$1)</f>
        <v>0</v>
      </c>
      <c r="Y79" s="183">
        <f>SUMIFS('март 2025'!$G$5:$G$2427,'март 2025'!$D$5:$D$2427,$B79,'март 2025'!$J$5:$J$2427,Y$1)</f>
        <v>0</v>
      </c>
      <c r="Z79" s="183">
        <f>SUMIFS('март 2025'!$G$5:$G$2427,'март 2025'!$D$5:$D$2427,$B79,'март 2025'!$J$5:$J$2427,Z$1)</f>
        <v>0</v>
      </c>
      <c r="AA79" s="183">
        <f>SUMIFS('март 2025'!$G$5:$G$2427,'март 2025'!$D$5:$D$2427,$B79,'март 2025'!$J$5:$J$2427,AA$1)</f>
        <v>0</v>
      </c>
      <c r="AB79" s="183">
        <f>SUMIFS('март 2025'!$G$5:$G$2427,'март 2025'!$D$5:$D$2427,$B79,'март 2025'!$J$5:$J$2427,AB$1)</f>
        <v>0</v>
      </c>
      <c r="AC79" s="183">
        <f>SUMIFS('март 2025'!$G$5:$G$2427,'март 2025'!$D$5:$D$2427,$B79,'март 2025'!$J$5:$J$2427,AC$1)</f>
        <v>0</v>
      </c>
      <c r="AD79" s="183">
        <f>SUMIFS('март 2025'!$G$5:$G$2427,'март 2025'!$D$5:$D$2427,$B79,'март 2025'!$J$5:$J$2427,AD$1)</f>
        <v>0</v>
      </c>
      <c r="AE79" s="183">
        <f>SUMIFS('март 2025'!$G$5:$G$2427,'март 2025'!$D$5:$D$2427,$B79,'март 2025'!$J$5:$J$2427,AE$1)</f>
        <v>0</v>
      </c>
      <c r="AF79" s="183">
        <f>SUMIFS('март 2025'!$G$5:$G$2427,'март 2025'!$D$5:$D$2427,$B79,'март 2025'!$J$5:$J$2427,AF$1)</f>
        <v>0</v>
      </c>
      <c r="AG79" s="183">
        <f>SUMIFS('март 2025'!$G$5:$G$2427,'март 2025'!$D$5:$D$2427,$B79,'март 2025'!$J$5:$J$2427,AG$1)</f>
        <v>0</v>
      </c>
      <c r="AH79" s="183">
        <f>SUMIFS('март 2025'!$G$5:$G$2427,'март 2025'!$D$5:$D$2427,$B79,'март 2025'!$J$5:$J$2427,AH$1)</f>
        <v>0</v>
      </c>
      <c r="AI79" s="20">
        <f t="shared" si="1"/>
        <v>0</v>
      </c>
    </row>
    <row r="80" spans="2:35" ht="15" customHeight="1" x14ac:dyDescent="0.25">
      <c r="B80" s="88" t="s">
        <v>167</v>
      </c>
      <c r="C80" s="86">
        <v>200</v>
      </c>
      <c r="D80" s="183">
        <f>SUMIFS('март 2025'!$G$5:$G$2427,'март 2025'!$D$5:$D$2427,$B80,'март 2025'!$J$5:$J$2427,D$1)</f>
        <v>0</v>
      </c>
      <c r="E80" s="183">
        <f>SUMIFS('март 2025'!$G$5:$G$2427,'март 2025'!$D$5:$D$2427,$B80,'март 2025'!$J$5:$J$2427,E$1)</f>
        <v>0</v>
      </c>
      <c r="F80" s="183">
        <f>SUMIFS('март 2025'!$G$5:$G$2427,'март 2025'!$D$5:$D$2427,$B80,'март 2025'!$J$5:$J$2427,F$1)</f>
        <v>0</v>
      </c>
      <c r="G80" s="183">
        <f>SUMIFS('март 2025'!$G$5:$G$2427,'март 2025'!$D$5:$D$2427,$B80,'март 2025'!$J$5:$J$2427,G$1)</f>
        <v>0</v>
      </c>
      <c r="H80" s="183">
        <f>SUMIFS('март 2025'!$G$5:$G$2427,'март 2025'!$D$5:$D$2427,$B80,'март 2025'!$J$5:$J$2427,H$1)</f>
        <v>0</v>
      </c>
      <c r="I80" s="183">
        <f>SUMIFS('март 2025'!$G$5:$G$2427,'март 2025'!$D$5:$D$2427,$B80,'март 2025'!$J$5:$J$2427,I$1)</f>
        <v>0</v>
      </c>
      <c r="J80" s="183">
        <f>SUMIFS('март 2025'!$G$5:$G$2427,'март 2025'!$D$5:$D$2427,$B80,'март 2025'!$J$5:$J$2427,J$1)</f>
        <v>0</v>
      </c>
      <c r="K80" s="183">
        <f>SUMIFS('март 2025'!$G$5:$G$2427,'март 2025'!$D$5:$D$2427,$B80,'март 2025'!$J$5:$J$2427,K$1)</f>
        <v>0</v>
      </c>
      <c r="L80" s="183">
        <f>SUMIFS('март 2025'!$G$5:$G$2427,'март 2025'!$D$5:$D$2427,$B80,'март 2025'!$J$5:$J$2427,L$1)</f>
        <v>0</v>
      </c>
      <c r="M80" s="183">
        <f>SUMIFS('март 2025'!$G$5:$G$2427,'март 2025'!$D$5:$D$2427,$B80,'март 2025'!$J$5:$J$2427,M$1)</f>
        <v>0</v>
      </c>
      <c r="N80" s="183">
        <f>SUMIFS('март 2025'!$G$5:$G$2427,'март 2025'!$D$5:$D$2427,$B80,'март 2025'!$J$5:$J$2427,N$1)</f>
        <v>0</v>
      </c>
      <c r="O80" s="183">
        <f>SUMIFS('март 2025'!$G$5:$G$2427,'март 2025'!$D$5:$D$2427,$B80,'март 2025'!$J$5:$J$2427,O$1)</f>
        <v>0</v>
      </c>
      <c r="P80" s="183">
        <f>SUMIFS('март 2025'!$G$5:$G$2427,'март 2025'!$D$5:$D$2427,$B80,'март 2025'!$J$5:$J$2427,P$1)</f>
        <v>0</v>
      </c>
      <c r="Q80" s="183">
        <f>SUMIFS('март 2025'!$G$5:$G$2427,'март 2025'!$D$5:$D$2427,$B80,'март 2025'!$J$5:$J$2427,Q$1)</f>
        <v>0</v>
      </c>
      <c r="R80" s="183">
        <f>SUMIFS('март 2025'!$G$5:$G$2427,'март 2025'!$D$5:$D$2427,$B80,'март 2025'!$J$5:$J$2427,R$1)</f>
        <v>0</v>
      </c>
      <c r="S80" s="183">
        <f>SUMIFS('март 2025'!$G$5:$G$2427,'март 2025'!$D$5:$D$2427,$B80,'март 2025'!$J$5:$J$2427,S$1)</f>
        <v>0</v>
      </c>
      <c r="T80" s="183">
        <f>SUMIFS('март 2025'!$G$5:$G$2427,'март 2025'!$D$5:$D$2427,$B80,'март 2025'!$J$5:$J$2427,T$1)</f>
        <v>0</v>
      </c>
      <c r="U80" s="183">
        <f>SUMIFS('март 2025'!$G$5:$G$2427,'март 2025'!$D$5:$D$2427,$B80,'март 2025'!$J$5:$J$2427,U$1)</f>
        <v>0</v>
      </c>
      <c r="V80" s="183">
        <f>SUMIFS('март 2025'!$G$5:$G$2427,'март 2025'!$D$5:$D$2427,$B80,'март 2025'!$J$5:$J$2427,V$1)</f>
        <v>0</v>
      </c>
      <c r="W80" s="183">
        <f>SUMIFS('март 2025'!$G$5:$G$2427,'март 2025'!$D$5:$D$2427,$B80,'март 2025'!$J$5:$J$2427,W$1)</f>
        <v>0</v>
      </c>
      <c r="X80" s="183">
        <f>SUMIFS('март 2025'!$G$5:$G$2427,'март 2025'!$D$5:$D$2427,$B80,'март 2025'!$J$5:$J$2427,X$1)</f>
        <v>0</v>
      </c>
      <c r="Y80" s="183">
        <f>SUMIFS('март 2025'!$G$5:$G$2427,'март 2025'!$D$5:$D$2427,$B80,'март 2025'!$J$5:$J$2427,Y$1)</f>
        <v>0</v>
      </c>
      <c r="Z80" s="183">
        <f>SUMIFS('март 2025'!$G$5:$G$2427,'март 2025'!$D$5:$D$2427,$B80,'март 2025'!$J$5:$J$2427,Z$1)</f>
        <v>0</v>
      </c>
      <c r="AA80" s="183">
        <f>SUMIFS('март 2025'!$G$5:$G$2427,'март 2025'!$D$5:$D$2427,$B80,'март 2025'!$J$5:$J$2427,AA$1)</f>
        <v>0</v>
      </c>
      <c r="AB80" s="183">
        <f>SUMIFS('март 2025'!$G$5:$G$2427,'март 2025'!$D$5:$D$2427,$B80,'март 2025'!$J$5:$J$2427,AB$1)</f>
        <v>0</v>
      </c>
      <c r="AC80" s="183">
        <f>SUMIFS('март 2025'!$G$5:$G$2427,'март 2025'!$D$5:$D$2427,$B80,'март 2025'!$J$5:$J$2427,AC$1)</f>
        <v>0</v>
      </c>
      <c r="AD80" s="183">
        <f>SUMIFS('март 2025'!$G$5:$G$2427,'март 2025'!$D$5:$D$2427,$B80,'март 2025'!$J$5:$J$2427,AD$1)</f>
        <v>0</v>
      </c>
      <c r="AE80" s="183">
        <f>SUMIFS('март 2025'!$G$5:$G$2427,'март 2025'!$D$5:$D$2427,$B80,'март 2025'!$J$5:$J$2427,AE$1)</f>
        <v>0</v>
      </c>
      <c r="AF80" s="183">
        <f>SUMIFS('март 2025'!$G$5:$G$2427,'март 2025'!$D$5:$D$2427,$B80,'март 2025'!$J$5:$J$2427,AF$1)</f>
        <v>0</v>
      </c>
      <c r="AG80" s="183">
        <f>SUMIFS('март 2025'!$G$5:$G$2427,'март 2025'!$D$5:$D$2427,$B80,'март 2025'!$J$5:$J$2427,AG$1)</f>
        <v>0</v>
      </c>
      <c r="AH80" s="183">
        <f>SUMIFS('март 2025'!$G$5:$G$2427,'март 2025'!$D$5:$D$2427,$B80,'март 2025'!$J$5:$J$2427,AH$1)</f>
        <v>0</v>
      </c>
      <c r="AI80" s="20">
        <f t="shared" si="1"/>
        <v>0</v>
      </c>
    </row>
    <row r="81" spans="2:35" ht="15" customHeight="1" x14ac:dyDescent="0.25">
      <c r="B81" s="88" t="s">
        <v>168</v>
      </c>
      <c r="C81" s="86">
        <v>200</v>
      </c>
      <c r="D81" s="183">
        <f>SUMIFS('март 2025'!$G$5:$G$2427,'март 2025'!$D$5:$D$2427,$B81,'март 2025'!$J$5:$J$2427,D$1)</f>
        <v>0</v>
      </c>
      <c r="E81" s="183">
        <f>SUMIFS('март 2025'!$G$5:$G$2427,'март 2025'!$D$5:$D$2427,$B81,'март 2025'!$J$5:$J$2427,E$1)</f>
        <v>0</v>
      </c>
      <c r="F81" s="183">
        <f>SUMIFS('март 2025'!$G$5:$G$2427,'март 2025'!$D$5:$D$2427,$B81,'март 2025'!$J$5:$J$2427,F$1)</f>
        <v>0</v>
      </c>
      <c r="G81" s="183">
        <f>SUMIFS('март 2025'!$G$5:$G$2427,'март 2025'!$D$5:$D$2427,$B81,'март 2025'!$J$5:$J$2427,G$1)</f>
        <v>0</v>
      </c>
      <c r="H81" s="183">
        <f>SUMIFS('март 2025'!$G$5:$G$2427,'март 2025'!$D$5:$D$2427,$B81,'март 2025'!$J$5:$J$2427,H$1)</f>
        <v>0</v>
      </c>
      <c r="I81" s="183">
        <f>SUMIFS('март 2025'!$G$5:$G$2427,'март 2025'!$D$5:$D$2427,$B81,'март 2025'!$J$5:$J$2427,I$1)</f>
        <v>0</v>
      </c>
      <c r="J81" s="183">
        <f>SUMIFS('март 2025'!$G$5:$G$2427,'март 2025'!$D$5:$D$2427,$B81,'март 2025'!$J$5:$J$2427,J$1)</f>
        <v>0</v>
      </c>
      <c r="K81" s="183">
        <f>SUMIFS('март 2025'!$G$5:$G$2427,'март 2025'!$D$5:$D$2427,$B81,'март 2025'!$J$5:$J$2427,K$1)</f>
        <v>0</v>
      </c>
      <c r="L81" s="183">
        <f>SUMIFS('март 2025'!$G$5:$G$2427,'март 2025'!$D$5:$D$2427,$B81,'март 2025'!$J$5:$J$2427,L$1)</f>
        <v>0</v>
      </c>
      <c r="M81" s="183">
        <f>SUMIFS('март 2025'!$G$5:$G$2427,'март 2025'!$D$5:$D$2427,$B81,'март 2025'!$J$5:$J$2427,M$1)</f>
        <v>0</v>
      </c>
      <c r="N81" s="183">
        <f>SUMIFS('март 2025'!$G$5:$G$2427,'март 2025'!$D$5:$D$2427,$B81,'март 2025'!$J$5:$J$2427,N$1)</f>
        <v>0</v>
      </c>
      <c r="O81" s="183">
        <f>SUMIFS('март 2025'!$G$5:$G$2427,'март 2025'!$D$5:$D$2427,$B81,'март 2025'!$J$5:$J$2427,O$1)</f>
        <v>0</v>
      </c>
      <c r="P81" s="183">
        <f>SUMIFS('март 2025'!$G$5:$G$2427,'март 2025'!$D$5:$D$2427,$B81,'март 2025'!$J$5:$J$2427,P$1)</f>
        <v>0</v>
      </c>
      <c r="Q81" s="183">
        <f>SUMIFS('март 2025'!$G$5:$G$2427,'март 2025'!$D$5:$D$2427,$B81,'март 2025'!$J$5:$J$2427,Q$1)</f>
        <v>0</v>
      </c>
      <c r="R81" s="183">
        <f>SUMIFS('март 2025'!$G$5:$G$2427,'март 2025'!$D$5:$D$2427,$B81,'март 2025'!$J$5:$J$2427,R$1)</f>
        <v>0</v>
      </c>
      <c r="S81" s="183">
        <f>SUMIFS('март 2025'!$G$5:$G$2427,'март 2025'!$D$5:$D$2427,$B81,'март 2025'!$J$5:$J$2427,S$1)</f>
        <v>0</v>
      </c>
      <c r="T81" s="183">
        <f>SUMIFS('март 2025'!$G$5:$G$2427,'март 2025'!$D$5:$D$2427,$B81,'март 2025'!$J$5:$J$2427,T$1)</f>
        <v>0</v>
      </c>
      <c r="U81" s="183">
        <f>SUMIFS('март 2025'!$G$5:$G$2427,'март 2025'!$D$5:$D$2427,$B81,'март 2025'!$J$5:$J$2427,U$1)</f>
        <v>0</v>
      </c>
      <c r="V81" s="183">
        <f>SUMIFS('март 2025'!$G$5:$G$2427,'март 2025'!$D$5:$D$2427,$B81,'март 2025'!$J$5:$J$2427,V$1)</f>
        <v>0</v>
      </c>
      <c r="W81" s="183">
        <f>SUMIFS('март 2025'!$G$5:$G$2427,'март 2025'!$D$5:$D$2427,$B81,'март 2025'!$J$5:$J$2427,W$1)</f>
        <v>0</v>
      </c>
      <c r="X81" s="183">
        <f>SUMIFS('март 2025'!$G$5:$G$2427,'март 2025'!$D$5:$D$2427,$B81,'март 2025'!$J$5:$J$2427,X$1)</f>
        <v>0</v>
      </c>
      <c r="Y81" s="183">
        <f>SUMIFS('март 2025'!$G$5:$G$2427,'март 2025'!$D$5:$D$2427,$B81,'март 2025'!$J$5:$J$2427,Y$1)</f>
        <v>0</v>
      </c>
      <c r="Z81" s="183">
        <f>SUMIFS('март 2025'!$G$5:$G$2427,'март 2025'!$D$5:$D$2427,$B81,'март 2025'!$J$5:$J$2427,Z$1)</f>
        <v>0</v>
      </c>
      <c r="AA81" s="183">
        <f>SUMIFS('март 2025'!$G$5:$G$2427,'март 2025'!$D$5:$D$2427,$B81,'март 2025'!$J$5:$J$2427,AA$1)</f>
        <v>0</v>
      </c>
      <c r="AB81" s="183">
        <f>SUMIFS('март 2025'!$G$5:$G$2427,'март 2025'!$D$5:$D$2427,$B81,'март 2025'!$J$5:$J$2427,AB$1)</f>
        <v>48</v>
      </c>
      <c r="AC81" s="183">
        <f>SUMIFS('март 2025'!$G$5:$G$2427,'март 2025'!$D$5:$D$2427,$B81,'март 2025'!$J$5:$J$2427,AC$1)</f>
        <v>0</v>
      </c>
      <c r="AD81" s="183">
        <f>SUMIFS('март 2025'!$G$5:$G$2427,'март 2025'!$D$5:$D$2427,$B81,'март 2025'!$J$5:$J$2427,AD$1)</f>
        <v>0</v>
      </c>
      <c r="AE81" s="183">
        <f>SUMIFS('март 2025'!$G$5:$G$2427,'март 2025'!$D$5:$D$2427,$B81,'март 2025'!$J$5:$J$2427,AE$1)</f>
        <v>0</v>
      </c>
      <c r="AF81" s="183">
        <f>SUMIFS('март 2025'!$G$5:$G$2427,'март 2025'!$D$5:$D$2427,$B81,'март 2025'!$J$5:$J$2427,AF$1)</f>
        <v>0</v>
      </c>
      <c r="AG81" s="183">
        <f>SUMIFS('март 2025'!$G$5:$G$2427,'март 2025'!$D$5:$D$2427,$B81,'март 2025'!$J$5:$J$2427,AG$1)</f>
        <v>0</v>
      </c>
      <c r="AH81" s="183">
        <f>SUMIFS('март 2025'!$G$5:$G$2427,'март 2025'!$D$5:$D$2427,$B81,'март 2025'!$J$5:$J$2427,AH$1)</f>
        <v>0</v>
      </c>
      <c r="AI81" s="20">
        <f t="shared" si="1"/>
        <v>48</v>
      </c>
    </row>
    <row r="82" spans="2:35" ht="15" customHeight="1" x14ac:dyDescent="0.25">
      <c r="B82" s="88" t="s">
        <v>314</v>
      </c>
      <c r="C82" s="86">
        <v>200</v>
      </c>
      <c r="D82" s="183">
        <f>SUMIFS('март 2025'!$G$5:$G$2427,'март 2025'!$D$5:$D$2427,$B82,'март 2025'!$J$5:$J$2427,D$1)</f>
        <v>0</v>
      </c>
      <c r="E82" s="183">
        <f>SUMIFS('март 2025'!$G$5:$G$2427,'март 2025'!$D$5:$D$2427,$B82,'март 2025'!$J$5:$J$2427,E$1)</f>
        <v>0</v>
      </c>
      <c r="F82" s="183">
        <f>SUMIFS('март 2025'!$G$5:$G$2427,'март 2025'!$D$5:$D$2427,$B82,'март 2025'!$J$5:$J$2427,F$1)</f>
        <v>0</v>
      </c>
      <c r="G82" s="183">
        <f>SUMIFS('март 2025'!$G$5:$G$2427,'март 2025'!$D$5:$D$2427,$B82,'март 2025'!$J$5:$J$2427,G$1)</f>
        <v>0</v>
      </c>
      <c r="H82" s="183">
        <f>SUMIFS('март 2025'!$G$5:$G$2427,'март 2025'!$D$5:$D$2427,$B82,'март 2025'!$J$5:$J$2427,H$1)</f>
        <v>0</v>
      </c>
      <c r="I82" s="183">
        <f>SUMIFS('март 2025'!$G$5:$G$2427,'март 2025'!$D$5:$D$2427,$B82,'март 2025'!$J$5:$J$2427,I$1)</f>
        <v>0</v>
      </c>
      <c r="J82" s="183">
        <f>SUMIFS('март 2025'!$G$5:$G$2427,'март 2025'!$D$5:$D$2427,$B82,'март 2025'!$J$5:$J$2427,J$1)</f>
        <v>0</v>
      </c>
      <c r="K82" s="183">
        <f>SUMIFS('март 2025'!$G$5:$G$2427,'март 2025'!$D$5:$D$2427,$B82,'март 2025'!$J$5:$J$2427,K$1)</f>
        <v>0</v>
      </c>
      <c r="L82" s="183">
        <f>SUMIFS('март 2025'!$G$5:$G$2427,'март 2025'!$D$5:$D$2427,$B82,'март 2025'!$J$5:$J$2427,L$1)</f>
        <v>0</v>
      </c>
      <c r="M82" s="183">
        <f>SUMIFS('март 2025'!$G$5:$G$2427,'март 2025'!$D$5:$D$2427,$B82,'март 2025'!$J$5:$J$2427,M$1)</f>
        <v>0</v>
      </c>
      <c r="N82" s="183">
        <f>SUMIFS('март 2025'!$G$5:$G$2427,'март 2025'!$D$5:$D$2427,$B82,'март 2025'!$J$5:$J$2427,N$1)</f>
        <v>0</v>
      </c>
      <c r="O82" s="183">
        <f>SUMIFS('март 2025'!$G$5:$G$2427,'март 2025'!$D$5:$D$2427,$B82,'март 2025'!$J$5:$J$2427,O$1)</f>
        <v>0</v>
      </c>
      <c r="P82" s="183">
        <f>SUMIFS('март 2025'!$G$5:$G$2427,'март 2025'!$D$5:$D$2427,$B82,'март 2025'!$J$5:$J$2427,P$1)</f>
        <v>0</v>
      </c>
      <c r="Q82" s="183">
        <f>SUMIFS('март 2025'!$G$5:$G$2427,'март 2025'!$D$5:$D$2427,$B82,'март 2025'!$J$5:$J$2427,Q$1)</f>
        <v>160</v>
      </c>
      <c r="R82" s="183">
        <f>SUMIFS('март 2025'!$G$5:$G$2427,'март 2025'!$D$5:$D$2427,$B82,'март 2025'!$J$5:$J$2427,R$1)</f>
        <v>0</v>
      </c>
      <c r="S82" s="183">
        <f>SUMIFS('март 2025'!$G$5:$G$2427,'март 2025'!$D$5:$D$2427,$B82,'март 2025'!$J$5:$J$2427,S$1)</f>
        <v>0</v>
      </c>
      <c r="T82" s="183">
        <f>SUMIFS('март 2025'!$G$5:$G$2427,'март 2025'!$D$5:$D$2427,$B82,'март 2025'!$J$5:$J$2427,T$1)</f>
        <v>0</v>
      </c>
      <c r="U82" s="183">
        <f>SUMIFS('март 2025'!$G$5:$G$2427,'март 2025'!$D$5:$D$2427,$B82,'март 2025'!$J$5:$J$2427,U$1)</f>
        <v>0</v>
      </c>
      <c r="V82" s="183">
        <f>SUMIFS('март 2025'!$G$5:$G$2427,'март 2025'!$D$5:$D$2427,$B82,'март 2025'!$J$5:$J$2427,V$1)</f>
        <v>0</v>
      </c>
      <c r="W82" s="183">
        <f>SUMIFS('март 2025'!$G$5:$G$2427,'март 2025'!$D$5:$D$2427,$B82,'март 2025'!$J$5:$J$2427,W$1)</f>
        <v>0</v>
      </c>
      <c r="X82" s="183">
        <f>SUMIFS('март 2025'!$G$5:$G$2427,'март 2025'!$D$5:$D$2427,$B82,'март 2025'!$J$5:$J$2427,X$1)</f>
        <v>0</v>
      </c>
      <c r="Y82" s="183">
        <f>SUMIFS('март 2025'!$G$5:$G$2427,'март 2025'!$D$5:$D$2427,$B82,'март 2025'!$J$5:$J$2427,Y$1)</f>
        <v>0</v>
      </c>
      <c r="Z82" s="183">
        <f>SUMIFS('март 2025'!$G$5:$G$2427,'март 2025'!$D$5:$D$2427,$B82,'март 2025'!$J$5:$J$2427,Z$1)</f>
        <v>0</v>
      </c>
      <c r="AA82" s="183">
        <f>SUMIFS('март 2025'!$G$5:$G$2427,'март 2025'!$D$5:$D$2427,$B82,'март 2025'!$J$5:$J$2427,AA$1)</f>
        <v>0</v>
      </c>
      <c r="AB82" s="183">
        <f>SUMIFS('март 2025'!$G$5:$G$2427,'март 2025'!$D$5:$D$2427,$B82,'март 2025'!$J$5:$J$2427,AB$1)</f>
        <v>0</v>
      </c>
      <c r="AC82" s="183">
        <f>SUMIFS('март 2025'!$G$5:$G$2427,'март 2025'!$D$5:$D$2427,$B82,'март 2025'!$J$5:$J$2427,AC$1)</f>
        <v>0</v>
      </c>
      <c r="AD82" s="183">
        <f>SUMIFS('март 2025'!$G$5:$G$2427,'март 2025'!$D$5:$D$2427,$B82,'март 2025'!$J$5:$J$2427,AD$1)</f>
        <v>0</v>
      </c>
      <c r="AE82" s="183">
        <f>SUMIFS('март 2025'!$G$5:$G$2427,'март 2025'!$D$5:$D$2427,$B82,'март 2025'!$J$5:$J$2427,AE$1)</f>
        <v>0</v>
      </c>
      <c r="AF82" s="183">
        <f>SUMIFS('март 2025'!$G$5:$G$2427,'март 2025'!$D$5:$D$2427,$B82,'март 2025'!$J$5:$J$2427,AF$1)</f>
        <v>0</v>
      </c>
      <c r="AG82" s="183">
        <f>SUMIFS('март 2025'!$G$5:$G$2427,'март 2025'!$D$5:$D$2427,$B82,'март 2025'!$J$5:$J$2427,AG$1)</f>
        <v>0</v>
      </c>
      <c r="AH82" s="183">
        <f>SUMIFS('март 2025'!$G$5:$G$2427,'март 2025'!$D$5:$D$2427,$B82,'март 2025'!$J$5:$J$2427,AH$1)</f>
        <v>0</v>
      </c>
      <c r="AI82" s="20">
        <f t="shared" si="1"/>
        <v>160</v>
      </c>
    </row>
    <row r="83" spans="2:35" ht="15" customHeight="1" x14ac:dyDescent="0.25">
      <c r="B83" s="88" t="s">
        <v>375</v>
      </c>
      <c r="C83" s="86">
        <v>210</v>
      </c>
      <c r="D83" s="183">
        <f>SUMIFS('март 2025'!$G$5:$G$2427,'март 2025'!$D$5:$D$2427,$B83,'март 2025'!$J$5:$J$2427,D$1)</f>
        <v>0</v>
      </c>
      <c r="E83" s="183">
        <f>SUMIFS('март 2025'!$G$5:$G$2427,'март 2025'!$D$5:$D$2427,$B83,'март 2025'!$J$5:$J$2427,E$1)</f>
        <v>0</v>
      </c>
      <c r="F83" s="183">
        <f>SUMIFS('март 2025'!$G$5:$G$2427,'март 2025'!$D$5:$D$2427,$B83,'март 2025'!$J$5:$J$2427,F$1)</f>
        <v>0</v>
      </c>
      <c r="G83" s="183">
        <f>SUMIFS('март 2025'!$G$5:$G$2427,'март 2025'!$D$5:$D$2427,$B83,'март 2025'!$J$5:$J$2427,G$1)</f>
        <v>0</v>
      </c>
      <c r="H83" s="183">
        <f>SUMIFS('март 2025'!$G$5:$G$2427,'март 2025'!$D$5:$D$2427,$B83,'март 2025'!$J$5:$J$2427,H$1)</f>
        <v>0</v>
      </c>
      <c r="I83" s="183">
        <f>SUMIFS('март 2025'!$G$5:$G$2427,'март 2025'!$D$5:$D$2427,$B83,'март 2025'!$J$5:$J$2427,I$1)</f>
        <v>0</v>
      </c>
      <c r="J83" s="183">
        <f>SUMIFS('март 2025'!$G$5:$G$2427,'март 2025'!$D$5:$D$2427,$B83,'март 2025'!$J$5:$J$2427,J$1)</f>
        <v>0</v>
      </c>
      <c r="K83" s="183">
        <f>SUMIFS('март 2025'!$G$5:$G$2427,'март 2025'!$D$5:$D$2427,$B83,'март 2025'!$J$5:$J$2427,K$1)</f>
        <v>0</v>
      </c>
      <c r="L83" s="183">
        <f>SUMIFS('март 2025'!$G$5:$G$2427,'март 2025'!$D$5:$D$2427,$B83,'март 2025'!$J$5:$J$2427,L$1)</f>
        <v>0</v>
      </c>
      <c r="M83" s="183">
        <f>SUMIFS('март 2025'!$G$5:$G$2427,'март 2025'!$D$5:$D$2427,$B83,'март 2025'!$J$5:$J$2427,M$1)</f>
        <v>0</v>
      </c>
      <c r="N83" s="183">
        <f>SUMIFS('март 2025'!$G$5:$G$2427,'март 2025'!$D$5:$D$2427,$B83,'март 2025'!$J$5:$J$2427,N$1)</f>
        <v>0</v>
      </c>
      <c r="O83" s="183">
        <f>SUMIFS('март 2025'!$G$5:$G$2427,'март 2025'!$D$5:$D$2427,$B83,'март 2025'!$J$5:$J$2427,O$1)</f>
        <v>0</v>
      </c>
      <c r="P83" s="183">
        <f>SUMIFS('март 2025'!$G$5:$G$2427,'март 2025'!$D$5:$D$2427,$B83,'март 2025'!$J$5:$J$2427,P$1)</f>
        <v>0</v>
      </c>
      <c r="Q83" s="183">
        <f>SUMIFS('март 2025'!$G$5:$G$2427,'март 2025'!$D$5:$D$2427,$B83,'март 2025'!$J$5:$J$2427,Q$1)</f>
        <v>0</v>
      </c>
      <c r="R83" s="183">
        <f>SUMIFS('март 2025'!$G$5:$G$2427,'март 2025'!$D$5:$D$2427,$B83,'март 2025'!$J$5:$J$2427,R$1)</f>
        <v>0</v>
      </c>
      <c r="S83" s="183">
        <f>SUMIFS('март 2025'!$G$5:$G$2427,'март 2025'!$D$5:$D$2427,$B83,'март 2025'!$J$5:$J$2427,S$1)</f>
        <v>0</v>
      </c>
      <c r="T83" s="183">
        <f>SUMIFS('март 2025'!$G$5:$G$2427,'март 2025'!$D$5:$D$2427,$B83,'март 2025'!$J$5:$J$2427,T$1)</f>
        <v>0</v>
      </c>
      <c r="U83" s="183">
        <f>SUMIFS('март 2025'!$G$5:$G$2427,'март 2025'!$D$5:$D$2427,$B83,'март 2025'!$J$5:$J$2427,U$1)</f>
        <v>0</v>
      </c>
      <c r="V83" s="183">
        <f>SUMIFS('март 2025'!$G$5:$G$2427,'март 2025'!$D$5:$D$2427,$B83,'март 2025'!$J$5:$J$2427,V$1)</f>
        <v>0</v>
      </c>
      <c r="W83" s="183">
        <f>SUMIFS('март 2025'!$G$5:$G$2427,'март 2025'!$D$5:$D$2427,$B83,'март 2025'!$J$5:$J$2427,W$1)</f>
        <v>0</v>
      </c>
      <c r="X83" s="183">
        <f>SUMIFS('март 2025'!$G$5:$G$2427,'март 2025'!$D$5:$D$2427,$B83,'март 2025'!$J$5:$J$2427,X$1)</f>
        <v>0</v>
      </c>
      <c r="Y83" s="183">
        <f>SUMIFS('март 2025'!$G$5:$G$2427,'март 2025'!$D$5:$D$2427,$B83,'март 2025'!$J$5:$J$2427,Y$1)</f>
        <v>0</v>
      </c>
      <c r="Z83" s="183">
        <f>SUMIFS('март 2025'!$G$5:$G$2427,'март 2025'!$D$5:$D$2427,$B83,'март 2025'!$J$5:$J$2427,Z$1)</f>
        <v>0</v>
      </c>
      <c r="AA83" s="183">
        <f>SUMIFS('март 2025'!$G$5:$G$2427,'март 2025'!$D$5:$D$2427,$B83,'март 2025'!$J$5:$J$2427,AA$1)</f>
        <v>176</v>
      </c>
      <c r="AB83" s="183">
        <f>SUMIFS('март 2025'!$G$5:$G$2427,'март 2025'!$D$5:$D$2427,$B83,'март 2025'!$J$5:$J$2427,AB$1)</f>
        <v>0</v>
      </c>
      <c r="AC83" s="183">
        <f>SUMIFS('март 2025'!$G$5:$G$2427,'март 2025'!$D$5:$D$2427,$B83,'март 2025'!$J$5:$J$2427,AC$1)</f>
        <v>0</v>
      </c>
      <c r="AD83" s="183">
        <f>SUMIFS('март 2025'!$G$5:$G$2427,'март 2025'!$D$5:$D$2427,$B83,'март 2025'!$J$5:$J$2427,AD$1)</f>
        <v>0</v>
      </c>
      <c r="AE83" s="183">
        <f>SUMIFS('март 2025'!$G$5:$G$2427,'март 2025'!$D$5:$D$2427,$B83,'март 2025'!$J$5:$J$2427,AE$1)</f>
        <v>0</v>
      </c>
      <c r="AF83" s="183">
        <f>SUMIFS('март 2025'!$G$5:$G$2427,'март 2025'!$D$5:$D$2427,$B83,'март 2025'!$J$5:$J$2427,AF$1)</f>
        <v>0</v>
      </c>
      <c r="AG83" s="183">
        <f>SUMIFS('март 2025'!$G$5:$G$2427,'март 2025'!$D$5:$D$2427,$B83,'март 2025'!$J$5:$J$2427,AG$1)</f>
        <v>0</v>
      </c>
      <c r="AH83" s="183">
        <f>SUMIFS('март 2025'!$G$5:$G$2427,'март 2025'!$D$5:$D$2427,$B83,'март 2025'!$J$5:$J$2427,AH$1)</f>
        <v>0</v>
      </c>
      <c r="AI83" s="20">
        <f t="shared" si="1"/>
        <v>176</v>
      </c>
    </row>
    <row r="84" spans="2:35" ht="15" customHeight="1" x14ac:dyDescent="0.25">
      <c r="B84" s="88" t="s">
        <v>257</v>
      </c>
      <c r="C84" s="86">
        <v>190</v>
      </c>
      <c r="D84" s="183">
        <f>SUMIFS('март 2025'!$G$5:$G$2427,'март 2025'!$D$5:$D$2427,$B84,'март 2025'!$J$5:$J$2427,D$1)</f>
        <v>0</v>
      </c>
      <c r="E84" s="183">
        <f>SUMIFS('март 2025'!$G$5:$G$2427,'март 2025'!$D$5:$D$2427,$B84,'март 2025'!$J$5:$J$2427,E$1)</f>
        <v>0</v>
      </c>
      <c r="F84" s="183">
        <f>SUMIFS('март 2025'!$G$5:$G$2427,'март 2025'!$D$5:$D$2427,$B84,'март 2025'!$J$5:$J$2427,F$1)</f>
        <v>0</v>
      </c>
      <c r="G84" s="183">
        <f>SUMIFS('март 2025'!$G$5:$G$2427,'март 2025'!$D$5:$D$2427,$B84,'март 2025'!$J$5:$J$2427,G$1)</f>
        <v>0</v>
      </c>
      <c r="H84" s="183">
        <f>SUMIFS('март 2025'!$G$5:$G$2427,'март 2025'!$D$5:$D$2427,$B84,'март 2025'!$J$5:$J$2427,H$1)</f>
        <v>0</v>
      </c>
      <c r="I84" s="183">
        <f>SUMIFS('март 2025'!$G$5:$G$2427,'март 2025'!$D$5:$D$2427,$B84,'март 2025'!$J$5:$J$2427,I$1)</f>
        <v>0</v>
      </c>
      <c r="J84" s="183">
        <f>SUMIFS('март 2025'!$G$5:$G$2427,'март 2025'!$D$5:$D$2427,$B84,'март 2025'!$J$5:$J$2427,J$1)</f>
        <v>0</v>
      </c>
      <c r="K84" s="183">
        <f>SUMIFS('март 2025'!$G$5:$G$2427,'март 2025'!$D$5:$D$2427,$B84,'март 2025'!$J$5:$J$2427,K$1)</f>
        <v>0</v>
      </c>
      <c r="L84" s="183">
        <f>SUMIFS('март 2025'!$G$5:$G$2427,'март 2025'!$D$5:$D$2427,$B84,'март 2025'!$J$5:$J$2427,L$1)</f>
        <v>0</v>
      </c>
      <c r="M84" s="183">
        <f>SUMIFS('март 2025'!$G$5:$G$2427,'март 2025'!$D$5:$D$2427,$B84,'март 2025'!$J$5:$J$2427,M$1)</f>
        <v>0</v>
      </c>
      <c r="N84" s="183">
        <f>SUMIFS('март 2025'!$G$5:$G$2427,'март 2025'!$D$5:$D$2427,$B84,'март 2025'!$J$5:$J$2427,N$1)</f>
        <v>0</v>
      </c>
      <c r="O84" s="183">
        <f>SUMIFS('март 2025'!$G$5:$G$2427,'март 2025'!$D$5:$D$2427,$B84,'март 2025'!$J$5:$J$2427,O$1)</f>
        <v>0</v>
      </c>
      <c r="P84" s="183">
        <f>SUMIFS('март 2025'!$G$5:$G$2427,'март 2025'!$D$5:$D$2427,$B84,'март 2025'!$J$5:$J$2427,P$1)</f>
        <v>0</v>
      </c>
      <c r="Q84" s="183">
        <f>SUMIFS('март 2025'!$G$5:$G$2427,'март 2025'!$D$5:$D$2427,$B84,'март 2025'!$J$5:$J$2427,Q$1)</f>
        <v>0</v>
      </c>
      <c r="R84" s="183">
        <f>SUMIFS('март 2025'!$G$5:$G$2427,'март 2025'!$D$5:$D$2427,$B84,'март 2025'!$J$5:$J$2427,R$1)</f>
        <v>0</v>
      </c>
      <c r="S84" s="183">
        <f>SUMIFS('март 2025'!$G$5:$G$2427,'март 2025'!$D$5:$D$2427,$B84,'март 2025'!$J$5:$J$2427,S$1)</f>
        <v>0</v>
      </c>
      <c r="T84" s="183">
        <f>SUMIFS('март 2025'!$G$5:$G$2427,'март 2025'!$D$5:$D$2427,$B84,'март 2025'!$J$5:$J$2427,T$1)</f>
        <v>0</v>
      </c>
      <c r="U84" s="183">
        <f>SUMIFS('март 2025'!$G$5:$G$2427,'март 2025'!$D$5:$D$2427,$B84,'март 2025'!$J$5:$J$2427,U$1)</f>
        <v>0</v>
      </c>
      <c r="V84" s="183">
        <f>SUMIFS('март 2025'!$G$5:$G$2427,'март 2025'!$D$5:$D$2427,$B84,'март 2025'!$J$5:$J$2427,V$1)</f>
        <v>0</v>
      </c>
      <c r="W84" s="183">
        <f>SUMIFS('март 2025'!$G$5:$G$2427,'март 2025'!$D$5:$D$2427,$B84,'март 2025'!$J$5:$J$2427,W$1)</f>
        <v>0</v>
      </c>
      <c r="X84" s="183">
        <f>SUMIFS('март 2025'!$G$5:$G$2427,'март 2025'!$D$5:$D$2427,$B84,'март 2025'!$J$5:$J$2427,X$1)</f>
        <v>0</v>
      </c>
      <c r="Y84" s="183">
        <f>SUMIFS('март 2025'!$G$5:$G$2427,'март 2025'!$D$5:$D$2427,$B84,'март 2025'!$J$5:$J$2427,Y$1)</f>
        <v>0</v>
      </c>
      <c r="Z84" s="183">
        <f>SUMIFS('март 2025'!$G$5:$G$2427,'март 2025'!$D$5:$D$2427,$B84,'март 2025'!$J$5:$J$2427,Z$1)</f>
        <v>0</v>
      </c>
      <c r="AA84" s="183">
        <f>SUMIFS('март 2025'!$G$5:$G$2427,'март 2025'!$D$5:$D$2427,$B84,'март 2025'!$J$5:$J$2427,AA$1)</f>
        <v>0</v>
      </c>
      <c r="AB84" s="183">
        <f>SUMIFS('март 2025'!$G$5:$G$2427,'март 2025'!$D$5:$D$2427,$B84,'март 2025'!$J$5:$J$2427,AB$1)</f>
        <v>0</v>
      </c>
      <c r="AC84" s="183">
        <f>SUMIFS('март 2025'!$G$5:$G$2427,'март 2025'!$D$5:$D$2427,$B84,'март 2025'!$J$5:$J$2427,AC$1)</f>
        <v>0</v>
      </c>
      <c r="AD84" s="183">
        <f>SUMIFS('март 2025'!$G$5:$G$2427,'март 2025'!$D$5:$D$2427,$B84,'март 2025'!$J$5:$J$2427,AD$1)</f>
        <v>0</v>
      </c>
      <c r="AE84" s="183">
        <f>SUMIFS('март 2025'!$G$5:$G$2427,'март 2025'!$D$5:$D$2427,$B84,'март 2025'!$J$5:$J$2427,AE$1)</f>
        <v>0</v>
      </c>
      <c r="AF84" s="183">
        <f>SUMIFS('март 2025'!$G$5:$G$2427,'март 2025'!$D$5:$D$2427,$B84,'март 2025'!$J$5:$J$2427,AF$1)</f>
        <v>0</v>
      </c>
      <c r="AG84" s="183">
        <f>SUMIFS('март 2025'!$G$5:$G$2427,'март 2025'!$D$5:$D$2427,$B84,'март 2025'!$J$5:$J$2427,AG$1)</f>
        <v>0</v>
      </c>
      <c r="AH84" s="183">
        <f>SUMIFS('март 2025'!$G$5:$G$2427,'март 2025'!$D$5:$D$2427,$B84,'март 2025'!$J$5:$J$2427,AH$1)</f>
        <v>0</v>
      </c>
      <c r="AI84" s="20">
        <f t="shared" si="1"/>
        <v>0</v>
      </c>
    </row>
    <row r="85" spans="2:35" ht="15" customHeight="1" x14ac:dyDescent="0.25">
      <c r="B85" s="84" t="s">
        <v>189</v>
      </c>
      <c r="C85" s="83">
        <v>180</v>
      </c>
      <c r="D85" s="183">
        <f>SUMIFS('март 2025'!$G$5:$G$2427,'март 2025'!$D$5:$D$2427,$B85,'март 2025'!$J$5:$J$2427,D$1)</f>
        <v>0</v>
      </c>
      <c r="E85" s="183">
        <f>SUMIFS('март 2025'!$G$5:$G$2427,'март 2025'!$D$5:$D$2427,$B85,'март 2025'!$J$5:$J$2427,E$1)</f>
        <v>0</v>
      </c>
      <c r="F85" s="183">
        <f>SUMIFS('март 2025'!$G$5:$G$2427,'март 2025'!$D$5:$D$2427,$B85,'март 2025'!$J$5:$J$2427,F$1)</f>
        <v>0</v>
      </c>
      <c r="G85" s="183">
        <f>SUMIFS('март 2025'!$G$5:$G$2427,'март 2025'!$D$5:$D$2427,$B85,'март 2025'!$J$5:$J$2427,G$1)</f>
        <v>0</v>
      </c>
      <c r="H85" s="183">
        <f>SUMIFS('март 2025'!$G$5:$G$2427,'март 2025'!$D$5:$D$2427,$B85,'март 2025'!$J$5:$J$2427,H$1)</f>
        <v>0</v>
      </c>
      <c r="I85" s="183">
        <f>SUMIFS('март 2025'!$G$5:$G$2427,'март 2025'!$D$5:$D$2427,$B85,'март 2025'!$J$5:$J$2427,I$1)</f>
        <v>0</v>
      </c>
      <c r="J85" s="183">
        <f>SUMIFS('март 2025'!$G$5:$G$2427,'март 2025'!$D$5:$D$2427,$B85,'март 2025'!$J$5:$J$2427,J$1)</f>
        <v>0</v>
      </c>
      <c r="K85" s="183">
        <f>SUMIFS('март 2025'!$G$5:$G$2427,'март 2025'!$D$5:$D$2427,$B85,'март 2025'!$J$5:$J$2427,K$1)</f>
        <v>0</v>
      </c>
      <c r="L85" s="183">
        <f>SUMIFS('март 2025'!$G$5:$G$2427,'март 2025'!$D$5:$D$2427,$B85,'март 2025'!$J$5:$J$2427,L$1)</f>
        <v>0</v>
      </c>
      <c r="M85" s="183">
        <f>SUMIFS('март 2025'!$G$5:$G$2427,'март 2025'!$D$5:$D$2427,$B85,'март 2025'!$J$5:$J$2427,M$1)</f>
        <v>0</v>
      </c>
      <c r="N85" s="183">
        <f>SUMIFS('март 2025'!$G$5:$G$2427,'март 2025'!$D$5:$D$2427,$B85,'март 2025'!$J$5:$J$2427,N$1)</f>
        <v>0</v>
      </c>
      <c r="O85" s="183">
        <f>SUMIFS('март 2025'!$G$5:$G$2427,'март 2025'!$D$5:$D$2427,$B85,'март 2025'!$J$5:$J$2427,O$1)</f>
        <v>0</v>
      </c>
      <c r="P85" s="183">
        <f>SUMIFS('март 2025'!$G$5:$G$2427,'март 2025'!$D$5:$D$2427,$B85,'март 2025'!$J$5:$J$2427,P$1)</f>
        <v>0</v>
      </c>
      <c r="Q85" s="183">
        <f>SUMIFS('март 2025'!$G$5:$G$2427,'март 2025'!$D$5:$D$2427,$B85,'март 2025'!$J$5:$J$2427,Q$1)</f>
        <v>0</v>
      </c>
      <c r="R85" s="183">
        <f>SUMIFS('март 2025'!$G$5:$G$2427,'март 2025'!$D$5:$D$2427,$B85,'март 2025'!$J$5:$J$2427,R$1)</f>
        <v>0</v>
      </c>
      <c r="S85" s="183">
        <f>SUMIFS('март 2025'!$G$5:$G$2427,'март 2025'!$D$5:$D$2427,$B85,'март 2025'!$J$5:$J$2427,S$1)</f>
        <v>0</v>
      </c>
      <c r="T85" s="183">
        <f>SUMIFS('март 2025'!$G$5:$G$2427,'март 2025'!$D$5:$D$2427,$B85,'март 2025'!$J$5:$J$2427,T$1)</f>
        <v>0</v>
      </c>
      <c r="U85" s="183">
        <f>SUMIFS('март 2025'!$G$5:$G$2427,'март 2025'!$D$5:$D$2427,$B85,'март 2025'!$J$5:$J$2427,U$1)</f>
        <v>0</v>
      </c>
      <c r="V85" s="183">
        <f>SUMIFS('март 2025'!$G$5:$G$2427,'март 2025'!$D$5:$D$2427,$B85,'март 2025'!$J$5:$J$2427,V$1)</f>
        <v>0</v>
      </c>
      <c r="W85" s="183">
        <f>SUMIFS('март 2025'!$G$5:$G$2427,'март 2025'!$D$5:$D$2427,$B85,'март 2025'!$J$5:$J$2427,W$1)</f>
        <v>0</v>
      </c>
      <c r="X85" s="183">
        <f>SUMIFS('март 2025'!$G$5:$G$2427,'март 2025'!$D$5:$D$2427,$B85,'март 2025'!$J$5:$J$2427,X$1)</f>
        <v>0</v>
      </c>
      <c r="Y85" s="183">
        <f>SUMIFS('март 2025'!$G$5:$G$2427,'март 2025'!$D$5:$D$2427,$B85,'март 2025'!$J$5:$J$2427,Y$1)</f>
        <v>0</v>
      </c>
      <c r="Z85" s="183">
        <f>SUMIFS('март 2025'!$G$5:$G$2427,'март 2025'!$D$5:$D$2427,$B85,'март 2025'!$J$5:$J$2427,Z$1)</f>
        <v>0</v>
      </c>
      <c r="AA85" s="183">
        <f>SUMIFS('март 2025'!$G$5:$G$2427,'март 2025'!$D$5:$D$2427,$B85,'март 2025'!$J$5:$J$2427,AA$1)</f>
        <v>0</v>
      </c>
      <c r="AB85" s="183">
        <f>SUMIFS('март 2025'!$G$5:$G$2427,'март 2025'!$D$5:$D$2427,$B85,'март 2025'!$J$5:$J$2427,AB$1)</f>
        <v>0</v>
      </c>
      <c r="AC85" s="183">
        <f>SUMIFS('март 2025'!$G$5:$G$2427,'март 2025'!$D$5:$D$2427,$B85,'март 2025'!$J$5:$J$2427,AC$1)</f>
        <v>0</v>
      </c>
      <c r="AD85" s="183">
        <f>SUMIFS('март 2025'!$G$5:$G$2427,'март 2025'!$D$5:$D$2427,$B85,'март 2025'!$J$5:$J$2427,AD$1)</f>
        <v>0</v>
      </c>
      <c r="AE85" s="183">
        <f>SUMIFS('март 2025'!$G$5:$G$2427,'март 2025'!$D$5:$D$2427,$B85,'март 2025'!$J$5:$J$2427,AE$1)</f>
        <v>0</v>
      </c>
      <c r="AF85" s="183">
        <f>SUMIFS('март 2025'!$G$5:$G$2427,'март 2025'!$D$5:$D$2427,$B85,'март 2025'!$J$5:$J$2427,AF$1)</f>
        <v>0</v>
      </c>
      <c r="AG85" s="183">
        <f>SUMIFS('март 2025'!$G$5:$G$2427,'март 2025'!$D$5:$D$2427,$B85,'март 2025'!$J$5:$J$2427,AG$1)</f>
        <v>0</v>
      </c>
      <c r="AH85" s="183">
        <f>SUMIFS('март 2025'!$G$5:$G$2427,'март 2025'!$D$5:$D$2427,$B85,'март 2025'!$J$5:$J$2427,AH$1)</f>
        <v>0</v>
      </c>
      <c r="AI85" s="20">
        <f t="shared" si="1"/>
        <v>0</v>
      </c>
    </row>
    <row r="86" spans="2:35" ht="15" customHeight="1" x14ac:dyDescent="0.25">
      <c r="B86" s="88" t="s">
        <v>190</v>
      </c>
      <c r="C86" s="86">
        <v>190</v>
      </c>
      <c r="D86" s="183">
        <f>SUMIFS('март 2025'!$G$5:$G$2427,'март 2025'!$D$5:$D$2427,$B86,'март 2025'!$J$5:$J$2427,D$1)</f>
        <v>0</v>
      </c>
      <c r="E86" s="183">
        <f>SUMIFS('март 2025'!$G$5:$G$2427,'март 2025'!$D$5:$D$2427,$B86,'март 2025'!$J$5:$J$2427,E$1)</f>
        <v>0</v>
      </c>
      <c r="F86" s="183">
        <f>SUMIFS('март 2025'!$G$5:$G$2427,'март 2025'!$D$5:$D$2427,$B86,'март 2025'!$J$5:$J$2427,F$1)</f>
        <v>0</v>
      </c>
      <c r="G86" s="183">
        <f>SUMIFS('март 2025'!$G$5:$G$2427,'март 2025'!$D$5:$D$2427,$B86,'март 2025'!$J$5:$J$2427,G$1)</f>
        <v>0</v>
      </c>
      <c r="H86" s="183">
        <f>SUMIFS('март 2025'!$G$5:$G$2427,'март 2025'!$D$5:$D$2427,$B86,'март 2025'!$J$5:$J$2427,H$1)</f>
        <v>0</v>
      </c>
      <c r="I86" s="183">
        <f>SUMIFS('март 2025'!$G$5:$G$2427,'март 2025'!$D$5:$D$2427,$B86,'март 2025'!$J$5:$J$2427,I$1)</f>
        <v>0</v>
      </c>
      <c r="J86" s="183">
        <f>SUMIFS('март 2025'!$G$5:$G$2427,'март 2025'!$D$5:$D$2427,$B86,'март 2025'!$J$5:$J$2427,J$1)</f>
        <v>0</v>
      </c>
      <c r="K86" s="183">
        <f>SUMIFS('март 2025'!$G$5:$G$2427,'март 2025'!$D$5:$D$2427,$B86,'март 2025'!$J$5:$J$2427,K$1)</f>
        <v>0</v>
      </c>
      <c r="L86" s="183">
        <f>SUMIFS('март 2025'!$G$5:$G$2427,'март 2025'!$D$5:$D$2427,$B86,'март 2025'!$J$5:$J$2427,L$1)</f>
        <v>0</v>
      </c>
      <c r="M86" s="183">
        <f>SUMIFS('март 2025'!$G$5:$G$2427,'март 2025'!$D$5:$D$2427,$B86,'март 2025'!$J$5:$J$2427,M$1)</f>
        <v>0</v>
      </c>
      <c r="N86" s="183">
        <f>SUMIFS('март 2025'!$G$5:$G$2427,'март 2025'!$D$5:$D$2427,$B86,'март 2025'!$J$5:$J$2427,N$1)</f>
        <v>0</v>
      </c>
      <c r="O86" s="183">
        <f>SUMIFS('март 2025'!$G$5:$G$2427,'март 2025'!$D$5:$D$2427,$B86,'март 2025'!$J$5:$J$2427,O$1)</f>
        <v>0</v>
      </c>
      <c r="P86" s="183">
        <f>SUMIFS('март 2025'!$G$5:$G$2427,'март 2025'!$D$5:$D$2427,$B86,'март 2025'!$J$5:$J$2427,P$1)</f>
        <v>0</v>
      </c>
      <c r="Q86" s="183">
        <f>SUMIFS('март 2025'!$G$5:$G$2427,'март 2025'!$D$5:$D$2427,$B86,'март 2025'!$J$5:$J$2427,Q$1)</f>
        <v>0</v>
      </c>
      <c r="R86" s="183">
        <f>SUMIFS('март 2025'!$G$5:$G$2427,'март 2025'!$D$5:$D$2427,$B86,'март 2025'!$J$5:$J$2427,R$1)</f>
        <v>0</v>
      </c>
      <c r="S86" s="183">
        <f>SUMIFS('март 2025'!$G$5:$G$2427,'март 2025'!$D$5:$D$2427,$B86,'март 2025'!$J$5:$J$2427,S$1)</f>
        <v>0</v>
      </c>
      <c r="T86" s="183">
        <f>SUMIFS('март 2025'!$G$5:$G$2427,'март 2025'!$D$5:$D$2427,$B86,'март 2025'!$J$5:$J$2427,T$1)</f>
        <v>0</v>
      </c>
      <c r="U86" s="183">
        <f>SUMIFS('март 2025'!$G$5:$G$2427,'март 2025'!$D$5:$D$2427,$B86,'март 2025'!$J$5:$J$2427,U$1)</f>
        <v>0</v>
      </c>
      <c r="V86" s="183">
        <f>SUMIFS('март 2025'!$G$5:$G$2427,'март 2025'!$D$5:$D$2427,$B86,'март 2025'!$J$5:$J$2427,V$1)</f>
        <v>0</v>
      </c>
      <c r="W86" s="183">
        <f>SUMIFS('март 2025'!$G$5:$G$2427,'март 2025'!$D$5:$D$2427,$B86,'март 2025'!$J$5:$J$2427,W$1)</f>
        <v>0</v>
      </c>
      <c r="X86" s="183">
        <f>SUMIFS('март 2025'!$G$5:$G$2427,'март 2025'!$D$5:$D$2427,$B86,'март 2025'!$J$5:$J$2427,X$1)</f>
        <v>0</v>
      </c>
      <c r="Y86" s="183">
        <f>SUMIFS('март 2025'!$G$5:$G$2427,'март 2025'!$D$5:$D$2427,$B86,'март 2025'!$J$5:$J$2427,Y$1)</f>
        <v>0</v>
      </c>
      <c r="Z86" s="183">
        <f>SUMIFS('март 2025'!$G$5:$G$2427,'март 2025'!$D$5:$D$2427,$B86,'март 2025'!$J$5:$J$2427,Z$1)</f>
        <v>0</v>
      </c>
      <c r="AA86" s="183">
        <f>SUMIFS('март 2025'!$G$5:$G$2427,'март 2025'!$D$5:$D$2427,$B86,'март 2025'!$J$5:$J$2427,AA$1)</f>
        <v>0</v>
      </c>
      <c r="AB86" s="183">
        <f>SUMIFS('март 2025'!$G$5:$G$2427,'март 2025'!$D$5:$D$2427,$B86,'март 2025'!$J$5:$J$2427,AB$1)</f>
        <v>0</v>
      </c>
      <c r="AC86" s="183">
        <f>SUMIFS('март 2025'!$G$5:$G$2427,'март 2025'!$D$5:$D$2427,$B86,'март 2025'!$J$5:$J$2427,AC$1)</f>
        <v>0</v>
      </c>
      <c r="AD86" s="183">
        <f>SUMIFS('март 2025'!$G$5:$G$2427,'март 2025'!$D$5:$D$2427,$B86,'март 2025'!$J$5:$J$2427,AD$1)</f>
        <v>0</v>
      </c>
      <c r="AE86" s="183">
        <f>SUMIFS('март 2025'!$G$5:$G$2427,'март 2025'!$D$5:$D$2427,$B86,'март 2025'!$J$5:$J$2427,AE$1)</f>
        <v>0</v>
      </c>
      <c r="AF86" s="183">
        <f>SUMIFS('март 2025'!$G$5:$G$2427,'март 2025'!$D$5:$D$2427,$B86,'март 2025'!$J$5:$J$2427,AF$1)</f>
        <v>0</v>
      </c>
      <c r="AG86" s="183">
        <f>SUMIFS('март 2025'!$G$5:$G$2427,'март 2025'!$D$5:$D$2427,$B86,'март 2025'!$J$5:$J$2427,AG$1)</f>
        <v>0</v>
      </c>
      <c r="AH86" s="183">
        <f>SUMIFS('март 2025'!$G$5:$G$2427,'март 2025'!$D$5:$D$2427,$B86,'март 2025'!$J$5:$J$2427,AH$1)</f>
        <v>0</v>
      </c>
      <c r="AI86" s="20">
        <f t="shared" si="1"/>
        <v>0</v>
      </c>
    </row>
    <row r="87" spans="2:35" ht="15" customHeight="1" x14ac:dyDescent="0.25">
      <c r="B87" s="88" t="s">
        <v>191</v>
      </c>
      <c r="C87" s="86">
        <v>190</v>
      </c>
      <c r="D87" s="183">
        <f>SUMIFS('март 2025'!$G$5:$G$2427,'март 2025'!$D$5:$D$2427,$B87,'март 2025'!$J$5:$J$2427,D$1)</f>
        <v>0</v>
      </c>
      <c r="E87" s="183">
        <f>SUMIFS('март 2025'!$G$5:$G$2427,'март 2025'!$D$5:$D$2427,$B87,'март 2025'!$J$5:$J$2427,E$1)</f>
        <v>0</v>
      </c>
      <c r="F87" s="183">
        <f>SUMIFS('март 2025'!$G$5:$G$2427,'март 2025'!$D$5:$D$2427,$B87,'март 2025'!$J$5:$J$2427,F$1)</f>
        <v>0</v>
      </c>
      <c r="G87" s="183">
        <f>SUMIFS('март 2025'!$G$5:$G$2427,'март 2025'!$D$5:$D$2427,$B87,'март 2025'!$J$5:$J$2427,G$1)</f>
        <v>0</v>
      </c>
      <c r="H87" s="183">
        <f>SUMIFS('март 2025'!$G$5:$G$2427,'март 2025'!$D$5:$D$2427,$B87,'март 2025'!$J$5:$J$2427,H$1)</f>
        <v>0</v>
      </c>
      <c r="I87" s="183">
        <f>SUMIFS('март 2025'!$G$5:$G$2427,'март 2025'!$D$5:$D$2427,$B87,'март 2025'!$J$5:$J$2427,I$1)</f>
        <v>0</v>
      </c>
      <c r="J87" s="183">
        <f>SUMIFS('март 2025'!$G$5:$G$2427,'март 2025'!$D$5:$D$2427,$B87,'март 2025'!$J$5:$J$2427,J$1)</f>
        <v>0</v>
      </c>
      <c r="K87" s="183">
        <f>SUMIFS('март 2025'!$G$5:$G$2427,'март 2025'!$D$5:$D$2427,$B87,'март 2025'!$J$5:$J$2427,K$1)</f>
        <v>0</v>
      </c>
      <c r="L87" s="183">
        <f>SUMIFS('март 2025'!$G$5:$G$2427,'март 2025'!$D$5:$D$2427,$B87,'март 2025'!$J$5:$J$2427,L$1)</f>
        <v>0</v>
      </c>
      <c r="M87" s="183">
        <f>SUMIFS('март 2025'!$G$5:$G$2427,'март 2025'!$D$5:$D$2427,$B87,'март 2025'!$J$5:$J$2427,M$1)</f>
        <v>0</v>
      </c>
      <c r="N87" s="183">
        <f>SUMIFS('март 2025'!$G$5:$G$2427,'март 2025'!$D$5:$D$2427,$B87,'март 2025'!$J$5:$J$2427,N$1)</f>
        <v>0</v>
      </c>
      <c r="O87" s="183">
        <f>SUMIFS('март 2025'!$G$5:$G$2427,'март 2025'!$D$5:$D$2427,$B87,'март 2025'!$J$5:$J$2427,O$1)</f>
        <v>0</v>
      </c>
      <c r="P87" s="183">
        <f>SUMIFS('март 2025'!$G$5:$G$2427,'март 2025'!$D$5:$D$2427,$B87,'март 2025'!$J$5:$J$2427,P$1)</f>
        <v>0</v>
      </c>
      <c r="Q87" s="183">
        <f>SUMIFS('март 2025'!$G$5:$G$2427,'март 2025'!$D$5:$D$2427,$B87,'март 2025'!$J$5:$J$2427,Q$1)</f>
        <v>0</v>
      </c>
      <c r="R87" s="183">
        <f>SUMIFS('март 2025'!$G$5:$G$2427,'март 2025'!$D$5:$D$2427,$B87,'март 2025'!$J$5:$J$2427,R$1)</f>
        <v>0</v>
      </c>
      <c r="S87" s="183">
        <f>SUMIFS('март 2025'!$G$5:$G$2427,'март 2025'!$D$5:$D$2427,$B87,'март 2025'!$J$5:$J$2427,S$1)</f>
        <v>0</v>
      </c>
      <c r="T87" s="183">
        <f>SUMIFS('март 2025'!$G$5:$G$2427,'март 2025'!$D$5:$D$2427,$B87,'март 2025'!$J$5:$J$2427,T$1)</f>
        <v>0</v>
      </c>
      <c r="U87" s="183">
        <f>SUMIFS('март 2025'!$G$5:$G$2427,'март 2025'!$D$5:$D$2427,$B87,'март 2025'!$J$5:$J$2427,U$1)</f>
        <v>0</v>
      </c>
      <c r="V87" s="183">
        <f>SUMIFS('март 2025'!$G$5:$G$2427,'март 2025'!$D$5:$D$2427,$B87,'март 2025'!$J$5:$J$2427,V$1)</f>
        <v>0</v>
      </c>
      <c r="W87" s="183">
        <f>SUMIFS('март 2025'!$G$5:$G$2427,'март 2025'!$D$5:$D$2427,$B87,'март 2025'!$J$5:$J$2427,W$1)</f>
        <v>0</v>
      </c>
      <c r="X87" s="183">
        <f>SUMIFS('март 2025'!$G$5:$G$2427,'март 2025'!$D$5:$D$2427,$B87,'март 2025'!$J$5:$J$2427,X$1)</f>
        <v>0</v>
      </c>
      <c r="Y87" s="183">
        <f>SUMIFS('март 2025'!$G$5:$G$2427,'март 2025'!$D$5:$D$2427,$B87,'март 2025'!$J$5:$J$2427,Y$1)</f>
        <v>0</v>
      </c>
      <c r="Z87" s="183">
        <f>SUMIFS('март 2025'!$G$5:$G$2427,'март 2025'!$D$5:$D$2427,$B87,'март 2025'!$J$5:$J$2427,Z$1)</f>
        <v>0</v>
      </c>
      <c r="AA87" s="183">
        <f>SUMIFS('март 2025'!$G$5:$G$2427,'март 2025'!$D$5:$D$2427,$B87,'март 2025'!$J$5:$J$2427,AA$1)</f>
        <v>0</v>
      </c>
      <c r="AB87" s="183">
        <f>SUMIFS('март 2025'!$G$5:$G$2427,'март 2025'!$D$5:$D$2427,$B87,'март 2025'!$J$5:$J$2427,AB$1)</f>
        <v>0</v>
      </c>
      <c r="AC87" s="183">
        <f>SUMIFS('март 2025'!$G$5:$G$2427,'март 2025'!$D$5:$D$2427,$B87,'март 2025'!$J$5:$J$2427,AC$1)</f>
        <v>0</v>
      </c>
      <c r="AD87" s="183">
        <f>SUMIFS('март 2025'!$G$5:$G$2427,'март 2025'!$D$5:$D$2427,$B87,'март 2025'!$J$5:$J$2427,AD$1)</f>
        <v>0</v>
      </c>
      <c r="AE87" s="183">
        <f>SUMIFS('март 2025'!$G$5:$G$2427,'март 2025'!$D$5:$D$2427,$B87,'март 2025'!$J$5:$J$2427,AE$1)</f>
        <v>0</v>
      </c>
      <c r="AF87" s="183">
        <f>SUMIFS('март 2025'!$G$5:$G$2427,'март 2025'!$D$5:$D$2427,$B87,'март 2025'!$J$5:$J$2427,AF$1)</f>
        <v>0</v>
      </c>
      <c r="AG87" s="183">
        <f>SUMIFS('март 2025'!$G$5:$G$2427,'март 2025'!$D$5:$D$2427,$B87,'март 2025'!$J$5:$J$2427,AG$1)</f>
        <v>0</v>
      </c>
      <c r="AH87" s="183">
        <f>SUMIFS('март 2025'!$G$5:$G$2427,'март 2025'!$D$5:$D$2427,$B87,'март 2025'!$J$5:$J$2427,AH$1)</f>
        <v>0</v>
      </c>
      <c r="AI87" s="20">
        <f t="shared" si="1"/>
        <v>0</v>
      </c>
    </row>
    <row r="88" spans="2:35" ht="15" customHeight="1" x14ac:dyDescent="0.25">
      <c r="B88" s="88" t="s">
        <v>309</v>
      </c>
      <c r="C88" s="86">
        <v>200</v>
      </c>
      <c r="D88" s="183">
        <f>SUMIFS('март 2025'!$G$5:$G$2427,'март 2025'!$D$5:$D$2427,$B88,'март 2025'!$J$5:$J$2427,D$1)</f>
        <v>0</v>
      </c>
      <c r="E88" s="183">
        <f>SUMIFS('март 2025'!$G$5:$G$2427,'март 2025'!$D$5:$D$2427,$B88,'март 2025'!$J$5:$J$2427,E$1)</f>
        <v>0</v>
      </c>
      <c r="F88" s="183">
        <f>SUMIFS('март 2025'!$G$5:$G$2427,'март 2025'!$D$5:$D$2427,$B88,'март 2025'!$J$5:$J$2427,F$1)</f>
        <v>0</v>
      </c>
      <c r="G88" s="183">
        <f>SUMIFS('март 2025'!$G$5:$G$2427,'март 2025'!$D$5:$D$2427,$B88,'март 2025'!$J$5:$J$2427,G$1)</f>
        <v>0</v>
      </c>
      <c r="H88" s="183">
        <f>SUMIFS('март 2025'!$G$5:$G$2427,'март 2025'!$D$5:$D$2427,$B88,'март 2025'!$J$5:$J$2427,H$1)</f>
        <v>0</v>
      </c>
      <c r="I88" s="183">
        <f>SUMIFS('март 2025'!$G$5:$G$2427,'март 2025'!$D$5:$D$2427,$B88,'март 2025'!$J$5:$J$2427,I$1)</f>
        <v>0</v>
      </c>
      <c r="J88" s="183">
        <f>SUMIFS('март 2025'!$G$5:$G$2427,'март 2025'!$D$5:$D$2427,$B88,'март 2025'!$J$5:$J$2427,J$1)</f>
        <v>0</v>
      </c>
      <c r="K88" s="183">
        <f>SUMIFS('март 2025'!$G$5:$G$2427,'март 2025'!$D$5:$D$2427,$B88,'март 2025'!$J$5:$J$2427,K$1)</f>
        <v>0</v>
      </c>
      <c r="L88" s="183">
        <f>SUMIFS('март 2025'!$G$5:$G$2427,'март 2025'!$D$5:$D$2427,$B88,'март 2025'!$J$5:$J$2427,L$1)</f>
        <v>0</v>
      </c>
      <c r="M88" s="183">
        <f>SUMIFS('март 2025'!$G$5:$G$2427,'март 2025'!$D$5:$D$2427,$B88,'март 2025'!$J$5:$J$2427,M$1)</f>
        <v>0</v>
      </c>
      <c r="N88" s="183">
        <f>SUMIFS('март 2025'!$G$5:$G$2427,'март 2025'!$D$5:$D$2427,$B88,'март 2025'!$J$5:$J$2427,N$1)</f>
        <v>0</v>
      </c>
      <c r="O88" s="183">
        <f>SUMIFS('март 2025'!$G$5:$G$2427,'март 2025'!$D$5:$D$2427,$B88,'март 2025'!$J$5:$J$2427,O$1)</f>
        <v>0</v>
      </c>
      <c r="P88" s="183">
        <f>SUMIFS('март 2025'!$G$5:$G$2427,'март 2025'!$D$5:$D$2427,$B88,'март 2025'!$J$5:$J$2427,P$1)</f>
        <v>0</v>
      </c>
      <c r="Q88" s="183">
        <f>SUMIFS('март 2025'!$G$5:$G$2427,'март 2025'!$D$5:$D$2427,$B88,'март 2025'!$J$5:$J$2427,Q$1)</f>
        <v>0</v>
      </c>
      <c r="R88" s="183">
        <f>SUMIFS('март 2025'!$G$5:$G$2427,'март 2025'!$D$5:$D$2427,$B88,'март 2025'!$J$5:$J$2427,R$1)</f>
        <v>0</v>
      </c>
      <c r="S88" s="183">
        <f>SUMIFS('март 2025'!$G$5:$G$2427,'март 2025'!$D$5:$D$2427,$B88,'март 2025'!$J$5:$J$2427,S$1)</f>
        <v>0</v>
      </c>
      <c r="T88" s="183">
        <f>SUMIFS('март 2025'!$G$5:$G$2427,'март 2025'!$D$5:$D$2427,$B88,'март 2025'!$J$5:$J$2427,T$1)</f>
        <v>0</v>
      </c>
      <c r="U88" s="183">
        <f>SUMIFS('март 2025'!$G$5:$G$2427,'март 2025'!$D$5:$D$2427,$B88,'март 2025'!$J$5:$J$2427,U$1)</f>
        <v>0</v>
      </c>
      <c r="V88" s="183">
        <f>SUMIFS('март 2025'!$G$5:$G$2427,'март 2025'!$D$5:$D$2427,$B88,'март 2025'!$J$5:$J$2427,V$1)</f>
        <v>0</v>
      </c>
      <c r="W88" s="183">
        <f>SUMIFS('март 2025'!$G$5:$G$2427,'март 2025'!$D$5:$D$2427,$B88,'март 2025'!$J$5:$J$2427,W$1)</f>
        <v>0</v>
      </c>
      <c r="X88" s="183">
        <f>SUMIFS('март 2025'!$G$5:$G$2427,'март 2025'!$D$5:$D$2427,$B88,'март 2025'!$J$5:$J$2427,X$1)</f>
        <v>0</v>
      </c>
      <c r="Y88" s="183">
        <f>SUMIFS('март 2025'!$G$5:$G$2427,'март 2025'!$D$5:$D$2427,$B88,'март 2025'!$J$5:$J$2427,Y$1)</f>
        <v>0</v>
      </c>
      <c r="Z88" s="183">
        <f>SUMIFS('март 2025'!$G$5:$G$2427,'март 2025'!$D$5:$D$2427,$B88,'март 2025'!$J$5:$J$2427,Z$1)</f>
        <v>0</v>
      </c>
      <c r="AA88" s="183">
        <f>SUMIFS('март 2025'!$G$5:$G$2427,'март 2025'!$D$5:$D$2427,$B88,'март 2025'!$J$5:$J$2427,AA$1)</f>
        <v>0</v>
      </c>
      <c r="AB88" s="183">
        <f>SUMIFS('март 2025'!$G$5:$G$2427,'март 2025'!$D$5:$D$2427,$B88,'март 2025'!$J$5:$J$2427,AB$1)</f>
        <v>60</v>
      </c>
      <c r="AC88" s="183">
        <f>SUMIFS('март 2025'!$G$5:$G$2427,'март 2025'!$D$5:$D$2427,$B88,'март 2025'!$J$5:$J$2427,AC$1)</f>
        <v>64</v>
      </c>
      <c r="AD88" s="183">
        <f>SUMIFS('март 2025'!$G$5:$G$2427,'март 2025'!$D$5:$D$2427,$B88,'март 2025'!$J$5:$J$2427,AD$1)</f>
        <v>0</v>
      </c>
      <c r="AE88" s="183">
        <f>SUMIFS('март 2025'!$G$5:$G$2427,'март 2025'!$D$5:$D$2427,$B88,'март 2025'!$J$5:$J$2427,AE$1)</f>
        <v>0</v>
      </c>
      <c r="AF88" s="183">
        <f>SUMIFS('март 2025'!$G$5:$G$2427,'март 2025'!$D$5:$D$2427,$B88,'март 2025'!$J$5:$J$2427,AF$1)</f>
        <v>0</v>
      </c>
      <c r="AG88" s="183">
        <f>SUMIFS('март 2025'!$G$5:$G$2427,'март 2025'!$D$5:$D$2427,$B88,'март 2025'!$J$5:$J$2427,AG$1)</f>
        <v>0</v>
      </c>
      <c r="AH88" s="183">
        <f>SUMIFS('март 2025'!$G$5:$G$2427,'март 2025'!$D$5:$D$2427,$B88,'март 2025'!$J$5:$J$2427,AH$1)</f>
        <v>0</v>
      </c>
      <c r="AI88" s="20">
        <f t="shared" si="1"/>
        <v>124</v>
      </c>
    </row>
    <row r="89" spans="2:35" ht="15" customHeight="1" x14ac:dyDescent="0.25">
      <c r="B89" s="88" t="s">
        <v>192</v>
      </c>
      <c r="C89" s="86">
        <v>900</v>
      </c>
      <c r="D89" s="183">
        <f>SUMIFS('март 2025'!$G$5:$G$2427,'март 2025'!$D$5:$D$2427,$B89,'март 2025'!$J$5:$J$2427,D$1)</f>
        <v>0</v>
      </c>
      <c r="E89" s="183">
        <f>SUMIFS('март 2025'!$G$5:$G$2427,'март 2025'!$D$5:$D$2427,$B89,'март 2025'!$J$5:$J$2427,E$1)</f>
        <v>0</v>
      </c>
      <c r="F89" s="183">
        <f>SUMIFS('март 2025'!$G$5:$G$2427,'март 2025'!$D$5:$D$2427,$B89,'март 2025'!$J$5:$J$2427,F$1)</f>
        <v>0</v>
      </c>
      <c r="G89" s="183">
        <f>SUMIFS('март 2025'!$G$5:$G$2427,'март 2025'!$D$5:$D$2427,$B89,'март 2025'!$J$5:$J$2427,G$1)</f>
        <v>0</v>
      </c>
      <c r="H89" s="183">
        <f>SUMIFS('март 2025'!$G$5:$G$2427,'март 2025'!$D$5:$D$2427,$B89,'март 2025'!$J$5:$J$2427,H$1)</f>
        <v>0</v>
      </c>
      <c r="I89" s="183">
        <f>SUMIFS('март 2025'!$G$5:$G$2427,'март 2025'!$D$5:$D$2427,$B89,'март 2025'!$J$5:$J$2427,I$1)</f>
        <v>0</v>
      </c>
      <c r="J89" s="183">
        <f>SUMIFS('март 2025'!$G$5:$G$2427,'март 2025'!$D$5:$D$2427,$B89,'март 2025'!$J$5:$J$2427,J$1)</f>
        <v>0</v>
      </c>
      <c r="K89" s="183">
        <f>SUMIFS('март 2025'!$G$5:$G$2427,'март 2025'!$D$5:$D$2427,$B89,'март 2025'!$J$5:$J$2427,K$1)</f>
        <v>0</v>
      </c>
      <c r="L89" s="183">
        <f>SUMIFS('март 2025'!$G$5:$G$2427,'март 2025'!$D$5:$D$2427,$B89,'март 2025'!$J$5:$J$2427,L$1)</f>
        <v>0</v>
      </c>
      <c r="M89" s="183">
        <f>SUMIFS('март 2025'!$G$5:$G$2427,'март 2025'!$D$5:$D$2427,$B89,'март 2025'!$J$5:$J$2427,M$1)</f>
        <v>0</v>
      </c>
      <c r="N89" s="183">
        <f>SUMIFS('март 2025'!$G$5:$G$2427,'март 2025'!$D$5:$D$2427,$B89,'март 2025'!$J$5:$J$2427,N$1)</f>
        <v>0</v>
      </c>
      <c r="O89" s="183">
        <f>SUMIFS('март 2025'!$G$5:$G$2427,'март 2025'!$D$5:$D$2427,$B89,'март 2025'!$J$5:$J$2427,O$1)</f>
        <v>0</v>
      </c>
      <c r="P89" s="183">
        <f>SUMIFS('март 2025'!$G$5:$G$2427,'март 2025'!$D$5:$D$2427,$B89,'март 2025'!$J$5:$J$2427,P$1)</f>
        <v>0</v>
      </c>
      <c r="Q89" s="183">
        <f>SUMIFS('март 2025'!$G$5:$G$2427,'март 2025'!$D$5:$D$2427,$B89,'март 2025'!$J$5:$J$2427,Q$1)</f>
        <v>0</v>
      </c>
      <c r="R89" s="183">
        <f>SUMIFS('март 2025'!$G$5:$G$2427,'март 2025'!$D$5:$D$2427,$B89,'март 2025'!$J$5:$J$2427,R$1)</f>
        <v>0</v>
      </c>
      <c r="S89" s="183">
        <f>SUMIFS('март 2025'!$G$5:$G$2427,'март 2025'!$D$5:$D$2427,$B89,'март 2025'!$J$5:$J$2427,S$1)</f>
        <v>0</v>
      </c>
      <c r="T89" s="183">
        <f>SUMIFS('март 2025'!$G$5:$G$2427,'март 2025'!$D$5:$D$2427,$B89,'март 2025'!$J$5:$J$2427,T$1)</f>
        <v>0</v>
      </c>
      <c r="U89" s="183">
        <f>SUMIFS('март 2025'!$G$5:$G$2427,'март 2025'!$D$5:$D$2427,$B89,'март 2025'!$J$5:$J$2427,U$1)</f>
        <v>0</v>
      </c>
      <c r="V89" s="183">
        <f>SUMIFS('март 2025'!$G$5:$G$2427,'март 2025'!$D$5:$D$2427,$B89,'март 2025'!$J$5:$J$2427,V$1)</f>
        <v>0</v>
      </c>
      <c r="W89" s="183">
        <f>SUMIFS('март 2025'!$G$5:$G$2427,'март 2025'!$D$5:$D$2427,$B89,'март 2025'!$J$5:$J$2427,W$1)</f>
        <v>0</v>
      </c>
      <c r="X89" s="183">
        <f>SUMIFS('март 2025'!$G$5:$G$2427,'март 2025'!$D$5:$D$2427,$B89,'март 2025'!$J$5:$J$2427,X$1)</f>
        <v>0</v>
      </c>
      <c r="Y89" s="183">
        <f>SUMIFS('март 2025'!$G$5:$G$2427,'март 2025'!$D$5:$D$2427,$B89,'март 2025'!$J$5:$J$2427,Y$1)</f>
        <v>0</v>
      </c>
      <c r="Z89" s="183">
        <f>SUMIFS('март 2025'!$G$5:$G$2427,'март 2025'!$D$5:$D$2427,$B89,'март 2025'!$J$5:$J$2427,Z$1)</f>
        <v>0</v>
      </c>
      <c r="AA89" s="183">
        <f>SUMIFS('март 2025'!$G$5:$G$2427,'март 2025'!$D$5:$D$2427,$B89,'март 2025'!$J$5:$J$2427,AA$1)</f>
        <v>0</v>
      </c>
      <c r="AB89" s="183">
        <f>SUMIFS('март 2025'!$G$5:$G$2427,'март 2025'!$D$5:$D$2427,$B89,'март 2025'!$J$5:$J$2427,AB$1)</f>
        <v>0</v>
      </c>
      <c r="AC89" s="183">
        <f>SUMIFS('март 2025'!$G$5:$G$2427,'март 2025'!$D$5:$D$2427,$B89,'март 2025'!$J$5:$J$2427,AC$1)</f>
        <v>0</v>
      </c>
      <c r="AD89" s="183">
        <f>SUMIFS('март 2025'!$G$5:$G$2427,'март 2025'!$D$5:$D$2427,$B89,'март 2025'!$J$5:$J$2427,AD$1)</f>
        <v>0</v>
      </c>
      <c r="AE89" s="183">
        <f>SUMIFS('март 2025'!$G$5:$G$2427,'март 2025'!$D$5:$D$2427,$B89,'март 2025'!$J$5:$J$2427,AE$1)</f>
        <v>0</v>
      </c>
      <c r="AF89" s="183">
        <f>SUMIFS('март 2025'!$G$5:$G$2427,'март 2025'!$D$5:$D$2427,$B89,'март 2025'!$J$5:$J$2427,AF$1)</f>
        <v>0</v>
      </c>
      <c r="AG89" s="183">
        <f>SUMIFS('март 2025'!$G$5:$G$2427,'март 2025'!$D$5:$D$2427,$B89,'март 2025'!$J$5:$J$2427,AG$1)</f>
        <v>0</v>
      </c>
      <c r="AH89" s="183">
        <f>SUMIFS('март 2025'!$G$5:$G$2427,'март 2025'!$D$5:$D$2427,$B89,'март 2025'!$J$5:$J$2427,AH$1)</f>
        <v>0</v>
      </c>
      <c r="AI89" s="20">
        <f t="shared" si="1"/>
        <v>0</v>
      </c>
    </row>
    <row r="90" spans="2:35" ht="15" customHeight="1" x14ac:dyDescent="0.25">
      <c r="B90" s="84" t="s">
        <v>186</v>
      </c>
      <c r="C90" s="83">
        <v>190</v>
      </c>
      <c r="D90" s="183">
        <f>SUMIFS('март 2025'!$G$5:$G$2427,'март 2025'!$D$5:$D$2427,$B90,'март 2025'!$J$5:$J$2427,D$1)</f>
        <v>0</v>
      </c>
      <c r="E90" s="183">
        <f>SUMIFS('март 2025'!$G$5:$G$2427,'март 2025'!$D$5:$D$2427,$B90,'март 2025'!$J$5:$J$2427,E$1)</f>
        <v>0</v>
      </c>
      <c r="F90" s="183">
        <f>SUMIFS('март 2025'!$G$5:$G$2427,'март 2025'!$D$5:$D$2427,$B90,'март 2025'!$J$5:$J$2427,F$1)</f>
        <v>0</v>
      </c>
      <c r="G90" s="183">
        <f>SUMIFS('март 2025'!$G$5:$G$2427,'март 2025'!$D$5:$D$2427,$B90,'март 2025'!$J$5:$J$2427,G$1)</f>
        <v>0</v>
      </c>
      <c r="H90" s="183">
        <f>SUMIFS('март 2025'!$G$5:$G$2427,'март 2025'!$D$5:$D$2427,$B90,'март 2025'!$J$5:$J$2427,H$1)</f>
        <v>0</v>
      </c>
      <c r="I90" s="183">
        <f>SUMIFS('март 2025'!$G$5:$G$2427,'март 2025'!$D$5:$D$2427,$B90,'март 2025'!$J$5:$J$2427,I$1)</f>
        <v>0</v>
      </c>
      <c r="J90" s="183">
        <f>SUMIFS('март 2025'!$G$5:$G$2427,'март 2025'!$D$5:$D$2427,$B90,'март 2025'!$J$5:$J$2427,J$1)</f>
        <v>0</v>
      </c>
      <c r="K90" s="183">
        <f>SUMIFS('март 2025'!$G$5:$G$2427,'март 2025'!$D$5:$D$2427,$B90,'март 2025'!$J$5:$J$2427,K$1)</f>
        <v>0</v>
      </c>
      <c r="L90" s="183">
        <f>SUMIFS('март 2025'!$G$5:$G$2427,'март 2025'!$D$5:$D$2427,$B90,'март 2025'!$J$5:$J$2427,L$1)</f>
        <v>0</v>
      </c>
      <c r="M90" s="183">
        <f>SUMIFS('март 2025'!$G$5:$G$2427,'март 2025'!$D$5:$D$2427,$B90,'март 2025'!$J$5:$J$2427,M$1)</f>
        <v>0</v>
      </c>
      <c r="N90" s="183">
        <f>SUMIFS('март 2025'!$G$5:$G$2427,'март 2025'!$D$5:$D$2427,$B90,'март 2025'!$J$5:$J$2427,N$1)</f>
        <v>0</v>
      </c>
      <c r="O90" s="183">
        <f>SUMIFS('март 2025'!$G$5:$G$2427,'март 2025'!$D$5:$D$2427,$B90,'март 2025'!$J$5:$J$2427,O$1)</f>
        <v>0</v>
      </c>
      <c r="P90" s="183">
        <f>SUMIFS('март 2025'!$G$5:$G$2427,'март 2025'!$D$5:$D$2427,$B90,'март 2025'!$J$5:$J$2427,P$1)</f>
        <v>0</v>
      </c>
      <c r="Q90" s="183">
        <f>SUMIFS('март 2025'!$G$5:$G$2427,'март 2025'!$D$5:$D$2427,$B90,'март 2025'!$J$5:$J$2427,Q$1)</f>
        <v>0</v>
      </c>
      <c r="R90" s="183">
        <f>SUMIFS('март 2025'!$G$5:$G$2427,'март 2025'!$D$5:$D$2427,$B90,'март 2025'!$J$5:$J$2427,R$1)</f>
        <v>0</v>
      </c>
      <c r="S90" s="183">
        <f>SUMIFS('март 2025'!$G$5:$G$2427,'март 2025'!$D$5:$D$2427,$B90,'март 2025'!$J$5:$J$2427,S$1)</f>
        <v>0</v>
      </c>
      <c r="T90" s="183">
        <f>SUMIFS('март 2025'!$G$5:$G$2427,'март 2025'!$D$5:$D$2427,$B90,'март 2025'!$J$5:$J$2427,T$1)</f>
        <v>0</v>
      </c>
      <c r="U90" s="183">
        <f>SUMIFS('март 2025'!$G$5:$G$2427,'март 2025'!$D$5:$D$2427,$B90,'март 2025'!$J$5:$J$2427,U$1)</f>
        <v>0</v>
      </c>
      <c r="V90" s="183">
        <f>SUMIFS('март 2025'!$G$5:$G$2427,'март 2025'!$D$5:$D$2427,$B90,'март 2025'!$J$5:$J$2427,V$1)</f>
        <v>0</v>
      </c>
      <c r="W90" s="183">
        <f>SUMIFS('март 2025'!$G$5:$G$2427,'март 2025'!$D$5:$D$2427,$B90,'март 2025'!$J$5:$J$2427,W$1)</f>
        <v>0</v>
      </c>
      <c r="X90" s="183">
        <f>SUMIFS('март 2025'!$G$5:$G$2427,'март 2025'!$D$5:$D$2427,$B90,'март 2025'!$J$5:$J$2427,X$1)</f>
        <v>0</v>
      </c>
      <c r="Y90" s="183">
        <f>SUMIFS('март 2025'!$G$5:$G$2427,'март 2025'!$D$5:$D$2427,$B90,'март 2025'!$J$5:$J$2427,Y$1)</f>
        <v>0</v>
      </c>
      <c r="Z90" s="183">
        <f>SUMIFS('март 2025'!$G$5:$G$2427,'март 2025'!$D$5:$D$2427,$B90,'март 2025'!$J$5:$J$2427,Z$1)</f>
        <v>0</v>
      </c>
      <c r="AA90" s="183">
        <f>SUMIFS('март 2025'!$G$5:$G$2427,'март 2025'!$D$5:$D$2427,$B90,'март 2025'!$J$5:$J$2427,AA$1)</f>
        <v>0</v>
      </c>
      <c r="AB90" s="183">
        <f>SUMIFS('март 2025'!$G$5:$G$2427,'март 2025'!$D$5:$D$2427,$B90,'март 2025'!$J$5:$J$2427,AB$1)</f>
        <v>0</v>
      </c>
      <c r="AC90" s="183">
        <f>SUMIFS('март 2025'!$G$5:$G$2427,'март 2025'!$D$5:$D$2427,$B90,'март 2025'!$J$5:$J$2427,AC$1)</f>
        <v>0</v>
      </c>
      <c r="AD90" s="183">
        <f>SUMIFS('март 2025'!$G$5:$G$2427,'март 2025'!$D$5:$D$2427,$B90,'март 2025'!$J$5:$J$2427,AD$1)</f>
        <v>0</v>
      </c>
      <c r="AE90" s="183">
        <f>SUMIFS('март 2025'!$G$5:$G$2427,'март 2025'!$D$5:$D$2427,$B90,'март 2025'!$J$5:$J$2427,AE$1)</f>
        <v>0</v>
      </c>
      <c r="AF90" s="183">
        <f>SUMIFS('март 2025'!$G$5:$G$2427,'март 2025'!$D$5:$D$2427,$B90,'март 2025'!$J$5:$J$2427,AF$1)</f>
        <v>0</v>
      </c>
      <c r="AG90" s="183">
        <f>SUMIFS('март 2025'!$G$5:$G$2427,'март 2025'!$D$5:$D$2427,$B90,'март 2025'!$J$5:$J$2427,AG$1)</f>
        <v>0</v>
      </c>
      <c r="AH90" s="183">
        <f>SUMIFS('март 2025'!$G$5:$G$2427,'март 2025'!$D$5:$D$2427,$B90,'март 2025'!$J$5:$J$2427,AH$1)</f>
        <v>0</v>
      </c>
      <c r="AI90" s="20">
        <f t="shared" si="1"/>
        <v>0</v>
      </c>
    </row>
    <row r="91" spans="2:35" ht="15" customHeight="1" x14ac:dyDescent="0.25">
      <c r="B91" s="84" t="s">
        <v>205</v>
      </c>
      <c r="C91" s="83">
        <v>190</v>
      </c>
      <c r="D91" s="183">
        <f>SUMIFS('март 2025'!$G$5:$G$2427,'март 2025'!$D$5:$D$2427,$B91,'март 2025'!$J$5:$J$2427,D$1)</f>
        <v>0</v>
      </c>
      <c r="E91" s="183">
        <f>SUMIFS('март 2025'!$G$5:$G$2427,'март 2025'!$D$5:$D$2427,$B91,'март 2025'!$J$5:$J$2427,E$1)</f>
        <v>0</v>
      </c>
      <c r="F91" s="183">
        <f>SUMIFS('март 2025'!$G$5:$G$2427,'март 2025'!$D$5:$D$2427,$B91,'март 2025'!$J$5:$J$2427,F$1)</f>
        <v>0</v>
      </c>
      <c r="G91" s="183">
        <f>SUMIFS('март 2025'!$G$5:$G$2427,'март 2025'!$D$5:$D$2427,$B91,'март 2025'!$J$5:$J$2427,G$1)</f>
        <v>0</v>
      </c>
      <c r="H91" s="183">
        <f>SUMIFS('март 2025'!$G$5:$G$2427,'март 2025'!$D$5:$D$2427,$B91,'март 2025'!$J$5:$J$2427,H$1)</f>
        <v>0</v>
      </c>
      <c r="I91" s="183">
        <f>SUMIFS('март 2025'!$G$5:$G$2427,'март 2025'!$D$5:$D$2427,$B91,'март 2025'!$J$5:$J$2427,I$1)</f>
        <v>0</v>
      </c>
      <c r="J91" s="183">
        <f>SUMIFS('март 2025'!$G$5:$G$2427,'март 2025'!$D$5:$D$2427,$B91,'март 2025'!$J$5:$J$2427,J$1)</f>
        <v>0</v>
      </c>
      <c r="K91" s="183">
        <f>SUMIFS('март 2025'!$G$5:$G$2427,'март 2025'!$D$5:$D$2427,$B91,'март 2025'!$J$5:$J$2427,K$1)</f>
        <v>0</v>
      </c>
      <c r="L91" s="183">
        <f>SUMIFS('март 2025'!$G$5:$G$2427,'март 2025'!$D$5:$D$2427,$B91,'март 2025'!$J$5:$J$2427,L$1)</f>
        <v>0</v>
      </c>
      <c r="M91" s="183">
        <f>SUMIFS('март 2025'!$G$5:$G$2427,'март 2025'!$D$5:$D$2427,$B91,'март 2025'!$J$5:$J$2427,M$1)</f>
        <v>0</v>
      </c>
      <c r="N91" s="183">
        <f>SUMIFS('март 2025'!$G$5:$G$2427,'март 2025'!$D$5:$D$2427,$B91,'март 2025'!$J$5:$J$2427,N$1)</f>
        <v>0</v>
      </c>
      <c r="O91" s="183">
        <f>SUMIFS('март 2025'!$G$5:$G$2427,'март 2025'!$D$5:$D$2427,$B91,'март 2025'!$J$5:$J$2427,O$1)</f>
        <v>0</v>
      </c>
      <c r="P91" s="183">
        <f>SUMIFS('март 2025'!$G$5:$G$2427,'март 2025'!$D$5:$D$2427,$B91,'март 2025'!$J$5:$J$2427,P$1)</f>
        <v>0</v>
      </c>
      <c r="Q91" s="183">
        <f>SUMIFS('март 2025'!$G$5:$G$2427,'март 2025'!$D$5:$D$2427,$B91,'март 2025'!$J$5:$J$2427,Q$1)</f>
        <v>0</v>
      </c>
      <c r="R91" s="183">
        <f>SUMIFS('март 2025'!$G$5:$G$2427,'март 2025'!$D$5:$D$2427,$B91,'март 2025'!$J$5:$J$2427,R$1)</f>
        <v>0</v>
      </c>
      <c r="S91" s="183">
        <f>SUMIFS('март 2025'!$G$5:$G$2427,'март 2025'!$D$5:$D$2427,$B91,'март 2025'!$J$5:$J$2427,S$1)</f>
        <v>0</v>
      </c>
      <c r="T91" s="183">
        <f>SUMIFS('март 2025'!$G$5:$G$2427,'март 2025'!$D$5:$D$2427,$B91,'март 2025'!$J$5:$J$2427,T$1)</f>
        <v>0</v>
      </c>
      <c r="U91" s="183">
        <f>SUMIFS('март 2025'!$G$5:$G$2427,'март 2025'!$D$5:$D$2427,$B91,'март 2025'!$J$5:$J$2427,U$1)</f>
        <v>0</v>
      </c>
      <c r="V91" s="183">
        <f>SUMIFS('март 2025'!$G$5:$G$2427,'март 2025'!$D$5:$D$2427,$B91,'март 2025'!$J$5:$J$2427,V$1)</f>
        <v>0</v>
      </c>
      <c r="W91" s="183">
        <f>SUMIFS('март 2025'!$G$5:$G$2427,'март 2025'!$D$5:$D$2427,$B91,'март 2025'!$J$5:$J$2427,W$1)</f>
        <v>0</v>
      </c>
      <c r="X91" s="183">
        <f>SUMIFS('март 2025'!$G$5:$G$2427,'март 2025'!$D$5:$D$2427,$B91,'март 2025'!$J$5:$J$2427,X$1)</f>
        <v>0</v>
      </c>
      <c r="Y91" s="183">
        <f>SUMIFS('март 2025'!$G$5:$G$2427,'март 2025'!$D$5:$D$2427,$B91,'март 2025'!$J$5:$J$2427,Y$1)</f>
        <v>0</v>
      </c>
      <c r="Z91" s="183">
        <f>SUMIFS('март 2025'!$G$5:$G$2427,'март 2025'!$D$5:$D$2427,$B91,'март 2025'!$J$5:$J$2427,Z$1)</f>
        <v>0</v>
      </c>
      <c r="AA91" s="183">
        <f>SUMIFS('март 2025'!$G$5:$G$2427,'март 2025'!$D$5:$D$2427,$B91,'март 2025'!$J$5:$J$2427,AA$1)</f>
        <v>0</v>
      </c>
      <c r="AB91" s="183">
        <f>SUMIFS('март 2025'!$G$5:$G$2427,'март 2025'!$D$5:$D$2427,$B91,'март 2025'!$J$5:$J$2427,AB$1)</f>
        <v>0</v>
      </c>
      <c r="AC91" s="183">
        <f>SUMIFS('март 2025'!$G$5:$G$2427,'март 2025'!$D$5:$D$2427,$B91,'март 2025'!$J$5:$J$2427,AC$1)</f>
        <v>0</v>
      </c>
      <c r="AD91" s="183">
        <f>SUMIFS('март 2025'!$G$5:$G$2427,'март 2025'!$D$5:$D$2427,$B91,'март 2025'!$J$5:$J$2427,AD$1)</f>
        <v>0</v>
      </c>
      <c r="AE91" s="183">
        <f>SUMIFS('март 2025'!$G$5:$G$2427,'март 2025'!$D$5:$D$2427,$B91,'март 2025'!$J$5:$J$2427,AE$1)</f>
        <v>0</v>
      </c>
      <c r="AF91" s="183">
        <f>SUMIFS('март 2025'!$G$5:$G$2427,'март 2025'!$D$5:$D$2427,$B91,'март 2025'!$J$5:$J$2427,AF$1)</f>
        <v>0</v>
      </c>
      <c r="AG91" s="183">
        <f>SUMIFS('март 2025'!$G$5:$G$2427,'март 2025'!$D$5:$D$2427,$B91,'март 2025'!$J$5:$J$2427,AG$1)</f>
        <v>0</v>
      </c>
      <c r="AH91" s="183">
        <f>SUMIFS('март 2025'!$G$5:$G$2427,'март 2025'!$D$5:$D$2427,$B91,'март 2025'!$J$5:$J$2427,AH$1)</f>
        <v>0</v>
      </c>
      <c r="AI91" s="20">
        <f t="shared" si="1"/>
        <v>0</v>
      </c>
    </row>
    <row r="92" spans="2:35" ht="15" customHeight="1" x14ac:dyDescent="0.25">
      <c r="B92" s="88" t="s">
        <v>173</v>
      </c>
      <c r="C92" s="83">
        <v>190</v>
      </c>
      <c r="D92" s="183">
        <f>SUMIFS('март 2025'!$G$5:$G$2427,'март 2025'!$D$5:$D$2427,$B92,'март 2025'!$J$5:$J$2427,D$1)</f>
        <v>0</v>
      </c>
      <c r="E92" s="183">
        <f>SUMIFS('март 2025'!$G$5:$G$2427,'март 2025'!$D$5:$D$2427,$B92,'март 2025'!$J$5:$J$2427,E$1)</f>
        <v>0</v>
      </c>
      <c r="F92" s="183">
        <f>SUMIFS('март 2025'!$G$5:$G$2427,'март 2025'!$D$5:$D$2427,$B92,'март 2025'!$J$5:$J$2427,F$1)</f>
        <v>0</v>
      </c>
      <c r="G92" s="183">
        <f>SUMIFS('март 2025'!$G$5:$G$2427,'март 2025'!$D$5:$D$2427,$B92,'март 2025'!$J$5:$J$2427,G$1)</f>
        <v>0</v>
      </c>
      <c r="H92" s="183">
        <f>SUMIFS('март 2025'!$G$5:$G$2427,'март 2025'!$D$5:$D$2427,$B92,'март 2025'!$J$5:$J$2427,H$1)</f>
        <v>0</v>
      </c>
      <c r="I92" s="183">
        <f>SUMIFS('март 2025'!$G$5:$G$2427,'март 2025'!$D$5:$D$2427,$B92,'март 2025'!$J$5:$J$2427,I$1)</f>
        <v>0</v>
      </c>
      <c r="J92" s="183">
        <f>SUMIFS('март 2025'!$G$5:$G$2427,'март 2025'!$D$5:$D$2427,$B92,'март 2025'!$J$5:$J$2427,J$1)</f>
        <v>0</v>
      </c>
      <c r="K92" s="183">
        <f>SUMIFS('март 2025'!$G$5:$G$2427,'март 2025'!$D$5:$D$2427,$B92,'март 2025'!$J$5:$J$2427,K$1)</f>
        <v>0</v>
      </c>
      <c r="L92" s="183">
        <f>SUMIFS('март 2025'!$G$5:$G$2427,'март 2025'!$D$5:$D$2427,$B92,'март 2025'!$J$5:$J$2427,L$1)</f>
        <v>0</v>
      </c>
      <c r="M92" s="183">
        <f>SUMIFS('март 2025'!$G$5:$G$2427,'март 2025'!$D$5:$D$2427,$B92,'март 2025'!$J$5:$J$2427,M$1)</f>
        <v>0</v>
      </c>
      <c r="N92" s="183">
        <f>SUMIFS('март 2025'!$G$5:$G$2427,'март 2025'!$D$5:$D$2427,$B92,'март 2025'!$J$5:$J$2427,N$1)</f>
        <v>0</v>
      </c>
      <c r="O92" s="183">
        <f>SUMIFS('март 2025'!$G$5:$G$2427,'март 2025'!$D$5:$D$2427,$B92,'март 2025'!$J$5:$J$2427,O$1)</f>
        <v>0</v>
      </c>
      <c r="P92" s="183">
        <f>SUMIFS('март 2025'!$G$5:$G$2427,'март 2025'!$D$5:$D$2427,$B92,'март 2025'!$J$5:$J$2427,P$1)</f>
        <v>0</v>
      </c>
      <c r="Q92" s="183">
        <f>SUMIFS('март 2025'!$G$5:$G$2427,'март 2025'!$D$5:$D$2427,$B92,'март 2025'!$J$5:$J$2427,Q$1)</f>
        <v>0</v>
      </c>
      <c r="R92" s="183">
        <f>SUMIFS('март 2025'!$G$5:$G$2427,'март 2025'!$D$5:$D$2427,$B92,'март 2025'!$J$5:$J$2427,R$1)</f>
        <v>0</v>
      </c>
      <c r="S92" s="183">
        <f>SUMIFS('март 2025'!$G$5:$G$2427,'март 2025'!$D$5:$D$2427,$B92,'март 2025'!$J$5:$J$2427,S$1)</f>
        <v>0</v>
      </c>
      <c r="T92" s="183">
        <f>SUMIFS('март 2025'!$G$5:$G$2427,'март 2025'!$D$5:$D$2427,$B92,'март 2025'!$J$5:$J$2427,T$1)</f>
        <v>0</v>
      </c>
      <c r="U92" s="183">
        <f>SUMIFS('март 2025'!$G$5:$G$2427,'март 2025'!$D$5:$D$2427,$B92,'март 2025'!$J$5:$J$2427,U$1)</f>
        <v>0</v>
      </c>
      <c r="V92" s="183">
        <f>SUMIFS('март 2025'!$G$5:$G$2427,'март 2025'!$D$5:$D$2427,$B92,'март 2025'!$J$5:$J$2427,V$1)</f>
        <v>0</v>
      </c>
      <c r="W92" s="183">
        <f>SUMIFS('март 2025'!$G$5:$G$2427,'март 2025'!$D$5:$D$2427,$B92,'март 2025'!$J$5:$J$2427,W$1)</f>
        <v>0</v>
      </c>
      <c r="X92" s="183">
        <f>SUMIFS('март 2025'!$G$5:$G$2427,'март 2025'!$D$5:$D$2427,$B92,'март 2025'!$J$5:$J$2427,X$1)</f>
        <v>0</v>
      </c>
      <c r="Y92" s="183">
        <f>SUMIFS('март 2025'!$G$5:$G$2427,'март 2025'!$D$5:$D$2427,$B92,'март 2025'!$J$5:$J$2427,Y$1)</f>
        <v>0</v>
      </c>
      <c r="Z92" s="183">
        <f>SUMIFS('март 2025'!$G$5:$G$2427,'март 2025'!$D$5:$D$2427,$B92,'март 2025'!$J$5:$J$2427,Z$1)</f>
        <v>0</v>
      </c>
      <c r="AA92" s="183">
        <f>SUMIFS('март 2025'!$G$5:$G$2427,'март 2025'!$D$5:$D$2427,$B92,'март 2025'!$J$5:$J$2427,AA$1)</f>
        <v>0</v>
      </c>
      <c r="AB92" s="183">
        <f>SUMIFS('март 2025'!$G$5:$G$2427,'март 2025'!$D$5:$D$2427,$B92,'март 2025'!$J$5:$J$2427,AB$1)</f>
        <v>0</v>
      </c>
      <c r="AC92" s="183">
        <f>SUMIFS('март 2025'!$G$5:$G$2427,'март 2025'!$D$5:$D$2427,$B92,'март 2025'!$J$5:$J$2427,AC$1)</f>
        <v>0</v>
      </c>
      <c r="AD92" s="183">
        <f>SUMIFS('март 2025'!$G$5:$G$2427,'март 2025'!$D$5:$D$2427,$B92,'март 2025'!$J$5:$J$2427,AD$1)</f>
        <v>0</v>
      </c>
      <c r="AE92" s="183">
        <f>SUMIFS('март 2025'!$G$5:$G$2427,'март 2025'!$D$5:$D$2427,$B92,'март 2025'!$J$5:$J$2427,AE$1)</f>
        <v>0</v>
      </c>
      <c r="AF92" s="183">
        <f>SUMIFS('март 2025'!$G$5:$G$2427,'март 2025'!$D$5:$D$2427,$B92,'март 2025'!$J$5:$J$2427,AF$1)</f>
        <v>0</v>
      </c>
      <c r="AG92" s="183">
        <f>SUMIFS('март 2025'!$G$5:$G$2427,'март 2025'!$D$5:$D$2427,$B92,'март 2025'!$J$5:$J$2427,AG$1)</f>
        <v>0</v>
      </c>
      <c r="AH92" s="183">
        <f>SUMIFS('март 2025'!$G$5:$G$2427,'март 2025'!$D$5:$D$2427,$B92,'март 2025'!$J$5:$J$2427,AH$1)</f>
        <v>0</v>
      </c>
      <c r="AI92" s="20">
        <f t="shared" si="1"/>
        <v>0</v>
      </c>
    </row>
    <row r="93" spans="2:35" ht="15" customHeight="1" x14ac:dyDescent="0.25">
      <c r="B93" s="88" t="s">
        <v>182</v>
      </c>
      <c r="C93" s="86">
        <v>180</v>
      </c>
      <c r="D93" s="183">
        <f>SUMIFS('март 2025'!$G$5:$G$2427,'март 2025'!$D$5:$D$2427,$B93,'март 2025'!$J$5:$J$2427,D$1)</f>
        <v>0</v>
      </c>
      <c r="E93" s="183">
        <f>SUMIFS('март 2025'!$G$5:$G$2427,'март 2025'!$D$5:$D$2427,$B93,'март 2025'!$J$5:$J$2427,E$1)</f>
        <v>0</v>
      </c>
      <c r="F93" s="183">
        <f>SUMIFS('март 2025'!$G$5:$G$2427,'март 2025'!$D$5:$D$2427,$B93,'март 2025'!$J$5:$J$2427,F$1)</f>
        <v>0</v>
      </c>
      <c r="G93" s="183">
        <f>SUMIFS('март 2025'!$G$5:$G$2427,'март 2025'!$D$5:$D$2427,$B93,'март 2025'!$J$5:$J$2427,G$1)</f>
        <v>0</v>
      </c>
      <c r="H93" s="183">
        <f>SUMIFS('март 2025'!$G$5:$G$2427,'март 2025'!$D$5:$D$2427,$B93,'март 2025'!$J$5:$J$2427,H$1)</f>
        <v>0</v>
      </c>
      <c r="I93" s="183">
        <f>SUMIFS('март 2025'!$G$5:$G$2427,'март 2025'!$D$5:$D$2427,$B93,'март 2025'!$J$5:$J$2427,I$1)</f>
        <v>0</v>
      </c>
      <c r="J93" s="183">
        <f>SUMIFS('март 2025'!$G$5:$G$2427,'март 2025'!$D$5:$D$2427,$B93,'март 2025'!$J$5:$J$2427,J$1)</f>
        <v>0</v>
      </c>
      <c r="K93" s="183">
        <f>SUMIFS('март 2025'!$G$5:$G$2427,'март 2025'!$D$5:$D$2427,$B93,'март 2025'!$J$5:$J$2427,K$1)</f>
        <v>0</v>
      </c>
      <c r="L93" s="183">
        <f>SUMIFS('март 2025'!$G$5:$G$2427,'март 2025'!$D$5:$D$2427,$B93,'март 2025'!$J$5:$J$2427,L$1)</f>
        <v>0</v>
      </c>
      <c r="M93" s="183">
        <f>SUMIFS('март 2025'!$G$5:$G$2427,'март 2025'!$D$5:$D$2427,$B93,'март 2025'!$J$5:$J$2427,M$1)</f>
        <v>0</v>
      </c>
      <c r="N93" s="183">
        <f>SUMIFS('март 2025'!$G$5:$G$2427,'март 2025'!$D$5:$D$2427,$B93,'март 2025'!$J$5:$J$2427,N$1)</f>
        <v>0</v>
      </c>
      <c r="O93" s="183">
        <f>SUMIFS('март 2025'!$G$5:$G$2427,'март 2025'!$D$5:$D$2427,$B93,'март 2025'!$J$5:$J$2427,O$1)</f>
        <v>0</v>
      </c>
      <c r="P93" s="183">
        <f>SUMIFS('март 2025'!$G$5:$G$2427,'март 2025'!$D$5:$D$2427,$B93,'март 2025'!$J$5:$J$2427,P$1)</f>
        <v>0</v>
      </c>
      <c r="Q93" s="183">
        <f>SUMIFS('март 2025'!$G$5:$G$2427,'март 2025'!$D$5:$D$2427,$B93,'март 2025'!$J$5:$J$2427,Q$1)</f>
        <v>0</v>
      </c>
      <c r="R93" s="183">
        <f>SUMIFS('март 2025'!$G$5:$G$2427,'март 2025'!$D$5:$D$2427,$B93,'март 2025'!$J$5:$J$2427,R$1)</f>
        <v>0</v>
      </c>
      <c r="S93" s="183">
        <f>SUMIFS('март 2025'!$G$5:$G$2427,'март 2025'!$D$5:$D$2427,$B93,'март 2025'!$J$5:$J$2427,S$1)</f>
        <v>0</v>
      </c>
      <c r="T93" s="183">
        <f>SUMIFS('март 2025'!$G$5:$G$2427,'март 2025'!$D$5:$D$2427,$B93,'март 2025'!$J$5:$J$2427,T$1)</f>
        <v>0</v>
      </c>
      <c r="U93" s="183">
        <f>SUMIFS('март 2025'!$G$5:$G$2427,'март 2025'!$D$5:$D$2427,$B93,'март 2025'!$J$5:$J$2427,U$1)</f>
        <v>0</v>
      </c>
      <c r="V93" s="183">
        <f>SUMIFS('март 2025'!$G$5:$G$2427,'март 2025'!$D$5:$D$2427,$B93,'март 2025'!$J$5:$J$2427,V$1)</f>
        <v>0</v>
      </c>
      <c r="W93" s="183">
        <f>SUMIFS('март 2025'!$G$5:$G$2427,'март 2025'!$D$5:$D$2427,$B93,'март 2025'!$J$5:$J$2427,W$1)</f>
        <v>0</v>
      </c>
      <c r="X93" s="183">
        <f>SUMIFS('март 2025'!$G$5:$G$2427,'март 2025'!$D$5:$D$2427,$B93,'март 2025'!$J$5:$J$2427,X$1)</f>
        <v>0</v>
      </c>
      <c r="Y93" s="183">
        <f>SUMIFS('март 2025'!$G$5:$G$2427,'март 2025'!$D$5:$D$2427,$B93,'март 2025'!$J$5:$J$2427,Y$1)</f>
        <v>0</v>
      </c>
      <c r="Z93" s="183">
        <f>SUMIFS('март 2025'!$G$5:$G$2427,'март 2025'!$D$5:$D$2427,$B93,'март 2025'!$J$5:$J$2427,Z$1)</f>
        <v>0</v>
      </c>
      <c r="AA93" s="183">
        <f>SUMIFS('март 2025'!$G$5:$G$2427,'март 2025'!$D$5:$D$2427,$B93,'март 2025'!$J$5:$J$2427,AA$1)</f>
        <v>0</v>
      </c>
      <c r="AB93" s="183">
        <f>SUMIFS('март 2025'!$G$5:$G$2427,'март 2025'!$D$5:$D$2427,$B93,'март 2025'!$J$5:$J$2427,AB$1)</f>
        <v>0</v>
      </c>
      <c r="AC93" s="183">
        <f>SUMIFS('март 2025'!$G$5:$G$2427,'март 2025'!$D$5:$D$2427,$B93,'март 2025'!$J$5:$J$2427,AC$1)</f>
        <v>0</v>
      </c>
      <c r="AD93" s="183">
        <f>SUMIFS('март 2025'!$G$5:$G$2427,'март 2025'!$D$5:$D$2427,$B93,'март 2025'!$J$5:$J$2427,AD$1)</f>
        <v>0</v>
      </c>
      <c r="AE93" s="183">
        <f>SUMIFS('март 2025'!$G$5:$G$2427,'март 2025'!$D$5:$D$2427,$B93,'март 2025'!$J$5:$J$2427,AE$1)</f>
        <v>0</v>
      </c>
      <c r="AF93" s="183">
        <f>SUMIFS('март 2025'!$G$5:$G$2427,'март 2025'!$D$5:$D$2427,$B93,'март 2025'!$J$5:$J$2427,AF$1)</f>
        <v>0</v>
      </c>
      <c r="AG93" s="183">
        <f>SUMIFS('март 2025'!$G$5:$G$2427,'март 2025'!$D$5:$D$2427,$B93,'март 2025'!$J$5:$J$2427,AG$1)</f>
        <v>0</v>
      </c>
      <c r="AH93" s="183">
        <f>SUMIFS('март 2025'!$G$5:$G$2427,'март 2025'!$D$5:$D$2427,$B93,'март 2025'!$J$5:$J$2427,AH$1)</f>
        <v>0</v>
      </c>
      <c r="AI93" s="20">
        <f t="shared" si="1"/>
        <v>0</v>
      </c>
    </row>
    <row r="94" spans="2:35" ht="15" customHeight="1" x14ac:dyDescent="0.25">
      <c r="B94" s="88" t="s">
        <v>298</v>
      </c>
      <c r="C94" s="86">
        <v>190</v>
      </c>
      <c r="D94" s="183">
        <f>SUMIFS('март 2025'!$G$5:$G$2427,'март 2025'!$D$5:$D$2427,$B94,'март 2025'!$J$5:$J$2427,D$1)</f>
        <v>0</v>
      </c>
      <c r="E94" s="183">
        <f>SUMIFS('март 2025'!$G$5:$G$2427,'март 2025'!$D$5:$D$2427,$B94,'март 2025'!$J$5:$J$2427,E$1)</f>
        <v>0</v>
      </c>
      <c r="F94" s="183">
        <f>SUMIFS('март 2025'!$G$5:$G$2427,'март 2025'!$D$5:$D$2427,$B94,'март 2025'!$J$5:$J$2427,F$1)</f>
        <v>0</v>
      </c>
      <c r="G94" s="183">
        <f>SUMIFS('март 2025'!$G$5:$G$2427,'март 2025'!$D$5:$D$2427,$B94,'март 2025'!$J$5:$J$2427,G$1)</f>
        <v>0</v>
      </c>
      <c r="H94" s="183">
        <f>SUMIFS('март 2025'!$G$5:$G$2427,'март 2025'!$D$5:$D$2427,$B94,'март 2025'!$J$5:$J$2427,H$1)</f>
        <v>0</v>
      </c>
      <c r="I94" s="183">
        <f>SUMIFS('март 2025'!$G$5:$G$2427,'март 2025'!$D$5:$D$2427,$B94,'март 2025'!$J$5:$J$2427,I$1)</f>
        <v>0</v>
      </c>
      <c r="J94" s="183">
        <f>SUMIFS('март 2025'!$G$5:$G$2427,'март 2025'!$D$5:$D$2427,$B94,'март 2025'!$J$5:$J$2427,J$1)</f>
        <v>0</v>
      </c>
      <c r="K94" s="183">
        <f>SUMIFS('март 2025'!$G$5:$G$2427,'март 2025'!$D$5:$D$2427,$B94,'март 2025'!$J$5:$J$2427,K$1)</f>
        <v>0</v>
      </c>
      <c r="L94" s="183">
        <f>SUMIFS('март 2025'!$G$5:$G$2427,'март 2025'!$D$5:$D$2427,$B94,'март 2025'!$J$5:$J$2427,L$1)</f>
        <v>0</v>
      </c>
      <c r="M94" s="183">
        <f>SUMIFS('март 2025'!$G$5:$G$2427,'март 2025'!$D$5:$D$2427,$B94,'март 2025'!$J$5:$J$2427,M$1)</f>
        <v>0</v>
      </c>
      <c r="N94" s="183">
        <f>SUMIFS('март 2025'!$G$5:$G$2427,'март 2025'!$D$5:$D$2427,$B94,'март 2025'!$J$5:$J$2427,N$1)</f>
        <v>0</v>
      </c>
      <c r="O94" s="183">
        <f>SUMIFS('март 2025'!$G$5:$G$2427,'март 2025'!$D$5:$D$2427,$B94,'март 2025'!$J$5:$J$2427,O$1)</f>
        <v>0</v>
      </c>
      <c r="P94" s="183">
        <f>SUMIFS('март 2025'!$G$5:$G$2427,'март 2025'!$D$5:$D$2427,$B94,'март 2025'!$J$5:$J$2427,P$1)</f>
        <v>0</v>
      </c>
      <c r="Q94" s="183">
        <f>SUMIFS('март 2025'!$G$5:$G$2427,'март 2025'!$D$5:$D$2427,$B94,'март 2025'!$J$5:$J$2427,Q$1)</f>
        <v>0</v>
      </c>
      <c r="R94" s="183">
        <f>SUMIFS('март 2025'!$G$5:$G$2427,'март 2025'!$D$5:$D$2427,$B94,'март 2025'!$J$5:$J$2427,R$1)</f>
        <v>0</v>
      </c>
      <c r="S94" s="183">
        <f>SUMIFS('март 2025'!$G$5:$G$2427,'март 2025'!$D$5:$D$2427,$B94,'март 2025'!$J$5:$J$2427,S$1)</f>
        <v>0</v>
      </c>
      <c r="T94" s="183">
        <f>SUMIFS('март 2025'!$G$5:$G$2427,'март 2025'!$D$5:$D$2427,$B94,'март 2025'!$J$5:$J$2427,T$1)</f>
        <v>0</v>
      </c>
      <c r="U94" s="183">
        <f>SUMIFS('март 2025'!$G$5:$G$2427,'март 2025'!$D$5:$D$2427,$B94,'март 2025'!$J$5:$J$2427,U$1)</f>
        <v>0</v>
      </c>
      <c r="V94" s="183">
        <f>SUMIFS('март 2025'!$G$5:$G$2427,'март 2025'!$D$5:$D$2427,$B94,'март 2025'!$J$5:$J$2427,V$1)</f>
        <v>0</v>
      </c>
      <c r="W94" s="183">
        <f>SUMIFS('март 2025'!$G$5:$G$2427,'март 2025'!$D$5:$D$2427,$B94,'март 2025'!$J$5:$J$2427,W$1)</f>
        <v>0</v>
      </c>
      <c r="X94" s="183">
        <f>SUMIFS('март 2025'!$G$5:$G$2427,'март 2025'!$D$5:$D$2427,$B94,'март 2025'!$J$5:$J$2427,X$1)</f>
        <v>0</v>
      </c>
      <c r="Y94" s="183">
        <f>SUMIFS('март 2025'!$G$5:$G$2427,'март 2025'!$D$5:$D$2427,$B94,'март 2025'!$J$5:$J$2427,Y$1)</f>
        <v>0</v>
      </c>
      <c r="Z94" s="183">
        <f>SUMIFS('март 2025'!$G$5:$G$2427,'март 2025'!$D$5:$D$2427,$B94,'март 2025'!$J$5:$J$2427,Z$1)</f>
        <v>0</v>
      </c>
      <c r="AA94" s="183">
        <f>SUMIFS('март 2025'!$G$5:$G$2427,'март 2025'!$D$5:$D$2427,$B94,'март 2025'!$J$5:$J$2427,AA$1)</f>
        <v>0</v>
      </c>
      <c r="AB94" s="183">
        <f>SUMIFS('март 2025'!$G$5:$G$2427,'март 2025'!$D$5:$D$2427,$B94,'март 2025'!$J$5:$J$2427,AB$1)</f>
        <v>0</v>
      </c>
      <c r="AC94" s="183">
        <f>SUMIFS('март 2025'!$G$5:$G$2427,'март 2025'!$D$5:$D$2427,$B94,'март 2025'!$J$5:$J$2427,AC$1)</f>
        <v>0</v>
      </c>
      <c r="AD94" s="183">
        <f>SUMIFS('март 2025'!$G$5:$G$2427,'март 2025'!$D$5:$D$2427,$B94,'март 2025'!$J$5:$J$2427,AD$1)</f>
        <v>0</v>
      </c>
      <c r="AE94" s="183">
        <f>SUMIFS('март 2025'!$G$5:$G$2427,'март 2025'!$D$5:$D$2427,$B94,'март 2025'!$J$5:$J$2427,AE$1)</f>
        <v>0</v>
      </c>
      <c r="AF94" s="183">
        <f>SUMIFS('март 2025'!$G$5:$G$2427,'март 2025'!$D$5:$D$2427,$B94,'март 2025'!$J$5:$J$2427,AF$1)</f>
        <v>0</v>
      </c>
      <c r="AG94" s="183">
        <f>SUMIFS('март 2025'!$G$5:$G$2427,'март 2025'!$D$5:$D$2427,$B94,'март 2025'!$J$5:$J$2427,AG$1)</f>
        <v>0</v>
      </c>
      <c r="AH94" s="183">
        <f>SUMIFS('март 2025'!$G$5:$G$2427,'март 2025'!$D$5:$D$2427,$B94,'март 2025'!$J$5:$J$2427,AH$1)</f>
        <v>0</v>
      </c>
      <c r="AI94" s="20">
        <f t="shared" si="1"/>
        <v>0</v>
      </c>
    </row>
    <row r="95" spans="2:35" ht="15" customHeight="1" x14ac:dyDescent="0.25">
      <c r="B95" s="88" t="s">
        <v>312</v>
      </c>
      <c r="C95" s="86">
        <v>190</v>
      </c>
      <c r="D95" s="183">
        <f>SUMIFS('март 2025'!$G$5:$G$2427,'март 2025'!$D$5:$D$2427,$B95,'март 2025'!$J$5:$J$2427,D$1)</f>
        <v>0</v>
      </c>
      <c r="E95" s="183">
        <f>SUMIFS('март 2025'!$G$5:$G$2427,'март 2025'!$D$5:$D$2427,$B95,'март 2025'!$J$5:$J$2427,E$1)</f>
        <v>0</v>
      </c>
      <c r="F95" s="183">
        <f>SUMIFS('март 2025'!$G$5:$G$2427,'март 2025'!$D$5:$D$2427,$B95,'март 2025'!$J$5:$J$2427,F$1)</f>
        <v>0</v>
      </c>
      <c r="G95" s="183">
        <f>SUMIFS('март 2025'!$G$5:$G$2427,'март 2025'!$D$5:$D$2427,$B95,'март 2025'!$J$5:$J$2427,G$1)</f>
        <v>0</v>
      </c>
      <c r="H95" s="183">
        <f>SUMIFS('март 2025'!$G$5:$G$2427,'март 2025'!$D$5:$D$2427,$B95,'март 2025'!$J$5:$J$2427,H$1)</f>
        <v>0</v>
      </c>
      <c r="I95" s="183">
        <f>SUMIFS('март 2025'!$G$5:$G$2427,'март 2025'!$D$5:$D$2427,$B95,'март 2025'!$J$5:$J$2427,I$1)</f>
        <v>0</v>
      </c>
      <c r="J95" s="183">
        <f>SUMIFS('март 2025'!$G$5:$G$2427,'март 2025'!$D$5:$D$2427,$B95,'март 2025'!$J$5:$J$2427,J$1)</f>
        <v>0</v>
      </c>
      <c r="K95" s="183">
        <f>SUMIFS('март 2025'!$G$5:$G$2427,'март 2025'!$D$5:$D$2427,$B95,'март 2025'!$J$5:$J$2427,K$1)</f>
        <v>0</v>
      </c>
      <c r="L95" s="183">
        <f>SUMIFS('март 2025'!$G$5:$G$2427,'март 2025'!$D$5:$D$2427,$B95,'март 2025'!$J$5:$J$2427,L$1)</f>
        <v>0</v>
      </c>
      <c r="M95" s="183">
        <f>SUMIFS('март 2025'!$G$5:$G$2427,'март 2025'!$D$5:$D$2427,$B95,'март 2025'!$J$5:$J$2427,M$1)</f>
        <v>0</v>
      </c>
      <c r="N95" s="183">
        <f>SUMIFS('март 2025'!$G$5:$G$2427,'март 2025'!$D$5:$D$2427,$B95,'март 2025'!$J$5:$J$2427,N$1)</f>
        <v>0</v>
      </c>
      <c r="O95" s="183">
        <f>SUMIFS('март 2025'!$G$5:$G$2427,'март 2025'!$D$5:$D$2427,$B95,'март 2025'!$J$5:$J$2427,O$1)</f>
        <v>0</v>
      </c>
      <c r="P95" s="183">
        <f>SUMIFS('март 2025'!$G$5:$G$2427,'март 2025'!$D$5:$D$2427,$B95,'март 2025'!$J$5:$J$2427,P$1)</f>
        <v>0</v>
      </c>
      <c r="Q95" s="183">
        <f>SUMIFS('март 2025'!$G$5:$G$2427,'март 2025'!$D$5:$D$2427,$B95,'март 2025'!$J$5:$J$2427,Q$1)</f>
        <v>0</v>
      </c>
      <c r="R95" s="183">
        <f>SUMIFS('март 2025'!$G$5:$G$2427,'март 2025'!$D$5:$D$2427,$B95,'март 2025'!$J$5:$J$2427,R$1)</f>
        <v>0</v>
      </c>
      <c r="S95" s="183">
        <f>SUMIFS('март 2025'!$G$5:$G$2427,'март 2025'!$D$5:$D$2427,$B95,'март 2025'!$J$5:$J$2427,S$1)</f>
        <v>0</v>
      </c>
      <c r="T95" s="183">
        <f>SUMIFS('март 2025'!$G$5:$G$2427,'март 2025'!$D$5:$D$2427,$B95,'март 2025'!$J$5:$J$2427,T$1)</f>
        <v>0</v>
      </c>
      <c r="U95" s="183">
        <f>SUMIFS('март 2025'!$G$5:$G$2427,'март 2025'!$D$5:$D$2427,$B95,'март 2025'!$J$5:$J$2427,U$1)</f>
        <v>0</v>
      </c>
      <c r="V95" s="183">
        <f>SUMIFS('март 2025'!$G$5:$G$2427,'март 2025'!$D$5:$D$2427,$B95,'март 2025'!$J$5:$J$2427,V$1)</f>
        <v>0</v>
      </c>
      <c r="W95" s="183">
        <f>SUMIFS('март 2025'!$G$5:$G$2427,'март 2025'!$D$5:$D$2427,$B95,'март 2025'!$J$5:$J$2427,W$1)</f>
        <v>0</v>
      </c>
      <c r="X95" s="183">
        <f>SUMIFS('март 2025'!$G$5:$G$2427,'март 2025'!$D$5:$D$2427,$B95,'март 2025'!$J$5:$J$2427,X$1)</f>
        <v>0</v>
      </c>
      <c r="Y95" s="183">
        <f>SUMIFS('март 2025'!$G$5:$G$2427,'март 2025'!$D$5:$D$2427,$B95,'март 2025'!$J$5:$J$2427,Y$1)</f>
        <v>0</v>
      </c>
      <c r="Z95" s="183">
        <f>SUMIFS('март 2025'!$G$5:$G$2427,'март 2025'!$D$5:$D$2427,$B95,'март 2025'!$J$5:$J$2427,Z$1)</f>
        <v>0</v>
      </c>
      <c r="AA95" s="183">
        <f>SUMIFS('март 2025'!$G$5:$G$2427,'март 2025'!$D$5:$D$2427,$B95,'март 2025'!$J$5:$J$2427,AA$1)</f>
        <v>0</v>
      </c>
      <c r="AB95" s="183">
        <f>SUMIFS('март 2025'!$G$5:$G$2427,'март 2025'!$D$5:$D$2427,$B95,'март 2025'!$J$5:$J$2427,AB$1)</f>
        <v>0</v>
      </c>
      <c r="AC95" s="183">
        <f>SUMIFS('март 2025'!$G$5:$G$2427,'март 2025'!$D$5:$D$2427,$B95,'март 2025'!$J$5:$J$2427,AC$1)</f>
        <v>0</v>
      </c>
      <c r="AD95" s="183">
        <f>SUMIFS('март 2025'!$G$5:$G$2427,'март 2025'!$D$5:$D$2427,$B95,'март 2025'!$J$5:$J$2427,AD$1)</f>
        <v>0</v>
      </c>
      <c r="AE95" s="183">
        <f>SUMIFS('март 2025'!$G$5:$G$2427,'март 2025'!$D$5:$D$2427,$B95,'март 2025'!$J$5:$J$2427,AE$1)</f>
        <v>0</v>
      </c>
      <c r="AF95" s="183">
        <f>SUMIFS('март 2025'!$G$5:$G$2427,'март 2025'!$D$5:$D$2427,$B95,'март 2025'!$J$5:$J$2427,AF$1)</f>
        <v>0</v>
      </c>
      <c r="AG95" s="183">
        <f>SUMIFS('март 2025'!$G$5:$G$2427,'март 2025'!$D$5:$D$2427,$B95,'март 2025'!$J$5:$J$2427,AG$1)</f>
        <v>0</v>
      </c>
      <c r="AH95" s="183">
        <f>SUMIFS('март 2025'!$G$5:$G$2427,'март 2025'!$D$5:$D$2427,$B95,'март 2025'!$J$5:$J$2427,AH$1)</f>
        <v>0</v>
      </c>
      <c r="AI95" s="20">
        <f t="shared" si="1"/>
        <v>0</v>
      </c>
    </row>
    <row r="96" spans="2:35" ht="15" customHeight="1" x14ac:dyDescent="0.25">
      <c r="B96" s="88" t="s">
        <v>282</v>
      </c>
      <c r="C96" s="86">
        <v>190</v>
      </c>
      <c r="D96" s="183">
        <f>SUMIFS('март 2025'!$G$5:$G$2427,'март 2025'!$D$5:$D$2427,$B96,'март 2025'!$J$5:$J$2427,D$1)</f>
        <v>0</v>
      </c>
      <c r="E96" s="183">
        <f>SUMIFS('март 2025'!$G$5:$G$2427,'март 2025'!$D$5:$D$2427,$B96,'март 2025'!$J$5:$J$2427,E$1)</f>
        <v>0</v>
      </c>
      <c r="F96" s="183">
        <f>SUMIFS('март 2025'!$G$5:$G$2427,'март 2025'!$D$5:$D$2427,$B96,'март 2025'!$J$5:$J$2427,F$1)</f>
        <v>0</v>
      </c>
      <c r="G96" s="183">
        <f>SUMIFS('март 2025'!$G$5:$G$2427,'март 2025'!$D$5:$D$2427,$B96,'март 2025'!$J$5:$J$2427,G$1)</f>
        <v>0</v>
      </c>
      <c r="H96" s="183">
        <f>SUMIFS('март 2025'!$G$5:$G$2427,'март 2025'!$D$5:$D$2427,$B96,'март 2025'!$J$5:$J$2427,H$1)</f>
        <v>0</v>
      </c>
      <c r="I96" s="183">
        <f>SUMIFS('март 2025'!$G$5:$G$2427,'март 2025'!$D$5:$D$2427,$B96,'март 2025'!$J$5:$J$2427,I$1)</f>
        <v>0</v>
      </c>
      <c r="J96" s="183">
        <f>SUMIFS('март 2025'!$G$5:$G$2427,'март 2025'!$D$5:$D$2427,$B96,'март 2025'!$J$5:$J$2427,J$1)</f>
        <v>0</v>
      </c>
      <c r="K96" s="183">
        <f>SUMIFS('март 2025'!$G$5:$G$2427,'март 2025'!$D$5:$D$2427,$B96,'март 2025'!$J$5:$J$2427,K$1)</f>
        <v>0</v>
      </c>
      <c r="L96" s="183">
        <f>SUMIFS('март 2025'!$G$5:$G$2427,'март 2025'!$D$5:$D$2427,$B96,'март 2025'!$J$5:$J$2427,L$1)</f>
        <v>0</v>
      </c>
      <c r="M96" s="183">
        <f>SUMIFS('март 2025'!$G$5:$G$2427,'март 2025'!$D$5:$D$2427,$B96,'март 2025'!$J$5:$J$2427,M$1)</f>
        <v>0</v>
      </c>
      <c r="N96" s="183">
        <f>SUMIFS('март 2025'!$G$5:$G$2427,'март 2025'!$D$5:$D$2427,$B96,'март 2025'!$J$5:$J$2427,N$1)</f>
        <v>0</v>
      </c>
      <c r="O96" s="183">
        <f>SUMIFS('март 2025'!$G$5:$G$2427,'март 2025'!$D$5:$D$2427,$B96,'март 2025'!$J$5:$J$2427,O$1)</f>
        <v>0</v>
      </c>
      <c r="P96" s="183">
        <f>SUMIFS('март 2025'!$G$5:$G$2427,'март 2025'!$D$5:$D$2427,$B96,'март 2025'!$J$5:$J$2427,P$1)</f>
        <v>0</v>
      </c>
      <c r="Q96" s="183">
        <f>SUMIFS('март 2025'!$G$5:$G$2427,'март 2025'!$D$5:$D$2427,$B96,'март 2025'!$J$5:$J$2427,Q$1)</f>
        <v>0</v>
      </c>
      <c r="R96" s="183">
        <f>SUMIFS('март 2025'!$G$5:$G$2427,'март 2025'!$D$5:$D$2427,$B96,'март 2025'!$J$5:$J$2427,R$1)</f>
        <v>0</v>
      </c>
      <c r="S96" s="183">
        <f>SUMIFS('март 2025'!$G$5:$G$2427,'март 2025'!$D$5:$D$2427,$B96,'март 2025'!$J$5:$J$2427,S$1)</f>
        <v>0</v>
      </c>
      <c r="T96" s="183">
        <f>SUMIFS('март 2025'!$G$5:$G$2427,'март 2025'!$D$5:$D$2427,$B96,'март 2025'!$J$5:$J$2427,T$1)</f>
        <v>0</v>
      </c>
      <c r="U96" s="183">
        <f>SUMIFS('март 2025'!$G$5:$G$2427,'март 2025'!$D$5:$D$2427,$B96,'март 2025'!$J$5:$J$2427,U$1)</f>
        <v>0</v>
      </c>
      <c r="V96" s="183">
        <f>SUMIFS('март 2025'!$G$5:$G$2427,'март 2025'!$D$5:$D$2427,$B96,'март 2025'!$J$5:$J$2427,V$1)</f>
        <v>0</v>
      </c>
      <c r="W96" s="183">
        <f>SUMIFS('март 2025'!$G$5:$G$2427,'март 2025'!$D$5:$D$2427,$B96,'март 2025'!$J$5:$J$2427,W$1)</f>
        <v>0</v>
      </c>
      <c r="X96" s="183">
        <f>SUMIFS('март 2025'!$G$5:$G$2427,'март 2025'!$D$5:$D$2427,$B96,'март 2025'!$J$5:$J$2427,X$1)</f>
        <v>0</v>
      </c>
      <c r="Y96" s="183">
        <f>SUMIFS('март 2025'!$G$5:$G$2427,'март 2025'!$D$5:$D$2427,$B96,'март 2025'!$J$5:$J$2427,Y$1)</f>
        <v>0</v>
      </c>
      <c r="Z96" s="183">
        <f>SUMIFS('март 2025'!$G$5:$G$2427,'март 2025'!$D$5:$D$2427,$B96,'март 2025'!$J$5:$J$2427,Z$1)</f>
        <v>0</v>
      </c>
      <c r="AA96" s="183">
        <f>SUMIFS('март 2025'!$G$5:$G$2427,'март 2025'!$D$5:$D$2427,$B96,'март 2025'!$J$5:$J$2427,AA$1)</f>
        <v>0</v>
      </c>
      <c r="AB96" s="183">
        <f>SUMIFS('март 2025'!$G$5:$G$2427,'март 2025'!$D$5:$D$2427,$B96,'март 2025'!$J$5:$J$2427,AB$1)</f>
        <v>0</v>
      </c>
      <c r="AC96" s="183">
        <f>SUMIFS('март 2025'!$G$5:$G$2427,'март 2025'!$D$5:$D$2427,$B96,'март 2025'!$J$5:$J$2427,AC$1)</f>
        <v>0</v>
      </c>
      <c r="AD96" s="183">
        <f>SUMIFS('март 2025'!$G$5:$G$2427,'март 2025'!$D$5:$D$2427,$B96,'март 2025'!$J$5:$J$2427,AD$1)</f>
        <v>0</v>
      </c>
      <c r="AE96" s="183">
        <f>SUMIFS('март 2025'!$G$5:$G$2427,'март 2025'!$D$5:$D$2427,$B96,'март 2025'!$J$5:$J$2427,AE$1)</f>
        <v>0</v>
      </c>
      <c r="AF96" s="183">
        <f>SUMIFS('март 2025'!$G$5:$G$2427,'март 2025'!$D$5:$D$2427,$B96,'март 2025'!$J$5:$J$2427,AF$1)</f>
        <v>0</v>
      </c>
      <c r="AG96" s="183">
        <f>SUMIFS('март 2025'!$G$5:$G$2427,'март 2025'!$D$5:$D$2427,$B96,'март 2025'!$J$5:$J$2427,AG$1)</f>
        <v>0</v>
      </c>
      <c r="AH96" s="183">
        <f>SUMIFS('март 2025'!$G$5:$G$2427,'март 2025'!$D$5:$D$2427,$B96,'март 2025'!$J$5:$J$2427,AH$1)</f>
        <v>0</v>
      </c>
      <c r="AI96" s="20">
        <f t="shared" si="1"/>
        <v>0</v>
      </c>
    </row>
    <row r="97" spans="2:35" ht="15" customHeight="1" x14ac:dyDescent="0.25">
      <c r="B97" s="88" t="s">
        <v>258</v>
      </c>
      <c r="C97" s="86">
        <v>180</v>
      </c>
      <c r="D97" s="183">
        <f>SUMIFS('март 2025'!$G$5:$G$2427,'март 2025'!$D$5:$D$2427,$B97,'март 2025'!$J$5:$J$2427,D$1)</f>
        <v>0</v>
      </c>
      <c r="E97" s="183">
        <f>SUMIFS('март 2025'!$G$5:$G$2427,'март 2025'!$D$5:$D$2427,$B97,'март 2025'!$J$5:$J$2427,E$1)</f>
        <v>0</v>
      </c>
      <c r="F97" s="183">
        <f>SUMIFS('март 2025'!$G$5:$G$2427,'март 2025'!$D$5:$D$2427,$B97,'март 2025'!$J$5:$J$2427,F$1)</f>
        <v>0</v>
      </c>
      <c r="G97" s="183">
        <f>SUMIFS('март 2025'!$G$5:$G$2427,'март 2025'!$D$5:$D$2427,$B97,'март 2025'!$J$5:$J$2427,G$1)</f>
        <v>0</v>
      </c>
      <c r="H97" s="183">
        <f>SUMIFS('март 2025'!$G$5:$G$2427,'март 2025'!$D$5:$D$2427,$B97,'март 2025'!$J$5:$J$2427,H$1)</f>
        <v>0</v>
      </c>
      <c r="I97" s="183">
        <f>SUMIFS('март 2025'!$G$5:$G$2427,'март 2025'!$D$5:$D$2427,$B97,'март 2025'!$J$5:$J$2427,I$1)</f>
        <v>0</v>
      </c>
      <c r="J97" s="183">
        <f>SUMIFS('март 2025'!$G$5:$G$2427,'март 2025'!$D$5:$D$2427,$B97,'март 2025'!$J$5:$J$2427,J$1)</f>
        <v>0</v>
      </c>
      <c r="K97" s="183">
        <f>SUMIFS('март 2025'!$G$5:$G$2427,'март 2025'!$D$5:$D$2427,$B97,'март 2025'!$J$5:$J$2427,K$1)</f>
        <v>0</v>
      </c>
      <c r="L97" s="183">
        <f>SUMIFS('март 2025'!$G$5:$G$2427,'март 2025'!$D$5:$D$2427,$B97,'март 2025'!$J$5:$J$2427,L$1)</f>
        <v>0</v>
      </c>
      <c r="M97" s="183">
        <f>SUMIFS('март 2025'!$G$5:$G$2427,'март 2025'!$D$5:$D$2427,$B97,'март 2025'!$J$5:$J$2427,M$1)</f>
        <v>0</v>
      </c>
      <c r="N97" s="183">
        <f>SUMIFS('март 2025'!$G$5:$G$2427,'март 2025'!$D$5:$D$2427,$B97,'март 2025'!$J$5:$J$2427,N$1)</f>
        <v>0</v>
      </c>
      <c r="O97" s="183">
        <f>SUMIFS('март 2025'!$G$5:$G$2427,'март 2025'!$D$5:$D$2427,$B97,'март 2025'!$J$5:$J$2427,O$1)</f>
        <v>0</v>
      </c>
      <c r="P97" s="183">
        <f>SUMIFS('март 2025'!$G$5:$G$2427,'март 2025'!$D$5:$D$2427,$B97,'март 2025'!$J$5:$J$2427,P$1)</f>
        <v>0</v>
      </c>
      <c r="Q97" s="183">
        <f>SUMIFS('март 2025'!$G$5:$G$2427,'март 2025'!$D$5:$D$2427,$B97,'март 2025'!$J$5:$J$2427,Q$1)</f>
        <v>0</v>
      </c>
      <c r="R97" s="183">
        <f>SUMIFS('март 2025'!$G$5:$G$2427,'март 2025'!$D$5:$D$2427,$B97,'март 2025'!$J$5:$J$2427,R$1)</f>
        <v>0</v>
      </c>
      <c r="S97" s="183">
        <f>SUMIFS('март 2025'!$G$5:$G$2427,'март 2025'!$D$5:$D$2427,$B97,'март 2025'!$J$5:$J$2427,S$1)</f>
        <v>0</v>
      </c>
      <c r="T97" s="183">
        <f>SUMIFS('март 2025'!$G$5:$G$2427,'март 2025'!$D$5:$D$2427,$B97,'март 2025'!$J$5:$J$2427,T$1)</f>
        <v>0</v>
      </c>
      <c r="U97" s="183">
        <f>SUMIFS('март 2025'!$G$5:$G$2427,'март 2025'!$D$5:$D$2427,$B97,'март 2025'!$J$5:$J$2427,U$1)</f>
        <v>0</v>
      </c>
      <c r="V97" s="183">
        <f>SUMIFS('март 2025'!$G$5:$G$2427,'март 2025'!$D$5:$D$2427,$B97,'март 2025'!$J$5:$J$2427,V$1)</f>
        <v>0</v>
      </c>
      <c r="W97" s="183">
        <f>SUMIFS('март 2025'!$G$5:$G$2427,'март 2025'!$D$5:$D$2427,$B97,'март 2025'!$J$5:$J$2427,W$1)</f>
        <v>0</v>
      </c>
      <c r="X97" s="183">
        <f>SUMIFS('март 2025'!$G$5:$G$2427,'март 2025'!$D$5:$D$2427,$B97,'март 2025'!$J$5:$J$2427,X$1)</f>
        <v>0</v>
      </c>
      <c r="Y97" s="183">
        <f>SUMIFS('март 2025'!$G$5:$G$2427,'март 2025'!$D$5:$D$2427,$B97,'март 2025'!$J$5:$J$2427,Y$1)</f>
        <v>0</v>
      </c>
      <c r="Z97" s="183">
        <f>SUMIFS('март 2025'!$G$5:$G$2427,'март 2025'!$D$5:$D$2427,$B97,'март 2025'!$J$5:$J$2427,Z$1)</f>
        <v>0</v>
      </c>
      <c r="AA97" s="183">
        <f>SUMIFS('март 2025'!$G$5:$G$2427,'март 2025'!$D$5:$D$2427,$B97,'март 2025'!$J$5:$J$2427,AA$1)</f>
        <v>0</v>
      </c>
      <c r="AB97" s="183">
        <f>SUMIFS('март 2025'!$G$5:$G$2427,'март 2025'!$D$5:$D$2427,$B97,'март 2025'!$J$5:$J$2427,AB$1)</f>
        <v>0</v>
      </c>
      <c r="AC97" s="183">
        <f>SUMIFS('март 2025'!$G$5:$G$2427,'март 2025'!$D$5:$D$2427,$B97,'март 2025'!$J$5:$J$2427,AC$1)</f>
        <v>0</v>
      </c>
      <c r="AD97" s="183">
        <f>SUMIFS('март 2025'!$G$5:$G$2427,'март 2025'!$D$5:$D$2427,$B97,'март 2025'!$J$5:$J$2427,AD$1)</f>
        <v>0</v>
      </c>
      <c r="AE97" s="183">
        <f>SUMIFS('март 2025'!$G$5:$G$2427,'март 2025'!$D$5:$D$2427,$B97,'март 2025'!$J$5:$J$2427,AE$1)</f>
        <v>0</v>
      </c>
      <c r="AF97" s="183">
        <f>SUMIFS('март 2025'!$G$5:$G$2427,'март 2025'!$D$5:$D$2427,$B97,'март 2025'!$J$5:$J$2427,AF$1)</f>
        <v>0</v>
      </c>
      <c r="AG97" s="183">
        <f>SUMIFS('март 2025'!$G$5:$G$2427,'март 2025'!$D$5:$D$2427,$B97,'март 2025'!$J$5:$J$2427,AG$1)</f>
        <v>0</v>
      </c>
      <c r="AH97" s="183">
        <f>SUMIFS('март 2025'!$G$5:$G$2427,'март 2025'!$D$5:$D$2427,$B97,'март 2025'!$J$5:$J$2427,AH$1)</f>
        <v>0</v>
      </c>
      <c r="AI97" s="20">
        <f t="shared" si="1"/>
        <v>0</v>
      </c>
    </row>
    <row r="98" spans="2:35" ht="15" customHeight="1" x14ac:dyDescent="0.25">
      <c r="B98" s="88" t="s">
        <v>259</v>
      </c>
      <c r="C98" s="86">
        <v>180</v>
      </c>
      <c r="D98" s="183">
        <f>SUMIFS('март 2025'!$G$5:$G$2427,'март 2025'!$D$5:$D$2427,$B98,'март 2025'!$J$5:$J$2427,D$1)</f>
        <v>0</v>
      </c>
      <c r="E98" s="183">
        <f>SUMIFS('март 2025'!$G$5:$G$2427,'март 2025'!$D$5:$D$2427,$B98,'март 2025'!$J$5:$J$2427,E$1)</f>
        <v>0</v>
      </c>
      <c r="F98" s="183">
        <f>SUMIFS('март 2025'!$G$5:$G$2427,'март 2025'!$D$5:$D$2427,$B98,'март 2025'!$J$5:$J$2427,F$1)</f>
        <v>0</v>
      </c>
      <c r="G98" s="183">
        <f>SUMIFS('март 2025'!$G$5:$G$2427,'март 2025'!$D$5:$D$2427,$B98,'март 2025'!$J$5:$J$2427,G$1)</f>
        <v>0</v>
      </c>
      <c r="H98" s="183">
        <f>SUMIFS('март 2025'!$G$5:$G$2427,'март 2025'!$D$5:$D$2427,$B98,'март 2025'!$J$5:$J$2427,H$1)</f>
        <v>0</v>
      </c>
      <c r="I98" s="183">
        <f>SUMIFS('март 2025'!$G$5:$G$2427,'март 2025'!$D$5:$D$2427,$B98,'март 2025'!$J$5:$J$2427,I$1)</f>
        <v>0</v>
      </c>
      <c r="J98" s="183">
        <f>SUMIFS('март 2025'!$G$5:$G$2427,'март 2025'!$D$5:$D$2427,$B98,'март 2025'!$J$5:$J$2427,J$1)</f>
        <v>0</v>
      </c>
      <c r="K98" s="183">
        <f>SUMIFS('март 2025'!$G$5:$G$2427,'март 2025'!$D$5:$D$2427,$B98,'март 2025'!$J$5:$J$2427,K$1)</f>
        <v>0</v>
      </c>
      <c r="L98" s="183">
        <f>SUMIFS('март 2025'!$G$5:$G$2427,'март 2025'!$D$5:$D$2427,$B98,'март 2025'!$J$5:$J$2427,L$1)</f>
        <v>0</v>
      </c>
      <c r="M98" s="183">
        <f>SUMIFS('март 2025'!$G$5:$G$2427,'март 2025'!$D$5:$D$2427,$B98,'март 2025'!$J$5:$J$2427,M$1)</f>
        <v>0</v>
      </c>
      <c r="N98" s="183">
        <f>SUMIFS('март 2025'!$G$5:$G$2427,'март 2025'!$D$5:$D$2427,$B98,'март 2025'!$J$5:$J$2427,N$1)</f>
        <v>0</v>
      </c>
      <c r="O98" s="183">
        <f>SUMIFS('март 2025'!$G$5:$G$2427,'март 2025'!$D$5:$D$2427,$B98,'март 2025'!$J$5:$J$2427,O$1)</f>
        <v>0</v>
      </c>
      <c r="P98" s="183">
        <f>SUMIFS('март 2025'!$G$5:$G$2427,'март 2025'!$D$5:$D$2427,$B98,'март 2025'!$J$5:$J$2427,P$1)</f>
        <v>0</v>
      </c>
      <c r="Q98" s="183">
        <f>SUMIFS('март 2025'!$G$5:$G$2427,'март 2025'!$D$5:$D$2427,$B98,'март 2025'!$J$5:$J$2427,Q$1)</f>
        <v>0</v>
      </c>
      <c r="R98" s="183">
        <f>SUMIFS('март 2025'!$G$5:$G$2427,'март 2025'!$D$5:$D$2427,$B98,'март 2025'!$J$5:$J$2427,R$1)</f>
        <v>0</v>
      </c>
      <c r="S98" s="183">
        <f>SUMIFS('март 2025'!$G$5:$G$2427,'март 2025'!$D$5:$D$2427,$B98,'март 2025'!$J$5:$J$2427,S$1)</f>
        <v>0</v>
      </c>
      <c r="T98" s="183">
        <f>SUMIFS('март 2025'!$G$5:$G$2427,'март 2025'!$D$5:$D$2427,$B98,'март 2025'!$J$5:$J$2427,T$1)</f>
        <v>0</v>
      </c>
      <c r="U98" s="183">
        <f>SUMIFS('март 2025'!$G$5:$G$2427,'март 2025'!$D$5:$D$2427,$B98,'март 2025'!$J$5:$J$2427,U$1)</f>
        <v>0</v>
      </c>
      <c r="V98" s="183">
        <f>SUMIFS('март 2025'!$G$5:$G$2427,'март 2025'!$D$5:$D$2427,$B98,'март 2025'!$J$5:$J$2427,V$1)</f>
        <v>0</v>
      </c>
      <c r="W98" s="183">
        <f>SUMIFS('март 2025'!$G$5:$G$2427,'март 2025'!$D$5:$D$2427,$B98,'март 2025'!$J$5:$J$2427,W$1)</f>
        <v>0</v>
      </c>
      <c r="X98" s="183">
        <f>SUMIFS('март 2025'!$G$5:$G$2427,'март 2025'!$D$5:$D$2427,$B98,'март 2025'!$J$5:$J$2427,X$1)</f>
        <v>0</v>
      </c>
      <c r="Y98" s="183">
        <f>SUMIFS('март 2025'!$G$5:$G$2427,'март 2025'!$D$5:$D$2427,$B98,'март 2025'!$J$5:$J$2427,Y$1)</f>
        <v>0</v>
      </c>
      <c r="Z98" s="183">
        <f>SUMIFS('март 2025'!$G$5:$G$2427,'март 2025'!$D$5:$D$2427,$B98,'март 2025'!$J$5:$J$2427,Z$1)</f>
        <v>0</v>
      </c>
      <c r="AA98" s="183">
        <f>SUMIFS('март 2025'!$G$5:$G$2427,'март 2025'!$D$5:$D$2427,$B98,'март 2025'!$J$5:$J$2427,AA$1)</f>
        <v>0</v>
      </c>
      <c r="AB98" s="183">
        <f>SUMIFS('март 2025'!$G$5:$G$2427,'март 2025'!$D$5:$D$2427,$B98,'март 2025'!$J$5:$J$2427,AB$1)</f>
        <v>0</v>
      </c>
      <c r="AC98" s="183">
        <f>SUMIFS('март 2025'!$G$5:$G$2427,'март 2025'!$D$5:$D$2427,$B98,'март 2025'!$J$5:$J$2427,AC$1)</f>
        <v>0</v>
      </c>
      <c r="AD98" s="183">
        <f>SUMIFS('март 2025'!$G$5:$G$2427,'март 2025'!$D$5:$D$2427,$B98,'март 2025'!$J$5:$J$2427,AD$1)</f>
        <v>0</v>
      </c>
      <c r="AE98" s="183">
        <f>SUMIFS('март 2025'!$G$5:$G$2427,'март 2025'!$D$5:$D$2427,$B98,'март 2025'!$J$5:$J$2427,AE$1)</f>
        <v>0</v>
      </c>
      <c r="AF98" s="183">
        <f>SUMIFS('март 2025'!$G$5:$G$2427,'март 2025'!$D$5:$D$2427,$B98,'март 2025'!$J$5:$J$2427,AF$1)</f>
        <v>0</v>
      </c>
      <c r="AG98" s="183">
        <f>SUMIFS('март 2025'!$G$5:$G$2427,'март 2025'!$D$5:$D$2427,$B98,'март 2025'!$J$5:$J$2427,AG$1)</f>
        <v>0</v>
      </c>
      <c r="AH98" s="183">
        <f>SUMIFS('март 2025'!$G$5:$G$2427,'март 2025'!$D$5:$D$2427,$B98,'март 2025'!$J$5:$J$2427,AH$1)</f>
        <v>0</v>
      </c>
      <c r="AI98" s="20">
        <f t="shared" si="1"/>
        <v>0</v>
      </c>
    </row>
    <row r="99" spans="2:35" ht="15" customHeight="1" x14ac:dyDescent="0.25">
      <c r="B99" s="88" t="s">
        <v>289</v>
      </c>
      <c r="C99" s="86">
        <v>20</v>
      </c>
      <c r="D99" s="183">
        <f>SUMIFS('март 2025'!$G$5:$G$2427,'март 2025'!$D$5:$D$2427,$B99,'март 2025'!$J$5:$J$2427,D$1)</f>
        <v>0</v>
      </c>
      <c r="E99" s="183">
        <f>SUMIFS('март 2025'!$G$5:$G$2427,'март 2025'!$D$5:$D$2427,$B99,'март 2025'!$J$5:$J$2427,E$1)</f>
        <v>0</v>
      </c>
      <c r="F99" s="183">
        <f>SUMIFS('март 2025'!$G$5:$G$2427,'март 2025'!$D$5:$D$2427,$B99,'март 2025'!$J$5:$J$2427,F$1)</f>
        <v>0</v>
      </c>
      <c r="G99" s="183">
        <f>SUMIFS('март 2025'!$G$5:$G$2427,'март 2025'!$D$5:$D$2427,$B99,'март 2025'!$J$5:$J$2427,G$1)</f>
        <v>0</v>
      </c>
      <c r="H99" s="183">
        <f>SUMIFS('март 2025'!$G$5:$G$2427,'март 2025'!$D$5:$D$2427,$B99,'март 2025'!$J$5:$J$2427,H$1)</f>
        <v>0</v>
      </c>
      <c r="I99" s="183">
        <f>SUMIFS('март 2025'!$G$5:$G$2427,'март 2025'!$D$5:$D$2427,$B99,'март 2025'!$J$5:$J$2427,I$1)</f>
        <v>0</v>
      </c>
      <c r="J99" s="183">
        <f>SUMIFS('март 2025'!$G$5:$G$2427,'март 2025'!$D$5:$D$2427,$B99,'март 2025'!$J$5:$J$2427,J$1)</f>
        <v>0</v>
      </c>
      <c r="K99" s="183">
        <f>SUMIFS('март 2025'!$G$5:$G$2427,'март 2025'!$D$5:$D$2427,$B99,'март 2025'!$J$5:$J$2427,K$1)</f>
        <v>0</v>
      </c>
      <c r="L99" s="183">
        <f>SUMIFS('март 2025'!$G$5:$G$2427,'март 2025'!$D$5:$D$2427,$B99,'март 2025'!$J$5:$J$2427,L$1)</f>
        <v>0</v>
      </c>
      <c r="M99" s="183">
        <f>SUMIFS('март 2025'!$G$5:$G$2427,'март 2025'!$D$5:$D$2427,$B99,'март 2025'!$J$5:$J$2427,M$1)</f>
        <v>0</v>
      </c>
      <c r="N99" s="183">
        <f>SUMIFS('март 2025'!$G$5:$G$2427,'март 2025'!$D$5:$D$2427,$B99,'март 2025'!$J$5:$J$2427,N$1)</f>
        <v>0</v>
      </c>
      <c r="O99" s="183">
        <f>SUMIFS('март 2025'!$G$5:$G$2427,'март 2025'!$D$5:$D$2427,$B99,'март 2025'!$J$5:$J$2427,O$1)</f>
        <v>0</v>
      </c>
      <c r="P99" s="183">
        <f>SUMIFS('март 2025'!$G$5:$G$2427,'март 2025'!$D$5:$D$2427,$B99,'март 2025'!$J$5:$J$2427,P$1)</f>
        <v>0</v>
      </c>
      <c r="Q99" s="183">
        <f>SUMIFS('март 2025'!$G$5:$G$2427,'март 2025'!$D$5:$D$2427,$B99,'март 2025'!$J$5:$J$2427,Q$1)</f>
        <v>0</v>
      </c>
      <c r="R99" s="183">
        <f>SUMIFS('март 2025'!$G$5:$G$2427,'март 2025'!$D$5:$D$2427,$B99,'март 2025'!$J$5:$J$2427,R$1)</f>
        <v>0</v>
      </c>
      <c r="S99" s="183">
        <f>SUMIFS('март 2025'!$G$5:$G$2427,'март 2025'!$D$5:$D$2427,$B99,'март 2025'!$J$5:$J$2427,S$1)</f>
        <v>0</v>
      </c>
      <c r="T99" s="183">
        <f>SUMIFS('март 2025'!$G$5:$G$2427,'март 2025'!$D$5:$D$2427,$B99,'март 2025'!$J$5:$J$2427,T$1)</f>
        <v>0</v>
      </c>
      <c r="U99" s="183">
        <f>SUMIFS('март 2025'!$G$5:$G$2427,'март 2025'!$D$5:$D$2427,$B99,'март 2025'!$J$5:$J$2427,U$1)</f>
        <v>0</v>
      </c>
      <c r="V99" s="183">
        <f>SUMIFS('март 2025'!$G$5:$G$2427,'март 2025'!$D$5:$D$2427,$B99,'март 2025'!$J$5:$J$2427,V$1)</f>
        <v>0</v>
      </c>
      <c r="W99" s="183">
        <f>SUMIFS('март 2025'!$G$5:$G$2427,'март 2025'!$D$5:$D$2427,$B99,'март 2025'!$J$5:$J$2427,W$1)</f>
        <v>0</v>
      </c>
      <c r="X99" s="183">
        <f>SUMIFS('март 2025'!$G$5:$G$2427,'март 2025'!$D$5:$D$2427,$B99,'март 2025'!$J$5:$J$2427,X$1)</f>
        <v>0</v>
      </c>
      <c r="Y99" s="183">
        <f>SUMIFS('март 2025'!$G$5:$G$2427,'март 2025'!$D$5:$D$2427,$B99,'март 2025'!$J$5:$J$2427,Y$1)</f>
        <v>0</v>
      </c>
      <c r="Z99" s="183">
        <f>SUMIFS('март 2025'!$G$5:$G$2427,'март 2025'!$D$5:$D$2427,$B99,'март 2025'!$J$5:$J$2427,Z$1)</f>
        <v>0</v>
      </c>
      <c r="AA99" s="183">
        <f>SUMIFS('март 2025'!$G$5:$G$2427,'март 2025'!$D$5:$D$2427,$B99,'март 2025'!$J$5:$J$2427,AA$1)</f>
        <v>0</v>
      </c>
      <c r="AB99" s="183">
        <f>SUMIFS('март 2025'!$G$5:$G$2427,'март 2025'!$D$5:$D$2427,$B99,'март 2025'!$J$5:$J$2427,AB$1)</f>
        <v>0</v>
      </c>
      <c r="AC99" s="183">
        <f>SUMIFS('март 2025'!$G$5:$G$2427,'март 2025'!$D$5:$D$2427,$B99,'март 2025'!$J$5:$J$2427,AC$1)</f>
        <v>0</v>
      </c>
      <c r="AD99" s="183">
        <f>SUMIFS('март 2025'!$G$5:$G$2427,'март 2025'!$D$5:$D$2427,$B99,'март 2025'!$J$5:$J$2427,AD$1)</f>
        <v>0</v>
      </c>
      <c r="AE99" s="183">
        <f>SUMIFS('март 2025'!$G$5:$G$2427,'март 2025'!$D$5:$D$2427,$B99,'март 2025'!$J$5:$J$2427,AE$1)</f>
        <v>0</v>
      </c>
      <c r="AF99" s="183">
        <f>SUMIFS('март 2025'!$G$5:$G$2427,'март 2025'!$D$5:$D$2427,$B99,'март 2025'!$J$5:$J$2427,AF$1)</f>
        <v>0</v>
      </c>
      <c r="AG99" s="183">
        <f>SUMIFS('март 2025'!$G$5:$G$2427,'март 2025'!$D$5:$D$2427,$B99,'март 2025'!$J$5:$J$2427,AG$1)</f>
        <v>0</v>
      </c>
      <c r="AH99" s="183">
        <f>SUMIFS('март 2025'!$G$5:$G$2427,'март 2025'!$D$5:$D$2427,$B99,'март 2025'!$J$5:$J$2427,AH$1)</f>
        <v>0</v>
      </c>
      <c r="AI99" s="20">
        <f t="shared" si="1"/>
        <v>0</v>
      </c>
    </row>
    <row r="100" spans="2:35" ht="15" customHeight="1" x14ac:dyDescent="0.25">
      <c r="B100" s="88" t="s">
        <v>315</v>
      </c>
      <c r="C100" s="86">
        <v>25</v>
      </c>
      <c r="D100" s="183">
        <f>SUMIFS('март 2025'!$G$5:$G$2427,'март 2025'!$D$5:$D$2427,$B100,'март 2025'!$J$5:$J$2427,D$1)</f>
        <v>0</v>
      </c>
      <c r="E100" s="183">
        <f>SUMIFS('март 2025'!$G$5:$G$2427,'март 2025'!$D$5:$D$2427,$B100,'март 2025'!$J$5:$J$2427,E$1)</f>
        <v>0</v>
      </c>
      <c r="F100" s="183">
        <f>SUMIFS('март 2025'!$G$5:$G$2427,'март 2025'!$D$5:$D$2427,$B100,'март 2025'!$J$5:$J$2427,F$1)</f>
        <v>0</v>
      </c>
      <c r="G100" s="183">
        <f>SUMIFS('март 2025'!$G$5:$G$2427,'март 2025'!$D$5:$D$2427,$B100,'март 2025'!$J$5:$J$2427,G$1)</f>
        <v>0</v>
      </c>
      <c r="H100" s="183">
        <f>SUMIFS('март 2025'!$G$5:$G$2427,'март 2025'!$D$5:$D$2427,$B100,'март 2025'!$J$5:$J$2427,H$1)</f>
        <v>0</v>
      </c>
      <c r="I100" s="183">
        <f>SUMIFS('март 2025'!$G$5:$G$2427,'март 2025'!$D$5:$D$2427,$B100,'март 2025'!$J$5:$J$2427,I$1)</f>
        <v>0</v>
      </c>
      <c r="J100" s="183">
        <f>SUMIFS('март 2025'!$G$5:$G$2427,'март 2025'!$D$5:$D$2427,$B100,'март 2025'!$J$5:$J$2427,J$1)</f>
        <v>0</v>
      </c>
      <c r="K100" s="183">
        <f>SUMIFS('март 2025'!$G$5:$G$2427,'март 2025'!$D$5:$D$2427,$B100,'март 2025'!$J$5:$J$2427,K$1)</f>
        <v>0</v>
      </c>
      <c r="L100" s="183">
        <f>SUMIFS('март 2025'!$G$5:$G$2427,'март 2025'!$D$5:$D$2427,$B100,'март 2025'!$J$5:$J$2427,L$1)</f>
        <v>0</v>
      </c>
      <c r="M100" s="183">
        <f>SUMIFS('март 2025'!$G$5:$G$2427,'март 2025'!$D$5:$D$2427,$B100,'март 2025'!$J$5:$J$2427,M$1)</f>
        <v>0</v>
      </c>
      <c r="N100" s="183">
        <f>SUMIFS('март 2025'!$G$5:$G$2427,'март 2025'!$D$5:$D$2427,$B100,'март 2025'!$J$5:$J$2427,N$1)</f>
        <v>0</v>
      </c>
      <c r="O100" s="183">
        <f>SUMIFS('март 2025'!$G$5:$G$2427,'март 2025'!$D$5:$D$2427,$B100,'март 2025'!$J$5:$J$2427,O$1)</f>
        <v>0</v>
      </c>
      <c r="P100" s="183">
        <f>SUMIFS('март 2025'!$G$5:$G$2427,'март 2025'!$D$5:$D$2427,$B100,'март 2025'!$J$5:$J$2427,P$1)</f>
        <v>0</v>
      </c>
      <c r="Q100" s="183">
        <f>SUMIFS('март 2025'!$G$5:$G$2427,'март 2025'!$D$5:$D$2427,$B100,'март 2025'!$J$5:$J$2427,Q$1)</f>
        <v>0</v>
      </c>
      <c r="R100" s="183">
        <f>SUMIFS('март 2025'!$G$5:$G$2427,'март 2025'!$D$5:$D$2427,$B100,'март 2025'!$J$5:$J$2427,R$1)</f>
        <v>0</v>
      </c>
      <c r="S100" s="183">
        <f>SUMIFS('март 2025'!$G$5:$G$2427,'март 2025'!$D$5:$D$2427,$B100,'март 2025'!$J$5:$J$2427,S$1)</f>
        <v>0</v>
      </c>
      <c r="T100" s="183">
        <f>SUMIFS('март 2025'!$G$5:$G$2427,'март 2025'!$D$5:$D$2427,$B100,'март 2025'!$J$5:$J$2427,T$1)</f>
        <v>0</v>
      </c>
      <c r="U100" s="183">
        <f>SUMIFS('март 2025'!$G$5:$G$2427,'март 2025'!$D$5:$D$2427,$B100,'март 2025'!$J$5:$J$2427,U$1)</f>
        <v>0</v>
      </c>
      <c r="V100" s="183">
        <f>SUMIFS('март 2025'!$G$5:$G$2427,'март 2025'!$D$5:$D$2427,$B100,'март 2025'!$J$5:$J$2427,V$1)</f>
        <v>0</v>
      </c>
      <c r="W100" s="183">
        <f>SUMIFS('март 2025'!$G$5:$G$2427,'март 2025'!$D$5:$D$2427,$B100,'март 2025'!$J$5:$J$2427,W$1)</f>
        <v>0</v>
      </c>
      <c r="X100" s="183">
        <f>SUMIFS('март 2025'!$G$5:$G$2427,'март 2025'!$D$5:$D$2427,$B100,'март 2025'!$J$5:$J$2427,X$1)</f>
        <v>0</v>
      </c>
      <c r="Y100" s="183">
        <f>SUMIFS('март 2025'!$G$5:$G$2427,'март 2025'!$D$5:$D$2427,$B100,'март 2025'!$J$5:$J$2427,Y$1)</f>
        <v>0</v>
      </c>
      <c r="Z100" s="183">
        <f>SUMIFS('март 2025'!$G$5:$G$2427,'март 2025'!$D$5:$D$2427,$B100,'март 2025'!$J$5:$J$2427,Z$1)</f>
        <v>0</v>
      </c>
      <c r="AA100" s="183">
        <f>SUMIFS('март 2025'!$G$5:$G$2427,'март 2025'!$D$5:$D$2427,$B100,'март 2025'!$J$5:$J$2427,AA$1)</f>
        <v>0</v>
      </c>
      <c r="AB100" s="183">
        <f>SUMIFS('март 2025'!$G$5:$G$2427,'март 2025'!$D$5:$D$2427,$B100,'март 2025'!$J$5:$J$2427,AB$1)</f>
        <v>0</v>
      </c>
      <c r="AC100" s="183">
        <f>SUMIFS('март 2025'!$G$5:$G$2427,'март 2025'!$D$5:$D$2427,$B100,'март 2025'!$J$5:$J$2427,AC$1)</f>
        <v>0</v>
      </c>
      <c r="AD100" s="183">
        <f>SUMIFS('март 2025'!$G$5:$G$2427,'март 2025'!$D$5:$D$2427,$B100,'март 2025'!$J$5:$J$2427,AD$1)</f>
        <v>0</v>
      </c>
      <c r="AE100" s="183">
        <f>SUMIFS('март 2025'!$G$5:$G$2427,'март 2025'!$D$5:$D$2427,$B100,'март 2025'!$J$5:$J$2427,AE$1)</f>
        <v>0</v>
      </c>
      <c r="AF100" s="183">
        <f>SUMIFS('март 2025'!$G$5:$G$2427,'март 2025'!$D$5:$D$2427,$B100,'март 2025'!$J$5:$J$2427,AF$1)</f>
        <v>0</v>
      </c>
      <c r="AG100" s="183">
        <f>SUMIFS('март 2025'!$G$5:$G$2427,'март 2025'!$D$5:$D$2427,$B100,'март 2025'!$J$5:$J$2427,AG$1)</f>
        <v>0</v>
      </c>
      <c r="AH100" s="183">
        <f>SUMIFS('март 2025'!$G$5:$G$2427,'март 2025'!$D$5:$D$2427,$B100,'март 2025'!$J$5:$J$2427,AH$1)</f>
        <v>0</v>
      </c>
      <c r="AI100" s="20">
        <f t="shared" si="1"/>
        <v>0</v>
      </c>
    </row>
    <row r="101" spans="2:35" ht="15" customHeight="1" x14ac:dyDescent="0.25">
      <c r="B101" s="88" t="s">
        <v>385</v>
      </c>
      <c r="C101" s="86">
        <v>28</v>
      </c>
      <c r="D101" s="183">
        <f>SUMIFS('март 2025'!$G$5:$G$2427,'март 2025'!$D$5:$D$2427,$B101,'март 2025'!$J$5:$J$2427,D$1)</f>
        <v>0</v>
      </c>
      <c r="E101" s="183">
        <f>SUMIFS('март 2025'!$G$5:$G$2427,'март 2025'!$D$5:$D$2427,$B101,'март 2025'!$J$5:$J$2427,E$1)</f>
        <v>0</v>
      </c>
      <c r="F101" s="183">
        <f>SUMIFS('март 2025'!$G$5:$G$2427,'март 2025'!$D$5:$D$2427,$B101,'март 2025'!$J$5:$J$2427,F$1)</f>
        <v>0</v>
      </c>
      <c r="G101" s="183">
        <f>SUMIFS('март 2025'!$G$5:$G$2427,'март 2025'!$D$5:$D$2427,$B101,'март 2025'!$J$5:$J$2427,G$1)</f>
        <v>0</v>
      </c>
      <c r="H101" s="183">
        <f>SUMIFS('март 2025'!$G$5:$G$2427,'март 2025'!$D$5:$D$2427,$B101,'март 2025'!$J$5:$J$2427,H$1)</f>
        <v>0</v>
      </c>
      <c r="I101" s="183">
        <f>SUMIFS('март 2025'!$G$5:$G$2427,'март 2025'!$D$5:$D$2427,$B101,'март 2025'!$J$5:$J$2427,I$1)</f>
        <v>0</v>
      </c>
      <c r="J101" s="183">
        <f>SUMIFS('март 2025'!$G$5:$G$2427,'март 2025'!$D$5:$D$2427,$B101,'март 2025'!$J$5:$J$2427,J$1)</f>
        <v>0</v>
      </c>
      <c r="K101" s="183">
        <f>SUMIFS('март 2025'!$G$5:$G$2427,'март 2025'!$D$5:$D$2427,$B101,'март 2025'!$J$5:$J$2427,K$1)</f>
        <v>0</v>
      </c>
      <c r="L101" s="183">
        <f>SUMIFS('март 2025'!$G$5:$G$2427,'март 2025'!$D$5:$D$2427,$B101,'март 2025'!$J$5:$J$2427,L$1)</f>
        <v>0</v>
      </c>
      <c r="M101" s="183">
        <f>SUMIFS('март 2025'!$G$5:$G$2427,'март 2025'!$D$5:$D$2427,$B101,'март 2025'!$J$5:$J$2427,M$1)</f>
        <v>0</v>
      </c>
      <c r="N101" s="183">
        <f>SUMIFS('март 2025'!$G$5:$G$2427,'март 2025'!$D$5:$D$2427,$B101,'март 2025'!$J$5:$J$2427,N$1)</f>
        <v>0</v>
      </c>
      <c r="O101" s="183">
        <f>SUMIFS('март 2025'!$G$5:$G$2427,'март 2025'!$D$5:$D$2427,$B101,'март 2025'!$J$5:$J$2427,O$1)</f>
        <v>0</v>
      </c>
      <c r="P101" s="183">
        <f>SUMIFS('март 2025'!$G$5:$G$2427,'март 2025'!$D$5:$D$2427,$B101,'март 2025'!$J$5:$J$2427,P$1)</f>
        <v>0</v>
      </c>
      <c r="Q101" s="183">
        <f>SUMIFS('март 2025'!$G$5:$G$2427,'март 2025'!$D$5:$D$2427,$B101,'март 2025'!$J$5:$J$2427,Q$1)</f>
        <v>0</v>
      </c>
      <c r="R101" s="183">
        <f>SUMIFS('март 2025'!$G$5:$G$2427,'март 2025'!$D$5:$D$2427,$B101,'март 2025'!$J$5:$J$2427,R$1)</f>
        <v>0</v>
      </c>
      <c r="S101" s="183">
        <f>SUMIFS('март 2025'!$G$5:$G$2427,'март 2025'!$D$5:$D$2427,$B101,'март 2025'!$J$5:$J$2427,S$1)</f>
        <v>0</v>
      </c>
      <c r="T101" s="183">
        <f>SUMIFS('март 2025'!$G$5:$G$2427,'март 2025'!$D$5:$D$2427,$B101,'март 2025'!$J$5:$J$2427,T$1)</f>
        <v>0</v>
      </c>
      <c r="U101" s="183">
        <f>SUMIFS('март 2025'!$G$5:$G$2427,'март 2025'!$D$5:$D$2427,$B101,'март 2025'!$J$5:$J$2427,U$1)</f>
        <v>0</v>
      </c>
      <c r="V101" s="183">
        <f>SUMIFS('март 2025'!$G$5:$G$2427,'март 2025'!$D$5:$D$2427,$B101,'март 2025'!$J$5:$J$2427,V$1)</f>
        <v>0</v>
      </c>
      <c r="W101" s="183">
        <f>SUMIFS('март 2025'!$G$5:$G$2427,'март 2025'!$D$5:$D$2427,$B101,'март 2025'!$J$5:$J$2427,W$1)</f>
        <v>0</v>
      </c>
      <c r="X101" s="183">
        <f>SUMIFS('март 2025'!$G$5:$G$2427,'март 2025'!$D$5:$D$2427,$B101,'март 2025'!$J$5:$J$2427,X$1)</f>
        <v>0</v>
      </c>
      <c r="Y101" s="183">
        <f>SUMIFS('март 2025'!$G$5:$G$2427,'март 2025'!$D$5:$D$2427,$B101,'март 2025'!$J$5:$J$2427,Y$1)</f>
        <v>0</v>
      </c>
      <c r="Z101" s="183">
        <f>SUMIFS('март 2025'!$G$5:$G$2427,'март 2025'!$D$5:$D$2427,$B101,'март 2025'!$J$5:$J$2427,Z$1)</f>
        <v>0</v>
      </c>
      <c r="AA101" s="183">
        <f>SUMIFS('март 2025'!$G$5:$G$2427,'март 2025'!$D$5:$D$2427,$B101,'март 2025'!$J$5:$J$2427,AA$1)</f>
        <v>0</v>
      </c>
      <c r="AB101" s="183">
        <f>SUMIFS('март 2025'!$G$5:$G$2427,'март 2025'!$D$5:$D$2427,$B101,'март 2025'!$J$5:$J$2427,AB$1)</f>
        <v>0</v>
      </c>
      <c r="AC101" s="183">
        <f>SUMIFS('март 2025'!$G$5:$G$2427,'март 2025'!$D$5:$D$2427,$B101,'март 2025'!$J$5:$J$2427,AC$1)</f>
        <v>0</v>
      </c>
      <c r="AD101" s="183">
        <f>SUMIFS('март 2025'!$G$5:$G$2427,'март 2025'!$D$5:$D$2427,$B101,'март 2025'!$J$5:$J$2427,AD$1)</f>
        <v>0</v>
      </c>
      <c r="AE101" s="183">
        <f>SUMIFS('март 2025'!$G$5:$G$2427,'март 2025'!$D$5:$D$2427,$B101,'март 2025'!$J$5:$J$2427,AE$1)</f>
        <v>0</v>
      </c>
      <c r="AF101" s="183">
        <f>SUMIFS('март 2025'!$G$5:$G$2427,'март 2025'!$D$5:$D$2427,$B101,'март 2025'!$J$5:$J$2427,AF$1)</f>
        <v>0</v>
      </c>
      <c r="AG101" s="183">
        <f>SUMIFS('март 2025'!$G$5:$G$2427,'март 2025'!$D$5:$D$2427,$B101,'март 2025'!$J$5:$J$2427,AG$1)</f>
        <v>0</v>
      </c>
      <c r="AH101" s="183">
        <f>SUMIFS('март 2025'!$G$5:$G$2427,'март 2025'!$D$5:$D$2427,$B101,'март 2025'!$J$5:$J$2427,AH$1)</f>
        <v>0</v>
      </c>
      <c r="AI101" s="20">
        <f t="shared" si="1"/>
        <v>0</v>
      </c>
    </row>
    <row r="102" spans="2:35" ht="15" customHeight="1" x14ac:dyDescent="0.25">
      <c r="B102" s="88" t="s">
        <v>193</v>
      </c>
      <c r="C102" s="86">
        <v>180</v>
      </c>
      <c r="D102" s="183">
        <f>SUMIFS('март 2025'!$G$5:$G$2427,'март 2025'!$D$5:$D$2427,$B102,'март 2025'!$J$5:$J$2427,D$1)</f>
        <v>0</v>
      </c>
      <c r="E102" s="183">
        <f>SUMIFS('март 2025'!$G$5:$G$2427,'март 2025'!$D$5:$D$2427,$B102,'март 2025'!$J$5:$J$2427,E$1)</f>
        <v>0</v>
      </c>
      <c r="F102" s="183">
        <f>SUMIFS('март 2025'!$G$5:$G$2427,'март 2025'!$D$5:$D$2427,$B102,'март 2025'!$J$5:$J$2427,F$1)</f>
        <v>0</v>
      </c>
      <c r="G102" s="183">
        <f>SUMIFS('март 2025'!$G$5:$G$2427,'март 2025'!$D$5:$D$2427,$B102,'март 2025'!$J$5:$J$2427,G$1)</f>
        <v>0</v>
      </c>
      <c r="H102" s="183">
        <f>SUMIFS('март 2025'!$G$5:$G$2427,'март 2025'!$D$5:$D$2427,$B102,'март 2025'!$J$5:$J$2427,H$1)</f>
        <v>0</v>
      </c>
      <c r="I102" s="183">
        <f>SUMIFS('март 2025'!$G$5:$G$2427,'март 2025'!$D$5:$D$2427,$B102,'март 2025'!$J$5:$J$2427,I$1)</f>
        <v>0</v>
      </c>
      <c r="J102" s="183">
        <f>SUMIFS('март 2025'!$G$5:$G$2427,'март 2025'!$D$5:$D$2427,$B102,'март 2025'!$J$5:$J$2427,J$1)</f>
        <v>0</v>
      </c>
      <c r="K102" s="183">
        <f>SUMIFS('март 2025'!$G$5:$G$2427,'март 2025'!$D$5:$D$2427,$B102,'март 2025'!$J$5:$J$2427,K$1)</f>
        <v>0</v>
      </c>
      <c r="L102" s="183">
        <f>SUMIFS('март 2025'!$G$5:$G$2427,'март 2025'!$D$5:$D$2427,$B102,'март 2025'!$J$5:$J$2427,L$1)</f>
        <v>0</v>
      </c>
      <c r="M102" s="183">
        <f>SUMIFS('март 2025'!$G$5:$G$2427,'март 2025'!$D$5:$D$2427,$B102,'март 2025'!$J$5:$J$2427,M$1)</f>
        <v>0</v>
      </c>
      <c r="N102" s="183">
        <f>SUMIFS('март 2025'!$G$5:$G$2427,'март 2025'!$D$5:$D$2427,$B102,'март 2025'!$J$5:$J$2427,N$1)</f>
        <v>0</v>
      </c>
      <c r="O102" s="183">
        <f>SUMIFS('март 2025'!$G$5:$G$2427,'март 2025'!$D$5:$D$2427,$B102,'март 2025'!$J$5:$J$2427,O$1)</f>
        <v>0</v>
      </c>
      <c r="P102" s="183">
        <f>SUMIFS('март 2025'!$G$5:$G$2427,'март 2025'!$D$5:$D$2427,$B102,'март 2025'!$J$5:$J$2427,P$1)</f>
        <v>0</v>
      </c>
      <c r="Q102" s="183">
        <f>SUMIFS('март 2025'!$G$5:$G$2427,'март 2025'!$D$5:$D$2427,$B102,'март 2025'!$J$5:$J$2427,Q$1)</f>
        <v>0</v>
      </c>
      <c r="R102" s="183">
        <f>SUMIFS('март 2025'!$G$5:$G$2427,'март 2025'!$D$5:$D$2427,$B102,'март 2025'!$J$5:$J$2427,R$1)</f>
        <v>0</v>
      </c>
      <c r="S102" s="183">
        <f>SUMIFS('март 2025'!$G$5:$G$2427,'март 2025'!$D$5:$D$2427,$B102,'март 2025'!$J$5:$J$2427,S$1)</f>
        <v>0</v>
      </c>
      <c r="T102" s="183">
        <f>SUMIFS('март 2025'!$G$5:$G$2427,'март 2025'!$D$5:$D$2427,$B102,'март 2025'!$J$5:$J$2427,T$1)</f>
        <v>0</v>
      </c>
      <c r="U102" s="183">
        <f>SUMIFS('март 2025'!$G$5:$G$2427,'март 2025'!$D$5:$D$2427,$B102,'март 2025'!$J$5:$J$2427,U$1)</f>
        <v>0</v>
      </c>
      <c r="V102" s="183">
        <f>SUMIFS('март 2025'!$G$5:$G$2427,'март 2025'!$D$5:$D$2427,$B102,'март 2025'!$J$5:$J$2427,V$1)</f>
        <v>0</v>
      </c>
      <c r="W102" s="183">
        <f>SUMIFS('март 2025'!$G$5:$G$2427,'март 2025'!$D$5:$D$2427,$B102,'март 2025'!$J$5:$J$2427,W$1)</f>
        <v>0</v>
      </c>
      <c r="X102" s="183">
        <f>SUMIFS('март 2025'!$G$5:$G$2427,'март 2025'!$D$5:$D$2427,$B102,'март 2025'!$J$5:$J$2427,X$1)</f>
        <v>0</v>
      </c>
      <c r="Y102" s="183">
        <f>SUMIFS('март 2025'!$G$5:$G$2427,'март 2025'!$D$5:$D$2427,$B102,'март 2025'!$J$5:$J$2427,Y$1)</f>
        <v>0</v>
      </c>
      <c r="Z102" s="183">
        <f>SUMIFS('март 2025'!$G$5:$G$2427,'март 2025'!$D$5:$D$2427,$B102,'март 2025'!$J$5:$J$2427,Z$1)</f>
        <v>0</v>
      </c>
      <c r="AA102" s="183">
        <f>SUMIFS('март 2025'!$G$5:$G$2427,'март 2025'!$D$5:$D$2427,$B102,'март 2025'!$J$5:$J$2427,AA$1)</f>
        <v>0</v>
      </c>
      <c r="AB102" s="183">
        <f>SUMIFS('март 2025'!$G$5:$G$2427,'март 2025'!$D$5:$D$2427,$B102,'март 2025'!$J$5:$J$2427,AB$1)</f>
        <v>0</v>
      </c>
      <c r="AC102" s="183">
        <f>SUMIFS('март 2025'!$G$5:$G$2427,'март 2025'!$D$5:$D$2427,$B102,'март 2025'!$J$5:$J$2427,AC$1)</f>
        <v>0</v>
      </c>
      <c r="AD102" s="183">
        <f>SUMIFS('март 2025'!$G$5:$G$2427,'март 2025'!$D$5:$D$2427,$B102,'март 2025'!$J$5:$J$2427,AD$1)</f>
        <v>0</v>
      </c>
      <c r="AE102" s="183">
        <f>SUMIFS('март 2025'!$G$5:$G$2427,'март 2025'!$D$5:$D$2427,$B102,'март 2025'!$J$5:$J$2427,AE$1)</f>
        <v>0</v>
      </c>
      <c r="AF102" s="183">
        <f>SUMIFS('март 2025'!$G$5:$G$2427,'март 2025'!$D$5:$D$2427,$B102,'март 2025'!$J$5:$J$2427,AF$1)</f>
        <v>0</v>
      </c>
      <c r="AG102" s="183">
        <f>SUMIFS('март 2025'!$G$5:$G$2427,'март 2025'!$D$5:$D$2427,$B102,'март 2025'!$J$5:$J$2427,AG$1)</f>
        <v>0</v>
      </c>
      <c r="AH102" s="183">
        <f>SUMIFS('март 2025'!$G$5:$G$2427,'март 2025'!$D$5:$D$2427,$B102,'март 2025'!$J$5:$J$2427,AH$1)</f>
        <v>0</v>
      </c>
      <c r="AI102" s="20">
        <f t="shared" si="1"/>
        <v>0</v>
      </c>
    </row>
    <row r="103" spans="2:35" ht="15" customHeight="1" x14ac:dyDescent="0.25">
      <c r="B103" s="84" t="s">
        <v>194</v>
      </c>
      <c r="C103" s="83">
        <v>200</v>
      </c>
      <c r="D103" s="183">
        <f>SUMIFS('март 2025'!$G$5:$G$2427,'март 2025'!$D$5:$D$2427,$B103,'март 2025'!$J$5:$J$2427,D$1)</f>
        <v>0</v>
      </c>
      <c r="E103" s="183">
        <f>SUMIFS('март 2025'!$G$5:$G$2427,'март 2025'!$D$5:$D$2427,$B103,'март 2025'!$J$5:$J$2427,E$1)</f>
        <v>0</v>
      </c>
      <c r="F103" s="183">
        <f>SUMIFS('март 2025'!$G$5:$G$2427,'март 2025'!$D$5:$D$2427,$B103,'март 2025'!$J$5:$J$2427,F$1)</f>
        <v>0</v>
      </c>
      <c r="G103" s="183">
        <f>SUMIFS('март 2025'!$G$5:$G$2427,'март 2025'!$D$5:$D$2427,$B103,'март 2025'!$J$5:$J$2427,G$1)</f>
        <v>0</v>
      </c>
      <c r="H103" s="183">
        <f>SUMIFS('март 2025'!$G$5:$G$2427,'март 2025'!$D$5:$D$2427,$B103,'март 2025'!$J$5:$J$2427,H$1)</f>
        <v>0</v>
      </c>
      <c r="I103" s="183">
        <f>SUMIFS('март 2025'!$G$5:$G$2427,'март 2025'!$D$5:$D$2427,$B103,'март 2025'!$J$5:$J$2427,I$1)</f>
        <v>0</v>
      </c>
      <c r="J103" s="183">
        <f>SUMIFS('март 2025'!$G$5:$G$2427,'март 2025'!$D$5:$D$2427,$B103,'март 2025'!$J$5:$J$2427,J$1)</f>
        <v>0</v>
      </c>
      <c r="K103" s="183">
        <f>SUMIFS('март 2025'!$G$5:$G$2427,'март 2025'!$D$5:$D$2427,$B103,'март 2025'!$J$5:$J$2427,K$1)</f>
        <v>0</v>
      </c>
      <c r="L103" s="183">
        <f>SUMIFS('март 2025'!$G$5:$G$2427,'март 2025'!$D$5:$D$2427,$B103,'март 2025'!$J$5:$J$2427,L$1)</f>
        <v>0</v>
      </c>
      <c r="M103" s="183">
        <f>SUMIFS('март 2025'!$G$5:$G$2427,'март 2025'!$D$5:$D$2427,$B103,'март 2025'!$J$5:$J$2427,M$1)</f>
        <v>0</v>
      </c>
      <c r="N103" s="183">
        <f>SUMIFS('март 2025'!$G$5:$G$2427,'март 2025'!$D$5:$D$2427,$B103,'март 2025'!$J$5:$J$2427,N$1)</f>
        <v>0</v>
      </c>
      <c r="O103" s="183">
        <f>SUMIFS('март 2025'!$G$5:$G$2427,'март 2025'!$D$5:$D$2427,$B103,'март 2025'!$J$5:$J$2427,O$1)</f>
        <v>0</v>
      </c>
      <c r="P103" s="183">
        <f>SUMIFS('март 2025'!$G$5:$G$2427,'март 2025'!$D$5:$D$2427,$B103,'март 2025'!$J$5:$J$2427,P$1)</f>
        <v>0</v>
      </c>
      <c r="Q103" s="183">
        <f>SUMIFS('март 2025'!$G$5:$G$2427,'март 2025'!$D$5:$D$2427,$B103,'март 2025'!$J$5:$J$2427,Q$1)</f>
        <v>0</v>
      </c>
      <c r="R103" s="183">
        <f>SUMIFS('март 2025'!$G$5:$G$2427,'март 2025'!$D$5:$D$2427,$B103,'март 2025'!$J$5:$J$2427,R$1)</f>
        <v>0</v>
      </c>
      <c r="S103" s="183">
        <f>SUMIFS('март 2025'!$G$5:$G$2427,'март 2025'!$D$5:$D$2427,$B103,'март 2025'!$J$5:$J$2427,S$1)</f>
        <v>0</v>
      </c>
      <c r="T103" s="183">
        <f>SUMIFS('март 2025'!$G$5:$G$2427,'март 2025'!$D$5:$D$2427,$B103,'март 2025'!$J$5:$J$2427,T$1)</f>
        <v>0</v>
      </c>
      <c r="U103" s="183">
        <f>SUMIFS('март 2025'!$G$5:$G$2427,'март 2025'!$D$5:$D$2427,$B103,'март 2025'!$J$5:$J$2427,U$1)</f>
        <v>0</v>
      </c>
      <c r="V103" s="183">
        <f>SUMIFS('март 2025'!$G$5:$G$2427,'март 2025'!$D$5:$D$2427,$B103,'март 2025'!$J$5:$J$2427,V$1)</f>
        <v>0</v>
      </c>
      <c r="W103" s="183">
        <f>SUMIFS('март 2025'!$G$5:$G$2427,'март 2025'!$D$5:$D$2427,$B103,'март 2025'!$J$5:$J$2427,W$1)</f>
        <v>0</v>
      </c>
      <c r="X103" s="183">
        <f>SUMIFS('март 2025'!$G$5:$G$2427,'март 2025'!$D$5:$D$2427,$B103,'март 2025'!$J$5:$J$2427,X$1)</f>
        <v>0</v>
      </c>
      <c r="Y103" s="183">
        <f>SUMIFS('март 2025'!$G$5:$G$2427,'март 2025'!$D$5:$D$2427,$B103,'март 2025'!$J$5:$J$2427,Y$1)</f>
        <v>0</v>
      </c>
      <c r="Z103" s="183">
        <f>SUMIFS('март 2025'!$G$5:$G$2427,'март 2025'!$D$5:$D$2427,$B103,'март 2025'!$J$5:$J$2427,Z$1)</f>
        <v>0</v>
      </c>
      <c r="AA103" s="183">
        <f>SUMIFS('март 2025'!$G$5:$G$2427,'март 2025'!$D$5:$D$2427,$B103,'март 2025'!$J$5:$J$2427,AA$1)</f>
        <v>0</v>
      </c>
      <c r="AB103" s="183">
        <f>SUMIFS('март 2025'!$G$5:$G$2427,'март 2025'!$D$5:$D$2427,$B103,'март 2025'!$J$5:$J$2427,AB$1)</f>
        <v>32</v>
      </c>
      <c r="AC103" s="183">
        <f>SUMIFS('март 2025'!$G$5:$G$2427,'март 2025'!$D$5:$D$2427,$B103,'март 2025'!$J$5:$J$2427,AC$1)</f>
        <v>32</v>
      </c>
      <c r="AD103" s="183">
        <f>SUMIFS('март 2025'!$G$5:$G$2427,'март 2025'!$D$5:$D$2427,$B103,'март 2025'!$J$5:$J$2427,AD$1)</f>
        <v>0</v>
      </c>
      <c r="AE103" s="183">
        <f>SUMIFS('март 2025'!$G$5:$G$2427,'март 2025'!$D$5:$D$2427,$B103,'март 2025'!$J$5:$J$2427,AE$1)</f>
        <v>0</v>
      </c>
      <c r="AF103" s="183">
        <f>SUMIFS('март 2025'!$G$5:$G$2427,'март 2025'!$D$5:$D$2427,$B103,'март 2025'!$J$5:$J$2427,AF$1)</f>
        <v>0</v>
      </c>
      <c r="AG103" s="183">
        <f>SUMIFS('март 2025'!$G$5:$G$2427,'март 2025'!$D$5:$D$2427,$B103,'март 2025'!$J$5:$J$2427,AG$1)</f>
        <v>0</v>
      </c>
      <c r="AH103" s="183">
        <f>SUMIFS('март 2025'!$G$5:$G$2427,'март 2025'!$D$5:$D$2427,$B103,'март 2025'!$J$5:$J$2427,AH$1)</f>
        <v>0</v>
      </c>
      <c r="AI103" s="20">
        <f t="shared" si="1"/>
        <v>64</v>
      </c>
    </row>
    <row r="104" spans="2:35" ht="15" customHeight="1" x14ac:dyDescent="0.25">
      <c r="B104" s="87" t="s">
        <v>169</v>
      </c>
      <c r="C104" s="86">
        <v>180</v>
      </c>
      <c r="D104" s="183">
        <f>SUMIFS('март 2025'!$G$5:$G$2427,'март 2025'!$D$5:$D$2427,$B104,'март 2025'!$J$5:$J$2427,D$1)</f>
        <v>0</v>
      </c>
      <c r="E104" s="183">
        <f>SUMIFS('март 2025'!$G$5:$G$2427,'март 2025'!$D$5:$D$2427,$B104,'март 2025'!$J$5:$J$2427,E$1)</f>
        <v>0</v>
      </c>
      <c r="F104" s="183">
        <f>SUMIFS('март 2025'!$G$5:$G$2427,'март 2025'!$D$5:$D$2427,$B104,'март 2025'!$J$5:$J$2427,F$1)</f>
        <v>0</v>
      </c>
      <c r="G104" s="183">
        <f>SUMIFS('март 2025'!$G$5:$G$2427,'март 2025'!$D$5:$D$2427,$B104,'март 2025'!$J$5:$J$2427,G$1)</f>
        <v>0</v>
      </c>
      <c r="H104" s="183">
        <f>SUMIFS('март 2025'!$G$5:$G$2427,'март 2025'!$D$5:$D$2427,$B104,'март 2025'!$J$5:$J$2427,H$1)</f>
        <v>0</v>
      </c>
      <c r="I104" s="183">
        <f>SUMIFS('март 2025'!$G$5:$G$2427,'март 2025'!$D$5:$D$2427,$B104,'март 2025'!$J$5:$J$2427,I$1)</f>
        <v>0</v>
      </c>
      <c r="J104" s="183">
        <f>SUMIFS('март 2025'!$G$5:$G$2427,'март 2025'!$D$5:$D$2427,$B104,'март 2025'!$J$5:$J$2427,J$1)</f>
        <v>0</v>
      </c>
      <c r="K104" s="183">
        <f>SUMIFS('март 2025'!$G$5:$G$2427,'март 2025'!$D$5:$D$2427,$B104,'март 2025'!$J$5:$J$2427,K$1)</f>
        <v>0</v>
      </c>
      <c r="L104" s="183">
        <f>SUMIFS('март 2025'!$G$5:$G$2427,'март 2025'!$D$5:$D$2427,$B104,'март 2025'!$J$5:$J$2427,L$1)</f>
        <v>0</v>
      </c>
      <c r="M104" s="183">
        <f>SUMIFS('март 2025'!$G$5:$G$2427,'март 2025'!$D$5:$D$2427,$B104,'март 2025'!$J$5:$J$2427,M$1)</f>
        <v>0</v>
      </c>
      <c r="N104" s="183">
        <f>SUMIFS('март 2025'!$G$5:$G$2427,'март 2025'!$D$5:$D$2427,$B104,'март 2025'!$J$5:$J$2427,N$1)</f>
        <v>0</v>
      </c>
      <c r="O104" s="183">
        <f>SUMIFS('март 2025'!$G$5:$G$2427,'март 2025'!$D$5:$D$2427,$B104,'март 2025'!$J$5:$J$2427,O$1)</f>
        <v>0</v>
      </c>
      <c r="P104" s="183">
        <f>SUMIFS('март 2025'!$G$5:$G$2427,'март 2025'!$D$5:$D$2427,$B104,'март 2025'!$J$5:$J$2427,P$1)</f>
        <v>0</v>
      </c>
      <c r="Q104" s="183">
        <f>SUMIFS('март 2025'!$G$5:$G$2427,'март 2025'!$D$5:$D$2427,$B104,'март 2025'!$J$5:$J$2427,Q$1)</f>
        <v>0</v>
      </c>
      <c r="R104" s="183">
        <f>SUMIFS('март 2025'!$G$5:$G$2427,'март 2025'!$D$5:$D$2427,$B104,'март 2025'!$J$5:$J$2427,R$1)</f>
        <v>0</v>
      </c>
      <c r="S104" s="183">
        <f>SUMIFS('март 2025'!$G$5:$G$2427,'март 2025'!$D$5:$D$2427,$B104,'март 2025'!$J$5:$J$2427,S$1)</f>
        <v>0</v>
      </c>
      <c r="T104" s="183">
        <f>SUMIFS('март 2025'!$G$5:$G$2427,'март 2025'!$D$5:$D$2427,$B104,'март 2025'!$J$5:$J$2427,T$1)</f>
        <v>0</v>
      </c>
      <c r="U104" s="183">
        <f>SUMIFS('март 2025'!$G$5:$G$2427,'март 2025'!$D$5:$D$2427,$B104,'март 2025'!$J$5:$J$2427,U$1)</f>
        <v>0</v>
      </c>
      <c r="V104" s="183">
        <f>SUMIFS('март 2025'!$G$5:$G$2427,'март 2025'!$D$5:$D$2427,$B104,'март 2025'!$J$5:$J$2427,V$1)</f>
        <v>0</v>
      </c>
      <c r="W104" s="183">
        <f>SUMIFS('март 2025'!$G$5:$G$2427,'март 2025'!$D$5:$D$2427,$B104,'март 2025'!$J$5:$J$2427,W$1)</f>
        <v>0</v>
      </c>
      <c r="X104" s="183">
        <f>SUMIFS('март 2025'!$G$5:$G$2427,'март 2025'!$D$5:$D$2427,$B104,'март 2025'!$J$5:$J$2427,X$1)</f>
        <v>0</v>
      </c>
      <c r="Y104" s="183">
        <f>SUMIFS('март 2025'!$G$5:$G$2427,'март 2025'!$D$5:$D$2427,$B104,'март 2025'!$J$5:$J$2427,Y$1)</f>
        <v>0</v>
      </c>
      <c r="Z104" s="183">
        <f>SUMIFS('март 2025'!$G$5:$G$2427,'март 2025'!$D$5:$D$2427,$B104,'март 2025'!$J$5:$J$2427,Z$1)</f>
        <v>0</v>
      </c>
      <c r="AA104" s="183">
        <f>SUMIFS('март 2025'!$G$5:$G$2427,'март 2025'!$D$5:$D$2427,$B104,'март 2025'!$J$5:$J$2427,AA$1)</f>
        <v>0</v>
      </c>
      <c r="AB104" s="183">
        <f>SUMIFS('март 2025'!$G$5:$G$2427,'март 2025'!$D$5:$D$2427,$B104,'март 2025'!$J$5:$J$2427,AB$1)</f>
        <v>0</v>
      </c>
      <c r="AC104" s="183">
        <f>SUMIFS('март 2025'!$G$5:$G$2427,'март 2025'!$D$5:$D$2427,$B104,'март 2025'!$J$5:$J$2427,AC$1)</f>
        <v>0</v>
      </c>
      <c r="AD104" s="183">
        <f>SUMIFS('март 2025'!$G$5:$G$2427,'март 2025'!$D$5:$D$2427,$B104,'март 2025'!$J$5:$J$2427,AD$1)</f>
        <v>0</v>
      </c>
      <c r="AE104" s="183">
        <f>SUMIFS('март 2025'!$G$5:$G$2427,'март 2025'!$D$5:$D$2427,$B104,'март 2025'!$J$5:$J$2427,AE$1)</f>
        <v>0</v>
      </c>
      <c r="AF104" s="183">
        <f>SUMIFS('март 2025'!$G$5:$G$2427,'март 2025'!$D$5:$D$2427,$B104,'март 2025'!$J$5:$J$2427,AF$1)</f>
        <v>0</v>
      </c>
      <c r="AG104" s="183">
        <f>SUMIFS('март 2025'!$G$5:$G$2427,'март 2025'!$D$5:$D$2427,$B104,'март 2025'!$J$5:$J$2427,AG$1)</f>
        <v>0</v>
      </c>
      <c r="AH104" s="183">
        <f>SUMIFS('март 2025'!$G$5:$G$2427,'март 2025'!$D$5:$D$2427,$B104,'март 2025'!$J$5:$J$2427,AH$1)</f>
        <v>0</v>
      </c>
      <c r="AI104" s="20">
        <f t="shared" si="1"/>
        <v>0</v>
      </c>
    </row>
    <row r="105" spans="2:35" ht="15" customHeight="1" x14ac:dyDescent="0.25">
      <c r="B105" s="84" t="s">
        <v>170</v>
      </c>
      <c r="C105" s="86">
        <v>200</v>
      </c>
      <c r="D105" s="183">
        <f>SUMIFS('март 2025'!$G$5:$G$2427,'март 2025'!$D$5:$D$2427,$B105,'март 2025'!$J$5:$J$2427,D$1)</f>
        <v>0</v>
      </c>
      <c r="E105" s="183">
        <f>SUMIFS('март 2025'!$G$5:$G$2427,'март 2025'!$D$5:$D$2427,$B105,'март 2025'!$J$5:$J$2427,E$1)</f>
        <v>0</v>
      </c>
      <c r="F105" s="183">
        <f>SUMIFS('март 2025'!$G$5:$G$2427,'март 2025'!$D$5:$D$2427,$B105,'март 2025'!$J$5:$J$2427,F$1)</f>
        <v>0</v>
      </c>
      <c r="G105" s="183">
        <f>SUMIFS('март 2025'!$G$5:$G$2427,'март 2025'!$D$5:$D$2427,$B105,'март 2025'!$J$5:$J$2427,G$1)</f>
        <v>0</v>
      </c>
      <c r="H105" s="183">
        <f>SUMIFS('март 2025'!$G$5:$G$2427,'март 2025'!$D$5:$D$2427,$B105,'март 2025'!$J$5:$J$2427,H$1)</f>
        <v>0</v>
      </c>
      <c r="I105" s="183">
        <f>SUMIFS('март 2025'!$G$5:$G$2427,'март 2025'!$D$5:$D$2427,$B105,'март 2025'!$J$5:$J$2427,I$1)</f>
        <v>0</v>
      </c>
      <c r="J105" s="183">
        <f>SUMIFS('март 2025'!$G$5:$G$2427,'март 2025'!$D$5:$D$2427,$B105,'март 2025'!$J$5:$J$2427,J$1)</f>
        <v>0</v>
      </c>
      <c r="K105" s="183">
        <f>SUMIFS('март 2025'!$G$5:$G$2427,'март 2025'!$D$5:$D$2427,$B105,'март 2025'!$J$5:$J$2427,K$1)</f>
        <v>0</v>
      </c>
      <c r="L105" s="183">
        <f>SUMIFS('март 2025'!$G$5:$G$2427,'март 2025'!$D$5:$D$2427,$B105,'март 2025'!$J$5:$J$2427,L$1)</f>
        <v>0</v>
      </c>
      <c r="M105" s="183">
        <f>SUMIFS('март 2025'!$G$5:$G$2427,'март 2025'!$D$5:$D$2427,$B105,'март 2025'!$J$5:$J$2427,M$1)</f>
        <v>0</v>
      </c>
      <c r="N105" s="183">
        <f>SUMIFS('март 2025'!$G$5:$G$2427,'март 2025'!$D$5:$D$2427,$B105,'март 2025'!$J$5:$J$2427,N$1)</f>
        <v>0</v>
      </c>
      <c r="O105" s="183">
        <f>SUMIFS('март 2025'!$G$5:$G$2427,'март 2025'!$D$5:$D$2427,$B105,'март 2025'!$J$5:$J$2427,O$1)</f>
        <v>0</v>
      </c>
      <c r="P105" s="183">
        <f>SUMIFS('март 2025'!$G$5:$G$2427,'март 2025'!$D$5:$D$2427,$B105,'март 2025'!$J$5:$J$2427,P$1)</f>
        <v>0</v>
      </c>
      <c r="Q105" s="183">
        <f>SUMIFS('март 2025'!$G$5:$G$2427,'март 2025'!$D$5:$D$2427,$B105,'март 2025'!$J$5:$J$2427,Q$1)</f>
        <v>0</v>
      </c>
      <c r="R105" s="183">
        <f>SUMIFS('март 2025'!$G$5:$G$2427,'март 2025'!$D$5:$D$2427,$B105,'март 2025'!$J$5:$J$2427,R$1)</f>
        <v>0</v>
      </c>
      <c r="S105" s="183">
        <f>SUMIFS('март 2025'!$G$5:$G$2427,'март 2025'!$D$5:$D$2427,$B105,'март 2025'!$J$5:$J$2427,S$1)</f>
        <v>0</v>
      </c>
      <c r="T105" s="183">
        <f>SUMIFS('март 2025'!$G$5:$G$2427,'март 2025'!$D$5:$D$2427,$B105,'март 2025'!$J$5:$J$2427,T$1)</f>
        <v>0</v>
      </c>
      <c r="U105" s="183">
        <f>SUMIFS('март 2025'!$G$5:$G$2427,'март 2025'!$D$5:$D$2427,$B105,'март 2025'!$J$5:$J$2427,U$1)</f>
        <v>0</v>
      </c>
      <c r="V105" s="183">
        <f>SUMIFS('март 2025'!$G$5:$G$2427,'март 2025'!$D$5:$D$2427,$B105,'март 2025'!$J$5:$J$2427,V$1)</f>
        <v>0</v>
      </c>
      <c r="W105" s="183">
        <f>SUMIFS('март 2025'!$G$5:$G$2427,'март 2025'!$D$5:$D$2427,$B105,'март 2025'!$J$5:$J$2427,W$1)</f>
        <v>0</v>
      </c>
      <c r="X105" s="183">
        <f>SUMIFS('март 2025'!$G$5:$G$2427,'март 2025'!$D$5:$D$2427,$B105,'март 2025'!$J$5:$J$2427,X$1)</f>
        <v>0</v>
      </c>
      <c r="Y105" s="183">
        <f>SUMIFS('март 2025'!$G$5:$G$2427,'март 2025'!$D$5:$D$2427,$B105,'март 2025'!$J$5:$J$2427,Y$1)</f>
        <v>0</v>
      </c>
      <c r="Z105" s="183">
        <f>SUMIFS('март 2025'!$G$5:$G$2427,'март 2025'!$D$5:$D$2427,$B105,'март 2025'!$J$5:$J$2427,Z$1)</f>
        <v>0</v>
      </c>
      <c r="AA105" s="183">
        <f>SUMIFS('март 2025'!$G$5:$G$2427,'март 2025'!$D$5:$D$2427,$B105,'март 2025'!$J$5:$J$2427,AA$1)</f>
        <v>0</v>
      </c>
      <c r="AB105" s="183">
        <f>SUMIFS('март 2025'!$G$5:$G$2427,'март 2025'!$D$5:$D$2427,$B105,'март 2025'!$J$5:$J$2427,AB$1)</f>
        <v>0</v>
      </c>
      <c r="AC105" s="183">
        <f>SUMIFS('март 2025'!$G$5:$G$2427,'март 2025'!$D$5:$D$2427,$B105,'март 2025'!$J$5:$J$2427,AC$1)</f>
        <v>0</v>
      </c>
      <c r="AD105" s="183">
        <f>SUMIFS('март 2025'!$G$5:$G$2427,'март 2025'!$D$5:$D$2427,$B105,'март 2025'!$J$5:$J$2427,AD$1)</f>
        <v>0</v>
      </c>
      <c r="AE105" s="183">
        <f>SUMIFS('март 2025'!$G$5:$G$2427,'март 2025'!$D$5:$D$2427,$B105,'март 2025'!$J$5:$J$2427,AE$1)</f>
        <v>0</v>
      </c>
      <c r="AF105" s="183">
        <f>SUMIFS('март 2025'!$G$5:$G$2427,'март 2025'!$D$5:$D$2427,$B105,'март 2025'!$J$5:$J$2427,AF$1)</f>
        <v>0</v>
      </c>
      <c r="AG105" s="183">
        <f>SUMIFS('март 2025'!$G$5:$G$2427,'март 2025'!$D$5:$D$2427,$B105,'март 2025'!$J$5:$J$2427,AG$1)</f>
        <v>0</v>
      </c>
      <c r="AH105" s="183">
        <f>SUMIFS('март 2025'!$G$5:$G$2427,'март 2025'!$D$5:$D$2427,$B105,'март 2025'!$J$5:$J$2427,AH$1)</f>
        <v>0</v>
      </c>
      <c r="AI105" s="20">
        <f t="shared" si="1"/>
        <v>0</v>
      </c>
    </row>
    <row r="106" spans="2:35" ht="15" customHeight="1" x14ac:dyDescent="0.25">
      <c r="B106" s="84" t="s">
        <v>195</v>
      </c>
      <c r="C106" s="83">
        <v>185</v>
      </c>
      <c r="D106" s="183">
        <f>SUMIFS('март 2025'!$G$5:$G$2427,'март 2025'!$D$5:$D$2427,$B106,'март 2025'!$J$5:$J$2427,D$1)</f>
        <v>0</v>
      </c>
      <c r="E106" s="183">
        <f>SUMIFS('март 2025'!$G$5:$G$2427,'март 2025'!$D$5:$D$2427,$B106,'март 2025'!$J$5:$J$2427,E$1)</f>
        <v>0</v>
      </c>
      <c r="F106" s="183">
        <f>SUMIFS('март 2025'!$G$5:$G$2427,'март 2025'!$D$5:$D$2427,$B106,'март 2025'!$J$5:$J$2427,F$1)</f>
        <v>0</v>
      </c>
      <c r="G106" s="183">
        <f>SUMIFS('март 2025'!$G$5:$G$2427,'март 2025'!$D$5:$D$2427,$B106,'март 2025'!$J$5:$J$2427,G$1)</f>
        <v>0</v>
      </c>
      <c r="H106" s="183">
        <f>SUMIFS('март 2025'!$G$5:$G$2427,'март 2025'!$D$5:$D$2427,$B106,'март 2025'!$J$5:$J$2427,H$1)</f>
        <v>0</v>
      </c>
      <c r="I106" s="183">
        <f>SUMIFS('март 2025'!$G$5:$G$2427,'март 2025'!$D$5:$D$2427,$B106,'март 2025'!$J$5:$J$2427,I$1)</f>
        <v>0</v>
      </c>
      <c r="J106" s="183">
        <f>SUMIFS('март 2025'!$G$5:$G$2427,'март 2025'!$D$5:$D$2427,$B106,'март 2025'!$J$5:$J$2427,J$1)</f>
        <v>0</v>
      </c>
      <c r="K106" s="183">
        <f>SUMIFS('март 2025'!$G$5:$G$2427,'март 2025'!$D$5:$D$2427,$B106,'март 2025'!$J$5:$J$2427,K$1)</f>
        <v>0</v>
      </c>
      <c r="L106" s="183">
        <f>SUMIFS('март 2025'!$G$5:$G$2427,'март 2025'!$D$5:$D$2427,$B106,'март 2025'!$J$5:$J$2427,L$1)</f>
        <v>0</v>
      </c>
      <c r="M106" s="183">
        <f>SUMIFS('март 2025'!$G$5:$G$2427,'март 2025'!$D$5:$D$2427,$B106,'март 2025'!$J$5:$J$2427,M$1)</f>
        <v>0</v>
      </c>
      <c r="N106" s="183">
        <f>SUMIFS('март 2025'!$G$5:$G$2427,'март 2025'!$D$5:$D$2427,$B106,'март 2025'!$J$5:$J$2427,N$1)</f>
        <v>0</v>
      </c>
      <c r="O106" s="183">
        <f>SUMIFS('март 2025'!$G$5:$G$2427,'март 2025'!$D$5:$D$2427,$B106,'март 2025'!$J$5:$J$2427,O$1)</f>
        <v>0</v>
      </c>
      <c r="P106" s="183">
        <f>SUMIFS('март 2025'!$G$5:$G$2427,'март 2025'!$D$5:$D$2427,$B106,'март 2025'!$J$5:$J$2427,P$1)</f>
        <v>0</v>
      </c>
      <c r="Q106" s="183">
        <f>SUMIFS('март 2025'!$G$5:$G$2427,'март 2025'!$D$5:$D$2427,$B106,'март 2025'!$J$5:$J$2427,Q$1)</f>
        <v>0</v>
      </c>
      <c r="R106" s="183">
        <f>SUMIFS('март 2025'!$G$5:$G$2427,'март 2025'!$D$5:$D$2427,$B106,'март 2025'!$J$5:$J$2427,R$1)</f>
        <v>0</v>
      </c>
      <c r="S106" s="183">
        <f>SUMIFS('март 2025'!$G$5:$G$2427,'март 2025'!$D$5:$D$2427,$B106,'март 2025'!$J$5:$J$2427,S$1)</f>
        <v>0</v>
      </c>
      <c r="T106" s="183">
        <f>SUMIFS('март 2025'!$G$5:$G$2427,'март 2025'!$D$5:$D$2427,$B106,'март 2025'!$J$5:$J$2427,T$1)</f>
        <v>0</v>
      </c>
      <c r="U106" s="183">
        <f>SUMIFS('март 2025'!$G$5:$G$2427,'март 2025'!$D$5:$D$2427,$B106,'март 2025'!$J$5:$J$2427,U$1)</f>
        <v>0</v>
      </c>
      <c r="V106" s="183">
        <f>SUMIFS('март 2025'!$G$5:$G$2427,'март 2025'!$D$5:$D$2427,$B106,'март 2025'!$J$5:$J$2427,V$1)</f>
        <v>0</v>
      </c>
      <c r="W106" s="183">
        <f>SUMIFS('март 2025'!$G$5:$G$2427,'март 2025'!$D$5:$D$2427,$B106,'март 2025'!$J$5:$J$2427,W$1)</f>
        <v>0</v>
      </c>
      <c r="X106" s="183">
        <f>SUMIFS('март 2025'!$G$5:$G$2427,'март 2025'!$D$5:$D$2427,$B106,'март 2025'!$J$5:$J$2427,X$1)</f>
        <v>0</v>
      </c>
      <c r="Y106" s="183">
        <f>SUMIFS('март 2025'!$G$5:$G$2427,'март 2025'!$D$5:$D$2427,$B106,'март 2025'!$J$5:$J$2427,Y$1)</f>
        <v>0</v>
      </c>
      <c r="Z106" s="183">
        <f>SUMIFS('март 2025'!$G$5:$G$2427,'март 2025'!$D$5:$D$2427,$B106,'март 2025'!$J$5:$J$2427,Z$1)</f>
        <v>0</v>
      </c>
      <c r="AA106" s="183">
        <f>SUMIFS('март 2025'!$G$5:$G$2427,'март 2025'!$D$5:$D$2427,$B106,'март 2025'!$J$5:$J$2427,AA$1)</f>
        <v>0</v>
      </c>
      <c r="AB106" s="183">
        <f>SUMIFS('март 2025'!$G$5:$G$2427,'март 2025'!$D$5:$D$2427,$B106,'март 2025'!$J$5:$J$2427,AB$1)</f>
        <v>0</v>
      </c>
      <c r="AC106" s="183">
        <f>SUMIFS('март 2025'!$G$5:$G$2427,'март 2025'!$D$5:$D$2427,$B106,'март 2025'!$J$5:$J$2427,AC$1)</f>
        <v>0</v>
      </c>
      <c r="AD106" s="183">
        <f>SUMIFS('март 2025'!$G$5:$G$2427,'март 2025'!$D$5:$D$2427,$B106,'март 2025'!$J$5:$J$2427,AD$1)</f>
        <v>0</v>
      </c>
      <c r="AE106" s="183">
        <f>SUMIFS('март 2025'!$G$5:$G$2427,'март 2025'!$D$5:$D$2427,$B106,'март 2025'!$J$5:$J$2427,AE$1)</f>
        <v>0</v>
      </c>
      <c r="AF106" s="183">
        <f>SUMIFS('март 2025'!$G$5:$G$2427,'март 2025'!$D$5:$D$2427,$B106,'март 2025'!$J$5:$J$2427,AF$1)</f>
        <v>0</v>
      </c>
      <c r="AG106" s="183">
        <f>SUMIFS('март 2025'!$G$5:$G$2427,'март 2025'!$D$5:$D$2427,$B106,'март 2025'!$J$5:$J$2427,AG$1)</f>
        <v>0</v>
      </c>
      <c r="AH106" s="183">
        <f>SUMIFS('март 2025'!$G$5:$G$2427,'март 2025'!$D$5:$D$2427,$B106,'март 2025'!$J$5:$J$2427,AH$1)</f>
        <v>0</v>
      </c>
      <c r="AI106" s="20">
        <f t="shared" si="1"/>
        <v>0</v>
      </c>
    </row>
    <row r="107" spans="2:35" ht="15" customHeight="1" x14ac:dyDescent="0.25">
      <c r="B107" s="84" t="s">
        <v>196</v>
      </c>
      <c r="C107" s="83">
        <v>185</v>
      </c>
      <c r="D107" s="183">
        <f>SUMIFS('март 2025'!$G$5:$G$2427,'март 2025'!$D$5:$D$2427,$B107,'март 2025'!$J$5:$J$2427,D$1)</f>
        <v>0</v>
      </c>
      <c r="E107" s="183">
        <f>SUMIFS('март 2025'!$G$5:$G$2427,'март 2025'!$D$5:$D$2427,$B107,'март 2025'!$J$5:$J$2427,E$1)</f>
        <v>0</v>
      </c>
      <c r="F107" s="183">
        <f>SUMIFS('март 2025'!$G$5:$G$2427,'март 2025'!$D$5:$D$2427,$B107,'март 2025'!$J$5:$J$2427,F$1)</f>
        <v>0</v>
      </c>
      <c r="G107" s="183">
        <f>SUMIFS('март 2025'!$G$5:$G$2427,'март 2025'!$D$5:$D$2427,$B107,'март 2025'!$J$5:$J$2427,G$1)</f>
        <v>0</v>
      </c>
      <c r="H107" s="183">
        <f>SUMIFS('март 2025'!$G$5:$G$2427,'март 2025'!$D$5:$D$2427,$B107,'март 2025'!$J$5:$J$2427,H$1)</f>
        <v>0</v>
      </c>
      <c r="I107" s="183">
        <f>SUMIFS('март 2025'!$G$5:$G$2427,'март 2025'!$D$5:$D$2427,$B107,'март 2025'!$J$5:$J$2427,I$1)</f>
        <v>0</v>
      </c>
      <c r="J107" s="183">
        <f>SUMIFS('март 2025'!$G$5:$G$2427,'март 2025'!$D$5:$D$2427,$B107,'март 2025'!$J$5:$J$2427,J$1)</f>
        <v>0</v>
      </c>
      <c r="K107" s="183">
        <f>SUMIFS('март 2025'!$G$5:$G$2427,'март 2025'!$D$5:$D$2427,$B107,'март 2025'!$J$5:$J$2427,K$1)</f>
        <v>0</v>
      </c>
      <c r="L107" s="183">
        <f>SUMIFS('март 2025'!$G$5:$G$2427,'март 2025'!$D$5:$D$2427,$B107,'март 2025'!$J$5:$J$2427,L$1)</f>
        <v>0</v>
      </c>
      <c r="M107" s="183">
        <f>SUMIFS('март 2025'!$G$5:$G$2427,'март 2025'!$D$5:$D$2427,$B107,'март 2025'!$J$5:$J$2427,M$1)</f>
        <v>0</v>
      </c>
      <c r="N107" s="183">
        <f>SUMIFS('март 2025'!$G$5:$G$2427,'март 2025'!$D$5:$D$2427,$B107,'март 2025'!$J$5:$J$2427,N$1)</f>
        <v>0</v>
      </c>
      <c r="O107" s="183">
        <f>SUMIFS('март 2025'!$G$5:$G$2427,'март 2025'!$D$5:$D$2427,$B107,'март 2025'!$J$5:$J$2427,O$1)</f>
        <v>0</v>
      </c>
      <c r="P107" s="183">
        <f>SUMIFS('март 2025'!$G$5:$G$2427,'март 2025'!$D$5:$D$2427,$B107,'март 2025'!$J$5:$J$2427,P$1)</f>
        <v>0</v>
      </c>
      <c r="Q107" s="183">
        <f>SUMIFS('март 2025'!$G$5:$G$2427,'март 2025'!$D$5:$D$2427,$B107,'март 2025'!$J$5:$J$2427,Q$1)</f>
        <v>0</v>
      </c>
      <c r="R107" s="183">
        <f>SUMIFS('март 2025'!$G$5:$G$2427,'март 2025'!$D$5:$D$2427,$B107,'март 2025'!$J$5:$J$2427,R$1)</f>
        <v>0</v>
      </c>
      <c r="S107" s="183">
        <f>SUMIFS('март 2025'!$G$5:$G$2427,'март 2025'!$D$5:$D$2427,$B107,'март 2025'!$J$5:$J$2427,S$1)</f>
        <v>0</v>
      </c>
      <c r="T107" s="183">
        <f>SUMIFS('март 2025'!$G$5:$G$2427,'март 2025'!$D$5:$D$2427,$B107,'март 2025'!$J$5:$J$2427,T$1)</f>
        <v>0</v>
      </c>
      <c r="U107" s="183">
        <f>SUMIFS('март 2025'!$G$5:$G$2427,'март 2025'!$D$5:$D$2427,$B107,'март 2025'!$J$5:$J$2427,U$1)</f>
        <v>0</v>
      </c>
      <c r="V107" s="183">
        <f>SUMIFS('март 2025'!$G$5:$G$2427,'март 2025'!$D$5:$D$2427,$B107,'март 2025'!$J$5:$J$2427,V$1)</f>
        <v>0</v>
      </c>
      <c r="W107" s="183">
        <f>SUMIFS('март 2025'!$G$5:$G$2427,'март 2025'!$D$5:$D$2427,$B107,'март 2025'!$J$5:$J$2427,W$1)</f>
        <v>0</v>
      </c>
      <c r="X107" s="183">
        <f>SUMIFS('март 2025'!$G$5:$G$2427,'март 2025'!$D$5:$D$2427,$B107,'март 2025'!$J$5:$J$2427,X$1)</f>
        <v>0</v>
      </c>
      <c r="Y107" s="183">
        <f>SUMIFS('март 2025'!$G$5:$G$2427,'март 2025'!$D$5:$D$2427,$B107,'март 2025'!$J$5:$J$2427,Y$1)</f>
        <v>0</v>
      </c>
      <c r="Z107" s="183">
        <f>SUMIFS('март 2025'!$G$5:$G$2427,'март 2025'!$D$5:$D$2427,$B107,'март 2025'!$J$5:$J$2427,Z$1)</f>
        <v>0</v>
      </c>
      <c r="AA107" s="183">
        <f>SUMIFS('март 2025'!$G$5:$G$2427,'март 2025'!$D$5:$D$2427,$B107,'март 2025'!$J$5:$J$2427,AA$1)</f>
        <v>0</v>
      </c>
      <c r="AB107" s="183">
        <f>SUMIFS('март 2025'!$G$5:$G$2427,'март 2025'!$D$5:$D$2427,$B107,'март 2025'!$J$5:$J$2427,AB$1)</f>
        <v>0</v>
      </c>
      <c r="AC107" s="183">
        <f>SUMIFS('март 2025'!$G$5:$G$2427,'март 2025'!$D$5:$D$2427,$B107,'март 2025'!$J$5:$J$2427,AC$1)</f>
        <v>0</v>
      </c>
      <c r="AD107" s="183">
        <f>SUMIFS('март 2025'!$G$5:$G$2427,'март 2025'!$D$5:$D$2427,$B107,'март 2025'!$J$5:$J$2427,AD$1)</f>
        <v>0</v>
      </c>
      <c r="AE107" s="183">
        <f>SUMIFS('март 2025'!$G$5:$G$2427,'март 2025'!$D$5:$D$2427,$B107,'март 2025'!$J$5:$J$2427,AE$1)</f>
        <v>0</v>
      </c>
      <c r="AF107" s="183">
        <f>SUMIFS('март 2025'!$G$5:$G$2427,'март 2025'!$D$5:$D$2427,$B107,'март 2025'!$J$5:$J$2427,AF$1)</f>
        <v>0</v>
      </c>
      <c r="AG107" s="183">
        <f>SUMIFS('март 2025'!$G$5:$G$2427,'март 2025'!$D$5:$D$2427,$B107,'март 2025'!$J$5:$J$2427,AG$1)</f>
        <v>0</v>
      </c>
      <c r="AH107" s="183">
        <f>SUMIFS('март 2025'!$G$5:$G$2427,'март 2025'!$D$5:$D$2427,$B107,'март 2025'!$J$5:$J$2427,AH$1)</f>
        <v>0</v>
      </c>
      <c r="AI107" s="20">
        <f t="shared" si="1"/>
        <v>0</v>
      </c>
    </row>
    <row r="108" spans="2:35" ht="15" customHeight="1" x14ac:dyDescent="0.25">
      <c r="B108" s="84" t="s">
        <v>260</v>
      </c>
      <c r="C108" s="83">
        <v>180</v>
      </c>
      <c r="D108" s="183">
        <f>SUMIFS('март 2025'!$G$5:$G$2427,'март 2025'!$D$5:$D$2427,$B108,'март 2025'!$J$5:$J$2427,D$1)</f>
        <v>0</v>
      </c>
      <c r="E108" s="183">
        <f>SUMIFS('март 2025'!$G$5:$G$2427,'март 2025'!$D$5:$D$2427,$B108,'март 2025'!$J$5:$J$2427,E$1)</f>
        <v>0</v>
      </c>
      <c r="F108" s="183">
        <f>SUMIFS('март 2025'!$G$5:$G$2427,'март 2025'!$D$5:$D$2427,$B108,'март 2025'!$J$5:$J$2427,F$1)</f>
        <v>0</v>
      </c>
      <c r="G108" s="183">
        <f>SUMIFS('март 2025'!$G$5:$G$2427,'март 2025'!$D$5:$D$2427,$B108,'март 2025'!$J$5:$J$2427,G$1)</f>
        <v>0</v>
      </c>
      <c r="H108" s="183">
        <f>SUMIFS('март 2025'!$G$5:$G$2427,'март 2025'!$D$5:$D$2427,$B108,'март 2025'!$J$5:$J$2427,H$1)</f>
        <v>0</v>
      </c>
      <c r="I108" s="183">
        <f>SUMIFS('март 2025'!$G$5:$G$2427,'март 2025'!$D$5:$D$2427,$B108,'март 2025'!$J$5:$J$2427,I$1)</f>
        <v>0</v>
      </c>
      <c r="J108" s="183">
        <f>SUMIFS('март 2025'!$G$5:$G$2427,'март 2025'!$D$5:$D$2427,$B108,'март 2025'!$J$5:$J$2427,J$1)</f>
        <v>0</v>
      </c>
      <c r="K108" s="183">
        <f>SUMIFS('март 2025'!$G$5:$G$2427,'март 2025'!$D$5:$D$2427,$B108,'март 2025'!$J$5:$J$2427,K$1)</f>
        <v>0</v>
      </c>
      <c r="L108" s="183">
        <f>SUMIFS('март 2025'!$G$5:$G$2427,'март 2025'!$D$5:$D$2427,$B108,'март 2025'!$J$5:$J$2427,L$1)</f>
        <v>0</v>
      </c>
      <c r="M108" s="183">
        <f>SUMIFS('март 2025'!$G$5:$G$2427,'март 2025'!$D$5:$D$2427,$B108,'март 2025'!$J$5:$J$2427,M$1)</f>
        <v>0</v>
      </c>
      <c r="N108" s="183">
        <f>SUMIFS('март 2025'!$G$5:$G$2427,'март 2025'!$D$5:$D$2427,$B108,'март 2025'!$J$5:$J$2427,N$1)</f>
        <v>0</v>
      </c>
      <c r="O108" s="183">
        <f>SUMIFS('март 2025'!$G$5:$G$2427,'март 2025'!$D$5:$D$2427,$B108,'март 2025'!$J$5:$J$2427,O$1)</f>
        <v>0</v>
      </c>
      <c r="P108" s="183">
        <f>SUMIFS('март 2025'!$G$5:$G$2427,'март 2025'!$D$5:$D$2427,$B108,'март 2025'!$J$5:$J$2427,P$1)</f>
        <v>0</v>
      </c>
      <c r="Q108" s="183">
        <f>SUMIFS('март 2025'!$G$5:$G$2427,'март 2025'!$D$5:$D$2427,$B108,'март 2025'!$J$5:$J$2427,Q$1)</f>
        <v>0</v>
      </c>
      <c r="R108" s="183">
        <f>SUMIFS('март 2025'!$G$5:$G$2427,'март 2025'!$D$5:$D$2427,$B108,'март 2025'!$J$5:$J$2427,R$1)</f>
        <v>0</v>
      </c>
      <c r="S108" s="183">
        <f>SUMIFS('март 2025'!$G$5:$G$2427,'март 2025'!$D$5:$D$2427,$B108,'март 2025'!$J$5:$J$2427,S$1)</f>
        <v>0</v>
      </c>
      <c r="T108" s="183">
        <f>SUMIFS('март 2025'!$G$5:$G$2427,'март 2025'!$D$5:$D$2427,$B108,'март 2025'!$J$5:$J$2427,T$1)</f>
        <v>0</v>
      </c>
      <c r="U108" s="183">
        <f>SUMIFS('март 2025'!$G$5:$G$2427,'март 2025'!$D$5:$D$2427,$B108,'март 2025'!$J$5:$J$2427,U$1)</f>
        <v>0</v>
      </c>
      <c r="V108" s="183">
        <f>SUMIFS('март 2025'!$G$5:$G$2427,'март 2025'!$D$5:$D$2427,$B108,'март 2025'!$J$5:$J$2427,V$1)</f>
        <v>0</v>
      </c>
      <c r="W108" s="183">
        <f>SUMIFS('март 2025'!$G$5:$G$2427,'март 2025'!$D$5:$D$2427,$B108,'март 2025'!$J$5:$J$2427,W$1)</f>
        <v>0</v>
      </c>
      <c r="X108" s="183">
        <f>SUMIFS('март 2025'!$G$5:$G$2427,'март 2025'!$D$5:$D$2427,$B108,'март 2025'!$J$5:$J$2427,X$1)</f>
        <v>0</v>
      </c>
      <c r="Y108" s="183">
        <f>SUMIFS('март 2025'!$G$5:$G$2427,'март 2025'!$D$5:$D$2427,$B108,'март 2025'!$J$5:$J$2427,Y$1)</f>
        <v>0</v>
      </c>
      <c r="Z108" s="183">
        <f>SUMIFS('март 2025'!$G$5:$G$2427,'март 2025'!$D$5:$D$2427,$B108,'март 2025'!$J$5:$J$2427,Z$1)</f>
        <v>0</v>
      </c>
      <c r="AA108" s="183">
        <f>SUMIFS('март 2025'!$G$5:$G$2427,'март 2025'!$D$5:$D$2427,$B108,'март 2025'!$J$5:$J$2427,AA$1)</f>
        <v>0</v>
      </c>
      <c r="AB108" s="183">
        <f>SUMIFS('март 2025'!$G$5:$G$2427,'март 2025'!$D$5:$D$2427,$B108,'март 2025'!$J$5:$J$2427,AB$1)</f>
        <v>0</v>
      </c>
      <c r="AC108" s="183">
        <f>SUMIFS('март 2025'!$G$5:$G$2427,'март 2025'!$D$5:$D$2427,$B108,'март 2025'!$J$5:$J$2427,AC$1)</f>
        <v>0</v>
      </c>
      <c r="AD108" s="183">
        <f>SUMIFS('март 2025'!$G$5:$G$2427,'март 2025'!$D$5:$D$2427,$B108,'март 2025'!$J$5:$J$2427,AD$1)</f>
        <v>0</v>
      </c>
      <c r="AE108" s="183">
        <f>SUMIFS('март 2025'!$G$5:$G$2427,'март 2025'!$D$5:$D$2427,$B108,'март 2025'!$J$5:$J$2427,AE$1)</f>
        <v>0</v>
      </c>
      <c r="AF108" s="183">
        <f>SUMIFS('март 2025'!$G$5:$G$2427,'март 2025'!$D$5:$D$2427,$B108,'март 2025'!$J$5:$J$2427,AF$1)</f>
        <v>0</v>
      </c>
      <c r="AG108" s="183">
        <f>SUMIFS('март 2025'!$G$5:$G$2427,'март 2025'!$D$5:$D$2427,$B108,'март 2025'!$J$5:$J$2427,AG$1)</f>
        <v>0</v>
      </c>
      <c r="AH108" s="183">
        <f>SUMIFS('март 2025'!$G$5:$G$2427,'март 2025'!$D$5:$D$2427,$B108,'март 2025'!$J$5:$J$2427,AH$1)</f>
        <v>0</v>
      </c>
      <c r="AI108" s="20">
        <f t="shared" si="1"/>
        <v>0</v>
      </c>
    </row>
    <row r="109" spans="2:35" ht="15" customHeight="1" x14ac:dyDescent="0.25">
      <c r="B109" s="88" t="s">
        <v>261</v>
      </c>
      <c r="C109" s="86">
        <v>200</v>
      </c>
      <c r="D109" s="183">
        <f>SUMIFS('март 2025'!$G$5:$G$2427,'март 2025'!$D$5:$D$2427,$B109,'март 2025'!$J$5:$J$2427,D$1)</f>
        <v>0</v>
      </c>
      <c r="E109" s="183">
        <f>SUMIFS('март 2025'!$G$5:$G$2427,'март 2025'!$D$5:$D$2427,$B109,'март 2025'!$J$5:$J$2427,E$1)</f>
        <v>0</v>
      </c>
      <c r="F109" s="183">
        <f>SUMIFS('март 2025'!$G$5:$G$2427,'март 2025'!$D$5:$D$2427,$B109,'март 2025'!$J$5:$J$2427,F$1)</f>
        <v>0</v>
      </c>
      <c r="G109" s="183">
        <f>SUMIFS('март 2025'!$G$5:$G$2427,'март 2025'!$D$5:$D$2427,$B109,'март 2025'!$J$5:$J$2427,G$1)</f>
        <v>0</v>
      </c>
      <c r="H109" s="183">
        <f>SUMIFS('март 2025'!$G$5:$G$2427,'март 2025'!$D$5:$D$2427,$B109,'март 2025'!$J$5:$J$2427,H$1)</f>
        <v>0</v>
      </c>
      <c r="I109" s="183">
        <f>SUMIFS('март 2025'!$G$5:$G$2427,'март 2025'!$D$5:$D$2427,$B109,'март 2025'!$J$5:$J$2427,I$1)</f>
        <v>0</v>
      </c>
      <c r="J109" s="183">
        <f>SUMIFS('март 2025'!$G$5:$G$2427,'март 2025'!$D$5:$D$2427,$B109,'март 2025'!$J$5:$J$2427,J$1)</f>
        <v>0</v>
      </c>
      <c r="K109" s="183">
        <f>SUMIFS('март 2025'!$G$5:$G$2427,'март 2025'!$D$5:$D$2427,$B109,'март 2025'!$J$5:$J$2427,K$1)</f>
        <v>0</v>
      </c>
      <c r="L109" s="183">
        <f>SUMIFS('март 2025'!$G$5:$G$2427,'март 2025'!$D$5:$D$2427,$B109,'март 2025'!$J$5:$J$2427,L$1)</f>
        <v>0</v>
      </c>
      <c r="M109" s="183">
        <f>SUMIFS('март 2025'!$G$5:$G$2427,'март 2025'!$D$5:$D$2427,$B109,'март 2025'!$J$5:$J$2427,M$1)</f>
        <v>0</v>
      </c>
      <c r="N109" s="183">
        <f>SUMIFS('март 2025'!$G$5:$G$2427,'март 2025'!$D$5:$D$2427,$B109,'март 2025'!$J$5:$J$2427,N$1)</f>
        <v>0</v>
      </c>
      <c r="O109" s="183">
        <f>SUMIFS('март 2025'!$G$5:$G$2427,'март 2025'!$D$5:$D$2427,$B109,'март 2025'!$J$5:$J$2427,O$1)</f>
        <v>0</v>
      </c>
      <c r="P109" s="183">
        <f>SUMIFS('март 2025'!$G$5:$G$2427,'март 2025'!$D$5:$D$2427,$B109,'март 2025'!$J$5:$J$2427,P$1)</f>
        <v>0</v>
      </c>
      <c r="Q109" s="183">
        <f>SUMIFS('март 2025'!$G$5:$G$2427,'март 2025'!$D$5:$D$2427,$B109,'март 2025'!$J$5:$J$2427,Q$1)</f>
        <v>0</v>
      </c>
      <c r="R109" s="183">
        <f>SUMIFS('март 2025'!$G$5:$G$2427,'март 2025'!$D$5:$D$2427,$B109,'март 2025'!$J$5:$J$2427,R$1)</f>
        <v>0</v>
      </c>
      <c r="S109" s="183">
        <f>SUMIFS('март 2025'!$G$5:$G$2427,'март 2025'!$D$5:$D$2427,$B109,'март 2025'!$J$5:$J$2427,S$1)</f>
        <v>0</v>
      </c>
      <c r="T109" s="183">
        <f>SUMIFS('март 2025'!$G$5:$G$2427,'март 2025'!$D$5:$D$2427,$B109,'март 2025'!$J$5:$J$2427,T$1)</f>
        <v>0</v>
      </c>
      <c r="U109" s="183">
        <f>SUMIFS('март 2025'!$G$5:$G$2427,'март 2025'!$D$5:$D$2427,$B109,'март 2025'!$J$5:$J$2427,U$1)</f>
        <v>0</v>
      </c>
      <c r="V109" s="183">
        <f>SUMIFS('март 2025'!$G$5:$G$2427,'март 2025'!$D$5:$D$2427,$B109,'март 2025'!$J$5:$J$2427,V$1)</f>
        <v>0</v>
      </c>
      <c r="W109" s="183">
        <f>SUMIFS('март 2025'!$G$5:$G$2427,'март 2025'!$D$5:$D$2427,$B109,'март 2025'!$J$5:$J$2427,W$1)</f>
        <v>0</v>
      </c>
      <c r="X109" s="183">
        <f>SUMIFS('март 2025'!$G$5:$G$2427,'март 2025'!$D$5:$D$2427,$B109,'март 2025'!$J$5:$J$2427,X$1)</f>
        <v>0</v>
      </c>
      <c r="Y109" s="183">
        <f>SUMIFS('март 2025'!$G$5:$G$2427,'март 2025'!$D$5:$D$2427,$B109,'март 2025'!$J$5:$J$2427,Y$1)</f>
        <v>0</v>
      </c>
      <c r="Z109" s="183">
        <f>SUMIFS('март 2025'!$G$5:$G$2427,'март 2025'!$D$5:$D$2427,$B109,'март 2025'!$J$5:$J$2427,Z$1)</f>
        <v>0</v>
      </c>
      <c r="AA109" s="183">
        <f>SUMIFS('март 2025'!$G$5:$G$2427,'март 2025'!$D$5:$D$2427,$B109,'март 2025'!$J$5:$J$2427,AA$1)</f>
        <v>0</v>
      </c>
      <c r="AB109" s="183">
        <f>SUMIFS('март 2025'!$G$5:$G$2427,'март 2025'!$D$5:$D$2427,$B109,'март 2025'!$J$5:$J$2427,AB$1)</f>
        <v>0</v>
      </c>
      <c r="AC109" s="183">
        <f>SUMIFS('март 2025'!$G$5:$G$2427,'март 2025'!$D$5:$D$2427,$B109,'март 2025'!$J$5:$J$2427,AC$1)</f>
        <v>0</v>
      </c>
      <c r="AD109" s="183">
        <f>SUMIFS('март 2025'!$G$5:$G$2427,'март 2025'!$D$5:$D$2427,$B109,'март 2025'!$J$5:$J$2427,AD$1)</f>
        <v>0</v>
      </c>
      <c r="AE109" s="183">
        <f>SUMIFS('март 2025'!$G$5:$G$2427,'март 2025'!$D$5:$D$2427,$B109,'март 2025'!$J$5:$J$2427,AE$1)</f>
        <v>0</v>
      </c>
      <c r="AF109" s="183">
        <f>SUMIFS('март 2025'!$G$5:$G$2427,'март 2025'!$D$5:$D$2427,$B109,'март 2025'!$J$5:$J$2427,AF$1)</f>
        <v>0</v>
      </c>
      <c r="AG109" s="183">
        <f>SUMIFS('март 2025'!$G$5:$G$2427,'март 2025'!$D$5:$D$2427,$B109,'март 2025'!$J$5:$J$2427,AG$1)</f>
        <v>0</v>
      </c>
      <c r="AH109" s="183">
        <f>SUMIFS('март 2025'!$G$5:$G$2427,'март 2025'!$D$5:$D$2427,$B109,'март 2025'!$J$5:$J$2427,AH$1)</f>
        <v>0</v>
      </c>
      <c r="AI109" s="20">
        <f t="shared" si="1"/>
        <v>0</v>
      </c>
    </row>
    <row r="110" spans="2:35" ht="15" customHeight="1" x14ac:dyDescent="0.25">
      <c r="B110" s="88" t="s">
        <v>180</v>
      </c>
      <c r="C110" s="86">
        <v>200</v>
      </c>
      <c r="D110" s="183">
        <f>SUMIFS('март 2025'!$G$5:$G$2427,'март 2025'!$D$5:$D$2427,$B110,'март 2025'!$J$5:$J$2427,D$1)</f>
        <v>0</v>
      </c>
      <c r="E110" s="183">
        <f>SUMIFS('март 2025'!$G$5:$G$2427,'март 2025'!$D$5:$D$2427,$B110,'март 2025'!$J$5:$J$2427,E$1)</f>
        <v>0</v>
      </c>
      <c r="F110" s="183">
        <f>SUMIFS('март 2025'!$G$5:$G$2427,'март 2025'!$D$5:$D$2427,$B110,'март 2025'!$J$5:$J$2427,F$1)</f>
        <v>0</v>
      </c>
      <c r="G110" s="183">
        <f>SUMIFS('март 2025'!$G$5:$G$2427,'март 2025'!$D$5:$D$2427,$B110,'март 2025'!$J$5:$J$2427,G$1)</f>
        <v>0</v>
      </c>
      <c r="H110" s="183">
        <f>SUMIFS('март 2025'!$G$5:$G$2427,'март 2025'!$D$5:$D$2427,$B110,'март 2025'!$J$5:$J$2427,H$1)</f>
        <v>0</v>
      </c>
      <c r="I110" s="183">
        <f>SUMIFS('март 2025'!$G$5:$G$2427,'март 2025'!$D$5:$D$2427,$B110,'март 2025'!$J$5:$J$2427,I$1)</f>
        <v>0</v>
      </c>
      <c r="J110" s="183">
        <f>SUMIFS('март 2025'!$G$5:$G$2427,'март 2025'!$D$5:$D$2427,$B110,'март 2025'!$J$5:$J$2427,J$1)</f>
        <v>0</v>
      </c>
      <c r="K110" s="183">
        <f>SUMIFS('март 2025'!$G$5:$G$2427,'март 2025'!$D$5:$D$2427,$B110,'март 2025'!$J$5:$J$2427,K$1)</f>
        <v>0</v>
      </c>
      <c r="L110" s="183">
        <f>SUMIFS('март 2025'!$G$5:$G$2427,'март 2025'!$D$5:$D$2427,$B110,'март 2025'!$J$5:$J$2427,L$1)</f>
        <v>0</v>
      </c>
      <c r="M110" s="183">
        <f>SUMIFS('март 2025'!$G$5:$G$2427,'март 2025'!$D$5:$D$2427,$B110,'март 2025'!$J$5:$J$2427,M$1)</f>
        <v>0</v>
      </c>
      <c r="N110" s="183">
        <f>SUMIFS('март 2025'!$G$5:$G$2427,'март 2025'!$D$5:$D$2427,$B110,'март 2025'!$J$5:$J$2427,N$1)</f>
        <v>0</v>
      </c>
      <c r="O110" s="183">
        <f>SUMIFS('март 2025'!$G$5:$G$2427,'март 2025'!$D$5:$D$2427,$B110,'март 2025'!$J$5:$J$2427,O$1)</f>
        <v>0</v>
      </c>
      <c r="P110" s="183">
        <f>SUMIFS('март 2025'!$G$5:$G$2427,'март 2025'!$D$5:$D$2427,$B110,'март 2025'!$J$5:$J$2427,P$1)</f>
        <v>0</v>
      </c>
      <c r="Q110" s="183">
        <f>SUMIFS('март 2025'!$G$5:$G$2427,'март 2025'!$D$5:$D$2427,$B110,'март 2025'!$J$5:$J$2427,Q$1)</f>
        <v>0</v>
      </c>
      <c r="R110" s="183">
        <f>SUMIFS('март 2025'!$G$5:$G$2427,'март 2025'!$D$5:$D$2427,$B110,'март 2025'!$J$5:$J$2427,R$1)</f>
        <v>0</v>
      </c>
      <c r="S110" s="183">
        <f>SUMIFS('март 2025'!$G$5:$G$2427,'март 2025'!$D$5:$D$2427,$B110,'март 2025'!$J$5:$J$2427,S$1)</f>
        <v>0</v>
      </c>
      <c r="T110" s="183">
        <f>SUMIFS('март 2025'!$G$5:$G$2427,'март 2025'!$D$5:$D$2427,$B110,'март 2025'!$J$5:$J$2427,T$1)</f>
        <v>0</v>
      </c>
      <c r="U110" s="183">
        <f>SUMIFS('март 2025'!$G$5:$G$2427,'март 2025'!$D$5:$D$2427,$B110,'март 2025'!$J$5:$J$2427,U$1)</f>
        <v>0</v>
      </c>
      <c r="V110" s="183">
        <f>SUMIFS('март 2025'!$G$5:$G$2427,'март 2025'!$D$5:$D$2427,$B110,'март 2025'!$J$5:$J$2427,V$1)</f>
        <v>0</v>
      </c>
      <c r="W110" s="183">
        <f>SUMIFS('март 2025'!$G$5:$G$2427,'март 2025'!$D$5:$D$2427,$B110,'март 2025'!$J$5:$J$2427,W$1)</f>
        <v>0</v>
      </c>
      <c r="X110" s="183">
        <f>SUMIFS('март 2025'!$G$5:$G$2427,'март 2025'!$D$5:$D$2427,$B110,'март 2025'!$J$5:$J$2427,X$1)</f>
        <v>0</v>
      </c>
      <c r="Y110" s="183">
        <f>SUMIFS('март 2025'!$G$5:$G$2427,'март 2025'!$D$5:$D$2427,$B110,'март 2025'!$J$5:$J$2427,Y$1)</f>
        <v>0</v>
      </c>
      <c r="Z110" s="183">
        <f>SUMIFS('март 2025'!$G$5:$G$2427,'март 2025'!$D$5:$D$2427,$B110,'март 2025'!$J$5:$J$2427,Z$1)</f>
        <v>0</v>
      </c>
      <c r="AA110" s="183">
        <f>SUMIFS('март 2025'!$G$5:$G$2427,'март 2025'!$D$5:$D$2427,$B110,'март 2025'!$J$5:$J$2427,AA$1)</f>
        <v>0</v>
      </c>
      <c r="AB110" s="183">
        <f>SUMIFS('март 2025'!$G$5:$G$2427,'март 2025'!$D$5:$D$2427,$B110,'март 2025'!$J$5:$J$2427,AB$1)</f>
        <v>0</v>
      </c>
      <c r="AC110" s="183">
        <f>SUMIFS('март 2025'!$G$5:$G$2427,'март 2025'!$D$5:$D$2427,$B110,'март 2025'!$J$5:$J$2427,AC$1)</f>
        <v>0</v>
      </c>
      <c r="AD110" s="183">
        <f>SUMIFS('март 2025'!$G$5:$G$2427,'март 2025'!$D$5:$D$2427,$B110,'март 2025'!$J$5:$J$2427,AD$1)</f>
        <v>0</v>
      </c>
      <c r="AE110" s="183">
        <f>SUMIFS('март 2025'!$G$5:$G$2427,'март 2025'!$D$5:$D$2427,$B110,'март 2025'!$J$5:$J$2427,AE$1)</f>
        <v>0</v>
      </c>
      <c r="AF110" s="183">
        <f>SUMIFS('март 2025'!$G$5:$G$2427,'март 2025'!$D$5:$D$2427,$B110,'март 2025'!$J$5:$J$2427,AF$1)</f>
        <v>0</v>
      </c>
      <c r="AG110" s="183">
        <f>SUMIFS('март 2025'!$G$5:$G$2427,'март 2025'!$D$5:$D$2427,$B110,'март 2025'!$J$5:$J$2427,AG$1)</f>
        <v>0</v>
      </c>
      <c r="AH110" s="183">
        <f>SUMIFS('март 2025'!$G$5:$G$2427,'март 2025'!$D$5:$D$2427,$B110,'март 2025'!$J$5:$J$2427,AH$1)</f>
        <v>0</v>
      </c>
      <c r="AI110" s="20">
        <f t="shared" si="1"/>
        <v>0</v>
      </c>
    </row>
    <row r="111" spans="2:35" ht="15" customHeight="1" x14ac:dyDescent="0.25">
      <c r="B111" s="88" t="s">
        <v>262</v>
      </c>
      <c r="C111" s="86">
        <v>200</v>
      </c>
      <c r="D111" s="183">
        <f>SUMIFS('март 2025'!$G$5:$G$2427,'март 2025'!$D$5:$D$2427,$B111,'март 2025'!$J$5:$J$2427,D$1)</f>
        <v>0</v>
      </c>
      <c r="E111" s="183">
        <f>SUMIFS('март 2025'!$G$5:$G$2427,'март 2025'!$D$5:$D$2427,$B111,'март 2025'!$J$5:$J$2427,E$1)</f>
        <v>0</v>
      </c>
      <c r="F111" s="183">
        <f>SUMIFS('март 2025'!$G$5:$G$2427,'март 2025'!$D$5:$D$2427,$B111,'март 2025'!$J$5:$J$2427,F$1)</f>
        <v>0</v>
      </c>
      <c r="G111" s="183">
        <f>SUMIFS('март 2025'!$G$5:$G$2427,'март 2025'!$D$5:$D$2427,$B111,'март 2025'!$J$5:$J$2427,G$1)</f>
        <v>0</v>
      </c>
      <c r="H111" s="183">
        <f>SUMIFS('март 2025'!$G$5:$G$2427,'март 2025'!$D$5:$D$2427,$B111,'март 2025'!$J$5:$J$2427,H$1)</f>
        <v>0</v>
      </c>
      <c r="I111" s="183">
        <f>SUMIFS('март 2025'!$G$5:$G$2427,'март 2025'!$D$5:$D$2427,$B111,'март 2025'!$J$5:$J$2427,I$1)</f>
        <v>0</v>
      </c>
      <c r="J111" s="183">
        <f>SUMIFS('март 2025'!$G$5:$G$2427,'март 2025'!$D$5:$D$2427,$B111,'март 2025'!$J$5:$J$2427,J$1)</f>
        <v>0</v>
      </c>
      <c r="K111" s="183">
        <f>SUMIFS('март 2025'!$G$5:$G$2427,'март 2025'!$D$5:$D$2427,$B111,'март 2025'!$J$5:$J$2427,K$1)</f>
        <v>0</v>
      </c>
      <c r="L111" s="183">
        <f>SUMIFS('март 2025'!$G$5:$G$2427,'март 2025'!$D$5:$D$2427,$B111,'март 2025'!$J$5:$J$2427,L$1)</f>
        <v>0</v>
      </c>
      <c r="M111" s="183">
        <f>SUMIFS('март 2025'!$G$5:$G$2427,'март 2025'!$D$5:$D$2427,$B111,'март 2025'!$J$5:$J$2427,M$1)</f>
        <v>0</v>
      </c>
      <c r="N111" s="183">
        <f>SUMIFS('март 2025'!$G$5:$G$2427,'март 2025'!$D$5:$D$2427,$B111,'март 2025'!$J$5:$J$2427,N$1)</f>
        <v>0</v>
      </c>
      <c r="O111" s="183">
        <f>SUMIFS('март 2025'!$G$5:$G$2427,'март 2025'!$D$5:$D$2427,$B111,'март 2025'!$J$5:$J$2427,O$1)</f>
        <v>0</v>
      </c>
      <c r="P111" s="183">
        <f>SUMIFS('март 2025'!$G$5:$G$2427,'март 2025'!$D$5:$D$2427,$B111,'март 2025'!$J$5:$J$2427,P$1)</f>
        <v>0</v>
      </c>
      <c r="Q111" s="183">
        <f>SUMIFS('март 2025'!$G$5:$G$2427,'март 2025'!$D$5:$D$2427,$B111,'март 2025'!$J$5:$J$2427,Q$1)</f>
        <v>0</v>
      </c>
      <c r="R111" s="183">
        <f>SUMIFS('март 2025'!$G$5:$G$2427,'март 2025'!$D$5:$D$2427,$B111,'март 2025'!$J$5:$J$2427,R$1)</f>
        <v>0</v>
      </c>
      <c r="S111" s="183">
        <f>SUMIFS('март 2025'!$G$5:$G$2427,'март 2025'!$D$5:$D$2427,$B111,'март 2025'!$J$5:$J$2427,S$1)</f>
        <v>0</v>
      </c>
      <c r="T111" s="183">
        <f>SUMIFS('март 2025'!$G$5:$G$2427,'март 2025'!$D$5:$D$2427,$B111,'март 2025'!$J$5:$J$2427,T$1)</f>
        <v>0</v>
      </c>
      <c r="U111" s="183">
        <f>SUMIFS('март 2025'!$G$5:$G$2427,'март 2025'!$D$5:$D$2427,$B111,'март 2025'!$J$5:$J$2427,U$1)</f>
        <v>0</v>
      </c>
      <c r="V111" s="183">
        <f>SUMIFS('март 2025'!$G$5:$G$2427,'март 2025'!$D$5:$D$2427,$B111,'март 2025'!$J$5:$J$2427,V$1)</f>
        <v>0</v>
      </c>
      <c r="W111" s="183">
        <f>SUMIFS('март 2025'!$G$5:$G$2427,'март 2025'!$D$5:$D$2427,$B111,'март 2025'!$J$5:$J$2427,W$1)</f>
        <v>0</v>
      </c>
      <c r="X111" s="183">
        <f>SUMIFS('март 2025'!$G$5:$G$2427,'март 2025'!$D$5:$D$2427,$B111,'март 2025'!$J$5:$J$2427,X$1)</f>
        <v>0</v>
      </c>
      <c r="Y111" s="183">
        <f>SUMIFS('март 2025'!$G$5:$G$2427,'март 2025'!$D$5:$D$2427,$B111,'март 2025'!$J$5:$J$2427,Y$1)</f>
        <v>0</v>
      </c>
      <c r="Z111" s="183">
        <f>SUMIFS('март 2025'!$G$5:$G$2427,'март 2025'!$D$5:$D$2427,$B111,'март 2025'!$J$5:$J$2427,Z$1)</f>
        <v>0</v>
      </c>
      <c r="AA111" s="183">
        <f>SUMIFS('март 2025'!$G$5:$G$2427,'март 2025'!$D$5:$D$2427,$B111,'март 2025'!$J$5:$J$2427,AA$1)</f>
        <v>0</v>
      </c>
      <c r="AB111" s="183">
        <f>SUMIFS('март 2025'!$G$5:$G$2427,'март 2025'!$D$5:$D$2427,$B111,'март 2025'!$J$5:$J$2427,AB$1)</f>
        <v>0</v>
      </c>
      <c r="AC111" s="183">
        <f>SUMIFS('март 2025'!$G$5:$G$2427,'март 2025'!$D$5:$D$2427,$B111,'март 2025'!$J$5:$J$2427,AC$1)</f>
        <v>0</v>
      </c>
      <c r="AD111" s="183">
        <f>SUMIFS('март 2025'!$G$5:$G$2427,'март 2025'!$D$5:$D$2427,$B111,'март 2025'!$J$5:$J$2427,AD$1)</f>
        <v>0</v>
      </c>
      <c r="AE111" s="183">
        <f>SUMIFS('март 2025'!$G$5:$G$2427,'март 2025'!$D$5:$D$2427,$B111,'март 2025'!$J$5:$J$2427,AE$1)</f>
        <v>0</v>
      </c>
      <c r="AF111" s="183">
        <f>SUMIFS('март 2025'!$G$5:$G$2427,'март 2025'!$D$5:$D$2427,$B111,'март 2025'!$J$5:$J$2427,AF$1)</f>
        <v>0</v>
      </c>
      <c r="AG111" s="183">
        <f>SUMIFS('март 2025'!$G$5:$G$2427,'март 2025'!$D$5:$D$2427,$B111,'март 2025'!$J$5:$J$2427,AG$1)</f>
        <v>0</v>
      </c>
      <c r="AH111" s="183">
        <f>SUMIFS('март 2025'!$G$5:$G$2427,'март 2025'!$D$5:$D$2427,$B111,'март 2025'!$J$5:$J$2427,AH$1)</f>
        <v>0</v>
      </c>
      <c r="AI111" s="20">
        <f t="shared" si="1"/>
        <v>0</v>
      </c>
    </row>
    <row r="112" spans="2:35" ht="15" customHeight="1" x14ac:dyDescent="0.25">
      <c r="B112" s="88" t="s">
        <v>263</v>
      </c>
      <c r="C112" s="86">
        <v>200</v>
      </c>
      <c r="D112" s="183">
        <f>SUMIFS('март 2025'!$G$5:$G$2427,'март 2025'!$D$5:$D$2427,$B112,'март 2025'!$J$5:$J$2427,D$1)</f>
        <v>0</v>
      </c>
      <c r="E112" s="183">
        <f>SUMIFS('март 2025'!$G$5:$G$2427,'март 2025'!$D$5:$D$2427,$B112,'март 2025'!$J$5:$J$2427,E$1)</f>
        <v>0</v>
      </c>
      <c r="F112" s="183">
        <f>SUMIFS('март 2025'!$G$5:$G$2427,'март 2025'!$D$5:$D$2427,$B112,'март 2025'!$J$5:$J$2427,F$1)</f>
        <v>0</v>
      </c>
      <c r="G112" s="183">
        <f>SUMIFS('март 2025'!$G$5:$G$2427,'март 2025'!$D$5:$D$2427,$B112,'март 2025'!$J$5:$J$2427,G$1)</f>
        <v>0</v>
      </c>
      <c r="H112" s="183">
        <f>SUMIFS('март 2025'!$G$5:$G$2427,'март 2025'!$D$5:$D$2427,$B112,'март 2025'!$J$5:$J$2427,H$1)</f>
        <v>0</v>
      </c>
      <c r="I112" s="183">
        <f>SUMIFS('март 2025'!$G$5:$G$2427,'март 2025'!$D$5:$D$2427,$B112,'март 2025'!$J$5:$J$2427,I$1)</f>
        <v>0</v>
      </c>
      <c r="J112" s="183">
        <f>SUMIFS('март 2025'!$G$5:$G$2427,'март 2025'!$D$5:$D$2427,$B112,'март 2025'!$J$5:$J$2427,J$1)</f>
        <v>0</v>
      </c>
      <c r="K112" s="183">
        <f>SUMIFS('март 2025'!$G$5:$G$2427,'март 2025'!$D$5:$D$2427,$B112,'март 2025'!$J$5:$J$2427,K$1)</f>
        <v>0</v>
      </c>
      <c r="L112" s="183">
        <f>SUMIFS('март 2025'!$G$5:$G$2427,'март 2025'!$D$5:$D$2427,$B112,'март 2025'!$J$5:$J$2427,L$1)</f>
        <v>0</v>
      </c>
      <c r="M112" s="183">
        <f>SUMIFS('март 2025'!$G$5:$G$2427,'март 2025'!$D$5:$D$2427,$B112,'март 2025'!$J$5:$J$2427,M$1)</f>
        <v>0</v>
      </c>
      <c r="N112" s="183">
        <f>SUMIFS('март 2025'!$G$5:$G$2427,'март 2025'!$D$5:$D$2427,$B112,'март 2025'!$J$5:$J$2427,N$1)</f>
        <v>0</v>
      </c>
      <c r="O112" s="183">
        <f>SUMIFS('март 2025'!$G$5:$G$2427,'март 2025'!$D$5:$D$2427,$B112,'март 2025'!$J$5:$J$2427,O$1)</f>
        <v>0</v>
      </c>
      <c r="P112" s="183">
        <f>SUMIFS('март 2025'!$G$5:$G$2427,'март 2025'!$D$5:$D$2427,$B112,'март 2025'!$J$5:$J$2427,P$1)</f>
        <v>0</v>
      </c>
      <c r="Q112" s="183">
        <f>SUMIFS('март 2025'!$G$5:$G$2427,'март 2025'!$D$5:$D$2427,$B112,'март 2025'!$J$5:$J$2427,Q$1)</f>
        <v>0</v>
      </c>
      <c r="R112" s="183">
        <f>SUMIFS('март 2025'!$G$5:$G$2427,'март 2025'!$D$5:$D$2427,$B112,'март 2025'!$J$5:$J$2427,R$1)</f>
        <v>0</v>
      </c>
      <c r="S112" s="183">
        <f>SUMIFS('март 2025'!$G$5:$G$2427,'март 2025'!$D$5:$D$2427,$B112,'март 2025'!$J$5:$J$2427,S$1)</f>
        <v>0</v>
      </c>
      <c r="T112" s="183">
        <f>SUMIFS('март 2025'!$G$5:$G$2427,'март 2025'!$D$5:$D$2427,$B112,'март 2025'!$J$5:$J$2427,T$1)</f>
        <v>0</v>
      </c>
      <c r="U112" s="183">
        <f>SUMIFS('март 2025'!$G$5:$G$2427,'март 2025'!$D$5:$D$2427,$B112,'март 2025'!$J$5:$J$2427,U$1)</f>
        <v>0</v>
      </c>
      <c r="V112" s="183">
        <f>SUMIFS('март 2025'!$G$5:$G$2427,'март 2025'!$D$5:$D$2427,$B112,'март 2025'!$J$5:$J$2427,V$1)</f>
        <v>0</v>
      </c>
      <c r="W112" s="183">
        <f>SUMIFS('март 2025'!$G$5:$G$2427,'март 2025'!$D$5:$D$2427,$B112,'март 2025'!$J$5:$J$2427,W$1)</f>
        <v>0</v>
      </c>
      <c r="X112" s="183">
        <f>SUMIFS('март 2025'!$G$5:$G$2427,'март 2025'!$D$5:$D$2427,$B112,'март 2025'!$J$5:$J$2427,X$1)</f>
        <v>0</v>
      </c>
      <c r="Y112" s="183">
        <f>SUMIFS('март 2025'!$G$5:$G$2427,'март 2025'!$D$5:$D$2427,$B112,'март 2025'!$J$5:$J$2427,Y$1)</f>
        <v>0</v>
      </c>
      <c r="Z112" s="183">
        <f>SUMIFS('март 2025'!$G$5:$G$2427,'март 2025'!$D$5:$D$2427,$B112,'март 2025'!$J$5:$J$2427,Z$1)</f>
        <v>0</v>
      </c>
      <c r="AA112" s="183">
        <f>SUMIFS('март 2025'!$G$5:$G$2427,'март 2025'!$D$5:$D$2427,$B112,'март 2025'!$J$5:$J$2427,AA$1)</f>
        <v>0</v>
      </c>
      <c r="AB112" s="183">
        <f>SUMIFS('март 2025'!$G$5:$G$2427,'март 2025'!$D$5:$D$2427,$B112,'март 2025'!$J$5:$J$2427,AB$1)</f>
        <v>0</v>
      </c>
      <c r="AC112" s="183">
        <f>SUMIFS('март 2025'!$G$5:$G$2427,'март 2025'!$D$5:$D$2427,$B112,'март 2025'!$J$5:$J$2427,AC$1)</f>
        <v>0</v>
      </c>
      <c r="AD112" s="183">
        <f>SUMIFS('март 2025'!$G$5:$G$2427,'март 2025'!$D$5:$D$2427,$B112,'март 2025'!$J$5:$J$2427,AD$1)</f>
        <v>0</v>
      </c>
      <c r="AE112" s="183">
        <f>SUMIFS('март 2025'!$G$5:$G$2427,'март 2025'!$D$5:$D$2427,$B112,'март 2025'!$J$5:$J$2427,AE$1)</f>
        <v>0</v>
      </c>
      <c r="AF112" s="183">
        <f>SUMIFS('март 2025'!$G$5:$G$2427,'март 2025'!$D$5:$D$2427,$B112,'март 2025'!$J$5:$J$2427,AF$1)</f>
        <v>0</v>
      </c>
      <c r="AG112" s="183">
        <f>SUMIFS('март 2025'!$G$5:$G$2427,'март 2025'!$D$5:$D$2427,$B112,'март 2025'!$J$5:$J$2427,AG$1)</f>
        <v>0</v>
      </c>
      <c r="AH112" s="183">
        <f>SUMIFS('март 2025'!$G$5:$G$2427,'март 2025'!$D$5:$D$2427,$B112,'март 2025'!$J$5:$J$2427,AH$1)</f>
        <v>0</v>
      </c>
      <c r="AI112" s="20">
        <f t="shared" si="1"/>
        <v>0</v>
      </c>
    </row>
    <row r="113" spans="2:35" ht="15" customHeight="1" x14ac:dyDescent="0.25">
      <c r="B113" s="84" t="s">
        <v>208</v>
      </c>
      <c r="C113" s="83">
        <v>25</v>
      </c>
      <c r="D113" s="183">
        <f>SUMIFS('март 2025'!$G$5:$G$2427,'март 2025'!$D$5:$D$2427,$B113,'март 2025'!$J$5:$J$2427,D$1)</f>
        <v>0</v>
      </c>
      <c r="E113" s="183">
        <f>SUMIFS('март 2025'!$G$5:$G$2427,'март 2025'!$D$5:$D$2427,$B113,'март 2025'!$J$5:$J$2427,E$1)</f>
        <v>0</v>
      </c>
      <c r="F113" s="183">
        <f>SUMIFS('март 2025'!$G$5:$G$2427,'март 2025'!$D$5:$D$2427,$B113,'март 2025'!$J$5:$J$2427,F$1)</f>
        <v>0</v>
      </c>
      <c r="G113" s="183">
        <f>SUMIFS('март 2025'!$G$5:$G$2427,'март 2025'!$D$5:$D$2427,$B113,'март 2025'!$J$5:$J$2427,G$1)</f>
        <v>0</v>
      </c>
      <c r="H113" s="183">
        <f>SUMIFS('март 2025'!$G$5:$G$2427,'март 2025'!$D$5:$D$2427,$B113,'март 2025'!$J$5:$J$2427,H$1)</f>
        <v>0</v>
      </c>
      <c r="I113" s="183">
        <f>SUMIFS('март 2025'!$G$5:$G$2427,'март 2025'!$D$5:$D$2427,$B113,'март 2025'!$J$5:$J$2427,I$1)</f>
        <v>0</v>
      </c>
      <c r="J113" s="183">
        <f>SUMIFS('март 2025'!$G$5:$G$2427,'март 2025'!$D$5:$D$2427,$B113,'март 2025'!$J$5:$J$2427,J$1)</f>
        <v>0</v>
      </c>
      <c r="K113" s="183">
        <f>SUMIFS('март 2025'!$G$5:$G$2427,'март 2025'!$D$5:$D$2427,$B113,'март 2025'!$J$5:$J$2427,K$1)</f>
        <v>0</v>
      </c>
      <c r="L113" s="183">
        <f>SUMIFS('март 2025'!$G$5:$G$2427,'март 2025'!$D$5:$D$2427,$B113,'март 2025'!$J$5:$J$2427,L$1)</f>
        <v>0</v>
      </c>
      <c r="M113" s="183">
        <f>SUMIFS('март 2025'!$G$5:$G$2427,'март 2025'!$D$5:$D$2427,$B113,'март 2025'!$J$5:$J$2427,M$1)</f>
        <v>0</v>
      </c>
      <c r="N113" s="183">
        <f>SUMIFS('март 2025'!$G$5:$G$2427,'март 2025'!$D$5:$D$2427,$B113,'март 2025'!$J$5:$J$2427,N$1)</f>
        <v>0</v>
      </c>
      <c r="O113" s="183">
        <f>SUMIFS('март 2025'!$G$5:$G$2427,'март 2025'!$D$5:$D$2427,$B113,'март 2025'!$J$5:$J$2427,O$1)</f>
        <v>0</v>
      </c>
      <c r="P113" s="183">
        <f>SUMIFS('март 2025'!$G$5:$G$2427,'март 2025'!$D$5:$D$2427,$B113,'март 2025'!$J$5:$J$2427,P$1)</f>
        <v>0</v>
      </c>
      <c r="Q113" s="183">
        <f>SUMIFS('март 2025'!$G$5:$G$2427,'март 2025'!$D$5:$D$2427,$B113,'март 2025'!$J$5:$J$2427,Q$1)</f>
        <v>0</v>
      </c>
      <c r="R113" s="183">
        <f>SUMIFS('март 2025'!$G$5:$G$2427,'март 2025'!$D$5:$D$2427,$B113,'март 2025'!$J$5:$J$2427,R$1)</f>
        <v>0</v>
      </c>
      <c r="S113" s="183">
        <f>SUMIFS('март 2025'!$G$5:$G$2427,'март 2025'!$D$5:$D$2427,$B113,'март 2025'!$J$5:$J$2427,S$1)</f>
        <v>0</v>
      </c>
      <c r="T113" s="183">
        <f>SUMIFS('март 2025'!$G$5:$G$2427,'март 2025'!$D$5:$D$2427,$B113,'март 2025'!$J$5:$J$2427,T$1)</f>
        <v>0</v>
      </c>
      <c r="U113" s="183">
        <f>SUMIFS('март 2025'!$G$5:$G$2427,'март 2025'!$D$5:$D$2427,$B113,'март 2025'!$J$5:$J$2427,U$1)</f>
        <v>0</v>
      </c>
      <c r="V113" s="183">
        <f>SUMIFS('март 2025'!$G$5:$G$2427,'март 2025'!$D$5:$D$2427,$B113,'март 2025'!$J$5:$J$2427,V$1)</f>
        <v>0</v>
      </c>
      <c r="W113" s="183">
        <f>SUMIFS('март 2025'!$G$5:$G$2427,'март 2025'!$D$5:$D$2427,$B113,'март 2025'!$J$5:$J$2427,W$1)</f>
        <v>0</v>
      </c>
      <c r="X113" s="183">
        <f>SUMIFS('март 2025'!$G$5:$G$2427,'март 2025'!$D$5:$D$2427,$B113,'март 2025'!$J$5:$J$2427,X$1)</f>
        <v>0</v>
      </c>
      <c r="Y113" s="183">
        <f>SUMIFS('март 2025'!$G$5:$G$2427,'март 2025'!$D$5:$D$2427,$B113,'март 2025'!$J$5:$J$2427,Y$1)</f>
        <v>0</v>
      </c>
      <c r="Z113" s="183">
        <f>SUMIFS('март 2025'!$G$5:$G$2427,'март 2025'!$D$5:$D$2427,$B113,'март 2025'!$J$5:$J$2427,Z$1)</f>
        <v>0</v>
      </c>
      <c r="AA113" s="183">
        <f>SUMIFS('март 2025'!$G$5:$G$2427,'март 2025'!$D$5:$D$2427,$B113,'март 2025'!$J$5:$J$2427,AA$1)</f>
        <v>0</v>
      </c>
      <c r="AB113" s="183">
        <f>SUMIFS('март 2025'!$G$5:$G$2427,'март 2025'!$D$5:$D$2427,$B113,'март 2025'!$J$5:$J$2427,AB$1)</f>
        <v>0</v>
      </c>
      <c r="AC113" s="183">
        <f>SUMIFS('март 2025'!$G$5:$G$2427,'март 2025'!$D$5:$D$2427,$B113,'март 2025'!$J$5:$J$2427,AC$1)</f>
        <v>0</v>
      </c>
      <c r="AD113" s="183">
        <f>SUMIFS('март 2025'!$G$5:$G$2427,'март 2025'!$D$5:$D$2427,$B113,'март 2025'!$J$5:$J$2427,AD$1)</f>
        <v>0</v>
      </c>
      <c r="AE113" s="183">
        <f>SUMIFS('март 2025'!$G$5:$G$2427,'март 2025'!$D$5:$D$2427,$B113,'март 2025'!$J$5:$J$2427,AE$1)</f>
        <v>0</v>
      </c>
      <c r="AF113" s="183">
        <f>SUMIFS('март 2025'!$G$5:$G$2427,'март 2025'!$D$5:$D$2427,$B113,'март 2025'!$J$5:$J$2427,AF$1)</f>
        <v>0</v>
      </c>
      <c r="AG113" s="183">
        <f>SUMIFS('март 2025'!$G$5:$G$2427,'март 2025'!$D$5:$D$2427,$B113,'март 2025'!$J$5:$J$2427,AG$1)</f>
        <v>0</v>
      </c>
      <c r="AH113" s="183">
        <f>SUMIFS('март 2025'!$G$5:$G$2427,'март 2025'!$D$5:$D$2427,$B113,'март 2025'!$J$5:$J$2427,AH$1)</f>
        <v>0</v>
      </c>
      <c r="AI113" s="20">
        <f t="shared" si="1"/>
        <v>0</v>
      </c>
    </row>
    <row r="114" spans="2:35" ht="15" customHeight="1" x14ac:dyDescent="0.25">
      <c r="B114" s="88" t="s">
        <v>264</v>
      </c>
      <c r="C114" s="86">
        <v>50</v>
      </c>
      <c r="D114" s="183">
        <f>SUMIFS('март 2025'!$G$5:$G$2427,'март 2025'!$D$5:$D$2427,$B114,'март 2025'!$J$5:$J$2427,D$1)</f>
        <v>0</v>
      </c>
      <c r="E114" s="183">
        <f>SUMIFS('март 2025'!$G$5:$G$2427,'март 2025'!$D$5:$D$2427,$B114,'март 2025'!$J$5:$J$2427,E$1)</f>
        <v>0</v>
      </c>
      <c r="F114" s="183">
        <f>SUMIFS('март 2025'!$G$5:$G$2427,'март 2025'!$D$5:$D$2427,$B114,'март 2025'!$J$5:$J$2427,F$1)</f>
        <v>0</v>
      </c>
      <c r="G114" s="183">
        <f>SUMIFS('март 2025'!$G$5:$G$2427,'март 2025'!$D$5:$D$2427,$B114,'март 2025'!$J$5:$J$2427,G$1)</f>
        <v>0</v>
      </c>
      <c r="H114" s="183">
        <f>SUMIFS('март 2025'!$G$5:$G$2427,'март 2025'!$D$5:$D$2427,$B114,'март 2025'!$J$5:$J$2427,H$1)</f>
        <v>0</v>
      </c>
      <c r="I114" s="183">
        <f>SUMIFS('март 2025'!$G$5:$G$2427,'март 2025'!$D$5:$D$2427,$B114,'март 2025'!$J$5:$J$2427,I$1)</f>
        <v>0</v>
      </c>
      <c r="J114" s="183">
        <f>SUMIFS('март 2025'!$G$5:$G$2427,'март 2025'!$D$5:$D$2427,$B114,'март 2025'!$J$5:$J$2427,J$1)</f>
        <v>0</v>
      </c>
      <c r="K114" s="183">
        <f>SUMIFS('март 2025'!$G$5:$G$2427,'март 2025'!$D$5:$D$2427,$B114,'март 2025'!$J$5:$J$2427,K$1)</f>
        <v>0</v>
      </c>
      <c r="L114" s="183">
        <f>SUMIFS('март 2025'!$G$5:$G$2427,'март 2025'!$D$5:$D$2427,$B114,'март 2025'!$J$5:$J$2427,L$1)</f>
        <v>0</v>
      </c>
      <c r="M114" s="183">
        <f>SUMIFS('март 2025'!$G$5:$G$2427,'март 2025'!$D$5:$D$2427,$B114,'март 2025'!$J$5:$J$2427,M$1)</f>
        <v>0</v>
      </c>
      <c r="N114" s="183">
        <f>SUMIFS('март 2025'!$G$5:$G$2427,'март 2025'!$D$5:$D$2427,$B114,'март 2025'!$J$5:$J$2427,N$1)</f>
        <v>0</v>
      </c>
      <c r="O114" s="183">
        <f>SUMIFS('март 2025'!$G$5:$G$2427,'март 2025'!$D$5:$D$2427,$B114,'март 2025'!$J$5:$J$2427,O$1)</f>
        <v>0</v>
      </c>
      <c r="P114" s="183">
        <f>SUMIFS('март 2025'!$G$5:$G$2427,'март 2025'!$D$5:$D$2427,$B114,'март 2025'!$J$5:$J$2427,P$1)</f>
        <v>0</v>
      </c>
      <c r="Q114" s="183">
        <f>SUMIFS('март 2025'!$G$5:$G$2427,'март 2025'!$D$5:$D$2427,$B114,'март 2025'!$J$5:$J$2427,Q$1)</f>
        <v>0</v>
      </c>
      <c r="R114" s="183">
        <f>SUMIFS('март 2025'!$G$5:$G$2427,'март 2025'!$D$5:$D$2427,$B114,'март 2025'!$J$5:$J$2427,R$1)</f>
        <v>0</v>
      </c>
      <c r="S114" s="183">
        <f>SUMIFS('март 2025'!$G$5:$G$2427,'март 2025'!$D$5:$D$2427,$B114,'март 2025'!$J$5:$J$2427,S$1)</f>
        <v>0</v>
      </c>
      <c r="T114" s="183">
        <f>SUMIFS('март 2025'!$G$5:$G$2427,'март 2025'!$D$5:$D$2427,$B114,'март 2025'!$J$5:$J$2427,T$1)</f>
        <v>0</v>
      </c>
      <c r="U114" s="183">
        <f>SUMIFS('март 2025'!$G$5:$G$2427,'март 2025'!$D$5:$D$2427,$B114,'март 2025'!$J$5:$J$2427,U$1)</f>
        <v>0</v>
      </c>
      <c r="V114" s="183">
        <f>SUMIFS('март 2025'!$G$5:$G$2427,'март 2025'!$D$5:$D$2427,$B114,'март 2025'!$J$5:$J$2427,V$1)</f>
        <v>0</v>
      </c>
      <c r="W114" s="183">
        <f>SUMIFS('март 2025'!$G$5:$G$2427,'март 2025'!$D$5:$D$2427,$B114,'март 2025'!$J$5:$J$2427,W$1)</f>
        <v>0</v>
      </c>
      <c r="X114" s="183">
        <f>SUMIFS('март 2025'!$G$5:$G$2427,'март 2025'!$D$5:$D$2427,$B114,'март 2025'!$J$5:$J$2427,X$1)</f>
        <v>0</v>
      </c>
      <c r="Y114" s="183">
        <f>SUMIFS('март 2025'!$G$5:$G$2427,'март 2025'!$D$5:$D$2427,$B114,'март 2025'!$J$5:$J$2427,Y$1)</f>
        <v>0</v>
      </c>
      <c r="Z114" s="183">
        <f>SUMIFS('март 2025'!$G$5:$G$2427,'март 2025'!$D$5:$D$2427,$B114,'март 2025'!$J$5:$J$2427,Z$1)</f>
        <v>0</v>
      </c>
      <c r="AA114" s="183">
        <f>SUMIFS('март 2025'!$G$5:$G$2427,'март 2025'!$D$5:$D$2427,$B114,'март 2025'!$J$5:$J$2427,AA$1)</f>
        <v>0</v>
      </c>
      <c r="AB114" s="183">
        <f>SUMIFS('март 2025'!$G$5:$G$2427,'март 2025'!$D$5:$D$2427,$B114,'март 2025'!$J$5:$J$2427,AB$1)</f>
        <v>0</v>
      </c>
      <c r="AC114" s="183">
        <f>SUMIFS('март 2025'!$G$5:$G$2427,'март 2025'!$D$5:$D$2427,$B114,'март 2025'!$J$5:$J$2427,AC$1)</f>
        <v>0</v>
      </c>
      <c r="AD114" s="183">
        <f>SUMIFS('март 2025'!$G$5:$G$2427,'март 2025'!$D$5:$D$2427,$B114,'март 2025'!$J$5:$J$2427,AD$1)</f>
        <v>0</v>
      </c>
      <c r="AE114" s="183">
        <f>SUMIFS('март 2025'!$G$5:$G$2427,'март 2025'!$D$5:$D$2427,$B114,'март 2025'!$J$5:$J$2427,AE$1)</f>
        <v>0</v>
      </c>
      <c r="AF114" s="183">
        <f>SUMIFS('март 2025'!$G$5:$G$2427,'март 2025'!$D$5:$D$2427,$B114,'март 2025'!$J$5:$J$2427,AF$1)</f>
        <v>0</v>
      </c>
      <c r="AG114" s="183">
        <f>SUMIFS('март 2025'!$G$5:$G$2427,'март 2025'!$D$5:$D$2427,$B114,'март 2025'!$J$5:$J$2427,AG$1)</f>
        <v>0</v>
      </c>
      <c r="AH114" s="183">
        <f>SUMIFS('март 2025'!$G$5:$G$2427,'март 2025'!$D$5:$D$2427,$B114,'март 2025'!$J$5:$J$2427,AH$1)</f>
        <v>0</v>
      </c>
      <c r="AI114" s="20">
        <f t="shared" si="1"/>
        <v>0</v>
      </c>
    </row>
    <row r="115" spans="2:35" ht="15" customHeight="1" x14ac:dyDescent="0.25">
      <c r="B115" s="88" t="s">
        <v>185</v>
      </c>
      <c r="C115" s="86">
        <v>180</v>
      </c>
      <c r="D115" s="183">
        <f>SUMIFS('март 2025'!$G$5:$G$2427,'март 2025'!$D$5:$D$2427,$B115,'март 2025'!$J$5:$J$2427,D$1)</f>
        <v>0</v>
      </c>
      <c r="E115" s="183">
        <f>SUMIFS('март 2025'!$G$5:$G$2427,'март 2025'!$D$5:$D$2427,$B115,'март 2025'!$J$5:$J$2427,E$1)</f>
        <v>0</v>
      </c>
      <c r="F115" s="183">
        <f>SUMIFS('март 2025'!$G$5:$G$2427,'март 2025'!$D$5:$D$2427,$B115,'март 2025'!$J$5:$J$2427,F$1)</f>
        <v>0</v>
      </c>
      <c r="G115" s="183">
        <f>SUMIFS('март 2025'!$G$5:$G$2427,'март 2025'!$D$5:$D$2427,$B115,'март 2025'!$J$5:$J$2427,G$1)</f>
        <v>0</v>
      </c>
      <c r="H115" s="183">
        <f>SUMIFS('март 2025'!$G$5:$G$2427,'март 2025'!$D$5:$D$2427,$B115,'март 2025'!$J$5:$J$2427,H$1)</f>
        <v>0</v>
      </c>
      <c r="I115" s="183">
        <f>SUMIFS('март 2025'!$G$5:$G$2427,'март 2025'!$D$5:$D$2427,$B115,'март 2025'!$J$5:$J$2427,I$1)</f>
        <v>0</v>
      </c>
      <c r="J115" s="183">
        <f>SUMIFS('март 2025'!$G$5:$G$2427,'март 2025'!$D$5:$D$2427,$B115,'март 2025'!$J$5:$J$2427,J$1)</f>
        <v>0</v>
      </c>
      <c r="K115" s="183">
        <f>SUMIFS('март 2025'!$G$5:$G$2427,'март 2025'!$D$5:$D$2427,$B115,'март 2025'!$J$5:$J$2427,K$1)</f>
        <v>0</v>
      </c>
      <c r="L115" s="183">
        <f>SUMIFS('март 2025'!$G$5:$G$2427,'март 2025'!$D$5:$D$2427,$B115,'март 2025'!$J$5:$J$2427,L$1)</f>
        <v>0</v>
      </c>
      <c r="M115" s="183">
        <f>SUMIFS('март 2025'!$G$5:$G$2427,'март 2025'!$D$5:$D$2427,$B115,'март 2025'!$J$5:$J$2427,M$1)</f>
        <v>0</v>
      </c>
      <c r="N115" s="183">
        <f>SUMIFS('март 2025'!$G$5:$G$2427,'март 2025'!$D$5:$D$2427,$B115,'март 2025'!$J$5:$J$2427,N$1)</f>
        <v>0</v>
      </c>
      <c r="O115" s="183">
        <f>SUMIFS('март 2025'!$G$5:$G$2427,'март 2025'!$D$5:$D$2427,$B115,'март 2025'!$J$5:$J$2427,O$1)</f>
        <v>0</v>
      </c>
      <c r="P115" s="183">
        <f>SUMIFS('март 2025'!$G$5:$G$2427,'март 2025'!$D$5:$D$2427,$B115,'март 2025'!$J$5:$J$2427,P$1)</f>
        <v>0</v>
      </c>
      <c r="Q115" s="183">
        <f>SUMIFS('март 2025'!$G$5:$G$2427,'март 2025'!$D$5:$D$2427,$B115,'март 2025'!$J$5:$J$2427,Q$1)</f>
        <v>0</v>
      </c>
      <c r="R115" s="183">
        <f>SUMIFS('март 2025'!$G$5:$G$2427,'март 2025'!$D$5:$D$2427,$B115,'март 2025'!$J$5:$J$2427,R$1)</f>
        <v>0</v>
      </c>
      <c r="S115" s="183">
        <f>SUMIFS('март 2025'!$G$5:$G$2427,'март 2025'!$D$5:$D$2427,$B115,'март 2025'!$J$5:$J$2427,S$1)</f>
        <v>0</v>
      </c>
      <c r="T115" s="183">
        <f>SUMIFS('март 2025'!$G$5:$G$2427,'март 2025'!$D$5:$D$2427,$B115,'март 2025'!$J$5:$J$2427,T$1)</f>
        <v>0</v>
      </c>
      <c r="U115" s="183">
        <f>SUMIFS('март 2025'!$G$5:$G$2427,'март 2025'!$D$5:$D$2427,$B115,'март 2025'!$J$5:$J$2427,U$1)</f>
        <v>0</v>
      </c>
      <c r="V115" s="183">
        <f>SUMIFS('март 2025'!$G$5:$G$2427,'март 2025'!$D$5:$D$2427,$B115,'март 2025'!$J$5:$J$2427,V$1)</f>
        <v>0</v>
      </c>
      <c r="W115" s="183">
        <f>SUMIFS('март 2025'!$G$5:$G$2427,'март 2025'!$D$5:$D$2427,$B115,'март 2025'!$J$5:$J$2427,W$1)</f>
        <v>0</v>
      </c>
      <c r="X115" s="183">
        <f>SUMIFS('март 2025'!$G$5:$G$2427,'март 2025'!$D$5:$D$2427,$B115,'март 2025'!$J$5:$J$2427,X$1)</f>
        <v>0</v>
      </c>
      <c r="Y115" s="183">
        <f>SUMIFS('март 2025'!$G$5:$G$2427,'март 2025'!$D$5:$D$2427,$B115,'март 2025'!$J$5:$J$2427,Y$1)</f>
        <v>0</v>
      </c>
      <c r="Z115" s="183">
        <f>SUMIFS('март 2025'!$G$5:$G$2427,'март 2025'!$D$5:$D$2427,$B115,'март 2025'!$J$5:$J$2427,Z$1)</f>
        <v>0</v>
      </c>
      <c r="AA115" s="183">
        <f>SUMIFS('март 2025'!$G$5:$G$2427,'март 2025'!$D$5:$D$2427,$B115,'март 2025'!$J$5:$J$2427,AA$1)</f>
        <v>0</v>
      </c>
      <c r="AB115" s="183">
        <f>SUMIFS('март 2025'!$G$5:$G$2427,'март 2025'!$D$5:$D$2427,$B115,'март 2025'!$J$5:$J$2427,AB$1)</f>
        <v>0</v>
      </c>
      <c r="AC115" s="183">
        <f>SUMIFS('март 2025'!$G$5:$G$2427,'март 2025'!$D$5:$D$2427,$B115,'март 2025'!$J$5:$J$2427,AC$1)</f>
        <v>0</v>
      </c>
      <c r="AD115" s="183">
        <f>SUMIFS('март 2025'!$G$5:$G$2427,'март 2025'!$D$5:$D$2427,$B115,'март 2025'!$J$5:$J$2427,AD$1)</f>
        <v>0</v>
      </c>
      <c r="AE115" s="183">
        <f>SUMIFS('март 2025'!$G$5:$G$2427,'март 2025'!$D$5:$D$2427,$B115,'март 2025'!$J$5:$J$2427,AE$1)</f>
        <v>0</v>
      </c>
      <c r="AF115" s="183">
        <f>SUMIFS('март 2025'!$G$5:$G$2427,'март 2025'!$D$5:$D$2427,$B115,'март 2025'!$J$5:$J$2427,AF$1)</f>
        <v>0</v>
      </c>
      <c r="AG115" s="183">
        <f>SUMIFS('март 2025'!$G$5:$G$2427,'март 2025'!$D$5:$D$2427,$B115,'март 2025'!$J$5:$J$2427,AG$1)</f>
        <v>0</v>
      </c>
      <c r="AH115" s="183">
        <f>SUMIFS('март 2025'!$G$5:$G$2427,'март 2025'!$D$5:$D$2427,$B115,'март 2025'!$J$5:$J$2427,AH$1)</f>
        <v>0</v>
      </c>
      <c r="AI115" s="20">
        <f t="shared" si="1"/>
        <v>0</v>
      </c>
    </row>
    <row r="116" spans="2:35" ht="15" customHeight="1" x14ac:dyDescent="0.25">
      <c r="B116" s="88" t="s">
        <v>203</v>
      </c>
      <c r="C116" s="86">
        <v>185</v>
      </c>
      <c r="D116" s="183">
        <f>SUMIFS('март 2025'!$G$5:$G$2427,'март 2025'!$D$5:$D$2427,$B116,'март 2025'!$J$5:$J$2427,D$1)</f>
        <v>0</v>
      </c>
      <c r="E116" s="183">
        <f>SUMIFS('март 2025'!$G$5:$G$2427,'март 2025'!$D$5:$D$2427,$B116,'март 2025'!$J$5:$J$2427,E$1)</f>
        <v>0</v>
      </c>
      <c r="F116" s="183">
        <f>SUMIFS('март 2025'!$G$5:$G$2427,'март 2025'!$D$5:$D$2427,$B116,'март 2025'!$J$5:$J$2427,F$1)</f>
        <v>0</v>
      </c>
      <c r="G116" s="183">
        <f>SUMIFS('март 2025'!$G$5:$G$2427,'март 2025'!$D$5:$D$2427,$B116,'март 2025'!$J$5:$J$2427,G$1)</f>
        <v>0</v>
      </c>
      <c r="H116" s="183">
        <f>SUMIFS('март 2025'!$G$5:$G$2427,'март 2025'!$D$5:$D$2427,$B116,'март 2025'!$J$5:$J$2427,H$1)</f>
        <v>0</v>
      </c>
      <c r="I116" s="183">
        <f>SUMIFS('март 2025'!$G$5:$G$2427,'март 2025'!$D$5:$D$2427,$B116,'март 2025'!$J$5:$J$2427,I$1)</f>
        <v>0</v>
      </c>
      <c r="J116" s="183">
        <f>SUMIFS('март 2025'!$G$5:$G$2427,'март 2025'!$D$5:$D$2427,$B116,'март 2025'!$J$5:$J$2427,J$1)</f>
        <v>0</v>
      </c>
      <c r="K116" s="183">
        <f>SUMIFS('март 2025'!$G$5:$G$2427,'март 2025'!$D$5:$D$2427,$B116,'март 2025'!$J$5:$J$2427,K$1)</f>
        <v>0</v>
      </c>
      <c r="L116" s="183">
        <f>SUMIFS('март 2025'!$G$5:$G$2427,'март 2025'!$D$5:$D$2427,$B116,'март 2025'!$J$5:$J$2427,L$1)</f>
        <v>0</v>
      </c>
      <c r="M116" s="183">
        <f>SUMIFS('март 2025'!$G$5:$G$2427,'март 2025'!$D$5:$D$2427,$B116,'март 2025'!$J$5:$J$2427,M$1)</f>
        <v>0</v>
      </c>
      <c r="N116" s="183">
        <f>SUMIFS('март 2025'!$G$5:$G$2427,'март 2025'!$D$5:$D$2427,$B116,'март 2025'!$J$5:$J$2427,N$1)</f>
        <v>0</v>
      </c>
      <c r="O116" s="183">
        <f>SUMIFS('март 2025'!$G$5:$G$2427,'март 2025'!$D$5:$D$2427,$B116,'март 2025'!$J$5:$J$2427,O$1)</f>
        <v>0</v>
      </c>
      <c r="P116" s="183">
        <f>SUMIFS('март 2025'!$G$5:$G$2427,'март 2025'!$D$5:$D$2427,$B116,'март 2025'!$J$5:$J$2427,P$1)</f>
        <v>0</v>
      </c>
      <c r="Q116" s="183">
        <f>SUMIFS('март 2025'!$G$5:$G$2427,'март 2025'!$D$5:$D$2427,$B116,'март 2025'!$J$5:$J$2427,Q$1)</f>
        <v>0</v>
      </c>
      <c r="R116" s="183">
        <f>SUMIFS('март 2025'!$G$5:$G$2427,'март 2025'!$D$5:$D$2427,$B116,'март 2025'!$J$5:$J$2427,R$1)</f>
        <v>0</v>
      </c>
      <c r="S116" s="183">
        <f>SUMIFS('март 2025'!$G$5:$G$2427,'март 2025'!$D$5:$D$2427,$B116,'март 2025'!$J$5:$J$2427,S$1)</f>
        <v>0</v>
      </c>
      <c r="T116" s="183">
        <f>SUMIFS('март 2025'!$G$5:$G$2427,'март 2025'!$D$5:$D$2427,$B116,'март 2025'!$J$5:$J$2427,T$1)</f>
        <v>0</v>
      </c>
      <c r="U116" s="183">
        <f>SUMIFS('март 2025'!$G$5:$G$2427,'март 2025'!$D$5:$D$2427,$B116,'март 2025'!$J$5:$J$2427,U$1)</f>
        <v>0</v>
      </c>
      <c r="V116" s="183">
        <f>SUMIFS('март 2025'!$G$5:$G$2427,'март 2025'!$D$5:$D$2427,$B116,'март 2025'!$J$5:$J$2427,V$1)</f>
        <v>0</v>
      </c>
      <c r="W116" s="183">
        <f>SUMIFS('март 2025'!$G$5:$G$2427,'март 2025'!$D$5:$D$2427,$B116,'март 2025'!$J$5:$J$2427,W$1)</f>
        <v>0</v>
      </c>
      <c r="X116" s="183">
        <f>SUMIFS('март 2025'!$G$5:$G$2427,'март 2025'!$D$5:$D$2427,$B116,'март 2025'!$J$5:$J$2427,X$1)</f>
        <v>0</v>
      </c>
      <c r="Y116" s="183">
        <f>SUMIFS('март 2025'!$G$5:$G$2427,'март 2025'!$D$5:$D$2427,$B116,'март 2025'!$J$5:$J$2427,Y$1)</f>
        <v>0</v>
      </c>
      <c r="Z116" s="183">
        <f>SUMIFS('март 2025'!$G$5:$G$2427,'март 2025'!$D$5:$D$2427,$B116,'март 2025'!$J$5:$J$2427,Z$1)</f>
        <v>0</v>
      </c>
      <c r="AA116" s="183">
        <f>SUMIFS('март 2025'!$G$5:$G$2427,'март 2025'!$D$5:$D$2427,$B116,'март 2025'!$J$5:$J$2427,AA$1)</f>
        <v>0</v>
      </c>
      <c r="AB116" s="183">
        <f>SUMIFS('март 2025'!$G$5:$G$2427,'март 2025'!$D$5:$D$2427,$B116,'март 2025'!$J$5:$J$2427,AB$1)</f>
        <v>0</v>
      </c>
      <c r="AC116" s="183">
        <f>SUMIFS('март 2025'!$G$5:$G$2427,'март 2025'!$D$5:$D$2427,$B116,'март 2025'!$J$5:$J$2427,AC$1)</f>
        <v>0</v>
      </c>
      <c r="AD116" s="183">
        <f>SUMIFS('март 2025'!$G$5:$G$2427,'март 2025'!$D$5:$D$2427,$B116,'март 2025'!$J$5:$J$2427,AD$1)</f>
        <v>0</v>
      </c>
      <c r="AE116" s="183">
        <f>SUMIFS('март 2025'!$G$5:$G$2427,'март 2025'!$D$5:$D$2427,$B116,'март 2025'!$J$5:$J$2427,AE$1)</f>
        <v>0</v>
      </c>
      <c r="AF116" s="183">
        <f>SUMIFS('март 2025'!$G$5:$G$2427,'март 2025'!$D$5:$D$2427,$B116,'март 2025'!$J$5:$J$2427,AF$1)</f>
        <v>0</v>
      </c>
      <c r="AG116" s="183">
        <f>SUMIFS('март 2025'!$G$5:$G$2427,'март 2025'!$D$5:$D$2427,$B116,'март 2025'!$J$5:$J$2427,AG$1)</f>
        <v>0</v>
      </c>
      <c r="AH116" s="183">
        <f>SUMIFS('март 2025'!$G$5:$G$2427,'март 2025'!$D$5:$D$2427,$B116,'март 2025'!$J$5:$J$2427,AH$1)</f>
        <v>0</v>
      </c>
      <c r="AI116" s="20">
        <f t="shared" si="1"/>
        <v>0</v>
      </c>
    </row>
    <row r="117" spans="2:35" ht="15" customHeight="1" x14ac:dyDescent="0.25">
      <c r="B117" s="88" t="s">
        <v>304</v>
      </c>
      <c r="C117" s="86">
        <v>175</v>
      </c>
      <c r="D117" s="183">
        <f>SUMIFS('март 2025'!$G$5:$G$2427,'март 2025'!$D$5:$D$2427,$B117,'март 2025'!$J$5:$J$2427,D$1)</f>
        <v>0</v>
      </c>
      <c r="E117" s="183">
        <f>SUMIFS('март 2025'!$G$5:$G$2427,'март 2025'!$D$5:$D$2427,$B117,'март 2025'!$J$5:$J$2427,E$1)</f>
        <v>0</v>
      </c>
      <c r="F117" s="183">
        <f>SUMIFS('март 2025'!$G$5:$G$2427,'март 2025'!$D$5:$D$2427,$B117,'март 2025'!$J$5:$J$2427,F$1)</f>
        <v>0</v>
      </c>
      <c r="G117" s="183">
        <f>SUMIFS('март 2025'!$G$5:$G$2427,'март 2025'!$D$5:$D$2427,$B117,'март 2025'!$J$5:$J$2427,G$1)</f>
        <v>0</v>
      </c>
      <c r="H117" s="183">
        <f>SUMIFS('март 2025'!$G$5:$G$2427,'март 2025'!$D$5:$D$2427,$B117,'март 2025'!$J$5:$J$2427,H$1)</f>
        <v>0</v>
      </c>
      <c r="I117" s="183">
        <f>SUMIFS('март 2025'!$G$5:$G$2427,'март 2025'!$D$5:$D$2427,$B117,'март 2025'!$J$5:$J$2427,I$1)</f>
        <v>0</v>
      </c>
      <c r="J117" s="183">
        <f>SUMIFS('март 2025'!$G$5:$G$2427,'март 2025'!$D$5:$D$2427,$B117,'март 2025'!$J$5:$J$2427,J$1)</f>
        <v>0</v>
      </c>
      <c r="K117" s="183">
        <f>SUMIFS('март 2025'!$G$5:$G$2427,'март 2025'!$D$5:$D$2427,$B117,'март 2025'!$J$5:$J$2427,K$1)</f>
        <v>0</v>
      </c>
      <c r="L117" s="183">
        <f>SUMIFS('март 2025'!$G$5:$G$2427,'март 2025'!$D$5:$D$2427,$B117,'март 2025'!$J$5:$J$2427,L$1)</f>
        <v>0</v>
      </c>
      <c r="M117" s="183">
        <f>SUMIFS('март 2025'!$G$5:$G$2427,'март 2025'!$D$5:$D$2427,$B117,'март 2025'!$J$5:$J$2427,M$1)</f>
        <v>0</v>
      </c>
      <c r="N117" s="183">
        <f>SUMIFS('март 2025'!$G$5:$G$2427,'март 2025'!$D$5:$D$2427,$B117,'март 2025'!$J$5:$J$2427,N$1)</f>
        <v>0</v>
      </c>
      <c r="O117" s="183">
        <f>SUMIFS('март 2025'!$G$5:$G$2427,'март 2025'!$D$5:$D$2427,$B117,'март 2025'!$J$5:$J$2427,O$1)</f>
        <v>0</v>
      </c>
      <c r="P117" s="183">
        <f>SUMIFS('март 2025'!$G$5:$G$2427,'март 2025'!$D$5:$D$2427,$B117,'март 2025'!$J$5:$J$2427,P$1)</f>
        <v>0</v>
      </c>
      <c r="Q117" s="183">
        <f>SUMIFS('март 2025'!$G$5:$G$2427,'март 2025'!$D$5:$D$2427,$B117,'март 2025'!$J$5:$J$2427,Q$1)</f>
        <v>0</v>
      </c>
      <c r="R117" s="183">
        <f>SUMIFS('март 2025'!$G$5:$G$2427,'март 2025'!$D$5:$D$2427,$B117,'март 2025'!$J$5:$J$2427,R$1)</f>
        <v>0</v>
      </c>
      <c r="S117" s="183">
        <f>SUMIFS('март 2025'!$G$5:$G$2427,'март 2025'!$D$5:$D$2427,$B117,'март 2025'!$J$5:$J$2427,S$1)</f>
        <v>0</v>
      </c>
      <c r="T117" s="183">
        <f>SUMIFS('март 2025'!$G$5:$G$2427,'март 2025'!$D$5:$D$2427,$B117,'март 2025'!$J$5:$J$2427,T$1)</f>
        <v>0</v>
      </c>
      <c r="U117" s="183">
        <f>SUMIFS('март 2025'!$G$5:$G$2427,'март 2025'!$D$5:$D$2427,$B117,'март 2025'!$J$5:$J$2427,U$1)</f>
        <v>0</v>
      </c>
      <c r="V117" s="183">
        <f>SUMIFS('март 2025'!$G$5:$G$2427,'март 2025'!$D$5:$D$2427,$B117,'март 2025'!$J$5:$J$2427,V$1)</f>
        <v>0</v>
      </c>
      <c r="W117" s="183">
        <f>SUMIFS('март 2025'!$G$5:$G$2427,'март 2025'!$D$5:$D$2427,$B117,'март 2025'!$J$5:$J$2427,W$1)</f>
        <v>0</v>
      </c>
      <c r="X117" s="183">
        <f>SUMIFS('март 2025'!$G$5:$G$2427,'март 2025'!$D$5:$D$2427,$B117,'март 2025'!$J$5:$J$2427,X$1)</f>
        <v>80</v>
      </c>
      <c r="Y117" s="183">
        <f>SUMIFS('март 2025'!$G$5:$G$2427,'март 2025'!$D$5:$D$2427,$B117,'март 2025'!$J$5:$J$2427,Y$1)</f>
        <v>0</v>
      </c>
      <c r="Z117" s="183">
        <f>SUMIFS('март 2025'!$G$5:$G$2427,'март 2025'!$D$5:$D$2427,$B117,'март 2025'!$J$5:$J$2427,Z$1)</f>
        <v>0</v>
      </c>
      <c r="AA117" s="183">
        <f>SUMIFS('март 2025'!$G$5:$G$2427,'март 2025'!$D$5:$D$2427,$B117,'март 2025'!$J$5:$J$2427,AA$1)</f>
        <v>0</v>
      </c>
      <c r="AB117" s="183">
        <f>SUMIFS('март 2025'!$G$5:$G$2427,'март 2025'!$D$5:$D$2427,$B117,'март 2025'!$J$5:$J$2427,AB$1)</f>
        <v>0</v>
      </c>
      <c r="AC117" s="183">
        <f>SUMIFS('март 2025'!$G$5:$G$2427,'март 2025'!$D$5:$D$2427,$B117,'март 2025'!$J$5:$J$2427,AC$1)</f>
        <v>0</v>
      </c>
      <c r="AD117" s="183">
        <f>SUMIFS('март 2025'!$G$5:$G$2427,'март 2025'!$D$5:$D$2427,$B117,'март 2025'!$J$5:$J$2427,AD$1)</f>
        <v>0</v>
      </c>
      <c r="AE117" s="183">
        <f>SUMIFS('март 2025'!$G$5:$G$2427,'март 2025'!$D$5:$D$2427,$B117,'март 2025'!$J$5:$J$2427,AE$1)</f>
        <v>0</v>
      </c>
      <c r="AF117" s="183">
        <f>SUMIFS('март 2025'!$G$5:$G$2427,'март 2025'!$D$5:$D$2427,$B117,'март 2025'!$J$5:$J$2427,AF$1)</f>
        <v>0</v>
      </c>
      <c r="AG117" s="183">
        <f>SUMIFS('март 2025'!$G$5:$G$2427,'март 2025'!$D$5:$D$2427,$B117,'март 2025'!$J$5:$J$2427,AG$1)</f>
        <v>0</v>
      </c>
      <c r="AH117" s="183">
        <f>SUMIFS('март 2025'!$G$5:$G$2427,'март 2025'!$D$5:$D$2427,$B117,'март 2025'!$J$5:$J$2427,AH$1)</f>
        <v>0</v>
      </c>
      <c r="AI117" s="20">
        <f t="shared" si="1"/>
        <v>80</v>
      </c>
    </row>
    <row r="118" spans="2:35" ht="15" customHeight="1" x14ac:dyDescent="0.25">
      <c r="B118" s="88" t="s">
        <v>310</v>
      </c>
      <c r="C118" s="86">
        <v>200</v>
      </c>
      <c r="D118" s="183">
        <f>SUMIFS('март 2025'!$G$5:$G$2427,'март 2025'!$D$5:$D$2427,$B118,'март 2025'!$J$5:$J$2427,D$1)</f>
        <v>0</v>
      </c>
      <c r="E118" s="183">
        <f>SUMIFS('март 2025'!$G$5:$G$2427,'март 2025'!$D$5:$D$2427,$B118,'март 2025'!$J$5:$J$2427,E$1)</f>
        <v>0</v>
      </c>
      <c r="F118" s="183">
        <f>SUMIFS('март 2025'!$G$5:$G$2427,'март 2025'!$D$5:$D$2427,$B118,'март 2025'!$J$5:$J$2427,F$1)</f>
        <v>0</v>
      </c>
      <c r="G118" s="183">
        <f>SUMIFS('март 2025'!$G$5:$G$2427,'март 2025'!$D$5:$D$2427,$B118,'март 2025'!$J$5:$J$2427,G$1)</f>
        <v>0</v>
      </c>
      <c r="H118" s="183">
        <f>SUMIFS('март 2025'!$G$5:$G$2427,'март 2025'!$D$5:$D$2427,$B118,'март 2025'!$J$5:$J$2427,H$1)</f>
        <v>0</v>
      </c>
      <c r="I118" s="183">
        <f>SUMIFS('март 2025'!$G$5:$G$2427,'март 2025'!$D$5:$D$2427,$B118,'март 2025'!$J$5:$J$2427,I$1)</f>
        <v>0</v>
      </c>
      <c r="J118" s="183">
        <f>SUMIFS('март 2025'!$G$5:$G$2427,'март 2025'!$D$5:$D$2427,$B118,'март 2025'!$J$5:$J$2427,J$1)</f>
        <v>0</v>
      </c>
      <c r="K118" s="183">
        <f>SUMIFS('март 2025'!$G$5:$G$2427,'март 2025'!$D$5:$D$2427,$B118,'март 2025'!$J$5:$J$2427,K$1)</f>
        <v>0</v>
      </c>
      <c r="L118" s="183">
        <f>SUMIFS('март 2025'!$G$5:$G$2427,'март 2025'!$D$5:$D$2427,$B118,'март 2025'!$J$5:$J$2427,L$1)</f>
        <v>0</v>
      </c>
      <c r="M118" s="183">
        <f>SUMIFS('март 2025'!$G$5:$G$2427,'март 2025'!$D$5:$D$2427,$B118,'март 2025'!$J$5:$J$2427,M$1)</f>
        <v>0</v>
      </c>
      <c r="N118" s="183">
        <f>SUMIFS('март 2025'!$G$5:$G$2427,'март 2025'!$D$5:$D$2427,$B118,'март 2025'!$J$5:$J$2427,N$1)</f>
        <v>0</v>
      </c>
      <c r="O118" s="183">
        <f>SUMIFS('март 2025'!$G$5:$G$2427,'март 2025'!$D$5:$D$2427,$B118,'март 2025'!$J$5:$J$2427,O$1)</f>
        <v>0</v>
      </c>
      <c r="P118" s="183">
        <f>SUMIFS('март 2025'!$G$5:$G$2427,'март 2025'!$D$5:$D$2427,$B118,'март 2025'!$J$5:$J$2427,P$1)</f>
        <v>0</v>
      </c>
      <c r="Q118" s="183">
        <f>SUMIFS('март 2025'!$G$5:$G$2427,'март 2025'!$D$5:$D$2427,$B118,'март 2025'!$J$5:$J$2427,Q$1)</f>
        <v>0</v>
      </c>
      <c r="R118" s="183">
        <f>SUMIFS('март 2025'!$G$5:$G$2427,'март 2025'!$D$5:$D$2427,$B118,'март 2025'!$J$5:$J$2427,R$1)</f>
        <v>0</v>
      </c>
      <c r="S118" s="183">
        <f>SUMIFS('март 2025'!$G$5:$G$2427,'март 2025'!$D$5:$D$2427,$B118,'март 2025'!$J$5:$J$2427,S$1)</f>
        <v>0</v>
      </c>
      <c r="T118" s="183">
        <f>SUMIFS('март 2025'!$G$5:$G$2427,'март 2025'!$D$5:$D$2427,$B118,'март 2025'!$J$5:$J$2427,T$1)</f>
        <v>0</v>
      </c>
      <c r="U118" s="183">
        <f>SUMIFS('март 2025'!$G$5:$G$2427,'март 2025'!$D$5:$D$2427,$B118,'март 2025'!$J$5:$J$2427,U$1)</f>
        <v>0</v>
      </c>
      <c r="V118" s="183">
        <f>SUMIFS('март 2025'!$G$5:$G$2427,'март 2025'!$D$5:$D$2427,$B118,'март 2025'!$J$5:$J$2427,V$1)</f>
        <v>0</v>
      </c>
      <c r="W118" s="183">
        <f>SUMIFS('март 2025'!$G$5:$G$2427,'март 2025'!$D$5:$D$2427,$B118,'март 2025'!$J$5:$J$2427,W$1)</f>
        <v>0</v>
      </c>
      <c r="X118" s="183">
        <f>SUMIFS('март 2025'!$G$5:$G$2427,'март 2025'!$D$5:$D$2427,$B118,'март 2025'!$J$5:$J$2427,X$1)</f>
        <v>0</v>
      </c>
      <c r="Y118" s="183">
        <f>SUMIFS('март 2025'!$G$5:$G$2427,'март 2025'!$D$5:$D$2427,$B118,'март 2025'!$J$5:$J$2427,Y$1)</f>
        <v>0</v>
      </c>
      <c r="Z118" s="183">
        <f>SUMIFS('март 2025'!$G$5:$G$2427,'март 2025'!$D$5:$D$2427,$B118,'март 2025'!$J$5:$J$2427,Z$1)</f>
        <v>0</v>
      </c>
      <c r="AA118" s="183">
        <f>SUMIFS('март 2025'!$G$5:$G$2427,'март 2025'!$D$5:$D$2427,$B118,'март 2025'!$J$5:$J$2427,AA$1)</f>
        <v>0</v>
      </c>
      <c r="AB118" s="183">
        <f>SUMIFS('март 2025'!$G$5:$G$2427,'март 2025'!$D$5:$D$2427,$B118,'март 2025'!$J$5:$J$2427,AB$1)</f>
        <v>0</v>
      </c>
      <c r="AC118" s="183">
        <f>SUMIFS('март 2025'!$G$5:$G$2427,'март 2025'!$D$5:$D$2427,$B118,'март 2025'!$J$5:$J$2427,AC$1)</f>
        <v>0</v>
      </c>
      <c r="AD118" s="183">
        <f>SUMIFS('март 2025'!$G$5:$G$2427,'март 2025'!$D$5:$D$2427,$B118,'март 2025'!$J$5:$J$2427,AD$1)</f>
        <v>0</v>
      </c>
      <c r="AE118" s="183">
        <f>SUMIFS('март 2025'!$G$5:$G$2427,'март 2025'!$D$5:$D$2427,$B118,'март 2025'!$J$5:$J$2427,AE$1)</f>
        <v>0</v>
      </c>
      <c r="AF118" s="183">
        <f>SUMIFS('март 2025'!$G$5:$G$2427,'март 2025'!$D$5:$D$2427,$B118,'март 2025'!$J$5:$J$2427,AF$1)</f>
        <v>0</v>
      </c>
      <c r="AG118" s="183">
        <f>SUMIFS('март 2025'!$G$5:$G$2427,'март 2025'!$D$5:$D$2427,$B118,'март 2025'!$J$5:$J$2427,AG$1)</f>
        <v>0</v>
      </c>
      <c r="AH118" s="183">
        <f>SUMIFS('март 2025'!$G$5:$G$2427,'март 2025'!$D$5:$D$2427,$B118,'март 2025'!$J$5:$J$2427,AH$1)</f>
        <v>0</v>
      </c>
      <c r="AI118" s="20">
        <f t="shared" si="1"/>
        <v>0</v>
      </c>
    </row>
    <row r="119" spans="2:35" ht="15" customHeight="1" x14ac:dyDescent="0.25">
      <c r="B119" s="88" t="s">
        <v>265</v>
      </c>
      <c r="C119" s="86">
        <v>180</v>
      </c>
      <c r="D119" s="183">
        <f>SUMIFS('март 2025'!$G$5:$G$2427,'март 2025'!$D$5:$D$2427,$B119,'март 2025'!$J$5:$J$2427,D$1)</f>
        <v>0</v>
      </c>
      <c r="E119" s="183">
        <f>SUMIFS('март 2025'!$G$5:$G$2427,'март 2025'!$D$5:$D$2427,$B119,'март 2025'!$J$5:$J$2427,E$1)</f>
        <v>0</v>
      </c>
      <c r="F119" s="183">
        <f>SUMIFS('март 2025'!$G$5:$G$2427,'март 2025'!$D$5:$D$2427,$B119,'март 2025'!$J$5:$J$2427,F$1)</f>
        <v>0</v>
      </c>
      <c r="G119" s="183">
        <f>SUMIFS('март 2025'!$G$5:$G$2427,'март 2025'!$D$5:$D$2427,$B119,'март 2025'!$J$5:$J$2427,G$1)</f>
        <v>0</v>
      </c>
      <c r="H119" s="183">
        <f>SUMIFS('март 2025'!$G$5:$G$2427,'март 2025'!$D$5:$D$2427,$B119,'март 2025'!$J$5:$J$2427,H$1)</f>
        <v>0</v>
      </c>
      <c r="I119" s="183">
        <f>SUMIFS('март 2025'!$G$5:$G$2427,'март 2025'!$D$5:$D$2427,$B119,'март 2025'!$J$5:$J$2427,I$1)</f>
        <v>0</v>
      </c>
      <c r="J119" s="183">
        <f>SUMIFS('март 2025'!$G$5:$G$2427,'март 2025'!$D$5:$D$2427,$B119,'март 2025'!$J$5:$J$2427,J$1)</f>
        <v>0</v>
      </c>
      <c r="K119" s="183">
        <f>SUMIFS('март 2025'!$G$5:$G$2427,'март 2025'!$D$5:$D$2427,$B119,'март 2025'!$J$5:$J$2427,K$1)</f>
        <v>0</v>
      </c>
      <c r="L119" s="183">
        <f>SUMIFS('март 2025'!$G$5:$G$2427,'март 2025'!$D$5:$D$2427,$B119,'март 2025'!$J$5:$J$2427,L$1)</f>
        <v>0</v>
      </c>
      <c r="M119" s="183">
        <f>SUMIFS('март 2025'!$G$5:$G$2427,'март 2025'!$D$5:$D$2427,$B119,'март 2025'!$J$5:$J$2427,M$1)</f>
        <v>0</v>
      </c>
      <c r="N119" s="183">
        <f>SUMIFS('март 2025'!$G$5:$G$2427,'март 2025'!$D$5:$D$2427,$B119,'март 2025'!$J$5:$J$2427,N$1)</f>
        <v>0</v>
      </c>
      <c r="O119" s="183">
        <f>SUMIFS('март 2025'!$G$5:$G$2427,'март 2025'!$D$5:$D$2427,$B119,'март 2025'!$J$5:$J$2427,O$1)</f>
        <v>0</v>
      </c>
      <c r="P119" s="183">
        <f>SUMIFS('март 2025'!$G$5:$G$2427,'март 2025'!$D$5:$D$2427,$B119,'март 2025'!$J$5:$J$2427,P$1)</f>
        <v>0</v>
      </c>
      <c r="Q119" s="183">
        <f>SUMIFS('март 2025'!$G$5:$G$2427,'март 2025'!$D$5:$D$2427,$B119,'март 2025'!$J$5:$J$2427,Q$1)</f>
        <v>0</v>
      </c>
      <c r="R119" s="183">
        <f>SUMIFS('март 2025'!$G$5:$G$2427,'март 2025'!$D$5:$D$2427,$B119,'март 2025'!$J$5:$J$2427,R$1)</f>
        <v>0</v>
      </c>
      <c r="S119" s="183">
        <f>SUMIFS('март 2025'!$G$5:$G$2427,'март 2025'!$D$5:$D$2427,$B119,'март 2025'!$J$5:$J$2427,S$1)</f>
        <v>0</v>
      </c>
      <c r="T119" s="183">
        <f>SUMIFS('март 2025'!$G$5:$G$2427,'март 2025'!$D$5:$D$2427,$B119,'март 2025'!$J$5:$J$2427,T$1)</f>
        <v>0</v>
      </c>
      <c r="U119" s="183">
        <f>SUMIFS('март 2025'!$G$5:$G$2427,'март 2025'!$D$5:$D$2427,$B119,'март 2025'!$J$5:$J$2427,U$1)</f>
        <v>0</v>
      </c>
      <c r="V119" s="183">
        <f>SUMIFS('март 2025'!$G$5:$G$2427,'март 2025'!$D$5:$D$2427,$B119,'март 2025'!$J$5:$J$2427,V$1)</f>
        <v>0</v>
      </c>
      <c r="W119" s="183">
        <f>SUMIFS('март 2025'!$G$5:$G$2427,'март 2025'!$D$5:$D$2427,$B119,'март 2025'!$J$5:$J$2427,W$1)</f>
        <v>0</v>
      </c>
      <c r="X119" s="183">
        <f>SUMIFS('март 2025'!$G$5:$G$2427,'март 2025'!$D$5:$D$2427,$B119,'март 2025'!$J$5:$J$2427,X$1)</f>
        <v>0</v>
      </c>
      <c r="Y119" s="183">
        <f>SUMIFS('март 2025'!$G$5:$G$2427,'март 2025'!$D$5:$D$2427,$B119,'март 2025'!$J$5:$J$2427,Y$1)</f>
        <v>0</v>
      </c>
      <c r="Z119" s="183">
        <f>SUMIFS('март 2025'!$G$5:$G$2427,'март 2025'!$D$5:$D$2427,$B119,'март 2025'!$J$5:$J$2427,Z$1)</f>
        <v>0</v>
      </c>
      <c r="AA119" s="183">
        <f>SUMIFS('март 2025'!$G$5:$G$2427,'март 2025'!$D$5:$D$2427,$B119,'март 2025'!$J$5:$J$2427,AA$1)</f>
        <v>0</v>
      </c>
      <c r="AB119" s="183">
        <f>SUMIFS('март 2025'!$G$5:$G$2427,'март 2025'!$D$5:$D$2427,$B119,'март 2025'!$J$5:$J$2427,AB$1)</f>
        <v>0</v>
      </c>
      <c r="AC119" s="183">
        <f>SUMIFS('март 2025'!$G$5:$G$2427,'март 2025'!$D$5:$D$2427,$B119,'март 2025'!$J$5:$J$2427,AC$1)</f>
        <v>0</v>
      </c>
      <c r="AD119" s="183">
        <f>SUMIFS('март 2025'!$G$5:$G$2427,'март 2025'!$D$5:$D$2427,$B119,'март 2025'!$J$5:$J$2427,AD$1)</f>
        <v>0</v>
      </c>
      <c r="AE119" s="183">
        <f>SUMIFS('март 2025'!$G$5:$G$2427,'март 2025'!$D$5:$D$2427,$B119,'март 2025'!$J$5:$J$2427,AE$1)</f>
        <v>0</v>
      </c>
      <c r="AF119" s="183">
        <f>SUMIFS('март 2025'!$G$5:$G$2427,'март 2025'!$D$5:$D$2427,$B119,'март 2025'!$J$5:$J$2427,AF$1)</f>
        <v>0</v>
      </c>
      <c r="AG119" s="183">
        <f>SUMIFS('март 2025'!$G$5:$G$2427,'март 2025'!$D$5:$D$2427,$B119,'март 2025'!$J$5:$J$2427,AG$1)</f>
        <v>0</v>
      </c>
      <c r="AH119" s="183">
        <f>SUMIFS('март 2025'!$G$5:$G$2427,'март 2025'!$D$5:$D$2427,$B119,'март 2025'!$J$5:$J$2427,AH$1)</f>
        <v>0</v>
      </c>
      <c r="AI119" s="20">
        <f t="shared" si="1"/>
        <v>0</v>
      </c>
    </row>
    <row r="120" spans="2:35" ht="15" customHeight="1" x14ac:dyDescent="0.25">
      <c r="B120" s="88" t="s">
        <v>326</v>
      </c>
      <c r="C120" s="86">
        <v>200</v>
      </c>
      <c r="D120" s="183">
        <f>SUMIFS('март 2025'!$G$5:$G$2427,'март 2025'!$D$5:$D$2427,$B120,'март 2025'!$J$5:$J$2427,D$1)</f>
        <v>0</v>
      </c>
      <c r="E120" s="183">
        <f>SUMIFS('март 2025'!$G$5:$G$2427,'март 2025'!$D$5:$D$2427,$B120,'март 2025'!$J$5:$J$2427,E$1)</f>
        <v>0</v>
      </c>
      <c r="F120" s="183">
        <f>SUMIFS('март 2025'!$G$5:$G$2427,'март 2025'!$D$5:$D$2427,$B120,'март 2025'!$J$5:$J$2427,F$1)</f>
        <v>0</v>
      </c>
      <c r="G120" s="183">
        <f>SUMIFS('март 2025'!$G$5:$G$2427,'март 2025'!$D$5:$D$2427,$B120,'март 2025'!$J$5:$J$2427,G$1)</f>
        <v>0</v>
      </c>
      <c r="H120" s="183">
        <f>SUMIFS('март 2025'!$G$5:$G$2427,'март 2025'!$D$5:$D$2427,$B120,'март 2025'!$J$5:$J$2427,H$1)</f>
        <v>0</v>
      </c>
      <c r="I120" s="183">
        <f>SUMIFS('март 2025'!$G$5:$G$2427,'март 2025'!$D$5:$D$2427,$B120,'март 2025'!$J$5:$J$2427,I$1)</f>
        <v>0</v>
      </c>
      <c r="J120" s="183">
        <f>SUMIFS('март 2025'!$G$5:$G$2427,'март 2025'!$D$5:$D$2427,$B120,'март 2025'!$J$5:$J$2427,J$1)</f>
        <v>0</v>
      </c>
      <c r="K120" s="183">
        <f>SUMIFS('март 2025'!$G$5:$G$2427,'март 2025'!$D$5:$D$2427,$B120,'март 2025'!$J$5:$J$2427,K$1)</f>
        <v>0</v>
      </c>
      <c r="L120" s="183">
        <f>SUMIFS('март 2025'!$G$5:$G$2427,'март 2025'!$D$5:$D$2427,$B120,'март 2025'!$J$5:$J$2427,L$1)</f>
        <v>0</v>
      </c>
      <c r="M120" s="183">
        <f>SUMIFS('март 2025'!$G$5:$G$2427,'март 2025'!$D$5:$D$2427,$B120,'март 2025'!$J$5:$J$2427,M$1)</f>
        <v>0</v>
      </c>
      <c r="N120" s="183">
        <f>SUMIFS('март 2025'!$G$5:$G$2427,'март 2025'!$D$5:$D$2427,$B120,'март 2025'!$J$5:$J$2427,N$1)</f>
        <v>0</v>
      </c>
      <c r="O120" s="183">
        <f>SUMIFS('март 2025'!$G$5:$G$2427,'март 2025'!$D$5:$D$2427,$B120,'март 2025'!$J$5:$J$2427,O$1)</f>
        <v>0</v>
      </c>
      <c r="P120" s="183">
        <f>SUMIFS('март 2025'!$G$5:$G$2427,'март 2025'!$D$5:$D$2427,$B120,'март 2025'!$J$5:$J$2427,P$1)</f>
        <v>0</v>
      </c>
      <c r="Q120" s="183">
        <f>SUMIFS('март 2025'!$G$5:$G$2427,'март 2025'!$D$5:$D$2427,$B120,'март 2025'!$J$5:$J$2427,Q$1)</f>
        <v>0</v>
      </c>
      <c r="R120" s="183">
        <f>SUMIFS('март 2025'!$G$5:$G$2427,'март 2025'!$D$5:$D$2427,$B120,'март 2025'!$J$5:$J$2427,R$1)</f>
        <v>0</v>
      </c>
      <c r="S120" s="183">
        <f>SUMIFS('март 2025'!$G$5:$G$2427,'март 2025'!$D$5:$D$2427,$B120,'март 2025'!$J$5:$J$2427,S$1)</f>
        <v>0</v>
      </c>
      <c r="T120" s="183">
        <f>SUMIFS('март 2025'!$G$5:$G$2427,'март 2025'!$D$5:$D$2427,$B120,'март 2025'!$J$5:$J$2427,T$1)</f>
        <v>0</v>
      </c>
      <c r="U120" s="183">
        <f>SUMIFS('март 2025'!$G$5:$G$2427,'март 2025'!$D$5:$D$2427,$B120,'март 2025'!$J$5:$J$2427,U$1)</f>
        <v>0</v>
      </c>
      <c r="V120" s="183">
        <f>SUMIFS('март 2025'!$G$5:$G$2427,'март 2025'!$D$5:$D$2427,$B120,'март 2025'!$J$5:$J$2427,V$1)</f>
        <v>0</v>
      </c>
      <c r="W120" s="183">
        <f>SUMIFS('март 2025'!$G$5:$G$2427,'март 2025'!$D$5:$D$2427,$B120,'март 2025'!$J$5:$J$2427,W$1)</f>
        <v>0</v>
      </c>
      <c r="X120" s="183">
        <f>SUMIFS('март 2025'!$G$5:$G$2427,'март 2025'!$D$5:$D$2427,$B120,'март 2025'!$J$5:$J$2427,X$1)</f>
        <v>0</v>
      </c>
      <c r="Y120" s="183">
        <f>SUMIFS('март 2025'!$G$5:$G$2427,'март 2025'!$D$5:$D$2427,$B120,'март 2025'!$J$5:$J$2427,Y$1)</f>
        <v>0</v>
      </c>
      <c r="Z120" s="183">
        <f>SUMIFS('март 2025'!$G$5:$G$2427,'март 2025'!$D$5:$D$2427,$B120,'март 2025'!$J$5:$J$2427,Z$1)</f>
        <v>0</v>
      </c>
      <c r="AA120" s="183">
        <f>SUMIFS('март 2025'!$G$5:$G$2427,'март 2025'!$D$5:$D$2427,$B120,'март 2025'!$J$5:$J$2427,AA$1)</f>
        <v>0</v>
      </c>
      <c r="AB120" s="183">
        <f>SUMIFS('март 2025'!$G$5:$G$2427,'март 2025'!$D$5:$D$2427,$B120,'март 2025'!$J$5:$J$2427,AB$1)</f>
        <v>0</v>
      </c>
      <c r="AC120" s="183">
        <f>SUMIFS('март 2025'!$G$5:$G$2427,'март 2025'!$D$5:$D$2427,$B120,'март 2025'!$J$5:$J$2427,AC$1)</f>
        <v>0</v>
      </c>
      <c r="AD120" s="183">
        <f>SUMIFS('март 2025'!$G$5:$G$2427,'март 2025'!$D$5:$D$2427,$B120,'март 2025'!$J$5:$J$2427,AD$1)</f>
        <v>0</v>
      </c>
      <c r="AE120" s="183">
        <f>SUMIFS('март 2025'!$G$5:$G$2427,'март 2025'!$D$5:$D$2427,$B120,'март 2025'!$J$5:$J$2427,AE$1)</f>
        <v>0</v>
      </c>
      <c r="AF120" s="183">
        <f>SUMIFS('март 2025'!$G$5:$G$2427,'март 2025'!$D$5:$D$2427,$B120,'март 2025'!$J$5:$J$2427,AF$1)</f>
        <v>0</v>
      </c>
      <c r="AG120" s="183">
        <f>SUMIFS('март 2025'!$G$5:$G$2427,'март 2025'!$D$5:$D$2427,$B120,'март 2025'!$J$5:$J$2427,AG$1)</f>
        <v>0</v>
      </c>
      <c r="AH120" s="183">
        <f>SUMIFS('март 2025'!$G$5:$G$2427,'март 2025'!$D$5:$D$2427,$B120,'март 2025'!$J$5:$J$2427,AH$1)</f>
        <v>0</v>
      </c>
      <c r="AI120" s="20">
        <f t="shared" si="1"/>
        <v>0</v>
      </c>
    </row>
    <row r="121" spans="2:35" ht="15" customHeight="1" x14ac:dyDescent="0.25">
      <c r="B121" s="88" t="s">
        <v>280</v>
      </c>
      <c r="C121" s="86">
        <v>185</v>
      </c>
      <c r="D121" s="183">
        <f>SUMIFS('март 2025'!$G$5:$G$2427,'март 2025'!$D$5:$D$2427,$B121,'март 2025'!$J$5:$J$2427,D$1)</f>
        <v>0</v>
      </c>
      <c r="E121" s="183">
        <f>SUMIFS('март 2025'!$G$5:$G$2427,'март 2025'!$D$5:$D$2427,$B121,'март 2025'!$J$5:$J$2427,E$1)</f>
        <v>0</v>
      </c>
      <c r="F121" s="183">
        <f>SUMIFS('март 2025'!$G$5:$G$2427,'март 2025'!$D$5:$D$2427,$B121,'март 2025'!$J$5:$J$2427,F$1)</f>
        <v>0</v>
      </c>
      <c r="G121" s="183">
        <f>SUMIFS('март 2025'!$G$5:$G$2427,'март 2025'!$D$5:$D$2427,$B121,'март 2025'!$J$5:$J$2427,G$1)</f>
        <v>0</v>
      </c>
      <c r="H121" s="183">
        <f>SUMIFS('март 2025'!$G$5:$G$2427,'март 2025'!$D$5:$D$2427,$B121,'март 2025'!$J$5:$J$2427,H$1)</f>
        <v>0</v>
      </c>
      <c r="I121" s="183">
        <f>SUMIFS('март 2025'!$G$5:$G$2427,'март 2025'!$D$5:$D$2427,$B121,'март 2025'!$J$5:$J$2427,I$1)</f>
        <v>0</v>
      </c>
      <c r="J121" s="183">
        <f>SUMIFS('март 2025'!$G$5:$G$2427,'март 2025'!$D$5:$D$2427,$B121,'март 2025'!$J$5:$J$2427,J$1)</f>
        <v>0</v>
      </c>
      <c r="K121" s="183">
        <f>SUMIFS('март 2025'!$G$5:$G$2427,'март 2025'!$D$5:$D$2427,$B121,'март 2025'!$J$5:$J$2427,K$1)</f>
        <v>0</v>
      </c>
      <c r="L121" s="183">
        <f>SUMIFS('март 2025'!$G$5:$G$2427,'март 2025'!$D$5:$D$2427,$B121,'март 2025'!$J$5:$J$2427,L$1)</f>
        <v>0</v>
      </c>
      <c r="M121" s="183">
        <f>SUMIFS('март 2025'!$G$5:$G$2427,'март 2025'!$D$5:$D$2427,$B121,'март 2025'!$J$5:$J$2427,M$1)</f>
        <v>0</v>
      </c>
      <c r="N121" s="183">
        <f>SUMIFS('март 2025'!$G$5:$G$2427,'март 2025'!$D$5:$D$2427,$B121,'март 2025'!$J$5:$J$2427,N$1)</f>
        <v>0</v>
      </c>
      <c r="O121" s="183">
        <f>SUMIFS('март 2025'!$G$5:$G$2427,'март 2025'!$D$5:$D$2427,$B121,'март 2025'!$J$5:$J$2427,O$1)</f>
        <v>0</v>
      </c>
      <c r="P121" s="183">
        <f>SUMIFS('март 2025'!$G$5:$G$2427,'март 2025'!$D$5:$D$2427,$B121,'март 2025'!$J$5:$J$2427,P$1)</f>
        <v>0</v>
      </c>
      <c r="Q121" s="183">
        <f>SUMIFS('март 2025'!$G$5:$G$2427,'март 2025'!$D$5:$D$2427,$B121,'март 2025'!$J$5:$J$2427,Q$1)</f>
        <v>0</v>
      </c>
      <c r="R121" s="183">
        <f>SUMIFS('март 2025'!$G$5:$G$2427,'март 2025'!$D$5:$D$2427,$B121,'март 2025'!$J$5:$J$2427,R$1)</f>
        <v>0</v>
      </c>
      <c r="S121" s="183">
        <f>SUMIFS('март 2025'!$G$5:$G$2427,'март 2025'!$D$5:$D$2427,$B121,'март 2025'!$J$5:$J$2427,S$1)</f>
        <v>0</v>
      </c>
      <c r="T121" s="183">
        <f>SUMIFS('март 2025'!$G$5:$G$2427,'март 2025'!$D$5:$D$2427,$B121,'март 2025'!$J$5:$J$2427,T$1)</f>
        <v>0</v>
      </c>
      <c r="U121" s="183">
        <f>SUMIFS('март 2025'!$G$5:$G$2427,'март 2025'!$D$5:$D$2427,$B121,'март 2025'!$J$5:$J$2427,U$1)</f>
        <v>0</v>
      </c>
      <c r="V121" s="183">
        <f>SUMIFS('март 2025'!$G$5:$G$2427,'март 2025'!$D$5:$D$2427,$B121,'март 2025'!$J$5:$J$2427,V$1)</f>
        <v>0</v>
      </c>
      <c r="W121" s="183">
        <f>SUMIFS('март 2025'!$G$5:$G$2427,'март 2025'!$D$5:$D$2427,$B121,'март 2025'!$J$5:$J$2427,W$1)</f>
        <v>0</v>
      </c>
      <c r="X121" s="183">
        <f>SUMIFS('март 2025'!$G$5:$G$2427,'март 2025'!$D$5:$D$2427,$B121,'март 2025'!$J$5:$J$2427,X$1)</f>
        <v>0</v>
      </c>
      <c r="Y121" s="183">
        <f>SUMIFS('март 2025'!$G$5:$G$2427,'март 2025'!$D$5:$D$2427,$B121,'март 2025'!$J$5:$J$2427,Y$1)</f>
        <v>0</v>
      </c>
      <c r="Z121" s="183">
        <f>SUMIFS('март 2025'!$G$5:$G$2427,'март 2025'!$D$5:$D$2427,$B121,'март 2025'!$J$5:$J$2427,Z$1)</f>
        <v>0</v>
      </c>
      <c r="AA121" s="183">
        <f>SUMIFS('март 2025'!$G$5:$G$2427,'март 2025'!$D$5:$D$2427,$B121,'март 2025'!$J$5:$J$2427,AA$1)</f>
        <v>0</v>
      </c>
      <c r="AB121" s="183">
        <f>SUMIFS('март 2025'!$G$5:$G$2427,'март 2025'!$D$5:$D$2427,$B121,'март 2025'!$J$5:$J$2427,AB$1)</f>
        <v>0</v>
      </c>
      <c r="AC121" s="183">
        <f>SUMIFS('март 2025'!$G$5:$G$2427,'март 2025'!$D$5:$D$2427,$B121,'март 2025'!$J$5:$J$2427,AC$1)</f>
        <v>0</v>
      </c>
      <c r="AD121" s="183">
        <f>SUMIFS('март 2025'!$G$5:$G$2427,'март 2025'!$D$5:$D$2427,$B121,'март 2025'!$J$5:$J$2427,AD$1)</f>
        <v>0</v>
      </c>
      <c r="AE121" s="183">
        <f>SUMIFS('март 2025'!$G$5:$G$2427,'март 2025'!$D$5:$D$2427,$B121,'март 2025'!$J$5:$J$2427,AE$1)</f>
        <v>0</v>
      </c>
      <c r="AF121" s="183">
        <f>SUMIFS('март 2025'!$G$5:$G$2427,'март 2025'!$D$5:$D$2427,$B121,'март 2025'!$J$5:$J$2427,AF$1)</f>
        <v>0</v>
      </c>
      <c r="AG121" s="183">
        <f>SUMIFS('март 2025'!$G$5:$G$2427,'март 2025'!$D$5:$D$2427,$B121,'март 2025'!$J$5:$J$2427,AG$1)</f>
        <v>0</v>
      </c>
      <c r="AH121" s="183">
        <f>SUMIFS('март 2025'!$G$5:$G$2427,'март 2025'!$D$5:$D$2427,$B121,'март 2025'!$J$5:$J$2427,AH$1)</f>
        <v>0</v>
      </c>
      <c r="AI121" s="20">
        <f t="shared" si="1"/>
        <v>0</v>
      </c>
    </row>
    <row r="122" spans="2:35" ht="15" customHeight="1" x14ac:dyDescent="0.25">
      <c r="B122" s="88" t="s">
        <v>283</v>
      </c>
      <c r="C122" s="86">
        <v>185</v>
      </c>
      <c r="D122" s="183">
        <f>SUMIFS('март 2025'!$G$5:$G$2427,'март 2025'!$D$5:$D$2427,$B122,'март 2025'!$J$5:$J$2427,D$1)</f>
        <v>0</v>
      </c>
      <c r="E122" s="183">
        <f>SUMIFS('март 2025'!$G$5:$G$2427,'март 2025'!$D$5:$D$2427,$B122,'март 2025'!$J$5:$J$2427,E$1)</f>
        <v>0</v>
      </c>
      <c r="F122" s="183">
        <f>SUMIFS('март 2025'!$G$5:$G$2427,'март 2025'!$D$5:$D$2427,$B122,'март 2025'!$J$5:$J$2427,F$1)</f>
        <v>0</v>
      </c>
      <c r="G122" s="183">
        <f>SUMIFS('март 2025'!$G$5:$G$2427,'март 2025'!$D$5:$D$2427,$B122,'март 2025'!$J$5:$J$2427,G$1)</f>
        <v>24</v>
      </c>
      <c r="H122" s="183">
        <f>SUMIFS('март 2025'!$G$5:$G$2427,'март 2025'!$D$5:$D$2427,$B122,'март 2025'!$J$5:$J$2427,H$1)</f>
        <v>0</v>
      </c>
      <c r="I122" s="183">
        <f>SUMIFS('март 2025'!$G$5:$G$2427,'март 2025'!$D$5:$D$2427,$B122,'март 2025'!$J$5:$J$2427,I$1)</f>
        <v>0</v>
      </c>
      <c r="J122" s="183">
        <f>SUMIFS('март 2025'!$G$5:$G$2427,'март 2025'!$D$5:$D$2427,$B122,'март 2025'!$J$5:$J$2427,J$1)</f>
        <v>0</v>
      </c>
      <c r="K122" s="183">
        <f>SUMIFS('март 2025'!$G$5:$G$2427,'март 2025'!$D$5:$D$2427,$B122,'март 2025'!$J$5:$J$2427,K$1)</f>
        <v>0</v>
      </c>
      <c r="L122" s="183">
        <f>SUMIFS('март 2025'!$G$5:$G$2427,'март 2025'!$D$5:$D$2427,$B122,'март 2025'!$J$5:$J$2427,L$1)</f>
        <v>0</v>
      </c>
      <c r="M122" s="183">
        <f>SUMIFS('март 2025'!$G$5:$G$2427,'март 2025'!$D$5:$D$2427,$B122,'март 2025'!$J$5:$J$2427,M$1)</f>
        <v>0</v>
      </c>
      <c r="N122" s="183">
        <f>SUMIFS('март 2025'!$G$5:$G$2427,'март 2025'!$D$5:$D$2427,$B122,'март 2025'!$J$5:$J$2427,N$1)</f>
        <v>0</v>
      </c>
      <c r="O122" s="183">
        <f>SUMIFS('март 2025'!$G$5:$G$2427,'март 2025'!$D$5:$D$2427,$B122,'март 2025'!$J$5:$J$2427,O$1)</f>
        <v>0</v>
      </c>
      <c r="P122" s="183">
        <f>SUMIFS('март 2025'!$G$5:$G$2427,'март 2025'!$D$5:$D$2427,$B122,'март 2025'!$J$5:$J$2427,P$1)</f>
        <v>0</v>
      </c>
      <c r="Q122" s="183">
        <f>SUMIFS('март 2025'!$G$5:$G$2427,'март 2025'!$D$5:$D$2427,$B122,'март 2025'!$J$5:$J$2427,Q$1)</f>
        <v>0</v>
      </c>
      <c r="R122" s="183">
        <f>SUMIFS('март 2025'!$G$5:$G$2427,'март 2025'!$D$5:$D$2427,$B122,'март 2025'!$J$5:$J$2427,R$1)</f>
        <v>0</v>
      </c>
      <c r="S122" s="183">
        <f>SUMIFS('март 2025'!$G$5:$G$2427,'март 2025'!$D$5:$D$2427,$B122,'март 2025'!$J$5:$J$2427,S$1)</f>
        <v>0</v>
      </c>
      <c r="T122" s="183">
        <f>SUMIFS('март 2025'!$G$5:$G$2427,'март 2025'!$D$5:$D$2427,$B122,'март 2025'!$J$5:$J$2427,T$1)</f>
        <v>0</v>
      </c>
      <c r="U122" s="183">
        <f>SUMIFS('март 2025'!$G$5:$G$2427,'март 2025'!$D$5:$D$2427,$B122,'март 2025'!$J$5:$J$2427,U$1)</f>
        <v>0</v>
      </c>
      <c r="V122" s="183">
        <f>SUMIFS('март 2025'!$G$5:$G$2427,'март 2025'!$D$5:$D$2427,$B122,'март 2025'!$J$5:$J$2427,V$1)</f>
        <v>0</v>
      </c>
      <c r="W122" s="183">
        <f>SUMIFS('март 2025'!$G$5:$G$2427,'март 2025'!$D$5:$D$2427,$B122,'март 2025'!$J$5:$J$2427,W$1)</f>
        <v>0</v>
      </c>
      <c r="X122" s="183">
        <f>SUMIFS('март 2025'!$G$5:$G$2427,'март 2025'!$D$5:$D$2427,$B122,'март 2025'!$J$5:$J$2427,X$1)</f>
        <v>0</v>
      </c>
      <c r="Y122" s="183">
        <f>SUMIFS('март 2025'!$G$5:$G$2427,'март 2025'!$D$5:$D$2427,$B122,'март 2025'!$J$5:$J$2427,Y$1)</f>
        <v>0</v>
      </c>
      <c r="Z122" s="183">
        <f>SUMIFS('март 2025'!$G$5:$G$2427,'март 2025'!$D$5:$D$2427,$B122,'март 2025'!$J$5:$J$2427,Z$1)</f>
        <v>0</v>
      </c>
      <c r="AA122" s="183">
        <f>SUMIFS('март 2025'!$G$5:$G$2427,'март 2025'!$D$5:$D$2427,$B122,'март 2025'!$J$5:$J$2427,AA$1)</f>
        <v>0</v>
      </c>
      <c r="AB122" s="183">
        <f>SUMIFS('март 2025'!$G$5:$G$2427,'март 2025'!$D$5:$D$2427,$B122,'март 2025'!$J$5:$J$2427,AB$1)</f>
        <v>0</v>
      </c>
      <c r="AC122" s="183">
        <f>SUMIFS('март 2025'!$G$5:$G$2427,'март 2025'!$D$5:$D$2427,$B122,'март 2025'!$J$5:$J$2427,AC$1)</f>
        <v>0</v>
      </c>
      <c r="AD122" s="183">
        <f>SUMIFS('март 2025'!$G$5:$G$2427,'март 2025'!$D$5:$D$2427,$B122,'март 2025'!$J$5:$J$2427,AD$1)</f>
        <v>0</v>
      </c>
      <c r="AE122" s="183">
        <f>SUMIFS('март 2025'!$G$5:$G$2427,'март 2025'!$D$5:$D$2427,$B122,'март 2025'!$J$5:$J$2427,AE$1)</f>
        <v>0</v>
      </c>
      <c r="AF122" s="183">
        <f>SUMIFS('март 2025'!$G$5:$G$2427,'март 2025'!$D$5:$D$2427,$B122,'март 2025'!$J$5:$J$2427,AF$1)</f>
        <v>0</v>
      </c>
      <c r="AG122" s="183">
        <f>SUMIFS('март 2025'!$G$5:$G$2427,'март 2025'!$D$5:$D$2427,$B122,'март 2025'!$J$5:$J$2427,AG$1)</f>
        <v>0</v>
      </c>
      <c r="AH122" s="183">
        <f>SUMIFS('март 2025'!$G$5:$G$2427,'март 2025'!$D$5:$D$2427,$B122,'март 2025'!$J$5:$J$2427,AH$1)</f>
        <v>0</v>
      </c>
      <c r="AI122" s="20">
        <f t="shared" si="1"/>
        <v>24</v>
      </c>
    </row>
    <row r="123" spans="2:35" ht="15" customHeight="1" x14ac:dyDescent="0.25">
      <c r="B123" s="88" t="s">
        <v>866</v>
      </c>
      <c r="C123" s="86">
        <v>185</v>
      </c>
      <c r="D123" s="183">
        <f>SUMIFS('март 2025'!$G$5:$G$2427,'март 2025'!$D$5:$D$2427,$B123,'март 2025'!$J$5:$J$2427,D$1)</f>
        <v>0</v>
      </c>
      <c r="E123" s="183">
        <f>SUMIFS('март 2025'!$G$5:$G$2427,'март 2025'!$D$5:$D$2427,$B123,'март 2025'!$J$5:$J$2427,E$1)</f>
        <v>0</v>
      </c>
      <c r="F123" s="183">
        <f>SUMIFS('март 2025'!$G$5:$G$2427,'март 2025'!$D$5:$D$2427,$B123,'март 2025'!$J$5:$J$2427,F$1)</f>
        <v>0</v>
      </c>
      <c r="G123" s="183">
        <f>SUMIFS('март 2025'!$G$5:$G$2427,'март 2025'!$D$5:$D$2427,$B123,'март 2025'!$J$5:$J$2427,G$1)</f>
        <v>0</v>
      </c>
      <c r="H123" s="183">
        <f>SUMIFS('март 2025'!$G$5:$G$2427,'март 2025'!$D$5:$D$2427,$B123,'март 2025'!$J$5:$J$2427,H$1)</f>
        <v>0</v>
      </c>
      <c r="I123" s="183">
        <f>SUMIFS('март 2025'!$G$5:$G$2427,'март 2025'!$D$5:$D$2427,$B123,'март 2025'!$J$5:$J$2427,I$1)</f>
        <v>0</v>
      </c>
      <c r="J123" s="183">
        <f>SUMIFS('март 2025'!$G$5:$G$2427,'март 2025'!$D$5:$D$2427,$B123,'март 2025'!$J$5:$J$2427,J$1)</f>
        <v>0</v>
      </c>
      <c r="K123" s="183">
        <f>SUMIFS('март 2025'!$G$5:$G$2427,'март 2025'!$D$5:$D$2427,$B123,'март 2025'!$J$5:$J$2427,K$1)</f>
        <v>0</v>
      </c>
      <c r="L123" s="183">
        <f>SUMIFS('март 2025'!$G$5:$G$2427,'март 2025'!$D$5:$D$2427,$B123,'март 2025'!$J$5:$J$2427,L$1)</f>
        <v>0</v>
      </c>
      <c r="M123" s="183">
        <f>SUMIFS('март 2025'!$G$5:$G$2427,'март 2025'!$D$5:$D$2427,$B123,'март 2025'!$J$5:$J$2427,M$1)</f>
        <v>0</v>
      </c>
      <c r="N123" s="183">
        <f>SUMIFS('март 2025'!$G$5:$G$2427,'март 2025'!$D$5:$D$2427,$B123,'март 2025'!$J$5:$J$2427,N$1)</f>
        <v>0</v>
      </c>
      <c r="O123" s="183">
        <f>SUMIFS('март 2025'!$G$5:$G$2427,'март 2025'!$D$5:$D$2427,$B123,'март 2025'!$J$5:$J$2427,O$1)</f>
        <v>0</v>
      </c>
      <c r="P123" s="183">
        <f>SUMIFS('март 2025'!$G$5:$G$2427,'март 2025'!$D$5:$D$2427,$B123,'март 2025'!$J$5:$J$2427,P$1)</f>
        <v>0</v>
      </c>
      <c r="Q123" s="183">
        <f>SUMIFS('март 2025'!$G$5:$G$2427,'март 2025'!$D$5:$D$2427,$B123,'март 2025'!$J$5:$J$2427,Q$1)</f>
        <v>0</v>
      </c>
      <c r="R123" s="183">
        <f>SUMIFS('март 2025'!$G$5:$G$2427,'март 2025'!$D$5:$D$2427,$B123,'март 2025'!$J$5:$J$2427,R$1)</f>
        <v>0</v>
      </c>
      <c r="S123" s="183">
        <f>SUMIFS('март 2025'!$G$5:$G$2427,'март 2025'!$D$5:$D$2427,$B123,'март 2025'!$J$5:$J$2427,S$1)</f>
        <v>0</v>
      </c>
      <c r="T123" s="183">
        <f>SUMIFS('март 2025'!$G$5:$G$2427,'март 2025'!$D$5:$D$2427,$B123,'март 2025'!$J$5:$J$2427,T$1)</f>
        <v>0</v>
      </c>
      <c r="U123" s="183">
        <f>SUMIFS('март 2025'!$G$5:$G$2427,'март 2025'!$D$5:$D$2427,$B123,'март 2025'!$J$5:$J$2427,U$1)</f>
        <v>0</v>
      </c>
      <c r="V123" s="183">
        <f>SUMIFS('март 2025'!$G$5:$G$2427,'март 2025'!$D$5:$D$2427,$B123,'март 2025'!$J$5:$J$2427,V$1)</f>
        <v>0</v>
      </c>
      <c r="W123" s="183">
        <f>SUMIFS('март 2025'!$G$5:$G$2427,'март 2025'!$D$5:$D$2427,$B123,'март 2025'!$J$5:$J$2427,W$1)</f>
        <v>0</v>
      </c>
      <c r="X123" s="183">
        <f>SUMIFS('март 2025'!$G$5:$G$2427,'март 2025'!$D$5:$D$2427,$B123,'март 2025'!$J$5:$J$2427,X$1)</f>
        <v>80</v>
      </c>
      <c r="Y123" s="183">
        <f>SUMIFS('март 2025'!$G$5:$G$2427,'март 2025'!$D$5:$D$2427,$B123,'март 2025'!$J$5:$J$2427,Y$1)</f>
        <v>0</v>
      </c>
      <c r="Z123" s="183">
        <f>SUMIFS('март 2025'!$G$5:$G$2427,'март 2025'!$D$5:$D$2427,$B123,'март 2025'!$J$5:$J$2427,Z$1)</f>
        <v>0</v>
      </c>
      <c r="AA123" s="183">
        <f>SUMIFS('март 2025'!$G$5:$G$2427,'март 2025'!$D$5:$D$2427,$B123,'март 2025'!$J$5:$J$2427,AA$1)</f>
        <v>0</v>
      </c>
      <c r="AB123" s="183">
        <f>SUMIFS('март 2025'!$G$5:$G$2427,'март 2025'!$D$5:$D$2427,$B123,'март 2025'!$J$5:$J$2427,AB$1)</f>
        <v>0</v>
      </c>
      <c r="AC123" s="183">
        <f>SUMIFS('март 2025'!$G$5:$G$2427,'март 2025'!$D$5:$D$2427,$B123,'март 2025'!$J$5:$J$2427,AC$1)</f>
        <v>0</v>
      </c>
      <c r="AD123" s="183">
        <f>SUMIFS('март 2025'!$G$5:$G$2427,'март 2025'!$D$5:$D$2427,$B123,'март 2025'!$J$5:$J$2427,AD$1)</f>
        <v>0</v>
      </c>
      <c r="AE123" s="183">
        <f>SUMIFS('март 2025'!$G$5:$G$2427,'март 2025'!$D$5:$D$2427,$B123,'март 2025'!$J$5:$J$2427,AE$1)</f>
        <v>0</v>
      </c>
      <c r="AF123" s="183">
        <f>SUMIFS('март 2025'!$G$5:$G$2427,'март 2025'!$D$5:$D$2427,$B123,'март 2025'!$J$5:$J$2427,AF$1)</f>
        <v>0</v>
      </c>
      <c r="AG123" s="183">
        <f>SUMIFS('март 2025'!$G$5:$G$2427,'март 2025'!$D$5:$D$2427,$B123,'март 2025'!$J$5:$J$2427,AG$1)</f>
        <v>0</v>
      </c>
      <c r="AH123" s="183">
        <f>SUMIFS('март 2025'!$G$5:$G$2427,'март 2025'!$D$5:$D$2427,$B123,'март 2025'!$J$5:$J$2427,AH$1)</f>
        <v>0</v>
      </c>
      <c r="AI123" s="20">
        <f t="shared" si="1"/>
        <v>80</v>
      </c>
    </row>
    <row r="124" spans="2:35" ht="15" customHeight="1" x14ac:dyDescent="0.25">
      <c r="B124" s="88" t="s">
        <v>266</v>
      </c>
      <c r="C124" s="86">
        <v>180</v>
      </c>
      <c r="D124" s="183">
        <f>SUMIFS('март 2025'!$G$5:$G$2427,'март 2025'!$D$5:$D$2427,$B124,'март 2025'!$J$5:$J$2427,D$1)</f>
        <v>0</v>
      </c>
      <c r="E124" s="183">
        <f>SUMIFS('март 2025'!$G$5:$G$2427,'март 2025'!$D$5:$D$2427,$B124,'март 2025'!$J$5:$J$2427,E$1)</f>
        <v>0</v>
      </c>
      <c r="F124" s="183">
        <f>SUMIFS('март 2025'!$G$5:$G$2427,'март 2025'!$D$5:$D$2427,$B124,'март 2025'!$J$5:$J$2427,F$1)</f>
        <v>0</v>
      </c>
      <c r="G124" s="183">
        <f>SUMIFS('март 2025'!$G$5:$G$2427,'март 2025'!$D$5:$D$2427,$B124,'март 2025'!$J$5:$J$2427,G$1)</f>
        <v>0</v>
      </c>
      <c r="H124" s="183">
        <f>SUMIFS('март 2025'!$G$5:$G$2427,'март 2025'!$D$5:$D$2427,$B124,'март 2025'!$J$5:$J$2427,H$1)</f>
        <v>0</v>
      </c>
      <c r="I124" s="183">
        <f>SUMIFS('март 2025'!$G$5:$G$2427,'март 2025'!$D$5:$D$2427,$B124,'март 2025'!$J$5:$J$2427,I$1)</f>
        <v>0</v>
      </c>
      <c r="J124" s="183">
        <f>SUMIFS('март 2025'!$G$5:$G$2427,'март 2025'!$D$5:$D$2427,$B124,'март 2025'!$J$5:$J$2427,J$1)</f>
        <v>0</v>
      </c>
      <c r="K124" s="183">
        <f>SUMIFS('март 2025'!$G$5:$G$2427,'март 2025'!$D$5:$D$2427,$B124,'март 2025'!$J$5:$J$2427,K$1)</f>
        <v>0</v>
      </c>
      <c r="L124" s="183">
        <f>SUMIFS('март 2025'!$G$5:$G$2427,'март 2025'!$D$5:$D$2427,$B124,'март 2025'!$J$5:$J$2427,L$1)</f>
        <v>0</v>
      </c>
      <c r="M124" s="183">
        <f>SUMIFS('март 2025'!$G$5:$G$2427,'март 2025'!$D$5:$D$2427,$B124,'март 2025'!$J$5:$J$2427,M$1)</f>
        <v>0</v>
      </c>
      <c r="N124" s="183">
        <f>SUMIFS('март 2025'!$G$5:$G$2427,'март 2025'!$D$5:$D$2427,$B124,'март 2025'!$J$5:$J$2427,N$1)</f>
        <v>0</v>
      </c>
      <c r="O124" s="183">
        <f>SUMIFS('март 2025'!$G$5:$G$2427,'март 2025'!$D$5:$D$2427,$B124,'март 2025'!$J$5:$J$2427,O$1)</f>
        <v>0</v>
      </c>
      <c r="P124" s="183">
        <f>SUMIFS('март 2025'!$G$5:$G$2427,'март 2025'!$D$5:$D$2427,$B124,'март 2025'!$J$5:$J$2427,P$1)</f>
        <v>0</v>
      </c>
      <c r="Q124" s="183">
        <f>SUMIFS('март 2025'!$G$5:$G$2427,'март 2025'!$D$5:$D$2427,$B124,'март 2025'!$J$5:$J$2427,Q$1)</f>
        <v>0</v>
      </c>
      <c r="R124" s="183">
        <f>SUMIFS('март 2025'!$G$5:$G$2427,'март 2025'!$D$5:$D$2427,$B124,'март 2025'!$J$5:$J$2427,R$1)</f>
        <v>0</v>
      </c>
      <c r="S124" s="183">
        <f>SUMIFS('март 2025'!$G$5:$G$2427,'март 2025'!$D$5:$D$2427,$B124,'март 2025'!$J$5:$J$2427,S$1)</f>
        <v>0</v>
      </c>
      <c r="T124" s="183">
        <f>SUMIFS('март 2025'!$G$5:$G$2427,'март 2025'!$D$5:$D$2427,$B124,'март 2025'!$J$5:$J$2427,T$1)</f>
        <v>0</v>
      </c>
      <c r="U124" s="183">
        <f>SUMIFS('март 2025'!$G$5:$G$2427,'март 2025'!$D$5:$D$2427,$B124,'март 2025'!$J$5:$J$2427,U$1)</f>
        <v>0</v>
      </c>
      <c r="V124" s="183">
        <f>SUMIFS('март 2025'!$G$5:$G$2427,'март 2025'!$D$5:$D$2427,$B124,'март 2025'!$J$5:$J$2427,V$1)</f>
        <v>0</v>
      </c>
      <c r="W124" s="183">
        <f>SUMIFS('март 2025'!$G$5:$G$2427,'март 2025'!$D$5:$D$2427,$B124,'март 2025'!$J$5:$J$2427,W$1)</f>
        <v>0</v>
      </c>
      <c r="X124" s="183">
        <f>SUMIFS('март 2025'!$G$5:$G$2427,'март 2025'!$D$5:$D$2427,$B124,'март 2025'!$J$5:$J$2427,X$1)</f>
        <v>0</v>
      </c>
      <c r="Y124" s="183">
        <f>SUMIFS('март 2025'!$G$5:$G$2427,'март 2025'!$D$5:$D$2427,$B124,'март 2025'!$J$5:$J$2427,Y$1)</f>
        <v>0</v>
      </c>
      <c r="Z124" s="183">
        <f>SUMIFS('март 2025'!$G$5:$G$2427,'март 2025'!$D$5:$D$2427,$B124,'март 2025'!$J$5:$J$2427,Z$1)</f>
        <v>0</v>
      </c>
      <c r="AA124" s="183">
        <f>SUMIFS('март 2025'!$G$5:$G$2427,'март 2025'!$D$5:$D$2427,$B124,'март 2025'!$J$5:$J$2427,AA$1)</f>
        <v>0</v>
      </c>
      <c r="AB124" s="183">
        <f>SUMIFS('март 2025'!$G$5:$G$2427,'март 2025'!$D$5:$D$2427,$B124,'март 2025'!$J$5:$J$2427,AB$1)</f>
        <v>0</v>
      </c>
      <c r="AC124" s="183">
        <f>SUMIFS('март 2025'!$G$5:$G$2427,'март 2025'!$D$5:$D$2427,$B124,'март 2025'!$J$5:$J$2427,AC$1)</f>
        <v>0</v>
      </c>
      <c r="AD124" s="183">
        <f>SUMIFS('март 2025'!$G$5:$G$2427,'март 2025'!$D$5:$D$2427,$B124,'март 2025'!$J$5:$J$2427,AD$1)</f>
        <v>0</v>
      </c>
      <c r="AE124" s="183">
        <f>SUMIFS('март 2025'!$G$5:$G$2427,'март 2025'!$D$5:$D$2427,$B124,'март 2025'!$J$5:$J$2427,AE$1)</f>
        <v>0</v>
      </c>
      <c r="AF124" s="183">
        <f>SUMIFS('март 2025'!$G$5:$G$2427,'март 2025'!$D$5:$D$2427,$B124,'март 2025'!$J$5:$J$2427,AF$1)</f>
        <v>0</v>
      </c>
      <c r="AG124" s="183">
        <f>SUMIFS('март 2025'!$G$5:$G$2427,'март 2025'!$D$5:$D$2427,$B124,'март 2025'!$J$5:$J$2427,AG$1)</f>
        <v>0</v>
      </c>
      <c r="AH124" s="183">
        <f>SUMIFS('март 2025'!$G$5:$G$2427,'март 2025'!$D$5:$D$2427,$B124,'март 2025'!$J$5:$J$2427,AH$1)</f>
        <v>0</v>
      </c>
      <c r="AI124" s="20">
        <f t="shared" si="1"/>
        <v>0</v>
      </c>
    </row>
    <row r="125" spans="2:35" ht="15" customHeight="1" x14ac:dyDescent="0.25">
      <c r="B125" s="88" t="s">
        <v>267</v>
      </c>
      <c r="C125" s="86">
        <v>200</v>
      </c>
      <c r="D125" s="183">
        <f>SUMIFS('март 2025'!$G$5:$G$2427,'март 2025'!$D$5:$D$2427,$B125,'март 2025'!$J$5:$J$2427,D$1)</f>
        <v>0</v>
      </c>
      <c r="E125" s="183">
        <f>SUMIFS('март 2025'!$G$5:$G$2427,'март 2025'!$D$5:$D$2427,$B125,'март 2025'!$J$5:$J$2427,E$1)</f>
        <v>0</v>
      </c>
      <c r="F125" s="183">
        <f>SUMIFS('март 2025'!$G$5:$G$2427,'март 2025'!$D$5:$D$2427,$B125,'март 2025'!$J$5:$J$2427,F$1)</f>
        <v>0</v>
      </c>
      <c r="G125" s="183">
        <f>SUMIFS('март 2025'!$G$5:$G$2427,'март 2025'!$D$5:$D$2427,$B125,'март 2025'!$J$5:$J$2427,G$1)</f>
        <v>0</v>
      </c>
      <c r="H125" s="183">
        <f>SUMIFS('март 2025'!$G$5:$G$2427,'март 2025'!$D$5:$D$2427,$B125,'март 2025'!$J$5:$J$2427,H$1)</f>
        <v>0</v>
      </c>
      <c r="I125" s="183">
        <f>SUMIFS('март 2025'!$G$5:$G$2427,'март 2025'!$D$5:$D$2427,$B125,'март 2025'!$J$5:$J$2427,I$1)</f>
        <v>0</v>
      </c>
      <c r="J125" s="183">
        <f>SUMIFS('март 2025'!$G$5:$G$2427,'март 2025'!$D$5:$D$2427,$B125,'март 2025'!$J$5:$J$2427,J$1)</f>
        <v>0</v>
      </c>
      <c r="K125" s="183">
        <f>SUMIFS('март 2025'!$G$5:$G$2427,'март 2025'!$D$5:$D$2427,$B125,'март 2025'!$J$5:$J$2427,K$1)</f>
        <v>0</v>
      </c>
      <c r="L125" s="183">
        <f>SUMIFS('март 2025'!$G$5:$G$2427,'март 2025'!$D$5:$D$2427,$B125,'март 2025'!$J$5:$J$2427,L$1)</f>
        <v>0</v>
      </c>
      <c r="M125" s="183">
        <f>SUMIFS('март 2025'!$G$5:$G$2427,'март 2025'!$D$5:$D$2427,$B125,'март 2025'!$J$5:$J$2427,M$1)</f>
        <v>0</v>
      </c>
      <c r="N125" s="183">
        <f>SUMIFS('март 2025'!$G$5:$G$2427,'март 2025'!$D$5:$D$2427,$B125,'март 2025'!$J$5:$J$2427,N$1)</f>
        <v>0</v>
      </c>
      <c r="O125" s="183">
        <f>SUMIFS('март 2025'!$G$5:$G$2427,'март 2025'!$D$5:$D$2427,$B125,'март 2025'!$J$5:$J$2427,O$1)</f>
        <v>0</v>
      </c>
      <c r="P125" s="183">
        <f>SUMIFS('март 2025'!$G$5:$G$2427,'март 2025'!$D$5:$D$2427,$B125,'март 2025'!$J$5:$J$2427,P$1)</f>
        <v>0</v>
      </c>
      <c r="Q125" s="183">
        <f>SUMIFS('март 2025'!$G$5:$G$2427,'март 2025'!$D$5:$D$2427,$B125,'март 2025'!$J$5:$J$2427,Q$1)</f>
        <v>0</v>
      </c>
      <c r="R125" s="183">
        <f>SUMIFS('март 2025'!$G$5:$G$2427,'март 2025'!$D$5:$D$2427,$B125,'март 2025'!$J$5:$J$2427,R$1)</f>
        <v>0</v>
      </c>
      <c r="S125" s="183">
        <f>SUMIFS('март 2025'!$G$5:$G$2427,'март 2025'!$D$5:$D$2427,$B125,'март 2025'!$J$5:$J$2427,S$1)</f>
        <v>0</v>
      </c>
      <c r="T125" s="183">
        <f>SUMIFS('март 2025'!$G$5:$G$2427,'март 2025'!$D$5:$D$2427,$B125,'март 2025'!$J$5:$J$2427,T$1)</f>
        <v>0</v>
      </c>
      <c r="U125" s="183">
        <f>SUMIFS('март 2025'!$G$5:$G$2427,'март 2025'!$D$5:$D$2427,$B125,'март 2025'!$J$5:$J$2427,U$1)</f>
        <v>0</v>
      </c>
      <c r="V125" s="183">
        <f>SUMIFS('март 2025'!$G$5:$G$2427,'март 2025'!$D$5:$D$2427,$B125,'март 2025'!$J$5:$J$2427,V$1)</f>
        <v>0</v>
      </c>
      <c r="W125" s="183">
        <f>SUMIFS('март 2025'!$G$5:$G$2427,'март 2025'!$D$5:$D$2427,$B125,'март 2025'!$J$5:$J$2427,W$1)</f>
        <v>0</v>
      </c>
      <c r="X125" s="183">
        <f>SUMIFS('март 2025'!$G$5:$G$2427,'март 2025'!$D$5:$D$2427,$B125,'март 2025'!$J$5:$J$2427,X$1)</f>
        <v>0</v>
      </c>
      <c r="Y125" s="183">
        <f>SUMIFS('март 2025'!$G$5:$G$2427,'март 2025'!$D$5:$D$2427,$B125,'март 2025'!$J$5:$J$2427,Y$1)</f>
        <v>0</v>
      </c>
      <c r="Z125" s="183">
        <f>SUMIFS('март 2025'!$G$5:$G$2427,'март 2025'!$D$5:$D$2427,$B125,'март 2025'!$J$5:$J$2427,Z$1)</f>
        <v>0</v>
      </c>
      <c r="AA125" s="183">
        <f>SUMIFS('март 2025'!$G$5:$G$2427,'март 2025'!$D$5:$D$2427,$B125,'март 2025'!$J$5:$J$2427,AA$1)</f>
        <v>88</v>
      </c>
      <c r="AB125" s="183">
        <f>SUMIFS('март 2025'!$G$5:$G$2427,'март 2025'!$D$5:$D$2427,$B125,'март 2025'!$J$5:$J$2427,AB$1)</f>
        <v>0</v>
      </c>
      <c r="AC125" s="183">
        <f>SUMIFS('март 2025'!$G$5:$G$2427,'март 2025'!$D$5:$D$2427,$B125,'март 2025'!$J$5:$J$2427,AC$1)</f>
        <v>0</v>
      </c>
      <c r="AD125" s="183">
        <f>SUMIFS('март 2025'!$G$5:$G$2427,'март 2025'!$D$5:$D$2427,$B125,'март 2025'!$J$5:$J$2427,AD$1)</f>
        <v>0</v>
      </c>
      <c r="AE125" s="183">
        <f>SUMIFS('март 2025'!$G$5:$G$2427,'март 2025'!$D$5:$D$2427,$B125,'март 2025'!$J$5:$J$2427,AE$1)</f>
        <v>0</v>
      </c>
      <c r="AF125" s="183">
        <f>SUMIFS('март 2025'!$G$5:$G$2427,'март 2025'!$D$5:$D$2427,$B125,'март 2025'!$J$5:$J$2427,AF$1)</f>
        <v>0</v>
      </c>
      <c r="AG125" s="183">
        <f>SUMIFS('март 2025'!$G$5:$G$2427,'март 2025'!$D$5:$D$2427,$B125,'март 2025'!$J$5:$J$2427,AG$1)</f>
        <v>0</v>
      </c>
      <c r="AH125" s="183">
        <f>SUMIFS('март 2025'!$G$5:$G$2427,'март 2025'!$D$5:$D$2427,$B125,'март 2025'!$J$5:$J$2427,AH$1)</f>
        <v>88</v>
      </c>
      <c r="AI125" s="20">
        <f t="shared" si="1"/>
        <v>176</v>
      </c>
    </row>
    <row r="126" spans="2:35" ht="15" customHeight="1" x14ac:dyDescent="0.25">
      <c r="B126" s="84" t="s">
        <v>163</v>
      </c>
      <c r="C126" s="83">
        <v>950</v>
      </c>
      <c r="D126" s="183">
        <f>SUMIFS('март 2025'!$G$5:$G$2427,'март 2025'!$D$5:$D$2427,$B126,'март 2025'!$J$5:$J$2427,D$1)</f>
        <v>0</v>
      </c>
      <c r="E126" s="183">
        <f>SUMIFS('март 2025'!$G$5:$G$2427,'март 2025'!$D$5:$D$2427,$B126,'март 2025'!$J$5:$J$2427,E$1)</f>
        <v>0</v>
      </c>
      <c r="F126" s="183">
        <f>SUMIFS('март 2025'!$G$5:$G$2427,'март 2025'!$D$5:$D$2427,$B126,'март 2025'!$J$5:$J$2427,F$1)</f>
        <v>0</v>
      </c>
      <c r="G126" s="183">
        <f>SUMIFS('март 2025'!$G$5:$G$2427,'март 2025'!$D$5:$D$2427,$B126,'март 2025'!$J$5:$J$2427,G$1)</f>
        <v>0</v>
      </c>
      <c r="H126" s="183">
        <f>SUMIFS('март 2025'!$G$5:$G$2427,'март 2025'!$D$5:$D$2427,$B126,'март 2025'!$J$5:$J$2427,H$1)</f>
        <v>0</v>
      </c>
      <c r="I126" s="183">
        <f>SUMIFS('март 2025'!$G$5:$G$2427,'март 2025'!$D$5:$D$2427,$B126,'март 2025'!$J$5:$J$2427,I$1)</f>
        <v>0</v>
      </c>
      <c r="J126" s="183">
        <f>SUMIFS('март 2025'!$G$5:$G$2427,'март 2025'!$D$5:$D$2427,$B126,'март 2025'!$J$5:$J$2427,J$1)</f>
        <v>0</v>
      </c>
      <c r="K126" s="183">
        <f>SUMIFS('март 2025'!$G$5:$G$2427,'март 2025'!$D$5:$D$2427,$B126,'март 2025'!$J$5:$J$2427,K$1)</f>
        <v>0</v>
      </c>
      <c r="L126" s="183">
        <f>SUMIFS('март 2025'!$G$5:$G$2427,'март 2025'!$D$5:$D$2427,$B126,'март 2025'!$J$5:$J$2427,L$1)</f>
        <v>0</v>
      </c>
      <c r="M126" s="183">
        <f>SUMIFS('март 2025'!$G$5:$G$2427,'март 2025'!$D$5:$D$2427,$B126,'март 2025'!$J$5:$J$2427,M$1)</f>
        <v>0</v>
      </c>
      <c r="N126" s="183">
        <f>SUMIFS('март 2025'!$G$5:$G$2427,'март 2025'!$D$5:$D$2427,$B126,'март 2025'!$J$5:$J$2427,N$1)</f>
        <v>0</v>
      </c>
      <c r="O126" s="183">
        <f>SUMIFS('март 2025'!$G$5:$G$2427,'март 2025'!$D$5:$D$2427,$B126,'март 2025'!$J$5:$J$2427,O$1)</f>
        <v>0</v>
      </c>
      <c r="P126" s="183">
        <f>SUMIFS('март 2025'!$G$5:$G$2427,'март 2025'!$D$5:$D$2427,$B126,'март 2025'!$J$5:$J$2427,P$1)</f>
        <v>0</v>
      </c>
      <c r="Q126" s="183">
        <f>SUMIFS('март 2025'!$G$5:$G$2427,'март 2025'!$D$5:$D$2427,$B126,'март 2025'!$J$5:$J$2427,Q$1)</f>
        <v>0</v>
      </c>
      <c r="R126" s="183">
        <f>SUMIFS('март 2025'!$G$5:$G$2427,'март 2025'!$D$5:$D$2427,$B126,'март 2025'!$J$5:$J$2427,R$1)</f>
        <v>0</v>
      </c>
      <c r="S126" s="183">
        <f>SUMIFS('март 2025'!$G$5:$G$2427,'март 2025'!$D$5:$D$2427,$B126,'март 2025'!$J$5:$J$2427,S$1)</f>
        <v>0</v>
      </c>
      <c r="T126" s="183">
        <f>SUMIFS('март 2025'!$G$5:$G$2427,'март 2025'!$D$5:$D$2427,$B126,'март 2025'!$J$5:$J$2427,T$1)</f>
        <v>0</v>
      </c>
      <c r="U126" s="183">
        <f>SUMIFS('март 2025'!$G$5:$G$2427,'март 2025'!$D$5:$D$2427,$B126,'март 2025'!$J$5:$J$2427,U$1)</f>
        <v>0</v>
      </c>
      <c r="V126" s="183">
        <f>SUMIFS('март 2025'!$G$5:$G$2427,'март 2025'!$D$5:$D$2427,$B126,'март 2025'!$J$5:$J$2427,V$1)</f>
        <v>0</v>
      </c>
      <c r="W126" s="183">
        <f>SUMIFS('март 2025'!$G$5:$G$2427,'март 2025'!$D$5:$D$2427,$B126,'март 2025'!$J$5:$J$2427,W$1)</f>
        <v>0</v>
      </c>
      <c r="X126" s="183">
        <f>SUMIFS('март 2025'!$G$5:$G$2427,'март 2025'!$D$5:$D$2427,$B126,'март 2025'!$J$5:$J$2427,X$1)</f>
        <v>0</v>
      </c>
      <c r="Y126" s="183">
        <f>SUMIFS('март 2025'!$G$5:$G$2427,'март 2025'!$D$5:$D$2427,$B126,'март 2025'!$J$5:$J$2427,Y$1)</f>
        <v>0</v>
      </c>
      <c r="Z126" s="183">
        <f>SUMIFS('март 2025'!$G$5:$G$2427,'март 2025'!$D$5:$D$2427,$B126,'март 2025'!$J$5:$J$2427,Z$1)</f>
        <v>0</v>
      </c>
      <c r="AA126" s="183">
        <f>SUMIFS('март 2025'!$G$5:$G$2427,'март 2025'!$D$5:$D$2427,$B126,'март 2025'!$J$5:$J$2427,AA$1)</f>
        <v>0</v>
      </c>
      <c r="AB126" s="183">
        <f>SUMIFS('март 2025'!$G$5:$G$2427,'март 2025'!$D$5:$D$2427,$B126,'март 2025'!$J$5:$J$2427,AB$1)</f>
        <v>0</v>
      </c>
      <c r="AC126" s="183">
        <f>SUMIFS('март 2025'!$G$5:$G$2427,'март 2025'!$D$5:$D$2427,$B126,'март 2025'!$J$5:$J$2427,AC$1)</f>
        <v>0</v>
      </c>
      <c r="AD126" s="183">
        <f>SUMIFS('март 2025'!$G$5:$G$2427,'март 2025'!$D$5:$D$2427,$B126,'март 2025'!$J$5:$J$2427,AD$1)</f>
        <v>0</v>
      </c>
      <c r="AE126" s="183">
        <f>SUMIFS('март 2025'!$G$5:$G$2427,'март 2025'!$D$5:$D$2427,$B126,'март 2025'!$J$5:$J$2427,AE$1)</f>
        <v>0</v>
      </c>
      <c r="AF126" s="183">
        <f>SUMIFS('март 2025'!$G$5:$G$2427,'март 2025'!$D$5:$D$2427,$B126,'март 2025'!$J$5:$J$2427,AF$1)</f>
        <v>0</v>
      </c>
      <c r="AG126" s="183">
        <f>SUMIFS('март 2025'!$G$5:$G$2427,'март 2025'!$D$5:$D$2427,$B126,'март 2025'!$J$5:$J$2427,AG$1)</f>
        <v>0</v>
      </c>
      <c r="AH126" s="183">
        <f>SUMIFS('март 2025'!$G$5:$G$2427,'март 2025'!$D$5:$D$2427,$B126,'март 2025'!$J$5:$J$2427,AH$1)</f>
        <v>0</v>
      </c>
      <c r="AI126" s="20">
        <f t="shared" si="1"/>
        <v>0</v>
      </c>
    </row>
    <row r="127" spans="2:35" ht="15" customHeight="1" x14ac:dyDescent="0.25">
      <c r="B127" s="84" t="s">
        <v>183</v>
      </c>
      <c r="C127" s="83">
        <v>180</v>
      </c>
      <c r="D127" s="183">
        <f>SUMIFS('март 2025'!$G$5:$G$2427,'март 2025'!$D$5:$D$2427,$B127,'март 2025'!$J$5:$J$2427,D$1)</f>
        <v>0</v>
      </c>
      <c r="E127" s="183">
        <f>SUMIFS('март 2025'!$G$5:$G$2427,'март 2025'!$D$5:$D$2427,$B127,'март 2025'!$J$5:$J$2427,E$1)</f>
        <v>0</v>
      </c>
      <c r="F127" s="183">
        <f>SUMIFS('март 2025'!$G$5:$G$2427,'март 2025'!$D$5:$D$2427,$B127,'март 2025'!$J$5:$J$2427,F$1)</f>
        <v>0</v>
      </c>
      <c r="G127" s="183">
        <f>SUMIFS('март 2025'!$G$5:$G$2427,'март 2025'!$D$5:$D$2427,$B127,'март 2025'!$J$5:$J$2427,G$1)</f>
        <v>0</v>
      </c>
      <c r="H127" s="183">
        <f>SUMIFS('март 2025'!$G$5:$G$2427,'март 2025'!$D$5:$D$2427,$B127,'март 2025'!$J$5:$J$2427,H$1)</f>
        <v>0</v>
      </c>
      <c r="I127" s="183">
        <f>SUMIFS('март 2025'!$G$5:$G$2427,'март 2025'!$D$5:$D$2427,$B127,'март 2025'!$J$5:$J$2427,I$1)</f>
        <v>0</v>
      </c>
      <c r="J127" s="183">
        <f>SUMIFS('март 2025'!$G$5:$G$2427,'март 2025'!$D$5:$D$2427,$B127,'март 2025'!$J$5:$J$2427,J$1)</f>
        <v>0</v>
      </c>
      <c r="K127" s="183">
        <f>SUMIFS('март 2025'!$G$5:$G$2427,'март 2025'!$D$5:$D$2427,$B127,'март 2025'!$J$5:$J$2427,K$1)</f>
        <v>0</v>
      </c>
      <c r="L127" s="183">
        <f>SUMIFS('март 2025'!$G$5:$G$2427,'март 2025'!$D$5:$D$2427,$B127,'март 2025'!$J$5:$J$2427,L$1)</f>
        <v>0</v>
      </c>
      <c r="M127" s="183">
        <f>SUMIFS('март 2025'!$G$5:$G$2427,'март 2025'!$D$5:$D$2427,$B127,'март 2025'!$J$5:$J$2427,M$1)</f>
        <v>0</v>
      </c>
      <c r="N127" s="183">
        <f>SUMIFS('март 2025'!$G$5:$G$2427,'март 2025'!$D$5:$D$2427,$B127,'март 2025'!$J$5:$J$2427,N$1)</f>
        <v>0</v>
      </c>
      <c r="O127" s="183">
        <f>SUMIFS('март 2025'!$G$5:$G$2427,'март 2025'!$D$5:$D$2427,$B127,'март 2025'!$J$5:$J$2427,O$1)</f>
        <v>0</v>
      </c>
      <c r="P127" s="183">
        <f>SUMIFS('март 2025'!$G$5:$G$2427,'март 2025'!$D$5:$D$2427,$B127,'март 2025'!$J$5:$J$2427,P$1)</f>
        <v>0</v>
      </c>
      <c r="Q127" s="183">
        <f>SUMIFS('март 2025'!$G$5:$G$2427,'март 2025'!$D$5:$D$2427,$B127,'март 2025'!$J$5:$J$2427,Q$1)</f>
        <v>0</v>
      </c>
      <c r="R127" s="183">
        <f>SUMIFS('март 2025'!$G$5:$G$2427,'март 2025'!$D$5:$D$2427,$B127,'март 2025'!$J$5:$J$2427,R$1)</f>
        <v>0</v>
      </c>
      <c r="S127" s="183">
        <f>SUMIFS('март 2025'!$G$5:$G$2427,'март 2025'!$D$5:$D$2427,$B127,'март 2025'!$J$5:$J$2427,S$1)</f>
        <v>0</v>
      </c>
      <c r="T127" s="183">
        <f>SUMIFS('март 2025'!$G$5:$G$2427,'март 2025'!$D$5:$D$2427,$B127,'март 2025'!$J$5:$J$2427,T$1)</f>
        <v>0</v>
      </c>
      <c r="U127" s="183">
        <f>SUMIFS('март 2025'!$G$5:$G$2427,'март 2025'!$D$5:$D$2427,$B127,'март 2025'!$J$5:$J$2427,U$1)</f>
        <v>0</v>
      </c>
      <c r="V127" s="183">
        <f>SUMIFS('март 2025'!$G$5:$G$2427,'март 2025'!$D$5:$D$2427,$B127,'март 2025'!$J$5:$J$2427,V$1)</f>
        <v>0</v>
      </c>
      <c r="W127" s="183">
        <f>SUMIFS('март 2025'!$G$5:$G$2427,'март 2025'!$D$5:$D$2427,$B127,'март 2025'!$J$5:$J$2427,W$1)</f>
        <v>0</v>
      </c>
      <c r="X127" s="183">
        <f>SUMIFS('март 2025'!$G$5:$G$2427,'март 2025'!$D$5:$D$2427,$B127,'март 2025'!$J$5:$J$2427,X$1)</f>
        <v>0</v>
      </c>
      <c r="Y127" s="183">
        <f>SUMIFS('март 2025'!$G$5:$G$2427,'март 2025'!$D$5:$D$2427,$B127,'март 2025'!$J$5:$J$2427,Y$1)</f>
        <v>0</v>
      </c>
      <c r="Z127" s="183">
        <f>SUMIFS('март 2025'!$G$5:$G$2427,'март 2025'!$D$5:$D$2427,$B127,'март 2025'!$J$5:$J$2427,Z$1)</f>
        <v>0</v>
      </c>
      <c r="AA127" s="183">
        <f>SUMIFS('март 2025'!$G$5:$G$2427,'март 2025'!$D$5:$D$2427,$B127,'март 2025'!$J$5:$J$2427,AA$1)</f>
        <v>0</v>
      </c>
      <c r="AB127" s="183">
        <f>SUMIFS('март 2025'!$G$5:$G$2427,'март 2025'!$D$5:$D$2427,$B127,'март 2025'!$J$5:$J$2427,AB$1)</f>
        <v>0</v>
      </c>
      <c r="AC127" s="183">
        <f>SUMIFS('март 2025'!$G$5:$G$2427,'март 2025'!$D$5:$D$2427,$B127,'март 2025'!$J$5:$J$2427,AC$1)</f>
        <v>0</v>
      </c>
      <c r="AD127" s="183">
        <f>SUMIFS('март 2025'!$G$5:$G$2427,'март 2025'!$D$5:$D$2427,$B127,'март 2025'!$J$5:$J$2427,AD$1)</f>
        <v>0</v>
      </c>
      <c r="AE127" s="183">
        <f>SUMIFS('март 2025'!$G$5:$G$2427,'март 2025'!$D$5:$D$2427,$B127,'март 2025'!$J$5:$J$2427,AE$1)</f>
        <v>0</v>
      </c>
      <c r="AF127" s="183">
        <f>SUMIFS('март 2025'!$G$5:$G$2427,'март 2025'!$D$5:$D$2427,$B127,'март 2025'!$J$5:$J$2427,AF$1)</f>
        <v>0</v>
      </c>
      <c r="AG127" s="183">
        <f>SUMIFS('март 2025'!$G$5:$G$2427,'март 2025'!$D$5:$D$2427,$B127,'март 2025'!$J$5:$J$2427,AG$1)</f>
        <v>0</v>
      </c>
      <c r="AH127" s="183">
        <f>SUMIFS('март 2025'!$G$5:$G$2427,'март 2025'!$D$5:$D$2427,$B127,'март 2025'!$J$5:$J$2427,AH$1)</f>
        <v>0</v>
      </c>
      <c r="AI127" s="20">
        <f t="shared" si="1"/>
        <v>0</v>
      </c>
    </row>
    <row r="128" spans="2:35" ht="15" customHeight="1" x14ac:dyDescent="0.25">
      <c r="B128" s="84" t="s">
        <v>305</v>
      </c>
      <c r="C128" s="83">
        <v>180</v>
      </c>
      <c r="D128" s="183">
        <f>SUMIFS('март 2025'!$G$5:$G$2427,'март 2025'!$D$5:$D$2427,$B128,'март 2025'!$J$5:$J$2427,D$1)</f>
        <v>0</v>
      </c>
      <c r="E128" s="183">
        <f>SUMIFS('март 2025'!$G$5:$G$2427,'март 2025'!$D$5:$D$2427,$B128,'март 2025'!$J$5:$J$2427,E$1)</f>
        <v>0</v>
      </c>
      <c r="F128" s="183">
        <f>SUMIFS('март 2025'!$G$5:$G$2427,'март 2025'!$D$5:$D$2427,$B128,'март 2025'!$J$5:$J$2427,F$1)</f>
        <v>0</v>
      </c>
      <c r="G128" s="183">
        <f>SUMIFS('март 2025'!$G$5:$G$2427,'март 2025'!$D$5:$D$2427,$B128,'март 2025'!$J$5:$J$2427,G$1)</f>
        <v>0</v>
      </c>
      <c r="H128" s="183">
        <f>SUMIFS('март 2025'!$G$5:$G$2427,'март 2025'!$D$5:$D$2427,$B128,'март 2025'!$J$5:$J$2427,H$1)</f>
        <v>0</v>
      </c>
      <c r="I128" s="183">
        <f>SUMIFS('март 2025'!$G$5:$G$2427,'март 2025'!$D$5:$D$2427,$B128,'март 2025'!$J$5:$J$2427,I$1)</f>
        <v>0</v>
      </c>
      <c r="J128" s="183">
        <f>SUMIFS('март 2025'!$G$5:$G$2427,'март 2025'!$D$5:$D$2427,$B128,'март 2025'!$J$5:$J$2427,J$1)</f>
        <v>0</v>
      </c>
      <c r="K128" s="183">
        <f>SUMIFS('март 2025'!$G$5:$G$2427,'март 2025'!$D$5:$D$2427,$B128,'март 2025'!$J$5:$J$2427,K$1)</f>
        <v>0</v>
      </c>
      <c r="L128" s="183">
        <f>SUMIFS('март 2025'!$G$5:$G$2427,'март 2025'!$D$5:$D$2427,$B128,'март 2025'!$J$5:$J$2427,L$1)</f>
        <v>0</v>
      </c>
      <c r="M128" s="183">
        <f>SUMIFS('март 2025'!$G$5:$G$2427,'март 2025'!$D$5:$D$2427,$B128,'март 2025'!$J$5:$J$2427,M$1)</f>
        <v>0</v>
      </c>
      <c r="N128" s="183">
        <f>SUMIFS('март 2025'!$G$5:$G$2427,'март 2025'!$D$5:$D$2427,$B128,'март 2025'!$J$5:$J$2427,N$1)</f>
        <v>0</v>
      </c>
      <c r="O128" s="183">
        <f>SUMIFS('март 2025'!$G$5:$G$2427,'март 2025'!$D$5:$D$2427,$B128,'март 2025'!$J$5:$J$2427,O$1)</f>
        <v>0</v>
      </c>
      <c r="P128" s="183">
        <f>SUMIFS('март 2025'!$G$5:$G$2427,'март 2025'!$D$5:$D$2427,$B128,'март 2025'!$J$5:$J$2427,P$1)</f>
        <v>0</v>
      </c>
      <c r="Q128" s="183">
        <f>SUMIFS('март 2025'!$G$5:$G$2427,'март 2025'!$D$5:$D$2427,$B128,'март 2025'!$J$5:$J$2427,Q$1)</f>
        <v>0</v>
      </c>
      <c r="R128" s="183">
        <f>SUMIFS('март 2025'!$G$5:$G$2427,'март 2025'!$D$5:$D$2427,$B128,'март 2025'!$J$5:$J$2427,R$1)</f>
        <v>0</v>
      </c>
      <c r="S128" s="183">
        <f>SUMIFS('март 2025'!$G$5:$G$2427,'март 2025'!$D$5:$D$2427,$B128,'март 2025'!$J$5:$J$2427,S$1)</f>
        <v>0</v>
      </c>
      <c r="T128" s="183">
        <f>SUMIFS('март 2025'!$G$5:$G$2427,'март 2025'!$D$5:$D$2427,$B128,'март 2025'!$J$5:$J$2427,T$1)</f>
        <v>0</v>
      </c>
      <c r="U128" s="183">
        <f>SUMIFS('март 2025'!$G$5:$G$2427,'март 2025'!$D$5:$D$2427,$B128,'март 2025'!$J$5:$J$2427,U$1)</f>
        <v>0</v>
      </c>
      <c r="V128" s="183">
        <f>SUMIFS('март 2025'!$G$5:$G$2427,'март 2025'!$D$5:$D$2427,$B128,'март 2025'!$J$5:$J$2427,V$1)</f>
        <v>0</v>
      </c>
      <c r="W128" s="183">
        <f>SUMIFS('март 2025'!$G$5:$G$2427,'март 2025'!$D$5:$D$2427,$B128,'март 2025'!$J$5:$J$2427,W$1)</f>
        <v>0</v>
      </c>
      <c r="X128" s="183">
        <f>SUMIFS('март 2025'!$G$5:$G$2427,'март 2025'!$D$5:$D$2427,$B128,'март 2025'!$J$5:$J$2427,X$1)</f>
        <v>0</v>
      </c>
      <c r="Y128" s="183">
        <f>SUMIFS('март 2025'!$G$5:$G$2427,'март 2025'!$D$5:$D$2427,$B128,'март 2025'!$J$5:$J$2427,Y$1)</f>
        <v>0</v>
      </c>
      <c r="Z128" s="183">
        <f>SUMIFS('март 2025'!$G$5:$G$2427,'март 2025'!$D$5:$D$2427,$B128,'март 2025'!$J$5:$J$2427,Z$1)</f>
        <v>0</v>
      </c>
      <c r="AA128" s="183">
        <f>SUMIFS('март 2025'!$G$5:$G$2427,'март 2025'!$D$5:$D$2427,$B128,'март 2025'!$J$5:$J$2427,AA$1)</f>
        <v>0</v>
      </c>
      <c r="AB128" s="183">
        <f>SUMIFS('март 2025'!$G$5:$G$2427,'март 2025'!$D$5:$D$2427,$B128,'март 2025'!$J$5:$J$2427,AB$1)</f>
        <v>0</v>
      </c>
      <c r="AC128" s="183">
        <f>SUMIFS('март 2025'!$G$5:$G$2427,'март 2025'!$D$5:$D$2427,$B128,'март 2025'!$J$5:$J$2427,AC$1)</f>
        <v>0</v>
      </c>
      <c r="AD128" s="183">
        <f>SUMIFS('март 2025'!$G$5:$G$2427,'март 2025'!$D$5:$D$2427,$B128,'март 2025'!$J$5:$J$2427,AD$1)</f>
        <v>0</v>
      </c>
      <c r="AE128" s="183">
        <f>SUMIFS('март 2025'!$G$5:$G$2427,'март 2025'!$D$5:$D$2427,$B128,'март 2025'!$J$5:$J$2427,AE$1)</f>
        <v>0</v>
      </c>
      <c r="AF128" s="183">
        <f>SUMIFS('март 2025'!$G$5:$G$2427,'март 2025'!$D$5:$D$2427,$B128,'март 2025'!$J$5:$J$2427,AF$1)</f>
        <v>0</v>
      </c>
      <c r="AG128" s="183">
        <f>SUMIFS('март 2025'!$G$5:$G$2427,'март 2025'!$D$5:$D$2427,$B128,'март 2025'!$J$5:$J$2427,AG$1)</f>
        <v>0</v>
      </c>
      <c r="AH128" s="183">
        <f>SUMIFS('март 2025'!$G$5:$G$2427,'март 2025'!$D$5:$D$2427,$B128,'март 2025'!$J$5:$J$2427,AH$1)</f>
        <v>0</v>
      </c>
      <c r="AI128" s="20"/>
    </row>
    <row r="129" spans="2:35" ht="15" customHeight="1" x14ac:dyDescent="0.25">
      <c r="B129" s="84" t="s">
        <v>171</v>
      </c>
      <c r="C129" s="83">
        <v>200</v>
      </c>
      <c r="D129" s="183">
        <f>SUMIFS('март 2025'!$G$5:$G$2427,'март 2025'!$D$5:$D$2427,$B129,'март 2025'!$J$5:$J$2427,D$1)</f>
        <v>0</v>
      </c>
      <c r="E129" s="183">
        <f>SUMIFS('март 2025'!$G$5:$G$2427,'март 2025'!$D$5:$D$2427,$B129,'март 2025'!$J$5:$J$2427,E$1)</f>
        <v>0</v>
      </c>
      <c r="F129" s="183">
        <f>SUMIFS('март 2025'!$G$5:$G$2427,'март 2025'!$D$5:$D$2427,$B129,'март 2025'!$J$5:$J$2427,F$1)</f>
        <v>0</v>
      </c>
      <c r="G129" s="183">
        <f>SUMIFS('март 2025'!$G$5:$G$2427,'март 2025'!$D$5:$D$2427,$B129,'март 2025'!$J$5:$J$2427,G$1)</f>
        <v>0</v>
      </c>
      <c r="H129" s="183">
        <f>SUMIFS('март 2025'!$G$5:$G$2427,'март 2025'!$D$5:$D$2427,$B129,'март 2025'!$J$5:$J$2427,H$1)</f>
        <v>0</v>
      </c>
      <c r="I129" s="183">
        <f>SUMIFS('март 2025'!$G$5:$G$2427,'март 2025'!$D$5:$D$2427,$B129,'март 2025'!$J$5:$J$2427,I$1)</f>
        <v>0</v>
      </c>
      <c r="J129" s="183">
        <f>SUMIFS('март 2025'!$G$5:$G$2427,'март 2025'!$D$5:$D$2427,$B129,'март 2025'!$J$5:$J$2427,J$1)</f>
        <v>0</v>
      </c>
      <c r="K129" s="183">
        <f>SUMIFS('март 2025'!$G$5:$G$2427,'март 2025'!$D$5:$D$2427,$B129,'март 2025'!$J$5:$J$2427,K$1)</f>
        <v>0</v>
      </c>
      <c r="L129" s="183">
        <f>SUMIFS('март 2025'!$G$5:$G$2427,'март 2025'!$D$5:$D$2427,$B129,'март 2025'!$J$5:$J$2427,L$1)</f>
        <v>0</v>
      </c>
      <c r="M129" s="183">
        <f>SUMIFS('март 2025'!$G$5:$G$2427,'март 2025'!$D$5:$D$2427,$B129,'март 2025'!$J$5:$J$2427,M$1)</f>
        <v>0</v>
      </c>
      <c r="N129" s="183">
        <f>SUMIFS('март 2025'!$G$5:$G$2427,'март 2025'!$D$5:$D$2427,$B129,'март 2025'!$J$5:$J$2427,N$1)</f>
        <v>0</v>
      </c>
      <c r="O129" s="183">
        <f>SUMIFS('март 2025'!$G$5:$G$2427,'март 2025'!$D$5:$D$2427,$B129,'март 2025'!$J$5:$J$2427,O$1)</f>
        <v>0</v>
      </c>
      <c r="P129" s="183">
        <f>SUMIFS('март 2025'!$G$5:$G$2427,'март 2025'!$D$5:$D$2427,$B129,'март 2025'!$J$5:$J$2427,P$1)</f>
        <v>0</v>
      </c>
      <c r="Q129" s="183">
        <f>SUMIFS('март 2025'!$G$5:$G$2427,'март 2025'!$D$5:$D$2427,$B129,'март 2025'!$J$5:$J$2427,Q$1)</f>
        <v>0</v>
      </c>
      <c r="R129" s="183">
        <f>SUMIFS('март 2025'!$G$5:$G$2427,'март 2025'!$D$5:$D$2427,$B129,'март 2025'!$J$5:$J$2427,R$1)</f>
        <v>0</v>
      </c>
      <c r="S129" s="183">
        <f>SUMIFS('март 2025'!$G$5:$G$2427,'март 2025'!$D$5:$D$2427,$B129,'март 2025'!$J$5:$J$2427,S$1)</f>
        <v>0</v>
      </c>
      <c r="T129" s="183">
        <f>SUMIFS('март 2025'!$G$5:$G$2427,'март 2025'!$D$5:$D$2427,$B129,'март 2025'!$J$5:$J$2427,T$1)</f>
        <v>0</v>
      </c>
      <c r="U129" s="183">
        <f>SUMIFS('март 2025'!$G$5:$G$2427,'март 2025'!$D$5:$D$2427,$B129,'март 2025'!$J$5:$J$2427,U$1)</f>
        <v>0</v>
      </c>
      <c r="V129" s="183">
        <f>SUMIFS('март 2025'!$G$5:$G$2427,'март 2025'!$D$5:$D$2427,$B129,'март 2025'!$J$5:$J$2427,V$1)</f>
        <v>0</v>
      </c>
      <c r="W129" s="183">
        <f>SUMIFS('март 2025'!$G$5:$G$2427,'март 2025'!$D$5:$D$2427,$B129,'март 2025'!$J$5:$J$2427,W$1)</f>
        <v>0</v>
      </c>
      <c r="X129" s="183">
        <f>SUMIFS('март 2025'!$G$5:$G$2427,'март 2025'!$D$5:$D$2427,$B129,'март 2025'!$J$5:$J$2427,X$1)</f>
        <v>0</v>
      </c>
      <c r="Y129" s="183">
        <f>SUMIFS('март 2025'!$G$5:$G$2427,'март 2025'!$D$5:$D$2427,$B129,'март 2025'!$J$5:$J$2427,Y$1)</f>
        <v>0</v>
      </c>
      <c r="Z129" s="183">
        <f>SUMIFS('март 2025'!$G$5:$G$2427,'март 2025'!$D$5:$D$2427,$B129,'март 2025'!$J$5:$J$2427,Z$1)</f>
        <v>0</v>
      </c>
      <c r="AA129" s="183">
        <f>SUMIFS('март 2025'!$G$5:$G$2427,'март 2025'!$D$5:$D$2427,$B129,'март 2025'!$J$5:$J$2427,AA$1)</f>
        <v>0</v>
      </c>
      <c r="AB129" s="183">
        <f>SUMIFS('март 2025'!$G$5:$G$2427,'март 2025'!$D$5:$D$2427,$B129,'март 2025'!$J$5:$J$2427,AB$1)</f>
        <v>0</v>
      </c>
      <c r="AC129" s="183">
        <f>SUMIFS('март 2025'!$G$5:$G$2427,'март 2025'!$D$5:$D$2427,$B129,'март 2025'!$J$5:$J$2427,AC$1)</f>
        <v>0</v>
      </c>
      <c r="AD129" s="183">
        <f>SUMIFS('март 2025'!$G$5:$G$2427,'март 2025'!$D$5:$D$2427,$B129,'март 2025'!$J$5:$J$2427,AD$1)</f>
        <v>0</v>
      </c>
      <c r="AE129" s="183">
        <f>SUMIFS('март 2025'!$G$5:$G$2427,'март 2025'!$D$5:$D$2427,$B129,'март 2025'!$J$5:$J$2427,AE$1)</f>
        <v>0</v>
      </c>
      <c r="AF129" s="183">
        <f>SUMIFS('март 2025'!$G$5:$G$2427,'март 2025'!$D$5:$D$2427,$B129,'март 2025'!$J$5:$J$2427,AF$1)</f>
        <v>0</v>
      </c>
      <c r="AG129" s="183">
        <f>SUMIFS('март 2025'!$G$5:$G$2427,'март 2025'!$D$5:$D$2427,$B129,'март 2025'!$J$5:$J$2427,AG$1)</f>
        <v>0</v>
      </c>
      <c r="AH129" s="183">
        <f>SUMIFS('март 2025'!$G$5:$G$2427,'март 2025'!$D$5:$D$2427,$B129,'март 2025'!$J$5:$J$2427,AH$1)</f>
        <v>0</v>
      </c>
      <c r="AI129" s="20">
        <f t="shared" si="1"/>
        <v>0</v>
      </c>
    </row>
    <row r="130" spans="2:35" ht="15" customHeight="1" x14ac:dyDescent="0.25">
      <c r="B130" s="84" t="s">
        <v>172</v>
      </c>
      <c r="C130" s="83">
        <v>200</v>
      </c>
      <c r="D130" s="183">
        <f>SUMIFS('март 2025'!$G$5:$G$2427,'март 2025'!$D$5:$D$2427,$B130,'март 2025'!$J$5:$J$2427,D$1)</f>
        <v>0</v>
      </c>
      <c r="E130" s="183">
        <f>SUMIFS('март 2025'!$G$5:$G$2427,'март 2025'!$D$5:$D$2427,$B130,'март 2025'!$J$5:$J$2427,E$1)</f>
        <v>0</v>
      </c>
      <c r="F130" s="183">
        <f>SUMIFS('март 2025'!$G$5:$G$2427,'март 2025'!$D$5:$D$2427,$B130,'март 2025'!$J$5:$J$2427,F$1)</f>
        <v>0</v>
      </c>
      <c r="G130" s="183">
        <f>SUMIFS('март 2025'!$G$5:$G$2427,'март 2025'!$D$5:$D$2427,$B130,'март 2025'!$J$5:$J$2427,G$1)</f>
        <v>0</v>
      </c>
      <c r="H130" s="183">
        <f>SUMIFS('март 2025'!$G$5:$G$2427,'март 2025'!$D$5:$D$2427,$B130,'март 2025'!$J$5:$J$2427,H$1)</f>
        <v>0</v>
      </c>
      <c r="I130" s="183">
        <f>SUMIFS('март 2025'!$G$5:$G$2427,'март 2025'!$D$5:$D$2427,$B130,'март 2025'!$J$5:$J$2427,I$1)</f>
        <v>0</v>
      </c>
      <c r="J130" s="183">
        <f>SUMIFS('март 2025'!$G$5:$G$2427,'март 2025'!$D$5:$D$2427,$B130,'март 2025'!$J$5:$J$2427,J$1)</f>
        <v>0</v>
      </c>
      <c r="K130" s="183">
        <f>SUMIFS('март 2025'!$G$5:$G$2427,'март 2025'!$D$5:$D$2427,$B130,'март 2025'!$J$5:$J$2427,K$1)</f>
        <v>0</v>
      </c>
      <c r="L130" s="183">
        <f>SUMIFS('март 2025'!$G$5:$G$2427,'март 2025'!$D$5:$D$2427,$B130,'март 2025'!$J$5:$J$2427,L$1)</f>
        <v>0</v>
      </c>
      <c r="M130" s="183">
        <f>SUMIFS('март 2025'!$G$5:$G$2427,'март 2025'!$D$5:$D$2427,$B130,'март 2025'!$J$5:$J$2427,M$1)</f>
        <v>0</v>
      </c>
      <c r="N130" s="183">
        <f>SUMIFS('март 2025'!$G$5:$G$2427,'март 2025'!$D$5:$D$2427,$B130,'март 2025'!$J$5:$J$2427,N$1)</f>
        <v>0</v>
      </c>
      <c r="O130" s="183">
        <f>SUMIFS('март 2025'!$G$5:$G$2427,'март 2025'!$D$5:$D$2427,$B130,'март 2025'!$J$5:$J$2427,O$1)</f>
        <v>0</v>
      </c>
      <c r="P130" s="183">
        <f>SUMIFS('март 2025'!$G$5:$G$2427,'март 2025'!$D$5:$D$2427,$B130,'март 2025'!$J$5:$J$2427,P$1)</f>
        <v>0</v>
      </c>
      <c r="Q130" s="183">
        <f>SUMIFS('март 2025'!$G$5:$G$2427,'март 2025'!$D$5:$D$2427,$B130,'март 2025'!$J$5:$J$2427,Q$1)</f>
        <v>0</v>
      </c>
      <c r="R130" s="183">
        <f>SUMIFS('март 2025'!$G$5:$G$2427,'март 2025'!$D$5:$D$2427,$B130,'март 2025'!$J$5:$J$2427,R$1)</f>
        <v>0</v>
      </c>
      <c r="S130" s="183">
        <f>SUMIFS('март 2025'!$G$5:$G$2427,'март 2025'!$D$5:$D$2427,$B130,'март 2025'!$J$5:$J$2427,S$1)</f>
        <v>0</v>
      </c>
      <c r="T130" s="183">
        <f>SUMIFS('март 2025'!$G$5:$G$2427,'март 2025'!$D$5:$D$2427,$B130,'март 2025'!$J$5:$J$2427,T$1)</f>
        <v>0</v>
      </c>
      <c r="U130" s="183">
        <f>SUMIFS('март 2025'!$G$5:$G$2427,'март 2025'!$D$5:$D$2427,$B130,'март 2025'!$J$5:$J$2427,U$1)</f>
        <v>0</v>
      </c>
      <c r="V130" s="183">
        <f>SUMIFS('март 2025'!$G$5:$G$2427,'март 2025'!$D$5:$D$2427,$B130,'март 2025'!$J$5:$J$2427,V$1)</f>
        <v>0</v>
      </c>
      <c r="W130" s="183">
        <f>SUMIFS('март 2025'!$G$5:$G$2427,'март 2025'!$D$5:$D$2427,$B130,'март 2025'!$J$5:$J$2427,W$1)</f>
        <v>0</v>
      </c>
      <c r="X130" s="183">
        <f>SUMIFS('март 2025'!$G$5:$G$2427,'март 2025'!$D$5:$D$2427,$B130,'март 2025'!$J$5:$J$2427,X$1)</f>
        <v>0</v>
      </c>
      <c r="Y130" s="183">
        <f>SUMIFS('март 2025'!$G$5:$G$2427,'март 2025'!$D$5:$D$2427,$B130,'март 2025'!$J$5:$J$2427,Y$1)</f>
        <v>0</v>
      </c>
      <c r="Z130" s="183">
        <f>SUMIFS('март 2025'!$G$5:$G$2427,'март 2025'!$D$5:$D$2427,$B130,'март 2025'!$J$5:$J$2427,Z$1)</f>
        <v>0</v>
      </c>
      <c r="AA130" s="183">
        <f>SUMIFS('март 2025'!$G$5:$G$2427,'март 2025'!$D$5:$D$2427,$B130,'март 2025'!$J$5:$J$2427,AA$1)</f>
        <v>0</v>
      </c>
      <c r="AB130" s="183">
        <f>SUMIFS('март 2025'!$G$5:$G$2427,'март 2025'!$D$5:$D$2427,$B130,'март 2025'!$J$5:$J$2427,AB$1)</f>
        <v>16</v>
      </c>
      <c r="AC130" s="183">
        <f>SUMIFS('март 2025'!$G$5:$G$2427,'март 2025'!$D$5:$D$2427,$B130,'март 2025'!$J$5:$J$2427,AC$1)</f>
        <v>12</v>
      </c>
      <c r="AD130" s="183">
        <f>SUMIFS('март 2025'!$G$5:$G$2427,'март 2025'!$D$5:$D$2427,$B130,'март 2025'!$J$5:$J$2427,AD$1)</f>
        <v>0</v>
      </c>
      <c r="AE130" s="183">
        <f>SUMIFS('март 2025'!$G$5:$G$2427,'март 2025'!$D$5:$D$2427,$B130,'март 2025'!$J$5:$J$2427,AE$1)</f>
        <v>0</v>
      </c>
      <c r="AF130" s="183">
        <f>SUMIFS('март 2025'!$G$5:$G$2427,'март 2025'!$D$5:$D$2427,$B130,'март 2025'!$J$5:$J$2427,AF$1)</f>
        <v>0</v>
      </c>
      <c r="AG130" s="183">
        <f>SUMIFS('март 2025'!$G$5:$G$2427,'март 2025'!$D$5:$D$2427,$B130,'март 2025'!$J$5:$J$2427,AG$1)</f>
        <v>0</v>
      </c>
      <c r="AH130" s="183">
        <f>SUMIFS('март 2025'!$G$5:$G$2427,'март 2025'!$D$5:$D$2427,$B130,'март 2025'!$J$5:$J$2427,AH$1)</f>
        <v>0</v>
      </c>
      <c r="AI130" s="20">
        <f t="shared" si="1"/>
        <v>28</v>
      </c>
    </row>
    <row r="131" spans="2:35" ht="15" customHeight="1" x14ac:dyDescent="0.25">
      <c r="B131" s="84" t="s">
        <v>174</v>
      </c>
      <c r="C131" s="83">
        <v>200</v>
      </c>
      <c r="D131" s="183">
        <f>SUMIFS('март 2025'!$G$5:$G$2427,'март 2025'!$D$5:$D$2427,$B131,'март 2025'!$J$5:$J$2427,D$1)</f>
        <v>0</v>
      </c>
      <c r="E131" s="183">
        <f>SUMIFS('март 2025'!$G$5:$G$2427,'март 2025'!$D$5:$D$2427,$B131,'март 2025'!$J$5:$J$2427,E$1)</f>
        <v>0</v>
      </c>
      <c r="F131" s="183">
        <f>SUMIFS('март 2025'!$G$5:$G$2427,'март 2025'!$D$5:$D$2427,$B131,'март 2025'!$J$5:$J$2427,F$1)</f>
        <v>0</v>
      </c>
      <c r="G131" s="183">
        <f>SUMIFS('март 2025'!$G$5:$G$2427,'март 2025'!$D$5:$D$2427,$B131,'март 2025'!$J$5:$J$2427,G$1)</f>
        <v>0</v>
      </c>
      <c r="H131" s="183">
        <f>SUMIFS('март 2025'!$G$5:$G$2427,'март 2025'!$D$5:$D$2427,$B131,'март 2025'!$J$5:$J$2427,H$1)</f>
        <v>0</v>
      </c>
      <c r="I131" s="183">
        <f>SUMIFS('март 2025'!$G$5:$G$2427,'март 2025'!$D$5:$D$2427,$B131,'март 2025'!$J$5:$J$2427,I$1)</f>
        <v>0</v>
      </c>
      <c r="J131" s="183">
        <f>SUMIFS('март 2025'!$G$5:$G$2427,'март 2025'!$D$5:$D$2427,$B131,'март 2025'!$J$5:$J$2427,J$1)</f>
        <v>0</v>
      </c>
      <c r="K131" s="183">
        <f>SUMIFS('март 2025'!$G$5:$G$2427,'март 2025'!$D$5:$D$2427,$B131,'март 2025'!$J$5:$J$2427,K$1)</f>
        <v>0</v>
      </c>
      <c r="L131" s="183">
        <f>SUMIFS('март 2025'!$G$5:$G$2427,'март 2025'!$D$5:$D$2427,$B131,'март 2025'!$J$5:$J$2427,L$1)</f>
        <v>0</v>
      </c>
      <c r="M131" s="183">
        <f>SUMIFS('март 2025'!$G$5:$G$2427,'март 2025'!$D$5:$D$2427,$B131,'март 2025'!$J$5:$J$2427,M$1)</f>
        <v>0</v>
      </c>
      <c r="N131" s="183">
        <f>SUMIFS('март 2025'!$G$5:$G$2427,'март 2025'!$D$5:$D$2427,$B131,'март 2025'!$J$5:$J$2427,N$1)</f>
        <v>0</v>
      </c>
      <c r="O131" s="183">
        <f>SUMIFS('март 2025'!$G$5:$G$2427,'март 2025'!$D$5:$D$2427,$B131,'март 2025'!$J$5:$J$2427,O$1)</f>
        <v>0</v>
      </c>
      <c r="P131" s="183">
        <f>SUMIFS('март 2025'!$G$5:$G$2427,'март 2025'!$D$5:$D$2427,$B131,'март 2025'!$J$5:$J$2427,P$1)</f>
        <v>0</v>
      </c>
      <c r="Q131" s="183">
        <f>SUMIFS('март 2025'!$G$5:$G$2427,'март 2025'!$D$5:$D$2427,$B131,'март 2025'!$J$5:$J$2427,Q$1)</f>
        <v>0</v>
      </c>
      <c r="R131" s="183">
        <f>SUMIFS('март 2025'!$G$5:$G$2427,'март 2025'!$D$5:$D$2427,$B131,'март 2025'!$J$5:$J$2427,R$1)</f>
        <v>0</v>
      </c>
      <c r="S131" s="183">
        <f>SUMIFS('март 2025'!$G$5:$G$2427,'март 2025'!$D$5:$D$2427,$B131,'март 2025'!$J$5:$J$2427,S$1)</f>
        <v>0</v>
      </c>
      <c r="T131" s="183">
        <f>SUMIFS('март 2025'!$G$5:$G$2427,'март 2025'!$D$5:$D$2427,$B131,'март 2025'!$J$5:$J$2427,T$1)</f>
        <v>0</v>
      </c>
      <c r="U131" s="183">
        <f>SUMIFS('март 2025'!$G$5:$G$2427,'март 2025'!$D$5:$D$2427,$B131,'март 2025'!$J$5:$J$2427,U$1)</f>
        <v>0</v>
      </c>
      <c r="V131" s="183">
        <f>SUMIFS('март 2025'!$G$5:$G$2427,'март 2025'!$D$5:$D$2427,$B131,'март 2025'!$J$5:$J$2427,V$1)</f>
        <v>0</v>
      </c>
      <c r="W131" s="183">
        <f>SUMIFS('март 2025'!$G$5:$G$2427,'март 2025'!$D$5:$D$2427,$B131,'март 2025'!$J$5:$J$2427,W$1)</f>
        <v>0</v>
      </c>
      <c r="X131" s="183">
        <f>SUMIFS('март 2025'!$G$5:$G$2427,'март 2025'!$D$5:$D$2427,$B131,'март 2025'!$J$5:$J$2427,X$1)</f>
        <v>0</v>
      </c>
      <c r="Y131" s="183">
        <f>SUMIFS('март 2025'!$G$5:$G$2427,'март 2025'!$D$5:$D$2427,$B131,'март 2025'!$J$5:$J$2427,Y$1)</f>
        <v>0</v>
      </c>
      <c r="Z131" s="183">
        <f>SUMIFS('март 2025'!$G$5:$G$2427,'март 2025'!$D$5:$D$2427,$B131,'март 2025'!$J$5:$J$2427,Z$1)</f>
        <v>0</v>
      </c>
      <c r="AA131" s="183">
        <f>SUMIFS('март 2025'!$G$5:$G$2427,'март 2025'!$D$5:$D$2427,$B131,'март 2025'!$J$5:$J$2427,AA$1)</f>
        <v>0</v>
      </c>
      <c r="AB131" s="183">
        <f>SUMIFS('март 2025'!$G$5:$G$2427,'март 2025'!$D$5:$D$2427,$B131,'март 2025'!$J$5:$J$2427,AB$1)</f>
        <v>0</v>
      </c>
      <c r="AC131" s="183">
        <f>SUMIFS('март 2025'!$G$5:$G$2427,'март 2025'!$D$5:$D$2427,$B131,'март 2025'!$J$5:$J$2427,AC$1)</f>
        <v>0</v>
      </c>
      <c r="AD131" s="183">
        <f>SUMIFS('март 2025'!$G$5:$G$2427,'март 2025'!$D$5:$D$2427,$B131,'март 2025'!$J$5:$J$2427,AD$1)</f>
        <v>0</v>
      </c>
      <c r="AE131" s="183">
        <f>SUMIFS('март 2025'!$G$5:$G$2427,'март 2025'!$D$5:$D$2427,$B131,'март 2025'!$J$5:$J$2427,AE$1)</f>
        <v>0</v>
      </c>
      <c r="AF131" s="183">
        <f>SUMIFS('март 2025'!$G$5:$G$2427,'март 2025'!$D$5:$D$2427,$B131,'март 2025'!$J$5:$J$2427,AF$1)</f>
        <v>0</v>
      </c>
      <c r="AG131" s="183">
        <f>SUMIFS('март 2025'!$G$5:$G$2427,'март 2025'!$D$5:$D$2427,$B131,'март 2025'!$J$5:$J$2427,AG$1)</f>
        <v>0</v>
      </c>
      <c r="AH131" s="183">
        <f>SUMIFS('март 2025'!$G$5:$G$2427,'март 2025'!$D$5:$D$2427,$B131,'март 2025'!$J$5:$J$2427,AH$1)</f>
        <v>0</v>
      </c>
      <c r="AI131" s="20">
        <f t="shared" si="1"/>
        <v>0</v>
      </c>
    </row>
    <row r="132" spans="2:35" ht="15" customHeight="1" x14ac:dyDescent="0.25">
      <c r="B132" s="89" t="s">
        <v>184</v>
      </c>
      <c r="C132" s="90">
        <v>180</v>
      </c>
      <c r="D132" s="183">
        <f>SUMIFS('март 2025'!$G$5:$G$2427,'март 2025'!$D$5:$D$2427,$B132,'март 2025'!$J$5:$J$2427,D$1)</f>
        <v>0</v>
      </c>
      <c r="E132" s="183">
        <f>SUMIFS('март 2025'!$G$5:$G$2427,'март 2025'!$D$5:$D$2427,$B132,'март 2025'!$J$5:$J$2427,E$1)</f>
        <v>0</v>
      </c>
      <c r="F132" s="183">
        <f>SUMIFS('март 2025'!$G$5:$G$2427,'март 2025'!$D$5:$D$2427,$B132,'март 2025'!$J$5:$J$2427,F$1)</f>
        <v>0</v>
      </c>
      <c r="G132" s="183">
        <f>SUMIFS('март 2025'!$G$5:$G$2427,'март 2025'!$D$5:$D$2427,$B132,'март 2025'!$J$5:$J$2427,G$1)</f>
        <v>0</v>
      </c>
      <c r="H132" s="183">
        <f>SUMIFS('март 2025'!$G$5:$G$2427,'март 2025'!$D$5:$D$2427,$B132,'март 2025'!$J$5:$J$2427,H$1)</f>
        <v>0</v>
      </c>
      <c r="I132" s="183">
        <f>SUMIFS('март 2025'!$G$5:$G$2427,'март 2025'!$D$5:$D$2427,$B132,'март 2025'!$J$5:$J$2427,I$1)</f>
        <v>0</v>
      </c>
      <c r="J132" s="183">
        <f>SUMIFS('март 2025'!$G$5:$G$2427,'март 2025'!$D$5:$D$2427,$B132,'март 2025'!$J$5:$J$2427,J$1)</f>
        <v>0</v>
      </c>
      <c r="K132" s="183">
        <f>SUMIFS('март 2025'!$G$5:$G$2427,'март 2025'!$D$5:$D$2427,$B132,'март 2025'!$J$5:$J$2427,K$1)</f>
        <v>0</v>
      </c>
      <c r="L132" s="183">
        <f>SUMIFS('март 2025'!$G$5:$G$2427,'март 2025'!$D$5:$D$2427,$B132,'март 2025'!$J$5:$J$2427,L$1)</f>
        <v>0</v>
      </c>
      <c r="M132" s="183">
        <f>SUMIFS('март 2025'!$G$5:$G$2427,'март 2025'!$D$5:$D$2427,$B132,'март 2025'!$J$5:$J$2427,M$1)</f>
        <v>0</v>
      </c>
      <c r="N132" s="183">
        <f>SUMIFS('март 2025'!$G$5:$G$2427,'март 2025'!$D$5:$D$2427,$B132,'март 2025'!$J$5:$J$2427,N$1)</f>
        <v>0</v>
      </c>
      <c r="O132" s="183">
        <f>SUMIFS('март 2025'!$G$5:$G$2427,'март 2025'!$D$5:$D$2427,$B132,'март 2025'!$J$5:$J$2427,O$1)</f>
        <v>0</v>
      </c>
      <c r="P132" s="183">
        <f>SUMIFS('март 2025'!$G$5:$G$2427,'март 2025'!$D$5:$D$2427,$B132,'март 2025'!$J$5:$J$2427,P$1)</f>
        <v>0</v>
      </c>
      <c r="Q132" s="183">
        <f>SUMIFS('март 2025'!$G$5:$G$2427,'март 2025'!$D$5:$D$2427,$B132,'март 2025'!$J$5:$J$2427,Q$1)</f>
        <v>0</v>
      </c>
      <c r="R132" s="183">
        <f>SUMIFS('март 2025'!$G$5:$G$2427,'март 2025'!$D$5:$D$2427,$B132,'март 2025'!$J$5:$J$2427,R$1)</f>
        <v>0</v>
      </c>
      <c r="S132" s="183">
        <f>SUMIFS('март 2025'!$G$5:$G$2427,'март 2025'!$D$5:$D$2427,$B132,'март 2025'!$J$5:$J$2427,S$1)</f>
        <v>0</v>
      </c>
      <c r="T132" s="183">
        <f>SUMIFS('март 2025'!$G$5:$G$2427,'март 2025'!$D$5:$D$2427,$B132,'март 2025'!$J$5:$J$2427,T$1)</f>
        <v>0</v>
      </c>
      <c r="U132" s="183">
        <f>SUMIFS('март 2025'!$G$5:$G$2427,'март 2025'!$D$5:$D$2427,$B132,'март 2025'!$J$5:$J$2427,U$1)</f>
        <v>0</v>
      </c>
      <c r="V132" s="183">
        <f>SUMIFS('март 2025'!$G$5:$G$2427,'март 2025'!$D$5:$D$2427,$B132,'март 2025'!$J$5:$J$2427,V$1)</f>
        <v>0</v>
      </c>
      <c r="W132" s="183">
        <f>SUMIFS('март 2025'!$G$5:$G$2427,'март 2025'!$D$5:$D$2427,$B132,'март 2025'!$J$5:$J$2427,W$1)</f>
        <v>0</v>
      </c>
      <c r="X132" s="183">
        <f>SUMIFS('март 2025'!$G$5:$G$2427,'март 2025'!$D$5:$D$2427,$B132,'март 2025'!$J$5:$J$2427,X$1)</f>
        <v>0</v>
      </c>
      <c r="Y132" s="183">
        <f>SUMIFS('март 2025'!$G$5:$G$2427,'март 2025'!$D$5:$D$2427,$B132,'март 2025'!$J$5:$J$2427,Y$1)</f>
        <v>0</v>
      </c>
      <c r="Z132" s="183">
        <f>SUMIFS('март 2025'!$G$5:$G$2427,'март 2025'!$D$5:$D$2427,$B132,'март 2025'!$J$5:$J$2427,Z$1)</f>
        <v>0</v>
      </c>
      <c r="AA132" s="183">
        <f>SUMIFS('март 2025'!$G$5:$G$2427,'март 2025'!$D$5:$D$2427,$B132,'март 2025'!$J$5:$J$2427,AA$1)</f>
        <v>0</v>
      </c>
      <c r="AB132" s="183">
        <f>SUMIFS('март 2025'!$G$5:$G$2427,'март 2025'!$D$5:$D$2427,$B132,'март 2025'!$J$5:$J$2427,AB$1)</f>
        <v>0</v>
      </c>
      <c r="AC132" s="183">
        <f>SUMIFS('март 2025'!$G$5:$G$2427,'март 2025'!$D$5:$D$2427,$B132,'март 2025'!$J$5:$J$2427,AC$1)</f>
        <v>0</v>
      </c>
      <c r="AD132" s="183">
        <f>SUMIFS('март 2025'!$G$5:$G$2427,'март 2025'!$D$5:$D$2427,$B132,'март 2025'!$J$5:$J$2427,AD$1)</f>
        <v>0</v>
      </c>
      <c r="AE132" s="183">
        <f>SUMIFS('март 2025'!$G$5:$G$2427,'март 2025'!$D$5:$D$2427,$B132,'март 2025'!$J$5:$J$2427,AE$1)</f>
        <v>0</v>
      </c>
      <c r="AF132" s="183">
        <f>SUMIFS('март 2025'!$G$5:$G$2427,'март 2025'!$D$5:$D$2427,$B132,'март 2025'!$J$5:$J$2427,AF$1)</f>
        <v>0</v>
      </c>
      <c r="AG132" s="183">
        <f>SUMIFS('март 2025'!$G$5:$G$2427,'март 2025'!$D$5:$D$2427,$B132,'март 2025'!$J$5:$J$2427,AG$1)</f>
        <v>0</v>
      </c>
      <c r="AH132" s="183">
        <f>SUMIFS('март 2025'!$G$5:$G$2427,'март 2025'!$D$5:$D$2427,$B132,'март 2025'!$J$5:$J$2427,AH$1)</f>
        <v>0</v>
      </c>
      <c r="AI132" s="20">
        <f t="shared" si="1"/>
        <v>0</v>
      </c>
    </row>
    <row r="133" spans="2:35" ht="15" customHeight="1" x14ac:dyDescent="0.25">
      <c r="B133" s="84" t="s">
        <v>268</v>
      </c>
      <c r="C133" s="86">
        <v>180</v>
      </c>
      <c r="D133" s="183">
        <f>SUMIFS('март 2025'!$G$5:$G$2427,'март 2025'!$D$5:$D$2427,$B133,'март 2025'!$J$5:$J$2427,D$1)</f>
        <v>0</v>
      </c>
      <c r="E133" s="183">
        <f>SUMIFS('март 2025'!$G$5:$G$2427,'март 2025'!$D$5:$D$2427,$B133,'март 2025'!$J$5:$J$2427,E$1)</f>
        <v>0</v>
      </c>
      <c r="F133" s="183">
        <f>SUMIFS('март 2025'!$G$5:$G$2427,'март 2025'!$D$5:$D$2427,$B133,'март 2025'!$J$5:$J$2427,F$1)</f>
        <v>0</v>
      </c>
      <c r="G133" s="183">
        <f>SUMIFS('март 2025'!$G$5:$G$2427,'март 2025'!$D$5:$D$2427,$B133,'март 2025'!$J$5:$J$2427,G$1)</f>
        <v>0</v>
      </c>
      <c r="H133" s="183">
        <f>SUMIFS('март 2025'!$G$5:$G$2427,'март 2025'!$D$5:$D$2427,$B133,'март 2025'!$J$5:$J$2427,H$1)</f>
        <v>0</v>
      </c>
      <c r="I133" s="183">
        <f>SUMIFS('март 2025'!$G$5:$G$2427,'март 2025'!$D$5:$D$2427,$B133,'март 2025'!$J$5:$J$2427,I$1)</f>
        <v>0</v>
      </c>
      <c r="J133" s="183">
        <f>SUMIFS('март 2025'!$G$5:$G$2427,'март 2025'!$D$5:$D$2427,$B133,'март 2025'!$J$5:$J$2427,J$1)</f>
        <v>0</v>
      </c>
      <c r="K133" s="183">
        <f>SUMIFS('март 2025'!$G$5:$G$2427,'март 2025'!$D$5:$D$2427,$B133,'март 2025'!$J$5:$J$2427,K$1)</f>
        <v>0</v>
      </c>
      <c r="L133" s="183">
        <f>SUMIFS('март 2025'!$G$5:$G$2427,'март 2025'!$D$5:$D$2427,$B133,'март 2025'!$J$5:$J$2427,L$1)</f>
        <v>0</v>
      </c>
      <c r="M133" s="183">
        <f>SUMIFS('март 2025'!$G$5:$G$2427,'март 2025'!$D$5:$D$2427,$B133,'март 2025'!$J$5:$J$2427,M$1)</f>
        <v>0</v>
      </c>
      <c r="N133" s="183">
        <f>SUMIFS('март 2025'!$G$5:$G$2427,'март 2025'!$D$5:$D$2427,$B133,'март 2025'!$J$5:$J$2427,N$1)</f>
        <v>0</v>
      </c>
      <c r="O133" s="183">
        <f>SUMIFS('март 2025'!$G$5:$G$2427,'март 2025'!$D$5:$D$2427,$B133,'март 2025'!$J$5:$J$2427,O$1)</f>
        <v>0</v>
      </c>
      <c r="P133" s="183">
        <f>SUMIFS('март 2025'!$G$5:$G$2427,'март 2025'!$D$5:$D$2427,$B133,'март 2025'!$J$5:$J$2427,P$1)</f>
        <v>0</v>
      </c>
      <c r="Q133" s="183">
        <f>SUMIFS('март 2025'!$G$5:$G$2427,'март 2025'!$D$5:$D$2427,$B133,'март 2025'!$J$5:$J$2427,Q$1)</f>
        <v>0</v>
      </c>
      <c r="R133" s="183">
        <f>SUMIFS('март 2025'!$G$5:$G$2427,'март 2025'!$D$5:$D$2427,$B133,'март 2025'!$J$5:$J$2427,R$1)</f>
        <v>0</v>
      </c>
      <c r="S133" s="183">
        <f>SUMIFS('март 2025'!$G$5:$G$2427,'март 2025'!$D$5:$D$2427,$B133,'март 2025'!$J$5:$J$2427,S$1)</f>
        <v>0</v>
      </c>
      <c r="T133" s="183">
        <f>SUMIFS('март 2025'!$G$5:$G$2427,'март 2025'!$D$5:$D$2427,$B133,'март 2025'!$J$5:$J$2427,T$1)</f>
        <v>0</v>
      </c>
      <c r="U133" s="183">
        <f>SUMIFS('март 2025'!$G$5:$G$2427,'март 2025'!$D$5:$D$2427,$B133,'март 2025'!$J$5:$J$2427,U$1)</f>
        <v>0</v>
      </c>
      <c r="V133" s="183">
        <f>SUMIFS('март 2025'!$G$5:$G$2427,'март 2025'!$D$5:$D$2427,$B133,'март 2025'!$J$5:$J$2427,V$1)</f>
        <v>0</v>
      </c>
      <c r="W133" s="183">
        <f>SUMIFS('март 2025'!$G$5:$G$2427,'март 2025'!$D$5:$D$2427,$B133,'март 2025'!$J$5:$J$2427,W$1)</f>
        <v>0</v>
      </c>
      <c r="X133" s="183">
        <f>SUMIFS('март 2025'!$G$5:$G$2427,'март 2025'!$D$5:$D$2427,$B133,'март 2025'!$J$5:$J$2427,X$1)</f>
        <v>0</v>
      </c>
      <c r="Y133" s="183">
        <f>SUMIFS('март 2025'!$G$5:$G$2427,'март 2025'!$D$5:$D$2427,$B133,'март 2025'!$J$5:$J$2427,Y$1)</f>
        <v>0</v>
      </c>
      <c r="Z133" s="183">
        <f>SUMIFS('март 2025'!$G$5:$G$2427,'март 2025'!$D$5:$D$2427,$B133,'март 2025'!$J$5:$J$2427,Z$1)</f>
        <v>0</v>
      </c>
      <c r="AA133" s="183">
        <f>SUMIFS('март 2025'!$G$5:$G$2427,'март 2025'!$D$5:$D$2427,$B133,'март 2025'!$J$5:$J$2427,AA$1)</f>
        <v>0</v>
      </c>
      <c r="AB133" s="183">
        <f>SUMIFS('март 2025'!$G$5:$G$2427,'март 2025'!$D$5:$D$2427,$B133,'март 2025'!$J$5:$J$2427,AB$1)</f>
        <v>0</v>
      </c>
      <c r="AC133" s="183">
        <f>SUMIFS('март 2025'!$G$5:$G$2427,'март 2025'!$D$5:$D$2427,$B133,'март 2025'!$J$5:$J$2427,AC$1)</f>
        <v>0</v>
      </c>
      <c r="AD133" s="183">
        <f>SUMIFS('март 2025'!$G$5:$G$2427,'март 2025'!$D$5:$D$2427,$B133,'март 2025'!$J$5:$J$2427,AD$1)</f>
        <v>0</v>
      </c>
      <c r="AE133" s="183">
        <f>SUMIFS('март 2025'!$G$5:$G$2427,'март 2025'!$D$5:$D$2427,$B133,'март 2025'!$J$5:$J$2427,AE$1)</f>
        <v>0</v>
      </c>
      <c r="AF133" s="183">
        <f>SUMIFS('март 2025'!$G$5:$G$2427,'март 2025'!$D$5:$D$2427,$B133,'март 2025'!$J$5:$J$2427,AF$1)</f>
        <v>0</v>
      </c>
      <c r="AG133" s="183">
        <f>SUMIFS('март 2025'!$G$5:$G$2427,'март 2025'!$D$5:$D$2427,$B133,'март 2025'!$J$5:$J$2427,AG$1)</f>
        <v>0</v>
      </c>
      <c r="AH133" s="183">
        <f>SUMIFS('март 2025'!$G$5:$G$2427,'март 2025'!$D$5:$D$2427,$B133,'март 2025'!$J$5:$J$2427,AH$1)</f>
        <v>0</v>
      </c>
      <c r="AI133" s="20">
        <f t="shared" si="1"/>
        <v>0</v>
      </c>
    </row>
    <row r="134" spans="2:35" ht="15" customHeight="1" x14ac:dyDescent="0.25">
      <c r="B134" s="84" t="s">
        <v>278</v>
      </c>
      <c r="C134" s="86">
        <v>180</v>
      </c>
      <c r="D134" s="183">
        <f>SUMIFS('март 2025'!$G$5:$G$2427,'март 2025'!$D$5:$D$2427,$B134,'март 2025'!$J$5:$J$2427,D$1)</f>
        <v>0</v>
      </c>
      <c r="E134" s="183">
        <f>SUMIFS('март 2025'!$G$5:$G$2427,'март 2025'!$D$5:$D$2427,$B134,'март 2025'!$J$5:$J$2427,E$1)</f>
        <v>0</v>
      </c>
      <c r="F134" s="183">
        <f>SUMIFS('март 2025'!$G$5:$G$2427,'март 2025'!$D$5:$D$2427,$B134,'март 2025'!$J$5:$J$2427,F$1)</f>
        <v>0</v>
      </c>
      <c r="G134" s="183">
        <f>SUMIFS('март 2025'!$G$5:$G$2427,'март 2025'!$D$5:$D$2427,$B134,'март 2025'!$J$5:$J$2427,G$1)</f>
        <v>0</v>
      </c>
      <c r="H134" s="183">
        <f>SUMIFS('март 2025'!$G$5:$G$2427,'март 2025'!$D$5:$D$2427,$B134,'март 2025'!$J$5:$J$2427,H$1)</f>
        <v>0</v>
      </c>
      <c r="I134" s="183">
        <f>SUMIFS('март 2025'!$G$5:$G$2427,'март 2025'!$D$5:$D$2427,$B134,'март 2025'!$J$5:$J$2427,I$1)</f>
        <v>0</v>
      </c>
      <c r="J134" s="183">
        <f>SUMIFS('март 2025'!$G$5:$G$2427,'март 2025'!$D$5:$D$2427,$B134,'март 2025'!$J$5:$J$2427,J$1)</f>
        <v>0</v>
      </c>
      <c r="K134" s="183">
        <f>SUMIFS('март 2025'!$G$5:$G$2427,'март 2025'!$D$5:$D$2427,$B134,'март 2025'!$J$5:$J$2427,K$1)</f>
        <v>0</v>
      </c>
      <c r="L134" s="183">
        <f>SUMIFS('март 2025'!$G$5:$G$2427,'март 2025'!$D$5:$D$2427,$B134,'март 2025'!$J$5:$J$2427,L$1)</f>
        <v>0</v>
      </c>
      <c r="M134" s="183">
        <f>SUMIFS('март 2025'!$G$5:$G$2427,'март 2025'!$D$5:$D$2427,$B134,'март 2025'!$J$5:$J$2427,M$1)</f>
        <v>0</v>
      </c>
      <c r="N134" s="183">
        <f>SUMIFS('март 2025'!$G$5:$G$2427,'март 2025'!$D$5:$D$2427,$B134,'март 2025'!$J$5:$J$2427,N$1)</f>
        <v>0</v>
      </c>
      <c r="O134" s="183">
        <f>SUMIFS('март 2025'!$G$5:$G$2427,'март 2025'!$D$5:$D$2427,$B134,'март 2025'!$J$5:$J$2427,O$1)</f>
        <v>0</v>
      </c>
      <c r="P134" s="183">
        <f>SUMIFS('март 2025'!$G$5:$G$2427,'март 2025'!$D$5:$D$2427,$B134,'март 2025'!$J$5:$J$2427,P$1)</f>
        <v>0</v>
      </c>
      <c r="Q134" s="183">
        <f>SUMIFS('март 2025'!$G$5:$G$2427,'март 2025'!$D$5:$D$2427,$B134,'март 2025'!$J$5:$J$2427,Q$1)</f>
        <v>0</v>
      </c>
      <c r="R134" s="183">
        <f>SUMIFS('март 2025'!$G$5:$G$2427,'март 2025'!$D$5:$D$2427,$B134,'март 2025'!$J$5:$J$2427,R$1)</f>
        <v>0</v>
      </c>
      <c r="S134" s="183">
        <f>SUMIFS('март 2025'!$G$5:$G$2427,'март 2025'!$D$5:$D$2427,$B134,'март 2025'!$J$5:$J$2427,S$1)</f>
        <v>0</v>
      </c>
      <c r="T134" s="183">
        <f>SUMIFS('март 2025'!$G$5:$G$2427,'март 2025'!$D$5:$D$2427,$B134,'март 2025'!$J$5:$J$2427,T$1)</f>
        <v>0</v>
      </c>
      <c r="U134" s="183">
        <f>SUMIFS('март 2025'!$G$5:$G$2427,'март 2025'!$D$5:$D$2427,$B134,'март 2025'!$J$5:$J$2427,U$1)</f>
        <v>0</v>
      </c>
      <c r="V134" s="183">
        <f>SUMIFS('март 2025'!$G$5:$G$2427,'март 2025'!$D$5:$D$2427,$B134,'март 2025'!$J$5:$J$2427,V$1)</f>
        <v>0</v>
      </c>
      <c r="W134" s="183">
        <f>SUMIFS('март 2025'!$G$5:$G$2427,'март 2025'!$D$5:$D$2427,$B134,'март 2025'!$J$5:$J$2427,W$1)</f>
        <v>0</v>
      </c>
      <c r="X134" s="183">
        <f>SUMIFS('март 2025'!$G$5:$G$2427,'март 2025'!$D$5:$D$2427,$B134,'март 2025'!$J$5:$J$2427,X$1)</f>
        <v>0</v>
      </c>
      <c r="Y134" s="183">
        <f>SUMIFS('март 2025'!$G$5:$G$2427,'март 2025'!$D$5:$D$2427,$B134,'март 2025'!$J$5:$J$2427,Y$1)</f>
        <v>0</v>
      </c>
      <c r="Z134" s="183">
        <f>SUMIFS('март 2025'!$G$5:$G$2427,'март 2025'!$D$5:$D$2427,$B134,'март 2025'!$J$5:$J$2427,Z$1)</f>
        <v>0</v>
      </c>
      <c r="AA134" s="183">
        <f>SUMIFS('март 2025'!$G$5:$G$2427,'март 2025'!$D$5:$D$2427,$B134,'март 2025'!$J$5:$J$2427,AA$1)</f>
        <v>0</v>
      </c>
      <c r="AB134" s="183">
        <f>SUMIFS('март 2025'!$G$5:$G$2427,'март 2025'!$D$5:$D$2427,$B134,'март 2025'!$J$5:$J$2427,AB$1)</f>
        <v>0</v>
      </c>
      <c r="AC134" s="183">
        <f>SUMIFS('март 2025'!$G$5:$G$2427,'март 2025'!$D$5:$D$2427,$B134,'март 2025'!$J$5:$J$2427,AC$1)</f>
        <v>0</v>
      </c>
      <c r="AD134" s="183">
        <f>SUMIFS('март 2025'!$G$5:$G$2427,'март 2025'!$D$5:$D$2427,$B134,'март 2025'!$J$5:$J$2427,AD$1)</f>
        <v>0</v>
      </c>
      <c r="AE134" s="183">
        <f>SUMIFS('март 2025'!$G$5:$G$2427,'март 2025'!$D$5:$D$2427,$B134,'март 2025'!$J$5:$J$2427,AE$1)</f>
        <v>0</v>
      </c>
      <c r="AF134" s="183">
        <f>SUMIFS('март 2025'!$G$5:$G$2427,'март 2025'!$D$5:$D$2427,$B134,'март 2025'!$J$5:$J$2427,AF$1)</f>
        <v>0</v>
      </c>
      <c r="AG134" s="183">
        <f>SUMIFS('март 2025'!$G$5:$G$2427,'март 2025'!$D$5:$D$2427,$B134,'март 2025'!$J$5:$J$2427,AG$1)</f>
        <v>0</v>
      </c>
      <c r="AH134" s="183">
        <f>SUMIFS('март 2025'!$G$5:$G$2427,'март 2025'!$D$5:$D$2427,$B134,'март 2025'!$J$5:$J$2427,AH$1)</f>
        <v>0</v>
      </c>
      <c r="AI134" s="20">
        <f t="shared" si="1"/>
        <v>0</v>
      </c>
    </row>
    <row r="135" spans="2:35" ht="15" customHeight="1" x14ac:dyDescent="0.25">
      <c r="B135" s="84" t="s">
        <v>295</v>
      </c>
      <c r="C135" s="86">
        <v>190</v>
      </c>
      <c r="D135" s="183">
        <f>SUMIFS('март 2025'!$G$5:$G$2427,'март 2025'!$D$5:$D$2427,$B135,'март 2025'!$J$5:$J$2427,D$1)</f>
        <v>0</v>
      </c>
      <c r="E135" s="183">
        <f>SUMIFS('март 2025'!$G$5:$G$2427,'март 2025'!$D$5:$D$2427,$B135,'март 2025'!$J$5:$J$2427,E$1)</f>
        <v>0</v>
      </c>
      <c r="F135" s="183">
        <f>SUMIFS('март 2025'!$G$5:$G$2427,'март 2025'!$D$5:$D$2427,$B135,'март 2025'!$J$5:$J$2427,F$1)</f>
        <v>0</v>
      </c>
      <c r="G135" s="183">
        <f>SUMIFS('март 2025'!$G$5:$G$2427,'март 2025'!$D$5:$D$2427,$B135,'март 2025'!$J$5:$J$2427,G$1)</f>
        <v>0</v>
      </c>
      <c r="H135" s="183">
        <f>SUMIFS('март 2025'!$G$5:$G$2427,'март 2025'!$D$5:$D$2427,$B135,'март 2025'!$J$5:$J$2427,H$1)</f>
        <v>0</v>
      </c>
      <c r="I135" s="183">
        <f>SUMIFS('март 2025'!$G$5:$G$2427,'март 2025'!$D$5:$D$2427,$B135,'март 2025'!$J$5:$J$2427,I$1)</f>
        <v>0</v>
      </c>
      <c r="J135" s="183">
        <f>SUMIFS('март 2025'!$G$5:$G$2427,'март 2025'!$D$5:$D$2427,$B135,'март 2025'!$J$5:$J$2427,J$1)</f>
        <v>0</v>
      </c>
      <c r="K135" s="183">
        <f>SUMIFS('март 2025'!$G$5:$G$2427,'март 2025'!$D$5:$D$2427,$B135,'март 2025'!$J$5:$J$2427,K$1)</f>
        <v>0</v>
      </c>
      <c r="L135" s="183">
        <f>SUMIFS('март 2025'!$G$5:$G$2427,'март 2025'!$D$5:$D$2427,$B135,'март 2025'!$J$5:$J$2427,L$1)</f>
        <v>0</v>
      </c>
      <c r="M135" s="183">
        <f>SUMIFS('март 2025'!$G$5:$G$2427,'март 2025'!$D$5:$D$2427,$B135,'март 2025'!$J$5:$J$2427,M$1)</f>
        <v>0</v>
      </c>
      <c r="N135" s="183">
        <f>SUMIFS('март 2025'!$G$5:$G$2427,'март 2025'!$D$5:$D$2427,$B135,'март 2025'!$J$5:$J$2427,N$1)</f>
        <v>0</v>
      </c>
      <c r="O135" s="183">
        <f>SUMIFS('март 2025'!$G$5:$G$2427,'март 2025'!$D$5:$D$2427,$B135,'март 2025'!$J$5:$J$2427,O$1)</f>
        <v>0</v>
      </c>
      <c r="P135" s="183">
        <f>SUMIFS('март 2025'!$G$5:$G$2427,'март 2025'!$D$5:$D$2427,$B135,'март 2025'!$J$5:$J$2427,P$1)</f>
        <v>0</v>
      </c>
      <c r="Q135" s="183">
        <f>SUMIFS('март 2025'!$G$5:$G$2427,'март 2025'!$D$5:$D$2427,$B135,'март 2025'!$J$5:$J$2427,Q$1)</f>
        <v>0</v>
      </c>
      <c r="R135" s="183">
        <f>SUMIFS('март 2025'!$G$5:$G$2427,'март 2025'!$D$5:$D$2427,$B135,'март 2025'!$J$5:$J$2427,R$1)</f>
        <v>0</v>
      </c>
      <c r="S135" s="183">
        <f>SUMIFS('март 2025'!$G$5:$G$2427,'март 2025'!$D$5:$D$2427,$B135,'март 2025'!$J$5:$J$2427,S$1)</f>
        <v>0</v>
      </c>
      <c r="T135" s="183">
        <f>SUMIFS('март 2025'!$G$5:$G$2427,'март 2025'!$D$5:$D$2427,$B135,'март 2025'!$J$5:$J$2427,T$1)</f>
        <v>0</v>
      </c>
      <c r="U135" s="183">
        <f>SUMIFS('март 2025'!$G$5:$G$2427,'март 2025'!$D$5:$D$2427,$B135,'март 2025'!$J$5:$J$2427,U$1)</f>
        <v>0</v>
      </c>
      <c r="V135" s="183">
        <f>SUMIFS('март 2025'!$G$5:$G$2427,'март 2025'!$D$5:$D$2427,$B135,'март 2025'!$J$5:$J$2427,V$1)</f>
        <v>0</v>
      </c>
      <c r="W135" s="183">
        <f>SUMIFS('март 2025'!$G$5:$G$2427,'март 2025'!$D$5:$D$2427,$B135,'март 2025'!$J$5:$J$2427,W$1)</f>
        <v>0</v>
      </c>
      <c r="X135" s="183">
        <f>SUMIFS('март 2025'!$G$5:$G$2427,'март 2025'!$D$5:$D$2427,$B135,'март 2025'!$J$5:$J$2427,X$1)</f>
        <v>0</v>
      </c>
      <c r="Y135" s="183">
        <f>SUMIFS('март 2025'!$G$5:$G$2427,'март 2025'!$D$5:$D$2427,$B135,'март 2025'!$J$5:$J$2427,Y$1)</f>
        <v>0</v>
      </c>
      <c r="Z135" s="183">
        <f>SUMIFS('март 2025'!$G$5:$G$2427,'март 2025'!$D$5:$D$2427,$B135,'март 2025'!$J$5:$J$2427,Z$1)</f>
        <v>0</v>
      </c>
      <c r="AA135" s="183">
        <f>SUMIFS('март 2025'!$G$5:$G$2427,'март 2025'!$D$5:$D$2427,$B135,'март 2025'!$J$5:$J$2427,AA$1)</f>
        <v>0</v>
      </c>
      <c r="AB135" s="183">
        <f>SUMIFS('март 2025'!$G$5:$G$2427,'март 2025'!$D$5:$D$2427,$B135,'март 2025'!$J$5:$J$2427,AB$1)</f>
        <v>0</v>
      </c>
      <c r="AC135" s="183">
        <f>SUMIFS('март 2025'!$G$5:$G$2427,'март 2025'!$D$5:$D$2427,$B135,'март 2025'!$J$5:$J$2427,AC$1)</f>
        <v>0</v>
      </c>
      <c r="AD135" s="183">
        <f>SUMIFS('март 2025'!$G$5:$G$2427,'март 2025'!$D$5:$D$2427,$B135,'март 2025'!$J$5:$J$2427,AD$1)</f>
        <v>0</v>
      </c>
      <c r="AE135" s="183">
        <f>SUMIFS('март 2025'!$G$5:$G$2427,'март 2025'!$D$5:$D$2427,$B135,'март 2025'!$J$5:$J$2427,AE$1)</f>
        <v>0</v>
      </c>
      <c r="AF135" s="183">
        <f>SUMIFS('март 2025'!$G$5:$G$2427,'март 2025'!$D$5:$D$2427,$B135,'март 2025'!$J$5:$J$2427,AF$1)</f>
        <v>0</v>
      </c>
      <c r="AG135" s="183">
        <f>SUMIFS('март 2025'!$G$5:$G$2427,'март 2025'!$D$5:$D$2427,$B135,'март 2025'!$J$5:$J$2427,AG$1)</f>
        <v>0</v>
      </c>
      <c r="AH135" s="183">
        <f>SUMIFS('март 2025'!$G$5:$G$2427,'март 2025'!$D$5:$D$2427,$B135,'март 2025'!$J$5:$J$2427,AH$1)</f>
        <v>0</v>
      </c>
      <c r="AI135" s="20">
        <f t="shared" si="1"/>
        <v>0</v>
      </c>
    </row>
    <row r="136" spans="2:35" ht="15" customHeight="1" x14ac:dyDescent="0.25">
      <c r="B136" s="84" t="s">
        <v>269</v>
      </c>
      <c r="C136" s="86">
        <v>200</v>
      </c>
      <c r="D136" s="183">
        <f>SUMIFS('март 2025'!$G$5:$G$2427,'март 2025'!$D$5:$D$2427,$B136,'март 2025'!$J$5:$J$2427,D$1)</f>
        <v>0</v>
      </c>
      <c r="E136" s="183">
        <f>SUMIFS('март 2025'!$G$5:$G$2427,'март 2025'!$D$5:$D$2427,$B136,'март 2025'!$J$5:$J$2427,E$1)</f>
        <v>0</v>
      </c>
      <c r="F136" s="183">
        <f>SUMIFS('март 2025'!$G$5:$G$2427,'март 2025'!$D$5:$D$2427,$B136,'март 2025'!$J$5:$J$2427,F$1)</f>
        <v>0</v>
      </c>
      <c r="G136" s="183">
        <f>SUMIFS('март 2025'!$G$5:$G$2427,'март 2025'!$D$5:$D$2427,$B136,'март 2025'!$J$5:$J$2427,G$1)</f>
        <v>0</v>
      </c>
      <c r="H136" s="183">
        <f>SUMIFS('март 2025'!$G$5:$G$2427,'март 2025'!$D$5:$D$2427,$B136,'март 2025'!$J$5:$J$2427,H$1)</f>
        <v>0</v>
      </c>
      <c r="I136" s="183">
        <f>SUMIFS('март 2025'!$G$5:$G$2427,'март 2025'!$D$5:$D$2427,$B136,'март 2025'!$J$5:$J$2427,I$1)</f>
        <v>0</v>
      </c>
      <c r="J136" s="183">
        <f>SUMIFS('март 2025'!$G$5:$G$2427,'март 2025'!$D$5:$D$2427,$B136,'март 2025'!$J$5:$J$2427,J$1)</f>
        <v>0</v>
      </c>
      <c r="K136" s="183">
        <f>SUMIFS('март 2025'!$G$5:$G$2427,'март 2025'!$D$5:$D$2427,$B136,'март 2025'!$J$5:$J$2427,K$1)</f>
        <v>0</v>
      </c>
      <c r="L136" s="183">
        <f>SUMIFS('март 2025'!$G$5:$G$2427,'март 2025'!$D$5:$D$2427,$B136,'март 2025'!$J$5:$J$2427,L$1)</f>
        <v>0</v>
      </c>
      <c r="M136" s="183">
        <f>SUMIFS('март 2025'!$G$5:$G$2427,'март 2025'!$D$5:$D$2427,$B136,'март 2025'!$J$5:$J$2427,M$1)</f>
        <v>0</v>
      </c>
      <c r="N136" s="183">
        <f>SUMIFS('март 2025'!$G$5:$G$2427,'март 2025'!$D$5:$D$2427,$B136,'март 2025'!$J$5:$J$2427,N$1)</f>
        <v>0</v>
      </c>
      <c r="O136" s="183">
        <f>SUMIFS('март 2025'!$G$5:$G$2427,'март 2025'!$D$5:$D$2427,$B136,'март 2025'!$J$5:$J$2427,O$1)</f>
        <v>0</v>
      </c>
      <c r="P136" s="183">
        <f>SUMIFS('март 2025'!$G$5:$G$2427,'март 2025'!$D$5:$D$2427,$B136,'март 2025'!$J$5:$J$2427,P$1)</f>
        <v>0</v>
      </c>
      <c r="Q136" s="183">
        <f>SUMIFS('март 2025'!$G$5:$G$2427,'март 2025'!$D$5:$D$2427,$B136,'март 2025'!$J$5:$J$2427,Q$1)</f>
        <v>0</v>
      </c>
      <c r="R136" s="183">
        <f>SUMIFS('март 2025'!$G$5:$G$2427,'март 2025'!$D$5:$D$2427,$B136,'март 2025'!$J$5:$J$2427,R$1)</f>
        <v>0</v>
      </c>
      <c r="S136" s="183">
        <f>SUMIFS('март 2025'!$G$5:$G$2427,'март 2025'!$D$5:$D$2427,$B136,'март 2025'!$J$5:$J$2427,S$1)</f>
        <v>0</v>
      </c>
      <c r="T136" s="183">
        <f>SUMIFS('март 2025'!$G$5:$G$2427,'март 2025'!$D$5:$D$2427,$B136,'март 2025'!$J$5:$J$2427,T$1)</f>
        <v>0</v>
      </c>
      <c r="U136" s="183">
        <f>SUMIFS('март 2025'!$G$5:$G$2427,'март 2025'!$D$5:$D$2427,$B136,'март 2025'!$J$5:$J$2427,U$1)</f>
        <v>0</v>
      </c>
      <c r="V136" s="183">
        <f>SUMIFS('март 2025'!$G$5:$G$2427,'март 2025'!$D$5:$D$2427,$B136,'март 2025'!$J$5:$J$2427,V$1)</f>
        <v>0</v>
      </c>
      <c r="W136" s="183">
        <f>SUMIFS('март 2025'!$G$5:$G$2427,'март 2025'!$D$5:$D$2427,$B136,'март 2025'!$J$5:$J$2427,W$1)</f>
        <v>0</v>
      </c>
      <c r="X136" s="183">
        <f>SUMIFS('март 2025'!$G$5:$G$2427,'март 2025'!$D$5:$D$2427,$B136,'март 2025'!$J$5:$J$2427,X$1)</f>
        <v>0</v>
      </c>
      <c r="Y136" s="183">
        <f>SUMIFS('март 2025'!$G$5:$G$2427,'март 2025'!$D$5:$D$2427,$B136,'март 2025'!$J$5:$J$2427,Y$1)</f>
        <v>0</v>
      </c>
      <c r="Z136" s="183">
        <f>SUMIFS('март 2025'!$G$5:$G$2427,'март 2025'!$D$5:$D$2427,$B136,'март 2025'!$J$5:$J$2427,Z$1)</f>
        <v>0</v>
      </c>
      <c r="AA136" s="183">
        <f>SUMIFS('март 2025'!$G$5:$G$2427,'март 2025'!$D$5:$D$2427,$B136,'март 2025'!$J$5:$J$2427,AA$1)</f>
        <v>0</v>
      </c>
      <c r="AB136" s="183">
        <f>SUMIFS('март 2025'!$G$5:$G$2427,'март 2025'!$D$5:$D$2427,$B136,'март 2025'!$J$5:$J$2427,AB$1)</f>
        <v>0</v>
      </c>
      <c r="AC136" s="183">
        <f>SUMIFS('март 2025'!$G$5:$G$2427,'март 2025'!$D$5:$D$2427,$B136,'март 2025'!$J$5:$J$2427,AC$1)</f>
        <v>0</v>
      </c>
      <c r="AD136" s="183">
        <f>SUMIFS('март 2025'!$G$5:$G$2427,'март 2025'!$D$5:$D$2427,$B136,'март 2025'!$J$5:$J$2427,AD$1)</f>
        <v>0</v>
      </c>
      <c r="AE136" s="183">
        <f>SUMIFS('март 2025'!$G$5:$G$2427,'март 2025'!$D$5:$D$2427,$B136,'март 2025'!$J$5:$J$2427,AE$1)</f>
        <v>0</v>
      </c>
      <c r="AF136" s="183">
        <f>SUMIFS('март 2025'!$G$5:$G$2427,'март 2025'!$D$5:$D$2427,$B136,'март 2025'!$J$5:$J$2427,AF$1)</f>
        <v>0</v>
      </c>
      <c r="AG136" s="183">
        <f>SUMIFS('март 2025'!$G$5:$G$2427,'март 2025'!$D$5:$D$2427,$B136,'март 2025'!$J$5:$J$2427,AG$1)</f>
        <v>0</v>
      </c>
      <c r="AH136" s="183">
        <f>SUMIFS('март 2025'!$G$5:$G$2427,'март 2025'!$D$5:$D$2427,$B136,'март 2025'!$J$5:$J$2427,AH$1)</f>
        <v>0</v>
      </c>
      <c r="AI136" s="20">
        <f t="shared" si="1"/>
        <v>0</v>
      </c>
    </row>
    <row r="137" spans="2:35" ht="15" customHeight="1" x14ac:dyDescent="0.25">
      <c r="B137" s="84" t="s">
        <v>279</v>
      </c>
      <c r="C137" s="86">
        <v>200</v>
      </c>
      <c r="D137" s="183">
        <f>SUMIFS('март 2025'!$G$5:$G$2427,'март 2025'!$D$5:$D$2427,$B137,'март 2025'!$J$5:$J$2427,D$1)</f>
        <v>0</v>
      </c>
      <c r="E137" s="183">
        <f>SUMIFS('март 2025'!$G$5:$G$2427,'март 2025'!$D$5:$D$2427,$B137,'март 2025'!$J$5:$J$2427,E$1)</f>
        <v>0</v>
      </c>
      <c r="F137" s="183">
        <f>SUMIFS('март 2025'!$G$5:$G$2427,'март 2025'!$D$5:$D$2427,$B137,'март 2025'!$J$5:$J$2427,F$1)</f>
        <v>0</v>
      </c>
      <c r="G137" s="183">
        <f>SUMIFS('март 2025'!$G$5:$G$2427,'март 2025'!$D$5:$D$2427,$B137,'март 2025'!$J$5:$J$2427,G$1)</f>
        <v>0</v>
      </c>
      <c r="H137" s="183">
        <f>SUMIFS('март 2025'!$G$5:$G$2427,'март 2025'!$D$5:$D$2427,$B137,'март 2025'!$J$5:$J$2427,H$1)</f>
        <v>0</v>
      </c>
      <c r="I137" s="183">
        <f>SUMIFS('март 2025'!$G$5:$G$2427,'март 2025'!$D$5:$D$2427,$B137,'март 2025'!$J$5:$J$2427,I$1)</f>
        <v>0</v>
      </c>
      <c r="J137" s="183">
        <f>SUMIFS('март 2025'!$G$5:$G$2427,'март 2025'!$D$5:$D$2427,$B137,'март 2025'!$J$5:$J$2427,J$1)</f>
        <v>0</v>
      </c>
      <c r="K137" s="183">
        <f>SUMIFS('март 2025'!$G$5:$G$2427,'март 2025'!$D$5:$D$2427,$B137,'март 2025'!$J$5:$J$2427,K$1)</f>
        <v>0</v>
      </c>
      <c r="L137" s="183">
        <f>SUMIFS('март 2025'!$G$5:$G$2427,'март 2025'!$D$5:$D$2427,$B137,'март 2025'!$J$5:$J$2427,L$1)</f>
        <v>0</v>
      </c>
      <c r="M137" s="183">
        <f>SUMIFS('март 2025'!$G$5:$G$2427,'март 2025'!$D$5:$D$2427,$B137,'март 2025'!$J$5:$J$2427,M$1)</f>
        <v>0</v>
      </c>
      <c r="N137" s="183">
        <f>SUMIFS('март 2025'!$G$5:$G$2427,'март 2025'!$D$5:$D$2427,$B137,'март 2025'!$J$5:$J$2427,N$1)</f>
        <v>0</v>
      </c>
      <c r="O137" s="183">
        <f>SUMIFS('март 2025'!$G$5:$G$2427,'март 2025'!$D$5:$D$2427,$B137,'март 2025'!$J$5:$J$2427,O$1)</f>
        <v>0</v>
      </c>
      <c r="P137" s="183">
        <f>SUMIFS('март 2025'!$G$5:$G$2427,'март 2025'!$D$5:$D$2427,$B137,'март 2025'!$J$5:$J$2427,P$1)</f>
        <v>0</v>
      </c>
      <c r="Q137" s="183">
        <f>SUMIFS('март 2025'!$G$5:$G$2427,'март 2025'!$D$5:$D$2427,$B137,'март 2025'!$J$5:$J$2427,Q$1)</f>
        <v>0</v>
      </c>
      <c r="R137" s="183">
        <f>SUMIFS('март 2025'!$G$5:$G$2427,'март 2025'!$D$5:$D$2427,$B137,'март 2025'!$J$5:$J$2427,R$1)</f>
        <v>0</v>
      </c>
      <c r="S137" s="183">
        <f>SUMIFS('март 2025'!$G$5:$G$2427,'март 2025'!$D$5:$D$2427,$B137,'март 2025'!$J$5:$J$2427,S$1)</f>
        <v>0</v>
      </c>
      <c r="T137" s="183">
        <f>SUMIFS('март 2025'!$G$5:$G$2427,'март 2025'!$D$5:$D$2427,$B137,'март 2025'!$J$5:$J$2427,T$1)</f>
        <v>0</v>
      </c>
      <c r="U137" s="183">
        <f>SUMIFS('март 2025'!$G$5:$G$2427,'март 2025'!$D$5:$D$2427,$B137,'март 2025'!$J$5:$J$2427,U$1)</f>
        <v>0</v>
      </c>
      <c r="V137" s="183">
        <f>SUMIFS('март 2025'!$G$5:$G$2427,'март 2025'!$D$5:$D$2427,$B137,'март 2025'!$J$5:$J$2427,V$1)</f>
        <v>0</v>
      </c>
      <c r="W137" s="183">
        <f>SUMIFS('март 2025'!$G$5:$G$2427,'март 2025'!$D$5:$D$2427,$B137,'март 2025'!$J$5:$J$2427,W$1)</f>
        <v>0</v>
      </c>
      <c r="X137" s="183">
        <f>SUMIFS('март 2025'!$G$5:$G$2427,'март 2025'!$D$5:$D$2427,$B137,'март 2025'!$J$5:$J$2427,X$1)</f>
        <v>0</v>
      </c>
      <c r="Y137" s="183">
        <f>SUMIFS('март 2025'!$G$5:$G$2427,'март 2025'!$D$5:$D$2427,$B137,'март 2025'!$J$5:$J$2427,Y$1)</f>
        <v>0</v>
      </c>
      <c r="Z137" s="183">
        <f>SUMIFS('март 2025'!$G$5:$G$2427,'март 2025'!$D$5:$D$2427,$B137,'март 2025'!$J$5:$J$2427,Z$1)</f>
        <v>0</v>
      </c>
      <c r="AA137" s="183">
        <f>SUMIFS('март 2025'!$G$5:$G$2427,'март 2025'!$D$5:$D$2427,$B137,'март 2025'!$J$5:$J$2427,AA$1)</f>
        <v>0</v>
      </c>
      <c r="AB137" s="183">
        <f>SUMIFS('март 2025'!$G$5:$G$2427,'март 2025'!$D$5:$D$2427,$B137,'март 2025'!$J$5:$J$2427,AB$1)</f>
        <v>0</v>
      </c>
      <c r="AC137" s="183">
        <f>SUMIFS('март 2025'!$G$5:$G$2427,'март 2025'!$D$5:$D$2427,$B137,'март 2025'!$J$5:$J$2427,AC$1)</f>
        <v>0</v>
      </c>
      <c r="AD137" s="183">
        <f>SUMIFS('март 2025'!$G$5:$G$2427,'март 2025'!$D$5:$D$2427,$B137,'март 2025'!$J$5:$J$2427,AD$1)</f>
        <v>0</v>
      </c>
      <c r="AE137" s="183">
        <f>SUMIFS('март 2025'!$G$5:$G$2427,'март 2025'!$D$5:$D$2427,$B137,'март 2025'!$J$5:$J$2427,AE$1)</f>
        <v>0</v>
      </c>
      <c r="AF137" s="183">
        <f>SUMIFS('март 2025'!$G$5:$G$2427,'март 2025'!$D$5:$D$2427,$B137,'март 2025'!$J$5:$J$2427,AF$1)</f>
        <v>0</v>
      </c>
      <c r="AG137" s="183">
        <f>SUMIFS('март 2025'!$G$5:$G$2427,'март 2025'!$D$5:$D$2427,$B137,'март 2025'!$J$5:$J$2427,AG$1)</f>
        <v>0</v>
      </c>
      <c r="AH137" s="183">
        <f>SUMIFS('март 2025'!$G$5:$G$2427,'март 2025'!$D$5:$D$2427,$B137,'март 2025'!$J$5:$J$2427,AH$1)</f>
        <v>0</v>
      </c>
      <c r="AI137" s="20">
        <f t="shared" si="1"/>
        <v>0</v>
      </c>
    </row>
    <row r="138" spans="2:35" ht="15" customHeight="1" x14ac:dyDescent="0.25">
      <c r="B138" s="84" t="s">
        <v>197</v>
      </c>
      <c r="C138" s="86">
        <v>180</v>
      </c>
      <c r="D138" s="183">
        <f>SUMIFS('март 2025'!$G$5:$G$2427,'март 2025'!$D$5:$D$2427,$B138,'март 2025'!$J$5:$J$2427,D$1)</f>
        <v>0</v>
      </c>
      <c r="E138" s="183">
        <f>SUMIFS('март 2025'!$G$5:$G$2427,'март 2025'!$D$5:$D$2427,$B138,'март 2025'!$J$5:$J$2427,E$1)</f>
        <v>0</v>
      </c>
      <c r="F138" s="183">
        <f>SUMIFS('март 2025'!$G$5:$G$2427,'март 2025'!$D$5:$D$2427,$B138,'март 2025'!$J$5:$J$2427,F$1)</f>
        <v>0</v>
      </c>
      <c r="G138" s="183">
        <f>SUMIFS('март 2025'!$G$5:$G$2427,'март 2025'!$D$5:$D$2427,$B138,'март 2025'!$J$5:$J$2427,G$1)</f>
        <v>0</v>
      </c>
      <c r="H138" s="183">
        <f>SUMIFS('март 2025'!$G$5:$G$2427,'март 2025'!$D$5:$D$2427,$B138,'март 2025'!$J$5:$J$2427,H$1)</f>
        <v>0</v>
      </c>
      <c r="I138" s="183">
        <f>SUMIFS('март 2025'!$G$5:$G$2427,'март 2025'!$D$5:$D$2427,$B138,'март 2025'!$J$5:$J$2427,I$1)</f>
        <v>0</v>
      </c>
      <c r="J138" s="183">
        <f>SUMIFS('март 2025'!$G$5:$G$2427,'март 2025'!$D$5:$D$2427,$B138,'март 2025'!$J$5:$J$2427,J$1)</f>
        <v>0</v>
      </c>
      <c r="K138" s="183">
        <f>SUMIFS('март 2025'!$G$5:$G$2427,'март 2025'!$D$5:$D$2427,$B138,'март 2025'!$J$5:$J$2427,K$1)</f>
        <v>0</v>
      </c>
      <c r="L138" s="183">
        <f>SUMIFS('март 2025'!$G$5:$G$2427,'март 2025'!$D$5:$D$2427,$B138,'март 2025'!$J$5:$J$2427,L$1)</f>
        <v>0</v>
      </c>
      <c r="M138" s="183">
        <f>SUMIFS('март 2025'!$G$5:$G$2427,'март 2025'!$D$5:$D$2427,$B138,'март 2025'!$J$5:$J$2427,M$1)</f>
        <v>0</v>
      </c>
      <c r="N138" s="183">
        <f>SUMIFS('март 2025'!$G$5:$G$2427,'март 2025'!$D$5:$D$2427,$B138,'март 2025'!$J$5:$J$2427,N$1)</f>
        <v>0</v>
      </c>
      <c r="O138" s="183">
        <f>SUMIFS('март 2025'!$G$5:$G$2427,'март 2025'!$D$5:$D$2427,$B138,'март 2025'!$J$5:$J$2427,O$1)</f>
        <v>0</v>
      </c>
      <c r="P138" s="183">
        <f>SUMIFS('март 2025'!$G$5:$G$2427,'март 2025'!$D$5:$D$2427,$B138,'март 2025'!$J$5:$J$2427,P$1)</f>
        <v>0</v>
      </c>
      <c r="Q138" s="183">
        <f>SUMIFS('март 2025'!$G$5:$G$2427,'март 2025'!$D$5:$D$2427,$B138,'март 2025'!$J$5:$J$2427,Q$1)</f>
        <v>0</v>
      </c>
      <c r="R138" s="183">
        <f>SUMIFS('март 2025'!$G$5:$G$2427,'март 2025'!$D$5:$D$2427,$B138,'март 2025'!$J$5:$J$2427,R$1)</f>
        <v>0</v>
      </c>
      <c r="S138" s="183">
        <f>SUMIFS('март 2025'!$G$5:$G$2427,'март 2025'!$D$5:$D$2427,$B138,'март 2025'!$J$5:$J$2427,S$1)</f>
        <v>0</v>
      </c>
      <c r="T138" s="183">
        <f>SUMIFS('март 2025'!$G$5:$G$2427,'март 2025'!$D$5:$D$2427,$B138,'март 2025'!$J$5:$J$2427,T$1)</f>
        <v>0</v>
      </c>
      <c r="U138" s="183">
        <f>SUMIFS('март 2025'!$G$5:$G$2427,'март 2025'!$D$5:$D$2427,$B138,'март 2025'!$J$5:$J$2427,U$1)</f>
        <v>0</v>
      </c>
      <c r="V138" s="183">
        <f>SUMIFS('март 2025'!$G$5:$G$2427,'март 2025'!$D$5:$D$2427,$B138,'март 2025'!$J$5:$J$2427,V$1)</f>
        <v>0</v>
      </c>
      <c r="W138" s="183">
        <f>SUMIFS('март 2025'!$G$5:$G$2427,'март 2025'!$D$5:$D$2427,$B138,'март 2025'!$J$5:$J$2427,W$1)</f>
        <v>0</v>
      </c>
      <c r="X138" s="183">
        <f>SUMIFS('март 2025'!$G$5:$G$2427,'март 2025'!$D$5:$D$2427,$B138,'март 2025'!$J$5:$J$2427,X$1)</f>
        <v>0</v>
      </c>
      <c r="Y138" s="183">
        <f>SUMIFS('март 2025'!$G$5:$G$2427,'март 2025'!$D$5:$D$2427,$B138,'март 2025'!$J$5:$J$2427,Y$1)</f>
        <v>0</v>
      </c>
      <c r="Z138" s="183">
        <f>SUMIFS('март 2025'!$G$5:$G$2427,'март 2025'!$D$5:$D$2427,$B138,'март 2025'!$J$5:$J$2427,Z$1)</f>
        <v>0</v>
      </c>
      <c r="AA138" s="183">
        <f>SUMIFS('март 2025'!$G$5:$G$2427,'март 2025'!$D$5:$D$2427,$B138,'март 2025'!$J$5:$J$2427,AA$1)</f>
        <v>0</v>
      </c>
      <c r="AB138" s="183">
        <f>SUMIFS('март 2025'!$G$5:$G$2427,'март 2025'!$D$5:$D$2427,$B138,'март 2025'!$J$5:$J$2427,AB$1)</f>
        <v>0</v>
      </c>
      <c r="AC138" s="183">
        <f>SUMIFS('март 2025'!$G$5:$G$2427,'март 2025'!$D$5:$D$2427,$B138,'март 2025'!$J$5:$J$2427,AC$1)</f>
        <v>0</v>
      </c>
      <c r="AD138" s="183">
        <f>SUMIFS('март 2025'!$G$5:$G$2427,'март 2025'!$D$5:$D$2427,$B138,'март 2025'!$J$5:$J$2427,AD$1)</f>
        <v>0</v>
      </c>
      <c r="AE138" s="183">
        <f>SUMIFS('март 2025'!$G$5:$G$2427,'март 2025'!$D$5:$D$2427,$B138,'март 2025'!$J$5:$J$2427,AE$1)</f>
        <v>0</v>
      </c>
      <c r="AF138" s="183">
        <f>SUMIFS('март 2025'!$G$5:$G$2427,'март 2025'!$D$5:$D$2427,$B138,'март 2025'!$J$5:$J$2427,AF$1)</f>
        <v>0</v>
      </c>
      <c r="AG138" s="183">
        <f>SUMIFS('март 2025'!$G$5:$G$2427,'март 2025'!$D$5:$D$2427,$B138,'март 2025'!$J$5:$J$2427,AG$1)</f>
        <v>0</v>
      </c>
      <c r="AH138" s="183">
        <f>SUMIFS('март 2025'!$G$5:$G$2427,'март 2025'!$D$5:$D$2427,$B138,'март 2025'!$J$5:$J$2427,AH$1)</f>
        <v>0</v>
      </c>
      <c r="AI138" s="20">
        <f t="shared" si="1"/>
        <v>0</v>
      </c>
    </row>
    <row r="139" spans="2:35" ht="15" customHeight="1" x14ac:dyDescent="0.25">
      <c r="B139" s="88" t="s">
        <v>293</v>
      </c>
      <c r="C139" s="86">
        <v>180</v>
      </c>
      <c r="D139" s="183">
        <f>SUMIFS('март 2025'!$G$5:$G$2427,'март 2025'!$D$5:$D$2427,$B139,'март 2025'!$J$5:$J$2427,D$1)</f>
        <v>0</v>
      </c>
      <c r="E139" s="183">
        <f>SUMIFS('март 2025'!$G$5:$G$2427,'март 2025'!$D$5:$D$2427,$B139,'март 2025'!$J$5:$J$2427,E$1)</f>
        <v>0</v>
      </c>
      <c r="F139" s="183">
        <f>SUMIFS('март 2025'!$G$5:$G$2427,'март 2025'!$D$5:$D$2427,$B139,'март 2025'!$J$5:$J$2427,F$1)</f>
        <v>0</v>
      </c>
      <c r="G139" s="183">
        <f>SUMIFS('март 2025'!$G$5:$G$2427,'март 2025'!$D$5:$D$2427,$B139,'март 2025'!$J$5:$J$2427,G$1)</f>
        <v>88</v>
      </c>
      <c r="H139" s="183">
        <f>SUMIFS('март 2025'!$G$5:$G$2427,'март 2025'!$D$5:$D$2427,$B139,'март 2025'!$J$5:$J$2427,H$1)</f>
        <v>0</v>
      </c>
      <c r="I139" s="183">
        <f>SUMIFS('март 2025'!$G$5:$G$2427,'март 2025'!$D$5:$D$2427,$B139,'март 2025'!$J$5:$J$2427,I$1)</f>
        <v>0</v>
      </c>
      <c r="J139" s="183">
        <f>SUMIFS('март 2025'!$G$5:$G$2427,'март 2025'!$D$5:$D$2427,$B139,'март 2025'!$J$5:$J$2427,J$1)</f>
        <v>0</v>
      </c>
      <c r="K139" s="183">
        <f>SUMIFS('март 2025'!$G$5:$G$2427,'март 2025'!$D$5:$D$2427,$B139,'март 2025'!$J$5:$J$2427,K$1)</f>
        <v>0</v>
      </c>
      <c r="L139" s="183">
        <f>SUMIFS('март 2025'!$G$5:$G$2427,'март 2025'!$D$5:$D$2427,$B139,'март 2025'!$J$5:$J$2427,L$1)</f>
        <v>0</v>
      </c>
      <c r="M139" s="183">
        <f>SUMIFS('март 2025'!$G$5:$G$2427,'март 2025'!$D$5:$D$2427,$B139,'март 2025'!$J$5:$J$2427,M$1)</f>
        <v>0</v>
      </c>
      <c r="N139" s="183">
        <f>SUMIFS('март 2025'!$G$5:$G$2427,'март 2025'!$D$5:$D$2427,$B139,'март 2025'!$J$5:$J$2427,N$1)</f>
        <v>0</v>
      </c>
      <c r="O139" s="183">
        <f>SUMIFS('март 2025'!$G$5:$G$2427,'март 2025'!$D$5:$D$2427,$B139,'март 2025'!$J$5:$J$2427,O$1)</f>
        <v>0</v>
      </c>
      <c r="P139" s="183">
        <f>SUMIFS('март 2025'!$G$5:$G$2427,'март 2025'!$D$5:$D$2427,$B139,'март 2025'!$J$5:$J$2427,P$1)</f>
        <v>0</v>
      </c>
      <c r="Q139" s="183">
        <f>SUMIFS('март 2025'!$G$5:$G$2427,'март 2025'!$D$5:$D$2427,$B139,'март 2025'!$J$5:$J$2427,Q$1)</f>
        <v>0</v>
      </c>
      <c r="R139" s="183">
        <f>SUMIFS('март 2025'!$G$5:$G$2427,'март 2025'!$D$5:$D$2427,$B139,'март 2025'!$J$5:$J$2427,R$1)</f>
        <v>0</v>
      </c>
      <c r="S139" s="183">
        <f>SUMIFS('март 2025'!$G$5:$G$2427,'март 2025'!$D$5:$D$2427,$B139,'март 2025'!$J$5:$J$2427,S$1)</f>
        <v>0</v>
      </c>
      <c r="T139" s="183">
        <f>SUMIFS('март 2025'!$G$5:$G$2427,'март 2025'!$D$5:$D$2427,$B139,'март 2025'!$J$5:$J$2427,T$1)</f>
        <v>0</v>
      </c>
      <c r="U139" s="183">
        <f>SUMIFS('март 2025'!$G$5:$G$2427,'март 2025'!$D$5:$D$2427,$B139,'март 2025'!$J$5:$J$2427,U$1)</f>
        <v>0</v>
      </c>
      <c r="V139" s="183">
        <f>SUMIFS('март 2025'!$G$5:$G$2427,'март 2025'!$D$5:$D$2427,$B139,'март 2025'!$J$5:$J$2427,V$1)</f>
        <v>0</v>
      </c>
      <c r="W139" s="183">
        <f>SUMIFS('март 2025'!$G$5:$G$2427,'март 2025'!$D$5:$D$2427,$B139,'март 2025'!$J$5:$J$2427,W$1)</f>
        <v>0</v>
      </c>
      <c r="X139" s="183">
        <f>SUMIFS('март 2025'!$G$5:$G$2427,'март 2025'!$D$5:$D$2427,$B139,'март 2025'!$J$5:$J$2427,X$1)</f>
        <v>0</v>
      </c>
      <c r="Y139" s="183">
        <f>SUMIFS('март 2025'!$G$5:$G$2427,'март 2025'!$D$5:$D$2427,$B139,'март 2025'!$J$5:$J$2427,Y$1)</f>
        <v>0</v>
      </c>
      <c r="Z139" s="183">
        <f>SUMIFS('март 2025'!$G$5:$G$2427,'март 2025'!$D$5:$D$2427,$B139,'март 2025'!$J$5:$J$2427,Z$1)</f>
        <v>0</v>
      </c>
      <c r="AA139" s="183">
        <f>SUMIFS('март 2025'!$G$5:$G$2427,'март 2025'!$D$5:$D$2427,$B139,'март 2025'!$J$5:$J$2427,AA$1)</f>
        <v>0</v>
      </c>
      <c r="AB139" s="183">
        <f>SUMIFS('март 2025'!$G$5:$G$2427,'март 2025'!$D$5:$D$2427,$B139,'март 2025'!$J$5:$J$2427,AB$1)</f>
        <v>0</v>
      </c>
      <c r="AC139" s="183">
        <f>SUMIFS('март 2025'!$G$5:$G$2427,'март 2025'!$D$5:$D$2427,$B139,'март 2025'!$J$5:$J$2427,AC$1)</f>
        <v>0</v>
      </c>
      <c r="AD139" s="183">
        <f>SUMIFS('март 2025'!$G$5:$G$2427,'март 2025'!$D$5:$D$2427,$B139,'март 2025'!$J$5:$J$2427,AD$1)</f>
        <v>0</v>
      </c>
      <c r="AE139" s="183">
        <f>SUMIFS('март 2025'!$G$5:$G$2427,'март 2025'!$D$5:$D$2427,$B139,'март 2025'!$J$5:$J$2427,AE$1)</f>
        <v>0</v>
      </c>
      <c r="AF139" s="183">
        <f>SUMIFS('март 2025'!$G$5:$G$2427,'март 2025'!$D$5:$D$2427,$B139,'март 2025'!$J$5:$J$2427,AF$1)</f>
        <v>0</v>
      </c>
      <c r="AG139" s="183">
        <f>SUMIFS('март 2025'!$G$5:$G$2427,'март 2025'!$D$5:$D$2427,$B139,'март 2025'!$J$5:$J$2427,AG$1)</f>
        <v>0</v>
      </c>
      <c r="AH139" s="183">
        <f>SUMIFS('март 2025'!$G$5:$G$2427,'март 2025'!$D$5:$D$2427,$B139,'март 2025'!$J$5:$J$2427,AH$1)</f>
        <v>0</v>
      </c>
      <c r="AI139" s="20">
        <f t="shared" si="1"/>
        <v>88</v>
      </c>
    </row>
    <row r="140" spans="2:35" ht="15" customHeight="1" x14ac:dyDescent="0.25">
      <c r="B140" s="88" t="s">
        <v>181</v>
      </c>
      <c r="C140" s="86">
        <v>190</v>
      </c>
      <c r="D140" s="183">
        <f>SUMIFS('март 2025'!$G$5:$G$2427,'март 2025'!$D$5:$D$2427,$B140,'март 2025'!$J$5:$J$2427,D$1)</f>
        <v>0</v>
      </c>
      <c r="E140" s="183">
        <f>SUMIFS('март 2025'!$G$5:$G$2427,'март 2025'!$D$5:$D$2427,$B140,'март 2025'!$J$5:$J$2427,E$1)</f>
        <v>0</v>
      </c>
      <c r="F140" s="183">
        <f>SUMIFS('март 2025'!$G$5:$G$2427,'март 2025'!$D$5:$D$2427,$B140,'март 2025'!$J$5:$J$2427,F$1)</f>
        <v>0</v>
      </c>
      <c r="G140" s="183">
        <f>SUMIFS('март 2025'!$G$5:$G$2427,'март 2025'!$D$5:$D$2427,$B140,'март 2025'!$J$5:$J$2427,G$1)</f>
        <v>0</v>
      </c>
      <c r="H140" s="183">
        <f>SUMIFS('март 2025'!$G$5:$G$2427,'март 2025'!$D$5:$D$2427,$B140,'март 2025'!$J$5:$J$2427,H$1)</f>
        <v>0</v>
      </c>
      <c r="I140" s="183">
        <f>SUMIFS('март 2025'!$G$5:$G$2427,'март 2025'!$D$5:$D$2427,$B140,'март 2025'!$J$5:$J$2427,I$1)</f>
        <v>0</v>
      </c>
      <c r="J140" s="183">
        <f>SUMIFS('март 2025'!$G$5:$G$2427,'март 2025'!$D$5:$D$2427,$B140,'март 2025'!$J$5:$J$2427,J$1)</f>
        <v>0</v>
      </c>
      <c r="K140" s="183">
        <f>SUMIFS('март 2025'!$G$5:$G$2427,'март 2025'!$D$5:$D$2427,$B140,'март 2025'!$J$5:$J$2427,K$1)</f>
        <v>0</v>
      </c>
      <c r="L140" s="183">
        <f>SUMIFS('март 2025'!$G$5:$G$2427,'март 2025'!$D$5:$D$2427,$B140,'март 2025'!$J$5:$J$2427,L$1)</f>
        <v>0</v>
      </c>
      <c r="M140" s="183">
        <f>SUMIFS('март 2025'!$G$5:$G$2427,'март 2025'!$D$5:$D$2427,$B140,'март 2025'!$J$5:$J$2427,M$1)</f>
        <v>0</v>
      </c>
      <c r="N140" s="183">
        <f>SUMIFS('март 2025'!$G$5:$G$2427,'март 2025'!$D$5:$D$2427,$B140,'март 2025'!$J$5:$J$2427,N$1)</f>
        <v>0</v>
      </c>
      <c r="O140" s="183">
        <f>SUMIFS('март 2025'!$G$5:$G$2427,'март 2025'!$D$5:$D$2427,$B140,'март 2025'!$J$5:$J$2427,O$1)</f>
        <v>0</v>
      </c>
      <c r="P140" s="183">
        <f>SUMIFS('март 2025'!$G$5:$G$2427,'март 2025'!$D$5:$D$2427,$B140,'март 2025'!$J$5:$J$2427,P$1)</f>
        <v>0</v>
      </c>
      <c r="Q140" s="183">
        <f>SUMIFS('март 2025'!$G$5:$G$2427,'март 2025'!$D$5:$D$2427,$B140,'март 2025'!$J$5:$J$2427,Q$1)</f>
        <v>0</v>
      </c>
      <c r="R140" s="183">
        <f>SUMIFS('март 2025'!$G$5:$G$2427,'март 2025'!$D$5:$D$2427,$B140,'март 2025'!$J$5:$J$2427,R$1)</f>
        <v>0</v>
      </c>
      <c r="S140" s="183">
        <f>SUMIFS('март 2025'!$G$5:$G$2427,'март 2025'!$D$5:$D$2427,$B140,'март 2025'!$J$5:$J$2427,S$1)</f>
        <v>0</v>
      </c>
      <c r="T140" s="183">
        <f>SUMIFS('март 2025'!$G$5:$G$2427,'март 2025'!$D$5:$D$2427,$B140,'март 2025'!$J$5:$J$2427,T$1)</f>
        <v>0</v>
      </c>
      <c r="U140" s="183">
        <f>SUMIFS('март 2025'!$G$5:$G$2427,'март 2025'!$D$5:$D$2427,$B140,'март 2025'!$J$5:$J$2427,U$1)</f>
        <v>0</v>
      </c>
      <c r="V140" s="183">
        <f>SUMIFS('март 2025'!$G$5:$G$2427,'март 2025'!$D$5:$D$2427,$B140,'март 2025'!$J$5:$J$2427,V$1)</f>
        <v>0</v>
      </c>
      <c r="W140" s="183">
        <f>SUMIFS('март 2025'!$G$5:$G$2427,'март 2025'!$D$5:$D$2427,$B140,'март 2025'!$J$5:$J$2427,W$1)</f>
        <v>0</v>
      </c>
      <c r="X140" s="183">
        <f>SUMIFS('март 2025'!$G$5:$G$2427,'март 2025'!$D$5:$D$2427,$B140,'март 2025'!$J$5:$J$2427,X$1)</f>
        <v>0</v>
      </c>
      <c r="Y140" s="183">
        <f>SUMIFS('март 2025'!$G$5:$G$2427,'март 2025'!$D$5:$D$2427,$B140,'март 2025'!$J$5:$J$2427,Y$1)</f>
        <v>0</v>
      </c>
      <c r="Z140" s="183">
        <f>SUMIFS('март 2025'!$G$5:$G$2427,'март 2025'!$D$5:$D$2427,$B140,'март 2025'!$J$5:$J$2427,Z$1)</f>
        <v>0</v>
      </c>
      <c r="AA140" s="183">
        <f>SUMIFS('март 2025'!$G$5:$G$2427,'март 2025'!$D$5:$D$2427,$B140,'март 2025'!$J$5:$J$2427,AA$1)</f>
        <v>0</v>
      </c>
      <c r="AB140" s="183">
        <f>SUMIFS('март 2025'!$G$5:$G$2427,'март 2025'!$D$5:$D$2427,$B140,'март 2025'!$J$5:$J$2427,AB$1)</f>
        <v>0</v>
      </c>
      <c r="AC140" s="183">
        <f>SUMIFS('март 2025'!$G$5:$G$2427,'март 2025'!$D$5:$D$2427,$B140,'март 2025'!$J$5:$J$2427,AC$1)</f>
        <v>0</v>
      </c>
      <c r="AD140" s="183">
        <f>SUMIFS('март 2025'!$G$5:$G$2427,'март 2025'!$D$5:$D$2427,$B140,'март 2025'!$J$5:$J$2427,AD$1)</f>
        <v>0</v>
      </c>
      <c r="AE140" s="183">
        <f>SUMIFS('март 2025'!$G$5:$G$2427,'март 2025'!$D$5:$D$2427,$B140,'март 2025'!$J$5:$J$2427,AE$1)</f>
        <v>0</v>
      </c>
      <c r="AF140" s="183">
        <f>SUMIFS('март 2025'!$G$5:$G$2427,'март 2025'!$D$5:$D$2427,$B140,'март 2025'!$J$5:$J$2427,AF$1)</f>
        <v>0</v>
      </c>
      <c r="AG140" s="183">
        <f>SUMIFS('март 2025'!$G$5:$G$2427,'март 2025'!$D$5:$D$2427,$B140,'март 2025'!$J$5:$J$2427,AG$1)</f>
        <v>0</v>
      </c>
      <c r="AH140" s="183">
        <f>SUMIFS('март 2025'!$G$5:$G$2427,'март 2025'!$D$5:$D$2427,$B140,'март 2025'!$J$5:$J$2427,AH$1)</f>
        <v>0</v>
      </c>
      <c r="AI140" s="20">
        <f t="shared" si="1"/>
        <v>0</v>
      </c>
    </row>
    <row r="141" spans="2:35" ht="15" customHeight="1" x14ac:dyDescent="0.25">
      <c r="B141" s="88" t="s">
        <v>270</v>
      </c>
      <c r="C141" s="86">
        <v>190</v>
      </c>
      <c r="D141" s="183">
        <f>SUMIFS('март 2025'!$G$5:$G$2427,'март 2025'!$D$5:$D$2427,$B141,'март 2025'!$J$5:$J$2427,D$1)</f>
        <v>0</v>
      </c>
      <c r="E141" s="183">
        <f>SUMIFS('март 2025'!$G$5:$G$2427,'март 2025'!$D$5:$D$2427,$B141,'март 2025'!$J$5:$J$2427,E$1)</f>
        <v>0</v>
      </c>
      <c r="F141" s="183">
        <f>SUMIFS('март 2025'!$G$5:$G$2427,'март 2025'!$D$5:$D$2427,$B141,'март 2025'!$J$5:$J$2427,F$1)</f>
        <v>0</v>
      </c>
      <c r="G141" s="183">
        <f>SUMIFS('март 2025'!$G$5:$G$2427,'март 2025'!$D$5:$D$2427,$B141,'март 2025'!$J$5:$J$2427,G$1)</f>
        <v>0</v>
      </c>
      <c r="H141" s="183">
        <f>SUMIFS('март 2025'!$G$5:$G$2427,'март 2025'!$D$5:$D$2427,$B141,'март 2025'!$J$5:$J$2427,H$1)</f>
        <v>0</v>
      </c>
      <c r="I141" s="183">
        <f>SUMIFS('март 2025'!$G$5:$G$2427,'март 2025'!$D$5:$D$2427,$B141,'март 2025'!$J$5:$J$2427,I$1)</f>
        <v>0</v>
      </c>
      <c r="J141" s="183">
        <f>SUMIFS('март 2025'!$G$5:$G$2427,'март 2025'!$D$5:$D$2427,$B141,'март 2025'!$J$5:$J$2427,J$1)</f>
        <v>0</v>
      </c>
      <c r="K141" s="183">
        <f>SUMIFS('март 2025'!$G$5:$G$2427,'март 2025'!$D$5:$D$2427,$B141,'март 2025'!$J$5:$J$2427,K$1)</f>
        <v>0</v>
      </c>
      <c r="L141" s="183">
        <f>SUMIFS('март 2025'!$G$5:$G$2427,'март 2025'!$D$5:$D$2427,$B141,'март 2025'!$J$5:$J$2427,L$1)</f>
        <v>0</v>
      </c>
      <c r="M141" s="183">
        <f>SUMIFS('март 2025'!$G$5:$G$2427,'март 2025'!$D$5:$D$2427,$B141,'март 2025'!$J$5:$J$2427,M$1)</f>
        <v>0</v>
      </c>
      <c r="N141" s="183">
        <f>SUMIFS('март 2025'!$G$5:$G$2427,'март 2025'!$D$5:$D$2427,$B141,'март 2025'!$J$5:$J$2427,N$1)</f>
        <v>0</v>
      </c>
      <c r="O141" s="183">
        <f>SUMIFS('март 2025'!$G$5:$G$2427,'март 2025'!$D$5:$D$2427,$B141,'март 2025'!$J$5:$J$2427,O$1)</f>
        <v>0</v>
      </c>
      <c r="P141" s="183">
        <f>SUMIFS('март 2025'!$G$5:$G$2427,'март 2025'!$D$5:$D$2427,$B141,'март 2025'!$J$5:$J$2427,P$1)</f>
        <v>0</v>
      </c>
      <c r="Q141" s="183">
        <f>SUMIFS('март 2025'!$G$5:$G$2427,'март 2025'!$D$5:$D$2427,$B141,'март 2025'!$J$5:$J$2427,Q$1)</f>
        <v>0</v>
      </c>
      <c r="R141" s="183">
        <f>SUMIFS('март 2025'!$G$5:$G$2427,'март 2025'!$D$5:$D$2427,$B141,'март 2025'!$J$5:$J$2427,R$1)</f>
        <v>0</v>
      </c>
      <c r="S141" s="183">
        <f>SUMIFS('март 2025'!$G$5:$G$2427,'март 2025'!$D$5:$D$2427,$B141,'март 2025'!$J$5:$J$2427,S$1)</f>
        <v>0</v>
      </c>
      <c r="T141" s="183">
        <f>SUMIFS('март 2025'!$G$5:$G$2427,'март 2025'!$D$5:$D$2427,$B141,'март 2025'!$J$5:$J$2427,T$1)</f>
        <v>0</v>
      </c>
      <c r="U141" s="183">
        <f>SUMIFS('март 2025'!$G$5:$G$2427,'март 2025'!$D$5:$D$2427,$B141,'март 2025'!$J$5:$J$2427,U$1)</f>
        <v>0</v>
      </c>
      <c r="V141" s="183">
        <f>SUMIFS('март 2025'!$G$5:$G$2427,'март 2025'!$D$5:$D$2427,$B141,'март 2025'!$J$5:$J$2427,V$1)</f>
        <v>0</v>
      </c>
      <c r="W141" s="183">
        <f>SUMIFS('март 2025'!$G$5:$G$2427,'март 2025'!$D$5:$D$2427,$B141,'март 2025'!$J$5:$J$2427,W$1)</f>
        <v>0</v>
      </c>
      <c r="X141" s="183">
        <f>SUMIFS('март 2025'!$G$5:$G$2427,'март 2025'!$D$5:$D$2427,$B141,'март 2025'!$J$5:$J$2427,X$1)</f>
        <v>0</v>
      </c>
      <c r="Y141" s="183">
        <f>SUMIFS('март 2025'!$G$5:$G$2427,'март 2025'!$D$5:$D$2427,$B141,'март 2025'!$J$5:$J$2427,Y$1)</f>
        <v>0</v>
      </c>
      <c r="Z141" s="183">
        <f>SUMIFS('март 2025'!$G$5:$G$2427,'март 2025'!$D$5:$D$2427,$B141,'март 2025'!$J$5:$J$2427,Z$1)</f>
        <v>0</v>
      </c>
      <c r="AA141" s="183">
        <f>SUMIFS('март 2025'!$G$5:$G$2427,'март 2025'!$D$5:$D$2427,$B141,'март 2025'!$J$5:$J$2427,AA$1)</f>
        <v>0</v>
      </c>
      <c r="AB141" s="183">
        <f>SUMIFS('март 2025'!$G$5:$G$2427,'март 2025'!$D$5:$D$2427,$B141,'март 2025'!$J$5:$J$2427,AB$1)</f>
        <v>0</v>
      </c>
      <c r="AC141" s="183">
        <f>SUMIFS('март 2025'!$G$5:$G$2427,'март 2025'!$D$5:$D$2427,$B141,'март 2025'!$J$5:$J$2427,AC$1)</f>
        <v>0</v>
      </c>
      <c r="AD141" s="183">
        <f>SUMIFS('март 2025'!$G$5:$G$2427,'март 2025'!$D$5:$D$2427,$B141,'март 2025'!$J$5:$J$2427,AD$1)</f>
        <v>0</v>
      </c>
      <c r="AE141" s="183">
        <f>SUMIFS('март 2025'!$G$5:$G$2427,'март 2025'!$D$5:$D$2427,$B141,'март 2025'!$J$5:$J$2427,AE$1)</f>
        <v>0</v>
      </c>
      <c r="AF141" s="183">
        <f>SUMIFS('март 2025'!$G$5:$G$2427,'март 2025'!$D$5:$D$2427,$B141,'март 2025'!$J$5:$J$2427,AF$1)</f>
        <v>0</v>
      </c>
      <c r="AG141" s="183">
        <f>SUMIFS('март 2025'!$G$5:$G$2427,'март 2025'!$D$5:$D$2427,$B141,'март 2025'!$J$5:$J$2427,AG$1)</f>
        <v>0</v>
      </c>
      <c r="AH141" s="183">
        <f>SUMIFS('март 2025'!$G$5:$G$2427,'март 2025'!$D$5:$D$2427,$B141,'март 2025'!$J$5:$J$2427,AH$1)</f>
        <v>0</v>
      </c>
      <c r="AI141" s="20">
        <f t="shared" si="1"/>
        <v>0</v>
      </c>
    </row>
    <row r="142" spans="2:35" ht="16.899999999999999" customHeight="1" x14ac:dyDescent="0.25">
      <c r="B142" s="84" t="s">
        <v>271</v>
      </c>
      <c r="C142" s="83">
        <v>200</v>
      </c>
      <c r="D142" s="183">
        <f>SUMIFS('март 2025'!$G$5:$G$2427,'март 2025'!$D$5:$D$2427,$B142,'март 2025'!$J$5:$J$2427,D$1)</f>
        <v>0</v>
      </c>
      <c r="E142" s="183">
        <f>SUMIFS('март 2025'!$G$5:$G$2427,'март 2025'!$D$5:$D$2427,$B142,'март 2025'!$J$5:$J$2427,E$1)</f>
        <v>0</v>
      </c>
      <c r="F142" s="183">
        <f>SUMIFS('март 2025'!$G$5:$G$2427,'март 2025'!$D$5:$D$2427,$B142,'март 2025'!$J$5:$J$2427,F$1)</f>
        <v>0</v>
      </c>
      <c r="G142" s="183">
        <f>SUMIFS('март 2025'!$G$5:$G$2427,'март 2025'!$D$5:$D$2427,$B142,'март 2025'!$J$5:$J$2427,G$1)</f>
        <v>0</v>
      </c>
      <c r="H142" s="183">
        <f>SUMIFS('март 2025'!$G$5:$G$2427,'март 2025'!$D$5:$D$2427,$B142,'март 2025'!$J$5:$J$2427,H$1)</f>
        <v>0</v>
      </c>
      <c r="I142" s="183">
        <f>SUMIFS('март 2025'!$G$5:$G$2427,'март 2025'!$D$5:$D$2427,$B142,'март 2025'!$J$5:$J$2427,I$1)</f>
        <v>0</v>
      </c>
      <c r="J142" s="183">
        <f>SUMIFS('март 2025'!$G$5:$G$2427,'март 2025'!$D$5:$D$2427,$B142,'март 2025'!$J$5:$J$2427,J$1)</f>
        <v>0</v>
      </c>
      <c r="K142" s="183">
        <f>SUMIFS('март 2025'!$G$5:$G$2427,'март 2025'!$D$5:$D$2427,$B142,'март 2025'!$J$5:$J$2427,K$1)</f>
        <v>0</v>
      </c>
      <c r="L142" s="183">
        <f>SUMIFS('март 2025'!$G$5:$G$2427,'март 2025'!$D$5:$D$2427,$B142,'март 2025'!$J$5:$J$2427,L$1)</f>
        <v>0</v>
      </c>
      <c r="M142" s="183">
        <f>SUMIFS('март 2025'!$G$5:$G$2427,'март 2025'!$D$5:$D$2427,$B142,'март 2025'!$J$5:$J$2427,M$1)</f>
        <v>0</v>
      </c>
      <c r="N142" s="183">
        <f>SUMIFS('март 2025'!$G$5:$G$2427,'март 2025'!$D$5:$D$2427,$B142,'март 2025'!$J$5:$J$2427,N$1)</f>
        <v>0</v>
      </c>
      <c r="O142" s="183">
        <f>SUMIFS('март 2025'!$G$5:$G$2427,'март 2025'!$D$5:$D$2427,$B142,'март 2025'!$J$5:$J$2427,O$1)</f>
        <v>0</v>
      </c>
      <c r="P142" s="183">
        <f>SUMIFS('март 2025'!$G$5:$G$2427,'март 2025'!$D$5:$D$2427,$B142,'март 2025'!$J$5:$J$2427,P$1)</f>
        <v>0</v>
      </c>
      <c r="Q142" s="183">
        <f>SUMIFS('март 2025'!$G$5:$G$2427,'март 2025'!$D$5:$D$2427,$B142,'март 2025'!$J$5:$J$2427,Q$1)</f>
        <v>0</v>
      </c>
      <c r="R142" s="183">
        <f>SUMIFS('март 2025'!$G$5:$G$2427,'март 2025'!$D$5:$D$2427,$B142,'март 2025'!$J$5:$J$2427,R$1)</f>
        <v>0</v>
      </c>
      <c r="S142" s="183">
        <f>SUMIFS('март 2025'!$G$5:$G$2427,'март 2025'!$D$5:$D$2427,$B142,'март 2025'!$J$5:$J$2427,S$1)</f>
        <v>0</v>
      </c>
      <c r="T142" s="183">
        <f>SUMIFS('март 2025'!$G$5:$G$2427,'март 2025'!$D$5:$D$2427,$B142,'март 2025'!$J$5:$J$2427,T$1)</f>
        <v>0</v>
      </c>
      <c r="U142" s="183">
        <f>SUMIFS('март 2025'!$G$5:$G$2427,'март 2025'!$D$5:$D$2427,$B142,'март 2025'!$J$5:$J$2427,U$1)</f>
        <v>0</v>
      </c>
      <c r="V142" s="183">
        <f>SUMIFS('март 2025'!$G$5:$G$2427,'март 2025'!$D$5:$D$2427,$B142,'март 2025'!$J$5:$J$2427,V$1)</f>
        <v>0</v>
      </c>
      <c r="W142" s="183">
        <f>SUMIFS('март 2025'!$G$5:$G$2427,'март 2025'!$D$5:$D$2427,$B142,'март 2025'!$J$5:$J$2427,W$1)</f>
        <v>0</v>
      </c>
      <c r="X142" s="183">
        <f>SUMIFS('март 2025'!$G$5:$G$2427,'март 2025'!$D$5:$D$2427,$B142,'март 2025'!$J$5:$J$2427,X$1)</f>
        <v>0</v>
      </c>
      <c r="Y142" s="183">
        <f>SUMIFS('март 2025'!$G$5:$G$2427,'март 2025'!$D$5:$D$2427,$B142,'март 2025'!$J$5:$J$2427,Y$1)</f>
        <v>0</v>
      </c>
      <c r="Z142" s="183">
        <f>SUMIFS('март 2025'!$G$5:$G$2427,'март 2025'!$D$5:$D$2427,$B142,'март 2025'!$J$5:$J$2427,Z$1)</f>
        <v>0</v>
      </c>
      <c r="AA142" s="183">
        <f>SUMIFS('март 2025'!$G$5:$G$2427,'март 2025'!$D$5:$D$2427,$B142,'март 2025'!$J$5:$J$2427,AA$1)</f>
        <v>0</v>
      </c>
      <c r="AB142" s="183">
        <f>SUMIFS('март 2025'!$G$5:$G$2427,'март 2025'!$D$5:$D$2427,$B142,'март 2025'!$J$5:$J$2427,AB$1)</f>
        <v>0</v>
      </c>
      <c r="AC142" s="183">
        <f>SUMIFS('март 2025'!$G$5:$G$2427,'март 2025'!$D$5:$D$2427,$B142,'март 2025'!$J$5:$J$2427,AC$1)</f>
        <v>0</v>
      </c>
      <c r="AD142" s="183">
        <f>SUMIFS('март 2025'!$G$5:$G$2427,'март 2025'!$D$5:$D$2427,$B142,'март 2025'!$J$5:$J$2427,AD$1)</f>
        <v>0</v>
      </c>
      <c r="AE142" s="183">
        <f>SUMIFS('март 2025'!$G$5:$G$2427,'март 2025'!$D$5:$D$2427,$B142,'март 2025'!$J$5:$J$2427,AE$1)</f>
        <v>0</v>
      </c>
      <c r="AF142" s="183">
        <f>SUMIFS('март 2025'!$G$5:$G$2427,'март 2025'!$D$5:$D$2427,$B142,'март 2025'!$J$5:$J$2427,AF$1)</f>
        <v>0</v>
      </c>
      <c r="AG142" s="183">
        <f>SUMIFS('март 2025'!$G$5:$G$2427,'март 2025'!$D$5:$D$2427,$B142,'март 2025'!$J$5:$J$2427,AG$1)</f>
        <v>0</v>
      </c>
      <c r="AH142" s="183">
        <f>SUMIFS('март 2025'!$G$5:$G$2427,'март 2025'!$D$5:$D$2427,$B142,'март 2025'!$J$5:$J$2427,AH$1)</f>
        <v>0</v>
      </c>
      <c r="AI142" s="20">
        <f t="shared" si="1"/>
        <v>0</v>
      </c>
    </row>
    <row r="143" spans="2:35" ht="16.899999999999999" customHeight="1" x14ac:dyDescent="0.25">
      <c r="B143" s="84" t="s">
        <v>276</v>
      </c>
      <c r="C143" s="83">
        <v>200</v>
      </c>
      <c r="D143" s="183">
        <f>SUMIFS('март 2025'!$G$5:$G$2427,'март 2025'!$D$5:$D$2427,$B143,'март 2025'!$J$5:$J$2427,D$1)</f>
        <v>0</v>
      </c>
      <c r="E143" s="183">
        <f>SUMIFS('март 2025'!$G$5:$G$2427,'март 2025'!$D$5:$D$2427,$B143,'март 2025'!$J$5:$J$2427,E$1)</f>
        <v>0</v>
      </c>
      <c r="F143" s="183">
        <f>SUMIFS('март 2025'!$G$5:$G$2427,'март 2025'!$D$5:$D$2427,$B143,'март 2025'!$J$5:$J$2427,F$1)</f>
        <v>0</v>
      </c>
      <c r="G143" s="183">
        <f>SUMIFS('март 2025'!$G$5:$G$2427,'март 2025'!$D$5:$D$2427,$B143,'март 2025'!$J$5:$J$2427,G$1)</f>
        <v>0</v>
      </c>
      <c r="H143" s="183">
        <f>SUMIFS('март 2025'!$G$5:$G$2427,'март 2025'!$D$5:$D$2427,$B143,'март 2025'!$J$5:$J$2427,H$1)</f>
        <v>0</v>
      </c>
      <c r="I143" s="183">
        <f>SUMIFS('март 2025'!$G$5:$G$2427,'март 2025'!$D$5:$D$2427,$B143,'март 2025'!$J$5:$J$2427,I$1)</f>
        <v>0</v>
      </c>
      <c r="J143" s="183">
        <f>SUMIFS('март 2025'!$G$5:$G$2427,'март 2025'!$D$5:$D$2427,$B143,'март 2025'!$J$5:$J$2427,J$1)</f>
        <v>0</v>
      </c>
      <c r="K143" s="183">
        <f>SUMIFS('март 2025'!$G$5:$G$2427,'март 2025'!$D$5:$D$2427,$B143,'март 2025'!$J$5:$J$2427,K$1)</f>
        <v>0</v>
      </c>
      <c r="L143" s="183">
        <f>SUMIFS('март 2025'!$G$5:$G$2427,'март 2025'!$D$5:$D$2427,$B143,'март 2025'!$J$5:$J$2427,L$1)</f>
        <v>0</v>
      </c>
      <c r="M143" s="183">
        <f>SUMIFS('март 2025'!$G$5:$G$2427,'март 2025'!$D$5:$D$2427,$B143,'март 2025'!$J$5:$J$2427,M$1)</f>
        <v>0</v>
      </c>
      <c r="N143" s="183">
        <f>SUMIFS('март 2025'!$G$5:$G$2427,'март 2025'!$D$5:$D$2427,$B143,'март 2025'!$J$5:$J$2427,N$1)</f>
        <v>0</v>
      </c>
      <c r="O143" s="183">
        <f>SUMIFS('март 2025'!$G$5:$G$2427,'март 2025'!$D$5:$D$2427,$B143,'март 2025'!$J$5:$J$2427,O$1)</f>
        <v>0</v>
      </c>
      <c r="P143" s="183">
        <f>SUMIFS('март 2025'!$G$5:$G$2427,'март 2025'!$D$5:$D$2427,$B143,'март 2025'!$J$5:$J$2427,P$1)</f>
        <v>0</v>
      </c>
      <c r="Q143" s="183">
        <f>SUMIFS('март 2025'!$G$5:$G$2427,'март 2025'!$D$5:$D$2427,$B143,'март 2025'!$J$5:$J$2427,Q$1)</f>
        <v>0</v>
      </c>
      <c r="R143" s="183">
        <f>SUMIFS('март 2025'!$G$5:$G$2427,'март 2025'!$D$5:$D$2427,$B143,'март 2025'!$J$5:$J$2427,R$1)</f>
        <v>0</v>
      </c>
      <c r="S143" s="183">
        <f>SUMIFS('март 2025'!$G$5:$G$2427,'март 2025'!$D$5:$D$2427,$B143,'март 2025'!$J$5:$J$2427,S$1)</f>
        <v>0</v>
      </c>
      <c r="T143" s="183">
        <f>SUMIFS('март 2025'!$G$5:$G$2427,'март 2025'!$D$5:$D$2427,$B143,'март 2025'!$J$5:$J$2427,T$1)</f>
        <v>0</v>
      </c>
      <c r="U143" s="183">
        <f>SUMIFS('март 2025'!$G$5:$G$2427,'март 2025'!$D$5:$D$2427,$B143,'март 2025'!$J$5:$J$2427,U$1)</f>
        <v>0</v>
      </c>
      <c r="V143" s="183">
        <f>SUMIFS('март 2025'!$G$5:$G$2427,'март 2025'!$D$5:$D$2427,$B143,'март 2025'!$J$5:$J$2427,V$1)</f>
        <v>0</v>
      </c>
      <c r="W143" s="183">
        <f>SUMIFS('март 2025'!$G$5:$G$2427,'март 2025'!$D$5:$D$2427,$B143,'март 2025'!$J$5:$J$2427,W$1)</f>
        <v>0</v>
      </c>
      <c r="X143" s="183">
        <f>SUMIFS('март 2025'!$G$5:$G$2427,'март 2025'!$D$5:$D$2427,$B143,'март 2025'!$J$5:$J$2427,X$1)</f>
        <v>0</v>
      </c>
      <c r="Y143" s="183">
        <f>SUMIFS('март 2025'!$G$5:$G$2427,'март 2025'!$D$5:$D$2427,$B143,'март 2025'!$J$5:$J$2427,Y$1)</f>
        <v>0</v>
      </c>
      <c r="Z143" s="183">
        <f>SUMIFS('март 2025'!$G$5:$G$2427,'март 2025'!$D$5:$D$2427,$B143,'март 2025'!$J$5:$J$2427,Z$1)</f>
        <v>0</v>
      </c>
      <c r="AA143" s="183">
        <f>SUMIFS('март 2025'!$G$5:$G$2427,'март 2025'!$D$5:$D$2427,$B143,'март 2025'!$J$5:$J$2427,AA$1)</f>
        <v>0</v>
      </c>
      <c r="AB143" s="183">
        <f>SUMIFS('март 2025'!$G$5:$G$2427,'март 2025'!$D$5:$D$2427,$B143,'март 2025'!$J$5:$J$2427,AB$1)</f>
        <v>0</v>
      </c>
      <c r="AC143" s="183">
        <f>SUMIFS('март 2025'!$G$5:$G$2427,'март 2025'!$D$5:$D$2427,$B143,'март 2025'!$J$5:$J$2427,AC$1)</f>
        <v>0</v>
      </c>
      <c r="AD143" s="183">
        <f>SUMIFS('март 2025'!$G$5:$G$2427,'март 2025'!$D$5:$D$2427,$B143,'март 2025'!$J$5:$J$2427,AD$1)</f>
        <v>0</v>
      </c>
      <c r="AE143" s="183">
        <f>SUMIFS('март 2025'!$G$5:$G$2427,'март 2025'!$D$5:$D$2427,$B143,'март 2025'!$J$5:$J$2427,AE$1)</f>
        <v>0</v>
      </c>
      <c r="AF143" s="183">
        <f>SUMIFS('март 2025'!$G$5:$G$2427,'март 2025'!$D$5:$D$2427,$B143,'март 2025'!$J$5:$J$2427,AF$1)</f>
        <v>0</v>
      </c>
      <c r="AG143" s="183">
        <f>SUMIFS('март 2025'!$G$5:$G$2427,'март 2025'!$D$5:$D$2427,$B143,'март 2025'!$J$5:$J$2427,AG$1)</f>
        <v>0</v>
      </c>
      <c r="AH143" s="183">
        <f>SUMIFS('март 2025'!$G$5:$G$2427,'март 2025'!$D$5:$D$2427,$B143,'март 2025'!$J$5:$J$2427,AH$1)</f>
        <v>0</v>
      </c>
      <c r="AI143" s="20">
        <f t="shared" si="1"/>
        <v>0</v>
      </c>
    </row>
    <row r="144" spans="2:35" ht="16.899999999999999" customHeight="1" x14ac:dyDescent="0.25">
      <c r="B144" s="84" t="s">
        <v>272</v>
      </c>
      <c r="C144" s="83">
        <v>200</v>
      </c>
      <c r="D144" s="183">
        <f>SUMIFS('март 2025'!$G$5:$G$2427,'март 2025'!$D$5:$D$2427,$B144,'март 2025'!$J$5:$J$2427,D$1)</f>
        <v>0</v>
      </c>
      <c r="E144" s="183">
        <f>SUMIFS('март 2025'!$G$5:$G$2427,'март 2025'!$D$5:$D$2427,$B144,'март 2025'!$J$5:$J$2427,E$1)</f>
        <v>0</v>
      </c>
      <c r="F144" s="183">
        <f>SUMIFS('март 2025'!$G$5:$G$2427,'март 2025'!$D$5:$D$2427,$B144,'март 2025'!$J$5:$J$2427,F$1)</f>
        <v>0</v>
      </c>
      <c r="G144" s="183">
        <f>SUMIFS('март 2025'!$G$5:$G$2427,'март 2025'!$D$5:$D$2427,$B144,'март 2025'!$J$5:$J$2427,G$1)</f>
        <v>0</v>
      </c>
      <c r="H144" s="183">
        <f>SUMIFS('март 2025'!$G$5:$G$2427,'март 2025'!$D$5:$D$2427,$B144,'март 2025'!$J$5:$J$2427,H$1)</f>
        <v>0</v>
      </c>
      <c r="I144" s="183">
        <f>SUMIFS('март 2025'!$G$5:$G$2427,'март 2025'!$D$5:$D$2427,$B144,'март 2025'!$J$5:$J$2427,I$1)</f>
        <v>0</v>
      </c>
      <c r="J144" s="183">
        <f>SUMIFS('март 2025'!$G$5:$G$2427,'март 2025'!$D$5:$D$2427,$B144,'март 2025'!$J$5:$J$2427,J$1)</f>
        <v>0</v>
      </c>
      <c r="K144" s="183">
        <f>SUMIFS('март 2025'!$G$5:$G$2427,'март 2025'!$D$5:$D$2427,$B144,'март 2025'!$J$5:$J$2427,K$1)</f>
        <v>0</v>
      </c>
      <c r="L144" s="183">
        <f>SUMIFS('март 2025'!$G$5:$G$2427,'март 2025'!$D$5:$D$2427,$B144,'март 2025'!$J$5:$J$2427,L$1)</f>
        <v>0</v>
      </c>
      <c r="M144" s="183">
        <f>SUMIFS('март 2025'!$G$5:$G$2427,'март 2025'!$D$5:$D$2427,$B144,'март 2025'!$J$5:$J$2427,M$1)</f>
        <v>0</v>
      </c>
      <c r="N144" s="183">
        <f>SUMIFS('март 2025'!$G$5:$G$2427,'март 2025'!$D$5:$D$2427,$B144,'март 2025'!$J$5:$J$2427,N$1)</f>
        <v>0</v>
      </c>
      <c r="O144" s="183">
        <f>SUMIFS('март 2025'!$G$5:$G$2427,'март 2025'!$D$5:$D$2427,$B144,'март 2025'!$J$5:$J$2427,O$1)</f>
        <v>0</v>
      </c>
      <c r="P144" s="183">
        <f>SUMIFS('март 2025'!$G$5:$G$2427,'март 2025'!$D$5:$D$2427,$B144,'март 2025'!$J$5:$J$2427,P$1)</f>
        <v>0</v>
      </c>
      <c r="Q144" s="183">
        <f>SUMIFS('март 2025'!$G$5:$G$2427,'март 2025'!$D$5:$D$2427,$B144,'март 2025'!$J$5:$J$2427,Q$1)</f>
        <v>0</v>
      </c>
      <c r="R144" s="183">
        <f>SUMIFS('март 2025'!$G$5:$G$2427,'март 2025'!$D$5:$D$2427,$B144,'март 2025'!$J$5:$J$2427,R$1)</f>
        <v>0</v>
      </c>
      <c r="S144" s="183">
        <f>SUMIFS('март 2025'!$G$5:$G$2427,'март 2025'!$D$5:$D$2427,$B144,'март 2025'!$J$5:$J$2427,S$1)</f>
        <v>0</v>
      </c>
      <c r="T144" s="183">
        <f>SUMIFS('март 2025'!$G$5:$G$2427,'март 2025'!$D$5:$D$2427,$B144,'март 2025'!$J$5:$J$2427,T$1)</f>
        <v>0</v>
      </c>
      <c r="U144" s="183">
        <f>SUMIFS('март 2025'!$G$5:$G$2427,'март 2025'!$D$5:$D$2427,$B144,'март 2025'!$J$5:$J$2427,U$1)</f>
        <v>0</v>
      </c>
      <c r="V144" s="183">
        <f>SUMIFS('март 2025'!$G$5:$G$2427,'март 2025'!$D$5:$D$2427,$B144,'март 2025'!$J$5:$J$2427,V$1)</f>
        <v>0</v>
      </c>
      <c r="W144" s="183">
        <f>SUMIFS('март 2025'!$G$5:$G$2427,'март 2025'!$D$5:$D$2427,$B144,'март 2025'!$J$5:$J$2427,W$1)</f>
        <v>0</v>
      </c>
      <c r="X144" s="183">
        <f>SUMIFS('март 2025'!$G$5:$G$2427,'март 2025'!$D$5:$D$2427,$B144,'март 2025'!$J$5:$J$2427,X$1)</f>
        <v>0</v>
      </c>
      <c r="Y144" s="183">
        <f>SUMIFS('март 2025'!$G$5:$G$2427,'март 2025'!$D$5:$D$2427,$B144,'март 2025'!$J$5:$J$2427,Y$1)</f>
        <v>0</v>
      </c>
      <c r="Z144" s="183">
        <f>SUMIFS('март 2025'!$G$5:$G$2427,'март 2025'!$D$5:$D$2427,$B144,'март 2025'!$J$5:$J$2427,Z$1)</f>
        <v>0</v>
      </c>
      <c r="AA144" s="183">
        <f>SUMIFS('март 2025'!$G$5:$G$2427,'март 2025'!$D$5:$D$2427,$B144,'март 2025'!$J$5:$J$2427,AA$1)</f>
        <v>0</v>
      </c>
      <c r="AB144" s="183">
        <f>SUMIFS('март 2025'!$G$5:$G$2427,'март 2025'!$D$5:$D$2427,$B144,'март 2025'!$J$5:$J$2427,AB$1)</f>
        <v>0</v>
      </c>
      <c r="AC144" s="183">
        <f>SUMIFS('март 2025'!$G$5:$G$2427,'март 2025'!$D$5:$D$2427,$B144,'март 2025'!$J$5:$J$2427,AC$1)</f>
        <v>0</v>
      </c>
      <c r="AD144" s="183">
        <f>SUMIFS('март 2025'!$G$5:$G$2427,'март 2025'!$D$5:$D$2427,$B144,'март 2025'!$J$5:$J$2427,AD$1)</f>
        <v>0</v>
      </c>
      <c r="AE144" s="183">
        <f>SUMIFS('март 2025'!$G$5:$G$2427,'март 2025'!$D$5:$D$2427,$B144,'март 2025'!$J$5:$J$2427,AE$1)</f>
        <v>0</v>
      </c>
      <c r="AF144" s="183">
        <f>SUMIFS('март 2025'!$G$5:$G$2427,'март 2025'!$D$5:$D$2427,$B144,'март 2025'!$J$5:$J$2427,AF$1)</f>
        <v>0</v>
      </c>
      <c r="AG144" s="183">
        <f>SUMIFS('март 2025'!$G$5:$G$2427,'март 2025'!$D$5:$D$2427,$B144,'март 2025'!$J$5:$J$2427,AG$1)</f>
        <v>0</v>
      </c>
      <c r="AH144" s="183">
        <f>SUMIFS('март 2025'!$G$5:$G$2427,'март 2025'!$D$5:$D$2427,$B144,'март 2025'!$J$5:$J$2427,AH$1)</f>
        <v>0</v>
      </c>
      <c r="AI144" s="20">
        <f t="shared" si="1"/>
        <v>0</v>
      </c>
    </row>
    <row r="145" spans="2:35" ht="15" customHeight="1" x14ac:dyDescent="0.25">
      <c r="B145" s="84" t="s">
        <v>277</v>
      </c>
      <c r="C145" s="83">
        <v>200</v>
      </c>
      <c r="D145" s="183">
        <f>SUMIFS('март 2025'!$G$5:$G$2427,'март 2025'!$D$5:$D$2427,$B145,'март 2025'!$J$5:$J$2427,D$1)</f>
        <v>0</v>
      </c>
      <c r="E145" s="183">
        <f>SUMIFS('март 2025'!$G$5:$G$2427,'март 2025'!$D$5:$D$2427,$B145,'март 2025'!$J$5:$J$2427,E$1)</f>
        <v>0</v>
      </c>
      <c r="F145" s="183">
        <f>SUMIFS('март 2025'!$G$5:$G$2427,'март 2025'!$D$5:$D$2427,$B145,'март 2025'!$J$5:$J$2427,F$1)</f>
        <v>0</v>
      </c>
      <c r="G145" s="183">
        <f>SUMIFS('март 2025'!$G$5:$G$2427,'март 2025'!$D$5:$D$2427,$B145,'март 2025'!$J$5:$J$2427,G$1)</f>
        <v>0</v>
      </c>
      <c r="H145" s="183">
        <f>SUMIFS('март 2025'!$G$5:$G$2427,'март 2025'!$D$5:$D$2427,$B145,'март 2025'!$J$5:$J$2427,H$1)</f>
        <v>0</v>
      </c>
      <c r="I145" s="183">
        <f>SUMIFS('март 2025'!$G$5:$G$2427,'март 2025'!$D$5:$D$2427,$B145,'март 2025'!$J$5:$J$2427,I$1)</f>
        <v>0</v>
      </c>
      <c r="J145" s="183">
        <f>SUMIFS('март 2025'!$G$5:$G$2427,'март 2025'!$D$5:$D$2427,$B145,'март 2025'!$J$5:$J$2427,J$1)</f>
        <v>0</v>
      </c>
      <c r="K145" s="183">
        <f>SUMIFS('март 2025'!$G$5:$G$2427,'март 2025'!$D$5:$D$2427,$B145,'март 2025'!$J$5:$J$2427,K$1)</f>
        <v>0</v>
      </c>
      <c r="L145" s="183">
        <f>SUMIFS('март 2025'!$G$5:$G$2427,'март 2025'!$D$5:$D$2427,$B145,'март 2025'!$J$5:$J$2427,L$1)</f>
        <v>0</v>
      </c>
      <c r="M145" s="183">
        <f>SUMIFS('март 2025'!$G$5:$G$2427,'март 2025'!$D$5:$D$2427,$B145,'март 2025'!$J$5:$J$2427,M$1)</f>
        <v>0</v>
      </c>
      <c r="N145" s="183">
        <f>SUMIFS('март 2025'!$G$5:$G$2427,'март 2025'!$D$5:$D$2427,$B145,'март 2025'!$J$5:$J$2427,N$1)</f>
        <v>0</v>
      </c>
      <c r="O145" s="183">
        <f>SUMIFS('март 2025'!$G$5:$G$2427,'март 2025'!$D$5:$D$2427,$B145,'март 2025'!$J$5:$J$2427,O$1)</f>
        <v>0</v>
      </c>
      <c r="P145" s="183">
        <f>SUMIFS('март 2025'!$G$5:$G$2427,'март 2025'!$D$5:$D$2427,$B145,'март 2025'!$J$5:$J$2427,P$1)</f>
        <v>0</v>
      </c>
      <c r="Q145" s="183">
        <f>SUMIFS('март 2025'!$G$5:$G$2427,'март 2025'!$D$5:$D$2427,$B145,'март 2025'!$J$5:$J$2427,Q$1)</f>
        <v>0</v>
      </c>
      <c r="R145" s="183">
        <f>SUMIFS('март 2025'!$G$5:$G$2427,'март 2025'!$D$5:$D$2427,$B145,'март 2025'!$J$5:$J$2427,R$1)</f>
        <v>0</v>
      </c>
      <c r="S145" s="183">
        <f>SUMIFS('март 2025'!$G$5:$G$2427,'март 2025'!$D$5:$D$2427,$B145,'март 2025'!$J$5:$J$2427,S$1)</f>
        <v>0</v>
      </c>
      <c r="T145" s="183">
        <f>SUMIFS('март 2025'!$G$5:$G$2427,'март 2025'!$D$5:$D$2427,$B145,'март 2025'!$J$5:$J$2427,T$1)</f>
        <v>0</v>
      </c>
      <c r="U145" s="183">
        <f>SUMIFS('март 2025'!$G$5:$G$2427,'март 2025'!$D$5:$D$2427,$B145,'март 2025'!$J$5:$J$2427,U$1)</f>
        <v>0</v>
      </c>
      <c r="V145" s="183">
        <f>SUMIFS('март 2025'!$G$5:$G$2427,'март 2025'!$D$5:$D$2427,$B145,'март 2025'!$J$5:$J$2427,V$1)</f>
        <v>0</v>
      </c>
      <c r="W145" s="183">
        <f>SUMIFS('март 2025'!$G$5:$G$2427,'март 2025'!$D$5:$D$2427,$B145,'март 2025'!$J$5:$J$2427,W$1)</f>
        <v>0</v>
      </c>
      <c r="X145" s="183">
        <f>SUMIFS('март 2025'!$G$5:$G$2427,'март 2025'!$D$5:$D$2427,$B145,'март 2025'!$J$5:$J$2427,X$1)</f>
        <v>0</v>
      </c>
      <c r="Y145" s="183">
        <f>SUMIFS('март 2025'!$G$5:$G$2427,'март 2025'!$D$5:$D$2427,$B145,'март 2025'!$J$5:$J$2427,Y$1)</f>
        <v>0</v>
      </c>
      <c r="Z145" s="183">
        <f>SUMIFS('март 2025'!$G$5:$G$2427,'март 2025'!$D$5:$D$2427,$B145,'март 2025'!$J$5:$J$2427,Z$1)</f>
        <v>0</v>
      </c>
      <c r="AA145" s="183">
        <f>SUMIFS('март 2025'!$G$5:$G$2427,'март 2025'!$D$5:$D$2427,$B145,'март 2025'!$J$5:$J$2427,AA$1)</f>
        <v>0</v>
      </c>
      <c r="AB145" s="183">
        <f>SUMIFS('март 2025'!$G$5:$G$2427,'март 2025'!$D$5:$D$2427,$B145,'март 2025'!$J$5:$J$2427,AB$1)</f>
        <v>0</v>
      </c>
      <c r="AC145" s="183">
        <f>SUMIFS('март 2025'!$G$5:$G$2427,'март 2025'!$D$5:$D$2427,$B145,'март 2025'!$J$5:$J$2427,AC$1)</f>
        <v>0</v>
      </c>
      <c r="AD145" s="183">
        <f>SUMIFS('март 2025'!$G$5:$G$2427,'март 2025'!$D$5:$D$2427,$B145,'март 2025'!$J$5:$J$2427,AD$1)</f>
        <v>0</v>
      </c>
      <c r="AE145" s="183">
        <f>SUMIFS('март 2025'!$G$5:$G$2427,'март 2025'!$D$5:$D$2427,$B145,'март 2025'!$J$5:$J$2427,AE$1)</f>
        <v>0</v>
      </c>
      <c r="AF145" s="183">
        <f>SUMIFS('март 2025'!$G$5:$G$2427,'март 2025'!$D$5:$D$2427,$B145,'март 2025'!$J$5:$J$2427,AF$1)</f>
        <v>0</v>
      </c>
      <c r="AG145" s="183">
        <f>SUMIFS('март 2025'!$G$5:$G$2427,'март 2025'!$D$5:$D$2427,$B145,'март 2025'!$J$5:$J$2427,AG$1)</f>
        <v>0</v>
      </c>
      <c r="AH145" s="183">
        <f>SUMIFS('март 2025'!$G$5:$G$2427,'март 2025'!$D$5:$D$2427,$B145,'март 2025'!$J$5:$J$2427,AH$1)</f>
        <v>0</v>
      </c>
      <c r="AI145" s="20">
        <f t="shared" si="1"/>
        <v>0</v>
      </c>
    </row>
    <row r="146" spans="2:35" ht="15" customHeight="1" x14ac:dyDescent="0.25">
      <c r="B146" s="84" t="s">
        <v>273</v>
      </c>
      <c r="C146" s="83">
        <v>200</v>
      </c>
      <c r="D146" s="183">
        <f>SUMIFS('март 2025'!$G$5:$G$2427,'март 2025'!$D$5:$D$2427,$B146,'март 2025'!$J$5:$J$2427,D$1)</f>
        <v>0</v>
      </c>
      <c r="E146" s="183">
        <f>SUMIFS('март 2025'!$G$5:$G$2427,'март 2025'!$D$5:$D$2427,$B146,'март 2025'!$J$5:$J$2427,E$1)</f>
        <v>0</v>
      </c>
      <c r="F146" s="183">
        <f>SUMIFS('март 2025'!$G$5:$G$2427,'март 2025'!$D$5:$D$2427,$B146,'март 2025'!$J$5:$J$2427,F$1)</f>
        <v>0</v>
      </c>
      <c r="G146" s="183">
        <f>SUMIFS('март 2025'!$G$5:$G$2427,'март 2025'!$D$5:$D$2427,$B146,'март 2025'!$J$5:$J$2427,G$1)</f>
        <v>0</v>
      </c>
      <c r="H146" s="183">
        <f>SUMIFS('март 2025'!$G$5:$G$2427,'март 2025'!$D$5:$D$2427,$B146,'март 2025'!$J$5:$J$2427,H$1)</f>
        <v>0</v>
      </c>
      <c r="I146" s="183">
        <f>SUMIFS('март 2025'!$G$5:$G$2427,'март 2025'!$D$5:$D$2427,$B146,'март 2025'!$J$5:$J$2427,I$1)</f>
        <v>0</v>
      </c>
      <c r="J146" s="183">
        <f>SUMIFS('март 2025'!$G$5:$G$2427,'март 2025'!$D$5:$D$2427,$B146,'март 2025'!$J$5:$J$2427,J$1)</f>
        <v>0</v>
      </c>
      <c r="K146" s="183">
        <f>SUMIFS('март 2025'!$G$5:$G$2427,'март 2025'!$D$5:$D$2427,$B146,'март 2025'!$J$5:$J$2427,K$1)</f>
        <v>0</v>
      </c>
      <c r="L146" s="183">
        <f>SUMIFS('март 2025'!$G$5:$G$2427,'март 2025'!$D$5:$D$2427,$B146,'март 2025'!$J$5:$J$2427,L$1)</f>
        <v>0</v>
      </c>
      <c r="M146" s="183">
        <f>SUMIFS('март 2025'!$G$5:$G$2427,'март 2025'!$D$5:$D$2427,$B146,'март 2025'!$J$5:$J$2427,M$1)</f>
        <v>0</v>
      </c>
      <c r="N146" s="183">
        <f>SUMIFS('март 2025'!$G$5:$G$2427,'март 2025'!$D$5:$D$2427,$B146,'март 2025'!$J$5:$J$2427,N$1)</f>
        <v>0</v>
      </c>
      <c r="O146" s="183">
        <f>SUMIFS('март 2025'!$G$5:$G$2427,'март 2025'!$D$5:$D$2427,$B146,'март 2025'!$J$5:$J$2427,O$1)</f>
        <v>0</v>
      </c>
      <c r="P146" s="183">
        <f>SUMIFS('март 2025'!$G$5:$G$2427,'март 2025'!$D$5:$D$2427,$B146,'март 2025'!$J$5:$J$2427,P$1)</f>
        <v>0</v>
      </c>
      <c r="Q146" s="183">
        <f>SUMIFS('март 2025'!$G$5:$G$2427,'март 2025'!$D$5:$D$2427,$B146,'март 2025'!$J$5:$J$2427,Q$1)</f>
        <v>0</v>
      </c>
      <c r="R146" s="183">
        <f>SUMIFS('март 2025'!$G$5:$G$2427,'март 2025'!$D$5:$D$2427,$B146,'март 2025'!$J$5:$J$2427,R$1)</f>
        <v>0</v>
      </c>
      <c r="S146" s="183">
        <f>SUMIFS('март 2025'!$G$5:$G$2427,'март 2025'!$D$5:$D$2427,$B146,'март 2025'!$J$5:$J$2427,S$1)</f>
        <v>0</v>
      </c>
      <c r="T146" s="183">
        <f>SUMIFS('март 2025'!$G$5:$G$2427,'март 2025'!$D$5:$D$2427,$B146,'март 2025'!$J$5:$J$2427,T$1)</f>
        <v>0</v>
      </c>
      <c r="U146" s="183">
        <f>SUMIFS('март 2025'!$G$5:$G$2427,'март 2025'!$D$5:$D$2427,$B146,'март 2025'!$J$5:$J$2427,U$1)</f>
        <v>0</v>
      </c>
      <c r="V146" s="183">
        <f>SUMIFS('март 2025'!$G$5:$G$2427,'март 2025'!$D$5:$D$2427,$B146,'март 2025'!$J$5:$J$2427,V$1)</f>
        <v>0</v>
      </c>
      <c r="W146" s="183">
        <f>SUMIFS('март 2025'!$G$5:$G$2427,'март 2025'!$D$5:$D$2427,$B146,'март 2025'!$J$5:$J$2427,W$1)</f>
        <v>0</v>
      </c>
      <c r="X146" s="183">
        <f>SUMIFS('март 2025'!$G$5:$G$2427,'март 2025'!$D$5:$D$2427,$B146,'март 2025'!$J$5:$J$2427,X$1)</f>
        <v>0</v>
      </c>
      <c r="Y146" s="183">
        <f>SUMIFS('март 2025'!$G$5:$G$2427,'март 2025'!$D$5:$D$2427,$B146,'март 2025'!$J$5:$J$2427,Y$1)</f>
        <v>0</v>
      </c>
      <c r="Z146" s="183">
        <f>SUMIFS('март 2025'!$G$5:$G$2427,'март 2025'!$D$5:$D$2427,$B146,'март 2025'!$J$5:$J$2427,Z$1)</f>
        <v>0</v>
      </c>
      <c r="AA146" s="183">
        <f>SUMIFS('март 2025'!$G$5:$G$2427,'март 2025'!$D$5:$D$2427,$B146,'март 2025'!$J$5:$J$2427,AA$1)</f>
        <v>0</v>
      </c>
      <c r="AB146" s="183">
        <f>SUMIFS('март 2025'!$G$5:$G$2427,'март 2025'!$D$5:$D$2427,$B146,'март 2025'!$J$5:$J$2427,AB$1)</f>
        <v>0</v>
      </c>
      <c r="AC146" s="183">
        <f>SUMIFS('март 2025'!$G$5:$G$2427,'март 2025'!$D$5:$D$2427,$B146,'март 2025'!$J$5:$J$2427,AC$1)</f>
        <v>0</v>
      </c>
      <c r="AD146" s="183">
        <f>SUMIFS('март 2025'!$G$5:$G$2427,'март 2025'!$D$5:$D$2427,$B146,'март 2025'!$J$5:$J$2427,AD$1)</f>
        <v>0</v>
      </c>
      <c r="AE146" s="183">
        <f>SUMIFS('март 2025'!$G$5:$G$2427,'март 2025'!$D$5:$D$2427,$B146,'март 2025'!$J$5:$J$2427,AE$1)</f>
        <v>0</v>
      </c>
      <c r="AF146" s="183">
        <f>SUMIFS('март 2025'!$G$5:$G$2427,'март 2025'!$D$5:$D$2427,$B146,'март 2025'!$J$5:$J$2427,AF$1)</f>
        <v>0</v>
      </c>
      <c r="AG146" s="183">
        <f>SUMIFS('март 2025'!$G$5:$G$2427,'март 2025'!$D$5:$D$2427,$B146,'март 2025'!$J$5:$J$2427,AG$1)</f>
        <v>0</v>
      </c>
      <c r="AH146" s="183">
        <f>SUMIFS('март 2025'!$G$5:$G$2427,'март 2025'!$D$5:$D$2427,$B146,'март 2025'!$J$5:$J$2427,AH$1)</f>
        <v>0</v>
      </c>
      <c r="AI146" s="20">
        <f t="shared" si="1"/>
        <v>0</v>
      </c>
    </row>
    <row r="147" spans="2:35" ht="15" customHeight="1" x14ac:dyDescent="0.25">
      <c r="B147" s="84" t="s">
        <v>274</v>
      </c>
      <c r="C147" s="83">
        <v>200</v>
      </c>
      <c r="D147" s="183">
        <f>SUMIFS('март 2025'!$G$5:$G$2427,'март 2025'!$D$5:$D$2427,$B147,'март 2025'!$J$5:$J$2427,D$1)</f>
        <v>0</v>
      </c>
      <c r="E147" s="183">
        <f>SUMIFS('март 2025'!$G$5:$G$2427,'март 2025'!$D$5:$D$2427,$B147,'март 2025'!$J$5:$J$2427,E$1)</f>
        <v>0</v>
      </c>
      <c r="F147" s="183">
        <f>SUMIFS('март 2025'!$G$5:$G$2427,'март 2025'!$D$5:$D$2427,$B147,'март 2025'!$J$5:$J$2427,F$1)</f>
        <v>0</v>
      </c>
      <c r="G147" s="183">
        <f>SUMIFS('март 2025'!$G$5:$G$2427,'март 2025'!$D$5:$D$2427,$B147,'март 2025'!$J$5:$J$2427,G$1)</f>
        <v>0</v>
      </c>
      <c r="H147" s="183">
        <f>SUMIFS('март 2025'!$G$5:$G$2427,'март 2025'!$D$5:$D$2427,$B147,'март 2025'!$J$5:$J$2427,H$1)</f>
        <v>0</v>
      </c>
      <c r="I147" s="183">
        <f>SUMIFS('март 2025'!$G$5:$G$2427,'март 2025'!$D$5:$D$2427,$B147,'март 2025'!$J$5:$J$2427,I$1)</f>
        <v>0</v>
      </c>
      <c r="J147" s="183">
        <f>SUMIFS('март 2025'!$G$5:$G$2427,'март 2025'!$D$5:$D$2427,$B147,'март 2025'!$J$5:$J$2427,J$1)</f>
        <v>0</v>
      </c>
      <c r="K147" s="183">
        <f>SUMIFS('март 2025'!$G$5:$G$2427,'март 2025'!$D$5:$D$2427,$B147,'март 2025'!$J$5:$J$2427,K$1)</f>
        <v>0</v>
      </c>
      <c r="L147" s="183">
        <f>SUMIFS('март 2025'!$G$5:$G$2427,'март 2025'!$D$5:$D$2427,$B147,'март 2025'!$J$5:$J$2427,L$1)</f>
        <v>0</v>
      </c>
      <c r="M147" s="183">
        <f>SUMIFS('март 2025'!$G$5:$G$2427,'март 2025'!$D$5:$D$2427,$B147,'март 2025'!$J$5:$J$2427,M$1)</f>
        <v>0</v>
      </c>
      <c r="N147" s="183">
        <f>SUMIFS('март 2025'!$G$5:$G$2427,'март 2025'!$D$5:$D$2427,$B147,'март 2025'!$J$5:$J$2427,N$1)</f>
        <v>0</v>
      </c>
      <c r="O147" s="183">
        <f>SUMIFS('март 2025'!$G$5:$G$2427,'март 2025'!$D$5:$D$2427,$B147,'март 2025'!$J$5:$J$2427,O$1)</f>
        <v>0</v>
      </c>
      <c r="P147" s="183">
        <f>SUMIFS('март 2025'!$G$5:$G$2427,'март 2025'!$D$5:$D$2427,$B147,'март 2025'!$J$5:$J$2427,P$1)</f>
        <v>0</v>
      </c>
      <c r="Q147" s="183">
        <f>SUMIFS('март 2025'!$G$5:$G$2427,'март 2025'!$D$5:$D$2427,$B147,'март 2025'!$J$5:$J$2427,Q$1)</f>
        <v>0</v>
      </c>
      <c r="R147" s="183">
        <f>SUMIFS('март 2025'!$G$5:$G$2427,'март 2025'!$D$5:$D$2427,$B147,'март 2025'!$J$5:$J$2427,R$1)</f>
        <v>0</v>
      </c>
      <c r="S147" s="183">
        <f>SUMIFS('март 2025'!$G$5:$G$2427,'март 2025'!$D$5:$D$2427,$B147,'март 2025'!$J$5:$J$2427,S$1)</f>
        <v>0</v>
      </c>
      <c r="T147" s="183">
        <f>SUMIFS('март 2025'!$G$5:$G$2427,'март 2025'!$D$5:$D$2427,$B147,'март 2025'!$J$5:$J$2427,T$1)</f>
        <v>0</v>
      </c>
      <c r="U147" s="183">
        <f>SUMIFS('март 2025'!$G$5:$G$2427,'март 2025'!$D$5:$D$2427,$B147,'март 2025'!$J$5:$J$2427,U$1)</f>
        <v>0</v>
      </c>
      <c r="V147" s="183">
        <f>SUMIFS('март 2025'!$G$5:$G$2427,'март 2025'!$D$5:$D$2427,$B147,'март 2025'!$J$5:$J$2427,V$1)</f>
        <v>0</v>
      </c>
      <c r="W147" s="183">
        <f>SUMIFS('март 2025'!$G$5:$G$2427,'март 2025'!$D$5:$D$2427,$B147,'март 2025'!$J$5:$J$2427,W$1)</f>
        <v>0</v>
      </c>
      <c r="X147" s="183">
        <f>SUMIFS('март 2025'!$G$5:$G$2427,'март 2025'!$D$5:$D$2427,$B147,'март 2025'!$J$5:$J$2427,X$1)</f>
        <v>0</v>
      </c>
      <c r="Y147" s="183">
        <f>SUMIFS('март 2025'!$G$5:$G$2427,'март 2025'!$D$5:$D$2427,$B147,'март 2025'!$J$5:$J$2427,Y$1)</f>
        <v>0</v>
      </c>
      <c r="Z147" s="183">
        <f>SUMIFS('март 2025'!$G$5:$G$2427,'март 2025'!$D$5:$D$2427,$B147,'март 2025'!$J$5:$J$2427,Z$1)</f>
        <v>0</v>
      </c>
      <c r="AA147" s="183">
        <f>SUMIFS('март 2025'!$G$5:$G$2427,'март 2025'!$D$5:$D$2427,$B147,'март 2025'!$J$5:$J$2427,AA$1)</f>
        <v>0</v>
      </c>
      <c r="AB147" s="183">
        <f>SUMIFS('март 2025'!$G$5:$G$2427,'март 2025'!$D$5:$D$2427,$B147,'март 2025'!$J$5:$J$2427,AB$1)</f>
        <v>0</v>
      </c>
      <c r="AC147" s="183">
        <f>SUMIFS('март 2025'!$G$5:$G$2427,'март 2025'!$D$5:$D$2427,$B147,'март 2025'!$J$5:$J$2427,AC$1)</f>
        <v>0</v>
      </c>
      <c r="AD147" s="183">
        <f>SUMIFS('март 2025'!$G$5:$G$2427,'март 2025'!$D$5:$D$2427,$B147,'март 2025'!$J$5:$J$2427,AD$1)</f>
        <v>0</v>
      </c>
      <c r="AE147" s="183">
        <f>SUMIFS('март 2025'!$G$5:$G$2427,'март 2025'!$D$5:$D$2427,$B147,'март 2025'!$J$5:$J$2427,AE$1)</f>
        <v>0</v>
      </c>
      <c r="AF147" s="183">
        <f>SUMIFS('март 2025'!$G$5:$G$2427,'март 2025'!$D$5:$D$2427,$B147,'март 2025'!$J$5:$J$2427,AF$1)</f>
        <v>0</v>
      </c>
      <c r="AG147" s="183">
        <f>SUMIFS('март 2025'!$G$5:$G$2427,'март 2025'!$D$5:$D$2427,$B147,'март 2025'!$J$5:$J$2427,AG$1)</f>
        <v>0</v>
      </c>
      <c r="AH147" s="183">
        <f>SUMIFS('март 2025'!$G$5:$G$2427,'март 2025'!$D$5:$D$2427,$B147,'март 2025'!$J$5:$J$2427,AH$1)</f>
        <v>0</v>
      </c>
      <c r="AI147" s="20">
        <f t="shared" si="1"/>
        <v>0</v>
      </c>
    </row>
    <row r="148" spans="2:35" ht="15" customHeight="1" x14ac:dyDescent="0.25">
      <c r="B148" s="84" t="s">
        <v>313</v>
      </c>
      <c r="C148" s="83">
        <v>1000</v>
      </c>
      <c r="D148" s="183">
        <f>SUMIFS('март 2025'!$G$5:$G$2427,'март 2025'!$D$5:$D$2427,$B148,'март 2025'!$J$5:$J$2427,D$1)</f>
        <v>0</v>
      </c>
      <c r="E148" s="183">
        <f>SUMIFS('март 2025'!$G$5:$G$2427,'март 2025'!$D$5:$D$2427,$B148,'март 2025'!$J$5:$J$2427,E$1)</f>
        <v>0</v>
      </c>
      <c r="F148" s="183">
        <f>SUMIFS('март 2025'!$G$5:$G$2427,'март 2025'!$D$5:$D$2427,$B148,'март 2025'!$J$5:$J$2427,F$1)</f>
        <v>0</v>
      </c>
      <c r="G148" s="183">
        <f>SUMIFS('март 2025'!$G$5:$G$2427,'март 2025'!$D$5:$D$2427,$B148,'март 2025'!$J$5:$J$2427,G$1)</f>
        <v>0</v>
      </c>
      <c r="H148" s="183">
        <f>SUMIFS('март 2025'!$G$5:$G$2427,'март 2025'!$D$5:$D$2427,$B148,'март 2025'!$J$5:$J$2427,H$1)</f>
        <v>0</v>
      </c>
      <c r="I148" s="183">
        <f>SUMIFS('март 2025'!$G$5:$G$2427,'март 2025'!$D$5:$D$2427,$B148,'март 2025'!$J$5:$J$2427,I$1)</f>
        <v>0</v>
      </c>
      <c r="J148" s="183">
        <f>SUMIFS('март 2025'!$G$5:$G$2427,'март 2025'!$D$5:$D$2427,$B148,'март 2025'!$J$5:$J$2427,J$1)</f>
        <v>0</v>
      </c>
      <c r="K148" s="183">
        <f>SUMIFS('март 2025'!$G$5:$G$2427,'март 2025'!$D$5:$D$2427,$B148,'март 2025'!$J$5:$J$2427,K$1)</f>
        <v>0</v>
      </c>
      <c r="L148" s="183">
        <f>SUMIFS('март 2025'!$G$5:$G$2427,'март 2025'!$D$5:$D$2427,$B148,'март 2025'!$J$5:$J$2427,L$1)</f>
        <v>0</v>
      </c>
      <c r="M148" s="183">
        <f>SUMIFS('март 2025'!$G$5:$G$2427,'март 2025'!$D$5:$D$2427,$B148,'март 2025'!$J$5:$J$2427,M$1)</f>
        <v>0</v>
      </c>
      <c r="N148" s="183">
        <f>SUMIFS('март 2025'!$G$5:$G$2427,'март 2025'!$D$5:$D$2427,$B148,'март 2025'!$J$5:$J$2427,N$1)</f>
        <v>0</v>
      </c>
      <c r="O148" s="183">
        <f>SUMIFS('март 2025'!$G$5:$G$2427,'март 2025'!$D$5:$D$2427,$B148,'март 2025'!$J$5:$J$2427,O$1)</f>
        <v>0</v>
      </c>
      <c r="P148" s="183">
        <f>SUMIFS('март 2025'!$G$5:$G$2427,'март 2025'!$D$5:$D$2427,$B148,'март 2025'!$J$5:$J$2427,P$1)</f>
        <v>0</v>
      </c>
      <c r="Q148" s="183">
        <f>SUMIFS('март 2025'!$G$5:$G$2427,'март 2025'!$D$5:$D$2427,$B148,'март 2025'!$J$5:$J$2427,Q$1)</f>
        <v>0</v>
      </c>
      <c r="R148" s="183">
        <f>SUMIFS('март 2025'!$G$5:$G$2427,'март 2025'!$D$5:$D$2427,$B148,'март 2025'!$J$5:$J$2427,R$1)</f>
        <v>0</v>
      </c>
      <c r="S148" s="183">
        <f>SUMIFS('март 2025'!$G$5:$G$2427,'март 2025'!$D$5:$D$2427,$B148,'март 2025'!$J$5:$J$2427,S$1)</f>
        <v>0</v>
      </c>
      <c r="T148" s="183">
        <f>SUMIFS('март 2025'!$G$5:$G$2427,'март 2025'!$D$5:$D$2427,$B148,'март 2025'!$J$5:$J$2427,T$1)</f>
        <v>0</v>
      </c>
      <c r="U148" s="183">
        <f>SUMIFS('март 2025'!$G$5:$G$2427,'март 2025'!$D$5:$D$2427,$B148,'март 2025'!$J$5:$J$2427,U$1)</f>
        <v>0</v>
      </c>
      <c r="V148" s="183">
        <f>SUMIFS('март 2025'!$G$5:$G$2427,'март 2025'!$D$5:$D$2427,$B148,'март 2025'!$J$5:$J$2427,V$1)</f>
        <v>0</v>
      </c>
      <c r="W148" s="183">
        <f>SUMIFS('март 2025'!$G$5:$G$2427,'март 2025'!$D$5:$D$2427,$B148,'март 2025'!$J$5:$J$2427,W$1)</f>
        <v>0</v>
      </c>
      <c r="X148" s="183">
        <f>SUMIFS('март 2025'!$G$5:$G$2427,'март 2025'!$D$5:$D$2427,$B148,'март 2025'!$J$5:$J$2427,X$1)</f>
        <v>0</v>
      </c>
      <c r="Y148" s="183">
        <f>SUMIFS('март 2025'!$G$5:$G$2427,'март 2025'!$D$5:$D$2427,$B148,'март 2025'!$J$5:$J$2427,Y$1)</f>
        <v>0</v>
      </c>
      <c r="Z148" s="183">
        <f>SUMIFS('март 2025'!$G$5:$G$2427,'март 2025'!$D$5:$D$2427,$B148,'март 2025'!$J$5:$J$2427,Z$1)</f>
        <v>0</v>
      </c>
      <c r="AA148" s="183">
        <f>SUMIFS('март 2025'!$G$5:$G$2427,'март 2025'!$D$5:$D$2427,$B148,'март 2025'!$J$5:$J$2427,AA$1)</f>
        <v>0</v>
      </c>
      <c r="AB148" s="183">
        <f>SUMIFS('март 2025'!$G$5:$G$2427,'март 2025'!$D$5:$D$2427,$B148,'март 2025'!$J$5:$J$2427,AB$1)</f>
        <v>0</v>
      </c>
      <c r="AC148" s="183">
        <f>SUMIFS('март 2025'!$G$5:$G$2427,'март 2025'!$D$5:$D$2427,$B148,'март 2025'!$J$5:$J$2427,AC$1)</f>
        <v>0</v>
      </c>
      <c r="AD148" s="183">
        <f>SUMIFS('март 2025'!$G$5:$G$2427,'март 2025'!$D$5:$D$2427,$B148,'март 2025'!$J$5:$J$2427,AD$1)</f>
        <v>0</v>
      </c>
      <c r="AE148" s="183">
        <f>SUMIFS('март 2025'!$G$5:$G$2427,'март 2025'!$D$5:$D$2427,$B148,'март 2025'!$J$5:$J$2427,AE$1)</f>
        <v>0</v>
      </c>
      <c r="AF148" s="183">
        <f>SUMIFS('март 2025'!$G$5:$G$2427,'март 2025'!$D$5:$D$2427,$B148,'март 2025'!$J$5:$J$2427,AF$1)</f>
        <v>0</v>
      </c>
      <c r="AG148" s="183">
        <f>SUMIFS('март 2025'!$G$5:$G$2427,'март 2025'!$D$5:$D$2427,$B148,'март 2025'!$J$5:$J$2427,AG$1)</f>
        <v>0</v>
      </c>
      <c r="AH148" s="183">
        <f>SUMIFS('март 2025'!$G$5:$G$2427,'март 2025'!$D$5:$D$2427,$B148,'март 2025'!$J$5:$J$2427,AH$1)</f>
        <v>0</v>
      </c>
      <c r="AI148" s="20">
        <f t="shared" si="1"/>
        <v>0</v>
      </c>
    </row>
    <row r="149" spans="2:35" ht="15" customHeight="1" x14ac:dyDescent="0.25">
      <c r="B149" s="84" t="s">
        <v>200</v>
      </c>
      <c r="C149" s="83">
        <v>200</v>
      </c>
      <c r="D149" s="183">
        <f>SUMIFS('март 2025'!$G$5:$G$2427,'март 2025'!$D$5:$D$2427,$B149,'март 2025'!$J$5:$J$2427,D$1)</f>
        <v>0</v>
      </c>
      <c r="E149" s="183">
        <f>SUMIFS('март 2025'!$G$5:$G$2427,'март 2025'!$D$5:$D$2427,$B149,'март 2025'!$J$5:$J$2427,E$1)</f>
        <v>0</v>
      </c>
      <c r="F149" s="183">
        <f>SUMIFS('март 2025'!$G$5:$G$2427,'март 2025'!$D$5:$D$2427,$B149,'март 2025'!$J$5:$J$2427,F$1)</f>
        <v>0</v>
      </c>
      <c r="G149" s="183">
        <f>SUMIFS('март 2025'!$G$5:$G$2427,'март 2025'!$D$5:$D$2427,$B149,'март 2025'!$J$5:$J$2427,G$1)</f>
        <v>0</v>
      </c>
      <c r="H149" s="183">
        <f>SUMIFS('март 2025'!$G$5:$G$2427,'март 2025'!$D$5:$D$2427,$B149,'март 2025'!$J$5:$J$2427,H$1)</f>
        <v>0</v>
      </c>
      <c r="I149" s="183">
        <f>SUMIFS('март 2025'!$G$5:$G$2427,'март 2025'!$D$5:$D$2427,$B149,'март 2025'!$J$5:$J$2427,I$1)</f>
        <v>0</v>
      </c>
      <c r="J149" s="183">
        <f>SUMIFS('март 2025'!$G$5:$G$2427,'март 2025'!$D$5:$D$2427,$B149,'март 2025'!$J$5:$J$2427,J$1)</f>
        <v>0</v>
      </c>
      <c r="K149" s="183">
        <f>SUMIFS('март 2025'!$G$5:$G$2427,'март 2025'!$D$5:$D$2427,$B149,'март 2025'!$J$5:$J$2427,K$1)</f>
        <v>0</v>
      </c>
      <c r="L149" s="183">
        <f>SUMIFS('март 2025'!$G$5:$G$2427,'март 2025'!$D$5:$D$2427,$B149,'март 2025'!$J$5:$J$2427,L$1)</f>
        <v>0</v>
      </c>
      <c r="M149" s="183">
        <f>SUMIFS('март 2025'!$G$5:$G$2427,'март 2025'!$D$5:$D$2427,$B149,'март 2025'!$J$5:$J$2427,M$1)</f>
        <v>0</v>
      </c>
      <c r="N149" s="183">
        <f>SUMIFS('март 2025'!$G$5:$G$2427,'март 2025'!$D$5:$D$2427,$B149,'март 2025'!$J$5:$J$2427,N$1)</f>
        <v>0</v>
      </c>
      <c r="O149" s="183">
        <f>SUMIFS('март 2025'!$G$5:$G$2427,'март 2025'!$D$5:$D$2427,$B149,'март 2025'!$J$5:$J$2427,O$1)</f>
        <v>0</v>
      </c>
      <c r="P149" s="183">
        <f>SUMIFS('март 2025'!$G$5:$G$2427,'март 2025'!$D$5:$D$2427,$B149,'март 2025'!$J$5:$J$2427,P$1)</f>
        <v>0</v>
      </c>
      <c r="Q149" s="183">
        <f>SUMIFS('март 2025'!$G$5:$G$2427,'март 2025'!$D$5:$D$2427,$B149,'март 2025'!$J$5:$J$2427,Q$1)</f>
        <v>0</v>
      </c>
      <c r="R149" s="183">
        <f>SUMIFS('март 2025'!$G$5:$G$2427,'март 2025'!$D$5:$D$2427,$B149,'март 2025'!$J$5:$J$2427,R$1)</f>
        <v>0</v>
      </c>
      <c r="S149" s="183">
        <f>SUMIFS('март 2025'!$G$5:$G$2427,'март 2025'!$D$5:$D$2427,$B149,'март 2025'!$J$5:$J$2427,S$1)</f>
        <v>0</v>
      </c>
      <c r="T149" s="183">
        <f>SUMIFS('март 2025'!$G$5:$G$2427,'март 2025'!$D$5:$D$2427,$B149,'март 2025'!$J$5:$J$2427,T$1)</f>
        <v>0</v>
      </c>
      <c r="U149" s="183">
        <f>SUMIFS('март 2025'!$G$5:$G$2427,'март 2025'!$D$5:$D$2427,$B149,'март 2025'!$J$5:$J$2427,U$1)</f>
        <v>0</v>
      </c>
      <c r="V149" s="183">
        <f>SUMIFS('март 2025'!$G$5:$G$2427,'март 2025'!$D$5:$D$2427,$B149,'март 2025'!$J$5:$J$2427,V$1)</f>
        <v>0</v>
      </c>
      <c r="W149" s="183">
        <f>SUMIFS('март 2025'!$G$5:$G$2427,'март 2025'!$D$5:$D$2427,$B149,'март 2025'!$J$5:$J$2427,W$1)</f>
        <v>0</v>
      </c>
      <c r="X149" s="183">
        <f>SUMIFS('март 2025'!$G$5:$G$2427,'март 2025'!$D$5:$D$2427,$B149,'март 2025'!$J$5:$J$2427,X$1)</f>
        <v>0</v>
      </c>
      <c r="Y149" s="183">
        <f>SUMIFS('март 2025'!$G$5:$G$2427,'март 2025'!$D$5:$D$2427,$B149,'март 2025'!$J$5:$J$2427,Y$1)</f>
        <v>0</v>
      </c>
      <c r="Z149" s="183">
        <f>SUMIFS('март 2025'!$G$5:$G$2427,'март 2025'!$D$5:$D$2427,$B149,'март 2025'!$J$5:$J$2427,Z$1)</f>
        <v>0</v>
      </c>
      <c r="AA149" s="183">
        <f>SUMIFS('март 2025'!$G$5:$G$2427,'март 2025'!$D$5:$D$2427,$B149,'март 2025'!$J$5:$J$2427,AA$1)</f>
        <v>0</v>
      </c>
      <c r="AB149" s="183">
        <f>SUMIFS('март 2025'!$G$5:$G$2427,'март 2025'!$D$5:$D$2427,$B149,'март 2025'!$J$5:$J$2427,AB$1)</f>
        <v>0</v>
      </c>
      <c r="AC149" s="183">
        <f>SUMIFS('март 2025'!$G$5:$G$2427,'март 2025'!$D$5:$D$2427,$B149,'март 2025'!$J$5:$J$2427,AC$1)</f>
        <v>0</v>
      </c>
      <c r="AD149" s="183">
        <f>SUMIFS('март 2025'!$G$5:$G$2427,'март 2025'!$D$5:$D$2427,$B149,'март 2025'!$J$5:$J$2427,AD$1)</f>
        <v>0</v>
      </c>
      <c r="AE149" s="183">
        <f>SUMIFS('март 2025'!$G$5:$G$2427,'март 2025'!$D$5:$D$2427,$B149,'март 2025'!$J$5:$J$2427,AE$1)</f>
        <v>0</v>
      </c>
      <c r="AF149" s="183">
        <f>SUMIFS('март 2025'!$G$5:$G$2427,'март 2025'!$D$5:$D$2427,$B149,'март 2025'!$J$5:$J$2427,AF$1)</f>
        <v>0</v>
      </c>
      <c r="AG149" s="183">
        <f>SUMIFS('март 2025'!$G$5:$G$2427,'март 2025'!$D$5:$D$2427,$B149,'март 2025'!$J$5:$J$2427,AG$1)</f>
        <v>0</v>
      </c>
      <c r="AH149" s="183">
        <f>SUMIFS('март 2025'!$G$5:$G$2427,'март 2025'!$D$5:$D$2427,$B149,'март 2025'!$J$5:$J$2427,AH$1)</f>
        <v>0</v>
      </c>
      <c r="AI149" s="20">
        <f t="shared" si="1"/>
        <v>0</v>
      </c>
    </row>
    <row r="150" spans="2:35" ht="15" customHeight="1" x14ac:dyDescent="0.25">
      <c r="B150" s="84" t="s">
        <v>275</v>
      </c>
      <c r="C150" s="83">
        <v>200</v>
      </c>
      <c r="D150" s="183">
        <f>SUMIFS('март 2025'!$G$5:$G$2427,'март 2025'!$D$5:$D$2427,$B150,'март 2025'!$J$5:$J$2427,D$1)</f>
        <v>0</v>
      </c>
      <c r="E150" s="183">
        <f>SUMIFS('март 2025'!$G$5:$G$2427,'март 2025'!$D$5:$D$2427,$B150,'март 2025'!$J$5:$J$2427,E$1)</f>
        <v>0</v>
      </c>
      <c r="F150" s="183">
        <f>SUMIFS('март 2025'!$G$5:$G$2427,'март 2025'!$D$5:$D$2427,$B150,'март 2025'!$J$5:$J$2427,F$1)</f>
        <v>0</v>
      </c>
      <c r="G150" s="183">
        <f>SUMIFS('март 2025'!$G$5:$G$2427,'март 2025'!$D$5:$D$2427,$B150,'март 2025'!$J$5:$J$2427,G$1)</f>
        <v>0</v>
      </c>
      <c r="H150" s="183">
        <f>SUMIFS('март 2025'!$G$5:$G$2427,'март 2025'!$D$5:$D$2427,$B150,'март 2025'!$J$5:$J$2427,H$1)</f>
        <v>0</v>
      </c>
      <c r="I150" s="183">
        <f>SUMIFS('март 2025'!$G$5:$G$2427,'март 2025'!$D$5:$D$2427,$B150,'март 2025'!$J$5:$J$2427,I$1)</f>
        <v>0</v>
      </c>
      <c r="J150" s="183">
        <f>SUMIFS('март 2025'!$G$5:$G$2427,'март 2025'!$D$5:$D$2427,$B150,'март 2025'!$J$5:$J$2427,J$1)</f>
        <v>0</v>
      </c>
      <c r="K150" s="183">
        <f>SUMIFS('март 2025'!$G$5:$G$2427,'март 2025'!$D$5:$D$2427,$B150,'март 2025'!$J$5:$J$2427,K$1)</f>
        <v>0</v>
      </c>
      <c r="L150" s="183">
        <f>SUMIFS('март 2025'!$G$5:$G$2427,'март 2025'!$D$5:$D$2427,$B150,'март 2025'!$J$5:$J$2427,L$1)</f>
        <v>0</v>
      </c>
      <c r="M150" s="183">
        <f>SUMIFS('март 2025'!$G$5:$G$2427,'март 2025'!$D$5:$D$2427,$B150,'март 2025'!$J$5:$J$2427,M$1)</f>
        <v>0</v>
      </c>
      <c r="N150" s="183">
        <f>SUMIFS('март 2025'!$G$5:$G$2427,'март 2025'!$D$5:$D$2427,$B150,'март 2025'!$J$5:$J$2427,N$1)</f>
        <v>0</v>
      </c>
      <c r="O150" s="183">
        <f>SUMIFS('март 2025'!$G$5:$G$2427,'март 2025'!$D$5:$D$2427,$B150,'март 2025'!$J$5:$J$2427,O$1)</f>
        <v>0</v>
      </c>
      <c r="P150" s="183">
        <f>SUMIFS('март 2025'!$G$5:$G$2427,'март 2025'!$D$5:$D$2427,$B150,'март 2025'!$J$5:$J$2427,P$1)</f>
        <v>0</v>
      </c>
      <c r="Q150" s="183">
        <f>SUMIFS('март 2025'!$G$5:$G$2427,'март 2025'!$D$5:$D$2427,$B150,'март 2025'!$J$5:$J$2427,Q$1)</f>
        <v>0</v>
      </c>
      <c r="R150" s="183">
        <f>SUMIFS('март 2025'!$G$5:$G$2427,'март 2025'!$D$5:$D$2427,$B150,'март 2025'!$J$5:$J$2427,R$1)</f>
        <v>0</v>
      </c>
      <c r="S150" s="183">
        <f>SUMIFS('март 2025'!$G$5:$G$2427,'март 2025'!$D$5:$D$2427,$B150,'март 2025'!$J$5:$J$2427,S$1)</f>
        <v>0</v>
      </c>
      <c r="T150" s="183">
        <f>SUMIFS('март 2025'!$G$5:$G$2427,'март 2025'!$D$5:$D$2427,$B150,'март 2025'!$J$5:$J$2427,T$1)</f>
        <v>0</v>
      </c>
      <c r="U150" s="183">
        <f>SUMIFS('март 2025'!$G$5:$G$2427,'март 2025'!$D$5:$D$2427,$B150,'март 2025'!$J$5:$J$2427,U$1)</f>
        <v>0</v>
      </c>
      <c r="V150" s="183">
        <f>SUMIFS('март 2025'!$G$5:$G$2427,'март 2025'!$D$5:$D$2427,$B150,'март 2025'!$J$5:$J$2427,V$1)</f>
        <v>0</v>
      </c>
      <c r="W150" s="183">
        <f>SUMIFS('март 2025'!$G$5:$G$2427,'март 2025'!$D$5:$D$2427,$B150,'март 2025'!$J$5:$J$2427,W$1)</f>
        <v>0</v>
      </c>
      <c r="X150" s="183">
        <f>SUMIFS('март 2025'!$G$5:$G$2427,'март 2025'!$D$5:$D$2427,$B150,'март 2025'!$J$5:$J$2427,X$1)</f>
        <v>0</v>
      </c>
      <c r="Y150" s="183">
        <f>SUMIFS('март 2025'!$G$5:$G$2427,'март 2025'!$D$5:$D$2427,$B150,'март 2025'!$J$5:$J$2427,Y$1)</f>
        <v>0</v>
      </c>
      <c r="Z150" s="183">
        <f>SUMIFS('март 2025'!$G$5:$G$2427,'март 2025'!$D$5:$D$2427,$B150,'март 2025'!$J$5:$J$2427,Z$1)</f>
        <v>0</v>
      </c>
      <c r="AA150" s="183">
        <f>SUMIFS('март 2025'!$G$5:$G$2427,'март 2025'!$D$5:$D$2427,$B150,'март 2025'!$J$5:$J$2427,AA$1)</f>
        <v>0</v>
      </c>
      <c r="AB150" s="183">
        <f>SUMIFS('март 2025'!$G$5:$G$2427,'март 2025'!$D$5:$D$2427,$B150,'март 2025'!$J$5:$J$2427,AB$1)</f>
        <v>0</v>
      </c>
      <c r="AC150" s="183">
        <f>SUMIFS('март 2025'!$G$5:$G$2427,'март 2025'!$D$5:$D$2427,$B150,'март 2025'!$J$5:$J$2427,AC$1)</f>
        <v>0</v>
      </c>
      <c r="AD150" s="183">
        <f>SUMIFS('март 2025'!$G$5:$G$2427,'март 2025'!$D$5:$D$2427,$B150,'март 2025'!$J$5:$J$2427,AD$1)</f>
        <v>0</v>
      </c>
      <c r="AE150" s="183">
        <f>SUMIFS('март 2025'!$G$5:$G$2427,'март 2025'!$D$5:$D$2427,$B150,'март 2025'!$J$5:$J$2427,AE$1)</f>
        <v>0</v>
      </c>
      <c r="AF150" s="183">
        <f>SUMIFS('март 2025'!$G$5:$G$2427,'март 2025'!$D$5:$D$2427,$B150,'март 2025'!$J$5:$J$2427,AF$1)</f>
        <v>0</v>
      </c>
      <c r="AG150" s="183">
        <f>SUMIFS('март 2025'!$G$5:$G$2427,'март 2025'!$D$5:$D$2427,$B150,'март 2025'!$J$5:$J$2427,AG$1)</f>
        <v>0</v>
      </c>
      <c r="AH150" s="183">
        <f>SUMIFS('март 2025'!$G$5:$G$2427,'март 2025'!$D$5:$D$2427,$B150,'март 2025'!$J$5:$J$2427,AH$1)</f>
        <v>0</v>
      </c>
      <c r="AI150" s="20">
        <f t="shared" si="1"/>
        <v>0</v>
      </c>
    </row>
    <row r="151" spans="2:35" ht="15" customHeight="1" x14ac:dyDescent="0.25">
      <c r="B151" s="84" t="s">
        <v>204</v>
      </c>
      <c r="C151" s="86">
        <v>200</v>
      </c>
      <c r="D151" s="183">
        <f>SUMIFS('март 2025'!$G$5:$G$2427,'март 2025'!$D$5:$D$2427,$B151,'март 2025'!$J$5:$J$2427,D$1)</f>
        <v>0</v>
      </c>
      <c r="E151" s="183">
        <f>SUMIFS('март 2025'!$G$5:$G$2427,'март 2025'!$D$5:$D$2427,$B151,'март 2025'!$J$5:$J$2427,E$1)</f>
        <v>0</v>
      </c>
      <c r="F151" s="183">
        <f>SUMIFS('март 2025'!$G$5:$G$2427,'март 2025'!$D$5:$D$2427,$B151,'март 2025'!$J$5:$J$2427,F$1)</f>
        <v>0</v>
      </c>
      <c r="G151" s="183">
        <f>SUMIFS('март 2025'!$G$5:$G$2427,'март 2025'!$D$5:$D$2427,$B151,'март 2025'!$J$5:$J$2427,G$1)</f>
        <v>0</v>
      </c>
      <c r="H151" s="183">
        <f>SUMIFS('март 2025'!$G$5:$G$2427,'март 2025'!$D$5:$D$2427,$B151,'март 2025'!$J$5:$J$2427,H$1)</f>
        <v>0</v>
      </c>
      <c r="I151" s="183">
        <f>SUMIFS('март 2025'!$G$5:$G$2427,'март 2025'!$D$5:$D$2427,$B151,'март 2025'!$J$5:$J$2427,I$1)</f>
        <v>0</v>
      </c>
      <c r="J151" s="183">
        <f>SUMIFS('март 2025'!$G$5:$G$2427,'март 2025'!$D$5:$D$2427,$B151,'март 2025'!$J$5:$J$2427,J$1)</f>
        <v>0</v>
      </c>
      <c r="K151" s="183">
        <f>SUMIFS('март 2025'!$G$5:$G$2427,'март 2025'!$D$5:$D$2427,$B151,'март 2025'!$J$5:$J$2427,K$1)</f>
        <v>0</v>
      </c>
      <c r="L151" s="183">
        <f>SUMIFS('март 2025'!$G$5:$G$2427,'март 2025'!$D$5:$D$2427,$B151,'март 2025'!$J$5:$J$2427,L$1)</f>
        <v>0</v>
      </c>
      <c r="M151" s="183">
        <f>SUMIFS('март 2025'!$G$5:$G$2427,'март 2025'!$D$5:$D$2427,$B151,'март 2025'!$J$5:$J$2427,M$1)</f>
        <v>0</v>
      </c>
      <c r="N151" s="183">
        <f>SUMIFS('март 2025'!$G$5:$G$2427,'март 2025'!$D$5:$D$2427,$B151,'март 2025'!$J$5:$J$2427,N$1)</f>
        <v>0</v>
      </c>
      <c r="O151" s="183">
        <f>SUMIFS('март 2025'!$G$5:$G$2427,'март 2025'!$D$5:$D$2427,$B151,'март 2025'!$J$5:$J$2427,O$1)</f>
        <v>0</v>
      </c>
      <c r="P151" s="183">
        <f>SUMIFS('март 2025'!$G$5:$G$2427,'март 2025'!$D$5:$D$2427,$B151,'март 2025'!$J$5:$J$2427,P$1)</f>
        <v>0</v>
      </c>
      <c r="Q151" s="183">
        <f>SUMIFS('март 2025'!$G$5:$G$2427,'март 2025'!$D$5:$D$2427,$B151,'март 2025'!$J$5:$J$2427,Q$1)</f>
        <v>0</v>
      </c>
      <c r="R151" s="183">
        <f>SUMIFS('март 2025'!$G$5:$G$2427,'март 2025'!$D$5:$D$2427,$B151,'март 2025'!$J$5:$J$2427,R$1)</f>
        <v>0</v>
      </c>
      <c r="S151" s="183">
        <f>SUMIFS('март 2025'!$G$5:$G$2427,'март 2025'!$D$5:$D$2427,$B151,'март 2025'!$J$5:$J$2427,S$1)</f>
        <v>0</v>
      </c>
      <c r="T151" s="183">
        <f>SUMIFS('март 2025'!$G$5:$G$2427,'март 2025'!$D$5:$D$2427,$B151,'март 2025'!$J$5:$J$2427,T$1)</f>
        <v>0</v>
      </c>
      <c r="U151" s="183">
        <f>SUMIFS('март 2025'!$G$5:$G$2427,'март 2025'!$D$5:$D$2427,$B151,'март 2025'!$J$5:$J$2427,U$1)</f>
        <v>0</v>
      </c>
      <c r="V151" s="183">
        <f>SUMIFS('март 2025'!$G$5:$G$2427,'март 2025'!$D$5:$D$2427,$B151,'март 2025'!$J$5:$J$2427,V$1)</f>
        <v>0</v>
      </c>
      <c r="W151" s="183">
        <f>SUMIFS('март 2025'!$G$5:$G$2427,'март 2025'!$D$5:$D$2427,$B151,'март 2025'!$J$5:$J$2427,W$1)</f>
        <v>0</v>
      </c>
      <c r="X151" s="183">
        <f>SUMIFS('март 2025'!$G$5:$G$2427,'март 2025'!$D$5:$D$2427,$B151,'март 2025'!$J$5:$J$2427,X$1)</f>
        <v>0</v>
      </c>
      <c r="Y151" s="183">
        <f>SUMIFS('март 2025'!$G$5:$G$2427,'март 2025'!$D$5:$D$2427,$B151,'март 2025'!$J$5:$J$2427,Y$1)</f>
        <v>0</v>
      </c>
      <c r="Z151" s="183">
        <f>SUMIFS('март 2025'!$G$5:$G$2427,'март 2025'!$D$5:$D$2427,$B151,'март 2025'!$J$5:$J$2427,Z$1)</f>
        <v>0</v>
      </c>
      <c r="AA151" s="183">
        <f>SUMIFS('март 2025'!$G$5:$G$2427,'март 2025'!$D$5:$D$2427,$B151,'март 2025'!$J$5:$J$2427,AA$1)</f>
        <v>0</v>
      </c>
      <c r="AB151" s="183">
        <f>SUMIFS('март 2025'!$G$5:$G$2427,'март 2025'!$D$5:$D$2427,$B151,'март 2025'!$J$5:$J$2427,AB$1)</f>
        <v>0</v>
      </c>
      <c r="AC151" s="183">
        <f>SUMIFS('март 2025'!$G$5:$G$2427,'март 2025'!$D$5:$D$2427,$B151,'март 2025'!$J$5:$J$2427,AC$1)</f>
        <v>0</v>
      </c>
      <c r="AD151" s="183">
        <f>SUMIFS('март 2025'!$G$5:$G$2427,'март 2025'!$D$5:$D$2427,$B151,'март 2025'!$J$5:$J$2427,AD$1)</f>
        <v>0</v>
      </c>
      <c r="AE151" s="183">
        <f>SUMIFS('март 2025'!$G$5:$G$2427,'март 2025'!$D$5:$D$2427,$B151,'март 2025'!$J$5:$J$2427,AE$1)</f>
        <v>0</v>
      </c>
      <c r="AF151" s="183">
        <f>SUMIFS('март 2025'!$G$5:$G$2427,'март 2025'!$D$5:$D$2427,$B151,'март 2025'!$J$5:$J$2427,AF$1)</f>
        <v>0</v>
      </c>
      <c r="AG151" s="183">
        <f>SUMIFS('март 2025'!$G$5:$G$2427,'март 2025'!$D$5:$D$2427,$B151,'март 2025'!$J$5:$J$2427,AG$1)</f>
        <v>0</v>
      </c>
      <c r="AH151" s="183">
        <f>SUMIFS('март 2025'!$G$5:$G$2427,'март 2025'!$D$5:$D$2427,$B151,'март 2025'!$J$5:$J$2427,AH$1)</f>
        <v>0</v>
      </c>
      <c r="AI151" s="20">
        <f t="shared" si="1"/>
        <v>0</v>
      </c>
    </row>
    <row r="152" spans="2:35" ht="15" customHeight="1" x14ac:dyDescent="0.25">
      <c r="B152" s="84" t="s">
        <v>290</v>
      </c>
      <c r="C152" s="86">
        <v>200</v>
      </c>
      <c r="D152" s="183">
        <f>SUMIFS('март 2025'!$G$5:$G$2427,'март 2025'!$D$5:$D$2427,$B152,'март 2025'!$J$5:$J$2427,D$1)</f>
        <v>0</v>
      </c>
      <c r="E152" s="183">
        <f>SUMIFS('март 2025'!$G$5:$G$2427,'март 2025'!$D$5:$D$2427,$B152,'март 2025'!$J$5:$J$2427,E$1)</f>
        <v>0</v>
      </c>
      <c r="F152" s="183">
        <f>SUMIFS('март 2025'!$G$5:$G$2427,'март 2025'!$D$5:$D$2427,$B152,'март 2025'!$J$5:$J$2427,F$1)</f>
        <v>0</v>
      </c>
      <c r="G152" s="183">
        <f>SUMIFS('март 2025'!$G$5:$G$2427,'март 2025'!$D$5:$D$2427,$B152,'март 2025'!$J$5:$J$2427,G$1)</f>
        <v>0</v>
      </c>
      <c r="H152" s="183">
        <f>SUMIFS('март 2025'!$G$5:$G$2427,'март 2025'!$D$5:$D$2427,$B152,'март 2025'!$J$5:$J$2427,H$1)</f>
        <v>0</v>
      </c>
      <c r="I152" s="183">
        <f>SUMIFS('март 2025'!$G$5:$G$2427,'март 2025'!$D$5:$D$2427,$B152,'март 2025'!$J$5:$J$2427,I$1)</f>
        <v>0</v>
      </c>
      <c r="J152" s="183">
        <f>SUMIFS('март 2025'!$G$5:$G$2427,'март 2025'!$D$5:$D$2427,$B152,'март 2025'!$J$5:$J$2427,J$1)</f>
        <v>0</v>
      </c>
      <c r="K152" s="183">
        <f>SUMIFS('март 2025'!$G$5:$G$2427,'март 2025'!$D$5:$D$2427,$B152,'март 2025'!$J$5:$J$2427,K$1)</f>
        <v>0</v>
      </c>
      <c r="L152" s="183">
        <f>SUMIFS('март 2025'!$G$5:$G$2427,'март 2025'!$D$5:$D$2427,$B152,'март 2025'!$J$5:$J$2427,L$1)</f>
        <v>0</v>
      </c>
      <c r="M152" s="183">
        <f>SUMIFS('март 2025'!$G$5:$G$2427,'март 2025'!$D$5:$D$2427,$B152,'март 2025'!$J$5:$J$2427,M$1)</f>
        <v>0</v>
      </c>
      <c r="N152" s="183">
        <f>SUMIFS('март 2025'!$G$5:$G$2427,'март 2025'!$D$5:$D$2427,$B152,'март 2025'!$J$5:$J$2427,N$1)</f>
        <v>0</v>
      </c>
      <c r="O152" s="183">
        <f>SUMIFS('март 2025'!$G$5:$G$2427,'март 2025'!$D$5:$D$2427,$B152,'март 2025'!$J$5:$J$2427,O$1)</f>
        <v>0</v>
      </c>
      <c r="P152" s="183">
        <f>SUMIFS('март 2025'!$G$5:$G$2427,'март 2025'!$D$5:$D$2427,$B152,'март 2025'!$J$5:$J$2427,P$1)</f>
        <v>0</v>
      </c>
      <c r="Q152" s="183">
        <f>SUMIFS('март 2025'!$G$5:$G$2427,'март 2025'!$D$5:$D$2427,$B152,'март 2025'!$J$5:$J$2427,Q$1)</f>
        <v>0</v>
      </c>
      <c r="R152" s="183">
        <f>SUMIFS('март 2025'!$G$5:$G$2427,'март 2025'!$D$5:$D$2427,$B152,'март 2025'!$J$5:$J$2427,R$1)</f>
        <v>0</v>
      </c>
      <c r="S152" s="183">
        <f>SUMIFS('март 2025'!$G$5:$G$2427,'март 2025'!$D$5:$D$2427,$B152,'март 2025'!$J$5:$J$2427,S$1)</f>
        <v>0</v>
      </c>
      <c r="T152" s="183">
        <f>SUMIFS('март 2025'!$G$5:$G$2427,'март 2025'!$D$5:$D$2427,$B152,'март 2025'!$J$5:$J$2427,T$1)</f>
        <v>0</v>
      </c>
      <c r="U152" s="183">
        <f>SUMIFS('март 2025'!$G$5:$G$2427,'март 2025'!$D$5:$D$2427,$B152,'март 2025'!$J$5:$J$2427,U$1)</f>
        <v>0</v>
      </c>
      <c r="V152" s="183">
        <f>SUMIFS('март 2025'!$G$5:$G$2427,'март 2025'!$D$5:$D$2427,$B152,'март 2025'!$J$5:$J$2427,V$1)</f>
        <v>0</v>
      </c>
      <c r="W152" s="183">
        <f>SUMIFS('март 2025'!$G$5:$G$2427,'март 2025'!$D$5:$D$2427,$B152,'март 2025'!$J$5:$J$2427,W$1)</f>
        <v>0</v>
      </c>
      <c r="X152" s="183">
        <f>SUMIFS('март 2025'!$G$5:$G$2427,'март 2025'!$D$5:$D$2427,$B152,'март 2025'!$J$5:$J$2427,X$1)</f>
        <v>0</v>
      </c>
      <c r="Y152" s="183">
        <f>SUMIFS('март 2025'!$G$5:$G$2427,'март 2025'!$D$5:$D$2427,$B152,'март 2025'!$J$5:$J$2427,Y$1)</f>
        <v>0</v>
      </c>
      <c r="Z152" s="183">
        <f>SUMIFS('март 2025'!$G$5:$G$2427,'март 2025'!$D$5:$D$2427,$B152,'март 2025'!$J$5:$J$2427,Z$1)</f>
        <v>0</v>
      </c>
      <c r="AA152" s="183">
        <f>SUMIFS('март 2025'!$G$5:$G$2427,'март 2025'!$D$5:$D$2427,$B152,'март 2025'!$J$5:$J$2427,AA$1)</f>
        <v>0</v>
      </c>
      <c r="AB152" s="183">
        <f>SUMIFS('март 2025'!$G$5:$G$2427,'март 2025'!$D$5:$D$2427,$B152,'март 2025'!$J$5:$J$2427,AB$1)</f>
        <v>0</v>
      </c>
      <c r="AC152" s="183">
        <f>SUMIFS('март 2025'!$G$5:$G$2427,'март 2025'!$D$5:$D$2427,$B152,'март 2025'!$J$5:$J$2427,AC$1)</f>
        <v>0</v>
      </c>
      <c r="AD152" s="183">
        <f>SUMIFS('март 2025'!$G$5:$G$2427,'март 2025'!$D$5:$D$2427,$B152,'март 2025'!$J$5:$J$2427,AD$1)</f>
        <v>0</v>
      </c>
      <c r="AE152" s="183">
        <f>SUMIFS('март 2025'!$G$5:$G$2427,'март 2025'!$D$5:$D$2427,$B152,'март 2025'!$J$5:$J$2427,AE$1)</f>
        <v>0</v>
      </c>
      <c r="AF152" s="183">
        <f>SUMIFS('март 2025'!$G$5:$G$2427,'март 2025'!$D$5:$D$2427,$B152,'март 2025'!$J$5:$J$2427,AF$1)</f>
        <v>0</v>
      </c>
      <c r="AG152" s="183">
        <f>SUMIFS('март 2025'!$G$5:$G$2427,'март 2025'!$D$5:$D$2427,$B152,'март 2025'!$J$5:$J$2427,AG$1)</f>
        <v>0</v>
      </c>
      <c r="AH152" s="183">
        <f>SUMIFS('март 2025'!$G$5:$G$2427,'март 2025'!$D$5:$D$2427,$B152,'март 2025'!$J$5:$J$2427,AH$1)</f>
        <v>0</v>
      </c>
      <c r="AI152" s="20">
        <f t="shared" si="1"/>
        <v>0</v>
      </c>
    </row>
    <row r="153" spans="2:35" ht="15" customHeight="1" x14ac:dyDescent="0.25">
      <c r="B153" s="88" t="s">
        <v>177</v>
      </c>
      <c r="C153" s="86">
        <v>25</v>
      </c>
      <c r="D153" s="183">
        <f>SUMIFS('март 2025'!$G$5:$G$2427,'март 2025'!$D$5:$D$2427,$B153,'март 2025'!$J$5:$J$2427,D$1)</f>
        <v>0</v>
      </c>
      <c r="E153" s="183">
        <f>SUMIFS('март 2025'!$G$5:$G$2427,'март 2025'!$D$5:$D$2427,$B153,'март 2025'!$J$5:$J$2427,E$1)</f>
        <v>0</v>
      </c>
      <c r="F153" s="183">
        <f>SUMIFS('март 2025'!$G$5:$G$2427,'март 2025'!$D$5:$D$2427,$B153,'март 2025'!$J$5:$J$2427,F$1)</f>
        <v>0</v>
      </c>
      <c r="G153" s="183">
        <f>SUMIFS('март 2025'!$G$5:$G$2427,'март 2025'!$D$5:$D$2427,$B153,'март 2025'!$J$5:$J$2427,G$1)</f>
        <v>0</v>
      </c>
      <c r="H153" s="183">
        <f>SUMIFS('март 2025'!$G$5:$G$2427,'март 2025'!$D$5:$D$2427,$B153,'март 2025'!$J$5:$J$2427,H$1)</f>
        <v>0</v>
      </c>
      <c r="I153" s="183">
        <f>SUMIFS('март 2025'!$G$5:$G$2427,'март 2025'!$D$5:$D$2427,$B153,'март 2025'!$J$5:$J$2427,I$1)</f>
        <v>0</v>
      </c>
      <c r="J153" s="183">
        <f>SUMIFS('март 2025'!$G$5:$G$2427,'март 2025'!$D$5:$D$2427,$B153,'март 2025'!$J$5:$J$2427,J$1)</f>
        <v>0</v>
      </c>
      <c r="K153" s="183">
        <f>SUMIFS('март 2025'!$G$5:$G$2427,'март 2025'!$D$5:$D$2427,$B153,'март 2025'!$J$5:$J$2427,K$1)</f>
        <v>0</v>
      </c>
      <c r="L153" s="183">
        <f>SUMIFS('март 2025'!$G$5:$G$2427,'март 2025'!$D$5:$D$2427,$B153,'март 2025'!$J$5:$J$2427,L$1)</f>
        <v>0</v>
      </c>
      <c r="M153" s="183">
        <f>SUMIFS('март 2025'!$G$5:$G$2427,'март 2025'!$D$5:$D$2427,$B153,'март 2025'!$J$5:$J$2427,M$1)</f>
        <v>0</v>
      </c>
      <c r="N153" s="183">
        <f>SUMIFS('март 2025'!$G$5:$G$2427,'март 2025'!$D$5:$D$2427,$B153,'март 2025'!$J$5:$J$2427,N$1)</f>
        <v>0</v>
      </c>
      <c r="O153" s="183">
        <f>SUMIFS('март 2025'!$G$5:$G$2427,'март 2025'!$D$5:$D$2427,$B153,'март 2025'!$J$5:$J$2427,O$1)</f>
        <v>0</v>
      </c>
      <c r="P153" s="183">
        <f>SUMIFS('март 2025'!$G$5:$G$2427,'март 2025'!$D$5:$D$2427,$B153,'март 2025'!$J$5:$J$2427,P$1)</f>
        <v>0</v>
      </c>
      <c r="Q153" s="183">
        <f>SUMIFS('март 2025'!$G$5:$G$2427,'март 2025'!$D$5:$D$2427,$B153,'март 2025'!$J$5:$J$2427,Q$1)</f>
        <v>0</v>
      </c>
      <c r="R153" s="183">
        <f>SUMIFS('март 2025'!$G$5:$G$2427,'март 2025'!$D$5:$D$2427,$B153,'март 2025'!$J$5:$J$2427,R$1)</f>
        <v>0</v>
      </c>
      <c r="S153" s="183">
        <f>SUMIFS('март 2025'!$G$5:$G$2427,'март 2025'!$D$5:$D$2427,$B153,'март 2025'!$J$5:$J$2427,S$1)</f>
        <v>0</v>
      </c>
      <c r="T153" s="183">
        <f>SUMIFS('март 2025'!$G$5:$G$2427,'март 2025'!$D$5:$D$2427,$B153,'март 2025'!$J$5:$J$2427,T$1)</f>
        <v>0</v>
      </c>
      <c r="U153" s="183">
        <f>SUMIFS('март 2025'!$G$5:$G$2427,'март 2025'!$D$5:$D$2427,$B153,'март 2025'!$J$5:$J$2427,U$1)</f>
        <v>0</v>
      </c>
      <c r="V153" s="183">
        <f>SUMIFS('март 2025'!$G$5:$G$2427,'март 2025'!$D$5:$D$2427,$B153,'март 2025'!$J$5:$J$2427,V$1)</f>
        <v>0</v>
      </c>
      <c r="W153" s="183">
        <f>SUMIFS('март 2025'!$G$5:$G$2427,'март 2025'!$D$5:$D$2427,$B153,'март 2025'!$J$5:$J$2427,W$1)</f>
        <v>0</v>
      </c>
      <c r="X153" s="183">
        <f>SUMIFS('март 2025'!$G$5:$G$2427,'март 2025'!$D$5:$D$2427,$B153,'март 2025'!$J$5:$J$2427,X$1)</f>
        <v>0</v>
      </c>
      <c r="Y153" s="183">
        <f>SUMIFS('март 2025'!$G$5:$G$2427,'март 2025'!$D$5:$D$2427,$B153,'март 2025'!$J$5:$J$2427,Y$1)</f>
        <v>0</v>
      </c>
      <c r="Z153" s="183">
        <f>SUMIFS('март 2025'!$G$5:$G$2427,'март 2025'!$D$5:$D$2427,$B153,'март 2025'!$J$5:$J$2427,Z$1)</f>
        <v>0</v>
      </c>
      <c r="AA153" s="183">
        <f>SUMIFS('март 2025'!$G$5:$G$2427,'март 2025'!$D$5:$D$2427,$B153,'март 2025'!$J$5:$J$2427,AA$1)</f>
        <v>0</v>
      </c>
      <c r="AB153" s="183">
        <f>SUMIFS('март 2025'!$G$5:$G$2427,'март 2025'!$D$5:$D$2427,$B153,'март 2025'!$J$5:$J$2427,AB$1)</f>
        <v>0</v>
      </c>
      <c r="AC153" s="183">
        <f>SUMIFS('март 2025'!$G$5:$G$2427,'март 2025'!$D$5:$D$2427,$B153,'март 2025'!$J$5:$J$2427,AC$1)</f>
        <v>0</v>
      </c>
      <c r="AD153" s="183">
        <f>SUMIFS('март 2025'!$G$5:$G$2427,'март 2025'!$D$5:$D$2427,$B153,'март 2025'!$J$5:$J$2427,AD$1)</f>
        <v>0</v>
      </c>
      <c r="AE153" s="183">
        <f>SUMIFS('март 2025'!$G$5:$G$2427,'март 2025'!$D$5:$D$2427,$B153,'март 2025'!$J$5:$J$2427,AE$1)</f>
        <v>0</v>
      </c>
      <c r="AF153" s="183">
        <f>SUMIFS('март 2025'!$G$5:$G$2427,'март 2025'!$D$5:$D$2427,$B153,'март 2025'!$J$5:$J$2427,AF$1)</f>
        <v>0</v>
      </c>
      <c r="AG153" s="183">
        <f>SUMIFS('март 2025'!$G$5:$G$2427,'март 2025'!$D$5:$D$2427,$B153,'март 2025'!$J$5:$J$2427,AG$1)</f>
        <v>0</v>
      </c>
      <c r="AH153" s="183">
        <f>SUMIFS('март 2025'!$G$5:$G$2427,'март 2025'!$D$5:$D$2427,$B153,'март 2025'!$J$5:$J$2427,AH$1)</f>
        <v>0</v>
      </c>
      <c r="AI153" s="20">
        <f t="shared" si="1"/>
        <v>0</v>
      </c>
    </row>
    <row r="154" spans="2:35" ht="15" customHeight="1" x14ac:dyDescent="0.25">
      <c r="B154" s="84" t="s">
        <v>175</v>
      </c>
      <c r="C154" s="83">
        <v>25</v>
      </c>
      <c r="D154" s="183">
        <f>SUMIFS('март 2025'!$G$5:$G$2427,'март 2025'!$D$5:$D$2427,$B154,'март 2025'!$J$5:$J$2427,D$1)</f>
        <v>0</v>
      </c>
      <c r="E154" s="183">
        <f>SUMIFS('март 2025'!$G$5:$G$2427,'март 2025'!$D$5:$D$2427,$B154,'март 2025'!$J$5:$J$2427,E$1)</f>
        <v>0</v>
      </c>
      <c r="F154" s="183">
        <f>SUMIFS('март 2025'!$G$5:$G$2427,'март 2025'!$D$5:$D$2427,$B154,'март 2025'!$J$5:$J$2427,F$1)</f>
        <v>0</v>
      </c>
      <c r="G154" s="183">
        <f>SUMIFS('март 2025'!$G$5:$G$2427,'март 2025'!$D$5:$D$2427,$B154,'март 2025'!$J$5:$J$2427,G$1)</f>
        <v>0</v>
      </c>
      <c r="H154" s="183">
        <f>SUMIFS('март 2025'!$G$5:$G$2427,'март 2025'!$D$5:$D$2427,$B154,'март 2025'!$J$5:$J$2427,H$1)</f>
        <v>0</v>
      </c>
      <c r="I154" s="183">
        <f>SUMIFS('март 2025'!$G$5:$G$2427,'март 2025'!$D$5:$D$2427,$B154,'март 2025'!$J$5:$J$2427,I$1)</f>
        <v>0</v>
      </c>
      <c r="J154" s="183">
        <f>SUMIFS('март 2025'!$G$5:$G$2427,'март 2025'!$D$5:$D$2427,$B154,'март 2025'!$J$5:$J$2427,J$1)</f>
        <v>0</v>
      </c>
      <c r="K154" s="183">
        <f>SUMIFS('март 2025'!$G$5:$G$2427,'март 2025'!$D$5:$D$2427,$B154,'март 2025'!$J$5:$J$2427,K$1)</f>
        <v>0</v>
      </c>
      <c r="L154" s="183">
        <f>SUMIFS('март 2025'!$G$5:$G$2427,'март 2025'!$D$5:$D$2427,$B154,'март 2025'!$J$5:$J$2427,L$1)</f>
        <v>0</v>
      </c>
      <c r="M154" s="183">
        <f>SUMIFS('март 2025'!$G$5:$G$2427,'март 2025'!$D$5:$D$2427,$B154,'март 2025'!$J$5:$J$2427,M$1)</f>
        <v>0</v>
      </c>
      <c r="N154" s="183">
        <f>SUMIFS('март 2025'!$G$5:$G$2427,'март 2025'!$D$5:$D$2427,$B154,'март 2025'!$J$5:$J$2427,N$1)</f>
        <v>0</v>
      </c>
      <c r="O154" s="183">
        <f>SUMIFS('март 2025'!$G$5:$G$2427,'март 2025'!$D$5:$D$2427,$B154,'март 2025'!$J$5:$J$2427,O$1)</f>
        <v>0</v>
      </c>
      <c r="P154" s="183">
        <f>SUMIFS('март 2025'!$G$5:$G$2427,'март 2025'!$D$5:$D$2427,$B154,'март 2025'!$J$5:$J$2427,P$1)</f>
        <v>0</v>
      </c>
      <c r="Q154" s="183">
        <f>SUMIFS('март 2025'!$G$5:$G$2427,'март 2025'!$D$5:$D$2427,$B154,'март 2025'!$J$5:$J$2427,Q$1)</f>
        <v>0</v>
      </c>
      <c r="R154" s="183">
        <f>SUMIFS('март 2025'!$G$5:$G$2427,'март 2025'!$D$5:$D$2427,$B154,'март 2025'!$J$5:$J$2427,R$1)</f>
        <v>0</v>
      </c>
      <c r="S154" s="183">
        <f>SUMIFS('март 2025'!$G$5:$G$2427,'март 2025'!$D$5:$D$2427,$B154,'март 2025'!$J$5:$J$2427,S$1)</f>
        <v>0</v>
      </c>
      <c r="T154" s="183">
        <f>SUMIFS('март 2025'!$G$5:$G$2427,'март 2025'!$D$5:$D$2427,$B154,'март 2025'!$J$5:$J$2427,T$1)</f>
        <v>0</v>
      </c>
      <c r="U154" s="183">
        <f>SUMIFS('март 2025'!$G$5:$G$2427,'март 2025'!$D$5:$D$2427,$B154,'март 2025'!$J$5:$J$2427,U$1)</f>
        <v>0</v>
      </c>
      <c r="V154" s="183">
        <f>SUMIFS('март 2025'!$G$5:$G$2427,'март 2025'!$D$5:$D$2427,$B154,'март 2025'!$J$5:$J$2427,V$1)</f>
        <v>0</v>
      </c>
      <c r="W154" s="183">
        <f>SUMIFS('март 2025'!$G$5:$G$2427,'март 2025'!$D$5:$D$2427,$B154,'март 2025'!$J$5:$J$2427,W$1)</f>
        <v>0</v>
      </c>
      <c r="X154" s="183">
        <f>SUMIFS('март 2025'!$G$5:$G$2427,'март 2025'!$D$5:$D$2427,$B154,'март 2025'!$J$5:$J$2427,X$1)</f>
        <v>0</v>
      </c>
      <c r="Y154" s="183">
        <f>SUMIFS('март 2025'!$G$5:$G$2427,'март 2025'!$D$5:$D$2427,$B154,'март 2025'!$J$5:$J$2427,Y$1)</f>
        <v>0</v>
      </c>
      <c r="Z154" s="183">
        <f>SUMIFS('март 2025'!$G$5:$G$2427,'март 2025'!$D$5:$D$2427,$B154,'март 2025'!$J$5:$J$2427,Z$1)</f>
        <v>0</v>
      </c>
      <c r="AA154" s="183">
        <f>SUMIFS('март 2025'!$G$5:$G$2427,'март 2025'!$D$5:$D$2427,$B154,'март 2025'!$J$5:$J$2427,AA$1)</f>
        <v>0</v>
      </c>
      <c r="AB154" s="183">
        <f>SUMIFS('март 2025'!$G$5:$G$2427,'март 2025'!$D$5:$D$2427,$B154,'март 2025'!$J$5:$J$2427,AB$1)</f>
        <v>0</v>
      </c>
      <c r="AC154" s="183">
        <f>SUMIFS('март 2025'!$G$5:$G$2427,'март 2025'!$D$5:$D$2427,$B154,'март 2025'!$J$5:$J$2427,AC$1)</f>
        <v>0</v>
      </c>
      <c r="AD154" s="183">
        <f>SUMIFS('март 2025'!$G$5:$G$2427,'март 2025'!$D$5:$D$2427,$B154,'март 2025'!$J$5:$J$2427,AD$1)</f>
        <v>0</v>
      </c>
      <c r="AE154" s="183">
        <f>SUMIFS('март 2025'!$G$5:$G$2427,'март 2025'!$D$5:$D$2427,$B154,'март 2025'!$J$5:$J$2427,AE$1)</f>
        <v>0</v>
      </c>
      <c r="AF154" s="183">
        <f>SUMIFS('март 2025'!$G$5:$G$2427,'март 2025'!$D$5:$D$2427,$B154,'март 2025'!$J$5:$J$2427,AF$1)</f>
        <v>0</v>
      </c>
      <c r="AG154" s="183">
        <f>SUMIFS('март 2025'!$G$5:$G$2427,'март 2025'!$D$5:$D$2427,$B154,'март 2025'!$J$5:$J$2427,AG$1)</f>
        <v>0</v>
      </c>
      <c r="AH154" s="183">
        <f>SUMIFS('март 2025'!$G$5:$G$2427,'март 2025'!$D$5:$D$2427,$B154,'март 2025'!$J$5:$J$2427,AH$1)</f>
        <v>0</v>
      </c>
      <c r="AI154" s="20">
        <f t="shared" si="1"/>
        <v>0</v>
      </c>
    </row>
    <row r="155" spans="2:35" ht="15" customHeight="1" x14ac:dyDescent="0.25">
      <c r="B155" s="84" t="s">
        <v>176</v>
      </c>
      <c r="C155" s="83">
        <v>25</v>
      </c>
      <c r="D155" s="183">
        <f>SUMIFS('март 2025'!$G$5:$G$2427,'март 2025'!$D$5:$D$2427,$B155,'март 2025'!$J$5:$J$2427,D$1)</f>
        <v>0</v>
      </c>
      <c r="E155" s="183">
        <f>SUMIFS('март 2025'!$G$5:$G$2427,'март 2025'!$D$5:$D$2427,$B155,'март 2025'!$J$5:$J$2427,E$1)</f>
        <v>0</v>
      </c>
      <c r="F155" s="183">
        <f>SUMIFS('март 2025'!$G$5:$G$2427,'март 2025'!$D$5:$D$2427,$B155,'март 2025'!$J$5:$J$2427,F$1)</f>
        <v>0</v>
      </c>
      <c r="G155" s="183">
        <f>SUMIFS('март 2025'!$G$5:$G$2427,'март 2025'!$D$5:$D$2427,$B155,'март 2025'!$J$5:$J$2427,G$1)</f>
        <v>0</v>
      </c>
      <c r="H155" s="183">
        <f>SUMIFS('март 2025'!$G$5:$G$2427,'март 2025'!$D$5:$D$2427,$B155,'март 2025'!$J$5:$J$2427,H$1)</f>
        <v>0</v>
      </c>
      <c r="I155" s="183">
        <f>SUMIFS('март 2025'!$G$5:$G$2427,'март 2025'!$D$5:$D$2427,$B155,'март 2025'!$J$5:$J$2427,I$1)</f>
        <v>0</v>
      </c>
      <c r="J155" s="183">
        <f>SUMIFS('март 2025'!$G$5:$G$2427,'март 2025'!$D$5:$D$2427,$B155,'март 2025'!$J$5:$J$2427,J$1)</f>
        <v>0</v>
      </c>
      <c r="K155" s="183">
        <f>SUMIFS('март 2025'!$G$5:$G$2427,'март 2025'!$D$5:$D$2427,$B155,'март 2025'!$J$5:$J$2427,K$1)</f>
        <v>0</v>
      </c>
      <c r="L155" s="183">
        <f>SUMIFS('март 2025'!$G$5:$G$2427,'март 2025'!$D$5:$D$2427,$B155,'март 2025'!$J$5:$J$2427,L$1)</f>
        <v>0</v>
      </c>
      <c r="M155" s="183">
        <f>SUMIFS('март 2025'!$G$5:$G$2427,'март 2025'!$D$5:$D$2427,$B155,'март 2025'!$J$5:$J$2427,M$1)</f>
        <v>0</v>
      </c>
      <c r="N155" s="183">
        <f>SUMIFS('март 2025'!$G$5:$G$2427,'март 2025'!$D$5:$D$2427,$B155,'март 2025'!$J$5:$J$2427,N$1)</f>
        <v>0</v>
      </c>
      <c r="O155" s="183">
        <f>SUMIFS('март 2025'!$G$5:$G$2427,'март 2025'!$D$5:$D$2427,$B155,'март 2025'!$J$5:$J$2427,O$1)</f>
        <v>0</v>
      </c>
      <c r="P155" s="183">
        <f>SUMIFS('март 2025'!$G$5:$G$2427,'март 2025'!$D$5:$D$2427,$B155,'март 2025'!$J$5:$J$2427,P$1)</f>
        <v>0</v>
      </c>
      <c r="Q155" s="183">
        <f>SUMIFS('март 2025'!$G$5:$G$2427,'март 2025'!$D$5:$D$2427,$B155,'март 2025'!$J$5:$J$2427,Q$1)</f>
        <v>0</v>
      </c>
      <c r="R155" s="183">
        <f>SUMIFS('март 2025'!$G$5:$G$2427,'март 2025'!$D$5:$D$2427,$B155,'март 2025'!$J$5:$J$2427,R$1)</f>
        <v>0</v>
      </c>
      <c r="S155" s="183">
        <f>SUMIFS('март 2025'!$G$5:$G$2427,'март 2025'!$D$5:$D$2427,$B155,'март 2025'!$J$5:$J$2427,S$1)</f>
        <v>0</v>
      </c>
      <c r="T155" s="183">
        <f>SUMIFS('март 2025'!$G$5:$G$2427,'март 2025'!$D$5:$D$2427,$B155,'март 2025'!$J$5:$J$2427,T$1)</f>
        <v>0</v>
      </c>
      <c r="U155" s="183">
        <f>SUMIFS('март 2025'!$G$5:$G$2427,'март 2025'!$D$5:$D$2427,$B155,'март 2025'!$J$5:$J$2427,U$1)</f>
        <v>0</v>
      </c>
      <c r="V155" s="183">
        <f>SUMIFS('март 2025'!$G$5:$G$2427,'март 2025'!$D$5:$D$2427,$B155,'март 2025'!$J$5:$J$2427,V$1)</f>
        <v>0</v>
      </c>
      <c r="W155" s="183">
        <f>SUMIFS('март 2025'!$G$5:$G$2427,'март 2025'!$D$5:$D$2427,$B155,'март 2025'!$J$5:$J$2427,W$1)</f>
        <v>0</v>
      </c>
      <c r="X155" s="183">
        <f>SUMIFS('март 2025'!$G$5:$G$2427,'март 2025'!$D$5:$D$2427,$B155,'март 2025'!$J$5:$J$2427,X$1)</f>
        <v>0</v>
      </c>
      <c r="Y155" s="183">
        <f>SUMIFS('март 2025'!$G$5:$G$2427,'март 2025'!$D$5:$D$2427,$B155,'март 2025'!$J$5:$J$2427,Y$1)</f>
        <v>0</v>
      </c>
      <c r="Z155" s="183">
        <f>SUMIFS('март 2025'!$G$5:$G$2427,'март 2025'!$D$5:$D$2427,$B155,'март 2025'!$J$5:$J$2427,Z$1)</f>
        <v>0</v>
      </c>
      <c r="AA155" s="183">
        <f>SUMIFS('март 2025'!$G$5:$G$2427,'март 2025'!$D$5:$D$2427,$B155,'март 2025'!$J$5:$J$2427,AA$1)</f>
        <v>0</v>
      </c>
      <c r="AB155" s="183">
        <f>SUMIFS('март 2025'!$G$5:$G$2427,'март 2025'!$D$5:$D$2427,$B155,'март 2025'!$J$5:$J$2427,AB$1)</f>
        <v>0</v>
      </c>
      <c r="AC155" s="183">
        <f>SUMIFS('март 2025'!$G$5:$G$2427,'март 2025'!$D$5:$D$2427,$B155,'март 2025'!$J$5:$J$2427,AC$1)</f>
        <v>0</v>
      </c>
      <c r="AD155" s="183">
        <f>SUMIFS('март 2025'!$G$5:$G$2427,'март 2025'!$D$5:$D$2427,$B155,'март 2025'!$J$5:$J$2427,AD$1)</f>
        <v>0</v>
      </c>
      <c r="AE155" s="183">
        <f>SUMIFS('март 2025'!$G$5:$G$2427,'март 2025'!$D$5:$D$2427,$B155,'март 2025'!$J$5:$J$2427,AE$1)</f>
        <v>0</v>
      </c>
      <c r="AF155" s="183">
        <f>SUMIFS('март 2025'!$G$5:$G$2427,'март 2025'!$D$5:$D$2427,$B155,'март 2025'!$J$5:$J$2427,AF$1)</f>
        <v>0</v>
      </c>
      <c r="AG155" s="183">
        <f>SUMIFS('март 2025'!$G$5:$G$2427,'март 2025'!$D$5:$D$2427,$B155,'март 2025'!$J$5:$J$2427,AG$1)</f>
        <v>0</v>
      </c>
      <c r="AH155" s="183">
        <f>SUMIFS('март 2025'!$G$5:$G$2427,'март 2025'!$D$5:$D$2427,$B155,'март 2025'!$J$5:$J$2427,AH$1)</f>
        <v>0</v>
      </c>
      <c r="AI155" s="20">
        <f t="shared" si="1"/>
        <v>0</v>
      </c>
    </row>
    <row r="156" spans="2:35" ht="15" customHeight="1" x14ac:dyDescent="0.25">
      <c r="B156" s="84" t="s">
        <v>201</v>
      </c>
      <c r="C156" s="83">
        <v>25</v>
      </c>
      <c r="D156" s="183">
        <f>SUMIFS('март 2025'!$G$5:$G$2427,'март 2025'!$D$5:$D$2427,$B156,'март 2025'!$J$5:$J$2427,D$1)</f>
        <v>0</v>
      </c>
      <c r="E156" s="183">
        <f>SUMIFS('март 2025'!$G$5:$G$2427,'март 2025'!$D$5:$D$2427,$B156,'март 2025'!$J$5:$J$2427,E$1)</f>
        <v>0</v>
      </c>
      <c r="F156" s="183">
        <f>SUMIFS('март 2025'!$G$5:$G$2427,'март 2025'!$D$5:$D$2427,$B156,'март 2025'!$J$5:$J$2427,F$1)</f>
        <v>0</v>
      </c>
      <c r="G156" s="183">
        <f>SUMIFS('март 2025'!$G$5:$G$2427,'март 2025'!$D$5:$D$2427,$B156,'март 2025'!$J$5:$J$2427,G$1)</f>
        <v>0</v>
      </c>
      <c r="H156" s="183">
        <f>SUMIFS('март 2025'!$G$5:$G$2427,'март 2025'!$D$5:$D$2427,$B156,'март 2025'!$J$5:$J$2427,H$1)</f>
        <v>0</v>
      </c>
      <c r="I156" s="183">
        <f>SUMIFS('март 2025'!$G$5:$G$2427,'март 2025'!$D$5:$D$2427,$B156,'март 2025'!$J$5:$J$2427,I$1)</f>
        <v>0</v>
      </c>
      <c r="J156" s="183">
        <f>SUMIFS('март 2025'!$G$5:$G$2427,'март 2025'!$D$5:$D$2427,$B156,'март 2025'!$J$5:$J$2427,J$1)</f>
        <v>0</v>
      </c>
      <c r="K156" s="183">
        <f>SUMIFS('март 2025'!$G$5:$G$2427,'март 2025'!$D$5:$D$2427,$B156,'март 2025'!$J$5:$J$2427,K$1)</f>
        <v>0</v>
      </c>
      <c r="L156" s="183">
        <f>SUMIFS('март 2025'!$G$5:$G$2427,'март 2025'!$D$5:$D$2427,$B156,'март 2025'!$J$5:$J$2427,L$1)</f>
        <v>0</v>
      </c>
      <c r="M156" s="183">
        <f>SUMIFS('март 2025'!$G$5:$G$2427,'март 2025'!$D$5:$D$2427,$B156,'март 2025'!$J$5:$J$2427,M$1)</f>
        <v>0</v>
      </c>
      <c r="N156" s="183">
        <f>SUMIFS('март 2025'!$G$5:$G$2427,'март 2025'!$D$5:$D$2427,$B156,'март 2025'!$J$5:$J$2427,N$1)</f>
        <v>0</v>
      </c>
      <c r="O156" s="183">
        <f>SUMIFS('март 2025'!$G$5:$G$2427,'март 2025'!$D$5:$D$2427,$B156,'март 2025'!$J$5:$J$2427,O$1)</f>
        <v>0</v>
      </c>
      <c r="P156" s="183">
        <f>SUMIFS('март 2025'!$G$5:$G$2427,'март 2025'!$D$5:$D$2427,$B156,'март 2025'!$J$5:$J$2427,P$1)</f>
        <v>0</v>
      </c>
      <c r="Q156" s="183">
        <f>SUMIFS('март 2025'!$G$5:$G$2427,'март 2025'!$D$5:$D$2427,$B156,'март 2025'!$J$5:$J$2427,Q$1)</f>
        <v>0</v>
      </c>
      <c r="R156" s="183">
        <f>SUMIFS('март 2025'!$G$5:$G$2427,'март 2025'!$D$5:$D$2427,$B156,'март 2025'!$J$5:$J$2427,R$1)</f>
        <v>0</v>
      </c>
      <c r="S156" s="183">
        <f>SUMIFS('март 2025'!$G$5:$G$2427,'март 2025'!$D$5:$D$2427,$B156,'март 2025'!$J$5:$J$2427,S$1)</f>
        <v>0</v>
      </c>
      <c r="T156" s="183">
        <f>SUMIFS('март 2025'!$G$5:$G$2427,'март 2025'!$D$5:$D$2427,$B156,'март 2025'!$J$5:$J$2427,T$1)</f>
        <v>0</v>
      </c>
      <c r="U156" s="183">
        <f>SUMIFS('март 2025'!$G$5:$G$2427,'март 2025'!$D$5:$D$2427,$B156,'март 2025'!$J$5:$J$2427,U$1)</f>
        <v>0</v>
      </c>
      <c r="V156" s="183">
        <f>SUMIFS('март 2025'!$G$5:$G$2427,'март 2025'!$D$5:$D$2427,$B156,'март 2025'!$J$5:$J$2427,V$1)</f>
        <v>0</v>
      </c>
      <c r="W156" s="183">
        <f>SUMIFS('март 2025'!$G$5:$G$2427,'март 2025'!$D$5:$D$2427,$B156,'март 2025'!$J$5:$J$2427,W$1)</f>
        <v>0</v>
      </c>
      <c r="X156" s="183">
        <f>SUMIFS('март 2025'!$G$5:$G$2427,'март 2025'!$D$5:$D$2427,$B156,'март 2025'!$J$5:$J$2427,X$1)</f>
        <v>0</v>
      </c>
      <c r="Y156" s="183">
        <f>SUMIFS('март 2025'!$G$5:$G$2427,'март 2025'!$D$5:$D$2427,$B156,'март 2025'!$J$5:$J$2427,Y$1)</f>
        <v>0</v>
      </c>
      <c r="Z156" s="183">
        <f>SUMIFS('март 2025'!$G$5:$G$2427,'март 2025'!$D$5:$D$2427,$B156,'март 2025'!$J$5:$J$2427,Z$1)</f>
        <v>0</v>
      </c>
      <c r="AA156" s="183">
        <f>SUMIFS('март 2025'!$G$5:$G$2427,'март 2025'!$D$5:$D$2427,$B156,'март 2025'!$J$5:$J$2427,AA$1)</f>
        <v>0</v>
      </c>
      <c r="AB156" s="183">
        <f>SUMIFS('март 2025'!$G$5:$G$2427,'март 2025'!$D$5:$D$2427,$B156,'март 2025'!$J$5:$J$2427,AB$1)</f>
        <v>0</v>
      </c>
      <c r="AC156" s="183">
        <f>SUMIFS('март 2025'!$G$5:$G$2427,'март 2025'!$D$5:$D$2427,$B156,'март 2025'!$J$5:$J$2427,AC$1)</f>
        <v>0</v>
      </c>
      <c r="AD156" s="183">
        <f>SUMIFS('март 2025'!$G$5:$G$2427,'март 2025'!$D$5:$D$2427,$B156,'март 2025'!$J$5:$J$2427,AD$1)</f>
        <v>0</v>
      </c>
      <c r="AE156" s="183">
        <f>SUMIFS('март 2025'!$G$5:$G$2427,'март 2025'!$D$5:$D$2427,$B156,'март 2025'!$J$5:$J$2427,AE$1)</f>
        <v>0</v>
      </c>
      <c r="AF156" s="183">
        <f>SUMIFS('март 2025'!$G$5:$G$2427,'март 2025'!$D$5:$D$2427,$B156,'март 2025'!$J$5:$J$2427,AF$1)</f>
        <v>0</v>
      </c>
      <c r="AG156" s="183">
        <f>SUMIFS('март 2025'!$G$5:$G$2427,'март 2025'!$D$5:$D$2427,$B156,'март 2025'!$J$5:$J$2427,AG$1)</f>
        <v>0</v>
      </c>
      <c r="AH156" s="183">
        <f>SUMIFS('март 2025'!$G$5:$G$2427,'март 2025'!$D$5:$D$2427,$B156,'март 2025'!$J$5:$J$2427,AH$1)</f>
        <v>0</v>
      </c>
      <c r="AI156" s="20">
        <f t="shared" si="1"/>
        <v>0</v>
      </c>
    </row>
    <row r="157" spans="2:35" ht="15" customHeight="1" x14ac:dyDescent="0.25">
      <c r="B157" s="84" t="s">
        <v>300</v>
      </c>
      <c r="C157" s="83">
        <v>200</v>
      </c>
      <c r="D157" s="183">
        <f>SUMIFS('март 2025'!$G$5:$G$2427,'март 2025'!$D$5:$D$2427,$B157,'март 2025'!$J$5:$J$2427,D$1)</f>
        <v>0</v>
      </c>
      <c r="E157" s="183">
        <f>SUMIFS('март 2025'!$G$5:$G$2427,'март 2025'!$D$5:$D$2427,$B157,'март 2025'!$J$5:$J$2427,E$1)</f>
        <v>0</v>
      </c>
      <c r="F157" s="183">
        <f>SUMIFS('март 2025'!$G$5:$G$2427,'март 2025'!$D$5:$D$2427,$B157,'март 2025'!$J$5:$J$2427,F$1)</f>
        <v>0</v>
      </c>
      <c r="G157" s="183">
        <f>SUMIFS('март 2025'!$G$5:$G$2427,'март 2025'!$D$5:$D$2427,$B157,'март 2025'!$J$5:$J$2427,G$1)</f>
        <v>0</v>
      </c>
      <c r="H157" s="183">
        <f>SUMIFS('март 2025'!$G$5:$G$2427,'март 2025'!$D$5:$D$2427,$B157,'март 2025'!$J$5:$J$2427,H$1)</f>
        <v>0</v>
      </c>
      <c r="I157" s="183">
        <f>SUMIFS('март 2025'!$G$5:$G$2427,'март 2025'!$D$5:$D$2427,$B157,'март 2025'!$J$5:$J$2427,I$1)</f>
        <v>0</v>
      </c>
      <c r="J157" s="183">
        <f>SUMIFS('март 2025'!$G$5:$G$2427,'март 2025'!$D$5:$D$2427,$B157,'март 2025'!$J$5:$J$2427,J$1)</f>
        <v>0</v>
      </c>
      <c r="K157" s="183">
        <f>SUMIFS('март 2025'!$G$5:$G$2427,'март 2025'!$D$5:$D$2427,$B157,'март 2025'!$J$5:$J$2427,K$1)</f>
        <v>0</v>
      </c>
      <c r="L157" s="183">
        <f>SUMIFS('март 2025'!$G$5:$G$2427,'март 2025'!$D$5:$D$2427,$B157,'март 2025'!$J$5:$J$2427,L$1)</f>
        <v>0</v>
      </c>
      <c r="M157" s="183">
        <f>SUMIFS('март 2025'!$G$5:$G$2427,'март 2025'!$D$5:$D$2427,$B157,'март 2025'!$J$5:$J$2427,M$1)</f>
        <v>0</v>
      </c>
      <c r="N157" s="183">
        <f>SUMIFS('март 2025'!$G$5:$G$2427,'март 2025'!$D$5:$D$2427,$B157,'март 2025'!$J$5:$J$2427,N$1)</f>
        <v>0</v>
      </c>
      <c r="O157" s="183">
        <f>SUMIFS('март 2025'!$G$5:$G$2427,'март 2025'!$D$5:$D$2427,$B157,'март 2025'!$J$5:$J$2427,O$1)</f>
        <v>0</v>
      </c>
      <c r="P157" s="183">
        <f>SUMIFS('март 2025'!$G$5:$G$2427,'март 2025'!$D$5:$D$2427,$B157,'март 2025'!$J$5:$J$2427,P$1)</f>
        <v>0</v>
      </c>
      <c r="Q157" s="183">
        <f>SUMIFS('март 2025'!$G$5:$G$2427,'март 2025'!$D$5:$D$2427,$B157,'март 2025'!$J$5:$J$2427,Q$1)</f>
        <v>0</v>
      </c>
      <c r="R157" s="183">
        <f>SUMIFS('март 2025'!$G$5:$G$2427,'март 2025'!$D$5:$D$2427,$B157,'март 2025'!$J$5:$J$2427,R$1)</f>
        <v>0</v>
      </c>
      <c r="S157" s="183">
        <f>SUMIFS('март 2025'!$G$5:$G$2427,'март 2025'!$D$5:$D$2427,$B157,'март 2025'!$J$5:$J$2427,S$1)</f>
        <v>0</v>
      </c>
      <c r="T157" s="183">
        <f>SUMIFS('март 2025'!$G$5:$G$2427,'март 2025'!$D$5:$D$2427,$B157,'март 2025'!$J$5:$J$2427,T$1)</f>
        <v>0</v>
      </c>
      <c r="U157" s="183">
        <f>SUMIFS('март 2025'!$G$5:$G$2427,'март 2025'!$D$5:$D$2427,$B157,'март 2025'!$J$5:$J$2427,U$1)</f>
        <v>0</v>
      </c>
      <c r="V157" s="183">
        <f>SUMIFS('март 2025'!$G$5:$G$2427,'март 2025'!$D$5:$D$2427,$B157,'март 2025'!$J$5:$J$2427,V$1)</f>
        <v>0</v>
      </c>
      <c r="W157" s="183">
        <f>SUMIFS('март 2025'!$G$5:$G$2427,'март 2025'!$D$5:$D$2427,$B157,'март 2025'!$J$5:$J$2427,W$1)</f>
        <v>0</v>
      </c>
      <c r="X157" s="183">
        <f>SUMIFS('март 2025'!$G$5:$G$2427,'март 2025'!$D$5:$D$2427,$B157,'март 2025'!$J$5:$J$2427,X$1)</f>
        <v>0</v>
      </c>
      <c r="Y157" s="183">
        <f>SUMIFS('март 2025'!$G$5:$G$2427,'март 2025'!$D$5:$D$2427,$B157,'март 2025'!$J$5:$J$2427,Y$1)</f>
        <v>0</v>
      </c>
      <c r="Z157" s="183">
        <f>SUMIFS('март 2025'!$G$5:$G$2427,'март 2025'!$D$5:$D$2427,$B157,'март 2025'!$J$5:$J$2427,Z$1)</f>
        <v>0</v>
      </c>
      <c r="AA157" s="183">
        <f>SUMIFS('март 2025'!$G$5:$G$2427,'март 2025'!$D$5:$D$2427,$B157,'март 2025'!$J$5:$J$2427,AA$1)</f>
        <v>0</v>
      </c>
      <c r="AB157" s="183">
        <f>SUMIFS('март 2025'!$G$5:$G$2427,'март 2025'!$D$5:$D$2427,$B157,'март 2025'!$J$5:$J$2427,AB$1)</f>
        <v>0</v>
      </c>
      <c r="AC157" s="183">
        <f>SUMIFS('март 2025'!$G$5:$G$2427,'март 2025'!$D$5:$D$2427,$B157,'март 2025'!$J$5:$J$2427,AC$1)</f>
        <v>0</v>
      </c>
      <c r="AD157" s="183">
        <f>SUMIFS('март 2025'!$G$5:$G$2427,'март 2025'!$D$5:$D$2427,$B157,'март 2025'!$J$5:$J$2427,AD$1)</f>
        <v>0</v>
      </c>
      <c r="AE157" s="183">
        <f>SUMIFS('март 2025'!$G$5:$G$2427,'март 2025'!$D$5:$D$2427,$B157,'март 2025'!$J$5:$J$2427,AE$1)</f>
        <v>0</v>
      </c>
      <c r="AF157" s="183">
        <f>SUMIFS('март 2025'!$G$5:$G$2427,'март 2025'!$D$5:$D$2427,$B157,'март 2025'!$J$5:$J$2427,AF$1)</f>
        <v>0</v>
      </c>
      <c r="AG157" s="183">
        <f>SUMIFS('март 2025'!$G$5:$G$2427,'март 2025'!$D$5:$D$2427,$B157,'март 2025'!$J$5:$J$2427,AG$1)</f>
        <v>0</v>
      </c>
      <c r="AH157" s="183">
        <f>SUMIFS('март 2025'!$G$5:$G$2427,'март 2025'!$D$5:$D$2427,$B157,'март 2025'!$J$5:$J$2427,AH$1)</f>
        <v>0</v>
      </c>
      <c r="AI157" s="20">
        <f>SUM(D157:AH157)</f>
        <v>0</v>
      </c>
    </row>
    <row r="158" spans="2:35" ht="15" customHeight="1" x14ac:dyDescent="0.25">
      <c r="B158" s="84" t="s">
        <v>307</v>
      </c>
      <c r="C158" s="83">
        <v>175</v>
      </c>
      <c r="D158" s="183">
        <f>SUMIFS('март 2025'!$G$5:$G$2427,'март 2025'!$D$5:$D$2427,$B158,'март 2025'!$J$5:$J$2427,D$1)</f>
        <v>0</v>
      </c>
      <c r="E158" s="183">
        <f>SUMIFS('март 2025'!$G$5:$G$2427,'март 2025'!$D$5:$D$2427,$B158,'март 2025'!$J$5:$J$2427,E$1)</f>
        <v>0</v>
      </c>
      <c r="F158" s="183">
        <f>SUMIFS('март 2025'!$G$5:$G$2427,'март 2025'!$D$5:$D$2427,$B158,'март 2025'!$J$5:$J$2427,F$1)</f>
        <v>0</v>
      </c>
      <c r="G158" s="183">
        <f>SUMIFS('март 2025'!$G$5:$G$2427,'март 2025'!$D$5:$D$2427,$B158,'март 2025'!$J$5:$J$2427,G$1)</f>
        <v>0</v>
      </c>
      <c r="H158" s="183">
        <f>SUMIFS('март 2025'!$G$5:$G$2427,'март 2025'!$D$5:$D$2427,$B158,'март 2025'!$J$5:$J$2427,H$1)</f>
        <v>0</v>
      </c>
      <c r="I158" s="183">
        <f>SUMIFS('март 2025'!$G$5:$G$2427,'март 2025'!$D$5:$D$2427,$B158,'март 2025'!$J$5:$J$2427,I$1)</f>
        <v>0</v>
      </c>
      <c r="J158" s="183">
        <f>SUMIFS('март 2025'!$G$5:$G$2427,'март 2025'!$D$5:$D$2427,$B158,'март 2025'!$J$5:$J$2427,J$1)</f>
        <v>0</v>
      </c>
      <c r="K158" s="183">
        <f>SUMIFS('март 2025'!$G$5:$G$2427,'март 2025'!$D$5:$D$2427,$B158,'март 2025'!$J$5:$J$2427,K$1)</f>
        <v>0</v>
      </c>
      <c r="L158" s="183">
        <f>SUMIFS('март 2025'!$G$5:$G$2427,'март 2025'!$D$5:$D$2427,$B158,'март 2025'!$J$5:$J$2427,L$1)</f>
        <v>0</v>
      </c>
      <c r="M158" s="183">
        <f>SUMIFS('март 2025'!$G$5:$G$2427,'март 2025'!$D$5:$D$2427,$B158,'март 2025'!$J$5:$J$2427,M$1)</f>
        <v>0</v>
      </c>
      <c r="N158" s="183">
        <f>SUMIFS('март 2025'!$G$5:$G$2427,'март 2025'!$D$5:$D$2427,$B158,'март 2025'!$J$5:$J$2427,N$1)</f>
        <v>0</v>
      </c>
      <c r="O158" s="183">
        <f>SUMIFS('март 2025'!$G$5:$G$2427,'март 2025'!$D$5:$D$2427,$B158,'март 2025'!$J$5:$J$2427,O$1)</f>
        <v>0</v>
      </c>
      <c r="P158" s="183">
        <f>SUMIFS('март 2025'!$G$5:$G$2427,'март 2025'!$D$5:$D$2427,$B158,'март 2025'!$J$5:$J$2427,P$1)</f>
        <v>0</v>
      </c>
      <c r="Q158" s="183">
        <f>SUMIFS('март 2025'!$G$5:$G$2427,'март 2025'!$D$5:$D$2427,$B158,'март 2025'!$J$5:$J$2427,Q$1)</f>
        <v>0</v>
      </c>
      <c r="R158" s="183">
        <f>SUMIFS('март 2025'!$G$5:$G$2427,'март 2025'!$D$5:$D$2427,$B158,'март 2025'!$J$5:$J$2427,R$1)</f>
        <v>0</v>
      </c>
      <c r="S158" s="183">
        <f>SUMIFS('март 2025'!$G$5:$G$2427,'март 2025'!$D$5:$D$2427,$B158,'март 2025'!$J$5:$J$2427,S$1)</f>
        <v>0</v>
      </c>
      <c r="T158" s="183">
        <f>SUMIFS('март 2025'!$G$5:$G$2427,'март 2025'!$D$5:$D$2427,$B158,'март 2025'!$J$5:$J$2427,T$1)</f>
        <v>0</v>
      </c>
      <c r="U158" s="183">
        <f>SUMIFS('март 2025'!$G$5:$G$2427,'март 2025'!$D$5:$D$2427,$B158,'март 2025'!$J$5:$J$2427,U$1)</f>
        <v>0</v>
      </c>
      <c r="V158" s="183">
        <f>SUMIFS('март 2025'!$G$5:$G$2427,'март 2025'!$D$5:$D$2427,$B158,'март 2025'!$J$5:$J$2427,V$1)</f>
        <v>0</v>
      </c>
      <c r="W158" s="183">
        <f>SUMIFS('март 2025'!$G$5:$G$2427,'март 2025'!$D$5:$D$2427,$B158,'март 2025'!$J$5:$J$2427,W$1)</f>
        <v>0</v>
      </c>
      <c r="X158" s="183">
        <f>SUMIFS('март 2025'!$G$5:$G$2427,'март 2025'!$D$5:$D$2427,$B158,'март 2025'!$J$5:$J$2427,X$1)</f>
        <v>0</v>
      </c>
      <c r="Y158" s="183">
        <f>SUMIFS('март 2025'!$G$5:$G$2427,'март 2025'!$D$5:$D$2427,$B158,'март 2025'!$J$5:$J$2427,Y$1)</f>
        <v>0</v>
      </c>
      <c r="Z158" s="183">
        <f>SUMIFS('март 2025'!$G$5:$G$2427,'март 2025'!$D$5:$D$2427,$B158,'март 2025'!$J$5:$J$2427,Z$1)</f>
        <v>0</v>
      </c>
      <c r="AA158" s="183">
        <f>SUMIFS('март 2025'!$G$5:$G$2427,'март 2025'!$D$5:$D$2427,$B158,'март 2025'!$J$5:$J$2427,AA$1)</f>
        <v>0</v>
      </c>
      <c r="AB158" s="183">
        <f>SUMIFS('март 2025'!$G$5:$G$2427,'март 2025'!$D$5:$D$2427,$B158,'март 2025'!$J$5:$J$2427,AB$1)</f>
        <v>0</v>
      </c>
      <c r="AC158" s="183">
        <f>SUMIFS('март 2025'!$G$5:$G$2427,'март 2025'!$D$5:$D$2427,$B158,'март 2025'!$J$5:$J$2427,AC$1)</f>
        <v>0</v>
      </c>
      <c r="AD158" s="183">
        <f>SUMIFS('март 2025'!$G$5:$G$2427,'март 2025'!$D$5:$D$2427,$B158,'март 2025'!$J$5:$J$2427,AD$1)</f>
        <v>0</v>
      </c>
      <c r="AE158" s="183">
        <f>SUMIFS('март 2025'!$G$5:$G$2427,'март 2025'!$D$5:$D$2427,$B158,'март 2025'!$J$5:$J$2427,AE$1)</f>
        <v>0</v>
      </c>
      <c r="AF158" s="183">
        <f>SUMIFS('март 2025'!$G$5:$G$2427,'март 2025'!$D$5:$D$2427,$B158,'март 2025'!$J$5:$J$2427,AF$1)</f>
        <v>0</v>
      </c>
      <c r="AG158" s="183">
        <f>SUMIFS('март 2025'!$G$5:$G$2427,'март 2025'!$D$5:$D$2427,$B158,'март 2025'!$J$5:$J$2427,AG$1)</f>
        <v>0</v>
      </c>
      <c r="AH158" s="183">
        <f>SUMIFS('март 2025'!$G$5:$G$2427,'март 2025'!$D$5:$D$2427,$B158,'март 2025'!$J$5:$J$2427,AH$1)</f>
        <v>0</v>
      </c>
      <c r="AI158" s="20">
        <f>SUM(D158:AH158)</f>
        <v>0</v>
      </c>
    </row>
    <row r="159" spans="2:35" ht="15" customHeight="1" x14ac:dyDescent="0.25">
      <c r="B159" s="84" t="s">
        <v>324</v>
      </c>
      <c r="C159" s="83">
        <v>950</v>
      </c>
      <c r="D159" s="183">
        <f>SUMIFS('март 2025'!$G$5:$G$2427,'март 2025'!$D$5:$D$2427,$B159,'март 2025'!$J$5:$J$2427,D$1)</f>
        <v>0</v>
      </c>
      <c r="E159" s="183">
        <f>SUMIFS('март 2025'!$G$5:$G$2427,'март 2025'!$D$5:$D$2427,$B159,'март 2025'!$J$5:$J$2427,E$1)</f>
        <v>0</v>
      </c>
      <c r="F159" s="183">
        <f>SUMIFS('март 2025'!$G$5:$G$2427,'март 2025'!$D$5:$D$2427,$B159,'март 2025'!$J$5:$J$2427,F$1)</f>
        <v>0</v>
      </c>
      <c r="G159" s="183">
        <f>SUMIFS('март 2025'!$G$5:$G$2427,'март 2025'!$D$5:$D$2427,$B159,'март 2025'!$J$5:$J$2427,G$1)</f>
        <v>0</v>
      </c>
      <c r="H159" s="183">
        <f>SUMIFS('март 2025'!$G$5:$G$2427,'март 2025'!$D$5:$D$2427,$B159,'март 2025'!$J$5:$J$2427,H$1)</f>
        <v>0</v>
      </c>
      <c r="I159" s="183">
        <f>SUMIFS('март 2025'!$G$5:$G$2427,'март 2025'!$D$5:$D$2427,$B159,'март 2025'!$J$5:$J$2427,I$1)</f>
        <v>0</v>
      </c>
      <c r="J159" s="183">
        <f>SUMIFS('март 2025'!$G$5:$G$2427,'март 2025'!$D$5:$D$2427,$B159,'март 2025'!$J$5:$J$2427,J$1)</f>
        <v>0</v>
      </c>
      <c r="K159" s="183">
        <f>SUMIFS('март 2025'!$G$5:$G$2427,'март 2025'!$D$5:$D$2427,$B159,'март 2025'!$J$5:$J$2427,K$1)</f>
        <v>0</v>
      </c>
      <c r="L159" s="183">
        <f>SUMIFS('март 2025'!$G$5:$G$2427,'март 2025'!$D$5:$D$2427,$B159,'март 2025'!$J$5:$J$2427,L$1)</f>
        <v>0</v>
      </c>
      <c r="M159" s="183">
        <f>SUMIFS('март 2025'!$G$5:$G$2427,'март 2025'!$D$5:$D$2427,$B159,'март 2025'!$J$5:$J$2427,M$1)</f>
        <v>0</v>
      </c>
      <c r="N159" s="183">
        <f>SUMIFS('март 2025'!$G$5:$G$2427,'март 2025'!$D$5:$D$2427,$B159,'март 2025'!$J$5:$J$2427,N$1)</f>
        <v>0</v>
      </c>
      <c r="O159" s="183">
        <f>SUMIFS('март 2025'!$G$5:$G$2427,'март 2025'!$D$5:$D$2427,$B159,'март 2025'!$J$5:$J$2427,O$1)</f>
        <v>0</v>
      </c>
      <c r="P159" s="183">
        <f>SUMIFS('март 2025'!$G$5:$G$2427,'март 2025'!$D$5:$D$2427,$B159,'март 2025'!$J$5:$J$2427,P$1)</f>
        <v>0</v>
      </c>
      <c r="Q159" s="183">
        <f>SUMIFS('март 2025'!$G$5:$G$2427,'март 2025'!$D$5:$D$2427,$B159,'март 2025'!$J$5:$J$2427,Q$1)</f>
        <v>0</v>
      </c>
      <c r="R159" s="183">
        <f>SUMIFS('март 2025'!$G$5:$G$2427,'март 2025'!$D$5:$D$2427,$B159,'март 2025'!$J$5:$J$2427,R$1)</f>
        <v>0</v>
      </c>
      <c r="S159" s="183">
        <f>SUMIFS('март 2025'!$G$5:$G$2427,'март 2025'!$D$5:$D$2427,$B159,'март 2025'!$J$5:$J$2427,S$1)</f>
        <v>0</v>
      </c>
      <c r="T159" s="183">
        <f>SUMIFS('март 2025'!$G$5:$G$2427,'март 2025'!$D$5:$D$2427,$B159,'март 2025'!$J$5:$J$2427,T$1)</f>
        <v>0</v>
      </c>
      <c r="U159" s="183">
        <f>SUMIFS('март 2025'!$G$5:$G$2427,'март 2025'!$D$5:$D$2427,$B159,'март 2025'!$J$5:$J$2427,U$1)</f>
        <v>0</v>
      </c>
      <c r="V159" s="183">
        <f>SUMIFS('март 2025'!$G$5:$G$2427,'март 2025'!$D$5:$D$2427,$B159,'март 2025'!$J$5:$J$2427,V$1)</f>
        <v>0</v>
      </c>
      <c r="W159" s="183">
        <f>SUMIFS('март 2025'!$G$5:$G$2427,'март 2025'!$D$5:$D$2427,$B159,'март 2025'!$J$5:$J$2427,W$1)</f>
        <v>0</v>
      </c>
      <c r="X159" s="183">
        <f>SUMIFS('март 2025'!$G$5:$G$2427,'март 2025'!$D$5:$D$2427,$B159,'март 2025'!$J$5:$J$2427,X$1)</f>
        <v>0</v>
      </c>
      <c r="Y159" s="183">
        <f>SUMIFS('март 2025'!$G$5:$G$2427,'март 2025'!$D$5:$D$2427,$B159,'март 2025'!$J$5:$J$2427,Y$1)</f>
        <v>0</v>
      </c>
      <c r="Z159" s="183">
        <f>SUMIFS('март 2025'!$G$5:$G$2427,'март 2025'!$D$5:$D$2427,$B159,'март 2025'!$J$5:$J$2427,Z$1)</f>
        <v>0</v>
      </c>
      <c r="AA159" s="183">
        <f>SUMIFS('март 2025'!$G$5:$G$2427,'март 2025'!$D$5:$D$2427,$B159,'март 2025'!$J$5:$J$2427,AA$1)</f>
        <v>0</v>
      </c>
      <c r="AB159" s="183">
        <f>SUMIFS('март 2025'!$G$5:$G$2427,'март 2025'!$D$5:$D$2427,$B159,'март 2025'!$J$5:$J$2427,AB$1)</f>
        <v>0</v>
      </c>
      <c r="AC159" s="183">
        <f>SUMIFS('март 2025'!$G$5:$G$2427,'март 2025'!$D$5:$D$2427,$B159,'март 2025'!$J$5:$J$2427,AC$1)</f>
        <v>0</v>
      </c>
      <c r="AD159" s="183">
        <f>SUMIFS('март 2025'!$G$5:$G$2427,'март 2025'!$D$5:$D$2427,$B159,'март 2025'!$J$5:$J$2427,AD$1)</f>
        <v>0</v>
      </c>
      <c r="AE159" s="183">
        <f>SUMIFS('март 2025'!$G$5:$G$2427,'март 2025'!$D$5:$D$2427,$B159,'март 2025'!$J$5:$J$2427,AE$1)</f>
        <v>0</v>
      </c>
      <c r="AF159" s="183">
        <f>SUMIFS('март 2025'!$G$5:$G$2427,'март 2025'!$D$5:$D$2427,$B159,'март 2025'!$J$5:$J$2427,AF$1)</f>
        <v>0</v>
      </c>
      <c r="AG159" s="183">
        <f>SUMIFS('март 2025'!$G$5:$G$2427,'март 2025'!$D$5:$D$2427,$B159,'март 2025'!$J$5:$J$2427,AG$1)</f>
        <v>0</v>
      </c>
      <c r="AH159" s="183">
        <f>SUMIFS('март 2025'!$G$5:$G$2427,'март 2025'!$D$5:$D$2427,$B159,'март 2025'!$J$5:$J$2427,AH$1)</f>
        <v>0</v>
      </c>
      <c r="AI159" s="20">
        <f t="shared" ref="AI159:AI161" si="4">SUM(D159:AH159)</f>
        <v>0</v>
      </c>
    </row>
    <row r="160" spans="2:35" ht="15" customHeight="1" x14ac:dyDescent="0.25">
      <c r="B160" s="84" t="s">
        <v>322</v>
      </c>
      <c r="C160" s="83">
        <v>200</v>
      </c>
      <c r="D160" s="183">
        <f>SUMIFS('март 2025'!$G$5:$G$2427,'март 2025'!$D$5:$D$2427,$B160,'март 2025'!$J$5:$J$2427,D$1)</f>
        <v>0</v>
      </c>
      <c r="E160" s="183">
        <f>SUMIFS('март 2025'!$G$5:$G$2427,'март 2025'!$D$5:$D$2427,$B160,'март 2025'!$J$5:$J$2427,E$1)</f>
        <v>0</v>
      </c>
      <c r="F160" s="183">
        <f>SUMIFS('март 2025'!$G$5:$G$2427,'март 2025'!$D$5:$D$2427,$B160,'март 2025'!$J$5:$J$2427,F$1)</f>
        <v>0</v>
      </c>
      <c r="G160" s="183">
        <f>SUMIFS('март 2025'!$G$5:$G$2427,'март 2025'!$D$5:$D$2427,$B160,'март 2025'!$J$5:$J$2427,G$1)</f>
        <v>0</v>
      </c>
      <c r="H160" s="183">
        <f>SUMIFS('март 2025'!$G$5:$G$2427,'март 2025'!$D$5:$D$2427,$B160,'март 2025'!$J$5:$J$2427,H$1)</f>
        <v>0</v>
      </c>
      <c r="I160" s="183">
        <f>SUMIFS('март 2025'!$G$5:$G$2427,'март 2025'!$D$5:$D$2427,$B160,'март 2025'!$J$5:$J$2427,I$1)</f>
        <v>0</v>
      </c>
      <c r="J160" s="183">
        <f>SUMIFS('март 2025'!$G$5:$G$2427,'март 2025'!$D$5:$D$2427,$B160,'март 2025'!$J$5:$J$2427,J$1)</f>
        <v>0</v>
      </c>
      <c r="K160" s="183">
        <f>SUMIFS('март 2025'!$G$5:$G$2427,'март 2025'!$D$5:$D$2427,$B160,'март 2025'!$J$5:$J$2427,K$1)</f>
        <v>0</v>
      </c>
      <c r="L160" s="183">
        <f>SUMIFS('март 2025'!$G$5:$G$2427,'март 2025'!$D$5:$D$2427,$B160,'март 2025'!$J$5:$J$2427,L$1)</f>
        <v>0</v>
      </c>
      <c r="M160" s="183">
        <f>SUMIFS('март 2025'!$G$5:$G$2427,'март 2025'!$D$5:$D$2427,$B160,'март 2025'!$J$5:$J$2427,M$1)</f>
        <v>0</v>
      </c>
      <c r="N160" s="183">
        <f>SUMIFS('март 2025'!$G$5:$G$2427,'март 2025'!$D$5:$D$2427,$B160,'март 2025'!$J$5:$J$2427,N$1)</f>
        <v>0</v>
      </c>
      <c r="O160" s="183">
        <f>SUMIFS('март 2025'!$G$5:$G$2427,'март 2025'!$D$5:$D$2427,$B160,'март 2025'!$J$5:$J$2427,O$1)</f>
        <v>0</v>
      </c>
      <c r="P160" s="183">
        <f>SUMIFS('март 2025'!$G$5:$G$2427,'март 2025'!$D$5:$D$2427,$B160,'март 2025'!$J$5:$J$2427,P$1)</f>
        <v>0</v>
      </c>
      <c r="Q160" s="183">
        <f>SUMIFS('март 2025'!$G$5:$G$2427,'март 2025'!$D$5:$D$2427,$B160,'март 2025'!$J$5:$J$2427,Q$1)</f>
        <v>0</v>
      </c>
      <c r="R160" s="183">
        <f>SUMIFS('март 2025'!$G$5:$G$2427,'март 2025'!$D$5:$D$2427,$B160,'март 2025'!$J$5:$J$2427,R$1)</f>
        <v>0</v>
      </c>
      <c r="S160" s="183">
        <f>SUMIFS('март 2025'!$G$5:$G$2427,'март 2025'!$D$5:$D$2427,$B160,'март 2025'!$J$5:$J$2427,S$1)</f>
        <v>0</v>
      </c>
      <c r="T160" s="183">
        <f>SUMIFS('март 2025'!$G$5:$G$2427,'март 2025'!$D$5:$D$2427,$B160,'март 2025'!$J$5:$J$2427,T$1)</f>
        <v>0</v>
      </c>
      <c r="U160" s="183">
        <f>SUMIFS('март 2025'!$G$5:$G$2427,'март 2025'!$D$5:$D$2427,$B160,'март 2025'!$J$5:$J$2427,U$1)</f>
        <v>0</v>
      </c>
      <c r="V160" s="183">
        <f>SUMIFS('март 2025'!$G$5:$G$2427,'март 2025'!$D$5:$D$2427,$B160,'март 2025'!$J$5:$J$2427,V$1)</f>
        <v>0</v>
      </c>
      <c r="W160" s="183">
        <f>SUMIFS('март 2025'!$G$5:$G$2427,'март 2025'!$D$5:$D$2427,$B160,'март 2025'!$J$5:$J$2427,W$1)</f>
        <v>0</v>
      </c>
      <c r="X160" s="183">
        <f>SUMIFS('март 2025'!$G$5:$G$2427,'март 2025'!$D$5:$D$2427,$B160,'март 2025'!$J$5:$J$2427,X$1)</f>
        <v>0</v>
      </c>
      <c r="Y160" s="183">
        <f>SUMIFS('март 2025'!$G$5:$G$2427,'март 2025'!$D$5:$D$2427,$B160,'март 2025'!$J$5:$J$2427,Y$1)</f>
        <v>0</v>
      </c>
      <c r="Z160" s="183">
        <f>SUMIFS('март 2025'!$G$5:$G$2427,'март 2025'!$D$5:$D$2427,$B160,'март 2025'!$J$5:$J$2427,Z$1)</f>
        <v>0</v>
      </c>
      <c r="AA160" s="183">
        <f>SUMIFS('март 2025'!$G$5:$G$2427,'март 2025'!$D$5:$D$2427,$B160,'март 2025'!$J$5:$J$2427,AA$1)</f>
        <v>0</v>
      </c>
      <c r="AB160" s="183">
        <f>SUMIFS('март 2025'!$G$5:$G$2427,'март 2025'!$D$5:$D$2427,$B160,'март 2025'!$J$5:$J$2427,AB$1)</f>
        <v>0</v>
      </c>
      <c r="AC160" s="183">
        <f>SUMIFS('март 2025'!$G$5:$G$2427,'март 2025'!$D$5:$D$2427,$B160,'март 2025'!$J$5:$J$2427,AC$1)</f>
        <v>0</v>
      </c>
      <c r="AD160" s="183">
        <f>SUMIFS('март 2025'!$G$5:$G$2427,'март 2025'!$D$5:$D$2427,$B160,'март 2025'!$J$5:$J$2427,AD$1)</f>
        <v>0</v>
      </c>
      <c r="AE160" s="183">
        <f>SUMIFS('март 2025'!$G$5:$G$2427,'март 2025'!$D$5:$D$2427,$B160,'март 2025'!$J$5:$J$2427,AE$1)</f>
        <v>0</v>
      </c>
      <c r="AF160" s="183">
        <f>SUMIFS('март 2025'!$G$5:$G$2427,'март 2025'!$D$5:$D$2427,$B160,'март 2025'!$J$5:$J$2427,AF$1)</f>
        <v>0</v>
      </c>
      <c r="AG160" s="183">
        <f>SUMIFS('март 2025'!$G$5:$G$2427,'март 2025'!$D$5:$D$2427,$B160,'март 2025'!$J$5:$J$2427,AG$1)</f>
        <v>0</v>
      </c>
      <c r="AH160" s="183">
        <f>SUMIFS('март 2025'!$G$5:$G$2427,'март 2025'!$D$5:$D$2427,$B160,'март 2025'!$J$5:$J$2427,AH$1)</f>
        <v>0</v>
      </c>
      <c r="AI160" s="20">
        <f t="shared" si="4"/>
        <v>0</v>
      </c>
    </row>
    <row r="161" spans="2:35" ht="15" customHeight="1" x14ac:dyDescent="0.25">
      <c r="B161" s="84" t="s">
        <v>810</v>
      </c>
      <c r="C161" s="83">
        <v>200</v>
      </c>
      <c r="D161" s="183">
        <f>SUMIFS('март 2025'!$G$5:$G$2427,'март 2025'!$D$5:$D$2427,$B161,'март 2025'!$J$5:$J$2427,D$1)</f>
        <v>0</v>
      </c>
      <c r="E161" s="183">
        <f>SUMIFS('март 2025'!$G$5:$G$2427,'март 2025'!$D$5:$D$2427,$B161,'март 2025'!$J$5:$J$2427,E$1)</f>
        <v>0</v>
      </c>
      <c r="F161" s="183">
        <f>SUMIFS('март 2025'!$G$5:$G$2427,'март 2025'!$D$5:$D$2427,$B161,'март 2025'!$J$5:$J$2427,F$1)</f>
        <v>0</v>
      </c>
      <c r="G161" s="183">
        <f>SUMIFS('март 2025'!$G$5:$G$2427,'март 2025'!$D$5:$D$2427,$B161,'март 2025'!$J$5:$J$2427,G$1)</f>
        <v>0</v>
      </c>
      <c r="H161" s="183">
        <f>SUMIFS('март 2025'!$G$5:$G$2427,'март 2025'!$D$5:$D$2427,$B161,'март 2025'!$J$5:$J$2427,H$1)</f>
        <v>0</v>
      </c>
      <c r="I161" s="183">
        <f>SUMIFS('март 2025'!$G$5:$G$2427,'март 2025'!$D$5:$D$2427,$B161,'март 2025'!$J$5:$J$2427,I$1)</f>
        <v>0</v>
      </c>
      <c r="J161" s="183">
        <f>SUMIFS('март 2025'!$G$5:$G$2427,'март 2025'!$D$5:$D$2427,$B161,'март 2025'!$J$5:$J$2427,J$1)</f>
        <v>0</v>
      </c>
      <c r="K161" s="183">
        <f>SUMIFS('март 2025'!$G$5:$G$2427,'март 2025'!$D$5:$D$2427,$B161,'март 2025'!$J$5:$J$2427,K$1)</f>
        <v>0</v>
      </c>
      <c r="L161" s="183">
        <f>SUMIFS('март 2025'!$G$5:$G$2427,'март 2025'!$D$5:$D$2427,$B161,'март 2025'!$J$5:$J$2427,L$1)</f>
        <v>0</v>
      </c>
      <c r="M161" s="183">
        <f>SUMIFS('март 2025'!$G$5:$G$2427,'март 2025'!$D$5:$D$2427,$B161,'март 2025'!$J$5:$J$2427,M$1)</f>
        <v>0</v>
      </c>
      <c r="N161" s="183">
        <f>SUMIFS('март 2025'!$G$5:$G$2427,'март 2025'!$D$5:$D$2427,$B161,'март 2025'!$J$5:$J$2427,N$1)</f>
        <v>0</v>
      </c>
      <c r="O161" s="183">
        <f>SUMIFS('март 2025'!$G$5:$G$2427,'март 2025'!$D$5:$D$2427,$B161,'март 2025'!$J$5:$J$2427,O$1)</f>
        <v>0</v>
      </c>
      <c r="P161" s="183">
        <f>SUMIFS('март 2025'!$G$5:$G$2427,'март 2025'!$D$5:$D$2427,$B161,'март 2025'!$J$5:$J$2427,P$1)</f>
        <v>0</v>
      </c>
      <c r="Q161" s="183">
        <f>SUMIFS('март 2025'!$G$5:$G$2427,'март 2025'!$D$5:$D$2427,$B161,'март 2025'!$J$5:$J$2427,Q$1)</f>
        <v>0</v>
      </c>
      <c r="R161" s="183">
        <f>SUMIFS('март 2025'!$G$5:$G$2427,'март 2025'!$D$5:$D$2427,$B161,'март 2025'!$J$5:$J$2427,R$1)</f>
        <v>0</v>
      </c>
      <c r="S161" s="183">
        <f>SUMIFS('март 2025'!$G$5:$G$2427,'март 2025'!$D$5:$D$2427,$B161,'март 2025'!$J$5:$J$2427,S$1)</f>
        <v>0</v>
      </c>
      <c r="T161" s="183">
        <f>SUMIFS('март 2025'!$G$5:$G$2427,'март 2025'!$D$5:$D$2427,$B161,'март 2025'!$J$5:$J$2427,T$1)</f>
        <v>0</v>
      </c>
      <c r="U161" s="183">
        <f>SUMIFS('март 2025'!$G$5:$G$2427,'март 2025'!$D$5:$D$2427,$B161,'март 2025'!$J$5:$J$2427,U$1)</f>
        <v>0</v>
      </c>
      <c r="V161" s="183">
        <f>SUMIFS('март 2025'!$G$5:$G$2427,'март 2025'!$D$5:$D$2427,$B161,'март 2025'!$J$5:$J$2427,V$1)</f>
        <v>0</v>
      </c>
      <c r="W161" s="183">
        <f>SUMIFS('март 2025'!$G$5:$G$2427,'март 2025'!$D$5:$D$2427,$B161,'март 2025'!$J$5:$J$2427,W$1)</f>
        <v>0</v>
      </c>
      <c r="X161" s="183">
        <f>SUMIFS('март 2025'!$G$5:$G$2427,'март 2025'!$D$5:$D$2427,$B161,'март 2025'!$J$5:$J$2427,X$1)</f>
        <v>0</v>
      </c>
      <c r="Y161" s="183">
        <f>SUMIFS('март 2025'!$G$5:$G$2427,'март 2025'!$D$5:$D$2427,$B161,'март 2025'!$J$5:$J$2427,Y$1)</f>
        <v>0</v>
      </c>
      <c r="Z161" s="183">
        <f>SUMIFS('март 2025'!$G$5:$G$2427,'март 2025'!$D$5:$D$2427,$B161,'март 2025'!$J$5:$J$2427,Z$1)</f>
        <v>0</v>
      </c>
      <c r="AA161" s="183">
        <f>SUMIFS('март 2025'!$G$5:$G$2427,'март 2025'!$D$5:$D$2427,$B161,'март 2025'!$J$5:$J$2427,AA$1)</f>
        <v>0</v>
      </c>
      <c r="AB161" s="183">
        <f>SUMIFS('март 2025'!$G$5:$G$2427,'март 2025'!$D$5:$D$2427,$B161,'март 2025'!$J$5:$J$2427,AB$1)</f>
        <v>0</v>
      </c>
      <c r="AC161" s="183">
        <f>SUMIFS('март 2025'!$G$5:$G$2427,'март 2025'!$D$5:$D$2427,$B161,'март 2025'!$J$5:$J$2427,AC$1)</f>
        <v>0</v>
      </c>
      <c r="AD161" s="183">
        <f>SUMIFS('март 2025'!$G$5:$G$2427,'март 2025'!$D$5:$D$2427,$B161,'март 2025'!$J$5:$J$2427,AD$1)</f>
        <v>0</v>
      </c>
      <c r="AE161" s="183">
        <f>SUMIFS('март 2025'!$G$5:$G$2427,'март 2025'!$D$5:$D$2427,$B161,'март 2025'!$J$5:$J$2427,AE$1)</f>
        <v>0</v>
      </c>
      <c r="AF161" s="183">
        <f>SUMIFS('март 2025'!$G$5:$G$2427,'март 2025'!$D$5:$D$2427,$B161,'март 2025'!$J$5:$J$2427,AF$1)</f>
        <v>0</v>
      </c>
      <c r="AG161" s="183">
        <f>SUMIFS('март 2025'!$G$5:$G$2427,'март 2025'!$D$5:$D$2427,$B161,'март 2025'!$J$5:$J$2427,AG$1)</f>
        <v>0</v>
      </c>
      <c r="AH161" s="183">
        <f>SUMIFS('март 2025'!$G$5:$G$2427,'март 2025'!$D$5:$D$2427,$B161,'март 2025'!$J$5:$J$2427,AH$1)</f>
        <v>0</v>
      </c>
      <c r="AI161" s="20">
        <f t="shared" si="4"/>
        <v>0</v>
      </c>
    </row>
    <row r="162" spans="2:35" ht="15" customHeight="1" x14ac:dyDescent="0.25">
      <c r="B162" s="84" t="s">
        <v>995</v>
      </c>
      <c r="C162" s="83">
        <v>200</v>
      </c>
      <c r="D162" s="183">
        <f>SUMIFS('март 2025'!$G$5:$G$2427,'март 2025'!$D$5:$D$2427,$B162,'март 2025'!$J$5:$J$2427,D$1)</f>
        <v>0</v>
      </c>
      <c r="E162" s="183">
        <f>SUMIFS('март 2025'!$G$5:$G$2427,'март 2025'!$D$5:$D$2427,$B162,'март 2025'!$J$5:$J$2427,E$1)</f>
        <v>0</v>
      </c>
      <c r="F162" s="183">
        <f>SUMIFS('март 2025'!$G$5:$G$2427,'март 2025'!$D$5:$D$2427,$B162,'март 2025'!$J$5:$J$2427,F$1)</f>
        <v>0</v>
      </c>
      <c r="G162" s="183">
        <f>SUMIFS('март 2025'!$G$5:$G$2427,'март 2025'!$D$5:$D$2427,$B162,'март 2025'!$J$5:$J$2427,G$1)</f>
        <v>0</v>
      </c>
      <c r="H162" s="183">
        <f>SUMIFS('март 2025'!$G$5:$G$2427,'март 2025'!$D$5:$D$2427,$B162,'март 2025'!$J$5:$J$2427,H$1)</f>
        <v>0</v>
      </c>
      <c r="I162" s="183">
        <f>SUMIFS('март 2025'!$G$5:$G$2427,'март 2025'!$D$5:$D$2427,$B162,'март 2025'!$J$5:$J$2427,I$1)</f>
        <v>0</v>
      </c>
      <c r="J162" s="183">
        <f>SUMIFS('март 2025'!$G$5:$G$2427,'март 2025'!$D$5:$D$2427,$B162,'март 2025'!$J$5:$J$2427,J$1)</f>
        <v>0</v>
      </c>
      <c r="K162" s="183">
        <f>SUMIFS('март 2025'!$G$5:$G$2427,'март 2025'!$D$5:$D$2427,$B162,'март 2025'!$J$5:$J$2427,K$1)</f>
        <v>0</v>
      </c>
      <c r="L162" s="183">
        <f>SUMIFS('март 2025'!$G$5:$G$2427,'март 2025'!$D$5:$D$2427,$B162,'март 2025'!$J$5:$J$2427,L$1)</f>
        <v>0</v>
      </c>
      <c r="M162" s="183">
        <f>SUMIFS('март 2025'!$G$5:$G$2427,'март 2025'!$D$5:$D$2427,$B162,'март 2025'!$J$5:$J$2427,M$1)</f>
        <v>0</v>
      </c>
      <c r="N162" s="183">
        <f>SUMIFS('март 2025'!$G$5:$G$2427,'март 2025'!$D$5:$D$2427,$B162,'март 2025'!$J$5:$J$2427,N$1)</f>
        <v>0</v>
      </c>
      <c r="O162" s="183">
        <f>SUMIFS('март 2025'!$G$5:$G$2427,'март 2025'!$D$5:$D$2427,$B162,'март 2025'!$J$5:$J$2427,O$1)</f>
        <v>0</v>
      </c>
      <c r="P162" s="183">
        <f>SUMIFS('март 2025'!$G$5:$G$2427,'март 2025'!$D$5:$D$2427,$B162,'март 2025'!$J$5:$J$2427,P$1)</f>
        <v>0</v>
      </c>
      <c r="Q162" s="183">
        <f>SUMIFS('март 2025'!$G$5:$G$2427,'март 2025'!$D$5:$D$2427,$B162,'март 2025'!$J$5:$J$2427,Q$1)</f>
        <v>0</v>
      </c>
      <c r="R162" s="183">
        <f>SUMIFS('март 2025'!$G$5:$G$2427,'март 2025'!$D$5:$D$2427,$B162,'март 2025'!$J$5:$J$2427,R$1)</f>
        <v>0</v>
      </c>
      <c r="S162" s="183">
        <f>SUMIFS('март 2025'!$G$5:$G$2427,'март 2025'!$D$5:$D$2427,$B162,'март 2025'!$J$5:$J$2427,S$1)</f>
        <v>0</v>
      </c>
      <c r="T162" s="183">
        <f>SUMIFS('март 2025'!$G$5:$G$2427,'март 2025'!$D$5:$D$2427,$B162,'март 2025'!$J$5:$J$2427,T$1)</f>
        <v>0</v>
      </c>
      <c r="U162" s="183">
        <f>SUMIFS('март 2025'!$G$5:$G$2427,'март 2025'!$D$5:$D$2427,$B162,'март 2025'!$J$5:$J$2427,U$1)</f>
        <v>0</v>
      </c>
      <c r="V162" s="183">
        <f>SUMIFS('март 2025'!$G$5:$G$2427,'март 2025'!$D$5:$D$2427,$B162,'март 2025'!$J$5:$J$2427,V$1)</f>
        <v>0</v>
      </c>
      <c r="W162" s="183">
        <f>SUMIFS('март 2025'!$G$5:$G$2427,'март 2025'!$D$5:$D$2427,$B162,'март 2025'!$J$5:$J$2427,W$1)</f>
        <v>0</v>
      </c>
      <c r="X162" s="183">
        <f>SUMIFS('март 2025'!$G$5:$G$2427,'март 2025'!$D$5:$D$2427,$B162,'март 2025'!$J$5:$J$2427,X$1)</f>
        <v>5</v>
      </c>
      <c r="Y162" s="183">
        <f>SUMIFS('март 2025'!$G$5:$G$2427,'март 2025'!$D$5:$D$2427,$B162,'март 2025'!$J$5:$J$2427,Y$1)</f>
        <v>0</v>
      </c>
      <c r="Z162" s="183">
        <f>SUMIFS('март 2025'!$G$5:$G$2427,'март 2025'!$D$5:$D$2427,$B162,'март 2025'!$J$5:$J$2427,Z$1)</f>
        <v>0</v>
      </c>
      <c r="AA162" s="183">
        <f>SUMIFS('март 2025'!$G$5:$G$2427,'март 2025'!$D$5:$D$2427,$B162,'март 2025'!$J$5:$J$2427,AA$1)</f>
        <v>0</v>
      </c>
      <c r="AB162" s="183">
        <f>SUMIFS('март 2025'!$G$5:$G$2427,'март 2025'!$D$5:$D$2427,$B162,'март 2025'!$J$5:$J$2427,AB$1)</f>
        <v>0</v>
      </c>
      <c r="AC162" s="183">
        <f>SUMIFS('март 2025'!$G$5:$G$2427,'март 2025'!$D$5:$D$2427,$B162,'март 2025'!$J$5:$J$2427,AC$1)</f>
        <v>0</v>
      </c>
      <c r="AD162" s="183">
        <f>SUMIFS('март 2025'!$G$5:$G$2427,'март 2025'!$D$5:$D$2427,$B162,'март 2025'!$J$5:$J$2427,AD$1)</f>
        <v>30</v>
      </c>
      <c r="AE162" s="183">
        <f>SUMIFS('март 2025'!$G$5:$G$2427,'март 2025'!$D$5:$D$2427,$B162,'март 2025'!$J$5:$J$2427,AE$1)</f>
        <v>0</v>
      </c>
      <c r="AF162" s="183">
        <f>SUMIFS('март 2025'!$G$5:$G$2427,'март 2025'!$D$5:$D$2427,$B162,'март 2025'!$J$5:$J$2427,AF$1)</f>
        <v>0</v>
      </c>
      <c r="AG162" s="183">
        <f>SUMIFS('март 2025'!$G$5:$G$2427,'март 2025'!$D$5:$D$2427,$B162,'март 2025'!$J$5:$J$2427,AG$1)</f>
        <v>0</v>
      </c>
      <c r="AH162" s="183">
        <f>SUMIFS('март 2025'!$G$5:$G$2427,'март 2025'!$D$5:$D$2427,$B162,'март 2025'!$J$5:$J$2427,AH$1)</f>
        <v>0</v>
      </c>
      <c r="AI162" s="20">
        <f t="shared" ref="AI162" si="5">SUM(D162:AH162)</f>
        <v>35</v>
      </c>
    </row>
    <row r="163" spans="2:35" ht="15" customHeight="1" x14ac:dyDescent="0.25">
      <c r="B163" s="84"/>
      <c r="C163" s="83"/>
      <c r="D163" s="183"/>
      <c r="E163" s="183"/>
      <c r="F163" s="183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  <c r="AA163" s="183"/>
      <c r="AB163" s="183"/>
      <c r="AC163" s="183"/>
      <c r="AD163" s="183"/>
      <c r="AE163" s="183"/>
      <c r="AF163" s="183"/>
      <c r="AG163" s="183"/>
      <c r="AH163" s="183"/>
      <c r="AI163" s="20"/>
    </row>
    <row r="164" spans="2:35" ht="15" customHeight="1" x14ac:dyDescent="0.25">
      <c r="B164" s="84"/>
      <c r="C164" s="83"/>
      <c r="D164" s="183"/>
      <c r="E164" s="183"/>
      <c r="F164" s="183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  <c r="AA164" s="183"/>
      <c r="AB164" s="183"/>
      <c r="AC164" s="183"/>
      <c r="AD164" s="183"/>
      <c r="AE164" s="183"/>
      <c r="AF164" s="183"/>
      <c r="AG164" s="183"/>
      <c r="AH164" s="183"/>
      <c r="AI164" s="20"/>
    </row>
    <row r="165" spans="2:35" ht="15" customHeight="1" x14ac:dyDescent="0.25">
      <c r="B165" s="84"/>
      <c r="C165" s="83"/>
      <c r="D165" s="183"/>
      <c r="E165" s="183"/>
      <c r="F165" s="183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  <c r="AA165" s="183"/>
      <c r="AB165" s="183"/>
      <c r="AC165" s="183"/>
      <c r="AD165" s="183"/>
      <c r="AE165" s="183"/>
      <c r="AF165" s="183"/>
      <c r="AG165" s="183"/>
      <c r="AH165" s="183"/>
      <c r="AI165" s="20"/>
    </row>
    <row r="166" spans="2:35" ht="15" customHeight="1" x14ac:dyDescent="0.25">
      <c r="B166" s="84"/>
      <c r="C166" s="83"/>
      <c r="D166" s="183"/>
      <c r="E166" s="183"/>
      <c r="F166" s="183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  <c r="AA166" s="183"/>
      <c r="AB166" s="183"/>
      <c r="AC166" s="183"/>
      <c r="AD166" s="183"/>
      <c r="AE166" s="183"/>
      <c r="AF166" s="183"/>
      <c r="AG166" s="183"/>
      <c r="AH166" s="183"/>
      <c r="AI166" s="20"/>
    </row>
    <row r="167" spans="2:35" ht="15" customHeight="1" x14ac:dyDescent="0.25">
      <c r="B167" s="84"/>
      <c r="C167" s="83"/>
      <c r="D167" s="183"/>
      <c r="E167" s="183"/>
      <c r="F167" s="183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  <c r="AA167" s="183"/>
      <c r="AB167" s="183"/>
      <c r="AC167" s="183"/>
      <c r="AD167" s="183"/>
      <c r="AE167" s="183"/>
      <c r="AF167" s="183"/>
      <c r="AG167" s="183"/>
      <c r="AH167" s="183"/>
      <c r="AI167" s="20"/>
    </row>
    <row r="168" spans="2:35" ht="15" customHeight="1" x14ac:dyDescent="0.25">
      <c r="B168" s="84"/>
      <c r="C168" s="83"/>
      <c r="D168" s="183"/>
      <c r="E168" s="183"/>
      <c r="F168" s="183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  <c r="AA168" s="183"/>
      <c r="AB168" s="183"/>
      <c r="AC168" s="183"/>
      <c r="AD168" s="183"/>
      <c r="AE168" s="183"/>
      <c r="AF168" s="183"/>
      <c r="AG168" s="183"/>
      <c r="AH168" s="183"/>
      <c r="AI168" s="20"/>
    </row>
    <row r="169" spans="2:35" ht="15" customHeight="1" x14ac:dyDescent="0.25">
      <c r="B169" s="84"/>
      <c r="C169" s="83"/>
      <c r="D169" s="183"/>
      <c r="E169" s="183"/>
      <c r="F169" s="183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  <c r="AA169" s="183"/>
      <c r="AB169" s="183"/>
      <c r="AC169" s="183"/>
      <c r="AD169" s="183"/>
      <c r="AE169" s="183"/>
      <c r="AF169" s="183"/>
      <c r="AG169" s="183"/>
      <c r="AH169" s="183"/>
      <c r="AI169" s="20"/>
    </row>
    <row r="170" spans="2:35" ht="15" customHeight="1" x14ac:dyDescent="0.25">
      <c r="B170" s="84"/>
      <c r="C170" s="83"/>
      <c r="D170" s="183"/>
      <c r="E170" s="183"/>
      <c r="F170" s="183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  <c r="AA170" s="183"/>
      <c r="AB170" s="183"/>
      <c r="AC170" s="183"/>
      <c r="AD170" s="183"/>
      <c r="AE170" s="183"/>
      <c r="AF170" s="183"/>
      <c r="AG170" s="183"/>
      <c r="AH170" s="183"/>
      <c r="AI170" s="20"/>
    </row>
    <row r="171" spans="2:35" ht="15" customHeight="1" x14ac:dyDescent="0.25">
      <c r="B171" s="84"/>
      <c r="C171" s="83"/>
      <c r="D171" s="183"/>
      <c r="E171" s="183"/>
      <c r="F171" s="183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  <c r="AA171" s="183"/>
      <c r="AB171" s="183"/>
      <c r="AC171" s="183"/>
      <c r="AD171" s="183"/>
      <c r="AE171" s="183"/>
      <c r="AF171" s="183"/>
      <c r="AG171" s="183"/>
      <c r="AH171" s="183"/>
      <c r="AI171" s="20"/>
    </row>
    <row r="172" spans="2:35" ht="15" customHeight="1" x14ac:dyDescent="0.25">
      <c r="B172" s="84"/>
      <c r="C172" s="83"/>
      <c r="D172" s="183"/>
      <c r="E172" s="183"/>
      <c r="F172" s="183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  <c r="AA172" s="183"/>
      <c r="AB172" s="183"/>
      <c r="AC172" s="183"/>
      <c r="AD172" s="183"/>
      <c r="AE172" s="183"/>
      <c r="AF172" s="183"/>
      <c r="AG172" s="183"/>
      <c r="AH172" s="183"/>
      <c r="AI172" s="20"/>
    </row>
    <row r="173" spans="2:35" ht="15" customHeight="1" x14ac:dyDescent="0.25">
      <c r="B173" s="84"/>
      <c r="C173" s="83"/>
      <c r="D173" s="183"/>
      <c r="E173" s="183"/>
      <c r="F173" s="183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  <c r="AA173" s="183"/>
      <c r="AB173" s="183"/>
      <c r="AC173" s="183"/>
      <c r="AD173" s="183"/>
      <c r="AE173" s="183"/>
      <c r="AF173" s="183"/>
      <c r="AG173" s="183"/>
      <c r="AH173" s="183"/>
      <c r="AI173" s="20"/>
    </row>
    <row r="174" spans="2:35" ht="15" customHeight="1" x14ac:dyDescent="0.25">
      <c r="B174" s="84"/>
      <c r="C174" s="83"/>
      <c r="D174" s="183"/>
      <c r="E174" s="183"/>
      <c r="F174" s="183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  <c r="AA174" s="183"/>
      <c r="AB174" s="183"/>
      <c r="AC174" s="183"/>
      <c r="AD174" s="183"/>
      <c r="AE174" s="183"/>
      <c r="AF174" s="183"/>
      <c r="AG174" s="183"/>
      <c r="AH174" s="183"/>
      <c r="AI174" s="20"/>
    </row>
    <row r="175" spans="2:35" ht="15" customHeight="1" x14ac:dyDescent="0.25">
      <c r="B175" s="84"/>
      <c r="C175" s="83"/>
      <c r="D175" s="183"/>
      <c r="E175" s="183"/>
      <c r="F175" s="183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  <c r="AA175" s="183"/>
      <c r="AB175" s="183"/>
      <c r="AC175" s="183"/>
      <c r="AD175" s="183"/>
      <c r="AE175" s="183"/>
      <c r="AF175" s="183"/>
      <c r="AG175" s="183"/>
      <c r="AH175" s="183"/>
      <c r="AI175" s="20"/>
    </row>
    <row r="176" spans="2:35" ht="15" customHeight="1" x14ac:dyDescent="0.25">
      <c r="B176" s="84"/>
      <c r="C176" s="83"/>
      <c r="D176" s="183"/>
      <c r="E176" s="183"/>
      <c r="F176" s="183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  <c r="AA176" s="183"/>
      <c r="AB176" s="183"/>
      <c r="AC176" s="183"/>
      <c r="AD176" s="183"/>
      <c r="AE176" s="183"/>
      <c r="AF176" s="183"/>
      <c r="AG176" s="183"/>
      <c r="AH176" s="183"/>
      <c r="AI176" s="20"/>
    </row>
    <row r="177" spans="2:35" ht="15" customHeight="1" x14ac:dyDescent="0.25">
      <c r="B177" s="84"/>
      <c r="C177" s="83"/>
      <c r="D177" s="183"/>
      <c r="E177" s="183"/>
      <c r="F177" s="183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  <c r="AA177" s="183"/>
      <c r="AB177" s="183"/>
      <c r="AC177" s="183"/>
      <c r="AD177" s="183"/>
      <c r="AE177" s="183"/>
      <c r="AF177" s="183"/>
      <c r="AG177" s="183"/>
      <c r="AH177" s="183"/>
      <c r="AI177" s="20"/>
    </row>
    <row r="178" spans="2:35" ht="15" customHeight="1" x14ac:dyDescent="0.25">
      <c r="B178" s="84"/>
      <c r="C178" s="83"/>
      <c r="D178" s="183"/>
      <c r="E178" s="183"/>
      <c r="F178" s="183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  <c r="AA178" s="183"/>
      <c r="AB178" s="183"/>
      <c r="AC178" s="183"/>
      <c r="AD178" s="183"/>
      <c r="AE178" s="183"/>
      <c r="AF178" s="183"/>
      <c r="AG178" s="183"/>
      <c r="AH178" s="183"/>
      <c r="AI178" s="20"/>
    </row>
    <row r="179" spans="2:35" ht="15" customHeight="1" x14ac:dyDescent="0.25">
      <c r="B179" s="84"/>
      <c r="C179" s="83"/>
      <c r="D179" s="183"/>
      <c r="E179" s="183"/>
      <c r="F179" s="183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  <c r="AA179" s="183"/>
      <c r="AB179" s="183"/>
      <c r="AC179" s="183"/>
      <c r="AD179" s="183"/>
      <c r="AE179" s="183"/>
      <c r="AF179" s="183"/>
      <c r="AG179" s="183"/>
      <c r="AH179" s="183"/>
      <c r="AI179" s="20"/>
    </row>
    <row r="180" spans="2:35" ht="15" customHeight="1" x14ac:dyDescent="0.25">
      <c r="B180" s="84"/>
      <c r="C180" s="83"/>
      <c r="D180" s="183"/>
      <c r="E180" s="183"/>
      <c r="F180" s="183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  <c r="AA180" s="183"/>
      <c r="AB180" s="183"/>
      <c r="AC180" s="183"/>
      <c r="AD180" s="183"/>
      <c r="AE180" s="183"/>
      <c r="AF180" s="183"/>
      <c r="AG180" s="183"/>
      <c r="AH180" s="183"/>
      <c r="AI180" s="20"/>
    </row>
    <row r="181" spans="2:35" ht="15" customHeight="1" x14ac:dyDescent="0.25">
      <c r="B181" s="84"/>
      <c r="C181" s="83"/>
      <c r="D181" s="183"/>
      <c r="E181" s="183"/>
      <c r="F181" s="183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  <c r="AA181" s="183"/>
      <c r="AB181" s="183"/>
      <c r="AC181" s="183"/>
      <c r="AD181" s="183"/>
      <c r="AE181" s="183"/>
      <c r="AF181" s="183"/>
      <c r="AG181" s="183"/>
      <c r="AH181" s="183"/>
      <c r="AI181" s="20"/>
    </row>
    <row r="182" spans="2:35" ht="15" customHeight="1" x14ac:dyDescent="0.25">
      <c r="B182" s="84"/>
      <c r="C182" s="83"/>
      <c r="D182" s="183"/>
      <c r="E182" s="183"/>
      <c r="F182" s="183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  <c r="AA182" s="183"/>
      <c r="AB182" s="183"/>
      <c r="AC182" s="183"/>
      <c r="AD182" s="183"/>
      <c r="AE182" s="183"/>
      <c r="AF182" s="183"/>
      <c r="AG182" s="183"/>
      <c r="AH182" s="183"/>
      <c r="AI182" s="20"/>
    </row>
    <row r="183" spans="2:35" ht="15" customHeight="1" x14ac:dyDescent="0.25">
      <c r="B183" s="84"/>
      <c r="C183" s="83"/>
      <c r="D183" s="183"/>
      <c r="E183" s="183"/>
      <c r="F183" s="183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  <c r="AA183" s="183"/>
      <c r="AB183" s="183"/>
      <c r="AC183" s="183"/>
      <c r="AD183" s="183"/>
      <c r="AE183" s="183"/>
      <c r="AF183" s="183"/>
      <c r="AG183" s="183"/>
      <c r="AH183" s="183"/>
      <c r="AI183" s="20"/>
    </row>
    <row r="184" spans="2:35" ht="15" customHeight="1" x14ac:dyDescent="0.25">
      <c r="B184" s="84"/>
      <c r="C184" s="83"/>
      <c r="D184" s="183"/>
      <c r="E184" s="183"/>
      <c r="F184" s="183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  <c r="AA184" s="183"/>
      <c r="AB184" s="183"/>
      <c r="AC184" s="183"/>
      <c r="AD184" s="183"/>
      <c r="AE184" s="183"/>
      <c r="AF184" s="183"/>
      <c r="AG184" s="183"/>
      <c r="AH184" s="183"/>
      <c r="AI184" s="20"/>
    </row>
    <row r="185" spans="2:35" ht="15" customHeight="1" x14ac:dyDescent="0.25">
      <c r="B185" s="84"/>
      <c r="C185" s="83"/>
      <c r="D185" s="183"/>
      <c r="E185" s="183"/>
      <c r="F185" s="183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  <c r="AA185" s="183"/>
      <c r="AB185" s="183"/>
      <c r="AC185" s="183"/>
      <c r="AD185" s="183"/>
      <c r="AE185" s="183"/>
      <c r="AF185" s="183"/>
      <c r="AG185" s="183"/>
      <c r="AH185" s="183"/>
      <c r="AI185" s="20"/>
    </row>
    <row r="186" spans="2:35" ht="15" customHeight="1" x14ac:dyDescent="0.25">
      <c r="B186" s="84"/>
      <c r="C186" s="83"/>
      <c r="D186" s="183"/>
      <c r="E186" s="183"/>
      <c r="F186" s="183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  <c r="AA186" s="183"/>
      <c r="AB186" s="183"/>
      <c r="AC186" s="183"/>
      <c r="AD186" s="183"/>
      <c r="AE186" s="183"/>
      <c r="AF186" s="183"/>
      <c r="AG186" s="183"/>
      <c r="AH186" s="183"/>
      <c r="AI186" s="20"/>
    </row>
    <row r="187" spans="2:35" ht="15" customHeight="1" x14ac:dyDescent="0.25">
      <c r="B187" s="84"/>
      <c r="C187" s="83"/>
      <c r="D187" s="183"/>
      <c r="E187" s="183"/>
      <c r="F187" s="183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  <c r="AA187" s="183"/>
      <c r="AB187" s="183"/>
      <c r="AC187" s="183"/>
      <c r="AD187" s="183"/>
      <c r="AE187" s="183"/>
      <c r="AF187" s="183"/>
      <c r="AG187" s="183"/>
      <c r="AH187" s="183"/>
      <c r="AI187" s="20"/>
    </row>
    <row r="188" spans="2:35" ht="15" customHeight="1" x14ac:dyDescent="0.25">
      <c r="B188" s="84"/>
      <c r="C188" s="83"/>
      <c r="D188" s="183"/>
      <c r="E188" s="183"/>
      <c r="F188" s="183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  <c r="AA188" s="183"/>
      <c r="AB188" s="183"/>
      <c r="AC188" s="183"/>
      <c r="AD188" s="183"/>
      <c r="AE188" s="183"/>
      <c r="AF188" s="183"/>
      <c r="AG188" s="183"/>
      <c r="AH188" s="183"/>
      <c r="AI188" s="20"/>
    </row>
    <row r="189" spans="2:35" ht="15" customHeight="1" x14ac:dyDescent="0.25">
      <c r="B189" s="84"/>
      <c r="C189" s="83"/>
      <c r="D189" s="183"/>
      <c r="E189" s="183"/>
      <c r="F189" s="183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  <c r="AA189" s="183"/>
      <c r="AB189" s="183"/>
      <c r="AC189" s="183"/>
      <c r="AD189" s="183"/>
      <c r="AE189" s="183"/>
      <c r="AF189" s="183"/>
      <c r="AG189" s="183"/>
      <c r="AH189" s="183"/>
      <c r="AI189" s="20"/>
    </row>
    <row r="190" spans="2:35" ht="15" customHeight="1" x14ac:dyDescent="0.25">
      <c r="B190" s="84"/>
      <c r="C190" s="83"/>
      <c r="D190" s="183"/>
      <c r="E190" s="183"/>
      <c r="F190" s="183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  <c r="AA190" s="183"/>
      <c r="AB190" s="183"/>
      <c r="AC190" s="183"/>
      <c r="AD190" s="183"/>
      <c r="AE190" s="183"/>
      <c r="AF190" s="183"/>
      <c r="AG190" s="183"/>
      <c r="AH190" s="183"/>
      <c r="AI190" s="20"/>
    </row>
    <row r="191" spans="2:35" ht="15" customHeight="1" x14ac:dyDescent="0.25">
      <c r="B191" s="84"/>
      <c r="C191" s="83"/>
      <c r="D191" s="183"/>
      <c r="E191" s="183"/>
      <c r="F191" s="183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  <c r="AA191" s="183"/>
      <c r="AB191" s="183"/>
      <c r="AC191" s="183"/>
      <c r="AD191" s="183"/>
      <c r="AE191" s="183"/>
      <c r="AF191" s="183"/>
      <c r="AG191" s="183"/>
      <c r="AH191" s="183"/>
      <c r="AI191" s="20"/>
    </row>
    <row r="192" spans="2:35" ht="15" customHeight="1" x14ac:dyDescent="0.25">
      <c r="B192" s="84"/>
      <c r="C192" s="83"/>
      <c r="D192" s="183"/>
      <c r="E192" s="183"/>
      <c r="F192" s="183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  <c r="AA192" s="183"/>
      <c r="AB192" s="183"/>
      <c r="AC192" s="183"/>
      <c r="AD192" s="183"/>
      <c r="AE192" s="183"/>
      <c r="AF192" s="183"/>
      <c r="AG192" s="183"/>
      <c r="AH192" s="183"/>
      <c r="AI192" s="20"/>
    </row>
    <row r="193" spans="2:35" ht="15" customHeight="1" x14ac:dyDescent="0.25">
      <c r="B193" s="84"/>
      <c r="C193" s="83"/>
      <c r="D193" s="183"/>
      <c r="E193" s="183"/>
      <c r="F193" s="183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  <c r="AA193" s="183"/>
      <c r="AB193" s="183"/>
      <c r="AC193" s="183"/>
      <c r="AD193" s="183"/>
      <c r="AE193" s="183"/>
      <c r="AF193" s="183"/>
      <c r="AG193" s="183"/>
      <c r="AH193" s="183"/>
      <c r="AI193" s="20"/>
    </row>
    <row r="194" spans="2:35" ht="15" customHeight="1" x14ac:dyDescent="0.25">
      <c r="B194" s="84"/>
      <c r="C194" s="83"/>
      <c r="D194" s="183"/>
      <c r="E194" s="183"/>
      <c r="F194" s="183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  <c r="AA194" s="183"/>
      <c r="AB194" s="183"/>
      <c r="AC194" s="183"/>
      <c r="AD194" s="183"/>
      <c r="AE194" s="183"/>
      <c r="AF194" s="183"/>
      <c r="AG194" s="183"/>
      <c r="AH194" s="183"/>
      <c r="AI194" s="20"/>
    </row>
    <row r="195" spans="2:35" ht="15" customHeight="1" x14ac:dyDescent="0.25">
      <c r="B195" s="84"/>
      <c r="C195" s="83"/>
      <c r="D195" s="183"/>
      <c r="E195" s="183"/>
      <c r="F195" s="183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  <c r="AA195" s="183"/>
      <c r="AB195" s="183"/>
      <c r="AC195" s="183"/>
      <c r="AD195" s="183"/>
      <c r="AE195" s="183"/>
      <c r="AF195" s="183"/>
      <c r="AG195" s="183"/>
      <c r="AH195" s="183"/>
      <c r="AI195" s="20"/>
    </row>
    <row r="196" spans="2:35" ht="15" customHeight="1" x14ac:dyDescent="0.25">
      <c r="B196" s="84"/>
      <c r="C196" s="83"/>
      <c r="D196" s="183"/>
      <c r="E196" s="183"/>
      <c r="F196" s="183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  <c r="AA196" s="183"/>
      <c r="AB196" s="183"/>
      <c r="AC196" s="183"/>
      <c r="AD196" s="183"/>
      <c r="AE196" s="183"/>
      <c r="AF196" s="183"/>
      <c r="AG196" s="183"/>
      <c r="AH196" s="183"/>
      <c r="AI196" s="20"/>
    </row>
    <row r="197" spans="2:35" ht="15" customHeight="1" x14ac:dyDescent="0.25">
      <c r="B197" s="84"/>
      <c r="C197" s="83"/>
      <c r="D197" s="183"/>
      <c r="E197" s="183"/>
      <c r="F197" s="183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  <c r="AA197" s="183"/>
      <c r="AB197" s="183"/>
      <c r="AC197" s="183"/>
      <c r="AD197" s="183"/>
      <c r="AE197" s="183"/>
      <c r="AF197" s="183"/>
      <c r="AG197" s="183"/>
      <c r="AH197" s="183"/>
      <c r="AI197" s="20"/>
    </row>
    <row r="198" spans="2:35" ht="15" customHeight="1" x14ac:dyDescent="0.25">
      <c r="B198" s="84"/>
      <c r="C198" s="83"/>
      <c r="D198" s="183"/>
      <c r="E198" s="183"/>
      <c r="F198" s="183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20"/>
    </row>
    <row r="199" spans="2:35" ht="15" customHeight="1" x14ac:dyDescent="0.25">
      <c r="B199" s="84"/>
      <c r="C199" s="83"/>
      <c r="D199" s="183"/>
      <c r="E199" s="183"/>
      <c r="F199" s="183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  <c r="AA199" s="183"/>
      <c r="AB199" s="183"/>
      <c r="AC199" s="183"/>
      <c r="AD199" s="183"/>
      <c r="AE199" s="183"/>
      <c r="AF199" s="183"/>
      <c r="AG199" s="183"/>
      <c r="AH199" s="183"/>
      <c r="AI199" s="20"/>
    </row>
    <row r="200" spans="2:35" ht="15" customHeight="1" x14ac:dyDescent="0.25">
      <c r="B200" s="84"/>
      <c r="C200" s="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  <c r="AA200" s="183"/>
      <c r="AB200" s="183"/>
      <c r="AC200" s="183"/>
      <c r="AD200" s="183"/>
      <c r="AE200" s="183"/>
      <c r="AF200" s="183"/>
      <c r="AG200" s="183"/>
      <c r="AH200" s="183"/>
      <c r="AI200" s="20"/>
    </row>
    <row r="201" spans="2:35" ht="15" customHeight="1" x14ac:dyDescent="0.25">
      <c r="B201" s="84"/>
      <c r="C201" s="83"/>
      <c r="D201" s="183"/>
      <c r="E201" s="183"/>
      <c r="F201" s="183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  <c r="AA201" s="183"/>
      <c r="AB201" s="183"/>
      <c r="AC201" s="183"/>
      <c r="AD201" s="183"/>
      <c r="AE201" s="183"/>
      <c r="AF201" s="183"/>
      <c r="AG201" s="183"/>
      <c r="AH201" s="183"/>
      <c r="AI201" s="20"/>
    </row>
    <row r="202" spans="2:35" ht="15" customHeight="1" x14ac:dyDescent="0.25">
      <c r="B202" s="84"/>
      <c r="C202" s="83"/>
      <c r="D202" s="183"/>
      <c r="E202" s="183"/>
      <c r="F202" s="183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  <c r="AA202" s="183"/>
      <c r="AB202" s="183"/>
      <c r="AC202" s="183"/>
      <c r="AD202" s="183"/>
      <c r="AE202" s="183"/>
      <c r="AF202" s="183"/>
      <c r="AG202" s="183"/>
      <c r="AH202" s="183"/>
      <c r="AI202" s="20"/>
    </row>
    <row r="203" spans="2:35" ht="15.75" x14ac:dyDescent="0.25">
      <c r="B203" s="84"/>
      <c r="C203" s="83"/>
      <c r="D203" s="183"/>
      <c r="E203" s="183"/>
      <c r="F203" s="183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  <c r="AA203" s="183"/>
      <c r="AB203" s="183"/>
      <c r="AC203" s="183"/>
      <c r="AD203" s="183"/>
      <c r="AE203" s="183"/>
      <c r="AF203" s="183"/>
      <c r="AG203" s="183"/>
      <c r="AH203" s="183"/>
      <c r="AI203" s="20"/>
    </row>
    <row r="204" spans="2:35" ht="15.75" x14ac:dyDescent="0.25">
      <c r="B204" s="84"/>
      <c r="C204" s="83"/>
      <c r="D204" s="183"/>
      <c r="E204" s="183"/>
      <c r="F204" s="183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  <c r="AA204" s="183"/>
      <c r="AB204" s="183"/>
      <c r="AC204" s="183"/>
      <c r="AD204" s="183"/>
      <c r="AE204" s="183"/>
      <c r="AF204" s="183"/>
      <c r="AG204" s="183"/>
      <c r="AH204" s="183"/>
      <c r="AI204" s="20"/>
    </row>
    <row r="205" spans="2:35" ht="15.75" x14ac:dyDescent="0.25">
      <c r="B205" s="84"/>
      <c r="C205" s="83"/>
      <c r="D205" s="183"/>
      <c r="E205" s="183"/>
      <c r="F205" s="183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  <c r="AA205" s="183"/>
      <c r="AB205" s="183"/>
      <c r="AC205" s="183"/>
      <c r="AD205" s="183"/>
      <c r="AE205" s="183"/>
      <c r="AF205" s="183"/>
      <c r="AG205" s="183"/>
      <c r="AH205" s="183"/>
      <c r="AI205" s="20"/>
    </row>
    <row r="206" spans="2:35" ht="15.75" x14ac:dyDescent="0.25">
      <c r="B206" s="84"/>
      <c r="C206" s="83"/>
      <c r="D206" s="183"/>
      <c r="E206" s="183"/>
      <c r="F206" s="183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  <c r="AA206" s="183"/>
      <c r="AB206" s="183"/>
      <c r="AC206" s="183"/>
      <c r="AD206" s="183"/>
      <c r="AE206" s="183"/>
      <c r="AF206" s="183"/>
      <c r="AG206" s="183"/>
      <c r="AH206" s="183"/>
      <c r="AI206" s="20"/>
    </row>
    <row r="207" spans="2:35" ht="15.75" x14ac:dyDescent="0.25">
      <c r="B207" s="84"/>
      <c r="C207" s="83"/>
      <c r="D207" s="183"/>
      <c r="E207" s="183"/>
      <c r="F207" s="183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  <c r="AA207" s="183"/>
      <c r="AB207" s="183"/>
      <c r="AC207" s="183"/>
      <c r="AD207" s="183"/>
      <c r="AE207" s="183"/>
      <c r="AF207" s="183"/>
      <c r="AG207" s="183"/>
      <c r="AH207" s="183"/>
      <c r="AI207" s="20"/>
    </row>
    <row r="208" spans="2:35" ht="15.75" x14ac:dyDescent="0.25">
      <c r="B208" s="84"/>
      <c r="C208" s="83"/>
      <c r="D208" s="183"/>
      <c r="E208" s="183"/>
      <c r="F208" s="183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  <c r="AA208" s="183"/>
      <c r="AB208" s="183"/>
      <c r="AC208" s="183"/>
      <c r="AD208" s="183"/>
      <c r="AE208" s="183"/>
      <c r="AF208" s="183"/>
      <c r="AG208" s="183"/>
      <c r="AH208" s="183"/>
      <c r="AI208" s="20"/>
    </row>
    <row r="209" spans="2:35" ht="15.75" x14ac:dyDescent="0.25">
      <c r="B209" s="84"/>
      <c r="C209" s="83"/>
      <c r="D209" s="183"/>
      <c r="E209" s="183"/>
      <c r="F209" s="183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  <c r="AA209" s="183"/>
      <c r="AB209" s="183"/>
      <c r="AC209" s="183"/>
      <c r="AD209" s="183"/>
      <c r="AE209" s="183"/>
      <c r="AF209" s="183"/>
      <c r="AG209" s="183"/>
      <c r="AH209" s="183"/>
      <c r="AI209" s="20"/>
    </row>
    <row r="210" spans="2:35" ht="15.75" x14ac:dyDescent="0.25">
      <c r="B210" s="84"/>
      <c r="C210" s="83"/>
      <c r="D210" s="183"/>
      <c r="E210" s="183"/>
      <c r="F210" s="183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  <c r="AA210" s="183"/>
      <c r="AB210" s="183"/>
      <c r="AC210" s="183"/>
      <c r="AD210" s="183"/>
      <c r="AE210" s="183"/>
      <c r="AF210" s="183"/>
      <c r="AG210" s="183"/>
      <c r="AH210" s="183"/>
      <c r="AI210" s="20"/>
    </row>
    <row r="211" spans="2:35" ht="15.75" x14ac:dyDescent="0.25">
      <c r="B211" s="84"/>
      <c r="C211" s="83"/>
      <c r="D211" s="183"/>
      <c r="E211" s="183"/>
      <c r="F211" s="183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  <c r="AA211" s="183"/>
      <c r="AB211" s="183"/>
      <c r="AC211" s="183"/>
      <c r="AD211" s="183"/>
      <c r="AE211" s="183"/>
      <c r="AF211" s="183"/>
      <c r="AG211" s="183"/>
      <c r="AH211" s="183"/>
      <c r="AI211" s="20"/>
    </row>
    <row r="212" spans="2:35" ht="15.75" x14ac:dyDescent="0.25">
      <c r="B212" s="84"/>
      <c r="C212" s="83"/>
      <c r="D212" s="183"/>
      <c r="E212" s="183"/>
      <c r="F212" s="183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  <c r="AA212" s="183"/>
      <c r="AB212" s="183"/>
      <c r="AC212" s="183"/>
      <c r="AD212" s="183"/>
      <c r="AE212" s="183"/>
      <c r="AF212" s="183"/>
      <c r="AG212" s="183"/>
      <c r="AH212" s="183"/>
      <c r="AI212" s="20"/>
    </row>
    <row r="213" spans="2:35" ht="15.75" x14ac:dyDescent="0.25">
      <c r="B213" s="84"/>
      <c r="C213" s="83"/>
      <c r="D213" s="183"/>
      <c r="E213" s="183"/>
      <c r="F213" s="183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  <c r="AA213" s="183"/>
      <c r="AB213" s="183"/>
      <c r="AC213" s="183"/>
      <c r="AD213" s="183"/>
      <c r="AE213" s="183"/>
      <c r="AF213" s="183"/>
      <c r="AG213" s="183"/>
      <c r="AH213" s="183"/>
      <c r="AI213" s="20"/>
    </row>
    <row r="214" spans="2:35" ht="15.75" x14ac:dyDescent="0.25">
      <c r="B214" s="84"/>
      <c r="C214" s="83"/>
      <c r="D214" s="183"/>
      <c r="E214" s="183"/>
      <c r="F214" s="183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  <c r="AA214" s="183"/>
      <c r="AB214" s="183"/>
      <c r="AC214" s="183"/>
      <c r="AD214" s="183"/>
      <c r="AE214" s="183"/>
      <c r="AF214" s="183"/>
      <c r="AG214" s="183"/>
      <c r="AH214" s="183"/>
      <c r="AI214" s="20"/>
    </row>
    <row r="215" spans="2:35" ht="15.75" x14ac:dyDescent="0.25">
      <c r="B215" s="84"/>
      <c r="C215" s="83"/>
      <c r="D215" s="183"/>
      <c r="E215" s="183"/>
      <c r="F215" s="183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  <c r="AA215" s="183"/>
      <c r="AB215" s="183"/>
      <c r="AC215" s="183"/>
      <c r="AD215" s="183"/>
      <c r="AE215" s="183"/>
      <c r="AF215" s="183"/>
      <c r="AG215" s="183"/>
      <c r="AH215" s="183"/>
      <c r="AI215" s="20"/>
    </row>
    <row r="216" spans="2:35" ht="15.75" x14ac:dyDescent="0.25">
      <c r="B216" s="84"/>
      <c r="C216" s="83"/>
      <c r="D216" s="183"/>
      <c r="E216" s="183"/>
      <c r="F216" s="183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  <c r="AA216" s="183"/>
      <c r="AB216" s="183"/>
      <c r="AC216" s="183"/>
      <c r="AD216" s="183"/>
      <c r="AE216" s="183"/>
      <c r="AF216" s="183"/>
      <c r="AG216" s="183"/>
      <c r="AH216" s="183"/>
      <c r="AI216" s="20"/>
    </row>
    <row r="217" spans="2:35" ht="15.75" x14ac:dyDescent="0.25">
      <c r="B217" s="84"/>
      <c r="C217" s="83"/>
      <c r="D217" s="183"/>
      <c r="E217" s="183"/>
      <c r="F217" s="183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  <c r="AA217" s="183"/>
      <c r="AB217" s="183"/>
      <c r="AC217" s="183"/>
      <c r="AD217" s="183"/>
      <c r="AE217" s="183"/>
      <c r="AF217" s="183"/>
      <c r="AG217" s="183"/>
      <c r="AH217" s="183"/>
      <c r="AI217" s="20"/>
    </row>
    <row r="218" spans="2:35" ht="15.75" x14ac:dyDescent="0.25">
      <c r="B218" s="84"/>
      <c r="C218" s="83"/>
      <c r="D218" s="183"/>
      <c r="E218" s="183"/>
      <c r="F218" s="183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  <c r="AA218" s="183"/>
      <c r="AB218" s="183"/>
      <c r="AC218" s="183"/>
      <c r="AD218" s="183"/>
      <c r="AE218" s="183"/>
      <c r="AF218" s="183"/>
      <c r="AG218" s="183"/>
      <c r="AH218" s="183"/>
      <c r="AI218" s="20"/>
    </row>
    <row r="219" spans="2:35" ht="15.75" x14ac:dyDescent="0.25">
      <c r="B219" s="84"/>
      <c r="C219" s="83"/>
      <c r="D219" s="183"/>
      <c r="E219" s="183"/>
      <c r="F219" s="183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  <c r="AA219" s="183"/>
      <c r="AB219" s="183"/>
      <c r="AC219" s="183"/>
      <c r="AD219" s="183"/>
      <c r="AE219" s="183"/>
      <c r="AF219" s="183"/>
      <c r="AG219" s="183"/>
      <c r="AH219" s="183"/>
      <c r="AI219" s="20"/>
    </row>
    <row r="220" spans="2:35" ht="15.75" x14ac:dyDescent="0.25">
      <c r="B220" s="84"/>
      <c r="C220" s="83"/>
      <c r="D220" s="183"/>
      <c r="E220" s="183"/>
      <c r="F220" s="183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  <c r="AA220" s="183"/>
      <c r="AB220" s="183"/>
      <c r="AC220" s="183"/>
      <c r="AD220" s="183"/>
      <c r="AE220" s="183"/>
      <c r="AF220" s="183"/>
      <c r="AG220" s="183"/>
      <c r="AH220" s="183"/>
      <c r="AI220" s="20"/>
    </row>
    <row r="221" spans="2:35" ht="15.75" x14ac:dyDescent="0.25">
      <c r="B221" s="84"/>
      <c r="C221" s="83"/>
      <c r="D221" s="183"/>
      <c r="E221" s="183"/>
      <c r="F221" s="183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  <c r="AA221" s="183"/>
      <c r="AB221" s="183"/>
      <c r="AC221" s="183"/>
      <c r="AD221" s="183"/>
      <c r="AE221" s="183"/>
      <c r="AF221" s="183"/>
      <c r="AG221" s="183"/>
      <c r="AH221" s="183"/>
      <c r="AI221" s="20"/>
    </row>
    <row r="222" spans="2:35" ht="15.75" x14ac:dyDescent="0.25">
      <c r="B222" s="84"/>
      <c r="C222" s="83"/>
      <c r="D222" s="183"/>
      <c r="E222" s="183"/>
      <c r="F222" s="183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  <c r="AA222" s="183"/>
      <c r="AB222" s="183"/>
      <c r="AC222" s="183"/>
      <c r="AD222" s="183"/>
      <c r="AE222" s="183"/>
      <c r="AF222" s="183"/>
      <c r="AG222" s="183"/>
      <c r="AH222" s="183"/>
      <c r="AI222" s="20"/>
    </row>
    <row r="223" spans="2:35" ht="15.75" x14ac:dyDescent="0.25">
      <c r="B223" s="84"/>
      <c r="C223" s="83"/>
      <c r="D223" s="183"/>
      <c r="E223" s="183"/>
      <c r="F223" s="183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  <c r="AA223" s="183"/>
      <c r="AB223" s="183"/>
      <c r="AC223" s="183"/>
      <c r="AD223" s="183"/>
      <c r="AE223" s="183"/>
      <c r="AF223" s="183"/>
      <c r="AG223" s="183"/>
      <c r="AH223" s="183"/>
      <c r="AI223" s="20"/>
    </row>
    <row r="224" spans="2:35" ht="15.75" x14ac:dyDescent="0.25">
      <c r="B224" s="84"/>
      <c r="C224" s="83"/>
      <c r="D224" s="183"/>
      <c r="E224" s="183"/>
      <c r="F224" s="183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  <c r="AA224" s="183"/>
      <c r="AB224" s="183"/>
      <c r="AC224" s="183"/>
      <c r="AD224" s="183"/>
      <c r="AE224" s="183"/>
      <c r="AF224" s="183"/>
      <c r="AG224" s="183"/>
      <c r="AH224" s="183"/>
      <c r="AI224" s="20"/>
    </row>
    <row r="225" spans="2:35" ht="15.75" x14ac:dyDescent="0.25">
      <c r="B225" s="84"/>
      <c r="C225" s="83"/>
      <c r="D225" s="183"/>
      <c r="E225" s="183"/>
      <c r="F225" s="183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  <c r="AA225" s="183"/>
      <c r="AB225" s="183"/>
      <c r="AC225" s="183"/>
      <c r="AD225" s="183"/>
      <c r="AE225" s="183"/>
      <c r="AF225" s="183"/>
      <c r="AG225" s="183"/>
      <c r="AH225" s="183"/>
      <c r="AI225" s="20"/>
    </row>
    <row r="226" spans="2:35" ht="15.75" x14ac:dyDescent="0.25">
      <c r="B226" s="84"/>
      <c r="C226" s="83"/>
      <c r="D226" s="183"/>
      <c r="E226" s="183"/>
      <c r="F226" s="183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  <c r="AA226" s="183"/>
      <c r="AB226" s="183"/>
      <c r="AC226" s="183"/>
      <c r="AD226" s="183"/>
      <c r="AE226" s="183"/>
      <c r="AF226" s="183"/>
      <c r="AG226" s="183"/>
      <c r="AH226" s="183"/>
      <c r="AI226" s="20"/>
    </row>
    <row r="227" spans="2:35" ht="15.75" x14ac:dyDescent="0.25">
      <c r="B227" s="84"/>
      <c r="C227" s="83"/>
      <c r="D227" s="183"/>
      <c r="E227" s="183"/>
      <c r="F227" s="183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  <c r="AA227" s="183"/>
      <c r="AB227" s="183"/>
      <c r="AC227" s="183"/>
      <c r="AD227" s="183"/>
      <c r="AE227" s="183"/>
      <c r="AF227" s="183"/>
      <c r="AG227" s="183"/>
      <c r="AH227" s="183"/>
      <c r="AI227" s="20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0000000}">
          <x14:formula1>
            <xm:f>справочник!$E$2:$E$172</xm:f>
          </x14:formula1>
          <xm:sqref>B3:B227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AI222"/>
  <sheetViews>
    <sheetView showZeros="0" topLeftCell="A103" zoomScale="70" zoomScaleNormal="70" workbookViewId="0">
      <selection activeCell="Z114" sqref="Z114"/>
    </sheetView>
  </sheetViews>
  <sheetFormatPr defaultRowHeight="15" x14ac:dyDescent="0.25"/>
  <cols>
    <col min="1" max="1" width="2.140625" customWidth="1"/>
    <col min="2" max="2" width="41.85546875" customWidth="1"/>
    <col min="4" max="34" width="6.7109375" customWidth="1"/>
  </cols>
  <sheetData>
    <row r="1" spans="2:35" ht="15" customHeight="1" thickBot="1" x14ac:dyDescent="0.3">
      <c r="B1" s="67">
        <v>45689</v>
      </c>
      <c r="C1" s="68"/>
      <c r="D1" s="69">
        <f>B1</f>
        <v>45689</v>
      </c>
      <c r="E1" s="69">
        <f>D1+1</f>
        <v>45690</v>
      </c>
      <c r="F1" s="69">
        <f t="shared" ref="F1:AH1" si="0">E1+1</f>
        <v>45691</v>
      </c>
      <c r="G1" s="69">
        <f t="shared" si="0"/>
        <v>45692</v>
      </c>
      <c r="H1" s="69">
        <f t="shared" si="0"/>
        <v>45693</v>
      </c>
      <c r="I1" s="69">
        <f t="shared" si="0"/>
        <v>45694</v>
      </c>
      <c r="J1" s="69">
        <f t="shared" si="0"/>
        <v>45695</v>
      </c>
      <c r="K1" s="69">
        <f t="shared" si="0"/>
        <v>45696</v>
      </c>
      <c r="L1" s="69">
        <f t="shared" si="0"/>
        <v>45697</v>
      </c>
      <c r="M1" s="69">
        <f t="shared" si="0"/>
        <v>45698</v>
      </c>
      <c r="N1" s="69">
        <f t="shared" si="0"/>
        <v>45699</v>
      </c>
      <c r="O1" s="69">
        <f t="shared" si="0"/>
        <v>45700</v>
      </c>
      <c r="P1" s="69">
        <f t="shared" si="0"/>
        <v>45701</v>
      </c>
      <c r="Q1" s="69">
        <f t="shared" si="0"/>
        <v>45702</v>
      </c>
      <c r="R1" s="69">
        <f t="shared" si="0"/>
        <v>45703</v>
      </c>
      <c r="S1" s="69">
        <f t="shared" si="0"/>
        <v>45704</v>
      </c>
      <c r="T1" s="69">
        <f t="shared" si="0"/>
        <v>45705</v>
      </c>
      <c r="U1" s="69">
        <f t="shared" si="0"/>
        <v>45706</v>
      </c>
      <c r="V1" s="69">
        <f t="shared" si="0"/>
        <v>45707</v>
      </c>
      <c r="W1" s="69">
        <f t="shared" si="0"/>
        <v>45708</v>
      </c>
      <c r="X1" s="69">
        <f t="shared" si="0"/>
        <v>45709</v>
      </c>
      <c r="Y1" s="69">
        <f t="shared" si="0"/>
        <v>45710</v>
      </c>
      <c r="Z1" s="69">
        <f t="shared" si="0"/>
        <v>45711</v>
      </c>
      <c r="AA1" s="69">
        <f t="shared" si="0"/>
        <v>45712</v>
      </c>
      <c r="AB1" s="69">
        <f t="shared" si="0"/>
        <v>45713</v>
      </c>
      <c r="AC1" s="69">
        <f t="shared" si="0"/>
        <v>45714</v>
      </c>
      <c r="AD1" s="69">
        <f t="shared" si="0"/>
        <v>45715</v>
      </c>
      <c r="AE1" s="69">
        <f t="shared" si="0"/>
        <v>45716</v>
      </c>
      <c r="AF1" s="69">
        <f t="shared" si="0"/>
        <v>45717</v>
      </c>
      <c r="AG1" s="69">
        <f t="shared" si="0"/>
        <v>45718</v>
      </c>
      <c r="AH1" s="69">
        <f t="shared" si="0"/>
        <v>45719</v>
      </c>
      <c r="AI1" s="70"/>
    </row>
    <row r="2" spans="2:35" ht="15" customHeight="1" thickBot="1" x14ac:dyDescent="0.3">
      <c r="B2" s="71"/>
      <c r="C2" s="68"/>
      <c r="D2" s="72">
        <v>1</v>
      </c>
      <c r="E2" s="73">
        <v>2</v>
      </c>
      <c r="F2" s="73">
        <v>3</v>
      </c>
      <c r="G2" s="73">
        <v>4</v>
      </c>
      <c r="H2" s="73">
        <v>5</v>
      </c>
      <c r="I2" s="73">
        <v>6</v>
      </c>
      <c r="J2" s="73">
        <v>7</v>
      </c>
      <c r="K2" s="73">
        <v>8</v>
      </c>
      <c r="L2" s="73">
        <v>9</v>
      </c>
      <c r="M2" s="73">
        <v>10</v>
      </c>
      <c r="N2" s="73">
        <v>11</v>
      </c>
      <c r="O2" s="73">
        <v>12</v>
      </c>
      <c r="P2" s="73">
        <v>13</v>
      </c>
      <c r="Q2" s="73">
        <v>14</v>
      </c>
      <c r="R2" s="73">
        <v>15</v>
      </c>
      <c r="S2" s="73">
        <v>16</v>
      </c>
      <c r="T2" s="73">
        <v>17</v>
      </c>
      <c r="U2" s="73">
        <v>18</v>
      </c>
      <c r="V2" s="73">
        <v>19</v>
      </c>
      <c r="W2" s="73">
        <v>20</v>
      </c>
      <c r="X2" s="73">
        <v>21</v>
      </c>
      <c r="Y2" s="73">
        <v>22</v>
      </c>
      <c r="Z2" s="73">
        <v>23</v>
      </c>
      <c r="AA2" s="73">
        <v>24</v>
      </c>
      <c r="AB2" s="73">
        <v>25</v>
      </c>
      <c r="AC2" s="73">
        <v>26</v>
      </c>
      <c r="AD2" s="73">
        <v>27</v>
      </c>
      <c r="AE2" s="73">
        <v>28</v>
      </c>
      <c r="AF2" s="73">
        <v>29</v>
      </c>
      <c r="AG2" s="73">
        <v>30</v>
      </c>
      <c r="AH2" s="73">
        <v>31</v>
      </c>
      <c r="AI2" s="70"/>
    </row>
    <row r="3" spans="2:35" ht="15" customHeight="1" x14ac:dyDescent="0.25">
      <c r="B3" s="74" t="s">
        <v>212</v>
      </c>
      <c r="C3" s="75">
        <v>25</v>
      </c>
      <c r="D3" s="76">
        <f>SUMIFS('февраль 2025'!$G$4:$G$2441,'февраль 2025'!$D$4:$D$2441,$B3,'февраль 2025'!$J$4:$J$2441,D$1)</f>
        <v>0</v>
      </c>
      <c r="E3" s="76">
        <f>SUMIFS('февраль 2025'!$G$4:$G$2441,'февраль 2025'!$D$4:$D$2441,$B3,'февраль 2025'!$J$4:$J$2441,E$1)</f>
        <v>0</v>
      </c>
      <c r="F3" s="76">
        <f>SUMIFS('февраль 2025'!$G$4:$G$2441,'февраль 2025'!$D$4:$D$2441,$B3,'февраль 2025'!$J$4:$J$2441,F$1)</f>
        <v>0</v>
      </c>
      <c r="G3" s="76">
        <f>SUMIFS('февраль 2025'!$G$4:$G$2441,'февраль 2025'!$D$4:$D$2441,$B3,'февраль 2025'!$J$4:$J$2441,G$1)</f>
        <v>0</v>
      </c>
      <c r="H3" s="76">
        <f>SUMIFS('февраль 2025'!$G$4:$G$2441,'февраль 2025'!$D$4:$D$2441,$B3,'февраль 2025'!$J$4:$J$2441,H$1)</f>
        <v>0</v>
      </c>
      <c r="I3" s="76">
        <f>SUMIFS('февраль 2025'!$G$4:$G$2441,'февраль 2025'!$D$4:$D$2441,$B3,'февраль 2025'!$J$4:$J$2441,I$1)</f>
        <v>0</v>
      </c>
      <c r="J3" s="76">
        <f>SUMIFS('февраль 2025'!$G$4:$G$2441,'февраль 2025'!$D$4:$D$2441,$B3,'февраль 2025'!$J$4:$J$2441,J$1)</f>
        <v>0</v>
      </c>
      <c r="K3" s="76">
        <f>SUMIFS('февраль 2025'!$G$4:$G$2441,'февраль 2025'!$D$4:$D$2441,$B3,'февраль 2025'!$J$4:$J$2441,K$1)</f>
        <v>0</v>
      </c>
      <c r="L3" s="76">
        <f>SUMIFS('февраль 2025'!$G$4:$G$2441,'февраль 2025'!$D$4:$D$2441,$B3,'февраль 2025'!$J$4:$J$2441,L$1)</f>
        <v>0</v>
      </c>
      <c r="M3" s="76">
        <f>SUMIFS('февраль 2025'!$G$4:$G$2441,'февраль 2025'!$D$4:$D$2441,$B3,'февраль 2025'!$J$4:$J$2441,M$1)</f>
        <v>0</v>
      </c>
      <c r="N3" s="76">
        <f>SUMIFS('февраль 2025'!$G$4:$G$2441,'февраль 2025'!$D$4:$D$2441,$B3,'февраль 2025'!$J$4:$J$2441,N$1)</f>
        <v>0</v>
      </c>
      <c r="O3" s="76">
        <f>SUMIFS('февраль 2025'!$G$4:$G$2441,'февраль 2025'!$D$4:$D$2441,$B3,'февраль 2025'!$J$4:$J$2441,O$1)</f>
        <v>0</v>
      </c>
      <c r="P3" s="76">
        <f>SUMIFS('февраль 2025'!$G$4:$G$2441,'февраль 2025'!$D$4:$D$2441,$B3,'февраль 2025'!$J$4:$J$2441,P$1)</f>
        <v>0</v>
      </c>
      <c r="Q3" s="76">
        <f>SUMIFS('февраль 2025'!$G$4:$G$2441,'февраль 2025'!$D$4:$D$2441,$B3,'февраль 2025'!$J$4:$J$2441,Q$1)</f>
        <v>0</v>
      </c>
      <c r="R3" s="76">
        <f>SUMIFS('февраль 2025'!$G$4:$G$2441,'февраль 2025'!$D$4:$D$2441,$B3,'февраль 2025'!$J$4:$J$2441,R$1)</f>
        <v>0</v>
      </c>
      <c r="S3" s="76">
        <f>SUMIFS('февраль 2025'!$G$4:$G$2441,'февраль 2025'!$D$4:$D$2441,$B3,'февраль 2025'!$J$4:$J$2441,S$1)</f>
        <v>0</v>
      </c>
      <c r="T3" s="76">
        <f>SUMIFS('февраль 2025'!$G$4:$G$2441,'февраль 2025'!$D$4:$D$2441,$B3,'февраль 2025'!$J$4:$J$2441,T$1)</f>
        <v>0</v>
      </c>
      <c r="U3" s="76">
        <f>SUMIFS('февраль 2025'!$G$4:$G$2441,'февраль 2025'!$D$4:$D$2441,$B3,'февраль 2025'!$J$4:$J$2441,U$1)</f>
        <v>0</v>
      </c>
      <c r="V3" s="76">
        <f>SUMIFS('февраль 2025'!$G$4:$G$2441,'февраль 2025'!$D$4:$D$2441,$B3,'февраль 2025'!$J$4:$J$2441,V$1)</f>
        <v>0</v>
      </c>
      <c r="W3" s="76">
        <f>SUMIFS('февраль 2025'!$G$4:$G$2441,'февраль 2025'!$D$4:$D$2441,$B3,'февраль 2025'!$J$4:$J$2441,W$1)</f>
        <v>0</v>
      </c>
      <c r="X3" s="76">
        <f>SUMIFS('февраль 2025'!$G$4:$G$2441,'февраль 2025'!$D$4:$D$2441,$B3,'февраль 2025'!$J$4:$J$2441,X$1)</f>
        <v>0</v>
      </c>
      <c r="Y3" s="76">
        <f>SUMIFS('февраль 2025'!$G$4:$G$2441,'февраль 2025'!$D$4:$D$2441,$B3,'февраль 2025'!$J$4:$J$2441,Y$1)</f>
        <v>0</v>
      </c>
      <c r="Z3" s="76">
        <f>SUMIFS('февраль 2025'!$G$4:$G$2441,'февраль 2025'!$D$4:$D$2441,$B3,'февраль 2025'!$J$4:$J$2441,Z$1)</f>
        <v>0</v>
      </c>
      <c r="AA3" s="76">
        <f>SUMIFS('февраль 2025'!$G$4:$G$2441,'февраль 2025'!$D$4:$D$2441,$B3,'февраль 2025'!$J$4:$J$2441,AA$1)</f>
        <v>0</v>
      </c>
      <c r="AB3" s="76">
        <f>SUMIFS('февраль 2025'!$G$4:$G$2441,'февраль 2025'!$D$4:$D$2441,$B3,'февраль 2025'!$J$4:$J$2441,AB$1)</f>
        <v>0</v>
      </c>
      <c r="AC3" s="76">
        <f>SUMIFS('февраль 2025'!$G$4:$G$2441,'февраль 2025'!$D$4:$D$2441,$B3,'февраль 2025'!$J$4:$J$2441,AC$1)</f>
        <v>0</v>
      </c>
      <c r="AD3" s="76">
        <f>SUMIFS('февраль 2025'!$G$4:$G$2441,'февраль 2025'!$D$4:$D$2441,$B3,'февраль 2025'!$J$4:$J$2441,AD$1)</f>
        <v>0</v>
      </c>
      <c r="AE3" s="76">
        <f>SUMIFS('февраль 2025'!$G$4:$G$2441,'февраль 2025'!$D$4:$D$2441,$B3,'февраль 2025'!$J$4:$J$2441,AE$1)</f>
        <v>0</v>
      </c>
      <c r="AF3" s="76">
        <f>SUMIFS('февраль 2025'!$G$4:$G$2441,'февраль 2025'!$D$4:$D$2441,$B3,'февраль 2025'!$J$4:$J$2441,AF$1)</f>
        <v>0</v>
      </c>
      <c r="AG3" s="76">
        <f>SUMIFS('февраль 2025'!$G$4:$G$2441,'февраль 2025'!$D$4:$D$2441,$B3,'февраль 2025'!$J$4:$J$2441,AG$1)</f>
        <v>0</v>
      </c>
      <c r="AH3" s="76">
        <f>SUMIFS('февраль 2025'!$G$4:$G$2441,'февраль 2025'!$D$4:$D$2441,$B3,'февраль 2025'!$J$4:$J$2441,AH$1)</f>
        <v>0</v>
      </c>
      <c r="AI3" s="48">
        <f t="shared" ref="AI3:AI153" si="1">SUM(D3:AH3)</f>
        <v>0</v>
      </c>
    </row>
    <row r="4" spans="2:35" ht="15" customHeight="1" x14ac:dyDescent="0.25">
      <c r="B4" s="77" t="s">
        <v>214</v>
      </c>
      <c r="C4" s="78">
        <v>25</v>
      </c>
      <c r="D4" s="76">
        <f>SUMIFS('февраль 2025'!$G$4:$G$2441,'февраль 2025'!$D$4:$D$2441,$B4,'февраль 2025'!$J$4:$J$2441,D$1)</f>
        <v>0</v>
      </c>
      <c r="E4" s="76">
        <f>SUMIFS('февраль 2025'!$G$4:$G$2441,'февраль 2025'!$D$4:$D$2441,$B4,'февраль 2025'!$J$4:$J$2441,E$1)</f>
        <v>0</v>
      </c>
      <c r="F4" s="76">
        <f>SUMIFS('февраль 2025'!$G$4:$G$2441,'февраль 2025'!$D$4:$D$2441,$B4,'февраль 2025'!$J$4:$J$2441,F$1)</f>
        <v>0</v>
      </c>
      <c r="G4" s="76">
        <f>SUMIFS('февраль 2025'!$G$4:$G$2441,'февраль 2025'!$D$4:$D$2441,$B4,'февраль 2025'!$J$4:$J$2441,G$1)</f>
        <v>0</v>
      </c>
      <c r="H4" s="76">
        <f>SUMIFS('февраль 2025'!$G$4:$G$2441,'февраль 2025'!$D$4:$D$2441,$B4,'февраль 2025'!$J$4:$J$2441,H$1)</f>
        <v>0</v>
      </c>
      <c r="I4" s="76">
        <f>SUMIFS('февраль 2025'!$G$4:$G$2441,'февраль 2025'!$D$4:$D$2441,$B4,'февраль 2025'!$J$4:$J$2441,I$1)</f>
        <v>0</v>
      </c>
      <c r="J4" s="76">
        <f>SUMIFS('февраль 2025'!$G$4:$G$2441,'февраль 2025'!$D$4:$D$2441,$B4,'февраль 2025'!$J$4:$J$2441,J$1)</f>
        <v>0</v>
      </c>
      <c r="K4" s="76">
        <f>SUMIFS('февраль 2025'!$G$4:$G$2441,'февраль 2025'!$D$4:$D$2441,$B4,'февраль 2025'!$J$4:$J$2441,K$1)</f>
        <v>0</v>
      </c>
      <c r="L4" s="76">
        <f>SUMIFS('февраль 2025'!$G$4:$G$2441,'февраль 2025'!$D$4:$D$2441,$B4,'февраль 2025'!$J$4:$J$2441,L$1)</f>
        <v>0</v>
      </c>
      <c r="M4" s="76">
        <f>SUMIFS('февраль 2025'!$G$4:$G$2441,'февраль 2025'!$D$4:$D$2441,$B4,'февраль 2025'!$J$4:$J$2441,M$1)</f>
        <v>0</v>
      </c>
      <c r="N4" s="76">
        <f>SUMIFS('февраль 2025'!$G$4:$G$2441,'февраль 2025'!$D$4:$D$2441,$B4,'февраль 2025'!$J$4:$J$2441,N$1)</f>
        <v>1600</v>
      </c>
      <c r="O4" s="76">
        <f>SUMIFS('февраль 2025'!$G$4:$G$2441,'февраль 2025'!$D$4:$D$2441,$B4,'февраль 2025'!$J$4:$J$2441,O$1)</f>
        <v>0</v>
      </c>
      <c r="P4" s="76">
        <f>SUMIFS('февраль 2025'!$G$4:$G$2441,'февраль 2025'!$D$4:$D$2441,$B4,'февраль 2025'!$J$4:$J$2441,P$1)</f>
        <v>0</v>
      </c>
      <c r="Q4" s="76">
        <f>SUMIFS('февраль 2025'!$G$4:$G$2441,'февраль 2025'!$D$4:$D$2441,$B4,'февраль 2025'!$J$4:$J$2441,Q$1)</f>
        <v>0</v>
      </c>
      <c r="R4" s="76">
        <f>SUMIFS('февраль 2025'!$G$4:$G$2441,'февраль 2025'!$D$4:$D$2441,$B4,'февраль 2025'!$J$4:$J$2441,R$1)</f>
        <v>0</v>
      </c>
      <c r="S4" s="76">
        <f>SUMIFS('февраль 2025'!$G$4:$G$2441,'февраль 2025'!$D$4:$D$2441,$B4,'февраль 2025'!$J$4:$J$2441,S$1)</f>
        <v>0</v>
      </c>
      <c r="T4" s="76">
        <f>SUMIFS('февраль 2025'!$G$4:$G$2441,'февраль 2025'!$D$4:$D$2441,$B4,'февраль 2025'!$J$4:$J$2441,T$1)</f>
        <v>0</v>
      </c>
      <c r="U4" s="76">
        <f>SUMIFS('февраль 2025'!$G$4:$G$2441,'февраль 2025'!$D$4:$D$2441,$B4,'февраль 2025'!$J$4:$J$2441,U$1)</f>
        <v>0</v>
      </c>
      <c r="V4" s="76">
        <f>SUMIFS('февраль 2025'!$G$4:$G$2441,'февраль 2025'!$D$4:$D$2441,$B4,'февраль 2025'!$J$4:$J$2441,V$1)</f>
        <v>0</v>
      </c>
      <c r="W4" s="76">
        <f>SUMIFS('февраль 2025'!$G$4:$G$2441,'февраль 2025'!$D$4:$D$2441,$B4,'февраль 2025'!$J$4:$J$2441,W$1)</f>
        <v>0</v>
      </c>
      <c r="X4" s="76">
        <f>SUMIFS('февраль 2025'!$G$4:$G$2441,'февраль 2025'!$D$4:$D$2441,$B4,'февраль 2025'!$J$4:$J$2441,X$1)</f>
        <v>0</v>
      </c>
      <c r="Y4" s="76">
        <f>SUMIFS('февраль 2025'!$G$4:$G$2441,'февраль 2025'!$D$4:$D$2441,$B4,'февраль 2025'!$J$4:$J$2441,Y$1)</f>
        <v>0</v>
      </c>
      <c r="Z4" s="76">
        <f>SUMIFS('февраль 2025'!$G$4:$G$2441,'февраль 2025'!$D$4:$D$2441,$B4,'февраль 2025'!$J$4:$J$2441,Z$1)</f>
        <v>0</v>
      </c>
      <c r="AA4" s="76">
        <f>SUMIFS('февраль 2025'!$G$4:$G$2441,'февраль 2025'!$D$4:$D$2441,$B4,'февраль 2025'!$J$4:$J$2441,AA$1)</f>
        <v>0</v>
      </c>
      <c r="AB4" s="76">
        <f>SUMIFS('февраль 2025'!$G$4:$G$2441,'февраль 2025'!$D$4:$D$2441,$B4,'февраль 2025'!$J$4:$J$2441,AB$1)</f>
        <v>0</v>
      </c>
      <c r="AC4" s="76">
        <f>SUMIFS('февраль 2025'!$G$4:$G$2441,'февраль 2025'!$D$4:$D$2441,$B4,'февраль 2025'!$J$4:$J$2441,AC$1)</f>
        <v>0</v>
      </c>
      <c r="AD4" s="76">
        <f>SUMIFS('февраль 2025'!$G$4:$G$2441,'февраль 2025'!$D$4:$D$2441,$B4,'февраль 2025'!$J$4:$J$2441,AD$1)</f>
        <v>0</v>
      </c>
      <c r="AE4" s="76">
        <f>SUMIFS('февраль 2025'!$G$4:$G$2441,'февраль 2025'!$D$4:$D$2441,$B4,'февраль 2025'!$J$4:$J$2441,AE$1)</f>
        <v>0</v>
      </c>
      <c r="AF4" s="76">
        <f>SUMIFS('февраль 2025'!$G$4:$G$2441,'февраль 2025'!$D$4:$D$2441,$B4,'февраль 2025'!$J$4:$J$2441,AF$1)</f>
        <v>0</v>
      </c>
      <c r="AG4" s="76">
        <f>SUMIFS('февраль 2025'!$G$4:$G$2441,'февраль 2025'!$D$4:$D$2441,$B4,'февраль 2025'!$J$4:$J$2441,AG$1)</f>
        <v>0</v>
      </c>
      <c r="AH4" s="76">
        <f>SUMIFS('февраль 2025'!$G$4:$G$2441,'февраль 2025'!$D$4:$D$2441,$B4,'февраль 2025'!$J$4:$J$2441,AH$1)</f>
        <v>0</v>
      </c>
      <c r="AI4" s="20">
        <f t="shared" si="1"/>
        <v>1600</v>
      </c>
    </row>
    <row r="5" spans="2:35" ht="15" customHeight="1" x14ac:dyDescent="0.25">
      <c r="B5" s="77" t="s">
        <v>216</v>
      </c>
      <c r="C5" s="78">
        <v>25</v>
      </c>
      <c r="D5" s="76">
        <f>SUMIFS('февраль 2025'!$G$4:$G$2441,'февраль 2025'!$D$4:$D$2441,$B5,'февраль 2025'!$J$4:$J$2441,D$1)</f>
        <v>0</v>
      </c>
      <c r="E5" s="76">
        <f>SUMIFS('февраль 2025'!$G$4:$G$2441,'февраль 2025'!$D$4:$D$2441,$B5,'февраль 2025'!$J$4:$J$2441,E$1)</f>
        <v>0</v>
      </c>
      <c r="F5" s="76">
        <f>SUMIFS('февраль 2025'!$G$4:$G$2441,'февраль 2025'!$D$4:$D$2441,$B5,'февраль 2025'!$J$4:$J$2441,F$1)</f>
        <v>0</v>
      </c>
      <c r="G5" s="76">
        <f>SUMIFS('февраль 2025'!$G$4:$G$2441,'февраль 2025'!$D$4:$D$2441,$B5,'февраль 2025'!$J$4:$J$2441,G$1)</f>
        <v>0</v>
      </c>
      <c r="H5" s="76">
        <f>SUMIFS('февраль 2025'!$G$4:$G$2441,'февраль 2025'!$D$4:$D$2441,$B5,'февраль 2025'!$J$4:$J$2441,H$1)</f>
        <v>0</v>
      </c>
      <c r="I5" s="76">
        <f>SUMIFS('февраль 2025'!$G$4:$G$2441,'февраль 2025'!$D$4:$D$2441,$B5,'февраль 2025'!$J$4:$J$2441,I$1)</f>
        <v>0</v>
      </c>
      <c r="J5" s="76">
        <f>SUMIFS('февраль 2025'!$G$4:$G$2441,'февраль 2025'!$D$4:$D$2441,$B5,'февраль 2025'!$J$4:$J$2441,J$1)</f>
        <v>0</v>
      </c>
      <c r="K5" s="76">
        <f>SUMIFS('февраль 2025'!$G$4:$G$2441,'февраль 2025'!$D$4:$D$2441,$B5,'февраль 2025'!$J$4:$J$2441,K$1)</f>
        <v>0</v>
      </c>
      <c r="L5" s="76">
        <f>SUMIFS('февраль 2025'!$G$4:$G$2441,'февраль 2025'!$D$4:$D$2441,$B5,'февраль 2025'!$J$4:$J$2441,L$1)</f>
        <v>0</v>
      </c>
      <c r="M5" s="76">
        <f>SUMIFS('февраль 2025'!$G$4:$G$2441,'февраль 2025'!$D$4:$D$2441,$B5,'февраль 2025'!$J$4:$J$2441,M$1)</f>
        <v>0</v>
      </c>
      <c r="N5" s="76">
        <f>SUMIFS('февраль 2025'!$G$4:$G$2441,'февраль 2025'!$D$4:$D$2441,$B5,'февраль 2025'!$J$4:$J$2441,N$1)</f>
        <v>0</v>
      </c>
      <c r="O5" s="76">
        <f>SUMIFS('февраль 2025'!$G$4:$G$2441,'февраль 2025'!$D$4:$D$2441,$B5,'февраль 2025'!$J$4:$J$2441,O$1)</f>
        <v>0</v>
      </c>
      <c r="P5" s="76">
        <f>SUMIFS('февраль 2025'!$G$4:$G$2441,'февраль 2025'!$D$4:$D$2441,$B5,'февраль 2025'!$J$4:$J$2441,P$1)</f>
        <v>0</v>
      </c>
      <c r="Q5" s="76">
        <f>SUMIFS('февраль 2025'!$G$4:$G$2441,'февраль 2025'!$D$4:$D$2441,$B5,'февраль 2025'!$J$4:$J$2441,Q$1)</f>
        <v>0</v>
      </c>
      <c r="R5" s="76">
        <f>SUMIFS('февраль 2025'!$G$4:$G$2441,'февраль 2025'!$D$4:$D$2441,$B5,'февраль 2025'!$J$4:$J$2441,R$1)</f>
        <v>0</v>
      </c>
      <c r="S5" s="76">
        <f>SUMIFS('февраль 2025'!$G$4:$G$2441,'февраль 2025'!$D$4:$D$2441,$B5,'февраль 2025'!$J$4:$J$2441,S$1)</f>
        <v>0</v>
      </c>
      <c r="T5" s="76">
        <f>SUMIFS('февраль 2025'!$G$4:$G$2441,'февраль 2025'!$D$4:$D$2441,$B5,'февраль 2025'!$J$4:$J$2441,T$1)</f>
        <v>0</v>
      </c>
      <c r="U5" s="76">
        <f>SUMIFS('февраль 2025'!$G$4:$G$2441,'февраль 2025'!$D$4:$D$2441,$B5,'февраль 2025'!$J$4:$J$2441,U$1)</f>
        <v>0</v>
      </c>
      <c r="V5" s="76">
        <f>SUMIFS('февраль 2025'!$G$4:$G$2441,'февраль 2025'!$D$4:$D$2441,$B5,'февраль 2025'!$J$4:$J$2441,V$1)</f>
        <v>0</v>
      </c>
      <c r="W5" s="76">
        <f>SUMIFS('февраль 2025'!$G$4:$G$2441,'февраль 2025'!$D$4:$D$2441,$B5,'февраль 2025'!$J$4:$J$2441,W$1)</f>
        <v>0</v>
      </c>
      <c r="X5" s="76">
        <f>SUMIFS('февраль 2025'!$G$4:$G$2441,'февраль 2025'!$D$4:$D$2441,$B5,'февраль 2025'!$J$4:$J$2441,X$1)</f>
        <v>0</v>
      </c>
      <c r="Y5" s="76">
        <f>SUMIFS('февраль 2025'!$G$4:$G$2441,'февраль 2025'!$D$4:$D$2441,$B5,'февраль 2025'!$J$4:$J$2441,Y$1)</f>
        <v>0</v>
      </c>
      <c r="Z5" s="76">
        <f>SUMIFS('февраль 2025'!$G$4:$G$2441,'февраль 2025'!$D$4:$D$2441,$B5,'февраль 2025'!$J$4:$J$2441,Z$1)</f>
        <v>0</v>
      </c>
      <c r="AA5" s="76">
        <f>SUMIFS('февраль 2025'!$G$4:$G$2441,'февраль 2025'!$D$4:$D$2441,$B5,'февраль 2025'!$J$4:$J$2441,AA$1)</f>
        <v>0</v>
      </c>
      <c r="AB5" s="76">
        <f>SUMIFS('февраль 2025'!$G$4:$G$2441,'февраль 2025'!$D$4:$D$2441,$B5,'февраль 2025'!$J$4:$J$2441,AB$1)</f>
        <v>0</v>
      </c>
      <c r="AC5" s="76">
        <f>SUMIFS('февраль 2025'!$G$4:$G$2441,'февраль 2025'!$D$4:$D$2441,$B5,'февраль 2025'!$J$4:$J$2441,AC$1)</f>
        <v>0</v>
      </c>
      <c r="AD5" s="76">
        <f>SUMIFS('февраль 2025'!$G$4:$G$2441,'февраль 2025'!$D$4:$D$2441,$B5,'февраль 2025'!$J$4:$J$2441,AD$1)</f>
        <v>0</v>
      </c>
      <c r="AE5" s="76">
        <f>SUMIFS('февраль 2025'!$G$4:$G$2441,'февраль 2025'!$D$4:$D$2441,$B5,'февраль 2025'!$J$4:$J$2441,AE$1)</f>
        <v>0</v>
      </c>
      <c r="AF5" s="76">
        <f>SUMIFS('февраль 2025'!$G$4:$G$2441,'февраль 2025'!$D$4:$D$2441,$B5,'февраль 2025'!$J$4:$J$2441,AF$1)</f>
        <v>0</v>
      </c>
      <c r="AG5" s="76">
        <f>SUMIFS('февраль 2025'!$G$4:$G$2441,'февраль 2025'!$D$4:$D$2441,$B5,'февраль 2025'!$J$4:$J$2441,AG$1)</f>
        <v>0</v>
      </c>
      <c r="AH5" s="76">
        <f>SUMIFS('февраль 2025'!$G$4:$G$2441,'февраль 2025'!$D$4:$D$2441,$B5,'февраль 2025'!$J$4:$J$2441,AH$1)</f>
        <v>0</v>
      </c>
      <c r="AI5" s="20">
        <f t="shared" si="1"/>
        <v>0</v>
      </c>
    </row>
    <row r="6" spans="2:35" ht="15" customHeight="1" x14ac:dyDescent="0.25">
      <c r="B6" s="77" t="s">
        <v>218</v>
      </c>
      <c r="C6" s="78">
        <v>22.7</v>
      </c>
      <c r="D6" s="76">
        <f>SUMIFS('февраль 2025'!$G$4:$G$2441,'февраль 2025'!$D$4:$D$2441,$B6,'февраль 2025'!$J$4:$J$2441,D$1)</f>
        <v>0</v>
      </c>
      <c r="E6" s="76">
        <f>SUMIFS('февраль 2025'!$G$4:$G$2441,'февраль 2025'!$D$4:$D$2441,$B6,'февраль 2025'!$J$4:$J$2441,E$1)</f>
        <v>0</v>
      </c>
      <c r="F6" s="76">
        <f>SUMIFS('февраль 2025'!$G$4:$G$2441,'февраль 2025'!$D$4:$D$2441,$B6,'февраль 2025'!$J$4:$J$2441,F$1)</f>
        <v>0</v>
      </c>
      <c r="G6" s="76">
        <f>SUMIFS('февраль 2025'!$G$4:$G$2441,'февраль 2025'!$D$4:$D$2441,$B6,'февраль 2025'!$J$4:$J$2441,G$1)</f>
        <v>0</v>
      </c>
      <c r="H6" s="76">
        <f>SUMIFS('февраль 2025'!$G$4:$G$2441,'февраль 2025'!$D$4:$D$2441,$B6,'февраль 2025'!$J$4:$J$2441,H$1)</f>
        <v>0</v>
      </c>
      <c r="I6" s="76">
        <f>SUMIFS('февраль 2025'!$G$4:$G$2441,'февраль 2025'!$D$4:$D$2441,$B6,'февраль 2025'!$J$4:$J$2441,I$1)</f>
        <v>0</v>
      </c>
      <c r="J6" s="76">
        <f>SUMIFS('февраль 2025'!$G$4:$G$2441,'февраль 2025'!$D$4:$D$2441,$B6,'февраль 2025'!$J$4:$J$2441,J$1)</f>
        <v>0</v>
      </c>
      <c r="K6" s="76">
        <f>SUMIFS('февраль 2025'!$G$4:$G$2441,'февраль 2025'!$D$4:$D$2441,$B6,'февраль 2025'!$J$4:$J$2441,K$1)</f>
        <v>0</v>
      </c>
      <c r="L6" s="76">
        <f>SUMIFS('февраль 2025'!$G$4:$G$2441,'февраль 2025'!$D$4:$D$2441,$B6,'февраль 2025'!$J$4:$J$2441,L$1)</f>
        <v>0</v>
      </c>
      <c r="M6" s="76">
        <f>SUMIFS('февраль 2025'!$G$4:$G$2441,'февраль 2025'!$D$4:$D$2441,$B6,'февраль 2025'!$J$4:$J$2441,M$1)</f>
        <v>0</v>
      </c>
      <c r="N6" s="76">
        <f>SUMIFS('февраль 2025'!$G$4:$G$2441,'февраль 2025'!$D$4:$D$2441,$B6,'февраль 2025'!$J$4:$J$2441,N$1)</f>
        <v>0</v>
      </c>
      <c r="O6" s="76">
        <f>SUMIFS('февраль 2025'!$G$4:$G$2441,'февраль 2025'!$D$4:$D$2441,$B6,'февраль 2025'!$J$4:$J$2441,O$1)</f>
        <v>0</v>
      </c>
      <c r="P6" s="76">
        <f>SUMIFS('февраль 2025'!$G$4:$G$2441,'февраль 2025'!$D$4:$D$2441,$B6,'февраль 2025'!$J$4:$J$2441,P$1)</f>
        <v>0</v>
      </c>
      <c r="Q6" s="76">
        <f>SUMIFS('февраль 2025'!$G$4:$G$2441,'февраль 2025'!$D$4:$D$2441,$B6,'февраль 2025'!$J$4:$J$2441,Q$1)</f>
        <v>0</v>
      </c>
      <c r="R6" s="76">
        <f>SUMIFS('февраль 2025'!$G$4:$G$2441,'февраль 2025'!$D$4:$D$2441,$B6,'февраль 2025'!$J$4:$J$2441,R$1)</f>
        <v>0</v>
      </c>
      <c r="S6" s="76">
        <f>SUMIFS('февраль 2025'!$G$4:$G$2441,'февраль 2025'!$D$4:$D$2441,$B6,'февраль 2025'!$J$4:$J$2441,S$1)</f>
        <v>0</v>
      </c>
      <c r="T6" s="76">
        <f>SUMIFS('февраль 2025'!$G$4:$G$2441,'февраль 2025'!$D$4:$D$2441,$B6,'февраль 2025'!$J$4:$J$2441,T$1)</f>
        <v>0</v>
      </c>
      <c r="U6" s="76">
        <f>SUMIFS('февраль 2025'!$G$4:$G$2441,'февраль 2025'!$D$4:$D$2441,$B6,'февраль 2025'!$J$4:$J$2441,U$1)</f>
        <v>0</v>
      </c>
      <c r="V6" s="76">
        <f>SUMIFS('февраль 2025'!$G$4:$G$2441,'февраль 2025'!$D$4:$D$2441,$B6,'февраль 2025'!$J$4:$J$2441,V$1)</f>
        <v>0</v>
      </c>
      <c r="W6" s="76">
        <f>SUMIFS('февраль 2025'!$G$4:$G$2441,'февраль 2025'!$D$4:$D$2441,$B6,'февраль 2025'!$J$4:$J$2441,W$1)</f>
        <v>0</v>
      </c>
      <c r="X6" s="76">
        <f>SUMIFS('февраль 2025'!$G$4:$G$2441,'февраль 2025'!$D$4:$D$2441,$B6,'февраль 2025'!$J$4:$J$2441,X$1)</f>
        <v>0</v>
      </c>
      <c r="Y6" s="76">
        <f>SUMIFS('февраль 2025'!$G$4:$G$2441,'февраль 2025'!$D$4:$D$2441,$B6,'февраль 2025'!$J$4:$J$2441,Y$1)</f>
        <v>0</v>
      </c>
      <c r="Z6" s="76">
        <f>SUMIFS('февраль 2025'!$G$4:$G$2441,'февраль 2025'!$D$4:$D$2441,$B6,'февраль 2025'!$J$4:$J$2441,Z$1)</f>
        <v>0</v>
      </c>
      <c r="AA6" s="76">
        <f>SUMIFS('февраль 2025'!$G$4:$G$2441,'февраль 2025'!$D$4:$D$2441,$B6,'февраль 2025'!$J$4:$J$2441,AA$1)</f>
        <v>0</v>
      </c>
      <c r="AB6" s="76">
        <f>SUMIFS('февраль 2025'!$G$4:$G$2441,'февраль 2025'!$D$4:$D$2441,$B6,'февраль 2025'!$J$4:$J$2441,AB$1)</f>
        <v>0</v>
      </c>
      <c r="AC6" s="76">
        <f>SUMIFS('февраль 2025'!$G$4:$G$2441,'февраль 2025'!$D$4:$D$2441,$B6,'февраль 2025'!$J$4:$J$2441,AC$1)</f>
        <v>0</v>
      </c>
      <c r="AD6" s="76">
        <f>SUMIFS('февраль 2025'!$G$4:$G$2441,'февраль 2025'!$D$4:$D$2441,$B6,'февраль 2025'!$J$4:$J$2441,AD$1)</f>
        <v>0</v>
      </c>
      <c r="AE6" s="76">
        <f>SUMIFS('февраль 2025'!$G$4:$G$2441,'февраль 2025'!$D$4:$D$2441,$B6,'февраль 2025'!$J$4:$J$2441,AE$1)</f>
        <v>0</v>
      </c>
      <c r="AF6" s="76">
        <f>SUMIFS('февраль 2025'!$G$4:$G$2441,'февраль 2025'!$D$4:$D$2441,$B6,'февраль 2025'!$J$4:$J$2441,AF$1)</f>
        <v>0</v>
      </c>
      <c r="AG6" s="76">
        <f>SUMIFS('февраль 2025'!$G$4:$G$2441,'февраль 2025'!$D$4:$D$2441,$B6,'февраль 2025'!$J$4:$J$2441,AG$1)</f>
        <v>0</v>
      </c>
      <c r="AH6" s="76">
        <f>SUMIFS('февраль 2025'!$G$4:$G$2441,'февраль 2025'!$D$4:$D$2441,$B6,'февраль 2025'!$J$4:$J$2441,AH$1)</f>
        <v>0</v>
      </c>
      <c r="AI6" s="20">
        <f t="shared" si="1"/>
        <v>0</v>
      </c>
    </row>
    <row r="7" spans="2:35" ht="15" customHeight="1" x14ac:dyDescent="0.25">
      <c r="B7" s="77" t="s">
        <v>220</v>
      </c>
      <c r="C7" s="78">
        <v>22.7</v>
      </c>
      <c r="D7" s="76">
        <f>SUMIFS('февраль 2025'!$G$4:$G$2441,'февраль 2025'!$D$4:$D$2441,$B7,'февраль 2025'!$J$4:$J$2441,D$1)</f>
        <v>0</v>
      </c>
      <c r="E7" s="76">
        <f>SUMIFS('февраль 2025'!$G$4:$G$2441,'февраль 2025'!$D$4:$D$2441,$B7,'февраль 2025'!$J$4:$J$2441,E$1)</f>
        <v>0</v>
      </c>
      <c r="F7" s="76">
        <f>SUMIFS('февраль 2025'!$G$4:$G$2441,'февраль 2025'!$D$4:$D$2441,$B7,'февраль 2025'!$J$4:$J$2441,F$1)</f>
        <v>0</v>
      </c>
      <c r="G7" s="76">
        <f>SUMIFS('февраль 2025'!$G$4:$G$2441,'февраль 2025'!$D$4:$D$2441,$B7,'февраль 2025'!$J$4:$J$2441,G$1)</f>
        <v>0</v>
      </c>
      <c r="H7" s="76">
        <f>SUMIFS('февраль 2025'!$G$4:$G$2441,'февраль 2025'!$D$4:$D$2441,$B7,'февраль 2025'!$J$4:$J$2441,H$1)</f>
        <v>0</v>
      </c>
      <c r="I7" s="76">
        <f>SUMIFS('февраль 2025'!$G$4:$G$2441,'февраль 2025'!$D$4:$D$2441,$B7,'февраль 2025'!$J$4:$J$2441,I$1)</f>
        <v>0</v>
      </c>
      <c r="J7" s="76">
        <f>SUMIFS('февраль 2025'!$G$4:$G$2441,'февраль 2025'!$D$4:$D$2441,$B7,'февраль 2025'!$J$4:$J$2441,J$1)</f>
        <v>0</v>
      </c>
      <c r="K7" s="76">
        <f>SUMIFS('февраль 2025'!$G$4:$G$2441,'февраль 2025'!$D$4:$D$2441,$B7,'февраль 2025'!$J$4:$J$2441,K$1)</f>
        <v>0</v>
      </c>
      <c r="L7" s="76">
        <f>SUMIFS('февраль 2025'!$G$4:$G$2441,'февраль 2025'!$D$4:$D$2441,$B7,'февраль 2025'!$J$4:$J$2441,L$1)</f>
        <v>0</v>
      </c>
      <c r="M7" s="76">
        <f>SUMIFS('февраль 2025'!$G$4:$G$2441,'февраль 2025'!$D$4:$D$2441,$B7,'февраль 2025'!$J$4:$J$2441,M$1)</f>
        <v>0</v>
      </c>
      <c r="N7" s="76">
        <f>SUMIFS('февраль 2025'!$G$4:$G$2441,'февраль 2025'!$D$4:$D$2441,$B7,'февраль 2025'!$J$4:$J$2441,N$1)</f>
        <v>0</v>
      </c>
      <c r="O7" s="76">
        <f>SUMIFS('февраль 2025'!$G$4:$G$2441,'февраль 2025'!$D$4:$D$2441,$B7,'февраль 2025'!$J$4:$J$2441,O$1)</f>
        <v>0</v>
      </c>
      <c r="P7" s="76">
        <f>SUMIFS('февраль 2025'!$G$4:$G$2441,'февраль 2025'!$D$4:$D$2441,$B7,'февраль 2025'!$J$4:$J$2441,P$1)</f>
        <v>0</v>
      </c>
      <c r="Q7" s="76">
        <f>SUMIFS('февраль 2025'!$G$4:$G$2441,'февраль 2025'!$D$4:$D$2441,$B7,'февраль 2025'!$J$4:$J$2441,Q$1)</f>
        <v>0</v>
      </c>
      <c r="R7" s="76">
        <f>SUMIFS('февраль 2025'!$G$4:$G$2441,'февраль 2025'!$D$4:$D$2441,$B7,'февраль 2025'!$J$4:$J$2441,R$1)</f>
        <v>0</v>
      </c>
      <c r="S7" s="76">
        <f>SUMIFS('февраль 2025'!$G$4:$G$2441,'февраль 2025'!$D$4:$D$2441,$B7,'февраль 2025'!$J$4:$J$2441,S$1)</f>
        <v>0</v>
      </c>
      <c r="T7" s="76">
        <f>SUMIFS('февраль 2025'!$G$4:$G$2441,'февраль 2025'!$D$4:$D$2441,$B7,'февраль 2025'!$J$4:$J$2441,T$1)</f>
        <v>0</v>
      </c>
      <c r="U7" s="76">
        <f>SUMIFS('февраль 2025'!$G$4:$G$2441,'февраль 2025'!$D$4:$D$2441,$B7,'февраль 2025'!$J$4:$J$2441,U$1)</f>
        <v>0</v>
      </c>
      <c r="V7" s="76">
        <f>SUMIFS('февраль 2025'!$G$4:$G$2441,'февраль 2025'!$D$4:$D$2441,$B7,'февраль 2025'!$J$4:$J$2441,V$1)</f>
        <v>0</v>
      </c>
      <c r="W7" s="76">
        <f>SUMIFS('февраль 2025'!$G$4:$G$2441,'февраль 2025'!$D$4:$D$2441,$B7,'февраль 2025'!$J$4:$J$2441,W$1)</f>
        <v>0</v>
      </c>
      <c r="X7" s="76">
        <f>SUMIFS('февраль 2025'!$G$4:$G$2441,'февраль 2025'!$D$4:$D$2441,$B7,'февраль 2025'!$J$4:$J$2441,X$1)</f>
        <v>0</v>
      </c>
      <c r="Y7" s="76">
        <f>SUMIFS('февраль 2025'!$G$4:$G$2441,'февраль 2025'!$D$4:$D$2441,$B7,'февраль 2025'!$J$4:$J$2441,Y$1)</f>
        <v>0</v>
      </c>
      <c r="Z7" s="76">
        <f>SUMIFS('февраль 2025'!$G$4:$G$2441,'февраль 2025'!$D$4:$D$2441,$B7,'февраль 2025'!$J$4:$J$2441,Z$1)</f>
        <v>0</v>
      </c>
      <c r="AA7" s="76">
        <f>SUMIFS('февраль 2025'!$G$4:$G$2441,'февраль 2025'!$D$4:$D$2441,$B7,'февраль 2025'!$J$4:$J$2441,AA$1)</f>
        <v>0</v>
      </c>
      <c r="AB7" s="76">
        <f>SUMIFS('февраль 2025'!$G$4:$G$2441,'февраль 2025'!$D$4:$D$2441,$B7,'февраль 2025'!$J$4:$J$2441,AB$1)</f>
        <v>0</v>
      </c>
      <c r="AC7" s="76">
        <f>SUMIFS('февраль 2025'!$G$4:$G$2441,'февраль 2025'!$D$4:$D$2441,$B7,'февраль 2025'!$J$4:$J$2441,AC$1)</f>
        <v>0</v>
      </c>
      <c r="AD7" s="76">
        <f>SUMIFS('февраль 2025'!$G$4:$G$2441,'февраль 2025'!$D$4:$D$2441,$B7,'февраль 2025'!$J$4:$J$2441,AD$1)</f>
        <v>0</v>
      </c>
      <c r="AE7" s="76">
        <f>SUMIFS('февраль 2025'!$G$4:$G$2441,'февраль 2025'!$D$4:$D$2441,$B7,'февраль 2025'!$J$4:$J$2441,AE$1)</f>
        <v>0</v>
      </c>
      <c r="AF7" s="76">
        <f>SUMIFS('февраль 2025'!$G$4:$G$2441,'февраль 2025'!$D$4:$D$2441,$B7,'февраль 2025'!$J$4:$J$2441,AF$1)</f>
        <v>0</v>
      </c>
      <c r="AG7" s="76">
        <f>SUMIFS('февраль 2025'!$G$4:$G$2441,'февраль 2025'!$D$4:$D$2441,$B7,'февраль 2025'!$J$4:$J$2441,AG$1)</f>
        <v>0</v>
      </c>
      <c r="AH7" s="76">
        <f>SUMIFS('февраль 2025'!$G$4:$G$2441,'февраль 2025'!$D$4:$D$2441,$B7,'февраль 2025'!$J$4:$J$2441,AH$1)</f>
        <v>0</v>
      </c>
      <c r="AI7" s="20">
        <f t="shared" si="1"/>
        <v>0</v>
      </c>
    </row>
    <row r="8" spans="2:35" ht="15" customHeight="1" x14ac:dyDescent="0.25">
      <c r="B8" s="79" t="s">
        <v>222</v>
      </c>
      <c r="C8" s="78">
        <v>25</v>
      </c>
      <c r="D8" s="76">
        <f>SUMIFS('февраль 2025'!$G$4:$G$2441,'февраль 2025'!$D$4:$D$2441,$B8,'февраль 2025'!$J$4:$J$2441,D$1)</f>
        <v>0</v>
      </c>
      <c r="E8" s="76">
        <f>SUMIFS('февраль 2025'!$G$4:$G$2441,'февраль 2025'!$D$4:$D$2441,$B8,'февраль 2025'!$J$4:$J$2441,E$1)</f>
        <v>0</v>
      </c>
      <c r="F8" s="76">
        <f>SUMIFS('февраль 2025'!$G$4:$G$2441,'февраль 2025'!$D$4:$D$2441,$B8,'февраль 2025'!$J$4:$J$2441,F$1)</f>
        <v>0</v>
      </c>
      <c r="G8" s="76">
        <f>SUMIFS('февраль 2025'!$G$4:$G$2441,'февраль 2025'!$D$4:$D$2441,$B8,'февраль 2025'!$J$4:$J$2441,G$1)</f>
        <v>0</v>
      </c>
      <c r="H8" s="76">
        <f>SUMIFS('февраль 2025'!$G$4:$G$2441,'февраль 2025'!$D$4:$D$2441,$B8,'февраль 2025'!$J$4:$J$2441,H$1)</f>
        <v>0</v>
      </c>
      <c r="I8" s="76">
        <f>SUMIFS('февраль 2025'!$G$4:$G$2441,'февраль 2025'!$D$4:$D$2441,$B8,'февраль 2025'!$J$4:$J$2441,I$1)</f>
        <v>0</v>
      </c>
      <c r="J8" s="76">
        <f>SUMIFS('февраль 2025'!$G$4:$G$2441,'февраль 2025'!$D$4:$D$2441,$B8,'февраль 2025'!$J$4:$J$2441,J$1)</f>
        <v>0</v>
      </c>
      <c r="K8" s="76">
        <f>SUMIFS('февраль 2025'!$G$4:$G$2441,'февраль 2025'!$D$4:$D$2441,$B8,'февраль 2025'!$J$4:$J$2441,K$1)</f>
        <v>0</v>
      </c>
      <c r="L8" s="76">
        <f>SUMIFS('февраль 2025'!$G$4:$G$2441,'февраль 2025'!$D$4:$D$2441,$B8,'февраль 2025'!$J$4:$J$2441,L$1)</f>
        <v>0</v>
      </c>
      <c r="M8" s="76">
        <f>SUMIFS('февраль 2025'!$G$4:$G$2441,'февраль 2025'!$D$4:$D$2441,$B8,'февраль 2025'!$J$4:$J$2441,M$1)</f>
        <v>0</v>
      </c>
      <c r="N8" s="76">
        <f>SUMIFS('февраль 2025'!$G$4:$G$2441,'февраль 2025'!$D$4:$D$2441,$B8,'февраль 2025'!$J$4:$J$2441,N$1)</f>
        <v>0</v>
      </c>
      <c r="O8" s="76">
        <f>SUMIFS('февраль 2025'!$G$4:$G$2441,'февраль 2025'!$D$4:$D$2441,$B8,'февраль 2025'!$J$4:$J$2441,O$1)</f>
        <v>0</v>
      </c>
      <c r="P8" s="76">
        <f>SUMIFS('февраль 2025'!$G$4:$G$2441,'февраль 2025'!$D$4:$D$2441,$B8,'февраль 2025'!$J$4:$J$2441,P$1)</f>
        <v>0</v>
      </c>
      <c r="Q8" s="76">
        <f>SUMIFS('февраль 2025'!$G$4:$G$2441,'февраль 2025'!$D$4:$D$2441,$B8,'февраль 2025'!$J$4:$J$2441,Q$1)</f>
        <v>0</v>
      </c>
      <c r="R8" s="76">
        <f>SUMIFS('февраль 2025'!$G$4:$G$2441,'февраль 2025'!$D$4:$D$2441,$B8,'февраль 2025'!$J$4:$J$2441,R$1)</f>
        <v>0</v>
      </c>
      <c r="S8" s="76">
        <f>SUMIFS('февраль 2025'!$G$4:$G$2441,'февраль 2025'!$D$4:$D$2441,$B8,'февраль 2025'!$J$4:$J$2441,S$1)</f>
        <v>0</v>
      </c>
      <c r="T8" s="76">
        <f>SUMIFS('февраль 2025'!$G$4:$G$2441,'февраль 2025'!$D$4:$D$2441,$B8,'февраль 2025'!$J$4:$J$2441,T$1)</f>
        <v>0</v>
      </c>
      <c r="U8" s="76">
        <f>SUMIFS('февраль 2025'!$G$4:$G$2441,'февраль 2025'!$D$4:$D$2441,$B8,'февраль 2025'!$J$4:$J$2441,U$1)</f>
        <v>800</v>
      </c>
      <c r="V8" s="76">
        <f>SUMIFS('февраль 2025'!$G$4:$G$2441,'февраль 2025'!$D$4:$D$2441,$B8,'февраль 2025'!$J$4:$J$2441,V$1)</f>
        <v>0</v>
      </c>
      <c r="W8" s="76">
        <f>SUMIFS('февраль 2025'!$G$4:$G$2441,'февраль 2025'!$D$4:$D$2441,$B8,'февраль 2025'!$J$4:$J$2441,W$1)</f>
        <v>0</v>
      </c>
      <c r="X8" s="76">
        <f>SUMIFS('февраль 2025'!$G$4:$G$2441,'февраль 2025'!$D$4:$D$2441,$B8,'февраль 2025'!$J$4:$J$2441,X$1)</f>
        <v>0</v>
      </c>
      <c r="Y8" s="76">
        <f>SUMIFS('февраль 2025'!$G$4:$G$2441,'февраль 2025'!$D$4:$D$2441,$B8,'февраль 2025'!$J$4:$J$2441,Y$1)</f>
        <v>0</v>
      </c>
      <c r="Z8" s="76">
        <f>SUMIFS('февраль 2025'!$G$4:$G$2441,'февраль 2025'!$D$4:$D$2441,$B8,'февраль 2025'!$J$4:$J$2441,Z$1)</f>
        <v>0</v>
      </c>
      <c r="AA8" s="76">
        <f>SUMIFS('февраль 2025'!$G$4:$G$2441,'февраль 2025'!$D$4:$D$2441,$B8,'февраль 2025'!$J$4:$J$2441,AA$1)</f>
        <v>0</v>
      </c>
      <c r="AB8" s="76">
        <f>SUMIFS('февраль 2025'!$G$4:$G$2441,'февраль 2025'!$D$4:$D$2441,$B8,'февраль 2025'!$J$4:$J$2441,AB$1)</f>
        <v>0</v>
      </c>
      <c r="AC8" s="76">
        <f>SUMIFS('февраль 2025'!$G$4:$G$2441,'февраль 2025'!$D$4:$D$2441,$B8,'февраль 2025'!$J$4:$J$2441,AC$1)</f>
        <v>800</v>
      </c>
      <c r="AD8" s="76">
        <f>SUMIFS('февраль 2025'!$G$4:$G$2441,'февраль 2025'!$D$4:$D$2441,$B8,'февраль 2025'!$J$4:$J$2441,AD$1)</f>
        <v>0</v>
      </c>
      <c r="AE8" s="76">
        <f>SUMIFS('февраль 2025'!$G$4:$G$2441,'февраль 2025'!$D$4:$D$2441,$B8,'февраль 2025'!$J$4:$J$2441,AE$1)</f>
        <v>0</v>
      </c>
      <c r="AF8" s="76">
        <f>SUMIFS('февраль 2025'!$G$4:$G$2441,'февраль 2025'!$D$4:$D$2441,$B8,'февраль 2025'!$J$4:$J$2441,AF$1)</f>
        <v>0</v>
      </c>
      <c r="AG8" s="76">
        <f>SUMIFS('февраль 2025'!$G$4:$G$2441,'февраль 2025'!$D$4:$D$2441,$B8,'февраль 2025'!$J$4:$J$2441,AG$1)</f>
        <v>0</v>
      </c>
      <c r="AH8" s="76">
        <f>SUMIFS('февраль 2025'!$G$4:$G$2441,'февраль 2025'!$D$4:$D$2441,$B8,'февраль 2025'!$J$4:$J$2441,AH$1)</f>
        <v>0</v>
      </c>
      <c r="AI8" s="20">
        <f t="shared" si="1"/>
        <v>1600</v>
      </c>
    </row>
    <row r="9" spans="2:35" ht="15" customHeight="1" x14ac:dyDescent="0.25">
      <c r="B9" s="77" t="s">
        <v>224</v>
      </c>
      <c r="C9" s="78">
        <v>25</v>
      </c>
      <c r="D9" s="76">
        <f>SUMIFS('февраль 2025'!$G$4:$G$2441,'февраль 2025'!$D$4:$D$2441,$B9,'февраль 2025'!$J$4:$J$2441,D$1)</f>
        <v>0</v>
      </c>
      <c r="E9" s="76">
        <f>SUMIFS('февраль 2025'!$G$4:$G$2441,'февраль 2025'!$D$4:$D$2441,$B9,'февраль 2025'!$J$4:$J$2441,E$1)</f>
        <v>0</v>
      </c>
      <c r="F9" s="76">
        <f>SUMIFS('февраль 2025'!$G$4:$G$2441,'февраль 2025'!$D$4:$D$2441,$B9,'февраль 2025'!$J$4:$J$2441,F$1)</f>
        <v>0</v>
      </c>
      <c r="G9" s="76">
        <f>SUMIFS('февраль 2025'!$G$4:$G$2441,'февраль 2025'!$D$4:$D$2441,$B9,'февраль 2025'!$J$4:$J$2441,G$1)</f>
        <v>0</v>
      </c>
      <c r="H9" s="76">
        <f>SUMIFS('февраль 2025'!$G$4:$G$2441,'февраль 2025'!$D$4:$D$2441,$B9,'февраль 2025'!$J$4:$J$2441,H$1)</f>
        <v>0</v>
      </c>
      <c r="I9" s="76">
        <f>SUMIFS('февраль 2025'!$G$4:$G$2441,'февраль 2025'!$D$4:$D$2441,$B9,'февраль 2025'!$J$4:$J$2441,I$1)</f>
        <v>0</v>
      </c>
      <c r="J9" s="76">
        <f>SUMIFS('февраль 2025'!$G$4:$G$2441,'февраль 2025'!$D$4:$D$2441,$B9,'февраль 2025'!$J$4:$J$2441,J$1)</f>
        <v>0</v>
      </c>
      <c r="K9" s="76">
        <f>SUMIFS('февраль 2025'!$G$4:$G$2441,'февраль 2025'!$D$4:$D$2441,$B9,'февраль 2025'!$J$4:$J$2441,K$1)</f>
        <v>0</v>
      </c>
      <c r="L9" s="76">
        <f>SUMIFS('февраль 2025'!$G$4:$G$2441,'февраль 2025'!$D$4:$D$2441,$B9,'февраль 2025'!$J$4:$J$2441,L$1)</f>
        <v>0</v>
      </c>
      <c r="M9" s="76">
        <f>SUMIFS('февраль 2025'!$G$4:$G$2441,'февраль 2025'!$D$4:$D$2441,$B9,'февраль 2025'!$J$4:$J$2441,M$1)</f>
        <v>0</v>
      </c>
      <c r="N9" s="76">
        <f>SUMIFS('февраль 2025'!$G$4:$G$2441,'февраль 2025'!$D$4:$D$2441,$B9,'февраль 2025'!$J$4:$J$2441,N$1)</f>
        <v>0</v>
      </c>
      <c r="O9" s="76">
        <f>SUMIFS('февраль 2025'!$G$4:$G$2441,'февраль 2025'!$D$4:$D$2441,$B9,'февраль 2025'!$J$4:$J$2441,O$1)</f>
        <v>0</v>
      </c>
      <c r="P9" s="76">
        <f>SUMIFS('февраль 2025'!$G$4:$G$2441,'февраль 2025'!$D$4:$D$2441,$B9,'февраль 2025'!$J$4:$J$2441,P$1)</f>
        <v>0</v>
      </c>
      <c r="Q9" s="76">
        <f>SUMIFS('февраль 2025'!$G$4:$G$2441,'февраль 2025'!$D$4:$D$2441,$B9,'февраль 2025'!$J$4:$J$2441,Q$1)</f>
        <v>0</v>
      </c>
      <c r="R9" s="76">
        <f>SUMIFS('февраль 2025'!$G$4:$G$2441,'февраль 2025'!$D$4:$D$2441,$B9,'февраль 2025'!$J$4:$J$2441,R$1)</f>
        <v>0</v>
      </c>
      <c r="S9" s="76">
        <f>SUMIFS('февраль 2025'!$G$4:$G$2441,'февраль 2025'!$D$4:$D$2441,$B9,'февраль 2025'!$J$4:$J$2441,S$1)</f>
        <v>0</v>
      </c>
      <c r="T9" s="76">
        <f>SUMIFS('февраль 2025'!$G$4:$G$2441,'февраль 2025'!$D$4:$D$2441,$B9,'февраль 2025'!$J$4:$J$2441,T$1)</f>
        <v>0</v>
      </c>
      <c r="U9" s="76">
        <f>SUMIFS('февраль 2025'!$G$4:$G$2441,'февраль 2025'!$D$4:$D$2441,$B9,'февраль 2025'!$J$4:$J$2441,U$1)</f>
        <v>0</v>
      </c>
      <c r="V9" s="76">
        <f>SUMIFS('февраль 2025'!$G$4:$G$2441,'февраль 2025'!$D$4:$D$2441,$B9,'февраль 2025'!$J$4:$J$2441,V$1)</f>
        <v>0</v>
      </c>
      <c r="W9" s="76">
        <f>SUMIFS('февраль 2025'!$G$4:$G$2441,'февраль 2025'!$D$4:$D$2441,$B9,'февраль 2025'!$J$4:$J$2441,W$1)</f>
        <v>0</v>
      </c>
      <c r="X9" s="76">
        <f>SUMIFS('февраль 2025'!$G$4:$G$2441,'февраль 2025'!$D$4:$D$2441,$B9,'февраль 2025'!$J$4:$J$2441,X$1)</f>
        <v>0</v>
      </c>
      <c r="Y9" s="76">
        <f>SUMIFS('февраль 2025'!$G$4:$G$2441,'февраль 2025'!$D$4:$D$2441,$B9,'февраль 2025'!$J$4:$J$2441,Y$1)</f>
        <v>0</v>
      </c>
      <c r="Z9" s="76">
        <f>SUMIFS('февраль 2025'!$G$4:$G$2441,'февраль 2025'!$D$4:$D$2441,$B9,'февраль 2025'!$J$4:$J$2441,Z$1)</f>
        <v>0</v>
      </c>
      <c r="AA9" s="76">
        <f>SUMIFS('февраль 2025'!$G$4:$G$2441,'февраль 2025'!$D$4:$D$2441,$B9,'февраль 2025'!$J$4:$J$2441,AA$1)</f>
        <v>0</v>
      </c>
      <c r="AB9" s="76">
        <f>SUMIFS('февраль 2025'!$G$4:$G$2441,'февраль 2025'!$D$4:$D$2441,$B9,'февраль 2025'!$J$4:$J$2441,AB$1)</f>
        <v>0</v>
      </c>
      <c r="AC9" s="76">
        <f>SUMIFS('февраль 2025'!$G$4:$G$2441,'февраль 2025'!$D$4:$D$2441,$B9,'февраль 2025'!$J$4:$J$2441,AC$1)</f>
        <v>0</v>
      </c>
      <c r="AD9" s="76">
        <f>SUMIFS('февраль 2025'!$G$4:$G$2441,'февраль 2025'!$D$4:$D$2441,$B9,'февраль 2025'!$J$4:$J$2441,AD$1)</f>
        <v>0</v>
      </c>
      <c r="AE9" s="76">
        <f>SUMIFS('февраль 2025'!$G$4:$G$2441,'февраль 2025'!$D$4:$D$2441,$B9,'февраль 2025'!$J$4:$J$2441,AE$1)</f>
        <v>0</v>
      </c>
      <c r="AF9" s="76">
        <f>SUMIFS('февраль 2025'!$G$4:$G$2441,'февраль 2025'!$D$4:$D$2441,$B9,'февраль 2025'!$J$4:$J$2441,AF$1)</f>
        <v>0</v>
      </c>
      <c r="AG9" s="76">
        <f>SUMIFS('февраль 2025'!$G$4:$G$2441,'февраль 2025'!$D$4:$D$2441,$B9,'февраль 2025'!$J$4:$J$2441,AG$1)</f>
        <v>0</v>
      </c>
      <c r="AH9" s="76">
        <f>SUMIFS('февраль 2025'!$G$4:$G$2441,'февраль 2025'!$D$4:$D$2441,$B9,'февраль 2025'!$J$4:$J$2441,AH$1)</f>
        <v>0</v>
      </c>
      <c r="AI9" s="20">
        <f t="shared" si="1"/>
        <v>0</v>
      </c>
    </row>
    <row r="10" spans="2:35" ht="15" customHeight="1" x14ac:dyDescent="0.25">
      <c r="B10" s="77" t="s">
        <v>226</v>
      </c>
      <c r="C10" s="78">
        <v>25</v>
      </c>
      <c r="D10" s="76">
        <f>SUMIFS('февраль 2025'!$G$4:$G$2441,'февраль 2025'!$D$4:$D$2441,$B10,'февраль 2025'!$J$4:$J$2441,D$1)</f>
        <v>0</v>
      </c>
      <c r="E10" s="76">
        <f>SUMIFS('февраль 2025'!$G$4:$G$2441,'февраль 2025'!$D$4:$D$2441,$B10,'февраль 2025'!$J$4:$J$2441,E$1)</f>
        <v>0</v>
      </c>
      <c r="F10" s="76">
        <f>SUMIFS('февраль 2025'!$G$4:$G$2441,'февраль 2025'!$D$4:$D$2441,$B10,'февраль 2025'!$J$4:$J$2441,F$1)</f>
        <v>0</v>
      </c>
      <c r="G10" s="76">
        <f>SUMIFS('февраль 2025'!$G$4:$G$2441,'февраль 2025'!$D$4:$D$2441,$B10,'февраль 2025'!$J$4:$J$2441,G$1)</f>
        <v>0</v>
      </c>
      <c r="H10" s="76">
        <f>SUMIFS('февраль 2025'!$G$4:$G$2441,'февраль 2025'!$D$4:$D$2441,$B10,'февраль 2025'!$J$4:$J$2441,H$1)</f>
        <v>0</v>
      </c>
      <c r="I10" s="76">
        <f>SUMIFS('февраль 2025'!$G$4:$G$2441,'февраль 2025'!$D$4:$D$2441,$B10,'февраль 2025'!$J$4:$J$2441,I$1)</f>
        <v>0</v>
      </c>
      <c r="J10" s="76">
        <f>SUMIFS('февраль 2025'!$G$4:$G$2441,'февраль 2025'!$D$4:$D$2441,$B10,'февраль 2025'!$J$4:$J$2441,J$1)</f>
        <v>0</v>
      </c>
      <c r="K10" s="76">
        <f>SUMIFS('февраль 2025'!$G$4:$G$2441,'февраль 2025'!$D$4:$D$2441,$B10,'февраль 2025'!$J$4:$J$2441,K$1)</f>
        <v>0</v>
      </c>
      <c r="L10" s="76">
        <f>SUMIFS('февраль 2025'!$G$4:$G$2441,'февраль 2025'!$D$4:$D$2441,$B10,'февраль 2025'!$J$4:$J$2441,L$1)</f>
        <v>0</v>
      </c>
      <c r="M10" s="76">
        <f>SUMIFS('февраль 2025'!$G$4:$G$2441,'февраль 2025'!$D$4:$D$2441,$B10,'февраль 2025'!$J$4:$J$2441,M$1)</f>
        <v>0</v>
      </c>
      <c r="N10" s="76">
        <f>SUMIFS('февраль 2025'!$G$4:$G$2441,'февраль 2025'!$D$4:$D$2441,$B10,'февраль 2025'!$J$4:$J$2441,N$1)</f>
        <v>0</v>
      </c>
      <c r="O10" s="76">
        <f>SUMIFS('февраль 2025'!$G$4:$G$2441,'февраль 2025'!$D$4:$D$2441,$B10,'февраль 2025'!$J$4:$J$2441,O$1)</f>
        <v>0</v>
      </c>
      <c r="P10" s="76">
        <f>SUMIFS('февраль 2025'!$G$4:$G$2441,'февраль 2025'!$D$4:$D$2441,$B10,'февраль 2025'!$J$4:$J$2441,P$1)</f>
        <v>0</v>
      </c>
      <c r="Q10" s="76">
        <f>SUMIFS('февраль 2025'!$G$4:$G$2441,'февраль 2025'!$D$4:$D$2441,$B10,'февраль 2025'!$J$4:$J$2441,Q$1)</f>
        <v>0</v>
      </c>
      <c r="R10" s="76">
        <f>SUMIFS('февраль 2025'!$G$4:$G$2441,'февраль 2025'!$D$4:$D$2441,$B10,'февраль 2025'!$J$4:$J$2441,R$1)</f>
        <v>0</v>
      </c>
      <c r="S10" s="76">
        <f>SUMIFS('февраль 2025'!$G$4:$G$2441,'февраль 2025'!$D$4:$D$2441,$B10,'февраль 2025'!$J$4:$J$2441,S$1)</f>
        <v>0</v>
      </c>
      <c r="T10" s="76">
        <f>SUMIFS('февраль 2025'!$G$4:$G$2441,'февраль 2025'!$D$4:$D$2441,$B10,'февраль 2025'!$J$4:$J$2441,T$1)</f>
        <v>0</v>
      </c>
      <c r="U10" s="76">
        <f>SUMIFS('февраль 2025'!$G$4:$G$2441,'февраль 2025'!$D$4:$D$2441,$B10,'февраль 2025'!$J$4:$J$2441,U$1)</f>
        <v>0</v>
      </c>
      <c r="V10" s="76">
        <f>SUMIFS('февраль 2025'!$G$4:$G$2441,'февраль 2025'!$D$4:$D$2441,$B10,'февраль 2025'!$J$4:$J$2441,V$1)</f>
        <v>0</v>
      </c>
      <c r="W10" s="76">
        <f>SUMIFS('февраль 2025'!$G$4:$G$2441,'февраль 2025'!$D$4:$D$2441,$B10,'февраль 2025'!$J$4:$J$2441,W$1)</f>
        <v>0</v>
      </c>
      <c r="X10" s="76">
        <f>SUMIFS('февраль 2025'!$G$4:$G$2441,'февраль 2025'!$D$4:$D$2441,$B10,'февраль 2025'!$J$4:$J$2441,X$1)</f>
        <v>0</v>
      </c>
      <c r="Y10" s="76">
        <f>SUMIFS('февраль 2025'!$G$4:$G$2441,'февраль 2025'!$D$4:$D$2441,$B10,'февраль 2025'!$J$4:$J$2441,Y$1)</f>
        <v>0</v>
      </c>
      <c r="Z10" s="76">
        <f>SUMIFS('февраль 2025'!$G$4:$G$2441,'февраль 2025'!$D$4:$D$2441,$B10,'февраль 2025'!$J$4:$J$2441,Z$1)</f>
        <v>0</v>
      </c>
      <c r="AA10" s="76">
        <f>SUMIFS('февраль 2025'!$G$4:$G$2441,'февраль 2025'!$D$4:$D$2441,$B10,'февраль 2025'!$J$4:$J$2441,AA$1)</f>
        <v>0</v>
      </c>
      <c r="AB10" s="76">
        <f>SUMIFS('февраль 2025'!$G$4:$G$2441,'февраль 2025'!$D$4:$D$2441,$B10,'февраль 2025'!$J$4:$J$2441,AB$1)</f>
        <v>0</v>
      </c>
      <c r="AC10" s="76">
        <f>SUMIFS('февраль 2025'!$G$4:$G$2441,'февраль 2025'!$D$4:$D$2441,$B10,'февраль 2025'!$J$4:$J$2441,AC$1)</f>
        <v>0</v>
      </c>
      <c r="AD10" s="76">
        <f>SUMIFS('февраль 2025'!$G$4:$G$2441,'февраль 2025'!$D$4:$D$2441,$B10,'февраль 2025'!$J$4:$J$2441,AD$1)</f>
        <v>0</v>
      </c>
      <c r="AE10" s="76">
        <f>SUMIFS('февраль 2025'!$G$4:$G$2441,'февраль 2025'!$D$4:$D$2441,$B10,'февраль 2025'!$J$4:$J$2441,AE$1)</f>
        <v>0</v>
      </c>
      <c r="AF10" s="76">
        <f>SUMIFS('февраль 2025'!$G$4:$G$2441,'февраль 2025'!$D$4:$D$2441,$B10,'февраль 2025'!$J$4:$J$2441,AF$1)</f>
        <v>0</v>
      </c>
      <c r="AG10" s="76">
        <f>SUMIFS('февраль 2025'!$G$4:$G$2441,'февраль 2025'!$D$4:$D$2441,$B10,'февраль 2025'!$J$4:$J$2441,AG$1)</f>
        <v>0</v>
      </c>
      <c r="AH10" s="76">
        <f>SUMIFS('февраль 2025'!$G$4:$G$2441,'февраль 2025'!$D$4:$D$2441,$B10,'февраль 2025'!$J$4:$J$2441,AH$1)</f>
        <v>0</v>
      </c>
      <c r="AI10" s="20">
        <f t="shared" si="1"/>
        <v>0</v>
      </c>
    </row>
    <row r="11" spans="2:35" ht="15" customHeight="1" x14ac:dyDescent="0.25">
      <c r="B11" s="80" t="s">
        <v>228</v>
      </c>
      <c r="C11" s="81">
        <v>22.68</v>
      </c>
      <c r="D11" s="76">
        <f>SUMIFS('февраль 2025'!$G$4:$G$2441,'февраль 2025'!$D$4:$D$2441,$B11,'февраль 2025'!$J$4:$J$2441,D$1)</f>
        <v>0</v>
      </c>
      <c r="E11" s="76">
        <f>SUMIFS('февраль 2025'!$G$4:$G$2441,'февраль 2025'!$D$4:$D$2441,$B11,'февраль 2025'!$J$4:$J$2441,E$1)</f>
        <v>0</v>
      </c>
      <c r="F11" s="76">
        <f>SUMIFS('февраль 2025'!$G$4:$G$2441,'февраль 2025'!$D$4:$D$2441,$B11,'февраль 2025'!$J$4:$J$2441,F$1)</f>
        <v>0</v>
      </c>
      <c r="G11" s="76">
        <f>SUMIFS('февраль 2025'!$G$4:$G$2441,'февраль 2025'!$D$4:$D$2441,$B11,'февраль 2025'!$J$4:$J$2441,G$1)</f>
        <v>0</v>
      </c>
      <c r="H11" s="76">
        <f>SUMIFS('февраль 2025'!$G$4:$G$2441,'февраль 2025'!$D$4:$D$2441,$B11,'февраль 2025'!$J$4:$J$2441,H$1)</f>
        <v>0</v>
      </c>
      <c r="I11" s="76">
        <f>SUMIFS('февраль 2025'!$G$4:$G$2441,'февраль 2025'!$D$4:$D$2441,$B11,'февраль 2025'!$J$4:$J$2441,I$1)</f>
        <v>0</v>
      </c>
      <c r="J11" s="76">
        <f>SUMIFS('февраль 2025'!$G$4:$G$2441,'февраль 2025'!$D$4:$D$2441,$B11,'февраль 2025'!$J$4:$J$2441,J$1)</f>
        <v>0</v>
      </c>
      <c r="K11" s="76">
        <f>SUMIFS('февраль 2025'!$G$4:$G$2441,'февраль 2025'!$D$4:$D$2441,$B11,'февраль 2025'!$J$4:$J$2441,K$1)</f>
        <v>0</v>
      </c>
      <c r="L11" s="76">
        <f>SUMIFS('февраль 2025'!$G$4:$G$2441,'февраль 2025'!$D$4:$D$2441,$B11,'февраль 2025'!$J$4:$J$2441,L$1)</f>
        <v>0</v>
      </c>
      <c r="M11" s="76">
        <f>SUMIFS('февраль 2025'!$G$4:$G$2441,'февраль 2025'!$D$4:$D$2441,$B11,'февраль 2025'!$J$4:$J$2441,M$1)</f>
        <v>0</v>
      </c>
      <c r="N11" s="76">
        <f>SUMIFS('февраль 2025'!$G$4:$G$2441,'февраль 2025'!$D$4:$D$2441,$B11,'февраль 2025'!$J$4:$J$2441,N$1)</f>
        <v>0</v>
      </c>
      <c r="O11" s="76">
        <f>SUMIFS('февраль 2025'!$G$4:$G$2441,'февраль 2025'!$D$4:$D$2441,$B11,'февраль 2025'!$J$4:$J$2441,O$1)</f>
        <v>0</v>
      </c>
      <c r="P11" s="76">
        <f>SUMIFS('февраль 2025'!$G$4:$G$2441,'февраль 2025'!$D$4:$D$2441,$B11,'февраль 2025'!$J$4:$J$2441,P$1)</f>
        <v>0</v>
      </c>
      <c r="Q11" s="76">
        <f>SUMIFS('февраль 2025'!$G$4:$G$2441,'февраль 2025'!$D$4:$D$2441,$B11,'февраль 2025'!$J$4:$J$2441,Q$1)</f>
        <v>0</v>
      </c>
      <c r="R11" s="76">
        <f>SUMIFS('февраль 2025'!$G$4:$G$2441,'февраль 2025'!$D$4:$D$2441,$B11,'февраль 2025'!$J$4:$J$2441,R$1)</f>
        <v>0</v>
      </c>
      <c r="S11" s="76">
        <f>SUMIFS('февраль 2025'!$G$4:$G$2441,'февраль 2025'!$D$4:$D$2441,$B11,'февраль 2025'!$J$4:$J$2441,S$1)</f>
        <v>0</v>
      </c>
      <c r="T11" s="76">
        <f>SUMIFS('февраль 2025'!$G$4:$G$2441,'февраль 2025'!$D$4:$D$2441,$B11,'февраль 2025'!$J$4:$J$2441,T$1)</f>
        <v>0</v>
      </c>
      <c r="U11" s="76">
        <f>SUMIFS('февраль 2025'!$G$4:$G$2441,'февраль 2025'!$D$4:$D$2441,$B11,'февраль 2025'!$J$4:$J$2441,U$1)</f>
        <v>0</v>
      </c>
      <c r="V11" s="76">
        <f>SUMIFS('февраль 2025'!$G$4:$G$2441,'февраль 2025'!$D$4:$D$2441,$B11,'февраль 2025'!$J$4:$J$2441,V$1)</f>
        <v>0</v>
      </c>
      <c r="W11" s="76">
        <f>SUMIFS('февраль 2025'!$G$4:$G$2441,'февраль 2025'!$D$4:$D$2441,$B11,'февраль 2025'!$J$4:$J$2441,W$1)</f>
        <v>0</v>
      </c>
      <c r="X11" s="76">
        <f>SUMIFS('февраль 2025'!$G$4:$G$2441,'февраль 2025'!$D$4:$D$2441,$B11,'февраль 2025'!$J$4:$J$2441,X$1)</f>
        <v>0</v>
      </c>
      <c r="Y11" s="76">
        <f>SUMIFS('февраль 2025'!$G$4:$G$2441,'февраль 2025'!$D$4:$D$2441,$B11,'февраль 2025'!$J$4:$J$2441,Y$1)</f>
        <v>0</v>
      </c>
      <c r="Z11" s="76">
        <f>SUMIFS('февраль 2025'!$G$4:$G$2441,'февраль 2025'!$D$4:$D$2441,$B11,'февраль 2025'!$J$4:$J$2441,Z$1)</f>
        <v>0</v>
      </c>
      <c r="AA11" s="76">
        <f>SUMIFS('февраль 2025'!$G$4:$G$2441,'февраль 2025'!$D$4:$D$2441,$B11,'февраль 2025'!$J$4:$J$2441,AA$1)</f>
        <v>0</v>
      </c>
      <c r="AB11" s="76">
        <f>SUMIFS('февраль 2025'!$G$4:$G$2441,'февраль 2025'!$D$4:$D$2441,$B11,'февраль 2025'!$J$4:$J$2441,AB$1)</f>
        <v>0</v>
      </c>
      <c r="AC11" s="76">
        <f>SUMIFS('февраль 2025'!$G$4:$G$2441,'февраль 2025'!$D$4:$D$2441,$B11,'февраль 2025'!$J$4:$J$2441,AC$1)</f>
        <v>0</v>
      </c>
      <c r="AD11" s="76">
        <f>SUMIFS('февраль 2025'!$G$4:$G$2441,'февраль 2025'!$D$4:$D$2441,$B11,'февраль 2025'!$J$4:$J$2441,AD$1)</f>
        <v>0</v>
      </c>
      <c r="AE11" s="76">
        <f>SUMIFS('февраль 2025'!$G$4:$G$2441,'февраль 2025'!$D$4:$D$2441,$B11,'февраль 2025'!$J$4:$J$2441,AE$1)</f>
        <v>0</v>
      </c>
      <c r="AF11" s="76">
        <f>SUMIFS('февраль 2025'!$G$4:$G$2441,'февраль 2025'!$D$4:$D$2441,$B11,'февраль 2025'!$J$4:$J$2441,AF$1)</f>
        <v>0</v>
      </c>
      <c r="AG11" s="76">
        <f>SUMIFS('февраль 2025'!$G$4:$G$2441,'февраль 2025'!$D$4:$D$2441,$B11,'февраль 2025'!$J$4:$J$2441,AG$1)</f>
        <v>0</v>
      </c>
      <c r="AH11" s="76">
        <f>SUMIFS('февраль 2025'!$G$4:$G$2441,'февраль 2025'!$D$4:$D$2441,$B11,'февраль 2025'!$J$4:$J$2441,AH$1)</f>
        <v>0</v>
      </c>
      <c r="AI11" s="20">
        <f t="shared" si="1"/>
        <v>0</v>
      </c>
    </row>
    <row r="12" spans="2:35" ht="15" customHeight="1" x14ac:dyDescent="0.25">
      <c r="B12" s="80" t="s">
        <v>328</v>
      </c>
      <c r="C12" s="81">
        <v>22.7</v>
      </c>
      <c r="D12" s="76">
        <f>SUMIFS('февраль 2025'!$G$4:$G$2441,'февраль 2025'!$D$4:$D$2441,$B12,'февраль 2025'!$J$4:$J$2441,D$1)</f>
        <v>0</v>
      </c>
      <c r="E12" s="76">
        <f>SUMIFS('февраль 2025'!$G$4:$G$2441,'февраль 2025'!$D$4:$D$2441,$B12,'февраль 2025'!$J$4:$J$2441,E$1)</f>
        <v>0</v>
      </c>
      <c r="F12" s="76">
        <f>SUMIFS('февраль 2025'!$G$4:$G$2441,'февраль 2025'!$D$4:$D$2441,$B12,'февраль 2025'!$J$4:$J$2441,F$1)</f>
        <v>0</v>
      </c>
      <c r="G12" s="76">
        <f>SUMIFS('февраль 2025'!$G$4:$G$2441,'февраль 2025'!$D$4:$D$2441,$B12,'февраль 2025'!$J$4:$J$2441,G$1)</f>
        <v>0</v>
      </c>
      <c r="H12" s="76">
        <f>SUMIFS('февраль 2025'!$G$4:$G$2441,'февраль 2025'!$D$4:$D$2441,$B12,'февраль 2025'!$J$4:$J$2441,H$1)</f>
        <v>0</v>
      </c>
      <c r="I12" s="76">
        <f>SUMIFS('февраль 2025'!$G$4:$G$2441,'февраль 2025'!$D$4:$D$2441,$B12,'февраль 2025'!$J$4:$J$2441,I$1)</f>
        <v>0</v>
      </c>
      <c r="J12" s="76">
        <f>SUMIFS('февраль 2025'!$G$4:$G$2441,'февраль 2025'!$D$4:$D$2441,$B12,'февраль 2025'!$J$4:$J$2441,J$1)</f>
        <v>0</v>
      </c>
      <c r="K12" s="76">
        <f>SUMIFS('февраль 2025'!$G$4:$G$2441,'февраль 2025'!$D$4:$D$2441,$B12,'февраль 2025'!$J$4:$J$2441,K$1)</f>
        <v>0</v>
      </c>
      <c r="L12" s="76">
        <f>SUMIFS('февраль 2025'!$G$4:$G$2441,'февраль 2025'!$D$4:$D$2441,$B12,'февраль 2025'!$J$4:$J$2441,L$1)</f>
        <v>0</v>
      </c>
      <c r="M12" s="76">
        <f>SUMIFS('февраль 2025'!$G$4:$G$2441,'февраль 2025'!$D$4:$D$2441,$B12,'февраль 2025'!$J$4:$J$2441,M$1)</f>
        <v>0</v>
      </c>
      <c r="N12" s="76">
        <f>SUMIFS('февраль 2025'!$G$4:$G$2441,'февраль 2025'!$D$4:$D$2441,$B12,'февраль 2025'!$J$4:$J$2441,N$1)</f>
        <v>0</v>
      </c>
      <c r="O12" s="76">
        <f>SUMIFS('февраль 2025'!$G$4:$G$2441,'февраль 2025'!$D$4:$D$2441,$B12,'февраль 2025'!$J$4:$J$2441,O$1)</f>
        <v>0</v>
      </c>
      <c r="P12" s="76">
        <f>SUMIFS('февраль 2025'!$G$4:$G$2441,'февраль 2025'!$D$4:$D$2441,$B12,'февраль 2025'!$J$4:$J$2441,P$1)</f>
        <v>0</v>
      </c>
      <c r="Q12" s="76">
        <f>SUMIFS('февраль 2025'!$G$4:$G$2441,'февраль 2025'!$D$4:$D$2441,$B12,'февраль 2025'!$J$4:$J$2441,Q$1)</f>
        <v>0</v>
      </c>
      <c r="R12" s="76">
        <f>SUMIFS('февраль 2025'!$G$4:$G$2441,'февраль 2025'!$D$4:$D$2441,$B12,'февраль 2025'!$J$4:$J$2441,R$1)</f>
        <v>0</v>
      </c>
      <c r="S12" s="76">
        <f>SUMIFS('февраль 2025'!$G$4:$G$2441,'февраль 2025'!$D$4:$D$2441,$B12,'февраль 2025'!$J$4:$J$2441,S$1)</f>
        <v>0</v>
      </c>
      <c r="T12" s="76">
        <f>SUMIFS('февраль 2025'!$G$4:$G$2441,'февраль 2025'!$D$4:$D$2441,$B12,'февраль 2025'!$J$4:$J$2441,T$1)</f>
        <v>0</v>
      </c>
      <c r="U12" s="76">
        <f>SUMIFS('февраль 2025'!$G$4:$G$2441,'февраль 2025'!$D$4:$D$2441,$B12,'февраль 2025'!$J$4:$J$2441,U$1)</f>
        <v>0</v>
      </c>
      <c r="V12" s="76">
        <f>SUMIFS('февраль 2025'!$G$4:$G$2441,'февраль 2025'!$D$4:$D$2441,$B12,'февраль 2025'!$J$4:$J$2441,V$1)</f>
        <v>0</v>
      </c>
      <c r="W12" s="76">
        <f>SUMIFS('февраль 2025'!$G$4:$G$2441,'февраль 2025'!$D$4:$D$2441,$B12,'февраль 2025'!$J$4:$J$2441,W$1)</f>
        <v>0</v>
      </c>
      <c r="X12" s="76">
        <f>SUMIFS('февраль 2025'!$G$4:$G$2441,'февраль 2025'!$D$4:$D$2441,$B12,'февраль 2025'!$J$4:$J$2441,X$1)</f>
        <v>0</v>
      </c>
      <c r="Y12" s="76">
        <f>SUMIFS('февраль 2025'!$G$4:$G$2441,'февраль 2025'!$D$4:$D$2441,$B12,'февраль 2025'!$J$4:$J$2441,Y$1)</f>
        <v>0</v>
      </c>
      <c r="Z12" s="76">
        <f>SUMIFS('февраль 2025'!$G$4:$G$2441,'февраль 2025'!$D$4:$D$2441,$B12,'февраль 2025'!$J$4:$J$2441,Z$1)</f>
        <v>0</v>
      </c>
      <c r="AA12" s="76">
        <f>SUMIFS('февраль 2025'!$G$4:$G$2441,'февраль 2025'!$D$4:$D$2441,$B12,'февраль 2025'!$J$4:$J$2441,AA$1)</f>
        <v>0</v>
      </c>
      <c r="AB12" s="76">
        <f>SUMIFS('февраль 2025'!$G$4:$G$2441,'февраль 2025'!$D$4:$D$2441,$B12,'февраль 2025'!$J$4:$J$2441,AB$1)</f>
        <v>0</v>
      </c>
      <c r="AC12" s="76">
        <f>SUMIFS('февраль 2025'!$G$4:$G$2441,'февраль 2025'!$D$4:$D$2441,$B12,'февраль 2025'!$J$4:$J$2441,AC$1)</f>
        <v>0</v>
      </c>
      <c r="AD12" s="76">
        <f>SUMIFS('февраль 2025'!$G$4:$G$2441,'февраль 2025'!$D$4:$D$2441,$B12,'февраль 2025'!$J$4:$J$2441,AD$1)</f>
        <v>0</v>
      </c>
      <c r="AE12" s="76">
        <f>SUMIFS('февраль 2025'!$G$4:$G$2441,'февраль 2025'!$D$4:$D$2441,$B12,'февраль 2025'!$J$4:$J$2441,AE$1)</f>
        <v>0</v>
      </c>
      <c r="AF12" s="76">
        <f>SUMIFS('февраль 2025'!$G$4:$G$2441,'февраль 2025'!$D$4:$D$2441,$B12,'февраль 2025'!$J$4:$J$2441,AF$1)</f>
        <v>0</v>
      </c>
      <c r="AG12" s="76">
        <f>SUMIFS('февраль 2025'!$G$4:$G$2441,'февраль 2025'!$D$4:$D$2441,$B12,'февраль 2025'!$J$4:$J$2441,AG$1)</f>
        <v>0</v>
      </c>
      <c r="AH12" s="76">
        <f>SUMIFS('февраль 2025'!$G$4:$G$2441,'февраль 2025'!$D$4:$D$2441,$B12,'февраль 2025'!$J$4:$J$2441,AH$1)</f>
        <v>0</v>
      </c>
      <c r="AI12" s="20">
        <f t="shared" si="1"/>
        <v>0</v>
      </c>
    </row>
    <row r="13" spans="2:35" ht="15" customHeight="1" x14ac:dyDescent="0.25">
      <c r="B13" s="80" t="s">
        <v>302</v>
      </c>
      <c r="C13" s="81">
        <v>25</v>
      </c>
      <c r="D13" s="76">
        <f>SUMIFS('февраль 2025'!$G$4:$G$2441,'февраль 2025'!$D$4:$D$2441,$B13,'февраль 2025'!$J$4:$J$2441,D$1)</f>
        <v>0</v>
      </c>
      <c r="E13" s="76">
        <f>SUMIFS('февраль 2025'!$G$4:$G$2441,'февраль 2025'!$D$4:$D$2441,$B13,'февраль 2025'!$J$4:$J$2441,E$1)</f>
        <v>0</v>
      </c>
      <c r="F13" s="76">
        <f>SUMIFS('февраль 2025'!$G$4:$G$2441,'февраль 2025'!$D$4:$D$2441,$B13,'февраль 2025'!$J$4:$J$2441,F$1)</f>
        <v>0</v>
      </c>
      <c r="G13" s="76">
        <f>SUMIFS('февраль 2025'!$G$4:$G$2441,'февраль 2025'!$D$4:$D$2441,$B13,'февраль 2025'!$J$4:$J$2441,G$1)</f>
        <v>0</v>
      </c>
      <c r="H13" s="76">
        <f>SUMIFS('февраль 2025'!$G$4:$G$2441,'февраль 2025'!$D$4:$D$2441,$B13,'февраль 2025'!$J$4:$J$2441,H$1)</f>
        <v>0</v>
      </c>
      <c r="I13" s="76">
        <f>SUMIFS('февраль 2025'!$G$4:$G$2441,'февраль 2025'!$D$4:$D$2441,$B13,'февраль 2025'!$J$4:$J$2441,I$1)</f>
        <v>700</v>
      </c>
      <c r="J13" s="76">
        <f>SUMIFS('февраль 2025'!$G$4:$G$2441,'февраль 2025'!$D$4:$D$2441,$B13,'февраль 2025'!$J$4:$J$2441,J$1)</f>
        <v>0</v>
      </c>
      <c r="K13" s="76">
        <f>SUMIFS('февраль 2025'!$G$4:$G$2441,'февраль 2025'!$D$4:$D$2441,$B13,'февраль 2025'!$J$4:$J$2441,K$1)</f>
        <v>0</v>
      </c>
      <c r="L13" s="76">
        <f>SUMIFS('февраль 2025'!$G$4:$G$2441,'февраль 2025'!$D$4:$D$2441,$B13,'февраль 2025'!$J$4:$J$2441,L$1)</f>
        <v>0</v>
      </c>
      <c r="M13" s="76">
        <f>SUMIFS('февраль 2025'!$G$4:$G$2441,'февраль 2025'!$D$4:$D$2441,$B13,'февраль 2025'!$J$4:$J$2441,M$1)</f>
        <v>0</v>
      </c>
      <c r="N13" s="76">
        <f>SUMIFS('февраль 2025'!$G$4:$G$2441,'февраль 2025'!$D$4:$D$2441,$B13,'февраль 2025'!$J$4:$J$2441,N$1)</f>
        <v>0</v>
      </c>
      <c r="O13" s="76">
        <f>SUMIFS('февраль 2025'!$G$4:$G$2441,'февраль 2025'!$D$4:$D$2441,$B13,'февраль 2025'!$J$4:$J$2441,O$1)</f>
        <v>0</v>
      </c>
      <c r="P13" s="76">
        <f>SUMIFS('февраль 2025'!$G$4:$G$2441,'февраль 2025'!$D$4:$D$2441,$B13,'февраль 2025'!$J$4:$J$2441,P$1)</f>
        <v>0</v>
      </c>
      <c r="Q13" s="76">
        <f>SUMIFS('февраль 2025'!$G$4:$G$2441,'февраль 2025'!$D$4:$D$2441,$B13,'февраль 2025'!$J$4:$J$2441,Q$1)</f>
        <v>0</v>
      </c>
      <c r="R13" s="76">
        <f>SUMIFS('февраль 2025'!$G$4:$G$2441,'февраль 2025'!$D$4:$D$2441,$B13,'февраль 2025'!$J$4:$J$2441,R$1)</f>
        <v>0</v>
      </c>
      <c r="S13" s="76">
        <f>SUMIFS('февраль 2025'!$G$4:$G$2441,'февраль 2025'!$D$4:$D$2441,$B13,'февраль 2025'!$J$4:$J$2441,S$1)</f>
        <v>0</v>
      </c>
      <c r="T13" s="76">
        <f>SUMIFS('февраль 2025'!$G$4:$G$2441,'февраль 2025'!$D$4:$D$2441,$B13,'февраль 2025'!$J$4:$J$2441,T$1)</f>
        <v>0</v>
      </c>
      <c r="U13" s="76">
        <f>SUMIFS('февраль 2025'!$G$4:$G$2441,'февраль 2025'!$D$4:$D$2441,$B13,'февраль 2025'!$J$4:$J$2441,U$1)</f>
        <v>0</v>
      </c>
      <c r="V13" s="76">
        <f>SUMIFS('февраль 2025'!$G$4:$G$2441,'февраль 2025'!$D$4:$D$2441,$B13,'февраль 2025'!$J$4:$J$2441,V$1)</f>
        <v>0</v>
      </c>
      <c r="W13" s="76">
        <f>SUMIFS('февраль 2025'!$G$4:$G$2441,'февраль 2025'!$D$4:$D$2441,$B13,'февраль 2025'!$J$4:$J$2441,W$1)</f>
        <v>0</v>
      </c>
      <c r="X13" s="76">
        <f>SUMIFS('февраль 2025'!$G$4:$G$2441,'февраль 2025'!$D$4:$D$2441,$B13,'февраль 2025'!$J$4:$J$2441,X$1)</f>
        <v>0</v>
      </c>
      <c r="Y13" s="76">
        <f>SUMIFS('февраль 2025'!$G$4:$G$2441,'февраль 2025'!$D$4:$D$2441,$B13,'февраль 2025'!$J$4:$J$2441,Y$1)</f>
        <v>0</v>
      </c>
      <c r="Z13" s="76">
        <f>SUMIFS('февраль 2025'!$G$4:$G$2441,'февраль 2025'!$D$4:$D$2441,$B13,'февраль 2025'!$J$4:$J$2441,Z$1)</f>
        <v>0</v>
      </c>
      <c r="AA13" s="76">
        <f>SUMIFS('февраль 2025'!$G$4:$G$2441,'февраль 2025'!$D$4:$D$2441,$B13,'февраль 2025'!$J$4:$J$2441,AA$1)</f>
        <v>0</v>
      </c>
      <c r="AB13" s="76">
        <f>SUMIFS('февраль 2025'!$G$4:$G$2441,'февраль 2025'!$D$4:$D$2441,$B13,'февраль 2025'!$J$4:$J$2441,AB$1)</f>
        <v>0</v>
      </c>
      <c r="AC13" s="76">
        <f>SUMIFS('февраль 2025'!$G$4:$G$2441,'февраль 2025'!$D$4:$D$2441,$B13,'февраль 2025'!$J$4:$J$2441,AC$1)</f>
        <v>0</v>
      </c>
      <c r="AD13" s="76">
        <f>SUMIFS('февраль 2025'!$G$4:$G$2441,'февраль 2025'!$D$4:$D$2441,$B13,'февраль 2025'!$J$4:$J$2441,AD$1)</f>
        <v>0</v>
      </c>
      <c r="AE13" s="76">
        <f>SUMIFS('февраль 2025'!$G$4:$G$2441,'февраль 2025'!$D$4:$D$2441,$B13,'февраль 2025'!$J$4:$J$2441,AE$1)</f>
        <v>0</v>
      </c>
      <c r="AF13" s="76">
        <f>SUMIFS('февраль 2025'!$G$4:$G$2441,'февраль 2025'!$D$4:$D$2441,$B13,'февраль 2025'!$J$4:$J$2441,AF$1)</f>
        <v>0</v>
      </c>
      <c r="AG13" s="76">
        <f>SUMIFS('февраль 2025'!$G$4:$G$2441,'февраль 2025'!$D$4:$D$2441,$B13,'февраль 2025'!$J$4:$J$2441,AG$1)</f>
        <v>0</v>
      </c>
      <c r="AH13" s="76">
        <f>SUMIFS('февраль 2025'!$G$4:$G$2441,'февраль 2025'!$D$4:$D$2441,$B13,'февраль 2025'!$J$4:$J$2441,AH$1)</f>
        <v>0</v>
      </c>
      <c r="AI13" s="20">
        <f t="shared" si="1"/>
        <v>700</v>
      </c>
    </row>
    <row r="14" spans="2:35" ht="15" customHeight="1" x14ac:dyDescent="0.25">
      <c r="B14" s="80" t="s">
        <v>306</v>
      </c>
      <c r="C14" s="81">
        <v>25</v>
      </c>
      <c r="D14" s="76">
        <f>SUMIFS('февраль 2025'!$G$4:$G$2441,'февраль 2025'!$D$4:$D$2441,$B14,'февраль 2025'!$J$4:$J$2441,D$1)</f>
        <v>0</v>
      </c>
      <c r="E14" s="76">
        <f>SUMIFS('февраль 2025'!$G$4:$G$2441,'февраль 2025'!$D$4:$D$2441,$B14,'февраль 2025'!$J$4:$J$2441,E$1)</f>
        <v>0</v>
      </c>
      <c r="F14" s="76">
        <f>SUMIFS('февраль 2025'!$G$4:$G$2441,'февраль 2025'!$D$4:$D$2441,$B14,'февраль 2025'!$J$4:$J$2441,F$1)</f>
        <v>2800</v>
      </c>
      <c r="G14" s="76">
        <f>SUMIFS('февраль 2025'!$G$4:$G$2441,'февраль 2025'!$D$4:$D$2441,$B14,'февраль 2025'!$J$4:$J$2441,G$1)</f>
        <v>0</v>
      </c>
      <c r="H14" s="76">
        <f>SUMIFS('февраль 2025'!$G$4:$G$2441,'февраль 2025'!$D$4:$D$2441,$B14,'февраль 2025'!$J$4:$J$2441,H$1)</f>
        <v>2800</v>
      </c>
      <c r="I14" s="76">
        <f>SUMIFS('февраль 2025'!$G$4:$G$2441,'февраль 2025'!$D$4:$D$2441,$B14,'февраль 2025'!$J$4:$J$2441,I$1)</f>
        <v>700</v>
      </c>
      <c r="J14" s="76">
        <f>SUMIFS('февраль 2025'!$G$4:$G$2441,'февраль 2025'!$D$4:$D$2441,$B14,'февраль 2025'!$J$4:$J$2441,J$1)</f>
        <v>0</v>
      </c>
      <c r="K14" s="76">
        <f>SUMIFS('февраль 2025'!$G$4:$G$2441,'февраль 2025'!$D$4:$D$2441,$B14,'февраль 2025'!$J$4:$J$2441,K$1)</f>
        <v>0</v>
      </c>
      <c r="L14" s="76">
        <f>SUMIFS('февраль 2025'!$G$4:$G$2441,'февраль 2025'!$D$4:$D$2441,$B14,'февраль 2025'!$J$4:$J$2441,L$1)</f>
        <v>0</v>
      </c>
      <c r="M14" s="76">
        <f>SUMIFS('февраль 2025'!$G$4:$G$2441,'февраль 2025'!$D$4:$D$2441,$B14,'февраль 2025'!$J$4:$J$2441,M$1)</f>
        <v>2100</v>
      </c>
      <c r="N14" s="76">
        <f>SUMIFS('февраль 2025'!$G$4:$G$2441,'февраль 2025'!$D$4:$D$2441,$B14,'февраль 2025'!$J$4:$J$2441,N$1)</f>
        <v>0</v>
      </c>
      <c r="O14" s="76">
        <f>SUMIFS('февраль 2025'!$G$4:$G$2441,'февраль 2025'!$D$4:$D$2441,$B14,'февраль 2025'!$J$4:$J$2441,O$1)</f>
        <v>1400</v>
      </c>
      <c r="P14" s="76">
        <f>SUMIFS('февраль 2025'!$G$4:$G$2441,'февраль 2025'!$D$4:$D$2441,$B14,'февраль 2025'!$J$4:$J$2441,P$1)</f>
        <v>0</v>
      </c>
      <c r="Q14" s="76">
        <f>SUMIFS('февраль 2025'!$G$4:$G$2441,'февраль 2025'!$D$4:$D$2441,$B14,'февраль 2025'!$J$4:$J$2441,Q$1)</f>
        <v>0</v>
      </c>
      <c r="R14" s="76">
        <f>SUMIFS('февраль 2025'!$G$4:$G$2441,'февраль 2025'!$D$4:$D$2441,$B14,'февраль 2025'!$J$4:$J$2441,R$1)</f>
        <v>0</v>
      </c>
      <c r="S14" s="76">
        <f>SUMIFS('февраль 2025'!$G$4:$G$2441,'февраль 2025'!$D$4:$D$2441,$B14,'февраль 2025'!$J$4:$J$2441,S$1)</f>
        <v>0</v>
      </c>
      <c r="T14" s="76">
        <f>SUMIFS('февраль 2025'!$G$4:$G$2441,'февраль 2025'!$D$4:$D$2441,$B14,'февраль 2025'!$J$4:$J$2441,T$1)</f>
        <v>0</v>
      </c>
      <c r="U14" s="76">
        <f>SUMIFS('февраль 2025'!$G$4:$G$2441,'февраль 2025'!$D$4:$D$2441,$B14,'февраль 2025'!$J$4:$J$2441,U$1)</f>
        <v>0</v>
      </c>
      <c r="V14" s="76">
        <f>SUMIFS('февраль 2025'!$G$4:$G$2441,'февраль 2025'!$D$4:$D$2441,$B14,'февраль 2025'!$J$4:$J$2441,V$1)</f>
        <v>1400</v>
      </c>
      <c r="W14" s="76">
        <f>SUMIFS('февраль 2025'!$G$4:$G$2441,'февраль 2025'!$D$4:$D$2441,$B14,'февраль 2025'!$J$4:$J$2441,W$1)</f>
        <v>1400</v>
      </c>
      <c r="X14" s="76">
        <f>SUMIFS('февраль 2025'!$G$4:$G$2441,'февраль 2025'!$D$4:$D$2441,$B14,'февраль 2025'!$J$4:$J$2441,X$1)</f>
        <v>0</v>
      </c>
      <c r="Y14" s="76">
        <f>SUMIFS('февраль 2025'!$G$4:$G$2441,'февраль 2025'!$D$4:$D$2441,$B14,'февраль 2025'!$J$4:$J$2441,Y$1)</f>
        <v>0</v>
      </c>
      <c r="Z14" s="76">
        <f>SUMIFS('февраль 2025'!$G$4:$G$2441,'февраль 2025'!$D$4:$D$2441,$B14,'февраль 2025'!$J$4:$J$2441,Z$1)</f>
        <v>0</v>
      </c>
      <c r="AA14" s="76">
        <f>SUMIFS('февраль 2025'!$G$4:$G$2441,'февраль 2025'!$D$4:$D$2441,$B14,'февраль 2025'!$J$4:$J$2441,AA$1)</f>
        <v>0</v>
      </c>
      <c r="AB14" s="76">
        <f>SUMIFS('февраль 2025'!$G$4:$G$2441,'февраль 2025'!$D$4:$D$2441,$B14,'февраль 2025'!$J$4:$J$2441,AB$1)</f>
        <v>0</v>
      </c>
      <c r="AC14" s="76">
        <f>SUMIFS('февраль 2025'!$G$4:$G$2441,'февраль 2025'!$D$4:$D$2441,$B14,'февраль 2025'!$J$4:$J$2441,AC$1)</f>
        <v>0</v>
      </c>
      <c r="AD14" s="76">
        <f>SUMIFS('февраль 2025'!$G$4:$G$2441,'февраль 2025'!$D$4:$D$2441,$B14,'февраль 2025'!$J$4:$J$2441,AD$1)</f>
        <v>2800</v>
      </c>
      <c r="AE14" s="76">
        <f>SUMIFS('февраль 2025'!$G$4:$G$2441,'февраль 2025'!$D$4:$D$2441,$B14,'февраль 2025'!$J$4:$J$2441,AE$1)</f>
        <v>2800</v>
      </c>
      <c r="AF14" s="76">
        <f>SUMIFS('февраль 2025'!$G$4:$G$2441,'февраль 2025'!$D$4:$D$2441,$B14,'февраль 2025'!$J$4:$J$2441,AF$1)</f>
        <v>0</v>
      </c>
      <c r="AG14" s="76">
        <f>SUMIFS('февраль 2025'!$G$4:$G$2441,'февраль 2025'!$D$4:$D$2441,$B14,'февраль 2025'!$J$4:$J$2441,AG$1)</f>
        <v>0</v>
      </c>
      <c r="AH14" s="76">
        <f>SUMIFS('февраль 2025'!$G$4:$G$2441,'февраль 2025'!$D$4:$D$2441,$B14,'февраль 2025'!$J$4:$J$2441,AH$1)</f>
        <v>0</v>
      </c>
      <c r="AI14" s="20">
        <f t="shared" si="1"/>
        <v>18200</v>
      </c>
    </row>
    <row r="15" spans="2:35" ht="15" customHeight="1" x14ac:dyDescent="0.25">
      <c r="B15" s="80" t="s">
        <v>231</v>
      </c>
      <c r="C15" s="81">
        <v>22.7</v>
      </c>
      <c r="D15" s="76">
        <f>SUMIFS('февраль 2025'!$G$4:$G$2441,'февраль 2025'!$D$4:$D$2441,$B15,'февраль 2025'!$J$4:$J$2441,D$1)</f>
        <v>0</v>
      </c>
      <c r="E15" s="76">
        <f>SUMIFS('февраль 2025'!$G$4:$G$2441,'февраль 2025'!$D$4:$D$2441,$B15,'февраль 2025'!$J$4:$J$2441,E$1)</f>
        <v>0</v>
      </c>
      <c r="F15" s="76">
        <f>SUMIFS('февраль 2025'!$G$4:$G$2441,'февраль 2025'!$D$4:$D$2441,$B15,'февраль 2025'!$J$4:$J$2441,F$1)</f>
        <v>0</v>
      </c>
      <c r="G15" s="76">
        <f>SUMIFS('февраль 2025'!$G$4:$G$2441,'февраль 2025'!$D$4:$D$2441,$B15,'февраль 2025'!$J$4:$J$2441,G$1)</f>
        <v>0</v>
      </c>
      <c r="H15" s="76">
        <f>SUMIFS('февраль 2025'!$G$4:$G$2441,'февраль 2025'!$D$4:$D$2441,$B15,'февраль 2025'!$J$4:$J$2441,H$1)</f>
        <v>0</v>
      </c>
      <c r="I15" s="76">
        <f>SUMIFS('февраль 2025'!$G$4:$G$2441,'февраль 2025'!$D$4:$D$2441,$B15,'февраль 2025'!$J$4:$J$2441,I$1)</f>
        <v>0</v>
      </c>
      <c r="J15" s="76">
        <f>SUMIFS('февраль 2025'!$G$4:$G$2441,'февраль 2025'!$D$4:$D$2441,$B15,'февраль 2025'!$J$4:$J$2441,J$1)</f>
        <v>0</v>
      </c>
      <c r="K15" s="76">
        <f>SUMIFS('февраль 2025'!$G$4:$G$2441,'февраль 2025'!$D$4:$D$2441,$B15,'февраль 2025'!$J$4:$J$2441,K$1)</f>
        <v>0</v>
      </c>
      <c r="L15" s="76">
        <f>SUMIFS('февраль 2025'!$G$4:$G$2441,'февраль 2025'!$D$4:$D$2441,$B15,'февраль 2025'!$J$4:$J$2441,L$1)</f>
        <v>0</v>
      </c>
      <c r="M15" s="76">
        <f>SUMIFS('февраль 2025'!$G$4:$G$2441,'февраль 2025'!$D$4:$D$2441,$B15,'февраль 2025'!$J$4:$J$2441,M$1)</f>
        <v>0</v>
      </c>
      <c r="N15" s="76">
        <f>SUMIFS('февраль 2025'!$G$4:$G$2441,'февраль 2025'!$D$4:$D$2441,$B15,'февраль 2025'!$J$4:$J$2441,N$1)</f>
        <v>1750</v>
      </c>
      <c r="O15" s="76">
        <f>SUMIFS('февраль 2025'!$G$4:$G$2441,'февраль 2025'!$D$4:$D$2441,$B15,'февраль 2025'!$J$4:$J$2441,O$1)</f>
        <v>0</v>
      </c>
      <c r="P15" s="76">
        <f>SUMIFS('февраль 2025'!$G$4:$G$2441,'февраль 2025'!$D$4:$D$2441,$B15,'февраль 2025'!$J$4:$J$2441,P$1)</f>
        <v>0</v>
      </c>
      <c r="Q15" s="76">
        <f>SUMIFS('февраль 2025'!$G$4:$G$2441,'февраль 2025'!$D$4:$D$2441,$B15,'февраль 2025'!$J$4:$J$2441,Q$1)</f>
        <v>0</v>
      </c>
      <c r="R15" s="76">
        <f>SUMIFS('февраль 2025'!$G$4:$G$2441,'февраль 2025'!$D$4:$D$2441,$B15,'февраль 2025'!$J$4:$J$2441,R$1)</f>
        <v>0</v>
      </c>
      <c r="S15" s="76">
        <f>SUMIFS('февраль 2025'!$G$4:$G$2441,'февраль 2025'!$D$4:$D$2441,$B15,'февраль 2025'!$J$4:$J$2441,S$1)</f>
        <v>0</v>
      </c>
      <c r="T15" s="76">
        <f>SUMIFS('февраль 2025'!$G$4:$G$2441,'февраль 2025'!$D$4:$D$2441,$B15,'февраль 2025'!$J$4:$J$2441,T$1)</f>
        <v>0</v>
      </c>
      <c r="U15" s="76">
        <f>SUMIFS('февраль 2025'!$G$4:$G$2441,'февраль 2025'!$D$4:$D$2441,$B15,'февраль 2025'!$J$4:$J$2441,U$1)</f>
        <v>0</v>
      </c>
      <c r="V15" s="76">
        <f>SUMIFS('февраль 2025'!$G$4:$G$2441,'февраль 2025'!$D$4:$D$2441,$B15,'февраль 2025'!$J$4:$J$2441,V$1)</f>
        <v>0</v>
      </c>
      <c r="W15" s="76">
        <f>SUMIFS('февраль 2025'!$G$4:$G$2441,'февраль 2025'!$D$4:$D$2441,$B15,'февраль 2025'!$J$4:$J$2441,W$1)</f>
        <v>0</v>
      </c>
      <c r="X15" s="76">
        <f>SUMIFS('февраль 2025'!$G$4:$G$2441,'февраль 2025'!$D$4:$D$2441,$B15,'февраль 2025'!$J$4:$J$2441,X$1)</f>
        <v>0</v>
      </c>
      <c r="Y15" s="76">
        <f>SUMIFS('февраль 2025'!$G$4:$G$2441,'февраль 2025'!$D$4:$D$2441,$B15,'февраль 2025'!$J$4:$J$2441,Y$1)</f>
        <v>0</v>
      </c>
      <c r="Z15" s="76">
        <f>SUMIFS('февраль 2025'!$G$4:$G$2441,'февраль 2025'!$D$4:$D$2441,$B15,'февраль 2025'!$J$4:$J$2441,Z$1)</f>
        <v>0</v>
      </c>
      <c r="AA15" s="76">
        <f>SUMIFS('февраль 2025'!$G$4:$G$2441,'февраль 2025'!$D$4:$D$2441,$B15,'февраль 2025'!$J$4:$J$2441,AA$1)</f>
        <v>0</v>
      </c>
      <c r="AB15" s="76">
        <f>SUMIFS('февраль 2025'!$G$4:$G$2441,'февраль 2025'!$D$4:$D$2441,$B15,'февраль 2025'!$J$4:$J$2441,AB$1)</f>
        <v>0</v>
      </c>
      <c r="AC15" s="76">
        <f>SUMIFS('февраль 2025'!$G$4:$G$2441,'февраль 2025'!$D$4:$D$2441,$B15,'февраль 2025'!$J$4:$J$2441,AC$1)</f>
        <v>0</v>
      </c>
      <c r="AD15" s="76">
        <f>SUMIFS('февраль 2025'!$G$4:$G$2441,'февраль 2025'!$D$4:$D$2441,$B15,'февраль 2025'!$J$4:$J$2441,AD$1)</f>
        <v>0</v>
      </c>
      <c r="AE15" s="76">
        <f>SUMIFS('февраль 2025'!$G$4:$G$2441,'февраль 2025'!$D$4:$D$2441,$B15,'февраль 2025'!$J$4:$J$2441,AE$1)</f>
        <v>0</v>
      </c>
      <c r="AF15" s="76">
        <f>SUMIFS('февраль 2025'!$G$4:$G$2441,'февраль 2025'!$D$4:$D$2441,$B15,'февраль 2025'!$J$4:$J$2441,AF$1)</f>
        <v>0</v>
      </c>
      <c r="AG15" s="76">
        <f>SUMIFS('февраль 2025'!$G$4:$G$2441,'февраль 2025'!$D$4:$D$2441,$B15,'февраль 2025'!$J$4:$J$2441,AG$1)</f>
        <v>0</v>
      </c>
      <c r="AH15" s="76">
        <f>SUMIFS('февраль 2025'!$G$4:$G$2441,'февраль 2025'!$D$4:$D$2441,$B15,'февраль 2025'!$J$4:$J$2441,AH$1)</f>
        <v>0</v>
      </c>
      <c r="AI15" s="20">
        <f t="shared" si="1"/>
        <v>1750</v>
      </c>
    </row>
    <row r="16" spans="2:35" ht="15" customHeight="1" x14ac:dyDescent="0.25">
      <c r="B16" s="77" t="s">
        <v>233</v>
      </c>
      <c r="C16" s="78">
        <v>22.7</v>
      </c>
      <c r="D16" s="76">
        <f>SUMIFS('февраль 2025'!$G$4:$G$2441,'февраль 2025'!$D$4:$D$2441,$B16,'февраль 2025'!$J$4:$J$2441,D$1)</f>
        <v>0</v>
      </c>
      <c r="E16" s="76">
        <f>SUMIFS('февраль 2025'!$G$4:$G$2441,'февраль 2025'!$D$4:$D$2441,$B16,'февраль 2025'!$J$4:$J$2441,E$1)</f>
        <v>0</v>
      </c>
      <c r="F16" s="76">
        <f>SUMIFS('февраль 2025'!$G$4:$G$2441,'февраль 2025'!$D$4:$D$2441,$B16,'февраль 2025'!$J$4:$J$2441,F$1)</f>
        <v>0</v>
      </c>
      <c r="G16" s="76">
        <f>SUMIFS('февраль 2025'!$G$4:$G$2441,'февраль 2025'!$D$4:$D$2441,$B16,'февраль 2025'!$J$4:$J$2441,G$1)</f>
        <v>0</v>
      </c>
      <c r="H16" s="76">
        <f>SUMIFS('февраль 2025'!$G$4:$G$2441,'февраль 2025'!$D$4:$D$2441,$B16,'февраль 2025'!$J$4:$J$2441,H$1)</f>
        <v>0</v>
      </c>
      <c r="I16" s="76">
        <f>SUMIFS('февраль 2025'!$G$4:$G$2441,'февраль 2025'!$D$4:$D$2441,$B16,'февраль 2025'!$J$4:$J$2441,I$1)</f>
        <v>0</v>
      </c>
      <c r="J16" s="76">
        <f>SUMIFS('февраль 2025'!$G$4:$G$2441,'февраль 2025'!$D$4:$D$2441,$B16,'февраль 2025'!$J$4:$J$2441,J$1)</f>
        <v>0</v>
      </c>
      <c r="K16" s="76">
        <f>SUMIFS('февраль 2025'!$G$4:$G$2441,'февраль 2025'!$D$4:$D$2441,$B16,'февраль 2025'!$J$4:$J$2441,K$1)</f>
        <v>0</v>
      </c>
      <c r="L16" s="76">
        <f>SUMIFS('февраль 2025'!$G$4:$G$2441,'февраль 2025'!$D$4:$D$2441,$B16,'февраль 2025'!$J$4:$J$2441,L$1)</f>
        <v>0</v>
      </c>
      <c r="M16" s="76">
        <f>SUMIFS('февраль 2025'!$G$4:$G$2441,'февраль 2025'!$D$4:$D$2441,$B16,'февраль 2025'!$J$4:$J$2441,M$1)</f>
        <v>0</v>
      </c>
      <c r="N16" s="76">
        <f>SUMIFS('февраль 2025'!$G$4:$G$2441,'февраль 2025'!$D$4:$D$2441,$B16,'февраль 2025'!$J$4:$J$2441,N$1)</f>
        <v>0</v>
      </c>
      <c r="O16" s="76">
        <f>SUMIFS('февраль 2025'!$G$4:$G$2441,'февраль 2025'!$D$4:$D$2441,$B16,'февраль 2025'!$J$4:$J$2441,O$1)</f>
        <v>0</v>
      </c>
      <c r="P16" s="76">
        <f>SUMIFS('февраль 2025'!$G$4:$G$2441,'февраль 2025'!$D$4:$D$2441,$B16,'февраль 2025'!$J$4:$J$2441,P$1)</f>
        <v>0</v>
      </c>
      <c r="Q16" s="76">
        <f>SUMIFS('февраль 2025'!$G$4:$G$2441,'февраль 2025'!$D$4:$D$2441,$B16,'февраль 2025'!$J$4:$J$2441,Q$1)</f>
        <v>0</v>
      </c>
      <c r="R16" s="76">
        <f>SUMIFS('февраль 2025'!$G$4:$G$2441,'февраль 2025'!$D$4:$D$2441,$B16,'февраль 2025'!$J$4:$J$2441,R$1)</f>
        <v>0</v>
      </c>
      <c r="S16" s="76">
        <f>SUMIFS('февраль 2025'!$G$4:$G$2441,'февраль 2025'!$D$4:$D$2441,$B16,'февраль 2025'!$J$4:$J$2441,S$1)</f>
        <v>0</v>
      </c>
      <c r="T16" s="76">
        <f>SUMIFS('февраль 2025'!$G$4:$G$2441,'февраль 2025'!$D$4:$D$2441,$B16,'февраль 2025'!$J$4:$J$2441,T$1)</f>
        <v>0</v>
      </c>
      <c r="U16" s="76">
        <f>SUMIFS('февраль 2025'!$G$4:$G$2441,'февраль 2025'!$D$4:$D$2441,$B16,'февраль 2025'!$J$4:$J$2441,U$1)</f>
        <v>0</v>
      </c>
      <c r="V16" s="76">
        <f>SUMIFS('февраль 2025'!$G$4:$G$2441,'февраль 2025'!$D$4:$D$2441,$B16,'февраль 2025'!$J$4:$J$2441,V$1)</f>
        <v>0</v>
      </c>
      <c r="W16" s="76">
        <f>SUMIFS('февраль 2025'!$G$4:$G$2441,'февраль 2025'!$D$4:$D$2441,$B16,'февраль 2025'!$J$4:$J$2441,W$1)</f>
        <v>0</v>
      </c>
      <c r="X16" s="76">
        <f>SUMIFS('февраль 2025'!$G$4:$G$2441,'февраль 2025'!$D$4:$D$2441,$B16,'февраль 2025'!$J$4:$J$2441,X$1)</f>
        <v>0</v>
      </c>
      <c r="Y16" s="76">
        <f>SUMIFS('февраль 2025'!$G$4:$G$2441,'февраль 2025'!$D$4:$D$2441,$B16,'февраль 2025'!$J$4:$J$2441,Y$1)</f>
        <v>0</v>
      </c>
      <c r="Z16" s="76">
        <f>SUMIFS('февраль 2025'!$G$4:$G$2441,'февраль 2025'!$D$4:$D$2441,$B16,'февраль 2025'!$J$4:$J$2441,Z$1)</f>
        <v>0</v>
      </c>
      <c r="AA16" s="76">
        <f>SUMIFS('февраль 2025'!$G$4:$G$2441,'февраль 2025'!$D$4:$D$2441,$B16,'февраль 2025'!$J$4:$J$2441,AA$1)</f>
        <v>0</v>
      </c>
      <c r="AB16" s="76">
        <f>SUMIFS('февраль 2025'!$G$4:$G$2441,'февраль 2025'!$D$4:$D$2441,$B16,'февраль 2025'!$J$4:$J$2441,AB$1)</f>
        <v>0</v>
      </c>
      <c r="AC16" s="76">
        <f>SUMIFS('февраль 2025'!$G$4:$G$2441,'февраль 2025'!$D$4:$D$2441,$B16,'февраль 2025'!$J$4:$J$2441,AC$1)</f>
        <v>0</v>
      </c>
      <c r="AD16" s="76">
        <f>SUMIFS('февраль 2025'!$G$4:$G$2441,'февраль 2025'!$D$4:$D$2441,$B16,'февраль 2025'!$J$4:$J$2441,AD$1)</f>
        <v>0</v>
      </c>
      <c r="AE16" s="76">
        <f>SUMIFS('февраль 2025'!$G$4:$G$2441,'февраль 2025'!$D$4:$D$2441,$B16,'февраль 2025'!$J$4:$J$2441,AE$1)</f>
        <v>0</v>
      </c>
      <c r="AF16" s="76">
        <f>SUMIFS('февраль 2025'!$G$4:$G$2441,'февраль 2025'!$D$4:$D$2441,$B16,'февраль 2025'!$J$4:$J$2441,AF$1)</f>
        <v>0</v>
      </c>
      <c r="AG16" s="76">
        <f>SUMIFS('февраль 2025'!$G$4:$G$2441,'февраль 2025'!$D$4:$D$2441,$B16,'февраль 2025'!$J$4:$J$2441,AG$1)</f>
        <v>0</v>
      </c>
      <c r="AH16" s="76">
        <f>SUMIFS('февраль 2025'!$G$4:$G$2441,'февраль 2025'!$D$4:$D$2441,$B16,'февраль 2025'!$J$4:$J$2441,AH$1)</f>
        <v>0</v>
      </c>
      <c r="AI16" s="20">
        <f t="shared" si="1"/>
        <v>0</v>
      </c>
    </row>
    <row r="17" spans="2:35" ht="15" customHeight="1" x14ac:dyDescent="0.25">
      <c r="B17" s="80" t="s">
        <v>235</v>
      </c>
      <c r="C17" s="81">
        <v>22.7</v>
      </c>
      <c r="D17" s="76">
        <f>SUMIFS('февраль 2025'!$G$4:$G$2441,'февраль 2025'!$D$4:$D$2441,$B17,'февраль 2025'!$J$4:$J$2441,D$1)</f>
        <v>0</v>
      </c>
      <c r="E17" s="76">
        <f>SUMIFS('февраль 2025'!$G$4:$G$2441,'февраль 2025'!$D$4:$D$2441,$B17,'февраль 2025'!$J$4:$J$2441,E$1)</f>
        <v>0</v>
      </c>
      <c r="F17" s="76">
        <f>SUMIFS('февраль 2025'!$G$4:$G$2441,'февраль 2025'!$D$4:$D$2441,$B17,'февраль 2025'!$J$4:$J$2441,F$1)</f>
        <v>0</v>
      </c>
      <c r="G17" s="76">
        <f>SUMIFS('февраль 2025'!$G$4:$G$2441,'февраль 2025'!$D$4:$D$2441,$B17,'февраль 2025'!$J$4:$J$2441,G$1)</f>
        <v>0</v>
      </c>
      <c r="H17" s="76">
        <f>SUMIFS('февраль 2025'!$G$4:$G$2441,'февраль 2025'!$D$4:$D$2441,$B17,'февраль 2025'!$J$4:$J$2441,H$1)</f>
        <v>0</v>
      </c>
      <c r="I17" s="76">
        <f>SUMIFS('февраль 2025'!$G$4:$G$2441,'февраль 2025'!$D$4:$D$2441,$B17,'февраль 2025'!$J$4:$J$2441,I$1)</f>
        <v>0</v>
      </c>
      <c r="J17" s="76">
        <f>SUMIFS('февраль 2025'!$G$4:$G$2441,'февраль 2025'!$D$4:$D$2441,$B17,'февраль 2025'!$J$4:$J$2441,J$1)</f>
        <v>0</v>
      </c>
      <c r="K17" s="76">
        <f>SUMIFS('февраль 2025'!$G$4:$G$2441,'февраль 2025'!$D$4:$D$2441,$B17,'февраль 2025'!$J$4:$J$2441,K$1)</f>
        <v>0</v>
      </c>
      <c r="L17" s="76">
        <f>SUMIFS('февраль 2025'!$G$4:$G$2441,'февраль 2025'!$D$4:$D$2441,$B17,'февраль 2025'!$J$4:$J$2441,L$1)</f>
        <v>0</v>
      </c>
      <c r="M17" s="76">
        <f>SUMIFS('февраль 2025'!$G$4:$G$2441,'февраль 2025'!$D$4:$D$2441,$B17,'февраль 2025'!$J$4:$J$2441,M$1)</f>
        <v>0</v>
      </c>
      <c r="N17" s="76">
        <f>SUMIFS('февраль 2025'!$G$4:$G$2441,'февраль 2025'!$D$4:$D$2441,$B17,'февраль 2025'!$J$4:$J$2441,N$1)</f>
        <v>0</v>
      </c>
      <c r="O17" s="76">
        <f>SUMIFS('февраль 2025'!$G$4:$G$2441,'февраль 2025'!$D$4:$D$2441,$B17,'февраль 2025'!$J$4:$J$2441,O$1)</f>
        <v>0</v>
      </c>
      <c r="P17" s="76">
        <f>SUMIFS('февраль 2025'!$G$4:$G$2441,'февраль 2025'!$D$4:$D$2441,$B17,'февраль 2025'!$J$4:$J$2441,P$1)</f>
        <v>0</v>
      </c>
      <c r="Q17" s="76">
        <f>SUMIFS('февраль 2025'!$G$4:$G$2441,'февраль 2025'!$D$4:$D$2441,$B17,'февраль 2025'!$J$4:$J$2441,Q$1)</f>
        <v>0</v>
      </c>
      <c r="R17" s="76">
        <f>SUMIFS('февраль 2025'!$G$4:$G$2441,'февраль 2025'!$D$4:$D$2441,$B17,'февраль 2025'!$J$4:$J$2441,R$1)</f>
        <v>0</v>
      </c>
      <c r="S17" s="76">
        <f>SUMIFS('февраль 2025'!$G$4:$G$2441,'февраль 2025'!$D$4:$D$2441,$B17,'февраль 2025'!$J$4:$J$2441,S$1)</f>
        <v>0</v>
      </c>
      <c r="T17" s="76">
        <f>SUMIFS('февраль 2025'!$G$4:$G$2441,'февраль 2025'!$D$4:$D$2441,$B17,'февраль 2025'!$J$4:$J$2441,T$1)</f>
        <v>0</v>
      </c>
      <c r="U17" s="76">
        <f>SUMIFS('февраль 2025'!$G$4:$G$2441,'февраль 2025'!$D$4:$D$2441,$B17,'февраль 2025'!$J$4:$J$2441,U$1)</f>
        <v>0</v>
      </c>
      <c r="V17" s="76">
        <f>SUMIFS('февраль 2025'!$G$4:$G$2441,'февраль 2025'!$D$4:$D$2441,$B17,'февраль 2025'!$J$4:$J$2441,V$1)</f>
        <v>0</v>
      </c>
      <c r="W17" s="76">
        <f>SUMIFS('февраль 2025'!$G$4:$G$2441,'февраль 2025'!$D$4:$D$2441,$B17,'февраль 2025'!$J$4:$J$2441,W$1)</f>
        <v>0</v>
      </c>
      <c r="X17" s="76">
        <f>SUMIFS('февраль 2025'!$G$4:$G$2441,'февраль 2025'!$D$4:$D$2441,$B17,'февраль 2025'!$J$4:$J$2441,X$1)</f>
        <v>0</v>
      </c>
      <c r="Y17" s="76">
        <f>SUMIFS('февраль 2025'!$G$4:$G$2441,'февраль 2025'!$D$4:$D$2441,$B17,'февраль 2025'!$J$4:$J$2441,Y$1)</f>
        <v>0</v>
      </c>
      <c r="Z17" s="76">
        <f>SUMIFS('февраль 2025'!$G$4:$G$2441,'февраль 2025'!$D$4:$D$2441,$B17,'февраль 2025'!$J$4:$J$2441,Z$1)</f>
        <v>0</v>
      </c>
      <c r="AA17" s="76">
        <f>SUMIFS('февраль 2025'!$G$4:$G$2441,'февраль 2025'!$D$4:$D$2441,$B17,'февраль 2025'!$J$4:$J$2441,AA$1)</f>
        <v>0</v>
      </c>
      <c r="AB17" s="76">
        <f>SUMIFS('февраль 2025'!$G$4:$G$2441,'февраль 2025'!$D$4:$D$2441,$B17,'февраль 2025'!$J$4:$J$2441,AB$1)</f>
        <v>0</v>
      </c>
      <c r="AC17" s="76">
        <f>SUMIFS('февраль 2025'!$G$4:$G$2441,'февраль 2025'!$D$4:$D$2441,$B17,'февраль 2025'!$J$4:$J$2441,AC$1)</f>
        <v>0</v>
      </c>
      <c r="AD17" s="76">
        <f>SUMIFS('февраль 2025'!$G$4:$G$2441,'февраль 2025'!$D$4:$D$2441,$B17,'февраль 2025'!$J$4:$J$2441,AD$1)</f>
        <v>0</v>
      </c>
      <c r="AE17" s="76">
        <f>SUMIFS('февраль 2025'!$G$4:$G$2441,'февраль 2025'!$D$4:$D$2441,$B17,'февраль 2025'!$J$4:$J$2441,AE$1)</f>
        <v>0</v>
      </c>
      <c r="AF17" s="76">
        <f>SUMIFS('февраль 2025'!$G$4:$G$2441,'февраль 2025'!$D$4:$D$2441,$B17,'февраль 2025'!$J$4:$J$2441,AF$1)</f>
        <v>0</v>
      </c>
      <c r="AG17" s="76">
        <f>SUMIFS('февраль 2025'!$G$4:$G$2441,'февраль 2025'!$D$4:$D$2441,$B17,'февраль 2025'!$J$4:$J$2441,AG$1)</f>
        <v>0</v>
      </c>
      <c r="AH17" s="76">
        <f>SUMIFS('февраль 2025'!$G$4:$G$2441,'февраль 2025'!$D$4:$D$2441,$B17,'февраль 2025'!$J$4:$J$2441,AH$1)</f>
        <v>0</v>
      </c>
      <c r="AI17" s="20">
        <f t="shared" si="1"/>
        <v>0</v>
      </c>
    </row>
    <row r="18" spans="2:35" ht="15" customHeight="1" x14ac:dyDescent="0.25">
      <c r="B18" s="80" t="s">
        <v>237</v>
      </c>
      <c r="C18" s="81">
        <v>25</v>
      </c>
      <c r="D18" s="76">
        <f>SUMIFS('февраль 2025'!$G$4:$G$2441,'февраль 2025'!$D$4:$D$2441,$B18,'февраль 2025'!$J$4:$J$2441,D$1)</f>
        <v>0</v>
      </c>
      <c r="E18" s="76">
        <f>SUMIFS('февраль 2025'!$G$4:$G$2441,'февраль 2025'!$D$4:$D$2441,$B18,'февраль 2025'!$J$4:$J$2441,E$1)</f>
        <v>0</v>
      </c>
      <c r="F18" s="76">
        <f>SUMIFS('февраль 2025'!$G$4:$G$2441,'февраль 2025'!$D$4:$D$2441,$B18,'февраль 2025'!$J$4:$J$2441,F$1)</f>
        <v>0</v>
      </c>
      <c r="G18" s="76">
        <f>SUMIFS('февраль 2025'!$G$4:$G$2441,'февраль 2025'!$D$4:$D$2441,$B18,'февраль 2025'!$J$4:$J$2441,G$1)</f>
        <v>0</v>
      </c>
      <c r="H18" s="76">
        <f>SUMIFS('февраль 2025'!$G$4:$G$2441,'февраль 2025'!$D$4:$D$2441,$B18,'февраль 2025'!$J$4:$J$2441,H$1)</f>
        <v>0</v>
      </c>
      <c r="I18" s="76">
        <f>SUMIFS('февраль 2025'!$G$4:$G$2441,'февраль 2025'!$D$4:$D$2441,$B18,'февраль 2025'!$J$4:$J$2441,I$1)</f>
        <v>0</v>
      </c>
      <c r="J18" s="76">
        <f>SUMIFS('февраль 2025'!$G$4:$G$2441,'февраль 2025'!$D$4:$D$2441,$B18,'февраль 2025'!$J$4:$J$2441,J$1)</f>
        <v>0</v>
      </c>
      <c r="K18" s="76">
        <f>SUMIFS('февраль 2025'!$G$4:$G$2441,'февраль 2025'!$D$4:$D$2441,$B18,'февраль 2025'!$J$4:$J$2441,K$1)</f>
        <v>0</v>
      </c>
      <c r="L18" s="76">
        <f>SUMIFS('февраль 2025'!$G$4:$G$2441,'февраль 2025'!$D$4:$D$2441,$B18,'февраль 2025'!$J$4:$J$2441,L$1)</f>
        <v>0</v>
      </c>
      <c r="M18" s="76">
        <f>SUMIFS('февраль 2025'!$G$4:$G$2441,'февраль 2025'!$D$4:$D$2441,$B18,'февраль 2025'!$J$4:$J$2441,M$1)</f>
        <v>0</v>
      </c>
      <c r="N18" s="76">
        <f>SUMIFS('февраль 2025'!$G$4:$G$2441,'февраль 2025'!$D$4:$D$2441,$B18,'февраль 2025'!$J$4:$J$2441,N$1)</f>
        <v>0</v>
      </c>
      <c r="O18" s="76">
        <f>SUMIFS('февраль 2025'!$G$4:$G$2441,'февраль 2025'!$D$4:$D$2441,$B18,'февраль 2025'!$J$4:$J$2441,O$1)</f>
        <v>0</v>
      </c>
      <c r="P18" s="76">
        <f>SUMIFS('февраль 2025'!$G$4:$G$2441,'февраль 2025'!$D$4:$D$2441,$B18,'февраль 2025'!$J$4:$J$2441,P$1)</f>
        <v>800</v>
      </c>
      <c r="Q18" s="76">
        <f>SUMIFS('февраль 2025'!$G$4:$G$2441,'февраль 2025'!$D$4:$D$2441,$B18,'февраль 2025'!$J$4:$J$2441,Q$1)</f>
        <v>800</v>
      </c>
      <c r="R18" s="76">
        <f>SUMIFS('февраль 2025'!$G$4:$G$2441,'февраль 2025'!$D$4:$D$2441,$B18,'февраль 2025'!$J$4:$J$2441,R$1)</f>
        <v>0</v>
      </c>
      <c r="S18" s="76">
        <f>SUMIFS('февраль 2025'!$G$4:$G$2441,'февраль 2025'!$D$4:$D$2441,$B18,'февраль 2025'!$J$4:$J$2441,S$1)</f>
        <v>0</v>
      </c>
      <c r="T18" s="76">
        <f>SUMIFS('февраль 2025'!$G$4:$G$2441,'февраль 2025'!$D$4:$D$2441,$B18,'февраль 2025'!$J$4:$J$2441,T$1)</f>
        <v>0</v>
      </c>
      <c r="U18" s="76">
        <f>SUMIFS('февраль 2025'!$G$4:$G$2441,'февраль 2025'!$D$4:$D$2441,$B18,'февраль 2025'!$J$4:$J$2441,U$1)</f>
        <v>0</v>
      </c>
      <c r="V18" s="76">
        <f>SUMIFS('февраль 2025'!$G$4:$G$2441,'февраль 2025'!$D$4:$D$2441,$B18,'февраль 2025'!$J$4:$J$2441,V$1)</f>
        <v>0</v>
      </c>
      <c r="W18" s="76">
        <f>SUMIFS('февраль 2025'!$G$4:$G$2441,'февраль 2025'!$D$4:$D$2441,$B18,'февраль 2025'!$J$4:$J$2441,W$1)</f>
        <v>0</v>
      </c>
      <c r="X18" s="76">
        <f>SUMIFS('февраль 2025'!$G$4:$G$2441,'февраль 2025'!$D$4:$D$2441,$B18,'февраль 2025'!$J$4:$J$2441,X$1)</f>
        <v>700</v>
      </c>
      <c r="Y18" s="76">
        <f>SUMIFS('февраль 2025'!$G$4:$G$2441,'февраль 2025'!$D$4:$D$2441,$B18,'февраль 2025'!$J$4:$J$2441,Y$1)</f>
        <v>0</v>
      </c>
      <c r="Z18" s="76">
        <f>SUMIFS('февраль 2025'!$G$4:$G$2441,'февраль 2025'!$D$4:$D$2441,$B18,'февраль 2025'!$J$4:$J$2441,Z$1)</f>
        <v>0</v>
      </c>
      <c r="AA18" s="76">
        <f>SUMIFS('февраль 2025'!$G$4:$G$2441,'февраль 2025'!$D$4:$D$2441,$B18,'февраль 2025'!$J$4:$J$2441,AA$1)</f>
        <v>800</v>
      </c>
      <c r="AB18" s="76">
        <f>SUMIFS('февраль 2025'!$G$4:$G$2441,'февраль 2025'!$D$4:$D$2441,$B18,'февраль 2025'!$J$4:$J$2441,AB$1)</f>
        <v>0</v>
      </c>
      <c r="AC18" s="76">
        <f>SUMIFS('февраль 2025'!$G$4:$G$2441,'февраль 2025'!$D$4:$D$2441,$B18,'февраль 2025'!$J$4:$J$2441,AC$1)</f>
        <v>0</v>
      </c>
      <c r="AD18" s="76">
        <f>SUMIFS('февраль 2025'!$G$4:$G$2441,'февраль 2025'!$D$4:$D$2441,$B18,'февраль 2025'!$J$4:$J$2441,AD$1)</f>
        <v>0</v>
      </c>
      <c r="AE18" s="76">
        <f>SUMIFS('февраль 2025'!$G$4:$G$2441,'февраль 2025'!$D$4:$D$2441,$B18,'февраль 2025'!$J$4:$J$2441,AE$1)</f>
        <v>0</v>
      </c>
      <c r="AF18" s="76">
        <f>SUMIFS('февраль 2025'!$G$4:$G$2441,'февраль 2025'!$D$4:$D$2441,$B18,'февраль 2025'!$J$4:$J$2441,AF$1)</f>
        <v>0</v>
      </c>
      <c r="AG18" s="76">
        <f>SUMIFS('февраль 2025'!$G$4:$G$2441,'февраль 2025'!$D$4:$D$2441,$B18,'февраль 2025'!$J$4:$J$2441,AG$1)</f>
        <v>0</v>
      </c>
      <c r="AH18" s="76">
        <f>SUMIFS('февраль 2025'!$G$4:$G$2441,'февраль 2025'!$D$4:$D$2441,$B18,'февраль 2025'!$J$4:$J$2441,AH$1)</f>
        <v>0</v>
      </c>
      <c r="AI18" s="20">
        <f t="shared" si="1"/>
        <v>3100</v>
      </c>
    </row>
    <row r="19" spans="2:35" ht="15" customHeight="1" x14ac:dyDescent="0.25">
      <c r="B19" s="77" t="s">
        <v>239</v>
      </c>
      <c r="C19" s="78">
        <v>25</v>
      </c>
      <c r="D19" s="76">
        <f>SUMIFS('февраль 2025'!$G$4:$G$2441,'февраль 2025'!$D$4:$D$2441,$B19,'февраль 2025'!$J$4:$J$2441,D$1)</f>
        <v>0</v>
      </c>
      <c r="E19" s="76">
        <f>SUMIFS('февраль 2025'!$G$4:$G$2441,'февраль 2025'!$D$4:$D$2441,$B19,'февраль 2025'!$J$4:$J$2441,E$1)</f>
        <v>0</v>
      </c>
      <c r="F19" s="76">
        <f>SUMIFS('февраль 2025'!$G$4:$G$2441,'февраль 2025'!$D$4:$D$2441,$B19,'февраль 2025'!$J$4:$J$2441,F$1)</f>
        <v>0</v>
      </c>
      <c r="G19" s="76">
        <f>SUMIFS('февраль 2025'!$G$4:$G$2441,'февраль 2025'!$D$4:$D$2441,$B19,'февраль 2025'!$J$4:$J$2441,G$1)</f>
        <v>0</v>
      </c>
      <c r="H19" s="76">
        <f>SUMIFS('февраль 2025'!$G$4:$G$2441,'февраль 2025'!$D$4:$D$2441,$B19,'февраль 2025'!$J$4:$J$2441,H$1)</f>
        <v>0</v>
      </c>
      <c r="I19" s="76">
        <f>SUMIFS('февраль 2025'!$G$4:$G$2441,'февраль 2025'!$D$4:$D$2441,$B19,'февраль 2025'!$J$4:$J$2441,I$1)</f>
        <v>0</v>
      </c>
      <c r="J19" s="76">
        <f>SUMIFS('февраль 2025'!$G$4:$G$2441,'февраль 2025'!$D$4:$D$2441,$B19,'февраль 2025'!$J$4:$J$2441,J$1)</f>
        <v>0</v>
      </c>
      <c r="K19" s="76">
        <f>SUMIFS('февраль 2025'!$G$4:$G$2441,'февраль 2025'!$D$4:$D$2441,$B19,'февраль 2025'!$J$4:$J$2441,K$1)</f>
        <v>0</v>
      </c>
      <c r="L19" s="76">
        <f>SUMIFS('февраль 2025'!$G$4:$G$2441,'февраль 2025'!$D$4:$D$2441,$B19,'февраль 2025'!$J$4:$J$2441,L$1)</f>
        <v>0</v>
      </c>
      <c r="M19" s="76">
        <f>SUMIFS('февраль 2025'!$G$4:$G$2441,'февраль 2025'!$D$4:$D$2441,$B19,'февраль 2025'!$J$4:$J$2441,M$1)</f>
        <v>0</v>
      </c>
      <c r="N19" s="76">
        <f>SUMIFS('февраль 2025'!$G$4:$G$2441,'февраль 2025'!$D$4:$D$2441,$B19,'февраль 2025'!$J$4:$J$2441,N$1)</f>
        <v>0</v>
      </c>
      <c r="O19" s="76">
        <f>SUMIFS('февраль 2025'!$G$4:$G$2441,'февраль 2025'!$D$4:$D$2441,$B19,'февраль 2025'!$J$4:$J$2441,O$1)</f>
        <v>0</v>
      </c>
      <c r="P19" s="76">
        <f>SUMIFS('февраль 2025'!$G$4:$G$2441,'февраль 2025'!$D$4:$D$2441,$B19,'февраль 2025'!$J$4:$J$2441,P$1)</f>
        <v>0</v>
      </c>
      <c r="Q19" s="76">
        <f>SUMIFS('февраль 2025'!$G$4:$G$2441,'февраль 2025'!$D$4:$D$2441,$B19,'февраль 2025'!$J$4:$J$2441,Q$1)</f>
        <v>0</v>
      </c>
      <c r="R19" s="76">
        <f>SUMIFS('февраль 2025'!$G$4:$G$2441,'февраль 2025'!$D$4:$D$2441,$B19,'февраль 2025'!$J$4:$J$2441,R$1)</f>
        <v>0</v>
      </c>
      <c r="S19" s="76">
        <f>SUMIFS('февраль 2025'!$G$4:$G$2441,'февраль 2025'!$D$4:$D$2441,$B19,'февраль 2025'!$J$4:$J$2441,S$1)</f>
        <v>0</v>
      </c>
      <c r="T19" s="76">
        <f>SUMIFS('февраль 2025'!$G$4:$G$2441,'февраль 2025'!$D$4:$D$2441,$B19,'февраль 2025'!$J$4:$J$2441,T$1)</f>
        <v>0</v>
      </c>
      <c r="U19" s="76">
        <f>SUMIFS('февраль 2025'!$G$4:$G$2441,'февраль 2025'!$D$4:$D$2441,$B19,'февраль 2025'!$J$4:$J$2441,U$1)</f>
        <v>0</v>
      </c>
      <c r="V19" s="76">
        <f>SUMIFS('февраль 2025'!$G$4:$G$2441,'февраль 2025'!$D$4:$D$2441,$B19,'февраль 2025'!$J$4:$J$2441,V$1)</f>
        <v>0</v>
      </c>
      <c r="W19" s="76">
        <f>SUMIFS('февраль 2025'!$G$4:$G$2441,'февраль 2025'!$D$4:$D$2441,$B19,'февраль 2025'!$J$4:$J$2441,W$1)</f>
        <v>0</v>
      </c>
      <c r="X19" s="76">
        <f>SUMIFS('февраль 2025'!$G$4:$G$2441,'февраль 2025'!$D$4:$D$2441,$B19,'февраль 2025'!$J$4:$J$2441,X$1)</f>
        <v>0</v>
      </c>
      <c r="Y19" s="76">
        <f>SUMIFS('февраль 2025'!$G$4:$G$2441,'февраль 2025'!$D$4:$D$2441,$B19,'февраль 2025'!$J$4:$J$2441,Y$1)</f>
        <v>0</v>
      </c>
      <c r="Z19" s="76">
        <f>SUMIFS('февраль 2025'!$G$4:$G$2441,'февраль 2025'!$D$4:$D$2441,$B19,'февраль 2025'!$J$4:$J$2441,Z$1)</f>
        <v>0</v>
      </c>
      <c r="AA19" s="76">
        <f>SUMIFS('февраль 2025'!$G$4:$G$2441,'февраль 2025'!$D$4:$D$2441,$B19,'февраль 2025'!$J$4:$J$2441,AA$1)</f>
        <v>0</v>
      </c>
      <c r="AB19" s="76">
        <f>SUMIFS('февраль 2025'!$G$4:$G$2441,'февраль 2025'!$D$4:$D$2441,$B19,'февраль 2025'!$J$4:$J$2441,AB$1)</f>
        <v>0</v>
      </c>
      <c r="AC19" s="76">
        <f>SUMIFS('февраль 2025'!$G$4:$G$2441,'февраль 2025'!$D$4:$D$2441,$B19,'февраль 2025'!$J$4:$J$2441,AC$1)</f>
        <v>0</v>
      </c>
      <c r="AD19" s="76">
        <f>SUMIFS('февраль 2025'!$G$4:$G$2441,'февраль 2025'!$D$4:$D$2441,$B19,'февраль 2025'!$J$4:$J$2441,AD$1)</f>
        <v>0</v>
      </c>
      <c r="AE19" s="76">
        <f>SUMIFS('февраль 2025'!$G$4:$G$2441,'февраль 2025'!$D$4:$D$2441,$B19,'февраль 2025'!$J$4:$J$2441,AE$1)</f>
        <v>0</v>
      </c>
      <c r="AF19" s="76">
        <f>SUMIFS('февраль 2025'!$G$4:$G$2441,'февраль 2025'!$D$4:$D$2441,$B19,'февраль 2025'!$J$4:$J$2441,AF$1)</f>
        <v>0</v>
      </c>
      <c r="AG19" s="76">
        <f>SUMIFS('февраль 2025'!$G$4:$G$2441,'февраль 2025'!$D$4:$D$2441,$B19,'февраль 2025'!$J$4:$J$2441,AG$1)</f>
        <v>0</v>
      </c>
      <c r="AH19" s="76">
        <f>SUMIFS('февраль 2025'!$G$4:$G$2441,'февраль 2025'!$D$4:$D$2441,$B19,'февраль 2025'!$J$4:$J$2441,AH$1)</f>
        <v>0</v>
      </c>
      <c r="AI19" s="20">
        <f t="shared" si="1"/>
        <v>0</v>
      </c>
    </row>
    <row r="20" spans="2:35" ht="15" customHeight="1" x14ac:dyDescent="0.25">
      <c r="B20" s="77" t="s">
        <v>241</v>
      </c>
      <c r="C20" s="78">
        <v>25</v>
      </c>
      <c r="D20" s="76">
        <f>SUMIFS('февраль 2025'!$G$4:$G$2441,'февраль 2025'!$D$4:$D$2441,$B20,'февраль 2025'!$J$4:$J$2441,D$1)</f>
        <v>0</v>
      </c>
      <c r="E20" s="76">
        <f>SUMIFS('февраль 2025'!$G$4:$G$2441,'февраль 2025'!$D$4:$D$2441,$B20,'февраль 2025'!$J$4:$J$2441,E$1)</f>
        <v>0</v>
      </c>
      <c r="F20" s="76">
        <f>SUMIFS('февраль 2025'!$G$4:$G$2441,'февраль 2025'!$D$4:$D$2441,$B20,'февраль 2025'!$J$4:$J$2441,F$1)</f>
        <v>0</v>
      </c>
      <c r="G20" s="76">
        <f>SUMIFS('февраль 2025'!$G$4:$G$2441,'февраль 2025'!$D$4:$D$2441,$B20,'февраль 2025'!$J$4:$J$2441,G$1)</f>
        <v>0</v>
      </c>
      <c r="H20" s="76">
        <f>SUMIFS('февраль 2025'!$G$4:$G$2441,'февраль 2025'!$D$4:$D$2441,$B20,'февраль 2025'!$J$4:$J$2441,H$1)</f>
        <v>0</v>
      </c>
      <c r="I20" s="76">
        <f>SUMIFS('февраль 2025'!$G$4:$G$2441,'февраль 2025'!$D$4:$D$2441,$B20,'февраль 2025'!$J$4:$J$2441,I$1)</f>
        <v>0</v>
      </c>
      <c r="J20" s="76">
        <f>SUMIFS('февраль 2025'!$G$4:$G$2441,'февраль 2025'!$D$4:$D$2441,$B20,'февраль 2025'!$J$4:$J$2441,J$1)</f>
        <v>0</v>
      </c>
      <c r="K20" s="76">
        <f>SUMIFS('февраль 2025'!$G$4:$G$2441,'февраль 2025'!$D$4:$D$2441,$B20,'февраль 2025'!$J$4:$J$2441,K$1)</f>
        <v>0</v>
      </c>
      <c r="L20" s="76">
        <f>SUMIFS('февраль 2025'!$G$4:$G$2441,'февраль 2025'!$D$4:$D$2441,$B20,'февраль 2025'!$J$4:$J$2441,L$1)</f>
        <v>0</v>
      </c>
      <c r="M20" s="76">
        <f>SUMIFS('февраль 2025'!$G$4:$G$2441,'февраль 2025'!$D$4:$D$2441,$B20,'февраль 2025'!$J$4:$J$2441,M$1)</f>
        <v>0</v>
      </c>
      <c r="N20" s="76">
        <f>SUMIFS('февраль 2025'!$G$4:$G$2441,'февраль 2025'!$D$4:$D$2441,$B20,'февраль 2025'!$J$4:$J$2441,N$1)</f>
        <v>0</v>
      </c>
      <c r="O20" s="76">
        <f>SUMIFS('февраль 2025'!$G$4:$G$2441,'февраль 2025'!$D$4:$D$2441,$B20,'февраль 2025'!$J$4:$J$2441,O$1)</f>
        <v>0</v>
      </c>
      <c r="P20" s="76">
        <f>SUMIFS('февраль 2025'!$G$4:$G$2441,'февраль 2025'!$D$4:$D$2441,$B20,'февраль 2025'!$J$4:$J$2441,P$1)</f>
        <v>0</v>
      </c>
      <c r="Q20" s="76">
        <f>SUMIFS('февраль 2025'!$G$4:$G$2441,'февраль 2025'!$D$4:$D$2441,$B20,'февраль 2025'!$J$4:$J$2441,Q$1)</f>
        <v>0</v>
      </c>
      <c r="R20" s="76">
        <f>SUMIFS('февраль 2025'!$G$4:$G$2441,'февраль 2025'!$D$4:$D$2441,$B20,'февраль 2025'!$J$4:$J$2441,R$1)</f>
        <v>0</v>
      </c>
      <c r="S20" s="76">
        <f>SUMIFS('февраль 2025'!$G$4:$G$2441,'февраль 2025'!$D$4:$D$2441,$B20,'февраль 2025'!$J$4:$J$2441,S$1)</f>
        <v>0</v>
      </c>
      <c r="T20" s="76">
        <f>SUMIFS('февраль 2025'!$G$4:$G$2441,'февраль 2025'!$D$4:$D$2441,$B20,'февраль 2025'!$J$4:$J$2441,T$1)</f>
        <v>0</v>
      </c>
      <c r="U20" s="76">
        <f>SUMIFS('февраль 2025'!$G$4:$G$2441,'февраль 2025'!$D$4:$D$2441,$B20,'февраль 2025'!$J$4:$J$2441,U$1)</f>
        <v>0</v>
      </c>
      <c r="V20" s="76">
        <f>SUMIFS('февраль 2025'!$G$4:$G$2441,'февраль 2025'!$D$4:$D$2441,$B20,'февраль 2025'!$J$4:$J$2441,V$1)</f>
        <v>0</v>
      </c>
      <c r="W20" s="76">
        <f>SUMIFS('февраль 2025'!$G$4:$G$2441,'февраль 2025'!$D$4:$D$2441,$B20,'февраль 2025'!$J$4:$J$2441,W$1)</f>
        <v>0</v>
      </c>
      <c r="X20" s="76">
        <f>SUMIFS('февраль 2025'!$G$4:$G$2441,'февраль 2025'!$D$4:$D$2441,$B20,'февраль 2025'!$J$4:$J$2441,X$1)</f>
        <v>0</v>
      </c>
      <c r="Y20" s="76">
        <f>SUMIFS('февраль 2025'!$G$4:$G$2441,'февраль 2025'!$D$4:$D$2441,$B20,'февраль 2025'!$J$4:$J$2441,Y$1)</f>
        <v>0</v>
      </c>
      <c r="Z20" s="76">
        <f>SUMIFS('февраль 2025'!$G$4:$G$2441,'февраль 2025'!$D$4:$D$2441,$B20,'февраль 2025'!$J$4:$J$2441,Z$1)</f>
        <v>0</v>
      </c>
      <c r="AA20" s="76">
        <f>SUMIFS('февраль 2025'!$G$4:$G$2441,'февраль 2025'!$D$4:$D$2441,$B20,'февраль 2025'!$J$4:$J$2441,AA$1)</f>
        <v>0</v>
      </c>
      <c r="AB20" s="76">
        <f>SUMIFS('февраль 2025'!$G$4:$G$2441,'февраль 2025'!$D$4:$D$2441,$B20,'февраль 2025'!$J$4:$J$2441,AB$1)</f>
        <v>0</v>
      </c>
      <c r="AC20" s="76">
        <f>SUMIFS('февраль 2025'!$G$4:$G$2441,'февраль 2025'!$D$4:$D$2441,$B20,'февраль 2025'!$J$4:$J$2441,AC$1)</f>
        <v>0</v>
      </c>
      <c r="AD20" s="76">
        <f>SUMIFS('февраль 2025'!$G$4:$G$2441,'февраль 2025'!$D$4:$D$2441,$B20,'февраль 2025'!$J$4:$J$2441,AD$1)</f>
        <v>0</v>
      </c>
      <c r="AE20" s="76">
        <f>SUMIFS('февраль 2025'!$G$4:$G$2441,'февраль 2025'!$D$4:$D$2441,$B20,'февраль 2025'!$J$4:$J$2441,AE$1)</f>
        <v>0</v>
      </c>
      <c r="AF20" s="76">
        <f>SUMIFS('февраль 2025'!$G$4:$G$2441,'февраль 2025'!$D$4:$D$2441,$B20,'февраль 2025'!$J$4:$J$2441,AF$1)</f>
        <v>0</v>
      </c>
      <c r="AG20" s="76">
        <f>SUMIFS('февраль 2025'!$G$4:$G$2441,'февраль 2025'!$D$4:$D$2441,$B20,'февраль 2025'!$J$4:$J$2441,AG$1)</f>
        <v>0</v>
      </c>
      <c r="AH20" s="76">
        <f>SUMIFS('февраль 2025'!$G$4:$G$2441,'февраль 2025'!$D$4:$D$2441,$B20,'февраль 2025'!$J$4:$J$2441,AH$1)</f>
        <v>0</v>
      </c>
      <c r="AI20" s="20">
        <f t="shared" si="1"/>
        <v>0</v>
      </c>
    </row>
    <row r="21" spans="2:35" ht="15" customHeight="1" x14ac:dyDescent="0.25">
      <c r="B21" s="77" t="s">
        <v>243</v>
      </c>
      <c r="C21" s="78">
        <v>25</v>
      </c>
      <c r="D21" s="76">
        <f>SUMIFS('февраль 2025'!$G$4:$G$2441,'февраль 2025'!$D$4:$D$2441,$B21,'февраль 2025'!$J$4:$J$2441,D$1)</f>
        <v>0</v>
      </c>
      <c r="E21" s="76">
        <f>SUMIFS('февраль 2025'!$G$4:$G$2441,'февраль 2025'!$D$4:$D$2441,$B21,'февраль 2025'!$J$4:$J$2441,E$1)</f>
        <v>0</v>
      </c>
      <c r="F21" s="76">
        <f>SUMIFS('февраль 2025'!$G$4:$G$2441,'февраль 2025'!$D$4:$D$2441,$B21,'февраль 2025'!$J$4:$J$2441,F$1)</f>
        <v>0</v>
      </c>
      <c r="G21" s="76">
        <f>SUMIFS('февраль 2025'!$G$4:$G$2441,'февраль 2025'!$D$4:$D$2441,$B21,'февраль 2025'!$J$4:$J$2441,G$1)</f>
        <v>0</v>
      </c>
      <c r="H21" s="76">
        <f>SUMIFS('февраль 2025'!$G$4:$G$2441,'февраль 2025'!$D$4:$D$2441,$B21,'февраль 2025'!$J$4:$J$2441,H$1)</f>
        <v>0</v>
      </c>
      <c r="I21" s="76">
        <f>SUMIFS('февраль 2025'!$G$4:$G$2441,'февраль 2025'!$D$4:$D$2441,$B21,'февраль 2025'!$J$4:$J$2441,I$1)</f>
        <v>0</v>
      </c>
      <c r="J21" s="76">
        <f>SUMIFS('февраль 2025'!$G$4:$G$2441,'февраль 2025'!$D$4:$D$2441,$B21,'февраль 2025'!$J$4:$J$2441,J$1)</f>
        <v>0</v>
      </c>
      <c r="K21" s="76">
        <f>SUMIFS('февраль 2025'!$G$4:$G$2441,'февраль 2025'!$D$4:$D$2441,$B21,'февраль 2025'!$J$4:$J$2441,K$1)</f>
        <v>0</v>
      </c>
      <c r="L21" s="76">
        <f>SUMIFS('февраль 2025'!$G$4:$G$2441,'февраль 2025'!$D$4:$D$2441,$B21,'февраль 2025'!$J$4:$J$2441,L$1)</f>
        <v>0</v>
      </c>
      <c r="M21" s="76">
        <f>SUMIFS('февраль 2025'!$G$4:$G$2441,'февраль 2025'!$D$4:$D$2441,$B21,'февраль 2025'!$J$4:$J$2441,M$1)</f>
        <v>0</v>
      </c>
      <c r="N21" s="76">
        <f>SUMIFS('февраль 2025'!$G$4:$G$2441,'февраль 2025'!$D$4:$D$2441,$B21,'февраль 2025'!$J$4:$J$2441,N$1)</f>
        <v>0</v>
      </c>
      <c r="O21" s="76">
        <f>SUMIFS('февраль 2025'!$G$4:$G$2441,'февраль 2025'!$D$4:$D$2441,$B21,'февраль 2025'!$J$4:$J$2441,O$1)</f>
        <v>0</v>
      </c>
      <c r="P21" s="76">
        <f>SUMIFS('февраль 2025'!$G$4:$G$2441,'февраль 2025'!$D$4:$D$2441,$B21,'февраль 2025'!$J$4:$J$2441,P$1)</f>
        <v>0</v>
      </c>
      <c r="Q21" s="76">
        <f>SUMIFS('февраль 2025'!$G$4:$G$2441,'февраль 2025'!$D$4:$D$2441,$B21,'февраль 2025'!$J$4:$J$2441,Q$1)</f>
        <v>0</v>
      </c>
      <c r="R21" s="76">
        <f>SUMIFS('февраль 2025'!$G$4:$G$2441,'февраль 2025'!$D$4:$D$2441,$B21,'февраль 2025'!$J$4:$J$2441,R$1)</f>
        <v>0</v>
      </c>
      <c r="S21" s="76">
        <f>SUMIFS('февраль 2025'!$G$4:$G$2441,'февраль 2025'!$D$4:$D$2441,$B21,'февраль 2025'!$J$4:$J$2441,S$1)</f>
        <v>0</v>
      </c>
      <c r="T21" s="76">
        <f>SUMIFS('февраль 2025'!$G$4:$G$2441,'февраль 2025'!$D$4:$D$2441,$B21,'февраль 2025'!$J$4:$J$2441,T$1)</f>
        <v>0</v>
      </c>
      <c r="U21" s="76">
        <f>SUMIFS('февраль 2025'!$G$4:$G$2441,'февраль 2025'!$D$4:$D$2441,$B21,'февраль 2025'!$J$4:$J$2441,U$1)</f>
        <v>0</v>
      </c>
      <c r="V21" s="76">
        <f>SUMIFS('февраль 2025'!$G$4:$G$2441,'февраль 2025'!$D$4:$D$2441,$B21,'февраль 2025'!$J$4:$J$2441,V$1)</f>
        <v>0</v>
      </c>
      <c r="W21" s="76">
        <f>SUMIFS('февраль 2025'!$G$4:$G$2441,'февраль 2025'!$D$4:$D$2441,$B21,'февраль 2025'!$J$4:$J$2441,W$1)</f>
        <v>0</v>
      </c>
      <c r="X21" s="76">
        <f>SUMIFS('февраль 2025'!$G$4:$G$2441,'февраль 2025'!$D$4:$D$2441,$B21,'февраль 2025'!$J$4:$J$2441,X$1)</f>
        <v>0</v>
      </c>
      <c r="Y21" s="76">
        <f>SUMIFS('февраль 2025'!$G$4:$G$2441,'февраль 2025'!$D$4:$D$2441,$B21,'февраль 2025'!$J$4:$J$2441,Y$1)</f>
        <v>0</v>
      </c>
      <c r="Z21" s="76">
        <f>SUMIFS('февраль 2025'!$G$4:$G$2441,'февраль 2025'!$D$4:$D$2441,$B21,'февраль 2025'!$J$4:$J$2441,Z$1)</f>
        <v>0</v>
      </c>
      <c r="AA21" s="76">
        <f>SUMIFS('февраль 2025'!$G$4:$G$2441,'февраль 2025'!$D$4:$D$2441,$B21,'февраль 2025'!$J$4:$J$2441,AA$1)</f>
        <v>0</v>
      </c>
      <c r="AB21" s="76">
        <f>SUMIFS('февраль 2025'!$G$4:$G$2441,'февраль 2025'!$D$4:$D$2441,$B21,'февраль 2025'!$J$4:$J$2441,AB$1)</f>
        <v>800</v>
      </c>
      <c r="AC21" s="76">
        <f>SUMIFS('февраль 2025'!$G$4:$G$2441,'февраль 2025'!$D$4:$D$2441,$B21,'февраль 2025'!$J$4:$J$2441,AC$1)</f>
        <v>800</v>
      </c>
      <c r="AD21" s="76">
        <f>SUMIFS('февраль 2025'!$G$4:$G$2441,'февраль 2025'!$D$4:$D$2441,$B21,'февраль 2025'!$J$4:$J$2441,AD$1)</f>
        <v>0</v>
      </c>
      <c r="AE21" s="76">
        <f>SUMIFS('февраль 2025'!$G$4:$G$2441,'февраль 2025'!$D$4:$D$2441,$B21,'февраль 2025'!$J$4:$J$2441,AE$1)</f>
        <v>0</v>
      </c>
      <c r="AF21" s="76">
        <f>SUMIFS('февраль 2025'!$G$4:$G$2441,'февраль 2025'!$D$4:$D$2441,$B21,'февраль 2025'!$J$4:$J$2441,AF$1)</f>
        <v>0</v>
      </c>
      <c r="AG21" s="76">
        <f>SUMIFS('февраль 2025'!$G$4:$G$2441,'февраль 2025'!$D$4:$D$2441,$B21,'февраль 2025'!$J$4:$J$2441,AG$1)</f>
        <v>0</v>
      </c>
      <c r="AH21" s="76">
        <f>SUMIFS('февраль 2025'!$G$4:$G$2441,'февраль 2025'!$D$4:$D$2441,$B21,'февраль 2025'!$J$4:$J$2441,AH$1)</f>
        <v>0</v>
      </c>
      <c r="AI21" s="20">
        <f t="shared" si="1"/>
        <v>1600</v>
      </c>
    </row>
    <row r="22" spans="2:35" ht="15" customHeight="1" x14ac:dyDescent="0.25">
      <c r="B22" s="77" t="s">
        <v>245</v>
      </c>
      <c r="C22" s="78">
        <v>25</v>
      </c>
      <c r="D22" s="76">
        <f>SUMIFS('февраль 2025'!$G$4:$G$2441,'февраль 2025'!$D$4:$D$2441,$B22,'февраль 2025'!$J$4:$J$2441,D$1)</f>
        <v>0</v>
      </c>
      <c r="E22" s="76">
        <f>SUMIFS('февраль 2025'!$G$4:$G$2441,'февраль 2025'!$D$4:$D$2441,$B22,'февраль 2025'!$J$4:$J$2441,E$1)</f>
        <v>0</v>
      </c>
      <c r="F22" s="76">
        <f>SUMIFS('февраль 2025'!$G$4:$G$2441,'февраль 2025'!$D$4:$D$2441,$B22,'февраль 2025'!$J$4:$J$2441,F$1)</f>
        <v>0</v>
      </c>
      <c r="G22" s="76">
        <f>SUMIFS('февраль 2025'!$G$4:$G$2441,'февраль 2025'!$D$4:$D$2441,$B22,'февраль 2025'!$J$4:$J$2441,G$1)</f>
        <v>0</v>
      </c>
      <c r="H22" s="76">
        <f>SUMIFS('февраль 2025'!$G$4:$G$2441,'февраль 2025'!$D$4:$D$2441,$B22,'февраль 2025'!$J$4:$J$2441,H$1)</f>
        <v>0</v>
      </c>
      <c r="I22" s="76">
        <f>SUMIFS('февраль 2025'!$G$4:$G$2441,'февраль 2025'!$D$4:$D$2441,$B22,'февраль 2025'!$J$4:$J$2441,I$1)</f>
        <v>0</v>
      </c>
      <c r="J22" s="76">
        <f>SUMIFS('февраль 2025'!$G$4:$G$2441,'февраль 2025'!$D$4:$D$2441,$B22,'февраль 2025'!$J$4:$J$2441,J$1)</f>
        <v>0</v>
      </c>
      <c r="K22" s="76">
        <f>SUMIFS('февраль 2025'!$G$4:$G$2441,'февраль 2025'!$D$4:$D$2441,$B22,'февраль 2025'!$J$4:$J$2441,K$1)</f>
        <v>0</v>
      </c>
      <c r="L22" s="76">
        <f>SUMIFS('февраль 2025'!$G$4:$G$2441,'февраль 2025'!$D$4:$D$2441,$B22,'февраль 2025'!$J$4:$J$2441,L$1)</f>
        <v>0</v>
      </c>
      <c r="M22" s="76">
        <f>SUMIFS('февраль 2025'!$G$4:$G$2441,'февраль 2025'!$D$4:$D$2441,$B22,'февраль 2025'!$J$4:$J$2441,M$1)</f>
        <v>0</v>
      </c>
      <c r="N22" s="76">
        <f>SUMIFS('февраль 2025'!$G$4:$G$2441,'февраль 2025'!$D$4:$D$2441,$B22,'февраль 2025'!$J$4:$J$2441,N$1)</f>
        <v>0</v>
      </c>
      <c r="O22" s="76">
        <f>SUMIFS('февраль 2025'!$G$4:$G$2441,'февраль 2025'!$D$4:$D$2441,$B22,'февраль 2025'!$J$4:$J$2441,O$1)</f>
        <v>0</v>
      </c>
      <c r="P22" s="76">
        <f>SUMIFS('февраль 2025'!$G$4:$G$2441,'февраль 2025'!$D$4:$D$2441,$B22,'февраль 2025'!$J$4:$J$2441,P$1)</f>
        <v>0</v>
      </c>
      <c r="Q22" s="76">
        <f>SUMIFS('февраль 2025'!$G$4:$G$2441,'февраль 2025'!$D$4:$D$2441,$B22,'февраль 2025'!$J$4:$J$2441,Q$1)</f>
        <v>0</v>
      </c>
      <c r="R22" s="76">
        <f>SUMIFS('февраль 2025'!$G$4:$G$2441,'февраль 2025'!$D$4:$D$2441,$B22,'февраль 2025'!$J$4:$J$2441,R$1)</f>
        <v>0</v>
      </c>
      <c r="S22" s="76">
        <f>SUMIFS('февраль 2025'!$G$4:$G$2441,'февраль 2025'!$D$4:$D$2441,$B22,'февраль 2025'!$J$4:$J$2441,S$1)</f>
        <v>0</v>
      </c>
      <c r="T22" s="76">
        <f>SUMIFS('февраль 2025'!$G$4:$G$2441,'февраль 2025'!$D$4:$D$2441,$B22,'февраль 2025'!$J$4:$J$2441,T$1)</f>
        <v>0</v>
      </c>
      <c r="U22" s="76">
        <f>SUMIFS('февраль 2025'!$G$4:$G$2441,'февраль 2025'!$D$4:$D$2441,$B22,'февраль 2025'!$J$4:$J$2441,U$1)</f>
        <v>0</v>
      </c>
      <c r="V22" s="76">
        <f>SUMIFS('февраль 2025'!$G$4:$G$2441,'февраль 2025'!$D$4:$D$2441,$B22,'февраль 2025'!$J$4:$J$2441,V$1)</f>
        <v>0</v>
      </c>
      <c r="W22" s="76">
        <f>SUMIFS('февраль 2025'!$G$4:$G$2441,'февраль 2025'!$D$4:$D$2441,$B22,'февраль 2025'!$J$4:$J$2441,W$1)</f>
        <v>0</v>
      </c>
      <c r="X22" s="76">
        <f>SUMIFS('февраль 2025'!$G$4:$G$2441,'февраль 2025'!$D$4:$D$2441,$B22,'февраль 2025'!$J$4:$J$2441,X$1)</f>
        <v>0</v>
      </c>
      <c r="Y22" s="76">
        <f>SUMIFS('февраль 2025'!$G$4:$G$2441,'февраль 2025'!$D$4:$D$2441,$B22,'февраль 2025'!$J$4:$J$2441,Y$1)</f>
        <v>0</v>
      </c>
      <c r="Z22" s="76">
        <f>SUMIFS('февраль 2025'!$G$4:$G$2441,'февраль 2025'!$D$4:$D$2441,$B22,'февраль 2025'!$J$4:$J$2441,Z$1)</f>
        <v>0</v>
      </c>
      <c r="AA22" s="76">
        <f>SUMIFS('февраль 2025'!$G$4:$G$2441,'февраль 2025'!$D$4:$D$2441,$B22,'февраль 2025'!$J$4:$J$2441,AA$1)</f>
        <v>0</v>
      </c>
      <c r="AB22" s="76">
        <f>SUMIFS('февраль 2025'!$G$4:$G$2441,'февраль 2025'!$D$4:$D$2441,$B22,'февраль 2025'!$J$4:$J$2441,AB$1)</f>
        <v>0</v>
      </c>
      <c r="AC22" s="76">
        <f>SUMIFS('февраль 2025'!$G$4:$G$2441,'февраль 2025'!$D$4:$D$2441,$B22,'февраль 2025'!$J$4:$J$2441,AC$1)</f>
        <v>0</v>
      </c>
      <c r="AD22" s="76">
        <f>SUMIFS('февраль 2025'!$G$4:$G$2441,'февраль 2025'!$D$4:$D$2441,$B22,'февраль 2025'!$J$4:$J$2441,AD$1)</f>
        <v>0</v>
      </c>
      <c r="AE22" s="76">
        <f>SUMIFS('февраль 2025'!$G$4:$G$2441,'февраль 2025'!$D$4:$D$2441,$B22,'февраль 2025'!$J$4:$J$2441,AE$1)</f>
        <v>0</v>
      </c>
      <c r="AF22" s="76">
        <f>SUMIFS('февраль 2025'!$G$4:$G$2441,'февраль 2025'!$D$4:$D$2441,$B22,'февраль 2025'!$J$4:$J$2441,AF$1)</f>
        <v>0</v>
      </c>
      <c r="AG22" s="76">
        <f>SUMIFS('февраль 2025'!$G$4:$G$2441,'февраль 2025'!$D$4:$D$2441,$B22,'февраль 2025'!$J$4:$J$2441,AG$1)</f>
        <v>0</v>
      </c>
      <c r="AH22" s="76">
        <f>SUMIFS('февраль 2025'!$G$4:$G$2441,'февраль 2025'!$D$4:$D$2441,$B22,'февраль 2025'!$J$4:$J$2441,AH$1)</f>
        <v>0</v>
      </c>
      <c r="AI22" s="20">
        <f t="shared" si="1"/>
        <v>0</v>
      </c>
    </row>
    <row r="23" spans="2:35" ht="15" customHeight="1" x14ac:dyDescent="0.25">
      <c r="B23" s="80" t="s">
        <v>247</v>
      </c>
      <c r="C23" s="96">
        <v>25</v>
      </c>
      <c r="D23" s="76">
        <f>SUMIFS('февраль 2025'!$G$4:$G$2441,'февраль 2025'!$D$4:$D$2441,$B23,'февраль 2025'!$J$4:$J$2441,D$1)</f>
        <v>0</v>
      </c>
      <c r="E23" s="76">
        <f>SUMIFS('февраль 2025'!$G$4:$G$2441,'февраль 2025'!$D$4:$D$2441,$B23,'февраль 2025'!$J$4:$J$2441,E$1)</f>
        <v>0</v>
      </c>
      <c r="F23" s="76">
        <f>SUMIFS('февраль 2025'!$G$4:$G$2441,'февраль 2025'!$D$4:$D$2441,$B23,'февраль 2025'!$J$4:$J$2441,F$1)</f>
        <v>0</v>
      </c>
      <c r="G23" s="76">
        <f>SUMIFS('февраль 2025'!$G$4:$G$2441,'февраль 2025'!$D$4:$D$2441,$B23,'февраль 2025'!$J$4:$J$2441,G$1)</f>
        <v>0</v>
      </c>
      <c r="H23" s="76">
        <f>SUMIFS('февраль 2025'!$G$4:$G$2441,'февраль 2025'!$D$4:$D$2441,$B23,'февраль 2025'!$J$4:$J$2441,H$1)</f>
        <v>0</v>
      </c>
      <c r="I23" s="76">
        <f>SUMIFS('февраль 2025'!$G$4:$G$2441,'февраль 2025'!$D$4:$D$2441,$B23,'февраль 2025'!$J$4:$J$2441,I$1)</f>
        <v>0</v>
      </c>
      <c r="J23" s="76">
        <f>SUMIFS('февраль 2025'!$G$4:$G$2441,'февраль 2025'!$D$4:$D$2441,$B23,'февраль 2025'!$J$4:$J$2441,J$1)</f>
        <v>0</v>
      </c>
      <c r="K23" s="76">
        <f>SUMIFS('февраль 2025'!$G$4:$G$2441,'февраль 2025'!$D$4:$D$2441,$B23,'февраль 2025'!$J$4:$J$2441,K$1)</f>
        <v>0</v>
      </c>
      <c r="L23" s="76">
        <f>SUMIFS('февраль 2025'!$G$4:$G$2441,'февраль 2025'!$D$4:$D$2441,$B23,'февраль 2025'!$J$4:$J$2441,L$1)</f>
        <v>0</v>
      </c>
      <c r="M23" s="76">
        <f>SUMIFS('февраль 2025'!$G$4:$G$2441,'февраль 2025'!$D$4:$D$2441,$B23,'февраль 2025'!$J$4:$J$2441,M$1)</f>
        <v>0</v>
      </c>
      <c r="N23" s="76">
        <f>SUMIFS('февраль 2025'!$G$4:$G$2441,'февраль 2025'!$D$4:$D$2441,$B23,'февраль 2025'!$J$4:$J$2441,N$1)</f>
        <v>0</v>
      </c>
      <c r="O23" s="76">
        <f>SUMIFS('февраль 2025'!$G$4:$G$2441,'февраль 2025'!$D$4:$D$2441,$B23,'февраль 2025'!$J$4:$J$2441,O$1)</f>
        <v>0</v>
      </c>
      <c r="P23" s="76">
        <f>SUMIFS('февраль 2025'!$G$4:$G$2441,'февраль 2025'!$D$4:$D$2441,$B23,'февраль 2025'!$J$4:$J$2441,P$1)</f>
        <v>0</v>
      </c>
      <c r="Q23" s="76">
        <f>SUMIFS('февраль 2025'!$G$4:$G$2441,'февраль 2025'!$D$4:$D$2441,$B23,'февраль 2025'!$J$4:$J$2441,Q$1)</f>
        <v>0</v>
      </c>
      <c r="R23" s="76">
        <f>SUMIFS('февраль 2025'!$G$4:$G$2441,'февраль 2025'!$D$4:$D$2441,$B23,'февраль 2025'!$J$4:$J$2441,R$1)</f>
        <v>0</v>
      </c>
      <c r="S23" s="76">
        <f>SUMIFS('февраль 2025'!$G$4:$G$2441,'февраль 2025'!$D$4:$D$2441,$B23,'февраль 2025'!$J$4:$J$2441,S$1)</f>
        <v>0</v>
      </c>
      <c r="T23" s="76">
        <f>SUMIFS('февраль 2025'!$G$4:$G$2441,'февраль 2025'!$D$4:$D$2441,$B23,'февраль 2025'!$J$4:$J$2441,T$1)</f>
        <v>0</v>
      </c>
      <c r="U23" s="76">
        <f>SUMIFS('февраль 2025'!$G$4:$G$2441,'февраль 2025'!$D$4:$D$2441,$B23,'февраль 2025'!$J$4:$J$2441,U$1)</f>
        <v>0</v>
      </c>
      <c r="V23" s="76">
        <f>SUMIFS('февраль 2025'!$G$4:$G$2441,'февраль 2025'!$D$4:$D$2441,$B23,'февраль 2025'!$J$4:$J$2441,V$1)</f>
        <v>0</v>
      </c>
      <c r="W23" s="76">
        <f>SUMIFS('февраль 2025'!$G$4:$G$2441,'февраль 2025'!$D$4:$D$2441,$B23,'февраль 2025'!$J$4:$J$2441,W$1)</f>
        <v>0</v>
      </c>
      <c r="X23" s="76">
        <f>SUMIFS('февраль 2025'!$G$4:$G$2441,'февраль 2025'!$D$4:$D$2441,$B23,'февраль 2025'!$J$4:$J$2441,X$1)</f>
        <v>0</v>
      </c>
      <c r="Y23" s="76">
        <f>SUMIFS('февраль 2025'!$G$4:$G$2441,'февраль 2025'!$D$4:$D$2441,$B23,'февраль 2025'!$J$4:$J$2441,Y$1)</f>
        <v>0</v>
      </c>
      <c r="Z23" s="76">
        <f>SUMIFS('февраль 2025'!$G$4:$G$2441,'февраль 2025'!$D$4:$D$2441,$B23,'февраль 2025'!$J$4:$J$2441,Z$1)</f>
        <v>0</v>
      </c>
      <c r="AA23" s="76">
        <f>SUMIFS('февраль 2025'!$G$4:$G$2441,'февраль 2025'!$D$4:$D$2441,$B23,'февраль 2025'!$J$4:$J$2441,AA$1)</f>
        <v>0</v>
      </c>
      <c r="AB23" s="76">
        <f>SUMIFS('февраль 2025'!$G$4:$G$2441,'февраль 2025'!$D$4:$D$2441,$B23,'февраль 2025'!$J$4:$J$2441,AB$1)</f>
        <v>0</v>
      </c>
      <c r="AC23" s="76">
        <f>SUMIFS('февраль 2025'!$G$4:$G$2441,'февраль 2025'!$D$4:$D$2441,$B23,'февраль 2025'!$J$4:$J$2441,AC$1)</f>
        <v>0</v>
      </c>
      <c r="AD23" s="76">
        <f>SUMIFS('февраль 2025'!$G$4:$G$2441,'февраль 2025'!$D$4:$D$2441,$B23,'февраль 2025'!$J$4:$J$2441,AD$1)</f>
        <v>0</v>
      </c>
      <c r="AE23" s="76">
        <f>SUMIFS('февраль 2025'!$G$4:$G$2441,'февраль 2025'!$D$4:$D$2441,$B23,'февраль 2025'!$J$4:$J$2441,AE$1)</f>
        <v>0</v>
      </c>
      <c r="AF23" s="76">
        <f>SUMIFS('февраль 2025'!$G$4:$G$2441,'февраль 2025'!$D$4:$D$2441,$B23,'февраль 2025'!$J$4:$J$2441,AF$1)</f>
        <v>0</v>
      </c>
      <c r="AG23" s="76">
        <f>SUMIFS('февраль 2025'!$G$4:$G$2441,'февраль 2025'!$D$4:$D$2441,$B23,'февраль 2025'!$J$4:$J$2441,AG$1)</f>
        <v>0</v>
      </c>
      <c r="AH23" s="76">
        <f>SUMIFS('февраль 2025'!$G$4:$G$2441,'февраль 2025'!$D$4:$D$2441,$B23,'февраль 2025'!$J$4:$J$2441,AH$1)</f>
        <v>0</v>
      </c>
      <c r="AI23" s="20">
        <f t="shared" si="1"/>
        <v>0</v>
      </c>
    </row>
    <row r="24" spans="2:35" ht="15" customHeight="1" x14ac:dyDescent="0.25">
      <c r="B24" s="80" t="s">
        <v>248</v>
      </c>
      <c r="C24" s="78">
        <v>25</v>
      </c>
      <c r="D24" s="76">
        <f>SUMIFS('февраль 2025'!$G$4:$G$2441,'февраль 2025'!$D$4:$D$2441,$B24,'февраль 2025'!$J$4:$J$2441,D$1)</f>
        <v>0</v>
      </c>
      <c r="E24" s="76">
        <f>SUMIFS('февраль 2025'!$G$4:$G$2441,'февраль 2025'!$D$4:$D$2441,$B24,'февраль 2025'!$J$4:$J$2441,E$1)</f>
        <v>0</v>
      </c>
      <c r="F24" s="76">
        <f>SUMIFS('февраль 2025'!$G$4:$G$2441,'февраль 2025'!$D$4:$D$2441,$B24,'февраль 2025'!$J$4:$J$2441,F$1)</f>
        <v>0</v>
      </c>
      <c r="G24" s="76">
        <f>SUMIFS('февраль 2025'!$G$4:$G$2441,'февраль 2025'!$D$4:$D$2441,$B24,'февраль 2025'!$J$4:$J$2441,G$1)</f>
        <v>0</v>
      </c>
      <c r="H24" s="76">
        <f>SUMIFS('февраль 2025'!$G$4:$G$2441,'февраль 2025'!$D$4:$D$2441,$B24,'февраль 2025'!$J$4:$J$2441,H$1)</f>
        <v>0</v>
      </c>
      <c r="I24" s="76">
        <f>SUMIFS('февраль 2025'!$G$4:$G$2441,'февраль 2025'!$D$4:$D$2441,$B24,'февраль 2025'!$J$4:$J$2441,I$1)</f>
        <v>0</v>
      </c>
      <c r="J24" s="76">
        <f>SUMIFS('февраль 2025'!$G$4:$G$2441,'февраль 2025'!$D$4:$D$2441,$B24,'февраль 2025'!$J$4:$J$2441,J$1)</f>
        <v>0</v>
      </c>
      <c r="K24" s="76">
        <f>SUMIFS('февраль 2025'!$G$4:$G$2441,'февраль 2025'!$D$4:$D$2441,$B24,'февраль 2025'!$J$4:$J$2441,K$1)</f>
        <v>0</v>
      </c>
      <c r="L24" s="76">
        <f>SUMIFS('февраль 2025'!$G$4:$G$2441,'февраль 2025'!$D$4:$D$2441,$B24,'февраль 2025'!$J$4:$J$2441,L$1)</f>
        <v>0</v>
      </c>
      <c r="M24" s="76">
        <f>SUMIFS('февраль 2025'!$G$4:$G$2441,'февраль 2025'!$D$4:$D$2441,$B24,'февраль 2025'!$J$4:$J$2441,M$1)</f>
        <v>0</v>
      </c>
      <c r="N24" s="76">
        <f>SUMIFS('февраль 2025'!$G$4:$G$2441,'февраль 2025'!$D$4:$D$2441,$B24,'февраль 2025'!$J$4:$J$2441,N$1)</f>
        <v>0</v>
      </c>
      <c r="O24" s="76">
        <f>SUMIFS('февраль 2025'!$G$4:$G$2441,'февраль 2025'!$D$4:$D$2441,$B24,'февраль 2025'!$J$4:$J$2441,O$1)</f>
        <v>0</v>
      </c>
      <c r="P24" s="76">
        <f>SUMIFS('февраль 2025'!$G$4:$G$2441,'февраль 2025'!$D$4:$D$2441,$B24,'февраль 2025'!$J$4:$J$2441,P$1)</f>
        <v>0</v>
      </c>
      <c r="Q24" s="76">
        <f>SUMIFS('февраль 2025'!$G$4:$G$2441,'февраль 2025'!$D$4:$D$2441,$B24,'февраль 2025'!$J$4:$J$2441,Q$1)</f>
        <v>0</v>
      </c>
      <c r="R24" s="76">
        <f>SUMIFS('февраль 2025'!$G$4:$G$2441,'февраль 2025'!$D$4:$D$2441,$B24,'февраль 2025'!$J$4:$J$2441,R$1)</f>
        <v>0</v>
      </c>
      <c r="S24" s="76">
        <f>SUMIFS('февраль 2025'!$G$4:$G$2441,'февраль 2025'!$D$4:$D$2441,$B24,'февраль 2025'!$J$4:$J$2441,S$1)</f>
        <v>0</v>
      </c>
      <c r="T24" s="76">
        <f>SUMIFS('февраль 2025'!$G$4:$G$2441,'февраль 2025'!$D$4:$D$2441,$B24,'февраль 2025'!$J$4:$J$2441,T$1)</f>
        <v>0</v>
      </c>
      <c r="U24" s="76">
        <f>SUMIFS('февраль 2025'!$G$4:$G$2441,'февраль 2025'!$D$4:$D$2441,$B24,'февраль 2025'!$J$4:$J$2441,U$1)</f>
        <v>0</v>
      </c>
      <c r="V24" s="76">
        <f>SUMIFS('февраль 2025'!$G$4:$G$2441,'февраль 2025'!$D$4:$D$2441,$B24,'февраль 2025'!$J$4:$J$2441,V$1)</f>
        <v>0</v>
      </c>
      <c r="W24" s="76">
        <f>SUMIFS('февраль 2025'!$G$4:$G$2441,'февраль 2025'!$D$4:$D$2441,$B24,'февраль 2025'!$J$4:$J$2441,W$1)</f>
        <v>0</v>
      </c>
      <c r="X24" s="76">
        <f>SUMIFS('февраль 2025'!$G$4:$G$2441,'февраль 2025'!$D$4:$D$2441,$B24,'февраль 2025'!$J$4:$J$2441,X$1)</f>
        <v>0</v>
      </c>
      <c r="Y24" s="76">
        <f>SUMIFS('февраль 2025'!$G$4:$G$2441,'февраль 2025'!$D$4:$D$2441,$B24,'февраль 2025'!$J$4:$J$2441,Y$1)</f>
        <v>0</v>
      </c>
      <c r="Z24" s="76">
        <f>SUMIFS('февраль 2025'!$G$4:$G$2441,'февраль 2025'!$D$4:$D$2441,$B24,'февраль 2025'!$J$4:$J$2441,Z$1)</f>
        <v>0</v>
      </c>
      <c r="AA24" s="76">
        <f>SUMIFS('февраль 2025'!$G$4:$G$2441,'февраль 2025'!$D$4:$D$2441,$B24,'февраль 2025'!$J$4:$J$2441,AA$1)</f>
        <v>0</v>
      </c>
      <c r="AB24" s="76">
        <f>SUMIFS('февраль 2025'!$G$4:$G$2441,'февраль 2025'!$D$4:$D$2441,$B24,'февраль 2025'!$J$4:$J$2441,AB$1)</f>
        <v>0</v>
      </c>
      <c r="AC24" s="76">
        <f>SUMIFS('февраль 2025'!$G$4:$G$2441,'февраль 2025'!$D$4:$D$2441,$B24,'февраль 2025'!$J$4:$J$2441,AC$1)</f>
        <v>0</v>
      </c>
      <c r="AD24" s="76">
        <f>SUMIFS('февраль 2025'!$G$4:$G$2441,'февраль 2025'!$D$4:$D$2441,$B24,'февраль 2025'!$J$4:$J$2441,AD$1)</f>
        <v>0</v>
      </c>
      <c r="AE24" s="76">
        <f>SUMIFS('февраль 2025'!$G$4:$G$2441,'февраль 2025'!$D$4:$D$2441,$B24,'февраль 2025'!$J$4:$J$2441,AE$1)</f>
        <v>0</v>
      </c>
      <c r="AF24" s="76">
        <f>SUMIFS('февраль 2025'!$G$4:$G$2441,'февраль 2025'!$D$4:$D$2441,$B24,'февраль 2025'!$J$4:$J$2441,AF$1)</f>
        <v>0</v>
      </c>
      <c r="AG24" s="76">
        <f>SUMIFS('февраль 2025'!$G$4:$G$2441,'февраль 2025'!$D$4:$D$2441,$B24,'февраль 2025'!$J$4:$J$2441,AG$1)</f>
        <v>0</v>
      </c>
      <c r="AH24" s="76">
        <f>SUMIFS('февраль 2025'!$G$4:$G$2441,'февраль 2025'!$D$4:$D$2441,$B24,'февраль 2025'!$J$4:$J$2441,AH$1)</f>
        <v>0</v>
      </c>
      <c r="AI24" s="20">
        <f t="shared" si="1"/>
        <v>0</v>
      </c>
    </row>
    <row r="25" spans="2:35" ht="15" customHeight="1" x14ac:dyDescent="0.25">
      <c r="B25" s="80" t="s">
        <v>249</v>
      </c>
      <c r="C25" s="78">
        <v>25</v>
      </c>
      <c r="D25" s="76">
        <f>SUMIFS('февраль 2025'!$G$4:$G$2441,'февраль 2025'!$D$4:$D$2441,$B25,'февраль 2025'!$J$4:$J$2441,D$1)</f>
        <v>0</v>
      </c>
      <c r="E25" s="76">
        <f>SUMIFS('февраль 2025'!$G$4:$G$2441,'февраль 2025'!$D$4:$D$2441,$B25,'февраль 2025'!$J$4:$J$2441,E$1)</f>
        <v>0</v>
      </c>
      <c r="F25" s="76">
        <f>SUMIFS('февраль 2025'!$G$4:$G$2441,'февраль 2025'!$D$4:$D$2441,$B25,'февраль 2025'!$J$4:$J$2441,F$1)</f>
        <v>0</v>
      </c>
      <c r="G25" s="76">
        <f>SUMIFS('февраль 2025'!$G$4:$G$2441,'февраль 2025'!$D$4:$D$2441,$B25,'февраль 2025'!$J$4:$J$2441,G$1)</f>
        <v>0</v>
      </c>
      <c r="H25" s="76">
        <f>SUMIFS('февраль 2025'!$G$4:$G$2441,'февраль 2025'!$D$4:$D$2441,$B25,'февраль 2025'!$J$4:$J$2441,H$1)</f>
        <v>0</v>
      </c>
      <c r="I25" s="76">
        <f>SUMIFS('февраль 2025'!$G$4:$G$2441,'февраль 2025'!$D$4:$D$2441,$B25,'февраль 2025'!$J$4:$J$2441,I$1)</f>
        <v>0</v>
      </c>
      <c r="J25" s="76">
        <f>SUMIFS('февраль 2025'!$G$4:$G$2441,'февраль 2025'!$D$4:$D$2441,$B25,'февраль 2025'!$J$4:$J$2441,J$1)</f>
        <v>0</v>
      </c>
      <c r="K25" s="76">
        <f>SUMIFS('февраль 2025'!$G$4:$G$2441,'февраль 2025'!$D$4:$D$2441,$B25,'февраль 2025'!$J$4:$J$2441,K$1)</f>
        <v>0</v>
      </c>
      <c r="L25" s="76">
        <f>SUMIFS('февраль 2025'!$G$4:$G$2441,'февраль 2025'!$D$4:$D$2441,$B25,'февраль 2025'!$J$4:$J$2441,L$1)</f>
        <v>0</v>
      </c>
      <c r="M25" s="76">
        <f>SUMIFS('февраль 2025'!$G$4:$G$2441,'февраль 2025'!$D$4:$D$2441,$B25,'февраль 2025'!$J$4:$J$2441,M$1)</f>
        <v>0</v>
      </c>
      <c r="N25" s="76">
        <f>SUMIFS('февраль 2025'!$G$4:$G$2441,'февраль 2025'!$D$4:$D$2441,$B25,'февраль 2025'!$J$4:$J$2441,N$1)</f>
        <v>0</v>
      </c>
      <c r="O25" s="76">
        <f>SUMIFS('февраль 2025'!$G$4:$G$2441,'февраль 2025'!$D$4:$D$2441,$B25,'февраль 2025'!$J$4:$J$2441,O$1)</f>
        <v>0</v>
      </c>
      <c r="P25" s="76">
        <f>SUMIFS('февраль 2025'!$G$4:$G$2441,'февраль 2025'!$D$4:$D$2441,$B25,'февраль 2025'!$J$4:$J$2441,P$1)</f>
        <v>0</v>
      </c>
      <c r="Q25" s="76">
        <f>SUMIFS('февраль 2025'!$G$4:$G$2441,'февраль 2025'!$D$4:$D$2441,$B25,'февраль 2025'!$J$4:$J$2441,Q$1)</f>
        <v>0</v>
      </c>
      <c r="R25" s="76">
        <f>SUMIFS('февраль 2025'!$G$4:$G$2441,'февраль 2025'!$D$4:$D$2441,$B25,'февраль 2025'!$J$4:$J$2441,R$1)</f>
        <v>0</v>
      </c>
      <c r="S25" s="76">
        <f>SUMIFS('февраль 2025'!$G$4:$G$2441,'февраль 2025'!$D$4:$D$2441,$B25,'февраль 2025'!$J$4:$J$2441,S$1)</f>
        <v>0</v>
      </c>
      <c r="T25" s="76">
        <f>SUMIFS('февраль 2025'!$G$4:$G$2441,'февраль 2025'!$D$4:$D$2441,$B25,'февраль 2025'!$J$4:$J$2441,T$1)</f>
        <v>0</v>
      </c>
      <c r="U25" s="76">
        <f>SUMIFS('февраль 2025'!$G$4:$G$2441,'февраль 2025'!$D$4:$D$2441,$B25,'февраль 2025'!$J$4:$J$2441,U$1)</f>
        <v>0</v>
      </c>
      <c r="V25" s="76">
        <f>SUMIFS('февраль 2025'!$G$4:$G$2441,'февраль 2025'!$D$4:$D$2441,$B25,'февраль 2025'!$J$4:$J$2441,V$1)</f>
        <v>0</v>
      </c>
      <c r="W25" s="76">
        <f>SUMIFS('февраль 2025'!$G$4:$G$2441,'февраль 2025'!$D$4:$D$2441,$B25,'февраль 2025'!$J$4:$J$2441,W$1)</f>
        <v>0</v>
      </c>
      <c r="X25" s="76">
        <f>SUMIFS('февраль 2025'!$G$4:$G$2441,'февраль 2025'!$D$4:$D$2441,$B25,'февраль 2025'!$J$4:$J$2441,X$1)</f>
        <v>0</v>
      </c>
      <c r="Y25" s="76">
        <f>SUMIFS('февраль 2025'!$G$4:$G$2441,'февраль 2025'!$D$4:$D$2441,$B25,'февраль 2025'!$J$4:$J$2441,Y$1)</f>
        <v>0</v>
      </c>
      <c r="Z25" s="76">
        <f>SUMIFS('февраль 2025'!$G$4:$G$2441,'февраль 2025'!$D$4:$D$2441,$B25,'февраль 2025'!$J$4:$J$2441,Z$1)</f>
        <v>0</v>
      </c>
      <c r="AA25" s="76">
        <f>SUMIFS('февраль 2025'!$G$4:$G$2441,'февраль 2025'!$D$4:$D$2441,$B25,'февраль 2025'!$J$4:$J$2441,AA$1)</f>
        <v>0</v>
      </c>
      <c r="AB25" s="76">
        <f>SUMIFS('февраль 2025'!$G$4:$G$2441,'февраль 2025'!$D$4:$D$2441,$B25,'февраль 2025'!$J$4:$J$2441,AB$1)</f>
        <v>0</v>
      </c>
      <c r="AC25" s="76">
        <f>SUMIFS('февраль 2025'!$G$4:$G$2441,'февраль 2025'!$D$4:$D$2441,$B25,'февраль 2025'!$J$4:$J$2441,AC$1)</f>
        <v>0</v>
      </c>
      <c r="AD25" s="76">
        <f>SUMIFS('февраль 2025'!$G$4:$G$2441,'февраль 2025'!$D$4:$D$2441,$B25,'февраль 2025'!$J$4:$J$2441,AD$1)</f>
        <v>0</v>
      </c>
      <c r="AE25" s="76">
        <f>SUMIFS('февраль 2025'!$G$4:$G$2441,'февраль 2025'!$D$4:$D$2441,$B25,'февраль 2025'!$J$4:$J$2441,AE$1)</f>
        <v>0</v>
      </c>
      <c r="AF25" s="76">
        <f>SUMIFS('февраль 2025'!$G$4:$G$2441,'февраль 2025'!$D$4:$D$2441,$B25,'февраль 2025'!$J$4:$J$2441,AF$1)</f>
        <v>0</v>
      </c>
      <c r="AG25" s="76">
        <f>SUMIFS('февраль 2025'!$G$4:$G$2441,'февраль 2025'!$D$4:$D$2441,$B25,'февраль 2025'!$J$4:$J$2441,AG$1)</f>
        <v>0</v>
      </c>
      <c r="AH25" s="76">
        <f>SUMIFS('февраль 2025'!$G$4:$G$2441,'февраль 2025'!$D$4:$D$2441,$B25,'февраль 2025'!$J$4:$J$2441,AH$1)</f>
        <v>0</v>
      </c>
      <c r="AI25" s="20">
        <f t="shared" si="1"/>
        <v>0</v>
      </c>
    </row>
    <row r="26" spans="2:35" ht="15" customHeight="1" x14ac:dyDescent="0.25">
      <c r="B26" s="80" t="s">
        <v>250</v>
      </c>
      <c r="C26" s="78">
        <v>25</v>
      </c>
      <c r="D26" s="76">
        <f>SUMIFS('февраль 2025'!$G$4:$G$2441,'февраль 2025'!$D$4:$D$2441,$B26,'февраль 2025'!$J$4:$J$2441,D$1)</f>
        <v>0</v>
      </c>
      <c r="E26" s="76">
        <f>SUMIFS('февраль 2025'!$G$4:$G$2441,'февраль 2025'!$D$4:$D$2441,$B26,'февраль 2025'!$J$4:$J$2441,E$1)</f>
        <v>0</v>
      </c>
      <c r="F26" s="76">
        <f>SUMIFS('февраль 2025'!$G$4:$G$2441,'февраль 2025'!$D$4:$D$2441,$B26,'февраль 2025'!$J$4:$J$2441,F$1)</f>
        <v>0</v>
      </c>
      <c r="G26" s="76">
        <f>SUMIFS('февраль 2025'!$G$4:$G$2441,'февраль 2025'!$D$4:$D$2441,$B26,'февраль 2025'!$J$4:$J$2441,G$1)</f>
        <v>0</v>
      </c>
      <c r="H26" s="76">
        <f>SUMIFS('февраль 2025'!$G$4:$G$2441,'февраль 2025'!$D$4:$D$2441,$B26,'февраль 2025'!$J$4:$J$2441,H$1)</f>
        <v>0</v>
      </c>
      <c r="I26" s="76">
        <f>SUMIFS('февраль 2025'!$G$4:$G$2441,'февраль 2025'!$D$4:$D$2441,$B26,'февраль 2025'!$J$4:$J$2441,I$1)</f>
        <v>0</v>
      </c>
      <c r="J26" s="76">
        <f>SUMIFS('февраль 2025'!$G$4:$G$2441,'февраль 2025'!$D$4:$D$2441,$B26,'февраль 2025'!$J$4:$J$2441,J$1)</f>
        <v>0</v>
      </c>
      <c r="K26" s="76">
        <f>SUMIFS('февраль 2025'!$G$4:$G$2441,'февраль 2025'!$D$4:$D$2441,$B26,'февраль 2025'!$J$4:$J$2441,K$1)</f>
        <v>0</v>
      </c>
      <c r="L26" s="76">
        <f>SUMIFS('февраль 2025'!$G$4:$G$2441,'февраль 2025'!$D$4:$D$2441,$B26,'февраль 2025'!$J$4:$J$2441,L$1)</f>
        <v>0</v>
      </c>
      <c r="M26" s="76">
        <f>SUMIFS('февраль 2025'!$G$4:$G$2441,'февраль 2025'!$D$4:$D$2441,$B26,'февраль 2025'!$J$4:$J$2441,M$1)</f>
        <v>0</v>
      </c>
      <c r="N26" s="76">
        <f>SUMIFS('февраль 2025'!$G$4:$G$2441,'февраль 2025'!$D$4:$D$2441,$B26,'февраль 2025'!$J$4:$J$2441,N$1)</f>
        <v>0</v>
      </c>
      <c r="O26" s="76">
        <f>SUMIFS('февраль 2025'!$G$4:$G$2441,'февраль 2025'!$D$4:$D$2441,$B26,'февраль 2025'!$J$4:$J$2441,O$1)</f>
        <v>0</v>
      </c>
      <c r="P26" s="76">
        <f>SUMIFS('февраль 2025'!$G$4:$G$2441,'февраль 2025'!$D$4:$D$2441,$B26,'февраль 2025'!$J$4:$J$2441,P$1)</f>
        <v>0</v>
      </c>
      <c r="Q26" s="76">
        <f>SUMIFS('февраль 2025'!$G$4:$G$2441,'февраль 2025'!$D$4:$D$2441,$B26,'февраль 2025'!$J$4:$J$2441,Q$1)</f>
        <v>0</v>
      </c>
      <c r="R26" s="76">
        <f>SUMIFS('февраль 2025'!$G$4:$G$2441,'февраль 2025'!$D$4:$D$2441,$B26,'февраль 2025'!$J$4:$J$2441,R$1)</f>
        <v>0</v>
      </c>
      <c r="S26" s="76">
        <f>SUMIFS('февраль 2025'!$G$4:$G$2441,'февраль 2025'!$D$4:$D$2441,$B26,'февраль 2025'!$J$4:$J$2441,S$1)</f>
        <v>0</v>
      </c>
      <c r="T26" s="76">
        <f>SUMIFS('февраль 2025'!$G$4:$G$2441,'февраль 2025'!$D$4:$D$2441,$B26,'февраль 2025'!$J$4:$J$2441,T$1)</f>
        <v>0</v>
      </c>
      <c r="U26" s="76">
        <f>SUMIFS('февраль 2025'!$G$4:$G$2441,'февраль 2025'!$D$4:$D$2441,$B26,'февраль 2025'!$J$4:$J$2441,U$1)</f>
        <v>0</v>
      </c>
      <c r="V26" s="76">
        <f>SUMIFS('февраль 2025'!$G$4:$G$2441,'февраль 2025'!$D$4:$D$2441,$B26,'февраль 2025'!$J$4:$J$2441,V$1)</f>
        <v>0</v>
      </c>
      <c r="W26" s="76">
        <f>SUMIFS('февраль 2025'!$G$4:$G$2441,'февраль 2025'!$D$4:$D$2441,$B26,'февраль 2025'!$J$4:$J$2441,W$1)</f>
        <v>0</v>
      </c>
      <c r="X26" s="76">
        <f>SUMIFS('февраль 2025'!$G$4:$G$2441,'февраль 2025'!$D$4:$D$2441,$B26,'февраль 2025'!$J$4:$J$2441,X$1)</f>
        <v>0</v>
      </c>
      <c r="Y26" s="76">
        <f>SUMIFS('февраль 2025'!$G$4:$G$2441,'февраль 2025'!$D$4:$D$2441,$B26,'февраль 2025'!$J$4:$J$2441,Y$1)</f>
        <v>0</v>
      </c>
      <c r="Z26" s="76">
        <f>SUMIFS('февраль 2025'!$G$4:$G$2441,'февраль 2025'!$D$4:$D$2441,$B26,'февраль 2025'!$J$4:$J$2441,Z$1)</f>
        <v>0</v>
      </c>
      <c r="AA26" s="76">
        <f>SUMIFS('февраль 2025'!$G$4:$G$2441,'февраль 2025'!$D$4:$D$2441,$B26,'февраль 2025'!$J$4:$J$2441,AA$1)</f>
        <v>0</v>
      </c>
      <c r="AB26" s="76">
        <f>SUMIFS('февраль 2025'!$G$4:$G$2441,'февраль 2025'!$D$4:$D$2441,$B26,'февраль 2025'!$J$4:$J$2441,AB$1)</f>
        <v>0</v>
      </c>
      <c r="AC26" s="76">
        <f>SUMIFS('февраль 2025'!$G$4:$G$2441,'февраль 2025'!$D$4:$D$2441,$B26,'февраль 2025'!$J$4:$J$2441,AC$1)</f>
        <v>0</v>
      </c>
      <c r="AD26" s="76">
        <f>SUMIFS('февраль 2025'!$G$4:$G$2441,'февраль 2025'!$D$4:$D$2441,$B26,'февраль 2025'!$J$4:$J$2441,AD$1)</f>
        <v>0</v>
      </c>
      <c r="AE26" s="76">
        <f>SUMIFS('февраль 2025'!$G$4:$G$2441,'февраль 2025'!$D$4:$D$2441,$B26,'февраль 2025'!$J$4:$J$2441,AE$1)</f>
        <v>0</v>
      </c>
      <c r="AF26" s="76">
        <f>SUMIFS('февраль 2025'!$G$4:$G$2441,'февраль 2025'!$D$4:$D$2441,$B26,'февраль 2025'!$J$4:$J$2441,AF$1)</f>
        <v>0</v>
      </c>
      <c r="AG26" s="76">
        <f>SUMIFS('февраль 2025'!$G$4:$G$2441,'февраль 2025'!$D$4:$D$2441,$B26,'февраль 2025'!$J$4:$J$2441,AG$1)</f>
        <v>0</v>
      </c>
      <c r="AH26" s="76">
        <f>SUMIFS('февраль 2025'!$G$4:$G$2441,'февраль 2025'!$D$4:$D$2441,$B26,'февраль 2025'!$J$4:$J$2441,AH$1)</f>
        <v>0</v>
      </c>
      <c r="AI26" s="20">
        <f t="shared" si="1"/>
        <v>0</v>
      </c>
    </row>
    <row r="27" spans="2:35" ht="15" customHeight="1" x14ac:dyDescent="0.25">
      <c r="B27" s="80" t="s">
        <v>251</v>
      </c>
      <c r="C27" s="78">
        <v>25</v>
      </c>
      <c r="D27" s="76">
        <f>SUMIFS('февраль 2025'!$G$4:$G$2441,'февраль 2025'!$D$4:$D$2441,$B27,'февраль 2025'!$J$4:$J$2441,D$1)</f>
        <v>0</v>
      </c>
      <c r="E27" s="76">
        <f>SUMIFS('февраль 2025'!$G$4:$G$2441,'февраль 2025'!$D$4:$D$2441,$B27,'февраль 2025'!$J$4:$J$2441,E$1)</f>
        <v>0</v>
      </c>
      <c r="F27" s="76">
        <f>SUMIFS('февраль 2025'!$G$4:$G$2441,'февраль 2025'!$D$4:$D$2441,$B27,'февраль 2025'!$J$4:$J$2441,F$1)</f>
        <v>0</v>
      </c>
      <c r="G27" s="76">
        <f>SUMIFS('февраль 2025'!$G$4:$G$2441,'февраль 2025'!$D$4:$D$2441,$B27,'февраль 2025'!$J$4:$J$2441,G$1)</f>
        <v>0</v>
      </c>
      <c r="H27" s="76">
        <f>SUMIFS('февраль 2025'!$G$4:$G$2441,'февраль 2025'!$D$4:$D$2441,$B27,'февраль 2025'!$J$4:$J$2441,H$1)</f>
        <v>0</v>
      </c>
      <c r="I27" s="76">
        <f>SUMIFS('февраль 2025'!$G$4:$G$2441,'февраль 2025'!$D$4:$D$2441,$B27,'февраль 2025'!$J$4:$J$2441,I$1)</f>
        <v>0</v>
      </c>
      <c r="J27" s="76">
        <f>SUMIFS('февраль 2025'!$G$4:$G$2441,'февраль 2025'!$D$4:$D$2441,$B27,'февраль 2025'!$J$4:$J$2441,J$1)</f>
        <v>0</v>
      </c>
      <c r="K27" s="76">
        <f>SUMIFS('февраль 2025'!$G$4:$G$2441,'февраль 2025'!$D$4:$D$2441,$B27,'февраль 2025'!$J$4:$J$2441,K$1)</f>
        <v>0</v>
      </c>
      <c r="L27" s="76">
        <f>SUMIFS('февраль 2025'!$G$4:$G$2441,'февраль 2025'!$D$4:$D$2441,$B27,'февраль 2025'!$J$4:$J$2441,L$1)</f>
        <v>0</v>
      </c>
      <c r="M27" s="76">
        <f>SUMIFS('февраль 2025'!$G$4:$G$2441,'февраль 2025'!$D$4:$D$2441,$B27,'февраль 2025'!$J$4:$J$2441,M$1)</f>
        <v>0</v>
      </c>
      <c r="N27" s="76">
        <f>SUMIFS('февраль 2025'!$G$4:$G$2441,'февраль 2025'!$D$4:$D$2441,$B27,'февраль 2025'!$J$4:$J$2441,N$1)</f>
        <v>0</v>
      </c>
      <c r="O27" s="76">
        <f>SUMIFS('февраль 2025'!$G$4:$G$2441,'февраль 2025'!$D$4:$D$2441,$B27,'февраль 2025'!$J$4:$J$2441,O$1)</f>
        <v>0</v>
      </c>
      <c r="P27" s="76">
        <f>SUMIFS('февраль 2025'!$G$4:$G$2441,'февраль 2025'!$D$4:$D$2441,$B27,'февраль 2025'!$J$4:$J$2441,P$1)</f>
        <v>0</v>
      </c>
      <c r="Q27" s="76">
        <f>SUMIFS('февраль 2025'!$G$4:$G$2441,'февраль 2025'!$D$4:$D$2441,$B27,'февраль 2025'!$J$4:$J$2441,Q$1)</f>
        <v>0</v>
      </c>
      <c r="R27" s="76">
        <f>SUMIFS('февраль 2025'!$G$4:$G$2441,'февраль 2025'!$D$4:$D$2441,$B27,'февраль 2025'!$J$4:$J$2441,R$1)</f>
        <v>0</v>
      </c>
      <c r="S27" s="76">
        <f>SUMIFS('февраль 2025'!$G$4:$G$2441,'февраль 2025'!$D$4:$D$2441,$B27,'февраль 2025'!$J$4:$J$2441,S$1)</f>
        <v>0</v>
      </c>
      <c r="T27" s="76">
        <f>SUMIFS('февраль 2025'!$G$4:$G$2441,'февраль 2025'!$D$4:$D$2441,$B27,'февраль 2025'!$J$4:$J$2441,T$1)</f>
        <v>0</v>
      </c>
      <c r="U27" s="76">
        <f>SUMIFS('февраль 2025'!$G$4:$G$2441,'февраль 2025'!$D$4:$D$2441,$B27,'февраль 2025'!$J$4:$J$2441,U$1)</f>
        <v>0</v>
      </c>
      <c r="V27" s="76">
        <f>SUMIFS('февраль 2025'!$G$4:$G$2441,'февраль 2025'!$D$4:$D$2441,$B27,'февраль 2025'!$J$4:$J$2441,V$1)</f>
        <v>0</v>
      </c>
      <c r="W27" s="76">
        <f>SUMIFS('февраль 2025'!$G$4:$G$2441,'февраль 2025'!$D$4:$D$2441,$B27,'февраль 2025'!$J$4:$J$2441,W$1)</f>
        <v>0</v>
      </c>
      <c r="X27" s="76">
        <f>SUMIFS('февраль 2025'!$G$4:$G$2441,'февраль 2025'!$D$4:$D$2441,$B27,'февраль 2025'!$J$4:$J$2441,X$1)</f>
        <v>0</v>
      </c>
      <c r="Y27" s="76">
        <f>SUMIFS('февраль 2025'!$G$4:$G$2441,'февраль 2025'!$D$4:$D$2441,$B27,'февраль 2025'!$J$4:$J$2441,Y$1)</f>
        <v>0</v>
      </c>
      <c r="Z27" s="76">
        <f>SUMIFS('февраль 2025'!$G$4:$G$2441,'февраль 2025'!$D$4:$D$2441,$B27,'февраль 2025'!$J$4:$J$2441,Z$1)</f>
        <v>0</v>
      </c>
      <c r="AA27" s="76">
        <f>SUMIFS('февраль 2025'!$G$4:$G$2441,'февраль 2025'!$D$4:$D$2441,$B27,'февраль 2025'!$J$4:$J$2441,AA$1)</f>
        <v>0</v>
      </c>
      <c r="AB27" s="76">
        <f>SUMIFS('февраль 2025'!$G$4:$G$2441,'февраль 2025'!$D$4:$D$2441,$B27,'февраль 2025'!$J$4:$J$2441,AB$1)</f>
        <v>0</v>
      </c>
      <c r="AC27" s="76">
        <f>SUMIFS('февраль 2025'!$G$4:$G$2441,'февраль 2025'!$D$4:$D$2441,$B27,'февраль 2025'!$J$4:$J$2441,AC$1)</f>
        <v>0</v>
      </c>
      <c r="AD27" s="76">
        <f>SUMIFS('февраль 2025'!$G$4:$G$2441,'февраль 2025'!$D$4:$D$2441,$B27,'февраль 2025'!$J$4:$J$2441,AD$1)</f>
        <v>0</v>
      </c>
      <c r="AE27" s="76">
        <f>SUMIFS('февраль 2025'!$G$4:$G$2441,'февраль 2025'!$D$4:$D$2441,$B27,'февраль 2025'!$J$4:$J$2441,AE$1)</f>
        <v>0</v>
      </c>
      <c r="AF27" s="76">
        <f>SUMIFS('февраль 2025'!$G$4:$G$2441,'февраль 2025'!$D$4:$D$2441,$B27,'февраль 2025'!$J$4:$J$2441,AF$1)</f>
        <v>0</v>
      </c>
      <c r="AG27" s="76">
        <f>SUMIFS('февраль 2025'!$G$4:$G$2441,'февраль 2025'!$D$4:$D$2441,$B27,'февраль 2025'!$J$4:$J$2441,AG$1)</f>
        <v>0</v>
      </c>
      <c r="AH27" s="76">
        <f>SUMIFS('февраль 2025'!$G$4:$G$2441,'февраль 2025'!$D$4:$D$2441,$B27,'февраль 2025'!$J$4:$J$2441,AH$1)</f>
        <v>0</v>
      </c>
      <c r="AI27" s="20">
        <f t="shared" si="1"/>
        <v>0</v>
      </c>
    </row>
    <row r="28" spans="2:35" ht="15" customHeight="1" x14ac:dyDescent="0.25">
      <c r="B28" s="80" t="s">
        <v>383</v>
      </c>
      <c r="C28" s="78">
        <v>25</v>
      </c>
      <c r="D28" s="76">
        <f>SUMIFS('февраль 2025'!$G$4:$G$2441,'февраль 2025'!$D$4:$D$2441,$B28,'февраль 2025'!$J$4:$J$2441,D$1)</f>
        <v>0</v>
      </c>
      <c r="E28" s="76">
        <f>SUMIFS('февраль 2025'!$G$4:$G$2441,'февраль 2025'!$D$4:$D$2441,$B28,'февраль 2025'!$J$4:$J$2441,E$1)</f>
        <v>0</v>
      </c>
      <c r="F28" s="76">
        <f>SUMIFS('февраль 2025'!$G$4:$G$2441,'февраль 2025'!$D$4:$D$2441,$B28,'февраль 2025'!$J$4:$J$2441,F$1)</f>
        <v>0</v>
      </c>
      <c r="G28" s="76">
        <f>SUMIFS('февраль 2025'!$G$4:$G$2441,'февраль 2025'!$D$4:$D$2441,$B28,'февраль 2025'!$J$4:$J$2441,G$1)</f>
        <v>0</v>
      </c>
      <c r="H28" s="76">
        <f>SUMIFS('февраль 2025'!$G$4:$G$2441,'февраль 2025'!$D$4:$D$2441,$B28,'февраль 2025'!$J$4:$J$2441,H$1)</f>
        <v>0</v>
      </c>
      <c r="I28" s="76">
        <f>SUMIFS('февраль 2025'!$G$4:$G$2441,'февраль 2025'!$D$4:$D$2441,$B28,'февраль 2025'!$J$4:$J$2441,I$1)</f>
        <v>0</v>
      </c>
      <c r="J28" s="76">
        <f>SUMIFS('февраль 2025'!$G$4:$G$2441,'февраль 2025'!$D$4:$D$2441,$B28,'февраль 2025'!$J$4:$J$2441,J$1)</f>
        <v>0</v>
      </c>
      <c r="K28" s="76">
        <f>SUMIFS('февраль 2025'!$G$4:$G$2441,'февраль 2025'!$D$4:$D$2441,$B28,'февраль 2025'!$J$4:$J$2441,K$1)</f>
        <v>0</v>
      </c>
      <c r="L28" s="76">
        <f>SUMIFS('февраль 2025'!$G$4:$G$2441,'февраль 2025'!$D$4:$D$2441,$B28,'февраль 2025'!$J$4:$J$2441,L$1)</f>
        <v>0</v>
      </c>
      <c r="M28" s="76">
        <f>SUMIFS('февраль 2025'!$G$4:$G$2441,'февраль 2025'!$D$4:$D$2441,$B28,'февраль 2025'!$J$4:$J$2441,M$1)</f>
        <v>0</v>
      </c>
      <c r="N28" s="76">
        <f>SUMIFS('февраль 2025'!$G$4:$G$2441,'февраль 2025'!$D$4:$D$2441,$B28,'февраль 2025'!$J$4:$J$2441,N$1)</f>
        <v>0</v>
      </c>
      <c r="O28" s="76">
        <f>SUMIFS('февраль 2025'!$G$4:$G$2441,'февраль 2025'!$D$4:$D$2441,$B28,'февраль 2025'!$J$4:$J$2441,O$1)</f>
        <v>0</v>
      </c>
      <c r="P28" s="76">
        <f>SUMIFS('февраль 2025'!$G$4:$G$2441,'февраль 2025'!$D$4:$D$2441,$B28,'февраль 2025'!$J$4:$J$2441,P$1)</f>
        <v>0</v>
      </c>
      <c r="Q28" s="76">
        <f>SUMIFS('февраль 2025'!$G$4:$G$2441,'февраль 2025'!$D$4:$D$2441,$B28,'февраль 2025'!$J$4:$J$2441,Q$1)</f>
        <v>0</v>
      </c>
      <c r="R28" s="76">
        <f>SUMIFS('февраль 2025'!$G$4:$G$2441,'февраль 2025'!$D$4:$D$2441,$B28,'февраль 2025'!$J$4:$J$2441,R$1)</f>
        <v>0</v>
      </c>
      <c r="S28" s="76">
        <f>SUMIFS('февраль 2025'!$G$4:$G$2441,'февраль 2025'!$D$4:$D$2441,$B28,'февраль 2025'!$J$4:$J$2441,S$1)</f>
        <v>0</v>
      </c>
      <c r="T28" s="76">
        <f>SUMIFS('февраль 2025'!$G$4:$G$2441,'февраль 2025'!$D$4:$D$2441,$B28,'февраль 2025'!$J$4:$J$2441,T$1)</f>
        <v>0</v>
      </c>
      <c r="U28" s="76">
        <f>SUMIFS('февраль 2025'!$G$4:$G$2441,'февраль 2025'!$D$4:$D$2441,$B28,'февраль 2025'!$J$4:$J$2441,U$1)</f>
        <v>0</v>
      </c>
      <c r="V28" s="76">
        <f>SUMIFS('февраль 2025'!$G$4:$G$2441,'февраль 2025'!$D$4:$D$2441,$B28,'февраль 2025'!$J$4:$J$2441,V$1)</f>
        <v>0</v>
      </c>
      <c r="W28" s="76">
        <f>SUMIFS('февраль 2025'!$G$4:$G$2441,'февраль 2025'!$D$4:$D$2441,$B28,'февраль 2025'!$J$4:$J$2441,W$1)</f>
        <v>0</v>
      </c>
      <c r="X28" s="76">
        <f>SUMIFS('февраль 2025'!$G$4:$G$2441,'февраль 2025'!$D$4:$D$2441,$B28,'февраль 2025'!$J$4:$J$2441,X$1)</f>
        <v>0</v>
      </c>
      <c r="Y28" s="76">
        <f>SUMIFS('февраль 2025'!$G$4:$G$2441,'февраль 2025'!$D$4:$D$2441,$B28,'февраль 2025'!$J$4:$J$2441,Y$1)</f>
        <v>0</v>
      </c>
      <c r="Z28" s="76">
        <f>SUMIFS('февраль 2025'!$G$4:$G$2441,'февраль 2025'!$D$4:$D$2441,$B28,'февраль 2025'!$J$4:$J$2441,Z$1)</f>
        <v>0</v>
      </c>
      <c r="AA28" s="76">
        <f>SUMIFS('февраль 2025'!$G$4:$G$2441,'февраль 2025'!$D$4:$D$2441,$B28,'февраль 2025'!$J$4:$J$2441,AA$1)</f>
        <v>0</v>
      </c>
      <c r="AB28" s="76">
        <f>SUMIFS('февраль 2025'!$G$4:$G$2441,'февраль 2025'!$D$4:$D$2441,$B28,'февраль 2025'!$J$4:$J$2441,AB$1)</f>
        <v>0</v>
      </c>
      <c r="AC28" s="76">
        <f>SUMIFS('февраль 2025'!$G$4:$G$2441,'февраль 2025'!$D$4:$D$2441,$B28,'февраль 2025'!$J$4:$J$2441,AC$1)</f>
        <v>0</v>
      </c>
      <c r="AD28" s="76">
        <f>SUMIFS('февраль 2025'!$G$4:$G$2441,'февраль 2025'!$D$4:$D$2441,$B28,'февраль 2025'!$J$4:$J$2441,AD$1)</f>
        <v>0</v>
      </c>
      <c r="AE28" s="76">
        <f>SUMIFS('февраль 2025'!$G$4:$G$2441,'февраль 2025'!$D$4:$D$2441,$B28,'февраль 2025'!$J$4:$J$2441,AE$1)</f>
        <v>0</v>
      </c>
      <c r="AF28" s="76">
        <f>SUMIFS('февраль 2025'!$G$4:$G$2441,'февраль 2025'!$D$4:$D$2441,$B28,'февраль 2025'!$J$4:$J$2441,AF$1)</f>
        <v>0</v>
      </c>
      <c r="AG28" s="76">
        <f>SUMIFS('февраль 2025'!$G$4:$G$2441,'февраль 2025'!$D$4:$D$2441,$B28,'февраль 2025'!$J$4:$J$2441,AG$1)</f>
        <v>0</v>
      </c>
      <c r="AH28" s="76">
        <f>SUMIFS('февраль 2025'!$G$4:$G$2441,'февраль 2025'!$D$4:$D$2441,$B28,'февраль 2025'!$J$4:$J$2441,AH$1)</f>
        <v>0</v>
      </c>
      <c r="AI28" s="20">
        <f t="shared" si="1"/>
        <v>0</v>
      </c>
    </row>
    <row r="29" spans="2:35" ht="15" customHeight="1" x14ac:dyDescent="0.25">
      <c r="B29" s="80"/>
      <c r="C29" s="78"/>
      <c r="D29" s="76">
        <f>SUMIFS('февраль 2025'!$G$4:$G$2441,'февраль 2025'!$D$4:$D$2441,$B29,'февраль 2025'!$J$4:$J$2441,D$1)</f>
        <v>0</v>
      </c>
      <c r="E29" s="76">
        <f>SUMIFS('февраль 2025'!$G$4:$G$2441,'февраль 2025'!$D$4:$D$2441,$B29,'февраль 2025'!$J$4:$J$2441,E$1)</f>
        <v>0</v>
      </c>
      <c r="F29" s="76">
        <f>SUMIFS('февраль 2025'!$G$4:$G$2441,'февраль 2025'!$D$4:$D$2441,$B29,'февраль 2025'!$J$4:$J$2441,F$1)</f>
        <v>0</v>
      </c>
      <c r="G29" s="76">
        <f>SUMIFS('февраль 2025'!$G$4:$G$2441,'февраль 2025'!$D$4:$D$2441,$B29,'февраль 2025'!$J$4:$J$2441,G$1)</f>
        <v>0</v>
      </c>
      <c r="H29" s="76">
        <f>SUMIFS('февраль 2025'!$G$4:$G$2441,'февраль 2025'!$D$4:$D$2441,$B29,'февраль 2025'!$J$4:$J$2441,H$1)</f>
        <v>0</v>
      </c>
      <c r="I29" s="76">
        <f>SUMIFS('февраль 2025'!$G$4:$G$2441,'февраль 2025'!$D$4:$D$2441,$B29,'февраль 2025'!$J$4:$J$2441,I$1)</f>
        <v>0</v>
      </c>
      <c r="J29" s="76">
        <f>SUMIFS('февраль 2025'!$G$4:$G$2441,'февраль 2025'!$D$4:$D$2441,$B29,'февраль 2025'!$J$4:$J$2441,J$1)</f>
        <v>0</v>
      </c>
      <c r="K29" s="76">
        <f>SUMIFS('февраль 2025'!$G$4:$G$2441,'февраль 2025'!$D$4:$D$2441,$B29,'февраль 2025'!$J$4:$J$2441,K$1)</f>
        <v>0</v>
      </c>
      <c r="L29" s="76">
        <f>SUMIFS('февраль 2025'!$G$4:$G$2441,'февраль 2025'!$D$4:$D$2441,$B29,'февраль 2025'!$J$4:$J$2441,L$1)</f>
        <v>0</v>
      </c>
      <c r="M29" s="76">
        <f>SUMIFS('февраль 2025'!$G$4:$G$2441,'февраль 2025'!$D$4:$D$2441,$B29,'февраль 2025'!$J$4:$J$2441,M$1)</f>
        <v>0</v>
      </c>
      <c r="N29" s="76">
        <f>SUMIFS('февраль 2025'!$G$4:$G$2441,'февраль 2025'!$D$4:$D$2441,$B29,'февраль 2025'!$J$4:$J$2441,N$1)</f>
        <v>0</v>
      </c>
      <c r="O29" s="76">
        <f>SUMIFS('февраль 2025'!$G$4:$G$2441,'февраль 2025'!$D$4:$D$2441,$B29,'февраль 2025'!$J$4:$J$2441,O$1)</f>
        <v>0</v>
      </c>
      <c r="P29" s="76">
        <f>SUMIFS('февраль 2025'!$G$4:$G$2441,'февраль 2025'!$D$4:$D$2441,$B29,'февраль 2025'!$J$4:$J$2441,P$1)</f>
        <v>0</v>
      </c>
      <c r="Q29" s="76">
        <f>SUMIFS('февраль 2025'!$G$4:$G$2441,'февраль 2025'!$D$4:$D$2441,$B29,'февраль 2025'!$J$4:$J$2441,Q$1)</f>
        <v>0</v>
      </c>
      <c r="R29" s="76">
        <f>SUMIFS('февраль 2025'!$G$4:$G$2441,'февраль 2025'!$D$4:$D$2441,$B29,'февраль 2025'!$J$4:$J$2441,R$1)</f>
        <v>0</v>
      </c>
      <c r="S29" s="76">
        <f>SUMIFS('февраль 2025'!$G$4:$G$2441,'февраль 2025'!$D$4:$D$2441,$B29,'февраль 2025'!$J$4:$J$2441,S$1)</f>
        <v>0</v>
      </c>
      <c r="T29" s="76">
        <f>SUMIFS('февраль 2025'!$G$4:$G$2441,'февраль 2025'!$D$4:$D$2441,$B29,'февраль 2025'!$J$4:$J$2441,T$1)</f>
        <v>0</v>
      </c>
      <c r="U29" s="76">
        <f>SUMIFS('февраль 2025'!$G$4:$G$2441,'февраль 2025'!$D$4:$D$2441,$B29,'февраль 2025'!$J$4:$J$2441,U$1)</f>
        <v>0</v>
      </c>
      <c r="V29" s="76">
        <f>SUMIFS('февраль 2025'!$G$4:$G$2441,'февраль 2025'!$D$4:$D$2441,$B29,'февраль 2025'!$J$4:$J$2441,V$1)</f>
        <v>0</v>
      </c>
      <c r="W29" s="76">
        <f>SUMIFS('февраль 2025'!$G$4:$G$2441,'февраль 2025'!$D$4:$D$2441,$B29,'февраль 2025'!$J$4:$J$2441,W$1)</f>
        <v>0</v>
      </c>
      <c r="X29" s="76">
        <f>SUMIFS('февраль 2025'!$G$4:$G$2441,'февраль 2025'!$D$4:$D$2441,$B29,'февраль 2025'!$J$4:$J$2441,X$1)</f>
        <v>0</v>
      </c>
      <c r="Y29" s="76">
        <f>SUMIFS('февраль 2025'!$G$4:$G$2441,'февраль 2025'!$D$4:$D$2441,$B29,'февраль 2025'!$J$4:$J$2441,Y$1)</f>
        <v>0</v>
      </c>
      <c r="Z29" s="76">
        <f>SUMIFS('февраль 2025'!$G$4:$G$2441,'февраль 2025'!$D$4:$D$2441,$B29,'февраль 2025'!$J$4:$J$2441,Z$1)</f>
        <v>0</v>
      </c>
      <c r="AA29" s="76">
        <f>SUMIFS('февраль 2025'!$G$4:$G$2441,'февраль 2025'!$D$4:$D$2441,$B29,'февраль 2025'!$J$4:$J$2441,AA$1)</f>
        <v>0</v>
      </c>
      <c r="AB29" s="76">
        <f>SUMIFS('февраль 2025'!$G$4:$G$2441,'февраль 2025'!$D$4:$D$2441,$B29,'февраль 2025'!$J$4:$J$2441,AB$1)</f>
        <v>0</v>
      </c>
      <c r="AC29" s="76">
        <f>SUMIFS('февраль 2025'!$G$4:$G$2441,'февраль 2025'!$D$4:$D$2441,$B29,'февраль 2025'!$J$4:$J$2441,AC$1)</f>
        <v>0</v>
      </c>
      <c r="AD29" s="76">
        <f>SUMIFS('февраль 2025'!$G$4:$G$2441,'февраль 2025'!$D$4:$D$2441,$B29,'февраль 2025'!$J$4:$J$2441,AD$1)</f>
        <v>0</v>
      </c>
      <c r="AE29" s="76">
        <f>SUMIFS('февраль 2025'!$G$4:$G$2441,'февраль 2025'!$D$4:$D$2441,$B29,'февраль 2025'!$J$4:$J$2441,AE$1)</f>
        <v>0</v>
      </c>
      <c r="AF29" s="76">
        <f>SUMIFS('февраль 2025'!$G$4:$G$2441,'февраль 2025'!$D$4:$D$2441,$B29,'февраль 2025'!$J$4:$J$2441,AF$1)</f>
        <v>0</v>
      </c>
      <c r="AG29" s="76">
        <f>SUMIFS('февраль 2025'!$G$4:$G$2441,'февраль 2025'!$D$4:$D$2441,$B29,'февраль 2025'!$J$4:$J$2441,AG$1)</f>
        <v>0</v>
      </c>
      <c r="AH29" s="76">
        <f>SUMIFS('февраль 2025'!$G$4:$G$2441,'февраль 2025'!$D$4:$D$2441,$B29,'февраль 2025'!$J$4:$J$2441,AH$1)</f>
        <v>0</v>
      </c>
      <c r="AI29" s="20">
        <f t="shared" si="1"/>
        <v>0</v>
      </c>
    </row>
    <row r="30" spans="2:35" ht="15" customHeight="1" x14ac:dyDescent="0.25">
      <c r="B30" s="80"/>
      <c r="C30" s="78"/>
      <c r="D30" s="76">
        <f>SUMIFS('февраль 2025'!$G$4:$G$2441,'февраль 2025'!$D$4:$D$2441,$B30,'февраль 2025'!$J$4:$J$2441,D$1)</f>
        <v>0</v>
      </c>
      <c r="E30" s="76">
        <f>SUMIFS('февраль 2025'!$G$4:$G$2441,'февраль 2025'!$D$4:$D$2441,$B30,'февраль 2025'!$J$4:$J$2441,E$1)</f>
        <v>0</v>
      </c>
      <c r="F30" s="76">
        <f>SUMIFS('февраль 2025'!$G$4:$G$2441,'февраль 2025'!$D$4:$D$2441,$B30,'февраль 2025'!$J$4:$J$2441,F$1)</f>
        <v>0</v>
      </c>
      <c r="G30" s="76">
        <f>SUMIFS('февраль 2025'!$G$4:$G$2441,'февраль 2025'!$D$4:$D$2441,$B30,'февраль 2025'!$J$4:$J$2441,G$1)</f>
        <v>0</v>
      </c>
      <c r="H30" s="76">
        <f>SUMIFS('февраль 2025'!$G$4:$G$2441,'февраль 2025'!$D$4:$D$2441,$B30,'февраль 2025'!$J$4:$J$2441,H$1)</f>
        <v>0</v>
      </c>
      <c r="I30" s="76">
        <f>SUMIFS('февраль 2025'!$G$4:$G$2441,'февраль 2025'!$D$4:$D$2441,$B30,'февраль 2025'!$J$4:$J$2441,I$1)</f>
        <v>0</v>
      </c>
      <c r="J30" s="76">
        <f>SUMIFS('февраль 2025'!$G$4:$G$2441,'февраль 2025'!$D$4:$D$2441,$B30,'февраль 2025'!$J$4:$J$2441,J$1)</f>
        <v>0</v>
      </c>
      <c r="K30" s="76">
        <f>SUMIFS('февраль 2025'!$G$4:$G$2441,'февраль 2025'!$D$4:$D$2441,$B30,'февраль 2025'!$J$4:$J$2441,K$1)</f>
        <v>0</v>
      </c>
      <c r="L30" s="76">
        <f>SUMIFS('февраль 2025'!$G$4:$G$2441,'февраль 2025'!$D$4:$D$2441,$B30,'февраль 2025'!$J$4:$J$2441,L$1)</f>
        <v>0</v>
      </c>
      <c r="M30" s="76">
        <f>SUMIFS('февраль 2025'!$G$4:$G$2441,'февраль 2025'!$D$4:$D$2441,$B30,'февраль 2025'!$J$4:$J$2441,M$1)</f>
        <v>0</v>
      </c>
      <c r="N30" s="76">
        <f>SUMIFS('февраль 2025'!$G$4:$G$2441,'февраль 2025'!$D$4:$D$2441,$B30,'февраль 2025'!$J$4:$J$2441,N$1)</f>
        <v>0</v>
      </c>
      <c r="O30" s="76">
        <f>SUMIFS('февраль 2025'!$G$4:$G$2441,'февраль 2025'!$D$4:$D$2441,$B30,'февраль 2025'!$J$4:$J$2441,O$1)</f>
        <v>0</v>
      </c>
      <c r="P30" s="76">
        <f>SUMIFS('февраль 2025'!$G$4:$G$2441,'февраль 2025'!$D$4:$D$2441,$B30,'февраль 2025'!$J$4:$J$2441,P$1)</f>
        <v>0</v>
      </c>
      <c r="Q30" s="76">
        <f>SUMIFS('февраль 2025'!$G$4:$G$2441,'февраль 2025'!$D$4:$D$2441,$B30,'февраль 2025'!$J$4:$J$2441,Q$1)</f>
        <v>0</v>
      </c>
      <c r="R30" s="76">
        <f>SUMIFS('февраль 2025'!$G$4:$G$2441,'февраль 2025'!$D$4:$D$2441,$B30,'февраль 2025'!$J$4:$J$2441,R$1)</f>
        <v>0</v>
      </c>
      <c r="S30" s="76">
        <f>SUMIFS('февраль 2025'!$G$4:$G$2441,'февраль 2025'!$D$4:$D$2441,$B30,'февраль 2025'!$J$4:$J$2441,S$1)</f>
        <v>0</v>
      </c>
      <c r="T30" s="76">
        <f>SUMIFS('февраль 2025'!$G$4:$G$2441,'февраль 2025'!$D$4:$D$2441,$B30,'февраль 2025'!$J$4:$J$2441,T$1)</f>
        <v>0</v>
      </c>
      <c r="U30" s="76">
        <f>SUMIFS('февраль 2025'!$G$4:$G$2441,'февраль 2025'!$D$4:$D$2441,$B30,'февраль 2025'!$J$4:$J$2441,U$1)</f>
        <v>0</v>
      </c>
      <c r="V30" s="76">
        <f>SUMIFS('февраль 2025'!$G$4:$G$2441,'февраль 2025'!$D$4:$D$2441,$B30,'февраль 2025'!$J$4:$J$2441,V$1)</f>
        <v>0</v>
      </c>
      <c r="W30" s="76">
        <f>SUMIFS('февраль 2025'!$G$4:$G$2441,'февраль 2025'!$D$4:$D$2441,$B30,'февраль 2025'!$J$4:$J$2441,W$1)</f>
        <v>0</v>
      </c>
      <c r="X30" s="76">
        <f>SUMIFS('февраль 2025'!$G$4:$G$2441,'февраль 2025'!$D$4:$D$2441,$B30,'февраль 2025'!$J$4:$J$2441,X$1)</f>
        <v>0</v>
      </c>
      <c r="Y30" s="76">
        <f>SUMIFS('февраль 2025'!$G$4:$G$2441,'февраль 2025'!$D$4:$D$2441,$B30,'февраль 2025'!$J$4:$J$2441,Y$1)</f>
        <v>0</v>
      </c>
      <c r="Z30" s="76">
        <f>SUMIFS('февраль 2025'!$G$4:$G$2441,'февраль 2025'!$D$4:$D$2441,$B30,'февраль 2025'!$J$4:$J$2441,Z$1)</f>
        <v>0</v>
      </c>
      <c r="AA30" s="76">
        <f>SUMIFS('февраль 2025'!$G$4:$G$2441,'февраль 2025'!$D$4:$D$2441,$B30,'февраль 2025'!$J$4:$J$2441,AA$1)</f>
        <v>0</v>
      </c>
      <c r="AB30" s="76">
        <f>SUMIFS('февраль 2025'!$G$4:$G$2441,'февраль 2025'!$D$4:$D$2441,$B30,'февраль 2025'!$J$4:$J$2441,AB$1)</f>
        <v>0</v>
      </c>
      <c r="AC30" s="76">
        <f>SUMIFS('февраль 2025'!$G$4:$G$2441,'февраль 2025'!$D$4:$D$2441,$B30,'февраль 2025'!$J$4:$J$2441,AC$1)</f>
        <v>0</v>
      </c>
      <c r="AD30" s="76">
        <f>SUMIFS('февраль 2025'!$G$4:$G$2441,'февраль 2025'!$D$4:$D$2441,$B30,'февраль 2025'!$J$4:$J$2441,AD$1)</f>
        <v>0</v>
      </c>
      <c r="AE30" s="76">
        <f>SUMIFS('февраль 2025'!$G$4:$G$2441,'февраль 2025'!$D$4:$D$2441,$B30,'февраль 2025'!$J$4:$J$2441,AE$1)</f>
        <v>0</v>
      </c>
      <c r="AF30" s="76">
        <f>SUMIFS('февраль 2025'!$G$4:$G$2441,'февраль 2025'!$D$4:$D$2441,$B30,'февраль 2025'!$J$4:$J$2441,AF$1)</f>
        <v>0</v>
      </c>
      <c r="AG30" s="76">
        <f>SUMIFS('февраль 2025'!$G$4:$G$2441,'февраль 2025'!$D$4:$D$2441,$B30,'февраль 2025'!$J$4:$J$2441,AG$1)</f>
        <v>0</v>
      </c>
      <c r="AH30" s="76">
        <f>SUMIFS('февраль 2025'!$G$4:$G$2441,'февраль 2025'!$D$4:$D$2441,$B30,'февраль 2025'!$J$4:$J$2441,AH$1)</f>
        <v>0</v>
      </c>
      <c r="AI30" s="20">
        <f t="shared" si="1"/>
        <v>0</v>
      </c>
    </row>
    <row r="31" spans="2:35" ht="15" customHeight="1" x14ac:dyDescent="0.25">
      <c r="B31" s="80"/>
      <c r="C31" s="78"/>
      <c r="D31" s="76">
        <f>SUMIFS('февраль 2025'!$G$4:$G$2441,'февраль 2025'!$D$4:$D$2441,$B31,'февраль 2025'!$J$4:$J$2441,D$1)</f>
        <v>0</v>
      </c>
      <c r="E31" s="76">
        <f>SUMIFS('февраль 2025'!$G$4:$G$2441,'февраль 2025'!$D$4:$D$2441,$B31,'февраль 2025'!$J$4:$J$2441,E$1)</f>
        <v>0</v>
      </c>
      <c r="F31" s="76">
        <f>SUMIFS('февраль 2025'!$G$4:$G$2441,'февраль 2025'!$D$4:$D$2441,$B31,'февраль 2025'!$J$4:$J$2441,F$1)</f>
        <v>0</v>
      </c>
      <c r="G31" s="76">
        <f>SUMIFS('февраль 2025'!$G$4:$G$2441,'февраль 2025'!$D$4:$D$2441,$B31,'февраль 2025'!$J$4:$J$2441,G$1)</f>
        <v>0</v>
      </c>
      <c r="H31" s="76">
        <f>SUMIFS('февраль 2025'!$G$4:$G$2441,'февраль 2025'!$D$4:$D$2441,$B31,'февраль 2025'!$J$4:$J$2441,H$1)</f>
        <v>0</v>
      </c>
      <c r="I31" s="76">
        <f>SUMIFS('февраль 2025'!$G$4:$G$2441,'февраль 2025'!$D$4:$D$2441,$B31,'февраль 2025'!$J$4:$J$2441,I$1)</f>
        <v>0</v>
      </c>
      <c r="J31" s="76">
        <f>SUMIFS('февраль 2025'!$G$4:$G$2441,'февраль 2025'!$D$4:$D$2441,$B31,'февраль 2025'!$J$4:$J$2441,J$1)</f>
        <v>0</v>
      </c>
      <c r="K31" s="76">
        <f>SUMIFS('февраль 2025'!$G$4:$G$2441,'февраль 2025'!$D$4:$D$2441,$B31,'февраль 2025'!$J$4:$J$2441,K$1)</f>
        <v>0</v>
      </c>
      <c r="L31" s="76">
        <f>SUMIFS('февраль 2025'!$G$4:$G$2441,'февраль 2025'!$D$4:$D$2441,$B31,'февраль 2025'!$J$4:$J$2441,L$1)</f>
        <v>0</v>
      </c>
      <c r="M31" s="76">
        <f>SUMIFS('февраль 2025'!$G$4:$G$2441,'февраль 2025'!$D$4:$D$2441,$B31,'февраль 2025'!$J$4:$J$2441,M$1)</f>
        <v>0</v>
      </c>
      <c r="N31" s="76">
        <f>SUMIFS('февраль 2025'!$G$4:$G$2441,'февраль 2025'!$D$4:$D$2441,$B31,'февраль 2025'!$J$4:$J$2441,N$1)</f>
        <v>0</v>
      </c>
      <c r="O31" s="76">
        <f>SUMIFS('февраль 2025'!$G$4:$G$2441,'февраль 2025'!$D$4:$D$2441,$B31,'февраль 2025'!$J$4:$J$2441,O$1)</f>
        <v>0</v>
      </c>
      <c r="P31" s="76">
        <f>SUMIFS('февраль 2025'!$G$4:$G$2441,'февраль 2025'!$D$4:$D$2441,$B31,'февраль 2025'!$J$4:$J$2441,P$1)</f>
        <v>0</v>
      </c>
      <c r="Q31" s="76">
        <f>SUMIFS('февраль 2025'!$G$4:$G$2441,'февраль 2025'!$D$4:$D$2441,$B31,'февраль 2025'!$J$4:$J$2441,Q$1)</f>
        <v>0</v>
      </c>
      <c r="R31" s="76">
        <f>SUMIFS('февраль 2025'!$G$4:$G$2441,'февраль 2025'!$D$4:$D$2441,$B31,'февраль 2025'!$J$4:$J$2441,R$1)</f>
        <v>0</v>
      </c>
      <c r="S31" s="76">
        <f>SUMIFS('февраль 2025'!$G$4:$G$2441,'февраль 2025'!$D$4:$D$2441,$B31,'февраль 2025'!$J$4:$J$2441,S$1)</f>
        <v>0</v>
      </c>
      <c r="T31" s="76">
        <f>SUMIFS('февраль 2025'!$G$4:$G$2441,'февраль 2025'!$D$4:$D$2441,$B31,'февраль 2025'!$J$4:$J$2441,T$1)</f>
        <v>0</v>
      </c>
      <c r="U31" s="76">
        <f>SUMIFS('февраль 2025'!$G$4:$G$2441,'февраль 2025'!$D$4:$D$2441,$B31,'февраль 2025'!$J$4:$J$2441,U$1)</f>
        <v>0</v>
      </c>
      <c r="V31" s="76">
        <f>SUMIFS('февраль 2025'!$G$4:$G$2441,'февраль 2025'!$D$4:$D$2441,$B31,'февраль 2025'!$J$4:$J$2441,V$1)</f>
        <v>0</v>
      </c>
      <c r="W31" s="76">
        <f>SUMIFS('февраль 2025'!$G$4:$G$2441,'февраль 2025'!$D$4:$D$2441,$B31,'февраль 2025'!$J$4:$J$2441,W$1)</f>
        <v>0</v>
      </c>
      <c r="X31" s="76">
        <f>SUMIFS('февраль 2025'!$G$4:$G$2441,'февраль 2025'!$D$4:$D$2441,$B31,'февраль 2025'!$J$4:$J$2441,X$1)</f>
        <v>0</v>
      </c>
      <c r="Y31" s="76">
        <f>SUMIFS('февраль 2025'!$G$4:$G$2441,'февраль 2025'!$D$4:$D$2441,$B31,'февраль 2025'!$J$4:$J$2441,Y$1)</f>
        <v>0</v>
      </c>
      <c r="Z31" s="76">
        <f>SUMIFS('февраль 2025'!$G$4:$G$2441,'февраль 2025'!$D$4:$D$2441,$B31,'февраль 2025'!$J$4:$J$2441,Z$1)</f>
        <v>0</v>
      </c>
      <c r="AA31" s="76">
        <f>SUMIFS('февраль 2025'!$G$4:$G$2441,'февраль 2025'!$D$4:$D$2441,$B31,'февраль 2025'!$J$4:$J$2441,AA$1)</f>
        <v>0</v>
      </c>
      <c r="AB31" s="76">
        <f>SUMIFS('февраль 2025'!$G$4:$G$2441,'февраль 2025'!$D$4:$D$2441,$B31,'февраль 2025'!$J$4:$J$2441,AB$1)</f>
        <v>0</v>
      </c>
      <c r="AC31" s="76">
        <f>SUMIFS('февраль 2025'!$G$4:$G$2441,'февраль 2025'!$D$4:$D$2441,$B31,'февраль 2025'!$J$4:$J$2441,AC$1)</f>
        <v>0</v>
      </c>
      <c r="AD31" s="76">
        <f>SUMIFS('февраль 2025'!$G$4:$G$2441,'февраль 2025'!$D$4:$D$2441,$B31,'февраль 2025'!$J$4:$J$2441,AD$1)</f>
        <v>0</v>
      </c>
      <c r="AE31" s="76">
        <f>SUMIFS('февраль 2025'!$G$4:$G$2441,'февраль 2025'!$D$4:$D$2441,$B31,'февраль 2025'!$J$4:$J$2441,AE$1)</f>
        <v>0</v>
      </c>
      <c r="AF31" s="76">
        <f>SUMIFS('февраль 2025'!$G$4:$G$2441,'февраль 2025'!$D$4:$D$2441,$B31,'февраль 2025'!$J$4:$J$2441,AF$1)</f>
        <v>0</v>
      </c>
      <c r="AG31" s="76">
        <f>SUMIFS('февраль 2025'!$G$4:$G$2441,'февраль 2025'!$D$4:$D$2441,$B31,'февраль 2025'!$J$4:$J$2441,AG$1)</f>
        <v>0</v>
      </c>
      <c r="AH31" s="76">
        <f>SUMIFS('февраль 2025'!$G$4:$G$2441,'февраль 2025'!$D$4:$D$2441,$B31,'февраль 2025'!$J$4:$J$2441,AH$1)</f>
        <v>0</v>
      </c>
      <c r="AI31" s="20">
        <f t="shared" si="1"/>
        <v>0</v>
      </c>
    </row>
    <row r="32" spans="2:35" ht="15" customHeight="1" x14ac:dyDescent="0.25">
      <c r="B32" s="80"/>
      <c r="C32" s="78"/>
      <c r="D32" s="76">
        <f>SUMIFS('февраль 2025'!$G$4:$G$2441,'февраль 2025'!$D$4:$D$2441,$B32,'февраль 2025'!$J$4:$J$2441,D$1)</f>
        <v>0</v>
      </c>
      <c r="E32" s="76">
        <f>SUMIFS('февраль 2025'!$G$4:$G$2441,'февраль 2025'!$D$4:$D$2441,$B32,'февраль 2025'!$J$4:$J$2441,E$1)</f>
        <v>0</v>
      </c>
      <c r="F32" s="76">
        <f>SUMIFS('февраль 2025'!$G$4:$G$2441,'февраль 2025'!$D$4:$D$2441,$B32,'февраль 2025'!$J$4:$J$2441,F$1)</f>
        <v>0</v>
      </c>
      <c r="G32" s="76">
        <f>SUMIFS('февраль 2025'!$G$4:$G$2441,'февраль 2025'!$D$4:$D$2441,$B32,'февраль 2025'!$J$4:$J$2441,G$1)</f>
        <v>0</v>
      </c>
      <c r="H32" s="76">
        <f>SUMIFS('февраль 2025'!$G$4:$G$2441,'февраль 2025'!$D$4:$D$2441,$B32,'февраль 2025'!$J$4:$J$2441,H$1)</f>
        <v>0</v>
      </c>
      <c r="I32" s="76">
        <f>SUMIFS('февраль 2025'!$G$4:$G$2441,'февраль 2025'!$D$4:$D$2441,$B32,'февраль 2025'!$J$4:$J$2441,I$1)</f>
        <v>0</v>
      </c>
      <c r="J32" s="76">
        <f>SUMIFS('февраль 2025'!$G$4:$G$2441,'февраль 2025'!$D$4:$D$2441,$B32,'февраль 2025'!$J$4:$J$2441,J$1)</f>
        <v>0</v>
      </c>
      <c r="K32" s="76">
        <f>SUMIFS('февраль 2025'!$G$4:$G$2441,'февраль 2025'!$D$4:$D$2441,$B32,'февраль 2025'!$J$4:$J$2441,K$1)</f>
        <v>0</v>
      </c>
      <c r="L32" s="76">
        <f>SUMIFS('февраль 2025'!$G$4:$G$2441,'февраль 2025'!$D$4:$D$2441,$B32,'февраль 2025'!$J$4:$J$2441,L$1)</f>
        <v>0</v>
      </c>
      <c r="M32" s="76">
        <f>SUMIFS('февраль 2025'!$G$4:$G$2441,'февраль 2025'!$D$4:$D$2441,$B32,'февраль 2025'!$J$4:$J$2441,M$1)</f>
        <v>0</v>
      </c>
      <c r="N32" s="76">
        <f>SUMIFS('февраль 2025'!$G$4:$G$2441,'февраль 2025'!$D$4:$D$2441,$B32,'февраль 2025'!$J$4:$J$2441,N$1)</f>
        <v>0</v>
      </c>
      <c r="O32" s="76">
        <f>SUMIFS('февраль 2025'!$G$4:$G$2441,'февраль 2025'!$D$4:$D$2441,$B32,'февраль 2025'!$J$4:$J$2441,O$1)</f>
        <v>0</v>
      </c>
      <c r="P32" s="76">
        <f>SUMIFS('февраль 2025'!$G$4:$G$2441,'февраль 2025'!$D$4:$D$2441,$B32,'февраль 2025'!$J$4:$J$2441,P$1)</f>
        <v>0</v>
      </c>
      <c r="Q32" s="76">
        <f>SUMIFS('февраль 2025'!$G$4:$G$2441,'февраль 2025'!$D$4:$D$2441,$B32,'февраль 2025'!$J$4:$J$2441,Q$1)</f>
        <v>0</v>
      </c>
      <c r="R32" s="76">
        <f>SUMIFS('февраль 2025'!$G$4:$G$2441,'февраль 2025'!$D$4:$D$2441,$B32,'февраль 2025'!$J$4:$J$2441,R$1)</f>
        <v>0</v>
      </c>
      <c r="S32" s="76">
        <f>SUMIFS('февраль 2025'!$G$4:$G$2441,'февраль 2025'!$D$4:$D$2441,$B32,'февраль 2025'!$J$4:$J$2441,S$1)</f>
        <v>0</v>
      </c>
      <c r="T32" s="76">
        <f>SUMIFS('февраль 2025'!$G$4:$G$2441,'февраль 2025'!$D$4:$D$2441,$B32,'февраль 2025'!$J$4:$J$2441,T$1)</f>
        <v>0</v>
      </c>
      <c r="U32" s="76">
        <f>SUMIFS('февраль 2025'!$G$4:$G$2441,'февраль 2025'!$D$4:$D$2441,$B32,'февраль 2025'!$J$4:$J$2441,U$1)</f>
        <v>0</v>
      </c>
      <c r="V32" s="76">
        <f>SUMIFS('февраль 2025'!$G$4:$G$2441,'февраль 2025'!$D$4:$D$2441,$B32,'февраль 2025'!$J$4:$J$2441,V$1)</f>
        <v>0</v>
      </c>
      <c r="W32" s="76">
        <f>SUMIFS('февраль 2025'!$G$4:$G$2441,'февраль 2025'!$D$4:$D$2441,$B32,'февраль 2025'!$J$4:$J$2441,W$1)</f>
        <v>0</v>
      </c>
      <c r="X32" s="76">
        <f>SUMIFS('февраль 2025'!$G$4:$G$2441,'февраль 2025'!$D$4:$D$2441,$B32,'февраль 2025'!$J$4:$J$2441,X$1)</f>
        <v>0</v>
      </c>
      <c r="Y32" s="76">
        <f>SUMIFS('февраль 2025'!$G$4:$G$2441,'февраль 2025'!$D$4:$D$2441,$B32,'февраль 2025'!$J$4:$J$2441,Y$1)</f>
        <v>0</v>
      </c>
      <c r="Z32" s="76">
        <f>SUMIFS('февраль 2025'!$G$4:$G$2441,'февраль 2025'!$D$4:$D$2441,$B32,'февраль 2025'!$J$4:$J$2441,Z$1)</f>
        <v>0</v>
      </c>
      <c r="AA32" s="76">
        <f>SUMIFS('февраль 2025'!$G$4:$G$2441,'февраль 2025'!$D$4:$D$2441,$B32,'февраль 2025'!$J$4:$J$2441,AA$1)</f>
        <v>0</v>
      </c>
      <c r="AB32" s="76">
        <f>SUMIFS('февраль 2025'!$G$4:$G$2441,'февраль 2025'!$D$4:$D$2441,$B32,'февраль 2025'!$J$4:$J$2441,AB$1)</f>
        <v>0</v>
      </c>
      <c r="AC32" s="76">
        <f>SUMIFS('февраль 2025'!$G$4:$G$2441,'февраль 2025'!$D$4:$D$2441,$B32,'февраль 2025'!$J$4:$J$2441,AC$1)</f>
        <v>0</v>
      </c>
      <c r="AD32" s="76">
        <f>SUMIFS('февраль 2025'!$G$4:$G$2441,'февраль 2025'!$D$4:$D$2441,$B32,'февраль 2025'!$J$4:$J$2441,AD$1)</f>
        <v>0</v>
      </c>
      <c r="AE32" s="76">
        <f>SUMIFS('февраль 2025'!$G$4:$G$2441,'февраль 2025'!$D$4:$D$2441,$B32,'февраль 2025'!$J$4:$J$2441,AE$1)</f>
        <v>0</v>
      </c>
      <c r="AF32" s="76">
        <f>SUMIFS('февраль 2025'!$G$4:$G$2441,'февраль 2025'!$D$4:$D$2441,$B32,'февраль 2025'!$J$4:$J$2441,AF$1)</f>
        <v>0</v>
      </c>
      <c r="AG32" s="76">
        <f>SUMIFS('февраль 2025'!$G$4:$G$2441,'февраль 2025'!$D$4:$D$2441,$B32,'февраль 2025'!$J$4:$J$2441,AG$1)</f>
        <v>0</v>
      </c>
      <c r="AH32" s="76">
        <f>SUMIFS('февраль 2025'!$G$4:$G$2441,'февраль 2025'!$D$4:$D$2441,$B32,'февраль 2025'!$J$4:$J$2441,AH$1)</f>
        <v>0</v>
      </c>
      <c r="AI32" s="20">
        <f t="shared" si="1"/>
        <v>0</v>
      </c>
    </row>
    <row r="33" spans="2:35" ht="15" customHeight="1" x14ac:dyDescent="0.25">
      <c r="B33" s="125" t="s">
        <v>213</v>
      </c>
      <c r="C33" s="126">
        <v>25</v>
      </c>
      <c r="D33" s="182">
        <f>SUMIFS('февраль 2025'!$G$4:$G$2441,'февраль 2025'!$D$4:$D$2441,$B33,'февраль 2025'!$J$4:$J$2441,D$1)</f>
        <v>0</v>
      </c>
      <c r="E33" s="182">
        <f>SUMIFS('февраль 2025'!$G$4:$G$2441,'февраль 2025'!$D$4:$D$2441,$B33,'февраль 2025'!$J$4:$J$2441,E$1)</f>
        <v>0</v>
      </c>
      <c r="F33" s="182">
        <f>SUMIFS('февраль 2025'!$G$4:$G$2441,'февраль 2025'!$D$4:$D$2441,$B33,'февраль 2025'!$J$4:$J$2441,F$1)</f>
        <v>0</v>
      </c>
      <c r="G33" s="182">
        <f>SUMIFS('февраль 2025'!$G$4:$G$2441,'февраль 2025'!$D$4:$D$2441,$B33,'февраль 2025'!$J$4:$J$2441,G$1)</f>
        <v>0</v>
      </c>
      <c r="H33" s="182">
        <f>SUMIFS('февраль 2025'!$G$4:$G$2441,'февраль 2025'!$D$4:$D$2441,$B33,'февраль 2025'!$J$4:$J$2441,H$1)</f>
        <v>0</v>
      </c>
      <c r="I33" s="182">
        <f>SUMIFS('февраль 2025'!$G$4:$G$2441,'февраль 2025'!$D$4:$D$2441,$B33,'февраль 2025'!$J$4:$J$2441,I$1)</f>
        <v>0</v>
      </c>
      <c r="J33" s="182">
        <f>SUMIFS('февраль 2025'!$G$4:$G$2441,'февраль 2025'!$D$4:$D$2441,$B33,'февраль 2025'!$J$4:$J$2441,J$1)</f>
        <v>0</v>
      </c>
      <c r="K33" s="182">
        <f>SUMIFS('февраль 2025'!$G$4:$G$2441,'февраль 2025'!$D$4:$D$2441,$B33,'февраль 2025'!$J$4:$J$2441,K$1)</f>
        <v>0</v>
      </c>
      <c r="L33" s="182">
        <f>SUMIFS('февраль 2025'!$G$4:$G$2441,'февраль 2025'!$D$4:$D$2441,$B33,'февраль 2025'!$J$4:$J$2441,L$1)</f>
        <v>0</v>
      </c>
      <c r="M33" s="182">
        <f>SUMIFS('февраль 2025'!$G$4:$G$2441,'февраль 2025'!$D$4:$D$2441,$B33,'февраль 2025'!$J$4:$J$2441,M$1)</f>
        <v>0</v>
      </c>
      <c r="N33" s="182">
        <f>SUMIFS('февраль 2025'!$G$4:$G$2441,'февраль 2025'!$D$4:$D$2441,$B33,'февраль 2025'!$J$4:$J$2441,N$1)</f>
        <v>0</v>
      </c>
      <c r="O33" s="182">
        <f>SUMIFS('февраль 2025'!$G$4:$G$2441,'февраль 2025'!$D$4:$D$2441,$B33,'февраль 2025'!$J$4:$J$2441,O$1)</f>
        <v>0</v>
      </c>
      <c r="P33" s="182">
        <f>SUMIFS('февраль 2025'!$G$4:$G$2441,'февраль 2025'!$D$4:$D$2441,$B33,'февраль 2025'!$J$4:$J$2441,P$1)</f>
        <v>0</v>
      </c>
      <c r="Q33" s="182">
        <f>SUMIFS('февраль 2025'!$G$4:$G$2441,'февраль 2025'!$D$4:$D$2441,$B33,'февраль 2025'!$J$4:$J$2441,Q$1)</f>
        <v>0</v>
      </c>
      <c r="R33" s="182">
        <f>SUMIFS('февраль 2025'!$G$4:$G$2441,'февраль 2025'!$D$4:$D$2441,$B33,'февраль 2025'!$J$4:$J$2441,R$1)</f>
        <v>0</v>
      </c>
      <c r="S33" s="182">
        <f>SUMIFS('февраль 2025'!$G$4:$G$2441,'февраль 2025'!$D$4:$D$2441,$B33,'февраль 2025'!$J$4:$J$2441,S$1)</f>
        <v>0</v>
      </c>
      <c r="T33" s="182">
        <f>SUMIFS('февраль 2025'!$G$4:$G$2441,'февраль 2025'!$D$4:$D$2441,$B33,'февраль 2025'!$J$4:$J$2441,T$1)</f>
        <v>0</v>
      </c>
      <c r="U33" s="182">
        <f>SUMIFS('февраль 2025'!$G$4:$G$2441,'февраль 2025'!$D$4:$D$2441,$B33,'февраль 2025'!$J$4:$J$2441,U$1)</f>
        <v>0</v>
      </c>
      <c r="V33" s="182">
        <f>SUMIFS('февраль 2025'!$G$4:$G$2441,'февраль 2025'!$D$4:$D$2441,$B33,'февраль 2025'!$J$4:$J$2441,V$1)</f>
        <v>0</v>
      </c>
      <c r="W33" s="182">
        <f>SUMIFS('февраль 2025'!$G$4:$G$2441,'февраль 2025'!$D$4:$D$2441,$B33,'февраль 2025'!$J$4:$J$2441,W$1)</f>
        <v>0</v>
      </c>
      <c r="X33" s="182">
        <f>SUMIFS('февраль 2025'!$G$4:$G$2441,'февраль 2025'!$D$4:$D$2441,$B33,'февраль 2025'!$J$4:$J$2441,X$1)</f>
        <v>0</v>
      </c>
      <c r="Y33" s="182">
        <f>SUMIFS('февраль 2025'!$G$4:$G$2441,'февраль 2025'!$D$4:$D$2441,$B33,'февраль 2025'!$J$4:$J$2441,Y$1)</f>
        <v>0</v>
      </c>
      <c r="Z33" s="182">
        <f>SUMIFS('февраль 2025'!$G$4:$G$2441,'февраль 2025'!$D$4:$D$2441,$B33,'февраль 2025'!$J$4:$J$2441,Z$1)</f>
        <v>0</v>
      </c>
      <c r="AA33" s="182">
        <f>SUMIFS('февраль 2025'!$G$4:$G$2441,'февраль 2025'!$D$4:$D$2441,$B33,'февраль 2025'!$J$4:$J$2441,AA$1)</f>
        <v>0</v>
      </c>
      <c r="AB33" s="182">
        <f>SUMIFS('февраль 2025'!$G$4:$G$2441,'февраль 2025'!$D$4:$D$2441,$B33,'февраль 2025'!$J$4:$J$2441,AB$1)</f>
        <v>0</v>
      </c>
      <c r="AC33" s="182">
        <f>SUMIFS('февраль 2025'!$G$4:$G$2441,'февраль 2025'!$D$4:$D$2441,$B33,'февраль 2025'!$J$4:$J$2441,AC$1)</f>
        <v>0</v>
      </c>
      <c r="AD33" s="182">
        <f>SUMIFS('февраль 2025'!$G$4:$G$2441,'февраль 2025'!$D$4:$D$2441,$B33,'февраль 2025'!$J$4:$J$2441,AD$1)</f>
        <v>0</v>
      </c>
      <c r="AE33" s="182">
        <f>SUMIFS('февраль 2025'!$G$4:$G$2441,'февраль 2025'!$D$4:$D$2441,$B33,'февраль 2025'!$J$4:$J$2441,AE$1)</f>
        <v>0</v>
      </c>
      <c r="AF33" s="182">
        <f>SUMIFS('февраль 2025'!$G$4:$G$2441,'февраль 2025'!$D$4:$D$2441,$B33,'февраль 2025'!$J$4:$J$2441,AF$1)</f>
        <v>0</v>
      </c>
      <c r="AG33" s="182">
        <f>SUMIFS('февраль 2025'!$G$4:$G$2441,'февраль 2025'!$D$4:$D$2441,$B33,'февраль 2025'!$J$4:$J$2441,AG$1)</f>
        <v>0</v>
      </c>
      <c r="AH33" s="182">
        <f>SUMIFS('февраль 2025'!$G$4:$G$2441,'февраль 2025'!$D$4:$D$2441,$B33,'февраль 2025'!$J$4:$J$2441,AH$1)</f>
        <v>0</v>
      </c>
      <c r="AI33" s="20">
        <f t="shared" si="1"/>
        <v>0</v>
      </c>
    </row>
    <row r="34" spans="2:35" ht="15" customHeight="1" x14ac:dyDescent="0.25">
      <c r="B34" s="127" t="s">
        <v>215</v>
      </c>
      <c r="C34" s="126">
        <v>25</v>
      </c>
      <c r="D34" s="182">
        <f>SUMIFS('февраль 2025'!$G$4:$G$2441,'февраль 2025'!$D$4:$D$2441,$B34,'февраль 2025'!$J$4:$J$2441,D$1)</f>
        <v>0</v>
      </c>
      <c r="E34" s="182">
        <f>SUMIFS('февраль 2025'!$G$4:$G$2441,'февраль 2025'!$D$4:$D$2441,$B34,'февраль 2025'!$J$4:$J$2441,E$1)</f>
        <v>0</v>
      </c>
      <c r="F34" s="182">
        <f>SUMIFS('февраль 2025'!$G$4:$G$2441,'февраль 2025'!$D$4:$D$2441,$B34,'февраль 2025'!$J$4:$J$2441,F$1)</f>
        <v>0</v>
      </c>
      <c r="G34" s="182">
        <f>SUMIFS('февраль 2025'!$G$4:$G$2441,'февраль 2025'!$D$4:$D$2441,$B34,'февраль 2025'!$J$4:$J$2441,G$1)</f>
        <v>0</v>
      </c>
      <c r="H34" s="182">
        <f>SUMIFS('февраль 2025'!$G$4:$G$2441,'февраль 2025'!$D$4:$D$2441,$B34,'февраль 2025'!$J$4:$J$2441,H$1)</f>
        <v>0</v>
      </c>
      <c r="I34" s="182">
        <f>SUMIFS('февраль 2025'!$G$4:$G$2441,'февраль 2025'!$D$4:$D$2441,$B34,'февраль 2025'!$J$4:$J$2441,I$1)</f>
        <v>0</v>
      </c>
      <c r="J34" s="182">
        <f>SUMIFS('февраль 2025'!$G$4:$G$2441,'февраль 2025'!$D$4:$D$2441,$B34,'февраль 2025'!$J$4:$J$2441,J$1)</f>
        <v>0</v>
      </c>
      <c r="K34" s="182">
        <f>SUMIFS('февраль 2025'!$G$4:$G$2441,'февраль 2025'!$D$4:$D$2441,$B34,'февраль 2025'!$J$4:$J$2441,K$1)</f>
        <v>0</v>
      </c>
      <c r="L34" s="182">
        <f>SUMIFS('февраль 2025'!$G$4:$G$2441,'февраль 2025'!$D$4:$D$2441,$B34,'февраль 2025'!$J$4:$J$2441,L$1)</f>
        <v>0</v>
      </c>
      <c r="M34" s="182">
        <f>SUMIFS('февраль 2025'!$G$4:$G$2441,'февраль 2025'!$D$4:$D$2441,$B34,'февраль 2025'!$J$4:$J$2441,M$1)</f>
        <v>0</v>
      </c>
      <c r="N34" s="182">
        <f>SUMIFS('февраль 2025'!$G$4:$G$2441,'февраль 2025'!$D$4:$D$2441,$B34,'февраль 2025'!$J$4:$J$2441,N$1)</f>
        <v>0</v>
      </c>
      <c r="O34" s="182">
        <f>SUMIFS('февраль 2025'!$G$4:$G$2441,'февраль 2025'!$D$4:$D$2441,$B34,'февраль 2025'!$J$4:$J$2441,O$1)</f>
        <v>0</v>
      </c>
      <c r="P34" s="182">
        <f>SUMIFS('февраль 2025'!$G$4:$G$2441,'февраль 2025'!$D$4:$D$2441,$B34,'февраль 2025'!$J$4:$J$2441,P$1)</f>
        <v>0</v>
      </c>
      <c r="Q34" s="182">
        <f>SUMIFS('февраль 2025'!$G$4:$G$2441,'февраль 2025'!$D$4:$D$2441,$B34,'февраль 2025'!$J$4:$J$2441,Q$1)</f>
        <v>0</v>
      </c>
      <c r="R34" s="182">
        <f>SUMIFS('февраль 2025'!$G$4:$G$2441,'февраль 2025'!$D$4:$D$2441,$B34,'февраль 2025'!$J$4:$J$2441,R$1)</f>
        <v>0</v>
      </c>
      <c r="S34" s="182">
        <f>SUMIFS('февраль 2025'!$G$4:$G$2441,'февраль 2025'!$D$4:$D$2441,$B34,'февраль 2025'!$J$4:$J$2441,S$1)</f>
        <v>0</v>
      </c>
      <c r="T34" s="182">
        <f>SUMIFS('февраль 2025'!$G$4:$G$2441,'февраль 2025'!$D$4:$D$2441,$B34,'февраль 2025'!$J$4:$J$2441,T$1)</f>
        <v>0</v>
      </c>
      <c r="U34" s="182">
        <f>SUMIFS('февраль 2025'!$G$4:$G$2441,'февраль 2025'!$D$4:$D$2441,$B34,'февраль 2025'!$J$4:$J$2441,U$1)</f>
        <v>0</v>
      </c>
      <c r="V34" s="182">
        <f>SUMIFS('февраль 2025'!$G$4:$G$2441,'февраль 2025'!$D$4:$D$2441,$B34,'февраль 2025'!$J$4:$J$2441,V$1)</f>
        <v>0</v>
      </c>
      <c r="W34" s="182">
        <f>SUMIFS('февраль 2025'!$G$4:$G$2441,'февраль 2025'!$D$4:$D$2441,$B34,'февраль 2025'!$J$4:$J$2441,W$1)</f>
        <v>0</v>
      </c>
      <c r="X34" s="182">
        <f>SUMIFS('февраль 2025'!$G$4:$G$2441,'февраль 2025'!$D$4:$D$2441,$B34,'февраль 2025'!$J$4:$J$2441,X$1)</f>
        <v>0</v>
      </c>
      <c r="Y34" s="182">
        <f>SUMIFS('февраль 2025'!$G$4:$G$2441,'февраль 2025'!$D$4:$D$2441,$B34,'февраль 2025'!$J$4:$J$2441,Y$1)</f>
        <v>0</v>
      </c>
      <c r="Z34" s="182">
        <f>SUMIFS('февраль 2025'!$G$4:$G$2441,'февраль 2025'!$D$4:$D$2441,$B34,'февраль 2025'!$J$4:$J$2441,Z$1)</f>
        <v>0</v>
      </c>
      <c r="AA34" s="182">
        <f>SUMIFS('февраль 2025'!$G$4:$G$2441,'февраль 2025'!$D$4:$D$2441,$B34,'февраль 2025'!$J$4:$J$2441,AA$1)</f>
        <v>0</v>
      </c>
      <c r="AB34" s="182">
        <f>SUMIFS('февраль 2025'!$G$4:$G$2441,'февраль 2025'!$D$4:$D$2441,$B34,'февраль 2025'!$J$4:$J$2441,AB$1)</f>
        <v>0</v>
      </c>
      <c r="AC34" s="182">
        <f>SUMIFS('февраль 2025'!$G$4:$G$2441,'февраль 2025'!$D$4:$D$2441,$B34,'февраль 2025'!$J$4:$J$2441,AC$1)</f>
        <v>0</v>
      </c>
      <c r="AD34" s="182">
        <f>SUMIFS('февраль 2025'!$G$4:$G$2441,'февраль 2025'!$D$4:$D$2441,$B34,'февраль 2025'!$J$4:$J$2441,AD$1)</f>
        <v>0</v>
      </c>
      <c r="AE34" s="182">
        <f>SUMIFS('февраль 2025'!$G$4:$G$2441,'февраль 2025'!$D$4:$D$2441,$B34,'февраль 2025'!$J$4:$J$2441,AE$1)</f>
        <v>0</v>
      </c>
      <c r="AF34" s="182">
        <f>SUMIFS('февраль 2025'!$G$4:$G$2441,'февраль 2025'!$D$4:$D$2441,$B34,'февраль 2025'!$J$4:$J$2441,AF$1)</f>
        <v>0</v>
      </c>
      <c r="AG34" s="182">
        <f>SUMIFS('февраль 2025'!$G$4:$G$2441,'февраль 2025'!$D$4:$D$2441,$B34,'февраль 2025'!$J$4:$J$2441,AG$1)</f>
        <v>0</v>
      </c>
      <c r="AH34" s="182">
        <f>SUMIFS('февраль 2025'!$G$4:$G$2441,'февраль 2025'!$D$4:$D$2441,$B34,'февраль 2025'!$J$4:$J$2441,AH$1)</f>
        <v>0</v>
      </c>
      <c r="AI34" s="20">
        <f t="shared" si="1"/>
        <v>0</v>
      </c>
    </row>
    <row r="35" spans="2:35" ht="15" customHeight="1" x14ac:dyDescent="0.25">
      <c r="B35" s="128" t="s">
        <v>384</v>
      </c>
      <c r="C35" s="126">
        <v>25</v>
      </c>
      <c r="D35" s="182">
        <f>SUMIFS('февраль 2025'!$G$4:$G$2441,'февраль 2025'!$D$4:$D$2441,$B35,'февраль 2025'!$J$4:$J$2441,D$1)</f>
        <v>0</v>
      </c>
      <c r="E35" s="182">
        <f>SUMIFS('февраль 2025'!$G$4:$G$2441,'февраль 2025'!$D$4:$D$2441,$B35,'февраль 2025'!$J$4:$J$2441,E$1)</f>
        <v>0</v>
      </c>
      <c r="F35" s="182">
        <f>SUMIFS('февраль 2025'!$G$4:$G$2441,'февраль 2025'!$D$4:$D$2441,$B35,'февраль 2025'!$J$4:$J$2441,F$1)</f>
        <v>0</v>
      </c>
      <c r="G35" s="182">
        <f>SUMIFS('февраль 2025'!$G$4:$G$2441,'февраль 2025'!$D$4:$D$2441,$B35,'февраль 2025'!$J$4:$J$2441,G$1)</f>
        <v>0</v>
      </c>
      <c r="H35" s="182">
        <f>SUMIFS('февраль 2025'!$G$4:$G$2441,'февраль 2025'!$D$4:$D$2441,$B35,'февраль 2025'!$J$4:$J$2441,H$1)</f>
        <v>0</v>
      </c>
      <c r="I35" s="182">
        <f>SUMIFS('февраль 2025'!$G$4:$G$2441,'февраль 2025'!$D$4:$D$2441,$B35,'февраль 2025'!$J$4:$J$2441,I$1)</f>
        <v>0</v>
      </c>
      <c r="J35" s="182">
        <f>SUMIFS('февраль 2025'!$G$4:$G$2441,'февраль 2025'!$D$4:$D$2441,$B35,'февраль 2025'!$J$4:$J$2441,J$1)</f>
        <v>0</v>
      </c>
      <c r="K35" s="182">
        <f>SUMIFS('февраль 2025'!$G$4:$G$2441,'февраль 2025'!$D$4:$D$2441,$B35,'февраль 2025'!$J$4:$J$2441,K$1)</f>
        <v>0</v>
      </c>
      <c r="L35" s="182">
        <f>SUMIFS('февраль 2025'!$G$4:$G$2441,'февраль 2025'!$D$4:$D$2441,$B35,'февраль 2025'!$J$4:$J$2441,L$1)</f>
        <v>0</v>
      </c>
      <c r="M35" s="182">
        <f>SUMIFS('февраль 2025'!$G$4:$G$2441,'февраль 2025'!$D$4:$D$2441,$B35,'февраль 2025'!$J$4:$J$2441,M$1)</f>
        <v>0</v>
      </c>
      <c r="N35" s="182">
        <f>SUMIFS('февраль 2025'!$G$4:$G$2441,'февраль 2025'!$D$4:$D$2441,$B35,'февраль 2025'!$J$4:$J$2441,N$1)</f>
        <v>0</v>
      </c>
      <c r="O35" s="182">
        <f>SUMIFS('февраль 2025'!$G$4:$G$2441,'февраль 2025'!$D$4:$D$2441,$B35,'февраль 2025'!$J$4:$J$2441,O$1)</f>
        <v>0</v>
      </c>
      <c r="P35" s="182">
        <f>SUMIFS('февраль 2025'!$G$4:$G$2441,'февраль 2025'!$D$4:$D$2441,$B35,'февраль 2025'!$J$4:$J$2441,P$1)</f>
        <v>0</v>
      </c>
      <c r="Q35" s="182">
        <f>SUMIFS('февраль 2025'!$G$4:$G$2441,'февраль 2025'!$D$4:$D$2441,$B35,'февраль 2025'!$J$4:$J$2441,Q$1)</f>
        <v>0</v>
      </c>
      <c r="R35" s="182">
        <f>SUMIFS('февраль 2025'!$G$4:$G$2441,'февраль 2025'!$D$4:$D$2441,$B35,'февраль 2025'!$J$4:$J$2441,R$1)</f>
        <v>0</v>
      </c>
      <c r="S35" s="182">
        <f>SUMIFS('февраль 2025'!$G$4:$G$2441,'февраль 2025'!$D$4:$D$2441,$B35,'февраль 2025'!$J$4:$J$2441,S$1)</f>
        <v>0</v>
      </c>
      <c r="T35" s="182">
        <f>SUMIFS('февраль 2025'!$G$4:$G$2441,'февраль 2025'!$D$4:$D$2441,$B35,'февраль 2025'!$J$4:$J$2441,T$1)</f>
        <v>0</v>
      </c>
      <c r="U35" s="182">
        <f>SUMIFS('февраль 2025'!$G$4:$G$2441,'февраль 2025'!$D$4:$D$2441,$B35,'февраль 2025'!$J$4:$J$2441,U$1)</f>
        <v>0</v>
      </c>
      <c r="V35" s="182">
        <f>SUMIFS('февраль 2025'!$G$4:$G$2441,'февраль 2025'!$D$4:$D$2441,$B35,'февраль 2025'!$J$4:$J$2441,V$1)</f>
        <v>0</v>
      </c>
      <c r="W35" s="182">
        <f>SUMIFS('февраль 2025'!$G$4:$G$2441,'февраль 2025'!$D$4:$D$2441,$B35,'февраль 2025'!$J$4:$J$2441,W$1)</f>
        <v>0</v>
      </c>
      <c r="X35" s="182">
        <f>SUMIFS('февраль 2025'!$G$4:$G$2441,'февраль 2025'!$D$4:$D$2441,$B35,'февраль 2025'!$J$4:$J$2441,X$1)</f>
        <v>0</v>
      </c>
      <c r="Y35" s="182">
        <f>SUMIFS('февраль 2025'!$G$4:$G$2441,'февраль 2025'!$D$4:$D$2441,$B35,'февраль 2025'!$J$4:$J$2441,Y$1)</f>
        <v>0</v>
      </c>
      <c r="Z35" s="182">
        <f>SUMIFS('февраль 2025'!$G$4:$G$2441,'февраль 2025'!$D$4:$D$2441,$B35,'февраль 2025'!$J$4:$J$2441,Z$1)</f>
        <v>0</v>
      </c>
      <c r="AA35" s="182">
        <f>SUMIFS('февраль 2025'!$G$4:$G$2441,'февраль 2025'!$D$4:$D$2441,$B35,'февраль 2025'!$J$4:$J$2441,AA$1)</f>
        <v>0</v>
      </c>
      <c r="AB35" s="182">
        <f>SUMIFS('февраль 2025'!$G$4:$G$2441,'февраль 2025'!$D$4:$D$2441,$B35,'февраль 2025'!$J$4:$J$2441,AB$1)</f>
        <v>0</v>
      </c>
      <c r="AC35" s="182">
        <f>SUMIFS('февраль 2025'!$G$4:$G$2441,'февраль 2025'!$D$4:$D$2441,$B35,'февраль 2025'!$J$4:$J$2441,AC$1)</f>
        <v>0</v>
      </c>
      <c r="AD35" s="182">
        <f>SUMIFS('февраль 2025'!$G$4:$G$2441,'февраль 2025'!$D$4:$D$2441,$B35,'февраль 2025'!$J$4:$J$2441,AD$1)</f>
        <v>0</v>
      </c>
      <c r="AE35" s="182">
        <f>SUMIFS('февраль 2025'!$G$4:$G$2441,'февраль 2025'!$D$4:$D$2441,$B35,'февраль 2025'!$J$4:$J$2441,AE$1)</f>
        <v>0</v>
      </c>
      <c r="AF35" s="182">
        <f>SUMIFS('февраль 2025'!$G$4:$G$2441,'февраль 2025'!$D$4:$D$2441,$B35,'февраль 2025'!$J$4:$J$2441,AF$1)</f>
        <v>0</v>
      </c>
      <c r="AG35" s="182">
        <f>SUMIFS('февраль 2025'!$G$4:$G$2441,'февраль 2025'!$D$4:$D$2441,$B35,'февраль 2025'!$J$4:$J$2441,AG$1)</f>
        <v>0</v>
      </c>
      <c r="AH35" s="182">
        <f>SUMIFS('февраль 2025'!$G$4:$G$2441,'февраль 2025'!$D$4:$D$2441,$B35,'февраль 2025'!$J$4:$J$2441,AH$1)</f>
        <v>0</v>
      </c>
      <c r="AI35" s="20">
        <f t="shared" si="1"/>
        <v>0</v>
      </c>
    </row>
    <row r="36" spans="2:35" ht="15" customHeight="1" x14ac:dyDescent="0.25">
      <c r="B36" s="128" t="s">
        <v>217</v>
      </c>
      <c r="C36" s="126">
        <v>25</v>
      </c>
      <c r="D36" s="182">
        <f>SUMIFS('февраль 2025'!$G$4:$G$2441,'февраль 2025'!$D$4:$D$2441,$B36,'февраль 2025'!$J$4:$J$2441,D$1)</f>
        <v>0</v>
      </c>
      <c r="E36" s="182">
        <f>SUMIFS('февраль 2025'!$G$4:$G$2441,'февраль 2025'!$D$4:$D$2441,$B36,'февраль 2025'!$J$4:$J$2441,E$1)</f>
        <v>0</v>
      </c>
      <c r="F36" s="182">
        <f>SUMIFS('февраль 2025'!$G$4:$G$2441,'февраль 2025'!$D$4:$D$2441,$B36,'февраль 2025'!$J$4:$J$2441,F$1)</f>
        <v>0</v>
      </c>
      <c r="G36" s="182">
        <f>SUMIFS('февраль 2025'!$G$4:$G$2441,'февраль 2025'!$D$4:$D$2441,$B36,'февраль 2025'!$J$4:$J$2441,G$1)</f>
        <v>0</v>
      </c>
      <c r="H36" s="182">
        <f>SUMIFS('февраль 2025'!$G$4:$G$2441,'февраль 2025'!$D$4:$D$2441,$B36,'февраль 2025'!$J$4:$J$2441,H$1)</f>
        <v>0</v>
      </c>
      <c r="I36" s="182">
        <f>SUMIFS('февраль 2025'!$G$4:$G$2441,'февраль 2025'!$D$4:$D$2441,$B36,'февраль 2025'!$J$4:$J$2441,I$1)</f>
        <v>0</v>
      </c>
      <c r="J36" s="182">
        <f>SUMIFS('февраль 2025'!$G$4:$G$2441,'февраль 2025'!$D$4:$D$2441,$B36,'февраль 2025'!$J$4:$J$2441,J$1)</f>
        <v>0</v>
      </c>
      <c r="K36" s="182">
        <f>SUMIFS('февраль 2025'!$G$4:$G$2441,'февраль 2025'!$D$4:$D$2441,$B36,'февраль 2025'!$J$4:$J$2441,K$1)</f>
        <v>0</v>
      </c>
      <c r="L36" s="182">
        <f>SUMIFS('февраль 2025'!$G$4:$G$2441,'февраль 2025'!$D$4:$D$2441,$B36,'февраль 2025'!$J$4:$J$2441,L$1)</f>
        <v>0</v>
      </c>
      <c r="M36" s="182">
        <f>SUMIFS('февраль 2025'!$G$4:$G$2441,'февраль 2025'!$D$4:$D$2441,$B36,'февраль 2025'!$J$4:$J$2441,M$1)</f>
        <v>0</v>
      </c>
      <c r="N36" s="182">
        <f>SUMIFS('февраль 2025'!$G$4:$G$2441,'февраль 2025'!$D$4:$D$2441,$B36,'февраль 2025'!$J$4:$J$2441,N$1)</f>
        <v>0</v>
      </c>
      <c r="O36" s="182">
        <f>SUMIFS('февраль 2025'!$G$4:$G$2441,'февраль 2025'!$D$4:$D$2441,$B36,'февраль 2025'!$J$4:$J$2441,O$1)</f>
        <v>0</v>
      </c>
      <c r="P36" s="182">
        <f>SUMIFS('февраль 2025'!$G$4:$G$2441,'февраль 2025'!$D$4:$D$2441,$B36,'февраль 2025'!$J$4:$J$2441,P$1)</f>
        <v>0</v>
      </c>
      <c r="Q36" s="182">
        <f>SUMIFS('февраль 2025'!$G$4:$G$2441,'февраль 2025'!$D$4:$D$2441,$B36,'февраль 2025'!$J$4:$J$2441,Q$1)</f>
        <v>0</v>
      </c>
      <c r="R36" s="182">
        <f>SUMIFS('февраль 2025'!$G$4:$G$2441,'февраль 2025'!$D$4:$D$2441,$B36,'февраль 2025'!$J$4:$J$2441,R$1)</f>
        <v>0</v>
      </c>
      <c r="S36" s="182">
        <f>SUMIFS('февраль 2025'!$G$4:$G$2441,'февраль 2025'!$D$4:$D$2441,$B36,'февраль 2025'!$J$4:$J$2441,S$1)</f>
        <v>0</v>
      </c>
      <c r="T36" s="182">
        <f>SUMIFS('февраль 2025'!$G$4:$G$2441,'февраль 2025'!$D$4:$D$2441,$B36,'февраль 2025'!$J$4:$J$2441,T$1)</f>
        <v>0</v>
      </c>
      <c r="U36" s="182">
        <f>SUMIFS('февраль 2025'!$G$4:$G$2441,'февраль 2025'!$D$4:$D$2441,$B36,'февраль 2025'!$J$4:$J$2441,U$1)</f>
        <v>0</v>
      </c>
      <c r="V36" s="182">
        <f>SUMIFS('февраль 2025'!$G$4:$G$2441,'февраль 2025'!$D$4:$D$2441,$B36,'февраль 2025'!$J$4:$J$2441,V$1)</f>
        <v>0</v>
      </c>
      <c r="W36" s="182">
        <f>SUMIFS('февраль 2025'!$G$4:$G$2441,'февраль 2025'!$D$4:$D$2441,$B36,'февраль 2025'!$J$4:$J$2441,W$1)</f>
        <v>0</v>
      </c>
      <c r="X36" s="182">
        <f>SUMIFS('февраль 2025'!$G$4:$G$2441,'февраль 2025'!$D$4:$D$2441,$B36,'февраль 2025'!$J$4:$J$2441,X$1)</f>
        <v>0</v>
      </c>
      <c r="Y36" s="182">
        <f>SUMIFS('февраль 2025'!$G$4:$G$2441,'февраль 2025'!$D$4:$D$2441,$B36,'февраль 2025'!$J$4:$J$2441,Y$1)</f>
        <v>0</v>
      </c>
      <c r="Z36" s="182">
        <f>SUMIFS('февраль 2025'!$G$4:$G$2441,'февраль 2025'!$D$4:$D$2441,$B36,'февраль 2025'!$J$4:$J$2441,Z$1)</f>
        <v>0</v>
      </c>
      <c r="AA36" s="182">
        <f>SUMIFS('февраль 2025'!$G$4:$G$2441,'февраль 2025'!$D$4:$D$2441,$B36,'февраль 2025'!$J$4:$J$2441,AA$1)</f>
        <v>0</v>
      </c>
      <c r="AB36" s="182">
        <f>SUMIFS('февраль 2025'!$G$4:$G$2441,'февраль 2025'!$D$4:$D$2441,$B36,'февраль 2025'!$J$4:$J$2441,AB$1)</f>
        <v>0</v>
      </c>
      <c r="AC36" s="182">
        <f>SUMIFS('февраль 2025'!$G$4:$G$2441,'февраль 2025'!$D$4:$D$2441,$B36,'февраль 2025'!$J$4:$J$2441,AC$1)</f>
        <v>0</v>
      </c>
      <c r="AD36" s="182">
        <f>SUMIFS('февраль 2025'!$G$4:$G$2441,'февраль 2025'!$D$4:$D$2441,$B36,'февраль 2025'!$J$4:$J$2441,AD$1)</f>
        <v>0</v>
      </c>
      <c r="AE36" s="182">
        <f>SUMIFS('февраль 2025'!$G$4:$G$2441,'февраль 2025'!$D$4:$D$2441,$B36,'февраль 2025'!$J$4:$J$2441,AE$1)</f>
        <v>0</v>
      </c>
      <c r="AF36" s="182">
        <f>SUMIFS('февраль 2025'!$G$4:$G$2441,'февраль 2025'!$D$4:$D$2441,$B36,'февраль 2025'!$J$4:$J$2441,AF$1)</f>
        <v>0</v>
      </c>
      <c r="AG36" s="182">
        <f>SUMIFS('февраль 2025'!$G$4:$G$2441,'февраль 2025'!$D$4:$D$2441,$B36,'февраль 2025'!$J$4:$J$2441,AG$1)</f>
        <v>0</v>
      </c>
      <c r="AH36" s="182">
        <f>SUMIFS('февраль 2025'!$G$4:$G$2441,'февраль 2025'!$D$4:$D$2441,$B36,'февраль 2025'!$J$4:$J$2441,AH$1)</f>
        <v>0</v>
      </c>
      <c r="AI36" s="20">
        <f t="shared" si="1"/>
        <v>0</v>
      </c>
    </row>
    <row r="37" spans="2:35" ht="15" customHeight="1" x14ac:dyDescent="0.25">
      <c r="B37" s="129" t="s">
        <v>219</v>
      </c>
      <c r="C37" s="130">
        <v>25</v>
      </c>
      <c r="D37" s="182">
        <f>SUMIFS('февраль 2025'!$G$4:$G$2441,'февраль 2025'!$D$4:$D$2441,$B37,'февраль 2025'!$J$4:$J$2441,D$1)</f>
        <v>0</v>
      </c>
      <c r="E37" s="182">
        <f>SUMIFS('февраль 2025'!$G$4:$G$2441,'февраль 2025'!$D$4:$D$2441,$B37,'февраль 2025'!$J$4:$J$2441,E$1)</f>
        <v>0</v>
      </c>
      <c r="F37" s="182">
        <f>SUMIFS('февраль 2025'!$G$4:$G$2441,'февраль 2025'!$D$4:$D$2441,$B37,'февраль 2025'!$J$4:$J$2441,F$1)</f>
        <v>0</v>
      </c>
      <c r="G37" s="182">
        <f>SUMIFS('февраль 2025'!$G$4:$G$2441,'февраль 2025'!$D$4:$D$2441,$B37,'февраль 2025'!$J$4:$J$2441,G$1)</f>
        <v>0</v>
      </c>
      <c r="H37" s="182">
        <f>SUMIFS('февраль 2025'!$G$4:$G$2441,'февраль 2025'!$D$4:$D$2441,$B37,'февраль 2025'!$J$4:$J$2441,H$1)</f>
        <v>0</v>
      </c>
      <c r="I37" s="182">
        <f>SUMIFS('февраль 2025'!$G$4:$G$2441,'февраль 2025'!$D$4:$D$2441,$B37,'февраль 2025'!$J$4:$J$2441,I$1)</f>
        <v>0</v>
      </c>
      <c r="J37" s="182">
        <f>SUMIFS('февраль 2025'!$G$4:$G$2441,'февраль 2025'!$D$4:$D$2441,$B37,'февраль 2025'!$J$4:$J$2441,J$1)</f>
        <v>0</v>
      </c>
      <c r="K37" s="182">
        <f>SUMIFS('февраль 2025'!$G$4:$G$2441,'февраль 2025'!$D$4:$D$2441,$B37,'февраль 2025'!$J$4:$J$2441,K$1)</f>
        <v>0</v>
      </c>
      <c r="L37" s="182">
        <f>SUMIFS('февраль 2025'!$G$4:$G$2441,'февраль 2025'!$D$4:$D$2441,$B37,'февраль 2025'!$J$4:$J$2441,L$1)</f>
        <v>0</v>
      </c>
      <c r="M37" s="182">
        <f>SUMIFS('февраль 2025'!$G$4:$G$2441,'февраль 2025'!$D$4:$D$2441,$B37,'февраль 2025'!$J$4:$J$2441,M$1)</f>
        <v>0</v>
      </c>
      <c r="N37" s="182">
        <f>SUMIFS('февраль 2025'!$G$4:$G$2441,'февраль 2025'!$D$4:$D$2441,$B37,'февраль 2025'!$J$4:$J$2441,N$1)</f>
        <v>0</v>
      </c>
      <c r="O37" s="182">
        <f>SUMIFS('февраль 2025'!$G$4:$G$2441,'февраль 2025'!$D$4:$D$2441,$B37,'февраль 2025'!$J$4:$J$2441,O$1)</f>
        <v>0</v>
      </c>
      <c r="P37" s="182">
        <f>SUMIFS('февраль 2025'!$G$4:$G$2441,'февраль 2025'!$D$4:$D$2441,$B37,'февраль 2025'!$J$4:$J$2441,P$1)</f>
        <v>0</v>
      </c>
      <c r="Q37" s="182">
        <f>SUMIFS('февраль 2025'!$G$4:$G$2441,'февраль 2025'!$D$4:$D$2441,$B37,'февраль 2025'!$J$4:$J$2441,Q$1)</f>
        <v>0</v>
      </c>
      <c r="R37" s="182">
        <f>SUMIFS('февраль 2025'!$G$4:$G$2441,'февраль 2025'!$D$4:$D$2441,$B37,'февраль 2025'!$J$4:$J$2441,R$1)</f>
        <v>0</v>
      </c>
      <c r="S37" s="182">
        <f>SUMIFS('февраль 2025'!$G$4:$G$2441,'февраль 2025'!$D$4:$D$2441,$B37,'февраль 2025'!$J$4:$J$2441,S$1)</f>
        <v>0</v>
      </c>
      <c r="T37" s="182">
        <f>SUMIFS('февраль 2025'!$G$4:$G$2441,'февраль 2025'!$D$4:$D$2441,$B37,'февраль 2025'!$J$4:$J$2441,T$1)</f>
        <v>0</v>
      </c>
      <c r="U37" s="182">
        <f>SUMIFS('февраль 2025'!$G$4:$G$2441,'февраль 2025'!$D$4:$D$2441,$B37,'февраль 2025'!$J$4:$J$2441,U$1)</f>
        <v>0</v>
      </c>
      <c r="V37" s="182">
        <f>SUMIFS('февраль 2025'!$G$4:$G$2441,'февраль 2025'!$D$4:$D$2441,$B37,'февраль 2025'!$J$4:$J$2441,V$1)</f>
        <v>0</v>
      </c>
      <c r="W37" s="182">
        <f>SUMIFS('февраль 2025'!$G$4:$G$2441,'февраль 2025'!$D$4:$D$2441,$B37,'февраль 2025'!$J$4:$J$2441,W$1)</f>
        <v>0</v>
      </c>
      <c r="X37" s="182">
        <f>SUMIFS('февраль 2025'!$G$4:$G$2441,'февраль 2025'!$D$4:$D$2441,$B37,'февраль 2025'!$J$4:$J$2441,X$1)</f>
        <v>0</v>
      </c>
      <c r="Y37" s="182">
        <f>SUMIFS('февраль 2025'!$G$4:$G$2441,'февраль 2025'!$D$4:$D$2441,$B37,'февраль 2025'!$J$4:$J$2441,Y$1)</f>
        <v>0</v>
      </c>
      <c r="Z37" s="182">
        <f>SUMIFS('февраль 2025'!$G$4:$G$2441,'февраль 2025'!$D$4:$D$2441,$B37,'февраль 2025'!$J$4:$J$2441,Z$1)</f>
        <v>0</v>
      </c>
      <c r="AA37" s="182">
        <f>SUMIFS('февраль 2025'!$G$4:$G$2441,'февраль 2025'!$D$4:$D$2441,$B37,'февраль 2025'!$J$4:$J$2441,AA$1)</f>
        <v>0</v>
      </c>
      <c r="AB37" s="182">
        <f>SUMIFS('февраль 2025'!$G$4:$G$2441,'февраль 2025'!$D$4:$D$2441,$B37,'февраль 2025'!$J$4:$J$2441,AB$1)</f>
        <v>0</v>
      </c>
      <c r="AC37" s="182">
        <f>SUMIFS('февраль 2025'!$G$4:$G$2441,'февраль 2025'!$D$4:$D$2441,$B37,'февраль 2025'!$J$4:$J$2441,AC$1)</f>
        <v>0</v>
      </c>
      <c r="AD37" s="182">
        <f>SUMIFS('февраль 2025'!$G$4:$G$2441,'февраль 2025'!$D$4:$D$2441,$B37,'февраль 2025'!$J$4:$J$2441,AD$1)</f>
        <v>0</v>
      </c>
      <c r="AE37" s="182">
        <f>SUMIFS('февраль 2025'!$G$4:$G$2441,'февраль 2025'!$D$4:$D$2441,$B37,'февраль 2025'!$J$4:$J$2441,AE$1)</f>
        <v>0</v>
      </c>
      <c r="AF37" s="182">
        <f>SUMIFS('февраль 2025'!$G$4:$G$2441,'февраль 2025'!$D$4:$D$2441,$B37,'февраль 2025'!$J$4:$J$2441,AF$1)</f>
        <v>0</v>
      </c>
      <c r="AG37" s="182">
        <f>SUMIFS('февраль 2025'!$G$4:$G$2441,'февраль 2025'!$D$4:$D$2441,$B37,'февраль 2025'!$J$4:$J$2441,AG$1)</f>
        <v>0</v>
      </c>
      <c r="AH37" s="182">
        <f>SUMIFS('февраль 2025'!$G$4:$G$2441,'февраль 2025'!$D$4:$D$2441,$B37,'февраль 2025'!$J$4:$J$2441,AH$1)</f>
        <v>0</v>
      </c>
      <c r="AI37" s="20">
        <f t="shared" si="1"/>
        <v>0</v>
      </c>
    </row>
    <row r="38" spans="2:35" ht="15" customHeight="1" x14ac:dyDescent="0.25">
      <c r="B38" s="131" t="s">
        <v>221</v>
      </c>
      <c r="C38" s="132">
        <v>22.68</v>
      </c>
      <c r="D38" s="182">
        <f>SUMIFS('февраль 2025'!$G$4:$G$2441,'февраль 2025'!$D$4:$D$2441,$B38,'февраль 2025'!$J$4:$J$2441,D$1)</f>
        <v>0</v>
      </c>
      <c r="E38" s="182">
        <f>SUMIFS('февраль 2025'!$G$4:$G$2441,'февраль 2025'!$D$4:$D$2441,$B38,'февраль 2025'!$J$4:$J$2441,E$1)</f>
        <v>0</v>
      </c>
      <c r="F38" s="182">
        <f>SUMIFS('февраль 2025'!$G$4:$G$2441,'февраль 2025'!$D$4:$D$2441,$B38,'февраль 2025'!$J$4:$J$2441,F$1)</f>
        <v>0</v>
      </c>
      <c r="G38" s="182">
        <f>SUMIFS('февраль 2025'!$G$4:$G$2441,'февраль 2025'!$D$4:$D$2441,$B38,'февраль 2025'!$J$4:$J$2441,G$1)</f>
        <v>0</v>
      </c>
      <c r="H38" s="182">
        <f>SUMIFS('февраль 2025'!$G$4:$G$2441,'февраль 2025'!$D$4:$D$2441,$B38,'февраль 2025'!$J$4:$J$2441,H$1)</f>
        <v>0</v>
      </c>
      <c r="I38" s="182">
        <f>SUMIFS('февраль 2025'!$G$4:$G$2441,'февраль 2025'!$D$4:$D$2441,$B38,'февраль 2025'!$J$4:$J$2441,I$1)</f>
        <v>0</v>
      </c>
      <c r="J38" s="182">
        <f>SUMIFS('февраль 2025'!$G$4:$G$2441,'февраль 2025'!$D$4:$D$2441,$B38,'февраль 2025'!$J$4:$J$2441,J$1)</f>
        <v>0</v>
      </c>
      <c r="K38" s="182">
        <f>SUMIFS('февраль 2025'!$G$4:$G$2441,'февраль 2025'!$D$4:$D$2441,$B38,'февраль 2025'!$J$4:$J$2441,K$1)</f>
        <v>0</v>
      </c>
      <c r="L38" s="182">
        <f>SUMIFS('февраль 2025'!$G$4:$G$2441,'февраль 2025'!$D$4:$D$2441,$B38,'февраль 2025'!$J$4:$J$2441,L$1)</f>
        <v>0</v>
      </c>
      <c r="M38" s="182">
        <f>SUMIFS('февраль 2025'!$G$4:$G$2441,'февраль 2025'!$D$4:$D$2441,$B38,'февраль 2025'!$J$4:$J$2441,M$1)</f>
        <v>0</v>
      </c>
      <c r="N38" s="182">
        <f>SUMIFS('февраль 2025'!$G$4:$G$2441,'февраль 2025'!$D$4:$D$2441,$B38,'февраль 2025'!$J$4:$J$2441,N$1)</f>
        <v>0</v>
      </c>
      <c r="O38" s="182">
        <f>SUMIFS('февраль 2025'!$G$4:$G$2441,'февраль 2025'!$D$4:$D$2441,$B38,'февраль 2025'!$J$4:$J$2441,O$1)</f>
        <v>0</v>
      </c>
      <c r="P38" s="182">
        <f>SUMIFS('февраль 2025'!$G$4:$G$2441,'февраль 2025'!$D$4:$D$2441,$B38,'февраль 2025'!$J$4:$J$2441,P$1)</f>
        <v>0</v>
      </c>
      <c r="Q38" s="182">
        <f>SUMIFS('февраль 2025'!$G$4:$G$2441,'февраль 2025'!$D$4:$D$2441,$B38,'февраль 2025'!$J$4:$J$2441,Q$1)</f>
        <v>0</v>
      </c>
      <c r="R38" s="182">
        <f>SUMIFS('февраль 2025'!$G$4:$G$2441,'февраль 2025'!$D$4:$D$2441,$B38,'февраль 2025'!$J$4:$J$2441,R$1)</f>
        <v>0</v>
      </c>
      <c r="S38" s="182">
        <f>SUMIFS('февраль 2025'!$G$4:$G$2441,'февраль 2025'!$D$4:$D$2441,$B38,'февраль 2025'!$J$4:$J$2441,S$1)</f>
        <v>0</v>
      </c>
      <c r="T38" s="182">
        <f>SUMIFS('февраль 2025'!$G$4:$G$2441,'февраль 2025'!$D$4:$D$2441,$B38,'февраль 2025'!$J$4:$J$2441,T$1)</f>
        <v>0</v>
      </c>
      <c r="U38" s="182">
        <f>SUMIFS('февраль 2025'!$G$4:$G$2441,'февраль 2025'!$D$4:$D$2441,$B38,'февраль 2025'!$J$4:$J$2441,U$1)</f>
        <v>0</v>
      </c>
      <c r="V38" s="182">
        <f>SUMIFS('февраль 2025'!$G$4:$G$2441,'февраль 2025'!$D$4:$D$2441,$B38,'февраль 2025'!$J$4:$J$2441,V$1)</f>
        <v>0</v>
      </c>
      <c r="W38" s="182">
        <f>SUMIFS('февраль 2025'!$G$4:$G$2441,'февраль 2025'!$D$4:$D$2441,$B38,'февраль 2025'!$J$4:$J$2441,W$1)</f>
        <v>0</v>
      </c>
      <c r="X38" s="182">
        <f>SUMIFS('февраль 2025'!$G$4:$G$2441,'февраль 2025'!$D$4:$D$2441,$B38,'февраль 2025'!$J$4:$J$2441,X$1)</f>
        <v>0</v>
      </c>
      <c r="Y38" s="182">
        <f>SUMIFS('февраль 2025'!$G$4:$G$2441,'февраль 2025'!$D$4:$D$2441,$B38,'февраль 2025'!$J$4:$J$2441,Y$1)</f>
        <v>0</v>
      </c>
      <c r="Z38" s="182">
        <f>SUMIFS('февраль 2025'!$G$4:$G$2441,'февраль 2025'!$D$4:$D$2441,$B38,'февраль 2025'!$J$4:$J$2441,Z$1)</f>
        <v>0</v>
      </c>
      <c r="AA38" s="182">
        <f>SUMIFS('февраль 2025'!$G$4:$G$2441,'февраль 2025'!$D$4:$D$2441,$B38,'февраль 2025'!$J$4:$J$2441,AA$1)</f>
        <v>0</v>
      </c>
      <c r="AB38" s="182">
        <f>SUMIFS('февраль 2025'!$G$4:$G$2441,'февраль 2025'!$D$4:$D$2441,$B38,'февраль 2025'!$J$4:$J$2441,AB$1)</f>
        <v>0</v>
      </c>
      <c r="AC38" s="182">
        <f>SUMIFS('февраль 2025'!$G$4:$G$2441,'февраль 2025'!$D$4:$D$2441,$B38,'февраль 2025'!$J$4:$J$2441,AC$1)</f>
        <v>0</v>
      </c>
      <c r="AD38" s="182">
        <f>SUMIFS('февраль 2025'!$G$4:$G$2441,'февраль 2025'!$D$4:$D$2441,$B38,'февраль 2025'!$J$4:$J$2441,AD$1)</f>
        <v>0</v>
      </c>
      <c r="AE38" s="182">
        <f>SUMIFS('февраль 2025'!$G$4:$G$2441,'февраль 2025'!$D$4:$D$2441,$B38,'февраль 2025'!$J$4:$J$2441,AE$1)</f>
        <v>0</v>
      </c>
      <c r="AF38" s="182">
        <f>SUMIFS('февраль 2025'!$G$4:$G$2441,'февраль 2025'!$D$4:$D$2441,$B38,'февраль 2025'!$J$4:$J$2441,AF$1)</f>
        <v>0</v>
      </c>
      <c r="AG38" s="182">
        <f>SUMIFS('февраль 2025'!$G$4:$G$2441,'февраль 2025'!$D$4:$D$2441,$B38,'февраль 2025'!$J$4:$J$2441,AG$1)</f>
        <v>0</v>
      </c>
      <c r="AH38" s="182">
        <f>SUMIFS('февраль 2025'!$G$4:$G$2441,'февраль 2025'!$D$4:$D$2441,$B38,'февраль 2025'!$J$4:$J$2441,AH$1)</f>
        <v>0</v>
      </c>
      <c r="AI38" s="20">
        <f t="shared" si="1"/>
        <v>0</v>
      </c>
    </row>
    <row r="39" spans="2:35" ht="15" customHeight="1" x14ac:dyDescent="0.25">
      <c r="B39" s="131" t="s">
        <v>223</v>
      </c>
      <c r="C39" s="133">
        <v>25</v>
      </c>
      <c r="D39" s="182">
        <f>SUMIFS('февраль 2025'!$G$4:$G$2441,'февраль 2025'!$D$4:$D$2441,$B39,'февраль 2025'!$J$4:$J$2441,D$1)</f>
        <v>0</v>
      </c>
      <c r="E39" s="182">
        <f>SUMIFS('февраль 2025'!$G$4:$G$2441,'февраль 2025'!$D$4:$D$2441,$B39,'февраль 2025'!$J$4:$J$2441,E$1)</f>
        <v>0</v>
      </c>
      <c r="F39" s="182">
        <f>SUMIFS('февраль 2025'!$G$4:$G$2441,'февраль 2025'!$D$4:$D$2441,$B39,'февраль 2025'!$J$4:$J$2441,F$1)</f>
        <v>0</v>
      </c>
      <c r="G39" s="182">
        <f>SUMIFS('февраль 2025'!$G$4:$G$2441,'февраль 2025'!$D$4:$D$2441,$B39,'февраль 2025'!$J$4:$J$2441,G$1)</f>
        <v>0</v>
      </c>
      <c r="H39" s="182">
        <f>SUMIFS('февраль 2025'!$G$4:$G$2441,'февраль 2025'!$D$4:$D$2441,$B39,'февраль 2025'!$J$4:$J$2441,H$1)</f>
        <v>0</v>
      </c>
      <c r="I39" s="182">
        <f>SUMIFS('февраль 2025'!$G$4:$G$2441,'февраль 2025'!$D$4:$D$2441,$B39,'февраль 2025'!$J$4:$J$2441,I$1)</f>
        <v>0</v>
      </c>
      <c r="J39" s="182">
        <f>SUMIFS('февраль 2025'!$G$4:$G$2441,'февраль 2025'!$D$4:$D$2441,$B39,'февраль 2025'!$J$4:$J$2441,J$1)</f>
        <v>0</v>
      </c>
      <c r="K39" s="182">
        <f>SUMIFS('февраль 2025'!$G$4:$G$2441,'февраль 2025'!$D$4:$D$2441,$B39,'февраль 2025'!$J$4:$J$2441,K$1)</f>
        <v>0</v>
      </c>
      <c r="L39" s="182">
        <f>SUMIFS('февраль 2025'!$G$4:$G$2441,'февраль 2025'!$D$4:$D$2441,$B39,'февраль 2025'!$J$4:$J$2441,L$1)</f>
        <v>0</v>
      </c>
      <c r="M39" s="182">
        <f>SUMIFS('февраль 2025'!$G$4:$G$2441,'февраль 2025'!$D$4:$D$2441,$B39,'февраль 2025'!$J$4:$J$2441,M$1)</f>
        <v>800</v>
      </c>
      <c r="N39" s="182">
        <f>SUMIFS('февраль 2025'!$G$4:$G$2441,'февраль 2025'!$D$4:$D$2441,$B39,'февраль 2025'!$J$4:$J$2441,N$1)</f>
        <v>800</v>
      </c>
      <c r="O39" s="182">
        <f>SUMIFS('февраль 2025'!$G$4:$G$2441,'февраль 2025'!$D$4:$D$2441,$B39,'февраль 2025'!$J$4:$J$2441,O$1)</f>
        <v>0</v>
      </c>
      <c r="P39" s="182">
        <f>SUMIFS('февраль 2025'!$G$4:$G$2441,'февраль 2025'!$D$4:$D$2441,$B39,'февраль 2025'!$J$4:$J$2441,P$1)</f>
        <v>800</v>
      </c>
      <c r="Q39" s="182">
        <f>SUMIFS('февраль 2025'!$G$4:$G$2441,'февраль 2025'!$D$4:$D$2441,$B39,'февраль 2025'!$J$4:$J$2441,Q$1)</f>
        <v>800</v>
      </c>
      <c r="R39" s="182">
        <f>SUMIFS('февраль 2025'!$G$4:$G$2441,'февраль 2025'!$D$4:$D$2441,$B39,'февраль 2025'!$J$4:$J$2441,R$1)</f>
        <v>0</v>
      </c>
      <c r="S39" s="182">
        <f>SUMIFS('февраль 2025'!$G$4:$G$2441,'февраль 2025'!$D$4:$D$2441,$B39,'февраль 2025'!$J$4:$J$2441,S$1)</f>
        <v>0</v>
      </c>
      <c r="T39" s="182">
        <f>SUMIFS('февраль 2025'!$G$4:$G$2441,'февраль 2025'!$D$4:$D$2441,$B39,'февраль 2025'!$J$4:$J$2441,T$1)</f>
        <v>0</v>
      </c>
      <c r="U39" s="182">
        <f>SUMIFS('февраль 2025'!$G$4:$G$2441,'февраль 2025'!$D$4:$D$2441,$B39,'февраль 2025'!$J$4:$J$2441,U$1)</f>
        <v>0</v>
      </c>
      <c r="V39" s="182">
        <f>SUMIFS('февраль 2025'!$G$4:$G$2441,'февраль 2025'!$D$4:$D$2441,$B39,'февраль 2025'!$J$4:$J$2441,V$1)</f>
        <v>0</v>
      </c>
      <c r="W39" s="182">
        <f>SUMIFS('февраль 2025'!$G$4:$G$2441,'февраль 2025'!$D$4:$D$2441,$B39,'февраль 2025'!$J$4:$J$2441,W$1)</f>
        <v>0</v>
      </c>
      <c r="X39" s="182">
        <f>SUMIFS('февраль 2025'!$G$4:$G$2441,'февраль 2025'!$D$4:$D$2441,$B39,'февраль 2025'!$J$4:$J$2441,X$1)</f>
        <v>0</v>
      </c>
      <c r="Y39" s="182">
        <f>SUMIFS('февраль 2025'!$G$4:$G$2441,'февраль 2025'!$D$4:$D$2441,$B39,'февраль 2025'!$J$4:$J$2441,Y$1)</f>
        <v>0</v>
      </c>
      <c r="Z39" s="182">
        <f>SUMIFS('февраль 2025'!$G$4:$G$2441,'февраль 2025'!$D$4:$D$2441,$B39,'февраль 2025'!$J$4:$J$2441,Z$1)</f>
        <v>0</v>
      </c>
      <c r="AA39" s="182">
        <f>SUMIFS('февраль 2025'!$G$4:$G$2441,'февраль 2025'!$D$4:$D$2441,$B39,'февраль 2025'!$J$4:$J$2441,AA$1)</f>
        <v>0</v>
      </c>
      <c r="AB39" s="182">
        <f>SUMIFS('февраль 2025'!$G$4:$G$2441,'февраль 2025'!$D$4:$D$2441,$B39,'февраль 2025'!$J$4:$J$2441,AB$1)</f>
        <v>0</v>
      </c>
      <c r="AC39" s="182">
        <f>SUMIFS('февраль 2025'!$G$4:$G$2441,'февраль 2025'!$D$4:$D$2441,$B39,'февраль 2025'!$J$4:$J$2441,AC$1)</f>
        <v>1200</v>
      </c>
      <c r="AD39" s="182">
        <f>SUMIFS('февраль 2025'!$G$4:$G$2441,'февраль 2025'!$D$4:$D$2441,$B39,'февраль 2025'!$J$4:$J$2441,AD$1)</f>
        <v>0</v>
      </c>
      <c r="AE39" s="182">
        <f>SUMIFS('февраль 2025'!$G$4:$G$2441,'февраль 2025'!$D$4:$D$2441,$B39,'февраль 2025'!$J$4:$J$2441,AE$1)</f>
        <v>880</v>
      </c>
      <c r="AF39" s="182">
        <f>SUMIFS('февраль 2025'!$G$4:$G$2441,'февраль 2025'!$D$4:$D$2441,$B39,'февраль 2025'!$J$4:$J$2441,AF$1)</f>
        <v>0</v>
      </c>
      <c r="AG39" s="182">
        <f>SUMIFS('февраль 2025'!$G$4:$G$2441,'февраль 2025'!$D$4:$D$2441,$B39,'февраль 2025'!$J$4:$J$2441,AG$1)</f>
        <v>0</v>
      </c>
      <c r="AH39" s="182">
        <f>SUMIFS('февраль 2025'!$G$4:$G$2441,'февраль 2025'!$D$4:$D$2441,$B39,'февраль 2025'!$J$4:$J$2441,AH$1)</f>
        <v>0</v>
      </c>
      <c r="AI39" s="20">
        <f t="shared" si="1"/>
        <v>5280</v>
      </c>
    </row>
    <row r="40" spans="2:35" ht="15" customHeight="1" x14ac:dyDescent="0.25">
      <c r="B40" s="131" t="s">
        <v>225</v>
      </c>
      <c r="C40" s="134">
        <v>25</v>
      </c>
      <c r="D40" s="182">
        <f>SUMIFS('февраль 2025'!$G$4:$G$2441,'февраль 2025'!$D$4:$D$2441,$B40,'февраль 2025'!$J$4:$J$2441,D$1)</f>
        <v>0</v>
      </c>
      <c r="E40" s="182">
        <f>SUMIFS('февраль 2025'!$G$4:$G$2441,'февраль 2025'!$D$4:$D$2441,$B40,'февраль 2025'!$J$4:$J$2441,E$1)</f>
        <v>0</v>
      </c>
      <c r="F40" s="182">
        <f>SUMIFS('февраль 2025'!$G$4:$G$2441,'февраль 2025'!$D$4:$D$2441,$B40,'февраль 2025'!$J$4:$J$2441,F$1)</f>
        <v>0</v>
      </c>
      <c r="G40" s="182">
        <f>SUMIFS('февраль 2025'!$G$4:$G$2441,'февраль 2025'!$D$4:$D$2441,$B40,'февраль 2025'!$J$4:$J$2441,G$1)</f>
        <v>0</v>
      </c>
      <c r="H40" s="182">
        <f>SUMIFS('февраль 2025'!$G$4:$G$2441,'февраль 2025'!$D$4:$D$2441,$B40,'февраль 2025'!$J$4:$J$2441,H$1)</f>
        <v>0</v>
      </c>
      <c r="I40" s="182">
        <f>SUMIFS('февраль 2025'!$G$4:$G$2441,'февраль 2025'!$D$4:$D$2441,$B40,'февраль 2025'!$J$4:$J$2441,I$1)</f>
        <v>0</v>
      </c>
      <c r="J40" s="182">
        <f>SUMIFS('февраль 2025'!$G$4:$G$2441,'февраль 2025'!$D$4:$D$2441,$B40,'февраль 2025'!$J$4:$J$2441,J$1)</f>
        <v>0</v>
      </c>
      <c r="K40" s="182">
        <f>SUMIFS('февраль 2025'!$G$4:$G$2441,'февраль 2025'!$D$4:$D$2441,$B40,'февраль 2025'!$J$4:$J$2441,K$1)</f>
        <v>0</v>
      </c>
      <c r="L40" s="182">
        <f>SUMIFS('февраль 2025'!$G$4:$G$2441,'февраль 2025'!$D$4:$D$2441,$B40,'февраль 2025'!$J$4:$J$2441,L$1)</f>
        <v>0</v>
      </c>
      <c r="M40" s="182">
        <f>SUMIFS('февраль 2025'!$G$4:$G$2441,'февраль 2025'!$D$4:$D$2441,$B40,'февраль 2025'!$J$4:$J$2441,M$1)</f>
        <v>0</v>
      </c>
      <c r="N40" s="182">
        <f>SUMIFS('февраль 2025'!$G$4:$G$2441,'февраль 2025'!$D$4:$D$2441,$B40,'февраль 2025'!$J$4:$J$2441,N$1)</f>
        <v>0</v>
      </c>
      <c r="O40" s="182">
        <f>SUMIFS('февраль 2025'!$G$4:$G$2441,'февраль 2025'!$D$4:$D$2441,$B40,'февраль 2025'!$J$4:$J$2441,O$1)</f>
        <v>0</v>
      </c>
      <c r="P40" s="182">
        <f>SUMIFS('февраль 2025'!$G$4:$G$2441,'февраль 2025'!$D$4:$D$2441,$B40,'февраль 2025'!$J$4:$J$2441,P$1)</f>
        <v>0</v>
      </c>
      <c r="Q40" s="182">
        <f>SUMIFS('февраль 2025'!$G$4:$G$2441,'февраль 2025'!$D$4:$D$2441,$B40,'февраль 2025'!$J$4:$J$2441,Q$1)</f>
        <v>0</v>
      </c>
      <c r="R40" s="182">
        <f>SUMIFS('февраль 2025'!$G$4:$G$2441,'февраль 2025'!$D$4:$D$2441,$B40,'февраль 2025'!$J$4:$J$2441,R$1)</f>
        <v>0</v>
      </c>
      <c r="S40" s="182">
        <f>SUMIFS('февраль 2025'!$G$4:$G$2441,'февраль 2025'!$D$4:$D$2441,$B40,'февраль 2025'!$J$4:$J$2441,S$1)</f>
        <v>0</v>
      </c>
      <c r="T40" s="182">
        <f>SUMIFS('февраль 2025'!$G$4:$G$2441,'февраль 2025'!$D$4:$D$2441,$B40,'февраль 2025'!$J$4:$J$2441,T$1)</f>
        <v>0</v>
      </c>
      <c r="U40" s="182">
        <f>SUMIFS('февраль 2025'!$G$4:$G$2441,'февраль 2025'!$D$4:$D$2441,$B40,'февраль 2025'!$J$4:$J$2441,U$1)</f>
        <v>0</v>
      </c>
      <c r="V40" s="182">
        <f>SUMIFS('февраль 2025'!$G$4:$G$2441,'февраль 2025'!$D$4:$D$2441,$B40,'февраль 2025'!$J$4:$J$2441,V$1)</f>
        <v>0</v>
      </c>
      <c r="W40" s="182">
        <f>SUMIFS('февраль 2025'!$G$4:$G$2441,'февраль 2025'!$D$4:$D$2441,$B40,'февраль 2025'!$J$4:$J$2441,W$1)</f>
        <v>0</v>
      </c>
      <c r="X40" s="182">
        <f>SUMIFS('февраль 2025'!$G$4:$G$2441,'февраль 2025'!$D$4:$D$2441,$B40,'февраль 2025'!$J$4:$J$2441,X$1)</f>
        <v>0</v>
      </c>
      <c r="Y40" s="182">
        <f>SUMIFS('февраль 2025'!$G$4:$G$2441,'февраль 2025'!$D$4:$D$2441,$B40,'февраль 2025'!$J$4:$J$2441,Y$1)</f>
        <v>0</v>
      </c>
      <c r="Z40" s="182">
        <f>SUMIFS('февраль 2025'!$G$4:$G$2441,'февраль 2025'!$D$4:$D$2441,$B40,'февраль 2025'!$J$4:$J$2441,Z$1)</f>
        <v>0</v>
      </c>
      <c r="AA40" s="182">
        <f>SUMIFS('февраль 2025'!$G$4:$G$2441,'февраль 2025'!$D$4:$D$2441,$B40,'февраль 2025'!$J$4:$J$2441,AA$1)</f>
        <v>0</v>
      </c>
      <c r="AB40" s="182">
        <f>SUMIFS('февраль 2025'!$G$4:$G$2441,'февраль 2025'!$D$4:$D$2441,$B40,'февраль 2025'!$J$4:$J$2441,AB$1)</f>
        <v>0</v>
      </c>
      <c r="AC40" s="182">
        <f>SUMIFS('февраль 2025'!$G$4:$G$2441,'февраль 2025'!$D$4:$D$2441,$B40,'февраль 2025'!$J$4:$J$2441,AC$1)</f>
        <v>0</v>
      </c>
      <c r="AD40" s="182">
        <f>SUMIFS('февраль 2025'!$G$4:$G$2441,'февраль 2025'!$D$4:$D$2441,$B40,'февраль 2025'!$J$4:$J$2441,AD$1)</f>
        <v>0</v>
      </c>
      <c r="AE40" s="182">
        <f>SUMIFS('февраль 2025'!$G$4:$G$2441,'февраль 2025'!$D$4:$D$2441,$B40,'февраль 2025'!$J$4:$J$2441,AE$1)</f>
        <v>0</v>
      </c>
      <c r="AF40" s="182">
        <f>SUMIFS('февраль 2025'!$G$4:$G$2441,'февраль 2025'!$D$4:$D$2441,$B40,'февраль 2025'!$J$4:$J$2441,AF$1)</f>
        <v>0</v>
      </c>
      <c r="AG40" s="182">
        <f>SUMIFS('февраль 2025'!$G$4:$G$2441,'февраль 2025'!$D$4:$D$2441,$B40,'февраль 2025'!$J$4:$J$2441,AG$1)</f>
        <v>0</v>
      </c>
      <c r="AH40" s="182">
        <f>SUMIFS('февраль 2025'!$G$4:$G$2441,'февраль 2025'!$D$4:$D$2441,$B40,'февраль 2025'!$J$4:$J$2441,AH$1)</f>
        <v>0</v>
      </c>
      <c r="AI40" s="20">
        <f t="shared" si="1"/>
        <v>0</v>
      </c>
    </row>
    <row r="41" spans="2:35" ht="15" customHeight="1" x14ac:dyDescent="0.25">
      <c r="B41" s="131" t="s">
        <v>227</v>
      </c>
      <c r="C41" s="130">
        <v>22.68</v>
      </c>
      <c r="D41" s="182">
        <f>SUMIFS('февраль 2025'!$G$4:$G$2441,'февраль 2025'!$D$4:$D$2441,$B41,'февраль 2025'!$J$4:$J$2441,D$1)</f>
        <v>0</v>
      </c>
      <c r="E41" s="182">
        <f>SUMIFS('февраль 2025'!$G$4:$G$2441,'февраль 2025'!$D$4:$D$2441,$B41,'февраль 2025'!$J$4:$J$2441,E$1)</f>
        <v>0</v>
      </c>
      <c r="F41" s="182">
        <f>SUMIFS('февраль 2025'!$G$4:$G$2441,'февраль 2025'!$D$4:$D$2441,$B41,'февраль 2025'!$J$4:$J$2441,F$1)</f>
        <v>0</v>
      </c>
      <c r="G41" s="182">
        <f>SUMIFS('февраль 2025'!$G$4:$G$2441,'февраль 2025'!$D$4:$D$2441,$B41,'февраль 2025'!$J$4:$J$2441,G$1)</f>
        <v>0</v>
      </c>
      <c r="H41" s="182">
        <f>SUMIFS('февраль 2025'!$G$4:$G$2441,'февраль 2025'!$D$4:$D$2441,$B41,'февраль 2025'!$J$4:$J$2441,H$1)</f>
        <v>0</v>
      </c>
      <c r="I41" s="182">
        <f>SUMIFS('февраль 2025'!$G$4:$G$2441,'февраль 2025'!$D$4:$D$2441,$B41,'февраль 2025'!$J$4:$J$2441,I$1)</f>
        <v>0</v>
      </c>
      <c r="J41" s="182">
        <f>SUMIFS('февраль 2025'!$G$4:$G$2441,'февраль 2025'!$D$4:$D$2441,$B41,'февраль 2025'!$J$4:$J$2441,J$1)</f>
        <v>0</v>
      </c>
      <c r="K41" s="182">
        <f>SUMIFS('февраль 2025'!$G$4:$G$2441,'февраль 2025'!$D$4:$D$2441,$B41,'февраль 2025'!$J$4:$J$2441,K$1)</f>
        <v>0</v>
      </c>
      <c r="L41" s="182">
        <f>SUMIFS('февраль 2025'!$G$4:$G$2441,'февраль 2025'!$D$4:$D$2441,$B41,'февраль 2025'!$J$4:$J$2441,L$1)</f>
        <v>0</v>
      </c>
      <c r="M41" s="182">
        <f>SUMIFS('февраль 2025'!$G$4:$G$2441,'февраль 2025'!$D$4:$D$2441,$B41,'февраль 2025'!$J$4:$J$2441,M$1)</f>
        <v>0</v>
      </c>
      <c r="N41" s="182">
        <f>SUMIFS('февраль 2025'!$G$4:$G$2441,'февраль 2025'!$D$4:$D$2441,$B41,'февраль 2025'!$J$4:$J$2441,N$1)</f>
        <v>0</v>
      </c>
      <c r="O41" s="182">
        <f>SUMIFS('февраль 2025'!$G$4:$G$2441,'февраль 2025'!$D$4:$D$2441,$B41,'февраль 2025'!$J$4:$J$2441,O$1)</f>
        <v>0</v>
      </c>
      <c r="P41" s="182">
        <f>SUMIFS('февраль 2025'!$G$4:$G$2441,'февраль 2025'!$D$4:$D$2441,$B41,'февраль 2025'!$J$4:$J$2441,P$1)</f>
        <v>0</v>
      </c>
      <c r="Q41" s="182">
        <f>SUMIFS('февраль 2025'!$G$4:$G$2441,'февраль 2025'!$D$4:$D$2441,$B41,'февраль 2025'!$J$4:$J$2441,Q$1)</f>
        <v>0</v>
      </c>
      <c r="R41" s="182">
        <f>SUMIFS('февраль 2025'!$G$4:$G$2441,'февраль 2025'!$D$4:$D$2441,$B41,'февраль 2025'!$J$4:$J$2441,R$1)</f>
        <v>0</v>
      </c>
      <c r="S41" s="182">
        <f>SUMIFS('февраль 2025'!$G$4:$G$2441,'февраль 2025'!$D$4:$D$2441,$B41,'февраль 2025'!$J$4:$J$2441,S$1)</f>
        <v>0</v>
      </c>
      <c r="T41" s="182">
        <f>SUMIFS('февраль 2025'!$G$4:$G$2441,'февраль 2025'!$D$4:$D$2441,$B41,'февраль 2025'!$J$4:$J$2441,T$1)</f>
        <v>0</v>
      </c>
      <c r="U41" s="182">
        <f>SUMIFS('февраль 2025'!$G$4:$G$2441,'февраль 2025'!$D$4:$D$2441,$B41,'февраль 2025'!$J$4:$J$2441,U$1)</f>
        <v>0</v>
      </c>
      <c r="V41" s="182">
        <f>SUMIFS('февраль 2025'!$G$4:$G$2441,'февраль 2025'!$D$4:$D$2441,$B41,'февраль 2025'!$J$4:$J$2441,V$1)</f>
        <v>0</v>
      </c>
      <c r="W41" s="182">
        <f>SUMIFS('февраль 2025'!$G$4:$G$2441,'февраль 2025'!$D$4:$D$2441,$B41,'февраль 2025'!$J$4:$J$2441,W$1)</f>
        <v>0</v>
      </c>
      <c r="X41" s="182">
        <f>SUMIFS('февраль 2025'!$G$4:$G$2441,'февраль 2025'!$D$4:$D$2441,$B41,'февраль 2025'!$J$4:$J$2441,X$1)</f>
        <v>0</v>
      </c>
      <c r="Y41" s="182">
        <f>SUMIFS('февраль 2025'!$G$4:$G$2441,'февраль 2025'!$D$4:$D$2441,$B41,'февраль 2025'!$J$4:$J$2441,Y$1)</f>
        <v>0</v>
      </c>
      <c r="Z41" s="182">
        <f>SUMIFS('февраль 2025'!$G$4:$G$2441,'февраль 2025'!$D$4:$D$2441,$B41,'февраль 2025'!$J$4:$J$2441,Z$1)</f>
        <v>0</v>
      </c>
      <c r="AA41" s="182">
        <f>SUMIFS('февраль 2025'!$G$4:$G$2441,'февраль 2025'!$D$4:$D$2441,$B41,'февраль 2025'!$J$4:$J$2441,AA$1)</f>
        <v>0</v>
      </c>
      <c r="AB41" s="182">
        <f>SUMIFS('февраль 2025'!$G$4:$G$2441,'февраль 2025'!$D$4:$D$2441,$B41,'февраль 2025'!$J$4:$J$2441,AB$1)</f>
        <v>0</v>
      </c>
      <c r="AC41" s="182">
        <f>SUMIFS('февраль 2025'!$G$4:$G$2441,'февраль 2025'!$D$4:$D$2441,$B41,'февраль 2025'!$J$4:$J$2441,AC$1)</f>
        <v>0</v>
      </c>
      <c r="AD41" s="182">
        <f>SUMIFS('февраль 2025'!$G$4:$G$2441,'февраль 2025'!$D$4:$D$2441,$B41,'февраль 2025'!$J$4:$J$2441,AD$1)</f>
        <v>0</v>
      </c>
      <c r="AE41" s="182">
        <f>SUMIFS('февраль 2025'!$G$4:$G$2441,'февраль 2025'!$D$4:$D$2441,$B41,'февраль 2025'!$J$4:$J$2441,AE$1)</f>
        <v>0</v>
      </c>
      <c r="AF41" s="182">
        <f>SUMIFS('февраль 2025'!$G$4:$G$2441,'февраль 2025'!$D$4:$D$2441,$B41,'февраль 2025'!$J$4:$J$2441,AF$1)</f>
        <v>0</v>
      </c>
      <c r="AG41" s="182">
        <f>SUMIFS('февраль 2025'!$G$4:$G$2441,'февраль 2025'!$D$4:$D$2441,$B41,'февраль 2025'!$J$4:$J$2441,AG$1)</f>
        <v>0</v>
      </c>
      <c r="AH41" s="182">
        <f>SUMIFS('февраль 2025'!$G$4:$G$2441,'февраль 2025'!$D$4:$D$2441,$B41,'февраль 2025'!$J$4:$J$2441,AH$1)</f>
        <v>0</v>
      </c>
      <c r="AI41" s="20">
        <f t="shared" si="1"/>
        <v>0</v>
      </c>
    </row>
    <row r="42" spans="2:35" ht="15" customHeight="1" x14ac:dyDescent="0.25">
      <c r="B42" s="135" t="s">
        <v>229</v>
      </c>
      <c r="C42" s="132">
        <v>25</v>
      </c>
      <c r="D42" s="182">
        <f>SUMIFS('февраль 2025'!$G$4:$G$2441,'февраль 2025'!$D$4:$D$2441,$B42,'февраль 2025'!$J$4:$J$2441,D$1)</f>
        <v>0</v>
      </c>
      <c r="E42" s="182">
        <f>SUMIFS('февраль 2025'!$G$4:$G$2441,'февраль 2025'!$D$4:$D$2441,$B42,'февраль 2025'!$J$4:$J$2441,E$1)</f>
        <v>0</v>
      </c>
      <c r="F42" s="182">
        <f>SUMIFS('февраль 2025'!$G$4:$G$2441,'февраль 2025'!$D$4:$D$2441,$B42,'февраль 2025'!$J$4:$J$2441,F$1)</f>
        <v>0</v>
      </c>
      <c r="G42" s="182">
        <f>SUMIFS('февраль 2025'!$G$4:$G$2441,'февраль 2025'!$D$4:$D$2441,$B42,'февраль 2025'!$J$4:$J$2441,G$1)</f>
        <v>0</v>
      </c>
      <c r="H42" s="182">
        <f>SUMIFS('февраль 2025'!$G$4:$G$2441,'февраль 2025'!$D$4:$D$2441,$B42,'февраль 2025'!$J$4:$J$2441,H$1)</f>
        <v>0</v>
      </c>
      <c r="I42" s="182">
        <f>SUMIFS('февраль 2025'!$G$4:$G$2441,'февраль 2025'!$D$4:$D$2441,$B42,'февраль 2025'!$J$4:$J$2441,I$1)</f>
        <v>0</v>
      </c>
      <c r="J42" s="182">
        <f>SUMIFS('февраль 2025'!$G$4:$G$2441,'февраль 2025'!$D$4:$D$2441,$B42,'февраль 2025'!$J$4:$J$2441,J$1)</f>
        <v>0</v>
      </c>
      <c r="K42" s="182">
        <f>SUMIFS('февраль 2025'!$G$4:$G$2441,'февраль 2025'!$D$4:$D$2441,$B42,'февраль 2025'!$J$4:$J$2441,K$1)</f>
        <v>0</v>
      </c>
      <c r="L42" s="182">
        <f>SUMIFS('февраль 2025'!$G$4:$G$2441,'февраль 2025'!$D$4:$D$2441,$B42,'февраль 2025'!$J$4:$J$2441,L$1)</f>
        <v>0</v>
      </c>
      <c r="M42" s="182">
        <f>SUMIFS('февраль 2025'!$G$4:$G$2441,'февраль 2025'!$D$4:$D$2441,$B42,'февраль 2025'!$J$4:$J$2441,M$1)</f>
        <v>0</v>
      </c>
      <c r="N42" s="182">
        <f>SUMIFS('февраль 2025'!$G$4:$G$2441,'февраль 2025'!$D$4:$D$2441,$B42,'февраль 2025'!$J$4:$J$2441,N$1)</f>
        <v>0</v>
      </c>
      <c r="O42" s="182">
        <f>SUMIFS('февраль 2025'!$G$4:$G$2441,'февраль 2025'!$D$4:$D$2441,$B42,'февраль 2025'!$J$4:$J$2441,O$1)</f>
        <v>0</v>
      </c>
      <c r="P42" s="182">
        <f>SUMIFS('февраль 2025'!$G$4:$G$2441,'февраль 2025'!$D$4:$D$2441,$B42,'февраль 2025'!$J$4:$J$2441,P$1)</f>
        <v>0</v>
      </c>
      <c r="Q42" s="182">
        <f>SUMIFS('февраль 2025'!$G$4:$G$2441,'февраль 2025'!$D$4:$D$2441,$B42,'февраль 2025'!$J$4:$J$2441,Q$1)</f>
        <v>0</v>
      </c>
      <c r="R42" s="182">
        <f>SUMIFS('февраль 2025'!$G$4:$G$2441,'февраль 2025'!$D$4:$D$2441,$B42,'февраль 2025'!$J$4:$J$2441,R$1)</f>
        <v>0</v>
      </c>
      <c r="S42" s="182">
        <f>SUMIFS('февраль 2025'!$G$4:$G$2441,'февраль 2025'!$D$4:$D$2441,$B42,'февраль 2025'!$J$4:$J$2441,S$1)</f>
        <v>0</v>
      </c>
      <c r="T42" s="182">
        <f>SUMIFS('февраль 2025'!$G$4:$G$2441,'февраль 2025'!$D$4:$D$2441,$B42,'февраль 2025'!$J$4:$J$2441,T$1)</f>
        <v>0</v>
      </c>
      <c r="U42" s="182">
        <f>SUMIFS('февраль 2025'!$G$4:$G$2441,'февраль 2025'!$D$4:$D$2441,$B42,'февраль 2025'!$J$4:$J$2441,U$1)</f>
        <v>0</v>
      </c>
      <c r="V42" s="182">
        <f>SUMIFS('февраль 2025'!$G$4:$G$2441,'февраль 2025'!$D$4:$D$2441,$B42,'февраль 2025'!$J$4:$J$2441,V$1)</f>
        <v>0</v>
      </c>
      <c r="W42" s="182">
        <f>SUMIFS('февраль 2025'!$G$4:$G$2441,'февраль 2025'!$D$4:$D$2441,$B42,'февраль 2025'!$J$4:$J$2441,W$1)</f>
        <v>0</v>
      </c>
      <c r="X42" s="182">
        <f>SUMIFS('февраль 2025'!$G$4:$G$2441,'февраль 2025'!$D$4:$D$2441,$B42,'февраль 2025'!$J$4:$J$2441,X$1)</f>
        <v>0</v>
      </c>
      <c r="Y42" s="182">
        <f>SUMIFS('февраль 2025'!$G$4:$G$2441,'февраль 2025'!$D$4:$D$2441,$B42,'февраль 2025'!$J$4:$J$2441,Y$1)</f>
        <v>0</v>
      </c>
      <c r="Z42" s="182">
        <f>SUMIFS('февраль 2025'!$G$4:$G$2441,'февраль 2025'!$D$4:$D$2441,$B42,'февраль 2025'!$J$4:$J$2441,Z$1)</f>
        <v>0</v>
      </c>
      <c r="AA42" s="182">
        <f>SUMIFS('февраль 2025'!$G$4:$G$2441,'февраль 2025'!$D$4:$D$2441,$B42,'февраль 2025'!$J$4:$J$2441,AA$1)</f>
        <v>0</v>
      </c>
      <c r="AB42" s="182">
        <f>SUMIFS('февраль 2025'!$G$4:$G$2441,'февраль 2025'!$D$4:$D$2441,$B42,'февраль 2025'!$J$4:$J$2441,AB$1)</f>
        <v>0</v>
      </c>
      <c r="AC42" s="182">
        <f>SUMIFS('февраль 2025'!$G$4:$G$2441,'февраль 2025'!$D$4:$D$2441,$B42,'февраль 2025'!$J$4:$J$2441,AC$1)</f>
        <v>0</v>
      </c>
      <c r="AD42" s="182">
        <f>SUMIFS('февраль 2025'!$G$4:$G$2441,'февраль 2025'!$D$4:$D$2441,$B42,'февраль 2025'!$J$4:$J$2441,AD$1)</f>
        <v>0</v>
      </c>
      <c r="AE42" s="182">
        <f>SUMIFS('февраль 2025'!$G$4:$G$2441,'февраль 2025'!$D$4:$D$2441,$B42,'февраль 2025'!$J$4:$J$2441,AE$1)</f>
        <v>0</v>
      </c>
      <c r="AF42" s="182">
        <f>SUMIFS('февраль 2025'!$G$4:$G$2441,'февраль 2025'!$D$4:$D$2441,$B42,'февраль 2025'!$J$4:$J$2441,AF$1)</f>
        <v>0</v>
      </c>
      <c r="AG42" s="182">
        <f>SUMIFS('февраль 2025'!$G$4:$G$2441,'февраль 2025'!$D$4:$D$2441,$B42,'февраль 2025'!$J$4:$J$2441,AG$1)</f>
        <v>0</v>
      </c>
      <c r="AH42" s="182">
        <f>SUMIFS('февраль 2025'!$G$4:$G$2441,'февраль 2025'!$D$4:$D$2441,$B42,'февраль 2025'!$J$4:$J$2441,AH$1)</f>
        <v>0</v>
      </c>
      <c r="AI42" s="20">
        <f t="shared" si="1"/>
        <v>0</v>
      </c>
    </row>
    <row r="43" spans="2:35" ht="15" customHeight="1" x14ac:dyDescent="0.25">
      <c r="B43" s="131" t="s">
        <v>230</v>
      </c>
      <c r="C43" s="134">
        <v>25</v>
      </c>
      <c r="D43" s="182">
        <f>SUMIFS('февраль 2025'!$G$4:$G$2441,'февраль 2025'!$D$4:$D$2441,$B43,'февраль 2025'!$J$4:$J$2441,D$1)</f>
        <v>0</v>
      </c>
      <c r="E43" s="182">
        <f>SUMIFS('февраль 2025'!$G$4:$G$2441,'февраль 2025'!$D$4:$D$2441,$B43,'февраль 2025'!$J$4:$J$2441,E$1)</f>
        <v>0</v>
      </c>
      <c r="F43" s="182">
        <f>SUMIFS('февраль 2025'!$G$4:$G$2441,'февраль 2025'!$D$4:$D$2441,$B43,'февраль 2025'!$J$4:$J$2441,F$1)</f>
        <v>0</v>
      </c>
      <c r="G43" s="182">
        <f>SUMIFS('февраль 2025'!$G$4:$G$2441,'февраль 2025'!$D$4:$D$2441,$B43,'февраль 2025'!$J$4:$J$2441,G$1)</f>
        <v>0</v>
      </c>
      <c r="H43" s="182">
        <f>SUMIFS('февраль 2025'!$G$4:$G$2441,'февраль 2025'!$D$4:$D$2441,$B43,'февраль 2025'!$J$4:$J$2441,H$1)</f>
        <v>0</v>
      </c>
      <c r="I43" s="182">
        <f>SUMIFS('февраль 2025'!$G$4:$G$2441,'февраль 2025'!$D$4:$D$2441,$B43,'февраль 2025'!$J$4:$J$2441,I$1)</f>
        <v>0</v>
      </c>
      <c r="J43" s="182">
        <f>SUMIFS('февраль 2025'!$G$4:$G$2441,'февраль 2025'!$D$4:$D$2441,$B43,'февраль 2025'!$J$4:$J$2441,J$1)</f>
        <v>0</v>
      </c>
      <c r="K43" s="182">
        <f>SUMIFS('февраль 2025'!$G$4:$G$2441,'февраль 2025'!$D$4:$D$2441,$B43,'февраль 2025'!$J$4:$J$2441,K$1)</f>
        <v>0</v>
      </c>
      <c r="L43" s="182">
        <f>SUMIFS('февраль 2025'!$G$4:$G$2441,'февраль 2025'!$D$4:$D$2441,$B43,'февраль 2025'!$J$4:$J$2441,L$1)</f>
        <v>0</v>
      </c>
      <c r="M43" s="182">
        <f>SUMIFS('февраль 2025'!$G$4:$G$2441,'февраль 2025'!$D$4:$D$2441,$B43,'февраль 2025'!$J$4:$J$2441,M$1)</f>
        <v>0</v>
      </c>
      <c r="N43" s="182">
        <f>SUMIFS('февраль 2025'!$G$4:$G$2441,'февраль 2025'!$D$4:$D$2441,$B43,'февраль 2025'!$J$4:$J$2441,N$1)</f>
        <v>0</v>
      </c>
      <c r="O43" s="182">
        <f>SUMIFS('февраль 2025'!$G$4:$G$2441,'февраль 2025'!$D$4:$D$2441,$B43,'февраль 2025'!$J$4:$J$2441,O$1)</f>
        <v>0</v>
      </c>
      <c r="P43" s="182">
        <f>SUMIFS('февраль 2025'!$G$4:$G$2441,'февраль 2025'!$D$4:$D$2441,$B43,'февраль 2025'!$J$4:$J$2441,P$1)</f>
        <v>0</v>
      </c>
      <c r="Q43" s="182">
        <f>SUMIFS('февраль 2025'!$G$4:$G$2441,'февраль 2025'!$D$4:$D$2441,$B43,'февраль 2025'!$J$4:$J$2441,Q$1)</f>
        <v>0</v>
      </c>
      <c r="R43" s="182">
        <f>SUMIFS('февраль 2025'!$G$4:$G$2441,'февраль 2025'!$D$4:$D$2441,$B43,'февраль 2025'!$J$4:$J$2441,R$1)</f>
        <v>0</v>
      </c>
      <c r="S43" s="182">
        <f>SUMIFS('февраль 2025'!$G$4:$G$2441,'февраль 2025'!$D$4:$D$2441,$B43,'февраль 2025'!$J$4:$J$2441,S$1)</f>
        <v>0</v>
      </c>
      <c r="T43" s="182">
        <f>SUMIFS('февраль 2025'!$G$4:$G$2441,'февраль 2025'!$D$4:$D$2441,$B43,'февраль 2025'!$J$4:$J$2441,T$1)</f>
        <v>0</v>
      </c>
      <c r="U43" s="182">
        <f>SUMIFS('февраль 2025'!$G$4:$G$2441,'февраль 2025'!$D$4:$D$2441,$B43,'февраль 2025'!$J$4:$J$2441,U$1)</f>
        <v>0</v>
      </c>
      <c r="V43" s="182">
        <f>SUMIFS('февраль 2025'!$G$4:$G$2441,'февраль 2025'!$D$4:$D$2441,$B43,'февраль 2025'!$J$4:$J$2441,V$1)</f>
        <v>0</v>
      </c>
      <c r="W43" s="182">
        <f>SUMIFS('февраль 2025'!$G$4:$G$2441,'февраль 2025'!$D$4:$D$2441,$B43,'февраль 2025'!$J$4:$J$2441,W$1)</f>
        <v>0</v>
      </c>
      <c r="X43" s="182">
        <f>SUMIFS('февраль 2025'!$G$4:$G$2441,'февраль 2025'!$D$4:$D$2441,$B43,'февраль 2025'!$J$4:$J$2441,X$1)</f>
        <v>0</v>
      </c>
      <c r="Y43" s="182">
        <f>SUMIFS('февраль 2025'!$G$4:$G$2441,'февраль 2025'!$D$4:$D$2441,$B43,'февраль 2025'!$J$4:$J$2441,Y$1)</f>
        <v>0</v>
      </c>
      <c r="Z43" s="182">
        <f>SUMIFS('февраль 2025'!$G$4:$G$2441,'февраль 2025'!$D$4:$D$2441,$B43,'февраль 2025'!$J$4:$J$2441,Z$1)</f>
        <v>0</v>
      </c>
      <c r="AA43" s="182">
        <f>SUMIFS('февраль 2025'!$G$4:$G$2441,'февраль 2025'!$D$4:$D$2441,$B43,'февраль 2025'!$J$4:$J$2441,AA$1)</f>
        <v>0</v>
      </c>
      <c r="AB43" s="182">
        <f>SUMIFS('февраль 2025'!$G$4:$G$2441,'февраль 2025'!$D$4:$D$2441,$B43,'февраль 2025'!$J$4:$J$2441,AB$1)</f>
        <v>0</v>
      </c>
      <c r="AC43" s="182">
        <f>SUMIFS('февраль 2025'!$G$4:$G$2441,'февраль 2025'!$D$4:$D$2441,$B43,'февраль 2025'!$J$4:$J$2441,AC$1)</f>
        <v>0</v>
      </c>
      <c r="AD43" s="182">
        <f>SUMIFS('февраль 2025'!$G$4:$G$2441,'февраль 2025'!$D$4:$D$2441,$B43,'февраль 2025'!$J$4:$J$2441,AD$1)</f>
        <v>0</v>
      </c>
      <c r="AE43" s="182">
        <f>SUMIFS('февраль 2025'!$G$4:$G$2441,'февраль 2025'!$D$4:$D$2441,$B43,'февраль 2025'!$J$4:$J$2441,AE$1)</f>
        <v>0</v>
      </c>
      <c r="AF43" s="182">
        <f>SUMIFS('февраль 2025'!$G$4:$G$2441,'февраль 2025'!$D$4:$D$2441,$B43,'февраль 2025'!$J$4:$J$2441,AF$1)</f>
        <v>0</v>
      </c>
      <c r="AG43" s="182">
        <f>SUMIFS('февраль 2025'!$G$4:$G$2441,'февраль 2025'!$D$4:$D$2441,$B43,'февраль 2025'!$J$4:$J$2441,AG$1)</f>
        <v>0</v>
      </c>
      <c r="AH43" s="182">
        <f>SUMIFS('февраль 2025'!$G$4:$G$2441,'февраль 2025'!$D$4:$D$2441,$B43,'февраль 2025'!$J$4:$J$2441,AH$1)</f>
        <v>0</v>
      </c>
      <c r="AI43" s="20">
        <f t="shared" si="1"/>
        <v>0</v>
      </c>
    </row>
    <row r="44" spans="2:35" ht="15" customHeight="1" x14ac:dyDescent="0.25">
      <c r="B44" s="135" t="s">
        <v>288</v>
      </c>
      <c r="C44" s="137">
        <v>25</v>
      </c>
      <c r="D44" s="182">
        <f>SUMIFS('февраль 2025'!$G$4:$G$2441,'февраль 2025'!$D$4:$D$2441,$B44,'февраль 2025'!$J$4:$J$2441,D$1)</f>
        <v>0</v>
      </c>
      <c r="E44" s="182">
        <f>SUMIFS('февраль 2025'!$G$4:$G$2441,'февраль 2025'!$D$4:$D$2441,$B44,'февраль 2025'!$J$4:$J$2441,E$1)</f>
        <v>0</v>
      </c>
      <c r="F44" s="182">
        <f>SUMIFS('февраль 2025'!$G$4:$G$2441,'февраль 2025'!$D$4:$D$2441,$B44,'февраль 2025'!$J$4:$J$2441,F$1)</f>
        <v>0</v>
      </c>
      <c r="G44" s="182">
        <f>SUMIFS('февраль 2025'!$G$4:$G$2441,'февраль 2025'!$D$4:$D$2441,$B44,'февраль 2025'!$J$4:$J$2441,G$1)</f>
        <v>0</v>
      </c>
      <c r="H44" s="182">
        <f>SUMIFS('февраль 2025'!$G$4:$G$2441,'февраль 2025'!$D$4:$D$2441,$B44,'февраль 2025'!$J$4:$J$2441,H$1)</f>
        <v>0</v>
      </c>
      <c r="I44" s="182">
        <f>SUMIFS('февраль 2025'!$G$4:$G$2441,'февраль 2025'!$D$4:$D$2441,$B44,'февраль 2025'!$J$4:$J$2441,I$1)</f>
        <v>0</v>
      </c>
      <c r="J44" s="182">
        <f>SUMIFS('февраль 2025'!$G$4:$G$2441,'февраль 2025'!$D$4:$D$2441,$B44,'февраль 2025'!$J$4:$J$2441,J$1)</f>
        <v>0</v>
      </c>
      <c r="K44" s="182">
        <f>SUMIFS('февраль 2025'!$G$4:$G$2441,'февраль 2025'!$D$4:$D$2441,$B44,'февраль 2025'!$J$4:$J$2441,K$1)</f>
        <v>0</v>
      </c>
      <c r="L44" s="182">
        <f>SUMIFS('февраль 2025'!$G$4:$G$2441,'февраль 2025'!$D$4:$D$2441,$B44,'февраль 2025'!$J$4:$J$2441,L$1)</f>
        <v>0</v>
      </c>
      <c r="M44" s="182">
        <f>SUMIFS('февраль 2025'!$G$4:$G$2441,'февраль 2025'!$D$4:$D$2441,$B44,'февраль 2025'!$J$4:$J$2441,M$1)</f>
        <v>0</v>
      </c>
      <c r="N44" s="182">
        <f>SUMIFS('февраль 2025'!$G$4:$G$2441,'февраль 2025'!$D$4:$D$2441,$B44,'февраль 2025'!$J$4:$J$2441,N$1)</f>
        <v>0</v>
      </c>
      <c r="O44" s="182">
        <f>SUMIFS('февраль 2025'!$G$4:$G$2441,'февраль 2025'!$D$4:$D$2441,$B44,'февраль 2025'!$J$4:$J$2441,O$1)</f>
        <v>0</v>
      </c>
      <c r="P44" s="182">
        <f>SUMIFS('февраль 2025'!$G$4:$G$2441,'февраль 2025'!$D$4:$D$2441,$B44,'февраль 2025'!$J$4:$J$2441,P$1)</f>
        <v>0</v>
      </c>
      <c r="Q44" s="182">
        <f>SUMIFS('февраль 2025'!$G$4:$G$2441,'февраль 2025'!$D$4:$D$2441,$B44,'февраль 2025'!$J$4:$J$2441,Q$1)</f>
        <v>0</v>
      </c>
      <c r="R44" s="182">
        <f>SUMIFS('февраль 2025'!$G$4:$G$2441,'февраль 2025'!$D$4:$D$2441,$B44,'февраль 2025'!$J$4:$J$2441,R$1)</f>
        <v>0</v>
      </c>
      <c r="S44" s="182">
        <f>SUMIFS('февраль 2025'!$G$4:$G$2441,'февраль 2025'!$D$4:$D$2441,$B44,'февраль 2025'!$J$4:$J$2441,S$1)</f>
        <v>0</v>
      </c>
      <c r="T44" s="182">
        <f>SUMIFS('февраль 2025'!$G$4:$G$2441,'февраль 2025'!$D$4:$D$2441,$B44,'февраль 2025'!$J$4:$J$2441,T$1)</f>
        <v>0</v>
      </c>
      <c r="U44" s="182">
        <f>SUMIFS('февраль 2025'!$G$4:$G$2441,'февраль 2025'!$D$4:$D$2441,$B44,'февраль 2025'!$J$4:$J$2441,U$1)</f>
        <v>0</v>
      </c>
      <c r="V44" s="182">
        <f>SUMIFS('февраль 2025'!$G$4:$G$2441,'февраль 2025'!$D$4:$D$2441,$B44,'февраль 2025'!$J$4:$J$2441,V$1)</f>
        <v>0</v>
      </c>
      <c r="W44" s="182">
        <f>SUMIFS('февраль 2025'!$G$4:$G$2441,'февраль 2025'!$D$4:$D$2441,$B44,'февраль 2025'!$J$4:$J$2441,W$1)</f>
        <v>0</v>
      </c>
      <c r="X44" s="182">
        <f>SUMIFS('февраль 2025'!$G$4:$G$2441,'февраль 2025'!$D$4:$D$2441,$B44,'февраль 2025'!$J$4:$J$2441,X$1)</f>
        <v>0</v>
      </c>
      <c r="Y44" s="182">
        <f>SUMIFS('февраль 2025'!$G$4:$G$2441,'февраль 2025'!$D$4:$D$2441,$B44,'февраль 2025'!$J$4:$J$2441,Y$1)</f>
        <v>0</v>
      </c>
      <c r="Z44" s="182">
        <f>SUMIFS('февраль 2025'!$G$4:$G$2441,'февраль 2025'!$D$4:$D$2441,$B44,'февраль 2025'!$J$4:$J$2441,Z$1)</f>
        <v>0</v>
      </c>
      <c r="AA44" s="182">
        <f>SUMIFS('февраль 2025'!$G$4:$G$2441,'февраль 2025'!$D$4:$D$2441,$B44,'февраль 2025'!$J$4:$J$2441,AA$1)</f>
        <v>0</v>
      </c>
      <c r="AB44" s="182">
        <f>SUMIFS('февраль 2025'!$G$4:$G$2441,'февраль 2025'!$D$4:$D$2441,$B44,'февраль 2025'!$J$4:$J$2441,AB$1)</f>
        <v>0</v>
      </c>
      <c r="AC44" s="182">
        <f>SUMIFS('февраль 2025'!$G$4:$G$2441,'февраль 2025'!$D$4:$D$2441,$B44,'февраль 2025'!$J$4:$J$2441,AC$1)</f>
        <v>0</v>
      </c>
      <c r="AD44" s="182">
        <f>SUMIFS('февраль 2025'!$G$4:$G$2441,'февраль 2025'!$D$4:$D$2441,$B44,'февраль 2025'!$J$4:$J$2441,AD$1)</f>
        <v>0</v>
      </c>
      <c r="AE44" s="182">
        <f>SUMIFS('февраль 2025'!$G$4:$G$2441,'февраль 2025'!$D$4:$D$2441,$B44,'февраль 2025'!$J$4:$J$2441,AE$1)</f>
        <v>0</v>
      </c>
      <c r="AF44" s="182">
        <f>SUMIFS('февраль 2025'!$G$4:$G$2441,'февраль 2025'!$D$4:$D$2441,$B44,'февраль 2025'!$J$4:$J$2441,AF$1)</f>
        <v>0</v>
      </c>
      <c r="AG44" s="182">
        <f>SUMIFS('февраль 2025'!$G$4:$G$2441,'февраль 2025'!$D$4:$D$2441,$B44,'февраль 2025'!$J$4:$J$2441,AG$1)</f>
        <v>0</v>
      </c>
      <c r="AH44" s="182">
        <f>SUMIFS('февраль 2025'!$G$4:$G$2441,'февраль 2025'!$D$4:$D$2441,$B44,'февраль 2025'!$J$4:$J$2441,AH$1)</f>
        <v>0</v>
      </c>
      <c r="AI44" s="20">
        <f t="shared" si="1"/>
        <v>0</v>
      </c>
    </row>
    <row r="45" spans="2:35" ht="15" customHeight="1" x14ac:dyDescent="0.25">
      <c r="B45" s="135" t="s">
        <v>232</v>
      </c>
      <c r="C45" s="132">
        <v>25</v>
      </c>
      <c r="D45" s="182">
        <f>SUMIFS('февраль 2025'!$G$4:$G$2441,'февраль 2025'!$D$4:$D$2441,$B45,'февраль 2025'!$J$4:$J$2441,D$1)</f>
        <v>0</v>
      </c>
      <c r="E45" s="182">
        <f>SUMIFS('февраль 2025'!$G$4:$G$2441,'февраль 2025'!$D$4:$D$2441,$B45,'февраль 2025'!$J$4:$J$2441,E$1)</f>
        <v>0</v>
      </c>
      <c r="F45" s="182">
        <f>SUMIFS('февраль 2025'!$G$4:$G$2441,'февраль 2025'!$D$4:$D$2441,$B45,'февраль 2025'!$J$4:$J$2441,F$1)</f>
        <v>0</v>
      </c>
      <c r="G45" s="182">
        <f>SUMIFS('февраль 2025'!$G$4:$G$2441,'февраль 2025'!$D$4:$D$2441,$B45,'февраль 2025'!$J$4:$J$2441,G$1)</f>
        <v>0</v>
      </c>
      <c r="H45" s="182">
        <f>SUMIFS('февраль 2025'!$G$4:$G$2441,'февраль 2025'!$D$4:$D$2441,$B45,'февраль 2025'!$J$4:$J$2441,H$1)</f>
        <v>0</v>
      </c>
      <c r="I45" s="182">
        <f>SUMIFS('февраль 2025'!$G$4:$G$2441,'февраль 2025'!$D$4:$D$2441,$B45,'февраль 2025'!$J$4:$J$2441,I$1)</f>
        <v>0</v>
      </c>
      <c r="J45" s="182">
        <f>SUMIFS('февраль 2025'!$G$4:$G$2441,'февраль 2025'!$D$4:$D$2441,$B45,'февраль 2025'!$J$4:$J$2441,J$1)</f>
        <v>0</v>
      </c>
      <c r="K45" s="182">
        <f>SUMIFS('февраль 2025'!$G$4:$G$2441,'февраль 2025'!$D$4:$D$2441,$B45,'февраль 2025'!$J$4:$J$2441,K$1)</f>
        <v>0</v>
      </c>
      <c r="L45" s="182">
        <f>SUMIFS('февраль 2025'!$G$4:$G$2441,'февраль 2025'!$D$4:$D$2441,$B45,'февраль 2025'!$J$4:$J$2441,L$1)</f>
        <v>0</v>
      </c>
      <c r="M45" s="182">
        <f>SUMIFS('февраль 2025'!$G$4:$G$2441,'февраль 2025'!$D$4:$D$2441,$B45,'февраль 2025'!$J$4:$J$2441,M$1)</f>
        <v>200</v>
      </c>
      <c r="N45" s="182">
        <f>SUMIFS('февраль 2025'!$G$4:$G$2441,'февраль 2025'!$D$4:$D$2441,$B45,'февраль 2025'!$J$4:$J$2441,N$1)</f>
        <v>0</v>
      </c>
      <c r="O45" s="182">
        <f>SUMIFS('февраль 2025'!$G$4:$G$2441,'февраль 2025'!$D$4:$D$2441,$B45,'февраль 2025'!$J$4:$J$2441,O$1)</f>
        <v>0</v>
      </c>
      <c r="P45" s="182">
        <f>SUMIFS('февраль 2025'!$G$4:$G$2441,'февраль 2025'!$D$4:$D$2441,$B45,'февраль 2025'!$J$4:$J$2441,P$1)</f>
        <v>0</v>
      </c>
      <c r="Q45" s="182">
        <f>SUMIFS('февраль 2025'!$G$4:$G$2441,'февраль 2025'!$D$4:$D$2441,$B45,'февраль 2025'!$J$4:$J$2441,Q$1)</f>
        <v>0</v>
      </c>
      <c r="R45" s="182">
        <f>SUMIFS('февраль 2025'!$G$4:$G$2441,'февраль 2025'!$D$4:$D$2441,$B45,'февраль 2025'!$J$4:$J$2441,R$1)</f>
        <v>0</v>
      </c>
      <c r="S45" s="182">
        <f>SUMIFS('февраль 2025'!$G$4:$G$2441,'февраль 2025'!$D$4:$D$2441,$B45,'февраль 2025'!$J$4:$J$2441,S$1)</f>
        <v>0</v>
      </c>
      <c r="T45" s="182">
        <f>SUMIFS('февраль 2025'!$G$4:$G$2441,'февраль 2025'!$D$4:$D$2441,$B45,'февраль 2025'!$J$4:$J$2441,T$1)</f>
        <v>0</v>
      </c>
      <c r="U45" s="182">
        <f>SUMIFS('февраль 2025'!$G$4:$G$2441,'февраль 2025'!$D$4:$D$2441,$B45,'февраль 2025'!$J$4:$J$2441,U$1)</f>
        <v>0</v>
      </c>
      <c r="V45" s="182">
        <f>SUMIFS('февраль 2025'!$G$4:$G$2441,'февраль 2025'!$D$4:$D$2441,$B45,'февраль 2025'!$J$4:$J$2441,V$1)</f>
        <v>0</v>
      </c>
      <c r="W45" s="182">
        <f>SUMIFS('февраль 2025'!$G$4:$G$2441,'февраль 2025'!$D$4:$D$2441,$B45,'февраль 2025'!$J$4:$J$2441,W$1)</f>
        <v>0</v>
      </c>
      <c r="X45" s="182">
        <f>SUMIFS('февраль 2025'!$G$4:$G$2441,'февраль 2025'!$D$4:$D$2441,$B45,'февраль 2025'!$J$4:$J$2441,X$1)</f>
        <v>0</v>
      </c>
      <c r="Y45" s="182">
        <f>SUMIFS('февраль 2025'!$G$4:$G$2441,'февраль 2025'!$D$4:$D$2441,$B45,'февраль 2025'!$J$4:$J$2441,Y$1)</f>
        <v>0</v>
      </c>
      <c r="Z45" s="182">
        <f>SUMIFS('февраль 2025'!$G$4:$G$2441,'февраль 2025'!$D$4:$D$2441,$B45,'февраль 2025'!$J$4:$J$2441,Z$1)</f>
        <v>0</v>
      </c>
      <c r="AA45" s="182">
        <f>SUMIFS('февраль 2025'!$G$4:$G$2441,'февраль 2025'!$D$4:$D$2441,$B45,'февраль 2025'!$J$4:$J$2441,AA$1)</f>
        <v>0</v>
      </c>
      <c r="AB45" s="182">
        <f>SUMIFS('февраль 2025'!$G$4:$G$2441,'февраль 2025'!$D$4:$D$2441,$B45,'февраль 2025'!$J$4:$J$2441,AB$1)</f>
        <v>0</v>
      </c>
      <c r="AC45" s="182">
        <f>SUMIFS('февраль 2025'!$G$4:$G$2441,'февраль 2025'!$D$4:$D$2441,$B45,'февраль 2025'!$J$4:$J$2441,AC$1)</f>
        <v>0</v>
      </c>
      <c r="AD45" s="182">
        <f>SUMIFS('февраль 2025'!$G$4:$G$2441,'февраль 2025'!$D$4:$D$2441,$B45,'февраль 2025'!$J$4:$J$2441,AD$1)</f>
        <v>0</v>
      </c>
      <c r="AE45" s="182">
        <f>SUMIFS('февраль 2025'!$G$4:$G$2441,'февраль 2025'!$D$4:$D$2441,$B45,'февраль 2025'!$J$4:$J$2441,AE$1)</f>
        <v>0</v>
      </c>
      <c r="AF45" s="182">
        <f>SUMIFS('февраль 2025'!$G$4:$G$2441,'февраль 2025'!$D$4:$D$2441,$B45,'февраль 2025'!$J$4:$J$2441,AF$1)</f>
        <v>0</v>
      </c>
      <c r="AG45" s="182">
        <f>SUMIFS('февраль 2025'!$G$4:$G$2441,'февраль 2025'!$D$4:$D$2441,$B45,'февраль 2025'!$J$4:$J$2441,AG$1)</f>
        <v>0</v>
      </c>
      <c r="AH45" s="182">
        <f>SUMIFS('февраль 2025'!$G$4:$G$2441,'февраль 2025'!$D$4:$D$2441,$B45,'февраль 2025'!$J$4:$J$2441,AH$1)</f>
        <v>0</v>
      </c>
      <c r="AI45" s="20">
        <f t="shared" si="1"/>
        <v>200</v>
      </c>
    </row>
    <row r="46" spans="2:35" ht="15" customHeight="1" x14ac:dyDescent="0.25">
      <c r="B46" s="135" t="s">
        <v>234</v>
      </c>
      <c r="C46" s="132">
        <v>18</v>
      </c>
      <c r="D46" s="182">
        <f>SUMIFS('февраль 2025'!$G$4:$G$2441,'февраль 2025'!$D$4:$D$2441,$B46,'февраль 2025'!$J$4:$J$2441,D$1)</f>
        <v>0</v>
      </c>
      <c r="E46" s="182">
        <f>SUMIFS('февраль 2025'!$G$4:$G$2441,'февраль 2025'!$D$4:$D$2441,$B46,'февраль 2025'!$J$4:$J$2441,E$1)</f>
        <v>0</v>
      </c>
      <c r="F46" s="182">
        <f>SUMIFS('февраль 2025'!$G$4:$G$2441,'февраль 2025'!$D$4:$D$2441,$B46,'февраль 2025'!$J$4:$J$2441,F$1)</f>
        <v>0</v>
      </c>
      <c r="G46" s="182">
        <f>SUMIFS('февраль 2025'!$G$4:$G$2441,'февраль 2025'!$D$4:$D$2441,$B46,'февраль 2025'!$J$4:$J$2441,G$1)</f>
        <v>0</v>
      </c>
      <c r="H46" s="182">
        <f>SUMIFS('февраль 2025'!$G$4:$G$2441,'февраль 2025'!$D$4:$D$2441,$B46,'февраль 2025'!$J$4:$J$2441,H$1)</f>
        <v>0</v>
      </c>
      <c r="I46" s="182">
        <f>SUMIFS('февраль 2025'!$G$4:$G$2441,'февраль 2025'!$D$4:$D$2441,$B46,'февраль 2025'!$J$4:$J$2441,I$1)</f>
        <v>0</v>
      </c>
      <c r="J46" s="182">
        <f>SUMIFS('февраль 2025'!$G$4:$G$2441,'февраль 2025'!$D$4:$D$2441,$B46,'февраль 2025'!$J$4:$J$2441,J$1)</f>
        <v>0</v>
      </c>
      <c r="K46" s="182">
        <f>SUMIFS('февраль 2025'!$G$4:$G$2441,'февраль 2025'!$D$4:$D$2441,$B46,'февраль 2025'!$J$4:$J$2441,K$1)</f>
        <v>0</v>
      </c>
      <c r="L46" s="182">
        <f>SUMIFS('февраль 2025'!$G$4:$G$2441,'февраль 2025'!$D$4:$D$2441,$B46,'февраль 2025'!$J$4:$J$2441,L$1)</f>
        <v>0</v>
      </c>
      <c r="M46" s="182">
        <f>SUMIFS('февраль 2025'!$G$4:$G$2441,'февраль 2025'!$D$4:$D$2441,$B46,'февраль 2025'!$J$4:$J$2441,M$1)</f>
        <v>0</v>
      </c>
      <c r="N46" s="182">
        <f>SUMIFS('февраль 2025'!$G$4:$G$2441,'февраль 2025'!$D$4:$D$2441,$B46,'февраль 2025'!$J$4:$J$2441,N$1)</f>
        <v>0</v>
      </c>
      <c r="O46" s="182">
        <f>SUMIFS('февраль 2025'!$G$4:$G$2441,'февраль 2025'!$D$4:$D$2441,$B46,'февраль 2025'!$J$4:$J$2441,O$1)</f>
        <v>0</v>
      </c>
      <c r="P46" s="182">
        <f>SUMIFS('февраль 2025'!$G$4:$G$2441,'февраль 2025'!$D$4:$D$2441,$B46,'февраль 2025'!$J$4:$J$2441,P$1)</f>
        <v>0</v>
      </c>
      <c r="Q46" s="182">
        <f>SUMIFS('февраль 2025'!$G$4:$G$2441,'февраль 2025'!$D$4:$D$2441,$B46,'февраль 2025'!$J$4:$J$2441,Q$1)</f>
        <v>0</v>
      </c>
      <c r="R46" s="182">
        <f>SUMIFS('февраль 2025'!$G$4:$G$2441,'февраль 2025'!$D$4:$D$2441,$B46,'февраль 2025'!$J$4:$J$2441,R$1)</f>
        <v>0</v>
      </c>
      <c r="S46" s="182">
        <f>SUMIFS('февраль 2025'!$G$4:$G$2441,'февраль 2025'!$D$4:$D$2441,$B46,'февраль 2025'!$J$4:$J$2441,S$1)</f>
        <v>0</v>
      </c>
      <c r="T46" s="182">
        <f>SUMIFS('февраль 2025'!$G$4:$G$2441,'февраль 2025'!$D$4:$D$2441,$B46,'февраль 2025'!$J$4:$J$2441,T$1)</f>
        <v>0</v>
      </c>
      <c r="U46" s="182">
        <f>SUMIFS('февраль 2025'!$G$4:$G$2441,'февраль 2025'!$D$4:$D$2441,$B46,'февраль 2025'!$J$4:$J$2441,U$1)</f>
        <v>0</v>
      </c>
      <c r="V46" s="182">
        <f>SUMIFS('февраль 2025'!$G$4:$G$2441,'февраль 2025'!$D$4:$D$2441,$B46,'февраль 2025'!$J$4:$J$2441,V$1)</f>
        <v>0</v>
      </c>
      <c r="W46" s="182">
        <f>SUMIFS('февраль 2025'!$G$4:$G$2441,'февраль 2025'!$D$4:$D$2441,$B46,'февраль 2025'!$J$4:$J$2441,W$1)</f>
        <v>0</v>
      </c>
      <c r="X46" s="182">
        <f>SUMIFS('февраль 2025'!$G$4:$G$2441,'февраль 2025'!$D$4:$D$2441,$B46,'февраль 2025'!$J$4:$J$2441,X$1)</f>
        <v>120</v>
      </c>
      <c r="Y46" s="182">
        <f>SUMIFS('февраль 2025'!$G$4:$G$2441,'февраль 2025'!$D$4:$D$2441,$B46,'февраль 2025'!$J$4:$J$2441,Y$1)</f>
        <v>0</v>
      </c>
      <c r="Z46" s="182">
        <f>SUMIFS('февраль 2025'!$G$4:$G$2441,'февраль 2025'!$D$4:$D$2441,$B46,'февраль 2025'!$J$4:$J$2441,Z$1)</f>
        <v>0</v>
      </c>
      <c r="AA46" s="182">
        <f>SUMIFS('февраль 2025'!$G$4:$G$2441,'февраль 2025'!$D$4:$D$2441,$B46,'февраль 2025'!$J$4:$J$2441,AA$1)</f>
        <v>0</v>
      </c>
      <c r="AB46" s="182">
        <f>SUMIFS('февраль 2025'!$G$4:$G$2441,'февраль 2025'!$D$4:$D$2441,$B46,'февраль 2025'!$J$4:$J$2441,AB$1)</f>
        <v>0</v>
      </c>
      <c r="AC46" s="182">
        <f>SUMIFS('февраль 2025'!$G$4:$G$2441,'февраль 2025'!$D$4:$D$2441,$B46,'февраль 2025'!$J$4:$J$2441,AC$1)</f>
        <v>0</v>
      </c>
      <c r="AD46" s="182">
        <f>SUMIFS('февраль 2025'!$G$4:$G$2441,'февраль 2025'!$D$4:$D$2441,$B46,'февраль 2025'!$J$4:$J$2441,AD$1)</f>
        <v>0</v>
      </c>
      <c r="AE46" s="182">
        <f>SUMIFS('февраль 2025'!$G$4:$G$2441,'февраль 2025'!$D$4:$D$2441,$B46,'февраль 2025'!$J$4:$J$2441,AE$1)</f>
        <v>0</v>
      </c>
      <c r="AF46" s="182">
        <f>SUMIFS('февраль 2025'!$G$4:$G$2441,'февраль 2025'!$D$4:$D$2441,$B46,'февраль 2025'!$J$4:$J$2441,AF$1)</f>
        <v>0</v>
      </c>
      <c r="AG46" s="182">
        <f>SUMIFS('февраль 2025'!$G$4:$G$2441,'февраль 2025'!$D$4:$D$2441,$B46,'февраль 2025'!$J$4:$J$2441,AG$1)</f>
        <v>0</v>
      </c>
      <c r="AH46" s="182">
        <f>SUMIFS('февраль 2025'!$G$4:$G$2441,'февраль 2025'!$D$4:$D$2441,$B46,'февраль 2025'!$J$4:$J$2441,AH$1)</f>
        <v>0</v>
      </c>
      <c r="AI46" s="20">
        <f t="shared" si="1"/>
        <v>120</v>
      </c>
    </row>
    <row r="47" spans="2:35" ht="15" customHeight="1" x14ac:dyDescent="0.25">
      <c r="B47" s="135" t="s">
        <v>236</v>
      </c>
      <c r="C47" s="132">
        <v>20</v>
      </c>
      <c r="D47" s="182">
        <f>SUMIFS('февраль 2025'!$G$4:$G$2441,'февраль 2025'!$D$4:$D$2441,$B47,'февраль 2025'!$J$4:$J$2441,D$1)</f>
        <v>0</v>
      </c>
      <c r="E47" s="182">
        <f>SUMIFS('февраль 2025'!$G$4:$G$2441,'февраль 2025'!$D$4:$D$2441,$B47,'февраль 2025'!$J$4:$J$2441,E$1)</f>
        <v>0</v>
      </c>
      <c r="F47" s="182">
        <f>SUMIFS('февраль 2025'!$G$4:$G$2441,'февраль 2025'!$D$4:$D$2441,$B47,'февраль 2025'!$J$4:$J$2441,F$1)</f>
        <v>0</v>
      </c>
      <c r="G47" s="182">
        <f>SUMIFS('февраль 2025'!$G$4:$G$2441,'февраль 2025'!$D$4:$D$2441,$B47,'февраль 2025'!$J$4:$J$2441,G$1)</f>
        <v>0</v>
      </c>
      <c r="H47" s="182">
        <f>SUMIFS('февраль 2025'!$G$4:$G$2441,'февраль 2025'!$D$4:$D$2441,$B47,'февраль 2025'!$J$4:$J$2441,H$1)</f>
        <v>0</v>
      </c>
      <c r="I47" s="182">
        <f>SUMIFS('февраль 2025'!$G$4:$G$2441,'февраль 2025'!$D$4:$D$2441,$B47,'февраль 2025'!$J$4:$J$2441,I$1)</f>
        <v>0</v>
      </c>
      <c r="J47" s="182">
        <f>SUMIFS('февраль 2025'!$G$4:$G$2441,'февраль 2025'!$D$4:$D$2441,$B47,'февраль 2025'!$J$4:$J$2441,J$1)</f>
        <v>0</v>
      </c>
      <c r="K47" s="182">
        <f>SUMIFS('февраль 2025'!$G$4:$G$2441,'февраль 2025'!$D$4:$D$2441,$B47,'февраль 2025'!$J$4:$J$2441,K$1)</f>
        <v>0</v>
      </c>
      <c r="L47" s="182">
        <f>SUMIFS('февраль 2025'!$G$4:$G$2441,'февраль 2025'!$D$4:$D$2441,$B47,'февраль 2025'!$J$4:$J$2441,L$1)</f>
        <v>0</v>
      </c>
      <c r="M47" s="182">
        <f>SUMIFS('февраль 2025'!$G$4:$G$2441,'февраль 2025'!$D$4:$D$2441,$B47,'февраль 2025'!$J$4:$J$2441,M$1)</f>
        <v>0</v>
      </c>
      <c r="N47" s="182">
        <f>SUMIFS('февраль 2025'!$G$4:$G$2441,'февраль 2025'!$D$4:$D$2441,$B47,'февраль 2025'!$J$4:$J$2441,N$1)</f>
        <v>0</v>
      </c>
      <c r="O47" s="182">
        <f>SUMIFS('февраль 2025'!$G$4:$G$2441,'февраль 2025'!$D$4:$D$2441,$B47,'февраль 2025'!$J$4:$J$2441,O$1)</f>
        <v>0</v>
      </c>
      <c r="P47" s="182">
        <f>SUMIFS('февраль 2025'!$G$4:$G$2441,'февраль 2025'!$D$4:$D$2441,$B47,'февраль 2025'!$J$4:$J$2441,P$1)</f>
        <v>0</v>
      </c>
      <c r="Q47" s="182">
        <f>SUMIFS('февраль 2025'!$G$4:$G$2441,'февраль 2025'!$D$4:$D$2441,$B47,'февраль 2025'!$J$4:$J$2441,Q$1)</f>
        <v>0</v>
      </c>
      <c r="R47" s="182">
        <f>SUMIFS('февраль 2025'!$G$4:$G$2441,'февраль 2025'!$D$4:$D$2441,$B47,'февраль 2025'!$J$4:$J$2441,R$1)</f>
        <v>0</v>
      </c>
      <c r="S47" s="182">
        <f>SUMIFS('февраль 2025'!$G$4:$G$2441,'февраль 2025'!$D$4:$D$2441,$B47,'февраль 2025'!$J$4:$J$2441,S$1)</f>
        <v>0</v>
      </c>
      <c r="T47" s="182">
        <f>SUMIFS('февраль 2025'!$G$4:$G$2441,'февраль 2025'!$D$4:$D$2441,$B47,'февраль 2025'!$J$4:$J$2441,T$1)</f>
        <v>0</v>
      </c>
      <c r="U47" s="182">
        <f>SUMIFS('февраль 2025'!$G$4:$G$2441,'февраль 2025'!$D$4:$D$2441,$B47,'февраль 2025'!$J$4:$J$2441,U$1)</f>
        <v>0</v>
      </c>
      <c r="V47" s="182">
        <f>SUMIFS('февраль 2025'!$G$4:$G$2441,'февраль 2025'!$D$4:$D$2441,$B47,'февраль 2025'!$J$4:$J$2441,V$1)</f>
        <v>0</v>
      </c>
      <c r="W47" s="182">
        <f>SUMIFS('февраль 2025'!$G$4:$G$2441,'февраль 2025'!$D$4:$D$2441,$B47,'февраль 2025'!$J$4:$J$2441,W$1)</f>
        <v>0</v>
      </c>
      <c r="X47" s="182">
        <f>SUMIFS('февраль 2025'!$G$4:$G$2441,'февраль 2025'!$D$4:$D$2441,$B47,'февраль 2025'!$J$4:$J$2441,X$1)</f>
        <v>0</v>
      </c>
      <c r="Y47" s="182">
        <f>SUMIFS('февраль 2025'!$G$4:$G$2441,'февраль 2025'!$D$4:$D$2441,$B47,'февраль 2025'!$J$4:$J$2441,Y$1)</f>
        <v>0</v>
      </c>
      <c r="Z47" s="182">
        <f>SUMIFS('февраль 2025'!$G$4:$G$2441,'февраль 2025'!$D$4:$D$2441,$B47,'февраль 2025'!$J$4:$J$2441,Z$1)</f>
        <v>0</v>
      </c>
      <c r="AA47" s="182">
        <f>SUMIFS('февраль 2025'!$G$4:$G$2441,'февраль 2025'!$D$4:$D$2441,$B47,'февраль 2025'!$J$4:$J$2441,AA$1)</f>
        <v>0</v>
      </c>
      <c r="AB47" s="182">
        <f>SUMIFS('февраль 2025'!$G$4:$G$2441,'февраль 2025'!$D$4:$D$2441,$B47,'февраль 2025'!$J$4:$J$2441,AB$1)</f>
        <v>0</v>
      </c>
      <c r="AC47" s="182">
        <f>SUMIFS('февраль 2025'!$G$4:$G$2441,'февраль 2025'!$D$4:$D$2441,$B47,'февраль 2025'!$J$4:$J$2441,AC$1)</f>
        <v>0</v>
      </c>
      <c r="AD47" s="182">
        <f>SUMIFS('февраль 2025'!$G$4:$G$2441,'февраль 2025'!$D$4:$D$2441,$B47,'февраль 2025'!$J$4:$J$2441,AD$1)</f>
        <v>0</v>
      </c>
      <c r="AE47" s="182">
        <f>SUMIFS('февраль 2025'!$G$4:$G$2441,'февраль 2025'!$D$4:$D$2441,$B47,'февраль 2025'!$J$4:$J$2441,AE$1)</f>
        <v>0</v>
      </c>
      <c r="AF47" s="182">
        <f>SUMIFS('февраль 2025'!$G$4:$G$2441,'февраль 2025'!$D$4:$D$2441,$B47,'февраль 2025'!$J$4:$J$2441,AF$1)</f>
        <v>0</v>
      </c>
      <c r="AG47" s="182">
        <f>SUMIFS('февраль 2025'!$G$4:$G$2441,'февраль 2025'!$D$4:$D$2441,$B47,'февраль 2025'!$J$4:$J$2441,AG$1)</f>
        <v>0</v>
      </c>
      <c r="AH47" s="182">
        <f>SUMIFS('февраль 2025'!$G$4:$G$2441,'февраль 2025'!$D$4:$D$2441,$B47,'февраль 2025'!$J$4:$J$2441,AH$1)</f>
        <v>0</v>
      </c>
      <c r="AI47" s="20">
        <f t="shared" si="1"/>
        <v>0</v>
      </c>
    </row>
    <row r="48" spans="2:35" ht="15" customHeight="1" x14ac:dyDescent="0.25">
      <c r="B48" s="131" t="s">
        <v>238</v>
      </c>
      <c r="C48" s="134">
        <v>20</v>
      </c>
      <c r="D48" s="182">
        <f>SUMIFS('февраль 2025'!$G$4:$G$2441,'февраль 2025'!$D$4:$D$2441,$B48,'февраль 2025'!$J$4:$J$2441,D$1)</f>
        <v>0</v>
      </c>
      <c r="E48" s="182">
        <f>SUMIFS('февраль 2025'!$G$4:$G$2441,'февраль 2025'!$D$4:$D$2441,$B48,'февраль 2025'!$J$4:$J$2441,E$1)</f>
        <v>0</v>
      </c>
      <c r="F48" s="182">
        <f>SUMIFS('февраль 2025'!$G$4:$G$2441,'февраль 2025'!$D$4:$D$2441,$B48,'февраль 2025'!$J$4:$J$2441,F$1)</f>
        <v>0</v>
      </c>
      <c r="G48" s="182">
        <f>SUMIFS('февраль 2025'!$G$4:$G$2441,'февраль 2025'!$D$4:$D$2441,$B48,'февраль 2025'!$J$4:$J$2441,G$1)</f>
        <v>0</v>
      </c>
      <c r="H48" s="182">
        <f>SUMIFS('февраль 2025'!$G$4:$G$2441,'февраль 2025'!$D$4:$D$2441,$B48,'февраль 2025'!$J$4:$J$2441,H$1)</f>
        <v>0</v>
      </c>
      <c r="I48" s="182">
        <f>SUMIFS('февраль 2025'!$G$4:$G$2441,'февраль 2025'!$D$4:$D$2441,$B48,'февраль 2025'!$J$4:$J$2441,I$1)</f>
        <v>0</v>
      </c>
      <c r="J48" s="182">
        <f>SUMIFS('февраль 2025'!$G$4:$G$2441,'февраль 2025'!$D$4:$D$2441,$B48,'февраль 2025'!$J$4:$J$2441,J$1)</f>
        <v>0</v>
      </c>
      <c r="K48" s="182">
        <f>SUMIFS('февраль 2025'!$G$4:$G$2441,'февраль 2025'!$D$4:$D$2441,$B48,'февраль 2025'!$J$4:$J$2441,K$1)</f>
        <v>0</v>
      </c>
      <c r="L48" s="182">
        <f>SUMIFS('февраль 2025'!$G$4:$G$2441,'февраль 2025'!$D$4:$D$2441,$B48,'февраль 2025'!$J$4:$J$2441,L$1)</f>
        <v>0</v>
      </c>
      <c r="M48" s="182">
        <f>SUMIFS('февраль 2025'!$G$4:$G$2441,'февраль 2025'!$D$4:$D$2441,$B48,'февраль 2025'!$J$4:$J$2441,M$1)</f>
        <v>0</v>
      </c>
      <c r="N48" s="182">
        <f>SUMIFS('февраль 2025'!$G$4:$G$2441,'февраль 2025'!$D$4:$D$2441,$B48,'февраль 2025'!$J$4:$J$2441,N$1)</f>
        <v>0</v>
      </c>
      <c r="O48" s="182">
        <f>SUMIFS('февраль 2025'!$G$4:$G$2441,'февраль 2025'!$D$4:$D$2441,$B48,'февраль 2025'!$J$4:$J$2441,O$1)</f>
        <v>0</v>
      </c>
      <c r="P48" s="182">
        <f>SUMIFS('февраль 2025'!$G$4:$G$2441,'февраль 2025'!$D$4:$D$2441,$B48,'февраль 2025'!$J$4:$J$2441,P$1)</f>
        <v>0</v>
      </c>
      <c r="Q48" s="182">
        <f>SUMIFS('февраль 2025'!$G$4:$G$2441,'февраль 2025'!$D$4:$D$2441,$B48,'февраль 2025'!$J$4:$J$2441,Q$1)</f>
        <v>0</v>
      </c>
      <c r="R48" s="182">
        <f>SUMIFS('февраль 2025'!$G$4:$G$2441,'февраль 2025'!$D$4:$D$2441,$B48,'февраль 2025'!$J$4:$J$2441,R$1)</f>
        <v>0</v>
      </c>
      <c r="S48" s="182">
        <f>SUMIFS('февраль 2025'!$G$4:$G$2441,'февраль 2025'!$D$4:$D$2441,$B48,'февраль 2025'!$J$4:$J$2441,S$1)</f>
        <v>0</v>
      </c>
      <c r="T48" s="182">
        <f>SUMIFS('февраль 2025'!$G$4:$G$2441,'февраль 2025'!$D$4:$D$2441,$B48,'февраль 2025'!$J$4:$J$2441,T$1)</f>
        <v>0</v>
      </c>
      <c r="U48" s="182">
        <f>SUMIFS('февраль 2025'!$G$4:$G$2441,'февраль 2025'!$D$4:$D$2441,$B48,'февраль 2025'!$J$4:$J$2441,U$1)</f>
        <v>0</v>
      </c>
      <c r="V48" s="182">
        <f>SUMIFS('февраль 2025'!$G$4:$G$2441,'февраль 2025'!$D$4:$D$2441,$B48,'февраль 2025'!$J$4:$J$2441,V$1)</f>
        <v>0</v>
      </c>
      <c r="W48" s="182">
        <f>SUMIFS('февраль 2025'!$G$4:$G$2441,'февраль 2025'!$D$4:$D$2441,$B48,'февраль 2025'!$J$4:$J$2441,W$1)</f>
        <v>0</v>
      </c>
      <c r="X48" s="182">
        <f>SUMIFS('февраль 2025'!$G$4:$G$2441,'февраль 2025'!$D$4:$D$2441,$B48,'февраль 2025'!$J$4:$J$2441,X$1)</f>
        <v>0</v>
      </c>
      <c r="Y48" s="182">
        <f>SUMIFS('февраль 2025'!$G$4:$G$2441,'февраль 2025'!$D$4:$D$2441,$B48,'февраль 2025'!$J$4:$J$2441,Y$1)</f>
        <v>0</v>
      </c>
      <c r="Z48" s="182">
        <f>SUMIFS('февраль 2025'!$G$4:$G$2441,'февраль 2025'!$D$4:$D$2441,$B48,'февраль 2025'!$J$4:$J$2441,Z$1)</f>
        <v>0</v>
      </c>
      <c r="AA48" s="182">
        <f>SUMIFS('февраль 2025'!$G$4:$G$2441,'февраль 2025'!$D$4:$D$2441,$B48,'февраль 2025'!$J$4:$J$2441,AA$1)</f>
        <v>0</v>
      </c>
      <c r="AB48" s="182">
        <f>SUMIFS('февраль 2025'!$G$4:$G$2441,'февраль 2025'!$D$4:$D$2441,$B48,'февраль 2025'!$J$4:$J$2441,AB$1)</f>
        <v>0</v>
      </c>
      <c r="AC48" s="182">
        <f>SUMIFS('февраль 2025'!$G$4:$G$2441,'февраль 2025'!$D$4:$D$2441,$B48,'февраль 2025'!$J$4:$J$2441,AC$1)</f>
        <v>0</v>
      </c>
      <c r="AD48" s="182">
        <f>SUMIFS('февраль 2025'!$G$4:$G$2441,'февраль 2025'!$D$4:$D$2441,$B48,'февраль 2025'!$J$4:$J$2441,AD$1)</f>
        <v>0</v>
      </c>
      <c r="AE48" s="182">
        <f>SUMIFS('февраль 2025'!$G$4:$G$2441,'февраль 2025'!$D$4:$D$2441,$B48,'февраль 2025'!$J$4:$J$2441,AE$1)</f>
        <v>0</v>
      </c>
      <c r="AF48" s="182">
        <f>SUMIFS('февраль 2025'!$G$4:$G$2441,'февраль 2025'!$D$4:$D$2441,$B48,'февраль 2025'!$J$4:$J$2441,AF$1)</f>
        <v>0</v>
      </c>
      <c r="AG48" s="182">
        <f>SUMIFS('февраль 2025'!$G$4:$G$2441,'февраль 2025'!$D$4:$D$2441,$B48,'февраль 2025'!$J$4:$J$2441,AG$1)</f>
        <v>0</v>
      </c>
      <c r="AH48" s="182">
        <f>SUMIFS('февраль 2025'!$G$4:$G$2441,'февраль 2025'!$D$4:$D$2441,$B48,'февраль 2025'!$J$4:$J$2441,AH$1)</f>
        <v>0</v>
      </c>
      <c r="AI48" s="20">
        <f t="shared" si="1"/>
        <v>0</v>
      </c>
    </row>
    <row r="49" spans="2:35" ht="15" customHeight="1" x14ac:dyDescent="0.25">
      <c r="B49" s="131" t="s">
        <v>240</v>
      </c>
      <c r="C49" s="130">
        <v>20</v>
      </c>
      <c r="D49" s="182">
        <f>SUMIFS('февраль 2025'!$G$4:$G$2441,'февраль 2025'!$D$4:$D$2441,$B49,'февраль 2025'!$J$4:$J$2441,D$1)</f>
        <v>0</v>
      </c>
      <c r="E49" s="182">
        <f>SUMIFS('февраль 2025'!$G$4:$G$2441,'февраль 2025'!$D$4:$D$2441,$B49,'февраль 2025'!$J$4:$J$2441,E$1)</f>
        <v>0</v>
      </c>
      <c r="F49" s="182">
        <f>SUMIFS('февраль 2025'!$G$4:$G$2441,'февраль 2025'!$D$4:$D$2441,$B49,'февраль 2025'!$J$4:$J$2441,F$1)</f>
        <v>0</v>
      </c>
      <c r="G49" s="182">
        <f>SUMIFS('февраль 2025'!$G$4:$G$2441,'февраль 2025'!$D$4:$D$2441,$B49,'февраль 2025'!$J$4:$J$2441,G$1)</f>
        <v>0</v>
      </c>
      <c r="H49" s="182">
        <f>SUMIFS('февраль 2025'!$G$4:$G$2441,'февраль 2025'!$D$4:$D$2441,$B49,'февраль 2025'!$J$4:$J$2441,H$1)</f>
        <v>0</v>
      </c>
      <c r="I49" s="182">
        <f>SUMIFS('февраль 2025'!$G$4:$G$2441,'февраль 2025'!$D$4:$D$2441,$B49,'февраль 2025'!$J$4:$J$2441,I$1)</f>
        <v>0</v>
      </c>
      <c r="J49" s="182">
        <f>SUMIFS('февраль 2025'!$G$4:$G$2441,'февраль 2025'!$D$4:$D$2441,$B49,'февраль 2025'!$J$4:$J$2441,J$1)</f>
        <v>0</v>
      </c>
      <c r="K49" s="182">
        <f>SUMIFS('февраль 2025'!$G$4:$G$2441,'февраль 2025'!$D$4:$D$2441,$B49,'февраль 2025'!$J$4:$J$2441,K$1)</f>
        <v>0</v>
      </c>
      <c r="L49" s="182">
        <f>SUMIFS('февраль 2025'!$G$4:$G$2441,'февраль 2025'!$D$4:$D$2441,$B49,'февраль 2025'!$J$4:$J$2441,L$1)</f>
        <v>0</v>
      </c>
      <c r="M49" s="182">
        <f>SUMIFS('февраль 2025'!$G$4:$G$2441,'февраль 2025'!$D$4:$D$2441,$B49,'февраль 2025'!$J$4:$J$2441,M$1)</f>
        <v>0</v>
      </c>
      <c r="N49" s="182">
        <f>SUMIFS('февраль 2025'!$G$4:$G$2441,'февраль 2025'!$D$4:$D$2441,$B49,'февраль 2025'!$J$4:$J$2441,N$1)</f>
        <v>0</v>
      </c>
      <c r="O49" s="182">
        <f>SUMIFS('февраль 2025'!$G$4:$G$2441,'февраль 2025'!$D$4:$D$2441,$B49,'февраль 2025'!$J$4:$J$2441,O$1)</f>
        <v>0</v>
      </c>
      <c r="P49" s="182">
        <f>SUMIFS('февраль 2025'!$G$4:$G$2441,'февраль 2025'!$D$4:$D$2441,$B49,'февраль 2025'!$J$4:$J$2441,P$1)</f>
        <v>0</v>
      </c>
      <c r="Q49" s="182">
        <f>SUMIFS('февраль 2025'!$G$4:$G$2441,'февраль 2025'!$D$4:$D$2441,$B49,'февраль 2025'!$J$4:$J$2441,Q$1)</f>
        <v>0</v>
      </c>
      <c r="R49" s="182">
        <f>SUMIFS('февраль 2025'!$G$4:$G$2441,'февраль 2025'!$D$4:$D$2441,$B49,'февраль 2025'!$J$4:$J$2441,R$1)</f>
        <v>0</v>
      </c>
      <c r="S49" s="182">
        <f>SUMIFS('февраль 2025'!$G$4:$G$2441,'февраль 2025'!$D$4:$D$2441,$B49,'февраль 2025'!$J$4:$J$2441,S$1)</f>
        <v>0</v>
      </c>
      <c r="T49" s="182">
        <f>SUMIFS('февраль 2025'!$G$4:$G$2441,'февраль 2025'!$D$4:$D$2441,$B49,'февраль 2025'!$J$4:$J$2441,T$1)</f>
        <v>0</v>
      </c>
      <c r="U49" s="182">
        <f>SUMIFS('февраль 2025'!$G$4:$G$2441,'февраль 2025'!$D$4:$D$2441,$B49,'февраль 2025'!$J$4:$J$2441,U$1)</f>
        <v>0</v>
      </c>
      <c r="V49" s="182">
        <f>SUMIFS('февраль 2025'!$G$4:$G$2441,'февраль 2025'!$D$4:$D$2441,$B49,'февраль 2025'!$J$4:$J$2441,V$1)</f>
        <v>0</v>
      </c>
      <c r="W49" s="182">
        <f>SUMIFS('февраль 2025'!$G$4:$G$2441,'февраль 2025'!$D$4:$D$2441,$B49,'февраль 2025'!$J$4:$J$2441,W$1)</f>
        <v>0</v>
      </c>
      <c r="X49" s="182">
        <f>SUMIFS('февраль 2025'!$G$4:$G$2441,'февраль 2025'!$D$4:$D$2441,$B49,'февраль 2025'!$J$4:$J$2441,X$1)</f>
        <v>0</v>
      </c>
      <c r="Y49" s="182">
        <f>SUMIFS('февраль 2025'!$G$4:$G$2441,'февраль 2025'!$D$4:$D$2441,$B49,'февраль 2025'!$J$4:$J$2441,Y$1)</f>
        <v>0</v>
      </c>
      <c r="Z49" s="182">
        <f>SUMIFS('февраль 2025'!$G$4:$G$2441,'февраль 2025'!$D$4:$D$2441,$B49,'февраль 2025'!$J$4:$J$2441,Z$1)</f>
        <v>0</v>
      </c>
      <c r="AA49" s="182">
        <f>SUMIFS('февраль 2025'!$G$4:$G$2441,'февраль 2025'!$D$4:$D$2441,$B49,'февраль 2025'!$J$4:$J$2441,AA$1)</f>
        <v>0</v>
      </c>
      <c r="AB49" s="182">
        <f>SUMIFS('февраль 2025'!$G$4:$G$2441,'февраль 2025'!$D$4:$D$2441,$B49,'февраль 2025'!$J$4:$J$2441,AB$1)</f>
        <v>0</v>
      </c>
      <c r="AC49" s="182">
        <f>SUMIFS('февраль 2025'!$G$4:$G$2441,'февраль 2025'!$D$4:$D$2441,$B49,'февраль 2025'!$J$4:$J$2441,AC$1)</f>
        <v>0</v>
      </c>
      <c r="AD49" s="182">
        <f>SUMIFS('февраль 2025'!$G$4:$G$2441,'февраль 2025'!$D$4:$D$2441,$B49,'февраль 2025'!$J$4:$J$2441,AD$1)</f>
        <v>0</v>
      </c>
      <c r="AE49" s="182">
        <f>SUMIFS('февраль 2025'!$G$4:$G$2441,'февраль 2025'!$D$4:$D$2441,$B49,'февраль 2025'!$J$4:$J$2441,AE$1)</f>
        <v>0</v>
      </c>
      <c r="AF49" s="182">
        <f>SUMIFS('февраль 2025'!$G$4:$G$2441,'февраль 2025'!$D$4:$D$2441,$B49,'февраль 2025'!$J$4:$J$2441,AF$1)</f>
        <v>0</v>
      </c>
      <c r="AG49" s="182">
        <f>SUMIFS('февраль 2025'!$G$4:$G$2441,'февраль 2025'!$D$4:$D$2441,$B49,'февраль 2025'!$J$4:$J$2441,AG$1)</f>
        <v>0</v>
      </c>
      <c r="AH49" s="182">
        <f>SUMIFS('февраль 2025'!$G$4:$G$2441,'февраль 2025'!$D$4:$D$2441,$B49,'февраль 2025'!$J$4:$J$2441,AH$1)</f>
        <v>0</v>
      </c>
      <c r="AI49" s="20">
        <f t="shared" si="1"/>
        <v>0</v>
      </c>
    </row>
    <row r="50" spans="2:35" ht="15" customHeight="1" x14ac:dyDescent="0.25">
      <c r="B50" s="131" t="s">
        <v>242</v>
      </c>
      <c r="C50" s="132">
        <v>20</v>
      </c>
      <c r="D50" s="182">
        <f>SUMIFS('февраль 2025'!$G$4:$G$2441,'февраль 2025'!$D$4:$D$2441,$B50,'февраль 2025'!$J$4:$J$2441,D$1)</f>
        <v>0</v>
      </c>
      <c r="E50" s="182">
        <f>SUMIFS('февраль 2025'!$G$4:$G$2441,'февраль 2025'!$D$4:$D$2441,$B50,'февраль 2025'!$J$4:$J$2441,E$1)</f>
        <v>0</v>
      </c>
      <c r="F50" s="182">
        <f>SUMIFS('февраль 2025'!$G$4:$G$2441,'февраль 2025'!$D$4:$D$2441,$B50,'февраль 2025'!$J$4:$J$2441,F$1)</f>
        <v>0</v>
      </c>
      <c r="G50" s="182">
        <f>SUMIFS('февраль 2025'!$G$4:$G$2441,'февраль 2025'!$D$4:$D$2441,$B50,'февраль 2025'!$J$4:$J$2441,G$1)</f>
        <v>0</v>
      </c>
      <c r="H50" s="182">
        <f>SUMIFS('февраль 2025'!$G$4:$G$2441,'февраль 2025'!$D$4:$D$2441,$B50,'февраль 2025'!$J$4:$J$2441,H$1)</f>
        <v>0</v>
      </c>
      <c r="I50" s="182">
        <f>SUMIFS('февраль 2025'!$G$4:$G$2441,'февраль 2025'!$D$4:$D$2441,$B50,'февраль 2025'!$J$4:$J$2441,I$1)</f>
        <v>0</v>
      </c>
      <c r="J50" s="182">
        <f>SUMIFS('февраль 2025'!$G$4:$G$2441,'февраль 2025'!$D$4:$D$2441,$B50,'февраль 2025'!$J$4:$J$2441,J$1)</f>
        <v>0</v>
      </c>
      <c r="K50" s="182">
        <f>SUMIFS('февраль 2025'!$G$4:$G$2441,'февраль 2025'!$D$4:$D$2441,$B50,'февраль 2025'!$J$4:$J$2441,K$1)</f>
        <v>0</v>
      </c>
      <c r="L50" s="182">
        <f>SUMIFS('февраль 2025'!$G$4:$G$2441,'февраль 2025'!$D$4:$D$2441,$B50,'февраль 2025'!$J$4:$J$2441,L$1)</f>
        <v>0</v>
      </c>
      <c r="M50" s="182">
        <f>SUMIFS('февраль 2025'!$G$4:$G$2441,'февраль 2025'!$D$4:$D$2441,$B50,'февраль 2025'!$J$4:$J$2441,M$1)</f>
        <v>0</v>
      </c>
      <c r="N50" s="182">
        <f>SUMIFS('февраль 2025'!$G$4:$G$2441,'февраль 2025'!$D$4:$D$2441,$B50,'февраль 2025'!$J$4:$J$2441,N$1)</f>
        <v>0</v>
      </c>
      <c r="O50" s="182">
        <f>SUMIFS('февраль 2025'!$G$4:$G$2441,'февраль 2025'!$D$4:$D$2441,$B50,'февраль 2025'!$J$4:$J$2441,O$1)</f>
        <v>0</v>
      </c>
      <c r="P50" s="182">
        <f>SUMIFS('февраль 2025'!$G$4:$G$2441,'февраль 2025'!$D$4:$D$2441,$B50,'февраль 2025'!$J$4:$J$2441,P$1)</f>
        <v>0</v>
      </c>
      <c r="Q50" s="182">
        <f>SUMIFS('февраль 2025'!$G$4:$G$2441,'февраль 2025'!$D$4:$D$2441,$B50,'февраль 2025'!$J$4:$J$2441,Q$1)</f>
        <v>0</v>
      </c>
      <c r="R50" s="182">
        <f>SUMIFS('февраль 2025'!$G$4:$G$2441,'февраль 2025'!$D$4:$D$2441,$B50,'февраль 2025'!$J$4:$J$2441,R$1)</f>
        <v>0</v>
      </c>
      <c r="S50" s="182">
        <f>SUMIFS('февраль 2025'!$G$4:$G$2441,'февраль 2025'!$D$4:$D$2441,$B50,'февраль 2025'!$J$4:$J$2441,S$1)</f>
        <v>0</v>
      </c>
      <c r="T50" s="182">
        <f>SUMIFS('февраль 2025'!$G$4:$G$2441,'февраль 2025'!$D$4:$D$2441,$B50,'февраль 2025'!$J$4:$J$2441,T$1)</f>
        <v>0</v>
      </c>
      <c r="U50" s="182">
        <f>SUMIFS('февраль 2025'!$G$4:$G$2441,'февраль 2025'!$D$4:$D$2441,$B50,'февраль 2025'!$J$4:$J$2441,U$1)</f>
        <v>0</v>
      </c>
      <c r="V50" s="182">
        <f>SUMIFS('февраль 2025'!$G$4:$G$2441,'февраль 2025'!$D$4:$D$2441,$B50,'февраль 2025'!$J$4:$J$2441,V$1)</f>
        <v>0</v>
      </c>
      <c r="W50" s="182">
        <f>SUMIFS('февраль 2025'!$G$4:$G$2441,'февраль 2025'!$D$4:$D$2441,$B50,'февраль 2025'!$J$4:$J$2441,W$1)</f>
        <v>0</v>
      </c>
      <c r="X50" s="182">
        <f>SUMIFS('февраль 2025'!$G$4:$G$2441,'февраль 2025'!$D$4:$D$2441,$B50,'февраль 2025'!$J$4:$J$2441,X$1)</f>
        <v>0</v>
      </c>
      <c r="Y50" s="182">
        <f>SUMIFS('февраль 2025'!$G$4:$G$2441,'февраль 2025'!$D$4:$D$2441,$B50,'февраль 2025'!$J$4:$J$2441,Y$1)</f>
        <v>0</v>
      </c>
      <c r="Z50" s="182">
        <f>SUMIFS('февраль 2025'!$G$4:$G$2441,'февраль 2025'!$D$4:$D$2441,$B50,'февраль 2025'!$J$4:$J$2441,Z$1)</f>
        <v>0</v>
      </c>
      <c r="AA50" s="182">
        <f>SUMIFS('февраль 2025'!$G$4:$G$2441,'февраль 2025'!$D$4:$D$2441,$B50,'февраль 2025'!$J$4:$J$2441,AA$1)</f>
        <v>0</v>
      </c>
      <c r="AB50" s="182">
        <f>SUMIFS('февраль 2025'!$G$4:$G$2441,'февраль 2025'!$D$4:$D$2441,$B50,'февраль 2025'!$J$4:$J$2441,AB$1)</f>
        <v>0</v>
      </c>
      <c r="AC50" s="182">
        <f>SUMIFS('февраль 2025'!$G$4:$G$2441,'февраль 2025'!$D$4:$D$2441,$B50,'февраль 2025'!$J$4:$J$2441,AC$1)</f>
        <v>0</v>
      </c>
      <c r="AD50" s="182">
        <f>SUMIFS('февраль 2025'!$G$4:$G$2441,'февраль 2025'!$D$4:$D$2441,$B50,'февраль 2025'!$J$4:$J$2441,AD$1)</f>
        <v>0</v>
      </c>
      <c r="AE50" s="182">
        <f>SUMIFS('февраль 2025'!$G$4:$G$2441,'февраль 2025'!$D$4:$D$2441,$B50,'февраль 2025'!$J$4:$J$2441,AE$1)</f>
        <v>0</v>
      </c>
      <c r="AF50" s="182">
        <f>SUMIFS('февраль 2025'!$G$4:$G$2441,'февраль 2025'!$D$4:$D$2441,$B50,'февраль 2025'!$J$4:$J$2441,AF$1)</f>
        <v>0</v>
      </c>
      <c r="AG50" s="182">
        <f>SUMIFS('февраль 2025'!$G$4:$G$2441,'февраль 2025'!$D$4:$D$2441,$B50,'февраль 2025'!$J$4:$J$2441,AG$1)</f>
        <v>0</v>
      </c>
      <c r="AH50" s="182">
        <f>SUMIFS('февраль 2025'!$G$4:$G$2441,'февраль 2025'!$D$4:$D$2441,$B50,'февраль 2025'!$J$4:$J$2441,AH$1)</f>
        <v>0</v>
      </c>
      <c r="AI50" s="20">
        <f t="shared" si="1"/>
        <v>0</v>
      </c>
    </row>
    <row r="51" spans="2:35" ht="15" customHeight="1" x14ac:dyDescent="0.25">
      <c r="B51" s="131" t="s">
        <v>244</v>
      </c>
      <c r="C51" s="132">
        <v>14</v>
      </c>
      <c r="D51" s="182">
        <f>SUMIFS('февраль 2025'!$G$4:$G$2441,'февраль 2025'!$D$4:$D$2441,$B51,'февраль 2025'!$J$4:$J$2441,D$1)</f>
        <v>0</v>
      </c>
      <c r="E51" s="182">
        <f>SUMIFS('февраль 2025'!$G$4:$G$2441,'февраль 2025'!$D$4:$D$2441,$B51,'февраль 2025'!$J$4:$J$2441,E$1)</f>
        <v>0</v>
      </c>
      <c r="F51" s="182">
        <f>SUMIFS('февраль 2025'!$G$4:$G$2441,'февраль 2025'!$D$4:$D$2441,$B51,'февраль 2025'!$J$4:$J$2441,F$1)</f>
        <v>0</v>
      </c>
      <c r="G51" s="182">
        <f>SUMIFS('февраль 2025'!$G$4:$G$2441,'февраль 2025'!$D$4:$D$2441,$B51,'февраль 2025'!$J$4:$J$2441,G$1)</f>
        <v>0</v>
      </c>
      <c r="H51" s="182">
        <f>SUMIFS('февраль 2025'!$G$4:$G$2441,'февраль 2025'!$D$4:$D$2441,$B51,'февраль 2025'!$J$4:$J$2441,H$1)</f>
        <v>0</v>
      </c>
      <c r="I51" s="182">
        <f>SUMIFS('февраль 2025'!$G$4:$G$2441,'февраль 2025'!$D$4:$D$2441,$B51,'февраль 2025'!$J$4:$J$2441,I$1)</f>
        <v>0</v>
      </c>
      <c r="J51" s="182">
        <f>SUMIFS('февраль 2025'!$G$4:$G$2441,'февраль 2025'!$D$4:$D$2441,$B51,'февраль 2025'!$J$4:$J$2441,J$1)</f>
        <v>0</v>
      </c>
      <c r="K51" s="182">
        <f>SUMIFS('февраль 2025'!$G$4:$G$2441,'февраль 2025'!$D$4:$D$2441,$B51,'февраль 2025'!$J$4:$J$2441,K$1)</f>
        <v>0</v>
      </c>
      <c r="L51" s="182">
        <f>SUMIFS('февраль 2025'!$G$4:$G$2441,'февраль 2025'!$D$4:$D$2441,$B51,'февраль 2025'!$J$4:$J$2441,L$1)</f>
        <v>0</v>
      </c>
      <c r="M51" s="182">
        <f>SUMIFS('февраль 2025'!$G$4:$G$2441,'февраль 2025'!$D$4:$D$2441,$B51,'февраль 2025'!$J$4:$J$2441,M$1)</f>
        <v>0</v>
      </c>
      <c r="N51" s="182">
        <f>SUMIFS('февраль 2025'!$G$4:$G$2441,'февраль 2025'!$D$4:$D$2441,$B51,'февраль 2025'!$J$4:$J$2441,N$1)</f>
        <v>0</v>
      </c>
      <c r="O51" s="182">
        <f>SUMIFS('февраль 2025'!$G$4:$G$2441,'февраль 2025'!$D$4:$D$2441,$B51,'февраль 2025'!$J$4:$J$2441,O$1)</f>
        <v>0</v>
      </c>
      <c r="P51" s="182">
        <f>SUMIFS('февраль 2025'!$G$4:$G$2441,'февраль 2025'!$D$4:$D$2441,$B51,'февраль 2025'!$J$4:$J$2441,P$1)</f>
        <v>0</v>
      </c>
      <c r="Q51" s="182">
        <f>SUMIFS('февраль 2025'!$G$4:$G$2441,'февраль 2025'!$D$4:$D$2441,$B51,'февраль 2025'!$J$4:$J$2441,Q$1)</f>
        <v>0</v>
      </c>
      <c r="R51" s="182">
        <f>SUMIFS('февраль 2025'!$G$4:$G$2441,'февраль 2025'!$D$4:$D$2441,$B51,'февраль 2025'!$J$4:$J$2441,R$1)</f>
        <v>0</v>
      </c>
      <c r="S51" s="182">
        <f>SUMIFS('февраль 2025'!$G$4:$G$2441,'февраль 2025'!$D$4:$D$2441,$B51,'февраль 2025'!$J$4:$J$2441,S$1)</f>
        <v>0</v>
      </c>
      <c r="T51" s="182">
        <f>SUMIFS('февраль 2025'!$G$4:$G$2441,'февраль 2025'!$D$4:$D$2441,$B51,'февраль 2025'!$J$4:$J$2441,T$1)</f>
        <v>0</v>
      </c>
      <c r="U51" s="182">
        <f>SUMIFS('февраль 2025'!$G$4:$G$2441,'февраль 2025'!$D$4:$D$2441,$B51,'февраль 2025'!$J$4:$J$2441,U$1)</f>
        <v>0</v>
      </c>
      <c r="V51" s="182">
        <f>SUMIFS('февраль 2025'!$G$4:$G$2441,'февраль 2025'!$D$4:$D$2441,$B51,'февраль 2025'!$J$4:$J$2441,V$1)</f>
        <v>0</v>
      </c>
      <c r="W51" s="182">
        <f>SUMIFS('февраль 2025'!$G$4:$G$2441,'февраль 2025'!$D$4:$D$2441,$B51,'февраль 2025'!$J$4:$J$2441,W$1)</f>
        <v>0</v>
      </c>
      <c r="X51" s="182">
        <f>SUMIFS('февраль 2025'!$G$4:$G$2441,'февраль 2025'!$D$4:$D$2441,$B51,'февраль 2025'!$J$4:$J$2441,X$1)</f>
        <v>0</v>
      </c>
      <c r="Y51" s="182">
        <f>SUMIFS('февраль 2025'!$G$4:$G$2441,'февраль 2025'!$D$4:$D$2441,$B51,'февраль 2025'!$J$4:$J$2441,Y$1)</f>
        <v>0</v>
      </c>
      <c r="Z51" s="182">
        <f>SUMIFS('февраль 2025'!$G$4:$G$2441,'февраль 2025'!$D$4:$D$2441,$B51,'февраль 2025'!$J$4:$J$2441,Z$1)</f>
        <v>0</v>
      </c>
      <c r="AA51" s="182">
        <f>SUMIFS('февраль 2025'!$G$4:$G$2441,'февраль 2025'!$D$4:$D$2441,$B51,'февраль 2025'!$J$4:$J$2441,AA$1)</f>
        <v>0</v>
      </c>
      <c r="AB51" s="182">
        <f>SUMIFS('февраль 2025'!$G$4:$G$2441,'февраль 2025'!$D$4:$D$2441,$B51,'февраль 2025'!$J$4:$J$2441,AB$1)</f>
        <v>0</v>
      </c>
      <c r="AC51" s="182">
        <f>SUMIFS('февраль 2025'!$G$4:$G$2441,'февраль 2025'!$D$4:$D$2441,$B51,'февраль 2025'!$J$4:$J$2441,AC$1)</f>
        <v>0</v>
      </c>
      <c r="AD51" s="182">
        <f>SUMIFS('февраль 2025'!$G$4:$G$2441,'февраль 2025'!$D$4:$D$2441,$B51,'февраль 2025'!$J$4:$J$2441,AD$1)</f>
        <v>0</v>
      </c>
      <c r="AE51" s="182">
        <f>SUMIFS('февраль 2025'!$G$4:$G$2441,'февраль 2025'!$D$4:$D$2441,$B51,'февраль 2025'!$J$4:$J$2441,AE$1)</f>
        <v>0</v>
      </c>
      <c r="AF51" s="182">
        <f>SUMIFS('февраль 2025'!$G$4:$G$2441,'февраль 2025'!$D$4:$D$2441,$B51,'февраль 2025'!$J$4:$J$2441,AF$1)</f>
        <v>0</v>
      </c>
      <c r="AG51" s="182">
        <f>SUMIFS('февраль 2025'!$G$4:$G$2441,'февраль 2025'!$D$4:$D$2441,$B51,'февраль 2025'!$J$4:$J$2441,AG$1)</f>
        <v>0</v>
      </c>
      <c r="AH51" s="182">
        <f>SUMIFS('февраль 2025'!$G$4:$G$2441,'февраль 2025'!$D$4:$D$2441,$B51,'февраль 2025'!$J$4:$J$2441,AH$1)</f>
        <v>0</v>
      </c>
      <c r="AI51" s="20">
        <f t="shared" si="1"/>
        <v>0</v>
      </c>
    </row>
    <row r="52" spans="2:35" ht="15" customHeight="1" x14ac:dyDescent="0.25">
      <c r="B52" s="131" t="s">
        <v>246</v>
      </c>
      <c r="C52" s="132">
        <v>25</v>
      </c>
      <c r="D52" s="182">
        <f>SUMIFS('февраль 2025'!$G$4:$G$2441,'февраль 2025'!$D$4:$D$2441,$B52,'февраль 2025'!$J$4:$J$2441,D$1)</f>
        <v>0</v>
      </c>
      <c r="E52" s="182">
        <f>SUMIFS('февраль 2025'!$G$4:$G$2441,'февраль 2025'!$D$4:$D$2441,$B52,'февраль 2025'!$J$4:$J$2441,E$1)</f>
        <v>0</v>
      </c>
      <c r="F52" s="182">
        <f>SUMIFS('февраль 2025'!$G$4:$G$2441,'февраль 2025'!$D$4:$D$2441,$B52,'февраль 2025'!$J$4:$J$2441,F$1)</f>
        <v>0</v>
      </c>
      <c r="G52" s="182">
        <f>SUMIFS('февраль 2025'!$G$4:$G$2441,'февраль 2025'!$D$4:$D$2441,$B52,'февраль 2025'!$J$4:$J$2441,G$1)</f>
        <v>0</v>
      </c>
      <c r="H52" s="182">
        <f>SUMIFS('февраль 2025'!$G$4:$G$2441,'февраль 2025'!$D$4:$D$2441,$B52,'февраль 2025'!$J$4:$J$2441,H$1)</f>
        <v>0</v>
      </c>
      <c r="I52" s="182">
        <f>SUMIFS('февраль 2025'!$G$4:$G$2441,'февраль 2025'!$D$4:$D$2441,$B52,'февраль 2025'!$J$4:$J$2441,I$1)</f>
        <v>0</v>
      </c>
      <c r="J52" s="182">
        <f>SUMIFS('февраль 2025'!$G$4:$G$2441,'февраль 2025'!$D$4:$D$2441,$B52,'февраль 2025'!$J$4:$J$2441,J$1)</f>
        <v>0</v>
      </c>
      <c r="K52" s="182">
        <f>SUMIFS('февраль 2025'!$G$4:$G$2441,'февраль 2025'!$D$4:$D$2441,$B52,'февраль 2025'!$J$4:$J$2441,K$1)</f>
        <v>0</v>
      </c>
      <c r="L52" s="182">
        <f>SUMIFS('февраль 2025'!$G$4:$G$2441,'февраль 2025'!$D$4:$D$2441,$B52,'февраль 2025'!$J$4:$J$2441,L$1)</f>
        <v>0</v>
      </c>
      <c r="M52" s="182">
        <f>SUMIFS('февраль 2025'!$G$4:$G$2441,'февраль 2025'!$D$4:$D$2441,$B52,'февраль 2025'!$J$4:$J$2441,M$1)</f>
        <v>0</v>
      </c>
      <c r="N52" s="182">
        <f>SUMIFS('февраль 2025'!$G$4:$G$2441,'февраль 2025'!$D$4:$D$2441,$B52,'февраль 2025'!$J$4:$J$2441,N$1)</f>
        <v>0</v>
      </c>
      <c r="O52" s="182">
        <f>SUMIFS('февраль 2025'!$G$4:$G$2441,'февраль 2025'!$D$4:$D$2441,$B52,'февраль 2025'!$J$4:$J$2441,O$1)</f>
        <v>0</v>
      </c>
      <c r="P52" s="182">
        <f>SUMIFS('февраль 2025'!$G$4:$G$2441,'февраль 2025'!$D$4:$D$2441,$B52,'февраль 2025'!$J$4:$J$2441,P$1)</f>
        <v>0</v>
      </c>
      <c r="Q52" s="182">
        <f>SUMIFS('февраль 2025'!$G$4:$G$2441,'февраль 2025'!$D$4:$D$2441,$B52,'февраль 2025'!$J$4:$J$2441,Q$1)</f>
        <v>0</v>
      </c>
      <c r="R52" s="182">
        <f>SUMIFS('февраль 2025'!$G$4:$G$2441,'февраль 2025'!$D$4:$D$2441,$B52,'февраль 2025'!$J$4:$J$2441,R$1)</f>
        <v>0</v>
      </c>
      <c r="S52" s="182">
        <f>SUMIFS('февраль 2025'!$G$4:$G$2441,'февраль 2025'!$D$4:$D$2441,$B52,'февраль 2025'!$J$4:$J$2441,S$1)</f>
        <v>0</v>
      </c>
      <c r="T52" s="182">
        <f>SUMIFS('февраль 2025'!$G$4:$G$2441,'февраль 2025'!$D$4:$D$2441,$B52,'февраль 2025'!$J$4:$J$2441,T$1)</f>
        <v>0</v>
      </c>
      <c r="U52" s="182">
        <f>SUMIFS('февраль 2025'!$G$4:$G$2441,'февраль 2025'!$D$4:$D$2441,$B52,'февраль 2025'!$J$4:$J$2441,U$1)</f>
        <v>0</v>
      </c>
      <c r="V52" s="182">
        <f>SUMIFS('февраль 2025'!$G$4:$G$2441,'февраль 2025'!$D$4:$D$2441,$B52,'февраль 2025'!$J$4:$J$2441,V$1)</f>
        <v>0</v>
      </c>
      <c r="W52" s="182">
        <f>SUMIFS('февраль 2025'!$G$4:$G$2441,'февраль 2025'!$D$4:$D$2441,$B52,'февраль 2025'!$J$4:$J$2441,W$1)</f>
        <v>0</v>
      </c>
      <c r="X52" s="182">
        <f>SUMIFS('февраль 2025'!$G$4:$G$2441,'февраль 2025'!$D$4:$D$2441,$B52,'февраль 2025'!$J$4:$J$2441,X$1)</f>
        <v>0</v>
      </c>
      <c r="Y52" s="182">
        <f>SUMIFS('февраль 2025'!$G$4:$G$2441,'февраль 2025'!$D$4:$D$2441,$B52,'февраль 2025'!$J$4:$J$2441,Y$1)</f>
        <v>0</v>
      </c>
      <c r="Z52" s="182">
        <f>SUMIFS('февраль 2025'!$G$4:$G$2441,'февраль 2025'!$D$4:$D$2441,$B52,'февраль 2025'!$J$4:$J$2441,Z$1)</f>
        <v>0</v>
      </c>
      <c r="AA52" s="182">
        <f>SUMIFS('февраль 2025'!$G$4:$G$2441,'февраль 2025'!$D$4:$D$2441,$B52,'февраль 2025'!$J$4:$J$2441,AA$1)</f>
        <v>0</v>
      </c>
      <c r="AB52" s="182">
        <f>SUMIFS('февраль 2025'!$G$4:$G$2441,'февраль 2025'!$D$4:$D$2441,$B52,'февраль 2025'!$J$4:$J$2441,AB$1)</f>
        <v>0</v>
      </c>
      <c r="AC52" s="182">
        <f>SUMIFS('февраль 2025'!$G$4:$G$2441,'февраль 2025'!$D$4:$D$2441,$B52,'февраль 2025'!$J$4:$J$2441,AC$1)</f>
        <v>0</v>
      </c>
      <c r="AD52" s="182">
        <f>SUMIFS('февраль 2025'!$G$4:$G$2441,'февраль 2025'!$D$4:$D$2441,$B52,'февраль 2025'!$J$4:$J$2441,AD$1)</f>
        <v>0</v>
      </c>
      <c r="AE52" s="182">
        <f>SUMIFS('февраль 2025'!$G$4:$G$2441,'февраль 2025'!$D$4:$D$2441,$B52,'февраль 2025'!$J$4:$J$2441,AE$1)</f>
        <v>0</v>
      </c>
      <c r="AF52" s="182">
        <f>SUMIFS('февраль 2025'!$G$4:$G$2441,'февраль 2025'!$D$4:$D$2441,$B52,'февраль 2025'!$J$4:$J$2441,AF$1)</f>
        <v>0</v>
      </c>
      <c r="AG52" s="182">
        <f>SUMIFS('февраль 2025'!$G$4:$G$2441,'февраль 2025'!$D$4:$D$2441,$B52,'февраль 2025'!$J$4:$J$2441,AG$1)</f>
        <v>0</v>
      </c>
      <c r="AH52" s="182">
        <f>SUMIFS('февраль 2025'!$G$4:$G$2441,'февраль 2025'!$D$4:$D$2441,$B52,'февраль 2025'!$J$4:$J$2441,AH$1)</f>
        <v>0</v>
      </c>
      <c r="AI52" s="20">
        <f t="shared" si="1"/>
        <v>0</v>
      </c>
    </row>
    <row r="53" spans="2:35" ht="15" customHeight="1" x14ac:dyDescent="0.25">
      <c r="B53" s="131" t="s">
        <v>252</v>
      </c>
      <c r="C53" s="132">
        <v>20</v>
      </c>
      <c r="D53" s="182">
        <f>SUMIFS('февраль 2025'!$G$4:$G$2441,'февраль 2025'!$D$4:$D$2441,$B53,'февраль 2025'!$J$4:$J$2441,D$1)</f>
        <v>0</v>
      </c>
      <c r="E53" s="182">
        <f>SUMIFS('февраль 2025'!$G$4:$G$2441,'февраль 2025'!$D$4:$D$2441,$B53,'февраль 2025'!$J$4:$J$2441,E$1)</f>
        <v>0</v>
      </c>
      <c r="F53" s="182">
        <f>SUMIFS('февраль 2025'!$G$4:$G$2441,'февраль 2025'!$D$4:$D$2441,$B53,'февраль 2025'!$J$4:$J$2441,F$1)</f>
        <v>0</v>
      </c>
      <c r="G53" s="182">
        <f>SUMIFS('февраль 2025'!$G$4:$G$2441,'февраль 2025'!$D$4:$D$2441,$B53,'февраль 2025'!$J$4:$J$2441,G$1)</f>
        <v>0</v>
      </c>
      <c r="H53" s="182">
        <f>SUMIFS('февраль 2025'!$G$4:$G$2441,'февраль 2025'!$D$4:$D$2441,$B53,'февраль 2025'!$J$4:$J$2441,H$1)</f>
        <v>0</v>
      </c>
      <c r="I53" s="182">
        <f>SUMIFS('февраль 2025'!$G$4:$G$2441,'февраль 2025'!$D$4:$D$2441,$B53,'февраль 2025'!$J$4:$J$2441,I$1)</f>
        <v>0</v>
      </c>
      <c r="J53" s="182">
        <f>SUMIFS('февраль 2025'!$G$4:$G$2441,'февраль 2025'!$D$4:$D$2441,$B53,'февраль 2025'!$J$4:$J$2441,J$1)</f>
        <v>0</v>
      </c>
      <c r="K53" s="182">
        <f>SUMIFS('февраль 2025'!$G$4:$G$2441,'февраль 2025'!$D$4:$D$2441,$B53,'февраль 2025'!$J$4:$J$2441,K$1)</f>
        <v>0</v>
      </c>
      <c r="L53" s="182">
        <f>SUMIFS('февраль 2025'!$G$4:$G$2441,'февраль 2025'!$D$4:$D$2441,$B53,'февраль 2025'!$J$4:$J$2441,L$1)</f>
        <v>0</v>
      </c>
      <c r="M53" s="182">
        <f>SUMIFS('февраль 2025'!$G$4:$G$2441,'февраль 2025'!$D$4:$D$2441,$B53,'февраль 2025'!$J$4:$J$2441,M$1)</f>
        <v>0</v>
      </c>
      <c r="N53" s="182">
        <f>SUMIFS('февраль 2025'!$G$4:$G$2441,'февраль 2025'!$D$4:$D$2441,$B53,'февраль 2025'!$J$4:$J$2441,N$1)</f>
        <v>0</v>
      </c>
      <c r="O53" s="182">
        <f>SUMIFS('февраль 2025'!$G$4:$G$2441,'февраль 2025'!$D$4:$D$2441,$B53,'февраль 2025'!$J$4:$J$2441,O$1)</f>
        <v>0</v>
      </c>
      <c r="P53" s="182">
        <f>SUMIFS('февраль 2025'!$G$4:$G$2441,'февраль 2025'!$D$4:$D$2441,$B53,'февраль 2025'!$J$4:$J$2441,P$1)</f>
        <v>0</v>
      </c>
      <c r="Q53" s="182">
        <f>SUMIFS('февраль 2025'!$G$4:$G$2441,'февраль 2025'!$D$4:$D$2441,$B53,'февраль 2025'!$J$4:$J$2441,Q$1)</f>
        <v>0</v>
      </c>
      <c r="R53" s="182">
        <f>SUMIFS('февраль 2025'!$G$4:$G$2441,'февраль 2025'!$D$4:$D$2441,$B53,'февраль 2025'!$J$4:$J$2441,R$1)</f>
        <v>0</v>
      </c>
      <c r="S53" s="182">
        <f>SUMIFS('февраль 2025'!$G$4:$G$2441,'февраль 2025'!$D$4:$D$2441,$B53,'февраль 2025'!$J$4:$J$2441,S$1)</f>
        <v>0</v>
      </c>
      <c r="T53" s="182">
        <f>SUMIFS('февраль 2025'!$G$4:$G$2441,'февраль 2025'!$D$4:$D$2441,$B53,'февраль 2025'!$J$4:$J$2441,T$1)</f>
        <v>0</v>
      </c>
      <c r="U53" s="182">
        <f>SUMIFS('февраль 2025'!$G$4:$G$2441,'февраль 2025'!$D$4:$D$2441,$B53,'февраль 2025'!$J$4:$J$2441,U$1)</f>
        <v>0</v>
      </c>
      <c r="V53" s="182">
        <f>SUMIFS('февраль 2025'!$G$4:$G$2441,'февраль 2025'!$D$4:$D$2441,$B53,'февраль 2025'!$J$4:$J$2441,V$1)</f>
        <v>0</v>
      </c>
      <c r="W53" s="182">
        <f>SUMIFS('февраль 2025'!$G$4:$G$2441,'февраль 2025'!$D$4:$D$2441,$B53,'февраль 2025'!$J$4:$J$2441,W$1)</f>
        <v>0</v>
      </c>
      <c r="X53" s="182">
        <f>SUMIFS('февраль 2025'!$G$4:$G$2441,'февраль 2025'!$D$4:$D$2441,$B53,'февраль 2025'!$J$4:$J$2441,X$1)</f>
        <v>0</v>
      </c>
      <c r="Y53" s="182">
        <f>SUMIFS('февраль 2025'!$G$4:$G$2441,'февраль 2025'!$D$4:$D$2441,$B53,'февраль 2025'!$J$4:$J$2441,Y$1)</f>
        <v>0</v>
      </c>
      <c r="Z53" s="182">
        <f>SUMIFS('февраль 2025'!$G$4:$G$2441,'февраль 2025'!$D$4:$D$2441,$B53,'февраль 2025'!$J$4:$J$2441,Z$1)</f>
        <v>0</v>
      </c>
      <c r="AA53" s="182">
        <f>SUMIFS('февраль 2025'!$G$4:$G$2441,'февраль 2025'!$D$4:$D$2441,$B53,'февраль 2025'!$J$4:$J$2441,AA$1)</f>
        <v>0</v>
      </c>
      <c r="AB53" s="182">
        <f>SUMIFS('февраль 2025'!$G$4:$G$2441,'февраль 2025'!$D$4:$D$2441,$B53,'февраль 2025'!$J$4:$J$2441,AB$1)</f>
        <v>0</v>
      </c>
      <c r="AC53" s="182">
        <f>SUMIFS('февраль 2025'!$G$4:$G$2441,'февраль 2025'!$D$4:$D$2441,$B53,'февраль 2025'!$J$4:$J$2441,AC$1)</f>
        <v>300</v>
      </c>
      <c r="AD53" s="182">
        <f>SUMIFS('февраль 2025'!$G$4:$G$2441,'февраль 2025'!$D$4:$D$2441,$B53,'февраль 2025'!$J$4:$J$2441,AD$1)</f>
        <v>0</v>
      </c>
      <c r="AE53" s="182">
        <f>SUMIFS('февраль 2025'!$G$4:$G$2441,'февраль 2025'!$D$4:$D$2441,$B53,'февраль 2025'!$J$4:$J$2441,AE$1)</f>
        <v>40</v>
      </c>
      <c r="AF53" s="182">
        <f>SUMIFS('февраль 2025'!$G$4:$G$2441,'февраль 2025'!$D$4:$D$2441,$B53,'февраль 2025'!$J$4:$J$2441,AF$1)</f>
        <v>0</v>
      </c>
      <c r="AG53" s="182">
        <f>SUMIFS('февраль 2025'!$G$4:$G$2441,'февраль 2025'!$D$4:$D$2441,$B53,'февраль 2025'!$J$4:$J$2441,AG$1)</f>
        <v>0</v>
      </c>
      <c r="AH53" s="182">
        <f>SUMIFS('февраль 2025'!$G$4:$G$2441,'февраль 2025'!$D$4:$D$2441,$B53,'февраль 2025'!$J$4:$J$2441,AH$1)</f>
        <v>0</v>
      </c>
      <c r="AI53" s="20">
        <f t="shared" si="1"/>
        <v>340</v>
      </c>
    </row>
    <row r="54" spans="2:35" ht="15" customHeight="1" x14ac:dyDescent="0.25">
      <c r="B54" s="127" t="s">
        <v>253</v>
      </c>
      <c r="C54" s="132">
        <v>20</v>
      </c>
      <c r="D54" s="182">
        <f>SUMIFS('февраль 2025'!$G$4:$G$2441,'февраль 2025'!$D$4:$D$2441,$B54,'февраль 2025'!$J$4:$J$2441,D$1)</f>
        <v>0</v>
      </c>
      <c r="E54" s="182">
        <f>SUMIFS('февраль 2025'!$G$4:$G$2441,'февраль 2025'!$D$4:$D$2441,$B54,'февраль 2025'!$J$4:$J$2441,E$1)</f>
        <v>0</v>
      </c>
      <c r="F54" s="182">
        <f>SUMIFS('февраль 2025'!$G$4:$G$2441,'февраль 2025'!$D$4:$D$2441,$B54,'февраль 2025'!$J$4:$J$2441,F$1)</f>
        <v>0</v>
      </c>
      <c r="G54" s="182">
        <f>SUMIFS('февраль 2025'!$G$4:$G$2441,'февраль 2025'!$D$4:$D$2441,$B54,'февраль 2025'!$J$4:$J$2441,G$1)</f>
        <v>0</v>
      </c>
      <c r="H54" s="182">
        <f>SUMIFS('февраль 2025'!$G$4:$G$2441,'февраль 2025'!$D$4:$D$2441,$B54,'февраль 2025'!$J$4:$J$2441,H$1)</f>
        <v>0</v>
      </c>
      <c r="I54" s="182">
        <f>SUMIFS('февраль 2025'!$G$4:$G$2441,'февраль 2025'!$D$4:$D$2441,$B54,'февраль 2025'!$J$4:$J$2441,I$1)</f>
        <v>0</v>
      </c>
      <c r="J54" s="182">
        <f>SUMIFS('февраль 2025'!$G$4:$G$2441,'февраль 2025'!$D$4:$D$2441,$B54,'февраль 2025'!$J$4:$J$2441,J$1)</f>
        <v>0</v>
      </c>
      <c r="K54" s="182">
        <f>SUMIFS('февраль 2025'!$G$4:$G$2441,'февраль 2025'!$D$4:$D$2441,$B54,'февраль 2025'!$J$4:$J$2441,K$1)</f>
        <v>0</v>
      </c>
      <c r="L54" s="182">
        <f>SUMIFS('февраль 2025'!$G$4:$G$2441,'февраль 2025'!$D$4:$D$2441,$B54,'февраль 2025'!$J$4:$J$2441,L$1)</f>
        <v>0</v>
      </c>
      <c r="M54" s="182">
        <f>SUMIFS('февраль 2025'!$G$4:$G$2441,'февраль 2025'!$D$4:$D$2441,$B54,'февраль 2025'!$J$4:$J$2441,M$1)</f>
        <v>0</v>
      </c>
      <c r="N54" s="182">
        <f>SUMIFS('февраль 2025'!$G$4:$G$2441,'февраль 2025'!$D$4:$D$2441,$B54,'февраль 2025'!$J$4:$J$2441,N$1)</f>
        <v>0</v>
      </c>
      <c r="O54" s="182">
        <f>SUMIFS('февраль 2025'!$G$4:$G$2441,'февраль 2025'!$D$4:$D$2441,$B54,'февраль 2025'!$J$4:$J$2441,O$1)</f>
        <v>0</v>
      </c>
      <c r="P54" s="182">
        <f>SUMIFS('февраль 2025'!$G$4:$G$2441,'февраль 2025'!$D$4:$D$2441,$B54,'февраль 2025'!$J$4:$J$2441,P$1)</f>
        <v>0</v>
      </c>
      <c r="Q54" s="182">
        <f>SUMIFS('февраль 2025'!$G$4:$G$2441,'февраль 2025'!$D$4:$D$2441,$B54,'февраль 2025'!$J$4:$J$2441,Q$1)</f>
        <v>0</v>
      </c>
      <c r="R54" s="182">
        <f>SUMIFS('февраль 2025'!$G$4:$G$2441,'февраль 2025'!$D$4:$D$2441,$B54,'февраль 2025'!$J$4:$J$2441,R$1)</f>
        <v>0</v>
      </c>
      <c r="S54" s="182">
        <f>SUMIFS('февраль 2025'!$G$4:$G$2441,'февраль 2025'!$D$4:$D$2441,$B54,'февраль 2025'!$J$4:$J$2441,S$1)</f>
        <v>0</v>
      </c>
      <c r="T54" s="182">
        <f>SUMIFS('февраль 2025'!$G$4:$G$2441,'февраль 2025'!$D$4:$D$2441,$B54,'февраль 2025'!$J$4:$J$2441,T$1)</f>
        <v>0</v>
      </c>
      <c r="U54" s="182">
        <f>SUMIFS('февраль 2025'!$G$4:$G$2441,'февраль 2025'!$D$4:$D$2441,$B54,'февраль 2025'!$J$4:$J$2441,U$1)</f>
        <v>0</v>
      </c>
      <c r="V54" s="182">
        <f>SUMIFS('февраль 2025'!$G$4:$G$2441,'февраль 2025'!$D$4:$D$2441,$B54,'февраль 2025'!$J$4:$J$2441,V$1)</f>
        <v>0</v>
      </c>
      <c r="W54" s="182">
        <f>SUMIFS('февраль 2025'!$G$4:$G$2441,'февраль 2025'!$D$4:$D$2441,$B54,'февраль 2025'!$J$4:$J$2441,W$1)</f>
        <v>0</v>
      </c>
      <c r="X54" s="182">
        <f>SUMIFS('февраль 2025'!$G$4:$G$2441,'февраль 2025'!$D$4:$D$2441,$B54,'февраль 2025'!$J$4:$J$2441,X$1)</f>
        <v>0</v>
      </c>
      <c r="Y54" s="182">
        <f>SUMIFS('февраль 2025'!$G$4:$G$2441,'февраль 2025'!$D$4:$D$2441,$B54,'февраль 2025'!$J$4:$J$2441,Y$1)</f>
        <v>0</v>
      </c>
      <c r="Z54" s="182">
        <f>SUMIFS('февраль 2025'!$G$4:$G$2441,'февраль 2025'!$D$4:$D$2441,$B54,'февраль 2025'!$J$4:$J$2441,Z$1)</f>
        <v>0</v>
      </c>
      <c r="AA54" s="182">
        <f>SUMIFS('февраль 2025'!$G$4:$G$2441,'февраль 2025'!$D$4:$D$2441,$B54,'февраль 2025'!$J$4:$J$2441,AA$1)</f>
        <v>0</v>
      </c>
      <c r="AB54" s="182">
        <f>SUMIFS('февраль 2025'!$G$4:$G$2441,'февраль 2025'!$D$4:$D$2441,$B54,'февраль 2025'!$J$4:$J$2441,AB$1)</f>
        <v>0</v>
      </c>
      <c r="AC54" s="182">
        <f>SUMIFS('февраль 2025'!$G$4:$G$2441,'февраль 2025'!$D$4:$D$2441,$B54,'февраль 2025'!$J$4:$J$2441,AC$1)</f>
        <v>0</v>
      </c>
      <c r="AD54" s="182">
        <f>SUMIFS('февраль 2025'!$G$4:$G$2441,'февраль 2025'!$D$4:$D$2441,$B54,'февраль 2025'!$J$4:$J$2441,AD$1)</f>
        <v>0</v>
      </c>
      <c r="AE54" s="182">
        <f>SUMIFS('февраль 2025'!$G$4:$G$2441,'февраль 2025'!$D$4:$D$2441,$B54,'февраль 2025'!$J$4:$J$2441,AE$1)</f>
        <v>0</v>
      </c>
      <c r="AF54" s="182">
        <f>SUMIFS('февраль 2025'!$G$4:$G$2441,'февраль 2025'!$D$4:$D$2441,$B54,'февраль 2025'!$J$4:$J$2441,AF$1)</f>
        <v>0</v>
      </c>
      <c r="AG54" s="182">
        <f>SUMIFS('февраль 2025'!$G$4:$G$2441,'февраль 2025'!$D$4:$D$2441,$B54,'февраль 2025'!$J$4:$J$2441,AG$1)</f>
        <v>0</v>
      </c>
      <c r="AH54" s="182">
        <f>SUMIFS('февраль 2025'!$G$4:$G$2441,'февраль 2025'!$D$4:$D$2441,$B54,'февраль 2025'!$J$4:$J$2441,AH$1)</f>
        <v>0</v>
      </c>
      <c r="AI54" s="20">
        <f t="shared" si="1"/>
        <v>0</v>
      </c>
    </row>
    <row r="55" spans="2:35" ht="15" customHeight="1" x14ac:dyDescent="0.25">
      <c r="B55" s="131" t="s">
        <v>254</v>
      </c>
      <c r="C55" s="132">
        <v>20</v>
      </c>
      <c r="D55" s="182">
        <f>SUMIFS('февраль 2025'!$G$4:$G$2441,'февраль 2025'!$D$4:$D$2441,$B55,'февраль 2025'!$J$4:$J$2441,D$1)</f>
        <v>0</v>
      </c>
      <c r="E55" s="182">
        <f>SUMIFS('февраль 2025'!$G$4:$G$2441,'февраль 2025'!$D$4:$D$2441,$B55,'февраль 2025'!$J$4:$J$2441,E$1)</f>
        <v>0</v>
      </c>
      <c r="F55" s="182">
        <f>SUMIFS('февраль 2025'!$G$4:$G$2441,'февраль 2025'!$D$4:$D$2441,$B55,'февраль 2025'!$J$4:$J$2441,F$1)</f>
        <v>0</v>
      </c>
      <c r="G55" s="182">
        <f>SUMIFS('февраль 2025'!$G$4:$G$2441,'февраль 2025'!$D$4:$D$2441,$B55,'февраль 2025'!$J$4:$J$2441,G$1)</f>
        <v>0</v>
      </c>
      <c r="H55" s="182">
        <f>SUMIFS('февраль 2025'!$G$4:$G$2441,'февраль 2025'!$D$4:$D$2441,$B55,'февраль 2025'!$J$4:$J$2441,H$1)</f>
        <v>0</v>
      </c>
      <c r="I55" s="182">
        <f>SUMIFS('февраль 2025'!$G$4:$G$2441,'февраль 2025'!$D$4:$D$2441,$B55,'февраль 2025'!$J$4:$J$2441,I$1)</f>
        <v>0</v>
      </c>
      <c r="J55" s="182">
        <f>SUMIFS('февраль 2025'!$G$4:$G$2441,'февраль 2025'!$D$4:$D$2441,$B55,'февраль 2025'!$J$4:$J$2441,J$1)</f>
        <v>0</v>
      </c>
      <c r="K55" s="182">
        <f>SUMIFS('февраль 2025'!$G$4:$G$2441,'февраль 2025'!$D$4:$D$2441,$B55,'февраль 2025'!$J$4:$J$2441,K$1)</f>
        <v>0</v>
      </c>
      <c r="L55" s="182">
        <f>SUMIFS('февраль 2025'!$G$4:$G$2441,'февраль 2025'!$D$4:$D$2441,$B55,'февраль 2025'!$J$4:$J$2441,L$1)</f>
        <v>0</v>
      </c>
      <c r="M55" s="182">
        <f>SUMIFS('февраль 2025'!$G$4:$G$2441,'февраль 2025'!$D$4:$D$2441,$B55,'февраль 2025'!$J$4:$J$2441,M$1)</f>
        <v>0</v>
      </c>
      <c r="N55" s="182">
        <f>SUMIFS('февраль 2025'!$G$4:$G$2441,'февраль 2025'!$D$4:$D$2441,$B55,'февраль 2025'!$J$4:$J$2441,N$1)</f>
        <v>0</v>
      </c>
      <c r="O55" s="182">
        <f>SUMIFS('февраль 2025'!$G$4:$G$2441,'февраль 2025'!$D$4:$D$2441,$B55,'февраль 2025'!$J$4:$J$2441,O$1)</f>
        <v>0</v>
      </c>
      <c r="P55" s="182">
        <f>SUMIFS('февраль 2025'!$G$4:$G$2441,'февраль 2025'!$D$4:$D$2441,$B55,'февраль 2025'!$J$4:$J$2441,P$1)</f>
        <v>0</v>
      </c>
      <c r="Q55" s="182">
        <f>SUMIFS('февраль 2025'!$G$4:$G$2441,'февраль 2025'!$D$4:$D$2441,$B55,'февраль 2025'!$J$4:$J$2441,Q$1)</f>
        <v>0</v>
      </c>
      <c r="R55" s="182">
        <f>SUMIFS('февраль 2025'!$G$4:$G$2441,'февраль 2025'!$D$4:$D$2441,$B55,'февраль 2025'!$J$4:$J$2441,R$1)</f>
        <v>0</v>
      </c>
      <c r="S55" s="182">
        <f>SUMIFS('февраль 2025'!$G$4:$G$2441,'февраль 2025'!$D$4:$D$2441,$B55,'февраль 2025'!$J$4:$J$2441,S$1)</f>
        <v>0</v>
      </c>
      <c r="T55" s="182">
        <f>SUMIFS('февраль 2025'!$G$4:$G$2441,'февраль 2025'!$D$4:$D$2441,$B55,'февраль 2025'!$J$4:$J$2441,T$1)</f>
        <v>0</v>
      </c>
      <c r="U55" s="182">
        <f>SUMIFS('февраль 2025'!$G$4:$G$2441,'февраль 2025'!$D$4:$D$2441,$B55,'февраль 2025'!$J$4:$J$2441,U$1)</f>
        <v>0</v>
      </c>
      <c r="V55" s="182">
        <f>SUMIFS('февраль 2025'!$G$4:$G$2441,'февраль 2025'!$D$4:$D$2441,$B55,'февраль 2025'!$J$4:$J$2441,V$1)</f>
        <v>0</v>
      </c>
      <c r="W55" s="182">
        <f>SUMIFS('февраль 2025'!$G$4:$G$2441,'февраль 2025'!$D$4:$D$2441,$B55,'февраль 2025'!$J$4:$J$2441,W$1)</f>
        <v>0</v>
      </c>
      <c r="X55" s="182">
        <f>SUMIFS('февраль 2025'!$G$4:$G$2441,'февраль 2025'!$D$4:$D$2441,$B55,'февраль 2025'!$J$4:$J$2441,X$1)</f>
        <v>0</v>
      </c>
      <c r="Y55" s="182">
        <f>SUMIFS('февраль 2025'!$G$4:$G$2441,'февраль 2025'!$D$4:$D$2441,$B55,'февраль 2025'!$J$4:$J$2441,Y$1)</f>
        <v>0</v>
      </c>
      <c r="Z55" s="182">
        <f>SUMIFS('февраль 2025'!$G$4:$G$2441,'февраль 2025'!$D$4:$D$2441,$B55,'февраль 2025'!$J$4:$J$2441,Z$1)</f>
        <v>0</v>
      </c>
      <c r="AA55" s="182">
        <f>SUMIFS('февраль 2025'!$G$4:$G$2441,'февраль 2025'!$D$4:$D$2441,$B55,'февраль 2025'!$J$4:$J$2441,AA$1)</f>
        <v>0</v>
      </c>
      <c r="AB55" s="182">
        <f>SUMIFS('февраль 2025'!$G$4:$G$2441,'февраль 2025'!$D$4:$D$2441,$B55,'февраль 2025'!$J$4:$J$2441,AB$1)</f>
        <v>0</v>
      </c>
      <c r="AC55" s="182">
        <f>SUMIFS('февраль 2025'!$G$4:$G$2441,'февраль 2025'!$D$4:$D$2441,$B55,'февраль 2025'!$J$4:$J$2441,AC$1)</f>
        <v>0</v>
      </c>
      <c r="AD55" s="182">
        <f>SUMIFS('февраль 2025'!$G$4:$G$2441,'февраль 2025'!$D$4:$D$2441,$B55,'февраль 2025'!$J$4:$J$2441,AD$1)</f>
        <v>0</v>
      </c>
      <c r="AE55" s="182">
        <f>SUMIFS('февраль 2025'!$G$4:$G$2441,'февраль 2025'!$D$4:$D$2441,$B55,'февраль 2025'!$J$4:$J$2441,AE$1)</f>
        <v>0</v>
      </c>
      <c r="AF55" s="182">
        <f>SUMIFS('февраль 2025'!$G$4:$G$2441,'февраль 2025'!$D$4:$D$2441,$B55,'февраль 2025'!$J$4:$J$2441,AF$1)</f>
        <v>0</v>
      </c>
      <c r="AG55" s="182">
        <f>SUMIFS('февраль 2025'!$G$4:$G$2441,'февраль 2025'!$D$4:$D$2441,$B55,'февраль 2025'!$J$4:$J$2441,AG$1)</f>
        <v>0</v>
      </c>
      <c r="AH55" s="182">
        <f>SUMIFS('февраль 2025'!$G$4:$G$2441,'февраль 2025'!$D$4:$D$2441,$B55,'февраль 2025'!$J$4:$J$2441,AH$1)</f>
        <v>0</v>
      </c>
      <c r="AI55" s="20">
        <f t="shared" si="1"/>
        <v>0</v>
      </c>
    </row>
    <row r="56" spans="2:35" ht="15" customHeight="1" x14ac:dyDescent="0.25">
      <c r="B56" s="131" t="s">
        <v>255</v>
      </c>
      <c r="C56" s="132">
        <v>20</v>
      </c>
      <c r="D56" s="182">
        <f>SUMIFS('февраль 2025'!$G$4:$G$2441,'февраль 2025'!$D$4:$D$2441,$B56,'февраль 2025'!$J$4:$J$2441,D$1)</f>
        <v>0</v>
      </c>
      <c r="E56" s="182">
        <f>SUMIFS('февраль 2025'!$G$4:$G$2441,'февраль 2025'!$D$4:$D$2441,$B56,'февраль 2025'!$J$4:$J$2441,E$1)</f>
        <v>0</v>
      </c>
      <c r="F56" s="182">
        <f>SUMIFS('февраль 2025'!$G$4:$G$2441,'февраль 2025'!$D$4:$D$2441,$B56,'февраль 2025'!$J$4:$J$2441,F$1)</f>
        <v>0</v>
      </c>
      <c r="G56" s="182">
        <f>SUMIFS('февраль 2025'!$G$4:$G$2441,'февраль 2025'!$D$4:$D$2441,$B56,'февраль 2025'!$J$4:$J$2441,G$1)</f>
        <v>0</v>
      </c>
      <c r="H56" s="182">
        <f>SUMIFS('февраль 2025'!$G$4:$G$2441,'февраль 2025'!$D$4:$D$2441,$B56,'февраль 2025'!$J$4:$J$2441,H$1)</f>
        <v>0</v>
      </c>
      <c r="I56" s="182">
        <f>SUMIFS('февраль 2025'!$G$4:$G$2441,'февраль 2025'!$D$4:$D$2441,$B56,'февраль 2025'!$J$4:$J$2441,I$1)</f>
        <v>0</v>
      </c>
      <c r="J56" s="182">
        <f>SUMIFS('февраль 2025'!$G$4:$G$2441,'февраль 2025'!$D$4:$D$2441,$B56,'февраль 2025'!$J$4:$J$2441,J$1)</f>
        <v>0</v>
      </c>
      <c r="K56" s="182">
        <f>SUMIFS('февраль 2025'!$G$4:$G$2441,'февраль 2025'!$D$4:$D$2441,$B56,'февраль 2025'!$J$4:$J$2441,K$1)</f>
        <v>0</v>
      </c>
      <c r="L56" s="182">
        <f>SUMIFS('февраль 2025'!$G$4:$G$2441,'февраль 2025'!$D$4:$D$2441,$B56,'февраль 2025'!$J$4:$J$2441,L$1)</f>
        <v>0</v>
      </c>
      <c r="M56" s="182">
        <f>SUMIFS('февраль 2025'!$G$4:$G$2441,'февраль 2025'!$D$4:$D$2441,$B56,'февраль 2025'!$J$4:$J$2441,M$1)</f>
        <v>0</v>
      </c>
      <c r="N56" s="182">
        <f>SUMIFS('февраль 2025'!$G$4:$G$2441,'февраль 2025'!$D$4:$D$2441,$B56,'февраль 2025'!$J$4:$J$2441,N$1)</f>
        <v>0</v>
      </c>
      <c r="O56" s="182">
        <f>SUMIFS('февраль 2025'!$G$4:$G$2441,'февраль 2025'!$D$4:$D$2441,$B56,'февраль 2025'!$J$4:$J$2441,O$1)</f>
        <v>0</v>
      </c>
      <c r="P56" s="182">
        <f>SUMIFS('февраль 2025'!$G$4:$G$2441,'февраль 2025'!$D$4:$D$2441,$B56,'февраль 2025'!$J$4:$J$2441,P$1)</f>
        <v>0</v>
      </c>
      <c r="Q56" s="182">
        <f>SUMIFS('февраль 2025'!$G$4:$G$2441,'февраль 2025'!$D$4:$D$2441,$B56,'февраль 2025'!$J$4:$J$2441,Q$1)</f>
        <v>0</v>
      </c>
      <c r="R56" s="182">
        <f>SUMIFS('февраль 2025'!$G$4:$G$2441,'февраль 2025'!$D$4:$D$2441,$B56,'февраль 2025'!$J$4:$J$2441,R$1)</f>
        <v>0</v>
      </c>
      <c r="S56" s="182">
        <f>SUMIFS('февраль 2025'!$G$4:$G$2441,'февраль 2025'!$D$4:$D$2441,$B56,'февраль 2025'!$J$4:$J$2441,S$1)</f>
        <v>0</v>
      </c>
      <c r="T56" s="182">
        <f>SUMIFS('февраль 2025'!$G$4:$G$2441,'февраль 2025'!$D$4:$D$2441,$B56,'февраль 2025'!$J$4:$J$2441,T$1)</f>
        <v>0</v>
      </c>
      <c r="U56" s="182">
        <f>SUMIFS('февраль 2025'!$G$4:$G$2441,'февраль 2025'!$D$4:$D$2441,$B56,'февраль 2025'!$J$4:$J$2441,U$1)</f>
        <v>0</v>
      </c>
      <c r="V56" s="182">
        <f>SUMIFS('февраль 2025'!$G$4:$G$2441,'февраль 2025'!$D$4:$D$2441,$B56,'февраль 2025'!$J$4:$J$2441,V$1)</f>
        <v>0</v>
      </c>
      <c r="W56" s="182">
        <f>SUMIFS('февраль 2025'!$G$4:$G$2441,'февраль 2025'!$D$4:$D$2441,$B56,'февраль 2025'!$J$4:$J$2441,W$1)</f>
        <v>0</v>
      </c>
      <c r="X56" s="182">
        <f>SUMIFS('февраль 2025'!$G$4:$G$2441,'февраль 2025'!$D$4:$D$2441,$B56,'февраль 2025'!$J$4:$J$2441,X$1)</f>
        <v>0</v>
      </c>
      <c r="Y56" s="182">
        <f>SUMIFS('февраль 2025'!$G$4:$G$2441,'февраль 2025'!$D$4:$D$2441,$B56,'февраль 2025'!$J$4:$J$2441,Y$1)</f>
        <v>0</v>
      </c>
      <c r="Z56" s="182">
        <f>SUMIFS('февраль 2025'!$G$4:$G$2441,'февраль 2025'!$D$4:$D$2441,$B56,'февраль 2025'!$J$4:$J$2441,Z$1)</f>
        <v>0</v>
      </c>
      <c r="AA56" s="182">
        <f>SUMIFS('февраль 2025'!$G$4:$G$2441,'февраль 2025'!$D$4:$D$2441,$B56,'февраль 2025'!$J$4:$J$2441,AA$1)</f>
        <v>0</v>
      </c>
      <c r="AB56" s="182">
        <f>SUMIFS('февраль 2025'!$G$4:$G$2441,'февраль 2025'!$D$4:$D$2441,$B56,'февраль 2025'!$J$4:$J$2441,AB$1)</f>
        <v>0</v>
      </c>
      <c r="AC56" s="182">
        <f>SUMIFS('февраль 2025'!$G$4:$G$2441,'февраль 2025'!$D$4:$D$2441,$B56,'февраль 2025'!$J$4:$J$2441,AC$1)</f>
        <v>0</v>
      </c>
      <c r="AD56" s="182">
        <f>SUMIFS('февраль 2025'!$G$4:$G$2441,'февраль 2025'!$D$4:$D$2441,$B56,'февраль 2025'!$J$4:$J$2441,AD$1)</f>
        <v>0</v>
      </c>
      <c r="AE56" s="182">
        <f>SUMIFS('февраль 2025'!$G$4:$G$2441,'февраль 2025'!$D$4:$D$2441,$B56,'февраль 2025'!$J$4:$J$2441,AE$1)</f>
        <v>0</v>
      </c>
      <c r="AF56" s="182">
        <f>SUMIFS('февраль 2025'!$G$4:$G$2441,'февраль 2025'!$D$4:$D$2441,$B56,'февраль 2025'!$J$4:$J$2441,AF$1)</f>
        <v>0</v>
      </c>
      <c r="AG56" s="182">
        <f>SUMIFS('февраль 2025'!$G$4:$G$2441,'февраль 2025'!$D$4:$D$2441,$B56,'февраль 2025'!$J$4:$J$2441,AG$1)</f>
        <v>0</v>
      </c>
      <c r="AH56" s="182">
        <f>SUMIFS('февраль 2025'!$G$4:$G$2441,'февраль 2025'!$D$4:$D$2441,$B56,'февраль 2025'!$J$4:$J$2441,AH$1)</f>
        <v>0</v>
      </c>
      <c r="AI56" s="20">
        <f t="shared" si="1"/>
        <v>0</v>
      </c>
    </row>
    <row r="57" spans="2:35" ht="15" customHeight="1" x14ac:dyDescent="0.25">
      <c r="B57" s="131"/>
      <c r="C57" s="132"/>
      <c r="D57" s="182">
        <f>SUMIFS('февраль 2025'!$G$4:$G$2441,'февраль 2025'!$D$4:$D$2441,$B57,'февраль 2025'!$J$4:$J$2441,D$1)</f>
        <v>0</v>
      </c>
      <c r="E57" s="182">
        <f>SUMIFS('февраль 2025'!$G$4:$G$2441,'февраль 2025'!$D$4:$D$2441,$B57,'февраль 2025'!$J$4:$J$2441,E$1)</f>
        <v>0</v>
      </c>
      <c r="F57" s="182">
        <f>SUMIFS('февраль 2025'!$G$4:$G$2441,'февраль 2025'!$D$4:$D$2441,$B57,'февраль 2025'!$J$4:$J$2441,F$1)</f>
        <v>0</v>
      </c>
      <c r="G57" s="182">
        <f>SUMIFS('февраль 2025'!$G$4:$G$2441,'февраль 2025'!$D$4:$D$2441,$B57,'февраль 2025'!$J$4:$J$2441,G$1)</f>
        <v>0</v>
      </c>
      <c r="H57" s="182">
        <f>SUMIFS('февраль 2025'!$G$4:$G$2441,'февраль 2025'!$D$4:$D$2441,$B57,'февраль 2025'!$J$4:$J$2441,H$1)</f>
        <v>0</v>
      </c>
      <c r="I57" s="182">
        <f>SUMIFS('февраль 2025'!$G$4:$G$2441,'февраль 2025'!$D$4:$D$2441,$B57,'февраль 2025'!$J$4:$J$2441,I$1)</f>
        <v>0</v>
      </c>
      <c r="J57" s="182">
        <f>SUMIFS('февраль 2025'!$G$4:$G$2441,'февраль 2025'!$D$4:$D$2441,$B57,'февраль 2025'!$J$4:$J$2441,J$1)</f>
        <v>0</v>
      </c>
      <c r="K57" s="182">
        <f>SUMIFS('февраль 2025'!$G$4:$G$2441,'февраль 2025'!$D$4:$D$2441,$B57,'февраль 2025'!$J$4:$J$2441,K$1)</f>
        <v>0</v>
      </c>
      <c r="L57" s="182">
        <f>SUMIFS('февраль 2025'!$G$4:$G$2441,'февраль 2025'!$D$4:$D$2441,$B57,'февраль 2025'!$J$4:$J$2441,L$1)</f>
        <v>0</v>
      </c>
      <c r="M57" s="182">
        <f>SUMIFS('февраль 2025'!$G$4:$G$2441,'февраль 2025'!$D$4:$D$2441,$B57,'февраль 2025'!$J$4:$J$2441,M$1)</f>
        <v>0</v>
      </c>
      <c r="N57" s="182">
        <f>SUMIFS('февраль 2025'!$G$4:$G$2441,'февраль 2025'!$D$4:$D$2441,$B57,'февраль 2025'!$J$4:$J$2441,N$1)</f>
        <v>0</v>
      </c>
      <c r="O57" s="182">
        <f>SUMIFS('февраль 2025'!$G$4:$G$2441,'февраль 2025'!$D$4:$D$2441,$B57,'февраль 2025'!$J$4:$J$2441,O$1)</f>
        <v>0</v>
      </c>
      <c r="P57" s="182">
        <f>SUMIFS('февраль 2025'!$G$4:$G$2441,'февраль 2025'!$D$4:$D$2441,$B57,'февраль 2025'!$J$4:$J$2441,P$1)</f>
        <v>0</v>
      </c>
      <c r="Q57" s="182">
        <f>SUMIFS('февраль 2025'!$G$4:$G$2441,'февраль 2025'!$D$4:$D$2441,$B57,'февраль 2025'!$J$4:$J$2441,Q$1)</f>
        <v>0</v>
      </c>
      <c r="R57" s="182">
        <f>SUMIFS('февраль 2025'!$G$4:$G$2441,'февраль 2025'!$D$4:$D$2441,$B57,'февраль 2025'!$J$4:$J$2441,R$1)</f>
        <v>0</v>
      </c>
      <c r="S57" s="182">
        <f>SUMIFS('февраль 2025'!$G$4:$G$2441,'февраль 2025'!$D$4:$D$2441,$B57,'февраль 2025'!$J$4:$J$2441,S$1)</f>
        <v>0</v>
      </c>
      <c r="T57" s="182">
        <f>SUMIFS('февраль 2025'!$G$4:$G$2441,'февраль 2025'!$D$4:$D$2441,$B57,'февраль 2025'!$J$4:$J$2441,T$1)</f>
        <v>0</v>
      </c>
      <c r="U57" s="182">
        <f>SUMIFS('февраль 2025'!$G$4:$G$2441,'февраль 2025'!$D$4:$D$2441,$B57,'февраль 2025'!$J$4:$J$2441,U$1)</f>
        <v>0</v>
      </c>
      <c r="V57" s="182">
        <f>SUMIFS('февраль 2025'!$G$4:$G$2441,'февраль 2025'!$D$4:$D$2441,$B57,'февраль 2025'!$J$4:$J$2441,V$1)</f>
        <v>0</v>
      </c>
      <c r="W57" s="182">
        <f>SUMIFS('февраль 2025'!$G$4:$G$2441,'февраль 2025'!$D$4:$D$2441,$B57,'февраль 2025'!$J$4:$J$2441,W$1)</f>
        <v>0</v>
      </c>
      <c r="X57" s="182">
        <f>SUMIFS('февраль 2025'!$G$4:$G$2441,'февраль 2025'!$D$4:$D$2441,$B57,'февраль 2025'!$J$4:$J$2441,X$1)</f>
        <v>0</v>
      </c>
      <c r="Y57" s="182">
        <f>SUMIFS('февраль 2025'!$G$4:$G$2441,'февраль 2025'!$D$4:$D$2441,$B57,'февраль 2025'!$J$4:$J$2441,Y$1)</f>
        <v>0</v>
      </c>
      <c r="Z57" s="182">
        <f>SUMIFS('февраль 2025'!$G$4:$G$2441,'февраль 2025'!$D$4:$D$2441,$B57,'февраль 2025'!$J$4:$J$2441,Z$1)</f>
        <v>0</v>
      </c>
      <c r="AA57" s="182">
        <f>SUMIFS('февраль 2025'!$G$4:$G$2441,'февраль 2025'!$D$4:$D$2441,$B57,'февраль 2025'!$J$4:$J$2441,AA$1)</f>
        <v>0</v>
      </c>
      <c r="AB57" s="182">
        <f>SUMIFS('февраль 2025'!$G$4:$G$2441,'февраль 2025'!$D$4:$D$2441,$B57,'февраль 2025'!$J$4:$J$2441,AB$1)</f>
        <v>0</v>
      </c>
      <c r="AC57" s="182">
        <f>SUMIFS('февраль 2025'!$G$4:$G$2441,'февраль 2025'!$D$4:$D$2441,$B57,'февраль 2025'!$J$4:$J$2441,AC$1)</f>
        <v>0</v>
      </c>
      <c r="AD57" s="182">
        <f>SUMIFS('февраль 2025'!$G$4:$G$2441,'февраль 2025'!$D$4:$D$2441,$B57,'февраль 2025'!$J$4:$J$2441,AD$1)</f>
        <v>0</v>
      </c>
      <c r="AE57" s="182">
        <f>SUMIFS('февраль 2025'!$G$4:$G$2441,'февраль 2025'!$D$4:$D$2441,$B57,'февраль 2025'!$J$4:$J$2441,AE$1)</f>
        <v>0</v>
      </c>
      <c r="AF57" s="182">
        <f>SUMIFS('февраль 2025'!$G$4:$G$2441,'февраль 2025'!$D$4:$D$2441,$B57,'февраль 2025'!$J$4:$J$2441,AF$1)</f>
        <v>0</v>
      </c>
      <c r="AG57" s="182">
        <f>SUMIFS('февраль 2025'!$G$4:$G$2441,'февраль 2025'!$D$4:$D$2441,$B57,'февраль 2025'!$J$4:$J$2441,AG$1)</f>
        <v>0</v>
      </c>
      <c r="AH57" s="182">
        <f>SUMIFS('февраль 2025'!$G$4:$G$2441,'февраль 2025'!$D$4:$D$2441,$B57,'февраль 2025'!$J$4:$J$2441,AH$1)</f>
        <v>0</v>
      </c>
      <c r="AI57" s="20">
        <f t="shared" si="1"/>
        <v>0</v>
      </c>
    </row>
    <row r="58" spans="2:35" ht="15" customHeight="1" x14ac:dyDescent="0.25">
      <c r="B58" s="131"/>
      <c r="C58" s="132"/>
      <c r="D58" s="182">
        <f>SUMIFS('февраль 2025'!$G$4:$G$2441,'февраль 2025'!$D$4:$D$2441,$B58,'февраль 2025'!$J$4:$J$2441,D$1)</f>
        <v>0</v>
      </c>
      <c r="E58" s="182">
        <f>SUMIFS('февраль 2025'!$G$4:$G$2441,'февраль 2025'!$D$4:$D$2441,$B58,'февраль 2025'!$J$4:$J$2441,E$1)</f>
        <v>0</v>
      </c>
      <c r="F58" s="182">
        <f>SUMIFS('февраль 2025'!$G$4:$G$2441,'февраль 2025'!$D$4:$D$2441,$B58,'февраль 2025'!$J$4:$J$2441,F$1)</f>
        <v>0</v>
      </c>
      <c r="G58" s="182">
        <f>SUMIFS('февраль 2025'!$G$4:$G$2441,'февраль 2025'!$D$4:$D$2441,$B58,'февраль 2025'!$J$4:$J$2441,G$1)</f>
        <v>0</v>
      </c>
      <c r="H58" s="182">
        <f>SUMIFS('февраль 2025'!$G$4:$G$2441,'февраль 2025'!$D$4:$D$2441,$B58,'февраль 2025'!$J$4:$J$2441,H$1)</f>
        <v>0</v>
      </c>
      <c r="I58" s="182">
        <f>SUMIFS('февраль 2025'!$G$4:$G$2441,'февраль 2025'!$D$4:$D$2441,$B58,'февраль 2025'!$J$4:$J$2441,I$1)</f>
        <v>0</v>
      </c>
      <c r="J58" s="182">
        <f>SUMIFS('февраль 2025'!$G$4:$G$2441,'февраль 2025'!$D$4:$D$2441,$B58,'февраль 2025'!$J$4:$J$2441,J$1)</f>
        <v>0</v>
      </c>
      <c r="K58" s="182">
        <f>SUMIFS('февраль 2025'!$G$4:$G$2441,'февраль 2025'!$D$4:$D$2441,$B58,'февраль 2025'!$J$4:$J$2441,K$1)</f>
        <v>0</v>
      </c>
      <c r="L58" s="182">
        <f>SUMIFS('февраль 2025'!$G$4:$G$2441,'февраль 2025'!$D$4:$D$2441,$B58,'февраль 2025'!$J$4:$J$2441,L$1)</f>
        <v>0</v>
      </c>
      <c r="M58" s="182">
        <f>SUMIFS('февраль 2025'!$G$4:$G$2441,'февраль 2025'!$D$4:$D$2441,$B58,'февраль 2025'!$J$4:$J$2441,M$1)</f>
        <v>0</v>
      </c>
      <c r="N58" s="182">
        <f>SUMIFS('февраль 2025'!$G$4:$G$2441,'февраль 2025'!$D$4:$D$2441,$B58,'февраль 2025'!$J$4:$J$2441,N$1)</f>
        <v>0</v>
      </c>
      <c r="O58" s="182">
        <f>SUMIFS('февраль 2025'!$G$4:$G$2441,'февраль 2025'!$D$4:$D$2441,$B58,'февраль 2025'!$J$4:$J$2441,O$1)</f>
        <v>0</v>
      </c>
      <c r="P58" s="182">
        <f>SUMIFS('февраль 2025'!$G$4:$G$2441,'февраль 2025'!$D$4:$D$2441,$B58,'февраль 2025'!$J$4:$J$2441,P$1)</f>
        <v>0</v>
      </c>
      <c r="Q58" s="182">
        <f>SUMIFS('февраль 2025'!$G$4:$G$2441,'февраль 2025'!$D$4:$D$2441,$B58,'февраль 2025'!$J$4:$J$2441,Q$1)</f>
        <v>0</v>
      </c>
      <c r="R58" s="182">
        <f>SUMIFS('февраль 2025'!$G$4:$G$2441,'февраль 2025'!$D$4:$D$2441,$B58,'февраль 2025'!$J$4:$J$2441,R$1)</f>
        <v>0</v>
      </c>
      <c r="S58" s="182">
        <f>SUMIFS('февраль 2025'!$G$4:$G$2441,'февраль 2025'!$D$4:$D$2441,$B58,'февраль 2025'!$J$4:$J$2441,S$1)</f>
        <v>0</v>
      </c>
      <c r="T58" s="182">
        <f>SUMIFS('февраль 2025'!$G$4:$G$2441,'февраль 2025'!$D$4:$D$2441,$B58,'февраль 2025'!$J$4:$J$2441,T$1)</f>
        <v>0</v>
      </c>
      <c r="U58" s="182">
        <f>SUMIFS('февраль 2025'!$G$4:$G$2441,'февраль 2025'!$D$4:$D$2441,$B58,'февраль 2025'!$J$4:$J$2441,U$1)</f>
        <v>0</v>
      </c>
      <c r="V58" s="182">
        <f>SUMIFS('февраль 2025'!$G$4:$G$2441,'февраль 2025'!$D$4:$D$2441,$B58,'февраль 2025'!$J$4:$J$2441,V$1)</f>
        <v>0</v>
      </c>
      <c r="W58" s="182">
        <f>SUMIFS('февраль 2025'!$G$4:$G$2441,'февраль 2025'!$D$4:$D$2441,$B58,'февраль 2025'!$J$4:$J$2441,W$1)</f>
        <v>0</v>
      </c>
      <c r="X58" s="182">
        <f>SUMIFS('февраль 2025'!$G$4:$G$2441,'февраль 2025'!$D$4:$D$2441,$B58,'февраль 2025'!$J$4:$J$2441,X$1)</f>
        <v>0</v>
      </c>
      <c r="Y58" s="182">
        <f>SUMIFS('февраль 2025'!$G$4:$G$2441,'февраль 2025'!$D$4:$D$2441,$B58,'февраль 2025'!$J$4:$J$2441,Y$1)</f>
        <v>0</v>
      </c>
      <c r="Z58" s="182">
        <f>SUMIFS('февраль 2025'!$G$4:$G$2441,'февраль 2025'!$D$4:$D$2441,$B58,'февраль 2025'!$J$4:$J$2441,Z$1)</f>
        <v>0</v>
      </c>
      <c r="AA58" s="182">
        <f>SUMIFS('февраль 2025'!$G$4:$G$2441,'февраль 2025'!$D$4:$D$2441,$B58,'февраль 2025'!$J$4:$J$2441,AA$1)</f>
        <v>0</v>
      </c>
      <c r="AB58" s="182">
        <f>SUMIFS('февраль 2025'!$G$4:$G$2441,'февраль 2025'!$D$4:$D$2441,$B58,'февраль 2025'!$J$4:$J$2441,AB$1)</f>
        <v>0</v>
      </c>
      <c r="AC58" s="182">
        <f>SUMIFS('февраль 2025'!$G$4:$G$2441,'февраль 2025'!$D$4:$D$2441,$B58,'февраль 2025'!$J$4:$J$2441,AC$1)</f>
        <v>0</v>
      </c>
      <c r="AD58" s="182">
        <f>SUMIFS('февраль 2025'!$G$4:$G$2441,'февраль 2025'!$D$4:$D$2441,$B58,'февраль 2025'!$J$4:$J$2441,AD$1)</f>
        <v>0</v>
      </c>
      <c r="AE58" s="182">
        <f>SUMIFS('февраль 2025'!$G$4:$G$2441,'февраль 2025'!$D$4:$D$2441,$B58,'февраль 2025'!$J$4:$J$2441,AE$1)</f>
        <v>0</v>
      </c>
      <c r="AF58" s="182">
        <f>SUMIFS('февраль 2025'!$G$4:$G$2441,'февраль 2025'!$D$4:$D$2441,$B58,'февраль 2025'!$J$4:$J$2441,AF$1)</f>
        <v>0</v>
      </c>
      <c r="AG58" s="182">
        <f>SUMIFS('февраль 2025'!$G$4:$G$2441,'февраль 2025'!$D$4:$D$2441,$B58,'февраль 2025'!$J$4:$J$2441,AG$1)</f>
        <v>0</v>
      </c>
      <c r="AH58" s="182">
        <f>SUMIFS('февраль 2025'!$G$4:$G$2441,'февраль 2025'!$D$4:$D$2441,$B58,'февраль 2025'!$J$4:$J$2441,AH$1)</f>
        <v>0</v>
      </c>
      <c r="AI58" s="20">
        <f t="shared" si="1"/>
        <v>0</v>
      </c>
    </row>
    <row r="59" spans="2:35" ht="15" customHeight="1" x14ac:dyDescent="0.25">
      <c r="B59" s="136"/>
      <c r="C59" s="132"/>
      <c r="D59" s="182">
        <f>SUMIFS('февраль 2025'!$G$4:$G$2441,'февраль 2025'!$D$4:$D$2441,$B59,'февраль 2025'!$J$4:$J$2441,D$1)</f>
        <v>0</v>
      </c>
      <c r="E59" s="182">
        <f>SUMIFS('февраль 2025'!$G$4:$G$2441,'февраль 2025'!$D$4:$D$2441,$B59,'февраль 2025'!$J$4:$J$2441,E$1)</f>
        <v>0</v>
      </c>
      <c r="F59" s="182">
        <f>SUMIFS('февраль 2025'!$G$4:$G$2441,'февраль 2025'!$D$4:$D$2441,$B59,'февраль 2025'!$J$4:$J$2441,F$1)</f>
        <v>0</v>
      </c>
      <c r="G59" s="182">
        <f>SUMIFS('февраль 2025'!$G$4:$G$2441,'февраль 2025'!$D$4:$D$2441,$B59,'февраль 2025'!$J$4:$J$2441,G$1)</f>
        <v>0</v>
      </c>
      <c r="H59" s="182">
        <f>SUMIFS('февраль 2025'!$G$4:$G$2441,'февраль 2025'!$D$4:$D$2441,$B59,'февраль 2025'!$J$4:$J$2441,H$1)</f>
        <v>0</v>
      </c>
      <c r="I59" s="182">
        <f>SUMIFS('февраль 2025'!$G$4:$G$2441,'февраль 2025'!$D$4:$D$2441,$B59,'февраль 2025'!$J$4:$J$2441,I$1)</f>
        <v>0</v>
      </c>
      <c r="J59" s="182">
        <f>SUMIFS('февраль 2025'!$G$4:$G$2441,'февраль 2025'!$D$4:$D$2441,$B59,'февраль 2025'!$J$4:$J$2441,J$1)</f>
        <v>0</v>
      </c>
      <c r="K59" s="182">
        <f>SUMIFS('февраль 2025'!$G$4:$G$2441,'февраль 2025'!$D$4:$D$2441,$B59,'февраль 2025'!$J$4:$J$2441,K$1)</f>
        <v>0</v>
      </c>
      <c r="L59" s="182">
        <f>SUMIFS('февраль 2025'!$G$4:$G$2441,'февраль 2025'!$D$4:$D$2441,$B59,'февраль 2025'!$J$4:$J$2441,L$1)</f>
        <v>0</v>
      </c>
      <c r="M59" s="182">
        <f>SUMIFS('февраль 2025'!$G$4:$G$2441,'февраль 2025'!$D$4:$D$2441,$B59,'февраль 2025'!$J$4:$J$2441,M$1)</f>
        <v>0</v>
      </c>
      <c r="N59" s="182">
        <f>SUMIFS('февраль 2025'!$G$4:$G$2441,'февраль 2025'!$D$4:$D$2441,$B59,'февраль 2025'!$J$4:$J$2441,N$1)</f>
        <v>0</v>
      </c>
      <c r="O59" s="182">
        <f>SUMIFS('февраль 2025'!$G$4:$G$2441,'февраль 2025'!$D$4:$D$2441,$B59,'февраль 2025'!$J$4:$J$2441,O$1)</f>
        <v>0</v>
      </c>
      <c r="P59" s="182">
        <f>SUMIFS('февраль 2025'!$G$4:$G$2441,'февраль 2025'!$D$4:$D$2441,$B59,'февраль 2025'!$J$4:$J$2441,P$1)</f>
        <v>0</v>
      </c>
      <c r="Q59" s="182">
        <f>SUMIFS('февраль 2025'!$G$4:$G$2441,'февраль 2025'!$D$4:$D$2441,$B59,'февраль 2025'!$J$4:$J$2441,Q$1)</f>
        <v>0</v>
      </c>
      <c r="R59" s="182">
        <f>SUMIFS('февраль 2025'!$G$4:$G$2441,'февраль 2025'!$D$4:$D$2441,$B59,'февраль 2025'!$J$4:$J$2441,R$1)</f>
        <v>0</v>
      </c>
      <c r="S59" s="182">
        <f>SUMIFS('февраль 2025'!$G$4:$G$2441,'февраль 2025'!$D$4:$D$2441,$B59,'февраль 2025'!$J$4:$J$2441,S$1)</f>
        <v>0</v>
      </c>
      <c r="T59" s="182">
        <f>SUMIFS('февраль 2025'!$G$4:$G$2441,'февраль 2025'!$D$4:$D$2441,$B59,'февраль 2025'!$J$4:$J$2441,T$1)</f>
        <v>0</v>
      </c>
      <c r="U59" s="182">
        <f>SUMIFS('февраль 2025'!$G$4:$G$2441,'февраль 2025'!$D$4:$D$2441,$B59,'февраль 2025'!$J$4:$J$2441,U$1)</f>
        <v>0</v>
      </c>
      <c r="V59" s="182">
        <f>SUMIFS('февраль 2025'!$G$4:$G$2441,'февраль 2025'!$D$4:$D$2441,$B59,'февраль 2025'!$J$4:$J$2441,V$1)</f>
        <v>0</v>
      </c>
      <c r="W59" s="182">
        <f>SUMIFS('февраль 2025'!$G$4:$G$2441,'февраль 2025'!$D$4:$D$2441,$B59,'февраль 2025'!$J$4:$J$2441,W$1)</f>
        <v>0</v>
      </c>
      <c r="X59" s="182">
        <f>SUMIFS('февраль 2025'!$G$4:$G$2441,'февраль 2025'!$D$4:$D$2441,$B59,'февраль 2025'!$J$4:$J$2441,X$1)</f>
        <v>0</v>
      </c>
      <c r="Y59" s="182">
        <f>SUMIFS('февраль 2025'!$G$4:$G$2441,'февраль 2025'!$D$4:$D$2441,$B59,'февраль 2025'!$J$4:$J$2441,Y$1)</f>
        <v>0</v>
      </c>
      <c r="Z59" s="182">
        <f>SUMIFS('февраль 2025'!$G$4:$G$2441,'февраль 2025'!$D$4:$D$2441,$B59,'февраль 2025'!$J$4:$J$2441,Z$1)</f>
        <v>0</v>
      </c>
      <c r="AA59" s="182">
        <f>SUMIFS('февраль 2025'!$G$4:$G$2441,'февраль 2025'!$D$4:$D$2441,$B59,'февраль 2025'!$J$4:$J$2441,AA$1)</f>
        <v>0</v>
      </c>
      <c r="AB59" s="182">
        <f>SUMIFS('февраль 2025'!$G$4:$G$2441,'февраль 2025'!$D$4:$D$2441,$B59,'февраль 2025'!$J$4:$J$2441,AB$1)</f>
        <v>0</v>
      </c>
      <c r="AC59" s="182">
        <f>SUMIFS('февраль 2025'!$G$4:$G$2441,'февраль 2025'!$D$4:$D$2441,$B59,'февраль 2025'!$J$4:$J$2441,AC$1)</f>
        <v>0</v>
      </c>
      <c r="AD59" s="182">
        <f>SUMIFS('февраль 2025'!$G$4:$G$2441,'февраль 2025'!$D$4:$D$2441,$B59,'февраль 2025'!$J$4:$J$2441,AD$1)</f>
        <v>0</v>
      </c>
      <c r="AE59" s="182">
        <f>SUMIFS('февраль 2025'!$G$4:$G$2441,'февраль 2025'!$D$4:$D$2441,$B59,'февраль 2025'!$J$4:$J$2441,AE$1)</f>
        <v>0</v>
      </c>
      <c r="AF59" s="182">
        <f>SUMIFS('февраль 2025'!$G$4:$G$2441,'февраль 2025'!$D$4:$D$2441,$B59,'февраль 2025'!$J$4:$J$2441,AF$1)</f>
        <v>0</v>
      </c>
      <c r="AG59" s="182">
        <f>SUMIFS('февраль 2025'!$G$4:$G$2441,'февраль 2025'!$D$4:$D$2441,$B59,'февраль 2025'!$J$4:$J$2441,AG$1)</f>
        <v>0</v>
      </c>
      <c r="AH59" s="182">
        <f>SUMIFS('февраль 2025'!$G$4:$G$2441,'февраль 2025'!$D$4:$D$2441,$B59,'февраль 2025'!$J$4:$J$2441,AH$1)</f>
        <v>0</v>
      </c>
      <c r="AI59" s="20">
        <f t="shared" si="1"/>
        <v>0</v>
      </c>
    </row>
    <row r="60" spans="2:35" ht="15" customHeight="1" x14ac:dyDescent="0.25">
      <c r="B60" s="136"/>
      <c r="C60" s="132"/>
      <c r="D60" s="182">
        <f>SUMIFS('февраль 2025'!$G$4:$G$2441,'февраль 2025'!$D$4:$D$2441,$B60,'февраль 2025'!$J$4:$J$2441,D$1)</f>
        <v>0</v>
      </c>
      <c r="E60" s="182">
        <f>SUMIFS('февраль 2025'!$G$4:$G$2441,'февраль 2025'!$D$4:$D$2441,$B60,'февраль 2025'!$J$4:$J$2441,E$1)</f>
        <v>0</v>
      </c>
      <c r="F60" s="182">
        <f>SUMIFS('февраль 2025'!$G$4:$G$2441,'февраль 2025'!$D$4:$D$2441,$B60,'февраль 2025'!$J$4:$J$2441,F$1)</f>
        <v>0</v>
      </c>
      <c r="G60" s="182">
        <f>SUMIFS('февраль 2025'!$G$4:$G$2441,'февраль 2025'!$D$4:$D$2441,$B60,'февраль 2025'!$J$4:$J$2441,G$1)</f>
        <v>0</v>
      </c>
      <c r="H60" s="182">
        <f>SUMIFS('февраль 2025'!$G$4:$G$2441,'февраль 2025'!$D$4:$D$2441,$B60,'февраль 2025'!$J$4:$J$2441,H$1)</f>
        <v>0</v>
      </c>
      <c r="I60" s="182">
        <f>SUMIFS('февраль 2025'!$G$4:$G$2441,'февраль 2025'!$D$4:$D$2441,$B60,'февраль 2025'!$J$4:$J$2441,I$1)</f>
        <v>0</v>
      </c>
      <c r="J60" s="182">
        <f>SUMIFS('февраль 2025'!$G$4:$G$2441,'февраль 2025'!$D$4:$D$2441,$B60,'февраль 2025'!$J$4:$J$2441,J$1)</f>
        <v>0</v>
      </c>
      <c r="K60" s="182">
        <f>SUMIFS('февраль 2025'!$G$4:$G$2441,'февраль 2025'!$D$4:$D$2441,$B60,'февраль 2025'!$J$4:$J$2441,K$1)</f>
        <v>0</v>
      </c>
      <c r="L60" s="182">
        <f>SUMIFS('февраль 2025'!$G$4:$G$2441,'февраль 2025'!$D$4:$D$2441,$B60,'февраль 2025'!$J$4:$J$2441,L$1)</f>
        <v>0</v>
      </c>
      <c r="M60" s="182">
        <f>SUMIFS('февраль 2025'!$G$4:$G$2441,'февраль 2025'!$D$4:$D$2441,$B60,'февраль 2025'!$J$4:$J$2441,M$1)</f>
        <v>0</v>
      </c>
      <c r="N60" s="182">
        <f>SUMIFS('февраль 2025'!$G$4:$G$2441,'февраль 2025'!$D$4:$D$2441,$B60,'февраль 2025'!$J$4:$J$2441,N$1)</f>
        <v>0</v>
      </c>
      <c r="O60" s="182">
        <f>SUMIFS('февраль 2025'!$G$4:$G$2441,'февраль 2025'!$D$4:$D$2441,$B60,'февраль 2025'!$J$4:$J$2441,O$1)</f>
        <v>0</v>
      </c>
      <c r="P60" s="182">
        <f>SUMIFS('февраль 2025'!$G$4:$G$2441,'февраль 2025'!$D$4:$D$2441,$B60,'февраль 2025'!$J$4:$J$2441,P$1)</f>
        <v>0</v>
      </c>
      <c r="Q60" s="182">
        <f>SUMIFS('февраль 2025'!$G$4:$G$2441,'февраль 2025'!$D$4:$D$2441,$B60,'февраль 2025'!$J$4:$J$2441,Q$1)</f>
        <v>0</v>
      </c>
      <c r="R60" s="182">
        <f>SUMIFS('февраль 2025'!$G$4:$G$2441,'февраль 2025'!$D$4:$D$2441,$B60,'февраль 2025'!$J$4:$J$2441,R$1)</f>
        <v>0</v>
      </c>
      <c r="S60" s="182">
        <f>SUMIFS('февраль 2025'!$G$4:$G$2441,'февраль 2025'!$D$4:$D$2441,$B60,'февраль 2025'!$J$4:$J$2441,S$1)</f>
        <v>0</v>
      </c>
      <c r="T60" s="182">
        <f>SUMIFS('февраль 2025'!$G$4:$G$2441,'февраль 2025'!$D$4:$D$2441,$B60,'февраль 2025'!$J$4:$J$2441,T$1)</f>
        <v>0</v>
      </c>
      <c r="U60" s="182">
        <f>SUMIFS('февраль 2025'!$G$4:$G$2441,'февраль 2025'!$D$4:$D$2441,$B60,'февраль 2025'!$J$4:$J$2441,U$1)</f>
        <v>0</v>
      </c>
      <c r="V60" s="182">
        <f>SUMIFS('февраль 2025'!$G$4:$G$2441,'февраль 2025'!$D$4:$D$2441,$B60,'февраль 2025'!$J$4:$J$2441,V$1)</f>
        <v>0</v>
      </c>
      <c r="W60" s="182">
        <f>SUMIFS('февраль 2025'!$G$4:$G$2441,'февраль 2025'!$D$4:$D$2441,$B60,'февраль 2025'!$J$4:$J$2441,W$1)</f>
        <v>0</v>
      </c>
      <c r="X60" s="182">
        <f>SUMIFS('февраль 2025'!$G$4:$G$2441,'февраль 2025'!$D$4:$D$2441,$B60,'февраль 2025'!$J$4:$J$2441,X$1)</f>
        <v>0</v>
      </c>
      <c r="Y60" s="182">
        <f>SUMIFS('февраль 2025'!$G$4:$G$2441,'февраль 2025'!$D$4:$D$2441,$B60,'февраль 2025'!$J$4:$J$2441,Y$1)</f>
        <v>0</v>
      </c>
      <c r="Z60" s="182">
        <f>SUMIFS('февраль 2025'!$G$4:$G$2441,'февраль 2025'!$D$4:$D$2441,$B60,'февраль 2025'!$J$4:$J$2441,Z$1)</f>
        <v>0</v>
      </c>
      <c r="AA60" s="182">
        <f>SUMIFS('февраль 2025'!$G$4:$G$2441,'февраль 2025'!$D$4:$D$2441,$B60,'февраль 2025'!$J$4:$J$2441,AA$1)</f>
        <v>0</v>
      </c>
      <c r="AB60" s="182">
        <f>SUMIFS('февраль 2025'!$G$4:$G$2441,'февраль 2025'!$D$4:$D$2441,$B60,'февраль 2025'!$J$4:$J$2441,AB$1)</f>
        <v>0</v>
      </c>
      <c r="AC60" s="182">
        <f>SUMIFS('февраль 2025'!$G$4:$G$2441,'февраль 2025'!$D$4:$D$2441,$B60,'февраль 2025'!$J$4:$J$2441,AC$1)</f>
        <v>0</v>
      </c>
      <c r="AD60" s="182">
        <f>SUMIFS('февраль 2025'!$G$4:$G$2441,'февраль 2025'!$D$4:$D$2441,$B60,'февраль 2025'!$J$4:$J$2441,AD$1)</f>
        <v>0</v>
      </c>
      <c r="AE60" s="182">
        <f>SUMIFS('февраль 2025'!$G$4:$G$2441,'февраль 2025'!$D$4:$D$2441,$B60,'февраль 2025'!$J$4:$J$2441,AE$1)</f>
        <v>0</v>
      </c>
      <c r="AF60" s="182">
        <f>SUMIFS('февраль 2025'!$G$4:$G$2441,'февраль 2025'!$D$4:$D$2441,$B60,'февраль 2025'!$J$4:$J$2441,AF$1)</f>
        <v>0</v>
      </c>
      <c r="AG60" s="182">
        <f>SUMIFS('февраль 2025'!$G$4:$G$2441,'февраль 2025'!$D$4:$D$2441,$B60,'февраль 2025'!$J$4:$J$2441,AG$1)</f>
        <v>0</v>
      </c>
      <c r="AH60" s="182">
        <f>SUMIFS('февраль 2025'!$G$4:$G$2441,'февраль 2025'!$D$4:$D$2441,$B60,'февраль 2025'!$J$4:$J$2441,AH$1)</f>
        <v>0</v>
      </c>
      <c r="AI60" s="20">
        <f t="shared" si="1"/>
        <v>0</v>
      </c>
    </row>
    <row r="61" spans="2:35" ht="15" customHeight="1" x14ac:dyDescent="0.25">
      <c r="B61" s="136"/>
      <c r="C61" s="132"/>
      <c r="D61" s="182">
        <f>SUMIFS('февраль 2025'!$G$4:$G$2441,'февраль 2025'!$D$4:$D$2441,$B61,'февраль 2025'!$J$4:$J$2441,D$1)</f>
        <v>0</v>
      </c>
      <c r="E61" s="182">
        <f>SUMIFS('февраль 2025'!$G$4:$G$2441,'февраль 2025'!$D$4:$D$2441,$B61,'февраль 2025'!$J$4:$J$2441,E$1)</f>
        <v>0</v>
      </c>
      <c r="F61" s="182">
        <f>SUMIFS('февраль 2025'!$G$4:$G$2441,'февраль 2025'!$D$4:$D$2441,$B61,'февраль 2025'!$J$4:$J$2441,F$1)</f>
        <v>0</v>
      </c>
      <c r="G61" s="182">
        <f>SUMIFS('февраль 2025'!$G$4:$G$2441,'февраль 2025'!$D$4:$D$2441,$B61,'февраль 2025'!$J$4:$J$2441,G$1)</f>
        <v>0</v>
      </c>
      <c r="H61" s="182">
        <f>SUMIFS('февраль 2025'!$G$4:$G$2441,'февраль 2025'!$D$4:$D$2441,$B61,'февраль 2025'!$J$4:$J$2441,H$1)</f>
        <v>0</v>
      </c>
      <c r="I61" s="182">
        <f>SUMIFS('февраль 2025'!$G$4:$G$2441,'февраль 2025'!$D$4:$D$2441,$B61,'февраль 2025'!$J$4:$J$2441,I$1)</f>
        <v>0</v>
      </c>
      <c r="J61" s="182">
        <f>SUMIFS('февраль 2025'!$G$4:$G$2441,'февраль 2025'!$D$4:$D$2441,$B61,'февраль 2025'!$J$4:$J$2441,J$1)</f>
        <v>0</v>
      </c>
      <c r="K61" s="182">
        <f>SUMIFS('февраль 2025'!$G$4:$G$2441,'февраль 2025'!$D$4:$D$2441,$B61,'февраль 2025'!$J$4:$J$2441,K$1)</f>
        <v>0</v>
      </c>
      <c r="L61" s="182">
        <f>SUMIFS('февраль 2025'!$G$4:$G$2441,'февраль 2025'!$D$4:$D$2441,$B61,'февраль 2025'!$J$4:$J$2441,L$1)</f>
        <v>0</v>
      </c>
      <c r="M61" s="182">
        <f>SUMIFS('февраль 2025'!$G$4:$G$2441,'февраль 2025'!$D$4:$D$2441,$B61,'февраль 2025'!$J$4:$J$2441,M$1)</f>
        <v>0</v>
      </c>
      <c r="N61" s="182">
        <f>SUMIFS('февраль 2025'!$G$4:$G$2441,'февраль 2025'!$D$4:$D$2441,$B61,'февраль 2025'!$J$4:$J$2441,N$1)</f>
        <v>0</v>
      </c>
      <c r="O61" s="182">
        <f>SUMIFS('февраль 2025'!$G$4:$G$2441,'февраль 2025'!$D$4:$D$2441,$B61,'февраль 2025'!$J$4:$J$2441,O$1)</f>
        <v>0</v>
      </c>
      <c r="P61" s="182">
        <f>SUMIFS('февраль 2025'!$G$4:$G$2441,'февраль 2025'!$D$4:$D$2441,$B61,'февраль 2025'!$J$4:$J$2441,P$1)</f>
        <v>0</v>
      </c>
      <c r="Q61" s="182">
        <f>SUMIFS('февраль 2025'!$G$4:$G$2441,'февраль 2025'!$D$4:$D$2441,$B61,'февраль 2025'!$J$4:$J$2441,Q$1)</f>
        <v>0</v>
      </c>
      <c r="R61" s="182">
        <f>SUMIFS('февраль 2025'!$G$4:$G$2441,'февраль 2025'!$D$4:$D$2441,$B61,'февраль 2025'!$J$4:$J$2441,R$1)</f>
        <v>0</v>
      </c>
      <c r="S61" s="182">
        <f>SUMIFS('февраль 2025'!$G$4:$G$2441,'февраль 2025'!$D$4:$D$2441,$B61,'февраль 2025'!$J$4:$J$2441,S$1)</f>
        <v>0</v>
      </c>
      <c r="T61" s="182">
        <f>SUMIFS('февраль 2025'!$G$4:$G$2441,'февраль 2025'!$D$4:$D$2441,$B61,'февраль 2025'!$J$4:$J$2441,T$1)</f>
        <v>0</v>
      </c>
      <c r="U61" s="182">
        <f>SUMIFS('февраль 2025'!$G$4:$G$2441,'февраль 2025'!$D$4:$D$2441,$B61,'февраль 2025'!$J$4:$J$2441,U$1)</f>
        <v>0</v>
      </c>
      <c r="V61" s="182">
        <f>SUMIFS('февраль 2025'!$G$4:$G$2441,'февраль 2025'!$D$4:$D$2441,$B61,'февраль 2025'!$J$4:$J$2441,V$1)</f>
        <v>0</v>
      </c>
      <c r="W61" s="182">
        <f>SUMIFS('февраль 2025'!$G$4:$G$2441,'февраль 2025'!$D$4:$D$2441,$B61,'февраль 2025'!$J$4:$J$2441,W$1)</f>
        <v>0</v>
      </c>
      <c r="X61" s="182">
        <f>SUMIFS('февраль 2025'!$G$4:$G$2441,'февраль 2025'!$D$4:$D$2441,$B61,'февраль 2025'!$J$4:$J$2441,X$1)</f>
        <v>0</v>
      </c>
      <c r="Y61" s="182">
        <f>SUMIFS('февраль 2025'!$G$4:$G$2441,'февраль 2025'!$D$4:$D$2441,$B61,'февраль 2025'!$J$4:$J$2441,Y$1)</f>
        <v>0</v>
      </c>
      <c r="Z61" s="182">
        <f>SUMIFS('февраль 2025'!$G$4:$G$2441,'февраль 2025'!$D$4:$D$2441,$B61,'февраль 2025'!$J$4:$J$2441,Z$1)</f>
        <v>0</v>
      </c>
      <c r="AA61" s="182">
        <f>SUMIFS('февраль 2025'!$G$4:$G$2441,'февраль 2025'!$D$4:$D$2441,$B61,'февраль 2025'!$J$4:$J$2441,AA$1)</f>
        <v>0</v>
      </c>
      <c r="AB61" s="182">
        <f>SUMIFS('февраль 2025'!$G$4:$G$2441,'февраль 2025'!$D$4:$D$2441,$B61,'февраль 2025'!$J$4:$J$2441,AB$1)</f>
        <v>0</v>
      </c>
      <c r="AC61" s="182">
        <f>SUMIFS('февраль 2025'!$G$4:$G$2441,'февраль 2025'!$D$4:$D$2441,$B61,'февраль 2025'!$J$4:$J$2441,AC$1)</f>
        <v>0</v>
      </c>
      <c r="AD61" s="182">
        <f>SUMIFS('февраль 2025'!$G$4:$G$2441,'февраль 2025'!$D$4:$D$2441,$B61,'февраль 2025'!$J$4:$J$2441,AD$1)</f>
        <v>0</v>
      </c>
      <c r="AE61" s="182">
        <f>SUMIFS('февраль 2025'!$G$4:$G$2441,'февраль 2025'!$D$4:$D$2441,$B61,'февраль 2025'!$J$4:$J$2441,AE$1)</f>
        <v>0</v>
      </c>
      <c r="AF61" s="182">
        <f>SUMIFS('февраль 2025'!$G$4:$G$2441,'февраль 2025'!$D$4:$D$2441,$B61,'февраль 2025'!$J$4:$J$2441,AF$1)</f>
        <v>0</v>
      </c>
      <c r="AG61" s="182">
        <f>SUMIFS('февраль 2025'!$G$4:$G$2441,'февраль 2025'!$D$4:$D$2441,$B61,'февраль 2025'!$J$4:$J$2441,AG$1)</f>
        <v>0</v>
      </c>
      <c r="AH61" s="182">
        <f>SUMIFS('февраль 2025'!$G$4:$G$2441,'февраль 2025'!$D$4:$D$2441,$B61,'февраль 2025'!$J$4:$J$2441,AH$1)</f>
        <v>0</v>
      </c>
      <c r="AI61" s="20">
        <f t="shared" si="1"/>
        <v>0</v>
      </c>
    </row>
    <row r="62" spans="2:35" ht="15" customHeight="1" x14ac:dyDescent="0.25">
      <c r="B62" s="87" t="s">
        <v>160</v>
      </c>
      <c r="C62" s="86">
        <v>200</v>
      </c>
      <c r="D62" s="183">
        <f>SUMIFS('февраль 2025'!$G$4:$G$2441,'февраль 2025'!$D$4:$D$2441,$B62,'февраль 2025'!$J$4:$J$2441,D$1)</f>
        <v>0</v>
      </c>
      <c r="E62" s="183">
        <f>SUMIFS('февраль 2025'!$G$4:$G$2441,'февраль 2025'!$D$4:$D$2441,$B62,'февраль 2025'!$J$4:$J$2441,E$1)</f>
        <v>0</v>
      </c>
      <c r="F62" s="183">
        <f>SUMIFS('февраль 2025'!$G$4:$G$2441,'февраль 2025'!$D$4:$D$2441,$B62,'февраль 2025'!$J$4:$J$2441,F$1)</f>
        <v>0</v>
      </c>
      <c r="G62" s="183">
        <f>SUMIFS('февраль 2025'!$G$4:$G$2441,'февраль 2025'!$D$4:$D$2441,$B62,'февраль 2025'!$J$4:$J$2441,G$1)</f>
        <v>0</v>
      </c>
      <c r="H62" s="183">
        <f>SUMIFS('февраль 2025'!$G$4:$G$2441,'февраль 2025'!$D$4:$D$2441,$B62,'февраль 2025'!$J$4:$J$2441,H$1)</f>
        <v>0</v>
      </c>
      <c r="I62" s="183">
        <f>SUMIFS('февраль 2025'!$G$4:$G$2441,'февраль 2025'!$D$4:$D$2441,$B62,'февраль 2025'!$J$4:$J$2441,I$1)</f>
        <v>0</v>
      </c>
      <c r="J62" s="183">
        <f>SUMIFS('февраль 2025'!$G$4:$G$2441,'февраль 2025'!$D$4:$D$2441,$B62,'февраль 2025'!$J$4:$J$2441,J$1)</f>
        <v>0</v>
      </c>
      <c r="K62" s="183">
        <f>SUMIFS('февраль 2025'!$G$4:$G$2441,'февраль 2025'!$D$4:$D$2441,$B62,'февраль 2025'!$J$4:$J$2441,K$1)</f>
        <v>0</v>
      </c>
      <c r="L62" s="183">
        <f>SUMIFS('февраль 2025'!$G$4:$G$2441,'февраль 2025'!$D$4:$D$2441,$B62,'февраль 2025'!$J$4:$J$2441,L$1)</f>
        <v>0</v>
      </c>
      <c r="M62" s="183">
        <f>SUMIFS('февраль 2025'!$G$4:$G$2441,'февраль 2025'!$D$4:$D$2441,$B62,'февраль 2025'!$J$4:$J$2441,M$1)</f>
        <v>0</v>
      </c>
      <c r="N62" s="183">
        <f>SUMIFS('февраль 2025'!$G$4:$G$2441,'февраль 2025'!$D$4:$D$2441,$B62,'февраль 2025'!$J$4:$J$2441,N$1)</f>
        <v>0</v>
      </c>
      <c r="O62" s="183">
        <f>SUMIFS('февраль 2025'!$G$4:$G$2441,'февраль 2025'!$D$4:$D$2441,$B62,'февраль 2025'!$J$4:$J$2441,O$1)</f>
        <v>0</v>
      </c>
      <c r="P62" s="183">
        <f>SUMIFS('февраль 2025'!$G$4:$G$2441,'февраль 2025'!$D$4:$D$2441,$B62,'февраль 2025'!$J$4:$J$2441,P$1)</f>
        <v>0</v>
      </c>
      <c r="Q62" s="183">
        <f>SUMIFS('февраль 2025'!$G$4:$G$2441,'февраль 2025'!$D$4:$D$2441,$B62,'февраль 2025'!$J$4:$J$2441,Q$1)</f>
        <v>0</v>
      </c>
      <c r="R62" s="183">
        <f>SUMIFS('февраль 2025'!$G$4:$G$2441,'февраль 2025'!$D$4:$D$2441,$B62,'февраль 2025'!$J$4:$J$2441,R$1)</f>
        <v>0</v>
      </c>
      <c r="S62" s="183">
        <f>SUMIFS('февраль 2025'!$G$4:$G$2441,'февраль 2025'!$D$4:$D$2441,$B62,'февраль 2025'!$J$4:$J$2441,S$1)</f>
        <v>0</v>
      </c>
      <c r="T62" s="183">
        <f>SUMIFS('февраль 2025'!$G$4:$G$2441,'февраль 2025'!$D$4:$D$2441,$B62,'февраль 2025'!$J$4:$J$2441,T$1)</f>
        <v>0</v>
      </c>
      <c r="U62" s="183">
        <f>SUMIFS('февраль 2025'!$G$4:$G$2441,'февраль 2025'!$D$4:$D$2441,$B62,'февраль 2025'!$J$4:$J$2441,U$1)</f>
        <v>0</v>
      </c>
      <c r="V62" s="183">
        <f>SUMIFS('февраль 2025'!$G$4:$G$2441,'февраль 2025'!$D$4:$D$2441,$B62,'февраль 2025'!$J$4:$J$2441,V$1)</f>
        <v>0</v>
      </c>
      <c r="W62" s="183">
        <f>SUMIFS('февраль 2025'!$G$4:$G$2441,'февраль 2025'!$D$4:$D$2441,$B62,'февраль 2025'!$J$4:$J$2441,W$1)</f>
        <v>0</v>
      </c>
      <c r="X62" s="183">
        <f>SUMIFS('февраль 2025'!$G$4:$G$2441,'февраль 2025'!$D$4:$D$2441,$B62,'февраль 2025'!$J$4:$J$2441,X$1)</f>
        <v>0</v>
      </c>
      <c r="Y62" s="183">
        <f>SUMIFS('февраль 2025'!$G$4:$G$2441,'февраль 2025'!$D$4:$D$2441,$B62,'февраль 2025'!$J$4:$J$2441,Y$1)</f>
        <v>0</v>
      </c>
      <c r="Z62" s="183">
        <f>SUMIFS('февраль 2025'!$G$4:$G$2441,'февраль 2025'!$D$4:$D$2441,$B62,'февраль 2025'!$J$4:$J$2441,Z$1)</f>
        <v>0</v>
      </c>
      <c r="AA62" s="183">
        <f>SUMIFS('февраль 2025'!$G$4:$G$2441,'февраль 2025'!$D$4:$D$2441,$B62,'февраль 2025'!$J$4:$J$2441,AA$1)</f>
        <v>0</v>
      </c>
      <c r="AB62" s="183">
        <f>SUMIFS('февраль 2025'!$G$4:$G$2441,'февраль 2025'!$D$4:$D$2441,$B62,'февраль 2025'!$J$4:$J$2441,AB$1)</f>
        <v>0</v>
      </c>
      <c r="AC62" s="183">
        <f>SUMIFS('февраль 2025'!$G$4:$G$2441,'февраль 2025'!$D$4:$D$2441,$B62,'февраль 2025'!$J$4:$J$2441,AC$1)</f>
        <v>0</v>
      </c>
      <c r="AD62" s="183">
        <f>SUMIFS('февраль 2025'!$G$4:$G$2441,'февраль 2025'!$D$4:$D$2441,$B62,'февраль 2025'!$J$4:$J$2441,AD$1)</f>
        <v>0</v>
      </c>
      <c r="AE62" s="183">
        <f>SUMIFS('февраль 2025'!$G$4:$G$2441,'февраль 2025'!$D$4:$D$2441,$B62,'февраль 2025'!$J$4:$J$2441,AE$1)</f>
        <v>0</v>
      </c>
      <c r="AF62" s="183">
        <f>SUMIFS('февраль 2025'!$G$4:$G$2441,'февраль 2025'!$D$4:$D$2441,$B62,'февраль 2025'!$J$4:$J$2441,AF$1)</f>
        <v>0</v>
      </c>
      <c r="AG62" s="183">
        <f>SUMIFS('февраль 2025'!$G$4:$G$2441,'февраль 2025'!$D$4:$D$2441,$B62,'февраль 2025'!$J$4:$J$2441,AG$1)</f>
        <v>0</v>
      </c>
      <c r="AH62" s="183">
        <f>SUMIFS('февраль 2025'!$G$4:$G$2441,'февраль 2025'!$D$4:$D$2441,$B62,'февраль 2025'!$J$4:$J$2441,AH$1)</f>
        <v>0</v>
      </c>
      <c r="AI62" s="20">
        <f t="shared" si="1"/>
        <v>0</v>
      </c>
    </row>
    <row r="63" spans="2:35" ht="15" customHeight="1" x14ac:dyDescent="0.25">
      <c r="B63" s="87" t="s">
        <v>308</v>
      </c>
      <c r="C63" s="86">
        <v>50</v>
      </c>
      <c r="D63" s="183">
        <f>SUMIFS('февраль 2025'!$G$4:$G$2441,'февраль 2025'!$D$4:$D$2441,$B63,'февраль 2025'!$J$4:$J$2441,D$1)</f>
        <v>0</v>
      </c>
      <c r="E63" s="183">
        <f>SUMIFS('февраль 2025'!$G$4:$G$2441,'февраль 2025'!$D$4:$D$2441,$B63,'февраль 2025'!$J$4:$J$2441,E$1)</f>
        <v>0</v>
      </c>
      <c r="F63" s="183">
        <f>SUMIFS('февраль 2025'!$G$4:$G$2441,'февраль 2025'!$D$4:$D$2441,$B63,'февраль 2025'!$J$4:$J$2441,F$1)</f>
        <v>0</v>
      </c>
      <c r="G63" s="183">
        <f>SUMIFS('февраль 2025'!$G$4:$G$2441,'февраль 2025'!$D$4:$D$2441,$B63,'февраль 2025'!$J$4:$J$2441,G$1)</f>
        <v>0</v>
      </c>
      <c r="H63" s="183">
        <f>SUMIFS('февраль 2025'!$G$4:$G$2441,'февраль 2025'!$D$4:$D$2441,$B63,'февраль 2025'!$J$4:$J$2441,H$1)</f>
        <v>0</v>
      </c>
      <c r="I63" s="183">
        <f>SUMIFS('февраль 2025'!$G$4:$G$2441,'февраль 2025'!$D$4:$D$2441,$B63,'февраль 2025'!$J$4:$J$2441,I$1)</f>
        <v>0</v>
      </c>
      <c r="J63" s="183">
        <f>SUMIFS('февраль 2025'!$G$4:$G$2441,'февраль 2025'!$D$4:$D$2441,$B63,'февраль 2025'!$J$4:$J$2441,J$1)</f>
        <v>0</v>
      </c>
      <c r="K63" s="183">
        <f>SUMIFS('февраль 2025'!$G$4:$G$2441,'февраль 2025'!$D$4:$D$2441,$B63,'февраль 2025'!$J$4:$J$2441,K$1)</f>
        <v>0</v>
      </c>
      <c r="L63" s="183">
        <f>SUMIFS('февраль 2025'!$G$4:$G$2441,'февраль 2025'!$D$4:$D$2441,$B63,'февраль 2025'!$J$4:$J$2441,L$1)</f>
        <v>0</v>
      </c>
      <c r="M63" s="183">
        <f>SUMIFS('февраль 2025'!$G$4:$G$2441,'февраль 2025'!$D$4:$D$2441,$B63,'февраль 2025'!$J$4:$J$2441,M$1)</f>
        <v>0</v>
      </c>
      <c r="N63" s="183">
        <f>SUMIFS('февраль 2025'!$G$4:$G$2441,'февраль 2025'!$D$4:$D$2441,$B63,'февраль 2025'!$J$4:$J$2441,N$1)</f>
        <v>0</v>
      </c>
      <c r="O63" s="183">
        <f>SUMIFS('февраль 2025'!$G$4:$G$2441,'февраль 2025'!$D$4:$D$2441,$B63,'февраль 2025'!$J$4:$J$2441,O$1)</f>
        <v>0</v>
      </c>
      <c r="P63" s="183">
        <f>SUMIFS('февраль 2025'!$G$4:$G$2441,'февраль 2025'!$D$4:$D$2441,$B63,'февраль 2025'!$J$4:$J$2441,P$1)</f>
        <v>0</v>
      </c>
      <c r="Q63" s="183">
        <f>SUMIFS('февраль 2025'!$G$4:$G$2441,'февраль 2025'!$D$4:$D$2441,$B63,'февраль 2025'!$J$4:$J$2441,Q$1)</f>
        <v>0</v>
      </c>
      <c r="R63" s="183">
        <f>SUMIFS('февраль 2025'!$G$4:$G$2441,'февраль 2025'!$D$4:$D$2441,$B63,'февраль 2025'!$J$4:$J$2441,R$1)</f>
        <v>0</v>
      </c>
      <c r="S63" s="183">
        <f>SUMIFS('февраль 2025'!$G$4:$G$2441,'февраль 2025'!$D$4:$D$2441,$B63,'февраль 2025'!$J$4:$J$2441,S$1)</f>
        <v>0</v>
      </c>
      <c r="T63" s="183">
        <f>SUMIFS('февраль 2025'!$G$4:$G$2441,'февраль 2025'!$D$4:$D$2441,$B63,'февраль 2025'!$J$4:$J$2441,T$1)</f>
        <v>0</v>
      </c>
      <c r="U63" s="183">
        <f>SUMIFS('февраль 2025'!$G$4:$G$2441,'февраль 2025'!$D$4:$D$2441,$B63,'февраль 2025'!$J$4:$J$2441,U$1)</f>
        <v>0</v>
      </c>
      <c r="V63" s="183">
        <f>SUMIFS('февраль 2025'!$G$4:$G$2441,'февраль 2025'!$D$4:$D$2441,$B63,'февраль 2025'!$J$4:$J$2441,V$1)</f>
        <v>0</v>
      </c>
      <c r="W63" s="183">
        <f>SUMIFS('февраль 2025'!$G$4:$G$2441,'февраль 2025'!$D$4:$D$2441,$B63,'февраль 2025'!$J$4:$J$2441,W$1)</f>
        <v>0</v>
      </c>
      <c r="X63" s="183">
        <f>SUMIFS('февраль 2025'!$G$4:$G$2441,'февраль 2025'!$D$4:$D$2441,$B63,'февраль 2025'!$J$4:$J$2441,X$1)</f>
        <v>0</v>
      </c>
      <c r="Y63" s="183">
        <f>SUMIFS('февраль 2025'!$G$4:$G$2441,'февраль 2025'!$D$4:$D$2441,$B63,'февраль 2025'!$J$4:$J$2441,Y$1)</f>
        <v>0</v>
      </c>
      <c r="Z63" s="183">
        <f>SUMIFS('февраль 2025'!$G$4:$G$2441,'февраль 2025'!$D$4:$D$2441,$B63,'февраль 2025'!$J$4:$J$2441,Z$1)</f>
        <v>0</v>
      </c>
      <c r="AA63" s="183">
        <f>SUMIFS('февраль 2025'!$G$4:$G$2441,'февраль 2025'!$D$4:$D$2441,$B63,'февраль 2025'!$J$4:$J$2441,AA$1)</f>
        <v>0</v>
      </c>
      <c r="AB63" s="183">
        <f>SUMIFS('февраль 2025'!$G$4:$G$2441,'февраль 2025'!$D$4:$D$2441,$B63,'февраль 2025'!$J$4:$J$2441,AB$1)</f>
        <v>0</v>
      </c>
      <c r="AC63" s="183">
        <f>SUMIFS('февраль 2025'!$G$4:$G$2441,'февраль 2025'!$D$4:$D$2441,$B63,'февраль 2025'!$J$4:$J$2441,AC$1)</f>
        <v>0</v>
      </c>
      <c r="AD63" s="183">
        <f>SUMIFS('февраль 2025'!$G$4:$G$2441,'февраль 2025'!$D$4:$D$2441,$B63,'февраль 2025'!$J$4:$J$2441,AD$1)</f>
        <v>0</v>
      </c>
      <c r="AE63" s="183">
        <f>SUMIFS('февраль 2025'!$G$4:$G$2441,'февраль 2025'!$D$4:$D$2441,$B63,'февраль 2025'!$J$4:$J$2441,AE$1)</f>
        <v>0</v>
      </c>
      <c r="AF63" s="183">
        <f>SUMIFS('февраль 2025'!$G$4:$G$2441,'февраль 2025'!$D$4:$D$2441,$B63,'февраль 2025'!$J$4:$J$2441,AF$1)</f>
        <v>0</v>
      </c>
      <c r="AG63" s="183">
        <f>SUMIFS('февраль 2025'!$G$4:$G$2441,'февраль 2025'!$D$4:$D$2441,$B63,'февраль 2025'!$J$4:$J$2441,AG$1)</f>
        <v>0</v>
      </c>
      <c r="AH63" s="183">
        <f>SUMIFS('февраль 2025'!$G$4:$G$2441,'февраль 2025'!$D$4:$D$2441,$B63,'февраль 2025'!$J$4:$J$2441,AH$1)</f>
        <v>0</v>
      </c>
      <c r="AI63" s="20">
        <f t="shared" si="1"/>
        <v>0</v>
      </c>
    </row>
    <row r="64" spans="2:35" ht="15" customHeight="1" x14ac:dyDescent="0.25">
      <c r="B64" s="88" t="s">
        <v>198</v>
      </c>
      <c r="C64" s="86">
        <v>200</v>
      </c>
      <c r="D64" s="183">
        <f>SUMIFS('февраль 2025'!$G$4:$G$2441,'февраль 2025'!$D$4:$D$2441,$B64,'февраль 2025'!$J$4:$J$2441,D$1)</f>
        <v>0</v>
      </c>
      <c r="E64" s="183">
        <f>SUMIFS('февраль 2025'!$G$4:$G$2441,'февраль 2025'!$D$4:$D$2441,$B64,'февраль 2025'!$J$4:$J$2441,E$1)</f>
        <v>0</v>
      </c>
      <c r="F64" s="183">
        <f>SUMIFS('февраль 2025'!$G$4:$G$2441,'февраль 2025'!$D$4:$D$2441,$B64,'февраль 2025'!$J$4:$J$2441,F$1)</f>
        <v>0</v>
      </c>
      <c r="G64" s="183">
        <f>SUMIFS('февраль 2025'!$G$4:$G$2441,'февраль 2025'!$D$4:$D$2441,$B64,'февраль 2025'!$J$4:$J$2441,G$1)</f>
        <v>0</v>
      </c>
      <c r="H64" s="183">
        <f>SUMIFS('февраль 2025'!$G$4:$G$2441,'февраль 2025'!$D$4:$D$2441,$B64,'февраль 2025'!$J$4:$J$2441,H$1)</f>
        <v>0</v>
      </c>
      <c r="I64" s="183">
        <f>SUMIFS('февраль 2025'!$G$4:$G$2441,'февраль 2025'!$D$4:$D$2441,$B64,'февраль 2025'!$J$4:$J$2441,I$1)</f>
        <v>0</v>
      </c>
      <c r="J64" s="183">
        <f>SUMIFS('февраль 2025'!$G$4:$G$2441,'февраль 2025'!$D$4:$D$2441,$B64,'февраль 2025'!$J$4:$J$2441,J$1)</f>
        <v>0</v>
      </c>
      <c r="K64" s="183">
        <f>SUMIFS('февраль 2025'!$G$4:$G$2441,'февраль 2025'!$D$4:$D$2441,$B64,'февраль 2025'!$J$4:$J$2441,K$1)</f>
        <v>0</v>
      </c>
      <c r="L64" s="183">
        <f>SUMIFS('февраль 2025'!$G$4:$G$2441,'февраль 2025'!$D$4:$D$2441,$B64,'февраль 2025'!$J$4:$J$2441,L$1)</f>
        <v>0</v>
      </c>
      <c r="M64" s="183">
        <f>SUMIFS('февраль 2025'!$G$4:$G$2441,'февраль 2025'!$D$4:$D$2441,$B64,'февраль 2025'!$J$4:$J$2441,M$1)</f>
        <v>0</v>
      </c>
      <c r="N64" s="183">
        <f>SUMIFS('февраль 2025'!$G$4:$G$2441,'февраль 2025'!$D$4:$D$2441,$B64,'февраль 2025'!$J$4:$J$2441,N$1)</f>
        <v>0</v>
      </c>
      <c r="O64" s="183">
        <f>SUMIFS('февраль 2025'!$G$4:$G$2441,'февраль 2025'!$D$4:$D$2441,$B64,'февраль 2025'!$J$4:$J$2441,O$1)</f>
        <v>0</v>
      </c>
      <c r="P64" s="183">
        <f>SUMIFS('февраль 2025'!$G$4:$G$2441,'февраль 2025'!$D$4:$D$2441,$B64,'февраль 2025'!$J$4:$J$2441,P$1)</f>
        <v>0</v>
      </c>
      <c r="Q64" s="183">
        <f>SUMIFS('февраль 2025'!$G$4:$G$2441,'февраль 2025'!$D$4:$D$2441,$B64,'февраль 2025'!$J$4:$J$2441,Q$1)</f>
        <v>0</v>
      </c>
      <c r="R64" s="183">
        <f>SUMIFS('февраль 2025'!$G$4:$G$2441,'февраль 2025'!$D$4:$D$2441,$B64,'февраль 2025'!$J$4:$J$2441,R$1)</f>
        <v>0</v>
      </c>
      <c r="S64" s="183">
        <f>SUMIFS('февраль 2025'!$G$4:$G$2441,'февраль 2025'!$D$4:$D$2441,$B64,'февраль 2025'!$J$4:$J$2441,S$1)</f>
        <v>0</v>
      </c>
      <c r="T64" s="183">
        <f>SUMIFS('февраль 2025'!$G$4:$G$2441,'февраль 2025'!$D$4:$D$2441,$B64,'февраль 2025'!$J$4:$J$2441,T$1)</f>
        <v>0</v>
      </c>
      <c r="U64" s="183">
        <f>SUMIFS('февраль 2025'!$G$4:$G$2441,'февраль 2025'!$D$4:$D$2441,$B64,'февраль 2025'!$J$4:$J$2441,U$1)</f>
        <v>0</v>
      </c>
      <c r="V64" s="183">
        <f>SUMIFS('февраль 2025'!$G$4:$G$2441,'февраль 2025'!$D$4:$D$2441,$B64,'февраль 2025'!$J$4:$J$2441,V$1)</f>
        <v>0</v>
      </c>
      <c r="W64" s="183">
        <f>SUMIFS('февраль 2025'!$G$4:$G$2441,'февраль 2025'!$D$4:$D$2441,$B64,'февраль 2025'!$J$4:$J$2441,W$1)</f>
        <v>0</v>
      </c>
      <c r="X64" s="183">
        <f>SUMIFS('февраль 2025'!$G$4:$G$2441,'февраль 2025'!$D$4:$D$2441,$B64,'февраль 2025'!$J$4:$J$2441,X$1)</f>
        <v>0</v>
      </c>
      <c r="Y64" s="183">
        <f>SUMIFS('февраль 2025'!$G$4:$G$2441,'февраль 2025'!$D$4:$D$2441,$B64,'февраль 2025'!$J$4:$J$2441,Y$1)</f>
        <v>0</v>
      </c>
      <c r="Z64" s="183">
        <f>SUMIFS('февраль 2025'!$G$4:$G$2441,'февраль 2025'!$D$4:$D$2441,$B64,'февраль 2025'!$J$4:$J$2441,Z$1)</f>
        <v>0</v>
      </c>
      <c r="AA64" s="183">
        <f>SUMIFS('февраль 2025'!$G$4:$G$2441,'февраль 2025'!$D$4:$D$2441,$B64,'февраль 2025'!$J$4:$J$2441,AA$1)</f>
        <v>0</v>
      </c>
      <c r="AB64" s="183">
        <f>SUMIFS('февраль 2025'!$G$4:$G$2441,'февраль 2025'!$D$4:$D$2441,$B64,'февраль 2025'!$J$4:$J$2441,AB$1)</f>
        <v>0</v>
      </c>
      <c r="AC64" s="183">
        <f>SUMIFS('февраль 2025'!$G$4:$G$2441,'февраль 2025'!$D$4:$D$2441,$B64,'февраль 2025'!$J$4:$J$2441,AC$1)</f>
        <v>0</v>
      </c>
      <c r="AD64" s="183">
        <f>SUMIFS('февраль 2025'!$G$4:$G$2441,'февраль 2025'!$D$4:$D$2441,$B64,'февраль 2025'!$J$4:$J$2441,AD$1)</f>
        <v>0</v>
      </c>
      <c r="AE64" s="183">
        <f>SUMIFS('февраль 2025'!$G$4:$G$2441,'февраль 2025'!$D$4:$D$2441,$B64,'февраль 2025'!$J$4:$J$2441,AE$1)</f>
        <v>0</v>
      </c>
      <c r="AF64" s="183">
        <f>SUMIFS('февраль 2025'!$G$4:$G$2441,'февраль 2025'!$D$4:$D$2441,$B64,'февраль 2025'!$J$4:$J$2441,AF$1)</f>
        <v>0</v>
      </c>
      <c r="AG64" s="183">
        <f>SUMIFS('февраль 2025'!$G$4:$G$2441,'февраль 2025'!$D$4:$D$2441,$B64,'февраль 2025'!$J$4:$J$2441,AG$1)</f>
        <v>0</v>
      </c>
      <c r="AH64" s="183">
        <f>SUMIFS('февраль 2025'!$G$4:$G$2441,'февраль 2025'!$D$4:$D$2441,$B64,'февраль 2025'!$J$4:$J$2441,AH$1)</f>
        <v>0</v>
      </c>
      <c r="AI64" s="20">
        <f t="shared" si="1"/>
        <v>0</v>
      </c>
    </row>
    <row r="65" spans="2:35" ht="15" customHeight="1" x14ac:dyDescent="0.25">
      <c r="B65" s="88" t="s">
        <v>207</v>
      </c>
      <c r="C65" s="86">
        <v>25</v>
      </c>
      <c r="D65" s="183">
        <f>SUMIFS('февраль 2025'!$G$4:$G$2441,'февраль 2025'!$D$4:$D$2441,$B65,'февраль 2025'!$J$4:$J$2441,D$1)</f>
        <v>0</v>
      </c>
      <c r="E65" s="183">
        <f>SUMIFS('февраль 2025'!$G$4:$G$2441,'февраль 2025'!$D$4:$D$2441,$B65,'февраль 2025'!$J$4:$J$2441,E$1)</f>
        <v>0</v>
      </c>
      <c r="F65" s="183">
        <f>SUMIFS('февраль 2025'!$G$4:$G$2441,'февраль 2025'!$D$4:$D$2441,$B65,'февраль 2025'!$J$4:$J$2441,F$1)</f>
        <v>0</v>
      </c>
      <c r="G65" s="183">
        <f>SUMIFS('февраль 2025'!$G$4:$G$2441,'февраль 2025'!$D$4:$D$2441,$B65,'февраль 2025'!$J$4:$J$2441,G$1)</f>
        <v>0</v>
      </c>
      <c r="H65" s="183">
        <f>SUMIFS('февраль 2025'!$G$4:$G$2441,'февраль 2025'!$D$4:$D$2441,$B65,'февраль 2025'!$J$4:$J$2441,H$1)</f>
        <v>0</v>
      </c>
      <c r="I65" s="183">
        <f>SUMIFS('февраль 2025'!$G$4:$G$2441,'февраль 2025'!$D$4:$D$2441,$B65,'февраль 2025'!$J$4:$J$2441,I$1)</f>
        <v>0</v>
      </c>
      <c r="J65" s="183">
        <f>SUMIFS('февраль 2025'!$G$4:$G$2441,'февраль 2025'!$D$4:$D$2441,$B65,'февраль 2025'!$J$4:$J$2441,J$1)</f>
        <v>0</v>
      </c>
      <c r="K65" s="183">
        <f>SUMIFS('февраль 2025'!$G$4:$G$2441,'февраль 2025'!$D$4:$D$2441,$B65,'февраль 2025'!$J$4:$J$2441,K$1)</f>
        <v>0</v>
      </c>
      <c r="L65" s="183">
        <f>SUMIFS('февраль 2025'!$G$4:$G$2441,'февраль 2025'!$D$4:$D$2441,$B65,'февраль 2025'!$J$4:$J$2441,L$1)</f>
        <v>0</v>
      </c>
      <c r="M65" s="183">
        <f>SUMIFS('февраль 2025'!$G$4:$G$2441,'февраль 2025'!$D$4:$D$2441,$B65,'февраль 2025'!$J$4:$J$2441,M$1)</f>
        <v>0</v>
      </c>
      <c r="N65" s="183">
        <f>SUMIFS('февраль 2025'!$G$4:$G$2441,'февраль 2025'!$D$4:$D$2441,$B65,'февраль 2025'!$J$4:$J$2441,N$1)</f>
        <v>0</v>
      </c>
      <c r="O65" s="183">
        <f>SUMIFS('февраль 2025'!$G$4:$G$2441,'февраль 2025'!$D$4:$D$2441,$B65,'февраль 2025'!$J$4:$J$2441,O$1)</f>
        <v>0</v>
      </c>
      <c r="P65" s="183">
        <f>SUMIFS('февраль 2025'!$G$4:$G$2441,'февраль 2025'!$D$4:$D$2441,$B65,'февраль 2025'!$J$4:$J$2441,P$1)</f>
        <v>0</v>
      </c>
      <c r="Q65" s="183">
        <f>SUMIFS('февраль 2025'!$G$4:$G$2441,'февраль 2025'!$D$4:$D$2441,$B65,'февраль 2025'!$J$4:$J$2441,Q$1)</f>
        <v>0</v>
      </c>
      <c r="R65" s="183">
        <f>SUMIFS('февраль 2025'!$G$4:$G$2441,'февраль 2025'!$D$4:$D$2441,$B65,'февраль 2025'!$J$4:$J$2441,R$1)</f>
        <v>0</v>
      </c>
      <c r="S65" s="183">
        <f>SUMIFS('февраль 2025'!$G$4:$G$2441,'февраль 2025'!$D$4:$D$2441,$B65,'февраль 2025'!$J$4:$J$2441,S$1)</f>
        <v>0</v>
      </c>
      <c r="T65" s="183">
        <f>SUMIFS('февраль 2025'!$G$4:$G$2441,'февраль 2025'!$D$4:$D$2441,$B65,'февраль 2025'!$J$4:$J$2441,T$1)</f>
        <v>0</v>
      </c>
      <c r="U65" s="183">
        <f>SUMIFS('февраль 2025'!$G$4:$G$2441,'февраль 2025'!$D$4:$D$2441,$B65,'февраль 2025'!$J$4:$J$2441,U$1)</f>
        <v>0</v>
      </c>
      <c r="V65" s="183">
        <f>SUMIFS('февраль 2025'!$G$4:$G$2441,'февраль 2025'!$D$4:$D$2441,$B65,'февраль 2025'!$J$4:$J$2441,V$1)</f>
        <v>0</v>
      </c>
      <c r="W65" s="183">
        <f>SUMIFS('февраль 2025'!$G$4:$G$2441,'февраль 2025'!$D$4:$D$2441,$B65,'февраль 2025'!$J$4:$J$2441,W$1)</f>
        <v>0</v>
      </c>
      <c r="X65" s="183">
        <f>SUMIFS('февраль 2025'!$G$4:$G$2441,'февраль 2025'!$D$4:$D$2441,$B65,'февраль 2025'!$J$4:$J$2441,X$1)</f>
        <v>0</v>
      </c>
      <c r="Y65" s="183">
        <f>SUMIFS('февраль 2025'!$G$4:$G$2441,'февраль 2025'!$D$4:$D$2441,$B65,'февраль 2025'!$J$4:$J$2441,Y$1)</f>
        <v>0</v>
      </c>
      <c r="Z65" s="183">
        <f>SUMIFS('февраль 2025'!$G$4:$G$2441,'февраль 2025'!$D$4:$D$2441,$B65,'февраль 2025'!$J$4:$J$2441,Z$1)</f>
        <v>0</v>
      </c>
      <c r="AA65" s="183">
        <f>SUMIFS('февраль 2025'!$G$4:$G$2441,'февраль 2025'!$D$4:$D$2441,$B65,'февраль 2025'!$J$4:$J$2441,AA$1)</f>
        <v>0</v>
      </c>
      <c r="AB65" s="183">
        <f>SUMIFS('февраль 2025'!$G$4:$G$2441,'февраль 2025'!$D$4:$D$2441,$B65,'февраль 2025'!$J$4:$J$2441,AB$1)</f>
        <v>0</v>
      </c>
      <c r="AC65" s="183">
        <f>SUMIFS('февраль 2025'!$G$4:$G$2441,'февраль 2025'!$D$4:$D$2441,$B65,'февраль 2025'!$J$4:$J$2441,AC$1)</f>
        <v>0</v>
      </c>
      <c r="AD65" s="183">
        <f>SUMIFS('февраль 2025'!$G$4:$G$2441,'февраль 2025'!$D$4:$D$2441,$B65,'февраль 2025'!$J$4:$J$2441,AD$1)</f>
        <v>0</v>
      </c>
      <c r="AE65" s="183">
        <f>SUMIFS('февраль 2025'!$G$4:$G$2441,'февраль 2025'!$D$4:$D$2441,$B65,'февраль 2025'!$J$4:$J$2441,AE$1)</f>
        <v>0</v>
      </c>
      <c r="AF65" s="183">
        <f>SUMIFS('февраль 2025'!$G$4:$G$2441,'февраль 2025'!$D$4:$D$2441,$B65,'февраль 2025'!$J$4:$J$2441,AF$1)</f>
        <v>0</v>
      </c>
      <c r="AG65" s="183">
        <f>SUMIFS('февраль 2025'!$G$4:$G$2441,'февраль 2025'!$D$4:$D$2441,$B65,'февраль 2025'!$J$4:$J$2441,AG$1)</f>
        <v>0</v>
      </c>
      <c r="AH65" s="183">
        <f>SUMIFS('февраль 2025'!$G$4:$G$2441,'февраль 2025'!$D$4:$D$2441,$B65,'февраль 2025'!$J$4:$J$2441,AH$1)</f>
        <v>0</v>
      </c>
      <c r="AI65" s="20">
        <f t="shared" si="1"/>
        <v>0</v>
      </c>
    </row>
    <row r="66" spans="2:35" ht="15" customHeight="1" x14ac:dyDescent="0.25">
      <c r="B66" s="88" t="s">
        <v>179</v>
      </c>
      <c r="C66" s="86">
        <v>50</v>
      </c>
      <c r="D66" s="183">
        <f>SUMIFS('февраль 2025'!$G$4:$G$2441,'февраль 2025'!$D$4:$D$2441,$B66,'февраль 2025'!$J$4:$J$2441,D$1)</f>
        <v>0</v>
      </c>
      <c r="E66" s="183">
        <f>SUMIFS('февраль 2025'!$G$4:$G$2441,'февраль 2025'!$D$4:$D$2441,$B66,'февраль 2025'!$J$4:$J$2441,E$1)</f>
        <v>0</v>
      </c>
      <c r="F66" s="183">
        <f>SUMIFS('февраль 2025'!$G$4:$G$2441,'февраль 2025'!$D$4:$D$2441,$B66,'февраль 2025'!$J$4:$J$2441,F$1)</f>
        <v>0</v>
      </c>
      <c r="G66" s="183">
        <f>SUMIFS('февраль 2025'!$G$4:$G$2441,'февраль 2025'!$D$4:$D$2441,$B66,'февраль 2025'!$J$4:$J$2441,G$1)</f>
        <v>0</v>
      </c>
      <c r="H66" s="183">
        <f>SUMIFS('февраль 2025'!$G$4:$G$2441,'февраль 2025'!$D$4:$D$2441,$B66,'февраль 2025'!$J$4:$J$2441,H$1)</f>
        <v>0</v>
      </c>
      <c r="I66" s="183">
        <f>SUMIFS('февраль 2025'!$G$4:$G$2441,'февраль 2025'!$D$4:$D$2441,$B66,'февраль 2025'!$J$4:$J$2441,I$1)</f>
        <v>0</v>
      </c>
      <c r="J66" s="183">
        <f>SUMIFS('февраль 2025'!$G$4:$G$2441,'февраль 2025'!$D$4:$D$2441,$B66,'февраль 2025'!$J$4:$J$2441,J$1)</f>
        <v>0</v>
      </c>
      <c r="K66" s="183">
        <f>SUMIFS('февраль 2025'!$G$4:$G$2441,'февраль 2025'!$D$4:$D$2441,$B66,'февраль 2025'!$J$4:$J$2441,K$1)</f>
        <v>0</v>
      </c>
      <c r="L66" s="183">
        <f>SUMIFS('февраль 2025'!$G$4:$G$2441,'февраль 2025'!$D$4:$D$2441,$B66,'февраль 2025'!$J$4:$J$2441,L$1)</f>
        <v>0</v>
      </c>
      <c r="M66" s="183">
        <f>SUMIFS('февраль 2025'!$G$4:$G$2441,'февраль 2025'!$D$4:$D$2441,$B66,'февраль 2025'!$J$4:$J$2441,M$1)</f>
        <v>0</v>
      </c>
      <c r="N66" s="183">
        <f>SUMIFS('февраль 2025'!$G$4:$G$2441,'февраль 2025'!$D$4:$D$2441,$B66,'февраль 2025'!$J$4:$J$2441,N$1)</f>
        <v>0</v>
      </c>
      <c r="O66" s="183">
        <f>SUMIFS('февраль 2025'!$G$4:$G$2441,'февраль 2025'!$D$4:$D$2441,$B66,'февраль 2025'!$J$4:$J$2441,O$1)</f>
        <v>0</v>
      </c>
      <c r="P66" s="183">
        <f>SUMIFS('февраль 2025'!$G$4:$G$2441,'февраль 2025'!$D$4:$D$2441,$B66,'февраль 2025'!$J$4:$J$2441,P$1)</f>
        <v>0</v>
      </c>
      <c r="Q66" s="183">
        <f>SUMIFS('февраль 2025'!$G$4:$G$2441,'февраль 2025'!$D$4:$D$2441,$B66,'февраль 2025'!$J$4:$J$2441,Q$1)</f>
        <v>0</v>
      </c>
      <c r="R66" s="183">
        <f>SUMIFS('февраль 2025'!$G$4:$G$2441,'февраль 2025'!$D$4:$D$2441,$B66,'февраль 2025'!$J$4:$J$2441,R$1)</f>
        <v>0</v>
      </c>
      <c r="S66" s="183">
        <f>SUMIFS('февраль 2025'!$G$4:$G$2441,'февраль 2025'!$D$4:$D$2441,$B66,'февраль 2025'!$J$4:$J$2441,S$1)</f>
        <v>0</v>
      </c>
      <c r="T66" s="183">
        <f>SUMIFS('февраль 2025'!$G$4:$G$2441,'февраль 2025'!$D$4:$D$2441,$B66,'февраль 2025'!$J$4:$J$2441,T$1)</f>
        <v>0</v>
      </c>
      <c r="U66" s="183">
        <f>SUMIFS('февраль 2025'!$G$4:$G$2441,'февраль 2025'!$D$4:$D$2441,$B66,'февраль 2025'!$J$4:$J$2441,U$1)</f>
        <v>0</v>
      </c>
      <c r="V66" s="183">
        <f>SUMIFS('февраль 2025'!$G$4:$G$2441,'февраль 2025'!$D$4:$D$2441,$B66,'февраль 2025'!$J$4:$J$2441,V$1)</f>
        <v>0</v>
      </c>
      <c r="W66" s="183">
        <f>SUMIFS('февраль 2025'!$G$4:$G$2441,'февраль 2025'!$D$4:$D$2441,$B66,'февраль 2025'!$J$4:$J$2441,W$1)</f>
        <v>0</v>
      </c>
      <c r="X66" s="183">
        <f>SUMIFS('февраль 2025'!$G$4:$G$2441,'февраль 2025'!$D$4:$D$2441,$B66,'февраль 2025'!$J$4:$J$2441,X$1)</f>
        <v>0</v>
      </c>
      <c r="Y66" s="183">
        <f>SUMIFS('февраль 2025'!$G$4:$G$2441,'февраль 2025'!$D$4:$D$2441,$B66,'февраль 2025'!$J$4:$J$2441,Y$1)</f>
        <v>0</v>
      </c>
      <c r="Z66" s="183">
        <f>SUMIFS('февраль 2025'!$G$4:$G$2441,'февраль 2025'!$D$4:$D$2441,$B66,'февраль 2025'!$J$4:$J$2441,Z$1)</f>
        <v>0</v>
      </c>
      <c r="AA66" s="183">
        <f>SUMIFS('февраль 2025'!$G$4:$G$2441,'февраль 2025'!$D$4:$D$2441,$B66,'февраль 2025'!$J$4:$J$2441,AA$1)</f>
        <v>0</v>
      </c>
      <c r="AB66" s="183">
        <f>SUMIFS('февраль 2025'!$G$4:$G$2441,'февраль 2025'!$D$4:$D$2441,$B66,'февраль 2025'!$J$4:$J$2441,AB$1)</f>
        <v>0</v>
      </c>
      <c r="AC66" s="183">
        <f>SUMIFS('февраль 2025'!$G$4:$G$2441,'февраль 2025'!$D$4:$D$2441,$B66,'февраль 2025'!$J$4:$J$2441,AC$1)</f>
        <v>0</v>
      </c>
      <c r="AD66" s="183">
        <f>SUMIFS('февраль 2025'!$G$4:$G$2441,'февраль 2025'!$D$4:$D$2441,$B66,'февраль 2025'!$J$4:$J$2441,AD$1)</f>
        <v>0</v>
      </c>
      <c r="AE66" s="183">
        <f>SUMIFS('февраль 2025'!$G$4:$G$2441,'февраль 2025'!$D$4:$D$2441,$B66,'февраль 2025'!$J$4:$J$2441,AE$1)</f>
        <v>0</v>
      </c>
      <c r="AF66" s="183">
        <f>SUMIFS('февраль 2025'!$G$4:$G$2441,'февраль 2025'!$D$4:$D$2441,$B66,'февраль 2025'!$J$4:$J$2441,AF$1)</f>
        <v>0</v>
      </c>
      <c r="AG66" s="183">
        <f>SUMIFS('февраль 2025'!$G$4:$G$2441,'февраль 2025'!$D$4:$D$2441,$B66,'февраль 2025'!$J$4:$J$2441,AG$1)</f>
        <v>0</v>
      </c>
      <c r="AH66" s="183">
        <f>SUMIFS('февраль 2025'!$G$4:$G$2441,'февраль 2025'!$D$4:$D$2441,$B66,'февраль 2025'!$J$4:$J$2441,AH$1)</f>
        <v>0</v>
      </c>
      <c r="AI66" s="20">
        <f t="shared" si="1"/>
        <v>0</v>
      </c>
    </row>
    <row r="67" spans="2:35" ht="15.75" x14ac:dyDescent="0.25">
      <c r="B67" s="84" t="s">
        <v>158</v>
      </c>
      <c r="C67" s="83">
        <v>200</v>
      </c>
      <c r="D67" s="183">
        <f>SUMIFS('февраль 2025'!$G$4:$G$2441,'февраль 2025'!$D$4:$D$2441,$B67,'февраль 2025'!$J$4:$J$2441,D$1)</f>
        <v>0</v>
      </c>
      <c r="E67" s="183">
        <f>SUMIFS('февраль 2025'!$G$4:$G$2441,'февраль 2025'!$D$4:$D$2441,$B67,'февраль 2025'!$J$4:$J$2441,E$1)</f>
        <v>0</v>
      </c>
      <c r="F67" s="183">
        <f>SUMIFS('февраль 2025'!$G$4:$G$2441,'февраль 2025'!$D$4:$D$2441,$B67,'февраль 2025'!$J$4:$J$2441,F$1)</f>
        <v>0</v>
      </c>
      <c r="G67" s="183">
        <f>SUMIFS('февраль 2025'!$G$4:$G$2441,'февраль 2025'!$D$4:$D$2441,$B67,'февраль 2025'!$J$4:$J$2441,G$1)</f>
        <v>0</v>
      </c>
      <c r="H67" s="183">
        <f>SUMIFS('февраль 2025'!$G$4:$G$2441,'февраль 2025'!$D$4:$D$2441,$B67,'февраль 2025'!$J$4:$J$2441,H$1)</f>
        <v>0</v>
      </c>
      <c r="I67" s="183">
        <f>SUMIFS('февраль 2025'!$G$4:$G$2441,'февраль 2025'!$D$4:$D$2441,$B67,'февраль 2025'!$J$4:$J$2441,I$1)</f>
        <v>0</v>
      </c>
      <c r="J67" s="183">
        <f>SUMIFS('февраль 2025'!$G$4:$G$2441,'февраль 2025'!$D$4:$D$2441,$B67,'февраль 2025'!$J$4:$J$2441,J$1)</f>
        <v>0</v>
      </c>
      <c r="K67" s="183">
        <f>SUMIFS('февраль 2025'!$G$4:$G$2441,'февраль 2025'!$D$4:$D$2441,$B67,'февраль 2025'!$J$4:$J$2441,K$1)</f>
        <v>0</v>
      </c>
      <c r="L67" s="183">
        <f>SUMIFS('февраль 2025'!$G$4:$G$2441,'февраль 2025'!$D$4:$D$2441,$B67,'февраль 2025'!$J$4:$J$2441,L$1)</f>
        <v>0</v>
      </c>
      <c r="M67" s="183">
        <f>SUMIFS('февраль 2025'!$G$4:$G$2441,'февраль 2025'!$D$4:$D$2441,$B67,'февраль 2025'!$J$4:$J$2441,M$1)</f>
        <v>0</v>
      </c>
      <c r="N67" s="183">
        <f>SUMIFS('февраль 2025'!$G$4:$G$2441,'февраль 2025'!$D$4:$D$2441,$B67,'февраль 2025'!$J$4:$J$2441,N$1)</f>
        <v>0</v>
      </c>
      <c r="O67" s="183">
        <f>SUMIFS('февраль 2025'!$G$4:$G$2441,'февраль 2025'!$D$4:$D$2441,$B67,'февраль 2025'!$J$4:$J$2441,O$1)</f>
        <v>0</v>
      </c>
      <c r="P67" s="183">
        <f>SUMIFS('февраль 2025'!$G$4:$G$2441,'февраль 2025'!$D$4:$D$2441,$B67,'февраль 2025'!$J$4:$J$2441,P$1)</f>
        <v>0</v>
      </c>
      <c r="Q67" s="183">
        <f>SUMIFS('февраль 2025'!$G$4:$G$2441,'февраль 2025'!$D$4:$D$2441,$B67,'февраль 2025'!$J$4:$J$2441,Q$1)</f>
        <v>0</v>
      </c>
      <c r="R67" s="183">
        <f>SUMIFS('февраль 2025'!$G$4:$G$2441,'февраль 2025'!$D$4:$D$2441,$B67,'февраль 2025'!$J$4:$J$2441,R$1)</f>
        <v>0</v>
      </c>
      <c r="S67" s="183">
        <f>SUMIFS('февраль 2025'!$G$4:$G$2441,'февраль 2025'!$D$4:$D$2441,$B67,'февраль 2025'!$J$4:$J$2441,S$1)</f>
        <v>0</v>
      </c>
      <c r="T67" s="183">
        <f>SUMIFS('февраль 2025'!$G$4:$G$2441,'февраль 2025'!$D$4:$D$2441,$B67,'февраль 2025'!$J$4:$J$2441,T$1)</f>
        <v>0</v>
      </c>
      <c r="U67" s="183">
        <f>SUMIFS('февраль 2025'!$G$4:$G$2441,'февраль 2025'!$D$4:$D$2441,$B67,'февраль 2025'!$J$4:$J$2441,U$1)</f>
        <v>0</v>
      </c>
      <c r="V67" s="183">
        <f>SUMIFS('февраль 2025'!$G$4:$G$2441,'февраль 2025'!$D$4:$D$2441,$B67,'февраль 2025'!$J$4:$J$2441,V$1)</f>
        <v>0</v>
      </c>
      <c r="W67" s="183">
        <f>SUMIFS('февраль 2025'!$G$4:$G$2441,'февраль 2025'!$D$4:$D$2441,$B67,'февраль 2025'!$J$4:$J$2441,W$1)</f>
        <v>0</v>
      </c>
      <c r="X67" s="183">
        <f>SUMIFS('февраль 2025'!$G$4:$G$2441,'февраль 2025'!$D$4:$D$2441,$B67,'февраль 2025'!$J$4:$J$2441,X$1)</f>
        <v>0</v>
      </c>
      <c r="Y67" s="183">
        <f>SUMIFS('февраль 2025'!$G$4:$G$2441,'февраль 2025'!$D$4:$D$2441,$B67,'февраль 2025'!$J$4:$J$2441,Y$1)</f>
        <v>0</v>
      </c>
      <c r="Z67" s="183">
        <f>SUMIFS('февраль 2025'!$G$4:$G$2441,'февраль 2025'!$D$4:$D$2441,$B67,'февраль 2025'!$J$4:$J$2441,Z$1)</f>
        <v>0</v>
      </c>
      <c r="AA67" s="183">
        <f>SUMIFS('февраль 2025'!$G$4:$G$2441,'февраль 2025'!$D$4:$D$2441,$B67,'февраль 2025'!$J$4:$J$2441,AA$1)</f>
        <v>0</v>
      </c>
      <c r="AB67" s="183">
        <f>SUMIFS('февраль 2025'!$G$4:$G$2441,'февраль 2025'!$D$4:$D$2441,$B67,'февраль 2025'!$J$4:$J$2441,AB$1)</f>
        <v>0</v>
      </c>
      <c r="AC67" s="183">
        <f>SUMIFS('февраль 2025'!$G$4:$G$2441,'февраль 2025'!$D$4:$D$2441,$B67,'февраль 2025'!$J$4:$J$2441,AC$1)</f>
        <v>0</v>
      </c>
      <c r="AD67" s="183">
        <f>SUMIFS('февраль 2025'!$G$4:$G$2441,'февраль 2025'!$D$4:$D$2441,$B67,'февраль 2025'!$J$4:$J$2441,AD$1)</f>
        <v>0</v>
      </c>
      <c r="AE67" s="183">
        <f>SUMIFS('февраль 2025'!$G$4:$G$2441,'февраль 2025'!$D$4:$D$2441,$B67,'февраль 2025'!$J$4:$J$2441,AE$1)</f>
        <v>0</v>
      </c>
      <c r="AF67" s="183">
        <f>SUMIFS('февраль 2025'!$G$4:$G$2441,'февраль 2025'!$D$4:$D$2441,$B67,'февраль 2025'!$J$4:$J$2441,AF$1)</f>
        <v>0</v>
      </c>
      <c r="AG67" s="183">
        <f>SUMIFS('февраль 2025'!$G$4:$G$2441,'февраль 2025'!$D$4:$D$2441,$B67,'февраль 2025'!$J$4:$J$2441,AG$1)</f>
        <v>0</v>
      </c>
      <c r="AH67" s="183">
        <f>SUMIFS('февраль 2025'!$G$4:$G$2441,'февраль 2025'!$D$4:$D$2441,$B67,'февраль 2025'!$J$4:$J$2441,AH$1)</f>
        <v>0</v>
      </c>
      <c r="AI67" s="20">
        <f t="shared" si="1"/>
        <v>0</v>
      </c>
    </row>
    <row r="68" spans="2:35" ht="15.75" x14ac:dyDescent="0.25">
      <c r="B68" s="88" t="s">
        <v>157</v>
      </c>
      <c r="C68" s="86">
        <v>200</v>
      </c>
      <c r="D68" s="183">
        <f>SUMIFS('февраль 2025'!$G$4:$G$2441,'февраль 2025'!$D$4:$D$2441,$B68,'февраль 2025'!$J$4:$J$2441,D$1)</f>
        <v>0</v>
      </c>
      <c r="E68" s="183">
        <f>SUMIFS('февраль 2025'!$G$4:$G$2441,'февраль 2025'!$D$4:$D$2441,$B68,'февраль 2025'!$J$4:$J$2441,E$1)</f>
        <v>0</v>
      </c>
      <c r="F68" s="183">
        <f>SUMIFS('февраль 2025'!$G$4:$G$2441,'февраль 2025'!$D$4:$D$2441,$B68,'февраль 2025'!$J$4:$J$2441,F$1)</f>
        <v>0</v>
      </c>
      <c r="G68" s="183">
        <f>SUMIFS('февраль 2025'!$G$4:$G$2441,'февраль 2025'!$D$4:$D$2441,$B68,'февраль 2025'!$J$4:$J$2441,G$1)</f>
        <v>0</v>
      </c>
      <c r="H68" s="183">
        <f>SUMIFS('февраль 2025'!$G$4:$G$2441,'февраль 2025'!$D$4:$D$2441,$B68,'февраль 2025'!$J$4:$J$2441,H$1)</f>
        <v>0</v>
      </c>
      <c r="I68" s="183">
        <f>SUMIFS('февраль 2025'!$G$4:$G$2441,'февраль 2025'!$D$4:$D$2441,$B68,'февраль 2025'!$J$4:$J$2441,I$1)</f>
        <v>0</v>
      </c>
      <c r="J68" s="183">
        <f>SUMIFS('февраль 2025'!$G$4:$G$2441,'февраль 2025'!$D$4:$D$2441,$B68,'февраль 2025'!$J$4:$J$2441,J$1)</f>
        <v>0</v>
      </c>
      <c r="K68" s="183">
        <f>SUMIFS('февраль 2025'!$G$4:$G$2441,'февраль 2025'!$D$4:$D$2441,$B68,'февраль 2025'!$J$4:$J$2441,K$1)</f>
        <v>0</v>
      </c>
      <c r="L68" s="183">
        <f>SUMIFS('февраль 2025'!$G$4:$G$2441,'февраль 2025'!$D$4:$D$2441,$B68,'февраль 2025'!$J$4:$J$2441,L$1)</f>
        <v>0</v>
      </c>
      <c r="M68" s="183">
        <f>SUMIFS('февраль 2025'!$G$4:$G$2441,'февраль 2025'!$D$4:$D$2441,$B68,'февраль 2025'!$J$4:$J$2441,M$1)</f>
        <v>0</v>
      </c>
      <c r="N68" s="183">
        <f>SUMIFS('февраль 2025'!$G$4:$G$2441,'февраль 2025'!$D$4:$D$2441,$B68,'февраль 2025'!$J$4:$J$2441,N$1)</f>
        <v>0</v>
      </c>
      <c r="O68" s="183">
        <f>SUMIFS('февраль 2025'!$G$4:$G$2441,'февраль 2025'!$D$4:$D$2441,$B68,'февраль 2025'!$J$4:$J$2441,O$1)</f>
        <v>0</v>
      </c>
      <c r="P68" s="183">
        <f>SUMIFS('февраль 2025'!$G$4:$G$2441,'февраль 2025'!$D$4:$D$2441,$B68,'февраль 2025'!$J$4:$J$2441,P$1)</f>
        <v>0</v>
      </c>
      <c r="Q68" s="183">
        <f>SUMIFS('февраль 2025'!$G$4:$G$2441,'февраль 2025'!$D$4:$D$2441,$B68,'февраль 2025'!$J$4:$J$2441,Q$1)</f>
        <v>0</v>
      </c>
      <c r="R68" s="183">
        <f>SUMIFS('февраль 2025'!$G$4:$G$2441,'февраль 2025'!$D$4:$D$2441,$B68,'февраль 2025'!$J$4:$J$2441,R$1)</f>
        <v>0</v>
      </c>
      <c r="S68" s="183">
        <f>SUMIFS('февраль 2025'!$G$4:$G$2441,'февраль 2025'!$D$4:$D$2441,$B68,'февраль 2025'!$J$4:$J$2441,S$1)</f>
        <v>0</v>
      </c>
      <c r="T68" s="183">
        <f>SUMIFS('февраль 2025'!$G$4:$G$2441,'февраль 2025'!$D$4:$D$2441,$B68,'февраль 2025'!$J$4:$J$2441,T$1)</f>
        <v>0</v>
      </c>
      <c r="U68" s="183">
        <f>SUMIFS('февраль 2025'!$G$4:$G$2441,'февраль 2025'!$D$4:$D$2441,$B68,'февраль 2025'!$J$4:$J$2441,U$1)</f>
        <v>0</v>
      </c>
      <c r="V68" s="183">
        <f>SUMIFS('февраль 2025'!$G$4:$G$2441,'февраль 2025'!$D$4:$D$2441,$B68,'февраль 2025'!$J$4:$J$2441,V$1)</f>
        <v>0</v>
      </c>
      <c r="W68" s="183">
        <f>SUMIFS('февраль 2025'!$G$4:$G$2441,'февраль 2025'!$D$4:$D$2441,$B68,'февраль 2025'!$J$4:$J$2441,W$1)</f>
        <v>0</v>
      </c>
      <c r="X68" s="183">
        <f>SUMIFS('февраль 2025'!$G$4:$G$2441,'февраль 2025'!$D$4:$D$2441,$B68,'февраль 2025'!$J$4:$J$2441,X$1)</f>
        <v>88</v>
      </c>
      <c r="Y68" s="183">
        <f>SUMIFS('февраль 2025'!$G$4:$G$2441,'февраль 2025'!$D$4:$D$2441,$B68,'февраль 2025'!$J$4:$J$2441,Y$1)</f>
        <v>0</v>
      </c>
      <c r="Z68" s="183">
        <f>SUMIFS('февраль 2025'!$G$4:$G$2441,'февраль 2025'!$D$4:$D$2441,$B68,'февраль 2025'!$J$4:$J$2441,Z$1)</f>
        <v>0</v>
      </c>
      <c r="AA68" s="183">
        <f>SUMIFS('февраль 2025'!$G$4:$G$2441,'февраль 2025'!$D$4:$D$2441,$B68,'февраль 2025'!$J$4:$J$2441,AA$1)</f>
        <v>0</v>
      </c>
      <c r="AB68" s="183">
        <f>SUMIFS('февраль 2025'!$G$4:$G$2441,'февраль 2025'!$D$4:$D$2441,$B68,'февраль 2025'!$J$4:$J$2441,AB$1)</f>
        <v>0</v>
      </c>
      <c r="AC68" s="183">
        <f>SUMIFS('февраль 2025'!$G$4:$G$2441,'февраль 2025'!$D$4:$D$2441,$B68,'февраль 2025'!$J$4:$J$2441,AC$1)</f>
        <v>0</v>
      </c>
      <c r="AD68" s="183">
        <f>SUMIFS('февраль 2025'!$G$4:$G$2441,'февраль 2025'!$D$4:$D$2441,$B68,'февраль 2025'!$J$4:$J$2441,AD$1)</f>
        <v>0</v>
      </c>
      <c r="AE68" s="183">
        <f>SUMIFS('февраль 2025'!$G$4:$G$2441,'февраль 2025'!$D$4:$D$2441,$B68,'февраль 2025'!$J$4:$J$2441,AE$1)</f>
        <v>88</v>
      </c>
      <c r="AF68" s="183">
        <f>SUMIFS('февраль 2025'!$G$4:$G$2441,'февраль 2025'!$D$4:$D$2441,$B68,'февраль 2025'!$J$4:$J$2441,AF$1)</f>
        <v>0</v>
      </c>
      <c r="AG68" s="183">
        <f>SUMIFS('февраль 2025'!$G$4:$G$2441,'февраль 2025'!$D$4:$D$2441,$B68,'февраль 2025'!$J$4:$J$2441,AG$1)</f>
        <v>0</v>
      </c>
      <c r="AH68" s="183">
        <f>SUMIFS('февраль 2025'!$G$4:$G$2441,'февраль 2025'!$D$4:$D$2441,$B68,'февраль 2025'!$J$4:$J$2441,AH$1)</f>
        <v>0</v>
      </c>
      <c r="AI68" s="20">
        <f t="shared" si="1"/>
        <v>176</v>
      </c>
    </row>
    <row r="69" spans="2:35" ht="15.75" x14ac:dyDescent="0.25">
      <c r="B69" s="88" t="s">
        <v>299</v>
      </c>
      <c r="C69" s="86">
        <v>200</v>
      </c>
      <c r="D69" s="183">
        <f>SUMIFS('февраль 2025'!$G$4:$G$2441,'февраль 2025'!$D$4:$D$2441,$B69,'февраль 2025'!$J$4:$J$2441,D$1)</f>
        <v>0</v>
      </c>
      <c r="E69" s="183">
        <f>SUMIFS('февраль 2025'!$G$4:$G$2441,'февраль 2025'!$D$4:$D$2441,$B69,'февраль 2025'!$J$4:$J$2441,E$1)</f>
        <v>0</v>
      </c>
      <c r="F69" s="183">
        <f>SUMIFS('февраль 2025'!$G$4:$G$2441,'февраль 2025'!$D$4:$D$2441,$B69,'февраль 2025'!$J$4:$J$2441,F$1)</f>
        <v>0</v>
      </c>
      <c r="G69" s="183">
        <f>SUMIFS('февраль 2025'!$G$4:$G$2441,'февраль 2025'!$D$4:$D$2441,$B69,'февраль 2025'!$J$4:$J$2441,G$1)</f>
        <v>0</v>
      </c>
      <c r="H69" s="183">
        <f>SUMIFS('февраль 2025'!$G$4:$G$2441,'февраль 2025'!$D$4:$D$2441,$B69,'февраль 2025'!$J$4:$J$2441,H$1)</f>
        <v>0</v>
      </c>
      <c r="I69" s="183">
        <f>SUMIFS('февраль 2025'!$G$4:$G$2441,'февраль 2025'!$D$4:$D$2441,$B69,'февраль 2025'!$J$4:$J$2441,I$1)</f>
        <v>0</v>
      </c>
      <c r="J69" s="183">
        <f>SUMIFS('февраль 2025'!$G$4:$G$2441,'февраль 2025'!$D$4:$D$2441,$B69,'февраль 2025'!$J$4:$J$2441,J$1)</f>
        <v>0</v>
      </c>
      <c r="K69" s="183">
        <f>SUMIFS('февраль 2025'!$G$4:$G$2441,'февраль 2025'!$D$4:$D$2441,$B69,'февраль 2025'!$J$4:$J$2441,K$1)</f>
        <v>0</v>
      </c>
      <c r="L69" s="183">
        <f>SUMIFS('февраль 2025'!$G$4:$G$2441,'февраль 2025'!$D$4:$D$2441,$B69,'февраль 2025'!$J$4:$J$2441,L$1)</f>
        <v>0</v>
      </c>
      <c r="M69" s="183">
        <f>SUMIFS('февраль 2025'!$G$4:$G$2441,'февраль 2025'!$D$4:$D$2441,$B69,'февраль 2025'!$J$4:$J$2441,M$1)</f>
        <v>0</v>
      </c>
      <c r="N69" s="183">
        <f>SUMIFS('февраль 2025'!$G$4:$G$2441,'февраль 2025'!$D$4:$D$2441,$B69,'февраль 2025'!$J$4:$J$2441,N$1)</f>
        <v>0</v>
      </c>
      <c r="O69" s="183">
        <f>SUMIFS('февраль 2025'!$G$4:$G$2441,'февраль 2025'!$D$4:$D$2441,$B69,'февраль 2025'!$J$4:$J$2441,O$1)</f>
        <v>0</v>
      </c>
      <c r="P69" s="183">
        <f>SUMIFS('февраль 2025'!$G$4:$G$2441,'февраль 2025'!$D$4:$D$2441,$B69,'февраль 2025'!$J$4:$J$2441,P$1)</f>
        <v>0</v>
      </c>
      <c r="Q69" s="183">
        <f>SUMIFS('февраль 2025'!$G$4:$G$2441,'февраль 2025'!$D$4:$D$2441,$B69,'февраль 2025'!$J$4:$J$2441,Q$1)</f>
        <v>0</v>
      </c>
      <c r="R69" s="183">
        <f>SUMIFS('февраль 2025'!$G$4:$G$2441,'февраль 2025'!$D$4:$D$2441,$B69,'февраль 2025'!$J$4:$J$2441,R$1)</f>
        <v>0</v>
      </c>
      <c r="S69" s="183">
        <f>SUMIFS('февраль 2025'!$G$4:$G$2441,'февраль 2025'!$D$4:$D$2441,$B69,'февраль 2025'!$J$4:$J$2441,S$1)</f>
        <v>0</v>
      </c>
      <c r="T69" s="183">
        <f>SUMIFS('февраль 2025'!$G$4:$G$2441,'февраль 2025'!$D$4:$D$2441,$B69,'февраль 2025'!$J$4:$J$2441,T$1)</f>
        <v>0</v>
      </c>
      <c r="U69" s="183">
        <f>SUMIFS('февраль 2025'!$G$4:$G$2441,'февраль 2025'!$D$4:$D$2441,$B69,'февраль 2025'!$J$4:$J$2441,U$1)</f>
        <v>0</v>
      </c>
      <c r="V69" s="183">
        <f>SUMIFS('февраль 2025'!$G$4:$G$2441,'февраль 2025'!$D$4:$D$2441,$B69,'февраль 2025'!$J$4:$J$2441,V$1)</f>
        <v>0</v>
      </c>
      <c r="W69" s="183">
        <f>SUMIFS('февраль 2025'!$G$4:$G$2441,'февраль 2025'!$D$4:$D$2441,$B69,'февраль 2025'!$J$4:$J$2441,W$1)</f>
        <v>0</v>
      </c>
      <c r="X69" s="183">
        <f>SUMIFS('февраль 2025'!$G$4:$G$2441,'февраль 2025'!$D$4:$D$2441,$B69,'февраль 2025'!$J$4:$J$2441,X$1)</f>
        <v>0</v>
      </c>
      <c r="Y69" s="183">
        <f>SUMIFS('февраль 2025'!$G$4:$G$2441,'февраль 2025'!$D$4:$D$2441,$B69,'февраль 2025'!$J$4:$J$2441,Y$1)</f>
        <v>0</v>
      </c>
      <c r="Z69" s="183">
        <f>SUMIFS('февраль 2025'!$G$4:$G$2441,'февраль 2025'!$D$4:$D$2441,$B69,'февраль 2025'!$J$4:$J$2441,Z$1)</f>
        <v>0</v>
      </c>
      <c r="AA69" s="183">
        <f>SUMIFS('февраль 2025'!$G$4:$G$2441,'февраль 2025'!$D$4:$D$2441,$B69,'февраль 2025'!$J$4:$J$2441,AA$1)</f>
        <v>0</v>
      </c>
      <c r="AB69" s="183">
        <f>SUMIFS('февраль 2025'!$G$4:$G$2441,'февраль 2025'!$D$4:$D$2441,$B69,'февраль 2025'!$J$4:$J$2441,AB$1)</f>
        <v>0</v>
      </c>
      <c r="AC69" s="183">
        <f>SUMIFS('февраль 2025'!$G$4:$G$2441,'февраль 2025'!$D$4:$D$2441,$B69,'февраль 2025'!$J$4:$J$2441,AC$1)</f>
        <v>0</v>
      </c>
      <c r="AD69" s="183">
        <f>SUMIFS('февраль 2025'!$G$4:$G$2441,'февраль 2025'!$D$4:$D$2441,$B69,'февраль 2025'!$J$4:$J$2441,AD$1)</f>
        <v>0</v>
      </c>
      <c r="AE69" s="183">
        <f>SUMIFS('февраль 2025'!$G$4:$G$2441,'февраль 2025'!$D$4:$D$2441,$B69,'февраль 2025'!$J$4:$J$2441,AE$1)</f>
        <v>0</v>
      </c>
      <c r="AF69" s="183">
        <f>SUMIFS('февраль 2025'!$G$4:$G$2441,'февраль 2025'!$D$4:$D$2441,$B69,'февраль 2025'!$J$4:$J$2441,AF$1)</f>
        <v>0</v>
      </c>
      <c r="AG69" s="183">
        <f>SUMIFS('февраль 2025'!$G$4:$G$2441,'февраль 2025'!$D$4:$D$2441,$B69,'февраль 2025'!$J$4:$J$2441,AG$1)</f>
        <v>0</v>
      </c>
      <c r="AH69" s="183">
        <f>SUMIFS('февраль 2025'!$G$4:$G$2441,'февраль 2025'!$D$4:$D$2441,$B69,'февраль 2025'!$J$4:$J$2441,AH$1)</f>
        <v>0</v>
      </c>
      <c r="AI69" s="20">
        <f t="shared" si="1"/>
        <v>0</v>
      </c>
    </row>
    <row r="70" spans="2:35" ht="15" customHeight="1" x14ac:dyDescent="0.25">
      <c r="B70" s="88" t="s">
        <v>202</v>
      </c>
      <c r="C70" s="86">
        <v>200</v>
      </c>
      <c r="D70" s="183">
        <f>SUMIFS('февраль 2025'!$G$4:$G$2441,'февраль 2025'!$D$4:$D$2441,$B70,'февраль 2025'!$J$4:$J$2441,D$1)</f>
        <v>0</v>
      </c>
      <c r="E70" s="183">
        <f>SUMIFS('февраль 2025'!$G$4:$G$2441,'февраль 2025'!$D$4:$D$2441,$B70,'февраль 2025'!$J$4:$J$2441,E$1)</f>
        <v>0</v>
      </c>
      <c r="F70" s="183">
        <f>SUMIFS('февраль 2025'!$G$4:$G$2441,'февраль 2025'!$D$4:$D$2441,$B70,'февраль 2025'!$J$4:$J$2441,F$1)</f>
        <v>0</v>
      </c>
      <c r="G70" s="183">
        <f>SUMIFS('февраль 2025'!$G$4:$G$2441,'февраль 2025'!$D$4:$D$2441,$B70,'февраль 2025'!$J$4:$J$2441,G$1)</f>
        <v>0</v>
      </c>
      <c r="H70" s="183">
        <f>SUMIFS('февраль 2025'!$G$4:$G$2441,'февраль 2025'!$D$4:$D$2441,$B70,'февраль 2025'!$J$4:$J$2441,H$1)</f>
        <v>0</v>
      </c>
      <c r="I70" s="183">
        <f>SUMIFS('февраль 2025'!$G$4:$G$2441,'февраль 2025'!$D$4:$D$2441,$B70,'февраль 2025'!$J$4:$J$2441,I$1)</f>
        <v>0</v>
      </c>
      <c r="J70" s="183">
        <f>SUMIFS('февраль 2025'!$G$4:$G$2441,'февраль 2025'!$D$4:$D$2441,$B70,'февраль 2025'!$J$4:$J$2441,J$1)</f>
        <v>0</v>
      </c>
      <c r="K70" s="183">
        <f>SUMIFS('февраль 2025'!$G$4:$G$2441,'февраль 2025'!$D$4:$D$2441,$B70,'февраль 2025'!$J$4:$J$2441,K$1)</f>
        <v>0</v>
      </c>
      <c r="L70" s="183">
        <f>SUMIFS('февраль 2025'!$G$4:$G$2441,'февраль 2025'!$D$4:$D$2441,$B70,'февраль 2025'!$J$4:$J$2441,L$1)</f>
        <v>0</v>
      </c>
      <c r="M70" s="183">
        <f>SUMIFS('февраль 2025'!$G$4:$G$2441,'февраль 2025'!$D$4:$D$2441,$B70,'февраль 2025'!$J$4:$J$2441,M$1)</f>
        <v>0</v>
      </c>
      <c r="N70" s="183">
        <f>SUMIFS('февраль 2025'!$G$4:$G$2441,'февраль 2025'!$D$4:$D$2441,$B70,'февраль 2025'!$J$4:$J$2441,N$1)</f>
        <v>0</v>
      </c>
      <c r="O70" s="183">
        <f>SUMIFS('февраль 2025'!$G$4:$G$2441,'февраль 2025'!$D$4:$D$2441,$B70,'февраль 2025'!$J$4:$J$2441,O$1)</f>
        <v>0</v>
      </c>
      <c r="P70" s="183">
        <f>SUMIFS('февраль 2025'!$G$4:$G$2441,'февраль 2025'!$D$4:$D$2441,$B70,'февраль 2025'!$J$4:$J$2441,P$1)</f>
        <v>0</v>
      </c>
      <c r="Q70" s="183">
        <f>SUMIFS('февраль 2025'!$G$4:$G$2441,'февраль 2025'!$D$4:$D$2441,$B70,'февраль 2025'!$J$4:$J$2441,Q$1)</f>
        <v>0</v>
      </c>
      <c r="R70" s="183">
        <f>SUMIFS('февраль 2025'!$G$4:$G$2441,'февраль 2025'!$D$4:$D$2441,$B70,'февраль 2025'!$J$4:$J$2441,R$1)</f>
        <v>0</v>
      </c>
      <c r="S70" s="183">
        <f>SUMIFS('февраль 2025'!$G$4:$G$2441,'февраль 2025'!$D$4:$D$2441,$B70,'февраль 2025'!$J$4:$J$2441,S$1)</f>
        <v>0</v>
      </c>
      <c r="T70" s="183">
        <f>SUMIFS('февраль 2025'!$G$4:$G$2441,'февраль 2025'!$D$4:$D$2441,$B70,'февраль 2025'!$J$4:$J$2441,T$1)</f>
        <v>0</v>
      </c>
      <c r="U70" s="183">
        <f>SUMIFS('февраль 2025'!$G$4:$G$2441,'февраль 2025'!$D$4:$D$2441,$B70,'февраль 2025'!$J$4:$J$2441,U$1)</f>
        <v>0</v>
      </c>
      <c r="V70" s="183">
        <f>SUMIFS('февраль 2025'!$G$4:$G$2441,'февраль 2025'!$D$4:$D$2441,$B70,'февраль 2025'!$J$4:$J$2441,V$1)</f>
        <v>0</v>
      </c>
      <c r="W70" s="183">
        <f>SUMIFS('февраль 2025'!$G$4:$G$2441,'февраль 2025'!$D$4:$D$2441,$B70,'февраль 2025'!$J$4:$J$2441,W$1)</f>
        <v>0</v>
      </c>
      <c r="X70" s="183">
        <f>SUMIFS('февраль 2025'!$G$4:$G$2441,'февраль 2025'!$D$4:$D$2441,$B70,'февраль 2025'!$J$4:$J$2441,X$1)</f>
        <v>0</v>
      </c>
      <c r="Y70" s="183">
        <f>SUMIFS('февраль 2025'!$G$4:$G$2441,'февраль 2025'!$D$4:$D$2441,$B70,'февраль 2025'!$J$4:$J$2441,Y$1)</f>
        <v>0</v>
      </c>
      <c r="Z70" s="183">
        <f>SUMIFS('февраль 2025'!$G$4:$G$2441,'февраль 2025'!$D$4:$D$2441,$B70,'февраль 2025'!$J$4:$J$2441,Z$1)</f>
        <v>0</v>
      </c>
      <c r="AA70" s="183">
        <f>SUMIFS('февраль 2025'!$G$4:$G$2441,'февраль 2025'!$D$4:$D$2441,$B70,'февраль 2025'!$J$4:$J$2441,AA$1)</f>
        <v>0</v>
      </c>
      <c r="AB70" s="183">
        <f>SUMIFS('февраль 2025'!$G$4:$G$2441,'февраль 2025'!$D$4:$D$2441,$B70,'февраль 2025'!$J$4:$J$2441,AB$1)</f>
        <v>0</v>
      </c>
      <c r="AC70" s="183">
        <f>SUMIFS('февраль 2025'!$G$4:$G$2441,'февраль 2025'!$D$4:$D$2441,$B70,'февраль 2025'!$J$4:$J$2441,AC$1)</f>
        <v>0</v>
      </c>
      <c r="AD70" s="183">
        <f>SUMIFS('февраль 2025'!$G$4:$G$2441,'февраль 2025'!$D$4:$D$2441,$B70,'февраль 2025'!$J$4:$J$2441,AD$1)</f>
        <v>0</v>
      </c>
      <c r="AE70" s="183">
        <f>SUMIFS('февраль 2025'!$G$4:$G$2441,'февраль 2025'!$D$4:$D$2441,$B70,'февраль 2025'!$J$4:$J$2441,AE$1)</f>
        <v>0</v>
      </c>
      <c r="AF70" s="183">
        <f>SUMIFS('февраль 2025'!$G$4:$G$2441,'февраль 2025'!$D$4:$D$2441,$B70,'февраль 2025'!$J$4:$J$2441,AF$1)</f>
        <v>0</v>
      </c>
      <c r="AG70" s="183">
        <f>SUMIFS('февраль 2025'!$G$4:$G$2441,'февраль 2025'!$D$4:$D$2441,$B70,'февраль 2025'!$J$4:$J$2441,AG$1)</f>
        <v>0</v>
      </c>
      <c r="AH70" s="183">
        <f>SUMIFS('февраль 2025'!$G$4:$G$2441,'февраль 2025'!$D$4:$D$2441,$B70,'февраль 2025'!$J$4:$J$2441,AH$1)</f>
        <v>0</v>
      </c>
      <c r="AI70" s="20">
        <f t="shared" si="1"/>
        <v>0</v>
      </c>
    </row>
    <row r="71" spans="2:35" ht="15" customHeight="1" x14ac:dyDescent="0.25">
      <c r="B71" s="88" t="s">
        <v>187</v>
      </c>
      <c r="C71" s="86">
        <v>200</v>
      </c>
      <c r="D71" s="183">
        <f>SUMIFS('февраль 2025'!$G$4:$G$2441,'февраль 2025'!$D$4:$D$2441,$B71,'февраль 2025'!$J$4:$J$2441,D$1)</f>
        <v>0</v>
      </c>
      <c r="E71" s="183">
        <f>SUMIFS('февраль 2025'!$G$4:$G$2441,'февраль 2025'!$D$4:$D$2441,$B71,'февраль 2025'!$J$4:$J$2441,E$1)</f>
        <v>0</v>
      </c>
      <c r="F71" s="183">
        <f>SUMIFS('февраль 2025'!$G$4:$G$2441,'февраль 2025'!$D$4:$D$2441,$B71,'февраль 2025'!$J$4:$J$2441,F$1)</f>
        <v>0</v>
      </c>
      <c r="G71" s="183">
        <f>SUMIFS('февраль 2025'!$G$4:$G$2441,'февраль 2025'!$D$4:$D$2441,$B71,'февраль 2025'!$J$4:$J$2441,G$1)</f>
        <v>0</v>
      </c>
      <c r="H71" s="183">
        <f>SUMIFS('февраль 2025'!$G$4:$G$2441,'февраль 2025'!$D$4:$D$2441,$B71,'февраль 2025'!$J$4:$J$2441,H$1)</f>
        <v>0</v>
      </c>
      <c r="I71" s="183">
        <f>SUMIFS('февраль 2025'!$G$4:$G$2441,'февраль 2025'!$D$4:$D$2441,$B71,'февраль 2025'!$J$4:$J$2441,I$1)</f>
        <v>0</v>
      </c>
      <c r="J71" s="183">
        <f>SUMIFS('февраль 2025'!$G$4:$G$2441,'февраль 2025'!$D$4:$D$2441,$B71,'февраль 2025'!$J$4:$J$2441,J$1)</f>
        <v>0</v>
      </c>
      <c r="K71" s="183">
        <f>SUMIFS('февраль 2025'!$G$4:$G$2441,'февраль 2025'!$D$4:$D$2441,$B71,'февраль 2025'!$J$4:$J$2441,K$1)</f>
        <v>0</v>
      </c>
      <c r="L71" s="183">
        <f>SUMIFS('февраль 2025'!$G$4:$G$2441,'февраль 2025'!$D$4:$D$2441,$B71,'февраль 2025'!$J$4:$J$2441,L$1)</f>
        <v>0</v>
      </c>
      <c r="M71" s="183">
        <f>SUMIFS('февраль 2025'!$G$4:$G$2441,'февраль 2025'!$D$4:$D$2441,$B71,'февраль 2025'!$J$4:$J$2441,M$1)</f>
        <v>0</v>
      </c>
      <c r="N71" s="183">
        <f>SUMIFS('февраль 2025'!$G$4:$G$2441,'февраль 2025'!$D$4:$D$2441,$B71,'февраль 2025'!$J$4:$J$2441,N$1)</f>
        <v>0</v>
      </c>
      <c r="O71" s="183">
        <f>SUMIFS('февраль 2025'!$G$4:$G$2441,'февраль 2025'!$D$4:$D$2441,$B71,'февраль 2025'!$J$4:$J$2441,O$1)</f>
        <v>0</v>
      </c>
      <c r="P71" s="183">
        <f>SUMIFS('февраль 2025'!$G$4:$G$2441,'февраль 2025'!$D$4:$D$2441,$B71,'февраль 2025'!$J$4:$J$2441,P$1)</f>
        <v>0</v>
      </c>
      <c r="Q71" s="183">
        <f>SUMIFS('февраль 2025'!$G$4:$G$2441,'февраль 2025'!$D$4:$D$2441,$B71,'февраль 2025'!$J$4:$J$2441,Q$1)</f>
        <v>0</v>
      </c>
      <c r="R71" s="183">
        <f>SUMIFS('февраль 2025'!$G$4:$G$2441,'февраль 2025'!$D$4:$D$2441,$B71,'февраль 2025'!$J$4:$J$2441,R$1)</f>
        <v>0</v>
      </c>
      <c r="S71" s="183">
        <f>SUMIFS('февраль 2025'!$G$4:$G$2441,'февраль 2025'!$D$4:$D$2441,$B71,'февраль 2025'!$J$4:$J$2441,S$1)</f>
        <v>0</v>
      </c>
      <c r="T71" s="183">
        <f>SUMIFS('февраль 2025'!$G$4:$G$2441,'февраль 2025'!$D$4:$D$2441,$B71,'февраль 2025'!$J$4:$J$2441,T$1)</f>
        <v>0</v>
      </c>
      <c r="U71" s="183">
        <f>SUMIFS('февраль 2025'!$G$4:$G$2441,'февраль 2025'!$D$4:$D$2441,$B71,'февраль 2025'!$J$4:$J$2441,U$1)</f>
        <v>0</v>
      </c>
      <c r="V71" s="183">
        <f>SUMIFS('февраль 2025'!$G$4:$G$2441,'февраль 2025'!$D$4:$D$2441,$B71,'февраль 2025'!$J$4:$J$2441,V$1)</f>
        <v>0</v>
      </c>
      <c r="W71" s="183">
        <f>SUMIFS('февраль 2025'!$G$4:$G$2441,'февраль 2025'!$D$4:$D$2441,$B71,'февраль 2025'!$J$4:$J$2441,W$1)</f>
        <v>0</v>
      </c>
      <c r="X71" s="183">
        <f>SUMIFS('февраль 2025'!$G$4:$G$2441,'февраль 2025'!$D$4:$D$2441,$B71,'февраль 2025'!$J$4:$J$2441,X$1)</f>
        <v>0</v>
      </c>
      <c r="Y71" s="183">
        <f>SUMIFS('февраль 2025'!$G$4:$G$2441,'февраль 2025'!$D$4:$D$2441,$B71,'февраль 2025'!$J$4:$J$2441,Y$1)</f>
        <v>0</v>
      </c>
      <c r="Z71" s="183">
        <f>SUMIFS('февраль 2025'!$G$4:$G$2441,'февраль 2025'!$D$4:$D$2441,$B71,'февраль 2025'!$J$4:$J$2441,Z$1)</f>
        <v>0</v>
      </c>
      <c r="AA71" s="183">
        <f>SUMIFS('февраль 2025'!$G$4:$G$2441,'февраль 2025'!$D$4:$D$2441,$B71,'февраль 2025'!$J$4:$J$2441,AA$1)</f>
        <v>0</v>
      </c>
      <c r="AB71" s="183">
        <f>SUMIFS('февраль 2025'!$G$4:$G$2441,'февраль 2025'!$D$4:$D$2441,$B71,'февраль 2025'!$J$4:$J$2441,AB$1)</f>
        <v>0</v>
      </c>
      <c r="AC71" s="183">
        <f>SUMIFS('февраль 2025'!$G$4:$G$2441,'февраль 2025'!$D$4:$D$2441,$B71,'февраль 2025'!$J$4:$J$2441,AC$1)</f>
        <v>0</v>
      </c>
      <c r="AD71" s="183">
        <f>SUMIFS('февраль 2025'!$G$4:$G$2441,'февраль 2025'!$D$4:$D$2441,$B71,'февраль 2025'!$J$4:$J$2441,AD$1)</f>
        <v>0</v>
      </c>
      <c r="AE71" s="183">
        <f>SUMIFS('февраль 2025'!$G$4:$G$2441,'февраль 2025'!$D$4:$D$2441,$B71,'февраль 2025'!$J$4:$J$2441,AE$1)</f>
        <v>0</v>
      </c>
      <c r="AF71" s="183">
        <f>SUMIFS('февраль 2025'!$G$4:$G$2441,'февраль 2025'!$D$4:$D$2441,$B71,'февраль 2025'!$J$4:$J$2441,AF$1)</f>
        <v>0</v>
      </c>
      <c r="AG71" s="183">
        <f>SUMIFS('февраль 2025'!$G$4:$G$2441,'февраль 2025'!$D$4:$D$2441,$B71,'февраль 2025'!$J$4:$J$2441,AG$1)</f>
        <v>0</v>
      </c>
      <c r="AH71" s="183">
        <f>SUMIFS('февраль 2025'!$G$4:$G$2441,'февраль 2025'!$D$4:$D$2441,$B71,'февраль 2025'!$J$4:$J$2441,AH$1)</f>
        <v>0</v>
      </c>
      <c r="AI71" s="20">
        <f t="shared" si="1"/>
        <v>0</v>
      </c>
    </row>
    <row r="72" spans="2:35" ht="15" customHeight="1" x14ac:dyDescent="0.25">
      <c r="B72" s="88" t="s">
        <v>188</v>
      </c>
      <c r="C72" s="86">
        <v>200</v>
      </c>
      <c r="D72" s="183">
        <f>SUMIFS('февраль 2025'!$G$4:$G$2441,'февраль 2025'!$D$4:$D$2441,$B72,'февраль 2025'!$J$4:$J$2441,D$1)</f>
        <v>0</v>
      </c>
      <c r="E72" s="183">
        <f>SUMIFS('февраль 2025'!$G$4:$G$2441,'февраль 2025'!$D$4:$D$2441,$B72,'февраль 2025'!$J$4:$J$2441,E$1)</f>
        <v>0</v>
      </c>
      <c r="F72" s="183">
        <f>SUMIFS('февраль 2025'!$G$4:$G$2441,'февраль 2025'!$D$4:$D$2441,$B72,'февраль 2025'!$J$4:$J$2441,F$1)</f>
        <v>0</v>
      </c>
      <c r="G72" s="183">
        <f>SUMIFS('февраль 2025'!$G$4:$G$2441,'февраль 2025'!$D$4:$D$2441,$B72,'февраль 2025'!$J$4:$J$2441,G$1)</f>
        <v>0</v>
      </c>
      <c r="H72" s="183">
        <f>SUMIFS('февраль 2025'!$G$4:$G$2441,'февраль 2025'!$D$4:$D$2441,$B72,'февраль 2025'!$J$4:$J$2441,H$1)</f>
        <v>0</v>
      </c>
      <c r="I72" s="183">
        <f>SUMIFS('февраль 2025'!$G$4:$G$2441,'февраль 2025'!$D$4:$D$2441,$B72,'февраль 2025'!$J$4:$J$2441,I$1)</f>
        <v>0</v>
      </c>
      <c r="J72" s="183">
        <f>SUMIFS('февраль 2025'!$G$4:$G$2441,'февраль 2025'!$D$4:$D$2441,$B72,'февраль 2025'!$J$4:$J$2441,J$1)</f>
        <v>0</v>
      </c>
      <c r="K72" s="183">
        <f>SUMIFS('февраль 2025'!$G$4:$G$2441,'февраль 2025'!$D$4:$D$2441,$B72,'февраль 2025'!$J$4:$J$2441,K$1)</f>
        <v>0</v>
      </c>
      <c r="L72" s="183">
        <f>SUMIFS('февраль 2025'!$G$4:$G$2441,'февраль 2025'!$D$4:$D$2441,$B72,'февраль 2025'!$J$4:$J$2441,L$1)</f>
        <v>0</v>
      </c>
      <c r="M72" s="183">
        <f>SUMIFS('февраль 2025'!$G$4:$G$2441,'февраль 2025'!$D$4:$D$2441,$B72,'февраль 2025'!$J$4:$J$2441,M$1)</f>
        <v>0</v>
      </c>
      <c r="N72" s="183">
        <f>SUMIFS('февраль 2025'!$G$4:$G$2441,'февраль 2025'!$D$4:$D$2441,$B72,'февраль 2025'!$J$4:$J$2441,N$1)</f>
        <v>0</v>
      </c>
      <c r="O72" s="183">
        <f>SUMIFS('февраль 2025'!$G$4:$G$2441,'февраль 2025'!$D$4:$D$2441,$B72,'февраль 2025'!$J$4:$J$2441,O$1)</f>
        <v>0</v>
      </c>
      <c r="P72" s="183">
        <f>SUMIFS('февраль 2025'!$G$4:$G$2441,'февраль 2025'!$D$4:$D$2441,$B72,'февраль 2025'!$J$4:$J$2441,P$1)</f>
        <v>0</v>
      </c>
      <c r="Q72" s="183">
        <f>SUMIFS('февраль 2025'!$G$4:$G$2441,'февраль 2025'!$D$4:$D$2441,$B72,'февраль 2025'!$J$4:$J$2441,Q$1)</f>
        <v>0</v>
      </c>
      <c r="R72" s="183">
        <f>SUMIFS('февраль 2025'!$G$4:$G$2441,'февраль 2025'!$D$4:$D$2441,$B72,'февраль 2025'!$J$4:$J$2441,R$1)</f>
        <v>0</v>
      </c>
      <c r="S72" s="183">
        <f>SUMIFS('февраль 2025'!$G$4:$G$2441,'февраль 2025'!$D$4:$D$2441,$B72,'февраль 2025'!$J$4:$J$2441,S$1)</f>
        <v>0</v>
      </c>
      <c r="T72" s="183">
        <f>SUMIFS('февраль 2025'!$G$4:$G$2441,'февраль 2025'!$D$4:$D$2441,$B72,'февраль 2025'!$J$4:$J$2441,T$1)</f>
        <v>0</v>
      </c>
      <c r="U72" s="183">
        <f>SUMIFS('февраль 2025'!$G$4:$G$2441,'февраль 2025'!$D$4:$D$2441,$B72,'февраль 2025'!$J$4:$J$2441,U$1)</f>
        <v>0</v>
      </c>
      <c r="V72" s="183">
        <f>SUMIFS('февраль 2025'!$G$4:$G$2441,'февраль 2025'!$D$4:$D$2441,$B72,'февраль 2025'!$J$4:$J$2441,V$1)</f>
        <v>0</v>
      </c>
      <c r="W72" s="183">
        <f>SUMIFS('февраль 2025'!$G$4:$G$2441,'февраль 2025'!$D$4:$D$2441,$B72,'февраль 2025'!$J$4:$J$2441,W$1)</f>
        <v>0</v>
      </c>
      <c r="X72" s="183">
        <f>SUMIFS('февраль 2025'!$G$4:$G$2441,'февраль 2025'!$D$4:$D$2441,$B72,'февраль 2025'!$J$4:$J$2441,X$1)</f>
        <v>0</v>
      </c>
      <c r="Y72" s="183">
        <f>SUMIFS('февраль 2025'!$G$4:$G$2441,'февраль 2025'!$D$4:$D$2441,$B72,'февраль 2025'!$J$4:$J$2441,Y$1)</f>
        <v>0</v>
      </c>
      <c r="Z72" s="183">
        <f>SUMIFS('февраль 2025'!$G$4:$G$2441,'февраль 2025'!$D$4:$D$2441,$B72,'февраль 2025'!$J$4:$J$2441,Z$1)</f>
        <v>0</v>
      </c>
      <c r="AA72" s="183">
        <f>SUMIFS('февраль 2025'!$G$4:$G$2441,'февраль 2025'!$D$4:$D$2441,$B72,'февраль 2025'!$J$4:$J$2441,AA$1)</f>
        <v>0</v>
      </c>
      <c r="AB72" s="183">
        <f>SUMIFS('февраль 2025'!$G$4:$G$2441,'февраль 2025'!$D$4:$D$2441,$B72,'февраль 2025'!$J$4:$J$2441,AB$1)</f>
        <v>0</v>
      </c>
      <c r="AC72" s="183">
        <f>SUMIFS('февраль 2025'!$G$4:$G$2441,'февраль 2025'!$D$4:$D$2441,$B72,'февраль 2025'!$J$4:$J$2441,AC$1)</f>
        <v>0</v>
      </c>
      <c r="AD72" s="183">
        <f>SUMIFS('февраль 2025'!$G$4:$G$2441,'февраль 2025'!$D$4:$D$2441,$B72,'февраль 2025'!$J$4:$J$2441,AD$1)</f>
        <v>0</v>
      </c>
      <c r="AE72" s="183">
        <f>SUMIFS('февраль 2025'!$G$4:$G$2441,'февраль 2025'!$D$4:$D$2441,$B72,'февраль 2025'!$J$4:$J$2441,AE$1)</f>
        <v>0</v>
      </c>
      <c r="AF72" s="183">
        <f>SUMIFS('февраль 2025'!$G$4:$G$2441,'февраль 2025'!$D$4:$D$2441,$B72,'февраль 2025'!$J$4:$J$2441,AF$1)</f>
        <v>0</v>
      </c>
      <c r="AG72" s="183">
        <f>SUMIFS('февраль 2025'!$G$4:$G$2441,'февраль 2025'!$D$4:$D$2441,$B72,'февраль 2025'!$J$4:$J$2441,AG$1)</f>
        <v>0</v>
      </c>
      <c r="AH72" s="183">
        <f>SUMIFS('февраль 2025'!$G$4:$G$2441,'февраль 2025'!$D$4:$D$2441,$B72,'февраль 2025'!$J$4:$J$2441,AH$1)</f>
        <v>0</v>
      </c>
      <c r="AI72" s="20">
        <f t="shared" si="1"/>
        <v>0</v>
      </c>
    </row>
    <row r="73" spans="2:35" ht="15" customHeight="1" x14ac:dyDescent="0.25">
      <c r="B73" s="88" t="s">
        <v>256</v>
      </c>
      <c r="C73" s="86">
        <v>190</v>
      </c>
      <c r="D73" s="183">
        <f>SUMIFS('февраль 2025'!$G$4:$G$2441,'февраль 2025'!$D$4:$D$2441,$B73,'февраль 2025'!$J$4:$J$2441,D$1)</f>
        <v>0</v>
      </c>
      <c r="E73" s="183">
        <f>SUMIFS('февраль 2025'!$G$4:$G$2441,'февраль 2025'!$D$4:$D$2441,$B73,'февраль 2025'!$J$4:$J$2441,E$1)</f>
        <v>0</v>
      </c>
      <c r="F73" s="183">
        <f>SUMIFS('февраль 2025'!$G$4:$G$2441,'февраль 2025'!$D$4:$D$2441,$B73,'февраль 2025'!$J$4:$J$2441,F$1)</f>
        <v>0</v>
      </c>
      <c r="G73" s="183">
        <f>SUMIFS('февраль 2025'!$G$4:$G$2441,'февраль 2025'!$D$4:$D$2441,$B73,'февраль 2025'!$J$4:$J$2441,G$1)</f>
        <v>0</v>
      </c>
      <c r="H73" s="183">
        <f>SUMIFS('февраль 2025'!$G$4:$G$2441,'февраль 2025'!$D$4:$D$2441,$B73,'февраль 2025'!$J$4:$J$2441,H$1)</f>
        <v>0</v>
      </c>
      <c r="I73" s="183">
        <f>SUMIFS('февраль 2025'!$G$4:$G$2441,'февраль 2025'!$D$4:$D$2441,$B73,'февраль 2025'!$J$4:$J$2441,I$1)</f>
        <v>0</v>
      </c>
      <c r="J73" s="183">
        <f>SUMIFS('февраль 2025'!$G$4:$G$2441,'февраль 2025'!$D$4:$D$2441,$B73,'февраль 2025'!$J$4:$J$2441,J$1)</f>
        <v>0</v>
      </c>
      <c r="K73" s="183">
        <f>SUMIFS('февраль 2025'!$G$4:$G$2441,'февраль 2025'!$D$4:$D$2441,$B73,'февраль 2025'!$J$4:$J$2441,K$1)</f>
        <v>0</v>
      </c>
      <c r="L73" s="183">
        <f>SUMIFS('февраль 2025'!$G$4:$G$2441,'февраль 2025'!$D$4:$D$2441,$B73,'февраль 2025'!$J$4:$J$2441,L$1)</f>
        <v>0</v>
      </c>
      <c r="M73" s="183">
        <f>SUMIFS('февраль 2025'!$G$4:$G$2441,'февраль 2025'!$D$4:$D$2441,$B73,'февраль 2025'!$J$4:$J$2441,M$1)</f>
        <v>0</v>
      </c>
      <c r="N73" s="183">
        <f>SUMIFS('февраль 2025'!$G$4:$G$2441,'февраль 2025'!$D$4:$D$2441,$B73,'февраль 2025'!$J$4:$J$2441,N$1)</f>
        <v>0</v>
      </c>
      <c r="O73" s="183">
        <f>SUMIFS('февраль 2025'!$G$4:$G$2441,'февраль 2025'!$D$4:$D$2441,$B73,'февраль 2025'!$J$4:$J$2441,O$1)</f>
        <v>0</v>
      </c>
      <c r="P73" s="183">
        <f>SUMIFS('февраль 2025'!$G$4:$G$2441,'февраль 2025'!$D$4:$D$2441,$B73,'февраль 2025'!$J$4:$J$2441,P$1)</f>
        <v>0</v>
      </c>
      <c r="Q73" s="183">
        <f>SUMIFS('февраль 2025'!$G$4:$G$2441,'февраль 2025'!$D$4:$D$2441,$B73,'февраль 2025'!$J$4:$J$2441,Q$1)</f>
        <v>0</v>
      </c>
      <c r="R73" s="183">
        <f>SUMIFS('февраль 2025'!$G$4:$G$2441,'февраль 2025'!$D$4:$D$2441,$B73,'февраль 2025'!$J$4:$J$2441,R$1)</f>
        <v>0</v>
      </c>
      <c r="S73" s="183">
        <f>SUMIFS('февраль 2025'!$G$4:$G$2441,'февраль 2025'!$D$4:$D$2441,$B73,'февраль 2025'!$J$4:$J$2441,S$1)</f>
        <v>0</v>
      </c>
      <c r="T73" s="183">
        <f>SUMIFS('февраль 2025'!$G$4:$G$2441,'февраль 2025'!$D$4:$D$2441,$B73,'февраль 2025'!$J$4:$J$2441,T$1)</f>
        <v>0</v>
      </c>
      <c r="U73" s="183">
        <f>SUMIFS('февраль 2025'!$G$4:$G$2441,'февраль 2025'!$D$4:$D$2441,$B73,'февраль 2025'!$J$4:$J$2441,U$1)</f>
        <v>0</v>
      </c>
      <c r="V73" s="183">
        <f>SUMIFS('февраль 2025'!$G$4:$G$2441,'февраль 2025'!$D$4:$D$2441,$B73,'февраль 2025'!$J$4:$J$2441,V$1)</f>
        <v>0</v>
      </c>
      <c r="W73" s="183">
        <f>SUMIFS('февраль 2025'!$G$4:$G$2441,'февраль 2025'!$D$4:$D$2441,$B73,'февраль 2025'!$J$4:$J$2441,W$1)</f>
        <v>0</v>
      </c>
      <c r="X73" s="183">
        <f>SUMIFS('февраль 2025'!$G$4:$G$2441,'февраль 2025'!$D$4:$D$2441,$B73,'февраль 2025'!$J$4:$J$2441,X$1)</f>
        <v>0</v>
      </c>
      <c r="Y73" s="183">
        <f>SUMIFS('февраль 2025'!$G$4:$G$2441,'февраль 2025'!$D$4:$D$2441,$B73,'февраль 2025'!$J$4:$J$2441,Y$1)</f>
        <v>0</v>
      </c>
      <c r="Z73" s="183">
        <f>SUMIFS('февраль 2025'!$G$4:$G$2441,'февраль 2025'!$D$4:$D$2441,$B73,'февраль 2025'!$J$4:$J$2441,Z$1)</f>
        <v>0</v>
      </c>
      <c r="AA73" s="183">
        <f>SUMIFS('февраль 2025'!$G$4:$G$2441,'февраль 2025'!$D$4:$D$2441,$B73,'февраль 2025'!$J$4:$J$2441,AA$1)</f>
        <v>0</v>
      </c>
      <c r="AB73" s="183">
        <f>SUMIFS('февраль 2025'!$G$4:$G$2441,'февраль 2025'!$D$4:$D$2441,$B73,'февраль 2025'!$J$4:$J$2441,AB$1)</f>
        <v>0</v>
      </c>
      <c r="AC73" s="183">
        <f>SUMIFS('февраль 2025'!$G$4:$G$2441,'февраль 2025'!$D$4:$D$2441,$B73,'февраль 2025'!$J$4:$J$2441,AC$1)</f>
        <v>0</v>
      </c>
      <c r="AD73" s="183">
        <f>SUMIFS('февраль 2025'!$G$4:$G$2441,'февраль 2025'!$D$4:$D$2441,$B73,'февраль 2025'!$J$4:$J$2441,AD$1)</f>
        <v>0</v>
      </c>
      <c r="AE73" s="183">
        <f>SUMIFS('февраль 2025'!$G$4:$G$2441,'февраль 2025'!$D$4:$D$2441,$B73,'февраль 2025'!$J$4:$J$2441,AE$1)</f>
        <v>0</v>
      </c>
      <c r="AF73" s="183">
        <f>SUMIFS('февраль 2025'!$G$4:$G$2441,'февраль 2025'!$D$4:$D$2441,$B73,'февраль 2025'!$J$4:$J$2441,AF$1)</f>
        <v>0</v>
      </c>
      <c r="AG73" s="183">
        <f>SUMIFS('февраль 2025'!$G$4:$G$2441,'февраль 2025'!$D$4:$D$2441,$B73,'февраль 2025'!$J$4:$J$2441,AG$1)</f>
        <v>0</v>
      </c>
      <c r="AH73" s="183">
        <f>SUMIFS('февраль 2025'!$G$4:$G$2441,'февраль 2025'!$D$4:$D$2441,$B73,'февраль 2025'!$J$4:$J$2441,AH$1)</f>
        <v>0</v>
      </c>
      <c r="AI73" s="20">
        <f t="shared" si="1"/>
        <v>0</v>
      </c>
    </row>
    <row r="74" spans="2:35" ht="15" customHeight="1" x14ac:dyDescent="0.25">
      <c r="B74" s="88" t="s">
        <v>199</v>
      </c>
      <c r="C74" s="86">
        <v>200</v>
      </c>
      <c r="D74" s="183">
        <f>SUMIFS('февраль 2025'!$G$4:$G$2441,'февраль 2025'!$D$4:$D$2441,$B74,'февраль 2025'!$J$4:$J$2441,D$1)</f>
        <v>0</v>
      </c>
      <c r="E74" s="183">
        <f>SUMIFS('февраль 2025'!$G$4:$G$2441,'февраль 2025'!$D$4:$D$2441,$B74,'февраль 2025'!$J$4:$J$2441,E$1)</f>
        <v>0</v>
      </c>
      <c r="F74" s="183">
        <f>SUMIFS('февраль 2025'!$G$4:$G$2441,'февраль 2025'!$D$4:$D$2441,$B74,'февраль 2025'!$J$4:$J$2441,F$1)</f>
        <v>0</v>
      </c>
      <c r="G74" s="183">
        <f>SUMIFS('февраль 2025'!$G$4:$G$2441,'февраль 2025'!$D$4:$D$2441,$B74,'февраль 2025'!$J$4:$J$2441,G$1)</f>
        <v>0</v>
      </c>
      <c r="H74" s="183">
        <f>SUMIFS('февраль 2025'!$G$4:$G$2441,'февраль 2025'!$D$4:$D$2441,$B74,'февраль 2025'!$J$4:$J$2441,H$1)</f>
        <v>0</v>
      </c>
      <c r="I74" s="183">
        <f>SUMIFS('февраль 2025'!$G$4:$G$2441,'февраль 2025'!$D$4:$D$2441,$B74,'февраль 2025'!$J$4:$J$2441,I$1)</f>
        <v>0</v>
      </c>
      <c r="J74" s="183">
        <f>SUMIFS('февраль 2025'!$G$4:$G$2441,'февраль 2025'!$D$4:$D$2441,$B74,'февраль 2025'!$J$4:$J$2441,J$1)</f>
        <v>0</v>
      </c>
      <c r="K74" s="183">
        <f>SUMIFS('февраль 2025'!$G$4:$G$2441,'февраль 2025'!$D$4:$D$2441,$B74,'февраль 2025'!$J$4:$J$2441,K$1)</f>
        <v>0</v>
      </c>
      <c r="L74" s="183">
        <f>SUMIFS('февраль 2025'!$G$4:$G$2441,'февраль 2025'!$D$4:$D$2441,$B74,'февраль 2025'!$J$4:$J$2441,L$1)</f>
        <v>0</v>
      </c>
      <c r="M74" s="183">
        <f>SUMIFS('февраль 2025'!$G$4:$G$2441,'февраль 2025'!$D$4:$D$2441,$B74,'февраль 2025'!$J$4:$J$2441,M$1)</f>
        <v>0</v>
      </c>
      <c r="N74" s="183">
        <f>SUMIFS('февраль 2025'!$G$4:$G$2441,'февраль 2025'!$D$4:$D$2441,$B74,'февраль 2025'!$J$4:$J$2441,N$1)</f>
        <v>0</v>
      </c>
      <c r="O74" s="183">
        <f>SUMIFS('февраль 2025'!$G$4:$G$2441,'февраль 2025'!$D$4:$D$2441,$B74,'февраль 2025'!$J$4:$J$2441,O$1)</f>
        <v>0</v>
      </c>
      <c r="P74" s="183">
        <f>SUMIFS('февраль 2025'!$G$4:$G$2441,'февраль 2025'!$D$4:$D$2441,$B74,'февраль 2025'!$J$4:$J$2441,P$1)</f>
        <v>0</v>
      </c>
      <c r="Q74" s="183">
        <f>SUMIFS('февраль 2025'!$G$4:$G$2441,'февраль 2025'!$D$4:$D$2441,$B74,'февраль 2025'!$J$4:$J$2441,Q$1)</f>
        <v>0</v>
      </c>
      <c r="R74" s="183">
        <f>SUMIFS('февраль 2025'!$G$4:$G$2441,'февраль 2025'!$D$4:$D$2441,$B74,'февраль 2025'!$J$4:$J$2441,R$1)</f>
        <v>0</v>
      </c>
      <c r="S74" s="183">
        <f>SUMIFS('февраль 2025'!$G$4:$G$2441,'февраль 2025'!$D$4:$D$2441,$B74,'февраль 2025'!$J$4:$J$2441,S$1)</f>
        <v>0</v>
      </c>
      <c r="T74" s="183">
        <f>SUMIFS('февраль 2025'!$G$4:$G$2441,'февраль 2025'!$D$4:$D$2441,$B74,'февраль 2025'!$J$4:$J$2441,T$1)</f>
        <v>0</v>
      </c>
      <c r="U74" s="183">
        <f>SUMIFS('февраль 2025'!$G$4:$G$2441,'февраль 2025'!$D$4:$D$2441,$B74,'февраль 2025'!$J$4:$J$2441,U$1)</f>
        <v>0</v>
      </c>
      <c r="V74" s="183">
        <f>SUMIFS('февраль 2025'!$G$4:$G$2441,'февраль 2025'!$D$4:$D$2441,$B74,'февраль 2025'!$J$4:$J$2441,V$1)</f>
        <v>0</v>
      </c>
      <c r="W74" s="183">
        <f>SUMIFS('февраль 2025'!$G$4:$G$2441,'февраль 2025'!$D$4:$D$2441,$B74,'февраль 2025'!$J$4:$J$2441,W$1)</f>
        <v>0</v>
      </c>
      <c r="X74" s="183">
        <f>SUMIFS('февраль 2025'!$G$4:$G$2441,'февраль 2025'!$D$4:$D$2441,$B74,'февраль 2025'!$J$4:$J$2441,X$1)</f>
        <v>0</v>
      </c>
      <c r="Y74" s="183">
        <f>SUMIFS('февраль 2025'!$G$4:$G$2441,'февраль 2025'!$D$4:$D$2441,$B74,'февраль 2025'!$J$4:$J$2441,Y$1)</f>
        <v>0</v>
      </c>
      <c r="Z74" s="183">
        <f>SUMIFS('февраль 2025'!$G$4:$G$2441,'февраль 2025'!$D$4:$D$2441,$B74,'февраль 2025'!$J$4:$J$2441,Z$1)</f>
        <v>0</v>
      </c>
      <c r="AA74" s="183">
        <f>SUMIFS('февраль 2025'!$G$4:$G$2441,'февраль 2025'!$D$4:$D$2441,$B74,'февраль 2025'!$J$4:$J$2441,AA$1)</f>
        <v>0</v>
      </c>
      <c r="AB74" s="183">
        <f>SUMIFS('февраль 2025'!$G$4:$G$2441,'февраль 2025'!$D$4:$D$2441,$B74,'февраль 2025'!$J$4:$J$2441,AB$1)</f>
        <v>0</v>
      </c>
      <c r="AC74" s="183">
        <f>SUMIFS('февраль 2025'!$G$4:$G$2441,'февраль 2025'!$D$4:$D$2441,$B74,'февраль 2025'!$J$4:$J$2441,AC$1)</f>
        <v>0</v>
      </c>
      <c r="AD74" s="183">
        <f>SUMIFS('февраль 2025'!$G$4:$G$2441,'февраль 2025'!$D$4:$D$2441,$B74,'февраль 2025'!$J$4:$J$2441,AD$1)</f>
        <v>0</v>
      </c>
      <c r="AE74" s="183">
        <f>SUMIFS('февраль 2025'!$G$4:$G$2441,'февраль 2025'!$D$4:$D$2441,$B74,'февраль 2025'!$J$4:$J$2441,AE$1)</f>
        <v>0</v>
      </c>
      <c r="AF74" s="183">
        <f>SUMIFS('февраль 2025'!$G$4:$G$2441,'февраль 2025'!$D$4:$D$2441,$B74,'февраль 2025'!$J$4:$J$2441,AF$1)</f>
        <v>0</v>
      </c>
      <c r="AG74" s="183">
        <f>SUMIFS('февраль 2025'!$G$4:$G$2441,'февраль 2025'!$D$4:$D$2441,$B74,'февраль 2025'!$J$4:$J$2441,AG$1)</f>
        <v>0</v>
      </c>
      <c r="AH74" s="183">
        <f>SUMIFS('февраль 2025'!$G$4:$G$2441,'февраль 2025'!$D$4:$D$2441,$B74,'февраль 2025'!$J$4:$J$2441,AH$1)</f>
        <v>0</v>
      </c>
      <c r="AI74" s="20">
        <f t="shared" si="1"/>
        <v>0</v>
      </c>
    </row>
    <row r="75" spans="2:35" ht="15" customHeight="1" x14ac:dyDescent="0.25">
      <c r="B75" s="88" t="s">
        <v>206</v>
      </c>
      <c r="C75" s="86">
        <v>25</v>
      </c>
      <c r="D75" s="183">
        <f>SUMIFS('февраль 2025'!$G$4:$G$2441,'февраль 2025'!$D$4:$D$2441,$B75,'февраль 2025'!$J$4:$J$2441,D$1)</f>
        <v>0</v>
      </c>
      <c r="E75" s="183">
        <f>SUMIFS('февраль 2025'!$G$4:$G$2441,'февраль 2025'!$D$4:$D$2441,$B75,'февраль 2025'!$J$4:$J$2441,E$1)</f>
        <v>0</v>
      </c>
      <c r="F75" s="183">
        <f>SUMIFS('февраль 2025'!$G$4:$G$2441,'февраль 2025'!$D$4:$D$2441,$B75,'февраль 2025'!$J$4:$J$2441,F$1)</f>
        <v>0</v>
      </c>
      <c r="G75" s="183">
        <f>SUMIFS('февраль 2025'!$G$4:$G$2441,'февраль 2025'!$D$4:$D$2441,$B75,'февраль 2025'!$J$4:$J$2441,G$1)</f>
        <v>0</v>
      </c>
      <c r="H75" s="183">
        <f>SUMIFS('февраль 2025'!$G$4:$G$2441,'февраль 2025'!$D$4:$D$2441,$B75,'февраль 2025'!$J$4:$J$2441,H$1)</f>
        <v>0</v>
      </c>
      <c r="I75" s="183">
        <f>SUMIFS('февраль 2025'!$G$4:$G$2441,'февраль 2025'!$D$4:$D$2441,$B75,'февраль 2025'!$J$4:$J$2441,I$1)</f>
        <v>0</v>
      </c>
      <c r="J75" s="183">
        <f>SUMIFS('февраль 2025'!$G$4:$G$2441,'февраль 2025'!$D$4:$D$2441,$B75,'февраль 2025'!$J$4:$J$2441,J$1)</f>
        <v>0</v>
      </c>
      <c r="K75" s="183">
        <f>SUMIFS('февраль 2025'!$G$4:$G$2441,'февраль 2025'!$D$4:$D$2441,$B75,'февраль 2025'!$J$4:$J$2441,K$1)</f>
        <v>0</v>
      </c>
      <c r="L75" s="183">
        <f>SUMIFS('февраль 2025'!$G$4:$G$2441,'февраль 2025'!$D$4:$D$2441,$B75,'февраль 2025'!$J$4:$J$2441,L$1)</f>
        <v>0</v>
      </c>
      <c r="M75" s="183">
        <f>SUMIFS('февраль 2025'!$G$4:$G$2441,'февраль 2025'!$D$4:$D$2441,$B75,'февраль 2025'!$J$4:$J$2441,M$1)</f>
        <v>0</v>
      </c>
      <c r="N75" s="183">
        <f>SUMIFS('февраль 2025'!$G$4:$G$2441,'февраль 2025'!$D$4:$D$2441,$B75,'февраль 2025'!$J$4:$J$2441,N$1)</f>
        <v>0</v>
      </c>
      <c r="O75" s="183">
        <f>SUMIFS('февраль 2025'!$G$4:$G$2441,'февраль 2025'!$D$4:$D$2441,$B75,'февраль 2025'!$J$4:$J$2441,O$1)</f>
        <v>0</v>
      </c>
      <c r="P75" s="183">
        <f>SUMIFS('февраль 2025'!$G$4:$G$2441,'февраль 2025'!$D$4:$D$2441,$B75,'февраль 2025'!$J$4:$J$2441,P$1)</f>
        <v>0</v>
      </c>
      <c r="Q75" s="183">
        <f>SUMIFS('февраль 2025'!$G$4:$G$2441,'февраль 2025'!$D$4:$D$2441,$B75,'февраль 2025'!$J$4:$J$2441,Q$1)</f>
        <v>0</v>
      </c>
      <c r="R75" s="183">
        <f>SUMIFS('февраль 2025'!$G$4:$G$2441,'февраль 2025'!$D$4:$D$2441,$B75,'февраль 2025'!$J$4:$J$2441,R$1)</f>
        <v>0</v>
      </c>
      <c r="S75" s="183">
        <f>SUMIFS('февраль 2025'!$G$4:$G$2441,'февраль 2025'!$D$4:$D$2441,$B75,'февраль 2025'!$J$4:$J$2441,S$1)</f>
        <v>0</v>
      </c>
      <c r="T75" s="183">
        <f>SUMIFS('февраль 2025'!$G$4:$G$2441,'февраль 2025'!$D$4:$D$2441,$B75,'февраль 2025'!$J$4:$J$2441,T$1)</f>
        <v>0</v>
      </c>
      <c r="U75" s="183">
        <f>SUMIFS('февраль 2025'!$G$4:$G$2441,'февраль 2025'!$D$4:$D$2441,$B75,'февраль 2025'!$J$4:$J$2441,U$1)</f>
        <v>0</v>
      </c>
      <c r="V75" s="183">
        <f>SUMIFS('февраль 2025'!$G$4:$G$2441,'февраль 2025'!$D$4:$D$2441,$B75,'февраль 2025'!$J$4:$J$2441,V$1)</f>
        <v>0</v>
      </c>
      <c r="W75" s="183">
        <f>SUMIFS('февраль 2025'!$G$4:$G$2441,'февраль 2025'!$D$4:$D$2441,$B75,'февраль 2025'!$J$4:$J$2441,W$1)</f>
        <v>0</v>
      </c>
      <c r="X75" s="183">
        <f>SUMIFS('февраль 2025'!$G$4:$G$2441,'февраль 2025'!$D$4:$D$2441,$B75,'февраль 2025'!$J$4:$J$2441,X$1)</f>
        <v>0</v>
      </c>
      <c r="Y75" s="183">
        <f>SUMIFS('февраль 2025'!$G$4:$G$2441,'февраль 2025'!$D$4:$D$2441,$B75,'февраль 2025'!$J$4:$J$2441,Y$1)</f>
        <v>0</v>
      </c>
      <c r="Z75" s="183">
        <f>SUMIFS('февраль 2025'!$G$4:$G$2441,'февраль 2025'!$D$4:$D$2441,$B75,'февраль 2025'!$J$4:$J$2441,Z$1)</f>
        <v>0</v>
      </c>
      <c r="AA75" s="183">
        <f>SUMIFS('февраль 2025'!$G$4:$G$2441,'февраль 2025'!$D$4:$D$2441,$B75,'февраль 2025'!$J$4:$J$2441,AA$1)</f>
        <v>0</v>
      </c>
      <c r="AB75" s="183">
        <f>SUMIFS('февраль 2025'!$G$4:$G$2441,'февраль 2025'!$D$4:$D$2441,$B75,'февраль 2025'!$J$4:$J$2441,AB$1)</f>
        <v>0</v>
      </c>
      <c r="AC75" s="183">
        <f>SUMIFS('февраль 2025'!$G$4:$G$2441,'февраль 2025'!$D$4:$D$2441,$B75,'февраль 2025'!$J$4:$J$2441,AC$1)</f>
        <v>0</v>
      </c>
      <c r="AD75" s="183">
        <f>SUMIFS('февраль 2025'!$G$4:$G$2441,'февраль 2025'!$D$4:$D$2441,$B75,'февраль 2025'!$J$4:$J$2441,AD$1)</f>
        <v>0</v>
      </c>
      <c r="AE75" s="183">
        <f>SUMIFS('февраль 2025'!$G$4:$G$2441,'февраль 2025'!$D$4:$D$2441,$B75,'февраль 2025'!$J$4:$J$2441,AE$1)</f>
        <v>0</v>
      </c>
      <c r="AF75" s="183">
        <f>SUMIFS('февраль 2025'!$G$4:$G$2441,'февраль 2025'!$D$4:$D$2441,$B75,'февраль 2025'!$J$4:$J$2441,AF$1)</f>
        <v>0</v>
      </c>
      <c r="AG75" s="183">
        <f>SUMIFS('февраль 2025'!$G$4:$G$2441,'февраль 2025'!$D$4:$D$2441,$B75,'февраль 2025'!$J$4:$J$2441,AG$1)</f>
        <v>0</v>
      </c>
      <c r="AH75" s="183">
        <f>SUMIFS('февраль 2025'!$G$4:$G$2441,'февраль 2025'!$D$4:$D$2441,$B75,'февраль 2025'!$J$4:$J$2441,AH$1)</f>
        <v>0</v>
      </c>
      <c r="AI75" s="20">
        <f t="shared" si="1"/>
        <v>0</v>
      </c>
    </row>
    <row r="76" spans="2:35" ht="15" customHeight="1" x14ac:dyDescent="0.25">
      <c r="B76" s="88" t="s">
        <v>178</v>
      </c>
      <c r="C76" s="86">
        <v>50</v>
      </c>
      <c r="D76" s="183">
        <f>SUMIFS('февраль 2025'!$G$4:$G$2441,'февраль 2025'!$D$4:$D$2441,$B76,'февраль 2025'!$J$4:$J$2441,D$1)</f>
        <v>0</v>
      </c>
      <c r="E76" s="183">
        <f>SUMIFS('февраль 2025'!$G$4:$G$2441,'февраль 2025'!$D$4:$D$2441,$B76,'февраль 2025'!$J$4:$J$2441,E$1)</f>
        <v>0</v>
      </c>
      <c r="F76" s="183">
        <f>SUMIFS('февраль 2025'!$G$4:$G$2441,'февраль 2025'!$D$4:$D$2441,$B76,'февраль 2025'!$J$4:$J$2441,F$1)</f>
        <v>0</v>
      </c>
      <c r="G76" s="183">
        <f>SUMIFS('февраль 2025'!$G$4:$G$2441,'февраль 2025'!$D$4:$D$2441,$B76,'февраль 2025'!$J$4:$J$2441,G$1)</f>
        <v>0</v>
      </c>
      <c r="H76" s="183">
        <f>SUMIFS('февраль 2025'!$G$4:$G$2441,'февраль 2025'!$D$4:$D$2441,$B76,'февраль 2025'!$J$4:$J$2441,H$1)</f>
        <v>0</v>
      </c>
      <c r="I76" s="183">
        <f>SUMIFS('февраль 2025'!$G$4:$G$2441,'февраль 2025'!$D$4:$D$2441,$B76,'февраль 2025'!$J$4:$J$2441,I$1)</f>
        <v>0</v>
      </c>
      <c r="J76" s="183">
        <f>SUMIFS('февраль 2025'!$G$4:$G$2441,'февраль 2025'!$D$4:$D$2441,$B76,'февраль 2025'!$J$4:$J$2441,J$1)</f>
        <v>0</v>
      </c>
      <c r="K76" s="183">
        <f>SUMIFS('февраль 2025'!$G$4:$G$2441,'февраль 2025'!$D$4:$D$2441,$B76,'февраль 2025'!$J$4:$J$2441,K$1)</f>
        <v>0</v>
      </c>
      <c r="L76" s="183">
        <f>SUMIFS('февраль 2025'!$G$4:$G$2441,'февраль 2025'!$D$4:$D$2441,$B76,'февраль 2025'!$J$4:$J$2441,L$1)</f>
        <v>0</v>
      </c>
      <c r="M76" s="183">
        <f>SUMIFS('февраль 2025'!$G$4:$G$2441,'февраль 2025'!$D$4:$D$2441,$B76,'февраль 2025'!$J$4:$J$2441,M$1)</f>
        <v>0</v>
      </c>
      <c r="N76" s="183">
        <f>SUMIFS('февраль 2025'!$G$4:$G$2441,'февраль 2025'!$D$4:$D$2441,$B76,'февраль 2025'!$J$4:$J$2441,N$1)</f>
        <v>0</v>
      </c>
      <c r="O76" s="183">
        <f>SUMIFS('февраль 2025'!$G$4:$G$2441,'февраль 2025'!$D$4:$D$2441,$B76,'февраль 2025'!$J$4:$J$2441,O$1)</f>
        <v>0</v>
      </c>
      <c r="P76" s="183">
        <f>SUMIFS('февраль 2025'!$G$4:$G$2441,'февраль 2025'!$D$4:$D$2441,$B76,'февраль 2025'!$J$4:$J$2441,P$1)</f>
        <v>0</v>
      </c>
      <c r="Q76" s="183">
        <f>SUMIFS('февраль 2025'!$G$4:$G$2441,'февраль 2025'!$D$4:$D$2441,$B76,'февраль 2025'!$J$4:$J$2441,Q$1)</f>
        <v>0</v>
      </c>
      <c r="R76" s="183">
        <f>SUMIFS('февраль 2025'!$G$4:$G$2441,'февраль 2025'!$D$4:$D$2441,$B76,'февраль 2025'!$J$4:$J$2441,R$1)</f>
        <v>0</v>
      </c>
      <c r="S76" s="183">
        <f>SUMIFS('февраль 2025'!$G$4:$G$2441,'февраль 2025'!$D$4:$D$2441,$B76,'февраль 2025'!$J$4:$J$2441,S$1)</f>
        <v>0</v>
      </c>
      <c r="T76" s="183">
        <f>SUMIFS('февраль 2025'!$G$4:$G$2441,'февраль 2025'!$D$4:$D$2441,$B76,'февраль 2025'!$J$4:$J$2441,T$1)</f>
        <v>0</v>
      </c>
      <c r="U76" s="183">
        <f>SUMIFS('февраль 2025'!$G$4:$G$2441,'февраль 2025'!$D$4:$D$2441,$B76,'февраль 2025'!$J$4:$J$2441,U$1)</f>
        <v>0</v>
      </c>
      <c r="V76" s="183">
        <f>SUMIFS('февраль 2025'!$G$4:$G$2441,'февраль 2025'!$D$4:$D$2441,$B76,'февраль 2025'!$J$4:$J$2441,V$1)</f>
        <v>0</v>
      </c>
      <c r="W76" s="183">
        <f>SUMIFS('февраль 2025'!$G$4:$G$2441,'февраль 2025'!$D$4:$D$2441,$B76,'февраль 2025'!$J$4:$J$2441,W$1)</f>
        <v>0</v>
      </c>
      <c r="X76" s="183">
        <f>SUMIFS('февраль 2025'!$G$4:$G$2441,'февраль 2025'!$D$4:$D$2441,$B76,'февраль 2025'!$J$4:$J$2441,X$1)</f>
        <v>0</v>
      </c>
      <c r="Y76" s="183">
        <f>SUMIFS('февраль 2025'!$G$4:$G$2441,'февраль 2025'!$D$4:$D$2441,$B76,'февраль 2025'!$J$4:$J$2441,Y$1)</f>
        <v>0</v>
      </c>
      <c r="Z76" s="183">
        <f>SUMIFS('февраль 2025'!$G$4:$G$2441,'февраль 2025'!$D$4:$D$2441,$B76,'февраль 2025'!$J$4:$J$2441,Z$1)</f>
        <v>0</v>
      </c>
      <c r="AA76" s="183">
        <f>SUMIFS('февраль 2025'!$G$4:$G$2441,'февраль 2025'!$D$4:$D$2441,$B76,'февраль 2025'!$J$4:$J$2441,AA$1)</f>
        <v>0</v>
      </c>
      <c r="AB76" s="183">
        <f>SUMIFS('февраль 2025'!$G$4:$G$2441,'февраль 2025'!$D$4:$D$2441,$B76,'февраль 2025'!$J$4:$J$2441,AB$1)</f>
        <v>0</v>
      </c>
      <c r="AC76" s="183">
        <f>SUMIFS('февраль 2025'!$G$4:$G$2441,'февраль 2025'!$D$4:$D$2441,$B76,'февраль 2025'!$J$4:$J$2441,AC$1)</f>
        <v>0</v>
      </c>
      <c r="AD76" s="183">
        <f>SUMIFS('февраль 2025'!$G$4:$G$2441,'февраль 2025'!$D$4:$D$2441,$B76,'февраль 2025'!$J$4:$J$2441,AD$1)</f>
        <v>0</v>
      </c>
      <c r="AE76" s="183">
        <f>SUMIFS('февраль 2025'!$G$4:$G$2441,'февраль 2025'!$D$4:$D$2441,$B76,'февраль 2025'!$J$4:$J$2441,AE$1)</f>
        <v>0</v>
      </c>
      <c r="AF76" s="183">
        <f>SUMIFS('февраль 2025'!$G$4:$G$2441,'февраль 2025'!$D$4:$D$2441,$B76,'февраль 2025'!$J$4:$J$2441,AF$1)</f>
        <v>0</v>
      </c>
      <c r="AG76" s="183">
        <f>SUMIFS('февраль 2025'!$G$4:$G$2441,'февраль 2025'!$D$4:$D$2441,$B76,'февраль 2025'!$J$4:$J$2441,AG$1)</f>
        <v>0</v>
      </c>
      <c r="AH76" s="183">
        <f>SUMIFS('февраль 2025'!$G$4:$G$2441,'февраль 2025'!$D$4:$D$2441,$B76,'февраль 2025'!$J$4:$J$2441,AH$1)</f>
        <v>0</v>
      </c>
      <c r="AI76" s="20">
        <f t="shared" si="1"/>
        <v>0</v>
      </c>
    </row>
    <row r="77" spans="2:35" ht="15" customHeight="1" x14ac:dyDescent="0.25">
      <c r="B77" s="88" t="s">
        <v>167</v>
      </c>
      <c r="C77" s="86">
        <v>200</v>
      </c>
      <c r="D77" s="183">
        <f>SUMIFS('февраль 2025'!$G$4:$G$2441,'февраль 2025'!$D$4:$D$2441,$B77,'февраль 2025'!$J$4:$J$2441,D$1)</f>
        <v>0</v>
      </c>
      <c r="E77" s="183">
        <f>SUMIFS('февраль 2025'!$G$4:$G$2441,'февраль 2025'!$D$4:$D$2441,$B77,'февраль 2025'!$J$4:$J$2441,E$1)</f>
        <v>0</v>
      </c>
      <c r="F77" s="183">
        <f>SUMIFS('февраль 2025'!$G$4:$G$2441,'февраль 2025'!$D$4:$D$2441,$B77,'февраль 2025'!$J$4:$J$2441,F$1)</f>
        <v>0</v>
      </c>
      <c r="G77" s="183">
        <f>SUMIFS('февраль 2025'!$G$4:$G$2441,'февраль 2025'!$D$4:$D$2441,$B77,'февраль 2025'!$J$4:$J$2441,G$1)</f>
        <v>0</v>
      </c>
      <c r="H77" s="183">
        <f>SUMIFS('февраль 2025'!$G$4:$G$2441,'февраль 2025'!$D$4:$D$2441,$B77,'февраль 2025'!$J$4:$J$2441,H$1)</f>
        <v>0</v>
      </c>
      <c r="I77" s="183">
        <f>SUMIFS('февраль 2025'!$G$4:$G$2441,'февраль 2025'!$D$4:$D$2441,$B77,'февраль 2025'!$J$4:$J$2441,I$1)</f>
        <v>0</v>
      </c>
      <c r="J77" s="183">
        <f>SUMIFS('февраль 2025'!$G$4:$G$2441,'февраль 2025'!$D$4:$D$2441,$B77,'февраль 2025'!$J$4:$J$2441,J$1)</f>
        <v>0</v>
      </c>
      <c r="K77" s="183">
        <f>SUMIFS('февраль 2025'!$G$4:$G$2441,'февраль 2025'!$D$4:$D$2441,$B77,'февраль 2025'!$J$4:$J$2441,K$1)</f>
        <v>0</v>
      </c>
      <c r="L77" s="183">
        <f>SUMIFS('февраль 2025'!$G$4:$G$2441,'февраль 2025'!$D$4:$D$2441,$B77,'февраль 2025'!$J$4:$J$2441,L$1)</f>
        <v>0</v>
      </c>
      <c r="M77" s="183">
        <f>SUMIFS('февраль 2025'!$G$4:$G$2441,'февраль 2025'!$D$4:$D$2441,$B77,'февраль 2025'!$J$4:$J$2441,M$1)</f>
        <v>0</v>
      </c>
      <c r="N77" s="183">
        <f>SUMIFS('февраль 2025'!$G$4:$G$2441,'февраль 2025'!$D$4:$D$2441,$B77,'февраль 2025'!$J$4:$J$2441,N$1)</f>
        <v>0</v>
      </c>
      <c r="O77" s="183">
        <f>SUMIFS('февраль 2025'!$G$4:$G$2441,'февраль 2025'!$D$4:$D$2441,$B77,'февраль 2025'!$J$4:$J$2441,O$1)</f>
        <v>0</v>
      </c>
      <c r="P77" s="183">
        <f>SUMIFS('февраль 2025'!$G$4:$G$2441,'февраль 2025'!$D$4:$D$2441,$B77,'февраль 2025'!$J$4:$J$2441,P$1)</f>
        <v>0</v>
      </c>
      <c r="Q77" s="183">
        <f>SUMIFS('февраль 2025'!$G$4:$G$2441,'февраль 2025'!$D$4:$D$2441,$B77,'февраль 2025'!$J$4:$J$2441,Q$1)</f>
        <v>0</v>
      </c>
      <c r="R77" s="183">
        <f>SUMIFS('февраль 2025'!$G$4:$G$2441,'февраль 2025'!$D$4:$D$2441,$B77,'февраль 2025'!$J$4:$J$2441,R$1)</f>
        <v>0</v>
      </c>
      <c r="S77" s="183">
        <f>SUMIFS('февраль 2025'!$G$4:$G$2441,'февраль 2025'!$D$4:$D$2441,$B77,'февраль 2025'!$J$4:$J$2441,S$1)</f>
        <v>0</v>
      </c>
      <c r="T77" s="183">
        <f>SUMIFS('февраль 2025'!$G$4:$G$2441,'февраль 2025'!$D$4:$D$2441,$B77,'февраль 2025'!$J$4:$J$2441,T$1)</f>
        <v>0</v>
      </c>
      <c r="U77" s="183">
        <f>SUMIFS('февраль 2025'!$G$4:$G$2441,'февраль 2025'!$D$4:$D$2441,$B77,'февраль 2025'!$J$4:$J$2441,U$1)</f>
        <v>0</v>
      </c>
      <c r="V77" s="183">
        <f>SUMIFS('февраль 2025'!$G$4:$G$2441,'февраль 2025'!$D$4:$D$2441,$B77,'февраль 2025'!$J$4:$J$2441,V$1)</f>
        <v>0</v>
      </c>
      <c r="W77" s="183">
        <f>SUMIFS('февраль 2025'!$G$4:$G$2441,'февраль 2025'!$D$4:$D$2441,$B77,'февраль 2025'!$J$4:$J$2441,W$1)</f>
        <v>0</v>
      </c>
      <c r="X77" s="183">
        <f>SUMIFS('февраль 2025'!$G$4:$G$2441,'февраль 2025'!$D$4:$D$2441,$B77,'февраль 2025'!$J$4:$J$2441,X$1)</f>
        <v>0</v>
      </c>
      <c r="Y77" s="183">
        <f>SUMIFS('февраль 2025'!$G$4:$G$2441,'февраль 2025'!$D$4:$D$2441,$B77,'февраль 2025'!$J$4:$J$2441,Y$1)</f>
        <v>0</v>
      </c>
      <c r="Z77" s="183">
        <f>SUMIFS('февраль 2025'!$G$4:$G$2441,'февраль 2025'!$D$4:$D$2441,$B77,'февраль 2025'!$J$4:$J$2441,Z$1)</f>
        <v>0</v>
      </c>
      <c r="AA77" s="183">
        <f>SUMIFS('февраль 2025'!$G$4:$G$2441,'февраль 2025'!$D$4:$D$2441,$B77,'февраль 2025'!$J$4:$J$2441,AA$1)</f>
        <v>0</v>
      </c>
      <c r="AB77" s="183">
        <f>SUMIFS('февраль 2025'!$G$4:$G$2441,'февраль 2025'!$D$4:$D$2441,$B77,'февраль 2025'!$J$4:$J$2441,AB$1)</f>
        <v>0</v>
      </c>
      <c r="AC77" s="183">
        <f>SUMIFS('февраль 2025'!$G$4:$G$2441,'февраль 2025'!$D$4:$D$2441,$B77,'февраль 2025'!$J$4:$J$2441,AC$1)</f>
        <v>0</v>
      </c>
      <c r="AD77" s="183">
        <f>SUMIFS('февраль 2025'!$G$4:$G$2441,'февраль 2025'!$D$4:$D$2441,$B77,'февраль 2025'!$J$4:$J$2441,AD$1)</f>
        <v>0</v>
      </c>
      <c r="AE77" s="183">
        <f>SUMIFS('февраль 2025'!$G$4:$G$2441,'февраль 2025'!$D$4:$D$2441,$B77,'февраль 2025'!$J$4:$J$2441,AE$1)</f>
        <v>0</v>
      </c>
      <c r="AF77" s="183">
        <f>SUMIFS('февраль 2025'!$G$4:$G$2441,'февраль 2025'!$D$4:$D$2441,$B77,'февраль 2025'!$J$4:$J$2441,AF$1)</f>
        <v>0</v>
      </c>
      <c r="AG77" s="183">
        <f>SUMIFS('февраль 2025'!$G$4:$G$2441,'февраль 2025'!$D$4:$D$2441,$B77,'февраль 2025'!$J$4:$J$2441,AG$1)</f>
        <v>0</v>
      </c>
      <c r="AH77" s="183">
        <f>SUMIFS('февраль 2025'!$G$4:$G$2441,'февраль 2025'!$D$4:$D$2441,$B77,'февраль 2025'!$J$4:$J$2441,AH$1)</f>
        <v>0</v>
      </c>
      <c r="AI77" s="20">
        <f t="shared" si="1"/>
        <v>0</v>
      </c>
    </row>
    <row r="78" spans="2:35" ht="15" customHeight="1" x14ac:dyDescent="0.25">
      <c r="B78" s="88" t="s">
        <v>168</v>
      </c>
      <c r="C78" s="86">
        <v>200</v>
      </c>
      <c r="D78" s="183">
        <f>SUMIFS('февраль 2025'!$G$4:$G$2441,'февраль 2025'!$D$4:$D$2441,$B78,'февраль 2025'!$J$4:$J$2441,D$1)</f>
        <v>0</v>
      </c>
      <c r="E78" s="183">
        <f>SUMIFS('февраль 2025'!$G$4:$G$2441,'февраль 2025'!$D$4:$D$2441,$B78,'февраль 2025'!$J$4:$J$2441,E$1)</f>
        <v>0</v>
      </c>
      <c r="F78" s="183">
        <f>SUMIFS('февраль 2025'!$G$4:$G$2441,'февраль 2025'!$D$4:$D$2441,$B78,'февраль 2025'!$J$4:$J$2441,F$1)</f>
        <v>0</v>
      </c>
      <c r="G78" s="183">
        <f>SUMIFS('февраль 2025'!$G$4:$G$2441,'февраль 2025'!$D$4:$D$2441,$B78,'февраль 2025'!$J$4:$J$2441,G$1)</f>
        <v>0</v>
      </c>
      <c r="H78" s="183">
        <f>SUMIFS('февраль 2025'!$G$4:$G$2441,'февраль 2025'!$D$4:$D$2441,$B78,'февраль 2025'!$J$4:$J$2441,H$1)</f>
        <v>0</v>
      </c>
      <c r="I78" s="183">
        <f>SUMIFS('февраль 2025'!$G$4:$G$2441,'февраль 2025'!$D$4:$D$2441,$B78,'февраль 2025'!$J$4:$J$2441,I$1)</f>
        <v>0</v>
      </c>
      <c r="J78" s="183">
        <f>SUMIFS('февраль 2025'!$G$4:$G$2441,'февраль 2025'!$D$4:$D$2441,$B78,'февраль 2025'!$J$4:$J$2441,J$1)</f>
        <v>0</v>
      </c>
      <c r="K78" s="183">
        <f>SUMIFS('февраль 2025'!$G$4:$G$2441,'февраль 2025'!$D$4:$D$2441,$B78,'февраль 2025'!$J$4:$J$2441,K$1)</f>
        <v>0</v>
      </c>
      <c r="L78" s="183">
        <f>SUMIFS('февраль 2025'!$G$4:$G$2441,'февраль 2025'!$D$4:$D$2441,$B78,'февраль 2025'!$J$4:$J$2441,L$1)</f>
        <v>0</v>
      </c>
      <c r="M78" s="183">
        <f>SUMIFS('февраль 2025'!$G$4:$G$2441,'февраль 2025'!$D$4:$D$2441,$B78,'февраль 2025'!$J$4:$J$2441,M$1)</f>
        <v>0</v>
      </c>
      <c r="N78" s="183">
        <f>SUMIFS('февраль 2025'!$G$4:$G$2441,'февраль 2025'!$D$4:$D$2441,$B78,'февраль 2025'!$J$4:$J$2441,N$1)</f>
        <v>0</v>
      </c>
      <c r="O78" s="183">
        <f>SUMIFS('февраль 2025'!$G$4:$G$2441,'февраль 2025'!$D$4:$D$2441,$B78,'февраль 2025'!$J$4:$J$2441,O$1)</f>
        <v>0</v>
      </c>
      <c r="P78" s="183">
        <f>SUMIFS('февраль 2025'!$G$4:$G$2441,'февраль 2025'!$D$4:$D$2441,$B78,'февраль 2025'!$J$4:$J$2441,P$1)</f>
        <v>0</v>
      </c>
      <c r="Q78" s="183">
        <f>SUMIFS('февраль 2025'!$G$4:$G$2441,'февраль 2025'!$D$4:$D$2441,$B78,'февраль 2025'!$J$4:$J$2441,Q$1)</f>
        <v>0</v>
      </c>
      <c r="R78" s="183">
        <f>SUMIFS('февраль 2025'!$G$4:$G$2441,'февраль 2025'!$D$4:$D$2441,$B78,'февраль 2025'!$J$4:$J$2441,R$1)</f>
        <v>0</v>
      </c>
      <c r="S78" s="183">
        <f>SUMIFS('февраль 2025'!$G$4:$G$2441,'февраль 2025'!$D$4:$D$2441,$B78,'февраль 2025'!$J$4:$J$2441,S$1)</f>
        <v>0</v>
      </c>
      <c r="T78" s="183">
        <f>SUMIFS('февраль 2025'!$G$4:$G$2441,'февраль 2025'!$D$4:$D$2441,$B78,'февраль 2025'!$J$4:$J$2441,T$1)</f>
        <v>0</v>
      </c>
      <c r="U78" s="183">
        <f>SUMIFS('февраль 2025'!$G$4:$G$2441,'февраль 2025'!$D$4:$D$2441,$B78,'февраль 2025'!$J$4:$J$2441,U$1)</f>
        <v>0</v>
      </c>
      <c r="V78" s="183">
        <f>SUMIFS('февраль 2025'!$G$4:$G$2441,'февраль 2025'!$D$4:$D$2441,$B78,'февраль 2025'!$J$4:$J$2441,V$1)</f>
        <v>0</v>
      </c>
      <c r="W78" s="183">
        <f>SUMIFS('февраль 2025'!$G$4:$G$2441,'февраль 2025'!$D$4:$D$2441,$B78,'февраль 2025'!$J$4:$J$2441,W$1)</f>
        <v>0</v>
      </c>
      <c r="X78" s="183">
        <f>SUMIFS('февраль 2025'!$G$4:$G$2441,'февраль 2025'!$D$4:$D$2441,$B78,'февраль 2025'!$J$4:$J$2441,X$1)</f>
        <v>0</v>
      </c>
      <c r="Y78" s="183">
        <f>SUMIFS('февраль 2025'!$G$4:$G$2441,'февраль 2025'!$D$4:$D$2441,$B78,'февраль 2025'!$J$4:$J$2441,Y$1)</f>
        <v>0</v>
      </c>
      <c r="Z78" s="183">
        <f>SUMIFS('февраль 2025'!$G$4:$G$2441,'февраль 2025'!$D$4:$D$2441,$B78,'февраль 2025'!$J$4:$J$2441,Z$1)</f>
        <v>0</v>
      </c>
      <c r="AA78" s="183">
        <f>SUMIFS('февраль 2025'!$G$4:$G$2441,'февраль 2025'!$D$4:$D$2441,$B78,'февраль 2025'!$J$4:$J$2441,AA$1)</f>
        <v>0</v>
      </c>
      <c r="AB78" s="183">
        <f>SUMIFS('февраль 2025'!$G$4:$G$2441,'февраль 2025'!$D$4:$D$2441,$B78,'февраль 2025'!$J$4:$J$2441,AB$1)</f>
        <v>0</v>
      </c>
      <c r="AC78" s="183">
        <f>SUMIFS('февраль 2025'!$G$4:$G$2441,'февраль 2025'!$D$4:$D$2441,$B78,'февраль 2025'!$J$4:$J$2441,AC$1)</f>
        <v>0</v>
      </c>
      <c r="AD78" s="183">
        <f>SUMIFS('февраль 2025'!$G$4:$G$2441,'февраль 2025'!$D$4:$D$2441,$B78,'февраль 2025'!$J$4:$J$2441,AD$1)</f>
        <v>0</v>
      </c>
      <c r="AE78" s="183">
        <f>SUMIFS('февраль 2025'!$G$4:$G$2441,'февраль 2025'!$D$4:$D$2441,$B78,'февраль 2025'!$J$4:$J$2441,AE$1)</f>
        <v>0</v>
      </c>
      <c r="AF78" s="183">
        <f>SUMIFS('февраль 2025'!$G$4:$G$2441,'февраль 2025'!$D$4:$D$2441,$B78,'февраль 2025'!$J$4:$J$2441,AF$1)</f>
        <v>0</v>
      </c>
      <c r="AG78" s="183">
        <f>SUMIFS('февраль 2025'!$G$4:$G$2441,'февраль 2025'!$D$4:$D$2441,$B78,'февраль 2025'!$J$4:$J$2441,AG$1)</f>
        <v>0</v>
      </c>
      <c r="AH78" s="183">
        <f>SUMIFS('февраль 2025'!$G$4:$G$2441,'февраль 2025'!$D$4:$D$2441,$B78,'февраль 2025'!$J$4:$J$2441,AH$1)</f>
        <v>0</v>
      </c>
      <c r="AI78" s="20">
        <f t="shared" si="1"/>
        <v>0</v>
      </c>
    </row>
    <row r="79" spans="2:35" ht="15" customHeight="1" x14ac:dyDescent="0.25">
      <c r="B79" s="88" t="s">
        <v>314</v>
      </c>
      <c r="C79" s="86">
        <v>200</v>
      </c>
      <c r="D79" s="183">
        <f>SUMIFS('февраль 2025'!$G$4:$G$2441,'февраль 2025'!$D$4:$D$2441,$B79,'февраль 2025'!$J$4:$J$2441,D$1)</f>
        <v>0</v>
      </c>
      <c r="E79" s="183">
        <f>SUMIFS('февраль 2025'!$G$4:$G$2441,'февраль 2025'!$D$4:$D$2441,$B79,'февраль 2025'!$J$4:$J$2441,E$1)</f>
        <v>0</v>
      </c>
      <c r="F79" s="183">
        <f>SUMIFS('февраль 2025'!$G$4:$G$2441,'февраль 2025'!$D$4:$D$2441,$B79,'февраль 2025'!$J$4:$J$2441,F$1)</f>
        <v>0</v>
      </c>
      <c r="G79" s="183">
        <f>SUMIFS('февраль 2025'!$G$4:$G$2441,'февраль 2025'!$D$4:$D$2441,$B79,'февраль 2025'!$J$4:$J$2441,G$1)</f>
        <v>0</v>
      </c>
      <c r="H79" s="183">
        <f>SUMIFS('февраль 2025'!$G$4:$G$2441,'февраль 2025'!$D$4:$D$2441,$B79,'февраль 2025'!$J$4:$J$2441,H$1)</f>
        <v>0</v>
      </c>
      <c r="I79" s="183">
        <f>SUMIFS('февраль 2025'!$G$4:$G$2441,'февраль 2025'!$D$4:$D$2441,$B79,'февраль 2025'!$J$4:$J$2441,I$1)</f>
        <v>0</v>
      </c>
      <c r="J79" s="183">
        <f>SUMIFS('февраль 2025'!$G$4:$G$2441,'февраль 2025'!$D$4:$D$2441,$B79,'февраль 2025'!$J$4:$J$2441,J$1)</f>
        <v>0</v>
      </c>
      <c r="K79" s="183">
        <f>SUMIFS('февраль 2025'!$G$4:$G$2441,'февраль 2025'!$D$4:$D$2441,$B79,'февраль 2025'!$J$4:$J$2441,K$1)</f>
        <v>0</v>
      </c>
      <c r="L79" s="183">
        <f>SUMIFS('февраль 2025'!$G$4:$G$2441,'февраль 2025'!$D$4:$D$2441,$B79,'февраль 2025'!$J$4:$J$2441,L$1)</f>
        <v>0</v>
      </c>
      <c r="M79" s="183">
        <f>SUMIFS('февраль 2025'!$G$4:$G$2441,'февраль 2025'!$D$4:$D$2441,$B79,'февраль 2025'!$J$4:$J$2441,M$1)</f>
        <v>0</v>
      </c>
      <c r="N79" s="183">
        <f>SUMIFS('февраль 2025'!$G$4:$G$2441,'февраль 2025'!$D$4:$D$2441,$B79,'февраль 2025'!$J$4:$J$2441,N$1)</f>
        <v>0</v>
      </c>
      <c r="O79" s="183">
        <f>SUMIFS('февраль 2025'!$G$4:$G$2441,'февраль 2025'!$D$4:$D$2441,$B79,'февраль 2025'!$J$4:$J$2441,O$1)</f>
        <v>0</v>
      </c>
      <c r="P79" s="183">
        <f>SUMIFS('февраль 2025'!$G$4:$G$2441,'февраль 2025'!$D$4:$D$2441,$B79,'февраль 2025'!$J$4:$J$2441,P$1)</f>
        <v>0</v>
      </c>
      <c r="Q79" s="183">
        <f>SUMIFS('февраль 2025'!$G$4:$G$2441,'февраль 2025'!$D$4:$D$2441,$B79,'февраль 2025'!$J$4:$J$2441,Q$1)</f>
        <v>0</v>
      </c>
      <c r="R79" s="183">
        <f>SUMIFS('февраль 2025'!$G$4:$G$2441,'февраль 2025'!$D$4:$D$2441,$B79,'февраль 2025'!$J$4:$J$2441,R$1)</f>
        <v>0</v>
      </c>
      <c r="S79" s="183">
        <f>SUMIFS('февраль 2025'!$G$4:$G$2441,'февраль 2025'!$D$4:$D$2441,$B79,'февраль 2025'!$J$4:$J$2441,S$1)</f>
        <v>0</v>
      </c>
      <c r="T79" s="183">
        <f>SUMIFS('февраль 2025'!$G$4:$G$2441,'февраль 2025'!$D$4:$D$2441,$B79,'февраль 2025'!$J$4:$J$2441,T$1)</f>
        <v>88</v>
      </c>
      <c r="U79" s="183">
        <f>SUMIFS('февраль 2025'!$G$4:$G$2441,'февраль 2025'!$D$4:$D$2441,$B79,'февраль 2025'!$J$4:$J$2441,U$1)</f>
        <v>0</v>
      </c>
      <c r="V79" s="183">
        <f>SUMIFS('февраль 2025'!$G$4:$G$2441,'февраль 2025'!$D$4:$D$2441,$B79,'февраль 2025'!$J$4:$J$2441,V$1)</f>
        <v>0</v>
      </c>
      <c r="W79" s="183">
        <f>SUMIFS('февраль 2025'!$G$4:$G$2441,'февраль 2025'!$D$4:$D$2441,$B79,'февраль 2025'!$J$4:$J$2441,W$1)</f>
        <v>0</v>
      </c>
      <c r="X79" s="183">
        <f>SUMIFS('февраль 2025'!$G$4:$G$2441,'февраль 2025'!$D$4:$D$2441,$B79,'февраль 2025'!$J$4:$J$2441,X$1)</f>
        <v>80</v>
      </c>
      <c r="Y79" s="183">
        <f>SUMIFS('февраль 2025'!$G$4:$G$2441,'февраль 2025'!$D$4:$D$2441,$B79,'февраль 2025'!$J$4:$J$2441,Y$1)</f>
        <v>0</v>
      </c>
      <c r="Z79" s="183">
        <f>SUMIFS('февраль 2025'!$G$4:$G$2441,'февраль 2025'!$D$4:$D$2441,$B79,'февраль 2025'!$J$4:$J$2441,Z$1)</f>
        <v>0</v>
      </c>
      <c r="AA79" s="183">
        <f>SUMIFS('февраль 2025'!$G$4:$G$2441,'февраль 2025'!$D$4:$D$2441,$B79,'февраль 2025'!$J$4:$J$2441,AA$1)</f>
        <v>0</v>
      </c>
      <c r="AB79" s="183">
        <f>SUMIFS('февраль 2025'!$G$4:$G$2441,'февраль 2025'!$D$4:$D$2441,$B79,'февраль 2025'!$J$4:$J$2441,AB$1)</f>
        <v>0</v>
      </c>
      <c r="AC79" s="183">
        <f>SUMIFS('февраль 2025'!$G$4:$G$2441,'февраль 2025'!$D$4:$D$2441,$B79,'февраль 2025'!$J$4:$J$2441,AC$1)</f>
        <v>0</v>
      </c>
      <c r="AD79" s="183">
        <f>SUMIFS('февраль 2025'!$G$4:$G$2441,'февраль 2025'!$D$4:$D$2441,$B79,'февраль 2025'!$J$4:$J$2441,AD$1)</f>
        <v>0</v>
      </c>
      <c r="AE79" s="183">
        <f>SUMIFS('февраль 2025'!$G$4:$G$2441,'февраль 2025'!$D$4:$D$2441,$B79,'февраль 2025'!$J$4:$J$2441,AE$1)</f>
        <v>0</v>
      </c>
      <c r="AF79" s="183">
        <f>SUMIFS('февраль 2025'!$G$4:$G$2441,'февраль 2025'!$D$4:$D$2441,$B79,'февраль 2025'!$J$4:$J$2441,AF$1)</f>
        <v>0</v>
      </c>
      <c r="AG79" s="183">
        <f>SUMIFS('февраль 2025'!$G$4:$G$2441,'февраль 2025'!$D$4:$D$2441,$B79,'февраль 2025'!$J$4:$J$2441,AG$1)</f>
        <v>0</v>
      </c>
      <c r="AH79" s="183">
        <f>SUMIFS('февраль 2025'!$G$4:$G$2441,'февраль 2025'!$D$4:$D$2441,$B79,'февраль 2025'!$J$4:$J$2441,AH$1)</f>
        <v>0</v>
      </c>
      <c r="AI79" s="20">
        <f t="shared" si="1"/>
        <v>168</v>
      </c>
    </row>
    <row r="80" spans="2:35" ht="15" customHeight="1" x14ac:dyDescent="0.25">
      <c r="B80" s="88" t="s">
        <v>375</v>
      </c>
      <c r="C80" s="86">
        <v>210</v>
      </c>
      <c r="D80" s="183">
        <f>SUMIFS('февраль 2025'!$G$4:$G$2441,'февраль 2025'!$D$4:$D$2441,$B80,'февраль 2025'!$J$4:$J$2441,D$1)</f>
        <v>0</v>
      </c>
      <c r="E80" s="183">
        <f>SUMIFS('февраль 2025'!$G$4:$G$2441,'февраль 2025'!$D$4:$D$2441,$B80,'февраль 2025'!$J$4:$J$2441,E$1)</f>
        <v>0</v>
      </c>
      <c r="F80" s="183">
        <f>SUMIFS('февраль 2025'!$G$4:$G$2441,'февраль 2025'!$D$4:$D$2441,$B80,'февраль 2025'!$J$4:$J$2441,F$1)</f>
        <v>0</v>
      </c>
      <c r="G80" s="183">
        <f>SUMIFS('февраль 2025'!$G$4:$G$2441,'февраль 2025'!$D$4:$D$2441,$B80,'февраль 2025'!$J$4:$J$2441,G$1)</f>
        <v>0</v>
      </c>
      <c r="H80" s="183">
        <f>SUMIFS('февраль 2025'!$G$4:$G$2441,'февраль 2025'!$D$4:$D$2441,$B80,'февраль 2025'!$J$4:$J$2441,H$1)</f>
        <v>0</v>
      </c>
      <c r="I80" s="183">
        <f>SUMIFS('февраль 2025'!$G$4:$G$2441,'февраль 2025'!$D$4:$D$2441,$B80,'февраль 2025'!$J$4:$J$2441,I$1)</f>
        <v>0</v>
      </c>
      <c r="J80" s="183">
        <f>SUMIFS('февраль 2025'!$G$4:$G$2441,'февраль 2025'!$D$4:$D$2441,$B80,'февраль 2025'!$J$4:$J$2441,J$1)</f>
        <v>0</v>
      </c>
      <c r="K80" s="183">
        <f>SUMIFS('февраль 2025'!$G$4:$G$2441,'февраль 2025'!$D$4:$D$2441,$B80,'февраль 2025'!$J$4:$J$2441,K$1)</f>
        <v>0</v>
      </c>
      <c r="L80" s="183">
        <f>SUMIFS('февраль 2025'!$G$4:$G$2441,'февраль 2025'!$D$4:$D$2441,$B80,'февраль 2025'!$J$4:$J$2441,L$1)</f>
        <v>0</v>
      </c>
      <c r="M80" s="183">
        <f>SUMIFS('февраль 2025'!$G$4:$G$2441,'февраль 2025'!$D$4:$D$2441,$B80,'февраль 2025'!$J$4:$J$2441,M$1)</f>
        <v>0</v>
      </c>
      <c r="N80" s="183">
        <f>SUMIFS('февраль 2025'!$G$4:$G$2441,'февраль 2025'!$D$4:$D$2441,$B80,'февраль 2025'!$J$4:$J$2441,N$1)</f>
        <v>0</v>
      </c>
      <c r="O80" s="183">
        <f>SUMIFS('февраль 2025'!$G$4:$G$2441,'февраль 2025'!$D$4:$D$2441,$B80,'февраль 2025'!$J$4:$J$2441,O$1)</f>
        <v>0</v>
      </c>
      <c r="P80" s="183">
        <f>SUMIFS('февраль 2025'!$G$4:$G$2441,'февраль 2025'!$D$4:$D$2441,$B80,'февраль 2025'!$J$4:$J$2441,P$1)</f>
        <v>0</v>
      </c>
      <c r="Q80" s="183">
        <f>SUMIFS('февраль 2025'!$G$4:$G$2441,'февраль 2025'!$D$4:$D$2441,$B80,'февраль 2025'!$J$4:$J$2441,Q$1)</f>
        <v>0</v>
      </c>
      <c r="R80" s="183">
        <f>SUMIFS('февраль 2025'!$G$4:$G$2441,'февраль 2025'!$D$4:$D$2441,$B80,'февраль 2025'!$J$4:$J$2441,R$1)</f>
        <v>0</v>
      </c>
      <c r="S80" s="183">
        <f>SUMIFS('февраль 2025'!$G$4:$G$2441,'февраль 2025'!$D$4:$D$2441,$B80,'февраль 2025'!$J$4:$J$2441,S$1)</f>
        <v>0</v>
      </c>
      <c r="T80" s="183">
        <f>SUMIFS('февраль 2025'!$G$4:$G$2441,'февраль 2025'!$D$4:$D$2441,$B80,'февраль 2025'!$J$4:$J$2441,T$1)</f>
        <v>0</v>
      </c>
      <c r="U80" s="183">
        <f>SUMIFS('февраль 2025'!$G$4:$G$2441,'февраль 2025'!$D$4:$D$2441,$B80,'февраль 2025'!$J$4:$J$2441,U$1)</f>
        <v>0</v>
      </c>
      <c r="V80" s="183">
        <f>SUMIFS('февраль 2025'!$G$4:$G$2441,'февраль 2025'!$D$4:$D$2441,$B80,'февраль 2025'!$J$4:$J$2441,V$1)</f>
        <v>0</v>
      </c>
      <c r="W80" s="183">
        <f>SUMIFS('февраль 2025'!$G$4:$G$2441,'февраль 2025'!$D$4:$D$2441,$B80,'февраль 2025'!$J$4:$J$2441,W$1)</f>
        <v>0</v>
      </c>
      <c r="X80" s="183">
        <f>SUMIFS('февраль 2025'!$G$4:$G$2441,'февраль 2025'!$D$4:$D$2441,$B80,'февраль 2025'!$J$4:$J$2441,X$1)</f>
        <v>0</v>
      </c>
      <c r="Y80" s="183">
        <f>SUMIFS('февраль 2025'!$G$4:$G$2441,'февраль 2025'!$D$4:$D$2441,$B80,'февраль 2025'!$J$4:$J$2441,Y$1)</f>
        <v>0</v>
      </c>
      <c r="Z80" s="183">
        <f>SUMIFS('февраль 2025'!$G$4:$G$2441,'февраль 2025'!$D$4:$D$2441,$B80,'февраль 2025'!$J$4:$J$2441,Z$1)</f>
        <v>0</v>
      </c>
      <c r="AA80" s="183">
        <f>SUMIFS('февраль 2025'!$G$4:$G$2441,'февраль 2025'!$D$4:$D$2441,$B80,'февраль 2025'!$J$4:$J$2441,AA$1)</f>
        <v>0</v>
      </c>
      <c r="AB80" s="183">
        <f>SUMIFS('февраль 2025'!$G$4:$G$2441,'февраль 2025'!$D$4:$D$2441,$B80,'февраль 2025'!$J$4:$J$2441,AB$1)</f>
        <v>0</v>
      </c>
      <c r="AC80" s="183">
        <f>SUMIFS('февраль 2025'!$G$4:$G$2441,'февраль 2025'!$D$4:$D$2441,$B80,'февраль 2025'!$J$4:$J$2441,AC$1)</f>
        <v>0</v>
      </c>
      <c r="AD80" s="183">
        <f>SUMIFS('февраль 2025'!$G$4:$G$2441,'февраль 2025'!$D$4:$D$2441,$B80,'февраль 2025'!$J$4:$J$2441,AD$1)</f>
        <v>0</v>
      </c>
      <c r="AE80" s="183">
        <f>SUMIFS('февраль 2025'!$G$4:$G$2441,'февраль 2025'!$D$4:$D$2441,$B80,'февраль 2025'!$J$4:$J$2441,AE$1)</f>
        <v>0</v>
      </c>
      <c r="AF80" s="183">
        <f>SUMIFS('февраль 2025'!$G$4:$G$2441,'февраль 2025'!$D$4:$D$2441,$B80,'февраль 2025'!$J$4:$J$2441,AF$1)</f>
        <v>0</v>
      </c>
      <c r="AG80" s="183">
        <f>SUMIFS('февраль 2025'!$G$4:$G$2441,'февраль 2025'!$D$4:$D$2441,$B80,'февраль 2025'!$J$4:$J$2441,AG$1)</f>
        <v>0</v>
      </c>
      <c r="AH80" s="183">
        <f>SUMIFS('февраль 2025'!$G$4:$G$2441,'февраль 2025'!$D$4:$D$2441,$B80,'февраль 2025'!$J$4:$J$2441,AH$1)</f>
        <v>0</v>
      </c>
      <c r="AI80" s="20">
        <f t="shared" si="1"/>
        <v>0</v>
      </c>
    </row>
    <row r="81" spans="2:35" ht="15" customHeight="1" x14ac:dyDescent="0.25">
      <c r="B81" s="88" t="s">
        <v>257</v>
      </c>
      <c r="C81" s="86">
        <v>190</v>
      </c>
      <c r="D81" s="183">
        <f>SUMIFS('февраль 2025'!$G$4:$G$2441,'февраль 2025'!$D$4:$D$2441,$B81,'февраль 2025'!$J$4:$J$2441,D$1)</f>
        <v>0</v>
      </c>
      <c r="E81" s="183">
        <f>SUMIFS('февраль 2025'!$G$4:$G$2441,'февраль 2025'!$D$4:$D$2441,$B81,'февраль 2025'!$J$4:$J$2441,E$1)</f>
        <v>0</v>
      </c>
      <c r="F81" s="183">
        <f>SUMIFS('февраль 2025'!$G$4:$G$2441,'февраль 2025'!$D$4:$D$2441,$B81,'февраль 2025'!$J$4:$J$2441,F$1)</f>
        <v>0</v>
      </c>
      <c r="G81" s="183">
        <f>SUMIFS('февраль 2025'!$G$4:$G$2441,'февраль 2025'!$D$4:$D$2441,$B81,'февраль 2025'!$J$4:$J$2441,G$1)</f>
        <v>0</v>
      </c>
      <c r="H81" s="183">
        <f>SUMIFS('февраль 2025'!$G$4:$G$2441,'февраль 2025'!$D$4:$D$2441,$B81,'февраль 2025'!$J$4:$J$2441,H$1)</f>
        <v>0</v>
      </c>
      <c r="I81" s="183">
        <f>SUMIFS('февраль 2025'!$G$4:$G$2441,'февраль 2025'!$D$4:$D$2441,$B81,'февраль 2025'!$J$4:$J$2441,I$1)</f>
        <v>0</v>
      </c>
      <c r="J81" s="183">
        <f>SUMIFS('февраль 2025'!$G$4:$G$2441,'февраль 2025'!$D$4:$D$2441,$B81,'февраль 2025'!$J$4:$J$2441,J$1)</f>
        <v>0</v>
      </c>
      <c r="K81" s="183">
        <f>SUMIFS('февраль 2025'!$G$4:$G$2441,'февраль 2025'!$D$4:$D$2441,$B81,'февраль 2025'!$J$4:$J$2441,K$1)</f>
        <v>0</v>
      </c>
      <c r="L81" s="183">
        <f>SUMIFS('февраль 2025'!$G$4:$G$2441,'февраль 2025'!$D$4:$D$2441,$B81,'февраль 2025'!$J$4:$J$2441,L$1)</f>
        <v>0</v>
      </c>
      <c r="M81" s="183">
        <f>SUMIFS('февраль 2025'!$G$4:$G$2441,'февраль 2025'!$D$4:$D$2441,$B81,'февраль 2025'!$J$4:$J$2441,M$1)</f>
        <v>0</v>
      </c>
      <c r="N81" s="183">
        <f>SUMIFS('февраль 2025'!$G$4:$G$2441,'февраль 2025'!$D$4:$D$2441,$B81,'февраль 2025'!$J$4:$J$2441,N$1)</f>
        <v>0</v>
      </c>
      <c r="O81" s="183">
        <f>SUMIFS('февраль 2025'!$G$4:$G$2441,'февраль 2025'!$D$4:$D$2441,$B81,'февраль 2025'!$J$4:$J$2441,O$1)</f>
        <v>0</v>
      </c>
      <c r="P81" s="183">
        <f>SUMIFS('февраль 2025'!$G$4:$G$2441,'февраль 2025'!$D$4:$D$2441,$B81,'февраль 2025'!$J$4:$J$2441,P$1)</f>
        <v>0</v>
      </c>
      <c r="Q81" s="183">
        <f>SUMIFS('февраль 2025'!$G$4:$G$2441,'февраль 2025'!$D$4:$D$2441,$B81,'февраль 2025'!$J$4:$J$2441,Q$1)</f>
        <v>0</v>
      </c>
      <c r="R81" s="183">
        <f>SUMIFS('февраль 2025'!$G$4:$G$2441,'февраль 2025'!$D$4:$D$2441,$B81,'февраль 2025'!$J$4:$J$2441,R$1)</f>
        <v>0</v>
      </c>
      <c r="S81" s="183">
        <f>SUMIFS('февраль 2025'!$G$4:$G$2441,'февраль 2025'!$D$4:$D$2441,$B81,'февраль 2025'!$J$4:$J$2441,S$1)</f>
        <v>0</v>
      </c>
      <c r="T81" s="183">
        <f>SUMIFS('февраль 2025'!$G$4:$G$2441,'февраль 2025'!$D$4:$D$2441,$B81,'февраль 2025'!$J$4:$J$2441,T$1)</f>
        <v>0</v>
      </c>
      <c r="U81" s="183">
        <f>SUMIFS('февраль 2025'!$G$4:$G$2441,'февраль 2025'!$D$4:$D$2441,$B81,'февраль 2025'!$J$4:$J$2441,U$1)</f>
        <v>0</v>
      </c>
      <c r="V81" s="183">
        <f>SUMIFS('февраль 2025'!$G$4:$G$2441,'февраль 2025'!$D$4:$D$2441,$B81,'февраль 2025'!$J$4:$J$2441,V$1)</f>
        <v>0</v>
      </c>
      <c r="W81" s="183">
        <f>SUMIFS('февраль 2025'!$G$4:$G$2441,'февраль 2025'!$D$4:$D$2441,$B81,'февраль 2025'!$J$4:$J$2441,W$1)</f>
        <v>0</v>
      </c>
      <c r="X81" s="183">
        <f>SUMIFS('февраль 2025'!$G$4:$G$2441,'февраль 2025'!$D$4:$D$2441,$B81,'февраль 2025'!$J$4:$J$2441,X$1)</f>
        <v>0</v>
      </c>
      <c r="Y81" s="183">
        <f>SUMIFS('февраль 2025'!$G$4:$G$2441,'февраль 2025'!$D$4:$D$2441,$B81,'февраль 2025'!$J$4:$J$2441,Y$1)</f>
        <v>0</v>
      </c>
      <c r="Z81" s="183">
        <f>SUMIFS('февраль 2025'!$G$4:$G$2441,'февраль 2025'!$D$4:$D$2441,$B81,'февраль 2025'!$J$4:$J$2441,Z$1)</f>
        <v>0</v>
      </c>
      <c r="AA81" s="183">
        <f>SUMIFS('февраль 2025'!$G$4:$G$2441,'февраль 2025'!$D$4:$D$2441,$B81,'февраль 2025'!$J$4:$J$2441,AA$1)</f>
        <v>0</v>
      </c>
      <c r="AB81" s="183">
        <f>SUMIFS('февраль 2025'!$G$4:$G$2441,'февраль 2025'!$D$4:$D$2441,$B81,'февраль 2025'!$J$4:$J$2441,AB$1)</f>
        <v>0</v>
      </c>
      <c r="AC81" s="183">
        <f>SUMIFS('февраль 2025'!$G$4:$G$2441,'февраль 2025'!$D$4:$D$2441,$B81,'февраль 2025'!$J$4:$J$2441,AC$1)</f>
        <v>0</v>
      </c>
      <c r="AD81" s="183">
        <f>SUMIFS('февраль 2025'!$G$4:$G$2441,'февраль 2025'!$D$4:$D$2441,$B81,'февраль 2025'!$J$4:$J$2441,AD$1)</f>
        <v>0</v>
      </c>
      <c r="AE81" s="183">
        <f>SUMIFS('февраль 2025'!$G$4:$G$2441,'февраль 2025'!$D$4:$D$2441,$B81,'февраль 2025'!$J$4:$J$2441,AE$1)</f>
        <v>0</v>
      </c>
      <c r="AF81" s="183">
        <f>SUMIFS('февраль 2025'!$G$4:$G$2441,'февраль 2025'!$D$4:$D$2441,$B81,'февраль 2025'!$J$4:$J$2441,AF$1)</f>
        <v>0</v>
      </c>
      <c r="AG81" s="183">
        <f>SUMIFS('февраль 2025'!$G$4:$G$2441,'февраль 2025'!$D$4:$D$2441,$B81,'февраль 2025'!$J$4:$J$2441,AG$1)</f>
        <v>0</v>
      </c>
      <c r="AH81" s="183">
        <f>SUMIFS('февраль 2025'!$G$4:$G$2441,'февраль 2025'!$D$4:$D$2441,$B81,'февраль 2025'!$J$4:$J$2441,AH$1)</f>
        <v>0</v>
      </c>
      <c r="AI81" s="20">
        <f t="shared" si="1"/>
        <v>0</v>
      </c>
    </row>
    <row r="82" spans="2:35" ht="15" customHeight="1" x14ac:dyDescent="0.25">
      <c r="B82" s="84" t="s">
        <v>189</v>
      </c>
      <c r="C82" s="83">
        <v>180</v>
      </c>
      <c r="D82" s="183">
        <f>SUMIFS('февраль 2025'!$G$4:$G$2441,'февраль 2025'!$D$4:$D$2441,$B82,'февраль 2025'!$J$4:$J$2441,D$1)</f>
        <v>0</v>
      </c>
      <c r="E82" s="183">
        <f>SUMIFS('февраль 2025'!$G$4:$G$2441,'февраль 2025'!$D$4:$D$2441,$B82,'февраль 2025'!$J$4:$J$2441,E$1)</f>
        <v>0</v>
      </c>
      <c r="F82" s="183">
        <f>SUMIFS('февраль 2025'!$G$4:$G$2441,'февраль 2025'!$D$4:$D$2441,$B82,'февраль 2025'!$J$4:$J$2441,F$1)</f>
        <v>0</v>
      </c>
      <c r="G82" s="183">
        <f>SUMIFS('февраль 2025'!$G$4:$G$2441,'февраль 2025'!$D$4:$D$2441,$B82,'февраль 2025'!$J$4:$J$2441,G$1)</f>
        <v>0</v>
      </c>
      <c r="H82" s="183">
        <f>SUMIFS('февраль 2025'!$G$4:$G$2441,'февраль 2025'!$D$4:$D$2441,$B82,'февраль 2025'!$J$4:$J$2441,H$1)</f>
        <v>0</v>
      </c>
      <c r="I82" s="183">
        <f>SUMIFS('февраль 2025'!$G$4:$G$2441,'февраль 2025'!$D$4:$D$2441,$B82,'февраль 2025'!$J$4:$J$2441,I$1)</f>
        <v>0</v>
      </c>
      <c r="J82" s="183">
        <f>SUMIFS('февраль 2025'!$G$4:$G$2441,'февраль 2025'!$D$4:$D$2441,$B82,'февраль 2025'!$J$4:$J$2441,J$1)</f>
        <v>0</v>
      </c>
      <c r="K82" s="183">
        <f>SUMIFS('февраль 2025'!$G$4:$G$2441,'февраль 2025'!$D$4:$D$2441,$B82,'февраль 2025'!$J$4:$J$2441,K$1)</f>
        <v>0</v>
      </c>
      <c r="L82" s="183">
        <f>SUMIFS('февраль 2025'!$G$4:$G$2441,'февраль 2025'!$D$4:$D$2441,$B82,'февраль 2025'!$J$4:$J$2441,L$1)</f>
        <v>0</v>
      </c>
      <c r="M82" s="183">
        <f>SUMIFS('февраль 2025'!$G$4:$G$2441,'февраль 2025'!$D$4:$D$2441,$B82,'февраль 2025'!$J$4:$J$2441,M$1)</f>
        <v>0</v>
      </c>
      <c r="N82" s="183">
        <f>SUMIFS('февраль 2025'!$G$4:$G$2441,'февраль 2025'!$D$4:$D$2441,$B82,'февраль 2025'!$J$4:$J$2441,N$1)</f>
        <v>0</v>
      </c>
      <c r="O82" s="183">
        <f>SUMIFS('февраль 2025'!$G$4:$G$2441,'февраль 2025'!$D$4:$D$2441,$B82,'февраль 2025'!$J$4:$J$2441,O$1)</f>
        <v>0</v>
      </c>
      <c r="P82" s="183">
        <f>SUMIFS('февраль 2025'!$G$4:$G$2441,'февраль 2025'!$D$4:$D$2441,$B82,'февраль 2025'!$J$4:$J$2441,P$1)</f>
        <v>0</v>
      </c>
      <c r="Q82" s="183">
        <f>SUMIFS('февраль 2025'!$G$4:$G$2441,'февраль 2025'!$D$4:$D$2441,$B82,'февраль 2025'!$J$4:$J$2441,Q$1)</f>
        <v>0</v>
      </c>
      <c r="R82" s="183">
        <f>SUMIFS('февраль 2025'!$G$4:$G$2441,'февраль 2025'!$D$4:$D$2441,$B82,'февраль 2025'!$J$4:$J$2441,R$1)</f>
        <v>0</v>
      </c>
      <c r="S82" s="183">
        <f>SUMIFS('февраль 2025'!$G$4:$G$2441,'февраль 2025'!$D$4:$D$2441,$B82,'февраль 2025'!$J$4:$J$2441,S$1)</f>
        <v>0</v>
      </c>
      <c r="T82" s="183">
        <f>SUMIFS('февраль 2025'!$G$4:$G$2441,'февраль 2025'!$D$4:$D$2441,$B82,'февраль 2025'!$J$4:$J$2441,T$1)</f>
        <v>0</v>
      </c>
      <c r="U82" s="183">
        <f>SUMIFS('февраль 2025'!$G$4:$G$2441,'февраль 2025'!$D$4:$D$2441,$B82,'февраль 2025'!$J$4:$J$2441,U$1)</f>
        <v>0</v>
      </c>
      <c r="V82" s="183">
        <f>SUMIFS('февраль 2025'!$G$4:$G$2441,'февраль 2025'!$D$4:$D$2441,$B82,'февраль 2025'!$J$4:$J$2441,V$1)</f>
        <v>0</v>
      </c>
      <c r="W82" s="183">
        <f>SUMIFS('февраль 2025'!$G$4:$G$2441,'февраль 2025'!$D$4:$D$2441,$B82,'февраль 2025'!$J$4:$J$2441,W$1)</f>
        <v>0</v>
      </c>
      <c r="X82" s="183">
        <f>SUMIFS('февраль 2025'!$G$4:$G$2441,'февраль 2025'!$D$4:$D$2441,$B82,'февраль 2025'!$J$4:$J$2441,X$1)</f>
        <v>0</v>
      </c>
      <c r="Y82" s="183">
        <f>SUMIFS('февраль 2025'!$G$4:$G$2441,'февраль 2025'!$D$4:$D$2441,$B82,'февраль 2025'!$J$4:$J$2441,Y$1)</f>
        <v>0</v>
      </c>
      <c r="Z82" s="183">
        <f>SUMIFS('февраль 2025'!$G$4:$G$2441,'февраль 2025'!$D$4:$D$2441,$B82,'февраль 2025'!$J$4:$J$2441,Z$1)</f>
        <v>0</v>
      </c>
      <c r="AA82" s="183">
        <f>SUMIFS('февраль 2025'!$G$4:$G$2441,'февраль 2025'!$D$4:$D$2441,$B82,'февраль 2025'!$J$4:$J$2441,AA$1)</f>
        <v>0</v>
      </c>
      <c r="AB82" s="183">
        <f>SUMIFS('февраль 2025'!$G$4:$G$2441,'февраль 2025'!$D$4:$D$2441,$B82,'февраль 2025'!$J$4:$J$2441,AB$1)</f>
        <v>0</v>
      </c>
      <c r="AC82" s="183">
        <f>SUMIFS('февраль 2025'!$G$4:$G$2441,'февраль 2025'!$D$4:$D$2441,$B82,'февраль 2025'!$J$4:$J$2441,AC$1)</f>
        <v>0</v>
      </c>
      <c r="AD82" s="183">
        <f>SUMIFS('февраль 2025'!$G$4:$G$2441,'февраль 2025'!$D$4:$D$2441,$B82,'февраль 2025'!$J$4:$J$2441,AD$1)</f>
        <v>0</v>
      </c>
      <c r="AE82" s="183">
        <f>SUMIFS('февраль 2025'!$G$4:$G$2441,'февраль 2025'!$D$4:$D$2441,$B82,'февраль 2025'!$J$4:$J$2441,AE$1)</f>
        <v>0</v>
      </c>
      <c r="AF82" s="183">
        <f>SUMIFS('февраль 2025'!$G$4:$G$2441,'февраль 2025'!$D$4:$D$2441,$B82,'февраль 2025'!$J$4:$J$2441,AF$1)</f>
        <v>0</v>
      </c>
      <c r="AG82" s="183">
        <f>SUMIFS('февраль 2025'!$G$4:$G$2441,'февраль 2025'!$D$4:$D$2441,$B82,'февраль 2025'!$J$4:$J$2441,AG$1)</f>
        <v>0</v>
      </c>
      <c r="AH82" s="183">
        <f>SUMIFS('февраль 2025'!$G$4:$G$2441,'февраль 2025'!$D$4:$D$2441,$B82,'февраль 2025'!$J$4:$J$2441,AH$1)</f>
        <v>0</v>
      </c>
      <c r="AI82" s="20">
        <f t="shared" si="1"/>
        <v>0</v>
      </c>
    </row>
    <row r="83" spans="2:35" ht="15" customHeight="1" x14ac:dyDescent="0.25">
      <c r="B83" s="88" t="s">
        <v>190</v>
      </c>
      <c r="C83" s="86">
        <v>190</v>
      </c>
      <c r="D83" s="183">
        <f>SUMIFS('февраль 2025'!$G$4:$G$2441,'февраль 2025'!$D$4:$D$2441,$B83,'февраль 2025'!$J$4:$J$2441,D$1)</f>
        <v>0</v>
      </c>
      <c r="E83" s="183">
        <f>SUMIFS('февраль 2025'!$G$4:$G$2441,'февраль 2025'!$D$4:$D$2441,$B83,'февраль 2025'!$J$4:$J$2441,E$1)</f>
        <v>0</v>
      </c>
      <c r="F83" s="183">
        <f>SUMIFS('февраль 2025'!$G$4:$G$2441,'февраль 2025'!$D$4:$D$2441,$B83,'февраль 2025'!$J$4:$J$2441,F$1)</f>
        <v>0</v>
      </c>
      <c r="G83" s="183">
        <f>SUMIFS('февраль 2025'!$G$4:$G$2441,'февраль 2025'!$D$4:$D$2441,$B83,'февраль 2025'!$J$4:$J$2441,G$1)</f>
        <v>0</v>
      </c>
      <c r="H83" s="183">
        <f>SUMIFS('февраль 2025'!$G$4:$G$2441,'февраль 2025'!$D$4:$D$2441,$B83,'февраль 2025'!$J$4:$J$2441,H$1)</f>
        <v>0</v>
      </c>
      <c r="I83" s="183">
        <f>SUMIFS('февраль 2025'!$G$4:$G$2441,'февраль 2025'!$D$4:$D$2441,$B83,'февраль 2025'!$J$4:$J$2441,I$1)</f>
        <v>0</v>
      </c>
      <c r="J83" s="183">
        <f>SUMIFS('февраль 2025'!$G$4:$G$2441,'февраль 2025'!$D$4:$D$2441,$B83,'февраль 2025'!$J$4:$J$2441,J$1)</f>
        <v>0</v>
      </c>
      <c r="K83" s="183">
        <f>SUMIFS('февраль 2025'!$G$4:$G$2441,'февраль 2025'!$D$4:$D$2441,$B83,'февраль 2025'!$J$4:$J$2441,K$1)</f>
        <v>0</v>
      </c>
      <c r="L83" s="183">
        <f>SUMIFS('февраль 2025'!$G$4:$G$2441,'февраль 2025'!$D$4:$D$2441,$B83,'февраль 2025'!$J$4:$J$2441,L$1)</f>
        <v>0</v>
      </c>
      <c r="M83" s="183">
        <f>SUMIFS('февраль 2025'!$G$4:$G$2441,'февраль 2025'!$D$4:$D$2441,$B83,'февраль 2025'!$J$4:$J$2441,M$1)</f>
        <v>0</v>
      </c>
      <c r="N83" s="183">
        <f>SUMIFS('февраль 2025'!$G$4:$G$2441,'февраль 2025'!$D$4:$D$2441,$B83,'февраль 2025'!$J$4:$J$2441,N$1)</f>
        <v>0</v>
      </c>
      <c r="O83" s="183">
        <f>SUMIFS('февраль 2025'!$G$4:$G$2441,'февраль 2025'!$D$4:$D$2441,$B83,'февраль 2025'!$J$4:$J$2441,O$1)</f>
        <v>0</v>
      </c>
      <c r="P83" s="183">
        <f>SUMIFS('февраль 2025'!$G$4:$G$2441,'февраль 2025'!$D$4:$D$2441,$B83,'февраль 2025'!$J$4:$J$2441,P$1)</f>
        <v>0</v>
      </c>
      <c r="Q83" s="183">
        <f>SUMIFS('февраль 2025'!$G$4:$G$2441,'февраль 2025'!$D$4:$D$2441,$B83,'февраль 2025'!$J$4:$J$2441,Q$1)</f>
        <v>0</v>
      </c>
      <c r="R83" s="183">
        <f>SUMIFS('февраль 2025'!$G$4:$G$2441,'февраль 2025'!$D$4:$D$2441,$B83,'февраль 2025'!$J$4:$J$2441,R$1)</f>
        <v>0</v>
      </c>
      <c r="S83" s="183">
        <f>SUMIFS('февраль 2025'!$G$4:$G$2441,'февраль 2025'!$D$4:$D$2441,$B83,'февраль 2025'!$J$4:$J$2441,S$1)</f>
        <v>0</v>
      </c>
      <c r="T83" s="183">
        <f>SUMIFS('февраль 2025'!$G$4:$G$2441,'февраль 2025'!$D$4:$D$2441,$B83,'февраль 2025'!$J$4:$J$2441,T$1)</f>
        <v>0</v>
      </c>
      <c r="U83" s="183">
        <f>SUMIFS('февраль 2025'!$G$4:$G$2441,'февраль 2025'!$D$4:$D$2441,$B83,'февраль 2025'!$J$4:$J$2441,U$1)</f>
        <v>0</v>
      </c>
      <c r="V83" s="183">
        <f>SUMIFS('февраль 2025'!$G$4:$G$2441,'февраль 2025'!$D$4:$D$2441,$B83,'февраль 2025'!$J$4:$J$2441,V$1)</f>
        <v>0</v>
      </c>
      <c r="W83" s="183">
        <f>SUMIFS('февраль 2025'!$G$4:$G$2441,'февраль 2025'!$D$4:$D$2441,$B83,'февраль 2025'!$J$4:$J$2441,W$1)</f>
        <v>0</v>
      </c>
      <c r="X83" s="183">
        <f>SUMIFS('февраль 2025'!$G$4:$G$2441,'февраль 2025'!$D$4:$D$2441,$B83,'февраль 2025'!$J$4:$J$2441,X$1)</f>
        <v>0</v>
      </c>
      <c r="Y83" s="183">
        <f>SUMIFS('февраль 2025'!$G$4:$G$2441,'февраль 2025'!$D$4:$D$2441,$B83,'февраль 2025'!$J$4:$J$2441,Y$1)</f>
        <v>0</v>
      </c>
      <c r="Z83" s="183">
        <f>SUMIFS('февраль 2025'!$G$4:$G$2441,'февраль 2025'!$D$4:$D$2441,$B83,'февраль 2025'!$J$4:$J$2441,Z$1)</f>
        <v>0</v>
      </c>
      <c r="AA83" s="183">
        <f>SUMIFS('февраль 2025'!$G$4:$G$2441,'февраль 2025'!$D$4:$D$2441,$B83,'февраль 2025'!$J$4:$J$2441,AA$1)</f>
        <v>0</v>
      </c>
      <c r="AB83" s="183">
        <f>SUMIFS('февраль 2025'!$G$4:$G$2441,'февраль 2025'!$D$4:$D$2441,$B83,'февраль 2025'!$J$4:$J$2441,AB$1)</f>
        <v>0</v>
      </c>
      <c r="AC83" s="183">
        <f>SUMIFS('февраль 2025'!$G$4:$G$2441,'февраль 2025'!$D$4:$D$2441,$B83,'февраль 2025'!$J$4:$J$2441,AC$1)</f>
        <v>0</v>
      </c>
      <c r="AD83" s="183">
        <f>SUMIFS('февраль 2025'!$G$4:$G$2441,'февраль 2025'!$D$4:$D$2441,$B83,'февраль 2025'!$J$4:$J$2441,AD$1)</f>
        <v>0</v>
      </c>
      <c r="AE83" s="183">
        <f>SUMIFS('февраль 2025'!$G$4:$G$2441,'февраль 2025'!$D$4:$D$2441,$B83,'февраль 2025'!$J$4:$J$2441,AE$1)</f>
        <v>0</v>
      </c>
      <c r="AF83" s="183">
        <f>SUMIFS('февраль 2025'!$G$4:$G$2441,'февраль 2025'!$D$4:$D$2441,$B83,'февраль 2025'!$J$4:$J$2441,AF$1)</f>
        <v>0</v>
      </c>
      <c r="AG83" s="183">
        <f>SUMIFS('февраль 2025'!$G$4:$G$2441,'февраль 2025'!$D$4:$D$2441,$B83,'февраль 2025'!$J$4:$J$2441,AG$1)</f>
        <v>0</v>
      </c>
      <c r="AH83" s="183">
        <f>SUMIFS('февраль 2025'!$G$4:$G$2441,'февраль 2025'!$D$4:$D$2441,$B83,'февраль 2025'!$J$4:$J$2441,AH$1)</f>
        <v>0</v>
      </c>
      <c r="AI83" s="20">
        <f t="shared" si="1"/>
        <v>0</v>
      </c>
    </row>
    <row r="84" spans="2:35" ht="15" customHeight="1" x14ac:dyDescent="0.25">
      <c r="B84" s="88" t="s">
        <v>191</v>
      </c>
      <c r="C84" s="86">
        <v>190</v>
      </c>
      <c r="D84" s="183">
        <f>SUMIFS('февраль 2025'!$G$4:$G$2441,'февраль 2025'!$D$4:$D$2441,$B84,'февраль 2025'!$J$4:$J$2441,D$1)</f>
        <v>0</v>
      </c>
      <c r="E84" s="183">
        <f>SUMIFS('февраль 2025'!$G$4:$G$2441,'февраль 2025'!$D$4:$D$2441,$B84,'февраль 2025'!$J$4:$J$2441,E$1)</f>
        <v>0</v>
      </c>
      <c r="F84" s="183">
        <f>SUMIFS('февраль 2025'!$G$4:$G$2441,'февраль 2025'!$D$4:$D$2441,$B84,'февраль 2025'!$J$4:$J$2441,F$1)</f>
        <v>0</v>
      </c>
      <c r="G84" s="183">
        <f>SUMIFS('февраль 2025'!$G$4:$G$2441,'февраль 2025'!$D$4:$D$2441,$B84,'февраль 2025'!$J$4:$J$2441,G$1)</f>
        <v>0</v>
      </c>
      <c r="H84" s="183">
        <f>SUMIFS('февраль 2025'!$G$4:$G$2441,'февраль 2025'!$D$4:$D$2441,$B84,'февраль 2025'!$J$4:$J$2441,H$1)</f>
        <v>0</v>
      </c>
      <c r="I84" s="183">
        <f>SUMIFS('февраль 2025'!$G$4:$G$2441,'февраль 2025'!$D$4:$D$2441,$B84,'февраль 2025'!$J$4:$J$2441,I$1)</f>
        <v>0</v>
      </c>
      <c r="J84" s="183">
        <f>SUMIFS('февраль 2025'!$G$4:$G$2441,'февраль 2025'!$D$4:$D$2441,$B84,'февраль 2025'!$J$4:$J$2441,J$1)</f>
        <v>0</v>
      </c>
      <c r="K84" s="183">
        <f>SUMIFS('февраль 2025'!$G$4:$G$2441,'февраль 2025'!$D$4:$D$2441,$B84,'февраль 2025'!$J$4:$J$2441,K$1)</f>
        <v>0</v>
      </c>
      <c r="L84" s="183">
        <f>SUMIFS('февраль 2025'!$G$4:$G$2441,'февраль 2025'!$D$4:$D$2441,$B84,'февраль 2025'!$J$4:$J$2441,L$1)</f>
        <v>0</v>
      </c>
      <c r="M84" s="183">
        <f>SUMIFS('февраль 2025'!$G$4:$G$2441,'февраль 2025'!$D$4:$D$2441,$B84,'февраль 2025'!$J$4:$J$2441,M$1)</f>
        <v>0</v>
      </c>
      <c r="N84" s="183">
        <f>SUMIFS('февраль 2025'!$G$4:$G$2441,'февраль 2025'!$D$4:$D$2441,$B84,'февраль 2025'!$J$4:$J$2441,N$1)</f>
        <v>0</v>
      </c>
      <c r="O84" s="183">
        <f>SUMIFS('февраль 2025'!$G$4:$G$2441,'февраль 2025'!$D$4:$D$2441,$B84,'февраль 2025'!$J$4:$J$2441,O$1)</f>
        <v>0</v>
      </c>
      <c r="P84" s="183">
        <f>SUMIFS('февраль 2025'!$G$4:$G$2441,'февраль 2025'!$D$4:$D$2441,$B84,'февраль 2025'!$J$4:$J$2441,P$1)</f>
        <v>0</v>
      </c>
      <c r="Q84" s="183">
        <f>SUMIFS('февраль 2025'!$G$4:$G$2441,'февраль 2025'!$D$4:$D$2441,$B84,'февраль 2025'!$J$4:$J$2441,Q$1)</f>
        <v>0</v>
      </c>
      <c r="R84" s="183">
        <f>SUMIFS('февраль 2025'!$G$4:$G$2441,'февраль 2025'!$D$4:$D$2441,$B84,'февраль 2025'!$J$4:$J$2441,R$1)</f>
        <v>0</v>
      </c>
      <c r="S84" s="183">
        <f>SUMIFS('февраль 2025'!$G$4:$G$2441,'февраль 2025'!$D$4:$D$2441,$B84,'февраль 2025'!$J$4:$J$2441,S$1)</f>
        <v>0</v>
      </c>
      <c r="T84" s="183">
        <f>SUMIFS('февраль 2025'!$G$4:$G$2441,'февраль 2025'!$D$4:$D$2441,$B84,'февраль 2025'!$J$4:$J$2441,T$1)</f>
        <v>0</v>
      </c>
      <c r="U84" s="183">
        <f>SUMIFS('февраль 2025'!$G$4:$G$2441,'февраль 2025'!$D$4:$D$2441,$B84,'февраль 2025'!$J$4:$J$2441,U$1)</f>
        <v>0</v>
      </c>
      <c r="V84" s="183">
        <f>SUMIFS('февраль 2025'!$G$4:$G$2441,'февраль 2025'!$D$4:$D$2441,$B84,'февраль 2025'!$J$4:$J$2441,V$1)</f>
        <v>0</v>
      </c>
      <c r="W84" s="183">
        <f>SUMIFS('февраль 2025'!$G$4:$G$2441,'февраль 2025'!$D$4:$D$2441,$B84,'февраль 2025'!$J$4:$J$2441,W$1)</f>
        <v>0</v>
      </c>
      <c r="X84" s="183">
        <f>SUMIFS('февраль 2025'!$G$4:$G$2441,'февраль 2025'!$D$4:$D$2441,$B84,'февраль 2025'!$J$4:$J$2441,X$1)</f>
        <v>0</v>
      </c>
      <c r="Y84" s="183">
        <f>SUMIFS('февраль 2025'!$G$4:$G$2441,'февраль 2025'!$D$4:$D$2441,$B84,'февраль 2025'!$J$4:$J$2441,Y$1)</f>
        <v>0</v>
      </c>
      <c r="Z84" s="183">
        <f>SUMIFS('февраль 2025'!$G$4:$G$2441,'февраль 2025'!$D$4:$D$2441,$B84,'февраль 2025'!$J$4:$J$2441,Z$1)</f>
        <v>0</v>
      </c>
      <c r="AA84" s="183">
        <f>SUMIFS('февраль 2025'!$G$4:$G$2441,'февраль 2025'!$D$4:$D$2441,$B84,'февраль 2025'!$J$4:$J$2441,AA$1)</f>
        <v>0</v>
      </c>
      <c r="AB84" s="183">
        <f>SUMIFS('февраль 2025'!$G$4:$G$2441,'февраль 2025'!$D$4:$D$2441,$B84,'февраль 2025'!$J$4:$J$2441,AB$1)</f>
        <v>0</v>
      </c>
      <c r="AC84" s="183">
        <f>SUMIFS('февраль 2025'!$G$4:$G$2441,'февраль 2025'!$D$4:$D$2441,$B84,'февраль 2025'!$J$4:$J$2441,AC$1)</f>
        <v>0</v>
      </c>
      <c r="AD84" s="183">
        <f>SUMIFS('февраль 2025'!$G$4:$G$2441,'февраль 2025'!$D$4:$D$2441,$B84,'февраль 2025'!$J$4:$J$2441,AD$1)</f>
        <v>0</v>
      </c>
      <c r="AE84" s="183">
        <f>SUMIFS('февраль 2025'!$G$4:$G$2441,'февраль 2025'!$D$4:$D$2441,$B84,'февраль 2025'!$J$4:$J$2441,AE$1)</f>
        <v>0</v>
      </c>
      <c r="AF84" s="183">
        <f>SUMIFS('февраль 2025'!$G$4:$G$2441,'февраль 2025'!$D$4:$D$2441,$B84,'февраль 2025'!$J$4:$J$2441,AF$1)</f>
        <v>0</v>
      </c>
      <c r="AG84" s="183">
        <f>SUMIFS('февраль 2025'!$G$4:$G$2441,'февраль 2025'!$D$4:$D$2441,$B84,'февраль 2025'!$J$4:$J$2441,AG$1)</f>
        <v>0</v>
      </c>
      <c r="AH84" s="183">
        <f>SUMIFS('февраль 2025'!$G$4:$G$2441,'февраль 2025'!$D$4:$D$2441,$B84,'февраль 2025'!$J$4:$J$2441,AH$1)</f>
        <v>0</v>
      </c>
      <c r="AI84" s="20">
        <f t="shared" si="1"/>
        <v>0</v>
      </c>
    </row>
    <row r="85" spans="2:35" ht="15" customHeight="1" x14ac:dyDescent="0.25">
      <c r="B85" s="88" t="s">
        <v>309</v>
      </c>
      <c r="C85" s="86">
        <v>200</v>
      </c>
      <c r="D85" s="183">
        <f>SUMIFS('февраль 2025'!$G$4:$G$2441,'февраль 2025'!$D$4:$D$2441,$B85,'февраль 2025'!$J$4:$J$2441,D$1)</f>
        <v>0</v>
      </c>
      <c r="E85" s="183">
        <f>SUMIFS('февраль 2025'!$G$4:$G$2441,'февраль 2025'!$D$4:$D$2441,$B85,'февраль 2025'!$J$4:$J$2441,E$1)</f>
        <v>0</v>
      </c>
      <c r="F85" s="183">
        <f>SUMIFS('февраль 2025'!$G$4:$G$2441,'февраль 2025'!$D$4:$D$2441,$B85,'февраль 2025'!$J$4:$J$2441,F$1)</f>
        <v>0</v>
      </c>
      <c r="G85" s="183">
        <f>SUMIFS('февраль 2025'!$G$4:$G$2441,'февраль 2025'!$D$4:$D$2441,$B85,'февраль 2025'!$J$4:$J$2441,G$1)</f>
        <v>0</v>
      </c>
      <c r="H85" s="183">
        <f>SUMIFS('февраль 2025'!$G$4:$G$2441,'февраль 2025'!$D$4:$D$2441,$B85,'февраль 2025'!$J$4:$J$2441,H$1)</f>
        <v>0</v>
      </c>
      <c r="I85" s="183">
        <f>SUMIFS('февраль 2025'!$G$4:$G$2441,'февраль 2025'!$D$4:$D$2441,$B85,'февраль 2025'!$J$4:$J$2441,I$1)</f>
        <v>0</v>
      </c>
      <c r="J85" s="183">
        <f>SUMIFS('февраль 2025'!$G$4:$G$2441,'февраль 2025'!$D$4:$D$2441,$B85,'февраль 2025'!$J$4:$J$2441,J$1)</f>
        <v>0</v>
      </c>
      <c r="K85" s="183">
        <f>SUMIFS('февраль 2025'!$G$4:$G$2441,'февраль 2025'!$D$4:$D$2441,$B85,'февраль 2025'!$J$4:$J$2441,K$1)</f>
        <v>0</v>
      </c>
      <c r="L85" s="183">
        <f>SUMIFS('февраль 2025'!$G$4:$G$2441,'февраль 2025'!$D$4:$D$2441,$B85,'февраль 2025'!$J$4:$J$2441,L$1)</f>
        <v>0</v>
      </c>
      <c r="M85" s="183">
        <f>SUMIFS('февраль 2025'!$G$4:$G$2441,'февраль 2025'!$D$4:$D$2441,$B85,'февраль 2025'!$J$4:$J$2441,M$1)</f>
        <v>0</v>
      </c>
      <c r="N85" s="183">
        <f>SUMIFS('февраль 2025'!$G$4:$G$2441,'февраль 2025'!$D$4:$D$2441,$B85,'февраль 2025'!$J$4:$J$2441,N$1)</f>
        <v>0</v>
      </c>
      <c r="O85" s="183">
        <f>SUMIFS('февраль 2025'!$G$4:$G$2441,'февраль 2025'!$D$4:$D$2441,$B85,'февраль 2025'!$J$4:$J$2441,O$1)</f>
        <v>0</v>
      </c>
      <c r="P85" s="183">
        <f>SUMIFS('февраль 2025'!$G$4:$G$2441,'февраль 2025'!$D$4:$D$2441,$B85,'февраль 2025'!$J$4:$J$2441,P$1)</f>
        <v>0</v>
      </c>
      <c r="Q85" s="183">
        <f>SUMIFS('февраль 2025'!$G$4:$G$2441,'февраль 2025'!$D$4:$D$2441,$B85,'февраль 2025'!$J$4:$J$2441,Q$1)</f>
        <v>0</v>
      </c>
      <c r="R85" s="183">
        <f>SUMIFS('февраль 2025'!$G$4:$G$2441,'февраль 2025'!$D$4:$D$2441,$B85,'февраль 2025'!$J$4:$J$2441,R$1)</f>
        <v>0</v>
      </c>
      <c r="S85" s="183">
        <f>SUMIFS('февраль 2025'!$G$4:$G$2441,'февраль 2025'!$D$4:$D$2441,$B85,'февраль 2025'!$J$4:$J$2441,S$1)</f>
        <v>0</v>
      </c>
      <c r="T85" s="183">
        <f>SUMIFS('февраль 2025'!$G$4:$G$2441,'февраль 2025'!$D$4:$D$2441,$B85,'февраль 2025'!$J$4:$J$2441,T$1)</f>
        <v>0</v>
      </c>
      <c r="U85" s="183">
        <f>SUMIFS('февраль 2025'!$G$4:$G$2441,'февраль 2025'!$D$4:$D$2441,$B85,'февраль 2025'!$J$4:$J$2441,U$1)</f>
        <v>0</v>
      </c>
      <c r="V85" s="183">
        <f>SUMIFS('февраль 2025'!$G$4:$G$2441,'февраль 2025'!$D$4:$D$2441,$B85,'февраль 2025'!$J$4:$J$2441,V$1)</f>
        <v>0</v>
      </c>
      <c r="W85" s="183">
        <f>SUMIFS('февраль 2025'!$G$4:$G$2441,'февраль 2025'!$D$4:$D$2441,$B85,'февраль 2025'!$J$4:$J$2441,W$1)</f>
        <v>0</v>
      </c>
      <c r="X85" s="183">
        <f>SUMIFS('февраль 2025'!$G$4:$G$2441,'февраль 2025'!$D$4:$D$2441,$B85,'февраль 2025'!$J$4:$J$2441,X$1)</f>
        <v>64</v>
      </c>
      <c r="Y85" s="183">
        <f>SUMIFS('февраль 2025'!$G$4:$G$2441,'февраль 2025'!$D$4:$D$2441,$B85,'февраль 2025'!$J$4:$J$2441,Y$1)</f>
        <v>0</v>
      </c>
      <c r="Z85" s="183">
        <f>SUMIFS('февраль 2025'!$G$4:$G$2441,'февраль 2025'!$D$4:$D$2441,$B85,'февраль 2025'!$J$4:$J$2441,Z$1)</f>
        <v>0</v>
      </c>
      <c r="AA85" s="183">
        <f>SUMIFS('февраль 2025'!$G$4:$G$2441,'февраль 2025'!$D$4:$D$2441,$B85,'февраль 2025'!$J$4:$J$2441,AA$1)</f>
        <v>0</v>
      </c>
      <c r="AB85" s="183">
        <f>SUMIFS('февраль 2025'!$G$4:$G$2441,'февраль 2025'!$D$4:$D$2441,$B85,'февраль 2025'!$J$4:$J$2441,AB$1)</f>
        <v>0</v>
      </c>
      <c r="AC85" s="183">
        <f>SUMIFS('февраль 2025'!$G$4:$G$2441,'февраль 2025'!$D$4:$D$2441,$B85,'февраль 2025'!$J$4:$J$2441,AC$1)</f>
        <v>0</v>
      </c>
      <c r="AD85" s="183">
        <f>SUMIFS('февраль 2025'!$G$4:$G$2441,'февраль 2025'!$D$4:$D$2441,$B85,'февраль 2025'!$J$4:$J$2441,AD$1)</f>
        <v>0</v>
      </c>
      <c r="AE85" s="183">
        <f>SUMIFS('февраль 2025'!$G$4:$G$2441,'февраль 2025'!$D$4:$D$2441,$B85,'февраль 2025'!$J$4:$J$2441,AE$1)</f>
        <v>0</v>
      </c>
      <c r="AF85" s="183">
        <f>SUMIFS('февраль 2025'!$G$4:$G$2441,'февраль 2025'!$D$4:$D$2441,$B85,'февраль 2025'!$J$4:$J$2441,AF$1)</f>
        <v>0</v>
      </c>
      <c r="AG85" s="183">
        <f>SUMIFS('февраль 2025'!$G$4:$G$2441,'февраль 2025'!$D$4:$D$2441,$B85,'февраль 2025'!$J$4:$J$2441,AG$1)</f>
        <v>0</v>
      </c>
      <c r="AH85" s="183">
        <f>SUMIFS('февраль 2025'!$G$4:$G$2441,'февраль 2025'!$D$4:$D$2441,$B85,'февраль 2025'!$J$4:$J$2441,AH$1)</f>
        <v>0</v>
      </c>
      <c r="AI85" s="20">
        <f t="shared" si="1"/>
        <v>64</v>
      </c>
    </row>
    <row r="86" spans="2:35" ht="15" customHeight="1" x14ac:dyDescent="0.25">
      <c r="B86" s="88" t="s">
        <v>192</v>
      </c>
      <c r="C86" s="86">
        <v>900</v>
      </c>
      <c r="D86" s="183">
        <f>SUMIFS('февраль 2025'!$G$4:$G$2441,'февраль 2025'!$D$4:$D$2441,$B86,'февраль 2025'!$J$4:$J$2441,D$1)</f>
        <v>0</v>
      </c>
      <c r="E86" s="183">
        <f>SUMIFS('февраль 2025'!$G$4:$G$2441,'февраль 2025'!$D$4:$D$2441,$B86,'февраль 2025'!$J$4:$J$2441,E$1)</f>
        <v>0</v>
      </c>
      <c r="F86" s="183">
        <f>SUMIFS('февраль 2025'!$G$4:$G$2441,'февраль 2025'!$D$4:$D$2441,$B86,'февраль 2025'!$J$4:$J$2441,F$1)</f>
        <v>0</v>
      </c>
      <c r="G86" s="183">
        <f>SUMIFS('февраль 2025'!$G$4:$G$2441,'февраль 2025'!$D$4:$D$2441,$B86,'февраль 2025'!$J$4:$J$2441,G$1)</f>
        <v>0</v>
      </c>
      <c r="H86" s="183">
        <f>SUMIFS('февраль 2025'!$G$4:$G$2441,'февраль 2025'!$D$4:$D$2441,$B86,'февраль 2025'!$J$4:$J$2441,H$1)</f>
        <v>0</v>
      </c>
      <c r="I86" s="183">
        <f>SUMIFS('февраль 2025'!$G$4:$G$2441,'февраль 2025'!$D$4:$D$2441,$B86,'февраль 2025'!$J$4:$J$2441,I$1)</f>
        <v>0</v>
      </c>
      <c r="J86" s="183">
        <f>SUMIFS('февраль 2025'!$G$4:$G$2441,'февраль 2025'!$D$4:$D$2441,$B86,'февраль 2025'!$J$4:$J$2441,J$1)</f>
        <v>0</v>
      </c>
      <c r="K86" s="183">
        <f>SUMIFS('февраль 2025'!$G$4:$G$2441,'февраль 2025'!$D$4:$D$2441,$B86,'февраль 2025'!$J$4:$J$2441,K$1)</f>
        <v>0</v>
      </c>
      <c r="L86" s="183">
        <f>SUMIFS('февраль 2025'!$G$4:$G$2441,'февраль 2025'!$D$4:$D$2441,$B86,'февраль 2025'!$J$4:$J$2441,L$1)</f>
        <v>0</v>
      </c>
      <c r="M86" s="183">
        <f>SUMIFS('февраль 2025'!$G$4:$G$2441,'февраль 2025'!$D$4:$D$2441,$B86,'февраль 2025'!$J$4:$J$2441,M$1)</f>
        <v>0</v>
      </c>
      <c r="N86" s="183">
        <f>SUMIFS('февраль 2025'!$G$4:$G$2441,'февраль 2025'!$D$4:$D$2441,$B86,'февраль 2025'!$J$4:$J$2441,N$1)</f>
        <v>0</v>
      </c>
      <c r="O86" s="183">
        <f>SUMIFS('февраль 2025'!$G$4:$G$2441,'февраль 2025'!$D$4:$D$2441,$B86,'февраль 2025'!$J$4:$J$2441,O$1)</f>
        <v>0</v>
      </c>
      <c r="P86" s="183">
        <f>SUMIFS('февраль 2025'!$G$4:$G$2441,'февраль 2025'!$D$4:$D$2441,$B86,'февраль 2025'!$J$4:$J$2441,P$1)</f>
        <v>0</v>
      </c>
      <c r="Q86" s="183">
        <f>SUMIFS('февраль 2025'!$G$4:$G$2441,'февраль 2025'!$D$4:$D$2441,$B86,'февраль 2025'!$J$4:$J$2441,Q$1)</f>
        <v>0</v>
      </c>
      <c r="R86" s="183">
        <f>SUMIFS('февраль 2025'!$G$4:$G$2441,'февраль 2025'!$D$4:$D$2441,$B86,'февраль 2025'!$J$4:$J$2441,R$1)</f>
        <v>0</v>
      </c>
      <c r="S86" s="183">
        <f>SUMIFS('февраль 2025'!$G$4:$G$2441,'февраль 2025'!$D$4:$D$2441,$B86,'февраль 2025'!$J$4:$J$2441,S$1)</f>
        <v>0</v>
      </c>
      <c r="T86" s="183">
        <f>SUMIFS('февраль 2025'!$G$4:$G$2441,'февраль 2025'!$D$4:$D$2441,$B86,'февраль 2025'!$J$4:$J$2441,T$1)</f>
        <v>0</v>
      </c>
      <c r="U86" s="183">
        <f>SUMIFS('февраль 2025'!$G$4:$G$2441,'февраль 2025'!$D$4:$D$2441,$B86,'февраль 2025'!$J$4:$J$2441,U$1)</f>
        <v>0</v>
      </c>
      <c r="V86" s="183">
        <f>SUMIFS('февраль 2025'!$G$4:$G$2441,'февраль 2025'!$D$4:$D$2441,$B86,'февраль 2025'!$J$4:$J$2441,V$1)</f>
        <v>0</v>
      </c>
      <c r="W86" s="183">
        <f>SUMIFS('февраль 2025'!$G$4:$G$2441,'февраль 2025'!$D$4:$D$2441,$B86,'февраль 2025'!$J$4:$J$2441,W$1)</f>
        <v>0</v>
      </c>
      <c r="X86" s="183">
        <f>SUMIFS('февраль 2025'!$G$4:$G$2441,'февраль 2025'!$D$4:$D$2441,$B86,'февраль 2025'!$J$4:$J$2441,X$1)</f>
        <v>0</v>
      </c>
      <c r="Y86" s="183">
        <f>SUMIFS('февраль 2025'!$G$4:$G$2441,'февраль 2025'!$D$4:$D$2441,$B86,'февраль 2025'!$J$4:$J$2441,Y$1)</f>
        <v>0</v>
      </c>
      <c r="Z86" s="183">
        <f>SUMIFS('февраль 2025'!$G$4:$G$2441,'февраль 2025'!$D$4:$D$2441,$B86,'февраль 2025'!$J$4:$J$2441,Z$1)</f>
        <v>0</v>
      </c>
      <c r="AA86" s="183">
        <f>SUMIFS('февраль 2025'!$G$4:$G$2441,'февраль 2025'!$D$4:$D$2441,$B86,'февраль 2025'!$J$4:$J$2441,AA$1)</f>
        <v>0</v>
      </c>
      <c r="AB86" s="183">
        <f>SUMIFS('февраль 2025'!$G$4:$G$2441,'февраль 2025'!$D$4:$D$2441,$B86,'февраль 2025'!$J$4:$J$2441,AB$1)</f>
        <v>0</v>
      </c>
      <c r="AC86" s="183">
        <f>SUMIFS('февраль 2025'!$G$4:$G$2441,'февраль 2025'!$D$4:$D$2441,$B86,'февраль 2025'!$J$4:$J$2441,AC$1)</f>
        <v>0</v>
      </c>
      <c r="AD86" s="183">
        <f>SUMIFS('февраль 2025'!$G$4:$G$2441,'февраль 2025'!$D$4:$D$2441,$B86,'февраль 2025'!$J$4:$J$2441,AD$1)</f>
        <v>0</v>
      </c>
      <c r="AE86" s="183">
        <f>SUMIFS('февраль 2025'!$G$4:$G$2441,'февраль 2025'!$D$4:$D$2441,$B86,'февраль 2025'!$J$4:$J$2441,AE$1)</f>
        <v>0</v>
      </c>
      <c r="AF86" s="183">
        <f>SUMIFS('февраль 2025'!$G$4:$G$2441,'февраль 2025'!$D$4:$D$2441,$B86,'февраль 2025'!$J$4:$J$2441,AF$1)</f>
        <v>0</v>
      </c>
      <c r="AG86" s="183">
        <f>SUMIFS('февраль 2025'!$G$4:$G$2441,'февраль 2025'!$D$4:$D$2441,$B86,'февраль 2025'!$J$4:$J$2441,AG$1)</f>
        <v>0</v>
      </c>
      <c r="AH86" s="183">
        <f>SUMIFS('февраль 2025'!$G$4:$G$2441,'февраль 2025'!$D$4:$D$2441,$B86,'февраль 2025'!$J$4:$J$2441,AH$1)</f>
        <v>0</v>
      </c>
      <c r="AI86" s="20">
        <f t="shared" si="1"/>
        <v>0</v>
      </c>
    </row>
    <row r="87" spans="2:35" ht="15" customHeight="1" x14ac:dyDescent="0.25">
      <c r="B87" s="84" t="s">
        <v>186</v>
      </c>
      <c r="C87" s="83">
        <v>190</v>
      </c>
      <c r="D87" s="183">
        <f>SUMIFS('февраль 2025'!$G$4:$G$2441,'февраль 2025'!$D$4:$D$2441,$B87,'февраль 2025'!$J$4:$J$2441,D$1)</f>
        <v>0</v>
      </c>
      <c r="E87" s="183">
        <f>SUMIFS('февраль 2025'!$G$4:$G$2441,'февраль 2025'!$D$4:$D$2441,$B87,'февраль 2025'!$J$4:$J$2441,E$1)</f>
        <v>0</v>
      </c>
      <c r="F87" s="183">
        <f>SUMIFS('февраль 2025'!$G$4:$G$2441,'февраль 2025'!$D$4:$D$2441,$B87,'февраль 2025'!$J$4:$J$2441,F$1)</f>
        <v>0</v>
      </c>
      <c r="G87" s="183">
        <f>SUMIFS('февраль 2025'!$G$4:$G$2441,'февраль 2025'!$D$4:$D$2441,$B87,'февраль 2025'!$J$4:$J$2441,G$1)</f>
        <v>0</v>
      </c>
      <c r="H87" s="183">
        <f>SUMIFS('февраль 2025'!$G$4:$G$2441,'февраль 2025'!$D$4:$D$2441,$B87,'февраль 2025'!$J$4:$J$2441,H$1)</f>
        <v>0</v>
      </c>
      <c r="I87" s="183">
        <f>SUMIFS('февраль 2025'!$G$4:$G$2441,'февраль 2025'!$D$4:$D$2441,$B87,'февраль 2025'!$J$4:$J$2441,I$1)</f>
        <v>0</v>
      </c>
      <c r="J87" s="183">
        <f>SUMIFS('февраль 2025'!$G$4:$G$2441,'февраль 2025'!$D$4:$D$2441,$B87,'февраль 2025'!$J$4:$J$2441,J$1)</f>
        <v>0</v>
      </c>
      <c r="K87" s="183">
        <f>SUMIFS('февраль 2025'!$G$4:$G$2441,'февраль 2025'!$D$4:$D$2441,$B87,'февраль 2025'!$J$4:$J$2441,K$1)</f>
        <v>0</v>
      </c>
      <c r="L87" s="183">
        <f>SUMIFS('февраль 2025'!$G$4:$G$2441,'февраль 2025'!$D$4:$D$2441,$B87,'февраль 2025'!$J$4:$J$2441,L$1)</f>
        <v>0</v>
      </c>
      <c r="M87" s="183">
        <f>SUMIFS('февраль 2025'!$G$4:$G$2441,'февраль 2025'!$D$4:$D$2441,$B87,'февраль 2025'!$J$4:$J$2441,M$1)</f>
        <v>0</v>
      </c>
      <c r="N87" s="183">
        <f>SUMIFS('февраль 2025'!$G$4:$G$2441,'февраль 2025'!$D$4:$D$2441,$B87,'февраль 2025'!$J$4:$J$2441,N$1)</f>
        <v>0</v>
      </c>
      <c r="O87" s="183">
        <f>SUMIFS('февраль 2025'!$G$4:$G$2441,'февраль 2025'!$D$4:$D$2441,$B87,'февраль 2025'!$J$4:$J$2441,O$1)</f>
        <v>0</v>
      </c>
      <c r="P87" s="183">
        <f>SUMIFS('февраль 2025'!$G$4:$G$2441,'февраль 2025'!$D$4:$D$2441,$B87,'февраль 2025'!$J$4:$J$2441,P$1)</f>
        <v>0</v>
      </c>
      <c r="Q87" s="183">
        <f>SUMIFS('февраль 2025'!$G$4:$G$2441,'февраль 2025'!$D$4:$D$2441,$B87,'февраль 2025'!$J$4:$J$2441,Q$1)</f>
        <v>0</v>
      </c>
      <c r="R87" s="183">
        <f>SUMIFS('февраль 2025'!$G$4:$G$2441,'февраль 2025'!$D$4:$D$2441,$B87,'февраль 2025'!$J$4:$J$2441,R$1)</f>
        <v>0</v>
      </c>
      <c r="S87" s="183">
        <f>SUMIFS('февраль 2025'!$G$4:$G$2441,'февраль 2025'!$D$4:$D$2441,$B87,'февраль 2025'!$J$4:$J$2441,S$1)</f>
        <v>0</v>
      </c>
      <c r="T87" s="183">
        <f>SUMIFS('февраль 2025'!$G$4:$G$2441,'февраль 2025'!$D$4:$D$2441,$B87,'февраль 2025'!$J$4:$J$2441,T$1)</f>
        <v>0</v>
      </c>
      <c r="U87" s="183">
        <f>SUMIFS('февраль 2025'!$G$4:$G$2441,'февраль 2025'!$D$4:$D$2441,$B87,'февраль 2025'!$J$4:$J$2441,U$1)</f>
        <v>0</v>
      </c>
      <c r="V87" s="183">
        <f>SUMIFS('февраль 2025'!$G$4:$G$2441,'февраль 2025'!$D$4:$D$2441,$B87,'февраль 2025'!$J$4:$J$2441,V$1)</f>
        <v>0</v>
      </c>
      <c r="W87" s="183">
        <f>SUMIFS('февраль 2025'!$G$4:$G$2441,'февраль 2025'!$D$4:$D$2441,$B87,'февраль 2025'!$J$4:$J$2441,W$1)</f>
        <v>0</v>
      </c>
      <c r="X87" s="183">
        <f>SUMIFS('февраль 2025'!$G$4:$G$2441,'февраль 2025'!$D$4:$D$2441,$B87,'февраль 2025'!$J$4:$J$2441,X$1)</f>
        <v>0</v>
      </c>
      <c r="Y87" s="183">
        <f>SUMIFS('февраль 2025'!$G$4:$G$2441,'февраль 2025'!$D$4:$D$2441,$B87,'февраль 2025'!$J$4:$J$2441,Y$1)</f>
        <v>0</v>
      </c>
      <c r="Z87" s="183">
        <f>SUMIFS('февраль 2025'!$G$4:$G$2441,'февраль 2025'!$D$4:$D$2441,$B87,'февраль 2025'!$J$4:$J$2441,Z$1)</f>
        <v>0</v>
      </c>
      <c r="AA87" s="183">
        <f>SUMIFS('февраль 2025'!$G$4:$G$2441,'февраль 2025'!$D$4:$D$2441,$B87,'февраль 2025'!$J$4:$J$2441,AA$1)</f>
        <v>0</v>
      </c>
      <c r="AB87" s="183">
        <f>SUMIFS('февраль 2025'!$G$4:$G$2441,'февраль 2025'!$D$4:$D$2441,$B87,'февраль 2025'!$J$4:$J$2441,AB$1)</f>
        <v>0</v>
      </c>
      <c r="AC87" s="183">
        <f>SUMIFS('февраль 2025'!$G$4:$G$2441,'февраль 2025'!$D$4:$D$2441,$B87,'февраль 2025'!$J$4:$J$2441,AC$1)</f>
        <v>0</v>
      </c>
      <c r="AD87" s="183">
        <f>SUMIFS('февраль 2025'!$G$4:$G$2441,'февраль 2025'!$D$4:$D$2441,$B87,'февраль 2025'!$J$4:$J$2441,AD$1)</f>
        <v>0</v>
      </c>
      <c r="AE87" s="183">
        <f>SUMIFS('февраль 2025'!$G$4:$G$2441,'февраль 2025'!$D$4:$D$2441,$B87,'февраль 2025'!$J$4:$J$2441,AE$1)</f>
        <v>0</v>
      </c>
      <c r="AF87" s="183">
        <f>SUMIFS('февраль 2025'!$G$4:$G$2441,'февраль 2025'!$D$4:$D$2441,$B87,'февраль 2025'!$J$4:$J$2441,AF$1)</f>
        <v>0</v>
      </c>
      <c r="AG87" s="183">
        <f>SUMIFS('февраль 2025'!$G$4:$G$2441,'февраль 2025'!$D$4:$D$2441,$B87,'февраль 2025'!$J$4:$J$2441,AG$1)</f>
        <v>0</v>
      </c>
      <c r="AH87" s="183">
        <f>SUMIFS('февраль 2025'!$G$4:$G$2441,'февраль 2025'!$D$4:$D$2441,$B87,'февраль 2025'!$J$4:$J$2441,AH$1)</f>
        <v>0</v>
      </c>
      <c r="AI87" s="20">
        <f t="shared" si="1"/>
        <v>0</v>
      </c>
    </row>
    <row r="88" spans="2:35" ht="15" customHeight="1" x14ac:dyDescent="0.25">
      <c r="B88" s="84" t="s">
        <v>205</v>
      </c>
      <c r="C88" s="83">
        <v>190</v>
      </c>
      <c r="D88" s="183">
        <f>SUMIFS('февраль 2025'!$G$4:$G$2441,'февраль 2025'!$D$4:$D$2441,$B88,'февраль 2025'!$J$4:$J$2441,D$1)</f>
        <v>0</v>
      </c>
      <c r="E88" s="183">
        <f>SUMIFS('февраль 2025'!$G$4:$G$2441,'февраль 2025'!$D$4:$D$2441,$B88,'февраль 2025'!$J$4:$J$2441,E$1)</f>
        <v>0</v>
      </c>
      <c r="F88" s="183">
        <f>SUMIFS('февраль 2025'!$G$4:$G$2441,'февраль 2025'!$D$4:$D$2441,$B88,'февраль 2025'!$J$4:$J$2441,F$1)</f>
        <v>0</v>
      </c>
      <c r="G88" s="183">
        <f>SUMIFS('февраль 2025'!$G$4:$G$2441,'февраль 2025'!$D$4:$D$2441,$B88,'февраль 2025'!$J$4:$J$2441,G$1)</f>
        <v>0</v>
      </c>
      <c r="H88" s="183">
        <f>SUMIFS('февраль 2025'!$G$4:$G$2441,'февраль 2025'!$D$4:$D$2441,$B88,'февраль 2025'!$J$4:$J$2441,H$1)</f>
        <v>0</v>
      </c>
      <c r="I88" s="183">
        <f>SUMIFS('февраль 2025'!$G$4:$G$2441,'февраль 2025'!$D$4:$D$2441,$B88,'февраль 2025'!$J$4:$J$2441,I$1)</f>
        <v>0</v>
      </c>
      <c r="J88" s="183">
        <f>SUMIFS('февраль 2025'!$G$4:$G$2441,'февраль 2025'!$D$4:$D$2441,$B88,'февраль 2025'!$J$4:$J$2441,J$1)</f>
        <v>0</v>
      </c>
      <c r="K88" s="183">
        <f>SUMIFS('февраль 2025'!$G$4:$G$2441,'февраль 2025'!$D$4:$D$2441,$B88,'февраль 2025'!$J$4:$J$2441,K$1)</f>
        <v>0</v>
      </c>
      <c r="L88" s="183">
        <f>SUMIFS('февраль 2025'!$G$4:$G$2441,'февраль 2025'!$D$4:$D$2441,$B88,'февраль 2025'!$J$4:$J$2441,L$1)</f>
        <v>0</v>
      </c>
      <c r="M88" s="183">
        <f>SUMIFS('февраль 2025'!$G$4:$G$2441,'февраль 2025'!$D$4:$D$2441,$B88,'февраль 2025'!$J$4:$J$2441,M$1)</f>
        <v>0</v>
      </c>
      <c r="N88" s="183">
        <f>SUMIFS('февраль 2025'!$G$4:$G$2441,'февраль 2025'!$D$4:$D$2441,$B88,'февраль 2025'!$J$4:$J$2441,N$1)</f>
        <v>0</v>
      </c>
      <c r="O88" s="183">
        <f>SUMIFS('февраль 2025'!$G$4:$G$2441,'февраль 2025'!$D$4:$D$2441,$B88,'февраль 2025'!$J$4:$J$2441,O$1)</f>
        <v>0</v>
      </c>
      <c r="P88" s="183">
        <f>SUMIFS('февраль 2025'!$G$4:$G$2441,'февраль 2025'!$D$4:$D$2441,$B88,'февраль 2025'!$J$4:$J$2441,P$1)</f>
        <v>0</v>
      </c>
      <c r="Q88" s="183">
        <f>SUMIFS('февраль 2025'!$G$4:$G$2441,'февраль 2025'!$D$4:$D$2441,$B88,'февраль 2025'!$J$4:$J$2441,Q$1)</f>
        <v>0</v>
      </c>
      <c r="R88" s="183">
        <f>SUMIFS('февраль 2025'!$G$4:$G$2441,'февраль 2025'!$D$4:$D$2441,$B88,'февраль 2025'!$J$4:$J$2441,R$1)</f>
        <v>0</v>
      </c>
      <c r="S88" s="183">
        <f>SUMIFS('февраль 2025'!$G$4:$G$2441,'февраль 2025'!$D$4:$D$2441,$B88,'февраль 2025'!$J$4:$J$2441,S$1)</f>
        <v>0</v>
      </c>
      <c r="T88" s="183">
        <f>SUMIFS('февраль 2025'!$G$4:$G$2441,'февраль 2025'!$D$4:$D$2441,$B88,'февраль 2025'!$J$4:$J$2441,T$1)</f>
        <v>0</v>
      </c>
      <c r="U88" s="183">
        <f>SUMIFS('февраль 2025'!$G$4:$G$2441,'февраль 2025'!$D$4:$D$2441,$B88,'февраль 2025'!$J$4:$J$2441,U$1)</f>
        <v>0</v>
      </c>
      <c r="V88" s="183">
        <f>SUMIFS('февраль 2025'!$G$4:$G$2441,'февраль 2025'!$D$4:$D$2441,$B88,'февраль 2025'!$J$4:$J$2441,V$1)</f>
        <v>0</v>
      </c>
      <c r="W88" s="183">
        <f>SUMIFS('февраль 2025'!$G$4:$G$2441,'февраль 2025'!$D$4:$D$2441,$B88,'февраль 2025'!$J$4:$J$2441,W$1)</f>
        <v>0</v>
      </c>
      <c r="X88" s="183">
        <f>SUMIFS('февраль 2025'!$G$4:$G$2441,'февраль 2025'!$D$4:$D$2441,$B88,'февраль 2025'!$J$4:$J$2441,X$1)</f>
        <v>0</v>
      </c>
      <c r="Y88" s="183">
        <f>SUMIFS('февраль 2025'!$G$4:$G$2441,'февраль 2025'!$D$4:$D$2441,$B88,'февраль 2025'!$J$4:$J$2441,Y$1)</f>
        <v>0</v>
      </c>
      <c r="Z88" s="183">
        <f>SUMIFS('февраль 2025'!$G$4:$G$2441,'февраль 2025'!$D$4:$D$2441,$B88,'февраль 2025'!$J$4:$J$2441,Z$1)</f>
        <v>0</v>
      </c>
      <c r="AA88" s="183">
        <f>SUMIFS('февраль 2025'!$G$4:$G$2441,'февраль 2025'!$D$4:$D$2441,$B88,'февраль 2025'!$J$4:$J$2441,AA$1)</f>
        <v>0</v>
      </c>
      <c r="AB88" s="183">
        <f>SUMIFS('февраль 2025'!$G$4:$G$2441,'февраль 2025'!$D$4:$D$2441,$B88,'февраль 2025'!$J$4:$J$2441,AB$1)</f>
        <v>0</v>
      </c>
      <c r="AC88" s="183">
        <f>SUMIFS('февраль 2025'!$G$4:$G$2441,'февраль 2025'!$D$4:$D$2441,$B88,'февраль 2025'!$J$4:$J$2441,AC$1)</f>
        <v>0</v>
      </c>
      <c r="AD88" s="183">
        <f>SUMIFS('февраль 2025'!$G$4:$G$2441,'февраль 2025'!$D$4:$D$2441,$B88,'февраль 2025'!$J$4:$J$2441,AD$1)</f>
        <v>0</v>
      </c>
      <c r="AE88" s="183">
        <f>SUMIFS('февраль 2025'!$G$4:$G$2441,'февраль 2025'!$D$4:$D$2441,$B88,'февраль 2025'!$J$4:$J$2441,AE$1)</f>
        <v>0</v>
      </c>
      <c r="AF88" s="183">
        <f>SUMIFS('февраль 2025'!$G$4:$G$2441,'февраль 2025'!$D$4:$D$2441,$B88,'февраль 2025'!$J$4:$J$2441,AF$1)</f>
        <v>0</v>
      </c>
      <c r="AG88" s="183">
        <f>SUMIFS('февраль 2025'!$G$4:$G$2441,'февраль 2025'!$D$4:$D$2441,$B88,'февраль 2025'!$J$4:$J$2441,AG$1)</f>
        <v>0</v>
      </c>
      <c r="AH88" s="183">
        <f>SUMIFS('февраль 2025'!$G$4:$G$2441,'февраль 2025'!$D$4:$D$2441,$B88,'февраль 2025'!$J$4:$J$2441,AH$1)</f>
        <v>0</v>
      </c>
      <c r="AI88" s="20">
        <f t="shared" si="1"/>
        <v>0</v>
      </c>
    </row>
    <row r="89" spans="2:35" ht="15" customHeight="1" x14ac:dyDescent="0.25">
      <c r="B89" s="88" t="s">
        <v>173</v>
      </c>
      <c r="C89" s="83">
        <v>190</v>
      </c>
      <c r="D89" s="183">
        <f>SUMIFS('февраль 2025'!$G$4:$G$2441,'февраль 2025'!$D$4:$D$2441,$B89,'февраль 2025'!$J$4:$J$2441,D$1)</f>
        <v>0</v>
      </c>
      <c r="E89" s="183">
        <f>SUMIFS('февраль 2025'!$G$4:$G$2441,'февраль 2025'!$D$4:$D$2441,$B89,'февраль 2025'!$J$4:$J$2441,E$1)</f>
        <v>0</v>
      </c>
      <c r="F89" s="183">
        <f>SUMIFS('февраль 2025'!$G$4:$G$2441,'февраль 2025'!$D$4:$D$2441,$B89,'февраль 2025'!$J$4:$J$2441,F$1)</f>
        <v>0</v>
      </c>
      <c r="G89" s="183">
        <f>SUMIFS('февраль 2025'!$G$4:$G$2441,'февраль 2025'!$D$4:$D$2441,$B89,'февраль 2025'!$J$4:$J$2441,G$1)</f>
        <v>0</v>
      </c>
      <c r="H89" s="183">
        <f>SUMIFS('февраль 2025'!$G$4:$G$2441,'февраль 2025'!$D$4:$D$2441,$B89,'февраль 2025'!$J$4:$J$2441,H$1)</f>
        <v>0</v>
      </c>
      <c r="I89" s="183">
        <f>SUMIFS('февраль 2025'!$G$4:$G$2441,'февраль 2025'!$D$4:$D$2441,$B89,'февраль 2025'!$J$4:$J$2441,I$1)</f>
        <v>0</v>
      </c>
      <c r="J89" s="183">
        <f>SUMIFS('февраль 2025'!$G$4:$G$2441,'февраль 2025'!$D$4:$D$2441,$B89,'февраль 2025'!$J$4:$J$2441,J$1)</f>
        <v>0</v>
      </c>
      <c r="K89" s="183">
        <f>SUMIFS('февраль 2025'!$G$4:$G$2441,'февраль 2025'!$D$4:$D$2441,$B89,'февраль 2025'!$J$4:$J$2441,K$1)</f>
        <v>0</v>
      </c>
      <c r="L89" s="183">
        <f>SUMIFS('февраль 2025'!$G$4:$G$2441,'февраль 2025'!$D$4:$D$2441,$B89,'февраль 2025'!$J$4:$J$2441,L$1)</f>
        <v>0</v>
      </c>
      <c r="M89" s="183">
        <f>SUMIFS('февраль 2025'!$G$4:$G$2441,'февраль 2025'!$D$4:$D$2441,$B89,'февраль 2025'!$J$4:$J$2441,M$1)</f>
        <v>0</v>
      </c>
      <c r="N89" s="183">
        <f>SUMIFS('февраль 2025'!$G$4:$G$2441,'февраль 2025'!$D$4:$D$2441,$B89,'февраль 2025'!$J$4:$J$2441,N$1)</f>
        <v>0</v>
      </c>
      <c r="O89" s="183">
        <f>SUMIFS('февраль 2025'!$G$4:$G$2441,'февраль 2025'!$D$4:$D$2441,$B89,'февраль 2025'!$J$4:$J$2441,O$1)</f>
        <v>0</v>
      </c>
      <c r="P89" s="183">
        <f>SUMIFS('февраль 2025'!$G$4:$G$2441,'февраль 2025'!$D$4:$D$2441,$B89,'февраль 2025'!$J$4:$J$2441,P$1)</f>
        <v>0</v>
      </c>
      <c r="Q89" s="183">
        <f>SUMIFS('февраль 2025'!$G$4:$G$2441,'февраль 2025'!$D$4:$D$2441,$B89,'февраль 2025'!$J$4:$J$2441,Q$1)</f>
        <v>0</v>
      </c>
      <c r="R89" s="183">
        <f>SUMIFS('февраль 2025'!$G$4:$G$2441,'февраль 2025'!$D$4:$D$2441,$B89,'февраль 2025'!$J$4:$J$2441,R$1)</f>
        <v>0</v>
      </c>
      <c r="S89" s="183">
        <f>SUMIFS('февраль 2025'!$G$4:$G$2441,'февраль 2025'!$D$4:$D$2441,$B89,'февраль 2025'!$J$4:$J$2441,S$1)</f>
        <v>0</v>
      </c>
      <c r="T89" s="183">
        <f>SUMIFS('февраль 2025'!$G$4:$G$2441,'февраль 2025'!$D$4:$D$2441,$B89,'февраль 2025'!$J$4:$J$2441,T$1)</f>
        <v>0</v>
      </c>
      <c r="U89" s="183">
        <f>SUMIFS('февраль 2025'!$G$4:$G$2441,'февраль 2025'!$D$4:$D$2441,$B89,'февраль 2025'!$J$4:$J$2441,U$1)</f>
        <v>0</v>
      </c>
      <c r="V89" s="183">
        <f>SUMIFS('февраль 2025'!$G$4:$G$2441,'февраль 2025'!$D$4:$D$2441,$B89,'февраль 2025'!$J$4:$J$2441,V$1)</f>
        <v>0</v>
      </c>
      <c r="W89" s="183">
        <f>SUMIFS('февраль 2025'!$G$4:$G$2441,'февраль 2025'!$D$4:$D$2441,$B89,'февраль 2025'!$J$4:$J$2441,W$1)</f>
        <v>0</v>
      </c>
      <c r="X89" s="183">
        <f>SUMIFS('февраль 2025'!$G$4:$G$2441,'февраль 2025'!$D$4:$D$2441,$B89,'февраль 2025'!$J$4:$J$2441,X$1)</f>
        <v>0</v>
      </c>
      <c r="Y89" s="183">
        <f>SUMIFS('февраль 2025'!$G$4:$G$2441,'февраль 2025'!$D$4:$D$2441,$B89,'февраль 2025'!$J$4:$J$2441,Y$1)</f>
        <v>0</v>
      </c>
      <c r="Z89" s="183">
        <f>SUMIFS('февраль 2025'!$G$4:$G$2441,'февраль 2025'!$D$4:$D$2441,$B89,'февраль 2025'!$J$4:$J$2441,Z$1)</f>
        <v>0</v>
      </c>
      <c r="AA89" s="183">
        <f>SUMIFS('февраль 2025'!$G$4:$G$2441,'февраль 2025'!$D$4:$D$2441,$B89,'февраль 2025'!$J$4:$J$2441,AA$1)</f>
        <v>0</v>
      </c>
      <c r="AB89" s="183">
        <f>SUMIFS('февраль 2025'!$G$4:$G$2441,'февраль 2025'!$D$4:$D$2441,$B89,'февраль 2025'!$J$4:$J$2441,AB$1)</f>
        <v>0</v>
      </c>
      <c r="AC89" s="183">
        <f>SUMIFS('февраль 2025'!$G$4:$G$2441,'февраль 2025'!$D$4:$D$2441,$B89,'февраль 2025'!$J$4:$J$2441,AC$1)</f>
        <v>0</v>
      </c>
      <c r="AD89" s="183">
        <f>SUMIFS('февраль 2025'!$G$4:$G$2441,'февраль 2025'!$D$4:$D$2441,$B89,'февраль 2025'!$J$4:$J$2441,AD$1)</f>
        <v>0</v>
      </c>
      <c r="AE89" s="183">
        <f>SUMIFS('февраль 2025'!$G$4:$G$2441,'февраль 2025'!$D$4:$D$2441,$B89,'февраль 2025'!$J$4:$J$2441,AE$1)</f>
        <v>0</v>
      </c>
      <c r="AF89" s="183">
        <f>SUMIFS('февраль 2025'!$G$4:$G$2441,'февраль 2025'!$D$4:$D$2441,$B89,'февраль 2025'!$J$4:$J$2441,AF$1)</f>
        <v>0</v>
      </c>
      <c r="AG89" s="183">
        <f>SUMIFS('февраль 2025'!$G$4:$G$2441,'февраль 2025'!$D$4:$D$2441,$B89,'февраль 2025'!$J$4:$J$2441,AG$1)</f>
        <v>0</v>
      </c>
      <c r="AH89" s="183">
        <f>SUMIFS('февраль 2025'!$G$4:$G$2441,'февраль 2025'!$D$4:$D$2441,$B89,'февраль 2025'!$J$4:$J$2441,AH$1)</f>
        <v>0</v>
      </c>
      <c r="AI89" s="20">
        <f t="shared" si="1"/>
        <v>0</v>
      </c>
    </row>
    <row r="90" spans="2:35" ht="15" customHeight="1" x14ac:dyDescent="0.25">
      <c r="B90" s="88" t="s">
        <v>182</v>
      </c>
      <c r="C90" s="86">
        <v>180</v>
      </c>
      <c r="D90" s="183">
        <f>SUMIFS('февраль 2025'!$G$4:$G$2441,'февраль 2025'!$D$4:$D$2441,$B90,'февраль 2025'!$J$4:$J$2441,D$1)</f>
        <v>0</v>
      </c>
      <c r="E90" s="183">
        <f>SUMIFS('февраль 2025'!$G$4:$G$2441,'февраль 2025'!$D$4:$D$2441,$B90,'февраль 2025'!$J$4:$J$2441,E$1)</f>
        <v>0</v>
      </c>
      <c r="F90" s="183">
        <f>SUMIFS('февраль 2025'!$G$4:$G$2441,'февраль 2025'!$D$4:$D$2441,$B90,'февраль 2025'!$J$4:$J$2441,F$1)</f>
        <v>0</v>
      </c>
      <c r="G90" s="183">
        <f>SUMIFS('февраль 2025'!$G$4:$G$2441,'февраль 2025'!$D$4:$D$2441,$B90,'февраль 2025'!$J$4:$J$2441,G$1)</f>
        <v>0</v>
      </c>
      <c r="H90" s="183">
        <f>SUMIFS('февраль 2025'!$G$4:$G$2441,'февраль 2025'!$D$4:$D$2441,$B90,'февраль 2025'!$J$4:$J$2441,H$1)</f>
        <v>0</v>
      </c>
      <c r="I90" s="183">
        <f>SUMIFS('февраль 2025'!$G$4:$G$2441,'февраль 2025'!$D$4:$D$2441,$B90,'февраль 2025'!$J$4:$J$2441,I$1)</f>
        <v>0</v>
      </c>
      <c r="J90" s="183">
        <f>SUMIFS('февраль 2025'!$G$4:$G$2441,'февраль 2025'!$D$4:$D$2441,$B90,'февраль 2025'!$J$4:$J$2441,J$1)</f>
        <v>0</v>
      </c>
      <c r="K90" s="183">
        <f>SUMIFS('февраль 2025'!$G$4:$G$2441,'февраль 2025'!$D$4:$D$2441,$B90,'февраль 2025'!$J$4:$J$2441,K$1)</f>
        <v>0</v>
      </c>
      <c r="L90" s="183">
        <f>SUMIFS('февраль 2025'!$G$4:$G$2441,'февраль 2025'!$D$4:$D$2441,$B90,'февраль 2025'!$J$4:$J$2441,L$1)</f>
        <v>0</v>
      </c>
      <c r="M90" s="183">
        <f>SUMIFS('февраль 2025'!$G$4:$G$2441,'февраль 2025'!$D$4:$D$2441,$B90,'февраль 2025'!$J$4:$J$2441,M$1)</f>
        <v>0</v>
      </c>
      <c r="N90" s="183">
        <f>SUMIFS('февраль 2025'!$G$4:$G$2441,'февраль 2025'!$D$4:$D$2441,$B90,'февраль 2025'!$J$4:$J$2441,N$1)</f>
        <v>0</v>
      </c>
      <c r="O90" s="183">
        <f>SUMIFS('февраль 2025'!$G$4:$G$2441,'февраль 2025'!$D$4:$D$2441,$B90,'февраль 2025'!$J$4:$J$2441,O$1)</f>
        <v>0</v>
      </c>
      <c r="P90" s="183">
        <f>SUMIFS('февраль 2025'!$G$4:$G$2441,'февраль 2025'!$D$4:$D$2441,$B90,'февраль 2025'!$J$4:$J$2441,P$1)</f>
        <v>0</v>
      </c>
      <c r="Q90" s="183">
        <f>SUMIFS('февраль 2025'!$G$4:$G$2441,'февраль 2025'!$D$4:$D$2441,$B90,'февраль 2025'!$J$4:$J$2441,Q$1)</f>
        <v>0</v>
      </c>
      <c r="R90" s="183">
        <f>SUMIFS('февраль 2025'!$G$4:$G$2441,'февраль 2025'!$D$4:$D$2441,$B90,'февраль 2025'!$J$4:$J$2441,R$1)</f>
        <v>0</v>
      </c>
      <c r="S90" s="183">
        <f>SUMIFS('февраль 2025'!$G$4:$G$2441,'февраль 2025'!$D$4:$D$2441,$B90,'февраль 2025'!$J$4:$J$2441,S$1)</f>
        <v>0</v>
      </c>
      <c r="T90" s="183">
        <f>SUMIFS('февраль 2025'!$G$4:$G$2441,'февраль 2025'!$D$4:$D$2441,$B90,'февраль 2025'!$J$4:$J$2441,T$1)</f>
        <v>0</v>
      </c>
      <c r="U90" s="183">
        <f>SUMIFS('февраль 2025'!$G$4:$G$2441,'февраль 2025'!$D$4:$D$2441,$B90,'февраль 2025'!$J$4:$J$2441,U$1)</f>
        <v>0</v>
      </c>
      <c r="V90" s="183">
        <f>SUMIFS('февраль 2025'!$G$4:$G$2441,'февраль 2025'!$D$4:$D$2441,$B90,'февраль 2025'!$J$4:$J$2441,V$1)</f>
        <v>0</v>
      </c>
      <c r="W90" s="183">
        <f>SUMIFS('февраль 2025'!$G$4:$G$2441,'февраль 2025'!$D$4:$D$2441,$B90,'февраль 2025'!$J$4:$J$2441,W$1)</f>
        <v>0</v>
      </c>
      <c r="X90" s="183">
        <f>SUMIFS('февраль 2025'!$G$4:$G$2441,'февраль 2025'!$D$4:$D$2441,$B90,'февраль 2025'!$J$4:$J$2441,X$1)</f>
        <v>0</v>
      </c>
      <c r="Y90" s="183">
        <f>SUMIFS('февраль 2025'!$G$4:$G$2441,'февраль 2025'!$D$4:$D$2441,$B90,'февраль 2025'!$J$4:$J$2441,Y$1)</f>
        <v>0</v>
      </c>
      <c r="Z90" s="183">
        <f>SUMIFS('февраль 2025'!$G$4:$G$2441,'февраль 2025'!$D$4:$D$2441,$B90,'февраль 2025'!$J$4:$J$2441,Z$1)</f>
        <v>0</v>
      </c>
      <c r="AA90" s="183">
        <f>SUMIFS('февраль 2025'!$G$4:$G$2441,'февраль 2025'!$D$4:$D$2441,$B90,'февраль 2025'!$J$4:$J$2441,AA$1)</f>
        <v>0</v>
      </c>
      <c r="AB90" s="183">
        <f>SUMIFS('февраль 2025'!$G$4:$G$2441,'февраль 2025'!$D$4:$D$2441,$B90,'февраль 2025'!$J$4:$J$2441,AB$1)</f>
        <v>0</v>
      </c>
      <c r="AC90" s="183">
        <f>SUMIFS('февраль 2025'!$G$4:$G$2441,'февраль 2025'!$D$4:$D$2441,$B90,'февраль 2025'!$J$4:$J$2441,AC$1)</f>
        <v>0</v>
      </c>
      <c r="AD90" s="183">
        <f>SUMIFS('февраль 2025'!$G$4:$G$2441,'февраль 2025'!$D$4:$D$2441,$B90,'февраль 2025'!$J$4:$J$2441,AD$1)</f>
        <v>0</v>
      </c>
      <c r="AE90" s="183">
        <f>SUMIFS('февраль 2025'!$G$4:$G$2441,'февраль 2025'!$D$4:$D$2441,$B90,'февраль 2025'!$J$4:$J$2441,AE$1)</f>
        <v>0</v>
      </c>
      <c r="AF90" s="183">
        <f>SUMIFS('февраль 2025'!$G$4:$G$2441,'февраль 2025'!$D$4:$D$2441,$B90,'февраль 2025'!$J$4:$J$2441,AF$1)</f>
        <v>0</v>
      </c>
      <c r="AG90" s="183">
        <f>SUMIFS('февраль 2025'!$G$4:$G$2441,'февраль 2025'!$D$4:$D$2441,$B90,'февраль 2025'!$J$4:$J$2441,AG$1)</f>
        <v>0</v>
      </c>
      <c r="AH90" s="183">
        <f>SUMIFS('февраль 2025'!$G$4:$G$2441,'февраль 2025'!$D$4:$D$2441,$B90,'февраль 2025'!$J$4:$J$2441,AH$1)</f>
        <v>0</v>
      </c>
      <c r="AI90" s="20">
        <f t="shared" si="1"/>
        <v>0</v>
      </c>
    </row>
    <row r="91" spans="2:35" ht="15" customHeight="1" x14ac:dyDescent="0.25">
      <c r="B91" s="88" t="s">
        <v>298</v>
      </c>
      <c r="C91" s="86">
        <v>190</v>
      </c>
      <c r="D91" s="183">
        <f>SUMIFS('февраль 2025'!$G$4:$G$2441,'февраль 2025'!$D$4:$D$2441,$B91,'февраль 2025'!$J$4:$J$2441,D$1)</f>
        <v>0</v>
      </c>
      <c r="E91" s="183">
        <f>SUMIFS('февраль 2025'!$G$4:$G$2441,'февраль 2025'!$D$4:$D$2441,$B91,'февраль 2025'!$J$4:$J$2441,E$1)</f>
        <v>0</v>
      </c>
      <c r="F91" s="183">
        <f>SUMIFS('февраль 2025'!$G$4:$G$2441,'февраль 2025'!$D$4:$D$2441,$B91,'февраль 2025'!$J$4:$J$2441,F$1)</f>
        <v>0</v>
      </c>
      <c r="G91" s="183">
        <f>SUMIFS('февраль 2025'!$G$4:$G$2441,'февраль 2025'!$D$4:$D$2441,$B91,'февраль 2025'!$J$4:$J$2441,G$1)</f>
        <v>0</v>
      </c>
      <c r="H91" s="183">
        <f>SUMIFS('февраль 2025'!$G$4:$G$2441,'февраль 2025'!$D$4:$D$2441,$B91,'февраль 2025'!$J$4:$J$2441,H$1)</f>
        <v>0</v>
      </c>
      <c r="I91" s="183">
        <f>SUMIFS('февраль 2025'!$G$4:$G$2441,'февраль 2025'!$D$4:$D$2441,$B91,'февраль 2025'!$J$4:$J$2441,I$1)</f>
        <v>0</v>
      </c>
      <c r="J91" s="183">
        <f>SUMIFS('февраль 2025'!$G$4:$G$2441,'февраль 2025'!$D$4:$D$2441,$B91,'февраль 2025'!$J$4:$J$2441,J$1)</f>
        <v>0</v>
      </c>
      <c r="K91" s="183">
        <f>SUMIFS('февраль 2025'!$G$4:$G$2441,'февраль 2025'!$D$4:$D$2441,$B91,'февраль 2025'!$J$4:$J$2441,K$1)</f>
        <v>0</v>
      </c>
      <c r="L91" s="183">
        <f>SUMIFS('февраль 2025'!$G$4:$G$2441,'февраль 2025'!$D$4:$D$2441,$B91,'февраль 2025'!$J$4:$J$2441,L$1)</f>
        <v>0</v>
      </c>
      <c r="M91" s="183">
        <f>SUMIFS('февраль 2025'!$G$4:$G$2441,'февраль 2025'!$D$4:$D$2441,$B91,'февраль 2025'!$J$4:$J$2441,M$1)</f>
        <v>0</v>
      </c>
      <c r="N91" s="183">
        <f>SUMIFS('февраль 2025'!$G$4:$G$2441,'февраль 2025'!$D$4:$D$2441,$B91,'февраль 2025'!$J$4:$J$2441,N$1)</f>
        <v>0</v>
      </c>
      <c r="O91" s="183">
        <f>SUMIFS('февраль 2025'!$G$4:$G$2441,'февраль 2025'!$D$4:$D$2441,$B91,'февраль 2025'!$J$4:$J$2441,O$1)</f>
        <v>0</v>
      </c>
      <c r="P91" s="183">
        <f>SUMIFS('февраль 2025'!$G$4:$G$2441,'февраль 2025'!$D$4:$D$2441,$B91,'февраль 2025'!$J$4:$J$2441,P$1)</f>
        <v>0</v>
      </c>
      <c r="Q91" s="183">
        <f>SUMIFS('февраль 2025'!$G$4:$G$2441,'февраль 2025'!$D$4:$D$2441,$B91,'февраль 2025'!$J$4:$J$2441,Q$1)</f>
        <v>0</v>
      </c>
      <c r="R91" s="183">
        <f>SUMIFS('февраль 2025'!$G$4:$G$2441,'февраль 2025'!$D$4:$D$2441,$B91,'февраль 2025'!$J$4:$J$2441,R$1)</f>
        <v>0</v>
      </c>
      <c r="S91" s="183">
        <f>SUMIFS('февраль 2025'!$G$4:$G$2441,'февраль 2025'!$D$4:$D$2441,$B91,'февраль 2025'!$J$4:$J$2441,S$1)</f>
        <v>0</v>
      </c>
      <c r="T91" s="183">
        <f>SUMIFS('февраль 2025'!$G$4:$G$2441,'февраль 2025'!$D$4:$D$2441,$B91,'февраль 2025'!$J$4:$J$2441,T$1)</f>
        <v>0</v>
      </c>
      <c r="U91" s="183">
        <f>SUMIFS('февраль 2025'!$G$4:$G$2441,'февраль 2025'!$D$4:$D$2441,$B91,'февраль 2025'!$J$4:$J$2441,U$1)</f>
        <v>0</v>
      </c>
      <c r="V91" s="183">
        <f>SUMIFS('февраль 2025'!$G$4:$G$2441,'февраль 2025'!$D$4:$D$2441,$B91,'февраль 2025'!$J$4:$J$2441,V$1)</f>
        <v>0</v>
      </c>
      <c r="W91" s="183">
        <f>SUMIFS('февраль 2025'!$G$4:$G$2441,'февраль 2025'!$D$4:$D$2441,$B91,'февраль 2025'!$J$4:$J$2441,W$1)</f>
        <v>0</v>
      </c>
      <c r="X91" s="183">
        <f>SUMIFS('февраль 2025'!$G$4:$G$2441,'февраль 2025'!$D$4:$D$2441,$B91,'февраль 2025'!$J$4:$J$2441,X$1)</f>
        <v>0</v>
      </c>
      <c r="Y91" s="183">
        <f>SUMIFS('февраль 2025'!$G$4:$G$2441,'февраль 2025'!$D$4:$D$2441,$B91,'февраль 2025'!$J$4:$J$2441,Y$1)</f>
        <v>0</v>
      </c>
      <c r="Z91" s="183">
        <f>SUMIFS('февраль 2025'!$G$4:$G$2441,'февраль 2025'!$D$4:$D$2441,$B91,'февраль 2025'!$J$4:$J$2441,Z$1)</f>
        <v>0</v>
      </c>
      <c r="AA91" s="183">
        <f>SUMIFS('февраль 2025'!$G$4:$G$2441,'февраль 2025'!$D$4:$D$2441,$B91,'февраль 2025'!$J$4:$J$2441,AA$1)</f>
        <v>0</v>
      </c>
      <c r="AB91" s="183">
        <f>SUMIFS('февраль 2025'!$G$4:$G$2441,'февраль 2025'!$D$4:$D$2441,$B91,'февраль 2025'!$J$4:$J$2441,AB$1)</f>
        <v>0</v>
      </c>
      <c r="AC91" s="183">
        <f>SUMIFS('февраль 2025'!$G$4:$G$2441,'февраль 2025'!$D$4:$D$2441,$B91,'февраль 2025'!$J$4:$J$2441,AC$1)</f>
        <v>0</v>
      </c>
      <c r="AD91" s="183">
        <f>SUMIFS('февраль 2025'!$G$4:$G$2441,'февраль 2025'!$D$4:$D$2441,$B91,'февраль 2025'!$J$4:$J$2441,AD$1)</f>
        <v>0</v>
      </c>
      <c r="AE91" s="183">
        <f>SUMIFS('февраль 2025'!$G$4:$G$2441,'февраль 2025'!$D$4:$D$2441,$B91,'февраль 2025'!$J$4:$J$2441,AE$1)</f>
        <v>0</v>
      </c>
      <c r="AF91" s="183">
        <f>SUMIFS('февраль 2025'!$G$4:$G$2441,'февраль 2025'!$D$4:$D$2441,$B91,'февраль 2025'!$J$4:$J$2441,AF$1)</f>
        <v>0</v>
      </c>
      <c r="AG91" s="183">
        <f>SUMIFS('февраль 2025'!$G$4:$G$2441,'февраль 2025'!$D$4:$D$2441,$B91,'февраль 2025'!$J$4:$J$2441,AG$1)</f>
        <v>0</v>
      </c>
      <c r="AH91" s="183">
        <f>SUMIFS('февраль 2025'!$G$4:$G$2441,'февраль 2025'!$D$4:$D$2441,$B91,'февраль 2025'!$J$4:$J$2441,AH$1)</f>
        <v>0</v>
      </c>
      <c r="AI91" s="20">
        <f t="shared" si="1"/>
        <v>0</v>
      </c>
    </row>
    <row r="92" spans="2:35" ht="15" customHeight="1" x14ac:dyDescent="0.25">
      <c r="B92" s="88" t="s">
        <v>312</v>
      </c>
      <c r="C92" s="86">
        <v>190</v>
      </c>
      <c r="D92" s="183">
        <f>SUMIFS('февраль 2025'!$G$4:$G$2441,'февраль 2025'!$D$4:$D$2441,$B92,'февраль 2025'!$J$4:$J$2441,D$1)</f>
        <v>0</v>
      </c>
      <c r="E92" s="183">
        <f>SUMIFS('февраль 2025'!$G$4:$G$2441,'февраль 2025'!$D$4:$D$2441,$B92,'февраль 2025'!$J$4:$J$2441,E$1)</f>
        <v>0</v>
      </c>
      <c r="F92" s="183">
        <f>SUMIFS('февраль 2025'!$G$4:$G$2441,'февраль 2025'!$D$4:$D$2441,$B92,'февраль 2025'!$J$4:$J$2441,F$1)</f>
        <v>0</v>
      </c>
      <c r="G92" s="183">
        <f>SUMIFS('февраль 2025'!$G$4:$G$2441,'февраль 2025'!$D$4:$D$2441,$B92,'февраль 2025'!$J$4:$J$2441,G$1)</f>
        <v>0</v>
      </c>
      <c r="H92" s="183">
        <f>SUMIFS('февраль 2025'!$G$4:$G$2441,'февраль 2025'!$D$4:$D$2441,$B92,'февраль 2025'!$J$4:$J$2441,H$1)</f>
        <v>0</v>
      </c>
      <c r="I92" s="183">
        <f>SUMIFS('февраль 2025'!$G$4:$G$2441,'февраль 2025'!$D$4:$D$2441,$B92,'февраль 2025'!$J$4:$J$2441,I$1)</f>
        <v>0</v>
      </c>
      <c r="J92" s="183">
        <f>SUMIFS('февраль 2025'!$G$4:$G$2441,'февраль 2025'!$D$4:$D$2441,$B92,'февраль 2025'!$J$4:$J$2441,J$1)</f>
        <v>0</v>
      </c>
      <c r="K92" s="183">
        <f>SUMIFS('февраль 2025'!$G$4:$G$2441,'февраль 2025'!$D$4:$D$2441,$B92,'февраль 2025'!$J$4:$J$2441,K$1)</f>
        <v>0</v>
      </c>
      <c r="L92" s="183">
        <f>SUMIFS('февраль 2025'!$G$4:$G$2441,'февраль 2025'!$D$4:$D$2441,$B92,'февраль 2025'!$J$4:$J$2441,L$1)</f>
        <v>0</v>
      </c>
      <c r="M92" s="183">
        <f>SUMIFS('февраль 2025'!$G$4:$G$2441,'февраль 2025'!$D$4:$D$2441,$B92,'февраль 2025'!$J$4:$J$2441,M$1)</f>
        <v>0</v>
      </c>
      <c r="N92" s="183">
        <f>SUMIFS('февраль 2025'!$G$4:$G$2441,'февраль 2025'!$D$4:$D$2441,$B92,'февраль 2025'!$J$4:$J$2441,N$1)</f>
        <v>0</v>
      </c>
      <c r="O92" s="183">
        <f>SUMIFS('февраль 2025'!$G$4:$G$2441,'февраль 2025'!$D$4:$D$2441,$B92,'февраль 2025'!$J$4:$J$2441,O$1)</f>
        <v>0</v>
      </c>
      <c r="P92" s="183">
        <f>SUMIFS('февраль 2025'!$G$4:$G$2441,'февраль 2025'!$D$4:$D$2441,$B92,'февраль 2025'!$J$4:$J$2441,P$1)</f>
        <v>0</v>
      </c>
      <c r="Q92" s="183">
        <f>SUMIFS('февраль 2025'!$G$4:$G$2441,'февраль 2025'!$D$4:$D$2441,$B92,'февраль 2025'!$J$4:$J$2441,Q$1)</f>
        <v>0</v>
      </c>
      <c r="R92" s="183">
        <f>SUMIFS('февраль 2025'!$G$4:$G$2441,'февраль 2025'!$D$4:$D$2441,$B92,'февраль 2025'!$J$4:$J$2441,R$1)</f>
        <v>0</v>
      </c>
      <c r="S92" s="183">
        <f>SUMIFS('февраль 2025'!$G$4:$G$2441,'февраль 2025'!$D$4:$D$2441,$B92,'февраль 2025'!$J$4:$J$2441,S$1)</f>
        <v>0</v>
      </c>
      <c r="T92" s="183">
        <f>SUMIFS('февраль 2025'!$G$4:$G$2441,'февраль 2025'!$D$4:$D$2441,$B92,'февраль 2025'!$J$4:$J$2441,T$1)</f>
        <v>0</v>
      </c>
      <c r="U92" s="183">
        <f>SUMIFS('февраль 2025'!$G$4:$G$2441,'февраль 2025'!$D$4:$D$2441,$B92,'февраль 2025'!$J$4:$J$2441,U$1)</f>
        <v>0</v>
      </c>
      <c r="V92" s="183">
        <f>SUMIFS('февраль 2025'!$G$4:$G$2441,'февраль 2025'!$D$4:$D$2441,$B92,'февраль 2025'!$J$4:$J$2441,V$1)</f>
        <v>0</v>
      </c>
      <c r="W92" s="183">
        <f>SUMIFS('февраль 2025'!$G$4:$G$2441,'февраль 2025'!$D$4:$D$2441,$B92,'февраль 2025'!$J$4:$J$2441,W$1)</f>
        <v>0</v>
      </c>
      <c r="X92" s="183">
        <f>SUMIFS('февраль 2025'!$G$4:$G$2441,'февраль 2025'!$D$4:$D$2441,$B92,'февраль 2025'!$J$4:$J$2441,X$1)</f>
        <v>0</v>
      </c>
      <c r="Y92" s="183">
        <f>SUMIFS('февраль 2025'!$G$4:$G$2441,'февраль 2025'!$D$4:$D$2441,$B92,'февраль 2025'!$J$4:$J$2441,Y$1)</f>
        <v>0</v>
      </c>
      <c r="Z92" s="183">
        <f>SUMIFS('февраль 2025'!$G$4:$G$2441,'февраль 2025'!$D$4:$D$2441,$B92,'февраль 2025'!$J$4:$J$2441,Z$1)</f>
        <v>0</v>
      </c>
      <c r="AA92" s="183">
        <f>SUMIFS('февраль 2025'!$G$4:$G$2441,'февраль 2025'!$D$4:$D$2441,$B92,'февраль 2025'!$J$4:$J$2441,AA$1)</f>
        <v>0</v>
      </c>
      <c r="AB92" s="183">
        <f>SUMIFS('февраль 2025'!$G$4:$G$2441,'февраль 2025'!$D$4:$D$2441,$B92,'февраль 2025'!$J$4:$J$2441,AB$1)</f>
        <v>0</v>
      </c>
      <c r="AC92" s="183">
        <f>SUMIFS('февраль 2025'!$G$4:$G$2441,'февраль 2025'!$D$4:$D$2441,$B92,'февраль 2025'!$J$4:$J$2441,AC$1)</f>
        <v>0</v>
      </c>
      <c r="AD92" s="183">
        <f>SUMIFS('февраль 2025'!$G$4:$G$2441,'февраль 2025'!$D$4:$D$2441,$B92,'февраль 2025'!$J$4:$J$2441,AD$1)</f>
        <v>0</v>
      </c>
      <c r="AE92" s="183">
        <f>SUMIFS('февраль 2025'!$G$4:$G$2441,'февраль 2025'!$D$4:$D$2441,$B92,'февраль 2025'!$J$4:$J$2441,AE$1)</f>
        <v>0</v>
      </c>
      <c r="AF92" s="183">
        <f>SUMIFS('февраль 2025'!$G$4:$G$2441,'февраль 2025'!$D$4:$D$2441,$B92,'февраль 2025'!$J$4:$J$2441,AF$1)</f>
        <v>0</v>
      </c>
      <c r="AG92" s="183">
        <f>SUMIFS('февраль 2025'!$G$4:$G$2441,'февраль 2025'!$D$4:$D$2441,$B92,'февраль 2025'!$J$4:$J$2441,AG$1)</f>
        <v>0</v>
      </c>
      <c r="AH92" s="183">
        <f>SUMIFS('февраль 2025'!$G$4:$G$2441,'февраль 2025'!$D$4:$D$2441,$B92,'февраль 2025'!$J$4:$J$2441,AH$1)</f>
        <v>0</v>
      </c>
      <c r="AI92" s="20">
        <f t="shared" si="1"/>
        <v>0</v>
      </c>
    </row>
    <row r="93" spans="2:35" ht="15" customHeight="1" x14ac:dyDescent="0.25">
      <c r="B93" s="88" t="s">
        <v>282</v>
      </c>
      <c r="C93" s="86">
        <v>190</v>
      </c>
      <c r="D93" s="183">
        <f>SUMIFS('февраль 2025'!$G$4:$G$2441,'февраль 2025'!$D$4:$D$2441,$B93,'февраль 2025'!$J$4:$J$2441,D$1)</f>
        <v>0</v>
      </c>
      <c r="E93" s="183">
        <f>SUMIFS('февраль 2025'!$G$4:$G$2441,'февраль 2025'!$D$4:$D$2441,$B93,'февраль 2025'!$J$4:$J$2441,E$1)</f>
        <v>0</v>
      </c>
      <c r="F93" s="183">
        <f>SUMIFS('февраль 2025'!$G$4:$G$2441,'февраль 2025'!$D$4:$D$2441,$B93,'февраль 2025'!$J$4:$J$2441,F$1)</f>
        <v>0</v>
      </c>
      <c r="G93" s="183">
        <f>SUMIFS('февраль 2025'!$G$4:$G$2441,'февраль 2025'!$D$4:$D$2441,$B93,'февраль 2025'!$J$4:$J$2441,G$1)</f>
        <v>0</v>
      </c>
      <c r="H93" s="183">
        <f>SUMIFS('февраль 2025'!$G$4:$G$2441,'февраль 2025'!$D$4:$D$2441,$B93,'февраль 2025'!$J$4:$J$2441,H$1)</f>
        <v>0</v>
      </c>
      <c r="I93" s="183">
        <f>SUMIFS('февраль 2025'!$G$4:$G$2441,'февраль 2025'!$D$4:$D$2441,$B93,'февраль 2025'!$J$4:$J$2441,I$1)</f>
        <v>0</v>
      </c>
      <c r="J93" s="183">
        <f>SUMIFS('февраль 2025'!$G$4:$G$2441,'февраль 2025'!$D$4:$D$2441,$B93,'февраль 2025'!$J$4:$J$2441,J$1)</f>
        <v>0</v>
      </c>
      <c r="K93" s="183">
        <f>SUMIFS('февраль 2025'!$G$4:$G$2441,'февраль 2025'!$D$4:$D$2441,$B93,'февраль 2025'!$J$4:$J$2441,K$1)</f>
        <v>0</v>
      </c>
      <c r="L93" s="183">
        <f>SUMIFS('февраль 2025'!$G$4:$G$2441,'февраль 2025'!$D$4:$D$2441,$B93,'февраль 2025'!$J$4:$J$2441,L$1)</f>
        <v>0</v>
      </c>
      <c r="M93" s="183">
        <f>SUMIFS('февраль 2025'!$G$4:$G$2441,'февраль 2025'!$D$4:$D$2441,$B93,'февраль 2025'!$J$4:$J$2441,M$1)</f>
        <v>0</v>
      </c>
      <c r="N93" s="183">
        <f>SUMIFS('февраль 2025'!$G$4:$G$2441,'февраль 2025'!$D$4:$D$2441,$B93,'февраль 2025'!$J$4:$J$2441,N$1)</f>
        <v>0</v>
      </c>
      <c r="O93" s="183">
        <f>SUMIFS('февраль 2025'!$G$4:$G$2441,'февраль 2025'!$D$4:$D$2441,$B93,'февраль 2025'!$J$4:$J$2441,O$1)</f>
        <v>0</v>
      </c>
      <c r="P93" s="183">
        <f>SUMIFS('февраль 2025'!$G$4:$G$2441,'февраль 2025'!$D$4:$D$2441,$B93,'февраль 2025'!$J$4:$J$2441,P$1)</f>
        <v>0</v>
      </c>
      <c r="Q93" s="183">
        <f>SUMIFS('февраль 2025'!$G$4:$G$2441,'февраль 2025'!$D$4:$D$2441,$B93,'февраль 2025'!$J$4:$J$2441,Q$1)</f>
        <v>0</v>
      </c>
      <c r="R93" s="183">
        <f>SUMIFS('февраль 2025'!$G$4:$G$2441,'февраль 2025'!$D$4:$D$2441,$B93,'февраль 2025'!$J$4:$J$2441,R$1)</f>
        <v>0</v>
      </c>
      <c r="S93" s="183">
        <f>SUMIFS('февраль 2025'!$G$4:$G$2441,'февраль 2025'!$D$4:$D$2441,$B93,'февраль 2025'!$J$4:$J$2441,S$1)</f>
        <v>0</v>
      </c>
      <c r="T93" s="183">
        <f>SUMIFS('февраль 2025'!$G$4:$G$2441,'февраль 2025'!$D$4:$D$2441,$B93,'февраль 2025'!$J$4:$J$2441,T$1)</f>
        <v>0</v>
      </c>
      <c r="U93" s="183">
        <f>SUMIFS('февраль 2025'!$G$4:$G$2441,'февраль 2025'!$D$4:$D$2441,$B93,'февраль 2025'!$J$4:$J$2441,U$1)</f>
        <v>0</v>
      </c>
      <c r="V93" s="183">
        <f>SUMIFS('февраль 2025'!$G$4:$G$2441,'февраль 2025'!$D$4:$D$2441,$B93,'февраль 2025'!$J$4:$J$2441,V$1)</f>
        <v>0</v>
      </c>
      <c r="W93" s="183">
        <f>SUMIFS('февраль 2025'!$G$4:$G$2441,'февраль 2025'!$D$4:$D$2441,$B93,'февраль 2025'!$J$4:$J$2441,W$1)</f>
        <v>0</v>
      </c>
      <c r="X93" s="183">
        <f>SUMIFS('февраль 2025'!$G$4:$G$2441,'февраль 2025'!$D$4:$D$2441,$B93,'февраль 2025'!$J$4:$J$2441,X$1)</f>
        <v>0</v>
      </c>
      <c r="Y93" s="183">
        <f>SUMIFS('февраль 2025'!$G$4:$G$2441,'февраль 2025'!$D$4:$D$2441,$B93,'февраль 2025'!$J$4:$J$2441,Y$1)</f>
        <v>0</v>
      </c>
      <c r="Z93" s="183">
        <f>SUMIFS('февраль 2025'!$G$4:$G$2441,'февраль 2025'!$D$4:$D$2441,$B93,'февраль 2025'!$J$4:$J$2441,Z$1)</f>
        <v>0</v>
      </c>
      <c r="AA93" s="183">
        <f>SUMIFS('февраль 2025'!$G$4:$G$2441,'февраль 2025'!$D$4:$D$2441,$B93,'февраль 2025'!$J$4:$J$2441,AA$1)</f>
        <v>0</v>
      </c>
      <c r="AB93" s="183">
        <f>SUMIFS('февраль 2025'!$G$4:$G$2441,'февраль 2025'!$D$4:$D$2441,$B93,'февраль 2025'!$J$4:$J$2441,AB$1)</f>
        <v>0</v>
      </c>
      <c r="AC93" s="183">
        <f>SUMIFS('февраль 2025'!$G$4:$G$2441,'февраль 2025'!$D$4:$D$2441,$B93,'февраль 2025'!$J$4:$J$2441,AC$1)</f>
        <v>0</v>
      </c>
      <c r="AD93" s="183">
        <f>SUMIFS('февраль 2025'!$G$4:$G$2441,'февраль 2025'!$D$4:$D$2441,$B93,'февраль 2025'!$J$4:$J$2441,AD$1)</f>
        <v>0</v>
      </c>
      <c r="AE93" s="183">
        <f>SUMIFS('февраль 2025'!$G$4:$G$2441,'февраль 2025'!$D$4:$D$2441,$B93,'февраль 2025'!$J$4:$J$2441,AE$1)</f>
        <v>0</v>
      </c>
      <c r="AF93" s="183">
        <f>SUMIFS('февраль 2025'!$G$4:$G$2441,'февраль 2025'!$D$4:$D$2441,$B93,'февраль 2025'!$J$4:$J$2441,AF$1)</f>
        <v>0</v>
      </c>
      <c r="AG93" s="183">
        <f>SUMIFS('февраль 2025'!$G$4:$G$2441,'февраль 2025'!$D$4:$D$2441,$B93,'февраль 2025'!$J$4:$J$2441,AG$1)</f>
        <v>0</v>
      </c>
      <c r="AH93" s="183">
        <f>SUMIFS('февраль 2025'!$G$4:$G$2441,'февраль 2025'!$D$4:$D$2441,$B93,'февраль 2025'!$J$4:$J$2441,AH$1)</f>
        <v>0</v>
      </c>
      <c r="AI93" s="20">
        <f t="shared" si="1"/>
        <v>0</v>
      </c>
    </row>
    <row r="94" spans="2:35" ht="15" customHeight="1" x14ac:dyDescent="0.25">
      <c r="B94" s="88" t="s">
        <v>258</v>
      </c>
      <c r="C94" s="86">
        <v>180</v>
      </c>
      <c r="D94" s="183">
        <f>SUMIFS('февраль 2025'!$G$4:$G$2441,'февраль 2025'!$D$4:$D$2441,$B94,'февраль 2025'!$J$4:$J$2441,D$1)</f>
        <v>0</v>
      </c>
      <c r="E94" s="183">
        <f>SUMIFS('февраль 2025'!$G$4:$G$2441,'февраль 2025'!$D$4:$D$2441,$B94,'февраль 2025'!$J$4:$J$2441,E$1)</f>
        <v>0</v>
      </c>
      <c r="F94" s="183">
        <f>SUMIFS('февраль 2025'!$G$4:$G$2441,'февраль 2025'!$D$4:$D$2441,$B94,'февраль 2025'!$J$4:$J$2441,F$1)</f>
        <v>0</v>
      </c>
      <c r="G94" s="183">
        <f>SUMIFS('февраль 2025'!$G$4:$G$2441,'февраль 2025'!$D$4:$D$2441,$B94,'февраль 2025'!$J$4:$J$2441,G$1)</f>
        <v>0</v>
      </c>
      <c r="H94" s="183">
        <f>SUMIFS('февраль 2025'!$G$4:$G$2441,'февраль 2025'!$D$4:$D$2441,$B94,'февраль 2025'!$J$4:$J$2441,H$1)</f>
        <v>0</v>
      </c>
      <c r="I94" s="183">
        <f>SUMIFS('февраль 2025'!$G$4:$G$2441,'февраль 2025'!$D$4:$D$2441,$B94,'февраль 2025'!$J$4:$J$2441,I$1)</f>
        <v>0</v>
      </c>
      <c r="J94" s="183">
        <f>SUMIFS('февраль 2025'!$G$4:$G$2441,'февраль 2025'!$D$4:$D$2441,$B94,'февраль 2025'!$J$4:$J$2441,J$1)</f>
        <v>0</v>
      </c>
      <c r="K94" s="183">
        <f>SUMIFS('февраль 2025'!$G$4:$G$2441,'февраль 2025'!$D$4:$D$2441,$B94,'февраль 2025'!$J$4:$J$2441,K$1)</f>
        <v>0</v>
      </c>
      <c r="L94" s="183">
        <f>SUMIFS('февраль 2025'!$G$4:$G$2441,'февраль 2025'!$D$4:$D$2441,$B94,'февраль 2025'!$J$4:$J$2441,L$1)</f>
        <v>0</v>
      </c>
      <c r="M94" s="183">
        <f>SUMIFS('февраль 2025'!$G$4:$G$2441,'февраль 2025'!$D$4:$D$2441,$B94,'февраль 2025'!$J$4:$J$2441,M$1)</f>
        <v>0</v>
      </c>
      <c r="N94" s="183">
        <f>SUMIFS('февраль 2025'!$G$4:$G$2441,'февраль 2025'!$D$4:$D$2441,$B94,'февраль 2025'!$J$4:$J$2441,N$1)</f>
        <v>0</v>
      </c>
      <c r="O94" s="183">
        <f>SUMIFS('февраль 2025'!$G$4:$G$2441,'февраль 2025'!$D$4:$D$2441,$B94,'февраль 2025'!$J$4:$J$2441,O$1)</f>
        <v>0</v>
      </c>
      <c r="P94" s="183">
        <f>SUMIFS('февраль 2025'!$G$4:$G$2441,'февраль 2025'!$D$4:$D$2441,$B94,'февраль 2025'!$J$4:$J$2441,P$1)</f>
        <v>0</v>
      </c>
      <c r="Q94" s="183">
        <f>SUMIFS('февраль 2025'!$G$4:$G$2441,'февраль 2025'!$D$4:$D$2441,$B94,'февраль 2025'!$J$4:$J$2441,Q$1)</f>
        <v>0</v>
      </c>
      <c r="R94" s="183">
        <f>SUMIFS('февраль 2025'!$G$4:$G$2441,'февраль 2025'!$D$4:$D$2441,$B94,'февраль 2025'!$J$4:$J$2441,R$1)</f>
        <v>0</v>
      </c>
      <c r="S94" s="183">
        <f>SUMIFS('февраль 2025'!$G$4:$G$2441,'февраль 2025'!$D$4:$D$2441,$B94,'февраль 2025'!$J$4:$J$2441,S$1)</f>
        <v>0</v>
      </c>
      <c r="T94" s="183">
        <f>SUMIFS('февраль 2025'!$G$4:$G$2441,'февраль 2025'!$D$4:$D$2441,$B94,'февраль 2025'!$J$4:$J$2441,T$1)</f>
        <v>0</v>
      </c>
      <c r="U94" s="183">
        <f>SUMIFS('февраль 2025'!$G$4:$G$2441,'февраль 2025'!$D$4:$D$2441,$B94,'февраль 2025'!$J$4:$J$2441,U$1)</f>
        <v>0</v>
      </c>
      <c r="V94" s="183">
        <f>SUMIFS('февраль 2025'!$G$4:$G$2441,'февраль 2025'!$D$4:$D$2441,$B94,'февраль 2025'!$J$4:$J$2441,V$1)</f>
        <v>0</v>
      </c>
      <c r="W94" s="183">
        <f>SUMIFS('февраль 2025'!$G$4:$G$2441,'февраль 2025'!$D$4:$D$2441,$B94,'февраль 2025'!$J$4:$J$2441,W$1)</f>
        <v>0</v>
      </c>
      <c r="X94" s="183">
        <f>SUMIFS('февраль 2025'!$G$4:$G$2441,'февраль 2025'!$D$4:$D$2441,$B94,'февраль 2025'!$J$4:$J$2441,X$1)</f>
        <v>0</v>
      </c>
      <c r="Y94" s="183">
        <f>SUMIFS('февраль 2025'!$G$4:$G$2441,'февраль 2025'!$D$4:$D$2441,$B94,'февраль 2025'!$J$4:$J$2441,Y$1)</f>
        <v>0</v>
      </c>
      <c r="Z94" s="183">
        <f>SUMIFS('февраль 2025'!$G$4:$G$2441,'февраль 2025'!$D$4:$D$2441,$B94,'февраль 2025'!$J$4:$J$2441,Z$1)</f>
        <v>0</v>
      </c>
      <c r="AA94" s="183">
        <f>SUMIFS('февраль 2025'!$G$4:$G$2441,'февраль 2025'!$D$4:$D$2441,$B94,'февраль 2025'!$J$4:$J$2441,AA$1)</f>
        <v>0</v>
      </c>
      <c r="AB94" s="183">
        <f>SUMIFS('февраль 2025'!$G$4:$G$2441,'февраль 2025'!$D$4:$D$2441,$B94,'февраль 2025'!$J$4:$J$2441,AB$1)</f>
        <v>0</v>
      </c>
      <c r="AC94" s="183">
        <f>SUMIFS('февраль 2025'!$G$4:$G$2441,'февраль 2025'!$D$4:$D$2441,$B94,'февраль 2025'!$J$4:$J$2441,AC$1)</f>
        <v>0</v>
      </c>
      <c r="AD94" s="183">
        <f>SUMIFS('февраль 2025'!$G$4:$G$2441,'февраль 2025'!$D$4:$D$2441,$B94,'февраль 2025'!$J$4:$J$2441,AD$1)</f>
        <v>0</v>
      </c>
      <c r="AE94" s="183">
        <f>SUMIFS('февраль 2025'!$G$4:$G$2441,'февраль 2025'!$D$4:$D$2441,$B94,'февраль 2025'!$J$4:$J$2441,AE$1)</f>
        <v>0</v>
      </c>
      <c r="AF94" s="183">
        <f>SUMIFS('февраль 2025'!$G$4:$G$2441,'февраль 2025'!$D$4:$D$2441,$B94,'февраль 2025'!$J$4:$J$2441,AF$1)</f>
        <v>0</v>
      </c>
      <c r="AG94" s="183">
        <f>SUMIFS('февраль 2025'!$G$4:$G$2441,'февраль 2025'!$D$4:$D$2441,$B94,'февраль 2025'!$J$4:$J$2441,AG$1)</f>
        <v>0</v>
      </c>
      <c r="AH94" s="183">
        <f>SUMIFS('февраль 2025'!$G$4:$G$2441,'февраль 2025'!$D$4:$D$2441,$B94,'февраль 2025'!$J$4:$J$2441,AH$1)</f>
        <v>0</v>
      </c>
      <c r="AI94" s="20">
        <f t="shared" si="1"/>
        <v>0</v>
      </c>
    </row>
    <row r="95" spans="2:35" ht="15" customHeight="1" x14ac:dyDescent="0.25">
      <c r="B95" s="88" t="s">
        <v>259</v>
      </c>
      <c r="C95" s="86">
        <v>180</v>
      </c>
      <c r="D95" s="183">
        <f>SUMIFS('февраль 2025'!$G$4:$G$2441,'февраль 2025'!$D$4:$D$2441,$B95,'февраль 2025'!$J$4:$J$2441,D$1)</f>
        <v>0</v>
      </c>
      <c r="E95" s="183">
        <f>SUMIFS('февраль 2025'!$G$4:$G$2441,'февраль 2025'!$D$4:$D$2441,$B95,'февраль 2025'!$J$4:$J$2441,E$1)</f>
        <v>0</v>
      </c>
      <c r="F95" s="183">
        <f>SUMIFS('февраль 2025'!$G$4:$G$2441,'февраль 2025'!$D$4:$D$2441,$B95,'февраль 2025'!$J$4:$J$2441,F$1)</f>
        <v>0</v>
      </c>
      <c r="G95" s="183">
        <f>SUMIFS('февраль 2025'!$G$4:$G$2441,'февраль 2025'!$D$4:$D$2441,$B95,'февраль 2025'!$J$4:$J$2441,G$1)</f>
        <v>0</v>
      </c>
      <c r="H95" s="183">
        <f>SUMIFS('февраль 2025'!$G$4:$G$2441,'февраль 2025'!$D$4:$D$2441,$B95,'февраль 2025'!$J$4:$J$2441,H$1)</f>
        <v>0</v>
      </c>
      <c r="I95" s="183">
        <f>SUMIFS('февраль 2025'!$G$4:$G$2441,'февраль 2025'!$D$4:$D$2441,$B95,'февраль 2025'!$J$4:$J$2441,I$1)</f>
        <v>0</v>
      </c>
      <c r="J95" s="183">
        <f>SUMIFS('февраль 2025'!$G$4:$G$2441,'февраль 2025'!$D$4:$D$2441,$B95,'февраль 2025'!$J$4:$J$2441,J$1)</f>
        <v>0</v>
      </c>
      <c r="K95" s="183">
        <f>SUMIFS('февраль 2025'!$G$4:$G$2441,'февраль 2025'!$D$4:$D$2441,$B95,'февраль 2025'!$J$4:$J$2441,K$1)</f>
        <v>0</v>
      </c>
      <c r="L95" s="183">
        <f>SUMIFS('февраль 2025'!$G$4:$G$2441,'февраль 2025'!$D$4:$D$2441,$B95,'февраль 2025'!$J$4:$J$2441,L$1)</f>
        <v>0</v>
      </c>
      <c r="M95" s="183">
        <f>SUMIFS('февраль 2025'!$G$4:$G$2441,'февраль 2025'!$D$4:$D$2441,$B95,'февраль 2025'!$J$4:$J$2441,M$1)</f>
        <v>0</v>
      </c>
      <c r="N95" s="183">
        <f>SUMIFS('февраль 2025'!$G$4:$G$2441,'февраль 2025'!$D$4:$D$2441,$B95,'февраль 2025'!$J$4:$J$2441,N$1)</f>
        <v>0</v>
      </c>
      <c r="O95" s="183">
        <f>SUMIFS('февраль 2025'!$G$4:$G$2441,'февраль 2025'!$D$4:$D$2441,$B95,'февраль 2025'!$J$4:$J$2441,O$1)</f>
        <v>0</v>
      </c>
      <c r="P95" s="183">
        <f>SUMIFS('февраль 2025'!$G$4:$G$2441,'февраль 2025'!$D$4:$D$2441,$B95,'февраль 2025'!$J$4:$J$2441,P$1)</f>
        <v>0</v>
      </c>
      <c r="Q95" s="183">
        <f>SUMIFS('февраль 2025'!$G$4:$G$2441,'февраль 2025'!$D$4:$D$2441,$B95,'февраль 2025'!$J$4:$J$2441,Q$1)</f>
        <v>0</v>
      </c>
      <c r="R95" s="183">
        <f>SUMIFS('февраль 2025'!$G$4:$G$2441,'февраль 2025'!$D$4:$D$2441,$B95,'февраль 2025'!$J$4:$J$2441,R$1)</f>
        <v>0</v>
      </c>
      <c r="S95" s="183">
        <f>SUMIFS('февраль 2025'!$G$4:$G$2441,'февраль 2025'!$D$4:$D$2441,$B95,'февраль 2025'!$J$4:$J$2441,S$1)</f>
        <v>0</v>
      </c>
      <c r="T95" s="183">
        <f>SUMIFS('февраль 2025'!$G$4:$G$2441,'февраль 2025'!$D$4:$D$2441,$B95,'февраль 2025'!$J$4:$J$2441,T$1)</f>
        <v>0</v>
      </c>
      <c r="U95" s="183">
        <f>SUMIFS('февраль 2025'!$G$4:$G$2441,'февраль 2025'!$D$4:$D$2441,$B95,'февраль 2025'!$J$4:$J$2441,U$1)</f>
        <v>0</v>
      </c>
      <c r="V95" s="183">
        <f>SUMIFS('февраль 2025'!$G$4:$G$2441,'февраль 2025'!$D$4:$D$2441,$B95,'февраль 2025'!$J$4:$J$2441,V$1)</f>
        <v>0</v>
      </c>
      <c r="W95" s="183">
        <f>SUMIFS('февраль 2025'!$G$4:$G$2441,'февраль 2025'!$D$4:$D$2441,$B95,'февраль 2025'!$J$4:$J$2441,W$1)</f>
        <v>0</v>
      </c>
      <c r="X95" s="183">
        <f>SUMIFS('февраль 2025'!$G$4:$G$2441,'февраль 2025'!$D$4:$D$2441,$B95,'февраль 2025'!$J$4:$J$2441,X$1)</f>
        <v>0</v>
      </c>
      <c r="Y95" s="183">
        <f>SUMIFS('февраль 2025'!$G$4:$G$2441,'февраль 2025'!$D$4:$D$2441,$B95,'февраль 2025'!$J$4:$J$2441,Y$1)</f>
        <v>0</v>
      </c>
      <c r="Z95" s="183">
        <f>SUMIFS('февраль 2025'!$G$4:$G$2441,'февраль 2025'!$D$4:$D$2441,$B95,'февраль 2025'!$J$4:$J$2441,Z$1)</f>
        <v>0</v>
      </c>
      <c r="AA95" s="183">
        <f>SUMIFS('февраль 2025'!$G$4:$G$2441,'февраль 2025'!$D$4:$D$2441,$B95,'февраль 2025'!$J$4:$J$2441,AA$1)</f>
        <v>0</v>
      </c>
      <c r="AB95" s="183">
        <f>SUMIFS('февраль 2025'!$G$4:$G$2441,'февраль 2025'!$D$4:$D$2441,$B95,'февраль 2025'!$J$4:$J$2441,AB$1)</f>
        <v>0</v>
      </c>
      <c r="AC95" s="183">
        <f>SUMIFS('февраль 2025'!$G$4:$G$2441,'февраль 2025'!$D$4:$D$2441,$B95,'февраль 2025'!$J$4:$J$2441,AC$1)</f>
        <v>0</v>
      </c>
      <c r="AD95" s="183">
        <f>SUMIFS('февраль 2025'!$G$4:$G$2441,'февраль 2025'!$D$4:$D$2441,$B95,'февраль 2025'!$J$4:$J$2441,AD$1)</f>
        <v>0</v>
      </c>
      <c r="AE95" s="183">
        <f>SUMIFS('февраль 2025'!$G$4:$G$2441,'февраль 2025'!$D$4:$D$2441,$B95,'февраль 2025'!$J$4:$J$2441,AE$1)</f>
        <v>0</v>
      </c>
      <c r="AF95" s="183">
        <f>SUMIFS('февраль 2025'!$G$4:$G$2441,'февраль 2025'!$D$4:$D$2441,$B95,'февраль 2025'!$J$4:$J$2441,AF$1)</f>
        <v>0</v>
      </c>
      <c r="AG95" s="183">
        <f>SUMIFS('февраль 2025'!$G$4:$G$2441,'февраль 2025'!$D$4:$D$2441,$B95,'февраль 2025'!$J$4:$J$2441,AG$1)</f>
        <v>0</v>
      </c>
      <c r="AH95" s="183">
        <f>SUMIFS('февраль 2025'!$G$4:$G$2441,'февраль 2025'!$D$4:$D$2441,$B95,'февраль 2025'!$J$4:$J$2441,AH$1)</f>
        <v>0</v>
      </c>
      <c r="AI95" s="20">
        <f t="shared" si="1"/>
        <v>0</v>
      </c>
    </row>
    <row r="96" spans="2:35" ht="15" customHeight="1" x14ac:dyDescent="0.25">
      <c r="B96" s="88" t="s">
        <v>289</v>
      </c>
      <c r="C96" s="86">
        <v>20</v>
      </c>
      <c r="D96" s="183">
        <f>SUMIFS('февраль 2025'!$G$4:$G$2441,'февраль 2025'!$D$4:$D$2441,$B96,'февраль 2025'!$J$4:$J$2441,D$1)</f>
        <v>0</v>
      </c>
      <c r="E96" s="183">
        <f>SUMIFS('февраль 2025'!$G$4:$G$2441,'февраль 2025'!$D$4:$D$2441,$B96,'февраль 2025'!$J$4:$J$2441,E$1)</f>
        <v>0</v>
      </c>
      <c r="F96" s="183">
        <f>SUMIFS('февраль 2025'!$G$4:$G$2441,'февраль 2025'!$D$4:$D$2441,$B96,'февраль 2025'!$J$4:$J$2441,F$1)</f>
        <v>0</v>
      </c>
      <c r="G96" s="183">
        <f>SUMIFS('февраль 2025'!$G$4:$G$2441,'февраль 2025'!$D$4:$D$2441,$B96,'февраль 2025'!$J$4:$J$2441,G$1)</f>
        <v>0</v>
      </c>
      <c r="H96" s="183">
        <f>SUMIFS('февраль 2025'!$G$4:$G$2441,'февраль 2025'!$D$4:$D$2441,$B96,'февраль 2025'!$J$4:$J$2441,H$1)</f>
        <v>0</v>
      </c>
      <c r="I96" s="183">
        <f>SUMIFS('февраль 2025'!$G$4:$G$2441,'февраль 2025'!$D$4:$D$2441,$B96,'февраль 2025'!$J$4:$J$2441,I$1)</f>
        <v>0</v>
      </c>
      <c r="J96" s="183">
        <f>SUMIFS('февраль 2025'!$G$4:$G$2441,'февраль 2025'!$D$4:$D$2441,$B96,'февраль 2025'!$J$4:$J$2441,J$1)</f>
        <v>0</v>
      </c>
      <c r="K96" s="183">
        <f>SUMIFS('февраль 2025'!$G$4:$G$2441,'февраль 2025'!$D$4:$D$2441,$B96,'февраль 2025'!$J$4:$J$2441,K$1)</f>
        <v>0</v>
      </c>
      <c r="L96" s="183">
        <f>SUMIFS('февраль 2025'!$G$4:$G$2441,'февраль 2025'!$D$4:$D$2441,$B96,'февраль 2025'!$J$4:$J$2441,L$1)</f>
        <v>0</v>
      </c>
      <c r="M96" s="183">
        <f>SUMIFS('февраль 2025'!$G$4:$G$2441,'февраль 2025'!$D$4:$D$2441,$B96,'февраль 2025'!$J$4:$J$2441,M$1)</f>
        <v>0</v>
      </c>
      <c r="N96" s="183">
        <f>SUMIFS('февраль 2025'!$G$4:$G$2441,'февраль 2025'!$D$4:$D$2441,$B96,'февраль 2025'!$J$4:$J$2441,N$1)</f>
        <v>0</v>
      </c>
      <c r="O96" s="183">
        <f>SUMIFS('февраль 2025'!$G$4:$G$2441,'февраль 2025'!$D$4:$D$2441,$B96,'февраль 2025'!$J$4:$J$2441,O$1)</f>
        <v>0</v>
      </c>
      <c r="P96" s="183">
        <f>SUMIFS('февраль 2025'!$G$4:$G$2441,'февраль 2025'!$D$4:$D$2441,$B96,'февраль 2025'!$J$4:$J$2441,P$1)</f>
        <v>0</v>
      </c>
      <c r="Q96" s="183">
        <f>SUMIFS('февраль 2025'!$G$4:$G$2441,'февраль 2025'!$D$4:$D$2441,$B96,'февраль 2025'!$J$4:$J$2441,Q$1)</f>
        <v>0</v>
      </c>
      <c r="R96" s="183">
        <f>SUMIFS('февраль 2025'!$G$4:$G$2441,'февраль 2025'!$D$4:$D$2441,$B96,'февраль 2025'!$J$4:$J$2441,R$1)</f>
        <v>0</v>
      </c>
      <c r="S96" s="183">
        <f>SUMIFS('февраль 2025'!$G$4:$G$2441,'февраль 2025'!$D$4:$D$2441,$B96,'февраль 2025'!$J$4:$J$2441,S$1)</f>
        <v>0</v>
      </c>
      <c r="T96" s="183">
        <f>SUMIFS('февраль 2025'!$G$4:$G$2441,'февраль 2025'!$D$4:$D$2441,$B96,'февраль 2025'!$J$4:$J$2441,T$1)</f>
        <v>0</v>
      </c>
      <c r="U96" s="183">
        <f>SUMIFS('февраль 2025'!$G$4:$G$2441,'февраль 2025'!$D$4:$D$2441,$B96,'февраль 2025'!$J$4:$J$2441,U$1)</f>
        <v>0</v>
      </c>
      <c r="V96" s="183">
        <f>SUMIFS('февраль 2025'!$G$4:$G$2441,'февраль 2025'!$D$4:$D$2441,$B96,'февраль 2025'!$J$4:$J$2441,V$1)</f>
        <v>0</v>
      </c>
      <c r="W96" s="183">
        <f>SUMIFS('февраль 2025'!$G$4:$G$2441,'февраль 2025'!$D$4:$D$2441,$B96,'февраль 2025'!$J$4:$J$2441,W$1)</f>
        <v>0</v>
      </c>
      <c r="X96" s="183">
        <f>SUMIFS('февраль 2025'!$G$4:$G$2441,'февраль 2025'!$D$4:$D$2441,$B96,'февраль 2025'!$J$4:$J$2441,X$1)</f>
        <v>0</v>
      </c>
      <c r="Y96" s="183">
        <f>SUMIFS('февраль 2025'!$G$4:$G$2441,'февраль 2025'!$D$4:$D$2441,$B96,'февраль 2025'!$J$4:$J$2441,Y$1)</f>
        <v>0</v>
      </c>
      <c r="Z96" s="183">
        <f>SUMIFS('февраль 2025'!$G$4:$G$2441,'февраль 2025'!$D$4:$D$2441,$B96,'февраль 2025'!$J$4:$J$2441,Z$1)</f>
        <v>0</v>
      </c>
      <c r="AA96" s="183">
        <f>SUMIFS('февраль 2025'!$G$4:$G$2441,'февраль 2025'!$D$4:$D$2441,$B96,'февраль 2025'!$J$4:$J$2441,AA$1)</f>
        <v>105</v>
      </c>
      <c r="AB96" s="183">
        <f>SUMIFS('февраль 2025'!$G$4:$G$2441,'февраль 2025'!$D$4:$D$2441,$B96,'февраль 2025'!$J$4:$J$2441,AB$1)</f>
        <v>0</v>
      </c>
      <c r="AC96" s="183">
        <f>SUMIFS('февраль 2025'!$G$4:$G$2441,'февраль 2025'!$D$4:$D$2441,$B96,'февраль 2025'!$J$4:$J$2441,AC$1)</f>
        <v>0</v>
      </c>
      <c r="AD96" s="183">
        <f>SUMIFS('февраль 2025'!$G$4:$G$2441,'февраль 2025'!$D$4:$D$2441,$B96,'февраль 2025'!$J$4:$J$2441,AD$1)</f>
        <v>0</v>
      </c>
      <c r="AE96" s="183">
        <f>SUMIFS('февраль 2025'!$G$4:$G$2441,'февраль 2025'!$D$4:$D$2441,$B96,'февраль 2025'!$J$4:$J$2441,AE$1)</f>
        <v>0</v>
      </c>
      <c r="AF96" s="183">
        <f>SUMIFS('февраль 2025'!$G$4:$G$2441,'февраль 2025'!$D$4:$D$2441,$B96,'февраль 2025'!$J$4:$J$2441,AF$1)</f>
        <v>0</v>
      </c>
      <c r="AG96" s="183">
        <f>SUMIFS('февраль 2025'!$G$4:$G$2441,'февраль 2025'!$D$4:$D$2441,$B96,'февраль 2025'!$J$4:$J$2441,AG$1)</f>
        <v>0</v>
      </c>
      <c r="AH96" s="183">
        <f>SUMIFS('февраль 2025'!$G$4:$G$2441,'февраль 2025'!$D$4:$D$2441,$B96,'февраль 2025'!$J$4:$J$2441,AH$1)</f>
        <v>0</v>
      </c>
      <c r="AI96" s="20">
        <f t="shared" si="1"/>
        <v>105</v>
      </c>
    </row>
    <row r="97" spans="2:35" ht="15" customHeight="1" x14ac:dyDescent="0.25">
      <c r="B97" s="88" t="s">
        <v>315</v>
      </c>
      <c r="C97" s="86">
        <v>25</v>
      </c>
      <c r="D97" s="183">
        <f>SUMIFS('февраль 2025'!$G$4:$G$2441,'февраль 2025'!$D$4:$D$2441,$B97,'февраль 2025'!$J$4:$J$2441,D$1)</f>
        <v>0</v>
      </c>
      <c r="E97" s="183">
        <f>SUMIFS('февраль 2025'!$G$4:$G$2441,'февраль 2025'!$D$4:$D$2441,$B97,'февраль 2025'!$J$4:$J$2441,E$1)</f>
        <v>0</v>
      </c>
      <c r="F97" s="183">
        <f>SUMIFS('февраль 2025'!$G$4:$G$2441,'февраль 2025'!$D$4:$D$2441,$B97,'февраль 2025'!$J$4:$J$2441,F$1)</f>
        <v>0</v>
      </c>
      <c r="G97" s="183">
        <f>SUMIFS('февраль 2025'!$G$4:$G$2441,'февраль 2025'!$D$4:$D$2441,$B97,'февраль 2025'!$J$4:$J$2441,G$1)</f>
        <v>0</v>
      </c>
      <c r="H97" s="183">
        <f>SUMIFS('февраль 2025'!$G$4:$G$2441,'февраль 2025'!$D$4:$D$2441,$B97,'февраль 2025'!$J$4:$J$2441,H$1)</f>
        <v>0</v>
      </c>
      <c r="I97" s="183">
        <f>SUMIFS('февраль 2025'!$G$4:$G$2441,'февраль 2025'!$D$4:$D$2441,$B97,'февраль 2025'!$J$4:$J$2441,I$1)</f>
        <v>0</v>
      </c>
      <c r="J97" s="183">
        <f>SUMIFS('февраль 2025'!$G$4:$G$2441,'февраль 2025'!$D$4:$D$2441,$B97,'февраль 2025'!$J$4:$J$2441,J$1)</f>
        <v>0</v>
      </c>
      <c r="K97" s="183">
        <f>SUMIFS('февраль 2025'!$G$4:$G$2441,'февраль 2025'!$D$4:$D$2441,$B97,'февраль 2025'!$J$4:$J$2441,K$1)</f>
        <v>0</v>
      </c>
      <c r="L97" s="183">
        <f>SUMIFS('февраль 2025'!$G$4:$G$2441,'февраль 2025'!$D$4:$D$2441,$B97,'февраль 2025'!$J$4:$J$2441,L$1)</f>
        <v>0</v>
      </c>
      <c r="M97" s="183">
        <f>SUMIFS('февраль 2025'!$G$4:$G$2441,'февраль 2025'!$D$4:$D$2441,$B97,'февраль 2025'!$J$4:$J$2441,M$1)</f>
        <v>0</v>
      </c>
      <c r="N97" s="183">
        <f>SUMIFS('февраль 2025'!$G$4:$G$2441,'февраль 2025'!$D$4:$D$2441,$B97,'февраль 2025'!$J$4:$J$2441,N$1)</f>
        <v>0</v>
      </c>
      <c r="O97" s="183">
        <f>SUMIFS('февраль 2025'!$G$4:$G$2441,'февраль 2025'!$D$4:$D$2441,$B97,'февраль 2025'!$J$4:$J$2441,O$1)</f>
        <v>0</v>
      </c>
      <c r="P97" s="183">
        <f>SUMIFS('февраль 2025'!$G$4:$G$2441,'февраль 2025'!$D$4:$D$2441,$B97,'февраль 2025'!$J$4:$J$2441,P$1)</f>
        <v>0</v>
      </c>
      <c r="Q97" s="183">
        <f>SUMIFS('февраль 2025'!$G$4:$G$2441,'февраль 2025'!$D$4:$D$2441,$B97,'февраль 2025'!$J$4:$J$2441,Q$1)</f>
        <v>0</v>
      </c>
      <c r="R97" s="183">
        <f>SUMIFS('февраль 2025'!$G$4:$G$2441,'февраль 2025'!$D$4:$D$2441,$B97,'февраль 2025'!$J$4:$J$2441,R$1)</f>
        <v>0</v>
      </c>
      <c r="S97" s="183">
        <f>SUMIFS('февраль 2025'!$G$4:$G$2441,'февраль 2025'!$D$4:$D$2441,$B97,'февраль 2025'!$J$4:$J$2441,S$1)</f>
        <v>0</v>
      </c>
      <c r="T97" s="183">
        <f>SUMIFS('февраль 2025'!$G$4:$G$2441,'февраль 2025'!$D$4:$D$2441,$B97,'февраль 2025'!$J$4:$J$2441,T$1)</f>
        <v>0</v>
      </c>
      <c r="U97" s="183">
        <f>SUMIFS('февраль 2025'!$G$4:$G$2441,'февраль 2025'!$D$4:$D$2441,$B97,'февраль 2025'!$J$4:$J$2441,U$1)</f>
        <v>0</v>
      </c>
      <c r="V97" s="183">
        <f>SUMIFS('февраль 2025'!$G$4:$G$2441,'февраль 2025'!$D$4:$D$2441,$B97,'февраль 2025'!$J$4:$J$2441,V$1)</f>
        <v>0</v>
      </c>
      <c r="W97" s="183">
        <f>SUMIFS('февраль 2025'!$G$4:$G$2441,'февраль 2025'!$D$4:$D$2441,$B97,'февраль 2025'!$J$4:$J$2441,W$1)</f>
        <v>0</v>
      </c>
      <c r="X97" s="183">
        <f>SUMIFS('февраль 2025'!$G$4:$G$2441,'февраль 2025'!$D$4:$D$2441,$B97,'февраль 2025'!$J$4:$J$2441,X$1)</f>
        <v>0</v>
      </c>
      <c r="Y97" s="183">
        <f>SUMIFS('февраль 2025'!$G$4:$G$2441,'февраль 2025'!$D$4:$D$2441,$B97,'февраль 2025'!$J$4:$J$2441,Y$1)</f>
        <v>0</v>
      </c>
      <c r="Z97" s="183">
        <f>SUMIFS('февраль 2025'!$G$4:$G$2441,'февраль 2025'!$D$4:$D$2441,$B97,'февраль 2025'!$J$4:$J$2441,Z$1)</f>
        <v>0</v>
      </c>
      <c r="AA97" s="183">
        <f>SUMIFS('февраль 2025'!$G$4:$G$2441,'февраль 2025'!$D$4:$D$2441,$B97,'февраль 2025'!$J$4:$J$2441,AA$1)</f>
        <v>0</v>
      </c>
      <c r="AB97" s="183">
        <f>SUMIFS('февраль 2025'!$G$4:$G$2441,'февраль 2025'!$D$4:$D$2441,$B97,'февраль 2025'!$J$4:$J$2441,AB$1)</f>
        <v>0</v>
      </c>
      <c r="AC97" s="183">
        <f>SUMIFS('февраль 2025'!$G$4:$G$2441,'февраль 2025'!$D$4:$D$2441,$B97,'февраль 2025'!$J$4:$J$2441,AC$1)</f>
        <v>0</v>
      </c>
      <c r="AD97" s="183">
        <f>SUMIFS('февраль 2025'!$G$4:$G$2441,'февраль 2025'!$D$4:$D$2441,$B97,'февраль 2025'!$J$4:$J$2441,AD$1)</f>
        <v>0</v>
      </c>
      <c r="AE97" s="183">
        <f>SUMIFS('февраль 2025'!$G$4:$G$2441,'февраль 2025'!$D$4:$D$2441,$B97,'февраль 2025'!$J$4:$J$2441,AE$1)</f>
        <v>0</v>
      </c>
      <c r="AF97" s="183">
        <f>SUMIFS('февраль 2025'!$G$4:$G$2441,'февраль 2025'!$D$4:$D$2441,$B97,'февраль 2025'!$J$4:$J$2441,AF$1)</f>
        <v>0</v>
      </c>
      <c r="AG97" s="183">
        <f>SUMIFS('февраль 2025'!$G$4:$G$2441,'февраль 2025'!$D$4:$D$2441,$B97,'февраль 2025'!$J$4:$J$2441,AG$1)</f>
        <v>0</v>
      </c>
      <c r="AH97" s="183">
        <f>SUMIFS('февраль 2025'!$G$4:$G$2441,'февраль 2025'!$D$4:$D$2441,$B97,'февраль 2025'!$J$4:$J$2441,AH$1)</f>
        <v>0</v>
      </c>
      <c r="AI97" s="20">
        <f t="shared" si="1"/>
        <v>0</v>
      </c>
    </row>
    <row r="98" spans="2:35" ht="15" customHeight="1" x14ac:dyDescent="0.25">
      <c r="B98" s="88" t="s">
        <v>385</v>
      </c>
      <c r="C98" s="86">
        <v>28</v>
      </c>
      <c r="D98" s="183">
        <f>SUMIFS('февраль 2025'!$G$4:$G$2441,'февраль 2025'!$D$4:$D$2441,$B98,'февраль 2025'!$J$4:$J$2441,D$1)</f>
        <v>0</v>
      </c>
      <c r="E98" s="183">
        <f>SUMIFS('февраль 2025'!$G$4:$G$2441,'февраль 2025'!$D$4:$D$2441,$B98,'февраль 2025'!$J$4:$J$2441,E$1)</f>
        <v>0</v>
      </c>
      <c r="F98" s="183">
        <f>SUMIFS('февраль 2025'!$G$4:$G$2441,'февраль 2025'!$D$4:$D$2441,$B98,'февраль 2025'!$J$4:$J$2441,F$1)</f>
        <v>0</v>
      </c>
      <c r="G98" s="183">
        <f>SUMIFS('февраль 2025'!$G$4:$G$2441,'февраль 2025'!$D$4:$D$2441,$B98,'февраль 2025'!$J$4:$J$2441,G$1)</f>
        <v>0</v>
      </c>
      <c r="H98" s="183">
        <f>SUMIFS('февраль 2025'!$G$4:$G$2441,'февраль 2025'!$D$4:$D$2441,$B98,'февраль 2025'!$J$4:$J$2441,H$1)</f>
        <v>0</v>
      </c>
      <c r="I98" s="183">
        <f>SUMIFS('февраль 2025'!$G$4:$G$2441,'февраль 2025'!$D$4:$D$2441,$B98,'февраль 2025'!$J$4:$J$2441,I$1)</f>
        <v>0</v>
      </c>
      <c r="J98" s="183">
        <f>SUMIFS('февраль 2025'!$G$4:$G$2441,'февраль 2025'!$D$4:$D$2441,$B98,'февраль 2025'!$J$4:$J$2441,J$1)</f>
        <v>0</v>
      </c>
      <c r="K98" s="183">
        <f>SUMIFS('февраль 2025'!$G$4:$G$2441,'февраль 2025'!$D$4:$D$2441,$B98,'февраль 2025'!$J$4:$J$2441,K$1)</f>
        <v>0</v>
      </c>
      <c r="L98" s="183">
        <f>SUMIFS('февраль 2025'!$G$4:$G$2441,'февраль 2025'!$D$4:$D$2441,$B98,'февраль 2025'!$J$4:$J$2441,L$1)</f>
        <v>0</v>
      </c>
      <c r="M98" s="183">
        <f>SUMIFS('февраль 2025'!$G$4:$G$2441,'февраль 2025'!$D$4:$D$2441,$B98,'февраль 2025'!$J$4:$J$2441,M$1)</f>
        <v>0</v>
      </c>
      <c r="N98" s="183">
        <f>SUMIFS('февраль 2025'!$G$4:$G$2441,'февраль 2025'!$D$4:$D$2441,$B98,'февраль 2025'!$J$4:$J$2441,N$1)</f>
        <v>0</v>
      </c>
      <c r="O98" s="183">
        <f>SUMIFS('февраль 2025'!$G$4:$G$2441,'февраль 2025'!$D$4:$D$2441,$B98,'февраль 2025'!$J$4:$J$2441,O$1)</f>
        <v>0</v>
      </c>
      <c r="P98" s="183">
        <f>SUMIFS('февраль 2025'!$G$4:$G$2441,'февраль 2025'!$D$4:$D$2441,$B98,'февраль 2025'!$J$4:$J$2441,P$1)</f>
        <v>0</v>
      </c>
      <c r="Q98" s="183">
        <f>SUMIFS('февраль 2025'!$G$4:$G$2441,'февраль 2025'!$D$4:$D$2441,$B98,'февраль 2025'!$J$4:$J$2441,Q$1)</f>
        <v>0</v>
      </c>
      <c r="R98" s="183">
        <f>SUMIFS('февраль 2025'!$G$4:$G$2441,'февраль 2025'!$D$4:$D$2441,$B98,'февраль 2025'!$J$4:$J$2441,R$1)</f>
        <v>0</v>
      </c>
      <c r="S98" s="183">
        <f>SUMIFS('февраль 2025'!$G$4:$G$2441,'февраль 2025'!$D$4:$D$2441,$B98,'февраль 2025'!$J$4:$J$2441,S$1)</f>
        <v>0</v>
      </c>
      <c r="T98" s="183">
        <f>SUMIFS('февраль 2025'!$G$4:$G$2441,'февраль 2025'!$D$4:$D$2441,$B98,'февраль 2025'!$J$4:$J$2441,T$1)</f>
        <v>0</v>
      </c>
      <c r="U98" s="183">
        <f>SUMIFS('февраль 2025'!$G$4:$G$2441,'февраль 2025'!$D$4:$D$2441,$B98,'февраль 2025'!$J$4:$J$2441,U$1)</f>
        <v>0</v>
      </c>
      <c r="V98" s="183">
        <f>SUMIFS('февраль 2025'!$G$4:$G$2441,'февраль 2025'!$D$4:$D$2441,$B98,'февраль 2025'!$J$4:$J$2441,V$1)</f>
        <v>0</v>
      </c>
      <c r="W98" s="183">
        <f>SUMIFS('февраль 2025'!$G$4:$G$2441,'февраль 2025'!$D$4:$D$2441,$B98,'февраль 2025'!$J$4:$J$2441,W$1)</f>
        <v>0</v>
      </c>
      <c r="X98" s="183">
        <f>SUMIFS('февраль 2025'!$G$4:$G$2441,'февраль 2025'!$D$4:$D$2441,$B98,'февраль 2025'!$J$4:$J$2441,X$1)</f>
        <v>0</v>
      </c>
      <c r="Y98" s="183">
        <f>SUMIFS('февраль 2025'!$G$4:$G$2441,'февраль 2025'!$D$4:$D$2441,$B98,'февраль 2025'!$J$4:$J$2441,Y$1)</f>
        <v>0</v>
      </c>
      <c r="Z98" s="183">
        <f>SUMIFS('февраль 2025'!$G$4:$G$2441,'февраль 2025'!$D$4:$D$2441,$B98,'февраль 2025'!$J$4:$J$2441,Z$1)</f>
        <v>0</v>
      </c>
      <c r="AA98" s="183">
        <f>SUMIFS('февраль 2025'!$G$4:$G$2441,'февраль 2025'!$D$4:$D$2441,$B98,'февраль 2025'!$J$4:$J$2441,AA$1)</f>
        <v>0</v>
      </c>
      <c r="AB98" s="183">
        <f>SUMIFS('февраль 2025'!$G$4:$G$2441,'февраль 2025'!$D$4:$D$2441,$B98,'февраль 2025'!$J$4:$J$2441,AB$1)</f>
        <v>0</v>
      </c>
      <c r="AC98" s="183">
        <f>SUMIFS('февраль 2025'!$G$4:$G$2441,'февраль 2025'!$D$4:$D$2441,$B98,'февраль 2025'!$J$4:$J$2441,AC$1)</f>
        <v>0</v>
      </c>
      <c r="AD98" s="183">
        <f>SUMIFS('февраль 2025'!$G$4:$G$2441,'февраль 2025'!$D$4:$D$2441,$B98,'февраль 2025'!$J$4:$J$2441,AD$1)</f>
        <v>0</v>
      </c>
      <c r="AE98" s="183">
        <f>SUMIFS('февраль 2025'!$G$4:$G$2441,'февраль 2025'!$D$4:$D$2441,$B98,'февраль 2025'!$J$4:$J$2441,AE$1)</f>
        <v>0</v>
      </c>
      <c r="AF98" s="183">
        <f>SUMIFS('февраль 2025'!$G$4:$G$2441,'февраль 2025'!$D$4:$D$2441,$B98,'февраль 2025'!$J$4:$J$2441,AF$1)</f>
        <v>0</v>
      </c>
      <c r="AG98" s="183">
        <f>SUMIFS('февраль 2025'!$G$4:$G$2441,'февраль 2025'!$D$4:$D$2441,$B98,'февраль 2025'!$J$4:$J$2441,AG$1)</f>
        <v>0</v>
      </c>
      <c r="AH98" s="183">
        <f>SUMIFS('февраль 2025'!$G$4:$G$2441,'февраль 2025'!$D$4:$D$2441,$B98,'февраль 2025'!$J$4:$J$2441,AH$1)</f>
        <v>0</v>
      </c>
      <c r="AI98" s="20">
        <f t="shared" si="1"/>
        <v>0</v>
      </c>
    </row>
    <row r="99" spans="2:35" ht="15" customHeight="1" x14ac:dyDescent="0.25">
      <c r="B99" s="88" t="s">
        <v>193</v>
      </c>
      <c r="C99" s="86">
        <v>180</v>
      </c>
      <c r="D99" s="183">
        <f>SUMIFS('февраль 2025'!$G$4:$G$2441,'февраль 2025'!$D$4:$D$2441,$B99,'февраль 2025'!$J$4:$J$2441,D$1)</f>
        <v>0</v>
      </c>
      <c r="E99" s="183">
        <f>SUMIFS('февраль 2025'!$G$4:$G$2441,'февраль 2025'!$D$4:$D$2441,$B99,'февраль 2025'!$J$4:$J$2441,E$1)</f>
        <v>0</v>
      </c>
      <c r="F99" s="183">
        <f>SUMIFS('февраль 2025'!$G$4:$G$2441,'февраль 2025'!$D$4:$D$2441,$B99,'февраль 2025'!$J$4:$J$2441,F$1)</f>
        <v>0</v>
      </c>
      <c r="G99" s="183">
        <f>SUMIFS('февраль 2025'!$G$4:$G$2441,'февраль 2025'!$D$4:$D$2441,$B99,'февраль 2025'!$J$4:$J$2441,G$1)</f>
        <v>0</v>
      </c>
      <c r="H99" s="183">
        <f>SUMIFS('февраль 2025'!$G$4:$G$2441,'февраль 2025'!$D$4:$D$2441,$B99,'февраль 2025'!$J$4:$J$2441,H$1)</f>
        <v>0</v>
      </c>
      <c r="I99" s="183">
        <f>SUMIFS('февраль 2025'!$G$4:$G$2441,'февраль 2025'!$D$4:$D$2441,$B99,'февраль 2025'!$J$4:$J$2441,I$1)</f>
        <v>0</v>
      </c>
      <c r="J99" s="183">
        <f>SUMIFS('февраль 2025'!$G$4:$G$2441,'февраль 2025'!$D$4:$D$2441,$B99,'февраль 2025'!$J$4:$J$2441,J$1)</f>
        <v>0</v>
      </c>
      <c r="K99" s="183">
        <f>SUMIFS('февраль 2025'!$G$4:$G$2441,'февраль 2025'!$D$4:$D$2441,$B99,'февраль 2025'!$J$4:$J$2441,K$1)</f>
        <v>0</v>
      </c>
      <c r="L99" s="183">
        <f>SUMIFS('февраль 2025'!$G$4:$G$2441,'февраль 2025'!$D$4:$D$2441,$B99,'февраль 2025'!$J$4:$J$2441,L$1)</f>
        <v>0</v>
      </c>
      <c r="M99" s="183">
        <f>SUMIFS('февраль 2025'!$G$4:$G$2441,'февраль 2025'!$D$4:$D$2441,$B99,'февраль 2025'!$J$4:$J$2441,M$1)</f>
        <v>0</v>
      </c>
      <c r="N99" s="183">
        <f>SUMIFS('февраль 2025'!$G$4:$G$2441,'февраль 2025'!$D$4:$D$2441,$B99,'февраль 2025'!$J$4:$J$2441,N$1)</f>
        <v>0</v>
      </c>
      <c r="O99" s="183">
        <f>SUMIFS('февраль 2025'!$G$4:$G$2441,'февраль 2025'!$D$4:$D$2441,$B99,'февраль 2025'!$J$4:$J$2441,O$1)</f>
        <v>0</v>
      </c>
      <c r="P99" s="183">
        <f>SUMIFS('февраль 2025'!$G$4:$G$2441,'февраль 2025'!$D$4:$D$2441,$B99,'февраль 2025'!$J$4:$J$2441,P$1)</f>
        <v>0</v>
      </c>
      <c r="Q99" s="183">
        <f>SUMIFS('февраль 2025'!$G$4:$G$2441,'февраль 2025'!$D$4:$D$2441,$B99,'февраль 2025'!$J$4:$J$2441,Q$1)</f>
        <v>0</v>
      </c>
      <c r="R99" s="183">
        <f>SUMIFS('февраль 2025'!$G$4:$G$2441,'февраль 2025'!$D$4:$D$2441,$B99,'февраль 2025'!$J$4:$J$2441,R$1)</f>
        <v>0</v>
      </c>
      <c r="S99" s="183">
        <f>SUMIFS('февраль 2025'!$G$4:$G$2441,'февраль 2025'!$D$4:$D$2441,$B99,'февраль 2025'!$J$4:$J$2441,S$1)</f>
        <v>0</v>
      </c>
      <c r="T99" s="183">
        <f>SUMIFS('февраль 2025'!$G$4:$G$2441,'февраль 2025'!$D$4:$D$2441,$B99,'февраль 2025'!$J$4:$J$2441,T$1)</f>
        <v>0</v>
      </c>
      <c r="U99" s="183">
        <f>SUMIFS('февраль 2025'!$G$4:$G$2441,'февраль 2025'!$D$4:$D$2441,$B99,'февраль 2025'!$J$4:$J$2441,U$1)</f>
        <v>0</v>
      </c>
      <c r="V99" s="183">
        <f>SUMIFS('февраль 2025'!$G$4:$G$2441,'февраль 2025'!$D$4:$D$2441,$B99,'февраль 2025'!$J$4:$J$2441,V$1)</f>
        <v>0</v>
      </c>
      <c r="W99" s="183">
        <f>SUMIFS('февраль 2025'!$G$4:$G$2441,'февраль 2025'!$D$4:$D$2441,$B99,'февраль 2025'!$J$4:$J$2441,W$1)</f>
        <v>0</v>
      </c>
      <c r="X99" s="183">
        <f>SUMIFS('февраль 2025'!$G$4:$G$2441,'февраль 2025'!$D$4:$D$2441,$B99,'февраль 2025'!$J$4:$J$2441,X$1)</f>
        <v>0</v>
      </c>
      <c r="Y99" s="183">
        <f>SUMIFS('февраль 2025'!$G$4:$G$2441,'февраль 2025'!$D$4:$D$2441,$B99,'февраль 2025'!$J$4:$J$2441,Y$1)</f>
        <v>0</v>
      </c>
      <c r="Z99" s="183">
        <f>SUMIFS('февраль 2025'!$G$4:$G$2441,'февраль 2025'!$D$4:$D$2441,$B99,'февраль 2025'!$J$4:$J$2441,Z$1)</f>
        <v>0</v>
      </c>
      <c r="AA99" s="183">
        <f>SUMIFS('февраль 2025'!$G$4:$G$2441,'февраль 2025'!$D$4:$D$2441,$B99,'февраль 2025'!$J$4:$J$2441,AA$1)</f>
        <v>0</v>
      </c>
      <c r="AB99" s="183">
        <f>SUMIFS('февраль 2025'!$G$4:$G$2441,'февраль 2025'!$D$4:$D$2441,$B99,'февраль 2025'!$J$4:$J$2441,AB$1)</f>
        <v>0</v>
      </c>
      <c r="AC99" s="183">
        <f>SUMIFS('февраль 2025'!$G$4:$G$2441,'февраль 2025'!$D$4:$D$2441,$B99,'февраль 2025'!$J$4:$J$2441,AC$1)</f>
        <v>0</v>
      </c>
      <c r="AD99" s="183">
        <f>SUMIFS('февраль 2025'!$G$4:$G$2441,'февраль 2025'!$D$4:$D$2441,$B99,'февраль 2025'!$J$4:$J$2441,AD$1)</f>
        <v>0</v>
      </c>
      <c r="AE99" s="183">
        <f>SUMIFS('февраль 2025'!$G$4:$G$2441,'февраль 2025'!$D$4:$D$2441,$B99,'февраль 2025'!$J$4:$J$2441,AE$1)</f>
        <v>0</v>
      </c>
      <c r="AF99" s="183">
        <f>SUMIFS('февраль 2025'!$G$4:$G$2441,'февраль 2025'!$D$4:$D$2441,$B99,'февраль 2025'!$J$4:$J$2441,AF$1)</f>
        <v>0</v>
      </c>
      <c r="AG99" s="183">
        <f>SUMIFS('февраль 2025'!$G$4:$G$2441,'февраль 2025'!$D$4:$D$2441,$B99,'февраль 2025'!$J$4:$J$2441,AG$1)</f>
        <v>0</v>
      </c>
      <c r="AH99" s="183">
        <f>SUMIFS('февраль 2025'!$G$4:$G$2441,'февраль 2025'!$D$4:$D$2441,$B99,'февраль 2025'!$J$4:$J$2441,AH$1)</f>
        <v>0</v>
      </c>
      <c r="AI99" s="20">
        <f t="shared" si="1"/>
        <v>0</v>
      </c>
    </row>
    <row r="100" spans="2:35" ht="15" customHeight="1" x14ac:dyDescent="0.25">
      <c r="B100" s="84" t="s">
        <v>194</v>
      </c>
      <c r="C100" s="83">
        <v>200</v>
      </c>
      <c r="D100" s="183">
        <f>SUMIFS('февраль 2025'!$G$4:$G$2441,'февраль 2025'!$D$4:$D$2441,$B100,'февраль 2025'!$J$4:$J$2441,D$1)</f>
        <v>0</v>
      </c>
      <c r="E100" s="183">
        <f>SUMIFS('февраль 2025'!$G$4:$G$2441,'февраль 2025'!$D$4:$D$2441,$B100,'февраль 2025'!$J$4:$J$2441,E$1)</f>
        <v>0</v>
      </c>
      <c r="F100" s="183">
        <f>SUMIFS('февраль 2025'!$G$4:$G$2441,'февраль 2025'!$D$4:$D$2441,$B100,'февраль 2025'!$J$4:$J$2441,F$1)</f>
        <v>0</v>
      </c>
      <c r="G100" s="183">
        <f>SUMIFS('февраль 2025'!$G$4:$G$2441,'февраль 2025'!$D$4:$D$2441,$B100,'февраль 2025'!$J$4:$J$2441,G$1)</f>
        <v>0</v>
      </c>
      <c r="H100" s="183">
        <f>SUMIFS('февраль 2025'!$G$4:$G$2441,'февраль 2025'!$D$4:$D$2441,$B100,'февраль 2025'!$J$4:$J$2441,H$1)</f>
        <v>0</v>
      </c>
      <c r="I100" s="183">
        <f>SUMIFS('февраль 2025'!$G$4:$G$2441,'февраль 2025'!$D$4:$D$2441,$B100,'февраль 2025'!$J$4:$J$2441,I$1)</f>
        <v>0</v>
      </c>
      <c r="J100" s="183">
        <f>SUMIFS('февраль 2025'!$G$4:$G$2441,'февраль 2025'!$D$4:$D$2441,$B100,'февраль 2025'!$J$4:$J$2441,J$1)</f>
        <v>0</v>
      </c>
      <c r="K100" s="183">
        <f>SUMIFS('февраль 2025'!$G$4:$G$2441,'февраль 2025'!$D$4:$D$2441,$B100,'февраль 2025'!$J$4:$J$2441,K$1)</f>
        <v>0</v>
      </c>
      <c r="L100" s="183">
        <f>SUMIFS('февраль 2025'!$G$4:$G$2441,'февраль 2025'!$D$4:$D$2441,$B100,'февраль 2025'!$J$4:$J$2441,L$1)</f>
        <v>0</v>
      </c>
      <c r="M100" s="183">
        <f>SUMIFS('февраль 2025'!$G$4:$G$2441,'февраль 2025'!$D$4:$D$2441,$B100,'февраль 2025'!$J$4:$J$2441,M$1)</f>
        <v>0</v>
      </c>
      <c r="N100" s="183">
        <f>SUMIFS('февраль 2025'!$G$4:$G$2441,'февраль 2025'!$D$4:$D$2441,$B100,'февраль 2025'!$J$4:$J$2441,N$1)</f>
        <v>0</v>
      </c>
      <c r="O100" s="183">
        <f>SUMIFS('февраль 2025'!$G$4:$G$2441,'февраль 2025'!$D$4:$D$2441,$B100,'февраль 2025'!$J$4:$J$2441,O$1)</f>
        <v>0</v>
      </c>
      <c r="P100" s="183">
        <f>SUMIFS('февраль 2025'!$G$4:$G$2441,'февраль 2025'!$D$4:$D$2441,$B100,'февраль 2025'!$J$4:$J$2441,P$1)</f>
        <v>0</v>
      </c>
      <c r="Q100" s="183">
        <f>SUMIFS('февраль 2025'!$G$4:$G$2441,'февраль 2025'!$D$4:$D$2441,$B100,'февраль 2025'!$J$4:$J$2441,Q$1)</f>
        <v>0</v>
      </c>
      <c r="R100" s="183">
        <f>SUMIFS('февраль 2025'!$G$4:$G$2441,'февраль 2025'!$D$4:$D$2441,$B100,'февраль 2025'!$J$4:$J$2441,R$1)</f>
        <v>0</v>
      </c>
      <c r="S100" s="183">
        <f>SUMIFS('февраль 2025'!$G$4:$G$2441,'февраль 2025'!$D$4:$D$2441,$B100,'февраль 2025'!$J$4:$J$2441,S$1)</f>
        <v>0</v>
      </c>
      <c r="T100" s="183">
        <f>SUMIFS('февраль 2025'!$G$4:$G$2441,'февраль 2025'!$D$4:$D$2441,$B100,'февраль 2025'!$J$4:$J$2441,T$1)</f>
        <v>0</v>
      </c>
      <c r="U100" s="183">
        <f>SUMIFS('февраль 2025'!$G$4:$G$2441,'февраль 2025'!$D$4:$D$2441,$B100,'февраль 2025'!$J$4:$J$2441,U$1)</f>
        <v>0</v>
      </c>
      <c r="V100" s="183">
        <f>SUMIFS('февраль 2025'!$G$4:$G$2441,'февраль 2025'!$D$4:$D$2441,$B100,'февраль 2025'!$J$4:$J$2441,V$1)</f>
        <v>0</v>
      </c>
      <c r="W100" s="183">
        <f>SUMIFS('февраль 2025'!$G$4:$G$2441,'февраль 2025'!$D$4:$D$2441,$B100,'февраль 2025'!$J$4:$J$2441,W$1)</f>
        <v>0</v>
      </c>
      <c r="X100" s="183">
        <f>SUMIFS('февраль 2025'!$G$4:$G$2441,'февраль 2025'!$D$4:$D$2441,$B100,'февраль 2025'!$J$4:$J$2441,X$1)</f>
        <v>0</v>
      </c>
      <c r="Y100" s="183">
        <f>SUMIFS('февраль 2025'!$G$4:$G$2441,'февраль 2025'!$D$4:$D$2441,$B100,'февраль 2025'!$J$4:$J$2441,Y$1)</f>
        <v>0</v>
      </c>
      <c r="Z100" s="183">
        <f>SUMIFS('февраль 2025'!$G$4:$G$2441,'февраль 2025'!$D$4:$D$2441,$B100,'февраль 2025'!$J$4:$J$2441,Z$1)</f>
        <v>0</v>
      </c>
      <c r="AA100" s="183">
        <f>SUMIFS('февраль 2025'!$G$4:$G$2441,'февраль 2025'!$D$4:$D$2441,$B100,'февраль 2025'!$J$4:$J$2441,AA$1)</f>
        <v>0</v>
      </c>
      <c r="AB100" s="183">
        <f>SUMIFS('февраль 2025'!$G$4:$G$2441,'февраль 2025'!$D$4:$D$2441,$B100,'февраль 2025'!$J$4:$J$2441,AB$1)</f>
        <v>0</v>
      </c>
      <c r="AC100" s="183">
        <f>SUMIFS('февраль 2025'!$G$4:$G$2441,'февраль 2025'!$D$4:$D$2441,$B100,'февраль 2025'!$J$4:$J$2441,AC$1)</f>
        <v>8</v>
      </c>
      <c r="AD100" s="183">
        <f>SUMIFS('февраль 2025'!$G$4:$G$2441,'февраль 2025'!$D$4:$D$2441,$B100,'февраль 2025'!$J$4:$J$2441,AD$1)</f>
        <v>0</v>
      </c>
      <c r="AE100" s="183">
        <f>SUMIFS('февраль 2025'!$G$4:$G$2441,'февраль 2025'!$D$4:$D$2441,$B100,'февраль 2025'!$J$4:$J$2441,AE$1)</f>
        <v>0</v>
      </c>
      <c r="AF100" s="183">
        <f>SUMIFS('февраль 2025'!$G$4:$G$2441,'февраль 2025'!$D$4:$D$2441,$B100,'февраль 2025'!$J$4:$J$2441,AF$1)</f>
        <v>0</v>
      </c>
      <c r="AG100" s="183">
        <f>SUMIFS('февраль 2025'!$G$4:$G$2441,'февраль 2025'!$D$4:$D$2441,$B100,'февраль 2025'!$J$4:$J$2441,AG$1)</f>
        <v>0</v>
      </c>
      <c r="AH100" s="183">
        <f>SUMIFS('февраль 2025'!$G$4:$G$2441,'февраль 2025'!$D$4:$D$2441,$B100,'февраль 2025'!$J$4:$J$2441,AH$1)</f>
        <v>0</v>
      </c>
      <c r="AI100" s="20">
        <f t="shared" si="1"/>
        <v>8</v>
      </c>
    </row>
    <row r="101" spans="2:35" ht="15" customHeight="1" x14ac:dyDescent="0.25">
      <c r="B101" s="87" t="s">
        <v>169</v>
      </c>
      <c r="C101" s="86">
        <v>180</v>
      </c>
      <c r="D101" s="183">
        <f>SUMIFS('февраль 2025'!$G$4:$G$2441,'февраль 2025'!$D$4:$D$2441,$B101,'февраль 2025'!$J$4:$J$2441,D$1)</f>
        <v>0</v>
      </c>
      <c r="E101" s="183">
        <f>SUMIFS('февраль 2025'!$G$4:$G$2441,'февраль 2025'!$D$4:$D$2441,$B101,'февраль 2025'!$J$4:$J$2441,E$1)</f>
        <v>0</v>
      </c>
      <c r="F101" s="183">
        <f>SUMIFS('февраль 2025'!$G$4:$G$2441,'февраль 2025'!$D$4:$D$2441,$B101,'февраль 2025'!$J$4:$J$2441,F$1)</f>
        <v>0</v>
      </c>
      <c r="G101" s="183">
        <f>SUMIFS('февраль 2025'!$G$4:$G$2441,'февраль 2025'!$D$4:$D$2441,$B101,'февраль 2025'!$J$4:$J$2441,G$1)</f>
        <v>0</v>
      </c>
      <c r="H101" s="183">
        <f>SUMIFS('февраль 2025'!$G$4:$G$2441,'февраль 2025'!$D$4:$D$2441,$B101,'февраль 2025'!$J$4:$J$2441,H$1)</f>
        <v>0</v>
      </c>
      <c r="I101" s="183">
        <f>SUMIFS('февраль 2025'!$G$4:$G$2441,'февраль 2025'!$D$4:$D$2441,$B101,'февраль 2025'!$J$4:$J$2441,I$1)</f>
        <v>0</v>
      </c>
      <c r="J101" s="183">
        <f>SUMIFS('февраль 2025'!$G$4:$G$2441,'февраль 2025'!$D$4:$D$2441,$B101,'февраль 2025'!$J$4:$J$2441,J$1)</f>
        <v>0</v>
      </c>
      <c r="K101" s="183">
        <f>SUMIFS('февраль 2025'!$G$4:$G$2441,'февраль 2025'!$D$4:$D$2441,$B101,'февраль 2025'!$J$4:$J$2441,K$1)</f>
        <v>0</v>
      </c>
      <c r="L101" s="183">
        <f>SUMIFS('февраль 2025'!$G$4:$G$2441,'февраль 2025'!$D$4:$D$2441,$B101,'февраль 2025'!$J$4:$J$2441,L$1)</f>
        <v>0</v>
      </c>
      <c r="M101" s="183">
        <f>SUMIFS('февраль 2025'!$G$4:$G$2441,'февраль 2025'!$D$4:$D$2441,$B101,'февраль 2025'!$J$4:$J$2441,M$1)</f>
        <v>0</v>
      </c>
      <c r="N101" s="183">
        <f>SUMIFS('февраль 2025'!$G$4:$G$2441,'февраль 2025'!$D$4:$D$2441,$B101,'февраль 2025'!$J$4:$J$2441,N$1)</f>
        <v>0</v>
      </c>
      <c r="O101" s="183">
        <f>SUMIFS('февраль 2025'!$G$4:$G$2441,'февраль 2025'!$D$4:$D$2441,$B101,'февраль 2025'!$J$4:$J$2441,O$1)</f>
        <v>0</v>
      </c>
      <c r="P101" s="183">
        <f>SUMIFS('февраль 2025'!$G$4:$G$2441,'февраль 2025'!$D$4:$D$2441,$B101,'февраль 2025'!$J$4:$J$2441,P$1)</f>
        <v>0</v>
      </c>
      <c r="Q101" s="183">
        <f>SUMIFS('февраль 2025'!$G$4:$G$2441,'февраль 2025'!$D$4:$D$2441,$B101,'февраль 2025'!$J$4:$J$2441,Q$1)</f>
        <v>0</v>
      </c>
      <c r="R101" s="183">
        <f>SUMIFS('февраль 2025'!$G$4:$G$2441,'февраль 2025'!$D$4:$D$2441,$B101,'февраль 2025'!$J$4:$J$2441,R$1)</f>
        <v>0</v>
      </c>
      <c r="S101" s="183">
        <f>SUMIFS('февраль 2025'!$G$4:$G$2441,'февраль 2025'!$D$4:$D$2441,$B101,'февраль 2025'!$J$4:$J$2441,S$1)</f>
        <v>0</v>
      </c>
      <c r="T101" s="183">
        <f>SUMIFS('февраль 2025'!$G$4:$G$2441,'февраль 2025'!$D$4:$D$2441,$B101,'февраль 2025'!$J$4:$J$2441,T$1)</f>
        <v>0</v>
      </c>
      <c r="U101" s="183">
        <f>SUMIFS('февраль 2025'!$G$4:$G$2441,'февраль 2025'!$D$4:$D$2441,$B101,'февраль 2025'!$J$4:$J$2441,U$1)</f>
        <v>0</v>
      </c>
      <c r="V101" s="183">
        <f>SUMIFS('февраль 2025'!$G$4:$G$2441,'февраль 2025'!$D$4:$D$2441,$B101,'февраль 2025'!$J$4:$J$2441,V$1)</f>
        <v>0</v>
      </c>
      <c r="W101" s="183">
        <f>SUMIFS('февраль 2025'!$G$4:$G$2441,'февраль 2025'!$D$4:$D$2441,$B101,'февраль 2025'!$J$4:$J$2441,W$1)</f>
        <v>0</v>
      </c>
      <c r="X101" s="183">
        <f>SUMIFS('февраль 2025'!$G$4:$G$2441,'февраль 2025'!$D$4:$D$2441,$B101,'февраль 2025'!$J$4:$J$2441,X$1)</f>
        <v>0</v>
      </c>
      <c r="Y101" s="183">
        <f>SUMIFS('февраль 2025'!$G$4:$G$2441,'февраль 2025'!$D$4:$D$2441,$B101,'февраль 2025'!$J$4:$J$2441,Y$1)</f>
        <v>0</v>
      </c>
      <c r="Z101" s="183">
        <f>SUMIFS('февраль 2025'!$G$4:$G$2441,'февраль 2025'!$D$4:$D$2441,$B101,'февраль 2025'!$J$4:$J$2441,Z$1)</f>
        <v>0</v>
      </c>
      <c r="AA101" s="183">
        <f>SUMIFS('февраль 2025'!$G$4:$G$2441,'февраль 2025'!$D$4:$D$2441,$B101,'февраль 2025'!$J$4:$J$2441,AA$1)</f>
        <v>0</v>
      </c>
      <c r="AB101" s="183">
        <f>SUMIFS('февраль 2025'!$G$4:$G$2441,'февраль 2025'!$D$4:$D$2441,$B101,'февраль 2025'!$J$4:$J$2441,AB$1)</f>
        <v>0</v>
      </c>
      <c r="AC101" s="183">
        <f>SUMIFS('февраль 2025'!$G$4:$G$2441,'февраль 2025'!$D$4:$D$2441,$B101,'февраль 2025'!$J$4:$J$2441,AC$1)</f>
        <v>0</v>
      </c>
      <c r="AD101" s="183">
        <f>SUMIFS('февраль 2025'!$G$4:$G$2441,'февраль 2025'!$D$4:$D$2441,$B101,'февраль 2025'!$J$4:$J$2441,AD$1)</f>
        <v>0</v>
      </c>
      <c r="AE101" s="183">
        <f>SUMIFS('февраль 2025'!$G$4:$G$2441,'февраль 2025'!$D$4:$D$2441,$B101,'февраль 2025'!$J$4:$J$2441,AE$1)</f>
        <v>0</v>
      </c>
      <c r="AF101" s="183">
        <f>SUMIFS('февраль 2025'!$G$4:$G$2441,'февраль 2025'!$D$4:$D$2441,$B101,'февраль 2025'!$J$4:$J$2441,AF$1)</f>
        <v>0</v>
      </c>
      <c r="AG101" s="183">
        <f>SUMIFS('февраль 2025'!$G$4:$G$2441,'февраль 2025'!$D$4:$D$2441,$B101,'февраль 2025'!$J$4:$J$2441,AG$1)</f>
        <v>0</v>
      </c>
      <c r="AH101" s="183">
        <f>SUMIFS('февраль 2025'!$G$4:$G$2441,'февраль 2025'!$D$4:$D$2441,$B101,'февраль 2025'!$J$4:$J$2441,AH$1)</f>
        <v>0</v>
      </c>
      <c r="AI101" s="20">
        <f t="shared" si="1"/>
        <v>0</v>
      </c>
    </row>
    <row r="102" spans="2:35" ht="15" customHeight="1" x14ac:dyDescent="0.25">
      <c r="B102" s="84" t="s">
        <v>170</v>
      </c>
      <c r="C102" s="86">
        <v>200</v>
      </c>
      <c r="D102" s="183">
        <f>SUMIFS('февраль 2025'!$G$4:$G$2441,'февраль 2025'!$D$4:$D$2441,$B102,'февраль 2025'!$J$4:$J$2441,D$1)</f>
        <v>0</v>
      </c>
      <c r="E102" s="183">
        <f>SUMIFS('февраль 2025'!$G$4:$G$2441,'февраль 2025'!$D$4:$D$2441,$B102,'февраль 2025'!$J$4:$J$2441,E$1)</f>
        <v>0</v>
      </c>
      <c r="F102" s="183">
        <f>SUMIFS('февраль 2025'!$G$4:$G$2441,'февраль 2025'!$D$4:$D$2441,$B102,'февраль 2025'!$J$4:$J$2441,F$1)</f>
        <v>0</v>
      </c>
      <c r="G102" s="183">
        <f>SUMIFS('февраль 2025'!$G$4:$G$2441,'февраль 2025'!$D$4:$D$2441,$B102,'февраль 2025'!$J$4:$J$2441,G$1)</f>
        <v>0</v>
      </c>
      <c r="H102" s="183">
        <f>SUMIFS('февраль 2025'!$G$4:$G$2441,'февраль 2025'!$D$4:$D$2441,$B102,'февраль 2025'!$J$4:$J$2441,H$1)</f>
        <v>0</v>
      </c>
      <c r="I102" s="183">
        <f>SUMIFS('февраль 2025'!$G$4:$G$2441,'февраль 2025'!$D$4:$D$2441,$B102,'февраль 2025'!$J$4:$J$2441,I$1)</f>
        <v>0</v>
      </c>
      <c r="J102" s="183">
        <f>SUMIFS('февраль 2025'!$G$4:$G$2441,'февраль 2025'!$D$4:$D$2441,$B102,'февраль 2025'!$J$4:$J$2441,J$1)</f>
        <v>0</v>
      </c>
      <c r="K102" s="183">
        <f>SUMIFS('февраль 2025'!$G$4:$G$2441,'февраль 2025'!$D$4:$D$2441,$B102,'февраль 2025'!$J$4:$J$2441,K$1)</f>
        <v>0</v>
      </c>
      <c r="L102" s="183">
        <f>SUMIFS('февраль 2025'!$G$4:$G$2441,'февраль 2025'!$D$4:$D$2441,$B102,'февраль 2025'!$J$4:$J$2441,L$1)</f>
        <v>0</v>
      </c>
      <c r="M102" s="183">
        <f>SUMIFS('февраль 2025'!$G$4:$G$2441,'февраль 2025'!$D$4:$D$2441,$B102,'февраль 2025'!$J$4:$J$2441,M$1)</f>
        <v>0</v>
      </c>
      <c r="N102" s="183">
        <f>SUMIFS('февраль 2025'!$G$4:$G$2441,'февраль 2025'!$D$4:$D$2441,$B102,'февраль 2025'!$J$4:$J$2441,N$1)</f>
        <v>0</v>
      </c>
      <c r="O102" s="183">
        <f>SUMIFS('февраль 2025'!$G$4:$G$2441,'февраль 2025'!$D$4:$D$2441,$B102,'февраль 2025'!$J$4:$J$2441,O$1)</f>
        <v>0</v>
      </c>
      <c r="P102" s="183">
        <f>SUMIFS('февраль 2025'!$G$4:$G$2441,'февраль 2025'!$D$4:$D$2441,$B102,'февраль 2025'!$J$4:$J$2441,P$1)</f>
        <v>0</v>
      </c>
      <c r="Q102" s="183">
        <f>SUMIFS('февраль 2025'!$G$4:$G$2441,'февраль 2025'!$D$4:$D$2441,$B102,'февраль 2025'!$J$4:$J$2441,Q$1)</f>
        <v>0</v>
      </c>
      <c r="R102" s="183">
        <f>SUMIFS('февраль 2025'!$G$4:$G$2441,'февраль 2025'!$D$4:$D$2441,$B102,'февраль 2025'!$J$4:$J$2441,R$1)</f>
        <v>0</v>
      </c>
      <c r="S102" s="183">
        <f>SUMIFS('февраль 2025'!$G$4:$G$2441,'февраль 2025'!$D$4:$D$2441,$B102,'февраль 2025'!$J$4:$J$2441,S$1)</f>
        <v>0</v>
      </c>
      <c r="T102" s="183">
        <f>SUMIFS('февраль 2025'!$G$4:$G$2441,'февраль 2025'!$D$4:$D$2441,$B102,'февраль 2025'!$J$4:$J$2441,T$1)</f>
        <v>0</v>
      </c>
      <c r="U102" s="183">
        <f>SUMIFS('февраль 2025'!$G$4:$G$2441,'февраль 2025'!$D$4:$D$2441,$B102,'февраль 2025'!$J$4:$J$2441,U$1)</f>
        <v>0</v>
      </c>
      <c r="V102" s="183">
        <f>SUMIFS('февраль 2025'!$G$4:$G$2441,'февраль 2025'!$D$4:$D$2441,$B102,'февраль 2025'!$J$4:$J$2441,V$1)</f>
        <v>0</v>
      </c>
      <c r="W102" s="183">
        <f>SUMIFS('февраль 2025'!$G$4:$G$2441,'февраль 2025'!$D$4:$D$2441,$B102,'февраль 2025'!$J$4:$J$2441,W$1)</f>
        <v>0</v>
      </c>
      <c r="X102" s="183">
        <f>SUMIFS('февраль 2025'!$G$4:$G$2441,'февраль 2025'!$D$4:$D$2441,$B102,'февраль 2025'!$J$4:$J$2441,X$1)</f>
        <v>0</v>
      </c>
      <c r="Y102" s="183">
        <f>SUMIFS('февраль 2025'!$G$4:$G$2441,'февраль 2025'!$D$4:$D$2441,$B102,'февраль 2025'!$J$4:$J$2441,Y$1)</f>
        <v>0</v>
      </c>
      <c r="Z102" s="183">
        <f>SUMIFS('февраль 2025'!$G$4:$G$2441,'февраль 2025'!$D$4:$D$2441,$B102,'февраль 2025'!$J$4:$J$2441,Z$1)</f>
        <v>0</v>
      </c>
      <c r="AA102" s="183">
        <f>SUMIFS('февраль 2025'!$G$4:$G$2441,'февраль 2025'!$D$4:$D$2441,$B102,'февраль 2025'!$J$4:$J$2441,AA$1)</f>
        <v>0</v>
      </c>
      <c r="AB102" s="183">
        <f>SUMIFS('февраль 2025'!$G$4:$G$2441,'февраль 2025'!$D$4:$D$2441,$B102,'февраль 2025'!$J$4:$J$2441,AB$1)</f>
        <v>0</v>
      </c>
      <c r="AC102" s="183">
        <f>SUMIFS('февраль 2025'!$G$4:$G$2441,'февраль 2025'!$D$4:$D$2441,$B102,'февраль 2025'!$J$4:$J$2441,AC$1)</f>
        <v>0</v>
      </c>
      <c r="AD102" s="183">
        <f>SUMIFS('февраль 2025'!$G$4:$G$2441,'февраль 2025'!$D$4:$D$2441,$B102,'февраль 2025'!$J$4:$J$2441,AD$1)</f>
        <v>0</v>
      </c>
      <c r="AE102" s="183">
        <f>SUMIFS('февраль 2025'!$G$4:$G$2441,'февраль 2025'!$D$4:$D$2441,$B102,'февраль 2025'!$J$4:$J$2441,AE$1)</f>
        <v>0</v>
      </c>
      <c r="AF102" s="183">
        <f>SUMIFS('февраль 2025'!$G$4:$G$2441,'февраль 2025'!$D$4:$D$2441,$B102,'февраль 2025'!$J$4:$J$2441,AF$1)</f>
        <v>0</v>
      </c>
      <c r="AG102" s="183">
        <f>SUMIFS('февраль 2025'!$G$4:$G$2441,'февраль 2025'!$D$4:$D$2441,$B102,'февраль 2025'!$J$4:$J$2441,AG$1)</f>
        <v>0</v>
      </c>
      <c r="AH102" s="183">
        <f>SUMIFS('февраль 2025'!$G$4:$G$2441,'февраль 2025'!$D$4:$D$2441,$B102,'февраль 2025'!$J$4:$J$2441,AH$1)</f>
        <v>0</v>
      </c>
      <c r="AI102" s="20">
        <f t="shared" si="1"/>
        <v>0</v>
      </c>
    </row>
    <row r="103" spans="2:35" ht="15" customHeight="1" x14ac:dyDescent="0.25">
      <c r="B103" s="84" t="s">
        <v>195</v>
      </c>
      <c r="C103" s="83">
        <v>185</v>
      </c>
      <c r="D103" s="183">
        <f>SUMIFS('февраль 2025'!$G$4:$G$2441,'февраль 2025'!$D$4:$D$2441,$B103,'февраль 2025'!$J$4:$J$2441,D$1)</f>
        <v>0</v>
      </c>
      <c r="E103" s="183">
        <f>SUMIFS('февраль 2025'!$G$4:$G$2441,'февраль 2025'!$D$4:$D$2441,$B103,'февраль 2025'!$J$4:$J$2441,E$1)</f>
        <v>0</v>
      </c>
      <c r="F103" s="183">
        <f>SUMIFS('февраль 2025'!$G$4:$G$2441,'февраль 2025'!$D$4:$D$2441,$B103,'февраль 2025'!$J$4:$J$2441,F$1)</f>
        <v>0</v>
      </c>
      <c r="G103" s="183">
        <f>SUMIFS('февраль 2025'!$G$4:$G$2441,'февраль 2025'!$D$4:$D$2441,$B103,'февраль 2025'!$J$4:$J$2441,G$1)</f>
        <v>0</v>
      </c>
      <c r="H103" s="183">
        <f>SUMIFS('февраль 2025'!$G$4:$G$2441,'февраль 2025'!$D$4:$D$2441,$B103,'февраль 2025'!$J$4:$J$2441,H$1)</f>
        <v>0</v>
      </c>
      <c r="I103" s="183">
        <f>SUMIFS('февраль 2025'!$G$4:$G$2441,'февраль 2025'!$D$4:$D$2441,$B103,'февраль 2025'!$J$4:$J$2441,I$1)</f>
        <v>0</v>
      </c>
      <c r="J103" s="183">
        <f>SUMIFS('февраль 2025'!$G$4:$G$2441,'февраль 2025'!$D$4:$D$2441,$B103,'февраль 2025'!$J$4:$J$2441,J$1)</f>
        <v>0</v>
      </c>
      <c r="K103" s="183">
        <f>SUMIFS('февраль 2025'!$G$4:$G$2441,'февраль 2025'!$D$4:$D$2441,$B103,'февраль 2025'!$J$4:$J$2441,K$1)</f>
        <v>0</v>
      </c>
      <c r="L103" s="183">
        <f>SUMIFS('февраль 2025'!$G$4:$G$2441,'февраль 2025'!$D$4:$D$2441,$B103,'февраль 2025'!$J$4:$J$2441,L$1)</f>
        <v>0</v>
      </c>
      <c r="M103" s="183">
        <f>SUMIFS('февраль 2025'!$G$4:$G$2441,'февраль 2025'!$D$4:$D$2441,$B103,'февраль 2025'!$J$4:$J$2441,M$1)</f>
        <v>0</v>
      </c>
      <c r="N103" s="183">
        <f>SUMIFS('февраль 2025'!$G$4:$G$2441,'февраль 2025'!$D$4:$D$2441,$B103,'февраль 2025'!$J$4:$J$2441,N$1)</f>
        <v>0</v>
      </c>
      <c r="O103" s="183">
        <f>SUMIFS('февраль 2025'!$G$4:$G$2441,'февраль 2025'!$D$4:$D$2441,$B103,'февраль 2025'!$J$4:$J$2441,O$1)</f>
        <v>0</v>
      </c>
      <c r="P103" s="183">
        <f>SUMIFS('февраль 2025'!$G$4:$G$2441,'февраль 2025'!$D$4:$D$2441,$B103,'февраль 2025'!$J$4:$J$2441,P$1)</f>
        <v>0</v>
      </c>
      <c r="Q103" s="183">
        <f>SUMIFS('февраль 2025'!$G$4:$G$2441,'февраль 2025'!$D$4:$D$2441,$B103,'февраль 2025'!$J$4:$J$2441,Q$1)</f>
        <v>320</v>
      </c>
      <c r="R103" s="183">
        <f>SUMIFS('февраль 2025'!$G$4:$G$2441,'февраль 2025'!$D$4:$D$2441,$B103,'февраль 2025'!$J$4:$J$2441,R$1)</f>
        <v>0</v>
      </c>
      <c r="S103" s="183">
        <f>SUMIFS('февраль 2025'!$G$4:$G$2441,'февраль 2025'!$D$4:$D$2441,$B103,'февраль 2025'!$J$4:$J$2441,S$1)</f>
        <v>0</v>
      </c>
      <c r="T103" s="183">
        <f>SUMIFS('февраль 2025'!$G$4:$G$2441,'февраль 2025'!$D$4:$D$2441,$B103,'февраль 2025'!$J$4:$J$2441,T$1)</f>
        <v>0</v>
      </c>
      <c r="U103" s="183">
        <f>SUMIFS('февраль 2025'!$G$4:$G$2441,'февраль 2025'!$D$4:$D$2441,$B103,'февраль 2025'!$J$4:$J$2441,U$1)</f>
        <v>0</v>
      </c>
      <c r="V103" s="183">
        <f>SUMIFS('февраль 2025'!$G$4:$G$2441,'февраль 2025'!$D$4:$D$2441,$B103,'февраль 2025'!$J$4:$J$2441,V$1)</f>
        <v>0</v>
      </c>
      <c r="W103" s="183">
        <f>SUMIFS('февраль 2025'!$G$4:$G$2441,'февраль 2025'!$D$4:$D$2441,$B103,'февраль 2025'!$J$4:$J$2441,W$1)</f>
        <v>0</v>
      </c>
      <c r="X103" s="183">
        <f>SUMIFS('февраль 2025'!$G$4:$G$2441,'февраль 2025'!$D$4:$D$2441,$B103,'февраль 2025'!$J$4:$J$2441,X$1)</f>
        <v>0</v>
      </c>
      <c r="Y103" s="183">
        <f>SUMIFS('февраль 2025'!$G$4:$G$2441,'февраль 2025'!$D$4:$D$2441,$B103,'февраль 2025'!$J$4:$J$2441,Y$1)</f>
        <v>0</v>
      </c>
      <c r="Z103" s="183">
        <f>SUMIFS('февраль 2025'!$G$4:$G$2441,'февраль 2025'!$D$4:$D$2441,$B103,'февраль 2025'!$J$4:$J$2441,Z$1)</f>
        <v>0</v>
      </c>
      <c r="AA103" s="183">
        <f>SUMIFS('февраль 2025'!$G$4:$G$2441,'февраль 2025'!$D$4:$D$2441,$B103,'февраль 2025'!$J$4:$J$2441,AA$1)</f>
        <v>0</v>
      </c>
      <c r="AB103" s="183">
        <f>SUMIFS('февраль 2025'!$G$4:$G$2441,'февраль 2025'!$D$4:$D$2441,$B103,'февраль 2025'!$J$4:$J$2441,AB$1)</f>
        <v>0</v>
      </c>
      <c r="AC103" s="183">
        <f>SUMIFS('февраль 2025'!$G$4:$G$2441,'февраль 2025'!$D$4:$D$2441,$B103,'февраль 2025'!$J$4:$J$2441,AC$1)</f>
        <v>0</v>
      </c>
      <c r="AD103" s="183">
        <f>SUMIFS('февраль 2025'!$G$4:$G$2441,'февраль 2025'!$D$4:$D$2441,$B103,'февраль 2025'!$J$4:$J$2441,AD$1)</f>
        <v>0</v>
      </c>
      <c r="AE103" s="183">
        <f>SUMIFS('февраль 2025'!$G$4:$G$2441,'февраль 2025'!$D$4:$D$2441,$B103,'февраль 2025'!$J$4:$J$2441,AE$1)</f>
        <v>0</v>
      </c>
      <c r="AF103" s="183">
        <f>SUMIFS('февраль 2025'!$G$4:$G$2441,'февраль 2025'!$D$4:$D$2441,$B103,'февраль 2025'!$J$4:$J$2441,AF$1)</f>
        <v>0</v>
      </c>
      <c r="AG103" s="183">
        <f>SUMIFS('февраль 2025'!$G$4:$G$2441,'февраль 2025'!$D$4:$D$2441,$B103,'февраль 2025'!$J$4:$J$2441,AG$1)</f>
        <v>0</v>
      </c>
      <c r="AH103" s="183">
        <f>SUMIFS('февраль 2025'!$G$4:$G$2441,'февраль 2025'!$D$4:$D$2441,$B103,'февраль 2025'!$J$4:$J$2441,AH$1)</f>
        <v>0</v>
      </c>
      <c r="AI103" s="20">
        <f t="shared" si="1"/>
        <v>320</v>
      </c>
    </row>
    <row r="104" spans="2:35" ht="15" customHeight="1" x14ac:dyDescent="0.25">
      <c r="B104" s="84" t="s">
        <v>196</v>
      </c>
      <c r="C104" s="83">
        <v>185</v>
      </c>
      <c r="D104" s="183">
        <f>SUMIFS('февраль 2025'!$G$4:$G$2441,'февраль 2025'!$D$4:$D$2441,$B104,'февраль 2025'!$J$4:$J$2441,D$1)</f>
        <v>0</v>
      </c>
      <c r="E104" s="183">
        <f>SUMIFS('февраль 2025'!$G$4:$G$2441,'февраль 2025'!$D$4:$D$2441,$B104,'февраль 2025'!$J$4:$J$2441,E$1)</f>
        <v>0</v>
      </c>
      <c r="F104" s="183">
        <f>SUMIFS('февраль 2025'!$G$4:$G$2441,'февраль 2025'!$D$4:$D$2441,$B104,'февраль 2025'!$J$4:$J$2441,F$1)</f>
        <v>0</v>
      </c>
      <c r="G104" s="183">
        <f>SUMIFS('февраль 2025'!$G$4:$G$2441,'февраль 2025'!$D$4:$D$2441,$B104,'февраль 2025'!$J$4:$J$2441,G$1)</f>
        <v>0</v>
      </c>
      <c r="H104" s="183">
        <f>SUMIFS('февраль 2025'!$G$4:$G$2441,'февраль 2025'!$D$4:$D$2441,$B104,'февраль 2025'!$J$4:$J$2441,H$1)</f>
        <v>0</v>
      </c>
      <c r="I104" s="183">
        <f>SUMIFS('февраль 2025'!$G$4:$G$2441,'февраль 2025'!$D$4:$D$2441,$B104,'февраль 2025'!$J$4:$J$2441,I$1)</f>
        <v>0</v>
      </c>
      <c r="J104" s="183">
        <f>SUMIFS('февраль 2025'!$G$4:$G$2441,'февраль 2025'!$D$4:$D$2441,$B104,'февраль 2025'!$J$4:$J$2441,J$1)</f>
        <v>0</v>
      </c>
      <c r="K104" s="183">
        <f>SUMIFS('февраль 2025'!$G$4:$G$2441,'февраль 2025'!$D$4:$D$2441,$B104,'февраль 2025'!$J$4:$J$2441,K$1)</f>
        <v>0</v>
      </c>
      <c r="L104" s="183">
        <f>SUMIFS('февраль 2025'!$G$4:$G$2441,'февраль 2025'!$D$4:$D$2441,$B104,'февраль 2025'!$J$4:$J$2441,L$1)</f>
        <v>0</v>
      </c>
      <c r="M104" s="183">
        <f>SUMIFS('февраль 2025'!$G$4:$G$2441,'февраль 2025'!$D$4:$D$2441,$B104,'февраль 2025'!$J$4:$J$2441,M$1)</f>
        <v>0</v>
      </c>
      <c r="N104" s="183">
        <f>SUMIFS('февраль 2025'!$G$4:$G$2441,'февраль 2025'!$D$4:$D$2441,$B104,'февраль 2025'!$J$4:$J$2441,N$1)</f>
        <v>0</v>
      </c>
      <c r="O104" s="183">
        <f>SUMIFS('февраль 2025'!$G$4:$G$2441,'февраль 2025'!$D$4:$D$2441,$B104,'февраль 2025'!$J$4:$J$2441,O$1)</f>
        <v>0</v>
      </c>
      <c r="P104" s="183">
        <f>SUMIFS('февраль 2025'!$G$4:$G$2441,'февраль 2025'!$D$4:$D$2441,$B104,'февраль 2025'!$J$4:$J$2441,P$1)</f>
        <v>0</v>
      </c>
      <c r="Q104" s="183">
        <f>SUMIFS('февраль 2025'!$G$4:$G$2441,'февраль 2025'!$D$4:$D$2441,$B104,'февраль 2025'!$J$4:$J$2441,Q$1)</f>
        <v>0</v>
      </c>
      <c r="R104" s="183">
        <f>SUMIFS('февраль 2025'!$G$4:$G$2441,'февраль 2025'!$D$4:$D$2441,$B104,'февраль 2025'!$J$4:$J$2441,R$1)</f>
        <v>0</v>
      </c>
      <c r="S104" s="183">
        <f>SUMIFS('февраль 2025'!$G$4:$G$2441,'февраль 2025'!$D$4:$D$2441,$B104,'февраль 2025'!$J$4:$J$2441,S$1)</f>
        <v>0</v>
      </c>
      <c r="T104" s="183">
        <f>SUMIFS('февраль 2025'!$G$4:$G$2441,'февраль 2025'!$D$4:$D$2441,$B104,'февраль 2025'!$J$4:$J$2441,T$1)</f>
        <v>0</v>
      </c>
      <c r="U104" s="183">
        <f>SUMIFS('февраль 2025'!$G$4:$G$2441,'февраль 2025'!$D$4:$D$2441,$B104,'февраль 2025'!$J$4:$J$2441,U$1)</f>
        <v>0</v>
      </c>
      <c r="V104" s="183">
        <f>SUMIFS('февраль 2025'!$G$4:$G$2441,'февраль 2025'!$D$4:$D$2441,$B104,'февраль 2025'!$J$4:$J$2441,V$1)</f>
        <v>0</v>
      </c>
      <c r="W104" s="183">
        <f>SUMIFS('февраль 2025'!$G$4:$G$2441,'февраль 2025'!$D$4:$D$2441,$B104,'февраль 2025'!$J$4:$J$2441,W$1)</f>
        <v>0</v>
      </c>
      <c r="X104" s="183">
        <f>SUMIFS('февраль 2025'!$G$4:$G$2441,'февраль 2025'!$D$4:$D$2441,$B104,'февраль 2025'!$J$4:$J$2441,X$1)</f>
        <v>0</v>
      </c>
      <c r="Y104" s="183">
        <f>SUMIFS('февраль 2025'!$G$4:$G$2441,'февраль 2025'!$D$4:$D$2441,$B104,'февраль 2025'!$J$4:$J$2441,Y$1)</f>
        <v>0</v>
      </c>
      <c r="Z104" s="183">
        <f>SUMIFS('февраль 2025'!$G$4:$G$2441,'февраль 2025'!$D$4:$D$2441,$B104,'февраль 2025'!$J$4:$J$2441,Z$1)</f>
        <v>0</v>
      </c>
      <c r="AA104" s="183">
        <f>SUMIFS('февраль 2025'!$G$4:$G$2441,'февраль 2025'!$D$4:$D$2441,$B104,'февраль 2025'!$J$4:$J$2441,AA$1)</f>
        <v>0</v>
      </c>
      <c r="AB104" s="183">
        <f>SUMIFS('февраль 2025'!$G$4:$G$2441,'февраль 2025'!$D$4:$D$2441,$B104,'февраль 2025'!$J$4:$J$2441,AB$1)</f>
        <v>0</v>
      </c>
      <c r="AC104" s="183">
        <f>SUMIFS('февраль 2025'!$G$4:$G$2441,'февраль 2025'!$D$4:$D$2441,$B104,'февраль 2025'!$J$4:$J$2441,AC$1)</f>
        <v>0</v>
      </c>
      <c r="AD104" s="183">
        <f>SUMIFS('февраль 2025'!$G$4:$G$2441,'февраль 2025'!$D$4:$D$2441,$B104,'февраль 2025'!$J$4:$J$2441,AD$1)</f>
        <v>0</v>
      </c>
      <c r="AE104" s="183">
        <f>SUMIFS('февраль 2025'!$G$4:$G$2441,'февраль 2025'!$D$4:$D$2441,$B104,'февраль 2025'!$J$4:$J$2441,AE$1)</f>
        <v>0</v>
      </c>
      <c r="AF104" s="183">
        <f>SUMIFS('февраль 2025'!$G$4:$G$2441,'февраль 2025'!$D$4:$D$2441,$B104,'февраль 2025'!$J$4:$J$2441,AF$1)</f>
        <v>0</v>
      </c>
      <c r="AG104" s="183">
        <f>SUMIFS('февраль 2025'!$G$4:$G$2441,'февраль 2025'!$D$4:$D$2441,$B104,'февраль 2025'!$J$4:$J$2441,AG$1)</f>
        <v>0</v>
      </c>
      <c r="AH104" s="183">
        <f>SUMIFS('февраль 2025'!$G$4:$G$2441,'февраль 2025'!$D$4:$D$2441,$B104,'февраль 2025'!$J$4:$J$2441,AH$1)</f>
        <v>0</v>
      </c>
      <c r="AI104" s="20">
        <f t="shared" si="1"/>
        <v>0</v>
      </c>
    </row>
    <row r="105" spans="2:35" ht="15" customHeight="1" x14ac:dyDescent="0.25">
      <c r="B105" s="84" t="s">
        <v>260</v>
      </c>
      <c r="C105" s="83">
        <v>180</v>
      </c>
      <c r="D105" s="183">
        <f>SUMIFS('февраль 2025'!$G$4:$G$2441,'февраль 2025'!$D$4:$D$2441,$B105,'февраль 2025'!$J$4:$J$2441,D$1)</f>
        <v>0</v>
      </c>
      <c r="E105" s="183">
        <f>SUMIFS('февраль 2025'!$G$4:$G$2441,'февраль 2025'!$D$4:$D$2441,$B105,'февраль 2025'!$J$4:$J$2441,E$1)</f>
        <v>0</v>
      </c>
      <c r="F105" s="183">
        <f>SUMIFS('февраль 2025'!$G$4:$G$2441,'февраль 2025'!$D$4:$D$2441,$B105,'февраль 2025'!$J$4:$J$2441,F$1)</f>
        <v>0</v>
      </c>
      <c r="G105" s="183">
        <f>SUMIFS('февраль 2025'!$G$4:$G$2441,'февраль 2025'!$D$4:$D$2441,$B105,'февраль 2025'!$J$4:$J$2441,G$1)</f>
        <v>0</v>
      </c>
      <c r="H105" s="183">
        <f>SUMIFS('февраль 2025'!$G$4:$G$2441,'февраль 2025'!$D$4:$D$2441,$B105,'февраль 2025'!$J$4:$J$2441,H$1)</f>
        <v>0</v>
      </c>
      <c r="I105" s="183">
        <f>SUMIFS('февраль 2025'!$G$4:$G$2441,'февраль 2025'!$D$4:$D$2441,$B105,'февраль 2025'!$J$4:$J$2441,I$1)</f>
        <v>0</v>
      </c>
      <c r="J105" s="183">
        <f>SUMIFS('февраль 2025'!$G$4:$G$2441,'февраль 2025'!$D$4:$D$2441,$B105,'февраль 2025'!$J$4:$J$2441,J$1)</f>
        <v>0</v>
      </c>
      <c r="K105" s="183">
        <f>SUMIFS('февраль 2025'!$G$4:$G$2441,'февраль 2025'!$D$4:$D$2441,$B105,'февраль 2025'!$J$4:$J$2441,K$1)</f>
        <v>0</v>
      </c>
      <c r="L105" s="183">
        <f>SUMIFS('февраль 2025'!$G$4:$G$2441,'февраль 2025'!$D$4:$D$2441,$B105,'февраль 2025'!$J$4:$J$2441,L$1)</f>
        <v>0</v>
      </c>
      <c r="M105" s="183">
        <f>SUMIFS('февраль 2025'!$G$4:$G$2441,'февраль 2025'!$D$4:$D$2441,$B105,'февраль 2025'!$J$4:$J$2441,M$1)</f>
        <v>0</v>
      </c>
      <c r="N105" s="183">
        <f>SUMIFS('февраль 2025'!$G$4:$G$2441,'февраль 2025'!$D$4:$D$2441,$B105,'февраль 2025'!$J$4:$J$2441,N$1)</f>
        <v>0</v>
      </c>
      <c r="O105" s="183">
        <f>SUMIFS('февраль 2025'!$G$4:$G$2441,'февраль 2025'!$D$4:$D$2441,$B105,'февраль 2025'!$J$4:$J$2441,O$1)</f>
        <v>0</v>
      </c>
      <c r="P105" s="183">
        <f>SUMIFS('февраль 2025'!$G$4:$G$2441,'февраль 2025'!$D$4:$D$2441,$B105,'февраль 2025'!$J$4:$J$2441,P$1)</f>
        <v>0</v>
      </c>
      <c r="Q105" s="183">
        <f>SUMIFS('февраль 2025'!$G$4:$G$2441,'февраль 2025'!$D$4:$D$2441,$B105,'февраль 2025'!$J$4:$J$2441,Q$1)</f>
        <v>0</v>
      </c>
      <c r="R105" s="183">
        <f>SUMIFS('февраль 2025'!$G$4:$G$2441,'февраль 2025'!$D$4:$D$2441,$B105,'февраль 2025'!$J$4:$J$2441,R$1)</f>
        <v>0</v>
      </c>
      <c r="S105" s="183">
        <f>SUMIFS('февраль 2025'!$G$4:$G$2441,'февраль 2025'!$D$4:$D$2441,$B105,'февраль 2025'!$J$4:$J$2441,S$1)</f>
        <v>0</v>
      </c>
      <c r="T105" s="183">
        <f>SUMIFS('февраль 2025'!$G$4:$G$2441,'февраль 2025'!$D$4:$D$2441,$B105,'февраль 2025'!$J$4:$J$2441,T$1)</f>
        <v>0</v>
      </c>
      <c r="U105" s="183">
        <f>SUMIFS('февраль 2025'!$G$4:$G$2441,'февраль 2025'!$D$4:$D$2441,$B105,'февраль 2025'!$J$4:$J$2441,U$1)</f>
        <v>0</v>
      </c>
      <c r="V105" s="183">
        <f>SUMIFS('февраль 2025'!$G$4:$G$2441,'февраль 2025'!$D$4:$D$2441,$B105,'февраль 2025'!$J$4:$J$2441,V$1)</f>
        <v>0</v>
      </c>
      <c r="W105" s="183">
        <f>SUMIFS('февраль 2025'!$G$4:$G$2441,'февраль 2025'!$D$4:$D$2441,$B105,'февраль 2025'!$J$4:$J$2441,W$1)</f>
        <v>0</v>
      </c>
      <c r="X105" s="183">
        <f>SUMIFS('февраль 2025'!$G$4:$G$2441,'февраль 2025'!$D$4:$D$2441,$B105,'февраль 2025'!$J$4:$J$2441,X$1)</f>
        <v>0</v>
      </c>
      <c r="Y105" s="183">
        <f>SUMIFS('февраль 2025'!$G$4:$G$2441,'февраль 2025'!$D$4:$D$2441,$B105,'февраль 2025'!$J$4:$J$2441,Y$1)</f>
        <v>0</v>
      </c>
      <c r="Z105" s="183">
        <f>SUMIFS('февраль 2025'!$G$4:$G$2441,'февраль 2025'!$D$4:$D$2441,$B105,'февраль 2025'!$J$4:$J$2441,Z$1)</f>
        <v>0</v>
      </c>
      <c r="AA105" s="183">
        <f>SUMIFS('февраль 2025'!$G$4:$G$2441,'февраль 2025'!$D$4:$D$2441,$B105,'февраль 2025'!$J$4:$J$2441,AA$1)</f>
        <v>0</v>
      </c>
      <c r="AB105" s="183">
        <f>SUMIFS('февраль 2025'!$G$4:$G$2441,'февраль 2025'!$D$4:$D$2441,$B105,'февраль 2025'!$J$4:$J$2441,AB$1)</f>
        <v>0</v>
      </c>
      <c r="AC105" s="183">
        <f>SUMIFS('февраль 2025'!$G$4:$G$2441,'февраль 2025'!$D$4:$D$2441,$B105,'февраль 2025'!$J$4:$J$2441,AC$1)</f>
        <v>0</v>
      </c>
      <c r="AD105" s="183">
        <f>SUMIFS('февраль 2025'!$G$4:$G$2441,'февраль 2025'!$D$4:$D$2441,$B105,'февраль 2025'!$J$4:$J$2441,AD$1)</f>
        <v>0</v>
      </c>
      <c r="AE105" s="183">
        <f>SUMIFS('февраль 2025'!$G$4:$G$2441,'февраль 2025'!$D$4:$D$2441,$B105,'февраль 2025'!$J$4:$J$2441,AE$1)</f>
        <v>0</v>
      </c>
      <c r="AF105" s="183">
        <f>SUMIFS('февраль 2025'!$G$4:$G$2441,'февраль 2025'!$D$4:$D$2441,$B105,'февраль 2025'!$J$4:$J$2441,AF$1)</f>
        <v>0</v>
      </c>
      <c r="AG105" s="183">
        <f>SUMIFS('февраль 2025'!$G$4:$G$2441,'февраль 2025'!$D$4:$D$2441,$B105,'февраль 2025'!$J$4:$J$2441,AG$1)</f>
        <v>0</v>
      </c>
      <c r="AH105" s="183">
        <f>SUMIFS('февраль 2025'!$G$4:$G$2441,'февраль 2025'!$D$4:$D$2441,$B105,'февраль 2025'!$J$4:$J$2441,AH$1)</f>
        <v>0</v>
      </c>
      <c r="AI105" s="20">
        <f t="shared" si="1"/>
        <v>0</v>
      </c>
    </row>
    <row r="106" spans="2:35" ht="15" customHeight="1" x14ac:dyDescent="0.25">
      <c r="B106" s="88" t="s">
        <v>261</v>
      </c>
      <c r="C106" s="86">
        <v>200</v>
      </c>
      <c r="D106" s="183">
        <f>SUMIFS('февраль 2025'!$G$4:$G$2441,'февраль 2025'!$D$4:$D$2441,$B106,'февраль 2025'!$J$4:$J$2441,D$1)</f>
        <v>0</v>
      </c>
      <c r="E106" s="183">
        <f>SUMIFS('февраль 2025'!$G$4:$G$2441,'февраль 2025'!$D$4:$D$2441,$B106,'февраль 2025'!$J$4:$J$2441,E$1)</f>
        <v>0</v>
      </c>
      <c r="F106" s="183">
        <f>SUMIFS('февраль 2025'!$G$4:$G$2441,'февраль 2025'!$D$4:$D$2441,$B106,'февраль 2025'!$J$4:$J$2441,F$1)</f>
        <v>0</v>
      </c>
      <c r="G106" s="183">
        <f>SUMIFS('февраль 2025'!$G$4:$G$2441,'февраль 2025'!$D$4:$D$2441,$B106,'февраль 2025'!$J$4:$J$2441,G$1)</f>
        <v>0</v>
      </c>
      <c r="H106" s="183">
        <f>SUMIFS('февраль 2025'!$G$4:$G$2441,'февраль 2025'!$D$4:$D$2441,$B106,'февраль 2025'!$J$4:$J$2441,H$1)</f>
        <v>0</v>
      </c>
      <c r="I106" s="183">
        <f>SUMIFS('февраль 2025'!$G$4:$G$2441,'февраль 2025'!$D$4:$D$2441,$B106,'февраль 2025'!$J$4:$J$2441,I$1)</f>
        <v>0</v>
      </c>
      <c r="J106" s="183">
        <f>SUMIFS('февраль 2025'!$G$4:$G$2441,'февраль 2025'!$D$4:$D$2441,$B106,'февраль 2025'!$J$4:$J$2441,J$1)</f>
        <v>0</v>
      </c>
      <c r="K106" s="183">
        <f>SUMIFS('февраль 2025'!$G$4:$G$2441,'февраль 2025'!$D$4:$D$2441,$B106,'февраль 2025'!$J$4:$J$2441,K$1)</f>
        <v>0</v>
      </c>
      <c r="L106" s="183">
        <f>SUMIFS('февраль 2025'!$G$4:$G$2441,'февраль 2025'!$D$4:$D$2441,$B106,'февраль 2025'!$J$4:$J$2441,L$1)</f>
        <v>0</v>
      </c>
      <c r="M106" s="183">
        <f>SUMIFS('февраль 2025'!$G$4:$G$2441,'февраль 2025'!$D$4:$D$2441,$B106,'февраль 2025'!$J$4:$J$2441,M$1)</f>
        <v>0</v>
      </c>
      <c r="N106" s="183">
        <f>SUMIFS('февраль 2025'!$G$4:$G$2441,'февраль 2025'!$D$4:$D$2441,$B106,'февраль 2025'!$J$4:$J$2441,N$1)</f>
        <v>0</v>
      </c>
      <c r="O106" s="183">
        <f>SUMIFS('февраль 2025'!$G$4:$G$2441,'февраль 2025'!$D$4:$D$2441,$B106,'февраль 2025'!$J$4:$J$2441,O$1)</f>
        <v>0</v>
      </c>
      <c r="P106" s="183">
        <f>SUMIFS('февраль 2025'!$G$4:$G$2441,'февраль 2025'!$D$4:$D$2441,$B106,'февраль 2025'!$J$4:$J$2441,P$1)</f>
        <v>0</v>
      </c>
      <c r="Q106" s="183">
        <f>SUMIFS('февраль 2025'!$G$4:$G$2441,'февраль 2025'!$D$4:$D$2441,$B106,'февраль 2025'!$J$4:$J$2441,Q$1)</f>
        <v>0</v>
      </c>
      <c r="R106" s="183">
        <f>SUMIFS('февраль 2025'!$G$4:$G$2441,'февраль 2025'!$D$4:$D$2441,$B106,'февраль 2025'!$J$4:$J$2441,R$1)</f>
        <v>0</v>
      </c>
      <c r="S106" s="183">
        <f>SUMIFS('февраль 2025'!$G$4:$G$2441,'февраль 2025'!$D$4:$D$2441,$B106,'февраль 2025'!$J$4:$J$2441,S$1)</f>
        <v>0</v>
      </c>
      <c r="T106" s="183">
        <f>SUMIFS('февраль 2025'!$G$4:$G$2441,'февраль 2025'!$D$4:$D$2441,$B106,'февраль 2025'!$J$4:$J$2441,T$1)</f>
        <v>0</v>
      </c>
      <c r="U106" s="183">
        <f>SUMIFS('февраль 2025'!$G$4:$G$2441,'февраль 2025'!$D$4:$D$2441,$B106,'февраль 2025'!$J$4:$J$2441,U$1)</f>
        <v>0</v>
      </c>
      <c r="V106" s="183">
        <f>SUMIFS('февраль 2025'!$G$4:$G$2441,'февраль 2025'!$D$4:$D$2441,$B106,'февраль 2025'!$J$4:$J$2441,V$1)</f>
        <v>0</v>
      </c>
      <c r="W106" s="183">
        <f>SUMIFS('февраль 2025'!$G$4:$G$2441,'февраль 2025'!$D$4:$D$2441,$B106,'февраль 2025'!$J$4:$J$2441,W$1)</f>
        <v>0</v>
      </c>
      <c r="X106" s="183">
        <f>SUMIFS('февраль 2025'!$G$4:$G$2441,'февраль 2025'!$D$4:$D$2441,$B106,'февраль 2025'!$J$4:$J$2441,X$1)</f>
        <v>0</v>
      </c>
      <c r="Y106" s="183">
        <f>SUMIFS('февраль 2025'!$G$4:$G$2441,'февраль 2025'!$D$4:$D$2441,$B106,'февраль 2025'!$J$4:$J$2441,Y$1)</f>
        <v>0</v>
      </c>
      <c r="Z106" s="183">
        <f>SUMIFS('февраль 2025'!$G$4:$G$2441,'февраль 2025'!$D$4:$D$2441,$B106,'февраль 2025'!$J$4:$J$2441,Z$1)</f>
        <v>0</v>
      </c>
      <c r="AA106" s="183">
        <f>SUMIFS('февраль 2025'!$G$4:$G$2441,'февраль 2025'!$D$4:$D$2441,$B106,'февраль 2025'!$J$4:$J$2441,AA$1)</f>
        <v>0</v>
      </c>
      <c r="AB106" s="183">
        <f>SUMIFS('февраль 2025'!$G$4:$G$2441,'февраль 2025'!$D$4:$D$2441,$B106,'февраль 2025'!$J$4:$J$2441,AB$1)</f>
        <v>0</v>
      </c>
      <c r="AC106" s="183">
        <f>SUMIFS('февраль 2025'!$G$4:$G$2441,'февраль 2025'!$D$4:$D$2441,$B106,'февраль 2025'!$J$4:$J$2441,AC$1)</f>
        <v>0</v>
      </c>
      <c r="AD106" s="183">
        <f>SUMIFS('февраль 2025'!$G$4:$G$2441,'февраль 2025'!$D$4:$D$2441,$B106,'февраль 2025'!$J$4:$J$2441,AD$1)</f>
        <v>0</v>
      </c>
      <c r="AE106" s="183">
        <f>SUMIFS('февраль 2025'!$G$4:$G$2441,'февраль 2025'!$D$4:$D$2441,$B106,'февраль 2025'!$J$4:$J$2441,AE$1)</f>
        <v>0</v>
      </c>
      <c r="AF106" s="183">
        <f>SUMIFS('февраль 2025'!$G$4:$G$2441,'февраль 2025'!$D$4:$D$2441,$B106,'февраль 2025'!$J$4:$J$2441,AF$1)</f>
        <v>0</v>
      </c>
      <c r="AG106" s="183">
        <f>SUMIFS('февраль 2025'!$G$4:$G$2441,'февраль 2025'!$D$4:$D$2441,$B106,'февраль 2025'!$J$4:$J$2441,AG$1)</f>
        <v>0</v>
      </c>
      <c r="AH106" s="183">
        <f>SUMIFS('февраль 2025'!$G$4:$G$2441,'февраль 2025'!$D$4:$D$2441,$B106,'февраль 2025'!$J$4:$J$2441,AH$1)</f>
        <v>0</v>
      </c>
      <c r="AI106" s="20">
        <f t="shared" si="1"/>
        <v>0</v>
      </c>
    </row>
    <row r="107" spans="2:35" ht="15" customHeight="1" x14ac:dyDescent="0.25">
      <c r="B107" s="88" t="s">
        <v>180</v>
      </c>
      <c r="C107" s="86">
        <v>200</v>
      </c>
      <c r="D107" s="183">
        <f>SUMIFS('февраль 2025'!$G$4:$G$2441,'февраль 2025'!$D$4:$D$2441,$B107,'февраль 2025'!$J$4:$J$2441,D$1)</f>
        <v>0</v>
      </c>
      <c r="E107" s="183">
        <f>SUMIFS('февраль 2025'!$G$4:$G$2441,'февраль 2025'!$D$4:$D$2441,$B107,'февраль 2025'!$J$4:$J$2441,E$1)</f>
        <v>0</v>
      </c>
      <c r="F107" s="183">
        <f>SUMIFS('февраль 2025'!$G$4:$G$2441,'февраль 2025'!$D$4:$D$2441,$B107,'февраль 2025'!$J$4:$J$2441,F$1)</f>
        <v>0</v>
      </c>
      <c r="G107" s="183">
        <f>SUMIFS('февраль 2025'!$G$4:$G$2441,'февраль 2025'!$D$4:$D$2441,$B107,'февраль 2025'!$J$4:$J$2441,G$1)</f>
        <v>0</v>
      </c>
      <c r="H107" s="183">
        <f>SUMIFS('февраль 2025'!$G$4:$G$2441,'февраль 2025'!$D$4:$D$2441,$B107,'февраль 2025'!$J$4:$J$2441,H$1)</f>
        <v>0</v>
      </c>
      <c r="I107" s="183">
        <f>SUMIFS('февраль 2025'!$G$4:$G$2441,'февраль 2025'!$D$4:$D$2441,$B107,'февраль 2025'!$J$4:$J$2441,I$1)</f>
        <v>0</v>
      </c>
      <c r="J107" s="183">
        <f>SUMIFS('февраль 2025'!$G$4:$G$2441,'февраль 2025'!$D$4:$D$2441,$B107,'февраль 2025'!$J$4:$J$2441,J$1)</f>
        <v>0</v>
      </c>
      <c r="K107" s="183">
        <f>SUMIFS('февраль 2025'!$G$4:$G$2441,'февраль 2025'!$D$4:$D$2441,$B107,'февраль 2025'!$J$4:$J$2441,K$1)</f>
        <v>0</v>
      </c>
      <c r="L107" s="183">
        <f>SUMIFS('февраль 2025'!$G$4:$G$2441,'февраль 2025'!$D$4:$D$2441,$B107,'февраль 2025'!$J$4:$J$2441,L$1)</f>
        <v>0</v>
      </c>
      <c r="M107" s="183">
        <f>SUMIFS('февраль 2025'!$G$4:$G$2441,'февраль 2025'!$D$4:$D$2441,$B107,'февраль 2025'!$J$4:$J$2441,M$1)</f>
        <v>0</v>
      </c>
      <c r="N107" s="183">
        <f>SUMIFS('февраль 2025'!$G$4:$G$2441,'февраль 2025'!$D$4:$D$2441,$B107,'февраль 2025'!$J$4:$J$2441,N$1)</f>
        <v>0</v>
      </c>
      <c r="O107" s="183">
        <f>SUMIFS('февраль 2025'!$G$4:$G$2441,'февраль 2025'!$D$4:$D$2441,$B107,'февраль 2025'!$J$4:$J$2441,O$1)</f>
        <v>0</v>
      </c>
      <c r="P107" s="183">
        <f>SUMIFS('февраль 2025'!$G$4:$G$2441,'февраль 2025'!$D$4:$D$2441,$B107,'февраль 2025'!$J$4:$J$2441,P$1)</f>
        <v>0</v>
      </c>
      <c r="Q107" s="183">
        <f>SUMIFS('февраль 2025'!$G$4:$G$2441,'февраль 2025'!$D$4:$D$2441,$B107,'февраль 2025'!$J$4:$J$2441,Q$1)</f>
        <v>0</v>
      </c>
      <c r="R107" s="183">
        <f>SUMIFS('февраль 2025'!$G$4:$G$2441,'февраль 2025'!$D$4:$D$2441,$B107,'февраль 2025'!$J$4:$J$2441,R$1)</f>
        <v>0</v>
      </c>
      <c r="S107" s="183">
        <f>SUMIFS('февраль 2025'!$G$4:$G$2441,'февраль 2025'!$D$4:$D$2441,$B107,'февраль 2025'!$J$4:$J$2441,S$1)</f>
        <v>0</v>
      </c>
      <c r="T107" s="183">
        <f>SUMIFS('февраль 2025'!$G$4:$G$2441,'февраль 2025'!$D$4:$D$2441,$B107,'февраль 2025'!$J$4:$J$2441,T$1)</f>
        <v>0</v>
      </c>
      <c r="U107" s="183">
        <f>SUMIFS('февраль 2025'!$G$4:$G$2441,'февраль 2025'!$D$4:$D$2441,$B107,'февраль 2025'!$J$4:$J$2441,U$1)</f>
        <v>0</v>
      </c>
      <c r="V107" s="183">
        <f>SUMIFS('февраль 2025'!$G$4:$G$2441,'февраль 2025'!$D$4:$D$2441,$B107,'февраль 2025'!$J$4:$J$2441,V$1)</f>
        <v>0</v>
      </c>
      <c r="W107" s="183">
        <f>SUMIFS('февраль 2025'!$G$4:$G$2441,'февраль 2025'!$D$4:$D$2441,$B107,'февраль 2025'!$J$4:$J$2441,W$1)</f>
        <v>0</v>
      </c>
      <c r="X107" s="183">
        <f>SUMIFS('февраль 2025'!$G$4:$G$2441,'февраль 2025'!$D$4:$D$2441,$B107,'февраль 2025'!$J$4:$J$2441,X$1)</f>
        <v>0</v>
      </c>
      <c r="Y107" s="183">
        <f>SUMIFS('февраль 2025'!$G$4:$G$2441,'февраль 2025'!$D$4:$D$2441,$B107,'февраль 2025'!$J$4:$J$2441,Y$1)</f>
        <v>0</v>
      </c>
      <c r="Z107" s="183">
        <f>SUMIFS('февраль 2025'!$G$4:$G$2441,'февраль 2025'!$D$4:$D$2441,$B107,'февраль 2025'!$J$4:$J$2441,Z$1)</f>
        <v>0</v>
      </c>
      <c r="AA107" s="183">
        <f>SUMIFS('февраль 2025'!$G$4:$G$2441,'февраль 2025'!$D$4:$D$2441,$B107,'февраль 2025'!$J$4:$J$2441,AA$1)</f>
        <v>0</v>
      </c>
      <c r="AB107" s="183">
        <f>SUMIFS('февраль 2025'!$G$4:$G$2441,'февраль 2025'!$D$4:$D$2441,$B107,'февраль 2025'!$J$4:$J$2441,AB$1)</f>
        <v>0</v>
      </c>
      <c r="AC107" s="183">
        <f>SUMIFS('февраль 2025'!$G$4:$G$2441,'февраль 2025'!$D$4:$D$2441,$B107,'февраль 2025'!$J$4:$J$2441,AC$1)</f>
        <v>0</v>
      </c>
      <c r="AD107" s="183">
        <f>SUMIFS('февраль 2025'!$G$4:$G$2441,'февраль 2025'!$D$4:$D$2441,$B107,'февраль 2025'!$J$4:$J$2441,AD$1)</f>
        <v>0</v>
      </c>
      <c r="AE107" s="183">
        <f>SUMIFS('февраль 2025'!$G$4:$G$2441,'февраль 2025'!$D$4:$D$2441,$B107,'февраль 2025'!$J$4:$J$2441,AE$1)</f>
        <v>0</v>
      </c>
      <c r="AF107" s="183">
        <f>SUMIFS('февраль 2025'!$G$4:$G$2441,'февраль 2025'!$D$4:$D$2441,$B107,'февраль 2025'!$J$4:$J$2441,AF$1)</f>
        <v>0</v>
      </c>
      <c r="AG107" s="183">
        <f>SUMIFS('февраль 2025'!$G$4:$G$2441,'февраль 2025'!$D$4:$D$2441,$B107,'февраль 2025'!$J$4:$J$2441,AG$1)</f>
        <v>0</v>
      </c>
      <c r="AH107" s="183">
        <f>SUMIFS('февраль 2025'!$G$4:$G$2441,'февраль 2025'!$D$4:$D$2441,$B107,'февраль 2025'!$J$4:$J$2441,AH$1)</f>
        <v>0</v>
      </c>
      <c r="AI107" s="20">
        <f t="shared" si="1"/>
        <v>0</v>
      </c>
    </row>
    <row r="108" spans="2:35" ht="15" customHeight="1" x14ac:dyDescent="0.25">
      <c r="B108" s="88" t="s">
        <v>262</v>
      </c>
      <c r="C108" s="86">
        <v>200</v>
      </c>
      <c r="D108" s="183">
        <f>SUMIFS('февраль 2025'!$G$4:$G$2441,'февраль 2025'!$D$4:$D$2441,$B108,'февраль 2025'!$J$4:$J$2441,D$1)</f>
        <v>0</v>
      </c>
      <c r="E108" s="183">
        <f>SUMIFS('февраль 2025'!$G$4:$G$2441,'февраль 2025'!$D$4:$D$2441,$B108,'февраль 2025'!$J$4:$J$2441,E$1)</f>
        <v>0</v>
      </c>
      <c r="F108" s="183">
        <f>SUMIFS('февраль 2025'!$G$4:$G$2441,'февраль 2025'!$D$4:$D$2441,$B108,'февраль 2025'!$J$4:$J$2441,F$1)</f>
        <v>0</v>
      </c>
      <c r="G108" s="183">
        <f>SUMIFS('февраль 2025'!$G$4:$G$2441,'февраль 2025'!$D$4:$D$2441,$B108,'февраль 2025'!$J$4:$J$2441,G$1)</f>
        <v>0</v>
      </c>
      <c r="H108" s="183">
        <f>SUMIFS('февраль 2025'!$G$4:$G$2441,'февраль 2025'!$D$4:$D$2441,$B108,'февраль 2025'!$J$4:$J$2441,H$1)</f>
        <v>0</v>
      </c>
      <c r="I108" s="183">
        <f>SUMIFS('февраль 2025'!$G$4:$G$2441,'февраль 2025'!$D$4:$D$2441,$B108,'февраль 2025'!$J$4:$J$2441,I$1)</f>
        <v>0</v>
      </c>
      <c r="J108" s="183">
        <f>SUMIFS('февраль 2025'!$G$4:$G$2441,'февраль 2025'!$D$4:$D$2441,$B108,'февраль 2025'!$J$4:$J$2441,J$1)</f>
        <v>0</v>
      </c>
      <c r="K108" s="183">
        <f>SUMIFS('февраль 2025'!$G$4:$G$2441,'февраль 2025'!$D$4:$D$2441,$B108,'февраль 2025'!$J$4:$J$2441,K$1)</f>
        <v>0</v>
      </c>
      <c r="L108" s="183">
        <f>SUMIFS('февраль 2025'!$G$4:$G$2441,'февраль 2025'!$D$4:$D$2441,$B108,'февраль 2025'!$J$4:$J$2441,L$1)</f>
        <v>0</v>
      </c>
      <c r="M108" s="183">
        <f>SUMIFS('февраль 2025'!$G$4:$G$2441,'февраль 2025'!$D$4:$D$2441,$B108,'февраль 2025'!$J$4:$J$2441,M$1)</f>
        <v>0</v>
      </c>
      <c r="N108" s="183">
        <f>SUMIFS('февраль 2025'!$G$4:$G$2441,'февраль 2025'!$D$4:$D$2441,$B108,'февраль 2025'!$J$4:$J$2441,N$1)</f>
        <v>0</v>
      </c>
      <c r="O108" s="183">
        <f>SUMIFS('февраль 2025'!$G$4:$G$2441,'февраль 2025'!$D$4:$D$2441,$B108,'февраль 2025'!$J$4:$J$2441,O$1)</f>
        <v>0</v>
      </c>
      <c r="P108" s="183">
        <f>SUMIFS('февраль 2025'!$G$4:$G$2441,'февраль 2025'!$D$4:$D$2441,$B108,'февраль 2025'!$J$4:$J$2441,P$1)</f>
        <v>0</v>
      </c>
      <c r="Q108" s="183">
        <f>SUMIFS('февраль 2025'!$G$4:$G$2441,'февраль 2025'!$D$4:$D$2441,$B108,'февраль 2025'!$J$4:$J$2441,Q$1)</f>
        <v>0</v>
      </c>
      <c r="R108" s="183">
        <f>SUMIFS('февраль 2025'!$G$4:$G$2441,'февраль 2025'!$D$4:$D$2441,$B108,'февраль 2025'!$J$4:$J$2441,R$1)</f>
        <v>0</v>
      </c>
      <c r="S108" s="183">
        <f>SUMIFS('февраль 2025'!$G$4:$G$2441,'февраль 2025'!$D$4:$D$2441,$B108,'февраль 2025'!$J$4:$J$2441,S$1)</f>
        <v>0</v>
      </c>
      <c r="T108" s="183">
        <f>SUMIFS('февраль 2025'!$G$4:$G$2441,'февраль 2025'!$D$4:$D$2441,$B108,'февраль 2025'!$J$4:$J$2441,T$1)</f>
        <v>0</v>
      </c>
      <c r="U108" s="183">
        <f>SUMIFS('февраль 2025'!$G$4:$G$2441,'февраль 2025'!$D$4:$D$2441,$B108,'февраль 2025'!$J$4:$J$2441,U$1)</f>
        <v>0</v>
      </c>
      <c r="V108" s="183">
        <f>SUMIFS('февраль 2025'!$G$4:$G$2441,'февраль 2025'!$D$4:$D$2441,$B108,'февраль 2025'!$J$4:$J$2441,V$1)</f>
        <v>0</v>
      </c>
      <c r="W108" s="183">
        <f>SUMIFS('февраль 2025'!$G$4:$G$2441,'февраль 2025'!$D$4:$D$2441,$B108,'февраль 2025'!$J$4:$J$2441,W$1)</f>
        <v>0</v>
      </c>
      <c r="X108" s="183">
        <f>SUMIFS('февраль 2025'!$G$4:$G$2441,'февраль 2025'!$D$4:$D$2441,$B108,'февраль 2025'!$J$4:$J$2441,X$1)</f>
        <v>0</v>
      </c>
      <c r="Y108" s="183">
        <f>SUMIFS('февраль 2025'!$G$4:$G$2441,'февраль 2025'!$D$4:$D$2441,$B108,'февраль 2025'!$J$4:$J$2441,Y$1)</f>
        <v>0</v>
      </c>
      <c r="Z108" s="183">
        <f>SUMIFS('февраль 2025'!$G$4:$G$2441,'февраль 2025'!$D$4:$D$2441,$B108,'февраль 2025'!$J$4:$J$2441,Z$1)</f>
        <v>0</v>
      </c>
      <c r="AA108" s="183">
        <f>SUMIFS('февраль 2025'!$G$4:$G$2441,'февраль 2025'!$D$4:$D$2441,$B108,'февраль 2025'!$J$4:$J$2441,AA$1)</f>
        <v>0</v>
      </c>
      <c r="AB108" s="183">
        <f>SUMIFS('февраль 2025'!$G$4:$G$2441,'февраль 2025'!$D$4:$D$2441,$B108,'февраль 2025'!$J$4:$J$2441,AB$1)</f>
        <v>0</v>
      </c>
      <c r="AC108" s="183">
        <f>SUMIFS('февраль 2025'!$G$4:$G$2441,'февраль 2025'!$D$4:$D$2441,$B108,'февраль 2025'!$J$4:$J$2441,AC$1)</f>
        <v>0</v>
      </c>
      <c r="AD108" s="183">
        <f>SUMIFS('февраль 2025'!$G$4:$G$2441,'февраль 2025'!$D$4:$D$2441,$B108,'февраль 2025'!$J$4:$J$2441,AD$1)</f>
        <v>0</v>
      </c>
      <c r="AE108" s="183">
        <f>SUMIFS('февраль 2025'!$G$4:$G$2441,'февраль 2025'!$D$4:$D$2441,$B108,'февраль 2025'!$J$4:$J$2441,AE$1)</f>
        <v>0</v>
      </c>
      <c r="AF108" s="183">
        <f>SUMIFS('февраль 2025'!$G$4:$G$2441,'февраль 2025'!$D$4:$D$2441,$B108,'февраль 2025'!$J$4:$J$2441,AF$1)</f>
        <v>0</v>
      </c>
      <c r="AG108" s="183">
        <f>SUMIFS('февраль 2025'!$G$4:$G$2441,'февраль 2025'!$D$4:$D$2441,$B108,'февраль 2025'!$J$4:$J$2441,AG$1)</f>
        <v>0</v>
      </c>
      <c r="AH108" s="183">
        <f>SUMIFS('февраль 2025'!$G$4:$G$2441,'февраль 2025'!$D$4:$D$2441,$B108,'февраль 2025'!$J$4:$J$2441,AH$1)</f>
        <v>0</v>
      </c>
      <c r="AI108" s="20">
        <f t="shared" si="1"/>
        <v>0</v>
      </c>
    </row>
    <row r="109" spans="2:35" ht="15" customHeight="1" x14ac:dyDescent="0.25">
      <c r="B109" s="88" t="s">
        <v>263</v>
      </c>
      <c r="C109" s="86">
        <v>200</v>
      </c>
      <c r="D109" s="183">
        <f>SUMIFS('февраль 2025'!$G$4:$G$2441,'февраль 2025'!$D$4:$D$2441,$B109,'февраль 2025'!$J$4:$J$2441,D$1)</f>
        <v>0</v>
      </c>
      <c r="E109" s="183">
        <f>SUMIFS('февраль 2025'!$G$4:$G$2441,'февраль 2025'!$D$4:$D$2441,$B109,'февраль 2025'!$J$4:$J$2441,E$1)</f>
        <v>0</v>
      </c>
      <c r="F109" s="183">
        <f>SUMIFS('февраль 2025'!$G$4:$G$2441,'февраль 2025'!$D$4:$D$2441,$B109,'февраль 2025'!$J$4:$J$2441,F$1)</f>
        <v>0</v>
      </c>
      <c r="G109" s="183">
        <f>SUMIFS('февраль 2025'!$G$4:$G$2441,'февраль 2025'!$D$4:$D$2441,$B109,'февраль 2025'!$J$4:$J$2441,G$1)</f>
        <v>0</v>
      </c>
      <c r="H109" s="183">
        <f>SUMIFS('февраль 2025'!$G$4:$G$2441,'февраль 2025'!$D$4:$D$2441,$B109,'февраль 2025'!$J$4:$J$2441,H$1)</f>
        <v>0</v>
      </c>
      <c r="I109" s="183">
        <f>SUMIFS('февраль 2025'!$G$4:$G$2441,'февраль 2025'!$D$4:$D$2441,$B109,'февраль 2025'!$J$4:$J$2441,I$1)</f>
        <v>0</v>
      </c>
      <c r="J109" s="183">
        <f>SUMIFS('февраль 2025'!$G$4:$G$2441,'февраль 2025'!$D$4:$D$2441,$B109,'февраль 2025'!$J$4:$J$2441,J$1)</f>
        <v>0</v>
      </c>
      <c r="K109" s="183">
        <f>SUMIFS('февраль 2025'!$G$4:$G$2441,'февраль 2025'!$D$4:$D$2441,$B109,'февраль 2025'!$J$4:$J$2441,K$1)</f>
        <v>0</v>
      </c>
      <c r="L109" s="183">
        <f>SUMIFS('февраль 2025'!$G$4:$G$2441,'февраль 2025'!$D$4:$D$2441,$B109,'февраль 2025'!$J$4:$J$2441,L$1)</f>
        <v>0</v>
      </c>
      <c r="M109" s="183">
        <f>SUMIFS('февраль 2025'!$G$4:$G$2441,'февраль 2025'!$D$4:$D$2441,$B109,'февраль 2025'!$J$4:$J$2441,M$1)</f>
        <v>0</v>
      </c>
      <c r="N109" s="183">
        <f>SUMIFS('февраль 2025'!$G$4:$G$2441,'февраль 2025'!$D$4:$D$2441,$B109,'февраль 2025'!$J$4:$J$2441,N$1)</f>
        <v>0</v>
      </c>
      <c r="O109" s="183">
        <f>SUMIFS('февраль 2025'!$G$4:$G$2441,'февраль 2025'!$D$4:$D$2441,$B109,'февраль 2025'!$J$4:$J$2441,O$1)</f>
        <v>0</v>
      </c>
      <c r="P109" s="183">
        <f>SUMIFS('февраль 2025'!$G$4:$G$2441,'февраль 2025'!$D$4:$D$2441,$B109,'февраль 2025'!$J$4:$J$2441,P$1)</f>
        <v>0</v>
      </c>
      <c r="Q109" s="183">
        <f>SUMIFS('февраль 2025'!$G$4:$G$2441,'февраль 2025'!$D$4:$D$2441,$B109,'февраль 2025'!$J$4:$J$2441,Q$1)</f>
        <v>0</v>
      </c>
      <c r="R109" s="183">
        <f>SUMIFS('февраль 2025'!$G$4:$G$2441,'февраль 2025'!$D$4:$D$2441,$B109,'февраль 2025'!$J$4:$J$2441,R$1)</f>
        <v>0</v>
      </c>
      <c r="S109" s="183">
        <f>SUMIFS('февраль 2025'!$G$4:$G$2441,'февраль 2025'!$D$4:$D$2441,$B109,'февраль 2025'!$J$4:$J$2441,S$1)</f>
        <v>0</v>
      </c>
      <c r="T109" s="183">
        <f>SUMIFS('февраль 2025'!$G$4:$G$2441,'февраль 2025'!$D$4:$D$2441,$B109,'февраль 2025'!$J$4:$J$2441,T$1)</f>
        <v>0</v>
      </c>
      <c r="U109" s="183">
        <f>SUMIFS('февраль 2025'!$G$4:$G$2441,'февраль 2025'!$D$4:$D$2441,$B109,'февраль 2025'!$J$4:$J$2441,U$1)</f>
        <v>0</v>
      </c>
      <c r="V109" s="183">
        <f>SUMIFS('февраль 2025'!$G$4:$G$2441,'февраль 2025'!$D$4:$D$2441,$B109,'февраль 2025'!$J$4:$J$2441,V$1)</f>
        <v>0</v>
      </c>
      <c r="W109" s="183">
        <f>SUMIFS('февраль 2025'!$G$4:$G$2441,'февраль 2025'!$D$4:$D$2441,$B109,'февраль 2025'!$J$4:$J$2441,W$1)</f>
        <v>0</v>
      </c>
      <c r="X109" s="183">
        <f>SUMIFS('февраль 2025'!$G$4:$G$2441,'февраль 2025'!$D$4:$D$2441,$B109,'февраль 2025'!$J$4:$J$2441,X$1)</f>
        <v>0</v>
      </c>
      <c r="Y109" s="183">
        <f>SUMIFS('февраль 2025'!$G$4:$G$2441,'февраль 2025'!$D$4:$D$2441,$B109,'февраль 2025'!$J$4:$J$2441,Y$1)</f>
        <v>0</v>
      </c>
      <c r="Z109" s="183">
        <f>SUMIFS('февраль 2025'!$G$4:$G$2441,'февраль 2025'!$D$4:$D$2441,$B109,'февраль 2025'!$J$4:$J$2441,Z$1)</f>
        <v>0</v>
      </c>
      <c r="AA109" s="183">
        <f>SUMIFS('февраль 2025'!$G$4:$G$2441,'февраль 2025'!$D$4:$D$2441,$B109,'февраль 2025'!$J$4:$J$2441,AA$1)</f>
        <v>0</v>
      </c>
      <c r="AB109" s="183">
        <f>SUMIFS('февраль 2025'!$G$4:$G$2441,'февраль 2025'!$D$4:$D$2441,$B109,'февраль 2025'!$J$4:$J$2441,AB$1)</f>
        <v>0</v>
      </c>
      <c r="AC109" s="183">
        <f>SUMIFS('февраль 2025'!$G$4:$G$2441,'февраль 2025'!$D$4:$D$2441,$B109,'февраль 2025'!$J$4:$J$2441,AC$1)</f>
        <v>0</v>
      </c>
      <c r="AD109" s="183">
        <f>SUMIFS('февраль 2025'!$G$4:$G$2441,'февраль 2025'!$D$4:$D$2441,$B109,'февраль 2025'!$J$4:$J$2441,AD$1)</f>
        <v>0</v>
      </c>
      <c r="AE109" s="183">
        <f>SUMIFS('февраль 2025'!$G$4:$G$2441,'февраль 2025'!$D$4:$D$2441,$B109,'февраль 2025'!$J$4:$J$2441,AE$1)</f>
        <v>0</v>
      </c>
      <c r="AF109" s="183">
        <f>SUMIFS('февраль 2025'!$G$4:$G$2441,'февраль 2025'!$D$4:$D$2441,$B109,'февраль 2025'!$J$4:$J$2441,AF$1)</f>
        <v>0</v>
      </c>
      <c r="AG109" s="183">
        <f>SUMIFS('февраль 2025'!$G$4:$G$2441,'февраль 2025'!$D$4:$D$2441,$B109,'февраль 2025'!$J$4:$J$2441,AG$1)</f>
        <v>0</v>
      </c>
      <c r="AH109" s="183">
        <f>SUMIFS('февраль 2025'!$G$4:$G$2441,'февраль 2025'!$D$4:$D$2441,$B109,'февраль 2025'!$J$4:$J$2441,AH$1)</f>
        <v>0</v>
      </c>
      <c r="AI109" s="20">
        <f t="shared" si="1"/>
        <v>0</v>
      </c>
    </row>
    <row r="110" spans="2:35" ht="15" customHeight="1" x14ac:dyDescent="0.25">
      <c r="B110" s="84" t="s">
        <v>208</v>
      </c>
      <c r="C110" s="83">
        <v>25</v>
      </c>
      <c r="D110" s="183">
        <f>SUMIFS('февраль 2025'!$G$4:$G$2441,'февраль 2025'!$D$4:$D$2441,$B110,'февраль 2025'!$J$4:$J$2441,D$1)</f>
        <v>0</v>
      </c>
      <c r="E110" s="183">
        <f>SUMIFS('февраль 2025'!$G$4:$G$2441,'февраль 2025'!$D$4:$D$2441,$B110,'февраль 2025'!$J$4:$J$2441,E$1)</f>
        <v>0</v>
      </c>
      <c r="F110" s="183">
        <f>SUMIFS('февраль 2025'!$G$4:$G$2441,'февраль 2025'!$D$4:$D$2441,$B110,'февраль 2025'!$J$4:$J$2441,F$1)</f>
        <v>0</v>
      </c>
      <c r="G110" s="183">
        <f>SUMIFS('февраль 2025'!$G$4:$G$2441,'февраль 2025'!$D$4:$D$2441,$B110,'февраль 2025'!$J$4:$J$2441,G$1)</f>
        <v>0</v>
      </c>
      <c r="H110" s="183">
        <f>SUMIFS('февраль 2025'!$G$4:$G$2441,'февраль 2025'!$D$4:$D$2441,$B110,'февраль 2025'!$J$4:$J$2441,H$1)</f>
        <v>0</v>
      </c>
      <c r="I110" s="183">
        <f>SUMIFS('февраль 2025'!$G$4:$G$2441,'февраль 2025'!$D$4:$D$2441,$B110,'февраль 2025'!$J$4:$J$2441,I$1)</f>
        <v>0</v>
      </c>
      <c r="J110" s="183">
        <f>SUMIFS('февраль 2025'!$G$4:$G$2441,'февраль 2025'!$D$4:$D$2441,$B110,'февраль 2025'!$J$4:$J$2441,J$1)</f>
        <v>0</v>
      </c>
      <c r="K110" s="183">
        <f>SUMIFS('февраль 2025'!$G$4:$G$2441,'февраль 2025'!$D$4:$D$2441,$B110,'февраль 2025'!$J$4:$J$2441,K$1)</f>
        <v>0</v>
      </c>
      <c r="L110" s="183">
        <f>SUMIFS('февраль 2025'!$G$4:$G$2441,'февраль 2025'!$D$4:$D$2441,$B110,'февраль 2025'!$J$4:$J$2441,L$1)</f>
        <v>0</v>
      </c>
      <c r="M110" s="183">
        <f>SUMIFS('февраль 2025'!$G$4:$G$2441,'февраль 2025'!$D$4:$D$2441,$B110,'февраль 2025'!$J$4:$J$2441,M$1)</f>
        <v>0</v>
      </c>
      <c r="N110" s="183">
        <f>SUMIFS('февраль 2025'!$G$4:$G$2441,'февраль 2025'!$D$4:$D$2441,$B110,'февраль 2025'!$J$4:$J$2441,N$1)</f>
        <v>0</v>
      </c>
      <c r="O110" s="183">
        <f>SUMIFS('февраль 2025'!$G$4:$G$2441,'февраль 2025'!$D$4:$D$2441,$B110,'февраль 2025'!$J$4:$J$2441,O$1)</f>
        <v>0</v>
      </c>
      <c r="P110" s="183">
        <f>SUMIFS('февраль 2025'!$G$4:$G$2441,'февраль 2025'!$D$4:$D$2441,$B110,'февраль 2025'!$J$4:$J$2441,P$1)</f>
        <v>0</v>
      </c>
      <c r="Q110" s="183">
        <f>SUMIFS('февраль 2025'!$G$4:$G$2441,'февраль 2025'!$D$4:$D$2441,$B110,'февраль 2025'!$J$4:$J$2441,Q$1)</f>
        <v>0</v>
      </c>
      <c r="R110" s="183">
        <f>SUMIFS('февраль 2025'!$G$4:$G$2441,'февраль 2025'!$D$4:$D$2441,$B110,'февраль 2025'!$J$4:$J$2441,R$1)</f>
        <v>0</v>
      </c>
      <c r="S110" s="183">
        <f>SUMIFS('февраль 2025'!$G$4:$G$2441,'февраль 2025'!$D$4:$D$2441,$B110,'февраль 2025'!$J$4:$J$2441,S$1)</f>
        <v>0</v>
      </c>
      <c r="T110" s="183">
        <f>SUMIFS('февраль 2025'!$G$4:$G$2441,'февраль 2025'!$D$4:$D$2441,$B110,'февраль 2025'!$J$4:$J$2441,T$1)</f>
        <v>0</v>
      </c>
      <c r="U110" s="183">
        <f>SUMIFS('февраль 2025'!$G$4:$G$2441,'февраль 2025'!$D$4:$D$2441,$B110,'февраль 2025'!$J$4:$J$2441,U$1)</f>
        <v>0</v>
      </c>
      <c r="V110" s="183">
        <f>SUMIFS('февраль 2025'!$G$4:$G$2441,'февраль 2025'!$D$4:$D$2441,$B110,'февраль 2025'!$J$4:$J$2441,V$1)</f>
        <v>0</v>
      </c>
      <c r="W110" s="183">
        <f>SUMIFS('февраль 2025'!$G$4:$G$2441,'февраль 2025'!$D$4:$D$2441,$B110,'февраль 2025'!$J$4:$J$2441,W$1)</f>
        <v>0</v>
      </c>
      <c r="X110" s="183">
        <f>SUMIFS('февраль 2025'!$G$4:$G$2441,'февраль 2025'!$D$4:$D$2441,$B110,'февраль 2025'!$J$4:$J$2441,X$1)</f>
        <v>0</v>
      </c>
      <c r="Y110" s="183">
        <f>SUMIFS('февраль 2025'!$G$4:$G$2441,'февраль 2025'!$D$4:$D$2441,$B110,'февраль 2025'!$J$4:$J$2441,Y$1)</f>
        <v>0</v>
      </c>
      <c r="Z110" s="183">
        <f>SUMIFS('февраль 2025'!$G$4:$G$2441,'февраль 2025'!$D$4:$D$2441,$B110,'февраль 2025'!$J$4:$J$2441,Z$1)</f>
        <v>0</v>
      </c>
      <c r="AA110" s="183">
        <f>SUMIFS('февраль 2025'!$G$4:$G$2441,'февраль 2025'!$D$4:$D$2441,$B110,'февраль 2025'!$J$4:$J$2441,AA$1)</f>
        <v>0</v>
      </c>
      <c r="AB110" s="183">
        <f>SUMIFS('февраль 2025'!$G$4:$G$2441,'февраль 2025'!$D$4:$D$2441,$B110,'февраль 2025'!$J$4:$J$2441,AB$1)</f>
        <v>0</v>
      </c>
      <c r="AC110" s="183">
        <f>SUMIFS('февраль 2025'!$G$4:$G$2441,'февраль 2025'!$D$4:$D$2441,$B110,'февраль 2025'!$J$4:$J$2441,AC$1)</f>
        <v>0</v>
      </c>
      <c r="AD110" s="183">
        <f>SUMIFS('февраль 2025'!$G$4:$G$2441,'февраль 2025'!$D$4:$D$2441,$B110,'февраль 2025'!$J$4:$J$2441,AD$1)</f>
        <v>0</v>
      </c>
      <c r="AE110" s="183">
        <f>SUMIFS('февраль 2025'!$G$4:$G$2441,'февраль 2025'!$D$4:$D$2441,$B110,'февраль 2025'!$J$4:$J$2441,AE$1)</f>
        <v>0</v>
      </c>
      <c r="AF110" s="183">
        <f>SUMIFS('февраль 2025'!$G$4:$G$2441,'февраль 2025'!$D$4:$D$2441,$B110,'февраль 2025'!$J$4:$J$2441,AF$1)</f>
        <v>0</v>
      </c>
      <c r="AG110" s="183">
        <f>SUMIFS('февраль 2025'!$G$4:$G$2441,'февраль 2025'!$D$4:$D$2441,$B110,'февраль 2025'!$J$4:$J$2441,AG$1)</f>
        <v>0</v>
      </c>
      <c r="AH110" s="183">
        <f>SUMIFS('февраль 2025'!$G$4:$G$2441,'февраль 2025'!$D$4:$D$2441,$B110,'февраль 2025'!$J$4:$J$2441,AH$1)</f>
        <v>0</v>
      </c>
      <c r="AI110" s="20">
        <f t="shared" si="1"/>
        <v>0</v>
      </c>
    </row>
    <row r="111" spans="2:35" ht="15" customHeight="1" x14ac:dyDescent="0.25">
      <c r="B111" s="88" t="s">
        <v>264</v>
      </c>
      <c r="C111" s="86">
        <v>50</v>
      </c>
      <c r="D111" s="183">
        <f>SUMIFS('февраль 2025'!$G$4:$G$2441,'февраль 2025'!$D$4:$D$2441,$B111,'февраль 2025'!$J$4:$J$2441,D$1)</f>
        <v>0</v>
      </c>
      <c r="E111" s="183">
        <f>SUMIFS('февраль 2025'!$G$4:$G$2441,'февраль 2025'!$D$4:$D$2441,$B111,'февраль 2025'!$J$4:$J$2441,E$1)</f>
        <v>0</v>
      </c>
      <c r="F111" s="183">
        <f>SUMIFS('февраль 2025'!$G$4:$G$2441,'февраль 2025'!$D$4:$D$2441,$B111,'февраль 2025'!$J$4:$J$2441,F$1)</f>
        <v>0</v>
      </c>
      <c r="G111" s="183">
        <f>SUMIFS('февраль 2025'!$G$4:$G$2441,'февраль 2025'!$D$4:$D$2441,$B111,'февраль 2025'!$J$4:$J$2441,G$1)</f>
        <v>0</v>
      </c>
      <c r="H111" s="183">
        <f>SUMIFS('февраль 2025'!$G$4:$G$2441,'февраль 2025'!$D$4:$D$2441,$B111,'февраль 2025'!$J$4:$J$2441,H$1)</f>
        <v>0</v>
      </c>
      <c r="I111" s="183">
        <f>SUMIFS('февраль 2025'!$G$4:$G$2441,'февраль 2025'!$D$4:$D$2441,$B111,'февраль 2025'!$J$4:$J$2441,I$1)</f>
        <v>0</v>
      </c>
      <c r="J111" s="183">
        <f>SUMIFS('февраль 2025'!$G$4:$G$2441,'февраль 2025'!$D$4:$D$2441,$B111,'февраль 2025'!$J$4:$J$2441,J$1)</f>
        <v>0</v>
      </c>
      <c r="K111" s="183">
        <f>SUMIFS('февраль 2025'!$G$4:$G$2441,'февраль 2025'!$D$4:$D$2441,$B111,'февраль 2025'!$J$4:$J$2441,K$1)</f>
        <v>0</v>
      </c>
      <c r="L111" s="183">
        <f>SUMIFS('февраль 2025'!$G$4:$G$2441,'февраль 2025'!$D$4:$D$2441,$B111,'февраль 2025'!$J$4:$J$2441,L$1)</f>
        <v>0</v>
      </c>
      <c r="M111" s="183">
        <f>SUMIFS('февраль 2025'!$G$4:$G$2441,'февраль 2025'!$D$4:$D$2441,$B111,'февраль 2025'!$J$4:$J$2441,M$1)</f>
        <v>0</v>
      </c>
      <c r="N111" s="183">
        <f>SUMIFS('февраль 2025'!$G$4:$G$2441,'февраль 2025'!$D$4:$D$2441,$B111,'февраль 2025'!$J$4:$J$2441,N$1)</f>
        <v>0</v>
      </c>
      <c r="O111" s="183">
        <f>SUMIFS('февраль 2025'!$G$4:$G$2441,'февраль 2025'!$D$4:$D$2441,$B111,'февраль 2025'!$J$4:$J$2441,O$1)</f>
        <v>0</v>
      </c>
      <c r="P111" s="183">
        <f>SUMIFS('февраль 2025'!$G$4:$G$2441,'февраль 2025'!$D$4:$D$2441,$B111,'февраль 2025'!$J$4:$J$2441,P$1)</f>
        <v>0</v>
      </c>
      <c r="Q111" s="183">
        <f>SUMIFS('февраль 2025'!$G$4:$G$2441,'февраль 2025'!$D$4:$D$2441,$B111,'февраль 2025'!$J$4:$J$2441,Q$1)</f>
        <v>0</v>
      </c>
      <c r="R111" s="183">
        <f>SUMIFS('февраль 2025'!$G$4:$G$2441,'февраль 2025'!$D$4:$D$2441,$B111,'февраль 2025'!$J$4:$J$2441,R$1)</f>
        <v>0</v>
      </c>
      <c r="S111" s="183">
        <f>SUMIFS('февраль 2025'!$G$4:$G$2441,'февраль 2025'!$D$4:$D$2441,$B111,'февраль 2025'!$J$4:$J$2441,S$1)</f>
        <v>0</v>
      </c>
      <c r="T111" s="183">
        <f>SUMIFS('февраль 2025'!$G$4:$G$2441,'февраль 2025'!$D$4:$D$2441,$B111,'февраль 2025'!$J$4:$J$2441,T$1)</f>
        <v>0</v>
      </c>
      <c r="U111" s="183">
        <f>SUMIFS('февраль 2025'!$G$4:$G$2441,'февраль 2025'!$D$4:$D$2441,$B111,'февраль 2025'!$J$4:$J$2441,U$1)</f>
        <v>0</v>
      </c>
      <c r="V111" s="183">
        <f>SUMIFS('февраль 2025'!$G$4:$G$2441,'февраль 2025'!$D$4:$D$2441,$B111,'февраль 2025'!$J$4:$J$2441,V$1)</f>
        <v>0</v>
      </c>
      <c r="W111" s="183">
        <f>SUMIFS('февраль 2025'!$G$4:$G$2441,'февраль 2025'!$D$4:$D$2441,$B111,'февраль 2025'!$J$4:$J$2441,W$1)</f>
        <v>0</v>
      </c>
      <c r="X111" s="183">
        <f>SUMIFS('февраль 2025'!$G$4:$G$2441,'февраль 2025'!$D$4:$D$2441,$B111,'февраль 2025'!$J$4:$J$2441,X$1)</f>
        <v>0</v>
      </c>
      <c r="Y111" s="183">
        <f>SUMIFS('февраль 2025'!$G$4:$G$2441,'февраль 2025'!$D$4:$D$2441,$B111,'февраль 2025'!$J$4:$J$2441,Y$1)</f>
        <v>0</v>
      </c>
      <c r="Z111" s="183">
        <f>SUMIFS('февраль 2025'!$G$4:$G$2441,'февраль 2025'!$D$4:$D$2441,$B111,'февраль 2025'!$J$4:$J$2441,Z$1)</f>
        <v>0</v>
      </c>
      <c r="AA111" s="183">
        <f>SUMIFS('февраль 2025'!$G$4:$G$2441,'февраль 2025'!$D$4:$D$2441,$B111,'февраль 2025'!$J$4:$J$2441,AA$1)</f>
        <v>0</v>
      </c>
      <c r="AB111" s="183">
        <f>SUMIFS('февраль 2025'!$G$4:$G$2441,'февраль 2025'!$D$4:$D$2441,$B111,'февраль 2025'!$J$4:$J$2441,AB$1)</f>
        <v>0</v>
      </c>
      <c r="AC111" s="183">
        <f>SUMIFS('февраль 2025'!$G$4:$G$2441,'февраль 2025'!$D$4:$D$2441,$B111,'февраль 2025'!$J$4:$J$2441,AC$1)</f>
        <v>0</v>
      </c>
      <c r="AD111" s="183">
        <f>SUMIFS('февраль 2025'!$G$4:$G$2441,'февраль 2025'!$D$4:$D$2441,$B111,'февраль 2025'!$J$4:$J$2441,AD$1)</f>
        <v>0</v>
      </c>
      <c r="AE111" s="183">
        <f>SUMIFS('февраль 2025'!$G$4:$G$2441,'февраль 2025'!$D$4:$D$2441,$B111,'февраль 2025'!$J$4:$J$2441,AE$1)</f>
        <v>0</v>
      </c>
      <c r="AF111" s="183">
        <f>SUMIFS('февраль 2025'!$G$4:$G$2441,'февраль 2025'!$D$4:$D$2441,$B111,'февраль 2025'!$J$4:$J$2441,AF$1)</f>
        <v>0</v>
      </c>
      <c r="AG111" s="183">
        <f>SUMIFS('февраль 2025'!$G$4:$G$2441,'февраль 2025'!$D$4:$D$2441,$B111,'февраль 2025'!$J$4:$J$2441,AG$1)</f>
        <v>0</v>
      </c>
      <c r="AH111" s="183">
        <f>SUMIFS('февраль 2025'!$G$4:$G$2441,'февраль 2025'!$D$4:$D$2441,$B111,'февраль 2025'!$J$4:$J$2441,AH$1)</f>
        <v>0</v>
      </c>
      <c r="AI111" s="20">
        <f t="shared" si="1"/>
        <v>0</v>
      </c>
    </row>
    <row r="112" spans="2:35" ht="15" customHeight="1" x14ac:dyDescent="0.25">
      <c r="B112" s="88" t="s">
        <v>185</v>
      </c>
      <c r="C112" s="86">
        <v>180</v>
      </c>
      <c r="D112" s="183">
        <f>SUMIFS('февраль 2025'!$G$4:$G$2441,'февраль 2025'!$D$4:$D$2441,$B112,'февраль 2025'!$J$4:$J$2441,D$1)</f>
        <v>0</v>
      </c>
      <c r="E112" s="183">
        <f>SUMIFS('февраль 2025'!$G$4:$G$2441,'февраль 2025'!$D$4:$D$2441,$B112,'февраль 2025'!$J$4:$J$2441,E$1)</f>
        <v>0</v>
      </c>
      <c r="F112" s="183">
        <f>SUMIFS('февраль 2025'!$G$4:$G$2441,'февраль 2025'!$D$4:$D$2441,$B112,'февраль 2025'!$J$4:$J$2441,F$1)</f>
        <v>0</v>
      </c>
      <c r="G112" s="183">
        <f>SUMIFS('февраль 2025'!$G$4:$G$2441,'февраль 2025'!$D$4:$D$2441,$B112,'февраль 2025'!$J$4:$J$2441,G$1)</f>
        <v>0</v>
      </c>
      <c r="H112" s="183">
        <f>SUMIFS('февраль 2025'!$G$4:$G$2441,'февраль 2025'!$D$4:$D$2441,$B112,'февраль 2025'!$J$4:$J$2441,H$1)</f>
        <v>0</v>
      </c>
      <c r="I112" s="183">
        <f>SUMIFS('февраль 2025'!$G$4:$G$2441,'февраль 2025'!$D$4:$D$2441,$B112,'февраль 2025'!$J$4:$J$2441,I$1)</f>
        <v>0</v>
      </c>
      <c r="J112" s="183">
        <f>SUMIFS('февраль 2025'!$G$4:$G$2441,'февраль 2025'!$D$4:$D$2441,$B112,'февраль 2025'!$J$4:$J$2441,J$1)</f>
        <v>0</v>
      </c>
      <c r="K112" s="183">
        <f>SUMIFS('февраль 2025'!$G$4:$G$2441,'февраль 2025'!$D$4:$D$2441,$B112,'февраль 2025'!$J$4:$J$2441,K$1)</f>
        <v>0</v>
      </c>
      <c r="L112" s="183">
        <f>SUMIFS('февраль 2025'!$G$4:$G$2441,'февраль 2025'!$D$4:$D$2441,$B112,'февраль 2025'!$J$4:$J$2441,L$1)</f>
        <v>0</v>
      </c>
      <c r="M112" s="183">
        <f>SUMIFS('февраль 2025'!$G$4:$G$2441,'февраль 2025'!$D$4:$D$2441,$B112,'февраль 2025'!$J$4:$J$2441,M$1)</f>
        <v>0</v>
      </c>
      <c r="N112" s="183">
        <f>SUMIFS('февраль 2025'!$G$4:$G$2441,'февраль 2025'!$D$4:$D$2441,$B112,'февраль 2025'!$J$4:$J$2441,N$1)</f>
        <v>0</v>
      </c>
      <c r="O112" s="183">
        <f>SUMIFS('февраль 2025'!$G$4:$G$2441,'февраль 2025'!$D$4:$D$2441,$B112,'февраль 2025'!$J$4:$J$2441,O$1)</f>
        <v>0</v>
      </c>
      <c r="P112" s="183">
        <f>SUMIFS('февраль 2025'!$G$4:$G$2441,'февраль 2025'!$D$4:$D$2441,$B112,'февраль 2025'!$J$4:$J$2441,P$1)</f>
        <v>0</v>
      </c>
      <c r="Q112" s="183">
        <f>SUMIFS('февраль 2025'!$G$4:$G$2441,'февраль 2025'!$D$4:$D$2441,$B112,'февраль 2025'!$J$4:$J$2441,Q$1)</f>
        <v>0</v>
      </c>
      <c r="R112" s="183">
        <f>SUMIFS('февраль 2025'!$G$4:$G$2441,'февраль 2025'!$D$4:$D$2441,$B112,'февраль 2025'!$J$4:$J$2441,R$1)</f>
        <v>0</v>
      </c>
      <c r="S112" s="183">
        <f>SUMIFS('февраль 2025'!$G$4:$G$2441,'февраль 2025'!$D$4:$D$2441,$B112,'февраль 2025'!$J$4:$J$2441,S$1)</f>
        <v>0</v>
      </c>
      <c r="T112" s="183">
        <f>SUMIFS('февраль 2025'!$G$4:$G$2441,'февраль 2025'!$D$4:$D$2441,$B112,'февраль 2025'!$J$4:$J$2441,T$1)</f>
        <v>0</v>
      </c>
      <c r="U112" s="183">
        <f>SUMIFS('февраль 2025'!$G$4:$G$2441,'февраль 2025'!$D$4:$D$2441,$B112,'февраль 2025'!$J$4:$J$2441,U$1)</f>
        <v>0</v>
      </c>
      <c r="V112" s="183">
        <f>SUMIFS('февраль 2025'!$G$4:$G$2441,'февраль 2025'!$D$4:$D$2441,$B112,'февраль 2025'!$J$4:$J$2441,V$1)</f>
        <v>0</v>
      </c>
      <c r="W112" s="183">
        <f>SUMIFS('февраль 2025'!$G$4:$G$2441,'февраль 2025'!$D$4:$D$2441,$B112,'февраль 2025'!$J$4:$J$2441,W$1)</f>
        <v>0</v>
      </c>
      <c r="X112" s="183">
        <f>SUMIFS('февраль 2025'!$G$4:$G$2441,'февраль 2025'!$D$4:$D$2441,$B112,'февраль 2025'!$J$4:$J$2441,X$1)</f>
        <v>0</v>
      </c>
      <c r="Y112" s="183">
        <f>SUMIFS('февраль 2025'!$G$4:$G$2441,'февраль 2025'!$D$4:$D$2441,$B112,'февраль 2025'!$J$4:$J$2441,Y$1)</f>
        <v>0</v>
      </c>
      <c r="Z112" s="183">
        <f>SUMIFS('февраль 2025'!$G$4:$G$2441,'февраль 2025'!$D$4:$D$2441,$B112,'февраль 2025'!$J$4:$J$2441,Z$1)</f>
        <v>0</v>
      </c>
      <c r="AA112" s="183">
        <f>SUMIFS('февраль 2025'!$G$4:$G$2441,'февраль 2025'!$D$4:$D$2441,$B112,'февраль 2025'!$J$4:$J$2441,AA$1)</f>
        <v>0</v>
      </c>
      <c r="AB112" s="183">
        <f>SUMIFS('февраль 2025'!$G$4:$G$2441,'февраль 2025'!$D$4:$D$2441,$B112,'февраль 2025'!$J$4:$J$2441,AB$1)</f>
        <v>0</v>
      </c>
      <c r="AC112" s="183">
        <f>SUMIFS('февраль 2025'!$G$4:$G$2441,'февраль 2025'!$D$4:$D$2441,$B112,'февраль 2025'!$J$4:$J$2441,AC$1)</f>
        <v>0</v>
      </c>
      <c r="AD112" s="183">
        <f>SUMIFS('февраль 2025'!$G$4:$G$2441,'февраль 2025'!$D$4:$D$2441,$B112,'февраль 2025'!$J$4:$J$2441,AD$1)</f>
        <v>0</v>
      </c>
      <c r="AE112" s="183">
        <f>SUMIFS('февраль 2025'!$G$4:$G$2441,'февраль 2025'!$D$4:$D$2441,$B112,'февраль 2025'!$J$4:$J$2441,AE$1)</f>
        <v>0</v>
      </c>
      <c r="AF112" s="183">
        <f>SUMIFS('февраль 2025'!$G$4:$G$2441,'февраль 2025'!$D$4:$D$2441,$B112,'февраль 2025'!$J$4:$J$2441,AF$1)</f>
        <v>0</v>
      </c>
      <c r="AG112" s="183">
        <f>SUMIFS('февраль 2025'!$G$4:$G$2441,'февраль 2025'!$D$4:$D$2441,$B112,'февраль 2025'!$J$4:$J$2441,AG$1)</f>
        <v>0</v>
      </c>
      <c r="AH112" s="183">
        <f>SUMIFS('февраль 2025'!$G$4:$G$2441,'февраль 2025'!$D$4:$D$2441,$B112,'февраль 2025'!$J$4:$J$2441,AH$1)</f>
        <v>0</v>
      </c>
      <c r="AI112" s="20">
        <f t="shared" si="1"/>
        <v>0</v>
      </c>
    </row>
    <row r="113" spans="2:35" ht="15" customHeight="1" x14ac:dyDescent="0.25">
      <c r="B113" s="88" t="s">
        <v>203</v>
      </c>
      <c r="C113" s="86">
        <v>185</v>
      </c>
      <c r="D113" s="183">
        <f>SUMIFS('февраль 2025'!$G$4:$G$2441,'февраль 2025'!$D$4:$D$2441,$B113,'февраль 2025'!$J$4:$J$2441,D$1)</f>
        <v>0</v>
      </c>
      <c r="E113" s="183">
        <f>SUMIFS('февраль 2025'!$G$4:$G$2441,'февраль 2025'!$D$4:$D$2441,$B113,'февраль 2025'!$J$4:$J$2441,E$1)</f>
        <v>0</v>
      </c>
      <c r="F113" s="183">
        <f>SUMIFS('февраль 2025'!$G$4:$G$2441,'февраль 2025'!$D$4:$D$2441,$B113,'февраль 2025'!$J$4:$J$2441,F$1)</f>
        <v>0</v>
      </c>
      <c r="G113" s="183">
        <f>SUMIFS('февраль 2025'!$G$4:$G$2441,'февраль 2025'!$D$4:$D$2441,$B113,'февраль 2025'!$J$4:$J$2441,G$1)</f>
        <v>0</v>
      </c>
      <c r="H113" s="183">
        <f>SUMIFS('февраль 2025'!$G$4:$G$2441,'февраль 2025'!$D$4:$D$2441,$B113,'февраль 2025'!$J$4:$J$2441,H$1)</f>
        <v>0</v>
      </c>
      <c r="I113" s="183">
        <f>SUMIFS('февраль 2025'!$G$4:$G$2441,'февраль 2025'!$D$4:$D$2441,$B113,'февраль 2025'!$J$4:$J$2441,I$1)</f>
        <v>0</v>
      </c>
      <c r="J113" s="183">
        <f>SUMIFS('февраль 2025'!$G$4:$G$2441,'февраль 2025'!$D$4:$D$2441,$B113,'февраль 2025'!$J$4:$J$2441,J$1)</f>
        <v>0</v>
      </c>
      <c r="K113" s="183">
        <f>SUMIFS('февраль 2025'!$G$4:$G$2441,'февраль 2025'!$D$4:$D$2441,$B113,'февраль 2025'!$J$4:$J$2441,K$1)</f>
        <v>0</v>
      </c>
      <c r="L113" s="183">
        <f>SUMIFS('февраль 2025'!$G$4:$G$2441,'февраль 2025'!$D$4:$D$2441,$B113,'февраль 2025'!$J$4:$J$2441,L$1)</f>
        <v>0</v>
      </c>
      <c r="M113" s="183">
        <f>SUMIFS('февраль 2025'!$G$4:$G$2441,'февраль 2025'!$D$4:$D$2441,$B113,'февраль 2025'!$J$4:$J$2441,M$1)</f>
        <v>0</v>
      </c>
      <c r="N113" s="183">
        <f>SUMIFS('февраль 2025'!$G$4:$G$2441,'февраль 2025'!$D$4:$D$2441,$B113,'февраль 2025'!$J$4:$J$2441,N$1)</f>
        <v>0</v>
      </c>
      <c r="O113" s="183">
        <f>SUMIFS('февраль 2025'!$G$4:$G$2441,'февраль 2025'!$D$4:$D$2441,$B113,'февраль 2025'!$J$4:$J$2441,O$1)</f>
        <v>0</v>
      </c>
      <c r="P113" s="183">
        <f>SUMIFS('февраль 2025'!$G$4:$G$2441,'февраль 2025'!$D$4:$D$2441,$B113,'февраль 2025'!$J$4:$J$2441,P$1)</f>
        <v>0</v>
      </c>
      <c r="Q113" s="183">
        <f>SUMIFS('февраль 2025'!$G$4:$G$2441,'февраль 2025'!$D$4:$D$2441,$B113,'февраль 2025'!$J$4:$J$2441,Q$1)</f>
        <v>0</v>
      </c>
      <c r="R113" s="183">
        <f>SUMIFS('февраль 2025'!$G$4:$G$2441,'февраль 2025'!$D$4:$D$2441,$B113,'февраль 2025'!$J$4:$J$2441,R$1)</f>
        <v>0</v>
      </c>
      <c r="S113" s="183">
        <f>SUMIFS('февраль 2025'!$G$4:$G$2441,'февраль 2025'!$D$4:$D$2441,$B113,'февраль 2025'!$J$4:$J$2441,S$1)</f>
        <v>0</v>
      </c>
      <c r="T113" s="183">
        <f>SUMIFS('февраль 2025'!$G$4:$G$2441,'февраль 2025'!$D$4:$D$2441,$B113,'февраль 2025'!$J$4:$J$2441,T$1)</f>
        <v>0</v>
      </c>
      <c r="U113" s="183">
        <f>SUMIFS('февраль 2025'!$G$4:$G$2441,'февраль 2025'!$D$4:$D$2441,$B113,'февраль 2025'!$J$4:$J$2441,U$1)</f>
        <v>0</v>
      </c>
      <c r="V113" s="183">
        <f>SUMIFS('февраль 2025'!$G$4:$G$2441,'февраль 2025'!$D$4:$D$2441,$B113,'февраль 2025'!$J$4:$J$2441,V$1)</f>
        <v>0</v>
      </c>
      <c r="W113" s="183">
        <f>SUMIFS('февраль 2025'!$G$4:$G$2441,'февраль 2025'!$D$4:$D$2441,$B113,'февраль 2025'!$J$4:$J$2441,W$1)</f>
        <v>0</v>
      </c>
      <c r="X113" s="183">
        <f>SUMIFS('февраль 2025'!$G$4:$G$2441,'февраль 2025'!$D$4:$D$2441,$B113,'февраль 2025'!$J$4:$J$2441,X$1)</f>
        <v>0</v>
      </c>
      <c r="Y113" s="183">
        <f>SUMIFS('февраль 2025'!$G$4:$G$2441,'февраль 2025'!$D$4:$D$2441,$B113,'февраль 2025'!$J$4:$J$2441,Y$1)</f>
        <v>0</v>
      </c>
      <c r="Z113" s="183">
        <f>SUMIFS('февраль 2025'!$G$4:$G$2441,'февраль 2025'!$D$4:$D$2441,$B113,'февраль 2025'!$J$4:$J$2441,Z$1)</f>
        <v>0</v>
      </c>
      <c r="AA113" s="183">
        <f>SUMIFS('февраль 2025'!$G$4:$G$2441,'февраль 2025'!$D$4:$D$2441,$B113,'февраль 2025'!$J$4:$J$2441,AA$1)</f>
        <v>0</v>
      </c>
      <c r="AB113" s="183">
        <f>SUMIFS('февраль 2025'!$G$4:$G$2441,'февраль 2025'!$D$4:$D$2441,$B113,'февраль 2025'!$J$4:$J$2441,AB$1)</f>
        <v>0</v>
      </c>
      <c r="AC113" s="183">
        <f>SUMIFS('февраль 2025'!$G$4:$G$2441,'февраль 2025'!$D$4:$D$2441,$B113,'февраль 2025'!$J$4:$J$2441,AC$1)</f>
        <v>0</v>
      </c>
      <c r="AD113" s="183">
        <f>SUMIFS('февраль 2025'!$G$4:$G$2441,'февраль 2025'!$D$4:$D$2441,$B113,'февраль 2025'!$J$4:$J$2441,AD$1)</f>
        <v>0</v>
      </c>
      <c r="AE113" s="183">
        <f>SUMIFS('февраль 2025'!$G$4:$G$2441,'февраль 2025'!$D$4:$D$2441,$B113,'февраль 2025'!$J$4:$J$2441,AE$1)</f>
        <v>0</v>
      </c>
      <c r="AF113" s="183">
        <f>SUMIFS('февраль 2025'!$G$4:$G$2441,'февраль 2025'!$D$4:$D$2441,$B113,'февраль 2025'!$J$4:$J$2441,AF$1)</f>
        <v>0</v>
      </c>
      <c r="AG113" s="183">
        <f>SUMIFS('февраль 2025'!$G$4:$G$2441,'февраль 2025'!$D$4:$D$2441,$B113,'февраль 2025'!$J$4:$J$2441,AG$1)</f>
        <v>0</v>
      </c>
      <c r="AH113" s="183">
        <f>SUMIFS('февраль 2025'!$G$4:$G$2441,'февраль 2025'!$D$4:$D$2441,$B113,'февраль 2025'!$J$4:$J$2441,AH$1)</f>
        <v>0</v>
      </c>
      <c r="AI113" s="20">
        <f t="shared" si="1"/>
        <v>0</v>
      </c>
    </row>
    <row r="114" spans="2:35" ht="15" customHeight="1" x14ac:dyDescent="0.25">
      <c r="B114" s="88" t="s">
        <v>304</v>
      </c>
      <c r="C114" s="86">
        <v>175</v>
      </c>
      <c r="D114" s="183">
        <f>SUMIFS('февраль 2025'!$G$4:$G$2441,'февраль 2025'!$D$4:$D$2441,$B114,'февраль 2025'!$J$4:$J$2441,D$1)</f>
        <v>0</v>
      </c>
      <c r="E114" s="183">
        <f>SUMIFS('февраль 2025'!$G$4:$G$2441,'февраль 2025'!$D$4:$D$2441,$B114,'февраль 2025'!$J$4:$J$2441,E$1)</f>
        <v>0</v>
      </c>
      <c r="F114" s="183">
        <f>SUMIFS('февраль 2025'!$G$4:$G$2441,'февраль 2025'!$D$4:$D$2441,$B114,'февраль 2025'!$J$4:$J$2441,F$1)</f>
        <v>0</v>
      </c>
      <c r="G114" s="183">
        <f>SUMIFS('февраль 2025'!$G$4:$G$2441,'февраль 2025'!$D$4:$D$2441,$B114,'февраль 2025'!$J$4:$J$2441,G$1)</f>
        <v>0</v>
      </c>
      <c r="H114" s="183">
        <f>SUMIFS('февраль 2025'!$G$4:$G$2441,'февраль 2025'!$D$4:$D$2441,$B114,'февраль 2025'!$J$4:$J$2441,H$1)</f>
        <v>0</v>
      </c>
      <c r="I114" s="183">
        <f>SUMIFS('февраль 2025'!$G$4:$G$2441,'февраль 2025'!$D$4:$D$2441,$B114,'февраль 2025'!$J$4:$J$2441,I$1)</f>
        <v>0</v>
      </c>
      <c r="J114" s="183">
        <f>SUMIFS('февраль 2025'!$G$4:$G$2441,'февраль 2025'!$D$4:$D$2441,$B114,'февраль 2025'!$J$4:$J$2441,J$1)</f>
        <v>0</v>
      </c>
      <c r="K114" s="183">
        <f>SUMIFS('февраль 2025'!$G$4:$G$2441,'февраль 2025'!$D$4:$D$2441,$B114,'февраль 2025'!$J$4:$J$2441,K$1)</f>
        <v>0</v>
      </c>
      <c r="L114" s="183">
        <f>SUMIFS('февраль 2025'!$G$4:$G$2441,'февраль 2025'!$D$4:$D$2441,$B114,'февраль 2025'!$J$4:$J$2441,L$1)</f>
        <v>0</v>
      </c>
      <c r="M114" s="183">
        <f>SUMIFS('февраль 2025'!$G$4:$G$2441,'февраль 2025'!$D$4:$D$2441,$B114,'февраль 2025'!$J$4:$J$2441,M$1)</f>
        <v>0</v>
      </c>
      <c r="N114" s="183">
        <f>SUMIFS('февраль 2025'!$G$4:$G$2441,'февраль 2025'!$D$4:$D$2441,$B114,'февраль 2025'!$J$4:$J$2441,N$1)</f>
        <v>0</v>
      </c>
      <c r="O114" s="183">
        <f>SUMIFS('февраль 2025'!$G$4:$G$2441,'февраль 2025'!$D$4:$D$2441,$B114,'февраль 2025'!$J$4:$J$2441,O$1)</f>
        <v>0</v>
      </c>
      <c r="P114" s="183">
        <f>SUMIFS('февраль 2025'!$G$4:$G$2441,'февраль 2025'!$D$4:$D$2441,$B114,'февраль 2025'!$J$4:$J$2441,P$1)</f>
        <v>0</v>
      </c>
      <c r="Q114" s="183">
        <f>SUMIFS('февраль 2025'!$G$4:$G$2441,'февраль 2025'!$D$4:$D$2441,$B114,'февраль 2025'!$J$4:$J$2441,Q$1)</f>
        <v>0</v>
      </c>
      <c r="R114" s="183">
        <f>SUMIFS('февраль 2025'!$G$4:$G$2441,'февраль 2025'!$D$4:$D$2441,$B114,'февраль 2025'!$J$4:$J$2441,R$1)</f>
        <v>0</v>
      </c>
      <c r="S114" s="183">
        <f>SUMIFS('февраль 2025'!$G$4:$G$2441,'февраль 2025'!$D$4:$D$2441,$B114,'февраль 2025'!$J$4:$J$2441,S$1)</f>
        <v>0</v>
      </c>
      <c r="T114" s="183">
        <f>SUMIFS('февраль 2025'!$G$4:$G$2441,'февраль 2025'!$D$4:$D$2441,$B114,'февраль 2025'!$J$4:$J$2441,T$1)</f>
        <v>0</v>
      </c>
      <c r="U114" s="183">
        <f>SUMIFS('февраль 2025'!$G$4:$G$2441,'февраль 2025'!$D$4:$D$2441,$B114,'февраль 2025'!$J$4:$J$2441,U$1)</f>
        <v>0</v>
      </c>
      <c r="V114" s="183">
        <f>SUMIFS('февраль 2025'!$G$4:$G$2441,'февраль 2025'!$D$4:$D$2441,$B114,'февраль 2025'!$J$4:$J$2441,V$1)</f>
        <v>0</v>
      </c>
      <c r="W114" s="183">
        <f>SUMIFS('февраль 2025'!$G$4:$G$2441,'февраль 2025'!$D$4:$D$2441,$B114,'февраль 2025'!$J$4:$J$2441,W$1)</f>
        <v>0</v>
      </c>
      <c r="X114" s="183">
        <f>SUMIFS('февраль 2025'!$G$4:$G$2441,'февраль 2025'!$D$4:$D$2441,$B114,'февраль 2025'!$J$4:$J$2441,X$1)</f>
        <v>0</v>
      </c>
      <c r="Y114" s="183">
        <f>SUMIFS('февраль 2025'!$G$4:$G$2441,'февраль 2025'!$D$4:$D$2441,$B114,'февраль 2025'!$J$4:$J$2441,Y$1)</f>
        <v>0</v>
      </c>
      <c r="Z114" s="183">
        <f>SUMIFS('февраль 2025'!$G$4:$G$2441,'февраль 2025'!$D$4:$D$2441,$B114,'февраль 2025'!$J$4:$J$2441,Z$1)</f>
        <v>0</v>
      </c>
      <c r="AA114" s="183">
        <f>SUMIFS('февраль 2025'!$G$4:$G$2441,'февраль 2025'!$D$4:$D$2441,$B114,'февраль 2025'!$J$4:$J$2441,AA$1)</f>
        <v>0</v>
      </c>
      <c r="AB114" s="183">
        <f>SUMIFS('февраль 2025'!$G$4:$G$2441,'февраль 2025'!$D$4:$D$2441,$B114,'февраль 2025'!$J$4:$J$2441,AB$1)</f>
        <v>0</v>
      </c>
      <c r="AC114" s="183">
        <f>SUMIFS('февраль 2025'!$G$4:$G$2441,'февраль 2025'!$D$4:$D$2441,$B114,'февраль 2025'!$J$4:$J$2441,AC$1)</f>
        <v>0</v>
      </c>
      <c r="AD114" s="183">
        <f>SUMIFS('февраль 2025'!$G$4:$G$2441,'февраль 2025'!$D$4:$D$2441,$B114,'февраль 2025'!$J$4:$J$2441,AD$1)</f>
        <v>0</v>
      </c>
      <c r="AE114" s="183">
        <f>SUMIFS('февраль 2025'!$G$4:$G$2441,'февраль 2025'!$D$4:$D$2441,$B114,'февраль 2025'!$J$4:$J$2441,AE$1)</f>
        <v>0</v>
      </c>
      <c r="AF114" s="183">
        <f>SUMIFS('февраль 2025'!$G$4:$G$2441,'февраль 2025'!$D$4:$D$2441,$B114,'февраль 2025'!$J$4:$J$2441,AF$1)</f>
        <v>0</v>
      </c>
      <c r="AG114" s="183">
        <f>SUMIFS('февраль 2025'!$G$4:$G$2441,'февраль 2025'!$D$4:$D$2441,$B114,'февраль 2025'!$J$4:$J$2441,AG$1)</f>
        <v>0</v>
      </c>
      <c r="AH114" s="183">
        <f>SUMIFS('февраль 2025'!$G$4:$G$2441,'февраль 2025'!$D$4:$D$2441,$B114,'февраль 2025'!$J$4:$J$2441,AH$1)</f>
        <v>0</v>
      </c>
      <c r="AI114" s="20">
        <f t="shared" si="1"/>
        <v>0</v>
      </c>
    </row>
    <row r="115" spans="2:35" ht="15" customHeight="1" x14ac:dyDescent="0.25">
      <c r="B115" s="88" t="s">
        <v>310</v>
      </c>
      <c r="C115" s="86">
        <v>200</v>
      </c>
      <c r="D115" s="183">
        <f>SUMIFS('февраль 2025'!$G$4:$G$2441,'февраль 2025'!$D$4:$D$2441,$B115,'февраль 2025'!$J$4:$J$2441,D$1)</f>
        <v>0</v>
      </c>
      <c r="E115" s="183">
        <f>SUMIFS('февраль 2025'!$G$4:$G$2441,'февраль 2025'!$D$4:$D$2441,$B115,'февраль 2025'!$J$4:$J$2441,E$1)</f>
        <v>0</v>
      </c>
      <c r="F115" s="183">
        <f>SUMIFS('февраль 2025'!$G$4:$G$2441,'февраль 2025'!$D$4:$D$2441,$B115,'февраль 2025'!$J$4:$J$2441,F$1)</f>
        <v>0</v>
      </c>
      <c r="G115" s="183">
        <f>SUMIFS('февраль 2025'!$G$4:$G$2441,'февраль 2025'!$D$4:$D$2441,$B115,'февраль 2025'!$J$4:$J$2441,G$1)</f>
        <v>0</v>
      </c>
      <c r="H115" s="183">
        <f>SUMIFS('февраль 2025'!$G$4:$G$2441,'февраль 2025'!$D$4:$D$2441,$B115,'февраль 2025'!$J$4:$J$2441,H$1)</f>
        <v>0</v>
      </c>
      <c r="I115" s="183">
        <f>SUMIFS('февраль 2025'!$G$4:$G$2441,'февраль 2025'!$D$4:$D$2441,$B115,'февраль 2025'!$J$4:$J$2441,I$1)</f>
        <v>0</v>
      </c>
      <c r="J115" s="183">
        <f>SUMIFS('февраль 2025'!$G$4:$G$2441,'февраль 2025'!$D$4:$D$2441,$B115,'февраль 2025'!$J$4:$J$2441,J$1)</f>
        <v>0</v>
      </c>
      <c r="K115" s="183">
        <f>SUMIFS('февраль 2025'!$G$4:$G$2441,'февраль 2025'!$D$4:$D$2441,$B115,'февраль 2025'!$J$4:$J$2441,K$1)</f>
        <v>0</v>
      </c>
      <c r="L115" s="183">
        <f>SUMIFS('февраль 2025'!$G$4:$G$2441,'февраль 2025'!$D$4:$D$2441,$B115,'февраль 2025'!$J$4:$J$2441,L$1)</f>
        <v>0</v>
      </c>
      <c r="M115" s="183">
        <f>SUMIFS('февраль 2025'!$G$4:$G$2441,'февраль 2025'!$D$4:$D$2441,$B115,'февраль 2025'!$J$4:$J$2441,M$1)</f>
        <v>0</v>
      </c>
      <c r="N115" s="183">
        <f>SUMIFS('февраль 2025'!$G$4:$G$2441,'февраль 2025'!$D$4:$D$2441,$B115,'февраль 2025'!$J$4:$J$2441,N$1)</f>
        <v>0</v>
      </c>
      <c r="O115" s="183">
        <f>SUMIFS('февраль 2025'!$G$4:$G$2441,'февраль 2025'!$D$4:$D$2441,$B115,'февраль 2025'!$J$4:$J$2441,O$1)</f>
        <v>0</v>
      </c>
      <c r="P115" s="183">
        <f>SUMIFS('февраль 2025'!$G$4:$G$2441,'февраль 2025'!$D$4:$D$2441,$B115,'февраль 2025'!$J$4:$J$2441,P$1)</f>
        <v>0</v>
      </c>
      <c r="Q115" s="183">
        <f>SUMIFS('февраль 2025'!$G$4:$G$2441,'февраль 2025'!$D$4:$D$2441,$B115,'февраль 2025'!$J$4:$J$2441,Q$1)</f>
        <v>0</v>
      </c>
      <c r="R115" s="183">
        <f>SUMIFS('февраль 2025'!$G$4:$G$2441,'февраль 2025'!$D$4:$D$2441,$B115,'февраль 2025'!$J$4:$J$2441,R$1)</f>
        <v>0</v>
      </c>
      <c r="S115" s="183">
        <f>SUMIFS('февраль 2025'!$G$4:$G$2441,'февраль 2025'!$D$4:$D$2441,$B115,'февраль 2025'!$J$4:$J$2441,S$1)</f>
        <v>0</v>
      </c>
      <c r="T115" s="183">
        <f>SUMIFS('февраль 2025'!$G$4:$G$2441,'февраль 2025'!$D$4:$D$2441,$B115,'февраль 2025'!$J$4:$J$2441,T$1)</f>
        <v>0</v>
      </c>
      <c r="U115" s="183">
        <f>SUMIFS('февраль 2025'!$G$4:$G$2441,'февраль 2025'!$D$4:$D$2441,$B115,'февраль 2025'!$J$4:$J$2441,U$1)</f>
        <v>0</v>
      </c>
      <c r="V115" s="183">
        <f>SUMIFS('февраль 2025'!$G$4:$G$2441,'февраль 2025'!$D$4:$D$2441,$B115,'февраль 2025'!$J$4:$J$2441,V$1)</f>
        <v>0</v>
      </c>
      <c r="W115" s="183">
        <f>SUMIFS('февраль 2025'!$G$4:$G$2441,'февраль 2025'!$D$4:$D$2441,$B115,'февраль 2025'!$J$4:$J$2441,W$1)</f>
        <v>0</v>
      </c>
      <c r="X115" s="183">
        <f>SUMIFS('февраль 2025'!$G$4:$G$2441,'февраль 2025'!$D$4:$D$2441,$B115,'февраль 2025'!$J$4:$J$2441,X$1)</f>
        <v>0</v>
      </c>
      <c r="Y115" s="183">
        <f>SUMIFS('февраль 2025'!$G$4:$G$2441,'февраль 2025'!$D$4:$D$2441,$B115,'февраль 2025'!$J$4:$J$2441,Y$1)</f>
        <v>0</v>
      </c>
      <c r="Z115" s="183">
        <f>SUMIFS('февраль 2025'!$G$4:$G$2441,'февраль 2025'!$D$4:$D$2441,$B115,'февраль 2025'!$J$4:$J$2441,Z$1)</f>
        <v>0</v>
      </c>
      <c r="AA115" s="183">
        <f>SUMIFS('февраль 2025'!$G$4:$G$2441,'февраль 2025'!$D$4:$D$2441,$B115,'февраль 2025'!$J$4:$J$2441,AA$1)</f>
        <v>0</v>
      </c>
      <c r="AB115" s="183">
        <f>SUMIFS('февраль 2025'!$G$4:$G$2441,'февраль 2025'!$D$4:$D$2441,$B115,'февраль 2025'!$J$4:$J$2441,AB$1)</f>
        <v>0</v>
      </c>
      <c r="AC115" s="183">
        <f>SUMIFS('февраль 2025'!$G$4:$G$2441,'февраль 2025'!$D$4:$D$2441,$B115,'февраль 2025'!$J$4:$J$2441,AC$1)</f>
        <v>0</v>
      </c>
      <c r="AD115" s="183">
        <f>SUMIFS('февраль 2025'!$G$4:$G$2441,'февраль 2025'!$D$4:$D$2441,$B115,'февраль 2025'!$J$4:$J$2441,AD$1)</f>
        <v>0</v>
      </c>
      <c r="AE115" s="183">
        <f>SUMIFS('февраль 2025'!$G$4:$G$2441,'февраль 2025'!$D$4:$D$2441,$B115,'февраль 2025'!$J$4:$J$2441,AE$1)</f>
        <v>0</v>
      </c>
      <c r="AF115" s="183">
        <f>SUMIFS('февраль 2025'!$G$4:$G$2441,'февраль 2025'!$D$4:$D$2441,$B115,'февраль 2025'!$J$4:$J$2441,AF$1)</f>
        <v>0</v>
      </c>
      <c r="AG115" s="183">
        <f>SUMIFS('февраль 2025'!$G$4:$G$2441,'февраль 2025'!$D$4:$D$2441,$B115,'февраль 2025'!$J$4:$J$2441,AG$1)</f>
        <v>0</v>
      </c>
      <c r="AH115" s="183">
        <f>SUMIFS('февраль 2025'!$G$4:$G$2441,'февраль 2025'!$D$4:$D$2441,$B115,'февраль 2025'!$J$4:$J$2441,AH$1)</f>
        <v>0</v>
      </c>
      <c r="AI115" s="20">
        <f t="shared" si="1"/>
        <v>0</v>
      </c>
    </row>
    <row r="116" spans="2:35" ht="15" customHeight="1" x14ac:dyDescent="0.25">
      <c r="B116" s="88" t="s">
        <v>265</v>
      </c>
      <c r="C116" s="86">
        <v>180</v>
      </c>
      <c r="D116" s="183">
        <f>SUMIFS('февраль 2025'!$G$4:$G$2441,'февраль 2025'!$D$4:$D$2441,$B116,'февраль 2025'!$J$4:$J$2441,D$1)</f>
        <v>0</v>
      </c>
      <c r="E116" s="183">
        <f>SUMIFS('февраль 2025'!$G$4:$G$2441,'февраль 2025'!$D$4:$D$2441,$B116,'февраль 2025'!$J$4:$J$2441,E$1)</f>
        <v>0</v>
      </c>
      <c r="F116" s="183">
        <f>SUMIFS('февраль 2025'!$G$4:$G$2441,'февраль 2025'!$D$4:$D$2441,$B116,'февраль 2025'!$J$4:$J$2441,F$1)</f>
        <v>0</v>
      </c>
      <c r="G116" s="183">
        <f>SUMIFS('февраль 2025'!$G$4:$G$2441,'февраль 2025'!$D$4:$D$2441,$B116,'февраль 2025'!$J$4:$J$2441,G$1)</f>
        <v>0</v>
      </c>
      <c r="H116" s="183">
        <f>SUMIFS('февраль 2025'!$G$4:$G$2441,'февраль 2025'!$D$4:$D$2441,$B116,'февраль 2025'!$J$4:$J$2441,H$1)</f>
        <v>0</v>
      </c>
      <c r="I116" s="183">
        <f>SUMIFS('февраль 2025'!$G$4:$G$2441,'февраль 2025'!$D$4:$D$2441,$B116,'февраль 2025'!$J$4:$J$2441,I$1)</f>
        <v>0</v>
      </c>
      <c r="J116" s="183">
        <f>SUMIFS('февраль 2025'!$G$4:$G$2441,'февраль 2025'!$D$4:$D$2441,$B116,'февраль 2025'!$J$4:$J$2441,J$1)</f>
        <v>0</v>
      </c>
      <c r="K116" s="183">
        <f>SUMIFS('февраль 2025'!$G$4:$G$2441,'февраль 2025'!$D$4:$D$2441,$B116,'февраль 2025'!$J$4:$J$2441,K$1)</f>
        <v>0</v>
      </c>
      <c r="L116" s="183">
        <f>SUMIFS('февраль 2025'!$G$4:$G$2441,'февраль 2025'!$D$4:$D$2441,$B116,'февраль 2025'!$J$4:$J$2441,L$1)</f>
        <v>0</v>
      </c>
      <c r="M116" s="183">
        <f>SUMIFS('февраль 2025'!$G$4:$G$2441,'февраль 2025'!$D$4:$D$2441,$B116,'февраль 2025'!$J$4:$J$2441,M$1)</f>
        <v>0</v>
      </c>
      <c r="N116" s="183">
        <f>SUMIFS('февраль 2025'!$G$4:$G$2441,'февраль 2025'!$D$4:$D$2441,$B116,'февраль 2025'!$J$4:$J$2441,N$1)</f>
        <v>0</v>
      </c>
      <c r="O116" s="183">
        <f>SUMIFS('февраль 2025'!$G$4:$G$2441,'февраль 2025'!$D$4:$D$2441,$B116,'февраль 2025'!$J$4:$J$2441,O$1)</f>
        <v>0</v>
      </c>
      <c r="P116" s="183">
        <f>SUMIFS('февраль 2025'!$G$4:$G$2441,'февраль 2025'!$D$4:$D$2441,$B116,'февраль 2025'!$J$4:$J$2441,P$1)</f>
        <v>0</v>
      </c>
      <c r="Q116" s="183">
        <f>SUMIFS('февраль 2025'!$G$4:$G$2441,'февраль 2025'!$D$4:$D$2441,$B116,'февраль 2025'!$J$4:$J$2441,Q$1)</f>
        <v>0</v>
      </c>
      <c r="R116" s="183">
        <f>SUMIFS('февраль 2025'!$G$4:$G$2441,'февраль 2025'!$D$4:$D$2441,$B116,'февраль 2025'!$J$4:$J$2441,R$1)</f>
        <v>0</v>
      </c>
      <c r="S116" s="183">
        <f>SUMIFS('февраль 2025'!$G$4:$G$2441,'февраль 2025'!$D$4:$D$2441,$B116,'февраль 2025'!$J$4:$J$2441,S$1)</f>
        <v>0</v>
      </c>
      <c r="T116" s="183">
        <f>SUMIFS('февраль 2025'!$G$4:$G$2441,'февраль 2025'!$D$4:$D$2441,$B116,'февраль 2025'!$J$4:$J$2441,T$1)</f>
        <v>0</v>
      </c>
      <c r="U116" s="183">
        <f>SUMIFS('февраль 2025'!$G$4:$G$2441,'февраль 2025'!$D$4:$D$2441,$B116,'февраль 2025'!$J$4:$J$2441,U$1)</f>
        <v>0</v>
      </c>
      <c r="V116" s="183">
        <f>SUMIFS('февраль 2025'!$G$4:$G$2441,'февраль 2025'!$D$4:$D$2441,$B116,'февраль 2025'!$J$4:$J$2441,V$1)</f>
        <v>0</v>
      </c>
      <c r="W116" s="183">
        <f>SUMIFS('февраль 2025'!$G$4:$G$2441,'февраль 2025'!$D$4:$D$2441,$B116,'февраль 2025'!$J$4:$J$2441,W$1)</f>
        <v>0</v>
      </c>
      <c r="X116" s="183">
        <f>SUMIFS('февраль 2025'!$G$4:$G$2441,'февраль 2025'!$D$4:$D$2441,$B116,'февраль 2025'!$J$4:$J$2441,X$1)</f>
        <v>0</v>
      </c>
      <c r="Y116" s="183">
        <f>SUMIFS('февраль 2025'!$G$4:$G$2441,'февраль 2025'!$D$4:$D$2441,$B116,'февраль 2025'!$J$4:$J$2441,Y$1)</f>
        <v>0</v>
      </c>
      <c r="Z116" s="183">
        <f>SUMIFS('февраль 2025'!$G$4:$G$2441,'февраль 2025'!$D$4:$D$2441,$B116,'февраль 2025'!$J$4:$J$2441,Z$1)</f>
        <v>0</v>
      </c>
      <c r="AA116" s="183">
        <f>SUMIFS('февраль 2025'!$G$4:$G$2441,'февраль 2025'!$D$4:$D$2441,$B116,'февраль 2025'!$J$4:$J$2441,AA$1)</f>
        <v>0</v>
      </c>
      <c r="AB116" s="183">
        <f>SUMIFS('февраль 2025'!$G$4:$G$2441,'февраль 2025'!$D$4:$D$2441,$B116,'февраль 2025'!$J$4:$J$2441,AB$1)</f>
        <v>0</v>
      </c>
      <c r="AC116" s="183">
        <f>SUMIFS('февраль 2025'!$G$4:$G$2441,'февраль 2025'!$D$4:$D$2441,$B116,'февраль 2025'!$J$4:$J$2441,AC$1)</f>
        <v>0</v>
      </c>
      <c r="AD116" s="183">
        <f>SUMIFS('февраль 2025'!$G$4:$G$2441,'февраль 2025'!$D$4:$D$2441,$B116,'февраль 2025'!$J$4:$J$2441,AD$1)</f>
        <v>0</v>
      </c>
      <c r="AE116" s="183">
        <f>SUMIFS('февраль 2025'!$G$4:$G$2441,'февраль 2025'!$D$4:$D$2441,$B116,'февраль 2025'!$J$4:$J$2441,AE$1)</f>
        <v>0</v>
      </c>
      <c r="AF116" s="183">
        <f>SUMIFS('февраль 2025'!$G$4:$G$2441,'февраль 2025'!$D$4:$D$2441,$B116,'февраль 2025'!$J$4:$J$2441,AF$1)</f>
        <v>0</v>
      </c>
      <c r="AG116" s="183">
        <f>SUMIFS('февраль 2025'!$G$4:$G$2441,'февраль 2025'!$D$4:$D$2441,$B116,'февраль 2025'!$J$4:$J$2441,AG$1)</f>
        <v>0</v>
      </c>
      <c r="AH116" s="183">
        <f>SUMIFS('февраль 2025'!$G$4:$G$2441,'февраль 2025'!$D$4:$D$2441,$B116,'февраль 2025'!$J$4:$J$2441,AH$1)</f>
        <v>0</v>
      </c>
      <c r="AI116" s="20">
        <f t="shared" si="1"/>
        <v>0</v>
      </c>
    </row>
    <row r="117" spans="2:35" ht="15" customHeight="1" x14ac:dyDescent="0.25">
      <c r="B117" s="88" t="s">
        <v>326</v>
      </c>
      <c r="C117" s="86">
        <v>200</v>
      </c>
      <c r="D117" s="183">
        <f>SUMIFS('февраль 2025'!$G$4:$G$2441,'февраль 2025'!$D$4:$D$2441,$B117,'февраль 2025'!$J$4:$J$2441,D$1)</f>
        <v>0</v>
      </c>
      <c r="E117" s="183">
        <f>SUMIFS('февраль 2025'!$G$4:$G$2441,'февраль 2025'!$D$4:$D$2441,$B117,'февраль 2025'!$J$4:$J$2441,E$1)</f>
        <v>0</v>
      </c>
      <c r="F117" s="183">
        <f>SUMIFS('февраль 2025'!$G$4:$G$2441,'февраль 2025'!$D$4:$D$2441,$B117,'февраль 2025'!$J$4:$J$2441,F$1)</f>
        <v>0</v>
      </c>
      <c r="G117" s="183">
        <f>SUMIFS('февраль 2025'!$G$4:$G$2441,'февраль 2025'!$D$4:$D$2441,$B117,'февраль 2025'!$J$4:$J$2441,G$1)</f>
        <v>0</v>
      </c>
      <c r="H117" s="183">
        <f>SUMIFS('февраль 2025'!$G$4:$G$2441,'февраль 2025'!$D$4:$D$2441,$B117,'февраль 2025'!$J$4:$J$2441,H$1)</f>
        <v>0</v>
      </c>
      <c r="I117" s="183">
        <f>SUMIFS('февраль 2025'!$G$4:$G$2441,'февраль 2025'!$D$4:$D$2441,$B117,'февраль 2025'!$J$4:$J$2441,I$1)</f>
        <v>0</v>
      </c>
      <c r="J117" s="183">
        <f>SUMIFS('февраль 2025'!$G$4:$G$2441,'февраль 2025'!$D$4:$D$2441,$B117,'февраль 2025'!$J$4:$J$2441,J$1)</f>
        <v>0</v>
      </c>
      <c r="K117" s="183">
        <f>SUMIFS('февраль 2025'!$G$4:$G$2441,'февраль 2025'!$D$4:$D$2441,$B117,'февраль 2025'!$J$4:$J$2441,K$1)</f>
        <v>0</v>
      </c>
      <c r="L117" s="183">
        <f>SUMIFS('февраль 2025'!$G$4:$G$2441,'февраль 2025'!$D$4:$D$2441,$B117,'февраль 2025'!$J$4:$J$2441,L$1)</f>
        <v>0</v>
      </c>
      <c r="M117" s="183">
        <f>SUMIFS('февраль 2025'!$G$4:$G$2441,'февраль 2025'!$D$4:$D$2441,$B117,'февраль 2025'!$J$4:$J$2441,M$1)</f>
        <v>0</v>
      </c>
      <c r="N117" s="183">
        <f>SUMIFS('февраль 2025'!$G$4:$G$2441,'февраль 2025'!$D$4:$D$2441,$B117,'февраль 2025'!$J$4:$J$2441,N$1)</f>
        <v>0</v>
      </c>
      <c r="O117" s="183">
        <f>SUMIFS('февраль 2025'!$G$4:$G$2441,'февраль 2025'!$D$4:$D$2441,$B117,'февраль 2025'!$J$4:$J$2441,O$1)</f>
        <v>0</v>
      </c>
      <c r="P117" s="183">
        <f>SUMIFS('февраль 2025'!$G$4:$G$2441,'февраль 2025'!$D$4:$D$2441,$B117,'февраль 2025'!$J$4:$J$2441,P$1)</f>
        <v>0</v>
      </c>
      <c r="Q117" s="183">
        <f>SUMIFS('февраль 2025'!$G$4:$G$2441,'февраль 2025'!$D$4:$D$2441,$B117,'февраль 2025'!$J$4:$J$2441,Q$1)</f>
        <v>0</v>
      </c>
      <c r="R117" s="183">
        <f>SUMIFS('февраль 2025'!$G$4:$G$2441,'февраль 2025'!$D$4:$D$2441,$B117,'февраль 2025'!$J$4:$J$2441,R$1)</f>
        <v>0</v>
      </c>
      <c r="S117" s="183">
        <f>SUMIFS('февраль 2025'!$G$4:$G$2441,'февраль 2025'!$D$4:$D$2441,$B117,'февраль 2025'!$J$4:$J$2441,S$1)</f>
        <v>0</v>
      </c>
      <c r="T117" s="183">
        <f>SUMIFS('февраль 2025'!$G$4:$G$2441,'февраль 2025'!$D$4:$D$2441,$B117,'февраль 2025'!$J$4:$J$2441,T$1)</f>
        <v>0</v>
      </c>
      <c r="U117" s="183">
        <f>SUMIFS('февраль 2025'!$G$4:$G$2441,'февраль 2025'!$D$4:$D$2441,$B117,'февраль 2025'!$J$4:$J$2441,U$1)</f>
        <v>0</v>
      </c>
      <c r="V117" s="183">
        <f>SUMIFS('февраль 2025'!$G$4:$G$2441,'февраль 2025'!$D$4:$D$2441,$B117,'февраль 2025'!$J$4:$J$2441,V$1)</f>
        <v>0</v>
      </c>
      <c r="W117" s="183">
        <f>SUMIFS('февраль 2025'!$G$4:$G$2441,'февраль 2025'!$D$4:$D$2441,$B117,'февраль 2025'!$J$4:$J$2441,W$1)</f>
        <v>0</v>
      </c>
      <c r="X117" s="183">
        <f>SUMIFS('февраль 2025'!$G$4:$G$2441,'февраль 2025'!$D$4:$D$2441,$B117,'февраль 2025'!$J$4:$J$2441,X$1)</f>
        <v>0</v>
      </c>
      <c r="Y117" s="183">
        <f>SUMIFS('февраль 2025'!$G$4:$G$2441,'февраль 2025'!$D$4:$D$2441,$B117,'февраль 2025'!$J$4:$J$2441,Y$1)</f>
        <v>0</v>
      </c>
      <c r="Z117" s="183">
        <f>SUMIFS('февраль 2025'!$G$4:$G$2441,'февраль 2025'!$D$4:$D$2441,$B117,'февраль 2025'!$J$4:$J$2441,Z$1)</f>
        <v>0</v>
      </c>
      <c r="AA117" s="183">
        <f>SUMIFS('февраль 2025'!$G$4:$G$2441,'февраль 2025'!$D$4:$D$2441,$B117,'февраль 2025'!$J$4:$J$2441,AA$1)</f>
        <v>0</v>
      </c>
      <c r="AB117" s="183">
        <f>SUMIFS('февраль 2025'!$G$4:$G$2441,'февраль 2025'!$D$4:$D$2441,$B117,'февраль 2025'!$J$4:$J$2441,AB$1)</f>
        <v>0</v>
      </c>
      <c r="AC117" s="183">
        <f>SUMIFS('февраль 2025'!$G$4:$G$2441,'февраль 2025'!$D$4:$D$2441,$B117,'февраль 2025'!$J$4:$J$2441,AC$1)</f>
        <v>0</v>
      </c>
      <c r="AD117" s="183">
        <f>SUMIFS('февраль 2025'!$G$4:$G$2441,'февраль 2025'!$D$4:$D$2441,$B117,'февраль 2025'!$J$4:$J$2441,AD$1)</f>
        <v>0</v>
      </c>
      <c r="AE117" s="183">
        <f>SUMIFS('февраль 2025'!$G$4:$G$2441,'февраль 2025'!$D$4:$D$2441,$B117,'февраль 2025'!$J$4:$J$2441,AE$1)</f>
        <v>0</v>
      </c>
      <c r="AF117" s="183">
        <f>SUMIFS('февраль 2025'!$G$4:$G$2441,'февраль 2025'!$D$4:$D$2441,$B117,'февраль 2025'!$J$4:$J$2441,AF$1)</f>
        <v>0</v>
      </c>
      <c r="AG117" s="183">
        <f>SUMIFS('февраль 2025'!$G$4:$G$2441,'февраль 2025'!$D$4:$D$2441,$B117,'февраль 2025'!$J$4:$J$2441,AG$1)</f>
        <v>0</v>
      </c>
      <c r="AH117" s="183">
        <f>SUMIFS('февраль 2025'!$G$4:$G$2441,'февраль 2025'!$D$4:$D$2441,$B117,'февраль 2025'!$J$4:$J$2441,AH$1)</f>
        <v>0</v>
      </c>
      <c r="AI117" s="20">
        <f t="shared" si="1"/>
        <v>0</v>
      </c>
    </row>
    <row r="118" spans="2:35" ht="15" customHeight="1" x14ac:dyDescent="0.25">
      <c r="B118" s="88" t="s">
        <v>280</v>
      </c>
      <c r="C118" s="86">
        <v>185</v>
      </c>
      <c r="D118" s="183">
        <f>SUMIFS('февраль 2025'!$G$4:$G$2441,'февраль 2025'!$D$4:$D$2441,$B118,'февраль 2025'!$J$4:$J$2441,D$1)</f>
        <v>0</v>
      </c>
      <c r="E118" s="183">
        <f>SUMIFS('февраль 2025'!$G$4:$G$2441,'февраль 2025'!$D$4:$D$2441,$B118,'февраль 2025'!$J$4:$J$2441,E$1)</f>
        <v>0</v>
      </c>
      <c r="F118" s="183">
        <f>SUMIFS('февраль 2025'!$G$4:$G$2441,'февраль 2025'!$D$4:$D$2441,$B118,'февраль 2025'!$J$4:$J$2441,F$1)</f>
        <v>0</v>
      </c>
      <c r="G118" s="183">
        <f>SUMIFS('февраль 2025'!$G$4:$G$2441,'февраль 2025'!$D$4:$D$2441,$B118,'февраль 2025'!$J$4:$J$2441,G$1)</f>
        <v>0</v>
      </c>
      <c r="H118" s="183">
        <f>SUMIFS('февраль 2025'!$G$4:$G$2441,'февраль 2025'!$D$4:$D$2441,$B118,'февраль 2025'!$J$4:$J$2441,H$1)</f>
        <v>0</v>
      </c>
      <c r="I118" s="183">
        <f>SUMIFS('февраль 2025'!$G$4:$G$2441,'февраль 2025'!$D$4:$D$2441,$B118,'февраль 2025'!$J$4:$J$2441,I$1)</f>
        <v>0</v>
      </c>
      <c r="J118" s="183">
        <f>SUMIFS('февраль 2025'!$G$4:$G$2441,'февраль 2025'!$D$4:$D$2441,$B118,'февраль 2025'!$J$4:$J$2441,J$1)</f>
        <v>0</v>
      </c>
      <c r="K118" s="183">
        <f>SUMIFS('февраль 2025'!$G$4:$G$2441,'февраль 2025'!$D$4:$D$2441,$B118,'февраль 2025'!$J$4:$J$2441,K$1)</f>
        <v>0</v>
      </c>
      <c r="L118" s="183">
        <f>SUMIFS('февраль 2025'!$G$4:$G$2441,'февраль 2025'!$D$4:$D$2441,$B118,'февраль 2025'!$J$4:$J$2441,L$1)</f>
        <v>0</v>
      </c>
      <c r="M118" s="183">
        <f>SUMIFS('февраль 2025'!$G$4:$G$2441,'февраль 2025'!$D$4:$D$2441,$B118,'февраль 2025'!$J$4:$J$2441,M$1)</f>
        <v>0</v>
      </c>
      <c r="N118" s="183">
        <f>SUMIFS('февраль 2025'!$G$4:$G$2441,'февраль 2025'!$D$4:$D$2441,$B118,'февраль 2025'!$J$4:$J$2441,N$1)</f>
        <v>0</v>
      </c>
      <c r="O118" s="183">
        <f>SUMIFS('февраль 2025'!$G$4:$G$2441,'февраль 2025'!$D$4:$D$2441,$B118,'февраль 2025'!$J$4:$J$2441,O$1)</f>
        <v>0</v>
      </c>
      <c r="P118" s="183">
        <f>SUMIFS('февраль 2025'!$G$4:$G$2441,'февраль 2025'!$D$4:$D$2441,$B118,'февраль 2025'!$J$4:$J$2441,P$1)</f>
        <v>0</v>
      </c>
      <c r="Q118" s="183">
        <f>SUMIFS('февраль 2025'!$G$4:$G$2441,'февраль 2025'!$D$4:$D$2441,$B118,'февраль 2025'!$J$4:$J$2441,Q$1)</f>
        <v>0</v>
      </c>
      <c r="R118" s="183">
        <f>SUMIFS('февраль 2025'!$G$4:$G$2441,'февраль 2025'!$D$4:$D$2441,$B118,'февраль 2025'!$J$4:$J$2441,R$1)</f>
        <v>0</v>
      </c>
      <c r="S118" s="183">
        <f>SUMIFS('февраль 2025'!$G$4:$G$2441,'февраль 2025'!$D$4:$D$2441,$B118,'февраль 2025'!$J$4:$J$2441,S$1)</f>
        <v>0</v>
      </c>
      <c r="T118" s="183">
        <f>SUMIFS('февраль 2025'!$G$4:$G$2441,'февраль 2025'!$D$4:$D$2441,$B118,'февраль 2025'!$J$4:$J$2441,T$1)</f>
        <v>0</v>
      </c>
      <c r="U118" s="183">
        <f>SUMIFS('февраль 2025'!$G$4:$G$2441,'февраль 2025'!$D$4:$D$2441,$B118,'февраль 2025'!$J$4:$J$2441,U$1)</f>
        <v>0</v>
      </c>
      <c r="V118" s="183">
        <f>SUMIFS('февраль 2025'!$G$4:$G$2441,'февраль 2025'!$D$4:$D$2441,$B118,'февраль 2025'!$J$4:$J$2441,V$1)</f>
        <v>0</v>
      </c>
      <c r="W118" s="183">
        <f>SUMIFS('февраль 2025'!$G$4:$G$2441,'февраль 2025'!$D$4:$D$2441,$B118,'февраль 2025'!$J$4:$J$2441,W$1)</f>
        <v>0</v>
      </c>
      <c r="X118" s="183">
        <f>SUMIFS('февраль 2025'!$G$4:$G$2441,'февраль 2025'!$D$4:$D$2441,$B118,'февраль 2025'!$J$4:$J$2441,X$1)</f>
        <v>0</v>
      </c>
      <c r="Y118" s="183">
        <f>SUMIFS('февраль 2025'!$G$4:$G$2441,'февраль 2025'!$D$4:$D$2441,$B118,'февраль 2025'!$J$4:$J$2441,Y$1)</f>
        <v>0</v>
      </c>
      <c r="Z118" s="183">
        <f>SUMIFS('февраль 2025'!$G$4:$G$2441,'февраль 2025'!$D$4:$D$2441,$B118,'февраль 2025'!$J$4:$J$2441,Z$1)</f>
        <v>0</v>
      </c>
      <c r="AA118" s="183">
        <f>SUMIFS('февраль 2025'!$G$4:$G$2441,'февраль 2025'!$D$4:$D$2441,$B118,'февраль 2025'!$J$4:$J$2441,AA$1)</f>
        <v>0</v>
      </c>
      <c r="AB118" s="183">
        <f>SUMIFS('февраль 2025'!$G$4:$G$2441,'февраль 2025'!$D$4:$D$2441,$B118,'февраль 2025'!$J$4:$J$2441,AB$1)</f>
        <v>0</v>
      </c>
      <c r="AC118" s="183">
        <f>SUMIFS('февраль 2025'!$G$4:$G$2441,'февраль 2025'!$D$4:$D$2441,$B118,'февраль 2025'!$J$4:$J$2441,AC$1)</f>
        <v>0</v>
      </c>
      <c r="AD118" s="183">
        <f>SUMIFS('февраль 2025'!$G$4:$G$2441,'февраль 2025'!$D$4:$D$2441,$B118,'февраль 2025'!$J$4:$J$2441,AD$1)</f>
        <v>0</v>
      </c>
      <c r="AE118" s="183">
        <f>SUMIFS('февраль 2025'!$G$4:$G$2441,'февраль 2025'!$D$4:$D$2441,$B118,'февраль 2025'!$J$4:$J$2441,AE$1)</f>
        <v>0</v>
      </c>
      <c r="AF118" s="183">
        <f>SUMIFS('февраль 2025'!$G$4:$G$2441,'февраль 2025'!$D$4:$D$2441,$B118,'февраль 2025'!$J$4:$J$2441,AF$1)</f>
        <v>0</v>
      </c>
      <c r="AG118" s="183">
        <f>SUMIFS('февраль 2025'!$G$4:$G$2441,'февраль 2025'!$D$4:$D$2441,$B118,'февраль 2025'!$J$4:$J$2441,AG$1)</f>
        <v>0</v>
      </c>
      <c r="AH118" s="183">
        <f>SUMIFS('февраль 2025'!$G$4:$G$2441,'февраль 2025'!$D$4:$D$2441,$B118,'февраль 2025'!$J$4:$J$2441,AH$1)</f>
        <v>0</v>
      </c>
      <c r="AI118" s="20">
        <f t="shared" si="1"/>
        <v>0</v>
      </c>
    </row>
    <row r="119" spans="2:35" ht="15" customHeight="1" x14ac:dyDescent="0.25">
      <c r="B119" s="88" t="s">
        <v>283</v>
      </c>
      <c r="C119" s="86">
        <v>185</v>
      </c>
      <c r="D119" s="183">
        <f>SUMIFS('февраль 2025'!$G$4:$G$2441,'февраль 2025'!$D$4:$D$2441,$B119,'февраль 2025'!$J$4:$J$2441,D$1)</f>
        <v>0</v>
      </c>
      <c r="E119" s="183">
        <f>SUMIFS('февраль 2025'!$G$4:$G$2441,'февраль 2025'!$D$4:$D$2441,$B119,'февраль 2025'!$J$4:$J$2441,E$1)</f>
        <v>0</v>
      </c>
      <c r="F119" s="183">
        <f>SUMIFS('февраль 2025'!$G$4:$G$2441,'февраль 2025'!$D$4:$D$2441,$B119,'февраль 2025'!$J$4:$J$2441,F$1)</f>
        <v>0</v>
      </c>
      <c r="G119" s="183">
        <f>SUMIFS('февраль 2025'!$G$4:$G$2441,'февраль 2025'!$D$4:$D$2441,$B119,'февраль 2025'!$J$4:$J$2441,G$1)</f>
        <v>0</v>
      </c>
      <c r="H119" s="183">
        <f>SUMIFS('февраль 2025'!$G$4:$G$2441,'февраль 2025'!$D$4:$D$2441,$B119,'февраль 2025'!$J$4:$J$2441,H$1)</f>
        <v>0</v>
      </c>
      <c r="I119" s="183">
        <f>SUMIFS('февраль 2025'!$G$4:$G$2441,'февраль 2025'!$D$4:$D$2441,$B119,'февраль 2025'!$J$4:$J$2441,I$1)</f>
        <v>0</v>
      </c>
      <c r="J119" s="183">
        <f>SUMIFS('февраль 2025'!$G$4:$G$2441,'февраль 2025'!$D$4:$D$2441,$B119,'февраль 2025'!$J$4:$J$2441,J$1)</f>
        <v>0</v>
      </c>
      <c r="K119" s="183">
        <f>SUMIFS('февраль 2025'!$G$4:$G$2441,'февраль 2025'!$D$4:$D$2441,$B119,'февраль 2025'!$J$4:$J$2441,K$1)</f>
        <v>0</v>
      </c>
      <c r="L119" s="183">
        <f>SUMIFS('февраль 2025'!$G$4:$G$2441,'февраль 2025'!$D$4:$D$2441,$B119,'февраль 2025'!$J$4:$J$2441,L$1)</f>
        <v>0</v>
      </c>
      <c r="M119" s="183">
        <f>SUMIFS('февраль 2025'!$G$4:$G$2441,'февраль 2025'!$D$4:$D$2441,$B119,'февраль 2025'!$J$4:$J$2441,M$1)</f>
        <v>40</v>
      </c>
      <c r="N119" s="183">
        <f>SUMIFS('февраль 2025'!$G$4:$G$2441,'февраль 2025'!$D$4:$D$2441,$B119,'февраль 2025'!$J$4:$J$2441,N$1)</f>
        <v>0</v>
      </c>
      <c r="O119" s="183">
        <f>SUMIFS('февраль 2025'!$G$4:$G$2441,'февраль 2025'!$D$4:$D$2441,$B119,'февраль 2025'!$J$4:$J$2441,O$1)</f>
        <v>0</v>
      </c>
      <c r="P119" s="183">
        <f>SUMIFS('февраль 2025'!$G$4:$G$2441,'февраль 2025'!$D$4:$D$2441,$B119,'февраль 2025'!$J$4:$J$2441,P$1)</f>
        <v>0</v>
      </c>
      <c r="Q119" s="183">
        <f>SUMIFS('февраль 2025'!$G$4:$G$2441,'февраль 2025'!$D$4:$D$2441,$B119,'февраль 2025'!$J$4:$J$2441,Q$1)</f>
        <v>0</v>
      </c>
      <c r="R119" s="183">
        <f>SUMIFS('февраль 2025'!$G$4:$G$2441,'февраль 2025'!$D$4:$D$2441,$B119,'февраль 2025'!$J$4:$J$2441,R$1)</f>
        <v>0</v>
      </c>
      <c r="S119" s="183">
        <f>SUMIFS('февраль 2025'!$G$4:$G$2441,'февраль 2025'!$D$4:$D$2441,$B119,'февраль 2025'!$J$4:$J$2441,S$1)</f>
        <v>0</v>
      </c>
      <c r="T119" s="183">
        <f>SUMIFS('февраль 2025'!$G$4:$G$2441,'февраль 2025'!$D$4:$D$2441,$B119,'февраль 2025'!$J$4:$J$2441,T$1)</f>
        <v>0</v>
      </c>
      <c r="U119" s="183">
        <f>SUMIFS('февраль 2025'!$G$4:$G$2441,'февраль 2025'!$D$4:$D$2441,$B119,'февраль 2025'!$J$4:$J$2441,U$1)</f>
        <v>0</v>
      </c>
      <c r="V119" s="183">
        <f>SUMIFS('февраль 2025'!$G$4:$G$2441,'февраль 2025'!$D$4:$D$2441,$B119,'февраль 2025'!$J$4:$J$2441,V$1)</f>
        <v>0</v>
      </c>
      <c r="W119" s="183">
        <f>SUMIFS('февраль 2025'!$G$4:$G$2441,'февраль 2025'!$D$4:$D$2441,$B119,'февраль 2025'!$J$4:$J$2441,W$1)</f>
        <v>0</v>
      </c>
      <c r="X119" s="183">
        <f>SUMIFS('февраль 2025'!$G$4:$G$2441,'февраль 2025'!$D$4:$D$2441,$B119,'февраль 2025'!$J$4:$J$2441,X$1)</f>
        <v>0</v>
      </c>
      <c r="Y119" s="183">
        <f>SUMIFS('февраль 2025'!$G$4:$G$2441,'февраль 2025'!$D$4:$D$2441,$B119,'февраль 2025'!$J$4:$J$2441,Y$1)</f>
        <v>0</v>
      </c>
      <c r="Z119" s="183">
        <f>SUMIFS('февраль 2025'!$G$4:$G$2441,'февраль 2025'!$D$4:$D$2441,$B119,'февраль 2025'!$J$4:$J$2441,Z$1)</f>
        <v>0</v>
      </c>
      <c r="AA119" s="183">
        <f>SUMIFS('февраль 2025'!$G$4:$G$2441,'февраль 2025'!$D$4:$D$2441,$B119,'февраль 2025'!$J$4:$J$2441,AA$1)</f>
        <v>0</v>
      </c>
      <c r="AB119" s="183">
        <f>SUMIFS('февраль 2025'!$G$4:$G$2441,'февраль 2025'!$D$4:$D$2441,$B119,'февраль 2025'!$J$4:$J$2441,AB$1)</f>
        <v>0</v>
      </c>
      <c r="AC119" s="183">
        <f>SUMIFS('февраль 2025'!$G$4:$G$2441,'февраль 2025'!$D$4:$D$2441,$B119,'февраль 2025'!$J$4:$J$2441,AC$1)</f>
        <v>0</v>
      </c>
      <c r="AD119" s="183">
        <f>SUMIFS('февраль 2025'!$G$4:$G$2441,'февраль 2025'!$D$4:$D$2441,$B119,'февраль 2025'!$J$4:$J$2441,AD$1)</f>
        <v>0</v>
      </c>
      <c r="AE119" s="183">
        <f>SUMIFS('февраль 2025'!$G$4:$G$2441,'февраль 2025'!$D$4:$D$2441,$B119,'февраль 2025'!$J$4:$J$2441,AE$1)</f>
        <v>0</v>
      </c>
      <c r="AF119" s="183">
        <f>SUMIFS('февраль 2025'!$G$4:$G$2441,'февраль 2025'!$D$4:$D$2441,$B119,'февраль 2025'!$J$4:$J$2441,AF$1)</f>
        <v>0</v>
      </c>
      <c r="AG119" s="183">
        <f>SUMIFS('февраль 2025'!$G$4:$G$2441,'февраль 2025'!$D$4:$D$2441,$B119,'февраль 2025'!$J$4:$J$2441,AG$1)</f>
        <v>0</v>
      </c>
      <c r="AH119" s="183">
        <f>SUMIFS('февраль 2025'!$G$4:$G$2441,'февраль 2025'!$D$4:$D$2441,$B119,'февраль 2025'!$J$4:$J$2441,AH$1)</f>
        <v>0</v>
      </c>
      <c r="AI119" s="20">
        <f t="shared" si="1"/>
        <v>40</v>
      </c>
    </row>
    <row r="120" spans="2:35" ht="15" customHeight="1" x14ac:dyDescent="0.25">
      <c r="B120" s="88" t="s">
        <v>866</v>
      </c>
      <c r="C120" s="86">
        <v>185</v>
      </c>
      <c r="D120" s="183">
        <f>SUMIFS('февраль 2025'!$G$4:$G$2441,'февраль 2025'!$D$4:$D$2441,$B120,'февраль 2025'!$J$4:$J$2441,D$1)</f>
        <v>0</v>
      </c>
      <c r="E120" s="183">
        <f>SUMIFS('февраль 2025'!$G$4:$G$2441,'февраль 2025'!$D$4:$D$2441,$B120,'февраль 2025'!$J$4:$J$2441,E$1)</f>
        <v>0</v>
      </c>
      <c r="F120" s="183">
        <f>SUMIFS('февраль 2025'!$G$4:$G$2441,'февраль 2025'!$D$4:$D$2441,$B120,'февраль 2025'!$J$4:$J$2441,F$1)</f>
        <v>0</v>
      </c>
      <c r="G120" s="183">
        <f>SUMIFS('февраль 2025'!$G$4:$G$2441,'февраль 2025'!$D$4:$D$2441,$B120,'февраль 2025'!$J$4:$J$2441,G$1)</f>
        <v>0</v>
      </c>
      <c r="H120" s="183">
        <f>SUMIFS('февраль 2025'!$G$4:$G$2441,'февраль 2025'!$D$4:$D$2441,$B120,'февраль 2025'!$J$4:$J$2441,H$1)</f>
        <v>0</v>
      </c>
      <c r="I120" s="183">
        <f>SUMIFS('февраль 2025'!$G$4:$G$2441,'февраль 2025'!$D$4:$D$2441,$B120,'февраль 2025'!$J$4:$J$2441,I$1)</f>
        <v>0</v>
      </c>
      <c r="J120" s="183">
        <f>SUMIFS('февраль 2025'!$G$4:$G$2441,'февраль 2025'!$D$4:$D$2441,$B120,'февраль 2025'!$J$4:$J$2441,J$1)</f>
        <v>0</v>
      </c>
      <c r="K120" s="183">
        <f>SUMIFS('февраль 2025'!$G$4:$G$2441,'февраль 2025'!$D$4:$D$2441,$B120,'февраль 2025'!$J$4:$J$2441,K$1)</f>
        <v>0</v>
      </c>
      <c r="L120" s="183">
        <f>SUMIFS('февраль 2025'!$G$4:$G$2441,'февраль 2025'!$D$4:$D$2441,$B120,'февраль 2025'!$J$4:$J$2441,L$1)</f>
        <v>0</v>
      </c>
      <c r="M120" s="183">
        <f>SUMIFS('февраль 2025'!$G$4:$G$2441,'февраль 2025'!$D$4:$D$2441,$B120,'февраль 2025'!$J$4:$J$2441,M$1)</f>
        <v>0</v>
      </c>
      <c r="N120" s="183">
        <f>SUMIFS('февраль 2025'!$G$4:$G$2441,'февраль 2025'!$D$4:$D$2441,$B120,'февраль 2025'!$J$4:$J$2441,N$1)</f>
        <v>0</v>
      </c>
      <c r="O120" s="183">
        <f>SUMIFS('февраль 2025'!$G$4:$G$2441,'февраль 2025'!$D$4:$D$2441,$B120,'февраль 2025'!$J$4:$J$2441,O$1)</f>
        <v>0</v>
      </c>
      <c r="P120" s="183">
        <f>SUMIFS('февраль 2025'!$G$4:$G$2441,'февраль 2025'!$D$4:$D$2441,$B120,'февраль 2025'!$J$4:$J$2441,P$1)</f>
        <v>0</v>
      </c>
      <c r="Q120" s="183">
        <f>SUMIFS('февраль 2025'!$G$4:$G$2441,'февраль 2025'!$D$4:$D$2441,$B120,'февраль 2025'!$J$4:$J$2441,Q$1)</f>
        <v>0</v>
      </c>
      <c r="R120" s="183">
        <f>SUMIFS('февраль 2025'!$G$4:$G$2441,'февраль 2025'!$D$4:$D$2441,$B120,'февраль 2025'!$J$4:$J$2441,R$1)</f>
        <v>0</v>
      </c>
      <c r="S120" s="183">
        <f>SUMIFS('февраль 2025'!$G$4:$G$2441,'февраль 2025'!$D$4:$D$2441,$B120,'февраль 2025'!$J$4:$J$2441,S$1)</f>
        <v>0</v>
      </c>
      <c r="T120" s="183">
        <f>SUMIFS('февраль 2025'!$G$4:$G$2441,'февраль 2025'!$D$4:$D$2441,$B120,'февраль 2025'!$J$4:$J$2441,T$1)</f>
        <v>0</v>
      </c>
      <c r="U120" s="183">
        <f>SUMIFS('февраль 2025'!$G$4:$G$2441,'февраль 2025'!$D$4:$D$2441,$B120,'февраль 2025'!$J$4:$J$2441,U$1)</f>
        <v>0</v>
      </c>
      <c r="V120" s="183">
        <f>SUMIFS('февраль 2025'!$G$4:$G$2441,'февраль 2025'!$D$4:$D$2441,$B120,'февраль 2025'!$J$4:$J$2441,V$1)</f>
        <v>0</v>
      </c>
      <c r="W120" s="183">
        <f>SUMIFS('февраль 2025'!$G$4:$G$2441,'февраль 2025'!$D$4:$D$2441,$B120,'февраль 2025'!$J$4:$J$2441,W$1)</f>
        <v>0</v>
      </c>
      <c r="X120" s="183">
        <f>SUMIFS('февраль 2025'!$G$4:$G$2441,'февраль 2025'!$D$4:$D$2441,$B120,'февраль 2025'!$J$4:$J$2441,X$1)</f>
        <v>0</v>
      </c>
      <c r="Y120" s="183">
        <f>SUMIFS('февраль 2025'!$G$4:$G$2441,'февраль 2025'!$D$4:$D$2441,$B120,'февраль 2025'!$J$4:$J$2441,Y$1)</f>
        <v>0</v>
      </c>
      <c r="Z120" s="183">
        <f>SUMIFS('февраль 2025'!$G$4:$G$2441,'февраль 2025'!$D$4:$D$2441,$B120,'февраль 2025'!$J$4:$J$2441,Z$1)</f>
        <v>0</v>
      </c>
      <c r="AA120" s="183">
        <f>SUMIFS('февраль 2025'!$G$4:$G$2441,'февраль 2025'!$D$4:$D$2441,$B120,'февраль 2025'!$J$4:$J$2441,AA$1)</f>
        <v>0</v>
      </c>
      <c r="AB120" s="183">
        <f>SUMIFS('февраль 2025'!$G$4:$G$2441,'февраль 2025'!$D$4:$D$2441,$B120,'февраль 2025'!$J$4:$J$2441,AB$1)</f>
        <v>0</v>
      </c>
      <c r="AC120" s="183">
        <f>SUMIFS('февраль 2025'!$G$4:$G$2441,'февраль 2025'!$D$4:$D$2441,$B120,'февраль 2025'!$J$4:$J$2441,AC$1)</f>
        <v>0</v>
      </c>
      <c r="AD120" s="183">
        <f>SUMIFS('февраль 2025'!$G$4:$G$2441,'февраль 2025'!$D$4:$D$2441,$B120,'февраль 2025'!$J$4:$J$2441,AD$1)</f>
        <v>0</v>
      </c>
      <c r="AE120" s="183">
        <f>SUMIFS('февраль 2025'!$G$4:$G$2441,'февраль 2025'!$D$4:$D$2441,$B120,'февраль 2025'!$J$4:$J$2441,AE$1)</f>
        <v>0</v>
      </c>
      <c r="AF120" s="183">
        <f>SUMIFS('февраль 2025'!$G$4:$G$2441,'февраль 2025'!$D$4:$D$2441,$B120,'февраль 2025'!$J$4:$J$2441,AF$1)</f>
        <v>0</v>
      </c>
      <c r="AG120" s="183">
        <f>SUMIFS('февраль 2025'!$G$4:$G$2441,'февраль 2025'!$D$4:$D$2441,$B120,'февраль 2025'!$J$4:$J$2441,AG$1)</f>
        <v>0</v>
      </c>
      <c r="AH120" s="183">
        <f>SUMIFS('февраль 2025'!$G$4:$G$2441,'февраль 2025'!$D$4:$D$2441,$B120,'февраль 2025'!$J$4:$J$2441,AH$1)</f>
        <v>0</v>
      </c>
      <c r="AI120" s="20">
        <f t="shared" ref="AI120" si="2">SUM(D120:AH120)</f>
        <v>0</v>
      </c>
    </row>
    <row r="121" spans="2:35" ht="15" customHeight="1" x14ac:dyDescent="0.25">
      <c r="B121" s="88" t="s">
        <v>266</v>
      </c>
      <c r="C121" s="86">
        <v>180</v>
      </c>
      <c r="D121" s="183">
        <f>SUMIFS('февраль 2025'!$G$4:$G$2441,'февраль 2025'!$D$4:$D$2441,$B121,'февраль 2025'!$J$4:$J$2441,D$1)</f>
        <v>0</v>
      </c>
      <c r="E121" s="183">
        <f>SUMIFS('февраль 2025'!$G$4:$G$2441,'февраль 2025'!$D$4:$D$2441,$B121,'февраль 2025'!$J$4:$J$2441,E$1)</f>
        <v>0</v>
      </c>
      <c r="F121" s="183">
        <f>SUMIFS('февраль 2025'!$G$4:$G$2441,'февраль 2025'!$D$4:$D$2441,$B121,'февраль 2025'!$J$4:$J$2441,F$1)</f>
        <v>0</v>
      </c>
      <c r="G121" s="183">
        <f>SUMIFS('февраль 2025'!$G$4:$G$2441,'февраль 2025'!$D$4:$D$2441,$B121,'февраль 2025'!$J$4:$J$2441,G$1)</f>
        <v>0</v>
      </c>
      <c r="H121" s="183">
        <f>SUMIFS('февраль 2025'!$G$4:$G$2441,'февраль 2025'!$D$4:$D$2441,$B121,'февраль 2025'!$J$4:$J$2441,H$1)</f>
        <v>0</v>
      </c>
      <c r="I121" s="183">
        <f>SUMIFS('февраль 2025'!$G$4:$G$2441,'февраль 2025'!$D$4:$D$2441,$B121,'февраль 2025'!$J$4:$J$2441,I$1)</f>
        <v>0</v>
      </c>
      <c r="J121" s="183">
        <f>SUMIFS('февраль 2025'!$G$4:$G$2441,'февраль 2025'!$D$4:$D$2441,$B121,'февраль 2025'!$J$4:$J$2441,J$1)</f>
        <v>0</v>
      </c>
      <c r="K121" s="183">
        <f>SUMIFS('февраль 2025'!$G$4:$G$2441,'февраль 2025'!$D$4:$D$2441,$B121,'февраль 2025'!$J$4:$J$2441,K$1)</f>
        <v>0</v>
      </c>
      <c r="L121" s="183">
        <f>SUMIFS('февраль 2025'!$G$4:$G$2441,'февраль 2025'!$D$4:$D$2441,$B121,'февраль 2025'!$J$4:$J$2441,L$1)</f>
        <v>0</v>
      </c>
      <c r="M121" s="183">
        <f>SUMIFS('февраль 2025'!$G$4:$G$2441,'февраль 2025'!$D$4:$D$2441,$B121,'февраль 2025'!$J$4:$J$2441,M$1)</f>
        <v>0</v>
      </c>
      <c r="N121" s="183">
        <f>SUMIFS('февраль 2025'!$G$4:$G$2441,'февраль 2025'!$D$4:$D$2441,$B121,'февраль 2025'!$J$4:$J$2441,N$1)</f>
        <v>0</v>
      </c>
      <c r="O121" s="183">
        <f>SUMIFS('февраль 2025'!$G$4:$G$2441,'февраль 2025'!$D$4:$D$2441,$B121,'февраль 2025'!$J$4:$J$2441,O$1)</f>
        <v>0</v>
      </c>
      <c r="P121" s="183">
        <f>SUMIFS('февраль 2025'!$G$4:$G$2441,'февраль 2025'!$D$4:$D$2441,$B121,'февраль 2025'!$J$4:$J$2441,P$1)</f>
        <v>0</v>
      </c>
      <c r="Q121" s="183">
        <f>SUMIFS('февраль 2025'!$G$4:$G$2441,'февраль 2025'!$D$4:$D$2441,$B121,'февраль 2025'!$J$4:$J$2441,Q$1)</f>
        <v>0</v>
      </c>
      <c r="R121" s="183">
        <f>SUMIFS('февраль 2025'!$G$4:$G$2441,'февраль 2025'!$D$4:$D$2441,$B121,'февраль 2025'!$J$4:$J$2441,R$1)</f>
        <v>0</v>
      </c>
      <c r="S121" s="183">
        <f>SUMIFS('февраль 2025'!$G$4:$G$2441,'февраль 2025'!$D$4:$D$2441,$B121,'февраль 2025'!$J$4:$J$2441,S$1)</f>
        <v>0</v>
      </c>
      <c r="T121" s="183">
        <f>SUMIFS('февраль 2025'!$G$4:$G$2441,'февраль 2025'!$D$4:$D$2441,$B121,'февраль 2025'!$J$4:$J$2441,T$1)</f>
        <v>0</v>
      </c>
      <c r="U121" s="183">
        <f>SUMIFS('февраль 2025'!$G$4:$G$2441,'февраль 2025'!$D$4:$D$2441,$B121,'февраль 2025'!$J$4:$J$2441,U$1)</f>
        <v>0</v>
      </c>
      <c r="V121" s="183">
        <f>SUMIFS('февраль 2025'!$G$4:$G$2441,'февраль 2025'!$D$4:$D$2441,$B121,'февраль 2025'!$J$4:$J$2441,V$1)</f>
        <v>0</v>
      </c>
      <c r="W121" s="183">
        <f>SUMIFS('февраль 2025'!$G$4:$G$2441,'февраль 2025'!$D$4:$D$2441,$B121,'февраль 2025'!$J$4:$J$2441,W$1)</f>
        <v>0</v>
      </c>
      <c r="X121" s="183">
        <f>SUMIFS('февраль 2025'!$G$4:$G$2441,'февраль 2025'!$D$4:$D$2441,$B121,'февраль 2025'!$J$4:$J$2441,X$1)</f>
        <v>0</v>
      </c>
      <c r="Y121" s="183">
        <f>SUMIFS('февраль 2025'!$G$4:$G$2441,'февраль 2025'!$D$4:$D$2441,$B121,'февраль 2025'!$J$4:$J$2441,Y$1)</f>
        <v>0</v>
      </c>
      <c r="Z121" s="183">
        <f>SUMIFS('февраль 2025'!$G$4:$G$2441,'февраль 2025'!$D$4:$D$2441,$B121,'февраль 2025'!$J$4:$J$2441,Z$1)</f>
        <v>0</v>
      </c>
      <c r="AA121" s="183">
        <f>SUMIFS('февраль 2025'!$G$4:$G$2441,'февраль 2025'!$D$4:$D$2441,$B121,'февраль 2025'!$J$4:$J$2441,AA$1)</f>
        <v>0</v>
      </c>
      <c r="AB121" s="183">
        <f>SUMIFS('февраль 2025'!$G$4:$G$2441,'февраль 2025'!$D$4:$D$2441,$B121,'февраль 2025'!$J$4:$J$2441,AB$1)</f>
        <v>0</v>
      </c>
      <c r="AC121" s="183">
        <f>SUMIFS('февраль 2025'!$G$4:$G$2441,'февраль 2025'!$D$4:$D$2441,$B121,'февраль 2025'!$J$4:$J$2441,AC$1)</f>
        <v>0</v>
      </c>
      <c r="AD121" s="183">
        <f>SUMIFS('февраль 2025'!$G$4:$G$2441,'февраль 2025'!$D$4:$D$2441,$B121,'февраль 2025'!$J$4:$J$2441,AD$1)</f>
        <v>0</v>
      </c>
      <c r="AE121" s="183">
        <f>SUMIFS('февраль 2025'!$G$4:$G$2441,'февраль 2025'!$D$4:$D$2441,$B121,'февраль 2025'!$J$4:$J$2441,AE$1)</f>
        <v>0</v>
      </c>
      <c r="AF121" s="183">
        <f>SUMIFS('февраль 2025'!$G$4:$G$2441,'февраль 2025'!$D$4:$D$2441,$B121,'февраль 2025'!$J$4:$J$2441,AF$1)</f>
        <v>0</v>
      </c>
      <c r="AG121" s="183">
        <f>SUMIFS('февраль 2025'!$G$4:$G$2441,'февраль 2025'!$D$4:$D$2441,$B121,'февраль 2025'!$J$4:$J$2441,AG$1)</f>
        <v>0</v>
      </c>
      <c r="AH121" s="183">
        <f>SUMIFS('февраль 2025'!$G$4:$G$2441,'февраль 2025'!$D$4:$D$2441,$B121,'февраль 2025'!$J$4:$J$2441,AH$1)</f>
        <v>0</v>
      </c>
      <c r="AI121" s="20">
        <f t="shared" si="1"/>
        <v>0</v>
      </c>
    </row>
    <row r="122" spans="2:35" ht="15" customHeight="1" x14ac:dyDescent="0.25">
      <c r="B122" s="88" t="s">
        <v>267</v>
      </c>
      <c r="C122" s="86">
        <v>200</v>
      </c>
      <c r="D122" s="183">
        <f>SUMIFS('февраль 2025'!$G$4:$G$2441,'февраль 2025'!$D$4:$D$2441,$B122,'февраль 2025'!$J$4:$J$2441,D$1)</f>
        <v>0</v>
      </c>
      <c r="E122" s="183">
        <f>SUMIFS('февраль 2025'!$G$4:$G$2441,'февраль 2025'!$D$4:$D$2441,$B122,'февраль 2025'!$J$4:$J$2441,E$1)</f>
        <v>0</v>
      </c>
      <c r="F122" s="183">
        <f>SUMIFS('февраль 2025'!$G$4:$G$2441,'февраль 2025'!$D$4:$D$2441,$B122,'февраль 2025'!$J$4:$J$2441,F$1)</f>
        <v>0</v>
      </c>
      <c r="G122" s="183">
        <f>SUMIFS('февраль 2025'!$G$4:$G$2441,'февраль 2025'!$D$4:$D$2441,$B122,'февраль 2025'!$J$4:$J$2441,G$1)</f>
        <v>0</v>
      </c>
      <c r="H122" s="183">
        <f>SUMIFS('февраль 2025'!$G$4:$G$2441,'февраль 2025'!$D$4:$D$2441,$B122,'февраль 2025'!$J$4:$J$2441,H$1)</f>
        <v>0</v>
      </c>
      <c r="I122" s="183">
        <f>SUMIFS('февраль 2025'!$G$4:$G$2441,'февраль 2025'!$D$4:$D$2441,$B122,'февраль 2025'!$J$4:$J$2441,I$1)</f>
        <v>0</v>
      </c>
      <c r="J122" s="183">
        <f>SUMIFS('февраль 2025'!$G$4:$G$2441,'февраль 2025'!$D$4:$D$2441,$B122,'февраль 2025'!$J$4:$J$2441,J$1)</f>
        <v>0</v>
      </c>
      <c r="K122" s="183">
        <f>SUMIFS('февраль 2025'!$G$4:$G$2441,'февраль 2025'!$D$4:$D$2441,$B122,'февраль 2025'!$J$4:$J$2441,K$1)</f>
        <v>0</v>
      </c>
      <c r="L122" s="183">
        <f>SUMIFS('февраль 2025'!$G$4:$G$2441,'февраль 2025'!$D$4:$D$2441,$B122,'февраль 2025'!$J$4:$J$2441,L$1)</f>
        <v>0</v>
      </c>
      <c r="M122" s="183">
        <f>SUMIFS('февраль 2025'!$G$4:$G$2441,'февраль 2025'!$D$4:$D$2441,$B122,'февраль 2025'!$J$4:$J$2441,M$1)</f>
        <v>0</v>
      </c>
      <c r="N122" s="183">
        <f>SUMIFS('февраль 2025'!$G$4:$G$2441,'февраль 2025'!$D$4:$D$2441,$B122,'февраль 2025'!$J$4:$J$2441,N$1)</f>
        <v>0</v>
      </c>
      <c r="O122" s="183">
        <f>SUMIFS('февраль 2025'!$G$4:$G$2441,'февраль 2025'!$D$4:$D$2441,$B122,'февраль 2025'!$J$4:$J$2441,O$1)</f>
        <v>0</v>
      </c>
      <c r="P122" s="183">
        <f>SUMIFS('февраль 2025'!$G$4:$G$2441,'февраль 2025'!$D$4:$D$2441,$B122,'февраль 2025'!$J$4:$J$2441,P$1)</f>
        <v>0</v>
      </c>
      <c r="Q122" s="183">
        <f>SUMIFS('февраль 2025'!$G$4:$G$2441,'февраль 2025'!$D$4:$D$2441,$B122,'февраль 2025'!$J$4:$J$2441,Q$1)</f>
        <v>0</v>
      </c>
      <c r="R122" s="183">
        <f>SUMIFS('февраль 2025'!$G$4:$G$2441,'февраль 2025'!$D$4:$D$2441,$B122,'февраль 2025'!$J$4:$J$2441,R$1)</f>
        <v>0</v>
      </c>
      <c r="S122" s="183">
        <f>SUMIFS('февраль 2025'!$G$4:$G$2441,'февраль 2025'!$D$4:$D$2441,$B122,'февраль 2025'!$J$4:$J$2441,S$1)</f>
        <v>0</v>
      </c>
      <c r="T122" s="183">
        <f>SUMIFS('февраль 2025'!$G$4:$G$2441,'февраль 2025'!$D$4:$D$2441,$B122,'февраль 2025'!$J$4:$J$2441,T$1)</f>
        <v>0</v>
      </c>
      <c r="U122" s="183">
        <f>SUMIFS('февраль 2025'!$G$4:$G$2441,'февраль 2025'!$D$4:$D$2441,$B122,'февраль 2025'!$J$4:$J$2441,U$1)</f>
        <v>0</v>
      </c>
      <c r="V122" s="183">
        <f>SUMIFS('февраль 2025'!$G$4:$G$2441,'февраль 2025'!$D$4:$D$2441,$B122,'февраль 2025'!$J$4:$J$2441,V$1)</f>
        <v>0</v>
      </c>
      <c r="W122" s="183">
        <f>SUMIFS('февраль 2025'!$G$4:$G$2441,'февраль 2025'!$D$4:$D$2441,$B122,'февраль 2025'!$J$4:$J$2441,W$1)</f>
        <v>0</v>
      </c>
      <c r="X122" s="183">
        <f>SUMIFS('февраль 2025'!$G$4:$G$2441,'февраль 2025'!$D$4:$D$2441,$B122,'февраль 2025'!$J$4:$J$2441,X$1)</f>
        <v>0</v>
      </c>
      <c r="Y122" s="183">
        <f>SUMIFS('февраль 2025'!$G$4:$G$2441,'февраль 2025'!$D$4:$D$2441,$B122,'февраль 2025'!$J$4:$J$2441,Y$1)</f>
        <v>0</v>
      </c>
      <c r="Z122" s="183">
        <f>SUMIFS('февраль 2025'!$G$4:$G$2441,'февраль 2025'!$D$4:$D$2441,$B122,'февраль 2025'!$J$4:$J$2441,Z$1)</f>
        <v>0</v>
      </c>
      <c r="AA122" s="183">
        <f>SUMIFS('февраль 2025'!$G$4:$G$2441,'февраль 2025'!$D$4:$D$2441,$B122,'февраль 2025'!$J$4:$J$2441,AA$1)</f>
        <v>0</v>
      </c>
      <c r="AB122" s="183">
        <f>SUMIFS('февраль 2025'!$G$4:$G$2441,'февраль 2025'!$D$4:$D$2441,$B122,'февраль 2025'!$J$4:$J$2441,AB$1)</f>
        <v>0</v>
      </c>
      <c r="AC122" s="183">
        <f>SUMIFS('февраль 2025'!$G$4:$G$2441,'февраль 2025'!$D$4:$D$2441,$B122,'февраль 2025'!$J$4:$J$2441,AC$1)</f>
        <v>0</v>
      </c>
      <c r="AD122" s="183">
        <f>SUMIFS('февраль 2025'!$G$4:$G$2441,'февраль 2025'!$D$4:$D$2441,$B122,'февраль 2025'!$J$4:$J$2441,AD$1)</f>
        <v>0</v>
      </c>
      <c r="AE122" s="183">
        <f>SUMIFS('февраль 2025'!$G$4:$G$2441,'февраль 2025'!$D$4:$D$2441,$B122,'февраль 2025'!$J$4:$J$2441,AE$1)</f>
        <v>0</v>
      </c>
      <c r="AF122" s="183">
        <f>SUMIFS('февраль 2025'!$G$4:$G$2441,'февраль 2025'!$D$4:$D$2441,$B122,'февраль 2025'!$J$4:$J$2441,AF$1)</f>
        <v>0</v>
      </c>
      <c r="AG122" s="183">
        <f>SUMIFS('февраль 2025'!$G$4:$G$2441,'февраль 2025'!$D$4:$D$2441,$B122,'февраль 2025'!$J$4:$J$2441,AG$1)</f>
        <v>0</v>
      </c>
      <c r="AH122" s="183">
        <f>SUMIFS('февраль 2025'!$G$4:$G$2441,'февраль 2025'!$D$4:$D$2441,$B122,'февраль 2025'!$J$4:$J$2441,AH$1)</f>
        <v>0</v>
      </c>
      <c r="AI122" s="20">
        <f t="shared" si="1"/>
        <v>0</v>
      </c>
    </row>
    <row r="123" spans="2:35" ht="15" customHeight="1" x14ac:dyDescent="0.25">
      <c r="B123" s="84" t="s">
        <v>163</v>
      </c>
      <c r="C123" s="83">
        <v>950</v>
      </c>
      <c r="D123" s="183">
        <f>SUMIFS('февраль 2025'!$G$4:$G$2441,'февраль 2025'!$D$4:$D$2441,$B123,'февраль 2025'!$J$4:$J$2441,D$1)</f>
        <v>0</v>
      </c>
      <c r="E123" s="183">
        <f>SUMIFS('февраль 2025'!$G$4:$G$2441,'февраль 2025'!$D$4:$D$2441,$B123,'февраль 2025'!$J$4:$J$2441,E$1)</f>
        <v>0</v>
      </c>
      <c r="F123" s="183">
        <f>SUMIFS('февраль 2025'!$G$4:$G$2441,'февраль 2025'!$D$4:$D$2441,$B123,'февраль 2025'!$J$4:$J$2441,F$1)</f>
        <v>0</v>
      </c>
      <c r="G123" s="183">
        <f>SUMIFS('февраль 2025'!$G$4:$G$2441,'февраль 2025'!$D$4:$D$2441,$B123,'февраль 2025'!$J$4:$J$2441,G$1)</f>
        <v>0</v>
      </c>
      <c r="H123" s="183">
        <f>SUMIFS('февраль 2025'!$G$4:$G$2441,'февраль 2025'!$D$4:$D$2441,$B123,'февраль 2025'!$J$4:$J$2441,H$1)</f>
        <v>0</v>
      </c>
      <c r="I123" s="183">
        <f>SUMIFS('февраль 2025'!$G$4:$G$2441,'февраль 2025'!$D$4:$D$2441,$B123,'февраль 2025'!$J$4:$J$2441,I$1)</f>
        <v>0</v>
      </c>
      <c r="J123" s="183">
        <f>SUMIFS('февраль 2025'!$G$4:$G$2441,'февраль 2025'!$D$4:$D$2441,$B123,'февраль 2025'!$J$4:$J$2441,J$1)</f>
        <v>0</v>
      </c>
      <c r="K123" s="183">
        <f>SUMIFS('февраль 2025'!$G$4:$G$2441,'февраль 2025'!$D$4:$D$2441,$B123,'февраль 2025'!$J$4:$J$2441,K$1)</f>
        <v>0</v>
      </c>
      <c r="L123" s="183">
        <f>SUMIFS('февраль 2025'!$G$4:$G$2441,'февраль 2025'!$D$4:$D$2441,$B123,'февраль 2025'!$J$4:$J$2441,L$1)</f>
        <v>0</v>
      </c>
      <c r="M123" s="183">
        <f>SUMIFS('февраль 2025'!$G$4:$G$2441,'февраль 2025'!$D$4:$D$2441,$B123,'февраль 2025'!$J$4:$J$2441,M$1)</f>
        <v>0</v>
      </c>
      <c r="N123" s="183">
        <f>SUMIFS('февраль 2025'!$G$4:$G$2441,'февраль 2025'!$D$4:$D$2441,$B123,'февраль 2025'!$J$4:$J$2441,N$1)</f>
        <v>0</v>
      </c>
      <c r="O123" s="183">
        <f>SUMIFS('февраль 2025'!$G$4:$G$2441,'февраль 2025'!$D$4:$D$2441,$B123,'февраль 2025'!$J$4:$J$2441,O$1)</f>
        <v>0</v>
      </c>
      <c r="P123" s="183">
        <f>SUMIFS('февраль 2025'!$G$4:$G$2441,'февраль 2025'!$D$4:$D$2441,$B123,'февраль 2025'!$J$4:$J$2441,P$1)</f>
        <v>0</v>
      </c>
      <c r="Q123" s="183">
        <f>SUMIFS('февраль 2025'!$G$4:$G$2441,'февраль 2025'!$D$4:$D$2441,$B123,'февраль 2025'!$J$4:$J$2441,Q$1)</f>
        <v>0</v>
      </c>
      <c r="R123" s="183">
        <f>SUMIFS('февраль 2025'!$G$4:$G$2441,'февраль 2025'!$D$4:$D$2441,$B123,'февраль 2025'!$J$4:$J$2441,R$1)</f>
        <v>0</v>
      </c>
      <c r="S123" s="183">
        <f>SUMIFS('февраль 2025'!$G$4:$G$2441,'февраль 2025'!$D$4:$D$2441,$B123,'февраль 2025'!$J$4:$J$2441,S$1)</f>
        <v>0</v>
      </c>
      <c r="T123" s="183">
        <f>SUMIFS('февраль 2025'!$G$4:$G$2441,'февраль 2025'!$D$4:$D$2441,$B123,'февраль 2025'!$J$4:$J$2441,T$1)</f>
        <v>0</v>
      </c>
      <c r="U123" s="183">
        <f>SUMIFS('февраль 2025'!$G$4:$G$2441,'февраль 2025'!$D$4:$D$2441,$B123,'февраль 2025'!$J$4:$J$2441,U$1)</f>
        <v>0</v>
      </c>
      <c r="V123" s="183">
        <f>SUMIFS('февраль 2025'!$G$4:$G$2441,'февраль 2025'!$D$4:$D$2441,$B123,'февраль 2025'!$J$4:$J$2441,V$1)</f>
        <v>0</v>
      </c>
      <c r="W123" s="183">
        <f>SUMIFS('февраль 2025'!$G$4:$G$2441,'февраль 2025'!$D$4:$D$2441,$B123,'февраль 2025'!$J$4:$J$2441,W$1)</f>
        <v>0</v>
      </c>
      <c r="X123" s="183">
        <f>SUMIFS('февраль 2025'!$G$4:$G$2441,'февраль 2025'!$D$4:$D$2441,$B123,'февраль 2025'!$J$4:$J$2441,X$1)</f>
        <v>0</v>
      </c>
      <c r="Y123" s="183">
        <f>SUMIFS('февраль 2025'!$G$4:$G$2441,'февраль 2025'!$D$4:$D$2441,$B123,'февраль 2025'!$J$4:$J$2441,Y$1)</f>
        <v>0</v>
      </c>
      <c r="Z123" s="183">
        <f>SUMIFS('февраль 2025'!$G$4:$G$2441,'февраль 2025'!$D$4:$D$2441,$B123,'февраль 2025'!$J$4:$J$2441,Z$1)</f>
        <v>0</v>
      </c>
      <c r="AA123" s="183">
        <f>SUMIFS('февраль 2025'!$G$4:$G$2441,'февраль 2025'!$D$4:$D$2441,$B123,'февраль 2025'!$J$4:$J$2441,AA$1)</f>
        <v>0</v>
      </c>
      <c r="AB123" s="183">
        <f>SUMIFS('февраль 2025'!$G$4:$G$2441,'февраль 2025'!$D$4:$D$2441,$B123,'февраль 2025'!$J$4:$J$2441,AB$1)</f>
        <v>0</v>
      </c>
      <c r="AC123" s="183">
        <f>SUMIFS('февраль 2025'!$G$4:$G$2441,'февраль 2025'!$D$4:$D$2441,$B123,'февраль 2025'!$J$4:$J$2441,AC$1)</f>
        <v>0</v>
      </c>
      <c r="AD123" s="183">
        <f>SUMIFS('февраль 2025'!$G$4:$G$2441,'февраль 2025'!$D$4:$D$2441,$B123,'февраль 2025'!$J$4:$J$2441,AD$1)</f>
        <v>0</v>
      </c>
      <c r="AE123" s="183">
        <f>SUMIFS('февраль 2025'!$G$4:$G$2441,'февраль 2025'!$D$4:$D$2441,$B123,'февраль 2025'!$J$4:$J$2441,AE$1)</f>
        <v>0</v>
      </c>
      <c r="AF123" s="183">
        <f>SUMIFS('февраль 2025'!$G$4:$G$2441,'февраль 2025'!$D$4:$D$2441,$B123,'февраль 2025'!$J$4:$J$2441,AF$1)</f>
        <v>0</v>
      </c>
      <c r="AG123" s="183">
        <f>SUMIFS('февраль 2025'!$G$4:$G$2441,'февраль 2025'!$D$4:$D$2441,$B123,'февраль 2025'!$J$4:$J$2441,AG$1)</f>
        <v>0</v>
      </c>
      <c r="AH123" s="183">
        <f>SUMIFS('февраль 2025'!$G$4:$G$2441,'февраль 2025'!$D$4:$D$2441,$B123,'февраль 2025'!$J$4:$J$2441,AH$1)</f>
        <v>0</v>
      </c>
      <c r="AI123" s="20">
        <f t="shared" si="1"/>
        <v>0</v>
      </c>
    </row>
    <row r="124" spans="2:35" ht="15" customHeight="1" x14ac:dyDescent="0.25">
      <c r="B124" s="84" t="s">
        <v>183</v>
      </c>
      <c r="C124" s="83">
        <v>180</v>
      </c>
      <c r="D124" s="183">
        <f>SUMIFS('февраль 2025'!$G$4:$G$2441,'февраль 2025'!$D$4:$D$2441,$B124,'февраль 2025'!$J$4:$J$2441,D$1)</f>
        <v>0</v>
      </c>
      <c r="E124" s="183">
        <f>SUMIFS('февраль 2025'!$G$4:$G$2441,'февраль 2025'!$D$4:$D$2441,$B124,'февраль 2025'!$J$4:$J$2441,E$1)</f>
        <v>0</v>
      </c>
      <c r="F124" s="183">
        <f>SUMIFS('февраль 2025'!$G$4:$G$2441,'февраль 2025'!$D$4:$D$2441,$B124,'февраль 2025'!$J$4:$J$2441,F$1)</f>
        <v>0</v>
      </c>
      <c r="G124" s="183">
        <f>SUMIFS('февраль 2025'!$G$4:$G$2441,'февраль 2025'!$D$4:$D$2441,$B124,'февраль 2025'!$J$4:$J$2441,G$1)</f>
        <v>0</v>
      </c>
      <c r="H124" s="183">
        <f>SUMIFS('февраль 2025'!$G$4:$G$2441,'февраль 2025'!$D$4:$D$2441,$B124,'февраль 2025'!$J$4:$J$2441,H$1)</f>
        <v>0</v>
      </c>
      <c r="I124" s="183">
        <f>SUMIFS('февраль 2025'!$G$4:$G$2441,'февраль 2025'!$D$4:$D$2441,$B124,'февраль 2025'!$J$4:$J$2441,I$1)</f>
        <v>0</v>
      </c>
      <c r="J124" s="183">
        <f>SUMIFS('февраль 2025'!$G$4:$G$2441,'февраль 2025'!$D$4:$D$2441,$B124,'февраль 2025'!$J$4:$J$2441,J$1)</f>
        <v>0</v>
      </c>
      <c r="K124" s="183">
        <f>SUMIFS('февраль 2025'!$G$4:$G$2441,'февраль 2025'!$D$4:$D$2441,$B124,'февраль 2025'!$J$4:$J$2441,K$1)</f>
        <v>0</v>
      </c>
      <c r="L124" s="183">
        <f>SUMIFS('февраль 2025'!$G$4:$G$2441,'февраль 2025'!$D$4:$D$2441,$B124,'февраль 2025'!$J$4:$J$2441,L$1)</f>
        <v>0</v>
      </c>
      <c r="M124" s="183">
        <f>SUMIFS('февраль 2025'!$G$4:$G$2441,'февраль 2025'!$D$4:$D$2441,$B124,'февраль 2025'!$J$4:$J$2441,M$1)</f>
        <v>0</v>
      </c>
      <c r="N124" s="183">
        <f>SUMIFS('февраль 2025'!$G$4:$G$2441,'февраль 2025'!$D$4:$D$2441,$B124,'февраль 2025'!$J$4:$J$2441,N$1)</f>
        <v>0</v>
      </c>
      <c r="O124" s="183">
        <f>SUMIFS('февраль 2025'!$G$4:$G$2441,'февраль 2025'!$D$4:$D$2441,$B124,'февраль 2025'!$J$4:$J$2441,O$1)</f>
        <v>0</v>
      </c>
      <c r="P124" s="183">
        <f>SUMIFS('февраль 2025'!$G$4:$G$2441,'февраль 2025'!$D$4:$D$2441,$B124,'февраль 2025'!$J$4:$J$2441,P$1)</f>
        <v>0</v>
      </c>
      <c r="Q124" s="183">
        <f>SUMIFS('февраль 2025'!$G$4:$G$2441,'февраль 2025'!$D$4:$D$2441,$B124,'февраль 2025'!$J$4:$J$2441,Q$1)</f>
        <v>0</v>
      </c>
      <c r="R124" s="183">
        <f>SUMIFS('февраль 2025'!$G$4:$G$2441,'февраль 2025'!$D$4:$D$2441,$B124,'февраль 2025'!$J$4:$J$2441,R$1)</f>
        <v>0</v>
      </c>
      <c r="S124" s="183">
        <f>SUMIFS('февраль 2025'!$G$4:$G$2441,'февраль 2025'!$D$4:$D$2441,$B124,'февраль 2025'!$J$4:$J$2441,S$1)</f>
        <v>0</v>
      </c>
      <c r="T124" s="183">
        <f>SUMIFS('февраль 2025'!$G$4:$G$2441,'февраль 2025'!$D$4:$D$2441,$B124,'февраль 2025'!$J$4:$J$2441,T$1)</f>
        <v>0</v>
      </c>
      <c r="U124" s="183">
        <f>SUMIFS('февраль 2025'!$G$4:$G$2441,'февраль 2025'!$D$4:$D$2441,$B124,'февраль 2025'!$J$4:$J$2441,U$1)</f>
        <v>0</v>
      </c>
      <c r="V124" s="183">
        <f>SUMIFS('февраль 2025'!$G$4:$G$2441,'февраль 2025'!$D$4:$D$2441,$B124,'февраль 2025'!$J$4:$J$2441,V$1)</f>
        <v>0</v>
      </c>
      <c r="W124" s="183">
        <f>SUMIFS('февраль 2025'!$G$4:$G$2441,'февраль 2025'!$D$4:$D$2441,$B124,'февраль 2025'!$J$4:$J$2441,W$1)</f>
        <v>0</v>
      </c>
      <c r="X124" s="183">
        <f>SUMIFS('февраль 2025'!$G$4:$G$2441,'февраль 2025'!$D$4:$D$2441,$B124,'февраль 2025'!$J$4:$J$2441,X$1)</f>
        <v>0</v>
      </c>
      <c r="Y124" s="183">
        <f>SUMIFS('февраль 2025'!$G$4:$G$2441,'февраль 2025'!$D$4:$D$2441,$B124,'февраль 2025'!$J$4:$J$2441,Y$1)</f>
        <v>0</v>
      </c>
      <c r="Z124" s="183">
        <f>SUMIFS('февраль 2025'!$G$4:$G$2441,'февраль 2025'!$D$4:$D$2441,$B124,'февраль 2025'!$J$4:$J$2441,Z$1)</f>
        <v>0</v>
      </c>
      <c r="AA124" s="183">
        <f>SUMIFS('февраль 2025'!$G$4:$G$2441,'февраль 2025'!$D$4:$D$2441,$B124,'февраль 2025'!$J$4:$J$2441,AA$1)</f>
        <v>0</v>
      </c>
      <c r="AB124" s="183">
        <f>SUMIFS('февраль 2025'!$G$4:$G$2441,'февраль 2025'!$D$4:$D$2441,$B124,'февраль 2025'!$J$4:$J$2441,AB$1)</f>
        <v>0</v>
      </c>
      <c r="AC124" s="183">
        <f>SUMIFS('февраль 2025'!$G$4:$G$2441,'февраль 2025'!$D$4:$D$2441,$B124,'февраль 2025'!$J$4:$J$2441,AC$1)</f>
        <v>0</v>
      </c>
      <c r="AD124" s="183">
        <f>SUMIFS('февраль 2025'!$G$4:$G$2441,'февраль 2025'!$D$4:$D$2441,$B124,'февраль 2025'!$J$4:$J$2441,AD$1)</f>
        <v>0</v>
      </c>
      <c r="AE124" s="183">
        <f>SUMIFS('февраль 2025'!$G$4:$G$2441,'февраль 2025'!$D$4:$D$2441,$B124,'февраль 2025'!$J$4:$J$2441,AE$1)</f>
        <v>0</v>
      </c>
      <c r="AF124" s="183">
        <f>SUMIFS('февраль 2025'!$G$4:$G$2441,'февраль 2025'!$D$4:$D$2441,$B124,'февраль 2025'!$J$4:$J$2441,AF$1)</f>
        <v>0</v>
      </c>
      <c r="AG124" s="183">
        <f>SUMIFS('февраль 2025'!$G$4:$G$2441,'февраль 2025'!$D$4:$D$2441,$B124,'февраль 2025'!$J$4:$J$2441,AG$1)</f>
        <v>0</v>
      </c>
      <c r="AH124" s="183">
        <f>SUMIFS('февраль 2025'!$G$4:$G$2441,'февраль 2025'!$D$4:$D$2441,$B124,'февраль 2025'!$J$4:$J$2441,AH$1)</f>
        <v>0</v>
      </c>
      <c r="AI124" s="20">
        <f t="shared" si="1"/>
        <v>0</v>
      </c>
    </row>
    <row r="125" spans="2:35" ht="15" customHeight="1" x14ac:dyDescent="0.25">
      <c r="B125" s="84" t="s">
        <v>305</v>
      </c>
      <c r="C125" s="83">
        <v>180</v>
      </c>
      <c r="D125" s="183">
        <f>SUMIFS('февраль 2025'!$G$4:$G$2441,'февраль 2025'!$D$4:$D$2441,$B125,'февраль 2025'!$J$4:$J$2441,D$1)</f>
        <v>0</v>
      </c>
      <c r="E125" s="183">
        <f>SUMIFS('февраль 2025'!$G$4:$G$2441,'февраль 2025'!$D$4:$D$2441,$B125,'февраль 2025'!$J$4:$J$2441,E$1)</f>
        <v>0</v>
      </c>
      <c r="F125" s="183">
        <f>SUMIFS('февраль 2025'!$G$4:$G$2441,'февраль 2025'!$D$4:$D$2441,$B125,'февраль 2025'!$J$4:$J$2441,F$1)</f>
        <v>0</v>
      </c>
      <c r="G125" s="183">
        <f>SUMIFS('февраль 2025'!$G$4:$G$2441,'февраль 2025'!$D$4:$D$2441,$B125,'февраль 2025'!$J$4:$J$2441,G$1)</f>
        <v>0</v>
      </c>
      <c r="H125" s="183">
        <f>SUMIFS('февраль 2025'!$G$4:$G$2441,'февраль 2025'!$D$4:$D$2441,$B125,'февраль 2025'!$J$4:$J$2441,H$1)</f>
        <v>0</v>
      </c>
      <c r="I125" s="183">
        <f>SUMIFS('февраль 2025'!$G$4:$G$2441,'февраль 2025'!$D$4:$D$2441,$B125,'февраль 2025'!$J$4:$J$2441,I$1)</f>
        <v>0</v>
      </c>
      <c r="J125" s="183">
        <f>SUMIFS('февраль 2025'!$G$4:$G$2441,'февраль 2025'!$D$4:$D$2441,$B125,'февраль 2025'!$J$4:$J$2441,J$1)</f>
        <v>0</v>
      </c>
      <c r="K125" s="183">
        <f>SUMIFS('февраль 2025'!$G$4:$G$2441,'февраль 2025'!$D$4:$D$2441,$B125,'февраль 2025'!$J$4:$J$2441,K$1)</f>
        <v>0</v>
      </c>
      <c r="L125" s="183">
        <f>SUMIFS('февраль 2025'!$G$4:$G$2441,'февраль 2025'!$D$4:$D$2441,$B125,'февраль 2025'!$J$4:$J$2441,L$1)</f>
        <v>0</v>
      </c>
      <c r="M125" s="183">
        <f>SUMIFS('февраль 2025'!$G$4:$G$2441,'февраль 2025'!$D$4:$D$2441,$B125,'февраль 2025'!$J$4:$J$2441,M$1)</f>
        <v>0</v>
      </c>
      <c r="N125" s="183">
        <f>SUMIFS('февраль 2025'!$G$4:$G$2441,'февраль 2025'!$D$4:$D$2441,$B125,'февраль 2025'!$J$4:$J$2441,N$1)</f>
        <v>0</v>
      </c>
      <c r="O125" s="183">
        <f>SUMIFS('февраль 2025'!$G$4:$G$2441,'февраль 2025'!$D$4:$D$2441,$B125,'февраль 2025'!$J$4:$J$2441,O$1)</f>
        <v>0</v>
      </c>
      <c r="P125" s="183">
        <f>SUMIFS('февраль 2025'!$G$4:$G$2441,'февраль 2025'!$D$4:$D$2441,$B125,'февраль 2025'!$J$4:$J$2441,P$1)</f>
        <v>0</v>
      </c>
      <c r="Q125" s="183">
        <f>SUMIFS('февраль 2025'!$G$4:$G$2441,'февраль 2025'!$D$4:$D$2441,$B125,'февраль 2025'!$J$4:$J$2441,Q$1)</f>
        <v>0</v>
      </c>
      <c r="R125" s="183">
        <f>SUMIFS('февраль 2025'!$G$4:$G$2441,'февраль 2025'!$D$4:$D$2441,$B125,'февраль 2025'!$J$4:$J$2441,R$1)</f>
        <v>0</v>
      </c>
      <c r="S125" s="183">
        <f>SUMIFS('февраль 2025'!$G$4:$G$2441,'февраль 2025'!$D$4:$D$2441,$B125,'февраль 2025'!$J$4:$J$2441,S$1)</f>
        <v>0</v>
      </c>
      <c r="T125" s="183">
        <f>SUMIFS('февраль 2025'!$G$4:$G$2441,'февраль 2025'!$D$4:$D$2441,$B125,'февраль 2025'!$J$4:$J$2441,T$1)</f>
        <v>0</v>
      </c>
      <c r="U125" s="183">
        <f>SUMIFS('февраль 2025'!$G$4:$G$2441,'февраль 2025'!$D$4:$D$2441,$B125,'февраль 2025'!$J$4:$J$2441,U$1)</f>
        <v>0</v>
      </c>
      <c r="V125" s="183">
        <f>SUMIFS('февраль 2025'!$G$4:$G$2441,'февраль 2025'!$D$4:$D$2441,$B125,'февраль 2025'!$J$4:$J$2441,V$1)</f>
        <v>0</v>
      </c>
      <c r="W125" s="183">
        <f>SUMIFS('февраль 2025'!$G$4:$G$2441,'февраль 2025'!$D$4:$D$2441,$B125,'февраль 2025'!$J$4:$J$2441,W$1)</f>
        <v>0</v>
      </c>
      <c r="X125" s="183">
        <f>SUMIFS('февраль 2025'!$G$4:$G$2441,'февраль 2025'!$D$4:$D$2441,$B125,'февраль 2025'!$J$4:$J$2441,X$1)</f>
        <v>0</v>
      </c>
      <c r="Y125" s="183">
        <f>SUMIFS('февраль 2025'!$G$4:$G$2441,'февраль 2025'!$D$4:$D$2441,$B125,'февраль 2025'!$J$4:$J$2441,Y$1)</f>
        <v>0</v>
      </c>
      <c r="Z125" s="183">
        <f>SUMIFS('февраль 2025'!$G$4:$G$2441,'февраль 2025'!$D$4:$D$2441,$B125,'февраль 2025'!$J$4:$J$2441,Z$1)</f>
        <v>0</v>
      </c>
      <c r="AA125" s="183">
        <f>SUMIFS('февраль 2025'!$G$4:$G$2441,'февраль 2025'!$D$4:$D$2441,$B125,'февраль 2025'!$J$4:$J$2441,AA$1)</f>
        <v>0</v>
      </c>
      <c r="AB125" s="183">
        <f>SUMIFS('февраль 2025'!$G$4:$G$2441,'февраль 2025'!$D$4:$D$2441,$B125,'февраль 2025'!$J$4:$J$2441,AB$1)</f>
        <v>0</v>
      </c>
      <c r="AC125" s="183">
        <f>SUMIFS('февраль 2025'!$G$4:$G$2441,'февраль 2025'!$D$4:$D$2441,$B125,'февраль 2025'!$J$4:$J$2441,AC$1)</f>
        <v>0</v>
      </c>
      <c r="AD125" s="183">
        <f>SUMIFS('февраль 2025'!$G$4:$G$2441,'февраль 2025'!$D$4:$D$2441,$B125,'февраль 2025'!$J$4:$J$2441,AD$1)</f>
        <v>0</v>
      </c>
      <c r="AE125" s="183">
        <f>SUMIFS('февраль 2025'!$G$4:$G$2441,'февраль 2025'!$D$4:$D$2441,$B125,'февраль 2025'!$J$4:$J$2441,AE$1)</f>
        <v>0</v>
      </c>
      <c r="AF125" s="183">
        <f>SUMIFS('февраль 2025'!$G$4:$G$2441,'февраль 2025'!$D$4:$D$2441,$B125,'февраль 2025'!$J$4:$J$2441,AF$1)</f>
        <v>0</v>
      </c>
      <c r="AG125" s="183">
        <f>SUMIFS('февраль 2025'!$G$4:$G$2441,'февраль 2025'!$D$4:$D$2441,$B125,'февраль 2025'!$J$4:$J$2441,AG$1)</f>
        <v>0</v>
      </c>
      <c r="AH125" s="183">
        <f>SUMIFS('февраль 2025'!$G$4:$G$2441,'февраль 2025'!$D$4:$D$2441,$B125,'февраль 2025'!$J$4:$J$2441,AH$1)</f>
        <v>0</v>
      </c>
      <c r="AI125" s="20"/>
    </row>
    <row r="126" spans="2:35" ht="15" customHeight="1" x14ac:dyDescent="0.25">
      <c r="B126" s="84" t="s">
        <v>171</v>
      </c>
      <c r="C126" s="83">
        <v>200</v>
      </c>
      <c r="D126" s="183">
        <f>SUMIFS('февраль 2025'!$G$4:$G$2441,'февраль 2025'!$D$4:$D$2441,$B126,'февраль 2025'!$J$4:$J$2441,D$1)</f>
        <v>0</v>
      </c>
      <c r="E126" s="183">
        <f>SUMIFS('февраль 2025'!$G$4:$G$2441,'февраль 2025'!$D$4:$D$2441,$B126,'февраль 2025'!$J$4:$J$2441,E$1)</f>
        <v>0</v>
      </c>
      <c r="F126" s="183">
        <f>SUMIFS('февраль 2025'!$G$4:$G$2441,'февраль 2025'!$D$4:$D$2441,$B126,'февраль 2025'!$J$4:$J$2441,F$1)</f>
        <v>0</v>
      </c>
      <c r="G126" s="183">
        <f>SUMIFS('февраль 2025'!$G$4:$G$2441,'февраль 2025'!$D$4:$D$2441,$B126,'февраль 2025'!$J$4:$J$2441,G$1)</f>
        <v>0</v>
      </c>
      <c r="H126" s="183">
        <f>SUMIFS('февраль 2025'!$G$4:$G$2441,'февраль 2025'!$D$4:$D$2441,$B126,'февраль 2025'!$J$4:$J$2441,H$1)</f>
        <v>0</v>
      </c>
      <c r="I126" s="183">
        <f>SUMIFS('февраль 2025'!$G$4:$G$2441,'февраль 2025'!$D$4:$D$2441,$B126,'февраль 2025'!$J$4:$J$2441,I$1)</f>
        <v>0</v>
      </c>
      <c r="J126" s="183">
        <f>SUMIFS('февраль 2025'!$G$4:$G$2441,'февраль 2025'!$D$4:$D$2441,$B126,'февраль 2025'!$J$4:$J$2441,J$1)</f>
        <v>0</v>
      </c>
      <c r="K126" s="183">
        <f>SUMIFS('февраль 2025'!$G$4:$G$2441,'февраль 2025'!$D$4:$D$2441,$B126,'февраль 2025'!$J$4:$J$2441,K$1)</f>
        <v>0</v>
      </c>
      <c r="L126" s="183">
        <f>SUMIFS('февраль 2025'!$G$4:$G$2441,'февраль 2025'!$D$4:$D$2441,$B126,'февраль 2025'!$J$4:$J$2441,L$1)</f>
        <v>0</v>
      </c>
      <c r="M126" s="183">
        <f>SUMIFS('февраль 2025'!$G$4:$G$2441,'февраль 2025'!$D$4:$D$2441,$B126,'февраль 2025'!$J$4:$J$2441,M$1)</f>
        <v>0</v>
      </c>
      <c r="N126" s="183">
        <f>SUMIFS('февраль 2025'!$G$4:$G$2441,'февраль 2025'!$D$4:$D$2441,$B126,'февраль 2025'!$J$4:$J$2441,N$1)</f>
        <v>0</v>
      </c>
      <c r="O126" s="183">
        <f>SUMIFS('февраль 2025'!$G$4:$G$2441,'февраль 2025'!$D$4:$D$2441,$B126,'февраль 2025'!$J$4:$J$2441,O$1)</f>
        <v>0</v>
      </c>
      <c r="P126" s="183">
        <f>SUMIFS('февраль 2025'!$G$4:$G$2441,'февраль 2025'!$D$4:$D$2441,$B126,'февраль 2025'!$J$4:$J$2441,P$1)</f>
        <v>0</v>
      </c>
      <c r="Q126" s="183">
        <f>SUMIFS('февраль 2025'!$G$4:$G$2441,'февраль 2025'!$D$4:$D$2441,$B126,'февраль 2025'!$J$4:$J$2441,Q$1)</f>
        <v>0</v>
      </c>
      <c r="R126" s="183">
        <f>SUMIFS('февраль 2025'!$G$4:$G$2441,'февраль 2025'!$D$4:$D$2441,$B126,'февраль 2025'!$J$4:$J$2441,R$1)</f>
        <v>0</v>
      </c>
      <c r="S126" s="183">
        <f>SUMIFS('февраль 2025'!$G$4:$G$2441,'февраль 2025'!$D$4:$D$2441,$B126,'февраль 2025'!$J$4:$J$2441,S$1)</f>
        <v>0</v>
      </c>
      <c r="T126" s="183">
        <f>SUMIFS('февраль 2025'!$G$4:$G$2441,'февраль 2025'!$D$4:$D$2441,$B126,'февраль 2025'!$J$4:$J$2441,T$1)</f>
        <v>0</v>
      </c>
      <c r="U126" s="183">
        <f>SUMIFS('февраль 2025'!$G$4:$G$2441,'февраль 2025'!$D$4:$D$2441,$B126,'февраль 2025'!$J$4:$J$2441,U$1)</f>
        <v>0</v>
      </c>
      <c r="V126" s="183">
        <f>SUMIFS('февраль 2025'!$G$4:$G$2441,'февраль 2025'!$D$4:$D$2441,$B126,'февраль 2025'!$J$4:$J$2441,V$1)</f>
        <v>0</v>
      </c>
      <c r="W126" s="183">
        <f>SUMIFS('февраль 2025'!$G$4:$G$2441,'февраль 2025'!$D$4:$D$2441,$B126,'февраль 2025'!$J$4:$J$2441,W$1)</f>
        <v>0</v>
      </c>
      <c r="X126" s="183">
        <f>SUMIFS('февраль 2025'!$G$4:$G$2441,'февраль 2025'!$D$4:$D$2441,$B126,'февраль 2025'!$J$4:$J$2441,X$1)</f>
        <v>0</v>
      </c>
      <c r="Y126" s="183">
        <f>SUMIFS('февраль 2025'!$G$4:$G$2441,'февраль 2025'!$D$4:$D$2441,$B126,'февраль 2025'!$J$4:$J$2441,Y$1)</f>
        <v>0</v>
      </c>
      <c r="Z126" s="183">
        <f>SUMIFS('февраль 2025'!$G$4:$G$2441,'февраль 2025'!$D$4:$D$2441,$B126,'февраль 2025'!$J$4:$J$2441,Z$1)</f>
        <v>0</v>
      </c>
      <c r="AA126" s="183">
        <f>SUMIFS('февраль 2025'!$G$4:$G$2441,'февраль 2025'!$D$4:$D$2441,$B126,'февраль 2025'!$J$4:$J$2441,AA$1)</f>
        <v>0</v>
      </c>
      <c r="AB126" s="183">
        <f>SUMIFS('февраль 2025'!$G$4:$G$2441,'февраль 2025'!$D$4:$D$2441,$B126,'февраль 2025'!$J$4:$J$2441,AB$1)</f>
        <v>0</v>
      </c>
      <c r="AC126" s="183">
        <f>SUMIFS('февраль 2025'!$G$4:$G$2441,'февраль 2025'!$D$4:$D$2441,$B126,'февраль 2025'!$J$4:$J$2441,AC$1)</f>
        <v>0</v>
      </c>
      <c r="AD126" s="183">
        <f>SUMIFS('февраль 2025'!$G$4:$G$2441,'февраль 2025'!$D$4:$D$2441,$B126,'февраль 2025'!$J$4:$J$2441,AD$1)</f>
        <v>0</v>
      </c>
      <c r="AE126" s="183">
        <f>SUMIFS('февраль 2025'!$G$4:$G$2441,'февраль 2025'!$D$4:$D$2441,$B126,'февраль 2025'!$J$4:$J$2441,AE$1)</f>
        <v>0</v>
      </c>
      <c r="AF126" s="183">
        <f>SUMIFS('февраль 2025'!$G$4:$G$2441,'февраль 2025'!$D$4:$D$2441,$B126,'февраль 2025'!$J$4:$J$2441,AF$1)</f>
        <v>0</v>
      </c>
      <c r="AG126" s="183">
        <f>SUMIFS('февраль 2025'!$G$4:$G$2441,'февраль 2025'!$D$4:$D$2441,$B126,'февраль 2025'!$J$4:$J$2441,AG$1)</f>
        <v>0</v>
      </c>
      <c r="AH126" s="183">
        <f>SUMIFS('февраль 2025'!$G$4:$G$2441,'февраль 2025'!$D$4:$D$2441,$B126,'февраль 2025'!$J$4:$J$2441,AH$1)</f>
        <v>0</v>
      </c>
      <c r="AI126" s="20">
        <f t="shared" si="1"/>
        <v>0</v>
      </c>
    </row>
    <row r="127" spans="2:35" ht="15" customHeight="1" x14ac:dyDescent="0.25">
      <c r="B127" s="84" t="s">
        <v>172</v>
      </c>
      <c r="C127" s="83">
        <v>200</v>
      </c>
      <c r="D127" s="183">
        <f>SUMIFS('февраль 2025'!$G$4:$G$2441,'февраль 2025'!$D$4:$D$2441,$B127,'февраль 2025'!$J$4:$J$2441,D$1)</f>
        <v>0</v>
      </c>
      <c r="E127" s="183">
        <f>SUMIFS('февраль 2025'!$G$4:$G$2441,'февраль 2025'!$D$4:$D$2441,$B127,'февраль 2025'!$J$4:$J$2441,E$1)</f>
        <v>0</v>
      </c>
      <c r="F127" s="183">
        <f>SUMIFS('февраль 2025'!$G$4:$G$2441,'февраль 2025'!$D$4:$D$2441,$B127,'февраль 2025'!$J$4:$J$2441,F$1)</f>
        <v>0</v>
      </c>
      <c r="G127" s="183">
        <f>SUMIFS('февраль 2025'!$G$4:$G$2441,'февраль 2025'!$D$4:$D$2441,$B127,'февраль 2025'!$J$4:$J$2441,G$1)</f>
        <v>0</v>
      </c>
      <c r="H127" s="183">
        <f>SUMIFS('февраль 2025'!$G$4:$G$2441,'февраль 2025'!$D$4:$D$2441,$B127,'февраль 2025'!$J$4:$J$2441,H$1)</f>
        <v>0</v>
      </c>
      <c r="I127" s="183">
        <f>SUMIFS('февраль 2025'!$G$4:$G$2441,'февраль 2025'!$D$4:$D$2441,$B127,'февраль 2025'!$J$4:$J$2441,I$1)</f>
        <v>0</v>
      </c>
      <c r="J127" s="183">
        <f>SUMIFS('февраль 2025'!$G$4:$G$2441,'февраль 2025'!$D$4:$D$2441,$B127,'февраль 2025'!$J$4:$J$2441,J$1)</f>
        <v>0</v>
      </c>
      <c r="K127" s="183">
        <f>SUMIFS('февраль 2025'!$G$4:$G$2441,'февраль 2025'!$D$4:$D$2441,$B127,'февраль 2025'!$J$4:$J$2441,K$1)</f>
        <v>0</v>
      </c>
      <c r="L127" s="183">
        <f>SUMIFS('февраль 2025'!$G$4:$G$2441,'февраль 2025'!$D$4:$D$2441,$B127,'февраль 2025'!$J$4:$J$2441,L$1)</f>
        <v>0</v>
      </c>
      <c r="M127" s="183">
        <f>SUMIFS('февраль 2025'!$G$4:$G$2441,'февраль 2025'!$D$4:$D$2441,$B127,'февраль 2025'!$J$4:$J$2441,M$1)</f>
        <v>0</v>
      </c>
      <c r="N127" s="183">
        <f>SUMIFS('февраль 2025'!$G$4:$G$2441,'февраль 2025'!$D$4:$D$2441,$B127,'февраль 2025'!$J$4:$J$2441,N$1)</f>
        <v>0</v>
      </c>
      <c r="O127" s="183">
        <f>SUMIFS('февраль 2025'!$G$4:$G$2441,'февраль 2025'!$D$4:$D$2441,$B127,'февраль 2025'!$J$4:$J$2441,O$1)</f>
        <v>0</v>
      </c>
      <c r="P127" s="183">
        <f>SUMIFS('февраль 2025'!$G$4:$G$2441,'февраль 2025'!$D$4:$D$2441,$B127,'февраль 2025'!$J$4:$J$2441,P$1)</f>
        <v>0</v>
      </c>
      <c r="Q127" s="183">
        <f>SUMIFS('февраль 2025'!$G$4:$G$2441,'февраль 2025'!$D$4:$D$2441,$B127,'февраль 2025'!$J$4:$J$2441,Q$1)</f>
        <v>0</v>
      </c>
      <c r="R127" s="183">
        <f>SUMIFS('февраль 2025'!$G$4:$G$2441,'февраль 2025'!$D$4:$D$2441,$B127,'февраль 2025'!$J$4:$J$2441,R$1)</f>
        <v>0</v>
      </c>
      <c r="S127" s="183">
        <f>SUMIFS('февраль 2025'!$G$4:$G$2441,'февраль 2025'!$D$4:$D$2441,$B127,'февраль 2025'!$J$4:$J$2441,S$1)</f>
        <v>0</v>
      </c>
      <c r="T127" s="183">
        <f>SUMIFS('февраль 2025'!$G$4:$G$2441,'февраль 2025'!$D$4:$D$2441,$B127,'февраль 2025'!$J$4:$J$2441,T$1)</f>
        <v>0</v>
      </c>
      <c r="U127" s="183">
        <f>SUMIFS('февраль 2025'!$G$4:$G$2441,'февраль 2025'!$D$4:$D$2441,$B127,'февраль 2025'!$J$4:$J$2441,U$1)</f>
        <v>0</v>
      </c>
      <c r="V127" s="183">
        <f>SUMIFS('февраль 2025'!$G$4:$G$2441,'февраль 2025'!$D$4:$D$2441,$B127,'февраль 2025'!$J$4:$J$2441,V$1)</f>
        <v>0</v>
      </c>
      <c r="W127" s="183">
        <f>SUMIFS('февраль 2025'!$G$4:$G$2441,'февраль 2025'!$D$4:$D$2441,$B127,'февраль 2025'!$J$4:$J$2441,W$1)</f>
        <v>0</v>
      </c>
      <c r="X127" s="183">
        <f>SUMIFS('февраль 2025'!$G$4:$G$2441,'февраль 2025'!$D$4:$D$2441,$B127,'февраль 2025'!$J$4:$J$2441,X$1)</f>
        <v>12</v>
      </c>
      <c r="Y127" s="183">
        <f>SUMIFS('февраль 2025'!$G$4:$G$2441,'февраль 2025'!$D$4:$D$2441,$B127,'февраль 2025'!$J$4:$J$2441,Y$1)</f>
        <v>0</v>
      </c>
      <c r="Z127" s="183">
        <f>SUMIFS('февраль 2025'!$G$4:$G$2441,'февраль 2025'!$D$4:$D$2441,$B127,'февраль 2025'!$J$4:$J$2441,Z$1)</f>
        <v>0</v>
      </c>
      <c r="AA127" s="183">
        <f>SUMIFS('февраль 2025'!$G$4:$G$2441,'февраль 2025'!$D$4:$D$2441,$B127,'февраль 2025'!$J$4:$J$2441,AA$1)</f>
        <v>0</v>
      </c>
      <c r="AB127" s="183">
        <f>SUMIFS('февраль 2025'!$G$4:$G$2441,'февраль 2025'!$D$4:$D$2441,$B127,'февраль 2025'!$J$4:$J$2441,AB$1)</f>
        <v>0</v>
      </c>
      <c r="AC127" s="183">
        <f>SUMIFS('февраль 2025'!$G$4:$G$2441,'февраль 2025'!$D$4:$D$2441,$B127,'февраль 2025'!$J$4:$J$2441,AC$1)</f>
        <v>0</v>
      </c>
      <c r="AD127" s="183">
        <f>SUMIFS('февраль 2025'!$G$4:$G$2441,'февраль 2025'!$D$4:$D$2441,$B127,'февраль 2025'!$J$4:$J$2441,AD$1)</f>
        <v>0</v>
      </c>
      <c r="AE127" s="183">
        <f>SUMIFS('февраль 2025'!$G$4:$G$2441,'февраль 2025'!$D$4:$D$2441,$B127,'февраль 2025'!$J$4:$J$2441,AE$1)</f>
        <v>0</v>
      </c>
      <c r="AF127" s="183">
        <f>SUMIFS('февраль 2025'!$G$4:$G$2441,'февраль 2025'!$D$4:$D$2441,$B127,'февраль 2025'!$J$4:$J$2441,AF$1)</f>
        <v>0</v>
      </c>
      <c r="AG127" s="183">
        <f>SUMIFS('февраль 2025'!$G$4:$G$2441,'февраль 2025'!$D$4:$D$2441,$B127,'февраль 2025'!$J$4:$J$2441,AG$1)</f>
        <v>0</v>
      </c>
      <c r="AH127" s="183">
        <f>SUMIFS('февраль 2025'!$G$4:$G$2441,'февраль 2025'!$D$4:$D$2441,$B127,'февраль 2025'!$J$4:$J$2441,AH$1)</f>
        <v>0</v>
      </c>
      <c r="AI127" s="20">
        <f t="shared" si="1"/>
        <v>12</v>
      </c>
    </row>
    <row r="128" spans="2:35" ht="15" customHeight="1" x14ac:dyDescent="0.25">
      <c r="B128" s="84" t="s">
        <v>174</v>
      </c>
      <c r="C128" s="83">
        <v>200</v>
      </c>
      <c r="D128" s="183">
        <f>SUMIFS('февраль 2025'!$G$4:$G$2441,'февраль 2025'!$D$4:$D$2441,$B128,'февраль 2025'!$J$4:$J$2441,D$1)</f>
        <v>0</v>
      </c>
      <c r="E128" s="183">
        <f>SUMIFS('февраль 2025'!$G$4:$G$2441,'февраль 2025'!$D$4:$D$2441,$B128,'февраль 2025'!$J$4:$J$2441,E$1)</f>
        <v>0</v>
      </c>
      <c r="F128" s="183">
        <f>SUMIFS('февраль 2025'!$G$4:$G$2441,'февраль 2025'!$D$4:$D$2441,$B128,'февраль 2025'!$J$4:$J$2441,F$1)</f>
        <v>0</v>
      </c>
      <c r="G128" s="183">
        <f>SUMIFS('февраль 2025'!$G$4:$G$2441,'февраль 2025'!$D$4:$D$2441,$B128,'февраль 2025'!$J$4:$J$2441,G$1)</f>
        <v>0</v>
      </c>
      <c r="H128" s="183">
        <f>SUMIFS('февраль 2025'!$G$4:$G$2441,'февраль 2025'!$D$4:$D$2441,$B128,'февраль 2025'!$J$4:$J$2441,H$1)</f>
        <v>0</v>
      </c>
      <c r="I128" s="183">
        <f>SUMIFS('февраль 2025'!$G$4:$G$2441,'февраль 2025'!$D$4:$D$2441,$B128,'февраль 2025'!$J$4:$J$2441,I$1)</f>
        <v>0</v>
      </c>
      <c r="J128" s="183">
        <f>SUMIFS('февраль 2025'!$G$4:$G$2441,'февраль 2025'!$D$4:$D$2441,$B128,'февраль 2025'!$J$4:$J$2441,J$1)</f>
        <v>0</v>
      </c>
      <c r="K128" s="183">
        <f>SUMIFS('февраль 2025'!$G$4:$G$2441,'февраль 2025'!$D$4:$D$2441,$B128,'февраль 2025'!$J$4:$J$2441,K$1)</f>
        <v>0</v>
      </c>
      <c r="L128" s="183">
        <f>SUMIFS('февраль 2025'!$G$4:$G$2441,'февраль 2025'!$D$4:$D$2441,$B128,'февраль 2025'!$J$4:$J$2441,L$1)</f>
        <v>0</v>
      </c>
      <c r="M128" s="183">
        <f>SUMIFS('февраль 2025'!$G$4:$G$2441,'февраль 2025'!$D$4:$D$2441,$B128,'февраль 2025'!$J$4:$J$2441,M$1)</f>
        <v>0</v>
      </c>
      <c r="N128" s="183">
        <f>SUMIFS('февраль 2025'!$G$4:$G$2441,'февраль 2025'!$D$4:$D$2441,$B128,'февраль 2025'!$J$4:$J$2441,N$1)</f>
        <v>0</v>
      </c>
      <c r="O128" s="183">
        <f>SUMIFS('февраль 2025'!$G$4:$G$2441,'февраль 2025'!$D$4:$D$2441,$B128,'февраль 2025'!$J$4:$J$2441,O$1)</f>
        <v>0</v>
      </c>
      <c r="P128" s="183">
        <f>SUMIFS('февраль 2025'!$G$4:$G$2441,'февраль 2025'!$D$4:$D$2441,$B128,'февраль 2025'!$J$4:$J$2441,P$1)</f>
        <v>0</v>
      </c>
      <c r="Q128" s="183">
        <f>SUMIFS('февраль 2025'!$G$4:$G$2441,'февраль 2025'!$D$4:$D$2441,$B128,'февраль 2025'!$J$4:$J$2441,Q$1)</f>
        <v>0</v>
      </c>
      <c r="R128" s="183">
        <f>SUMIFS('февраль 2025'!$G$4:$G$2441,'февраль 2025'!$D$4:$D$2441,$B128,'февраль 2025'!$J$4:$J$2441,R$1)</f>
        <v>0</v>
      </c>
      <c r="S128" s="183">
        <f>SUMIFS('февраль 2025'!$G$4:$G$2441,'февраль 2025'!$D$4:$D$2441,$B128,'февраль 2025'!$J$4:$J$2441,S$1)</f>
        <v>0</v>
      </c>
      <c r="T128" s="183">
        <f>SUMIFS('февраль 2025'!$G$4:$G$2441,'февраль 2025'!$D$4:$D$2441,$B128,'февраль 2025'!$J$4:$J$2441,T$1)</f>
        <v>0</v>
      </c>
      <c r="U128" s="183">
        <f>SUMIFS('февраль 2025'!$G$4:$G$2441,'февраль 2025'!$D$4:$D$2441,$B128,'февраль 2025'!$J$4:$J$2441,U$1)</f>
        <v>0</v>
      </c>
      <c r="V128" s="183">
        <f>SUMIFS('февраль 2025'!$G$4:$G$2441,'февраль 2025'!$D$4:$D$2441,$B128,'февраль 2025'!$J$4:$J$2441,V$1)</f>
        <v>0</v>
      </c>
      <c r="W128" s="183">
        <f>SUMIFS('февраль 2025'!$G$4:$G$2441,'февраль 2025'!$D$4:$D$2441,$B128,'февраль 2025'!$J$4:$J$2441,W$1)</f>
        <v>0</v>
      </c>
      <c r="X128" s="183">
        <f>SUMIFS('февраль 2025'!$G$4:$G$2441,'февраль 2025'!$D$4:$D$2441,$B128,'февраль 2025'!$J$4:$J$2441,X$1)</f>
        <v>0</v>
      </c>
      <c r="Y128" s="183">
        <f>SUMIFS('февраль 2025'!$G$4:$G$2441,'февраль 2025'!$D$4:$D$2441,$B128,'февраль 2025'!$J$4:$J$2441,Y$1)</f>
        <v>0</v>
      </c>
      <c r="Z128" s="183">
        <f>SUMIFS('февраль 2025'!$G$4:$G$2441,'февраль 2025'!$D$4:$D$2441,$B128,'февраль 2025'!$J$4:$J$2441,Z$1)</f>
        <v>0</v>
      </c>
      <c r="AA128" s="183">
        <f>SUMIFS('февраль 2025'!$G$4:$G$2441,'февраль 2025'!$D$4:$D$2441,$B128,'февраль 2025'!$J$4:$J$2441,AA$1)</f>
        <v>0</v>
      </c>
      <c r="AB128" s="183">
        <f>SUMIFS('февраль 2025'!$G$4:$G$2441,'февраль 2025'!$D$4:$D$2441,$B128,'февраль 2025'!$J$4:$J$2441,AB$1)</f>
        <v>0</v>
      </c>
      <c r="AC128" s="183">
        <f>SUMIFS('февраль 2025'!$G$4:$G$2441,'февраль 2025'!$D$4:$D$2441,$B128,'февраль 2025'!$J$4:$J$2441,AC$1)</f>
        <v>0</v>
      </c>
      <c r="AD128" s="183">
        <f>SUMIFS('февраль 2025'!$G$4:$G$2441,'февраль 2025'!$D$4:$D$2441,$B128,'февраль 2025'!$J$4:$J$2441,AD$1)</f>
        <v>0</v>
      </c>
      <c r="AE128" s="183">
        <f>SUMIFS('февраль 2025'!$G$4:$G$2441,'февраль 2025'!$D$4:$D$2441,$B128,'февраль 2025'!$J$4:$J$2441,AE$1)</f>
        <v>0</v>
      </c>
      <c r="AF128" s="183">
        <f>SUMIFS('февраль 2025'!$G$4:$G$2441,'февраль 2025'!$D$4:$D$2441,$B128,'февраль 2025'!$J$4:$J$2441,AF$1)</f>
        <v>0</v>
      </c>
      <c r="AG128" s="183">
        <f>SUMIFS('февраль 2025'!$G$4:$G$2441,'февраль 2025'!$D$4:$D$2441,$B128,'февраль 2025'!$J$4:$J$2441,AG$1)</f>
        <v>0</v>
      </c>
      <c r="AH128" s="183">
        <f>SUMIFS('февраль 2025'!$G$4:$G$2441,'февраль 2025'!$D$4:$D$2441,$B128,'февраль 2025'!$J$4:$J$2441,AH$1)</f>
        <v>0</v>
      </c>
      <c r="AI128" s="20">
        <f t="shared" si="1"/>
        <v>0</v>
      </c>
    </row>
    <row r="129" spans="2:35" ht="15" customHeight="1" x14ac:dyDescent="0.25">
      <c r="B129" s="89" t="s">
        <v>184</v>
      </c>
      <c r="C129" s="90">
        <v>180</v>
      </c>
      <c r="D129" s="183">
        <f>SUMIFS('февраль 2025'!$G$4:$G$2441,'февраль 2025'!$D$4:$D$2441,$B129,'февраль 2025'!$J$4:$J$2441,D$1)</f>
        <v>0</v>
      </c>
      <c r="E129" s="183">
        <f>SUMIFS('февраль 2025'!$G$4:$G$2441,'февраль 2025'!$D$4:$D$2441,$B129,'февраль 2025'!$J$4:$J$2441,E$1)</f>
        <v>0</v>
      </c>
      <c r="F129" s="183">
        <f>SUMIFS('февраль 2025'!$G$4:$G$2441,'февраль 2025'!$D$4:$D$2441,$B129,'февраль 2025'!$J$4:$J$2441,F$1)</f>
        <v>0</v>
      </c>
      <c r="G129" s="183">
        <f>SUMIFS('февраль 2025'!$G$4:$G$2441,'февраль 2025'!$D$4:$D$2441,$B129,'февраль 2025'!$J$4:$J$2441,G$1)</f>
        <v>0</v>
      </c>
      <c r="H129" s="183">
        <f>SUMIFS('февраль 2025'!$G$4:$G$2441,'февраль 2025'!$D$4:$D$2441,$B129,'февраль 2025'!$J$4:$J$2441,H$1)</f>
        <v>0</v>
      </c>
      <c r="I129" s="183">
        <f>SUMIFS('февраль 2025'!$G$4:$G$2441,'февраль 2025'!$D$4:$D$2441,$B129,'февраль 2025'!$J$4:$J$2441,I$1)</f>
        <v>0</v>
      </c>
      <c r="J129" s="183">
        <f>SUMIFS('февраль 2025'!$G$4:$G$2441,'февраль 2025'!$D$4:$D$2441,$B129,'февраль 2025'!$J$4:$J$2441,J$1)</f>
        <v>0</v>
      </c>
      <c r="K129" s="183">
        <f>SUMIFS('февраль 2025'!$G$4:$G$2441,'февраль 2025'!$D$4:$D$2441,$B129,'февраль 2025'!$J$4:$J$2441,K$1)</f>
        <v>0</v>
      </c>
      <c r="L129" s="183">
        <f>SUMIFS('февраль 2025'!$G$4:$G$2441,'февраль 2025'!$D$4:$D$2441,$B129,'февраль 2025'!$J$4:$J$2441,L$1)</f>
        <v>0</v>
      </c>
      <c r="M129" s="183">
        <f>SUMIFS('февраль 2025'!$G$4:$G$2441,'февраль 2025'!$D$4:$D$2441,$B129,'февраль 2025'!$J$4:$J$2441,M$1)</f>
        <v>0</v>
      </c>
      <c r="N129" s="183">
        <f>SUMIFS('февраль 2025'!$G$4:$G$2441,'февраль 2025'!$D$4:$D$2441,$B129,'февраль 2025'!$J$4:$J$2441,N$1)</f>
        <v>0</v>
      </c>
      <c r="O129" s="183">
        <f>SUMIFS('февраль 2025'!$G$4:$G$2441,'февраль 2025'!$D$4:$D$2441,$B129,'февраль 2025'!$J$4:$J$2441,O$1)</f>
        <v>0</v>
      </c>
      <c r="P129" s="183">
        <f>SUMIFS('февраль 2025'!$G$4:$G$2441,'февраль 2025'!$D$4:$D$2441,$B129,'февраль 2025'!$J$4:$J$2441,P$1)</f>
        <v>0</v>
      </c>
      <c r="Q129" s="183">
        <f>SUMIFS('февраль 2025'!$G$4:$G$2441,'февраль 2025'!$D$4:$D$2441,$B129,'февраль 2025'!$J$4:$J$2441,Q$1)</f>
        <v>0</v>
      </c>
      <c r="R129" s="183">
        <f>SUMIFS('февраль 2025'!$G$4:$G$2441,'февраль 2025'!$D$4:$D$2441,$B129,'февраль 2025'!$J$4:$J$2441,R$1)</f>
        <v>0</v>
      </c>
      <c r="S129" s="183">
        <f>SUMIFS('февраль 2025'!$G$4:$G$2441,'февраль 2025'!$D$4:$D$2441,$B129,'февраль 2025'!$J$4:$J$2441,S$1)</f>
        <v>0</v>
      </c>
      <c r="T129" s="183">
        <f>SUMIFS('февраль 2025'!$G$4:$G$2441,'февраль 2025'!$D$4:$D$2441,$B129,'февраль 2025'!$J$4:$J$2441,T$1)</f>
        <v>0</v>
      </c>
      <c r="U129" s="183">
        <f>SUMIFS('февраль 2025'!$G$4:$G$2441,'февраль 2025'!$D$4:$D$2441,$B129,'февраль 2025'!$J$4:$J$2441,U$1)</f>
        <v>0</v>
      </c>
      <c r="V129" s="183">
        <f>SUMIFS('февраль 2025'!$G$4:$G$2441,'февраль 2025'!$D$4:$D$2441,$B129,'февраль 2025'!$J$4:$J$2441,V$1)</f>
        <v>0</v>
      </c>
      <c r="W129" s="183">
        <f>SUMIFS('февраль 2025'!$G$4:$G$2441,'февраль 2025'!$D$4:$D$2441,$B129,'февраль 2025'!$J$4:$J$2441,W$1)</f>
        <v>0</v>
      </c>
      <c r="X129" s="183">
        <f>SUMIFS('февраль 2025'!$G$4:$G$2441,'февраль 2025'!$D$4:$D$2441,$B129,'февраль 2025'!$J$4:$J$2441,X$1)</f>
        <v>0</v>
      </c>
      <c r="Y129" s="183">
        <f>SUMIFS('февраль 2025'!$G$4:$G$2441,'февраль 2025'!$D$4:$D$2441,$B129,'февраль 2025'!$J$4:$J$2441,Y$1)</f>
        <v>0</v>
      </c>
      <c r="Z129" s="183">
        <f>SUMIFS('февраль 2025'!$G$4:$G$2441,'февраль 2025'!$D$4:$D$2441,$B129,'февраль 2025'!$J$4:$J$2441,Z$1)</f>
        <v>0</v>
      </c>
      <c r="AA129" s="183">
        <f>SUMIFS('февраль 2025'!$G$4:$G$2441,'февраль 2025'!$D$4:$D$2441,$B129,'февраль 2025'!$J$4:$J$2441,AA$1)</f>
        <v>0</v>
      </c>
      <c r="AB129" s="183">
        <f>SUMIFS('февраль 2025'!$G$4:$G$2441,'февраль 2025'!$D$4:$D$2441,$B129,'февраль 2025'!$J$4:$J$2441,AB$1)</f>
        <v>0</v>
      </c>
      <c r="AC129" s="183">
        <f>SUMIFS('февраль 2025'!$G$4:$G$2441,'февраль 2025'!$D$4:$D$2441,$B129,'февраль 2025'!$J$4:$J$2441,AC$1)</f>
        <v>0</v>
      </c>
      <c r="AD129" s="183">
        <f>SUMIFS('февраль 2025'!$G$4:$G$2441,'февраль 2025'!$D$4:$D$2441,$B129,'февраль 2025'!$J$4:$J$2441,AD$1)</f>
        <v>0</v>
      </c>
      <c r="AE129" s="183">
        <f>SUMIFS('февраль 2025'!$G$4:$G$2441,'февраль 2025'!$D$4:$D$2441,$B129,'февраль 2025'!$J$4:$J$2441,AE$1)</f>
        <v>0</v>
      </c>
      <c r="AF129" s="183">
        <f>SUMIFS('февраль 2025'!$G$4:$G$2441,'февраль 2025'!$D$4:$D$2441,$B129,'февраль 2025'!$J$4:$J$2441,AF$1)</f>
        <v>0</v>
      </c>
      <c r="AG129" s="183">
        <f>SUMIFS('февраль 2025'!$G$4:$G$2441,'февраль 2025'!$D$4:$D$2441,$B129,'февраль 2025'!$J$4:$J$2441,AG$1)</f>
        <v>0</v>
      </c>
      <c r="AH129" s="183">
        <f>SUMIFS('февраль 2025'!$G$4:$G$2441,'февраль 2025'!$D$4:$D$2441,$B129,'февраль 2025'!$J$4:$J$2441,AH$1)</f>
        <v>0</v>
      </c>
      <c r="AI129" s="20">
        <f t="shared" si="1"/>
        <v>0</v>
      </c>
    </row>
    <row r="130" spans="2:35" ht="15" customHeight="1" x14ac:dyDescent="0.25">
      <c r="B130" s="84" t="s">
        <v>268</v>
      </c>
      <c r="C130" s="86">
        <v>180</v>
      </c>
      <c r="D130" s="183">
        <f>SUMIFS('февраль 2025'!$G$4:$G$2441,'февраль 2025'!$D$4:$D$2441,$B130,'февраль 2025'!$J$4:$J$2441,D$1)</f>
        <v>0</v>
      </c>
      <c r="E130" s="183">
        <f>SUMIFS('февраль 2025'!$G$4:$G$2441,'февраль 2025'!$D$4:$D$2441,$B130,'февраль 2025'!$J$4:$J$2441,E$1)</f>
        <v>0</v>
      </c>
      <c r="F130" s="183">
        <f>SUMIFS('февраль 2025'!$G$4:$G$2441,'февраль 2025'!$D$4:$D$2441,$B130,'февраль 2025'!$J$4:$J$2441,F$1)</f>
        <v>0</v>
      </c>
      <c r="G130" s="183">
        <f>SUMIFS('февраль 2025'!$G$4:$G$2441,'февраль 2025'!$D$4:$D$2441,$B130,'февраль 2025'!$J$4:$J$2441,G$1)</f>
        <v>0</v>
      </c>
      <c r="H130" s="183">
        <f>SUMIFS('февраль 2025'!$G$4:$G$2441,'февраль 2025'!$D$4:$D$2441,$B130,'февраль 2025'!$J$4:$J$2441,H$1)</f>
        <v>0</v>
      </c>
      <c r="I130" s="183">
        <f>SUMIFS('февраль 2025'!$G$4:$G$2441,'февраль 2025'!$D$4:$D$2441,$B130,'февраль 2025'!$J$4:$J$2441,I$1)</f>
        <v>0</v>
      </c>
      <c r="J130" s="183">
        <f>SUMIFS('февраль 2025'!$G$4:$G$2441,'февраль 2025'!$D$4:$D$2441,$B130,'февраль 2025'!$J$4:$J$2441,J$1)</f>
        <v>0</v>
      </c>
      <c r="K130" s="183">
        <f>SUMIFS('февраль 2025'!$G$4:$G$2441,'февраль 2025'!$D$4:$D$2441,$B130,'февраль 2025'!$J$4:$J$2441,K$1)</f>
        <v>0</v>
      </c>
      <c r="L130" s="183">
        <f>SUMIFS('февраль 2025'!$G$4:$G$2441,'февраль 2025'!$D$4:$D$2441,$B130,'февраль 2025'!$J$4:$J$2441,L$1)</f>
        <v>0</v>
      </c>
      <c r="M130" s="183">
        <f>SUMIFS('февраль 2025'!$G$4:$G$2441,'февраль 2025'!$D$4:$D$2441,$B130,'февраль 2025'!$J$4:$J$2441,M$1)</f>
        <v>0</v>
      </c>
      <c r="N130" s="183">
        <f>SUMIFS('февраль 2025'!$G$4:$G$2441,'февраль 2025'!$D$4:$D$2441,$B130,'февраль 2025'!$J$4:$J$2441,N$1)</f>
        <v>0</v>
      </c>
      <c r="O130" s="183">
        <f>SUMIFS('февраль 2025'!$G$4:$G$2441,'февраль 2025'!$D$4:$D$2441,$B130,'февраль 2025'!$J$4:$J$2441,O$1)</f>
        <v>0</v>
      </c>
      <c r="P130" s="183">
        <f>SUMIFS('февраль 2025'!$G$4:$G$2441,'февраль 2025'!$D$4:$D$2441,$B130,'февраль 2025'!$J$4:$J$2441,P$1)</f>
        <v>0</v>
      </c>
      <c r="Q130" s="183">
        <f>SUMIFS('февраль 2025'!$G$4:$G$2441,'февраль 2025'!$D$4:$D$2441,$B130,'февраль 2025'!$J$4:$J$2441,Q$1)</f>
        <v>0</v>
      </c>
      <c r="R130" s="183">
        <f>SUMIFS('февраль 2025'!$G$4:$G$2441,'февраль 2025'!$D$4:$D$2441,$B130,'февраль 2025'!$J$4:$J$2441,R$1)</f>
        <v>0</v>
      </c>
      <c r="S130" s="183">
        <f>SUMIFS('февраль 2025'!$G$4:$G$2441,'февраль 2025'!$D$4:$D$2441,$B130,'февраль 2025'!$J$4:$J$2441,S$1)</f>
        <v>0</v>
      </c>
      <c r="T130" s="183">
        <f>SUMIFS('февраль 2025'!$G$4:$G$2441,'февраль 2025'!$D$4:$D$2441,$B130,'февраль 2025'!$J$4:$J$2441,T$1)</f>
        <v>0</v>
      </c>
      <c r="U130" s="183">
        <f>SUMIFS('февраль 2025'!$G$4:$G$2441,'февраль 2025'!$D$4:$D$2441,$B130,'февраль 2025'!$J$4:$J$2441,U$1)</f>
        <v>0</v>
      </c>
      <c r="V130" s="183">
        <f>SUMIFS('февраль 2025'!$G$4:$G$2441,'февраль 2025'!$D$4:$D$2441,$B130,'февраль 2025'!$J$4:$J$2441,V$1)</f>
        <v>0</v>
      </c>
      <c r="W130" s="183">
        <f>SUMIFS('февраль 2025'!$G$4:$G$2441,'февраль 2025'!$D$4:$D$2441,$B130,'февраль 2025'!$J$4:$J$2441,W$1)</f>
        <v>0</v>
      </c>
      <c r="X130" s="183">
        <f>SUMIFS('февраль 2025'!$G$4:$G$2441,'февраль 2025'!$D$4:$D$2441,$B130,'февраль 2025'!$J$4:$J$2441,X$1)</f>
        <v>0</v>
      </c>
      <c r="Y130" s="183">
        <f>SUMIFS('февраль 2025'!$G$4:$G$2441,'февраль 2025'!$D$4:$D$2441,$B130,'февраль 2025'!$J$4:$J$2441,Y$1)</f>
        <v>0</v>
      </c>
      <c r="Z130" s="183">
        <f>SUMIFS('февраль 2025'!$G$4:$G$2441,'февраль 2025'!$D$4:$D$2441,$B130,'февраль 2025'!$J$4:$J$2441,Z$1)</f>
        <v>0</v>
      </c>
      <c r="AA130" s="183">
        <f>SUMIFS('февраль 2025'!$G$4:$G$2441,'февраль 2025'!$D$4:$D$2441,$B130,'февраль 2025'!$J$4:$J$2441,AA$1)</f>
        <v>0</v>
      </c>
      <c r="AB130" s="183">
        <f>SUMIFS('февраль 2025'!$G$4:$G$2441,'февраль 2025'!$D$4:$D$2441,$B130,'февраль 2025'!$J$4:$J$2441,AB$1)</f>
        <v>0</v>
      </c>
      <c r="AC130" s="183">
        <f>SUMIFS('февраль 2025'!$G$4:$G$2441,'февраль 2025'!$D$4:$D$2441,$B130,'февраль 2025'!$J$4:$J$2441,AC$1)</f>
        <v>0</v>
      </c>
      <c r="AD130" s="183">
        <f>SUMIFS('февраль 2025'!$G$4:$G$2441,'февраль 2025'!$D$4:$D$2441,$B130,'февраль 2025'!$J$4:$J$2441,AD$1)</f>
        <v>0</v>
      </c>
      <c r="AE130" s="183">
        <f>SUMIFS('февраль 2025'!$G$4:$G$2441,'февраль 2025'!$D$4:$D$2441,$B130,'февраль 2025'!$J$4:$J$2441,AE$1)</f>
        <v>0</v>
      </c>
      <c r="AF130" s="183">
        <f>SUMIFS('февраль 2025'!$G$4:$G$2441,'февраль 2025'!$D$4:$D$2441,$B130,'февраль 2025'!$J$4:$J$2441,AF$1)</f>
        <v>0</v>
      </c>
      <c r="AG130" s="183">
        <f>SUMIFS('февраль 2025'!$G$4:$G$2441,'февраль 2025'!$D$4:$D$2441,$B130,'февраль 2025'!$J$4:$J$2441,AG$1)</f>
        <v>0</v>
      </c>
      <c r="AH130" s="183">
        <f>SUMIFS('февраль 2025'!$G$4:$G$2441,'февраль 2025'!$D$4:$D$2441,$B130,'февраль 2025'!$J$4:$J$2441,AH$1)</f>
        <v>0</v>
      </c>
      <c r="AI130" s="20">
        <f t="shared" si="1"/>
        <v>0</v>
      </c>
    </row>
    <row r="131" spans="2:35" ht="15" customHeight="1" x14ac:dyDescent="0.25">
      <c r="B131" s="84" t="s">
        <v>278</v>
      </c>
      <c r="C131" s="86">
        <v>180</v>
      </c>
      <c r="D131" s="183">
        <f>SUMIFS('февраль 2025'!$G$4:$G$2441,'февраль 2025'!$D$4:$D$2441,$B131,'февраль 2025'!$J$4:$J$2441,D$1)</f>
        <v>0</v>
      </c>
      <c r="E131" s="183">
        <f>SUMIFS('февраль 2025'!$G$4:$G$2441,'февраль 2025'!$D$4:$D$2441,$B131,'февраль 2025'!$J$4:$J$2441,E$1)</f>
        <v>0</v>
      </c>
      <c r="F131" s="183">
        <f>SUMIFS('февраль 2025'!$G$4:$G$2441,'февраль 2025'!$D$4:$D$2441,$B131,'февраль 2025'!$J$4:$J$2441,F$1)</f>
        <v>0</v>
      </c>
      <c r="G131" s="183">
        <f>SUMIFS('февраль 2025'!$G$4:$G$2441,'февраль 2025'!$D$4:$D$2441,$B131,'февраль 2025'!$J$4:$J$2441,G$1)</f>
        <v>0</v>
      </c>
      <c r="H131" s="183">
        <f>SUMIFS('февраль 2025'!$G$4:$G$2441,'февраль 2025'!$D$4:$D$2441,$B131,'февраль 2025'!$J$4:$J$2441,H$1)</f>
        <v>0</v>
      </c>
      <c r="I131" s="183">
        <f>SUMIFS('февраль 2025'!$G$4:$G$2441,'февраль 2025'!$D$4:$D$2441,$B131,'февраль 2025'!$J$4:$J$2441,I$1)</f>
        <v>0</v>
      </c>
      <c r="J131" s="183">
        <f>SUMIFS('февраль 2025'!$G$4:$G$2441,'февраль 2025'!$D$4:$D$2441,$B131,'февраль 2025'!$J$4:$J$2441,J$1)</f>
        <v>0</v>
      </c>
      <c r="K131" s="183">
        <f>SUMIFS('февраль 2025'!$G$4:$G$2441,'февраль 2025'!$D$4:$D$2441,$B131,'февраль 2025'!$J$4:$J$2441,K$1)</f>
        <v>0</v>
      </c>
      <c r="L131" s="183">
        <f>SUMIFS('февраль 2025'!$G$4:$G$2441,'февраль 2025'!$D$4:$D$2441,$B131,'февраль 2025'!$J$4:$J$2441,L$1)</f>
        <v>0</v>
      </c>
      <c r="M131" s="183">
        <f>SUMIFS('февраль 2025'!$G$4:$G$2441,'февраль 2025'!$D$4:$D$2441,$B131,'февраль 2025'!$J$4:$J$2441,M$1)</f>
        <v>0</v>
      </c>
      <c r="N131" s="183">
        <f>SUMIFS('февраль 2025'!$G$4:$G$2441,'февраль 2025'!$D$4:$D$2441,$B131,'февраль 2025'!$J$4:$J$2441,N$1)</f>
        <v>0</v>
      </c>
      <c r="O131" s="183">
        <f>SUMIFS('февраль 2025'!$G$4:$G$2441,'февраль 2025'!$D$4:$D$2441,$B131,'февраль 2025'!$J$4:$J$2441,O$1)</f>
        <v>0</v>
      </c>
      <c r="P131" s="183">
        <f>SUMIFS('февраль 2025'!$G$4:$G$2441,'февраль 2025'!$D$4:$D$2441,$B131,'февраль 2025'!$J$4:$J$2441,P$1)</f>
        <v>0</v>
      </c>
      <c r="Q131" s="183">
        <f>SUMIFS('февраль 2025'!$G$4:$G$2441,'февраль 2025'!$D$4:$D$2441,$B131,'февраль 2025'!$J$4:$J$2441,Q$1)</f>
        <v>0</v>
      </c>
      <c r="R131" s="183">
        <f>SUMIFS('февраль 2025'!$G$4:$G$2441,'февраль 2025'!$D$4:$D$2441,$B131,'февраль 2025'!$J$4:$J$2441,R$1)</f>
        <v>0</v>
      </c>
      <c r="S131" s="183">
        <f>SUMIFS('февраль 2025'!$G$4:$G$2441,'февраль 2025'!$D$4:$D$2441,$B131,'февраль 2025'!$J$4:$J$2441,S$1)</f>
        <v>0</v>
      </c>
      <c r="T131" s="183">
        <f>SUMIFS('февраль 2025'!$G$4:$G$2441,'февраль 2025'!$D$4:$D$2441,$B131,'февраль 2025'!$J$4:$J$2441,T$1)</f>
        <v>0</v>
      </c>
      <c r="U131" s="183">
        <f>SUMIFS('февраль 2025'!$G$4:$G$2441,'февраль 2025'!$D$4:$D$2441,$B131,'февраль 2025'!$J$4:$J$2441,U$1)</f>
        <v>0</v>
      </c>
      <c r="V131" s="183">
        <f>SUMIFS('февраль 2025'!$G$4:$G$2441,'февраль 2025'!$D$4:$D$2441,$B131,'февраль 2025'!$J$4:$J$2441,V$1)</f>
        <v>0</v>
      </c>
      <c r="W131" s="183">
        <f>SUMIFS('февраль 2025'!$G$4:$G$2441,'февраль 2025'!$D$4:$D$2441,$B131,'февраль 2025'!$J$4:$J$2441,W$1)</f>
        <v>0</v>
      </c>
      <c r="X131" s="183">
        <f>SUMIFS('февраль 2025'!$G$4:$G$2441,'февраль 2025'!$D$4:$D$2441,$B131,'февраль 2025'!$J$4:$J$2441,X$1)</f>
        <v>0</v>
      </c>
      <c r="Y131" s="183">
        <f>SUMIFS('февраль 2025'!$G$4:$G$2441,'февраль 2025'!$D$4:$D$2441,$B131,'февраль 2025'!$J$4:$J$2441,Y$1)</f>
        <v>0</v>
      </c>
      <c r="Z131" s="183">
        <f>SUMIFS('февраль 2025'!$G$4:$G$2441,'февраль 2025'!$D$4:$D$2441,$B131,'февраль 2025'!$J$4:$J$2441,Z$1)</f>
        <v>0</v>
      </c>
      <c r="AA131" s="183">
        <f>SUMIFS('февраль 2025'!$G$4:$G$2441,'февраль 2025'!$D$4:$D$2441,$B131,'февраль 2025'!$J$4:$J$2441,AA$1)</f>
        <v>0</v>
      </c>
      <c r="AB131" s="183">
        <f>SUMIFS('февраль 2025'!$G$4:$G$2441,'февраль 2025'!$D$4:$D$2441,$B131,'февраль 2025'!$J$4:$J$2441,AB$1)</f>
        <v>0</v>
      </c>
      <c r="AC131" s="183">
        <f>SUMIFS('февраль 2025'!$G$4:$G$2441,'февраль 2025'!$D$4:$D$2441,$B131,'февраль 2025'!$J$4:$J$2441,AC$1)</f>
        <v>0</v>
      </c>
      <c r="AD131" s="183">
        <f>SUMIFS('февраль 2025'!$G$4:$G$2441,'февраль 2025'!$D$4:$D$2441,$B131,'февраль 2025'!$J$4:$J$2441,AD$1)</f>
        <v>0</v>
      </c>
      <c r="AE131" s="183">
        <f>SUMIFS('февраль 2025'!$G$4:$G$2441,'февраль 2025'!$D$4:$D$2441,$B131,'февраль 2025'!$J$4:$J$2441,AE$1)</f>
        <v>0</v>
      </c>
      <c r="AF131" s="183">
        <f>SUMIFS('февраль 2025'!$G$4:$G$2441,'февраль 2025'!$D$4:$D$2441,$B131,'февраль 2025'!$J$4:$J$2441,AF$1)</f>
        <v>0</v>
      </c>
      <c r="AG131" s="183">
        <f>SUMIFS('февраль 2025'!$G$4:$G$2441,'февраль 2025'!$D$4:$D$2441,$B131,'февраль 2025'!$J$4:$J$2441,AG$1)</f>
        <v>0</v>
      </c>
      <c r="AH131" s="183">
        <f>SUMIFS('февраль 2025'!$G$4:$G$2441,'февраль 2025'!$D$4:$D$2441,$B131,'февраль 2025'!$J$4:$J$2441,AH$1)</f>
        <v>0</v>
      </c>
      <c r="AI131" s="20">
        <f t="shared" si="1"/>
        <v>0</v>
      </c>
    </row>
    <row r="132" spans="2:35" ht="15" customHeight="1" x14ac:dyDescent="0.25">
      <c r="B132" s="84" t="s">
        <v>295</v>
      </c>
      <c r="C132" s="86">
        <v>190</v>
      </c>
      <c r="D132" s="183">
        <f>SUMIFS('февраль 2025'!$G$4:$G$2441,'февраль 2025'!$D$4:$D$2441,$B132,'февраль 2025'!$J$4:$J$2441,D$1)</f>
        <v>0</v>
      </c>
      <c r="E132" s="183">
        <f>SUMIFS('февраль 2025'!$G$4:$G$2441,'февраль 2025'!$D$4:$D$2441,$B132,'февраль 2025'!$J$4:$J$2441,E$1)</f>
        <v>0</v>
      </c>
      <c r="F132" s="183">
        <f>SUMIFS('февраль 2025'!$G$4:$G$2441,'февраль 2025'!$D$4:$D$2441,$B132,'февраль 2025'!$J$4:$J$2441,F$1)</f>
        <v>0</v>
      </c>
      <c r="G132" s="183">
        <f>SUMIFS('февраль 2025'!$G$4:$G$2441,'февраль 2025'!$D$4:$D$2441,$B132,'февраль 2025'!$J$4:$J$2441,G$1)</f>
        <v>0</v>
      </c>
      <c r="H132" s="183">
        <f>SUMIFS('февраль 2025'!$G$4:$G$2441,'февраль 2025'!$D$4:$D$2441,$B132,'февраль 2025'!$J$4:$J$2441,H$1)</f>
        <v>0</v>
      </c>
      <c r="I132" s="183">
        <f>SUMIFS('февраль 2025'!$G$4:$G$2441,'февраль 2025'!$D$4:$D$2441,$B132,'февраль 2025'!$J$4:$J$2441,I$1)</f>
        <v>0</v>
      </c>
      <c r="J132" s="183">
        <f>SUMIFS('февраль 2025'!$G$4:$G$2441,'февраль 2025'!$D$4:$D$2441,$B132,'февраль 2025'!$J$4:$J$2441,J$1)</f>
        <v>0</v>
      </c>
      <c r="K132" s="183">
        <f>SUMIFS('февраль 2025'!$G$4:$G$2441,'февраль 2025'!$D$4:$D$2441,$B132,'февраль 2025'!$J$4:$J$2441,K$1)</f>
        <v>0</v>
      </c>
      <c r="L132" s="183">
        <f>SUMIFS('февраль 2025'!$G$4:$G$2441,'февраль 2025'!$D$4:$D$2441,$B132,'февраль 2025'!$J$4:$J$2441,L$1)</f>
        <v>0</v>
      </c>
      <c r="M132" s="183">
        <f>SUMIFS('февраль 2025'!$G$4:$G$2441,'февраль 2025'!$D$4:$D$2441,$B132,'февраль 2025'!$J$4:$J$2441,M$1)</f>
        <v>0</v>
      </c>
      <c r="N132" s="183">
        <f>SUMIFS('февраль 2025'!$G$4:$G$2441,'февраль 2025'!$D$4:$D$2441,$B132,'февраль 2025'!$J$4:$J$2441,N$1)</f>
        <v>0</v>
      </c>
      <c r="O132" s="183">
        <f>SUMIFS('февраль 2025'!$G$4:$G$2441,'февраль 2025'!$D$4:$D$2441,$B132,'февраль 2025'!$J$4:$J$2441,O$1)</f>
        <v>0</v>
      </c>
      <c r="P132" s="183">
        <f>SUMIFS('февраль 2025'!$G$4:$G$2441,'февраль 2025'!$D$4:$D$2441,$B132,'февраль 2025'!$J$4:$J$2441,P$1)</f>
        <v>0</v>
      </c>
      <c r="Q132" s="183">
        <f>SUMIFS('февраль 2025'!$G$4:$G$2441,'февраль 2025'!$D$4:$D$2441,$B132,'февраль 2025'!$J$4:$J$2441,Q$1)</f>
        <v>0</v>
      </c>
      <c r="R132" s="183">
        <f>SUMIFS('февраль 2025'!$G$4:$G$2441,'февраль 2025'!$D$4:$D$2441,$B132,'февраль 2025'!$J$4:$J$2441,R$1)</f>
        <v>0</v>
      </c>
      <c r="S132" s="183">
        <f>SUMIFS('февраль 2025'!$G$4:$G$2441,'февраль 2025'!$D$4:$D$2441,$B132,'февраль 2025'!$J$4:$J$2441,S$1)</f>
        <v>0</v>
      </c>
      <c r="T132" s="183">
        <f>SUMIFS('февраль 2025'!$G$4:$G$2441,'февраль 2025'!$D$4:$D$2441,$B132,'февраль 2025'!$J$4:$J$2441,T$1)</f>
        <v>0</v>
      </c>
      <c r="U132" s="183">
        <f>SUMIFS('февраль 2025'!$G$4:$G$2441,'февраль 2025'!$D$4:$D$2441,$B132,'февраль 2025'!$J$4:$J$2441,U$1)</f>
        <v>0</v>
      </c>
      <c r="V132" s="183">
        <f>SUMIFS('февраль 2025'!$G$4:$G$2441,'февраль 2025'!$D$4:$D$2441,$B132,'февраль 2025'!$J$4:$J$2441,V$1)</f>
        <v>0</v>
      </c>
      <c r="W132" s="183">
        <f>SUMIFS('февраль 2025'!$G$4:$G$2441,'февраль 2025'!$D$4:$D$2441,$B132,'февраль 2025'!$J$4:$J$2441,W$1)</f>
        <v>0</v>
      </c>
      <c r="X132" s="183">
        <f>SUMIFS('февраль 2025'!$G$4:$G$2441,'февраль 2025'!$D$4:$D$2441,$B132,'февраль 2025'!$J$4:$J$2441,X$1)</f>
        <v>0</v>
      </c>
      <c r="Y132" s="183">
        <f>SUMIFS('февраль 2025'!$G$4:$G$2441,'февраль 2025'!$D$4:$D$2441,$B132,'февраль 2025'!$J$4:$J$2441,Y$1)</f>
        <v>0</v>
      </c>
      <c r="Z132" s="183">
        <f>SUMIFS('февраль 2025'!$G$4:$G$2441,'февраль 2025'!$D$4:$D$2441,$B132,'февраль 2025'!$J$4:$J$2441,Z$1)</f>
        <v>0</v>
      </c>
      <c r="AA132" s="183">
        <f>SUMIFS('февраль 2025'!$G$4:$G$2441,'февраль 2025'!$D$4:$D$2441,$B132,'февраль 2025'!$J$4:$J$2441,AA$1)</f>
        <v>4</v>
      </c>
      <c r="AB132" s="183">
        <f>SUMIFS('февраль 2025'!$G$4:$G$2441,'февраль 2025'!$D$4:$D$2441,$B132,'февраль 2025'!$J$4:$J$2441,AB$1)</f>
        <v>0</v>
      </c>
      <c r="AC132" s="183">
        <f>SUMIFS('февраль 2025'!$G$4:$G$2441,'февраль 2025'!$D$4:$D$2441,$B132,'февраль 2025'!$J$4:$J$2441,AC$1)</f>
        <v>0</v>
      </c>
      <c r="AD132" s="183">
        <f>SUMIFS('февраль 2025'!$G$4:$G$2441,'февраль 2025'!$D$4:$D$2441,$B132,'февраль 2025'!$J$4:$J$2441,AD$1)</f>
        <v>0</v>
      </c>
      <c r="AE132" s="183">
        <f>SUMIFS('февраль 2025'!$G$4:$G$2441,'февраль 2025'!$D$4:$D$2441,$B132,'февраль 2025'!$J$4:$J$2441,AE$1)</f>
        <v>0</v>
      </c>
      <c r="AF132" s="183">
        <f>SUMIFS('февраль 2025'!$G$4:$G$2441,'февраль 2025'!$D$4:$D$2441,$B132,'февраль 2025'!$J$4:$J$2441,AF$1)</f>
        <v>0</v>
      </c>
      <c r="AG132" s="183">
        <f>SUMIFS('февраль 2025'!$G$4:$G$2441,'февраль 2025'!$D$4:$D$2441,$B132,'февраль 2025'!$J$4:$J$2441,AG$1)</f>
        <v>0</v>
      </c>
      <c r="AH132" s="183">
        <f>SUMIFS('февраль 2025'!$G$4:$G$2441,'февраль 2025'!$D$4:$D$2441,$B132,'февраль 2025'!$J$4:$J$2441,AH$1)</f>
        <v>0</v>
      </c>
      <c r="AI132" s="20">
        <f t="shared" si="1"/>
        <v>4</v>
      </c>
    </row>
    <row r="133" spans="2:35" ht="15" customHeight="1" x14ac:dyDescent="0.25">
      <c r="B133" s="84" t="s">
        <v>269</v>
      </c>
      <c r="C133" s="86">
        <v>200</v>
      </c>
      <c r="D133" s="183">
        <f>SUMIFS('февраль 2025'!$G$4:$G$2441,'февраль 2025'!$D$4:$D$2441,$B133,'февраль 2025'!$J$4:$J$2441,D$1)</f>
        <v>0</v>
      </c>
      <c r="E133" s="183">
        <f>SUMIFS('февраль 2025'!$G$4:$G$2441,'февраль 2025'!$D$4:$D$2441,$B133,'февраль 2025'!$J$4:$J$2441,E$1)</f>
        <v>0</v>
      </c>
      <c r="F133" s="183">
        <f>SUMIFS('февраль 2025'!$G$4:$G$2441,'февраль 2025'!$D$4:$D$2441,$B133,'февраль 2025'!$J$4:$J$2441,F$1)</f>
        <v>0</v>
      </c>
      <c r="G133" s="183">
        <f>SUMIFS('февраль 2025'!$G$4:$G$2441,'февраль 2025'!$D$4:$D$2441,$B133,'февраль 2025'!$J$4:$J$2441,G$1)</f>
        <v>0</v>
      </c>
      <c r="H133" s="183">
        <f>SUMIFS('февраль 2025'!$G$4:$G$2441,'февраль 2025'!$D$4:$D$2441,$B133,'февраль 2025'!$J$4:$J$2441,H$1)</f>
        <v>0</v>
      </c>
      <c r="I133" s="183">
        <f>SUMIFS('февраль 2025'!$G$4:$G$2441,'февраль 2025'!$D$4:$D$2441,$B133,'февраль 2025'!$J$4:$J$2441,I$1)</f>
        <v>0</v>
      </c>
      <c r="J133" s="183">
        <f>SUMIFS('февраль 2025'!$G$4:$G$2441,'февраль 2025'!$D$4:$D$2441,$B133,'февраль 2025'!$J$4:$J$2441,J$1)</f>
        <v>0</v>
      </c>
      <c r="K133" s="183">
        <f>SUMIFS('февраль 2025'!$G$4:$G$2441,'февраль 2025'!$D$4:$D$2441,$B133,'февраль 2025'!$J$4:$J$2441,K$1)</f>
        <v>0</v>
      </c>
      <c r="L133" s="183">
        <f>SUMIFS('февраль 2025'!$G$4:$G$2441,'февраль 2025'!$D$4:$D$2441,$B133,'февраль 2025'!$J$4:$J$2441,L$1)</f>
        <v>0</v>
      </c>
      <c r="M133" s="183">
        <f>SUMIFS('февраль 2025'!$G$4:$G$2441,'февраль 2025'!$D$4:$D$2441,$B133,'февраль 2025'!$J$4:$J$2441,M$1)</f>
        <v>0</v>
      </c>
      <c r="N133" s="183">
        <f>SUMIFS('февраль 2025'!$G$4:$G$2441,'февраль 2025'!$D$4:$D$2441,$B133,'февраль 2025'!$J$4:$J$2441,N$1)</f>
        <v>0</v>
      </c>
      <c r="O133" s="183">
        <f>SUMIFS('февраль 2025'!$G$4:$G$2441,'февраль 2025'!$D$4:$D$2441,$B133,'февраль 2025'!$J$4:$J$2441,O$1)</f>
        <v>0</v>
      </c>
      <c r="P133" s="183">
        <f>SUMIFS('февраль 2025'!$G$4:$G$2441,'февраль 2025'!$D$4:$D$2441,$B133,'февраль 2025'!$J$4:$J$2441,P$1)</f>
        <v>0</v>
      </c>
      <c r="Q133" s="183">
        <f>SUMIFS('февраль 2025'!$G$4:$G$2441,'февраль 2025'!$D$4:$D$2441,$B133,'февраль 2025'!$J$4:$J$2441,Q$1)</f>
        <v>0</v>
      </c>
      <c r="R133" s="183">
        <f>SUMIFS('февраль 2025'!$G$4:$G$2441,'февраль 2025'!$D$4:$D$2441,$B133,'февраль 2025'!$J$4:$J$2441,R$1)</f>
        <v>0</v>
      </c>
      <c r="S133" s="183">
        <f>SUMIFS('февраль 2025'!$G$4:$G$2441,'февраль 2025'!$D$4:$D$2441,$B133,'февраль 2025'!$J$4:$J$2441,S$1)</f>
        <v>0</v>
      </c>
      <c r="T133" s="183">
        <f>SUMIFS('февраль 2025'!$G$4:$G$2441,'февраль 2025'!$D$4:$D$2441,$B133,'февраль 2025'!$J$4:$J$2441,T$1)</f>
        <v>0</v>
      </c>
      <c r="U133" s="183">
        <f>SUMIFS('февраль 2025'!$G$4:$G$2441,'февраль 2025'!$D$4:$D$2441,$B133,'февраль 2025'!$J$4:$J$2441,U$1)</f>
        <v>0</v>
      </c>
      <c r="V133" s="183">
        <f>SUMIFS('февраль 2025'!$G$4:$G$2441,'февраль 2025'!$D$4:$D$2441,$B133,'февраль 2025'!$J$4:$J$2441,V$1)</f>
        <v>0</v>
      </c>
      <c r="W133" s="183">
        <f>SUMIFS('февраль 2025'!$G$4:$G$2441,'февраль 2025'!$D$4:$D$2441,$B133,'февраль 2025'!$J$4:$J$2441,W$1)</f>
        <v>0</v>
      </c>
      <c r="X133" s="183">
        <f>SUMIFS('февраль 2025'!$G$4:$G$2441,'февраль 2025'!$D$4:$D$2441,$B133,'февраль 2025'!$J$4:$J$2441,X$1)</f>
        <v>0</v>
      </c>
      <c r="Y133" s="183">
        <f>SUMIFS('февраль 2025'!$G$4:$G$2441,'февраль 2025'!$D$4:$D$2441,$B133,'февраль 2025'!$J$4:$J$2441,Y$1)</f>
        <v>0</v>
      </c>
      <c r="Z133" s="183">
        <f>SUMIFS('февраль 2025'!$G$4:$G$2441,'февраль 2025'!$D$4:$D$2441,$B133,'февраль 2025'!$J$4:$J$2441,Z$1)</f>
        <v>0</v>
      </c>
      <c r="AA133" s="183">
        <f>SUMIFS('февраль 2025'!$G$4:$G$2441,'февраль 2025'!$D$4:$D$2441,$B133,'февраль 2025'!$J$4:$J$2441,AA$1)</f>
        <v>0</v>
      </c>
      <c r="AB133" s="183">
        <f>SUMIFS('февраль 2025'!$G$4:$G$2441,'февраль 2025'!$D$4:$D$2441,$B133,'февраль 2025'!$J$4:$J$2441,AB$1)</f>
        <v>0</v>
      </c>
      <c r="AC133" s="183">
        <f>SUMIFS('февраль 2025'!$G$4:$G$2441,'февраль 2025'!$D$4:$D$2441,$B133,'февраль 2025'!$J$4:$J$2441,AC$1)</f>
        <v>0</v>
      </c>
      <c r="AD133" s="183">
        <f>SUMIFS('февраль 2025'!$G$4:$G$2441,'февраль 2025'!$D$4:$D$2441,$B133,'февраль 2025'!$J$4:$J$2441,AD$1)</f>
        <v>0</v>
      </c>
      <c r="AE133" s="183">
        <f>SUMIFS('февраль 2025'!$G$4:$G$2441,'февраль 2025'!$D$4:$D$2441,$B133,'февраль 2025'!$J$4:$J$2441,AE$1)</f>
        <v>0</v>
      </c>
      <c r="AF133" s="183">
        <f>SUMIFS('февраль 2025'!$G$4:$G$2441,'февраль 2025'!$D$4:$D$2441,$B133,'февраль 2025'!$J$4:$J$2441,AF$1)</f>
        <v>0</v>
      </c>
      <c r="AG133" s="183">
        <f>SUMIFS('февраль 2025'!$G$4:$G$2441,'февраль 2025'!$D$4:$D$2441,$B133,'февраль 2025'!$J$4:$J$2441,AG$1)</f>
        <v>0</v>
      </c>
      <c r="AH133" s="183">
        <f>SUMIFS('февраль 2025'!$G$4:$G$2441,'февраль 2025'!$D$4:$D$2441,$B133,'февраль 2025'!$J$4:$J$2441,AH$1)</f>
        <v>0</v>
      </c>
      <c r="AI133" s="20">
        <f t="shared" si="1"/>
        <v>0</v>
      </c>
    </row>
    <row r="134" spans="2:35" ht="15" customHeight="1" x14ac:dyDescent="0.25">
      <c r="B134" s="84" t="s">
        <v>279</v>
      </c>
      <c r="C134" s="86">
        <v>200</v>
      </c>
      <c r="D134" s="183">
        <f>SUMIFS('февраль 2025'!$G$4:$G$2441,'февраль 2025'!$D$4:$D$2441,$B134,'февраль 2025'!$J$4:$J$2441,D$1)</f>
        <v>0</v>
      </c>
      <c r="E134" s="183">
        <f>SUMIFS('февраль 2025'!$G$4:$G$2441,'февраль 2025'!$D$4:$D$2441,$B134,'февраль 2025'!$J$4:$J$2441,E$1)</f>
        <v>0</v>
      </c>
      <c r="F134" s="183">
        <f>SUMIFS('февраль 2025'!$G$4:$G$2441,'февраль 2025'!$D$4:$D$2441,$B134,'февраль 2025'!$J$4:$J$2441,F$1)</f>
        <v>0</v>
      </c>
      <c r="G134" s="183">
        <f>SUMIFS('февраль 2025'!$G$4:$G$2441,'февраль 2025'!$D$4:$D$2441,$B134,'февраль 2025'!$J$4:$J$2441,G$1)</f>
        <v>0</v>
      </c>
      <c r="H134" s="183">
        <f>SUMIFS('февраль 2025'!$G$4:$G$2441,'февраль 2025'!$D$4:$D$2441,$B134,'февраль 2025'!$J$4:$J$2441,H$1)</f>
        <v>0</v>
      </c>
      <c r="I134" s="183">
        <f>SUMIFS('февраль 2025'!$G$4:$G$2441,'февраль 2025'!$D$4:$D$2441,$B134,'февраль 2025'!$J$4:$J$2441,I$1)</f>
        <v>0</v>
      </c>
      <c r="J134" s="183">
        <f>SUMIFS('февраль 2025'!$G$4:$G$2441,'февраль 2025'!$D$4:$D$2441,$B134,'февраль 2025'!$J$4:$J$2441,J$1)</f>
        <v>0</v>
      </c>
      <c r="K134" s="183">
        <f>SUMIFS('февраль 2025'!$G$4:$G$2441,'февраль 2025'!$D$4:$D$2441,$B134,'февраль 2025'!$J$4:$J$2441,K$1)</f>
        <v>0</v>
      </c>
      <c r="L134" s="183">
        <f>SUMIFS('февраль 2025'!$G$4:$G$2441,'февраль 2025'!$D$4:$D$2441,$B134,'февраль 2025'!$J$4:$J$2441,L$1)</f>
        <v>0</v>
      </c>
      <c r="M134" s="183">
        <f>SUMIFS('февраль 2025'!$G$4:$G$2441,'февраль 2025'!$D$4:$D$2441,$B134,'февраль 2025'!$J$4:$J$2441,M$1)</f>
        <v>0</v>
      </c>
      <c r="N134" s="183">
        <f>SUMIFS('февраль 2025'!$G$4:$G$2441,'февраль 2025'!$D$4:$D$2441,$B134,'февраль 2025'!$J$4:$J$2441,N$1)</f>
        <v>0</v>
      </c>
      <c r="O134" s="183">
        <f>SUMIFS('февраль 2025'!$G$4:$G$2441,'февраль 2025'!$D$4:$D$2441,$B134,'февраль 2025'!$J$4:$J$2441,O$1)</f>
        <v>0</v>
      </c>
      <c r="P134" s="183">
        <f>SUMIFS('февраль 2025'!$G$4:$G$2441,'февраль 2025'!$D$4:$D$2441,$B134,'февраль 2025'!$J$4:$J$2441,P$1)</f>
        <v>0</v>
      </c>
      <c r="Q134" s="183">
        <f>SUMIFS('февраль 2025'!$G$4:$G$2441,'февраль 2025'!$D$4:$D$2441,$B134,'февраль 2025'!$J$4:$J$2441,Q$1)</f>
        <v>0</v>
      </c>
      <c r="R134" s="183">
        <f>SUMIFS('февраль 2025'!$G$4:$G$2441,'февраль 2025'!$D$4:$D$2441,$B134,'февраль 2025'!$J$4:$J$2441,R$1)</f>
        <v>0</v>
      </c>
      <c r="S134" s="183">
        <f>SUMIFS('февраль 2025'!$G$4:$G$2441,'февраль 2025'!$D$4:$D$2441,$B134,'февраль 2025'!$J$4:$J$2441,S$1)</f>
        <v>0</v>
      </c>
      <c r="T134" s="183">
        <f>SUMIFS('февраль 2025'!$G$4:$G$2441,'февраль 2025'!$D$4:$D$2441,$B134,'февраль 2025'!$J$4:$J$2441,T$1)</f>
        <v>0</v>
      </c>
      <c r="U134" s="183">
        <f>SUMIFS('февраль 2025'!$G$4:$G$2441,'февраль 2025'!$D$4:$D$2441,$B134,'февраль 2025'!$J$4:$J$2441,U$1)</f>
        <v>0</v>
      </c>
      <c r="V134" s="183">
        <f>SUMIFS('февраль 2025'!$G$4:$G$2441,'февраль 2025'!$D$4:$D$2441,$B134,'февраль 2025'!$J$4:$J$2441,V$1)</f>
        <v>0</v>
      </c>
      <c r="W134" s="183">
        <f>SUMIFS('февраль 2025'!$G$4:$G$2441,'февраль 2025'!$D$4:$D$2441,$B134,'февраль 2025'!$J$4:$J$2441,W$1)</f>
        <v>0</v>
      </c>
      <c r="X134" s="183">
        <f>SUMIFS('февраль 2025'!$G$4:$G$2441,'февраль 2025'!$D$4:$D$2441,$B134,'февраль 2025'!$J$4:$J$2441,X$1)</f>
        <v>0</v>
      </c>
      <c r="Y134" s="183">
        <f>SUMIFS('февраль 2025'!$G$4:$G$2441,'февраль 2025'!$D$4:$D$2441,$B134,'февраль 2025'!$J$4:$J$2441,Y$1)</f>
        <v>0</v>
      </c>
      <c r="Z134" s="183">
        <f>SUMIFS('февраль 2025'!$G$4:$G$2441,'февраль 2025'!$D$4:$D$2441,$B134,'февраль 2025'!$J$4:$J$2441,Z$1)</f>
        <v>0</v>
      </c>
      <c r="AA134" s="183">
        <f>SUMIFS('февраль 2025'!$G$4:$G$2441,'февраль 2025'!$D$4:$D$2441,$B134,'февраль 2025'!$J$4:$J$2441,AA$1)</f>
        <v>0</v>
      </c>
      <c r="AB134" s="183">
        <f>SUMIFS('февраль 2025'!$G$4:$G$2441,'февраль 2025'!$D$4:$D$2441,$B134,'февраль 2025'!$J$4:$J$2441,AB$1)</f>
        <v>0</v>
      </c>
      <c r="AC134" s="183">
        <f>SUMIFS('февраль 2025'!$G$4:$G$2441,'февраль 2025'!$D$4:$D$2441,$B134,'февраль 2025'!$J$4:$J$2441,AC$1)</f>
        <v>0</v>
      </c>
      <c r="AD134" s="183">
        <f>SUMIFS('февраль 2025'!$G$4:$G$2441,'февраль 2025'!$D$4:$D$2441,$B134,'февраль 2025'!$J$4:$J$2441,AD$1)</f>
        <v>0</v>
      </c>
      <c r="AE134" s="183">
        <f>SUMIFS('февраль 2025'!$G$4:$G$2441,'февраль 2025'!$D$4:$D$2441,$B134,'февраль 2025'!$J$4:$J$2441,AE$1)</f>
        <v>0</v>
      </c>
      <c r="AF134" s="183">
        <f>SUMIFS('февраль 2025'!$G$4:$G$2441,'февраль 2025'!$D$4:$D$2441,$B134,'февраль 2025'!$J$4:$J$2441,AF$1)</f>
        <v>0</v>
      </c>
      <c r="AG134" s="183">
        <f>SUMIFS('февраль 2025'!$G$4:$G$2441,'февраль 2025'!$D$4:$D$2441,$B134,'февраль 2025'!$J$4:$J$2441,AG$1)</f>
        <v>0</v>
      </c>
      <c r="AH134" s="183">
        <f>SUMIFS('февраль 2025'!$G$4:$G$2441,'февраль 2025'!$D$4:$D$2441,$B134,'февраль 2025'!$J$4:$J$2441,AH$1)</f>
        <v>0</v>
      </c>
      <c r="AI134" s="20">
        <f t="shared" si="1"/>
        <v>0</v>
      </c>
    </row>
    <row r="135" spans="2:35" ht="15" customHeight="1" x14ac:dyDescent="0.25">
      <c r="B135" s="84" t="s">
        <v>197</v>
      </c>
      <c r="C135" s="86">
        <v>180</v>
      </c>
      <c r="D135" s="183">
        <f>SUMIFS('февраль 2025'!$G$4:$G$2441,'февраль 2025'!$D$4:$D$2441,$B135,'февраль 2025'!$J$4:$J$2441,D$1)</f>
        <v>0</v>
      </c>
      <c r="E135" s="183">
        <f>SUMIFS('февраль 2025'!$G$4:$G$2441,'февраль 2025'!$D$4:$D$2441,$B135,'февраль 2025'!$J$4:$J$2441,E$1)</f>
        <v>0</v>
      </c>
      <c r="F135" s="183">
        <f>SUMIFS('февраль 2025'!$G$4:$G$2441,'февраль 2025'!$D$4:$D$2441,$B135,'февраль 2025'!$J$4:$J$2441,F$1)</f>
        <v>0</v>
      </c>
      <c r="G135" s="183">
        <f>SUMIFS('февраль 2025'!$G$4:$G$2441,'февраль 2025'!$D$4:$D$2441,$B135,'февраль 2025'!$J$4:$J$2441,G$1)</f>
        <v>0</v>
      </c>
      <c r="H135" s="183">
        <f>SUMIFS('февраль 2025'!$G$4:$G$2441,'февраль 2025'!$D$4:$D$2441,$B135,'февраль 2025'!$J$4:$J$2441,H$1)</f>
        <v>0</v>
      </c>
      <c r="I135" s="183">
        <f>SUMIFS('февраль 2025'!$G$4:$G$2441,'февраль 2025'!$D$4:$D$2441,$B135,'февраль 2025'!$J$4:$J$2441,I$1)</f>
        <v>0</v>
      </c>
      <c r="J135" s="183">
        <f>SUMIFS('февраль 2025'!$G$4:$G$2441,'февраль 2025'!$D$4:$D$2441,$B135,'февраль 2025'!$J$4:$J$2441,J$1)</f>
        <v>0</v>
      </c>
      <c r="K135" s="183">
        <f>SUMIFS('февраль 2025'!$G$4:$G$2441,'февраль 2025'!$D$4:$D$2441,$B135,'февраль 2025'!$J$4:$J$2441,K$1)</f>
        <v>0</v>
      </c>
      <c r="L135" s="183">
        <f>SUMIFS('февраль 2025'!$G$4:$G$2441,'февраль 2025'!$D$4:$D$2441,$B135,'февраль 2025'!$J$4:$J$2441,L$1)</f>
        <v>0</v>
      </c>
      <c r="M135" s="183">
        <f>SUMIFS('февраль 2025'!$G$4:$G$2441,'февраль 2025'!$D$4:$D$2441,$B135,'февраль 2025'!$J$4:$J$2441,M$1)</f>
        <v>0</v>
      </c>
      <c r="N135" s="183">
        <f>SUMIFS('февраль 2025'!$G$4:$G$2441,'февраль 2025'!$D$4:$D$2441,$B135,'февраль 2025'!$J$4:$J$2441,N$1)</f>
        <v>0</v>
      </c>
      <c r="O135" s="183">
        <f>SUMIFS('февраль 2025'!$G$4:$G$2441,'февраль 2025'!$D$4:$D$2441,$B135,'февраль 2025'!$J$4:$J$2441,O$1)</f>
        <v>0</v>
      </c>
      <c r="P135" s="183">
        <f>SUMIFS('февраль 2025'!$G$4:$G$2441,'февраль 2025'!$D$4:$D$2441,$B135,'февраль 2025'!$J$4:$J$2441,P$1)</f>
        <v>0</v>
      </c>
      <c r="Q135" s="183">
        <f>SUMIFS('февраль 2025'!$G$4:$G$2441,'февраль 2025'!$D$4:$D$2441,$B135,'февраль 2025'!$J$4:$J$2441,Q$1)</f>
        <v>0</v>
      </c>
      <c r="R135" s="183">
        <f>SUMIFS('февраль 2025'!$G$4:$G$2441,'февраль 2025'!$D$4:$D$2441,$B135,'февраль 2025'!$J$4:$J$2441,R$1)</f>
        <v>0</v>
      </c>
      <c r="S135" s="183">
        <f>SUMIFS('февраль 2025'!$G$4:$G$2441,'февраль 2025'!$D$4:$D$2441,$B135,'февраль 2025'!$J$4:$J$2441,S$1)</f>
        <v>0</v>
      </c>
      <c r="T135" s="183">
        <f>SUMIFS('февраль 2025'!$G$4:$G$2441,'февраль 2025'!$D$4:$D$2441,$B135,'февраль 2025'!$J$4:$J$2441,T$1)</f>
        <v>0</v>
      </c>
      <c r="U135" s="183">
        <f>SUMIFS('февраль 2025'!$G$4:$G$2441,'февраль 2025'!$D$4:$D$2441,$B135,'февраль 2025'!$J$4:$J$2441,U$1)</f>
        <v>0</v>
      </c>
      <c r="V135" s="183">
        <f>SUMIFS('февраль 2025'!$G$4:$G$2441,'февраль 2025'!$D$4:$D$2441,$B135,'февраль 2025'!$J$4:$J$2441,V$1)</f>
        <v>0</v>
      </c>
      <c r="W135" s="183">
        <f>SUMIFS('февраль 2025'!$G$4:$G$2441,'февраль 2025'!$D$4:$D$2441,$B135,'февраль 2025'!$J$4:$J$2441,W$1)</f>
        <v>0</v>
      </c>
      <c r="X135" s="183">
        <f>SUMIFS('февраль 2025'!$G$4:$G$2441,'февраль 2025'!$D$4:$D$2441,$B135,'февраль 2025'!$J$4:$J$2441,X$1)</f>
        <v>0</v>
      </c>
      <c r="Y135" s="183">
        <f>SUMIFS('февраль 2025'!$G$4:$G$2441,'февраль 2025'!$D$4:$D$2441,$B135,'февраль 2025'!$J$4:$J$2441,Y$1)</f>
        <v>0</v>
      </c>
      <c r="Z135" s="183">
        <f>SUMIFS('февраль 2025'!$G$4:$G$2441,'февраль 2025'!$D$4:$D$2441,$B135,'февраль 2025'!$J$4:$J$2441,Z$1)</f>
        <v>0</v>
      </c>
      <c r="AA135" s="183">
        <f>SUMIFS('февраль 2025'!$G$4:$G$2441,'февраль 2025'!$D$4:$D$2441,$B135,'февраль 2025'!$J$4:$J$2441,AA$1)</f>
        <v>0</v>
      </c>
      <c r="AB135" s="183">
        <f>SUMIFS('февраль 2025'!$G$4:$G$2441,'февраль 2025'!$D$4:$D$2441,$B135,'февраль 2025'!$J$4:$J$2441,AB$1)</f>
        <v>0</v>
      </c>
      <c r="AC135" s="183">
        <f>SUMIFS('февраль 2025'!$G$4:$G$2441,'февраль 2025'!$D$4:$D$2441,$B135,'февраль 2025'!$J$4:$J$2441,AC$1)</f>
        <v>0</v>
      </c>
      <c r="AD135" s="183">
        <f>SUMIFS('февраль 2025'!$G$4:$G$2441,'февраль 2025'!$D$4:$D$2441,$B135,'февраль 2025'!$J$4:$J$2441,AD$1)</f>
        <v>0</v>
      </c>
      <c r="AE135" s="183">
        <f>SUMIFS('февраль 2025'!$G$4:$G$2441,'февраль 2025'!$D$4:$D$2441,$B135,'февраль 2025'!$J$4:$J$2441,AE$1)</f>
        <v>0</v>
      </c>
      <c r="AF135" s="183">
        <f>SUMIFS('февраль 2025'!$G$4:$G$2441,'февраль 2025'!$D$4:$D$2441,$B135,'февраль 2025'!$J$4:$J$2441,AF$1)</f>
        <v>0</v>
      </c>
      <c r="AG135" s="183">
        <f>SUMIFS('февраль 2025'!$G$4:$G$2441,'февраль 2025'!$D$4:$D$2441,$B135,'февраль 2025'!$J$4:$J$2441,AG$1)</f>
        <v>0</v>
      </c>
      <c r="AH135" s="183">
        <f>SUMIFS('февраль 2025'!$G$4:$G$2441,'февраль 2025'!$D$4:$D$2441,$B135,'февраль 2025'!$J$4:$J$2441,AH$1)</f>
        <v>0</v>
      </c>
      <c r="AI135" s="20">
        <f t="shared" si="1"/>
        <v>0</v>
      </c>
    </row>
    <row r="136" spans="2:35" ht="15" customHeight="1" x14ac:dyDescent="0.25">
      <c r="B136" s="88" t="s">
        <v>293</v>
      </c>
      <c r="C136" s="86">
        <v>180</v>
      </c>
      <c r="D136" s="183">
        <f>SUMIFS('февраль 2025'!$G$4:$G$2441,'февраль 2025'!$D$4:$D$2441,$B136,'февраль 2025'!$J$4:$J$2441,D$1)</f>
        <v>0</v>
      </c>
      <c r="E136" s="183">
        <f>SUMIFS('февраль 2025'!$G$4:$G$2441,'февраль 2025'!$D$4:$D$2441,$B136,'февраль 2025'!$J$4:$J$2441,E$1)</f>
        <v>0</v>
      </c>
      <c r="F136" s="183">
        <f>SUMIFS('февраль 2025'!$G$4:$G$2441,'февраль 2025'!$D$4:$D$2441,$B136,'февраль 2025'!$J$4:$J$2441,F$1)</f>
        <v>0</v>
      </c>
      <c r="G136" s="183">
        <f>SUMIFS('февраль 2025'!$G$4:$G$2441,'февраль 2025'!$D$4:$D$2441,$B136,'февраль 2025'!$J$4:$J$2441,G$1)</f>
        <v>0</v>
      </c>
      <c r="H136" s="183">
        <f>SUMIFS('февраль 2025'!$G$4:$G$2441,'февраль 2025'!$D$4:$D$2441,$B136,'февраль 2025'!$J$4:$J$2441,H$1)</f>
        <v>0</v>
      </c>
      <c r="I136" s="183">
        <f>SUMIFS('февраль 2025'!$G$4:$G$2441,'февраль 2025'!$D$4:$D$2441,$B136,'февраль 2025'!$J$4:$J$2441,I$1)</f>
        <v>0</v>
      </c>
      <c r="J136" s="183">
        <f>SUMIFS('февраль 2025'!$G$4:$G$2441,'февраль 2025'!$D$4:$D$2441,$B136,'февраль 2025'!$J$4:$J$2441,J$1)</f>
        <v>0</v>
      </c>
      <c r="K136" s="183">
        <f>SUMIFS('февраль 2025'!$G$4:$G$2441,'февраль 2025'!$D$4:$D$2441,$B136,'февраль 2025'!$J$4:$J$2441,K$1)</f>
        <v>0</v>
      </c>
      <c r="L136" s="183">
        <f>SUMIFS('февраль 2025'!$G$4:$G$2441,'февраль 2025'!$D$4:$D$2441,$B136,'февраль 2025'!$J$4:$J$2441,L$1)</f>
        <v>0</v>
      </c>
      <c r="M136" s="183">
        <f>SUMIFS('февраль 2025'!$G$4:$G$2441,'февраль 2025'!$D$4:$D$2441,$B136,'февраль 2025'!$J$4:$J$2441,M$1)</f>
        <v>0</v>
      </c>
      <c r="N136" s="183">
        <f>SUMIFS('февраль 2025'!$G$4:$G$2441,'февраль 2025'!$D$4:$D$2441,$B136,'февраль 2025'!$J$4:$J$2441,N$1)</f>
        <v>0</v>
      </c>
      <c r="O136" s="183">
        <f>SUMIFS('февраль 2025'!$G$4:$G$2441,'февраль 2025'!$D$4:$D$2441,$B136,'февраль 2025'!$J$4:$J$2441,O$1)</f>
        <v>0</v>
      </c>
      <c r="P136" s="183">
        <f>SUMIFS('февраль 2025'!$G$4:$G$2441,'февраль 2025'!$D$4:$D$2441,$B136,'февраль 2025'!$J$4:$J$2441,P$1)</f>
        <v>0</v>
      </c>
      <c r="Q136" s="183">
        <f>SUMIFS('февраль 2025'!$G$4:$G$2441,'февраль 2025'!$D$4:$D$2441,$B136,'февраль 2025'!$J$4:$J$2441,Q$1)</f>
        <v>0</v>
      </c>
      <c r="R136" s="183">
        <f>SUMIFS('февраль 2025'!$G$4:$G$2441,'февраль 2025'!$D$4:$D$2441,$B136,'февраль 2025'!$J$4:$J$2441,R$1)</f>
        <v>0</v>
      </c>
      <c r="S136" s="183">
        <f>SUMIFS('февраль 2025'!$G$4:$G$2441,'февраль 2025'!$D$4:$D$2441,$B136,'февраль 2025'!$J$4:$J$2441,S$1)</f>
        <v>0</v>
      </c>
      <c r="T136" s="183">
        <f>SUMIFS('февраль 2025'!$G$4:$G$2441,'февраль 2025'!$D$4:$D$2441,$B136,'февраль 2025'!$J$4:$J$2441,T$1)</f>
        <v>0</v>
      </c>
      <c r="U136" s="183">
        <f>SUMIFS('февраль 2025'!$G$4:$G$2441,'февраль 2025'!$D$4:$D$2441,$B136,'февраль 2025'!$J$4:$J$2441,U$1)</f>
        <v>0</v>
      </c>
      <c r="V136" s="183">
        <f>SUMIFS('февраль 2025'!$G$4:$G$2441,'февраль 2025'!$D$4:$D$2441,$B136,'февраль 2025'!$J$4:$J$2441,V$1)</f>
        <v>0</v>
      </c>
      <c r="W136" s="183">
        <f>SUMIFS('февраль 2025'!$G$4:$G$2441,'февраль 2025'!$D$4:$D$2441,$B136,'февраль 2025'!$J$4:$J$2441,W$1)</f>
        <v>0</v>
      </c>
      <c r="X136" s="183">
        <f>SUMIFS('февраль 2025'!$G$4:$G$2441,'февраль 2025'!$D$4:$D$2441,$B136,'февраль 2025'!$J$4:$J$2441,X$1)</f>
        <v>0</v>
      </c>
      <c r="Y136" s="183">
        <f>SUMIFS('февраль 2025'!$G$4:$G$2441,'февраль 2025'!$D$4:$D$2441,$B136,'февраль 2025'!$J$4:$J$2441,Y$1)</f>
        <v>0</v>
      </c>
      <c r="Z136" s="183">
        <f>SUMIFS('февраль 2025'!$G$4:$G$2441,'февраль 2025'!$D$4:$D$2441,$B136,'февраль 2025'!$J$4:$J$2441,Z$1)</f>
        <v>0</v>
      </c>
      <c r="AA136" s="183">
        <f>SUMIFS('февраль 2025'!$G$4:$G$2441,'февраль 2025'!$D$4:$D$2441,$B136,'февраль 2025'!$J$4:$J$2441,AA$1)</f>
        <v>0</v>
      </c>
      <c r="AB136" s="183">
        <f>SUMIFS('февраль 2025'!$G$4:$G$2441,'февраль 2025'!$D$4:$D$2441,$B136,'февраль 2025'!$J$4:$J$2441,AB$1)</f>
        <v>0</v>
      </c>
      <c r="AC136" s="183">
        <f>SUMIFS('февраль 2025'!$G$4:$G$2441,'февраль 2025'!$D$4:$D$2441,$B136,'февраль 2025'!$J$4:$J$2441,AC$1)</f>
        <v>0</v>
      </c>
      <c r="AD136" s="183">
        <f>SUMIFS('февраль 2025'!$G$4:$G$2441,'февраль 2025'!$D$4:$D$2441,$B136,'февраль 2025'!$J$4:$J$2441,AD$1)</f>
        <v>0</v>
      </c>
      <c r="AE136" s="183">
        <f>SUMIFS('февраль 2025'!$G$4:$G$2441,'февраль 2025'!$D$4:$D$2441,$B136,'февраль 2025'!$J$4:$J$2441,AE$1)</f>
        <v>88</v>
      </c>
      <c r="AF136" s="183">
        <f>SUMIFS('февраль 2025'!$G$4:$G$2441,'февраль 2025'!$D$4:$D$2441,$B136,'февраль 2025'!$J$4:$J$2441,AF$1)</f>
        <v>0</v>
      </c>
      <c r="AG136" s="183">
        <f>SUMIFS('февраль 2025'!$G$4:$G$2441,'февраль 2025'!$D$4:$D$2441,$B136,'февраль 2025'!$J$4:$J$2441,AG$1)</f>
        <v>0</v>
      </c>
      <c r="AH136" s="183">
        <f>SUMIFS('февраль 2025'!$G$4:$G$2441,'февраль 2025'!$D$4:$D$2441,$B136,'февраль 2025'!$J$4:$J$2441,AH$1)</f>
        <v>0</v>
      </c>
      <c r="AI136" s="20">
        <f t="shared" si="1"/>
        <v>88</v>
      </c>
    </row>
    <row r="137" spans="2:35" ht="15" customHeight="1" x14ac:dyDescent="0.25">
      <c r="B137" s="88" t="s">
        <v>181</v>
      </c>
      <c r="C137" s="86">
        <v>190</v>
      </c>
      <c r="D137" s="183">
        <f>SUMIFS('февраль 2025'!$G$4:$G$2441,'февраль 2025'!$D$4:$D$2441,$B137,'февраль 2025'!$J$4:$J$2441,D$1)</f>
        <v>0</v>
      </c>
      <c r="E137" s="183">
        <f>SUMIFS('февраль 2025'!$G$4:$G$2441,'февраль 2025'!$D$4:$D$2441,$B137,'февраль 2025'!$J$4:$J$2441,E$1)</f>
        <v>0</v>
      </c>
      <c r="F137" s="183">
        <f>SUMIFS('февраль 2025'!$G$4:$G$2441,'февраль 2025'!$D$4:$D$2441,$B137,'февраль 2025'!$J$4:$J$2441,F$1)</f>
        <v>0</v>
      </c>
      <c r="G137" s="183">
        <f>SUMIFS('февраль 2025'!$G$4:$G$2441,'февраль 2025'!$D$4:$D$2441,$B137,'февраль 2025'!$J$4:$J$2441,G$1)</f>
        <v>0</v>
      </c>
      <c r="H137" s="183">
        <f>SUMIFS('февраль 2025'!$G$4:$G$2441,'февраль 2025'!$D$4:$D$2441,$B137,'февраль 2025'!$J$4:$J$2441,H$1)</f>
        <v>0</v>
      </c>
      <c r="I137" s="183">
        <f>SUMIFS('февраль 2025'!$G$4:$G$2441,'февраль 2025'!$D$4:$D$2441,$B137,'февраль 2025'!$J$4:$J$2441,I$1)</f>
        <v>0</v>
      </c>
      <c r="J137" s="183">
        <f>SUMIFS('февраль 2025'!$G$4:$G$2441,'февраль 2025'!$D$4:$D$2441,$B137,'февраль 2025'!$J$4:$J$2441,J$1)</f>
        <v>0</v>
      </c>
      <c r="K137" s="183">
        <f>SUMIFS('февраль 2025'!$G$4:$G$2441,'февраль 2025'!$D$4:$D$2441,$B137,'февраль 2025'!$J$4:$J$2441,K$1)</f>
        <v>0</v>
      </c>
      <c r="L137" s="183">
        <f>SUMIFS('февраль 2025'!$G$4:$G$2441,'февраль 2025'!$D$4:$D$2441,$B137,'февраль 2025'!$J$4:$J$2441,L$1)</f>
        <v>0</v>
      </c>
      <c r="M137" s="183">
        <f>SUMIFS('февраль 2025'!$G$4:$G$2441,'февраль 2025'!$D$4:$D$2441,$B137,'февраль 2025'!$J$4:$J$2441,M$1)</f>
        <v>0</v>
      </c>
      <c r="N137" s="183">
        <f>SUMIFS('февраль 2025'!$G$4:$G$2441,'февраль 2025'!$D$4:$D$2441,$B137,'февраль 2025'!$J$4:$J$2441,N$1)</f>
        <v>0</v>
      </c>
      <c r="O137" s="183">
        <f>SUMIFS('февраль 2025'!$G$4:$G$2441,'февраль 2025'!$D$4:$D$2441,$B137,'февраль 2025'!$J$4:$J$2441,O$1)</f>
        <v>0</v>
      </c>
      <c r="P137" s="183">
        <f>SUMIFS('февраль 2025'!$G$4:$G$2441,'февраль 2025'!$D$4:$D$2441,$B137,'февраль 2025'!$J$4:$J$2441,P$1)</f>
        <v>0</v>
      </c>
      <c r="Q137" s="183">
        <f>SUMIFS('февраль 2025'!$G$4:$G$2441,'февраль 2025'!$D$4:$D$2441,$B137,'февраль 2025'!$J$4:$J$2441,Q$1)</f>
        <v>0</v>
      </c>
      <c r="R137" s="183">
        <f>SUMIFS('февраль 2025'!$G$4:$G$2441,'февраль 2025'!$D$4:$D$2441,$B137,'февраль 2025'!$J$4:$J$2441,R$1)</f>
        <v>0</v>
      </c>
      <c r="S137" s="183">
        <f>SUMIFS('февраль 2025'!$G$4:$G$2441,'февраль 2025'!$D$4:$D$2441,$B137,'февраль 2025'!$J$4:$J$2441,S$1)</f>
        <v>0</v>
      </c>
      <c r="T137" s="183">
        <f>SUMIFS('февраль 2025'!$G$4:$G$2441,'февраль 2025'!$D$4:$D$2441,$B137,'февраль 2025'!$J$4:$J$2441,T$1)</f>
        <v>0</v>
      </c>
      <c r="U137" s="183">
        <f>SUMIFS('февраль 2025'!$G$4:$G$2441,'февраль 2025'!$D$4:$D$2441,$B137,'февраль 2025'!$J$4:$J$2441,U$1)</f>
        <v>0</v>
      </c>
      <c r="V137" s="183">
        <f>SUMIFS('февраль 2025'!$G$4:$G$2441,'февраль 2025'!$D$4:$D$2441,$B137,'февраль 2025'!$J$4:$J$2441,V$1)</f>
        <v>0</v>
      </c>
      <c r="W137" s="183">
        <f>SUMIFS('февраль 2025'!$G$4:$G$2441,'февраль 2025'!$D$4:$D$2441,$B137,'февраль 2025'!$J$4:$J$2441,W$1)</f>
        <v>0</v>
      </c>
      <c r="X137" s="183">
        <f>SUMIFS('февраль 2025'!$G$4:$G$2441,'февраль 2025'!$D$4:$D$2441,$B137,'февраль 2025'!$J$4:$J$2441,X$1)</f>
        <v>0</v>
      </c>
      <c r="Y137" s="183">
        <f>SUMIFS('февраль 2025'!$G$4:$G$2441,'февраль 2025'!$D$4:$D$2441,$B137,'февраль 2025'!$J$4:$J$2441,Y$1)</f>
        <v>0</v>
      </c>
      <c r="Z137" s="183">
        <f>SUMIFS('февраль 2025'!$G$4:$G$2441,'февраль 2025'!$D$4:$D$2441,$B137,'февраль 2025'!$J$4:$J$2441,Z$1)</f>
        <v>0</v>
      </c>
      <c r="AA137" s="183">
        <f>SUMIFS('февраль 2025'!$G$4:$G$2441,'февраль 2025'!$D$4:$D$2441,$B137,'февраль 2025'!$J$4:$J$2441,AA$1)</f>
        <v>0</v>
      </c>
      <c r="AB137" s="183">
        <f>SUMIFS('февраль 2025'!$G$4:$G$2441,'февраль 2025'!$D$4:$D$2441,$B137,'февраль 2025'!$J$4:$J$2441,AB$1)</f>
        <v>0</v>
      </c>
      <c r="AC137" s="183">
        <f>SUMIFS('февраль 2025'!$G$4:$G$2441,'февраль 2025'!$D$4:$D$2441,$B137,'февраль 2025'!$J$4:$J$2441,AC$1)</f>
        <v>0</v>
      </c>
      <c r="AD137" s="183">
        <f>SUMIFS('февраль 2025'!$G$4:$G$2441,'февраль 2025'!$D$4:$D$2441,$B137,'февраль 2025'!$J$4:$J$2441,AD$1)</f>
        <v>0</v>
      </c>
      <c r="AE137" s="183">
        <f>SUMIFS('февраль 2025'!$G$4:$G$2441,'февраль 2025'!$D$4:$D$2441,$B137,'февраль 2025'!$J$4:$J$2441,AE$1)</f>
        <v>0</v>
      </c>
      <c r="AF137" s="183">
        <f>SUMIFS('февраль 2025'!$G$4:$G$2441,'февраль 2025'!$D$4:$D$2441,$B137,'февраль 2025'!$J$4:$J$2441,AF$1)</f>
        <v>0</v>
      </c>
      <c r="AG137" s="183">
        <f>SUMIFS('февраль 2025'!$G$4:$G$2441,'февраль 2025'!$D$4:$D$2441,$B137,'февраль 2025'!$J$4:$J$2441,AG$1)</f>
        <v>0</v>
      </c>
      <c r="AH137" s="183">
        <f>SUMIFS('февраль 2025'!$G$4:$G$2441,'февраль 2025'!$D$4:$D$2441,$B137,'февраль 2025'!$J$4:$J$2441,AH$1)</f>
        <v>0</v>
      </c>
      <c r="AI137" s="20">
        <f t="shared" si="1"/>
        <v>0</v>
      </c>
    </row>
    <row r="138" spans="2:35" ht="15" customHeight="1" x14ac:dyDescent="0.25">
      <c r="B138" s="88" t="s">
        <v>270</v>
      </c>
      <c r="C138" s="86">
        <v>190</v>
      </c>
      <c r="D138" s="183">
        <f>SUMIFS('февраль 2025'!$G$4:$G$2441,'февраль 2025'!$D$4:$D$2441,$B138,'февраль 2025'!$J$4:$J$2441,D$1)</f>
        <v>0</v>
      </c>
      <c r="E138" s="183">
        <f>SUMIFS('февраль 2025'!$G$4:$G$2441,'февраль 2025'!$D$4:$D$2441,$B138,'февраль 2025'!$J$4:$J$2441,E$1)</f>
        <v>0</v>
      </c>
      <c r="F138" s="183">
        <f>SUMIFS('февраль 2025'!$G$4:$G$2441,'февраль 2025'!$D$4:$D$2441,$B138,'февраль 2025'!$J$4:$J$2441,F$1)</f>
        <v>0</v>
      </c>
      <c r="G138" s="183">
        <f>SUMIFS('февраль 2025'!$G$4:$G$2441,'февраль 2025'!$D$4:$D$2441,$B138,'февраль 2025'!$J$4:$J$2441,G$1)</f>
        <v>0</v>
      </c>
      <c r="H138" s="183">
        <f>SUMIFS('февраль 2025'!$G$4:$G$2441,'февраль 2025'!$D$4:$D$2441,$B138,'февраль 2025'!$J$4:$J$2441,H$1)</f>
        <v>0</v>
      </c>
      <c r="I138" s="183">
        <f>SUMIFS('февраль 2025'!$G$4:$G$2441,'февраль 2025'!$D$4:$D$2441,$B138,'февраль 2025'!$J$4:$J$2441,I$1)</f>
        <v>0</v>
      </c>
      <c r="J138" s="183">
        <f>SUMIFS('февраль 2025'!$G$4:$G$2441,'февраль 2025'!$D$4:$D$2441,$B138,'февраль 2025'!$J$4:$J$2441,J$1)</f>
        <v>0</v>
      </c>
      <c r="K138" s="183">
        <f>SUMIFS('февраль 2025'!$G$4:$G$2441,'февраль 2025'!$D$4:$D$2441,$B138,'февраль 2025'!$J$4:$J$2441,K$1)</f>
        <v>0</v>
      </c>
      <c r="L138" s="183">
        <f>SUMIFS('февраль 2025'!$G$4:$G$2441,'февраль 2025'!$D$4:$D$2441,$B138,'февраль 2025'!$J$4:$J$2441,L$1)</f>
        <v>0</v>
      </c>
      <c r="M138" s="183">
        <f>SUMIFS('февраль 2025'!$G$4:$G$2441,'февраль 2025'!$D$4:$D$2441,$B138,'февраль 2025'!$J$4:$J$2441,M$1)</f>
        <v>0</v>
      </c>
      <c r="N138" s="183">
        <f>SUMIFS('февраль 2025'!$G$4:$G$2441,'февраль 2025'!$D$4:$D$2441,$B138,'февраль 2025'!$J$4:$J$2441,N$1)</f>
        <v>0</v>
      </c>
      <c r="O138" s="183">
        <f>SUMIFS('февраль 2025'!$G$4:$G$2441,'февраль 2025'!$D$4:$D$2441,$B138,'февраль 2025'!$J$4:$J$2441,O$1)</f>
        <v>0</v>
      </c>
      <c r="P138" s="183">
        <f>SUMIFS('февраль 2025'!$G$4:$G$2441,'февраль 2025'!$D$4:$D$2441,$B138,'февраль 2025'!$J$4:$J$2441,P$1)</f>
        <v>0</v>
      </c>
      <c r="Q138" s="183">
        <f>SUMIFS('февраль 2025'!$G$4:$G$2441,'февраль 2025'!$D$4:$D$2441,$B138,'февраль 2025'!$J$4:$J$2441,Q$1)</f>
        <v>0</v>
      </c>
      <c r="R138" s="183">
        <f>SUMIFS('февраль 2025'!$G$4:$G$2441,'февраль 2025'!$D$4:$D$2441,$B138,'февраль 2025'!$J$4:$J$2441,R$1)</f>
        <v>0</v>
      </c>
      <c r="S138" s="183">
        <f>SUMIFS('февраль 2025'!$G$4:$G$2441,'февраль 2025'!$D$4:$D$2441,$B138,'февраль 2025'!$J$4:$J$2441,S$1)</f>
        <v>0</v>
      </c>
      <c r="T138" s="183">
        <f>SUMIFS('февраль 2025'!$G$4:$G$2441,'февраль 2025'!$D$4:$D$2441,$B138,'февраль 2025'!$J$4:$J$2441,T$1)</f>
        <v>0</v>
      </c>
      <c r="U138" s="183">
        <f>SUMIFS('февраль 2025'!$G$4:$G$2441,'февраль 2025'!$D$4:$D$2441,$B138,'февраль 2025'!$J$4:$J$2441,U$1)</f>
        <v>0</v>
      </c>
      <c r="V138" s="183">
        <f>SUMIFS('февраль 2025'!$G$4:$G$2441,'февраль 2025'!$D$4:$D$2441,$B138,'февраль 2025'!$J$4:$J$2441,V$1)</f>
        <v>0</v>
      </c>
      <c r="W138" s="183">
        <f>SUMIFS('февраль 2025'!$G$4:$G$2441,'февраль 2025'!$D$4:$D$2441,$B138,'февраль 2025'!$J$4:$J$2441,W$1)</f>
        <v>0</v>
      </c>
      <c r="X138" s="183">
        <f>SUMIFS('февраль 2025'!$G$4:$G$2441,'февраль 2025'!$D$4:$D$2441,$B138,'февраль 2025'!$J$4:$J$2441,X$1)</f>
        <v>0</v>
      </c>
      <c r="Y138" s="183">
        <f>SUMIFS('февраль 2025'!$G$4:$G$2441,'февраль 2025'!$D$4:$D$2441,$B138,'февраль 2025'!$J$4:$J$2441,Y$1)</f>
        <v>0</v>
      </c>
      <c r="Z138" s="183">
        <f>SUMIFS('февраль 2025'!$G$4:$G$2441,'февраль 2025'!$D$4:$D$2441,$B138,'февраль 2025'!$J$4:$J$2441,Z$1)</f>
        <v>0</v>
      </c>
      <c r="AA138" s="183">
        <f>SUMIFS('февраль 2025'!$G$4:$G$2441,'февраль 2025'!$D$4:$D$2441,$B138,'февраль 2025'!$J$4:$J$2441,AA$1)</f>
        <v>0</v>
      </c>
      <c r="AB138" s="183">
        <f>SUMIFS('февраль 2025'!$G$4:$G$2441,'февраль 2025'!$D$4:$D$2441,$B138,'февраль 2025'!$J$4:$J$2441,AB$1)</f>
        <v>0</v>
      </c>
      <c r="AC138" s="183">
        <f>SUMIFS('февраль 2025'!$G$4:$G$2441,'февраль 2025'!$D$4:$D$2441,$B138,'февраль 2025'!$J$4:$J$2441,AC$1)</f>
        <v>0</v>
      </c>
      <c r="AD138" s="183">
        <f>SUMIFS('февраль 2025'!$G$4:$G$2441,'февраль 2025'!$D$4:$D$2441,$B138,'февраль 2025'!$J$4:$J$2441,AD$1)</f>
        <v>0</v>
      </c>
      <c r="AE138" s="183">
        <f>SUMIFS('февраль 2025'!$G$4:$G$2441,'февраль 2025'!$D$4:$D$2441,$B138,'февраль 2025'!$J$4:$J$2441,AE$1)</f>
        <v>0</v>
      </c>
      <c r="AF138" s="183">
        <f>SUMIFS('февраль 2025'!$G$4:$G$2441,'февраль 2025'!$D$4:$D$2441,$B138,'февраль 2025'!$J$4:$J$2441,AF$1)</f>
        <v>0</v>
      </c>
      <c r="AG138" s="183">
        <f>SUMIFS('февраль 2025'!$G$4:$G$2441,'февраль 2025'!$D$4:$D$2441,$B138,'февраль 2025'!$J$4:$J$2441,AG$1)</f>
        <v>0</v>
      </c>
      <c r="AH138" s="183">
        <f>SUMIFS('февраль 2025'!$G$4:$G$2441,'февраль 2025'!$D$4:$D$2441,$B138,'февраль 2025'!$J$4:$J$2441,AH$1)</f>
        <v>0</v>
      </c>
      <c r="AI138" s="20">
        <f t="shared" si="1"/>
        <v>0</v>
      </c>
    </row>
    <row r="139" spans="2:35" ht="16.899999999999999" customHeight="1" x14ac:dyDescent="0.25">
      <c r="B139" s="84" t="s">
        <v>271</v>
      </c>
      <c r="C139" s="83">
        <v>200</v>
      </c>
      <c r="D139" s="183">
        <f>SUMIFS('февраль 2025'!$G$4:$G$2441,'февраль 2025'!$D$4:$D$2441,$B139,'февраль 2025'!$J$4:$J$2441,D$1)</f>
        <v>0</v>
      </c>
      <c r="E139" s="183">
        <f>SUMIFS('февраль 2025'!$G$4:$G$2441,'февраль 2025'!$D$4:$D$2441,$B139,'февраль 2025'!$J$4:$J$2441,E$1)</f>
        <v>0</v>
      </c>
      <c r="F139" s="183">
        <f>SUMIFS('февраль 2025'!$G$4:$G$2441,'февраль 2025'!$D$4:$D$2441,$B139,'февраль 2025'!$J$4:$J$2441,F$1)</f>
        <v>0</v>
      </c>
      <c r="G139" s="183">
        <f>SUMIFS('февраль 2025'!$G$4:$G$2441,'февраль 2025'!$D$4:$D$2441,$B139,'февраль 2025'!$J$4:$J$2441,G$1)</f>
        <v>0</v>
      </c>
      <c r="H139" s="183">
        <f>SUMIFS('февраль 2025'!$G$4:$G$2441,'февраль 2025'!$D$4:$D$2441,$B139,'февраль 2025'!$J$4:$J$2441,H$1)</f>
        <v>0</v>
      </c>
      <c r="I139" s="183">
        <f>SUMIFS('февраль 2025'!$G$4:$G$2441,'февраль 2025'!$D$4:$D$2441,$B139,'февраль 2025'!$J$4:$J$2441,I$1)</f>
        <v>0</v>
      </c>
      <c r="J139" s="183">
        <f>SUMIFS('февраль 2025'!$G$4:$G$2441,'февраль 2025'!$D$4:$D$2441,$B139,'февраль 2025'!$J$4:$J$2441,J$1)</f>
        <v>0</v>
      </c>
      <c r="K139" s="183">
        <f>SUMIFS('февраль 2025'!$G$4:$G$2441,'февраль 2025'!$D$4:$D$2441,$B139,'февраль 2025'!$J$4:$J$2441,K$1)</f>
        <v>0</v>
      </c>
      <c r="L139" s="183">
        <f>SUMIFS('февраль 2025'!$G$4:$G$2441,'февраль 2025'!$D$4:$D$2441,$B139,'февраль 2025'!$J$4:$J$2441,L$1)</f>
        <v>0</v>
      </c>
      <c r="M139" s="183">
        <f>SUMIFS('февраль 2025'!$G$4:$G$2441,'февраль 2025'!$D$4:$D$2441,$B139,'февраль 2025'!$J$4:$J$2441,M$1)</f>
        <v>0</v>
      </c>
      <c r="N139" s="183">
        <f>SUMIFS('февраль 2025'!$G$4:$G$2441,'февраль 2025'!$D$4:$D$2441,$B139,'февраль 2025'!$J$4:$J$2441,N$1)</f>
        <v>0</v>
      </c>
      <c r="O139" s="183">
        <f>SUMIFS('февраль 2025'!$G$4:$G$2441,'февраль 2025'!$D$4:$D$2441,$B139,'февраль 2025'!$J$4:$J$2441,O$1)</f>
        <v>0</v>
      </c>
      <c r="P139" s="183">
        <f>SUMIFS('февраль 2025'!$G$4:$G$2441,'февраль 2025'!$D$4:$D$2441,$B139,'февраль 2025'!$J$4:$J$2441,P$1)</f>
        <v>0</v>
      </c>
      <c r="Q139" s="183">
        <f>SUMIFS('февраль 2025'!$G$4:$G$2441,'февраль 2025'!$D$4:$D$2441,$B139,'февраль 2025'!$J$4:$J$2441,Q$1)</f>
        <v>0</v>
      </c>
      <c r="R139" s="183">
        <f>SUMIFS('февраль 2025'!$G$4:$G$2441,'февраль 2025'!$D$4:$D$2441,$B139,'февраль 2025'!$J$4:$J$2441,R$1)</f>
        <v>0</v>
      </c>
      <c r="S139" s="183">
        <f>SUMIFS('февраль 2025'!$G$4:$G$2441,'февраль 2025'!$D$4:$D$2441,$B139,'февраль 2025'!$J$4:$J$2441,S$1)</f>
        <v>0</v>
      </c>
      <c r="T139" s="183">
        <f>SUMIFS('февраль 2025'!$G$4:$G$2441,'февраль 2025'!$D$4:$D$2441,$B139,'февраль 2025'!$J$4:$J$2441,T$1)</f>
        <v>0</v>
      </c>
      <c r="U139" s="183">
        <f>SUMIFS('февраль 2025'!$G$4:$G$2441,'февраль 2025'!$D$4:$D$2441,$B139,'февраль 2025'!$J$4:$J$2441,U$1)</f>
        <v>0</v>
      </c>
      <c r="V139" s="183">
        <f>SUMIFS('февраль 2025'!$G$4:$G$2441,'февраль 2025'!$D$4:$D$2441,$B139,'февраль 2025'!$J$4:$J$2441,V$1)</f>
        <v>0</v>
      </c>
      <c r="W139" s="183">
        <f>SUMIFS('февраль 2025'!$G$4:$G$2441,'февраль 2025'!$D$4:$D$2441,$B139,'февраль 2025'!$J$4:$J$2441,W$1)</f>
        <v>0</v>
      </c>
      <c r="X139" s="183">
        <f>SUMIFS('февраль 2025'!$G$4:$G$2441,'февраль 2025'!$D$4:$D$2441,$B139,'февраль 2025'!$J$4:$J$2441,X$1)</f>
        <v>0</v>
      </c>
      <c r="Y139" s="183">
        <f>SUMIFS('февраль 2025'!$G$4:$G$2441,'февраль 2025'!$D$4:$D$2441,$B139,'февраль 2025'!$J$4:$J$2441,Y$1)</f>
        <v>0</v>
      </c>
      <c r="Z139" s="183">
        <f>SUMIFS('февраль 2025'!$G$4:$G$2441,'февраль 2025'!$D$4:$D$2441,$B139,'февраль 2025'!$J$4:$J$2441,Z$1)</f>
        <v>0</v>
      </c>
      <c r="AA139" s="183">
        <f>SUMIFS('февраль 2025'!$G$4:$G$2441,'февраль 2025'!$D$4:$D$2441,$B139,'февраль 2025'!$J$4:$J$2441,AA$1)</f>
        <v>0</v>
      </c>
      <c r="AB139" s="183">
        <f>SUMIFS('февраль 2025'!$G$4:$G$2441,'февраль 2025'!$D$4:$D$2441,$B139,'февраль 2025'!$J$4:$J$2441,AB$1)</f>
        <v>0</v>
      </c>
      <c r="AC139" s="183">
        <f>SUMIFS('февраль 2025'!$G$4:$G$2441,'февраль 2025'!$D$4:$D$2441,$B139,'февраль 2025'!$J$4:$J$2441,AC$1)</f>
        <v>0</v>
      </c>
      <c r="AD139" s="183">
        <f>SUMIFS('февраль 2025'!$G$4:$G$2441,'февраль 2025'!$D$4:$D$2441,$B139,'февраль 2025'!$J$4:$J$2441,AD$1)</f>
        <v>0</v>
      </c>
      <c r="AE139" s="183">
        <f>SUMIFS('февраль 2025'!$G$4:$G$2441,'февраль 2025'!$D$4:$D$2441,$B139,'февраль 2025'!$J$4:$J$2441,AE$1)</f>
        <v>0</v>
      </c>
      <c r="AF139" s="183">
        <f>SUMIFS('февраль 2025'!$G$4:$G$2441,'февраль 2025'!$D$4:$D$2441,$B139,'февраль 2025'!$J$4:$J$2441,AF$1)</f>
        <v>0</v>
      </c>
      <c r="AG139" s="183">
        <f>SUMIFS('февраль 2025'!$G$4:$G$2441,'февраль 2025'!$D$4:$D$2441,$B139,'февраль 2025'!$J$4:$J$2441,AG$1)</f>
        <v>0</v>
      </c>
      <c r="AH139" s="183">
        <f>SUMIFS('февраль 2025'!$G$4:$G$2441,'февраль 2025'!$D$4:$D$2441,$B139,'февраль 2025'!$J$4:$J$2441,AH$1)</f>
        <v>0</v>
      </c>
      <c r="AI139" s="20">
        <f t="shared" si="1"/>
        <v>0</v>
      </c>
    </row>
    <row r="140" spans="2:35" ht="16.899999999999999" customHeight="1" x14ac:dyDescent="0.25">
      <c r="B140" s="84" t="s">
        <v>276</v>
      </c>
      <c r="C140" s="83">
        <v>200</v>
      </c>
      <c r="D140" s="183">
        <f>SUMIFS('февраль 2025'!$G$4:$G$2441,'февраль 2025'!$D$4:$D$2441,$B140,'февраль 2025'!$J$4:$J$2441,D$1)</f>
        <v>0</v>
      </c>
      <c r="E140" s="183">
        <f>SUMIFS('февраль 2025'!$G$4:$G$2441,'февраль 2025'!$D$4:$D$2441,$B140,'февраль 2025'!$J$4:$J$2441,E$1)</f>
        <v>0</v>
      </c>
      <c r="F140" s="183">
        <f>SUMIFS('февраль 2025'!$G$4:$G$2441,'февраль 2025'!$D$4:$D$2441,$B140,'февраль 2025'!$J$4:$J$2441,F$1)</f>
        <v>0</v>
      </c>
      <c r="G140" s="183">
        <f>SUMIFS('февраль 2025'!$G$4:$G$2441,'февраль 2025'!$D$4:$D$2441,$B140,'февраль 2025'!$J$4:$J$2441,G$1)</f>
        <v>0</v>
      </c>
      <c r="H140" s="183">
        <f>SUMIFS('февраль 2025'!$G$4:$G$2441,'февраль 2025'!$D$4:$D$2441,$B140,'февраль 2025'!$J$4:$J$2441,H$1)</f>
        <v>0</v>
      </c>
      <c r="I140" s="183">
        <f>SUMIFS('февраль 2025'!$G$4:$G$2441,'февраль 2025'!$D$4:$D$2441,$B140,'февраль 2025'!$J$4:$J$2441,I$1)</f>
        <v>0</v>
      </c>
      <c r="J140" s="183">
        <f>SUMIFS('февраль 2025'!$G$4:$G$2441,'февраль 2025'!$D$4:$D$2441,$B140,'февраль 2025'!$J$4:$J$2441,J$1)</f>
        <v>0</v>
      </c>
      <c r="K140" s="183">
        <f>SUMIFS('февраль 2025'!$G$4:$G$2441,'февраль 2025'!$D$4:$D$2441,$B140,'февраль 2025'!$J$4:$J$2441,K$1)</f>
        <v>0</v>
      </c>
      <c r="L140" s="183">
        <f>SUMIFS('февраль 2025'!$G$4:$G$2441,'февраль 2025'!$D$4:$D$2441,$B140,'февраль 2025'!$J$4:$J$2441,L$1)</f>
        <v>0</v>
      </c>
      <c r="M140" s="183">
        <f>SUMIFS('февраль 2025'!$G$4:$G$2441,'февраль 2025'!$D$4:$D$2441,$B140,'февраль 2025'!$J$4:$J$2441,M$1)</f>
        <v>0</v>
      </c>
      <c r="N140" s="183">
        <f>SUMIFS('февраль 2025'!$G$4:$G$2441,'февраль 2025'!$D$4:$D$2441,$B140,'февраль 2025'!$J$4:$J$2441,N$1)</f>
        <v>0</v>
      </c>
      <c r="O140" s="183">
        <f>SUMIFS('февраль 2025'!$G$4:$G$2441,'февраль 2025'!$D$4:$D$2441,$B140,'февраль 2025'!$J$4:$J$2441,O$1)</f>
        <v>0</v>
      </c>
      <c r="P140" s="183">
        <f>SUMIFS('февраль 2025'!$G$4:$G$2441,'февраль 2025'!$D$4:$D$2441,$B140,'февраль 2025'!$J$4:$J$2441,P$1)</f>
        <v>0</v>
      </c>
      <c r="Q140" s="183">
        <f>SUMIFS('февраль 2025'!$G$4:$G$2441,'февраль 2025'!$D$4:$D$2441,$B140,'февраль 2025'!$J$4:$J$2441,Q$1)</f>
        <v>0</v>
      </c>
      <c r="R140" s="183">
        <f>SUMIFS('февраль 2025'!$G$4:$G$2441,'февраль 2025'!$D$4:$D$2441,$B140,'февраль 2025'!$J$4:$J$2441,R$1)</f>
        <v>0</v>
      </c>
      <c r="S140" s="183">
        <f>SUMIFS('февраль 2025'!$G$4:$G$2441,'февраль 2025'!$D$4:$D$2441,$B140,'февраль 2025'!$J$4:$J$2441,S$1)</f>
        <v>0</v>
      </c>
      <c r="T140" s="183">
        <f>SUMIFS('февраль 2025'!$G$4:$G$2441,'февраль 2025'!$D$4:$D$2441,$B140,'февраль 2025'!$J$4:$J$2441,T$1)</f>
        <v>0</v>
      </c>
      <c r="U140" s="183">
        <f>SUMIFS('февраль 2025'!$G$4:$G$2441,'февраль 2025'!$D$4:$D$2441,$B140,'февраль 2025'!$J$4:$J$2441,U$1)</f>
        <v>0</v>
      </c>
      <c r="V140" s="183">
        <f>SUMIFS('февраль 2025'!$G$4:$G$2441,'февраль 2025'!$D$4:$D$2441,$B140,'февраль 2025'!$J$4:$J$2441,V$1)</f>
        <v>0</v>
      </c>
      <c r="W140" s="183">
        <f>SUMIFS('февраль 2025'!$G$4:$G$2441,'февраль 2025'!$D$4:$D$2441,$B140,'февраль 2025'!$J$4:$J$2441,W$1)</f>
        <v>0</v>
      </c>
      <c r="X140" s="183">
        <f>SUMIFS('февраль 2025'!$G$4:$G$2441,'февраль 2025'!$D$4:$D$2441,$B140,'февраль 2025'!$J$4:$J$2441,X$1)</f>
        <v>0</v>
      </c>
      <c r="Y140" s="183">
        <f>SUMIFS('февраль 2025'!$G$4:$G$2441,'февраль 2025'!$D$4:$D$2441,$B140,'февраль 2025'!$J$4:$J$2441,Y$1)</f>
        <v>0</v>
      </c>
      <c r="Z140" s="183">
        <f>SUMIFS('февраль 2025'!$G$4:$G$2441,'февраль 2025'!$D$4:$D$2441,$B140,'февраль 2025'!$J$4:$J$2441,Z$1)</f>
        <v>0</v>
      </c>
      <c r="AA140" s="183">
        <f>SUMIFS('февраль 2025'!$G$4:$G$2441,'февраль 2025'!$D$4:$D$2441,$B140,'февраль 2025'!$J$4:$J$2441,AA$1)</f>
        <v>0</v>
      </c>
      <c r="AB140" s="183">
        <f>SUMIFS('февраль 2025'!$G$4:$G$2441,'февраль 2025'!$D$4:$D$2441,$B140,'февраль 2025'!$J$4:$J$2441,AB$1)</f>
        <v>0</v>
      </c>
      <c r="AC140" s="183">
        <f>SUMIFS('февраль 2025'!$G$4:$G$2441,'февраль 2025'!$D$4:$D$2441,$B140,'февраль 2025'!$J$4:$J$2441,AC$1)</f>
        <v>0</v>
      </c>
      <c r="AD140" s="183">
        <f>SUMIFS('февраль 2025'!$G$4:$G$2441,'февраль 2025'!$D$4:$D$2441,$B140,'февраль 2025'!$J$4:$J$2441,AD$1)</f>
        <v>0</v>
      </c>
      <c r="AE140" s="183">
        <f>SUMIFS('февраль 2025'!$G$4:$G$2441,'февраль 2025'!$D$4:$D$2441,$B140,'февраль 2025'!$J$4:$J$2441,AE$1)</f>
        <v>0</v>
      </c>
      <c r="AF140" s="183">
        <f>SUMIFS('февраль 2025'!$G$4:$G$2441,'февраль 2025'!$D$4:$D$2441,$B140,'февраль 2025'!$J$4:$J$2441,AF$1)</f>
        <v>0</v>
      </c>
      <c r="AG140" s="183">
        <f>SUMIFS('февраль 2025'!$G$4:$G$2441,'февраль 2025'!$D$4:$D$2441,$B140,'февраль 2025'!$J$4:$J$2441,AG$1)</f>
        <v>0</v>
      </c>
      <c r="AH140" s="183">
        <f>SUMIFS('февраль 2025'!$G$4:$G$2441,'февраль 2025'!$D$4:$D$2441,$B140,'февраль 2025'!$J$4:$J$2441,AH$1)</f>
        <v>0</v>
      </c>
      <c r="AI140" s="20">
        <f t="shared" si="1"/>
        <v>0</v>
      </c>
    </row>
    <row r="141" spans="2:35" ht="16.899999999999999" customHeight="1" x14ac:dyDescent="0.25">
      <c r="B141" s="84" t="s">
        <v>272</v>
      </c>
      <c r="C141" s="83">
        <v>200</v>
      </c>
      <c r="D141" s="183">
        <f>SUMIFS('февраль 2025'!$G$4:$G$2441,'февраль 2025'!$D$4:$D$2441,$B141,'февраль 2025'!$J$4:$J$2441,D$1)</f>
        <v>0</v>
      </c>
      <c r="E141" s="183">
        <f>SUMIFS('февраль 2025'!$G$4:$G$2441,'февраль 2025'!$D$4:$D$2441,$B141,'февраль 2025'!$J$4:$J$2441,E$1)</f>
        <v>0</v>
      </c>
      <c r="F141" s="183">
        <f>SUMIFS('февраль 2025'!$G$4:$G$2441,'февраль 2025'!$D$4:$D$2441,$B141,'февраль 2025'!$J$4:$J$2441,F$1)</f>
        <v>0</v>
      </c>
      <c r="G141" s="183">
        <f>SUMIFS('февраль 2025'!$G$4:$G$2441,'февраль 2025'!$D$4:$D$2441,$B141,'февраль 2025'!$J$4:$J$2441,G$1)</f>
        <v>0</v>
      </c>
      <c r="H141" s="183">
        <f>SUMIFS('февраль 2025'!$G$4:$G$2441,'февраль 2025'!$D$4:$D$2441,$B141,'февраль 2025'!$J$4:$J$2441,H$1)</f>
        <v>0</v>
      </c>
      <c r="I141" s="183">
        <f>SUMIFS('февраль 2025'!$G$4:$G$2441,'февраль 2025'!$D$4:$D$2441,$B141,'февраль 2025'!$J$4:$J$2441,I$1)</f>
        <v>0</v>
      </c>
      <c r="J141" s="183">
        <f>SUMIFS('февраль 2025'!$G$4:$G$2441,'февраль 2025'!$D$4:$D$2441,$B141,'февраль 2025'!$J$4:$J$2441,J$1)</f>
        <v>0</v>
      </c>
      <c r="K141" s="183">
        <f>SUMIFS('февраль 2025'!$G$4:$G$2441,'февраль 2025'!$D$4:$D$2441,$B141,'февраль 2025'!$J$4:$J$2441,K$1)</f>
        <v>0</v>
      </c>
      <c r="L141" s="183">
        <f>SUMIFS('февраль 2025'!$G$4:$G$2441,'февраль 2025'!$D$4:$D$2441,$B141,'февраль 2025'!$J$4:$J$2441,L$1)</f>
        <v>0</v>
      </c>
      <c r="M141" s="183">
        <f>SUMIFS('февраль 2025'!$G$4:$G$2441,'февраль 2025'!$D$4:$D$2441,$B141,'февраль 2025'!$J$4:$J$2441,M$1)</f>
        <v>0</v>
      </c>
      <c r="N141" s="183">
        <f>SUMIFS('февраль 2025'!$G$4:$G$2441,'февраль 2025'!$D$4:$D$2441,$B141,'февраль 2025'!$J$4:$J$2441,N$1)</f>
        <v>0</v>
      </c>
      <c r="O141" s="183">
        <f>SUMIFS('февраль 2025'!$G$4:$G$2441,'февраль 2025'!$D$4:$D$2441,$B141,'февраль 2025'!$J$4:$J$2441,O$1)</f>
        <v>0</v>
      </c>
      <c r="P141" s="183">
        <f>SUMIFS('февраль 2025'!$G$4:$G$2441,'февраль 2025'!$D$4:$D$2441,$B141,'февраль 2025'!$J$4:$J$2441,P$1)</f>
        <v>0</v>
      </c>
      <c r="Q141" s="183">
        <f>SUMIFS('февраль 2025'!$G$4:$G$2441,'февраль 2025'!$D$4:$D$2441,$B141,'февраль 2025'!$J$4:$J$2441,Q$1)</f>
        <v>0</v>
      </c>
      <c r="R141" s="183">
        <f>SUMIFS('февраль 2025'!$G$4:$G$2441,'февраль 2025'!$D$4:$D$2441,$B141,'февраль 2025'!$J$4:$J$2441,R$1)</f>
        <v>0</v>
      </c>
      <c r="S141" s="183">
        <f>SUMIFS('февраль 2025'!$G$4:$G$2441,'февраль 2025'!$D$4:$D$2441,$B141,'февраль 2025'!$J$4:$J$2441,S$1)</f>
        <v>0</v>
      </c>
      <c r="T141" s="183">
        <f>SUMIFS('февраль 2025'!$G$4:$G$2441,'февраль 2025'!$D$4:$D$2441,$B141,'февраль 2025'!$J$4:$J$2441,T$1)</f>
        <v>0</v>
      </c>
      <c r="U141" s="183">
        <f>SUMIFS('февраль 2025'!$G$4:$G$2441,'февраль 2025'!$D$4:$D$2441,$B141,'февраль 2025'!$J$4:$J$2441,U$1)</f>
        <v>0</v>
      </c>
      <c r="V141" s="183">
        <f>SUMIFS('февраль 2025'!$G$4:$G$2441,'февраль 2025'!$D$4:$D$2441,$B141,'февраль 2025'!$J$4:$J$2441,V$1)</f>
        <v>0</v>
      </c>
      <c r="W141" s="183">
        <f>SUMIFS('февраль 2025'!$G$4:$G$2441,'февраль 2025'!$D$4:$D$2441,$B141,'февраль 2025'!$J$4:$J$2441,W$1)</f>
        <v>0</v>
      </c>
      <c r="X141" s="183">
        <f>SUMIFS('февраль 2025'!$G$4:$G$2441,'февраль 2025'!$D$4:$D$2441,$B141,'февраль 2025'!$J$4:$J$2441,X$1)</f>
        <v>0</v>
      </c>
      <c r="Y141" s="183">
        <f>SUMIFS('февраль 2025'!$G$4:$G$2441,'февраль 2025'!$D$4:$D$2441,$B141,'февраль 2025'!$J$4:$J$2441,Y$1)</f>
        <v>0</v>
      </c>
      <c r="Z141" s="183">
        <f>SUMIFS('февраль 2025'!$G$4:$G$2441,'февраль 2025'!$D$4:$D$2441,$B141,'февраль 2025'!$J$4:$J$2441,Z$1)</f>
        <v>0</v>
      </c>
      <c r="AA141" s="183">
        <f>SUMIFS('февраль 2025'!$G$4:$G$2441,'февраль 2025'!$D$4:$D$2441,$B141,'февраль 2025'!$J$4:$J$2441,AA$1)</f>
        <v>0</v>
      </c>
      <c r="AB141" s="183">
        <f>SUMIFS('февраль 2025'!$G$4:$G$2441,'февраль 2025'!$D$4:$D$2441,$B141,'февраль 2025'!$J$4:$J$2441,AB$1)</f>
        <v>0</v>
      </c>
      <c r="AC141" s="183">
        <f>SUMIFS('февраль 2025'!$G$4:$G$2441,'февраль 2025'!$D$4:$D$2441,$B141,'февраль 2025'!$J$4:$J$2441,AC$1)</f>
        <v>0</v>
      </c>
      <c r="AD141" s="183">
        <f>SUMIFS('февраль 2025'!$G$4:$G$2441,'февраль 2025'!$D$4:$D$2441,$B141,'февраль 2025'!$J$4:$J$2441,AD$1)</f>
        <v>0</v>
      </c>
      <c r="AE141" s="183">
        <f>SUMIFS('февраль 2025'!$G$4:$G$2441,'февраль 2025'!$D$4:$D$2441,$B141,'февраль 2025'!$J$4:$J$2441,AE$1)</f>
        <v>0</v>
      </c>
      <c r="AF141" s="183">
        <f>SUMIFS('февраль 2025'!$G$4:$G$2441,'февраль 2025'!$D$4:$D$2441,$B141,'февраль 2025'!$J$4:$J$2441,AF$1)</f>
        <v>0</v>
      </c>
      <c r="AG141" s="183">
        <f>SUMIFS('февраль 2025'!$G$4:$G$2441,'февраль 2025'!$D$4:$D$2441,$B141,'февраль 2025'!$J$4:$J$2441,AG$1)</f>
        <v>0</v>
      </c>
      <c r="AH141" s="183">
        <f>SUMIFS('февраль 2025'!$G$4:$G$2441,'февраль 2025'!$D$4:$D$2441,$B141,'февраль 2025'!$J$4:$J$2441,AH$1)</f>
        <v>0</v>
      </c>
      <c r="AI141" s="20">
        <f t="shared" si="1"/>
        <v>0</v>
      </c>
    </row>
    <row r="142" spans="2:35" ht="15" customHeight="1" x14ac:dyDescent="0.25">
      <c r="B142" s="84" t="s">
        <v>277</v>
      </c>
      <c r="C142" s="83">
        <v>200</v>
      </c>
      <c r="D142" s="183">
        <f>SUMIFS('февраль 2025'!$G$4:$G$2441,'февраль 2025'!$D$4:$D$2441,$B142,'февраль 2025'!$J$4:$J$2441,D$1)</f>
        <v>0</v>
      </c>
      <c r="E142" s="183">
        <f>SUMIFS('февраль 2025'!$G$4:$G$2441,'февраль 2025'!$D$4:$D$2441,$B142,'февраль 2025'!$J$4:$J$2441,E$1)</f>
        <v>0</v>
      </c>
      <c r="F142" s="183">
        <f>SUMIFS('февраль 2025'!$G$4:$G$2441,'февраль 2025'!$D$4:$D$2441,$B142,'февраль 2025'!$J$4:$J$2441,F$1)</f>
        <v>0</v>
      </c>
      <c r="G142" s="183">
        <f>SUMIFS('февраль 2025'!$G$4:$G$2441,'февраль 2025'!$D$4:$D$2441,$B142,'февраль 2025'!$J$4:$J$2441,G$1)</f>
        <v>0</v>
      </c>
      <c r="H142" s="183">
        <f>SUMIFS('февраль 2025'!$G$4:$G$2441,'февраль 2025'!$D$4:$D$2441,$B142,'февраль 2025'!$J$4:$J$2441,H$1)</f>
        <v>0</v>
      </c>
      <c r="I142" s="183">
        <f>SUMIFS('февраль 2025'!$G$4:$G$2441,'февраль 2025'!$D$4:$D$2441,$B142,'февраль 2025'!$J$4:$J$2441,I$1)</f>
        <v>0</v>
      </c>
      <c r="J142" s="183">
        <f>SUMIFS('февраль 2025'!$G$4:$G$2441,'февраль 2025'!$D$4:$D$2441,$B142,'февраль 2025'!$J$4:$J$2441,J$1)</f>
        <v>0</v>
      </c>
      <c r="K142" s="183">
        <f>SUMIFS('февраль 2025'!$G$4:$G$2441,'февраль 2025'!$D$4:$D$2441,$B142,'февраль 2025'!$J$4:$J$2441,K$1)</f>
        <v>0</v>
      </c>
      <c r="L142" s="183">
        <f>SUMIFS('февраль 2025'!$G$4:$G$2441,'февраль 2025'!$D$4:$D$2441,$B142,'февраль 2025'!$J$4:$J$2441,L$1)</f>
        <v>0</v>
      </c>
      <c r="M142" s="183">
        <f>SUMIFS('февраль 2025'!$G$4:$G$2441,'февраль 2025'!$D$4:$D$2441,$B142,'февраль 2025'!$J$4:$J$2441,M$1)</f>
        <v>0</v>
      </c>
      <c r="N142" s="183">
        <f>SUMIFS('февраль 2025'!$G$4:$G$2441,'февраль 2025'!$D$4:$D$2441,$B142,'февраль 2025'!$J$4:$J$2441,N$1)</f>
        <v>0</v>
      </c>
      <c r="O142" s="183">
        <f>SUMIFS('февраль 2025'!$G$4:$G$2441,'февраль 2025'!$D$4:$D$2441,$B142,'февраль 2025'!$J$4:$J$2441,O$1)</f>
        <v>0</v>
      </c>
      <c r="P142" s="183">
        <f>SUMIFS('февраль 2025'!$G$4:$G$2441,'февраль 2025'!$D$4:$D$2441,$B142,'февраль 2025'!$J$4:$J$2441,P$1)</f>
        <v>0</v>
      </c>
      <c r="Q142" s="183">
        <f>SUMIFS('февраль 2025'!$G$4:$G$2441,'февраль 2025'!$D$4:$D$2441,$B142,'февраль 2025'!$J$4:$J$2441,Q$1)</f>
        <v>0</v>
      </c>
      <c r="R142" s="183">
        <f>SUMIFS('февраль 2025'!$G$4:$G$2441,'февраль 2025'!$D$4:$D$2441,$B142,'февраль 2025'!$J$4:$J$2441,R$1)</f>
        <v>0</v>
      </c>
      <c r="S142" s="183">
        <f>SUMIFS('февраль 2025'!$G$4:$G$2441,'февраль 2025'!$D$4:$D$2441,$B142,'февраль 2025'!$J$4:$J$2441,S$1)</f>
        <v>0</v>
      </c>
      <c r="T142" s="183">
        <f>SUMIFS('февраль 2025'!$G$4:$G$2441,'февраль 2025'!$D$4:$D$2441,$B142,'февраль 2025'!$J$4:$J$2441,T$1)</f>
        <v>0</v>
      </c>
      <c r="U142" s="183">
        <f>SUMIFS('февраль 2025'!$G$4:$G$2441,'февраль 2025'!$D$4:$D$2441,$B142,'февраль 2025'!$J$4:$J$2441,U$1)</f>
        <v>0</v>
      </c>
      <c r="V142" s="183">
        <f>SUMIFS('февраль 2025'!$G$4:$G$2441,'февраль 2025'!$D$4:$D$2441,$B142,'февраль 2025'!$J$4:$J$2441,V$1)</f>
        <v>0</v>
      </c>
      <c r="W142" s="183">
        <f>SUMIFS('февраль 2025'!$G$4:$G$2441,'февраль 2025'!$D$4:$D$2441,$B142,'февраль 2025'!$J$4:$J$2441,W$1)</f>
        <v>0</v>
      </c>
      <c r="X142" s="183">
        <f>SUMIFS('февраль 2025'!$G$4:$G$2441,'февраль 2025'!$D$4:$D$2441,$B142,'февраль 2025'!$J$4:$J$2441,X$1)</f>
        <v>0</v>
      </c>
      <c r="Y142" s="183">
        <f>SUMIFS('февраль 2025'!$G$4:$G$2441,'февраль 2025'!$D$4:$D$2441,$B142,'февраль 2025'!$J$4:$J$2441,Y$1)</f>
        <v>0</v>
      </c>
      <c r="Z142" s="183">
        <f>SUMIFS('февраль 2025'!$G$4:$G$2441,'февраль 2025'!$D$4:$D$2441,$B142,'февраль 2025'!$J$4:$J$2441,Z$1)</f>
        <v>0</v>
      </c>
      <c r="AA142" s="183">
        <f>SUMIFS('февраль 2025'!$G$4:$G$2441,'февраль 2025'!$D$4:$D$2441,$B142,'февраль 2025'!$J$4:$J$2441,AA$1)</f>
        <v>0</v>
      </c>
      <c r="AB142" s="183">
        <f>SUMIFS('февраль 2025'!$G$4:$G$2441,'февраль 2025'!$D$4:$D$2441,$B142,'февраль 2025'!$J$4:$J$2441,AB$1)</f>
        <v>0</v>
      </c>
      <c r="AC142" s="183">
        <f>SUMIFS('февраль 2025'!$G$4:$G$2441,'февраль 2025'!$D$4:$D$2441,$B142,'февраль 2025'!$J$4:$J$2441,AC$1)</f>
        <v>0</v>
      </c>
      <c r="AD142" s="183">
        <f>SUMIFS('февраль 2025'!$G$4:$G$2441,'февраль 2025'!$D$4:$D$2441,$B142,'февраль 2025'!$J$4:$J$2441,AD$1)</f>
        <v>0</v>
      </c>
      <c r="AE142" s="183">
        <f>SUMIFS('февраль 2025'!$G$4:$G$2441,'февраль 2025'!$D$4:$D$2441,$B142,'февраль 2025'!$J$4:$J$2441,AE$1)</f>
        <v>0</v>
      </c>
      <c r="AF142" s="183">
        <f>SUMIFS('февраль 2025'!$G$4:$G$2441,'февраль 2025'!$D$4:$D$2441,$B142,'февраль 2025'!$J$4:$J$2441,AF$1)</f>
        <v>0</v>
      </c>
      <c r="AG142" s="183">
        <f>SUMIFS('февраль 2025'!$G$4:$G$2441,'февраль 2025'!$D$4:$D$2441,$B142,'февраль 2025'!$J$4:$J$2441,AG$1)</f>
        <v>0</v>
      </c>
      <c r="AH142" s="183">
        <f>SUMIFS('февраль 2025'!$G$4:$G$2441,'февраль 2025'!$D$4:$D$2441,$B142,'февраль 2025'!$J$4:$J$2441,AH$1)</f>
        <v>0</v>
      </c>
      <c r="AI142" s="20">
        <f t="shared" si="1"/>
        <v>0</v>
      </c>
    </row>
    <row r="143" spans="2:35" ht="15" customHeight="1" x14ac:dyDescent="0.25">
      <c r="B143" s="84" t="s">
        <v>273</v>
      </c>
      <c r="C143" s="83">
        <v>200</v>
      </c>
      <c r="D143" s="183">
        <f>SUMIFS('февраль 2025'!$G$4:$G$2441,'февраль 2025'!$D$4:$D$2441,$B143,'февраль 2025'!$J$4:$J$2441,D$1)</f>
        <v>0</v>
      </c>
      <c r="E143" s="183">
        <f>SUMIFS('февраль 2025'!$G$4:$G$2441,'февраль 2025'!$D$4:$D$2441,$B143,'февраль 2025'!$J$4:$J$2441,E$1)</f>
        <v>0</v>
      </c>
      <c r="F143" s="183">
        <f>SUMIFS('февраль 2025'!$G$4:$G$2441,'февраль 2025'!$D$4:$D$2441,$B143,'февраль 2025'!$J$4:$J$2441,F$1)</f>
        <v>0</v>
      </c>
      <c r="G143" s="183">
        <f>SUMIFS('февраль 2025'!$G$4:$G$2441,'февраль 2025'!$D$4:$D$2441,$B143,'февраль 2025'!$J$4:$J$2441,G$1)</f>
        <v>0</v>
      </c>
      <c r="H143" s="183">
        <f>SUMIFS('февраль 2025'!$G$4:$G$2441,'февраль 2025'!$D$4:$D$2441,$B143,'февраль 2025'!$J$4:$J$2441,H$1)</f>
        <v>0</v>
      </c>
      <c r="I143" s="183">
        <f>SUMIFS('февраль 2025'!$G$4:$G$2441,'февраль 2025'!$D$4:$D$2441,$B143,'февраль 2025'!$J$4:$J$2441,I$1)</f>
        <v>0</v>
      </c>
      <c r="J143" s="183">
        <f>SUMIFS('февраль 2025'!$G$4:$G$2441,'февраль 2025'!$D$4:$D$2441,$B143,'февраль 2025'!$J$4:$J$2441,J$1)</f>
        <v>0</v>
      </c>
      <c r="K143" s="183">
        <f>SUMIFS('февраль 2025'!$G$4:$G$2441,'февраль 2025'!$D$4:$D$2441,$B143,'февраль 2025'!$J$4:$J$2441,K$1)</f>
        <v>0</v>
      </c>
      <c r="L143" s="183">
        <f>SUMIFS('февраль 2025'!$G$4:$G$2441,'февраль 2025'!$D$4:$D$2441,$B143,'февраль 2025'!$J$4:$J$2441,L$1)</f>
        <v>0</v>
      </c>
      <c r="M143" s="183">
        <f>SUMIFS('февраль 2025'!$G$4:$G$2441,'февраль 2025'!$D$4:$D$2441,$B143,'февраль 2025'!$J$4:$J$2441,M$1)</f>
        <v>0</v>
      </c>
      <c r="N143" s="183">
        <f>SUMIFS('февраль 2025'!$G$4:$G$2441,'февраль 2025'!$D$4:$D$2441,$B143,'февраль 2025'!$J$4:$J$2441,N$1)</f>
        <v>0</v>
      </c>
      <c r="O143" s="183">
        <f>SUMIFS('февраль 2025'!$G$4:$G$2441,'февраль 2025'!$D$4:$D$2441,$B143,'февраль 2025'!$J$4:$J$2441,O$1)</f>
        <v>0</v>
      </c>
      <c r="P143" s="183">
        <f>SUMIFS('февраль 2025'!$G$4:$G$2441,'февраль 2025'!$D$4:$D$2441,$B143,'февраль 2025'!$J$4:$J$2441,P$1)</f>
        <v>0</v>
      </c>
      <c r="Q143" s="183">
        <f>SUMIFS('февраль 2025'!$G$4:$G$2441,'февраль 2025'!$D$4:$D$2441,$B143,'февраль 2025'!$J$4:$J$2441,Q$1)</f>
        <v>0</v>
      </c>
      <c r="R143" s="183">
        <f>SUMIFS('февраль 2025'!$G$4:$G$2441,'февраль 2025'!$D$4:$D$2441,$B143,'февраль 2025'!$J$4:$J$2441,R$1)</f>
        <v>0</v>
      </c>
      <c r="S143" s="183">
        <f>SUMIFS('февраль 2025'!$G$4:$G$2441,'февраль 2025'!$D$4:$D$2441,$B143,'февраль 2025'!$J$4:$J$2441,S$1)</f>
        <v>0</v>
      </c>
      <c r="T143" s="183">
        <f>SUMIFS('февраль 2025'!$G$4:$G$2441,'февраль 2025'!$D$4:$D$2441,$B143,'февраль 2025'!$J$4:$J$2441,T$1)</f>
        <v>0</v>
      </c>
      <c r="U143" s="183">
        <f>SUMIFS('февраль 2025'!$G$4:$G$2441,'февраль 2025'!$D$4:$D$2441,$B143,'февраль 2025'!$J$4:$J$2441,U$1)</f>
        <v>0</v>
      </c>
      <c r="V143" s="183">
        <f>SUMIFS('февраль 2025'!$G$4:$G$2441,'февраль 2025'!$D$4:$D$2441,$B143,'февраль 2025'!$J$4:$J$2441,V$1)</f>
        <v>0</v>
      </c>
      <c r="W143" s="183">
        <f>SUMIFS('февраль 2025'!$G$4:$G$2441,'февраль 2025'!$D$4:$D$2441,$B143,'февраль 2025'!$J$4:$J$2441,W$1)</f>
        <v>0</v>
      </c>
      <c r="X143" s="183">
        <f>SUMIFS('февраль 2025'!$G$4:$G$2441,'февраль 2025'!$D$4:$D$2441,$B143,'февраль 2025'!$J$4:$J$2441,X$1)</f>
        <v>0</v>
      </c>
      <c r="Y143" s="183">
        <f>SUMIFS('февраль 2025'!$G$4:$G$2441,'февраль 2025'!$D$4:$D$2441,$B143,'февраль 2025'!$J$4:$J$2441,Y$1)</f>
        <v>0</v>
      </c>
      <c r="Z143" s="183">
        <f>SUMIFS('февраль 2025'!$G$4:$G$2441,'февраль 2025'!$D$4:$D$2441,$B143,'февраль 2025'!$J$4:$J$2441,Z$1)</f>
        <v>0</v>
      </c>
      <c r="AA143" s="183">
        <f>SUMIFS('февраль 2025'!$G$4:$G$2441,'февраль 2025'!$D$4:$D$2441,$B143,'февраль 2025'!$J$4:$J$2441,AA$1)</f>
        <v>0</v>
      </c>
      <c r="AB143" s="183">
        <f>SUMIFS('февраль 2025'!$G$4:$G$2441,'февраль 2025'!$D$4:$D$2441,$B143,'февраль 2025'!$J$4:$J$2441,AB$1)</f>
        <v>0</v>
      </c>
      <c r="AC143" s="183">
        <f>SUMIFS('февраль 2025'!$G$4:$G$2441,'февраль 2025'!$D$4:$D$2441,$B143,'февраль 2025'!$J$4:$J$2441,AC$1)</f>
        <v>0</v>
      </c>
      <c r="AD143" s="183">
        <f>SUMIFS('февраль 2025'!$G$4:$G$2441,'февраль 2025'!$D$4:$D$2441,$B143,'февраль 2025'!$J$4:$J$2441,AD$1)</f>
        <v>0</v>
      </c>
      <c r="AE143" s="183">
        <f>SUMIFS('февраль 2025'!$G$4:$G$2441,'февраль 2025'!$D$4:$D$2441,$B143,'февраль 2025'!$J$4:$J$2441,AE$1)</f>
        <v>0</v>
      </c>
      <c r="AF143" s="183">
        <f>SUMIFS('февраль 2025'!$G$4:$G$2441,'февраль 2025'!$D$4:$D$2441,$B143,'февраль 2025'!$J$4:$J$2441,AF$1)</f>
        <v>0</v>
      </c>
      <c r="AG143" s="183">
        <f>SUMIFS('февраль 2025'!$G$4:$G$2441,'февраль 2025'!$D$4:$D$2441,$B143,'февраль 2025'!$J$4:$J$2441,AG$1)</f>
        <v>0</v>
      </c>
      <c r="AH143" s="183">
        <f>SUMIFS('февраль 2025'!$G$4:$G$2441,'февраль 2025'!$D$4:$D$2441,$B143,'февраль 2025'!$J$4:$J$2441,AH$1)</f>
        <v>0</v>
      </c>
      <c r="AI143" s="20">
        <f t="shared" si="1"/>
        <v>0</v>
      </c>
    </row>
    <row r="144" spans="2:35" ht="15" customHeight="1" x14ac:dyDescent="0.25">
      <c r="B144" s="84" t="s">
        <v>274</v>
      </c>
      <c r="C144" s="83">
        <v>200</v>
      </c>
      <c r="D144" s="183">
        <f>SUMIFS('февраль 2025'!$G$4:$G$2441,'февраль 2025'!$D$4:$D$2441,$B144,'февраль 2025'!$J$4:$J$2441,D$1)</f>
        <v>0</v>
      </c>
      <c r="E144" s="183">
        <f>SUMIFS('февраль 2025'!$G$4:$G$2441,'февраль 2025'!$D$4:$D$2441,$B144,'февраль 2025'!$J$4:$J$2441,E$1)</f>
        <v>0</v>
      </c>
      <c r="F144" s="183">
        <f>SUMIFS('февраль 2025'!$G$4:$G$2441,'февраль 2025'!$D$4:$D$2441,$B144,'февраль 2025'!$J$4:$J$2441,F$1)</f>
        <v>0</v>
      </c>
      <c r="G144" s="183">
        <f>SUMIFS('февраль 2025'!$G$4:$G$2441,'февраль 2025'!$D$4:$D$2441,$B144,'февраль 2025'!$J$4:$J$2441,G$1)</f>
        <v>0</v>
      </c>
      <c r="H144" s="183">
        <f>SUMIFS('февраль 2025'!$G$4:$G$2441,'февраль 2025'!$D$4:$D$2441,$B144,'февраль 2025'!$J$4:$J$2441,H$1)</f>
        <v>0</v>
      </c>
      <c r="I144" s="183">
        <f>SUMIFS('февраль 2025'!$G$4:$G$2441,'февраль 2025'!$D$4:$D$2441,$B144,'февраль 2025'!$J$4:$J$2441,I$1)</f>
        <v>0</v>
      </c>
      <c r="J144" s="183">
        <f>SUMIFS('февраль 2025'!$G$4:$G$2441,'февраль 2025'!$D$4:$D$2441,$B144,'февраль 2025'!$J$4:$J$2441,J$1)</f>
        <v>0</v>
      </c>
      <c r="K144" s="183">
        <f>SUMIFS('февраль 2025'!$G$4:$G$2441,'февраль 2025'!$D$4:$D$2441,$B144,'февраль 2025'!$J$4:$J$2441,K$1)</f>
        <v>0</v>
      </c>
      <c r="L144" s="183">
        <f>SUMIFS('февраль 2025'!$G$4:$G$2441,'февраль 2025'!$D$4:$D$2441,$B144,'февраль 2025'!$J$4:$J$2441,L$1)</f>
        <v>0</v>
      </c>
      <c r="M144" s="183">
        <f>SUMIFS('февраль 2025'!$G$4:$G$2441,'февраль 2025'!$D$4:$D$2441,$B144,'февраль 2025'!$J$4:$J$2441,M$1)</f>
        <v>0</v>
      </c>
      <c r="N144" s="183">
        <f>SUMIFS('февраль 2025'!$G$4:$G$2441,'февраль 2025'!$D$4:$D$2441,$B144,'февраль 2025'!$J$4:$J$2441,N$1)</f>
        <v>0</v>
      </c>
      <c r="O144" s="183">
        <f>SUMIFS('февраль 2025'!$G$4:$G$2441,'февраль 2025'!$D$4:$D$2441,$B144,'февраль 2025'!$J$4:$J$2441,O$1)</f>
        <v>0</v>
      </c>
      <c r="P144" s="183">
        <f>SUMIFS('февраль 2025'!$G$4:$G$2441,'февраль 2025'!$D$4:$D$2441,$B144,'февраль 2025'!$J$4:$J$2441,P$1)</f>
        <v>0</v>
      </c>
      <c r="Q144" s="183">
        <f>SUMIFS('февраль 2025'!$G$4:$G$2441,'февраль 2025'!$D$4:$D$2441,$B144,'февраль 2025'!$J$4:$J$2441,Q$1)</f>
        <v>0</v>
      </c>
      <c r="R144" s="183">
        <f>SUMIFS('февраль 2025'!$G$4:$G$2441,'февраль 2025'!$D$4:$D$2441,$B144,'февраль 2025'!$J$4:$J$2441,R$1)</f>
        <v>0</v>
      </c>
      <c r="S144" s="183">
        <f>SUMIFS('февраль 2025'!$G$4:$G$2441,'февраль 2025'!$D$4:$D$2441,$B144,'февраль 2025'!$J$4:$J$2441,S$1)</f>
        <v>0</v>
      </c>
      <c r="T144" s="183">
        <f>SUMIFS('февраль 2025'!$G$4:$G$2441,'февраль 2025'!$D$4:$D$2441,$B144,'февраль 2025'!$J$4:$J$2441,T$1)</f>
        <v>0</v>
      </c>
      <c r="U144" s="183">
        <f>SUMIFS('февраль 2025'!$G$4:$G$2441,'февраль 2025'!$D$4:$D$2441,$B144,'февраль 2025'!$J$4:$J$2441,U$1)</f>
        <v>0</v>
      </c>
      <c r="V144" s="183">
        <f>SUMIFS('февраль 2025'!$G$4:$G$2441,'февраль 2025'!$D$4:$D$2441,$B144,'февраль 2025'!$J$4:$J$2441,V$1)</f>
        <v>0</v>
      </c>
      <c r="W144" s="183">
        <f>SUMIFS('февраль 2025'!$G$4:$G$2441,'февраль 2025'!$D$4:$D$2441,$B144,'февраль 2025'!$J$4:$J$2441,W$1)</f>
        <v>0</v>
      </c>
      <c r="X144" s="183">
        <f>SUMIFS('февраль 2025'!$G$4:$G$2441,'февраль 2025'!$D$4:$D$2441,$B144,'февраль 2025'!$J$4:$J$2441,X$1)</f>
        <v>0</v>
      </c>
      <c r="Y144" s="183">
        <f>SUMIFS('февраль 2025'!$G$4:$G$2441,'февраль 2025'!$D$4:$D$2441,$B144,'февраль 2025'!$J$4:$J$2441,Y$1)</f>
        <v>0</v>
      </c>
      <c r="Z144" s="183">
        <f>SUMIFS('февраль 2025'!$G$4:$G$2441,'февраль 2025'!$D$4:$D$2441,$B144,'февраль 2025'!$J$4:$J$2441,Z$1)</f>
        <v>0</v>
      </c>
      <c r="AA144" s="183">
        <f>SUMIFS('февраль 2025'!$G$4:$G$2441,'февраль 2025'!$D$4:$D$2441,$B144,'февраль 2025'!$J$4:$J$2441,AA$1)</f>
        <v>0</v>
      </c>
      <c r="AB144" s="183">
        <f>SUMIFS('февраль 2025'!$G$4:$G$2441,'февраль 2025'!$D$4:$D$2441,$B144,'февраль 2025'!$J$4:$J$2441,AB$1)</f>
        <v>0</v>
      </c>
      <c r="AC144" s="183">
        <f>SUMIFS('февраль 2025'!$G$4:$G$2441,'февраль 2025'!$D$4:$D$2441,$B144,'февраль 2025'!$J$4:$J$2441,AC$1)</f>
        <v>0</v>
      </c>
      <c r="AD144" s="183">
        <f>SUMIFS('февраль 2025'!$G$4:$G$2441,'февраль 2025'!$D$4:$D$2441,$B144,'февраль 2025'!$J$4:$J$2441,AD$1)</f>
        <v>0</v>
      </c>
      <c r="AE144" s="183">
        <f>SUMIFS('февраль 2025'!$G$4:$G$2441,'февраль 2025'!$D$4:$D$2441,$B144,'февраль 2025'!$J$4:$J$2441,AE$1)</f>
        <v>0</v>
      </c>
      <c r="AF144" s="183">
        <f>SUMIFS('февраль 2025'!$G$4:$G$2441,'февраль 2025'!$D$4:$D$2441,$B144,'февраль 2025'!$J$4:$J$2441,AF$1)</f>
        <v>0</v>
      </c>
      <c r="AG144" s="183">
        <f>SUMIFS('февраль 2025'!$G$4:$G$2441,'февраль 2025'!$D$4:$D$2441,$B144,'февраль 2025'!$J$4:$J$2441,AG$1)</f>
        <v>0</v>
      </c>
      <c r="AH144" s="183">
        <f>SUMIFS('февраль 2025'!$G$4:$G$2441,'февраль 2025'!$D$4:$D$2441,$B144,'февраль 2025'!$J$4:$J$2441,AH$1)</f>
        <v>0</v>
      </c>
      <c r="AI144" s="20">
        <f t="shared" si="1"/>
        <v>0</v>
      </c>
    </row>
    <row r="145" spans="2:35" ht="15" customHeight="1" x14ac:dyDescent="0.25">
      <c r="B145" s="84" t="s">
        <v>313</v>
      </c>
      <c r="C145" s="83">
        <v>1000</v>
      </c>
      <c r="D145" s="183">
        <f>SUMIFS('февраль 2025'!$G$4:$G$2441,'февраль 2025'!$D$4:$D$2441,$B145,'февраль 2025'!$J$4:$J$2441,D$1)</f>
        <v>0</v>
      </c>
      <c r="E145" s="183">
        <f>SUMIFS('февраль 2025'!$G$4:$G$2441,'февраль 2025'!$D$4:$D$2441,$B145,'февраль 2025'!$J$4:$J$2441,E$1)</f>
        <v>0</v>
      </c>
      <c r="F145" s="183">
        <f>SUMIFS('февраль 2025'!$G$4:$G$2441,'февраль 2025'!$D$4:$D$2441,$B145,'февраль 2025'!$J$4:$J$2441,F$1)</f>
        <v>0</v>
      </c>
      <c r="G145" s="183">
        <f>SUMIFS('февраль 2025'!$G$4:$G$2441,'февраль 2025'!$D$4:$D$2441,$B145,'февраль 2025'!$J$4:$J$2441,G$1)</f>
        <v>0</v>
      </c>
      <c r="H145" s="183">
        <f>SUMIFS('февраль 2025'!$G$4:$G$2441,'февраль 2025'!$D$4:$D$2441,$B145,'февраль 2025'!$J$4:$J$2441,H$1)</f>
        <v>0</v>
      </c>
      <c r="I145" s="183">
        <f>SUMIFS('февраль 2025'!$G$4:$G$2441,'февраль 2025'!$D$4:$D$2441,$B145,'февраль 2025'!$J$4:$J$2441,I$1)</f>
        <v>0</v>
      </c>
      <c r="J145" s="183">
        <f>SUMIFS('февраль 2025'!$G$4:$G$2441,'февраль 2025'!$D$4:$D$2441,$B145,'февраль 2025'!$J$4:$J$2441,J$1)</f>
        <v>0</v>
      </c>
      <c r="K145" s="183">
        <f>SUMIFS('февраль 2025'!$G$4:$G$2441,'февраль 2025'!$D$4:$D$2441,$B145,'февраль 2025'!$J$4:$J$2441,K$1)</f>
        <v>0</v>
      </c>
      <c r="L145" s="183">
        <f>SUMIFS('февраль 2025'!$G$4:$G$2441,'февраль 2025'!$D$4:$D$2441,$B145,'февраль 2025'!$J$4:$J$2441,L$1)</f>
        <v>0</v>
      </c>
      <c r="M145" s="183">
        <f>SUMIFS('февраль 2025'!$G$4:$G$2441,'февраль 2025'!$D$4:$D$2441,$B145,'февраль 2025'!$J$4:$J$2441,M$1)</f>
        <v>0</v>
      </c>
      <c r="N145" s="183">
        <f>SUMIFS('февраль 2025'!$G$4:$G$2441,'февраль 2025'!$D$4:$D$2441,$B145,'февраль 2025'!$J$4:$J$2441,N$1)</f>
        <v>0</v>
      </c>
      <c r="O145" s="183">
        <f>SUMIFS('февраль 2025'!$G$4:$G$2441,'февраль 2025'!$D$4:$D$2441,$B145,'февраль 2025'!$J$4:$J$2441,O$1)</f>
        <v>0</v>
      </c>
      <c r="P145" s="183">
        <f>SUMIFS('февраль 2025'!$G$4:$G$2441,'февраль 2025'!$D$4:$D$2441,$B145,'февраль 2025'!$J$4:$J$2441,P$1)</f>
        <v>0</v>
      </c>
      <c r="Q145" s="183">
        <f>SUMIFS('февраль 2025'!$G$4:$G$2441,'февраль 2025'!$D$4:$D$2441,$B145,'февраль 2025'!$J$4:$J$2441,Q$1)</f>
        <v>0</v>
      </c>
      <c r="R145" s="183">
        <f>SUMIFS('февраль 2025'!$G$4:$G$2441,'февраль 2025'!$D$4:$D$2441,$B145,'февраль 2025'!$J$4:$J$2441,R$1)</f>
        <v>0</v>
      </c>
      <c r="S145" s="183">
        <f>SUMIFS('февраль 2025'!$G$4:$G$2441,'февраль 2025'!$D$4:$D$2441,$B145,'февраль 2025'!$J$4:$J$2441,S$1)</f>
        <v>0</v>
      </c>
      <c r="T145" s="183">
        <f>SUMIFS('февраль 2025'!$G$4:$G$2441,'февраль 2025'!$D$4:$D$2441,$B145,'февраль 2025'!$J$4:$J$2441,T$1)</f>
        <v>0</v>
      </c>
      <c r="U145" s="183">
        <f>SUMIFS('февраль 2025'!$G$4:$G$2441,'февраль 2025'!$D$4:$D$2441,$B145,'февраль 2025'!$J$4:$J$2441,U$1)</f>
        <v>0</v>
      </c>
      <c r="V145" s="183">
        <f>SUMIFS('февраль 2025'!$G$4:$G$2441,'февраль 2025'!$D$4:$D$2441,$B145,'февраль 2025'!$J$4:$J$2441,V$1)</f>
        <v>0</v>
      </c>
      <c r="W145" s="183">
        <f>SUMIFS('февраль 2025'!$G$4:$G$2441,'февраль 2025'!$D$4:$D$2441,$B145,'февраль 2025'!$J$4:$J$2441,W$1)</f>
        <v>0</v>
      </c>
      <c r="X145" s="183">
        <f>SUMIFS('февраль 2025'!$G$4:$G$2441,'февраль 2025'!$D$4:$D$2441,$B145,'февраль 2025'!$J$4:$J$2441,X$1)</f>
        <v>0</v>
      </c>
      <c r="Y145" s="183">
        <f>SUMIFS('февраль 2025'!$G$4:$G$2441,'февраль 2025'!$D$4:$D$2441,$B145,'февраль 2025'!$J$4:$J$2441,Y$1)</f>
        <v>0</v>
      </c>
      <c r="Z145" s="183">
        <f>SUMIFS('февраль 2025'!$G$4:$G$2441,'февраль 2025'!$D$4:$D$2441,$B145,'февраль 2025'!$J$4:$J$2441,Z$1)</f>
        <v>0</v>
      </c>
      <c r="AA145" s="183">
        <f>SUMIFS('февраль 2025'!$G$4:$G$2441,'февраль 2025'!$D$4:$D$2441,$B145,'февраль 2025'!$J$4:$J$2441,AA$1)</f>
        <v>0</v>
      </c>
      <c r="AB145" s="183">
        <f>SUMIFS('февраль 2025'!$G$4:$G$2441,'февраль 2025'!$D$4:$D$2441,$B145,'февраль 2025'!$J$4:$J$2441,AB$1)</f>
        <v>0</v>
      </c>
      <c r="AC145" s="183">
        <f>SUMIFS('февраль 2025'!$G$4:$G$2441,'февраль 2025'!$D$4:$D$2441,$B145,'февраль 2025'!$J$4:$J$2441,AC$1)</f>
        <v>0</v>
      </c>
      <c r="AD145" s="183">
        <f>SUMIFS('февраль 2025'!$G$4:$G$2441,'февраль 2025'!$D$4:$D$2441,$B145,'февраль 2025'!$J$4:$J$2441,AD$1)</f>
        <v>0</v>
      </c>
      <c r="AE145" s="183">
        <f>SUMIFS('февраль 2025'!$G$4:$G$2441,'февраль 2025'!$D$4:$D$2441,$B145,'февраль 2025'!$J$4:$J$2441,AE$1)</f>
        <v>0</v>
      </c>
      <c r="AF145" s="183">
        <f>SUMIFS('февраль 2025'!$G$4:$G$2441,'февраль 2025'!$D$4:$D$2441,$B145,'февраль 2025'!$J$4:$J$2441,AF$1)</f>
        <v>0</v>
      </c>
      <c r="AG145" s="183">
        <f>SUMIFS('февраль 2025'!$G$4:$G$2441,'февраль 2025'!$D$4:$D$2441,$B145,'февраль 2025'!$J$4:$J$2441,AG$1)</f>
        <v>0</v>
      </c>
      <c r="AH145" s="183">
        <f>SUMIFS('февраль 2025'!$G$4:$G$2441,'февраль 2025'!$D$4:$D$2441,$B145,'февраль 2025'!$J$4:$J$2441,AH$1)</f>
        <v>0</v>
      </c>
      <c r="AI145" s="20">
        <f t="shared" si="1"/>
        <v>0</v>
      </c>
    </row>
    <row r="146" spans="2:35" ht="15" customHeight="1" x14ac:dyDescent="0.25">
      <c r="B146" s="84" t="s">
        <v>200</v>
      </c>
      <c r="C146" s="83">
        <v>200</v>
      </c>
      <c r="D146" s="183">
        <f>SUMIFS('февраль 2025'!$G$4:$G$2441,'февраль 2025'!$D$4:$D$2441,$B146,'февраль 2025'!$J$4:$J$2441,D$1)</f>
        <v>0</v>
      </c>
      <c r="E146" s="183">
        <f>SUMIFS('февраль 2025'!$G$4:$G$2441,'февраль 2025'!$D$4:$D$2441,$B146,'февраль 2025'!$J$4:$J$2441,E$1)</f>
        <v>0</v>
      </c>
      <c r="F146" s="183">
        <f>SUMIFS('февраль 2025'!$G$4:$G$2441,'февраль 2025'!$D$4:$D$2441,$B146,'февраль 2025'!$J$4:$J$2441,F$1)</f>
        <v>0</v>
      </c>
      <c r="G146" s="183">
        <f>SUMIFS('февраль 2025'!$G$4:$G$2441,'февраль 2025'!$D$4:$D$2441,$B146,'февраль 2025'!$J$4:$J$2441,G$1)</f>
        <v>0</v>
      </c>
      <c r="H146" s="183">
        <f>SUMIFS('февраль 2025'!$G$4:$G$2441,'февраль 2025'!$D$4:$D$2441,$B146,'февраль 2025'!$J$4:$J$2441,H$1)</f>
        <v>0</v>
      </c>
      <c r="I146" s="183">
        <f>SUMIFS('февраль 2025'!$G$4:$G$2441,'февраль 2025'!$D$4:$D$2441,$B146,'февраль 2025'!$J$4:$J$2441,I$1)</f>
        <v>0</v>
      </c>
      <c r="J146" s="183">
        <f>SUMIFS('февраль 2025'!$G$4:$G$2441,'февраль 2025'!$D$4:$D$2441,$B146,'февраль 2025'!$J$4:$J$2441,J$1)</f>
        <v>0</v>
      </c>
      <c r="K146" s="183">
        <f>SUMIFS('февраль 2025'!$G$4:$G$2441,'февраль 2025'!$D$4:$D$2441,$B146,'февраль 2025'!$J$4:$J$2441,K$1)</f>
        <v>0</v>
      </c>
      <c r="L146" s="183">
        <f>SUMIFS('февраль 2025'!$G$4:$G$2441,'февраль 2025'!$D$4:$D$2441,$B146,'февраль 2025'!$J$4:$J$2441,L$1)</f>
        <v>0</v>
      </c>
      <c r="M146" s="183">
        <f>SUMIFS('февраль 2025'!$G$4:$G$2441,'февраль 2025'!$D$4:$D$2441,$B146,'февраль 2025'!$J$4:$J$2441,M$1)</f>
        <v>0</v>
      </c>
      <c r="N146" s="183">
        <f>SUMIFS('февраль 2025'!$G$4:$G$2441,'февраль 2025'!$D$4:$D$2441,$B146,'февраль 2025'!$J$4:$J$2441,N$1)</f>
        <v>0</v>
      </c>
      <c r="O146" s="183">
        <f>SUMIFS('февраль 2025'!$G$4:$G$2441,'февраль 2025'!$D$4:$D$2441,$B146,'февраль 2025'!$J$4:$J$2441,O$1)</f>
        <v>0</v>
      </c>
      <c r="P146" s="183">
        <f>SUMIFS('февраль 2025'!$G$4:$G$2441,'февраль 2025'!$D$4:$D$2441,$B146,'февраль 2025'!$J$4:$J$2441,P$1)</f>
        <v>0</v>
      </c>
      <c r="Q146" s="183">
        <f>SUMIFS('февраль 2025'!$G$4:$G$2441,'февраль 2025'!$D$4:$D$2441,$B146,'февраль 2025'!$J$4:$J$2441,Q$1)</f>
        <v>0</v>
      </c>
      <c r="R146" s="183">
        <f>SUMIFS('февраль 2025'!$G$4:$G$2441,'февраль 2025'!$D$4:$D$2441,$B146,'февраль 2025'!$J$4:$J$2441,R$1)</f>
        <v>0</v>
      </c>
      <c r="S146" s="183">
        <f>SUMIFS('февраль 2025'!$G$4:$G$2441,'февраль 2025'!$D$4:$D$2441,$B146,'февраль 2025'!$J$4:$J$2441,S$1)</f>
        <v>0</v>
      </c>
      <c r="T146" s="183">
        <f>SUMIFS('февраль 2025'!$G$4:$G$2441,'февраль 2025'!$D$4:$D$2441,$B146,'февраль 2025'!$J$4:$J$2441,T$1)</f>
        <v>0</v>
      </c>
      <c r="U146" s="183">
        <f>SUMIFS('февраль 2025'!$G$4:$G$2441,'февраль 2025'!$D$4:$D$2441,$B146,'февраль 2025'!$J$4:$J$2441,U$1)</f>
        <v>0</v>
      </c>
      <c r="V146" s="183">
        <f>SUMIFS('февраль 2025'!$G$4:$G$2441,'февраль 2025'!$D$4:$D$2441,$B146,'февраль 2025'!$J$4:$J$2441,V$1)</f>
        <v>0</v>
      </c>
      <c r="W146" s="183">
        <f>SUMIFS('февраль 2025'!$G$4:$G$2441,'февраль 2025'!$D$4:$D$2441,$B146,'февраль 2025'!$J$4:$J$2441,W$1)</f>
        <v>0</v>
      </c>
      <c r="X146" s="183">
        <f>SUMIFS('февраль 2025'!$G$4:$G$2441,'февраль 2025'!$D$4:$D$2441,$B146,'февраль 2025'!$J$4:$J$2441,X$1)</f>
        <v>0</v>
      </c>
      <c r="Y146" s="183">
        <f>SUMIFS('февраль 2025'!$G$4:$G$2441,'февраль 2025'!$D$4:$D$2441,$B146,'февраль 2025'!$J$4:$J$2441,Y$1)</f>
        <v>0</v>
      </c>
      <c r="Z146" s="183">
        <f>SUMIFS('февраль 2025'!$G$4:$G$2441,'февраль 2025'!$D$4:$D$2441,$B146,'февраль 2025'!$J$4:$J$2441,Z$1)</f>
        <v>0</v>
      </c>
      <c r="AA146" s="183">
        <f>SUMIFS('февраль 2025'!$G$4:$G$2441,'февраль 2025'!$D$4:$D$2441,$B146,'февраль 2025'!$J$4:$J$2441,AA$1)</f>
        <v>0</v>
      </c>
      <c r="AB146" s="183">
        <f>SUMIFS('февраль 2025'!$G$4:$G$2441,'февраль 2025'!$D$4:$D$2441,$B146,'февраль 2025'!$J$4:$J$2441,AB$1)</f>
        <v>0</v>
      </c>
      <c r="AC146" s="183">
        <f>SUMIFS('февраль 2025'!$G$4:$G$2441,'февраль 2025'!$D$4:$D$2441,$B146,'февраль 2025'!$J$4:$J$2441,AC$1)</f>
        <v>0</v>
      </c>
      <c r="AD146" s="183">
        <f>SUMIFS('февраль 2025'!$G$4:$G$2441,'февраль 2025'!$D$4:$D$2441,$B146,'февраль 2025'!$J$4:$J$2441,AD$1)</f>
        <v>0</v>
      </c>
      <c r="AE146" s="183">
        <f>SUMIFS('февраль 2025'!$G$4:$G$2441,'февраль 2025'!$D$4:$D$2441,$B146,'февраль 2025'!$J$4:$J$2441,AE$1)</f>
        <v>0</v>
      </c>
      <c r="AF146" s="183">
        <f>SUMIFS('февраль 2025'!$G$4:$G$2441,'февраль 2025'!$D$4:$D$2441,$B146,'февраль 2025'!$J$4:$J$2441,AF$1)</f>
        <v>0</v>
      </c>
      <c r="AG146" s="183">
        <f>SUMIFS('февраль 2025'!$G$4:$G$2441,'февраль 2025'!$D$4:$D$2441,$B146,'февраль 2025'!$J$4:$J$2441,AG$1)</f>
        <v>0</v>
      </c>
      <c r="AH146" s="183">
        <f>SUMIFS('февраль 2025'!$G$4:$G$2441,'февраль 2025'!$D$4:$D$2441,$B146,'февраль 2025'!$J$4:$J$2441,AH$1)</f>
        <v>0</v>
      </c>
      <c r="AI146" s="20">
        <f t="shared" si="1"/>
        <v>0</v>
      </c>
    </row>
    <row r="147" spans="2:35" ht="15" customHeight="1" x14ac:dyDescent="0.25">
      <c r="B147" s="84" t="s">
        <v>275</v>
      </c>
      <c r="C147" s="83">
        <v>200</v>
      </c>
      <c r="D147" s="183">
        <f>SUMIFS('февраль 2025'!$G$4:$G$2441,'февраль 2025'!$D$4:$D$2441,$B147,'февраль 2025'!$J$4:$J$2441,D$1)</f>
        <v>0</v>
      </c>
      <c r="E147" s="183">
        <f>SUMIFS('февраль 2025'!$G$4:$G$2441,'февраль 2025'!$D$4:$D$2441,$B147,'февраль 2025'!$J$4:$J$2441,E$1)</f>
        <v>0</v>
      </c>
      <c r="F147" s="183">
        <f>SUMIFS('февраль 2025'!$G$4:$G$2441,'февраль 2025'!$D$4:$D$2441,$B147,'февраль 2025'!$J$4:$J$2441,F$1)</f>
        <v>0</v>
      </c>
      <c r="G147" s="183">
        <f>SUMIFS('февраль 2025'!$G$4:$G$2441,'февраль 2025'!$D$4:$D$2441,$B147,'февраль 2025'!$J$4:$J$2441,G$1)</f>
        <v>0</v>
      </c>
      <c r="H147" s="183">
        <f>SUMIFS('февраль 2025'!$G$4:$G$2441,'февраль 2025'!$D$4:$D$2441,$B147,'февраль 2025'!$J$4:$J$2441,H$1)</f>
        <v>0</v>
      </c>
      <c r="I147" s="183">
        <f>SUMIFS('февраль 2025'!$G$4:$G$2441,'февраль 2025'!$D$4:$D$2441,$B147,'февраль 2025'!$J$4:$J$2441,I$1)</f>
        <v>0</v>
      </c>
      <c r="J147" s="183">
        <f>SUMIFS('февраль 2025'!$G$4:$G$2441,'февраль 2025'!$D$4:$D$2441,$B147,'февраль 2025'!$J$4:$J$2441,J$1)</f>
        <v>0</v>
      </c>
      <c r="K147" s="183">
        <f>SUMIFS('февраль 2025'!$G$4:$G$2441,'февраль 2025'!$D$4:$D$2441,$B147,'февраль 2025'!$J$4:$J$2441,K$1)</f>
        <v>0</v>
      </c>
      <c r="L147" s="183">
        <f>SUMIFS('февраль 2025'!$G$4:$G$2441,'февраль 2025'!$D$4:$D$2441,$B147,'февраль 2025'!$J$4:$J$2441,L$1)</f>
        <v>0</v>
      </c>
      <c r="M147" s="183">
        <f>SUMIFS('февраль 2025'!$G$4:$G$2441,'февраль 2025'!$D$4:$D$2441,$B147,'февраль 2025'!$J$4:$J$2441,M$1)</f>
        <v>0</v>
      </c>
      <c r="N147" s="183">
        <f>SUMIFS('февраль 2025'!$G$4:$G$2441,'февраль 2025'!$D$4:$D$2441,$B147,'февраль 2025'!$J$4:$J$2441,N$1)</f>
        <v>0</v>
      </c>
      <c r="O147" s="183">
        <f>SUMIFS('февраль 2025'!$G$4:$G$2441,'февраль 2025'!$D$4:$D$2441,$B147,'февраль 2025'!$J$4:$J$2441,O$1)</f>
        <v>0</v>
      </c>
      <c r="P147" s="183">
        <f>SUMIFS('февраль 2025'!$G$4:$G$2441,'февраль 2025'!$D$4:$D$2441,$B147,'февраль 2025'!$J$4:$J$2441,P$1)</f>
        <v>0</v>
      </c>
      <c r="Q147" s="183">
        <f>SUMIFS('февраль 2025'!$G$4:$G$2441,'февраль 2025'!$D$4:$D$2441,$B147,'февраль 2025'!$J$4:$J$2441,Q$1)</f>
        <v>0</v>
      </c>
      <c r="R147" s="183">
        <f>SUMIFS('февраль 2025'!$G$4:$G$2441,'февраль 2025'!$D$4:$D$2441,$B147,'февраль 2025'!$J$4:$J$2441,R$1)</f>
        <v>0</v>
      </c>
      <c r="S147" s="183">
        <f>SUMIFS('февраль 2025'!$G$4:$G$2441,'февраль 2025'!$D$4:$D$2441,$B147,'февраль 2025'!$J$4:$J$2441,S$1)</f>
        <v>0</v>
      </c>
      <c r="T147" s="183">
        <f>SUMIFS('февраль 2025'!$G$4:$G$2441,'февраль 2025'!$D$4:$D$2441,$B147,'февраль 2025'!$J$4:$J$2441,T$1)</f>
        <v>0</v>
      </c>
      <c r="U147" s="183">
        <f>SUMIFS('февраль 2025'!$G$4:$G$2441,'февраль 2025'!$D$4:$D$2441,$B147,'февраль 2025'!$J$4:$J$2441,U$1)</f>
        <v>0</v>
      </c>
      <c r="V147" s="183">
        <f>SUMIFS('февраль 2025'!$G$4:$G$2441,'февраль 2025'!$D$4:$D$2441,$B147,'февраль 2025'!$J$4:$J$2441,V$1)</f>
        <v>0</v>
      </c>
      <c r="W147" s="183">
        <f>SUMIFS('февраль 2025'!$G$4:$G$2441,'февраль 2025'!$D$4:$D$2441,$B147,'февраль 2025'!$J$4:$J$2441,W$1)</f>
        <v>0</v>
      </c>
      <c r="X147" s="183">
        <f>SUMIFS('февраль 2025'!$G$4:$G$2441,'февраль 2025'!$D$4:$D$2441,$B147,'февраль 2025'!$J$4:$J$2441,X$1)</f>
        <v>0</v>
      </c>
      <c r="Y147" s="183">
        <f>SUMIFS('февраль 2025'!$G$4:$G$2441,'февраль 2025'!$D$4:$D$2441,$B147,'февраль 2025'!$J$4:$J$2441,Y$1)</f>
        <v>0</v>
      </c>
      <c r="Z147" s="183">
        <f>SUMIFS('февраль 2025'!$G$4:$G$2441,'февраль 2025'!$D$4:$D$2441,$B147,'февраль 2025'!$J$4:$J$2441,Z$1)</f>
        <v>0</v>
      </c>
      <c r="AA147" s="183">
        <f>SUMIFS('февраль 2025'!$G$4:$G$2441,'февраль 2025'!$D$4:$D$2441,$B147,'февраль 2025'!$J$4:$J$2441,AA$1)</f>
        <v>0</v>
      </c>
      <c r="AB147" s="183">
        <f>SUMIFS('февраль 2025'!$G$4:$G$2441,'февраль 2025'!$D$4:$D$2441,$B147,'февраль 2025'!$J$4:$J$2441,AB$1)</f>
        <v>0</v>
      </c>
      <c r="AC147" s="183">
        <f>SUMIFS('февраль 2025'!$G$4:$G$2441,'февраль 2025'!$D$4:$D$2441,$B147,'февраль 2025'!$J$4:$J$2441,AC$1)</f>
        <v>0</v>
      </c>
      <c r="AD147" s="183">
        <f>SUMIFS('февраль 2025'!$G$4:$G$2441,'февраль 2025'!$D$4:$D$2441,$B147,'февраль 2025'!$J$4:$J$2441,AD$1)</f>
        <v>0</v>
      </c>
      <c r="AE147" s="183">
        <f>SUMIFS('февраль 2025'!$G$4:$G$2441,'февраль 2025'!$D$4:$D$2441,$B147,'февраль 2025'!$J$4:$J$2441,AE$1)</f>
        <v>0</v>
      </c>
      <c r="AF147" s="183">
        <f>SUMIFS('февраль 2025'!$G$4:$G$2441,'февраль 2025'!$D$4:$D$2441,$B147,'февраль 2025'!$J$4:$J$2441,AF$1)</f>
        <v>0</v>
      </c>
      <c r="AG147" s="183">
        <f>SUMIFS('февраль 2025'!$G$4:$G$2441,'февраль 2025'!$D$4:$D$2441,$B147,'февраль 2025'!$J$4:$J$2441,AG$1)</f>
        <v>0</v>
      </c>
      <c r="AH147" s="183">
        <f>SUMIFS('февраль 2025'!$G$4:$G$2441,'февраль 2025'!$D$4:$D$2441,$B147,'февраль 2025'!$J$4:$J$2441,AH$1)</f>
        <v>0</v>
      </c>
      <c r="AI147" s="20">
        <f t="shared" si="1"/>
        <v>0</v>
      </c>
    </row>
    <row r="148" spans="2:35" ht="15" customHeight="1" x14ac:dyDescent="0.25">
      <c r="B148" s="84" t="s">
        <v>204</v>
      </c>
      <c r="C148" s="86">
        <v>200</v>
      </c>
      <c r="D148" s="183">
        <f>SUMIFS('февраль 2025'!$G$4:$G$2441,'февраль 2025'!$D$4:$D$2441,$B148,'февраль 2025'!$J$4:$J$2441,D$1)</f>
        <v>0</v>
      </c>
      <c r="E148" s="183">
        <f>SUMIFS('февраль 2025'!$G$4:$G$2441,'февраль 2025'!$D$4:$D$2441,$B148,'февраль 2025'!$J$4:$J$2441,E$1)</f>
        <v>0</v>
      </c>
      <c r="F148" s="183">
        <f>SUMIFS('февраль 2025'!$G$4:$G$2441,'февраль 2025'!$D$4:$D$2441,$B148,'февраль 2025'!$J$4:$J$2441,F$1)</f>
        <v>0</v>
      </c>
      <c r="G148" s="183">
        <f>SUMIFS('февраль 2025'!$G$4:$G$2441,'февраль 2025'!$D$4:$D$2441,$B148,'февраль 2025'!$J$4:$J$2441,G$1)</f>
        <v>0</v>
      </c>
      <c r="H148" s="183">
        <f>SUMIFS('февраль 2025'!$G$4:$G$2441,'февраль 2025'!$D$4:$D$2441,$B148,'февраль 2025'!$J$4:$J$2441,H$1)</f>
        <v>0</v>
      </c>
      <c r="I148" s="183">
        <f>SUMIFS('февраль 2025'!$G$4:$G$2441,'февраль 2025'!$D$4:$D$2441,$B148,'февраль 2025'!$J$4:$J$2441,I$1)</f>
        <v>0</v>
      </c>
      <c r="J148" s="183">
        <f>SUMIFS('февраль 2025'!$G$4:$G$2441,'февраль 2025'!$D$4:$D$2441,$B148,'февраль 2025'!$J$4:$J$2441,J$1)</f>
        <v>0</v>
      </c>
      <c r="K148" s="183">
        <f>SUMIFS('февраль 2025'!$G$4:$G$2441,'февраль 2025'!$D$4:$D$2441,$B148,'февраль 2025'!$J$4:$J$2441,K$1)</f>
        <v>0</v>
      </c>
      <c r="L148" s="183">
        <f>SUMIFS('февраль 2025'!$G$4:$G$2441,'февраль 2025'!$D$4:$D$2441,$B148,'февраль 2025'!$J$4:$J$2441,L$1)</f>
        <v>0</v>
      </c>
      <c r="M148" s="183">
        <f>SUMIFS('февраль 2025'!$G$4:$G$2441,'февраль 2025'!$D$4:$D$2441,$B148,'февраль 2025'!$J$4:$J$2441,M$1)</f>
        <v>0</v>
      </c>
      <c r="N148" s="183">
        <f>SUMIFS('февраль 2025'!$G$4:$G$2441,'февраль 2025'!$D$4:$D$2441,$B148,'февраль 2025'!$J$4:$J$2441,N$1)</f>
        <v>0</v>
      </c>
      <c r="O148" s="183">
        <f>SUMIFS('февраль 2025'!$G$4:$G$2441,'февраль 2025'!$D$4:$D$2441,$B148,'февраль 2025'!$J$4:$J$2441,O$1)</f>
        <v>0</v>
      </c>
      <c r="P148" s="183">
        <f>SUMIFS('февраль 2025'!$G$4:$G$2441,'февраль 2025'!$D$4:$D$2441,$B148,'февраль 2025'!$J$4:$J$2441,P$1)</f>
        <v>0</v>
      </c>
      <c r="Q148" s="183">
        <f>SUMIFS('февраль 2025'!$G$4:$G$2441,'февраль 2025'!$D$4:$D$2441,$B148,'февраль 2025'!$J$4:$J$2441,Q$1)</f>
        <v>0</v>
      </c>
      <c r="R148" s="183">
        <f>SUMIFS('февраль 2025'!$G$4:$G$2441,'февраль 2025'!$D$4:$D$2441,$B148,'февраль 2025'!$J$4:$J$2441,R$1)</f>
        <v>0</v>
      </c>
      <c r="S148" s="183">
        <f>SUMIFS('февраль 2025'!$G$4:$G$2441,'февраль 2025'!$D$4:$D$2441,$B148,'февраль 2025'!$J$4:$J$2441,S$1)</f>
        <v>0</v>
      </c>
      <c r="T148" s="183">
        <f>SUMIFS('февраль 2025'!$G$4:$G$2441,'февраль 2025'!$D$4:$D$2441,$B148,'февраль 2025'!$J$4:$J$2441,T$1)</f>
        <v>0</v>
      </c>
      <c r="U148" s="183">
        <f>SUMIFS('февраль 2025'!$G$4:$G$2441,'февраль 2025'!$D$4:$D$2441,$B148,'февраль 2025'!$J$4:$J$2441,U$1)</f>
        <v>0</v>
      </c>
      <c r="V148" s="183">
        <f>SUMIFS('февраль 2025'!$G$4:$G$2441,'февраль 2025'!$D$4:$D$2441,$B148,'февраль 2025'!$J$4:$J$2441,V$1)</f>
        <v>0</v>
      </c>
      <c r="W148" s="183">
        <f>SUMIFS('февраль 2025'!$G$4:$G$2441,'февраль 2025'!$D$4:$D$2441,$B148,'февраль 2025'!$J$4:$J$2441,W$1)</f>
        <v>0</v>
      </c>
      <c r="X148" s="183">
        <f>SUMIFS('февраль 2025'!$G$4:$G$2441,'февраль 2025'!$D$4:$D$2441,$B148,'февраль 2025'!$J$4:$J$2441,X$1)</f>
        <v>0</v>
      </c>
      <c r="Y148" s="183">
        <f>SUMIFS('февраль 2025'!$G$4:$G$2441,'февраль 2025'!$D$4:$D$2441,$B148,'февраль 2025'!$J$4:$J$2441,Y$1)</f>
        <v>0</v>
      </c>
      <c r="Z148" s="183">
        <f>SUMIFS('февраль 2025'!$G$4:$G$2441,'февраль 2025'!$D$4:$D$2441,$B148,'февраль 2025'!$J$4:$J$2441,Z$1)</f>
        <v>0</v>
      </c>
      <c r="AA148" s="183">
        <f>SUMIFS('февраль 2025'!$G$4:$G$2441,'февраль 2025'!$D$4:$D$2441,$B148,'февраль 2025'!$J$4:$J$2441,AA$1)</f>
        <v>0</v>
      </c>
      <c r="AB148" s="183">
        <f>SUMIFS('февраль 2025'!$G$4:$G$2441,'февраль 2025'!$D$4:$D$2441,$B148,'февраль 2025'!$J$4:$J$2441,AB$1)</f>
        <v>0</v>
      </c>
      <c r="AC148" s="183">
        <f>SUMIFS('февраль 2025'!$G$4:$G$2441,'февраль 2025'!$D$4:$D$2441,$B148,'февраль 2025'!$J$4:$J$2441,AC$1)</f>
        <v>0</v>
      </c>
      <c r="AD148" s="183">
        <f>SUMIFS('февраль 2025'!$G$4:$G$2441,'февраль 2025'!$D$4:$D$2441,$B148,'февраль 2025'!$J$4:$J$2441,AD$1)</f>
        <v>0</v>
      </c>
      <c r="AE148" s="183">
        <f>SUMIFS('февраль 2025'!$G$4:$G$2441,'февраль 2025'!$D$4:$D$2441,$B148,'февраль 2025'!$J$4:$J$2441,AE$1)</f>
        <v>0</v>
      </c>
      <c r="AF148" s="183">
        <f>SUMIFS('февраль 2025'!$G$4:$G$2441,'февраль 2025'!$D$4:$D$2441,$B148,'февраль 2025'!$J$4:$J$2441,AF$1)</f>
        <v>0</v>
      </c>
      <c r="AG148" s="183">
        <f>SUMIFS('февраль 2025'!$G$4:$G$2441,'февраль 2025'!$D$4:$D$2441,$B148,'февраль 2025'!$J$4:$J$2441,AG$1)</f>
        <v>0</v>
      </c>
      <c r="AH148" s="183">
        <f>SUMIFS('февраль 2025'!$G$4:$G$2441,'февраль 2025'!$D$4:$D$2441,$B148,'февраль 2025'!$J$4:$J$2441,AH$1)</f>
        <v>0</v>
      </c>
      <c r="AI148" s="20">
        <f t="shared" si="1"/>
        <v>0</v>
      </c>
    </row>
    <row r="149" spans="2:35" ht="15" customHeight="1" x14ac:dyDescent="0.25">
      <c r="B149" s="84" t="s">
        <v>290</v>
      </c>
      <c r="C149" s="86">
        <v>200</v>
      </c>
      <c r="D149" s="183">
        <f>SUMIFS('февраль 2025'!$G$4:$G$2441,'февраль 2025'!$D$4:$D$2441,$B149,'февраль 2025'!$J$4:$J$2441,D$1)</f>
        <v>0</v>
      </c>
      <c r="E149" s="183">
        <f>SUMIFS('февраль 2025'!$G$4:$G$2441,'февраль 2025'!$D$4:$D$2441,$B149,'февраль 2025'!$J$4:$J$2441,E$1)</f>
        <v>0</v>
      </c>
      <c r="F149" s="183">
        <f>SUMIFS('февраль 2025'!$G$4:$G$2441,'февраль 2025'!$D$4:$D$2441,$B149,'февраль 2025'!$J$4:$J$2441,F$1)</f>
        <v>0</v>
      </c>
      <c r="G149" s="183">
        <f>SUMIFS('февраль 2025'!$G$4:$G$2441,'февраль 2025'!$D$4:$D$2441,$B149,'февраль 2025'!$J$4:$J$2441,G$1)</f>
        <v>0</v>
      </c>
      <c r="H149" s="183">
        <f>SUMIFS('февраль 2025'!$G$4:$G$2441,'февраль 2025'!$D$4:$D$2441,$B149,'февраль 2025'!$J$4:$J$2441,H$1)</f>
        <v>0</v>
      </c>
      <c r="I149" s="183">
        <f>SUMIFS('февраль 2025'!$G$4:$G$2441,'февраль 2025'!$D$4:$D$2441,$B149,'февраль 2025'!$J$4:$J$2441,I$1)</f>
        <v>0</v>
      </c>
      <c r="J149" s="183">
        <f>SUMIFS('февраль 2025'!$G$4:$G$2441,'февраль 2025'!$D$4:$D$2441,$B149,'февраль 2025'!$J$4:$J$2441,J$1)</f>
        <v>0</v>
      </c>
      <c r="K149" s="183">
        <f>SUMIFS('февраль 2025'!$G$4:$G$2441,'февраль 2025'!$D$4:$D$2441,$B149,'февраль 2025'!$J$4:$J$2441,K$1)</f>
        <v>0</v>
      </c>
      <c r="L149" s="183">
        <f>SUMIFS('февраль 2025'!$G$4:$G$2441,'февраль 2025'!$D$4:$D$2441,$B149,'февраль 2025'!$J$4:$J$2441,L$1)</f>
        <v>0</v>
      </c>
      <c r="M149" s="183">
        <f>SUMIFS('февраль 2025'!$G$4:$G$2441,'февраль 2025'!$D$4:$D$2441,$B149,'февраль 2025'!$J$4:$J$2441,M$1)</f>
        <v>0</v>
      </c>
      <c r="N149" s="183">
        <f>SUMIFS('февраль 2025'!$G$4:$G$2441,'февраль 2025'!$D$4:$D$2441,$B149,'февраль 2025'!$J$4:$J$2441,N$1)</f>
        <v>0</v>
      </c>
      <c r="O149" s="183">
        <f>SUMIFS('февраль 2025'!$G$4:$G$2441,'февраль 2025'!$D$4:$D$2441,$B149,'февраль 2025'!$J$4:$J$2441,O$1)</f>
        <v>0</v>
      </c>
      <c r="P149" s="183">
        <f>SUMIFS('февраль 2025'!$G$4:$G$2441,'февраль 2025'!$D$4:$D$2441,$B149,'февраль 2025'!$J$4:$J$2441,P$1)</f>
        <v>0</v>
      </c>
      <c r="Q149" s="183">
        <f>SUMIFS('февраль 2025'!$G$4:$G$2441,'февраль 2025'!$D$4:$D$2441,$B149,'февраль 2025'!$J$4:$J$2441,Q$1)</f>
        <v>0</v>
      </c>
      <c r="R149" s="183">
        <f>SUMIFS('февраль 2025'!$G$4:$G$2441,'февраль 2025'!$D$4:$D$2441,$B149,'февраль 2025'!$J$4:$J$2441,R$1)</f>
        <v>0</v>
      </c>
      <c r="S149" s="183">
        <f>SUMIFS('февраль 2025'!$G$4:$G$2441,'февраль 2025'!$D$4:$D$2441,$B149,'февраль 2025'!$J$4:$J$2441,S$1)</f>
        <v>0</v>
      </c>
      <c r="T149" s="183">
        <f>SUMIFS('февраль 2025'!$G$4:$G$2441,'февраль 2025'!$D$4:$D$2441,$B149,'февраль 2025'!$J$4:$J$2441,T$1)</f>
        <v>0</v>
      </c>
      <c r="U149" s="183">
        <f>SUMIFS('февраль 2025'!$G$4:$G$2441,'февраль 2025'!$D$4:$D$2441,$B149,'февраль 2025'!$J$4:$J$2441,U$1)</f>
        <v>0</v>
      </c>
      <c r="V149" s="183">
        <f>SUMIFS('февраль 2025'!$G$4:$G$2441,'февраль 2025'!$D$4:$D$2441,$B149,'февраль 2025'!$J$4:$J$2441,V$1)</f>
        <v>0</v>
      </c>
      <c r="W149" s="183">
        <f>SUMIFS('февраль 2025'!$G$4:$G$2441,'февраль 2025'!$D$4:$D$2441,$B149,'февраль 2025'!$J$4:$J$2441,W$1)</f>
        <v>0</v>
      </c>
      <c r="X149" s="183">
        <f>SUMIFS('февраль 2025'!$G$4:$G$2441,'февраль 2025'!$D$4:$D$2441,$B149,'февраль 2025'!$J$4:$J$2441,X$1)</f>
        <v>0</v>
      </c>
      <c r="Y149" s="183">
        <f>SUMIFS('февраль 2025'!$G$4:$G$2441,'февраль 2025'!$D$4:$D$2441,$B149,'февраль 2025'!$J$4:$J$2441,Y$1)</f>
        <v>0</v>
      </c>
      <c r="Z149" s="183">
        <f>SUMIFS('февраль 2025'!$G$4:$G$2441,'февраль 2025'!$D$4:$D$2441,$B149,'февраль 2025'!$J$4:$J$2441,Z$1)</f>
        <v>0</v>
      </c>
      <c r="AA149" s="183">
        <f>SUMIFS('февраль 2025'!$G$4:$G$2441,'февраль 2025'!$D$4:$D$2441,$B149,'февраль 2025'!$J$4:$J$2441,AA$1)</f>
        <v>0</v>
      </c>
      <c r="AB149" s="183">
        <f>SUMIFS('февраль 2025'!$G$4:$G$2441,'февраль 2025'!$D$4:$D$2441,$B149,'февраль 2025'!$J$4:$J$2441,AB$1)</f>
        <v>0</v>
      </c>
      <c r="AC149" s="183">
        <f>SUMIFS('февраль 2025'!$G$4:$G$2441,'февраль 2025'!$D$4:$D$2441,$B149,'февраль 2025'!$J$4:$J$2441,AC$1)</f>
        <v>0</v>
      </c>
      <c r="AD149" s="183">
        <f>SUMIFS('февраль 2025'!$G$4:$G$2441,'февраль 2025'!$D$4:$D$2441,$B149,'февраль 2025'!$J$4:$J$2441,AD$1)</f>
        <v>0</v>
      </c>
      <c r="AE149" s="183">
        <f>SUMIFS('февраль 2025'!$G$4:$G$2441,'февраль 2025'!$D$4:$D$2441,$B149,'февраль 2025'!$J$4:$J$2441,AE$1)</f>
        <v>0</v>
      </c>
      <c r="AF149" s="183">
        <f>SUMIFS('февраль 2025'!$G$4:$G$2441,'февраль 2025'!$D$4:$D$2441,$B149,'февраль 2025'!$J$4:$J$2441,AF$1)</f>
        <v>0</v>
      </c>
      <c r="AG149" s="183">
        <f>SUMIFS('февраль 2025'!$G$4:$G$2441,'февраль 2025'!$D$4:$D$2441,$B149,'февраль 2025'!$J$4:$J$2441,AG$1)</f>
        <v>0</v>
      </c>
      <c r="AH149" s="183">
        <f>SUMIFS('февраль 2025'!$G$4:$G$2441,'февраль 2025'!$D$4:$D$2441,$B149,'февраль 2025'!$J$4:$J$2441,AH$1)</f>
        <v>0</v>
      </c>
      <c r="AI149" s="20">
        <f t="shared" si="1"/>
        <v>0</v>
      </c>
    </row>
    <row r="150" spans="2:35" ht="15" customHeight="1" x14ac:dyDescent="0.25">
      <c r="B150" s="88" t="s">
        <v>177</v>
      </c>
      <c r="C150" s="86">
        <v>25</v>
      </c>
      <c r="D150" s="183">
        <f>SUMIFS('февраль 2025'!$G$4:$G$2441,'февраль 2025'!$D$4:$D$2441,$B150,'февраль 2025'!$J$4:$J$2441,D$1)</f>
        <v>0</v>
      </c>
      <c r="E150" s="183">
        <f>SUMIFS('февраль 2025'!$G$4:$G$2441,'февраль 2025'!$D$4:$D$2441,$B150,'февраль 2025'!$J$4:$J$2441,E$1)</f>
        <v>0</v>
      </c>
      <c r="F150" s="183">
        <f>SUMIFS('февраль 2025'!$G$4:$G$2441,'февраль 2025'!$D$4:$D$2441,$B150,'февраль 2025'!$J$4:$J$2441,F$1)</f>
        <v>0</v>
      </c>
      <c r="G150" s="183">
        <f>SUMIFS('февраль 2025'!$G$4:$G$2441,'февраль 2025'!$D$4:$D$2441,$B150,'февраль 2025'!$J$4:$J$2441,G$1)</f>
        <v>0</v>
      </c>
      <c r="H150" s="183">
        <f>SUMIFS('февраль 2025'!$G$4:$G$2441,'февраль 2025'!$D$4:$D$2441,$B150,'февраль 2025'!$J$4:$J$2441,H$1)</f>
        <v>0</v>
      </c>
      <c r="I150" s="183">
        <f>SUMIFS('февраль 2025'!$G$4:$G$2441,'февраль 2025'!$D$4:$D$2441,$B150,'февраль 2025'!$J$4:$J$2441,I$1)</f>
        <v>0</v>
      </c>
      <c r="J150" s="183">
        <f>SUMIFS('февраль 2025'!$G$4:$G$2441,'февраль 2025'!$D$4:$D$2441,$B150,'февраль 2025'!$J$4:$J$2441,J$1)</f>
        <v>0</v>
      </c>
      <c r="K150" s="183">
        <f>SUMIFS('февраль 2025'!$G$4:$G$2441,'февраль 2025'!$D$4:$D$2441,$B150,'февраль 2025'!$J$4:$J$2441,K$1)</f>
        <v>0</v>
      </c>
      <c r="L150" s="183">
        <f>SUMIFS('февраль 2025'!$G$4:$G$2441,'февраль 2025'!$D$4:$D$2441,$B150,'февраль 2025'!$J$4:$J$2441,L$1)</f>
        <v>0</v>
      </c>
      <c r="M150" s="183">
        <f>SUMIFS('февраль 2025'!$G$4:$G$2441,'февраль 2025'!$D$4:$D$2441,$B150,'февраль 2025'!$J$4:$J$2441,M$1)</f>
        <v>0</v>
      </c>
      <c r="N150" s="183">
        <f>SUMIFS('февраль 2025'!$G$4:$G$2441,'февраль 2025'!$D$4:$D$2441,$B150,'февраль 2025'!$J$4:$J$2441,N$1)</f>
        <v>0</v>
      </c>
      <c r="O150" s="183">
        <f>SUMIFS('февраль 2025'!$G$4:$G$2441,'февраль 2025'!$D$4:$D$2441,$B150,'февраль 2025'!$J$4:$J$2441,O$1)</f>
        <v>0</v>
      </c>
      <c r="P150" s="183">
        <f>SUMIFS('февраль 2025'!$G$4:$G$2441,'февраль 2025'!$D$4:$D$2441,$B150,'февраль 2025'!$J$4:$J$2441,P$1)</f>
        <v>0</v>
      </c>
      <c r="Q150" s="183">
        <f>SUMIFS('февраль 2025'!$G$4:$G$2441,'февраль 2025'!$D$4:$D$2441,$B150,'февраль 2025'!$J$4:$J$2441,Q$1)</f>
        <v>0</v>
      </c>
      <c r="R150" s="183">
        <f>SUMIFS('февраль 2025'!$G$4:$G$2441,'февраль 2025'!$D$4:$D$2441,$B150,'февраль 2025'!$J$4:$J$2441,R$1)</f>
        <v>0</v>
      </c>
      <c r="S150" s="183">
        <f>SUMIFS('февраль 2025'!$G$4:$G$2441,'февраль 2025'!$D$4:$D$2441,$B150,'февраль 2025'!$J$4:$J$2441,S$1)</f>
        <v>0</v>
      </c>
      <c r="T150" s="183">
        <f>SUMIFS('февраль 2025'!$G$4:$G$2441,'февраль 2025'!$D$4:$D$2441,$B150,'февраль 2025'!$J$4:$J$2441,T$1)</f>
        <v>0</v>
      </c>
      <c r="U150" s="183">
        <f>SUMIFS('февраль 2025'!$G$4:$G$2441,'февраль 2025'!$D$4:$D$2441,$B150,'февраль 2025'!$J$4:$J$2441,U$1)</f>
        <v>0</v>
      </c>
      <c r="V150" s="183">
        <f>SUMIFS('февраль 2025'!$G$4:$G$2441,'февраль 2025'!$D$4:$D$2441,$B150,'февраль 2025'!$J$4:$J$2441,V$1)</f>
        <v>0</v>
      </c>
      <c r="W150" s="183">
        <f>SUMIFS('февраль 2025'!$G$4:$G$2441,'февраль 2025'!$D$4:$D$2441,$B150,'февраль 2025'!$J$4:$J$2441,W$1)</f>
        <v>0</v>
      </c>
      <c r="X150" s="183">
        <f>SUMIFS('февраль 2025'!$G$4:$G$2441,'февраль 2025'!$D$4:$D$2441,$B150,'февраль 2025'!$J$4:$J$2441,X$1)</f>
        <v>0</v>
      </c>
      <c r="Y150" s="183">
        <f>SUMIFS('февраль 2025'!$G$4:$G$2441,'февраль 2025'!$D$4:$D$2441,$B150,'февраль 2025'!$J$4:$J$2441,Y$1)</f>
        <v>0</v>
      </c>
      <c r="Z150" s="183">
        <f>SUMIFS('февраль 2025'!$G$4:$G$2441,'февраль 2025'!$D$4:$D$2441,$B150,'февраль 2025'!$J$4:$J$2441,Z$1)</f>
        <v>0</v>
      </c>
      <c r="AA150" s="183">
        <f>SUMIFS('февраль 2025'!$G$4:$G$2441,'февраль 2025'!$D$4:$D$2441,$B150,'февраль 2025'!$J$4:$J$2441,AA$1)</f>
        <v>0</v>
      </c>
      <c r="AB150" s="183">
        <f>SUMIFS('февраль 2025'!$G$4:$G$2441,'февраль 2025'!$D$4:$D$2441,$B150,'февраль 2025'!$J$4:$J$2441,AB$1)</f>
        <v>0</v>
      </c>
      <c r="AC150" s="183">
        <f>SUMIFS('февраль 2025'!$G$4:$G$2441,'февраль 2025'!$D$4:$D$2441,$B150,'февраль 2025'!$J$4:$J$2441,AC$1)</f>
        <v>0</v>
      </c>
      <c r="AD150" s="183">
        <f>SUMIFS('февраль 2025'!$G$4:$G$2441,'февраль 2025'!$D$4:$D$2441,$B150,'февраль 2025'!$J$4:$J$2441,AD$1)</f>
        <v>0</v>
      </c>
      <c r="AE150" s="183">
        <f>SUMIFS('февраль 2025'!$G$4:$G$2441,'февраль 2025'!$D$4:$D$2441,$B150,'февраль 2025'!$J$4:$J$2441,AE$1)</f>
        <v>0</v>
      </c>
      <c r="AF150" s="183">
        <f>SUMIFS('февраль 2025'!$G$4:$G$2441,'февраль 2025'!$D$4:$D$2441,$B150,'февраль 2025'!$J$4:$J$2441,AF$1)</f>
        <v>0</v>
      </c>
      <c r="AG150" s="183">
        <f>SUMIFS('февраль 2025'!$G$4:$G$2441,'февраль 2025'!$D$4:$D$2441,$B150,'февраль 2025'!$J$4:$J$2441,AG$1)</f>
        <v>0</v>
      </c>
      <c r="AH150" s="183">
        <f>SUMIFS('февраль 2025'!$G$4:$G$2441,'февраль 2025'!$D$4:$D$2441,$B150,'февраль 2025'!$J$4:$J$2441,AH$1)</f>
        <v>0</v>
      </c>
      <c r="AI150" s="20">
        <f t="shared" si="1"/>
        <v>0</v>
      </c>
    </row>
    <row r="151" spans="2:35" ht="15" customHeight="1" x14ac:dyDescent="0.25">
      <c r="B151" s="84" t="s">
        <v>175</v>
      </c>
      <c r="C151" s="83">
        <v>25</v>
      </c>
      <c r="D151" s="183">
        <f>SUMIFS('февраль 2025'!$G$4:$G$2441,'февраль 2025'!$D$4:$D$2441,$B151,'февраль 2025'!$J$4:$J$2441,D$1)</f>
        <v>0</v>
      </c>
      <c r="E151" s="183">
        <f>SUMIFS('февраль 2025'!$G$4:$G$2441,'февраль 2025'!$D$4:$D$2441,$B151,'февраль 2025'!$J$4:$J$2441,E$1)</f>
        <v>0</v>
      </c>
      <c r="F151" s="183">
        <f>SUMIFS('февраль 2025'!$G$4:$G$2441,'февраль 2025'!$D$4:$D$2441,$B151,'февраль 2025'!$J$4:$J$2441,F$1)</f>
        <v>0</v>
      </c>
      <c r="G151" s="183">
        <f>SUMIFS('февраль 2025'!$G$4:$G$2441,'февраль 2025'!$D$4:$D$2441,$B151,'февраль 2025'!$J$4:$J$2441,G$1)</f>
        <v>0</v>
      </c>
      <c r="H151" s="183">
        <f>SUMIFS('февраль 2025'!$G$4:$G$2441,'февраль 2025'!$D$4:$D$2441,$B151,'февраль 2025'!$J$4:$J$2441,H$1)</f>
        <v>0</v>
      </c>
      <c r="I151" s="183">
        <f>SUMIFS('февраль 2025'!$G$4:$G$2441,'февраль 2025'!$D$4:$D$2441,$B151,'февраль 2025'!$J$4:$J$2441,I$1)</f>
        <v>0</v>
      </c>
      <c r="J151" s="183">
        <f>SUMIFS('февраль 2025'!$G$4:$G$2441,'февраль 2025'!$D$4:$D$2441,$B151,'февраль 2025'!$J$4:$J$2441,J$1)</f>
        <v>0</v>
      </c>
      <c r="K151" s="183">
        <f>SUMIFS('февраль 2025'!$G$4:$G$2441,'февраль 2025'!$D$4:$D$2441,$B151,'февраль 2025'!$J$4:$J$2441,K$1)</f>
        <v>0</v>
      </c>
      <c r="L151" s="183">
        <f>SUMIFS('февраль 2025'!$G$4:$G$2441,'февраль 2025'!$D$4:$D$2441,$B151,'февраль 2025'!$J$4:$J$2441,L$1)</f>
        <v>0</v>
      </c>
      <c r="M151" s="183">
        <f>SUMIFS('февраль 2025'!$G$4:$G$2441,'февраль 2025'!$D$4:$D$2441,$B151,'февраль 2025'!$J$4:$J$2441,M$1)</f>
        <v>0</v>
      </c>
      <c r="N151" s="183">
        <f>SUMIFS('февраль 2025'!$G$4:$G$2441,'февраль 2025'!$D$4:$D$2441,$B151,'февраль 2025'!$J$4:$J$2441,N$1)</f>
        <v>0</v>
      </c>
      <c r="O151" s="183">
        <f>SUMIFS('февраль 2025'!$G$4:$G$2441,'февраль 2025'!$D$4:$D$2441,$B151,'февраль 2025'!$J$4:$J$2441,O$1)</f>
        <v>0</v>
      </c>
      <c r="P151" s="183">
        <f>SUMIFS('февраль 2025'!$G$4:$G$2441,'февраль 2025'!$D$4:$D$2441,$B151,'февраль 2025'!$J$4:$J$2441,P$1)</f>
        <v>0</v>
      </c>
      <c r="Q151" s="183">
        <f>SUMIFS('февраль 2025'!$G$4:$G$2441,'февраль 2025'!$D$4:$D$2441,$B151,'февраль 2025'!$J$4:$J$2441,Q$1)</f>
        <v>0</v>
      </c>
      <c r="R151" s="183">
        <f>SUMIFS('февраль 2025'!$G$4:$G$2441,'февраль 2025'!$D$4:$D$2441,$B151,'февраль 2025'!$J$4:$J$2441,R$1)</f>
        <v>0</v>
      </c>
      <c r="S151" s="183">
        <f>SUMIFS('февраль 2025'!$G$4:$G$2441,'февраль 2025'!$D$4:$D$2441,$B151,'февраль 2025'!$J$4:$J$2441,S$1)</f>
        <v>0</v>
      </c>
      <c r="T151" s="183">
        <f>SUMIFS('февраль 2025'!$G$4:$G$2441,'февраль 2025'!$D$4:$D$2441,$B151,'февраль 2025'!$J$4:$J$2441,T$1)</f>
        <v>0</v>
      </c>
      <c r="U151" s="183">
        <f>SUMIFS('февраль 2025'!$G$4:$G$2441,'февраль 2025'!$D$4:$D$2441,$B151,'февраль 2025'!$J$4:$J$2441,U$1)</f>
        <v>0</v>
      </c>
      <c r="V151" s="183">
        <f>SUMIFS('февраль 2025'!$G$4:$G$2441,'февраль 2025'!$D$4:$D$2441,$B151,'февраль 2025'!$J$4:$J$2441,V$1)</f>
        <v>0</v>
      </c>
      <c r="W151" s="183">
        <f>SUMIFS('февраль 2025'!$G$4:$G$2441,'февраль 2025'!$D$4:$D$2441,$B151,'февраль 2025'!$J$4:$J$2441,W$1)</f>
        <v>0</v>
      </c>
      <c r="X151" s="183">
        <f>SUMIFS('февраль 2025'!$G$4:$G$2441,'февраль 2025'!$D$4:$D$2441,$B151,'февраль 2025'!$J$4:$J$2441,X$1)</f>
        <v>0</v>
      </c>
      <c r="Y151" s="183">
        <f>SUMIFS('февраль 2025'!$G$4:$G$2441,'февраль 2025'!$D$4:$D$2441,$B151,'февраль 2025'!$J$4:$J$2441,Y$1)</f>
        <v>0</v>
      </c>
      <c r="Z151" s="183">
        <f>SUMIFS('февраль 2025'!$G$4:$G$2441,'февраль 2025'!$D$4:$D$2441,$B151,'февраль 2025'!$J$4:$J$2441,Z$1)</f>
        <v>0</v>
      </c>
      <c r="AA151" s="183">
        <f>SUMIFS('февраль 2025'!$G$4:$G$2441,'февраль 2025'!$D$4:$D$2441,$B151,'февраль 2025'!$J$4:$J$2441,AA$1)</f>
        <v>0</v>
      </c>
      <c r="AB151" s="183">
        <f>SUMIFS('февраль 2025'!$G$4:$G$2441,'февраль 2025'!$D$4:$D$2441,$B151,'февраль 2025'!$J$4:$J$2441,AB$1)</f>
        <v>0</v>
      </c>
      <c r="AC151" s="183">
        <f>SUMIFS('февраль 2025'!$G$4:$G$2441,'февраль 2025'!$D$4:$D$2441,$B151,'февраль 2025'!$J$4:$J$2441,AC$1)</f>
        <v>0</v>
      </c>
      <c r="AD151" s="183">
        <f>SUMIFS('февраль 2025'!$G$4:$G$2441,'февраль 2025'!$D$4:$D$2441,$B151,'февраль 2025'!$J$4:$J$2441,AD$1)</f>
        <v>0</v>
      </c>
      <c r="AE151" s="183">
        <f>SUMIFS('февраль 2025'!$G$4:$G$2441,'февраль 2025'!$D$4:$D$2441,$B151,'февраль 2025'!$J$4:$J$2441,AE$1)</f>
        <v>0</v>
      </c>
      <c r="AF151" s="183">
        <f>SUMIFS('февраль 2025'!$G$4:$G$2441,'февраль 2025'!$D$4:$D$2441,$B151,'февраль 2025'!$J$4:$J$2441,AF$1)</f>
        <v>0</v>
      </c>
      <c r="AG151" s="183">
        <f>SUMIFS('февраль 2025'!$G$4:$G$2441,'февраль 2025'!$D$4:$D$2441,$B151,'февраль 2025'!$J$4:$J$2441,AG$1)</f>
        <v>0</v>
      </c>
      <c r="AH151" s="183">
        <f>SUMIFS('февраль 2025'!$G$4:$G$2441,'февраль 2025'!$D$4:$D$2441,$B151,'февраль 2025'!$J$4:$J$2441,AH$1)</f>
        <v>0</v>
      </c>
      <c r="AI151" s="20">
        <f t="shared" si="1"/>
        <v>0</v>
      </c>
    </row>
    <row r="152" spans="2:35" ht="15" customHeight="1" x14ac:dyDescent="0.25">
      <c r="B152" s="84" t="s">
        <v>176</v>
      </c>
      <c r="C152" s="83">
        <v>25</v>
      </c>
      <c r="D152" s="183">
        <f>SUMIFS('февраль 2025'!$G$4:$G$2441,'февраль 2025'!$D$4:$D$2441,$B152,'февраль 2025'!$J$4:$J$2441,D$1)</f>
        <v>0</v>
      </c>
      <c r="E152" s="183">
        <f>SUMIFS('февраль 2025'!$G$4:$G$2441,'февраль 2025'!$D$4:$D$2441,$B152,'февраль 2025'!$J$4:$J$2441,E$1)</f>
        <v>0</v>
      </c>
      <c r="F152" s="183">
        <f>SUMIFS('февраль 2025'!$G$4:$G$2441,'февраль 2025'!$D$4:$D$2441,$B152,'февраль 2025'!$J$4:$J$2441,F$1)</f>
        <v>0</v>
      </c>
      <c r="G152" s="183">
        <f>SUMIFS('февраль 2025'!$G$4:$G$2441,'февраль 2025'!$D$4:$D$2441,$B152,'февраль 2025'!$J$4:$J$2441,G$1)</f>
        <v>0</v>
      </c>
      <c r="H152" s="183">
        <f>SUMIFS('февраль 2025'!$G$4:$G$2441,'февраль 2025'!$D$4:$D$2441,$B152,'февраль 2025'!$J$4:$J$2441,H$1)</f>
        <v>0</v>
      </c>
      <c r="I152" s="183">
        <f>SUMIFS('февраль 2025'!$G$4:$G$2441,'февраль 2025'!$D$4:$D$2441,$B152,'февраль 2025'!$J$4:$J$2441,I$1)</f>
        <v>0</v>
      </c>
      <c r="J152" s="183">
        <f>SUMIFS('февраль 2025'!$G$4:$G$2441,'февраль 2025'!$D$4:$D$2441,$B152,'февраль 2025'!$J$4:$J$2441,J$1)</f>
        <v>0</v>
      </c>
      <c r="K152" s="183">
        <f>SUMIFS('февраль 2025'!$G$4:$G$2441,'февраль 2025'!$D$4:$D$2441,$B152,'февраль 2025'!$J$4:$J$2441,K$1)</f>
        <v>0</v>
      </c>
      <c r="L152" s="183">
        <f>SUMIFS('февраль 2025'!$G$4:$G$2441,'февраль 2025'!$D$4:$D$2441,$B152,'февраль 2025'!$J$4:$J$2441,L$1)</f>
        <v>0</v>
      </c>
      <c r="M152" s="183">
        <f>SUMIFS('февраль 2025'!$G$4:$G$2441,'февраль 2025'!$D$4:$D$2441,$B152,'февраль 2025'!$J$4:$J$2441,M$1)</f>
        <v>0</v>
      </c>
      <c r="N152" s="183">
        <f>SUMIFS('февраль 2025'!$G$4:$G$2441,'февраль 2025'!$D$4:$D$2441,$B152,'февраль 2025'!$J$4:$J$2441,N$1)</f>
        <v>0</v>
      </c>
      <c r="O152" s="183">
        <f>SUMIFS('февраль 2025'!$G$4:$G$2441,'февраль 2025'!$D$4:$D$2441,$B152,'февраль 2025'!$J$4:$J$2441,O$1)</f>
        <v>0</v>
      </c>
      <c r="P152" s="183">
        <f>SUMIFS('февраль 2025'!$G$4:$G$2441,'февраль 2025'!$D$4:$D$2441,$B152,'февраль 2025'!$J$4:$J$2441,P$1)</f>
        <v>0</v>
      </c>
      <c r="Q152" s="183">
        <f>SUMIFS('февраль 2025'!$G$4:$G$2441,'февраль 2025'!$D$4:$D$2441,$B152,'февраль 2025'!$J$4:$J$2441,Q$1)</f>
        <v>0</v>
      </c>
      <c r="R152" s="183">
        <f>SUMIFS('февраль 2025'!$G$4:$G$2441,'февраль 2025'!$D$4:$D$2441,$B152,'февраль 2025'!$J$4:$J$2441,R$1)</f>
        <v>0</v>
      </c>
      <c r="S152" s="183">
        <f>SUMIFS('февраль 2025'!$G$4:$G$2441,'февраль 2025'!$D$4:$D$2441,$B152,'февраль 2025'!$J$4:$J$2441,S$1)</f>
        <v>0</v>
      </c>
      <c r="T152" s="183">
        <f>SUMIFS('февраль 2025'!$G$4:$G$2441,'февраль 2025'!$D$4:$D$2441,$B152,'февраль 2025'!$J$4:$J$2441,T$1)</f>
        <v>0</v>
      </c>
      <c r="U152" s="183">
        <f>SUMIFS('февраль 2025'!$G$4:$G$2441,'февраль 2025'!$D$4:$D$2441,$B152,'февраль 2025'!$J$4:$J$2441,U$1)</f>
        <v>0</v>
      </c>
      <c r="V152" s="183">
        <f>SUMIFS('февраль 2025'!$G$4:$G$2441,'февраль 2025'!$D$4:$D$2441,$B152,'февраль 2025'!$J$4:$J$2441,V$1)</f>
        <v>0</v>
      </c>
      <c r="W152" s="183">
        <f>SUMIFS('февраль 2025'!$G$4:$G$2441,'февраль 2025'!$D$4:$D$2441,$B152,'февраль 2025'!$J$4:$J$2441,W$1)</f>
        <v>0</v>
      </c>
      <c r="X152" s="183">
        <f>SUMIFS('февраль 2025'!$G$4:$G$2441,'февраль 2025'!$D$4:$D$2441,$B152,'февраль 2025'!$J$4:$J$2441,X$1)</f>
        <v>0</v>
      </c>
      <c r="Y152" s="183">
        <f>SUMIFS('февраль 2025'!$G$4:$G$2441,'февраль 2025'!$D$4:$D$2441,$B152,'февраль 2025'!$J$4:$J$2441,Y$1)</f>
        <v>0</v>
      </c>
      <c r="Z152" s="183">
        <f>SUMIFS('февраль 2025'!$G$4:$G$2441,'февраль 2025'!$D$4:$D$2441,$B152,'февраль 2025'!$J$4:$J$2441,Z$1)</f>
        <v>0</v>
      </c>
      <c r="AA152" s="183">
        <f>SUMIFS('февраль 2025'!$G$4:$G$2441,'февраль 2025'!$D$4:$D$2441,$B152,'февраль 2025'!$J$4:$J$2441,AA$1)</f>
        <v>0</v>
      </c>
      <c r="AB152" s="183">
        <f>SUMIFS('февраль 2025'!$G$4:$G$2441,'февраль 2025'!$D$4:$D$2441,$B152,'февраль 2025'!$J$4:$J$2441,AB$1)</f>
        <v>0</v>
      </c>
      <c r="AC152" s="183">
        <f>SUMIFS('февраль 2025'!$G$4:$G$2441,'февраль 2025'!$D$4:$D$2441,$B152,'февраль 2025'!$J$4:$J$2441,AC$1)</f>
        <v>0</v>
      </c>
      <c r="AD152" s="183">
        <f>SUMIFS('февраль 2025'!$G$4:$G$2441,'февраль 2025'!$D$4:$D$2441,$B152,'февраль 2025'!$J$4:$J$2441,AD$1)</f>
        <v>0</v>
      </c>
      <c r="AE152" s="183">
        <f>SUMIFS('февраль 2025'!$G$4:$G$2441,'февраль 2025'!$D$4:$D$2441,$B152,'февраль 2025'!$J$4:$J$2441,AE$1)</f>
        <v>0</v>
      </c>
      <c r="AF152" s="183">
        <f>SUMIFS('февраль 2025'!$G$4:$G$2441,'февраль 2025'!$D$4:$D$2441,$B152,'февраль 2025'!$J$4:$J$2441,AF$1)</f>
        <v>0</v>
      </c>
      <c r="AG152" s="183">
        <f>SUMIFS('февраль 2025'!$G$4:$G$2441,'февраль 2025'!$D$4:$D$2441,$B152,'февраль 2025'!$J$4:$J$2441,AG$1)</f>
        <v>0</v>
      </c>
      <c r="AH152" s="183">
        <f>SUMIFS('февраль 2025'!$G$4:$G$2441,'февраль 2025'!$D$4:$D$2441,$B152,'февраль 2025'!$J$4:$J$2441,AH$1)</f>
        <v>0</v>
      </c>
      <c r="AI152" s="20">
        <f t="shared" si="1"/>
        <v>0</v>
      </c>
    </row>
    <row r="153" spans="2:35" ht="15" customHeight="1" x14ac:dyDescent="0.25">
      <c r="B153" s="84" t="s">
        <v>201</v>
      </c>
      <c r="C153" s="83">
        <v>25</v>
      </c>
      <c r="D153" s="183">
        <f>SUMIFS('февраль 2025'!$G$4:$G$2441,'февраль 2025'!$D$4:$D$2441,$B153,'февраль 2025'!$J$4:$J$2441,D$1)</f>
        <v>0</v>
      </c>
      <c r="E153" s="183">
        <f>SUMIFS('февраль 2025'!$G$4:$G$2441,'февраль 2025'!$D$4:$D$2441,$B153,'февраль 2025'!$J$4:$J$2441,E$1)</f>
        <v>0</v>
      </c>
      <c r="F153" s="183">
        <f>SUMIFS('февраль 2025'!$G$4:$G$2441,'февраль 2025'!$D$4:$D$2441,$B153,'февраль 2025'!$J$4:$J$2441,F$1)</f>
        <v>0</v>
      </c>
      <c r="G153" s="183">
        <f>SUMIFS('февраль 2025'!$G$4:$G$2441,'февраль 2025'!$D$4:$D$2441,$B153,'февраль 2025'!$J$4:$J$2441,G$1)</f>
        <v>0</v>
      </c>
      <c r="H153" s="183">
        <f>SUMIFS('февраль 2025'!$G$4:$G$2441,'февраль 2025'!$D$4:$D$2441,$B153,'февраль 2025'!$J$4:$J$2441,H$1)</f>
        <v>0</v>
      </c>
      <c r="I153" s="183">
        <f>SUMIFS('февраль 2025'!$G$4:$G$2441,'февраль 2025'!$D$4:$D$2441,$B153,'февраль 2025'!$J$4:$J$2441,I$1)</f>
        <v>0</v>
      </c>
      <c r="J153" s="183">
        <f>SUMIFS('февраль 2025'!$G$4:$G$2441,'февраль 2025'!$D$4:$D$2441,$B153,'февраль 2025'!$J$4:$J$2441,J$1)</f>
        <v>0</v>
      </c>
      <c r="K153" s="183">
        <f>SUMIFS('февраль 2025'!$G$4:$G$2441,'февраль 2025'!$D$4:$D$2441,$B153,'февраль 2025'!$J$4:$J$2441,K$1)</f>
        <v>0</v>
      </c>
      <c r="L153" s="183">
        <f>SUMIFS('февраль 2025'!$G$4:$G$2441,'февраль 2025'!$D$4:$D$2441,$B153,'февраль 2025'!$J$4:$J$2441,L$1)</f>
        <v>0</v>
      </c>
      <c r="M153" s="183">
        <f>SUMIFS('февраль 2025'!$G$4:$G$2441,'февраль 2025'!$D$4:$D$2441,$B153,'февраль 2025'!$J$4:$J$2441,M$1)</f>
        <v>0</v>
      </c>
      <c r="N153" s="183">
        <f>SUMIFS('февраль 2025'!$G$4:$G$2441,'февраль 2025'!$D$4:$D$2441,$B153,'февраль 2025'!$J$4:$J$2441,N$1)</f>
        <v>0</v>
      </c>
      <c r="O153" s="183">
        <f>SUMIFS('февраль 2025'!$G$4:$G$2441,'февраль 2025'!$D$4:$D$2441,$B153,'февраль 2025'!$J$4:$J$2441,O$1)</f>
        <v>0</v>
      </c>
      <c r="P153" s="183">
        <f>SUMIFS('февраль 2025'!$G$4:$G$2441,'февраль 2025'!$D$4:$D$2441,$B153,'февраль 2025'!$J$4:$J$2441,P$1)</f>
        <v>0</v>
      </c>
      <c r="Q153" s="183">
        <f>SUMIFS('февраль 2025'!$G$4:$G$2441,'февраль 2025'!$D$4:$D$2441,$B153,'февраль 2025'!$J$4:$J$2441,Q$1)</f>
        <v>0</v>
      </c>
      <c r="R153" s="183">
        <f>SUMIFS('февраль 2025'!$G$4:$G$2441,'февраль 2025'!$D$4:$D$2441,$B153,'февраль 2025'!$J$4:$J$2441,R$1)</f>
        <v>0</v>
      </c>
      <c r="S153" s="183">
        <f>SUMIFS('февраль 2025'!$G$4:$G$2441,'февраль 2025'!$D$4:$D$2441,$B153,'февраль 2025'!$J$4:$J$2441,S$1)</f>
        <v>0</v>
      </c>
      <c r="T153" s="183">
        <f>SUMIFS('февраль 2025'!$G$4:$G$2441,'февраль 2025'!$D$4:$D$2441,$B153,'февраль 2025'!$J$4:$J$2441,T$1)</f>
        <v>0</v>
      </c>
      <c r="U153" s="183">
        <f>SUMIFS('февраль 2025'!$G$4:$G$2441,'февраль 2025'!$D$4:$D$2441,$B153,'февраль 2025'!$J$4:$J$2441,U$1)</f>
        <v>0</v>
      </c>
      <c r="V153" s="183">
        <f>SUMIFS('февраль 2025'!$G$4:$G$2441,'февраль 2025'!$D$4:$D$2441,$B153,'февраль 2025'!$J$4:$J$2441,V$1)</f>
        <v>0</v>
      </c>
      <c r="W153" s="183">
        <f>SUMIFS('февраль 2025'!$G$4:$G$2441,'февраль 2025'!$D$4:$D$2441,$B153,'февраль 2025'!$J$4:$J$2441,W$1)</f>
        <v>0</v>
      </c>
      <c r="X153" s="183">
        <f>SUMIFS('февраль 2025'!$G$4:$G$2441,'февраль 2025'!$D$4:$D$2441,$B153,'февраль 2025'!$J$4:$J$2441,X$1)</f>
        <v>0</v>
      </c>
      <c r="Y153" s="183">
        <f>SUMIFS('февраль 2025'!$G$4:$G$2441,'февраль 2025'!$D$4:$D$2441,$B153,'февраль 2025'!$J$4:$J$2441,Y$1)</f>
        <v>0</v>
      </c>
      <c r="Z153" s="183">
        <f>SUMIFS('февраль 2025'!$G$4:$G$2441,'февраль 2025'!$D$4:$D$2441,$B153,'февраль 2025'!$J$4:$J$2441,Z$1)</f>
        <v>0</v>
      </c>
      <c r="AA153" s="183">
        <f>SUMIFS('февраль 2025'!$G$4:$G$2441,'февраль 2025'!$D$4:$D$2441,$B153,'февраль 2025'!$J$4:$J$2441,AA$1)</f>
        <v>0</v>
      </c>
      <c r="AB153" s="183">
        <f>SUMIFS('февраль 2025'!$G$4:$G$2441,'февраль 2025'!$D$4:$D$2441,$B153,'февраль 2025'!$J$4:$J$2441,AB$1)</f>
        <v>0</v>
      </c>
      <c r="AC153" s="183">
        <f>SUMIFS('февраль 2025'!$G$4:$G$2441,'февраль 2025'!$D$4:$D$2441,$B153,'февраль 2025'!$J$4:$J$2441,AC$1)</f>
        <v>0</v>
      </c>
      <c r="AD153" s="183">
        <f>SUMIFS('февраль 2025'!$G$4:$G$2441,'февраль 2025'!$D$4:$D$2441,$B153,'февраль 2025'!$J$4:$J$2441,AD$1)</f>
        <v>0</v>
      </c>
      <c r="AE153" s="183">
        <f>SUMIFS('февраль 2025'!$G$4:$G$2441,'февраль 2025'!$D$4:$D$2441,$B153,'февраль 2025'!$J$4:$J$2441,AE$1)</f>
        <v>0</v>
      </c>
      <c r="AF153" s="183">
        <f>SUMIFS('февраль 2025'!$G$4:$G$2441,'февраль 2025'!$D$4:$D$2441,$B153,'февраль 2025'!$J$4:$J$2441,AF$1)</f>
        <v>0</v>
      </c>
      <c r="AG153" s="183">
        <f>SUMIFS('февраль 2025'!$G$4:$G$2441,'февраль 2025'!$D$4:$D$2441,$B153,'февраль 2025'!$J$4:$J$2441,AG$1)</f>
        <v>0</v>
      </c>
      <c r="AH153" s="183">
        <f>SUMIFS('февраль 2025'!$G$4:$G$2441,'февраль 2025'!$D$4:$D$2441,$B153,'февраль 2025'!$J$4:$J$2441,AH$1)</f>
        <v>0</v>
      </c>
      <c r="AI153" s="20">
        <f t="shared" si="1"/>
        <v>0</v>
      </c>
    </row>
    <row r="154" spans="2:35" ht="15" customHeight="1" x14ac:dyDescent="0.25">
      <c r="B154" s="84" t="s">
        <v>300</v>
      </c>
      <c r="C154" s="83">
        <v>200</v>
      </c>
      <c r="D154" s="183">
        <f>SUMIFS('февраль 2025'!$G$4:$G$2441,'февраль 2025'!$D$4:$D$2441,$B154,'февраль 2025'!$J$4:$J$2441,D$1)</f>
        <v>0</v>
      </c>
      <c r="E154" s="183">
        <f>SUMIFS('февраль 2025'!$G$4:$G$2441,'февраль 2025'!$D$4:$D$2441,$B154,'февраль 2025'!$J$4:$J$2441,E$1)</f>
        <v>0</v>
      </c>
      <c r="F154" s="183">
        <f>SUMIFS('февраль 2025'!$G$4:$G$2441,'февраль 2025'!$D$4:$D$2441,$B154,'февраль 2025'!$J$4:$J$2441,F$1)</f>
        <v>0</v>
      </c>
      <c r="G154" s="183">
        <f>SUMIFS('февраль 2025'!$G$4:$G$2441,'февраль 2025'!$D$4:$D$2441,$B154,'февраль 2025'!$J$4:$J$2441,G$1)</f>
        <v>0</v>
      </c>
      <c r="H154" s="183">
        <f>SUMIFS('февраль 2025'!$G$4:$G$2441,'февраль 2025'!$D$4:$D$2441,$B154,'февраль 2025'!$J$4:$J$2441,H$1)</f>
        <v>0</v>
      </c>
      <c r="I154" s="183">
        <f>SUMIFS('февраль 2025'!$G$4:$G$2441,'февраль 2025'!$D$4:$D$2441,$B154,'февраль 2025'!$J$4:$J$2441,I$1)</f>
        <v>0</v>
      </c>
      <c r="J154" s="183">
        <f>SUMIFS('февраль 2025'!$G$4:$G$2441,'февраль 2025'!$D$4:$D$2441,$B154,'февраль 2025'!$J$4:$J$2441,J$1)</f>
        <v>0</v>
      </c>
      <c r="K154" s="183">
        <f>SUMIFS('февраль 2025'!$G$4:$G$2441,'февраль 2025'!$D$4:$D$2441,$B154,'февраль 2025'!$J$4:$J$2441,K$1)</f>
        <v>0</v>
      </c>
      <c r="L154" s="183">
        <f>SUMIFS('февраль 2025'!$G$4:$G$2441,'февраль 2025'!$D$4:$D$2441,$B154,'февраль 2025'!$J$4:$J$2441,L$1)</f>
        <v>0</v>
      </c>
      <c r="M154" s="183">
        <f>SUMIFS('февраль 2025'!$G$4:$G$2441,'февраль 2025'!$D$4:$D$2441,$B154,'февраль 2025'!$J$4:$J$2441,M$1)</f>
        <v>0</v>
      </c>
      <c r="N154" s="183">
        <f>SUMIFS('февраль 2025'!$G$4:$G$2441,'февраль 2025'!$D$4:$D$2441,$B154,'февраль 2025'!$J$4:$J$2441,N$1)</f>
        <v>0</v>
      </c>
      <c r="O154" s="183">
        <f>SUMIFS('февраль 2025'!$G$4:$G$2441,'февраль 2025'!$D$4:$D$2441,$B154,'февраль 2025'!$J$4:$J$2441,O$1)</f>
        <v>0</v>
      </c>
      <c r="P154" s="183">
        <f>SUMIFS('февраль 2025'!$G$4:$G$2441,'февраль 2025'!$D$4:$D$2441,$B154,'февраль 2025'!$J$4:$J$2441,P$1)</f>
        <v>0</v>
      </c>
      <c r="Q154" s="183">
        <f>SUMIFS('февраль 2025'!$G$4:$G$2441,'февраль 2025'!$D$4:$D$2441,$B154,'февраль 2025'!$J$4:$J$2441,Q$1)</f>
        <v>0</v>
      </c>
      <c r="R154" s="183">
        <f>SUMIFS('февраль 2025'!$G$4:$G$2441,'февраль 2025'!$D$4:$D$2441,$B154,'февраль 2025'!$J$4:$J$2441,R$1)</f>
        <v>0</v>
      </c>
      <c r="S154" s="183">
        <f>SUMIFS('февраль 2025'!$G$4:$G$2441,'февраль 2025'!$D$4:$D$2441,$B154,'февраль 2025'!$J$4:$J$2441,S$1)</f>
        <v>0</v>
      </c>
      <c r="T154" s="183">
        <f>SUMIFS('февраль 2025'!$G$4:$G$2441,'февраль 2025'!$D$4:$D$2441,$B154,'февраль 2025'!$J$4:$J$2441,T$1)</f>
        <v>0</v>
      </c>
      <c r="U154" s="183">
        <f>SUMIFS('февраль 2025'!$G$4:$G$2441,'февраль 2025'!$D$4:$D$2441,$B154,'февраль 2025'!$J$4:$J$2441,U$1)</f>
        <v>0</v>
      </c>
      <c r="V154" s="183">
        <f>SUMIFS('февраль 2025'!$G$4:$G$2441,'февраль 2025'!$D$4:$D$2441,$B154,'февраль 2025'!$J$4:$J$2441,V$1)</f>
        <v>0</v>
      </c>
      <c r="W154" s="183">
        <f>SUMIFS('февраль 2025'!$G$4:$G$2441,'февраль 2025'!$D$4:$D$2441,$B154,'февраль 2025'!$J$4:$J$2441,W$1)</f>
        <v>0</v>
      </c>
      <c r="X154" s="183">
        <f>SUMIFS('февраль 2025'!$G$4:$G$2441,'февраль 2025'!$D$4:$D$2441,$B154,'февраль 2025'!$J$4:$J$2441,X$1)</f>
        <v>0</v>
      </c>
      <c r="Y154" s="183">
        <f>SUMIFS('февраль 2025'!$G$4:$G$2441,'февраль 2025'!$D$4:$D$2441,$B154,'февраль 2025'!$J$4:$J$2441,Y$1)</f>
        <v>0</v>
      </c>
      <c r="Z154" s="183">
        <f>SUMIFS('февраль 2025'!$G$4:$G$2441,'февраль 2025'!$D$4:$D$2441,$B154,'февраль 2025'!$J$4:$J$2441,Z$1)</f>
        <v>0</v>
      </c>
      <c r="AA154" s="183">
        <f>SUMIFS('февраль 2025'!$G$4:$G$2441,'февраль 2025'!$D$4:$D$2441,$B154,'февраль 2025'!$J$4:$J$2441,AA$1)</f>
        <v>0</v>
      </c>
      <c r="AB154" s="183">
        <f>SUMIFS('февраль 2025'!$G$4:$G$2441,'февраль 2025'!$D$4:$D$2441,$B154,'февраль 2025'!$J$4:$J$2441,AB$1)</f>
        <v>0</v>
      </c>
      <c r="AC154" s="183">
        <f>SUMIFS('февраль 2025'!$G$4:$G$2441,'февраль 2025'!$D$4:$D$2441,$B154,'февраль 2025'!$J$4:$J$2441,AC$1)</f>
        <v>32</v>
      </c>
      <c r="AD154" s="183">
        <f>SUMIFS('февраль 2025'!$G$4:$G$2441,'февраль 2025'!$D$4:$D$2441,$B154,'февраль 2025'!$J$4:$J$2441,AD$1)</f>
        <v>0</v>
      </c>
      <c r="AE154" s="183">
        <f>SUMIFS('февраль 2025'!$G$4:$G$2441,'февраль 2025'!$D$4:$D$2441,$B154,'февраль 2025'!$J$4:$J$2441,AE$1)</f>
        <v>0</v>
      </c>
      <c r="AF154" s="183">
        <f>SUMIFS('февраль 2025'!$G$4:$G$2441,'февраль 2025'!$D$4:$D$2441,$B154,'февраль 2025'!$J$4:$J$2441,AF$1)</f>
        <v>0</v>
      </c>
      <c r="AG154" s="183">
        <f>SUMIFS('февраль 2025'!$G$4:$G$2441,'февраль 2025'!$D$4:$D$2441,$B154,'февраль 2025'!$J$4:$J$2441,AG$1)</f>
        <v>0</v>
      </c>
      <c r="AH154" s="183">
        <f>SUMIFS('февраль 2025'!$G$4:$G$2441,'февраль 2025'!$D$4:$D$2441,$B154,'февраль 2025'!$J$4:$J$2441,AH$1)</f>
        <v>0</v>
      </c>
      <c r="AI154" s="20">
        <f>SUM(D154:AH154)</f>
        <v>32</v>
      </c>
    </row>
    <row r="155" spans="2:35" ht="15" customHeight="1" x14ac:dyDescent="0.25">
      <c r="B155" s="84" t="s">
        <v>307</v>
      </c>
      <c r="C155" s="83">
        <v>175</v>
      </c>
      <c r="D155" s="183">
        <f>SUMIFS('февраль 2025'!$G$4:$G$2441,'февраль 2025'!$D$4:$D$2441,$B155,'февраль 2025'!$J$4:$J$2441,D$1)</f>
        <v>0</v>
      </c>
      <c r="E155" s="183">
        <f>SUMIFS('февраль 2025'!$G$4:$G$2441,'февраль 2025'!$D$4:$D$2441,$B155,'февраль 2025'!$J$4:$J$2441,E$1)</f>
        <v>0</v>
      </c>
      <c r="F155" s="183">
        <f>SUMIFS('февраль 2025'!$G$4:$G$2441,'февраль 2025'!$D$4:$D$2441,$B155,'февраль 2025'!$J$4:$J$2441,F$1)</f>
        <v>0</v>
      </c>
      <c r="G155" s="183">
        <f>SUMIFS('февраль 2025'!$G$4:$G$2441,'февраль 2025'!$D$4:$D$2441,$B155,'февраль 2025'!$J$4:$J$2441,G$1)</f>
        <v>0</v>
      </c>
      <c r="H155" s="183">
        <f>SUMIFS('февраль 2025'!$G$4:$G$2441,'февраль 2025'!$D$4:$D$2441,$B155,'февраль 2025'!$J$4:$J$2441,H$1)</f>
        <v>0</v>
      </c>
      <c r="I155" s="183">
        <f>SUMIFS('февраль 2025'!$G$4:$G$2441,'февраль 2025'!$D$4:$D$2441,$B155,'февраль 2025'!$J$4:$J$2441,I$1)</f>
        <v>0</v>
      </c>
      <c r="J155" s="183">
        <f>SUMIFS('февраль 2025'!$G$4:$G$2441,'февраль 2025'!$D$4:$D$2441,$B155,'февраль 2025'!$J$4:$J$2441,J$1)</f>
        <v>0</v>
      </c>
      <c r="K155" s="183">
        <f>SUMIFS('февраль 2025'!$G$4:$G$2441,'февраль 2025'!$D$4:$D$2441,$B155,'февраль 2025'!$J$4:$J$2441,K$1)</f>
        <v>0</v>
      </c>
      <c r="L155" s="183">
        <f>SUMIFS('февраль 2025'!$G$4:$G$2441,'февраль 2025'!$D$4:$D$2441,$B155,'февраль 2025'!$J$4:$J$2441,L$1)</f>
        <v>0</v>
      </c>
      <c r="M155" s="183">
        <f>SUMIFS('февраль 2025'!$G$4:$G$2441,'февраль 2025'!$D$4:$D$2441,$B155,'февраль 2025'!$J$4:$J$2441,M$1)</f>
        <v>0</v>
      </c>
      <c r="N155" s="183">
        <f>SUMIFS('февраль 2025'!$G$4:$G$2441,'февраль 2025'!$D$4:$D$2441,$B155,'февраль 2025'!$J$4:$J$2441,N$1)</f>
        <v>0</v>
      </c>
      <c r="O155" s="183">
        <f>SUMIFS('февраль 2025'!$G$4:$G$2441,'февраль 2025'!$D$4:$D$2441,$B155,'февраль 2025'!$J$4:$J$2441,O$1)</f>
        <v>0</v>
      </c>
      <c r="P155" s="183">
        <f>SUMIFS('февраль 2025'!$G$4:$G$2441,'февраль 2025'!$D$4:$D$2441,$B155,'февраль 2025'!$J$4:$J$2441,P$1)</f>
        <v>0</v>
      </c>
      <c r="Q155" s="183">
        <f>SUMIFS('февраль 2025'!$G$4:$G$2441,'февраль 2025'!$D$4:$D$2441,$B155,'февраль 2025'!$J$4:$J$2441,Q$1)</f>
        <v>0</v>
      </c>
      <c r="R155" s="183">
        <f>SUMIFS('февраль 2025'!$G$4:$G$2441,'февраль 2025'!$D$4:$D$2441,$B155,'февраль 2025'!$J$4:$J$2441,R$1)</f>
        <v>0</v>
      </c>
      <c r="S155" s="183">
        <f>SUMIFS('февраль 2025'!$G$4:$G$2441,'февраль 2025'!$D$4:$D$2441,$B155,'февраль 2025'!$J$4:$J$2441,S$1)</f>
        <v>0</v>
      </c>
      <c r="T155" s="183">
        <f>SUMIFS('февраль 2025'!$G$4:$G$2441,'февраль 2025'!$D$4:$D$2441,$B155,'февраль 2025'!$J$4:$J$2441,T$1)</f>
        <v>0</v>
      </c>
      <c r="U155" s="183">
        <f>SUMIFS('февраль 2025'!$G$4:$G$2441,'февраль 2025'!$D$4:$D$2441,$B155,'февраль 2025'!$J$4:$J$2441,U$1)</f>
        <v>0</v>
      </c>
      <c r="V155" s="183">
        <f>SUMIFS('февраль 2025'!$G$4:$G$2441,'февраль 2025'!$D$4:$D$2441,$B155,'февраль 2025'!$J$4:$J$2441,V$1)</f>
        <v>0</v>
      </c>
      <c r="W155" s="183">
        <f>SUMIFS('февраль 2025'!$G$4:$G$2441,'февраль 2025'!$D$4:$D$2441,$B155,'февраль 2025'!$J$4:$J$2441,W$1)</f>
        <v>0</v>
      </c>
      <c r="X155" s="183">
        <f>SUMIFS('февраль 2025'!$G$4:$G$2441,'февраль 2025'!$D$4:$D$2441,$B155,'февраль 2025'!$J$4:$J$2441,X$1)</f>
        <v>0</v>
      </c>
      <c r="Y155" s="183">
        <f>SUMIFS('февраль 2025'!$G$4:$G$2441,'февраль 2025'!$D$4:$D$2441,$B155,'февраль 2025'!$J$4:$J$2441,Y$1)</f>
        <v>0</v>
      </c>
      <c r="Z155" s="183">
        <f>SUMIFS('февраль 2025'!$G$4:$G$2441,'февраль 2025'!$D$4:$D$2441,$B155,'февраль 2025'!$J$4:$J$2441,Z$1)</f>
        <v>0</v>
      </c>
      <c r="AA155" s="183">
        <f>SUMIFS('февраль 2025'!$G$4:$G$2441,'февраль 2025'!$D$4:$D$2441,$B155,'февраль 2025'!$J$4:$J$2441,AA$1)</f>
        <v>0</v>
      </c>
      <c r="AB155" s="183">
        <f>SUMIFS('февраль 2025'!$G$4:$G$2441,'февраль 2025'!$D$4:$D$2441,$B155,'февраль 2025'!$J$4:$J$2441,AB$1)</f>
        <v>0</v>
      </c>
      <c r="AC155" s="183">
        <f>SUMIFS('февраль 2025'!$G$4:$G$2441,'февраль 2025'!$D$4:$D$2441,$B155,'февраль 2025'!$J$4:$J$2441,AC$1)</f>
        <v>0</v>
      </c>
      <c r="AD155" s="183">
        <f>SUMIFS('февраль 2025'!$G$4:$G$2441,'февраль 2025'!$D$4:$D$2441,$B155,'февраль 2025'!$J$4:$J$2441,AD$1)</f>
        <v>0</v>
      </c>
      <c r="AE155" s="183">
        <f>SUMIFS('февраль 2025'!$G$4:$G$2441,'февраль 2025'!$D$4:$D$2441,$B155,'февраль 2025'!$J$4:$J$2441,AE$1)</f>
        <v>0</v>
      </c>
      <c r="AF155" s="183">
        <f>SUMIFS('февраль 2025'!$G$4:$G$2441,'февраль 2025'!$D$4:$D$2441,$B155,'февраль 2025'!$J$4:$J$2441,AF$1)</f>
        <v>0</v>
      </c>
      <c r="AG155" s="183">
        <f>SUMIFS('февраль 2025'!$G$4:$G$2441,'февраль 2025'!$D$4:$D$2441,$B155,'февраль 2025'!$J$4:$J$2441,AG$1)</f>
        <v>0</v>
      </c>
      <c r="AH155" s="183">
        <f>SUMIFS('февраль 2025'!$G$4:$G$2441,'февраль 2025'!$D$4:$D$2441,$B155,'февраль 2025'!$J$4:$J$2441,AH$1)</f>
        <v>0</v>
      </c>
      <c r="AI155" s="20">
        <f>SUM(D155:AH155)</f>
        <v>0</v>
      </c>
    </row>
    <row r="156" spans="2:35" ht="15" customHeight="1" x14ac:dyDescent="0.25">
      <c r="B156" s="84" t="s">
        <v>324</v>
      </c>
      <c r="C156" s="83">
        <v>950</v>
      </c>
      <c r="D156" s="183">
        <f>SUMIFS('февраль 2025'!$G$4:$G$2441,'февраль 2025'!$D$4:$D$2441,$B156,'февраль 2025'!$J$4:$J$2441,D$1)</f>
        <v>0</v>
      </c>
      <c r="E156" s="183">
        <f>SUMIFS('февраль 2025'!$G$4:$G$2441,'февраль 2025'!$D$4:$D$2441,$B156,'февраль 2025'!$J$4:$J$2441,E$1)</f>
        <v>0</v>
      </c>
      <c r="F156" s="183">
        <f>SUMIFS('февраль 2025'!$G$4:$G$2441,'февраль 2025'!$D$4:$D$2441,$B156,'февраль 2025'!$J$4:$J$2441,F$1)</f>
        <v>0</v>
      </c>
      <c r="G156" s="183">
        <f>SUMIFS('февраль 2025'!$G$4:$G$2441,'февраль 2025'!$D$4:$D$2441,$B156,'февраль 2025'!$J$4:$J$2441,G$1)</f>
        <v>0</v>
      </c>
      <c r="H156" s="183">
        <f>SUMIFS('февраль 2025'!$G$4:$G$2441,'февраль 2025'!$D$4:$D$2441,$B156,'февраль 2025'!$J$4:$J$2441,H$1)</f>
        <v>0</v>
      </c>
      <c r="I156" s="183">
        <f>SUMIFS('февраль 2025'!$G$4:$G$2441,'февраль 2025'!$D$4:$D$2441,$B156,'февраль 2025'!$J$4:$J$2441,I$1)</f>
        <v>0</v>
      </c>
      <c r="J156" s="183">
        <f>SUMIFS('февраль 2025'!$G$4:$G$2441,'февраль 2025'!$D$4:$D$2441,$B156,'февраль 2025'!$J$4:$J$2441,J$1)</f>
        <v>0</v>
      </c>
      <c r="K156" s="183">
        <f>SUMIFS('февраль 2025'!$G$4:$G$2441,'февраль 2025'!$D$4:$D$2441,$B156,'февраль 2025'!$J$4:$J$2441,K$1)</f>
        <v>0</v>
      </c>
      <c r="L156" s="183">
        <f>SUMIFS('февраль 2025'!$G$4:$G$2441,'февраль 2025'!$D$4:$D$2441,$B156,'февраль 2025'!$J$4:$J$2441,L$1)</f>
        <v>0</v>
      </c>
      <c r="M156" s="183">
        <f>SUMIFS('февраль 2025'!$G$4:$G$2441,'февраль 2025'!$D$4:$D$2441,$B156,'февраль 2025'!$J$4:$J$2441,M$1)</f>
        <v>0</v>
      </c>
      <c r="N156" s="183">
        <f>SUMIFS('февраль 2025'!$G$4:$G$2441,'февраль 2025'!$D$4:$D$2441,$B156,'февраль 2025'!$J$4:$J$2441,N$1)</f>
        <v>0</v>
      </c>
      <c r="O156" s="183">
        <f>SUMIFS('февраль 2025'!$G$4:$G$2441,'февраль 2025'!$D$4:$D$2441,$B156,'февраль 2025'!$J$4:$J$2441,O$1)</f>
        <v>0</v>
      </c>
      <c r="P156" s="183">
        <f>SUMIFS('февраль 2025'!$G$4:$G$2441,'февраль 2025'!$D$4:$D$2441,$B156,'февраль 2025'!$J$4:$J$2441,P$1)</f>
        <v>0</v>
      </c>
      <c r="Q156" s="183">
        <f>SUMIFS('февраль 2025'!$G$4:$G$2441,'февраль 2025'!$D$4:$D$2441,$B156,'февраль 2025'!$J$4:$J$2441,Q$1)</f>
        <v>0</v>
      </c>
      <c r="R156" s="183">
        <f>SUMIFS('февраль 2025'!$G$4:$G$2441,'февраль 2025'!$D$4:$D$2441,$B156,'февраль 2025'!$J$4:$J$2441,R$1)</f>
        <v>0</v>
      </c>
      <c r="S156" s="183">
        <f>SUMIFS('февраль 2025'!$G$4:$G$2441,'февраль 2025'!$D$4:$D$2441,$B156,'февраль 2025'!$J$4:$J$2441,S$1)</f>
        <v>0</v>
      </c>
      <c r="T156" s="183">
        <f>SUMIFS('февраль 2025'!$G$4:$G$2441,'февраль 2025'!$D$4:$D$2441,$B156,'февраль 2025'!$J$4:$J$2441,T$1)</f>
        <v>0</v>
      </c>
      <c r="U156" s="183">
        <f>SUMIFS('февраль 2025'!$G$4:$G$2441,'февраль 2025'!$D$4:$D$2441,$B156,'февраль 2025'!$J$4:$J$2441,U$1)</f>
        <v>0</v>
      </c>
      <c r="V156" s="183">
        <f>SUMIFS('февраль 2025'!$G$4:$G$2441,'февраль 2025'!$D$4:$D$2441,$B156,'февраль 2025'!$J$4:$J$2441,V$1)</f>
        <v>0</v>
      </c>
      <c r="W156" s="183">
        <f>SUMIFS('февраль 2025'!$G$4:$G$2441,'февраль 2025'!$D$4:$D$2441,$B156,'февраль 2025'!$J$4:$J$2441,W$1)</f>
        <v>0</v>
      </c>
      <c r="X156" s="183">
        <f>SUMIFS('февраль 2025'!$G$4:$G$2441,'февраль 2025'!$D$4:$D$2441,$B156,'февраль 2025'!$J$4:$J$2441,X$1)</f>
        <v>0</v>
      </c>
      <c r="Y156" s="183">
        <f>SUMIFS('февраль 2025'!$G$4:$G$2441,'февраль 2025'!$D$4:$D$2441,$B156,'февраль 2025'!$J$4:$J$2441,Y$1)</f>
        <v>0</v>
      </c>
      <c r="Z156" s="183">
        <f>SUMIFS('февраль 2025'!$G$4:$G$2441,'февраль 2025'!$D$4:$D$2441,$B156,'февраль 2025'!$J$4:$J$2441,Z$1)</f>
        <v>0</v>
      </c>
      <c r="AA156" s="183">
        <f>SUMIFS('февраль 2025'!$G$4:$G$2441,'февраль 2025'!$D$4:$D$2441,$B156,'февраль 2025'!$J$4:$J$2441,AA$1)</f>
        <v>0</v>
      </c>
      <c r="AB156" s="183">
        <f>SUMIFS('февраль 2025'!$G$4:$G$2441,'февраль 2025'!$D$4:$D$2441,$B156,'февраль 2025'!$J$4:$J$2441,AB$1)</f>
        <v>0</v>
      </c>
      <c r="AC156" s="183">
        <f>SUMIFS('февраль 2025'!$G$4:$G$2441,'февраль 2025'!$D$4:$D$2441,$B156,'февраль 2025'!$J$4:$J$2441,AC$1)</f>
        <v>0</v>
      </c>
      <c r="AD156" s="183">
        <f>SUMIFS('февраль 2025'!$G$4:$G$2441,'февраль 2025'!$D$4:$D$2441,$B156,'февраль 2025'!$J$4:$J$2441,AD$1)</f>
        <v>0</v>
      </c>
      <c r="AE156" s="183">
        <f>SUMIFS('февраль 2025'!$G$4:$G$2441,'февраль 2025'!$D$4:$D$2441,$B156,'февраль 2025'!$J$4:$J$2441,AE$1)</f>
        <v>0</v>
      </c>
      <c r="AF156" s="183">
        <f>SUMIFS('февраль 2025'!$G$4:$G$2441,'февраль 2025'!$D$4:$D$2441,$B156,'февраль 2025'!$J$4:$J$2441,AF$1)</f>
        <v>0</v>
      </c>
      <c r="AG156" s="183">
        <f>SUMIFS('февраль 2025'!$G$4:$G$2441,'февраль 2025'!$D$4:$D$2441,$B156,'февраль 2025'!$J$4:$J$2441,AG$1)</f>
        <v>0</v>
      </c>
      <c r="AH156" s="183">
        <f>SUMIFS('февраль 2025'!$G$4:$G$2441,'февраль 2025'!$D$4:$D$2441,$B156,'февраль 2025'!$J$4:$J$2441,AH$1)</f>
        <v>0</v>
      </c>
      <c r="AI156" s="20">
        <f t="shared" ref="AI156:AI157" si="3">SUM(D156:AH156)</f>
        <v>0</v>
      </c>
    </row>
    <row r="157" spans="2:35" ht="15" customHeight="1" x14ac:dyDescent="0.25">
      <c r="B157" s="84" t="s">
        <v>322</v>
      </c>
      <c r="C157" s="83">
        <v>200</v>
      </c>
      <c r="D157" s="183">
        <f>SUMIFS('февраль 2025'!$G$4:$G$2441,'февраль 2025'!$D$4:$D$2441,$B157,'февраль 2025'!$J$4:$J$2441,D$1)</f>
        <v>0</v>
      </c>
      <c r="E157" s="183">
        <f>SUMIFS('февраль 2025'!$G$4:$G$2441,'февраль 2025'!$D$4:$D$2441,$B157,'февраль 2025'!$J$4:$J$2441,E$1)</f>
        <v>0</v>
      </c>
      <c r="F157" s="183">
        <f>SUMIFS('февраль 2025'!$G$4:$G$2441,'февраль 2025'!$D$4:$D$2441,$B157,'февраль 2025'!$J$4:$J$2441,F$1)</f>
        <v>0</v>
      </c>
      <c r="G157" s="183">
        <f>SUMIFS('февраль 2025'!$G$4:$G$2441,'февраль 2025'!$D$4:$D$2441,$B157,'февраль 2025'!$J$4:$J$2441,G$1)</f>
        <v>0</v>
      </c>
      <c r="H157" s="183">
        <f>SUMIFS('февраль 2025'!$G$4:$G$2441,'февраль 2025'!$D$4:$D$2441,$B157,'февраль 2025'!$J$4:$J$2441,H$1)</f>
        <v>0</v>
      </c>
      <c r="I157" s="183">
        <f>SUMIFS('февраль 2025'!$G$4:$G$2441,'февраль 2025'!$D$4:$D$2441,$B157,'февраль 2025'!$J$4:$J$2441,I$1)</f>
        <v>0</v>
      </c>
      <c r="J157" s="183">
        <f>SUMIFS('февраль 2025'!$G$4:$G$2441,'февраль 2025'!$D$4:$D$2441,$B157,'февраль 2025'!$J$4:$J$2441,J$1)</f>
        <v>0</v>
      </c>
      <c r="K157" s="183">
        <f>SUMIFS('февраль 2025'!$G$4:$G$2441,'февраль 2025'!$D$4:$D$2441,$B157,'февраль 2025'!$J$4:$J$2441,K$1)</f>
        <v>0</v>
      </c>
      <c r="L157" s="183">
        <f>SUMIFS('февраль 2025'!$G$4:$G$2441,'февраль 2025'!$D$4:$D$2441,$B157,'февраль 2025'!$J$4:$J$2441,L$1)</f>
        <v>0</v>
      </c>
      <c r="M157" s="183">
        <f>SUMIFS('февраль 2025'!$G$4:$G$2441,'февраль 2025'!$D$4:$D$2441,$B157,'февраль 2025'!$J$4:$J$2441,M$1)</f>
        <v>0</v>
      </c>
      <c r="N157" s="183">
        <f>SUMIFS('февраль 2025'!$G$4:$G$2441,'февраль 2025'!$D$4:$D$2441,$B157,'февраль 2025'!$J$4:$J$2441,N$1)</f>
        <v>0</v>
      </c>
      <c r="O157" s="183">
        <f>SUMIFS('февраль 2025'!$G$4:$G$2441,'февраль 2025'!$D$4:$D$2441,$B157,'февраль 2025'!$J$4:$J$2441,O$1)</f>
        <v>0</v>
      </c>
      <c r="P157" s="183">
        <f>SUMIFS('февраль 2025'!$G$4:$G$2441,'февраль 2025'!$D$4:$D$2441,$B157,'февраль 2025'!$J$4:$J$2441,P$1)</f>
        <v>0</v>
      </c>
      <c r="Q157" s="183">
        <f>SUMIFS('февраль 2025'!$G$4:$G$2441,'февраль 2025'!$D$4:$D$2441,$B157,'февраль 2025'!$J$4:$J$2441,Q$1)</f>
        <v>0</v>
      </c>
      <c r="R157" s="183">
        <f>SUMIFS('февраль 2025'!$G$4:$G$2441,'февраль 2025'!$D$4:$D$2441,$B157,'февраль 2025'!$J$4:$J$2441,R$1)</f>
        <v>0</v>
      </c>
      <c r="S157" s="183">
        <f>SUMIFS('февраль 2025'!$G$4:$G$2441,'февраль 2025'!$D$4:$D$2441,$B157,'февраль 2025'!$J$4:$J$2441,S$1)</f>
        <v>0</v>
      </c>
      <c r="T157" s="183">
        <f>SUMIFS('февраль 2025'!$G$4:$G$2441,'февраль 2025'!$D$4:$D$2441,$B157,'февраль 2025'!$J$4:$J$2441,T$1)</f>
        <v>0</v>
      </c>
      <c r="U157" s="183">
        <f>SUMIFS('февраль 2025'!$G$4:$G$2441,'февраль 2025'!$D$4:$D$2441,$B157,'февраль 2025'!$J$4:$J$2441,U$1)</f>
        <v>0</v>
      </c>
      <c r="V157" s="183">
        <f>SUMIFS('февраль 2025'!$G$4:$G$2441,'февраль 2025'!$D$4:$D$2441,$B157,'февраль 2025'!$J$4:$J$2441,V$1)</f>
        <v>0</v>
      </c>
      <c r="W157" s="183">
        <f>SUMIFS('февраль 2025'!$G$4:$G$2441,'февраль 2025'!$D$4:$D$2441,$B157,'февраль 2025'!$J$4:$J$2441,W$1)</f>
        <v>0</v>
      </c>
      <c r="X157" s="183">
        <f>SUMIFS('февраль 2025'!$G$4:$G$2441,'февраль 2025'!$D$4:$D$2441,$B157,'февраль 2025'!$J$4:$J$2441,X$1)</f>
        <v>0</v>
      </c>
      <c r="Y157" s="183">
        <f>SUMIFS('февраль 2025'!$G$4:$G$2441,'февраль 2025'!$D$4:$D$2441,$B157,'февраль 2025'!$J$4:$J$2441,Y$1)</f>
        <v>0</v>
      </c>
      <c r="Z157" s="183">
        <f>SUMIFS('февраль 2025'!$G$4:$G$2441,'февраль 2025'!$D$4:$D$2441,$B157,'февраль 2025'!$J$4:$J$2441,Z$1)</f>
        <v>0</v>
      </c>
      <c r="AA157" s="183">
        <f>SUMIFS('февраль 2025'!$G$4:$G$2441,'февраль 2025'!$D$4:$D$2441,$B157,'февраль 2025'!$J$4:$J$2441,AA$1)</f>
        <v>0</v>
      </c>
      <c r="AB157" s="183">
        <f>SUMIFS('февраль 2025'!$G$4:$G$2441,'февраль 2025'!$D$4:$D$2441,$B157,'февраль 2025'!$J$4:$J$2441,AB$1)</f>
        <v>0</v>
      </c>
      <c r="AC157" s="183">
        <f>SUMIFS('февраль 2025'!$G$4:$G$2441,'февраль 2025'!$D$4:$D$2441,$B157,'февраль 2025'!$J$4:$J$2441,AC$1)</f>
        <v>0</v>
      </c>
      <c r="AD157" s="183">
        <f>SUMIFS('февраль 2025'!$G$4:$G$2441,'февраль 2025'!$D$4:$D$2441,$B157,'февраль 2025'!$J$4:$J$2441,AD$1)</f>
        <v>0</v>
      </c>
      <c r="AE157" s="183">
        <f>SUMIFS('февраль 2025'!$G$4:$G$2441,'февраль 2025'!$D$4:$D$2441,$B157,'февраль 2025'!$J$4:$J$2441,AE$1)</f>
        <v>0</v>
      </c>
      <c r="AF157" s="183">
        <f>SUMIFS('февраль 2025'!$G$4:$G$2441,'февраль 2025'!$D$4:$D$2441,$B157,'февраль 2025'!$J$4:$J$2441,AF$1)</f>
        <v>0</v>
      </c>
      <c r="AG157" s="183">
        <f>SUMIFS('февраль 2025'!$G$4:$G$2441,'февраль 2025'!$D$4:$D$2441,$B157,'февраль 2025'!$J$4:$J$2441,AG$1)</f>
        <v>0</v>
      </c>
      <c r="AH157" s="183">
        <f>SUMIFS('февраль 2025'!$G$4:$G$2441,'февраль 2025'!$D$4:$D$2441,$B157,'февраль 2025'!$J$4:$J$2441,AH$1)</f>
        <v>0</v>
      </c>
      <c r="AI157" s="20">
        <f t="shared" si="3"/>
        <v>0</v>
      </c>
    </row>
    <row r="158" spans="2:35" ht="15" customHeight="1" x14ac:dyDescent="0.25">
      <c r="B158" s="84" t="s">
        <v>810</v>
      </c>
      <c r="C158" s="83">
        <v>200</v>
      </c>
      <c r="D158" s="183">
        <f>SUMIFS('февраль 2025'!$G$4:$G$2441,'февраль 2025'!$D$4:$D$2441,$B158,'февраль 2025'!$J$4:$J$2441,D$1)</f>
        <v>0</v>
      </c>
      <c r="E158" s="183">
        <f>SUMIFS('февраль 2025'!$G$4:$G$2441,'февраль 2025'!$D$4:$D$2441,$B158,'февраль 2025'!$J$4:$J$2441,E$1)</f>
        <v>0</v>
      </c>
      <c r="F158" s="183">
        <f>SUMIFS('февраль 2025'!$G$4:$G$2441,'февраль 2025'!$D$4:$D$2441,$B158,'февраль 2025'!$J$4:$J$2441,F$1)</f>
        <v>0</v>
      </c>
      <c r="G158" s="183">
        <f>SUMIFS('февраль 2025'!$G$4:$G$2441,'февраль 2025'!$D$4:$D$2441,$B158,'февраль 2025'!$J$4:$J$2441,G$1)</f>
        <v>0</v>
      </c>
      <c r="H158" s="183">
        <f>SUMIFS('февраль 2025'!$G$4:$G$2441,'февраль 2025'!$D$4:$D$2441,$B158,'февраль 2025'!$J$4:$J$2441,H$1)</f>
        <v>0</v>
      </c>
      <c r="I158" s="183">
        <f>SUMIFS('февраль 2025'!$G$4:$G$2441,'февраль 2025'!$D$4:$D$2441,$B158,'февраль 2025'!$J$4:$J$2441,I$1)</f>
        <v>0</v>
      </c>
      <c r="J158" s="183">
        <f>SUMIFS('февраль 2025'!$G$4:$G$2441,'февраль 2025'!$D$4:$D$2441,$B158,'февраль 2025'!$J$4:$J$2441,J$1)</f>
        <v>0</v>
      </c>
      <c r="K158" s="183">
        <f>SUMIFS('февраль 2025'!$G$4:$G$2441,'февраль 2025'!$D$4:$D$2441,$B158,'февраль 2025'!$J$4:$J$2441,K$1)</f>
        <v>0</v>
      </c>
      <c r="L158" s="183">
        <f>SUMIFS('февраль 2025'!$G$4:$G$2441,'февраль 2025'!$D$4:$D$2441,$B158,'февраль 2025'!$J$4:$J$2441,L$1)</f>
        <v>0</v>
      </c>
      <c r="M158" s="183">
        <f>SUMIFS('февраль 2025'!$G$4:$G$2441,'февраль 2025'!$D$4:$D$2441,$B158,'февраль 2025'!$J$4:$J$2441,M$1)</f>
        <v>0</v>
      </c>
      <c r="N158" s="183">
        <f>SUMIFS('февраль 2025'!$G$4:$G$2441,'февраль 2025'!$D$4:$D$2441,$B158,'февраль 2025'!$J$4:$J$2441,N$1)</f>
        <v>0</v>
      </c>
      <c r="O158" s="183">
        <f>SUMIFS('февраль 2025'!$G$4:$G$2441,'февраль 2025'!$D$4:$D$2441,$B158,'февраль 2025'!$J$4:$J$2441,O$1)</f>
        <v>0</v>
      </c>
      <c r="P158" s="183">
        <f>SUMIFS('февраль 2025'!$G$4:$G$2441,'февраль 2025'!$D$4:$D$2441,$B158,'февраль 2025'!$J$4:$J$2441,P$1)</f>
        <v>0</v>
      </c>
      <c r="Q158" s="183">
        <f>SUMIFS('февраль 2025'!$G$4:$G$2441,'февраль 2025'!$D$4:$D$2441,$B158,'февраль 2025'!$J$4:$J$2441,Q$1)</f>
        <v>0</v>
      </c>
      <c r="R158" s="183">
        <f>SUMIFS('февраль 2025'!$G$4:$G$2441,'февраль 2025'!$D$4:$D$2441,$B158,'февраль 2025'!$J$4:$J$2441,R$1)</f>
        <v>0</v>
      </c>
      <c r="S158" s="183">
        <f>SUMIFS('февраль 2025'!$G$4:$G$2441,'февраль 2025'!$D$4:$D$2441,$B158,'февраль 2025'!$J$4:$J$2441,S$1)</f>
        <v>0</v>
      </c>
      <c r="T158" s="183">
        <f>SUMIFS('февраль 2025'!$G$4:$G$2441,'февраль 2025'!$D$4:$D$2441,$B158,'февраль 2025'!$J$4:$J$2441,T$1)</f>
        <v>0</v>
      </c>
      <c r="U158" s="183">
        <f>SUMIFS('февраль 2025'!$G$4:$G$2441,'февраль 2025'!$D$4:$D$2441,$B158,'февраль 2025'!$J$4:$J$2441,U$1)</f>
        <v>0</v>
      </c>
      <c r="V158" s="183">
        <f>SUMIFS('февраль 2025'!$G$4:$G$2441,'февраль 2025'!$D$4:$D$2441,$B158,'февраль 2025'!$J$4:$J$2441,V$1)</f>
        <v>0</v>
      </c>
      <c r="W158" s="183">
        <f>SUMIFS('февраль 2025'!$G$4:$G$2441,'февраль 2025'!$D$4:$D$2441,$B158,'февраль 2025'!$J$4:$J$2441,W$1)</f>
        <v>0</v>
      </c>
      <c r="X158" s="183">
        <f>SUMIFS('февраль 2025'!$G$4:$G$2441,'февраль 2025'!$D$4:$D$2441,$B158,'февраль 2025'!$J$4:$J$2441,X$1)</f>
        <v>0</v>
      </c>
      <c r="Y158" s="183">
        <f>SUMIFS('февраль 2025'!$G$4:$G$2441,'февраль 2025'!$D$4:$D$2441,$B158,'февраль 2025'!$J$4:$J$2441,Y$1)</f>
        <v>0</v>
      </c>
      <c r="Z158" s="183">
        <f>SUMIFS('февраль 2025'!$G$4:$G$2441,'февраль 2025'!$D$4:$D$2441,$B158,'февраль 2025'!$J$4:$J$2441,Z$1)</f>
        <v>0</v>
      </c>
      <c r="AA158" s="183">
        <f>SUMIFS('февраль 2025'!$G$4:$G$2441,'февраль 2025'!$D$4:$D$2441,$B158,'февраль 2025'!$J$4:$J$2441,AA$1)</f>
        <v>0</v>
      </c>
      <c r="AB158" s="183">
        <f>SUMIFS('февраль 2025'!$G$4:$G$2441,'февраль 2025'!$D$4:$D$2441,$B158,'февраль 2025'!$J$4:$J$2441,AB$1)</f>
        <v>0</v>
      </c>
      <c r="AC158" s="183">
        <f>SUMIFS('февраль 2025'!$G$4:$G$2441,'февраль 2025'!$D$4:$D$2441,$B158,'февраль 2025'!$J$4:$J$2441,AC$1)</f>
        <v>0</v>
      </c>
      <c r="AD158" s="183">
        <f>SUMIFS('февраль 2025'!$G$4:$G$2441,'февраль 2025'!$D$4:$D$2441,$B158,'февраль 2025'!$J$4:$J$2441,AD$1)</f>
        <v>0</v>
      </c>
      <c r="AE158" s="183">
        <f>SUMIFS('февраль 2025'!$G$4:$G$2441,'февраль 2025'!$D$4:$D$2441,$B158,'февраль 2025'!$J$4:$J$2441,AE$1)</f>
        <v>18</v>
      </c>
      <c r="AF158" s="183">
        <f>SUMIFS('февраль 2025'!$G$4:$G$2441,'февраль 2025'!$D$4:$D$2441,$B158,'февраль 2025'!$J$4:$J$2441,AF$1)</f>
        <v>0</v>
      </c>
      <c r="AG158" s="183">
        <f>SUMIFS('февраль 2025'!$G$4:$G$2441,'февраль 2025'!$D$4:$D$2441,$B158,'февраль 2025'!$J$4:$J$2441,AG$1)</f>
        <v>0</v>
      </c>
      <c r="AH158" s="183">
        <f>SUMIFS('февраль 2025'!$G$4:$G$2441,'февраль 2025'!$D$4:$D$2441,$B158,'февраль 2025'!$J$4:$J$2441,AH$1)</f>
        <v>0</v>
      </c>
      <c r="AI158" s="20">
        <f t="shared" ref="AI158" si="4">SUM(D158:AH158)</f>
        <v>18</v>
      </c>
    </row>
    <row r="159" spans="2:35" ht="15" hidden="1" customHeight="1" x14ac:dyDescent="0.25">
      <c r="B159" s="84"/>
      <c r="C159" s="83"/>
      <c r="D159" s="76" t="e">
        <f>SUMIFS(#REF!,#REF!,$B159,#REF!,D$1)</f>
        <v>#REF!</v>
      </c>
      <c r="E159" s="76" t="e">
        <f>SUMIFS(#REF!,#REF!,$B159,#REF!,E$1)</f>
        <v>#REF!</v>
      </c>
      <c r="F159" s="76" t="e">
        <f>SUMIFS(#REF!,#REF!,$B159,#REF!,F$1)</f>
        <v>#REF!</v>
      </c>
      <c r="G159" s="76" t="e">
        <f>SUMIFS(#REF!,#REF!,$B159,#REF!,G$1)</f>
        <v>#REF!</v>
      </c>
      <c r="H159" s="76" t="e">
        <f>SUMIFS(#REF!,#REF!,$B159,#REF!,H$1)</f>
        <v>#REF!</v>
      </c>
      <c r="I159" s="76" t="e">
        <f>SUMIFS(#REF!,#REF!,$B159,#REF!,I$1)</f>
        <v>#REF!</v>
      </c>
      <c r="J159" s="76" t="e">
        <f>SUMIFS(#REF!,#REF!,$B159,#REF!,J$1)</f>
        <v>#REF!</v>
      </c>
      <c r="K159" s="76" t="e">
        <f>SUMIFS(#REF!,#REF!,$B159,#REF!,K$1)</f>
        <v>#REF!</v>
      </c>
      <c r="L159" s="76" t="e">
        <f>SUMIFS(#REF!,#REF!,$B159,#REF!,L$1)</f>
        <v>#REF!</v>
      </c>
      <c r="M159" s="76" t="e">
        <f>SUMIFS(#REF!,#REF!,$B159,#REF!,M$1)</f>
        <v>#REF!</v>
      </c>
      <c r="N159" s="76" t="e">
        <f>SUMIFS(#REF!,#REF!,$B159,#REF!,N$1)</f>
        <v>#REF!</v>
      </c>
      <c r="O159" s="76" t="e">
        <f>SUMIFS(#REF!,#REF!,$B159,#REF!,O$1)</f>
        <v>#REF!</v>
      </c>
      <c r="P159" s="76" t="e">
        <f>SUMIFS(#REF!,#REF!,$B159,#REF!,P$1)</f>
        <v>#REF!</v>
      </c>
      <c r="Q159" s="76" t="e">
        <f>SUMIFS(#REF!,#REF!,$B159,#REF!,Q$1)</f>
        <v>#REF!</v>
      </c>
      <c r="R159" s="76" t="e">
        <f>SUMIFS(#REF!,#REF!,$B159,#REF!,R$1)</f>
        <v>#REF!</v>
      </c>
      <c r="S159" s="76" t="e">
        <f>SUMIFS(#REF!,#REF!,$B159,#REF!,S$1)</f>
        <v>#REF!</v>
      </c>
      <c r="T159" s="76" t="e">
        <f>SUMIFS(#REF!,#REF!,$B159,#REF!,T$1)</f>
        <v>#REF!</v>
      </c>
      <c r="U159" s="76" t="e">
        <f>SUMIFS(#REF!,#REF!,$B159,#REF!,U$1)</f>
        <v>#REF!</v>
      </c>
      <c r="V159" s="76" t="e">
        <f>SUMIFS(#REF!,#REF!,$B159,#REF!,V$1)</f>
        <v>#REF!</v>
      </c>
      <c r="W159" s="76" t="e">
        <f>SUMIFS(#REF!,#REF!,$B159,#REF!,W$1)</f>
        <v>#REF!</v>
      </c>
      <c r="X159" s="76" t="e">
        <f>SUMIFS(#REF!,#REF!,$B159,#REF!,X$1)</f>
        <v>#REF!</v>
      </c>
      <c r="Y159" s="76" t="e">
        <f>SUMIFS(#REF!,#REF!,$B159,#REF!,Y$1)</f>
        <v>#REF!</v>
      </c>
      <c r="Z159" s="76" t="e">
        <f>SUMIFS(#REF!,#REF!,$B159,#REF!,Z$1)</f>
        <v>#REF!</v>
      </c>
      <c r="AA159" s="76" t="e">
        <f>SUMIFS(#REF!,#REF!,$B159,#REF!,AA$1)</f>
        <v>#REF!</v>
      </c>
      <c r="AB159" s="76" t="e">
        <f>SUMIFS(#REF!,#REF!,$B159,#REF!,AB$1)</f>
        <v>#REF!</v>
      </c>
      <c r="AC159" s="76" t="e">
        <f>SUMIFS(#REF!,#REF!,$B159,#REF!,AC$1)</f>
        <v>#REF!</v>
      </c>
      <c r="AD159" s="76" t="e">
        <f>SUMIFS(#REF!,#REF!,$B159,#REF!,AD$1)</f>
        <v>#REF!</v>
      </c>
      <c r="AE159" s="76" t="e">
        <f>SUMIFS(#REF!,#REF!,$B159,#REF!,AE$1)</f>
        <v>#REF!</v>
      </c>
      <c r="AF159" s="76" t="e">
        <f>SUMIFS(#REF!,#REF!,$B159,#REF!,AF$1)</f>
        <v>#REF!</v>
      </c>
      <c r="AG159" s="76" t="e">
        <f>SUMIFS(#REF!,#REF!,$B159,#REF!,AG$1)</f>
        <v>#REF!</v>
      </c>
      <c r="AH159" s="76" t="e">
        <f>SUMIFS(#REF!,#REF!,$B159,#REF!,AH$1)</f>
        <v>#REF!</v>
      </c>
      <c r="AI159" s="82"/>
    </row>
    <row r="160" spans="2:35" ht="15" hidden="1" customHeight="1" x14ac:dyDescent="0.25">
      <c r="B160" s="84"/>
      <c r="C160" s="83"/>
      <c r="D160" s="76" t="e">
        <f>SUMIFS(#REF!,#REF!,$B160,#REF!,D$1)</f>
        <v>#REF!</v>
      </c>
      <c r="E160" s="76" t="e">
        <f>SUMIFS(#REF!,#REF!,$B160,#REF!,E$1)</f>
        <v>#REF!</v>
      </c>
      <c r="F160" s="76" t="e">
        <f>SUMIFS(#REF!,#REF!,$B160,#REF!,F$1)</f>
        <v>#REF!</v>
      </c>
      <c r="G160" s="76" t="e">
        <f>SUMIFS(#REF!,#REF!,$B160,#REF!,G$1)</f>
        <v>#REF!</v>
      </c>
      <c r="H160" s="76" t="e">
        <f>SUMIFS(#REF!,#REF!,$B160,#REF!,H$1)</f>
        <v>#REF!</v>
      </c>
      <c r="I160" s="76" t="e">
        <f>SUMIFS(#REF!,#REF!,$B160,#REF!,I$1)</f>
        <v>#REF!</v>
      </c>
      <c r="J160" s="76" t="e">
        <f>SUMIFS(#REF!,#REF!,$B160,#REF!,J$1)</f>
        <v>#REF!</v>
      </c>
      <c r="K160" s="76" t="e">
        <f>SUMIFS(#REF!,#REF!,$B160,#REF!,K$1)</f>
        <v>#REF!</v>
      </c>
      <c r="L160" s="76" t="e">
        <f>SUMIFS(#REF!,#REF!,$B160,#REF!,L$1)</f>
        <v>#REF!</v>
      </c>
      <c r="M160" s="76" t="e">
        <f>SUMIFS(#REF!,#REF!,$B160,#REF!,M$1)</f>
        <v>#REF!</v>
      </c>
      <c r="N160" s="76" t="e">
        <f>SUMIFS(#REF!,#REF!,$B160,#REF!,N$1)</f>
        <v>#REF!</v>
      </c>
      <c r="O160" s="76" t="e">
        <f>SUMIFS(#REF!,#REF!,$B160,#REF!,O$1)</f>
        <v>#REF!</v>
      </c>
      <c r="P160" s="76" t="e">
        <f>SUMIFS(#REF!,#REF!,$B160,#REF!,P$1)</f>
        <v>#REF!</v>
      </c>
      <c r="Q160" s="76" t="e">
        <f>SUMIFS(#REF!,#REF!,$B160,#REF!,Q$1)</f>
        <v>#REF!</v>
      </c>
      <c r="R160" s="76" t="e">
        <f>SUMIFS(#REF!,#REF!,$B160,#REF!,R$1)</f>
        <v>#REF!</v>
      </c>
      <c r="S160" s="76" t="e">
        <f>SUMIFS(#REF!,#REF!,$B160,#REF!,S$1)</f>
        <v>#REF!</v>
      </c>
      <c r="T160" s="76" t="e">
        <f>SUMIFS(#REF!,#REF!,$B160,#REF!,T$1)</f>
        <v>#REF!</v>
      </c>
      <c r="U160" s="76" t="e">
        <f>SUMIFS(#REF!,#REF!,$B160,#REF!,U$1)</f>
        <v>#REF!</v>
      </c>
      <c r="V160" s="76" t="e">
        <f>SUMIFS(#REF!,#REF!,$B160,#REF!,V$1)</f>
        <v>#REF!</v>
      </c>
      <c r="W160" s="76" t="e">
        <f>SUMIFS(#REF!,#REF!,$B160,#REF!,W$1)</f>
        <v>#REF!</v>
      </c>
      <c r="X160" s="76" t="e">
        <f>SUMIFS(#REF!,#REF!,$B160,#REF!,X$1)</f>
        <v>#REF!</v>
      </c>
      <c r="Y160" s="76" t="e">
        <f>SUMIFS(#REF!,#REF!,$B160,#REF!,Y$1)</f>
        <v>#REF!</v>
      </c>
      <c r="Z160" s="76" t="e">
        <f>SUMIFS(#REF!,#REF!,$B160,#REF!,Z$1)</f>
        <v>#REF!</v>
      </c>
      <c r="AA160" s="76" t="e">
        <f>SUMIFS(#REF!,#REF!,$B160,#REF!,AA$1)</f>
        <v>#REF!</v>
      </c>
      <c r="AB160" s="76" t="e">
        <f>SUMIFS(#REF!,#REF!,$B160,#REF!,AB$1)</f>
        <v>#REF!</v>
      </c>
      <c r="AC160" s="76" t="e">
        <f>SUMIFS(#REF!,#REF!,$B160,#REF!,AC$1)</f>
        <v>#REF!</v>
      </c>
      <c r="AD160" s="76" t="e">
        <f>SUMIFS(#REF!,#REF!,$B160,#REF!,AD$1)</f>
        <v>#REF!</v>
      </c>
      <c r="AE160" s="76" t="e">
        <f>SUMIFS(#REF!,#REF!,$B160,#REF!,AE$1)</f>
        <v>#REF!</v>
      </c>
      <c r="AF160" s="76" t="e">
        <f>SUMIFS(#REF!,#REF!,$B160,#REF!,AF$1)</f>
        <v>#REF!</v>
      </c>
      <c r="AG160" s="76" t="e">
        <f>SUMIFS(#REF!,#REF!,$B160,#REF!,AG$1)</f>
        <v>#REF!</v>
      </c>
      <c r="AH160" s="76" t="e">
        <f>SUMIFS(#REF!,#REF!,$B160,#REF!,AH$1)</f>
        <v>#REF!</v>
      </c>
      <c r="AI160" s="82"/>
    </row>
    <row r="161" spans="2:35" ht="15" hidden="1" customHeight="1" x14ac:dyDescent="0.25">
      <c r="B161" s="88"/>
      <c r="C161" s="83"/>
      <c r="D161" s="76" t="e">
        <f>SUMIFS(#REF!,#REF!,$B161,#REF!,D$1)</f>
        <v>#REF!</v>
      </c>
      <c r="E161" s="76" t="e">
        <f>SUMIFS(#REF!,#REF!,$B161,#REF!,E$1)</f>
        <v>#REF!</v>
      </c>
      <c r="F161" s="76" t="e">
        <f>SUMIFS(#REF!,#REF!,$B161,#REF!,F$1)</f>
        <v>#REF!</v>
      </c>
      <c r="G161" s="76" t="e">
        <f>SUMIFS(#REF!,#REF!,$B161,#REF!,G$1)</f>
        <v>#REF!</v>
      </c>
      <c r="H161" s="76" t="e">
        <f>SUMIFS(#REF!,#REF!,$B161,#REF!,H$1)</f>
        <v>#REF!</v>
      </c>
      <c r="I161" s="76" t="e">
        <f>SUMIFS(#REF!,#REF!,$B161,#REF!,I$1)</f>
        <v>#REF!</v>
      </c>
      <c r="J161" s="76" t="e">
        <f>SUMIFS(#REF!,#REF!,$B161,#REF!,J$1)</f>
        <v>#REF!</v>
      </c>
      <c r="K161" s="76" t="e">
        <f>SUMIFS(#REF!,#REF!,$B161,#REF!,K$1)</f>
        <v>#REF!</v>
      </c>
      <c r="L161" s="76" t="e">
        <f>SUMIFS(#REF!,#REF!,$B161,#REF!,L$1)</f>
        <v>#REF!</v>
      </c>
      <c r="M161" s="76" t="e">
        <f>SUMIFS(#REF!,#REF!,$B161,#REF!,M$1)</f>
        <v>#REF!</v>
      </c>
      <c r="N161" s="76" t="e">
        <f>SUMIFS(#REF!,#REF!,$B161,#REF!,N$1)</f>
        <v>#REF!</v>
      </c>
      <c r="O161" s="76" t="e">
        <f>SUMIFS(#REF!,#REF!,$B161,#REF!,O$1)</f>
        <v>#REF!</v>
      </c>
      <c r="P161" s="76" t="e">
        <f>SUMIFS(#REF!,#REF!,$B161,#REF!,P$1)</f>
        <v>#REF!</v>
      </c>
      <c r="Q161" s="76" t="e">
        <f>SUMIFS(#REF!,#REF!,$B161,#REF!,Q$1)</f>
        <v>#REF!</v>
      </c>
      <c r="R161" s="76" t="e">
        <f>SUMIFS(#REF!,#REF!,$B161,#REF!,R$1)</f>
        <v>#REF!</v>
      </c>
      <c r="S161" s="76" t="e">
        <f>SUMIFS(#REF!,#REF!,$B161,#REF!,S$1)</f>
        <v>#REF!</v>
      </c>
      <c r="T161" s="76" t="e">
        <f>SUMIFS(#REF!,#REF!,$B161,#REF!,T$1)</f>
        <v>#REF!</v>
      </c>
      <c r="U161" s="76" t="e">
        <f>SUMIFS(#REF!,#REF!,$B161,#REF!,U$1)</f>
        <v>#REF!</v>
      </c>
      <c r="V161" s="76" t="e">
        <f>SUMIFS(#REF!,#REF!,$B161,#REF!,V$1)</f>
        <v>#REF!</v>
      </c>
      <c r="W161" s="76" t="e">
        <f>SUMIFS(#REF!,#REF!,$B161,#REF!,W$1)</f>
        <v>#REF!</v>
      </c>
      <c r="X161" s="76" t="e">
        <f>SUMIFS(#REF!,#REF!,$B161,#REF!,X$1)</f>
        <v>#REF!</v>
      </c>
      <c r="Y161" s="76" t="e">
        <f>SUMIFS(#REF!,#REF!,$B161,#REF!,Y$1)</f>
        <v>#REF!</v>
      </c>
      <c r="Z161" s="76" t="e">
        <f>SUMIFS(#REF!,#REF!,$B161,#REF!,Z$1)</f>
        <v>#REF!</v>
      </c>
      <c r="AA161" s="76" t="e">
        <f>SUMIFS(#REF!,#REF!,$B161,#REF!,AA$1)</f>
        <v>#REF!</v>
      </c>
      <c r="AB161" s="76" t="e">
        <f>SUMIFS(#REF!,#REF!,$B161,#REF!,AB$1)</f>
        <v>#REF!</v>
      </c>
      <c r="AC161" s="76" t="e">
        <f>SUMIFS(#REF!,#REF!,$B161,#REF!,AC$1)</f>
        <v>#REF!</v>
      </c>
      <c r="AD161" s="76" t="e">
        <f>SUMIFS(#REF!,#REF!,$B161,#REF!,AD$1)</f>
        <v>#REF!</v>
      </c>
      <c r="AE161" s="76" t="e">
        <f>SUMIFS(#REF!,#REF!,$B161,#REF!,AE$1)</f>
        <v>#REF!</v>
      </c>
      <c r="AF161" s="76" t="e">
        <f>SUMIFS(#REF!,#REF!,$B161,#REF!,AF$1)</f>
        <v>#REF!</v>
      </c>
      <c r="AG161" s="76" t="e">
        <f>SUMIFS(#REF!,#REF!,$B161,#REF!,AG$1)</f>
        <v>#REF!</v>
      </c>
      <c r="AH161" s="76" t="e">
        <f>SUMIFS(#REF!,#REF!,$B161,#REF!,AH$1)</f>
        <v>#REF!</v>
      </c>
      <c r="AI161" s="82"/>
    </row>
    <row r="162" spans="2:35" ht="15" hidden="1" customHeight="1" x14ac:dyDescent="0.25">
      <c r="B162" s="88"/>
      <c r="C162" s="86"/>
      <c r="D162" s="76" t="e">
        <f>SUMIFS(#REF!,#REF!,$B162,#REF!,D$1)</f>
        <v>#REF!</v>
      </c>
      <c r="E162" s="76" t="e">
        <f>SUMIFS(#REF!,#REF!,$B162,#REF!,E$1)</f>
        <v>#REF!</v>
      </c>
      <c r="F162" s="76" t="e">
        <f>SUMIFS(#REF!,#REF!,$B162,#REF!,F$1)</f>
        <v>#REF!</v>
      </c>
      <c r="G162" s="76" t="e">
        <f>SUMIFS(#REF!,#REF!,$B162,#REF!,G$1)</f>
        <v>#REF!</v>
      </c>
      <c r="H162" s="76" t="e">
        <f>SUMIFS(#REF!,#REF!,$B162,#REF!,H$1)</f>
        <v>#REF!</v>
      </c>
      <c r="I162" s="76" t="e">
        <f>SUMIFS(#REF!,#REF!,$B162,#REF!,I$1)</f>
        <v>#REF!</v>
      </c>
      <c r="J162" s="76" t="e">
        <f>SUMIFS(#REF!,#REF!,$B162,#REF!,J$1)</f>
        <v>#REF!</v>
      </c>
      <c r="K162" s="76" t="e">
        <f>SUMIFS(#REF!,#REF!,$B162,#REF!,K$1)</f>
        <v>#REF!</v>
      </c>
      <c r="L162" s="76" t="e">
        <f>SUMIFS(#REF!,#REF!,$B162,#REF!,L$1)</f>
        <v>#REF!</v>
      </c>
      <c r="M162" s="76" t="e">
        <f>SUMIFS(#REF!,#REF!,$B162,#REF!,M$1)</f>
        <v>#REF!</v>
      </c>
      <c r="N162" s="76" t="e">
        <f>SUMIFS(#REF!,#REF!,$B162,#REF!,N$1)</f>
        <v>#REF!</v>
      </c>
      <c r="O162" s="76" t="e">
        <f>SUMIFS(#REF!,#REF!,$B162,#REF!,O$1)</f>
        <v>#REF!</v>
      </c>
      <c r="P162" s="76" t="e">
        <f>SUMIFS(#REF!,#REF!,$B162,#REF!,P$1)</f>
        <v>#REF!</v>
      </c>
      <c r="Q162" s="76" t="e">
        <f>SUMIFS(#REF!,#REF!,$B162,#REF!,Q$1)</f>
        <v>#REF!</v>
      </c>
      <c r="R162" s="76" t="e">
        <f>SUMIFS(#REF!,#REF!,$B162,#REF!,R$1)</f>
        <v>#REF!</v>
      </c>
      <c r="S162" s="76" t="e">
        <f>SUMIFS(#REF!,#REF!,$B162,#REF!,S$1)</f>
        <v>#REF!</v>
      </c>
      <c r="T162" s="76" t="e">
        <f>SUMIFS(#REF!,#REF!,$B162,#REF!,T$1)</f>
        <v>#REF!</v>
      </c>
      <c r="U162" s="76" t="e">
        <f>SUMIFS(#REF!,#REF!,$B162,#REF!,U$1)</f>
        <v>#REF!</v>
      </c>
      <c r="V162" s="76" t="e">
        <f>SUMIFS(#REF!,#REF!,$B162,#REF!,V$1)</f>
        <v>#REF!</v>
      </c>
      <c r="W162" s="76" t="e">
        <f>SUMIFS(#REF!,#REF!,$B162,#REF!,W$1)</f>
        <v>#REF!</v>
      </c>
      <c r="X162" s="76" t="e">
        <f>SUMIFS(#REF!,#REF!,$B162,#REF!,X$1)</f>
        <v>#REF!</v>
      </c>
      <c r="Y162" s="76" t="e">
        <f>SUMIFS(#REF!,#REF!,$B162,#REF!,Y$1)</f>
        <v>#REF!</v>
      </c>
      <c r="Z162" s="76" t="e">
        <f>SUMIFS(#REF!,#REF!,$B162,#REF!,Z$1)</f>
        <v>#REF!</v>
      </c>
      <c r="AA162" s="76" t="e">
        <f>SUMIFS(#REF!,#REF!,$B162,#REF!,AA$1)</f>
        <v>#REF!</v>
      </c>
      <c r="AB162" s="76" t="e">
        <f>SUMIFS(#REF!,#REF!,$B162,#REF!,AB$1)</f>
        <v>#REF!</v>
      </c>
      <c r="AC162" s="76" t="e">
        <f>SUMIFS(#REF!,#REF!,$B162,#REF!,AC$1)</f>
        <v>#REF!</v>
      </c>
      <c r="AD162" s="76" t="e">
        <f>SUMIFS(#REF!,#REF!,$B162,#REF!,AD$1)</f>
        <v>#REF!</v>
      </c>
      <c r="AE162" s="76" t="e">
        <f>SUMIFS(#REF!,#REF!,$B162,#REF!,AE$1)</f>
        <v>#REF!</v>
      </c>
      <c r="AF162" s="76" t="e">
        <f>SUMIFS(#REF!,#REF!,$B162,#REF!,AF$1)</f>
        <v>#REF!</v>
      </c>
      <c r="AG162" s="76" t="e">
        <f>SUMIFS(#REF!,#REF!,$B162,#REF!,AG$1)</f>
        <v>#REF!</v>
      </c>
      <c r="AH162" s="76" t="e">
        <f>SUMIFS(#REF!,#REF!,$B162,#REF!,AH$1)</f>
        <v>#REF!</v>
      </c>
      <c r="AI162" s="82"/>
    </row>
    <row r="163" spans="2:35" ht="15" hidden="1" customHeight="1" x14ac:dyDescent="0.25">
      <c r="B163" s="84"/>
      <c r="C163" s="83"/>
      <c r="D163" s="76" t="e">
        <f>SUMIFS(#REF!,#REF!,$B163,#REF!,D$1)</f>
        <v>#REF!</v>
      </c>
      <c r="E163" s="76" t="e">
        <f>SUMIFS(#REF!,#REF!,$B163,#REF!,E$1)</f>
        <v>#REF!</v>
      </c>
      <c r="F163" s="76" t="e">
        <f>SUMIFS(#REF!,#REF!,$B163,#REF!,F$1)</f>
        <v>#REF!</v>
      </c>
      <c r="G163" s="76" t="e">
        <f>SUMIFS(#REF!,#REF!,$B163,#REF!,G$1)</f>
        <v>#REF!</v>
      </c>
      <c r="H163" s="76" t="e">
        <f>SUMIFS(#REF!,#REF!,$B163,#REF!,H$1)</f>
        <v>#REF!</v>
      </c>
      <c r="I163" s="76" t="e">
        <f>SUMIFS(#REF!,#REF!,$B163,#REF!,I$1)</f>
        <v>#REF!</v>
      </c>
      <c r="J163" s="76" t="e">
        <f>SUMIFS(#REF!,#REF!,$B163,#REF!,J$1)</f>
        <v>#REF!</v>
      </c>
      <c r="K163" s="76" t="e">
        <f>SUMIFS(#REF!,#REF!,$B163,#REF!,K$1)</f>
        <v>#REF!</v>
      </c>
      <c r="L163" s="76" t="e">
        <f>SUMIFS(#REF!,#REF!,$B163,#REF!,L$1)</f>
        <v>#REF!</v>
      </c>
      <c r="M163" s="76" t="e">
        <f>SUMIFS(#REF!,#REF!,$B163,#REF!,M$1)</f>
        <v>#REF!</v>
      </c>
      <c r="N163" s="76" t="e">
        <f>SUMIFS(#REF!,#REF!,$B163,#REF!,N$1)</f>
        <v>#REF!</v>
      </c>
      <c r="O163" s="76" t="e">
        <f>SUMIFS(#REF!,#REF!,$B163,#REF!,O$1)</f>
        <v>#REF!</v>
      </c>
      <c r="P163" s="76" t="e">
        <f>SUMIFS(#REF!,#REF!,$B163,#REF!,P$1)</f>
        <v>#REF!</v>
      </c>
      <c r="Q163" s="76" t="e">
        <f>SUMIFS(#REF!,#REF!,$B163,#REF!,Q$1)</f>
        <v>#REF!</v>
      </c>
      <c r="R163" s="76" t="e">
        <f>SUMIFS(#REF!,#REF!,$B163,#REF!,R$1)</f>
        <v>#REF!</v>
      </c>
      <c r="S163" s="76" t="e">
        <f>SUMIFS(#REF!,#REF!,$B163,#REF!,S$1)</f>
        <v>#REF!</v>
      </c>
      <c r="T163" s="76" t="e">
        <f>SUMIFS(#REF!,#REF!,$B163,#REF!,T$1)</f>
        <v>#REF!</v>
      </c>
      <c r="U163" s="76" t="e">
        <f>SUMIFS(#REF!,#REF!,$B163,#REF!,U$1)</f>
        <v>#REF!</v>
      </c>
      <c r="V163" s="76" t="e">
        <f>SUMIFS(#REF!,#REF!,$B163,#REF!,V$1)</f>
        <v>#REF!</v>
      </c>
      <c r="W163" s="76" t="e">
        <f>SUMIFS(#REF!,#REF!,$B163,#REF!,W$1)</f>
        <v>#REF!</v>
      </c>
      <c r="X163" s="76" t="e">
        <f>SUMIFS(#REF!,#REF!,$B163,#REF!,X$1)</f>
        <v>#REF!</v>
      </c>
      <c r="Y163" s="76" t="e">
        <f>SUMIFS(#REF!,#REF!,$B163,#REF!,Y$1)</f>
        <v>#REF!</v>
      </c>
      <c r="Z163" s="76" t="e">
        <f>SUMIFS(#REF!,#REF!,$B163,#REF!,Z$1)</f>
        <v>#REF!</v>
      </c>
      <c r="AA163" s="76" t="e">
        <f>SUMIFS(#REF!,#REF!,$B163,#REF!,AA$1)</f>
        <v>#REF!</v>
      </c>
      <c r="AB163" s="76" t="e">
        <f>SUMIFS(#REF!,#REF!,$B163,#REF!,AB$1)</f>
        <v>#REF!</v>
      </c>
      <c r="AC163" s="76" t="e">
        <f>SUMIFS(#REF!,#REF!,$B163,#REF!,AC$1)</f>
        <v>#REF!</v>
      </c>
      <c r="AD163" s="76" t="e">
        <f>SUMIFS(#REF!,#REF!,$B163,#REF!,AD$1)</f>
        <v>#REF!</v>
      </c>
      <c r="AE163" s="76" t="e">
        <f>SUMIFS(#REF!,#REF!,$B163,#REF!,AE$1)</f>
        <v>#REF!</v>
      </c>
      <c r="AF163" s="76" t="e">
        <f>SUMIFS(#REF!,#REF!,$B163,#REF!,AF$1)</f>
        <v>#REF!</v>
      </c>
      <c r="AG163" s="76" t="e">
        <f>SUMIFS(#REF!,#REF!,$B163,#REF!,AG$1)</f>
        <v>#REF!</v>
      </c>
      <c r="AH163" s="76" t="e">
        <f>SUMIFS(#REF!,#REF!,$B163,#REF!,AH$1)</f>
        <v>#REF!</v>
      </c>
      <c r="AI163" s="82"/>
    </row>
    <row r="164" spans="2:35" ht="15" hidden="1" customHeight="1" x14ac:dyDescent="0.25">
      <c r="B164" s="87"/>
      <c r="C164" s="86"/>
      <c r="D164" s="76" t="e">
        <f>SUMIFS(#REF!,#REF!,$B164,#REF!,D$1)</f>
        <v>#REF!</v>
      </c>
      <c r="E164" s="76" t="e">
        <f>SUMIFS(#REF!,#REF!,$B164,#REF!,E$1)</f>
        <v>#REF!</v>
      </c>
      <c r="F164" s="76" t="e">
        <f>SUMIFS(#REF!,#REF!,$B164,#REF!,F$1)</f>
        <v>#REF!</v>
      </c>
      <c r="G164" s="76" t="e">
        <f>SUMIFS(#REF!,#REF!,$B164,#REF!,G$1)</f>
        <v>#REF!</v>
      </c>
      <c r="H164" s="76" t="e">
        <f>SUMIFS(#REF!,#REF!,$B164,#REF!,H$1)</f>
        <v>#REF!</v>
      </c>
      <c r="I164" s="76" t="e">
        <f>SUMIFS(#REF!,#REF!,$B164,#REF!,I$1)</f>
        <v>#REF!</v>
      </c>
      <c r="J164" s="76" t="e">
        <f>SUMIFS(#REF!,#REF!,$B164,#REF!,J$1)</f>
        <v>#REF!</v>
      </c>
      <c r="K164" s="76" t="e">
        <f>SUMIFS(#REF!,#REF!,$B164,#REF!,K$1)</f>
        <v>#REF!</v>
      </c>
      <c r="L164" s="76" t="e">
        <f>SUMIFS(#REF!,#REF!,$B164,#REF!,L$1)</f>
        <v>#REF!</v>
      </c>
      <c r="M164" s="76" t="e">
        <f>SUMIFS(#REF!,#REF!,$B164,#REF!,M$1)</f>
        <v>#REF!</v>
      </c>
      <c r="N164" s="76" t="e">
        <f>SUMIFS(#REF!,#REF!,$B164,#REF!,N$1)</f>
        <v>#REF!</v>
      </c>
      <c r="O164" s="76" t="e">
        <f>SUMIFS(#REF!,#REF!,$B164,#REF!,O$1)</f>
        <v>#REF!</v>
      </c>
      <c r="P164" s="76" t="e">
        <f>SUMIFS(#REF!,#REF!,$B164,#REF!,P$1)</f>
        <v>#REF!</v>
      </c>
      <c r="Q164" s="76" t="e">
        <f>SUMIFS(#REF!,#REF!,$B164,#REF!,Q$1)</f>
        <v>#REF!</v>
      </c>
      <c r="R164" s="76" t="e">
        <f>SUMIFS(#REF!,#REF!,$B164,#REF!,R$1)</f>
        <v>#REF!</v>
      </c>
      <c r="S164" s="76" t="e">
        <f>SUMIFS(#REF!,#REF!,$B164,#REF!,S$1)</f>
        <v>#REF!</v>
      </c>
      <c r="T164" s="76" t="e">
        <f>SUMIFS(#REF!,#REF!,$B164,#REF!,T$1)</f>
        <v>#REF!</v>
      </c>
      <c r="U164" s="76" t="e">
        <f>SUMIFS(#REF!,#REF!,$B164,#REF!,U$1)</f>
        <v>#REF!</v>
      </c>
      <c r="V164" s="76" t="e">
        <f>SUMIFS(#REF!,#REF!,$B164,#REF!,V$1)</f>
        <v>#REF!</v>
      </c>
      <c r="W164" s="76" t="e">
        <f>SUMIFS(#REF!,#REF!,$B164,#REF!,W$1)</f>
        <v>#REF!</v>
      </c>
      <c r="X164" s="76" t="e">
        <f>SUMIFS(#REF!,#REF!,$B164,#REF!,X$1)</f>
        <v>#REF!</v>
      </c>
      <c r="Y164" s="76" t="e">
        <f>SUMIFS(#REF!,#REF!,$B164,#REF!,Y$1)</f>
        <v>#REF!</v>
      </c>
      <c r="Z164" s="76" t="e">
        <f>SUMIFS(#REF!,#REF!,$B164,#REF!,Z$1)</f>
        <v>#REF!</v>
      </c>
      <c r="AA164" s="76" t="e">
        <f>SUMIFS(#REF!,#REF!,$B164,#REF!,AA$1)</f>
        <v>#REF!</v>
      </c>
      <c r="AB164" s="76" t="e">
        <f>SUMIFS(#REF!,#REF!,$B164,#REF!,AB$1)</f>
        <v>#REF!</v>
      </c>
      <c r="AC164" s="76" t="e">
        <f>SUMIFS(#REF!,#REF!,$B164,#REF!,AC$1)</f>
        <v>#REF!</v>
      </c>
      <c r="AD164" s="76" t="e">
        <f>SUMIFS(#REF!,#REF!,$B164,#REF!,AD$1)</f>
        <v>#REF!</v>
      </c>
      <c r="AE164" s="76" t="e">
        <f>SUMIFS(#REF!,#REF!,$B164,#REF!,AE$1)</f>
        <v>#REF!</v>
      </c>
      <c r="AF164" s="76" t="e">
        <f>SUMIFS(#REF!,#REF!,$B164,#REF!,AF$1)</f>
        <v>#REF!</v>
      </c>
      <c r="AG164" s="76" t="e">
        <f>SUMIFS(#REF!,#REF!,$B164,#REF!,AG$1)</f>
        <v>#REF!</v>
      </c>
      <c r="AH164" s="76" t="e">
        <f>SUMIFS(#REF!,#REF!,$B164,#REF!,AH$1)</f>
        <v>#REF!</v>
      </c>
      <c r="AI164" s="82"/>
    </row>
    <row r="165" spans="2:35" ht="15" hidden="1" customHeight="1" x14ac:dyDescent="0.25">
      <c r="B165" s="84"/>
      <c r="C165" s="86"/>
      <c r="D165" s="76" t="e">
        <f>SUMIFS(#REF!,#REF!,$B165,#REF!,D$1)</f>
        <v>#REF!</v>
      </c>
      <c r="E165" s="76" t="e">
        <f>SUMIFS(#REF!,#REF!,$B165,#REF!,E$1)</f>
        <v>#REF!</v>
      </c>
      <c r="F165" s="76" t="e">
        <f>SUMIFS(#REF!,#REF!,$B165,#REF!,F$1)</f>
        <v>#REF!</v>
      </c>
      <c r="G165" s="76" t="e">
        <f>SUMIFS(#REF!,#REF!,$B165,#REF!,G$1)</f>
        <v>#REF!</v>
      </c>
      <c r="H165" s="76" t="e">
        <f>SUMIFS(#REF!,#REF!,$B165,#REF!,H$1)</f>
        <v>#REF!</v>
      </c>
      <c r="I165" s="76" t="e">
        <f>SUMIFS(#REF!,#REF!,$B165,#REF!,I$1)</f>
        <v>#REF!</v>
      </c>
      <c r="J165" s="76" t="e">
        <f>SUMIFS(#REF!,#REF!,$B165,#REF!,J$1)</f>
        <v>#REF!</v>
      </c>
      <c r="K165" s="76" t="e">
        <f>SUMIFS(#REF!,#REF!,$B165,#REF!,K$1)</f>
        <v>#REF!</v>
      </c>
      <c r="L165" s="76" t="e">
        <f>SUMIFS(#REF!,#REF!,$B165,#REF!,L$1)</f>
        <v>#REF!</v>
      </c>
      <c r="M165" s="76" t="e">
        <f>SUMIFS(#REF!,#REF!,$B165,#REF!,M$1)</f>
        <v>#REF!</v>
      </c>
      <c r="N165" s="76" t="e">
        <f>SUMIFS(#REF!,#REF!,$B165,#REF!,N$1)</f>
        <v>#REF!</v>
      </c>
      <c r="O165" s="76" t="e">
        <f>SUMIFS(#REF!,#REF!,$B165,#REF!,O$1)</f>
        <v>#REF!</v>
      </c>
      <c r="P165" s="76" t="e">
        <f>SUMIFS(#REF!,#REF!,$B165,#REF!,P$1)</f>
        <v>#REF!</v>
      </c>
      <c r="Q165" s="76" t="e">
        <f>SUMIFS(#REF!,#REF!,$B165,#REF!,Q$1)</f>
        <v>#REF!</v>
      </c>
      <c r="R165" s="76" t="e">
        <f>SUMIFS(#REF!,#REF!,$B165,#REF!,R$1)</f>
        <v>#REF!</v>
      </c>
      <c r="S165" s="76" t="e">
        <f>SUMIFS(#REF!,#REF!,$B165,#REF!,S$1)</f>
        <v>#REF!</v>
      </c>
      <c r="T165" s="76" t="e">
        <f>SUMIFS(#REF!,#REF!,$B165,#REF!,T$1)</f>
        <v>#REF!</v>
      </c>
      <c r="U165" s="76" t="e">
        <f>SUMIFS(#REF!,#REF!,$B165,#REF!,U$1)</f>
        <v>#REF!</v>
      </c>
      <c r="V165" s="76" t="e">
        <f>SUMIFS(#REF!,#REF!,$B165,#REF!,V$1)</f>
        <v>#REF!</v>
      </c>
      <c r="W165" s="76" t="e">
        <f>SUMIFS(#REF!,#REF!,$B165,#REF!,W$1)</f>
        <v>#REF!</v>
      </c>
      <c r="X165" s="76" t="e">
        <f>SUMIFS(#REF!,#REF!,$B165,#REF!,X$1)</f>
        <v>#REF!</v>
      </c>
      <c r="Y165" s="76" t="e">
        <f>SUMIFS(#REF!,#REF!,$B165,#REF!,Y$1)</f>
        <v>#REF!</v>
      </c>
      <c r="Z165" s="76" t="e">
        <f>SUMIFS(#REF!,#REF!,$B165,#REF!,Z$1)</f>
        <v>#REF!</v>
      </c>
      <c r="AA165" s="76" t="e">
        <f>SUMIFS(#REF!,#REF!,$B165,#REF!,AA$1)</f>
        <v>#REF!</v>
      </c>
      <c r="AB165" s="76" t="e">
        <f>SUMIFS(#REF!,#REF!,$B165,#REF!,AB$1)</f>
        <v>#REF!</v>
      </c>
      <c r="AC165" s="76" t="e">
        <f>SUMIFS(#REF!,#REF!,$B165,#REF!,AC$1)</f>
        <v>#REF!</v>
      </c>
      <c r="AD165" s="76" t="e">
        <f>SUMIFS(#REF!,#REF!,$B165,#REF!,AD$1)</f>
        <v>#REF!</v>
      </c>
      <c r="AE165" s="76" t="e">
        <f>SUMIFS(#REF!,#REF!,$B165,#REF!,AE$1)</f>
        <v>#REF!</v>
      </c>
      <c r="AF165" s="76" t="e">
        <f>SUMIFS(#REF!,#REF!,$B165,#REF!,AF$1)</f>
        <v>#REF!</v>
      </c>
      <c r="AG165" s="76" t="e">
        <f>SUMIFS(#REF!,#REF!,$B165,#REF!,AG$1)</f>
        <v>#REF!</v>
      </c>
      <c r="AH165" s="76" t="e">
        <f>SUMIFS(#REF!,#REF!,$B165,#REF!,AH$1)</f>
        <v>#REF!</v>
      </c>
      <c r="AI165" s="82"/>
    </row>
    <row r="166" spans="2:35" ht="15" hidden="1" customHeight="1" x14ac:dyDescent="0.25">
      <c r="B166" s="84"/>
      <c r="C166" s="83"/>
      <c r="D166" s="76" t="e">
        <f>SUMIFS(#REF!,#REF!,$B166,#REF!,D$1)</f>
        <v>#REF!</v>
      </c>
      <c r="E166" s="76" t="e">
        <f>SUMIFS(#REF!,#REF!,$B166,#REF!,E$1)</f>
        <v>#REF!</v>
      </c>
      <c r="F166" s="76" t="e">
        <f>SUMIFS(#REF!,#REF!,$B166,#REF!,F$1)</f>
        <v>#REF!</v>
      </c>
      <c r="G166" s="76" t="e">
        <f>SUMIFS(#REF!,#REF!,$B166,#REF!,G$1)</f>
        <v>#REF!</v>
      </c>
      <c r="H166" s="76" t="e">
        <f>SUMIFS(#REF!,#REF!,$B166,#REF!,H$1)</f>
        <v>#REF!</v>
      </c>
      <c r="I166" s="76" t="e">
        <f>SUMIFS(#REF!,#REF!,$B166,#REF!,I$1)</f>
        <v>#REF!</v>
      </c>
      <c r="J166" s="76" t="e">
        <f>SUMIFS(#REF!,#REF!,$B166,#REF!,J$1)</f>
        <v>#REF!</v>
      </c>
      <c r="K166" s="76" t="e">
        <f>SUMIFS(#REF!,#REF!,$B166,#REF!,K$1)</f>
        <v>#REF!</v>
      </c>
      <c r="L166" s="76" t="e">
        <f>SUMIFS(#REF!,#REF!,$B166,#REF!,L$1)</f>
        <v>#REF!</v>
      </c>
      <c r="M166" s="76" t="e">
        <f>SUMIFS(#REF!,#REF!,$B166,#REF!,M$1)</f>
        <v>#REF!</v>
      </c>
      <c r="N166" s="76" t="e">
        <f>SUMIFS(#REF!,#REF!,$B166,#REF!,N$1)</f>
        <v>#REF!</v>
      </c>
      <c r="O166" s="76" t="e">
        <f>SUMIFS(#REF!,#REF!,$B166,#REF!,O$1)</f>
        <v>#REF!</v>
      </c>
      <c r="P166" s="76" t="e">
        <f>SUMIFS(#REF!,#REF!,$B166,#REF!,P$1)</f>
        <v>#REF!</v>
      </c>
      <c r="Q166" s="76" t="e">
        <f>SUMIFS(#REF!,#REF!,$B166,#REF!,Q$1)</f>
        <v>#REF!</v>
      </c>
      <c r="R166" s="76" t="e">
        <f>SUMIFS(#REF!,#REF!,$B166,#REF!,R$1)</f>
        <v>#REF!</v>
      </c>
      <c r="S166" s="76" t="e">
        <f>SUMIFS(#REF!,#REF!,$B166,#REF!,S$1)</f>
        <v>#REF!</v>
      </c>
      <c r="T166" s="76" t="e">
        <f>SUMIFS(#REF!,#REF!,$B166,#REF!,T$1)</f>
        <v>#REF!</v>
      </c>
      <c r="U166" s="76" t="e">
        <f>SUMIFS(#REF!,#REF!,$B166,#REF!,U$1)</f>
        <v>#REF!</v>
      </c>
      <c r="V166" s="76" t="e">
        <f>SUMIFS(#REF!,#REF!,$B166,#REF!,V$1)</f>
        <v>#REF!</v>
      </c>
      <c r="W166" s="76" t="e">
        <f>SUMIFS(#REF!,#REF!,$B166,#REF!,W$1)</f>
        <v>#REF!</v>
      </c>
      <c r="X166" s="76" t="e">
        <f>SUMIFS(#REF!,#REF!,$B166,#REF!,X$1)</f>
        <v>#REF!</v>
      </c>
      <c r="Y166" s="76" t="e">
        <f>SUMIFS(#REF!,#REF!,$B166,#REF!,Y$1)</f>
        <v>#REF!</v>
      </c>
      <c r="Z166" s="76" t="e">
        <f>SUMIFS(#REF!,#REF!,$B166,#REF!,Z$1)</f>
        <v>#REF!</v>
      </c>
      <c r="AA166" s="76" t="e">
        <f>SUMIFS(#REF!,#REF!,$B166,#REF!,AA$1)</f>
        <v>#REF!</v>
      </c>
      <c r="AB166" s="76" t="e">
        <f>SUMIFS(#REF!,#REF!,$B166,#REF!,AB$1)</f>
        <v>#REF!</v>
      </c>
      <c r="AC166" s="76" t="e">
        <f>SUMIFS(#REF!,#REF!,$B166,#REF!,AC$1)</f>
        <v>#REF!</v>
      </c>
      <c r="AD166" s="76" t="e">
        <f>SUMIFS(#REF!,#REF!,$B166,#REF!,AD$1)</f>
        <v>#REF!</v>
      </c>
      <c r="AE166" s="76" t="e">
        <f>SUMIFS(#REF!,#REF!,$B166,#REF!,AE$1)</f>
        <v>#REF!</v>
      </c>
      <c r="AF166" s="76" t="e">
        <f>SUMIFS(#REF!,#REF!,$B166,#REF!,AF$1)</f>
        <v>#REF!</v>
      </c>
      <c r="AG166" s="76" t="e">
        <f>SUMIFS(#REF!,#REF!,$B166,#REF!,AG$1)</f>
        <v>#REF!</v>
      </c>
      <c r="AH166" s="76" t="e">
        <f>SUMIFS(#REF!,#REF!,$B166,#REF!,AH$1)</f>
        <v>#REF!</v>
      </c>
      <c r="AI166" s="82"/>
    </row>
    <row r="167" spans="2:35" ht="15" hidden="1" customHeight="1" x14ac:dyDescent="0.25">
      <c r="B167" s="84"/>
      <c r="C167" s="83"/>
      <c r="D167" s="76" t="e">
        <f>SUMIFS(#REF!,#REF!,$B167,#REF!,D$1)</f>
        <v>#REF!</v>
      </c>
      <c r="E167" s="76" t="e">
        <f>SUMIFS(#REF!,#REF!,$B167,#REF!,E$1)</f>
        <v>#REF!</v>
      </c>
      <c r="F167" s="76" t="e">
        <f>SUMIFS(#REF!,#REF!,$B167,#REF!,F$1)</f>
        <v>#REF!</v>
      </c>
      <c r="G167" s="76" t="e">
        <f>SUMIFS(#REF!,#REF!,$B167,#REF!,G$1)</f>
        <v>#REF!</v>
      </c>
      <c r="H167" s="76" t="e">
        <f>SUMIFS(#REF!,#REF!,$B167,#REF!,H$1)</f>
        <v>#REF!</v>
      </c>
      <c r="I167" s="76" t="e">
        <f>SUMIFS(#REF!,#REF!,$B167,#REF!,I$1)</f>
        <v>#REF!</v>
      </c>
      <c r="J167" s="76" t="e">
        <f>SUMIFS(#REF!,#REF!,$B167,#REF!,J$1)</f>
        <v>#REF!</v>
      </c>
      <c r="K167" s="76" t="e">
        <f>SUMIFS(#REF!,#REF!,$B167,#REF!,K$1)</f>
        <v>#REF!</v>
      </c>
      <c r="L167" s="76" t="e">
        <f>SUMIFS(#REF!,#REF!,$B167,#REF!,L$1)</f>
        <v>#REF!</v>
      </c>
      <c r="M167" s="76" t="e">
        <f>SUMIFS(#REF!,#REF!,$B167,#REF!,M$1)</f>
        <v>#REF!</v>
      </c>
      <c r="N167" s="76" t="e">
        <f>SUMIFS(#REF!,#REF!,$B167,#REF!,N$1)</f>
        <v>#REF!</v>
      </c>
      <c r="O167" s="76" t="e">
        <f>SUMIFS(#REF!,#REF!,$B167,#REF!,O$1)</f>
        <v>#REF!</v>
      </c>
      <c r="P167" s="76" t="e">
        <f>SUMIFS(#REF!,#REF!,$B167,#REF!,P$1)</f>
        <v>#REF!</v>
      </c>
      <c r="Q167" s="76" t="e">
        <f>SUMIFS(#REF!,#REF!,$B167,#REF!,Q$1)</f>
        <v>#REF!</v>
      </c>
      <c r="R167" s="76" t="e">
        <f>SUMIFS(#REF!,#REF!,$B167,#REF!,R$1)</f>
        <v>#REF!</v>
      </c>
      <c r="S167" s="76" t="e">
        <f>SUMIFS(#REF!,#REF!,$B167,#REF!,S$1)</f>
        <v>#REF!</v>
      </c>
      <c r="T167" s="76" t="e">
        <f>SUMIFS(#REF!,#REF!,$B167,#REF!,T$1)</f>
        <v>#REF!</v>
      </c>
      <c r="U167" s="76" t="e">
        <f>SUMIFS(#REF!,#REF!,$B167,#REF!,U$1)</f>
        <v>#REF!</v>
      </c>
      <c r="V167" s="76" t="e">
        <f>SUMIFS(#REF!,#REF!,$B167,#REF!,V$1)</f>
        <v>#REF!</v>
      </c>
      <c r="W167" s="76" t="e">
        <f>SUMIFS(#REF!,#REF!,$B167,#REF!,W$1)</f>
        <v>#REF!</v>
      </c>
      <c r="X167" s="76" t="e">
        <f>SUMIFS(#REF!,#REF!,$B167,#REF!,X$1)</f>
        <v>#REF!</v>
      </c>
      <c r="Y167" s="76" t="e">
        <f>SUMIFS(#REF!,#REF!,$B167,#REF!,Y$1)</f>
        <v>#REF!</v>
      </c>
      <c r="Z167" s="76" t="e">
        <f>SUMIFS(#REF!,#REF!,$B167,#REF!,Z$1)</f>
        <v>#REF!</v>
      </c>
      <c r="AA167" s="76" t="e">
        <f>SUMIFS(#REF!,#REF!,$B167,#REF!,AA$1)</f>
        <v>#REF!</v>
      </c>
      <c r="AB167" s="76" t="e">
        <f>SUMIFS(#REF!,#REF!,$B167,#REF!,AB$1)</f>
        <v>#REF!</v>
      </c>
      <c r="AC167" s="76" t="e">
        <f>SUMIFS(#REF!,#REF!,$B167,#REF!,AC$1)</f>
        <v>#REF!</v>
      </c>
      <c r="AD167" s="76" t="e">
        <f>SUMIFS(#REF!,#REF!,$B167,#REF!,AD$1)</f>
        <v>#REF!</v>
      </c>
      <c r="AE167" s="76" t="e">
        <f>SUMIFS(#REF!,#REF!,$B167,#REF!,AE$1)</f>
        <v>#REF!</v>
      </c>
      <c r="AF167" s="76" t="e">
        <f>SUMIFS(#REF!,#REF!,$B167,#REF!,AF$1)</f>
        <v>#REF!</v>
      </c>
      <c r="AG167" s="76" t="e">
        <f>SUMIFS(#REF!,#REF!,$B167,#REF!,AG$1)</f>
        <v>#REF!</v>
      </c>
      <c r="AH167" s="76" t="e">
        <f>SUMIFS(#REF!,#REF!,$B167,#REF!,AH$1)</f>
        <v>#REF!</v>
      </c>
      <c r="AI167" s="82"/>
    </row>
    <row r="168" spans="2:35" ht="15" hidden="1" customHeight="1" x14ac:dyDescent="0.25">
      <c r="B168" s="84"/>
      <c r="C168" s="83"/>
      <c r="D168" s="76" t="e">
        <f>SUMIFS(#REF!,#REF!,$B168,#REF!,D$1)</f>
        <v>#REF!</v>
      </c>
      <c r="E168" s="76" t="e">
        <f>SUMIFS(#REF!,#REF!,$B168,#REF!,E$1)</f>
        <v>#REF!</v>
      </c>
      <c r="F168" s="76" t="e">
        <f>SUMIFS(#REF!,#REF!,$B168,#REF!,F$1)</f>
        <v>#REF!</v>
      </c>
      <c r="G168" s="76" t="e">
        <f>SUMIFS(#REF!,#REF!,$B168,#REF!,G$1)</f>
        <v>#REF!</v>
      </c>
      <c r="H168" s="76" t="e">
        <f>SUMIFS(#REF!,#REF!,$B168,#REF!,H$1)</f>
        <v>#REF!</v>
      </c>
      <c r="I168" s="76" t="e">
        <f>SUMIFS(#REF!,#REF!,$B168,#REF!,I$1)</f>
        <v>#REF!</v>
      </c>
      <c r="J168" s="76" t="e">
        <f>SUMIFS(#REF!,#REF!,$B168,#REF!,J$1)</f>
        <v>#REF!</v>
      </c>
      <c r="K168" s="76" t="e">
        <f>SUMIFS(#REF!,#REF!,$B168,#REF!,K$1)</f>
        <v>#REF!</v>
      </c>
      <c r="L168" s="76" t="e">
        <f>SUMIFS(#REF!,#REF!,$B168,#REF!,L$1)</f>
        <v>#REF!</v>
      </c>
      <c r="M168" s="76" t="e">
        <f>SUMIFS(#REF!,#REF!,$B168,#REF!,M$1)</f>
        <v>#REF!</v>
      </c>
      <c r="N168" s="76" t="e">
        <f>SUMIFS(#REF!,#REF!,$B168,#REF!,N$1)</f>
        <v>#REF!</v>
      </c>
      <c r="O168" s="76" t="e">
        <f>SUMIFS(#REF!,#REF!,$B168,#REF!,O$1)</f>
        <v>#REF!</v>
      </c>
      <c r="P168" s="76" t="e">
        <f>SUMIFS(#REF!,#REF!,$B168,#REF!,P$1)</f>
        <v>#REF!</v>
      </c>
      <c r="Q168" s="76" t="e">
        <f>SUMIFS(#REF!,#REF!,$B168,#REF!,Q$1)</f>
        <v>#REF!</v>
      </c>
      <c r="R168" s="76" t="e">
        <f>SUMIFS(#REF!,#REF!,$B168,#REF!,R$1)</f>
        <v>#REF!</v>
      </c>
      <c r="S168" s="76" t="e">
        <f>SUMIFS(#REF!,#REF!,$B168,#REF!,S$1)</f>
        <v>#REF!</v>
      </c>
      <c r="T168" s="76" t="e">
        <f>SUMIFS(#REF!,#REF!,$B168,#REF!,T$1)</f>
        <v>#REF!</v>
      </c>
      <c r="U168" s="76" t="e">
        <f>SUMIFS(#REF!,#REF!,$B168,#REF!,U$1)</f>
        <v>#REF!</v>
      </c>
      <c r="V168" s="76" t="e">
        <f>SUMIFS(#REF!,#REF!,$B168,#REF!,V$1)</f>
        <v>#REF!</v>
      </c>
      <c r="W168" s="76" t="e">
        <f>SUMIFS(#REF!,#REF!,$B168,#REF!,W$1)</f>
        <v>#REF!</v>
      </c>
      <c r="X168" s="76" t="e">
        <f>SUMIFS(#REF!,#REF!,$B168,#REF!,X$1)</f>
        <v>#REF!</v>
      </c>
      <c r="Y168" s="76" t="e">
        <f>SUMIFS(#REF!,#REF!,$B168,#REF!,Y$1)</f>
        <v>#REF!</v>
      </c>
      <c r="Z168" s="76" t="e">
        <f>SUMIFS(#REF!,#REF!,$B168,#REF!,Z$1)</f>
        <v>#REF!</v>
      </c>
      <c r="AA168" s="76" t="e">
        <f>SUMIFS(#REF!,#REF!,$B168,#REF!,AA$1)</f>
        <v>#REF!</v>
      </c>
      <c r="AB168" s="76" t="e">
        <f>SUMIFS(#REF!,#REF!,$B168,#REF!,AB$1)</f>
        <v>#REF!</v>
      </c>
      <c r="AC168" s="76" t="e">
        <f>SUMIFS(#REF!,#REF!,$B168,#REF!,AC$1)</f>
        <v>#REF!</v>
      </c>
      <c r="AD168" s="76" t="e">
        <f>SUMIFS(#REF!,#REF!,$B168,#REF!,AD$1)</f>
        <v>#REF!</v>
      </c>
      <c r="AE168" s="76" t="e">
        <f>SUMIFS(#REF!,#REF!,$B168,#REF!,AE$1)</f>
        <v>#REF!</v>
      </c>
      <c r="AF168" s="76" t="e">
        <f>SUMIFS(#REF!,#REF!,$B168,#REF!,AF$1)</f>
        <v>#REF!</v>
      </c>
      <c r="AG168" s="76" t="e">
        <f>SUMIFS(#REF!,#REF!,$B168,#REF!,AG$1)</f>
        <v>#REF!</v>
      </c>
      <c r="AH168" s="76" t="e">
        <f>SUMIFS(#REF!,#REF!,$B168,#REF!,AH$1)</f>
        <v>#REF!</v>
      </c>
      <c r="AI168" s="82"/>
    </row>
    <row r="169" spans="2:35" ht="15" hidden="1" customHeight="1" x14ac:dyDescent="0.25">
      <c r="B169" s="88"/>
      <c r="C169" s="86"/>
      <c r="D169" s="76" t="e">
        <f>SUMIFS(#REF!,#REF!,$B169,#REF!,D$1)</f>
        <v>#REF!</v>
      </c>
      <c r="E169" s="76" t="e">
        <f>SUMIFS(#REF!,#REF!,$B169,#REF!,E$1)</f>
        <v>#REF!</v>
      </c>
      <c r="F169" s="76" t="e">
        <f>SUMIFS(#REF!,#REF!,$B169,#REF!,F$1)</f>
        <v>#REF!</v>
      </c>
      <c r="G169" s="76" t="e">
        <f>SUMIFS(#REF!,#REF!,$B169,#REF!,G$1)</f>
        <v>#REF!</v>
      </c>
      <c r="H169" s="76" t="e">
        <f>SUMIFS(#REF!,#REF!,$B169,#REF!,H$1)</f>
        <v>#REF!</v>
      </c>
      <c r="I169" s="76" t="e">
        <f>SUMIFS(#REF!,#REF!,$B169,#REF!,I$1)</f>
        <v>#REF!</v>
      </c>
      <c r="J169" s="76" t="e">
        <f>SUMIFS(#REF!,#REF!,$B169,#REF!,J$1)</f>
        <v>#REF!</v>
      </c>
      <c r="K169" s="76" t="e">
        <f>SUMIFS(#REF!,#REF!,$B169,#REF!,K$1)</f>
        <v>#REF!</v>
      </c>
      <c r="L169" s="76" t="e">
        <f>SUMIFS(#REF!,#REF!,$B169,#REF!,L$1)</f>
        <v>#REF!</v>
      </c>
      <c r="M169" s="76" t="e">
        <f>SUMIFS(#REF!,#REF!,$B169,#REF!,M$1)</f>
        <v>#REF!</v>
      </c>
      <c r="N169" s="76" t="e">
        <f>SUMIFS(#REF!,#REF!,$B169,#REF!,N$1)</f>
        <v>#REF!</v>
      </c>
      <c r="O169" s="76" t="e">
        <f>SUMIFS(#REF!,#REF!,$B169,#REF!,O$1)</f>
        <v>#REF!</v>
      </c>
      <c r="P169" s="76" t="e">
        <f>SUMIFS(#REF!,#REF!,$B169,#REF!,P$1)</f>
        <v>#REF!</v>
      </c>
      <c r="Q169" s="76" t="e">
        <f>SUMIFS(#REF!,#REF!,$B169,#REF!,Q$1)</f>
        <v>#REF!</v>
      </c>
      <c r="R169" s="76" t="e">
        <f>SUMIFS(#REF!,#REF!,$B169,#REF!,R$1)</f>
        <v>#REF!</v>
      </c>
      <c r="S169" s="76" t="e">
        <f>SUMIFS(#REF!,#REF!,$B169,#REF!,S$1)</f>
        <v>#REF!</v>
      </c>
      <c r="T169" s="76" t="e">
        <f>SUMIFS(#REF!,#REF!,$B169,#REF!,T$1)</f>
        <v>#REF!</v>
      </c>
      <c r="U169" s="76" t="e">
        <f>SUMIFS(#REF!,#REF!,$B169,#REF!,U$1)</f>
        <v>#REF!</v>
      </c>
      <c r="V169" s="76" t="e">
        <f>SUMIFS(#REF!,#REF!,$B169,#REF!,V$1)</f>
        <v>#REF!</v>
      </c>
      <c r="W169" s="76" t="e">
        <f>SUMIFS(#REF!,#REF!,$B169,#REF!,W$1)</f>
        <v>#REF!</v>
      </c>
      <c r="X169" s="76" t="e">
        <f>SUMIFS(#REF!,#REF!,$B169,#REF!,X$1)</f>
        <v>#REF!</v>
      </c>
      <c r="Y169" s="76" t="e">
        <f>SUMIFS(#REF!,#REF!,$B169,#REF!,Y$1)</f>
        <v>#REF!</v>
      </c>
      <c r="Z169" s="76" t="e">
        <f>SUMIFS(#REF!,#REF!,$B169,#REF!,Z$1)</f>
        <v>#REF!</v>
      </c>
      <c r="AA169" s="76" t="e">
        <f>SUMIFS(#REF!,#REF!,$B169,#REF!,AA$1)</f>
        <v>#REF!</v>
      </c>
      <c r="AB169" s="76" t="e">
        <f>SUMIFS(#REF!,#REF!,$B169,#REF!,AB$1)</f>
        <v>#REF!</v>
      </c>
      <c r="AC169" s="76" t="e">
        <f>SUMIFS(#REF!,#REF!,$B169,#REF!,AC$1)</f>
        <v>#REF!</v>
      </c>
      <c r="AD169" s="76" t="e">
        <f>SUMIFS(#REF!,#REF!,$B169,#REF!,AD$1)</f>
        <v>#REF!</v>
      </c>
      <c r="AE169" s="76" t="e">
        <f>SUMIFS(#REF!,#REF!,$B169,#REF!,AE$1)</f>
        <v>#REF!</v>
      </c>
      <c r="AF169" s="76" t="e">
        <f>SUMIFS(#REF!,#REF!,$B169,#REF!,AF$1)</f>
        <v>#REF!</v>
      </c>
      <c r="AG169" s="76" t="e">
        <f>SUMIFS(#REF!,#REF!,$B169,#REF!,AG$1)</f>
        <v>#REF!</v>
      </c>
      <c r="AH169" s="76" t="e">
        <f>SUMIFS(#REF!,#REF!,$B169,#REF!,AH$1)</f>
        <v>#REF!</v>
      </c>
      <c r="AI169" s="82"/>
    </row>
    <row r="170" spans="2:35" ht="15" hidden="1" customHeight="1" x14ac:dyDescent="0.25">
      <c r="B170" s="88"/>
      <c r="C170" s="86"/>
      <c r="D170" s="76" t="e">
        <f>SUMIFS(#REF!,#REF!,$B170,#REF!,D$1)</f>
        <v>#REF!</v>
      </c>
      <c r="E170" s="76" t="e">
        <f>SUMIFS(#REF!,#REF!,$B170,#REF!,E$1)</f>
        <v>#REF!</v>
      </c>
      <c r="F170" s="76" t="e">
        <f>SUMIFS(#REF!,#REF!,$B170,#REF!,F$1)</f>
        <v>#REF!</v>
      </c>
      <c r="G170" s="76" t="e">
        <f>SUMIFS(#REF!,#REF!,$B170,#REF!,G$1)</f>
        <v>#REF!</v>
      </c>
      <c r="H170" s="76" t="e">
        <f>SUMIFS(#REF!,#REF!,$B170,#REF!,H$1)</f>
        <v>#REF!</v>
      </c>
      <c r="I170" s="76" t="e">
        <f>SUMIFS(#REF!,#REF!,$B170,#REF!,I$1)</f>
        <v>#REF!</v>
      </c>
      <c r="J170" s="76" t="e">
        <f>SUMIFS(#REF!,#REF!,$B170,#REF!,J$1)</f>
        <v>#REF!</v>
      </c>
      <c r="K170" s="76" t="e">
        <f>SUMIFS(#REF!,#REF!,$B170,#REF!,K$1)</f>
        <v>#REF!</v>
      </c>
      <c r="L170" s="76" t="e">
        <f>SUMIFS(#REF!,#REF!,$B170,#REF!,L$1)</f>
        <v>#REF!</v>
      </c>
      <c r="M170" s="76" t="e">
        <f>SUMIFS(#REF!,#REF!,$B170,#REF!,M$1)</f>
        <v>#REF!</v>
      </c>
      <c r="N170" s="76" t="e">
        <f>SUMIFS(#REF!,#REF!,$B170,#REF!,N$1)</f>
        <v>#REF!</v>
      </c>
      <c r="O170" s="76" t="e">
        <f>SUMIFS(#REF!,#REF!,$B170,#REF!,O$1)</f>
        <v>#REF!</v>
      </c>
      <c r="P170" s="76" t="e">
        <f>SUMIFS(#REF!,#REF!,$B170,#REF!,P$1)</f>
        <v>#REF!</v>
      </c>
      <c r="Q170" s="76" t="e">
        <f>SUMIFS(#REF!,#REF!,$B170,#REF!,Q$1)</f>
        <v>#REF!</v>
      </c>
      <c r="R170" s="76" t="e">
        <f>SUMIFS(#REF!,#REF!,$B170,#REF!,R$1)</f>
        <v>#REF!</v>
      </c>
      <c r="S170" s="76" t="e">
        <f>SUMIFS(#REF!,#REF!,$B170,#REF!,S$1)</f>
        <v>#REF!</v>
      </c>
      <c r="T170" s="76" t="e">
        <f>SUMIFS(#REF!,#REF!,$B170,#REF!,T$1)</f>
        <v>#REF!</v>
      </c>
      <c r="U170" s="76" t="e">
        <f>SUMIFS(#REF!,#REF!,$B170,#REF!,U$1)</f>
        <v>#REF!</v>
      </c>
      <c r="V170" s="76" t="e">
        <f>SUMIFS(#REF!,#REF!,$B170,#REF!,V$1)</f>
        <v>#REF!</v>
      </c>
      <c r="W170" s="76" t="e">
        <f>SUMIFS(#REF!,#REF!,$B170,#REF!,W$1)</f>
        <v>#REF!</v>
      </c>
      <c r="X170" s="76" t="e">
        <f>SUMIFS(#REF!,#REF!,$B170,#REF!,X$1)</f>
        <v>#REF!</v>
      </c>
      <c r="Y170" s="76" t="e">
        <f>SUMIFS(#REF!,#REF!,$B170,#REF!,Y$1)</f>
        <v>#REF!</v>
      </c>
      <c r="Z170" s="76" t="e">
        <f>SUMIFS(#REF!,#REF!,$B170,#REF!,Z$1)</f>
        <v>#REF!</v>
      </c>
      <c r="AA170" s="76" t="e">
        <f>SUMIFS(#REF!,#REF!,$B170,#REF!,AA$1)</f>
        <v>#REF!</v>
      </c>
      <c r="AB170" s="76" t="e">
        <f>SUMIFS(#REF!,#REF!,$B170,#REF!,AB$1)</f>
        <v>#REF!</v>
      </c>
      <c r="AC170" s="76" t="e">
        <f>SUMIFS(#REF!,#REF!,$B170,#REF!,AC$1)</f>
        <v>#REF!</v>
      </c>
      <c r="AD170" s="76" t="e">
        <f>SUMIFS(#REF!,#REF!,$B170,#REF!,AD$1)</f>
        <v>#REF!</v>
      </c>
      <c r="AE170" s="76" t="e">
        <f>SUMIFS(#REF!,#REF!,$B170,#REF!,AE$1)</f>
        <v>#REF!</v>
      </c>
      <c r="AF170" s="76" t="e">
        <f>SUMIFS(#REF!,#REF!,$B170,#REF!,AF$1)</f>
        <v>#REF!</v>
      </c>
      <c r="AG170" s="76" t="e">
        <f>SUMIFS(#REF!,#REF!,$B170,#REF!,AG$1)</f>
        <v>#REF!</v>
      </c>
      <c r="AH170" s="76" t="e">
        <f>SUMIFS(#REF!,#REF!,$B170,#REF!,AH$1)</f>
        <v>#REF!</v>
      </c>
      <c r="AI170" s="82"/>
    </row>
    <row r="171" spans="2:35" ht="15" hidden="1" customHeight="1" x14ac:dyDescent="0.25">
      <c r="B171" s="88"/>
      <c r="C171" s="86"/>
      <c r="D171" s="76" t="e">
        <f>SUMIFS(#REF!,#REF!,$B171,#REF!,D$1)</f>
        <v>#REF!</v>
      </c>
      <c r="E171" s="76" t="e">
        <f>SUMIFS(#REF!,#REF!,$B171,#REF!,E$1)</f>
        <v>#REF!</v>
      </c>
      <c r="F171" s="76" t="e">
        <f>SUMIFS(#REF!,#REF!,$B171,#REF!,F$1)</f>
        <v>#REF!</v>
      </c>
      <c r="G171" s="76" t="e">
        <f>SUMIFS(#REF!,#REF!,$B171,#REF!,G$1)</f>
        <v>#REF!</v>
      </c>
      <c r="H171" s="76" t="e">
        <f>SUMIFS(#REF!,#REF!,$B171,#REF!,H$1)</f>
        <v>#REF!</v>
      </c>
      <c r="I171" s="76" t="e">
        <f>SUMIFS(#REF!,#REF!,$B171,#REF!,I$1)</f>
        <v>#REF!</v>
      </c>
      <c r="J171" s="76" t="e">
        <f>SUMIFS(#REF!,#REF!,$B171,#REF!,J$1)</f>
        <v>#REF!</v>
      </c>
      <c r="K171" s="76" t="e">
        <f>SUMIFS(#REF!,#REF!,$B171,#REF!,K$1)</f>
        <v>#REF!</v>
      </c>
      <c r="L171" s="76" t="e">
        <f>SUMIFS(#REF!,#REF!,$B171,#REF!,L$1)</f>
        <v>#REF!</v>
      </c>
      <c r="M171" s="76" t="e">
        <f>SUMIFS(#REF!,#REF!,$B171,#REF!,M$1)</f>
        <v>#REF!</v>
      </c>
      <c r="N171" s="76" t="e">
        <f>SUMIFS(#REF!,#REF!,$B171,#REF!,N$1)</f>
        <v>#REF!</v>
      </c>
      <c r="O171" s="76" t="e">
        <f>SUMIFS(#REF!,#REF!,$B171,#REF!,O$1)</f>
        <v>#REF!</v>
      </c>
      <c r="P171" s="76" t="e">
        <f>SUMIFS(#REF!,#REF!,$B171,#REF!,P$1)</f>
        <v>#REF!</v>
      </c>
      <c r="Q171" s="76" t="e">
        <f>SUMIFS(#REF!,#REF!,$B171,#REF!,Q$1)</f>
        <v>#REF!</v>
      </c>
      <c r="R171" s="76" t="e">
        <f>SUMIFS(#REF!,#REF!,$B171,#REF!,R$1)</f>
        <v>#REF!</v>
      </c>
      <c r="S171" s="76" t="e">
        <f>SUMIFS(#REF!,#REF!,$B171,#REF!,S$1)</f>
        <v>#REF!</v>
      </c>
      <c r="T171" s="76" t="e">
        <f>SUMIFS(#REF!,#REF!,$B171,#REF!,T$1)</f>
        <v>#REF!</v>
      </c>
      <c r="U171" s="76" t="e">
        <f>SUMIFS(#REF!,#REF!,$B171,#REF!,U$1)</f>
        <v>#REF!</v>
      </c>
      <c r="V171" s="76" t="e">
        <f>SUMIFS(#REF!,#REF!,$B171,#REF!,V$1)</f>
        <v>#REF!</v>
      </c>
      <c r="W171" s="76" t="e">
        <f>SUMIFS(#REF!,#REF!,$B171,#REF!,W$1)</f>
        <v>#REF!</v>
      </c>
      <c r="X171" s="76" t="e">
        <f>SUMIFS(#REF!,#REF!,$B171,#REF!,X$1)</f>
        <v>#REF!</v>
      </c>
      <c r="Y171" s="76" t="e">
        <f>SUMIFS(#REF!,#REF!,$B171,#REF!,Y$1)</f>
        <v>#REF!</v>
      </c>
      <c r="Z171" s="76" t="e">
        <f>SUMIFS(#REF!,#REF!,$B171,#REF!,Z$1)</f>
        <v>#REF!</v>
      </c>
      <c r="AA171" s="76" t="e">
        <f>SUMIFS(#REF!,#REF!,$B171,#REF!,AA$1)</f>
        <v>#REF!</v>
      </c>
      <c r="AB171" s="76" t="e">
        <f>SUMIFS(#REF!,#REF!,$B171,#REF!,AB$1)</f>
        <v>#REF!</v>
      </c>
      <c r="AC171" s="76" t="e">
        <f>SUMIFS(#REF!,#REF!,$B171,#REF!,AC$1)</f>
        <v>#REF!</v>
      </c>
      <c r="AD171" s="76" t="e">
        <f>SUMIFS(#REF!,#REF!,$B171,#REF!,AD$1)</f>
        <v>#REF!</v>
      </c>
      <c r="AE171" s="76" t="e">
        <f>SUMIFS(#REF!,#REF!,$B171,#REF!,AE$1)</f>
        <v>#REF!</v>
      </c>
      <c r="AF171" s="76" t="e">
        <f>SUMIFS(#REF!,#REF!,$B171,#REF!,AF$1)</f>
        <v>#REF!</v>
      </c>
      <c r="AG171" s="76" t="e">
        <f>SUMIFS(#REF!,#REF!,$B171,#REF!,AG$1)</f>
        <v>#REF!</v>
      </c>
      <c r="AH171" s="76" t="e">
        <f>SUMIFS(#REF!,#REF!,$B171,#REF!,AH$1)</f>
        <v>#REF!</v>
      </c>
      <c r="AI171" s="82"/>
    </row>
    <row r="172" spans="2:35" ht="15" hidden="1" customHeight="1" x14ac:dyDescent="0.25">
      <c r="B172" s="84"/>
      <c r="C172" s="83"/>
      <c r="D172" s="76" t="e">
        <f>SUMIFS(#REF!,#REF!,$B172,#REF!,D$1)</f>
        <v>#REF!</v>
      </c>
      <c r="E172" s="76" t="e">
        <f>SUMIFS(#REF!,#REF!,$B172,#REF!,E$1)</f>
        <v>#REF!</v>
      </c>
      <c r="F172" s="76" t="e">
        <f>SUMIFS(#REF!,#REF!,$B172,#REF!,F$1)</f>
        <v>#REF!</v>
      </c>
      <c r="G172" s="76" t="e">
        <f>SUMIFS(#REF!,#REF!,$B172,#REF!,G$1)</f>
        <v>#REF!</v>
      </c>
      <c r="H172" s="76" t="e">
        <f>SUMIFS(#REF!,#REF!,$B172,#REF!,H$1)</f>
        <v>#REF!</v>
      </c>
      <c r="I172" s="76" t="e">
        <f>SUMIFS(#REF!,#REF!,$B172,#REF!,I$1)</f>
        <v>#REF!</v>
      </c>
      <c r="J172" s="76" t="e">
        <f>SUMIFS(#REF!,#REF!,$B172,#REF!,J$1)</f>
        <v>#REF!</v>
      </c>
      <c r="K172" s="76" t="e">
        <f>SUMIFS(#REF!,#REF!,$B172,#REF!,K$1)</f>
        <v>#REF!</v>
      </c>
      <c r="L172" s="76" t="e">
        <f>SUMIFS(#REF!,#REF!,$B172,#REF!,L$1)</f>
        <v>#REF!</v>
      </c>
      <c r="M172" s="76" t="e">
        <f>SUMIFS(#REF!,#REF!,$B172,#REF!,M$1)</f>
        <v>#REF!</v>
      </c>
      <c r="N172" s="76" t="e">
        <f>SUMIFS(#REF!,#REF!,$B172,#REF!,N$1)</f>
        <v>#REF!</v>
      </c>
      <c r="O172" s="76" t="e">
        <f>SUMIFS(#REF!,#REF!,$B172,#REF!,O$1)</f>
        <v>#REF!</v>
      </c>
      <c r="P172" s="76" t="e">
        <f>SUMIFS(#REF!,#REF!,$B172,#REF!,P$1)</f>
        <v>#REF!</v>
      </c>
      <c r="Q172" s="76" t="e">
        <f>SUMIFS(#REF!,#REF!,$B172,#REF!,Q$1)</f>
        <v>#REF!</v>
      </c>
      <c r="R172" s="76" t="e">
        <f>SUMIFS(#REF!,#REF!,$B172,#REF!,R$1)</f>
        <v>#REF!</v>
      </c>
      <c r="S172" s="76" t="e">
        <f>SUMIFS(#REF!,#REF!,$B172,#REF!,S$1)</f>
        <v>#REF!</v>
      </c>
      <c r="T172" s="76" t="e">
        <f>SUMIFS(#REF!,#REF!,$B172,#REF!,T$1)</f>
        <v>#REF!</v>
      </c>
      <c r="U172" s="76" t="e">
        <f>SUMIFS(#REF!,#REF!,$B172,#REF!,U$1)</f>
        <v>#REF!</v>
      </c>
      <c r="V172" s="76" t="e">
        <f>SUMIFS(#REF!,#REF!,$B172,#REF!,V$1)</f>
        <v>#REF!</v>
      </c>
      <c r="W172" s="76" t="e">
        <f>SUMIFS(#REF!,#REF!,$B172,#REF!,W$1)</f>
        <v>#REF!</v>
      </c>
      <c r="X172" s="76" t="e">
        <f>SUMIFS(#REF!,#REF!,$B172,#REF!,X$1)</f>
        <v>#REF!</v>
      </c>
      <c r="Y172" s="76" t="e">
        <f>SUMIFS(#REF!,#REF!,$B172,#REF!,Y$1)</f>
        <v>#REF!</v>
      </c>
      <c r="Z172" s="76" t="e">
        <f>SUMIFS(#REF!,#REF!,$B172,#REF!,Z$1)</f>
        <v>#REF!</v>
      </c>
      <c r="AA172" s="76" t="e">
        <f>SUMIFS(#REF!,#REF!,$B172,#REF!,AA$1)</f>
        <v>#REF!</v>
      </c>
      <c r="AB172" s="76" t="e">
        <f>SUMIFS(#REF!,#REF!,$B172,#REF!,AB$1)</f>
        <v>#REF!</v>
      </c>
      <c r="AC172" s="76" t="e">
        <f>SUMIFS(#REF!,#REF!,$B172,#REF!,AC$1)</f>
        <v>#REF!</v>
      </c>
      <c r="AD172" s="76" t="e">
        <f>SUMIFS(#REF!,#REF!,$B172,#REF!,AD$1)</f>
        <v>#REF!</v>
      </c>
      <c r="AE172" s="76" t="e">
        <f>SUMIFS(#REF!,#REF!,$B172,#REF!,AE$1)</f>
        <v>#REF!</v>
      </c>
      <c r="AF172" s="76" t="e">
        <f>SUMIFS(#REF!,#REF!,$B172,#REF!,AF$1)</f>
        <v>#REF!</v>
      </c>
      <c r="AG172" s="76" t="e">
        <f>SUMIFS(#REF!,#REF!,$B172,#REF!,AG$1)</f>
        <v>#REF!</v>
      </c>
      <c r="AH172" s="76" t="e">
        <f>SUMIFS(#REF!,#REF!,$B172,#REF!,AH$1)</f>
        <v>#REF!</v>
      </c>
      <c r="AI172" s="82"/>
    </row>
    <row r="173" spans="2:35" ht="15" hidden="1" customHeight="1" x14ac:dyDescent="0.25">
      <c r="B173" s="84"/>
      <c r="C173" s="83"/>
      <c r="D173" s="76" t="e">
        <f>SUMIFS(#REF!,#REF!,$B173,#REF!,D$1)</f>
        <v>#REF!</v>
      </c>
      <c r="E173" s="76" t="e">
        <f>SUMIFS(#REF!,#REF!,$B173,#REF!,E$1)</f>
        <v>#REF!</v>
      </c>
      <c r="F173" s="76" t="e">
        <f>SUMIFS(#REF!,#REF!,$B173,#REF!,F$1)</f>
        <v>#REF!</v>
      </c>
      <c r="G173" s="76" t="e">
        <f>SUMIFS(#REF!,#REF!,$B173,#REF!,G$1)</f>
        <v>#REF!</v>
      </c>
      <c r="H173" s="76" t="e">
        <f>SUMIFS(#REF!,#REF!,$B173,#REF!,H$1)</f>
        <v>#REF!</v>
      </c>
      <c r="I173" s="76" t="e">
        <f>SUMIFS(#REF!,#REF!,$B173,#REF!,I$1)</f>
        <v>#REF!</v>
      </c>
      <c r="J173" s="76" t="e">
        <f>SUMIFS(#REF!,#REF!,$B173,#REF!,J$1)</f>
        <v>#REF!</v>
      </c>
      <c r="K173" s="76" t="e">
        <f>SUMIFS(#REF!,#REF!,$B173,#REF!,K$1)</f>
        <v>#REF!</v>
      </c>
      <c r="L173" s="76" t="e">
        <f>SUMIFS(#REF!,#REF!,$B173,#REF!,L$1)</f>
        <v>#REF!</v>
      </c>
      <c r="M173" s="76" t="e">
        <f>SUMIFS(#REF!,#REF!,$B173,#REF!,M$1)</f>
        <v>#REF!</v>
      </c>
      <c r="N173" s="76" t="e">
        <f>SUMIFS(#REF!,#REF!,$B173,#REF!,N$1)</f>
        <v>#REF!</v>
      </c>
      <c r="O173" s="76" t="e">
        <f>SUMIFS(#REF!,#REF!,$B173,#REF!,O$1)</f>
        <v>#REF!</v>
      </c>
      <c r="P173" s="76" t="e">
        <f>SUMIFS(#REF!,#REF!,$B173,#REF!,P$1)</f>
        <v>#REF!</v>
      </c>
      <c r="Q173" s="76" t="e">
        <f>SUMIFS(#REF!,#REF!,$B173,#REF!,Q$1)</f>
        <v>#REF!</v>
      </c>
      <c r="R173" s="76" t="e">
        <f>SUMIFS(#REF!,#REF!,$B173,#REF!,R$1)</f>
        <v>#REF!</v>
      </c>
      <c r="S173" s="76" t="e">
        <f>SUMIFS(#REF!,#REF!,$B173,#REF!,S$1)</f>
        <v>#REF!</v>
      </c>
      <c r="T173" s="76" t="e">
        <f>SUMIFS(#REF!,#REF!,$B173,#REF!,T$1)</f>
        <v>#REF!</v>
      </c>
      <c r="U173" s="76" t="e">
        <f>SUMIFS(#REF!,#REF!,$B173,#REF!,U$1)</f>
        <v>#REF!</v>
      </c>
      <c r="V173" s="76" t="e">
        <f>SUMIFS(#REF!,#REF!,$B173,#REF!,V$1)</f>
        <v>#REF!</v>
      </c>
      <c r="W173" s="76" t="e">
        <f>SUMIFS(#REF!,#REF!,$B173,#REF!,W$1)</f>
        <v>#REF!</v>
      </c>
      <c r="X173" s="76" t="e">
        <f>SUMIFS(#REF!,#REF!,$B173,#REF!,X$1)</f>
        <v>#REF!</v>
      </c>
      <c r="Y173" s="76" t="e">
        <f>SUMIFS(#REF!,#REF!,$B173,#REF!,Y$1)</f>
        <v>#REF!</v>
      </c>
      <c r="Z173" s="76" t="e">
        <f>SUMIFS(#REF!,#REF!,$B173,#REF!,Z$1)</f>
        <v>#REF!</v>
      </c>
      <c r="AA173" s="76" t="e">
        <f>SUMIFS(#REF!,#REF!,$B173,#REF!,AA$1)</f>
        <v>#REF!</v>
      </c>
      <c r="AB173" s="76" t="e">
        <f>SUMIFS(#REF!,#REF!,$B173,#REF!,AB$1)</f>
        <v>#REF!</v>
      </c>
      <c r="AC173" s="76" t="e">
        <f>SUMIFS(#REF!,#REF!,$B173,#REF!,AC$1)</f>
        <v>#REF!</v>
      </c>
      <c r="AD173" s="76" t="e">
        <f>SUMIFS(#REF!,#REF!,$B173,#REF!,AD$1)</f>
        <v>#REF!</v>
      </c>
      <c r="AE173" s="76" t="e">
        <f>SUMIFS(#REF!,#REF!,$B173,#REF!,AE$1)</f>
        <v>#REF!</v>
      </c>
      <c r="AF173" s="76" t="e">
        <f>SUMIFS(#REF!,#REF!,$B173,#REF!,AF$1)</f>
        <v>#REF!</v>
      </c>
      <c r="AG173" s="76" t="e">
        <f>SUMIFS(#REF!,#REF!,$B173,#REF!,AG$1)</f>
        <v>#REF!</v>
      </c>
      <c r="AH173" s="76" t="e">
        <f>SUMIFS(#REF!,#REF!,$B173,#REF!,AH$1)</f>
        <v>#REF!</v>
      </c>
      <c r="AI173" s="82"/>
    </row>
    <row r="174" spans="2:35" ht="15" hidden="1" customHeight="1" x14ac:dyDescent="0.25">
      <c r="B174" s="84"/>
      <c r="C174" s="83"/>
      <c r="D174" s="76" t="e">
        <f>SUMIFS(#REF!,#REF!,$B174,#REF!,D$1)</f>
        <v>#REF!</v>
      </c>
      <c r="E174" s="76" t="e">
        <f>SUMIFS(#REF!,#REF!,$B174,#REF!,E$1)</f>
        <v>#REF!</v>
      </c>
      <c r="F174" s="76" t="e">
        <f>SUMIFS(#REF!,#REF!,$B174,#REF!,F$1)</f>
        <v>#REF!</v>
      </c>
      <c r="G174" s="76" t="e">
        <f>SUMIFS(#REF!,#REF!,$B174,#REF!,G$1)</f>
        <v>#REF!</v>
      </c>
      <c r="H174" s="76" t="e">
        <f>SUMIFS(#REF!,#REF!,$B174,#REF!,H$1)</f>
        <v>#REF!</v>
      </c>
      <c r="I174" s="76" t="e">
        <f>SUMIFS(#REF!,#REF!,$B174,#REF!,I$1)</f>
        <v>#REF!</v>
      </c>
      <c r="J174" s="76" t="e">
        <f>SUMIFS(#REF!,#REF!,$B174,#REF!,J$1)</f>
        <v>#REF!</v>
      </c>
      <c r="K174" s="76" t="e">
        <f>SUMIFS(#REF!,#REF!,$B174,#REF!,K$1)</f>
        <v>#REF!</v>
      </c>
      <c r="L174" s="76" t="e">
        <f>SUMIFS(#REF!,#REF!,$B174,#REF!,L$1)</f>
        <v>#REF!</v>
      </c>
      <c r="M174" s="76" t="e">
        <f>SUMIFS(#REF!,#REF!,$B174,#REF!,M$1)</f>
        <v>#REF!</v>
      </c>
      <c r="N174" s="76" t="e">
        <f>SUMIFS(#REF!,#REF!,$B174,#REF!,N$1)</f>
        <v>#REF!</v>
      </c>
      <c r="O174" s="76" t="e">
        <f>SUMIFS(#REF!,#REF!,$B174,#REF!,O$1)</f>
        <v>#REF!</v>
      </c>
      <c r="P174" s="76" t="e">
        <f>SUMIFS(#REF!,#REF!,$B174,#REF!,P$1)</f>
        <v>#REF!</v>
      </c>
      <c r="Q174" s="76" t="e">
        <f>SUMIFS(#REF!,#REF!,$B174,#REF!,Q$1)</f>
        <v>#REF!</v>
      </c>
      <c r="R174" s="76" t="e">
        <f>SUMIFS(#REF!,#REF!,$B174,#REF!,R$1)</f>
        <v>#REF!</v>
      </c>
      <c r="S174" s="76" t="e">
        <f>SUMIFS(#REF!,#REF!,$B174,#REF!,S$1)</f>
        <v>#REF!</v>
      </c>
      <c r="T174" s="76" t="e">
        <f>SUMIFS(#REF!,#REF!,$B174,#REF!,T$1)</f>
        <v>#REF!</v>
      </c>
      <c r="U174" s="76" t="e">
        <f>SUMIFS(#REF!,#REF!,$B174,#REF!,U$1)</f>
        <v>#REF!</v>
      </c>
      <c r="V174" s="76" t="e">
        <f>SUMIFS(#REF!,#REF!,$B174,#REF!,V$1)</f>
        <v>#REF!</v>
      </c>
      <c r="W174" s="76" t="e">
        <f>SUMIFS(#REF!,#REF!,$B174,#REF!,W$1)</f>
        <v>#REF!</v>
      </c>
      <c r="X174" s="76" t="e">
        <f>SUMIFS(#REF!,#REF!,$B174,#REF!,X$1)</f>
        <v>#REF!</v>
      </c>
      <c r="Y174" s="76" t="e">
        <f>SUMIFS(#REF!,#REF!,$B174,#REF!,Y$1)</f>
        <v>#REF!</v>
      </c>
      <c r="Z174" s="76" t="e">
        <f>SUMIFS(#REF!,#REF!,$B174,#REF!,Z$1)</f>
        <v>#REF!</v>
      </c>
      <c r="AA174" s="76" t="e">
        <f>SUMIFS(#REF!,#REF!,$B174,#REF!,AA$1)</f>
        <v>#REF!</v>
      </c>
      <c r="AB174" s="76" t="e">
        <f>SUMIFS(#REF!,#REF!,$B174,#REF!,AB$1)</f>
        <v>#REF!</v>
      </c>
      <c r="AC174" s="76" t="e">
        <f>SUMIFS(#REF!,#REF!,$B174,#REF!,AC$1)</f>
        <v>#REF!</v>
      </c>
      <c r="AD174" s="76" t="e">
        <f>SUMIFS(#REF!,#REF!,$B174,#REF!,AD$1)</f>
        <v>#REF!</v>
      </c>
      <c r="AE174" s="76" t="e">
        <f>SUMIFS(#REF!,#REF!,$B174,#REF!,AE$1)</f>
        <v>#REF!</v>
      </c>
      <c r="AF174" s="76" t="e">
        <f>SUMIFS(#REF!,#REF!,$B174,#REF!,AF$1)</f>
        <v>#REF!</v>
      </c>
      <c r="AG174" s="76" t="e">
        <f>SUMIFS(#REF!,#REF!,$B174,#REF!,AG$1)</f>
        <v>#REF!</v>
      </c>
      <c r="AH174" s="76" t="e">
        <f>SUMIFS(#REF!,#REF!,$B174,#REF!,AH$1)</f>
        <v>#REF!</v>
      </c>
      <c r="AI174" s="82"/>
    </row>
    <row r="175" spans="2:35" ht="15" hidden="1" customHeight="1" x14ac:dyDescent="0.25">
      <c r="B175" s="89"/>
      <c r="C175" s="90"/>
      <c r="D175" s="76" t="e">
        <f>SUMIFS(#REF!,#REF!,$B175,#REF!,D$1)</f>
        <v>#REF!</v>
      </c>
      <c r="E175" s="76" t="e">
        <f>SUMIFS(#REF!,#REF!,$B175,#REF!,E$1)</f>
        <v>#REF!</v>
      </c>
      <c r="F175" s="76" t="e">
        <f>SUMIFS(#REF!,#REF!,$B175,#REF!,F$1)</f>
        <v>#REF!</v>
      </c>
      <c r="G175" s="76" t="e">
        <f>SUMIFS(#REF!,#REF!,$B175,#REF!,G$1)</f>
        <v>#REF!</v>
      </c>
      <c r="H175" s="76" t="e">
        <f>SUMIFS(#REF!,#REF!,$B175,#REF!,H$1)</f>
        <v>#REF!</v>
      </c>
      <c r="I175" s="76" t="e">
        <f>SUMIFS(#REF!,#REF!,$B175,#REF!,I$1)</f>
        <v>#REF!</v>
      </c>
      <c r="J175" s="76" t="e">
        <f>SUMIFS(#REF!,#REF!,$B175,#REF!,J$1)</f>
        <v>#REF!</v>
      </c>
      <c r="K175" s="76" t="e">
        <f>SUMIFS(#REF!,#REF!,$B175,#REF!,K$1)</f>
        <v>#REF!</v>
      </c>
      <c r="L175" s="76" t="e">
        <f>SUMIFS(#REF!,#REF!,$B175,#REF!,L$1)</f>
        <v>#REF!</v>
      </c>
      <c r="M175" s="76" t="e">
        <f>SUMIFS(#REF!,#REF!,$B175,#REF!,M$1)</f>
        <v>#REF!</v>
      </c>
      <c r="N175" s="76" t="e">
        <f>SUMIFS(#REF!,#REF!,$B175,#REF!,N$1)</f>
        <v>#REF!</v>
      </c>
      <c r="O175" s="76" t="e">
        <f>SUMIFS(#REF!,#REF!,$B175,#REF!,O$1)</f>
        <v>#REF!</v>
      </c>
      <c r="P175" s="76" t="e">
        <f>SUMIFS(#REF!,#REF!,$B175,#REF!,P$1)</f>
        <v>#REF!</v>
      </c>
      <c r="Q175" s="76" t="e">
        <f>SUMIFS(#REF!,#REF!,$B175,#REF!,Q$1)</f>
        <v>#REF!</v>
      </c>
      <c r="R175" s="76" t="e">
        <f>SUMIFS(#REF!,#REF!,$B175,#REF!,R$1)</f>
        <v>#REF!</v>
      </c>
      <c r="S175" s="76" t="e">
        <f>SUMIFS(#REF!,#REF!,$B175,#REF!,S$1)</f>
        <v>#REF!</v>
      </c>
      <c r="T175" s="76" t="e">
        <f>SUMIFS(#REF!,#REF!,$B175,#REF!,T$1)</f>
        <v>#REF!</v>
      </c>
      <c r="U175" s="76" t="e">
        <f>SUMIFS(#REF!,#REF!,$B175,#REF!,U$1)</f>
        <v>#REF!</v>
      </c>
      <c r="V175" s="76" t="e">
        <f>SUMIFS(#REF!,#REF!,$B175,#REF!,V$1)</f>
        <v>#REF!</v>
      </c>
      <c r="W175" s="76" t="e">
        <f>SUMIFS(#REF!,#REF!,$B175,#REF!,W$1)</f>
        <v>#REF!</v>
      </c>
      <c r="X175" s="76" t="e">
        <f>SUMIFS(#REF!,#REF!,$B175,#REF!,X$1)</f>
        <v>#REF!</v>
      </c>
      <c r="Y175" s="76" t="e">
        <f>SUMIFS(#REF!,#REF!,$B175,#REF!,Y$1)</f>
        <v>#REF!</v>
      </c>
      <c r="Z175" s="76" t="e">
        <f>SUMIFS(#REF!,#REF!,$B175,#REF!,Z$1)</f>
        <v>#REF!</v>
      </c>
      <c r="AA175" s="76" t="e">
        <f>SUMIFS(#REF!,#REF!,$B175,#REF!,AA$1)</f>
        <v>#REF!</v>
      </c>
      <c r="AB175" s="76" t="e">
        <f>SUMIFS(#REF!,#REF!,$B175,#REF!,AB$1)</f>
        <v>#REF!</v>
      </c>
      <c r="AC175" s="76" t="e">
        <f>SUMIFS(#REF!,#REF!,$B175,#REF!,AC$1)</f>
        <v>#REF!</v>
      </c>
      <c r="AD175" s="76" t="e">
        <f>SUMIFS(#REF!,#REF!,$B175,#REF!,AD$1)</f>
        <v>#REF!</v>
      </c>
      <c r="AE175" s="76" t="e">
        <f>SUMIFS(#REF!,#REF!,$B175,#REF!,AE$1)</f>
        <v>#REF!</v>
      </c>
      <c r="AF175" s="76" t="e">
        <f>SUMIFS(#REF!,#REF!,$B175,#REF!,AF$1)</f>
        <v>#REF!</v>
      </c>
      <c r="AG175" s="76" t="e">
        <f>SUMIFS(#REF!,#REF!,$B175,#REF!,AG$1)</f>
        <v>#REF!</v>
      </c>
      <c r="AH175" s="76" t="e">
        <f>SUMIFS(#REF!,#REF!,$B175,#REF!,AH$1)</f>
        <v>#REF!</v>
      </c>
      <c r="AI175" s="82"/>
    </row>
    <row r="176" spans="2:35" ht="15" hidden="1" customHeight="1" x14ac:dyDescent="0.25">
      <c r="B176" s="84"/>
      <c r="C176" s="86"/>
      <c r="D176" s="76" t="e">
        <f>SUMIFS(#REF!,#REF!,$B176,#REF!,D$1)</f>
        <v>#REF!</v>
      </c>
      <c r="E176" s="76" t="e">
        <f>SUMIFS(#REF!,#REF!,$B176,#REF!,E$1)</f>
        <v>#REF!</v>
      </c>
      <c r="F176" s="76" t="e">
        <f>SUMIFS(#REF!,#REF!,$B176,#REF!,F$1)</f>
        <v>#REF!</v>
      </c>
      <c r="G176" s="76" t="e">
        <f>SUMIFS(#REF!,#REF!,$B176,#REF!,G$1)</f>
        <v>#REF!</v>
      </c>
      <c r="H176" s="76" t="e">
        <f>SUMIFS(#REF!,#REF!,$B176,#REF!,H$1)</f>
        <v>#REF!</v>
      </c>
      <c r="I176" s="76" t="e">
        <f>SUMIFS(#REF!,#REF!,$B176,#REF!,I$1)</f>
        <v>#REF!</v>
      </c>
      <c r="J176" s="76" t="e">
        <f>SUMIFS(#REF!,#REF!,$B176,#REF!,J$1)</f>
        <v>#REF!</v>
      </c>
      <c r="K176" s="76" t="e">
        <f>SUMIFS(#REF!,#REF!,$B176,#REF!,K$1)</f>
        <v>#REF!</v>
      </c>
      <c r="L176" s="76" t="e">
        <f>SUMIFS(#REF!,#REF!,$B176,#REF!,L$1)</f>
        <v>#REF!</v>
      </c>
      <c r="M176" s="76" t="e">
        <f>SUMIFS(#REF!,#REF!,$B176,#REF!,M$1)</f>
        <v>#REF!</v>
      </c>
      <c r="N176" s="76" t="e">
        <f>SUMIFS(#REF!,#REF!,$B176,#REF!,N$1)</f>
        <v>#REF!</v>
      </c>
      <c r="O176" s="76" t="e">
        <f>SUMIFS(#REF!,#REF!,$B176,#REF!,O$1)</f>
        <v>#REF!</v>
      </c>
      <c r="P176" s="76" t="e">
        <f>SUMIFS(#REF!,#REF!,$B176,#REF!,P$1)</f>
        <v>#REF!</v>
      </c>
      <c r="Q176" s="76" t="e">
        <f>SUMIFS(#REF!,#REF!,$B176,#REF!,Q$1)</f>
        <v>#REF!</v>
      </c>
      <c r="R176" s="76" t="e">
        <f>SUMIFS(#REF!,#REF!,$B176,#REF!,R$1)</f>
        <v>#REF!</v>
      </c>
      <c r="S176" s="76" t="e">
        <f>SUMIFS(#REF!,#REF!,$B176,#REF!,S$1)</f>
        <v>#REF!</v>
      </c>
      <c r="T176" s="76" t="e">
        <f>SUMIFS(#REF!,#REF!,$B176,#REF!,T$1)</f>
        <v>#REF!</v>
      </c>
      <c r="U176" s="76" t="e">
        <f>SUMIFS(#REF!,#REF!,$B176,#REF!,U$1)</f>
        <v>#REF!</v>
      </c>
      <c r="V176" s="76" t="e">
        <f>SUMIFS(#REF!,#REF!,$B176,#REF!,V$1)</f>
        <v>#REF!</v>
      </c>
      <c r="W176" s="76" t="e">
        <f>SUMIFS(#REF!,#REF!,$B176,#REF!,W$1)</f>
        <v>#REF!</v>
      </c>
      <c r="X176" s="76" t="e">
        <f>SUMIFS(#REF!,#REF!,$B176,#REF!,X$1)</f>
        <v>#REF!</v>
      </c>
      <c r="Y176" s="76" t="e">
        <f>SUMIFS(#REF!,#REF!,$B176,#REF!,Y$1)</f>
        <v>#REF!</v>
      </c>
      <c r="Z176" s="76" t="e">
        <f>SUMIFS(#REF!,#REF!,$B176,#REF!,Z$1)</f>
        <v>#REF!</v>
      </c>
      <c r="AA176" s="76" t="e">
        <f>SUMIFS(#REF!,#REF!,$B176,#REF!,AA$1)</f>
        <v>#REF!</v>
      </c>
      <c r="AB176" s="76" t="e">
        <f>SUMIFS(#REF!,#REF!,$B176,#REF!,AB$1)</f>
        <v>#REF!</v>
      </c>
      <c r="AC176" s="76" t="e">
        <f>SUMIFS(#REF!,#REF!,$B176,#REF!,AC$1)</f>
        <v>#REF!</v>
      </c>
      <c r="AD176" s="76" t="e">
        <f>SUMIFS(#REF!,#REF!,$B176,#REF!,AD$1)</f>
        <v>#REF!</v>
      </c>
      <c r="AE176" s="76" t="e">
        <f>SUMIFS(#REF!,#REF!,$B176,#REF!,AE$1)</f>
        <v>#REF!</v>
      </c>
      <c r="AF176" s="76" t="e">
        <f>SUMIFS(#REF!,#REF!,$B176,#REF!,AF$1)</f>
        <v>#REF!</v>
      </c>
      <c r="AG176" s="76" t="e">
        <f>SUMIFS(#REF!,#REF!,$B176,#REF!,AG$1)</f>
        <v>#REF!</v>
      </c>
      <c r="AH176" s="76" t="e">
        <f>SUMIFS(#REF!,#REF!,$B176,#REF!,AH$1)</f>
        <v>#REF!</v>
      </c>
      <c r="AI176" s="82"/>
    </row>
    <row r="177" spans="2:35" ht="15" hidden="1" customHeight="1" x14ac:dyDescent="0.25">
      <c r="B177" s="84"/>
      <c r="C177" s="83"/>
      <c r="D177" s="76" t="e">
        <f>SUMIFS(#REF!,#REF!,$B177,#REF!,D$1)</f>
        <v>#REF!</v>
      </c>
      <c r="E177" s="76" t="e">
        <f>SUMIFS(#REF!,#REF!,$B177,#REF!,E$1)</f>
        <v>#REF!</v>
      </c>
      <c r="F177" s="76" t="e">
        <f>SUMIFS(#REF!,#REF!,$B177,#REF!,F$1)</f>
        <v>#REF!</v>
      </c>
      <c r="G177" s="76" t="e">
        <f>SUMIFS(#REF!,#REF!,$B177,#REF!,G$1)</f>
        <v>#REF!</v>
      </c>
      <c r="H177" s="76" t="e">
        <f>SUMIFS(#REF!,#REF!,$B177,#REF!,H$1)</f>
        <v>#REF!</v>
      </c>
      <c r="I177" s="76" t="e">
        <f>SUMIFS(#REF!,#REF!,$B177,#REF!,I$1)</f>
        <v>#REF!</v>
      </c>
      <c r="J177" s="76" t="e">
        <f>SUMIFS(#REF!,#REF!,$B177,#REF!,J$1)</f>
        <v>#REF!</v>
      </c>
      <c r="K177" s="76" t="e">
        <f>SUMIFS(#REF!,#REF!,$B177,#REF!,K$1)</f>
        <v>#REF!</v>
      </c>
      <c r="L177" s="76" t="e">
        <f>SUMIFS(#REF!,#REF!,$B177,#REF!,L$1)</f>
        <v>#REF!</v>
      </c>
      <c r="M177" s="76" t="e">
        <f>SUMIFS(#REF!,#REF!,$B177,#REF!,M$1)</f>
        <v>#REF!</v>
      </c>
      <c r="N177" s="76" t="e">
        <f>SUMIFS(#REF!,#REF!,$B177,#REF!,N$1)</f>
        <v>#REF!</v>
      </c>
      <c r="O177" s="76" t="e">
        <f>SUMIFS(#REF!,#REF!,$B177,#REF!,O$1)</f>
        <v>#REF!</v>
      </c>
      <c r="P177" s="76" t="e">
        <f>SUMIFS(#REF!,#REF!,$B177,#REF!,P$1)</f>
        <v>#REF!</v>
      </c>
      <c r="Q177" s="76" t="e">
        <f>SUMIFS(#REF!,#REF!,$B177,#REF!,Q$1)</f>
        <v>#REF!</v>
      </c>
      <c r="R177" s="76" t="e">
        <f>SUMIFS(#REF!,#REF!,$B177,#REF!,R$1)</f>
        <v>#REF!</v>
      </c>
      <c r="S177" s="76" t="e">
        <f>SUMIFS(#REF!,#REF!,$B177,#REF!,S$1)</f>
        <v>#REF!</v>
      </c>
      <c r="T177" s="76" t="e">
        <f>SUMIFS(#REF!,#REF!,$B177,#REF!,T$1)</f>
        <v>#REF!</v>
      </c>
      <c r="U177" s="76" t="e">
        <f>SUMIFS(#REF!,#REF!,$B177,#REF!,U$1)</f>
        <v>#REF!</v>
      </c>
      <c r="V177" s="76" t="e">
        <f>SUMIFS(#REF!,#REF!,$B177,#REF!,V$1)</f>
        <v>#REF!</v>
      </c>
      <c r="W177" s="76" t="e">
        <f>SUMIFS(#REF!,#REF!,$B177,#REF!,W$1)</f>
        <v>#REF!</v>
      </c>
      <c r="X177" s="76" t="e">
        <f>SUMIFS(#REF!,#REF!,$B177,#REF!,X$1)</f>
        <v>#REF!</v>
      </c>
      <c r="Y177" s="76" t="e">
        <f>SUMIFS(#REF!,#REF!,$B177,#REF!,Y$1)</f>
        <v>#REF!</v>
      </c>
      <c r="Z177" s="76" t="e">
        <f>SUMIFS(#REF!,#REF!,$B177,#REF!,Z$1)</f>
        <v>#REF!</v>
      </c>
      <c r="AA177" s="76" t="e">
        <f>SUMIFS(#REF!,#REF!,$B177,#REF!,AA$1)</f>
        <v>#REF!</v>
      </c>
      <c r="AB177" s="76" t="e">
        <f>SUMIFS(#REF!,#REF!,$B177,#REF!,AB$1)</f>
        <v>#REF!</v>
      </c>
      <c r="AC177" s="76" t="e">
        <f>SUMIFS(#REF!,#REF!,$B177,#REF!,AC$1)</f>
        <v>#REF!</v>
      </c>
      <c r="AD177" s="76" t="e">
        <f>SUMIFS(#REF!,#REF!,$B177,#REF!,AD$1)</f>
        <v>#REF!</v>
      </c>
      <c r="AE177" s="76" t="e">
        <f>SUMIFS(#REF!,#REF!,$B177,#REF!,AE$1)</f>
        <v>#REF!</v>
      </c>
      <c r="AF177" s="76" t="e">
        <f>SUMIFS(#REF!,#REF!,$B177,#REF!,AF$1)</f>
        <v>#REF!</v>
      </c>
      <c r="AG177" s="76" t="e">
        <f>SUMIFS(#REF!,#REF!,$B177,#REF!,AG$1)</f>
        <v>#REF!</v>
      </c>
      <c r="AH177" s="76" t="e">
        <f>SUMIFS(#REF!,#REF!,$B177,#REF!,AH$1)</f>
        <v>#REF!</v>
      </c>
      <c r="AI177" s="82"/>
    </row>
    <row r="178" spans="2:35" ht="15" hidden="1" customHeight="1" x14ac:dyDescent="0.25">
      <c r="B178" s="84"/>
      <c r="C178" s="83"/>
      <c r="D178" s="76" t="e">
        <f>SUMIFS(#REF!,#REF!,$B178,#REF!,D$1)</f>
        <v>#REF!</v>
      </c>
      <c r="E178" s="76" t="e">
        <f>SUMIFS(#REF!,#REF!,$B178,#REF!,E$1)</f>
        <v>#REF!</v>
      </c>
      <c r="F178" s="76" t="e">
        <f>SUMIFS(#REF!,#REF!,$B178,#REF!,F$1)</f>
        <v>#REF!</v>
      </c>
      <c r="G178" s="76" t="e">
        <f>SUMIFS(#REF!,#REF!,$B178,#REF!,G$1)</f>
        <v>#REF!</v>
      </c>
      <c r="H178" s="76" t="e">
        <f>SUMIFS(#REF!,#REF!,$B178,#REF!,H$1)</f>
        <v>#REF!</v>
      </c>
      <c r="I178" s="76" t="e">
        <f>SUMIFS(#REF!,#REF!,$B178,#REF!,I$1)</f>
        <v>#REF!</v>
      </c>
      <c r="J178" s="76" t="e">
        <f>SUMIFS(#REF!,#REF!,$B178,#REF!,J$1)</f>
        <v>#REF!</v>
      </c>
      <c r="K178" s="76" t="e">
        <f>SUMIFS(#REF!,#REF!,$B178,#REF!,K$1)</f>
        <v>#REF!</v>
      </c>
      <c r="L178" s="76" t="e">
        <f>SUMIFS(#REF!,#REF!,$B178,#REF!,L$1)</f>
        <v>#REF!</v>
      </c>
      <c r="M178" s="76" t="e">
        <f>SUMIFS(#REF!,#REF!,$B178,#REF!,M$1)</f>
        <v>#REF!</v>
      </c>
      <c r="N178" s="76" t="e">
        <f>SUMIFS(#REF!,#REF!,$B178,#REF!,N$1)</f>
        <v>#REF!</v>
      </c>
      <c r="O178" s="76" t="e">
        <f>SUMIFS(#REF!,#REF!,$B178,#REF!,O$1)</f>
        <v>#REF!</v>
      </c>
      <c r="P178" s="76" t="e">
        <f>SUMIFS(#REF!,#REF!,$B178,#REF!,P$1)</f>
        <v>#REF!</v>
      </c>
      <c r="Q178" s="76" t="e">
        <f>SUMIFS(#REF!,#REF!,$B178,#REF!,Q$1)</f>
        <v>#REF!</v>
      </c>
      <c r="R178" s="76" t="e">
        <f>SUMIFS(#REF!,#REF!,$B178,#REF!,R$1)</f>
        <v>#REF!</v>
      </c>
      <c r="S178" s="76" t="e">
        <f>SUMIFS(#REF!,#REF!,$B178,#REF!,S$1)</f>
        <v>#REF!</v>
      </c>
      <c r="T178" s="76" t="e">
        <f>SUMIFS(#REF!,#REF!,$B178,#REF!,T$1)</f>
        <v>#REF!</v>
      </c>
      <c r="U178" s="76" t="e">
        <f>SUMIFS(#REF!,#REF!,$B178,#REF!,U$1)</f>
        <v>#REF!</v>
      </c>
      <c r="V178" s="76" t="e">
        <f>SUMIFS(#REF!,#REF!,$B178,#REF!,V$1)</f>
        <v>#REF!</v>
      </c>
      <c r="W178" s="76" t="e">
        <f>SUMIFS(#REF!,#REF!,$B178,#REF!,W$1)</f>
        <v>#REF!</v>
      </c>
      <c r="X178" s="76" t="e">
        <f>SUMIFS(#REF!,#REF!,$B178,#REF!,X$1)</f>
        <v>#REF!</v>
      </c>
      <c r="Y178" s="76" t="e">
        <f>SUMIFS(#REF!,#REF!,$B178,#REF!,Y$1)</f>
        <v>#REF!</v>
      </c>
      <c r="Z178" s="76" t="e">
        <f>SUMIFS(#REF!,#REF!,$B178,#REF!,Z$1)</f>
        <v>#REF!</v>
      </c>
      <c r="AA178" s="76" t="e">
        <f>SUMIFS(#REF!,#REF!,$B178,#REF!,AA$1)</f>
        <v>#REF!</v>
      </c>
      <c r="AB178" s="76" t="e">
        <f>SUMIFS(#REF!,#REF!,$B178,#REF!,AB$1)</f>
        <v>#REF!</v>
      </c>
      <c r="AC178" s="76" t="e">
        <f>SUMIFS(#REF!,#REF!,$B178,#REF!,AC$1)</f>
        <v>#REF!</v>
      </c>
      <c r="AD178" s="76" t="e">
        <f>SUMIFS(#REF!,#REF!,$B178,#REF!,AD$1)</f>
        <v>#REF!</v>
      </c>
      <c r="AE178" s="76" t="e">
        <f>SUMIFS(#REF!,#REF!,$B178,#REF!,AE$1)</f>
        <v>#REF!</v>
      </c>
      <c r="AF178" s="76" t="e">
        <f>SUMIFS(#REF!,#REF!,$B178,#REF!,AF$1)</f>
        <v>#REF!</v>
      </c>
      <c r="AG178" s="76" t="e">
        <f>SUMIFS(#REF!,#REF!,$B178,#REF!,AG$1)</f>
        <v>#REF!</v>
      </c>
      <c r="AH178" s="76" t="e">
        <f>SUMIFS(#REF!,#REF!,$B178,#REF!,AH$1)</f>
        <v>#REF!</v>
      </c>
      <c r="AI178" s="82"/>
    </row>
    <row r="179" spans="2:35" ht="15" hidden="1" customHeight="1" x14ac:dyDescent="0.25">
      <c r="B179" s="84"/>
      <c r="C179" s="85"/>
      <c r="D179" s="76" t="e">
        <f>SUMIFS(#REF!,#REF!,$B179,#REF!,D$1)</f>
        <v>#REF!</v>
      </c>
      <c r="E179" s="76" t="e">
        <f>SUMIFS(#REF!,#REF!,$B179,#REF!,E$1)</f>
        <v>#REF!</v>
      </c>
      <c r="F179" s="76" t="e">
        <f>SUMIFS(#REF!,#REF!,$B179,#REF!,F$1)</f>
        <v>#REF!</v>
      </c>
      <c r="G179" s="76" t="e">
        <f>SUMIFS(#REF!,#REF!,$B179,#REF!,G$1)</f>
        <v>#REF!</v>
      </c>
      <c r="H179" s="76" t="e">
        <f>SUMIFS(#REF!,#REF!,$B179,#REF!,H$1)</f>
        <v>#REF!</v>
      </c>
      <c r="I179" s="76" t="e">
        <f>SUMIFS(#REF!,#REF!,$B179,#REF!,I$1)</f>
        <v>#REF!</v>
      </c>
      <c r="J179" s="76" t="e">
        <f>SUMIFS(#REF!,#REF!,$B179,#REF!,J$1)</f>
        <v>#REF!</v>
      </c>
      <c r="K179" s="76" t="e">
        <f>SUMIFS(#REF!,#REF!,$B179,#REF!,K$1)</f>
        <v>#REF!</v>
      </c>
      <c r="L179" s="76" t="e">
        <f>SUMIFS(#REF!,#REF!,$B179,#REF!,L$1)</f>
        <v>#REF!</v>
      </c>
      <c r="M179" s="76" t="e">
        <f>SUMIFS(#REF!,#REF!,$B179,#REF!,M$1)</f>
        <v>#REF!</v>
      </c>
      <c r="N179" s="76" t="e">
        <f>SUMIFS(#REF!,#REF!,$B179,#REF!,N$1)</f>
        <v>#REF!</v>
      </c>
      <c r="O179" s="76" t="e">
        <f>SUMIFS(#REF!,#REF!,$B179,#REF!,O$1)</f>
        <v>#REF!</v>
      </c>
      <c r="P179" s="76" t="e">
        <f>SUMIFS(#REF!,#REF!,$B179,#REF!,P$1)</f>
        <v>#REF!</v>
      </c>
      <c r="Q179" s="76" t="e">
        <f>SUMIFS(#REF!,#REF!,$B179,#REF!,Q$1)</f>
        <v>#REF!</v>
      </c>
      <c r="R179" s="76" t="e">
        <f>SUMIFS(#REF!,#REF!,$B179,#REF!,R$1)</f>
        <v>#REF!</v>
      </c>
      <c r="S179" s="76" t="e">
        <f>SUMIFS(#REF!,#REF!,$B179,#REF!,S$1)</f>
        <v>#REF!</v>
      </c>
      <c r="T179" s="76" t="e">
        <f>SUMIFS(#REF!,#REF!,$B179,#REF!,T$1)</f>
        <v>#REF!</v>
      </c>
      <c r="U179" s="76" t="e">
        <f>SUMIFS(#REF!,#REF!,$B179,#REF!,U$1)</f>
        <v>#REF!</v>
      </c>
      <c r="V179" s="76" t="e">
        <f>SUMIFS(#REF!,#REF!,$B179,#REF!,V$1)</f>
        <v>#REF!</v>
      </c>
      <c r="W179" s="76" t="e">
        <f>SUMIFS(#REF!,#REF!,$B179,#REF!,W$1)</f>
        <v>#REF!</v>
      </c>
      <c r="X179" s="76" t="e">
        <f>SUMIFS(#REF!,#REF!,$B179,#REF!,X$1)</f>
        <v>#REF!</v>
      </c>
      <c r="Y179" s="76" t="e">
        <f>SUMIFS(#REF!,#REF!,$B179,#REF!,Y$1)</f>
        <v>#REF!</v>
      </c>
      <c r="Z179" s="76" t="e">
        <f>SUMIFS(#REF!,#REF!,$B179,#REF!,Z$1)</f>
        <v>#REF!</v>
      </c>
      <c r="AA179" s="76" t="e">
        <f>SUMIFS(#REF!,#REF!,$B179,#REF!,AA$1)</f>
        <v>#REF!</v>
      </c>
      <c r="AB179" s="76" t="e">
        <f>SUMIFS(#REF!,#REF!,$B179,#REF!,AB$1)</f>
        <v>#REF!</v>
      </c>
      <c r="AC179" s="76" t="e">
        <f>SUMIFS(#REF!,#REF!,$B179,#REF!,AC$1)</f>
        <v>#REF!</v>
      </c>
      <c r="AD179" s="76" t="e">
        <f>SUMIFS(#REF!,#REF!,$B179,#REF!,AD$1)</f>
        <v>#REF!</v>
      </c>
      <c r="AE179" s="76" t="e">
        <f>SUMIFS(#REF!,#REF!,$B179,#REF!,AE$1)</f>
        <v>#REF!</v>
      </c>
      <c r="AF179" s="76" t="e">
        <f>SUMIFS(#REF!,#REF!,$B179,#REF!,AF$1)</f>
        <v>#REF!</v>
      </c>
      <c r="AG179" s="76" t="e">
        <f>SUMIFS(#REF!,#REF!,$B179,#REF!,AG$1)</f>
        <v>#REF!</v>
      </c>
      <c r="AH179" s="76" t="e">
        <f>SUMIFS(#REF!,#REF!,$B179,#REF!,AH$1)</f>
        <v>#REF!</v>
      </c>
      <c r="AI179" s="82"/>
    </row>
    <row r="180" spans="2:35" ht="15" hidden="1" customHeight="1" x14ac:dyDescent="0.25">
      <c r="B180" s="84"/>
      <c r="C180" s="86"/>
      <c r="D180" s="76" t="e">
        <f>SUMIFS(#REF!,#REF!,$B180,#REF!,D$1)</f>
        <v>#REF!</v>
      </c>
      <c r="E180" s="76" t="e">
        <f>SUMIFS(#REF!,#REF!,$B180,#REF!,E$1)</f>
        <v>#REF!</v>
      </c>
      <c r="F180" s="76" t="e">
        <f>SUMIFS(#REF!,#REF!,$B180,#REF!,F$1)</f>
        <v>#REF!</v>
      </c>
      <c r="G180" s="76" t="e">
        <f>SUMIFS(#REF!,#REF!,$B180,#REF!,G$1)</f>
        <v>#REF!</v>
      </c>
      <c r="H180" s="76" t="e">
        <f>SUMIFS(#REF!,#REF!,$B180,#REF!,H$1)</f>
        <v>#REF!</v>
      </c>
      <c r="I180" s="76" t="e">
        <f>SUMIFS(#REF!,#REF!,$B180,#REF!,I$1)</f>
        <v>#REF!</v>
      </c>
      <c r="J180" s="76" t="e">
        <f>SUMIFS(#REF!,#REF!,$B180,#REF!,J$1)</f>
        <v>#REF!</v>
      </c>
      <c r="K180" s="76" t="e">
        <f>SUMIFS(#REF!,#REF!,$B180,#REF!,K$1)</f>
        <v>#REF!</v>
      </c>
      <c r="L180" s="76" t="e">
        <f>SUMIFS(#REF!,#REF!,$B180,#REF!,L$1)</f>
        <v>#REF!</v>
      </c>
      <c r="M180" s="76" t="e">
        <f>SUMIFS(#REF!,#REF!,$B180,#REF!,M$1)</f>
        <v>#REF!</v>
      </c>
      <c r="N180" s="76" t="e">
        <f>SUMIFS(#REF!,#REF!,$B180,#REF!,N$1)</f>
        <v>#REF!</v>
      </c>
      <c r="O180" s="76" t="e">
        <f>SUMIFS(#REF!,#REF!,$B180,#REF!,O$1)</f>
        <v>#REF!</v>
      </c>
      <c r="P180" s="76" t="e">
        <f>SUMIFS(#REF!,#REF!,$B180,#REF!,P$1)</f>
        <v>#REF!</v>
      </c>
      <c r="Q180" s="76" t="e">
        <f>SUMIFS(#REF!,#REF!,$B180,#REF!,Q$1)</f>
        <v>#REF!</v>
      </c>
      <c r="R180" s="76" t="e">
        <f>SUMIFS(#REF!,#REF!,$B180,#REF!,R$1)</f>
        <v>#REF!</v>
      </c>
      <c r="S180" s="76" t="e">
        <f>SUMIFS(#REF!,#REF!,$B180,#REF!,S$1)</f>
        <v>#REF!</v>
      </c>
      <c r="T180" s="76" t="e">
        <f>SUMIFS(#REF!,#REF!,$B180,#REF!,T$1)</f>
        <v>#REF!</v>
      </c>
      <c r="U180" s="76" t="e">
        <f>SUMIFS(#REF!,#REF!,$B180,#REF!,U$1)</f>
        <v>#REF!</v>
      </c>
      <c r="V180" s="76" t="e">
        <f>SUMIFS(#REF!,#REF!,$B180,#REF!,V$1)</f>
        <v>#REF!</v>
      </c>
      <c r="W180" s="76" t="e">
        <f>SUMIFS(#REF!,#REF!,$B180,#REF!,W$1)</f>
        <v>#REF!</v>
      </c>
      <c r="X180" s="76" t="e">
        <f>SUMIFS(#REF!,#REF!,$B180,#REF!,X$1)</f>
        <v>#REF!</v>
      </c>
      <c r="Y180" s="76" t="e">
        <f>SUMIFS(#REF!,#REF!,$B180,#REF!,Y$1)</f>
        <v>#REF!</v>
      </c>
      <c r="Z180" s="76" t="e">
        <f>SUMIFS(#REF!,#REF!,$B180,#REF!,Z$1)</f>
        <v>#REF!</v>
      </c>
      <c r="AA180" s="76" t="e">
        <f>SUMIFS(#REF!,#REF!,$B180,#REF!,AA$1)</f>
        <v>#REF!</v>
      </c>
      <c r="AB180" s="76" t="e">
        <f>SUMIFS(#REF!,#REF!,$B180,#REF!,AB$1)</f>
        <v>#REF!</v>
      </c>
      <c r="AC180" s="76" t="e">
        <f>SUMIFS(#REF!,#REF!,$B180,#REF!,AC$1)</f>
        <v>#REF!</v>
      </c>
      <c r="AD180" s="76" t="e">
        <f>SUMIFS(#REF!,#REF!,$B180,#REF!,AD$1)</f>
        <v>#REF!</v>
      </c>
      <c r="AE180" s="76" t="e">
        <f>SUMIFS(#REF!,#REF!,$B180,#REF!,AE$1)</f>
        <v>#REF!</v>
      </c>
      <c r="AF180" s="76" t="e">
        <f>SUMIFS(#REF!,#REF!,$B180,#REF!,AF$1)</f>
        <v>#REF!</v>
      </c>
      <c r="AG180" s="76" t="e">
        <f>SUMIFS(#REF!,#REF!,$B180,#REF!,AG$1)</f>
        <v>#REF!</v>
      </c>
      <c r="AH180" s="76" t="e">
        <f>SUMIFS(#REF!,#REF!,$B180,#REF!,AH$1)</f>
        <v>#REF!</v>
      </c>
      <c r="AI180" s="82"/>
    </row>
    <row r="181" spans="2:35" ht="15" hidden="1" customHeight="1" x14ac:dyDescent="0.25">
      <c r="B181" s="88"/>
      <c r="C181" s="86"/>
      <c r="D181" s="76" t="e">
        <f>SUMIFS(#REF!,#REF!,$B181,#REF!,D$1)</f>
        <v>#REF!</v>
      </c>
      <c r="E181" s="76" t="e">
        <f>SUMIFS(#REF!,#REF!,$B181,#REF!,E$1)</f>
        <v>#REF!</v>
      </c>
      <c r="F181" s="76" t="e">
        <f>SUMIFS(#REF!,#REF!,$B181,#REF!,F$1)</f>
        <v>#REF!</v>
      </c>
      <c r="G181" s="76" t="e">
        <f>SUMIFS(#REF!,#REF!,$B181,#REF!,G$1)</f>
        <v>#REF!</v>
      </c>
      <c r="H181" s="76" t="e">
        <f>SUMIFS(#REF!,#REF!,$B181,#REF!,H$1)</f>
        <v>#REF!</v>
      </c>
      <c r="I181" s="76" t="e">
        <f>SUMIFS(#REF!,#REF!,$B181,#REF!,I$1)</f>
        <v>#REF!</v>
      </c>
      <c r="J181" s="76" t="e">
        <f>SUMIFS(#REF!,#REF!,$B181,#REF!,J$1)</f>
        <v>#REF!</v>
      </c>
      <c r="K181" s="76" t="e">
        <f>SUMIFS(#REF!,#REF!,$B181,#REF!,K$1)</f>
        <v>#REF!</v>
      </c>
      <c r="L181" s="76" t="e">
        <f>SUMIFS(#REF!,#REF!,$B181,#REF!,L$1)</f>
        <v>#REF!</v>
      </c>
      <c r="M181" s="76" t="e">
        <f>SUMIFS(#REF!,#REF!,$B181,#REF!,M$1)</f>
        <v>#REF!</v>
      </c>
      <c r="N181" s="76" t="e">
        <f>SUMIFS(#REF!,#REF!,$B181,#REF!,N$1)</f>
        <v>#REF!</v>
      </c>
      <c r="O181" s="76" t="e">
        <f>SUMIFS(#REF!,#REF!,$B181,#REF!,O$1)</f>
        <v>#REF!</v>
      </c>
      <c r="P181" s="76" t="e">
        <f>SUMIFS(#REF!,#REF!,$B181,#REF!,P$1)</f>
        <v>#REF!</v>
      </c>
      <c r="Q181" s="76" t="e">
        <f>SUMIFS(#REF!,#REF!,$B181,#REF!,Q$1)</f>
        <v>#REF!</v>
      </c>
      <c r="R181" s="76" t="e">
        <f>SUMIFS(#REF!,#REF!,$B181,#REF!,R$1)</f>
        <v>#REF!</v>
      </c>
      <c r="S181" s="76" t="e">
        <f>SUMIFS(#REF!,#REF!,$B181,#REF!,S$1)</f>
        <v>#REF!</v>
      </c>
      <c r="T181" s="76" t="e">
        <f>SUMIFS(#REF!,#REF!,$B181,#REF!,T$1)</f>
        <v>#REF!</v>
      </c>
      <c r="U181" s="76" t="e">
        <f>SUMIFS(#REF!,#REF!,$B181,#REF!,U$1)</f>
        <v>#REF!</v>
      </c>
      <c r="V181" s="76" t="e">
        <f>SUMIFS(#REF!,#REF!,$B181,#REF!,V$1)</f>
        <v>#REF!</v>
      </c>
      <c r="W181" s="76" t="e">
        <f>SUMIFS(#REF!,#REF!,$B181,#REF!,W$1)</f>
        <v>#REF!</v>
      </c>
      <c r="X181" s="76" t="e">
        <f>SUMIFS(#REF!,#REF!,$B181,#REF!,X$1)</f>
        <v>#REF!</v>
      </c>
      <c r="Y181" s="76" t="e">
        <f>SUMIFS(#REF!,#REF!,$B181,#REF!,Y$1)</f>
        <v>#REF!</v>
      </c>
      <c r="Z181" s="76" t="e">
        <f>SUMIFS(#REF!,#REF!,$B181,#REF!,Z$1)</f>
        <v>#REF!</v>
      </c>
      <c r="AA181" s="76" t="e">
        <f>SUMIFS(#REF!,#REF!,$B181,#REF!,AA$1)</f>
        <v>#REF!</v>
      </c>
      <c r="AB181" s="76" t="e">
        <f>SUMIFS(#REF!,#REF!,$B181,#REF!,AB$1)</f>
        <v>#REF!</v>
      </c>
      <c r="AC181" s="76" t="e">
        <f>SUMIFS(#REF!,#REF!,$B181,#REF!,AC$1)</f>
        <v>#REF!</v>
      </c>
      <c r="AD181" s="76" t="e">
        <f>SUMIFS(#REF!,#REF!,$B181,#REF!,AD$1)</f>
        <v>#REF!</v>
      </c>
      <c r="AE181" s="76" t="e">
        <f>SUMIFS(#REF!,#REF!,$B181,#REF!,AE$1)</f>
        <v>#REF!</v>
      </c>
      <c r="AF181" s="76" t="e">
        <f>SUMIFS(#REF!,#REF!,$B181,#REF!,AF$1)</f>
        <v>#REF!</v>
      </c>
      <c r="AG181" s="76" t="e">
        <f>SUMIFS(#REF!,#REF!,$B181,#REF!,AG$1)</f>
        <v>#REF!</v>
      </c>
      <c r="AH181" s="76" t="e">
        <f>SUMIFS(#REF!,#REF!,$B181,#REF!,AH$1)</f>
        <v>#REF!</v>
      </c>
      <c r="AI181" s="82"/>
    </row>
    <row r="182" spans="2:35" ht="15" hidden="1" customHeight="1" x14ac:dyDescent="0.25">
      <c r="B182" s="84"/>
      <c r="C182" s="83"/>
      <c r="D182" s="76" t="e">
        <f>SUMIFS(#REF!,#REF!,$B182,#REF!,D$1)</f>
        <v>#REF!</v>
      </c>
      <c r="E182" s="76" t="e">
        <f>SUMIFS(#REF!,#REF!,$B182,#REF!,E$1)</f>
        <v>#REF!</v>
      </c>
      <c r="F182" s="76" t="e">
        <f>SUMIFS(#REF!,#REF!,$B182,#REF!,F$1)</f>
        <v>#REF!</v>
      </c>
      <c r="G182" s="76" t="e">
        <f>SUMIFS(#REF!,#REF!,$B182,#REF!,G$1)</f>
        <v>#REF!</v>
      </c>
      <c r="H182" s="76" t="e">
        <f>SUMIFS(#REF!,#REF!,$B182,#REF!,H$1)</f>
        <v>#REF!</v>
      </c>
      <c r="I182" s="76" t="e">
        <f>SUMIFS(#REF!,#REF!,$B182,#REF!,I$1)</f>
        <v>#REF!</v>
      </c>
      <c r="J182" s="76" t="e">
        <f>SUMIFS(#REF!,#REF!,$B182,#REF!,J$1)</f>
        <v>#REF!</v>
      </c>
      <c r="K182" s="76" t="e">
        <f>SUMIFS(#REF!,#REF!,$B182,#REF!,K$1)</f>
        <v>#REF!</v>
      </c>
      <c r="L182" s="76" t="e">
        <f>SUMIFS(#REF!,#REF!,$B182,#REF!,L$1)</f>
        <v>#REF!</v>
      </c>
      <c r="M182" s="76" t="e">
        <f>SUMIFS(#REF!,#REF!,$B182,#REF!,M$1)</f>
        <v>#REF!</v>
      </c>
      <c r="N182" s="76" t="e">
        <f>SUMIFS(#REF!,#REF!,$B182,#REF!,N$1)</f>
        <v>#REF!</v>
      </c>
      <c r="O182" s="76" t="e">
        <f>SUMIFS(#REF!,#REF!,$B182,#REF!,O$1)</f>
        <v>#REF!</v>
      </c>
      <c r="P182" s="76" t="e">
        <f>SUMIFS(#REF!,#REF!,$B182,#REF!,P$1)</f>
        <v>#REF!</v>
      </c>
      <c r="Q182" s="76" t="e">
        <f>SUMIFS(#REF!,#REF!,$B182,#REF!,Q$1)</f>
        <v>#REF!</v>
      </c>
      <c r="R182" s="76" t="e">
        <f>SUMIFS(#REF!,#REF!,$B182,#REF!,R$1)</f>
        <v>#REF!</v>
      </c>
      <c r="S182" s="76" t="e">
        <f>SUMIFS(#REF!,#REF!,$B182,#REF!,S$1)</f>
        <v>#REF!</v>
      </c>
      <c r="T182" s="76" t="e">
        <f>SUMIFS(#REF!,#REF!,$B182,#REF!,T$1)</f>
        <v>#REF!</v>
      </c>
      <c r="U182" s="76" t="e">
        <f>SUMIFS(#REF!,#REF!,$B182,#REF!,U$1)</f>
        <v>#REF!</v>
      </c>
      <c r="V182" s="76" t="e">
        <f>SUMIFS(#REF!,#REF!,$B182,#REF!,V$1)</f>
        <v>#REF!</v>
      </c>
      <c r="W182" s="76" t="e">
        <f>SUMIFS(#REF!,#REF!,$B182,#REF!,W$1)</f>
        <v>#REF!</v>
      </c>
      <c r="X182" s="76" t="e">
        <f>SUMIFS(#REF!,#REF!,$B182,#REF!,X$1)</f>
        <v>#REF!</v>
      </c>
      <c r="Y182" s="76" t="e">
        <f>SUMIFS(#REF!,#REF!,$B182,#REF!,Y$1)</f>
        <v>#REF!</v>
      </c>
      <c r="Z182" s="76" t="e">
        <f>SUMIFS(#REF!,#REF!,$B182,#REF!,Z$1)</f>
        <v>#REF!</v>
      </c>
      <c r="AA182" s="76" t="e">
        <f>SUMIFS(#REF!,#REF!,$B182,#REF!,AA$1)</f>
        <v>#REF!</v>
      </c>
      <c r="AB182" s="76" t="e">
        <f>SUMIFS(#REF!,#REF!,$B182,#REF!,AB$1)</f>
        <v>#REF!</v>
      </c>
      <c r="AC182" s="76" t="e">
        <f>SUMIFS(#REF!,#REF!,$B182,#REF!,AC$1)</f>
        <v>#REF!</v>
      </c>
      <c r="AD182" s="76" t="e">
        <f>SUMIFS(#REF!,#REF!,$B182,#REF!,AD$1)</f>
        <v>#REF!</v>
      </c>
      <c r="AE182" s="76" t="e">
        <f>SUMIFS(#REF!,#REF!,$B182,#REF!,AE$1)</f>
        <v>#REF!</v>
      </c>
      <c r="AF182" s="76" t="e">
        <f>SUMIFS(#REF!,#REF!,$B182,#REF!,AF$1)</f>
        <v>#REF!</v>
      </c>
      <c r="AG182" s="76" t="e">
        <f>SUMIFS(#REF!,#REF!,$B182,#REF!,AG$1)</f>
        <v>#REF!</v>
      </c>
      <c r="AH182" s="76" t="e">
        <f>SUMIFS(#REF!,#REF!,$B182,#REF!,AH$1)</f>
        <v>#REF!</v>
      </c>
      <c r="AI182" s="82"/>
    </row>
    <row r="183" spans="2:35" ht="15" hidden="1" customHeight="1" x14ac:dyDescent="0.25">
      <c r="B183" s="84"/>
      <c r="C183" s="86"/>
      <c r="D183" s="76" t="e">
        <f>SUMIFS(#REF!,#REF!,$B183,#REF!,D$1)</f>
        <v>#REF!</v>
      </c>
      <c r="E183" s="76" t="e">
        <f>SUMIFS(#REF!,#REF!,$B183,#REF!,E$1)</f>
        <v>#REF!</v>
      </c>
      <c r="F183" s="76" t="e">
        <f>SUMIFS(#REF!,#REF!,$B183,#REF!,F$1)</f>
        <v>#REF!</v>
      </c>
      <c r="G183" s="76" t="e">
        <f>SUMIFS(#REF!,#REF!,$B183,#REF!,G$1)</f>
        <v>#REF!</v>
      </c>
      <c r="H183" s="76" t="e">
        <f>SUMIFS(#REF!,#REF!,$B183,#REF!,H$1)</f>
        <v>#REF!</v>
      </c>
      <c r="I183" s="76" t="e">
        <f>SUMIFS(#REF!,#REF!,$B183,#REF!,I$1)</f>
        <v>#REF!</v>
      </c>
      <c r="J183" s="76" t="e">
        <f>SUMIFS(#REF!,#REF!,$B183,#REF!,J$1)</f>
        <v>#REF!</v>
      </c>
      <c r="K183" s="76" t="e">
        <f>SUMIFS(#REF!,#REF!,$B183,#REF!,K$1)</f>
        <v>#REF!</v>
      </c>
      <c r="L183" s="76" t="e">
        <f>SUMIFS(#REF!,#REF!,$B183,#REF!,L$1)</f>
        <v>#REF!</v>
      </c>
      <c r="M183" s="76" t="e">
        <f>SUMIFS(#REF!,#REF!,$B183,#REF!,M$1)</f>
        <v>#REF!</v>
      </c>
      <c r="N183" s="76" t="e">
        <f>SUMIFS(#REF!,#REF!,$B183,#REF!,N$1)</f>
        <v>#REF!</v>
      </c>
      <c r="O183" s="76" t="e">
        <f>SUMIFS(#REF!,#REF!,$B183,#REF!,O$1)</f>
        <v>#REF!</v>
      </c>
      <c r="P183" s="76" t="e">
        <f>SUMIFS(#REF!,#REF!,$B183,#REF!,P$1)</f>
        <v>#REF!</v>
      </c>
      <c r="Q183" s="76" t="e">
        <f>SUMIFS(#REF!,#REF!,$B183,#REF!,Q$1)</f>
        <v>#REF!</v>
      </c>
      <c r="R183" s="76" t="e">
        <f>SUMIFS(#REF!,#REF!,$B183,#REF!,R$1)</f>
        <v>#REF!</v>
      </c>
      <c r="S183" s="76" t="e">
        <f>SUMIFS(#REF!,#REF!,$B183,#REF!,S$1)</f>
        <v>#REF!</v>
      </c>
      <c r="T183" s="76" t="e">
        <f>SUMIFS(#REF!,#REF!,$B183,#REF!,T$1)</f>
        <v>#REF!</v>
      </c>
      <c r="U183" s="76" t="e">
        <f>SUMIFS(#REF!,#REF!,$B183,#REF!,U$1)</f>
        <v>#REF!</v>
      </c>
      <c r="V183" s="76" t="e">
        <f>SUMIFS(#REF!,#REF!,$B183,#REF!,V$1)</f>
        <v>#REF!</v>
      </c>
      <c r="W183" s="76" t="e">
        <f>SUMIFS(#REF!,#REF!,$B183,#REF!,W$1)</f>
        <v>#REF!</v>
      </c>
      <c r="X183" s="76" t="e">
        <f>SUMIFS(#REF!,#REF!,$B183,#REF!,X$1)</f>
        <v>#REF!</v>
      </c>
      <c r="Y183" s="76" t="e">
        <f>SUMIFS(#REF!,#REF!,$B183,#REF!,Y$1)</f>
        <v>#REF!</v>
      </c>
      <c r="Z183" s="76" t="e">
        <f>SUMIFS(#REF!,#REF!,$B183,#REF!,Z$1)</f>
        <v>#REF!</v>
      </c>
      <c r="AA183" s="76" t="e">
        <f>SUMIFS(#REF!,#REF!,$B183,#REF!,AA$1)</f>
        <v>#REF!</v>
      </c>
      <c r="AB183" s="76" t="e">
        <f>SUMIFS(#REF!,#REF!,$B183,#REF!,AB$1)</f>
        <v>#REF!</v>
      </c>
      <c r="AC183" s="76" t="e">
        <f>SUMIFS(#REF!,#REF!,$B183,#REF!,AC$1)</f>
        <v>#REF!</v>
      </c>
      <c r="AD183" s="76" t="e">
        <f>SUMIFS(#REF!,#REF!,$B183,#REF!,AD$1)</f>
        <v>#REF!</v>
      </c>
      <c r="AE183" s="76" t="e">
        <f>SUMIFS(#REF!,#REF!,$B183,#REF!,AE$1)</f>
        <v>#REF!</v>
      </c>
      <c r="AF183" s="76" t="e">
        <f>SUMIFS(#REF!,#REF!,$B183,#REF!,AF$1)</f>
        <v>#REF!</v>
      </c>
      <c r="AG183" s="76" t="e">
        <f>SUMIFS(#REF!,#REF!,$B183,#REF!,AG$1)</f>
        <v>#REF!</v>
      </c>
      <c r="AH183" s="76" t="e">
        <f>SUMIFS(#REF!,#REF!,$B183,#REF!,AH$1)</f>
        <v>#REF!</v>
      </c>
      <c r="AI183" s="82"/>
    </row>
    <row r="184" spans="2:35" ht="15" hidden="1" customHeight="1" x14ac:dyDescent="0.25">
      <c r="B184" s="84"/>
      <c r="C184" s="86"/>
      <c r="D184" s="76" t="e">
        <f>SUMIFS(#REF!,#REF!,$B184,#REF!,D$1)</f>
        <v>#REF!</v>
      </c>
      <c r="E184" s="76" t="e">
        <f>SUMIFS(#REF!,#REF!,$B184,#REF!,E$1)</f>
        <v>#REF!</v>
      </c>
      <c r="F184" s="76" t="e">
        <f>SUMIFS(#REF!,#REF!,$B184,#REF!,F$1)</f>
        <v>#REF!</v>
      </c>
      <c r="G184" s="76" t="e">
        <f>SUMIFS(#REF!,#REF!,$B184,#REF!,G$1)</f>
        <v>#REF!</v>
      </c>
      <c r="H184" s="76" t="e">
        <f>SUMIFS(#REF!,#REF!,$B184,#REF!,H$1)</f>
        <v>#REF!</v>
      </c>
      <c r="I184" s="76" t="e">
        <f>SUMIFS(#REF!,#REF!,$B184,#REF!,I$1)</f>
        <v>#REF!</v>
      </c>
      <c r="J184" s="76" t="e">
        <f>SUMIFS(#REF!,#REF!,$B184,#REF!,J$1)</f>
        <v>#REF!</v>
      </c>
      <c r="K184" s="76" t="e">
        <f>SUMIFS(#REF!,#REF!,$B184,#REF!,K$1)</f>
        <v>#REF!</v>
      </c>
      <c r="L184" s="76" t="e">
        <f>SUMIFS(#REF!,#REF!,$B184,#REF!,L$1)</f>
        <v>#REF!</v>
      </c>
      <c r="M184" s="76" t="e">
        <f>SUMIFS(#REF!,#REF!,$B184,#REF!,M$1)</f>
        <v>#REF!</v>
      </c>
      <c r="N184" s="76" t="e">
        <f>SUMIFS(#REF!,#REF!,$B184,#REF!,N$1)</f>
        <v>#REF!</v>
      </c>
      <c r="O184" s="76" t="e">
        <f>SUMIFS(#REF!,#REF!,$B184,#REF!,O$1)</f>
        <v>#REF!</v>
      </c>
      <c r="P184" s="76" t="e">
        <f>SUMIFS(#REF!,#REF!,$B184,#REF!,P$1)</f>
        <v>#REF!</v>
      </c>
      <c r="Q184" s="76" t="e">
        <f>SUMIFS(#REF!,#REF!,$B184,#REF!,Q$1)</f>
        <v>#REF!</v>
      </c>
      <c r="R184" s="76" t="e">
        <f>SUMIFS(#REF!,#REF!,$B184,#REF!,R$1)</f>
        <v>#REF!</v>
      </c>
      <c r="S184" s="76" t="e">
        <f>SUMIFS(#REF!,#REF!,$B184,#REF!,S$1)</f>
        <v>#REF!</v>
      </c>
      <c r="T184" s="76" t="e">
        <f>SUMIFS(#REF!,#REF!,$B184,#REF!,T$1)</f>
        <v>#REF!</v>
      </c>
      <c r="U184" s="76" t="e">
        <f>SUMIFS(#REF!,#REF!,$B184,#REF!,U$1)</f>
        <v>#REF!</v>
      </c>
      <c r="V184" s="76" t="e">
        <f>SUMIFS(#REF!,#REF!,$B184,#REF!,V$1)</f>
        <v>#REF!</v>
      </c>
      <c r="W184" s="76" t="e">
        <f>SUMIFS(#REF!,#REF!,$B184,#REF!,W$1)</f>
        <v>#REF!</v>
      </c>
      <c r="X184" s="76" t="e">
        <f>SUMIFS(#REF!,#REF!,$B184,#REF!,X$1)</f>
        <v>#REF!</v>
      </c>
      <c r="Y184" s="76" t="e">
        <f>SUMIFS(#REF!,#REF!,$B184,#REF!,Y$1)</f>
        <v>#REF!</v>
      </c>
      <c r="Z184" s="76" t="e">
        <f>SUMIFS(#REF!,#REF!,$B184,#REF!,Z$1)</f>
        <v>#REF!</v>
      </c>
      <c r="AA184" s="76" t="e">
        <f>SUMIFS(#REF!,#REF!,$B184,#REF!,AA$1)</f>
        <v>#REF!</v>
      </c>
      <c r="AB184" s="76" t="e">
        <f>SUMIFS(#REF!,#REF!,$B184,#REF!,AB$1)</f>
        <v>#REF!</v>
      </c>
      <c r="AC184" s="76" t="e">
        <f>SUMIFS(#REF!,#REF!,$B184,#REF!,AC$1)</f>
        <v>#REF!</v>
      </c>
      <c r="AD184" s="76" t="e">
        <f>SUMIFS(#REF!,#REF!,$B184,#REF!,AD$1)</f>
        <v>#REF!</v>
      </c>
      <c r="AE184" s="76" t="e">
        <f>SUMIFS(#REF!,#REF!,$B184,#REF!,AE$1)</f>
        <v>#REF!</v>
      </c>
      <c r="AF184" s="76" t="e">
        <f>SUMIFS(#REF!,#REF!,$B184,#REF!,AF$1)</f>
        <v>#REF!</v>
      </c>
      <c r="AG184" s="76" t="e">
        <f>SUMIFS(#REF!,#REF!,$B184,#REF!,AG$1)</f>
        <v>#REF!</v>
      </c>
      <c r="AH184" s="76" t="e">
        <f>SUMIFS(#REF!,#REF!,$B184,#REF!,AH$1)</f>
        <v>#REF!</v>
      </c>
      <c r="AI184" s="82"/>
    </row>
    <row r="185" spans="2:35" ht="15" hidden="1" customHeight="1" x14ac:dyDescent="0.25">
      <c r="B185" s="84"/>
      <c r="C185" s="86"/>
      <c r="D185" s="76" t="e">
        <f>SUMIFS(#REF!,#REF!,$B185,#REF!,D$1)</f>
        <v>#REF!</v>
      </c>
      <c r="E185" s="76" t="e">
        <f>SUMIFS(#REF!,#REF!,$B185,#REF!,E$1)</f>
        <v>#REF!</v>
      </c>
      <c r="F185" s="76" t="e">
        <f>SUMIFS(#REF!,#REF!,$B185,#REF!,F$1)</f>
        <v>#REF!</v>
      </c>
      <c r="G185" s="76" t="e">
        <f>SUMIFS(#REF!,#REF!,$B185,#REF!,G$1)</f>
        <v>#REF!</v>
      </c>
      <c r="H185" s="76" t="e">
        <f>SUMIFS(#REF!,#REF!,$B185,#REF!,H$1)</f>
        <v>#REF!</v>
      </c>
      <c r="I185" s="76" t="e">
        <f>SUMIFS(#REF!,#REF!,$B185,#REF!,I$1)</f>
        <v>#REF!</v>
      </c>
      <c r="J185" s="76" t="e">
        <f>SUMIFS(#REF!,#REF!,$B185,#REF!,J$1)</f>
        <v>#REF!</v>
      </c>
      <c r="K185" s="76" t="e">
        <f>SUMIFS(#REF!,#REF!,$B185,#REF!,K$1)</f>
        <v>#REF!</v>
      </c>
      <c r="L185" s="76" t="e">
        <f>SUMIFS(#REF!,#REF!,$B185,#REF!,L$1)</f>
        <v>#REF!</v>
      </c>
      <c r="M185" s="76" t="e">
        <f>SUMIFS(#REF!,#REF!,$B185,#REF!,M$1)</f>
        <v>#REF!</v>
      </c>
      <c r="N185" s="76" t="e">
        <f>SUMIFS(#REF!,#REF!,$B185,#REF!,N$1)</f>
        <v>#REF!</v>
      </c>
      <c r="O185" s="76" t="e">
        <f>SUMIFS(#REF!,#REF!,$B185,#REF!,O$1)</f>
        <v>#REF!</v>
      </c>
      <c r="P185" s="76" t="e">
        <f>SUMIFS(#REF!,#REF!,$B185,#REF!,P$1)</f>
        <v>#REF!</v>
      </c>
      <c r="Q185" s="76" t="e">
        <f>SUMIFS(#REF!,#REF!,$B185,#REF!,Q$1)</f>
        <v>#REF!</v>
      </c>
      <c r="R185" s="76" t="e">
        <f>SUMIFS(#REF!,#REF!,$B185,#REF!,R$1)</f>
        <v>#REF!</v>
      </c>
      <c r="S185" s="76" t="e">
        <f>SUMIFS(#REF!,#REF!,$B185,#REF!,S$1)</f>
        <v>#REF!</v>
      </c>
      <c r="T185" s="76" t="e">
        <f>SUMIFS(#REF!,#REF!,$B185,#REF!,T$1)</f>
        <v>#REF!</v>
      </c>
      <c r="U185" s="76" t="e">
        <f>SUMIFS(#REF!,#REF!,$B185,#REF!,U$1)</f>
        <v>#REF!</v>
      </c>
      <c r="V185" s="76" t="e">
        <f>SUMIFS(#REF!,#REF!,$B185,#REF!,V$1)</f>
        <v>#REF!</v>
      </c>
      <c r="W185" s="76" t="e">
        <f>SUMIFS(#REF!,#REF!,$B185,#REF!,W$1)</f>
        <v>#REF!</v>
      </c>
      <c r="X185" s="76" t="e">
        <f>SUMIFS(#REF!,#REF!,$B185,#REF!,X$1)</f>
        <v>#REF!</v>
      </c>
      <c r="Y185" s="76" t="e">
        <f>SUMIFS(#REF!,#REF!,$B185,#REF!,Y$1)</f>
        <v>#REF!</v>
      </c>
      <c r="Z185" s="76" t="e">
        <f>SUMIFS(#REF!,#REF!,$B185,#REF!,Z$1)</f>
        <v>#REF!</v>
      </c>
      <c r="AA185" s="76" t="e">
        <f>SUMIFS(#REF!,#REF!,$B185,#REF!,AA$1)</f>
        <v>#REF!</v>
      </c>
      <c r="AB185" s="76" t="e">
        <f>SUMIFS(#REF!,#REF!,$B185,#REF!,AB$1)</f>
        <v>#REF!</v>
      </c>
      <c r="AC185" s="76" t="e">
        <f>SUMIFS(#REF!,#REF!,$B185,#REF!,AC$1)</f>
        <v>#REF!</v>
      </c>
      <c r="AD185" s="76" t="e">
        <f>SUMIFS(#REF!,#REF!,$B185,#REF!,AD$1)</f>
        <v>#REF!</v>
      </c>
      <c r="AE185" s="76" t="e">
        <f>SUMIFS(#REF!,#REF!,$B185,#REF!,AE$1)</f>
        <v>#REF!</v>
      </c>
      <c r="AF185" s="76" t="e">
        <f>SUMIFS(#REF!,#REF!,$B185,#REF!,AF$1)</f>
        <v>#REF!</v>
      </c>
      <c r="AG185" s="76" t="e">
        <f>SUMIFS(#REF!,#REF!,$B185,#REF!,AG$1)</f>
        <v>#REF!</v>
      </c>
      <c r="AH185" s="76" t="e">
        <f>SUMIFS(#REF!,#REF!,$B185,#REF!,AH$1)</f>
        <v>#REF!</v>
      </c>
      <c r="AI185" s="82"/>
    </row>
    <row r="186" spans="2:35" ht="15" hidden="1" customHeight="1" x14ac:dyDescent="0.25">
      <c r="B186" s="84"/>
      <c r="C186" s="86"/>
      <c r="D186" s="76" t="e">
        <f>SUMIFS(#REF!,#REF!,$B186,#REF!,D$1)</f>
        <v>#REF!</v>
      </c>
      <c r="E186" s="76" t="e">
        <f>SUMIFS(#REF!,#REF!,$B186,#REF!,E$1)</f>
        <v>#REF!</v>
      </c>
      <c r="F186" s="76" t="e">
        <f>SUMIFS(#REF!,#REF!,$B186,#REF!,F$1)</f>
        <v>#REF!</v>
      </c>
      <c r="G186" s="76" t="e">
        <f>SUMIFS(#REF!,#REF!,$B186,#REF!,G$1)</f>
        <v>#REF!</v>
      </c>
      <c r="H186" s="76" t="e">
        <f>SUMIFS(#REF!,#REF!,$B186,#REF!,H$1)</f>
        <v>#REF!</v>
      </c>
      <c r="I186" s="76" t="e">
        <f>SUMIFS(#REF!,#REF!,$B186,#REF!,I$1)</f>
        <v>#REF!</v>
      </c>
      <c r="J186" s="76" t="e">
        <f>SUMIFS(#REF!,#REF!,$B186,#REF!,J$1)</f>
        <v>#REF!</v>
      </c>
      <c r="K186" s="76" t="e">
        <f>SUMIFS(#REF!,#REF!,$B186,#REF!,K$1)</f>
        <v>#REF!</v>
      </c>
      <c r="L186" s="76" t="e">
        <f>SUMIFS(#REF!,#REF!,$B186,#REF!,L$1)</f>
        <v>#REF!</v>
      </c>
      <c r="M186" s="76" t="e">
        <f>SUMIFS(#REF!,#REF!,$B186,#REF!,M$1)</f>
        <v>#REF!</v>
      </c>
      <c r="N186" s="76" t="e">
        <f>SUMIFS(#REF!,#REF!,$B186,#REF!,N$1)</f>
        <v>#REF!</v>
      </c>
      <c r="O186" s="76" t="e">
        <f>SUMIFS(#REF!,#REF!,$B186,#REF!,O$1)</f>
        <v>#REF!</v>
      </c>
      <c r="P186" s="76" t="e">
        <f>SUMIFS(#REF!,#REF!,$B186,#REF!,P$1)</f>
        <v>#REF!</v>
      </c>
      <c r="Q186" s="76" t="e">
        <f>SUMIFS(#REF!,#REF!,$B186,#REF!,Q$1)</f>
        <v>#REF!</v>
      </c>
      <c r="R186" s="76" t="e">
        <f>SUMIFS(#REF!,#REF!,$B186,#REF!,R$1)</f>
        <v>#REF!</v>
      </c>
      <c r="S186" s="76" t="e">
        <f>SUMIFS(#REF!,#REF!,$B186,#REF!,S$1)</f>
        <v>#REF!</v>
      </c>
      <c r="T186" s="76" t="e">
        <f>SUMIFS(#REF!,#REF!,$B186,#REF!,T$1)</f>
        <v>#REF!</v>
      </c>
      <c r="U186" s="76" t="e">
        <f>SUMIFS(#REF!,#REF!,$B186,#REF!,U$1)</f>
        <v>#REF!</v>
      </c>
      <c r="V186" s="76" t="e">
        <f>SUMIFS(#REF!,#REF!,$B186,#REF!,V$1)</f>
        <v>#REF!</v>
      </c>
      <c r="W186" s="76" t="e">
        <f>SUMIFS(#REF!,#REF!,$B186,#REF!,W$1)</f>
        <v>#REF!</v>
      </c>
      <c r="X186" s="76" t="e">
        <f>SUMIFS(#REF!,#REF!,$B186,#REF!,X$1)</f>
        <v>#REF!</v>
      </c>
      <c r="Y186" s="76" t="e">
        <f>SUMIFS(#REF!,#REF!,$B186,#REF!,Y$1)</f>
        <v>#REF!</v>
      </c>
      <c r="Z186" s="76" t="e">
        <f>SUMIFS(#REF!,#REF!,$B186,#REF!,Z$1)</f>
        <v>#REF!</v>
      </c>
      <c r="AA186" s="76" t="e">
        <f>SUMIFS(#REF!,#REF!,$B186,#REF!,AA$1)</f>
        <v>#REF!</v>
      </c>
      <c r="AB186" s="76" t="e">
        <f>SUMIFS(#REF!,#REF!,$B186,#REF!,AB$1)</f>
        <v>#REF!</v>
      </c>
      <c r="AC186" s="76" t="e">
        <f>SUMIFS(#REF!,#REF!,$B186,#REF!,AC$1)</f>
        <v>#REF!</v>
      </c>
      <c r="AD186" s="76" t="e">
        <f>SUMIFS(#REF!,#REF!,$B186,#REF!,AD$1)</f>
        <v>#REF!</v>
      </c>
      <c r="AE186" s="76" t="e">
        <f>SUMIFS(#REF!,#REF!,$B186,#REF!,AE$1)</f>
        <v>#REF!</v>
      </c>
      <c r="AF186" s="76" t="e">
        <f>SUMIFS(#REF!,#REF!,$B186,#REF!,AF$1)</f>
        <v>#REF!</v>
      </c>
      <c r="AG186" s="76" t="e">
        <f>SUMIFS(#REF!,#REF!,$B186,#REF!,AG$1)</f>
        <v>#REF!</v>
      </c>
      <c r="AH186" s="76" t="e">
        <f>SUMIFS(#REF!,#REF!,$B186,#REF!,AH$1)</f>
        <v>#REF!</v>
      </c>
      <c r="AI186" s="82"/>
    </row>
    <row r="187" spans="2:35" ht="15" hidden="1" customHeight="1" x14ac:dyDescent="0.25">
      <c r="B187" s="84"/>
      <c r="C187" s="86"/>
      <c r="D187" s="76" t="e">
        <f>SUMIFS(#REF!,#REF!,$B187,#REF!,D$1)</f>
        <v>#REF!</v>
      </c>
      <c r="E187" s="76" t="e">
        <f>SUMIFS(#REF!,#REF!,$B187,#REF!,E$1)</f>
        <v>#REF!</v>
      </c>
      <c r="F187" s="76" t="e">
        <f>SUMIFS(#REF!,#REF!,$B187,#REF!,F$1)</f>
        <v>#REF!</v>
      </c>
      <c r="G187" s="76" t="e">
        <f>SUMIFS(#REF!,#REF!,$B187,#REF!,G$1)</f>
        <v>#REF!</v>
      </c>
      <c r="H187" s="76" t="e">
        <f>SUMIFS(#REF!,#REF!,$B187,#REF!,H$1)</f>
        <v>#REF!</v>
      </c>
      <c r="I187" s="76" t="e">
        <f>SUMIFS(#REF!,#REF!,$B187,#REF!,I$1)</f>
        <v>#REF!</v>
      </c>
      <c r="J187" s="76" t="e">
        <f>SUMIFS(#REF!,#REF!,$B187,#REF!,J$1)</f>
        <v>#REF!</v>
      </c>
      <c r="K187" s="76" t="e">
        <f>SUMIFS(#REF!,#REF!,$B187,#REF!,K$1)</f>
        <v>#REF!</v>
      </c>
      <c r="L187" s="76" t="e">
        <f>SUMIFS(#REF!,#REF!,$B187,#REF!,L$1)</f>
        <v>#REF!</v>
      </c>
      <c r="M187" s="76" t="e">
        <f>SUMIFS(#REF!,#REF!,$B187,#REF!,M$1)</f>
        <v>#REF!</v>
      </c>
      <c r="N187" s="76" t="e">
        <f>SUMIFS(#REF!,#REF!,$B187,#REF!,N$1)</f>
        <v>#REF!</v>
      </c>
      <c r="O187" s="76" t="e">
        <f>SUMIFS(#REF!,#REF!,$B187,#REF!,O$1)</f>
        <v>#REF!</v>
      </c>
      <c r="P187" s="76" t="e">
        <f>SUMIFS(#REF!,#REF!,$B187,#REF!,P$1)</f>
        <v>#REF!</v>
      </c>
      <c r="Q187" s="76" t="e">
        <f>SUMIFS(#REF!,#REF!,$B187,#REF!,Q$1)</f>
        <v>#REF!</v>
      </c>
      <c r="R187" s="76" t="e">
        <f>SUMIFS(#REF!,#REF!,$B187,#REF!,R$1)</f>
        <v>#REF!</v>
      </c>
      <c r="S187" s="76" t="e">
        <f>SUMIFS(#REF!,#REF!,$B187,#REF!,S$1)</f>
        <v>#REF!</v>
      </c>
      <c r="T187" s="76" t="e">
        <f>SUMIFS(#REF!,#REF!,$B187,#REF!,T$1)</f>
        <v>#REF!</v>
      </c>
      <c r="U187" s="76" t="e">
        <f>SUMIFS(#REF!,#REF!,$B187,#REF!,U$1)</f>
        <v>#REF!</v>
      </c>
      <c r="V187" s="76" t="e">
        <f>SUMIFS(#REF!,#REF!,$B187,#REF!,V$1)</f>
        <v>#REF!</v>
      </c>
      <c r="W187" s="76" t="e">
        <f>SUMIFS(#REF!,#REF!,$B187,#REF!,W$1)</f>
        <v>#REF!</v>
      </c>
      <c r="X187" s="76" t="e">
        <f>SUMIFS(#REF!,#REF!,$B187,#REF!,X$1)</f>
        <v>#REF!</v>
      </c>
      <c r="Y187" s="76" t="e">
        <f>SUMIFS(#REF!,#REF!,$B187,#REF!,Y$1)</f>
        <v>#REF!</v>
      </c>
      <c r="Z187" s="76" t="e">
        <f>SUMIFS(#REF!,#REF!,$B187,#REF!,Z$1)</f>
        <v>#REF!</v>
      </c>
      <c r="AA187" s="76" t="e">
        <f>SUMIFS(#REF!,#REF!,$B187,#REF!,AA$1)</f>
        <v>#REF!</v>
      </c>
      <c r="AB187" s="76" t="e">
        <f>SUMIFS(#REF!,#REF!,$B187,#REF!,AB$1)</f>
        <v>#REF!</v>
      </c>
      <c r="AC187" s="76" t="e">
        <f>SUMIFS(#REF!,#REF!,$B187,#REF!,AC$1)</f>
        <v>#REF!</v>
      </c>
      <c r="AD187" s="76" t="e">
        <f>SUMIFS(#REF!,#REF!,$B187,#REF!,AD$1)</f>
        <v>#REF!</v>
      </c>
      <c r="AE187" s="76" t="e">
        <f>SUMIFS(#REF!,#REF!,$B187,#REF!,AE$1)</f>
        <v>#REF!</v>
      </c>
      <c r="AF187" s="76" t="e">
        <f>SUMIFS(#REF!,#REF!,$B187,#REF!,AF$1)</f>
        <v>#REF!</v>
      </c>
      <c r="AG187" s="76" t="e">
        <f>SUMIFS(#REF!,#REF!,$B187,#REF!,AG$1)</f>
        <v>#REF!</v>
      </c>
      <c r="AH187" s="76" t="e">
        <f>SUMIFS(#REF!,#REF!,$B187,#REF!,AH$1)</f>
        <v>#REF!</v>
      </c>
      <c r="AI187" s="82"/>
    </row>
    <row r="188" spans="2:35" ht="15" hidden="1" customHeight="1" x14ac:dyDescent="0.25">
      <c r="B188" s="84"/>
      <c r="C188" s="83"/>
      <c r="D188" s="76" t="e">
        <f>SUMIFS(#REF!,#REF!,$B188,#REF!,D$1)</f>
        <v>#REF!</v>
      </c>
      <c r="E188" s="76" t="e">
        <f>SUMIFS(#REF!,#REF!,$B188,#REF!,E$1)</f>
        <v>#REF!</v>
      </c>
      <c r="F188" s="76" t="e">
        <f>SUMIFS(#REF!,#REF!,$B188,#REF!,F$1)</f>
        <v>#REF!</v>
      </c>
      <c r="G188" s="76" t="e">
        <f>SUMIFS(#REF!,#REF!,$B188,#REF!,G$1)</f>
        <v>#REF!</v>
      </c>
      <c r="H188" s="76" t="e">
        <f>SUMIFS(#REF!,#REF!,$B188,#REF!,H$1)</f>
        <v>#REF!</v>
      </c>
      <c r="I188" s="76" t="e">
        <f>SUMIFS(#REF!,#REF!,$B188,#REF!,I$1)</f>
        <v>#REF!</v>
      </c>
      <c r="J188" s="76" t="e">
        <f>SUMIFS(#REF!,#REF!,$B188,#REF!,J$1)</f>
        <v>#REF!</v>
      </c>
      <c r="K188" s="76" t="e">
        <f>SUMIFS(#REF!,#REF!,$B188,#REF!,K$1)</f>
        <v>#REF!</v>
      </c>
      <c r="L188" s="76" t="e">
        <f>SUMIFS(#REF!,#REF!,$B188,#REF!,L$1)</f>
        <v>#REF!</v>
      </c>
      <c r="M188" s="76" t="e">
        <f>SUMIFS(#REF!,#REF!,$B188,#REF!,M$1)</f>
        <v>#REF!</v>
      </c>
      <c r="N188" s="76" t="e">
        <f>SUMIFS(#REF!,#REF!,$B188,#REF!,N$1)</f>
        <v>#REF!</v>
      </c>
      <c r="O188" s="76" t="e">
        <f>SUMIFS(#REF!,#REF!,$B188,#REF!,O$1)</f>
        <v>#REF!</v>
      </c>
      <c r="P188" s="76" t="e">
        <f>SUMIFS(#REF!,#REF!,$B188,#REF!,P$1)</f>
        <v>#REF!</v>
      </c>
      <c r="Q188" s="76" t="e">
        <f>SUMIFS(#REF!,#REF!,$B188,#REF!,Q$1)</f>
        <v>#REF!</v>
      </c>
      <c r="R188" s="76" t="e">
        <f>SUMIFS(#REF!,#REF!,$B188,#REF!,R$1)</f>
        <v>#REF!</v>
      </c>
      <c r="S188" s="76" t="e">
        <f>SUMIFS(#REF!,#REF!,$B188,#REF!,S$1)</f>
        <v>#REF!</v>
      </c>
      <c r="T188" s="76" t="e">
        <f>SUMIFS(#REF!,#REF!,$B188,#REF!,T$1)</f>
        <v>#REF!</v>
      </c>
      <c r="U188" s="76" t="e">
        <f>SUMIFS(#REF!,#REF!,$B188,#REF!,U$1)</f>
        <v>#REF!</v>
      </c>
      <c r="V188" s="76" t="e">
        <f>SUMIFS(#REF!,#REF!,$B188,#REF!,V$1)</f>
        <v>#REF!</v>
      </c>
      <c r="W188" s="76" t="e">
        <f>SUMIFS(#REF!,#REF!,$B188,#REF!,W$1)</f>
        <v>#REF!</v>
      </c>
      <c r="X188" s="76" t="e">
        <f>SUMIFS(#REF!,#REF!,$B188,#REF!,X$1)</f>
        <v>#REF!</v>
      </c>
      <c r="Y188" s="76" t="e">
        <f>SUMIFS(#REF!,#REF!,$B188,#REF!,Y$1)</f>
        <v>#REF!</v>
      </c>
      <c r="Z188" s="76" t="e">
        <f>SUMIFS(#REF!,#REF!,$B188,#REF!,Z$1)</f>
        <v>#REF!</v>
      </c>
      <c r="AA188" s="76" t="e">
        <f>SUMIFS(#REF!,#REF!,$B188,#REF!,AA$1)</f>
        <v>#REF!</v>
      </c>
      <c r="AB188" s="76" t="e">
        <f>SUMIFS(#REF!,#REF!,$B188,#REF!,AB$1)</f>
        <v>#REF!</v>
      </c>
      <c r="AC188" s="76" t="e">
        <f>SUMIFS(#REF!,#REF!,$B188,#REF!,AC$1)</f>
        <v>#REF!</v>
      </c>
      <c r="AD188" s="76" t="e">
        <f>SUMIFS(#REF!,#REF!,$B188,#REF!,AD$1)</f>
        <v>#REF!</v>
      </c>
      <c r="AE188" s="76" t="e">
        <f>SUMIFS(#REF!,#REF!,$B188,#REF!,AE$1)</f>
        <v>#REF!</v>
      </c>
      <c r="AF188" s="76" t="e">
        <f>SUMIFS(#REF!,#REF!,$B188,#REF!,AF$1)</f>
        <v>#REF!</v>
      </c>
      <c r="AG188" s="76" t="e">
        <f>SUMIFS(#REF!,#REF!,$B188,#REF!,AG$1)</f>
        <v>#REF!</v>
      </c>
      <c r="AH188" s="76" t="e">
        <f>SUMIFS(#REF!,#REF!,$B188,#REF!,AH$1)</f>
        <v>#REF!</v>
      </c>
      <c r="AI188" s="82"/>
    </row>
    <row r="189" spans="2:35" ht="15" hidden="1" customHeight="1" x14ac:dyDescent="0.25">
      <c r="B189" s="84"/>
      <c r="C189" s="83"/>
      <c r="D189" s="76" t="e">
        <f>SUMIFS(#REF!,#REF!,$B189,#REF!,D$1)</f>
        <v>#REF!</v>
      </c>
      <c r="E189" s="76" t="e">
        <f>SUMIFS(#REF!,#REF!,$B189,#REF!,E$1)</f>
        <v>#REF!</v>
      </c>
      <c r="F189" s="76" t="e">
        <f>SUMIFS(#REF!,#REF!,$B189,#REF!,F$1)</f>
        <v>#REF!</v>
      </c>
      <c r="G189" s="76" t="e">
        <f>SUMIFS(#REF!,#REF!,$B189,#REF!,G$1)</f>
        <v>#REF!</v>
      </c>
      <c r="H189" s="76" t="e">
        <f>SUMIFS(#REF!,#REF!,$B189,#REF!,H$1)</f>
        <v>#REF!</v>
      </c>
      <c r="I189" s="76" t="e">
        <f>SUMIFS(#REF!,#REF!,$B189,#REF!,I$1)</f>
        <v>#REF!</v>
      </c>
      <c r="J189" s="76" t="e">
        <f>SUMIFS(#REF!,#REF!,$B189,#REF!,J$1)</f>
        <v>#REF!</v>
      </c>
      <c r="K189" s="76" t="e">
        <f>SUMIFS(#REF!,#REF!,$B189,#REF!,K$1)</f>
        <v>#REF!</v>
      </c>
      <c r="L189" s="76" t="e">
        <f>SUMIFS(#REF!,#REF!,$B189,#REF!,L$1)</f>
        <v>#REF!</v>
      </c>
      <c r="M189" s="76" t="e">
        <f>SUMIFS(#REF!,#REF!,$B189,#REF!,M$1)</f>
        <v>#REF!</v>
      </c>
      <c r="N189" s="76" t="e">
        <f>SUMIFS(#REF!,#REF!,$B189,#REF!,N$1)</f>
        <v>#REF!</v>
      </c>
      <c r="O189" s="76" t="e">
        <f>SUMIFS(#REF!,#REF!,$B189,#REF!,O$1)</f>
        <v>#REF!</v>
      </c>
      <c r="P189" s="76" t="e">
        <f>SUMIFS(#REF!,#REF!,$B189,#REF!,P$1)</f>
        <v>#REF!</v>
      </c>
      <c r="Q189" s="76" t="e">
        <f>SUMIFS(#REF!,#REF!,$B189,#REF!,Q$1)</f>
        <v>#REF!</v>
      </c>
      <c r="R189" s="76" t="e">
        <f>SUMIFS(#REF!,#REF!,$B189,#REF!,R$1)</f>
        <v>#REF!</v>
      </c>
      <c r="S189" s="76" t="e">
        <f>SUMIFS(#REF!,#REF!,$B189,#REF!,S$1)</f>
        <v>#REF!</v>
      </c>
      <c r="T189" s="76" t="e">
        <f>SUMIFS(#REF!,#REF!,$B189,#REF!,T$1)</f>
        <v>#REF!</v>
      </c>
      <c r="U189" s="76" t="e">
        <f>SUMIFS(#REF!,#REF!,$B189,#REF!,U$1)</f>
        <v>#REF!</v>
      </c>
      <c r="V189" s="76" t="e">
        <f>SUMIFS(#REF!,#REF!,$B189,#REF!,V$1)</f>
        <v>#REF!</v>
      </c>
      <c r="W189" s="76" t="e">
        <f>SUMIFS(#REF!,#REF!,$B189,#REF!,W$1)</f>
        <v>#REF!</v>
      </c>
      <c r="X189" s="76" t="e">
        <f>SUMIFS(#REF!,#REF!,$B189,#REF!,X$1)</f>
        <v>#REF!</v>
      </c>
      <c r="Y189" s="76" t="e">
        <f>SUMIFS(#REF!,#REF!,$B189,#REF!,Y$1)</f>
        <v>#REF!</v>
      </c>
      <c r="Z189" s="76" t="e">
        <f>SUMIFS(#REF!,#REF!,$B189,#REF!,Z$1)</f>
        <v>#REF!</v>
      </c>
      <c r="AA189" s="76" t="e">
        <f>SUMIFS(#REF!,#REF!,$B189,#REF!,AA$1)</f>
        <v>#REF!</v>
      </c>
      <c r="AB189" s="76" t="e">
        <f>SUMIFS(#REF!,#REF!,$B189,#REF!,AB$1)</f>
        <v>#REF!</v>
      </c>
      <c r="AC189" s="76" t="e">
        <f>SUMIFS(#REF!,#REF!,$B189,#REF!,AC$1)</f>
        <v>#REF!</v>
      </c>
      <c r="AD189" s="76" t="e">
        <f>SUMIFS(#REF!,#REF!,$B189,#REF!,AD$1)</f>
        <v>#REF!</v>
      </c>
      <c r="AE189" s="76" t="e">
        <f>SUMIFS(#REF!,#REF!,$B189,#REF!,AE$1)</f>
        <v>#REF!</v>
      </c>
      <c r="AF189" s="76" t="e">
        <f>SUMIFS(#REF!,#REF!,$B189,#REF!,AF$1)</f>
        <v>#REF!</v>
      </c>
      <c r="AG189" s="76" t="e">
        <f>SUMIFS(#REF!,#REF!,$B189,#REF!,AG$1)</f>
        <v>#REF!</v>
      </c>
      <c r="AH189" s="76" t="e">
        <f>SUMIFS(#REF!,#REF!,$B189,#REF!,AH$1)</f>
        <v>#REF!</v>
      </c>
      <c r="AI189" s="82"/>
    </row>
    <row r="190" spans="2:35" ht="15" hidden="1" customHeight="1" x14ac:dyDescent="0.25">
      <c r="B190" s="84"/>
      <c r="C190" s="83"/>
      <c r="D190" s="76" t="e">
        <f>SUMIFS(#REF!,#REF!,$B190,#REF!,D$1)</f>
        <v>#REF!</v>
      </c>
      <c r="E190" s="76" t="e">
        <f>SUMIFS(#REF!,#REF!,$B190,#REF!,E$1)</f>
        <v>#REF!</v>
      </c>
      <c r="F190" s="76" t="e">
        <f>SUMIFS(#REF!,#REF!,$B190,#REF!,F$1)</f>
        <v>#REF!</v>
      </c>
      <c r="G190" s="76" t="e">
        <f>SUMIFS(#REF!,#REF!,$B190,#REF!,G$1)</f>
        <v>#REF!</v>
      </c>
      <c r="H190" s="76" t="e">
        <f>SUMIFS(#REF!,#REF!,$B190,#REF!,H$1)</f>
        <v>#REF!</v>
      </c>
      <c r="I190" s="76" t="e">
        <f>SUMIFS(#REF!,#REF!,$B190,#REF!,I$1)</f>
        <v>#REF!</v>
      </c>
      <c r="J190" s="76" t="e">
        <f>SUMIFS(#REF!,#REF!,$B190,#REF!,J$1)</f>
        <v>#REF!</v>
      </c>
      <c r="K190" s="76" t="e">
        <f>SUMIFS(#REF!,#REF!,$B190,#REF!,K$1)</f>
        <v>#REF!</v>
      </c>
      <c r="L190" s="76" t="e">
        <f>SUMIFS(#REF!,#REF!,$B190,#REF!,L$1)</f>
        <v>#REF!</v>
      </c>
      <c r="M190" s="76" t="e">
        <f>SUMIFS(#REF!,#REF!,$B190,#REF!,M$1)</f>
        <v>#REF!</v>
      </c>
      <c r="N190" s="76" t="e">
        <f>SUMIFS(#REF!,#REF!,$B190,#REF!,N$1)</f>
        <v>#REF!</v>
      </c>
      <c r="O190" s="76" t="e">
        <f>SUMIFS(#REF!,#REF!,$B190,#REF!,O$1)</f>
        <v>#REF!</v>
      </c>
      <c r="P190" s="76" t="e">
        <f>SUMIFS(#REF!,#REF!,$B190,#REF!,P$1)</f>
        <v>#REF!</v>
      </c>
      <c r="Q190" s="76" t="e">
        <f>SUMIFS(#REF!,#REF!,$B190,#REF!,Q$1)</f>
        <v>#REF!</v>
      </c>
      <c r="R190" s="76" t="e">
        <f>SUMIFS(#REF!,#REF!,$B190,#REF!,R$1)</f>
        <v>#REF!</v>
      </c>
      <c r="S190" s="76" t="e">
        <f>SUMIFS(#REF!,#REF!,$B190,#REF!,S$1)</f>
        <v>#REF!</v>
      </c>
      <c r="T190" s="76" t="e">
        <f>SUMIFS(#REF!,#REF!,$B190,#REF!,T$1)</f>
        <v>#REF!</v>
      </c>
      <c r="U190" s="76" t="e">
        <f>SUMIFS(#REF!,#REF!,$B190,#REF!,U$1)</f>
        <v>#REF!</v>
      </c>
      <c r="V190" s="76" t="e">
        <f>SUMIFS(#REF!,#REF!,$B190,#REF!,V$1)</f>
        <v>#REF!</v>
      </c>
      <c r="W190" s="76" t="e">
        <f>SUMIFS(#REF!,#REF!,$B190,#REF!,W$1)</f>
        <v>#REF!</v>
      </c>
      <c r="X190" s="76" t="e">
        <f>SUMIFS(#REF!,#REF!,$B190,#REF!,X$1)</f>
        <v>#REF!</v>
      </c>
      <c r="Y190" s="76" t="e">
        <f>SUMIFS(#REF!,#REF!,$B190,#REF!,Y$1)</f>
        <v>#REF!</v>
      </c>
      <c r="Z190" s="76" t="e">
        <f>SUMIFS(#REF!,#REF!,$B190,#REF!,Z$1)</f>
        <v>#REF!</v>
      </c>
      <c r="AA190" s="76" t="e">
        <f>SUMIFS(#REF!,#REF!,$B190,#REF!,AA$1)</f>
        <v>#REF!</v>
      </c>
      <c r="AB190" s="76" t="e">
        <f>SUMIFS(#REF!,#REF!,$B190,#REF!,AB$1)</f>
        <v>#REF!</v>
      </c>
      <c r="AC190" s="76" t="e">
        <f>SUMIFS(#REF!,#REF!,$B190,#REF!,AC$1)</f>
        <v>#REF!</v>
      </c>
      <c r="AD190" s="76" t="e">
        <f>SUMIFS(#REF!,#REF!,$B190,#REF!,AD$1)</f>
        <v>#REF!</v>
      </c>
      <c r="AE190" s="76" t="e">
        <f>SUMIFS(#REF!,#REF!,$B190,#REF!,AE$1)</f>
        <v>#REF!</v>
      </c>
      <c r="AF190" s="76" t="e">
        <f>SUMIFS(#REF!,#REF!,$B190,#REF!,AF$1)</f>
        <v>#REF!</v>
      </c>
      <c r="AG190" s="76" t="e">
        <f>SUMIFS(#REF!,#REF!,$B190,#REF!,AG$1)</f>
        <v>#REF!</v>
      </c>
      <c r="AH190" s="76" t="e">
        <f>SUMIFS(#REF!,#REF!,$B190,#REF!,AH$1)</f>
        <v>#REF!</v>
      </c>
      <c r="AI190" s="82"/>
    </row>
    <row r="191" spans="2:35" ht="15" hidden="1" customHeight="1" x14ac:dyDescent="0.25">
      <c r="B191" s="84"/>
      <c r="C191" s="83"/>
      <c r="D191" s="76" t="e">
        <f>SUMIFS(#REF!,#REF!,$B191,#REF!,D$1)</f>
        <v>#REF!</v>
      </c>
      <c r="E191" s="76" t="e">
        <f>SUMIFS(#REF!,#REF!,$B191,#REF!,E$1)</f>
        <v>#REF!</v>
      </c>
      <c r="F191" s="76" t="e">
        <f>SUMIFS(#REF!,#REF!,$B191,#REF!,F$1)</f>
        <v>#REF!</v>
      </c>
      <c r="G191" s="76" t="e">
        <f>SUMIFS(#REF!,#REF!,$B191,#REF!,G$1)</f>
        <v>#REF!</v>
      </c>
      <c r="H191" s="76" t="e">
        <f>SUMIFS(#REF!,#REF!,$B191,#REF!,H$1)</f>
        <v>#REF!</v>
      </c>
      <c r="I191" s="76" t="e">
        <f>SUMIFS(#REF!,#REF!,$B191,#REF!,I$1)</f>
        <v>#REF!</v>
      </c>
      <c r="J191" s="76" t="e">
        <f>SUMIFS(#REF!,#REF!,$B191,#REF!,J$1)</f>
        <v>#REF!</v>
      </c>
      <c r="K191" s="76" t="e">
        <f>SUMIFS(#REF!,#REF!,$B191,#REF!,K$1)</f>
        <v>#REF!</v>
      </c>
      <c r="L191" s="76" t="e">
        <f>SUMIFS(#REF!,#REF!,$B191,#REF!,L$1)</f>
        <v>#REF!</v>
      </c>
      <c r="M191" s="76" t="e">
        <f>SUMIFS(#REF!,#REF!,$B191,#REF!,M$1)</f>
        <v>#REF!</v>
      </c>
      <c r="N191" s="76" t="e">
        <f>SUMIFS(#REF!,#REF!,$B191,#REF!,N$1)</f>
        <v>#REF!</v>
      </c>
      <c r="O191" s="76" t="e">
        <f>SUMIFS(#REF!,#REF!,$B191,#REF!,O$1)</f>
        <v>#REF!</v>
      </c>
      <c r="P191" s="76" t="e">
        <f>SUMIFS(#REF!,#REF!,$B191,#REF!,P$1)</f>
        <v>#REF!</v>
      </c>
      <c r="Q191" s="76" t="e">
        <f>SUMIFS(#REF!,#REF!,$B191,#REF!,Q$1)</f>
        <v>#REF!</v>
      </c>
      <c r="R191" s="76" t="e">
        <f>SUMIFS(#REF!,#REF!,$B191,#REF!,R$1)</f>
        <v>#REF!</v>
      </c>
      <c r="S191" s="76" t="e">
        <f>SUMIFS(#REF!,#REF!,$B191,#REF!,S$1)</f>
        <v>#REF!</v>
      </c>
      <c r="T191" s="76" t="e">
        <f>SUMIFS(#REF!,#REF!,$B191,#REF!,T$1)</f>
        <v>#REF!</v>
      </c>
      <c r="U191" s="76" t="e">
        <f>SUMIFS(#REF!,#REF!,$B191,#REF!,U$1)</f>
        <v>#REF!</v>
      </c>
      <c r="V191" s="76" t="e">
        <f>SUMIFS(#REF!,#REF!,$B191,#REF!,V$1)</f>
        <v>#REF!</v>
      </c>
      <c r="W191" s="76" t="e">
        <f>SUMIFS(#REF!,#REF!,$B191,#REF!,W$1)</f>
        <v>#REF!</v>
      </c>
      <c r="X191" s="76" t="e">
        <f>SUMIFS(#REF!,#REF!,$B191,#REF!,X$1)</f>
        <v>#REF!</v>
      </c>
      <c r="Y191" s="76" t="e">
        <f>SUMIFS(#REF!,#REF!,$B191,#REF!,Y$1)</f>
        <v>#REF!</v>
      </c>
      <c r="Z191" s="76" t="e">
        <f>SUMIFS(#REF!,#REF!,$B191,#REF!,Z$1)</f>
        <v>#REF!</v>
      </c>
      <c r="AA191" s="76" t="e">
        <f>SUMIFS(#REF!,#REF!,$B191,#REF!,AA$1)</f>
        <v>#REF!</v>
      </c>
      <c r="AB191" s="76" t="e">
        <f>SUMIFS(#REF!,#REF!,$B191,#REF!,AB$1)</f>
        <v>#REF!</v>
      </c>
      <c r="AC191" s="76" t="e">
        <f>SUMIFS(#REF!,#REF!,$B191,#REF!,AC$1)</f>
        <v>#REF!</v>
      </c>
      <c r="AD191" s="76" t="e">
        <f>SUMIFS(#REF!,#REF!,$B191,#REF!,AD$1)</f>
        <v>#REF!</v>
      </c>
      <c r="AE191" s="76" t="e">
        <f>SUMIFS(#REF!,#REF!,$B191,#REF!,AE$1)</f>
        <v>#REF!</v>
      </c>
      <c r="AF191" s="76" t="e">
        <f>SUMIFS(#REF!,#REF!,$B191,#REF!,AF$1)</f>
        <v>#REF!</v>
      </c>
      <c r="AG191" s="76" t="e">
        <f>SUMIFS(#REF!,#REF!,$B191,#REF!,AG$1)</f>
        <v>#REF!</v>
      </c>
      <c r="AH191" s="76" t="e">
        <f>SUMIFS(#REF!,#REF!,$B191,#REF!,AH$1)</f>
        <v>#REF!</v>
      </c>
      <c r="AI191" s="82"/>
    </row>
    <row r="192" spans="2:35" ht="15" hidden="1" customHeight="1" x14ac:dyDescent="0.25">
      <c r="B192" s="84"/>
      <c r="C192" s="83"/>
      <c r="D192" s="76" t="e">
        <f>SUMIFS(#REF!,#REF!,$B192,#REF!,D$1)</f>
        <v>#REF!</v>
      </c>
      <c r="E192" s="76" t="e">
        <f>SUMIFS(#REF!,#REF!,$B192,#REF!,E$1)</f>
        <v>#REF!</v>
      </c>
      <c r="F192" s="76" t="e">
        <f>SUMIFS(#REF!,#REF!,$B192,#REF!,F$1)</f>
        <v>#REF!</v>
      </c>
      <c r="G192" s="76" t="e">
        <f>SUMIFS(#REF!,#REF!,$B192,#REF!,G$1)</f>
        <v>#REF!</v>
      </c>
      <c r="H192" s="76" t="e">
        <f>SUMIFS(#REF!,#REF!,$B192,#REF!,H$1)</f>
        <v>#REF!</v>
      </c>
      <c r="I192" s="76" t="e">
        <f>SUMIFS(#REF!,#REF!,$B192,#REF!,I$1)</f>
        <v>#REF!</v>
      </c>
      <c r="J192" s="76" t="e">
        <f>SUMIFS(#REF!,#REF!,$B192,#REF!,J$1)</f>
        <v>#REF!</v>
      </c>
      <c r="K192" s="76" t="e">
        <f>SUMIFS(#REF!,#REF!,$B192,#REF!,K$1)</f>
        <v>#REF!</v>
      </c>
      <c r="L192" s="76" t="e">
        <f>SUMIFS(#REF!,#REF!,$B192,#REF!,L$1)</f>
        <v>#REF!</v>
      </c>
      <c r="M192" s="76" t="e">
        <f>SUMIFS(#REF!,#REF!,$B192,#REF!,M$1)</f>
        <v>#REF!</v>
      </c>
      <c r="N192" s="76" t="e">
        <f>SUMIFS(#REF!,#REF!,$B192,#REF!,N$1)</f>
        <v>#REF!</v>
      </c>
      <c r="O192" s="76" t="e">
        <f>SUMIFS(#REF!,#REF!,$B192,#REF!,O$1)</f>
        <v>#REF!</v>
      </c>
      <c r="P192" s="76" t="e">
        <f>SUMIFS(#REF!,#REF!,$B192,#REF!,P$1)</f>
        <v>#REF!</v>
      </c>
      <c r="Q192" s="76" t="e">
        <f>SUMIFS(#REF!,#REF!,$B192,#REF!,Q$1)</f>
        <v>#REF!</v>
      </c>
      <c r="R192" s="76" t="e">
        <f>SUMIFS(#REF!,#REF!,$B192,#REF!,R$1)</f>
        <v>#REF!</v>
      </c>
      <c r="S192" s="76" t="e">
        <f>SUMIFS(#REF!,#REF!,$B192,#REF!,S$1)</f>
        <v>#REF!</v>
      </c>
      <c r="T192" s="76" t="e">
        <f>SUMIFS(#REF!,#REF!,$B192,#REF!,T$1)</f>
        <v>#REF!</v>
      </c>
      <c r="U192" s="76" t="e">
        <f>SUMIFS(#REF!,#REF!,$B192,#REF!,U$1)</f>
        <v>#REF!</v>
      </c>
      <c r="V192" s="76" t="e">
        <f>SUMIFS(#REF!,#REF!,$B192,#REF!,V$1)</f>
        <v>#REF!</v>
      </c>
      <c r="W192" s="76" t="e">
        <f>SUMIFS(#REF!,#REF!,$B192,#REF!,W$1)</f>
        <v>#REF!</v>
      </c>
      <c r="X192" s="76" t="e">
        <f>SUMIFS(#REF!,#REF!,$B192,#REF!,X$1)</f>
        <v>#REF!</v>
      </c>
      <c r="Y192" s="76" t="e">
        <f>SUMIFS(#REF!,#REF!,$B192,#REF!,Y$1)</f>
        <v>#REF!</v>
      </c>
      <c r="Z192" s="76" t="e">
        <f>SUMIFS(#REF!,#REF!,$B192,#REF!,Z$1)</f>
        <v>#REF!</v>
      </c>
      <c r="AA192" s="76" t="e">
        <f>SUMIFS(#REF!,#REF!,$B192,#REF!,AA$1)</f>
        <v>#REF!</v>
      </c>
      <c r="AB192" s="76" t="e">
        <f>SUMIFS(#REF!,#REF!,$B192,#REF!,AB$1)</f>
        <v>#REF!</v>
      </c>
      <c r="AC192" s="76" t="e">
        <f>SUMIFS(#REF!,#REF!,$B192,#REF!,AC$1)</f>
        <v>#REF!</v>
      </c>
      <c r="AD192" s="76" t="e">
        <f>SUMIFS(#REF!,#REF!,$B192,#REF!,AD$1)</f>
        <v>#REF!</v>
      </c>
      <c r="AE192" s="76" t="e">
        <f>SUMIFS(#REF!,#REF!,$B192,#REF!,AE$1)</f>
        <v>#REF!</v>
      </c>
      <c r="AF192" s="76" t="e">
        <f>SUMIFS(#REF!,#REF!,$B192,#REF!,AF$1)</f>
        <v>#REF!</v>
      </c>
      <c r="AG192" s="76" t="e">
        <f>SUMIFS(#REF!,#REF!,$B192,#REF!,AG$1)</f>
        <v>#REF!</v>
      </c>
      <c r="AH192" s="76" t="e">
        <f>SUMIFS(#REF!,#REF!,$B192,#REF!,AH$1)</f>
        <v>#REF!</v>
      </c>
      <c r="AI192" s="82"/>
    </row>
    <row r="193" spans="2:35" ht="15" hidden="1" customHeight="1" x14ac:dyDescent="0.25">
      <c r="B193" s="84"/>
      <c r="C193" s="83"/>
      <c r="D193" s="76" t="e">
        <f>SUMIFS(#REF!,#REF!,$B193,#REF!,D$1)</f>
        <v>#REF!</v>
      </c>
      <c r="E193" s="76" t="e">
        <f>SUMIFS(#REF!,#REF!,$B193,#REF!,E$1)</f>
        <v>#REF!</v>
      </c>
      <c r="F193" s="76" t="e">
        <f>SUMIFS(#REF!,#REF!,$B193,#REF!,F$1)</f>
        <v>#REF!</v>
      </c>
      <c r="G193" s="76" t="e">
        <f>SUMIFS(#REF!,#REF!,$B193,#REF!,G$1)</f>
        <v>#REF!</v>
      </c>
      <c r="H193" s="76" t="e">
        <f>SUMIFS(#REF!,#REF!,$B193,#REF!,H$1)</f>
        <v>#REF!</v>
      </c>
      <c r="I193" s="76" t="e">
        <f>SUMIFS(#REF!,#REF!,$B193,#REF!,I$1)</f>
        <v>#REF!</v>
      </c>
      <c r="J193" s="76" t="e">
        <f>SUMIFS(#REF!,#REF!,$B193,#REF!,J$1)</f>
        <v>#REF!</v>
      </c>
      <c r="K193" s="76" t="e">
        <f>SUMIFS(#REF!,#REF!,$B193,#REF!,K$1)</f>
        <v>#REF!</v>
      </c>
      <c r="L193" s="76" t="e">
        <f>SUMIFS(#REF!,#REF!,$B193,#REF!,L$1)</f>
        <v>#REF!</v>
      </c>
      <c r="M193" s="76" t="e">
        <f>SUMIFS(#REF!,#REF!,$B193,#REF!,M$1)</f>
        <v>#REF!</v>
      </c>
      <c r="N193" s="76" t="e">
        <f>SUMIFS(#REF!,#REF!,$B193,#REF!,N$1)</f>
        <v>#REF!</v>
      </c>
      <c r="O193" s="76" t="e">
        <f>SUMIFS(#REF!,#REF!,$B193,#REF!,O$1)</f>
        <v>#REF!</v>
      </c>
      <c r="P193" s="76" t="e">
        <f>SUMIFS(#REF!,#REF!,$B193,#REF!,P$1)</f>
        <v>#REF!</v>
      </c>
      <c r="Q193" s="76" t="e">
        <f>SUMIFS(#REF!,#REF!,$B193,#REF!,Q$1)</f>
        <v>#REF!</v>
      </c>
      <c r="R193" s="76" t="e">
        <f>SUMIFS(#REF!,#REF!,$B193,#REF!,R$1)</f>
        <v>#REF!</v>
      </c>
      <c r="S193" s="76" t="e">
        <f>SUMIFS(#REF!,#REF!,$B193,#REF!,S$1)</f>
        <v>#REF!</v>
      </c>
      <c r="T193" s="76" t="e">
        <f>SUMIFS(#REF!,#REF!,$B193,#REF!,T$1)</f>
        <v>#REF!</v>
      </c>
      <c r="U193" s="76" t="e">
        <f>SUMIFS(#REF!,#REF!,$B193,#REF!,U$1)</f>
        <v>#REF!</v>
      </c>
      <c r="V193" s="76" t="e">
        <f>SUMIFS(#REF!,#REF!,$B193,#REF!,V$1)</f>
        <v>#REF!</v>
      </c>
      <c r="W193" s="76" t="e">
        <f>SUMIFS(#REF!,#REF!,$B193,#REF!,W$1)</f>
        <v>#REF!</v>
      </c>
      <c r="X193" s="76" t="e">
        <f>SUMIFS(#REF!,#REF!,$B193,#REF!,X$1)</f>
        <v>#REF!</v>
      </c>
      <c r="Y193" s="76" t="e">
        <f>SUMIFS(#REF!,#REF!,$B193,#REF!,Y$1)</f>
        <v>#REF!</v>
      </c>
      <c r="Z193" s="76" t="e">
        <f>SUMIFS(#REF!,#REF!,$B193,#REF!,Z$1)</f>
        <v>#REF!</v>
      </c>
      <c r="AA193" s="76" t="e">
        <f>SUMIFS(#REF!,#REF!,$B193,#REF!,AA$1)</f>
        <v>#REF!</v>
      </c>
      <c r="AB193" s="76" t="e">
        <f>SUMIFS(#REF!,#REF!,$B193,#REF!,AB$1)</f>
        <v>#REF!</v>
      </c>
      <c r="AC193" s="76" t="e">
        <f>SUMIFS(#REF!,#REF!,$B193,#REF!,AC$1)</f>
        <v>#REF!</v>
      </c>
      <c r="AD193" s="76" t="e">
        <f>SUMIFS(#REF!,#REF!,$B193,#REF!,AD$1)</f>
        <v>#REF!</v>
      </c>
      <c r="AE193" s="76" t="e">
        <f>SUMIFS(#REF!,#REF!,$B193,#REF!,AE$1)</f>
        <v>#REF!</v>
      </c>
      <c r="AF193" s="76" t="e">
        <f>SUMIFS(#REF!,#REF!,$B193,#REF!,AF$1)</f>
        <v>#REF!</v>
      </c>
      <c r="AG193" s="76" t="e">
        <f>SUMIFS(#REF!,#REF!,$B193,#REF!,AG$1)</f>
        <v>#REF!</v>
      </c>
      <c r="AH193" s="76" t="e">
        <f>SUMIFS(#REF!,#REF!,$B193,#REF!,AH$1)</f>
        <v>#REF!</v>
      </c>
      <c r="AI193" s="82"/>
    </row>
    <row r="194" spans="2:35" ht="15" hidden="1" customHeight="1" x14ac:dyDescent="0.25">
      <c r="B194" s="84"/>
      <c r="C194" s="83"/>
      <c r="D194" s="76" t="e">
        <f>SUMIFS(#REF!,#REF!,$B194,#REF!,D$1)</f>
        <v>#REF!</v>
      </c>
      <c r="E194" s="76" t="e">
        <f>SUMIFS(#REF!,#REF!,$B194,#REF!,E$1)</f>
        <v>#REF!</v>
      </c>
      <c r="F194" s="76" t="e">
        <f>SUMIFS(#REF!,#REF!,$B194,#REF!,F$1)</f>
        <v>#REF!</v>
      </c>
      <c r="G194" s="76" t="e">
        <f>SUMIFS(#REF!,#REF!,$B194,#REF!,G$1)</f>
        <v>#REF!</v>
      </c>
      <c r="H194" s="76" t="e">
        <f>SUMIFS(#REF!,#REF!,$B194,#REF!,H$1)</f>
        <v>#REF!</v>
      </c>
      <c r="I194" s="76" t="e">
        <f>SUMIFS(#REF!,#REF!,$B194,#REF!,I$1)</f>
        <v>#REF!</v>
      </c>
      <c r="J194" s="76" t="e">
        <f>SUMIFS(#REF!,#REF!,$B194,#REF!,J$1)</f>
        <v>#REF!</v>
      </c>
      <c r="K194" s="76" t="e">
        <f>SUMIFS(#REF!,#REF!,$B194,#REF!,K$1)</f>
        <v>#REF!</v>
      </c>
      <c r="L194" s="76" t="e">
        <f>SUMIFS(#REF!,#REF!,$B194,#REF!,L$1)</f>
        <v>#REF!</v>
      </c>
      <c r="M194" s="76" t="e">
        <f>SUMIFS(#REF!,#REF!,$B194,#REF!,M$1)</f>
        <v>#REF!</v>
      </c>
      <c r="N194" s="76" t="e">
        <f>SUMIFS(#REF!,#REF!,$B194,#REF!,N$1)</f>
        <v>#REF!</v>
      </c>
      <c r="O194" s="76" t="e">
        <f>SUMIFS(#REF!,#REF!,$B194,#REF!,O$1)</f>
        <v>#REF!</v>
      </c>
      <c r="P194" s="76" t="e">
        <f>SUMIFS(#REF!,#REF!,$B194,#REF!,P$1)</f>
        <v>#REF!</v>
      </c>
      <c r="Q194" s="76" t="e">
        <f>SUMIFS(#REF!,#REF!,$B194,#REF!,Q$1)</f>
        <v>#REF!</v>
      </c>
      <c r="R194" s="76" t="e">
        <f>SUMIFS(#REF!,#REF!,$B194,#REF!,R$1)</f>
        <v>#REF!</v>
      </c>
      <c r="S194" s="76" t="e">
        <f>SUMIFS(#REF!,#REF!,$B194,#REF!,S$1)</f>
        <v>#REF!</v>
      </c>
      <c r="T194" s="76" t="e">
        <f>SUMIFS(#REF!,#REF!,$B194,#REF!,T$1)</f>
        <v>#REF!</v>
      </c>
      <c r="U194" s="76" t="e">
        <f>SUMIFS(#REF!,#REF!,$B194,#REF!,U$1)</f>
        <v>#REF!</v>
      </c>
      <c r="V194" s="76" t="e">
        <f>SUMIFS(#REF!,#REF!,$B194,#REF!,V$1)</f>
        <v>#REF!</v>
      </c>
      <c r="W194" s="76" t="e">
        <f>SUMIFS(#REF!,#REF!,$B194,#REF!,W$1)</f>
        <v>#REF!</v>
      </c>
      <c r="X194" s="76" t="e">
        <f>SUMIFS(#REF!,#REF!,$B194,#REF!,X$1)</f>
        <v>#REF!</v>
      </c>
      <c r="Y194" s="76" t="e">
        <f>SUMIFS(#REF!,#REF!,$B194,#REF!,Y$1)</f>
        <v>#REF!</v>
      </c>
      <c r="Z194" s="76" t="e">
        <f>SUMIFS(#REF!,#REF!,$B194,#REF!,Z$1)</f>
        <v>#REF!</v>
      </c>
      <c r="AA194" s="76" t="e">
        <f>SUMIFS(#REF!,#REF!,$B194,#REF!,AA$1)</f>
        <v>#REF!</v>
      </c>
      <c r="AB194" s="76" t="e">
        <f>SUMIFS(#REF!,#REF!,$B194,#REF!,AB$1)</f>
        <v>#REF!</v>
      </c>
      <c r="AC194" s="76" t="e">
        <f>SUMIFS(#REF!,#REF!,$B194,#REF!,AC$1)</f>
        <v>#REF!</v>
      </c>
      <c r="AD194" s="76" t="e">
        <f>SUMIFS(#REF!,#REF!,$B194,#REF!,AD$1)</f>
        <v>#REF!</v>
      </c>
      <c r="AE194" s="76" t="e">
        <f>SUMIFS(#REF!,#REF!,$B194,#REF!,AE$1)</f>
        <v>#REF!</v>
      </c>
      <c r="AF194" s="76" t="e">
        <f>SUMIFS(#REF!,#REF!,$B194,#REF!,AF$1)</f>
        <v>#REF!</v>
      </c>
      <c r="AG194" s="76" t="e">
        <f>SUMIFS(#REF!,#REF!,$B194,#REF!,AG$1)</f>
        <v>#REF!</v>
      </c>
      <c r="AH194" s="76" t="e">
        <f>SUMIFS(#REF!,#REF!,$B194,#REF!,AH$1)</f>
        <v>#REF!</v>
      </c>
      <c r="AI194" s="82"/>
    </row>
    <row r="195" spans="2:35" ht="15" hidden="1" customHeight="1" x14ac:dyDescent="0.25">
      <c r="B195" s="84"/>
      <c r="C195" s="83"/>
      <c r="D195" s="76" t="e">
        <f>SUMIFS(#REF!,#REF!,$B195,#REF!,D$1)</f>
        <v>#REF!</v>
      </c>
      <c r="E195" s="76" t="e">
        <f>SUMIFS(#REF!,#REF!,$B195,#REF!,E$1)</f>
        <v>#REF!</v>
      </c>
      <c r="F195" s="76" t="e">
        <f>SUMIFS(#REF!,#REF!,$B195,#REF!,F$1)</f>
        <v>#REF!</v>
      </c>
      <c r="G195" s="76" t="e">
        <f>SUMIFS(#REF!,#REF!,$B195,#REF!,G$1)</f>
        <v>#REF!</v>
      </c>
      <c r="H195" s="76" t="e">
        <f>SUMIFS(#REF!,#REF!,$B195,#REF!,H$1)</f>
        <v>#REF!</v>
      </c>
      <c r="I195" s="76" t="e">
        <f>SUMIFS(#REF!,#REF!,$B195,#REF!,I$1)</f>
        <v>#REF!</v>
      </c>
      <c r="J195" s="76" t="e">
        <f>SUMIFS(#REF!,#REF!,$B195,#REF!,J$1)</f>
        <v>#REF!</v>
      </c>
      <c r="K195" s="76" t="e">
        <f>SUMIFS(#REF!,#REF!,$B195,#REF!,K$1)</f>
        <v>#REF!</v>
      </c>
      <c r="L195" s="76" t="e">
        <f>SUMIFS(#REF!,#REF!,$B195,#REF!,L$1)</f>
        <v>#REF!</v>
      </c>
      <c r="M195" s="76" t="e">
        <f>SUMIFS(#REF!,#REF!,$B195,#REF!,M$1)</f>
        <v>#REF!</v>
      </c>
      <c r="N195" s="76" t="e">
        <f>SUMIFS(#REF!,#REF!,$B195,#REF!,N$1)</f>
        <v>#REF!</v>
      </c>
      <c r="O195" s="76" t="e">
        <f>SUMIFS(#REF!,#REF!,$B195,#REF!,O$1)</f>
        <v>#REF!</v>
      </c>
      <c r="P195" s="76" t="e">
        <f>SUMIFS(#REF!,#REF!,$B195,#REF!,P$1)</f>
        <v>#REF!</v>
      </c>
      <c r="Q195" s="76" t="e">
        <f>SUMIFS(#REF!,#REF!,$B195,#REF!,Q$1)</f>
        <v>#REF!</v>
      </c>
      <c r="R195" s="76" t="e">
        <f>SUMIFS(#REF!,#REF!,$B195,#REF!,R$1)</f>
        <v>#REF!</v>
      </c>
      <c r="S195" s="76" t="e">
        <f>SUMIFS(#REF!,#REF!,$B195,#REF!,S$1)</f>
        <v>#REF!</v>
      </c>
      <c r="T195" s="76" t="e">
        <f>SUMIFS(#REF!,#REF!,$B195,#REF!,T$1)</f>
        <v>#REF!</v>
      </c>
      <c r="U195" s="76" t="e">
        <f>SUMIFS(#REF!,#REF!,$B195,#REF!,U$1)</f>
        <v>#REF!</v>
      </c>
      <c r="V195" s="76" t="e">
        <f>SUMIFS(#REF!,#REF!,$B195,#REF!,V$1)</f>
        <v>#REF!</v>
      </c>
      <c r="W195" s="76" t="e">
        <f>SUMIFS(#REF!,#REF!,$B195,#REF!,W$1)</f>
        <v>#REF!</v>
      </c>
      <c r="X195" s="76" t="e">
        <f>SUMIFS(#REF!,#REF!,$B195,#REF!,X$1)</f>
        <v>#REF!</v>
      </c>
      <c r="Y195" s="76" t="e">
        <f>SUMIFS(#REF!,#REF!,$B195,#REF!,Y$1)</f>
        <v>#REF!</v>
      </c>
      <c r="Z195" s="76" t="e">
        <f>SUMIFS(#REF!,#REF!,$B195,#REF!,Z$1)</f>
        <v>#REF!</v>
      </c>
      <c r="AA195" s="76" t="e">
        <f>SUMIFS(#REF!,#REF!,$B195,#REF!,AA$1)</f>
        <v>#REF!</v>
      </c>
      <c r="AB195" s="76" t="e">
        <f>SUMIFS(#REF!,#REF!,$B195,#REF!,AB$1)</f>
        <v>#REF!</v>
      </c>
      <c r="AC195" s="76" t="e">
        <f>SUMIFS(#REF!,#REF!,$B195,#REF!,AC$1)</f>
        <v>#REF!</v>
      </c>
      <c r="AD195" s="76" t="e">
        <f>SUMIFS(#REF!,#REF!,$B195,#REF!,AD$1)</f>
        <v>#REF!</v>
      </c>
      <c r="AE195" s="76" t="e">
        <f>SUMIFS(#REF!,#REF!,$B195,#REF!,AE$1)</f>
        <v>#REF!</v>
      </c>
      <c r="AF195" s="76" t="e">
        <f>SUMIFS(#REF!,#REF!,$B195,#REF!,AF$1)</f>
        <v>#REF!</v>
      </c>
      <c r="AG195" s="76" t="e">
        <f>SUMIFS(#REF!,#REF!,$B195,#REF!,AG$1)</f>
        <v>#REF!</v>
      </c>
      <c r="AH195" s="76" t="e">
        <f>SUMIFS(#REF!,#REF!,$B195,#REF!,AH$1)</f>
        <v>#REF!</v>
      </c>
      <c r="AI195" s="82"/>
    </row>
    <row r="196" spans="2:35" ht="15" hidden="1" customHeight="1" x14ac:dyDescent="0.25">
      <c r="B196" s="84"/>
      <c r="C196" s="83"/>
      <c r="D196" s="76" t="e">
        <f>SUMIFS(#REF!,#REF!,$B196,#REF!,D$1)</f>
        <v>#REF!</v>
      </c>
      <c r="E196" s="76" t="e">
        <f>SUMIFS(#REF!,#REF!,$B196,#REF!,E$1)</f>
        <v>#REF!</v>
      </c>
      <c r="F196" s="76" t="e">
        <f>SUMIFS(#REF!,#REF!,$B196,#REF!,F$1)</f>
        <v>#REF!</v>
      </c>
      <c r="G196" s="76" t="e">
        <f>SUMIFS(#REF!,#REF!,$B196,#REF!,G$1)</f>
        <v>#REF!</v>
      </c>
      <c r="H196" s="76" t="e">
        <f>SUMIFS(#REF!,#REF!,$B196,#REF!,H$1)</f>
        <v>#REF!</v>
      </c>
      <c r="I196" s="76" t="e">
        <f>SUMIFS(#REF!,#REF!,$B196,#REF!,I$1)</f>
        <v>#REF!</v>
      </c>
      <c r="J196" s="76" t="e">
        <f>SUMIFS(#REF!,#REF!,$B196,#REF!,J$1)</f>
        <v>#REF!</v>
      </c>
      <c r="K196" s="76" t="e">
        <f>SUMIFS(#REF!,#REF!,$B196,#REF!,K$1)</f>
        <v>#REF!</v>
      </c>
      <c r="L196" s="76" t="e">
        <f>SUMIFS(#REF!,#REF!,$B196,#REF!,L$1)</f>
        <v>#REF!</v>
      </c>
      <c r="M196" s="76" t="e">
        <f>SUMIFS(#REF!,#REF!,$B196,#REF!,M$1)</f>
        <v>#REF!</v>
      </c>
      <c r="N196" s="76" t="e">
        <f>SUMIFS(#REF!,#REF!,$B196,#REF!,N$1)</f>
        <v>#REF!</v>
      </c>
      <c r="O196" s="76" t="e">
        <f>SUMIFS(#REF!,#REF!,$B196,#REF!,O$1)</f>
        <v>#REF!</v>
      </c>
      <c r="P196" s="76" t="e">
        <f>SUMIFS(#REF!,#REF!,$B196,#REF!,P$1)</f>
        <v>#REF!</v>
      </c>
      <c r="Q196" s="76" t="e">
        <f>SUMIFS(#REF!,#REF!,$B196,#REF!,Q$1)</f>
        <v>#REF!</v>
      </c>
      <c r="R196" s="76" t="e">
        <f>SUMIFS(#REF!,#REF!,$B196,#REF!,R$1)</f>
        <v>#REF!</v>
      </c>
      <c r="S196" s="76" t="e">
        <f>SUMIFS(#REF!,#REF!,$B196,#REF!,S$1)</f>
        <v>#REF!</v>
      </c>
      <c r="T196" s="76" t="e">
        <f>SUMIFS(#REF!,#REF!,$B196,#REF!,T$1)</f>
        <v>#REF!</v>
      </c>
      <c r="U196" s="76" t="e">
        <f>SUMIFS(#REF!,#REF!,$B196,#REF!,U$1)</f>
        <v>#REF!</v>
      </c>
      <c r="V196" s="76" t="e">
        <f>SUMIFS(#REF!,#REF!,$B196,#REF!,V$1)</f>
        <v>#REF!</v>
      </c>
      <c r="W196" s="76" t="e">
        <f>SUMIFS(#REF!,#REF!,$B196,#REF!,W$1)</f>
        <v>#REF!</v>
      </c>
      <c r="X196" s="76" t="e">
        <f>SUMIFS(#REF!,#REF!,$B196,#REF!,X$1)</f>
        <v>#REF!</v>
      </c>
      <c r="Y196" s="76" t="e">
        <f>SUMIFS(#REF!,#REF!,$B196,#REF!,Y$1)</f>
        <v>#REF!</v>
      </c>
      <c r="Z196" s="76" t="e">
        <f>SUMIFS(#REF!,#REF!,$B196,#REF!,Z$1)</f>
        <v>#REF!</v>
      </c>
      <c r="AA196" s="76" t="e">
        <f>SUMIFS(#REF!,#REF!,$B196,#REF!,AA$1)</f>
        <v>#REF!</v>
      </c>
      <c r="AB196" s="76" t="e">
        <f>SUMIFS(#REF!,#REF!,$B196,#REF!,AB$1)</f>
        <v>#REF!</v>
      </c>
      <c r="AC196" s="76" t="e">
        <f>SUMIFS(#REF!,#REF!,$B196,#REF!,AC$1)</f>
        <v>#REF!</v>
      </c>
      <c r="AD196" s="76" t="e">
        <f>SUMIFS(#REF!,#REF!,$B196,#REF!,AD$1)</f>
        <v>#REF!</v>
      </c>
      <c r="AE196" s="76" t="e">
        <f>SUMIFS(#REF!,#REF!,$B196,#REF!,AE$1)</f>
        <v>#REF!</v>
      </c>
      <c r="AF196" s="76" t="e">
        <f>SUMIFS(#REF!,#REF!,$B196,#REF!,AF$1)</f>
        <v>#REF!</v>
      </c>
      <c r="AG196" s="76" t="e">
        <f>SUMIFS(#REF!,#REF!,$B196,#REF!,AG$1)</f>
        <v>#REF!</v>
      </c>
      <c r="AH196" s="76" t="e">
        <f>SUMIFS(#REF!,#REF!,$B196,#REF!,AH$1)</f>
        <v>#REF!</v>
      </c>
      <c r="AI196" s="82"/>
    </row>
    <row r="197" spans="2:35" ht="15" hidden="1" customHeight="1" x14ac:dyDescent="0.25">
      <c r="B197" s="84"/>
      <c r="C197" s="83"/>
      <c r="D197" s="76" t="e">
        <f>SUMIFS(#REF!,#REF!,$B197,#REF!,D$1)</f>
        <v>#REF!</v>
      </c>
      <c r="E197" s="76" t="e">
        <f>SUMIFS(#REF!,#REF!,$B197,#REF!,E$1)</f>
        <v>#REF!</v>
      </c>
      <c r="F197" s="76" t="e">
        <f>SUMIFS(#REF!,#REF!,$B197,#REF!,F$1)</f>
        <v>#REF!</v>
      </c>
      <c r="G197" s="76" t="e">
        <f>SUMIFS(#REF!,#REF!,$B197,#REF!,G$1)</f>
        <v>#REF!</v>
      </c>
      <c r="H197" s="76" t="e">
        <f>SUMIFS(#REF!,#REF!,$B197,#REF!,H$1)</f>
        <v>#REF!</v>
      </c>
      <c r="I197" s="76" t="e">
        <f>SUMIFS(#REF!,#REF!,$B197,#REF!,I$1)</f>
        <v>#REF!</v>
      </c>
      <c r="J197" s="76" t="e">
        <f>SUMIFS(#REF!,#REF!,$B197,#REF!,J$1)</f>
        <v>#REF!</v>
      </c>
      <c r="K197" s="76" t="e">
        <f>SUMIFS(#REF!,#REF!,$B197,#REF!,K$1)</f>
        <v>#REF!</v>
      </c>
      <c r="L197" s="76" t="e">
        <f>SUMIFS(#REF!,#REF!,$B197,#REF!,L$1)</f>
        <v>#REF!</v>
      </c>
      <c r="M197" s="76" t="e">
        <f>SUMIFS(#REF!,#REF!,$B197,#REF!,M$1)</f>
        <v>#REF!</v>
      </c>
      <c r="N197" s="76" t="e">
        <f>SUMIFS(#REF!,#REF!,$B197,#REF!,N$1)</f>
        <v>#REF!</v>
      </c>
      <c r="O197" s="76" t="e">
        <f>SUMIFS(#REF!,#REF!,$B197,#REF!,O$1)</f>
        <v>#REF!</v>
      </c>
      <c r="P197" s="76" t="e">
        <f>SUMIFS(#REF!,#REF!,$B197,#REF!,P$1)</f>
        <v>#REF!</v>
      </c>
      <c r="Q197" s="76" t="e">
        <f>SUMIFS(#REF!,#REF!,$B197,#REF!,Q$1)</f>
        <v>#REF!</v>
      </c>
      <c r="R197" s="76" t="e">
        <f>SUMIFS(#REF!,#REF!,$B197,#REF!,R$1)</f>
        <v>#REF!</v>
      </c>
      <c r="S197" s="76" t="e">
        <f>SUMIFS(#REF!,#REF!,$B197,#REF!,S$1)</f>
        <v>#REF!</v>
      </c>
      <c r="T197" s="76" t="e">
        <f>SUMIFS(#REF!,#REF!,$B197,#REF!,T$1)</f>
        <v>#REF!</v>
      </c>
      <c r="U197" s="76" t="e">
        <f>SUMIFS(#REF!,#REF!,$B197,#REF!,U$1)</f>
        <v>#REF!</v>
      </c>
      <c r="V197" s="76" t="e">
        <f>SUMIFS(#REF!,#REF!,$B197,#REF!,V$1)</f>
        <v>#REF!</v>
      </c>
      <c r="W197" s="76" t="e">
        <f>SUMIFS(#REF!,#REF!,$B197,#REF!,W$1)</f>
        <v>#REF!</v>
      </c>
      <c r="X197" s="76" t="e">
        <f>SUMIFS(#REF!,#REF!,$B197,#REF!,X$1)</f>
        <v>#REF!</v>
      </c>
      <c r="Y197" s="76" t="e">
        <f>SUMIFS(#REF!,#REF!,$B197,#REF!,Y$1)</f>
        <v>#REF!</v>
      </c>
      <c r="Z197" s="76" t="e">
        <f>SUMIFS(#REF!,#REF!,$B197,#REF!,Z$1)</f>
        <v>#REF!</v>
      </c>
      <c r="AA197" s="76" t="e">
        <f>SUMIFS(#REF!,#REF!,$B197,#REF!,AA$1)</f>
        <v>#REF!</v>
      </c>
      <c r="AB197" s="76" t="e">
        <f>SUMIFS(#REF!,#REF!,$B197,#REF!,AB$1)</f>
        <v>#REF!</v>
      </c>
      <c r="AC197" s="76" t="e">
        <f>SUMIFS(#REF!,#REF!,$B197,#REF!,AC$1)</f>
        <v>#REF!</v>
      </c>
      <c r="AD197" s="76" t="e">
        <f>SUMIFS(#REF!,#REF!,$B197,#REF!,AD$1)</f>
        <v>#REF!</v>
      </c>
      <c r="AE197" s="76" t="e">
        <f>SUMIFS(#REF!,#REF!,$B197,#REF!,AE$1)</f>
        <v>#REF!</v>
      </c>
      <c r="AF197" s="76" t="e">
        <f>SUMIFS(#REF!,#REF!,$B197,#REF!,AF$1)</f>
        <v>#REF!</v>
      </c>
      <c r="AG197" s="76" t="e">
        <f>SUMIFS(#REF!,#REF!,$B197,#REF!,AG$1)</f>
        <v>#REF!</v>
      </c>
      <c r="AH197" s="76" t="e">
        <f>SUMIFS(#REF!,#REF!,$B197,#REF!,AH$1)</f>
        <v>#REF!</v>
      </c>
      <c r="AI197" s="82"/>
    </row>
    <row r="198" spans="2:35" ht="15" hidden="1" customHeight="1" x14ac:dyDescent="0.25">
      <c r="B198" s="84"/>
      <c r="C198" s="83"/>
      <c r="D198" s="76" t="e">
        <f>SUMIFS(#REF!,#REF!,$B198,#REF!,D$1)</f>
        <v>#REF!</v>
      </c>
      <c r="E198" s="76" t="e">
        <f>SUMIFS(#REF!,#REF!,$B198,#REF!,E$1)</f>
        <v>#REF!</v>
      </c>
      <c r="F198" s="76" t="e">
        <f>SUMIFS(#REF!,#REF!,$B198,#REF!,F$1)</f>
        <v>#REF!</v>
      </c>
      <c r="G198" s="76" t="e">
        <f>SUMIFS(#REF!,#REF!,$B198,#REF!,G$1)</f>
        <v>#REF!</v>
      </c>
      <c r="H198" s="76" t="e">
        <f>SUMIFS(#REF!,#REF!,$B198,#REF!,H$1)</f>
        <v>#REF!</v>
      </c>
      <c r="I198" s="76" t="e">
        <f>SUMIFS(#REF!,#REF!,$B198,#REF!,I$1)</f>
        <v>#REF!</v>
      </c>
      <c r="J198" s="76" t="e">
        <f>SUMIFS(#REF!,#REF!,$B198,#REF!,J$1)</f>
        <v>#REF!</v>
      </c>
      <c r="K198" s="76" t="e">
        <f>SUMIFS(#REF!,#REF!,$B198,#REF!,K$1)</f>
        <v>#REF!</v>
      </c>
      <c r="L198" s="76" t="e">
        <f>SUMIFS(#REF!,#REF!,$B198,#REF!,L$1)</f>
        <v>#REF!</v>
      </c>
      <c r="M198" s="76" t="e">
        <f>SUMIFS(#REF!,#REF!,$B198,#REF!,M$1)</f>
        <v>#REF!</v>
      </c>
      <c r="N198" s="76" t="e">
        <f>SUMIFS(#REF!,#REF!,$B198,#REF!,N$1)</f>
        <v>#REF!</v>
      </c>
      <c r="O198" s="76" t="e">
        <f>SUMIFS(#REF!,#REF!,$B198,#REF!,O$1)</f>
        <v>#REF!</v>
      </c>
      <c r="P198" s="76" t="e">
        <f>SUMIFS(#REF!,#REF!,$B198,#REF!,P$1)</f>
        <v>#REF!</v>
      </c>
      <c r="Q198" s="76" t="e">
        <f>SUMIFS(#REF!,#REF!,$B198,#REF!,Q$1)</f>
        <v>#REF!</v>
      </c>
      <c r="R198" s="76" t="e">
        <f>SUMIFS(#REF!,#REF!,$B198,#REF!,R$1)</f>
        <v>#REF!</v>
      </c>
      <c r="S198" s="76" t="e">
        <f>SUMIFS(#REF!,#REF!,$B198,#REF!,S$1)</f>
        <v>#REF!</v>
      </c>
      <c r="T198" s="76" t="e">
        <f>SUMIFS(#REF!,#REF!,$B198,#REF!,T$1)</f>
        <v>#REF!</v>
      </c>
      <c r="U198" s="76" t="e">
        <f>SUMIFS(#REF!,#REF!,$B198,#REF!,U$1)</f>
        <v>#REF!</v>
      </c>
      <c r="V198" s="76" t="e">
        <f>SUMIFS(#REF!,#REF!,$B198,#REF!,V$1)</f>
        <v>#REF!</v>
      </c>
      <c r="W198" s="76" t="e">
        <f>SUMIFS(#REF!,#REF!,$B198,#REF!,W$1)</f>
        <v>#REF!</v>
      </c>
      <c r="X198" s="76" t="e">
        <f>SUMIFS(#REF!,#REF!,$B198,#REF!,X$1)</f>
        <v>#REF!</v>
      </c>
      <c r="Y198" s="76" t="e">
        <f>SUMIFS(#REF!,#REF!,$B198,#REF!,Y$1)</f>
        <v>#REF!</v>
      </c>
      <c r="Z198" s="76" t="e">
        <f>SUMIFS(#REF!,#REF!,$B198,#REF!,Z$1)</f>
        <v>#REF!</v>
      </c>
      <c r="AA198" s="76" t="e">
        <f>SUMIFS(#REF!,#REF!,$B198,#REF!,AA$1)</f>
        <v>#REF!</v>
      </c>
      <c r="AB198" s="76" t="e">
        <f>SUMIFS(#REF!,#REF!,$B198,#REF!,AB$1)</f>
        <v>#REF!</v>
      </c>
      <c r="AC198" s="76" t="e">
        <f>SUMIFS(#REF!,#REF!,$B198,#REF!,AC$1)</f>
        <v>#REF!</v>
      </c>
      <c r="AD198" s="76" t="e">
        <f>SUMIFS(#REF!,#REF!,$B198,#REF!,AD$1)</f>
        <v>#REF!</v>
      </c>
      <c r="AE198" s="76" t="e">
        <f>SUMIFS(#REF!,#REF!,$B198,#REF!,AE$1)</f>
        <v>#REF!</v>
      </c>
      <c r="AF198" s="76" t="e">
        <f>SUMIFS(#REF!,#REF!,$B198,#REF!,AF$1)</f>
        <v>#REF!</v>
      </c>
      <c r="AG198" s="76" t="e">
        <f>SUMIFS(#REF!,#REF!,$B198,#REF!,AG$1)</f>
        <v>#REF!</v>
      </c>
      <c r="AH198" s="76" t="e">
        <f>SUMIFS(#REF!,#REF!,$B198,#REF!,AH$1)</f>
        <v>#REF!</v>
      </c>
      <c r="AI198" s="82"/>
    </row>
    <row r="199" spans="2:35" ht="15" hidden="1" customHeight="1" x14ac:dyDescent="0.25">
      <c r="B199" s="84"/>
      <c r="C199" s="83"/>
      <c r="D199" s="76" t="e">
        <f>SUMIFS(#REF!,#REF!,$B199,#REF!,D$1)</f>
        <v>#REF!</v>
      </c>
      <c r="E199" s="76" t="e">
        <f>SUMIFS(#REF!,#REF!,$B199,#REF!,E$1)</f>
        <v>#REF!</v>
      </c>
      <c r="F199" s="76" t="e">
        <f>SUMIFS(#REF!,#REF!,$B199,#REF!,F$1)</f>
        <v>#REF!</v>
      </c>
      <c r="G199" s="76" t="e">
        <f>SUMIFS(#REF!,#REF!,$B199,#REF!,G$1)</f>
        <v>#REF!</v>
      </c>
      <c r="H199" s="76" t="e">
        <f>SUMIFS(#REF!,#REF!,$B199,#REF!,H$1)</f>
        <v>#REF!</v>
      </c>
      <c r="I199" s="76" t="e">
        <f>SUMIFS(#REF!,#REF!,$B199,#REF!,I$1)</f>
        <v>#REF!</v>
      </c>
      <c r="J199" s="76" t="e">
        <f>SUMIFS(#REF!,#REF!,$B199,#REF!,J$1)</f>
        <v>#REF!</v>
      </c>
      <c r="K199" s="76" t="e">
        <f>SUMIFS(#REF!,#REF!,$B199,#REF!,K$1)</f>
        <v>#REF!</v>
      </c>
      <c r="L199" s="76" t="e">
        <f>SUMIFS(#REF!,#REF!,$B199,#REF!,L$1)</f>
        <v>#REF!</v>
      </c>
      <c r="M199" s="76" t="e">
        <f>SUMIFS(#REF!,#REF!,$B199,#REF!,M$1)</f>
        <v>#REF!</v>
      </c>
      <c r="N199" s="76" t="e">
        <f>SUMIFS(#REF!,#REF!,$B199,#REF!,N$1)</f>
        <v>#REF!</v>
      </c>
      <c r="O199" s="76" t="e">
        <f>SUMIFS(#REF!,#REF!,$B199,#REF!,O$1)</f>
        <v>#REF!</v>
      </c>
      <c r="P199" s="76" t="e">
        <f>SUMIFS(#REF!,#REF!,$B199,#REF!,P$1)</f>
        <v>#REF!</v>
      </c>
      <c r="Q199" s="76" t="e">
        <f>SUMIFS(#REF!,#REF!,$B199,#REF!,Q$1)</f>
        <v>#REF!</v>
      </c>
      <c r="R199" s="76" t="e">
        <f>SUMIFS(#REF!,#REF!,$B199,#REF!,R$1)</f>
        <v>#REF!</v>
      </c>
      <c r="S199" s="76" t="e">
        <f>SUMIFS(#REF!,#REF!,$B199,#REF!,S$1)</f>
        <v>#REF!</v>
      </c>
      <c r="T199" s="76" t="e">
        <f>SUMIFS(#REF!,#REF!,$B199,#REF!,T$1)</f>
        <v>#REF!</v>
      </c>
      <c r="U199" s="76" t="e">
        <f>SUMIFS(#REF!,#REF!,$B199,#REF!,U$1)</f>
        <v>#REF!</v>
      </c>
      <c r="V199" s="76" t="e">
        <f>SUMIFS(#REF!,#REF!,$B199,#REF!,V$1)</f>
        <v>#REF!</v>
      </c>
      <c r="W199" s="76" t="e">
        <f>SUMIFS(#REF!,#REF!,$B199,#REF!,W$1)</f>
        <v>#REF!</v>
      </c>
      <c r="X199" s="76" t="e">
        <f>SUMIFS(#REF!,#REF!,$B199,#REF!,X$1)</f>
        <v>#REF!</v>
      </c>
      <c r="Y199" s="76" t="e">
        <f>SUMIFS(#REF!,#REF!,$B199,#REF!,Y$1)</f>
        <v>#REF!</v>
      </c>
      <c r="Z199" s="76" t="e">
        <f>SUMIFS(#REF!,#REF!,$B199,#REF!,Z$1)</f>
        <v>#REF!</v>
      </c>
      <c r="AA199" s="76" t="e">
        <f>SUMIFS(#REF!,#REF!,$B199,#REF!,AA$1)</f>
        <v>#REF!</v>
      </c>
      <c r="AB199" s="76" t="e">
        <f>SUMIFS(#REF!,#REF!,$B199,#REF!,AB$1)</f>
        <v>#REF!</v>
      </c>
      <c r="AC199" s="76" t="e">
        <f>SUMIFS(#REF!,#REF!,$B199,#REF!,AC$1)</f>
        <v>#REF!</v>
      </c>
      <c r="AD199" s="76" t="e">
        <f>SUMIFS(#REF!,#REF!,$B199,#REF!,AD$1)</f>
        <v>#REF!</v>
      </c>
      <c r="AE199" s="76" t="e">
        <f>SUMIFS(#REF!,#REF!,$B199,#REF!,AE$1)</f>
        <v>#REF!</v>
      </c>
      <c r="AF199" s="76" t="e">
        <f>SUMIFS(#REF!,#REF!,$B199,#REF!,AF$1)</f>
        <v>#REF!</v>
      </c>
      <c r="AG199" s="76" t="e">
        <f>SUMIFS(#REF!,#REF!,$B199,#REF!,AG$1)</f>
        <v>#REF!</v>
      </c>
      <c r="AH199" s="76" t="e">
        <f>SUMIFS(#REF!,#REF!,$B199,#REF!,AH$1)</f>
        <v>#REF!</v>
      </c>
      <c r="AI199" s="82"/>
    </row>
    <row r="200" spans="2:35" ht="15" hidden="1" customHeight="1" x14ac:dyDescent="0.25">
      <c r="B200" s="84"/>
      <c r="C200" s="83"/>
      <c r="D200" s="76" t="e">
        <f>SUMIFS(#REF!,#REF!,$B200,#REF!,D$1)</f>
        <v>#REF!</v>
      </c>
      <c r="E200" s="76" t="e">
        <f>SUMIFS(#REF!,#REF!,$B200,#REF!,E$1)</f>
        <v>#REF!</v>
      </c>
      <c r="F200" s="76" t="e">
        <f>SUMIFS(#REF!,#REF!,$B200,#REF!,F$1)</f>
        <v>#REF!</v>
      </c>
      <c r="G200" s="76" t="e">
        <f>SUMIFS(#REF!,#REF!,$B200,#REF!,G$1)</f>
        <v>#REF!</v>
      </c>
      <c r="H200" s="76" t="e">
        <f>SUMIFS(#REF!,#REF!,$B200,#REF!,H$1)</f>
        <v>#REF!</v>
      </c>
      <c r="I200" s="76" t="e">
        <f>SUMIFS(#REF!,#REF!,$B200,#REF!,I$1)</f>
        <v>#REF!</v>
      </c>
      <c r="J200" s="76" t="e">
        <f>SUMIFS(#REF!,#REF!,$B200,#REF!,J$1)</f>
        <v>#REF!</v>
      </c>
      <c r="K200" s="76" t="e">
        <f>SUMIFS(#REF!,#REF!,$B200,#REF!,K$1)</f>
        <v>#REF!</v>
      </c>
      <c r="L200" s="76" t="e">
        <f>SUMIFS(#REF!,#REF!,$B200,#REF!,L$1)</f>
        <v>#REF!</v>
      </c>
      <c r="M200" s="76" t="e">
        <f>SUMIFS(#REF!,#REF!,$B200,#REF!,M$1)</f>
        <v>#REF!</v>
      </c>
      <c r="N200" s="76" t="e">
        <f>SUMIFS(#REF!,#REF!,$B200,#REF!,N$1)</f>
        <v>#REF!</v>
      </c>
      <c r="O200" s="76" t="e">
        <f>SUMIFS(#REF!,#REF!,$B200,#REF!,O$1)</f>
        <v>#REF!</v>
      </c>
      <c r="P200" s="76" t="e">
        <f>SUMIFS(#REF!,#REF!,$B200,#REF!,P$1)</f>
        <v>#REF!</v>
      </c>
      <c r="Q200" s="76" t="e">
        <f>SUMIFS(#REF!,#REF!,$B200,#REF!,Q$1)</f>
        <v>#REF!</v>
      </c>
      <c r="R200" s="76" t="e">
        <f>SUMIFS(#REF!,#REF!,$B200,#REF!,R$1)</f>
        <v>#REF!</v>
      </c>
      <c r="S200" s="76" t="e">
        <f>SUMIFS(#REF!,#REF!,$B200,#REF!,S$1)</f>
        <v>#REF!</v>
      </c>
      <c r="T200" s="76" t="e">
        <f>SUMIFS(#REF!,#REF!,$B200,#REF!,T$1)</f>
        <v>#REF!</v>
      </c>
      <c r="U200" s="76" t="e">
        <f>SUMIFS(#REF!,#REF!,$B200,#REF!,U$1)</f>
        <v>#REF!</v>
      </c>
      <c r="V200" s="76" t="e">
        <f>SUMIFS(#REF!,#REF!,$B200,#REF!,V$1)</f>
        <v>#REF!</v>
      </c>
      <c r="W200" s="76" t="e">
        <f>SUMIFS(#REF!,#REF!,$B200,#REF!,W$1)</f>
        <v>#REF!</v>
      </c>
      <c r="X200" s="76" t="e">
        <f>SUMIFS(#REF!,#REF!,$B200,#REF!,X$1)</f>
        <v>#REF!</v>
      </c>
      <c r="Y200" s="76" t="e">
        <f>SUMIFS(#REF!,#REF!,$B200,#REF!,Y$1)</f>
        <v>#REF!</v>
      </c>
      <c r="Z200" s="76" t="e">
        <f>SUMIFS(#REF!,#REF!,$B200,#REF!,Z$1)</f>
        <v>#REF!</v>
      </c>
      <c r="AA200" s="76" t="e">
        <f>SUMIFS(#REF!,#REF!,$B200,#REF!,AA$1)</f>
        <v>#REF!</v>
      </c>
      <c r="AB200" s="76" t="e">
        <f>SUMIFS(#REF!,#REF!,$B200,#REF!,AB$1)</f>
        <v>#REF!</v>
      </c>
      <c r="AC200" s="76" t="e">
        <f>SUMIFS(#REF!,#REF!,$B200,#REF!,AC$1)</f>
        <v>#REF!</v>
      </c>
      <c r="AD200" s="76" t="e">
        <f>SUMIFS(#REF!,#REF!,$B200,#REF!,AD$1)</f>
        <v>#REF!</v>
      </c>
      <c r="AE200" s="76" t="e">
        <f>SUMIFS(#REF!,#REF!,$B200,#REF!,AE$1)</f>
        <v>#REF!</v>
      </c>
      <c r="AF200" s="76" t="e">
        <f>SUMIFS(#REF!,#REF!,$B200,#REF!,AF$1)</f>
        <v>#REF!</v>
      </c>
      <c r="AG200" s="76" t="e">
        <f>SUMIFS(#REF!,#REF!,$B200,#REF!,AG$1)</f>
        <v>#REF!</v>
      </c>
      <c r="AH200" s="76" t="e">
        <f>SUMIFS(#REF!,#REF!,$B200,#REF!,AH$1)</f>
        <v>#REF!</v>
      </c>
      <c r="AI200" s="82"/>
    </row>
    <row r="201" spans="2:35" ht="15" hidden="1" customHeight="1" x14ac:dyDescent="0.25">
      <c r="B201" s="84"/>
      <c r="C201" s="83"/>
      <c r="D201" s="76" t="e">
        <f>SUMIFS(#REF!,#REF!,$B201,#REF!,D$1)</f>
        <v>#REF!</v>
      </c>
      <c r="E201" s="76" t="e">
        <f>SUMIFS(#REF!,#REF!,$B201,#REF!,E$1)</f>
        <v>#REF!</v>
      </c>
      <c r="F201" s="76" t="e">
        <f>SUMIFS(#REF!,#REF!,$B201,#REF!,F$1)</f>
        <v>#REF!</v>
      </c>
      <c r="G201" s="76" t="e">
        <f>SUMIFS(#REF!,#REF!,$B201,#REF!,G$1)</f>
        <v>#REF!</v>
      </c>
      <c r="H201" s="76" t="e">
        <f>SUMIFS(#REF!,#REF!,$B201,#REF!,H$1)</f>
        <v>#REF!</v>
      </c>
      <c r="I201" s="76" t="e">
        <f>SUMIFS(#REF!,#REF!,$B201,#REF!,I$1)</f>
        <v>#REF!</v>
      </c>
      <c r="J201" s="76" t="e">
        <f>SUMIFS(#REF!,#REF!,$B201,#REF!,J$1)</f>
        <v>#REF!</v>
      </c>
      <c r="K201" s="76" t="e">
        <f>SUMIFS(#REF!,#REF!,$B201,#REF!,K$1)</f>
        <v>#REF!</v>
      </c>
      <c r="L201" s="76" t="e">
        <f>SUMIFS(#REF!,#REF!,$B201,#REF!,L$1)</f>
        <v>#REF!</v>
      </c>
      <c r="M201" s="76" t="e">
        <f>SUMIFS(#REF!,#REF!,$B201,#REF!,M$1)</f>
        <v>#REF!</v>
      </c>
      <c r="N201" s="76" t="e">
        <f>SUMIFS(#REF!,#REF!,$B201,#REF!,N$1)</f>
        <v>#REF!</v>
      </c>
      <c r="O201" s="76" t="e">
        <f>SUMIFS(#REF!,#REF!,$B201,#REF!,O$1)</f>
        <v>#REF!</v>
      </c>
      <c r="P201" s="76" t="e">
        <f>SUMIFS(#REF!,#REF!,$B201,#REF!,P$1)</f>
        <v>#REF!</v>
      </c>
      <c r="Q201" s="76" t="e">
        <f>SUMIFS(#REF!,#REF!,$B201,#REF!,Q$1)</f>
        <v>#REF!</v>
      </c>
      <c r="R201" s="76" t="e">
        <f>SUMIFS(#REF!,#REF!,$B201,#REF!,R$1)</f>
        <v>#REF!</v>
      </c>
      <c r="S201" s="76" t="e">
        <f>SUMIFS(#REF!,#REF!,$B201,#REF!,S$1)</f>
        <v>#REF!</v>
      </c>
      <c r="T201" s="76" t="e">
        <f>SUMIFS(#REF!,#REF!,$B201,#REF!,T$1)</f>
        <v>#REF!</v>
      </c>
      <c r="U201" s="76" t="e">
        <f>SUMIFS(#REF!,#REF!,$B201,#REF!,U$1)</f>
        <v>#REF!</v>
      </c>
      <c r="V201" s="76" t="e">
        <f>SUMIFS(#REF!,#REF!,$B201,#REF!,V$1)</f>
        <v>#REF!</v>
      </c>
      <c r="W201" s="76" t="e">
        <f>SUMIFS(#REF!,#REF!,$B201,#REF!,W$1)</f>
        <v>#REF!</v>
      </c>
      <c r="X201" s="76" t="e">
        <f>SUMIFS(#REF!,#REF!,$B201,#REF!,X$1)</f>
        <v>#REF!</v>
      </c>
      <c r="Y201" s="76" t="e">
        <f>SUMIFS(#REF!,#REF!,$B201,#REF!,Y$1)</f>
        <v>#REF!</v>
      </c>
      <c r="Z201" s="76" t="e">
        <f>SUMIFS(#REF!,#REF!,$B201,#REF!,Z$1)</f>
        <v>#REF!</v>
      </c>
      <c r="AA201" s="76" t="e">
        <f>SUMIFS(#REF!,#REF!,$B201,#REF!,AA$1)</f>
        <v>#REF!</v>
      </c>
      <c r="AB201" s="76" t="e">
        <f>SUMIFS(#REF!,#REF!,$B201,#REF!,AB$1)</f>
        <v>#REF!</v>
      </c>
      <c r="AC201" s="76" t="e">
        <f>SUMIFS(#REF!,#REF!,$B201,#REF!,AC$1)</f>
        <v>#REF!</v>
      </c>
      <c r="AD201" s="76" t="e">
        <f>SUMIFS(#REF!,#REF!,$B201,#REF!,AD$1)</f>
        <v>#REF!</v>
      </c>
      <c r="AE201" s="76" t="e">
        <f>SUMIFS(#REF!,#REF!,$B201,#REF!,AE$1)</f>
        <v>#REF!</v>
      </c>
      <c r="AF201" s="76" t="e">
        <f>SUMIFS(#REF!,#REF!,$B201,#REF!,AF$1)</f>
        <v>#REF!</v>
      </c>
      <c r="AG201" s="76" t="e">
        <f>SUMIFS(#REF!,#REF!,$B201,#REF!,AG$1)</f>
        <v>#REF!</v>
      </c>
      <c r="AH201" s="76" t="e">
        <f>SUMIFS(#REF!,#REF!,$B201,#REF!,AH$1)</f>
        <v>#REF!</v>
      </c>
      <c r="AI201" s="82"/>
    </row>
    <row r="202" spans="2:35" ht="15" hidden="1" customHeight="1" x14ac:dyDescent="0.25">
      <c r="B202" s="84"/>
      <c r="C202" s="83"/>
      <c r="D202" s="76" t="e">
        <f>SUMIFS(#REF!,#REF!,$B202,#REF!,D$1)</f>
        <v>#REF!</v>
      </c>
      <c r="E202" s="76" t="e">
        <f>SUMIFS(#REF!,#REF!,$B202,#REF!,E$1)</f>
        <v>#REF!</v>
      </c>
      <c r="F202" s="76" t="e">
        <f>SUMIFS(#REF!,#REF!,$B202,#REF!,F$1)</f>
        <v>#REF!</v>
      </c>
      <c r="G202" s="76" t="e">
        <f>SUMIFS(#REF!,#REF!,$B202,#REF!,G$1)</f>
        <v>#REF!</v>
      </c>
      <c r="H202" s="76" t="e">
        <f>SUMIFS(#REF!,#REF!,$B202,#REF!,H$1)</f>
        <v>#REF!</v>
      </c>
      <c r="I202" s="76" t="e">
        <f>SUMIFS(#REF!,#REF!,$B202,#REF!,I$1)</f>
        <v>#REF!</v>
      </c>
      <c r="J202" s="76" t="e">
        <f>SUMIFS(#REF!,#REF!,$B202,#REF!,J$1)</f>
        <v>#REF!</v>
      </c>
      <c r="K202" s="76" t="e">
        <f>SUMIFS(#REF!,#REF!,$B202,#REF!,K$1)</f>
        <v>#REF!</v>
      </c>
      <c r="L202" s="76" t="e">
        <f>SUMIFS(#REF!,#REF!,$B202,#REF!,L$1)</f>
        <v>#REF!</v>
      </c>
      <c r="M202" s="76" t="e">
        <f>SUMIFS(#REF!,#REF!,$B202,#REF!,M$1)</f>
        <v>#REF!</v>
      </c>
      <c r="N202" s="76" t="e">
        <f>SUMIFS(#REF!,#REF!,$B202,#REF!,N$1)</f>
        <v>#REF!</v>
      </c>
      <c r="O202" s="76" t="e">
        <f>SUMIFS(#REF!,#REF!,$B202,#REF!,O$1)</f>
        <v>#REF!</v>
      </c>
      <c r="P202" s="76" t="e">
        <f>SUMIFS(#REF!,#REF!,$B202,#REF!,P$1)</f>
        <v>#REF!</v>
      </c>
      <c r="Q202" s="76" t="e">
        <f>SUMIFS(#REF!,#REF!,$B202,#REF!,Q$1)</f>
        <v>#REF!</v>
      </c>
      <c r="R202" s="76" t="e">
        <f>SUMIFS(#REF!,#REF!,$B202,#REF!,R$1)</f>
        <v>#REF!</v>
      </c>
      <c r="S202" s="76" t="e">
        <f>SUMIFS(#REF!,#REF!,$B202,#REF!,S$1)</f>
        <v>#REF!</v>
      </c>
      <c r="T202" s="76" t="e">
        <f>SUMIFS(#REF!,#REF!,$B202,#REF!,T$1)</f>
        <v>#REF!</v>
      </c>
      <c r="U202" s="76" t="e">
        <f>SUMIFS(#REF!,#REF!,$B202,#REF!,U$1)</f>
        <v>#REF!</v>
      </c>
      <c r="V202" s="76" t="e">
        <f>SUMIFS(#REF!,#REF!,$B202,#REF!,V$1)</f>
        <v>#REF!</v>
      </c>
      <c r="W202" s="76" t="e">
        <f>SUMIFS(#REF!,#REF!,$B202,#REF!,W$1)</f>
        <v>#REF!</v>
      </c>
      <c r="X202" s="76" t="e">
        <f>SUMIFS(#REF!,#REF!,$B202,#REF!,X$1)</f>
        <v>#REF!</v>
      </c>
      <c r="Y202" s="76" t="e">
        <f>SUMIFS(#REF!,#REF!,$B202,#REF!,Y$1)</f>
        <v>#REF!</v>
      </c>
      <c r="Z202" s="76" t="e">
        <f>SUMIFS(#REF!,#REF!,$B202,#REF!,Z$1)</f>
        <v>#REF!</v>
      </c>
      <c r="AA202" s="76" t="e">
        <f>SUMIFS(#REF!,#REF!,$B202,#REF!,AA$1)</f>
        <v>#REF!</v>
      </c>
      <c r="AB202" s="76" t="e">
        <f>SUMIFS(#REF!,#REF!,$B202,#REF!,AB$1)</f>
        <v>#REF!</v>
      </c>
      <c r="AC202" s="76" t="e">
        <f>SUMIFS(#REF!,#REF!,$B202,#REF!,AC$1)</f>
        <v>#REF!</v>
      </c>
      <c r="AD202" s="76" t="e">
        <f>SUMIFS(#REF!,#REF!,$B202,#REF!,AD$1)</f>
        <v>#REF!</v>
      </c>
      <c r="AE202" s="76" t="e">
        <f>SUMIFS(#REF!,#REF!,$B202,#REF!,AE$1)</f>
        <v>#REF!</v>
      </c>
      <c r="AF202" s="76" t="e">
        <f>SUMIFS(#REF!,#REF!,$B202,#REF!,AF$1)</f>
        <v>#REF!</v>
      </c>
      <c r="AG202" s="76" t="e">
        <f>SUMIFS(#REF!,#REF!,$B202,#REF!,AG$1)</f>
        <v>#REF!</v>
      </c>
      <c r="AH202" s="76" t="e">
        <f>SUMIFS(#REF!,#REF!,$B202,#REF!,AH$1)</f>
        <v>#REF!</v>
      </c>
      <c r="AI202" s="82"/>
    </row>
    <row r="203" spans="2:35" ht="15" hidden="1" customHeight="1" x14ac:dyDescent="0.25">
      <c r="B203" s="84"/>
      <c r="C203" s="83"/>
      <c r="D203" s="76" t="e">
        <f>SUMIFS(#REF!,#REF!,$B203,#REF!,D$1)</f>
        <v>#REF!</v>
      </c>
      <c r="E203" s="76" t="e">
        <f>SUMIFS(#REF!,#REF!,$B203,#REF!,E$1)</f>
        <v>#REF!</v>
      </c>
      <c r="F203" s="76" t="e">
        <f>SUMIFS(#REF!,#REF!,$B203,#REF!,F$1)</f>
        <v>#REF!</v>
      </c>
      <c r="G203" s="76" t="e">
        <f>SUMIFS(#REF!,#REF!,$B203,#REF!,G$1)</f>
        <v>#REF!</v>
      </c>
      <c r="H203" s="76" t="e">
        <f>SUMIFS(#REF!,#REF!,$B203,#REF!,H$1)</f>
        <v>#REF!</v>
      </c>
      <c r="I203" s="76" t="e">
        <f>SUMIFS(#REF!,#REF!,$B203,#REF!,I$1)</f>
        <v>#REF!</v>
      </c>
      <c r="J203" s="76" t="e">
        <f>SUMIFS(#REF!,#REF!,$B203,#REF!,J$1)</f>
        <v>#REF!</v>
      </c>
      <c r="K203" s="76" t="e">
        <f>SUMIFS(#REF!,#REF!,$B203,#REF!,K$1)</f>
        <v>#REF!</v>
      </c>
      <c r="L203" s="76" t="e">
        <f>SUMIFS(#REF!,#REF!,$B203,#REF!,L$1)</f>
        <v>#REF!</v>
      </c>
      <c r="M203" s="76" t="e">
        <f>SUMIFS(#REF!,#REF!,$B203,#REF!,M$1)</f>
        <v>#REF!</v>
      </c>
      <c r="N203" s="76" t="e">
        <f>SUMIFS(#REF!,#REF!,$B203,#REF!,N$1)</f>
        <v>#REF!</v>
      </c>
      <c r="O203" s="76" t="e">
        <f>SUMIFS(#REF!,#REF!,$B203,#REF!,O$1)</f>
        <v>#REF!</v>
      </c>
      <c r="P203" s="76" t="e">
        <f>SUMIFS(#REF!,#REF!,$B203,#REF!,P$1)</f>
        <v>#REF!</v>
      </c>
      <c r="Q203" s="76" t="e">
        <f>SUMIFS(#REF!,#REF!,$B203,#REF!,Q$1)</f>
        <v>#REF!</v>
      </c>
      <c r="R203" s="76" t="e">
        <f>SUMIFS(#REF!,#REF!,$B203,#REF!,R$1)</f>
        <v>#REF!</v>
      </c>
      <c r="S203" s="76" t="e">
        <f>SUMIFS(#REF!,#REF!,$B203,#REF!,S$1)</f>
        <v>#REF!</v>
      </c>
      <c r="T203" s="76" t="e">
        <f>SUMIFS(#REF!,#REF!,$B203,#REF!,T$1)</f>
        <v>#REF!</v>
      </c>
      <c r="U203" s="76" t="e">
        <f>SUMIFS(#REF!,#REF!,$B203,#REF!,U$1)</f>
        <v>#REF!</v>
      </c>
      <c r="V203" s="76" t="e">
        <f>SUMIFS(#REF!,#REF!,$B203,#REF!,V$1)</f>
        <v>#REF!</v>
      </c>
      <c r="W203" s="76" t="e">
        <f>SUMIFS(#REF!,#REF!,$B203,#REF!,W$1)</f>
        <v>#REF!</v>
      </c>
      <c r="X203" s="76" t="e">
        <f>SUMIFS(#REF!,#REF!,$B203,#REF!,X$1)</f>
        <v>#REF!</v>
      </c>
      <c r="Y203" s="76" t="e">
        <f>SUMIFS(#REF!,#REF!,$B203,#REF!,Y$1)</f>
        <v>#REF!</v>
      </c>
      <c r="Z203" s="76" t="e">
        <f>SUMIFS(#REF!,#REF!,$B203,#REF!,Z$1)</f>
        <v>#REF!</v>
      </c>
      <c r="AA203" s="76" t="e">
        <f>SUMIFS(#REF!,#REF!,$B203,#REF!,AA$1)</f>
        <v>#REF!</v>
      </c>
      <c r="AB203" s="76" t="e">
        <f>SUMIFS(#REF!,#REF!,$B203,#REF!,AB$1)</f>
        <v>#REF!</v>
      </c>
      <c r="AC203" s="76" t="e">
        <f>SUMIFS(#REF!,#REF!,$B203,#REF!,AC$1)</f>
        <v>#REF!</v>
      </c>
      <c r="AD203" s="76" t="e">
        <f>SUMIFS(#REF!,#REF!,$B203,#REF!,AD$1)</f>
        <v>#REF!</v>
      </c>
      <c r="AE203" s="76" t="e">
        <f>SUMIFS(#REF!,#REF!,$B203,#REF!,AE$1)</f>
        <v>#REF!</v>
      </c>
      <c r="AF203" s="76" t="e">
        <f>SUMIFS(#REF!,#REF!,$B203,#REF!,AF$1)</f>
        <v>#REF!</v>
      </c>
      <c r="AG203" s="76" t="e">
        <f>SUMIFS(#REF!,#REF!,$B203,#REF!,AG$1)</f>
        <v>#REF!</v>
      </c>
      <c r="AH203" s="76" t="e">
        <f>SUMIFS(#REF!,#REF!,$B203,#REF!,AH$1)</f>
        <v>#REF!</v>
      </c>
      <c r="AI203" s="82"/>
    </row>
    <row r="204" spans="2:35" ht="15" hidden="1" customHeight="1" x14ac:dyDescent="0.25">
      <c r="B204" s="84"/>
      <c r="C204" s="83"/>
      <c r="D204" s="76" t="e">
        <f>SUMIFS(#REF!,#REF!,$B204,#REF!,D$1)</f>
        <v>#REF!</v>
      </c>
      <c r="E204" s="76" t="e">
        <f>SUMIFS(#REF!,#REF!,$B204,#REF!,E$1)</f>
        <v>#REF!</v>
      </c>
      <c r="F204" s="76" t="e">
        <f>SUMIFS(#REF!,#REF!,$B204,#REF!,F$1)</f>
        <v>#REF!</v>
      </c>
      <c r="G204" s="76" t="e">
        <f>SUMIFS(#REF!,#REF!,$B204,#REF!,G$1)</f>
        <v>#REF!</v>
      </c>
      <c r="H204" s="76" t="e">
        <f>SUMIFS(#REF!,#REF!,$B204,#REF!,H$1)</f>
        <v>#REF!</v>
      </c>
      <c r="I204" s="76" t="e">
        <f>SUMIFS(#REF!,#REF!,$B204,#REF!,I$1)</f>
        <v>#REF!</v>
      </c>
      <c r="J204" s="76" t="e">
        <f>SUMIFS(#REF!,#REF!,$B204,#REF!,J$1)</f>
        <v>#REF!</v>
      </c>
      <c r="K204" s="76" t="e">
        <f>SUMIFS(#REF!,#REF!,$B204,#REF!,K$1)</f>
        <v>#REF!</v>
      </c>
      <c r="L204" s="76" t="e">
        <f>SUMIFS(#REF!,#REF!,$B204,#REF!,L$1)</f>
        <v>#REF!</v>
      </c>
      <c r="M204" s="76" t="e">
        <f>SUMIFS(#REF!,#REF!,$B204,#REF!,M$1)</f>
        <v>#REF!</v>
      </c>
      <c r="N204" s="76" t="e">
        <f>SUMIFS(#REF!,#REF!,$B204,#REF!,N$1)</f>
        <v>#REF!</v>
      </c>
      <c r="O204" s="76" t="e">
        <f>SUMIFS(#REF!,#REF!,$B204,#REF!,O$1)</f>
        <v>#REF!</v>
      </c>
      <c r="P204" s="76" t="e">
        <f>SUMIFS(#REF!,#REF!,$B204,#REF!,P$1)</f>
        <v>#REF!</v>
      </c>
      <c r="Q204" s="76" t="e">
        <f>SUMIFS(#REF!,#REF!,$B204,#REF!,Q$1)</f>
        <v>#REF!</v>
      </c>
      <c r="R204" s="76" t="e">
        <f>SUMIFS(#REF!,#REF!,$B204,#REF!,R$1)</f>
        <v>#REF!</v>
      </c>
      <c r="S204" s="76" t="e">
        <f>SUMIFS(#REF!,#REF!,$B204,#REF!,S$1)</f>
        <v>#REF!</v>
      </c>
      <c r="T204" s="76" t="e">
        <f>SUMIFS(#REF!,#REF!,$B204,#REF!,T$1)</f>
        <v>#REF!</v>
      </c>
      <c r="U204" s="76" t="e">
        <f>SUMIFS(#REF!,#REF!,$B204,#REF!,U$1)</f>
        <v>#REF!</v>
      </c>
      <c r="V204" s="76" t="e">
        <f>SUMIFS(#REF!,#REF!,$B204,#REF!,V$1)</f>
        <v>#REF!</v>
      </c>
      <c r="W204" s="76" t="e">
        <f>SUMIFS(#REF!,#REF!,$B204,#REF!,W$1)</f>
        <v>#REF!</v>
      </c>
      <c r="X204" s="76" t="e">
        <f>SUMIFS(#REF!,#REF!,$B204,#REF!,X$1)</f>
        <v>#REF!</v>
      </c>
      <c r="Y204" s="76" t="e">
        <f>SUMIFS(#REF!,#REF!,$B204,#REF!,Y$1)</f>
        <v>#REF!</v>
      </c>
      <c r="Z204" s="76" t="e">
        <f>SUMIFS(#REF!,#REF!,$B204,#REF!,Z$1)</f>
        <v>#REF!</v>
      </c>
      <c r="AA204" s="76" t="e">
        <f>SUMIFS(#REF!,#REF!,$B204,#REF!,AA$1)</f>
        <v>#REF!</v>
      </c>
      <c r="AB204" s="76" t="e">
        <f>SUMIFS(#REF!,#REF!,$B204,#REF!,AB$1)</f>
        <v>#REF!</v>
      </c>
      <c r="AC204" s="76" t="e">
        <f>SUMIFS(#REF!,#REF!,$B204,#REF!,AC$1)</f>
        <v>#REF!</v>
      </c>
      <c r="AD204" s="76" t="e">
        <f>SUMIFS(#REF!,#REF!,$B204,#REF!,AD$1)</f>
        <v>#REF!</v>
      </c>
      <c r="AE204" s="76" t="e">
        <f>SUMIFS(#REF!,#REF!,$B204,#REF!,AE$1)</f>
        <v>#REF!</v>
      </c>
      <c r="AF204" s="76" t="e">
        <f>SUMIFS(#REF!,#REF!,$B204,#REF!,AF$1)</f>
        <v>#REF!</v>
      </c>
      <c r="AG204" s="76" t="e">
        <f>SUMIFS(#REF!,#REF!,$B204,#REF!,AG$1)</f>
        <v>#REF!</v>
      </c>
      <c r="AH204" s="76" t="e">
        <f>SUMIFS(#REF!,#REF!,$B204,#REF!,AH$1)</f>
        <v>#REF!</v>
      </c>
      <c r="AI204" s="82"/>
    </row>
    <row r="205" spans="2:35" ht="15" hidden="1" customHeight="1" x14ac:dyDescent="0.25">
      <c r="B205" s="84"/>
      <c r="C205" s="83"/>
      <c r="D205" s="76" t="e">
        <f>SUMIFS(#REF!,#REF!,$B205,#REF!,D$1)</f>
        <v>#REF!</v>
      </c>
      <c r="E205" s="76" t="e">
        <f>SUMIFS(#REF!,#REF!,$B205,#REF!,E$1)</f>
        <v>#REF!</v>
      </c>
      <c r="F205" s="76" t="e">
        <f>SUMIFS(#REF!,#REF!,$B205,#REF!,F$1)</f>
        <v>#REF!</v>
      </c>
      <c r="G205" s="76" t="e">
        <f>SUMIFS(#REF!,#REF!,$B205,#REF!,G$1)</f>
        <v>#REF!</v>
      </c>
      <c r="H205" s="76" t="e">
        <f>SUMIFS(#REF!,#REF!,$B205,#REF!,H$1)</f>
        <v>#REF!</v>
      </c>
      <c r="I205" s="76" t="e">
        <f>SUMIFS(#REF!,#REF!,$B205,#REF!,I$1)</f>
        <v>#REF!</v>
      </c>
      <c r="J205" s="76" t="e">
        <f>SUMIFS(#REF!,#REF!,$B205,#REF!,J$1)</f>
        <v>#REF!</v>
      </c>
      <c r="K205" s="76" t="e">
        <f>SUMIFS(#REF!,#REF!,$B205,#REF!,K$1)</f>
        <v>#REF!</v>
      </c>
      <c r="L205" s="76" t="e">
        <f>SUMIFS(#REF!,#REF!,$B205,#REF!,L$1)</f>
        <v>#REF!</v>
      </c>
      <c r="M205" s="76" t="e">
        <f>SUMIFS(#REF!,#REF!,$B205,#REF!,M$1)</f>
        <v>#REF!</v>
      </c>
      <c r="N205" s="76" t="e">
        <f>SUMIFS(#REF!,#REF!,$B205,#REF!,N$1)</f>
        <v>#REF!</v>
      </c>
      <c r="O205" s="76" t="e">
        <f>SUMIFS(#REF!,#REF!,$B205,#REF!,O$1)</f>
        <v>#REF!</v>
      </c>
      <c r="P205" s="76" t="e">
        <f>SUMIFS(#REF!,#REF!,$B205,#REF!,P$1)</f>
        <v>#REF!</v>
      </c>
      <c r="Q205" s="76" t="e">
        <f>SUMIFS(#REF!,#REF!,$B205,#REF!,Q$1)</f>
        <v>#REF!</v>
      </c>
      <c r="R205" s="76" t="e">
        <f>SUMIFS(#REF!,#REF!,$B205,#REF!,R$1)</f>
        <v>#REF!</v>
      </c>
      <c r="S205" s="76" t="e">
        <f>SUMIFS(#REF!,#REF!,$B205,#REF!,S$1)</f>
        <v>#REF!</v>
      </c>
      <c r="T205" s="76" t="e">
        <f>SUMIFS(#REF!,#REF!,$B205,#REF!,T$1)</f>
        <v>#REF!</v>
      </c>
      <c r="U205" s="76" t="e">
        <f>SUMIFS(#REF!,#REF!,$B205,#REF!,U$1)</f>
        <v>#REF!</v>
      </c>
      <c r="V205" s="76" t="e">
        <f>SUMIFS(#REF!,#REF!,$B205,#REF!,V$1)</f>
        <v>#REF!</v>
      </c>
      <c r="W205" s="76" t="e">
        <f>SUMIFS(#REF!,#REF!,$B205,#REF!,W$1)</f>
        <v>#REF!</v>
      </c>
      <c r="X205" s="76" t="e">
        <f>SUMIFS(#REF!,#REF!,$B205,#REF!,X$1)</f>
        <v>#REF!</v>
      </c>
      <c r="Y205" s="76" t="e">
        <f>SUMIFS(#REF!,#REF!,$B205,#REF!,Y$1)</f>
        <v>#REF!</v>
      </c>
      <c r="Z205" s="76" t="e">
        <f>SUMIFS(#REF!,#REF!,$B205,#REF!,Z$1)</f>
        <v>#REF!</v>
      </c>
      <c r="AA205" s="76" t="e">
        <f>SUMIFS(#REF!,#REF!,$B205,#REF!,AA$1)</f>
        <v>#REF!</v>
      </c>
      <c r="AB205" s="76" t="e">
        <f>SUMIFS(#REF!,#REF!,$B205,#REF!,AB$1)</f>
        <v>#REF!</v>
      </c>
      <c r="AC205" s="76" t="e">
        <f>SUMIFS(#REF!,#REF!,$B205,#REF!,AC$1)</f>
        <v>#REF!</v>
      </c>
      <c r="AD205" s="76" t="e">
        <f>SUMIFS(#REF!,#REF!,$B205,#REF!,AD$1)</f>
        <v>#REF!</v>
      </c>
      <c r="AE205" s="76" t="e">
        <f>SUMIFS(#REF!,#REF!,$B205,#REF!,AE$1)</f>
        <v>#REF!</v>
      </c>
      <c r="AF205" s="76" t="e">
        <f>SUMIFS(#REF!,#REF!,$B205,#REF!,AF$1)</f>
        <v>#REF!</v>
      </c>
      <c r="AG205" s="76" t="e">
        <f>SUMIFS(#REF!,#REF!,$B205,#REF!,AG$1)</f>
        <v>#REF!</v>
      </c>
      <c r="AH205" s="76" t="e">
        <f>SUMIFS(#REF!,#REF!,$B205,#REF!,AH$1)</f>
        <v>#REF!</v>
      </c>
      <c r="AI205" s="82"/>
    </row>
    <row r="206" spans="2:35" ht="15" hidden="1" customHeight="1" x14ac:dyDescent="0.25">
      <c r="B206" s="84"/>
      <c r="C206" s="83"/>
      <c r="D206" s="76" t="e">
        <f>SUMIFS(#REF!,#REF!,$B206,#REF!,D$1)</f>
        <v>#REF!</v>
      </c>
      <c r="E206" s="76" t="e">
        <f>SUMIFS(#REF!,#REF!,$B206,#REF!,E$1)</f>
        <v>#REF!</v>
      </c>
      <c r="F206" s="76" t="e">
        <f>SUMIFS(#REF!,#REF!,$B206,#REF!,F$1)</f>
        <v>#REF!</v>
      </c>
      <c r="G206" s="76" t="e">
        <f>SUMIFS(#REF!,#REF!,$B206,#REF!,G$1)</f>
        <v>#REF!</v>
      </c>
      <c r="H206" s="76" t="e">
        <f>SUMIFS(#REF!,#REF!,$B206,#REF!,H$1)</f>
        <v>#REF!</v>
      </c>
      <c r="I206" s="76" t="e">
        <f>SUMIFS(#REF!,#REF!,$B206,#REF!,I$1)</f>
        <v>#REF!</v>
      </c>
      <c r="J206" s="76" t="e">
        <f>SUMIFS(#REF!,#REF!,$B206,#REF!,J$1)</f>
        <v>#REF!</v>
      </c>
      <c r="K206" s="76" t="e">
        <f>SUMIFS(#REF!,#REF!,$B206,#REF!,K$1)</f>
        <v>#REF!</v>
      </c>
      <c r="L206" s="76" t="e">
        <f>SUMIFS(#REF!,#REF!,$B206,#REF!,L$1)</f>
        <v>#REF!</v>
      </c>
      <c r="M206" s="76" t="e">
        <f>SUMIFS(#REF!,#REF!,$B206,#REF!,M$1)</f>
        <v>#REF!</v>
      </c>
      <c r="N206" s="76" t="e">
        <f>SUMIFS(#REF!,#REF!,$B206,#REF!,N$1)</f>
        <v>#REF!</v>
      </c>
      <c r="O206" s="76" t="e">
        <f>SUMIFS(#REF!,#REF!,$B206,#REF!,O$1)</f>
        <v>#REF!</v>
      </c>
      <c r="P206" s="76" t="e">
        <f>SUMIFS(#REF!,#REF!,$B206,#REF!,P$1)</f>
        <v>#REF!</v>
      </c>
      <c r="Q206" s="76" t="e">
        <f>SUMIFS(#REF!,#REF!,$B206,#REF!,Q$1)</f>
        <v>#REF!</v>
      </c>
      <c r="R206" s="76" t="e">
        <f>SUMIFS(#REF!,#REF!,$B206,#REF!,R$1)</f>
        <v>#REF!</v>
      </c>
      <c r="S206" s="76" t="e">
        <f>SUMIFS(#REF!,#REF!,$B206,#REF!,S$1)</f>
        <v>#REF!</v>
      </c>
      <c r="T206" s="76" t="e">
        <f>SUMIFS(#REF!,#REF!,$B206,#REF!,T$1)</f>
        <v>#REF!</v>
      </c>
      <c r="U206" s="76" t="e">
        <f>SUMIFS(#REF!,#REF!,$B206,#REF!,U$1)</f>
        <v>#REF!</v>
      </c>
      <c r="V206" s="76" t="e">
        <f>SUMIFS(#REF!,#REF!,$B206,#REF!,V$1)</f>
        <v>#REF!</v>
      </c>
      <c r="W206" s="76" t="e">
        <f>SUMIFS(#REF!,#REF!,$B206,#REF!,W$1)</f>
        <v>#REF!</v>
      </c>
      <c r="X206" s="76" t="e">
        <f>SUMIFS(#REF!,#REF!,$B206,#REF!,X$1)</f>
        <v>#REF!</v>
      </c>
      <c r="Y206" s="76" t="e">
        <f>SUMIFS(#REF!,#REF!,$B206,#REF!,Y$1)</f>
        <v>#REF!</v>
      </c>
      <c r="Z206" s="76" t="e">
        <f>SUMIFS(#REF!,#REF!,$B206,#REF!,Z$1)</f>
        <v>#REF!</v>
      </c>
      <c r="AA206" s="76" t="e">
        <f>SUMIFS(#REF!,#REF!,$B206,#REF!,AA$1)</f>
        <v>#REF!</v>
      </c>
      <c r="AB206" s="76" t="e">
        <f>SUMIFS(#REF!,#REF!,$B206,#REF!,AB$1)</f>
        <v>#REF!</v>
      </c>
      <c r="AC206" s="76" t="e">
        <f>SUMIFS(#REF!,#REF!,$B206,#REF!,AC$1)</f>
        <v>#REF!</v>
      </c>
      <c r="AD206" s="76" t="e">
        <f>SUMIFS(#REF!,#REF!,$B206,#REF!,AD$1)</f>
        <v>#REF!</v>
      </c>
      <c r="AE206" s="76" t="e">
        <f>SUMIFS(#REF!,#REF!,$B206,#REF!,AE$1)</f>
        <v>#REF!</v>
      </c>
      <c r="AF206" s="76" t="e">
        <f>SUMIFS(#REF!,#REF!,$B206,#REF!,AF$1)</f>
        <v>#REF!</v>
      </c>
      <c r="AG206" s="76" t="e">
        <f>SUMIFS(#REF!,#REF!,$B206,#REF!,AG$1)</f>
        <v>#REF!</v>
      </c>
      <c r="AH206" s="76" t="e">
        <f>SUMIFS(#REF!,#REF!,$B206,#REF!,AH$1)</f>
        <v>#REF!</v>
      </c>
      <c r="AI206" s="82"/>
    </row>
    <row r="207" spans="2:35" ht="15" hidden="1" customHeight="1" x14ac:dyDescent="0.25">
      <c r="B207" s="84"/>
      <c r="C207" s="83"/>
      <c r="D207" s="76" t="e">
        <f>SUMIFS(#REF!,#REF!,$B207,#REF!,D$1)</f>
        <v>#REF!</v>
      </c>
      <c r="E207" s="76" t="e">
        <f>SUMIFS(#REF!,#REF!,$B207,#REF!,E$1)</f>
        <v>#REF!</v>
      </c>
      <c r="F207" s="76" t="e">
        <f>SUMIFS(#REF!,#REF!,$B207,#REF!,F$1)</f>
        <v>#REF!</v>
      </c>
      <c r="G207" s="76" t="e">
        <f>SUMIFS(#REF!,#REF!,$B207,#REF!,G$1)</f>
        <v>#REF!</v>
      </c>
      <c r="H207" s="76" t="e">
        <f>SUMIFS(#REF!,#REF!,$B207,#REF!,H$1)</f>
        <v>#REF!</v>
      </c>
      <c r="I207" s="76" t="e">
        <f>SUMIFS(#REF!,#REF!,$B207,#REF!,I$1)</f>
        <v>#REF!</v>
      </c>
      <c r="J207" s="76" t="e">
        <f>SUMIFS(#REF!,#REF!,$B207,#REF!,J$1)</f>
        <v>#REF!</v>
      </c>
      <c r="K207" s="76" t="e">
        <f>SUMIFS(#REF!,#REF!,$B207,#REF!,K$1)</f>
        <v>#REF!</v>
      </c>
      <c r="L207" s="76" t="e">
        <f>SUMIFS(#REF!,#REF!,$B207,#REF!,L$1)</f>
        <v>#REF!</v>
      </c>
      <c r="M207" s="76" t="e">
        <f>SUMIFS(#REF!,#REF!,$B207,#REF!,M$1)</f>
        <v>#REF!</v>
      </c>
      <c r="N207" s="76" t="e">
        <f>SUMIFS(#REF!,#REF!,$B207,#REF!,N$1)</f>
        <v>#REF!</v>
      </c>
      <c r="O207" s="76" t="e">
        <f>SUMIFS(#REF!,#REF!,$B207,#REF!,O$1)</f>
        <v>#REF!</v>
      </c>
      <c r="P207" s="76" t="e">
        <f>SUMIFS(#REF!,#REF!,$B207,#REF!,P$1)</f>
        <v>#REF!</v>
      </c>
      <c r="Q207" s="76" t="e">
        <f>SUMIFS(#REF!,#REF!,$B207,#REF!,Q$1)</f>
        <v>#REF!</v>
      </c>
      <c r="R207" s="76" t="e">
        <f>SUMIFS(#REF!,#REF!,$B207,#REF!,R$1)</f>
        <v>#REF!</v>
      </c>
      <c r="S207" s="76" t="e">
        <f>SUMIFS(#REF!,#REF!,$B207,#REF!,S$1)</f>
        <v>#REF!</v>
      </c>
      <c r="T207" s="76" t="e">
        <f>SUMIFS(#REF!,#REF!,$B207,#REF!,T$1)</f>
        <v>#REF!</v>
      </c>
      <c r="U207" s="76" t="e">
        <f>SUMIFS(#REF!,#REF!,$B207,#REF!,U$1)</f>
        <v>#REF!</v>
      </c>
      <c r="V207" s="76" t="e">
        <f>SUMIFS(#REF!,#REF!,$B207,#REF!,V$1)</f>
        <v>#REF!</v>
      </c>
      <c r="W207" s="76" t="e">
        <f>SUMIFS(#REF!,#REF!,$B207,#REF!,W$1)</f>
        <v>#REF!</v>
      </c>
      <c r="X207" s="76" t="e">
        <f>SUMIFS(#REF!,#REF!,$B207,#REF!,X$1)</f>
        <v>#REF!</v>
      </c>
      <c r="Y207" s="76" t="e">
        <f>SUMIFS(#REF!,#REF!,$B207,#REF!,Y$1)</f>
        <v>#REF!</v>
      </c>
      <c r="Z207" s="76" t="e">
        <f>SUMIFS(#REF!,#REF!,$B207,#REF!,Z$1)</f>
        <v>#REF!</v>
      </c>
      <c r="AA207" s="76" t="e">
        <f>SUMIFS(#REF!,#REF!,$B207,#REF!,AA$1)</f>
        <v>#REF!</v>
      </c>
      <c r="AB207" s="76" t="e">
        <f>SUMIFS(#REF!,#REF!,$B207,#REF!,AB$1)</f>
        <v>#REF!</v>
      </c>
      <c r="AC207" s="76" t="e">
        <f>SUMIFS(#REF!,#REF!,$B207,#REF!,AC$1)</f>
        <v>#REF!</v>
      </c>
      <c r="AD207" s="76" t="e">
        <f>SUMIFS(#REF!,#REF!,$B207,#REF!,AD$1)</f>
        <v>#REF!</v>
      </c>
      <c r="AE207" s="76" t="e">
        <f>SUMIFS(#REF!,#REF!,$B207,#REF!,AE$1)</f>
        <v>#REF!</v>
      </c>
      <c r="AF207" s="76" t="e">
        <f>SUMIFS(#REF!,#REF!,$B207,#REF!,AF$1)</f>
        <v>#REF!</v>
      </c>
      <c r="AG207" s="76" t="e">
        <f>SUMIFS(#REF!,#REF!,$B207,#REF!,AG$1)</f>
        <v>#REF!</v>
      </c>
      <c r="AH207" s="76" t="e">
        <f>SUMIFS(#REF!,#REF!,$B207,#REF!,AH$1)</f>
        <v>#REF!</v>
      </c>
      <c r="AI207" s="82"/>
    </row>
    <row r="208" spans="2:35" ht="15" hidden="1" customHeight="1" x14ac:dyDescent="0.25">
      <c r="B208" s="84"/>
      <c r="C208" s="83"/>
      <c r="D208" s="76" t="e">
        <f>SUMIFS(#REF!,#REF!,$B208,#REF!,D$1)</f>
        <v>#REF!</v>
      </c>
      <c r="E208" s="76" t="e">
        <f>SUMIFS(#REF!,#REF!,$B208,#REF!,E$1)</f>
        <v>#REF!</v>
      </c>
      <c r="F208" s="76" t="e">
        <f>SUMIFS(#REF!,#REF!,$B208,#REF!,F$1)</f>
        <v>#REF!</v>
      </c>
      <c r="G208" s="76" t="e">
        <f>SUMIFS(#REF!,#REF!,$B208,#REF!,G$1)</f>
        <v>#REF!</v>
      </c>
      <c r="H208" s="76" t="e">
        <f>SUMIFS(#REF!,#REF!,$B208,#REF!,H$1)</f>
        <v>#REF!</v>
      </c>
      <c r="I208" s="76" t="e">
        <f>SUMIFS(#REF!,#REF!,$B208,#REF!,I$1)</f>
        <v>#REF!</v>
      </c>
      <c r="J208" s="76" t="e">
        <f>SUMIFS(#REF!,#REF!,$B208,#REF!,J$1)</f>
        <v>#REF!</v>
      </c>
      <c r="K208" s="76" t="e">
        <f>SUMIFS(#REF!,#REF!,$B208,#REF!,K$1)</f>
        <v>#REF!</v>
      </c>
      <c r="L208" s="76" t="e">
        <f>SUMIFS(#REF!,#REF!,$B208,#REF!,L$1)</f>
        <v>#REF!</v>
      </c>
      <c r="M208" s="76" t="e">
        <f>SUMIFS(#REF!,#REF!,$B208,#REF!,M$1)</f>
        <v>#REF!</v>
      </c>
      <c r="N208" s="76" t="e">
        <f>SUMIFS(#REF!,#REF!,$B208,#REF!,N$1)</f>
        <v>#REF!</v>
      </c>
      <c r="O208" s="76" t="e">
        <f>SUMIFS(#REF!,#REF!,$B208,#REF!,O$1)</f>
        <v>#REF!</v>
      </c>
      <c r="P208" s="76" t="e">
        <f>SUMIFS(#REF!,#REF!,$B208,#REF!,P$1)</f>
        <v>#REF!</v>
      </c>
      <c r="Q208" s="76" t="e">
        <f>SUMIFS(#REF!,#REF!,$B208,#REF!,Q$1)</f>
        <v>#REF!</v>
      </c>
      <c r="R208" s="76" t="e">
        <f>SUMIFS(#REF!,#REF!,$B208,#REF!,R$1)</f>
        <v>#REF!</v>
      </c>
      <c r="S208" s="76" t="e">
        <f>SUMIFS(#REF!,#REF!,$B208,#REF!,S$1)</f>
        <v>#REF!</v>
      </c>
      <c r="T208" s="76" t="e">
        <f>SUMIFS(#REF!,#REF!,$B208,#REF!,T$1)</f>
        <v>#REF!</v>
      </c>
      <c r="U208" s="76" t="e">
        <f>SUMIFS(#REF!,#REF!,$B208,#REF!,U$1)</f>
        <v>#REF!</v>
      </c>
      <c r="V208" s="76" t="e">
        <f>SUMIFS(#REF!,#REF!,$B208,#REF!,V$1)</f>
        <v>#REF!</v>
      </c>
      <c r="W208" s="76" t="e">
        <f>SUMIFS(#REF!,#REF!,$B208,#REF!,W$1)</f>
        <v>#REF!</v>
      </c>
      <c r="X208" s="76" t="e">
        <f>SUMIFS(#REF!,#REF!,$B208,#REF!,X$1)</f>
        <v>#REF!</v>
      </c>
      <c r="Y208" s="76" t="e">
        <f>SUMIFS(#REF!,#REF!,$B208,#REF!,Y$1)</f>
        <v>#REF!</v>
      </c>
      <c r="Z208" s="76" t="e">
        <f>SUMIFS(#REF!,#REF!,$B208,#REF!,Z$1)</f>
        <v>#REF!</v>
      </c>
      <c r="AA208" s="76" t="e">
        <f>SUMIFS(#REF!,#REF!,$B208,#REF!,AA$1)</f>
        <v>#REF!</v>
      </c>
      <c r="AB208" s="76" t="e">
        <f>SUMIFS(#REF!,#REF!,$B208,#REF!,AB$1)</f>
        <v>#REF!</v>
      </c>
      <c r="AC208" s="76" t="e">
        <f>SUMIFS(#REF!,#REF!,$B208,#REF!,AC$1)</f>
        <v>#REF!</v>
      </c>
      <c r="AD208" s="76" t="e">
        <f>SUMIFS(#REF!,#REF!,$B208,#REF!,AD$1)</f>
        <v>#REF!</v>
      </c>
      <c r="AE208" s="76" t="e">
        <f>SUMIFS(#REF!,#REF!,$B208,#REF!,AE$1)</f>
        <v>#REF!</v>
      </c>
      <c r="AF208" s="76" t="e">
        <f>SUMIFS(#REF!,#REF!,$B208,#REF!,AF$1)</f>
        <v>#REF!</v>
      </c>
      <c r="AG208" s="76" t="e">
        <f>SUMIFS(#REF!,#REF!,$B208,#REF!,AG$1)</f>
        <v>#REF!</v>
      </c>
      <c r="AH208" s="76" t="e">
        <f>SUMIFS(#REF!,#REF!,$B208,#REF!,AH$1)</f>
        <v>#REF!</v>
      </c>
      <c r="AI208" s="82"/>
    </row>
    <row r="209" spans="2:35" ht="15" hidden="1" customHeight="1" x14ac:dyDescent="0.25">
      <c r="B209" s="84"/>
      <c r="C209" s="83"/>
      <c r="D209" s="76" t="e">
        <f>SUMIFS(#REF!,#REF!,$B209,#REF!,D$1)</f>
        <v>#REF!</v>
      </c>
      <c r="E209" s="76" t="e">
        <f>SUMIFS(#REF!,#REF!,$B209,#REF!,E$1)</f>
        <v>#REF!</v>
      </c>
      <c r="F209" s="76" t="e">
        <f>SUMIFS(#REF!,#REF!,$B209,#REF!,F$1)</f>
        <v>#REF!</v>
      </c>
      <c r="G209" s="76" t="e">
        <f>SUMIFS(#REF!,#REF!,$B209,#REF!,G$1)</f>
        <v>#REF!</v>
      </c>
      <c r="H209" s="76" t="e">
        <f>SUMIFS(#REF!,#REF!,$B209,#REF!,H$1)</f>
        <v>#REF!</v>
      </c>
      <c r="I209" s="76" t="e">
        <f>SUMIFS(#REF!,#REF!,$B209,#REF!,I$1)</f>
        <v>#REF!</v>
      </c>
      <c r="J209" s="76" t="e">
        <f>SUMIFS(#REF!,#REF!,$B209,#REF!,J$1)</f>
        <v>#REF!</v>
      </c>
      <c r="K209" s="76" t="e">
        <f>SUMIFS(#REF!,#REF!,$B209,#REF!,K$1)</f>
        <v>#REF!</v>
      </c>
      <c r="L209" s="76" t="e">
        <f>SUMIFS(#REF!,#REF!,$B209,#REF!,L$1)</f>
        <v>#REF!</v>
      </c>
      <c r="M209" s="76" t="e">
        <f>SUMIFS(#REF!,#REF!,$B209,#REF!,M$1)</f>
        <v>#REF!</v>
      </c>
      <c r="N209" s="76" t="e">
        <f>SUMIFS(#REF!,#REF!,$B209,#REF!,N$1)</f>
        <v>#REF!</v>
      </c>
      <c r="O209" s="76" t="e">
        <f>SUMIFS(#REF!,#REF!,$B209,#REF!,O$1)</f>
        <v>#REF!</v>
      </c>
      <c r="P209" s="76" t="e">
        <f>SUMIFS(#REF!,#REF!,$B209,#REF!,P$1)</f>
        <v>#REF!</v>
      </c>
      <c r="Q209" s="76" t="e">
        <f>SUMIFS(#REF!,#REF!,$B209,#REF!,Q$1)</f>
        <v>#REF!</v>
      </c>
      <c r="R209" s="76" t="e">
        <f>SUMIFS(#REF!,#REF!,$B209,#REF!,R$1)</f>
        <v>#REF!</v>
      </c>
      <c r="S209" s="76" t="e">
        <f>SUMIFS(#REF!,#REF!,$B209,#REF!,S$1)</f>
        <v>#REF!</v>
      </c>
      <c r="T209" s="76" t="e">
        <f>SUMIFS(#REF!,#REF!,$B209,#REF!,T$1)</f>
        <v>#REF!</v>
      </c>
      <c r="U209" s="76" t="e">
        <f>SUMIFS(#REF!,#REF!,$B209,#REF!,U$1)</f>
        <v>#REF!</v>
      </c>
      <c r="V209" s="76" t="e">
        <f>SUMIFS(#REF!,#REF!,$B209,#REF!,V$1)</f>
        <v>#REF!</v>
      </c>
      <c r="W209" s="76" t="e">
        <f>SUMIFS(#REF!,#REF!,$B209,#REF!,W$1)</f>
        <v>#REF!</v>
      </c>
      <c r="X209" s="76" t="e">
        <f>SUMIFS(#REF!,#REF!,$B209,#REF!,X$1)</f>
        <v>#REF!</v>
      </c>
      <c r="Y209" s="76" t="e">
        <f>SUMIFS(#REF!,#REF!,$B209,#REF!,Y$1)</f>
        <v>#REF!</v>
      </c>
      <c r="Z209" s="76" t="e">
        <f>SUMIFS(#REF!,#REF!,$B209,#REF!,Z$1)</f>
        <v>#REF!</v>
      </c>
      <c r="AA209" s="76" t="e">
        <f>SUMIFS(#REF!,#REF!,$B209,#REF!,AA$1)</f>
        <v>#REF!</v>
      </c>
      <c r="AB209" s="76" t="e">
        <f>SUMIFS(#REF!,#REF!,$B209,#REF!,AB$1)</f>
        <v>#REF!</v>
      </c>
      <c r="AC209" s="76" t="e">
        <f>SUMIFS(#REF!,#REF!,$B209,#REF!,AC$1)</f>
        <v>#REF!</v>
      </c>
      <c r="AD209" s="76" t="e">
        <f>SUMIFS(#REF!,#REF!,$B209,#REF!,AD$1)</f>
        <v>#REF!</v>
      </c>
      <c r="AE209" s="76" t="e">
        <f>SUMIFS(#REF!,#REF!,$B209,#REF!,AE$1)</f>
        <v>#REF!</v>
      </c>
      <c r="AF209" s="76" t="e">
        <f>SUMIFS(#REF!,#REF!,$B209,#REF!,AF$1)</f>
        <v>#REF!</v>
      </c>
      <c r="AG209" s="76" t="e">
        <f>SUMIFS(#REF!,#REF!,$B209,#REF!,AG$1)</f>
        <v>#REF!</v>
      </c>
      <c r="AH209" s="76" t="e">
        <f>SUMIFS(#REF!,#REF!,$B209,#REF!,AH$1)</f>
        <v>#REF!</v>
      </c>
      <c r="AI209" s="82"/>
    </row>
    <row r="210" spans="2:35" ht="15" hidden="1" customHeight="1" x14ac:dyDescent="0.25">
      <c r="B210" s="84"/>
      <c r="C210" s="83"/>
      <c r="D210" s="76" t="e">
        <f>SUMIFS(#REF!,#REF!,$B210,#REF!,D$1)</f>
        <v>#REF!</v>
      </c>
      <c r="E210" s="76" t="e">
        <f>SUMIFS(#REF!,#REF!,$B210,#REF!,E$1)</f>
        <v>#REF!</v>
      </c>
      <c r="F210" s="76" t="e">
        <f>SUMIFS(#REF!,#REF!,$B210,#REF!,F$1)</f>
        <v>#REF!</v>
      </c>
      <c r="G210" s="76" t="e">
        <f>SUMIFS(#REF!,#REF!,$B210,#REF!,G$1)</f>
        <v>#REF!</v>
      </c>
      <c r="H210" s="76" t="e">
        <f>SUMIFS(#REF!,#REF!,$B210,#REF!,H$1)</f>
        <v>#REF!</v>
      </c>
      <c r="I210" s="76" t="e">
        <f>SUMIFS(#REF!,#REF!,$B210,#REF!,I$1)</f>
        <v>#REF!</v>
      </c>
      <c r="J210" s="76" t="e">
        <f>SUMIFS(#REF!,#REF!,$B210,#REF!,J$1)</f>
        <v>#REF!</v>
      </c>
      <c r="K210" s="76" t="e">
        <f>SUMIFS(#REF!,#REF!,$B210,#REF!,K$1)</f>
        <v>#REF!</v>
      </c>
      <c r="L210" s="76" t="e">
        <f>SUMIFS(#REF!,#REF!,$B210,#REF!,L$1)</f>
        <v>#REF!</v>
      </c>
      <c r="M210" s="76" t="e">
        <f>SUMIFS(#REF!,#REF!,$B210,#REF!,M$1)</f>
        <v>#REF!</v>
      </c>
      <c r="N210" s="76" t="e">
        <f>SUMIFS(#REF!,#REF!,$B210,#REF!,N$1)</f>
        <v>#REF!</v>
      </c>
      <c r="O210" s="76" t="e">
        <f>SUMIFS(#REF!,#REF!,$B210,#REF!,O$1)</f>
        <v>#REF!</v>
      </c>
      <c r="P210" s="76" t="e">
        <f>SUMIFS(#REF!,#REF!,$B210,#REF!,P$1)</f>
        <v>#REF!</v>
      </c>
      <c r="Q210" s="76" t="e">
        <f>SUMIFS(#REF!,#REF!,$B210,#REF!,Q$1)</f>
        <v>#REF!</v>
      </c>
      <c r="R210" s="76" t="e">
        <f>SUMIFS(#REF!,#REF!,$B210,#REF!,R$1)</f>
        <v>#REF!</v>
      </c>
      <c r="S210" s="76" t="e">
        <f>SUMIFS(#REF!,#REF!,$B210,#REF!,S$1)</f>
        <v>#REF!</v>
      </c>
      <c r="T210" s="76" t="e">
        <f>SUMIFS(#REF!,#REF!,$B210,#REF!,T$1)</f>
        <v>#REF!</v>
      </c>
      <c r="U210" s="76" t="e">
        <f>SUMIFS(#REF!,#REF!,$B210,#REF!,U$1)</f>
        <v>#REF!</v>
      </c>
      <c r="V210" s="76" t="e">
        <f>SUMIFS(#REF!,#REF!,$B210,#REF!,V$1)</f>
        <v>#REF!</v>
      </c>
      <c r="W210" s="76" t="e">
        <f>SUMIFS(#REF!,#REF!,$B210,#REF!,W$1)</f>
        <v>#REF!</v>
      </c>
      <c r="X210" s="76" t="e">
        <f>SUMIFS(#REF!,#REF!,$B210,#REF!,X$1)</f>
        <v>#REF!</v>
      </c>
      <c r="Y210" s="76" t="e">
        <f>SUMIFS(#REF!,#REF!,$B210,#REF!,Y$1)</f>
        <v>#REF!</v>
      </c>
      <c r="Z210" s="76" t="e">
        <f>SUMIFS(#REF!,#REF!,$B210,#REF!,Z$1)</f>
        <v>#REF!</v>
      </c>
      <c r="AA210" s="76" t="e">
        <f>SUMIFS(#REF!,#REF!,$B210,#REF!,AA$1)</f>
        <v>#REF!</v>
      </c>
      <c r="AB210" s="76" t="e">
        <f>SUMIFS(#REF!,#REF!,$B210,#REF!,AB$1)</f>
        <v>#REF!</v>
      </c>
      <c r="AC210" s="76" t="e">
        <f>SUMIFS(#REF!,#REF!,$B210,#REF!,AC$1)</f>
        <v>#REF!</v>
      </c>
      <c r="AD210" s="76" t="e">
        <f>SUMIFS(#REF!,#REF!,$B210,#REF!,AD$1)</f>
        <v>#REF!</v>
      </c>
      <c r="AE210" s="76" t="e">
        <f>SUMIFS(#REF!,#REF!,$B210,#REF!,AE$1)</f>
        <v>#REF!</v>
      </c>
      <c r="AF210" s="76" t="e">
        <f>SUMIFS(#REF!,#REF!,$B210,#REF!,AF$1)</f>
        <v>#REF!</v>
      </c>
      <c r="AG210" s="76" t="e">
        <f>SUMIFS(#REF!,#REF!,$B210,#REF!,AG$1)</f>
        <v>#REF!</v>
      </c>
      <c r="AH210" s="76" t="e">
        <f>SUMIFS(#REF!,#REF!,$B210,#REF!,AH$1)</f>
        <v>#REF!</v>
      </c>
      <c r="AI210" s="82"/>
    </row>
    <row r="211" spans="2:35" ht="15" hidden="1" customHeight="1" x14ac:dyDescent="0.25">
      <c r="B211" s="84"/>
      <c r="C211" s="83"/>
      <c r="D211" s="76" t="e">
        <f>SUMIFS(#REF!,#REF!,$B211,#REF!,D$1)</f>
        <v>#REF!</v>
      </c>
      <c r="E211" s="76" t="e">
        <f>SUMIFS(#REF!,#REF!,$B211,#REF!,E$1)</f>
        <v>#REF!</v>
      </c>
      <c r="F211" s="76" t="e">
        <f>SUMIFS(#REF!,#REF!,$B211,#REF!,F$1)</f>
        <v>#REF!</v>
      </c>
      <c r="G211" s="76" t="e">
        <f>SUMIFS(#REF!,#REF!,$B211,#REF!,G$1)</f>
        <v>#REF!</v>
      </c>
      <c r="H211" s="76" t="e">
        <f>SUMIFS(#REF!,#REF!,$B211,#REF!,H$1)</f>
        <v>#REF!</v>
      </c>
      <c r="I211" s="76" t="e">
        <f>SUMIFS(#REF!,#REF!,$B211,#REF!,I$1)</f>
        <v>#REF!</v>
      </c>
      <c r="J211" s="76" t="e">
        <f>SUMIFS(#REF!,#REF!,$B211,#REF!,J$1)</f>
        <v>#REF!</v>
      </c>
      <c r="K211" s="76" t="e">
        <f>SUMIFS(#REF!,#REF!,$B211,#REF!,K$1)</f>
        <v>#REF!</v>
      </c>
      <c r="L211" s="76" t="e">
        <f>SUMIFS(#REF!,#REF!,$B211,#REF!,L$1)</f>
        <v>#REF!</v>
      </c>
      <c r="M211" s="76" t="e">
        <f>SUMIFS(#REF!,#REF!,$B211,#REF!,M$1)</f>
        <v>#REF!</v>
      </c>
      <c r="N211" s="76" t="e">
        <f>SUMIFS(#REF!,#REF!,$B211,#REF!,N$1)</f>
        <v>#REF!</v>
      </c>
      <c r="O211" s="76" t="e">
        <f>SUMIFS(#REF!,#REF!,$B211,#REF!,O$1)</f>
        <v>#REF!</v>
      </c>
      <c r="P211" s="76" t="e">
        <f>SUMIFS(#REF!,#REF!,$B211,#REF!,P$1)</f>
        <v>#REF!</v>
      </c>
      <c r="Q211" s="76" t="e">
        <f>SUMIFS(#REF!,#REF!,$B211,#REF!,Q$1)</f>
        <v>#REF!</v>
      </c>
      <c r="R211" s="76" t="e">
        <f>SUMIFS(#REF!,#REF!,$B211,#REF!,R$1)</f>
        <v>#REF!</v>
      </c>
      <c r="S211" s="76" t="e">
        <f>SUMIFS(#REF!,#REF!,$B211,#REF!,S$1)</f>
        <v>#REF!</v>
      </c>
      <c r="T211" s="76" t="e">
        <f>SUMIFS(#REF!,#REF!,$B211,#REF!,T$1)</f>
        <v>#REF!</v>
      </c>
      <c r="U211" s="76" t="e">
        <f>SUMIFS(#REF!,#REF!,$B211,#REF!,U$1)</f>
        <v>#REF!</v>
      </c>
      <c r="V211" s="76" t="e">
        <f>SUMIFS(#REF!,#REF!,$B211,#REF!,V$1)</f>
        <v>#REF!</v>
      </c>
      <c r="W211" s="76" t="e">
        <f>SUMIFS(#REF!,#REF!,$B211,#REF!,W$1)</f>
        <v>#REF!</v>
      </c>
      <c r="X211" s="76" t="e">
        <f>SUMIFS(#REF!,#REF!,$B211,#REF!,X$1)</f>
        <v>#REF!</v>
      </c>
      <c r="Y211" s="76" t="e">
        <f>SUMIFS(#REF!,#REF!,$B211,#REF!,Y$1)</f>
        <v>#REF!</v>
      </c>
      <c r="Z211" s="76" t="e">
        <f>SUMIFS(#REF!,#REF!,$B211,#REF!,Z$1)</f>
        <v>#REF!</v>
      </c>
      <c r="AA211" s="76" t="e">
        <f>SUMIFS(#REF!,#REF!,$B211,#REF!,AA$1)</f>
        <v>#REF!</v>
      </c>
      <c r="AB211" s="76" t="e">
        <f>SUMIFS(#REF!,#REF!,$B211,#REF!,AB$1)</f>
        <v>#REF!</v>
      </c>
      <c r="AC211" s="76" t="e">
        <f>SUMIFS(#REF!,#REF!,$B211,#REF!,AC$1)</f>
        <v>#REF!</v>
      </c>
      <c r="AD211" s="76" t="e">
        <f>SUMIFS(#REF!,#REF!,$B211,#REF!,AD$1)</f>
        <v>#REF!</v>
      </c>
      <c r="AE211" s="76" t="e">
        <f>SUMIFS(#REF!,#REF!,$B211,#REF!,AE$1)</f>
        <v>#REF!</v>
      </c>
      <c r="AF211" s="76" t="e">
        <f>SUMIFS(#REF!,#REF!,$B211,#REF!,AF$1)</f>
        <v>#REF!</v>
      </c>
      <c r="AG211" s="76" t="e">
        <f>SUMIFS(#REF!,#REF!,$B211,#REF!,AG$1)</f>
        <v>#REF!</v>
      </c>
      <c r="AH211" s="76" t="e">
        <f>SUMIFS(#REF!,#REF!,$B211,#REF!,AH$1)</f>
        <v>#REF!</v>
      </c>
      <c r="AI211" s="82"/>
    </row>
    <row r="212" spans="2:35" ht="15" hidden="1" customHeight="1" x14ac:dyDescent="0.25">
      <c r="B212" s="84"/>
      <c r="C212" s="83"/>
      <c r="D212" s="76" t="e">
        <f>SUMIFS(#REF!,#REF!,$B212,#REF!,D$1)</f>
        <v>#REF!</v>
      </c>
      <c r="E212" s="76" t="e">
        <f>SUMIFS(#REF!,#REF!,$B212,#REF!,E$1)</f>
        <v>#REF!</v>
      </c>
      <c r="F212" s="76" t="e">
        <f>SUMIFS(#REF!,#REF!,$B212,#REF!,F$1)</f>
        <v>#REF!</v>
      </c>
      <c r="G212" s="76" t="e">
        <f>SUMIFS(#REF!,#REF!,$B212,#REF!,G$1)</f>
        <v>#REF!</v>
      </c>
      <c r="H212" s="76" t="e">
        <f>SUMIFS(#REF!,#REF!,$B212,#REF!,H$1)</f>
        <v>#REF!</v>
      </c>
      <c r="I212" s="76" t="e">
        <f>SUMIFS(#REF!,#REF!,$B212,#REF!,I$1)</f>
        <v>#REF!</v>
      </c>
      <c r="J212" s="76" t="e">
        <f>SUMIFS(#REF!,#REF!,$B212,#REF!,J$1)</f>
        <v>#REF!</v>
      </c>
      <c r="K212" s="76" t="e">
        <f>SUMIFS(#REF!,#REF!,$B212,#REF!,K$1)</f>
        <v>#REF!</v>
      </c>
      <c r="L212" s="76" t="e">
        <f>SUMIFS(#REF!,#REF!,$B212,#REF!,L$1)</f>
        <v>#REF!</v>
      </c>
      <c r="M212" s="76" t="e">
        <f>SUMIFS(#REF!,#REF!,$B212,#REF!,M$1)</f>
        <v>#REF!</v>
      </c>
      <c r="N212" s="76" t="e">
        <f>SUMIFS(#REF!,#REF!,$B212,#REF!,N$1)</f>
        <v>#REF!</v>
      </c>
      <c r="O212" s="76" t="e">
        <f>SUMIFS(#REF!,#REF!,$B212,#REF!,O$1)</f>
        <v>#REF!</v>
      </c>
      <c r="P212" s="76" t="e">
        <f>SUMIFS(#REF!,#REF!,$B212,#REF!,P$1)</f>
        <v>#REF!</v>
      </c>
      <c r="Q212" s="76" t="e">
        <f>SUMIFS(#REF!,#REF!,$B212,#REF!,Q$1)</f>
        <v>#REF!</v>
      </c>
      <c r="R212" s="76" t="e">
        <f>SUMIFS(#REF!,#REF!,$B212,#REF!,R$1)</f>
        <v>#REF!</v>
      </c>
      <c r="S212" s="76" t="e">
        <f>SUMIFS(#REF!,#REF!,$B212,#REF!,S$1)</f>
        <v>#REF!</v>
      </c>
      <c r="T212" s="76" t="e">
        <f>SUMIFS(#REF!,#REF!,$B212,#REF!,T$1)</f>
        <v>#REF!</v>
      </c>
      <c r="U212" s="76" t="e">
        <f>SUMIFS(#REF!,#REF!,$B212,#REF!,U$1)</f>
        <v>#REF!</v>
      </c>
      <c r="V212" s="76" t="e">
        <f>SUMIFS(#REF!,#REF!,$B212,#REF!,V$1)</f>
        <v>#REF!</v>
      </c>
      <c r="W212" s="76" t="e">
        <f>SUMIFS(#REF!,#REF!,$B212,#REF!,W$1)</f>
        <v>#REF!</v>
      </c>
      <c r="X212" s="76" t="e">
        <f>SUMIFS(#REF!,#REF!,$B212,#REF!,X$1)</f>
        <v>#REF!</v>
      </c>
      <c r="Y212" s="76" t="e">
        <f>SUMIFS(#REF!,#REF!,$B212,#REF!,Y$1)</f>
        <v>#REF!</v>
      </c>
      <c r="Z212" s="76" t="e">
        <f>SUMIFS(#REF!,#REF!,$B212,#REF!,Z$1)</f>
        <v>#REF!</v>
      </c>
      <c r="AA212" s="76" t="e">
        <f>SUMIFS(#REF!,#REF!,$B212,#REF!,AA$1)</f>
        <v>#REF!</v>
      </c>
      <c r="AB212" s="76" t="e">
        <f>SUMIFS(#REF!,#REF!,$B212,#REF!,AB$1)</f>
        <v>#REF!</v>
      </c>
      <c r="AC212" s="76" t="e">
        <f>SUMIFS(#REF!,#REF!,$B212,#REF!,AC$1)</f>
        <v>#REF!</v>
      </c>
      <c r="AD212" s="76" t="e">
        <f>SUMIFS(#REF!,#REF!,$B212,#REF!,AD$1)</f>
        <v>#REF!</v>
      </c>
      <c r="AE212" s="76" t="e">
        <f>SUMIFS(#REF!,#REF!,$B212,#REF!,AE$1)</f>
        <v>#REF!</v>
      </c>
      <c r="AF212" s="76" t="e">
        <f>SUMIFS(#REF!,#REF!,$B212,#REF!,AF$1)</f>
        <v>#REF!</v>
      </c>
      <c r="AG212" s="76" t="e">
        <f>SUMIFS(#REF!,#REF!,$B212,#REF!,AG$1)</f>
        <v>#REF!</v>
      </c>
      <c r="AH212" s="76" t="e">
        <f>SUMIFS(#REF!,#REF!,$B212,#REF!,AH$1)</f>
        <v>#REF!</v>
      </c>
      <c r="AI212" s="82"/>
    </row>
    <row r="213" spans="2:35" ht="15" hidden="1" customHeight="1" x14ac:dyDescent="0.25">
      <c r="B213" s="84"/>
      <c r="C213" s="83"/>
      <c r="D213" s="76" t="e">
        <f>SUMIFS(#REF!,#REF!,$B213,#REF!,D$1)</f>
        <v>#REF!</v>
      </c>
      <c r="E213" s="76" t="e">
        <f>SUMIFS(#REF!,#REF!,$B213,#REF!,E$1)</f>
        <v>#REF!</v>
      </c>
      <c r="F213" s="76" t="e">
        <f>SUMIFS(#REF!,#REF!,$B213,#REF!,F$1)</f>
        <v>#REF!</v>
      </c>
      <c r="G213" s="76" t="e">
        <f>SUMIFS(#REF!,#REF!,$B213,#REF!,G$1)</f>
        <v>#REF!</v>
      </c>
      <c r="H213" s="76" t="e">
        <f>SUMIFS(#REF!,#REF!,$B213,#REF!,H$1)</f>
        <v>#REF!</v>
      </c>
      <c r="I213" s="76" t="e">
        <f>SUMIFS(#REF!,#REF!,$B213,#REF!,I$1)</f>
        <v>#REF!</v>
      </c>
      <c r="J213" s="76" t="e">
        <f>SUMIFS(#REF!,#REF!,$B213,#REF!,J$1)</f>
        <v>#REF!</v>
      </c>
      <c r="K213" s="76" t="e">
        <f>SUMIFS(#REF!,#REF!,$B213,#REF!,K$1)</f>
        <v>#REF!</v>
      </c>
      <c r="L213" s="76" t="e">
        <f>SUMIFS(#REF!,#REF!,$B213,#REF!,L$1)</f>
        <v>#REF!</v>
      </c>
      <c r="M213" s="76" t="e">
        <f>SUMIFS(#REF!,#REF!,$B213,#REF!,M$1)</f>
        <v>#REF!</v>
      </c>
      <c r="N213" s="76" t="e">
        <f>SUMIFS(#REF!,#REF!,$B213,#REF!,N$1)</f>
        <v>#REF!</v>
      </c>
      <c r="O213" s="76" t="e">
        <f>SUMIFS(#REF!,#REF!,$B213,#REF!,O$1)</f>
        <v>#REF!</v>
      </c>
      <c r="P213" s="76" t="e">
        <f>SUMIFS(#REF!,#REF!,$B213,#REF!,P$1)</f>
        <v>#REF!</v>
      </c>
      <c r="Q213" s="76" t="e">
        <f>SUMIFS(#REF!,#REF!,$B213,#REF!,Q$1)</f>
        <v>#REF!</v>
      </c>
      <c r="R213" s="76" t="e">
        <f>SUMIFS(#REF!,#REF!,$B213,#REF!,R$1)</f>
        <v>#REF!</v>
      </c>
      <c r="S213" s="76" t="e">
        <f>SUMIFS(#REF!,#REF!,$B213,#REF!,S$1)</f>
        <v>#REF!</v>
      </c>
      <c r="T213" s="76" t="e">
        <f>SUMIFS(#REF!,#REF!,$B213,#REF!,T$1)</f>
        <v>#REF!</v>
      </c>
      <c r="U213" s="76" t="e">
        <f>SUMIFS(#REF!,#REF!,$B213,#REF!,U$1)</f>
        <v>#REF!</v>
      </c>
      <c r="V213" s="76" t="e">
        <f>SUMIFS(#REF!,#REF!,$B213,#REF!,V$1)</f>
        <v>#REF!</v>
      </c>
      <c r="W213" s="76" t="e">
        <f>SUMIFS(#REF!,#REF!,$B213,#REF!,W$1)</f>
        <v>#REF!</v>
      </c>
      <c r="X213" s="76" t="e">
        <f>SUMIFS(#REF!,#REF!,$B213,#REF!,X$1)</f>
        <v>#REF!</v>
      </c>
      <c r="Y213" s="76" t="e">
        <f>SUMIFS(#REF!,#REF!,$B213,#REF!,Y$1)</f>
        <v>#REF!</v>
      </c>
      <c r="Z213" s="76" t="e">
        <f>SUMIFS(#REF!,#REF!,$B213,#REF!,Z$1)</f>
        <v>#REF!</v>
      </c>
      <c r="AA213" s="76" t="e">
        <f>SUMIFS(#REF!,#REF!,$B213,#REF!,AA$1)</f>
        <v>#REF!</v>
      </c>
      <c r="AB213" s="76" t="e">
        <f>SUMIFS(#REF!,#REF!,$B213,#REF!,AB$1)</f>
        <v>#REF!</v>
      </c>
      <c r="AC213" s="76" t="e">
        <f>SUMIFS(#REF!,#REF!,$B213,#REF!,AC$1)</f>
        <v>#REF!</v>
      </c>
      <c r="AD213" s="76" t="e">
        <f>SUMIFS(#REF!,#REF!,$B213,#REF!,AD$1)</f>
        <v>#REF!</v>
      </c>
      <c r="AE213" s="76" t="e">
        <f>SUMIFS(#REF!,#REF!,$B213,#REF!,AE$1)</f>
        <v>#REF!</v>
      </c>
      <c r="AF213" s="76" t="e">
        <f>SUMIFS(#REF!,#REF!,$B213,#REF!,AF$1)</f>
        <v>#REF!</v>
      </c>
      <c r="AG213" s="76" t="e">
        <f>SUMIFS(#REF!,#REF!,$B213,#REF!,AG$1)</f>
        <v>#REF!</v>
      </c>
      <c r="AH213" s="76" t="e">
        <f>SUMIFS(#REF!,#REF!,$B213,#REF!,AH$1)</f>
        <v>#REF!</v>
      </c>
      <c r="AI213" s="82"/>
    </row>
    <row r="214" spans="2:35" ht="15" hidden="1" customHeight="1" x14ac:dyDescent="0.25">
      <c r="B214" s="84"/>
      <c r="C214" s="83"/>
      <c r="D214" s="76" t="e">
        <f>SUMIFS(#REF!,#REF!,$B214,#REF!,D$1)</f>
        <v>#REF!</v>
      </c>
      <c r="E214" s="76" t="e">
        <f>SUMIFS(#REF!,#REF!,$B214,#REF!,E$1)</f>
        <v>#REF!</v>
      </c>
      <c r="F214" s="76" t="e">
        <f>SUMIFS(#REF!,#REF!,$B214,#REF!,F$1)</f>
        <v>#REF!</v>
      </c>
      <c r="G214" s="76" t="e">
        <f>SUMIFS(#REF!,#REF!,$B214,#REF!,G$1)</f>
        <v>#REF!</v>
      </c>
      <c r="H214" s="76" t="e">
        <f>SUMIFS(#REF!,#REF!,$B214,#REF!,H$1)</f>
        <v>#REF!</v>
      </c>
      <c r="I214" s="76" t="e">
        <f>SUMIFS(#REF!,#REF!,$B214,#REF!,I$1)</f>
        <v>#REF!</v>
      </c>
      <c r="J214" s="76" t="e">
        <f>SUMIFS(#REF!,#REF!,$B214,#REF!,J$1)</f>
        <v>#REF!</v>
      </c>
      <c r="K214" s="76" t="e">
        <f>SUMIFS(#REF!,#REF!,$B214,#REF!,K$1)</f>
        <v>#REF!</v>
      </c>
      <c r="L214" s="76" t="e">
        <f>SUMIFS(#REF!,#REF!,$B214,#REF!,L$1)</f>
        <v>#REF!</v>
      </c>
      <c r="M214" s="76" t="e">
        <f>SUMIFS(#REF!,#REF!,$B214,#REF!,M$1)</f>
        <v>#REF!</v>
      </c>
      <c r="N214" s="76" t="e">
        <f>SUMIFS(#REF!,#REF!,$B214,#REF!,N$1)</f>
        <v>#REF!</v>
      </c>
      <c r="O214" s="76" t="e">
        <f>SUMIFS(#REF!,#REF!,$B214,#REF!,O$1)</f>
        <v>#REF!</v>
      </c>
      <c r="P214" s="76" t="e">
        <f>SUMIFS(#REF!,#REF!,$B214,#REF!,P$1)</f>
        <v>#REF!</v>
      </c>
      <c r="Q214" s="76" t="e">
        <f>SUMIFS(#REF!,#REF!,$B214,#REF!,Q$1)</f>
        <v>#REF!</v>
      </c>
      <c r="R214" s="76" t="e">
        <f>SUMIFS(#REF!,#REF!,$B214,#REF!,R$1)</f>
        <v>#REF!</v>
      </c>
      <c r="S214" s="76" t="e">
        <f>SUMIFS(#REF!,#REF!,$B214,#REF!,S$1)</f>
        <v>#REF!</v>
      </c>
      <c r="T214" s="76" t="e">
        <f>SUMIFS(#REF!,#REF!,$B214,#REF!,T$1)</f>
        <v>#REF!</v>
      </c>
      <c r="U214" s="76" t="e">
        <f>SUMIFS(#REF!,#REF!,$B214,#REF!,U$1)</f>
        <v>#REF!</v>
      </c>
      <c r="V214" s="76" t="e">
        <f>SUMIFS(#REF!,#REF!,$B214,#REF!,V$1)</f>
        <v>#REF!</v>
      </c>
      <c r="W214" s="76" t="e">
        <f>SUMIFS(#REF!,#REF!,$B214,#REF!,W$1)</f>
        <v>#REF!</v>
      </c>
      <c r="X214" s="76" t="e">
        <f>SUMIFS(#REF!,#REF!,$B214,#REF!,X$1)</f>
        <v>#REF!</v>
      </c>
      <c r="Y214" s="76" t="e">
        <f>SUMIFS(#REF!,#REF!,$B214,#REF!,Y$1)</f>
        <v>#REF!</v>
      </c>
      <c r="Z214" s="76" t="e">
        <f>SUMIFS(#REF!,#REF!,$B214,#REF!,Z$1)</f>
        <v>#REF!</v>
      </c>
      <c r="AA214" s="76" t="e">
        <f>SUMIFS(#REF!,#REF!,$B214,#REF!,AA$1)</f>
        <v>#REF!</v>
      </c>
      <c r="AB214" s="76" t="e">
        <f>SUMIFS(#REF!,#REF!,$B214,#REF!,AB$1)</f>
        <v>#REF!</v>
      </c>
      <c r="AC214" s="76" t="e">
        <f>SUMIFS(#REF!,#REF!,$B214,#REF!,AC$1)</f>
        <v>#REF!</v>
      </c>
      <c r="AD214" s="76" t="e">
        <f>SUMIFS(#REF!,#REF!,$B214,#REF!,AD$1)</f>
        <v>#REF!</v>
      </c>
      <c r="AE214" s="76" t="e">
        <f>SUMIFS(#REF!,#REF!,$B214,#REF!,AE$1)</f>
        <v>#REF!</v>
      </c>
      <c r="AF214" s="76" t="e">
        <f>SUMIFS(#REF!,#REF!,$B214,#REF!,AF$1)</f>
        <v>#REF!</v>
      </c>
      <c r="AG214" s="76" t="e">
        <f>SUMIFS(#REF!,#REF!,$B214,#REF!,AG$1)</f>
        <v>#REF!</v>
      </c>
      <c r="AH214" s="76" t="e">
        <f>SUMIFS(#REF!,#REF!,$B214,#REF!,AH$1)</f>
        <v>#REF!</v>
      </c>
      <c r="AI214" s="82"/>
    </row>
    <row r="215" spans="2:35" ht="15" hidden="1" customHeight="1" x14ac:dyDescent="0.25">
      <c r="B215" s="84"/>
      <c r="C215" s="83"/>
      <c r="D215" s="76" t="e">
        <f>SUMIFS(#REF!,#REF!,$B215,#REF!,D$1)</f>
        <v>#REF!</v>
      </c>
      <c r="E215" s="76" t="e">
        <f>SUMIFS(#REF!,#REF!,$B215,#REF!,E$1)</f>
        <v>#REF!</v>
      </c>
      <c r="F215" s="76" t="e">
        <f>SUMIFS(#REF!,#REF!,$B215,#REF!,F$1)</f>
        <v>#REF!</v>
      </c>
      <c r="G215" s="76" t="e">
        <f>SUMIFS(#REF!,#REF!,$B215,#REF!,G$1)</f>
        <v>#REF!</v>
      </c>
      <c r="H215" s="76" t="e">
        <f>SUMIFS(#REF!,#REF!,$B215,#REF!,H$1)</f>
        <v>#REF!</v>
      </c>
      <c r="I215" s="76" t="e">
        <f>SUMIFS(#REF!,#REF!,$B215,#REF!,I$1)</f>
        <v>#REF!</v>
      </c>
      <c r="J215" s="76" t="e">
        <f>SUMIFS(#REF!,#REF!,$B215,#REF!,J$1)</f>
        <v>#REF!</v>
      </c>
      <c r="K215" s="76" t="e">
        <f>SUMIFS(#REF!,#REF!,$B215,#REF!,K$1)</f>
        <v>#REF!</v>
      </c>
      <c r="L215" s="76" t="e">
        <f>SUMIFS(#REF!,#REF!,$B215,#REF!,L$1)</f>
        <v>#REF!</v>
      </c>
      <c r="M215" s="76" t="e">
        <f>SUMIFS(#REF!,#REF!,$B215,#REF!,M$1)</f>
        <v>#REF!</v>
      </c>
      <c r="N215" s="76" t="e">
        <f>SUMIFS(#REF!,#REF!,$B215,#REF!,N$1)</f>
        <v>#REF!</v>
      </c>
      <c r="O215" s="76" t="e">
        <f>SUMIFS(#REF!,#REF!,$B215,#REF!,O$1)</f>
        <v>#REF!</v>
      </c>
      <c r="P215" s="76" t="e">
        <f>SUMIFS(#REF!,#REF!,$B215,#REF!,P$1)</f>
        <v>#REF!</v>
      </c>
      <c r="Q215" s="76" t="e">
        <f>SUMIFS(#REF!,#REF!,$B215,#REF!,Q$1)</f>
        <v>#REF!</v>
      </c>
      <c r="R215" s="76" t="e">
        <f>SUMIFS(#REF!,#REF!,$B215,#REF!,R$1)</f>
        <v>#REF!</v>
      </c>
      <c r="S215" s="76" t="e">
        <f>SUMIFS(#REF!,#REF!,$B215,#REF!,S$1)</f>
        <v>#REF!</v>
      </c>
      <c r="T215" s="76" t="e">
        <f>SUMIFS(#REF!,#REF!,$B215,#REF!,T$1)</f>
        <v>#REF!</v>
      </c>
      <c r="U215" s="76" t="e">
        <f>SUMIFS(#REF!,#REF!,$B215,#REF!,U$1)</f>
        <v>#REF!</v>
      </c>
      <c r="V215" s="76" t="e">
        <f>SUMIFS(#REF!,#REF!,$B215,#REF!,V$1)</f>
        <v>#REF!</v>
      </c>
      <c r="W215" s="76" t="e">
        <f>SUMIFS(#REF!,#REF!,$B215,#REF!,W$1)</f>
        <v>#REF!</v>
      </c>
      <c r="X215" s="76" t="e">
        <f>SUMIFS(#REF!,#REF!,$B215,#REF!,X$1)</f>
        <v>#REF!</v>
      </c>
      <c r="Y215" s="76" t="e">
        <f>SUMIFS(#REF!,#REF!,$B215,#REF!,Y$1)</f>
        <v>#REF!</v>
      </c>
      <c r="Z215" s="76" t="e">
        <f>SUMIFS(#REF!,#REF!,$B215,#REF!,Z$1)</f>
        <v>#REF!</v>
      </c>
      <c r="AA215" s="76" t="e">
        <f>SUMIFS(#REF!,#REF!,$B215,#REF!,AA$1)</f>
        <v>#REF!</v>
      </c>
      <c r="AB215" s="76" t="e">
        <f>SUMIFS(#REF!,#REF!,$B215,#REF!,AB$1)</f>
        <v>#REF!</v>
      </c>
      <c r="AC215" s="76" t="e">
        <f>SUMIFS(#REF!,#REF!,$B215,#REF!,AC$1)</f>
        <v>#REF!</v>
      </c>
      <c r="AD215" s="76" t="e">
        <f>SUMIFS(#REF!,#REF!,$B215,#REF!,AD$1)</f>
        <v>#REF!</v>
      </c>
      <c r="AE215" s="76" t="e">
        <f>SUMIFS(#REF!,#REF!,$B215,#REF!,AE$1)</f>
        <v>#REF!</v>
      </c>
      <c r="AF215" s="76" t="e">
        <f>SUMIFS(#REF!,#REF!,$B215,#REF!,AF$1)</f>
        <v>#REF!</v>
      </c>
      <c r="AG215" s="76" t="e">
        <f>SUMIFS(#REF!,#REF!,$B215,#REF!,AG$1)</f>
        <v>#REF!</v>
      </c>
      <c r="AH215" s="76" t="e">
        <f>SUMIFS(#REF!,#REF!,$B215,#REF!,AH$1)</f>
        <v>#REF!</v>
      </c>
      <c r="AI215" s="82"/>
    </row>
    <row r="216" spans="2:35" ht="15" hidden="1" customHeight="1" x14ac:dyDescent="0.25">
      <c r="B216" s="84"/>
      <c r="C216" s="83"/>
      <c r="D216" s="76" t="e">
        <f>SUMIFS(#REF!,#REF!,$B216,#REF!,D$1)</f>
        <v>#REF!</v>
      </c>
      <c r="E216" s="76" t="e">
        <f>SUMIFS(#REF!,#REF!,$B216,#REF!,E$1)</f>
        <v>#REF!</v>
      </c>
      <c r="F216" s="76" t="e">
        <f>SUMIFS(#REF!,#REF!,$B216,#REF!,F$1)</f>
        <v>#REF!</v>
      </c>
      <c r="G216" s="76" t="e">
        <f>SUMIFS(#REF!,#REF!,$B216,#REF!,G$1)</f>
        <v>#REF!</v>
      </c>
      <c r="H216" s="76" t="e">
        <f>SUMIFS(#REF!,#REF!,$B216,#REF!,H$1)</f>
        <v>#REF!</v>
      </c>
      <c r="I216" s="76" t="e">
        <f>SUMIFS(#REF!,#REF!,$B216,#REF!,I$1)</f>
        <v>#REF!</v>
      </c>
      <c r="J216" s="76" t="e">
        <f>SUMIFS(#REF!,#REF!,$B216,#REF!,J$1)</f>
        <v>#REF!</v>
      </c>
      <c r="K216" s="76" t="e">
        <f>SUMIFS(#REF!,#REF!,$B216,#REF!,K$1)</f>
        <v>#REF!</v>
      </c>
      <c r="L216" s="76" t="e">
        <f>SUMIFS(#REF!,#REF!,$B216,#REF!,L$1)</f>
        <v>#REF!</v>
      </c>
      <c r="M216" s="76" t="e">
        <f>SUMIFS(#REF!,#REF!,$B216,#REF!,M$1)</f>
        <v>#REF!</v>
      </c>
      <c r="N216" s="76" t="e">
        <f>SUMIFS(#REF!,#REF!,$B216,#REF!,N$1)</f>
        <v>#REF!</v>
      </c>
      <c r="O216" s="76" t="e">
        <f>SUMIFS(#REF!,#REF!,$B216,#REF!,O$1)</f>
        <v>#REF!</v>
      </c>
      <c r="P216" s="76" t="e">
        <f>SUMIFS(#REF!,#REF!,$B216,#REF!,P$1)</f>
        <v>#REF!</v>
      </c>
      <c r="Q216" s="76" t="e">
        <f>SUMIFS(#REF!,#REF!,$B216,#REF!,Q$1)</f>
        <v>#REF!</v>
      </c>
      <c r="R216" s="76" t="e">
        <f>SUMIFS(#REF!,#REF!,$B216,#REF!,R$1)</f>
        <v>#REF!</v>
      </c>
      <c r="S216" s="76" t="e">
        <f>SUMIFS(#REF!,#REF!,$B216,#REF!,S$1)</f>
        <v>#REF!</v>
      </c>
      <c r="T216" s="76" t="e">
        <f>SUMIFS(#REF!,#REF!,$B216,#REF!,T$1)</f>
        <v>#REF!</v>
      </c>
      <c r="U216" s="76" t="e">
        <f>SUMIFS(#REF!,#REF!,$B216,#REF!,U$1)</f>
        <v>#REF!</v>
      </c>
      <c r="V216" s="76" t="e">
        <f>SUMIFS(#REF!,#REF!,$B216,#REF!,V$1)</f>
        <v>#REF!</v>
      </c>
      <c r="W216" s="76" t="e">
        <f>SUMIFS(#REF!,#REF!,$B216,#REF!,W$1)</f>
        <v>#REF!</v>
      </c>
      <c r="X216" s="76" t="e">
        <f>SUMIFS(#REF!,#REF!,$B216,#REF!,X$1)</f>
        <v>#REF!</v>
      </c>
      <c r="Y216" s="76" t="e">
        <f>SUMIFS(#REF!,#REF!,$B216,#REF!,Y$1)</f>
        <v>#REF!</v>
      </c>
      <c r="Z216" s="76" t="e">
        <f>SUMIFS(#REF!,#REF!,$B216,#REF!,Z$1)</f>
        <v>#REF!</v>
      </c>
      <c r="AA216" s="76" t="e">
        <f>SUMIFS(#REF!,#REF!,$B216,#REF!,AA$1)</f>
        <v>#REF!</v>
      </c>
      <c r="AB216" s="76" t="e">
        <f>SUMIFS(#REF!,#REF!,$B216,#REF!,AB$1)</f>
        <v>#REF!</v>
      </c>
      <c r="AC216" s="76" t="e">
        <f>SUMIFS(#REF!,#REF!,$B216,#REF!,AC$1)</f>
        <v>#REF!</v>
      </c>
      <c r="AD216" s="76" t="e">
        <f>SUMIFS(#REF!,#REF!,$B216,#REF!,AD$1)</f>
        <v>#REF!</v>
      </c>
      <c r="AE216" s="76" t="e">
        <f>SUMIFS(#REF!,#REF!,$B216,#REF!,AE$1)</f>
        <v>#REF!</v>
      </c>
      <c r="AF216" s="76" t="e">
        <f>SUMIFS(#REF!,#REF!,$B216,#REF!,AF$1)</f>
        <v>#REF!</v>
      </c>
      <c r="AG216" s="76" t="e">
        <f>SUMIFS(#REF!,#REF!,$B216,#REF!,AG$1)</f>
        <v>#REF!</v>
      </c>
      <c r="AH216" s="76" t="e">
        <f>SUMIFS(#REF!,#REF!,$B216,#REF!,AH$1)</f>
        <v>#REF!</v>
      </c>
      <c r="AI216" s="82"/>
    </row>
    <row r="217" spans="2:35" ht="15" hidden="1" customHeight="1" x14ac:dyDescent="0.25">
      <c r="B217" s="84"/>
      <c r="C217" s="83"/>
      <c r="D217" s="76" t="e">
        <f>SUMIFS(#REF!,#REF!,$B217,#REF!,D$1)</f>
        <v>#REF!</v>
      </c>
      <c r="E217" s="76" t="e">
        <f>SUMIFS(#REF!,#REF!,$B217,#REF!,E$1)</f>
        <v>#REF!</v>
      </c>
      <c r="F217" s="76" t="e">
        <f>SUMIFS(#REF!,#REF!,$B217,#REF!,F$1)</f>
        <v>#REF!</v>
      </c>
      <c r="G217" s="76" t="e">
        <f>SUMIFS(#REF!,#REF!,$B217,#REF!,G$1)</f>
        <v>#REF!</v>
      </c>
      <c r="H217" s="76" t="e">
        <f>SUMIFS(#REF!,#REF!,$B217,#REF!,H$1)</f>
        <v>#REF!</v>
      </c>
      <c r="I217" s="76" t="e">
        <f>SUMIFS(#REF!,#REF!,$B217,#REF!,I$1)</f>
        <v>#REF!</v>
      </c>
      <c r="J217" s="76" t="e">
        <f>SUMIFS(#REF!,#REF!,$B217,#REF!,J$1)</f>
        <v>#REF!</v>
      </c>
      <c r="K217" s="76" t="e">
        <f>SUMIFS(#REF!,#REF!,$B217,#REF!,K$1)</f>
        <v>#REF!</v>
      </c>
      <c r="L217" s="76" t="e">
        <f>SUMIFS(#REF!,#REF!,$B217,#REF!,L$1)</f>
        <v>#REF!</v>
      </c>
      <c r="M217" s="76" t="e">
        <f>SUMIFS(#REF!,#REF!,$B217,#REF!,M$1)</f>
        <v>#REF!</v>
      </c>
      <c r="N217" s="76" t="e">
        <f>SUMIFS(#REF!,#REF!,$B217,#REF!,N$1)</f>
        <v>#REF!</v>
      </c>
      <c r="O217" s="76" t="e">
        <f>SUMIFS(#REF!,#REF!,$B217,#REF!,O$1)</f>
        <v>#REF!</v>
      </c>
      <c r="P217" s="76" t="e">
        <f>SUMIFS(#REF!,#REF!,$B217,#REF!,P$1)</f>
        <v>#REF!</v>
      </c>
      <c r="Q217" s="76" t="e">
        <f>SUMIFS(#REF!,#REF!,$B217,#REF!,Q$1)</f>
        <v>#REF!</v>
      </c>
      <c r="R217" s="76" t="e">
        <f>SUMIFS(#REF!,#REF!,$B217,#REF!,R$1)</f>
        <v>#REF!</v>
      </c>
      <c r="S217" s="76" t="e">
        <f>SUMIFS(#REF!,#REF!,$B217,#REF!,S$1)</f>
        <v>#REF!</v>
      </c>
      <c r="T217" s="76" t="e">
        <f>SUMIFS(#REF!,#REF!,$B217,#REF!,T$1)</f>
        <v>#REF!</v>
      </c>
      <c r="U217" s="76" t="e">
        <f>SUMIFS(#REF!,#REF!,$B217,#REF!,U$1)</f>
        <v>#REF!</v>
      </c>
      <c r="V217" s="76" t="e">
        <f>SUMIFS(#REF!,#REF!,$B217,#REF!,V$1)</f>
        <v>#REF!</v>
      </c>
      <c r="W217" s="76" t="e">
        <f>SUMIFS(#REF!,#REF!,$B217,#REF!,W$1)</f>
        <v>#REF!</v>
      </c>
      <c r="X217" s="76" t="e">
        <f>SUMIFS(#REF!,#REF!,$B217,#REF!,X$1)</f>
        <v>#REF!</v>
      </c>
      <c r="Y217" s="76" t="e">
        <f>SUMIFS(#REF!,#REF!,$B217,#REF!,Y$1)</f>
        <v>#REF!</v>
      </c>
      <c r="Z217" s="76" t="e">
        <f>SUMIFS(#REF!,#REF!,$B217,#REF!,Z$1)</f>
        <v>#REF!</v>
      </c>
      <c r="AA217" s="76" t="e">
        <f>SUMIFS(#REF!,#REF!,$B217,#REF!,AA$1)</f>
        <v>#REF!</v>
      </c>
      <c r="AB217" s="76" t="e">
        <f>SUMIFS(#REF!,#REF!,$B217,#REF!,AB$1)</f>
        <v>#REF!</v>
      </c>
      <c r="AC217" s="76" t="e">
        <f>SUMIFS(#REF!,#REF!,$B217,#REF!,AC$1)</f>
        <v>#REF!</v>
      </c>
      <c r="AD217" s="76" t="e">
        <f>SUMIFS(#REF!,#REF!,$B217,#REF!,AD$1)</f>
        <v>#REF!</v>
      </c>
      <c r="AE217" s="76" t="e">
        <f>SUMIFS(#REF!,#REF!,$B217,#REF!,AE$1)</f>
        <v>#REF!</v>
      </c>
      <c r="AF217" s="76" t="e">
        <f>SUMIFS(#REF!,#REF!,$B217,#REF!,AF$1)</f>
        <v>#REF!</v>
      </c>
      <c r="AG217" s="76" t="e">
        <f>SUMIFS(#REF!,#REF!,$B217,#REF!,AG$1)</f>
        <v>#REF!</v>
      </c>
      <c r="AH217" s="76" t="e">
        <f>SUMIFS(#REF!,#REF!,$B217,#REF!,AH$1)</f>
        <v>#REF!</v>
      </c>
      <c r="AI217" s="82"/>
    </row>
    <row r="218" spans="2:35" ht="15" hidden="1" customHeight="1" x14ac:dyDescent="0.25">
      <c r="B218" s="84"/>
      <c r="C218" s="83"/>
      <c r="D218" s="76" t="e">
        <f>SUMIFS(#REF!,#REF!,$B218,#REF!,D$1)</f>
        <v>#REF!</v>
      </c>
      <c r="E218" s="76" t="e">
        <f>SUMIFS(#REF!,#REF!,$B218,#REF!,E$1)</f>
        <v>#REF!</v>
      </c>
      <c r="F218" s="76" t="e">
        <f>SUMIFS(#REF!,#REF!,$B218,#REF!,F$1)</f>
        <v>#REF!</v>
      </c>
      <c r="G218" s="76" t="e">
        <f>SUMIFS(#REF!,#REF!,$B218,#REF!,G$1)</f>
        <v>#REF!</v>
      </c>
      <c r="H218" s="76" t="e">
        <f>SUMIFS(#REF!,#REF!,$B218,#REF!,H$1)</f>
        <v>#REF!</v>
      </c>
      <c r="I218" s="76" t="e">
        <f>SUMIFS(#REF!,#REF!,$B218,#REF!,I$1)</f>
        <v>#REF!</v>
      </c>
      <c r="J218" s="76" t="e">
        <f>SUMIFS(#REF!,#REF!,$B218,#REF!,J$1)</f>
        <v>#REF!</v>
      </c>
      <c r="K218" s="76" t="e">
        <f>SUMIFS(#REF!,#REF!,$B218,#REF!,K$1)</f>
        <v>#REF!</v>
      </c>
      <c r="L218" s="76" t="e">
        <f>SUMIFS(#REF!,#REF!,$B218,#REF!,L$1)</f>
        <v>#REF!</v>
      </c>
      <c r="M218" s="76" t="e">
        <f>SUMIFS(#REF!,#REF!,$B218,#REF!,M$1)</f>
        <v>#REF!</v>
      </c>
      <c r="N218" s="76" t="e">
        <f>SUMIFS(#REF!,#REF!,$B218,#REF!,N$1)</f>
        <v>#REF!</v>
      </c>
      <c r="O218" s="76" t="e">
        <f>SUMIFS(#REF!,#REF!,$B218,#REF!,O$1)</f>
        <v>#REF!</v>
      </c>
      <c r="P218" s="76" t="e">
        <f>SUMIFS(#REF!,#REF!,$B218,#REF!,P$1)</f>
        <v>#REF!</v>
      </c>
      <c r="Q218" s="76" t="e">
        <f>SUMIFS(#REF!,#REF!,$B218,#REF!,Q$1)</f>
        <v>#REF!</v>
      </c>
      <c r="R218" s="76" t="e">
        <f>SUMIFS(#REF!,#REF!,$B218,#REF!,R$1)</f>
        <v>#REF!</v>
      </c>
      <c r="S218" s="76" t="e">
        <f>SUMIFS(#REF!,#REF!,$B218,#REF!,S$1)</f>
        <v>#REF!</v>
      </c>
      <c r="T218" s="76" t="e">
        <f>SUMIFS(#REF!,#REF!,$B218,#REF!,T$1)</f>
        <v>#REF!</v>
      </c>
      <c r="U218" s="76" t="e">
        <f>SUMIFS(#REF!,#REF!,$B218,#REF!,U$1)</f>
        <v>#REF!</v>
      </c>
      <c r="V218" s="76" t="e">
        <f>SUMIFS(#REF!,#REF!,$B218,#REF!,V$1)</f>
        <v>#REF!</v>
      </c>
      <c r="W218" s="76" t="e">
        <f>SUMIFS(#REF!,#REF!,$B218,#REF!,W$1)</f>
        <v>#REF!</v>
      </c>
      <c r="X218" s="76" t="e">
        <f>SUMIFS(#REF!,#REF!,$B218,#REF!,X$1)</f>
        <v>#REF!</v>
      </c>
      <c r="Y218" s="76" t="e">
        <f>SUMIFS(#REF!,#REF!,$B218,#REF!,Y$1)</f>
        <v>#REF!</v>
      </c>
      <c r="Z218" s="76" t="e">
        <f>SUMIFS(#REF!,#REF!,$B218,#REF!,Z$1)</f>
        <v>#REF!</v>
      </c>
      <c r="AA218" s="76" t="e">
        <f>SUMIFS(#REF!,#REF!,$B218,#REF!,AA$1)</f>
        <v>#REF!</v>
      </c>
      <c r="AB218" s="76" t="e">
        <f>SUMIFS(#REF!,#REF!,$B218,#REF!,AB$1)</f>
        <v>#REF!</v>
      </c>
      <c r="AC218" s="76" t="e">
        <f>SUMIFS(#REF!,#REF!,$B218,#REF!,AC$1)</f>
        <v>#REF!</v>
      </c>
      <c r="AD218" s="76" t="e">
        <f>SUMIFS(#REF!,#REF!,$B218,#REF!,AD$1)</f>
        <v>#REF!</v>
      </c>
      <c r="AE218" s="76" t="e">
        <f>SUMIFS(#REF!,#REF!,$B218,#REF!,AE$1)</f>
        <v>#REF!</v>
      </c>
      <c r="AF218" s="76" t="e">
        <f>SUMIFS(#REF!,#REF!,$B218,#REF!,AF$1)</f>
        <v>#REF!</v>
      </c>
      <c r="AG218" s="76" t="e">
        <f>SUMIFS(#REF!,#REF!,$B218,#REF!,AG$1)</f>
        <v>#REF!</v>
      </c>
      <c r="AH218" s="76" t="e">
        <f>SUMIFS(#REF!,#REF!,$B218,#REF!,AH$1)</f>
        <v>#REF!</v>
      </c>
      <c r="AI218" s="82"/>
    </row>
    <row r="219" spans="2:35" ht="15" hidden="1" customHeight="1" x14ac:dyDescent="0.25">
      <c r="B219" s="84"/>
      <c r="C219" s="83"/>
      <c r="D219" s="76" t="e">
        <f>SUMIFS(#REF!,#REF!,$B219,#REF!,D$1)</f>
        <v>#REF!</v>
      </c>
      <c r="E219" s="76" t="e">
        <f>SUMIFS(#REF!,#REF!,$B219,#REF!,E$1)</f>
        <v>#REF!</v>
      </c>
      <c r="F219" s="76" t="e">
        <f>SUMIFS(#REF!,#REF!,$B219,#REF!,F$1)</f>
        <v>#REF!</v>
      </c>
      <c r="G219" s="76" t="e">
        <f>SUMIFS(#REF!,#REF!,$B219,#REF!,G$1)</f>
        <v>#REF!</v>
      </c>
      <c r="H219" s="76" t="e">
        <f>SUMIFS(#REF!,#REF!,$B219,#REF!,H$1)</f>
        <v>#REF!</v>
      </c>
      <c r="I219" s="76" t="e">
        <f>SUMIFS(#REF!,#REF!,$B219,#REF!,I$1)</f>
        <v>#REF!</v>
      </c>
      <c r="J219" s="76" t="e">
        <f>SUMIFS(#REF!,#REF!,$B219,#REF!,J$1)</f>
        <v>#REF!</v>
      </c>
      <c r="K219" s="76" t="e">
        <f>SUMIFS(#REF!,#REF!,$B219,#REF!,K$1)</f>
        <v>#REF!</v>
      </c>
      <c r="L219" s="76" t="e">
        <f>SUMIFS(#REF!,#REF!,$B219,#REF!,L$1)</f>
        <v>#REF!</v>
      </c>
      <c r="M219" s="76" t="e">
        <f>SUMIFS(#REF!,#REF!,$B219,#REF!,M$1)</f>
        <v>#REF!</v>
      </c>
      <c r="N219" s="76" t="e">
        <f>SUMIFS(#REF!,#REF!,$B219,#REF!,N$1)</f>
        <v>#REF!</v>
      </c>
      <c r="O219" s="76" t="e">
        <f>SUMIFS(#REF!,#REF!,$B219,#REF!,O$1)</f>
        <v>#REF!</v>
      </c>
      <c r="P219" s="76" t="e">
        <f>SUMIFS(#REF!,#REF!,$B219,#REF!,P$1)</f>
        <v>#REF!</v>
      </c>
      <c r="Q219" s="76" t="e">
        <f>SUMIFS(#REF!,#REF!,$B219,#REF!,Q$1)</f>
        <v>#REF!</v>
      </c>
      <c r="R219" s="76" t="e">
        <f>SUMIFS(#REF!,#REF!,$B219,#REF!,R$1)</f>
        <v>#REF!</v>
      </c>
      <c r="S219" s="76" t="e">
        <f>SUMIFS(#REF!,#REF!,$B219,#REF!,S$1)</f>
        <v>#REF!</v>
      </c>
      <c r="T219" s="76" t="e">
        <f>SUMIFS(#REF!,#REF!,$B219,#REF!,T$1)</f>
        <v>#REF!</v>
      </c>
      <c r="U219" s="76" t="e">
        <f>SUMIFS(#REF!,#REF!,$B219,#REF!,U$1)</f>
        <v>#REF!</v>
      </c>
      <c r="V219" s="76" t="e">
        <f>SUMIFS(#REF!,#REF!,$B219,#REF!,V$1)</f>
        <v>#REF!</v>
      </c>
      <c r="W219" s="76" t="e">
        <f>SUMIFS(#REF!,#REF!,$B219,#REF!,W$1)</f>
        <v>#REF!</v>
      </c>
      <c r="X219" s="76" t="e">
        <f>SUMIFS(#REF!,#REF!,$B219,#REF!,X$1)</f>
        <v>#REF!</v>
      </c>
      <c r="Y219" s="76" t="e">
        <f>SUMIFS(#REF!,#REF!,$B219,#REF!,Y$1)</f>
        <v>#REF!</v>
      </c>
      <c r="Z219" s="76" t="e">
        <f>SUMIFS(#REF!,#REF!,$B219,#REF!,Z$1)</f>
        <v>#REF!</v>
      </c>
      <c r="AA219" s="76" t="e">
        <f>SUMIFS(#REF!,#REF!,$B219,#REF!,AA$1)</f>
        <v>#REF!</v>
      </c>
      <c r="AB219" s="76" t="e">
        <f>SUMIFS(#REF!,#REF!,$B219,#REF!,AB$1)</f>
        <v>#REF!</v>
      </c>
      <c r="AC219" s="76" t="e">
        <f>SUMIFS(#REF!,#REF!,$B219,#REF!,AC$1)</f>
        <v>#REF!</v>
      </c>
      <c r="AD219" s="76" t="e">
        <f>SUMIFS(#REF!,#REF!,$B219,#REF!,AD$1)</f>
        <v>#REF!</v>
      </c>
      <c r="AE219" s="76" t="e">
        <f>SUMIFS(#REF!,#REF!,$B219,#REF!,AE$1)</f>
        <v>#REF!</v>
      </c>
      <c r="AF219" s="76" t="e">
        <f>SUMIFS(#REF!,#REF!,$B219,#REF!,AF$1)</f>
        <v>#REF!</v>
      </c>
      <c r="AG219" s="76" t="e">
        <f>SUMIFS(#REF!,#REF!,$B219,#REF!,AG$1)</f>
        <v>#REF!</v>
      </c>
      <c r="AH219" s="76" t="e">
        <f>SUMIFS(#REF!,#REF!,$B219,#REF!,AH$1)</f>
        <v>#REF!</v>
      </c>
      <c r="AI219" s="82"/>
    </row>
    <row r="220" spans="2:35" ht="15" hidden="1" customHeight="1" x14ac:dyDescent="0.25">
      <c r="B220" s="84"/>
      <c r="C220" s="83"/>
      <c r="D220" s="76" t="e">
        <f>SUMIFS(#REF!,#REF!,$B220,#REF!,D$1)</f>
        <v>#REF!</v>
      </c>
      <c r="E220" s="76" t="e">
        <f>SUMIFS(#REF!,#REF!,$B220,#REF!,E$1)</f>
        <v>#REF!</v>
      </c>
      <c r="F220" s="76" t="e">
        <f>SUMIFS(#REF!,#REF!,$B220,#REF!,F$1)</f>
        <v>#REF!</v>
      </c>
      <c r="G220" s="76" t="e">
        <f>SUMIFS(#REF!,#REF!,$B220,#REF!,G$1)</f>
        <v>#REF!</v>
      </c>
      <c r="H220" s="76" t="e">
        <f>SUMIFS(#REF!,#REF!,$B220,#REF!,H$1)</f>
        <v>#REF!</v>
      </c>
      <c r="I220" s="76" t="e">
        <f>SUMIFS(#REF!,#REF!,$B220,#REF!,I$1)</f>
        <v>#REF!</v>
      </c>
      <c r="J220" s="76" t="e">
        <f>SUMIFS(#REF!,#REF!,$B220,#REF!,J$1)</f>
        <v>#REF!</v>
      </c>
      <c r="K220" s="76" t="e">
        <f>SUMIFS(#REF!,#REF!,$B220,#REF!,K$1)</f>
        <v>#REF!</v>
      </c>
      <c r="L220" s="76" t="e">
        <f>SUMIFS(#REF!,#REF!,$B220,#REF!,L$1)</f>
        <v>#REF!</v>
      </c>
      <c r="M220" s="76" t="e">
        <f>SUMIFS(#REF!,#REF!,$B220,#REF!,M$1)</f>
        <v>#REF!</v>
      </c>
      <c r="N220" s="76" t="e">
        <f>SUMIFS(#REF!,#REF!,$B220,#REF!,N$1)</f>
        <v>#REF!</v>
      </c>
      <c r="O220" s="76" t="e">
        <f>SUMIFS(#REF!,#REF!,$B220,#REF!,O$1)</f>
        <v>#REF!</v>
      </c>
      <c r="P220" s="76" t="e">
        <f>SUMIFS(#REF!,#REF!,$B220,#REF!,P$1)</f>
        <v>#REF!</v>
      </c>
      <c r="Q220" s="76" t="e">
        <f>SUMIFS(#REF!,#REF!,$B220,#REF!,Q$1)</f>
        <v>#REF!</v>
      </c>
      <c r="R220" s="76" t="e">
        <f>SUMIFS(#REF!,#REF!,$B220,#REF!,R$1)</f>
        <v>#REF!</v>
      </c>
      <c r="S220" s="76" t="e">
        <f>SUMIFS(#REF!,#REF!,$B220,#REF!,S$1)</f>
        <v>#REF!</v>
      </c>
      <c r="T220" s="76" t="e">
        <f>SUMIFS(#REF!,#REF!,$B220,#REF!,T$1)</f>
        <v>#REF!</v>
      </c>
      <c r="U220" s="76" t="e">
        <f>SUMIFS(#REF!,#REF!,$B220,#REF!,U$1)</f>
        <v>#REF!</v>
      </c>
      <c r="V220" s="76" t="e">
        <f>SUMIFS(#REF!,#REF!,$B220,#REF!,V$1)</f>
        <v>#REF!</v>
      </c>
      <c r="W220" s="76" t="e">
        <f>SUMIFS(#REF!,#REF!,$B220,#REF!,W$1)</f>
        <v>#REF!</v>
      </c>
      <c r="X220" s="76" t="e">
        <f>SUMIFS(#REF!,#REF!,$B220,#REF!,X$1)</f>
        <v>#REF!</v>
      </c>
      <c r="Y220" s="76" t="e">
        <f>SUMIFS(#REF!,#REF!,$B220,#REF!,Y$1)</f>
        <v>#REF!</v>
      </c>
      <c r="Z220" s="76" t="e">
        <f>SUMIFS(#REF!,#REF!,$B220,#REF!,Z$1)</f>
        <v>#REF!</v>
      </c>
      <c r="AA220" s="76" t="e">
        <f>SUMIFS(#REF!,#REF!,$B220,#REF!,AA$1)</f>
        <v>#REF!</v>
      </c>
      <c r="AB220" s="76" t="e">
        <f>SUMIFS(#REF!,#REF!,$B220,#REF!,AB$1)</f>
        <v>#REF!</v>
      </c>
      <c r="AC220" s="76" t="e">
        <f>SUMIFS(#REF!,#REF!,$B220,#REF!,AC$1)</f>
        <v>#REF!</v>
      </c>
      <c r="AD220" s="76" t="e">
        <f>SUMIFS(#REF!,#REF!,$B220,#REF!,AD$1)</f>
        <v>#REF!</v>
      </c>
      <c r="AE220" s="76" t="e">
        <f>SUMIFS(#REF!,#REF!,$B220,#REF!,AE$1)</f>
        <v>#REF!</v>
      </c>
      <c r="AF220" s="76" t="e">
        <f>SUMIFS(#REF!,#REF!,$B220,#REF!,AF$1)</f>
        <v>#REF!</v>
      </c>
      <c r="AG220" s="76" t="e">
        <f>SUMIFS(#REF!,#REF!,$B220,#REF!,AG$1)</f>
        <v>#REF!</v>
      </c>
      <c r="AH220" s="76" t="e">
        <f>SUMIFS(#REF!,#REF!,$B220,#REF!,AH$1)</f>
        <v>#REF!</v>
      </c>
      <c r="AI220" s="82"/>
    </row>
    <row r="221" spans="2:35" ht="15" hidden="1" customHeight="1" x14ac:dyDescent="0.25">
      <c r="B221" s="84"/>
      <c r="C221" s="83"/>
      <c r="D221" s="76" t="e">
        <f>SUMIFS(#REF!,#REF!,$B221,#REF!,D$1)</f>
        <v>#REF!</v>
      </c>
      <c r="E221" s="76" t="e">
        <f>SUMIFS(#REF!,#REF!,$B221,#REF!,E$1)</f>
        <v>#REF!</v>
      </c>
      <c r="F221" s="76" t="e">
        <f>SUMIFS(#REF!,#REF!,$B221,#REF!,F$1)</f>
        <v>#REF!</v>
      </c>
      <c r="G221" s="76" t="e">
        <f>SUMIFS(#REF!,#REF!,$B221,#REF!,G$1)</f>
        <v>#REF!</v>
      </c>
      <c r="H221" s="76" t="e">
        <f>SUMIFS(#REF!,#REF!,$B221,#REF!,H$1)</f>
        <v>#REF!</v>
      </c>
      <c r="I221" s="76" t="e">
        <f>SUMIFS(#REF!,#REF!,$B221,#REF!,I$1)</f>
        <v>#REF!</v>
      </c>
      <c r="J221" s="76" t="e">
        <f>SUMIFS(#REF!,#REF!,$B221,#REF!,J$1)</f>
        <v>#REF!</v>
      </c>
      <c r="K221" s="76" t="e">
        <f>SUMIFS(#REF!,#REF!,$B221,#REF!,K$1)</f>
        <v>#REF!</v>
      </c>
      <c r="L221" s="76" t="e">
        <f>SUMIFS(#REF!,#REF!,$B221,#REF!,L$1)</f>
        <v>#REF!</v>
      </c>
      <c r="M221" s="76" t="e">
        <f>SUMIFS(#REF!,#REF!,$B221,#REF!,M$1)</f>
        <v>#REF!</v>
      </c>
      <c r="N221" s="76" t="e">
        <f>SUMIFS(#REF!,#REF!,$B221,#REF!,N$1)</f>
        <v>#REF!</v>
      </c>
      <c r="O221" s="76" t="e">
        <f>SUMIFS(#REF!,#REF!,$B221,#REF!,O$1)</f>
        <v>#REF!</v>
      </c>
      <c r="P221" s="76" t="e">
        <f>SUMIFS(#REF!,#REF!,$B221,#REF!,P$1)</f>
        <v>#REF!</v>
      </c>
      <c r="Q221" s="76" t="e">
        <f>SUMIFS(#REF!,#REF!,$B221,#REF!,Q$1)</f>
        <v>#REF!</v>
      </c>
      <c r="R221" s="76" t="e">
        <f>SUMIFS(#REF!,#REF!,$B221,#REF!,R$1)</f>
        <v>#REF!</v>
      </c>
      <c r="S221" s="76" t="e">
        <f>SUMIFS(#REF!,#REF!,$B221,#REF!,S$1)</f>
        <v>#REF!</v>
      </c>
      <c r="T221" s="76" t="e">
        <f>SUMIFS(#REF!,#REF!,$B221,#REF!,T$1)</f>
        <v>#REF!</v>
      </c>
      <c r="U221" s="76" t="e">
        <f>SUMIFS(#REF!,#REF!,$B221,#REF!,U$1)</f>
        <v>#REF!</v>
      </c>
      <c r="V221" s="76" t="e">
        <f>SUMIFS(#REF!,#REF!,$B221,#REF!,V$1)</f>
        <v>#REF!</v>
      </c>
      <c r="W221" s="76" t="e">
        <f>SUMIFS(#REF!,#REF!,$B221,#REF!,W$1)</f>
        <v>#REF!</v>
      </c>
      <c r="X221" s="76" t="e">
        <f>SUMIFS(#REF!,#REF!,$B221,#REF!,X$1)</f>
        <v>#REF!</v>
      </c>
      <c r="Y221" s="76" t="e">
        <f>SUMIFS(#REF!,#REF!,$B221,#REF!,Y$1)</f>
        <v>#REF!</v>
      </c>
      <c r="Z221" s="76" t="e">
        <f>SUMIFS(#REF!,#REF!,$B221,#REF!,Z$1)</f>
        <v>#REF!</v>
      </c>
      <c r="AA221" s="76" t="e">
        <f>SUMIFS(#REF!,#REF!,$B221,#REF!,AA$1)</f>
        <v>#REF!</v>
      </c>
      <c r="AB221" s="76" t="e">
        <f>SUMIFS(#REF!,#REF!,$B221,#REF!,AB$1)</f>
        <v>#REF!</v>
      </c>
      <c r="AC221" s="76" t="e">
        <f>SUMIFS(#REF!,#REF!,$B221,#REF!,AC$1)</f>
        <v>#REF!</v>
      </c>
      <c r="AD221" s="76" t="e">
        <f>SUMIFS(#REF!,#REF!,$B221,#REF!,AD$1)</f>
        <v>#REF!</v>
      </c>
      <c r="AE221" s="76" t="e">
        <f>SUMIFS(#REF!,#REF!,$B221,#REF!,AE$1)</f>
        <v>#REF!</v>
      </c>
      <c r="AF221" s="76" t="e">
        <f>SUMIFS(#REF!,#REF!,$B221,#REF!,AF$1)</f>
        <v>#REF!</v>
      </c>
      <c r="AG221" s="76" t="e">
        <f>SUMIFS(#REF!,#REF!,$B221,#REF!,AG$1)</f>
        <v>#REF!</v>
      </c>
      <c r="AH221" s="76" t="e">
        <f>SUMIFS(#REF!,#REF!,$B221,#REF!,AH$1)</f>
        <v>#REF!</v>
      </c>
      <c r="AI221" s="82"/>
    </row>
    <row r="222" spans="2:35" ht="15" hidden="1" customHeight="1" thickBot="1" x14ac:dyDescent="0.3">
      <c r="B222" s="84"/>
      <c r="C222" s="91"/>
      <c r="D222" s="76" t="e">
        <f>SUMIFS(#REF!,#REF!,$B222,#REF!,D$1)</f>
        <v>#REF!</v>
      </c>
      <c r="E222" s="76" t="e">
        <f>SUMIFS(#REF!,#REF!,$B222,#REF!,E$1)</f>
        <v>#REF!</v>
      </c>
      <c r="F222" s="76" t="e">
        <f>SUMIFS(#REF!,#REF!,$B222,#REF!,F$1)</f>
        <v>#REF!</v>
      </c>
      <c r="G222" s="76" t="e">
        <f>SUMIFS(#REF!,#REF!,$B222,#REF!,G$1)</f>
        <v>#REF!</v>
      </c>
      <c r="H222" s="76" t="e">
        <f>SUMIFS(#REF!,#REF!,$B222,#REF!,H$1)</f>
        <v>#REF!</v>
      </c>
      <c r="I222" s="76" t="e">
        <f>SUMIFS(#REF!,#REF!,$B222,#REF!,I$1)</f>
        <v>#REF!</v>
      </c>
      <c r="J222" s="76" t="e">
        <f>SUMIFS(#REF!,#REF!,$B222,#REF!,J$1)</f>
        <v>#REF!</v>
      </c>
      <c r="K222" s="76" t="e">
        <f>SUMIFS(#REF!,#REF!,$B222,#REF!,K$1)</f>
        <v>#REF!</v>
      </c>
      <c r="L222" s="76" t="e">
        <f>SUMIFS(#REF!,#REF!,$B222,#REF!,L$1)</f>
        <v>#REF!</v>
      </c>
      <c r="M222" s="76" t="e">
        <f>SUMIFS(#REF!,#REF!,$B222,#REF!,M$1)</f>
        <v>#REF!</v>
      </c>
      <c r="N222" s="76" t="e">
        <f>SUMIFS(#REF!,#REF!,$B222,#REF!,N$1)</f>
        <v>#REF!</v>
      </c>
      <c r="O222" s="76" t="e">
        <f>SUMIFS(#REF!,#REF!,$B222,#REF!,O$1)</f>
        <v>#REF!</v>
      </c>
      <c r="P222" s="76" t="e">
        <f>SUMIFS(#REF!,#REF!,$B222,#REF!,P$1)</f>
        <v>#REF!</v>
      </c>
      <c r="Q222" s="76" t="e">
        <f>SUMIFS(#REF!,#REF!,$B222,#REF!,Q$1)</f>
        <v>#REF!</v>
      </c>
      <c r="R222" s="76" t="e">
        <f>SUMIFS(#REF!,#REF!,$B222,#REF!,R$1)</f>
        <v>#REF!</v>
      </c>
      <c r="S222" s="76" t="e">
        <f>SUMIFS(#REF!,#REF!,$B222,#REF!,S$1)</f>
        <v>#REF!</v>
      </c>
      <c r="T222" s="76" t="e">
        <f>SUMIFS(#REF!,#REF!,$B222,#REF!,T$1)</f>
        <v>#REF!</v>
      </c>
      <c r="U222" s="76" t="e">
        <f>SUMIFS(#REF!,#REF!,$B222,#REF!,U$1)</f>
        <v>#REF!</v>
      </c>
      <c r="V222" s="76" t="e">
        <f>SUMIFS(#REF!,#REF!,$B222,#REF!,V$1)</f>
        <v>#REF!</v>
      </c>
      <c r="W222" s="76" t="e">
        <f>SUMIFS(#REF!,#REF!,$B222,#REF!,W$1)</f>
        <v>#REF!</v>
      </c>
      <c r="X222" s="76" t="e">
        <f>SUMIFS(#REF!,#REF!,$B222,#REF!,X$1)</f>
        <v>#REF!</v>
      </c>
      <c r="Y222" s="76" t="e">
        <f>SUMIFS(#REF!,#REF!,$B222,#REF!,Y$1)</f>
        <v>#REF!</v>
      </c>
      <c r="Z222" s="76" t="e">
        <f>SUMIFS(#REF!,#REF!,$B222,#REF!,Z$1)</f>
        <v>#REF!</v>
      </c>
      <c r="AA222" s="76" t="e">
        <f>SUMIFS(#REF!,#REF!,$B222,#REF!,AA$1)</f>
        <v>#REF!</v>
      </c>
      <c r="AB222" s="76" t="e">
        <f>SUMIFS(#REF!,#REF!,$B222,#REF!,AB$1)</f>
        <v>#REF!</v>
      </c>
      <c r="AC222" s="76" t="e">
        <f>SUMIFS(#REF!,#REF!,$B222,#REF!,AC$1)</f>
        <v>#REF!</v>
      </c>
      <c r="AD222" s="76" t="e">
        <f>SUMIFS(#REF!,#REF!,$B222,#REF!,AD$1)</f>
        <v>#REF!</v>
      </c>
      <c r="AE222" s="76" t="e">
        <f>SUMIFS(#REF!,#REF!,$B222,#REF!,AE$1)</f>
        <v>#REF!</v>
      </c>
      <c r="AF222" s="76" t="e">
        <f>SUMIFS(#REF!,#REF!,$B222,#REF!,AF$1)</f>
        <v>#REF!</v>
      </c>
      <c r="AG222" s="76" t="e">
        <f>SUMIFS(#REF!,#REF!,$B222,#REF!,AG$1)</f>
        <v>#REF!</v>
      </c>
      <c r="AH222" s="76" t="e">
        <f>SUMIFS(#REF!,#REF!,$B222,#REF!,AH$1)</f>
        <v>#REF!</v>
      </c>
      <c r="AI222" s="82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900-000000000000}">
          <x14:formula1>
            <xm:f>справочник!$E$1:$E$2+справочник!$E$2:$E$40</xm:f>
          </x14:formula1>
          <xm:sqref>B203:B222</xm:sqref>
        </x14:dataValidation>
        <x14:dataValidation type="list" allowBlank="1" showInputMessage="1" showErrorMessage="1" xr:uid="{00000000-0002-0000-1900-000001000000}">
          <x14:formula1>
            <xm:f>справочник!$E$2:$E$172</xm:f>
          </x14:formula1>
          <xm:sqref>B3:B202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AI221"/>
  <sheetViews>
    <sheetView showZeros="0" topLeftCell="A139" zoomScale="70" zoomScaleNormal="70" workbookViewId="0">
      <selection activeCell="AH229" sqref="AH229"/>
    </sheetView>
  </sheetViews>
  <sheetFormatPr defaultRowHeight="15" x14ac:dyDescent="0.25"/>
  <cols>
    <col min="1" max="1" width="2.140625" customWidth="1"/>
    <col min="2" max="2" width="41.85546875" customWidth="1"/>
    <col min="4" max="34" width="6.7109375" customWidth="1"/>
  </cols>
  <sheetData>
    <row r="1" spans="2:35" ht="15" customHeight="1" thickBot="1" x14ac:dyDescent="0.3">
      <c r="B1" s="67">
        <v>45658</v>
      </c>
      <c r="C1" s="68"/>
      <c r="D1" s="69">
        <f>B1</f>
        <v>45658</v>
      </c>
      <c r="E1" s="69">
        <f>D1+1</f>
        <v>45659</v>
      </c>
      <c r="F1" s="69">
        <f t="shared" ref="F1:AH1" si="0">E1+1</f>
        <v>45660</v>
      </c>
      <c r="G1" s="69">
        <f t="shared" si="0"/>
        <v>45661</v>
      </c>
      <c r="H1" s="69">
        <f t="shared" si="0"/>
        <v>45662</v>
      </c>
      <c r="I1" s="69">
        <f t="shared" si="0"/>
        <v>45663</v>
      </c>
      <c r="J1" s="69">
        <f t="shared" si="0"/>
        <v>45664</v>
      </c>
      <c r="K1" s="69">
        <f t="shared" si="0"/>
        <v>45665</v>
      </c>
      <c r="L1" s="69">
        <f t="shared" si="0"/>
        <v>45666</v>
      </c>
      <c r="M1" s="69">
        <f t="shared" si="0"/>
        <v>45667</v>
      </c>
      <c r="N1" s="69">
        <f t="shared" si="0"/>
        <v>45668</v>
      </c>
      <c r="O1" s="69">
        <f t="shared" si="0"/>
        <v>45669</v>
      </c>
      <c r="P1" s="69">
        <f t="shared" si="0"/>
        <v>45670</v>
      </c>
      <c r="Q1" s="69">
        <f t="shared" si="0"/>
        <v>45671</v>
      </c>
      <c r="R1" s="69">
        <f t="shared" si="0"/>
        <v>45672</v>
      </c>
      <c r="S1" s="69">
        <f t="shared" si="0"/>
        <v>45673</v>
      </c>
      <c r="T1" s="69">
        <f t="shared" si="0"/>
        <v>45674</v>
      </c>
      <c r="U1" s="69">
        <f t="shared" si="0"/>
        <v>45675</v>
      </c>
      <c r="V1" s="69">
        <f t="shared" si="0"/>
        <v>45676</v>
      </c>
      <c r="W1" s="69">
        <f t="shared" si="0"/>
        <v>45677</v>
      </c>
      <c r="X1" s="69">
        <f t="shared" si="0"/>
        <v>45678</v>
      </c>
      <c r="Y1" s="69">
        <f t="shared" si="0"/>
        <v>45679</v>
      </c>
      <c r="Z1" s="69">
        <f t="shared" si="0"/>
        <v>45680</v>
      </c>
      <c r="AA1" s="69">
        <f t="shared" si="0"/>
        <v>45681</v>
      </c>
      <c r="AB1" s="69">
        <f t="shared" si="0"/>
        <v>45682</v>
      </c>
      <c r="AC1" s="69">
        <f t="shared" si="0"/>
        <v>45683</v>
      </c>
      <c r="AD1" s="69">
        <f t="shared" si="0"/>
        <v>45684</v>
      </c>
      <c r="AE1" s="69">
        <f t="shared" si="0"/>
        <v>45685</v>
      </c>
      <c r="AF1" s="69">
        <f t="shared" si="0"/>
        <v>45686</v>
      </c>
      <c r="AG1" s="69">
        <f t="shared" si="0"/>
        <v>45687</v>
      </c>
      <c r="AH1" s="69">
        <f t="shared" si="0"/>
        <v>45688</v>
      </c>
      <c r="AI1" s="70"/>
    </row>
    <row r="2" spans="2:35" ht="15" customHeight="1" thickBot="1" x14ac:dyDescent="0.3">
      <c r="B2" s="71"/>
      <c r="C2" s="68"/>
      <c r="D2" s="72">
        <v>1</v>
      </c>
      <c r="E2" s="73">
        <v>2</v>
      </c>
      <c r="F2" s="73">
        <v>3</v>
      </c>
      <c r="G2" s="73">
        <v>4</v>
      </c>
      <c r="H2" s="73">
        <v>5</v>
      </c>
      <c r="I2" s="73">
        <v>6</v>
      </c>
      <c r="J2" s="73">
        <v>7</v>
      </c>
      <c r="K2" s="73">
        <v>8</v>
      </c>
      <c r="L2" s="73">
        <v>9</v>
      </c>
      <c r="M2" s="73">
        <v>10</v>
      </c>
      <c r="N2" s="73">
        <v>11</v>
      </c>
      <c r="O2" s="73">
        <v>12</v>
      </c>
      <c r="P2" s="73">
        <v>13</v>
      </c>
      <c r="Q2" s="73">
        <v>14</v>
      </c>
      <c r="R2" s="73">
        <v>15</v>
      </c>
      <c r="S2" s="73">
        <v>16</v>
      </c>
      <c r="T2" s="73">
        <v>17</v>
      </c>
      <c r="U2" s="73">
        <v>18</v>
      </c>
      <c r="V2" s="73">
        <v>19</v>
      </c>
      <c r="W2" s="73">
        <v>20</v>
      </c>
      <c r="X2" s="73">
        <v>21</v>
      </c>
      <c r="Y2" s="73">
        <v>22</v>
      </c>
      <c r="Z2" s="73">
        <v>23</v>
      </c>
      <c r="AA2" s="73">
        <v>24</v>
      </c>
      <c r="AB2" s="73">
        <v>25</v>
      </c>
      <c r="AC2" s="73">
        <v>26</v>
      </c>
      <c r="AD2" s="73">
        <v>27</v>
      </c>
      <c r="AE2" s="73">
        <v>28</v>
      </c>
      <c r="AF2" s="73">
        <v>29</v>
      </c>
      <c r="AG2" s="73">
        <v>30</v>
      </c>
      <c r="AH2" s="73">
        <v>31</v>
      </c>
      <c r="AI2" s="70"/>
    </row>
    <row r="3" spans="2:35" ht="15" customHeight="1" x14ac:dyDescent="0.25">
      <c r="B3" s="74" t="s">
        <v>212</v>
      </c>
      <c r="C3" s="75">
        <v>25</v>
      </c>
      <c r="D3" s="76">
        <f>SUMIFS('январь 2025'!$G$5:$G$2334,'январь 2025'!$D$5:$D$2334,$B3,'январь 2025'!$J$5:$J$2334,D$1)</f>
        <v>0</v>
      </c>
      <c r="E3" s="76">
        <f>SUMIFS('январь 2025'!$G$5:$G$2334,'январь 2025'!$D$5:$D$2334,$B3,'январь 2025'!$J$5:$J$2334,E$1)</f>
        <v>0</v>
      </c>
      <c r="F3" s="76">
        <f>SUMIFS('январь 2025'!$G$5:$G$2334,'январь 2025'!$D$5:$D$2334,$B3,'январь 2025'!$J$5:$J$2334,F$1)</f>
        <v>0</v>
      </c>
      <c r="G3" s="76">
        <f>SUMIFS('январь 2025'!$G$5:$G$2334,'январь 2025'!$D$5:$D$2334,$B3,'январь 2025'!$J$5:$J$2334,G$1)</f>
        <v>0</v>
      </c>
      <c r="H3" s="76">
        <f>SUMIFS('январь 2025'!$G$5:$G$2334,'январь 2025'!$D$5:$D$2334,$B3,'январь 2025'!$J$5:$J$2334,H$1)</f>
        <v>0</v>
      </c>
      <c r="I3" s="76">
        <f>SUMIFS('январь 2025'!$G$5:$G$2334,'январь 2025'!$D$5:$D$2334,$B3,'январь 2025'!$J$5:$J$2334,I$1)</f>
        <v>0</v>
      </c>
      <c r="J3" s="76">
        <f>SUMIFS('январь 2025'!$G$5:$G$2334,'январь 2025'!$D$5:$D$2334,$B3,'январь 2025'!$J$5:$J$2334,J$1)</f>
        <v>0</v>
      </c>
      <c r="K3" s="76">
        <f>SUMIFS('январь 2025'!$G$5:$G$2334,'январь 2025'!$D$5:$D$2334,$B3,'январь 2025'!$J$5:$J$2334,K$1)</f>
        <v>0</v>
      </c>
      <c r="L3" s="76">
        <f>SUMIFS('январь 2025'!$G$5:$G$2334,'январь 2025'!$D$5:$D$2334,$B3,'январь 2025'!$J$5:$J$2334,L$1)</f>
        <v>0</v>
      </c>
      <c r="M3" s="76">
        <f>SUMIFS('январь 2025'!$G$5:$G$2334,'январь 2025'!$D$5:$D$2334,$B3,'январь 2025'!$J$5:$J$2334,M$1)</f>
        <v>0</v>
      </c>
      <c r="N3" s="76">
        <f>SUMIFS('январь 2025'!$G$5:$G$2334,'январь 2025'!$D$5:$D$2334,$B3,'январь 2025'!$J$5:$J$2334,N$1)</f>
        <v>0</v>
      </c>
      <c r="O3" s="76">
        <f>SUMIFS('январь 2025'!$G$5:$G$2334,'январь 2025'!$D$5:$D$2334,$B3,'январь 2025'!$J$5:$J$2334,O$1)</f>
        <v>0</v>
      </c>
      <c r="P3" s="76">
        <f>SUMIFS('январь 2025'!$G$5:$G$2334,'январь 2025'!$D$5:$D$2334,$B3,'январь 2025'!$J$5:$J$2334,P$1)</f>
        <v>0</v>
      </c>
      <c r="Q3" s="76">
        <f>SUMIFS('январь 2025'!$G$5:$G$2334,'январь 2025'!$D$5:$D$2334,$B3,'январь 2025'!$J$5:$J$2334,Q$1)</f>
        <v>0</v>
      </c>
      <c r="R3" s="76">
        <f>SUMIFS('январь 2025'!$G$5:$G$2334,'январь 2025'!$D$5:$D$2334,$B3,'январь 2025'!$J$5:$J$2334,R$1)</f>
        <v>0</v>
      </c>
      <c r="S3" s="76">
        <f>SUMIFS('январь 2025'!$G$5:$G$2334,'январь 2025'!$D$5:$D$2334,$B3,'январь 2025'!$J$5:$J$2334,S$1)</f>
        <v>0</v>
      </c>
      <c r="T3" s="76">
        <f>SUMIFS('январь 2025'!$G$5:$G$2334,'январь 2025'!$D$5:$D$2334,$B3,'январь 2025'!$J$5:$J$2334,T$1)</f>
        <v>0</v>
      </c>
      <c r="U3" s="76">
        <f>SUMIFS('январь 2025'!$G$5:$G$2334,'январь 2025'!$D$5:$D$2334,$B3,'январь 2025'!$J$5:$J$2334,U$1)</f>
        <v>0</v>
      </c>
      <c r="V3" s="76">
        <f>SUMIFS('январь 2025'!$G$5:$G$2334,'январь 2025'!$D$5:$D$2334,$B3,'январь 2025'!$J$5:$J$2334,V$1)</f>
        <v>0</v>
      </c>
      <c r="W3" s="76">
        <f>SUMIFS('январь 2025'!$G$5:$G$2334,'январь 2025'!$D$5:$D$2334,$B3,'январь 2025'!$J$5:$J$2334,W$1)</f>
        <v>0</v>
      </c>
      <c r="X3" s="76">
        <f>SUMIFS('январь 2025'!$G$5:$G$2334,'январь 2025'!$D$5:$D$2334,$B3,'январь 2025'!$J$5:$J$2334,X$1)</f>
        <v>0</v>
      </c>
      <c r="Y3" s="76">
        <f>SUMIFS('январь 2025'!$G$5:$G$2334,'январь 2025'!$D$5:$D$2334,$B3,'январь 2025'!$J$5:$J$2334,Y$1)</f>
        <v>0</v>
      </c>
      <c r="Z3" s="76">
        <f>SUMIFS('январь 2025'!$G$5:$G$2334,'январь 2025'!$D$5:$D$2334,$B3,'январь 2025'!$J$5:$J$2334,Z$1)</f>
        <v>0</v>
      </c>
      <c r="AA3" s="76">
        <f>SUMIFS('январь 2025'!$G$5:$G$2334,'январь 2025'!$D$5:$D$2334,$B3,'январь 2025'!$J$5:$J$2334,AA$1)</f>
        <v>0</v>
      </c>
      <c r="AB3" s="76">
        <f>SUMIFS('январь 2025'!$G$5:$G$2334,'январь 2025'!$D$5:$D$2334,$B3,'январь 2025'!$J$5:$J$2334,AB$1)</f>
        <v>0</v>
      </c>
      <c r="AC3" s="76">
        <f>SUMIFS('январь 2025'!$G$5:$G$2334,'январь 2025'!$D$5:$D$2334,$B3,'январь 2025'!$J$5:$J$2334,AC$1)</f>
        <v>0</v>
      </c>
      <c r="AD3" s="76">
        <f>SUMIFS('январь 2025'!$G$5:$G$2334,'январь 2025'!$D$5:$D$2334,$B3,'январь 2025'!$J$5:$J$2334,AD$1)</f>
        <v>0</v>
      </c>
      <c r="AE3" s="76">
        <f>SUMIFS('январь 2025'!$G$5:$G$2334,'январь 2025'!$D$5:$D$2334,$B3,'январь 2025'!$J$5:$J$2334,AE$1)</f>
        <v>0</v>
      </c>
      <c r="AF3" s="76">
        <f>SUMIFS('январь 2025'!$G$5:$G$2334,'январь 2025'!$D$5:$D$2334,$B3,'январь 2025'!$J$5:$J$2334,AF$1)</f>
        <v>0</v>
      </c>
      <c r="AG3" s="76">
        <f>SUMIFS('январь 2025'!$G$5:$G$2334,'январь 2025'!$D$5:$D$2334,$B3,'январь 2025'!$J$5:$J$2334,AG$1)</f>
        <v>0</v>
      </c>
      <c r="AH3" s="76">
        <f>SUMIFS('январь 2025'!$G$5:$G$2334,'январь 2025'!$D$5:$D$2334,$B3,'январь 2025'!$J$5:$J$2334,AH$1)</f>
        <v>0</v>
      </c>
      <c r="AI3" s="48">
        <f t="shared" ref="AI3:AI152" si="1">SUM(D3:AH3)</f>
        <v>0</v>
      </c>
    </row>
    <row r="4" spans="2:35" ht="15" customHeight="1" x14ac:dyDescent="0.25">
      <c r="B4" s="77" t="s">
        <v>214</v>
      </c>
      <c r="C4" s="78">
        <v>25</v>
      </c>
      <c r="D4" s="76">
        <f>SUMIFS('январь 2025'!$G$5:$G$2334,'январь 2025'!$D$5:$D$2334,$B4,'январь 2025'!$J$5:$J$2334,D$1)</f>
        <v>0</v>
      </c>
      <c r="E4" s="76">
        <f>SUMIFS('январь 2025'!$G$5:$G$2334,'январь 2025'!$D$5:$D$2334,$B4,'январь 2025'!$J$5:$J$2334,E$1)</f>
        <v>0</v>
      </c>
      <c r="F4" s="76">
        <f>SUMIFS('январь 2025'!$G$5:$G$2334,'январь 2025'!$D$5:$D$2334,$B4,'январь 2025'!$J$5:$J$2334,F$1)</f>
        <v>0</v>
      </c>
      <c r="G4" s="76">
        <f>SUMIFS('январь 2025'!$G$5:$G$2334,'январь 2025'!$D$5:$D$2334,$B4,'январь 2025'!$J$5:$J$2334,G$1)</f>
        <v>0</v>
      </c>
      <c r="H4" s="76">
        <f>SUMIFS('январь 2025'!$G$5:$G$2334,'январь 2025'!$D$5:$D$2334,$B4,'январь 2025'!$J$5:$J$2334,H$1)</f>
        <v>0</v>
      </c>
      <c r="I4" s="76">
        <f>SUMIFS('январь 2025'!$G$5:$G$2334,'январь 2025'!$D$5:$D$2334,$B4,'январь 2025'!$J$5:$J$2334,I$1)</f>
        <v>0</v>
      </c>
      <c r="J4" s="76">
        <f>SUMIFS('январь 2025'!$G$5:$G$2334,'январь 2025'!$D$5:$D$2334,$B4,'январь 2025'!$J$5:$J$2334,J$1)</f>
        <v>0</v>
      </c>
      <c r="K4" s="76">
        <f>SUMIFS('январь 2025'!$G$5:$G$2334,'январь 2025'!$D$5:$D$2334,$B4,'январь 2025'!$J$5:$J$2334,K$1)</f>
        <v>0</v>
      </c>
      <c r="L4" s="76">
        <f>SUMIFS('январь 2025'!$G$5:$G$2334,'январь 2025'!$D$5:$D$2334,$B4,'январь 2025'!$J$5:$J$2334,L$1)</f>
        <v>0</v>
      </c>
      <c r="M4" s="76">
        <f>SUMIFS('январь 2025'!$G$5:$G$2334,'январь 2025'!$D$5:$D$2334,$B4,'январь 2025'!$J$5:$J$2334,M$1)</f>
        <v>0</v>
      </c>
      <c r="N4" s="76">
        <f>SUMIFS('январь 2025'!$G$5:$G$2334,'январь 2025'!$D$5:$D$2334,$B4,'январь 2025'!$J$5:$J$2334,N$1)</f>
        <v>0</v>
      </c>
      <c r="O4" s="76">
        <f>SUMIFS('январь 2025'!$G$5:$G$2334,'январь 2025'!$D$5:$D$2334,$B4,'январь 2025'!$J$5:$J$2334,O$1)</f>
        <v>0</v>
      </c>
      <c r="P4" s="76">
        <f>SUMIFS('январь 2025'!$G$5:$G$2334,'январь 2025'!$D$5:$D$2334,$B4,'январь 2025'!$J$5:$J$2334,P$1)</f>
        <v>0</v>
      </c>
      <c r="Q4" s="76">
        <f>SUMIFS('январь 2025'!$G$5:$G$2334,'январь 2025'!$D$5:$D$2334,$B4,'январь 2025'!$J$5:$J$2334,Q$1)</f>
        <v>0</v>
      </c>
      <c r="R4" s="76">
        <f>SUMIFS('январь 2025'!$G$5:$G$2334,'январь 2025'!$D$5:$D$2334,$B4,'январь 2025'!$J$5:$J$2334,R$1)</f>
        <v>0</v>
      </c>
      <c r="S4" s="76">
        <f>SUMIFS('январь 2025'!$G$5:$G$2334,'январь 2025'!$D$5:$D$2334,$B4,'январь 2025'!$J$5:$J$2334,S$1)</f>
        <v>0</v>
      </c>
      <c r="T4" s="76">
        <f>SUMIFS('январь 2025'!$G$5:$G$2334,'январь 2025'!$D$5:$D$2334,$B4,'январь 2025'!$J$5:$J$2334,T$1)</f>
        <v>0</v>
      </c>
      <c r="U4" s="76">
        <f>SUMIFS('январь 2025'!$G$5:$G$2334,'январь 2025'!$D$5:$D$2334,$B4,'январь 2025'!$J$5:$J$2334,U$1)</f>
        <v>0</v>
      </c>
      <c r="V4" s="76">
        <f>SUMIFS('январь 2025'!$G$5:$G$2334,'январь 2025'!$D$5:$D$2334,$B4,'январь 2025'!$J$5:$J$2334,V$1)</f>
        <v>0</v>
      </c>
      <c r="W4" s="76">
        <f>SUMIFS('январь 2025'!$G$5:$G$2334,'январь 2025'!$D$5:$D$2334,$B4,'январь 2025'!$J$5:$J$2334,W$1)</f>
        <v>0</v>
      </c>
      <c r="X4" s="76">
        <f>SUMIFS('январь 2025'!$G$5:$G$2334,'январь 2025'!$D$5:$D$2334,$B4,'январь 2025'!$J$5:$J$2334,X$1)</f>
        <v>0</v>
      </c>
      <c r="Y4" s="76">
        <f>SUMIFS('январь 2025'!$G$5:$G$2334,'январь 2025'!$D$5:$D$2334,$B4,'январь 2025'!$J$5:$J$2334,Y$1)</f>
        <v>0</v>
      </c>
      <c r="Z4" s="76">
        <f>SUMIFS('январь 2025'!$G$5:$G$2334,'январь 2025'!$D$5:$D$2334,$B4,'январь 2025'!$J$5:$J$2334,Z$1)</f>
        <v>0</v>
      </c>
      <c r="AA4" s="76">
        <f>SUMIFS('январь 2025'!$G$5:$G$2334,'январь 2025'!$D$5:$D$2334,$B4,'январь 2025'!$J$5:$J$2334,AA$1)</f>
        <v>0</v>
      </c>
      <c r="AB4" s="76">
        <f>SUMIFS('январь 2025'!$G$5:$G$2334,'январь 2025'!$D$5:$D$2334,$B4,'январь 2025'!$J$5:$J$2334,AB$1)</f>
        <v>0</v>
      </c>
      <c r="AC4" s="76">
        <f>SUMIFS('январь 2025'!$G$5:$G$2334,'январь 2025'!$D$5:$D$2334,$B4,'январь 2025'!$J$5:$J$2334,AC$1)</f>
        <v>0</v>
      </c>
      <c r="AD4" s="76">
        <f>SUMIFS('январь 2025'!$G$5:$G$2334,'январь 2025'!$D$5:$D$2334,$B4,'январь 2025'!$J$5:$J$2334,AD$1)</f>
        <v>0</v>
      </c>
      <c r="AE4" s="76">
        <f>SUMIFS('январь 2025'!$G$5:$G$2334,'январь 2025'!$D$5:$D$2334,$B4,'январь 2025'!$J$5:$J$2334,AE$1)</f>
        <v>0</v>
      </c>
      <c r="AF4" s="76">
        <f>SUMIFS('январь 2025'!$G$5:$G$2334,'январь 2025'!$D$5:$D$2334,$B4,'январь 2025'!$J$5:$J$2334,AF$1)</f>
        <v>0</v>
      </c>
      <c r="AG4" s="76">
        <f>SUMIFS('январь 2025'!$G$5:$G$2334,'январь 2025'!$D$5:$D$2334,$B4,'январь 2025'!$J$5:$J$2334,AG$1)</f>
        <v>0</v>
      </c>
      <c r="AH4" s="76">
        <f>SUMIFS('январь 2025'!$G$5:$G$2334,'январь 2025'!$D$5:$D$2334,$B4,'январь 2025'!$J$5:$J$2334,AH$1)</f>
        <v>0</v>
      </c>
      <c r="AI4" s="20">
        <f t="shared" si="1"/>
        <v>0</v>
      </c>
    </row>
    <row r="5" spans="2:35" ht="15" customHeight="1" x14ac:dyDescent="0.25">
      <c r="B5" s="77" t="s">
        <v>216</v>
      </c>
      <c r="C5" s="78">
        <v>25</v>
      </c>
      <c r="D5" s="76">
        <f>SUMIFS('январь 2025'!$G$5:$G$2334,'январь 2025'!$D$5:$D$2334,$B5,'январь 2025'!$J$5:$J$2334,D$1)</f>
        <v>0</v>
      </c>
      <c r="E5" s="76">
        <f>SUMIFS('январь 2025'!$G$5:$G$2334,'январь 2025'!$D$5:$D$2334,$B5,'январь 2025'!$J$5:$J$2334,E$1)</f>
        <v>0</v>
      </c>
      <c r="F5" s="76">
        <f>SUMIFS('январь 2025'!$G$5:$G$2334,'январь 2025'!$D$5:$D$2334,$B5,'январь 2025'!$J$5:$J$2334,F$1)</f>
        <v>0</v>
      </c>
      <c r="G5" s="76">
        <f>SUMIFS('январь 2025'!$G$5:$G$2334,'январь 2025'!$D$5:$D$2334,$B5,'январь 2025'!$J$5:$J$2334,G$1)</f>
        <v>0</v>
      </c>
      <c r="H5" s="76">
        <f>SUMIFS('январь 2025'!$G$5:$G$2334,'январь 2025'!$D$5:$D$2334,$B5,'январь 2025'!$J$5:$J$2334,H$1)</f>
        <v>0</v>
      </c>
      <c r="I5" s="76">
        <f>SUMIFS('январь 2025'!$G$5:$G$2334,'январь 2025'!$D$5:$D$2334,$B5,'январь 2025'!$J$5:$J$2334,I$1)</f>
        <v>0</v>
      </c>
      <c r="J5" s="76">
        <f>SUMIFS('январь 2025'!$G$5:$G$2334,'январь 2025'!$D$5:$D$2334,$B5,'январь 2025'!$J$5:$J$2334,J$1)</f>
        <v>0</v>
      </c>
      <c r="K5" s="76">
        <f>SUMIFS('январь 2025'!$G$5:$G$2334,'январь 2025'!$D$5:$D$2334,$B5,'январь 2025'!$J$5:$J$2334,K$1)</f>
        <v>0</v>
      </c>
      <c r="L5" s="76">
        <f>SUMIFS('январь 2025'!$G$5:$G$2334,'январь 2025'!$D$5:$D$2334,$B5,'январь 2025'!$J$5:$J$2334,L$1)</f>
        <v>0</v>
      </c>
      <c r="M5" s="76">
        <f>SUMIFS('январь 2025'!$G$5:$G$2334,'январь 2025'!$D$5:$D$2334,$B5,'январь 2025'!$J$5:$J$2334,M$1)</f>
        <v>0</v>
      </c>
      <c r="N5" s="76">
        <f>SUMIFS('январь 2025'!$G$5:$G$2334,'январь 2025'!$D$5:$D$2334,$B5,'январь 2025'!$J$5:$J$2334,N$1)</f>
        <v>0</v>
      </c>
      <c r="O5" s="76">
        <f>SUMIFS('январь 2025'!$G$5:$G$2334,'январь 2025'!$D$5:$D$2334,$B5,'январь 2025'!$J$5:$J$2334,O$1)</f>
        <v>0</v>
      </c>
      <c r="P5" s="76">
        <f>SUMIFS('январь 2025'!$G$5:$G$2334,'январь 2025'!$D$5:$D$2334,$B5,'январь 2025'!$J$5:$J$2334,P$1)</f>
        <v>0</v>
      </c>
      <c r="Q5" s="76">
        <f>SUMIFS('январь 2025'!$G$5:$G$2334,'январь 2025'!$D$5:$D$2334,$B5,'январь 2025'!$J$5:$J$2334,Q$1)</f>
        <v>0</v>
      </c>
      <c r="R5" s="76">
        <f>SUMIFS('январь 2025'!$G$5:$G$2334,'январь 2025'!$D$5:$D$2334,$B5,'январь 2025'!$J$5:$J$2334,R$1)</f>
        <v>0</v>
      </c>
      <c r="S5" s="76">
        <f>SUMIFS('январь 2025'!$G$5:$G$2334,'январь 2025'!$D$5:$D$2334,$B5,'январь 2025'!$J$5:$J$2334,S$1)</f>
        <v>0</v>
      </c>
      <c r="T5" s="76">
        <f>SUMIFS('январь 2025'!$G$5:$G$2334,'январь 2025'!$D$5:$D$2334,$B5,'январь 2025'!$J$5:$J$2334,T$1)</f>
        <v>0</v>
      </c>
      <c r="U5" s="76">
        <f>SUMIFS('январь 2025'!$G$5:$G$2334,'январь 2025'!$D$5:$D$2334,$B5,'январь 2025'!$J$5:$J$2334,U$1)</f>
        <v>0</v>
      </c>
      <c r="V5" s="76">
        <f>SUMIFS('январь 2025'!$G$5:$G$2334,'январь 2025'!$D$5:$D$2334,$B5,'январь 2025'!$J$5:$J$2334,V$1)</f>
        <v>0</v>
      </c>
      <c r="W5" s="76">
        <f>SUMIFS('январь 2025'!$G$5:$G$2334,'январь 2025'!$D$5:$D$2334,$B5,'январь 2025'!$J$5:$J$2334,W$1)</f>
        <v>0</v>
      </c>
      <c r="X5" s="76">
        <f>SUMIFS('январь 2025'!$G$5:$G$2334,'январь 2025'!$D$5:$D$2334,$B5,'январь 2025'!$J$5:$J$2334,X$1)</f>
        <v>0</v>
      </c>
      <c r="Y5" s="76">
        <f>SUMIFS('январь 2025'!$G$5:$G$2334,'январь 2025'!$D$5:$D$2334,$B5,'январь 2025'!$J$5:$J$2334,Y$1)</f>
        <v>0</v>
      </c>
      <c r="Z5" s="76">
        <f>SUMIFS('январь 2025'!$G$5:$G$2334,'январь 2025'!$D$5:$D$2334,$B5,'январь 2025'!$J$5:$J$2334,Z$1)</f>
        <v>0</v>
      </c>
      <c r="AA5" s="76">
        <f>SUMIFS('январь 2025'!$G$5:$G$2334,'январь 2025'!$D$5:$D$2334,$B5,'январь 2025'!$J$5:$J$2334,AA$1)</f>
        <v>0</v>
      </c>
      <c r="AB5" s="76">
        <f>SUMIFS('январь 2025'!$G$5:$G$2334,'январь 2025'!$D$5:$D$2334,$B5,'январь 2025'!$J$5:$J$2334,AB$1)</f>
        <v>0</v>
      </c>
      <c r="AC5" s="76">
        <f>SUMIFS('январь 2025'!$G$5:$G$2334,'январь 2025'!$D$5:$D$2334,$B5,'январь 2025'!$J$5:$J$2334,AC$1)</f>
        <v>0</v>
      </c>
      <c r="AD5" s="76">
        <f>SUMIFS('январь 2025'!$G$5:$G$2334,'январь 2025'!$D$5:$D$2334,$B5,'январь 2025'!$J$5:$J$2334,AD$1)</f>
        <v>0</v>
      </c>
      <c r="AE5" s="76">
        <f>SUMIFS('январь 2025'!$G$5:$G$2334,'январь 2025'!$D$5:$D$2334,$B5,'январь 2025'!$J$5:$J$2334,AE$1)</f>
        <v>0</v>
      </c>
      <c r="AF5" s="76">
        <f>SUMIFS('январь 2025'!$G$5:$G$2334,'январь 2025'!$D$5:$D$2334,$B5,'январь 2025'!$J$5:$J$2334,AF$1)</f>
        <v>0</v>
      </c>
      <c r="AG5" s="76">
        <f>SUMIFS('январь 2025'!$G$5:$G$2334,'январь 2025'!$D$5:$D$2334,$B5,'январь 2025'!$J$5:$J$2334,AG$1)</f>
        <v>0</v>
      </c>
      <c r="AH5" s="76">
        <f>SUMIFS('январь 2025'!$G$5:$G$2334,'январь 2025'!$D$5:$D$2334,$B5,'январь 2025'!$J$5:$J$2334,AH$1)</f>
        <v>0</v>
      </c>
      <c r="AI5" s="20">
        <f t="shared" si="1"/>
        <v>0</v>
      </c>
    </row>
    <row r="6" spans="2:35" ht="15" customHeight="1" x14ac:dyDescent="0.25">
      <c r="B6" s="77" t="s">
        <v>218</v>
      </c>
      <c r="C6" s="78">
        <v>22.7</v>
      </c>
      <c r="D6" s="76">
        <f>SUMIFS('январь 2025'!$G$5:$G$2334,'январь 2025'!$D$5:$D$2334,$B6,'январь 2025'!$J$5:$J$2334,D$1)</f>
        <v>0</v>
      </c>
      <c r="E6" s="76">
        <f>SUMIFS('январь 2025'!$G$5:$G$2334,'январь 2025'!$D$5:$D$2334,$B6,'январь 2025'!$J$5:$J$2334,E$1)</f>
        <v>0</v>
      </c>
      <c r="F6" s="76">
        <f>SUMIFS('январь 2025'!$G$5:$G$2334,'январь 2025'!$D$5:$D$2334,$B6,'январь 2025'!$J$5:$J$2334,F$1)</f>
        <v>0</v>
      </c>
      <c r="G6" s="76">
        <f>SUMIFS('январь 2025'!$G$5:$G$2334,'январь 2025'!$D$5:$D$2334,$B6,'январь 2025'!$J$5:$J$2334,G$1)</f>
        <v>0</v>
      </c>
      <c r="H6" s="76">
        <f>SUMIFS('январь 2025'!$G$5:$G$2334,'январь 2025'!$D$5:$D$2334,$B6,'январь 2025'!$J$5:$J$2334,H$1)</f>
        <v>0</v>
      </c>
      <c r="I6" s="76">
        <f>SUMIFS('январь 2025'!$G$5:$G$2334,'январь 2025'!$D$5:$D$2334,$B6,'январь 2025'!$J$5:$J$2334,I$1)</f>
        <v>0</v>
      </c>
      <c r="J6" s="76">
        <f>SUMIFS('январь 2025'!$G$5:$G$2334,'январь 2025'!$D$5:$D$2334,$B6,'январь 2025'!$J$5:$J$2334,J$1)</f>
        <v>0</v>
      </c>
      <c r="K6" s="76">
        <f>SUMIFS('январь 2025'!$G$5:$G$2334,'январь 2025'!$D$5:$D$2334,$B6,'январь 2025'!$J$5:$J$2334,K$1)</f>
        <v>0</v>
      </c>
      <c r="L6" s="76">
        <f>SUMIFS('январь 2025'!$G$5:$G$2334,'январь 2025'!$D$5:$D$2334,$B6,'январь 2025'!$J$5:$J$2334,L$1)</f>
        <v>0</v>
      </c>
      <c r="M6" s="76">
        <f>SUMIFS('январь 2025'!$G$5:$G$2334,'январь 2025'!$D$5:$D$2334,$B6,'январь 2025'!$J$5:$J$2334,M$1)</f>
        <v>0</v>
      </c>
      <c r="N6" s="76">
        <f>SUMIFS('январь 2025'!$G$5:$G$2334,'январь 2025'!$D$5:$D$2334,$B6,'январь 2025'!$J$5:$J$2334,N$1)</f>
        <v>0</v>
      </c>
      <c r="O6" s="76">
        <f>SUMIFS('январь 2025'!$G$5:$G$2334,'январь 2025'!$D$5:$D$2334,$B6,'январь 2025'!$J$5:$J$2334,O$1)</f>
        <v>0</v>
      </c>
      <c r="P6" s="76">
        <f>SUMIFS('январь 2025'!$G$5:$G$2334,'январь 2025'!$D$5:$D$2334,$B6,'январь 2025'!$J$5:$J$2334,P$1)</f>
        <v>0</v>
      </c>
      <c r="Q6" s="76">
        <f>SUMIFS('январь 2025'!$G$5:$G$2334,'январь 2025'!$D$5:$D$2334,$B6,'январь 2025'!$J$5:$J$2334,Q$1)</f>
        <v>0</v>
      </c>
      <c r="R6" s="76">
        <f>SUMIFS('январь 2025'!$G$5:$G$2334,'январь 2025'!$D$5:$D$2334,$B6,'январь 2025'!$J$5:$J$2334,R$1)</f>
        <v>0</v>
      </c>
      <c r="S6" s="76">
        <f>SUMIFS('январь 2025'!$G$5:$G$2334,'январь 2025'!$D$5:$D$2334,$B6,'январь 2025'!$J$5:$J$2334,S$1)</f>
        <v>0</v>
      </c>
      <c r="T6" s="76">
        <f>SUMIFS('январь 2025'!$G$5:$G$2334,'январь 2025'!$D$5:$D$2334,$B6,'январь 2025'!$J$5:$J$2334,T$1)</f>
        <v>0</v>
      </c>
      <c r="U6" s="76">
        <f>SUMIFS('январь 2025'!$G$5:$G$2334,'январь 2025'!$D$5:$D$2334,$B6,'январь 2025'!$J$5:$J$2334,U$1)</f>
        <v>0</v>
      </c>
      <c r="V6" s="76">
        <f>SUMIFS('январь 2025'!$G$5:$G$2334,'январь 2025'!$D$5:$D$2334,$B6,'январь 2025'!$J$5:$J$2334,V$1)</f>
        <v>0</v>
      </c>
      <c r="W6" s="76">
        <f>SUMIFS('январь 2025'!$G$5:$G$2334,'январь 2025'!$D$5:$D$2334,$B6,'январь 2025'!$J$5:$J$2334,W$1)</f>
        <v>0</v>
      </c>
      <c r="X6" s="76">
        <f>SUMIFS('январь 2025'!$G$5:$G$2334,'январь 2025'!$D$5:$D$2334,$B6,'январь 2025'!$J$5:$J$2334,X$1)</f>
        <v>0</v>
      </c>
      <c r="Y6" s="76">
        <f>SUMIFS('январь 2025'!$G$5:$G$2334,'январь 2025'!$D$5:$D$2334,$B6,'январь 2025'!$J$5:$J$2334,Y$1)</f>
        <v>0</v>
      </c>
      <c r="Z6" s="76">
        <f>SUMIFS('январь 2025'!$G$5:$G$2334,'январь 2025'!$D$5:$D$2334,$B6,'январь 2025'!$J$5:$J$2334,Z$1)</f>
        <v>0</v>
      </c>
      <c r="AA6" s="76">
        <f>SUMIFS('январь 2025'!$G$5:$G$2334,'январь 2025'!$D$5:$D$2334,$B6,'январь 2025'!$J$5:$J$2334,AA$1)</f>
        <v>0</v>
      </c>
      <c r="AB6" s="76">
        <f>SUMIFS('январь 2025'!$G$5:$G$2334,'январь 2025'!$D$5:$D$2334,$B6,'январь 2025'!$J$5:$J$2334,AB$1)</f>
        <v>0</v>
      </c>
      <c r="AC6" s="76">
        <f>SUMIFS('январь 2025'!$G$5:$G$2334,'январь 2025'!$D$5:$D$2334,$B6,'январь 2025'!$J$5:$J$2334,AC$1)</f>
        <v>0</v>
      </c>
      <c r="AD6" s="76">
        <f>SUMIFS('январь 2025'!$G$5:$G$2334,'январь 2025'!$D$5:$D$2334,$B6,'январь 2025'!$J$5:$J$2334,AD$1)</f>
        <v>0</v>
      </c>
      <c r="AE6" s="76">
        <f>SUMIFS('январь 2025'!$G$5:$G$2334,'январь 2025'!$D$5:$D$2334,$B6,'январь 2025'!$J$5:$J$2334,AE$1)</f>
        <v>0</v>
      </c>
      <c r="AF6" s="76">
        <f>SUMIFS('январь 2025'!$G$5:$G$2334,'январь 2025'!$D$5:$D$2334,$B6,'январь 2025'!$J$5:$J$2334,AF$1)</f>
        <v>0</v>
      </c>
      <c r="AG6" s="76">
        <f>SUMIFS('январь 2025'!$G$5:$G$2334,'январь 2025'!$D$5:$D$2334,$B6,'январь 2025'!$J$5:$J$2334,AG$1)</f>
        <v>0</v>
      </c>
      <c r="AH6" s="76">
        <f>SUMIFS('январь 2025'!$G$5:$G$2334,'январь 2025'!$D$5:$D$2334,$B6,'январь 2025'!$J$5:$J$2334,AH$1)</f>
        <v>0</v>
      </c>
      <c r="AI6" s="20">
        <f t="shared" si="1"/>
        <v>0</v>
      </c>
    </row>
    <row r="7" spans="2:35" ht="15" customHeight="1" x14ac:dyDescent="0.25">
      <c r="B7" s="77" t="s">
        <v>220</v>
      </c>
      <c r="C7" s="78">
        <v>22.7</v>
      </c>
      <c r="D7" s="76">
        <f>SUMIFS('январь 2025'!$G$5:$G$2334,'январь 2025'!$D$5:$D$2334,$B7,'январь 2025'!$J$5:$J$2334,D$1)</f>
        <v>0</v>
      </c>
      <c r="E7" s="76">
        <f>SUMIFS('январь 2025'!$G$5:$G$2334,'январь 2025'!$D$5:$D$2334,$B7,'январь 2025'!$J$5:$J$2334,E$1)</f>
        <v>0</v>
      </c>
      <c r="F7" s="76">
        <f>SUMIFS('январь 2025'!$G$5:$G$2334,'январь 2025'!$D$5:$D$2334,$B7,'январь 2025'!$J$5:$J$2334,F$1)</f>
        <v>0</v>
      </c>
      <c r="G7" s="76">
        <f>SUMIFS('январь 2025'!$G$5:$G$2334,'январь 2025'!$D$5:$D$2334,$B7,'январь 2025'!$J$5:$J$2334,G$1)</f>
        <v>0</v>
      </c>
      <c r="H7" s="76">
        <f>SUMIFS('январь 2025'!$G$5:$G$2334,'январь 2025'!$D$5:$D$2334,$B7,'январь 2025'!$J$5:$J$2334,H$1)</f>
        <v>0</v>
      </c>
      <c r="I7" s="76">
        <f>SUMIFS('январь 2025'!$G$5:$G$2334,'январь 2025'!$D$5:$D$2334,$B7,'январь 2025'!$J$5:$J$2334,I$1)</f>
        <v>0</v>
      </c>
      <c r="J7" s="76">
        <f>SUMIFS('январь 2025'!$G$5:$G$2334,'январь 2025'!$D$5:$D$2334,$B7,'январь 2025'!$J$5:$J$2334,J$1)</f>
        <v>0</v>
      </c>
      <c r="K7" s="76">
        <f>SUMIFS('январь 2025'!$G$5:$G$2334,'январь 2025'!$D$5:$D$2334,$B7,'январь 2025'!$J$5:$J$2334,K$1)</f>
        <v>0</v>
      </c>
      <c r="L7" s="76">
        <f>SUMIFS('январь 2025'!$G$5:$G$2334,'январь 2025'!$D$5:$D$2334,$B7,'январь 2025'!$J$5:$J$2334,L$1)</f>
        <v>0</v>
      </c>
      <c r="M7" s="76">
        <f>SUMIFS('январь 2025'!$G$5:$G$2334,'январь 2025'!$D$5:$D$2334,$B7,'январь 2025'!$J$5:$J$2334,M$1)</f>
        <v>0</v>
      </c>
      <c r="N7" s="76">
        <f>SUMIFS('январь 2025'!$G$5:$G$2334,'январь 2025'!$D$5:$D$2334,$B7,'январь 2025'!$J$5:$J$2334,N$1)</f>
        <v>0</v>
      </c>
      <c r="O7" s="76">
        <f>SUMIFS('январь 2025'!$G$5:$G$2334,'январь 2025'!$D$5:$D$2334,$B7,'январь 2025'!$J$5:$J$2334,O$1)</f>
        <v>0</v>
      </c>
      <c r="P7" s="76">
        <f>SUMIFS('январь 2025'!$G$5:$G$2334,'январь 2025'!$D$5:$D$2334,$B7,'январь 2025'!$J$5:$J$2334,P$1)</f>
        <v>0</v>
      </c>
      <c r="Q7" s="76">
        <f>SUMIFS('январь 2025'!$G$5:$G$2334,'январь 2025'!$D$5:$D$2334,$B7,'январь 2025'!$J$5:$J$2334,Q$1)</f>
        <v>0</v>
      </c>
      <c r="R7" s="76">
        <f>SUMIFS('январь 2025'!$G$5:$G$2334,'январь 2025'!$D$5:$D$2334,$B7,'январь 2025'!$J$5:$J$2334,R$1)</f>
        <v>0</v>
      </c>
      <c r="S7" s="76">
        <f>SUMIFS('январь 2025'!$G$5:$G$2334,'январь 2025'!$D$5:$D$2334,$B7,'январь 2025'!$J$5:$J$2334,S$1)</f>
        <v>0</v>
      </c>
      <c r="T7" s="76">
        <f>SUMIFS('январь 2025'!$G$5:$G$2334,'январь 2025'!$D$5:$D$2334,$B7,'январь 2025'!$J$5:$J$2334,T$1)</f>
        <v>0</v>
      </c>
      <c r="U7" s="76">
        <f>SUMIFS('январь 2025'!$G$5:$G$2334,'январь 2025'!$D$5:$D$2334,$B7,'январь 2025'!$J$5:$J$2334,U$1)</f>
        <v>0</v>
      </c>
      <c r="V7" s="76">
        <f>SUMIFS('январь 2025'!$G$5:$G$2334,'январь 2025'!$D$5:$D$2334,$B7,'январь 2025'!$J$5:$J$2334,V$1)</f>
        <v>0</v>
      </c>
      <c r="W7" s="76">
        <f>SUMIFS('январь 2025'!$G$5:$G$2334,'январь 2025'!$D$5:$D$2334,$B7,'январь 2025'!$J$5:$J$2334,W$1)</f>
        <v>0</v>
      </c>
      <c r="X7" s="76">
        <f>SUMIFS('январь 2025'!$G$5:$G$2334,'январь 2025'!$D$5:$D$2334,$B7,'январь 2025'!$J$5:$J$2334,X$1)</f>
        <v>0</v>
      </c>
      <c r="Y7" s="76">
        <f>SUMIFS('январь 2025'!$G$5:$G$2334,'январь 2025'!$D$5:$D$2334,$B7,'январь 2025'!$J$5:$J$2334,Y$1)</f>
        <v>0</v>
      </c>
      <c r="Z7" s="76">
        <f>SUMIFS('январь 2025'!$G$5:$G$2334,'январь 2025'!$D$5:$D$2334,$B7,'январь 2025'!$J$5:$J$2334,Z$1)</f>
        <v>0</v>
      </c>
      <c r="AA7" s="76">
        <f>SUMIFS('январь 2025'!$G$5:$G$2334,'январь 2025'!$D$5:$D$2334,$B7,'январь 2025'!$J$5:$J$2334,AA$1)</f>
        <v>0</v>
      </c>
      <c r="AB7" s="76">
        <f>SUMIFS('январь 2025'!$G$5:$G$2334,'январь 2025'!$D$5:$D$2334,$B7,'январь 2025'!$J$5:$J$2334,AB$1)</f>
        <v>0</v>
      </c>
      <c r="AC7" s="76">
        <f>SUMIFS('январь 2025'!$G$5:$G$2334,'январь 2025'!$D$5:$D$2334,$B7,'январь 2025'!$J$5:$J$2334,AC$1)</f>
        <v>0</v>
      </c>
      <c r="AD7" s="76">
        <f>SUMIFS('январь 2025'!$G$5:$G$2334,'январь 2025'!$D$5:$D$2334,$B7,'январь 2025'!$J$5:$J$2334,AD$1)</f>
        <v>0</v>
      </c>
      <c r="AE7" s="76">
        <f>SUMIFS('январь 2025'!$G$5:$G$2334,'январь 2025'!$D$5:$D$2334,$B7,'январь 2025'!$J$5:$J$2334,AE$1)</f>
        <v>0</v>
      </c>
      <c r="AF7" s="76">
        <f>SUMIFS('январь 2025'!$G$5:$G$2334,'январь 2025'!$D$5:$D$2334,$B7,'январь 2025'!$J$5:$J$2334,AF$1)</f>
        <v>0</v>
      </c>
      <c r="AG7" s="76">
        <f>SUMIFS('январь 2025'!$G$5:$G$2334,'январь 2025'!$D$5:$D$2334,$B7,'январь 2025'!$J$5:$J$2334,AG$1)</f>
        <v>0</v>
      </c>
      <c r="AH7" s="76">
        <f>SUMIFS('январь 2025'!$G$5:$G$2334,'январь 2025'!$D$5:$D$2334,$B7,'январь 2025'!$J$5:$J$2334,AH$1)</f>
        <v>0</v>
      </c>
      <c r="AI7" s="20">
        <f t="shared" si="1"/>
        <v>0</v>
      </c>
    </row>
    <row r="8" spans="2:35" ht="15" customHeight="1" x14ac:dyDescent="0.25">
      <c r="B8" s="79" t="s">
        <v>222</v>
      </c>
      <c r="C8" s="78">
        <v>25</v>
      </c>
      <c r="D8" s="76">
        <f>SUMIFS('январь 2025'!$G$5:$G$2334,'январь 2025'!$D$5:$D$2334,$B8,'январь 2025'!$J$5:$J$2334,D$1)</f>
        <v>0</v>
      </c>
      <c r="E8" s="76">
        <f>SUMIFS('январь 2025'!$G$5:$G$2334,'январь 2025'!$D$5:$D$2334,$B8,'январь 2025'!$J$5:$J$2334,E$1)</f>
        <v>0</v>
      </c>
      <c r="F8" s="76">
        <f>SUMIFS('январь 2025'!$G$5:$G$2334,'январь 2025'!$D$5:$D$2334,$B8,'январь 2025'!$J$5:$J$2334,F$1)</f>
        <v>0</v>
      </c>
      <c r="G8" s="76">
        <f>SUMIFS('январь 2025'!$G$5:$G$2334,'январь 2025'!$D$5:$D$2334,$B8,'январь 2025'!$J$5:$J$2334,G$1)</f>
        <v>0</v>
      </c>
      <c r="H8" s="76">
        <f>SUMIFS('январь 2025'!$G$5:$G$2334,'январь 2025'!$D$5:$D$2334,$B8,'январь 2025'!$J$5:$J$2334,H$1)</f>
        <v>0</v>
      </c>
      <c r="I8" s="76">
        <f>SUMIFS('январь 2025'!$G$5:$G$2334,'январь 2025'!$D$5:$D$2334,$B8,'январь 2025'!$J$5:$J$2334,I$1)</f>
        <v>800</v>
      </c>
      <c r="J8" s="76">
        <f>SUMIFS('январь 2025'!$G$5:$G$2334,'январь 2025'!$D$5:$D$2334,$B8,'январь 2025'!$J$5:$J$2334,J$1)</f>
        <v>0</v>
      </c>
      <c r="K8" s="76">
        <f>SUMIFS('январь 2025'!$G$5:$G$2334,'январь 2025'!$D$5:$D$2334,$B8,'январь 2025'!$J$5:$J$2334,K$1)</f>
        <v>0</v>
      </c>
      <c r="L8" s="76">
        <f>SUMIFS('январь 2025'!$G$5:$G$2334,'январь 2025'!$D$5:$D$2334,$B8,'январь 2025'!$J$5:$J$2334,L$1)</f>
        <v>800</v>
      </c>
      <c r="M8" s="76">
        <f>SUMIFS('январь 2025'!$G$5:$G$2334,'январь 2025'!$D$5:$D$2334,$B8,'январь 2025'!$J$5:$J$2334,M$1)</f>
        <v>800</v>
      </c>
      <c r="N8" s="76">
        <f>SUMIFS('январь 2025'!$G$5:$G$2334,'январь 2025'!$D$5:$D$2334,$B8,'январь 2025'!$J$5:$J$2334,N$1)</f>
        <v>0</v>
      </c>
      <c r="O8" s="76">
        <f>SUMIFS('январь 2025'!$G$5:$G$2334,'январь 2025'!$D$5:$D$2334,$B8,'январь 2025'!$J$5:$J$2334,O$1)</f>
        <v>0</v>
      </c>
      <c r="P8" s="76">
        <f>SUMIFS('январь 2025'!$G$5:$G$2334,'январь 2025'!$D$5:$D$2334,$B8,'январь 2025'!$J$5:$J$2334,P$1)</f>
        <v>0</v>
      </c>
      <c r="Q8" s="76">
        <f>SUMIFS('январь 2025'!$G$5:$G$2334,'январь 2025'!$D$5:$D$2334,$B8,'январь 2025'!$J$5:$J$2334,Q$1)</f>
        <v>0</v>
      </c>
      <c r="R8" s="76">
        <f>SUMIFS('январь 2025'!$G$5:$G$2334,'январь 2025'!$D$5:$D$2334,$B8,'январь 2025'!$J$5:$J$2334,R$1)</f>
        <v>0</v>
      </c>
      <c r="S8" s="76">
        <f>SUMIFS('январь 2025'!$G$5:$G$2334,'январь 2025'!$D$5:$D$2334,$B8,'январь 2025'!$J$5:$J$2334,S$1)</f>
        <v>0</v>
      </c>
      <c r="T8" s="76">
        <f>SUMIFS('январь 2025'!$G$5:$G$2334,'январь 2025'!$D$5:$D$2334,$B8,'январь 2025'!$J$5:$J$2334,T$1)</f>
        <v>1200</v>
      </c>
      <c r="U8" s="76">
        <f>SUMIFS('январь 2025'!$G$5:$G$2334,'январь 2025'!$D$5:$D$2334,$B8,'январь 2025'!$J$5:$J$2334,U$1)</f>
        <v>0</v>
      </c>
      <c r="V8" s="76">
        <f>SUMIFS('январь 2025'!$G$5:$G$2334,'январь 2025'!$D$5:$D$2334,$B8,'январь 2025'!$J$5:$J$2334,V$1)</f>
        <v>0</v>
      </c>
      <c r="W8" s="76">
        <f>SUMIFS('январь 2025'!$G$5:$G$2334,'январь 2025'!$D$5:$D$2334,$B8,'январь 2025'!$J$5:$J$2334,W$1)</f>
        <v>0</v>
      </c>
      <c r="X8" s="76">
        <f>SUMIFS('январь 2025'!$G$5:$G$2334,'январь 2025'!$D$5:$D$2334,$B8,'январь 2025'!$J$5:$J$2334,X$1)</f>
        <v>0</v>
      </c>
      <c r="Y8" s="76">
        <f>SUMIFS('январь 2025'!$G$5:$G$2334,'январь 2025'!$D$5:$D$2334,$B8,'январь 2025'!$J$5:$J$2334,Y$1)</f>
        <v>0</v>
      </c>
      <c r="Z8" s="76">
        <f>SUMIFS('январь 2025'!$G$5:$G$2334,'январь 2025'!$D$5:$D$2334,$B8,'январь 2025'!$J$5:$J$2334,Z$1)</f>
        <v>920</v>
      </c>
      <c r="AA8" s="76">
        <f>SUMIFS('январь 2025'!$G$5:$G$2334,'январь 2025'!$D$5:$D$2334,$B8,'январь 2025'!$J$5:$J$2334,AA$1)</f>
        <v>0</v>
      </c>
      <c r="AB8" s="76">
        <f>SUMIFS('январь 2025'!$G$5:$G$2334,'январь 2025'!$D$5:$D$2334,$B8,'январь 2025'!$J$5:$J$2334,AB$1)</f>
        <v>800</v>
      </c>
      <c r="AC8" s="76">
        <f>SUMIFS('январь 2025'!$G$5:$G$2334,'январь 2025'!$D$5:$D$2334,$B8,'январь 2025'!$J$5:$J$2334,AC$1)</f>
        <v>0</v>
      </c>
      <c r="AD8" s="76">
        <f>SUMIFS('январь 2025'!$G$5:$G$2334,'январь 2025'!$D$5:$D$2334,$B8,'январь 2025'!$J$5:$J$2334,AD$1)</f>
        <v>0</v>
      </c>
      <c r="AE8" s="76">
        <f>SUMIFS('январь 2025'!$G$5:$G$2334,'январь 2025'!$D$5:$D$2334,$B8,'январь 2025'!$J$5:$J$2334,AE$1)</f>
        <v>1400</v>
      </c>
      <c r="AF8" s="76">
        <f>SUMIFS('январь 2025'!$G$5:$G$2334,'январь 2025'!$D$5:$D$2334,$B8,'январь 2025'!$J$5:$J$2334,AF$1)</f>
        <v>600</v>
      </c>
      <c r="AG8" s="76">
        <f>SUMIFS('январь 2025'!$G$5:$G$2334,'январь 2025'!$D$5:$D$2334,$B8,'январь 2025'!$J$5:$J$2334,AG$1)</f>
        <v>0</v>
      </c>
      <c r="AH8" s="76">
        <f>SUMIFS('январь 2025'!$G$5:$G$2334,'январь 2025'!$D$5:$D$2334,$B8,'январь 2025'!$J$5:$J$2334,AH$1)</f>
        <v>800</v>
      </c>
      <c r="AI8" s="20">
        <f>SUM(D8:AH8)</f>
        <v>8120</v>
      </c>
    </row>
    <row r="9" spans="2:35" ht="15" customHeight="1" x14ac:dyDescent="0.25">
      <c r="B9" s="77" t="s">
        <v>224</v>
      </c>
      <c r="C9" s="78">
        <v>25</v>
      </c>
      <c r="D9" s="76">
        <f>SUMIFS('январь 2025'!$G$5:$G$2334,'январь 2025'!$D$5:$D$2334,$B9,'январь 2025'!$J$5:$J$2334,D$1)</f>
        <v>0</v>
      </c>
      <c r="E9" s="76">
        <f>SUMIFS('январь 2025'!$G$5:$G$2334,'январь 2025'!$D$5:$D$2334,$B9,'январь 2025'!$J$5:$J$2334,E$1)</f>
        <v>0</v>
      </c>
      <c r="F9" s="76">
        <f>SUMIFS('январь 2025'!$G$5:$G$2334,'январь 2025'!$D$5:$D$2334,$B9,'январь 2025'!$J$5:$J$2334,F$1)</f>
        <v>0</v>
      </c>
      <c r="G9" s="76">
        <f>SUMIFS('январь 2025'!$G$5:$G$2334,'январь 2025'!$D$5:$D$2334,$B9,'январь 2025'!$J$5:$J$2334,G$1)</f>
        <v>0</v>
      </c>
      <c r="H9" s="76">
        <f>SUMIFS('январь 2025'!$G$5:$G$2334,'январь 2025'!$D$5:$D$2334,$B9,'январь 2025'!$J$5:$J$2334,H$1)</f>
        <v>0</v>
      </c>
      <c r="I9" s="76">
        <f>SUMIFS('январь 2025'!$G$5:$G$2334,'январь 2025'!$D$5:$D$2334,$B9,'январь 2025'!$J$5:$J$2334,I$1)</f>
        <v>0</v>
      </c>
      <c r="J9" s="76">
        <f>SUMIFS('январь 2025'!$G$5:$G$2334,'январь 2025'!$D$5:$D$2334,$B9,'январь 2025'!$J$5:$J$2334,J$1)</f>
        <v>0</v>
      </c>
      <c r="K9" s="76">
        <f>SUMIFS('январь 2025'!$G$5:$G$2334,'январь 2025'!$D$5:$D$2334,$B9,'январь 2025'!$J$5:$J$2334,K$1)</f>
        <v>0</v>
      </c>
      <c r="L9" s="76">
        <f>SUMIFS('январь 2025'!$G$5:$G$2334,'январь 2025'!$D$5:$D$2334,$B9,'январь 2025'!$J$5:$J$2334,L$1)</f>
        <v>0</v>
      </c>
      <c r="M9" s="76">
        <f>SUMIFS('январь 2025'!$G$5:$G$2334,'январь 2025'!$D$5:$D$2334,$B9,'январь 2025'!$J$5:$J$2334,M$1)</f>
        <v>0</v>
      </c>
      <c r="N9" s="76">
        <f>SUMIFS('январь 2025'!$G$5:$G$2334,'январь 2025'!$D$5:$D$2334,$B9,'январь 2025'!$J$5:$J$2334,N$1)</f>
        <v>0</v>
      </c>
      <c r="O9" s="76">
        <f>SUMIFS('январь 2025'!$G$5:$G$2334,'январь 2025'!$D$5:$D$2334,$B9,'январь 2025'!$J$5:$J$2334,O$1)</f>
        <v>0</v>
      </c>
      <c r="P9" s="76">
        <f>SUMIFS('январь 2025'!$G$5:$G$2334,'январь 2025'!$D$5:$D$2334,$B9,'январь 2025'!$J$5:$J$2334,P$1)</f>
        <v>0</v>
      </c>
      <c r="Q9" s="76">
        <f>SUMIFS('январь 2025'!$G$5:$G$2334,'январь 2025'!$D$5:$D$2334,$B9,'январь 2025'!$J$5:$J$2334,Q$1)</f>
        <v>0</v>
      </c>
      <c r="R9" s="76">
        <f>SUMIFS('январь 2025'!$G$5:$G$2334,'январь 2025'!$D$5:$D$2334,$B9,'январь 2025'!$J$5:$J$2334,R$1)</f>
        <v>0</v>
      </c>
      <c r="S9" s="76">
        <f>SUMIFS('январь 2025'!$G$5:$G$2334,'январь 2025'!$D$5:$D$2334,$B9,'январь 2025'!$J$5:$J$2334,S$1)</f>
        <v>0</v>
      </c>
      <c r="T9" s="76">
        <f>SUMIFS('январь 2025'!$G$5:$G$2334,'январь 2025'!$D$5:$D$2334,$B9,'январь 2025'!$J$5:$J$2334,T$1)</f>
        <v>0</v>
      </c>
      <c r="U9" s="76">
        <f>SUMIFS('январь 2025'!$G$5:$G$2334,'январь 2025'!$D$5:$D$2334,$B9,'январь 2025'!$J$5:$J$2334,U$1)</f>
        <v>0</v>
      </c>
      <c r="V9" s="76">
        <f>SUMIFS('январь 2025'!$G$5:$G$2334,'январь 2025'!$D$5:$D$2334,$B9,'январь 2025'!$J$5:$J$2334,V$1)</f>
        <v>0</v>
      </c>
      <c r="W9" s="76">
        <f>SUMIFS('январь 2025'!$G$5:$G$2334,'январь 2025'!$D$5:$D$2334,$B9,'январь 2025'!$J$5:$J$2334,W$1)</f>
        <v>0</v>
      </c>
      <c r="X9" s="76">
        <f>SUMIFS('январь 2025'!$G$5:$G$2334,'январь 2025'!$D$5:$D$2334,$B9,'январь 2025'!$J$5:$J$2334,X$1)</f>
        <v>0</v>
      </c>
      <c r="Y9" s="76">
        <f>SUMIFS('январь 2025'!$G$5:$G$2334,'январь 2025'!$D$5:$D$2334,$B9,'январь 2025'!$J$5:$J$2334,Y$1)</f>
        <v>0</v>
      </c>
      <c r="Z9" s="76">
        <f>SUMIFS('январь 2025'!$G$5:$G$2334,'январь 2025'!$D$5:$D$2334,$B9,'январь 2025'!$J$5:$J$2334,Z$1)</f>
        <v>0</v>
      </c>
      <c r="AA9" s="76">
        <f>SUMIFS('январь 2025'!$G$5:$G$2334,'январь 2025'!$D$5:$D$2334,$B9,'январь 2025'!$J$5:$J$2334,AA$1)</f>
        <v>0</v>
      </c>
      <c r="AB9" s="76">
        <f>SUMIFS('январь 2025'!$G$5:$G$2334,'январь 2025'!$D$5:$D$2334,$B9,'январь 2025'!$J$5:$J$2334,AB$1)</f>
        <v>0</v>
      </c>
      <c r="AC9" s="76">
        <f>SUMIFS('январь 2025'!$G$5:$G$2334,'январь 2025'!$D$5:$D$2334,$B9,'январь 2025'!$J$5:$J$2334,AC$1)</f>
        <v>0</v>
      </c>
      <c r="AD9" s="76">
        <f>SUMIFS('январь 2025'!$G$5:$G$2334,'январь 2025'!$D$5:$D$2334,$B9,'январь 2025'!$J$5:$J$2334,AD$1)</f>
        <v>0</v>
      </c>
      <c r="AE9" s="76">
        <f>SUMIFS('январь 2025'!$G$5:$G$2334,'январь 2025'!$D$5:$D$2334,$B9,'январь 2025'!$J$5:$J$2334,AE$1)</f>
        <v>0</v>
      </c>
      <c r="AF9" s="76">
        <f>SUMIFS('январь 2025'!$G$5:$G$2334,'январь 2025'!$D$5:$D$2334,$B9,'январь 2025'!$J$5:$J$2334,AF$1)</f>
        <v>0</v>
      </c>
      <c r="AG9" s="76">
        <f>SUMIFS('январь 2025'!$G$5:$G$2334,'январь 2025'!$D$5:$D$2334,$B9,'январь 2025'!$J$5:$J$2334,AG$1)</f>
        <v>0</v>
      </c>
      <c r="AH9" s="76">
        <f>SUMIFS('январь 2025'!$G$5:$G$2334,'январь 2025'!$D$5:$D$2334,$B9,'январь 2025'!$J$5:$J$2334,AH$1)</f>
        <v>0</v>
      </c>
      <c r="AI9" s="20">
        <f t="shared" si="1"/>
        <v>0</v>
      </c>
    </row>
    <row r="10" spans="2:35" ht="15" customHeight="1" x14ac:dyDescent="0.25">
      <c r="B10" s="77" t="s">
        <v>226</v>
      </c>
      <c r="C10" s="78">
        <v>25</v>
      </c>
      <c r="D10" s="76">
        <f>SUMIFS('январь 2025'!$G$5:$G$2334,'январь 2025'!$D$5:$D$2334,$B10,'январь 2025'!$J$5:$J$2334,D$1)</f>
        <v>0</v>
      </c>
      <c r="E10" s="76">
        <f>SUMIFS('январь 2025'!$G$5:$G$2334,'январь 2025'!$D$5:$D$2334,$B10,'январь 2025'!$J$5:$J$2334,E$1)</f>
        <v>0</v>
      </c>
      <c r="F10" s="76">
        <f>SUMIFS('январь 2025'!$G$5:$G$2334,'январь 2025'!$D$5:$D$2334,$B10,'январь 2025'!$J$5:$J$2334,F$1)</f>
        <v>0</v>
      </c>
      <c r="G10" s="76">
        <f>SUMIFS('январь 2025'!$G$5:$G$2334,'январь 2025'!$D$5:$D$2334,$B10,'январь 2025'!$J$5:$J$2334,G$1)</f>
        <v>0</v>
      </c>
      <c r="H10" s="76">
        <f>SUMIFS('январь 2025'!$G$5:$G$2334,'январь 2025'!$D$5:$D$2334,$B10,'январь 2025'!$J$5:$J$2334,H$1)</f>
        <v>0</v>
      </c>
      <c r="I10" s="76">
        <f>SUMIFS('январь 2025'!$G$5:$G$2334,'январь 2025'!$D$5:$D$2334,$B10,'январь 2025'!$J$5:$J$2334,I$1)</f>
        <v>0</v>
      </c>
      <c r="J10" s="76">
        <f>SUMIFS('январь 2025'!$G$5:$G$2334,'январь 2025'!$D$5:$D$2334,$B10,'январь 2025'!$J$5:$J$2334,J$1)</f>
        <v>0</v>
      </c>
      <c r="K10" s="76">
        <f>SUMIFS('январь 2025'!$G$5:$G$2334,'январь 2025'!$D$5:$D$2334,$B10,'январь 2025'!$J$5:$J$2334,K$1)</f>
        <v>0</v>
      </c>
      <c r="L10" s="76">
        <f>SUMIFS('январь 2025'!$G$5:$G$2334,'январь 2025'!$D$5:$D$2334,$B10,'январь 2025'!$J$5:$J$2334,L$1)</f>
        <v>0</v>
      </c>
      <c r="M10" s="76">
        <f>SUMIFS('январь 2025'!$G$5:$G$2334,'январь 2025'!$D$5:$D$2334,$B10,'январь 2025'!$J$5:$J$2334,M$1)</f>
        <v>0</v>
      </c>
      <c r="N10" s="76">
        <f>SUMIFS('январь 2025'!$G$5:$G$2334,'январь 2025'!$D$5:$D$2334,$B10,'январь 2025'!$J$5:$J$2334,N$1)</f>
        <v>0</v>
      </c>
      <c r="O10" s="76">
        <f>SUMIFS('январь 2025'!$G$5:$G$2334,'январь 2025'!$D$5:$D$2334,$B10,'январь 2025'!$J$5:$J$2334,O$1)</f>
        <v>0</v>
      </c>
      <c r="P10" s="76">
        <f>SUMIFS('январь 2025'!$G$5:$G$2334,'январь 2025'!$D$5:$D$2334,$B10,'январь 2025'!$J$5:$J$2334,P$1)</f>
        <v>0</v>
      </c>
      <c r="Q10" s="76">
        <f>SUMIFS('январь 2025'!$G$5:$G$2334,'январь 2025'!$D$5:$D$2334,$B10,'январь 2025'!$J$5:$J$2334,Q$1)</f>
        <v>0</v>
      </c>
      <c r="R10" s="76">
        <f>SUMIFS('январь 2025'!$G$5:$G$2334,'январь 2025'!$D$5:$D$2334,$B10,'январь 2025'!$J$5:$J$2334,R$1)</f>
        <v>0</v>
      </c>
      <c r="S10" s="76">
        <f>SUMIFS('январь 2025'!$G$5:$G$2334,'январь 2025'!$D$5:$D$2334,$B10,'январь 2025'!$J$5:$J$2334,S$1)</f>
        <v>0</v>
      </c>
      <c r="T10" s="76">
        <f>SUMIFS('январь 2025'!$G$5:$G$2334,'январь 2025'!$D$5:$D$2334,$B10,'январь 2025'!$J$5:$J$2334,T$1)</f>
        <v>0</v>
      </c>
      <c r="U10" s="76">
        <f>SUMIFS('январь 2025'!$G$5:$G$2334,'январь 2025'!$D$5:$D$2334,$B10,'январь 2025'!$J$5:$J$2334,U$1)</f>
        <v>0</v>
      </c>
      <c r="V10" s="76">
        <f>SUMIFS('январь 2025'!$G$5:$G$2334,'январь 2025'!$D$5:$D$2334,$B10,'январь 2025'!$J$5:$J$2334,V$1)</f>
        <v>0</v>
      </c>
      <c r="W10" s="76">
        <f>SUMIFS('январь 2025'!$G$5:$G$2334,'январь 2025'!$D$5:$D$2334,$B10,'январь 2025'!$J$5:$J$2334,W$1)</f>
        <v>0</v>
      </c>
      <c r="X10" s="76">
        <f>SUMIFS('январь 2025'!$G$5:$G$2334,'январь 2025'!$D$5:$D$2334,$B10,'январь 2025'!$J$5:$J$2334,X$1)</f>
        <v>0</v>
      </c>
      <c r="Y10" s="76">
        <f>SUMIFS('январь 2025'!$G$5:$G$2334,'январь 2025'!$D$5:$D$2334,$B10,'январь 2025'!$J$5:$J$2334,Y$1)</f>
        <v>0</v>
      </c>
      <c r="Z10" s="76">
        <f>SUMIFS('январь 2025'!$G$5:$G$2334,'январь 2025'!$D$5:$D$2334,$B10,'январь 2025'!$J$5:$J$2334,Z$1)</f>
        <v>0</v>
      </c>
      <c r="AA10" s="76">
        <f>SUMIFS('январь 2025'!$G$5:$G$2334,'январь 2025'!$D$5:$D$2334,$B10,'январь 2025'!$J$5:$J$2334,AA$1)</f>
        <v>0</v>
      </c>
      <c r="AB10" s="76">
        <f>SUMIFS('январь 2025'!$G$5:$G$2334,'январь 2025'!$D$5:$D$2334,$B10,'январь 2025'!$J$5:$J$2334,AB$1)</f>
        <v>800</v>
      </c>
      <c r="AC10" s="76">
        <f>SUMIFS('январь 2025'!$G$5:$G$2334,'январь 2025'!$D$5:$D$2334,$B10,'январь 2025'!$J$5:$J$2334,AC$1)</f>
        <v>0</v>
      </c>
      <c r="AD10" s="76">
        <f>SUMIFS('январь 2025'!$G$5:$G$2334,'январь 2025'!$D$5:$D$2334,$B10,'январь 2025'!$J$5:$J$2334,AD$1)</f>
        <v>0</v>
      </c>
      <c r="AE10" s="76">
        <f>SUMIFS('январь 2025'!$G$5:$G$2334,'январь 2025'!$D$5:$D$2334,$B10,'январь 2025'!$J$5:$J$2334,AE$1)</f>
        <v>0</v>
      </c>
      <c r="AF10" s="76">
        <f>SUMIFS('январь 2025'!$G$5:$G$2334,'январь 2025'!$D$5:$D$2334,$B10,'январь 2025'!$J$5:$J$2334,AF$1)</f>
        <v>0</v>
      </c>
      <c r="AG10" s="76">
        <f>SUMIFS('январь 2025'!$G$5:$G$2334,'январь 2025'!$D$5:$D$2334,$B10,'январь 2025'!$J$5:$J$2334,AG$1)</f>
        <v>800</v>
      </c>
      <c r="AH10" s="76">
        <f>SUMIFS('январь 2025'!$G$5:$G$2334,'январь 2025'!$D$5:$D$2334,$B10,'январь 2025'!$J$5:$J$2334,AH$1)</f>
        <v>800</v>
      </c>
      <c r="AI10" s="20">
        <f t="shared" si="1"/>
        <v>2400</v>
      </c>
    </row>
    <row r="11" spans="2:35" ht="15" customHeight="1" x14ac:dyDescent="0.25">
      <c r="B11" s="80" t="s">
        <v>228</v>
      </c>
      <c r="C11" s="81">
        <v>22.68</v>
      </c>
      <c r="D11" s="76">
        <f>SUMIFS('январь 2025'!$G$5:$G$2334,'январь 2025'!$D$5:$D$2334,$B11,'январь 2025'!$J$5:$J$2334,D$1)</f>
        <v>0</v>
      </c>
      <c r="E11" s="76">
        <f>SUMIFS('январь 2025'!$G$5:$G$2334,'январь 2025'!$D$5:$D$2334,$B11,'январь 2025'!$J$5:$J$2334,E$1)</f>
        <v>0</v>
      </c>
      <c r="F11" s="76">
        <f>SUMIFS('январь 2025'!$G$5:$G$2334,'январь 2025'!$D$5:$D$2334,$B11,'январь 2025'!$J$5:$J$2334,F$1)</f>
        <v>0</v>
      </c>
      <c r="G11" s="76">
        <f>SUMIFS('январь 2025'!$G$5:$G$2334,'январь 2025'!$D$5:$D$2334,$B11,'январь 2025'!$J$5:$J$2334,G$1)</f>
        <v>0</v>
      </c>
      <c r="H11" s="76">
        <f>SUMIFS('январь 2025'!$G$5:$G$2334,'январь 2025'!$D$5:$D$2334,$B11,'январь 2025'!$J$5:$J$2334,H$1)</f>
        <v>0</v>
      </c>
      <c r="I11" s="76">
        <f>SUMIFS('январь 2025'!$G$5:$G$2334,'январь 2025'!$D$5:$D$2334,$B11,'январь 2025'!$J$5:$J$2334,I$1)</f>
        <v>0</v>
      </c>
      <c r="J11" s="76">
        <f>SUMIFS('январь 2025'!$G$5:$G$2334,'январь 2025'!$D$5:$D$2334,$B11,'январь 2025'!$J$5:$J$2334,J$1)</f>
        <v>0</v>
      </c>
      <c r="K11" s="76">
        <f>SUMIFS('январь 2025'!$G$5:$G$2334,'январь 2025'!$D$5:$D$2334,$B11,'январь 2025'!$J$5:$J$2334,K$1)</f>
        <v>0</v>
      </c>
      <c r="L11" s="76">
        <f>SUMIFS('январь 2025'!$G$5:$G$2334,'январь 2025'!$D$5:$D$2334,$B11,'январь 2025'!$J$5:$J$2334,L$1)</f>
        <v>0</v>
      </c>
      <c r="M11" s="76">
        <f>SUMIFS('январь 2025'!$G$5:$G$2334,'январь 2025'!$D$5:$D$2334,$B11,'январь 2025'!$J$5:$J$2334,M$1)</f>
        <v>0</v>
      </c>
      <c r="N11" s="76">
        <f>SUMIFS('январь 2025'!$G$5:$G$2334,'январь 2025'!$D$5:$D$2334,$B11,'январь 2025'!$J$5:$J$2334,N$1)</f>
        <v>0</v>
      </c>
      <c r="O11" s="76">
        <f>SUMIFS('январь 2025'!$G$5:$G$2334,'январь 2025'!$D$5:$D$2334,$B11,'январь 2025'!$J$5:$J$2334,O$1)</f>
        <v>0</v>
      </c>
      <c r="P11" s="76">
        <f>SUMIFS('январь 2025'!$G$5:$G$2334,'январь 2025'!$D$5:$D$2334,$B11,'январь 2025'!$J$5:$J$2334,P$1)</f>
        <v>0</v>
      </c>
      <c r="Q11" s="76">
        <f>SUMIFS('январь 2025'!$G$5:$G$2334,'январь 2025'!$D$5:$D$2334,$B11,'январь 2025'!$J$5:$J$2334,Q$1)</f>
        <v>0</v>
      </c>
      <c r="R11" s="76">
        <f>SUMIFS('январь 2025'!$G$5:$G$2334,'январь 2025'!$D$5:$D$2334,$B11,'январь 2025'!$J$5:$J$2334,R$1)</f>
        <v>0</v>
      </c>
      <c r="S11" s="76">
        <f>SUMIFS('январь 2025'!$G$5:$G$2334,'январь 2025'!$D$5:$D$2334,$B11,'январь 2025'!$J$5:$J$2334,S$1)</f>
        <v>0</v>
      </c>
      <c r="T11" s="76">
        <f>SUMIFS('январь 2025'!$G$5:$G$2334,'январь 2025'!$D$5:$D$2334,$B11,'январь 2025'!$J$5:$J$2334,T$1)</f>
        <v>0</v>
      </c>
      <c r="U11" s="76">
        <f>SUMIFS('январь 2025'!$G$5:$G$2334,'январь 2025'!$D$5:$D$2334,$B11,'январь 2025'!$J$5:$J$2334,U$1)</f>
        <v>0</v>
      </c>
      <c r="V11" s="76">
        <f>SUMIFS('январь 2025'!$G$5:$G$2334,'январь 2025'!$D$5:$D$2334,$B11,'январь 2025'!$J$5:$J$2334,V$1)</f>
        <v>0</v>
      </c>
      <c r="W11" s="76">
        <f>SUMIFS('январь 2025'!$G$5:$G$2334,'январь 2025'!$D$5:$D$2334,$B11,'январь 2025'!$J$5:$J$2334,W$1)</f>
        <v>0</v>
      </c>
      <c r="X11" s="76">
        <f>SUMIFS('январь 2025'!$G$5:$G$2334,'январь 2025'!$D$5:$D$2334,$B11,'январь 2025'!$J$5:$J$2334,X$1)</f>
        <v>0</v>
      </c>
      <c r="Y11" s="76">
        <f>SUMIFS('январь 2025'!$G$5:$G$2334,'январь 2025'!$D$5:$D$2334,$B11,'январь 2025'!$J$5:$J$2334,Y$1)</f>
        <v>0</v>
      </c>
      <c r="Z11" s="76">
        <f>SUMIFS('январь 2025'!$G$5:$G$2334,'январь 2025'!$D$5:$D$2334,$B11,'январь 2025'!$J$5:$J$2334,Z$1)</f>
        <v>0</v>
      </c>
      <c r="AA11" s="76">
        <f>SUMIFS('январь 2025'!$G$5:$G$2334,'январь 2025'!$D$5:$D$2334,$B11,'январь 2025'!$J$5:$J$2334,AA$1)</f>
        <v>0</v>
      </c>
      <c r="AB11" s="76">
        <f>SUMIFS('январь 2025'!$G$5:$G$2334,'январь 2025'!$D$5:$D$2334,$B11,'январь 2025'!$J$5:$J$2334,AB$1)</f>
        <v>0</v>
      </c>
      <c r="AC11" s="76">
        <f>SUMIFS('январь 2025'!$G$5:$G$2334,'январь 2025'!$D$5:$D$2334,$B11,'январь 2025'!$J$5:$J$2334,AC$1)</f>
        <v>0</v>
      </c>
      <c r="AD11" s="76">
        <f>SUMIFS('январь 2025'!$G$5:$G$2334,'январь 2025'!$D$5:$D$2334,$B11,'январь 2025'!$J$5:$J$2334,AD$1)</f>
        <v>0</v>
      </c>
      <c r="AE11" s="76">
        <f>SUMIFS('январь 2025'!$G$5:$G$2334,'январь 2025'!$D$5:$D$2334,$B11,'январь 2025'!$J$5:$J$2334,AE$1)</f>
        <v>0</v>
      </c>
      <c r="AF11" s="76">
        <f>SUMIFS('январь 2025'!$G$5:$G$2334,'январь 2025'!$D$5:$D$2334,$B11,'январь 2025'!$J$5:$J$2334,AF$1)</f>
        <v>0</v>
      </c>
      <c r="AG11" s="76">
        <f>SUMIFS('январь 2025'!$G$5:$G$2334,'январь 2025'!$D$5:$D$2334,$B11,'январь 2025'!$J$5:$J$2334,AG$1)</f>
        <v>0</v>
      </c>
      <c r="AH11" s="76">
        <f>SUMIFS('январь 2025'!$G$5:$G$2334,'январь 2025'!$D$5:$D$2334,$B11,'январь 2025'!$J$5:$J$2334,AH$1)</f>
        <v>0</v>
      </c>
      <c r="AI11" s="20">
        <f t="shared" si="1"/>
        <v>0</v>
      </c>
    </row>
    <row r="12" spans="2:35" ht="15" customHeight="1" x14ac:dyDescent="0.25">
      <c r="B12" s="80" t="s">
        <v>328</v>
      </c>
      <c r="C12" s="81">
        <v>22.7</v>
      </c>
      <c r="D12" s="76">
        <f>SUMIFS('январь 2025'!$G$5:$G$2334,'январь 2025'!$D$5:$D$2334,$B12,'январь 2025'!$J$5:$J$2334,D$1)</f>
        <v>0</v>
      </c>
      <c r="E12" s="76">
        <f>SUMIFS('январь 2025'!$G$5:$G$2334,'январь 2025'!$D$5:$D$2334,$B12,'январь 2025'!$J$5:$J$2334,E$1)</f>
        <v>0</v>
      </c>
      <c r="F12" s="76">
        <f>SUMIFS('январь 2025'!$G$5:$G$2334,'январь 2025'!$D$5:$D$2334,$B12,'январь 2025'!$J$5:$J$2334,F$1)</f>
        <v>0</v>
      </c>
      <c r="G12" s="76">
        <f>SUMIFS('январь 2025'!$G$5:$G$2334,'январь 2025'!$D$5:$D$2334,$B12,'январь 2025'!$J$5:$J$2334,G$1)</f>
        <v>0</v>
      </c>
      <c r="H12" s="76">
        <f>SUMIFS('январь 2025'!$G$5:$G$2334,'январь 2025'!$D$5:$D$2334,$B12,'январь 2025'!$J$5:$J$2334,H$1)</f>
        <v>0</v>
      </c>
      <c r="I12" s="76">
        <f>SUMIFS('январь 2025'!$G$5:$G$2334,'январь 2025'!$D$5:$D$2334,$B12,'январь 2025'!$J$5:$J$2334,I$1)</f>
        <v>0</v>
      </c>
      <c r="J12" s="76">
        <f>SUMIFS('январь 2025'!$G$5:$G$2334,'январь 2025'!$D$5:$D$2334,$B12,'январь 2025'!$J$5:$J$2334,J$1)</f>
        <v>0</v>
      </c>
      <c r="K12" s="76">
        <f>SUMIFS('январь 2025'!$G$5:$G$2334,'январь 2025'!$D$5:$D$2334,$B12,'январь 2025'!$J$5:$J$2334,K$1)</f>
        <v>0</v>
      </c>
      <c r="L12" s="76">
        <f>SUMIFS('январь 2025'!$G$5:$G$2334,'январь 2025'!$D$5:$D$2334,$B12,'январь 2025'!$J$5:$J$2334,L$1)</f>
        <v>0</v>
      </c>
      <c r="M12" s="76">
        <f>SUMIFS('январь 2025'!$G$5:$G$2334,'январь 2025'!$D$5:$D$2334,$B12,'январь 2025'!$J$5:$J$2334,M$1)</f>
        <v>0</v>
      </c>
      <c r="N12" s="76">
        <f>SUMIFS('январь 2025'!$G$5:$G$2334,'январь 2025'!$D$5:$D$2334,$B12,'январь 2025'!$J$5:$J$2334,N$1)</f>
        <v>0</v>
      </c>
      <c r="O12" s="76">
        <f>SUMIFS('январь 2025'!$G$5:$G$2334,'январь 2025'!$D$5:$D$2334,$B12,'январь 2025'!$J$5:$J$2334,O$1)</f>
        <v>0</v>
      </c>
      <c r="P12" s="76">
        <f>SUMIFS('январь 2025'!$G$5:$G$2334,'январь 2025'!$D$5:$D$2334,$B12,'январь 2025'!$J$5:$J$2334,P$1)</f>
        <v>0</v>
      </c>
      <c r="Q12" s="76">
        <f>SUMIFS('январь 2025'!$G$5:$G$2334,'январь 2025'!$D$5:$D$2334,$B12,'январь 2025'!$J$5:$J$2334,Q$1)</f>
        <v>0</v>
      </c>
      <c r="R12" s="76">
        <f>SUMIFS('январь 2025'!$G$5:$G$2334,'январь 2025'!$D$5:$D$2334,$B12,'январь 2025'!$J$5:$J$2334,R$1)</f>
        <v>0</v>
      </c>
      <c r="S12" s="76">
        <f>SUMIFS('январь 2025'!$G$5:$G$2334,'январь 2025'!$D$5:$D$2334,$B12,'январь 2025'!$J$5:$J$2334,S$1)</f>
        <v>0</v>
      </c>
      <c r="T12" s="76">
        <f>SUMIFS('январь 2025'!$G$5:$G$2334,'январь 2025'!$D$5:$D$2334,$B12,'январь 2025'!$J$5:$J$2334,T$1)</f>
        <v>0</v>
      </c>
      <c r="U12" s="76">
        <f>SUMIFS('январь 2025'!$G$5:$G$2334,'январь 2025'!$D$5:$D$2334,$B12,'январь 2025'!$J$5:$J$2334,U$1)</f>
        <v>0</v>
      </c>
      <c r="V12" s="76">
        <f>SUMIFS('январь 2025'!$G$5:$G$2334,'январь 2025'!$D$5:$D$2334,$B12,'январь 2025'!$J$5:$J$2334,V$1)</f>
        <v>0</v>
      </c>
      <c r="W12" s="76">
        <f>SUMIFS('январь 2025'!$G$5:$G$2334,'январь 2025'!$D$5:$D$2334,$B12,'январь 2025'!$J$5:$J$2334,W$1)</f>
        <v>0</v>
      </c>
      <c r="X12" s="76">
        <f>SUMIFS('январь 2025'!$G$5:$G$2334,'январь 2025'!$D$5:$D$2334,$B12,'январь 2025'!$J$5:$J$2334,X$1)</f>
        <v>0</v>
      </c>
      <c r="Y12" s="76">
        <f>SUMIFS('январь 2025'!$G$5:$G$2334,'январь 2025'!$D$5:$D$2334,$B12,'январь 2025'!$J$5:$J$2334,Y$1)</f>
        <v>0</v>
      </c>
      <c r="Z12" s="76">
        <f>SUMIFS('январь 2025'!$G$5:$G$2334,'январь 2025'!$D$5:$D$2334,$B12,'январь 2025'!$J$5:$J$2334,Z$1)</f>
        <v>0</v>
      </c>
      <c r="AA12" s="76">
        <f>SUMIFS('январь 2025'!$G$5:$G$2334,'январь 2025'!$D$5:$D$2334,$B12,'январь 2025'!$J$5:$J$2334,AA$1)</f>
        <v>0</v>
      </c>
      <c r="AB12" s="76">
        <f>SUMIFS('январь 2025'!$G$5:$G$2334,'январь 2025'!$D$5:$D$2334,$B12,'январь 2025'!$J$5:$J$2334,AB$1)</f>
        <v>0</v>
      </c>
      <c r="AC12" s="76">
        <f>SUMIFS('январь 2025'!$G$5:$G$2334,'январь 2025'!$D$5:$D$2334,$B12,'январь 2025'!$J$5:$J$2334,AC$1)</f>
        <v>0</v>
      </c>
      <c r="AD12" s="76">
        <f>SUMIFS('январь 2025'!$G$5:$G$2334,'январь 2025'!$D$5:$D$2334,$B12,'январь 2025'!$J$5:$J$2334,AD$1)</f>
        <v>0</v>
      </c>
      <c r="AE12" s="76">
        <f>SUMIFS('январь 2025'!$G$5:$G$2334,'январь 2025'!$D$5:$D$2334,$B12,'январь 2025'!$J$5:$J$2334,AE$1)</f>
        <v>0</v>
      </c>
      <c r="AF12" s="76">
        <f>SUMIFS('январь 2025'!$G$5:$G$2334,'январь 2025'!$D$5:$D$2334,$B12,'январь 2025'!$J$5:$J$2334,AF$1)</f>
        <v>0</v>
      </c>
      <c r="AG12" s="76">
        <f>SUMIFS('январь 2025'!$G$5:$G$2334,'январь 2025'!$D$5:$D$2334,$B12,'январь 2025'!$J$5:$J$2334,AG$1)</f>
        <v>0</v>
      </c>
      <c r="AH12" s="76">
        <f>SUMIFS('январь 2025'!$G$5:$G$2334,'январь 2025'!$D$5:$D$2334,$B12,'январь 2025'!$J$5:$J$2334,AH$1)</f>
        <v>0</v>
      </c>
      <c r="AI12" s="20">
        <f t="shared" si="1"/>
        <v>0</v>
      </c>
    </row>
    <row r="13" spans="2:35" ht="15" customHeight="1" x14ac:dyDescent="0.25">
      <c r="B13" s="80" t="s">
        <v>302</v>
      </c>
      <c r="C13" s="81">
        <v>25</v>
      </c>
      <c r="D13" s="76">
        <f>SUMIFS('январь 2025'!$G$5:$G$2334,'январь 2025'!$D$5:$D$2334,$B13,'январь 2025'!$J$5:$J$2334,D$1)</f>
        <v>0</v>
      </c>
      <c r="E13" s="76">
        <f>SUMIFS('январь 2025'!$G$5:$G$2334,'январь 2025'!$D$5:$D$2334,$B13,'январь 2025'!$J$5:$J$2334,E$1)</f>
        <v>0</v>
      </c>
      <c r="F13" s="76">
        <f>SUMIFS('январь 2025'!$G$5:$G$2334,'январь 2025'!$D$5:$D$2334,$B13,'январь 2025'!$J$5:$J$2334,F$1)</f>
        <v>0</v>
      </c>
      <c r="G13" s="76">
        <f>SUMIFS('январь 2025'!$G$5:$G$2334,'январь 2025'!$D$5:$D$2334,$B13,'январь 2025'!$J$5:$J$2334,G$1)</f>
        <v>0</v>
      </c>
      <c r="H13" s="76">
        <f>SUMIFS('январь 2025'!$G$5:$G$2334,'январь 2025'!$D$5:$D$2334,$B13,'январь 2025'!$J$5:$J$2334,H$1)</f>
        <v>0</v>
      </c>
      <c r="I13" s="76">
        <f>SUMIFS('январь 2025'!$G$5:$G$2334,'январь 2025'!$D$5:$D$2334,$B13,'январь 2025'!$J$5:$J$2334,I$1)</f>
        <v>0</v>
      </c>
      <c r="J13" s="76">
        <f>SUMIFS('январь 2025'!$G$5:$G$2334,'январь 2025'!$D$5:$D$2334,$B13,'январь 2025'!$J$5:$J$2334,J$1)</f>
        <v>0</v>
      </c>
      <c r="K13" s="76">
        <f>SUMIFS('январь 2025'!$G$5:$G$2334,'январь 2025'!$D$5:$D$2334,$B13,'январь 2025'!$J$5:$J$2334,K$1)</f>
        <v>0</v>
      </c>
      <c r="L13" s="76">
        <f>SUMIFS('январь 2025'!$G$5:$G$2334,'январь 2025'!$D$5:$D$2334,$B13,'январь 2025'!$J$5:$J$2334,L$1)</f>
        <v>0</v>
      </c>
      <c r="M13" s="76">
        <f>SUMIFS('январь 2025'!$G$5:$G$2334,'январь 2025'!$D$5:$D$2334,$B13,'январь 2025'!$J$5:$J$2334,M$1)</f>
        <v>0</v>
      </c>
      <c r="N13" s="76">
        <f>SUMIFS('январь 2025'!$G$5:$G$2334,'январь 2025'!$D$5:$D$2334,$B13,'январь 2025'!$J$5:$J$2334,N$1)</f>
        <v>0</v>
      </c>
      <c r="O13" s="76">
        <f>SUMIFS('январь 2025'!$G$5:$G$2334,'январь 2025'!$D$5:$D$2334,$B13,'январь 2025'!$J$5:$J$2334,O$1)</f>
        <v>0</v>
      </c>
      <c r="P13" s="76">
        <f>SUMIFS('январь 2025'!$G$5:$G$2334,'январь 2025'!$D$5:$D$2334,$B13,'январь 2025'!$J$5:$J$2334,P$1)</f>
        <v>0</v>
      </c>
      <c r="Q13" s="76">
        <f>SUMIFS('январь 2025'!$G$5:$G$2334,'январь 2025'!$D$5:$D$2334,$B13,'январь 2025'!$J$5:$J$2334,Q$1)</f>
        <v>0</v>
      </c>
      <c r="R13" s="76">
        <f>SUMIFS('январь 2025'!$G$5:$G$2334,'январь 2025'!$D$5:$D$2334,$B13,'январь 2025'!$J$5:$J$2334,R$1)</f>
        <v>0</v>
      </c>
      <c r="S13" s="76">
        <f>SUMIFS('январь 2025'!$G$5:$G$2334,'январь 2025'!$D$5:$D$2334,$B13,'январь 2025'!$J$5:$J$2334,S$1)</f>
        <v>0</v>
      </c>
      <c r="T13" s="76">
        <f>SUMIFS('январь 2025'!$G$5:$G$2334,'январь 2025'!$D$5:$D$2334,$B13,'январь 2025'!$J$5:$J$2334,T$1)</f>
        <v>0</v>
      </c>
      <c r="U13" s="76">
        <f>SUMIFS('январь 2025'!$G$5:$G$2334,'январь 2025'!$D$5:$D$2334,$B13,'январь 2025'!$J$5:$J$2334,U$1)</f>
        <v>0</v>
      </c>
      <c r="V13" s="76">
        <f>SUMIFS('январь 2025'!$G$5:$G$2334,'январь 2025'!$D$5:$D$2334,$B13,'январь 2025'!$J$5:$J$2334,V$1)</f>
        <v>0</v>
      </c>
      <c r="W13" s="76">
        <f>SUMIFS('январь 2025'!$G$5:$G$2334,'январь 2025'!$D$5:$D$2334,$B13,'январь 2025'!$J$5:$J$2334,W$1)</f>
        <v>0</v>
      </c>
      <c r="X13" s="76">
        <f>SUMIFS('январь 2025'!$G$5:$G$2334,'январь 2025'!$D$5:$D$2334,$B13,'январь 2025'!$J$5:$J$2334,X$1)</f>
        <v>0</v>
      </c>
      <c r="Y13" s="76">
        <f>SUMIFS('январь 2025'!$G$5:$G$2334,'январь 2025'!$D$5:$D$2334,$B13,'январь 2025'!$J$5:$J$2334,Y$1)</f>
        <v>0</v>
      </c>
      <c r="Z13" s="76">
        <f>SUMIFS('январь 2025'!$G$5:$G$2334,'январь 2025'!$D$5:$D$2334,$B13,'январь 2025'!$J$5:$J$2334,Z$1)</f>
        <v>0</v>
      </c>
      <c r="AA13" s="76">
        <f>SUMIFS('январь 2025'!$G$5:$G$2334,'январь 2025'!$D$5:$D$2334,$B13,'январь 2025'!$J$5:$J$2334,AA$1)</f>
        <v>0</v>
      </c>
      <c r="AB13" s="76">
        <f>SUMIFS('январь 2025'!$G$5:$G$2334,'январь 2025'!$D$5:$D$2334,$B13,'январь 2025'!$J$5:$J$2334,AB$1)</f>
        <v>0</v>
      </c>
      <c r="AC13" s="76">
        <f>SUMIFS('январь 2025'!$G$5:$G$2334,'январь 2025'!$D$5:$D$2334,$B13,'январь 2025'!$J$5:$J$2334,AC$1)</f>
        <v>0</v>
      </c>
      <c r="AD13" s="76">
        <f>SUMIFS('январь 2025'!$G$5:$G$2334,'январь 2025'!$D$5:$D$2334,$B13,'январь 2025'!$J$5:$J$2334,AD$1)</f>
        <v>0</v>
      </c>
      <c r="AE13" s="76">
        <f>SUMIFS('январь 2025'!$G$5:$G$2334,'январь 2025'!$D$5:$D$2334,$B13,'январь 2025'!$J$5:$J$2334,AE$1)</f>
        <v>0</v>
      </c>
      <c r="AF13" s="76">
        <f>SUMIFS('январь 2025'!$G$5:$G$2334,'январь 2025'!$D$5:$D$2334,$B13,'январь 2025'!$J$5:$J$2334,AF$1)</f>
        <v>0</v>
      </c>
      <c r="AG13" s="76">
        <f>SUMIFS('январь 2025'!$G$5:$G$2334,'январь 2025'!$D$5:$D$2334,$B13,'январь 2025'!$J$5:$J$2334,AG$1)</f>
        <v>0</v>
      </c>
      <c r="AH13" s="76">
        <f>SUMIFS('январь 2025'!$G$5:$G$2334,'январь 2025'!$D$5:$D$2334,$B13,'январь 2025'!$J$5:$J$2334,AH$1)</f>
        <v>0</v>
      </c>
      <c r="AI13" s="20">
        <f t="shared" si="1"/>
        <v>0</v>
      </c>
    </row>
    <row r="14" spans="2:35" ht="15" customHeight="1" x14ac:dyDescent="0.25">
      <c r="B14" s="80" t="s">
        <v>306</v>
      </c>
      <c r="C14" s="81">
        <v>25</v>
      </c>
      <c r="D14" s="76">
        <f>SUMIFS('январь 2025'!$G$5:$G$2334,'январь 2025'!$D$5:$D$2334,$B14,'январь 2025'!$J$5:$J$2334,D$1)</f>
        <v>0</v>
      </c>
      <c r="E14" s="76">
        <f>SUMIFS('январь 2025'!$G$5:$G$2334,'январь 2025'!$D$5:$D$2334,$B14,'январь 2025'!$J$5:$J$2334,E$1)</f>
        <v>0</v>
      </c>
      <c r="F14" s="76">
        <f>SUMIFS('январь 2025'!$G$5:$G$2334,'январь 2025'!$D$5:$D$2334,$B14,'январь 2025'!$J$5:$J$2334,F$1)</f>
        <v>0</v>
      </c>
      <c r="G14" s="76">
        <f>SUMIFS('январь 2025'!$G$5:$G$2334,'январь 2025'!$D$5:$D$2334,$B14,'январь 2025'!$J$5:$J$2334,G$1)</f>
        <v>0</v>
      </c>
      <c r="H14" s="76">
        <f>SUMIFS('январь 2025'!$G$5:$G$2334,'январь 2025'!$D$5:$D$2334,$B14,'январь 2025'!$J$5:$J$2334,H$1)</f>
        <v>0</v>
      </c>
      <c r="I14" s="76">
        <f>SUMIFS('январь 2025'!$G$5:$G$2334,'январь 2025'!$D$5:$D$2334,$B14,'январь 2025'!$J$5:$J$2334,I$1)</f>
        <v>0</v>
      </c>
      <c r="J14" s="76">
        <f>SUMIFS('январь 2025'!$G$5:$G$2334,'январь 2025'!$D$5:$D$2334,$B14,'январь 2025'!$J$5:$J$2334,J$1)</f>
        <v>0</v>
      </c>
      <c r="K14" s="76">
        <f>SUMIFS('январь 2025'!$G$5:$G$2334,'январь 2025'!$D$5:$D$2334,$B14,'январь 2025'!$J$5:$J$2334,K$1)</f>
        <v>0</v>
      </c>
      <c r="L14" s="76">
        <f>SUMIFS('январь 2025'!$G$5:$G$2334,'январь 2025'!$D$5:$D$2334,$B14,'январь 2025'!$J$5:$J$2334,L$1)</f>
        <v>0</v>
      </c>
      <c r="M14" s="76">
        <f>SUMIFS('январь 2025'!$G$5:$G$2334,'январь 2025'!$D$5:$D$2334,$B14,'январь 2025'!$J$5:$J$2334,M$1)</f>
        <v>0</v>
      </c>
      <c r="N14" s="76">
        <f>SUMIFS('январь 2025'!$G$5:$G$2334,'январь 2025'!$D$5:$D$2334,$B14,'январь 2025'!$J$5:$J$2334,N$1)</f>
        <v>0</v>
      </c>
      <c r="O14" s="76">
        <f>SUMIFS('январь 2025'!$G$5:$G$2334,'январь 2025'!$D$5:$D$2334,$B14,'январь 2025'!$J$5:$J$2334,O$1)</f>
        <v>0</v>
      </c>
      <c r="P14" s="76">
        <f>SUMIFS('январь 2025'!$G$5:$G$2334,'январь 2025'!$D$5:$D$2334,$B14,'январь 2025'!$J$5:$J$2334,P$1)</f>
        <v>0</v>
      </c>
      <c r="Q14" s="76">
        <f>SUMIFS('январь 2025'!$G$5:$G$2334,'январь 2025'!$D$5:$D$2334,$B14,'январь 2025'!$J$5:$J$2334,Q$1)</f>
        <v>0</v>
      </c>
      <c r="R14" s="76">
        <f>SUMIFS('январь 2025'!$G$5:$G$2334,'январь 2025'!$D$5:$D$2334,$B14,'январь 2025'!$J$5:$J$2334,R$1)</f>
        <v>0</v>
      </c>
      <c r="S14" s="76">
        <f>SUMIFS('январь 2025'!$G$5:$G$2334,'январь 2025'!$D$5:$D$2334,$B14,'январь 2025'!$J$5:$J$2334,S$1)</f>
        <v>0</v>
      </c>
      <c r="T14" s="76">
        <f>SUMIFS('январь 2025'!$G$5:$G$2334,'январь 2025'!$D$5:$D$2334,$B14,'январь 2025'!$J$5:$J$2334,T$1)</f>
        <v>0</v>
      </c>
      <c r="U14" s="76">
        <f>SUMIFS('январь 2025'!$G$5:$G$2334,'январь 2025'!$D$5:$D$2334,$B14,'январь 2025'!$J$5:$J$2334,U$1)</f>
        <v>0</v>
      </c>
      <c r="V14" s="76">
        <f>SUMIFS('январь 2025'!$G$5:$G$2334,'январь 2025'!$D$5:$D$2334,$B14,'январь 2025'!$J$5:$J$2334,V$1)</f>
        <v>0</v>
      </c>
      <c r="W14" s="76">
        <f>SUMIFS('январь 2025'!$G$5:$G$2334,'январь 2025'!$D$5:$D$2334,$B14,'январь 2025'!$J$5:$J$2334,W$1)</f>
        <v>0</v>
      </c>
      <c r="X14" s="76">
        <f>SUMIFS('январь 2025'!$G$5:$G$2334,'январь 2025'!$D$5:$D$2334,$B14,'январь 2025'!$J$5:$J$2334,X$1)</f>
        <v>0</v>
      </c>
      <c r="Y14" s="76">
        <f>SUMIFS('январь 2025'!$G$5:$G$2334,'январь 2025'!$D$5:$D$2334,$B14,'январь 2025'!$J$5:$J$2334,Y$1)</f>
        <v>0</v>
      </c>
      <c r="Z14" s="76">
        <f>SUMIFS('январь 2025'!$G$5:$G$2334,'январь 2025'!$D$5:$D$2334,$B14,'январь 2025'!$J$5:$J$2334,Z$1)</f>
        <v>0</v>
      </c>
      <c r="AA14" s="76">
        <f>SUMIFS('январь 2025'!$G$5:$G$2334,'январь 2025'!$D$5:$D$2334,$B14,'январь 2025'!$J$5:$J$2334,AA$1)</f>
        <v>0</v>
      </c>
      <c r="AB14" s="76">
        <f>SUMIFS('январь 2025'!$G$5:$G$2334,'январь 2025'!$D$5:$D$2334,$B14,'январь 2025'!$J$5:$J$2334,AB$1)</f>
        <v>0</v>
      </c>
      <c r="AC14" s="76">
        <f>SUMIFS('январь 2025'!$G$5:$G$2334,'январь 2025'!$D$5:$D$2334,$B14,'январь 2025'!$J$5:$J$2334,AC$1)</f>
        <v>0</v>
      </c>
      <c r="AD14" s="76">
        <f>SUMIFS('январь 2025'!$G$5:$G$2334,'январь 2025'!$D$5:$D$2334,$B14,'январь 2025'!$J$5:$J$2334,AD$1)</f>
        <v>0</v>
      </c>
      <c r="AE14" s="76">
        <f>SUMIFS('январь 2025'!$G$5:$G$2334,'январь 2025'!$D$5:$D$2334,$B14,'январь 2025'!$J$5:$J$2334,AE$1)</f>
        <v>2800</v>
      </c>
      <c r="AF14" s="76">
        <f>SUMIFS('январь 2025'!$G$5:$G$2334,'январь 2025'!$D$5:$D$2334,$B14,'январь 2025'!$J$5:$J$2334,AF$1)</f>
        <v>2800</v>
      </c>
      <c r="AG14" s="76">
        <f>SUMIFS('январь 2025'!$G$5:$G$2334,'январь 2025'!$D$5:$D$2334,$B14,'январь 2025'!$J$5:$J$2334,AG$1)</f>
        <v>0</v>
      </c>
      <c r="AH14" s="76">
        <f>SUMIFS('январь 2025'!$G$5:$G$2334,'январь 2025'!$D$5:$D$2334,$B14,'январь 2025'!$J$5:$J$2334,AH$1)</f>
        <v>0</v>
      </c>
      <c r="AI14" s="20">
        <f t="shared" si="1"/>
        <v>5600</v>
      </c>
    </row>
    <row r="15" spans="2:35" ht="15" customHeight="1" x14ac:dyDescent="0.25">
      <c r="B15" s="80" t="s">
        <v>231</v>
      </c>
      <c r="C15" s="81">
        <v>22.7</v>
      </c>
      <c r="D15" s="76">
        <f>SUMIFS('январь 2025'!$G$5:$G$2334,'январь 2025'!$D$5:$D$2334,$B15,'январь 2025'!$J$5:$J$2334,D$1)</f>
        <v>0</v>
      </c>
      <c r="E15" s="76">
        <f>SUMIFS('январь 2025'!$G$5:$G$2334,'январь 2025'!$D$5:$D$2334,$B15,'январь 2025'!$J$5:$J$2334,E$1)</f>
        <v>0</v>
      </c>
      <c r="F15" s="76">
        <f>SUMIFS('январь 2025'!$G$5:$G$2334,'январь 2025'!$D$5:$D$2334,$B15,'январь 2025'!$J$5:$J$2334,F$1)</f>
        <v>0</v>
      </c>
      <c r="G15" s="76">
        <f>SUMIFS('январь 2025'!$G$5:$G$2334,'январь 2025'!$D$5:$D$2334,$B15,'январь 2025'!$J$5:$J$2334,G$1)</f>
        <v>0</v>
      </c>
      <c r="H15" s="76">
        <f>SUMIFS('январь 2025'!$G$5:$G$2334,'январь 2025'!$D$5:$D$2334,$B15,'январь 2025'!$J$5:$J$2334,H$1)</f>
        <v>0</v>
      </c>
      <c r="I15" s="76">
        <f>SUMIFS('январь 2025'!$G$5:$G$2334,'январь 2025'!$D$5:$D$2334,$B15,'январь 2025'!$J$5:$J$2334,I$1)</f>
        <v>0</v>
      </c>
      <c r="J15" s="76">
        <f>SUMIFS('январь 2025'!$G$5:$G$2334,'январь 2025'!$D$5:$D$2334,$B15,'январь 2025'!$J$5:$J$2334,J$1)</f>
        <v>0</v>
      </c>
      <c r="K15" s="76">
        <f>SUMIFS('январь 2025'!$G$5:$G$2334,'январь 2025'!$D$5:$D$2334,$B15,'январь 2025'!$J$5:$J$2334,K$1)</f>
        <v>0</v>
      </c>
      <c r="L15" s="76">
        <f>SUMIFS('январь 2025'!$G$5:$G$2334,'январь 2025'!$D$5:$D$2334,$B15,'январь 2025'!$J$5:$J$2334,L$1)</f>
        <v>0</v>
      </c>
      <c r="M15" s="76">
        <f>SUMIFS('январь 2025'!$G$5:$G$2334,'январь 2025'!$D$5:$D$2334,$B15,'январь 2025'!$J$5:$J$2334,M$1)</f>
        <v>0</v>
      </c>
      <c r="N15" s="76">
        <f>SUMIFS('январь 2025'!$G$5:$G$2334,'январь 2025'!$D$5:$D$2334,$B15,'январь 2025'!$J$5:$J$2334,N$1)</f>
        <v>0</v>
      </c>
      <c r="O15" s="76">
        <f>SUMIFS('январь 2025'!$G$5:$G$2334,'январь 2025'!$D$5:$D$2334,$B15,'январь 2025'!$J$5:$J$2334,O$1)</f>
        <v>0</v>
      </c>
      <c r="P15" s="76">
        <f>SUMIFS('январь 2025'!$G$5:$G$2334,'январь 2025'!$D$5:$D$2334,$B15,'январь 2025'!$J$5:$J$2334,P$1)</f>
        <v>3500</v>
      </c>
      <c r="Q15" s="76">
        <f>SUMIFS('январь 2025'!$G$5:$G$2334,'январь 2025'!$D$5:$D$2334,$B15,'январь 2025'!$J$5:$J$2334,Q$1)</f>
        <v>0</v>
      </c>
      <c r="R15" s="76">
        <f>SUMIFS('январь 2025'!$G$5:$G$2334,'январь 2025'!$D$5:$D$2334,$B15,'январь 2025'!$J$5:$J$2334,R$1)</f>
        <v>0</v>
      </c>
      <c r="S15" s="76">
        <f>SUMIFS('январь 2025'!$G$5:$G$2334,'январь 2025'!$D$5:$D$2334,$B15,'январь 2025'!$J$5:$J$2334,S$1)</f>
        <v>0</v>
      </c>
      <c r="T15" s="76">
        <f>SUMIFS('январь 2025'!$G$5:$G$2334,'январь 2025'!$D$5:$D$2334,$B15,'январь 2025'!$J$5:$J$2334,T$1)</f>
        <v>0</v>
      </c>
      <c r="U15" s="76">
        <f>SUMIFS('январь 2025'!$G$5:$G$2334,'январь 2025'!$D$5:$D$2334,$B15,'январь 2025'!$J$5:$J$2334,U$1)</f>
        <v>0</v>
      </c>
      <c r="V15" s="76">
        <f>SUMIFS('январь 2025'!$G$5:$G$2334,'январь 2025'!$D$5:$D$2334,$B15,'январь 2025'!$J$5:$J$2334,V$1)</f>
        <v>0</v>
      </c>
      <c r="W15" s="76">
        <f>SUMIFS('январь 2025'!$G$5:$G$2334,'январь 2025'!$D$5:$D$2334,$B15,'январь 2025'!$J$5:$J$2334,W$1)</f>
        <v>0</v>
      </c>
      <c r="X15" s="76">
        <f>SUMIFS('январь 2025'!$G$5:$G$2334,'январь 2025'!$D$5:$D$2334,$B15,'январь 2025'!$J$5:$J$2334,X$1)</f>
        <v>0</v>
      </c>
      <c r="Y15" s="76">
        <f>SUMIFS('январь 2025'!$G$5:$G$2334,'январь 2025'!$D$5:$D$2334,$B15,'январь 2025'!$J$5:$J$2334,Y$1)</f>
        <v>0</v>
      </c>
      <c r="Z15" s="76">
        <f>SUMIFS('январь 2025'!$G$5:$G$2334,'январь 2025'!$D$5:$D$2334,$B15,'январь 2025'!$J$5:$J$2334,Z$1)</f>
        <v>0</v>
      </c>
      <c r="AA15" s="76">
        <f>SUMIFS('январь 2025'!$G$5:$G$2334,'январь 2025'!$D$5:$D$2334,$B15,'январь 2025'!$J$5:$J$2334,AA$1)</f>
        <v>0</v>
      </c>
      <c r="AB15" s="76">
        <f>SUMIFS('январь 2025'!$G$5:$G$2334,'январь 2025'!$D$5:$D$2334,$B15,'январь 2025'!$J$5:$J$2334,AB$1)</f>
        <v>0</v>
      </c>
      <c r="AC15" s="76">
        <f>SUMIFS('январь 2025'!$G$5:$G$2334,'январь 2025'!$D$5:$D$2334,$B15,'январь 2025'!$J$5:$J$2334,AC$1)</f>
        <v>0</v>
      </c>
      <c r="AD15" s="76">
        <f>SUMIFS('январь 2025'!$G$5:$G$2334,'январь 2025'!$D$5:$D$2334,$B15,'январь 2025'!$J$5:$J$2334,AD$1)</f>
        <v>0</v>
      </c>
      <c r="AE15" s="76">
        <f>SUMIFS('январь 2025'!$G$5:$G$2334,'январь 2025'!$D$5:$D$2334,$B15,'январь 2025'!$J$5:$J$2334,AE$1)</f>
        <v>0</v>
      </c>
      <c r="AF15" s="76">
        <f>SUMIFS('январь 2025'!$G$5:$G$2334,'январь 2025'!$D$5:$D$2334,$B15,'январь 2025'!$J$5:$J$2334,AF$1)</f>
        <v>0</v>
      </c>
      <c r="AG15" s="76">
        <f>SUMIFS('январь 2025'!$G$5:$G$2334,'январь 2025'!$D$5:$D$2334,$B15,'январь 2025'!$J$5:$J$2334,AG$1)</f>
        <v>0</v>
      </c>
      <c r="AH15" s="76">
        <f>SUMIFS('январь 2025'!$G$5:$G$2334,'январь 2025'!$D$5:$D$2334,$B15,'январь 2025'!$J$5:$J$2334,AH$1)</f>
        <v>0</v>
      </c>
      <c r="AI15" s="20">
        <f t="shared" si="1"/>
        <v>3500</v>
      </c>
    </row>
    <row r="16" spans="2:35" ht="15" customHeight="1" x14ac:dyDescent="0.25">
      <c r="B16" s="77" t="s">
        <v>233</v>
      </c>
      <c r="C16" s="78">
        <v>22.7</v>
      </c>
      <c r="D16" s="76">
        <f>SUMIFS('январь 2025'!$G$5:$G$2334,'январь 2025'!$D$5:$D$2334,$B16,'январь 2025'!$J$5:$J$2334,D$1)</f>
        <v>0</v>
      </c>
      <c r="E16" s="76">
        <f>SUMIFS('январь 2025'!$G$5:$G$2334,'январь 2025'!$D$5:$D$2334,$B16,'январь 2025'!$J$5:$J$2334,E$1)</f>
        <v>0</v>
      </c>
      <c r="F16" s="76">
        <f>SUMIFS('январь 2025'!$G$5:$G$2334,'январь 2025'!$D$5:$D$2334,$B16,'январь 2025'!$J$5:$J$2334,F$1)</f>
        <v>0</v>
      </c>
      <c r="G16" s="76">
        <f>SUMIFS('январь 2025'!$G$5:$G$2334,'январь 2025'!$D$5:$D$2334,$B16,'январь 2025'!$J$5:$J$2334,G$1)</f>
        <v>0</v>
      </c>
      <c r="H16" s="76">
        <f>SUMIFS('январь 2025'!$G$5:$G$2334,'январь 2025'!$D$5:$D$2334,$B16,'январь 2025'!$J$5:$J$2334,H$1)</f>
        <v>0</v>
      </c>
      <c r="I16" s="76">
        <f>SUMIFS('январь 2025'!$G$5:$G$2334,'январь 2025'!$D$5:$D$2334,$B16,'январь 2025'!$J$5:$J$2334,I$1)</f>
        <v>0</v>
      </c>
      <c r="J16" s="76">
        <f>SUMIFS('январь 2025'!$G$5:$G$2334,'январь 2025'!$D$5:$D$2334,$B16,'январь 2025'!$J$5:$J$2334,J$1)</f>
        <v>0</v>
      </c>
      <c r="K16" s="76">
        <f>SUMIFS('январь 2025'!$G$5:$G$2334,'январь 2025'!$D$5:$D$2334,$B16,'январь 2025'!$J$5:$J$2334,K$1)</f>
        <v>0</v>
      </c>
      <c r="L16" s="76">
        <f>SUMIFS('январь 2025'!$G$5:$G$2334,'январь 2025'!$D$5:$D$2334,$B16,'январь 2025'!$J$5:$J$2334,L$1)</f>
        <v>0</v>
      </c>
      <c r="M16" s="76">
        <f>SUMIFS('январь 2025'!$G$5:$G$2334,'январь 2025'!$D$5:$D$2334,$B16,'январь 2025'!$J$5:$J$2334,M$1)</f>
        <v>0</v>
      </c>
      <c r="N16" s="76">
        <f>SUMIFS('январь 2025'!$G$5:$G$2334,'январь 2025'!$D$5:$D$2334,$B16,'январь 2025'!$J$5:$J$2334,N$1)</f>
        <v>0</v>
      </c>
      <c r="O16" s="76">
        <f>SUMIFS('январь 2025'!$G$5:$G$2334,'январь 2025'!$D$5:$D$2334,$B16,'январь 2025'!$J$5:$J$2334,O$1)</f>
        <v>0</v>
      </c>
      <c r="P16" s="76">
        <f>SUMIFS('январь 2025'!$G$5:$G$2334,'январь 2025'!$D$5:$D$2334,$B16,'январь 2025'!$J$5:$J$2334,P$1)</f>
        <v>0</v>
      </c>
      <c r="Q16" s="76">
        <f>SUMIFS('январь 2025'!$G$5:$G$2334,'январь 2025'!$D$5:$D$2334,$B16,'январь 2025'!$J$5:$J$2334,Q$1)</f>
        <v>0</v>
      </c>
      <c r="R16" s="76">
        <f>SUMIFS('январь 2025'!$G$5:$G$2334,'январь 2025'!$D$5:$D$2334,$B16,'январь 2025'!$J$5:$J$2334,R$1)</f>
        <v>0</v>
      </c>
      <c r="S16" s="76">
        <f>SUMIFS('январь 2025'!$G$5:$G$2334,'январь 2025'!$D$5:$D$2334,$B16,'январь 2025'!$J$5:$J$2334,S$1)</f>
        <v>0</v>
      </c>
      <c r="T16" s="76">
        <f>SUMIFS('январь 2025'!$G$5:$G$2334,'январь 2025'!$D$5:$D$2334,$B16,'январь 2025'!$J$5:$J$2334,T$1)</f>
        <v>0</v>
      </c>
      <c r="U16" s="76">
        <f>SUMIFS('январь 2025'!$G$5:$G$2334,'январь 2025'!$D$5:$D$2334,$B16,'январь 2025'!$J$5:$J$2334,U$1)</f>
        <v>0</v>
      </c>
      <c r="V16" s="76">
        <f>SUMIFS('январь 2025'!$G$5:$G$2334,'январь 2025'!$D$5:$D$2334,$B16,'январь 2025'!$J$5:$J$2334,V$1)</f>
        <v>0</v>
      </c>
      <c r="W16" s="76">
        <f>SUMIFS('январь 2025'!$G$5:$G$2334,'январь 2025'!$D$5:$D$2334,$B16,'январь 2025'!$J$5:$J$2334,W$1)</f>
        <v>0</v>
      </c>
      <c r="X16" s="76">
        <f>SUMIFS('январь 2025'!$G$5:$G$2334,'январь 2025'!$D$5:$D$2334,$B16,'январь 2025'!$J$5:$J$2334,X$1)</f>
        <v>0</v>
      </c>
      <c r="Y16" s="76">
        <f>SUMIFS('январь 2025'!$G$5:$G$2334,'январь 2025'!$D$5:$D$2334,$B16,'январь 2025'!$J$5:$J$2334,Y$1)</f>
        <v>0</v>
      </c>
      <c r="Z16" s="76">
        <f>SUMIFS('январь 2025'!$G$5:$G$2334,'январь 2025'!$D$5:$D$2334,$B16,'январь 2025'!$J$5:$J$2334,Z$1)</f>
        <v>0</v>
      </c>
      <c r="AA16" s="76">
        <f>SUMIFS('январь 2025'!$G$5:$G$2334,'январь 2025'!$D$5:$D$2334,$B16,'январь 2025'!$J$5:$J$2334,AA$1)</f>
        <v>0</v>
      </c>
      <c r="AB16" s="76">
        <f>SUMIFS('январь 2025'!$G$5:$G$2334,'январь 2025'!$D$5:$D$2334,$B16,'январь 2025'!$J$5:$J$2334,AB$1)</f>
        <v>0</v>
      </c>
      <c r="AC16" s="76">
        <f>SUMIFS('январь 2025'!$G$5:$G$2334,'январь 2025'!$D$5:$D$2334,$B16,'январь 2025'!$J$5:$J$2334,AC$1)</f>
        <v>0</v>
      </c>
      <c r="AD16" s="76">
        <f>SUMIFS('январь 2025'!$G$5:$G$2334,'январь 2025'!$D$5:$D$2334,$B16,'январь 2025'!$J$5:$J$2334,AD$1)</f>
        <v>0</v>
      </c>
      <c r="AE16" s="76">
        <f>SUMIFS('январь 2025'!$G$5:$G$2334,'январь 2025'!$D$5:$D$2334,$B16,'январь 2025'!$J$5:$J$2334,AE$1)</f>
        <v>0</v>
      </c>
      <c r="AF16" s="76">
        <f>SUMIFS('январь 2025'!$G$5:$G$2334,'январь 2025'!$D$5:$D$2334,$B16,'январь 2025'!$J$5:$J$2334,AF$1)</f>
        <v>0</v>
      </c>
      <c r="AG16" s="76">
        <f>SUMIFS('январь 2025'!$G$5:$G$2334,'январь 2025'!$D$5:$D$2334,$B16,'январь 2025'!$J$5:$J$2334,AG$1)</f>
        <v>0</v>
      </c>
      <c r="AH16" s="76">
        <f>SUMIFS('январь 2025'!$G$5:$G$2334,'январь 2025'!$D$5:$D$2334,$B16,'январь 2025'!$J$5:$J$2334,AH$1)</f>
        <v>0</v>
      </c>
      <c r="AI16" s="20">
        <f t="shared" si="1"/>
        <v>0</v>
      </c>
    </row>
    <row r="17" spans="2:35" ht="15" customHeight="1" x14ac:dyDescent="0.25">
      <c r="B17" s="80" t="s">
        <v>235</v>
      </c>
      <c r="C17" s="81">
        <v>22.7</v>
      </c>
      <c r="D17" s="76">
        <f>SUMIFS('январь 2025'!$G$5:$G$2334,'январь 2025'!$D$5:$D$2334,$B17,'январь 2025'!$J$5:$J$2334,D$1)</f>
        <v>0</v>
      </c>
      <c r="E17" s="76">
        <f>SUMIFS('январь 2025'!$G$5:$G$2334,'январь 2025'!$D$5:$D$2334,$B17,'январь 2025'!$J$5:$J$2334,E$1)</f>
        <v>0</v>
      </c>
      <c r="F17" s="76">
        <f>SUMIFS('январь 2025'!$G$5:$G$2334,'январь 2025'!$D$5:$D$2334,$B17,'январь 2025'!$J$5:$J$2334,F$1)</f>
        <v>0</v>
      </c>
      <c r="G17" s="76">
        <f>SUMIFS('январь 2025'!$G$5:$G$2334,'январь 2025'!$D$5:$D$2334,$B17,'январь 2025'!$J$5:$J$2334,G$1)</f>
        <v>0</v>
      </c>
      <c r="H17" s="76">
        <f>SUMIFS('январь 2025'!$G$5:$G$2334,'январь 2025'!$D$5:$D$2334,$B17,'январь 2025'!$J$5:$J$2334,H$1)</f>
        <v>0</v>
      </c>
      <c r="I17" s="76">
        <f>SUMIFS('январь 2025'!$G$5:$G$2334,'январь 2025'!$D$5:$D$2334,$B17,'январь 2025'!$J$5:$J$2334,I$1)</f>
        <v>0</v>
      </c>
      <c r="J17" s="76">
        <f>SUMIFS('январь 2025'!$G$5:$G$2334,'январь 2025'!$D$5:$D$2334,$B17,'январь 2025'!$J$5:$J$2334,J$1)</f>
        <v>0</v>
      </c>
      <c r="K17" s="76">
        <f>SUMIFS('январь 2025'!$G$5:$G$2334,'январь 2025'!$D$5:$D$2334,$B17,'январь 2025'!$J$5:$J$2334,K$1)</f>
        <v>0</v>
      </c>
      <c r="L17" s="76">
        <f>SUMIFS('январь 2025'!$G$5:$G$2334,'январь 2025'!$D$5:$D$2334,$B17,'январь 2025'!$J$5:$J$2334,L$1)</f>
        <v>0</v>
      </c>
      <c r="M17" s="76">
        <f>SUMIFS('январь 2025'!$G$5:$G$2334,'январь 2025'!$D$5:$D$2334,$B17,'январь 2025'!$J$5:$J$2334,M$1)</f>
        <v>0</v>
      </c>
      <c r="N17" s="76">
        <f>SUMIFS('январь 2025'!$G$5:$G$2334,'январь 2025'!$D$5:$D$2334,$B17,'январь 2025'!$J$5:$J$2334,N$1)</f>
        <v>0</v>
      </c>
      <c r="O17" s="76">
        <f>SUMIFS('январь 2025'!$G$5:$G$2334,'январь 2025'!$D$5:$D$2334,$B17,'январь 2025'!$J$5:$J$2334,O$1)</f>
        <v>0</v>
      </c>
      <c r="P17" s="76">
        <f>SUMIFS('январь 2025'!$G$5:$G$2334,'январь 2025'!$D$5:$D$2334,$B17,'январь 2025'!$J$5:$J$2334,P$1)</f>
        <v>0</v>
      </c>
      <c r="Q17" s="76">
        <f>SUMIFS('январь 2025'!$G$5:$G$2334,'январь 2025'!$D$5:$D$2334,$B17,'январь 2025'!$J$5:$J$2334,Q$1)</f>
        <v>0</v>
      </c>
      <c r="R17" s="76">
        <f>SUMIFS('январь 2025'!$G$5:$G$2334,'январь 2025'!$D$5:$D$2334,$B17,'январь 2025'!$J$5:$J$2334,R$1)</f>
        <v>0</v>
      </c>
      <c r="S17" s="76">
        <f>SUMIFS('январь 2025'!$G$5:$G$2334,'январь 2025'!$D$5:$D$2334,$B17,'январь 2025'!$J$5:$J$2334,S$1)</f>
        <v>0</v>
      </c>
      <c r="T17" s="76">
        <f>SUMIFS('январь 2025'!$G$5:$G$2334,'январь 2025'!$D$5:$D$2334,$B17,'январь 2025'!$J$5:$J$2334,T$1)</f>
        <v>0</v>
      </c>
      <c r="U17" s="76">
        <f>SUMIFS('январь 2025'!$G$5:$G$2334,'январь 2025'!$D$5:$D$2334,$B17,'январь 2025'!$J$5:$J$2334,U$1)</f>
        <v>0</v>
      </c>
      <c r="V17" s="76">
        <f>SUMIFS('январь 2025'!$G$5:$G$2334,'январь 2025'!$D$5:$D$2334,$B17,'январь 2025'!$J$5:$J$2334,V$1)</f>
        <v>0</v>
      </c>
      <c r="W17" s="76">
        <f>SUMIFS('январь 2025'!$G$5:$G$2334,'январь 2025'!$D$5:$D$2334,$B17,'январь 2025'!$J$5:$J$2334,W$1)</f>
        <v>0</v>
      </c>
      <c r="X17" s="76">
        <f>SUMIFS('январь 2025'!$G$5:$G$2334,'январь 2025'!$D$5:$D$2334,$B17,'январь 2025'!$J$5:$J$2334,X$1)</f>
        <v>0</v>
      </c>
      <c r="Y17" s="76">
        <f>SUMIFS('январь 2025'!$G$5:$G$2334,'январь 2025'!$D$5:$D$2334,$B17,'январь 2025'!$J$5:$J$2334,Y$1)</f>
        <v>0</v>
      </c>
      <c r="Z17" s="76">
        <f>SUMIFS('январь 2025'!$G$5:$G$2334,'январь 2025'!$D$5:$D$2334,$B17,'январь 2025'!$J$5:$J$2334,Z$1)</f>
        <v>0</v>
      </c>
      <c r="AA17" s="76">
        <f>SUMIFS('январь 2025'!$G$5:$G$2334,'январь 2025'!$D$5:$D$2334,$B17,'январь 2025'!$J$5:$J$2334,AA$1)</f>
        <v>0</v>
      </c>
      <c r="AB17" s="76">
        <f>SUMIFS('январь 2025'!$G$5:$G$2334,'январь 2025'!$D$5:$D$2334,$B17,'январь 2025'!$J$5:$J$2334,AB$1)</f>
        <v>0</v>
      </c>
      <c r="AC17" s="76">
        <f>SUMIFS('январь 2025'!$G$5:$G$2334,'январь 2025'!$D$5:$D$2334,$B17,'январь 2025'!$J$5:$J$2334,AC$1)</f>
        <v>0</v>
      </c>
      <c r="AD17" s="76">
        <f>SUMIFS('январь 2025'!$G$5:$G$2334,'январь 2025'!$D$5:$D$2334,$B17,'январь 2025'!$J$5:$J$2334,AD$1)</f>
        <v>0</v>
      </c>
      <c r="AE17" s="76">
        <f>SUMIFS('январь 2025'!$G$5:$G$2334,'январь 2025'!$D$5:$D$2334,$B17,'январь 2025'!$J$5:$J$2334,AE$1)</f>
        <v>0</v>
      </c>
      <c r="AF17" s="76">
        <f>SUMIFS('январь 2025'!$G$5:$G$2334,'январь 2025'!$D$5:$D$2334,$B17,'январь 2025'!$J$5:$J$2334,AF$1)</f>
        <v>0</v>
      </c>
      <c r="AG17" s="76">
        <f>SUMIFS('январь 2025'!$G$5:$G$2334,'январь 2025'!$D$5:$D$2334,$B17,'январь 2025'!$J$5:$J$2334,AG$1)</f>
        <v>0</v>
      </c>
      <c r="AH17" s="76">
        <f>SUMIFS('январь 2025'!$G$5:$G$2334,'январь 2025'!$D$5:$D$2334,$B17,'январь 2025'!$J$5:$J$2334,AH$1)</f>
        <v>0</v>
      </c>
      <c r="AI17" s="20">
        <f t="shared" si="1"/>
        <v>0</v>
      </c>
    </row>
    <row r="18" spans="2:35" ht="15" customHeight="1" x14ac:dyDescent="0.25">
      <c r="B18" s="80" t="s">
        <v>237</v>
      </c>
      <c r="C18" s="81">
        <v>25</v>
      </c>
      <c r="D18" s="76">
        <f>SUMIFS('январь 2025'!$G$5:$G$2334,'январь 2025'!$D$5:$D$2334,$B18,'январь 2025'!$J$5:$J$2334,D$1)</f>
        <v>0</v>
      </c>
      <c r="E18" s="76">
        <f>SUMIFS('январь 2025'!$G$5:$G$2334,'январь 2025'!$D$5:$D$2334,$B18,'январь 2025'!$J$5:$J$2334,E$1)</f>
        <v>0</v>
      </c>
      <c r="F18" s="76">
        <f>SUMIFS('январь 2025'!$G$5:$G$2334,'январь 2025'!$D$5:$D$2334,$B18,'январь 2025'!$J$5:$J$2334,F$1)</f>
        <v>0</v>
      </c>
      <c r="G18" s="76">
        <f>SUMIFS('январь 2025'!$G$5:$G$2334,'январь 2025'!$D$5:$D$2334,$B18,'январь 2025'!$J$5:$J$2334,G$1)</f>
        <v>0</v>
      </c>
      <c r="H18" s="76">
        <f>SUMIFS('январь 2025'!$G$5:$G$2334,'январь 2025'!$D$5:$D$2334,$B18,'январь 2025'!$J$5:$J$2334,H$1)</f>
        <v>0</v>
      </c>
      <c r="I18" s="76">
        <f>SUMIFS('январь 2025'!$G$5:$G$2334,'январь 2025'!$D$5:$D$2334,$B18,'январь 2025'!$J$5:$J$2334,I$1)</f>
        <v>0</v>
      </c>
      <c r="J18" s="76">
        <f>SUMIFS('январь 2025'!$G$5:$G$2334,'январь 2025'!$D$5:$D$2334,$B18,'январь 2025'!$J$5:$J$2334,J$1)</f>
        <v>0</v>
      </c>
      <c r="K18" s="76">
        <f>SUMIFS('январь 2025'!$G$5:$G$2334,'январь 2025'!$D$5:$D$2334,$B18,'январь 2025'!$J$5:$J$2334,K$1)</f>
        <v>0</v>
      </c>
      <c r="L18" s="76">
        <f>SUMIFS('январь 2025'!$G$5:$G$2334,'январь 2025'!$D$5:$D$2334,$B18,'январь 2025'!$J$5:$J$2334,L$1)</f>
        <v>0</v>
      </c>
      <c r="M18" s="76">
        <f>SUMIFS('январь 2025'!$G$5:$G$2334,'январь 2025'!$D$5:$D$2334,$B18,'январь 2025'!$J$5:$J$2334,M$1)</f>
        <v>0</v>
      </c>
      <c r="N18" s="76">
        <f>SUMIFS('январь 2025'!$G$5:$G$2334,'январь 2025'!$D$5:$D$2334,$B18,'январь 2025'!$J$5:$J$2334,N$1)</f>
        <v>0</v>
      </c>
      <c r="O18" s="76">
        <f>SUMIFS('январь 2025'!$G$5:$G$2334,'январь 2025'!$D$5:$D$2334,$B18,'январь 2025'!$J$5:$J$2334,O$1)</f>
        <v>0</v>
      </c>
      <c r="P18" s="76">
        <f>SUMIFS('январь 2025'!$G$5:$G$2334,'январь 2025'!$D$5:$D$2334,$B18,'январь 2025'!$J$5:$J$2334,P$1)</f>
        <v>0</v>
      </c>
      <c r="Q18" s="76">
        <f>SUMIFS('январь 2025'!$G$5:$G$2334,'январь 2025'!$D$5:$D$2334,$B18,'январь 2025'!$J$5:$J$2334,Q$1)</f>
        <v>0</v>
      </c>
      <c r="R18" s="76">
        <f>SUMIFS('январь 2025'!$G$5:$G$2334,'январь 2025'!$D$5:$D$2334,$B18,'январь 2025'!$J$5:$J$2334,R$1)</f>
        <v>0</v>
      </c>
      <c r="S18" s="76">
        <f>SUMIFS('январь 2025'!$G$5:$G$2334,'январь 2025'!$D$5:$D$2334,$B18,'январь 2025'!$J$5:$J$2334,S$1)</f>
        <v>0</v>
      </c>
      <c r="T18" s="76">
        <f>SUMIFS('январь 2025'!$G$5:$G$2334,'январь 2025'!$D$5:$D$2334,$B18,'январь 2025'!$J$5:$J$2334,T$1)</f>
        <v>0</v>
      </c>
      <c r="U18" s="76">
        <f>SUMIFS('январь 2025'!$G$5:$G$2334,'январь 2025'!$D$5:$D$2334,$B18,'январь 2025'!$J$5:$J$2334,U$1)</f>
        <v>0</v>
      </c>
      <c r="V18" s="76">
        <f>SUMIFS('январь 2025'!$G$5:$G$2334,'январь 2025'!$D$5:$D$2334,$B18,'январь 2025'!$J$5:$J$2334,V$1)</f>
        <v>0</v>
      </c>
      <c r="W18" s="76">
        <f>SUMIFS('январь 2025'!$G$5:$G$2334,'январь 2025'!$D$5:$D$2334,$B18,'январь 2025'!$J$5:$J$2334,W$1)</f>
        <v>0</v>
      </c>
      <c r="X18" s="76">
        <f>SUMIFS('январь 2025'!$G$5:$G$2334,'январь 2025'!$D$5:$D$2334,$B18,'январь 2025'!$J$5:$J$2334,X$1)</f>
        <v>800</v>
      </c>
      <c r="Y18" s="76">
        <f>SUMIFS('январь 2025'!$G$5:$G$2334,'январь 2025'!$D$5:$D$2334,$B18,'январь 2025'!$J$5:$J$2334,Y$1)</f>
        <v>800</v>
      </c>
      <c r="Z18" s="76">
        <f>SUMIFS('январь 2025'!$G$5:$G$2334,'январь 2025'!$D$5:$D$2334,$B18,'январь 2025'!$J$5:$J$2334,Z$1)</f>
        <v>0</v>
      </c>
      <c r="AA18" s="76">
        <f>SUMIFS('январь 2025'!$G$5:$G$2334,'январь 2025'!$D$5:$D$2334,$B18,'январь 2025'!$J$5:$J$2334,AA$1)</f>
        <v>0</v>
      </c>
      <c r="AB18" s="76">
        <f>SUMIFS('январь 2025'!$G$5:$G$2334,'январь 2025'!$D$5:$D$2334,$B18,'январь 2025'!$J$5:$J$2334,AB$1)</f>
        <v>0</v>
      </c>
      <c r="AC18" s="76">
        <f>SUMIFS('январь 2025'!$G$5:$G$2334,'январь 2025'!$D$5:$D$2334,$B18,'январь 2025'!$J$5:$J$2334,AC$1)</f>
        <v>0</v>
      </c>
      <c r="AD18" s="76">
        <f>SUMIFS('январь 2025'!$G$5:$G$2334,'январь 2025'!$D$5:$D$2334,$B18,'январь 2025'!$J$5:$J$2334,AD$1)</f>
        <v>0</v>
      </c>
      <c r="AE18" s="76">
        <f>SUMIFS('январь 2025'!$G$5:$G$2334,'январь 2025'!$D$5:$D$2334,$B18,'январь 2025'!$J$5:$J$2334,AE$1)</f>
        <v>0</v>
      </c>
      <c r="AF18" s="76">
        <f>SUMIFS('январь 2025'!$G$5:$G$2334,'январь 2025'!$D$5:$D$2334,$B18,'январь 2025'!$J$5:$J$2334,AF$1)</f>
        <v>0</v>
      </c>
      <c r="AG18" s="76">
        <f>SUMIFS('январь 2025'!$G$5:$G$2334,'январь 2025'!$D$5:$D$2334,$B18,'январь 2025'!$J$5:$J$2334,AG$1)</f>
        <v>0</v>
      </c>
      <c r="AH18" s="76">
        <f>SUMIFS('январь 2025'!$G$5:$G$2334,'январь 2025'!$D$5:$D$2334,$B18,'январь 2025'!$J$5:$J$2334,AH$1)</f>
        <v>0</v>
      </c>
      <c r="AI18" s="20">
        <f t="shared" si="1"/>
        <v>1600</v>
      </c>
    </row>
    <row r="19" spans="2:35" ht="15" customHeight="1" x14ac:dyDescent="0.25">
      <c r="B19" s="77" t="s">
        <v>239</v>
      </c>
      <c r="C19" s="78">
        <v>25</v>
      </c>
      <c r="D19" s="76">
        <f>SUMIFS('январь 2025'!$G$5:$G$2334,'январь 2025'!$D$5:$D$2334,$B19,'январь 2025'!$J$5:$J$2334,D$1)</f>
        <v>0</v>
      </c>
      <c r="E19" s="76">
        <f>SUMIFS('январь 2025'!$G$5:$G$2334,'январь 2025'!$D$5:$D$2334,$B19,'январь 2025'!$J$5:$J$2334,E$1)</f>
        <v>0</v>
      </c>
      <c r="F19" s="76">
        <f>SUMIFS('январь 2025'!$G$5:$G$2334,'январь 2025'!$D$5:$D$2334,$B19,'январь 2025'!$J$5:$J$2334,F$1)</f>
        <v>0</v>
      </c>
      <c r="G19" s="76">
        <f>SUMIFS('январь 2025'!$G$5:$G$2334,'январь 2025'!$D$5:$D$2334,$B19,'январь 2025'!$J$5:$J$2334,G$1)</f>
        <v>0</v>
      </c>
      <c r="H19" s="76">
        <f>SUMIFS('январь 2025'!$G$5:$G$2334,'январь 2025'!$D$5:$D$2334,$B19,'январь 2025'!$J$5:$J$2334,H$1)</f>
        <v>0</v>
      </c>
      <c r="I19" s="76">
        <f>SUMIFS('январь 2025'!$G$5:$G$2334,'январь 2025'!$D$5:$D$2334,$B19,'январь 2025'!$J$5:$J$2334,I$1)</f>
        <v>0</v>
      </c>
      <c r="J19" s="76">
        <f>SUMIFS('январь 2025'!$G$5:$G$2334,'январь 2025'!$D$5:$D$2334,$B19,'январь 2025'!$J$5:$J$2334,J$1)</f>
        <v>0</v>
      </c>
      <c r="K19" s="76">
        <f>SUMIFS('январь 2025'!$G$5:$G$2334,'январь 2025'!$D$5:$D$2334,$B19,'январь 2025'!$J$5:$J$2334,K$1)</f>
        <v>0</v>
      </c>
      <c r="L19" s="76">
        <f>SUMIFS('январь 2025'!$G$5:$G$2334,'январь 2025'!$D$5:$D$2334,$B19,'январь 2025'!$J$5:$J$2334,L$1)</f>
        <v>0</v>
      </c>
      <c r="M19" s="76">
        <f>SUMIFS('январь 2025'!$G$5:$G$2334,'январь 2025'!$D$5:$D$2334,$B19,'январь 2025'!$J$5:$J$2334,M$1)</f>
        <v>0</v>
      </c>
      <c r="N19" s="76">
        <f>SUMIFS('январь 2025'!$G$5:$G$2334,'январь 2025'!$D$5:$D$2334,$B19,'январь 2025'!$J$5:$J$2334,N$1)</f>
        <v>0</v>
      </c>
      <c r="O19" s="76">
        <f>SUMIFS('январь 2025'!$G$5:$G$2334,'январь 2025'!$D$5:$D$2334,$B19,'январь 2025'!$J$5:$J$2334,O$1)</f>
        <v>0</v>
      </c>
      <c r="P19" s="76">
        <f>SUMIFS('январь 2025'!$G$5:$G$2334,'январь 2025'!$D$5:$D$2334,$B19,'январь 2025'!$J$5:$J$2334,P$1)</f>
        <v>0</v>
      </c>
      <c r="Q19" s="76">
        <f>SUMIFS('январь 2025'!$G$5:$G$2334,'январь 2025'!$D$5:$D$2334,$B19,'январь 2025'!$J$5:$J$2334,Q$1)</f>
        <v>0</v>
      </c>
      <c r="R19" s="76">
        <f>SUMIFS('январь 2025'!$G$5:$G$2334,'январь 2025'!$D$5:$D$2334,$B19,'январь 2025'!$J$5:$J$2334,R$1)</f>
        <v>0</v>
      </c>
      <c r="S19" s="76">
        <f>SUMIFS('январь 2025'!$G$5:$G$2334,'январь 2025'!$D$5:$D$2334,$B19,'январь 2025'!$J$5:$J$2334,S$1)</f>
        <v>0</v>
      </c>
      <c r="T19" s="76">
        <f>SUMIFS('январь 2025'!$G$5:$G$2334,'январь 2025'!$D$5:$D$2334,$B19,'январь 2025'!$J$5:$J$2334,T$1)</f>
        <v>0</v>
      </c>
      <c r="U19" s="76">
        <f>SUMIFS('январь 2025'!$G$5:$G$2334,'январь 2025'!$D$5:$D$2334,$B19,'январь 2025'!$J$5:$J$2334,U$1)</f>
        <v>0</v>
      </c>
      <c r="V19" s="76">
        <f>SUMIFS('январь 2025'!$G$5:$G$2334,'январь 2025'!$D$5:$D$2334,$B19,'январь 2025'!$J$5:$J$2334,V$1)</f>
        <v>0</v>
      </c>
      <c r="W19" s="76">
        <f>SUMIFS('январь 2025'!$G$5:$G$2334,'январь 2025'!$D$5:$D$2334,$B19,'январь 2025'!$J$5:$J$2334,W$1)</f>
        <v>0</v>
      </c>
      <c r="X19" s="76">
        <f>SUMIFS('январь 2025'!$G$5:$G$2334,'январь 2025'!$D$5:$D$2334,$B19,'январь 2025'!$J$5:$J$2334,X$1)</f>
        <v>0</v>
      </c>
      <c r="Y19" s="76">
        <f>SUMIFS('январь 2025'!$G$5:$G$2334,'январь 2025'!$D$5:$D$2334,$B19,'январь 2025'!$J$5:$J$2334,Y$1)</f>
        <v>0</v>
      </c>
      <c r="Z19" s="76">
        <f>SUMIFS('январь 2025'!$G$5:$G$2334,'январь 2025'!$D$5:$D$2334,$B19,'январь 2025'!$J$5:$J$2334,Z$1)</f>
        <v>0</v>
      </c>
      <c r="AA19" s="76">
        <f>SUMIFS('январь 2025'!$G$5:$G$2334,'январь 2025'!$D$5:$D$2334,$B19,'январь 2025'!$J$5:$J$2334,AA$1)</f>
        <v>0</v>
      </c>
      <c r="AB19" s="76">
        <f>SUMIFS('январь 2025'!$G$5:$G$2334,'январь 2025'!$D$5:$D$2334,$B19,'январь 2025'!$J$5:$J$2334,AB$1)</f>
        <v>0</v>
      </c>
      <c r="AC19" s="76">
        <f>SUMIFS('январь 2025'!$G$5:$G$2334,'январь 2025'!$D$5:$D$2334,$B19,'январь 2025'!$J$5:$J$2334,AC$1)</f>
        <v>0</v>
      </c>
      <c r="AD19" s="76">
        <f>SUMIFS('январь 2025'!$G$5:$G$2334,'январь 2025'!$D$5:$D$2334,$B19,'январь 2025'!$J$5:$J$2334,AD$1)</f>
        <v>0</v>
      </c>
      <c r="AE19" s="76">
        <f>SUMIFS('январь 2025'!$G$5:$G$2334,'январь 2025'!$D$5:$D$2334,$B19,'январь 2025'!$J$5:$J$2334,AE$1)</f>
        <v>0</v>
      </c>
      <c r="AF19" s="76">
        <f>SUMIFS('январь 2025'!$G$5:$G$2334,'январь 2025'!$D$5:$D$2334,$B19,'январь 2025'!$J$5:$J$2334,AF$1)</f>
        <v>0</v>
      </c>
      <c r="AG19" s="76">
        <f>SUMIFS('январь 2025'!$G$5:$G$2334,'январь 2025'!$D$5:$D$2334,$B19,'январь 2025'!$J$5:$J$2334,AG$1)</f>
        <v>0</v>
      </c>
      <c r="AH19" s="76">
        <f>SUMIFS('январь 2025'!$G$5:$G$2334,'январь 2025'!$D$5:$D$2334,$B19,'январь 2025'!$J$5:$J$2334,AH$1)</f>
        <v>0</v>
      </c>
      <c r="AI19" s="20">
        <f t="shared" si="1"/>
        <v>0</v>
      </c>
    </row>
    <row r="20" spans="2:35" ht="15" customHeight="1" x14ac:dyDescent="0.25">
      <c r="B20" s="77" t="s">
        <v>241</v>
      </c>
      <c r="C20" s="78">
        <v>25</v>
      </c>
      <c r="D20" s="76">
        <f>SUMIFS('январь 2025'!$G$5:$G$2334,'январь 2025'!$D$5:$D$2334,$B20,'январь 2025'!$J$5:$J$2334,D$1)</f>
        <v>0</v>
      </c>
      <c r="E20" s="76">
        <f>SUMIFS('январь 2025'!$G$5:$G$2334,'январь 2025'!$D$5:$D$2334,$B20,'январь 2025'!$J$5:$J$2334,E$1)</f>
        <v>0</v>
      </c>
      <c r="F20" s="76">
        <f>SUMIFS('январь 2025'!$G$5:$G$2334,'январь 2025'!$D$5:$D$2334,$B20,'январь 2025'!$J$5:$J$2334,F$1)</f>
        <v>0</v>
      </c>
      <c r="G20" s="76">
        <f>SUMIFS('январь 2025'!$G$5:$G$2334,'январь 2025'!$D$5:$D$2334,$B20,'январь 2025'!$J$5:$J$2334,G$1)</f>
        <v>0</v>
      </c>
      <c r="H20" s="76">
        <f>SUMIFS('январь 2025'!$G$5:$G$2334,'январь 2025'!$D$5:$D$2334,$B20,'январь 2025'!$J$5:$J$2334,H$1)</f>
        <v>0</v>
      </c>
      <c r="I20" s="76">
        <f>SUMIFS('январь 2025'!$G$5:$G$2334,'январь 2025'!$D$5:$D$2334,$B20,'январь 2025'!$J$5:$J$2334,I$1)</f>
        <v>0</v>
      </c>
      <c r="J20" s="76">
        <f>SUMIFS('январь 2025'!$G$5:$G$2334,'январь 2025'!$D$5:$D$2334,$B20,'январь 2025'!$J$5:$J$2334,J$1)</f>
        <v>0</v>
      </c>
      <c r="K20" s="76">
        <f>SUMIFS('январь 2025'!$G$5:$G$2334,'январь 2025'!$D$5:$D$2334,$B20,'январь 2025'!$J$5:$J$2334,K$1)</f>
        <v>0</v>
      </c>
      <c r="L20" s="76">
        <f>SUMIFS('январь 2025'!$G$5:$G$2334,'январь 2025'!$D$5:$D$2334,$B20,'январь 2025'!$J$5:$J$2334,L$1)</f>
        <v>0</v>
      </c>
      <c r="M20" s="76">
        <f>SUMIFS('январь 2025'!$G$5:$G$2334,'январь 2025'!$D$5:$D$2334,$B20,'январь 2025'!$J$5:$J$2334,M$1)</f>
        <v>0</v>
      </c>
      <c r="N20" s="76">
        <f>SUMIFS('январь 2025'!$G$5:$G$2334,'январь 2025'!$D$5:$D$2334,$B20,'январь 2025'!$J$5:$J$2334,N$1)</f>
        <v>0</v>
      </c>
      <c r="O20" s="76">
        <f>SUMIFS('январь 2025'!$G$5:$G$2334,'январь 2025'!$D$5:$D$2334,$B20,'январь 2025'!$J$5:$J$2334,O$1)</f>
        <v>0</v>
      </c>
      <c r="P20" s="76">
        <f>SUMIFS('январь 2025'!$G$5:$G$2334,'январь 2025'!$D$5:$D$2334,$B20,'январь 2025'!$J$5:$J$2334,P$1)</f>
        <v>0</v>
      </c>
      <c r="Q20" s="76">
        <f>SUMIFS('январь 2025'!$G$5:$G$2334,'январь 2025'!$D$5:$D$2334,$B20,'январь 2025'!$J$5:$J$2334,Q$1)</f>
        <v>0</v>
      </c>
      <c r="R20" s="76">
        <f>SUMIFS('январь 2025'!$G$5:$G$2334,'январь 2025'!$D$5:$D$2334,$B20,'январь 2025'!$J$5:$J$2334,R$1)</f>
        <v>0</v>
      </c>
      <c r="S20" s="76">
        <f>SUMIFS('январь 2025'!$G$5:$G$2334,'январь 2025'!$D$5:$D$2334,$B20,'январь 2025'!$J$5:$J$2334,S$1)</f>
        <v>0</v>
      </c>
      <c r="T20" s="76">
        <f>SUMIFS('январь 2025'!$G$5:$G$2334,'январь 2025'!$D$5:$D$2334,$B20,'январь 2025'!$J$5:$J$2334,T$1)</f>
        <v>0</v>
      </c>
      <c r="U20" s="76">
        <f>SUMIFS('январь 2025'!$G$5:$G$2334,'январь 2025'!$D$5:$D$2334,$B20,'январь 2025'!$J$5:$J$2334,U$1)</f>
        <v>0</v>
      </c>
      <c r="V20" s="76">
        <f>SUMIFS('январь 2025'!$G$5:$G$2334,'январь 2025'!$D$5:$D$2334,$B20,'январь 2025'!$J$5:$J$2334,V$1)</f>
        <v>0</v>
      </c>
      <c r="W20" s="76">
        <f>SUMIFS('январь 2025'!$G$5:$G$2334,'январь 2025'!$D$5:$D$2334,$B20,'январь 2025'!$J$5:$J$2334,W$1)</f>
        <v>0</v>
      </c>
      <c r="X20" s="76">
        <f>SUMIFS('январь 2025'!$G$5:$G$2334,'январь 2025'!$D$5:$D$2334,$B20,'январь 2025'!$J$5:$J$2334,X$1)</f>
        <v>0</v>
      </c>
      <c r="Y20" s="76">
        <f>SUMIFS('январь 2025'!$G$5:$G$2334,'январь 2025'!$D$5:$D$2334,$B20,'январь 2025'!$J$5:$J$2334,Y$1)</f>
        <v>0</v>
      </c>
      <c r="Z20" s="76">
        <f>SUMIFS('январь 2025'!$G$5:$G$2334,'январь 2025'!$D$5:$D$2334,$B20,'январь 2025'!$J$5:$J$2334,Z$1)</f>
        <v>0</v>
      </c>
      <c r="AA20" s="76">
        <f>SUMIFS('январь 2025'!$G$5:$G$2334,'январь 2025'!$D$5:$D$2334,$B20,'январь 2025'!$J$5:$J$2334,AA$1)</f>
        <v>0</v>
      </c>
      <c r="AB20" s="76">
        <f>SUMIFS('январь 2025'!$G$5:$G$2334,'январь 2025'!$D$5:$D$2334,$B20,'январь 2025'!$J$5:$J$2334,AB$1)</f>
        <v>0</v>
      </c>
      <c r="AC20" s="76">
        <f>SUMIFS('январь 2025'!$G$5:$G$2334,'январь 2025'!$D$5:$D$2334,$B20,'январь 2025'!$J$5:$J$2334,AC$1)</f>
        <v>0</v>
      </c>
      <c r="AD20" s="76">
        <f>SUMIFS('январь 2025'!$G$5:$G$2334,'январь 2025'!$D$5:$D$2334,$B20,'январь 2025'!$J$5:$J$2334,AD$1)</f>
        <v>0</v>
      </c>
      <c r="AE20" s="76">
        <f>SUMIFS('январь 2025'!$G$5:$G$2334,'январь 2025'!$D$5:$D$2334,$B20,'январь 2025'!$J$5:$J$2334,AE$1)</f>
        <v>0</v>
      </c>
      <c r="AF20" s="76">
        <f>SUMIFS('январь 2025'!$G$5:$G$2334,'январь 2025'!$D$5:$D$2334,$B20,'январь 2025'!$J$5:$J$2334,AF$1)</f>
        <v>0</v>
      </c>
      <c r="AG20" s="76">
        <f>SUMIFS('январь 2025'!$G$5:$G$2334,'январь 2025'!$D$5:$D$2334,$B20,'январь 2025'!$J$5:$J$2334,AG$1)</f>
        <v>0</v>
      </c>
      <c r="AH20" s="76">
        <f>SUMIFS('январь 2025'!$G$5:$G$2334,'январь 2025'!$D$5:$D$2334,$B20,'январь 2025'!$J$5:$J$2334,AH$1)</f>
        <v>0</v>
      </c>
      <c r="AI20" s="20">
        <f t="shared" si="1"/>
        <v>0</v>
      </c>
    </row>
    <row r="21" spans="2:35" ht="15" customHeight="1" x14ac:dyDescent="0.25">
      <c r="B21" s="77" t="s">
        <v>243</v>
      </c>
      <c r="C21" s="78">
        <v>25</v>
      </c>
      <c r="D21" s="76">
        <f>SUMIFS('январь 2025'!$G$5:$G$2334,'январь 2025'!$D$5:$D$2334,$B21,'январь 2025'!$J$5:$J$2334,D$1)</f>
        <v>0</v>
      </c>
      <c r="E21" s="76">
        <f>SUMIFS('январь 2025'!$G$5:$G$2334,'январь 2025'!$D$5:$D$2334,$B21,'январь 2025'!$J$5:$J$2334,E$1)</f>
        <v>0</v>
      </c>
      <c r="F21" s="76">
        <f>SUMIFS('январь 2025'!$G$5:$G$2334,'январь 2025'!$D$5:$D$2334,$B21,'январь 2025'!$J$5:$J$2334,F$1)</f>
        <v>0</v>
      </c>
      <c r="G21" s="76">
        <f>SUMIFS('январь 2025'!$G$5:$G$2334,'январь 2025'!$D$5:$D$2334,$B21,'январь 2025'!$J$5:$J$2334,G$1)</f>
        <v>0</v>
      </c>
      <c r="H21" s="76">
        <f>SUMIFS('январь 2025'!$G$5:$G$2334,'январь 2025'!$D$5:$D$2334,$B21,'январь 2025'!$J$5:$J$2334,H$1)</f>
        <v>0</v>
      </c>
      <c r="I21" s="76">
        <f>SUMIFS('январь 2025'!$G$5:$G$2334,'январь 2025'!$D$5:$D$2334,$B21,'январь 2025'!$J$5:$J$2334,I$1)</f>
        <v>0</v>
      </c>
      <c r="J21" s="76">
        <f>SUMIFS('январь 2025'!$G$5:$G$2334,'январь 2025'!$D$5:$D$2334,$B21,'январь 2025'!$J$5:$J$2334,J$1)</f>
        <v>0</v>
      </c>
      <c r="K21" s="76">
        <f>SUMIFS('январь 2025'!$G$5:$G$2334,'январь 2025'!$D$5:$D$2334,$B21,'январь 2025'!$J$5:$J$2334,K$1)</f>
        <v>0</v>
      </c>
      <c r="L21" s="76">
        <f>SUMIFS('январь 2025'!$G$5:$G$2334,'январь 2025'!$D$5:$D$2334,$B21,'январь 2025'!$J$5:$J$2334,L$1)</f>
        <v>0</v>
      </c>
      <c r="M21" s="76">
        <f>SUMIFS('январь 2025'!$G$5:$G$2334,'январь 2025'!$D$5:$D$2334,$B21,'январь 2025'!$J$5:$J$2334,M$1)</f>
        <v>0</v>
      </c>
      <c r="N21" s="76">
        <f>SUMIFS('январь 2025'!$G$5:$G$2334,'январь 2025'!$D$5:$D$2334,$B21,'январь 2025'!$J$5:$J$2334,N$1)</f>
        <v>0</v>
      </c>
      <c r="O21" s="76">
        <f>SUMIFS('январь 2025'!$G$5:$G$2334,'январь 2025'!$D$5:$D$2334,$B21,'январь 2025'!$J$5:$J$2334,O$1)</f>
        <v>0</v>
      </c>
      <c r="P21" s="76">
        <f>SUMIFS('январь 2025'!$G$5:$G$2334,'январь 2025'!$D$5:$D$2334,$B21,'январь 2025'!$J$5:$J$2334,P$1)</f>
        <v>0</v>
      </c>
      <c r="Q21" s="76">
        <f>SUMIFS('январь 2025'!$G$5:$G$2334,'январь 2025'!$D$5:$D$2334,$B21,'январь 2025'!$J$5:$J$2334,Q$1)</f>
        <v>0</v>
      </c>
      <c r="R21" s="76">
        <f>SUMIFS('январь 2025'!$G$5:$G$2334,'январь 2025'!$D$5:$D$2334,$B21,'январь 2025'!$J$5:$J$2334,R$1)</f>
        <v>0</v>
      </c>
      <c r="S21" s="76">
        <f>SUMIFS('январь 2025'!$G$5:$G$2334,'январь 2025'!$D$5:$D$2334,$B21,'январь 2025'!$J$5:$J$2334,S$1)</f>
        <v>0</v>
      </c>
      <c r="T21" s="76">
        <f>SUMIFS('январь 2025'!$G$5:$G$2334,'январь 2025'!$D$5:$D$2334,$B21,'январь 2025'!$J$5:$J$2334,T$1)</f>
        <v>0</v>
      </c>
      <c r="U21" s="76">
        <f>SUMIFS('январь 2025'!$G$5:$G$2334,'январь 2025'!$D$5:$D$2334,$B21,'январь 2025'!$J$5:$J$2334,U$1)</f>
        <v>0</v>
      </c>
      <c r="V21" s="76">
        <f>SUMIFS('январь 2025'!$G$5:$G$2334,'январь 2025'!$D$5:$D$2334,$B21,'январь 2025'!$J$5:$J$2334,V$1)</f>
        <v>0</v>
      </c>
      <c r="W21" s="76">
        <f>SUMIFS('январь 2025'!$G$5:$G$2334,'январь 2025'!$D$5:$D$2334,$B21,'январь 2025'!$J$5:$J$2334,W$1)</f>
        <v>0</v>
      </c>
      <c r="X21" s="76">
        <f>SUMIFS('январь 2025'!$G$5:$G$2334,'январь 2025'!$D$5:$D$2334,$B21,'январь 2025'!$J$5:$J$2334,X$1)</f>
        <v>0</v>
      </c>
      <c r="Y21" s="76">
        <f>SUMIFS('январь 2025'!$G$5:$G$2334,'январь 2025'!$D$5:$D$2334,$B21,'январь 2025'!$J$5:$J$2334,Y$1)</f>
        <v>0</v>
      </c>
      <c r="Z21" s="76">
        <f>SUMIFS('январь 2025'!$G$5:$G$2334,'январь 2025'!$D$5:$D$2334,$B21,'январь 2025'!$J$5:$J$2334,Z$1)</f>
        <v>0</v>
      </c>
      <c r="AA21" s="76">
        <f>SUMIFS('январь 2025'!$G$5:$G$2334,'январь 2025'!$D$5:$D$2334,$B21,'январь 2025'!$J$5:$J$2334,AA$1)</f>
        <v>0</v>
      </c>
      <c r="AB21" s="76">
        <f>SUMIFS('январь 2025'!$G$5:$G$2334,'январь 2025'!$D$5:$D$2334,$B21,'январь 2025'!$J$5:$J$2334,AB$1)</f>
        <v>0</v>
      </c>
      <c r="AC21" s="76">
        <f>SUMIFS('январь 2025'!$G$5:$G$2334,'январь 2025'!$D$5:$D$2334,$B21,'январь 2025'!$J$5:$J$2334,AC$1)</f>
        <v>0</v>
      </c>
      <c r="AD21" s="76">
        <f>SUMIFS('январь 2025'!$G$5:$G$2334,'январь 2025'!$D$5:$D$2334,$B21,'январь 2025'!$J$5:$J$2334,AD$1)</f>
        <v>0</v>
      </c>
      <c r="AE21" s="76">
        <f>SUMIFS('январь 2025'!$G$5:$G$2334,'январь 2025'!$D$5:$D$2334,$B21,'январь 2025'!$J$5:$J$2334,AE$1)</f>
        <v>0</v>
      </c>
      <c r="AF21" s="76">
        <f>SUMIFS('январь 2025'!$G$5:$G$2334,'январь 2025'!$D$5:$D$2334,$B21,'январь 2025'!$J$5:$J$2334,AF$1)</f>
        <v>0</v>
      </c>
      <c r="AG21" s="76">
        <f>SUMIFS('январь 2025'!$G$5:$G$2334,'январь 2025'!$D$5:$D$2334,$B21,'январь 2025'!$J$5:$J$2334,AG$1)</f>
        <v>0</v>
      </c>
      <c r="AH21" s="76">
        <f>SUMIFS('январь 2025'!$G$5:$G$2334,'январь 2025'!$D$5:$D$2334,$B21,'январь 2025'!$J$5:$J$2334,AH$1)</f>
        <v>0</v>
      </c>
      <c r="AI21" s="20">
        <f t="shared" si="1"/>
        <v>0</v>
      </c>
    </row>
    <row r="22" spans="2:35" ht="15" customHeight="1" x14ac:dyDescent="0.25">
      <c r="B22" s="77" t="s">
        <v>245</v>
      </c>
      <c r="C22" s="78">
        <v>25</v>
      </c>
      <c r="D22" s="76">
        <f>SUMIFS('январь 2025'!$G$5:$G$2334,'январь 2025'!$D$5:$D$2334,$B22,'январь 2025'!$J$5:$J$2334,D$1)</f>
        <v>0</v>
      </c>
      <c r="E22" s="76">
        <f>SUMIFS('январь 2025'!$G$5:$G$2334,'январь 2025'!$D$5:$D$2334,$B22,'январь 2025'!$J$5:$J$2334,E$1)</f>
        <v>0</v>
      </c>
      <c r="F22" s="76">
        <f>SUMIFS('январь 2025'!$G$5:$G$2334,'январь 2025'!$D$5:$D$2334,$B22,'январь 2025'!$J$5:$J$2334,F$1)</f>
        <v>0</v>
      </c>
      <c r="G22" s="76">
        <f>SUMIFS('январь 2025'!$G$5:$G$2334,'январь 2025'!$D$5:$D$2334,$B22,'январь 2025'!$J$5:$J$2334,G$1)</f>
        <v>0</v>
      </c>
      <c r="H22" s="76">
        <f>SUMIFS('январь 2025'!$G$5:$G$2334,'январь 2025'!$D$5:$D$2334,$B22,'январь 2025'!$J$5:$J$2334,H$1)</f>
        <v>0</v>
      </c>
      <c r="I22" s="76">
        <f>SUMIFS('январь 2025'!$G$5:$G$2334,'январь 2025'!$D$5:$D$2334,$B22,'январь 2025'!$J$5:$J$2334,I$1)</f>
        <v>0</v>
      </c>
      <c r="J22" s="76">
        <f>SUMIFS('январь 2025'!$G$5:$G$2334,'январь 2025'!$D$5:$D$2334,$B22,'январь 2025'!$J$5:$J$2334,J$1)</f>
        <v>0</v>
      </c>
      <c r="K22" s="76">
        <f>SUMIFS('январь 2025'!$G$5:$G$2334,'январь 2025'!$D$5:$D$2334,$B22,'январь 2025'!$J$5:$J$2334,K$1)</f>
        <v>0</v>
      </c>
      <c r="L22" s="76">
        <f>SUMIFS('январь 2025'!$G$5:$G$2334,'январь 2025'!$D$5:$D$2334,$B22,'январь 2025'!$J$5:$J$2334,L$1)</f>
        <v>0</v>
      </c>
      <c r="M22" s="76">
        <f>SUMIFS('январь 2025'!$G$5:$G$2334,'январь 2025'!$D$5:$D$2334,$B22,'январь 2025'!$J$5:$J$2334,M$1)</f>
        <v>0</v>
      </c>
      <c r="N22" s="76">
        <f>SUMIFS('январь 2025'!$G$5:$G$2334,'январь 2025'!$D$5:$D$2334,$B22,'январь 2025'!$J$5:$J$2334,N$1)</f>
        <v>0</v>
      </c>
      <c r="O22" s="76">
        <f>SUMIFS('январь 2025'!$G$5:$G$2334,'январь 2025'!$D$5:$D$2334,$B22,'январь 2025'!$J$5:$J$2334,O$1)</f>
        <v>0</v>
      </c>
      <c r="P22" s="76">
        <f>SUMIFS('январь 2025'!$G$5:$G$2334,'январь 2025'!$D$5:$D$2334,$B22,'январь 2025'!$J$5:$J$2334,P$1)</f>
        <v>0</v>
      </c>
      <c r="Q22" s="76">
        <f>SUMIFS('январь 2025'!$G$5:$G$2334,'январь 2025'!$D$5:$D$2334,$B22,'январь 2025'!$J$5:$J$2334,Q$1)</f>
        <v>0</v>
      </c>
      <c r="R22" s="76">
        <f>SUMIFS('январь 2025'!$G$5:$G$2334,'январь 2025'!$D$5:$D$2334,$B22,'январь 2025'!$J$5:$J$2334,R$1)</f>
        <v>0</v>
      </c>
      <c r="S22" s="76">
        <f>SUMIFS('январь 2025'!$G$5:$G$2334,'январь 2025'!$D$5:$D$2334,$B22,'январь 2025'!$J$5:$J$2334,S$1)</f>
        <v>0</v>
      </c>
      <c r="T22" s="76">
        <f>SUMIFS('январь 2025'!$G$5:$G$2334,'январь 2025'!$D$5:$D$2334,$B22,'январь 2025'!$J$5:$J$2334,T$1)</f>
        <v>0</v>
      </c>
      <c r="U22" s="76">
        <f>SUMIFS('январь 2025'!$G$5:$G$2334,'январь 2025'!$D$5:$D$2334,$B22,'январь 2025'!$J$5:$J$2334,U$1)</f>
        <v>0</v>
      </c>
      <c r="V22" s="76">
        <f>SUMIFS('январь 2025'!$G$5:$G$2334,'январь 2025'!$D$5:$D$2334,$B22,'январь 2025'!$J$5:$J$2334,V$1)</f>
        <v>0</v>
      </c>
      <c r="W22" s="76">
        <f>SUMIFS('январь 2025'!$G$5:$G$2334,'январь 2025'!$D$5:$D$2334,$B22,'январь 2025'!$J$5:$J$2334,W$1)</f>
        <v>0</v>
      </c>
      <c r="X22" s="76">
        <f>SUMIFS('январь 2025'!$G$5:$G$2334,'январь 2025'!$D$5:$D$2334,$B22,'январь 2025'!$J$5:$J$2334,X$1)</f>
        <v>0</v>
      </c>
      <c r="Y22" s="76">
        <f>SUMIFS('январь 2025'!$G$5:$G$2334,'январь 2025'!$D$5:$D$2334,$B22,'январь 2025'!$J$5:$J$2334,Y$1)</f>
        <v>0</v>
      </c>
      <c r="Z22" s="76">
        <f>SUMIFS('январь 2025'!$G$5:$G$2334,'январь 2025'!$D$5:$D$2334,$B22,'январь 2025'!$J$5:$J$2334,Z$1)</f>
        <v>0</v>
      </c>
      <c r="AA22" s="76">
        <f>SUMIFS('январь 2025'!$G$5:$G$2334,'январь 2025'!$D$5:$D$2334,$B22,'январь 2025'!$J$5:$J$2334,AA$1)</f>
        <v>0</v>
      </c>
      <c r="AB22" s="76">
        <f>SUMIFS('январь 2025'!$G$5:$G$2334,'январь 2025'!$D$5:$D$2334,$B22,'январь 2025'!$J$5:$J$2334,AB$1)</f>
        <v>0</v>
      </c>
      <c r="AC22" s="76">
        <f>SUMIFS('январь 2025'!$G$5:$G$2334,'январь 2025'!$D$5:$D$2334,$B22,'январь 2025'!$J$5:$J$2334,AC$1)</f>
        <v>0</v>
      </c>
      <c r="AD22" s="76">
        <f>SUMIFS('январь 2025'!$G$5:$G$2334,'январь 2025'!$D$5:$D$2334,$B22,'январь 2025'!$J$5:$J$2334,AD$1)</f>
        <v>0</v>
      </c>
      <c r="AE22" s="76">
        <f>SUMIFS('январь 2025'!$G$5:$G$2334,'январь 2025'!$D$5:$D$2334,$B22,'январь 2025'!$J$5:$J$2334,AE$1)</f>
        <v>0</v>
      </c>
      <c r="AF22" s="76">
        <f>SUMIFS('январь 2025'!$G$5:$G$2334,'январь 2025'!$D$5:$D$2334,$B22,'январь 2025'!$J$5:$J$2334,AF$1)</f>
        <v>0</v>
      </c>
      <c r="AG22" s="76">
        <f>SUMIFS('январь 2025'!$G$5:$G$2334,'январь 2025'!$D$5:$D$2334,$B22,'январь 2025'!$J$5:$J$2334,AG$1)</f>
        <v>0</v>
      </c>
      <c r="AH22" s="76">
        <f>SUMIFS('январь 2025'!$G$5:$G$2334,'январь 2025'!$D$5:$D$2334,$B22,'январь 2025'!$J$5:$J$2334,AH$1)</f>
        <v>0</v>
      </c>
      <c r="AI22" s="20">
        <f t="shared" si="1"/>
        <v>0</v>
      </c>
    </row>
    <row r="23" spans="2:35" ht="15" customHeight="1" x14ac:dyDescent="0.25">
      <c r="B23" s="80" t="s">
        <v>247</v>
      </c>
      <c r="C23" s="96">
        <v>25</v>
      </c>
      <c r="D23" s="76">
        <f>SUMIFS('январь 2025'!$G$5:$G$2334,'январь 2025'!$D$5:$D$2334,$B23,'январь 2025'!$J$5:$J$2334,D$1)</f>
        <v>0</v>
      </c>
      <c r="E23" s="76">
        <f>SUMIFS('январь 2025'!$G$5:$G$2334,'январь 2025'!$D$5:$D$2334,$B23,'январь 2025'!$J$5:$J$2334,E$1)</f>
        <v>0</v>
      </c>
      <c r="F23" s="76">
        <f>SUMIFS('январь 2025'!$G$5:$G$2334,'январь 2025'!$D$5:$D$2334,$B23,'январь 2025'!$J$5:$J$2334,F$1)</f>
        <v>0</v>
      </c>
      <c r="G23" s="76">
        <f>SUMIFS('январь 2025'!$G$5:$G$2334,'январь 2025'!$D$5:$D$2334,$B23,'январь 2025'!$J$5:$J$2334,G$1)</f>
        <v>0</v>
      </c>
      <c r="H23" s="76">
        <f>SUMIFS('январь 2025'!$G$5:$G$2334,'январь 2025'!$D$5:$D$2334,$B23,'январь 2025'!$J$5:$J$2334,H$1)</f>
        <v>0</v>
      </c>
      <c r="I23" s="76">
        <f>SUMIFS('январь 2025'!$G$5:$G$2334,'январь 2025'!$D$5:$D$2334,$B23,'январь 2025'!$J$5:$J$2334,I$1)</f>
        <v>0</v>
      </c>
      <c r="J23" s="76">
        <f>SUMIFS('январь 2025'!$G$5:$G$2334,'январь 2025'!$D$5:$D$2334,$B23,'январь 2025'!$J$5:$J$2334,J$1)</f>
        <v>0</v>
      </c>
      <c r="K23" s="76">
        <f>SUMIFS('январь 2025'!$G$5:$G$2334,'январь 2025'!$D$5:$D$2334,$B23,'январь 2025'!$J$5:$J$2334,K$1)</f>
        <v>0</v>
      </c>
      <c r="L23" s="76">
        <f>SUMIFS('январь 2025'!$G$5:$G$2334,'январь 2025'!$D$5:$D$2334,$B23,'январь 2025'!$J$5:$J$2334,L$1)</f>
        <v>0</v>
      </c>
      <c r="M23" s="76">
        <f>SUMIFS('январь 2025'!$G$5:$G$2334,'январь 2025'!$D$5:$D$2334,$B23,'январь 2025'!$J$5:$J$2334,M$1)</f>
        <v>0</v>
      </c>
      <c r="N23" s="76">
        <f>SUMIFS('январь 2025'!$G$5:$G$2334,'январь 2025'!$D$5:$D$2334,$B23,'январь 2025'!$J$5:$J$2334,N$1)</f>
        <v>0</v>
      </c>
      <c r="O23" s="76">
        <f>SUMIFS('январь 2025'!$G$5:$G$2334,'январь 2025'!$D$5:$D$2334,$B23,'январь 2025'!$J$5:$J$2334,O$1)</f>
        <v>0</v>
      </c>
      <c r="P23" s="76">
        <f>SUMIFS('январь 2025'!$G$5:$G$2334,'январь 2025'!$D$5:$D$2334,$B23,'январь 2025'!$J$5:$J$2334,P$1)</f>
        <v>0</v>
      </c>
      <c r="Q23" s="76">
        <f>SUMIFS('январь 2025'!$G$5:$G$2334,'январь 2025'!$D$5:$D$2334,$B23,'январь 2025'!$J$5:$J$2334,Q$1)</f>
        <v>0</v>
      </c>
      <c r="R23" s="76">
        <f>SUMIFS('январь 2025'!$G$5:$G$2334,'январь 2025'!$D$5:$D$2334,$B23,'январь 2025'!$J$5:$J$2334,R$1)</f>
        <v>0</v>
      </c>
      <c r="S23" s="76">
        <f>SUMIFS('январь 2025'!$G$5:$G$2334,'январь 2025'!$D$5:$D$2334,$B23,'январь 2025'!$J$5:$J$2334,S$1)</f>
        <v>0</v>
      </c>
      <c r="T23" s="76">
        <f>SUMIFS('январь 2025'!$G$5:$G$2334,'январь 2025'!$D$5:$D$2334,$B23,'январь 2025'!$J$5:$J$2334,T$1)</f>
        <v>0</v>
      </c>
      <c r="U23" s="76">
        <f>SUMIFS('январь 2025'!$G$5:$G$2334,'январь 2025'!$D$5:$D$2334,$B23,'январь 2025'!$J$5:$J$2334,U$1)</f>
        <v>0</v>
      </c>
      <c r="V23" s="76">
        <f>SUMIFS('январь 2025'!$G$5:$G$2334,'январь 2025'!$D$5:$D$2334,$B23,'январь 2025'!$J$5:$J$2334,V$1)</f>
        <v>0</v>
      </c>
      <c r="W23" s="76">
        <f>SUMIFS('январь 2025'!$G$5:$G$2334,'январь 2025'!$D$5:$D$2334,$B23,'январь 2025'!$J$5:$J$2334,W$1)</f>
        <v>0</v>
      </c>
      <c r="X23" s="76">
        <f>SUMIFS('январь 2025'!$G$5:$G$2334,'январь 2025'!$D$5:$D$2334,$B23,'январь 2025'!$J$5:$J$2334,X$1)</f>
        <v>0</v>
      </c>
      <c r="Y23" s="76">
        <f>SUMIFS('январь 2025'!$G$5:$G$2334,'январь 2025'!$D$5:$D$2334,$B23,'январь 2025'!$J$5:$J$2334,Y$1)</f>
        <v>0</v>
      </c>
      <c r="Z23" s="76">
        <f>SUMIFS('январь 2025'!$G$5:$G$2334,'январь 2025'!$D$5:$D$2334,$B23,'январь 2025'!$J$5:$J$2334,Z$1)</f>
        <v>0</v>
      </c>
      <c r="AA23" s="76">
        <f>SUMIFS('январь 2025'!$G$5:$G$2334,'январь 2025'!$D$5:$D$2334,$B23,'январь 2025'!$J$5:$J$2334,AA$1)</f>
        <v>0</v>
      </c>
      <c r="AB23" s="76">
        <f>SUMIFS('январь 2025'!$G$5:$G$2334,'январь 2025'!$D$5:$D$2334,$B23,'январь 2025'!$J$5:$J$2334,AB$1)</f>
        <v>0</v>
      </c>
      <c r="AC23" s="76">
        <f>SUMIFS('январь 2025'!$G$5:$G$2334,'январь 2025'!$D$5:$D$2334,$B23,'январь 2025'!$J$5:$J$2334,AC$1)</f>
        <v>0</v>
      </c>
      <c r="AD23" s="76">
        <f>SUMIFS('январь 2025'!$G$5:$G$2334,'январь 2025'!$D$5:$D$2334,$B23,'январь 2025'!$J$5:$J$2334,AD$1)</f>
        <v>0</v>
      </c>
      <c r="AE23" s="76">
        <f>SUMIFS('январь 2025'!$G$5:$G$2334,'январь 2025'!$D$5:$D$2334,$B23,'январь 2025'!$J$5:$J$2334,AE$1)</f>
        <v>0</v>
      </c>
      <c r="AF23" s="76">
        <f>SUMIFS('январь 2025'!$G$5:$G$2334,'январь 2025'!$D$5:$D$2334,$B23,'январь 2025'!$J$5:$J$2334,AF$1)</f>
        <v>0</v>
      </c>
      <c r="AG23" s="76">
        <f>SUMIFS('январь 2025'!$G$5:$G$2334,'январь 2025'!$D$5:$D$2334,$B23,'январь 2025'!$J$5:$J$2334,AG$1)</f>
        <v>0</v>
      </c>
      <c r="AH23" s="76">
        <f>SUMIFS('январь 2025'!$G$5:$G$2334,'январь 2025'!$D$5:$D$2334,$B23,'январь 2025'!$J$5:$J$2334,AH$1)</f>
        <v>0</v>
      </c>
      <c r="AI23" s="20">
        <f t="shared" si="1"/>
        <v>0</v>
      </c>
    </row>
    <row r="24" spans="2:35" ht="15" customHeight="1" x14ac:dyDescent="0.25">
      <c r="B24" s="80" t="s">
        <v>248</v>
      </c>
      <c r="C24" s="78">
        <v>25</v>
      </c>
      <c r="D24" s="76">
        <f>SUMIFS('январь 2025'!$G$5:$G$2334,'январь 2025'!$D$5:$D$2334,$B24,'январь 2025'!$J$5:$J$2334,D$1)</f>
        <v>0</v>
      </c>
      <c r="E24" s="76">
        <f>SUMIFS('январь 2025'!$G$5:$G$2334,'январь 2025'!$D$5:$D$2334,$B24,'январь 2025'!$J$5:$J$2334,E$1)</f>
        <v>0</v>
      </c>
      <c r="F24" s="76">
        <f>SUMIFS('январь 2025'!$G$5:$G$2334,'январь 2025'!$D$5:$D$2334,$B24,'январь 2025'!$J$5:$J$2334,F$1)</f>
        <v>0</v>
      </c>
      <c r="G24" s="76">
        <f>SUMIFS('январь 2025'!$G$5:$G$2334,'январь 2025'!$D$5:$D$2334,$B24,'январь 2025'!$J$5:$J$2334,G$1)</f>
        <v>0</v>
      </c>
      <c r="H24" s="76">
        <f>SUMIFS('январь 2025'!$G$5:$G$2334,'январь 2025'!$D$5:$D$2334,$B24,'январь 2025'!$J$5:$J$2334,H$1)</f>
        <v>0</v>
      </c>
      <c r="I24" s="76">
        <f>SUMIFS('январь 2025'!$G$5:$G$2334,'январь 2025'!$D$5:$D$2334,$B24,'январь 2025'!$J$5:$J$2334,I$1)</f>
        <v>0</v>
      </c>
      <c r="J24" s="76">
        <f>SUMIFS('январь 2025'!$G$5:$G$2334,'январь 2025'!$D$5:$D$2334,$B24,'январь 2025'!$J$5:$J$2334,J$1)</f>
        <v>0</v>
      </c>
      <c r="K24" s="76">
        <f>SUMIFS('январь 2025'!$G$5:$G$2334,'январь 2025'!$D$5:$D$2334,$B24,'январь 2025'!$J$5:$J$2334,K$1)</f>
        <v>0</v>
      </c>
      <c r="L24" s="76">
        <f>SUMIFS('январь 2025'!$G$5:$G$2334,'январь 2025'!$D$5:$D$2334,$B24,'январь 2025'!$J$5:$J$2334,L$1)</f>
        <v>0</v>
      </c>
      <c r="M24" s="76">
        <f>SUMIFS('январь 2025'!$G$5:$G$2334,'январь 2025'!$D$5:$D$2334,$B24,'январь 2025'!$J$5:$J$2334,M$1)</f>
        <v>0</v>
      </c>
      <c r="N24" s="76">
        <f>SUMIFS('январь 2025'!$G$5:$G$2334,'январь 2025'!$D$5:$D$2334,$B24,'январь 2025'!$J$5:$J$2334,N$1)</f>
        <v>0</v>
      </c>
      <c r="O24" s="76">
        <f>SUMIFS('январь 2025'!$G$5:$G$2334,'январь 2025'!$D$5:$D$2334,$B24,'январь 2025'!$J$5:$J$2334,O$1)</f>
        <v>0</v>
      </c>
      <c r="P24" s="76">
        <f>SUMIFS('январь 2025'!$G$5:$G$2334,'январь 2025'!$D$5:$D$2334,$B24,'январь 2025'!$J$5:$J$2334,P$1)</f>
        <v>0</v>
      </c>
      <c r="Q24" s="76">
        <f>SUMIFS('январь 2025'!$G$5:$G$2334,'январь 2025'!$D$5:$D$2334,$B24,'январь 2025'!$J$5:$J$2334,Q$1)</f>
        <v>0</v>
      </c>
      <c r="R24" s="76">
        <f>SUMIFS('январь 2025'!$G$5:$G$2334,'январь 2025'!$D$5:$D$2334,$B24,'январь 2025'!$J$5:$J$2334,R$1)</f>
        <v>0</v>
      </c>
      <c r="S24" s="76">
        <f>SUMIFS('январь 2025'!$G$5:$G$2334,'январь 2025'!$D$5:$D$2334,$B24,'январь 2025'!$J$5:$J$2334,S$1)</f>
        <v>0</v>
      </c>
      <c r="T24" s="76">
        <f>SUMIFS('январь 2025'!$G$5:$G$2334,'январь 2025'!$D$5:$D$2334,$B24,'январь 2025'!$J$5:$J$2334,T$1)</f>
        <v>0</v>
      </c>
      <c r="U24" s="76">
        <f>SUMIFS('январь 2025'!$G$5:$G$2334,'январь 2025'!$D$5:$D$2334,$B24,'январь 2025'!$J$5:$J$2334,U$1)</f>
        <v>0</v>
      </c>
      <c r="V24" s="76">
        <f>SUMIFS('январь 2025'!$G$5:$G$2334,'январь 2025'!$D$5:$D$2334,$B24,'январь 2025'!$J$5:$J$2334,V$1)</f>
        <v>0</v>
      </c>
      <c r="W24" s="76">
        <f>SUMIFS('январь 2025'!$G$5:$G$2334,'январь 2025'!$D$5:$D$2334,$B24,'январь 2025'!$J$5:$J$2334,W$1)</f>
        <v>0</v>
      </c>
      <c r="X24" s="76">
        <f>SUMIFS('январь 2025'!$G$5:$G$2334,'январь 2025'!$D$5:$D$2334,$B24,'январь 2025'!$J$5:$J$2334,X$1)</f>
        <v>0</v>
      </c>
      <c r="Y24" s="76">
        <f>SUMIFS('январь 2025'!$G$5:$G$2334,'январь 2025'!$D$5:$D$2334,$B24,'январь 2025'!$J$5:$J$2334,Y$1)</f>
        <v>0</v>
      </c>
      <c r="Z24" s="76">
        <f>SUMIFS('январь 2025'!$G$5:$G$2334,'январь 2025'!$D$5:$D$2334,$B24,'январь 2025'!$J$5:$J$2334,Z$1)</f>
        <v>0</v>
      </c>
      <c r="AA24" s="76">
        <f>SUMIFS('январь 2025'!$G$5:$G$2334,'январь 2025'!$D$5:$D$2334,$B24,'январь 2025'!$J$5:$J$2334,AA$1)</f>
        <v>0</v>
      </c>
      <c r="AB24" s="76">
        <f>SUMIFS('январь 2025'!$G$5:$G$2334,'январь 2025'!$D$5:$D$2334,$B24,'январь 2025'!$J$5:$J$2334,AB$1)</f>
        <v>0</v>
      </c>
      <c r="AC24" s="76">
        <f>SUMIFS('январь 2025'!$G$5:$G$2334,'январь 2025'!$D$5:$D$2334,$B24,'январь 2025'!$J$5:$J$2334,AC$1)</f>
        <v>0</v>
      </c>
      <c r="AD24" s="76">
        <f>SUMIFS('январь 2025'!$G$5:$G$2334,'январь 2025'!$D$5:$D$2334,$B24,'январь 2025'!$J$5:$J$2334,AD$1)</f>
        <v>0</v>
      </c>
      <c r="AE24" s="76">
        <f>SUMIFS('январь 2025'!$G$5:$G$2334,'январь 2025'!$D$5:$D$2334,$B24,'январь 2025'!$J$5:$J$2334,AE$1)</f>
        <v>0</v>
      </c>
      <c r="AF24" s="76">
        <f>SUMIFS('январь 2025'!$G$5:$G$2334,'январь 2025'!$D$5:$D$2334,$B24,'январь 2025'!$J$5:$J$2334,AF$1)</f>
        <v>0</v>
      </c>
      <c r="AG24" s="76">
        <f>SUMIFS('январь 2025'!$G$5:$G$2334,'январь 2025'!$D$5:$D$2334,$B24,'январь 2025'!$J$5:$J$2334,AG$1)</f>
        <v>0</v>
      </c>
      <c r="AH24" s="76">
        <f>SUMIFS('январь 2025'!$G$5:$G$2334,'январь 2025'!$D$5:$D$2334,$B24,'январь 2025'!$J$5:$J$2334,AH$1)</f>
        <v>0</v>
      </c>
      <c r="AI24" s="20">
        <f t="shared" si="1"/>
        <v>0</v>
      </c>
    </row>
    <row r="25" spans="2:35" ht="15" customHeight="1" x14ac:dyDescent="0.25">
      <c r="B25" s="80" t="s">
        <v>249</v>
      </c>
      <c r="C25" s="78">
        <v>25</v>
      </c>
      <c r="D25" s="76">
        <f>SUMIFS('январь 2025'!$G$5:$G$2334,'январь 2025'!$D$5:$D$2334,$B25,'январь 2025'!$J$5:$J$2334,D$1)</f>
        <v>0</v>
      </c>
      <c r="E25" s="76">
        <f>SUMIFS('январь 2025'!$G$5:$G$2334,'январь 2025'!$D$5:$D$2334,$B25,'январь 2025'!$J$5:$J$2334,E$1)</f>
        <v>0</v>
      </c>
      <c r="F25" s="76">
        <f>SUMIFS('январь 2025'!$G$5:$G$2334,'январь 2025'!$D$5:$D$2334,$B25,'январь 2025'!$J$5:$J$2334,F$1)</f>
        <v>0</v>
      </c>
      <c r="G25" s="76">
        <f>SUMIFS('январь 2025'!$G$5:$G$2334,'январь 2025'!$D$5:$D$2334,$B25,'январь 2025'!$J$5:$J$2334,G$1)</f>
        <v>0</v>
      </c>
      <c r="H25" s="76">
        <f>SUMIFS('январь 2025'!$G$5:$G$2334,'январь 2025'!$D$5:$D$2334,$B25,'январь 2025'!$J$5:$J$2334,H$1)</f>
        <v>0</v>
      </c>
      <c r="I25" s="76">
        <f>SUMIFS('январь 2025'!$G$5:$G$2334,'январь 2025'!$D$5:$D$2334,$B25,'январь 2025'!$J$5:$J$2334,I$1)</f>
        <v>0</v>
      </c>
      <c r="J25" s="76">
        <f>SUMIFS('январь 2025'!$G$5:$G$2334,'январь 2025'!$D$5:$D$2334,$B25,'январь 2025'!$J$5:$J$2334,J$1)</f>
        <v>0</v>
      </c>
      <c r="K25" s="76">
        <f>SUMIFS('январь 2025'!$G$5:$G$2334,'январь 2025'!$D$5:$D$2334,$B25,'январь 2025'!$J$5:$J$2334,K$1)</f>
        <v>0</v>
      </c>
      <c r="L25" s="76">
        <f>SUMIFS('январь 2025'!$G$5:$G$2334,'январь 2025'!$D$5:$D$2334,$B25,'январь 2025'!$J$5:$J$2334,L$1)</f>
        <v>0</v>
      </c>
      <c r="M25" s="76">
        <f>SUMIFS('январь 2025'!$G$5:$G$2334,'январь 2025'!$D$5:$D$2334,$B25,'январь 2025'!$J$5:$J$2334,M$1)</f>
        <v>0</v>
      </c>
      <c r="N25" s="76">
        <f>SUMIFS('январь 2025'!$G$5:$G$2334,'январь 2025'!$D$5:$D$2334,$B25,'январь 2025'!$J$5:$J$2334,N$1)</f>
        <v>0</v>
      </c>
      <c r="O25" s="76">
        <f>SUMIFS('январь 2025'!$G$5:$G$2334,'январь 2025'!$D$5:$D$2334,$B25,'январь 2025'!$J$5:$J$2334,O$1)</f>
        <v>0</v>
      </c>
      <c r="P25" s="76">
        <f>SUMIFS('январь 2025'!$G$5:$G$2334,'январь 2025'!$D$5:$D$2334,$B25,'январь 2025'!$J$5:$J$2334,P$1)</f>
        <v>0</v>
      </c>
      <c r="Q25" s="76">
        <f>SUMIFS('январь 2025'!$G$5:$G$2334,'январь 2025'!$D$5:$D$2334,$B25,'январь 2025'!$J$5:$J$2334,Q$1)</f>
        <v>0</v>
      </c>
      <c r="R25" s="76">
        <f>SUMIFS('январь 2025'!$G$5:$G$2334,'январь 2025'!$D$5:$D$2334,$B25,'январь 2025'!$J$5:$J$2334,R$1)</f>
        <v>0</v>
      </c>
      <c r="S25" s="76">
        <f>SUMIFS('январь 2025'!$G$5:$G$2334,'январь 2025'!$D$5:$D$2334,$B25,'январь 2025'!$J$5:$J$2334,S$1)</f>
        <v>0</v>
      </c>
      <c r="T25" s="76">
        <f>SUMIFS('январь 2025'!$G$5:$G$2334,'январь 2025'!$D$5:$D$2334,$B25,'январь 2025'!$J$5:$J$2334,T$1)</f>
        <v>0</v>
      </c>
      <c r="U25" s="76">
        <f>SUMIFS('январь 2025'!$G$5:$G$2334,'январь 2025'!$D$5:$D$2334,$B25,'январь 2025'!$J$5:$J$2334,U$1)</f>
        <v>0</v>
      </c>
      <c r="V25" s="76">
        <f>SUMIFS('январь 2025'!$G$5:$G$2334,'январь 2025'!$D$5:$D$2334,$B25,'январь 2025'!$J$5:$J$2334,V$1)</f>
        <v>0</v>
      </c>
      <c r="W25" s="76">
        <f>SUMIFS('январь 2025'!$G$5:$G$2334,'январь 2025'!$D$5:$D$2334,$B25,'январь 2025'!$J$5:$J$2334,W$1)</f>
        <v>0</v>
      </c>
      <c r="X25" s="76">
        <f>SUMIFS('январь 2025'!$G$5:$G$2334,'январь 2025'!$D$5:$D$2334,$B25,'январь 2025'!$J$5:$J$2334,X$1)</f>
        <v>0</v>
      </c>
      <c r="Y25" s="76">
        <f>SUMIFS('январь 2025'!$G$5:$G$2334,'январь 2025'!$D$5:$D$2334,$B25,'январь 2025'!$J$5:$J$2334,Y$1)</f>
        <v>0</v>
      </c>
      <c r="Z25" s="76">
        <f>SUMIFS('январь 2025'!$G$5:$G$2334,'январь 2025'!$D$5:$D$2334,$B25,'январь 2025'!$J$5:$J$2334,Z$1)</f>
        <v>0</v>
      </c>
      <c r="AA25" s="76">
        <f>SUMIFS('январь 2025'!$G$5:$G$2334,'январь 2025'!$D$5:$D$2334,$B25,'январь 2025'!$J$5:$J$2334,AA$1)</f>
        <v>0</v>
      </c>
      <c r="AB25" s="76">
        <f>SUMIFS('январь 2025'!$G$5:$G$2334,'январь 2025'!$D$5:$D$2334,$B25,'январь 2025'!$J$5:$J$2334,AB$1)</f>
        <v>0</v>
      </c>
      <c r="AC25" s="76">
        <f>SUMIFS('январь 2025'!$G$5:$G$2334,'январь 2025'!$D$5:$D$2334,$B25,'январь 2025'!$J$5:$J$2334,AC$1)</f>
        <v>0</v>
      </c>
      <c r="AD25" s="76">
        <f>SUMIFS('январь 2025'!$G$5:$G$2334,'январь 2025'!$D$5:$D$2334,$B25,'январь 2025'!$J$5:$J$2334,AD$1)</f>
        <v>0</v>
      </c>
      <c r="AE25" s="76">
        <f>SUMIFS('январь 2025'!$G$5:$G$2334,'январь 2025'!$D$5:$D$2334,$B25,'январь 2025'!$J$5:$J$2334,AE$1)</f>
        <v>0</v>
      </c>
      <c r="AF25" s="76">
        <f>SUMIFS('январь 2025'!$G$5:$G$2334,'январь 2025'!$D$5:$D$2334,$B25,'январь 2025'!$J$5:$J$2334,AF$1)</f>
        <v>0</v>
      </c>
      <c r="AG25" s="76">
        <f>SUMIFS('январь 2025'!$G$5:$G$2334,'январь 2025'!$D$5:$D$2334,$B25,'январь 2025'!$J$5:$J$2334,AG$1)</f>
        <v>0</v>
      </c>
      <c r="AH25" s="76">
        <f>SUMIFS('январь 2025'!$G$5:$G$2334,'январь 2025'!$D$5:$D$2334,$B25,'январь 2025'!$J$5:$J$2334,AH$1)</f>
        <v>0</v>
      </c>
      <c r="AI25" s="20">
        <f t="shared" si="1"/>
        <v>0</v>
      </c>
    </row>
    <row r="26" spans="2:35" ht="15" customHeight="1" x14ac:dyDescent="0.25">
      <c r="B26" s="80" t="s">
        <v>250</v>
      </c>
      <c r="C26" s="78">
        <v>25</v>
      </c>
      <c r="D26" s="76">
        <f>SUMIFS('январь 2025'!$G$5:$G$2334,'январь 2025'!$D$5:$D$2334,$B26,'январь 2025'!$J$5:$J$2334,D$1)</f>
        <v>0</v>
      </c>
      <c r="E26" s="76">
        <f>SUMIFS('январь 2025'!$G$5:$G$2334,'январь 2025'!$D$5:$D$2334,$B26,'январь 2025'!$J$5:$J$2334,E$1)</f>
        <v>0</v>
      </c>
      <c r="F26" s="76">
        <f>SUMIFS('январь 2025'!$G$5:$G$2334,'январь 2025'!$D$5:$D$2334,$B26,'январь 2025'!$J$5:$J$2334,F$1)</f>
        <v>0</v>
      </c>
      <c r="G26" s="76">
        <f>SUMIFS('январь 2025'!$G$5:$G$2334,'январь 2025'!$D$5:$D$2334,$B26,'январь 2025'!$J$5:$J$2334,G$1)</f>
        <v>0</v>
      </c>
      <c r="H26" s="76">
        <f>SUMIFS('январь 2025'!$G$5:$G$2334,'январь 2025'!$D$5:$D$2334,$B26,'январь 2025'!$J$5:$J$2334,H$1)</f>
        <v>0</v>
      </c>
      <c r="I26" s="76">
        <f>SUMIFS('январь 2025'!$G$5:$G$2334,'январь 2025'!$D$5:$D$2334,$B26,'январь 2025'!$J$5:$J$2334,I$1)</f>
        <v>0</v>
      </c>
      <c r="J26" s="76">
        <f>SUMIFS('январь 2025'!$G$5:$G$2334,'январь 2025'!$D$5:$D$2334,$B26,'январь 2025'!$J$5:$J$2334,J$1)</f>
        <v>0</v>
      </c>
      <c r="K26" s="76">
        <f>SUMIFS('январь 2025'!$G$5:$G$2334,'январь 2025'!$D$5:$D$2334,$B26,'январь 2025'!$J$5:$J$2334,K$1)</f>
        <v>0</v>
      </c>
      <c r="L26" s="76">
        <f>SUMIFS('январь 2025'!$G$5:$G$2334,'январь 2025'!$D$5:$D$2334,$B26,'январь 2025'!$J$5:$J$2334,L$1)</f>
        <v>0</v>
      </c>
      <c r="M26" s="76">
        <f>SUMIFS('январь 2025'!$G$5:$G$2334,'январь 2025'!$D$5:$D$2334,$B26,'январь 2025'!$J$5:$J$2334,M$1)</f>
        <v>0</v>
      </c>
      <c r="N26" s="76">
        <f>SUMIFS('январь 2025'!$G$5:$G$2334,'январь 2025'!$D$5:$D$2334,$B26,'январь 2025'!$J$5:$J$2334,N$1)</f>
        <v>0</v>
      </c>
      <c r="O26" s="76">
        <f>SUMIFS('январь 2025'!$G$5:$G$2334,'январь 2025'!$D$5:$D$2334,$B26,'январь 2025'!$J$5:$J$2334,O$1)</f>
        <v>0</v>
      </c>
      <c r="P26" s="76">
        <f>SUMIFS('январь 2025'!$G$5:$G$2334,'январь 2025'!$D$5:$D$2334,$B26,'январь 2025'!$J$5:$J$2334,P$1)</f>
        <v>0</v>
      </c>
      <c r="Q26" s="76">
        <f>SUMIFS('январь 2025'!$G$5:$G$2334,'январь 2025'!$D$5:$D$2334,$B26,'январь 2025'!$J$5:$J$2334,Q$1)</f>
        <v>0</v>
      </c>
      <c r="R26" s="76">
        <f>SUMIFS('январь 2025'!$G$5:$G$2334,'январь 2025'!$D$5:$D$2334,$B26,'январь 2025'!$J$5:$J$2334,R$1)</f>
        <v>0</v>
      </c>
      <c r="S26" s="76">
        <f>SUMIFS('январь 2025'!$G$5:$G$2334,'январь 2025'!$D$5:$D$2334,$B26,'январь 2025'!$J$5:$J$2334,S$1)</f>
        <v>0</v>
      </c>
      <c r="T26" s="76">
        <f>SUMIFS('январь 2025'!$G$5:$G$2334,'январь 2025'!$D$5:$D$2334,$B26,'январь 2025'!$J$5:$J$2334,T$1)</f>
        <v>0</v>
      </c>
      <c r="U26" s="76">
        <f>SUMIFS('январь 2025'!$G$5:$G$2334,'январь 2025'!$D$5:$D$2334,$B26,'январь 2025'!$J$5:$J$2334,U$1)</f>
        <v>0</v>
      </c>
      <c r="V26" s="76">
        <f>SUMIFS('январь 2025'!$G$5:$G$2334,'январь 2025'!$D$5:$D$2334,$B26,'январь 2025'!$J$5:$J$2334,V$1)</f>
        <v>0</v>
      </c>
      <c r="W26" s="76">
        <f>SUMIFS('январь 2025'!$G$5:$G$2334,'январь 2025'!$D$5:$D$2334,$B26,'январь 2025'!$J$5:$J$2334,W$1)</f>
        <v>0</v>
      </c>
      <c r="X26" s="76">
        <f>SUMIFS('январь 2025'!$G$5:$G$2334,'январь 2025'!$D$5:$D$2334,$B26,'январь 2025'!$J$5:$J$2334,X$1)</f>
        <v>0</v>
      </c>
      <c r="Y26" s="76">
        <f>SUMIFS('январь 2025'!$G$5:$G$2334,'январь 2025'!$D$5:$D$2334,$B26,'январь 2025'!$J$5:$J$2334,Y$1)</f>
        <v>0</v>
      </c>
      <c r="Z26" s="76">
        <f>SUMIFS('январь 2025'!$G$5:$G$2334,'январь 2025'!$D$5:$D$2334,$B26,'январь 2025'!$J$5:$J$2334,Z$1)</f>
        <v>0</v>
      </c>
      <c r="AA26" s="76">
        <f>SUMIFS('январь 2025'!$G$5:$G$2334,'январь 2025'!$D$5:$D$2334,$B26,'январь 2025'!$J$5:$J$2334,AA$1)</f>
        <v>0</v>
      </c>
      <c r="AB26" s="76">
        <f>SUMIFS('январь 2025'!$G$5:$G$2334,'январь 2025'!$D$5:$D$2334,$B26,'январь 2025'!$J$5:$J$2334,AB$1)</f>
        <v>0</v>
      </c>
      <c r="AC26" s="76">
        <f>SUMIFS('январь 2025'!$G$5:$G$2334,'январь 2025'!$D$5:$D$2334,$B26,'январь 2025'!$J$5:$J$2334,AC$1)</f>
        <v>0</v>
      </c>
      <c r="AD26" s="76">
        <f>SUMIFS('январь 2025'!$G$5:$G$2334,'январь 2025'!$D$5:$D$2334,$B26,'январь 2025'!$J$5:$J$2334,AD$1)</f>
        <v>0</v>
      </c>
      <c r="AE26" s="76">
        <f>SUMIFS('январь 2025'!$G$5:$G$2334,'январь 2025'!$D$5:$D$2334,$B26,'январь 2025'!$J$5:$J$2334,AE$1)</f>
        <v>0</v>
      </c>
      <c r="AF26" s="76">
        <f>SUMIFS('январь 2025'!$G$5:$G$2334,'январь 2025'!$D$5:$D$2334,$B26,'январь 2025'!$J$5:$J$2334,AF$1)</f>
        <v>0</v>
      </c>
      <c r="AG26" s="76">
        <f>SUMIFS('январь 2025'!$G$5:$G$2334,'январь 2025'!$D$5:$D$2334,$B26,'январь 2025'!$J$5:$J$2334,AG$1)</f>
        <v>0</v>
      </c>
      <c r="AH26" s="76">
        <f>SUMIFS('январь 2025'!$G$5:$G$2334,'январь 2025'!$D$5:$D$2334,$B26,'январь 2025'!$J$5:$J$2334,AH$1)</f>
        <v>0</v>
      </c>
      <c r="AI26" s="20">
        <f t="shared" si="1"/>
        <v>0</v>
      </c>
    </row>
    <row r="27" spans="2:35" ht="15" customHeight="1" x14ac:dyDescent="0.25">
      <c r="B27" s="80" t="s">
        <v>251</v>
      </c>
      <c r="C27" s="78">
        <v>25</v>
      </c>
      <c r="D27" s="76">
        <f>SUMIFS('январь 2025'!$G$5:$G$2334,'январь 2025'!$D$5:$D$2334,$B27,'январь 2025'!$J$5:$J$2334,D$1)</f>
        <v>0</v>
      </c>
      <c r="E27" s="76">
        <f>SUMIFS('январь 2025'!$G$5:$G$2334,'январь 2025'!$D$5:$D$2334,$B27,'январь 2025'!$J$5:$J$2334,E$1)</f>
        <v>0</v>
      </c>
      <c r="F27" s="76">
        <f>SUMIFS('январь 2025'!$G$5:$G$2334,'январь 2025'!$D$5:$D$2334,$B27,'январь 2025'!$J$5:$J$2334,F$1)</f>
        <v>0</v>
      </c>
      <c r="G27" s="76">
        <f>SUMIFS('январь 2025'!$G$5:$G$2334,'январь 2025'!$D$5:$D$2334,$B27,'январь 2025'!$J$5:$J$2334,G$1)</f>
        <v>0</v>
      </c>
      <c r="H27" s="76">
        <f>SUMIFS('январь 2025'!$G$5:$G$2334,'январь 2025'!$D$5:$D$2334,$B27,'январь 2025'!$J$5:$J$2334,H$1)</f>
        <v>0</v>
      </c>
      <c r="I27" s="76">
        <f>SUMIFS('январь 2025'!$G$5:$G$2334,'январь 2025'!$D$5:$D$2334,$B27,'январь 2025'!$J$5:$J$2334,I$1)</f>
        <v>0</v>
      </c>
      <c r="J27" s="76">
        <f>SUMIFS('январь 2025'!$G$5:$G$2334,'январь 2025'!$D$5:$D$2334,$B27,'январь 2025'!$J$5:$J$2334,J$1)</f>
        <v>0</v>
      </c>
      <c r="K27" s="76">
        <f>SUMIFS('январь 2025'!$G$5:$G$2334,'январь 2025'!$D$5:$D$2334,$B27,'январь 2025'!$J$5:$J$2334,K$1)</f>
        <v>0</v>
      </c>
      <c r="L27" s="76">
        <f>SUMIFS('январь 2025'!$G$5:$G$2334,'январь 2025'!$D$5:$D$2334,$B27,'январь 2025'!$J$5:$J$2334,L$1)</f>
        <v>0</v>
      </c>
      <c r="M27" s="76">
        <f>SUMIFS('январь 2025'!$G$5:$G$2334,'январь 2025'!$D$5:$D$2334,$B27,'январь 2025'!$J$5:$J$2334,M$1)</f>
        <v>0</v>
      </c>
      <c r="N27" s="76">
        <f>SUMIFS('январь 2025'!$G$5:$G$2334,'январь 2025'!$D$5:$D$2334,$B27,'январь 2025'!$J$5:$J$2334,N$1)</f>
        <v>0</v>
      </c>
      <c r="O27" s="76">
        <f>SUMIFS('январь 2025'!$G$5:$G$2334,'январь 2025'!$D$5:$D$2334,$B27,'январь 2025'!$J$5:$J$2334,O$1)</f>
        <v>0</v>
      </c>
      <c r="P27" s="76">
        <f>SUMIFS('январь 2025'!$G$5:$G$2334,'январь 2025'!$D$5:$D$2334,$B27,'январь 2025'!$J$5:$J$2334,P$1)</f>
        <v>0</v>
      </c>
      <c r="Q27" s="76">
        <f>SUMIFS('январь 2025'!$G$5:$G$2334,'январь 2025'!$D$5:$D$2334,$B27,'январь 2025'!$J$5:$J$2334,Q$1)</f>
        <v>0</v>
      </c>
      <c r="R27" s="76">
        <f>SUMIFS('январь 2025'!$G$5:$G$2334,'январь 2025'!$D$5:$D$2334,$B27,'январь 2025'!$J$5:$J$2334,R$1)</f>
        <v>0</v>
      </c>
      <c r="S27" s="76">
        <f>SUMIFS('январь 2025'!$G$5:$G$2334,'январь 2025'!$D$5:$D$2334,$B27,'январь 2025'!$J$5:$J$2334,S$1)</f>
        <v>0</v>
      </c>
      <c r="T27" s="76">
        <f>SUMIFS('январь 2025'!$G$5:$G$2334,'январь 2025'!$D$5:$D$2334,$B27,'январь 2025'!$J$5:$J$2334,T$1)</f>
        <v>0</v>
      </c>
      <c r="U27" s="76">
        <f>SUMIFS('январь 2025'!$G$5:$G$2334,'январь 2025'!$D$5:$D$2334,$B27,'январь 2025'!$J$5:$J$2334,U$1)</f>
        <v>0</v>
      </c>
      <c r="V27" s="76">
        <f>SUMIFS('январь 2025'!$G$5:$G$2334,'январь 2025'!$D$5:$D$2334,$B27,'январь 2025'!$J$5:$J$2334,V$1)</f>
        <v>0</v>
      </c>
      <c r="W27" s="76">
        <f>SUMIFS('январь 2025'!$G$5:$G$2334,'январь 2025'!$D$5:$D$2334,$B27,'январь 2025'!$J$5:$J$2334,W$1)</f>
        <v>0</v>
      </c>
      <c r="X27" s="76">
        <f>SUMIFS('январь 2025'!$G$5:$G$2334,'январь 2025'!$D$5:$D$2334,$B27,'январь 2025'!$J$5:$J$2334,X$1)</f>
        <v>0</v>
      </c>
      <c r="Y27" s="76">
        <f>SUMIFS('январь 2025'!$G$5:$G$2334,'январь 2025'!$D$5:$D$2334,$B27,'январь 2025'!$J$5:$J$2334,Y$1)</f>
        <v>0</v>
      </c>
      <c r="Z27" s="76">
        <f>SUMIFS('январь 2025'!$G$5:$G$2334,'январь 2025'!$D$5:$D$2334,$B27,'январь 2025'!$J$5:$J$2334,Z$1)</f>
        <v>0</v>
      </c>
      <c r="AA27" s="76">
        <f>SUMIFS('январь 2025'!$G$5:$G$2334,'январь 2025'!$D$5:$D$2334,$B27,'январь 2025'!$J$5:$J$2334,AA$1)</f>
        <v>0</v>
      </c>
      <c r="AB27" s="76">
        <f>SUMIFS('январь 2025'!$G$5:$G$2334,'январь 2025'!$D$5:$D$2334,$B27,'январь 2025'!$J$5:$J$2334,AB$1)</f>
        <v>0</v>
      </c>
      <c r="AC27" s="76">
        <f>SUMIFS('январь 2025'!$G$5:$G$2334,'январь 2025'!$D$5:$D$2334,$B27,'январь 2025'!$J$5:$J$2334,AC$1)</f>
        <v>0</v>
      </c>
      <c r="AD27" s="76">
        <f>SUMIFS('январь 2025'!$G$5:$G$2334,'январь 2025'!$D$5:$D$2334,$B27,'январь 2025'!$J$5:$J$2334,AD$1)</f>
        <v>0</v>
      </c>
      <c r="AE27" s="76">
        <f>SUMIFS('январь 2025'!$G$5:$G$2334,'январь 2025'!$D$5:$D$2334,$B27,'январь 2025'!$J$5:$J$2334,AE$1)</f>
        <v>0</v>
      </c>
      <c r="AF27" s="76">
        <f>SUMIFS('январь 2025'!$G$5:$G$2334,'январь 2025'!$D$5:$D$2334,$B27,'январь 2025'!$J$5:$J$2334,AF$1)</f>
        <v>0</v>
      </c>
      <c r="AG27" s="76">
        <f>SUMIFS('январь 2025'!$G$5:$G$2334,'январь 2025'!$D$5:$D$2334,$B27,'январь 2025'!$J$5:$J$2334,AG$1)</f>
        <v>0</v>
      </c>
      <c r="AH27" s="76">
        <f>SUMIFS('январь 2025'!$G$5:$G$2334,'январь 2025'!$D$5:$D$2334,$B27,'январь 2025'!$J$5:$J$2334,AH$1)</f>
        <v>0</v>
      </c>
      <c r="AI27" s="20">
        <f t="shared" si="1"/>
        <v>0</v>
      </c>
    </row>
    <row r="28" spans="2:35" ht="15" customHeight="1" x14ac:dyDescent="0.25">
      <c r="B28" s="80" t="s">
        <v>383</v>
      </c>
      <c r="C28" s="78">
        <v>25</v>
      </c>
      <c r="D28" s="76">
        <f>SUMIFS('январь 2025'!$G$5:$G$2334,'январь 2025'!$D$5:$D$2334,$B28,'январь 2025'!$J$5:$J$2334,D$1)</f>
        <v>0</v>
      </c>
      <c r="E28" s="76">
        <f>SUMIFS('январь 2025'!$G$5:$G$2334,'январь 2025'!$D$5:$D$2334,$B28,'январь 2025'!$J$5:$J$2334,E$1)</f>
        <v>0</v>
      </c>
      <c r="F28" s="76">
        <f>SUMIFS('январь 2025'!$G$5:$G$2334,'январь 2025'!$D$5:$D$2334,$B28,'январь 2025'!$J$5:$J$2334,F$1)</f>
        <v>0</v>
      </c>
      <c r="G28" s="76">
        <f>SUMIFS('январь 2025'!$G$5:$G$2334,'январь 2025'!$D$5:$D$2334,$B28,'январь 2025'!$J$5:$J$2334,G$1)</f>
        <v>0</v>
      </c>
      <c r="H28" s="76">
        <f>SUMIFS('январь 2025'!$G$5:$G$2334,'январь 2025'!$D$5:$D$2334,$B28,'январь 2025'!$J$5:$J$2334,H$1)</f>
        <v>0</v>
      </c>
      <c r="I28" s="76">
        <f>SUMIFS('январь 2025'!$G$5:$G$2334,'январь 2025'!$D$5:$D$2334,$B28,'январь 2025'!$J$5:$J$2334,I$1)</f>
        <v>840</v>
      </c>
      <c r="J28" s="76">
        <f>SUMIFS('январь 2025'!$G$5:$G$2334,'январь 2025'!$D$5:$D$2334,$B28,'январь 2025'!$J$5:$J$2334,J$1)</f>
        <v>0</v>
      </c>
      <c r="K28" s="76">
        <f>SUMIFS('январь 2025'!$G$5:$G$2334,'январь 2025'!$D$5:$D$2334,$B28,'январь 2025'!$J$5:$J$2334,K$1)</f>
        <v>0</v>
      </c>
      <c r="L28" s="76">
        <f>SUMIFS('январь 2025'!$G$5:$G$2334,'январь 2025'!$D$5:$D$2334,$B28,'январь 2025'!$J$5:$J$2334,L$1)</f>
        <v>840</v>
      </c>
      <c r="M28" s="76">
        <f>SUMIFS('январь 2025'!$G$5:$G$2334,'январь 2025'!$D$5:$D$2334,$B28,'январь 2025'!$J$5:$J$2334,M$1)</f>
        <v>840</v>
      </c>
      <c r="N28" s="76">
        <f>SUMIFS('январь 2025'!$G$5:$G$2334,'январь 2025'!$D$5:$D$2334,$B28,'январь 2025'!$J$5:$J$2334,N$1)</f>
        <v>0</v>
      </c>
      <c r="O28" s="76">
        <f>SUMIFS('январь 2025'!$G$5:$G$2334,'январь 2025'!$D$5:$D$2334,$B28,'январь 2025'!$J$5:$J$2334,O$1)</f>
        <v>0</v>
      </c>
      <c r="P28" s="76">
        <f>SUMIFS('январь 2025'!$G$5:$G$2334,'январь 2025'!$D$5:$D$2334,$B28,'январь 2025'!$J$5:$J$2334,P$1)</f>
        <v>840</v>
      </c>
      <c r="Q28" s="76">
        <f>SUMIFS('январь 2025'!$G$5:$G$2334,'январь 2025'!$D$5:$D$2334,$B28,'январь 2025'!$J$5:$J$2334,Q$1)</f>
        <v>840</v>
      </c>
      <c r="R28" s="76">
        <f>SUMIFS('январь 2025'!$G$5:$G$2334,'январь 2025'!$D$5:$D$2334,$B28,'январь 2025'!$J$5:$J$2334,R$1)</f>
        <v>0</v>
      </c>
      <c r="S28" s="76">
        <f>SUMIFS('январь 2025'!$G$5:$G$2334,'январь 2025'!$D$5:$D$2334,$B28,'январь 2025'!$J$5:$J$2334,S$1)</f>
        <v>0</v>
      </c>
      <c r="T28" s="76">
        <f>SUMIFS('январь 2025'!$G$5:$G$2334,'январь 2025'!$D$5:$D$2334,$B28,'январь 2025'!$J$5:$J$2334,T$1)</f>
        <v>0</v>
      </c>
      <c r="U28" s="76">
        <f>SUMIFS('январь 2025'!$G$5:$G$2334,'январь 2025'!$D$5:$D$2334,$B28,'январь 2025'!$J$5:$J$2334,U$1)</f>
        <v>0</v>
      </c>
      <c r="V28" s="76">
        <f>SUMIFS('январь 2025'!$G$5:$G$2334,'январь 2025'!$D$5:$D$2334,$B28,'январь 2025'!$J$5:$J$2334,V$1)</f>
        <v>0</v>
      </c>
      <c r="W28" s="76">
        <f>SUMIFS('январь 2025'!$G$5:$G$2334,'январь 2025'!$D$5:$D$2334,$B28,'январь 2025'!$J$5:$J$2334,W$1)</f>
        <v>0</v>
      </c>
      <c r="X28" s="76">
        <f>SUMIFS('январь 2025'!$G$5:$G$2334,'январь 2025'!$D$5:$D$2334,$B28,'январь 2025'!$J$5:$J$2334,X$1)</f>
        <v>0</v>
      </c>
      <c r="Y28" s="76">
        <f>SUMIFS('январь 2025'!$G$5:$G$2334,'январь 2025'!$D$5:$D$2334,$B28,'январь 2025'!$J$5:$J$2334,Y$1)</f>
        <v>0</v>
      </c>
      <c r="Z28" s="76">
        <f>SUMIFS('январь 2025'!$G$5:$G$2334,'январь 2025'!$D$5:$D$2334,$B28,'январь 2025'!$J$5:$J$2334,Z$1)</f>
        <v>840</v>
      </c>
      <c r="AA28" s="76">
        <f>SUMIFS('январь 2025'!$G$5:$G$2334,'январь 2025'!$D$5:$D$2334,$B28,'январь 2025'!$J$5:$J$2334,AA$1)</f>
        <v>0</v>
      </c>
      <c r="AB28" s="76">
        <f>SUMIFS('январь 2025'!$G$5:$G$2334,'январь 2025'!$D$5:$D$2334,$B28,'январь 2025'!$J$5:$J$2334,AB$1)</f>
        <v>0</v>
      </c>
      <c r="AC28" s="76">
        <f>SUMIFS('январь 2025'!$G$5:$G$2334,'январь 2025'!$D$5:$D$2334,$B28,'январь 2025'!$J$5:$J$2334,AC$1)</f>
        <v>0</v>
      </c>
      <c r="AD28" s="76">
        <f>SUMIFS('январь 2025'!$G$5:$G$2334,'январь 2025'!$D$5:$D$2334,$B28,'январь 2025'!$J$5:$J$2334,AD$1)</f>
        <v>0</v>
      </c>
      <c r="AE28" s="76">
        <f>SUMIFS('январь 2025'!$G$5:$G$2334,'январь 2025'!$D$5:$D$2334,$B28,'январь 2025'!$J$5:$J$2334,AE$1)</f>
        <v>0</v>
      </c>
      <c r="AF28" s="76">
        <f>SUMIFS('январь 2025'!$G$5:$G$2334,'январь 2025'!$D$5:$D$2334,$B28,'январь 2025'!$J$5:$J$2334,AF$1)</f>
        <v>0</v>
      </c>
      <c r="AG28" s="76">
        <f>SUMIFS('январь 2025'!$G$5:$G$2334,'январь 2025'!$D$5:$D$2334,$B28,'январь 2025'!$J$5:$J$2334,AG$1)</f>
        <v>0</v>
      </c>
      <c r="AH28" s="76">
        <f>SUMIFS('январь 2025'!$G$5:$G$2334,'январь 2025'!$D$5:$D$2334,$B28,'январь 2025'!$J$5:$J$2334,AH$1)</f>
        <v>0</v>
      </c>
      <c r="AI28" s="20">
        <f t="shared" ref="AI28" si="2">SUM(D28:AH28)</f>
        <v>5040</v>
      </c>
    </row>
    <row r="29" spans="2:35" ht="15" customHeight="1" x14ac:dyDescent="0.25">
      <c r="B29" s="80"/>
      <c r="C29" s="78"/>
      <c r="D29" s="76">
        <f>SUMIFS('январь 2025'!$G$5:$G$2334,'январь 2025'!$D$5:$D$2334,$B29,'январь 2025'!$J$5:$J$2334,D$1)</f>
        <v>0</v>
      </c>
      <c r="E29" s="76">
        <f>SUMIFS('январь 2025'!$G$5:$G$2334,'январь 2025'!$D$5:$D$2334,$B29,'январь 2025'!$J$5:$J$2334,E$1)</f>
        <v>0</v>
      </c>
      <c r="F29" s="76">
        <f>SUMIFS('январь 2025'!$G$5:$G$2334,'январь 2025'!$D$5:$D$2334,$B29,'январь 2025'!$J$5:$J$2334,F$1)</f>
        <v>0</v>
      </c>
      <c r="G29" s="76">
        <f>SUMIFS('январь 2025'!$G$5:$G$2334,'январь 2025'!$D$5:$D$2334,$B29,'январь 2025'!$J$5:$J$2334,G$1)</f>
        <v>0</v>
      </c>
      <c r="H29" s="76">
        <f>SUMIFS('январь 2025'!$G$5:$G$2334,'январь 2025'!$D$5:$D$2334,$B29,'январь 2025'!$J$5:$J$2334,H$1)</f>
        <v>0</v>
      </c>
      <c r="I29" s="76">
        <f>SUMIFS('январь 2025'!$G$5:$G$2334,'январь 2025'!$D$5:$D$2334,$B29,'январь 2025'!$J$5:$J$2334,I$1)</f>
        <v>0</v>
      </c>
      <c r="J29" s="76">
        <f>SUMIFS('январь 2025'!$G$5:$G$2334,'январь 2025'!$D$5:$D$2334,$B29,'январь 2025'!$J$5:$J$2334,J$1)</f>
        <v>0</v>
      </c>
      <c r="K29" s="76">
        <f>SUMIFS('январь 2025'!$G$5:$G$2334,'январь 2025'!$D$5:$D$2334,$B29,'январь 2025'!$J$5:$J$2334,K$1)</f>
        <v>0</v>
      </c>
      <c r="L29" s="76">
        <f>SUMIFS('январь 2025'!$G$5:$G$2334,'январь 2025'!$D$5:$D$2334,$B29,'январь 2025'!$J$5:$J$2334,L$1)</f>
        <v>0</v>
      </c>
      <c r="M29" s="76">
        <f>SUMIFS('январь 2025'!$G$5:$G$2334,'январь 2025'!$D$5:$D$2334,$B29,'январь 2025'!$J$5:$J$2334,M$1)</f>
        <v>0</v>
      </c>
      <c r="N29" s="76">
        <f>SUMIFS('январь 2025'!$G$5:$G$2334,'январь 2025'!$D$5:$D$2334,$B29,'январь 2025'!$J$5:$J$2334,N$1)</f>
        <v>0</v>
      </c>
      <c r="O29" s="76">
        <f>SUMIFS('январь 2025'!$G$5:$G$2334,'январь 2025'!$D$5:$D$2334,$B29,'январь 2025'!$J$5:$J$2334,O$1)</f>
        <v>0</v>
      </c>
      <c r="P29" s="76">
        <f>SUMIFS('январь 2025'!$G$5:$G$2334,'январь 2025'!$D$5:$D$2334,$B29,'январь 2025'!$J$5:$J$2334,P$1)</f>
        <v>0</v>
      </c>
      <c r="Q29" s="76">
        <f>SUMIFS('январь 2025'!$G$5:$G$2334,'январь 2025'!$D$5:$D$2334,$B29,'январь 2025'!$J$5:$J$2334,Q$1)</f>
        <v>0</v>
      </c>
      <c r="R29" s="76">
        <f>SUMIFS('январь 2025'!$G$5:$G$2334,'январь 2025'!$D$5:$D$2334,$B29,'январь 2025'!$J$5:$J$2334,R$1)</f>
        <v>0</v>
      </c>
      <c r="S29" s="76">
        <f>SUMIFS('январь 2025'!$G$5:$G$2334,'январь 2025'!$D$5:$D$2334,$B29,'январь 2025'!$J$5:$J$2334,S$1)</f>
        <v>0</v>
      </c>
      <c r="T29" s="76">
        <f>SUMIFS('январь 2025'!$G$5:$G$2334,'январь 2025'!$D$5:$D$2334,$B29,'январь 2025'!$J$5:$J$2334,T$1)</f>
        <v>0</v>
      </c>
      <c r="U29" s="76">
        <f>SUMIFS('январь 2025'!$G$5:$G$2334,'январь 2025'!$D$5:$D$2334,$B29,'январь 2025'!$J$5:$J$2334,U$1)</f>
        <v>0</v>
      </c>
      <c r="V29" s="76">
        <f>SUMIFS('январь 2025'!$G$5:$G$2334,'январь 2025'!$D$5:$D$2334,$B29,'январь 2025'!$J$5:$J$2334,V$1)</f>
        <v>0</v>
      </c>
      <c r="W29" s="76">
        <f>SUMIFS('январь 2025'!$G$5:$G$2334,'январь 2025'!$D$5:$D$2334,$B29,'январь 2025'!$J$5:$J$2334,W$1)</f>
        <v>0</v>
      </c>
      <c r="X29" s="76">
        <f>SUMIFS('январь 2025'!$G$5:$G$2334,'январь 2025'!$D$5:$D$2334,$B29,'январь 2025'!$J$5:$J$2334,X$1)</f>
        <v>0</v>
      </c>
      <c r="Y29" s="76">
        <f>SUMIFS('январь 2025'!$G$5:$G$2334,'январь 2025'!$D$5:$D$2334,$B29,'январь 2025'!$J$5:$J$2334,Y$1)</f>
        <v>0</v>
      </c>
      <c r="Z29" s="76">
        <f>SUMIFS('январь 2025'!$G$5:$G$2334,'январь 2025'!$D$5:$D$2334,$B29,'январь 2025'!$J$5:$J$2334,Z$1)</f>
        <v>0</v>
      </c>
      <c r="AA29" s="76">
        <f>SUMIFS('январь 2025'!$G$5:$G$2334,'январь 2025'!$D$5:$D$2334,$B29,'январь 2025'!$J$5:$J$2334,AA$1)</f>
        <v>0</v>
      </c>
      <c r="AB29" s="76">
        <f>SUMIFS('январь 2025'!$G$5:$G$2334,'январь 2025'!$D$5:$D$2334,$B29,'январь 2025'!$J$5:$J$2334,AB$1)</f>
        <v>0</v>
      </c>
      <c r="AC29" s="76">
        <f>SUMIFS('январь 2025'!$G$5:$G$2334,'январь 2025'!$D$5:$D$2334,$B29,'январь 2025'!$J$5:$J$2334,AC$1)</f>
        <v>0</v>
      </c>
      <c r="AD29" s="76">
        <f>SUMIFS('январь 2025'!$G$5:$G$2334,'январь 2025'!$D$5:$D$2334,$B29,'январь 2025'!$J$5:$J$2334,AD$1)</f>
        <v>0</v>
      </c>
      <c r="AE29" s="76">
        <f>SUMIFS('январь 2025'!$G$5:$G$2334,'январь 2025'!$D$5:$D$2334,$B29,'январь 2025'!$J$5:$J$2334,AE$1)</f>
        <v>0</v>
      </c>
      <c r="AF29" s="76">
        <f>SUMIFS('январь 2025'!$G$5:$G$2334,'январь 2025'!$D$5:$D$2334,$B29,'январь 2025'!$J$5:$J$2334,AF$1)</f>
        <v>0</v>
      </c>
      <c r="AG29" s="76">
        <f>SUMIFS('январь 2025'!$G$5:$G$2334,'январь 2025'!$D$5:$D$2334,$B29,'январь 2025'!$J$5:$J$2334,AG$1)</f>
        <v>0</v>
      </c>
      <c r="AH29" s="76">
        <f>SUMIFS('январь 2025'!$G$5:$G$2334,'январь 2025'!$D$5:$D$2334,$B29,'январь 2025'!$J$5:$J$2334,AH$1)</f>
        <v>0</v>
      </c>
      <c r="AI29" s="20">
        <f t="shared" si="1"/>
        <v>0</v>
      </c>
    </row>
    <row r="30" spans="2:35" ht="15" customHeight="1" x14ac:dyDescent="0.25">
      <c r="B30" s="80"/>
      <c r="C30" s="78"/>
      <c r="D30" s="76">
        <f>SUMIFS('январь 2025'!$G$5:$G$2334,'январь 2025'!$D$5:$D$2334,$B30,'январь 2025'!$J$5:$J$2334,D$1)</f>
        <v>0</v>
      </c>
      <c r="E30" s="76">
        <f>SUMIFS('январь 2025'!$G$5:$G$2334,'январь 2025'!$D$5:$D$2334,$B30,'январь 2025'!$J$5:$J$2334,E$1)</f>
        <v>0</v>
      </c>
      <c r="F30" s="76">
        <f>SUMIFS('январь 2025'!$G$5:$G$2334,'январь 2025'!$D$5:$D$2334,$B30,'январь 2025'!$J$5:$J$2334,F$1)</f>
        <v>0</v>
      </c>
      <c r="G30" s="76">
        <f>SUMIFS('январь 2025'!$G$5:$G$2334,'январь 2025'!$D$5:$D$2334,$B30,'январь 2025'!$J$5:$J$2334,G$1)</f>
        <v>0</v>
      </c>
      <c r="H30" s="76">
        <f>SUMIFS('январь 2025'!$G$5:$G$2334,'январь 2025'!$D$5:$D$2334,$B30,'январь 2025'!$J$5:$J$2334,H$1)</f>
        <v>0</v>
      </c>
      <c r="I30" s="76">
        <f>SUMIFS('январь 2025'!$G$5:$G$2334,'январь 2025'!$D$5:$D$2334,$B30,'январь 2025'!$J$5:$J$2334,I$1)</f>
        <v>0</v>
      </c>
      <c r="J30" s="76">
        <f>SUMIFS('январь 2025'!$G$5:$G$2334,'январь 2025'!$D$5:$D$2334,$B30,'январь 2025'!$J$5:$J$2334,J$1)</f>
        <v>0</v>
      </c>
      <c r="K30" s="76">
        <f>SUMIFS('январь 2025'!$G$5:$G$2334,'январь 2025'!$D$5:$D$2334,$B30,'январь 2025'!$J$5:$J$2334,K$1)</f>
        <v>0</v>
      </c>
      <c r="L30" s="76">
        <f>SUMIFS('январь 2025'!$G$5:$G$2334,'январь 2025'!$D$5:$D$2334,$B30,'январь 2025'!$J$5:$J$2334,L$1)</f>
        <v>0</v>
      </c>
      <c r="M30" s="76">
        <f>SUMIFS('январь 2025'!$G$5:$G$2334,'январь 2025'!$D$5:$D$2334,$B30,'январь 2025'!$J$5:$J$2334,M$1)</f>
        <v>0</v>
      </c>
      <c r="N30" s="76">
        <f>SUMIFS('январь 2025'!$G$5:$G$2334,'январь 2025'!$D$5:$D$2334,$B30,'январь 2025'!$J$5:$J$2334,N$1)</f>
        <v>0</v>
      </c>
      <c r="O30" s="76">
        <f>SUMIFS('январь 2025'!$G$5:$G$2334,'январь 2025'!$D$5:$D$2334,$B30,'январь 2025'!$J$5:$J$2334,O$1)</f>
        <v>0</v>
      </c>
      <c r="P30" s="76">
        <f>SUMIFS('январь 2025'!$G$5:$G$2334,'январь 2025'!$D$5:$D$2334,$B30,'январь 2025'!$J$5:$J$2334,P$1)</f>
        <v>0</v>
      </c>
      <c r="Q30" s="76">
        <f>SUMIFS('январь 2025'!$G$5:$G$2334,'январь 2025'!$D$5:$D$2334,$B30,'январь 2025'!$J$5:$J$2334,Q$1)</f>
        <v>0</v>
      </c>
      <c r="R30" s="76">
        <f>SUMIFS('январь 2025'!$G$5:$G$2334,'январь 2025'!$D$5:$D$2334,$B30,'январь 2025'!$J$5:$J$2334,R$1)</f>
        <v>0</v>
      </c>
      <c r="S30" s="76">
        <f>SUMIFS('январь 2025'!$G$5:$G$2334,'январь 2025'!$D$5:$D$2334,$B30,'январь 2025'!$J$5:$J$2334,S$1)</f>
        <v>0</v>
      </c>
      <c r="T30" s="76">
        <f>SUMIFS('январь 2025'!$G$5:$G$2334,'январь 2025'!$D$5:$D$2334,$B30,'январь 2025'!$J$5:$J$2334,T$1)</f>
        <v>0</v>
      </c>
      <c r="U30" s="76">
        <f>SUMIFS('январь 2025'!$G$5:$G$2334,'январь 2025'!$D$5:$D$2334,$B30,'январь 2025'!$J$5:$J$2334,U$1)</f>
        <v>0</v>
      </c>
      <c r="V30" s="76">
        <f>SUMIFS('январь 2025'!$G$5:$G$2334,'январь 2025'!$D$5:$D$2334,$B30,'январь 2025'!$J$5:$J$2334,V$1)</f>
        <v>0</v>
      </c>
      <c r="W30" s="76">
        <f>SUMIFS('январь 2025'!$G$5:$G$2334,'январь 2025'!$D$5:$D$2334,$B30,'январь 2025'!$J$5:$J$2334,W$1)</f>
        <v>0</v>
      </c>
      <c r="X30" s="76">
        <f>SUMIFS('январь 2025'!$G$5:$G$2334,'январь 2025'!$D$5:$D$2334,$B30,'январь 2025'!$J$5:$J$2334,X$1)</f>
        <v>0</v>
      </c>
      <c r="Y30" s="76">
        <f>SUMIFS('январь 2025'!$G$5:$G$2334,'январь 2025'!$D$5:$D$2334,$B30,'январь 2025'!$J$5:$J$2334,Y$1)</f>
        <v>0</v>
      </c>
      <c r="Z30" s="76">
        <f>SUMIFS('январь 2025'!$G$5:$G$2334,'январь 2025'!$D$5:$D$2334,$B30,'январь 2025'!$J$5:$J$2334,Z$1)</f>
        <v>0</v>
      </c>
      <c r="AA30" s="76">
        <f>SUMIFS('январь 2025'!$G$5:$G$2334,'январь 2025'!$D$5:$D$2334,$B30,'январь 2025'!$J$5:$J$2334,AA$1)</f>
        <v>0</v>
      </c>
      <c r="AB30" s="76">
        <f>SUMIFS('январь 2025'!$G$5:$G$2334,'январь 2025'!$D$5:$D$2334,$B30,'январь 2025'!$J$5:$J$2334,AB$1)</f>
        <v>0</v>
      </c>
      <c r="AC30" s="76">
        <f>SUMIFS('январь 2025'!$G$5:$G$2334,'январь 2025'!$D$5:$D$2334,$B30,'январь 2025'!$J$5:$J$2334,AC$1)</f>
        <v>0</v>
      </c>
      <c r="AD30" s="76">
        <f>SUMIFS('январь 2025'!$G$5:$G$2334,'январь 2025'!$D$5:$D$2334,$B30,'январь 2025'!$J$5:$J$2334,AD$1)</f>
        <v>0</v>
      </c>
      <c r="AE30" s="76">
        <f>SUMIFS('январь 2025'!$G$5:$G$2334,'январь 2025'!$D$5:$D$2334,$B30,'январь 2025'!$J$5:$J$2334,AE$1)</f>
        <v>0</v>
      </c>
      <c r="AF30" s="76">
        <f>SUMIFS('январь 2025'!$G$5:$G$2334,'январь 2025'!$D$5:$D$2334,$B30,'январь 2025'!$J$5:$J$2334,AF$1)</f>
        <v>0</v>
      </c>
      <c r="AG30" s="76">
        <f>SUMIFS('январь 2025'!$G$5:$G$2334,'январь 2025'!$D$5:$D$2334,$B30,'январь 2025'!$J$5:$J$2334,AG$1)</f>
        <v>0</v>
      </c>
      <c r="AH30" s="76">
        <f>SUMIFS('январь 2025'!$G$5:$G$2334,'январь 2025'!$D$5:$D$2334,$B30,'январь 2025'!$J$5:$J$2334,AH$1)</f>
        <v>0</v>
      </c>
      <c r="AI30" s="20">
        <f t="shared" si="1"/>
        <v>0</v>
      </c>
    </row>
    <row r="31" spans="2:35" ht="15" customHeight="1" x14ac:dyDescent="0.25">
      <c r="B31" s="80"/>
      <c r="C31" s="78"/>
      <c r="D31" s="76">
        <f>SUMIFS('январь 2025'!$G$5:$G$2334,'январь 2025'!$D$5:$D$2334,$B31,'январь 2025'!$J$5:$J$2334,D$1)</f>
        <v>0</v>
      </c>
      <c r="E31" s="76">
        <f>SUMIFS('январь 2025'!$G$5:$G$2334,'январь 2025'!$D$5:$D$2334,$B31,'январь 2025'!$J$5:$J$2334,E$1)</f>
        <v>0</v>
      </c>
      <c r="F31" s="76">
        <f>SUMIFS('январь 2025'!$G$5:$G$2334,'январь 2025'!$D$5:$D$2334,$B31,'январь 2025'!$J$5:$J$2334,F$1)</f>
        <v>0</v>
      </c>
      <c r="G31" s="76">
        <f>SUMIFS('январь 2025'!$G$5:$G$2334,'январь 2025'!$D$5:$D$2334,$B31,'январь 2025'!$J$5:$J$2334,G$1)</f>
        <v>0</v>
      </c>
      <c r="H31" s="76">
        <f>SUMIFS('январь 2025'!$G$5:$G$2334,'январь 2025'!$D$5:$D$2334,$B31,'январь 2025'!$J$5:$J$2334,H$1)</f>
        <v>0</v>
      </c>
      <c r="I31" s="76">
        <f>SUMIFS('январь 2025'!$G$5:$G$2334,'январь 2025'!$D$5:$D$2334,$B31,'январь 2025'!$J$5:$J$2334,I$1)</f>
        <v>0</v>
      </c>
      <c r="J31" s="76">
        <f>SUMIFS('январь 2025'!$G$5:$G$2334,'январь 2025'!$D$5:$D$2334,$B31,'январь 2025'!$J$5:$J$2334,J$1)</f>
        <v>0</v>
      </c>
      <c r="K31" s="76">
        <f>SUMIFS('январь 2025'!$G$5:$G$2334,'январь 2025'!$D$5:$D$2334,$B31,'январь 2025'!$J$5:$J$2334,K$1)</f>
        <v>0</v>
      </c>
      <c r="L31" s="76">
        <f>SUMIFS('январь 2025'!$G$5:$G$2334,'январь 2025'!$D$5:$D$2334,$B31,'январь 2025'!$J$5:$J$2334,L$1)</f>
        <v>0</v>
      </c>
      <c r="M31" s="76">
        <f>SUMIFS('январь 2025'!$G$5:$G$2334,'январь 2025'!$D$5:$D$2334,$B31,'январь 2025'!$J$5:$J$2334,M$1)</f>
        <v>0</v>
      </c>
      <c r="N31" s="76">
        <f>SUMIFS('январь 2025'!$G$5:$G$2334,'январь 2025'!$D$5:$D$2334,$B31,'январь 2025'!$J$5:$J$2334,N$1)</f>
        <v>0</v>
      </c>
      <c r="O31" s="76">
        <f>SUMIFS('январь 2025'!$G$5:$G$2334,'январь 2025'!$D$5:$D$2334,$B31,'январь 2025'!$J$5:$J$2334,O$1)</f>
        <v>0</v>
      </c>
      <c r="P31" s="76">
        <f>SUMIFS('январь 2025'!$G$5:$G$2334,'январь 2025'!$D$5:$D$2334,$B31,'январь 2025'!$J$5:$J$2334,P$1)</f>
        <v>0</v>
      </c>
      <c r="Q31" s="76">
        <f>SUMIFS('январь 2025'!$G$5:$G$2334,'январь 2025'!$D$5:$D$2334,$B31,'январь 2025'!$J$5:$J$2334,Q$1)</f>
        <v>0</v>
      </c>
      <c r="R31" s="76">
        <f>SUMIFS('январь 2025'!$G$5:$G$2334,'январь 2025'!$D$5:$D$2334,$B31,'январь 2025'!$J$5:$J$2334,R$1)</f>
        <v>0</v>
      </c>
      <c r="S31" s="76">
        <f>SUMIFS('январь 2025'!$G$5:$G$2334,'январь 2025'!$D$5:$D$2334,$B31,'январь 2025'!$J$5:$J$2334,S$1)</f>
        <v>0</v>
      </c>
      <c r="T31" s="76">
        <f>SUMIFS('январь 2025'!$G$5:$G$2334,'январь 2025'!$D$5:$D$2334,$B31,'январь 2025'!$J$5:$J$2334,T$1)</f>
        <v>0</v>
      </c>
      <c r="U31" s="76">
        <f>SUMIFS('январь 2025'!$G$5:$G$2334,'январь 2025'!$D$5:$D$2334,$B31,'январь 2025'!$J$5:$J$2334,U$1)</f>
        <v>0</v>
      </c>
      <c r="V31" s="76">
        <f>SUMIFS('январь 2025'!$G$5:$G$2334,'январь 2025'!$D$5:$D$2334,$B31,'январь 2025'!$J$5:$J$2334,V$1)</f>
        <v>0</v>
      </c>
      <c r="W31" s="76">
        <f>SUMIFS('январь 2025'!$G$5:$G$2334,'январь 2025'!$D$5:$D$2334,$B31,'январь 2025'!$J$5:$J$2334,W$1)</f>
        <v>0</v>
      </c>
      <c r="X31" s="76">
        <f>SUMIFS('январь 2025'!$G$5:$G$2334,'январь 2025'!$D$5:$D$2334,$B31,'январь 2025'!$J$5:$J$2334,X$1)</f>
        <v>0</v>
      </c>
      <c r="Y31" s="76">
        <f>SUMIFS('январь 2025'!$G$5:$G$2334,'январь 2025'!$D$5:$D$2334,$B31,'январь 2025'!$J$5:$J$2334,Y$1)</f>
        <v>0</v>
      </c>
      <c r="Z31" s="76">
        <f>SUMIFS('январь 2025'!$G$5:$G$2334,'январь 2025'!$D$5:$D$2334,$B31,'январь 2025'!$J$5:$J$2334,Z$1)</f>
        <v>0</v>
      </c>
      <c r="AA31" s="76">
        <f>SUMIFS('январь 2025'!$G$5:$G$2334,'январь 2025'!$D$5:$D$2334,$B31,'январь 2025'!$J$5:$J$2334,AA$1)</f>
        <v>0</v>
      </c>
      <c r="AB31" s="76">
        <f>SUMIFS('январь 2025'!$G$5:$G$2334,'январь 2025'!$D$5:$D$2334,$B31,'январь 2025'!$J$5:$J$2334,AB$1)</f>
        <v>0</v>
      </c>
      <c r="AC31" s="76">
        <f>SUMIFS('январь 2025'!$G$5:$G$2334,'январь 2025'!$D$5:$D$2334,$B31,'январь 2025'!$J$5:$J$2334,AC$1)</f>
        <v>0</v>
      </c>
      <c r="AD31" s="76">
        <f>SUMIFS('январь 2025'!$G$5:$G$2334,'январь 2025'!$D$5:$D$2334,$B31,'январь 2025'!$J$5:$J$2334,AD$1)</f>
        <v>0</v>
      </c>
      <c r="AE31" s="76">
        <f>SUMIFS('январь 2025'!$G$5:$G$2334,'январь 2025'!$D$5:$D$2334,$B31,'январь 2025'!$J$5:$J$2334,AE$1)</f>
        <v>0</v>
      </c>
      <c r="AF31" s="76">
        <f>SUMIFS('январь 2025'!$G$5:$G$2334,'январь 2025'!$D$5:$D$2334,$B31,'январь 2025'!$J$5:$J$2334,AF$1)</f>
        <v>0</v>
      </c>
      <c r="AG31" s="76">
        <f>SUMIFS('январь 2025'!$G$5:$G$2334,'январь 2025'!$D$5:$D$2334,$B31,'январь 2025'!$J$5:$J$2334,AG$1)</f>
        <v>0</v>
      </c>
      <c r="AH31" s="76">
        <f>SUMIFS('январь 2025'!$G$5:$G$2334,'январь 2025'!$D$5:$D$2334,$B31,'январь 2025'!$J$5:$J$2334,AH$1)</f>
        <v>0</v>
      </c>
      <c r="AI31" s="20">
        <f t="shared" si="1"/>
        <v>0</v>
      </c>
    </row>
    <row r="32" spans="2:35" ht="15" customHeight="1" x14ac:dyDescent="0.25">
      <c r="B32" s="80"/>
      <c r="C32" s="78"/>
      <c r="D32" s="76">
        <f>SUMIFS('январь 2025'!$G$5:$G$2334,'январь 2025'!$D$5:$D$2334,$B32,'январь 2025'!$J$5:$J$2334,D$1)</f>
        <v>0</v>
      </c>
      <c r="E32" s="76">
        <f>SUMIFS('январь 2025'!$G$5:$G$2334,'январь 2025'!$D$5:$D$2334,$B32,'январь 2025'!$J$5:$J$2334,E$1)</f>
        <v>0</v>
      </c>
      <c r="F32" s="76">
        <f>SUMIFS('январь 2025'!$G$5:$G$2334,'январь 2025'!$D$5:$D$2334,$B32,'январь 2025'!$J$5:$J$2334,F$1)</f>
        <v>0</v>
      </c>
      <c r="G32" s="76">
        <f>SUMIFS('январь 2025'!$G$5:$G$2334,'январь 2025'!$D$5:$D$2334,$B32,'январь 2025'!$J$5:$J$2334,G$1)</f>
        <v>0</v>
      </c>
      <c r="H32" s="76">
        <f>SUMIFS('январь 2025'!$G$5:$G$2334,'январь 2025'!$D$5:$D$2334,$B32,'январь 2025'!$J$5:$J$2334,H$1)</f>
        <v>0</v>
      </c>
      <c r="I32" s="76">
        <f>SUMIFS('январь 2025'!$G$5:$G$2334,'январь 2025'!$D$5:$D$2334,$B32,'январь 2025'!$J$5:$J$2334,I$1)</f>
        <v>0</v>
      </c>
      <c r="J32" s="76">
        <f>SUMIFS('январь 2025'!$G$5:$G$2334,'январь 2025'!$D$5:$D$2334,$B32,'январь 2025'!$J$5:$J$2334,J$1)</f>
        <v>0</v>
      </c>
      <c r="K32" s="76">
        <f>SUMIFS('январь 2025'!$G$5:$G$2334,'январь 2025'!$D$5:$D$2334,$B32,'январь 2025'!$J$5:$J$2334,K$1)</f>
        <v>0</v>
      </c>
      <c r="L32" s="76">
        <f>SUMIFS('январь 2025'!$G$5:$G$2334,'январь 2025'!$D$5:$D$2334,$B32,'январь 2025'!$J$5:$J$2334,L$1)</f>
        <v>0</v>
      </c>
      <c r="M32" s="76">
        <f>SUMIFS('январь 2025'!$G$5:$G$2334,'январь 2025'!$D$5:$D$2334,$B32,'январь 2025'!$J$5:$J$2334,M$1)</f>
        <v>0</v>
      </c>
      <c r="N32" s="76">
        <f>SUMIFS('январь 2025'!$G$5:$G$2334,'январь 2025'!$D$5:$D$2334,$B32,'январь 2025'!$J$5:$J$2334,N$1)</f>
        <v>0</v>
      </c>
      <c r="O32" s="76">
        <f>SUMIFS('январь 2025'!$G$5:$G$2334,'январь 2025'!$D$5:$D$2334,$B32,'январь 2025'!$J$5:$J$2334,O$1)</f>
        <v>0</v>
      </c>
      <c r="P32" s="76">
        <f>SUMIFS('январь 2025'!$G$5:$G$2334,'январь 2025'!$D$5:$D$2334,$B32,'январь 2025'!$J$5:$J$2334,P$1)</f>
        <v>0</v>
      </c>
      <c r="Q32" s="76">
        <f>SUMIFS('январь 2025'!$G$5:$G$2334,'январь 2025'!$D$5:$D$2334,$B32,'январь 2025'!$J$5:$J$2334,Q$1)</f>
        <v>0</v>
      </c>
      <c r="R32" s="76">
        <f>SUMIFS('январь 2025'!$G$5:$G$2334,'январь 2025'!$D$5:$D$2334,$B32,'январь 2025'!$J$5:$J$2334,R$1)</f>
        <v>0</v>
      </c>
      <c r="S32" s="76">
        <f>SUMIFS('январь 2025'!$G$5:$G$2334,'январь 2025'!$D$5:$D$2334,$B32,'январь 2025'!$J$5:$J$2334,S$1)</f>
        <v>0</v>
      </c>
      <c r="T32" s="76">
        <f>SUMIFS('январь 2025'!$G$5:$G$2334,'январь 2025'!$D$5:$D$2334,$B32,'январь 2025'!$J$5:$J$2334,T$1)</f>
        <v>0</v>
      </c>
      <c r="U32" s="76">
        <f>SUMIFS('январь 2025'!$G$5:$G$2334,'январь 2025'!$D$5:$D$2334,$B32,'январь 2025'!$J$5:$J$2334,U$1)</f>
        <v>0</v>
      </c>
      <c r="V32" s="76">
        <f>SUMIFS('январь 2025'!$G$5:$G$2334,'январь 2025'!$D$5:$D$2334,$B32,'январь 2025'!$J$5:$J$2334,V$1)</f>
        <v>0</v>
      </c>
      <c r="W32" s="76">
        <f>SUMIFS('январь 2025'!$G$5:$G$2334,'январь 2025'!$D$5:$D$2334,$B32,'январь 2025'!$J$5:$J$2334,W$1)</f>
        <v>0</v>
      </c>
      <c r="X32" s="76">
        <f>SUMIFS('январь 2025'!$G$5:$G$2334,'январь 2025'!$D$5:$D$2334,$B32,'январь 2025'!$J$5:$J$2334,X$1)</f>
        <v>0</v>
      </c>
      <c r="Y32" s="76">
        <f>SUMIFS('январь 2025'!$G$5:$G$2334,'январь 2025'!$D$5:$D$2334,$B32,'январь 2025'!$J$5:$J$2334,Y$1)</f>
        <v>0</v>
      </c>
      <c r="Z32" s="76">
        <f>SUMIFS('январь 2025'!$G$5:$G$2334,'январь 2025'!$D$5:$D$2334,$B32,'январь 2025'!$J$5:$J$2334,Z$1)</f>
        <v>0</v>
      </c>
      <c r="AA32" s="76">
        <f>SUMIFS('январь 2025'!$G$5:$G$2334,'январь 2025'!$D$5:$D$2334,$B32,'январь 2025'!$J$5:$J$2334,AA$1)</f>
        <v>0</v>
      </c>
      <c r="AB32" s="76">
        <f>SUMIFS('январь 2025'!$G$5:$G$2334,'январь 2025'!$D$5:$D$2334,$B32,'январь 2025'!$J$5:$J$2334,AB$1)</f>
        <v>0</v>
      </c>
      <c r="AC32" s="76">
        <f>SUMIFS('январь 2025'!$G$5:$G$2334,'январь 2025'!$D$5:$D$2334,$B32,'январь 2025'!$J$5:$J$2334,AC$1)</f>
        <v>0</v>
      </c>
      <c r="AD32" s="76">
        <f>SUMIFS('январь 2025'!$G$5:$G$2334,'январь 2025'!$D$5:$D$2334,$B32,'январь 2025'!$J$5:$J$2334,AD$1)</f>
        <v>0</v>
      </c>
      <c r="AE32" s="76">
        <f>SUMIFS('январь 2025'!$G$5:$G$2334,'январь 2025'!$D$5:$D$2334,$B32,'январь 2025'!$J$5:$J$2334,AE$1)</f>
        <v>0</v>
      </c>
      <c r="AF32" s="76">
        <f>SUMIFS('январь 2025'!$G$5:$G$2334,'январь 2025'!$D$5:$D$2334,$B32,'январь 2025'!$J$5:$J$2334,AF$1)</f>
        <v>0</v>
      </c>
      <c r="AG32" s="76">
        <f>SUMIFS('январь 2025'!$G$5:$G$2334,'январь 2025'!$D$5:$D$2334,$B32,'январь 2025'!$J$5:$J$2334,AG$1)</f>
        <v>0</v>
      </c>
      <c r="AH32" s="76">
        <f>SUMIFS('январь 2025'!$G$5:$G$2334,'январь 2025'!$D$5:$D$2334,$B32,'январь 2025'!$J$5:$J$2334,AH$1)</f>
        <v>0</v>
      </c>
      <c r="AI32" s="20">
        <f t="shared" si="1"/>
        <v>0</v>
      </c>
    </row>
    <row r="33" spans="2:35" ht="15" customHeight="1" x14ac:dyDescent="0.25">
      <c r="B33" s="125" t="s">
        <v>213</v>
      </c>
      <c r="C33" s="126">
        <v>25</v>
      </c>
      <c r="D33" s="76">
        <f>SUMIFS('январь 2025'!$G$5:$G$2334,'январь 2025'!$D$5:$D$2334,$B33,'январь 2025'!$J$5:$J$2334,D$1)</f>
        <v>0</v>
      </c>
      <c r="E33" s="76">
        <f>SUMIFS('январь 2025'!$G$5:$G$2334,'январь 2025'!$D$5:$D$2334,$B33,'январь 2025'!$J$5:$J$2334,E$1)</f>
        <v>0</v>
      </c>
      <c r="F33" s="76">
        <f>SUMIFS('январь 2025'!$G$5:$G$2334,'январь 2025'!$D$5:$D$2334,$B33,'январь 2025'!$J$5:$J$2334,F$1)</f>
        <v>0</v>
      </c>
      <c r="G33" s="76">
        <f>SUMIFS('январь 2025'!$G$5:$G$2334,'январь 2025'!$D$5:$D$2334,$B33,'январь 2025'!$J$5:$J$2334,G$1)</f>
        <v>0</v>
      </c>
      <c r="H33" s="76">
        <f>SUMIFS('январь 2025'!$G$5:$G$2334,'январь 2025'!$D$5:$D$2334,$B33,'январь 2025'!$J$5:$J$2334,H$1)</f>
        <v>0</v>
      </c>
      <c r="I33" s="76">
        <f>SUMIFS('январь 2025'!$G$5:$G$2334,'январь 2025'!$D$5:$D$2334,$B33,'январь 2025'!$J$5:$J$2334,I$1)</f>
        <v>0</v>
      </c>
      <c r="J33" s="76">
        <f>SUMIFS('январь 2025'!$G$5:$G$2334,'январь 2025'!$D$5:$D$2334,$B33,'январь 2025'!$J$5:$J$2334,J$1)</f>
        <v>0</v>
      </c>
      <c r="K33" s="76">
        <f>SUMIFS('январь 2025'!$G$5:$G$2334,'январь 2025'!$D$5:$D$2334,$B33,'январь 2025'!$J$5:$J$2334,K$1)</f>
        <v>0</v>
      </c>
      <c r="L33" s="76">
        <f>SUMIFS('январь 2025'!$G$5:$G$2334,'январь 2025'!$D$5:$D$2334,$B33,'январь 2025'!$J$5:$J$2334,L$1)</f>
        <v>0</v>
      </c>
      <c r="M33" s="76">
        <f>SUMIFS('январь 2025'!$G$5:$G$2334,'январь 2025'!$D$5:$D$2334,$B33,'январь 2025'!$J$5:$J$2334,M$1)</f>
        <v>0</v>
      </c>
      <c r="N33" s="76">
        <f>SUMIFS('январь 2025'!$G$5:$G$2334,'январь 2025'!$D$5:$D$2334,$B33,'январь 2025'!$J$5:$J$2334,N$1)</f>
        <v>0</v>
      </c>
      <c r="O33" s="76">
        <f>SUMIFS('январь 2025'!$G$5:$G$2334,'январь 2025'!$D$5:$D$2334,$B33,'январь 2025'!$J$5:$J$2334,O$1)</f>
        <v>0</v>
      </c>
      <c r="P33" s="76">
        <f>SUMIFS('январь 2025'!$G$5:$G$2334,'январь 2025'!$D$5:$D$2334,$B33,'январь 2025'!$J$5:$J$2334,P$1)</f>
        <v>0</v>
      </c>
      <c r="Q33" s="76">
        <f>SUMIFS('январь 2025'!$G$5:$G$2334,'январь 2025'!$D$5:$D$2334,$B33,'январь 2025'!$J$5:$J$2334,Q$1)</f>
        <v>0</v>
      </c>
      <c r="R33" s="76">
        <f>SUMIFS('январь 2025'!$G$5:$G$2334,'январь 2025'!$D$5:$D$2334,$B33,'январь 2025'!$J$5:$J$2334,R$1)</f>
        <v>0</v>
      </c>
      <c r="S33" s="76">
        <f>SUMIFS('январь 2025'!$G$5:$G$2334,'январь 2025'!$D$5:$D$2334,$B33,'январь 2025'!$J$5:$J$2334,S$1)</f>
        <v>0</v>
      </c>
      <c r="T33" s="76">
        <f>SUMIFS('январь 2025'!$G$5:$G$2334,'январь 2025'!$D$5:$D$2334,$B33,'январь 2025'!$J$5:$J$2334,T$1)</f>
        <v>0</v>
      </c>
      <c r="U33" s="76">
        <f>SUMIFS('январь 2025'!$G$5:$G$2334,'январь 2025'!$D$5:$D$2334,$B33,'январь 2025'!$J$5:$J$2334,U$1)</f>
        <v>0</v>
      </c>
      <c r="V33" s="76">
        <f>SUMIFS('январь 2025'!$G$5:$G$2334,'январь 2025'!$D$5:$D$2334,$B33,'январь 2025'!$J$5:$J$2334,V$1)</f>
        <v>0</v>
      </c>
      <c r="W33" s="76">
        <f>SUMIFS('январь 2025'!$G$5:$G$2334,'январь 2025'!$D$5:$D$2334,$B33,'январь 2025'!$J$5:$J$2334,W$1)</f>
        <v>0</v>
      </c>
      <c r="X33" s="76">
        <f>SUMIFS('январь 2025'!$G$5:$G$2334,'январь 2025'!$D$5:$D$2334,$B33,'январь 2025'!$J$5:$J$2334,X$1)</f>
        <v>0</v>
      </c>
      <c r="Y33" s="76">
        <f>SUMIFS('январь 2025'!$G$5:$G$2334,'январь 2025'!$D$5:$D$2334,$B33,'январь 2025'!$J$5:$J$2334,Y$1)</f>
        <v>0</v>
      </c>
      <c r="Z33" s="76">
        <f>SUMIFS('январь 2025'!$G$5:$G$2334,'январь 2025'!$D$5:$D$2334,$B33,'январь 2025'!$J$5:$J$2334,Z$1)</f>
        <v>0</v>
      </c>
      <c r="AA33" s="76">
        <f>SUMIFS('январь 2025'!$G$5:$G$2334,'январь 2025'!$D$5:$D$2334,$B33,'январь 2025'!$J$5:$J$2334,AA$1)</f>
        <v>0</v>
      </c>
      <c r="AB33" s="76">
        <f>SUMIFS('январь 2025'!$G$5:$G$2334,'январь 2025'!$D$5:$D$2334,$B33,'январь 2025'!$J$5:$J$2334,AB$1)</f>
        <v>0</v>
      </c>
      <c r="AC33" s="76">
        <f>SUMIFS('январь 2025'!$G$5:$G$2334,'январь 2025'!$D$5:$D$2334,$B33,'январь 2025'!$J$5:$J$2334,AC$1)</f>
        <v>0</v>
      </c>
      <c r="AD33" s="76">
        <f>SUMIFS('январь 2025'!$G$5:$G$2334,'январь 2025'!$D$5:$D$2334,$B33,'январь 2025'!$J$5:$J$2334,AD$1)</f>
        <v>0</v>
      </c>
      <c r="AE33" s="76">
        <f>SUMIFS('январь 2025'!$G$5:$G$2334,'январь 2025'!$D$5:$D$2334,$B33,'январь 2025'!$J$5:$J$2334,AE$1)</f>
        <v>0</v>
      </c>
      <c r="AF33" s="76">
        <f>SUMIFS('январь 2025'!$G$5:$G$2334,'январь 2025'!$D$5:$D$2334,$B33,'январь 2025'!$J$5:$J$2334,AF$1)</f>
        <v>0</v>
      </c>
      <c r="AG33" s="76">
        <f>SUMIFS('январь 2025'!$G$5:$G$2334,'январь 2025'!$D$5:$D$2334,$B33,'январь 2025'!$J$5:$J$2334,AG$1)</f>
        <v>0</v>
      </c>
      <c r="AH33" s="76">
        <f>SUMIFS('январь 2025'!$G$5:$G$2334,'январь 2025'!$D$5:$D$2334,$B33,'январь 2025'!$J$5:$J$2334,AH$1)</f>
        <v>0</v>
      </c>
      <c r="AI33" s="20">
        <f t="shared" si="1"/>
        <v>0</v>
      </c>
    </row>
    <row r="34" spans="2:35" ht="15" customHeight="1" x14ac:dyDescent="0.25">
      <c r="B34" s="127" t="s">
        <v>215</v>
      </c>
      <c r="C34" s="126">
        <v>25</v>
      </c>
      <c r="D34" s="76">
        <f>SUMIFS('январь 2025'!$G$5:$G$2334,'январь 2025'!$D$5:$D$2334,$B34,'январь 2025'!$J$5:$J$2334,D$1)</f>
        <v>0</v>
      </c>
      <c r="E34" s="76">
        <f>SUMIFS('январь 2025'!$G$5:$G$2334,'январь 2025'!$D$5:$D$2334,$B34,'январь 2025'!$J$5:$J$2334,E$1)</f>
        <v>0</v>
      </c>
      <c r="F34" s="76">
        <f>SUMIFS('январь 2025'!$G$5:$G$2334,'январь 2025'!$D$5:$D$2334,$B34,'январь 2025'!$J$5:$J$2334,F$1)</f>
        <v>0</v>
      </c>
      <c r="G34" s="76">
        <f>SUMIFS('январь 2025'!$G$5:$G$2334,'январь 2025'!$D$5:$D$2334,$B34,'январь 2025'!$J$5:$J$2334,G$1)</f>
        <v>0</v>
      </c>
      <c r="H34" s="76">
        <f>SUMIFS('январь 2025'!$G$5:$G$2334,'январь 2025'!$D$5:$D$2334,$B34,'январь 2025'!$J$5:$J$2334,H$1)</f>
        <v>0</v>
      </c>
      <c r="I34" s="76">
        <f>SUMIFS('январь 2025'!$G$5:$G$2334,'январь 2025'!$D$5:$D$2334,$B34,'январь 2025'!$J$5:$J$2334,I$1)</f>
        <v>0</v>
      </c>
      <c r="J34" s="76">
        <f>SUMIFS('январь 2025'!$G$5:$G$2334,'январь 2025'!$D$5:$D$2334,$B34,'январь 2025'!$J$5:$J$2334,J$1)</f>
        <v>0</v>
      </c>
      <c r="K34" s="76">
        <f>SUMIFS('январь 2025'!$G$5:$G$2334,'январь 2025'!$D$5:$D$2334,$B34,'январь 2025'!$J$5:$J$2334,K$1)</f>
        <v>0</v>
      </c>
      <c r="L34" s="76">
        <f>SUMIFS('январь 2025'!$G$5:$G$2334,'январь 2025'!$D$5:$D$2334,$B34,'январь 2025'!$J$5:$J$2334,L$1)</f>
        <v>0</v>
      </c>
      <c r="M34" s="76">
        <f>SUMIFS('январь 2025'!$G$5:$G$2334,'январь 2025'!$D$5:$D$2334,$B34,'январь 2025'!$J$5:$J$2334,M$1)</f>
        <v>0</v>
      </c>
      <c r="N34" s="76">
        <f>SUMIFS('январь 2025'!$G$5:$G$2334,'январь 2025'!$D$5:$D$2334,$B34,'январь 2025'!$J$5:$J$2334,N$1)</f>
        <v>0</v>
      </c>
      <c r="O34" s="76">
        <f>SUMIFS('январь 2025'!$G$5:$G$2334,'январь 2025'!$D$5:$D$2334,$B34,'январь 2025'!$J$5:$J$2334,O$1)</f>
        <v>0</v>
      </c>
      <c r="P34" s="76">
        <f>SUMIFS('январь 2025'!$G$5:$G$2334,'январь 2025'!$D$5:$D$2334,$B34,'январь 2025'!$J$5:$J$2334,P$1)</f>
        <v>0</v>
      </c>
      <c r="Q34" s="76">
        <f>SUMIFS('январь 2025'!$G$5:$G$2334,'январь 2025'!$D$5:$D$2334,$B34,'январь 2025'!$J$5:$J$2334,Q$1)</f>
        <v>0</v>
      </c>
      <c r="R34" s="76">
        <f>SUMIFS('январь 2025'!$G$5:$G$2334,'январь 2025'!$D$5:$D$2334,$B34,'январь 2025'!$J$5:$J$2334,R$1)</f>
        <v>0</v>
      </c>
      <c r="S34" s="76">
        <f>SUMIFS('январь 2025'!$G$5:$G$2334,'январь 2025'!$D$5:$D$2334,$B34,'январь 2025'!$J$5:$J$2334,S$1)</f>
        <v>0</v>
      </c>
      <c r="T34" s="76">
        <f>SUMIFS('январь 2025'!$G$5:$G$2334,'январь 2025'!$D$5:$D$2334,$B34,'январь 2025'!$J$5:$J$2334,T$1)</f>
        <v>0</v>
      </c>
      <c r="U34" s="76">
        <f>SUMIFS('январь 2025'!$G$5:$G$2334,'январь 2025'!$D$5:$D$2334,$B34,'январь 2025'!$J$5:$J$2334,U$1)</f>
        <v>0</v>
      </c>
      <c r="V34" s="76">
        <f>SUMIFS('январь 2025'!$G$5:$G$2334,'январь 2025'!$D$5:$D$2334,$B34,'январь 2025'!$J$5:$J$2334,V$1)</f>
        <v>0</v>
      </c>
      <c r="W34" s="76">
        <f>SUMIFS('январь 2025'!$G$5:$G$2334,'январь 2025'!$D$5:$D$2334,$B34,'январь 2025'!$J$5:$J$2334,W$1)</f>
        <v>0</v>
      </c>
      <c r="X34" s="76">
        <f>SUMIFS('январь 2025'!$G$5:$G$2334,'январь 2025'!$D$5:$D$2334,$B34,'январь 2025'!$J$5:$J$2334,X$1)</f>
        <v>0</v>
      </c>
      <c r="Y34" s="76">
        <f>SUMIFS('январь 2025'!$G$5:$G$2334,'январь 2025'!$D$5:$D$2334,$B34,'январь 2025'!$J$5:$J$2334,Y$1)</f>
        <v>0</v>
      </c>
      <c r="Z34" s="76">
        <f>SUMIFS('январь 2025'!$G$5:$G$2334,'январь 2025'!$D$5:$D$2334,$B34,'январь 2025'!$J$5:$J$2334,Z$1)</f>
        <v>0</v>
      </c>
      <c r="AA34" s="76">
        <f>SUMIFS('январь 2025'!$G$5:$G$2334,'январь 2025'!$D$5:$D$2334,$B34,'январь 2025'!$J$5:$J$2334,AA$1)</f>
        <v>0</v>
      </c>
      <c r="AB34" s="76">
        <f>SUMIFS('январь 2025'!$G$5:$G$2334,'январь 2025'!$D$5:$D$2334,$B34,'январь 2025'!$J$5:$J$2334,AB$1)</f>
        <v>0</v>
      </c>
      <c r="AC34" s="76">
        <f>SUMIFS('январь 2025'!$G$5:$G$2334,'январь 2025'!$D$5:$D$2334,$B34,'январь 2025'!$J$5:$J$2334,AC$1)</f>
        <v>0</v>
      </c>
      <c r="AD34" s="76">
        <f>SUMIFS('январь 2025'!$G$5:$G$2334,'январь 2025'!$D$5:$D$2334,$B34,'январь 2025'!$J$5:$J$2334,AD$1)</f>
        <v>0</v>
      </c>
      <c r="AE34" s="76">
        <f>SUMIFS('январь 2025'!$G$5:$G$2334,'январь 2025'!$D$5:$D$2334,$B34,'январь 2025'!$J$5:$J$2334,AE$1)</f>
        <v>0</v>
      </c>
      <c r="AF34" s="76">
        <f>SUMIFS('январь 2025'!$G$5:$G$2334,'январь 2025'!$D$5:$D$2334,$B34,'январь 2025'!$J$5:$J$2334,AF$1)</f>
        <v>0</v>
      </c>
      <c r="AG34" s="76">
        <f>SUMIFS('январь 2025'!$G$5:$G$2334,'январь 2025'!$D$5:$D$2334,$B34,'январь 2025'!$J$5:$J$2334,AG$1)</f>
        <v>0</v>
      </c>
      <c r="AH34" s="76">
        <f>SUMIFS('январь 2025'!$G$5:$G$2334,'январь 2025'!$D$5:$D$2334,$B34,'январь 2025'!$J$5:$J$2334,AH$1)</f>
        <v>0</v>
      </c>
      <c r="AI34" s="20">
        <f t="shared" si="1"/>
        <v>0</v>
      </c>
    </row>
    <row r="35" spans="2:35" ht="15" customHeight="1" x14ac:dyDescent="0.25">
      <c r="B35" s="128" t="s">
        <v>384</v>
      </c>
      <c r="C35" s="126">
        <v>25</v>
      </c>
      <c r="D35" s="76">
        <f>SUMIFS('январь 2025'!$G$5:$G$2334,'январь 2025'!$D$5:$D$2334,$B35,'январь 2025'!$J$5:$J$2334,D$1)</f>
        <v>0</v>
      </c>
      <c r="E35" s="76">
        <f>SUMIFS('январь 2025'!$G$5:$G$2334,'январь 2025'!$D$5:$D$2334,$B35,'январь 2025'!$J$5:$J$2334,E$1)</f>
        <v>0</v>
      </c>
      <c r="F35" s="76">
        <f>SUMIFS('январь 2025'!$G$5:$G$2334,'январь 2025'!$D$5:$D$2334,$B35,'январь 2025'!$J$5:$J$2334,F$1)</f>
        <v>0</v>
      </c>
      <c r="G35" s="76">
        <f>SUMIFS('январь 2025'!$G$5:$G$2334,'январь 2025'!$D$5:$D$2334,$B35,'январь 2025'!$J$5:$J$2334,G$1)</f>
        <v>0</v>
      </c>
      <c r="H35" s="76">
        <f>SUMIFS('январь 2025'!$G$5:$G$2334,'январь 2025'!$D$5:$D$2334,$B35,'январь 2025'!$J$5:$J$2334,H$1)</f>
        <v>0</v>
      </c>
      <c r="I35" s="76">
        <f>SUMIFS('январь 2025'!$G$5:$G$2334,'январь 2025'!$D$5:$D$2334,$B35,'январь 2025'!$J$5:$J$2334,I$1)</f>
        <v>0</v>
      </c>
      <c r="J35" s="76">
        <f>SUMIFS('январь 2025'!$G$5:$G$2334,'январь 2025'!$D$5:$D$2334,$B35,'январь 2025'!$J$5:$J$2334,J$1)</f>
        <v>0</v>
      </c>
      <c r="K35" s="76">
        <f>SUMIFS('январь 2025'!$G$5:$G$2334,'январь 2025'!$D$5:$D$2334,$B35,'январь 2025'!$J$5:$J$2334,K$1)</f>
        <v>0</v>
      </c>
      <c r="L35" s="76">
        <f>SUMIFS('январь 2025'!$G$5:$G$2334,'январь 2025'!$D$5:$D$2334,$B35,'январь 2025'!$J$5:$J$2334,L$1)</f>
        <v>0</v>
      </c>
      <c r="M35" s="76">
        <f>SUMIFS('январь 2025'!$G$5:$G$2334,'январь 2025'!$D$5:$D$2334,$B35,'январь 2025'!$J$5:$J$2334,M$1)</f>
        <v>0</v>
      </c>
      <c r="N35" s="76">
        <f>SUMIFS('январь 2025'!$G$5:$G$2334,'январь 2025'!$D$5:$D$2334,$B35,'январь 2025'!$J$5:$J$2334,N$1)</f>
        <v>0</v>
      </c>
      <c r="O35" s="76">
        <f>SUMIFS('январь 2025'!$G$5:$G$2334,'январь 2025'!$D$5:$D$2334,$B35,'январь 2025'!$J$5:$J$2334,O$1)</f>
        <v>0</v>
      </c>
      <c r="P35" s="76">
        <f>SUMIFS('январь 2025'!$G$5:$G$2334,'январь 2025'!$D$5:$D$2334,$B35,'январь 2025'!$J$5:$J$2334,P$1)</f>
        <v>0</v>
      </c>
      <c r="Q35" s="76">
        <f>SUMIFS('январь 2025'!$G$5:$G$2334,'январь 2025'!$D$5:$D$2334,$B35,'январь 2025'!$J$5:$J$2334,Q$1)</f>
        <v>0</v>
      </c>
      <c r="R35" s="76">
        <f>SUMIFS('январь 2025'!$G$5:$G$2334,'январь 2025'!$D$5:$D$2334,$B35,'январь 2025'!$J$5:$J$2334,R$1)</f>
        <v>0</v>
      </c>
      <c r="S35" s="76">
        <f>SUMIFS('январь 2025'!$G$5:$G$2334,'январь 2025'!$D$5:$D$2334,$B35,'январь 2025'!$J$5:$J$2334,S$1)</f>
        <v>0</v>
      </c>
      <c r="T35" s="76">
        <f>SUMIFS('январь 2025'!$G$5:$G$2334,'январь 2025'!$D$5:$D$2334,$B35,'январь 2025'!$J$5:$J$2334,T$1)</f>
        <v>0</v>
      </c>
      <c r="U35" s="76">
        <f>SUMIFS('январь 2025'!$G$5:$G$2334,'январь 2025'!$D$5:$D$2334,$B35,'январь 2025'!$J$5:$J$2334,U$1)</f>
        <v>0</v>
      </c>
      <c r="V35" s="76">
        <f>SUMIFS('январь 2025'!$G$5:$G$2334,'январь 2025'!$D$5:$D$2334,$B35,'январь 2025'!$J$5:$J$2334,V$1)</f>
        <v>0</v>
      </c>
      <c r="W35" s="76">
        <f>SUMIFS('январь 2025'!$G$5:$G$2334,'январь 2025'!$D$5:$D$2334,$B35,'январь 2025'!$J$5:$J$2334,W$1)</f>
        <v>0</v>
      </c>
      <c r="X35" s="76">
        <f>SUMIFS('январь 2025'!$G$5:$G$2334,'январь 2025'!$D$5:$D$2334,$B35,'январь 2025'!$J$5:$J$2334,X$1)</f>
        <v>0</v>
      </c>
      <c r="Y35" s="76">
        <f>SUMIFS('январь 2025'!$G$5:$G$2334,'январь 2025'!$D$5:$D$2334,$B35,'январь 2025'!$J$5:$J$2334,Y$1)</f>
        <v>0</v>
      </c>
      <c r="Z35" s="76">
        <f>SUMIFS('январь 2025'!$G$5:$G$2334,'январь 2025'!$D$5:$D$2334,$B35,'январь 2025'!$J$5:$J$2334,Z$1)</f>
        <v>0</v>
      </c>
      <c r="AA35" s="76">
        <f>SUMIFS('январь 2025'!$G$5:$G$2334,'январь 2025'!$D$5:$D$2334,$B35,'январь 2025'!$J$5:$J$2334,AA$1)</f>
        <v>0</v>
      </c>
      <c r="AB35" s="76">
        <f>SUMIFS('январь 2025'!$G$5:$G$2334,'январь 2025'!$D$5:$D$2334,$B35,'январь 2025'!$J$5:$J$2334,AB$1)</f>
        <v>0</v>
      </c>
      <c r="AC35" s="76">
        <f>SUMIFS('январь 2025'!$G$5:$G$2334,'январь 2025'!$D$5:$D$2334,$B35,'январь 2025'!$J$5:$J$2334,AC$1)</f>
        <v>0</v>
      </c>
      <c r="AD35" s="76">
        <f>SUMIFS('январь 2025'!$G$5:$G$2334,'январь 2025'!$D$5:$D$2334,$B35,'январь 2025'!$J$5:$J$2334,AD$1)</f>
        <v>0</v>
      </c>
      <c r="AE35" s="76">
        <f>SUMIFS('январь 2025'!$G$5:$G$2334,'январь 2025'!$D$5:$D$2334,$B35,'январь 2025'!$J$5:$J$2334,AE$1)</f>
        <v>0</v>
      </c>
      <c r="AF35" s="76">
        <f>SUMIFS('январь 2025'!$G$5:$G$2334,'январь 2025'!$D$5:$D$2334,$B35,'январь 2025'!$J$5:$J$2334,AF$1)</f>
        <v>0</v>
      </c>
      <c r="AG35" s="76">
        <f>SUMIFS('январь 2025'!$G$5:$G$2334,'январь 2025'!$D$5:$D$2334,$B35,'январь 2025'!$J$5:$J$2334,AG$1)</f>
        <v>0</v>
      </c>
      <c r="AH35" s="76">
        <f>SUMIFS('январь 2025'!$G$5:$G$2334,'январь 2025'!$D$5:$D$2334,$B35,'январь 2025'!$J$5:$J$2334,AH$1)</f>
        <v>0</v>
      </c>
      <c r="AI35" s="20">
        <f t="shared" si="1"/>
        <v>0</v>
      </c>
    </row>
    <row r="36" spans="2:35" ht="15" customHeight="1" x14ac:dyDescent="0.25">
      <c r="B36" s="128" t="s">
        <v>217</v>
      </c>
      <c r="C36" s="126">
        <v>25</v>
      </c>
      <c r="D36" s="76">
        <f>SUMIFS('январь 2025'!$G$5:$G$2334,'январь 2025'!$D$5:$D$2334,$B36,'январь 2025'!$J$5:$J$2334,D$1)</f>
        <v>0</v>
      </c>
      <c r="E36" s="76">
        <f>SUMIFS('январь 2025'!$G$5:$G$2334,'январь 2025'!$D$5:$D$2334,$B36,'январь 2025'!$J$5:$J$2334,E$1)</f>
        <v>0</v>
      </c>
      <c r="F36" s="76">
        <f>SUMIFS('январь 2025'!$G$5:$G$2334,'январь 2025'!$D$5:$D$2334,$B36,'январь 2025'!$J$5:$J$2334,F$1)</f>
        <v>0</v>
      </c>
      <c r="G36" s="76">
        <f>SUMIFS('январь 2025'!$G$5:$G$2334,'январь 2025'!$D$5:$D$2334,$B36,'январь 2025'!$J$5:$J$2334,G$1)</f>
        <v>0</v>
      </c>
      <c r="H36" s="76">
        <f>SUMIFS('январь 2025'!$G$5:$G$2334,'январь 2025'!$D$5:$D$2334,$B36,'январь 2025'!$J$5:$J$2334,H$1)</f>
        <v>0</v>
      </c>
      <c r="I36" s="76">
        <f>SUMIFS('январь 2025'!$G$5:$G$2334,'январь 2025'!$D$5:$D$2334,$B36,'январь 2025'!$J$5:$J$2334,I$1)</f>
        <v>0</v>
      </c>
      <c r="J36" s="76">
        <f>SUMIFS('январь 2025'!$G$5:$G$2334,'январь 2025'!$D$5:$D$2334,$B36,'январь 2025'!$J$5:$J$2334,J$1)</f>
        <v>0</v>
      </c>
      <c r="K36" s="76">
        <f>SUMIFS('январь 2025'!$G$5:$G$2334,'январь 2025'!$D$5:$D$2334,$B36,'январь 2025'!$J$5:$J$2334,K$1)</f>
        <v>0</v>
      </c>
      <c r="L36" s="76">
        <f>SUMIFS('январь 2025'!$G$5:$G$2334,'январь 2025'!$D$5:$D$2334,$B36,'январь 2025'!$J$5:$J$2334,L$1)</f>
        <v>0</v>
      </c>
      <c r="M36" s="76">
        <f>SUMIFS('январь 2025'!$G$5:$G$2334,'январь 2025'!$D$5:$D$2334,$B36,'январь 2025'!$J$5:$J$2334,M$1)</f>
        <v>0</v>
      </c>
      <c r="N36" s="76">
        <f>SUMIFS('январь 2025'!$G$5:$G$2334,'январь 2025'!$D$5:$D$2334,$B36,'январь 2025'!$J$5:$J$2334,N$1)</f>
        <v>0</v>
      </c>
      <c r="O36" s="76">
        <f>SUMIFS('январь 2025'!$G$5:$G$2334,'январь 2025'!$D$5:$D$2334,$B36,'январь 2025'!$J$5:$J$2334,O$1)</f>
        <v>0</v>
      </c>
      <c r="P36" s="76">
        <f>SUMIFS('январь 2025'!$G$5:$G$2334,'январь 2025'!$D$5:$D$2334,$B36,'январь 2025'!$J$5:$J$2334,P$1)</f>
        <v>0</v>
      </c>
      <c r="Q36" s="76">
        <f>SUMIFS('январь 2025'!$G$5:$G$2334,'январь 2025'!$D$5:$D$2334,$B36,'январь 2025'!$J$5:$J$2334,Q$1)</f>
        <v>0</v>
      </c>
      <c r="R36" s="76">
        <f>SUMIFS('январь 2025'!$G$5:$G$2334,'январь 2025'!$D$5:$D$2334,$B36,'январь 2025'!$J$5:$J$2334,R$1)</f>
        <v>0</v>
      </c>
      <c r="S36" s="76">
        <f>SUMIFS('январь 2025'!$G$5:$G$2334,'январь 2025'!$D$5:$D$2334,$B36,'январь 2025'!$J$5:$J$2334,S$1)</f>
        <v>0</v>
      </c>
      <c r="T36" s="76">
        <f>SUMIFS('январь 2025'!$G$5:$G$2334,'январь 2025'!$D$5:$D$2334,$B36,'январь 2025'!$J$5:$J$2334,T$1)</f>
        <v>0</v>
      </c>
      <c r="U36" s="76">
        <f>SUMIFS('январь 2025'!$G$5:$G$2334,'январь 2025'!$D$5:$D$2334,$B36,'январь 2025'!$J$5:$J$2334,U$1)</f>
        <v>0</v>
      </c>
      <c r="V36" s="76">
        <f>SUMIFS('январь 2025'!$G$5:$G$2334,'январь 2025'!$D$5:$D$2334,$B36,'январь 2025'!$J$5:$J$2334,V$1)</f>
        <v>0</v>
      </c>
      <c r="W36" s="76">
        <f>SUMIFS('январь 2025'!$G$5:$G$2334,'январь 2025'!$D$5:$D$2334,$B36,'январь 2025'!$J$5:$J$2334,W$1)</f>
        <v>0</v>
      </c>
      <c r="X36" s="76">
        <f>SUMIFS('январь 2025'!$G$5:$G$2334,'январь 2025'!$D$5:$D$2334,$B36,'январь 2025'!$J$5:$J$2334,X$1)</f>
        <v>0</v>
      </c>
      <c r="Y36" s="76">
        <f>SUMIFS('январь 2025'!$G$5:$G$2334,'январь 2025'!$D$5:$D$2334,$B36,'январь 2025'!$J$5:$J$2334,Y$1)</f>
        <v>0</v>
      </c>
      <c r="Z36" s="76">
        <f>SUMIFS('январь 2025'!$G$5:$G$2334,'январь 2025'!$D$5:$D$2334,$B36,'январь 2025'!$J$5:$J$2334,Z$1)</f>
        <v>0</v>
      </c>
      <c r="AA36" s="76">
        <f>SUMIFS('январь 2025'!$G$5:$G$2334,'январь 2025'!$D$5:$D$2334,$B36,'январь 2025'!$J$5:$J$2334,AA$1)</f>
        <v>0</v>
      </c>
      <c r="AB36" s="76">
        <f>SUMIFS('январь 2025'!$G$5:$G$2334,'январь 2025'!$D$5:$D$2334,$B36,'январь 2025'!$J$5:$J$2334,AB$1)</f>
        <v>0</v>
      </c>
      <c r="AC36" s="76">
        <f>SUMIFS('январь 2025'!$G$5:$G$2334,'январь 2025'!$D$5:$D$2334,$B36,'январь 2025'!$J$5:$J$2334,AC$1)</f>
        <v>0</v>
      </c>
      <c r="AD36" s="76">
        <f>SUMIFS('январь 2025'!$G$5:$G$2334,'январь 2025'!$D$5:$D$2334,$B36,'январь 2025'!$J$5:$J$2334,AD$1)</f>
        <v>0</v>
      </c>
      <c r="AE36" s="76">
        <f>SUMIFS('январь 2025'!$G$5:$G$2334,'январь 2025'!$D$5:$D$2334,$B36,'январь 2025'!$J$5:$J$2334,AE$1)</f>
        <v>0</v>
      </c>
      <c r="AF36" s="76">
        <f>SUMIFS('январь 2025'!$G$5:$G$2334,'январь 2025'!$D$5:$D$2334,$B36,'январь 2025'!$J$5:$J$2334,AF$1)</f>
        <v>0</v>
      </c>
      <c r="AG36" s="76">
        <f>SUMIFS('январь 2025'!$G$5:$G$2334,'январь 2025'!$D$5:$D$2334,$B36,'январь 2025'!$J$5:$J$2334,AG$1)</f>
        <v>0</v>
      </c>
      <c r="AH36" s="76">
        <f>SUMIFS('январь 2025'!$G$5:$G$2334,'январь 2025'!$D$5:$D$2334,$B36,'январь 2025'!$J$5:$J$2334,AH$1)</f>
        <v>0</v>
      </c>
      <c r="AI36" s="20">
        <f t="shared" si="1"/>
        <v>0</v>
      </c>
    </row>
    <row r="37" spans="2:35" ht="15" customHeight="1" x14ac:dyDescent="0.25">
      <c r="B37" s="129" t="s">
        <v>219</v>
      </c>
      <c r="C37" s="130">
        <v>25</v>
      </c>
      <c r="D37" s="76">
        <f>SUMIFS('январь 2025'!$G$5:$G$2334,'январь 2025'!$D$5:$D$2334,$B37,'январь 2025'!$J$5:$J$2334,D$1)</f>
        <v>0</v>
      </c>
      <c r="E37" s="76">
        <f>SUMIFS('январь 2025'!$G$5:$G$2334,'январь 2025'!$D$5:$D$2334,$B37,'январь 2025'!$J$5:$J$2334,E$1)</f>
        <v>0</v>
      </c>
      <c r="F37" s="76">
        <f>SUMIFS('январь 2025'!$G$5:$G$2334,'январь 2025'!$D$5:$D$2334,$B37,'январь 2025'!$J$5:$J$2334,F$1)</f>
        <v>0</v>
      </c>
      <c r="G37" s="76">
        <f>SUMIFS('январь 2025'!$G$5:$G$2334,'январь 2025'!$D$5:$D$2334,$B37,'январь 2025'!$J$5:$J$2334,G$1)</f>
        <v>0</v>
      </c>
      <c r="H37" s="76">
        <f>SUMIFS('январь 2025'!$G$5:$G$2334,'январь 2025'!$D$5:$D$2334,$B37,'январь 2025'!$J$5:$J$2334,H$1)</f>
        <v>0</v>
      </c>
      <c r="I37" s="76">
        <f>SUMIFS('январь 2025'!$G$5:$G$2334,'январь 2025'!$D$5:$D$2334,$B37,'январь 2025'!$J$5:$J$2334,I$1)</f>
        <v>0</v>
      </c>
      <c r="J37" s="76">
        <f>SUMIFS('январь 2025'!$G$5:$G$2334,'январь 2025'!$D$5:$D$2334,$B37,'январь 2025'!$J$5:$J$2334,J$1)</f>
        <v>0</v>
      </c>
      <c r="K37" s="76">
        <f>SUMIFS('январь 2025'!$G$5:$G$2334,'январь 2025'!$D$5:$D$2334,$B37,'январь 2025'!$J$5:$J$2334,K$1)</f>
        <v>0</v>
      </c>
      <c r="L37" s="76">
        <f>SUMIFS('январь 2025'!$G$5:$G$2334,'январь 2025'!$D$5:$D$2334,$B37,'январь 2025'!$J$5:$J$2334,L$1)</f>
        <v>0</v>
      </c>
      <c r="M37" s="76">
        <f>SUMIFS('январь 2025'!$G$5:$G$2334,'январь 2025'!$D$5:$D$2334,$B37,'январь 2025'!$J$5:$J$2334,M$1)</f>
        <v>0</v>
      </c>
      <c r="N37" s="76">
        <f>SUMIFS('январь 2025'!$G$5:$G$2334,'январь 2025'!$D$5:$D$2334,$B37,'январь 2025'!$J$5:$J$2334,N$1)</f>
        <v>0</v>
      </c>
      <c r="O37" s="76">
        <f>SUMIFS('январь 2025'!$G$5:$G$2334,'январь 2025'!$D$5:$D$2334,$B37,'январь 2025'!$J$5:$J$2334,O$1)</f>
        <v>0</v>
      </c>
      <c r="P37" s="76">
        <f>SUMIFS('январь 2025'!$G$5:$G$2334,'январь 2025'!$D$5:$D$2334,$B37,'январь 2025'!$J$5:$J$2334,P$1)</f>
        <v>0</v>
      </c>
      <c r="Q37" s="76">
        <f>SUMIFS('январь 2025'!$G$5:$G$2334,'январь 2025'!$D$5:$D$2334,$B37,'январь 2025'!$J$5:$J$2334,Q$1)</f>
        <v>0</v>
      </c>
      <c r="R37" s="76">
        <f>SUMIFS('январь 2025'!$G$5:$G$2334,'январь 2025'!$D$5:$D$2334,$B37,'январь 2025'!$J$5:$J$2334,R$1)</f>
        <v>0</v>
      </c>
      <c r="S37" s="76">
        <f>SUMIFS('январь 2025'!$G$5:$G$2334,'январь 2025'!$D$5:$D$2334,$B37,'январь 2025'!$J$5:$J$2334,S$1)</f>
        <v>0</v>
      </c>
      <c r="T37" s="76">
        <f>SUMIFS('январь 2025'!$G$5:$G$2334,'январь 2025'!$D$5:$D$2334,$B37,'январь 2025'!$J$5:$J$2334,T$1)</f>
        <v>0</v>
      </c>
      <c r="U37" s="76">
        <f>SUMIFS('январь 2025'!$G$5:$G$2334,'январь 2025'!$D$5:$D$2334,$B37,'январь 2025'!$J$5:$J$2334,U$1)</f>
        <v>0</v>
      </c>
      <c r="V37" s="76">
        <f>SUMIFS('январь 2025'!$G$5:$G$2334,'январь 2025'!$D$5:$D$2334,$B37,'январь 2025'!$J$5:$J$2334,V$1)</f>
        <v>0</v>
      </c>
      <c r="W37" s="76">
        <f>SUMIFS('январь 2025'!$G$5:$G$2334,'январь 2025'!$D$5:$D$2334,$B37,'январь 2025'!$J$5:$J$2334,W$1)</f>
        <v>0</v>
      </c>
      <c r="X37" s="76">
        <f>SUMIFS('январь 2025'!$G$5:$G$2334,'январь 2025'!$D$5:$D$2334,$B37,'январь 2025'!$J$5:$J$2334,X$1)</f>
        <v>0</v>
      </c>
      <c r="Y37" s="76">
        <f>SUMIFS('январь 2025'!$G$5:$G$2334,'январь 2025'!$D$5:$D$2334,$B37,'январь 2025'!$J$5:$J$2334,Y$1)</f>
        <v>0</v>
      </c>
      <c r="Z37" s="76">
        <f>SUMIFS('январь 2025'!$G$5:$G$2334,'январь 2025'!$D$5:$D$2334,$B37,'январь 2025'!$J$5:$J$2334,Z$1)</f>
        <v>0</v>
      </c>
      <c r="AA37" s="76">
        <f>SUMIFS('январь 2025'!$G$5:$G$2334,'январь 2025'!$D$5:$D$2334,$B37,'январь 2025'!$J$5:$J$2334,AA$1)</f>
        <v>0</v>
      </c>
      <c r="AB37" s="76">
        <f>SUMIFS('январь 2025'!$G$5:$G$2334,'январь 2025'!$D$5:$D$2334,$B37,'январь 2025'!$J$5:$J$2334,AB$1)</f>
        <v>0</v>
      </c>
      <c r="AC37" s="76">
        <f>SUMIFS('январь 2025'!$G$5:$G$2334,'январь 2025'!$D$5:$D$2334,$B37,'январь 2025'!$J$5:$J$2334,AC$1)</f>
        <v>0</v>
      </c>
      <c r="AD37" s="76">
        <f>SUMIFS('январь 2025'!$G$5:$G$2334,'январь 2025'!$D$5:$D$2334,$B37,'январь 2025'!$J$5:$J$2334,AD$1)</f>
        <v>0</v>
      </c>
      <c r="AE37" s="76">
        <f>SUMIFS('январь 2025'!$G$5:$G$2334,'январь 2025'!$D$5:$D$2334,$B37,'январь 2025'!$J$5:$J$2334,AE$1)</f>
        <v>0</v>
      </c>
      <c r="AF37" s="76">
        <f>SUMIFS('январь 2025'!$G$5:$G$2334,'январь 2025'!$D$5:$D$2334,$B37,'январь 2025'!$J$5:$J$2334,AF$1)</f>
        <v>0</v>
      </c>
      <c r="AG37" s="76">
        <f>SUMIFS('январь 2025'!$G$5:$G$2334,'январь 2025'!$D$5:$D$2334,$B37,'январь 2025'!$J$5:$J$2334,AG$1)</f>
        <v>0</v>
      </c>
      <c r="AH37" s="76">
        <f>SUMIFS('январь 2025'!$G$5:$G$2334,'январь 2025'!$D$5:$D$2334,$B37,'январь 2025'!$J$5:$J$2334,AH$1)</f>
        <v>0</v>
      </c>
      <c r="AI37" s="20">
        <f t="shared" si="1"/>
        <v>0</v>
      </c>
    </row>
    <row r="38" spans="2:35" ht="15" customHeight="1" x14ac:dyDescent="0.25">
      <c r="B38" s="131" t="s">
        <v>221</v>
      </c>
      <c r="C38" s="132">
        <v>22.68</v>
      </c>
      <c r="D38" s="76">
        <f>SUMIFS('январь 2025'!$G$5:$G$2334,'январь 2025'!$D$5:$D$2334,$B38,'январь 2025'!$J$5:$J$2334,D$1)</f>
        <v>0</v>
      </c>
      <c r="E38" s="76">
        <f>SUMIFS('январь 2025'!$G$5:$G$2334,'январь 2025'!$D$5:$D$2334,$B38,'январь 2025'!$J$5:$J$2334,E$1)</f>
        <v>0</v>
      </c>
      <c r="F38" s="76">
        <f>SUMIFS('январь 2025'!$G$5:$G$2334,'январь 2025'!$D$5:$D$2334,$B38,'январь 2025'!$J$5:$J$2334,F$1)</f>
        <v>0</v>
      </c>
      <c r="G38" s="76">
        <f>SUMIFS('январь 2025'!$G$5:$G$2334,'январь 2025'!$D$5:$D$2334,$B38,'январь 2025'!$J$5:$J$2334,G$1)</f>
        <v>0</v>
      </c>
      <c r="H38" s="76">
        <f>SUMIFS('январь 2025'!$G$5:$G$2334,'январь 2025'!$D$5:$D$2334,$B38,'январь 2025'!$J$5:$J$2334,H$1)</f>
        <v>0</v>
      </c>
      <c r="I38" s="76">
        <f>SUMIFS('январь 2025'!$G$5:$G$2334,'январь 2025'!$D$5:$D$2334,$B38,'январь 2025'!$J$5:$J$2334,I$1)</f>
        <v>0</v>
      </c>
      <c r="J38" s="76">
        <f>SUMIFS('январь 2025'!$G$5:$G$2334,'январь 2025'!$D$5:$D$2334,$B38,'январь 2025'!$J$5:$J$2334,J$1)</f>
        <v>0</v>
      </c>
      <c r="K38" s="76">
        <f>SUMIFS('январь 2025'!$G$5:$G$2334,'январь 2025'!$D$5:$D$2334,$B38,'январь 2025'!$J$5:$J$2334,K$1)</f>
        <v>0</v>
      </c>
      <c r="L38" s="76">
        <f>SUMIFS('январь 2025'!$G$5:$G$2334,'январь 2025'!$D$5:$D$2334,$B38,'январь 2025'!$J$5:$J$2334,L$1)</f>
        <v>0</v>
      </c>
      <c r="M38" s="76">
        <f>SUMIFS('январь 2025'!$G$5:$G$2334,'январь 2025'!$D$5:$D$2334,$B38,'январь 2025'!$J$5:$J$2334,M$1)</f>
        <v>0</v>
      </c>
      <c r="N38" s="76">
        <f>SUMIFS('январь 2025'!$G$5:$G$2334,'январь 2025'!$D$5:$D$2334,$B38,'январь 2025'!$J$5:$J$2334,N$1)</f>
        <v>0</v>
      </c>
      <c r="O38" s="76">
        <f>SUMIFS('январь 2025'!$G$5:$G$2334,'январь 2025'!$D$5:$D$2334,$B38,'январь 2025'!$J$5:$J$2334,O$1)</f>
        <v>0</v>
      </c>
      <c r="P38" s="76">
        <f>SUMIFS('январь 2025'!$G$5:$G$2334,'январь 2025'!$D$5:$D$2334,$B38,'январь 2025'!$J$5:$J$2334,P$1)</f>
        <v>0</v>
      </c>
      <c r="Q38" s="76">
        <f>SUMIFS('январь 2025'!$G$5:$G$2334,'январь 2025'!$D$5:$D$2334,$B38,'январь 2025'!$J$5:$J$2334,Q$1)</f>
        <v>0</v>
      </c>
      <c r="R38" s="76">
        <f>SUMIFS('январь 2025'!$G$5:$G$2334,'январь 2025'!$D$5:$D$2334,$B38,'январь 2025'!$J$5:$J$2334,R$1)</f>
        <v>0</v>
      </c>
      <c r="S38" s="76">
        <f>SUMIFS('январь 2025'!$G$5:$G$2334,'январь 2025'!$D$5:$D$2334,$B38,'январь 2025'!$J$5:$J$2334,S$1)</f>
        <v>0</v>
      </c>
      <c r="T38" s="76">
        <f>SUMIFS('январь 2025'!$G$5:$G$2334,'январь 2025'!$D$5:$D$2334,$B38,'январь 2025'!$J$5:$J$2334,T$1)</f>
        <v>0</v>
      </c>
      <c r="U38" s="76">
        <f>SUMIFS('январь 2025'!$G$5:$G$2334,'январь 2025'!$D$5:$D$2334,$B38,'январь 2025'!$J$5:$J$2334,U$1)</f>
        <v>0</v>
      </c>
      <c r="V38" s="76">
        <f>SUMIFS('январь 2025'!$G$5:$G$2334,'январь 2025'!$D$5:$D$2334,$B38,'январь 2025'!$J$5:$J$2334,V$1)</f>
        <v>0</v>
      </c>
      <c r="W38" s="76">
        <f>SUMIFS('январь 2025'!$G$5:$G$2334,'январь 2025'!$D$5:$D$2334,$B38,'январь 2025'!$J$5:$J$2334,W$1)</f>
        <v>0</v>
      </c>
      <c r="X38" s="76">
        <f>SUMIFS('январь 2025'!$G$5:$G$2334,'январь 2025'!$D$5:$D$2334,$B38,'январь 2025'!$J$5:$J$2334,X$1)</f>
        <v>0</v>
      </c>
      <c r="Y38" s="76">
        <f>SUMIFS('январь 2025'!$G$5:$G$2334,'январь 2025'!$D$5:$D$2334,$B38,'январь 2025'!$J$5:$J$2334,Y$1)</f>
        <v>0</v>
      </c>
      <c r="Z38" s="76">
        <f>SUMIFS('январь 2025'!$G$5:$G$2334,'январь 2025'!$D$5:$D$2334,$B38,'январь 2025'!$J$5:$J$2334,Z$1)</f>
        <v>0</v>
      </c>
      <c r="AA38" s="76">
        <f>SUMIFS('январь 2025'!$G$5:$G$2334,'январь 2025'!$D$5:$D$2334,$B38,'январь 2025'!$J$5:$J$2334,AA$1)</f>
        <v>0</v>
      </c>
      <c r="AB38" s="76">
        <f>SUMIFS('январь 2025'!$G$5:$G$2334,'январь 2025'!$D$5:$D$2334,$B38,'январь 2025'!$J$5:$J$2334,AB$1)</f>
        <v>0</v>
      </c>
      <c r="AC38" s="76">
        <f>SUMIFS('январь 2025'!$G$5:$G$2334,'январь 2025'!$D$5:$D$2334,$B38,'январь 2025'!$J$5:$J$2334,AC$1)</f>
        <v>0</v>
      </c>
      <c r="AD38" s="76">
        <f>SUMIFS('январь 2025'!$G$5:$G$2334,'январь 2025'!$D$5:$D$2334,$B38,'январь 2025'!$J$5:$J$2334,AD$1)</f>
        <v>0</v>
      </c>
      <c r="AE38" s="76">
        <f>SUMIFS('январь 2025'!$G$5:$G$2334,'январь 2025'!$D$5:$D$2334,$B38,'январь 2025'!$J$5:$J$2334,AE$1)</f>
        <v>0</v>
      </c>
      <c r="AF38" s="76">
        <f>SUMIFS('январь 2025'!$G$5:$G$2334,'январь 2025'!$D$5:$D$2334,$B38,'январь 2025'!$J$5:$J$2334,AF$1)</f>
        <v>0</v>
      </c>
      <c r="AG38" s="76">
        <f>SUMIFS('январь 2025'!$G$5:$G$2334,'январь 2025'!$D$5:$D$2334,$B38,'январь 2025'!$J$5:$J$2334,AG$1)</f>
        <v>0</v>
      </c>
      <c r="AH38" s="76">
        <f>SUMIFS('январь 2025'!$G$5:$G$2334,'январь 2025'!$D$5:$D$2334,$B38,'январь 2025'!$J$5:$J$2334,AH$1)</f>
        <v>0</v>
      </c>
      <c r="AI38" s="20">
        <f t="shared" si="1"/>
        <v>0</v>
      </c>
    </row>
    <row r="39" spans="2:35" ht="15" customHeight="1" x14ac:dyDescent="0.25">
      <c r="B39" s="131" t="s">
        <v>223</v>
      </c>
      <c r="C39" s="133">
        <v>25</v>
      </c>
      <c r="D39" s="76">
        <f>SUMIFS('январь 2025'!$G$5:$G$2334,'январь 2025'!$D$5:$D$2334,$B39,'январь 2025'!$J$5:$J$2334,D$1)</f>
        <v>0</v>
      </c>
      <c r="E39" s="76">
        <f>SUMIFS('январь 2025'!$G$5:$G$2334,'январь 2025'!$D$5:$D$2334,$B39,'январь 2025'!$J$5:$J$2334,E$1)</f>
        <v>0</v>
      </c>
      <c r="F39" s="76">
        <f>SUMIFS('январь 2025'!$G$5:$G$2334,'январь 2025'!$D$5:$D$2334,$B39,'январь 2025'!$J$5:$J$2334,F$1)</f>
        <v>0</v>
      </c>
      <c r="G39" s="76">
        <f>SUMIFS('январь 2025'!$G$5:$G$2334,'январь 2025'!$D$5:$D$2334,$B39,'январь 2025'!$J$5:$J$2334,G$1)</f>
        <v>0</v>
      </c>
      <c r="H39" s="76">
        <f>SUMIFS('январь 2025'!$G$5:$G$2334,'январь 2025'!$D$5:$D$2334,$B39,'январь 2025'!$J$5:$J$2334,H$1)</f>
        <v>0</v>
      </c>
      <c r="I39" s="76">
        <f>SUMIFS('январь 2025'!$G$5:$G$2334,'январь 2025'!$D$5:$D$2334,$B39,'январь 2025'!$J$5:$J$2334,I$1)</f>
        <v>0</v>
      </c>
      <c r="J39" s="76">
        <f>SUMIFS('январь 2025'!$G$5:$G$2334,'январь 2025'!$D$5:$D$2334,$B39,'январь 2025'!$J$5:$J$2334,J$1)</f>
        <v>0</v>
      </c>
      <c r="K39" s="76">
        <f>SUMIFS('январь 2025'!$G$5:$G$2334,'январь 2025'!$D$5:$D$2334,$B39,'январь 2025'!$J$5:$J$2334,K$1)</f>
        <v>0</v>
      </c>
      <c r="L39" s="76">
        <f>SUMIFS('январь 2025'!$G$5:$G$2334,'январь 2025'!$D$5:$D$2334,$B39,'январь 2025'!$J$5:$J$2334,L$1)</f>
        <v>0</v>
      </c>
      <c r="M39" s="76">
        <f>SUMIFS('январь 2025'!$G$5:$G$2334,'январь 2025'!$D$5:$D$2334,$B39,'январь 2025'!$J$5:$J$2334,M$1)</f>
        <v>0</v>
      </c>
      <c r="N39" s="76">
        <f>SUMIFS('январь 2025'!$G$5:$G$2334,'январь 2025'!$D$5:$D$2334,$B39,'январь 2025'!$J$5:$J$2334,N$1)</f>
        <v>0</v>
      </c>
      <c r="O39" s="76">
        <f>SUMIFS('январь 2025'!$G$5:$G$2334,'январь 2025'!$D$5:$D$2334,$B39,'январь 2025'!$J$5:$J$2334,O$1)</f>
        <v>0</v>
      </c>
      <c r="P39" s="76">
        <f>SUMIFS('январь 2025'!$G$5:$G$2334,'январь 2025'!$D$5:$D$2334,$B39,'январь 2025'!$J$5:$J$2334,P$1)</f>
        <v>0</v>
      </c>
      <c r="Q39" s="76">
        <f>SUMIFS('январь 2025'!$G$5:$G$2334,'январь 2025'!$D$5:$D$2334,$B39,'январь 2025'!$J$5:$J$2334,Q$1)</f>
        <v>0</v>
      </c>
      <c r="R39" s="76">
        <f>SUMIFS('январь 2025'!$G$5:$G$2334,'январь 2025'!$D$5:$D$2334,$B39,'январь 2025'!$J$5:$J$2334,R$1)</f>
        <v>800</v>
      </c>
      <c r="S39" s="76">
        <f>SUMIFS('январь 2025'!$G$5:$G$2334,'январь 2025'!$D$5:$D$2334,$B39,'январь 2025'!$J$5:$J$2334,S$1)</f>
        <v>0</v>
      </c>
      <c r="T39" s="76">
        <f>SUMIFS('январь 2025'!$G$5:$G$2334,'январь 2025'!$D$5:$D$2334,$B39,'январь 2025'!$J$5:$J$2334,T$1)</f>
        <v>1200</v>
      </c>
      <c r="U39" s="76">
        <f>SUMIFS('январь 2025'!$G$5:$G$2334,'январь 2025'!$D$5:$D$2334,$B39,'январь 2025'!$J$5:$J$2334,U$1)</f>
        <v>0</v>
      </c>
      <c r="V39" s="76">
        <f>SUMIFS('январь 2025'!$G$5:$G$2334,'январь 2025'!$D$5:$D$2334,$B39,'январь 2025'!$J$5:$J$2334,V$1)</f>
        <v>0</v>
      </c>
      <c r="W39" s="76">
        <f>SUMIFS('январь 2025'!$G$5:$G$2334,'январь 2025'!$D$5:$D$2334,$B39,'январь 2025'!$J$5:$J$2334,W$1)</f>
        <v>0</v>
      </c>
      <c r="X39" s="76">
        <f>SUMIFS('январь 2025'!$G$5:$G$2334,'январь 2025'!$D$5:$D$2334,$B39,'январь 2025'!$J$5:$J$2334,X$1)</f>
        <v>800</v>
      </c>
      <c r="Y39" s="76">
        <f>SUMIFS('январь 2025'!$G$5:$G$2334,'январь 2025'!$D$5:$D$2334,$B39,'январь 2025'!$J$5:$J$2334,Y$1)</f>
        <v>800</v>
      </c>
      <c r="Z39" s="76">
        <f>SUMIFS('январь 2025'!$G$5:$G$2334,'январь 2025'!$D$5:$D$2334,$B39,'январь 2025'!$J$5:$J$2334,Z$1)</f>
        <v>680</v>
      </c>
      <c r="AA39" s="76">
        <f>SUMIFS('январь 2025'!$G$5:$G$2334,'январь 2025'!$D$5:$D$2334,$B39,'январь 2025'!$J$5:$J$2334,AA$1)</f>
        <v>800</v>
      </c>
      <c r="AB39" s="76">
        <f>SUMIFS('январь 2025'!$G$5:$G$2334,'январь 2025'!$D$5:$D$2334,$B39,'январь 2025'!$J$5:$J$2334,AB$1)</f>
        <v>0</v>
      </c>
      <c r="AC39" s="76">
        <f>SUMIFS('январь 2025'!$G$5:$G$2334,'январь 2025'!$D$5:$D$2334,$B39,'январь 2025'!$J$5:$J$2334,AC$1)</f>
        <v>0</v>
      </c>
      <c r="AD39" s="76">
        <f>SUMIFS('январь 2025'!$G$5:$G$2334,'январь 2025'!$D$5:$D$2334,$B39,'январь 2025'!$J$5:$J$2334,AD$1)</f>
        <v>800</v>
      </c>
      <c r="AE39" s="76">
        <f>SUMIFS('январь 2025'!$G$5:$G$2334,'январь 2025'!$D$5:$D$2334,$B39,'январь 2025'!$J$5:$J$2334,AE$1)</f>
        <v>0</v>
      </c>
      <c r="AF39" s="76">
        <f>SUMIFS('январь 2025'!$G$5:$G$2334,'январь 2025'!$D$5:$D$2334,$B39,'январь 2025'!$J$5:$J$2334,AF$1)</f>
        <v>0</v>
      </c>
      <c r="AG39" s="76">
        <f>SUMIFS('январь 2025'!$G$5:$G$2334,'январь 2025'!$D$5:$D$2334,$B39,'январь 2025'!$J$5:$J$2334,AG$1)</f>
        <v>800</v>
      </c>
      <c r="AH39" s="76">
        <f>SUMIFS('январь 2025'!$G$5:$G$2334,'январь 2025'!$D$5:$D$2334,$B39,'январь 2025'!$J$5:$J$2334,AH$1)</f>
        <v>0</v>
      </c>
      <c r="AI39" s="20">
        <f t="shared" si="1"/>
        <v>6680</v>
      </c>
    </row>
    <row r="40" spans="2:35" ht="15" customHeight="1" x14ac:dyDescent="0.25">
      <c r="B40" s="131" t="s">
        <v>225</v>
      </c>
      <c r="C40" s="134">
        <v>25</v>
      </c>
      <c r="D40" s="76">
        <f>SUMIFS('январь 2025'!$G$5:$G$2334,'январь 2025'!$D$5:$D$2334,$B40,'январь 2025'!$J$5:$J$2334,D$1)</f>
        <v>0</v>
      </c>
      <c r="E40" s="76">
        <f>SUMIFS('январь 2025'!$G$5:$G$2334,'январь 2025'!$D$5:$D$2334,$B40,'январь 2025'!$J$5:$J$2334,E$1)</f>
        <v>0</v>
      </c>
      <c r="F40" s="76">
        <f>SUMIFS('январь 2025'!$G$5:$G$2334,'январь 2025'!$D$5:$D$2334,$B40,'январь 2025'!$J$5:$J$2334,F$1)</f>
        <v>0</v>
      </c>
      <c r="G40" s="76">
        <f>SUMIFS('январь 2025'!$G$5:$G$2334,'январь 2025'!$D$5:$D$2334,$B40,'январь 2025'!$J$5:$J$2334,G$1)</f>
        <v>0</v>
      </c>
      <c r="H40" s="76">
        <f>SUMIFS('январь 2025'!$G$5:$G$2334,'январь 2025'!$D$5:$D$2334,$B40,'январь 2025'!$J$5:$J$2334,H$1)</f>
        <v>0</v>
      </c>
      <c r="I40" s="76">
        <f>SUMIFS('январь 2025'!$G$5:$G$2334,'январь 2025'!$D$5:$D$2334,$B40,'январь 2025'!$J$5:$J$2334,I$1)</f>
        <v>0</v>
      </c>
      <c r="J40" s="76">
        <f>SUMIFS('январь 2025'!$G$5:$G$2334,'январь 2025'!$D$5:$D$2334,$B40,'январь 2025'!$J$5:$J$2334,J$1)</f>
        <v>0</v>
      </c>
      <c r="K40" s="76">
        <f>SUMIFS('январь 2025'!$G$5:$G$2334,'январь 2025'!$D$5:$D$2334,$B40,'январь 2025'!$J$5:$J$2334,K$1)</f>
        <v>0</v>
      </c>
      <c r="L40" s="76">
        <f>SUMIFS('январь 2025'!$G$5:$G$2334,'январь 2025'!$D$5:$D$2334,$B40,'январь 2025'!$J$5:$J$2334,L$1)</f>
        <v>0</v>
      </c>
      <c r="M40" s="76">
        <f>SUMIFS('январь 2025'!$G$5:$G$2334,'январь 2025'!$D$5:$D$2334,$B40,'январь 2025'!$J$5:$J$2334,M$1)</f>
        <v>0</v>
      </c>
      <c r="N40" s="76">
        <f>SUMIFS('январь 2025'!$G$5:$G$2334,'январь 2025'!$D$5:$D$2334,$B40,'январь 2025'!$J$5:$J$2334,N$1)</f>
        <v>0</v>
      </c>
      <c r="O40" s="76">
        <f>SUMIFS('январь 2025'!$G$5:$G$2334,'январь 2025'!$D$5:$D$2334,$B40,'январь 2025'!$J$5:$J$2334,O$1)</f>
        <v>0</v>
      </c>
      <c r="P40" s="76">
        <f>SUMIFS('январь 2025'!$G$5:$G$2334,'январь 2025'!$D$5:$D$2334,$B40,'январь 2025'!$J$5:$J$2334,P$1)</f>
        <v>0</v>
      </c>
      <c r="Q40" s="76">
        <f>SUMIFS('январь 2025'!$G$5:$G$2334,'январь 2025'!$D$5:$D$2334,$B40,'январь 2025'!$J$5:$J$2334,Q$1)</f>
        <v>0</v>
      </c>
      <c r="R40" s="76">
        <f>SUMIFS('январь 2025'!$G$5:$G$2334,'январь 2025'!$D$5:$D$2334,$B40,'январь 2025'!$J$5:$J$2334,R$1)</f>
        <v>0</v>
      </c>
      <c r="S40" s="76">
        <f>SUMIFS('январь 2025'!$G$5:$G$2334,'январь 2025'!$D$5:$D$2334,$B40,'январь 2025'!$J$5:$J$2334,S$1)</f>
        <v>0</v>
      </c>
      <c r="T40" s="76">
        <f>SUMIFS('январь 2025'!$G$5:$G$2334,'январь 2025'!$D$5:$D$2334,$B40,'январь 2025'!$J$5:$J$2334,T$1)</f>
        <v>0</v>
      </c>
      <c r="U40" s="76">
        <f>SUMIFS('январь 2025'!$G$5:$G$2334,'январь 2025'!$D$5:$D$2334,$B40,'январь 2025'!$J$5:$J$2334,U$1)</f>
        <v>0</v>
      </c>
      <c r="V40" s="76">
        <f>SUMIFS('январь 2025'!$G$5:$G$2334,'январь 2025'!$D$5:$D$2334,$B40,'январь 2025'!$J$5:$J$2334,V$1)</f>
        <v>0</v>
      </c>
      <c r="W40" s="76">
        <f>SUMIFS('январь 2025'!$G$5:$G$2334,'январь 2025'!$D$5:$D$2334,$B40,'январь 2025'!$J$5:$J$2334,W$1)</f>
        <v>0</v>
      </c>
      <c r="X40" s="76">
        <f>SUMIFS('январь 2025'!$G$5:$G$2334,'январь 2025'!$D$5:$D$2334,$B40,'январь 2025'!$J$5:$J$2334,X$1)</f>
        <v>0</v>
      </c>
      <c r="Y40" s="76">
        <f>SUMIFS('январь 2025'!$G$5:$G$2334,'январь 2025'!$D$5:$D$2334,$B40,'январь 2025'!$J$5:$J$2334,Y$1)</f>
        <v>0</v>
      </c>
      <c r="Z40" s="76">
        <f>SUMIFS('январь 2025'!$G$5:$G$2334,'январь 2025'!$D$5:$D$2334,$B40,'январь 2025'!$J$5:$J$2334,Z$1)</f>
        <v>0</v>
      </c>
      <c r="AA40" s="76">
        <f>SUMIFS('январь 2025'!$G$5:$G$2334,'январь 2025'!$D$5:$D$2334,$B40,'январь 2025'!$J$5:$J$2334,AA$1)</f>
        <v>0</v>
      </c>
      <c r="AB40" s="76">
        <f>SUMIFS('январь 2025'!$G$5:$G$2334,'январь 2025'!$D$5:$D$2334,$B40,'январь 2025'!$J$5:$J$2334,AB$1)</f>
        <v>0</v>
      </c>
      <c r="AC40" s="76">
        <f>SUMIFS('январь 2025'!$G$5:$G$2334,'январь 2025'!$D$5:$D$2334,$B40,'январь 2025'!$J$5:$J$2334,AC$1)</f>
        <v>0</v>
      </c>
      <c r="AD40" s="76">
        <f>SUMIFS('январь 2025'!$G$5:$G$2334,'январь 2025'!$D$5:$D$2334,$B40,'январь 2025'!$J$5:$J$2334,AD$1)</f>
        <v>0</v>
      </c>
      <c r="AE40" s="76">
        <f>SUMIFS('январь 2025'!$G$5:$G$2334,'январь 2025'!$D$5:$D$2334,$B40,'январь 2025'!$J$5:$J$2334,AE$1)</f>
        <v>0</v>
      </c>
      <c r="AF40" s="76">
        <f>SUMIFS('январь 2025'!$G$5:$G$2334,'январь 2025'!$D$5:$D$2334,$B40,'январь 2025'!$J$5:$J$2334,AF$1)</f>
        <v>0</v>
      </c>
      <c r="AG40" s="76">
        <f>SUMIFS('январь 2025'!$G$5:$G$2334,'январь 2025'!$D$5:$D$2334,$B40,'январь 2025'!$J$5:$J$2334,AG$1)</f>
        <v>0</v>
      </c>
      <c r="AH40" s="76">
        <f>SUMIFS('январь 2025'!$G$5:$G$2334,'январь 2025'!$D$5:$D$2334,$B40,'январь 2025'!$J$5:$J$2334,AH$1)</f>
        <v>0</v>
      </c>
      <c r="AI40" s="20">
        <f t="shared" si="1"/>
        <v>0</v>
      </c>
    </row>
    <row r="41" spans="2:35" ht="15" customHeight="1" x14ac:dyDescent="0.25">
      <c r="B41" s="131" t="s">
        <v>227</v>
      </c>
      <c r="C41" s="130">
        <v>22.68</v>
      </c>
      <c r="D41" s="76">
        <f>SUMIFS('январь 2025'!$G$5:$G$2334,'январь 2025'!$D$5:$D$2334,$B41,'январь 2025'!$J$5:$J$2334,D$1)</f>
        <v>0</v>
      </c>
      <c r="E41" s="76">
        <f>SUMIFS('январь 2025'!$G$5:$G$2334,'январь 2025'!$D$5:$D$2334,$B41,'январь 2025'!$J$5:$J$2334,E$1)</f>
        <v>0</v>
      </c>
      <c r="F41" s="76">
        <f>SUMIFS('январь 2025'!$G$5:$G$2334,'январь 2025'!$D$5:$D$2334,$B41,'январь 2025'!$J$5:$J$2334,F$1)</f>
        <v>0</v>
      </c>
      <c r="G41" s="76">
        <f>SUMIFS('январь 2025'!$G$5:$G$2334,'январь 2025'!$D$5:$D$2334,$B41,'январь 2025'!$J$5:$J$2334,G$1)</f>
        <v>0</v>
      </c>
      <c r="H41" s="76">
        <f>SUMIFS('январь 2025'!$G$5:$G$2334,'январь 2025'!$D$5:$D$2334,$B41,'январь 2025'!$J$5:$J$2334,H$1)</f>
        <v>0</v>
      </c>
      <c r="I41" s="76">
        <f>SUMIFS('январь 2025'!$G$5:$G$2334,'январь 2025'!$D$5:$D$2334,$B41,'январь 2025'!$J$5:$J$2334,I$1)</f>
        <v>0</v>
      </c>
      <c r="J41" s="76">
        <f>SUMIFS('январь 2025'!$G$5:$G$2334,'январь 2025'!$D$5:$D$2334,$B41,'январь 2025'!$J$5:$J$2334,J$1)</f>
        <v>0</v>
      </c>
      <c r="K41" s="76">
        <f>SUMIFS('январь 2025'!$G$5:$G$2334,'январь 2025'!$D$5:$D$2334,$B41,'январь 2025'!$J$5:$J$2334,K$1)</f>
        <v>0</v>
      </c>
      <c r="L41" s="76">
        <f>SUMIFS('январь 2025'!$G$5:$G$2334,'январь 2025'!$D$5:$D$2334,$B41,'январь 2025'!$J$5:$J$2334,L$1)</f>
        <v>0</v>
      </c>
      <c r="M41" s="76">
        <f>SUMIFS('январь 2025'!$G$5:$G$2334,'январь 2025'!$D$5:$D$2334,$B41,'январь 2025'!$J$5:$J$2334,M$1)</f>
        <v>0</v>
      </c>
      <c r="N41" s="76">
        <f>SUMIFS('январь 2025'!$G$5:$G$2334,'январь 2025'!$D$5:$D$2334,$B41,'январь 2025'!$J$5:$J$2334,N$1)</f>
        <v>0</v>
      </c>
      <c r="O41" s="76">
        <f>SUMIFS('январь 2025'!$G$5:$G$2334,'январь 2025'!$D$5:$D$2334,$B41,'январь 2025'!$J$5:$J$2334,O$1)</f>
        <v>0</v>
      </c>
      <c r="P41" s="76">
        <f>SUMIFS('январь 2025'!$G$5:$G$2334,'январь 2025'!$D$5:$D$2334,$B41,'январь 2025'!$J$5:$J$2334,P$1)</f>
        <v>0</v>
      </c>
      <c r="Q41" s="76">
        <f>SUMIFS('январь 2025'!$G$5:$G$2334,'январь 2025'!$D$5:$D$2334,$B41,'январь 2025'!$J$5:$J$2334,Q$1)</f>
        <v>0</v>
      </c>
      <c r="R41" s="76">
        <f>SUMIFS('январь 2025'!$G$5:$G$2334,'январь 2025'!$D$5:$D$2334,$B41,'январь 2025'!$J$5:$J$2334,R$1)</f>
        <v>0</v>
      </c>
      <c r="S41" s="76">
        <f>SUMIFS('январь 2025'!$G$5:$G$2334,'январь 2025'!$D$5:$D$2334,$B41,'январь 2025'!$J$5:$J$2334,S$1)</f>
        <v>0</v>
      </c>
      <c r="T41" s="76">
        <f>SUMIFS('январь 2025'!$G$5:$G$2334,'январь 2025'!$D$5:$D$2334,$B41,'январь 2025'!$J$5:$J$2334,T$1)</f>
        <v>0</v>
      </c>
      <c r="U41" s="76">
        <f>SUMIFS('январь 2025'!$G$5:$G$2334,'январь 2025'!$D$5:$D$2334,$B41,'январь 2025'!$J$5:$J$2334,U$1)</f>
        <v>0</v>
      </c>
      <c r="V41" s="76">
        <f>SUMIFS('январь 2025'!$G$5:$G$2334,'январь 2025'!$D$5:$D$2334,$B41,'январь 2025'!$J$5:$J$2334,V$1)</f>
        <v>0</v>
      </c>
      <c r="W41" s="76">
        <f>SUMIFS('январь 2025'!$G$5:$G$2334,'январь 2025'!$D$5:$D$2334,$B41,'январь 2025'!$J$5:$J$2334,W$1)</f>
        <v>0</v>
      </c>
      <c r="X41" s="76">
        <f>SUMIFS('январь 2025'!$G$5:$G$2334,'январь 2025'!$D$5:$D$2334,$B41,'январь 2025'!$J$5:$J$2334,X$1)</f>
        <v>0</v>
      </c>
      <c r="Y41" s="76">
        <f>SUMIFS('январь 2025'!$G$5:$G$2334,'январь 2025'!$D$5:$D$2334,$B41,'январь 2025'!$J$5:$J$2334,Y$1)</f>
        <v>0</v>
      </c>
      <c r="Z41" s="76">
        <f>SUMIFS('январь 2025'!$G$5:$G$2334,'январь 2025'!$D$5:$D$2334,$B41,'январь 2025'!$J$5:$J$2334,Z$1)</f>
        <v>0</v>
      </c>
      <c r="AA41" s="76">
        <f>SUMIFS('январь 2025'!$G$5:$G$2334,'январь 2025'!$D$5:$D$2334,$B41,'январь 2025'!$J$5:$J$2334,AA$1)</f>
        <v>0</v>
      </c>
      <c r="AB41" s="76">
        <f>SUMIFS('январь 2025'!$G$5:$G$2334,'январь 2025'!$D$5:$D$2334,$B41,'январь 2025'!$J$5:$J$2334,AB$1)</f>
        <v>0</v>
      </c>
      <c r="AC41" s="76">
        <f>SUMIFS('январь 2025'!$G$5:$G$2334,'январь 2025'!$D$5:$D$2334,$B41,'январь 2025'!$J$5:$J$2334,AC$1)</f>
        <v>0</v>
      </c>
      <c r="AD41" s="76">
        <f>SUMIFS('январь 2025'!$G$5:$G$2334,'январь 2025'!$D$5:$D$2334,$B41,'январь 2025'!$J$5:$J$2334,AD$1)</f>
        <v>0</v>
      </c>
      <c r="AE41" s="76">
        <f>SUMIFS('январь 2025'!$G$5:$G$2334,'январь 2025'!$D$5:$D$2334,$B41,'январь 2025'!$J$5:$J$2334,AE$1)</f>
        <v>0</v>
      </c>
      <c r="AF41" s="76">
        <f>SUMIFS('январь 2025'!$G$5:$G$2334,'январь 2025'!$D$5:$D$2334,$B41,'январь 2025'!$J$5:$J$2334,AF$1)</f>
        <v>0</v>
      </c>
      <c r="AG41" s="76">
        <f>SUMIFS('январь 2025'!$G$5:$G$2334,'январь 2025'!$D$5:$D$2334,$B41,'январь 2025'!$J$5:$J$2334,AG$1)</f>
        <v>0</v>
      </c>
      <c r="AH41" s="76">
        <f>SUMIFS('январь 2025'!$G$5:$G$2334,'январь 2025'!$D$5:$D$2334,$B41,'январь 2025'!$J$5:$J$2334,AH$1)</f>
        <v>0</v>
      </c>
      <c r="AI41" s="20">
        <f t="shared" si="1"/>
        <v>0</v>
      </c>
    </row>
    <row r="42" spans="2:35" ht="15" customHeight="1" x14ac:dyDescent="0.25">
      <c r="B42" s="135" t="s">
        <v>229</v>
      </c>
      <c r="C42" s="132">
        <v>25</v>
      </c>
      <c r="D42" s="76">
        <f>SUMIFS('январь 2025'!$G$5:$G$2334,'январь 2025'!$D$5:$D$2334,$B42,'январь 2025'!$J$5:$J$2334,D$1)</f>
        <v>0</v>
      </c>
      <c r="E42" s="76">
        <f>SUMIFS('январь 2025'!$G$5:$G$2334,'январь 2025'!$D$5:$D$2334,$B42,'январь 2025'!$J$5:$J$2334,E$1)</f>
        <v>0</v>
      </c>
      <c r="F42" s="76">
        <f>SUMIFS('январь 2025'!$G$5:$G$2334,'январь 2025'!$D$5:$D$2334,$B42,'январь 2025'!$J$5:$J$2334,F$1)</f>
        <v>0</v>
      </c>
      <c r="G42" s="76">
        <f>SUMIFS('январь 2025'!$G$5:$G$2334,'январь 2025'!$D$5:$D$2334,$B42,'январь 2025'!$J$5:$J$2334,G$1)</f>
        <v>0</v>
      </c>
      <c r="H42" s="76">
        <f>SUMIFS('январь 2025'!$G$5:$G$2334,'январь 2025'!$D$5:$D$2334,$B42,'январь 2025'!$J$5:$J$2334,H$1)</f>
        <v>0</v>
      </c>
      <c r="I42" s="76">
        <f>SUMIFS('январь 2025'!$G$5:$G$2334,'январь 2025'!$D$5:$D$2334,$B42,'январь 2025'!$J$5:$J$2334,I$1)</f>
        <v>0</v>
      </c>
      <c r="J42" s="76">
        <f>SUMIFS('январь 2025'!$G$5:$G$2334,'январь 2025'!$D$5:$D$2334,$B42,'январь 2025'!$J$5:$J$2334,J$1)</f>
        <v>0</v>
      </c>
      <c r="K42" s="76">
        <f>SUMIFS('январь 2025'!$G$5:$G$2334,'январь 2025'!$D$5:$D$2334,$B42,'январь 2025'!$J$5:$J$2334,K$1)</f>
        <v>0</v>
      </c>
      <c r="L42" s="76">
        <f>SUMIFS('январь 2025'!$G$5:$G$2334,'январь 2025'!$D$5:$D$2334,$B42,'январь 2025'!$J$5:$J$2334,L$1)</f>
        <v>0</v>
      </c>
      <c r="M42" s="76">
        <f>SUMIFS('январь 2025'!$G$5:$G$2334,'январь 2025'!$D$5:$D$2334,$B42,'январь 2025'!$J$5:$J$2334,M$1)</f>
        <v>0</v>
      </c>
      <c r="N42" s="76">
        <f>SUMIFS('январь 2025'!$G$5:$G$2334,'январь 2025'!$D$5:$D$2334,$B42,'январь 2025'!$J$5:$J$2334,N$1)</f>
        <v>0</v>
      </c>
      <c r="O42" s="76">
        <f>SUMIFS('январь 2025'!$G$5:$G$2334,'январь 2025'!$D$5:$D$2334,$B42,'январь 2025'!$J$5:$J$2334,O$1)</f>
        <v>0</v>
      </c>
      <c r="P42" s="76">
        <f>SUMIFS('январь 2025'!$G$5:$G$2334,'январь 2025'!$D$5:$D$2334,$B42,'январь 2025'!$J$5:$J$2334,P$1)</f>
        <v>0</v>
      </c>
      <c r="Q42" s="76">
        <f>SUMIFS('январь 2025'!$G$5:$G$2334,'январь 2025'!$D$5:$D$2334,$B42,'январь 2025'!$J$5:$J$2334,Q$1)</f>
        <v>0</v>
      </c>
      <c r="R42" s="76">
        <f>SUMIFS('январь 2025'!$G$5:$G$2334,'январь 2025'!$D$5:$D$2334,$B42,'январь 2025'!$J$5:$J$2334,R$1)</f>
        <v>0</v>
      </c>
      <c r="S42" s="76">
        <f>SUMIFS('январь 2025'!$G$5:$G$2334,'январь 2025'!$D$5:$D$2334,$B42,'январь 2025'!$J$5:$J$2334,S$1)</f>
        <v>0</v>
      </c>
      <c r="T42" s="76">
        <f>SUMIFS('январь 2025'!$G$5:$G$2334,'январь 2025'!$D$5:$D$2334,$B42,'январь 2025'!$J$5:$J$2334,T$1)</f>
        <v>0</v>
      </c>
      <c r="U42" s="76">
        <f>SUMIFS('январь 2025'!$G$5:$G$2334,'январь 2025'!$D$5:$D$2334,$B42,'январь 2025'!$J$5:$J$2334,U$1)</f>
        <v>0</v>
      </c>
      <c r="V42" s="76">
        <f>SUMIFS('январь 2025'!$G$5:$G$2334,'январь 2025'!$D$5:$D$2334,$B42,'январь 2025'!$J$5:$J$2334,V$1)</f>
        <v>0</v>
      </c>
      <c r="W42" s="76">
        <f>SUMIFS('январь 2025'!$G$5:$G$2334,'январь 2025'!$D$5:$D$2334,$B42,'январь 2025'!$J$5:$J$2334,W$1)</f>
        <v>0</v>
      </c>
      <c r="X42" s="76">
        <f>SUMIFS('январь 2025'!$G$5:$G$2334,'январь 2025'!$D$5:$D$2334,$B42,'январь 2025'!$J$5:$J$2334,X$1)</f>
        <v>0</v>
      </c>
      <c r="Y42" s="76">
        <f>SUMIFS('январь 2025'!$G$5:$G$2334,'январь 2025'!$D$5:$D$2334,$B42,'январь 2025'!$J$5:$J$2334,Y$1)</f>
        <v>0</v>
      </c>
      <c r="Z42" s="76">
        <f>SUMIFS('январь 2025'!$G$5:$G$2334,'январь 2025'!$D$5:$D$2334,$B42,'январь 2025'!$J$5:$J$2334,Z$1)</f>
        <v>0</v>
      </c>
      <c r="AA42" s="76">
        <f>SUMIFS('январь 2025'!$G$5:$G$2334,'январь 2025'!$D$5:$D$2334,$B42,'январь 2025'!$J$5:$J$2334,AA$1)</f>
        <v>0</v>
      </c>
      <c r="AB42" s="76">
        <f>SUMIFS('январь 2025'!$G$5:$G$2334,'январь 2025'!$D$5:$D$2334,$B42,'январь 2025'!$J$5:$J$2334,AB$1)</f>
        <v>0</v>
      </c>
      <c r="AC42" s="76">
        <f>SUMIFS('январь 2025'!$G$5:$G$2334,'январь 2025'!$D$5:$D$2334,$B42,'январь 2025'!$J$5:$J$2334,AC$1)</f>
        <v>0</v>
      </c>
      <c r="AD42" s="76">
        <f>SUMIFS('январь 2025'!$G$5:$G$2334,'январь 2025'!$D$5:$D$2334,$B42,'январь 2025'!$J$5:$J$2334,AD$1)</f>
        <v>0</v>
      </c>
      <c r="AE42" s="76">
        <f>SUMIFS('январь 2025'!$G$5:$G$2334,'январь 2025'!$D$5:$D$2334,$B42,'январь 2025'!$J$5:$J$2334,AE$1)</f>
        <v>0</v>
      </c>
      <c r="AF42" s="76">
        <f>SUMIFS('январь 2025'!$G$5:$G$2334,'январь 2025'!$D$5:$D$2334,$B42,'январь 2025'!$J$5:$J$2334,AF$1)</f>
        <v>0</v>
      </c>
      <c r="AG42" s="76">
        <f>SUMIFS('январь 2025'!$G$5:$G$2334,'январь 2025'!$D$5:$D$2334,$B42,'январь 2025'!$J$5:$J$2334,AG$1)</f>
        <v>0</v>
      </c>
      <c r="AH42" s="76">
        <f>SUMIFS('январь 2025'!$G$5:$G$2334,'январь 2025'!$D$5:$D$2334,$B42,'январь 2025'!$J$5:$J$2334,AH$1)</f>
        <v>0</v>
      </c>
      <c r="AI42" s="20">
        <f t="shared" si="1"/>
        <v>0</v>
      </c>
    </row>
    <row r="43" spans="2:35" ht="15" customHeight="1" x14ac:dyDescent="0.25">
      <c r="B43" s="131" t="s">
        <v>230</v>
      </c>
      <c r="C43" s="134">
        <v>25</v>
      </c>
      <c r="D43" s="76">
        <f>SUMIFS('январь 2025'!$G$5:$G$2334,'январь 2025'!$D$5:$D$2334,$B43,'январь 2025'!$J$5:$J$2334,D$1)</f>
        <v>0</v>
      </c>
      <c r="E43" s="76">
        <f>SUMIFS('январь 2025'!$G$5:$G$2334,'январь 2025'!$D$5:$D$2334,$B43,'январь 2025'!$J$5:$J$2334,E$1)</f>
        <v>0</v>
      </c>
      <c r="F43" s="76">
        <f>SUMIFS('январь 2025'!$G$5:$G$2334,'январь 2025'!$D$5:$D$2334,$B43,'январь 2025'!$J$5:$J$2334,F$1)</f>
        <v>0</v>
      </c>
      <c r="G43" s="76">
        <f>SUMIFS('январь 2025'!$G$5:$G$2334,'январь 2025'!$D$5:$D$2334,$B43,'январь 2025'!$J$5:$J$2334,G$1)</f>
        <v>0</v>
      </c>
      <c r="H43" s="76">
        <f>SUMIFS('январь 2025'!$G$5:$G$2334,'январь 2025'!$D$5:$D$2334,$B43,'январь 2025'!$J$5:$J$2334,H$1)</f>
        <v>0</v>
      </c>
      <c r="I43" s="76">
        <f>SUMIFS('январь 2025'!$G$5:$G$2334,'январь 2025'!$D$5:$D$2334,$B43,'январь 2025'!$J$5:$J$2334,I$1)</f>
        <v>0</v>
      </c>
      <c r="J43" s="76">
        <f>SUMIFS('январь 2025'!$G$5:$G$2334,'январь 2025'!$D$5:$D$2334,$B43,'январь 2025'!$J$5:$J$2334,J$1)</f>
        <v>0</v>
      </c>
      <c r="K43" s="76">
        <f>SUMIFS('январь 2025'!$G$5:$G$2334,'январь 2025'!$D$5:$D$2334,$B43,'январь 2025'!$J$5:$J$2334,K$1)</f>
        <v>0</v>
      </c>
      <c r="L43" s="76">
        <f>SUMIFS('январь 2025'!$G$5:$G$2334,'январь 2025'!$D$5:$D$2334,$B43,'январь 2025'!$J$5:$J$2334,L$1)</f>
        <v>0</v>
      </c>
      <c r="M43" s="76">
        <f>SUMIFS('январь 2025'!$G$5:$G$2334,'январь 2025'!$D$5:$D$2334,$B43,'январь 2025'!$J$5:$J$2334,M$1)</f>
        <v>0</v>
      </c>
      <c r="N43" s="76">
        <f>SUMIFS('январь 2025'!$G$5:$G$2334,'январь 2025'!$D$5:$D$2334,$B43,'январь 2025'!$J$5:$J$2334,N$1)</f>
        <v>0</v>
      </c>
      <c r="O43" s="76">
        <f>SUMIFS('январь 2025'!$G$5:$G$2334,'январь 2025'!$D$5:$D$2334,$B43,'январь 2025'!$J$5:$J$2334,O$1)</f>
        <v>0</v>
      </c>
      <c r="P43" s="76">
        <f>SUMIFS('январь 2025'!$G$5:$G$2334,'январь 2025'!$D$5:$D$2334,$B43,'январь 2025'!$J$5:$J$2334,P$1)</f>
        <v>0</v>
      </c>
      <c r="Q43" s="76">
        <f>SUMIFS('январь 2025'!$G$5:$G$2334,'январь 2025'!$D$5:$D$2334,$B43,'январь 2025'!$J$5:$J$2334,Q$1)</f>
        <v>0</v>
      </c>
      <c r="R43" s="76">
        <f>SUMIFS('январь 2025'!$G$5:$G$2334,'январь 2025'!$D$5:$D$2334,$B43,'январь 2025'!$J$5:$J$2334,R$1)</f>
        <v>0</v>
      </c>
      <c r="S43" s="76">
        <f>SUMIFS('январь 2025'!$G$5:$G$2334,'январь 2025'!$D$5:$D$2334,$B43,'январь 2025'!$J$5:$J$2334,S$1)</f>
        <v>0</v>
      </c>
      <c r="T43" s="76">
        <f>SUMIFS('январь 2025'!$G$5:$G$2334,'январь 2025'!$D$5:$D$2334,$B43,'январь 2025'!$J$5:$J$2334,T$1)</f>
        <v>0</v>
      </c>
      <c r="U43" s="76">
        <f>SUMIFS('январь 2025'!$G$5:$G$2334,'январь 2025'!$D$5:$D$2334,$B43,'январь 2025'!$J$5:$J$2334,U$1)</f>
        <v>0</v>
      </c>
      <c r="V43" s="76">
        <f>SUMIFS('январь 2025'!$G$5:$G$2334,'январь 2025'!$D$5:$D$2334,$B43,'январь 2025'!$J$5:$J$2334,V$1)</f>
        <v>0</v>
      </c>
      <c r="W43" s="76">
        <f>SUMIFS('январь 2025'!$G$5:$G$2334,'январь 2025'!$D$5:$D$2334,$B43,'январь 2025'!$J$5:$J$2334,W$1)</f>
        <v>0</v>
      </c>
      <c r="X43" s="76">
        <f>SUMIFS('январь 2025'!$G$5:$G$2334,'январь 2025'!$D$5:$D$2334,$B43,'январь 2025'!$J$5:$J$2334,X$1)</f>
        <v>0</v>
      </c>
      <c r="Y43" s="76">
        <f>SUMIFS('январь 2025'!$G$5:$G$2334,'январь 2025'!$D$5:$D$2334,$B43,'январь 2025'!$J$5:$J$2334,Y$1)</f>
        <v>0</v>
      </c>
      <c r="Z43" s="76">
        <f>SUMIFS('январь 2025'!$G$5:$G$2334,'январь 2025'!$D$5:$D$2334,$B43,'январь 2025'!$J$5:$J$2334,Z$1)</f>
        <v>0</v>
      </c>
      <c r="AA43" s="76">
        <f>SUMIFS('январь 2025'!$G$5:$G$2334,'январь 2025'!$D$5:$D$2334,$B43,'январь 2025'!$J$5:$J$2334,AA$1)</f>
        <v>0</v>
      </c>
      <c r="AB43" s="76">
        <f>SUMIFS('январь 2025'!$G$5:$G$2334,'январь 2025'!$D$5:$D$2334,$B43,'январь 2025'!$J$5:$J$2334,AB$1)</f>
        <v>0</v>
      </c>
      <c r="AC43" s="76">
        <f>SUMIFS('январь 2025'!$G$5:$G$2334,'январь 2025'!$D$5:$D$2334,$B43,'январь 2025'!$J$5:$J$2334,AC$1)</f>
        <v>0</v>
      </c>
      <c r="AD43" s="76">
        <f>SUMIFS('январь 2025'!$G$5:$G$2334,'январь 2025'!$D$5:$D$2334,$B43,'январь 2025'!$J$5:$J$2334,AD$1)</f>
        <v>0</v>
      </c>
      <c r="AE43" s="76">
        <f>SUMIFS('январь 2025'!$G$5:$G$2334,'январь 2025'!$D$5:$D$2334,$B43,'январь 2025'!$J$5:$J$2334,AE$1)</f>
        <v>0</v>
      </c>
      <c r="AF43" s="76">
        <f>SUMIFS('январь 2025'!$G$5:$G$2334,'январь 2025'!$D$5:$D$2334,$B43,'январь 2025'!$J$5:$J$2334,AF$1)</f>
        <v>0</v>
      </c>
      <c r="AG43" s="76">
        <f>SUMIFS('январь 2025'!$G$5:$G$2334,'январь 2025'!$D$5:$D$2334,$B43,'январь 2025'!$J$5:$J$2334,AG$1)</f>
        <v>0</v>
      </c>
      <c r="AH43" s="76">
        <f>SUMIFS('январь 2025'!$G$5:$G$2334,'январь 2025'!$D$5:$D$2334,$B43,'январь 2025'!$J$5:$J$2334,AH$1)</f>
        <v>0</v>
      </c>
      <c r="AI43" s="20">
        <f t="shared" si="1"/>
        <v>0</v>
      </c>
    </row>
    <row r="44" spans="2:35" ht="15" customHeight="1" x14ac:dyDescent="0.25">
      <c r="B44" s="135" t="s">
        <v>288</v>
      </c>
      <c r="C44" s="137">
        <v>25</v>
      </c>
      <c r="D44" s="76">
        <f>SUMIFS('январь 2025'!$G$5:$G$2334,'январь 2025'!$D$5:$D$2334,$B44,'январь 2025'!$J$5:$J$2334,D$1)</f>
        <v>0</v>
      </c>
      <c r="E44" s="76">
        <f>SUMIFS('январь 2025'!$G$5:$G$2334,'январь 2025'!$D$5:$D$2334,$B44,'январь 2025'!$J$5:$J$2334,E$1)</f>
        <v>0</v>
      </c>
      <c r="F44" s="76">
        <f>SUMIFS('январь 2025'!$G$5:$G$2334,'январь 2025'!$D$5:$D$2334,$B44,'январь 2025'!$J$5:$J$2334,F$1)</f>
        <v>0</v>
      </c>
      <c r="G44" s="76">
        <f>SUMIFS('январь 2025'!$G$5:$G$2334,'январь 2025'!$D$5:$D$2334,$B44,'январь 2025'!$J$5:$J$2334,G$1)</f>
        <v>0</v>
      </c>
      <c r="H44" s="76">
        <f>SUMIFS('январь 2025'!$G$5:$G$2334,'январь 2025'!$D$5:$D$2334,$B44,'январь 2025'!$J$5:$J$2334,H$1)</f>
        <v>0</v>
      </c>
      <c r="I44" s="76">
        <f>SUMIFS('январь 2025'!$G$5:$G$2334,'январь 2025'!$D$5:$D$2334,$B44,'январь 2025'!$J$5:$J$2334,I$1)</f>
        <v>0</v>
      </c>
      <c r="J44" s="76">
        <f>SUMIFS('январь 2025'!$G$5:$G$2334,'январь 2025'!$D$5:$D$2334,$B44,'январь 2025'!$J$5:$J$2334,J$1)</f>
        <v>0</v>
      </c>
      <c r="K44" s="76">
        <f>SUMIFS('январь 2025'!$G$5:$G$2334,'январь 2025'!$D$5:$D$2334,$B44,'январь 2025'!$J$5:$J$2334,K$1)</f>
        <v>0</v>
      </c>
      <c r="L44" s="76">
        <f>SUMIFS('январь 2025'!$G$5:$G$2334,'январь 2025'!$D$5:$D$2334,$B44,'январь 2025'!$J$5:$J$2334,L$1)</f>
        <v>0</v>
      </c>
      <c r="M44" s="76">
        <f>SUMIFS('январь 2025'!$G$5:$G$2334,'январь 2025'!$D$5:$D$2334,$B44,'январь 2025'!$J$5:$J$2334,M$1)</f>
        <v>0</v>
      </c>
      <c r="N44" s="76">
        <f>SUMIFS('январь 2025'!$G$5:$G$2334,'январь 2025'!$D$5:$D$2334,$B44,'январь 2025'!$J$5:$J$2334,N$1)</f>
        <v>0</v>
      </c>
      <c r="O44" s="76">
        <f>SUMIFS('январь 2025'!$G$5:$G$2334,'январь 2025'!$D$5:$D$2334,$B44,'январь 2025'!$J$5:$J$2334,O$1)</f>
        <v>0</v>
      </c>
      <c r="P44" s="76">
        <f>SUMIFS('январь 2025'!$G$5:$G$2334,'январь 2025'!$D$5:$D$2334,$B44,'январь 2025'!$J$5:$J$2334,P$1)</f>
        <v>0</v>
      </c>
      <c r="Q44" s="76">
        <f>SUMIFS('январь 2025'!$G$5:$G$2334,'январь 2025'!$D$5:$D$2334,$B44,'январь 2025'!$J$5:$J$2334,Q$1)</f>
        <v>0</v>
      </c>
      <c r="R44" s="76">
        <f>SUMIFS('январь 2025'!$G$5:$G$2334,'январь 2025'!$D$5:$D$2334,$B44,'январь 2025'!$J$5:$J$2334,R$1)</f>
        <v>0</v>
      </c>
      <c r="S44" s="76">
        <f>SUMIFS('январь 2025'!$G$5:$G$2334,'январь 2025'!$D$5:$D$2334,$B44,'январь 2025'!$J$5:$J$2334,S$1)</f>
        <v>0</v>
      </c>
      <c r="T44" s="76">
        <f>SUMIFS('январь 2025'!$G$5:$G$2334,'январь 2025'!$D$5:$D$2334,$B44,'январь 2025'!$J$5:$J$2334,T$1)</f>
        <v>0</v>
      </c>
      <c r="U44" s="76">
        <f>SUMIFS('январь 2025'!$G$5:$G$2334,'январь 2025'!$D$5:$D$2334,$B44,'январь 2025'!$J$5:$J$2334,U$1)</f>
        <v>0</v>
      </c>
      <c r="V44" s="76">
        <f>SUMIFS('январь 2025'!$G$5:$G$2334,'январь 2025'!$D$5:$D$2334,$B44,'январь 2025'!$J$5:$J$2334,V$1)</f>
        <v>0</v>
      </c>
      <c r="W44" s="76">
        <f>SUMIFS('январь 2025'!$G$5:$G$2334,'январь 2025'!$D$5:$D$2334,$B44,'январь 2025'!$J$5:$J$2334,W$1)</f>
        <v>0</v>
      </c>
      <c r="X44" s="76">
        <f>SUMIFS('январь 2025'!$G$5:$G$2334,'январь 2025'!$D$5:$D$2334,$B44,'январь 2025'!$J$5:$J$2334,X$1)</f>
        <v>0</v>
      </c>
      <c r="Y44" s="76">
        <f>SUMIFS('январь 2025'!$G$5:$G$2334,'январь 2025'!$D$5:$D$2334,$B44,'январь 2025'!$J$5:$J$2334,Y$1)</f>
        <v>0</v>
      </c>
      <c r="Z44" s="76">
        <f>SUMIFS('январь 2025'!$G$5:$G$2334,'январь 2025'!$D$5:$D$2334,$B44,'январь 2025'!$J$5:$J$2334,Z$1)</f>
        <v>0</v>
      </c>
      <c r="AA44" s="76">
        <f>SUMIFS('январь 2025'!$G$5:$G$2334,'январь 2025'!$D$5:$D$2334,$B44,'январь 2025'!$J$5:$J$2334,AA$1)</f>
        <v>0</v>
      </c>
      <c r="AB44" s="76">
        <f>SUMIFS('январь 2025'!$G$5:$G$2334,'январь 2025'!$D$5:$D$2334,$B44,'январь 2025'!$J$5:$J$2334,AB$1)</f>
        <v>0</v>
      </c>
      <c r="AC44" s="76">
        <f>SUMIFS('январь 2025'!$G$5:$G$2334,'январь 2025'!$D$5:$D$2334,$B44,'январь 2025'!$J$5:$J$2334,AC$1)</f>
        <v>0</v>
      </c>
      <c r="AD44" s="76">
        <f>SUMIFS('январь 2025'!$G$5:$G$2334,'январь 2025'!$D$5:$D$2334,$B44,'январь 2025'!$J$5:$J$2334,AD$1)</f>
        <v>0</v>
      </c>
      <c r="AE44" s="76">
        <f>SUMIFS('январь 2025'!$G$5:$G$2334,'январь 2025'!$D$5:$D$2334,$B44,'январь 2025'!$J$5:$J$2334,AE$1)</f>
        <v>0</v>
      </c>
      <c r="AF44" s="76">
        <f>SUMIFS('январь 2025'!$G$5:$G$2334,'январь 2025'!$D$5:$D$2334,$B44,'январь 2025'!$J$5:$J$2334,AF$1)</f>
        <v>0</v>
      </c>
      <c r="AG44" s="76">
        <f>SUMIFS('январь 2025'!$G$5:$G$2334,'январь 2025'!$D$5:$D$2334,$B44,'январь 2025'!$J$5:$J$2334,AG$1)</f>
        <v>0</v>
      </c>
      <c r="AH44" s="76">
        <f>SUMIFS('январь 2025'!$G$5:$G$2334,'январь 2025'!$D$5:$D$2334,$B44,'январь 2025'!$J$5:$J$2334,AH$1)</f>
        <v>0</v>
      </c>
      <c r="AI44" s="20">
        <f t="shared" si="1"/>
        <v>0</v>
      </c>
    </row>
    <row r="45" spans="2:35" ht="15" customHeight="1" x14ac:dyDescent="0.25">
      <c r="B45" s="135" t="s">
        <v>232</v>
      </c>
      <c r="C45" s="132">
        <v>25</v>
      </c>
      <c r="D45" s="76">
        <f>SUMIFS('январь 2025'!$G$5:$G$2334,'январь 2025'!$D$5:$D$2334,$B45,'январь 2025'!$J$5:$J$2334,D$1)</f>
        <v>0</v>
      </c>
      <c r="E45" s="76">
        <f>SUMIFS('январь 2025'!$G$5:$G$2334,'январь 2025'!$D$5:$D$2334,$B45,'январь 2025'!$J$5:$J$2334,E$1)</f>
        <v>0</v>
      </c>
      <c r="F45" s="76">
        <f>SUMIFS('январь 2025'!$G$5:$G$2334,'январь 2025'!$D$5:$D$2334,$B45,'январь 2025'!$J$5:$J$2334,F$1)</f>
        <v>0</v>
      </c>
      <c r="G45" s="76">
        <f>SUMIFS('январь 2025'!$G$5:$G$2334,'январь 2025'!$D$5:$D$2334,$B45,'январь 2025'!$J$5:$J$2334,G$1)</f>
        <v>0</v>
      </c>
      <c r="H45" s="76">
        <f>SUMIFS('январь 2025'!$G$5:$G$2334,'январь 2025'!$D$5:$D$2334,$B45,'январь 2025'!$J$5:$J$2334,H$1)</f>
        <v>0</v>
      </c>
      <c r="I45" s="76">
        <f>SUMIFS('январь 2025'!$G$5:$G$2334,'январь 2025'!$D$5:$D$2334,$B45,'январь 2025'!$J$5:$J$2334,I$1)</f>
        <v>0</v>
      </c>
      <c r="J45" s="76">
        <f>SUMIFS('январь 2025'!$G$5:$G$2334,'январь 2025'!$D$5:$D$2334,$B45,'январь 2025'!$J$5:$J$2334,J$1)</f>
        <v>0</v>
      </c>
      <c r="K45" s="76">
        <f>SUMIFS('январь 2025'!$G$5:$G$2334,'январь 2025'!$D$5:$D$2334,$B45,'январь 2025'!$J$5:$J$2334,K$1)</f>
        <v>0</v>
      </c>
      <c r="L45" s="76">
        <f>SUMIFS('январь 2025'!$G$5:$G$2334,'январь 2025'!$D$5:$D$2334,$B45,'январь 2025'!$J$5:$J$2334,L$1)</f>
        <v>0</v>
      </c>
      <c r="M45" s="76">
        <f>SUMIFS('январь 2025'!$G$5:$G$2334,'январь 2025'!$D$5:$D$2334,$B45,'январь 2025'!$J$5:$J$2334,M$1)</f>
        <v>0</v>
      </c>
      <c r="N45" s="76">
        <f>SUMIFS('январь 2025'!$G$5:$G$2334,'январь 2025'!$D$5:$D$2334,$B45,'январь 2025'!$J$5:$J$2334,N$1)</f>
        <v>0</v>
      </c>
      <c r="O45" s="76">
        <f>SUMIFS('январь 2025'!$G$5:$G$2334,'январь 2025'!$D$5:$D$2334,$B45,'январь 2025'!$J$5:$J$2334,O$1)</f>
        <v>0</v>
      </c>
      <c r="P45" s="76">
        <f>SUMIFS('январь 2025'!$G$5:$G$2334,'январь 2025'!$D$5:$D$2334,$B45,'январь 2025'!$J$5:$J$2334,P$1)</f>
        <v>0</v>
      </c>
      <c r="Q45" s="76">
        <f>SUMIFS('январь 2025'!$G$5:$G$2334,'январь 2025'!$D$5:$D$2334,$B45,'январь 2025'!$J$5:$J$2334,Q$1)</f>
        <v>0</v>
      </c>
      <c r="R45" s="76">
        <f>SUMIFS('январь 2025'!$G$5:$G$2334,'январь 2025'!$D$5:$D$2334,$B45,'январь 2025'!$J$5:$J$2334,R$1)</f>
        <v>0</v>
      </c>
      <c r="S45" s="76">
        <f>SUMIFS('январь 2025'!$G$5:$G$2334,'январь 2025'!$D$5:$D$2334,$B45,'январь 2025'!$J$5:$J$2334,S$1)</f>
        <v>0</v>
      </c>
      <c r="T45" s="76">
        <f>SUMIFS('январь 2025'!$G$5:$G$2334,'январь 2025'!$D$5:$D$2334,$B45,'январь 2025'!$J$5:$J$2334,T$1)</f>
        <v>0</v>
      </c>
      <c r="U45" s="76">
        <f>SUMIFS('январь 2025'!$G$5:$G$2334,'январь 2025'!$D$5:$D$2334,$B45,'январь 2025'!$J$5:$J$2334,U$1)</f>
        <v>0</v>
      </c>
      <c r="V45" s="76">
        <f>SUMIFS('январь 2025'!$G$5:$G$2334,'январь 2025'!$D$5:$D$2334,$B45,'январь 2025'!$J$5:$J$2334,V$1)</f>
        <v>0</v>
      </c>
      <c r="W45" s="76">
        <f>SUMIFS('январь 2025'!$G$5:$G$2334,'январь 2025'!$D$5:$D$2334,$B45,'январь 2025'!$J$5:$J$2334,W$1)</f>
        <v>0</v>
      </c>
      <c r="X45" s="76">
        <f>SUMIFS('январь 2025'!$G$5:$G$2334,'январь 2025'!$D$5:$D$2334,$B45,'январь 2025'!$J$5:$J$2334,X$1)</f>
        <v>0</v>
      </c>
      <c r="Y45" s="76">
        <f>SUMIFS('январь 2025'!$G$5:$G$2334,'январь 2025'!$D$5:$D$2334,$B45,'январь 2025'!$J$5:$J$2334,Y$1)</f>
        <v>0</v>
      </c>
      <c r="Z45" s="76">
        <f>SUMIFS('январь 2025'!$G$5:$G$2334,'январь 2025'!$D$5:$D$2334,$B45,'январь 2025'!$J$5:$J$2334,Z$1)</f>
        <v>0</v>
      </c>
      <c r="AA45" s="76">
        <f>SUMIFS('январь 2025'!$G$5:$G$2334,'январь 2025'!$D$5:$D$2334,$B45,'январь 2025'!$J$5:$J$2334,AA$1)</f>
        <v>0</v>
      </c>
      <c r="AB45" s="76">
        <f>SUMIFS('январь 2025'!$G$5:$G$2334,'январь 2025'!$D$5:$D$2334,$B45,'январь 2025'!$J$5:$J$2334,AB$1)</f>
        <v>0</v>
      </c>
      <c r="AC45" s="76">
        <f>SUMIFS('январь 2025'!$G$5:$G$2334,'январь 2025'!$D$5:$D$2334,$B45,'январь 2025'!$J$5:$J$2334,AC$1)</f>
        <v>0</v>
      </c>
      <c r="AD45" s="76">
        <f>SUMIFS('январь 2025'!$G$5:$G$2334,'январь 2025'!$D$5:$D$2334,$B45,'январь 2025'!$J$5:$J$2334,AD$1)</f>
        <v>0</v>
      </c>
      <c r="AE45" s="76">
        <f>SUMIFS('январь 2025'!$G$5:$G$2334,'январь 2025'!$D$5:$D$2334,$B45,'январь 2025'!$J$5:$J$2334,AE$1)</f>
        <v>0</v>
      </c>
      <c r="AF45" s="76">
        <f>SUMIFS('январь 2025'!$G$5:$G$2334,'январь 2025'!$D$5:$D$2334,$B45,'январь 2025'!$J$5:$J$2334,AF$1)</f>
        <v>0</v>
      </c>
      <c r="AG45" s="76">
        <f>SUMIFS('январь 2025'!$G$5:$G$2334,'январь 2025'!$D$5:$D$2334,$B45,'январь 2025'!$J$5:$J$2334,AG$1)</f>
        <v>0</v>
      </c>
      <c r="AH45" s="76">
        <f>SUMIFS('январь 2025'!$G$5:$G$2334,'январь 2025'!$D$5:$D$2334,$B45,'январь 2025'!$J$5:$J$2334,AH$1)</f>
        <v>0</v>
      </c>
      <c r="AI45" s="20">
        <f t="shared" si="1"/>
        <v>0</v>
      </c>
    </row>
    <row r="46" spans="2:35" ht="15" customHeight="1" x14ac:dyDescent="0.25">
      <c r="B46" s="135" t="s">
        <v>234</v>
      </c>
      <c r="C46" s="132">
        <v>18</v>
      </c>
      <c r="D46" s="76">
        <f>SUMIFS('январь 2025'!$G$5:$G$2334,'январь 2025'!$D$5:$D$2334,$B46,'январь 2025'!$J$5:$J$2334,D$1)</f>
        <v>0</v>
      </c>
      <c r="E46" s="76">
        <f>SUMIFS('январь 2025'!$G$5:$G$2334,'январь 2025'!$D$5:$D$2334,$B46,'январь 2025'!$J$5:$J$2334,E$1)</f>
        <v>0</v>
      </c>
      <c r="F46" s="76">
        <f>SUMIFS('январь 2025'!$G$5:$G$2334,'январь 2025'!$D$5:$D$2334,$B46,'январь 2025'!$J$5:$J$2334,F$1)</f>
        <v>0</v>
      </c>
      <c r="G46" s="76">
        <f>SUMIFS('январь 2025'!$G$5:$G$2334,'январь 2025'!$D$5:$D$2334,$B46,'январь 2025'!$J$5:$J$2334,G$1)</f>
        <v>0</v>
      </c>
      <c r="H46" s="76">
        <f>SUMIFS('январь 2025'!$G$5:$G$2334,'январь 2025'!$D$5:$D$2334,$B46,'январь 2025'!$J$5:$J$2334,H$1)</f>
        <v>0</v>
      </c>
      <c r="I46" s="76">
        <f>SUMIFS('январь 2025'!$G$5:$G$2334,'январь 2025'!$D$5:$D$2334,$B46,'январь 2025'!$J$5:$J$2334,I$1)</f>
        <v>0</v>
      </c>
      <c r="J46" s="76">
        <f>SUMIFS('январь 2025'!$G$5:$G$2334,'январь 2025'!$D$5:$D$2334,$B46,'январь 2025'!$J$5:$J$2334,J$1)</f>
        <v>0</v>
      </c>
      <c r="K46" s="76">
        <f>SUMIFS('январь 2025'!$G$5:$G$2334,'январь 2025'!$D$5:$D$2334,$B46,'январь 2025'!$J$5:$J$2334,K$1)</f>
        <v>0</v>
      </c>
      <c r="L46" s="76">
        <f>SUMIFS('январь 2025'!$G$5:$G$2334,'январь 2025'!$D$5:$D$2334,$B46,'январь 2025'!$J$5:$J$2334,L$1)</f>
        <v>0</v>
      </c>
      <c r="M46" s="76">
        <f>SUMIFS('январь 2025'!$G$5:$G$2334,'январь 2025'!$D$5:$D$2334,$B46,'январь 2025'!$J$5:$J$2334,M$1)</f>
        <v>0</v>
      </c>
      <c r="N46" s="76">
        <f>SUMIFS('январь 2025'!$G$5:$G$2334,'январь 2025'!$D$5:$D$2334,$B46,'январь 2025'!$J$5:$J$2334,N$1)</f>
        <v>0</v>
      </c>
      <c r="O46" s="76">
        <f>SUMIFS('январь 2025'!$G$5:$G$2334,'январь 2025'!$D$5:$D$2334,$B46,'январь 2025'!$J$5:$J$2334,O$1)</f>
        <v>0</v>
      </c>
      <c r="P46" s="76">
        <f>SUMIFS('январь 2025'!$G$5:$G$2334,'январь 2025'!$D$5:$D$2334,$B46,'январь 2025'!$J$5:$J$2334,P$1)</f>
        <v>0</v>
      </c>
      <c r="Q46" s="76">
        <f>SUMIFS('январь 2025'!$G$5:$G$2334,'январь 2025'!$D$5:$D$2334,$B46,'январь 2025'!$J$5:$J$2334,Q$1)</f>
        <v>0</v>
      </c>
      <c r="R46" s="76">
        <f>SUMIFS('январь 2025'!$G$5:$G$2334,'январь 2025'!$D$5:$D$2334,$B46,'январь 2025'!$J$5:$J$2334,R$1)</f>
        <v>0</v>
      </c>
      <c r="S46" s="76">
        <f>SUMIFS('январь 2025'!$G$5:$G$2334,'январь 2025'!$D$5:$D$2334,$B46,'январь 2025'!$J$5:$J$2334,S$1)</f>
        <v>0</v>
      </c>
      <c r="T46" s="76">
        <f>SUMIFS('январь 2025'!$G$5:$G$2334,'январь 2025'!$D$5:$D$2334,$B46,'январь 2025'!$J$5:$J$2334,T$1)</f>
        <v>0</v>
      </c>
      <c r="U46" s="76">
        <f>SUMIFS('январь 2025'!$G$5:$G$2334,'январь 2025'!$D$5:$D$2334,$B46,'январь 2025'!$J$5:$J$2334,U$1)</f>
        <v>0</v>
      </c>
      <c r="V46" s="76">
        <f>SUMIFS('январь 2025'!$G$5:$G$2334,'январь 2025'!$D$5:$D$2334,$B46,'январь 2025'!$J$5:$J$2334,V$1)</f>
        <v>0</v>
      </c>
      <c r="W46" s="76">
        <f>SUMIFS('январь 2025'!$G$5:$G$2334,'январь 2025'!$D$5:$D$2334,$B46,'январь 2025'!$J$5:$J$2334,W$1)</f>
        <v>0</v>
      </c>
      <c r="X46" s="76">
        <f>SUMIFS('январь 2025'!$G$5:$G$2334,'январь 2025'!$D$5:$D$2334,$B46,'январь 2025'!$J$5:$J$2334,X$1)</f>
        <v>0</v>
      </c>
      <c r="Y46" s="76">
        <f>SUMIFS('январь 2025'!$G$5:$G$2334,'январь 2025'!$D$5:$D$2334,$B46,'январь 2025'!$J$5:$J$2334,Y$1)</f>
        <v>0</v>
      </c>
      <c r="Z46" s="76">
        <f>SUMIFS('январь 2025'!$G$5:$G$2334,'январь 2025'!$D$5:$D$2334,$B46,'январь 2025'!$J$5:$J$2334,Z$1)</f>
        <v>0</v>
      </c>
      <c r="AA46" s="76">
        <f>SUMIFS('январь 2025'!$G$5:$G$2334,'январь 2025'!$D$5:$D$2334,$B46,'январь 2025'!$J$5:$J$2334,AA$1)</f>
        <v>0</v>
      </c>
      <c r="AB46" s="76">
        <f>SUMIFS('январь 2025'!$G$5:$G$2334,'январь 2025'!$D$5:$D$2334,$B46,'январь 2025'!$J$5:$J$2334,AB$1)</f>
        <v>0</v>
      </c>
      <c r="AC46" s="76">
        <f>SUMIFS('январь 2025'!$G$5:$G$2334,'январь 2025'!$D$5:$D$2334,$B46,'январь 2025'!$J$5:$J$2334,AC$1)</f>
        <v>0</v>
      </c>
      <c r="AD46" s="76">
        <f>SUMIFS('январь 2025'!$G$5:$G$2334,'январь 2025'!$D$5:$D$2334,$B46,'январь 2025'!$J$5:$J$2334,AD$1)</f>
        <v>0</v>
      </c>
      <c r="AE46" s="76">
        <f>SUMIFS('январь 2025'!$G$5:$G$2334,'январь 2025'!$D$5:$D$2334,$B46,'январь 2025'!$J$5:$J$2334,AE$1)</f>
        <v>0</v>
      </c>
      <c r="AF46" s="76">
        <f>SUMIFS('январь 2025'!$G$5:$G$2334,'январь 2025'!$D$5:$D$2334,$B46,'январь 2025'!$J$5:$J$2334,AF$1)</f>
        <v>0</v>
      </c>
      <c r="AG46" s="76">
        <f>SUMIFS('январь 2025'!$G$5:$G$2334,'январь 2025'!$D$5:$D$2334,$B46,'январь 2025'!$J$5:$J$2334,AG$1)</f>
        <v>0</v>
      </c>
      <c r="AH46" s="76">
        <f>SUMIFS('январь 2025'!$G$5:$G$2334,'январь 2025'!$D$5:$D$2334,$B46,'январь 2025'!$J$5:$J$2334,AH$1)</f>
        <v>0</v>
      </c>
      <c r="AI46" s="20">
        <f t="shared" si="1"/>
        <v>0</v>
      </c>
    </row>
    <row r="47" spans="2:35" ht="15" customHeight="1" x14ac:dyDescent="0.25">
      <c r="B47" s="135" t="s">
        <v>236</v>
      </c>
      <c r="C47" s="132">
        <v>20</v>
      </c>
      <c r="D47" s="76">
        <f>SUMIFS('январь 2025'!$G$5:$G$2334,'январь 2025'!$D$5:$D$2334,$B47,'январь 2025'!$J$5:$J$2334,D$1)</f>
        <v>0</v>
      </c>
      <c r="E47" s="76">
        <f>SUMIFS('январь 2025'!$G$5:$G$2334,'январь 2025'!$D$5:$D$2334,$B47,'январь 2025'!$J$5:$J$2334,E$1)</f>
        <v>0</v>
      </c>
      <c r="F47" s="76">
        <f>SUMIFS('январь 2025'!$G$5:$G$2334,'январь 2025'!$D$5:$D$2334,$B47,'январь 2025'!$J$5:$J$2334,F$1)</f>
        <v>0</v>
      </c>
      <c r="G47" s="76">
        <f>SUMIFS('январь 2025'!$G$5:$G$2334,'январь 2025'!$D$5:$D$2334,$B47,'январь 2025'!$J$5:$J$2334,G$1)</f>
        <v>0</v>
      </c>
      <c r="H47" s="76">
        <f>SUMIFS('январь 2025'!$G$5:$G$2334,'январь 2025'!$D$5:$D$2334,$B47,'январь 2025'!$J$5:$J$2334,H$1)</f>
        <v>0</v>
      </c>
      <c r="I47" s="76">
        <f>SUMIFS('январь 2025'!$G$5:$G$2334,'январь 2025'!$D$5:$D$2334,$B47,'январь 2025'!$J$5:$J$2334,I$1)</f>
        <v>0</v>
      </c>
      <c r="J47" s="76">
        <f>SUMIFS('январь 2025'!$G$5:$G$2334,'январь 2025'!$D$5:$D$2334,$B47,'январь 2025'!$J$5:$J$2334,J$1)</f>
        <v>0</v>
      </c>
      <c r="K47" s="76">
        <f>SUMIFS('январь 2025'!$G$5:$G$2334,'январь 2025'!$D$5:$D$2334,$B47,'январь 2025'!$J$5:$J$2334,K$1)</f>
        <v>0</v>
      </c>
      <c r="L47" s="76">
        <f>SUMIFS('январь 2025'!$G$5:$G$2334,'январь 2025'!$D$5:$D$2334,$B47,'январь 2025'!$J$5:$J$2334,L$1)</f>
        <v>0</v>
      </c>
      <c r="M47" s="76">
        <f>SUMIFS('январь 2025'!$G$5:$G$2334,'январь 2025'!$D$5:$D$2334,$B47,'январь 2025'!$J$5:$J$2334,M$1)</f>
        <v>0</v>
      </c>
      <c r="N47" s="76">
        <f>SUMIFS('январь 2025'!$G$5:$G$2334,'январь 2025'!$D$5:$D$2334,$B47,'январь 2025'!$J$5:$J$2334,N$1)</f>
        <v>0</v>
      </c>
      <c r="O47" s="76">
        <f>SUMIFS('январь 2025'!$G$5:$G$2334,'январь 2025'!$D$5:$D$2334,$B47,'январь 2025'!$J$5:$J$2334,O$1)</f>
        <v>0</v>
      </c>
      <c r="P47" s="76">
        <f>SUMIFS('январь 2025'!$G$5:$G$2334,'январь 2025'!$D$5:$D$2334,$B47,'январь 2025'!$J$5:$J$2334,P$1)</f>
        <v>0</v>
      </c>
      <c r="Q47" s="76">
        <f>SUMIFS('январь 2025'!$G$5:$G$2334,'январь 2025'!$D$5:$D$2334,$B47,'январь 2025'!$J$5:$J$2334,Q$1)</f>
        <v>0</v>
      </c>
      <c r="R47" s="76">
        <f>SUMIFS('январь 2025'!$G$5:$G$2334,'январь 2025'!$D$5:$D$2334,$B47,'январь 2025'!$J$5:$J$2334,R$1)</f>
        <v>0</v>
      </c>
      <c r="S47" s="76">
        <f>SUMIFS('январь 2025'!$G$5:$G$2334,'январь 2025'!$D$5:$D$2334,$B47,'январь 2025'!$J$5:$J$2334,S$1)</f>
        <v>0</v>
      </c>
      <c r="T47" s="76">
        <f>SUMIFS('январь 2025'!$G$5:$G$2334,'январь 2025'!$D$5:$D$2334,$B47,'январь 2025'!$J$5:$J$2334,T$1)</f>
        <v>0</v>
      </c>
      <c r="U47" s="76">
        <f>SUMIFS('январь 2025'!$G$5:$G$2334,'январь 2025'!$D$5:$D$2334,$B47,'январь 2025'!$J$5:$J$2334,U$1)</f>
        <v>0</v>
      </c>
      <c r="V47" s="76">
        <f>SUMIFS('январь 2025'!$G$5:$G$2334,'январь 2025'!$D$5:$D$2334,$B47,'январь 2025'!$J$5:$J$2334,V$1)</f>
        <v>0</v>
      </c>
      <c r="W47" s="76">
        <f>SUMIFS('январь 2025'!$G$5:$G$2334,'январь 2025'!$D$5:$D$2334,$B47,'январь 2025'!$J$5:$J$2334,W$1)</f>
        <v>0</v>
      </c>
      <c r="X47" s="76">
        <f>SUMIFS('январь 2025'!$G$5:$G$2334,'январь 2025'!$D$5:$D$2334,$B47,'январь 2025'!$J$5:$J$2334,X$1)</f>
        <v>0</v>
      </c>
      <c r="Y47" s="76">
        <f>SUMIFS('январь 2025'!$G$5:$G$2334,'январь 2025'!$D$5:$D$2334,$B47,'январь 2025'!$J$5:$J$2334,Y$1)</f>
        <v>0</v>
      </c>
      <c r="Z47" s="76">
        <f>SUMIFS('январь 2025'!$G$5:$G$2334,'январь 2025'!$D$5:$D$2334,$B47,'январь 2025'!$J$5:$J$2334,Z$1)</f>
        <v>0</v>
      </c>
      <c r="AA47" s="76">
        <f>SUMIFS('январь 2025'!$G$5:$G$2334,'январь 2025'!$D$5:$D$2334,$B47,'январь 2025'!$J$5:$J$2334,AA$1)</f>
        <v>0</v>
      </c>
      <c r="AB47" s="76">
        <f>SUMIFS('январь 2025'!$G$5:$G$2334,'январь 2025'!$D$5:$D$2334,$B47,'январь 2025'!$J$5:$J$2334,AB$1)</f>
        <v>0</v>
      </c>
      <c r="AC47" s="76">
        <f>SUMIFS('январь 2025'!$G$5:$G$2334,'январь 2025'!$D$5:$D$2334,$B47,'январь 2025'!$J$5:$J$2334,AC$1)</f>
        <v>0</v>
      </c>
      <c r="AD47" s="76">
        <f>SUMIFS('январь 2025'!$G$5:$G$2334,'январь 2025'!$D$5:$D$2334,$B47,'январь 2025'!$J$5:$J$2334,AD$1)</f>
        <v>0</v>
      </c>
      <c r="AE47" s="76">
        <f>SUMIFS('январь 2025'!$G$5:$G$2334,'январь 2025'!$D$5:$D$2334,$B47,'январь 2025'!$J$5:$J$2334,AE$1)</f>
        <v>0</v>
      </c>
      <c r="AF47" s="76">
        <f>SUMIFS('январь 2025'!$G$5:$G$2334,'январь 2025'!$D$5:$D$2334,$B47,'январь 2025'!$J$5:$J$2334,AF$1)</f>
        <v>0</v>
      </c>
      <c r="AG47" s="76">
        <f>SUMIFS('январь 2025'!$G$5:$G$2334,'январь 2025'!$D$5:$D$2334,$B47,'январь 2025'!$J$5:$J$2334,AG$1)</f>
        <v>0</v>
      </c>
      <c r="AH47" s="76">
        <f>SUMIFS('январь 2025'!$G$5:$G$2334,'январь 2025'!$D$5:$D$2334,$B47,'январь 2025'!$J$5:$J$2334,AH$1)</f>
        <v>0</v>
      </c>
      <c r="AI47" s="20">
        <f t="shared" si="1"/>
        <v>0</v>
      </c>
    </row>
    <row r="48" spans="2:35" ht="15" customHeight="1" x14ac:dyDescent="0.25">
      <c r="B48" s="131" t="s">
        <v>238</v>
      </c>
      <c r="C48" s="134">
        <v>20</v>
      </c>
      <c r="D48" s="76">
        <f>SUMIFS('январь 2025'!$G$5:$G$2334,'январь 2025'!$D$5:$D$2334,$B48,'январь 2025'!$J$5:$J$2334,D$1)</f>
        <v>0</v>
      </c>
      <c r="E48" s="76">
        <f>SUMIFS('январь 2025'!$G$5:$G$2334,'январь 2025'!$D$5:$D$2334,$B48,'январь 2025'!$J$5:$J$2334,E$1)</f>
        <v>0</v>
      </c>
      <c r="F48" s="76">
        <f>SUMIFS('январь 2025'!$G$5:$G$2334,'январь 2025'!$D$5:$D$2334,$B48,'январь 2025'!$J$5:$J$2334,F$1)</f>
        <v>0</v>
      </c>
      <c r="G48" s="76">
        <f>SUMIFS('январь 2025'!$G$5:$G$2334,'январь 2025'!$D$5:$D$2334,$B48,'январь 2025'!$J$5:$J$2334,G$1)</f>
        <v>0</v>
      </c>
      <c r="H48" s="76">
        <f>SUMIFS('январь 2025'!$G$5:$G$2334,'январь 2025'!$D$5:$D$2334,$B48,'январь 2025'!$J$5:$J$2334,H$1)</f>
        <v>0</v>
      </c>
      <c r="I48" s="76">
        <f>SUMIFS('январь 2025'!$G$5:$G$2334,'январь 2025'!$D$5:$D$2334,$B48,'январь 2025'!$J$5:$J$2334,I$1)</f>
        <v>0</v>
      </c>
      <c r="J48" s="76">
        <f>SUMIFS('январь 2025'!$G$5:$G$2334,'январь 2025'!$D$5:$D$2334,$B48,'январь 2025'!$J$5:$J$2334,J$1)</f>
        <v>0</v>
      </c>
      <c r="K48" s="76">
        <f>SUMIFS('январь 2025'!$G$5:$G$2334,'январь 2025'!$D$5:$D$2334,$B48,'январь 2025'!$J$5:$J$2334,K$1)</f>
        <v>0</v>
      </c>
      <c r="L48" s="76">
        <f>SUMIFS('январь 2025'!$G$5:$G$2334,'январь 2025'!$D$5:$D$2334,$B48,'январь 2025'!$J$5:$J$2334,L$1)</f>
        <v>0</v>
      </c>
      <c r="M48" s="76">
        <f>SUMIFS('январь 2025'!$G$5:$G$2334,'январь 2025'!$D$5:$D$2334,$B48,'январь 2025'!$J$5:$J$2334,M$1)</f>
        <v>0</v>
      </c>
      <c r="N48" s="76">
        <f>SUMIFS('январь 2025'!$G$5:$G$2334,'январь 2025'!$D$5:$D$2334,$B48,'январь 2025'!$J$5:$J$2334,N$1)</f>
        <v>0</v>
      </c>
      <c r="O48" s="76">
        <f>SUMIFS('январь 2025'!$G$5:$G$2334,'январь 2025'!$D$5:$D$2334,$B48,'январь 2025'!$J$5:$J$2334,O$1)</f>
        <v>0</v>
      </c>
      <c r="P48" s="76">
        <f>SUMIFS('январь 2025'!$G$5:$G$2334,'январь 2025'!$D$5:$D$2334,$B48,'январь 2025'!$J$5:$J$2334,P$1)</f>
        <v>0</v>
      </c>
      <c r="Q48" s="76">
        <f>SUMIFS('январь 2025'!$G$5:$G$2334,'январь 2025'!$D$5:$D$2334,$B48,'январь 2025'!$J$5:$J$2334,Q$1)</f>
        <v>0</v>
      </c>
      <c r="R48" s="76">
        <f>SUMIFS('январь 2025'!$G$5:$G$2334,'январь 2025'!$D$5:$D$2334,$B48,'январь 2025'!$J$5:$J$2334,R$1)</f>
        <v>0</v>
      </c>
      <c r="S48" s="76">
        <f>SUMIFS('январь 2025'!$G$5:$G$2334,'январь 2025'!$D$5:$D$2334,$B48,'январь 2025'!$J$5:$J$2334,S$1)</f>
        <v>0</v>
      </c>
      <c r="T48" s="76">
        <f>SUMIFS('январь 2025'!$G$5:$G$2334,'январь 2025'!$D$5:$D$2334,$B48,'январь 2025'!$J$5:$J$2334,T$1)</f>
        <v>0</v>
      </c>
      <c r="U48" s="76">
        <f>SUMIFS('январь 2025'!$G$5:$G$2334,'январь 2025'!$D$5:$D$2334,$B48,'январь 2025'!$J$5:$J$2334,U$1)</f>
        <v>0</v>
      </c>
      <c r="V48" s="76">
        <f>SUMIFS('январь 2025'!$G$5:$G$2334,'январь 2025'!$D$5:$D$2334,$B48,'январь 2025'!$J$5:$J$2334,V$1)</f>
        <v>0</v>
      </c>
      <c r="W48" s="76">
        <f>SUMIFS('январь 2025'!$G$5:$G$2334,'январь 2025'!$D$5:$D$2334,$B48,'январь 2025'!$J$5:$J$2334,W$1)</f>
        <v>0</v>
      </c>
      <c r="X48" s="76">
        <f>SUMIFS('январь 2025'!$G$5:$G$2334,'январь 2025'!$D$5:$D$2334,$B48,'январь 2025'!$J$5:$J$2334,X$1)</f>
        <v>0</v>
      </c>
      <c r="Y48" s="76">
        <f>SUMIFS('январь 2025'!$G$5:$G$2334,'январь 2025'!$D$5:$D$2334,$B48,'январь 2025'!$J$5:$J$2334,Y$1)</f>
        <v>0</v>
      </c>
      <c r="Z48" s="76">
        <f>SUMIFS('январь 2025'!$G$5:$G$2334,'январь 2025'!$D$5:$D$2334,$B48,'январь 2025'!$J$5:$J$2334,Z$1)</f>
        <v>0</v>
      </c>
      <c r="AA48" s="76">
        <f>SUMIFS('январь 2025'!$G$5:$G$2334,'январь 2025'!$D$5:$D$2334,$B48,'январь 2025'!$J$5:$J$2334,AA$1)</f>
        <v>0</v>
      </c>
      <c r="AB48" s="76">
        <f>SUMIFS('январь 2025'!$G$5:$G$2334,'январь 2025'!$D$5:$D$2334,$B48,'январь 2025'!$J$5:$J$2334,AB$1)</f>
        <v>0</v>
      </c>
      <c r="AC48" s="76">
        <f>SUMIFS('январь 2025'!$G$5:$G$2334,'январь 2025'!$D$5:$D$2334,$B48,'январь 2025'!$J$5:$J$2334,AC$1)</f>
        <v>0</v>
      </c>
      <c r="AD48" s="76">
        <f>SUMIFS('январь 2025'!$G$5:$G$2334,'январь 2025'!$D$5:$D$2334,$B48,'январь 2025'!$J$5:$J$2334,AD$1)</f>
        <v>0</v>
      </c>
      <c r="AE48" s="76">
        <f>SUMIFS('январь 2025'!$G$5:$G$2334,'январь 2025'!$D$5:$D$2334,$B48,'январь 2025'!$J$5:$J$2334,AE$1)</f>
        <v>0</v>
      </c>
      <c r="AF48" s="76">
        <f>SUMIFS('январь 2025'!$G$5:$G$2334,'январь 2025'!$D$5:$D$2334,$B48,'январь 2025'!$J$5:$J$2334,AF$1)</f>
        <v>0</v>
      </c>
      <c r="AG48" s="76">
        <f>SUMIFS('январь 2025'!$G$5:$G$2334,'январь 2025'!$D$5:$D$2334,$B48,'январь 2025'!$J$5:$J$2334,AG$1)</f>
        <v>0</v>
      </c>
      <c r="AH48" s="76">
        <f>SUMIFS('январь 2025'!$G$5:$G$2334,'январь 2025'!$D$5:$D$2334,$B48,'январь 2025'!$J$5:$J$2334,AH$1)</f>
        <v>0</v>
      </c>
      <c r="AI48" s="20">
        <f t="shared" si="1"/>
        <v>0</v>
      </c>
    </row>
    <row r="49" spans="2:35" ht="15" customHeight="1" x14ac:dyDescent="0.25">
      <c r="B49" s="131" t="s">
        <v>240</v>
      </c>
      <c r="C49" s="130">
        <v>20</v>
      </c>
      <c r="D49" s="76">
        <f>SUMIFS('январь 2025'!$G$5:$G$2334,'январь 2025'!$D$5:$D$2334,$B49,'январь 2025'!$J$5:$J$2334,D$1)</f>
        <v>0</v>
      </c>
      <c r="E49" s="76">
        <f>SUMIFS('январь 2025'!$G$5:$G$2334,'январь 2025'!$D$5:$D$2334,$B49,'январь 2025'!$J$5:$J$2334,E$1)</f>
        <v>0</v>
      </c>
      <c r="F49" s="76">
        <f>SUMIFS('январь 2025'!$G$5:$G$2334,'январь 2025'!$D$5:$D$2334,$B49,'январь 2025'!$J$5:$J$2334,F$1)</f>
        <v>0</v>
      </c>
      <c r="G49" s="76">
        <f>SUMIFS('январь 2025'!$G$5:$G$2334,'январь 2025'!$D$5:$D$2334,$B49,'январь 2025'!$J$5:$J$2334,G$1)</f>
        <v>0</v>
      </c>
      <c r="H49" s="76">
        <f>SUMIFS('январь 2025'!$G$5:$G$2334,'январь 2025'!$D$5:$D$2334,$B49,'январь 2025'!$J$5:$J$2334,H$1)</f>
        <v>0</v>
      </c>
      <c r="I49" s="76">
        <f>SUMIFS('январь 2025'!$G$5:$G$2334,'январь 2025'!$D$5:$D$2334,$B49,'январь 2025'!$J$5:$J$2334,I$1)</f>
        <v>0</v>
      </c>
      <c r="J49" s="76">
        <f>SUMIFS('январь 2025'!$G$5:$G$2334,'январь 2025'!$D$5:$D$2334,$B49,'январь 2025'!$J$5:$J$2334,J$1)</f>
        <v>0</v>
      </c>
      <c r="K49" s="76">
        <f>SUMIFS('январь 2025'!$G$5:$G$2334,'январь 2025'!$D$5:$D$2334,$B49,'январь 2025'!$J$5:$J$2334,K$1)</f>
        <v>0</v>
      </c>
      <c r="L49" s="76">
        <f>SUMIFS('январь 2025'!$G$5:$G$2334,'январь 2025'!$D$5:$D$2334,$B49,'январь 2025'!$J$5:$J$2334,L$1)</f>
        <v>0</v>
      </c>
      <c r="M49" s="76">
        <f>SUMIFS('январь 2025'!$G$5:$G$2334,'январь 2025'!$D$5:$D$2334,$B49,'январь 2025'!$J$5:$J$2334,M$1)</f>
        <v>0</v>
      </c>
      <c r="N49" s="76">
        <f>SUMIFS('январь 2025'!$G$5:$G$2334,'январь 2025'!$D$5:$D$2334,$B49,'январь 2025'!$J$5:$J$2334,N$1)</f>
        <v>0</v>
      </c>
      <c r="O49" s="76">
        <f>SUMIFS('январь 2025'!$G$5:$G$2334,'январь 2025'!$D$5:$D$2334,$B49,'январь 2025'!$J$5:$J$2334,O$1)</f>
        <v>0</v>
      </c>
      <c r="P49" s="76">
        <f>SUMIFS('январь 2025'!$G$5:$G$2334,'январь 2025'!$D$5:$D$2334,$B49,'январь 2025'!$J$5:$J$2334,P$1)</f>
        <v>0</v>
      </c>
      <c r="Q49" s="76">
        <f>SUMIFS('январь 2025'!$G$5:$G$2334,'январь 2025'!$D$5:$D$2334,$B49,'январь 2025'!$J$5:$J$2334,Q$1)</f>
        <v>0</v>
      </c>
      <c r="R49" s="76">
        <f>SUMIFS('январь 2025'!$G$5:$G$2334,'январь 2025'!$D$5:$D$2334,$B49,'январь 2025'!$J$5:$J$2334,R$1)</f>
        <v>0</v>
      </c>
      <c r="S49" s="76">
        <f>SUMIFS('январь 2025'!$G$5:$G$2334,'январь 2025'!$D$5:$D$2334,$B49,'январь 2025'!$J$5:$J$2334,S$1)</f>
        <v>0</v>
      </c>
      <c r="T49" s="76">
        <f>SUMIFS('январь 2025'!$G$5:$G$2334,'январь 2025'!$D$5:$D$2334,$B49,'январь 2025'!$J$5:$J$2334,T$1)</f>
        <v>0</v>
      </c>
      <c r="U49" s="76">
        <f>SUMIFS('январь 2025'!$G$5:$G$2334,'январь 2025'!$D$5:$D$2334,$B49,'январь 2025'!$J$5:$J$2334,U$1)</f>
        <v>0</v>
      </c>
      <c r="V49" s="76">
        <f>SUMIFS('январь 2025'!$G$5:$G$2334,'январь 2025'!$D$5:$D$2334,$B49,'январь 2025'!$J$5:$J$2334,V$1)</f>
        <v>0</v>
      </c>
      <c r="W49" s="76">
        <f>SUMIFS('январь 2025'!$G$5:$G$2334,'январь 2025'!$D$5:$D$2334,$B49,'январь 2025'!$J$5:$J$2334,W$1)</f>
        <v>0</v>
      </c>
      <c r="X49" s="76">
        <f>SUMIFS('январь 2025'!$G$5:$G$2334,'январь 2025'!$D$5:$D$2334,$B49,'январь 2025'!$J$5:$J$2334,X$1)</f>
        <v>0</v>
      </c>
      <c r="Y49" s="76">
        <f>SUMIFS('январь 2025'!$G$5:$G$2334,'январь 2025'!$D$5:$D$2334,$B49,'январь 2025'!$J$5:$J$2334,Y$1)</f>
        <v>0</v>
      </c>
      <c r="Z49" s="76">
        <f>SUMIFS('январь 2025'!$G$5:$G$2334,'январь 2025'!$D$5:$D$2334,$B49,'январь 2025'!$J$5:$J$2334,Z$1)</f>
        <v>0</v>
      </c>
      <c r="AA49" s="76">
        <f>SUMIFS('январь 2025'!$G$5:$G$2334,'январь 2025'!$D$5:$D$2334,$B49,'январь 2025'!$J$5:$J$2334,AA$1)</f>
        <v>0</v>
      </c>
      <c r="AB49" s="76">
        <f>SUMIFS('январь 2025'!$G$5:$G$2334,'январь 2025'!$D$5:$D$2334,$B49,'январь 2025'!$J$5:$J$2334,AB$1)</f>
        <v>0</v>
      </c>
      <c r="AC49" s="76">
        <f>SUMIFS('январь 2025'!$G$5:$G$2334,'январь 2025'!$D$5:$D$2334,$B49,'январь 2025'!$J$5:$J$2334,AC$1)</f>
        <v>0</v>
      </c>
      <c r="AD49" s="76">
        <f>SUMIFS('январь 2025'!$G$5:$G$2334,'январь 2025'!$D$5:$D$2334,$B49,'январь 2025'!$J$5:$J$2334,AD$1)</f>
        <v>0</v>
      </c>
      <c r="AE49" s="76">
        <f>SUMIFS('январь 2025'!$G$5:$G$2334,'январь 2025'!$D$5:$D$2334,$B49,'январь 2025'!$J$5:$J$2334,AE$1)</f>
        <v>0</v>
      </c>
      <c r="AF49" s="76">
        <f>SUMIFS('январь 2025'!$G$5:$G$2334,'январь 2025'!$D$5:$D$2334,$B49,'январь 2025'!$J$5:$J$2334,AF$1)</f>
        <v>0</v>
      </c>
      <c r="AG49" s="76">
        <f>SUMIFS('январь 2025'!$G$5:$G$2334,'январь 2025'!$D$5:$D$2334,$B49,'январь 2025'!$J$5:$J$2334,AG$1)</f>
        <v>0</v>
      </c>
      <c r="AH49" s="76">
        <f>SUMIFS('январь 2025'!$G$5:$G$2334,'январь 2025'!$D$5:$D$2334,$B49,'январь 2025'!$J$5:$J$2334,AH$1)</f>
        <v>0</v>
      </c>
      <c r="AI49" s="20">
        <f t="shared" si="1"/>
        <v>0</v>
      </c>
    </row>
    <row r="50" spans="2:35" ht="15" customHeight="1" x14ac:dyDescent="0.25">
      <c r="B50" s="131" t="s">
        <v>242</v>
      </c>
      <c r="C50" s="132">
        <v>20</v>
      </c>
      <c r="D50" s="76">
        <f>SUMIFS('январь 2025'!$G$5:$G$2334,'январь 2025'!$D$5:$D$2334,$B50,'январь 2025'!$J$5:$J$2334,D$1)</f>
        <v>0</v>
      </c>
      <c r="E50" s="76">
        <f>SUMIFS('январь 2025'!$G$5:$G$2334,'январь 2025'!$D$5:$D$2334,$B50,'январь 2025'!$J$5:$J$2334,E$1)</f>
        <v>0</v>
      </c>
      <c r="F50" s="76">
        <f>SUMIFS('январь 2025'!$G$5:$G$2334,'январь 2025'!$D$5:$D$2334,$B50,'январь 2025'!$J$5:$J$2334,F$1)</f>
        <v>0</v>
      </c>
      <c r="G50" s="76">
        <f>SUMIFS('январь 2025'!$G$5:$G$2334,'январь 2025'!$D$5:$D$2334,$B50,'январь 2025'!$J$5:$J$2334,G$1)</f>
        <v>0</v>
      </c>
      <c r="H50" s="76">
        <f>SUMIFS('январь 2025'!$G$5:$G$2334,'январь 2025'!$D$5:$D$2334,$B50,'январь 2025'!$J$5:$J$2334,H$1)</f>
        <v>0</v>
      </c>
      <c r="I50" s="76">
        <f>SUMIFS('январь 2025'!$G$5:$G$2334,'январь 2025'!$D$5:$D$2334,$B50,'январь 2025'!$J$5:$J$2334,I$1)</f>
        <v>0</v>
      </c>
      <c r="J50" s="76">
        <f>SUMIFS('январь 2025'!$G$5:$G$2334,'январь 2025'!$D$5:$D$2334,$B50,'январь 2025'!$J$5:$J$2334,J$1)</f>
        <v>0</v>
      </c>
      <c r="K50" s="76">
        <f>SUMIFS('январь 2025'!$G$5:$G$2334,'январь 2025'!$D$5:$D$2334,$B50,'январь 2025'!$J$5:$J$2334,K$1)</f>
        <v>0</v>
      </c>
      <c r="L50" s="76">
        <f>SUMIFS('январь 2025'!$G$5:$G$2334,'январь 2025'!$D$5:$D$2334,$B50,'январь 2025'!$J$5:$J$2334,L$1)</f>
        <v>0</v>
      </c>
      <c r="M50" s="76">
        <f>SUMIFS('январь 2025'!$G$5:$G$2334,'январь 2025'!$D$5:$D$2334,$B50,'январь 2025'!$J$5:$J$2334,M$1)</f>
        <v>0</v>
      </c>
      <c r="N50" s="76">
        <f>SUMIFS('январь 2025'!$G$5:$G$2334,'январь 2025'!$D$5:$D$2334,$B50,'январь 2025'!$J$5:$J$2334,N$1)</f>
        <v>0</v>
      </c>
      <c r="O50" s="76">
        <f>SUMIFS('январь 2025'!$G$5:$G$2334,'январь 2025'!$D$5:$D$2334,$B50,'январь 2025'!$J$5:$J$2334,O$1)</f>
        <v>0</v>
      </c>
      <c r="P50" s="76">
        <f>SUMIFS('январь 2025'!$G$5:$G$2334,'январь 2025'!$D$5:$D$2334,$B50,'январь 2025'!$J$5:$J$2334,P$1)</f>
        <v>0</v>
      </c>
      <c r="Q50" s="76">
        <f>SUMIFS('январь 2025'!$G$5:$G$2334,'январь 2025'!$D$5:$D$2334,$B50,'январь 2025'!$J$5:$J$2334,Q$1)</f>
        <v>0</v>
      </c>
      <c r="R50" s="76">
        <f>SUMIFS('январь 2025'!$G$5:$G$2334,'январь 2025'!$D$5:$D$2334,$B50,'январь 2025'!$J$5:$J$2334,R$1)</f>
        <v>0</v>
      </c>
      <c r="S50" s="76">
        <f>SUMIFS('январь 2025'!$G$5:$G$2334,'январь 2025'!$D$5:$D$2334,$B50,'январь 2025'!$J$5:$J$2334,S$1)</f>
        <v>0</v>
      </c>
      <c r="T50" s="76">
        <f>SUMIFS('январь 2025'!$G$5:$G$2334,'январь 2025'!$D$5:$D$2334,$B50,'январь 2025'!$J$5:$J$2334,T$1)</f>
        <v>0</v>
      </c>
      <c r="U50" s="76">
        <f>SUMIFS('январь 2025'!$G$5:$G$2334,'январь 2025'!$D$5:$D$2334,$B50,'январь 2025'!$J$5:$J$2334,U$1)</f>
        <v>0</v>
      </c>
      <c r="V50" s="76">
        <f>SUMIFS('январь 2025'!$G$5:$G$2334,'январь 2025'!$D$5:$D$2334,$B50,'январь 2025'!$J$5:$J$2334,V$1)</f>
        <v>0</v>
      </c>
      <c r="W50" s="76">
        <f>SUMIFS('январь 2025'!$G$5:$G$2334,'январь 2025'!$D$5:$D$2334,$B50,'январь 2025'!$J$5:$J$2334,W$1)</f>
        <v>0</v>
      </c>
      <c r="X50" s="76">
        <f>SUMIFS('январь 2025'!$G$5:$G$2334,'январь 2025'!$D$5:$D$2334,$B50,'январь 2025'!$J$5:$J$2334,X$1)</f>
        <v>0</v>
      </c>
      <c r="Y50" s="76">
        <f>SUMIFS('январь 2025'!$G$5:$G$2334,'январь 2025'!$D$5:$D$2334,$B50,'январь 2025'!$J$5:$J$2334,Y$1)</f>
        <v>0</v>
      </c>
      <c r="Z50" s="76">
        <f>SUMIFS('январь 2025'!$G$5:$G$2334,'январь 2025'!$D$5:$D$2334,$B50,'январь 2025'!$J$5:$J$2334,Z$1)</f>
        <v>0</v>
      </c>
      <c r="AA50" s="76">
        <f>SUMIFS('январь 2025'!$G$5:$G$2334,'январь 2025'!$D$5:$D$2334,$B50,'январь 2025'!$J$5:$J$2334,AA$1)</f>
        <v>0</v>
      </c>
      <c r="AB50" s="76">
        <f>SUMIFS('январь 2025'!$G$5:$G$2334,'январь 2025'!$D$5:$D$2334,$B50,'январь 2025'!$J$5:$J$2334,AB$1)</f>
        <v>0</v>
      </c>
      <c r="AC50" s="76">
        <f>SUMIFS('январь 2025'!$G$5:$G$2334,'январь 2025'!$D$5:$D$2334,$B50,'январь 2025'!$J$5:$J$2334,AC$1)</f>
        <v>0</v>
      </c>
      <c r="AD50" s="76">
        <f>SUMIFS('январь 2025'!$G$5:$G$2334,'январь 2025'!$D$5:$D$2334,$B50,'январь 2025'!$J$5:$J$2334,AD$1)</f>
        <v>0</v>
      </c>
      <c r="AE50" s="76">
        <f>SUMIFS('январь 2025'!$G$5:$G$2334,'январь 2025'!$D$5:$D$2334,$B50,'январь 2025'!$J$5:$J$2334,AE$1)</f>
        <v>0</v>
      </c>
      <c r="AF50" s="76">
        <f>SUMIFS('январь 2025'!$G$5:$G$2334,'январь 2025'!$D$5:$D$2334,$B50,'январь 2025'!$J$5:$J$2334,AF$1)</f>
        <v>0</v>
      </c>
      <c r="AG50" s="76">
        <f>SUMIFS('январь 2025'!$G$5:$G$2334,'январь 2025'!$D$5:$D$2334,$B50,'январь 2025'!$J$5:$J$2334,AG$1)</f>
        <v>0</v>
      </c>
      <c r="AH50" s="76">
        <f>SUMIFS('январь 2025'!$G$5:$G$2334,'январь 2025'!$D$5:$D$2334,$B50,'январь 2025'!$J$5:$J$2334,AH$1)</f>
        <v>0</v>
      </c>
      <c r="AI50" s="20">
        <f t="shared" si="1"/>
        <v>0</v>
      </c>
    </row>
    <row r="51" spans="2:35" ht="15" customHeight="1" x14ac:dyDescent="0.25">
      <c r="B51" s="131" t="s">
        <v>244</v>
      </c>
      <c r="C51" s="132">
        <v>14</v>
      </c>
      <c r="D51" s="76">
        <f>SUMIFS('январь 2025'!$G$5:$G$2334,'январь 2025'!$D$5:$D$2334,$B51,'январь 2025'!$J$5:$J$2334,D$1)</f>
        <v>0</v>
      </c>
      <c r="E51" s="76">
        <f>SUMIFS('январь 2025'!$G$5:$G$2334,'январь 2025'!$D$5:$D$2334,$B51,'январь 2025'!$J$5:$J$2334,E$1)</f>
        <v>0</v>
      </c>
      <c r="F51" s="76">
        <f>SUMIFS('январь 2025'!$G$5:$G$2334,'январь 2025'!$D$5:$D$2334,$B51,'январь 2025'!$J$5:$J$2334,F$1)</f>
        <v>0</v>
      </c>
      <c r="G51" s="76">
        <f>SUMIFS('январь 2025'!$G$5:$G$2334,'январь 2025'!$D$5:$D$2334,$B51,'январь 2025'!$J$5:$J$2334,G$1)</f>
        <v>0</v>
      </c>
      <c r="H51" s="76">
        <f>SUMIFS('январь 2025'!$G$5:$G$2334,'январь 2025'!$D$5:$D$2334,$B51,'январь 2025'!$J$5:$J$2334,H$1)</f>
        <v>0</v>
      </c>
      <c r="I51" s="76">
        <f>SUMIFS('январь 2025'!$G$5:$G$2334,'январь 2025'!$D$5:$D$2334,$B51,'январь 2025'!$J$5:$J$2334,I$1)</f>
        <v>0</v>
      </c>
      <c r="J51" s="76">
        <f>SUMIFS('январь 2025'!$G$5:$G$2334,'январь 2025'!$D$5:$D$2334,$B51,'январь 2025'!$J$5:$J$2334,J$1)</f>
        <v>0</v>
      </c>
      <c r="K51" s="76">
        <f>SUMIFS('январь 2025'!$G$5:$G$2334,'январь 2025'!$D$5:$D$2334,$B51,'январь 2025'!$J$5:$J$2334,K$1)</f>
        <v>0</v>
      </c>
      <c r="L51" s="76">
        <f>SUMIFS('январь 2025'!$G$5:$G$2334,'январь 2025'!$D$5:$D$2334,$B51,'январь 2025'!$J$5:$J$2334,L$1)</f>
        <v>0</v>
      </c>
      <c r="M51" s="76">
        <f>SUMIFS('январь 2025'!$G$5:$G$2334,'январь 2025'!$D$5:$D$2334,$B51,'январь 2025'!$J$5:$J$2334,M$1)</f>
        <v>0</v>
      </c>
      <c r="N51" s="76">
        <f>SUMIFS('январь 2025'!$G$5:$G$2334,'январь 2025'!$D$5:$D$2334,$B51,'январь 2025'!$J$5:$J$2334,N$1)</f>
        <v>0</v>
      </c>
      <c r="O51" s="76">
        <f>SUMIFS('январь 2025'!$G$5:$G$2334,'январь 2025'!$D$5:$D$2334,$B51,'январь 2025'!$J$5:$J$2334,O$1)</f>
        <v>0</v>
      </c>
      <c r="P51" s="76">
        <f>SUMIFS('январь 2025'!$G$5:$G$2334,'январь 2025'!$D$5:$D$2334,$B51,'январь 2025'!$J$5:$J$2334,P$1)</f>
        <v>0</v>
      </c>
      <c r="Q51" s="76">
        <f>SUMIFS('январь 2025'!$G$5:$G$2334,'январь 2025'!$D$5:$D$2334,$B51,'январь 2025'!$J$5:$J$2334,Q$1)</f>
        <v>0</v>
      </c>
      <c r="R51" s="76">
        <f>SUMIFS('январь 2025'!$G$5:$G$2334,'январь 2025'!$D$5:$D$2334,$B51,'январь 2025'!$J$5:$J$2334,R$1)</f>
        <v>0</v>
      </c>
      <c r="S51" s="76">
        <f>SUMIFS('январь 2025'!$G$5:$G$2334,'январь 2025'!$D$5:$D$2334,$B51,'январь 2025'!$J$5:$J$2334,S$1)</f>
        <v>0</v>
      </c>
      <c r="T51" s="76">
        <f>SUMIFS('январь 2025'!$G$5:$G$2334,'январь 2025'!$D$5:$D$2334,$B51,'январь 2025'!$J$5:$J$2334,T$1)</f>
        <v>0</v>
      </c>
      <c r="U51" s="76">
        <f>SUMIFS('январь 2025'!$G$5:$G$2334,'январь 2025'!$D$5:$D$2334,$B51,'январь 2025'!$J$5:$J$2334,U$1)</f>
        <v>0</v>
      </c>
      <c r="V51" s="76">
        <f>SUMIFS('январь 2025'!$G$5:$G$2334,'январь 2025'!$D$5:$D$2334,$B51,'январь 2025'!$J$5:$J$2334,V$1)</f>
        <v>0</v>
      </c>
      <c r="W51" s="76">
        <f>SUMIFS('январь 2025'!$G$5:$G$2334,'январь 2025'!$D$5:$D$2334,$B51,'январь 2025'!$J$5:$J$2334,W$1)</f>
        <v>0</v>
      </c>
      <c r="X51" s="76">
        <f>SUMIFS('январь 2025'!$G$5:$G$2334,'январь 2025'!$D$5:$D$2334,$B51,'январь 2025'!$J$5:$J$2334,X$1)</f>
        <v>0</v>
      </c>
      <c r="Y51" s="76">
        <f>SUMIFS('январь 2025'!$G$5:$G$2334,'январь 2025'!$D$5:$D$2334,$B51,'январь 2025'!$J$5:$J$2334,Y$1)</f>
        <v>0</v>
      </c>
      <c r="Z51" s="76">
        <f>SUMIFS('январь 2025'!$G$5:$G$2334,'январь 2025'!$D$5:$D$2334,$B51,'январь 2025'!$J$5:$J$2334,Z$1)</f>
        <v>0</v>
      </c>
      <c r="AA51" s="76">
        <f>SUMIFS('январь 2025'!$G$5:$G$2334,'январь 2025'!$D$5:$D$2334,$B51,'январь 2025'!$J$5:$J$2334,AA$1)</f>
        <v>0</v>
      </c>
      <c r="AB51" s="76">
        <f>SUMIFS('январь 2025'!$G$5:$G$2334,'январь 2025'!$D$5:$D$2334,$B51,'январь 2025'!$J$5:$J$2334,AB$1)</f>
        <v>0</v>
      </c>
      <c r="AC51" s="76">
        <f>SUMIFS('январь 2025'!$G$5:$G$2334,'январь 2025'!$D$5:$D$2334,$B51,'январь 2025'!$J$5:$J$2334,AC$1)</f>
        <v>0</v>
      </c>
      <c r="AD51" s="76">
        <f>SUMIFS('январь 2025'!$G$5:$G$2334,'январь 2025'!$D$5:$D$2334,$B51,'январь 2025'!$J$5:$J$2334,AD$1)</f>
        <v>0</v>
      </c>
      <c r="AE51" s="76">
        <f>SUMIFS('январь 2025'!$G$5:$G$2334,'январь 2025'!$D$5:$D$2334,$B51,'январь 2025'!$J$5:$J$2334,AE$1)</f>
        <v>0</v>
      </c>
      <c r="AF51" s="76">
        <f>SUMIFS('январь 2025'!$G$5:$G$2334,'январь 2025'!$D$5:$D$2334,$B51,'январь 2025'!$J$5:$J$2334,AF$1)</f>
        <v>0</v>
      </c>
      <c r="AG51" s="76">
        <f>SUMIFS('январь 2025'!$G$5:$G$2334,'январь 2025'!$D$5:$D$2334,$B51,'январь 2025'!$J$5:$J$2334,AG$1)</f>
        <v>0</v>
      </c>
      <c r="AH51" s="76">
        <f>SUMIFS('январь 2025'!$G$5:$G$2334,'январь 2025'!$D$5:$D$2334,$B51,'январь 2025'!$J$5:$J$2334,AH$1)</f>
        <v>0</v>
      </c>
      <c r="AI51" s="20">
        <f t="shared" si="1"/>
        <v>0</v>
      </c>
    </row>
    <row r="52" spans="2:35" ht="15" customHeight="1" x14ac:dyDescent="0.25">
      <c r="B52" s="131" t="s">
        <v>246</v>
      </c>
      <c r="C52" s="132">
        <v>25</v>
      </c>
      <c r="D52" s="76">
        <f>SUMIFS('январь 2025'!$G$5:$G$2334,'январь 2025'!$D$5:$D$2334,$B52,'январь 2025'!$J$5:$J$2334,D$1)</f>
        <v>0</v>
      </c>
      <c r="E52" s="76">
        <f>SUMIFS('январь 2025'!$G$5:$G$2334,'январь 2025'!$D$5:$D$2334,$B52,'январь 2025'!$J$5:$J$2334,E$1)</f>
        <v>0</v>
      </c>
      <c r="F52" s="76">
        <f>SUMIFS('январь 2025'!$G$5:$G$2334,'январь 2025'!$D$5:$D$2334,$B52,'январь 2025'!$J$5:$J$2334,F$1)</f>
        <v>0</v>
      </c>
      <c r="G52" s="76">
        <f>SUMIFS('январь 2025'!$G$5:$G$2334,'январь 2025'!$D$5:$D$2334,$B52,'январь 2025'!$J$5:$J$2334,G$1)</f>
        <v>0</v>
      </c>
      <c r="H52" s="76">
        <f>SUMIFS('январь 2025'!$G$5:$G$2334,'январь 2025'!$D$5:$D$2334,$B52,'январь 2025'!$J$5:$J$2334,H$1)</f>
        <v>0</v>
      </c>
      <c r="I52" s="76">
        <f>SUMIFS('январь 2025'!$G$5:$G$2334,'январь 2025'!$D$5:$D$2334,$B52,'январь 2025'!$J$5:$J$2334,I$1)</f>
        <v>0</v>
      </c>
      <c r="J52" s="76">
        <f>SUMIFS('январь 2025'!$G$5:$G$2334,'январь 2025'!$D$5:$D$2334,$B52,'январь 2025'!$J$5:$J$2334,J$1)</f>
        <v>0</v>
      </c>
      <c r="K52" s="76">
        <f>SUMIFS('январь 2025'!$G$5:$G$2334,'январь 2025'!$D$5:$D$2334,$B52,'январь 2025'!$J$5:$J$2334,K$1)</f>
        <v>0</v>
      </c>
      <c r="L52" s="76">
        <f>SUMIFS('январь 2025'!$G$5:$G$2334,'январь 2025'!$D$5:$D$2334,$B52,'январь 2025'!$J$5:$J$2334,L$1)</f>
        <v>0</v>
      </c>
      <c r="M52" s="76">
        <f>SUMIFS('январь 2025'!$G$5:$G$2334,'январь 2025'!$D$5:$D$2334,$B52,'январь 2025'!$J$5:$J$2334,M$1)</f>
        <v>0</v>
      </c>
      <c r="N52" s="76">
        <f>SUMIFS('январь 2025'!$G$5:$G$2334,'январь 2025'!$D$5:$D$2334,$B52,'январь 2025'!$J$5:$J$2334,N$1)</f>
        <v>0</v>
      </c>
      <c r="O52" s="76">
        <f>SUMIFS('январь 2025'!$G$5:$G$2334,'январь 2025'!$D$5:$D$2334,$B52,'январь 2025'!$J$5:$J$2334,O$1)</f>
        <v>0</v>
      </c>
      <c r="P52" s="76">
        <f>SUMIFS('январь 2025'!$G$5:$G$2334,'январь 2025'!$D$5:$D$2334,$B52,'январь 2025'!$J$5:$J$2334,P$1)</f>
        <v>0</v>
      </c>
      <c r="Q52" s="76">
        <f>SUMIFS('январь 2025'!$G$5:$G$2334,'январь 2025'!$D$5:$D$2334,$B52,'январь 2025'!$J$5:$J$2334,Q$1)</f>
        <v>0</v>
      </c>
      <c r="R52" s="76">
        <f>SUMIFS('январь 2025'!$G$5:$G$2334,'январь 2025'!$D$5:$D$2334,$B52,'январь 2025'!$J$5:$J$2334,R$1)</f>
        <v>0</v>
      </c>
      <c r="S52" s="76">
        <f>SUMIFS('январь 2025'!$G$5:$G$2334,'январь 2025'!$D$5:$D$2334,$B52,'январь 2025'!$J$5:$J$2334,S$1)</f>
        <v>0</v>
      </c>
      <c r="T52" s="76">
        <f>SUMIFS('январь 2025'!$G$5:$G$2334,'январь 2025'!$D$5:$D$2334,$B52,'январь 2025'!$J$5:$J$2334,T$1)</f>
        <v>0</v>
      </c>
      <c r="U52" s="76">
        <f>SUMIFS('январь 2025'!$G$5:$G$2334,'январь 2025'!$D$5:$D$2334,$B52,'январь 2025'!$J$5:$J$2334,U$1)</f>
        <v>0</v>
      </c>
      <c r="V52" s="76">
        <f>SUMIFS('январь 2025'!$G$5:$G$2334,'январь 2025'!$D$5:$D$2334,$B52,'январь 2025'!$J$5:$J$2334,V$1)</f>
        <v>0</v>
      </c>
      <c r="W52" s="76">
        <f>SUMIFS('январь 2025'!$G$5:$G$2334,'январь 2025'!$D$5:$D$2334,$B52,'январь 2025'!$J$5:$J$2334,W$1)</f>
        <v>0</v>
      </c>
      <c r="X52" s="76">
        <f>SUMIFS('январь 2025'!$G$5:$G$2334,'январь 2025'!$D$5:$D$2334,$B52,'январь 2025'!$J$5:$J$2334,X$1)</f>
        <v>0</v>
      </c>
      <c r="Y52" s="76">
        <f>SUMIFS('январь 2025'!$G$5:$G$2334,'январь 2025'!$D$5:$D$2334,$B52,'январь 2025'!$J$5:$J$2334,Y$1)</f>
        <v>0</v>
      </c>
      <c r="Z52" s="76">
        <f>SUMIFS('январь 2025'!$G$5:$G$2334,'январь 2025'!$D$5:$D$2334,$B52,'январь 2025'!$J$5:$J$2334,Z$1)</f>
        <v>0</v>
      </c>
      <c r="AA52" s="76">
        <f>SUMIFS('январь 2025'!$G$5:$G$2334,'январь 2025'!$D$5:$D$2334,$B52,'январь 2025'!$J$5:$J$2334,AA$1)</f>
        <v>0</v>
      </c>
      <c r="AB52" s="76">
        <f>SUMIFS('январь 2025'!$G$5:$G$2334,'январь 2025'!$D$5:$D$2334,$B52,'январь 2025'!$J$5:$J$2334,AB$1)</f>
        <v>0</v>
      </c>
      <c r="AC52" s="76">
        <f>SUMIFS('январь 2025'!$G$5:$G$2334,'январь 2025'!$D$5:$D$2334,$B52,'январь 2025'!$J$5:$J$2334,AC$1)</f>
        <v>0</v>
      </c>
      <c r="AD52" s="76">
        <f>SUMIFS('январь 2025'!$G$5:$G$2334,'январь 2025'!$D$5:$D$2334,$B52,'январь 2025'!$J$5:$J$2334,AD$1)</f>
        <v>0</v>
      </c>
      <c r="AE52" s="76">
        <f>SUMIFS('январь 2025'!$G$5:$G$2334,'январь 2025'!$D$5:$D$2334,$B52,'январь 2025'!$J$5:$J$2334,AE$1)</f>
        <v>0</v>
      </c>
      <c r="AF52" s="76">
        <f>SUMIFS('январь 2025'!$G$5:$G$2334,'январь 2025'!$D$5:$D$2334,$B52,'январь 2025'!$J$5:$J$2334,AF$1)</f>
        <v>0</v>
      </c>
      <c r="AG52" s="76">
        <f>SUMIFS('январь 2025'!$G$5:$G$2334,'январь 2025'!$D$5:$D$2334,$B52,'январь 2025'!$J$5:$J$2334,AG$1)</f>
        <v>0</v>
      </c>
      <c r="AH52" s="76">
        <f>SUMIFS('январь 2025'!$G$5:$G$2334,'январь 2025'!$D$5:$D$2334,$B52,'январь 2025'!$J$5:$J$2334,AH$1)</f>
        <v>0</v>
      </c>
      <c r="AI52" s="20">
        <f t="shared" si="1"/>
        <v>0</v>
      </c>
    </row>
    <row r="53" spans="2:35" ht="15" customHeight="1" x14ac:dyDescent="0.25">
      <c r="B53" s="131" t="s">
        <v>252</v>
      </c>
      <c r="C53" s="132">
        <v>20</v>
      </c>
      <c r="D53" s="76">
        <f>SUMIFS('январь 2025'!$G$5:$G$2334,'январь 2025'!$D$5:$D$2334,$B53,'январь 2025'!$J$5:$J$2334,D$1)</f>
        <v>0</v>
      </c>
      <c r="E53" s="76">
        <f>SUMIFS('январь 2025'!$G$5:$G$2334,'январь 2025'!$D$5:$D$2334,$B53,'январь 2025'!$J$5:$J$2334,E$1)</f>
        <v>0</v>
      </c>
      <c r="F53" s="76">
        <f>SUMIFS('январь 2025'!$G$5:$G$2334,'январь 2025'!$D$5:$D$2334,$B53,'январь 2025'!$J$5:$J$2334,F$1)</f>
        <v>0</v>
      </c>
      <c r="G53" s="76">
        <f>SUMIFS('январь 2025'!$G$5:$G$2334,'январь 2025'!$D$5:$D$2334,$B53,'январь 2025'!$J$5:$J$2334,G$1)</f>
        <v>0</v>
      </c>
      <c r="H53" s="76">
        <f>SUMIFS('январь 2025'!$G$5:$G$2334,'январь 2025'!$D$5:$D$2334,$B53,'январь 2025'!$J$5:$J$2334,H$1)</f>
        <v>0</v>
      </c>
      <c r="I53" s="76">
        <f>SUMIFS('январь 2025'!$G$5:$G$2334,'январь 2025'!$D$5:$D$2334,$B53,'январь 2025'!$J$5:$J$2334,I$1)</f>
        <v>0</v>
      </c>
      <c r="J53" s="76">
        <f>SUMIFS('январь 2025'!$G$5:$G$2334,'январь 2025'!$D$5:$D$2334,$B53,'январь 2025'!$J$5:$J$2334,J$1)</f>
        <v>0</v>
      </c>
      <c r="K53" s="76">
        <f>SUMIFS('январь 2025'!$G$5:$G$2334,'январь 2025'!$D$5:$D$2334,$B53,'январь 2025'!$J$5:$J$2334,K$1)</f>
        <v>0</v>
      </c>
      <c r="L53" s="76">
        <f>SUMIFS('январь 2025'!$G$5:$G$2334,'январь 2025'!$D$5:$D$2334,$B53,'январь 2025'!$J$5:$J$2334,L$1)</f>
        <v>0</v>
      </c>
      <c r="M53" s="76">
        <f>SUMIFS('январь 2025'!$G$5:$G$2334,'январь 2025'!$D$5:$D$2334,$B53,'январь 2025'!$J$5:$J$2334,M$1)</f>
        <v>0</v>
      </c>
      <c r="N53" s="76">
        <f>SUMIFS('январь 2025'!$G$5:$G$2334,'январь 2025'!$D$5:$D$2334,$B53,'январь 2025'!$J$5:$J$2334,N$1)</f>
        <v>0</v>
      </c>
      <c r="O53" s="76">
        <f>SUMIFS('январь 2025'!$G$5:$G$2334,'январь 2025'!$D$5:$D$2334,$B53,'январь 2025'!$J$5:$J$2334,O$1)</f>
        <v>0</v>
      </c>
      <c r="P53" s="76">
        <f>SUMIFS('январь 2025'!$G$5:$G$2334,'январь 2025'!$D$5:$D$2334,$B53,'январь 2025'!$J$5:$J$2334,P$1)</f>
        <v>0</v>
      </c>
      <c r="Q53" s="76">
        <f>SUMIFS('январь 2025'!$G$5:$G$2334,'январь 2025'!$D$5:$D$2334,$B53,'январь 2025'!$J$5:$J$2334,Q$1)</f>
        <v>0</v>
      </c>
      <c r="R53" s="76">
        <f>SUMIFS('январь 2025'!$G$5:$G$2334,'январь 2025'!$D$5:$D$2334,$B53,'январь 2025'!$J$5:$J$2334,R$1)</f>
        <v>0</v>
      </c>
      <c r="S53" s="76">
        <f>SUMIFS('январь 2025'!$G$5:$G$2334,'январь 2025'!$D$5:$D$2334,$B53,'январь 2025'!$J$5:$J$2334,S$1)</f>
        <v>0</v>
      </c>
      <c r="T53" s="76">
        <f>SUMIFS('январь 2025'!$G$5:$G$2334,'январь 2025'!$D$5:$D$2334,$B53,'январь 2025'!$J$5:$J$2334,T$1)</f>
        <v>0</v>
      </c>
      <c r="U53" s="76">
        <f>SUMIFS('январь 2025'!$G$5:$G$2334,'январь 2025'!$D$5:$D$2334,$B53,'январь 2025'!$J$5:$J$2334,U$1)</f>
        <v>0</v>
      </c>
      <c r="V53" s="76">
        <f>SUMIFS('январь 2025'!$G$5:$G$2334,'январь 2025'!$D$5:$D$2334,$B53,'январь 2025'!$J$5:$J$2334,V$1)</f>
        <v>0</v>
      </c>
      <c r="W53" s="76">
        <f>SUMIFS('январь 2025'!$G$5:$G$2334,'январь 2025'!$D$5:$D$2334,$B53,'январь 2025'!$J$5:$J$2334,W$1)</f>
        <v>0</v>
      </c>
      <c r="X53" s="76">
        <f>SUMIFS('январь 2025'!$G$5:$G$2334,'январь 2025'!$D$5:$D$2334,$B53,'январь 2025'!$J$5:$J$2334,X$1)</f>
        <v>0</v>
      </c>
      <c r="Y53" s="76">
        <f>SUMIFS('январь 2025'!$G$5:$G$2334,'январь 2025'!$D$5:$D$2334,$B53,'январь 2025'!$J$5:$J$2334,Y$1)</f>
        <v>0</v>
      </c>
      <c r="Z53" s="76">
        <f>SUMIFS('январь 2025'!$G$5:$G$2334,'январь 2025'!$D$5:$D$2334,$B53,'январь 2025'!$J$5:$J$2334,Z$1)</f>
        <v>0</v>
      </c>
      <c r="AA53" s="76">
        <f>SUMIFS('январь 2025'!$G$5:$G$2334,'январь 2025'!$D$5:$D$2334,$B53,'январь 2025'!$J$5:$J$2334,AA$1)</f>
        <v>0</v>
      </c>
      <c r="AB53" s="76">
        <f>SUMIFS('январь 2025'!$G$5:$G$2334,'январь 2025'!$D$5:$D$2334,$B53,'январь 2025'!$J$5:$J$2334,AB$1)</f>
        <v>0</v>
      </c>
      <c r="AC53" s="76">
        <f>SUMIFS('январь 2025'!$G$5:$G$2334,'январь 2025'!$D$5:$D$2334,$B53,'январь 2025'!$J$5:$J$2334,AC$1)</f>
        <v>0</v>
      </c>
      <c r="AD53" s="76">
        <f>SUMIFS('январь 2025'!$G$5:$G$2334,'январь 2025'!$D$5:$D$2334,$B53,'январь 2025'!$J$5:$J$2334,AD$1)</f>
        <v>0</v>
      </c>
      <c r="AE53" s="76">
        <f>SUMIFS('январь 2025'!$G$5:$G$2334,'январь 2025'!$D$5:$D$2334,$B53,'январь 2025'!$J$5:$J$2334,AE$1)</f>
        <v>0</v>
      </c>
      <c r="AF53" s="76">
        <f>SUMIFS('январь 2025'!$G$5:$G$2334,'январь 2025'!$D$5:$D$2334,$B53,'январь 2025'!$J$5:$J$2334,AF$1)</f>
        <v>0</v>
      </c>
      <c r="AG53" s="76">
        <f>SUMIFS('январь 2025'!$G$5:$G$2334,'январь 2025'!$D$5:$D$2334,$B53,'январь 2025'!$J$5:$J$2334,AG$1)</f>
        <v>0</v>
      </c>
      <c r="AH53" s="76">
        <f>SUMIFS('январь 2025'!$G$5:$G$2334,'январь 2025'!$D$5:$D$2334,$B53,'январь 2025'!$J$5:$J$2334,AH$1)</f>
        <v>0</v>
      </c>
      <c r="AI53" s="20">
        <f t="shared" si="1"/>
        <v>0</v>
      </c>
    </row>
    <row r="54" spans="2:35" ht="15" customHeight="1" x14ac:dyDescent="0.25">
      <c r="B54" s="127" t="s">
        <v>253</v>
      </c>
      <c r="C54" s="132">
        <v>20</v>
      </c>
      <c r="D54" s="76">
        <f>SUMIFS('январь 2025'!$G$5:$G$2334,'январь 2025'!$D$5:$D$2334,$B54,'январь 2025'!$J$5:$J$2334,D$1)</f>
        <v>0</v>
      </c>
      <c r="E54" s="76">
        <f>SUMIFS('январь 2025'!$G$5:$G$2334,'январь 2025'!$D$5:$D$2334,$B54,'январь 2025'!$J$5:$J$2334,E$1)</f>
        <v>0</v>
      </c>
      <c r="F54" s="76">
        <f>SUMIFS('январь 2025'!$G$5:$G$2334,'январь 2025'!$D$5:$D$2334,$B54,'январь 2025'!$J$5:$J$2334,F$1)</f>
        <v>0</v>
      </c>
      <c r="G54" s="76">
        <f>SUMIFS('январь 2025'!$G$5:$G$2334,'январь 2025'!$D$5:$D$2334,$B54,'январь 2025'!$J$5:$J$2334,G$1)</f>
        <v>0</v>
      </c>
      <c r="H54" s="76">
        <f>SUMIFS('январь 2025'!$G$5:$G$2334,'январь 2025'!$D$5:$D$2334,$B54,'январь 2025'!$J$5:$J$2334,H$1)</f>
        <v>0</v>
      </c>
      <c r="I54" s="76">
        <f>SUMIFS('январь 2025'!$G$5:$G$2334,'январь 2025'!$D$5:$D$2334,$B54,'январь 2025'!$J$5:$J$2334,I$1)</f>
        <v>0</v>
      </c>
      <c r="J54" s="76">
        <f>SUMIFS('январь 2025'!$G$5:$G$2334,'январь 2025'!$D$5:$D$2334,$B54,'январь 2025'!$J$5:$J$2334,J$1)</f>
        <v>0</v>
      </c>
      <c r="K54" s="76">
        <f>SUMIFS('январь 2025'!$G$5:$G$2334,'январь 2025'!$D$5:$D$2334,$B54,'январь 2025'!$J$5:$J$2334,K$1)</f>
        <v>0</v>
      </c>
      <c r="L54" s="76">
        <f>SUMIFS('январь 2025'!$G$5:$G$2334,'январь 2025'!$D$5:$D$2334,$B54,'январь 2025'!$J$5:$J$2334,L$1)</f>
        <v>0</v>
      </c>
      <c r="M54" s="76">
        <f>SUMIFS('январь 2025'!$G$5:$G$2334,'январь 2025'!$D$5:$D$2334,$B54,'январь 2025'!$J$5:$J$2334,M$1)</f>
        <v>0</v>
      </c>
      <c r="N54" s="76">
        <f>SUMIFS('январь 2025'!$G$5:$G$2334,'январь 2025'!$D$5:$D$2334,$B54,'январь 2025'!$J$5:$J$2334,N$1)</f>
        <v>0</v>
      </c>
      <c r="O54" s="76">
        <f>SUMIFS('январь 2025'!$G$5:$G$2334,'январь 2025'!$D$5:$D$2334,$B54,'январь 2025'!$J$5:$J$2334,O$1)</f>
        <v>0</v>
      </c>
      <c r="P54" s="76">
        <f>SUMIFS('январь 2025'!$G$5:$G$2334,'январь 2025'!$D$5:$D$2334,$B54,'январь 2025'!$J$5:$J$2334,P$1)</f>
        <v>0</v>
      </c>
      <c r="Q54" s="76">
        <f>SUMIFS('январь 2025'!$G$5:$G$2334,'январь 2025'!$D$5:$D$2334,$B54,'январь 2025'!$J$5:$J$2334,Q$1)</f>
        <v>0</v>
      </c>
      <c r="R54" s="76">
        <f>SUMIFS('январь 2025'!$G$5:$G$2334,'январь 2025'!$D$5:$D$2334,$B54,'январь 2025'!$J$5:$J$2334,R$1)</f>
        <v>0</v>
      </c>
      <c r="S54" s="76">
        <f>SUMIFS('январь 2025'!$G$5:$G$2334,'январь 2025'!$D$5:$D$2334,$B54,'январь 2025'!$J$5:$J$2334,S$1)</f>
        <v>0</v>
      </c>
      <c r="T54" s="76">
        <f>SUMIFS('январь 2025'!$G$5:$G$2334,'январь 2025'!$D$5:$D$2334,$B54,'январь 2025'!$J$5:$J$2334,T$1)</f>
        <v>0</v>
      </c>
      <c r="U54" s="76">
        <f>SUMIFS('январь 2025'!$G$5:$G$2334,'январь 2025'!$D$5:$D$2334,$B54,'январь 2025'!$J$5:$J$2334,U$1)</f>
        <v>0</v>
      </c>
      <c r="V54" s="76">
        <f>SUMIFS('январь 2025'!$G$5:$G$2334,'январь 2025'!$D$5:$D$2334,$B54,'январь 2025'!$J$5:$J$2334,V$1)</f>
        <v>0</v>
      </c>
      <c r="W54" s="76">
        <f>SUMIFS('январь 2025'!$G$5:$G$2334,'январь 2025'!$D$5:$D$2334,$B54,'январь 2025'!$J$5:$J$2334,W$1)</f>
        <v>0</v>
      </c>
      <c r="X54" s="76">
        <f>SUMIFS('январь 2025'!$G$5:$G$2334,'январь 2025'!$D$5:$D$2334,$B54,'январь 2025'!$J$5:$J$2334,X$1)</f>
        <v>0</v>
      </c>
      <c r="Y54" s="76">
        <f>SUMIFS('январь 2025'!$G$5:$G$2334,'январь 2025'!$D$5:$D$2334,$B54,'январь 2025'!$J$5:$J$2334,Y$1)</f>
        <v>0</v>
      </c>
      <c r="Z54" s="76">
        <f>SUMIFS('январь 2025'!$G$5:$G$2334,'январь 2025'!$D$5:$D$2334,$B54,'январь 2025'!$J$5:$J$2334,Z$1)</f>
        <v>0</v>
      </c>
      <c r="AA54" s="76">
        <f>SUMIFS('январь 2025'!$G$5:$G$2334,'январь 2025'!$D$5:$D$2334,$B54,'январь 2025'!$J$5:$J$2334,AA$1)</f>
        <v>0</v>
      </c>
      <c r="AB54" s="76">
        <f>SUMIFS('январь 2025'!$G$5:$G$2334,'январь 2025'!$D$5:$D$2334,$B54,'январь 2025'!$J$5:$J$2334,AB$1)</f>
        <v>0</v>
      </c>
      <c r="AC54" s="76">
        <f>SUMIFS('январь 2025'!$G$5:$G$2334,'январь 2025'!$D$5:$D$2334,$B54,'январь 2025'!$J$5:$J$2334,AC$1)</f>
        <v>0</v>
      </c>
      <c r="AD54" s="76">
        <f>SUMIFS('январь 2025'!$G$5:$G$2334,'январь 2025'!$D$5:$D$2334,$B54,'январь 2025'!$J$5:$J$2334,AD$1)</f>
        <v>0</v>
      </c>
      <c r="AE54" s="76">
        <f>SUMIFS('январь 2025'!$G$5:$G$2334,'январь 2025'!$D$5:$D$2334,$B54,'январь 2025'!$J$5:$J$2334,AE$1)</f>
        <v>0</v>
      </c>
      <c r="AF54" s="76">
        <f>SUMIFS('январь 2025'!$G$5:$G$2334,'январь 2025'!$D$5:$D$2334,$B54,'январь 2025'!$J$5:$J$2334,AF$1)</f>
        <v>0</v>
      </c>
      <c r="AG54" s="76">
        <f>SUMIFS('январь 2025'!$G$5:$G$2334,'январь 2025'!$D$5:$D$2334,$B54,'январь 2025'!$J$5:$J$2334,AG$1)</f>
        <v>0</v>
      </c>
      <c r="AH54" s="76">
        <f>SUMIFS('январь 2025'!$G$5:$G$2334,'январь 2025'!$D$5:$D$2334,$B54,'январь 2025'!$J$5:$J$2334,AH$1)</f>
        <v>0</v>
      </c>
      <c r="AI54" s="20">
        <f t="shared" si="1"/>
        <v>0</v>
      </c>
    </row>
    <row r="55" spans="2:35" ht="15" customHeight="1" x14ac:dyDescent="0.25">
      <c r="B55" s="131" t="s">
        <v>254</v>
      </c>
      <c r="C55" s="132">
        <v>20</v>
      </c>
      <c r="D55" s="76">
        <f>SUMIFS('январь 2025'!$G$5:$G$2334,'январь 2025'!$D$5:$D$2334,$B55,'январь 2025'!$J$5:$J$2334,D$1)</f>
        <v>0</v>
      </c>
      <c r="E55" s="76">
        <f>SUMIFS('январь 2025'!$G$5:$G$2334,'январь 2025'!$D$5:$D$2334,$B55,'январь 2025'!$J$5:$J$2334,E$1)</f>
        <v>0</v>
      </c>
      <c r="F55" s="76">
        <f>SUMIFS('январь 2025'!$G$5:$G$2334,'январь 2025'!$D$5:$D$2334,$B55,'январь 2025'!$J$5:$J$2334,F$1)</f>
        <v>0</v>
      </c>
      <c r="G55" s="76">
        <f>SUMIFS('январь 2025'!$G$5:$G$2334,'январь 2025'!$D$5:$D$2334,$B55,'январь 2025'!$J$5:$J$2334,G$1)</f>
        <v>0</v>
      </c>
      <c r="H55" s="76">
        <f>SUMIFS('январь 2025'!$G$5:$G$2334,'январь 2025'!$D$5:$D$2334,$B55,'январь 2025'!$J$5:$J$2334,H$1)</f>
        <v>0</v>
      </c>
      <c r="I55" s="76">
        <f>SUMIFS('январь 2025'!$G$5:$G$2334,'январь 2025'!$D$5:$D$2334,$B55,'январь 2025'!$J$5:$J$2334,I$1)</f>
        <v>0</v>
      </c>
      <c r="J55" s="76">
        <f>SUMIFS('январь 2025'!$G$5:$G$2334,'январь 2025'!$D$5:$D$2334,$B55,'январь 2025'!$J$5:$J$2334,J$1)</f>
        <v>0</v>
      </c>
      <c r="K55" s="76">
        <f>SUMIFS('январь 2025'!$G$5:$G$2334,'январь 2025'!$D$5:$D$2334,$B55,'январь 2025'!$J$5:$J$2334,K$1)</f>
        <v>0</v>
      </c>
      <c r="L55" s="76">
        <f>SUMIFS('январь 2025'!$G$5:$G$2334,'январь 2025'!$D$5:$D$2334,$B55,'январь 2025'!$J$5:$J$2334,L$1)</f>
        <v>0</v>
      </c>
      <c r="M55" s="76">
        <f>SUMIFS('январь 2025'!$G$5:$G$2334,'январь 2025'!$D$5:$D$2334,$B55,'январь 2025'!$J$5:$J$2334,M$1)</f>
        <v>0</v>
      </c>
      <c r="N55" s="76">
        <f>SUMIFS('январь 2025'!$G$5:$G$2334,'январь 2025'!$D$5:$D$2334,$B55,'январь 2025'!$J$5:$J$2334,N$1)</f>
        <v>0</v>
      </c>
      <c r="O55" s="76">
        <f>SUMIFS('январь 2025'!$G$5:$G$2334,'январь 2025'!$D$5:$D$2334,$B55,'январь 2025'!$J$5:$J$2334,O$1)</f>
        <v>0</v>
      </c>
      <c r="P55" s="76">
        <f>SUMIFS('январь 2025'!$G$5:$G$2334,'январь 2025'!$D$5:$D$2334,$B55,'январь 2025'!$J$5:$J$2334,P$1)</f>
        <v>0</v>
      </c>
      <c r="Q55" s="76">
        <f>SUMIFS('январь 2025'!$G$5:$G$2334,'январь 2025'!$D$5:$D$2334,$B55,'январь 2025'!$J$5:$J$2334,Q$1)</f>
        <v>0</v>
      </c>
      <c r="R55" s="76">
        <f>SUMIFS('январь 2025'!$G$5:$G$2334,'январь 2025'!$D$5:$D$2334,$B55,'январь 2025'!$J$5:$J$2334,R$1)</f>
        <v>0</v>
      </c>
      <c r="S55" s="76">
        <f>SUMIFS('январь 2025'!$G$5:$G$2334,'январь 2025'!$D$5:$D$2334,$B55,'январь 2025'!$J$5:$J$2334,S$1)</f>
        <v>0</v>
      </c>
      <c r="T55" s="76">
        <f>SUMIFS('январь 2025'!$G$5:$G$2334,'январь 2025'!$D$5:$D$2334,$B55,'январь 2025'!$J$5:$J$2334,T$1)</f>
        <v>0</v>
      </c>
      <c r="U55" s="76">
        <f>SUMIFS('январь 2025'!$G$5:$G$2334,'январь 2025'!$D$5:$D$2334,$B55,'январь 2025'!$J$5:$J$2334,U$1)</f>
        <v>0</v>
      </c>
      <c r="V55" s="76">
        <f>SUMIFS('январь 2025'!$G$5:$G$2334,'январь 2025'!$D$5:$D$2334,$B55,'январь 2025'!$J$5:$J$2334,V$1)</f>
        <v>0</v>
      </c>
      <c r="W55" s="76">
        <f>SUMIFS('январь 2025'!$G$5:$G$2334,'январь 2025'!$D$5:$D$2334,$B55,'январь 2025'!$J$5:$J$2334,W$1)</f>
        <v>0</v>
      </c>
      <c r="X55" s="76">
        <f>SUMIFS('январь 2025'!$G$5:$G$2334,'январь 2025'!$D$5:$D$2334,$B55,'январь 2025'!$J$5:$J$2334,X$1)</f>
        <v>0</v>
      </c>
      <c r="Y55" s="76">
        <f>SUMIFS('январь 2025'!$G$5:$G$2334,'январь 2025'!$D$5:$D$2334,$B55,'январь 2025'!$J$5:$J$2334,Y$1)</f>
        <v>0</v>
      </c>
      <c r="Z55" s="76">
        <f>SUMIFS('январь 2025'!$G$5:$G$2334,'январь 2025'!$D$5:$D$2334,$B55,'январь 2025'!$J$5:$J$2334,Z$1)</f>
        <v>0</v>
      </c>
      <c r="AA55" s="76">
        <f>SUMIFS('январь 2025'!$G$5:$G$2334,'январь 2025'!$D$5:$D$2334,$B55,'январь 2025'!$J$5:$J$2334,AA$1)</f>
        <v>0</v>
      </c>
      <c r="AB55" s="76">
        <f>SUMIFS('январь 2025'!$G$5:$G$2334,'январь 2025'!$D$5:$D$2334,$B55,'январь 2025'!$J$5:$J$2334,AB$1)</f>
        <v>0</v>
      </c>
      <c r="AC55" s="76">
        <f>SUMIFS('январь 2025'!$G$5:$G$2334,'январь 2025'!$D$5:$D$2334,$B55,'январь 2025'!$J$5:$J$2334,AC$1)</f>
        <v>0</v>
      </c>
      <c r="AD55" s="76">
        <f>SUMIFS('январь 2025'!$G$5:$G$2334,'январь 2025'!$D$5:$D$2334,$B55,'январь 2025'!$J$5:$J$2334,AD$1)</f>
        <v>0</v>
      </c>
      <c r="AE55" s="76">
        <f>SUMIFS('январь 2025'!$G$5:$G$2334,'январь 2025'!$D$5:$D$2334,$B55,'январь 2025'!$J$5:$J$2334,AE$1)</f>
        <v>0</v>
      </c>
      <c r="AF55" s="76">
        <f>SUMIFS('январь 2025'!$G$5:$G$2334,'январь 2025'!$D$5:$D$2334,$B55,'январь 2025'!$J$5:$J$2334,AF$1)</f>
        <v>0</v>
      </c>
      <c r="AG55" s="76">
        <f>SUMIFS('январь 2025'!$G$5:$G$2334,'январь 2025'!$D$5:$D$2334,$B55,'январь 2025'!$J$5:$J$2334,AG$1)</f>
        <v>0</v>
      </c>
      <c r="AH55" s="76">
        <f>SUMIFS('январь 2025'!$G$5:$G$2334,'январь 2025'!$D$5:$D$2334,$B55,'январь 2025'!$J$5:$J$2334,AH$1)</f>
        <v>0</v>
      </c>
      <c r="AI55" s="20">
        <f t="shared" si="1"/>
        <v>0</v>
      </c>
    </row>
    <row r="56" spans="2:35" ht="15" customHeight="1" x14ac:dyDescent="0.25">
      <c r="B56" s="131" t="s">
        <v>255</v>
      </c>
      <c r="C56" s="132">
        <v>20</v>
      </c>
      <c r="D56" s="76">
        <f>SUMIFS('январь 2025'!$G$5:$G$2334,'январь 2025'!$D$5:$D$2334,$B56,'январь 2025'!$J$5:$J$2334,D$1)</f>
        <v>0</v>
      </c>
      <c r="E56" s="76">
        <f>SUMIFS('январь 2025'!$G$5:$G$2334,'январь 2025'!$D$5:$D$2334,$B56,'январь 2025'!$J$5:$J$2334,E$1)</f>
        <v>0</v>
      </c>
      <c r="F56" s="76">
        <f>SUMIFS('январь 2025'!$G$5:$G$2334,'январь 2025'!$D$5:$D$2334,$B56,'январь 2025'!$J$5:$J$2334,F$1)</f>
        <v>0</v>
      </c>
      <c r="G56" s="76">
        <f>SUMIFS('январь 2025'!$G$5:$G$2334,'январь 2025'!$D$5:$D$2334,$B56,'январь 2025'!$J$5:$J$2334,G$1)</f>
        <v>0</v>
      </c>
      <c r="H56" s="76">
        <f>SUMIFS('январь 2025'!$G$5:$G$2334,'январь 2025'!$D$5:$D$2334,$B56,'январь 2025'!$J$5:$J$2334,H$1)</f>
        <v>0</v>
      </c>
      <c r="I56" s="76">
        <f>SUMIFS('январь 2025'!$G$5:$G$2334,'январь 2025'!$D$5:$D$2334,$B56,'январь 2025'!$J$5:$J$2334,I$1)</f>
        <v>0</v>
      </c>
      <c r="J56" s="76">
        <f>SUMIFS('январь 2025'!$G$5:$G$2334,'январь 2025'!$D$5:$D$2334,$B56,'январь 2025'!$J$5:$J$2334,J$1)</f>
        <v>0</v>
      </c>
      <c r="K56" s="76">
        <f>SUMIFS('январь 2025'!$G$5:$G$2334,'январь 2025'!$D$5:$D$2334,$B56,'январь 2025'!$J$5:$J$2334,K$1)</f>
        <v>0</v>
      </c>
      <c r="L56" s="76">
        <f>SUMIFS('январь 2025'!$G$5:$G$2334,'январь 2025'!$D$5:$D$2334,$B56,'январь 2025'!$J$5:$J$2334,L$1)</f>
        <v>0</v>
      </c>
      <c r="M56" s="76">
        <f>SUMIFS('январь 2025'!$G$5:$G$2334,'январь 2025'!$D$5:$D$2334,$B56,'январь 2025'!$J$5:$J$2334,M$1)</f>
        <v>0</v>
      </c>
      <c r="N56" s="76">
        <f>SUMIFS('январь 2025'!$G$5:$G$2334,'январь 2025'!$D$5:$D$2334,$B56,'январь 2025'!$J$5:$J$2334,N$1)</f>
        <v>0</v>
      </c>
      <c r="O56" s="76">
        <f>SUMIFS('январь 2025'!$G$5:$G$2334,'январь 2025'!$D$5:$D$2334,$B56,'январь 2025'!$J$5:$J$2334,O$1)</f>
        <v>0</v>
      </c>
      <c r="P56" s="76">
        <f>SUMIFS('январь 2025'!$G$5:$G$2334,'январь 2025'!$D$5:$D$2334,$B56,'январь 2025'!$J$5:$J$2334,P$1)</f>
        <v>0</v>
      </c>
      <c r="Q56" s="76">
        <f>SUMIFS('январь 2025'!$G$5:$G$2334,'январь 2025'!$D$5:$D$2334,$B56,'январь 2025'!$J$5:$J$2334,Q$1)</f>
        <v>0</v>
      </c>
      <c r="R56" s="76">
        <f>SUMIFS('январь 2025'!$G$5:$G$2334,'январь 2025'!$D$5:$D$2334,$B56,'январь 2025'!$J$5:$J$2334,R$1)</f>
        <v>0</v>
      </c>
      <c r="S56" s="76">
        <f>SUMIFS('январь 2025'!$G$5:$G$2334,'январь 2025'!$D$5:$D$2334,$B56,'январь 2025'!$J$5:$J$2334,S$1)</f>
        <v>0</v>
      </c>
      <c r="T56" s="76">
        <f>SUMIFS('январь 2025'!$G$5:$G$2334,'январь 2025'!$D$5:$D$2334,$B56,'январь 2025'!$J$5:$J$2334,T$1)</f>
        <v>0</v>
      </c>
      <c r="U56" s="76">
        <f>SUMIFS('январь 2025'!$G$5:$G$2334,'январь 2025'!$D$5:$D$2334,$B56,'январь 2025'!$J$5:$J$2334,U$1)</f>
        <v>0</v>
      </c>
      <c r="V56" s="76">
        <f>SUMIFS('январь 2025'!$G$5:$G$2334,'январь 2025'!$D$5:$D$2334,$B56,'январь 2025'!$J$5:$J$2334,V$1)</f>
        <v>0</v>
      </c>
      <c r="W56" s="76">
        <f>SUMIFS('январь 2025'!$G$5:$G$2334,'январь 2025'!$D$5:$D$2334,$B56,'январь 2025'!$J$5:$J$2334,W$1)</f>
        <v>0</v>
      </c>
      <c r="X56" s="76">
        <f>SUMIFS('январь 2025'!$G$5:$G$2334,'январь 2025'!$D$5:$D$2334,$B56,'январь 2025'!$J$5:$J$2334,X$1)</f>
        <v>0</v>
      </c>
      <c r="Y56" s="76">
        <f>SUMIFS('январь 2025'!$G$5:$G$2334,'январь 2025'!$D$5:$D$2334,$B56,'январь 2025'!$J$5:$J$2334,Y$1)</f>
        <v>0</v>
      </c>
      <c r="Z56" s="76">
        <f>SUMIFS('январь 2025'!$G$5:$G$2334,'январь 2025'!$D$5:$D$2334,$B56,'январь 2025'!$J$5:$J$2334,Z$1)</f>
        <v>0</v>
      </c>
      <c r="AA56" s="76">
        <f>SUMIFS('январь 2025'!$G$5:$G$2334,'январь 2025'!$D$5:$D$2334,$B56,'январь 2025'!$J$5:$J$2334,AA$1)</f>
        <v>0</v>
      </c>
      <c r="AB56" s="76">
        <f>SUMIFS('январь 2025'!$G$5:$G$2334,'январь 2025'!$D$5:$D$2334,$B56,'январь 2025'!$J$5:$J$2334,AB$1)</f>
        <v>0</v>
      </c>
      <c r="AC56" s="76">
        <f>SUMIFS('январь 2025'!$G$5:$G$2334,'январь 2025'!$D$5:$D$2334,$B56,'январь 2025'!$J$5:$J$2334,AC$1)</f>
        <v>0</v>
      </c>
      <c r="AD56" s="76">
        <f>SUMIFS('январь 2025'!$G$5:$G$2334,'январь 2025'!$D$5:$D$2334,$B56,'январь 2025'!$J$5:$J$2334,AD$1)</f>
        <v>0</v>
      </c>
      <c r="AE56" s="76">
        <f>SUMIFS('январь 2025'!$G$5:$G$2334,'январь 2025'!$D$5:$D$2334,$B56,'январь 2025'!$J$5:$J$2334,AE$1)</f>
        <v>0</v>
      </c>
      <c r="AF56" s="76">
        <f>SUMIFS('январь 2025'!$G$5:$G$2334,'январь 2025'!$D$5:$D$2334,$B56,'январь 2025'!$J$5:$J$2334,AF$1)</f>
        <v>0</v>
      </c>
      <c r="AG56" s="76">
        <f>SUMIFS('январь 2025'!$G$5:$G$2334,'январь 2025'!$D$5:$D$2334,$B56,'январь 2025'!$J$5:$J$2334,AG$1)</f>
        <v>0</v>
      </c>
      <c r="AH56" s="76">
        <f>SUMIFS('январь 2025'!$G$5:$G$2334,'январь 2025'!$D$5:$D$2334,$B56,'январь 2025'!$J$5:$J$2334,AH$1)</f>
        <v>0</v>
      </c>
      <c r="AI56" s="20">
        <f t="shared" si="1"/>
        <v>0</v>
      </c>
    </row>
    <row r="57" spans="2:35" ht="15" customHeight="1" x14ac:dyDescent="0.25">
      <c r="B57" s="131"/>
      <c r="C57" s="132"/>
      <c r="D57" s="76">
        <f>SUMIFS('январь 2025'!$G$5:$G$2334,'январь 2025'!$D$5:$D$2334,$B57,'январь 2025'!$J$5:$J$2334,D$1)</f>
        <v>0</v>
      </c>
      <c r="E57" s="76">
        <f>SUMIFS('январь 2025'!$G$5:$G$2334,'январь 2025'!$D$5:$D$2334,$B57,'январь 2025'!$J$5:$J$2334,E$1)</f>
        <v>0</v>
      </c>
      <c r="F57" s="76">
        <f>SUMIFS('январь 2025'!$G$5:$G$2334,'январь 2025'!$D$5:$D$2334,$B57,'январь 2025'!$J$5:$J$2334,F$1)</f>
        <v>0</v>
      </c>
      <c r="G57" s="76">
        <f>SUMIFS('январь 2025'!$G$5:$G$2334,'январь 2025'!$D$5:$D$2334,$B57,'январь 2025'!$J$5:$J$2334,G$1)</f>
        <v>0</v>
      </c>
      <c r="H57" s="76">
        <f>SUMIFS('январь 2025'!$G$5:$G$2334,'январь 2025'!$D$5:$D$2334,$B57,'январь 2025'!$J$5:$J$2334,H$1)</f>
        <v>0</v>
      </c>
      <c r="I57" s="76">
        <f>SUMIFS('январь 2025'!$G$5:$G$2334,'январь 2025'!$D$5:$D$2334,$B57,'январь 2025'!$J$5:$J$2334,I$1)</f>
        <v>0</v>
      </c>
      <c r="J57" s="76">
        <f>SUMIFS('январь 2025'!$G$5:$G$2334,'январь 2025'!$D$5:$D$2334,$B57,'январь 2025'!$J$5:$J$2334,J$1)</f>
        <v>0</v>
      </c>
      <c r="K57" s="76">
        <f>SUMIFS('январь 2025'!$G$5:$G$2334,'январь 2025'!$D$5:$D$2334,$B57,'январь 2025'!$J$5:$J$2334,K$1)</f>
        <v>0</v>
      </c>
      <c r="L57" s="76">
        <f>SUMIFS('январь 2025'!$G$5:$G$2334,'январь 2025'!$D$5:$D$2334,$B57,'январь 2025'!$J$5:$J$2334,L$1)</f>
        <v>0</v>
      </c>
      <c r="M57" s="76">
        <f>SUMIFS('январь 2025'!$G$5:$G$2334,'январь 2025'!$D$5:$D$2334,$B57,'январь 2025'!$J$5:$J$2334,M$1)</f>
        <v>0</v>
      </c>
      <c r="N57" s="76">
        <f>SUMIFS('январь 2025'!$G$5:$G$2334,'январь 2025'!$D$5:$D$2334,$B57,'январь 2025'!$J$5:$J$2334,N$1)</f>
        <v>0</v>
      </c>
      <c r="O57" s="76">
        <f>SUMIFS('январь 2025'!$G$5:$G$2334,'январь 2025'!$D$5:$D$2334,$B57,'январь 2025'!$J$5:$J$2334,O$1)</f>
        <v>0</v>
      </c>
      <c r="P57" s="76">
        <f>SUMIFS('январь 2025'!$G$5:$G$2334,'январь 2025'!$D$5:$D$2334,$B57,'январь 2025'!$J$5:$J$2334,P$1)</f>
        <v>0</v>
      </c>
      <c r="Q57" s="76">
        <f>SUMIFS('январь 2025'!$G$5:$G$2334,'январь 2025'!$D$5:$D$2334,$B57,'январь 2025'!$J$5:$J$2334,Q$1)</f>
        <v>0</v>
      </c>
      <c r="R57" s="76">
        <f>SUMIFS('январь 2025'!$G$5:$G$2334,'январь 2025'!$D$5:$D$2334,$B57,'январь 2025'!$J$5:$J$2334,R$1)</f>
        <v>0</v>
      </c>
      <c r="S57" s="76">
        <f>SUMIFS('январь 2025'!$G$5:$G$2334,'январь 2025'!$D$5:$D$2334,$B57,'январь 2025'!$J$5:$J$2334,S$1)</f>
        <v>0</v>
      </c>
      <c r="T57" s="76">
        <f>SUMIFS('январь 2025'!$G$5:$G$2334,'январь 2025'!$D$5:$D$2334,$B57,'январь 2025'!$J$5:$J$2334,T$1)</f>
        <v>0</v>
      </c>
      <c r="U57" s="76">
        <f>SUMIFS('январь 2025'!$G$5:$G$2334,'январь 2025'!$D$5:$D$2334,$B57,'январь 2025'!$J$5:$J$2334,U$1)</f>
        <v>0</v>
      </c>
      <c r="V57" s="76">
        <f>SUMIFS('январь 2025'!$G$5:$G$2334,'январь 2025'!$D$5:$D$2334,$B57,'январь 2025'!$J$5:$J$2334,V$1)</f>
        <v>0</v>
      </c>
      <c r="W57" s="76">
        <f>SUMIFS('январь 2025'!$G$5:$G$2334,'январь 2025'!$D$5:$D$2334,$B57,'январь 2025'!$J$5:$J$2334,W$1)</f>
        <v>0</v>
      </c>
      <c r="X57" s="76">
        <f>SUMIFS('январь 2025'!$G$5:$G$2334,'январь 2025'!$D$5:$D$2334,$B57,'январь 2025'!$J$5:$J$2334,X$1)</f>
        <v>0</v>
      </c>
      <c r="Y57" s="76">
        <f>SUMIFS('январь 2025'!$G$5:$G$2334,'январь 2025'!$D$5:$D$2334,$B57,'январь 2025'!$J$5:$J$2334,Y$1)</f>
        <v>0</v>
      </c>
      <c r="Z57" s="76">
        <f>SUMIFS('январь 2025'!$G$5:$G$2334,'январь 2025'!$D$5:$D$2334,$B57,'январь 2025'!$J$5:$J$2334,Z$1)</f>
        <v>0</v>
      </c>
      <c r="AA57" s="76">
        <f>SUMIFS('январь 2025'!$G$5:$G$2334,'январь 2025'!$D$5:$D$2334,$B57,'январь 2025'!$J$5:$J$2334,AA$1)</f>
        <v>0</v>
      </c>
      <c r="AB57" s="76">
        <f>SUMIFS('январь 2025'!$G$5:$G$2334,'январь 2025'!$D$5:$D$2334,$B57,'январь 2025'!$J$5:$J$2334,AB$1)</f>
        <v>0</v>
      </c>
      <c r="AC57" s="76">
        <f>SUMIFS('январь 2025'!$G$5:$G$2334,'январь 2025'!$D$5:$D$2334,$B57,'январь 2025'!$J$5:$J$2334,AC$1)</f>
        <v>0</v>
      </c>
      <c r="AD57" s="76">
        <f>SUMIFS('январь 2025'!$G$5:$G$2334,'январь 2025'!$D$5:$D$2334,$B57,'январь 2025'!$J$5:$J$2334,AD$1)</f>
        <v>0</v>
      </c>
      <c r="AE57" s="76">
        <f>SUMIFS('январь 2025'!$G$5:$G$2334,'январь 2025'!$D$5:$D$2334,$B57,'январь 2025'!$J$5:$J$2334,AE$1)</f>
        <v>0</v>
      </c>
      <c r="AF57" s="76">
        <f>SUMIFS('январь 2025'!$G$5:$G$2334,'январь 2025'!$D$5:$D$2334,$B57,'январь 2025'!$J$5:$J$2334,AF$1)</f>
        <v>0</v>
      </c>
      <c r="AG57" s="76">
        <f>SUMIFS('январь 2025'!$G$5:$G$2334,'январь 2025'!$D$5:$D$2334,$B57,'январь 2025'!$J$5:$J$2334,AG$1)</f>
        <v>0</v>
      </c>
      <c r="AH57" s="76">
        <f>SUMIFS('январь 2025'!$G$5:$G$2334,'январь 2025'!$D$5:$D$2334,$B57,'январь 2025'!$J$5:$J$2334,AH$1)</f>
        <v>0</v>
      </c>
      <c r="AI57" s="20">
        <f t="shared" si="1"/>
        <v>0</v>
      </c>
    </row>
    <row r="58" spans="2:35" ht="15" customHeight="1" x14ac:dyDescent="0.25">
      <c r="B58" s="131"/>
      <c r="C58" s="132"/>
      <c r="D58" s="76">
        <f>SUMIFS('январь 2025'!$G$5:$G$2334,'январь 2025'!$D$5:$D$2334,$B58,'январь 2025'!$J$5:$J$2334,D$1)</f>
        <v>0</v>
      </c>
      <c r="E58" s="76">
        <f>SUMIFS('январь 2025'!$G$5:$G$2334,'январь 2025'!$D$5:$D$2334,$B58,'январь 2025'!$J$5:$J$2334,E$1)</f>
        <v>0</v>
      </c>
      <c r="F58" s="76">
        <f>SUMIFS('январь 2025'!$G$5:$G$2334,'январь 2025'!$D$5:$D$2334,$B58,'январь 2025'!$J$5:$J$2334,F$1)</f>
        <v>0</v>
      </c>
      <c r="G58" s="76">
        <f>SUMIFS('январь 2025'!$G$5:$G$2334,'январь 2025'!$D$5:$D$2334,$B58,'январь 2025'!$J$5:$J$2334,G$1)</f>
        <v>0</v>
      </c>
      <c r="H58" s="76">
        <f>SUMIFS('январь 2025'!$G$5:$G$2334,'январь 2025'!$D$5:$D$2334,$B58,'январь 2025'!$J$5:$J$2334,H$1)</f>
        <v>0</v>
      </c>
      <c r="I58" s="76">
        <f>SUMIFS('январь 2025'!$G$5:$G$2334,'январь 2025'!$D$5:$D$2334,$B58,'январь 2025'!$J$5:$J$2334,I$1)</f>
        <v>0</v>
      </c>
      <c r="J58" s="76">
        <f>SUMIFS('январь 2025'!$G$5:$G$2334,'январь 2025'!$D$5:$D$2334,$B58,'январь 2025'!$J$5:$J$2334,J$1)</f>
        <v>0</v>
      </c>
      <c r="K58" s="76">
        <f>SUMIFS('январь 2025'!$G$5:$G$2334,'январь 2025'!$D$5:$D$2334,$B58,'январь 2025'!$J$5:$J$2334,K$1)</f>
        <v>0</v>
      </c>
      <c r="L58" s="76">
        <f>SUMIFS('январь 2025'!$G$5:$G$2334,'январь 2025'!$D$5:$D$2334,$B58,'январь 2025'!$J$5:$J$2334,L$1)</f>
        <v>0</v>
      </c>
      <c r="M58" s="76">
        <f>SUMIFS('январь 2025'!$G$5:$G$2334,'январь 2025'!$D$5:$D$2334,$B58,'январь 2025'!$J$5:$J$2334,M$1)</f>
        <v>0</v>
      </c>
      <c r="N58" s="76">
        <f>SUMIFS('январь 2025'!$G$5:$G$2334,'январь 2025'!$D$5:$D$2334,$B58,'январь 2025'!$J$5:$J$2334,N$1)</f>
        <v>0</v>
      </c>
      <c r="O58" s="76">
        <f>SUMIFS('январь 2025'!$G$5:$G$2334,'январь 2025'!$D$5:$D$2334,$B58,'январь 2025'!$J$5:$J$2334,O$1)</f>
        <v>0</v>
      </c>
      <c r="P58" s="76">
        <f>SUMIFS('январь 2025'!$G$5:$G$2334,'январь 2025'!$D$5:$D$2334,$B58,'январь 2025'!$J$5:$J$2334,P$1)</f>
        <v>0</v>
      </c>
      <c r="Q58" s="76">
        <f>SUMIFS('январь 2025'!$G$5:$G$2334,'январь 2025'!$D$5:$D$2334,$B58,'январь 2025'!$J$5:$J$2334,Q$1)</f>
        <v>0</v>
      </c>
      <c r="R58" s="76">
        <f>SUMIFS('январь 2025'!$G$5:$G$2334,'январь 2025'!$D$5:$D$2334,$B58,'январь 2025'!$J$5:$J$2334,R$1)</f>
        <v>0</v>
      </c>
      <c r="S58" s="76">
        <f>SUMIFS('январь 2025'!$G$5:$G$2334,'январь 2025'!$D$5:$D$2334,$B58,'январь 2025'!$J$5:$J$2334,S$1)</f>
        <v>0</v>
      </c>
      <c r="T58" s="76">
        <f>SUMIFS('январь 2025'!$G$5:$G$2334,'январь 2025'!$D$5:$D$2334,$B58,'январь 2025'!$J$5:$J$2334,T$1)</f>
        <v>0</v>
      </c>
      <c r="U58" s="76">
        <f>SUMIFS('январь 2025'!$G$5:$G$2334,'январь 2025'!$D$5:$D$2334,$B58,'январь 2025'!$J$5:$J$2334,U$1)</f>
        <v>0</v>
      </c>
      <c r="V58" s="76">
        <f>SUMIFS('январь 2025'!$G$5:$G$2334,'январь 2025'!$D$5:$D$2334,$B58,'январь 2025'!$J$5:$J$2334,V$1)</f>
        <v>0</v>
      </c>
      <c r="W58" s="76">
        <f>SUMIFS('январь 2025'!$G$5:$G$2334,'январь 2025'!$D$5:$D$2334,$B58,'январь 2025'!$J$5:$J$2334,W$1)</f>
        <v>0</v>
      </c>
      <c r="X58" s="76">
        <f>SUMIFS('январь 2025'!$G$5:$G$2334,'январь 2025'!$D$5:$D$2334,$B58,'январь 2025'!$J$5:$J$2334,X$1)</f>
        <v>0</v>
      </c>
      <c r="Y58" s="76">
        <f>SUMIFS('январь 2025'!$G$5:$G$2334,'январь 2025'!$D$5:$D$2334,$B58,'январь 2025'!$J$5:$J$2334,Y$1)</f>
        <v>0</v>
      </c>
      <c r="Z58" s="76">
        <f>SUMIFS('январь 2025'!$G$5:$G$2334,'январь 2025'!$D$5:$D$2334,$B58,'январь 2025'!$J$5:$J$2334,Z$1)</f>
        <v>0</v>
      </c>
      <c r="AA58" s="76">
        <f>SUMIFS('январь 2025'!$G$5:$G$2334,'январь 2025'!$D$5:$D$2334,$B58,'январь 2025'!$J$5:$J$2334,AA$1)</f>
        <v>0</v>
      </c>
      <c r="AB58" s="76">
        <f>SUMIFS('январь 2025'!$G$5:$G$2334,'январь 2025'!$D$5:$D$2334,$B58,'январь 2025'!$J$5:$J$2334,AB$1)</f>
        <v>0</v>
      </c>
      <c r="AC58" s="76">
        <f>SUMIFS('январь 2025'!$G$5:$G$2334,'январь 2025'!$D$5:$D$2334,$B58,'январь 2025'!$J$5:$J$2334,AC$1)</f>
        <v>0</v>
      </c>
      <c r="AD58" s="76">
        <f>SUMIFS('январь 2025'!$G$5:$G$2334,'январь 2025'!$D$5:$D$2334,$B58,'январь 2025'!$J$5:$J$2334,AD$1)</f>
        <v>0</v>
      </c>
      <c r="AE58" s="76">
        <f>SUMIFS('январь 2025'!$G$5:$G$2334,'январь 2025'!$D$5:$D$2334,$B58,'январь 2025'!$J$5:$J$2334,AE$1)</f>
        <v>0</v>
      </c>
      <c r="AF58" s="76">
        <f>SUMIFS('январь 2025'!$G$5:$G$2334,'январь 2025'!$D$5:$D$2334,$B58,'январь 2025'!$J$5:$J$2334,AF$1)</f>
        <v>0</v>
      </c>
      <c r="AG58" s="76">
        <f>SUMIFS('январь 2025'!$G$5:$G$2334,'январь 2025'!$D$5:$D$2334,$B58,'январь 2025'!$J$5:$J$2334,AG$1)</f>
        <v>0</v>
      </c>
      <c r="AH58" s="76">
        <f>SUMIFS('январь 2025'!$G$5:$G$2334,'январь 2025'!$D$5:$D$2334,$B58,'январь 2025'!$J$5:$J$2334,AH$1)</f>
        <v>0</v>
      </c>
      <c r="AI58" s="20">
        <f t="shared" si="1"/>
        <v>0</v>
      </c>
    </row>
    <row r="59" spans="2:35" ht="15" customHeight="1" x14ac:dyDescent="0.25">
      <c r="B59" s="136"/>
      <c r="C59" s="132"/>
      <c r="D59" s="76">
        <f>SUMIFS('январь 2025'!$G$5:$G$2334,'январь 2025'!$D$5:$D$2334,$B59,'январь 2025'!$J$5:$J$2334,D$1)</f>
        <v>0</v>
      </c>
      <c r="E59" s="76">
        <f>SUMIFS('январь 2025'!$G$5:$G$2334,'январь 2025'!$D$5:$D$2334,$B59,'январь 2025'!$J$5:$J$2334,E$1)</f>
        <v>0</v>
      </c>
      <c r="F59" s="76">
        <f>SUMIFS('январь 2025'!$G$5:$G$2334,'январь 2025'!$D$5:$D$2334,$B59,'январь 2025'!$J$5:$J$2334,F$1)</f>
        <v>0</v>
      </c>
      <c r="G59" s="76">
        <f>SUMIFS('январь 2025'!$G$5:$G$2334,'январь 2025'!$D$5:$D$2334,$B59,'январь 2025'!$J$5:$J$2334,G$1)</f>
        <v>0</v>
      </c>
      <c r="H59" s="76">
        <f>SUMIFS('январь 2025'!$G$5:$G$2334,'январь 2025'!$D$5:$D$2334,$B59,'январь 2025'!$J$5:$J$2334,H$1)</f>
        <v>0</v>
      </c>
      <c r="I59" s="76">
        <f>SUMIFS('январь 2025'!$G$5:$G$2334,'январь 2025'!$D$5:$D$2334,$B59,'январь 2025'!$J$5:$J$2334,I$1)</f>
        <v>0</v>
      </c>
      <c r="J59" s="76">
        <f>SUMIFS('январь 2025'!$G$5:$G$2334,'январь 2025'!$D$5:$D$2334,$B59,'январь 2025'!$J$5:$J$2334,J$1)</f>
        <v>0</v>
      </c>
      <c r="K59" s="76">
        <f>SUMIFS('январь 2025'!$G$5:$G$2334,'январь 2025'!$D$5:$D$2334,$B59,'январь 2025'!$J$5:$J$2334,K$1)</f>
        <v>0</v>
      </c>
      <c r="L59" s="76">
        <f>SUMIFS('январь 2025'!$G$5:$G$2334,'январь 2025'!$D$5:$D$2334,$B59,'январь 2025'!$J$5:$J$2334,L$1)</f>
        <v>0</v>
      </c>
      <c r="M59" s="76">
        <f>SUMIFS('январь 2025'!$G$5:$G$2334,'январь 2025'!$D$5:$D$2334,$B59,'январь 2025'!$J$5:$J$2334,M$1)</f>
        <v>0</v>
      </c>
      <c r="N59" s="76">
        <f>SUMIFS('январь 2025'!$G$5:$G$2334,'январь 2025'!$D$5:$D$2334,$B59,'январь 2025'!$J$5:$J$2334,N$1)</f>
        <v>0</v>
      </c>
      <c r="O59" s="76">
        <f>SUMIFS('январь 2025'!$G$5:$G$2334,'январь 2025'!$D$5:$D$2334,$B59,'январь 2025'!$J$5:$J$2334,O$1)</f>
        <v>0</v>
      </c>
      <c r="P59" s="76">
        <f>SUMIFS('январь 2025'!$G$5:$G$2334,'январь 2025'!$D$5:$D$2334,$B59,'январь 2025'!$J$5:$J$2334,P$1)</f>
        <v>0</v>
      </c>
      <c r="Q59" s="76">
        <f>SUMIFS('январь 2025'!$G$5:$G$2334,'январь 2025'!$D$5:$D$2334,$B59,'январь 2025'!$J$5:$J$2334,Q$1)</f>
        <v>0</v>
      </c>
      <c r="R59" s="76">
        <f>SUMIFS('январь 2025'!$G$5:$G$2334,'январь 2025'!$D$5:$D$2334,$B59,'январь 2025'!$J$5:$J$2334,R$1)</f>
        <v>0</v>
      </c>
      <c r="S59" s="76">
        <f>SUMIFS('январь 2025'!$G$5:$G$2334,'январь 2025'!$D$5:$D$2334,$B59,'январь 2025'!$J$5:$J$2334,S$1)</f>
        <v>0</v>
      </c>
      <c r="T59" s="76">
        <f>SUMIFS('январь 2025'!$G$5:$G$2334,'январь 2025'!$D$5:$D$2334,$B59,'январь 2025'!$J$5:$J$2334,T$1)</f>
        <v>0</v>
      </c>
      <c r="U59" s="76">
        <f>SUMIFS('январь 2025'!$G$5:$G$2334,'январь 2025'!$D$5:$D$2334,$B59,'январь 2025'!$J$5:$J$2334,U$1)</f>
        <v>0</v>
      </c>
      <c r="V59" s="76">
        <f>SUMIFS('январь 2025'!$G$5:$G$2334,'январь 2025'!$D$5:$D$2334,$B59,'январь 2025'!$J$5:$J$2334,V$1)</f>
        <v>0</v>
      </c>
      <c r="W59" s="76">
        <f>SUMIFS('январь 2025'!$G$5:$G$2334,'январь 2025'!$D$5:$D$2334,$B59,'январь 2025'!$J$5:$J$2334,W$1)</f>
        <v>0</v>
      </c>
      <c r="X59" s="76">
        <f>SUMIFS('январь 2025'!$G$5:$G$2334,'январь 2025'!$D$5:$D$2334,$B59,'январь 2025'!$J$5:$J$2334,X$1)</f>
        <v>0</v>
      </c>
      <c r="Y59" s="76">
        <f>SUMIFS('январь 2025'!$G$5:$G$2334,'январь 2025'!$D$5:$D$2334,$B59,'январь 2025'!$J$5:$J$2334,Y$1)</f>
        <v>0</v>
      </c>
      <c r="Z59" s="76">
        <f>SUMIFS('январь 2025'!$G$5:$G$2334,'январь 2025'!$D$5:$D$2334,$B59,'январь 2025'!$J$5:$J$2334,Z$1)</f>
        <v>0</v>
      </c>
      <c r="AA59" s="76">
        <f>SUMIFS('январь 2025'!$G$5:$G$2334,'январь 2025'!$D$5:$D$2334,$B59,'январь 2025'!$J$5:$J$2334,AA$1)</f>
        <v>0</v>
      </c>
      <c r="AB59" s="76">
        <f>SUMIFS('январь 2025'!$G$5:$G$2334,'январь 2025'!$D$5:$D$2334,$B59,'январь 2025'!$J$5:$J$2334,AB$1)</f>
        <v>0</v>
      </c>
      <c r="AC59" s="76">
        <f>SUMIFS('январь 2025'!$G$5:$G$2334,'январь 2025'!$D$5:$D$2334,$B59,'январь 2025'!$J$5:$J$2334,AC$1)</f>
        <v>0</v>
      </c>
      <c r="AD59" s="76">
        <f>SUMIFS('январь 2025'!$G$5:$G$2334,'январь 2025'!$D$5:$D$2334,$B59,'январь 2025'!$J$5:$J$2334,AD$1)</f>
        <v>0</v>
      </c>
      <c r="AE59" s="76">
        <f>SUMIFS('январь 2025'!$G$5:$G$2334,'январь 2025'!$D$5:$D$2334,$B59,'январь 2025'!$J$5:$J$2334,AE$1)</f>
        <v>0</v>
      </c>
      <c r="AF59" s="76">
        <f>SUMIFS('январь 2025'!$G$5:$G$2334,'январь 2025'!$D$5:$D$2334,$B59,'январь 2025'!$J$5:$J$2334,AF$1)</f>
        <v>0</v>
      </c>
      <c r="AG59" s="76">
        <f>SUMIFS('январь 2025'!$G$5:$G$2334,'январь 2025'!$D$5:$D$2334,$B59,'январь 2025'!$J$5:$J$2334,AG$1)</f>
        <v>0</v>
      </c>
      <c r="AH59" s="76">
        <f>SUMIFS('январь 2025'!$G$5:$G$2334,'январь 2025'!$D$5:$D$2334,$B59,'январь 2025'!$J$5:$J$2334,AH$1)</f>
        <v>0</v>
      </c>
      <c r="AI59" s="20">
        <f t="shared" si="1"/>
        <v>0</v>
      </c>
    </row>
    <row r="60" spans="2:35" ht="15" customHeight="1" x14ac:dyDescent="0.25">
      <c r="B60" s="136"/>
      <c r="C60" s="132"/>
      <c r="D60" s="76">
        <f>SUMIFS('январь 2025'!$G$5:$G$2334,'январь 2025'!$D$5:$D$2334,$B60,'январь 2025'!$J$5:$J$2334,D$1)</f>
        <v>0</v>
      </c>
      <c r="E60" s="76">
        <f>SUMIFS('январь 2025'!$G$5:$G$2334,'январь 2025'!$D$5:$D$2334,$B60,'январь 2025'!$J$5:$J$2334,E$1)</f>
        <v>0</v>
      </c>
      <c r="F60" s="76">
        <f>SUMIFS('январь 2025'!$G$5:$G$2334,'январь 2025'!$D$5:$D$2334,$B60,'январь 2025'!$J$5:$J$2334,F$1)</f>
        <v>0</v>
      </c>
      <c r="G60" s="76">
        <f>SUMIFS('январь 2025'!$G$5:$G$2334,'январь 2025'!$D$5:$D$2334,$B60,'январь 2025'!$J$5:$J$2334,G$1)</f>
        <v>0</v>
      </c>
      <c r="H60" s="76">
        <f>SUMIFS('январь 2025'!$G$5:$G$2334,'январь 2025'!$D$5:$D$2334,$B60,'январь 2025'!$J$5:$J$2334,H$1)</f>
        <v>0</v>
      </c>
      <c r="I60" s="76">
        <f>SUMIFS('январь 2025'!$G$5:$G$2334,'январь 2025'!$D$5:$D$2334,$B60,'январь 2025'!$J$5:$J$2334,I$1)</f>
        <v>0</v>
      </c>
      <c r="J60" s="76">
        <f>SUMIFS('январь 2025'!$G$5:$G$2334,'январь 2025'!$D$5:$D$2334,$B60,'январь 2025'!$J$5:$J$2334,J$1)</f>
        <v>0</v>
      </c>
      <c r="K60" s="76">
        <f>SUMIFS('январь 2025'!$G$5:$G$2334,'январь 2025'!$D$5:$D$2334,$B60,'январь 2025'!$J$5:$J$2334,K$1)</f>
        <v>0</v>
      </c>
      <c r="L60" s="76">
        <f>SUMIFS('январь 2025'!$G$5:$G$2334,'январь 2025'!$D$5:$D$2334,$B60,'январь 2025'!$J$5:$J$2334,L$1)</f>
        <v>0</v>
      </c>
      <c r="M60" s="76">
        <f>SUMIFS('январь 2025'!$G$5:$G$2334,'январь 2025'!$D$5:$D$2334,$B60,'январь 2025'!$J$5:$J$2334,M$1)</f>
        <v>0</v>
      </c>
      <c r="N60" s="76">
        <f>SUMIFS('январь 2025'!$G$5:$G$2334,'январь 2025'!$D$5:$D$2334,$B60,'январь 2025'!$J$5:$J$2334,N$1)</f>
        <v>0</v>
      </c>
      <c r="O60" s="76">
        <f>SUMIFS('январь 2025'!$G$5:$G$2334,'январь 2025'!$D$5:$D$2334,$B60,'январь 2025'!$J$5:$J$2334,O$1)</f>
        <v>0</v>
      </c>
      <c r="P60" s="76">
        <f>SUMIFS('январь 2025'!$G$5:$G$2334,'январь 2025'!$D$5:$D$2334,$B60,'январь 2025'!$J$5:$J$2334,P$1)</f>
        <v>0</v>
      </c>
      <c r="Q60" s="76">
        <f>SUMIFS('январь 2025'!$G$5:$G$2334,'январь 2025'!$D$5:$D$2334,$B60,'январь 2025'!$J$5:$J$2334,Q$1)</f>
        <v>0</v>
      </c>
      <c r="R60" s="76">
        <f>SUMIFS('январь 2025'!$G$5:$G$2334,'январь 2025'!$D$5:$D$2334,$B60,'январь 2025'!$J$5:$J$2334,R$1)</f>
        <v>0</v>
      </c>
      <c r="S60" s="76">
        <f>SUMIFS('январь 2025'!$G$5:$G$2334,'январь 2025'!$D$5:$D$2334,$B60,'январь 2025'!$J$5:$J$2334,S$1)</f>
        <v>0</v>
      </c>
      <c r="T60" s="76">
        <f>SUMIFS('январь 2025'!$G$5:$G$2334,'январь 2025'!$D$5:$D$2334,$B60,'январь 2025'!$J$5:$J$2334,T$1)</f>
        <v>0</v>
      </c>
      <c r="U60" s="76">
        <f>SUMIFS('январь 2025'!$G$5:$G$2334,'январь 2025'!$D$5:$D$2334,$B60,'январь 2025'!$J$5:$J$2334,U$1)</f>
        <v>0</v>
      </c>
      <c r="V60" s="76">
        <f>SUMIFS('январь 2025'!$G$5:$G$2334,'январь 2025'!$D$5:$D$2334,$B60,'январь 2025'!$J$5:$J$2334,V$1)</f>
        <v>0</v>
      </c>
      <c r="W60" s="76">
        <f>SUMIFS('январь 2025'!$G$5:$G$2334,'январь 2025'!$D$5:$D$2334,$B60,'январь 2025'!$J$5:$J$2334,W$1)</f>
        <v>0</v>
      </c>
      <c r="X60" s="76">
        <f>SUMIFS('январь 2025'!$G$5:$G$2334,'январь 2025'!$D$5:$D$2334,$B60,'январь 2025'!$J$5:$J$2334,X$1)</f>
        <v>0</v>
      </c>
      <c r="Y60" s="76">
        <f>SUMIFS('январь 2025'!$G$5:$G$2334,'январь 2025'!$D$5:$D$2334,$B60,'январь 2025'!$J$5:$J$2334,Y$1)</f>
        <v>0</v>
      </c>
      <c r="Z60" s="76">
        <f>SUMIFS('январь 2025'!$G$5:$G$2334,'январь 2025'!$D$5:$D$2334,$B60,'январь 2025'!$J$5:$J$2334,Z$1)</f>
        <v>0</v>
      </c>
      <c r="AA60" s="76">
        <f>SUMIFS('январь 2025'!$G$5:$G$2334,'январь 2025'!$D$5:$D$2334,$B60,'январь 2025'!$J$5:$J$2334,AA$1)</f>
        <v>0</v>
      </c>
      <c r="AB60" s="76">
        <f>SUMIFS('январь 2025'!$G$5:$G$2334,'январь 2025'!$D$5:$D$2334,$B60,'январь 2025'!$J$5:$J$2334,AB$1)</f>
        <v>0</v>
      </c>
      <c r="AC60" s="76">
        <f>SUMIFS('январь 2025'!$G$5:$G$2334,'январь 2025'!$D$5:$D$2334,$B60,'январь 2025'!$J$5:$J$2334,AC$1)</f>
        <v>0</v>
      </c>
      <c r="AD60" s="76">
        <f>SUMIFS('январь 2025'!$G$5:$G$2334,'январь 2025'!$D$5:$D$2334,$B60,'январь 2025'!$J$5:$J$2334,AD$1)</f>
        <v>0</v>
      </c>
      <c r="AE60" s="76">
        <f>SUMIFS('январь 2025'!$G$5:$G$2334,'январь 2025'!$D$5:$D$2334,$B60,'январь 2025'!$J$5:$J$2334,AE$1)</f>
        <v>0</v>
      </c>
      <c r="AF60" s="76">
        <f>SUMIFS('январь 2025'!$G$5:$G$2334,'январь 2025'!$D$5:$D$2334,$B60,'январь 2025'!$J$5:$J$2334,AF$1)</f>
        <v>0</v>
      </c>
      <c r="AG60" s="76">
        <f>SUMIFS('январь 2025'!$G$5:$G$2334,'январь 2025'!$D$5:$D$2334,$B60,'январь 2025'!$J$5:$J$2334,AG$1)</f>
        <v>0</v>
      </c>
      <c r="AH60" s="76">
        <f>SUMIFS('январь 2025'!$G$5:$G$2334,'январь 2025'!$D$5:$D$2334,$B60,'январь 2025'!$J$5:$J$2334,AH$1)</f>
        <v>0</v>
      </c>
      <c r="AI60" s="20">
        <f t="shared" si="1"/>
        <v>0</v>
      </c>
    </row>
    <row r="61" spans="2:35" ht="15" customHeight="1" x14ac:dyDescent="0.25">
      <c r="B61" s="136"/>
      <c r="C61" s="132"/>
      <c r="D61" s="76">
        <f>SUMIFS('январь 2025'!$G$5:$G$2334,'январь 2025'!$D$5:$D$2334,$B61,'январь 2025'!$J$5:$J$2334,D$1)</f>
        <v>0</v>
      </c>
      <c r="E61" s="76">
        <f>SUMIFS('январь 2025'!$G$5:$G$2334,'январь 2025'!$D$5:$D$2334,$B61,'январь 2025'!$J$5:$J$2334,E$1)</f>
        <v>0</v>
      </c>
      <c r="F61" s="76">
        <f>SUMIFS('январь 2025'!$G$5:$G$2334,'январь 2025'!$D$5:$D$2334,$B61,'январь 2025'!$J$5:$J$2334,F$1)</f>
        <v>0</v>
      </c>
      <c r="G61" s="76">
        <f>SUMIFS('январь 2025'!$G$5:$G$2334,'январь 2025'!$D$5:$D$2334,$B61,'январь 2025'!$J$5:$J$2334,G$1)</f>
        <v>0</v>
      </c>
      <c r="H61" s="76">
        <f>SUMIFS('январь 2025'!$G$5:$G$2334,'январь 2025'!$D$5:$D$2334,$B61,'январь 2025'!$J$5:$J$2334,H$1)</f>
        <v>0</v>
      </c>
      <c r="I61" s="76">
        <f>SUMIFS('январь 2025'!$G$5:$G$2334,'январь 2025'!$D$5:$D$2334,$B61,'январь 2025'!$J$5:$J$2334,I$1)</f>
        <v>0</v>
      </c>
      <c r="J61" s="76">
        <f>SUMIFS('январь 2025'!$G$5:$G$2334,'январь 2025'!$D$5:$D$2334,$B61,'январь 2025'!$J$5:$J$2334,J$1)</f>
        <v>0</v>
      </c>
      <c r="K61" s="76">
        <f>SUMIFS('январь 2025'!$G$5:$G$2334,'январь 2025'!$D$5:$D$2334,$B61,'январь 2025'!$J$5:$J$2334,K$1)</f>
        <v>0</v>
      </c>
      <c r="L61" s="76">
        <f>SUMIFS('январь 2025'!$G$5:$G$2334,'январь 2025'!$D$5:$D$2334,$B61,'январь 2025'!$J$5:$J$2334,L$1)</f>
        <v>0</v>
      </c>
      <c r="M61" s="76">
        <f>SUMIFS('январь 2025'!$G$5:$G$2334,'январь 2025'!$D$5:$D$2334,$B61,'январь 2025'!$J$5:$J$2334,M$1)</f>
        <v>0</v>
      </c>
      <c r="N61" s="76">
        <f>SUMIFS('январь 2025'!$G$5:$G$2334,'январь 2025'!$D$5:$D$2334,$B61,'январь 2025'!$J$5:$J$2334,N$1)</f>
        <v>0</v>
      </c>
      <c r="O61" s="76">
        <f>SUMIFS('январь 2025'!$G$5:$G$2334,'январь 2025'!$D$5:$D$2334,$B61,'январь 2025'!$J$5:$J$2334,O$1)</f>
        <v>0</v>
      </c>
      <c r="P61" s="76">
        <f>SUMIFS('январь 2025'!$G$5:$G$2334,'январь 2025'!$D$5:$D$2334,$B61,'январь 2025'!$J$5:$J$2334,P$1)</f>
        <v>0</v>
      </c>
      <c r="Q61" s="76">
        <f>SUMIFS('январь 2025'!$G$5:$G$2334,'январь 2025'!$D$5:$D$2334,$B61,'январь 2025'!$J$5:$J$2334,Q$1)</f>
        <v>0</v>
      </c>
      <c r="R61" s="76">
        <f>SUMIFS('январь 2025'!$G$5:$G$2334,'январь 2025'!$D$5:$D$2334,$B61,'январь 2025'!$J$5:$J$2334,R$1)</f>
        <v>0</v>
      </c>
      <c r="S61" s="76">
        <f>SUMIFS('январь 2025'!$G$5:$G$2334,'январь 2025'!$D$5:$D$2334,$B61,'январь 2025'!$J$5:$J$2334,S$1)</f>
        <v>0</v>
      </c>
      <c r="T61" s="76">
        <f>SUMIFS('январь 2025'!$G$5:$G$2334,'январь 2025'!$D$5:$D$2334,$B61,'январь 2025'!$J$5:$J$2334,T$1)</f>
        <v>0</v>
      </c>
      <c r="U61" s="76">
        <f>SUMIFS('январь 2025'!$G$5:$G$2334,'январь 2025'!$D$5:$D$2334,$B61,'январь 2025'!$J$5:$J$2334,U$1)</f>
        <v>0</v>
      </c>
      <c r="V61" s="76">
        <f>SUMIFS('январь 2025'!$G$5:$G$2334,'январь 2025'!$D$5:$D$2334,$B61,'январь 2025'!$J$5:$J$2334,V$1)</f>
        <v>0</v>
      </c>
      <c r="W61" s="76">
        <f>SUMIFS('январь 2025'!$G$5:$G$2334,'январь 2025'!$D$5:$D$2334,$B61,'январь 2025'!$J$5:$J$2334,W$1)</f>
        <v>0</v>
      </c>
      <c r="X61" s="76">
        <f>SUMIFS('январь 2025'!$G$5:$G$2334,'январь 2025'!$D$5:$D$2334,$B61,'январь 2025'!$J$5:$J$2334,X$1)</f>
        <v>0</v>
      </c>
      <c r="Y61" s="76">
        <f>SUMIFS('январь 2025'!$G$5:$G$2334,'январь 2025'!$D$5:$D$2334,$B61,'январь 2025'!$J$5:$J$2334,Y$1)</f>
        <v>0</v>
      </c>
      <c r="Z61" s="76">
        <f>SUMIFS('январь 2025'!$G$5:$G$2334,'январь 2025'!$D$5:$D$2334,$B61,'январь 2025'!$J$5:$J$2334,Z$1)</f>
        <v>0</v>
      </c>
      <c r="AA61" s="76">
        <f>SUMIFS('январь 2025'!$G$5:$G$2334,'январь 2025'!$D$5:$D$2334,$B61,'январь 2025'!$J$5:$J$2334,AA$1)</f>
        <v>0</v>
      </c>
      <c r="AB61" s="76">
        <f>SUMIFS('январь 2025'!$G$5:$G$2334,'январь 2025'!$D$5:$D$2334,$B61,'январь 2025'!$J$5:$J$2334,AB$1)</f>
        <v>0</v>
      </c>
      <c r="AC61" s="76">
        <f>SUMIFS('январь 2025'!$G$5:$G$2334,'январь 2025'!$D$5:$D$2334,$B61,'январь 2025'!$J$5:$J$2334,AC$1)</f>
        <v>0</v>
      </c>
      <c r="AD61" s="76">
        <f>SUMIFS('январь 2025'!$G$5:$G$2334,'январь 2025'!$D$5:$D$2334,$B61,'январь 2025'!$J$5:$J$2334,AD$1)</f>
        <v>0</v>
      </c>
      <c r="AE61" s="76">
        <f>SUMIFS('январь 2025'!$G$5:$G$2334,'январь 2025'!$D$5:$D$2334,$B61,'январь 2025'!$J$5:$J$2334,AE$1)</f>
        <v>0</v>
      </c>
      <c r="AF61" s="76">
        <f>SUMIFS('январь 2025'!$G$5:$G$2334,'январь 2025'!$D$5:$D$2334,$B61,'январь 2025'!$J$5:$J$2334,AF$1)</f>
        <v>0</v>
      </c>
      <c r="AG61" s="76">
        <f>SUMIFS('январь 2025'!$G$5:$G$2334,'январь 2025'!$D$5:$D$2334,$B61,'январь 2025'!$J$5:$J$2334,AG$1)</f>
        <v>0</v>
      </c>
      <c r="AH61" s="76">
        <f>SUMIFS('январь 2025'!$G$5:$G$2334,'январь 2025'!$D$5:$D$2334,$B61,'январь 2025'!$J$5:$J$2334,AH$1)</f>
        <v>0</v>
      </c>
      <c r="AI61" s="20">
        <f t="shared" si="1"/>
        <v>0</v>
      </c>
    </row>
    <row r="62" spans="2:35" ht="15" customHeight="1" x14ac:dyDescent="0.25">
      <c r="B62" s="87" t="s">
        <v>160</v>
      </c>
      <c r="C62" s="86">
        <v>200</v>
      </c>
      <c r="D62" s="76">
        <f>SUMIFS('январь 2025'!$G$5:$G$2334,'январь 2025'!$D$5:$D$2334,$B62,'январь 2025'!$J$5:$J$2334,D$1)</f>
        <v>0</v>
      </c>
      <c r="E62" s="76">
        <f>SUMIFS('январь 2025'!$G$5:$G$2334,'январь 2025'!$D$5:$D$2334,$B62,'январь 2025'!$J$5:$J$2334,E$1)</f>
        <v>0</v>
      </c>
      <c r="F62" s="76">
        <f>SUMIFS('январь 2025'!$G$5:$G$2334,'январь 2025'!$D$5:$D$2334,$B62,'январь 2025'!$J$5:$J$2334,F$1)</f>
        <v>0</v>
      </c>
      <c r="G62" s="76">
        <f>SUMIFS('январь 2025'!$G$5:$G$2334,'январь 2025'!$D$5:$D$2334,$B62,'январь 2025'!$J$5:$J$2334,G$1)</f>
        <v>0</v>
      </c>
      <c r="H62" s="76">
        <f>SUMIFS('январь 2025'!$G$5:$G$2334,'январь 2025'!$D$5:$D$2334,$B62,'январь 2025'!$J$5:$J$2334,H$1)</f>
        <v>0</v>
      </c>
      <c r="I62" s="76">
        <f>SUMIFS('январь 2025'!$G$5:$G$2334,'январь 2025'!$D$5:$D$2334,$B62,'январь 2025'!$J$5:$J$2334,I$1)</f>
        <v>0</v>
      </c>
      <c r="J62" s="76">
        <f>SUMIFS('январь 2025'!$G$5:$G$2334,'январь 2025'!$D$5:$D$2334,$B62,'январь 2025'!$J$5:$J$2334,J$1)</f>
        <v>0</v>
      </c>
      <c r="K62" s="76">
        <f>SUMIFS('январь 2025'!$G$5:$G$2334,'январь 2025'!$D$5:$D$2334,$B62,'январь 2025'!$J$5:$J$2334,K$1)</f>
        <v>0</v>
      </c>
      <c r="L62" s="76">
        <f>SUMIFS('январь 2025'!$G$5:$G$2334,'январь 2025'!$D$5:$D$2334,$B62,'январь 2025'!$J$5:$J$2334,L$1)</f>
        <v>0</v>
      </c>
      <c r="M62" s="76">
        <f>SUMIFS('январь 2025'!$G$5:$G$2334,'январь 2025'!$D$5:$D$2334,$B62,'январь 2025'!$J$5:$J$2334,M$1)</f>
        <v>0</v>
      </c>
      <c r="N62" s="76">
        <f>SUMIFS('январь 2025'!$G$5:$G$2334,'январь 2025'!$D$5:$D$2334,$B62,'январь 2025'!$J$5:$J$2334,N$1)</f>
        <v>0</v>
      </c>
      <c r="O62" s="76">
        <f>SUMIFS('январь 2025'!$G$5:$G$2334,'январь 2025'!$D$5:$D$2334,$B62,'январь 2025'!$J$5:$J$2334,O$1)</f>
        <v>0</v>
      </c>
      <c r="P62" s="76">
        <f>SUMIFS('январь 2025'!$G$5:$G$2334,'январь 2025'!$D$5:$D$2334,$B62,'январь 2025'!$J$5:$J$2334,P$1)</f>
        <v>0</v>
      </c>
      <c r="Q62" s="76">
        <f>SUMIFS('январь 2025'!$G$5:$G$2334,'январь 2025'!$D$5:$D$2334,$B62,'январь 2025'!$J$5:$J$2334,Q$1)</f>
        <v>0</v>
      </c>
      <c r="R62" s="76">
        <f>SUMIFS('январь 2025'!$G$5:$G$2334,'январь 2025'!$D$5:$D$2334,$B62,'январь 2025'!$J$5:$J$2334,R$1)</f>
        <v>0</v>
      </c>
      <c r="S62" s="76">
        <f>SUMIFS('январь 2025'!$G$5:$G$2334,'январь 2025'!$D$5:$D$2334,$B62,'январь 2025'!$J$5:$J$2334,S$1)</f>
        <v>0</v>
      </c>
      <c r="T62" s="76">
        <f>SUMIFS('январь 2025'!$G$5:$G$2334,'январь 2025'!$D$5:$D$2334,$B62,'январь 2025'!$J$5:$J$2334,T$1)</f>
        <v>0</v>
      </c>
      <c r="U62" s="76">
        <f>SUMIFS('январь 2025'!$G$5:$G$2334,'январь 2025'!$D$5:$D$2334,$B62,'январь 2025'!$J$5:$J$2334,U$1)</f>
        <v>0</v>
      </c>
      <c r="V62" s="76">
        <f>SUMIFS('январь 2025'!$G$5:$G$2334,'январь 2025'!$D$5:$D$2334,$B62,'январь 2025'!$J$5:$J$2334,V$1)</f>
        <v>0</v>
      </c>
      <c r="W62" s="76">
        <f>SUMIFS('январь 2025'!$G$5:$G$2334,'январь 2025'!$D$5:$D$2334,$B62,'январь 2025'!$J$5:$J$2334,W$1)</f>
        <v>0</v>
      </c>
      <c r="X62" s="76">
        <f>SUMIFS('январь 2025'!$G$5:$G$2334,'январь 2025'!$D$5:$D$2334,$B62,'январь 2025'!$J$5:$J$2334,X$1)</f>
        <v>0</v>
      </c>
      <c r="Y62" s="76">
        <f>SUMIFS('январь 2025'!$G$5:$G$2334,'январь 2025'!$D$5:$D$2334,$B62,'январь 2025'!$J$5:$J$2334,Y$1)</f>
        <v>0</v>
      </c>
      <c r="Z62" s="76">
        <f>SUMIFS('январь 2025'!$G$5:$G$2334,'январь 2025'!$D$5:$D$2334,$B62,'январь 2025'!$J$5:$J$2334,Z$1)</f>
        <v>0</v>
      </c>
      <c r="AA62" s="76">
        <f>SUMIFS('январь 2025'!$G$5:$G$2334,'январь 2025'!$D$5:$D$2334,$B62,'январь 2025'!$J$5:$J$2334,AA$1)</f>
        <v>0</v>
      </c>
      <c r="AB62" s="76">
        <f>SUMIFS('январь 2025'!$G$5:$G$2334,'январь 2025'!$D$5:$D$2334,$B62,'январь 2025'!$J$5:$J$2334,AB$1)</f>
        <v>0</v>
      </c>
      <c r="AC62" s="76">
        <f>SUMIFS('январь 2025'!$G$5:$G$2334,'январь 2025'!$D$5:$D$2334,$B62,'январь 2025'!$J$5:$J$2334,AC$1)</f>
        <v>0</v>
      </c>
      <c r="AD62" s="76">
        <f>SUMIFS('январь 2025'!$G$5:$G$2334,'январь 2025'!$D$5:$D$2334,$B62,'январь 2025'!$J$5:$J$2334,AD$1)</f>
        <v>0</v>
      </c>
      <c r="AE62" s="76">
        <f>SUMIFS('январь 2025'!$G$5:$G$2334,'январь 2025'!$D$5:$D$2334,$B62,'январь 2025'!$J$5:$J$2334,AE$1)</f>
        <v>0</v>
      </c>
      <c r="AF62" s="76">
        <f>SUMIFS('январь 2025'!$G$5:$G$2334,'январь 2025'!$D$5:$D$2334,$B62,'январь 2025'!$J$5:$J$2334,AF$1)</f>
        <v>0</v>
      </c>
      <c r="AG62" s="76">
        <f>SUMIFS('январь 2025'!$G$5:$G$2334,'январь 2025'!$D$5:$D$2334,$B62,'январь 2025'!$J$5:$J$2334,AG$1)</f>
        <v>0</v>
      </c>
      <c r="AH62" s="76">
        <f>SUMIFS('январь 2025'!$G$5:$G$2334,'январь 2025'!$D$5:$D$2334,$B62,'январь 2025'!$J$5:$J$2334,AH$1)</f>
        <v>0</v>
      </c>
      <c r="AI62" s="20">
        <f t="shared" si="1"/>
        <v>0</v>
      </c>
    </row>
    <row r="63" spans="2:35" ht="15" customHeight="1" x14ac:dyDescent="0.25">
      <c r="B63" s="87" t="s">
        <v>308</v>
      </c>
      <c r="C63" s="86">
        <v>50</v>
      </c>
      <c r="D63" s="76">
        <f>SUMIFS('январь 2025'!$G$5:$G$2334,'январь 2025'!$D$5:$D$2334,$B63,'январь 2025'!$J$5:$J$2334,D$1)</f>
        <v>0</v>
      </c>
      <c r="E63" s="76">
        <f>SUMIFS('январь 2025'!$G$5:$G$2334,'январь 2025'!$D$5:$D$2334,$B63,'январь 2025'!$J$5:$J$2334,E$1)</f>
        <v>0</v>
      </c>
      <c r="F63" s="76">
        <f>SUMIFS('январь 2025'!$G$5:$G$2334,'январь 2025'!$D$5:$D$2334,$B63,'январь 2025'!$J$5:$J$2334,F$1)</f>
        <v>0</v>
      </c>
      <c r="G63" s="76">
        <f>SUMIFS('январь 2025'!$G$5:$G$2334,'январь 2025'!$D$5:$D$2334,$B63,'январь 2025'!$J$5:$J$2334,G$1)</f>
        <v>0</v>
      </c>
      <c r="H63" s="76">
        <f>SUMIFS('январь 2025'!$G$5:$G$2334,'январь 2025'!$D$5:$D$2334,$B63,'январь 2025'!$J$5:$J$2334,H$1)</f>
        <v>0</v>
      </c>
      <c r="I63" s="76">
        <f>SUMIFS('январь 2025'!$G$5:$G$2334,'январь 2025'!$D$5:$D$2334,$B63,'январь 2025'!$J$5:$J$2334,I$1)</f>
        <v>0</v>
      </c>
      <c r="J63" s="76">
        <f>SUMIFS('январь 2025'!$G$5:$G$2334,'январь 2025'!$D$5:$D$2334,$B63,'январь 2025'!$J$5:$J$2334,J$1)</f>
        <v>0</v>
      </c>
      <c r="K63" s="76">
        <f>SUMIFS('январь 2025'!$G$5:$G$2334,'январь 2025'!$D$5:$D$2334,$B63,'январь 2025'!$J$5:$J$2334,K$1)</f>
        <v>0</v>
      </c>
      <c r="L63" s="76">
        <f>SUMIFS('январь 2025'!$G$5:$G$2334,'январь 2025'!$D$5:$D$2334,$B63,'январь 2025'!$J$5:$J$2334,L$1)</f>
        <v>0</v>
      </c>
      <c r="M63" s="76">
        <f>SUMIFS('январь 2025'!$G$5:$G$2334,'январь 2025'!$D$5:$D$2334,$B63,'январь 2025'!$J$5:$J$2334,M$1)</f>
        <v>0</v>
      </c>
      <c r="N63" s="76">
        <f>SUMIFS('январь 2025'!$G$5:$G$2334,'январь 2025'!$D$5:$D$2334,$B63,'январь 2025'!$J$5:$J$2334,N$1)</f>
        <v>0</v>
      </c>
      <c r="O63" s="76">
        <f>SUMIFS('январь 2025'!$G$5:$G$2334,'январь 2025'!$D$5:$D$2334,$B63,'январь 2025'!$J$5:$J$2334,O$1)</f>
        <v>0</v>
      </c>
      <c r="P63" s="76">
        <f>SUMIFS('январь 2025'!$G$5:$G$2334,'январь 2025'!$D$5:$D$2334,$B63,'январь 2025'!$J$5:$J$2334,P$1)</f>
        <v>0</v>
      </c>
      <c r="Q63" s="76">
        <f>SUMIFS('январь 2025'!$G$5:$G$2334,'январь 2025'!$D$5:$D$2334,$B63,'январь 2025'!$J$5:$J$2334,Q$1)</f>
        <v>0</v>
      </c>
      <c r="R63" s="76">
        <f>SUMIFS('январь 2025'!$G$5:$G$2334,'январь 2025'!$D$5:$D$2334,$B63,'январь 2025'!$J$5:$J$2334,R$1)</f>
        <v>0</v>
      </c>
      <c r="S63" s="76">
        <f>SUMIFS('январь 2025'!$G$5:$G$2334,'январь 2025'!$D$5:$D$2334,$B63,'январь 2025'!$J$5:$J$2334,S$1)</f>
        <v>0</v>
      </c>
      <c r="T63" s="76">
        <f>SUMIFS('январь 2025'!$G$5:$G$2334,'январь 2025'!$D$5:$D$2334,$B63,'январь 2025'!$J$5:$J$2334,T$1)</f>
        <v>0</v>
      </c>
      <c r="U63" s="76">
        <f>SUMIFS('январь 2025'!$G$5:$G$2334,'январь 2025'!$D$5:$D$2334,$B63,'январь 2025'!$J$5:$J$2334,U$1)</f>
        <v>0</v>
      </c>
      <c r="V63" s="76">
        <f>SUMIFS('январь 2025'!$G$5:$G$2334,'январь 2025'!$D$5:$D$2334,$B63,'январь 2025'!$J$5:$J$2334,V$1)</f>
        <v>0</v>
      </c>
      <c r="W63" s="76">
        <f>SUMIFS('январь 2025'!$G$5:$G$2334,'январь 2025'!$D$5:$D$2334,$B63,'январь 2025'!$J$5:$J$2334,W$1)</f>
        <v>0</v>
      </c>
      <c r="X63" s="76">
        <f>SUMIFS('январь 2025'!$G$5:$G$2334,'январь 2025'!$D$5:$D$2334,$B63,'январь 2025'!$J$5:$J$2334,X$1)</f>
        <v>0</v>
      </c>
      <c r="Y63" s="76">
        <f>SUMIFS('январь 2025'!$G$5:$G$2334,'январь 2025'!$D$5:$D$2334,$B63,'январь 2025'!$J$5:$J$2334,Y$1)</f>
        <v>0</v>
      </c>
      <c r="Z63" s="76">
        <f>SUMIFS('январь 2025'!$G$5:$G$2334,'январь 2025'!$D$5:$D$2334,$B63,'январь 2025'!$J$5:$J$2334,Z$1)</f>
        <v>0</v>
      </c>
      <c r="AA63" s="76">
        <f>SUMIFS('январь 2025'!$G$5:$G$2334,'январь 2025'!$D$5:$D$2334,$B63,'январь 2025'!$J$5:$J$2334,AA$1)</f>
        <v>0</v>
      </c>
      <c r="AB63" s="76">
        <f>SUMIFS('январь 2025'!$G$5:$G$2334,'январь 2025'!$D$5:$D$2334,$B63,'январь 2025'!$J$5:$J$2334,AB$1)</f>
        <v>0</v>
      </c>
      <c r="AC63" s="76">
        <f>SUMIFS('январь 2025'!$G$5:$G$2334,'январь 2025'!$D$5:$D$2334,$B63,'январь 2025'!$J$5:$J$2334,AC$1)</f>
        <v>0</v>
      </c>
      <c r="AD63" s="76">
        <f>SUMIFS('январь 2025'!$G$5:$G$2334,'январь 2025'!$D$5:$D$2334,$B63,'январь 2025'!$J$5:$J$2334,AD$1)</f>
        <v>0</v>
      </c>
      <c r="AE63" s="76">
        <f>SUMIFS('январь 2025'!$G$5:$G$2334,'январь 2025'!$D$5:$D$2334,$B63,'январь 2025'!$J$5:$J$2334,AE$1)</f>
        <v>0</v>
      </c>
      <c r="AF63" s="76">
        <f>SUMIFS('январь 2025'!$G$5:$G$2334,'январь 2025'!$D$5:$D$2334,$B63,'январь 2025'!$J$5:$J$2334,AF$1)</f>
        <v>0</v>
      </c>
      <c r="AG63" s="76">
        <f>SUMIFS('январь 2025'!$G$5:$G$2334,'январь 2025'!$D$5:$D$2334,$B63,'январь 2025'!$J$5:$J$2334,AG$1)</f>
        <v>0</v>
      </c>
      <c r="AH63" s="76">
        <f>SUMIFS('январь 2025'!$G$5:$G$2334,'январь 2025'!$D$5:$D$2334,$B63,'январь 2025'!$J$5:$J$2334,AH$1)</f>
        <v>0</v>
      </c>
      <c r="AI63" s="20">
        <f t="shared" si="1"/>
        <v>0</v>
      </c>
    </row>
    <row r="64" spans="2:35" ht="15" customHeight="1" x14ac:dyDescent="0.25">
      <c r="B64" s="88" t="s">
        <v>198</v>
      </c>
      <c r="C64" s="86">
        <v>200</v>
      </c>
      <c r="D64" s="76">
        <f>SUMIFS('январь 2025'!$G$5:$G$2334,'январь 2025'!$D$5:$D$2334,$B64,'январь 2025'!$J$5:$J$2334,D$1)</f>
        <v>0</v>
      </c>
      <c r="E64" s="76">
        <f>SUMIFS('январь 2025'!$G$5:$G$2334,'январь 2025'!$D$5:$D$2334,$B64,'январь 2025'!$J$5:$J$2334,E$1)</f>
        <v>0</v>
      </c>
      <c r="F64" s="76">
        <f>SUMIFS('январь 2025'!$G$5:$G$2334,'январь 2025'!$D$5:$D$2334,$B64,'январь 2025'!$J$5:$J$2334,F$1)</f>
        <v>0</v>
      </c>
      <c r="G64" s="76">
        <f>SUMIFS('январь 2025'!$G$5:$G$2334,'январь 2025'!$D$5:$D$2334,$B64,'январь 2025'!$J$5:$J$2334,G$1)</f>
        <v>0</v>
      </c>
      <c r="H64" s="76">
        <f>SUMIFS('январь 2025'!$G$5:$G$2334,'январь 2025'!$D$5:$D$2334,$B64,'январь 2025'!$J$5:$J$2334,H$1)</f>
        <v>0</v>
      </c>
      <c r="I64" s="76">
        <f>SUMIFS('январь 2025'!$G$5:$G$2334,'январь 2025'!$D$5:$D$2334,$B64,'январь 2025'!$J$5:$J$2334,I$1)</f>
        <v>0</v>
      </c>
      <c r="J64" s="76">
        <f>SUMIFS('январь 2025'!$G$5:$G$2334,'январь 2025'!$D$5:$D$2334,$B64,'январь 2025'!$J$5:$J$2334,J$1)</f>
        <v>0</v>
      </c>
      <c r="K64" s="76">
        <f>SUMIFS('январь 2025'!$G$5:$G$2334,'январь 2025'!$D$5:$D$2334,$B64,'январь 2025'!$J$5:$J$2334,K$1)</f>
        <v>0</v>
      </c>
      <c r="L64" s="76">
        <f>SUMIFS('январь 2025'!$G$5:$G$2334,'январь 2025'!$D$5:$D$2334,$B64,'январь 2025'!$J$5:$J$2334,L$1)</f>
        <v>0</v>
      </c>
      <c r="M64" s="76">
        <f>SUMIFS('январь 2025'!$G$5:$G$2334,'январь 2025'!$D$5:$D$2334,$B64,'январь 2025'!$J$5:$J$2334,M$1)</f>
        <v>0</v>
      </c>
      <c r="N64" s="76">
        <f>SUMIFS('январь 2025'!$G$5:$G$2334,'январь 2025'!$D$5:$D$2334,$B64,'январь 2025'!$J$5:$J$2334,N$1)</f>
        <v>0</v>
      </c>
      <c r="O64" s="76">
        <f>SUMIFS('январь 2025'!$G$5:$G$2334,'январь 2025'!$D$5:$D$2334,$B64,'январь 2025'!$J$5:$J$2334,O$1)</f>
        <v>0</v>
      </c>
      <c r="P64" s="76">
        <f>SUMIFS('январь 2025'!$G$5:$G$2334,'январь 2025'!$D$5:$D$2334,$B64,'январь 2025'!$J$5:$J$2334,P$1)</f>
        <v>0</v>
      </c>
      <c r="Q64" s="76">
        <f>SUMIFS('январь 2025'!$G$5:$G$2334,'январь 2025'!$D$5:$D$2334,$B64,'январь 2025'!$J$5:$J$2334,Q$1)</f>
        <v>0</v>
      </c>
      <c r="R64" s="76">
        <f>SUMIFS('январь 2025'!$G$5:$G$2334,'январь 2025'!$D$5:$D$2334,$B64,'январь 2025'!$J$5:$J$2334,R$1)</f>
        <v>0</v>
      </c>
      <c r="S64" s="76">
        <f>SUMIFS('январь 2025'!$G$5:$G$2334,'январь 2025'!$D$5:$D$2334,$B64,'январь 2025'!$J$5:$J$2334,S$1)</f>
        <v>0</v>
      </c>
      <c r="T64" s="76">
        <f>SUMIFS('январь 2025'!$G$5:$G$2334,'январь 2025'!$D$5:$D$2334,$B64,'январь 2025'!$J$5:$J$2334,T$1)</f>
        <v>0</v>
      </c>
      <c r="U64" s="76">
        <f>SUMIFS('январь 2025'!$G$5:$G$2334,'январь 2025'!$D$5:$D$2334,$B64,'январь 2025'!$J$5:$J$2334,U$1)</f>
        <v>0</v>
      </c>
      <c r="V64" s="76">
        <f>SUMIFS('январь 2025'!$G$5:$G$2334,'январь 2025'!$D$5:$D$2334,$B64,'январь 2025'!$J$5:$J$2334,V$1)</f>
        <v>0</v>
      </c>
      <c r="W64" s="76">
        <f>SUMIFS('январь 2025'!$G$5:$G$2334,'январь 2025'!$D$5:$D$2334,$B64,'январь 2025'!$J$5:$J$2334,W$1)</f>
        <v>0</v>
      </c>
      <c r="X64" s="76">
        <f>SUMIFS('январь 2025'!$G$5:$G$2334,'январь 2025'!$D$5:$D$2334,$B64,'январь 2025'!$J$5:$J$2334,X$1)</f>
        <v>0</v>
      </c>
      <c r="Y64" s="76">
        <f>SUMIFS('январь 2025'!$G$5:$G$2334,'январь 2025'!$D$5:$D$2334,$B64,'январь 2025'!$J$5:$J$2334,Y$1)</f>
        <v>0</v>
      </c>
      <c r="Z64" s="76">
        <f>SUMIFS('январь 2025'!$G$5:$G$2334,'январь 2025'!$D$5:$D$2334,$B64,'январь 2025'!$J$5:$J$2334,Z$1)</f>
        <v>0</v>
      </c>
      <c r="AA64" s="76">
        <f>SUMIFS('январь 2025'!$G$5:$G$2334,'январь 2025'!$D$5:$D$2334,$B64,'январь 2025'!$J$5:$J$2334,AA$1)</f>
        <v>0</v>
      </c>
      <c r="AB64" s="76">
        <f>SUMIFS('январь 2025'!$G$5:$G$2334,'январь 2025'!$D$5:$D$2334,$B64,'январь 2025'!$J$5:$J$2334,AB$1)</f>
        <v>0</v>
      </c>
      <c r="AC64" s="76">
        <f>SUMIFS('январь 2025'!$G$5:$G$2334,'январь 2025'!$D$5:$D$2334,$B64,'январь 2025'!$J$5:$J$2334,AC$1)</f>
        <v>0</v>
      </c>
      <c r="AD64" s="76">
        <f>SUMIFS('январь 2025'!$G$5:$G$2334,'январь 2025'!$D$5:$D$2334,$B64,'январь 2025'!$J$5:$J$2334,AD$1)</f>
        <v>0</v>
      </c>
      <c r="AE64" s="76">
        <f>SUMIFS('январь 2025'!$G$5:$G$2334,'январь 2025'!$D$5:$D$2334,$B64,'январь 2025'!$J$5:$J$2334,AE$1)</f>
        <v>0</v>
      </c>
      <c r="AF64" s="76">
        <f>SUMIFS('январь 2025'!$G$5:$G$2334,'январь 2025'!$D$5:$D$2334,$B64,'январь 2025'!$J$5:$J$2334,AF$1)</f>
        <v>0</v>
      </c>
      <c r="AG64" s="76">
        <f>SUMIFS('январь 2025'!$G$5:$G$2334,'январь 2025'!$D$5:$D$2334,$B64,'январь 2025'!$J$5:$J$2334,AG$1)</f>
        <v>0</v>
      </c>
      <c r="AH64" s="76">
        <f>SUMIFS('январь 2025'!$G$5:$G$2334,'январь 2025'!$D$5:$D$2334,$B64,'январь 2025'!$J$5:$J$2334,AH$1)</f>
        <v>0</v>
      </c>
      <c r="AI64" s="20">
        <f t="shared" si="1"/>
        <v>0</v>
      </c>
    </row>
    <row r="65" spans="2:35" ht="15" customHeight="1" x14ac:dyDescent="0.25">
      <c r="B65" s="88" t="s">
        <v>207</v>
      </c>
      <c r="C65" s="86">
        <v>25</v>
      </c>
      <c r="D65" s="76">
        <f>SUMIFS('январь 2025'!$G$5:$G$2334,'январь 2025'!$D$5:$D$2334,$B65,'январь 2025'!$J$5:$J$2334,D$1)</f>
        <v>0</v>
      </c>
      <c r="E65" s="76">
        <f>SUMIFS('январь 2025'!$G$5:$G$2334,'январь 2025'!$D$5:$D$2334,$B65,'январь 2025'!$J$5:$J$2334,E$1)</f>
        <v>0</v>
      </c>
      <c r="F65" s="76">
        <f>SUMIFS('январь 2025'!$G$5:$G$2334,'январь 2025'!$D$5:$D$2334,$B65,'январь 2025'!$J$5:$J$2334,F$1)</f>
        <v>0</v>
      </c>
      <c r="G65" s="76">
        <f>SUMIFS('январь 2025'!$G$5:$G$2334,'январь 2025'!$D$5:$D$2334,$B65,'январь 2025'!$J$5:$J$2334,G$1)</f>
        <v>0</v>
      </c>
      <c r="H65" s="76">
        <f>SUMIFS('январь 2025'!$G$5:$G$2334,'январь 2025'!$D$5:$D$2334,$B65,'январь 2025'!$J$5:$J$2334,H$1)</f>
        <v>0</v>
      </c>
      <c r="I65" s="76">
        <f>SUMIFS('январь 2025'!$G$5:$G$2334,'январь 2025'!$D$5:$D$2334,$B65,'январь 2025'!$J$5:$J$2334,I$1)</f>
        <v>0</v>
      </c>
      <c r="J65" s="76">
        <f>SUMIFS('январь 2025'!$G$5:$G$2334,'январь 2025'!$D$5:$D$2334,$B65,'январь 2025'!$J$5:$J$2334,J$1)</f>
        <v>0</v>
      </c>
      <c r="K65" s="76">
        <f>SUMIFS('январь 2025'!$G$5:$G$2334,'январь 2025'!$D$5:$D$2334,$B65,'январь 2025'!$J$5:$J$2334,K$1)</f>
        <v>0</v>
      </c>
      <c r="L65" s="76">
        <f>SUMIFS('январь 2025'!$G$5:$G$2334,'январь 2025'!$D$5:$D$2334,$B65,'январь 2025'!$J$5:$J$2334,L$1)</f>
        <v>0</v>
      </c>
      <c r="M65" s="76">
        <f>SUMIFS('январь 2025'!$G$5:$G$2334,'январь 2025'!$D$5:$D$2334,$B65,'январь 2025'!$J$5:$J$2334,M$1)</f>
        <v>0</v>
      </c>
      <c r="N65" s="76">
        <f>SUMIFS('январь 2025'!$G$5:$G$2334,'январь 2025'!$D$5:$D$2334,$B65,'январь 2025'!$J$5:$J$2334,N$1)</f>
        <v>0</v>
      </c>
      <c r="O65" s="76">
        <f>SUMIFS('январь 2025'!$G$5:$G$2334,'январь 2025'!$D$5:$D$2334,$B65,'январь 2025'!$J$5:$J$2334,O$1)</f>
        <v>0</v>
      </c>
      <c r="P65" s="76">
        <f>SUMIFS('январь 2025'!$G$5:$G$2334,'январь 2025'!$D$5:$D$2334,$B65,'январь 2025'!$J$5:$J$2334,P$1)</f>
        <v>0</v>
      </c>
      <c r="Q65" s="76">
        <f>SUMIFS('январь 2025'!$G$5:$G$2334,'январь 2025'!$D$5:$D$2334,$B65,'январь 2025'!$J$5:$J$2334,Q$1)</f>
        <v>0</v>
      </c>
      <c r="R65" s="76">
        <f>SUMIFS('январь 2025'!$G$5:$G$2334,'январь 2025'!$D$5:$D$2334,$B65,'январь 2025'!$J$5:$J$2334,R$1)</f>
        <v>0</v>
      </c>
      <c r="S65" s="76">
        <f>SUMIFS('январь 2025'!$G$5:$G$2334,'январь 2025'!$D$5:$D$2334,$B65,'январь 2025'!$J$5:$J$2334,S$1)</f>
        <v>0</v>
      </c>
      <c r="T65" s="76">
        <f>SUMIFS('январь 2025'!$G$5:$G$2334,'январь 2025'!$D$5:$D$2334,$B65,'январь 2025'!$J$5:$J$2334,T$1)</f>
        <v>0</v>
      </c>
      <c r="U65" s="76">
        <f>SUMIFS('январь 2025'!$G$5:$G$2334,'январь 2025'!$D$5:$D$2334,$B65,'январь 2025'!$J$5:$J$2334,U$1)</f>
        <v>0</v>
      </c>
      <c r="V65" s="76">
        <f>SUMIFS('январь 2025'!$G$5:$G$2334,'январь 2025'!$D$5:$D$2334,$B65,'январь 2025'!$J$5:$J$2334,V$1)</f>
        <v>0</v>
      </c>
      <c r="W65" s="76">
        <f>SUMIFS('январь 2025'!$G$5:$G$2334,'январь 2025'!$D$5:$D$2334,$B65,'январь 2025'!$J$5:$J$2334,W$1)</f>
        <v>0</v>
      </c>
      <c r="X65" s="76">
        <f>SUMIFS('январь 2025'!$G$5:$G$2334,'январь 2025'!$D$5:$D$2334,$B65,'январь 2025'!$J$5:$J$2334,X$1)</f>
        <v>0</v>
      </c>
      <c r="Y65" s="76">
        <f>SUMIFS('январь 2025'!$G$5:$G$2334,'январь 2025'!$D$5:$D$2334,$B65,'январь 2025'!$J$5:$J$2334,Y$1)</f>
        <v>0</v>
      </c>
      <c r="Z65" s="76">
        <f>SUMIFS('январь 2025'!$G$5:$G$2334,'январь 2025'!$D$5:$D$2334,$B65,'январь 2025'!$J$5:$J$2334,Z$1)</f>
        <v>0</v>
      </c>
      <c r="AA65" s="76">
        <f>SUMIFS('январь 2025'!$G$5:$G$2334,'январь 2025'!$D$5:$D$2334,$B65,'январь 2025'!$J$5:$J$2334,AA$1)</f>
        <v>0</v>
      </c>
      <c r="AB65" s="76">
        <f>SUMIFS('январь 2025'!$G$5:$G$2334,'январь 2025'!$D$5:$D$2334,$B65,'январь 2025'!$J$5:$J$2334,AB$1)</f>
        <v>0</v>
      </c>
      <c r="AC65" s="76">
        <f>SUMIFS('январь 2025'!$G$5:$G$2334,'январь 2025'!$D$5:$D$2334,$B65,'январь 2025'!$J$5:$J$2334,AC$1)</f>
        <v>0</v>
      </c>
      <c r="AD65" s="76">
        <f>SUMIFS('январь 2025'!$G$5:$G$2334,'январь 2025'!$D$5:$D$2334,$B65,'январь 2025'!$J$5:$J$2334,AD$1)</f>
        <v>0</v>
      </c>
      <c r="AE65" s="76">
        <f>SUMIFS('январь 2025'!$G$5:$G$2334,'январь 2025'!$D$5:$D$2334,$B65,'январь 2025'!$J$5:$J$2334,AE$1)</f>
        <v>0</v>
      </c>
      <c r="AF65" s="76">
        <f>SUMIFS('январь 2025'!$G$5:$G$2334,'январь 2025'!$D$5:$D$2334,$B65,'январь 2025'!$J$5:$J$2334,AF$1)</f>
        <v>0</v>
      </c>
      <c r="AG65" s="76">
        <f>SUMIFS('январь 2025'!$G$5:$G$2334,'январь 2025'!$D$5:$D$2334,$B65,'январь 2025'!$J$5:$J$2334,AG$1)</f>
        <v>0</v>
      </c>
      <c r="AH65" s="76">
        <f>SUMIFS('январь 2025'!$G$5:$G$2334,'январь 2025'!$D$5:$D$2334,$B65,'январь 2025'!$J$5:$J$2334,AH$1)</f>
        <v>0</v>
      </c>
      <c r="AI65" s="20">
        <f t="shared" si="1"/>
        <v>0</v>
      </c>
    </row>
    <row r="66" spans="2:35" ht="15" customHeight="1" x14ac:dyDescent="0.25">
      <c r="B66" s="88" t="s">
        <v>179</v>
      </c>
      <c r="C66" s="86">
        <v>50</v>
      </c>
      <c r="D66" s="76">
        <f>SUMIFS('январь 2025'!$G$5:$G$2334,'январь 2025'!$D$5:$D$2334,$B66,'январь 2025'!$J$5:$J$2334,D$1)</f>
        <v>0</v>
      </c>
      <c r="E66" s="76">
        <f>SUMIFS('январь 2025'!$G$5:$G$2334,'январь 2025'!$D$5:$D$2334,$B66,'январь 2025'!$J$5:$J$2334,E$1)</f>
        <v>0</v>
      </c>
      <c r="F66" s="76">
        <f>SUMIFS('январь 2025'!$G$5:$G$2334,'январь 2025'!$D$5:$D$2334,$B66,'январь 2025'!$J$5:$J$2334,F$1)</f>
        <v>0</v>
      </c>
      <c r="G66" s="76">
        <f>SUMIFS('январь 2025'!$G$5:$G$2334,'январь 2025'!$D$5:$D$2334,$B66,'январь 2025'!$J$5:$J$2334,G$1)</f>
        <v>0</v>
      </c>
      <c r="H66" s="76">
        <f>SUMIFS('январь 2025'!$G$5:$G$2334,'январь 2025'!$D$5:$D$2334,$B66,'январь 2025'!$J$5:$J$2334,H$1)</f>
        <v>0</v>
      </c>
      <c r="I66" s="76">
        <f>SUMIFS('январь 2025'!$G$5:$G$2334,'январь 2025'!$D$5:$D$2334,$B66,'январь 2025'!$J$5:$J$2334,I$1)</f>
        <v>0</v>
      </c>
      <c r="J66" s="76">
        <f>SUMIFS('январь 2025'!$G$5:$G$2334,'январь 2025'!$D$5:$D$2334,$B66,'январь 2025'!$J$5:$J$2334,J$1)</f>
        <v>0</v>
      </c>
      <c r="K66" s="76">
        <f>SUMIFS('январь 2025'!$G$5:$G$2334,'январь 2025'!$D$5:$D$2334,$B66,'январь 2025'!$J$5:$J$2334,K$1)</f>
        <v>0</v>
      </c>
      <c r="L66" s="76">
        <f>SUMIFS('январь 2025'!$G$5:$G$2334,'январь 2025'!$D$5:$D$2334,$B66,'январь 2025'!$J$5:$J$2334,L$1)</f>
        <v>0</v>
      </c>
      <c r="M66" s="76">
        <f>SUMIFS('январь 2025'!$G$5:$G$2334,'январь 2025'!$D$5:$D$2334,$B66,'январь 2025'!$J$5:$J$2334,M$1)</f>
        <v>0</v>
      </c>
      <c r="N66" s="76">
        <f>SUMIFS('январь 2025'!$G$5:$G$2334,'январь 2025'!$D$5:$D$2334,$B66,'январь 2025'!$J$5:$J$2334,N$1)</f>
        <v>0</v>
      </c>
      <c r="O66" s="76">
        <f>SUMIFS('январь 2025'!$G$5:$G$2334,'январь 2025'!$D$5:$D$2334,$B66,'январь 2025'!$J$5:$J$2334,O$1)</f>
        <v>0</v>
      </c>
      <c r="P66" s="76">
        <f>SUMIFS('январь 2025'!$G$5:$G$2334,'январь 2025'!$D$5:$D$2334,$B66,'январь 2025'!$J$5:$J$2334,P$1)</f>
        <v>0</v>
      </c>
      <c r="Q66" s="76">
        <f>SUMIFS('январь 2025'!$G$5:$G$2334,'январь 2025'!$D$5:$D$2334,$B66,'январь 2025'!$J$5:$J$2334,Q$1)</f>
        <v>0</v>
      </c>
      <c r="R66" s="76">
        <f>SUMIFS('январь 2025'!$G$5:$G$2334,'январь 2025'!$D$5:$D$2334,$B66,'январь 2025'!$J$5:$J$2334,R$1)</f>
        <v>0</v>
      </c>
      <c r="S66" s="76">
        <f>SUMIFS('январь 2025'!$G$5:$G$2334,'январь 2025'!$D$5:$D$2334,$B66,'январь 2025'!$J$5:$J$2334,S$1)</f>
        <v>0</v>
      </c>
      <c r="T66" s="76">
        <f>SUMIFS('январь 2025'!$G$5:$G$2334,'январь 2025'!$D$5:$D$2334,$B66,'январь 2025'!$J$5:$J$2334,T$1)</f>
        <v>0</v>
      </c>
      <c r="U66" s="76">
        <f>SUMIFS('январь 2025'!$G$5:$G$2334,'январь 2025'!$D$5:$D$2334,$B66,'январь 2025'!$J$5:$J$2334,U$1)</f>
        <v>0</v>
      </c>
      <c r="V66" s="76">
        <f>SUMIFS('январь 2025'!$G$5:$G$2334,'январь 2025'!$D$5:$D$2334,$B66,'январь 2025'!$J$5:$J$2334,V$1)</f>
        <v>0</v>
      </c>
      <c r="W66" s="76">
        <f>SUMIFS('январь 2025'!$G$5:$G$2334,'январь 2025'!$D$5:$D$2334,$B66,'январь 2025'!$J$5:$J$2334,W$1)</f>
        <v>0</v>
      </c>
      <c r="X66" s="76">
        <f>SUMIFS('январь 2025'!$G$5:$G$2334,'январь 2025'!$D$5:$D$2334,$B66,'январь 2025'!$J$5:$J$2334,X$1)</f>
        <v>0</v>
      </c>
      <c r="Y66" s="76">
        <f>SUMIFS('январь 2025'!$G$5:$G$2334,'январь 2025'!$D$5:$D$2334,$B66,'январь 2025'!$J$5:$J$2334,Y$1)</f>
        <v>0</v>
      </c>
      <c r="Z66" s="76">
        <f>SUMIFS('январь 2025'!$G$5:$G$2334,'январь 2025'!$D$5:$D$2334,$B66,'январь 2025'!$J$5:$J$2334,Z$1)</f>
        <v>0</v>
      </c>
      <c r="AA66" s="76">
        <f>SUMIFS('январь 2025'!$G$5:$G$2334,'январь 2025'!$D$5:$D$2334,$B66,'январь 2025'!$J$5:$J$2334,AA$1)</f>
        <v>0</v>
      </c>
      <c r="AB66" s="76">
        <f>SUMIFS('январь 2025'!$G$5:$G$2334,'январь 2025'!$D$5:$D$2334,$B66,'январь 2025'!$J$5:$J$2334,AB$1)</f>
        <v>0</v>
      </c>
      <c r="AC66" s="76">
        <f>SUMIFS('январь 2025'!$G$5:$G$2334,'январь 2025'!$D$5:$D$2334,$B66,'январь 2025'!$J$5:$J$2334,AC$1)</f>
        <v>0</v>
      </c>
      <c r="AD66" s="76">
        <f>SUMIFS('январь 2025'!$G$5:$G$2334,'январь 2025'!$D$5:$D$2334,$B66,'январь 2025'!$J$5:$J$2334,AD$1)</f>
        <v>0</v>
      </c>
      <c r="AE66" s="76">
        <f>SUMIFS('январь 2025'!$G$5:$G$2334,'январь 2025'!$D$5:$D$2334,$B66,'январь 2025'!$J$5:$J$2334,AE$1)</f>
        <v>0</v>
      </c>
      <c r="AF66" s="76">
        <f>SUMIFS('январь 2025'!$G$5:$G$2334,'январь 2025'!$D$5:$D$2334,$B66,'январь 2025'!$J$5:$J$2334,AF$1)</f>
        <v>0</v>
      </c>
      <c r="AG66" s="76">
        <f>SUMIFS('январь 2025'!$G$5:$G$2334,'январь 2025'!$D$5:$D$2334,$B66,'январь 2025'!$J$5:$J$2334,AG$1)</f>
        <v>0</v>
      </c>
      <c r="AH66" s="76">
        <f>SUMIFS('январь 2025'!$G$5:$G$2334,'январь 2025'!$D$5:$D$2334,$B66,'январь 2025'!$J$5:$J$2334,AH$1)</f>
        <v>0</v>
      </c>
      <c r="AI66" s="20">
        <f t="shared" si="1"/>
        <v>0</v>
      </c>
    </row>
    <row r="67" spans="2:35" ht="15.75" x14ac:dyDescent="0.25">
      <c r="B67" s="84" t="s">
        <v>158</v>
      </c>
      <c r="C67" s="83">
        <v>200</v>
      </c>
      <c r="D67" s="76">
        <f>SUMIFS('январь 2025'!$G$5:$G$2334,'январь 2025'!$D$5:$D$2334,$B67,'январь 2025'!$J$5:$J$2334,D$1)</f>
        <v>0</v>
      </c>
      <c r="E67" s="76">
        <f>SUMIFS('январь 2025'!$G$5:$G$2334,'январь 2025'!$D$5:$D$2334,$B67,'январь 2025'!$J$5:$J$2334,E$1)</f>
        <v>0</v>
      </c>
      <c r="F67" s="76">
        <f>SUMIFS('январь 2025'!$G$5:$G$2334,'январь 2025'!$D$5:$D$2334,$B67,'январь 2025'!$J$5:$J$2334,F$1)</f>
        <v>0</v>
      </c>
      <c r="G67" s="76">
        <f>SUMIFS('январь 2025'!$G$5:$G$2334,'январь 2025'!$D$5:$D$2334,$B67,'январь 2025'!$J$5:$J$2334,G$1)</f>
        <v>0</v>
      </c>
      <c r="H67" s="76">
        <f>SUMIFS('январь 2025'!$G$5:$G$2334,'январь 2025'!$D$5:$D$2334,$B67,'январь 2025'!$J$5:$J$2334,H$1)</f>
        <v>0</v>
      </c>
      <c r="I67" s="76">
        <f>SUMIFS('январь 2025'!$G$5:$G$2334,'январь 2025'!$D$5:$D$2334,$B67,'январь 2025'!$J$5:$J$2334,I$1)</f>
        <v>0</v>
      </c>
      <c r="J67" s="76">
        <f>SUMIFS('январь 2025'!$G$5:$G$2334,'январь 2025'!$D$5:$D$2334,$B67,'январь 2025'!$J$5:$J$2334,J$1)</f>
        <v>0</v>
      </c>
      <c r="K67" s="76">
        <f>SUMIFS('январь 2025'!$G$5:$G$2334,'январь 2025'!$D$5:$D$2334,$B67,'январь 2025'!$J$5:$J$2334,K$1)</f>
        <v>0</v>
      </c>
      <c r="L67" s="76">
        <f>SUMIFS('январь 2025'!$G$5:$G$2334,'январь 2025'!$D$5:$D$2334,$B67,'январь 2025'!$J$5:$J$2334,L$1)</f>
        <v>0</v>
      </c>
      <c r="M67" s="76">
        <f>SUMIFS('январь 2025'!$G$5:$G$2334,'январь 2025'!$D$5:$D$2334,$B67,'январь 2025'!$J$5:$J$2334,M$1)</f>
        <v>0</v>
      </c>
      <c r="N67" s="76">
        <f>SUMIFS('январь 2025'!$G$5:$G$2334,'январь 2025'!$D$5:$D$2334,$B67,'январь 2025'!$J$5:$J$2334,N$1)</f>
        <v>0</v>
      </c>
      <c r="O67" s="76">
        <f>SUMIFS('январь 2025'!$G$5:$G$2334,'январь 2025'!$D$5:$D$2334,$B67,'январь 2025'!$J$5:$J$2334,O$1)</f>
        <v>0</v>
      </c>
      <c r="P67" s="76">
        <f>SUMIFS('январь 2025'!$G$5:$G$2334,'январь 2025'!$D$5:$D$2334,$B67,'январь 2025'!$J$5:$J$2334,P$1)</f>
        <v>0</v>
      </c>
      <c r="Q67" s="76">
        <f>SUMIFS('январь 2025'!$G$5:$G$2334,'январь 2025'!$D$5:$D$2334,$B67,'январь 2025'!$J$5:$J$2334,Q$1)</f>
        <v>0</v>
      </c>
      <c r="R67" s="76">
        <f>SUMIFS('январь 2025'!$G$5:$G$2334,'январь 2025'!$D$5:$D$2334,$B67,'январь 2025'!$J$5:$J$2334,R$1)</f>
        <v>0</v>
      </c>
      <c r="S67" s="76">
        <f>SUMIFS('январь 2025'!$G$5:$G$2334,'январь 2025'!$D$5:$D$2334,$B67,'январь 2025'!$J$5:$J$2334,S$1)</f>
        <v>0</v>
      </c>
      <c r="T67" s="76">
        <f>SUMIFS('январь 2025'!$G$5:$G$2334,'январь 2025'!$D$5:$D$2334,$B67,'январь 2025'!$J$5:$J$2334,T$1)</f>
        <v>0</v>
      </c>
      <c r="U67" s="76">
        <f>SUMIFS('январь 2025'!$G$5:$G$2334,'январь 2025'!$D$5:$D$2334,$B67,'январь 2025'!$J$5:$J$2334,U$1)</f>
        <v>0</v>
      </c>
      <c r="V67" s="76">
        <f>SUMIFS('январь 2025'!$G$5:$G$2334,'январь 2025'!$D$5:$D$2334,$B67,'январь 2025'!$J$5:$J$2334,V$1)</f>
        <v>0</v>
      </c>
      <c r="W67" s="76">
        <f>SUMIFS('январь 2025'!$G$5:$G$2334,'январь 2025'!$D$5:$D$2334,$B67,'январь 2025'!$J$5:$J$2334,W$1)</f>
        <v>0</v>
      </c>
      <c r="X67" s="76">
        <f>SUMIFS('январь 2025'!$G$5:$G$2334,'январь 2025'!$D$5:$D$2334,$B67,'январь 2025'!$J$5:$J$2334,X$1)</f>
        <v>0</v>
      </c>
      <c r="Y67" s="76">
        <f>SUMIFS('январь 2025'!$G$5:$G$2334,'январь 2025'!$D$5:$D$2334,$B67,'январь 2025'!$J$5:$J$2334,Y$1)</f>
        <v>0</v>
      </c>
      <c r="Z67" s="76">
        <f>SUMIFS('январь 2025'!$G$5:$G$2334,'январь 2025'!$D$5:$D$2334,$B67,'январь 2025'!$J$5:$J$2334,Z$1)</f>
        <v>0</v>
      </c>
      <c r="AA67" s="76">
        <f>SUMIFS('январь 2025'!$G$5:$G$2334,'январь 2025'!$D$5:$D$2334,$B67,'январь 2025'!$J$5:$J$2334,AA$1)</f>
        <v>0</v>
      </c>
      <c r="AB67" s="76">
        <f>SUMIFS('январь 2025'!$G$5:$G$2334,'январь 2025'!$D$5:$D$2334,$B67,'январь 2025'!$J$5:$J$2334,AB$1)</f>
        <v>0</v>
      </c>
      <c r="AC67" s="76">
        <f>SUMIFS('январь 2025'!$G$5:$G$2334,'январь 2025'!$D$5:$D$2334,$B67,'январь 2025'!$J$5:$J$2334,AC$1)</f>
        <v>0</v>
      </c>
      <c r="AD67" s="76">
        <f>SUMIFS('январь 2025'!$G$5:$G$2334,'январь 2025'!$D$5:$D$2334,$B67,'январь 2025'!$J$5:$J$2334,AD$1)</f>
        <v>0</v>
      </c>
      <c r="AE67" s="76">
        <f>SUMIFS('январь 2025'!$G$5:$G$2334,'январь 2025'!$D$5:$D$2334,$B67,'январь 2025'!$J$5:$J$2334,AE$1)</f>
        <v>0</v>
      </c>
      <c r="AF67" s="76">
        <f>SUMIFS('январь 2025'!$G$5:$G$2334,'январь 2025'!$D$5:$D$2334,$B67,'январь 2025'!$J$5:$J$2334,AF$1)</f>
        <v>0</v>
      </c>
      <c r="AG67" s="76">
        <f>SUMIFS('январь 2025'!$G$5:$G$2334,'январь 2025'!$D$5:$D$2334,$B67,'январь 2025'!$J$5:$J$2334,AG$1)</f>
        <v>0</v>
      </c>
      <c r="AH67" s="76">
        <f>SUMIFS('январь 2025'!$G$5:$G$2334,'январь 2025'!$D$5:$D$2334,$B67,'январь 2025'!$J$5:$J$2334,AH$1)</f>
        <v>0</v>
      </c>
      <c r="AI67" s="20">
        <f t="shared" si="1"/>
        <v>0</v>
      </c>
    </row>
    <row r="68" spans="2:35" ht="15.75" x14ac:dyDescent="0.25">
      <c r="B68" s="88" t="s">
        <v>157</v>
      </c>
      <c r="C68" s="86">
        <v>200</v>
      </c>
      <c r="D68" s="76">
        <f>SUMIFS('январь 2025'!$G$5:$G$2334,'январь 2025'!$D$5:$D$2334,$B68,'январь 2025'!$J$5:$J$2334,D$1)</f>
        <v>0</v>
      </c>
      <c r="E68" s="76">
        <f>SUMIFS('январь 2025'!$G$5:$G$2334,'январь 2025'!$D$5:$D$2334,$B68,'январь 2025'!$J$5:$J$2334,E$1)</f>
        <v>0</v>
      </c>
      <c r="F68" s="76">
        <f>SUMIFS('январь 2025'!$G$5:$G$2334,'январь 2025'!$D$5:$D$2334,$B68,'январь 2025'!$J$5:$J$2334,F$1)</f>
        <v>0</v>
      </c>
      <c r="G68" s="76">
        <f>SUMIFS('январь 2025'!$G$5:$G$2334,'январь 2025'!$D$5:$D$2334,$B68,'январь 2025'!$J$5:$J$2334,G$1)</f>
        <v>0</v>
      </c>
      <c r="H68" s="76">
        <f>SUMIFS('январь 2025'!$G$5:$G$2334,'январь 2025'!$D$5:$D$2334,$B68,'январь 2025'!$J$5:$J$2334,H$1)</f>
        <v>0</v>
      </c>
      <c r="I68" s="76">
        <f>SUMIFS('январь 2025'!$G$5:$G$2334,'январь 2025'!$D$5:$D$2334,$B68,'январь 2025'!$J$5:$J$2334,I$1)</f>
        <v>0</v>
      </c>
      <c r="J68" s="76">
        <f>SUMIFS('январь 2025'!$G$5:$G$2334,'январь 2025'!$D$5:$D$2334,$B68,'январь 2025'!$J$5:$J$2334,J$1)</f>
        <v>0</v>
      </c>
      <c r="K68" s="76">
        <f>SUMIFS('январь 2025'!$G$5:$G$2334,'январь 2025'!$D$5:$D$2334,$B68,'январь 2025'!$J$5:$J$2334,K$1)</f>
        <v>0</v>
      </c>
      <c r="L68" s="76">
        <f>SUMIFS('январь 2025'!$G$5:$G$2334,'январь 2025'!$D$5:$D$2334,$B68,'январь 2025'!$J$5:$J$2334,L$1)</f>
        <v>0</v>
      </c>
      <c r="M68" s="76">
        <f>SUMIFS('январь 2025'!$G$5:$G$2334,'январь 2025'!$D$5:$D$2334,$B68,'январь 2025'!$J$5:$J$2334,M$1)</f>
        <v>0</v>
      </c>
      <c r="N68" s="76">
        <f>SUMIFS('январь 2025'!$G$5:$G$2334,'январь 2025'!$D$5:$D$2334,$B68,'январь 2025'!$J$5:$J$2334,N$1)</f>
        <v>0</v>
      </c>
      <c r="O68" s="76">
        <f>SUMIFS('январь 2025'!$G$5:$G$2334,'январь 2025'!$D$5:$D$2334,$B68,'январь 2025'!$J$5:$J$2334,O$1)</f>
        <v>0</v>
      </c>
      <c r="P68" s="76">
        <f>SUMIFS('январь 2025'!$G$5:$G$2334,'январь 2025'!$D$5:$D$2334,$B68,'январь 2025'!$J$5:$J$2334,P$1)</f>
        <v>0</v>
      </c>
      <c r="Q68" s="76">
        <f>SUMIFS('январь 2025'!$G$5:$G$2334,'январь 2025'!$D$5:$D$2334,$B68,'январь 2025'!$J$5:$J$2334,Q$1)</f>
        <v>0</v>
      </c>
      <c r="R68" s="76">
        <f>SUMIFS('январь 2025'!$G$5:$G$2334,'январь 2025'!$D$5:$D$2334,$B68,'январь 2025'!$J$5:$J$2334,R$1)</f>
        <v>0</v>
      </c>
      <c r="S68" s="76">
        <f>SUMIFS('январь 2025'!$G$5:$G$2334,'январь 2025'!$D$5:$D$2334,$B68,'январь 2025'!$J$5:$J$2334,S$1)</f>
        <v>0</v>
      </c>
      <c r="T68" s="76">
        <f>SUMIFS('январь 2025'!$G$5:$G$2334,'январь 2025'!$D$5:$D$2334,$B68,'январь 2025'!$J$5:$J$2334,T$1)</f>
        <v>0</v>
      </c>
      <c r="U68" s="76">
        <f>SUMIFS('январь 2025'!$G$5:$G$2334,'январь 2025'!$D$5:$D$2334,$B68,'январь 2025'!$J$5:$J$2334,U$1)</f>
        <v>0</v>
      </c>
      <c r="V68" s="76">
        <f>SUMIFS('январь 2025'!$G$5:$G$2334,'январь 2025'!$D$5:$D$2334,$B68,'январь 2025'!$J$5:$J$2334,V$1)</f>
        <v>0</v>
      </c>
      <c r="W68" s="76">
        <f>SUMIFS('январь 2025'!$G$5:$G$2334,'январь 2025'!$D$5:$D$2334,$B68,'январь 2025'!$J$5:$J$2334,W$1)</f>
        <v>0</v>
      </c>
      <c r="X68" s="76">
        <f>SUMIFS('январь 2025'!$G$5:$G$2334,'январь 2025'!$D$5:$D$2334,$B68,'январь 2025'!$J$5:$J$2334,X$1)</f>
        <v>0</v>
      </c>
      <c r="Y68" s="76">
        <f>SUMIFS('январь 2025'!$G$5:$G$2334,'январь 2025'!$D$5:$D$2334,$B68,'январь 2025'!$J$5:$J$2334,Y$1)</f>
        <v>0</v>
      </c>
      <c r="Z68" s="76">
        <f>SUMIFS('январь 2025'!$G$5:$G$2334,'январь 2025'!$D$5:$D$2334,$B68,'январь 2025'!$J$5:$J$2334,Z$1)</f>
        <v>0</v>
      </c>
      <c r="AA68" s="76">
        <f>SUMIFS('январь 2025'!$G$5:$G$2334,'январь 2025'!$D$5:$D$2334,$B68,'январь 2025'!$J$5:$J$2334,AA$1)</f>
        <v>0</v>
      </c>
      <c r="AB68" s="76">
        <f>SUMIFS('январь 2025'!$G$5:$G$2334,'январь 2025'!$D$5:$D$2334,$B68,'январь 2025'!$J$5:$J$2334,AB$1)</f>
        <v>0</v>
      </c>
      <c r="AC68" s="76">
        <f>SUMIFS('январь 2025'!$G$5:$G$2334,'январь 2025'!$D$5:$D$2334,$B68,'январь 2025'!$J$5:$J$2334,AC$1)</f>
        <v>0</v>
      </c>
      <c r="AD68" s="76">
        <f>SUMIFS('январь 2025'!$G$5:$G$2334,'январь 2025'!$D$5:$D$2334,$B68,'январь 2025'!$J$5:$J$2334,AD$1)</f>
        <v>0</v>
      </c>
      <c r="AE68" s="76">
        <f>SUMIFS('январь 2025'!$G$5:$G$2334,'январь 2025'!$D$5:$D$2334,$B68,'январь 2025'!$J$5:$J$2334,AE$1)</f>
        <v>0</v>
      </c>
      <c r="AF68" s="76">
        <f>SUMIFS('январь 2025'!$G$5:$G$2334,'январь 2025'!$D$5:$D$2334,$B68,'январь 2025'!$J$5:$J$2334,AF$1)</f>
        <v>0</v>
      </c>
      <c r="AG68" s="76">
        <f>SUMIFS('январь 2025'!$G$5:$G$2334,'январь 2025'!$D$5:$D$2334,$B68,'январь 2025'!$J$5:$J$2334,AG$1)</f>
        <v>0</v>
      </c>
      <c r="AH68" s="76">
        <f>SUMIFS('январь 2025'!$G$5:$G$2334,'январь 2025'!$D$5:$D$2334,$B68,'январь 2025'!$J$5:$J$2334,AH$1)</f>
        <v>0</v>
      </c>
      <c r="AI68" s="20">
        <f t="shared" si="1"/>
        <v>0</v>
      </c>
    </row>
    <row r="69" spans="2:35" ht="15.75" x14ac:dyDescent="0.25">
      <c r="B69" s="88" t="s">
        <v>299</v>
      </c>
      <c r="C69" s="86">
        <v>200</v>
      </c>
      <c r="D69" s="76">
        <f>SUMIFS('январь 2025'!$G$5:$G$2334,'январь 2025'!$D$5:$D$2334,$B69,'январь 2025'!$J$5:$J$2334,D$1)</f>
        <v>0</v>
      </c>
      <c r="E69" s="76">
        <f>SUMIFS('январь 2025'!$G$5:$G$2334,'январь 2025'!$D$5:$D$2334,$B69,'январь 2025'!$J$5:$J$2334,E$1)</f>
        <v>0</v>
      </c>
      <c r="F69" s="76">
        <f>SUMIFS('январь 2025'!$G$5:$G$2334,'январь 2025'!$D$5:$D$2334,$B69,'январь 2025'!$J$5:$J$2334,F$1)</f>
        <v>0</v>
      </c>
      <c r="G69" s="76">
        <f>SUMIFS('январь 2025'!$G$5:$G$2334,'январь 2025'!$D$5:$D$2334,$B69,'январь 2025'!$J$5:$J$2334,G$1)</f>
        <v>0</v>
      </c>
      <c r="H69" s="76">
        <f>SUMIFS('январь 2025'!$G$5:$G$2334,'январь 2025'!$D$5:$D$2334,$B69,'январь 2025'!$J$5:$J$2334,H$1)</f>
        <v>0</v>
      </c>
      <c r="I69" s="76">
        <f>SUMIFS('январь 2025'!$G$5:$G$2334,'январь 2025'!$D$5:$D$2334,$B69,'январь 2025'!$J$5:$J$2334,I$1)</f>
        <v>0</v>
      </c>
      <c r="J69" s="76">
        <f>SUMIFS('январь 2025'!$G$5:$G$2334,'январь 2025'!$D$5:$D$2334,$B69,'январь 2025'!$J$5:$J$2334,J$1)</f>
        <v>0</v>
      </c>
      <c r="K69" s="76">
        <f>SUMIFS('январь 2025'!$G$5:$G$2334,'январь 2025'!$D$5:$D$2334,$B69,'январь 2025'!$J$5:$J$2334,K$1)</f>
        <v>0</v>
      </c>
      <c r="L69" s="76">
        <f>SUMIFS('январь 2025'!$G$5:$G$2334,'январь 2025'!$D$5:$D$2334,$B69,'январь 2025'!$J$5:$J$2334,L$1)</f>
        <v>0</v>
      </c>
      <c r="M69" s="76">
        <f>SUMIFS('январь 2025'!$G$5:$G$2334,'январь 2025'!$D$5:$D$2334,$B69,'январь 2025'!$J$5:$J$2334,M$1)</f>
        <v>0</v>
      </c>
      <c r="N69" s="76">
        <f>SUMIFS('январь 2025'!$G$5:$G$2334,'январь 2025'!$D$5:$D$2334,$B69,'январь 2025'!$J$5:$J$2334,N$1)</f>
        <v>0</v>
      </c>
      <c r="O69" s="76">
        <f>SUMIFS('январь 2025'!$G$5:$G$2334,'январь 2025'!$D$5:$D$2334,$B69,'январь 2025'!$J$5:$J$2334,O$1)</f>
        <v>0</v>
      </c>
      <c r="P69" s="76">
        <f>SUMIFS('январь 2025'!$G$5:$G$2334,'январь 2025'!$D$5:$D$2334,$B69,'январь 2025'!$J$5:$J$2334,P$1)</f>
        <v>0</v>
      </c>
      <c r="Q69" s="76">
        <f>SUMIFS('январь 2025'!$G$5:$G$2334,'январь 2025'!$D$5:$D$2334,$B69,'январь 2025'!$J$5:$J$2334,Q$1)</f>
        <v>0</v>
      </c>
      <c r="R69" s="76">
        <f>SUMIFS('январь 2025'!$G$5:$G$2334,'январь 2025'!$D$5:$D$2334,$B69,'январь 2025'!$J$5:$J$2334,R$1)</f>
        <v>0</v>
      </c>
      <c r="S69" s="76">
        <f>SUMIFS('январь 2025'!$G$5:$G$2334,'январь 2025'!$D$5:$D$2334,$B69,'январь 2025'!$J$5:$J$2334,S$1)</f>
        <v>0</v>
      </c>
      <c r="T69" s="76">
        <f>SUMIFS('январь 2025'!$G$5:$G$2334,'январь 2025'!$D$5:$D$2334,$B69,'январь 2025'!$J$5:$J$2334,T$1)</f>
        <v>0</v>
      </c>
      <c r="U69" s="76">
        <f>SUMIFS('январь 2025'!$G$5:$G$2334,'январь 2025'!$D$5:$D$2334,$B69,'январь 2025'!$J$5:$J$2334,U$1)</f>
        <v>0</v>
      </c>
      <c r="V69" s="76">
        <f>SUMIFS('январь 2025'!$G$5:$G$2334,'январь 2025'!$D$5:$D$2334,$B69,'январь 2025'!$J$5:$J$2334,V$1)</f>
        <v>0</v>
      </c>
      <c r="W69" s="76">
        <f>SUMIFS('январь 2025'!$G$5:$G$2334,'январь 2025'!$D$5:$D$2334,$B69,'январь 2025'!$J$5:$J$2334,W$1)</f>
        <v>0</v>
      </c>
      <c r="X69" s="76">
        <f>SUMIFS('январь 2025'!$G$5:$G$2334,'январь 2025'!$D$5:$D$2334,$B69,'январь 2025'!$J$5:$J$2334,X$1)</f>
        <v>0</v>
      </c>
      <c r="Y69" s="76">
        <f>SUMIFS('январь 2025'!$G$5:$G$2334,'январь 2025'!$D$5:$D$2334,$B69,'январь 2025'!$J$5:$J$2334,Y$1)</f>
        <v>0</v>
      </c>
      <c r="Z69" s="76">
        <f>SUMIFS('январь 2025'!$G$5:$G$2334,'январь 2025'!$D$5:$D$2334,$B69,'январь 2025'!$J$5:$J$2334,Z$1)</f>
        <v>0</v>
      </c>
      <c r="AA69" s="76">
        <f>SUMIFS('январь 2025'!$G$5:$G$2334,'январь 2025'!$D$5:$D$2334,$B69,'январь 2025'!$J$5:$J$2334,AA$1)</f>
        <v>0</v>
      </c>
      <c r="AB69" s="76">
        <f>SUMIFS('январь 2025'!$G$5:$G$2334,'январь 2025'!$D$5:$D$2334,$B69,'январь 2025'!$J$5:$J$2334,AB$1)</f>
        <v>0</v>
      </c>
      <c r="AC69" s="76">
        <f>SUMIFS('январь 2025'!$G$5:$G$2334,'январь 2025'!$D$5:$D$2334,$B69,'январь 2025'!$J$5:$J$2334,AC$1)</f>
        <v>0</v>
      </c>
      <c r="AD69" s="76">
        <f>SUMIFS('январь 2025'!$G$5:$G$2334,'январь 2025'!$D$5:$D$2334,$B69,'январь 2025'!$J$5:$J$2334,AD$1)</f>
        <v>0</v>
      </c>
      <c r="AE69" s="76">
        <f>SUMIFS('январь 2025'!$G$5:$G$2334,'январь 2025'!$D$5:$D$2334,$B69,'январь 2025'!$J$5:$J$2334,AE$1)</f>
        <v>0</v>
      </c>
      <c r="AF69" s="76">
        <f>SUMIFS('январь 2025'!$G$5:$G$2334,'январь 2025'!$D$5:$D$2334,$B69,'январь 2025'!$J$5:$J$2334,AF$1)</f>
        <v>0</v>
      </c>
      <c r="AG69" s="76">
        <f>SUMIFS('январь 2025'!$G$5:$G$2334,'январь 2025'!$D$5:$D$2334,$B69,'январь 2025'!$J$5:$J$2334,AG$1)</f>
        <v>0</v>
      </c>
      <c r="AH69" s="76">
        <f>SUMIFS('январь 2025'!$G$5:$G$2334,'январь 2025'!$D$5:$D$2334,$B69,'январь 2025'!$J$5:$J$2334,AH$1)</f>
        <v>0</v>
      </c>
      <c r="AI69" s="20">
        <f t="shared" si="1"/>
        <v>0</v>
      </c>
    </row>
    <row r="70" spans="2:35" ht="15" customHeight="1" x14ac:dyDescent="0.25">
      <c r="B70" s="88" t="s">
        <v>202</v>
      </c>
      <c r="C70" s="86">
        <v>200</v>
      </c>
      <c r="D70" s="76">
        <f>SUMIFS('январь 2025'!$G$5:$G$2334,'январь 2025'!$D$5:$D$2334,$B70,'январь 2025'!$J$5:$J$2334,D$1)</f>
        <v>0</v>
      </c>
      <c r="E70" s="76">
        <f>SUMIFS('январь 2025'!$G$5:$G$2334,'январь 2025'!$D$5:$D$2334,$B70,'январь 2025'!$J$5:$J$2334,E$1)</f>
        <v>0</v>
      </c>
      <c r="F70" s="76">
        <f>SUMIFS('январь 2025'!$G$5:$G$2334,'январь 2025'!$D$5:$D$2334,$B70,'январь 2025'!$J$5:$J$2334,F$1)</f>
        <v>0</v>
      </c>
      <c r="G70" s="76">
        <f>SUMIFS('январь 2025'!$G$5:$G$2334,'январь 2025'!$D$5:$D$2334,$B70,'январь 2025'!$J$5:$J$2334,G$1)</f>
        <v>0</v>
      </c>
      <c r="H70" s="76">
        <f>SUMIFS('январь 2025'!$G$5:$G$2334,'январь 2025'!$D$5:$D$2334,$B70,'январь 2025'!$J$5:$J$2334,H$1)</f>
        <v>0</v>
      </c>
      <c r="I70" s="76">
        <f>SUMIFS('январь 2025'!$G$5:$G$2334,'январь 2025'!$D$5:$D$2334,$B70,'январь 2025'!$J$5:$J$2334,I$1)</f>
        <v>0</v>
      </c>
      <c r="J70" s="76">
        <f>SUMIFS('январь 2025'!$G$5:$G$2334,'январь 2025'!$D$5:$D$2334,$B70,'январь 2025'!$J$5:$J$2334,J$1)</f>
        <v>0</v>
      </c>
      <c r="K70" s="76">
        <f>SUMIFS('январь 2025'!$G$5:$G$2334,'январь 2025'!$D$5:$D$2334,$B70,'январь 2025'!$J$5:$J$2334,K$1)</f>
        <v>0</v>
      </c>
      <c r="L70" s="76">
        <f>SUMIFS('январь 2025'!$G$5:$G$2334,'январь 2025'!$D$5:$D$2334,$B70,'январь 2025'!$J$5:$J$2334,L$1)</f>
        <v>0</v>
      </c>
      <c r="M70" s="76">
        <f>SUMIFS('январь 2025'!$G$5:$G$2334,'январь 2025'!$D$5:$D$2334,$B70,'январь 2025'!$J$5:$J$2334,M$1)</f>
        <v>0</v>
      </c>
      <c r="N70" s="76">
        <f>SUMIFS('январь 2025'!$G$5:$G$2334,'январь 2025'!$D$5:$D$2334,$B70,'январь 2025'!$J$5:$J$2334,N$1)</f>
        <v>0</v>
      </c>
      <c r="O70" s="76">
        <f>SUMIFS('январь 2025'!$G$5:$G$2334,'январь 2025'!$D$5:$D$2334,$B70,'январь 2025'!$J$5:$J$2334,O$1)</f>
        <v>0</v>
      </c>
      <c r="P70" s="76">
        <f>SUMIFS('январь 2025'!$G$5:$G$2334,'январь 2025'!$D$5:$D$2334,$B70,'январь 2025'!$J$5:$J$2334,P$1)</f>
        <v>0</v>
      </c>
      <c r="Q70" s="76">
        <f>SUMIFS('январь 2025'!$G$5:$G$2334,'январь 2025'!$D$5:$D$2334,$B70,'январь 2025'!$J$5:$J$2334,Q$1)</f>
        <v>0</v>
      </c>
      <c r="R70" s="76">
        <f>SUMIFS('январь 2025'!$G$5:$G$2334,'январь 2025'!$D$5:$D$2334,$B70,'январь 2025'!$J$5:$J$2334,R$1)</f>
        <v>0</v>
      </c>
      <c r="S70" s="76">
        <f>SUMIFS('январь 2025'!$G$5:$G$2334,'январь 2025'!$D$5:$D$2334,$B70,'январь 2025'!$J$5:$J$2334,S$1)</f>
        <v>0</v>
      </c>
      <c r="T70" s="76">
        <f>SUMIFS('январь 2025'!$G$5:$G$2334,'январь 2025'!$D$5:$D$2334,$B70,'январь 2025'!$J$5:$J$2334,T$1)</f>
        <v>0</v>
      </c>
      <c r="U70" s="76">
        <f>SUMIFS('январь 2025'!$G$5:$G$2334,'январь 2025'!$D$5:$D$2334,$B70,'январь 2025'!$J$5:$J$2334,U$1)</f>
        <v>0</v>
      </c>
      <c r="V70" s="76">
        <f>SUMIFS('январь 2025'!$G$5:$G$2334,'январь 2025'!$D$5:$D$2334,$B70,'январь 2025'!$J$5:$J$2334,V$1)</f>
        <v>0</v>
      </c>
      <c r="W70" s="76">
        <f>SUMIFS('январь 2025'!$G$5:$G$2334,'январь 2025'!$D$5:$D$2334,$B70,'январь 2025'!$J$5:$J$2334,W$1)</f>
        <v>0</v>
      </c>
      <c r="X70" s="76">
        <f>SUMIFS('январь 2025'!$G$5:$G$2334,'январь 2025'!$D$5:$D$2334,$B70,'январь 2025'!$J$5:$J$2334,X$1)</f>
        <v>0</v>
      </c>
      <c r="Y70" s="76">
        <f>SUMIFS('январь 2025'!$G$5:$G$2334,'январь 2025'!$D$5:$D$2334,$B70,'январь 2025'!$J$5:$J$2334,Y$1)</f>
        <v>0</v>
      </c>
      <c r="Z70" s="76">
        <f>SUMIFS('январь 2025'!$G$5:$G$2334,'январь 2025'!$D$5:$D$2334,$B70,'январь 2025'!$J$5:$J$2334,Z$1)</f>
        <v>0</v>
      </c>
      <c r="AA70" s="76">
        <f>SUMIFS('январь 2025'!$G$5:$G$2334,'январь 2025'!$D$5:$D$2334,$B70,'январь 2025'!$J$5:$J$2334,AA$1)</f>
        <v>0</v>
      </c>
      <c r="AB70" s="76">
        <f>SUMIFS('январь 2025'!$G$5:$G$2334,'январь 2025'!$D$5:$D$2334,$B70,'январь 2025'!$J$5:$J$2334,AB$1)</f>
        <v>0</v>
      </c>
      <c r="AC70" s="76">
        <f>SUMIFS('январь 2025'!$G$5:$G$2334,'январь 2025'!$D$5:$D$2334,$B70,'январь 2025'!$J$5:$J$2334,AC$1)</f>
        <v>0</v>
      </c>
      <c r="AD70" s="76">
        <f>SUMIFS('январь 2025'!$G$5:$G$2334,'январь 2025'!$D$5:$D$2334,$B70,'январь 2025'!$J$5:$J$2334,AD$1)</f>
        <v>0</v>
      </c>
      <c r="AE70" s="76">
        <f>SUMIFS('январь 2025'!$G$5:$G$2334,'январь 2025'!$D$5:$D$2334,$B70,'январь 2025'!$J$5:$J$2334,AE$1)</f>
        <v>0</v>
      </c>
      <c r="AF70" s="76">
        <f>SUMIFS('январь 2025'!$G$5:$G$2334,'январь 2025'!$D$5:$D$2334,$B70,'январь 2025'!$J$5:$J$2334,AF$1)</f>
        <v>0</v>
      </c>
      <c r="AG70" s="76">
        <f>SUMIFS('январь 2025'!$G$5:$G$2334,'январь 2025'!$D$5:$D$2334,$B70,'январь 2025'!$J$5:$J$2334,AG$1)</f>
        <v>0</v>
      </c>
      <c r="AH70" s="76">
        <f>SUMIFS('январь 2025'!$G$5:$G$2334,'январь 2025'!$D$5:$D$2334,$B70,'январь 2025'!$J$5:$J$2334,AH$1)</f>
        <v>0</v>
      </c>
      <c r="AI70" s="20">
        <f t="shared" si="1"/>
        <v>0</v>
      </c>
    </row>
    <row r="71" spans="2:35" ht="15" customHeight="1" x14ac:dyDescent="0.25">
      <c r="B71" s="88" t="s">
        <v>187</v>
      </c>
      <c r="C71" s="86">
        <v>200</v>
      </c>
      <c r="D71" s="76">
        <f>SUMIFS('январь 2025'!$G$5:$G$2334,'январь 2025'!$D$5:$D$2334,$B71,'январь 2025'!$J$5:$J$2334,D$1)</f>
        <v>0</v>
      </c>
      <c r="E71" s="76">
        <f>SUMIFS('январь 2025'!$G$5:$G$2334,'январь 2025'!$D$5:$D$2334,$B71,'январь 2025'!$J$5:$J$2334,E$1)</f>
        <v>0</v>
      </c>
      <c r="F71" s="76">
        <f>SUMIFS('январь 2025'!$G$5:$G$2334,'январь 2025'!$D$5:$D$2334,$B71,'январь 2025'!$J$5:$J$2334,F$1)</f>
        <v>0</v>
      </c>
      <c r="G71" s="76">
        <f>SUMIFS('январь 2025'!$G$5:$G$2334,'январь 2025'!$D$5:$D$2334,$B71,'январь 2025'!$J$5:$J$2334,G$1)</f>
        <v>0</v>
      </c>
      <c r="H71" s="76">
        <f>SUMIFS('январь 2025'!$G$5:$G$2334,'январь 2025'!$D$5:$D$2334,$B71,'январь 2025'!$J$5:$J$2334,H$1)</f>
        <v>0</v>
      </c>
      <c r="I71" s="76">
        <f>SUMIFS('январь 2025'!$G$5:$G$2334,'январь 2025'!$D$5:$D$2334,$B71,'январь 2025'!$J$5:$J$2334,I$1)</f>
        <v>0</v>
      </c>
      <c r="J71" s="76">
        <f>SUMIFS('январь 2025'!$G$5:$G$2334,'январь 2025'!$D$5:$D$2334,$B71,'январь 2025'!$J$5:$J$2334,J$1)</f>
        <v>0</v>
      </c>
      <c r="K71" s="76">
        <f>SUMIFS('январь 2025'!$G$5:$G$2334,'январь 2025'!$D$5:$D$2334,$B71,'январь 2025'!$J$5:$J$2334,K$1)</f>
        <v>0</v>
      </c>
      <c r="L71" s="76">
        <f>SUMIFS('январь 2025'!$G$5:$G$2334,'январь 2025'!$D$5:$D$2334,$B71,'январь 2025'!$J$5:$J$2334,L$1)</f>
        <v>0</v>
      </c>
      <c r="M71" s="76">
        <f>SUMIFS('январь 2025'!$G$5:$G$2334,'январь 2025'!$D$5:$D$2334,$B71,'январь 2025'!$J$5:$J$2334,M$1)</f>
        <v>0</v>
      </c>
      <c r="N71" s="76">
        <f>SUMIFS('январь 2025'!$G$5:$G$2334,'январь 2025'!$D$5:$D$2334,$B71,'январь 2025'!$J$5:$J$2334,N$1)</f>
        <v>0</v>
      </c>
      <c r="O71" s="76">
        <f>SUMIFS('январь 2025'!$G$5:$G$2334,'январь 2025'!$D$5:$D$2334,$B71,'январь 2025'!$J$5:$J$2334,O$1)</f>
        <v>0</v>
      </c>
      <c r="P71" s="76">
        <f>SUMIFS('январь 2025'!$G$5:$G$2334,'январь 2025'!$D$5:$D$2334,$B71,'январь 2025'!$J$5:$J$2334,P$1)</f>
        <v>0</v>
      </c>
      <c r="Q71" s="76">
        <f>SUMIFS('январь 2025'!$G$5:$G$2334,'январь 2025'!$D$5:$D$2334,$B71,'январь 2025'!$J$5:$J$2334,Q$1)</f>
        <v>0</v>
      </c>
      <c r="R71" s="76">
        <f>SUMIFS('январь 2025'!$G$5:$G$2334,'январь 2025'!$D$5:$D$2334,$B71,'январь 2025'!$J$5:$J$2334,R$1)</f>
        <v>0</v>
      </c>
      <c r="S71" s="76">
        <f>SUMIFS('январь 2025'!$G$5:$G$2334,'январь 2025'!$D$5:$D$2334,$B71,'январь 2025'!$J$5:$J$2334,S$1)</f>
        <v>0</v>
      </c>
      <c r="T71" s="76">
        <f>SUMIFS('январь 2025'!$G$5:$G$2334,'январь 2025'!$D$5:$D$2334,$B71,'январь 2025'!$J$5:$J$2334,T$1)</f>
        <v>0</v>
      </c>
      <c r="U71" s="76">
        <f>SUMIFS('январь 2025'!$G$5:$G$2334,'январь 2025'!$D$5:$D$2334,$B71,'январь 2025'!$J$5:$J$2334,U$1)</f>
        <v>0</v>
      </c>
      <c r="V71" s="76">
        <f>SUMIFS('январь 2025'!$G$5:$G$2334,'январь 2025'!$D$5:$D$2334,$B71,'январь 2025'!$J$5:$J$2334,V$1)</f>
        <v>0</v>
      </c>
      <c r="W71" s="76">
        <f>SUMIFS('январь 2025'!$G$5:$G$2334,'январь 2025'!$D$5:$D$2334,$B71,'январь 2025'!$J$5:$J$2334,W$1)</f>
        <v>0</v>
      </c>
      <c r="X71" s="76">
        <f>SUMIFS('январь 2025'!$G$5:$G$2334,'январь 2025'!$D$5:$D$2334,$B71,'январь 2025'!$J$5:$J$2334,X$1)</f>
        <v>0</v>
      </c>
      <c r="Y71" s="76">
        <f>SUMIFS('январь 2025'!$G$5:$G$2334,'январь 2025'!$D$5:$D$2334,$B71,'январь 2025'!$J$5:$J$2334,Y$1)</f>
        <v>0</v>
      </c>
      <c r="Z71" s="76">
        <f>SUMIFS('январь 2025'!$G$5:$G$2334,'январь 2025'!$D$5:$D$2334,$B71,'январь 2025'!$J$5:$J$2334,Z$1)</f>
        <v>0</v>
      </c>
      <c r="AA71" s="76">
        <f>SUMIFS('январь 2025'!$G$5:$G$2334,'январь 2025'!$D$5:$D$2334,$B71,'январь 2025'!$J$5:$J$2334,AA$1)</f>
        <v>0</v>
      </c>
      <c r="AB71" s="76">
        <f>SUMIFS('январь 2025'!$G$5:$G$2334,'январь 2025'!$D$5:$D$2334,$B71,'январь 2025'!$J$5:$J$2334,AB$1)</f>
        <v>0</v>
      </c>
      <c r="AC71" s="76">
        <f>SUMIFS('январь 2025'!$G$5:$G$2334,'январь 2025'!$D$5:$D$2334,$B71,'январь 2025'!$J$5:$J$2334,AC$1)</f>
        <v>0</v>
      </c>
      <c r="AD71" s="76">
        <f>SUMIFS('январь 2025'!$G$5:$G$2334,'январь 2025'!$D$5:$D$2334,$B71,'январь 2025'!$J$5:$J$2334,AD$1)</f>
        <v>0</v>
      </c>
      <c r="AE71" s="76">
        <f>SUMIFS('январь 2025'!$G$5:$G$2334,'январь 2025'!$D$5:$D$2334,$B71,'январь 2025'!$J$5:$J$2334,AE$1)</f>
        <v>0</v>
      </c>
      <c r="AF71" s="76">
        <f>SUMIFS('январь 2025'!$G$5:$G$2334,'январь 2025'!$D$5:$D$2334,$B71,'январь 2025'!$J$5:$J$2334,AF$1)</f>
        <v>0</v>
      </c>
      <c r="AG71" s="76">
        <f>SUMIFS('январь 2025'!$G$5:$G$2334,'январь 2025'!$D$5:$D$2334,$B71,'январь 2025'!$J$5:$J$2334,AG$1)</f>
        <v>0</v>
      </c>
      <c r="AH71" s="76">
        <f>SUMIFS('январь 2025'!$G$5:$G$2334,'январь 2025'!$D$5:$D$2334,$B71,'январь 2025'!$J$5:$J$2334,AH$1)</f>
        <v>0</v>
      </c>
      <c r="AI71" s="20">
        <f t="shared" si="1"/>
        <v>0</v>
      </c>
    </row>
    <row r="72" spans="2:35" ht="15" customHeight="1" x14ac:dyDescent="0.25">
      <c r="B72" s="88" t="s">
        <v>188</v>
      </c>
      <c r="C72" s="86">
        <v>200</v>
      </c>
      <c r="D72" s="76">
        <f>SUMIFS('январь 2025'!$G$5:$G$2334,'январь 2025'!$D$5:$D$2334,$B72,'январь 2025'!$J$5:$J$2334,D$1)</f>
        <v>0</v>
      </c>
      <c r="E72" s="76">
        <f>SUMIFS('январь 2025'!$G$5:$G$2334,'январь 2025'!$D$5:$D$2334,$B72,'январь 2025'!$J$5:$J$2334,E$1)</f>
        <v>0</v>
      </c>
      <c r="F72" s="76">
        <f>SUMIFS('январь 2025'!$G$5:$G$2334,'январь 2025'!$D$5:$D$2334,$B72,'январь 2025'!$J$5:$J$2334,F$1)</f>
        <v>0</v>
      </c>
      <c r="G72" s="76">
        <f>SUMIFS('январь 2025'!$G$5:$G$2334,'январь 2025'!$D$5:$D$2334,$B72,'январь 2025'!$J$5:$J$2334,G$1)</f>
        <v>0</v>
      </c>
      <c r="H72" s="76">
        <f>SUMIFS('январь 2025'!$G$5:$G$2334,'январь 2025'!$D$5:$D$2334,$B72,'январь 2025'!$J$5:$J$2334,H$1)</f>
        <v>0</v>
      </c>
      <c r="I72" s="76">
        <f>SUMIFS('январь 2025'!$G$5:$G$2334,'январь 2025'!$D$5:$D$2334,$B72,'январь 2025'!$J$5:$J$2334,I$1)</f>
        <v>0</v>
      </c>
      <c r="J72" s="76">
        <f>SUMIFS('январь 2025'!$G$5:$G$2334,'январь 2025'!$D$5:$D$2334,$B72,'январь 2025'!$J$5:$J$2334,J$1)</f>
        <v>0</v>
      </c>
      <c r="K72" s="76">
        <f>SUMIFS('январь 2025'!$G$5:$G$2334,'январь 2025'!$D$5:$D$2334,$B72,'январь 2025'!$J$5:$J$2334,K$1)</f>
        <v>0</v>
      </c>
      <c r="L72" s="76">
        <f>SUMIFS('январь 2025'!$G$5:$G$2334,'январь 2025'!$D$5:$D$2334,$B72,'январь 2025'!$J$5:$J$2334,L$1)</f>
        <v>0</v>
      </c>
      <c r="M72" s="76">
        <f>SUMIFS('январь 2025'!$G$5:$G$2334,'январь 2025'!$D$5:$D$2334,$B72,'январь 2025'!$J$5:$J$2334,M$1)</f>
        <v>0</v>
      </c>
      <c r="N72" s="76">
        <f>SUMIFS('январь 2025'!$G$5:$G$2334,'январь 2025'!$D$5:$D$2334,$B72,'январь 2025'!$J$5:$J$2334,N$1)</f>
        <v>0</v>
      </c>
      <c r="O72" s="76">
        <f>SUMIFS('январь 2025'!$G$5:$G$2334,'январь 2025'!$D$5:$D$2334,$B72,'январь 2025'!$J$5:$J$2334,O$1)</f>
        <v>0</v>
      </c>
      <c r="P72" s="76">
        <f>SUMIFS('январь 2025'!$G$5:$G$2334,'январь 2025'!$D$5:$D$2334,$B72,'январь 2025'!$J$5:$J$2334,P$1)</f>
        <v>0</v>
      </c>
      <c r="Q72" s="76">
        <f>SUMIFS('январь 2025'!$G$5:$G$2334,'январь 2025'!$D$5:$D$2334,$B72,'январь 2025'!$J$5:$J$2334,Q$1)</f>
        <v>0</v>
      </c>
      <c r="R72" s="76">
        <f>SUMIFS('январь 2025'!$G$5:$G$2334,'январь 2025'!$D$5:$D$2334,$B72,'январь 2025'!$J$5:$J$2334,R$1)</f>
        <v>0</v>
      </c>
      <c r="S72" s="76">
        <f>SUMIFS('январь 2025'!$G$5:$G$2334,'январь 2025'!$D$5:$D$2334,$B72,'январь 2025'!$J$5:$J$2334,S$1)</f>
        <v>0</v>
      </c>
      <c r="T72" s="76">
        <f>SUMIFS('январь 2025'!$G$5:$G$2334,'январь 2025'!$D$5:$D$2334,$B72,'январь 2025'!$J$5:$J$2334,T$1)</f>
        <v>0</v>
      </c>
      <c r="U72" s="76">
        <f>SUMIFS('январь 2025'!$G$5:$G$2334,'январь 2025'!$D$5:$D$2334,$B72,'январь 2025'!$J$5:$J$2334,U$1)</f>
        <v>0</v>
      </c>
      <c r="V72" s="76">
        <f>SUMIFS('январь 2025'!$G$5:$G$2334,'январь 2025'!$D$5:$D$2334,$B72,'январь 2025'!$J$5:$J$2334,V$1)</f>
        <v>0</v>
      </c>
      <c r="W72" s="76">
        <f>SUMIFS('январь 2025'!$G$5:$G$2334,'январь 2025'!$D$5:$D$2334,$B72,'январь 2025'!$J$5:$J$2334,W$1)</f>
        <v>0</v>
      </c>
      <c r="X72" s="76">
        <f>SUMIFS('январь 2025'!$G$5:$G$2334,'январь 2025'!$D$5:$D$2334,$B72,'январь 2025'!$J$5:$J$2334,X$1)</f>
        <v>0</v>
      </c>
      <c r="Y72" s="76">
        <f>SUMIFS('январь 2025'!$G$5:$G$2334,'январь 2025'!$D$5:$D$2334,$B72,'январь 2025'!$J$5:$J$2334,Y$1)</f>
        <v>0</v>
      </c>
      <c r="Z72" s="76">
        <f>SUMIFS('январь 2025'!$G$5:$G$2334,'январь 2025'!$D$5:$D$2334,$B72,'январь 2025'!$J$5:$J$2334,Z$1)</f>
        <v>0</v>
      </c>
      <c r="AA72" s="76">
        <f>SUMIFS('январь 2025'!$G$5:$G$2334,'январь 2025'!$D$5:$D$2334,$B72,'январь 2025'!$J$5:$J$2334,AA$1)</f>
        <v>0</v>
      </c>
      <c r="AB72" s="76">
        <f>SUMIFS('январь 2025'!$G$5:$G$2334,'январь 2025'!$D$5:$D$2334,$B72,'январь 2025'!$J$5:$J$2334,AB$1)</f>
        <v>0</v>
      </c>
      <c r="AC72" s="76">
        <f>SUMIFS('январь 2025'!$G$5:$G$2334,'январь 2025'!$D$5:$D$2334,$B72,'январь 2025'!$J$5:$J$2334,AC$1)</f>
        <v>0</v>
      </c>
      <c r="AD72" s="76">
        <f>SUMIFS('январь 2025'!$G$5:$G$2334,'январь 2025'!$D$5:$D$2334,$B72,'январь 2025'!$J$5:$J$2334,AD$1)</f>
        <v>0</v>
      </c>
      <c r="AE72" s="76">
        <f>SUMIFS('январь 2025'!$G$5:$G$2334,'январь 2025'!$D$5:$D$2334,$B72,'январь 2025'!$J$5:$J$2334,AE$1)</f>
        <v>0</v>
      </c>
      <c r="AF72" s="76">
        <f>SUMIFS('январь 2025'!$G$5:$G$2334,'январь 2025'!$D$5:$D$2334,$B72,'январь 2025'!$J$5:$J$2334,AF$1)</f>
        <v>0</v>
      </c>
      <c r="AG72" s="76">
        <f>SUMIFS('январь 2025'!$G$5:$G$2334,'январь 2025'!$D$5:$D$2334,$B72,'январь 2025'!$J$5:$J$2334,AG$1)</f>
        <v>0</v>
      </c>
      <c r="AH72" s="76">
        <f>SUMIFS('январь 2025'!$G$5:$G$2334,'январь 2025'!$D$5:$D$2334,$B72,'январь 2025'!$J$5:$J$2334,AH$1)</f>
        <v>0</v>
      </c>
      <c r="AI72" s="20">
        <f t="shared" si="1"/>
        <v>0</v>
      </c>
    </row>
    <row r="73" spans="2:35" ht="15" customHeight="1" x14ac:dyDescent="0.25">
      <c r="B73" s="88" t="s">
        <v>256</v>
      </c>
      <c r="C73" s="86">
        <v>190</v>
      </c>
      <c r="D73" s="76">
        <f>SUMIFS('январь 2025'!$G$5:$G$2334,'январь 2025'!$D$5:$D$2334,$B73,'январь 2025'!$J$5:$J$2334,D$1)</f>
        <v>0</v>
      </c>
      <c r="E73" s="76">
        <f>SUMIFS('январь 2025'!$G$5:$G$2334,'январь 2025'!$D$5:$D$2334,$B73,'январь 2025'!$J$5:$J$2334,E$1)</f>
        <v>0</v>
      </c>
      <c r="F73" s="76">
        <f>SUMIFS('январь 2025'!$G$5:$G$2334,'январь 2025'!$D$5:$D$2334,$B73,'январь 2025'!$J$5:$J$2334,F$1)</f>
        <v>0</v>
      </c>
      <c r="G73" s="76">
        <f>SUMIFS('январь 2025'!$G$5:$G$2334,'январь 2025'!$D$5:$D$2334,$B73,'январь 2025'!$J$5:$J$2334,G$1)</f>
        <v>0</v>
      </c>
      <c r="H73" s="76">
        <f>SUMIFS('январь 2025'!$G$5:$G$2334,'январь 2025'!$D$5:$D$2334,$B73,'январь 2025'!$J$5:$J$2334,H$1)</f>
        <v>0</v>
      </c>
      <c r="I73" s="76">
        <f>SUMIFS('январь 2025'!$G$5:$G$2334,'январь 2025'!$D$5:$D$2334,$B73,'январь 2025'!$J$5:$J$2334,I$1)</f>
        <v>0</v>
      </c>
      <c r="J73" s="76">
        <f>SUMIFS('январь 2025'!$G$5:$G$2334,'январь 2025'!$D$5:$D$2334,$B73,'январь 2025'!$J$5:$J$2334,J$1)</f>
        <v>0</v>
      </c>
      <c r="K73" s="76">
        <f>SUMIFS('январь 2025'!$G$5:$G$2334,'январь 2025'!$D$5:$D$2334,$B73,'январь 2025'!$J$5:$J$2334,K$1)</f>
        <v>0</v>
      </c>
      <c r="L73" s="76">
        <f>SUMIFS('январь 2025'!$G$5:$G$2334,'январь 2025'!$D$5:$D$2334,$B73,'январь 2025'!$J$5:$J$2334,L$1)</f>
        <v>0</v>
      </c>
      <c r="M73" s="76">
        <f>SUMIFS('январь 2025'!$G$5:$G$2334,'январь 2025'!$D$5:$D$2334,$B73,'январь 2025'!$J$5:$J$2334,M$1)</f>
        <v>0</v>
      </c>
      <c r="N73" s="76">
        <f>SUMIFS('январь 2025'!$G$5:$G$2334,'январь 2025'!$D$5:$D$2334,$B73,'январь 2025'!$J$5:$J$2334,N$1)</f>
        <v>0</v>
      </c>
      <c r="O73" s="76">
        <f>SUMIFS('январь 2025'!$G$5:$G$2334,'январь 2025'!$D$5:$D$2334,$B73,'январь 2025'!$J$5:$J$2334,O$1)</f>
        <v>0</v>
      </c>
      <c r="P73" s="76">
        <f>SUMIFS('январь 2025'!$G$5:$G$2334,'январь 2025'!$D$5:$D$2334,$B73,'январь 2025'!$J$5:$J$2334,P$1)</f>
        <v>0</v>
      </c>
      <c r="Q73" s="76">
        <f>SUMIFS('январь 2025'!$G$5:$G$2334,'январь 2025'!$D$5:$D$2334,$B73,'январь 2025'!$J$5:$J$2334,Q$1)</f>
        <v>0</v>
      </c>
      <c r="R73" s="76">
        <f>SUMIFS('январь 2025'!$G$5:$G$2334,'январь 2025'!$D$5:$D$2334,$B73,'январь 2025'!$J$5:$J$2334,R$1)</f>
        <v>0</v>
      </c>
      <c r="S73" s="76">
        <f>SUMIFS('январь 2025'!$G$5:$G$2334,'январь 2025'!$D$5:$D$2334,$B73,'январь 2025'!$J$5:$J$2334,S$1)</f>
        <v>0</v>
      </c>
      <c r="T73" s="76">
        <f>SUMIFS('январь 2025'!$G$5:$G$2334,'январь 2025'!$D$5:$D$2334,$B73,'январь 2025'!$J$5:$J$2334,T$1)</f>
        <v>0</v>
      </c>
      <c r="U73" s="76">
        <f>SUMIFS('январь 2025'!$G$5:$G$2334,'январь 2025'!$D$5:$D$2334,$B73,'январь 2025'!$J$5:$J$2334,U$1)</f>
        <v>0</v>
      </c>
      <c r="V73" s="76">
        <f>SUMIFS('январь 2025'!$G$5:$G$2334,'январь 2025'!$D$5:$D$2334,$B73,'январь 2025'!$J$5:$J$2334,V$1)</f>
        <v>0</v>
      </c>
      <c r="W73" s="76">
        <f>SUMIFS('январь 2025'!$G$5:$G$2334,'январь 2025'!$D$5:$D$2334,$B73,'январь 2025'!$J$5:$J$2334,W$1)</f>
        <v>0</v>
      </c>
      <c r="X73" s="76">
        <f>SUMIFS('январь 2025'!$G$5:$G$2334,'январь 2025'!$D$5:$D$2334,$B73,'январь 2025'!$J$5:$J$2334,X$1)</f>
        <v>0</v>
      </c>
      <c r="Y73" s="76">
        <f>SUMIFS('январь 2025'!$G$5:$G$2334,'январь 2025'!$D$5:$D$2334,$B73,'январь 2025'!$J$5:$J$2334,Y$1)</f>
        <v>0</v>
      </c>
      <c r="Z73" s="76">
        <f>SUMIFS('январь 2025'!$G$5:$G$2334,'январь 2025'!$D$5:$D$2334,$B73,'январь 2025'!$J$5:$J$2334,Z$1)</f>
        <v>0</v>
      </c>
      <c r="AA73" s="76">
        <f>SUMIFS('январь 2025'!$G$5:$G$2334,'январь 2025'!$D$5:$D$2334,$B73,'январь 2025'!$J$5:$J$2334,AA$1)</f>
        <v>0</v>
      </c>
      <c r="AB73" s="76">
        <f>SUMIFS('январь 2025'!$G$5:$G$2334,'январь 2025'!$D$5:$D$2334,$B73,'январь 2025'!$J$5:$J$2334,AB$1)</f>
        <v>0</v>
      </c>
      <c r="AC73" s="76">
        <f>SUMIFS('январь 2025'!$G$5:$G$2334,'январь 2025'!$D$5:$D$2334,$B73,'январь 2025'!$J$5:$J$2334,AC$1)</f>
        <v>0</v>
      </c>
      <c r="AD73" s="76">
        <f>SUMIFS('январь 2025'!$G$5:$G$2334,'январь 2025'!$D$5:$D$2334,$B73,'январь 2025'!$J$5:$J$2334,AD$1)</f>
        <v>0</v>
      </c>
      <c r="AE73" s="76">
        <f>SUMIFS('январь 2025'!$G$5:$G$2334,'январь 2025'!$D$5:$D$2334,$B73,'январь 2025'!$J$5:$J$2334,AE$1)</f>
        <v>0</v>
      </c>
      <c r="AF73" s="76">
        <f>SUMIFS('январь 2025'!$G$5:$G$2334,'январь 2025'!$D$5:$D$2334,$B73,'январь 2025'!$J$5:$J$2334,AF$1)</f>
        <v>0</v>
      </c>
      <c r="AG73" s="76">
        <f>SUMIFS('январь 2025'!$G$5:$G$2334,'январь 2025'!$D$5:$D$2334,$B73,'январь 2025'!$J$5:$J$2334,AG$1)</f>
        <v>0</v>
      </c>
      <c r="AH73" s="76">
        <f>SUMIFS('январь 2025'!$G$5:$G$2334,'январь 2025'!$D$5:$D$2334,$B73,'январь 2025'!$J$5:$J$2334,AH$1)</f>
        <v>0</v>
      </c>
      <c r="AI73" s="20">
        <f t="shared" si="1"/>
        <v>0</v>
      </c>
    </row>
    <row r="74" spans="2:35" ht="15" customHeight="1" x14ac:dyDescent="0.25">
      <c r="B74" s="88" t="s">
        <v>199</v>
      </c>
      <c r="C74" s="86">
        <v>200</v>
      </c>
      <c r="D74" s="76">
        <f>SUMIFS('январь 2025'!$G$5:$G$2334,'январь 2025'!$D$5:$D$2334,$B74,'январь 2025'!$J$5:$J$2334,D$1)</f>
        <v>0</v>
      </c>
      <c r="E74" s="76">
        <f>SUMIFS('январь 2025'!$G$5:$G$2334,'январь 2025'!$D$5:$D$2334,$B74,'январь 2025'!$J$5:$J$2334,E$1)</f>
        <v>0</v>
      </c>
      <c r="F74" s="76">
        <f>SUMIFS('январь 2025'!$G$5:$G$2334,'январь 2025'!$D$5:$D$2334,$B74,'январь 2025'!$J$5:$J$2334,F$1)</f>
        <v>0</v>
      </c>
      <c r="G74" s="76">
        <f>SUMIFS('январь 2025'!$G$5:$G$2334,'январь 2025'!$D$5:$D$2334,$B74,'январь 2025'!$J$5:$J$2334,G$1)</f>
        <v>0</v>
      </c>
      <c r="H74" s="76">
        <f>SUMIFS('январь 2025'!$G$5:$G$2334,'январь 2025'!$D$5:$D$2334,$B74,'январь 2025'!$J$5:$J$2334,H$1)</f>
        <v>0</v>
      </c>
      <c r="I74" s="76">
        <f>SUMIFS('январь 2025'!$G$5:$G$2334,'январь 2025'!$D$5:$D$2334,$B74,'январь 2025'!$J$5:$J$2334,I$1)</f>
        <v>0</v>
      </c>
      <c r="J74" s="76">
        <f>SUMIFS('январь 2025'!$G$5:$G$2334,'январь 2025'!$D$5:$D$2334,$B74,'январь 2025'!$J$5:$J$2334,J$1)</f>
        <v>0</v>
      </c>
      <c r="K74" s="76">
        <f>SUMIFS('январь 2025'!$G$5:$G$2334,'январь 2025'!$D$5:$D$2334,$B74,'январь 2025'!$J$5:$J$2334,K$1)</f>
        <v>0</v>
      </c>
      <c r="L74" s="76">
        <f>SUMIFS('январь 2025'!$G$5:$G$2334,'январь 2025'!$D$5:$D$2334,$B74,'январь 2025'!$J$5:$J$2334,L$1)</f>
        <v>0</v>
      </c>
      <c r="M74" s="76">
        <f>SUMIFS('январь 2025'!$G$5:$G$2334,'январь 2025'!$D$5:$D$2334,$B74,'январь 2025'!$J$5:$J$2334,M$1)</f>
        <v>0</v>
      </c>
      <c r="N74" s="76">
        <f>SUMIFS('январь 2025'!$G$5:$G$2334,'январь 2025'!$D$5:$D$2334,$B74,'январь 2025'!$J$5:$J$2334,N$1)</f>
        <v>0</v>
      </c>
      <c r="O74" s="76">
        <f>SUMIFS('январь 2025'!$G$5:$G$2334,'январь 2025'!$D$5:$D$2334,$B74,'январь 2025'!$J$5:$J$2334,O$1)</f>
        <v>0</v>
      </c>
      <c r="P74" s="76">
        <f>SUMIFS('январь 2025'!$G$5:$G$2334,'январь 2025'!$D$5:$D$2334,$B74,'январь 2025'!$J$5:$J$2334,P$1)</f>
        <v>0</v>
      </c>
      <c r="Q74" s="76">
        <f>SUMIFS('январь 2025'!$G$5:$G$2334,'январь 2025'!$D$5:$D$2334,$B74,'январь 2025'!$J$5:$J$2334,Q$1)</f>
        <v>0</v>
      </c>
      <c r="R74" s="76">
        <f>SUMIFS('январь 2025'!$G$5:$G$2334,'январь 2025'!$D$5:$D$2334,$B74,'январь 2025'!$J$5:$J$2334,R$1)</f>
        <v>0</v>
      </c>
      <c r="S74" s="76">
        <f>SUMIFS('январь 2025'!$G$5:$G$2334,'январь 2025'!$D$5:$D$2334,$B74,'январь 2025'!$J$5:$J$2334,S$1)</f>
        <v>0</v>
      </c>
      <c r="T74" s="76">
        <f>SUMIFS('январь 2025'!$G$5:$G$2334,'январь 2025'!$D$5:$D$2334,$B74,'январь 2025'!$J$5:$J$2334,T$1)</f>
        <v>0</v>
      </c>
      <c r="U74" s="76">
        <f>SUMIFS('январь 2025'!$G$5:$G$2334,'январь 2025'!$D$5:$D$2334,$B74,'январь 2025'!$J$5:$J$2334,U$1)</f>
        <v>0</v>
      </c>
      <c r="V74" s="76">
        <f>SUMIFS('январь 2025'!$G$5:$G$2334,'январь 2025'!$D$5:$D$2334,$B74,'январь 2025'!$J$5:$J$2334,V$1)</f>
        <v>0</v>
      </c>
      <c r="W74" s="76">
        <f>SUMIFS('январь 2025'!$G$5:$G$2334,'январь 2025'!$D$5:$D$2334,$B74,'январь 2025'!$J$5:$J$2334,W$1)</f>
        <v>0</v>
      </c>
      <c r="X74" s="76">
        <f>SUMIFS('январь 2025'!$G$5:$G$2334,'январь 2025'!$D$5:$D$2334,$B74,'январь 2025'!$J$5:$J$2334,X$1)</f>
        <v>0</v>
      </c>
      <c r="Y74" s="76">
        <f>SUMIFS('январь 2025'!$G$5:$G$2334,'январь 2025'!$D$5:$D$2334,$B74,'январь 2025'!$J$5:$J$2334,Y$1)</f>
        <v>0</v>
      </c>
      <c r="Z74" s="76">
        <f>SUMIFS('январь 2025'!$G$5:$G$2334,'январь 2025'!$D$5:$D$2334,$B74,'январь 2025'!$J$5:$J$2334,Z$1)</f>
        <v>0</v>
      </c>
      <c r="AA74" s="76">
        <f>SUMIFS('январь 2025'!$G$5:$G$2334,'январь 2025'!$D$5:$D$2334,$B74,'январь 2025'!$J$5:$J$2334,AA$1)</f>
        <v>0</v>
      </c>
      <c r="AB74" s="76">
        <f>SUMIFS('январь 2025'!$G$5:$G$2334,'январь 2025'!$D$5:$D$2334,$B74,'январь 2025'!$J$5:$J$2334,AB$1)</f>
        <v>0</v>
      </c>
      <c r="AC74" s="76">
        <f>SUMIFS('январь 2025'!$G$5:$G$2334,'январь 2025'!$D$5:$D$2334,$B74,'январь 2025'!$J$5:$J$2334,AC$1)</f>
        <v>0</v>
      </c>
      <c r="AD74" s="76">
        <f>SUMIFS('январь 2025'!$G$5:$G$2334,'январь 2025'!$D$5:$D$2334,$B74,'январь 2025'!$J$5:$J$2334,AD$1)</f>
        <v>0</v>
      </c>
      <c r="AE74" s="76">
        <f>SUMIFS('январь 2025'!$G$5:$G$2334,'январь 2025'!$D$5:$D$2334,$B74,'январь 2025'!$J$5:$J$2334,AE$1)</f>
        <v>0</v>
      </c>
      <c r="AF74" s="76">
        <f>SUMIFS('январь 2025'!$G$5:$G$2334,'январь 2025'!$D$5:$D$2334,$B74,'январь 2025'!$J$5:$J$2334,AF$1)</f>
        <v>0</v>
      </c>
      <c r="AG74" s="76">
        <f>SUMIFS('январь 2025'!$G$5:$G$2334,'январь 2025'!$D$5:$D$2334,$B74,'январь 2025'!$J$5:$J$2334,AG$1)</f>
        <v>0</v>
      </c>
      <c r="AH74" s="76">
        <f>SUMIFS('январь 2025'!$G$5:$G$2334,'январь 2025'!$D$5:$D$2334,$B74,'январь 2025'!$J$5:$J$2334,AH$1)</f>
        <v>0</v>
      </c>
      <c r="AI74" s="20">
        <f t="shared" si="1"/>
        <v>0</v>
      </c>
    </row>
    <row r="75" spans="2:35" ht="15" customHeight="1" x14ac:dyDescent="0.25">
      <c r="B75" s="88" t="s">
        <v>206</v>
      </c>
      <c r="C75" s="86">
        <v>25</v>
      </c>
      <c r="D75" s="76">
        <f>SUMIFS('январь 2025'!$G$5:$G$2334,'январь 2025'!$D$5:$D$2334,$B75,'январь 2025'!$J$5:$J$2334,D$1)</f>
        <v>0</v>
      </c>
      <c r="E75" s="76">
        <f>SUMIFS('январь 2025'!$G$5:$G$2334,'январь 2025'!$D$5:$D$2334,$B75,'январь 2025'!$J$5:$J$2334,E$1)</f>
        <v>0</v>
      </c>
      <c r="F75" s="76">
        <f>SUMIFS('январь 2025'!$G$5:$G$2334,'январь 2025'!$D$5:$D$2334,$B75,'январь 2025'!$J$5:$J$2334,F$1)</f>
        <v>0</v>
      </c>
      <c r="G75" s="76">
        <f>SUMIFS('январь 2025'!$G$5:$G$2334,'январь 2025'!$D$5:$D$2334,$B75,'январь 2025'!$J$5:$J$2334,G$1)</f>
        <v>0</v>
      </c>
      <c r="H75" s="76">
        <f>SUMIFS('январь 2025'!$G$5:$G$2334,'январь 2025'!$D$5:$D$2334,$B75,'январь 2025'!$J$5:$J$2334,H$1)</f>
        <v>0</v>
      </c>
      <c r="I75" s="76">
        <f>SUMIFS('январь 2025'!$G$5:$G$2334,'январь 2025'!$D$5:$D$2334,$B75,'январь 2025'!$J$5:$J$2334,I$1)</f>
        <v>0</v>
      </c>
      <c r="J75" s="76">
        <f>SUMIFS('январь 2025'!$G$5:$G$2334,'январь 2025'!$D$5:$D$2334,$B75,'январь 2025'!$J$5:$J$2334,J$1)</f>
        <v>0</v>
      </c>
      <c r="K75" s="76">
        <f>SUMIFS('январь 2025'!$G$5:$G$2334,'январь 2025'!$D$5:$D$2334,$B75,'январь 2025'!$J$5:$J$2334,K$1)</f>
        <v>0</v>
      </c>
      <c r="L75" s="76">
        <f>SUMIFS('январь 2025'!$G$5:$G$2334,'январь 2025'!$D$5:$D$2334,$B75,'январь 2025'!$J$5:$J$2334,L$1)</f>
        <v>0</v>
      </c>
      <c r="M75" s="76">
        <f>SUMIFS('январь 2025'!$G$5:$G$2334,'январь 2025'!$D$5:$D$2334,$B75,'январь 2025'!$J$5:$J$2334,M$1)</f>
        <v>0</v>
      </c>
      <c r="N75" s="76">
        <f>SUMIFS('январь 2025'!$G$5:$G$2334,'январь 2025'!$D$5:$D$2334,$B75,'январь 2025'!$J$5:$J$2334,N$1)</f>
        <v>0</v>
      </c>
      <c r="O75" s="76">
        <f>SUMIFS('январь 2025'!$G$5:$G$2334,'январь 2025'!$D$5:$D$2334,$B75,'январь 2025'!$J$5:$J$2334,O$1)</f>
        <v>0</v>
      </c>
      <c r="P75" s="76">
        <f>SUMIFS('январь 2025'!$G$5:$G$2334,'январь 2025'!$D$5:$D$2334,$B75,'январь 2025'!$J$5:$J$2334,P$1)</f>
        <v>0</v>
      </c>
      <c r="Q75" s="76">
        <f>SUMIFS('январь 2025'!$G$5:$G$2334,'январь 2025'!$D$5:$D$2334,$B75,'январь 2025'!$J$5:$J$2334,Q$1)</f>
        <v>0</v>
      </c>
      <c r="R75" s="76">
        <f>SUMIFS('январь 2025'!$G$5:$G$2334,'январь 2025'!$D$5:$D$2334,$B75,'январь 2025'!$J$5:$J$2334,R$1)</f>
        <v>0</v>
      </c>
      <c r="S75" s="76">
        <f>SUMIFS('январь 2025'!$G$5:$G$2334,'январь 2025'!$D$5:$D$2334,$B75,'январь 2025'!$J$5:$J$2334,S$1)</f>
        <v>0</v>
      </c>
      <c r="T75" s="76">
        <f>SUMIFS('январь 2025'!$G$5:$G$2334,'январь 2025'!$D$5:$D$2334,$B75,'январь 2025'!$J$5:$J$2334,T$1)</f>
        <v>0</v>
      </c>
      <c r="U75" s="76">
        <f>SUMIFS('январь 2025'!$G$5:$G$2334,'январь 2025'!$D$5:$D$2334,$B75,'январь 2025'!$J$5:$J$2334,U$1)</f>
        <v>0</v>
      </c>
      <c r="V75" s="76">
        <f>SUMIFS('январь 2025'!$G$5:$G$2334,'январь 2025'!$D$5:$D$2334,$B75,'январь 2025'!$J$5:$J$2334,V$1)</f>
        <v>0</v>
      </c>
      <c r="W75" s="76">
        <f>SUMIFS('январь 2025'!$G$5:$G$2334,'январь 2025'!$D$5:$D$2334,$B75,'январь 2025'!$J$5:$J$2334,W$1)</f>
        <v>0</v>
      </c>
      <c r="X75" s="76">
        <f>SUMIFS('январь 2025'!$G$5:$G$2334,'январь 2025'!$D$5:$D$2334,$B75,'январь 2025'!$J$5:$J$2334,X$1)</f>
        <v>0</v>
      </c>
      <c r="Y75" s="76">
        <f>SUMIFS('январь 2025'!$G$5:$G$2334,'январь 2025'!$D$5:$D$2334,$B75,'январь 2025'!$J$5:$J$2334,Y$1)</f>
        <v>0</v>
      </c>
      <c r="Z75" s="76">
        <f>SUMIFS('январь 2025'!$G$5:$G$2334,'январь 2025'!$D$5:$D$2334,$B75,'январь 2025'!$J$5:$J$2334,Z$1)</f>
        <v>0</v>
      </c>
      <c r="AA75" s="76">
        <f>SUMIFS('январь 2025'!$G$5:$G$2334,'январь 2025'!$D$5:$D$2334,$B75,'январь 2025'!$J$5:$J$2334,AA$1)</f>
        <v>0</v>
      </c>
      <c r="AB75" s="76">
        <f>SUMIFS('январь 2025'!$G$5:$G$2334,'январь 2025'!$D$5:$D$2334,$B75,'январь 2025'!$J$5:$J$2334,AB$1)</f>
        <v>0</v>
      </c>
      <c r="AC75" s="76">
        <f>SUMIFS('январь 2025'!$G$5:$G$2334,'январь 2025'!$D$5:$D$2334,$B75,'январь 2025'!$J$5:$J$2334,AC$1)</f>
        <v>0</v>
      </c>
      <c r="AD75" s="76">
        <f>SUMIFS('январь 2025'!$G$5:$G$2334,'январь 2025'!$D$5:$D$2334,$B75,'январь 2025'!$J$5:$J$2334,AD$1)</f>
        <v>0</v>
      </c>
      <c r="AE75" s="76">
        <f>SUMIFS('январь 2025'!$G$5:$G$2334,'январь 2025'!$D$5:$D$2334,$B75,'январь 2025'!$J$5:$J$2334,AE$1)</f>
        <v>0</v>
      </c>
      <c r="AF75" s="76">
        <f>SUMIFS('январь 2025'!$G$5:$G$2334,'январь 2025'!$D$5:$D$2334,$B75,'январь 2025'!$J$5:$J$2334,AF$1)</f>
        <v>0</v>
      </c>
      <c r="AG75" s="76">
        <f>SUMIFS('январь 2025'!$G$5:$G$2334,'январь 2025'!$D$5:$D$2334,$B75,'январь 2025'!$J$5:$J$2334,AG$1)</f>
        <v>0</v>
      </c>
      <c r="AH75" s="76">
        <f>SUMIFS('январь 2025'!$G$5:$G$2334,'январь 2025'!$D$5:$D$2334,$B75,'январь 2025'!$J$5:$J$2334,AH$1)</f>
        <v>0</v>
      </c>
      <c r="AI75" s="20">
        <f t="shared" si="1"/>
        <v>0</v>
      </c>
    </row>
    <row r="76" spans="2:35" ht="15" customHeight="1" x14ac:dyDescent="0.25">
      <c r="B76" s="88" t="s">
        <v>178</v>
      </c>
      <c r="C76" s="86">
        <v>50</v>
      </c>
      <c r="D76" s="76">
        <f>SUMIFS('январь 2025'!$G$5:$G$2334,'январь 2025'!$D$5:$D$2334,$B76,'январь 2025'!$J$5:$J$2334,D$1)</f>
        <v>0</v>
      </c>
      <c r="E76" s="76">
        <f>SUMIFS('январь 2025'!$G$5:$G$2334,'январь 2025'!$D$5:$D$2334,$B76,'январь 2025'!$J$5:$J$2334,E$1)</f>
        <v>0</v>
      </c>
      <c r="F76" s="76">
        <f>SUMIFS('январь 2025'!$G$5:$G$2334,'январь 2025'!$D$5:$D$2334,$B76,'январь 2025'!$J$5:$J$2334,F$1)</f>
        <v>0</v>
      </c>
      <c r="G76" s="76">
        <f>SUMIFS('январь 2025'!$G$5:$G$2334,'январь 2025'!$D$5:$D$2334,$B76,'январь 2025'!$J$5:$J$2334,G$1)</f>
        <v>0</v>
      </c>
      <c r="H76" s="76">
        <f>SUMIFS('январь 2025'!$G$5:$G$2334,'январь 2025'!$D$5:$D$2334,$B76,'январь 2025'!$J$5:$J$2334,H$1)</f>
        <v>0</v>
      </c>
      <c r="I76" s="76">
        <f>SUMIFS('январь 2025'!$G$5:$G$2334,'январь 2025'!$D$5:$D$2334,$B76,'январь 2025'!$J$5:$J$2334,I$1)</f>
        <v>0</v>
      </c>
      <c r="J76" s="76">
        <f>SUMIFS('январь 2025'!$G$5:$G$2334,'январь 2025'!$D$5:$D$2334,$B76,'январь 2025'!$J$5:$J$2334,J$1)</f>
        <v>0</v>
      </c>
      <c r="K76" s="76">
        <f>SUMIFS('январь 2025'!$G$5:$G$2334,'январь 2025'!$D$5:$D$2334,$B76,'январь 2025'!$J$5:$J$2334,K$1)</f>
        <v>0</v>
      </c>
      <c r="L76" s="76">
        <f>SUMIFS('январь 2025'!$G$5:$G$2334,'январь 2025'!$D$5:$D$2334,$B76,'январь 2025'!$J$5:$J$2334,L$1)</f>
        <v>0</v>
      </c>
      <c r="M76" s="76">
        <f>SUMIFS('январь 2025'!$G$5:$G$2334,'январь 2025'!$D$5:$D$2334,$B76,'январь 2025'!$J$5:$J$2334,M$1)</f>
        <v>0</v>
      </c>
      <c r="N76" s="76">
        <f>SUMIFS('январь 2025'!$G$5:$G$2334,'январь 2025'!$D$5:$D$2334,$B76,'январь 2025'!$J$5:$J$2334,N$1)</f>
        <v>0</v>
      </c>
      <c r="O76" s="76">
        <f>SUMIFS('январь 2025'!$G$5:$G$2334,'январь 2025'!$D$5:$D$2334,$B76,'январь 2025'!$J$5:$J$2334,O$1)</f>
        <v>0</v>
      </c>
      <c r="P76" s="76">
        <f>SUMIFS('январь 2025'!$G$5:$G$2334,'январь 2025'!$D$5:$D$2334,$B76,'январь 2025'!$J$5:$J$2334,P$1)</f>
        <v>0</v>
      </c>
      <c r="Q76" s="76">
        <f>SUMIFS('январь 2025'!$G$5:$G$2334,'январь 2025'!$D$5:$D$2334,$B76,'январь 2025'!$J$5:$J$2334,Q$1)</f>
        <v>0</v>
      </c>
      <c r="R76" s="76">
        <f>SUMIFS('январь 2025'!$G$5:$G$2334,'январь 2025'!$D$5:$D$2334,$B76,'январь 2025'!$J$5:$J$2334,R$1)</f>
        <v>0</v>
      </c>
      <c r="S76" s="76">
        <f>SUMIFS('январь 2025'!$G$5:$G$2334,'январь 2025'!$D$5:$D$2334,$B76,'январь 2025'!$J$5:$J$2334,S$1)</f>
        <v>0</v>
      </c>
      <c r="T76" s="76">
        <f>SUMIFS('январь 2025'!$G$5:$G$2334,'январь 2025'!$D$5:$D$2334,$B76,'январь 2025'!$J$5:$J$2334,T$1)</f>
        <v>0</v>
      </c>
      <c r="U76" s="76">
        <f>SUMIFS('январь 2025'!$G$5:$G$2334,'январь 2025'!$D$5:$D$2334,$B76,'январь 2025'!$J$5:$J$2334,U$1)</f>
        <v>0</v>
      </c>
      <c r="V76" s="76">
        <f>SUMIFS('январь 2025'!$G$5:$G$2334,'январь 2025'!$D$5:$D$2334,$B76,'январь 2025'!$J$5:$J$2334,V$1)</f>
        <v>0</v>
      </c>
      <c r="W76" s="76">
        <f>SUMIFS('январь 2025'!$G$5:$G$2334,'январь 2025'!$D$5:$D$2334,$B76,'январь 2025'!$J$5:$J$2334,W$1)</f>
        <v>0</v>
      </c>
      <c r="X76" s="76">
        <f>SUMIFS('январь 2025'!$G$5:$G$2334,'январь 2025'!$D$5:$D$2334,$B76,'январь 2025'!$J$5:$J$2334,X$1)</f>
        <v>0</v>
      </c>
      <c r="Y76" s="76">
        <f>SUMIFS('январь 2025'!$G$5:$G$2334,'январь 2025'!$D$5:$D$2334,$B76,'январь 2025'!$J$5:$J$2334,Y$1)</f>
        <v>0</v>
      </c>
      <c r="Z76" s="76">
        <f>SUMIFS('январь 2025'!$G$5:$G$2334,'январь 2025'!$D$5:$D$2334,$B76,'январь 2025'!$J$5:$J$2334,Z$1)</f>
        <v>0</v>
      </c>
      <c r="AA76" s="76">
        <f>SUMIFS('январь 2025'!$G$5:$G$2334,'январь 2025'!$D$5:$D$2334,$B76,'январь 2025'!$J$5:$J$2334,AA$1)</f>
        <v>0</v>
      </c>
      <c r="AB76" s="76">
        <f>SUMIFS('январь 2025'!$G$5:$G$2334,'январь 2025'!$D$5:$D$2334,$B76,'январь 2025'!$J$5:$J$2334,AB$1)</f>
        <v>0</v>
      </c>
      <c r="AC76" s="76">
        <f>SUMIFS('январь 2025'!$G$5:$G$2334,'январь 2025'!$D$5:$D$2334,$B76,'январь 2025'!$J$5:$J$2334,AC$1)</f>
        <v>0</v>
      </c>
      <c r="AD76" s="76">
        <f>SUMIFS('январь 2025'!$G$5:$G$2334,'январь 2025'!$D$5:$D$2334,$B76,'январь 2025'!$J$5:$J$2334,AD$1)</f>
        <v>0</v>
      </c>
      <c r="AE76" s="76">
        <f>SUMIFS('январь 2025'!$G$5:$G$2334,'январь 2025'!$D$5:$D$2334,$B76,'январь 2025'!$J$5:$J$2334,AE$1)</f>
        <v>0</v>
      </c>
      <c r="AF76" s="76">
        <f>SUMIFS('январь 2025'!$G$5:$G$2334,'январь 2025'!$D$5:$D$2334,$B76,'январь 2025'!$J$5:$J$2334,AF$1)</f>
        <v>0</v>
      </c>
      <c r="AG76" s="76">
        <f>SUMIFS('январь 2025'!$G$5:$G$2334,'январь 2025'!$D$5:$D$2334,$B76,'январь 2025'!$J$5:$J$2334,AG$1)</f>
        <v>0</v>
      </c>
      <c r="AH76" s="76">
        <f>SUMIFS('январь 2025'!$G$5:$G$2334,'январь 2025'!$D$5:$D$2334,$B76,'январь 2025'!$J$5:$J$2334,AH$1)</f>
        <v>0</v>
      </c>
      <c r="AI76" s="20">
        <f t="shared" si="1"/>
        <v>0</v>
      </c>
    </row>
    <row r="77" spans="2:35" ht="15" customHeight="1" x14ac:dyDescent="0.25">
      <c r="B77" s="88" t="s">
        <v>167</v>
      </c>
      <c r="C77" s="86">
        <v>200</v>
      </c>
      <c r="D77" s="76">
        <f>SUMIFS('январь 2025'!$G$5:$G$2334,'январь 2025'!$D$5:$D$2334,$B77,'январь 2025'!$J$5:$J$2334,D$1)</f>
        <v>0</v>
      </c>
      <c r="E77" s="76">
        <f>SUMIFS('январь 2025'!$G$5:$G$2334,'январь 2025'!$D$5:$D$2334,$B77,'январь 2025'!$J$5:$J$2334,E$1)</f>
        <v>0</v>
      </c>
      <c r="F77" s="76">
        <f>SUMIFS('январь 2025'!$G$5:$G$2334,'январь 2025'!$D$5:$D$2334,$B77,'январь 2025'!$J$5:$J$2334,F$1)</f>
        <v>0</v>
      </c>
      <c r="G77" s="76">
        <f>SUMIFS('январь 2025'!$G$5:$G$2334,'январь 2025'!$D$5:$D$2334,$B77,'январь 2025'!$J$5:$J$2334,G$1)</f>
        <v>0</v>
      </c>
      <c r="H77" s="76">
        <f>SUMIFS('январь 2025'!$G$5:$G$2334,'январь 2025'!$D$5:$D$2334,$B77,'январь 2025'!$J$5:$J$2334,H$1)</f>
        <v>0</v>
      </c>
      <c r="I77" s="76">
        <f>SUMIFS('январь 2025'!$G$5:$G$2334,'январь 2025'!$D$5:$D$2334,$B77,'январь 2025'!$J$5:$J$2334,I$1)</f>
        <v>0</v>
      </c>
      <c r="J77" s="76">
        <f>SUMIFS('январь 2025'!$G$5:$G$2334,'январь 2025'!$D$5:$D$2334,$B77,'январь 2025'!$J$5:$J$2334,J$1)</f>
        <v>0</v>
      </c>
      <c r="K77" s="76">
        <f>SUMIFS('январь 2025'!$G$5:$G$2334,'январь 2025'!$D$5:$D$2334,$B77,'январь 2025'!$J$5:$J$2334,K$1)</f>
        <v>0</v>
      </c>
      <c r="L77" s="76">
        <f>SUMIFS('январь 2025'!$G$5:$G$2334,'январь 2025'!$D$5:$D$2334,$B77,'январь 2025'!$J$5:$J$2334,L$1)</f>
        <v>0</v>
      </c>
      <c r="M77" s="76">
        <f>SUMIFS('январь 2025'!$G$5:$G$2334,'январь 2025'!$D$5:$D$2334,$B77,'январь 2025'!$J$5:$J$2334,M$1)</f>
        <v>0</v>
      </c>
      <c r="N77" s="76">
        <f>SUMIFS('январь 2025'!$G$5:$G$2334,'январь 2025'!$D$5:$D$2334,$B77,'январь 2025'!$J$5:$J$2334,N$1)</f>
        <v>0</v>
      </c>
      <c r="O77" s="76">
        <f>SUMIFS('январь 2025'!$G$5:$G$2334,'январь 2025'!$D$5:$D$2334,$B77,'январь 2025'!$J$5:$J$2334,O$1)</f>
        <v>0</v>
      </c>
      <c r="P77" s="76">
        <f>SUMIFS('январь 2025'!$G$5:$G$2334,'январь 2025'!$D$5:$D$2334,$B77,'январь 2025'!$J$5:$J$2334,P$1)</f>
        <v>0</v>
      </c>
      <c r="Q77" s="76">
        <f>SUMIFS('январь 2025'!$G$5:$G$2334,'январь 2025'!$D$5:$D$2334,$B77,'январь 2025'!$J$5:$J$2334,Q$1)</f>
        <v>0</v>
      </c>
      <c r="R77" s="76">
        <f>SUMIFS('январь 2025'!$G$5:$G$2334,'январь 2025'!$D$5:$D$2334,$B77,'январь 2025'!$J$5:$J$2334,R$1)</f>
        <v>0</v>
      </c>
      <c r="S77" s="76">
        <f>SUMIFS('январь 2025'!$G$5:$G$2334,'январь 2025'!$D$5:$D$2334,$B77,'январь 2025'!$J$5:$J$2334,S$1)</f>
        <v>0</v>
      </c>
      <c r="T77" s="76">
        <f>SUMIFS('январь 2025'!$G$5:$G$2334,'январь 2025'!$D$5:$D$2334,$B77,'январь 2025'!$J$5:$J$2334,T$1)</f>
        <v>0</v>
      </c>
      <c r="U77" s="76">
        <f>SUMIFS('январь 2025'!$G$5:$G$2334,'январь 2025'!$D$5:$D$2334,$B77,'январь 2025'!$J$5:$J$2334,U$1)</f>
        <v>0</v>
      </c>
      <c r="V77" s="76">
        <f>SUMIFS('январь 2025'!$G$5:$G$2334,'январь 2025'!$D$5:$D$2334,$B77,'январь 2025'!$J$5:$J$2334,V$1)</f>
        <v>0</v>
      </c>
      <c r="W77" s="76">
        <f>SUMIFS('январь 2025'!$G$5:$G$2334,'январь 2025'!$D$5:$D$2334,$B77,'январь 2025'!$J$5:$J$2334,W$1)</f>
        <v>0</v>
      </c>
      <c r="X77" s="76">
        <f>SUMIFS('январь 2025'!$G$5:$G$2334,'январь 2025'!$D$5:$D$2334,$B77,'январь 2025'!$J$5:$J$2334,X$1)</f>
        <v>0</v>
      </c>
      <c r="Y77" s="76">
        <f>SUMIFS('январь 2025'!$G$5:$G$2334,'январь 2025'!$D$5:$D$2334,$B77,'январь 2025'!$J$5:$J$2334,Y$1)</f>
        <v>0</v>
      </c>
      <c r="Z77" s="76">
        <f>SUMIFS('январь 2025'!$G$5:$G$2334,'январь 2025'!$D$5:$D$2334,$B77,'январь 2025'!$J$5:$J$2334,Z$1)</f>
        <v>0</v>
      </c>
      <c r="AA77" s="76">
        <f>SUMIFS('январь 2025'!$G$5:$G$2334,'январь 2025'!$D$5:$D$2334,$B77,'январь 2025'!$J$5:$J$2334,AA$1)</f>
        <v>0</v>
      </c>
      <c r="AB77" s="76">
        <f>SUMIFS('январь 2025'!$G$5:$G$2334,'январь 2025'!$D$5:$D$2334,$B77,'январь 2025'!$J$5:$J$2334,AB$1)</f>
        <v>0</v>
      </c>
      <c r="AC77" s="76">
        <f>SUMIFS('январь 2025'!$G$5:$G$2334,'январь 2025'!$D$5:$D$2334,$B77,'январь 2025'!$J$5:$J$2334,AC$1)</f>
        <v>0</v>
      </c>
      <c r="AD77" s="76">
        <f>SUMIFS('январь 2025'!$G$5:$G$2334,'январь 2025'!$D$5:$D$2334,$B77,'январь 2025'!$J$5:$J$2334,AD$1)</f>
        <v>0</v>
      </c>
      <c r="AE77" s="76">
        <f>SUMIFS('январь 2025'!$G$5:$G$2334,'январь 2025'!$D$5:$D$2334,$B77,'январь 2025'!$J$5:$J$2334,AE$1)</f>
        <v>0</v>
      </c>
      <c r="AF77" s="76">
        <f>SUMIFS('январь 2025'!$G$5:$G$2334,'январь 2025'!$D$5:$D$2334,$B77,'январь 2025'!$J$5:$J$2334,AF$1)</f>
        <v>0</v>
      </c>
      <c r="AG77" s="76">
        <f>SUMIFS('январь 2025'!$G$5:$G$2334,'январь 2025'!$D$5:$D$2334,$B77,'январь 2025'!$J$5:$J$2334,AG$1)</f>
        <v>0</v>
      </c>
      <c r="AH77" s="76">
        <f>SUMIFS('январь 2025'!$G$5:$G$2334,'январь 2025'!$D$5:$D$2334,$B77,'январь 2025'!$J$5:$J$2334,AH$1)</f>
        <v>0</v>
      </c>
      <c r="AI77" s="20">
        <f t="shared" si="1"/>
        <v>0</v>
      </c>
    </row>
    <row r="78" spans="2:35" ht="15" customHeight="1" x14ac:dyDescent="0.25">
      <c r="B78" s="88" t="s">
        <v>168</v>
      </c>
      <c r="C78" s="86">
        <v>200</v>
      </c>
      <c r="D78" s="76">
        <f>SUMIFS('январь 2025'!$G$5:$G$2334,'январь 2025'!$D$5:$D$2334,$B78,'январь 2025'!$J$5:$J$2334,D$1)</f>
        <v>0</v>
      </c>
      <c r="E78" s="76">
        <f>SUMIFS('январь 2025'!$G$5:$G$2334,'январь 2025'!$D$5:$D$2334,$B78,'январь 2025'!$J$5:$J$2334,E$1)</f>
        <v>0</v>
      </c>
      <c r="F78" s="76">
        <f>SUMIFS('январь 2025'!$G$5:$G$2334,'январь 2025'!$D$5:$D$2334,$B78,'январь 2025'!$J$5:$J$2334,F$1)</f>
        <v>0</v>
      </c>
      <c r="G78" s="76">
        <f>SUMIFS('январь 2025'!$G$5:$G$2334,'январь 2025'!$D$5:$D$2334,$B78,'январь 2025'!$J$5:$J$2334,G$1)</f>
        <v>0</v>
      </c>
      <c r="H78" s="76">
        <f>SUMIFS('январь 2025'!$G$5:$G$2334,'январь 2025'!$D$5:$D$2334,$B78,'январь 2025'!$J$5:$J$2334,H$1)</f>
        <v>0</v>
      </c>
      <c r="I78" s="76">
        <f>SUMIFS('январь 2025'!$G$5:$G$2334,'январь 2025'!$D$5:$D$2334,$B78,'январь 2025'!$J$5:$J$2334,I$1)</f>
        <v>0</v>
      </c>
      <c r="J78" s="76">
        <f>SUMIFS('январь 2025'!$G$5:$G$2334,'январь 2025'!$D$5:$D$2334,$B78,'январь 2025'!$J$5:$J$2334,J$1)</f>
        <v>0</v>
      </c>
      <c r="K78" s="76">
        <f>SUMIFS('январь 2025'!$G$5:$G$2334,'январь 2025'!$D$5:$D$2334,$B78,'январь 2025'!$J$5:$J$2334,K$1)</f>
        <v>0</v>
      </c>
      <c r="L78" s="76">
        <f>SUMIFS('январь 2025'!$G$5:$G$2334,'январь 2025'!$D$5:$D$2334,$B78,'январь 2025'!$J$5:$J$2334,L$1)</f>
        <v>0</v>
      </c>
      <c r="M78" s="76">
        <f>SUMIFS('январь 2025'!$G$5:$G$2334,'январь 2025'!$D$5:$D$2334,$B78,'январь 2025'!$J$5:$J$2334,M$1)</f>
        <v>0</v>
      </c>
      <c r="N78" s="76">
        <f>SUMIFS('январь 2025'!$G$5:$G$2334,'январь 2025'!$D$5:$D$2334,$B78,'январь 2025'!$J$5:$J$2334,N$1)</f>
        <v>0</v>
      </c>
      <c r="O78" s="76">
        <f>SUMIFS('январь 2025'!$G$5:$G$2334,'январь 2025'!$D$5:$D$2334,$B78,'январь 2025'!$J$5:$J$2334,O$1)</f>
        <v>0</v>
      </c>
      <c r="P78" s="76">
        <f>SUMIFS('январь 2025'!$G$5:$G$2334,'январь 2025'!$D$5:$D$2334,$B78,'январь 2025'!$J$5:$J$2334,P$1)</f>
        <v>0</v>
      </c>
      <c r="Q78" s="76">
        <f>SUMIFS('январь 2025'!$G$5:$G$2334,'январь 2025'!$D$5:$D$2334,$B78,'январь 2025'!$J$5:$J$2334,Q$1)</f>
        <v>88</v>
      </c>
      <c r="R78" s="76">
        <f>SUMIFS('январь 2025'!$G$5:$G$2334,'январь 2025'!$D$5:$D$2334,$B78,'январь 2025'!$J$5:$J$2334,R$1)</f>
        <v>0</v>
      </c>
      <c r="S78" s="76">
        <f>SUMIFS('январь 2025'!$G$5:$G$2334,'январь 2025'!$D$5:$D$2334,$B78,'январь 2025'!$J$5:$J$2334,S$1)</f>
        <v>0</v>
      </c>
      <c r="T78" s="76">
        <f>SUMIFS('январь 2025'!$G$5:$G$2334,'январь 2025'!$D$5:$D$2334,$B78,'январь 2025'!$J$5:$J$2334,T$1)</f>
        <v>0</v>
      </c>
      <c r="U78" s="76">
        <f>SUMIFS('январь 2025'!$G$5:$G$2334,'январь 2025'!$D$5:$D$2334,$B78,'январь 2025'!$J$5:$J$2334,U$1)</f>
        <v>0</v>
      </c>
      <c r="V78" s="76">
        <f>SUMIFS('январь 2025'!$G$5:$G$2334,'январь 2025'!$D$5:$D$2334,$B78,'январь 2025'!$J$5:$J$2334,V$1)</f>
        <v>0</v>
      </c>
      <c r="W78" s="76">
        <f>SUMIFS('январь 2025'!$G$5:$G$2334,'январь 2025'!$D$5:$D$2334,$B78,'январь 2025'!$J$5:$J$2334,W$1)</f>
        <v>0</v>
      </c>
      <c r="X78" s="76">
        <f>SUMIFS('январь 2025'!$G$5:$G$2334,'январь 2025'!$D$5:$D$2334,$B78,'январь 2025'!$J$5:$J$2334,X$1)</f>
        <v>0</v>
      </c>
      <c r="Y78" s="76">
        <f>SUMIFS('январь 2025'!$G$5:$G$2334,'январь 2025'!$D$5:$D$2334,$B78,'январь 2025'!$J$5:$J$2334,Y$1)</f>
        <v>0</v>
      </c>
      <c r="Z78" s="76">
        <f>SUMIFS('январь 2025'!$G$5:$G$2334,'январь 2025'!$D$5:$D$2334,$B78,'январь 2025'!$J$5:$J$2334,Z$1)</f>
        <v>0</v>
      </c>
      <c r="AA78" s="76">
        <f>SUMIFS('январь 2025'!$G$5:$G$2334,'январь 2025'!$D$5:$D$2334,$B78,'январь 2025'!$J$5:$J$2334,AA$1)</f>
        <v>0</v>
      </c>
      <c r="AB78" s="76">
        <f>SUMIFS('январь 2025'!$G$5:$G$2334,'январь 2025'!$D$5:$D$2334,$B78,'январь 2025'!$J$5:$J$2334,AB$1)</f>
        <v>0</v>
      </c>
      <c r="AC78" s="76">
        <f>SUMIFS('январь 2025'!$G$5:$G$2334,'январь 2025'!$D$5:$D$2334,$B78,'январь 2025'!$J$5:$J$2334,AC$1)</f>
        <v>0</v>
      </c>
      <c r="AD78" s="76">
        <f>SUMIFS('январь 2025'!$G$5:$G$2334,'январь 2025'!$D$5:$D$2334,$B78,'январь 2025'!$J$5:$J$2334,AD$1)</f>
        <v>0</v>
      </c>
      <c r="AE78" s="76">
        <f>SUMIFS('январь 2025'!$G$5:$G$2334,'январь 2025'!$D$5:$D$2334,$B78,'январь 2025'!$J$5:$J$2334,AE$1)</f>
        <v>88</v>
      </c>
      <c r="AF78" s="76">
        <f>SUMIFS('январь 2025'!$G$5:$G$2334,'январь 2025'!$D$5:$D$2334,$B78,'январь 2025'!$J$5:$J$2334,AF$1)</f>
        <v>0</v>
      </c>
      <c r="AG78" s="76">
        <f>SUMIFS('январь 2025'!$G$5:$G$2334,'январь 2025'!$D$5:$D$2334,$B78,'январь 2025'!$J$5:$J$2334,AG$1)</f>
        <v>0</v>
      </c>
      <c r="AH78" s="76">
        <f>SUMIFS('январь 2025'!$G$5:$G$2334,'январь 2025'!$D$5:$D$2334,$B78,'январь 2025'!$J$5:$J$2334,AH$1)</f>
        <v>0</v>
      </c>
      <c r="AI78" s="20">
        <f t="shared" si="1"/>
        <v>176</v>
      </c>
    </row>
    <row r="79" spans="2:35" ht="15" customHeight="1" x14ac:dyDescent="0.25">
      <c r="B79" s="88" t="s">
        <v>314</v>
      </c>
      <c r="C79" s="86">
        <v>200</v>
      </c>
      <c r="D79" s="76">
        <f>SUMIFS('январь 2025'!$G$5:$G$2334,'январь 2025'!$D$5:$D$2334,$B79,'январь 2025'!$J$5:$J$2334,D$1)</f>
        <v>0</v>
      </c>
      <c r="E79" s="76">
        <f>SUMIFS('январь 2025'!$G$5:$G$2334,'январь 2025'!$D$5:$D$2334,$B79,'январь 2025'!$J$5:$J$2334,E$1)</f>
        <v>0</v>
      </c>
      <c r="F79" s="76">
        <f>SUMIFS('январь 2025'!$G$5:$G$2334,'январь 2025'!$D$5:$D$2334,$B79,'январь 2025'!$J$5:$J$2334,F$1)</f>
        <v>0</v>
      </c>
      <c r="G79" s="76">
        <f>SUMIFS('январь 2025'!$G$5:$G$2334,'январь 2025'!$D$5:$D$2334,$B79,'январь 2025'!$J$5:$J$2334,G$1)</f>
        <v>0</v>
      </c>
      <c r="H79" s="76">
        <f>SUMIFS('январь 2025'!$G$5:$G$2334,'январь 2025'!$D$5:$D$2334,$B79,'январь 2025'!$J$5:$J$2334,H$1)</f>
        <v>0</v>
      </c>
      <c r="I79" s="76">
        <f>SUMIFS('январь 2025'!$G$5:$G$2334,'январь 2025'!$D$5:$D$2334,$B79,'январь 2025'!$J$5:$J$2334,I$1)</f>
        <v>0</v>
      </c>
      <c r="J79" s="76">
        <f>SUMIFS('январь 2025'!$G$5:$G$2334,'январь 2025'!$D$5:$D$2334,$B79,'январь 2025'!$J$5:$J$2334,J$1)</f>
        <v>0</v>
      </c>
      <c r="K79" s="76">
        <f>SUMIFS('январь 2025'!$G$5:$G$2334,'январь 2025'!$D$5:$D$2334,$B79,'январь 2025'!$J$5:$J$2334,K$1)</f>
        <v>0</v>
      </c>
      <c r="L79" s="76">
        <f>SUMIFS('январь 2025'!$G$5:$G$2334,'январь 2025'!$D$5:$D$2334,$B79,'январь 2025'!$J$5:$J$2334,L$1)</f>
        <v>0</v>
      </c>
      <c r="M79" s="76">
        <f>SUMIFS('январь 2025'!$G$5:$G$2334,'январь 2025'!$D$5:$D$2334,$B79,'январь 2025'!$J$5:$J$2334,M$1)</f>
        <v>0</v>
      </c>
      <c r="N79" s="76">
        <f>SUMIFS('январь 2025'!$G$5:$G$2334,'январь 2025'!$D$5:$D$2334,$B79,'январь 2025'!$J$5:$J$2334,N$1)</f>
        <v>0</v>
      </c>
      <c r="O79" s="76">
        <f>SUMIFS('январь 2025'!$G$5:$G$2334,'январь 2025'!$D$5:$D$2334,$B79,'январь 2025'!$J$5:$J$2334,O$1)</f>
        <v>0</v>
      </c>
      <c r="P79" s="76">
        <f>SUMIFS('январь 2025'!$G$5:$G$2334,'январь 2025'!$D$5:$D$2334,$B79,'январь 2025'!$J$5:$J$2334,P$1)</f>
        <v>0</v>
      </c>
      <c r="Q79" s="76">
        <f>SUMIFS('январь 2025'!$G$5:$G$2334,'январь 2025'!$D$5:$D$2334,$B79,'январь 2025'!$J$5:$J$2334,Q$1)</f>
        <v>0</v>
      </c>
      <c r="R79" s="76">
        <f>SUMIFS('январь 2025'!$G$5:$G$2334,'январь 2025'!$D$5:$D$2334,$B79,'январь 2025'!$J$5:$J$2334,R$1)</f>
        <v>0</v>
      </c>
      <c r="S79" s="76">
        <f>SUMIFS('январь 2025'!$G$5:$G$2334,'январь 2025'!$D$5:$D$2334,$B79,'январь 2025'!$J$5:$J$2334,S$1)</f>
        <v>0</v>
      </c>
      <c r="T79" s="76">
        <f>SUMIFS('январь 2025'!$G$5:$G$2334,'январь 2025'!$D$5:$D$2334,$B79,'январь 2025'!$J$5:$J$2334,T$1)</f>
        <v>0</v>
      </c>
      <c r="U79" s="76">
        <f>SUMIFS('январь 2025'!$G$5:$G$2334,'январь 2025'!$D$5:$D$2334,$B79,'январь 2025'!$J$5:$J$2334,U$1)</f>
        <v>0</v>
      </c>
      <c r="V79" s="76">
        <f>SUMIFS('январь 2025'!$G$5:$G$2334,'январь 2025'!$D$5:$D$2334,$B79,'январь 2025'!$J$5:$J$2334,V$1)</f>
        <v>0</v>
      </c>
      <c r="W79" s="76">
        <f>SUMIFS('январь 2025'!$G$5:$G$2334,'январь 2025'!$D$5:$D$2334,$B79,'январь 2025'!$J$5:$J$2334,W$1)</f>
        <v>0</v>
      </c>
      <c r="X79" s="76">
        <f>SUMIFS('январь 2025'!$G$5:$G$2334,'январь 2025'!$D$5:$D$2334,$B79,'январь 2025'!$J$5:$J$2334,X$1)</f>
        <v>0</v>
      </c>
      <c r="Y79" s="76">
        <f>SUMIFS('январь 2025'!$G$5:$G$2334,'январь 2025'!$D$5:$D$2334,$B79,'январь 2025'!$J$5:$J$2334,Y$1)</f>
        <v>0</v>
      </c>
      <c r="Z79" s="76">
        <f>SUMIFS('январь 2025'!$G$5:$G$2334,'январь 2025'!$D$5:$D$2334,$B79,'январь 2025'!$J$5:$J$2334,Z$1)</f>
        <v>0</v>
      </c>
      <c r="AA79" s="76">
        <f>SUMIFS('январь 2025'!$G$5:$G$2334,'январь 2025'!$D$5:$D$2334,$B79,'январь 2025'!$J$5:$J$2334,AA$1)</f>
        <v>0</v>
      </c>
      <c r="AB79" s="76">
        <f>SUMIFS('январь 2025'!$G$5:$G$2334,'январь 2025'!$D$5:$D$2334,$B79,'январь 2025'!$J$5:$J$2334,AB$1)</f>
        <v>0</v>
      </c>
      <c r="AC79" s="76">
        <f>SUMIFS('январь 2025'!$G$5:$G$2334,'январь 2025'!$D$5:$D$2334,$B79,'январь 2025'!$J$5:$J$2334,AC$1)</f>
        <v>0</v>
      </c>
      <c r="AD79" s="76">
        <f>SUMIFS('январь 2025'!$G$5:$G$2334,'январь 2025'!$D$5:$D$2334,$B79,'январь 2025'!$J$5:$J$2334,AD$1)</f>
        <v>0</v>
      </c>
      <c r="AE79" s="76">
        <f>SUMIFS('январь 2025'!$G$5:$G$2334,'январь 2025'!$D$5:$D$2334,$B79,'январь 2025'!$J$5:$J$2334,AE$1)</f>
        <v>0</v>
      </c>
      <c r="AF79" s="76">
        <f>SUMIFS('январь 2025'!$G$5:$G$2334,'январь 2025'!$D$5:$D$2334,$B79,'январь 2025'!$J$5:$J$2334,AF$1)</f>
        <v>0</v>
      </c>
      <c r="AG79" s="76">
        <f>SUMIFS('январь 2025'!$G$5:$G$2334,'январь 2025'!$D$5:$D$2334,$B79,'январь 2025'!$J$5:$J$2334,AG$1)</f>
        <v>0</v>
      </c>
      <c r="AH79" s="76">
        <f>SUMIFS('январь 2025'!$G$5:$G$2334,'январь 2025'!$D$5:$D$2334,$B79,'январь 2025'!$J$5:$J$2334,AH$1)</f>
        <v>0</v>
      </c>
      <c r="AI79" s="20">
        <f t="shared" si="1"/>
        <v>0</v>
      </c>
    </row>
    <row r="80" spans="2:35" ht="15" customHeight="1" x14ac:dyDescent="0.25">
      <c r="B80" s="88" t="s">
        <v>375</v>
      </c>
      <c r="C80" s="86">
        <v>210</v>
      </c>
      <c r="D80" s="76">
        <f>SUMIFS('январь 2025'!$G$5:$G$2334,'январь 2025'!$D$5:$D$2334,$B80,'январь 2025'!$J$5:$J$2334,D$1)</f>
        <v>0</v>
      </c>
      <c r="E80" s="76">
        <f>SUMIFS('январь 2025'!$G$5:$G$2334,'январь 2025'!$D$5:$D$2334,$B80,'январь 2025'!$J$5:$J$2334,E$1)</f>
        <v>0</v>
      </c>
      <c r="F80" s="76">
        <f>SUMIFS('январь 2025'!$G$5:$G$2334,'январь 2025'!$D$5:$D$2334,$B80,'январь 2025'!$J$5:$J$2334,F$1)</f>
        <v>0</v>
      </c>
      <c r="G80" s="76">
        <f>SUMIFS('январь 2025'!$G$5:$G$2334,'январь 2025'!$D$5:$D$2334,$B80,'январь 2025'!$J$5:$J$2334,G$1)</f>
        <v>0</v>
      </c>
      <c r="H80" s="76">
        <f>SUMIFS('январь 2025'!$G$5:$G$2334,'январь 2025'!$D$5:$D$2334,$B80,'январь 2025'!$J$5:$J$2334,H$1)</f>
        <v>0</v>
      </c>
      <c r="I80" s="76">
        <f>SUMIFS('январь 2025'!$G$5:$G$2334,'январь 2025'!$D$5:$D$2334,$B80,'январь 2025'!$J$5:$J$2334,I$1)</f>
        <v>0</v>
      </c>
      <c r="J80" s="76">
        <f>SUMIFS('январь 2025'!$G$5:$G$2334,'январь 2025'!$D$5:$D$2334,$B80,'январь 2025'!$J$5:$J$2334,J$1)</f>
        <v>0</v>
      </c>
      <c r="K80" s="76">
        <f>SUMIFS('январь 2025'!$G$5:$G$2334,'январь 2025'!$D$5:$D$2334,$B80,'январь 2025'!$J$5:$J$2334,K$1)</f>
        <v>0</v>
      </c>
      <c r="L80" s="76">
        <f>SUMIFS('январь 2025'!$G$5:$G$2334,'январь 2025'!$D$5:$D$2334,$B80,'январь 2025'!$J$5:$J$2334,L$1)</f>
        <v>0</v>
      </c>
      <c r="M80" s="76">
        <f>SUMIFS('январь 2025'!$G$5:$G$2334,'январь 2025'!$D$5:$D$2334,$B80,'январь 2025'!$J$5:$J$2334,M$1)</f>
        <v>0</v>
      </c>
      <c r="N80" s="76">
        <f>SUMIFS('январь 2025'!$G$5:$G$2334,'январь 2025'!$D$5:$D$2334,$B80,'январь 2025'!$J$5:$J$2334,N$1)</f>
        <v>0</v>
      </c>
      <c r="O80" s="76">
        <f>SUMIFS('январь 2025'!$G$5:$G$2334,'январь 2025'!$D$5:$D$2334,$B80,'январь 2025'!$J$5:$J$2334,O$1)</f>
        <v>0</v>
      </c>
      <c r="P80" s="76">
        <f>SUMIFS('январь 2025'!$G$5:$G$2334,'январь 2025'!$D$5:$D$2334,$B80,'январь 2025'!$J$5:$J$2334,P$1)</f>
        <v>0</v>
      </c>
      <c r="Q80" s="76">
        <f>SUMIFS('январь 2025'!$G$5:$G$2334,'январь 2025'!$D$5:$D$2334,$B80,'январь 2025'!$J$5:$J$2334,Q$1)</f>
        <v>0</v>
      </c>
      <c r="R80" s="76">
        <f>SUMIFS('январь 2025'!$G$5:$G$2334,'январь 2025'!$D$5:$D$2334,$B80,'январь 2025'!$J$5:$J$2334,R$1)</f>
        <v>0</v>
      </c>
      <c r="S80" s="76">
        <f>SUMIFS('январь 2025'!$G$5:$G$2334,'январь 2025'!$D$5:$D$2334,$B80,'январь 2025'!$J$5:$J$2334,S$1)</f>
        <v>0</v>
      </c>
      <c r="T80" s="76">
        <f>SUMIFS('январь 2025'!$G$5:$G$2334,'январь 2025'!$D$5:$D$2334,$B80,'январь 2025'!$J$5:$J$2334,T$1)</f>
        <v>0</v>
      </c>
      <c r="U80" s="76">
        <f>SUMIFS('январь 2025'!$G$5:$G$2334,'январь 2025'!$D$5:$D$2334,$B80,'январь 2025'!$J$5:$J$2334,U$1)</f>
        <v>0</v>
      </c>
      <c r="V80" s="76">
        <f>SUMIFS('январь 2025'!$G$5:$G$2334,'январь 2025'!$D$5:$D$2334,$B80,'январь 2025'!$J$5:$J$2334,V$1)</f>
        <v>0</v>
      </c>
      <c r="W80" s="76">
        <f>SUMIFS('январь 2025'!$G$5:$G$2334,'январь 2025'!$D$5:$D$2334,$B80,'январь 2025'!$J$5:$J$2334,W$1)</f>
        <v>0</v>
      </c>
      <c r="X80" s="76">
        <f>SUMIFS('январь 2025'!$G$5:$G$2334,'январь 2025'!$D$5:$D$2334,$B80,'январь 2025'!$J$5:$J$2334,X$1)</f>
        <v>0</v>
      </c>
      <c r="Y80" s="76">
        <f>SUMIFS('январь 2025'!$G$5:$G$2334,'январь 2025'!$D$5:$D$2334,$B80,'январь 2025'!$J$5:$J$2334,Y$1)</f>
        <v>0</v>
      </c>
      <c r="Z80" s="76">
        <f>SUMIFS('январь 2025'!$G$5:$G$2334,'январь 2025'!$D$5:$D$2334,$B80,'январь 2025'!$J$5:$J$2334,Z$1)</f>
        <v>0</v>
      </c>
      <c r="AA80" s="76">
        <f>SUMIFS('январь 2025'!$G$5:$G$2334,'январь 2025'!$D$5:$D$2334,$B80,'январь 2025'!$J$5:$J$2334,AA$1)</f>
        <v>0</v>
      </c>
      <c r="AB80" s="76">
        <f>SUMIFS('январь 2025'!$G$5:$G$2334,'январь 2025'!$D$5:$D$2334,$B80,'январь 2025'!$J$5:$J$2334,AB$1)</f>
        <v>0</v>
      </c>
      <c r="AC80" s="76">
        <f>SUMIFS('январь 2025'!$G$5:$G$2334,'январь 2025'!$D$5:$D$2334,$B80,'январь 2025'!$J$5:$J$2334,AC$1)</f>
        <v>0</v>
      </c>
      <c r="AD80" s="76">
        <f>SUMIFS('январь 2025'!$G$5:$G$2334,'январь 2025'!$D$5:$D$2334,$B80,'январь 2025'!$J$5:$J$2334,AD$1)</f>
        <v>0</v>
      </c>
      <c r="AE80" s="76">
        <f>SUMIFS('январь 2025'!$G$5:$G$2334,'январь 2025'!$D$5:$D$2334,$B80,'январь 2025'!$J$5:$J$2334,AE$1)</f>
        <v>0</v>
      </c>
      <c r="AF80" s="76">
        <f>SUMIFS('январь 2025'!$G$5:$G$2334,'январь 2025'!$D$5:$D$2334,$B80,'январь 2025'!$J$5:$J$2334,AF$1)</f>
        <v>0</v>
      </c>
      <c r="AG80" s="76">
        <f>SUMIFS('январь 2025'!$G$5:$G$2334,'январь 2025'!$D$5:$D$2334,$B80,'январь 2025'!$J$5:$J$2334,AG$1)</f>
        <v>0</v>
      </c>
      <c r="AH80" s="76">
        <f>SUMIFS('январь 2025'!$G$5:$G$2334,'январь 2025'!$D$5:$D$2334,$B80,'январь 2025'!$J$5:$J$2334,AH$1)</f>
        <v>0</v>
      </c>
      <c r="AI80" s="20">
        <f t="shared" ref="AI80" si="3">SUM(D80:AH80)</f>
        <v>0</v>
      </c>
    </row>
    <row r="81" spans="2:35" ht="15" customHeight="1" x14ac:dyDescent="0.25">
      <c r="B81" s="88" t="s">
        <v>257</v>
      </c>
      <c r="C81" s="86">
        <v>190</v>
      </c>
      <c r="D81" s="76">
        <f>SUMIFS('январь 2025'!$G$5:$G$2334,'январь 2025'!$D$5:$D$2334,$B81,'январь 2025'!$J$5:$J$2334,D$1)</f>
        <v>0</v>
      </c>
      <c r="E81" s="76">
        <f>SUMIFS('январь 2025'!$G$5:$G$2334,'январь 2025'!$D$5:$D$2334,$B81,'январь 2025'!$J$5:$J$2334,E$1)</f>
        <v>0</v>
      </c>
      <c r="F81" s="76">
        <f>SUMIFS('январь 2025'!$G$5:$G$2334,'январь 2025'!$D$5:$D$2334,$B81,'январь 2025'!$J$5:$J$2334,F$1)</f>
        <v>0</v>
      </c>
      <c r="G81" s="76">
        <f>SUMIFS('январь 2025'!$G$5:$G$2334,'январь 2025'!$D$5:$D$2334,$B81,'январь 2025'!$J$5:$J$2334,G$1)</f>
        <v>0</v>
      </c>
      <c r="H81" s="76">
        <f>SUMIFS('январь 2025'!$G$5:$G$2334,'январь 2025'!$D$5:$D$2334,$B81,'январь 2025'!$J$5:$J$2334,H$1)</f>
        <v>0</v>
      </c>
      <c r="I81" s="76">
        <f>SUMIFS('январь 2025'!$G$5:$G$2334,'январь 2025'!$D$5:$D$2334,$B81,'январь 2025'!$J$5:$J$2334,I$1)</f>
        <v>0</v>
      </c>
      <c r="J81" s="76">
        <f>SUMIFS('январь 2025'!$G$5:$G$2334,'январь 2025'!$D$5:$D$2334,$B81,'январь 2025'!$J$5:$J$2334,J$1)</f>
        <v>0</v>
      </c>
      <c r="K81" s="76">
        <f>SUMIFS('январь 2025'!$G$5:$G$2334,'январь 2025'!$D$5:$D$2334,$B81,'январь 2025'!$J$5:$J$2334,K$1)</f>
        <v>0</v>
      </c>
      <c r="L81" s="76">
        <f>SUMIFS('январь 2025'!$G$5:$G$2334,'январь 2025'!$D$5:$D$2334,$B81,'январь 2025'!$J$5:$J$2334,L$1)</f>
        <v>0</v>
      </c>
      <c r="M81" s="76">
        <f>SUMIFS('январь 2025'!$G$5:$G$2334,'январь 2025'!$D$5:$D$2334,$B81,'январь 2025'!$J$5:$J$2334,M$1)</f>
        <v>0</v>
      </c>
      <c r="N81" s="76">
        <f>SUMIFS('январь 2025'!$G$5:$G$2334,'январь 2025'!$D$5:$D$2334,$B81,'январь 2025'!$J$5:$J$2334,N$1)</f>
        <v>0</v>
      </c>
      <c r="O81" s="76">
        <f>SUMIFS('январь 2025'!$G$5:$G$2334,'январь 2025'!$D$5:$D$2334,$B81,'январь 2025'!$J$5:$J$2334,O$1)</f>
        <v>0</v>
      </c>
      <c r="P81" s="76">
        <f>SUMIFS('январь 2025'!$G$5:$G$2334,'январь 2025'!$D$5:$D$2334,$B81,'январь 2025'!$J$5:$J$2334,P$1)</f>
        <v>0</v>
      </c>
      <c r="Q81" s="76">
        <f>SUMIFS('январь 2025'!$G$5:$G$2334,'январь 2025'!$D$5:$D$2334,$B81,'январь 2025'!$J$5:$J$2334,Q$1)</f>
        <v>0</v>
      </c>
      <c r="R81" s="76">
        <f>SUMIFS('январь 2025'!$G$5:$G$2334,'январь 2025'!$D$5:$D$2334,$B81,'январь 2025'!$J$5:$J$2334,R$1)</f>
        <v>0</v>
      </c>
      <c r="S81" s="76">
        <f>SUMIFS('январь 2025'!$G$5:$G$2334,'январь 2025'!$D$5:$D$2334,$B81,'январь 2025'!$J$5:$J$2334,S$1)</f>
        <v>0</v>
      </c>
      <c r="T81" s="76">
        <f>SUMIFS('январь 2025'!$G$5:$G$2334,'январь 2025'!$D$5:$D$2334,$B81,'январь 2025'!$J$5:$J$2334,T$1)</f>
        <v>0</v>
      </c>
      <c r="U81" s="76">
        <f>SUMIFS('январь 2025'!$G$5:$G$2334,'январь 2025'!$D$5:$D$2334,$B81,'январь 2025'!$J$5:$J$2334,U$1)</f>
        <v>0</v>
      </c>
      <c r="V81" s="76">
        <f>SUMIFS('январь 2025'!$G$5:$G$2334,'январь 2025'!$D$5:$D$2334,$B81,'январь 2025'!$J$5:$J$2334,V$1)</f>
        <v>0</v>
      </c>
      <c r="W81" s="76">
        <f>SUMIFS('январь 2025'!$G$5:$G$2334,'январь 2025'!$D$5:$D$2334,$B81,'январь 2025'!$J$5:$J$2334,W$1)</f>
        <v>0</v>
      </c>
      <c r="X81" s="76">
        <f>SUMIFS('январь 2025'!$G$5:$G$2334,'январь 2025'!$D$5:$D$2334,$B81,'январь 2025'!$J$5:$J$2334,X$1)</f>
        <v>0</v>
      </c>
      <c r="Y81" s="76">
        <f>SUMIFS('январь 2025'!$G$5:$G$2334,'январь 2025'!$D$5:$D$2334,$B81,'январь 2025'!$J$5:$J$2334,Y$1)</f>
        <v>0</v>
      </c>
      <c r="Z81" s="76">
        <f>SUMIFS('январь 2025'!$G$5:$G$2334,'январь 2025'!$D$5:$D$2334,$B81,'январь 2025'!$J$5:$J$2334,Z$1)</f>
        <v>0</v>
      </c>
      <c r="AA81" s="76">
        <f>SUMIFS('январь 2025'!$G$5:$G$2334,'январь 2025'!$D$5:$D$2334,$B81,'январь 2025'!$J$5:$J$2334,AA$1)</f>
        <v>0</v>
      </c>
      <c r="AB81" s="76">
        <f>SUMIFS('январь 2025'!$G$5:$G$2334,'январь 2025'!$D$5:$D$2334,$B81,'январь 2025'!$J$5:$J$2334,AB$1)</f>
        <v>0</v>
      </c>
      <c r="AC81" s="76">
        <f>SUMIFS('январь 2025'!$G$5:$G$2334,'январь 2025'!$D$5:$D$2334,$B81,'январь 2025'!$J$5:$J$2334,AC$1)</f>
        <v>0</v>
      </c>
      <c r="AD81" s="76">
        <f>SUMIFS('январь 2025'!$G$5:$G$2334,'январь 2025'!$D$5:$D$2334,$B81,'январь 2025'!$J$5:$J$2334,AD$1)</f>
        <v>0</v>
      </c>
      <c r="AE81" s="76">
        <f>SUMIFS('январь 2025'!$G$5:$G$2334,'январь 2025'!$D$5:$D$2334,$B81,'январь 2025'!$J$5:$J$2334,AE$1)</f>
        <v>0</v>
      </c>
      <c r="AF81" s="76">
        <f>SUMIFS('январь 2025'!$G$5:$G$2334,'январь 2025'!$D$5:$D$2334,$B81,'январь 2025'!$J$5:$J$2334,AF$1)</f>
        <v>0</v>
      </c>
      <c r="AG81" s="76">
        <f>SUMIFS('январь 2025'!$G$5:$G$2334,'январь 2025'!$D$5:$D$2334,$B81,'январь 2025'!$J$5:$J$2334,AG$1)</f>
        <v>0</v>
      </c>
      <c r="AH81" s="76">
        <f>SUMIFS('январь 2025'!$G$5:$G$2334,'январь 2025'!$D$5:$D$2334,$B81,'январь 2025'!$J$5:$J$2334,AH$1)</f>
        <v>0</v>
      </c>
      <c r="AI81" s="20">
        <f t="shared" si="1"/>
        <v>0</v>
      </c>
    </row>
    <row r="82" spans="2:35" ht="15" customHeight="1" x14ac:dyDescent="0.25">
      <c r="B82" s="84" t="s">
        <v>189</v>
      </c>
      <c r="C82" s="83">
        <v>180</v>
      </c>
      <c r="D82" s="76">
        <f>SUMIFS('январь 2025'!$G$5:$G$2334,'январь 2025'!$D$5:$D$2334,$B82,'январь 2025'!$J$5:$J$2334,D$1)</f>
        <v>0</v>
      </c>
      <c r="E82" s="76">
        <f>SUMIFS('январь 2025'!$G$5:$G$2334,'январь 2025'!$D$5:$D$2334,$B82,'январь 2025'!$J$5:$J$2334,E$1)</f>
        <v>0</v>
      </c>
      <c r="F82" s="76">
        <f>SUMIFS('январь 2025'!$G$5:$G$2334,'январь 2025'!$D$5:$D$2334,$B82,'январь 2025'!$J$5:$J$2334,F$1)</f>
        <v>0</v>
      </c>
      <c r="G82" s="76">
        <f>SUMIFS('январь 2025'!$G$5:$G$2334,'январь 2025'!$D$5:$D$2334,$B82,'январь 2025'!$J$5:$J$2334,G$1)</f>
        <v>0</v>
      </c>
      <c r="H82" s="76">
        <f>SUMIFS('январь 2025'!$G$5:$G$2334,'январь 2025'!$D$5:$D$2334,$B82,'январь 2025'!$J$5:$J$2334,H$1)</f>
        <v>0</v>
      </c>
      <c r="I82" s="76">
        <f>SUMIFS('январь 2025'!$G$5:$G$2334,'январь 2025'!$D$5:$D$2334,$B82,'январь 2025'!$J$5:$J$2334,I$1)</f>
        <v>0</v>
      </c>
      <c r="J82" s="76">
        <f>SUMIFS('январь 2025'!$G$5:$G$2334,'январь 2025'!$D$5:$D$2334,$B82,'январь 2025'!$J$5:$J$2334,J$1)</f>
        <v>0</v>
      </c>
      <c r="K82" s="76">
        <f>SUMIFS('январь 2025'!$G$5:$G$2334,'январь 2025'!$D$5:$D$2334,$B82,'январь 2025'!$J$5:$J$2334,K$1)</f>
        <v>0</v>
      </c>
      <c r="L82" s="76">
        <f>SUMIFS('январь 2025'!$G$5:$G$2334,'январь 2025'!$D$5:$D$2334,$B82,'январь 2025'!$J$5:$J$2334,L$1)</f>
        <v>0</v>
      </c>
      <c r="M82" s="76">
        <f>SUMIFS('январь 2025'!$G$5:$G$2334,'январь 2025'!$D$5:$D$2334,$B82,'январь 2025'!$J$5:$J$2334,M$1)</f>
        <v>0</v>
      </c>
      <c r="N82" s="76">
        <f>SUMIFS('январь 2025'!$G$5:$G$2334,'январь 2025'!$D$5:$D$2334,$B82,'январь 2025'!$J$5:$J$2334,N$1)</f>
        <v>0</v>
      </c>
      <c r="O82" s="76">
        <f>SUMIFS('январь 2025'!$G$5:$G$2334,'январь 2025'!$D$5:$D$2334,$B82,'январь 2025'!$J$5:$J$2334,O$1)</f>
        <v>0</v>
      </c>
      <c r="P82" s="76">
        <f>SUMIFS('январь 2025'!$G$5:$G$2334,'январь 2025'!$D$5:$D$2334,$B82,'январь 2025'!$J$5:$J$2334,P$1)</f>
        <v>0</v>
      </c>
      <c r="Q82" s="76">
        <f>SUMIFS('январь 2025'!$G$5:$G$2334,'январь 2025'!$D$5:$D$2334,$B82,'январь 2025'!$J$5:$J$2334,Q$1)</f>
        <v>0</v>
      </c>
      <c r="R82" s="76">
        <f>SUMIFS('январь 2025'!$G$5:$G$2334,'январь 2025'!$D$5:$D$2334,$B82,'январь 2025'!$J$5:$J$2334,R$1)</f>
        <v>0</v>
      </c>
      <c r="S82" s="76">
        <f>SUMIFS('январь 2025'!$G$5:$G$2334,'январь 2025'!$D$5:$D$2334,$B82,'январь 2025'!$J$5:$J$2334,S$1)</f>
        <v>0</v>
      </c>
      <c r="T82" s="76">
        <f>SUMIFS('январь 2025'!$G$5:$G$2334,'январь 2025'!$D$5:$D$2334,$B82,'январь 2025'!$J$5:$J$2334,T$1)</f>
        <v>0</v>
      </c>
      <c r="U82" s="76">
        <f>SUMIFS('январь 2025'!$G$5:$G$2334,'январь 2025'!$D$5:$D$2334,$B82,'январь 2025'!$J$5:$J$2334,U$1)</f>
        <v>0</v>
      </c>
      <c r="V82" s="76">
        <f>SUMIFS('январь 2025'!$G$5:$G$2334,'январь 2025'!$D$5:$D$2334,$B82,'январь 2025'!$J$5:$J$2334,V$1)</f>
        <v>0</v>
      </c>
      <c r="W82" s="76">
        <f>SUMIFS('январь 2025'!$G$5:$G$2334,'январь 2025'!$D$5:$D$2334,$B82,'январь 2025'!$J$5:$J$2334,W$1)</f>
        <v>0</v>
      </c>
      <c r="X82" s="76">
        <f>SUMIFS('январь 2025'!$G$5:$G$2334,'январь 2025'!$D$5:$D$2334,$B82,'январь 2025'!$J$5:$J$2334,X$1)</f>
        <v>0</v>
      </c>
      <c r="Y82" s="76">
        <f>SUMIFS('январь 2025'!$G$5:$G$2334,'январь 2025'!$D$5:$D$2334,$B82,'январь 2025'!$J$5:$J$2334,Y$1)</f>
        <v>0</v>
      </c>
      <c r="Z82" s="76">
        <f>SUMIFS('январь 2025'!$G$5:$G$2334,'январь 2025'!$D$5:$D$2334,$B82,'январь 2025'!$J$5:$J$2334,Z$1)</f>
        <v>0</v>
      </c>
      <c r="AA82" s="76">
        <f>SUMIFS('январь 2025'!$G$5:$G$2334,'январь 2025'!$D$5:$D$2334,$B82,'январь 2025'!$J$5:$J$2334,AA$1)</f>
        <v>0</v>
      </c>
      <c r="AB82" s="76">
        <f>SUMIFS('январь 2025'!$G$5:$G$2334,'январь 2025'!$D$5:$D$2334,$B82,'январь 2025'!$J$5:$J$2334,AB$1)</f>
        <v>0</v>
      </c>
      <c r="AC82" s="76">
        <f>SUMIFS('январь 2025'!$G$5:$G$2334,'январь 2025'!$D$5:$D$2334,$B82,'январь 2025'!$J$5:$J$2334,AC$1)</f>
        <v>0</v>
      </c>
      <c r="AD82" s="76">
        <f>SUMIFS('январь 2025'!$G$5:$G$2334,'январь 2025'!$D$5:$D$2334,$B82,'январь 2025'!$J$5:$J$2334,AD$1)</f>
        <v>0</v>
      </c>
      <c r="AE82" s="76">
        <f>SUMIFS('январь 2025'!$G$5:$G$2334,'январь 2025'!$D$5:$D$2334,$B82,'январь 2025'!$J$5:$J$2334,AE$1)</f>
        <v>0</v>
      </c>
      <c r="AF82" s="76">
        <f>SUMIFS('январь 2025'!$G$5:$G$2334,'январь 2025'!$D$5:$D$2334,$B82,'январь 2025'!$J$5:$J$2334,AF$1)</f>
        <v>0</v>
      </c>
      <c r="AG82" s="76">
        <f>SUMIFS('январь 2025'!$G$5:$G$2334,'январь 2025'!$D$5:$D$2334,$B82,'январь 2025'!$J$5:$J$2334,AG$1)</f>
        <v>0</v>
      </c>
      <c r="AH82" s="76">
        <f>SUMIFS('январь 2025'!$G$5:$G$2334,'январь 2025'!$D$5:$D$2334,$B82,'январь 2025'!$J$5:$J$2334,AH$1)</f>
        <v>0</v>
      </c>
      <c r="AI82" s="20">
        <f t="shared" si="1"/>
        <v>0</v>
      </c>
    </row>
    <row r="83" spans="2:35" ht="15" customHeight="1" x14ac:dyDescent="0.25">
      <c r="B83" s="88" t="s">
        <v>190</v>
      </c>
      <c r="C83" s="86">
        <v>190</v>
      </c>
      <c r="D83" s="76">
        <f>SUMIFS('январь 2025'!$G$5:$G$2334,'январь 2025'!$D$5:$D$2334,$B83,'январь 2025'!$J$5:$J$2334,D$1)</f>
        <v>0</v>
      </c>
      <c r="E83" s="76">
        <f>SUMIFS('январь 2025'!$G$5:$G$2334,'январь 2025'!$D$5:$D$2334,$B83,'январь 2025'!$J$5:$J$2334,E$1)</f>
        <v>0</v>
      </c>
      <c r="F83" s="76">
        <f>SUMIFS('январь 2025'!$G$5:$G$2334,'январь 2025'!$D$5:$D$2334,$B83,'январь 2025'!$J$5:$J$2334,F$1)</f>
        <v>0</v>
      </c>
      <c r="G83" s="76">
        <f>SUMIFS('январь 2025'!$G$5:$G$2334,'январь 2025'!$D$5:$D$2334,$B83,'январь 2025'!$J$5:$J$2334,G$1)</f>
        <v>0</v>
      </c>
      <c r="H83" s="76">
        <f>SUMIFS('январь 2025'!$G$5:$G$2334,'январь 2025'!$D$5:$D$2334,$B83,'январь 2025'!$J$5:$J$2334,H$1)</f>
        <v>0</v>
      </c>
      <c r="I83" s="76">
        <f>SUMIFS('январь 2025'!$G$5:$G$2334,'январь 2025'!$D$5:$D$2334,$B83,'январь 2025'!$J$5:$J$2334,I$1)</f>
        <v>0</v>
      </c>
      <c r="J83" s="76">
        <f>SUMIFS('январь 2025'!$G$5:$G$2334,'январь 2025'!$D$5:$D$2334,$B83,'январь 2025'!$J$5:$J$2334,J$1)</f>
        <v>0</v>
      </c>
      <c r="K83" s="76">
        <f>SUMIFS('январь 2025'!$G$5:$G$2334,'январь 2025'!$D$5:$D$2334,$B83,'январь 2025'!$J$5:$J$2334,K$1)</f>
        <v>0</v>
      </c>
      <c r="L83" s="76">
        <f>SUMIFS('январь 2025'!$G$5:$G$2334,'январь 2025'!$D$5:$D$2334,$B83,'январь 2025'!$J$5:$J$2334,L$1)</f>
        <v>0</v>
      </c>
      <c r="M83" s="76">
        <f>SUMIFS('январь 2025'!$G$5:$G$2334,'январь 2025'!$D$5:$D$2334,$B83,'январь 2025'!$J$5:$J$2334,M$1)</f>
        <v>0</v>
      </c>
      <c r="N83" s="76">
        <f>SUMIFS('январь 2025'!$G$5:$G$2334,'январь 2025'!$D$5:$D$2334,$B83,'январь 2025'!$J$5:$J$2334,N$1)</f>
        <v>0</v>
      </c>
      <c r="O83" s="76">
        <f>SUMIFS('январь 2025'!$G$5:$G$2334,'январь 2025'!$D$5:$D$2334,$B83,'январь 2025'!$J$5:$J$2334,O$1)</f>
        <v>0</v>
      </c>
      <c r="P83" s="76">
        <f>SUMIFS('январь 2025'!$G$5:$G$2334,'январь 2025'!$D$5:$D$2334,$B83,'январь 2025'!$J$5:$J$2334,P$1)</f>
        <v>0</v>
      </c>
      <c r="Q83" s="76">
        <f>SUMIFS('январь 2025'!$G$5:$G$2334,'январь 2025'!$D$5:$D$2334,$B83,'январь 2025'!$J$5:$J$2334,Q$1)</f>
        <v>0</v>
      </c>
      <c r="R83" s="76">
        <f>SUMIFS('январь 2025'!$G$5:$G$2334,'январь 2025'!$D$5:$D$2334,$B83,'январь 2025'!$J$5:$J$2334,R$1)</f>
        <v>0</v>
      </c>
      <c r="S83" s="76">
        <f>SUMIFS('январь 2025'!$G$5:$G$2334,'январь 2025'!$D$5:$D$2334,$B83,'январь 2025'!$J$5:$J$2334,S$1)</f>
        <v>0</v>
      </c>
      <c r="T83" s="76">
        <f>SUMIFS('январь 2025'!$G$5:$G$2334,'январь 2025'!$D$5:$D$2334,$B83,'январь 2025'!$J$5:$J$2334,T$1)</f>
        <v>0</v>
      </c>
      <c r="U83" s="76">
        <f>SUMIFS('январь 2025'!$G$5:$G$2334,'январь 2025'!$D$5:$D$2334,$B83,'январь 2025'!$J$5:$J$2334,U$1)</f>
        <v>0</v>
      </c>
      <c r="V83" s="76">
        <f>SUMIFS('январь 2025'!$G$5:$G$2334,'январь 2025'!$D$5:$D$2334,$B83,'январь 2025'!$J$5:$J$2334,V$1)</f>
        <v>0</v>
      </c>
      <c r="W83" s="76">
        <f>SUMIFS('январь 2025'!$G$5:$G$2334,'январь 2025'!$D$5:$D$2334,$B83,'январь 2025'!$J$5:$J$2334,W$1)</f>
        <v>0</v>
      </c>
      <c r="X83" s="76">
        <f>SUMIFS('январь 2025'!$G$5:$G$2334,'январь 2025'!$D$5:$D$2334,$B83,'январь 2025'!$J$5:$J$2334,X$1)</f>
        <v>0</v>
      </c>
      <c r="Y83" s="76">
        <f>SUMIFS('январь 2025'!$G$5:$G$2334,'январь 2025'!$D$5:$D$2334,$B83,'январь 2025'!$J$5:$J$2334,Y$1)</f>
        <v>0</v>
      </c>
      <c r="Z83" s="76">
        <f>SUMIFS('январь 2025'!$G$5:$G$2334,'январь 2025'!$D$5:$D$2334,$B83,'январь 2025'!$J$5:$J$2334,Z$1)</f>
        <v>0</v>
      </c>
      <c r="AA83" s="76">
        <f>SUMIFS('январь 2025'!$G$5:$G$2334,'январь 2025'!$D$5:$D$2334,$B83,'январь 2025'!$J$5:$J$2334,AA$1)</f>
        <v>0</v>
      </c>
      <c r="AB83" s="76">
        <f>SUMIFS('январь 2025'!$G$5:$G$2334,'январь 2025'!$D$5:$D$2334,$B83,'январь 2025'!$J$5:$J$2334,AB$1)</f>
        <v>0</v>
      </c>
      <c r="AC83" s="76">
        <f>SUMIFS('январь 2025'!$G$5:$G$2334,'январь 2025'!$D$5:$D$2334,$B83,'январь 2025'!$J$5:$J$2334,AC$1)</f>
        <v>0</v>
      </c>
      <c r="AD83" s="76">
        <f>SUMIFS('январь 2025'!$G$5:$G$2334,'январь 2025'!$D$5:$D$2334,$B83,'январь 2025'!$J$5:$J$2334,AD$1)</f>
        <v>0</v>
      </c>
      <c r="AE83" s="76">
        <f>SUMIFS('январь 2025'!$G$5:$G$2334,'январь 2025'!$D$5:$D$2334,$B83,'январь 2025'!$J$5:$J$2334,AE$1)</f>
        <v>0</v>
      </c>
      <c r="AF83" s="76">
        <f>SUMIFS('январь 2025'!$G$5:$G$2334,'январь 2025'!$D$5:$D$2334,$B83,'январь 2025'!$J$5:$J$2334,AF$1)</f>
        <v>0</v>
      </c>
      <c r="AG83" s="76">
        <f>SUMIFS('январь 2025'!$G$5:$G$2334,'январь 2025'!$D$5:$D$2334,$B83,'январь 2025'!$J$5:$J$2334,AG$1)</f>
        <v>0</v>
      </c>
      <c r="AH83" s="76">
        <f>SUMIFS('январь 2025'!$G$5:$G$2334,'январь 2025'!$D$5:$D$2334,$B83,'январь 2025'!$J$5:$J$2334,AH$1)</f>
        <v>0</v>
      </c>
      <c r="AI83" s="20">
        <f t="shared" si="1"/>
        <v>0</v>
      </c>
    </row>
    <row r="84" spans="2:35" ht="15" customHeight="1" x14ac:dyDescent="0.25">
      <c r="B84" s="88" t="s">
        <v>191</v>
      </c>
      <c r="C84" s="86">
        <v>190</v>
      </c>
      <c r="D84" s="76">
        <f>SUMIFS('январь 2025'!$G$5:$G$2334,'январь 2025'!$D$5:$D$2334,$B84,'январь 2025'!$J$5:$J$2334,D$1)</f>
        <v>0</v>
      </c>
      <c r="E84" s="76">
        <f>SUMIFS('январь 2025'!$G$5:$G$2334,'январь 2025'!$D$5:$D$2334,$B84,'январь 2025'!$J$5:$J$2334,E$1)</f>
        <v>0</v>
      </c>
      <c r="F84" s="76">
        <f>SUMIFS('январь 2025'!$G$5:$G$2334,'январь 2025'!$D$5:$D$2334,$B84,'январь 2025'!$J$5:$J$2334,F$1)</f>
        <v>0</v>
      </c>
      <c r="G84" s="76">
        <f>SUMIFS('январь 2025'!$G$5:$G$2334,'январь 2025'!$D$5:$D$2334,$B84,'январь 2025'!$J$5:$J$2334,G$1)</f>
        <v>0</v>
      </c>
      <c r="H84" s="76">
        <f>SUMIFS('январь 2025'!$G$5:$G$2334,'январь 2025'!$D$5:$D$2334,$B84,'январь 2025'!$J$5:$J$2334,H$1)</f>
        <v>0</v>
      </c>
      <c r="I84" s="76">
        <f>SUMIFS('январь 2025'!$G$5:$G$2334,'январь 2025'!$D$5:$D$2334,$B84,'январь 2025'!$J$5:$J$2334,I$1)</f>
        <v>0</v>
      </c>
      <c r="J84" s="76">
        <f>SUMIFS('январь 2025'!$G$5:$G$2334,'январь 2025'!$D$5:$D$2334,$B84,'январь 2025'!$J$5:$J$2334,J$1)</f>
        <v>0</v>
      </c>
      <c r="K84" s="76">
        <f>SUMIFS('январь 2025'!$G$5:$G$2334,'январь 2025'!$D$5:$D$2334,$B84,'январь 2025'!$J$5:$J$2334,K$1)</f>
        <v>0</v>
      </c>
      <c r="L84" s="76">
        <f>SUMIFS('январь 2025'!$G$5:$G$2334,'январь 2025'!$D$5:$D$2334,$B84,'январь 2025'!$J$5:$J$2334,L$1)</f>
        <v>0</v>
      </c>
      <c r="M84" s="76">
        <f>SUMIFS('январь 2025'!$G$5:$G$2334,'январь 2025'!$D$5:$D$2334,$B84,'январь 2025'!$J$5:$J$2334,M$1)</f>
        <v>0</v>
      </c>
      <c r="N84" s="76">
        <f>SUMIFS('январь 2025'!$G$5:$G$2334,'январь 2025'!$D$5:$D$2334,$B84,'январь 2025'!$J$5:$J$2334,N$1)</f>
        <v>0</v>
      </c>
      <c r="O84" s="76">
        <f>SUMIFS('январь 2025'!$G$5:$G$2334,'январь 2025'!$D$5:$D$2334,$B84,'январь 2025'!$J$5:$J$2334,O$1)</f>
        <v>0</v>
      </c>
      <c r="P84" s="76">
        <f>SUMIFS('январь 2025'!$G$5:$G$2334,'январь 2025'!$D$5:$D$2334,$B84,'январь 2025'!$J$5:$J$2334,P$1)</f>
        <v>0</v>
      </c>
      <c r="Q84" s="76">
        <f>SUMIFS('январь 2025'!$G$5:$G$2334,'январь 2025'!$D$5:$D$2334,$B84,'январь 2025'!$J$5:$J$2334,Q$1)</f>
        <v>0</v>
      </c>
      <c r="R84" s="76">
        <f>SUMIFS('январь 2025'!$G$5:$G$2334,'январь 2025'!$D$5:$D$2334,$B84,'январь 2025'!$J$5:$J$2334,R$1)</f>
        <v>0</v>
      </c>
      <c r="S84" s="76">
        <f>SUMIFS('январь 2025'!$G$5:$G$2334,'январь 2025'!$D$5:$D$2334,$B84,'январь 2025'!$J$5:$J$2334,S$1)</f>
        <v>0</v>
      </c>
      <c r="T84" s="76">
        <f>SUMIFS('январь 2025'!$G$5:$G$2334,'январь 2025'!$D$5:$D$2334,$B84,'январь 2025'!$J$5:$J$2334,T$1)</f>
        <v>0</v>
      </c>
      <c r="U84" s="76">
        <f>SUMIFS('январь 2025'!$G$5:$G$2334,'январь 2025'!$D$5:$D$2334,$B84,'январь 2025'!$J$5:$J$2334,U$1)</f>
        <v>0</v>
      </c>
      <c r="V84" s="76">
        <f>SUMIFS('январь 2025'!$G$5:$G$2334,'январь 2025'!$D$5:$D$2334,$B84,'январь 2025'!$J$5:$J$2334,V$1)</f>
        <v>0</v>
      </c>
      <c r="W84" s="76">
        <f>SUMIFS('январь 2025'!$G$5:$G$2334,'январь 2025'!$D$5:$D$2334,$B84,'январь 2025'!$J$5:$J$2334,W$1)</f>
        <v>0</v>
      </c>
      <c r="X84" s="76">
        <f>SUMIFS('январь 2025'!$G$5:$G$2334,'январь 2025'!$D$5:$D$2334,$B84,'январь 2025'!$J$5:$J$2334,X$1)</f>
        <v>0</v>
      </c>
      <c r="Y84" s="76">
        <f>SUMIFS('январь 2025'!$G$5:$G$2334,'январь 2025'!$D$5:$D$2334,$B84,'январь 2025'!$J$5:$J$2334,Y$1)</f>
        <v>0</v>
      </c>
      <c r="Z84" s="76">
        <f>SUMIFS('январь 2025'!$G$5:$G$2334,'январь 2025'!$D$5:$D$2334,$B84,'январь 2025'!$J$5:$J$2334,Z$1)</f>
        <v>0</v>
      </c>
      <c r="AA84" s="76">
        <f>SUMIFS('январь 2025'!$G$5:$G$2334,'январь 2025'!$D$5:$D$2334,$B84,'январь 2025'!$J$5:$J$2334,AA$1)</f>
        <v>0</v>
      </c>
      <c r="AB84" s="76">
        <f>SUMIFS('январь 2025'!$G$5:$G$2334,'январь 2025'!$D$5:$D$2334,$B84,'январь 2025'!$J$5:$J$2334,AB$1)</f>
        <v>0</v>
      </c>
      <c r="AC84" s="76">
        <f>SUMIFS('январь 2025'!$G$5:$G$2334,'январь 2025'!$D$5:$D$2334,$B84,'январь 2025'!$J$5:$J$2334,AC$1)</f>
        <v>0</v>
      </c>
      <c r="AD84" s="76">
        <f>SUMIFS('январь 2025'!$G$5:$G$2334,'январь 2025'!$D$5:$D$2334,$B84,'январь 2025'!$J$5:$J$2334,AD$1)</f>
        <v>0</v>
      </c>
      <c r="AE84" s="76">
        <f>SUMIFS('январь 2025'!$G$5:$G$2334,'январь 2025'!$D$5:$D$2334,$B84,'январь 2025'!$J$5:$J$2334,AE$1)</f>
        <v>0</v>
      </c>
      <c r="AF84" s="76">
        <f>SUMIFS('январь 2025'!$G$5:$G$2334,'январь 2025'!$D$5:$D$2334,$B84,'январь 2025'!$J$5:$J$2334,AF$1)</f>
        <v>0</v>
      </c>
      <c r="AG84" s="76">
        <f>SUMIFS('январь 2025'!$G$5:$G$2334,'январь 2025'!$D$5:$D$2334,$B84,'январь 2025'!$J$5:$J$2334,AG$1)</f>
        <v>0</v>
      </c>
      <c r="AH84" s="76">
        <f>SUMIFS('январь 2025'!$G$5:$G$2334,'январь 2025'!$D$5:$D$2334,$B84,'январь 2025'!$J$5:$J$2334,AH$1)</f>
        <v>0</v>
      </c>
      <c r="AI84" s="20">
        <f t="shared" si="1"/>
        <v>0</v>
      </c>
    </row>
    <row r="85" spans="2:35" ht="15" customHeight="1" x14ac:dyDescent="0.25">
      <c r="B85" s="88" t="s">
        <v>309</v>
      </c>
      <c r="C85" s="86">
        <v>200</v>
      </c>
      <c r="D85" s="76">
        <f>SUMIFS('январь 2025'!$G$5:$G$2334,'январь 2025'!$D$5:$D$2334,$B85,'январь 2025'!$J$5:$J$2334,D$1)</f>
        <v>0</v>
      </c>
      <c r="E85" s="76">
        <f>SUMIFS('январь 2025'!$G$5:$G$2334,'январь 2025'!$D$5:$D$2334,$B85,'январь 2025'!$J$5:$J$2334,E$1)</f>
        <v>0</v>
      </c>
      <c r="F85" s="76">
        <f>SUMIFS('январь 2025'!$G$5:$G$2334,'январь 2025'!$D$5:$D$2334,$B85,'январь 2025'!$J$5:$J$2334,F$1)</f>
        <v>0</v>
      </c>
      <c r="G85" s="76">
        <f>SUMIFS('январь 2025'!$G$5:$G$2334,'январь 2025'!$D$5:$D$2334,$B85,'январь 2025'!$J$5:$J$2334,G$1)</f>
        <v>0</v>
      </c>
      <c r="H85" s="76">
        <f>SUMIFS('январь 2025'!$G$5:$G$2334,'январь 2025'!$D$5:$D$2334,$B85,'январь 2025'!$J$5:$J$2334,H$1)</f>
        <v>0</v>
      </c>
      <c r="I85" s="76">
        <f>SUMIFS('январь 2025'!$G$5:$G$2334,'январь 2025'!$D$5:$D$2334,$B85,'январь 2025'!$J$5:$J$2334,I$1)</f>
        <v>0</v>
      </c>
      <c r="J85" s="76">
        <f>SUMIFS('январь 2025'!$G$5:$G$2334,'январь 2025'!$D$5:$D$2334,$B85,'январь 2025'!$J$5:$J$2334,J$1)</f>
        <v>0</v>
      </c>
      <c r="K85" s="76">
        <f>SUMIFS('январь 2025'!$G$5:$G$2334,'январь 2025'!$D$5:$D$2334,$B85,'январь 2025'!$J$5:$J$2334,K$1)</f>
        <v>0</v>
      </c>
      <c r="L85" s="76">
        <f>SUMIFS('январь 2025'!$G$5:$G$2334,'январь 2025'!$D$5:$D$2334,$B85,'январь 2025'!$J$5:$J$2334,L$1)</f>
        <v>0</v>
      </c>
      <c r="M85" s="76">
        <f>SUMIFS('январь 2025'!$G$5:$G$2334,'январь 2025'!$D$5:$D$2334,$B85,'январь 2025'!$J$5:$J$2334,M$1)</f>
        <v>0</v>
      </c>
      <c r="N85" s="76">
        <f>SUMIFS('январь 2025'!$G$5:$G$2334,'январь 2025'!$D$5:$D$2334,$B85,'январь 2025'!$J$5:$J$2334,N$1)</f>
        <v>0</v>
      </c>
      <c r="O85" s="76">
        <f>SUMIFS('январь 2025'!$G$5:$G$2334,'январь 2025'!$D$5:$D$2334,$B85,'январь 2025'!$J$5:$J$2334,O$1)</f>
        <v>0</v>
      </c>
      <c r="P85" s="76">
        <f>SUMIFS('январь 2025'!$G$5:$G$2334,'январь 2025'!$D$5:$D$2334,$B85,'январь 2025'!$J$5:$J$2334,P$1)</f>
        <v>0</v>
      </c>
      <c r="Q85" s="76">
        <f>SUMIFS('январь 2025'!$G$5:$G$2334,'январь 2025'!$D$5:$D$2334,$B85,'январь 2025'!$J$5:$J$2334,Q$1)</f>
        <v>0</v>
      </c>
      <c r="R85" s="76">
        <f>SUMIFS('январь 2025'!$G$5:$G$2334,'январь 2025'!$D$5:$D$2334,$B85,'январь 2025'!$J$5:$J$2334,R$1)</f>
        <v>0</v>
      </c>
      <c r="S85" s="76">
        <f>SUMIFS('январь 2025'!$G$5:$G$2334,'январь 2025'!$D$5:$D$2334,$B85,'январь 2025'!$J$5:$J$2334,S$1)</f>
        <v>0</v>
      </c>
      <c r="T85" s="76">
        <f>SUMIFS('январь 2025'!$G$5:$G$2334,'январь 2025'!$D$5:$D$2334,$B85,'январь 2025'!$J$5:$J$2334,T$1)</f>
        <v>0</v>
      </c>
      <c r="U85" s="76">
        <f>SUMIFS('январь 2025'!$G$5:$G$2334,'январь 2025'!$D$5:$D$2334,$B85,'январь 2025'!$J$5:$J$2334,U$1)</f>
        <v>0</v>
      </c>
      <c r="V85" s="76">
        <f>SUMIFS('январь 2025'!$G$5:$G$2334,'январь 2025'!$D$5:$D$2334,$B85,'январь 2025'!$J$5:$J$2334,V$1)</f>
        <v>0</v>
      </c>
      <c r="W85" s="76">
        <f>SUMIFS('январь 2025'!$G$5:$G$2334,'январь 2025'!$D$5:$D$2334,$B85,'январь 2025'!$J$5:$J$2334,W$1)</f>
        <v>0</v>
      </c>
      <c r="X85" s="76">
        <f>SUMIFS('январь 2025'!$G$5:$G$2334,'январь 2025'!$D$5:$D$2334,$B85,'январь 2025'!$J$5:$J$2334,X$1)</f>
        <v>0</v>
      </c>
      <c r="Y85" s="76">
        <f>SUMIFS('январь 2025'!$G$5:$G$2334,'январь 2025'!$D$5:$D$2334,$B85,'январь 2025'!$J$5:$J$2334,Y$1)</f>
        <v>0</v>
      </c>
      <c r="Z85" s="76">
        <f>SUMIFS('январь 2025'!$G$5:$G$2334,'январь 2025'!$D$5:$D$2334,$B85,'январь 2025'!$J$5:$J$2334,Z$1)</f>
        <v>0</v>
      </c>
      <c r="AA85" s="76">
        <f>SUMIFS('январь 2025'!$G$5:$G$2334,'январь 2025'!$D$5:$D$2334,$B85,'январь 2025'!$J$5:$J$2334,AA$1)</f>
        <v>0</v>
      </c>
      <c r="AB85" s="76">
        <f>SUMIFS('январь 2025'!$G$5:$G$2334,'январь 2025'!$D$5:$D$2334,$B85,'январь 2025'!$J$5:$J$2334,AB$1)</f>
        <v>0</v>
      </c>
      <c r="AC85" s="76">
        <f>SUMIFS('январь 2025'!$G$5:$G$2334,'январь 2025'!$D$5:$D$2334,$B85,'январь 2025'!$J$5:$J$2334,AC$1)</f>
        <v>0</v>
      </c>
      <c r="AD85" s="76">
        <f>SUMIFS('январь 2025'!$G$5:$G$2334,'январь 2025'!$D$5:$D$2334,$B85,'январь 2025'!$J$5:$J$2334,AD$1)</f>
        <v>88</v>
      </c>
      <c r="AE85" s="76">
        <f>SUMIFS('январь 2025'!$G$5:$G$2334,'январь 2025'!$D$5:$D$2334,$B85,'январь 2025'!$J$5:$J$2334,AE$1)</f>
        <v>0</v>
      </c>
      <c r="AF85" s="76">
        <f>SUMIFS('январь 2025'!$G$5:$G$2334,'январь 2025'!$D$5:$D$2334,$B85,'январь 2025'!$J$5:$J$2334,AF$1)</f>
        <v>0</v>
      </c>
      <c r="AG85" s="76">
        <f>SUMIFS('январь 2025'!$G$5:$G$2334,'январь 2025'!$D$5:$D$2334,$B85,'январь 2025'!$J$5:$J$2334,AG$1)</f>
        <v>0</v>
      </c>
      <c r="AH85" s="76">
        <f>SUMIFS('январь 2025'!$G$5:$G$2334,'январь 2025'!$D$5:$D$2334,$B85,'январь 2025'!$J$5:$J$2334,AH$1)</f>
        <v>0</v>
      </c>
      <c r="AI85" s="20">
        <f t="shared" si="1"/>
        <v>88</v>
      </c>
    </row>
    <row r="86" spans="2:35" ht="15" customHeight="1" x14ac:dyDescent="0.25">
      <c r="B86" s="88" t="s">
        <v>192</v>
      </c>
      <c r="C86" s="86">
        <v>900</v>
      </c>
      <c r="D86" s="76">
        <f>SUMIFS('январь 2025'!$G$5:$G$2334,'январь 2025'!$D$5:$D$2334,$B86,'январь 2025'!$J$5:$J$2334,D$1)</f>
        <v>0</v>
      </c>
      <c r="E86" s="76">
        <f>SUMIFS('январь 2025'!$G$5:$G$2334,'январь 2025'!$D$5:$D$2334,$B86,'январь 2025'!$J$5:$J$2334,E$1)</f>
        <v>0</v>
      </c>
      <c r="F86" s="76">
        <f>SUMIFS('январь 2025'!$G$5:$G$2334,'январь 2025'!$D$5:$D$2334,$B86,'январь 2025'!$J$5:$J$2334,F$1)</f>
        <v>0</v>
      </c>
      <c r="G86" s="76">
        <f>SUMIFS('январь 2025'!$G$5:$G$2334,'январь 2025'!$D$5:$D$2334,$B86,'январь 2025'!$J$5:$J$2334,G$1)</f>
        <v>0</v>
      </c>
      <c r="H86" s="76">
        <f>SUMIFS('январь 2025'!$G$5:$G$2334,'январь 2025'!$D$5:$D$2334,$B86,'январь 2025'!$J$5:$J$2334,H$1)</f>
        <v>0</v>
      </c>
      <c r="I86" s="76">
        <f>SUMIFS('январь 2025'!$G$5:$G$2334,'январь 2025'!$D$5:$D$2334,$B86,'январь 2025'!$J$5:$J$2334,I$1)</f>
        <v>0</v>
      </c>
      <c r="J86" s="76">
        <f>SUMIFS('январь 2025'!$G$5:$G$2334,'январь 2025'!$D$5:$D$2334,$B86,'январь 2025'!$J$5:$J$2334,J$1)</f>
        <v>0</v>
      </c>
      <c r="K86" s="76">
        <f>SUMIFS('январь 2025'!$G$5:$G$2334,'январь 2025'!$D$5:$D$2334,$B86,'январь 2025'!$J$5:$J$2334,K$1)</f>
        <v>0</v>
      </c>
      <c r="L86" s="76">
        <f>SUMIFS('январь 2025'!$G$5:$G$2334,'январь 2025'!$D$5:$D$2334,$B86,'январь 2025'!$J$5:$J$2334,L$1)</f>
        <v>0</v>
      </c>
      <c r="M86" s="76">
        <f>SUMIFS('январь 2025'!$G$5:$G$2334,'январь 2025'!$D$5:$D$2334,$B86,'январь 2025'!$J$5:$J$2334,M$1)</f>
        <v>0</v>
      </c>
      <c r="N86" s="76">
        <f>SUMIFS('январь 2025'!$G$5:$G$2334,'январь 2025'!$D$5:$D$2334,$B86,'январь 2025'!$J$5:$J$2334,N$1)</f>
        <v>0</v>
      </c>
      <c r="O86" s="76">
        <f>SUMIFS('январь 2025'!$G$5:$G$2334,'январь 2025'!$D$5:$D$2334,$B86,'январь 2025'!$J$5:$J$2334,O$1)</f>
        <v>0</v>
      </c>
      <c r="P86" s="76">
        <f>SUMIFS('январь 2025'!$G$5:$G$2334,'январь 2025'!$D$5:$D$2334,$B86,'январь 2025'!$J$5:$J$2334,P$1)</f>
        <v>0</v>
      </c>
      <c r="Q86" s="76">
        <f>SUMIFS('январь 2025'!$G$5:$G$2334,'январь 2025'!$D$5:$D$2334,$B86,'январь 2025'!$J$5:$J$2334,Q$1)</f>
        <v>0</v>
      </c>
      <c r="R86" s="76">
        <f>SUMIFS('январь 2025'!$G$5:$G$2334,'январь 2025'!$D$5:$D$2334,$B86,'январь 2025'!$J$5:$J$2334,R$1)</f>
        <v>0</v>
      </c>
      <c r="S86" s="76">
        <f>SUMIFS('январь 2025'!$G$5:$G$2334,'январь 2025'!$D$5:$D$2334,$B86,'январь 2025'!$J$5:$J$2334,S$1)</f>
        <v>0</v>
      </c>
      <c r="T86" s="76">
        <f>SUMIFS('январь 2025'!$G$5:$G$2334,'январь 2025'!$D$5:$D$2334,$B86,'январь 2025'!$J$5:$J$2334,T$1)</f>
        <v>0</v>
      </c>
      <c r="U86" s="76">
        <f>SUMIFS('январь 2025'!$G$5:$G$2334,'январь 2025'!$D$5:$D$2334,$B86,'январь 2025'!$J$5:$J$2334,U$1)</f>
        <v>0</v>
      </c>
      <c r="V86" s="76">
        <f>SUMIFS('январь 2025'!$G$5:$G$2334,'январь 2025'!$D$5:$D$2334,$B86,'январь 2025'!$J$5:$J$2334,V$1)</f>
        <v>0</v>
      </c>
      <c r="W86" s="76">
        <f>SUMIFS('январь 2025'!$G$5:$G$2334,'январь 2025'!$D$5:$D$2334,$B86,'январь 2025'!$J$5:$J$2334,W$1)</f>
        <v>0</v>
      </c>
      <c r="X86" s="76">
        <f>SUMIFS('январь 2025'!$G$5:$G$2334,'январь 2025'!$D$5:$D$2334,$B86,'январь 2025'!$J$5:$J$2334,X$1)</f>
        <v>0</v>
      </c>
      <c r="Y86" s="76">
        <f>SUMIFS('январь 2025'!$G$5:$G$2334,'январь 2025'!$D$5:$D$2334,$B86,'январь 2025'!$J$5:$J$2334,Y$1)</f>
        <v>0</v>
      </c>
      <c r="Z86" s="76">
        <f>SUMIFS('январь 2025'!$G$5:$G$2334,'январь 2025'!$D$5:$D$2334,$B86,'январь 2025'!$J$5:$J$2334,Z$1)</f>
        <v>0</v>
      </c>
      <c r="AA86" s="76">
        <f>SUMIFS('январь 2025'!$G$5:$G$2334,'январь 2025'!$D$5:$D$2334,$B86,'январь 2025'!$J$5:$J$2334,AA$1)</f>
        <v>0</v>
      </c>
      <c r="AB86" s="76">
        <f>SUMIFS('январь 2025'!$G$5:$G$2334,'январь 2025'!$D$5:$D$2334,$B86,'январь 2025'!$J$5:$J$2334,AB$1)</f>
        <v>0</v>
      </c>
      <c r="AC86" s="76">
        <f>SUMIFS('январь 2025'!$G$5:$G$2334,'январь 2025'!$D$5:$D$2334,$B86,'январь 2025'!$J$5:$J$2334,AC$1)</f>
        <v>0</v>
      </c>
      <c r="AD86" s="76">
        <f>SUMIFS('январь 2025'!$G$5:$G$2334,'январь 2025'!$D$5:$D$2334,$B86,'январь 2025'!$J$5:$J$2334,AD$1)</f>
        <v>0</v>
      </c>
      <c r="AE86" s="76">
        <f>SUMIFS('январь 2025'!$G$5:$G$2334,'январь 2025'!$D$5:$D$2334,$B86,'январь 2025'!$J$5:$J$2334,AE$1)</f>
        <v>0</v>
      </c>
      <c r="AF86" s="76">
        <f>SUMIFS('январь 2025'!$G$5:$G$2334,'январь 2025'!$D$5:$D$2334,$B86,'январь 2025'!$J$5:$J$2334,AF$1)</f>
        <v>0</v>
      </c>
      <c r="AG86" s="76">
        <f>SUMIFS('январь 2025'!$G$5:$G$2334,'январь 2025'!$D$5:$D$2334,$B86,'январь 2025'!$J$5:$J$2334,AG$1)</f>
        <v>0</v>
      </c>
      <c r="AH86" s="76">
        <f>SUMIFS('январь 2025'!$G$5:$G$2334,'январь 2025'!$D$5:$D$2334,$B86,'январь 2025'!$J$5:$J$2334,AH$1)</f>
        <v>0</v>
      </c>
      <c r="AI86" s="20">
        <f t="shared" si="1"/>
        <v>0</v>
      </c>
    </row>
    <row r="87" spans="2:35" ht="15" customHeight="1" x14ac:dyDescent="0.25">
      <c r="B87" s="84" t="s">
        <v>186</v>
      </c>
      <c r="C87" s="83">
        <v>190</v>
      </c>
      <c r="D87" s="76">
        <f>SUMIFS('январь 2025'!$G$5:$G$2334,'январь 2025'!$D$5:$D$2334,$B87,'январь 2025'!$J$5:$J$2334,D$1)</f>
        <v>0</v>
      </c>
      <c r="E87" s="76">
        <f>SUMIFS('январь 2025'!$G$5:$G$2334,'январь 2025'!$D$5:$D$2334,$B87,'январь 2025'!$J$5:$J$2334,E$1)</f>
        <v>0</v>
      </c>
      <c r="F87" s="76">
        <f>SUMIFS('январь 2025'!$G$5:$G$2334,'январь 2025'!$D$5:$D$2334,$B87,'январь 2025'!$J$5:$J$2334,F$1)</f>
        <v>0</v>
      </c>
      <c r="G87" s="76">
        <f>SUMIFS('январь 2025'!$G$5:$G$2334,'январь 2025'!$D$5:$D$2334,$B87,'январь 2025'!$J$5:$J$2334,G$1)</f>
        <v>0</v>
      </c>
      <c r="H87" s="76">
        <f>SUMIFS('январь 2025'!$G$5:$G$2334,'январь 2025'!$D$5:$D$2334,$B87,'январь 2025'!$J$5:$J$2334,H$1)</f>
        <v>0</v>
      </c>
      <c r="I87" s="76">
        <f>SUMIFS('январь 2025'!$G$5:$G$2334,'январь 2025'!$D$5:$D$2334,$B87,'январь 2025'!$J$5:$J$2334,I$1)</f>
        <v>0</v>
      </c>
      <c r="J87" s="76">
        <f>SUMIFS('январь 2025'!$G$5:$G$2334,'январь 2025'!$D$5:$D$2334,$B87,'январь 2025'!$J$5:$J$2334,J$1)</f>
        <v>0</v>
      </c>
      <c r="K87" s="76">
        <f>SUMIFS('январь 2025'!$G$5:$G$2334,'январь 2025'!$D$5:$D$2334,$B87,'январь 2025'!$J$5:$J$2334,K$1)</f>
        <v>0</v>
      </c>
      <c r="L87" s="76">
        <f>SUMIFS('январь 2025'!$G$5:$G$2334,'январь 2025'!$D$5:$D$2334,$B87,'январь 2025'!$J$5:$J$2334,L$1)</f>
        <v>0</v>
      </c>
      <c r="M87" s="76">
        <f>SUMIFS('январь 2025'!$G$5:$G$2334,'январь 2025'!$D$5:$D$2334,$B87,'январь 2025'!$J$5:$J$2334,M$1)</f>
        <v>0</v>
      </c>
      <c r="N87" s="76">
        <f>SUMIFS('январь 2025'!$G$5:$G$2334,'январь 2025'!$D$5:$D$2334,$B87,'январь 2025'!$J$5:$J$2334,N$1)</f>
        <v>0</v>
      </c>
      <c r="O87" s="76">
        <f>SUMIFS('январь 2025'!$G$5:$G$2334,'январь 2025'!$D$5:$D$2334,$B87,'январь 2025'!$J$5:$J$2334,O$1)</f>
        <v>0</v>
      </c>
      <c r="P87" s="76">
        <f>SUMIFS('январь 2025'!$G$5:$G$2334,'январь 2025'!$D$5:$D$2334,$B87,'январь 2025'!$J$5:$J$2334,P$1)</f>
        <v>0</v>
      </c>
      <c r="Q87" s="76">
        <f>SUMIFS('январь 2025'!$G$5:$G$2334,'январь 2025'!$D$5:$D$2334,$B87,'январь 2025'!$J$5:$J$2334,Q$1)</f>
        <v>0</v>
      </c>
      <c r="R87" s="76">
        <f>SUMIFS('январь 2025'!$G$5:$G$2334,'январь 2025'!$D$5:$D$2334,$B87,'январь 2025'!$J$5:$J$2334,R$1)</f>
        <v>0</v>
      </c>
      <c r="S87" s="76">
        <f>SUMIFS('январь 2025'!$G$5:$G$2334,'январь 2025'!$D$5:$D$2334,$B87,'январь 2025'!$J$5:$J$2334,S$1)</f>
        <v>0</v>
      </c>
      <c r="T87" s="76">
        <f>SUMIFS('январь 2025'!$G$5:$G$2334,'январь 2025'!$D$5:$D$2334,$B87,'январь 2025'!$J$5:$J$2334,T$1)</f>
        <v>0</v>
      </c>
      <c r="U87" s="76">
        <f>SUMIFS('январь 2025'!$G$5:$G$2334,'январь 2025'!$D$5:$D$2334,$B87,'январь 2025'!$J$5:$J$2334,U$1)</f>
        <v>0</v>
      </c>
      <c r="V87" s="76">
        <f>SUMIFS('январь 2025'!$G$5:$G$2334,'январь 2025'!$D$5:$D$2334,$B87,'январь 2025'!$J$5:$J$2334,V$1)</f>
        <v>0</v>
      </c>
      <c r="W87" s="76">
        <f>SUMIFS('январь 2025'!$G$5:$G$2334,'январь 2025'!$D$5:$D$2334,$B87,'январь 2025'!$J$5:$J$2334,W$1)</f>
        <v>0</v>
      </c>
      <c r="X87" s="76">
        <f>SUMIFS('январь 2025'!$G$5:$G$2334,'январь 2025'!$D$5:$D$2334,$B87,'январь 2025'!$J$5:$J$2334,X$1)</f>
        <v>0</v>
      </c>
      <c r="Y87" s="76">
        <f>SUMIFS('январь 2025'!$G$5:$G$2334,'январь 2025'!$D$5:$D$2334,$B87,'январь 2025'!$J$5:$J$2334,Y$1)</f>
        <v>0</v>
      </c>
      <c r="Z87" s="76">
        <f>SUMIFS('январь 2025'!$G$5:$G$2334,'январь 2025'!$D$5:$D$2334,$B87,'январь 2025'!$J$5:$J$2334,Z$1)</f>
        <v>0</v>
      </c>
      <c r="AA87" s="76">
        <f>SUMIFS('январь 2025'!$G$5:$G$2334,'январь 2025'!$D$5:$D$2334,$B87,'январь 2025'!$J$5:$J$2334,AA$1)</f>
        <v>0</v>
      </c>
      <c r="AB87" s="76">
        <f>SUMIFS('январь 2025'!$G$5:$G$2334,'январь 2025'!$D$5:$D$2334,$B87,'январь 2025'!$J$5:$J$2334,AB$1)</f>
        <v>0</v>
      </c>
      <c r="AC87" s="76">
        <f>SUMIFS('январь 2025'!$G$5:$G$2334,'январь 2025'!$D$5:$D$2334,$B87,'январь 2025'!$J$5:$J$2334,AC$1)</f>
        <v>0</v>
      </c>
      <c r="AD87" s="76">
        <f>SUMIFS('январь 2025'!$G$5:$G$2334,'январь 2025'!$D$5:$D$2334,$B87,'январь 2025'!$J$5:$J$2334,AD$1)</f>
        <v>0</v>
      </c>
      <c r="AE87" s="76">
        <f>SUMIFS('январь 2025'!$G$5:$G$2334,'январь 2025'!$D$5:$D$2334,$B87,'январь 2025'!$J$5:$J$2334,AE$1)</f>
        <v>0</v>
      </c>
      <c r="AF87" s="76">
        <f>SUMIFS('январь 2025'!$G$5:$G$2334,'январь 2025'!$D$5:$D$2334,$B87,'январь 2025'!$J$5:$J$2334,AF$1)</f>
        <v>0</v>
      </c>
      <c r="AG87" s="76">
        <f>SUMIFS('январь 2025'!$G$5:$G$2334,'январь 2025'!$D$5:$D$2334,$B87,'январь 2025'!$J$5:$J$2334,AG$1)</f>
        <v>0</v>
      </c>
      <c r="AH87" s="76">
        <f>SUMIFS('январь 2025'!$G$5:$G$2334,'январь 2025'!$D$5:$D$2334,$B87,'январь 2025'!$J$5:$J$2334,AH$1)</f>
        <v>0</v>
      </c>
      <c r="AI87" s="20">
        <f t="shared" si="1"/>
        <v>0</v>
      </c>
    </row>
    <row r="88" spans="2:35" ht="15" customHeight="1" x14ac:dyDescent="0.25">
      <c r="B88" s="84" t="s">
        <v>205</v>
      </c>
      <c r="C88" s="83">
        <v>190</v>
      </c>
      <c r="D88" s="76">
        <f>SUMIFS('январь 2025'!$G$5:$G$2334,'январь 2025'!$D$5:$D$2334,$B88,'январь 2025'!$J$5:$J$2334,D$1)</f>
        <v>0</v>
      </c>
      <c r="E88" s="76">
        <f>SUMIFS('январь 2025'!$G$5:$G$2334,'январь 2025'!$D$5:$D$2334,$B88,'январь 2025'!$J$5:$J$2334,E$1)</f>
        <v>0</v>
      </c>
      <c r="F88" s="76">
        <f>SUMIFS('январь 2025'!$G$5:$G$2334,'январь 2025'!$D$5:$D$2334,$B88,'январь 2025'!$J$5:$J$2334,F$1)</f>
        <v>0</v>
      </c>
      <c r="G88" s="76">
        <f>SUMIFS('январь 2025'!$G$5:$G$2334,'январь 2025'!$D$5:$D$2334,$B88,'январь 2025'!$J$5:$J$2334,G$1)</f>
        <v>0</v>
      </c>
      <c r="H88" s="76">
        <f>SUMIFS('январь 2025'!$G$5:$G$2334,'январь 2025'!$D$5:$D$2334,$B88,'январь 2025'!$J$5:$J$2334,H$1)</f>
        <v>0</v>
      </c>
      <c r="I88" s="76">
        <f>SUMIFS('январь 2025'!$G$5:$G$2334,'январь 2025'!$D$5:$D$2334,$B88,'январь 2025'!$J$5:$J$2334,I$1)</f>
        <v>0</v>
      </c>
      <c r="J88" s="76">
        <f>SUMIFS('январь 2025'!$G$5:$G$2334,'январь 2025'!$D$5:$D$2334,$B88,'январь 2025'!$J$5:$J$2334,J$1)</f>
        <v>0</v>
      </c>
      <c r="K88" s="76">
        <f>SUMIFS('январь 2025'!$G$5:$G$2334,'январь 2025'!$D$5:$D$2334,$B88,'январь 2025'!$J$5:$J$2334,K$1)</f>
        <v>0</v>
      </c>
      <c r="L88" s="76">
        <f>SUMIFS('январь 2025'!$G$5:$G$2334,'январь 2025'!$D$5:$D$2334,$B88,'январь 2025'!$J$5:$J$2334,L$1)</f>
        <v>0</v>
      </c>
      <c r="M88" s="76">
        <f>SUMIFS('январь 2025'!$G$5:$G$2334,'январь 2025'!$D$5:$D$2334,$B88,'январь 2025'!$J$5:$J$2334,M$1)</f>
        <v>0</v>
      </c>
      <c r="N88" s="76">
        <f>SUMIFS('январь 2025'!$G$5:$G$2334,'январь 2025'!$D$5:$D$2334,$B88,'январь 2025'!$J$5:$J$2334,N$1)</f>
        <v>0</v>
      </c>
      <c r="O88" s="76">
        <f>SUMIFS('январь 2025'!$G$5:$G$2334,'январь 2025'!$D$5:$D$2334,$B88,'январь 2025'!$J$5:$J$2334,O$1)</f>
        <v>0</v>
      </c>
      <c r="P88" s="76">
        <f>SUMIFS('январь 2025'!$G$5:$G$2334,'январь 2025'!$D$5:$D$2334,$B88,'январь 2025'!$J$5:$J$2334,P$1)</f>
        <v>0</v>
      </c>
      <c r="Q88" s="76">
        <f>SUMIFS('январь 2025'!$G$5:$G$2334,'январь 2025'!$D$5:$D$2334,$B88,'январь 2025'!$J$5:$J$2334,Q$1)</f>
        <v>0</v>
      </c>
      <c r="R88" s="76">
        <f>SUMIFS('январь 2025'!$G$5:$G$2334,'январь 2025'!$D$5:$D$2334,$B88,'январь 2025'!$J$5:$J$2334,R$1)</f>
        <v>0</v>
      </c>
      <c r="S88" s="76">
        <f>SUMIFS('январь 2025'!$G$5:$G$2334,'январь 2025'!$D$5:$D$2334,$B88,'январь 2025'!$J$5:$J$2334,S$1)</f>
        <v>0</v>
      </c>
      <c r="T88" s="76">
        <f>SUMIFS('январь 2025'!$G$5:$G$2334,'январь 2025'!$D$5:$D$2334,$B88,'январь 2025'!$J$5:$J$2334,T$1)</f>
        <v>0</v>
      </c>
      <c r="U88" s="76">
        <f>SUMIFS('январь 2025'!$G$5:$G$2334,'январь 2025'!$D$5:$D$2334,$B88,'январь 2025'!$J$5:$J$2334,U$1)</f>
        <v>0</v>
      </c>
      <c r="V88" s="76">
        <f>SUMIFS('январь 2025'!$G$5:$G$2334,'январь 2025'!$D$5:$D$2334,$B88,'январь 2025'!$J$5:$J$2334,V$1)</f>
        <v>0</v>
      </c>
      <c r="W88" s="76">
        <f>SUMIFS('январь 2025'!$G$5:$G$2334,'январь 2025'!$D$5:$D$2334,$B88,'январь 2025'!$J$5:$J$2334,W$1)</f>
        <v>0</v>
      </c>
      <c r="X88" s="76">
        <f>SUMIFS('январь 2025'!$G$5:$G$2334,'январь 2025'!$D$5:$D$2334,$B88,'январь 2025'!$J$5:$J$2334,X$1)</f>
        <v>0</v>
      </c>
      <c r="Y88" s="76">
        <f>SUMIFS('январь 2025'!$G$5:$G$2334,'январь 2025'!$D$5:$D$2334,$B88,'январь 2025'!$J$5:$J$2334,Y$1)</f>
        <v>0</v>
      </c>
      <c r="Z88" s="76">
        <f>SUMIFS('январь 2025'!$G$5:$G$2334,'январь 2025'!$D$5:$D$2334,$B88,'январь 2025'!$J$5:$J$2334,Z$1)</f>
        <v>0</v>
      </c>
      <c r="AA88" s="76">
        <f>SUMIFS('январь 2025'!$G$5:$G$2334,'январь 2025'!$D$5:$D$2334,$B88,'январь 2025'!$J$5:$J$2334,AA$1)</f>
        <v>0</v>
      </c>
      <c r="AB88" s="76">
        <f>SUMIFS('январь 2025'!$G$5:$G$2334,'январь 2025'!$D$5:$D$2334,$B88,'январь 2025'!$J$5:$J$2334,AB$1)</f>
        <v>0</v>
      </c>
      <c r="AC88" s="76">
        <f>SUMIFS('январь 2025'!$G$5:$G$2334,'январь 2025'!$D$5:$D$2334,$B88,'январь 2025'!$J$5:$J$2334,AC$1)</f>
        <v>0</v>
      </c>
      <c r="AD88" s="76">
        <f>SUMIFS('январь 2025'!$G$5:$G$2334,'январь 2025'!$D$5:$D$2334,$B88,'январь 2025'!$J$5:$J$2334,AD$1)</f>
        <v>0</v>
      </c>
      <c r="AE88" s="76">
        <f>SUMIFS('январь 2025'!$G$5:$G$2334,'январь 2025'!$D$5:$D$2334,$B88,'январь 2025'!$J$5:$J$2334,AE$1)</f>
        <v>0</v>
      </c>
      <c r="AF88" s="76">
        <f>SUMIFS('январь 2025'!$G$5:$G$2334,'январь 2025'!$D$5:$D$2334,$B88,'январь 2025'!$J$5:$J$2334,AF$1)</f>
        <v>0</v>
      </c>
      <c r="AG88" s="76">
        <f>SUMIFS('январь 2025'!$G$5:$G$2334,'январь 2025'!$D$5:$D$2334,$B88,'январь 2025'!$J$5:$J$2334,AG$1)</f>
        <v>0</v>
      </c>
      <c r="AH88" s="76">
        <f>SUMIFS('январь 2025'!$G$5:$G$2334,'январь 2025'!$D$5:$D$2334,$B88,'январь 2025'!$J$5:$J$2334,AH$1)</f>
        <v>0</v>
      </c>
      <c r="AI88" s="20">
        <f t="shared" si="1"/>
        <v>0</v>
      </c>
    </row>
    <row r="89" spans="2:35" ht="15" customHeight="1" x14ac:dyDescent="0.25">
      <c r="B89" s="88" t="s">
        <v>173</v>
      </c>
      <c r="C89" s="83">
        <v>190</v>
      </c>
      <c r="D89" s="76">
        <f>SUMIFS('январь 2025'!$G$5:$G$2334,'январь 2025'!$D$5:$D$2334,$B89,'январь 2025'!$J$5:$J$2334,D$1)</f>
        <v>0</v>
      </c>
      <c r="E89" s="76">
        <f>SUMIFS('январь 2025'!$G$5:$G$2334,'январь 2025'!$D$5:$D$2334,$B89,'январь 2025'!$J$5:$J$2334,E$1)</f>
        <v>0</v>
      </c>
      <c r="F89" s="76">
        <f>SUMIFS('январь 2025'!$G$5:$G$2334,'январь 2025'!$D$5:$D$2334,$B89,'январь 2025'!$J$5:$J$2334,F$1)</f>
        <v>0</v>
      </c>
      <c r="G89" s="76">
        <f>SUMIFS('январь 2025'!$G$5:$G$2334,'январь 2025'!$D$5:$D$2334,$B89,'январь 2025'!$J$5:$J$2334,G$1)</f>
        <v>0</v>
      </c>
      <c r="H89" s="76">
        <f>SUMIFS('январь 2025'!$G$5:$G$2334,'январь 2025'!$D$5:$D$2334,$B89,'январь 2025'!$J$5:$J$2334,H$1)</f>
        <v>0</v>
      </c>
      <c r="I89" s="76">
        <f>SUMIFS('январь 2025'!$G$5:$G$2334,'январь 2025'!$D$5:$D$2334,$B89,'январь 2025'!$J$5:$J$2334,I$1)</f>
        <v>0</v>
      </c>
      <c r="J89" s="76">
        <f>SUMIFS('январь 2025'!$G$5:$G$2334,'январь 2025'!$D$5:$D$2334,$B89,'январь 2025'!$J$5:$J$2334,J$1)</f>
        <v>0</v>
      </c>
      <c r="K89" s="76">
        <f>SUMIFS('январь 2025'!$G$5:$G$2334,'январь 2025'!$D$5:$D$2334,$B89,'январь 2025'!$J$5:$J$2334,K$1)</f>
        <v>0</v>
      </c>
      <c r="L89" s="76">
        <f>SUMIFS('январь 2025'!$G$5:$G$2334,'январь 2025'!$D$5:$D$2334,$B89,'январь 2025'!$J$5:$J$2334,L$1)</f>
        <v>0</v>
      </c>
      <c r="M89" s="76">
        <f>SUMIFS('январь 2025'!$G$5:$G$2334,'январь 2025'!$D$5:$D$2334,$B89,'январь 2025'!$J$5:$J$2334,M$1)</f>
        <v>0</v>
      </c>
      <c r="N89" s="76">
        <f>SUMIFS('январь 2025'!$G$5:$G$2334,'январь 2025'!$D$5:$D$2334,$B89,'январь 2025'!$J$5:$J$2334,N$1)</f>
        <v>0</v>
      </c>
      <c r="O89" s="76">
        <f>SUMIFS('январь 2025'!$G$5:$G$2334,'январь 2025'!$D$5:$D$2334,$B89,'январь 2025'!$J$5:$J$2334,O$1)</f>
        <v>0</v>
      </c>
      <c r="P89" s="76">
        <f>SUMIFS('январь 2025'!$G$5:$G$2334,'январь 2025'!$D$5:$D$2334,$B89,'январь 2025'!$J$5:$J$2334,P$1)</f>
        <v>0</v>
      </c>
      <c r="Q89" s="76">
        <f>SUMIFS('январь 2025'!$G$5:$G$2334,'январь 2025'!$D$5:$D$2334,$B89,'январь 2025'!$J$5:$J$2334,Q$1)</f>
        <v>0</v>
      </c>
      <c r="R89" s="76">
        <f>SUMIFS('январь 2025'!$G$5:$G$2334,'январь 2025'!$D$5:$D$2334,$B89,'январь 2025'!$J$5:$J$2334,R$1)</f>
        <v>0</v>
      </c>
      <c r="S89" s="76">
        <f>SUMIFS('январь 2025'!$G$5:$G$2334,'январь 2025'!$D$5:$D$2334,$B89,'январь 2025'!$J$5:$J$2334,S$1)</f>
        <v>0</v>
      </c>
      <c r="T89" s="76">
        <f>SUMIFS('январь 2025'!$G$5:$G$2334,'январь 2025'!$D$5:$D$2334,$B89,'январь 2025'!$J$5:$J$2334,T$1)</f>
        <v>0</v>
      </c>
      <c r="U89" s="76">
        <f>SUMIFS('январь 2025'!$G$5:$G$2334,'январь 2025'!$D$5:$D$2334,$B89,'январь 2025'!$J$5:$J$2334,U$1)</f>
        <v>0</v>
      </c>
      <c r="V89" s="76">
        <f>SUMIFS('январь 2025'!$G$5:$G$2334,'январь 2025'!$D$5:$D$2334,$B89,'январь 2025'!$J$5:$J$2334,V$1)</f>
        <v>0</v>
      </c>
      <c r="W89" s="76">
        <f>SUMIFS('январь 2025'!$G$5:$G$2334,'январь 2025'!$D$5:$D$2334,$B89,'январь 2025'!$J$5:$J$2334,W$1)</f>
        <v>0</v>
      </c>
      <c r="X89" s="76">
        <f>SUMIFS('январь 2025'!$G$5:$G$2334,'январь 2025'!$D$5:$D$2334,$B89,'январь 2025'!$J$5:$J$2334,X$1)</f>
        <v>0</v>
      </c>
      <c r="Y89" s="76">
        <f>SUMIFS('январь 2025'!$G$5:$G$2334,'январь 2025'!$D$5:$D$2334,$B89,'январь 2025'!$J$5:$J$2334,Y$1)</f>
        <v>0</v>
      </c>
      <c r="Z89" s="76">
        <f>SUMIFS('январь 2025'!$G$5:$G$2334,'январь 2025'!$D$5:$D$2334,$B89,'январь 2025'!$J$5:$J$2334,Z$1)</f>
        <v>0</v>
      </c>
      <c r="AA89" s="76">
        <f>SUMIFS('январь 2025'!$G$5:$G$2334,'январь 2025'!$D$5:$D$2334,$B89,'январь 2025'!$J$5:$J$2334,AA$1)</f>
        <v>0</v>
      </c>
      <c r="AB89" s="76">
        <f>SUMIFS('январь 2025'!$G$5:$G$2334,'январь 2025'!$D$5:$D$2334,$B89,'январь 2025'!$J$5:$J$2334,AB$1)</f>
        <v>0</v>
      </c>
      <c r="AC89" s="76">
        <f>SUMIFS('январь 2025'!$G$5:$G$2334,'январь 2025'!$D$5:$D$2334,$B89,'январь 2025'!$J$5:$J$2334,AC$1)</f>
        <v>0</v>
      </c>
      <c r="AD89" s="76">
        <f>SUMIFS('январь 2025'!$G$5:$G$2334,'январь 2025'!$D$5:$D$2334,$B89,'январь 2025'!$J$5:$J$2334,AD$1)</f>
        <v>0</v>
      </c>
      <c r="AE89" s="76">
        <f>SUMIFS('январь 2025'!$G$5:$G$2334,'январь 2025'!$D$5:$D$2334,$B89,'январь 2025'!$J$5:$J$2334,AE$1)</f>
        <v>0</v>
      </c>
      <c r="AF89" s="76">
        <f>SUMIFS('январь 2025'!$G$5:$G$2334,'январь 2025'!$D$5:$D$2334,$B89,'январь 2025'!$J$5:$J$2334,AF$1)</f>
        <v>0</v>
      </c>
      <c r="AG89" s="76">
        <f>SUMIFS('январь 2025'!$G$5:$G$2334,'январь 2025'!$D$5:$D$2334,$B89,'январь 2025'!$J$5:$J$2334,AG$1)</f>
        <v>0</v>
      </c>
      <c r="AH89" s="76">
        <f>SUMIFS('январь 2025'!$G$5:$G$2334,'январь 2025'!$D$5:$D$2334,$B89,'январь 2025'!$J$5:$J$2334,AH$1)</f>
        <v>0</v>
      </c>
      <c r="AI89" s="20">
        <f t="shared" si="1"/>
        <v>0</v>
      </c>
    </row>
    <row r="90" spans="2:35" ht="15" customHeight="1" x14ac:dyDescent="0.25">
      <c r="B90" s="88" t="s">
        <v>182</v>
      </c>
      <c r="C90" s="86">
        <v>180</v>
      </c>
      <c r="D90" s="76">
        <f>SUMIFS('январь 2025'!$G$5:$G$2334,'январь 2025'!$D$5:$D$2334,$B90,'январь 2025'!$J$5:$J$2334,D$1)</f>
        <v>0</v>
      </c>
      <c r="E90" s="76">
        <f>SUMIFS('январь 2025'!$G$5:$G$2334,'январь 2025'!$D$5:$D$2334,$B90,'январь 2025'!$J$5:$J$2334,E$1)</f>
        <v>0</v>
      </c>
      <c r="F90" s="76">
        <f>SUMIFS('январь 2025'!$G$5:$G$2334,'январь 2025'!$D$5:$D$2334,$B90,'январь 2025'!$J$5:$J$2334,F$1)</f>
        <v>0</v>
      </c>
      <c r="G90" s="76">
        <f>SUMIFS('январь 2025'!$G$5:$G$2334,'январь 2025'!$D$5:$D$2334,$B90,'январь 2025'!$J$5:$J$2334,G$1)</f>
        <v>0</v>
      </c>
      <c r="H90" s="76">
        <f>SUMIFS('январь 2025'!$G$5:$G$2334,'январь 2025'!$D$5:$D$2334,$B90,'январь 2025'!$J$5:$J$2334,H$1)</f>
        <v>0</v>
      </c>
      <c r="I90" s="76">
        <f>SUMIFS('январь 2025'!$G$5:$G$2334,'январь 2025'!$D$5:$D$2334,$B90,'январь 2025'!$J$5:$J$2334,I$1)</f>
        <v>0</v>
      </c>
      <c r="J90" s="76">
        <f>SUMIFS('январь 2025'!$G$5:$G$2334,'январь 2025'!$D$5:$D$2334,$B90,'январь 2025'!$J$5:$J$2334,J$1)</f>
        <v>0</v>
      </c>
      <c r="K90" s="76">
        <f>SUMIFS('январь 2025'!$G$5:$G$2334,'январь 2025'!$D$5:$D$2334,$B90,'январь 2025'!$J$5:$J$2334,K$1)</f>
        <v>0</v>
      </c>
      <c r="L90" s="76">
        <f>SUMIFS('январь 2025'!$G$5:$G$2334,'январь 2025'!$D$5:$D$2334,$B90,'январь 2025'!$J$5:$J$2334,L$1)</f>
        <v>0</v>
      </c>
      <c r="M90" s="76">
        <f>SUMIFS('январь 2025'!$G$5:$G$2334,'январь 2025'!$D$5:$D$2334,$B90,'январь 2025'!$J$5:$J$2334,M$1)</f>
        <v>0</v>
      </c>
      <c r="N90" s="76">
        <f>SUMIFS('январь 2025'!$G$5:$G$2334,'январь 2025'!$D$5:$D$2334,$B90,'январь 2025'!$J$5:$J$2334,N$1)</f>
        <v>0</v>
      </c>
      <c r="O90" s="76">
        <f>SUMIFS('январь 2025'!$G$5:$G$2334,'январь 2025'!$D$5:$D$2334,$B90,'январь 2025'!$J$5:$J$2334,O$1)</f>
        <v>0</v>
      </c>
      <c r="P90" s="76">
        <f>SUMIFS('январь 2025'!$G$5:$G$2334,'январь 2025'!$D$5:$D$2334,$B90,'январь 2025'!$J$5:$J$2334,P$1)</f>
        <v>0</v>
      </c>
      <c r="Q90" s="76">
        <f>SUMIFS('январь 2025'!$G$5:$G$2334,'январь 2025'!$D$5:$D$2334,$B90,'январь 2025'!$J$5:$J$2334,Q$1)</f>
        <v>0</v>
      </c>
      <c r="R90" s="76">
        <f>SUMIFS('январь 2025'!$G$5:$G$2334,'январь 2025'!$D$5:$D$2334,$B90,'январь 2025'!$J$5:$J$2334,R$1)</f>
        <v>0</v>
      </c>
      <c r="S90" s="76">
        <f>SUMIFS('январь 2025'!$G$5:$G$2334,'январь 2025'!$D$5:$D$2334,$B90,'январь 2025'!$J$5:$J$2334,S$1)</f>
        <v>0</v>
      </c>
      <c r="T90" s="76">
        <f>SUMIFS('январь 2025'!$G$5:$G$2334,'январь 2025'!$D$5:$D$2334,$B90,'январь 2025'!$J$5:$J$2334,T$1)</f>
        <v>0</v>
      </c>
      <c r="U90" s="76">
        <f>SUMIFS('январь 2025'!$G$5:$G$2334,'январь 2025'!$D$5:$D$2334,$B90,'январь 2025'!$J$5:$J$2334,U$1)</f>
        <v>0</v>
      </c>
      <c r="V90" s="76">
        <f>SUMIFS('январь 2025'!$G$5:$G$2334,'январь 2025'!$D$5:$D$2334,$B90,'январь 2025'!$J$5:$J$2334,V$1)</f>
        <v>0</v>
      </c>
      <c r="W90" s="76">
        <f>SUMIFS('январь 2025'!$G$5:$G$2334,'январь 2025'!$D$5:$D$2334,$B90,'январь 2025'!$J$5:$J$2334,W$1)</f>
        <v>0</v>
      </c>
      <c r="X90" s="76">
        <f>SUMIFS('январь 2025'!$G$5:$G$2334,'январь 2025'!$D$5:$D$2334,$B90,'январь 2025'!$J$5:$J$2334,X$1)</f>
        <v>0</v>
      </c>
      <c r="Y90" s="76">
        <f>SUMIFS('январь 2025'!$G$5:$G$2334,'январь 2025'!$D$5:$D$2334,$B90,'январь 2025'!$J$5:$J$2334,Y$1)</f>
        <v>0</v>
      </c>
      <c r="Z90" s="76">
        <f>SUMIFS('январь 2025'!$G$5:$G$2334,'январь 2025'!$D$5:$D$2334,$B90,'январь 2025'!$J$5:$J$2334,Z$1)</f>
        <v>0</v>
      </c>
      <c r="AA90" s="76">
        <f>SUMIFS('январь 2025'!$G$5:$G$2334,'январь 2025'!$D$5:$D$2334,$B90,'январь 2025'!$J$5:$J$2334,AA$1)</f>
        <v>0</v>
      </c>
      <c r="AB90" s="76">
        <f>SUMIFS('январь 2025'!$G$5:$G$2334,'январь 2025'!$D$5:$D$2334,$B90,'январь 2025'!$J$5:$J$2334,AB$1)</f>
        <v>0</v>
      </c>
      <c r="AC90" s="76">
        <f>SUMIFS('январь 2025'!$G$5:$G$2334,'январь 2025'!$D$5:$D$2334,$B90,'январь 2025'!$J$5:$J$2334,AC$1)</f>
        <v>0</v>
      </c>
      <c r="AD90" s="76">
        <f>SUMIFS('январь 2025'!$G$5:$G$2334,'январь 2025'!$D$5:$D$2334,$B90,'январь 2025'!$J$5:$J$2334,AD$1)</f>
        <v>0</v>
      </c>
      <c r="AE90" s="76">
        <f>SUMIFS('январь 2025'!$G$5:$G$2334,'январь 2025'!$D$5:$D$2334,$B90,'январь 2025'!$J$5:$J$2334,AE$1)</f>
        <v>0</v>
      </c>
      <c r="AF90" s="76">
        <f>SUMIFS('январь 2025'!$G$5:$G$2334,'январь 2025'!$D$5:$D$2334,$B90,'январь 2025'!$J$5:$J$2334,AF$1)</f>
        <v>0</v>
      </c>
      <c r="AG90" s="76">
        <f>SUMIFS('январь 2025'!$G$5:$G$2334,'январь 2025'!$D$5:$D$2334,$B90,'январь 2025'!$J$5:$J$2334,AG$1)</f>
        <v>0</v>
      </c>
      <c r="AH90" s="76">
        <f>SUMIFS('январь 2025'!$G$5:$G$2334,'январь 2025'!$D$5:$D$2334,$B90,'январь 2025'!$J$5:$J$2334,AH$1)</f>
        <v>0</v>
      </c>
      <c r="AI90" s="20">
        <f t="shared" si="1"/>
        <v>0</v>
      </c>
    </row>
    <row r="91" spans="2:35" ht="15" customHeight="1" x14ac:dyDescent="0.25">
      <c r="B91" s="88" t="s">
        <v>298</v>
      </c>
      <c r="C91" s="86">
        <v>190</v>
      </c>
      <c r="D91" s="76">
        <f>SUMIFS('январь 2025'!$G$5:$G$2334,'январь 2025'!$D$5:$D$2334,$B91,'январь 2025'!$J$5:$J$2334,D$1)</f>
        <v>0</v>
      </c>
      <c r="E91" s="76">
        <f>SUMIFS('январь 2025'!$G$5:$G$2334,'январь 2025'!$D$5:$D$2334,$B91,'январь 2025'!$J$5:$J$2334,E$1)</f>
        <v>0</v>
      </c>
      <c r="F91" s="76">
        <f>SUMIFS('январь 2025'!$G$5:$G$2334,'январь 2025'!$D$5:$D$2334,$B91,'январь 2025'!$J$5:$J$2334,F$1)</f>
        <v>0</v>
      </c>
      <c r="G91" s="76">
        <f>SUMIFS('январь 2025'!$G$5:$G$2334,'январь 2025'!$D$5:$D$2334,$B91,'январь 2025'!$J$5:$J$2334,G$1)</f>
        <v>0</v>
      </c>
      <c r="H91" s="76">
        <f>SUMIFS('январь 2025'!$G$5:$G$2334,'январь 2025'!$D$5:$D$2334,$B91,'январь 2025'!$J$5:$J$2334,H$1)</f>
        <v>0</v>
      </c>
      <c r="I91" s="76">
        <f>SUMIFS('январь 2025'!$G$5:$G$2334,'январь 2025'!$D$5:$D$2334,$B91,'январь 2025'!$J$5:$J$2334,I$1)</f>
        <v>0</v>
      </c>
      <c r="J91" s="76">
        <f>SUMIFS('январь 2025'!$G$5:$G$2334,'январь 2025'!$D$5:$D$2334,$B91,'январь 2025'!$J$5:$J$2334,J$1)</f>
        <v>0</v>
      </c>
      <c r="K91" s="76">
        <f>SUMIFS('январь 2025'!$G$5:$G$2334,'январь 2025'!$D$5:$D$2334,$B91,'январь 2025'!$J$5:$J$2334,K$1)</f>
        <v>0</v>
      </c>
      <c r="L91" s="76">
        <f>SUMIFS('январь 2025'!$G$5:$G$2334,'январь 2025'!$D$5:$D$2334,$B91,'январь 2025'!$J$5:$J$2334,L$1)</f>
        <v>0</v>
      </c>
      <c r="M91" s="76">
        <f>SUMIFS('январь 2025'!$G$5:$G$2334,'январь 2025'!$D$5:$D$2334,$B91,'январь 2025'!$J$5:$J$2334,M$1)</f>
        <v>0</v>
      </c>
      <c r="N91" s="76">
        <f>SUMIFS('январь 2025'!$G$5:$G$2334,'январь 2025'!$D$5:$D$2334,$B91,'январь 2025'!$J$5:$J$2334,N$1)</f>
        <v>0</v>
      </c>
      <c r="O91" s="76">
        <f>SUMIFS('январь 2025'!$G$5:$G$2334,'январь 2025'!$D$5:$D$2334,$B91,'январь 2025'!$J$5:$J$2334,O$1)</f>
        <v>0</v>
      </c>
      <c r="P91" s="76">
        <f>SUMIFS('январь 2025'!$G$5:$G$2334,'январь 2025'!$D$5:$D$2334,$B91,'январь 2025'!$J$5:$J$2334,P$1)</f>
        <v>0</v>
      </c>
      <c r="Q91" s="76">
        <f>SUMIFS('январь 2025'!$G$5:$G$2334,'январь 2025'!$D$5:$D$2334,$B91,'январь 2025'!$J$5:$J$2334,Q$1)</f>
        <v>0</v>
      </c>
      <c r="R91" s="76">
        <f>SUMIFS('январь 2025'!$G$5:$G$2334,'январь 2025'!$D$5:$D$2334,$B91,'январь 2025'!$J$5:$J$2334,R$1)</f>
        <v>0</v>
      </c>
      <c r="S91" s="76">
        <f>SUMIFS('январь 2025'!$G$5:$G$2334,'январь 2025'!$D$5:$D$2334,$B91,'январь 2025'!$J$5:$J$2334,S$1)</f>
        <v>0</v>
      </c>
      <c r="T91" s="76">
        <f>SUMIFS('январь 2025'!$G$5:$G$2334,'январь 2025'!$D$5:$D$2334,$B91,'январь 2025'!$J$5:$J$2334,T$1)</f>
        <v>0</v>
      </c>
      <c r="U91" s="76">
        <f>SUMIFS('январь 2025'!$G$5:$G$2334,'январь 2025'!$D$5:$D$2334,$B91,'январь 2025'!$J$5:$J$2334,U$1)</f>
        <v>0</v>
      </c>
      <c r="V91" s="76">
        <f>SUMIFS('январь 2025'!$G$5:$G$2334,'январь 2025'!$D$5:$D$2334,$B91,'январь 2025'!$J$5:$J$2334,V$1)</f>
        <v>0</v>
      </c>
      <c r="W91" s="76">
        <f>SUMIFS('январь 2025'!$G$5:$G$2334,'январь 2025'!$D$5:$D$2334,$B91,'январь 2025'!$J$5:$J$2334,W$1)</f>
        <v>0</v>
      </c>
      <c r="X91" s="76">
        <f>SUMIFS('январь 2025'!$G$5:$G$2334,'январь 2025'!$D$5:$D$2334,$B91,'январь 2025'!$J$5:$J$2334,X$1)</f>
        <v>0</v>
      </c>
      <c r="Y91" s="76">
        <f>SUMIFS('январь 2025'!$G$5:$G$2334,'январь 2025'!$D$5:$D$2334,$B91,'январь 2025'!$J$5:$J$2334,Y$1)</f>
        <v>0</v>
      </c>
      <c r="Z91" s="76">
        <f>SUMIFS('январь 2025'!$G$5:$G$2334,'январь 2025'!$D$5:$D$2334,$B91,'январь 2025'!$J$5:$J$2334,Z$1)</f>
        <v>0</v>
      </c>
      <c r="AA91" s="76">
        <f>SUMIFS('январь 2025'!$G$5:$G$2334,'январь 2025'!$D$5:$D$2334,$B91,'январь 2025'!$J$5:$J$2334,AA$1)</f>
        <v>0</v>
      </c>
      <c r="AB91" s="76">
        <f>SUMIFS('январь 2025'!$G$5:$G$2334,'январь 2025'!$D$5:$D$2334,$B91,'январь 2025'!$J$5:$J$2334,AB$1)</f>
        <v>0</v>
      </c>
      <c r="AC91" s="76">
        <f>SUMIFS('январь 2025'!$G$5:$G$2334,'январь 2025'!$D$5:$D$2334,$B91,'январь 2025'!$J$5:$J$2334,AC$1)</f>
        <v>0</v>
      </c>
      <c r="AD91" s="76">
        <f>SUMIFS('январь 2025'!$G$5:$G$2334,'январь 2025'!$D$5:$D$2334,$B91,'январь 2025'!$J$5:$J$2334,AD$1)</f>
        <v>0</v>
      </c>
      <c r="AE91" s="76">
        <f>SUMIFS('январь 2025'!$G$5:$G$2334,'январь 2025'!$D$5:$D$2334,$B91,'январь 2025'!$J$5:$J$2334,AE$1)</f>
        <v>0</v>
      </c>
      <c r="AF91" s="76">
        <f>SUMIFS('январь 2025'!$G$5:$G$2334,'январь 2025'!$D$5:$D$2334,$B91,'январь 2025'!$J$5:$J$2334,AF$1)</f>
        <v>0</v>
      </c>
      <c r="AG91" s="76">
        <f>SUMIFS('январь 2025'!$G$5:$G$2334,'январь 2025'!$D$5:$D$2334,$B91,'январь 2025'!$J$5:$J$2334,AG$1)</f>
        <v>0</v>
      </c>
      <c r="AH91" s="76">
        <f>SUMIFS('январь 2025'!$G$5:$G$2334,'январь 2025'!$D$5:$D$2334,$B91,'январь 2025'!$J$5:$J$2334,AH$1)</f>
        <v>0</v>
      </c>
      <c r="AI91" s="20">
        <f t="shared" si="1"/>
        <v>0</v>
      </c>
    </row>
    <row r="92" spans="2:35" ht="15" customHeight="1" x14ac:dyDescent="0.25">
      <c r="B92" s="88" t="s">
        <v>312</v>
      </c>
      <c r="C92" s="86">
        <v>190</v>
      </c>
      <c r="D92" s="76">
        <f>SUMIFS('январь 2025'!$G$5:$G$2334,'январь 2025'!$D$5:$D$2334,$B92,'январь 2025'!$J$5:$J$2334,D$1)</f>
        <v>0</v>
      </c>
      <c r="E92" s="76">
        <f>SUMIFS('январь 2025'!$G$5:$G$2334,'январь 2025'!$D$5:$D$2334,$B92,'январь 2025'!$J$5:$J$2334,E$1)</f>
        <v>0</v>
      </c>
      <c r="F92" s="76">
        <f>SUMIFS('январь 2025'!$G$5:$G$2334,'январь 2025'!$D$5:$D$2334,$B92,'январь 2025'!$J$5:$J$2334,F$1)</f>
        <v>0</v>
      </c>
      <c r="G92" s="76">
        <f>SUMIFS('январь 2025'!$G$5:$G$2334,'январь 2025'!$D$5:$D$2334,$B92,'январь 2025'!$J$5:$J$2334,G$1)</f>
        <v>0</v>
      </c>
      <c r="H92" s="76">
        <f>SUMIFS('январь 2025'!$G$5:$G$2334,'январь 2025'!$D$5:$D$2334,$B92,'январь 2025'!$J$5:$J$2334,H$1)</f>
        <v>0</v>
      </c>
      <c r="I92" s="76">
        <f>SUMIFS('январь 2025'!$G$5:$G$2334,'январь 2025'!$D$5:$D$2334,$B92,'январь 2025'!$J$5:$J$2334,I$1)</f>
        <v>0</v>
      </c>
      <c r="J92" s="76">
        <f>SUMIFS('январь 2025'!$G$5:$G$2334,'январь 2025'!$D$5:$D$2334,$B92,'январь 2025'!$J$5:$J$2334,J$1)</f>
        <v>0</v>
      </c>
      <c r="K92" s="76">
        <f>SUMIFS('январь 2025'!$G$5:$G$2334,'январь 2025'!$D$5:$D$2334,$B92,'январь 2025'!$J$5:$J$2334,K$1)</f>
        <v>0</v>
      </c>
      <c r="L92" s="76">
        <f>SUMIFS('январь 2025'!$G$5:$G$2334,'январь 2025'!$D$5:$D$2334,$B92,'январь 2025'!$J$5:$J$2334,L$1)</f>
        <v>0</v>
      </c>
      <c r="M92" s="76">
        <f>SUMIFS('январь 2025'!$G$5:$G$2334,'январь 2025'!$D$5:$D$2334,$B92,'январь 2025'!$J$5:$J$2334,M$1)</f>
        <v>0</v>
      </c>
      <c r="N92" s="76">
        <f>SUMIFS('январь 2025'!$G$5:$G$2334,'январь 2025'!$D$5:$D$2334,$B92,'январь 2025'!$J$5:$J$2334,N$1)</f>
        <v>0</v>
      </c>
      <c r="O92" s="76">
        <f>SUMIFS('январь 2025'!$G$5:$G$2334,'январь 2025'!$D$5:$D$2334,$B92,'январь 2025'!$J$5:$J$2334,O$1)</f>
        <v>0</v>
      </c>
      <c r="P92" s="76">
        <f>SUMIFS('январь 2025'!$G$5:$G$2334,'январь 2025'!$D$5:$D$2334,$B92,'январь 2025'!$J$5:$J$2334,P$1)</f>
        <v>0</v>
      </c>
      <c r="Q92" s="76">
        <f>SUMIFS('январь 2025'!$G$5:$G$2334,'январь 2025'!$D$5:$D$2334,$B92,'январь 2025'!$J$5:$J$2334,Q$1)</f>
        <v>0</v>
      </c>
      <c r="R92" s="76">
        <f>SUMIFS('январь 2025'!$G$5:$G$2334,'январь 2025'!$D$5:$D$2334,$B92,'январь 2025'!$J$5:$J$2334,R$1)</f>
        <v>0</v>
      </c>
      <c r="S92" s="76">
        <f>SUMIFS('январь 2025'!$G$5:$G$2334,'январь 2025'!$D$5:$D$2334,$B92,'январь 2025'!$J$5:$J$2334,S$1)</f>
        <v>0</v>
      </c>
      <c r="T92" s="76">
        <f>SUMIFS('январь 2025'!$G$5:$G$2334,'январь 2025'!$D$5:$D$2334,$B92,'январь 2025'!$J$5:$J$2334,T$1)</f>
        <v>0</v>
      </c>
      <c r="U92" s="76">
        <f>SUMIFS('январь 2025'!$G$5:$G$2334,'январь 2025'!$D$5:$D$2334,$B92,'январь 2025'!$J$5:$J$2334,U$1)</f>
        <v>0</v>
      </c>
      <c r="V92" s="76">
        <f>SUMIFS('январь 2025'!$G$5:$G$2334,'январь 2025'!$D$5:$D$2334,$B92,'январь 2025'!$J$5:$J$2334,V$1)</f>
        <v>0</v>
      </c>
      <c r="W92" s="76">
        <f>SUMIFS('январь 2025'!$G$5:$G$2334,'январь 2025'!$D$5:$D$2334,$B92,'январь 2025'!$J$5:$J$2334,W$1)</f>
        <v>0</v>
      </c>
      <c r="X92" s="76">
        <f>SUMIFS('январь 2025'!$G$5:$G$2334,'январь 2025'!$D$5:$D$2334,$B92,'январь 2025'!$J$5:$J$2334,X$1)</f>
        <v>0</v>
      </c>
      <c r="Y92" s="76">
        <f>SUMIFS('январь 2025'!$G$5:$G$2334,'январь 2025'!$D$5:$D$2334,$B92,'январь 2025'!$J$5:$J$2334,Y$1)</f>
        <v>0</v>
      </c>
      <c r="Z92" s="76">
        <f>SUMIFS('январь 2025'!$G$5:$G$2334,'январь 2025'!$D$5:$D$2334,$B92,'январь 2025'!$J$5:$J$2334,Z$1)</f>
        <v>0</v>
      </c>
      <c r="AA92" s="76">
        <f>SUMIFS('январь 2025'!$G$5:$G$2334,'январь 2025'!$D$5:$D$2334,$B92,'январь 2025'!$J$5:$J$2334,AA$1)</f>
        <v>0</v>
      </c>
      <c r="AB92" s="76">
        <f>SUMIFS('январь 2025'!$G$5:$G$2334,'январь 2025'!$D$5:$D$2334,$B92,'январь 2025'!$J$5:$J$2334,AB$1)</f>
        <v>0</v>
      </c>
      <c r="AC92" s="76">
        <f>SUMIFS('январь 2025'!$G$5:$G$2334,'январь 2025'!$D$5:$D$2334,$B92,'январь 2025'!$J$5:$J$2334,AC$1)</f>
        <v>0</v>
      </c>
      <c r="AD92" s="76">
        <f>SUMIFS('январь 2025'!$G$5:$G$2334,'январь 2025'!$D$5:$D$2334,$B92,'январь 2025'!$J$5:$J$2334,AD$1)</f>
        <v>0</v>
      </c>
      <c r="AE92" s="76">
        <f>SUMIFS('январь 2025'!$G$5:$G$2334,'январь 2025'!$D$5:$D$2334,$B92,'январь 2025'!$J$5:$J$2334,AE$1)</f>
        <v>0</v>
      </c>
      <c r="AF92" s="76">
        <f>SUMIFS('январь 2025'!$G$5:$G$2334,'январь 2025'!$D$5:$D$2334,$B92,'январь 2025'!$J$5:$J$2334,AF$1)</f>
        <v>0</v>
      </c>
      <c r="AG92" s="76">
        <f>SUMIFS('январь 2025'!$G$5:$G$2334,'январь 2025'!$D$5:$D$2334,$B92,'январь 2025'!$J$5:$J$2334,AG$1)</f>
        <v>0</v>
      </c>
      <c r="AH92" s="76">
        <f>SUMIFS('январь 2025'!$G$5:$G$2334,'январь 2025'!$D$5:$D$2334,$B92,'январь 2025'!$J$5:$J$2334,AH$1)</f>
        <v>0</v>
      </c>
      <c r="AI92" s="20">
        <f t="shared" si="1"/>
        <v>0</v>
      </c>
    </row>
    <row r="93" spans="2:35" ht="15" customHeight="1" x14ac:dyDescent="0.25">
      <c r="B93" s="88" t="s">
        <v>282</v>
      </c>
      <c r="C93" s="86">
        <v>190</v>
      </c>
      <c r="D93" s="76">
        <f>SUMIFS('январь 2025'!$G$5:$G$2334,'январь 2025'!$D$5:$D$2334,$B93,'январь 2025'!$J$5:$J$2334,D$1)</f>
        <v>0</v>
      </c>
      <c r="E93" s="76">
        <f>SUMIFS('январь 2025'!$G$5:$G$2334,'январь 2025'!$D$5:$D$2334,$B93,'январь 2025'!$J$5:$J$2334,E$1)</f>
        <v>0</v>
      </c>
      <c r="F93" s="76">
        <f>SUMIFS('январь 2025'!$G$5:$G$2334,'январь 2025'!$D$5:$D$2334,$B93,'январь 2025'!$J$5:$J$2334,F$1)</f>
        <v>0</v>
      </c>
      <c r="G93" s="76">
        <f>SUMIFS('январь 2025'!$G$5:$G$2334,'январь 2025'!$D$5:$D$2334,$B93,'январь 2025'!$J$5:$J$2334,G$1)</f>
        <v>0</v>
      </c>
      <c r="H93" s="76">
        <f>SUMIFS('январь 2025'!$G$5:$G$2334,'январь 2025'!$D$5:$D$2334,$B93,'январь 2025'!$J$5:$J$2334,H$1)</f>
        <v>0</v>
      </c>
      <c r="I93" s="76">
        <f>SUMIFS('январь 2025'!$G$5:$G$2334,'январь 2025'!$D$5:$D$2334,$B93,'январь 2025'!$J$5:$J$2334,I$1)</f>
        <v>0</v>
      </c>
      <c r="J93" s="76">
        <f>SUMIFS('январь 2025'!$G$5:$G$2334,'январь 2025'!$D$5:$D$2334,$B93,'январь 2025'!$J$5:$J$2334,J$1)</f>
        <v>0</v>
      </c>
      <c r="K93" s="76">
        <f>SUMIFS('январь 2025'!$G$5:$G$2334,'январь 2025'!$D$5:$D$2334,$B93,'январь 2025'!$J$5:$J$2334,K$1)</f>
        <v>0</v>
      </c>
      <c r="L93" s="76">
        <f>SUMIFS('январь 2025'!$G$5:$G$2334,'январь 2025'!$D$5:$D$2334,$B93,'январь 2025'!$J$5:$J$2334,L$1)</f>
        <v>0</v>
      </c>
      <c r="M93" s="76">
        <f>SUMIFS('январь 2025'!$G$5:$G$2334,'январь 2025'!$D$5:$D$2334,$B93,'январь 2025'!$J$5:$J$2334,M$1)</f>
        <v>0</v>
      </c>
      <c r="N93" s="76">
        <f>SUMIFS('январь 2025'!$G$5:$G$2334,'январь 2025'!$D$5:$D$2334,$B93,'январь 2025'!$J$5:$J$2334,N$1)</f>
        <v>0</v>
      </c>
      <c r="O93" s="76">
        <f>SUMIFS('январь 2025'!$G$5:$G$2334,'январь 2025'!$D$5:$D$2334,$B93,'январь 2025'!$J$5:$J$2334,O$1)</f>
        <v>0</v>
      </c>
      <c r="P93" s="76">
        <f>SUMIFS('январь 2025'!$G$5:$G$2334,'январь 2025'!$D$5:$D$2334,$B93,'январь 2025'!$J$5:$J$2334,P$1)</f>
        <v>0</v>
      </c>
      <c r="Q93" s="76">
        <f>SUMIFS('январь 2025'!$G$5:$G$2334,'январь 2025'!$D$5:$D$2334,$B93,'январь 2025'!$J$5:$J$2334,Q$1)</f>
        <v>0</v>
      </c>
      <c r="R93" s="76">
        <f>SUMIFS('январь 2025'!$G$5:$G$2334,'январь 2025'!$D$5:$D$2334,$B93,'январь 2025'!$J$5:$J$2334,R$1)</f>
        <v>0</v>
      </c>
      <c r="S93" s="76">
        <f>SUMIFS('январь 2025'!$G$5:$G$2334,'январь 2025'!$D$5:$D$2334,$B93,'январь 2025'!$J$5:$J$2334,S$1)</f>
        <v>0</v>
      </c>
      <c r="T93" s="76">
        <f>SUMIFS('январь 2025'!$G$5:$G$2334,'январь 2025'!$D$5:$D$2334,$B93,'январь 2025'!$J$5:$J$2334,T$1)</f>
        <v>0</v>
      </c>
      <c r="U93" s="76">
        <f>SUMIFS('январь 2025'!$G$5:$G$2334,'январь 2025'!$D$5:$D$2334,$B93,'январь 2025'!$J$5:$J$2334,U$1)</f>
        <v>0</v>
      </c>
      <c r="V93" s="76">
        <f>SUMIFS('январь 2025'!$G$5:$G$2334,'январь 2025'!$D$5:$D$2334,$B93,'январь 2025'!$J$5:$J$2334,V$1)</f>
        <v>0</v>
      </c>
      <c r="W93" s="76">
        <f>SUMIFS('январь 2025'!$G$5:$G$2334,'январь 2025'!$D$5:$D$2334,$B93,'январь 2025'!$J$5:$J$2334,W$1)</f>
        <v>0</v>
      </c>
      <c r="X93" s="76">
        <f>SUMIFS('январь 2025'!$G$5:$G$2334,'январь 2025'!$D$5:$D$2334,$B93,'январь 2025'!$J$5:$J$2334,X$1)</f>
        <v>0</v>
      </c>
      <c r="Y93" s="76">
        <f>SUMIFS('январь 2025'!$G$5:$G$2334,'январь 2025'!$D$5:$D$2334,$B93,'январь 2025'!$J$5:$J$2334,Y$1)</f>
        <v>0</v>
      </c>
      <c r="Z93" s="76">
        <f>SUMIFS('январь 2025'!$G$5:$G$2334,'январь 2025'!$D$5:$D$2334,$B93,'январь 2025'!$J$5:$J$2334,Z$1)</f>
        <v>0</v>
      </c>
      <c r="AA93" s="76">
        <f>SUMIFS('январь 2025'!$G$5:$G$2334,'январь 2025'!$D$5:$D$2334,$B93,'январь 2025'!$J$5:$J$2334,AA$1)</f>
        <v>0</v>
      </c>
      <c r="AB93" s="76">
        <f>SUMIFS('январь 2025'!$G$5:$G$2334,'январь 2025'!$D$5:$D$2334,$B93,'январь 2025'!$J$5:$J$2334,AB$1)</f>
        <v>0</v>
      </c>
      <c r="AC93" s="76">
        <f>SUMIFS('январь 2025'!$G$5:$G$2334,'январь 2025'!$D$5:$D$2334,$B93,'январь 2025'!$J$5:$J$2334,AC$1)</f>
        <v>0</v>
      </c>
      <c r="AD93" s="76">
        <f>SUMIFS('январь 2025'!$G$5:$G$2334,'январь 2025'!$D$5:$D$2334,$B93,'январь 2025'!$J$5:$J$2334,AD$1)</f>
        <v>0</v>
      </c>
      <c r="AE93" s="76">
        <f>SUMIFS('январь 2025'!$G$5:$G$2334,'январь 2025'!$D$5:$D$2334,$B93,'январь 2025'!$J$5:$J$2334,AE$1)</f>
        <v>0</v>
      </c>
      <c r="AF93" s="76">
        <f>SUMIFS('январь 2025'!$G$5:$G$2334,'январь 2025'!$D$5:$D$2334,$B93,'январь 2025'!$J$5:$J$2334,AF$1)</f>
        <v>0</v>
      </c>
      <c r="AG93" s="76">
        <f>SUMIFS('январь 2025'!$G$5:$G$2334,'январь 2025'!$D$5:$D$2334,$B93,'январь 2025'!$J$5:$J$2334,AG$1)</f>
        <v>0</v>
      </c>
      <c r="AH93" s="76">
        <f>SUMIFS('январь 2025'!$G$5:$G$2334,'январь 2025'!$D$5:$D$2334,$B93,'январь 2025'!$J$5:$J$2334,AH$1)</f>
        <v>0</v>
      </c>
      <c r="AI93" s="20">
        <f t="shared" si="1"/>
        <v>0</v>
      </c>
    </row>
    <row r="94" spans="2:35" ht="15" customHeight="1" x14ac:dyDescent="0.25">
      <c r="B94" s="88" t="s">
        <v>258</v>
      </c>
      <c r="C94" s="86">
        <v>180</v>
      </c>
      <c r="D94" s="76">
        <f>SUMIFS('январь 2025'!$G$5:$G$2334,'январь 2025'!$D$5:$D$2334,$B94,'январь 2025'!$J$5:$J$2334,D$1)</f>
        <v>0</v>
      </c>
      <c r="E94" s="76">
        <f>SUMIFS('январь 2025'!$G$5:$G$2334,'январь 2025'!$D$5:$D$2334,$B94,'январь 2025'!$J$5:$J$2334,E$1)</f>
        <v>0</v>
      </c>
      <c r="F94" s="76">
        <f>SUMIFS('январь 2025'!$G$5:$G$2334,'январь 2025'!$D$5:$D$2334,$B94,'январь 2025'!$J$5:$J$2334,F$1)</f>
        <v>0</v>
      </c>
      <c r="G94" s="76">
        <f>SUMIFS('январь 2025'!$G$5:$G$2334,'январь 2025'!$D$5:$D$2334,$B94,'январь 2025'!$J$5:$J$2334,G$1)</f>
        <v>0</v>
      </c>
      <c r="H94" s="76">
        <f>SUMIFS('январь 2025'!$G$5:$G$2334,'январь 2025'!$D$5:$D$2334,$B94,'январь 2025'!$J$5:$J$2334,H$1)</f>
        <v>0</v>
      </c>
      <c r="I94" s="76">
        <f>SUMIFS('январь 2025'!$G$5:$G$2334,'январь 2025'!$D$5:$D$2334,$B94,'январь 2025'!$J$5:$J$2334,I$1)</f>
        <v>0</v>
      </c>
      <c r="J94" s="76">
        <f>SUMIFS('январь 2025'!$G$5:$G$2334,'январь 2025'!$D$5:$D$2334,$B94,'январь 2025'!$J$5:$J$2334,J$1)</f>
        <v>0</v>
      </c>
      <c r="K94" s="76">
        <f>SUMIFS('январь 2025'!$G$5:$G$2334,'январь 2025'!$D$5:$D$2334,$B94,'январь 2025'!$J$5:$J$2334,K$1)</f>
        <v>0</v>
      </c>
      <c r="L94" s="76">
        <f>SUMIFS('январь 2025'!$G$5:$G$2334,'январь 2025'!$D$5:$D$2334,$B94,'январь 2025'!$J$5:$J$2334,L$1)</f>
        <v>0</v>
      </c>
      <c r="M94" s="76">
        <f>SUMIFS('январь 2025'!$G$5:$G$2334,'январь 2025'!$D$5:$D$2334,$B94,'январь 2025'!$J$5:$J$2334,M$1)</f>
        <v>0</v>
      </c>
      <c r="N94" s="76">
        <f>SUMIFS('январь 2025'!$G$5:$G$2334,'январь 2025'!$D$5:$D$2334,$B94,'январь 2025'!$J$5:$J$2334,N$1)</f>
        <v>0</v>
      </c>
      <c r="O94" s="76">
        <f>SUMIFS('январь 2025'!$G$5:$G$2334,'январь 2025'!$D$5:$D$2334,$B94,'январь 2025'!$J$5:$J$2334,O$1)</f>
        <v>0</v>
      </c>
      <c r="P94" s="76">
        <f>SUMIFS('январь 2025'!$G$5:$G$2334,'январь 2025'!$D$5:$D$2334,$B94,'январь 2025'!$J$5:$J$2334,P$1)</f>
        <v>0</v>
      </c>
      <c r="Q94" s="76">
        <f>SUMIFS('январь 2025'!$G$5:$G$2334,'январь 2025'!$D$5:$D$2334,$B94,'январь 2025'!$J$5:$J$2334,Q$1)</f>
        <v>0</v>
      </c>
      <c r="R94" s="76">
        <f>SUMIFS('январь 2025'!$G$5:$G$2334,'январь 2025'!$D$5:$D$2334,$B94,'январь 2025'!$J$5:$J$2334,R$1)</f>
        <v>0</v>
      </c>
      <c r="S94" s="76">
        <f>SUMIFS('январь 2025'!$G$5:$G$2334,'январь 2025'!$D$5:$D$2334,$B94,'январь 2025'!$J$5:$J$2334,S$1)</f>
        <v>0</v>
      </c>
      <c r="T94" s="76">
        <f>SUMIFS('январь 2025'!$G$5:$G$2334,'январь 2025'!$D$5:$D$2334,$B94,'январь 2025'!$J$5:$J$2334,T$1)</f>
        <v>0</v>
      </c>
      <c r="U94" s="76">
        <f>SUMIFS('январь 2025'!$G$5:$G$2334,'январь 2025'!$D$5:$D$2334,$B94,'январь 2025'!$J$5:$J$2334,U$1)</f>
        <v>0</v>
      </c>
      <c r="V94" s="76">
        <f>SUMIFS('январь 2025'!$G$5:$G$2334,'январь 2025'!$D$5:$D$2334,$B94,'январь 2025'!$J$5:$J$2334,V$1)</f>
        <v>0</v>
      </c>
      <c r="W94" s="76">
        <f>SUMIFS('январь 2025'!$G$5:$G$2334,'январь 2025'!$D$5:$D$2334,$B94,'январь 2025'!$J$5:$J$2334,W$1)</f>
        <v>0</v>
      </c>
      <c r="X94" s="76">
        <f>SUMIFS('январь 2025'!$G$5:$G$2334,'январь 2025'!$D$5:$D$2334,$B94,'январь 2025'!$J$5:$J$2334,X$1)</f>
        <v>0</v>
      </c>
      <c r="Y94" s="76">
        <f>SUMIFS('январь 2025'!$G$5:$G$2334,'январь 2025'!$D$5:$D$2334,$B94,'январь 2025'!$J$5:$J$2334,Y$1)</f>
        <v>0</v>
      </c>
      <c r="Z94" s="76">
        <f>SUMIFS('январь 2025'!$G$5:$G$2334,'январь 2025'!$D$5:$D$2334,$B94,'январь 2025'!$J$5:$J$2334,Z$1)</f>
        <v>0</v>
      </c>
      <c r="AA94" s="76">
        <f>SUMIFS('январь 2025'!$G$5:$G$2334,'январь 2025'!$D$5:$D$2334,$B94,'январь 2025'!$J$5:$J$2334,AA$1)</f>
        <v>0</v>
      </c>
      <c r="AB94" s="76">
        <f>SUMIFS('январь 2025'!$G$5:$G$2334,'январь 2025'!$D$5:$D$2334,$B94,'январь 2025'!$J$5:$J$2334,AB$1)</f>
        <v>0</v>
      </c>
      <c r="AC94" s="76">
        <f>SUMIFS('январь 2025'!$G$5:$G$2334,'январь 2025'!$D$5:$D$2334,$B94,'январь 2025'!$J$5:$J$2334,AC$1)</f>
        <v>0</v>
      </c>
      <c r="AD94" s="76">
        <f>SUMIFS('январь 2025'!$G$5:$G$2334,'январь 2025'!$D$5:$D$2334,$B94,'январь 2025'!$J$5:$J$2334,AD$1)</f>
        <v>0</v>
      </c>
      <c r="AE94" s="76">
        <f>SUMIFS('январь 2025'!$G$5:$G$2334,'январь 2025'!$D$5:$D$2334,$B94,'январь 2025'!$J$5:$J$2334,AE$1)</f>
        <v>0</v>
      </c>
      <c r="AF94" s="76">
        <f>SUMIFS('январь 2025'!$G$5:$G$2334,'январь 2025'!$D$5:$D$2334,$B94,'январь 2025'!$J$5:$J$2334,AF$1)</f>
        <v>0</v>
      </c>
      <c r="AG94" s="76">
        <f>SUMIFS('январь 2025'!$G$5:$G$2334,'январь 2025'!$D$5:$D$2334,$B94,'январь 2025'!$J$5:$J$2334,AG$1)</f>
        <v>0</v>
      </c>
      <c r="AH94" s="76">
        <f>SUMIFS('январь 2025'!$G$5:$G$2334,'январь 2025'!$D$5:$D$2334,$B94,'январь 2025'!$J$5:$J$2334,AH$1)</f>
        <v>0</v>
      </c>
      <c r="AI94" s="20">
        <f t="shared" si="1"/>
        <v>0</v>
      </c>
    </row>
    <row r="95" spans="2:35" ht="15" customHeight="1" x14ac:dyDescent="0.25">
      <c r="B95" s="88" t="s">
        <v>259</v>
      </c>
      <c r="C95" s="86">
        <v>180</v>
      </c>
      <c r="D95" s="76">
        <f>SUMIFS('январь 2025'!$G$5:$G$2334,'январь 2025'!$D$5:$D$2334,$B95,'январь 2025'!$J$5:$J$2334,D$1)</f>
        <v>0</v>
      </c>
      <c r="E95" s="76">
        <f>SUMIFS('январь 2025'!$G$5:$G$2334,'январь 2025'!$D$5:$D$2334,$B95,'январь 2025'!$J$5:$J$2334,E$1)</f>
        <v>0</v>
      </c>
      <c r="F95" s="76">
        <f>SUMIFS('январь 2025'!$G$5:$G$2334,'январь 2025'!$D$5:$D$2334,$B95,'январь 2025'!$J$5:$J$2334,F$1)</f>
        <v>0</v>
      </c>
      <c r="G95" s="76">
        <f>SUMIFS('январь 2025'!$G$5:$G$2334,'январь 2025'!$D$5:$D$2334,$B95,'январь 2025'!$J$5:$J$2334,G$1)</f>
        <v>0</v>
      </c>
      <c r="H95" s="76">
        <f>SUMIFS('январь 2025'!$G$5:$G$2334,'январь 2025'!$D$5:$D$2334,$B95,'январь 2025'!$J$5:$J$2334,H$1)</f>
        <v>0</v>
      </c>
      <c r="I95" s="76">
        <f>SUMIFS('январь 2025'!$G$5:$G$2334,'январь 2025'!$D$5:$D$2334,$B95,'январь 2025'!$J$5:$J$2334,I$1)</f>
        <v>0</v>
      </c>
      <c r="J95" s="76">
        <f>SUMIFS('январь 2025'!$G$5:$G$2334,'январь 2025'!$D$5:$D$2334,$B95,'январь 2025'!$J$5:$J$2334,J$1)</f>
        <v>0</v>
      </c>
      <c r="K95" s="76">
        <f>SUMIFS('январь 2025'!$G$5:$G$2334,'январь 2025'!$D$5:$D$2334,$B95,'январь 2025'!$J$5:$J$2334,K$1)</f>
        <v>0</v>
      </c>
      <c r="L95" s="76">
        <f>SUMIFS('январь 2025'!$G$5:$G$2334,'январь 2025'!$D$5:$D$2334,$B95,'январь 2025'!$J$5:$J$2334,L$1)</f>
        <v>0</v>
      </c>
      <c r="M95" s="76">
        <f>SUMIFS('январь 2025'!$G$5:$G$2334,'январь 2025'!$D$5:$D$2334,$B95,'январь 2025'!$J$5:$J$2334,M$1)</f>
        <v>0</v>
      </c>
      <c r="N95" s="76">
        <f>SUMIFS('январь 2025'!$G$5:$G$2334,'январь 2025'!$D$5:$D$2334,$B95,'январь 2025'!$J$5:$J$2334,N$1)</f>
        <v>0</v>
      </c>
      <c r="O95" s="76">
        <f>SUMIFS('январь 2025'!$G$5:$G$2334,'январь 2025'!$D$5:$D$2334,$B95,'январь 2025'!$J$5:$J$2334,O$1)</f>
        <v>0</v>
      </c>
      <c r="P95" s="76">
        <f>SUMIFS('январь 2025'!$G$5:$G$2334,'январь 2025'!$D$5:$D$2334,$B95,'январь 2025'!$J$5:$J$2334,P$1)</f>
        <v>0</v>
      </c>
      <c r="Q95" s="76">
        <f>SUMIFS('январь 2025'!$G$5:$G$2334,'январь 2025'!$D$5:$D$2334,$B95,'январь 2025'!$J$5:$J$2334,Q$1)</f>
        <v>0</v>
      </c>
      <c r="R95" s="76">
        <f>SUMIFS('январь 2025'!$G$5:$G$2334,'январь 2025'!$D$5:$D$2334,$B95,'январь 2025'!$J$5:$J$2334,R$1)</f>
        <v>0</v>
      </c>
      <c r="S95" s="76">
        <f>SUMIFS('январь 2025'!$G$5:$G$2334,'январь 2025'!$D$5:$D$2334,$B95,'январь 2025'!$J$5:$J$2334,S$1)</f>
        <v>0</v>
      </c>
      <c r="T95" s="76">
        <f>SUMIFS('январь 2025'!$G$5:$G$2334,'январь 2025'!$D$5:$D$2334,$B95,'январь 2025'!$J$5:$J$2334,T$1)</f>
        <v>0</v>
      </c>
      <c r="U95" s="76">
        <f>SUMIFS('январь 2025'!$G$5:$G$2334,'январь 2025'!$D$5:$D$2334,$B95,'январь 2025'!$J$5:$J$2334,U$1)</f>
        <v>0</v>
      </c>
      <c r="V95" s="76">
        <f>SUMIFS('январь 2025'!$G$5:$G$2334,'январь 2025'!$D$5:$D$2334,$B95,'январь 2025'!$J$5:$J$2334,V$1)</f>
        <v>0</v>
      </c>
      <c r="W95" s="76">
        <f>SUMIFS('январь 2025'!$G$5:$G$2334,'январь 2025'!$D$5:$D$2334,$B95,'январь 2025'!$J$5:$J$2334,W$1)</f>
        <v>0</v>
      </c>
      <c r="X95" s="76">
        <f>SUMIFS('январь 2025'!$G$5:$G$2334,'январь 2025'!$D$5:$D$2334,$B95,'январь 2025'!$J$5:$J$2334,X$1)</f>
        <v>0</v>
      </c>
      <c r="Y95" s="76">
        <f>SUMIFS('январь 2025'!$G$5:$G$2334,'январь 2025'!$D$5:$D$2334,$B95,'январь 2025'!$J$5:$J$2334,Y$1)</f>
        <v>0</v>
      </c>
      <c r="Z95" s="76">
        <f>SUMIFS('январь 2025'!$G$5:$G$2334,'январь 2025'!$D$5:$D$2334,$B95,'январь 2025'!$J$5:$J$2334,Z$1)</f>
        <v>0</v>
      </c>
      <c r="AA95" s="76">
        <f>SUMIFS('январь 2025'!$G$5:$G$2334,'январь 2025'!$D$5:$D$2334,$B95,'январь 2025'!$J$5:$J$2334,AA$1)</f>
        <v>0</v>
      </c>
      <c r="AB95" s="76">
        <f>SUMIFS('январь 2025'!$G$5:$G$2334,'январь 2025'!$D$5:$D$2334,$B95,'январь 2025'!$J$5:$J$2334,AB$1)</f>
        <v>0</v>
      </c>
      <c r="AC95" s="76">
        <f>SUMIFS('январь 2025'!$G$5:$G$2334,'январь 2025'!$D$5:$D$2334,$B95,'январь 2025'!$J$5:$J$2334,AC$1)</f>
        <v>0</v>
      </c>
      <c r="AD95" s="76">
        <f>SUMIFS('январь 2025'!$G$5:$G$2334,'январь 2025'!$D$5:$D$2334,$B95,'январь 2025'!$J$5:$J$2334,AD$1)</f>
        <v>0</v>
      </c>
      <c r="AE95" s="76">
        <f>SUMIFS('январь 2025'!$G$5:$G$2334,'январь 2025'!$D$5:$D$2334,$B95,'январь 2025'!$J$5:$J$2334,AE$1)</f>
        <v>0</v>
      </c>
      <c r="AF95" s="76">
        <f>SUMIFS('январь 2025'!$G$5:$G$2334,'январь 2025'!$D$5:$D$2334,$B95,'январь 2025'!$J$5:$J$2334,AF$1)</f>
        <v>0</v>
      </c>
      <c r="AG95" s="76">
        <f>SUMIFS('январь 2025'!$G$5:$G$2334,'январь 2025'!$D$5:$D$2334,$B95,'январь 2025'!$J$5:$J$2334,AG$1)</f>
        <v>0</v>
      </c>
      <c r="AH95" s="76">
        <f>SUMIFS('январь 2025'!$G$5:$G$2334,'январь 2025'!$D$5:$D$2334,$B95,'январь 2025'!$J$5:$J$2334,AH$1)</f>
        <v>0</v>
      </c>
      <c r="AI95" s="20">
        <f t="shared" si="1"/>
        <v>0</v>
      </c>
    </row>
    <row r="96" spans="2:35" ht="15" customHeight="1" x14ac:dyDescent="0.25">
      <c r="B96" s="88" t="s">
        <v>289</v>
      </c>
      <c r="C96" s="86">
        <v>20</v>
      </c>
      <c r="D96" s="76">
        <f>SUMIFS('январь 2025'!$G$5:$G$2334,'январь 2025'!$D$5:$D$2334,$B96,'январь 2025'!$J$5:$J$2334,D$1)</f>
        <v>0</v>
      </c>
      <c r="E96" s="76">
        <f>SUMIFS('январь 2025'!$G$5:$G$2334,'январь 2025'!$D$5:$D$2334,$B96,'январь 2025'!$J$5:$J$2334,E$1)</f>
        <v>0</v>
      </c>
      <c r="F96" s="76">
        <f>SUMIFS('январь 2025'!$G$5:$G$2334,'январь 2025'!$D$5:$D$2334,$B96,'январь 2025'!$J$5:$J$2334,F$1)</f>
        <v>0</v>
      </c>
      <c r="G96" s="76">
        <f>SUMIFS('январь 2025'!$G$5:$G$2334,'январь 2025'!$D$5:$D$2334,$B96,'январь 2025'!$J$5:$J$2334,G$1)</f>
        <v>0</v>
      </c>
      <c r="H96" s="76">
        <f>SUMIFS('январь 2025'!$G$5:$G$2334,'январь 2025'!$D$5:$D$2334,$B96,'январь 2025'!$J$5:$J$2334,H$1)</f>
        <v>0</v>
      </c>
      <c r="I96" s="76">
        <f>SUMIFS('январь 2025'!$G$5:$G$2334,'январь 2025'!$D$5:$D$2334,$B96,'январь 2025'!$J$5:$J$2334,I$1)</f>
        <v>0</v>
      </c>
      <c r="J96" s="76">
        <f>SUMIFS('январь 2025'!$G$5:$G$2334,'январь 2025'!$D$5:$D$2334,$B96,'январь 2025'!$J$5:$J$2334,J$1)</f>
        <v>0</v>
      </c>
      <c r="K96" s="76">
        <f>SUMIFS('январь 2025'!$G$5:$G$2334,'январь 2025'!$D$5:$D$2334,$B96,'январь 2025'!$J$5:$J$2334,K$1)</f>
        <v>0</v>
      </c>
      <c r="L96" s="76">
        <f>SUMIFS('январь 2025'!$G$5:$G$2334,'январь 2025'!$D$5:$D$2334,$B96,'январь 2025'!$J$5:$J$2334,L$1)</f>
        <v>0</v>
      </c>
      <c r="M96" s="76">
        <f>SUMIFS('январь 2025'!$G$5:$G$2334,'январь 2025'!$D$5:$D$2334,$B96,'январь 2025'!$J$5:$J$2334,M$1)</f>
        <v>0</v>
      </c>
      <c r="N96" s="76">
        <f>SUMIFS('январь 2025'!$G$5:$G$2334,'январь 2025'!$D$5:$D$2334,$B96,'январь 2025'!$J$5:$J$2334,N$1)</f>
        <v>0</v>
      </c>
      <c r="O96" s="76">
        <f>SUMIFS('январь 2025'!$G$5:$G$2334,'январь 2025'!$D$5:$D$2334,$B96,'январь 2025'!$J$5:$J$2334,O$1)</f>
        <v>0</v>
      </c>
      <c r="P96" s="76">
        <f>SUMIFS('январь 2025'!$G$5:$G$2334,'январь 2025'!$D$5:$D$2334,$B96,'январь 2025'!$J$5:$J$2334,P$1)</f>
        <v>0</v>
      </c>
      <c r="Q96" s="76">
        <f>SUMIFS('январь 2025'!$G$5:$G$2334,'январь 2025'!$D$5:$D$2334,$B96,'январь 2025'!$J$5:$J$2334,Q$1)</f>
        <v>0</v>
      </c>
      <c r="R96" s="76">
        <f>SUMIFS('январь 2025'!$G$5:$G$2334,'январь 2025'!$D$5:$D$2334,$B96,'январь 2025'!$J$5:$J$2334,R$1)</f>
        <v>0</v>
      </c>
      <c r="S96" s="76">
        <f>SUMIFS('январь 2025'!$G$5:$G$2334,'январь 2025'!$D$5:$D$2334,$B96,'январь 2025'!$J$5:$J$2334,S$1)</f>
        <v>0</v>
      </c>
      <c r="T96" s="76">
        <f>SUMIFS('январь 2025'!$G$5:$G$2334,'январь 2025'!$D$5:$D$2334,$B96,'январь 2025'!$J$5:$J$2334,T$1)</f>
        <v>0</v>
      </c>
      <c r="U96" s="76">
        <f>SUMIFS('январь 2025'!$G$5:$G$2334,'январь 2025'!$D$5:$D$2334,$B96,'январь 2025'!$J$5:$J$2334,U$1)</f>
        <v>0</v>
      </c>
      <c r="V96" s="76">
        <f>SUMIFS('январь 2025'!$G$5:$G$2334,'январь 2025'!$D$5:$D$2334,$B96,'январь 2025'!$J$5:$J$2334,V$1)</f>
        <v>0</v>
      </c>
      <c r="W96" s="76">
        <f>SUMIFS('январь 2025'!$G$5:$G$2334,'январь 2025'!$D$5:$D$2334,$B96,'январь 2025'!$J$5:$J$2334,W$1)</f>
        <v>0</v>
      </c>
      <c r="X96" s="76">
        <f>SUMIFS('январь 2025'!$G$5:$G$2334,'январь 2025'!$D$5:$D$2334,$B96,'январь 2025'!$J$5:$J$2334,X$1)</f>
        <v>0</v>
      </c>
      <c r="Y96" s="76">
        <f>SUMIFS('январь 2025'!$G$5:$G$2334,'январь 2025'!$D$5:$D$2334,$B96,'январь 2025'!$J$5:$J$2334,Y$1)</f>
        <v>0</v>
      </c>
      <c r="Z96" s="76">
        <f>SUMIFS('январь 2025'!$G$5:$G$2334,'январь 2025'!$D$5:$D$2334,$B96,'январь 2025'!$J$5:$J$2334,Z$1)</f>
        <v>0</v>
      </c>
      <c r="AA96" s="76">
        <f>SUMIFS('январь 2025'!$G$5:$G$2334,'январь 2025'!$D$5:$D$2334,$B96,'январь 2025'!$J$5:$J$2334,AA$1)</f>
        <v>0</v>
      </c>
      <c r="AB96" s="76">
        <f>SUMIFS('январь 2025'!$G$5:$G$2334,'январь 2025'!$D$5:$D$2334,$B96,'январь 2025'!$J$5:$J$2334,AB$1)</f>
        <v>0</v>
      </c>
      <c r="AC96" s="76">
        <f>SUMIFS('январь 2025'!$G$5:$G$2334,'январь 2025'!$D$5:$D$2334,$B96,'январь 2025'!$J$5:$J$2334,AC$1)</f>
        <v>0</v>
      </c>
      <c r="AD96" s="76">
        <f>SUMIFS('январь 2025'!$G$5:$G$2334,'январь 2025'!$D$5:$D$2334,$B96,'январь 2025'!$J$5:$J$2334,AD$1)</f>
        <v>0</v>
      </c>
      <c r="AE96" s="76">
        <f>SUMIFS('январь 2025'!$G$5:$G$2334,'январь 2025'!$D$5:$D$2334,$B96,'январь 2025'!$J$5:$J$2334,AE$1)</f>
        <v>0</v>
      </c>
      <c r="AF96" s="76">
        <f>SUMIFS('январь 2025'!$G$5:$G$2334,'январь 2025'!$D$5:$D$2334,$B96,'январь 2025'!$J$5:$J$2334,AF$1)</f>
        <v>0</v>
      </c>
      <c r="AG96" s="76">
        <f>SUMIFS('январь 2025'!$G$5:$G$2334,'январь 2025'!$D$5:$D$2334,$B96,'январь 2025'!$J$5:$J$2334,AG$1)</f>
        <v>0</v>
      </c>
      <c r="AH96" s="76">
        <f>SUMIFS('январь 2025'!$G$5:$G$2334,'январь 2025'!$D$5:$D$2334,$B96,'январь 2025'!$J$5:$J$2334,AH$1)</f>
        <v>0</v>
      </c>
      <c r="AI96" s="20">
        <f t="shared" si="1"/>
        <v>0</v>
      </c>
    </row>
    <row r="97" spans="2:35" ht="15" customHeight="1" x14ac:dyDescent="0.25">
      <c r="B97" s="88" t="s">
        <v>315</v>
      </c>
      <c r="C97" s="86">
        <v>25</v>
      </c>
      <c r="D97" s="76">
        <f>SUMIFS('январь 2025'!$G$5:$G$2334,'январь 2025'!$D$5:$D$2334,$B97,'январь 2025'!$J$5:$J$2334,D$1)</f>
        <v>0</v>
      </c>
      <c r="E97" s="76">
        <f>SUMIFS('январь 2025'!$G$5:$G$2334,'январь 2025'!$D$5:$D$2334,$B97,'январь 2025'!$J$5:$J$2334,E$1)</f>
        <v>0</v>
      </c>
      <c r="F97" s="76">
        <f>SUMIFS('январь 2025'!$G$5:$G$2334,'январь 2025'!$D$5:$D$2334,$B97,'январь 2025'!$J$5:$J$2334,F$1)</f>
        <v>0</v>
      </c>
      <c r="G97" s="76">
        <f>SUMIFS('январь 2025'!$G$5:$G$2334,'январь 2025'!$D$5:$D$2334,$B97,'январь 2025'!$J$5:$J$2334,G$1)</f>
        <v>0</v>
      </c>
      <c r="H97" s="76">
        <f>SUMIFS('январь 2025'!$G$5:$G$2334,'январь 2025'!$D$5:$D$2334,$B97,'январь 2025'!$J$5:$J$2334,H$1)</f>
        <v>0</v>
      </c>
      <c r="I97" s="76">
        <f>SUMIFS('январь 2025'!$G$5:$G$2334,'январь 2025'!$D$5:$D$2334,$B97,'январь 2025'!$J$5:$J$2334,I$1)</f>
        <v>0</v>
      </c>
      <c r="J97" s="76">
        <f>SUMIFS('январь 2025'!$G$5:$G$2334,'январь 2025'!$D$5:$D$2334,$B97,'январь 2025'!$J$5:$J$2334,J$1)</f>
        <v>0</v>
      </c>
      <c r="K97" s="76">
        <f>SUMIFS('январь 2025'!$G$5:$G$2334,'январь 2025'!$D$5:$D$2334,$B97,'январь 2025'!$J$5:$J$2334,K$1)</f>
        <v>0</v>
      </c>
      <c r="L97" s="76">
        <f>SUMIFS('январь 2025'!$G$5:$G$2334,'январь 2025'!$D$5:$D$2334,$B97,'январь 2025'!$J$5:$J$2334,L$1)</f>
        <v>0</v>
      </c>
      <c r="M97" s="76">
        <f>SUMIFS('январь 2025'!$G$5:$G$2334,'январь 2025'!$D$5:$D$2334,$B97,'январь 2025'!$J$5:$J$2334,M$1)</f>
        <v>0</v>
      </c>
      <c r="N97" s="76">
        <f>SUMIFS('январь 2025'!$G$5:$G$2334,'январь 2025'!$D$5:$D$2334,$B97,'январь 2025'!$J$5:$J$2334,N$1)</f>
        <v>0</v>
      </c>
      <c r="O97" s="76">
        <f>SUMIFS('январь 2025'!$G$5:$G$2334,'январь 2025'!$D$5:$D$2334,$B97,'январь 2025'!$J$5:$J$2334,O$1)</f>
        <v>0</v>
      </c>
      <c r="P97" s="76">
        <f>SUMIFS('январь 2025'!$G$5:$G$2334,'январь 2025'!$D$5:$D$2334,$B97,'январь 2025'!$J$5:$J$2334,P$1)</f>
        <v>0</v>
      </c>
      <c r="Q97" s="76">
        <f>SUMIFS('январь 2025'!$G$5:$G$2334,'январь 2025'!$D$5:$D$2334,$B97,'январь 2025'!$J$5:$J$2334,Q$1)</f>
        <v>0</v>
      </c>
      <c r="R97" s="76">
        <f>SUMIFS('январь 2025'!$G$5:$G$2334,'январь 2025'!$D$5:$D$2334,$B97,'январь 2025'!$J$5:$J$2334,R$1)</f>
        <v>0</v>
      </c>
      <c r="S97" s="76">
        <f>SUMIFS('январь 2025'!$G$5:$G$2334,'январь 2025'!$D$5:$D$2334,$B97,'январь 2025'!$J$5:$J$2334,S$1)</f>
        <v>0</v>
      </c>
      <c r="T97" s="76">
        <f>SUMIFS('январь 2025'!$G$5:$G$2334,'январь 2025'!$D$5:$D$2334,$B97,'январь 2025'!$J$5:$J$2334,T$1)</f>
        <v>0</v>
      </c>
      <c r="U97" s="76">
        <f>SUMIFS('январь 2025'!$G$5:$G$2334,'январь 2025'!$D$5:$D$2334,$B97,'январь 2025'!$J$5:$J$2334,U$1)</f>
        <v>0</v>
      </c>
      <c r="V97" s="76">
        <f>SUMIFS('январь 2025'!$G$5:$G$2334,'январь 2025'!$D$5:$D$2334,$B97,'январь 2025'!$J$5:$J$2334,V$1)</f>
        <v>0</v>
      </c>
      <c r="W97" s="76">
        <f>SUMIFS('январь 2025'!$G$5:$G$2334,'январь 2025'!$D$5:$D$2334,$B97,'январь 2025'!$J$5:$J$2334,W$1)</f>
        <v>0</v>
      </c>
      <c r="X97" s="76">
        <f>SUMIFS('январь 2025'!$G$5:$G$2334,'январь 2025'!$D$5:$D$2334,$B97,'январь 2025'!$J$5:$J$2334,X$1)</f>
        <v>0</v>
      </c>
      <c r="Y97" s="76">
        <f>SUMIFS('январь 2025'!$G$5:$G$2334,'январь 2025'!$D$5:$D$2334,$B97,'январь 2025'!$J$5:$J$2334,Y$1)</f>
        <v>0</v>
      </c>
      <c r="Z97" s="76">
        <f>SUMIFS('январь 2025'!$G$5:$G$2334,'январь 2025'!$D$5:$D$2334,$B97,'январь 2025'!$J$5:$J$2334,Z$1)</f>
        <v>0</v>
      </c>
      <c r="AA97" s="76">
        <f>SUMIFS('январь 2025'!$G$5:$G$2334,'январь 2025'!$D$5:$D$2334,$B97,'январь 2025'!$J$5:$J$2334,AA$1)</f>
        <v>0</v>
      </c>
      <c r="AB97" s="76">
        <f>SUMIFS('январь 2025'!$G$5:$G$2334,'январь 2025'!$D$5:$D$2334,$B97,'январь 2025'!$J$5:$J$2334,AB$1)</f>
        <v>0</v>
      </c>
      <c r="AC97" s="76">
        <f>SUMIFS('январь 2025'!$G$5:$G$2334,'январь 2025'!$D$5:$D$2334,$B97,'январь 2025'!$J$5:$J$2334,AC$1)</f>
        <v>0</v>
      </c>
      <c r="AD97" s="76">
        <f>SUMIFS('январь 2025'!$G$5:$G$2334,'январь 2025'!$D$5:$D$2334,$B97,'январь 2025'!$J$5:$J$2334,AD$1)</f>
        <v>0</v>
      </c>
      <c r="AE97" s="76">
        <f>SUMIFS('январь 2025'!$G$5:$G$2334,'январь 2025'!$D$5:$D$2334,$B97,'январь 2025'!$J$5:$J$2334,AE$1)</f>
        <v>0</v>
      </c>
      <c r="AF97" s="76">
        <f>SUMIFS('январь 2025'!$G$5:$G$2334,'январь 2025'!$D$5:$D$2334,$B97,'январь 2025'!$J$5:$J$2334,AF$1)</f>
        <v>0</v>
      </c>
      <c r="AG97" s="76">
        <f>SUMIFS('январь 2025'!$G$5:$G$2334,'январь 2025'!$D$5:$D$2334,$B97,'январь 2025'!$J$5:$J$2334,AG$1)</f>
        <v>0</v>
      </c>
      <c r="AH97" s="76">
        <f>SUMIFS('январь 2025'!$G$5:$G$2334,'январь 2025'!$D$5:$D$2334,$B97,'январь 2025'!$J$5:$J$2334,AH$1)</f>
        <v>0</v>
      </c>
      <c r="AI97" s="20">
        <f t="shared" si="1"/>
        <v>0</v>
      </c>
    </row>
    <row r="98" spans="2:35" ht="15" customHeight="1" x14ac:dyDescent="0.25">
      <c r="B98" s="88" t="s">
        <v>385</v>
      </c>
      <c r="C98" s="86">
        <v>28</v>
      </c>
      <c r="D98" s="76">
        <f>SUMIFS('январь 2025'!$G$5:$G$2334,'январь 2025'!$D$5:$D$2334,$B98,'январь 2025'!$J$5:$J$2334,D$1)</f>
        <v>0</v>
      </c>
      <c r="E98" s="76">
        <f>SUMIFS('январь 2025'!$G$5:$G$2334,'январь 2025'!$D$5:$D$2334,$B98,'январь 2025'!$J$5:$J$2334,E$1)</f>
        <v>0</v>
      </c>
      <c r="F98" s="76">
        <f>SUMIFS('январь 2025'!$G$5:$G$2334,'январь 2025'!$D$5:$D$2334,$B98,'январь 2025'!$J$5:$J$2334,F$1)</f>
        <v>0</v>
      </c>
      <c r="G98" s="76">
        <f>SUMIFS('январь 2025'!$G$5:$G$2334,'январь 2025'!$D$5:$D$2334,$B98,'январь 2025'!$J$5:$J$2334,G$1)</f>
        <v>0</v>
      </c>
      <c r="H98" s="76">
        <f>SUMIFS('январь 2025'!$G$5:$G$2334,'январь 2025'!$D$5:$D$2334,$B98,'январь 2025'!$J$5:$J$2334,H$1)</f>
        <v>0</v>
      </c>
      <c r="I98" s="76">
        <f>SUMIFS('январь 2025'!$G$5:$G$2334,'январь 2025'!$D$5:$D$2334,$B98,'январь 2025'!$J$5:$J$2334,I$1)</f>
        <v>0</v>
      </c>
      <c r="J98" s="76">
        <f>SUMIFS('январь 2025'!$G$5:$G$2334,'январь 2025'!$D$5:$D$2334,$B98,'январь 2025'!$J$5:$J$2334,J$1)</f>
        <v>0</v>
      </c>
      <c r="K98" s="76">
        <f>SUMIFS('январь 2025'!$G$5:$G$2334,'январь 2025'!$D$5:$D$2334,$B98,'январь 2025'!$J$5:$J$2334,K$1)</f>
        <v>0</v>
      </c>
      <c r="L98" s="76">
        <f>SUMIFS('январь 2025'!$G$5:$G$2334,'январь 2025'!$D$5:$D$2334,$B98,'январь 2025'!$J$5:$J$2334,L$1)</f>
        <v>0</v>
      </c>
      <c r="M98" s="76">
        <f>SUMIFS('январь 2025'!$G$5:$G$2334,'январь 2025'!$D$5:$D$2334,$B98,'январь 2025'!$J$5:$J$2334,M$1)</f>
        <v>0</v>
      </c>
      <c r="N98" s="76">
        <f>SUMIFS('январь 2025'!$G$5:$G$2334,'январь 2025'!$D$5:$D$2334,$B98,'январь 2025'!$J$5:$J$2334,N$1)</f>
        <v>0</v>
      </c>
      <c r="O98" s="76">
        <f>SUMIFS('январь 2025'!$G$5:$G$2334,'январь 2025'!$D$5:$D$2334,$B98,'январь 2025'!$J$5:$J$2334,O$1)</f>
        <v>0</v>
      </c>
      <c r="P98" s="76">
        <f>SUMIFS('январь 2025'!$G$5:$G$2334,'январь 2025'!$D$5:$D$2334,$B98,'январь 2025'!$J$5:$J$2334,P$1)</f>
        <v>672</v>
      </c>
      <c r="Q98" s="76">
        <f>SUMIFS('январь 2025'!$G$5:$G$2334,'январь 2025'!$D$5:$D$2334,$B98,'январь 2025'!$J$5:$J$2334,Q$1)</f>
        <v>0</v>
      </c>
      <c r="R98" s="76">
        <f>SUMIFS('январь 2025'!$G$5:$G$2334,'январь 2025'!$D$5:$D$2334,$B98,'январь 2025'!$J$5:$J$2334,R$1)</f>
        <v>0</v>
      </c>
      <c r="S98" s="76">
        <f>SUMIFS('январь 2025'!$G$5:$G$2334,'январь 2025'!$D$5:$D$2334,$B98,'январь 2025'!$J$5:$J$2334,S$1)</f>
        <v>0</v>
      </c>
      <c r="T98" s="76">
        <f>SUMIFS('январь 2025'!$G$5:$G$2334,'январь 2025'!$D$5:$D$2334,$B98,'январь 2025'!$J$5:$J$2334,T$1)</f>
        <v>0</v>
      </c>
      <c r="U98" s="76">
        <f>SUMIFS('январь 2025'!$G$5:$G$2334,'январь 2025'!$D$5:$D$2334,$B98,'январь 2025'!$J$5:$J$2334,U$1)</f>
        <v>0</v>
      </c>
      <c r="V98" s="76">
        <f>SUMIFS('январь 2025'!$G$5:$G$2334,'январь 2025'!$D$5:$D$2334,$B98,'январь 2025'!$J$5:$J$2334,V$1)</f>
        <v>0</v>
      </c>
      <c r="W98" s="76">
        <f>SUMIFS('январь 2025'!$G$5:$G$2334,'январь 2025'!$D$5:$D$2334,$B98,'январь 2025'!$J$5:$J$2334,W$1)</f>
        <v>0</v>
      </c>
      <c r="X98" s="76">
        <f>SUMIFS('январь 2025'!$G$5:$G$2334,'январь 2025'!$D$5:$D$2334,$B98,'январь 2025'!$J$5:$J$2334,X$1)</f>
        <v>0</v>
      </c>
      <c r="Y98" s="76">
        <f>SUMIFS('январь 2025'!$G$5:$G$2334,'январь 2025'!$D$5:$D$2334,$B98,'январь 2025'!$J$5:$J$2334,Y$1)</f>
        <v>0</v>
      </c>
      <c r="Z98" s="76">
        <f>SUMIFS('январь 2025'!$G$5:$G$2334,'январь 2025'!$D$5:$D$2334,$B98,'январь 2025'!$J$5:$J$2334,Z$1)</f>
        <v>0</v>
      </c>
      <c r="AA98" s="76">
        <f>SUMIFS('январь 2025'!$G$5:$G$2334,'январь 2025'!$D$5:$D$2334,$B98,'январь 2025'!$J$5:$J$2334,AA$1)</f>
        <v>0</v>
      </c>
      <c r="AB98" s="76">
        <f>SUMIFS('январь 2025'!$G$5:$G$2334,'январь 2025'!$D$5:$D$2334,$B98,'январь 2025'!$J$5:$J$2334,AB$1)</f>
        <v>0</v>
      </c>
      <c r="AC98" s="76">
        <f>SUMIFS('январь 2025'!$G$5:$G$2334,'январь 2025'!$D$5:$D$2334,$B98,'январь 2025'!$J$5:$J$2334,AC$1)</f>
        <v>0</v>
      </c>
      <c r="AD98" s="76">
        <f>SUMIFS('январь 2025'!$G$5:$G$2334,'январь 2025'!$D$5:$D$2334,$B98,'январь 2025'!$J$5:$J$2334,AD$1)</f>
        <v>0</v>
      </c>
      <c r="AE98" s="76">
        <f>SUMIFS('январь 2025'!$G$5:$G$2334,'январь 2025'!$D$5:$D$2334,$B98,'январь 2025'!$J$5:$J$2334,AE$1)</f>
        <v>0</v>
      </c>
      <c r="AF98" s="76">
        <f>SUMIFS('январь 2025'!$G$5:$G$2334,'январь 2025'!$D$5:$D$2334,$B98,'январь 2025'!$J$5:$J$2334,AF$1)</f>
        <v>0</v>
      </c>
      <c r="AG98" s="76">
        <f>SUMIFS('январь 2025'!$G$5:$G$2334,'январь 2025'!$D$5:$D$2334,$B98,'январь 2025'!$J$5:$J$2334,AG$1)</f>
        <v>0</v>
      </c>
      <c r="AH98" s="76">
        <f>SUMIFS('январь 2025'!$G$5:$G$2334,'январь 2025'!$D$5:$D$2334,$B98,'январь 2025'!$J$5:$J$2334,AH$1)</f>
        <v>0</v>
      </c>
      <c r="AI98" s="20">
        <f t="shared" ref="AI98" si="4">SUM(D98:AH98)</f>
        <v>672</v>
      </c>
    </row>
    <row r="99" spans="2:35" ht="15" customHeight="1" x14ac:dyDescent="0.25">
      <c r="B99" s="88" t="s">
        <v>193</v>
      </c>
      <c r="C99" s="86">
        <v>180</v>
      </c>
      <c r="D99" s="76">
        <f>SUMIFS('январь 2025'!$G$5:$G$2334,'январь 2025'!$D$5:$D$2334,$B99,'январь 2025'!$J$5:$J$2334,D$1)</f>
        <v>0</v>
      </c>
      <c r="E99" s="76">
        <f>SUMIFS('январь 2025'!$G$5:$G$2334,'январь 2025'!$D$5:$D$2334,$B99,'январь 2025'!$J$5:$J$2334,E$1)</f>
        <v>0</v>
      </c>
      <c r="F99" s="76">
        <f>SUMIFS('январь 2025'!$G$5:$G$2334,'январь 2025'!$D$5:$D$2334,$B99,'январь 2025'!$J$5:$J$2334,F$1)</f>
        <v>0</v>
      </c>
      <c r="G99" s="76">
        <f>SUMIFS('январь 2025'!$G$5:$G$2334,'январь 2025'!$D$5:$D$2334,$B99,'январь 2025'!$J$5:$J$2334,G$1)</f>
        <v>0</v>
      </c>
      <c r="H99" s="76">
        <f>SUMIFS('январь 2025'!$G$5:$G$2334,'январь 2025'!$D$5:$D$2334,$B99,'январь 2025'!$J$5:$J$2334,H$1)</f>
        <v>0</v>
      </c>
      <c r="I99" s="76">
        <f>SUMIFS('январь 2025'!$G$5:$G$2334,'январь 2025'!$D$5:$D$2334,$B99,'январь 2025'!$J$5:$J$2334,I$1)</f>
        <v>0</v>
      </c>
      <c r="J99" s="76">
        <f>SUMIFS('январь 2025'!$G$5:$G$2334,'январь 2025'!$D$5:$D$2334,$B99,'январь 2025'!$J$5:$J$2334,J$1)</f>
        <v>0</v>
      </c>
      <c r="K99" s="76">
        <f>SUMIFS('январь 2025'!$G$5:$G$2334,'январь 2025'!$D$5:$D$2334,$B99,'январь 2025'!$J$5:$J$2334,K$1)</f>
        <v>0</v>
      </c>
      <c r="L99" s="76">
        <f>SUMIFS('январь 2025'!$G$5:$G$2334,'январь 2025'!$D$5:$D$2334,$B99,'январь 2025'!$J$5:$J$2334,L$1)</f>
        <v>0</v>
      </c>
      <c r="M99" s="76">
        <f>SUMIFS('январь 2025'!$G$5:$G$2334,'январь 2025'!$D$5:$D$2334,$B99,'январь 2025'!$J$5:$J$2334,M$1)</f>
        <v>0</v>
      </c>
      <c r="N99" s="76">
        <f>SUMIFS('январь 2025'!$G$5:$G$2334,'январь 2025'!$D$5:$D$2334,$B99,'январь 2025'!$J$5:$J$2334,N$1)</f>
        <v>0</v>
      </c>
      <c r="O99" s="76">
        <f>SUMIFS('январь 2025'!$G$5:$G$2334,'январь 2025'!$D$5:$D$2334,$B99,'январь 2025'!$J$5:$J$2334,O$1)</f>
        <v>0</v>
      </c>
      <c r="P99" s="76">
        <f>SUMIFS('январь 2025'!$G$5:$G$2334,'январь 2025'!$D$5:$D$2334,$B99,'январь 2025'!$J$5:$J$2334,P$1)</f>
        <v>0</v>
      </c>
      <c r="Q99" s="76">
        <f>SUMIFS('январь 2025'!$G$5:$G$2334,'январь 2025'!$D$5:$D$2334,$B99,'январь 2025'!$J$5:$J$2334,Q$1)</f>
        <v>0</v>
      </c>
      <c r="R99" s="76">
        <f>SUMIFS('январь 2025'!$G$5:$G$2334,'январь 2025'!$D$5:$D$2334,$B99,'январь 2025'!$J$5:$J$2334,R$1)</f>
        <v>0</v>
      </c>
      <c r="S99" s="76">
        <f>SUMIFS('январь 2025'!$G$5:$G$2334,'январь 2025'!$D$5:$D$2334,$B99,'январь 2025'!$J$5:$J$2334,S$1)</f>
        <v>0</v>
      </c>
      <c r="T99" s="76">
        <f>SUMIFS('январь 2025'!$G$5:$G$2334,'январь 2025'!$D$5:$D$2334,$B99,'январь 2025'!$J$5:$J$2334,T$1)</f>
        <v>0</v>
      </c>
      <c r="U99" s="76">
        <f>SUMIFS('январь 2025'!$G$5:$G$2334,'январь 2025'!$D$5:$D$2334,$B99,'январь 2025'!$J$5:$J$2334,U$1)</f>
        <v>0</v>
      </c>
      <c r="V99" s="76">
        <f>SUMIFS('январь 2025'!$G$5:$G$2334,'январь 2025'!$D$5:$D$2334,$B99,'январь 2025'!$J$5:$J$2334,V$1)</f>
        <v>0</v>
      </c>
      <c r="W99" s="76">
        <f>SUMIFS('январь 2025'!$G$5:$G$2334,'январь 2025'!$D$5:$D$2334,$B99,'январь 2025'!$J$5:$J$2334,W$1)</f>
        <v>0</v>
      </c>
      <c r="X99" s="76">
        <f>SUMIFS('январь 2025'!$G$5:$G$2334,'январь 2025'!$D$5:$D$2334,$B99,'январь 2025'!$J$5:$J$2334,X$1)</f>
        <v>0</v>
      </c>
      <c r="Y99" s="76">
        <f>SUMIFS('январь 2025'!$G$5:$G$2334,'январь 2025'!$D$5:$D$2334,$B99,'январь 2025'!$J$5:$J$2334,Y$1)</f>
        <v>0</v>
      </c>
      <c r="Z99" s="76">
        <f>SUMIFS('январь 2025'!$G$5:$G$2334,'январь 2025'!$D$5:$D$2334,$B99,'январь 2025'!$J$5:$J$2334,Z$1)</f>
        <v>0</v>
      </c>
      <c r="AA99" s="76">
        <f>SUMIFS('январь 2025'!$G$5:$G$2334,'январь 2025'!$D$5:$D$2334,$B99,'январь 2025'!$J$5:$J$2334,AA$1)</f>
        <v>0</v>
      </c>
      <c r="AB99" s="76">
        <f>SUMIFS('январь 2025'!$G$5:$G$2334,'январь 2025'!$D$5:$D$2334,$B99,'январь 2025'!$J$5:$J$2334,AB$1)</f>
        <v>0</v>
      </c>
      <c r="AC99" s="76">
        <f>SUMIFS('январь 2025'!$G$5:$G$2334,'январь 2025'!$D$5:$D$2334,$B99,'январь 2025'!$J$5:$J$2334,AC$1)</f>
        <v>0</v>
      </c>
      <c r="AD99" s="76">
        <f>SUMIFS('январь 2025'!$G$5:$G$2334,'январь 2025'!$D$5:$D$2334,$B99,'январь 2025'!$J$5:$J$2334,AD$1)</f>
        <v>0</v>
      </c>
      <c r="AE99" s="76">
        <f>SUMIFS('январь 2025'!$G$5:$G$2334,'январь 2025'!$D$5:$D$2334,$B99,'январь 2025'!$J$5:$J$2334,AE$1)</f>
        <v>0</v>
      </c>
      <c r="AF99" s="76">
        <f>SUMIFS('январь 2025'!$G$5:$G$2334,'январь 2025'!$D$5:$D$2334,$B99,'январь 2025'!$J$5:$J$2334,AF$1)</f>
        <v>0</v>
      </c>
      <c r="AG99" s="76">
        <f>SUMIFS('январь 2025'!$G$5:$G$2334,'январь 2025'!$D$5:$D$2334,$B99,'январь 2025'!$J$5:$J$2334,AG$1)</f>
        <v>0</v>
      </c>
      <c r="AH99" s="76">
        <f>SUMIFS('январь 2025'!$G$5:$G$2334,'январь 2025'!$D$5:$D$2334,$B99,'январь 2025'!$J$5:$J$2334,AH$1)</f>
        <v>0</v>
      </c>
      <c r="AI99" s="20">
        <f t="shared" si="1"/>
        <v>0</v>
      </c>
    </row>
    <row r="100" spans="2:35" ht="15" customHeight="1" x14ac:dyDescent="0.25">
      <c r="B100" s="84" t="s">
        <v>194</v>
      </c>
      <c r="C100" s="83">
        <v>200</v>
      </c>
      <c r="D100" s="76">
        <f>SUMIFS('январь 2025'!$G$5:$G$2334,'январь 2025'!$D$5:$D$2334,$B100,'январь 2025'!$J$5:$J$2334,D$1)</f>
        <v>0</v>
      </c>
      <c r="E100" s="76">
        <f>SUMIFS('январь 2025'!$G$5:$G$2334,'январь 2025'!$D$5:$D$2334,$B100,'январь 2025'!$J$5:$J$2334,E$1)</f>
        <v>0</v>
      </c>
      <c r="F100" s="76">
        <f>SUMIFS('январь 2025'!$G$5:$G$2334,'январь 2025'!$D$5:$D$2334,$B100,'январь 2025'!$J$5:$J$2334,F$1)</f>
        <v>0</v>
      </c>
      <c r="G100" s="76">
        <f>SUMIFS('январь 2025'!$G$5:$G$2334,'январь 2025'!$D$5:$D$2334,$B100,'январь 2025'!$J$5:$J$2334,G$1)</f>
        <v>0</v>
      </c>
      <c r="H100" s="76">
        <f>SUMIFS('январь 2025'!$G$5:$G$2334,'январь 2025'!$D$5:$D$2334,$B100,'январь 2025'!$J$5:$J$2334,H$1)</f>
        <v>0</v>
      </c>
      <c r="I100" s="76">
        <f>SUMIFS('январь 2025'!$G$5:$G$2334,'январь 2025'!$D$5:$D$2334,$B100,'январь 2025'!$J$5:$J$2334,I$1)</f>
        <v>0</v>
      </c>
      <c r="J100" s="76">
        <f>SUMIFS('январь 2025'!$G$5:$G$2334,'январь 2025'!$D$5:$D$2334,$B100,'январь 2025'!$J$5:$J$2334,J$1)</f>
        <v>0</v>
      </c>
      <c r="K100" s="76">
        <f>SUMIFS('январь 2025'!$G$5:$G$2334,'январь 2025'!$D$5:$D$2334,$B100,'январь 2025'!$J$5:$J$2334,K$1)</f>
        <v>0</v>
      </c>
      <c r="L100" s="76">
        <f>SUMIFS('январь 2025'!$G$5:$G$2334,'январь 2025'!$D$5:$D$2334,$B100,'январь 2025'!$J$5:$J$2334,L$1)</f>
        <v>0</v>
      </c>
      <c r="M100" s="76">
        <f>SUMIFS('январь 2025'!$G$5:$G$2334,'январь 2025'!$D$5:$D$2334,$B100,'январь 2025'!$J$5:$J$2334,M$1)</f>
        <v>0</v>
      </c>
      <c r="N100" s="76">
        <f>SUMIFS('январь 2025'!$G$5:$G$2334,'январь 2025'!$D$5:$D$2334,$B100,'январь 2025'!$J$5:$J$2334,N$1)</f>
        <v>0</v>
      </c>
      <c r="O100" s="76">
        <f>SUMIFS('январь 2025'!$G$5:$G$2334,'январь 2025'!$D$5:$D$2334,$B100,'январь 2025'!$J$5:$J$2334,O$1)</f>
        <v>0</v>
      </c>
      <c r="P100" s="76">
        <f>SUMIFS('январь 2025'!$G$5:$G$2334,'январь 2025'!$D$5:$D$2334,$B100,'январь 2025'!$J$5:$J$2334,P$1)</f>
        <v>0</v>
      </c>
      <c r="Q100" s="76">
        <f>SUMIFS('январь 2025'!$G$5:$G$2334,'январь 2025'!$D$5:$D$2334,$B100,'январь 2025'!$J$5:$J$2334,Q$1)</f>
        <v>0</v>
      </c>
      <c r="R100" s="76">
        <f>SUMIFS('январь 2025'!$G$5:$G$2334,'январь 2025'!$D$5:$D$2334,$B100,'январь 2025'!$J$5:$J$2334,R$1)</f>
        <v>0</v>
      </c>
      <c r="S100" s="76">
        <f>SUMIFS('январь 2025'!$G$5:$G$2334,'январь 2025'!$D$5:$D$2334,$B100,'январь 2025'!$J$5:$J$2334,S$1)</f>
        <v>0</v>
      </c>
      <c r="T100" s="76">
        <f>SUMIFS('январь 2025'!$G$5:$G$2334,'январь 2025'!$D$5:$D$2334,$B100,'январь 2025'!$J$5:$J$2334,T$1)</f>
        <v>0</v>
      </c>
      <c r="U100" s="76">
        <f>SUMIFS('январь 2025'!$G$5:$G$2334,'январь 2025'!$D$5:$D$2334,$B100,'январь 2025'!$J$5:$J$2334,U$1)</f>
        <v>0</v>
      </c>
      <c r="V100" s="76">
        <f>SUMIFS('январь 2025'!$G$5:$G$2334,'январь 2025'!$D$5:$D$2334,$B100,'январь 2025'!$J$5:$J$2334,V$1)</f>
        <v>0</v>
      </c>
      <c r="W100" s="76">
        <f>SUMIFS('январь 2025'!$G$5:$G$2334,'январь 2025'!$D$5:$D$2334,$B100,'январь 2025'!$J$5:$J$2334,W$1)</f>
        <v>0</v>
      </c>
      <c r="X100" s="76">
        <f>SUMIFS('январь 2025'!$G$5:$G$2334,'январь 2025'!$D$5:$D$2334,$B100,'январь 2025'!$J$5:$J$2334,X$1)</f>
        <v>0</v>
      </c>
      <c r="Y100" s="76">
        <f>SUMIFS('январь 2025'!$G$5:$G$2334,'январь 2025'!$D$5:$D$2334,$B100,'январь 2025'!$J$5:$J$2334,Y$1)</f>
        <v>0</v>
      </c>
      <c r="Z100" s="76">
        <f>SUMIFS('январь 2025'!$G$5:$G$2334,'январь 2025'!$D$5:$D$2334,$B100,'январь 2025'!$J$5:$J$2334,Z$1)</f>
        <v>0</v>
      </c>
      <c r="AA100" s="76">
        <f>SUMIFS('январь 2025'!$G$5:$G$2334,'январь 2025'!$D$5:$D$2334,$B100,'январь 2025'!$J$5:$J$2334,AA$1)</f>
        <v>0</v>
      </c>
      <c r="AB100" s="76">
        <f>SUMIFS('январь 2025'!$G$5:$G$2334,'январь 2025'!$D$5:$D$2334,$B100,'январь 2025'!$J$5:$J$2334,AB$1)</f>
        <v>0</v>
      </c>
      <c r="AC100" s="76">
        <f>SUMIFS('январь 2025'!$G$5:$G$2334,'январь 2025'!$D$5:$D$2334,$B100,'январь 2025'!$J$5:$J$2334,AC$1)</f>
        <v>0</v>
      </c>
      <c r="AD100" s="76">
        <f>SUMIFS('январь 2025'!$G$5:$G$2334,'январь 2025'!$D$5:$D$2334,$B100,'январь 2025'!$J$5:$J$2334,AD$1)</f>
        <v>0</v>
      </c>
      <c r="AE100" s="76">
        <f>SUMIFS('январь 2025'!$G$5:$G$2334,'январь 2025'!$D$5:$D$2334,$B100,'январь 2025'!$J$5:$J$2334,AE$1)</f>
        <v>24</v>
      </c>
      <c r="AF100" s="76">
        <f>SUMIFS('январь 2025'!$G$5:$G$2334,'январь 2025'!$D$5:$D$2334,$B100,'январь 2025'!$J$5:$J$2334,AF$1)</f>
        <v>20</v>
      </c>
      <c r="AG100" s="76">
        <f>SUMIFS('январь 2025'!$G$5:$G$2334,'январь 2025'!$D$5:$D$2334,$B100,'январь 2025'!$J$5:$J$2334,AG$1)</f>
        <v>0</v>
      </c>
      <c r="AH100" s="76">
        <f>SUMIFS('январь 2025'!$G$5:$G$2334,'январь 2025'!$D$5:$D$2334,$B100,'январь 2025'!$J$5:$J$2334,AH$1)</f>
        <v>0</v>
      </c>
      <c r="AI100" s="20">
        <f t="shared" si="1"/>
        <v>44</v>
      </c>
    </row>
    <row r="101" spans="2:35" ht="15" customHeight="1" x14ac:dyDescent="0.25">
      <c r="B101" s="87" t="s">
        <v>169</v>
      </c>
      <c r="C101" s="86">
        <v>180</v>
      </c>
      <c r="D101" s="76">
        <f>SUMIFS('январь 2025'!$G$5:$G$2334,'январь 2025'!$D$5:$D$2334,$B101,'январь 2025'!$J$5:$J$2334,D$1)</f>
        <v>0</v>
      </c>
      <c r="E101" s="76">
        <f>SUMIFS('январь 2025'!$G$5:$G$2334,'январь 2025'!$D$5:$D$2334,$B101,'январь 2025'!$J$5:$J$2334,E$1)</f>
        <v>0</v>
      </c>
      <c r="F101" s="76">
        <f>SUMIFS('январь 2025'!$G$5:$G$2334,'январь 2025'!$D$5:$D$2334,$B101,'январь 2025'!$J$5:$J$2334,F$1)</f>
        <v>0</v>
      </c>
      <c r="G101" s="76">
        <f>SUMIFS('январь 2025'!$G$5:$G$2334,'январь 2025'!$D$5:$D$2334,$B101,'январь 2025'!$J$5:$J$2334,G$1)</f>
        <v>0</v>
      </c>
      <c r="H101" s="76">
        <f>SUMIFS('январь 2025'!$G$5:$G$2334,'январь 2025'!$D$5:$D$2334,$B101,'январь 2025'!$J$5:$J$2334,H$1)</f>
        <v>0</v>
      </c>
      <c r="I101" s="76">
        <f>SUMIFS('январь 2025'!$G$5:$G$2334,'январь 2025'!$D$5:$D$2334,$B101,'январь 2025'!$J$5:$J$2334,I$1)</f>
        <v>0</v>
      </c>
      <c r="J101" s="76">
        <f>SUMIFS('январь 2025'!$G$5:$G$2334,'январь 2025'!$D$5:$D$2334,$B101,'январь 2025'!$J$5:$J$2334,J$1)</f>
        <v>0</v>
      </c>
      <c r="K101" s="76">
        <f>SUMIFS('январь 2025'!$G$5:$G$2334,'январь 2025'!$D$5:$D$2334,$B101,'январь 2025'!$J$5:$J$2334,K$1)</f>
        <v>0</v>
      </c>
      <c r="L101" s="76">
        <f>SUMIFS('январь 2025'!$G$5:$G$2334,'январь 2025'!$D$5:$D$2334,$B101,'январь 2025'!$J$5:$J$2334,L$1)</f>
        <v>0</v>
      </c>
      <c r="M101" s="76">
        <f>SUMIFS('январь 2025'!$G$5:$G$2334,'январь 2025'!$D$5:$D$2334,$B101,'январь 2025'!$J$5:$J$2334,M$1)</f>
        <v>0</v>
      </c>
      <c r="N101" s="76">
        <f>SUMIFS('январь 2025'!$G$5:$G$2334,'январь 2025'!$D$5:$D$2334,$B101,'январь 2025'!$J$5:$J$2334,N$1)</f>
        <v>0</v>
      </c>
      <c r="O101" s="76">
        <f>SUMIFS('январь 2025'!$G$5:$G$2334,'январь 2025'!$D$5:$D$2334,$B101,'январь 2025'!$J$5:$J$2334,O$1)</f>
        <v>0</v>
      </c>
      <c r="P101" s="76">
        <f>SUMIFS('январь 2025'!$G$5:$G$2334,'январь 2025'!$D$5:$D$2334,$B101,'январь 2025'!$J$5:$J$2334,P$1)</f>
        <v>0</v>
      </c>
      <c r="Q101" s="76">
        <f>SUMIFS('январь 2025'!$G$5:$G$2334,'январь 2025'!$D$5:$D$2334,$B101,'январь 2025'!$J$5:$J$2334,Q$1)</f>
        <v>0</v>
      </c>
      <c r="R101" s="76">
        <f>SUMIFS('январь 2025'!$G$5:$G$2334,'январь 2025'!$D$5:$D$2334,$B101,'январь 2025'!$J$5:$J$2334,R$1)</f>
        <v>0</v>
      </c>
      <c r="S101" s="76">
        <f>SUMIFS('январь 2025'!$G$5:$G$2334,'январь 2025'!$D$5:$D$2334,$B101,'январь 2025'!$J$5:$J$2334,S$1)</f>
        <v>0</v>
      </c>
      <c r="T101" s="76">
        <f>SUMIFS('январь 2025'!$G$5:$G$2334,'январь 2025'!$D$5:$D$2334,$B101,'январь 2025'!$J$5:$J$2334,T$1)</f>
        <v>0</v>
      </c>
      <c r="U101" s="76">
        <f>SUMIFS('январь 2025'!$G$5:$G$2334,'январь 2025'!$D$5:$D$2334,$B101,'январь 2025'!$J$5:$J$2334,U$1)</f>
        <v>0</v>
      </c>
      <c r="V101" s="76">
        <f>SUMIFS('январь 2025'!$G$5:$G$2334,'январь 2025'!$D$5:$D$2334,$B101,'январь 2025'!$J$5:$J$2334,V$1)</f>
        <v>0</v>
      </c>
      <c r="W101" s="76">
        <f>SUMIFS('январь 2025'!$G$5:$G$2334,'январь 2025'!$D$5:$D$2334,$B101,'январь 2025'!$J$5:$J$2334,W$1)</f>
        <v>0</v>
      </c>
      <c r="X101" s="76">
        <f>SUMIFS('январь 2025'!$G$5:$G$2334,'январь 2025'!$D$5:$D$2334,$B101,'январь 2025'!$J$5:$J$2334,X$1)</f>
        <v>0</v>
      </c>
      <c r="Y101" s="76">
        <f>SUMIFS('январь 2025'!$G$5:$G$2334,'январь 2025'!$D$5:$D$2334,$B101,'январь 2025'!$J$5:$J$2334,Y$1)</f>
        <v>0</v>
      </c>
      <c r="Z101" s="76">
        <f>SUMIFS('январь 2025'!$G$5:$G$2334,'январь 2025'!$D$5:$D$2334,$B101,'январь 2025'!$J$5:$J$2334,Z$1)</f>
        <v>0</v>
      </c>
      <c r="AA101" s="76">
        <f>SUMIFS('январь 2025'!$G$5:$G$2334,'январь 2025'!$D$5:$D$2334,$B101,'январь 2025'!$J$5:$J$2334,AA$1)</f>
        <v>0</v>
      </c>
      <c r="AB101" s="76">
        <f>SUMIFS('январь 2025'!$G$5:$G$2334,'январь 2025'!$D$5:$D$2334,$B101,'январь 2025'!$J$5:$J$2334,AB$1)</f>
        <v>0</v>
      </c>
      <c r="AC101" s="76">
        <f>SUMIFS('январь 2025'!$G$5:$G$2334,'январь 2025'!$D$5:$D$2334,$B101,'январь 2025'!$J$5:$J$2334,AC$1)</f>
        <v>0</v>
      </c>
      <c r="AD101" s="76">
        <f>SUMIFS('январь 2025'!$G$5:$G$2334,'январь 2025'!$D$5:$D$2334,$B101,'январь 2025'!$J$5:$J$2334,AD$1)</f>
        <v>0</v>
      </c>
      <c r="AE101" s="76">
        <f>SUMIFS('январь 2025'!$G$5:$G$2334,'январь 2025'!$D$5:$D$2334,$B101,'январь 2025'!$J$5:$J$2334,AE$1)</f>
        <v>0</v>
      </c>
      <c r="AF101" s="76">
        <f>SUMIFS('январь 2025'!$G$5:$G$2334,'январь 2025'!$D$5:$D$2334,$B101,'январь 2025'!$J$5:$J$2334,AF$1)</f>
        <v>0</v>
      </c>
      <c r="AG101" s="76">
        <f>SUMIFS('январь 2025'!$G$5:$G$2334,'январь 2025'!$D$5:$D$2334,$B101,'январь 2025'!$J$5:$J$2334,AG$1)</f>
        <v>0</v>
      </c>
      <c r="AH101" s="76">
        <f>SUMIFS('январь 2025'!$G$5:$G$2334,'январь 2025'!$D$5:$D$2334,$B101,'январь 2025'!$J$5:$J$2334,AH$1)</f>
        <v>0</v>
      </c>
      <c r="AI101" s="20">
        <f t="shared" si="1"/>
        <v>0</v>
      </c>
    </row>
    <row r="102" spans="2:35" ht="15" customHeight="1" x14ac:dyDescent="0.25">
      <c r="B102" s="84" t="s">
        <v>170</v>
      </c>
      <c r="C102" s="86">
        <v>200</v>
      </c>
      <c r="D102" s="76">
        <f>SUMIFS('январь 2025'!$G$5:$G$2334,'январь 2025'!$D$5:$D$2334,$B102,'январь 2025'!$J$5:$J$2334,D$1)</f>
        <v>0</v>
      </c>
      <c r="E102" s="76">
        <f>SUMIFS('январь 2025'!$G$5:$G$2334,'январь 2025'!$D$5:$D$2334,$B102,'январь 2025'!$J$5:$J$2334,E$1)</f>
        <v>0</v>
      </c>
      <c r="F102" s="76">
        <f>SUMIFS('январь 2025'!$G$5:$G$2334,'январь 2025'!$D$5:$D$2334,$B102,'январь 2025'!$J$5:$J$2334,F$1)</f>
        <v>0</v>
      </c>
      <c r="G102" s="76">
        <f>SUMIFS('январь 2025'!$G$5:$G$2334,'январь 2025'!$D$5:$D$2334,$B102,'январь 2025'!$J$5:$J$2334,G$1)</f>
        <v>0</v>
      </c>
      <c r="H102" s="76">
        <f>SUMIFS('январь 2025'!$G$5:$G$2334,'январь 2025'!$D$5:$D$2334,$B102,'январь 2025'!$J$5:$J$2334,H$1)</f>
        <v>0</v>
      </c>
      <c r="I102" s="76">
        <f>SUMIFS('январь 2025'!$G$5:$G$2334,'январь 2025'!$D$5:$D$2334,$B102,'январь 2025'!$J$5:$J$2334,I$1)</f>
        <v>0</v>
      </c>
      <c r="J102" s="76">
        <f>SUMIFS('январь 2025'!$G$5:$G$2334,'январь 2025'!$D$5:$D$2334,$B102,'январь 2025'!$J$5:$J$2334,J$1)</f>
        <v>0</v>
      </c>
      <c r="K102" s="76">
        <f>SUMIFS('январь 2025'!$G$5:$G$2334,'январь 2025'!$D$5:$D$2334,$B102,'январь 2025'!$J$5:$J$2334,K$1)</f>
        <v>0</v>
      </c>
      <c r="L102" s="76">
        <f>SUMIFS('январь 2025'!$G$5:$G$2334,'январь 2025'!$D$5:$D$2334,$B102,'январь 2025'!$J$5:$J$2334,L$1)</f>
        <v>0</v>
      </c>
      <c r="M102" s="76">
        <f>SUMIFS('январь 2025'!$G$5:$G$2334,'январь 2025'!$D$5:$D$2334,$B102,'январь 2025'!$J$5:$J$2334,M$1)</f>
        <v>0</v>
      </c>
      <c r="N102" s="76">
        <f>SUMIFS('январь 2025'!$G$5:$G$2334,'январь 2025'!$D$5:$D$2334,$B102,'январь 2025'!$J$5:$J$2334,N$1)</f>
        <v>0</v>
      </c>
      <c r="O102" s="76">
        <f>SUMIFS('январь 2025'!$G$5:$G$2334,'январь 2025'!$D$5:$D$2334,$B102,'январь 2025'!$J$5:$J$2334,O$1)</f>
        <v>0</v>
      </c>
      <c r="P102" s="76">
        <f>SUMIFS('январь 2025'!$G$5:$G$2334,'январь 2025'!$D$5:$D$2334,$B102,'январь 2025'!$J$5:$J$2334,P$1)</f>
        <v>0</v>
      </c>
      <c r="Q102" s="76">
        <f>SUMIFS('январь 2025'!$G$5:$G$2334,'январь 2025'!$D$5:$D$2334,$B102,'январь 2025'!$J$5:$J$2334,Q$1)</f>
        <v>0</v>
      </c>
      <c r="R102" s="76">
        <f>SUMIFS('январь 2025'!$G$5:$G$2334,'январь 2025'!$D$5:$D$2334,$B102,'январь 2025'!$J$5:$J$2334,R$1)</f>
        <v>0</v>
      </c>
      <c r="S102" s="76">
        <f>SUMIFS('январь 2025'!$G$5:$G$2334,'январь 2025'!$D$5:$D$2334,$B102,'январь 2025'!$J$5:$J$2334,S$1)</f>
        <v>0</v>
      </c>
      <c r="T102" s="76">
        <f>SUMIFS('январь 2025'!$G$5:$G$2334,'январь 2025'!$D$5:$D$2334,$B102,'январь 2025'!$J$5:$J$2334,T$1)</f>
        <v>0</v>
      </c>
      <c r="U102" s="76">
        <f>SUMIFS('январь 2025'!$G$5:$G$2334,'январь 2025'!$D$5:$D$2334,$B102,'январь 2025'!$J$5:$J$2334,U$1)</f>
        <v>0</v>
      </c>
      <c r="V102" s="76">
        <f>SUMIFS('январь 2025'!$G$5:$G$2334,'январь 2025'!$D$5:$D$2334,$B102,'январь 2025'!$J$5:$J$2334,V$1)</f>
        <v>0</v>
      </c>
      <c r="W102" s="76">
        <f>SUMIFS('январь 2025'!$G$5:$G$2334,'январь 2025'!$D$5:$D$2334,$B102,'январь 2025'!$J$5:$J$2334,W$1)</f>
        <v>0</v>
      </c>
      <c r="X102" s="76">
        <f>SUMIFS('январь 2025'!$G$5:$G$2334,'январь 2025'!$D$5:$D$2334,$B102,'январь 2025'!$J$5:$J$2334,X$1)</f>
        <v>0</v>
      </c>
      <c r="Y102" s="76">
        <f>SUMIFS('январь 2025'!$G$5:$G$2334,'январь 2025'!$D$5:$D$2334,$B102,'январь 2025'!$J$5:$J$2334,Y$1)</f>
        <v>0</v>
      </c>
      <c r="Z102" s="76">
        <f>SUMIFS('январь 2025'!$G$5:$G$2334,'январь 2025'!$D$5:$D$2334,$B102,'январь 2025'!$J$5:$J$2334,Z$1)</f>
        <v>0</v>
      </c>
      <c r="AA102" s="76">
        <f>SUMIFS('январь 2025'!$G$5:$G$2334,'январь 2025'!$D$5:$D$2334,$B102,'январь 2025'!$J$5:$J$2334,AA$1)</f>
        <v>0</v>
      </c>
      <c r="AB102" s="76">
        <f>SUMIFS('январь 2025'!$G$5:$G$2334,'январь 2025'!$D$5:$D$2334,$B102,'январь 2025'!$J$5:$J$2334,AB$1)</f>
        <v>0</v>
      </c>
      <c r="AC102" s="76">
        <f>SUMIFS('январь 2025'!$G$5:$G$2334,'январь 2025'!$D$5:$D$2334,$B102,'январь 2025'!$J$5:$J$2334,AC$1)</f>
        <v>0</v>
      </c>
      <c r="AD102" s="76">
        <f>SUMIFS('январь 2025'!$G$5:$G$2334,'январь 2025'!$D$5:$D$2334,$B102,'январь 2025'!$J$5:$J$2334,AD$1)</f>
        <v>0</v>
      </c>
      <c r="AE102" s="76">
        <f>SUMIFS('январь 2025'!$G$5:$G$2334,'январь 2025'!$D$5:$D$2334,$B102,'январь 2025'!$J$5:$J$2334,AE$1)</f>
        <v>0</v>
      </c>
      <c r="AF102" s="76">
        <f>SUMIFS('январь 2025'!$G$5:$G$2334,'январь 2025'!$D$5:$D$2334,$B102,'январь 2025'!$J$5:$J$2334,AF$1)</f>
        <v>0</v>
      </c>
      <c r="AG102" s="76">
        <f>SUMIFS('январь 2025'!$G$5:$G$2334,'январь 2025'!$D$5:$D$2334,$B102,'январь 2025'!$J$5:$J$2334,AG$1)</f>
        <v>0</v>
      </c>
      <c r="AH102" s="76">
        <f>SUMIFS('январь 2025'!$G$5:$G$2334,'январь 2025'!$D$5:$D$2334,$B102,'январь 2025'!$J$5:$J$2334,AH$1)</f>
        <v>0</v>
      </c>
      <c r="AI102" s="20">
        <f t="shared" si="1"/>
        <v>0</v>
      </c>
    </row>
    <row r="103" spans="2:35" ht="15" customHeight="1" x14ac:dyDescent="0.25">
      <c r="B103" s="84" t="s">
        <v>195</v>
      </c>
      <c r="C103" s="83">
        <v>185</v>
      </c>
      <c r="D103" s="76">
        <f>SUMIFS('январь 2025'!$G$5:$G$2334,'январь 2025'!$D$5:$D$2334,$B103,'январь 2025'!$J$5:$J$2334,D$1)</f>
        <v>0</v>
      </c>
      <c r="E103" s="76">
        <f>SUMIFS('январь 2025'!$G$5:$G$2334,'январь 2025'!$D$5:$D$2334,$B103,'январь 2025'!$J$5:$J$2334,E$1)</f>
        <v>0</v>
      </c>
      <c r="F103" s="76">
        <f>SUMIFS('январь 2025'!$G$5:$G$2334,'январь 2025'!$D$5:$D$2334,$B103,'январь 2025'!$J$5:$J$2334,F$1)</f>
        <v>0</v>
      </c>
      <c r="G103" s="76">
        <f>SUMIFS('январь 2025'!$G$5:$G$2334,'январь 2025'!$D$5:$D$2334,$B103,'январь 2025'!$J$5:$J$2334,G$1)</f>
        <v>0</v>
      </c>
      <c r="H103" s="76">
        <f>SUMIFS('январь 2025'!$G$5:$G$2334,'январь 2025'!$D$5:$D$2334,$B103,'январь 2025'!$J$5:$J$2334,H$1)</f>
        <v>0</v>
      </c>
      <c r="I103" s="76">
        <f>SUMIFS('январь 2025'!$G$5:$G$2334,'январь 2025'!$D$5:$D$2334,$B103,'январь 2025'!$J$5:$J$2334,I$1)</f>
        <v>0</v>
      </c>
      <c r="J103" s="76">
        <f>SUMIFS('январь 2025'!$G$5:$G$2334,'январь 2025'!$D$5:$D$2334,$B103,'январь 2025'!$J$5:$J$2334,J$1)</f>
        <v>0</v>
      </c>
      <c r="K103" s="76">
        <f>SUMIFS('январь 2025'!$G$5:$G$2334,'январь 2025'!$D$5:$D$2334,$B103,'январь 2025'!$J$5:$J$2334,K$1)</f>
        <v>0</v>
      </c>
      <c r="L103" s="76">
        <f>SUMIFS('январь 2025'!$G$5:$G$2334,'январь 2025'!$D$5:$D$2334,$B103,'январь 2025'!$J$5:$J$2334,L$1)</f>
        <v>0</v>
      </c>
      <c r="M103" s="76">
        <f>SUMIFS('январь 2025'!$G$5:$G$2334,'январь 2025'!$D$5:$D$2334,$B103,'январь 2025'!$J$5:$J$2334,M$1)</f>
        <v>0</v>
      </c>
      <c r="N103" s="76">
        <f>SUMIFS('январь 2025'!$G$5:$G$2334,'январь 2025'!$D$5:$D$2334,$B103,'январь 2025'!$J$5:$J$2334,N$1)</f>
        <v>0</v>
      </c>
      <c r="O103" s="76">
        <f>SUMIFS('январь 2025'!$G$5:$G$2334,'январь 2025'!$D$5:$D$2334,$B103,'январь 2025'!$J$5:$J$2334,O$1)</f>
        <v>0</v>
      </c>
      <c r="P103" s="76">
        <f>SUMIFS('январь 2025'!$G$5:$G$2334,'январь 2025'!$D$5:$D$2334,$B103,'январь 2025'!$J$5:$J$2334,P$1)</f>
        <v>0</v>
      </c>
      <c r="Q103" s="76">
        <f>SUMIFS('январь 2025'!$G$5:$G$2334,'январь 2025'!$D$5:$D$2334,$B103,'январь 2025'!$J$5:$J$2334,Q$1)</f>
        <v>0</v>
      </c>
      <c r="R103" s="76">
        <f>SUMIFS('январь 2025'!$G$5:$G$2334,'январь 2025'!$D$5:$D$2334,$B103,'январь 2025'!$J$5:$J$2334,R$1)</f>
        <v>0</v>
      </c>
      <c r="S103" s="76">
        <f>SUMIFS('январь 2025'!$G$5:$G$2334,'январь 2025'!$D$5:$D$2334,$B103,'январь 2025'!$J$5:$J$2334,S$1)</f>
        <v>0</v>
      </c>
      <c r="T103" s="76">
        <f>SUMIFS('январь 2025'!$G$5:$G$2334,'январь 2025'!$D$5:$D$2334,$B103,'январь 2025'!$J$5:$J$2334,T$1)</f>
        <v>0</v>
      </c>
      <c r="U103" s="76">
        <f>SUMIFS('январь 2025'!$G$5:$G$2334,'январь 2025'!$D$5:$D$2334,$B103,'январь 2025'!$J$5:$J$2334,U$1)</f>
        <v>0</v>
      </c>
      <c r="V103" s="76">
        <f>SUMIFS('январь 2025'!$G$5:$G$2334,'январь 2025'!$D$5:$D$2334,$B103,'январь 2025'!$J$5:$J$2334,V$1)</f>
        <v>0</v>
      </c>
      <c r="W103" s="76">
        <f>SUMIFS('январь 2025'!$G$5:$G$2334,'январь 2025'!$D$5:$D$2334,$B103,'январь 2025'!$J$5:$J$2334,W$1)</f>
        <v>0</v>
      </c>
      <c r="X103" s="76">
        <f>SUMIFS('январь 2025'!$G$5:$G$2334,'январь 2025'!$D$5:$D$2334,$B103,'январь 2025'!$J$5:$J$2334,X$1)</f>
        <v>0</v>
      </c>
      <c r="Y103" s="76">
        <f>SUMIFS('январь 2025'!$G$5:$G$2334,'январь 2025'!$D$5:$D$2334,$B103,'январь 2025'!$J$5:$J$2334,Y$1)</f>
        <v>0</v>
      </c>
      <c r="Z103" s="76">
        <f>SUMIFS('январь 2025'!$G$5:$G$2334,'январь 2025'!$D$5:$D$2334,$B103,'январь 2025'!$J$5:$J$2334,Z$1)</f>
        <v>0</v>
      </c>
      <c r="AA103" s="76">
        <f>SUMIFS('январь 2025'!$G$5:$G$2334,'январь 2025'!$D$5:$D$2334,$B103,'январь 2025'!$J$5:$J$2334,AA$1)</f>
        <v>0</v>
      </c>
      <c r="AB103" s="76">
        <f>SUMIFS('январь 2025'!$G$5:$G$2334,'январь 2025'!$D$5:$D$2334,$B103,'январь 2025'!$J$5:$J$2334,AB$1)</f>
        <v>320</v>
      </c>
      <c r="AC103" s="76">
        <f>SUMIFS('январь 2025'!$G$5:$G$2334,'январь 2025'!$D$5:$D$2334,$B103,'январь 2025'!$J$5:$J$2334,AC$1)</f>
        <v>0</v>
      </c>
      <c r="AD103" s="76">
        <f>SUMIFS('январь 2025'!$G$5:$G$2334,'январь 2025'!$D$5:$D$2334,$B103,'январь 2025'!$J$5:$J$2334,AD$1)</f>
        <v>0</v>
      </c>
      <c r="AE103" s="76">
        <f>SUMIFS('январь 2025'!$G$5:$G$2334,'январь 2025'!$D$5:$D$2334,$B103,'январь 2025'!$J$5:$J$2334,AE$1)</f>
        <v>0</v>
      </c>
      <c r="AF103" s="76">
        <f>SUMIFS('январь 2025'!$G$5:$G$2334,'январь 2025'!$D$5:$D$2334,$B103,'январь 2025'!$J$5:$J$2334,AF$1)</f>
        <v>0</v>
      </c>
      <c r="AG103" s="76">
        <f>SUMIFS('январь 2025'!$G$5:$G$2334,'январь 2025'!$D$5:$D$2334,$B103,'январь 2025'!$J$5:$J$2334,AG$1)</f>
        <v>0</v>
      </c>
      <c r="AH103" s="76">
        <f>SUMIFS('январь 2025'!$G$5:$G$2334,'январь 2025'!$D$5:$D$2334,$B103,'январь 2025'!$J$5:$J$2334,AH$1)</f>
        <v>0</v>
      </c>
      <c r="AI103" s="20">
        <f t="shared" si="1"/>
        <v>320</v>
      </c>
    </row>
    <row r="104" spans="2:35" ht="15" customHeight="1" x14ac:dyDescent="0.25">
      <c r="B104" s="84" t="s">
        <v>196</v>
      </c>
      <c r="C104" s="83">
        <v>185</v>
      </c>
      <c r="D104" s="76">
        <f>SUMIFS('январь 2025'!$G$5:$G$2334,'январь 2025'!$D$5:$D$2334,$B104,'январь 2025'!$J$5:$J$2334,D$1)</f>
        <v>0</v>
      </c>
      <c r="E104" s="76">
        <f>SUMIFS('январь 2025'!$G$5:$G$2334,'январь 2025'!$D$5:$D$2334,$B104,'январь 2025'!$J$5:$J$2334,E$1)</f>
        <v>0</v>
      </c>
      <c r="F104" s="76">
        <f>SUMIFS('январь 2025'!$G$5:$G$2334,'январь 2025'!$D$5:$D$2334,$B104,'январь 2025'!$J$5:$J$2334,F$1)</f>
        <v>0</v>
      </c>
      <c r="G104" s="76">
        <f>SUMIFS('январь 2025'!$G$5:$G$2334,'январь 2025'!$D$5:$D$2334,$B104,'январь 2025'!$J$5:$J$2334,G$1)</f>
        <v>0</v>
      </c>
      <c r="H104" s="76">
        <f>SUMIFS('январь 2025'!$G$5:$G$2334,'январь 2025'!$D$5:$D$2334,$B104,'январь 2025'!$J$5:$J$2334,H$1)</f>
        <v>0</v>
      </c>
      <c r="I104" s="76">
        <f>SUMIFS('январь 2025'!$G$5:$G$2334,'январь 2025'!$D$5:$D$2334,$B104,'январь 2025'!$J$5:$J$2334,I$1)</f>
        <v>0</v>
      </c>
      <c r="J104" s="76">
        <f>SUMIFS('январь 2025'!$G$5:$G$2334,'январь 2025'!$D$5:$D$2334,$B104,'январь 2025'!$J$5:$J$2334,J$1)</f>
        <v>0</v>
      </c>
      <c r="K104" s="76">
        <f>SUMIFS('январь 2025'!$G$5:$G$2334,'январь 2025'!$D$5:$D$2334,$B104,'январь 2025'!$J$5:$J$2334,K$1)</f>
        <v>0</v>
      </c>
      <c r="L104" s="76">
        <f>SUMIFS('январь 2025'!$G$5:$G$2334,'январь 2025'!$D$5:$D$2334,$B104,'январь 2025'!$J$5:$J$2334,L$1)</f>
        <v>0</v>
      </c>
      <c r="M104" s="76">
        <f>SUMIFS('январь 2025'!$G$5:$G$2334,'январь 2025'!$D$5:$D$2334,$B104,'январь 2025'!$J$5:$J$2334,M$1)</f>
        <v>0</v>
      </c>
      <c r="N104" s="76">
        <f>SUMIFS('январь 2025'!$G$5:$G$2334,'январь 2025'!$D$5:$D$2334,$B104,'январь 2025'!$J$5:$J$2334,N$1)</f>
        <v>0</v>
      </c>
      <c r="O104" s="76">
        <f>SUMIFS('январь 2025'!$G$5:$G$2334,'январь 2025'!$D$5:$D$2334,$B104,'январь 2025'!$J$5:$J$2334,O$1)</f>
        <v>0</v>
      </c>
      <c r="P104" s="76">
        <f>SUMIFS('январь 2025'!$G$5:$G$2334,'январь 2025'!$D$5:$D$2334,$B104,'январь 2025'!$J$5:$J$2334,P$1)</f>
        <v>0</v>
      </c>
      <c r="Q104" s="76">
        <f>SUMIFS('январь 2025'!$G$5:$G$2334,'январь 2025'!$D$5:$D$2334,$B104,'январь 2025'!$J$5:$J$2334,Q$1)</f>
        <v>0</v>
      </c>
      <c r="R104" s="76">
        <f>SUMIFS('январь 2025'!$G$5:$G$2334,'январь 2025'!$D$5:$D$2334,$B104,'январь 2025'!$J$5:$J$2334,R$1)</f>
        <v>0</v>
      </c>
      <c r="S104" s="76">
        <f>SUMIFS('январь 2025'!$G$5:$G$2334,'январь 2025'!$D$5:$D$2334,$B104,'январь 2025'!$J$5:$J$2334,S$1)</f>
        <v>0</v>
      </c>
      <c r="T104" s="76">
        <f>SUMIFS('январь 2025'!$G$5:$G$2334,'январь 2025'!$D$5:$D$2334,$B104,'январь 2025'!$J$5:$J$2334,T$1)</f>
        <v>0</v>
      </c>
      <c r="U104" s="76">
        <f>SUMIFS('январь 2025'!$G$5:$G$2334,'январь 2025'!$D$5:$D$2334,$B104,'январь 2025'!$J$5:$J$2334,U$1)</f>
        <v>0</v>
      </c>
      <c r="V104" s="76">
        <f>SUMIFS('январь 2025'!$G$5:$G$2334,'январь 2025'!$D$5:$D$2334,$B104,'январь 2025'!$J$5:$J$2334,V$1)</f>
        <v>0</v>
      </c>
      <c r="W104" s="76">
        <f>SUMIFS('январь 2025'!$G$5:$G$2334,'январь 2025'!$D$5:$D$2334,$B104,'январь 2025'!$J$5:$J$2334,W$1)</f>
        <v>0</v>
      </c>
      <c r="X104" s="76">
        <f>SUMIFS('январь 2025'!$G$5:$G$2334,'январь 2025'!$D$5:$D$2334,$B104,'январь 2025'!$J$5:$J$2334,X$1)</f>
        <v>0</v>
      </c>
      <c r="Y104" s="76">
        <f>SUMIFS('январь 2025'!$G$5:$G$2334,'январь 2025'!$D$5:$D$2334,$B104,'январь 2025'!$J$5:$J$2334,Y$1)</f>
        <v>0</v>
      </c>
      <c r="Z104" s="76">
        <f>SUMIFS('январь 2025'!$G$5:$G$2334,'январь 2025'!$D$5:$D$2334,$B104,'январь 2025'!$J$5:$J$2334,Z$1)</f>
        <v>0</v>
      </c>
      <c r="AA104" s="76">
        <f>SUMIFS('январь 2025'!$G$5:$G$2334,'январь 2025'!$D$5:$D$2334,$B104,'январь 2025'!$J$5:$J$2334,AA$1)</f>
        <v>0</v>
      </c>
      <c r="AB104" s="76">
        <f>SUMIFS('январь 2025'!$G$5:$G$2334,'январь 2025'!$D$5:$D$2334,$B104,'январь 2025'!$J$5:$J$2334,AB$1)</f>
        <v>0</v>
      </c>
      <c r="AC104" s="76">
        <f>SUMIFS('январь 2025'!$G$5:$G$2334,'январь 2025'!$D$5:$D$2334,$B104,'январь 2025'!$J$5:$J$2334,AC$1)</f>
        <v>0</v>
      </c>
      <c r="AD104" s="76">
        <f>SUMIFS('январь 2025'!$G$5:$G$2334,'январь 2025'!$D$5:$D$2334,$B104,'январь 2025'!$J$5:$J$2334,AD$1)</f>
        <v>0</v>
      </c>
      <c r="AE104" s="76">
        <f>SUMIFS('январь 2025'!$G$5:$G$2334,'январь 2025'!$D$5:$D$2334,$B104,'январь 2025'!$J$5:$J$2334,AE$1)</f>
        <v>0</v>
      </c>
      <c r="AF104" s="76">
        <f>SUMIFS('январь 2025'!$G$5:$G$2334,'январь 2025'!$D$5:$D$2334,$B104,'январь 2025'!$J$5:$J$2334,AF$1)</f>
        <v>0</v>
      </c>
      <c r="AG104" s="76">
        <f>SUMIFS('январь 2025'!$G$5:$G$2334,'январь 2025'!$D$5:$D$2334,$B104,'январь 2025'!$J$5:$J$2334,AG$1)</f>
        <v>0</v>
      </c>
      <c r="AH104" s="76">
        <f>SUMIFS('январь 2025'!$G$5:$G$2334,'январь 2025'!$D$5:$D$2334,$B104,'январь 2025'!$J$5:$J$2334,AH$1)</f>
        <v>0</v>
      </c>
      <c r="AI104" s="20">
        <f t="shared" si="1"/>
        <v>0</v>
      </c>
    </row>
    <row r="105" spans="2:35" ht="15" customHeight="1" x14ac:dyDescent="0.25">
      <c r="B105" s="84" t="s">
        <v>260</v>
      </c>
      <c r="C105" s="83">
        <v>180</v>
      </c>
      <c r="D105" s="76">
        <f>SUMIFS('январь 2025'!$G$5:$G$2334,'январь 2025'!$D$5:$D$2334,$B105,'январь 2025'!$J$5:$J$2334,D$1)</f>
        <v>0</v>
      </c>
      <c r="E105" s="76">
        <f>SUMIFS('январь 2025'!$G$5:$G$2334,'январь 2025'!$D$5:$D$2334,$B105,'январь 2025'!$J$5:$J$2334,E$1)</f>
        <v>0</v>
      </c>
      <c r="F105" s="76">
        <f>SUMIFS('январь 2025'!$G$5:$G$2334,'январь 2025'!$D$5:$D$2334,$B105,'январь 2025'!$J$5:$J$2334,F$1)</f>
        <v>0</v>
      </c>
      <c r="G105" s="76">
        <f>SUMIFS('январь 2025'!$G$5:$G$2334,'январь 2025'!$D$5:$D$2334,$B105,'январь 2025'!$J$5:$J$2334,G$1)</f>
        <v>0</v>
      </c>
      <c r="H105" s="76">
        <f>SUMIFS('январь 2025'!$G$5:$G$2334,'январь 2025'!$D$5:$D$2334,$B105,'январь 2025'!$J$5:$J$2334,H$1)</f>
        <v>0</v>
      </c>
      <c r="I105" s="76">
        <f>SUMIFS('январь 2025'!$G$5:$G$2334,'январь 2025'!$D$5:$D$2334,$B105,'январь 2025'!$J$5:$J$2334,I$1)</f>
        <v>0</v>
      </c>
      <c r="J105" s="76">
        <f>SUMIFS('январь 2025'!$G$5:$G$2334,'январь 2025'!$D$5:$D$2334,$B105,'январь 2025'!$J$5:$J$2334,J$1)</f>
        <v>0</v>
      </c>
      <c r="K105" s="76">
        <f>SUMIFS('январь 2025'!$G$5:$G$2334,'январь 2025'!$D$5:$D$2334,$B105,'январь 2025'!$J$5:$J$2334,K$1)</f>
        <v>0</v>
      </c>
      <c r="L105" s="76">
        <f>SUMIFS('январь 2025'!$G$5:$G$2334,'январь 2025'!$D$5:$D$2334,$B105,'январь 2025'!$J$5:$J$2334,L$1)</f>
        <v>0</v>
      </c>
      <c r="M105" s="76">
        <f>SUMIFS('январь 2025'!$G$5:$G$2334,'январь 2025'!$D$5:$D$2334,$B105,'январь 2025'!$J$5:$J$2334,M$1)</f>
        <v>0</v>
      </c>
      <c r="N105" s="76">
        <f>SUMIFS('январь 2025'!$G$5:$G$2334,'январь 2025'!$D$5:$D$2334,$B105,'январь 2025'!$J$5:$J$2334,N$1)</f>
        <v>0</v>
      </c>
      <c r="O105" s="76">
        <f>SUMIFS('январь 2025'!$G$5:$G$2334,'январь 2025'!$D$5:$D$2334,$B105,'январь 2025'!$J$5:$J$2334,O$1)</f>
        <v>0</v>
      </c>
      <c r="P105" s="76">
        <f>SUMIFS('январь 2025'!$G$5:$G$2334,'январь 2025'!$D$5:$D$2334,$B105,'январь 2025'!$J$5:$J$2334,P$1)</f>
        <v>0</v>
      </c>
      <c r="Q105" s="76">
        <f>SUMIFS('январь 2025'!$G$5:$G$2334,'январь 2025'!$D$5:$D$2334,$B105,'январь 2025'!$J$5:$J$2334,Q$1)</f>
        <v>0</v>
      </c>
      <c r="R105" s="76">
        <f>SUMIFS('январь 2025'!$G$5:$G$2334,'январь 2025'!$D$5:$D$2334,$B105,'январь 2025'!$J$5:$J$2334,R$1)</f>
        <v>0</v>
      </c>
      <c r="S105" s="76">
        <f>SUMIFS('январь 2025'!$G$5:$G$2334,'январь 2025'!$D$5:$D$2334,$B105,'январь 2025'!$J$5:$J$2334,S$1)</f>
        <v>0</v>
      </c>
      <c r="T105" s="76">
        <f>SUMIFS('январь 2025'!$G$5:$G$2334,'январь 2025'!$D$5:$D$2334,$B105,'январь 2025'!$J$5:$J$2334,T$1)</f>
        <v>0</v>
      </c>
      <c r="U105" s="76">
        <f>SUMIFS('январь 2025'!$G$5:$G$2334,'январь 2025'!$D$5:$D$2334,$B105,'январь 2025'!$J$5:$J$2334,U$1)</f>
        <v>0</v>
      </c>
      <c r="V105" s="76">
        <f>SUMIFS('январь 2025'!$G$5:$G$2334,'январь 2025'!$D$5:$D$2334,$B105,'январь 2025'!$J$5:$J$2334,V$1)</f>
        <v>0</v>
      </c>
      <c r="W105" s="76">
        <f>SUMIFS('январь 2025'!$G$5:$G$2334,'январь 2025'!$D$5:$D$2334,$B105,'январь 2025'!$J$5:$J$2334,W$1)</f>
        <v>0</v>
      </c>
      <c r="X105" s="76">
        <f>SUMIFS('январь 2025'!$G$5:$G$2334,'январь 2025'!$D$5:$D$2334,$B105,'январь 2025'!$J$5:$J$2334,X$1)</f>
        <v>0</v>
      </c>
      <c r="Y105" s="76">
        <f>SUMIFS('январь 2025'!$G$5:$G$2334,'январь 2025'!$D$5:$D$2334,$B105,'январь 2025'!$J$5:$J$2334,Y$1)</f>
        <v>0</v>
      </c>
      <c r="Z105" s="76">
        <f>SUMIFS('январь 2025'!$G$5:$G$2334,'январь 2025'!$D$5:$D$2334,$B105,'январь 2025'!$J$5:$J$2334,Z$1)</f>
        <v>0</v>
      </c>
      <c r="AA105" s="76">
        <f>SUMIFS('январь 2025'!$G$5:$G$2334,'январь 2025'!$D$5:$D$2334,$B105,'январь 2025'!$J$5:$J$2334,AA$1)</f>
        <v>0</v>
      </c>
      <c r="AB105" s="76">
        <f>SUMIFS('январь 2025'!$G$5:$G$2334,'январь 2025'!$D$5:$D$2334,$B105,'январь 2025'!$J$5:$J$2334,AB$1)</f>
        <v>0</v>
      </c>
      <c r="AC105" s="76">
        <f>SUMIFS('январь 2025'!$G$5:$G$2334,'январь 2025'!$D$5:$D$2334,$B105,'январь 2025'!$J$5:$J$2334,AC$1)</f>
        <v>0</v>
      </c>
      <c r="AD105" s="76">
        <f>SUMIFS('январь 2025'!$G$5:$G$2334,'январь 2025'!$D$5:$D$2334,$B105,'январь 2025'!$J$5:$J$2334,AD$1)</f>
        <v>0</v>
      </c>
      <c r="AE105" s="76">
        <f>SUMIFS('январь 2025'!$G$5:$G$2334,'январь 2025'!$D$5:$D$2334,$B105,'январь 2025'!$J$5:$J$2334,AE$1)</f>
        <v>0</v>
      </c>
      <c r="AF105" s="76">
        <f>SUMIFS('январь 2025'!$G$5:$G$2334,'январь 2025'!$D$5:$D$2334,$B105,'январь 2025'!$J$5:$J$2334,AF$1)</f>
        <v>0</v>
      </c>
      <c r="AG105" s="76">
        <f>SUMIFS('январь 2025'!$G$5:$G$2334,'январь 2025'!$D$5:$D$2334,$B105,'январь 2025'!$J$5:$J$2334,AG$1)</f>
        <v>0</v>
      </c>
      <c r="AH105" s="76">
        <f>SUMIFS('январь 2025'!$G$5:$G$2334,'январь 2025'!$D$5:$D$2334,$B105,'январь 2025'!$J$5:$J$2334,AH$1)</f>
        <v>0</v>
      </c>
      <c r="AI105" s="20">
        <f t="shared" si="1"/>
        <v>0</v>
      </c>
    </row>
    <row r="106" spans="2:35" ht="15" customHeight="1" x14ac:dyDescent="0.25">
      <c r="B106" s="88" t="s">
        <v>261</v>
      </c>
      <c r="C106" s="86">
        <v>200</v>
      </c>
      <c r="D106" s="76">
        <f>SUMIFS('январь 2025'!$G$5:$G$2334,'январь 2025'!$D$5:$D$2334,$B106,'январь 2025'!$J$5:$J$2334,D$1)</f>
        <v>0</v>
      </c>
      <c r="E106" s="76">
        <f>SUMIFS('январь 2025'!$G$5:$G$2334,'январь 2025'!$D$5:$D$2334,$B106,'январь 2025'!$J$5:$J$2334,E$1)</f>
        <v>0</v>
      </c>
      <c r="F106" s="76">
        <f>SUMIFS('январь 2025'!$G$5:$G$2334,'январь 2025'!$D$5:$D$2334,$B106,'январь 2025'!$J$5:$J$2334,F$1)</f>
        <v>0</v>
      </c>
      <c r="G106" s="76">
        <f>SUMIFS('январь 2025'!$G$5:$G$2334,'январь 2025'!$D$5:$D$2334,$B106,'январь 2025'!$J$5:$J$2334,G$1)</f>
        <v>0</v>
      </c>
      <c r="H106" s="76">
        <f>SUMIFS('январь 2025'!$G$5:$G$2334,'январь 2025'!$D$5:$D$2334,$B106,'январь 2025'!$J$5:$J$2334,H$1)</f>
        <v>0</v>
      </c>
      <c r="I106" s="76">
        <f>SUMIFS('январь 2025'!$G$5:$G$2334,'январь 2025'!$D$5:$D$2334,$B106,'январь 2025'!$J$5:$J$2334,I$1)</f>
        <v>0</v>
      </c>
      <c r="J106" s="76">
        <f>SUMIFS('январь 2025'!$G$5:$G$2334,'январь 2025'!$D$5:$D$2334,$B106,'январь 2025'!$J$5:$J$2334,J$1)</f>
        <v>0</v>
      </c>
      <c r="K106" s="76">
        <f>SUMIFS('январь 2025'!$G$5:$G$2334,'январь 2025'!$D$5:$D$2334,$B106,'январь 2025'!$J$5:$J$2334,K$1)</f>
        <v>0</v>
      </c>
      <c r="L106" s="76">
        <f>SUMIFS('январь 2025'!$G$5:$G$2334,'январь 2025'!$D$5:$D$2334,$B106,'январь 2025'!$J$5:$J$2334,L$1)</f>
        <v>0</v>
      </c>
      <c r="M106" s="76">
        <f>SUMIFS('январь 2025'!$G$5:$G$2334,'январь 2025'!$D$5:$D$2334,$B106,'январь 2025'!$J$5:$J$2334,M$1)</f>
        <v>0</v>
      </c>
      <c r="N106" s="76">
        <f>SUMIFS('январь 2025'!$G$5:$G$2334,'январь 2025'!$D$5:$D$2334,$B106,'январь 2025'!$J$5:$J$2334,N$1)</f>
        <v>0</v>
      </c>
      <c r="O106" s="76">
        <f>SUMIFS('январь 2025'!$G$5:$G$2334,'январь 2025'!$D$5:$D$2334,$B106,'январь 2025'!$J$5:$J$2334,O$1)</f>
        <v>0</v>
      </c>
      <c r="P106" s="76">
        <f>SUMIFS('январь 2025'!$G$5:$G$2334,'январь 2025'!$D$5:$D$2334,$B106,'январь 2025'!$J$5:$J$2334,P$1)</f>
        <v>0</v>
      </c>
      <c r="Q106" s="76">
        <f>SUMIFS('январь 2025'!$G$5:$G$2334,'январь 2025'!$D$5:$D$2334,$B106,'январь 2025'!$J$5:$J$2334,Q$1)</f>
        <v>0</v>
      </c>
      <c r="R106" s="76">
        <f>SUMIFS('январь 2025'!$G$5:$G$2334,'январь 2025'!$D$5:$D$2334,$B106,'январь 2025'!$J$5:$J$2334,R$1)</f>
        <v>0</v>
      </c>
      <c r="S106" s="76">
        <f>SUMIFS('январь 2025'!$G$5:$G$2334,'январь 2025'!$D$5:$D$2334,$B106,'январь 2025'!$J$5:$J$2334,S$1)</f>
        <v>0</v>
      </c>
      <c r="T106" s="76">
        <f>SUMIFS('январь 2025'!$G$5:$G$2334,'январь 2025'!$D$5:$D$2334,$B106,'январь 2025'!$J$5:$J$2334,T$1)</f>
        <v>0</v>
      </c>
      <c r="U106" s="76">
        <f>SUMIFS('январь 2025'!$G$5:$G$2334,'январь 2025'!$D$5:$D$2334,$B106,'январь 2025'!$J$5:$J$2334,U$1)</f>
        <v>0</v>
      </c>
      <c r="V106" s="76">
        <f>SUMIFS('январь 2025'!$G$5:$G$2334,'январь 2025'!$D$5:$D$2334,$B106,'январь 2025'!$J$5:$J$2334,V$1)</f>
        <v>0</v>
      </c>
      <c r="W106" s="76">
        <f>SUMIFS('январь 2025'!$G$5:$G$2334,'январь 2025'!$D$5:$D$2334,$B106,'январь 2025'!$J$5:$J$2334,W$1)</f>
        <v>0</v>
      </c>
      <c r="X106" s="76">
        <f>SUMIFS('январь 2025'!$G$5:$G$2334,'январь 2025'!$D$5:$D$2334,$B106,'январь 2025'!$J$5:$J$2334,X$1)</f>
        <v>0</v>
      </c>
      <c r="Y106" s="76">
        <f>SUMIFS('январь 2025'!$G$5:$G$2334,'январь 2025'!$D$5:$D$2334,$B106,'январь 2025'!$J$5:$J$2334,Y$1)</f>
        <v>0</v>
      </c>
      <c r="Z106" s="76">
        <f>SUMIFS('январь 2025'!$G$5:$G$2334,'январь 2025'!$D$5:$D$2334,$B106,'январь 2025'!$J$5:$J$2334,Z$1)</f>
        <v>0</v>
      </c>
      <c r="AA106" s="76">
        <f>SUMIFS('январь 2025'!$G$5:$G$2334,'январь 2025'!$D$5:$D$2334,$B106,'январь 2025'!$J$5:$J$2334,AA$1)</f>
        <v>0</v>
      </c>
      <c r="AB106" s="76">
        <f>SUMIFS('январь 2025'!$G$5:$G$2334,'январь 2025'!$D$5:$D$2334,$B106,'январь 2025'!$J$5:$J$2334,AB$1)</f>
        <v>0</v>
      </c>
      <c r="AC106" s="76">
        <f>SUMIFS('январь 2025'!$G$5:$G$2334,'январь 2025'!$D$5:$D$2334,$B106,'январь 2025'!$J$5:$J$2334,AC$1)</f>
        <v>0</v>
      </c>
      <c r="AD106" s="76">
        <f>SUMIFS('январь 2025'!$G$5:$G$2334,'январь 2025'!$D$5:$D$2334,$B106,'январь 2025'!$J$5:$J$2334,AD$1)</f>
        <v>0</v>
      </c>
      <c r="AE106" s="76">
        <f>SUMIFS('январь 2025'!$G$5:$G$2334,'январь 2025'!$D$5:$D$2334,$B106,'январь 2025'!$J$5:$J$2334,AE$1)</f>
        <v>0</v>
      </c>
      <c r="AF106" s="76">
        <f>SUMIFS('январь 2025'!$G$5:$G$2334,'январь 2025'!$D$5:$D$2334,$B106,'январь 2025'!$J$5:$J$2334,AF$1)</f>
        <v>0</v>
      </c>
      <c r="AG106" s="76">
        <f>SUMIFS('январь 2025'!$G$5:$G$2334,'январь 2025'!$D$5:$D$2334,$B106,'январь 2025'!$J$5:$J$2334,AG$1)</f>
        <v>0</v>
      </c>
      <c r="AH106" s="76">
        <f>SUMIFS('январь 2025'!$G$5:$G$2334,'январь 2025'!$D$5:$D$2334,$B106,'январь 2025'!$J$5:$J$2334,AH$1)</f>
        <v>0</v>
      </c>
      <c r="AI106" s="20">
        <f t="shared" si="1"/>
        <v>0</v>
      </c>
    </row>
    <row r="107" spans="2:35" ht="15" customHeight="1" x14ac:dyDescent="0.25">
      <c r="B107" s="88" t="s">
        <v>180</v>
      </c>
      <c r="C107" s="86">
        <v>200</v>
      </c>
      <c r="D107" s="76">
        <f>SUMIFS('январь 2025'!$G$5:$G$2334,'январь 2025'!$D$5:$D$2334,$B107,'январь 2025'!$J$5:$J$2334,D$1)</f>
        <v>0</v>
      </c>
      <c r="E107" s="76">
        <f>SUMIFS('январь 2025'!$G$5:$G$2334,'январь 2025'!$D$5:$D$2334,$B107,'январь 2025'!$J$5:$J$2334,E$1)</f>
        <v>0</v>
      </c>
      <c r="F107" s="76">
        <f>SUMIFS('январь 2025'!$G$5:$G$2334,'январь 2025'!$D$5:$D$2334,$B107,'январь 2025'!$J$5:$J$2334,F$1)</f>
        <v>0</v>
      </c>
      <c r="G107" s="76">
        <f>SUMIFS('январь 2025'!$G$5:$G$2334,'январь 2025'!$D$5:$D$2334,$B107,'январь 2025'!$J$5:$J$2334,G$1)</f>
        <v>0</v>
      </c>
      <c r="H107" s="76">
        <f>SUMIFS('январь 2025'!$G$5:$G$2334,'январь 2025'!$D$5:$D$2334,$B107,'январь 2025'!$J$5:$J$2334,H$1)</f>
        <v>0</v>
      </c>
      <c r="I107" s="76">
        <f>SUMIFS('январь 2025'!$G$5:$G$2334,'январь 2025'!$D$5:$D$2334,$B107,'январь 2025'!$J$5:$J$2334,I$1)</f>
        <v>0</v>
      </c>
      <c r="J107" s="76">
        <f>SUMIFS('январь 2025'!$G$5:$G$2334,'январь 2025'!$D$5:$D$2334,$B107,'январь 2025'!$J$5:$J$2334,J$1)</f>
        <v>0</v>
      </c>
      <c r="K107" s="76">
        <f>SUMIFS('январь 2025'!$G$5:$G$2334,'январь 2025'!$D$5:$D$2334,$B107,'январь 2025'!$J$5:$J$2334,K$1)</f>
        <v>0</v>
      </c>
      <c r="L107" s="76">
        <f>SUMIFS('январь 2025'!$G$5:$G$2334,'январь 2025'!$D$5:$D$2334,$B107,'январь 2025'!$J$5:$J$2334,L$1)</f>
        <v>0</v>
      </c>
      <c r="M107" s="76">
        <f>SUMIFS('январь 2025'!$G$5:$G$2334,'январь 2025'!$D$5:$D$2334,$B107,'январь 2025'!$J$5:$J$2334,M$1)</f>
        <v>0</v>
      </c>
      <c r="N107" s="76">
        <f>SUMIFS('январь 2025'!$G$5:$G$2334,'январь 2025'!$D$5:$D$2334,$B107,'январь 2025'!$J$5:$J$2334,N$1)</f>
        <v>0</v>
      </c>
      <c r="O107" s="76">
        <f>SUMIFS('январь 2025'!$G$5:$G$2334,'январь 2025'!$D$5:$D$2334,$B107,'январь 2025'!$J$5:$J$2334,O$1)</f>
        <v>0</v>
      </c>
      <c r="P107" s="76">
        <f>SUMIFS('январь 2025'!$G$5:$G$2334,'январь 2025'!$D$5:$D$2334,$B107,'январь 2025'!$J$5:$J$2334,P$1)</f>
        <v>0</v>
      </c>
      <c r="Q107" s="76">
        <f>SUMIFS('январь 2025'!$G$5:$G$2334,'январь 2025'!$D$5:$D$2334,$B107,'январь 2025'!$J$5:$J$2334,Q$1)</f>
        <v>0</v>
      </c>
      <c r="R107" s="76">
        <f>SUMIFS('январь 2025'!$G$5:$G$2334,'январь 2025'!$D$5:$D$2334,$B107,'январь 2025'!$J$5:$J$2334,R$1)</f>
        <v>0</v>
      </c>
      <c r="S107" s="76">
        <f>SUMIFS('январь 2025'!$G$5:$G$2334,'январь 2025'!$D$5:$D$2334,$B107,'январь 2025'!$J$5:$J$2334,S$1)</f>
        <v>0</v>
      </c>
      <c r="T107" s="76">
        <f>SUMIFS('январь 2025'!$G$5:$G$2334,'январь 2025'!$D$5:$D$2334,$B107,'январь 2025'!$J$5:$J$2334,T$1)</f>
        <v>0</v>
      </c>
      <c r="U107" s="76">
        <f>SUMIFS('январь 2025'!$G$5:$G$2334,'январь 2025'!$D$5:$D$2334,$B107,'январь 2025'!$J$5:$J$2334,U$1)</f>
        <v>0</v>
      </c>
      <c r="V107" s="76">
        <f>SUMIFS('январь 2025'!$G$5:$G$2334,'январь 2025'!$D$5:$D$2334,$B107,'январь 2025'!$J$5:$J$2334,V$1)</f>
        <v>0</v>
      </c>
      <c r="W107" s="76">
        <f>SUMIFS('январь 2025'!$G$5:$G$2334,'январь 2025'!$D$5:$D$2334,$B107,'январь 2025'!$J$5:$J$2334,W$1)</f>
        <v>0</v>
      </c>
      <c r="X107" s="76">
        <f>SUMIFS('январь 2025'!$G$5:$G$2334,'январь 2025'!$D$5:$D$2334,$B107,'январь 2025'!$J$5:$J$2334,X$1)</f>
        <v>0</v>
      </c>
      <c r="Y107" s="76">
        <f>SUMIFS('январь 2025'!$G$5:$G$2334,'январь 2025'!$D$5:$D$2334,$B107,'январь 2025'!$J$5:$J$2334,Y$1)</f>
        <v>0</v>
      </c>
      <c r="Z107" s="76">
        <f>SUMIFS('январь 2025'!$G$5:$G$2334,'январь 2025'!$D$5:$D$2334,$B107,'январь 2025'!$J$5:$J$2334,Z$1)</f>
        <v>0</v>
      </c>
      <c r="AA107" s="76">
        <f>SUMIFS('январь 2025'!$G$5:$G$2334,'январь 2025'!$D$5:$D$2334,$B107,'январь 2025'!$J$5:$J$2334,AA$1)</f>
        <v>0</v>
      </c>
      <c r="AB107" s="76">
        <f>SUMIFS('январь 2025'!$G$5:$G$2334,'январь 2025'!$D$5:$D$2334,$B107,'январь 2025'!$J$5:$J$2334,AB$1)</f>
        <v>0</v>
      </c>
      <c r="AC107" s="76">
        <f>SUMIFS('январь 2025'!$G$5:$G$2334,'январь 2025'!$D$5:$D$2334,$B107,'январь 2025'!$J$5:$J$2334,AC$1)</f>
        <v>0</v>
      </c>
      <c r="AD107" s="76">
        <f>SUMIFS('январь 2025'!$G$5:$G$2334,'январь 2025'!$D$5:$D$2334,$B107,'январь 2025'!$J$5:$J$2334,AD$1)</f>
        <v>0</v>
      </c>
      <c r="AE107" s="76">
        <f>SUMIFS('январь 2025'!$G$5:$G$2334,'январь 2025'!$D$5:$D$2334,$B107,'январь 2025'!$J$5:$J$2334,AE$1)</f>
        <v>0</v>
      </c>
      <c r="AF107" s="76">
        <f>SUMIFS('январь 2025'!$G$5:$G$2334,'январь 2025'!$D$5:$D$2334,$B107,'январь 2025'!$J$5:$J$2334,AF$1)</f>
        <v>0</v>
      </c>
      <c r="AG107" s="76">
        <f>SUMIFS('январь 2025'!$G$5:$G$2334,'январь 2025'!$D$5:$D$2334,$B107,'январь 2025'!$J$5:$J$2334,AG$1)</f>
        <v>0</v>
      </c>
      <c r="AH107" s="76">
        <f>SUMIFS('январь 2025'!$G$5:$G$2334,'январь 2025'!$D$5:$D$2334,$B107,'январь 2025'!$J$5:$J$2334,AH$1)</f>
        <v>0</v>
      </c>
      <c r="AI107" s="20">
        <f t="shared" si="1"/>
        <v>0</v>
      </c>
    </row>
    <row r="108" spans="2:35" ht="15" customHeight="1" x14ac:dyDescent="0.25">
      <c r="B108" s="88" t="s">
        <v>262</v>
      </c>
      <c r="C108" s="86">
        <v>200</v>
      </c>
      <c r="D108" s="76">
        <f>SUMIFS('январь 2025'!$G$5:$G$2334,'январь 2025'!$D$5:$D$2334,$B108,'январь 2025'!$J$5:$J$2334,D$1)</f>
        <v>0</v>
      </c>
      <c r="E108" s="76">
        <f>SUMIFS('январь 2025'!$G$5:$G$2334,'январь 2025'!$D$5:$D$2334,$B108,'январь 2025'!$J$5:$J$2334,E$1)</f>
        <v>0</v>
      </c>
      <c r="F108" s="76">
        <f>SUMIFS('январь 2025'!$G$5:$G$2334,'январь 2025'!$D$5:$D$2334,$B108,'январь 2025'!$J$5:$J$2334,F$1)</f>
        <v>0</v>
      </c>
      <c r="G108" s="76">
        <f>SUMIFS('январь 2025'!$G$5:$G$2334,'январь 2025'!$D$5:$D$2334,$B108,'январь 2025'!$J$5:$J$2334,G$1)</f>
        <v>0</v>
      </c>
      <c r="H108" s="76">
        <f>SUMIFS('январь 2025'!$G$5:$G$2334,'январь 2025'!$D$5:$D$2334,$B108,'январь 2025'!$J$5:$J$2334,H$1)</f>
        <v>0</v>
      </c>
      <c r="I108" s="76">
        <f>SUMIFS('январь 2025'!$G$5:$G$2334,'январь 2025'!$D$5:$D$2334,$B108,'январь 2025'!$J$5:$J$2334,I$1)</f>
        <v>0</v>
      </c>
      <c r="J108" s="76">
        <f>SUMIFS('январь 2025'!$G$5:$G$2334,'январь 2025'!$D$5:$D$2334,$B108,'январь 2025'!$J$5:$J$2334,J$1)</f>
        <v>0</v>
      </c>
      <c r="K108" s="76">
        <f>SUMIFS('январь 2025'!$G$5:$G$2334,'январь 2025'!$D$5:$D$2334,$B108,'январь 2025'!$J$5:$J$2334,K$1)</f>
        <v>0</v>
      </c>
      <c r="L108" s="76">
        <f>SUMIFS('январь 2025'!$G$5:$G$2334,'январь 2025'!$D$5:$D$2334,$B108,'январь 2025'!$J$5:$J$2334,L$1)</f>
        <v>0</v>
      </c>
      <c r="M108" s="76">
        <f>SUMIFS('январь 2025'!$G$5:$G$2334,'январь 2025'!$D$5:$D$2334,$B108,'январь 2025'!$J$5:$J$2334,M$1)</f>
        <v>0</v>
      </c>
      <c r="N108" s="76">
        <f>SUMIFS('январь 2025'!$G$5:$G$2334,'январь 2025'!$D$5:$D$2334,$B108,'январь 2025'!$J$5:$J$2334,N$1)</f>
        <v>0</v>
      </c>
      <c r="O108" s="76">
        <f>SUMIFS('январь 2025'!$G$5:$G$2334,'январь 2025'!$D$5:$D$2334,$B108,'январь 2025'!$J$5:$J$2334,O$1)</f>
        <v>0</v>
      </c>
      <c r="P108" s="76">
        <f>SUMIFS('январь 2025'!$G$5:$G$2334,'январь 2025'!$D$5:$D$2334,$B108,'январь 2025'!$J$5:$J$2334,P$1)</f>
        <v>0</v>
      </c>
      <c r="Q108" s="76">
        <f>SUMIFS('январь 2025'!$G$5:$G$2334,'январь 2025'!$D$5:$D$2334,$B108,'январь 2025'!$J$5:$J$2334,Q$1)</f>
        <v>0</v>
      </c>
      <c r="R108" s="76">
        <f>SUMIFS('январь 2025'!$G$5:$G$2334,'январь 2025'!$D$5:$D$2334,$B108,'январь 2025'!$J$5:$J$2334,R$1)</f>
        <v>0</v>
      </c>
      <c r="S108" s="76">
        <f>SUMIFS('январь 2025'!$G$5:$G$2334,'январь 2025'!$D$5:$D$2334,$B108,'январь 2025'!$J$5:$J$2334,S$1)</f>
        <v>0</v>
      </c>
      <c r="T108" s="76">
        <f>SUMIFS('январь 2025'!$G$5:$G$2334,'январь 2025'!$D$5:$D$2334,$B108,'январь 2025'!$J$5:$J$2334,T$1)</f>
        <v>0</v>
      </c>
      <c r="U108" s="76">
        <f>SUMIFS('январь 2025'!$G$5:$G$2334,'январь 2025'!$D$5:$D$2334,$B108,'январь 2025'!$J$5:$J$2334,U$1)</f>
        <v>0</v>
      </c>
      <c r="V108" s="76">
        <f>SUMIFS('январь 2025'!$G$5:$G$2334,'январь 2025'!$D$5:$D$2334,$B108,'январь 2025'!$J$5:$J$2334,V$1)</f>
        <v>0</v>
      </c>
      <c r="W108" s="76">
        <f>SUMIFS('январь 2025'!$G$5:$G$2334,'январь 2025'!$D$5:$D$2334,$B108,'январь 2025'!$J$5:$J$2334,W$1)</f>
        <v>0</v>
      </c>
      <c r="X108" s="76">
        <f>SUMIFS('январь 2025'!$G$5:$G$2334,'январь 2025'!$D$5:$D$2334,$B108,'январь 2025'!$J$5:$J$2334,X$1)</f>
        <v>0</v>
      </c>
      <c r="Y108" s="76">
        <f>SUMIFS('январь 2025'!$G$5:$G$2334,'январь 2025'!$D$5:$D$2334,$B108,'январь 2025'!$J$5:$J$2334,Y$1)</f>
        <v>0</v>
      </c>
      <c r="Z108" s="76">
        <f>SUMIFS('январь 2025'!$G$5:$G$2334,'январь 2025'!$D$5:$D$2334,$B108,'январь 2025'!$J$5:$J$2334,Z$1)</f>
        <v>0</v>
      </c>
      <c r="AA108" s="76">
        <f>SUMIFS('январь 2025'!$G$5:$G$2334,'январь 2025'!$D$5:$D$2334,$B108,'январь 2025'!$J$5:$J$2334,AA$1)</f>
        <v>0</v>
      </c>
      <c r="AB108" s="76">
        <f>SUMIFS('январь 2025'!$G$5:$G$2334,'январь 2025'!$D$5:$D$2334,$B108,'январь 2025'!$J$5:$J$2334,AB$1)</f>
        <v>0</v>
      </c>
      <c r="AC108" s="76">
        <f>SUMIFS('январь 2025'!$G$5:$G$2334,'январь 2025'!$D$5:$D$2334,$B108,'январь 2025'!$J$5:$J$2334,AC$1)</f>
        <v>0</v>
      </c>
      <c r="AD108" s="76">
        <f>SUMIFS('январь 2025'!$G$5:$G$2334,'январь 2025'!$D$5:$D$2334,$B108,'январь 2025'!$J$5:$J$2334,AD$1)</f>
        <v>0</v>
      </c>
      <c r="AE108" s="76">
        <f>SUMIFS('январь 2025'!$G$5:$G$2334,'январь 2025'!$D$5:$D$2334,$B108,'январь 2025'!$J$5:$J$2334,AE$1)</f>
        <v>0</v>
      </c>
      <c r="AF108" s="76">
        <f>SUMIFS('январь 2025'!$G$5:$G$2334,'январь 2025'!$D$5:$D$2334,$B108,'январь 2025'!$J$5:$J$2334,AF$1)</f>
        <v>0</v>
      </c>
      <c r="AG108" s="76">
        <f>SUMIFS('январь 2025'!$G$5:$G$2334,'январь 2025'!$D$5:$D$2334,$B108,'январь 2025'!$J$5:$J$2334,AG$1)</f>
        <v>0</v>
      </c>
      <c r="AH108" s="76">
        <f>SUMIFS('январь 2025'!$G$5:$G$2334,'январь 2025'!$D$5:$D$2334,$B108,'январь 2025'!$J$5:$J$2334,AH$1)</f>
        <v>0</v>
      </c>
      <c r="AI108" s="20">
        <f t="shared" si="1"/>
        <v>0</v>
      </c>
    </row>
    <row r="109" spans="2:35" ht="15" customHeight="1" x14ac:dyDescent="0.25">
      <c r="B109" s="88" t="s">
        <v>263</v>
      </c>
      <c r="C109" s="86">
        <v>200</v>
      </c>
      <c r="D109" s="76">
        <f>SUMIFS('январь 2025'!$G$5:$G$2334,'январь 2025'!$D$5:$D$2334,$B109,'январь 2025'!$J$5:$J$2334,D$1)</f>
        <v>0</v>
      </c>
      <c r="E109" s="76">
        <f>SUMIFS('январь 2025'!$G$5:$G$2334,'январь 2025'!$D$5:$D$2334,$B109,'январь 2025'!$J$5:$J$2334,E$1)</f>
        <v>0</v>
      </c>
      <c r="F109" s="76">
        <f>SUMIFS('январь 2025'!$G$5:$G$2334,'январь 2025'!$D$5:$D$2334,$B109,'январь 2025'!$J$5:$J$2334,F$1)</f>
        <v>0</v>
      </c>
      <c r="G109" s="76">
        <f>SUMIFS('январь 2025'!$G$5:$G$2334,'январь 2025'!$D$5:$D$2334,$B109,'январь 2025'!$J$5:$J$2334,G$1)</f>
        <v>0</v>
      </c>
      <c r="H109" s="76">
        <f>SUMIFS('январь 2025'!$G$5:$G$2334,'январь 2025'!$D$5:$D$2334,$B109,'январь 2025'!$J$5:$J$2334,H$1)</f>
        <v>0</v>
      </c>
      <c r="I109" s="76">
        <f>SUMIFS('январь 2025'!$G$5:$G$2334,'январь 2025'!$D$5:$D$2334,$B109,'январь 2025'!$J$5:$J$2334,I$1)</f>
        <v>0</v>
      </c>
      <c r="J109" s="76">
        <f>SUMIFS('январь 2025'!$G$5:$G$2334,'январь 2025'!$D$5:$D$2334,$B109,'январь 2025'!$J$5:$J$2334,J$1)</f>
        <v>0</v>
      </c>
      <c r="K109" s="76">
        <f>SUMIFS('январь 2025'!$G$5:$G$2334,'январь 2025'!$D$5:$D$2334,$B109,'январь 2025'!$J$5:$J$2334,K$1)</f>
        <v>0</v>
      </c>
      <c r="L109" s="76">
        <f>SUMIFS('январь 2025'!$G$5:$G$2334,'январь 2025'!$D$5:$D$2334,$B109,'январь 2025'!$J$5:$J$2334,L$1)</f>
        <v>0</v>
      </c>
      <c r="M109" s="76">
        <f>SUMIFS('январь 2025'!$G$5:$G$2334,'январь 2025'!$D$5:$D$2334,$B109,'январь 2025'!$J$5:$J$2334,M$1)</f>
        <v>0</v>
      </c>
      <c r="N109" s="76">
        <f>SUMIFS('январь 2025'!$G$5:$G$2334,'январь 2025'!$D$5:$D$2334,$B109,'январь 2025'!$J$5:$J$2334,N$1)</f>
        <v>0</v>
      </c>
      <c r="O109" s="76">
        <f>SUMIFS('январь 2025'!$G$5:$G$2334,'январь 2025'!$D$5:$D$2334,$B109,'январь 2025'!$J$5:$J$2334,O$1)</f>
        <v>0</v>
      </c>
      <c r="P109" s="76">
        <f>SUMIFS('январь 2025'!$G$5:$G$2334,'январь 2025'!$D$5:$D$2334,$B109,'январь 2025'!$J$5:$J$2334,P$1)</f>
        <v>0</v>
      </c>
      <c r="Q109" s="76">
        <f>SUMIFS('январь 2025'!$G$5:$G$2334,'январь 2025'!$D$5:$D$2334,$B109,'январь 2025'!$J$5:$J$2334,Q$1)</f>
        <v>0</v>
      </c>
      <c r="R109" s="76">
        <f>SUMIFS('январь 2025'!$G$5:$G$2334,'январь 2025'!$D$5:$D$2334,$B109,'январь 2025'!$J$5:$J$2334,R$1)</f>
        <v>0</v>
      </c>
      <c r="S109" s="76">
        <f>SUMIFS('январь 2025'!$G$5:$G$2334,'январь 2025'!$D$5:$D$2334,$B109,'январь 2025'!$J$5:$J$2334,S$1)</f>
        <v>0</v>
      </c>
      <c r="T109" s="76">
        <f>SUMIFS('январь 2025'!$G$5:$G$2334,'январь 2025'!$D$5:$D$2334,$B109,'январь 2025'!$J$5:$J$2334,T$1)</f>
        <v>0</v>
      </c>
      <c r="U109" s="76">
        <f>SUMIFS('январь 2025'!$G$5:$G$2334,'январь 2025'!$D$5:$D$2334,$B109,'январь 2025'!$J$5:$J$2334,U$1)</f>
        <v>0</v>
      </c>
      <c r="V109" s="76">
        <f>SUMIFS('январь 2025'!$G$5:$G$2334,'январь 2025'!$D$5:$D$2334,$B109,'январь 2025'!$J$5:$J$2334,V$1)</f>
        <v>0</v>
      </c>
      <c r="W109" s="76">
        <f>SUMIFS('январь 2025'!$G$5:$G$2334,'январь 2025'!$D$5:$D$2334,$B109,'январь 2025'!$J$5:$J$2334,W$1)</f>
        <v>0</v>
      </c>
      <c r="X109" s="76">
        <f>SUMIFS('январь 2025'!$G$5:$G$2334,'январь 2025'!$D$5:$D$2334,$B109,'январь 2025'!$J$5:$J$2334,X$1)</f>
        <v>0</v>
      </c>
      <c r="Y109" s="76">
        <f>SUMIFS('январь 2025'!$G$5:$G$2334,'январь 2025'!$D$5:$D$2334,$B109,'январь 2025'!$J$5:$J$2334,Y$1)</f>
        <v>0</v>
      </c>
      <c r="Z109" s="76">
        <f>SUMIFS('январь 2025'!$G$5:$G$2334,'январь 2025'!$D$5:$D$2334,$B109,'январь 2025'!$J$5:$J$2334,Z$1)</f>
        <v>0</v>
      </c>
      <c r="AA109" s="76">
        <f>SUMIFS('январь 2025'!$G$5:$G$2334,'январь 2025'!$D$5:$D$2334,$B109,'январь 2025'!$J$5:$J$2334,AA$1)</f>
        <v>0</v>
      </c>
      <c r="AB109" s="76">
        <f>SUMIFS('январь 2025'!$G$5:$G$2334,'январь 2025'!$D$5:$D$2334,$B109,'январь 2025'!$J$5:$J$2334,AB$1)</f>
        <v>0</v>
      </c>
      <c r="AC109" s="76">
        <f>SUMIFS('январь 2025'!$G$5:$G$2334,'январь 2025'!$D$5:$D$2334,$B109,'январь 2025'!$J$5:$J$2334,AC$1)</f>
        <v>0</v>
      </c>
      <c r="AD109" s="76">
        <f>SUMIFS('январь 2025'!$G$5:$G$2334,'январь 2025'!$D$5:$D$2334,$B109,'январь 2025'!$J$5:$J$2334,AD$1)</f>
        <v>0</v>
      </c>
      <c r="AE109" s="76">
        <f>SUMIFS('январь 2025'!$G$5:$G$2334,'январь 2025'!$D$5:$D$2334,$B109,'январь 2025'!$J$5:$J$2334,AE$1)</f>
        <v>0</v>
      </c>
      <c r="AF109" s="76">
        <f>SUMIFS('январь 2025'!$G$5:$G$2334,'январь 2025'!$D$5:$D$2334,$B109,'январь 2025'!$J$5:$J$2334,AF$1)</f>
        <v>0</v>
      </c>
      <c r="AG109" s="76">
        <f>SUMIFS('январь 2025'!$G$5:$G$2334,'январь 2025'!$D$5:$D$2334,$B109,'январь 2025'!$J$5:$J$2334,AG$1)</f>
        <v>0</v>
      </c>
      <c r="AH109" s="76">
        <f>SUMIFS('январь 2025'!$G$5:$G$2334,'январь 2025'!$D$5:$D$2334,$B109,'январь 2025'!$J$5:$J$2334,AH$1)</f>
        <v>0</v>
      </c>
      <c r="AI109" s="20">
        <f t="shared" si="1"/>
        <v>0</v>
      </c>
    </row>
    <row r="110" spans="2:35" ht="15" customHeight="1" x14ac:dyDescent="0.25">
      <c r="B110" s="84" t="s">
        <v>208</v>
      </c>
      <c r="C110" s="83">
        <v>25</v>
      </c>
      <c r="D110" s="76">
        <f>SUMIFS('январь 2025'!$G$5:$G$2334,'январь 2025'!$D$5:$D$2334,$B110,'январь 2025'!$J$5:$J$2334,D$1)</f>
        <v>0</v>
      </c>
      <c r="E110" s="76">
        <f>SUMIFS('январь 2025'!$G$5:$G$2334,'январь 2025'!$D$5:$D$2334,$B110,'январь 2025'!$J$5:$J$2334,E$1)</f>
        <v>0</v>
      </c>
      <c r="F110" s="76">
        <f>SUMIFS('январь 2025'!$G$5:$G$2334,'январь 2025'!$D$5:$D$2334,$B110,'январь 2025'!$J$5:$J$2334,F$1)</f>
        <v>0</v>
      </c>
      <c r="G110" s="76">
        <f>SUMIFS('январь 2025'!$G$5:$G$2334,'январь 2025'!$D$5:$D$2334,$B110,'январь 2025'!$J$5:$J$2334,G$1)</f>
        <v>0</v>
      </c>
      <c r="H110" s="76">
        <f>SUMIFS('январь 2025'!$G$5:$G$2334,'январь 2025'!$D$5:$D$2334,$B110,'январь 2025'!$J$5:$J$2334,H$1)</f>
        <v>0</v>
      </c>
      <c r="I110" s="76">
        <f>SUMIFS('январь 2025'!$G$5:$G$2334,'январь 2025'!$D$5:$D$2334,$B110,'январь 2025'!$J$5:$J$2334,I$1)</f>
        <v>0</v>
      </c>
      <c r="J110" s="76">
        <f>SUMIFS('январь 2025'!$G$5:$G$2334,'январь 2025'!$D$5:$D$2334,$B110,'январь 2025'!$J$5:$J$2334,J$1)</f>
        <v>0</v>
      </c>
      <c r="K110" s="76">
        <f>SUMIFS('январь 2025'!$G$5:$G$2334,'январь 2025'!$D$5:$D$2334,$B110,'январь 2025'!$J$5:$J$2334,K$1)</f>
        <v>0</v>
      </c>
      <c r="L110" s="76">
        <f>SUMIFS('январь 2025'!$G$5:$G$2334,'январь 2025'!$D$5:$D$2334,$B110,'январь 2025'!$J$5:$J$2334,L$1)</f>
        <v>0</v>
      </c>
      <c r="M110" s="76">
        <f>SUMIFS('январь 2025'!$G$5:$G$2334,'январь 2025'!$D$5:$D$2334,$B110,'январь 2025'!$J$5:$J$2334,M$1)</f>
        <v>0</v>
      </c>
      <c r="N110" s="76">
        <f>SUMIFS('январь 2025'!$G$5:$G$2334,'январь 2025'!$D$5:$D$2334,$B110,'январь 2025'!$J$5:$J$2334,N$1)</f>
        <v>0</v>
      </c>
      <c r="O110" s="76">
        <f>SUMIFS('январь 2025'!$G$5:$G$2334,'январь 2025'!$D$5:$D$2334,$B110,'январь 2025'!$J$5:$J$2334,O$1)</f>
        <v>0</v>
      </c>
      <c r="P110" s="76">
        <f>SUMIFS('январь 2025'!$G$5:$G$2334,'январь 2025'!$D$5:$D$2334,$B110,'январь 2025'!$J$5:$J$2334,P$1)</f>
        <v>0</v>
      </c>
      <c r="Q110" s="76">
        <f>SUMIFS('январь 2025'!$G$5:$G$2334,'январь 2025'!$D$5:$D$2334,$B110,'январь 2025'!$J$5:$J$2334,Q$1)</f>
        <v>0</v>
      </c>
      <c r="R110" s="76">
        <f>SUMIFS('январь 2025'!$G$5:$G$2334,'январь 2025'!$D$5:$D$2334,$B110,'январь 2025'!$J$5:$J$2334,R$1)</f>
        <v>0</v>
      </c>
      <c r="S110" s="76">
        <f>SUMIFS('январь 2025'!$G$5:$G$2334,'январь 2025'!$D$5:$D$2334,$B110,'январь 2025'!$J$5:$J$2334,S$1)</f>
        <v>0</v>
      </c>
      <c r="T110" s="76">
        <f>SUMIFS('январь 2025'!$G$5:$G$2334,'январь 2025'!$D$5:$D$2334,$B110,'январь 2025'!$J$5:$J$2334,T$1)</f>
        <v>0</v>
      </c>
      <c r="U110" s="76">
        <f>SUMIFS('январь 2025'!$G$5:$G$2334,'январь 2025'!$D$5:$D$2334,$B110,'январь 2025'!$J$5:$J$2334,U$1)</f>
        <v>0</v>
      </c>
      <c r="V110" s="76">
        <f>SUMIFS('январь 2025'!$G$5:$G$2334,'январь 2025'!$D$5:$D$2334,$B110,'январь 2025'!$J$5:$J$2334,V$1)</f>
        <v>0</v>
      </c>
      <c r="W110" s="76">
        <f>SUMIFS('январь 2025'!$G$5:$G$2334,'январь 2025'!$D$5:$D$2334,$B110,'январь 2025'!$J$5:$J$2334,W$1)</f>
        <v>0</v>
      </c>
      <c r="X110" s="76">
        <f>SUMIFS('январь 2025'!$G$5:$G$2334,'январь 2025'!$D$5:$D$2334,$B110,'январь 2025'!$J$5:$J$2334,X$1)</f>
        <v>0</v>
      </c>
      <c r="Y110" s="76">
        <f>SUMIFS('январь 2025'!$G$5:$G$2334,'январь 2025'!$D$5:$D$2334,$B110,'январь 2025'!$J$5:$J$2334,Y$1)</f>
        <v>0</v>
      </c>
      <c r="Z110" s="76">
        <f>SUMIFS('январь 2025'!$G$5:$G$2334,'январь 2025'!$D$5:$D$2334,$B110,'январь 2025'!$J$5:$J$2334,Z$1)</f>
        <v>0</v>
      </c>
      <c r="AA110" s="76">
        <f>SUMIFS('январь 2025'!$G$5:$G$2334,'январь 2025'!$D$5:$D$2334,$B110,'январь 2025'!$J$5:$J$2334,AA$1)</f>
        <v>0</v>
      </c>
      <c r="AB110" s="76">
        <f>SUMIFS('январь 2025'!$G$5:$G$2334,'январь 2025'!$D$5:$D$2334,$B110,'январь 2025'!$J$5:$J$2334,AB$1)</f>
        <v>0</v>
      </c>
      <c r="AC110" s="76">
        <f>SUMIFS('январь 2025'!$G$5:$G$2334,'январь 2025'!$D$5:$D$2334,$B110,'январь 2025'!$J$5:$J$2334,AC$1)</f>
        <v>0</v>
      </c>
      <c r="AD110" s="76">
        <f>SUMIFS('январь 2025'!$G$5:$G$2334,'январь 2025'!$D$5:$D$2334,$B110,'январь 2025'!$J$5:$J$2334,AD$1)</f>
        <v>0</v>
      </c>
      <c r="AE110" s="76">
        <f>SUMIFS('январь 2025'!$G$5:$G$2334,'январь 2025'!$D$5:$D$2334,$B110,'январь 2025'!$J$5:$J$2334,AE$1)</f>
        <v>0</v>
      </c>
      <c r="AF110" s="76">
        <f>SUMIFS('январь 2025'!$G$5:$G$2334,'январь 2025'!$D$5:$D$2334,$B110,'январь 2025'!$J$5:$J$2334,AF$1)</f>
        <v>0</v>
      </c>
      <c r="AG110" s="76">
        <f>SUMIFS('январь 2025'!$G$5:$G$2334,'январь 2025'!$D$5:$D$2334,$B110,'январь 2025'!$J$5:$J$2334,AG$1)</f>
        <v>0</v>
      </c>
      <c r="AH110" s="76">
        <f>SUMIFS('январь 2025'!$G$5:$G$2334,'январь 2025'!$D$5:$D$2334,$B110,'январь 2025'!$J$5:$J$2334,AH$1)</f>
        <v>0</v>
      </c>
      <c r="AI110" s="20">
        <f t="shared" si="1"/>
        <v>0</v>
      </c>
    </row>
    <row r="111" spans="2:35" ht="15" customHeight="1" x14ac:dyDescent="0.25">
      <c r="B111" s="88" t="s">
        <v>264</v>
      </c>
      <c r="C111" s="86">
        <v>50</v>
      </c>
      <c r="D111" s="76">
        <f>SUMIFS('январь 2025'!$G$5:$G$2334,'январь 2025'!$D$5:$D$2334,$B111,'январь 2025'!$J$5:$J$2334,D$1)</f>
        <v>0</v>
      </c>
      <c r="E111" s="76">
        <f>SUMIFS('январь 2025'!$G$5:$G$2334,'январь 2025'!$D$5:$D$2334,$B111,'январь 2025'!$J$5:$J$2334,E$1)</f>
        <v>0</v>
      </c>
      <c r="F111" s="76">
        <f>SUMIFS('январь 2025'!$G$5:$G$2334,'январь 2025'!$D$5:$D$2334,$B111,'январь 2025'!$J$5:$J$2334,F$1)</f>
        <v>0</v>
      </c>
      <c r="G111" s="76">
        <f>SUMIFS('январь 2025'!$G$5:$G$2334,'январь 2025'!$D$5:$D$2334,$B111,'январь 2025'!$J$5:$J$2334,G$1)</f>
        <v>0</v>
      </c>
      <c r="H111" s="76">
        <f>SUMIFS('январь 2025'!$G$5:$G$2334,'январь 2025'!$D$5:$D$2334,$B111,'январь 2025'!$J$5:$J$2334,H$1)</f>
        <v>0</v>
      </c>
      <c r="I111" s="76">
        <f>SUMIFS('январь 2025'!$G$5:$G$2334,'январь 2025'!$D$5:$D$2334,$B111,'январь 2025'!$J$5:$J$2334,I$1)</f>
        <v>0</v>
      </c>
      <c r="J111" s="76">
        <f>SUMIFS('январь 2025'!$G$5:$G$2334,'январь 2025'!$D$5:$D$2334,$B111,'январь 2025'!$J$5:$J$2334,J$1)</f>
        <v>0</v>
      </c>
      <c r="K111" s="76">
        <f>SUMIFS('январь 2025'!$G$5:$G$2334,'январь 2025'!$D$5:$D$2334,$B111,'январь 2025'!$J$5:$J$2334,K$1)</f>
        <v>0</v>
      </c>
      <c r="L111" s="76">
        <f>SUMIFS('январь 2025'!$G$5:$G$2334,'январь 2025'!$D$5:$D$2334,$B111,'январь 2025'!$J$5:$J$2334,L$1)</f>
        <v>0</v>
      </c>
      <c r="M111" s="76">
        <f>SUMIFS('январь 2025'!$G$5:$G$2334,'январь 2025'!$D$5:$D$2334,$B111,'январь 2025'!$J$5:$J$2334,M$1)</f>
        <v>0</v>
      </c>
      <c r="N111" s="76">
        <f>SUMIFS('январь 2025'!$G$5:$G$2334,'январь 2025'!$D$5:$D$2334,$B111,'январь 2025'!$J$5:$J$2334,N$1)</f>
        <v>0</v>
      </c>
      <c r="O111" s="76">
        <f>SUMIFS('январь 2025'!$G$5:$G$2334,'январь 2025'!$D$5:$D$2334,$B111,'январь 2025'!$J$5:$J$2334,O$1)</f>
        <v>0</v>
      </c>
      <c r="P111" s="76">
        <f>SUMIFS('январь 2025'!$G$5:$G$2334,'январь 2025'!$D$5:$D$2334,$B111,'январь 2025'!$J$5:$J$2334,P$1)</f>
        <v>0</v>
      </c>
      <c r="Q111" s="76">
        <f>SUMIFS('январь 2025'!$G$5:$G$2334,'январь 2025'!$D$5:$D$2334,$B111,'январь 2025'!$J$5:$J$2334,Q$1)</f>
        <v>0</v>
      </c>
      <c r="R111" s="76">
        <f>SUMIFS('январь 2025'!$G$5:$G$2334,'январь 2025'!$D$5:$D$2334,$B111,'январь 2025'!$J$5:$J$2334,R$1)</f>
        <v>0</v>
      </c>
      <c r="S111" s="76">
        <f>SUMIFS('январь 2025'!$G$5:$G$2334,'январь 2025'!$D$5:$D$2334,$B111,'январь 2025'!$J$5:$J$2334,S$1)</f>
        <v>0</v>
      </c>
      <c r="T111" s="76">
        <f>SUMIFS('январь 2025'!$G$5:$G$2334,'январь 2025'!$D$5:$D$2334,$B111,'январь 2025'!$J$5:$J$2334,T$1)</f>
        <v>0</v>
      </c>
      <c r="U111" s="76">
        <f>SUMIFS('январь 2025'!$G$5:$G$2334,'январь 2025'!$D$5:$D$2334,$B111,'январь 2025'!$J$5:$J$2334,U$1)</f>
        <v>0</v>
      </c>
      <c r="V111" s="76">
        <f>SUMIFS('январь 2025'!$G$5:$G$2334,'январь 2025'!$D$5:$D$2334,$B111,'январь 2025'!$J$5:$J$2334,V$1)</f>
        <v>0</v>
      </c>
      <c r="W111" s="76">
        <f>SUMIFS('январь 2025'!$G$5:$G$2334,'январь 2025'!$D$5:$D$2334,$B111,'январь 2025'!$J$5:$J$2334,W$1)</f>
        <v>0</v>
      </c>
      <c r="X111" s="76">
        <f>SUMIFS('январь 2025'!$G$5:$G$2334,'январь 2025'!$D$5:$D$2334,$B111,'январь 2025'!$J$5:$J$2334,X$1)</f>
        <v>0</v>
      </c>
      <c r="Y111" s="76">
        <f>SUMIFS('январь 2025'!$G$5:$G$2334,'январь 2025'!$D$5:$D$2334,$B111,'январь 2025'!$J$5:$J$2334,Y$1)</f>
        <v>0</v>
      </c>
      <c r="Z111" s="76">
        <f>SUMIFS('январь 2025'!$G$5:$G$2334,'январь 2025'!$D$5:$D$2334,$B111,'январь 2025'!$J$5:$J$2334,Z$1)</f>
        <v>0</v>
      </c>
      <c r="AA111" s="76">
        <f>SUMIFS('январь 2025'!$G$5:$G$2334,'январь 2025'!$D$5:$D$2334,$B111,'январь 2025'!$J$5:$J$2334,AA$1)</f>
        <v>0</v>
      </c>
      <c r="AB111" s="76">
        <f>SUMIFS('январь 2025'!$G$5:$G$2334,'январь 2025'!$D$5:$D$2334,$B111,'январь 2025'!$J$5:$J$2334,AB$1)</f>
        <v>0</v>
      </c>
      <c r="AC111" s="76">
        <f>SUMIFS('январь 2025'!$G$5:$G$2334,'январь 2025'!$D$5:$D$2334,$B111,'январь 2025'!$J$5:$J$2334,AC$1)</f>
        <v>0</v>
      </c>
      <c r="AD111" s="76">
        <f>SUMIFS('январь 2025'!$G$5:$G$2334,'январь 2025'!$D$5:$D$2334,$B111,'январь 2025'!$J$5:$J$2334,AD$1)</f>
        <v>0</v>
      </c>
      <c r="AE111" s="76">
        <f>SUMIFS('январь 2025'!$G$5:$G$2334,'январь 2025'!$D$5:$D$2334,$B111,'январь 2025'!$J$5:$J$2334,AE$1)</f>
        <v>0</v>
      </c>
      <c r="AF111" s="76">
        <f>SUMIFS('январь 2025'!$G$5:$G$2334,'январь 2025'!$D$5:$D$2334,$B111,'январь 2025'!$J$5:$J$2334,AF$1)</f>
        <v>0</v>
      </c>
      <c r="AG111" s="76">
        <f>SUMIFS('январь 2025'!$G$5:$G$2334,'январь 2025'!$D$5:$D$2334,$B111,'январь 2025'!$J$5:$J$2334,AG$1)</f>
        <v>0</v>
      </c>
      <c r="AH111" s="76">
        <f>SUMIFS('январь 2025'!$G$5:$G$2334,'январь 2025'!$D$5:$D$2334,$B111,'январь 2025'!$J$5:$J$2334,AH$1)</f>
        <v>0</v>
      </c>
      <c r="AI111" s="20">
        <f t="shared" si="1"/>
        <v>0</v>
      </c>
    </row>
    <row r="112" spans="2:35" ht="15" customHeight="1" x14ac:dyDescent="0.25">
      <c r="B112" s="88" t="s">
        <v>185</v>
      </c>
      <c r="C112" s="86">
        <v>180</v>
      </c>
      <c r="D112" s="76">
        <f>SUMIFS('январь 2025'!$G$5:$G$2334,'январь 2025'!$D$5:$D$2334,$B112,'январь 2025'!$J$5:$J$2334,D$1)</f>
        <v>0</v>
      </c>
      <c r="E112" s="76">
        <f>SUMIFS('январь 2025'!$G$5:$G$2334,'январь 2025'!$D$5:$D$2334,$B112,'январь 2025'!$J$5:$J$2334,E$1)</f>
        <v>0</v>
      </c>
      <c r="F112" s="76">
        <f>SUMIFS('январь 2025'!$G$5:$G$2334,'январь 2025'!$D$5:$D$2334,$B112,'январь 2025'!$J$5:$J$2334,F$1)</f>
        <v>0</v>
      </c>
      <c r="G112" s="76">
        <f>SUMIFS('январь 2025'!$G$5:$G$2334,'январь 2025'!$D$5:$D$2334,$B112,'январь 2025'!$J$5:$J$2334,G$1)</f>
        <v>0</v>
      </c>
      <c r="H112" s="76">
        <f>SUMIFS('январь 2025'!$G$5:$G$2334,'январь 2025'!$D$5:$D$2334,$B112,'январь 2025'!$J$5:$J$2334,H$1)</f>
        <v>0</v>
      </c>
      <c r="I112" s="76">
        <f>SUMIFS('январь 2025'!$G$5:$G$2334,'январь 2025'!$D$5:$D$2334,$B112,'январь 2025'!$J$5:$J$2334,I$1)</f>
        <v>0</v>
      </c>
      <c r="J112" s="76">
        <f>SUMIFS('январь 2025'!$G$5:$G$2334,'январь 2025'!$D$5:$D$2334,$B112,'январь 2025'!$J$5:$J$2334,J$1)</f>
        <v>0</v>
      </c>
      <c r="K112" s="76">
        <f>SUMIFS('январь 2025'!$G$5:$G$2334,'январь 2025'!$D$5:$D$2334,$B112,'январь 2025'!$J$5:$J$2334,K$1)</f>
        <v>0</v>
      </c>
      <c r="L112" s="76">
        <f>SUMIFS('январь 2025'!$G$5:$G$2334,'январь 2025'!$D$5:$D$2334,$B112,'январь 2025'!$J$5:$J$2334,L$1)</f>
        <v>0</v>
      </c>
      <c r="M112" s="76">
        <f>SUMIFS('январь 2025'!$G$5:$G$2334,'январь 2025'!$D$5:$D$2334,$B112,'январь 2025'!$J$5:$J$2334,M$1)</f>
        <v>0</v>
      </c>
      <c r="N112" s="76">
        <f>SUMIFS('январь 2025'!$G$5:$G$2334,'январь 2025'!$D$5:$D$2334,$B112,'январь 2025'!$J$5:$J$2334,N$1)</f>
        <v>0</v>
      </c>
      <c r="O112" s="76">
        <f>SUMIFS('январь 2025'!$G$5:$G$2334,'январь 2025'!$D$5:$D$2334,$B112,'январь 2025'!$J$5:$J$2334,O$1)</f>
        <v>0</v>
      </c>
      <c r="P112" s="76">
        <f>SUMIFS('январь 2025'!$G$5:$G$2334,'январь 2025'!$D$5:$D$2334,$B112,'январь 2025'!$J$5:$J$2334,P$1)</f>
        <v>0</v>
      </c>
      <c r="Q112" s="76">
        <f>SUMIFS('январь 2025'!$G$5:$G$2334,'январь 2025'!$D$5:$D$2334,$B112,'январь 2025'!$J$5:$J$2334,Q$1)</f>
        <v>0</v>
      </c>
      <c r="R112" s="76">
        <f>SUMIFS('январь 2025'!$G$5:$G$2334,'январь 2025'!$D$5:$D$2334,$B112,'январь 2025'!$J$5:$J$2334,R$1)</f>
        <v>0</v>
      </c>
      <c r="S112" s="76">
        <f>SUMIFS('январь 2025'!$G$5:$G$2334,'январь 2025'!$D$5:$D$2334,$B112,'январь 2025'!$J$5:$J$2334,S$1)</f>
        <v>0</v>
      </c>
      <c r="T112" s="76">
        <f>SUMIFS('январь 2025'!$G$5:$G$2334,'январь 2025'!$D$5:$D$2334,$B112,'январь 2025'!$J$5:$J$2334,T$1)</f>
        <v>0</v>
      </c>
      <c r="U112" s="76">
        <f>SUMIFS('январь 2025'!$G$5:$G$2334,'январь 2025'!$D$5:$D$2334,$B112,'январь 2025'!$J$5:$J$2334,U$1)</f>
        <v>0</v>
      </c>
      <c r="V112" s="76">
        <f>SUMIFS('январь 2025'!$G$5:$G$2334,'январь 2025'!$D$5:$D$2334,$B112,'январь 2025'!$J$5:$J$2334,V$1)</f>
        <v>0</v>
      </c>
      <c r="W112" s="76">
        <f>SUMIFS('январь 2025'!$G$5:$G$2334,'январь 2025'!$D$5:$D$2334,$B112,'январь 2025'!$J$5:$J$2334,W$1)</f>
        <v>0</v>
      </c>
      <c r="X112" s="76">
        <f>SUMIFS('январь 2025'!$G$5:$G$2334,'январь 2025'!$D$5:$D$2334,$B112,'январь 2025'!$J$5:$J$2334,X$1)</f>
        <v>0</v>
      </c>
      <c r="Y112" s="76">
        <f>SUMIFS('январь 2025'!$G$5:$G$2334,'январь 2025'!$D$5:$D$2334,$B112,'январь 2025'!$J$5:$J$2334,Y$1)</f>
        <v>0</v>
      </c>
      <c r="Z112" s="76">
        <f>SUMIFS('январь 2025'!$G$5:$G$2334,'январь 2025'!$D$5:$D$2334,$B112,'январь 2025'!$J$5:$J$2334,Z$1)</f>
        <v>0</v>
      </c>
      <c r="AA112" s="76">
        <f>SUMIFS('январь 2025'!$G$5:$G$2334,'январь 2025'!$D$5:$D$2334,$B112,'январь 2025'!$J$5:$J$2334,AA$1)</f>
        <v>0</v>
      </c>
      <c r="AB112" s="76">
        <f>SUMIFS('январь 2025'!$G$5:$G$2334,'январь 2025'!$D$5:$D$2334,$B112,'январь 2025'!$J$5:$J$2334,AB$1)</f>
        <v>0</v>
      </c>
      <c r="AC112" s="76">
        <f>SUMIFS('январь 2025'!$G$5:$G$2334,'январь 2025'!$D$5:$D$2334,$B112,'январь 2025'!$J$5:$J$2334,AC$1)</f>
        <v>0</v>
      </c>
      <c r="AD112" s="76">
        <f>SUMIFS('январь 2025'!$G$5:$G$2334,'январь 2025'!$D$5:$D$2334,$B112,'январь 2025'!$J$5:$J$2334,AD$1)</f>
        <v>0</v>
      </c>
      <c r="AE112" s="76">
        <f>SUMIFS('январь 2025'!$G$5:$G$2334,'январь 2025'!$D$5:$D$2334,$B112,'январь 2025'!$J$5:$J$2334,AE$1)</f>
        <v>0</v>
      </c>
      <c r="AF112" s="76">
        <f>SUMIFS('январь 2025'!$G$5:$G$2334,'январь 2025'!$D$5:$D$2334,$B112,'январь 2025'!$J$5:$J$2334,AF$1)</f>
        <v>0</v>
      </c>
      <c r="AG112" s="76">
        <f>SUMIFS('январь 2025'!$G$5:$G$2334,'январь 2025'!$D$5:$D$2334,$B112,'январь 2025'!$J$5:$J$2334,AG$1)</f>
        <v>0</v>
      </c>
      <c r="AH112" s="76">
        <f>SUMIFS('январь 2025'!$G$5:$G$2334,'январь 2025'!$D$5:$D$2334,$B112,'январь 2025'!$J$5:$J$2334,AH$1)</f>
        <v>0</v>
      </c>
      <c r="AI112" s="20">
        <f t="shared" si="1"/>
        <v>0</v>
      </c>
    </row>
    <row r="113" spans="2:35" ht="15" customHeight="1" x14ac:dyDescent="0.25">
      <c r="B113" s="88" t="s">
        <v>203</v>
      </c>
      <c r="C113" s="86">
        <v>185</v>
      </c>
      <c r="D113" s="76">
        <f>SUMIFS('январь 2025'!$G$5:$G$2334,'январь 2025'!$D$5:$D$2334,$B113,'январь 2025'!$J$5:$J$2334,D$1)</f>
        <v>0</v>
      </c>
      <c r="E113" s="76">
        <f>SUMIFS('январь 2025'!$G$5:$G$2334,'январь 2025'!$D$5:$D$2334,$B113,'январь 2025'!$J$5:$J$2334,E$1)</f>
        <v>0</v>
      </c>
      <c r="F113" s="76">
        <f>SUMIFS('январь 2025'!$G$5:$G$2334,'январь 2025'!$D$5:$D$2334,$B113,'январь 2025'!$J$5:$J$2334,F$1)</f>
        <v>0</v>
      </c>
      <c r="G113" s="76">
        <f>SUMIFS('январь 2025'!$G$5:$G$2334,'январь 2025'!$D$5:$D$2334,$B113,'январь 2025'!$J$5:$J$2334,G$1)</f>
        <v>0</v>
      </c>
      <c r="H113" s="76">
        <f>SUMIFS('январь 2025'!$G$5:$G$2334,'январь 2025'!$D$5:$D$2334,$B113,'январь 2025'!$J$5:$J$2334,H$1)</f>
        <v>0</v>
      </c>
      <c r="I113" s="76">
        <f>SUMIFS('январь 2025'!$G$5:$G$2334,'январь 2025'!$D$5:$D$2334,$B113,'январь 2025'!$J$5:$J$2334,I$1)</f>
        <v>0</v>
      </c>
      <c r="J113" s="76">
        <f>SUMIFS('январь 2025'!$G$5:$G$2334,'январь 2025'!$D$5:$D$2334,$B113,'январь 2025'!$J$5:$J$2334,J$1)</f>
        <v>0</v>
      </c>
      <c r="K113" s="76">
        <f>SUMIFS('январь 2025'!$G$5:$G$2334,'январь 2025'!$D$5:$D$2334,$B113,'январь 2025'!$J$5:$J$2334,K$1)</f>
        <v>0</v>
      </c>
      <c r="L113" s="76">
        <f>SUMIFS('январь 2025'!$G$5:$G$2334,'январь 2025'!$D$5:$D$2334,$B113,'январь 2025'!$J$5:$J$2334,L$1)</f>
        <v>0</v>
      </c>
      <c r="M113" s="76">
        <f>SUMIFS('январь 2025'!$G$5:$G$2334,'январь 2025'!$D$5:$D$2334,$B113,'январь 2025'!$J$5:$J$2334,M$1)</f>
        <v>0</v>
      </c>
      <c r="N113" s="76">
        <f>SUMIFS('январь 2025'!$G$5:$G$2334,'январь 2025'!$D$5:$D$2334,$B113,'январь 2025'!$J$5:$J$2334,N$1)</f>
        <v>0</v>
      </c>
      <c r="O113" s="76">
        <f>SUMIFS('январь 2025'!$G$5:$G$2334,'январь 2025'!$D$5:$D$2334,$B113,'январь 2025'!$J$5:$J$2334,O$1)</f>
        <v>0</v>
      </c>
      <c r="P113" s="76">
        <f>SUMIFS('январь 2025'!$G$5:$G$2334,'январь 2025'!$D$5:$D$2334,$B113,'январь 2025'!$J$5:$J$2334,P$1)</f>
        <v>0</v>
      </c>
      <c r="Q113" s="76">
        <f>SUMIFS('январь 2025'!$G$5:$G$2334,'январь 2025'!$D$5:$D$2334,$B113,'январь 2025'!$J$5:$J$2334,Q$1)</f>
        <v>0</v>
      </c>
      <c r="R113" s="76">
        <f>SUMIFS('январь 2025'!$G$5:$G$2334,'январь 2025'!$D$5:$D$2334,$B113,'январь 2025'!$J$5:$J$2334,R$1)</f>
        <v>0</v>
      </c>
      <c r="S113" s="76">
        <f>SUMIFS('январь 2025'!$G$5:$G$2334,'январь 2025'!$D$5:$D$2334,$B113,'январь 2025'!$J$5:$J$2334,S$1)</f>
        <v>0</v>
      </c>
      <c r="T113" s="76">
        <f>SUMIFS('январь 2025'!$G$5:$G$2334,'январь 2025'!$D$5:$D$2334,$B113,'январь 2025'!$J$5:$J$2334,T$1)</f>
        <v>0</v>
      </c>
      <c r="U113" s="76">
        <f>SUMIFS('январь 2025'!$G$5:$G$2334,'январь 2025'!$D$5:$D$2334,$B113,'январь 2025'!$J$5:$J$2334,U$1)</f>
        <v>0</v>
      </c>
      <c r="V113" s="76">
        <f>SUMIFS('январь 2025'!$G$5:$G$2334,'январь 2025'!$D$5:$D$2334,$B113,'январь 2025'!$J$5:$J$2334,V$1)</f>
        <v>0</v>
      </c>
      <c r="W113" s="76">
        <f>SUMIFS('январь 2025'!$G$5:$G$2334,'январь 2025'!$D$5:$D$2334,$B113,'январь 2025'!$J$5:$J$2334,W$1)</f>
        <v>0</v>
      </c>
      <c r="X113" s="76">
        <f>SUMIFS('январь 2025'!$G$5:$G$2334,'январь 2025'!$D$5:$D$2334,$B113,'январь 2025'!$J$5:$J$2334,X$1)</f>
        <v>0</v>
      </c>
      <c r="Y113" s="76">
        <f>SUMIFS('январь 2025'!$G$5:$G$2334,'январь 2025'!$D$5:$D$2334,$B113,'январь 2025'!$J$5:$J$2334,Y$1)</f>
        <v>0</v>
      </c>
      <c r="Z113" s="76">
        <f>SUMIFS('январь 2025'!$G$5:$G$2334,'январь 2025'!$D$5:$D$2334,$B113,'январь 2025'!$J$5:$J$2334,Z$1)</f>
        <v>0</v>
      </c>
      <c r="AA113" s="76">
        <f>SUMIFS('январь 2025'!$G$5:$G$2334,'январь 2025'!$D$5:$D$2334,$B113,'январь 2025'!$J$5:$J$2334,AA$1)</f>
        <v>0</v>
      </c>
      <c r="AB113" s="76">
        <f>SUMIFS('январь 2025'!$G$5:$G$2334,'январь 2025'!$D$5:$D$2334,$B113,'январь 2025'!$J$5:$J$2334,AB$1)</f>
        <v>0</v>
      </c>
      <c r="AC113" s="76">
        <f>SUMIFS('январь 2025'!$G$5:$G$2334,'январь 2025'!$D$5:$D$2334,$B113,'январь 2025'!$J$5:$J$2334,AC$1)</f>
        <v>0</v>
      </c>
      <c r="AD113" s="76">
        <f>SUMIFS('январь 2025'!$G$5:$G$2334,'январь 2025'!$D$5:$D$2334,$B113,'январь 2025'!$J$5:$J$2334,AD$1)</f>
        <v>0</v>
      </c>
      <c r="AE113" s="76">
        <f>SUMIFS('январь 2025'!$G$5:$G$2334,'январь 2025'!$D$5:$D$2334,$B113,'январь 2025'!$J$5:$J$2334,AE$1)</f>
        <v>0</v>
      </c>
      <c r="AF113" s="76">
        <f>SUMIFS('январь 2025'!$G$5:$G$2334,'январь 2025'!$D$5:$D$2334,$B113,'январь 2025'!$J$5:$J$2334,AF$1)</f>
        <v>0</v>
      </c>
      <c r="AG113" s="76">
        <f>SUMIFS('январь 2025'!$G$5:$G$2334,'январь 2025'!$D$5:$D$2334,$B113,'январь 2025'!$J$5:$J$2334,AG$1)</f>
        <v>0</v>
      </c>
      <c r="AH113" s="76">
        <f>SUMIFS('январь 2025'!$G$5:$G$2334,'январь 2025'!$D$5:$D$2334,$B113,'январь 2025'!$J$5:$J$2334,AH$1)</f>
        <v>0</v>
      </c>
      <c r="AI113" s="20">
        <f t="shared" si="1"/>
        <v>0</v>
      </c>
    </row>
    <row r="114" spans="2:35" ht="15" customHeight="1" x14ac:dyDescent="0.25">
      <c r="B114" s="88" t="s">
        <v>304</v>
      </c>
      <c r="C114" s="86">
        <v>175</v>
      </c>
      <c r="D114" s="76">
        <f>SUMIFS('январь 2025'!$G$5:$G$2334,'январь 2025'!$D$5:$D$2334,$B114,'январь 2025'!$J$5:$J$2334,D$1)</f>
        <v>0</v>
      </c>
      <c r="E114" s="76">
        <f>SUMIFS('январь 2025'!$G$5:$G$2334,'январь 2025'!$D$5:$D$2334,$B114,'январь 2025'!$J$5:$J$2334,E$1)</f>
        <v>0</v>
      </c>
      <c r="F114" s="76">
        <f>SUMIFS('январь 2025'!$G$5:$G$2334,'январь 2025'!$D$5:$D$2334,$B114,'январь 2025'!$J$5:$J$2334,F$1)</f>
        <v>0</v>
      </c>
      <c r="G114" s="76">
        <f>SUMIFS('январь 2025'!$G$5:$G$2334,'январь 2025'!$D$5:$D$2334,$B114,'январь 2025'!$J$5:$J$2334,G$1)</f>
        <v>0</v>
      </c>
      <c r="H114" s="76">
        <f>SUMIFS('январь 2025'!$G$5:$G$2334,'январь 2025'!$D$5:$D$2334,$B114,'январь 2025'!$J$5:$J$2334,H$1)</f>
        <v>0</v>
      </c>
      <c r="I114" s="76">
        <f>SUMIFS('январь 2025'!$G$5:$G$2334,'январь 2025'!$D$5:$D$2334,$B114,'январь 2025'!$J$5:$J$2334,I$1)</f>
        <v>0</v>
      </c>
      <c r="J114" s="76">
        <f>SUMIFS('январь 2025'!$G$5:$G$2334,'январь 2025'!$D$5:$D$2334,$B114,'январь 2025'!$J$5:$J$2334,J$1)</f>
        <v>0</v>
      </c>
      <c r="K114" s="76">
        <f>SUMIFS('январь 2025'!$G$5:$G$2334,'январь 2025'!$D$5:$D$2334,$B114,'январь 2025'!$J$5:$J$2334,K$1)</f>
        <v>0</v>
      </c>
      <c r="L114" s="76">
        <f>SUMIFS('январь 2025'!$G$5:$G$2334,'январь 2025'!$D$5:$D$2334,$B114,'январь 2025'!$J$5:$J$2334,L$1)</f>
        <v>0</v>
      </c>
      <c r="M114" s="76">
        <f>SUMIFS('январь 2025'!$G$5:$G$2334,'январь 2025'!$D$5:$D$2334,$B114,'январь 2025'!$J$5:$J$2334,M$1)</f>
        <v>0</v>
      </c>
      <c r="N114" s="76">
        <f>SUMIFS('январь 2025'!$G$5:$G$2334,'январь 2025'!$D$5:$D$2334,$B114,'январь 2025'!$J$5:$J$2334,N$1)</f>
        <v>0</v>
      </c>
      <c r="O114" s="76">
        <f>SUMIFS('январь 2025'!$G$5:$G$2334,'январь 2025'!$D$5:$D$2334,$B114,'январь 2025'!$J$5:$J$2334,O$1)</f>
        <v>0</v>
      </c>
      <c r="P114" s="76">
        <f>SUMIFS('январь 2025'!$G$5:$G$2334,'январь 2025'!$D$5:$D$2334,$B114,'январь 2025'!$J$5:$J$2334,P$1)</f>
        <v>0</v>
      </c>
      <c r="Q114" s="76">
        <f>SUMIFS('январь 2025'!$G$5:$G$2334,'январь 2025'!$D$5:$D$2334,$B114,'январь 2025'!$J$5:$J$2334,Q$1)</f>
        <v>0</v>
      </c>
      <c r="R114" s="76">
        <f>SUMIFS('январь 2025'!$G$5:$G$2334,'январь 2025'!$D$5:$D$2334,$B114,'январь 2025'!$J$5:$J$2334,R$1)</f>
        <v>0</v>
      </c>
      <c r="S114" s="76">
        <f>SUMIFS('январь 2025'!$G$5:$G$2334,'январь 2025'!$D$5:$D$2334,$B114,'январь 2025'!$J$5:$J$2334,S$1)</f>
        <v>0</v>
      </c>
      <c r="T114" s="76">
        <f>SUMIFS('январь 2025'!$G$5:$G$2334,'январь 2025'!$D$5:$D$2334,$B114,'январь 2025'!$J$5:$J$2334,T$1)</f>
        <v>0</v>
      </c>
      <c r="U114" s="76">
        <f>SUMIFS('январь 2025'!$G$5:$G$2334,'январь 2025'!$D$5:$D$2334,$B114,'январь 2025'!$J$5:$J$2334,U$1)</f>
        <v>0</v>
      </c>
      <c r="V114" s="76">
        <f>SUMIFS('январь 2025'!$G$5:$G$2334,'январь 2025'!$D$5:$D$2334,$B114,'январь 2025'!$J$5:$J$2334,V$1)</f>
        <v>0</v>
      </c>
      <c r="W114" s="76">
        <f>SUMIFS('январь 2025'!$G$5:$G$2334,'январь 2025'!$D$5:$D$2334,$B114,'январь 2025'!$J$5:$J$2334,W$1)</f>
        <v>0</v>
      </c>
      <c r="X114" s="76">
        <f>SUMIFS('январь 2025'!$G$5:$G$2334,'январь 2025'!$D$5:$D$2334,$B114,'январь 2025'!$J$5:$J$2334,X$1)</f>
        <v>0</v>
      </c>
      <c r="Y114" s="76">
        <f>SUMIFS('январь 2025'!$G$5:$G$2334,'январь 2025'!$D$5:$D$2334,$B114,'январь 2025'!$J$5:$J$2334,Y$1)</f>
        <v>0</v>
      </c>
      <c r="Z114" s="76">
        <f>SUMIFS('январь 2025'!$G$5:$G$2334,'январь 2025'!$D$5:$D$2334,$B114,'январь 2025'!$J$5:$J$2334,Z$1)</f>
        <v>0</v>
      </c>
      <c r="AA114" s="76">
        <f>SUMIFS('январь 2025'!$G$5:$G$2334,'январь 2025'!$D$5:$D$2334,$B114,'январь 2025'!$J$5:$J$2334,AA$1)</f>
        <v>0</v>
      </c>
      <c r="AB114" s="76">
        <f>SUMIFS('январь 2025'!$G$5:$G$2334,'январь 2025'!$D$5:$D$2334,$B114,'январь 2025'!$J$5:$J$2334,AB$1)</f>
        <v>0</v>
      </c>
      <c r="AC114" s="76">
        <f>SUMIFS('январь 2025'!$G$5:$G$2334,'январь 2025'!$D$5:$D$2334,$B114,'январь 2025'!$J$5:$J$2334,AC$1)</f>
        <v>0</v>
      </c>
      <c r="AD114" s="76">
        <f>SUMIFS('январь 2025'!$G$5:$G$2334,'январь 2025'!$D$5:$D$2334,$B114,'январь 2025'!$J$5:$J$2334,AD$1)</f>
        <v>0</v>
      </c>
      <c r="AE114" s="76">
        <f>SUMIFS('январь 2025'!$G$5:$G$2334,'январь 2025'!$D$5:$D$2334,$B114,'январь 2025'!$J$5:$J$2334,AE$1)</f>
        <v>0</v>
      </c>
      <c r="AF114" s="76">
        <f>SUMIFS('январь 2025'!$G$5:$G$2334,'январь 2025'!$D$5:$D$2334,$B114,'январь 2025'!$J$5:$J$2334,AF$1)</f>
        <v>0</v>
      </c>
      <c r="AG114" s="76">
        <f>SUMIFS('январь 2025'!$G$5:$G$2334,'январь 2025'!$D$5:$D$2334,$B114,'январь 2025'!$J$5:$J$2334,AG$1)</f>
        <v>0</v>
      </c>
      <c r="AH114" s="76">
        <f>SUMIFS('январь 2025'!$G$5:$G$2334,'январь 2025'!$D$5:$D$2334,$B114,'январь 2025'!$J$5:$J$2334,AH$1)</f>
        <v>0</v>
      </c>
      <c r="AI114" s="20">
        <f t="shared" si="1"/>
        <v>0</v>
      </c>
    </row>
    <row r="115" spans="2:35" ht="15" customHeight="1" x14ac:dyDescent="0.25">
      <c r="B115" s="88" t="s">
        <v>310</v>
      </c>
      <c r="C115" s="86">
        <v>200</v>
      </c>
      <c r="D115" s="76">
        <f>SUMIFS('январь 2025'!$G$5:$G$2334,'январь 2025'!$D$5:$D$2334,$B115,'январь 2025'!$J$5:$J$2334,D$1)</f>
        <v>0</v>
      </c>
      <c r="E115" s="76">
        <f>SUMIFS('январь 2025'!$G$5:$G$2334,'январь 2025'!$D$5:$D$2334,$B115,'январь 2025'!$J$5:$J$2334,E$1)</f>
        <v>0</v>
      </c>
      <c r="F115" s="76">
        <f>SUMIFS('январь 2025'!$G$5:$G$2334,'январь 2025'!$D$5:$D$2334,$B115,'январь 2025'!$J$5:$J$2334,F$1)</f>
        <v>0</v>
      </c>
      <c r="G115" s="76">
        <f>SUMIFS('январь 2025'!$G$5:$G$2334,'январь 2025'!$D$5:$D$2334,$B115,'январь 2025'!$J$5:$J$2334,G$1)</f>
        <v>0</v>
      </c>
      <c r="H115" s="76">
        <f>SUMIFS('январь 2025'!$G$5:$G$2334,'январь 2025'!$D$5:$D$2334,$B115,'январь 2025'!$J$5:$J$2334,H$1)</f>
        <v>0</v>
      </c>
      <c r="I115" s="76">
        <f>SUMIFS('январь 2025'!$G$5:$G$2334,'январь 2025'!$D$5:$D$2334,$B115,'январь 2025'!$J$5:$J$2334,I$1)</f>
        <v>0</v>
      </c>
      <c r="J115" s="76">
        <f>SUMIFS('январь 2025'!$G$5:$G$2334,'январь 2025'!$D$5:$D$2334,$B115,'январь 2025'!$J$5:$J$2334,J$1)</f>
        <v>0</v>
      </c>
      <c r="K115" s="76">
        <f>SUMIFS('январь 2025'!$G$5:$G$2334,'январь 2025'!$D$5:$D$2334,$B115,'январь 2025'!$J$5:$J$2334,K$1)</f>
        <v>0</v>
      </c>
      <c r="L115" s="76">
        <f>SUMIFS('январь 2025'!$G$5:$G$2334,'январь 2025'!$D$5:$D$2334,$B115,'январь 2025'!$J$5:$J$2334,L$1)</f>
        <v>0</v>
      </c>
      <c r="M115" s="76">
        <f>SUMIFS('январь 2025'!$G$5:$G$2334,'январь 2025'!$D$5:$D$2334,$B115,'январь 2025'!$J$5:$J$2334,M$1)</f>
        <v>0</v>
      </c>
      <c r="N115" s="76">
        <f>SUMIFS('январь 2025'!$G$5:$G$2334,'январь 2025'!$D$5:$D$2334,$B115,'январь 2025'!$J$5:$J$2334,N$1)</f>
        <v>0</v>
      </c>
      <c r="O115" s="76">
        <f>SUMIFS('январь 2025'!$G$5:$G$2334,'январь 2025'!$D$5:$D$2334,$B115,'январь 2025'!$J$5:$J$2334,O$1)</f>
        <v>0</v>
      </c>
      <c r="P115" s="76">
        <f>SUMIFS('январь 2025'!$G$5:$G$2334,'январь 2025'!$D$5:$D$2334,$B115,'январь 2025'!$J$5:$J$2334,P$1)</f>
        <v>0</v>
      </c>
      <c r="Q115" s="76">
        <f>SUMIFS('январь 2025'!$G$5:$G$2334,'январь 2025'!$D$5:$D$2334,$B115,'январь 2025'!$J$5:$J$2334,Q$1)</f>
        <v>0</v>
      </c>
      <c r="R115" s="76">
        <f>SUMIFS('январь 2025'!$G$5:$G$2334,'январь 2025'!$D$5:$D$2334,$B115,'январь 2025'!$J$5:$J$2334,R$1)</f>
        <v>0</v>
      </c>
      <c r="S115" s="76">
        <f>SUMIFS('январь 2025'!$G$5:$G$2334,'январь 2025'!$D$5:$D$2334,$B115,'январь 2025'!$J$5:$J$2334,S$1)</f>
        <v>0</v>
      </c>
      <c r="T115" s="76">
        <f>SUMIFS('январь 2025'!$G$5:$G$2334,'январь 2025'!$D$5:$D$2334,$B115,'январь 2025'!$J$5:$J$2334,T$1)</f>
        <v>0</v>
      </c>
      <c r="U115" s="76">
        <f>SUMIFS('январь 2025'!$G$5:$G$2334,'январь 2025'!$D$5:$D$2334,$B115,'январь 2025'!$J$5:$J$2334,U$1)</f>
        <v>0</v>
      </c>
      <c r="V115" s="76">
        <f>SUMIFS('январь 2025'!$G$5:$G$2334,'январь 2025'!$D$5:$D$2334,$B115,'январь 2025'!$J$5:$J$2334,V$1)</f>
        <v>0</v>
      </c>
      <c r="W115" s="76">
        <f>SUMIFS('январь 2025'!$G$5:$G$2334,'январь 2025'!$D$5:$D$2334,$B115,'январь 2025'!$J$5:$J$2334,W$1)</f>
        <v>0</v>
      </c>
      <c r="X115" s="76">
        <f>SUMIFS('январь 2025'!$G$5:$G$2334,'январь 2025'!$D$5:$D$2334,$B115,'январь 2025'!$J$5:$J$2334,X$1)</f>
        <v>0</v>
      </c>
      <c r="Y115" s="76">
        <f>SUMIFS('январь 2025'!$G$5:$G$2334,'январь 2025'!$D$5:$D$2334,$B115,'январь 2025'!$J$5:$J$2334,Y$1)</f>
        <v>0</v>
      </c>
      <c r="Z115" s="76">
        <f>SUMIFS('январь 2025'!$G$5:$G$2334,'январь 2025'!$D$5:$D$2334,$B115,'январь 2025'!$J$5:$J$2334,Z$1)</f>
        <v>0</v>
      </c>
      <c r="AA115" s="76">
        <f>SUMIFS('январь 2025'!$G$5:$G$2334,'январь 2025'!$D$5:$D$2334,$B115,'январь 2025'!$J$5:$J$2334,AA$1)</f>
        <v>0</v>
      </c>
      <c r="AB115" s="76">
        <f>SUMIFS('январь 2025'!$G$5:$G$2334,'январь 2025'!$D$5:$D$2334,$B115,'январь 2025'!$J$5:$J$2334,AB$1)</f>
        <v>0</v>
      </c>
      <c r="AC115" s="76">
        <f>SUMIFS('январь 2025'!$G$5:$G$2334,'январь 2025'!$D$5:$D$2334,$B115,'январь 2025'!$J$5:$J$2334,AC$1)</f>
        <v>0</v>
      </c>
      <c r="AD115" s="76">
        <f>SUMIFS('январь 2025'!$G$5:$G$2334,'январь 2025'!$D$5:$D$2334,$B115,'январь 2025'!$J$5:$J$2334,AD$1)</f>
        <v>0</v>
      </c>
      <c r="AE115" s="76">
        <f>SUMIFS('январь 2025'!$G$5:$G$2334,'январь 2025'!$D$5:$D$2334,$B115,'январь 2025'!$J$5:$J$2334,AE$1)</f>
        <v>0</v>
      </c>
      <c r="AF115" s="76">
        <f>SUMIFS('январь 2025'!$G$5:$G$2334,'январь 2025'!$D$5:$D$2334,$B115,'январь 2025'!$J$5:$J$2334,AF$1)</f>
        <v>0</v>
      </c>
      <c r="AG115" s="76">
        <f>SUMIFS('январь 2025'!$G$5:$G$2334,'январь 2025'!$D$5:$D$2334,$B115,'январь 2025'!$J$5:$J$2334,AG$1)</f>
        <v>0</v>
      </c>
      <c r="AH115" s="76">
        <f>SUMIFS('январь 2025'!$G$5:$G$2334,'январь 2025'!$D$5:$D$2334,$B115,'январь 2025'!$J$5:$J$2334,AH$1)</f>
        <v>0</v>
      </c>
      <c r="AI115" s="20">
        <f t="shared" si="1"/>
        <v>0</v>
      </c>
    </row>
    <row r="116" spans="2:35" ht="15" customHeight="1" x14ac:dyDescent="0.25">
      <c r="B116" s="88" t="s">
        <v>265</v>
      </c>
      <c r="C116" s="86">
        <v>180</v>
      </c>
      <c r="D116" s="76">
        <f>SUMIFS('январь 2025'!$G$5:$G$2334,'январь 2025'!$D$5:$D$2334,$B116,'январь 2025'!$J$5:$J$2334,D$1)</f>
        <v>0</v>
      </c>
      <c r="E116" s="76">
        <f>SUMIFS('январь 2025'!$G$5:$G$2334,'январь 2025'!$D$5:$D$2334,$B116,'январь 2025'!$J$5:$J$2334,E$1)</f>
        <v>0</v>
      </c>
      <c r="F116" s="76">
        <f>SUMIFS('январь 2025'!$G$5:$G$2334,'январь 2025'!$D$5:$D$2334,$B116,'январь 2025'!$J$5:$J$2334,F$1)</f>
        <v>0</v>
      </c>
      <c r="G116" s="76">
        <f>SUMIFS('январь 2025'!$G$5:$G$2334,'январь 2025'!$D$5:$D$2334,$B116,'январь 2025'!$J$5:$J$2334,G$1)</f>
        <v>0</v>
      </c>
      <c r="H116" s="76">
        <f>SUMIFS('январь 2025'!$G$5:$G$2334,'январь 2025'!$D$5:$D$2334,$B116,'январь 2025'!$J$5:$J$2334,H$1)</f>
        <v>0</v>
      </c>
      <c r="I116" s="76">
        <f>SUMIFS('январь 2025'!$G$5:$G$2334,'январь 2025'!$D$5:$D$2334,$B116,'январь 2025'!$J$5:$J$2334,I$1)</f>
        <v>0</v>
      </c>
      <c r="J116" s="76">
        <f>SUMIFS('январь 2025'!$G$5:$G$2334,'январь 2025'!$D$5:$D$2334,$B116,'январь 2025'!$J$5:$J$2334,J$1)</f>
        <v>0</v>
      </c>
      <c r="K116" s="76">
        <f>SUMIFS('январь 2025'!$G$5:$G$2334,'январь 2025'!$D$5:$D$2334,$B116,'январь 2025'!$J$5:$J$2334,K$1)</f>
        <v>0</v>
      </c>
      <c r="L116" s="76">
        <f>SUMIFS('январь 2025'!$G$5:$G$2334,'январь 2025'!$D$5:$D$2334,$B116,'январь 2025'!$J$5:$J$2334,L$1)</f>
        <v>0</v>
      </c>
      <c r="M116" s="76">
        <f>SUMIFS('январь 2025'!$G$5:$G$2334,'январь 2025'!$D$5:$D$2334,$B116,'январь 2025'!$J$5:$J$2334,M$1)</f>
        <v>0</v>
      </c>
      <c r="N116" s="76">
        <f>SUMIFS('январь 2025'!$G$5:$G$2334,'январь 2025'!$D$5:$D$2334,$B116,'январь 2025'!$J$5:$J$2334,N$1)</f>
        <v>0</v>
      </c>
      <c r="O116" s="76">
        <f>SUMIFS('январь 2025'!$G$5:$G$2334,'январь 2025'!$D$5:$D$2334,$B116,'январь 2025'!$J$5:$J$2334,O$1)</f>
        <v>0</v>
      </c>
      <c r="P116" s="76">
        <f>SUMIFS('январь 2025'!$G$5:$G$2334,'январь 2025'!$D$5:$D$2334,$B116,'январь 2025'!$J$5:$J$2334,P$1)</f>
        <v>0</v>
      </c>
      <c r="Q116" s="76">
        <f>SUMIFS('январь 2025'!$G$5:$G$2334,'январь 2025'!$D$5:$D$2334,$B116,'январь 2025'!$J$5:$J$2334,Q$1)</f>
        <v>0</v>
      </c>
      <c r="R116" s="76">
        <f>SUMIFS('январь 2025'!$G$5:$G$2334,'январь 2025'!$D$5:$D$2334,$B116,'январь 2025'!$J$5:$J$2334,R$1)</f>
        <v>0</v>
      </c>
      <c r="S116" s="76">
        <f>SUMIFS('январь 2025'!$G$5:$G$2334,'январь 2025'!$D$5:$D$2334,$B116,'январь 2025'!$J$5:$J$2334,S$1)</f>
        <v>0</v>
      </c>
      <c r="T116" s="76">
        <f>SUMIFS('январь 2025'!$G$5:$G$2334,'январь 2025'!$D$5:$D$2334,$B116,'январь 2025'!$J$5:$J$2334,T$1)</f>
        <v>0</v>
      </c>
      <c r="U116" s="76">
        <f>SUMIFS('январь 2025'!$G$5:$G$2334,'январь 2025'!$D$5:$D$2334,$B116,'январь 2025'!$J$5:$J$2334,U$1)</f>
        <v>0</v>
      </c>
      <c r="V116" s="76">
        <f>SUMIFS('январь 2025'!$G$5:$G$2334,'январь 2025'!$D$5:$D$2334,$B116,'январь 2025'!$J$5:$J$2334,V$1)</f>
        <v>0</v>
      </c>
      <c r="W116" s="76">
        <f>SUMIFS('январь 2025'!$G$5:$G$2334,'январь 2025'!$D$5:$D$2334,$B116,'январь 2025'!$J$5:$J$2334,W$1)</f>
        <v>0</v>
      </c>
      <c r="X116" s="76">
        <f>SUMIFS('январь 2025'!$G$5:$G$2334,'январь 2025'!$D$5:$D$2334,$B116,'январь 2025'!$J$5:$J$2334,X$1)</f>
        <v>0</v>
      </c>
      <c r="Y116" s="76">
        <f>SUMIFS('январь 2025'!$G$5:$G$2334,'январь 2025'!$D$5:$D$2334,$B116,'январь 2025'!$J$5:$J$2334,Y$1)</f>
        <v>0</v>
      </c>
      <c r="Z116" s="76">
        <f>SUMIFS('январь 2025'!$G$5:$G$2334,'январь 2025'!$D$5:$D$2334,$B116,'январь 2025'!$J$5:$J$2334,Z$1)</f>
        <v>0</v>
      </c>
      <c r="AA116" s="76">
        <f>SUMIFS('январь 2025'!$G$5:$G$2334,'январь 2025'!$D$5:$D$2334,$B116,'январь 2025'!$J$5:$J$2334,AA$1)</f>
        <v>0</v>
      </c>
      <c r="AB116" s="76">
        <f>SUMIFS('январь 2025'!$G$5:$G$2334,'январь 2025'!$D$5:$D$2334,$B116,'январь 2025'!$J$5:$J$2334,AB$1)</f>
        <v>0</v>
      </c>
      <c r="AC116" s="76">
        <f>SUMIFS('январь 2025'!$G$5:$G$2334,'январь 2025'!$D$5:$D$2334,$B116,'январь 2025'!$J$5:$J$2334,AC$1)</f>
        <v>0</v>
      </c>
      <c r="AD116" s="76">
        <f>SUMIFS('январь 2025'!$G$5:$G$2334,'январь 2025'!$D$5:$D$2334,$B116,'январь 2025'!$J$5:$J$2334,AD$1)</f>
        <v>0</v>
      </c>
      <c r="AE116" s="76">
        <f>SUMIFS('январь 2025'!$G$5:$G$2334,'январь 2025'!$D$5:$D$2334,$B116,'январь 2025'!$J$5:$J$2334,AE$1)</f>
        <v>0</v>
      </c>
      <c r="AF116" s="76">
        <f>SUMIFS('январь 2025'!$G$5:$G$2334,'январь 2025'!$D$5:$D$2334,$B116,'январь 2025'!$J$5:$J$2334,AF$1)</f>
        <v>0</v>
      </c>
      <c r="AG116" s="76">
        <f>SUMIFS('январь 2025'!$G$5:$G$2334,'январь 2025'!$D$5:$D$2334,$B116,'январь 2025'!$J$5:$J$2334,AG$1)</f>
        <v>0</v>
      </c>
      <c r="AH116" s="76">
        <f>SUMIFS('январь 2025'!$G$5:$G$2334,'январь 2025'!$D$5:$D$2334,$B116,'январь 2025'!$J$5:$J$2334,AH$1)</f>
        <v>0</v>
      </c>
      <c r="AI116" s="20">
        <f t="shared" si="1"/>
        <v>0</v>
      </c>
    </row>
    <row r="117" spans="2:35" ht="15" customHeight="1" x14ac:dyDescent="0.25">
      <c r="B117" s="88" t="s">
        <v>326</v>
      </c>
      <c r="C117" s="86">
        <v>200</v>
      </c>
      <c r="D117" s="76">
        <f>SUMIFS('январь 2025'!$G$5:$G$2334,'январь 2025'!$D$5:$D$2334,$B117,'январь 2025'!$J$5:$J$2334,D$1)</f>
        <v>0</v>
      </c>
      <c r="E117" s="76">
        <f>SUMIFS('январь 2025'!$G$5:$G$2334,'январь 2025'!$D$5:$D$2334,$B117,'январь 2025'!$J$5:$J$2334,E$1)</f>
        <v>0</v>
      </c>
      <c r="F117" s="76">
        <f>SUMIFS('январь 2025'!$G$5:$G$2334,'январь 2025'!$D$5:$D$2334,$B117,'январь 2025'!$J$5:$J$2334,F$1)</f>
        <v>0</v>
      </c>
      <c r="G117" s="76">
        <f>SUMIFS('январь 2025'!$G$5:$G$2334,'январь 2025'!$D$5:$D$2334,$B117,'январь 2025'!$J$5:$J$2334,G$1)</f>
        <v>0</v>
      </c>
      <c r="H117" s="76">
        <f>SUMIFS('январь 2025'!$G$5:$G$2334,'январь 2025'!$D$5:$D$2334,$B117,'январь 2025'!$J$5:$J$2334,H$1)</f>
        <v>0</v>
      </c>
      <c r="I117" s="76">
        <f>SUMIFS('январь 2025'!$G$5:$G$2334,'январь 2025'!$D$5:$D$2334,$B117,'январь 2025'!$J$5:$J$2334,I$1)</f>
        <v>0</v>
      </c>
      <c r="J117" s="76">
        <f>SUMIFS('январь 2025'!$G$5:$G$2334,'январь 2025'!$D$5:$D$2334,$B117,'январь 2025'!$J$5:$J$2334,J$1)</f>
        <v>0</v>
      </c>
      <c r="K117" s="76">
        <f>SUMIFS('январь 2025'!$G$5:$G$2334,'январь 2025'!$D$5:$D$2334,$B117,'январь 2025'!$J$5:$J$2334,K$1)</f>
        <v>0</v>
      </c>
      <c r="L117" s="76">
        <f>SUMIFS('январь 2025'!$G$5:$G$2334,'январь 2025'!$D$5:$D$2334,$B117,'январь 2025'!$J$5:$J$2334,L$1)</f>
        <v>0</v>
      </c>
      <c r="M117" s="76">
        <f>SUMIFS('январь 2025'!$G$5:$G$2334,'январь 2025'!$D$5:$D$2334,$B117,'январь 2025'!$J$5:$J$2334,M$1)</f>
        <v>0</v>
      </c>
      <c r="N117" s="76">
        <f>SUMIFS('январь 2025'!$G$5:$G$2334,'январь 2025'!$D$5:$D$2334,$B117,'январь 2025'!$J$5:$J$2334,N$1)</f>
        <v>0</v>
      </c>
      <c r="O117" s="76">
        <f>SUMIFS('январь 2025'!$G$5:$G$2334,'январь 2025'!$D$5:$D$2334,$B117,'январь 2025'!$J$5:$J$2334,O$1)</f>
        <v>0</v>
      </c>
      <c r="P117" s="76">
        <f>SUMIFS('январь 2025'!$G$5:$G$2334,'январь 2025'!$D$5:$D$2334,$B117,'январь 2025'!$J$5:$J$2334,P$1)</f>
        <v>0</v>
      </c>
      <c r="Q117" s="76">
        <f>SUMIFS('январь 2025'!$G$5:$G$2334,'январь 2025'!$D$5:$D$2334,$B117,'январь 2025'!$J$5:$J$2334,Q$1)</f>
        <v>0</v>
      </c>
      <c r="R117" s="76">
        <f>SUMIFS('январь 2025'!$G$5:$G$2334,'январь 2025'!$D$5:$D$2334,$B117,'январь 2025'!$J$5:$J$2334,R$1)</f>
        <v>0</v>
      </c>
      <c r="S117" s="76">
        <f>SUMIFS('январь 2025'!$G$5:$G$2334,'январь 2025'!$D$5:$D$2334,$B117,'январь 2025'!$J$5:$J$2334,S$1)</f>
        <v>0</v>
      </c>
      <c r="T117" s="76">
        <f>SUMIFS('январь 2025'!$G$5:$G$2334,'январь 2025'!$D$5:$D$2334,$B117,'январь 2025'!$J$5:$J$2334,T$1)</f>
        <v>0</v>
      </c>
      <c r="U117" s="76">
        <f>SUMIFS('январь 2025'!$G$5:$G$2334,'январь 2025'!$D$5:$D$2334,$B117,'январь 2025'!$J$5:$J$2334,U$1)</f>
        <v>0</v>
      </c>
      <c r="V117" s="76">
        <f>SUMIFS('январь 2025'!$G$5:$G$2334,'январь 2025'!$D$5:$D$2334,$B117,'январь 2025'!$J$5:$J$2334,V$1)</f>
        <v>0</v>
      </c>
      <c r="W117" s="76">
        <f>SUMIFS('январь 2025'!$G$5:$G$2334,'январь 2025'!$D$5:$D$2334,$B117,'январь 2025'!$J$5:$J$2334,W$1)</f>
        <v>0</v>
      </c>
      <c r="X117" s="76">
        <f>SUMIFS('январь 2025'!$G$5:$G$2334,'январь 2025'!$D$5:$D$2334,$B117,'январь 2025'!$J$5:$J$2334,X$1)</f>
        <v>0</v>
      </c>
      <c r="Y117" s="76">
        <f>SUMIFS('январь 2025'!$G$5:$G$2334,'январь 2025'!$D$5:$D$2334,$B117,'январь 2025'!$J$5:$J$2334,Y$1)</f>
        <v>0</v>
      </c>
      <c r="Z117" s="76">
        <f>SUMIFS('январь 2025'!$G$5:$G$2334,'январь 2025'!$D$5:$D$2334,$B117,'январь 2025'!$J$5:$J$2334,Z$1)</f>
        <v>0</v>
      </c>
      <c r="AA117" s="76">
        <f>SUMIFS('январь 2025'!$G$5:$G$2334,'январь 2025'!$D$5:$D$2334,$B117,'январь 2025'!$J$5:$J$2334,AA$1)</f>
        <v>0</v>
      </c>
      <c r="AB117" s="76">
        <f>SUMIFS('январь 2025'!$G$5:$G$2334,'январь 2025'!$D$5:$D$2334,$B117,'январь 2025'!$J$5:$J$2334,AB$1)</f>
        <v>0</v>
      </c>
      <c r="AC117" s="76">
        <f>SUMIFS('январь 2025'!$G$5:$G$2334,'январь 2025'!$D$5:$D$2334,$B117,'январь 2025'!$J$5:$J$2334,AC$1)</f>
        <v>0</v>
      </c>
      <c r="AD117" s="76">
        <f>SUMIFS('январь 2025'!$G$5:$G$2334,'январь 2025'!$D$5:$D$2334,$B117,'январь 2025'!$J$5:$J$2334,AD$1)</f>
        <v>0</v>
      </c>
      <c r="AE117" s="76">
        <f>SUMIFS('январь 2025'!$G$5:$G$2334,'январь 2025'!$D$5:$D$2334,$B117,'январь 2025'!$J$5:$J$2334,AE$1)</f>
        <v>0</v>
      </c>
      <c r="AF117" s="76">
        <f>SUMIFS('январь 2025'!$G$5:$G$2334,'январь 2025'!$D$5:$D$2334,$B117,'январь 2025'!$J$5:$J$2334,AF$1)</f>
        <v>0</v>
      </c>
      <c r="AG117" s="76">
        <f>SUMIFS('январь 2025'!$G$5:$G$2334,'январь 2025'!$D$5:$D$2334,$B117,'январь 2025'!$J$5:$J$2334,AG$1)</f>
        <v>0</v>
      </c>
      <c r="AH117" s="76">
        <f>SUMIFS('январь 2025'!$G$5:$G$2334,'январь 2025'!$D$5:$D$2334,$B117,'январь 2025'!$J$5:$J$2334,AH$1)</f>
        <v>0</v>
      </c>
      <c r="AI117" s="20">
        <f t="shared" si="1"/>
        <v>0</v>
      </c>
    </row>
    <row r="118" spans="2:35" ht="15" customHeight="1" x14ac:dyDescent="0.25">
      <c r="B118" s="88" t="s">
        <v>280</v>
      </c>
      <c r="C118" s="86">
        <v>185</v>
      </c>
      <c r="D118" s="76">
        <f>SUMIFS('январь 2025'!$G$5:$G$2334,'январь 2025'!$D$5:$D$2334,$B118,'январь 2025'!$J$5:$J$2334,D$1)</f>
        <v>0</v>
      </c>
      <c r="E118" s="76">
        <f>SUMIFS('январь 2025'!$G$5:$G$2334,'январь 2025'!$D$5:$D$2334,$B118,'январь 2025'!$J$5:$J$2334,E$1)</f>
        <v>0</v>
      </c>
      <c r="F118" s="76">
        <f>SUMIFS('январь 2025'!$G$5:$G$2334,'январь 2025'!$D$5:$D$2334,$B118,'январь 2025'!$J$5:$J$2334,F$1)</f>
        <v>0</v>
      </c>
      <c r="G118" s="76">
        <f>SUMIFS('январь 2025'!$G$5:$G$2334,'январь 2025'!$D$5:$D$2334,$B118,'январь 2025'!$J$5:$J$2334,G$1)</f>
        <v>0</v>
      </c>
      <c r="H118" s="76">
        <f>SUMIFS('январь 2025'!$G$5:$G$2334,'январь 2025'!$D$5:$D$2334,$B118,'январь 2025'!$J$5:$J$2334,H$1)</f>
        <v>0</v>
      </c>
      <c r="I118" s="76">
        <f>SUMIFS('январь 2025'!$G$5:$G$2334,'январь 2025'!$D$5:$D$2334,$B118,'январь 2025'!$J$5:$J$2334,I$1)</f>
        <v>0</v>
      </c>
      <c r="J118" s="76">
        <f>SUMIFS('январь 2025'!$G$5:$G$2334,'январь 2025'!$D$5:$D$2334,$B118,'январь 2025'!$J$5:$J$2334,J$1)</f>
        <v>0</v>
      </c>
      <c r="K118" s="76">
        <f>SUMIFS('январь 2025'!$G$5:$G$2334,'январь 2025'!$D$5:$D$2334,$B118,'январь 2025'!$J$5:$J$2334,K$1)</f>
        <v>0</v>
      </c>
      <c r="L118" s="76">
        <f>SUMIFS('январь 2025'!$G$5:$G$2334,'январь 2025'!$D$5:$D$2334,$B118,'январь 2025'!$J$5:$J$2334,L$1)</f>
        <v>0</v>
      </c>
      <c r="M118" s="76">
        <f>SUMIFS('январь 2025'!$G$5:$G$2334,'январь 2025'!$D$5:$D$2334,$B118,'январь 2025'!$J$5:$J$2334,M$1)</f>
        <v>0</v>
      </c>
      <c r="N118" s="76">
        <f>SUMIFS('январь 2025'!$G$5:$G$2334,'январь 2025'!$D$5:$D$2334,$B118,'январь 2025'!$J$5:$J$2334,N$1)</f>
        <v>0</v>
      </c>
      <c r="O118" s="76">
        <f>SUMIFS('январь 2025'!$G$5:$G$2334,'январь 2025'!$D$5:$D$2334,$B118,'январь 2025'!$J$5:$J$2334,O$1)</f>
        <v>0</v>
      </c>
      <c r="P118" s="76">
        <f>SUMIFS('январь 2025'!$G$5:$G$2334,'январь 2025'!$D$5:$D$2334,$B118,'январь 2025'!$J$5:$J$2334,P$1)</f>
        <v>0</v>
      </c>
      <c r="Q118" s="76">
        <f>SUMIFS('январь 2025'!$G$5:$G$2334,'январь 2025'!$D$5:$D$2334,$B118,'январь 2025'!$J$5:$J$2334,Q$1)</f>
        <v>0</v>
      </c>
      <c r="R118" s="76">
        <f>SUMIFS('январь 2025'!$G$5:$G$2334,'январь 2025'!$D$5:$D$2334,$B118,'январь 2025'!$J$5:$J$2334,R$1)</f>
        <v>0</v>
      </c>
      <c r="S118" s="76">
        <f>SUMIFS('январь 2025'!$G$5:$G$2334,'январь 2025'!$D$5:$D$2334,$B118,'январь 2025'!$J$5:$J$2334,S$1)</f>
        <v>0</v>
      </c>
      <c r="T118" s="76">
        <f>SUMIFS('январь 2025'!$G$5:$G$2334,'январь 2025'!$D$5:$D$2334,$B118,'январь 2025'!$J$5:$J$2334,T$1)</f>
        <v>0</v>
      </c>
      <c r="U118" s="76">
        <f>SUMIFS('январь 2025'!$G$5:$G$2334,'январь 2025'!$D$5:$D$2334,$B118,'январь 2025'!$J$5:$J$2334,U$1)</f>
        <v>0</v>
      </c>
      <c r="V118" s="76">
        <f>SUMIFS('январь 2025'!$G$5:$G$2334,'январь 2025'!$D$5:$D$2334,$B118,'январь 2025'!$J$5:$J$2334,V$1)</f>
        <v>0</v>
      </c>
      <c r="W118" s="76">
        <f>SUMIFS('январь 2025'!$G$5:$G$2334,'январь 2025'!$D$5:$D$2334,$B118,'январь 2025'!$J$5:$J$2334,W$1)</f>
        <v>0</v>
      </c>
      <c r="X118" s="76">
        <f>SUMIFS('январь 2025'!$G$5:$G$2334,'январь 2025'!$D$5:$D$2334,$B118,'январь 2025'!$J$5:$J$2334,X$1)</f>
        <v>0</v>
      </c>
      <c r="Y118" s="76">
        <f>SUMIFS('январь 2025'!$G$5:$G$2334,'январь 2025'!$D$5:$D$2334,$B118,'январь 2025'!$J$5:$J$2334,Y$1)</f>
        <v>0</v>
      </c>
      <c r="Z118" s="76">
        <f>SUMIFS('январь 2025'!$G$5:$G$2334,'январь 2025'!$D$5:$D$2334,$B118,'январь 2025'!$J$5:$J$2334,Z$1)</f>
        <v>0</v>
      </c>
      <c r="AA118" s="76">
        <f>SUMIFS('январь 2025'!$G$5:$G$2334,'январь 2025'!$D$5:$D$2334,$B118,'январь 2025'!$J$5:$J$2334,AA$1)</f>
        <v>0</v>
      </c>
      <c r="AB118" s="76">
        <f>SUMIFS('январь 2025'!$G$5:$G$2334,'январь 2025'!$D$5:$D$2334,$B118,'январь 2025'!$J$5:$J$2334,AB$1)</f>
        <v>0</v>
      </c>
      <c r="AC118" s="76">
        <f>SUMIFS('январь 2025'!$G$5:$G$2334,'январь 2025'!$D$5:$D$2334,$B118,'январь 2025'!$J$5:$J$2334,AC$1)</f>
        <v>0</v>
      </c>
      <c r="AD118" s="76">
        <f>SUMIFS('январь 2025'!$G$5:$G$2334,'январь 2025'!$D$5:$D$2334,$B118,'январь 2025'!$J$5:$J$2334,AD$1)</f>
        <v>0</v>
      </c>
      <c r="AE118" s="76">
        <f>SUMIFS('январь 2025'!$G$5:$G$2334,'январь 2025'!$D$5:$D$2334,$B118,'январь 2025'!$J$5:$J$2334,AE$1)</f>
        <v>0</v>
      </c>
      <c r="AF118" s="76">
        <f>SUMIFS('январь 2025'!$G$5:$G$2334,'январь 2025'!$D$5:$D$2334,$B118,'январь 2025'!$J$5:$J$2334,AF$1)</f>
        <v>0</v>
      </c>
      <c r="AG118" s="76">
        <f>SUMIFS('январь 2025'!$G$5:$G$2334,'январь 2025'!$D$5:$D$2334,$B118,'январь 2025'!$J$5:$J$2334,AG$1)</f>
        <v>0</v>
      </c>
      <c r="AH118" s="76">
        <f>SUMIFS('январь 2025'!$G$5:$G$2334,'январь 2025'!$D$5:$D$2334,$B118,'январь 2025'!$J$5:$J$2334,AH$1)</f>
        <v>0</v>
      </c>
      <c r="AI118" s="20">
        <f t="shared" si="1"/>
        <v>0</v>
      </c>
    </row>
    <row r="119" spans="2:35" ht="15" customHeight="1" x14ac:dyDescent="0.25">
      <c r="B119" s="88" t="s">
        <v>283</v>
      </c>
      <c r="C119" s="86">
        <v>185</v>
      </c>
      <c r="D119" s="76">
        <f>SUMIFS('январь 2025'!$G$5:$G$2334,'январь 2025'!$D$5:$D$2334,$B119,'январь 2025'!$J$5:$J$2334,D$1)</f>
        <v>0</v>
      </c>
      <c r="E119" s="76">
        <f>SUMIFS('январь 2025'!$G$5:$G$2334,'январь 2025'!$D$5:$D$2334,$B119,'январь 2025'!$J$5:$J$2334,E$1)</f>
        <v>0</v>
      </c>
      <c r="F119" s="76">
        <f>SUMIFS('январь 2025'!$G$5:$G$2334,'январь 2025'!$D$5:$D$2334,$B119,'январь 2025'!$J$5:$J$2334,F$1)</f>
        <v>0</v>
      </c>
      <c r="G119" s="76">
        <f>SUMIFS('январь 2025'!$G$5:$G$2334,'январь 2025'!$D$5:$D$2334,$B119,'январь 2025'!$J$5:$J$2334,G$1)</f>
        <v>0</v>
      </c>
      <c r="H119" s="76">
        <f>SUMIFS('январь 2025'!$G$5:$G$2334,'январь 2025'!$D$5:$D$2334,$B119,'январь 2025'!$J$5:$J$2334,H$1)</f>
        <v>0</v>
      </c>
      <c r="I119" s="76">
        <f>SUMIFS('январь 2025'!$G$5:$G$2334,'январь 2025'!$D$5:$D$2334,$B119,'январь 2025'!$J$5:$J$2334,I$1)</f>
        <v>0</v>
      </c>
      <c r="J119" s="76">
        <f>SUMIFS('январь 2025'!$G$5:$G$2334,'январь 2025'!$D$5:$D$2334,$B119,'январь 2025'!$J$5:$J$2334,J$1)</f>
        <v>0</v>
      </c>
      <c r="K119" s="76">
        <f>SUMIFS('январь 2025'!$G$5:$G$2334,'январь 2025'!$D$5:$D$2334,$B119,'январь 2025'!$J$5:$J$2334,K$1)</f>
        <v>0</v>
      </c>
      <c r="L119" s="76">
        <f>SUMIFS('январь 2025'!$G$5:$G$2334,'январь 2025'!$D$5:$D$2334,$B119,'январь 2025'!$J$5:$J$2334,L$1)</f>
        <v>0</v>
      </c>
      <c r="M119" s="76">
        <f>SUMIFS('январь 2025'!$G$5:$G$2334,'январь 2025'!$D$5:$D$2334,$B119,'январь 2025'!$J$5:$J$2334,M$1)</f>
        <v>0</v>
      </c>
      <c r="N119" s="76">
        <f>SUMIFS('январь 2025'!$G$5:$G$2334,'январь 2025'!$D$5:$D$2334,$B119,'январь 2025'!$J$5:$J$2334,N$1)</f>
        <v>0</v>
      </c>
      <c r="O119" s="76">
        <f>SUMIFS('январь 2025'!$G$5:$G$2334,'январь 2025'!$D$5:$D$2334,$B119,'январь 2025'!$J$5:$J$2334,O$1)</f>
        <v>0</v>
      </c>
      <c r="P119" s="76">
        <f>SUMIFS('январь 2025'!$G$5:$G$2334,'январь 2025'!$D$5:$D$2334,$B119,'январь 2025'!$J$5:$J$2334,P$1)</f>
        <v>0</v>
      </c>
      <c r="Q119" s="76">
        <f>SUMIFS('январь 2025'!$G$5:$G$2334,'январь 2025'!$D$5:$D$2334,$B119,'январь 2025'!$J$5:$J$2334,Q$1)</f>
        <v>0</v>
      </c>
      <c r="R119" s="76">
        <f>SUMIFS('январь 2025'!$G$5:$G$2334,'январь 2025'!$D$5:$D$2334,$B119,'январь 2025'!$J$5:$J$2334,R$1)</f>
        <v>0</v>
      </c>
      <c r="S119" s="76">
        <f>SUMIFS('январь 2025'!$G$5:$G$2334,'январь 2025'!$D$5:$D$2334,$B119,'январь 2025'!$J$5:$J$2334,S$1)</f>
        <v>0</v>
      </c>
      <c r="T119" s="76">
        <f>SUMIFS('январь 2025'!$G$5:$G$2334,'январь 2025'!$D$5:$D$2334,$B119,'январь 2025'!$J$5:$J$2334,T$1)</f>
        <v>0</v>
      </c>
      <c r="U119" s="76">
        <f>SUMIFS('январь 2025'!$G$5:$G$2334,'январь 2025'!$D$5:$D$2334,$B119,'январь 2025'!$J$5:$J$2334,U$1)</f>
        <v>0</v>
      </c>
      <c r="V119" s="76">
        <f>SUMIFS('январь 2025'!$G$5:$G$2334,'январь 2025'!$D$5:$D$2334,$B119,'январь 2025'!$J$5:$J$2334,V$1)</f>
        <v>0</v>
      </c>
      <c r="W119" s="76">
        <f>SUMIFS('январь 2025'!$G$5:$G$2334,'январь 2025'!$D$5:$D$2334,$B119,'январь 2025'!$J$5:$J$2334,W$1)</f>
        <v>0</v>
      </c>
      <c r="X119" s="76">
        <f>SUMIFS('январь 2025'!$G$5:$G$2334,'январь 2025'!$D$5:$D$2334,$B119,'январь 2025'!$J$5:$J$2334,X$1)</f>
        <v>0</v>
      </c>
      <c r="Y119" s="76">
        <f>SUMIFS('январь 2025'!$G$5:$G$2334,'январь 2025'!$D$5:$D$2334,$B119,'январь 2025'!$J$5:$J$2334,Y$1)</f>
        <v>0</v>
      </c>
      <c r="Z119" s="76">
        <f>SUMIFS('январь 2025'!$G$5:$G$2334,'январь 2025'!$D$5:$D$2334,$B119,'январь 2025'!$J$5:$J$2334,Z$1)</f>
        <v>0</v>
      </c>
      <c r="AA119" s="76">
        <f>SUMIFS('январь 2025'!$G$5:$G$2334,'январь 2025'!$D$5:$D$2334,$B119,'январь 2025'!$J$5:$J$2334,AA$1)</f>
        <v>0</v>
      </c>
      <c r="AB119" s="76">
        <f>SUMIFS('январь 2025'!$G$5:$G$2334,'январь 2025'!$D$5:$D$2334,$B119,'январь 2025'!$J$5:$J$2334,AB$1)</f>
        <v>0</v>
      </c>
      <c r="AC119" s="76">
        <f>SUMIFS('январь 2025'!$G$5:$G$2334,'январь 2025'!$D$5:$D$2334,$B119,'январь 2025'!$J$5:$J$2334,AC$1)</f>
        <v>0</v>
      </c>
      <c r="AD119" s="76">
        <f>SUMIFS('январь 2025'!$G$5:$G$2334,'январь 2025'!$D$5:$D$2334,$B119,'январь 2025'!$J$5:$J$2334,AD$1)</f>
        <v>0</v>
      </c>
      <c r="AE119" s="76">
        <f>SUMIFS('январь 2025'!$G$5:$G$2334,'январь 2025'!$D$5:$D$2334,$B119,'январь 2025'!$J$5:$J$2334,AE$1)</f>
        <v>0</v>
      </c>
      <c r="AF119" s="76">
        <f>SUMIFS('январь 2025'!$G$5:$G$2334,'январь 2025'!$D$5:$D$2334,$B119,'январь 2025'!$J$5:$J$2334,AF$1)</f>
        <v>0</v>
      </c>
      <c r="AG119" s="76">
        <f>SUMIFS('январь 2025'!$G$5:$G$2334,'январь 2025'!$D$5:$D$2334,$B119,'январь 2025'!$J$5:$J$2334,AG$1)</f>
        <v>0</v>
      </c>
      <c r="AH119" s="76">
        <f>SUMIFS('январь 2025'!$G$5:$G$2334,'январь 2025'!$D$5:$D$2334,$B119,'январь 2025'!$J$5:$J$2334,AH$1)</f>
        <v>0</v>
      </c>
      <c r="AI119" s="20">
        <f t="shared" si="1"/>
        <v>0</v>
      </c>
    </row>
    <row r="120" spans="2:35" ht="15" customHeight="1" x14ac:dyDescent="0.25">
      <c r="B120" s="88" t="s">
        <v>266</v>
      </c>
      <c r="C120" s="86">
        <v>180</v>
      </c>
      <c r="D120" s="76">
        <f>SUMIFS('январь 2025'!$G$5:$G$2334,'январь 2025'!$D$5:$D$2334,$B120,'январь 2025'!$J$5:$J$2334,D$1)</f>
        <v>0</v>
      </c>
      <c r="E120" s="76">
        <f>SUMIFS('январь 2025'!$G$5:$G$2334,'январь 2025'!$D$5:$D$2334,$B120,'январь 2025'!$J$5:$J$2334,E$1)</f>
        <v>0</v>
      </c>
      <c r="F120" s="76">
        <f>SUMIFS('январь 2025'!$G$5:$G$2334,'январь 2025'!$D$5:$D$2334,$B120,'январь 2025'!$J$5:$J$2334,F$1)</f>
        <v>0</v>
      </c>
      <c r="G120" s="76">
        <f>SUMIFS('январь 2025'!$G$5:$G$2334,'январь 2025'!$D$5:$D$2334,$B120,'январь 2025'!$J$5:$J$2334,G$1)</f>
        <v>0</v>
      </c>
      <c r="H120" s="76">
        <f>SUMIFS('январь 2025'!$G$5:$G$2334,'январь 2025'!$D$5:$D$2334,$B120,'январь 2025'!$J$5:$J$2334,H$1)</f>
        <v>0</v>
      </c>
      <c r="I120" s="76">
        <f>SUMIFS('январь 2025'!$G$5:$G$2334,'январь 2025'!$D$5:$D$2334,$B120,'январь 2025'!$J$5:$J$2334,I$1)</f>
        <v>0</v>
      </c>
      <c r="J120" s="76">
        <f>SUMIFS('январь 2025'!$G$5:$G$2334,'январь 2025'!$D$5:$D$2334,$B120,'январь 2025'!$J$5:$J$2334,J$1)</f>
        <v>0</v>
      </c>
      <c r="K120" s="76">
        <f>SUMIFS('январь 2025'!$G$5:$G$2334,'январь 2025'!$D$5:$D$2334,$B120,'январь 2025'!$J$5:$J$2334,K$1)</f>
        <v>0</v>
      </c>
      <c r="L120" s="76">
        <f>SUMIFS('январь 2025'!$G$5:$G$2334,'январь 2025'!$D$5:$D$2334,$B120,'январь 2025'!$J$5:$J$2334,L$1)</f>
        <v>0</v>
      </c>
      <c r="M120" s="76">
        <f>SUMIFS('январь 2025'!$G$5:$G$2334,'январь 2025'!$D$5:$D$2334,$B120,'январь 2025'!$J$5:$J$2334,M$1)</f>
        <v>0</v>
      </c>
      <c r="N120" s="76">
        <f>SUMIFS('январь 2025'!$G$5:$G$2334,'январь 2025'!$D$5:$D$2334,$B120,'январь 2025'!$J$5:$J$2334,N$1)</f>
        <v>0</v>
      </c>
      <c r="O120" s="76">
        <f>SUMIFS('январь 2025'!$G$5:$G$2334,'январь 2025'!$D$5:$D$2334,$B120,'январь 2025'!$J$5:$J$2334,O$1)</f>
        <v>0</v>
      </c>
      <c r="P120" s="76">
        <f>SUMIFS('январь 2025'!$G$5:$G$2334,'январь 2025'!$D$5:$D$2334,$B120,'январь 2025'!$J$5:$J$2334,P$1)</f>
        <v>0</v>
      </c>
      <c r="Q120" s="76">
        <f>SUMIFS('январь 2025'!$G$5:$G$2334,'январь 2025'!$D$5:$D$2334,$B120,'январь 2025'!$J$5:$J$2334,Q$1)</f>
        <v>0</v>
      </c>
      <c r="R120" s="76">
        <f>SUMIFS('январь 2025'!$G$5:$G$2334,'январь 2025'!$D$5:$D$2334,$B120,'январь 2025'!$J$5:$J$2334,R$1)</f>
        <v>0</v>
      </c>
      <c r="S120" s="76">
        <f>SUMIFS('январь 2025'!$G$5:$G$2334,'январь 2025'!$D$5:$D$2334,$B120,'январь 2025'!$J$5:$J$2334,S$1)</f>
        <v>0</v>
      </c>
      <c r="T120" s="76">
        <f>SUMIFS('январь 2025'!$G$5:$G$2334,'январь 2025'!$D$5:$D$2334,$B120,'январь 2025'!$J$5:$J$2334,T$1)</f>
        <v>0</v>
      </c>
      <c r="U120" s="76">
        <f>SUMIFS('январь 2025'!$G$5:$G$2334,'январь 2025'!$D$5:$D$2334,$B120,'январь 2025'!$J$5:$J$2334,U$1)</f>
        <v>0</v>
      </c>
      <c r="V120" s="76">
        <f>SUMIFS('январь 2025'!$G$5:$G$2334,'январь 2025'!$D$5:$D$2334,$B120,'январь 2025'!$J$5:$J$2334,V$1)</f>
        <v>0</v>
      </c>
      <c r="W120" s="76">
        <f>SUMIFS('январь 2025'!$G$5:$G$2334,'январь 2025'!$D$5:$D$2334,$B120,'январь 2025'!$J$5:$J$2334,W$1)</f>
        <v>0</v>
      </c>
      <c r="X120" s="76">
        <f>SUMIFS('январь 2025'!$G$5:$G$2334,'январь 2025'!$D$5:$D$2334,$B120,'январь 2025'!$J$5:$J$2334,X$1)</f>
        <v>0</v>
      </c>
      <c r="Y120" s="76">
        <f>SUMIFS('январь 2025'!$G$5:$G$2334,'январь 2025'!$D$5:$D$2334,$B120,'январь 2025'!$J$5:$J$2334,Y$1)</f>
        <v>0</v>
      </c>
      <c r="Z120" s="76">
        <f>SUMIFS('январь 2025'!$G$5:$G$2334,'январь 2025'!$D$5:$D$2334,$B120,'январь 2025'!$J$5:$J$2334,Z$1)</f>
        <v>0</v>
      </c>
      <c r="AA120" s="76">
        <f>SUMIFS('январь 2025'!$G$5:$G$2334,'январь 2025'!$D$5:$D$2334,$B120,'январь 2025'!$J$5:$J$2334,AA$1)</f>
        <v>0</v>
      </c>
      <c r="AB120" s="76">
        <f>SUMIFS('январь 2025'!$G$5:$G$2334,'январь 2025'!$D$5:$D$2334,$B120,'январь 2025'!$J$5:$J$2334,AB$1)</f>
        <v>0</v>
      </c>
      <c r="AC120" s="76">
        <f>SUMIFS('январь 2025'!$G$5:$G$2334,'январь 2025'!$D$5:$D$2334,$B120,'январь 2025'!$J$5:$J$2334,AC$1)</f>
        <v>0</v>
      </c>
      <c r="AD120" s="76">
        <f>SUMIFS('январь 2025'!$G$5:$G$2334,'январь 2025'!$D$5:$D$2334,$B120,'январь 2025'!$J$5:$J$2334,AD$1)</f>
        <v>0</v>
      </c>
      <c r="AE120" s="76">
        <f>SUMIFS('январь 2025'!$G$5:$G$2334,'январь 2025'!$D$5:$D$2334,$B120,'январь 2025'!$J$5:$J$2334,AE$1)</f>
        <v>0</v>
      </c>
      <c r="AF120" s="76">
        <f>SUMIFS('январь 2025'!$G$5:$G$2334,'январь 2025'!$D$5:$D$2334,$B120,'январь 2025'!$J$5:$J$2334,AF$1)</f>
        <v>0</v>
      </c>
      <c r="AG120" s="76">
        <f>SUMIFS('январь 2025'!$G$5:$G$2334,'январь 2025'!$D$5:$D$2334,$B120,'январь 2025'!$J$5:$J$2334,AG$1)</f>
        <v>0</v>
      </c>
      <c r="AH120" s="76">
        <f>SUMIFS('январь 2025'!$G$5:$G$2334,'январь 2025'!$D$5:$D$2334,$B120,'январь 2025'!$J$5:$J$2334,AH$1)</f>
        <v>0</v>
      </c>
      <c r="AI120" s="20">
        <f t="shared" si="1"/>
        <v>0</v>
      </c>
    </row>
    <row r="121" spans="2:35" ht="15" customHeight="1" x14ac:dyDescent="0.25">
      <c r="B121" s="88" t="s">
        <v>267</v>
      </c>
      <c r="C121" s="86">
        <v>200</v>
      </c>
      <c r="D121" s="76">
        <f>SUMIFS('январь 2025'!$G$5:$G$2334,'январь 2025'!$D$5:$D$2334,$B121,'январь 2025'!$J$5:$J$2334,D$1)</f>
        <v>0</v>
      </c>
      <c r="E121" s="76">
        <f>SUMIFS('январь 2025'!$G$5:$G$2334,'январь 2025'!$D$5:$D$2334,$B121,'январь 2025'!$J$5:$J$2334,E$1)</f>
        <v>0</v>
      </c>
      <c r="F121" s="76">
        <f>SUMIFS('январь 2025'!$G$5:$G$2334,'январь 2025'!$D$5:$D$2334,$B121,'январь 2025'!$J$5:$J$2334,F$1)</f>
        <v>0</v>
      </c>
      <c r="G121" s="76">
        <f>SUMIFS('январь 2025'!$G$5:$G$2334,'январь 2025'!$D$5:$D$2334,$B121,'январь 2025'!$J$5:$J$2334,G$1)</f>
        <v>0</v>
      </c>
      <c r="H121" s="76">
        <f>SUMIFS('январь 2025'!$G$5:$G$2334,'январь 2025'!$D$5:$D$2334,$B121,'январь 2025'!$J$5:$J$2334,H$1)</f>
        <v>0</v>
      </c>
      <c r="I121" s="76">
        <f>SUMIFS('январь 2025'!$G$5:$G$2334,'январь 2025'!$D$5:$D$2334,$B121,'январь 2025'!$J$5:$J$2334,I$1)</f>
        <v>0</v>
      </c>
      <c r="J121" s="76">
        <f>SUMIFS('январь 2025'!$G$5:$G$2334,'январь 2025'!$D$5:$D$2334,$B121,'январь 2025'!$J$5:$J$2334,J$1)</f>
        <v>0</v>
      </c>
      <c r="K121" s="76">
        <f>SUMIFS('январь 2025'!$G$5:$G$2334,'январь 2025'!$D$5:$D$2334,$B121,'январь 2025'!$J$5:$J$2334,K$1)</f>
        <v>0</v>
      </c>
      <c r="L121" s="76">
        <f>SUMIFS('январь 2025'!$G$5:$G$2334,'январь 2025'!$D$5:$D$2334,$B121,'январь 2025'!$J$5:$J$2334,L$1)</f>
        <v>0</v>
      </c>
      <c r="M121" s="76">
        <f>SUMIFS('январь 2025'!$G$5:$G$2334,'январь 2025'!$D$5:$D$2334,$B121,'январь 2025'!$J$5:$J$2334,M$1)</f>
        <v>0</v>
      </c>
      <c r="N121" s="76">
        <f>SUMIFS('январь 2025'!$G$5:$G$2334,'январь 2025'!$D$5:$D$2334,$B121,'январь 2025'!$J$5:$J$2334,N$1)</f>
        <v>0</v>
      </c>
      <c r="O121" s="76">
        <f>SUMIFS('январь 2025'!$G$5:$G$2334,'январь 2025'!$D$5:$D$2334,$B121,'январь 2025'!$J$5:$J$2334,O$1)</f>
        <v>0</v>
      </c>
      <c r="P121" s="76">
        <f>SUMIFS('январь 2025'!$G$5:$G$2334,'январь 2025'!$D$5:$D$2334,$B121,'январь 2025'!$J$5:$J$2334,P$1)</f>
        <v>0</v>
      </c>
      <c r="Q121" s="76">
        <f>SUMIFS('январь 2025'!$G$5:$G$2334,'январь 2025'!$D$5:$D$2334,$B121,'январь 2025'!$J$5:$J$2334,Q$1)</f>
        <v>0</v>
      </c>
      <c r="R121" s="76">
        <f>SUMIFS('январь 2025'!$G$5:$G$2334,'январь 2025'!$D$5:$D$2334,$B121,'январь 2025'!$J$5:$J$2334,R$1)</f>
        <v>0</v>
      </c>
      <c r="S121" s="76">
        <f>SUMIFS('январь 2025'!$G$5:$G$2334,'январь 2025'!$D$5:$D$2334,$B121,'январь 2025'!$J$5:$J$2334,S$1)</f>
        <v>0</v>
      </c>
      <c r="T121" s="76">
        <f>SUMIFS('январь 2025'!$G$5:$G$2334,'январь 2025'!$D$5:$D$2334,$B121,'январь 2025'!$J$5:$J$2334,T$1)</f>
        <v>0</v>
      </c>
      <c r="U121" s="76">
        <f>SUMIFS('январь 2025'!$G$5:$G$2334,'январь 2025'!$D$5:$D$2334,$B121,'январь 2025'!$J$5:$J$2334,U$1)</f>
        <v>0</v>
      </c>
      <c r="V121" s="76">
        <f>SUMIFS('январь 2025'!$G$5:$G$2334,'январь 2025'!$D$5:$D$2334,$B121,'январь 2025'!$J$5:$J$2334,V$1)</f>
        <v>0</v>
      </c>
      <c r="W121" s="76">
        <f>SUMIFS('январь 2025'!$G$5:$G$2334,'январь 2025'!$D$5:$D$2334,$B121,'январь 2025'!$J$5:$J$2334,W$1)</f>
        <v>0</v>
      </c>
      <c r="X121" s="76">
        <f>SUMIFS('январь 2025'!$G$5:$G$2334,'январь 2025'!$D$5:$D$2334,$B121,'январь 2025'!$J$5:$J$2334,X$1)</f>
        <v>0</v>
      </c>
      <c r="Y121" s="76">
        <f>SUMIFS('январь 2025'!$G$5:$G$2334,'январь 2025'!$D$5:$D$2334,$B121,'январь 2025'!$J$5:$J$2334,Y$1)</f>
        <v>0</v>
      </c>
      <c r="Z121" s="76">
        <f>SUMIFS('январь 2025'!$G$5:$G$2334,'январь 2025'!$D$5:$D$2334,$B121,'январь 2025'!$J$5:$J$2334,Z$1)</f>
        <v>0</v>
      </c>
      <c r="AA121" s="76">
        <f>SUMIFS('январь 2025'!$G$5:$G$2334,'январь 2025'!$D$5:$D$2334,$B121,'январь 2025'!$J$5:$J$2334,AA$1)</f>
        <v>0</v>
      </c>
      <c r="AB121" s="76">
        <f>SUMIFS('январь 2025'!$G$5:$G$2334,'январь 2025'!$D$5:$D$2334,$B121,'январь 2025'!$J$5:$J$2334,AB$1)</f>
        <v>0</v>
      </c>
      <c r="AC121" s="76">
        <f>SUMIFS('январь 2025'!$G$5:$G$2334,'январь 2025'!$D$5:$D$2334,$B121,'январь 2025'!$J$5:$J$2334,AC$1)</f>
        <v>0</v>
      </c>
      <c r="AD121" s="76">
        <f>SUMIFS('январь 2025'!$G$5:$G$2334,'январь 2025'!$D$5:$D$2334,$B121,'январь 2025'!$J$5:$J$2334,AD$1)</f>
        <v>0</v>
      </c>
      <c r="AE121" s="76">
        <f>SUMIFS('январь 2025'!$G$5:$G$2334,'январь 2025'!$D$5:$D$2334,$B121,'январь 2025'!$J$5:$J$2334,AE$1)</f>
        <v>0</v>
      </c>
      <c r="AF121" s="76">
        <f>SUMIFS('январь 2025'!$G$5:$G$2334,'январь 2025'!$D$5:$D$2334,$B121,'январь 2025'!$J$5:$J$2334,AF$1)</f>
        <v>0</v>
      </c>
      <c r="AG121" s="76">
        <f>SUMIFS('январь 2025'!$G$5:$G$2334,'январь 2025'!$D$5:$D$2334,$B121,'январь 2025'!$J$5:$J$2334,AG$1)</f>
        <v>0</v>
      </c>
      <c r="AH121" s="76">
        <f>SUMIFS('январь 2025'!$G$5:$G$2334,'январь 2025'!$D$5:$D$2334,$B121,'январь 2025'!$J$5:$J$2334,AH$1)</f>
        <v>0</v>
      </c>
      <c r="AI121" s="20">
        <f t="shared" si="1"/>
        <v>0</v>
      </c>
    </row>
    <row r="122" spans="2:35" ht="15" customHeight="1" x14ac:dyDescent="0.25">
      <c r="B122" s="84" t="s">
        <v>163</v>
      </c>
      <c r="C122" s="83">
        <v>950</v>
      </c>
      <c r="D122" s="76">
        <f>SUMIFS('январь 2025'!$G$5:$G$2334,'январь 2025'!$D$5:$D$2334,$B122,'январь 2025'!$J$5:$J$2334,D$1)</f>
        <v>0</v>
      </c>
      <c r="E122" s="76">
        <f>SUMIFS('январь 2025'!$G$5:$G$2334,'январь 2025'!$D$5:$D$2334,$B122,'январь 2025'!$J$5:$J$2334,E$1)</f>
        <v>0</v>
      </c>
      <c r="F122" s="76">
        <f>SUMIFS('январь 2025'!$G$5:$G$2334,'январь 2025'!$D$5:$D$2334,$B122,'январь 2025'!$J$5:$J$2334,F$1)</f>
        <v>0</v>
      </c>
      <c r="G122" s="76">
        <f>SUMIFS('январь 2025'!$G$5:$G$2334,'январь 2025'!$D$5:$D$2334,$B122,'январь 2025'!$J$5:$J$2334,G$1)</f>
        <v>0</v>
      </c>
      <c r="H122" s="76">
        <f>SUMIFS('январь 2025'!$G$5:$G$2334,'январь 2025'!$D$5:$D$2334,$B122,'январь 2025'!$J$5:$J$2334,H$1)</f>
        <v>0</v>
      </c>
      <c r="I122" s="76">
        <f>SUMIFS('январь 2025'!$G$5:$G$2334,'январь 2025'!$D$5:$D$2334,$B122,'январь 2025'!$J$5:$J$2334,I$1)</f>
        <v>0</v>
      </c>
      <c r="J122" s="76">
        <f>SUMIFS('январь 2025'!$G$5:$G$2334,'январь 2025'!$D$5:$D$2334,$B122,'январь 2025'!$J$5:$J$2334,J$1)</f>
        <v>0</v>
      </c>
      <c r="K122" s="76">
        <f>SUMIFS('январь 2025'!$G$5:$G$2334,'январь 2025'!$D$5:$D$2334,$B122,'январь 2025'!$J$5:$J$2334,K$1)</f>
        <v>0</v>
      </c>
      <c r="L122" s="76">
        <f>SUMIFS('январь 2025'!$G$5:$G$2334,'январь 2025'!$D$5:$D$2334,$B122,'январь 2025'!$J$5:$J$2334,L$1)</f>
        <v>0</v>
      </c>
      <c r="M122" s="76">
        <f>SUMIFS('январь 2025'!$G$5:$G$2334,'январь 2025'!$D$5:$D$2334,$B122,'январь 2025'!$J$5:$J$2334,M$1)</f>
        <v>0</v>
      </c>
      <c r="N122" s="76">
        <f>SUMIFS('январь 2025'!$G$5:$G$2334,'январь 2025'!$D$5:$D$2334,$B122,'январь 2025'!$J$5:$J$2334,N$1)</f>
        <v>0</v>
      </c>
      <c r="O122" s="76">
        <f>SUMIFS('январь 2025'!$G$5:$G$2334,'январь 2025'!$D$5:$D$2334,$B122,'январь 2025'!$J$5:$J$2334,O$1)</f>
        <v>0</v>
      </c>
      <c r="P122" s="76">
        <f>SUMIFS('январь 2025'!$G$5:$G$2334,'январь 2025'!$D$5:$D$2334,$B122,'январь 2025'!$J$5:$J$2334,P$1)</f>
        <v>0</v>
      </c>
      <c r="Q122" s="76">
        <f>SUMIFS('январь 2025'!$G$5:$G$2334,'январь 2025'!$D$5:$D$2334,$B122,'январь 2025'!$J$5:$J$2334,Q$1)</f>
        <v>0</v>
      </c>
      <c r="R122" s="76">
        <f>SUMIFS('январь 2025'!$G$5:$G$2334,'январь 2025'!$D$5:$D$2334,$B122,'январь 2025'!$J$5:$J$2334,R$1)</f>
        <v>0</v>
      </c>
      <c r="S122" s="76">
        <f>SUMIFS('январь 2025'!$G$5:$G$2334,'январь 2025'!$D$5:$D$2334,$B122,'январь 2025'!$J$5:$J$2334,S$1)</f>
        <v>0</v>
      </c>
      <c r="T122" s="76">
        <f>SUMIFS('январь 2025'!$G$5:$G$2334,'январь 2025'!$D$5:$D$2334,$B122,'январь 2025'!$J$5:$J$2334,T$1)</f>
        <v>0</v>
      </c>
      <c r="U122" s="76">
        <f>SUMIFS('январь 2025'!$G$5:$G$2334,'январь 2025'!$D$5:$D$2334,$B122,'январь 2025'!$J$5:$J$2334,U$1)</f>
        <v>0</v>
      </c>
      <c r="V122" s="76">
        <f>SUMIFS('январь 2025'!$G$5:$G$2334,'январь 2025'!$D$5:$D$2334,$B122,'январь 2025'!$J$5:$J$2334,V$1)</f>
        <v>0</v>
      </c>
      <c r="W122" s="76">
        <f>SUMIFS('январь 2025'!$G$5:$G$2334,'январь 2025'!$D$5:$D$2334,$B122,'январь 2025'!$J$5:$J$2334,W$1)</f>
        <v>0</v>
      </c>
      <c r="X122" s="76">
        <f>SUMIFS('январь 2025'!$G$5:$G$2334,'январь 2025'!$D$5:$D$2334,$B122,'январь 2025'!$J$5:$J$2334,X$1)</f>
        <v>0</v>
      </c>
      <c r="Y122" s="76">
        <f>SUMIFS('январь 2025'!$G$5:$G$2334,'январь 2025'!$D$5:$D$2334,$B122,'январь 2025'!$J$5:$J$2334,Y$1)</f>
        <v>0</v>
      </c>
      <c r="Z122" s="76">
        <f>SUMIFS('январь 2025'!$G$5:$G$2334,'январь 2025'!$D$5:$D$2334,$B122,'январь 2025'!$J$5:$J$2334,Z$1)</f>
        <v>0</v>
      </c>
      <c r="AA122" s="76">
        <f>SUMIFS('январь 2025'!$G$5:$G$2334,'январь 2025'!$D$5:$D$2334,$B122,'январь 2025'!$J$5:$J$2334,AA$1)</f>
        <v>0</v>
      </c>
      <c r="AB122" s="76">
        <f>SUMIFS('январь 2025'!$G$5:$G$2334,'январь 2025'!$D$5:$D$2334,$B122,'январь 2025'!$J$5:$J$2334,AB$1)</f>
        <v>0</v>
      </c>
      <c r="AC122" s="76">
        <f>SUMIFS('январь 2025'!$G$5:$G$2334,'январь 2025'!$D$5:$D$2334,$B122,'январь 2025'!$J$5:$J$2334,AC$1)</f>
        <v>0</v>
      </c>
      <c r="AD122" s="76">
        <f>SUMIFS('январь 2025'!$G$5:$G$2334,'январь 2025'!$D$5:$D$2334,$B122,'январь 2025'!$J$5:$J$2334,AD$1)</f>
        <v>0</v>
      </c>
      <c r="AE122" s="76">
        <f>SUMIFS('январь 2025'!$G$5:$G$2334,'январь 2025'!$D$5:$D$2334,$B122,'январь 2025'!$J$5:$J$2334,AE$1)</f>
        <v>0</v>
      </c>
      <c r="AF122" s="76">
        <f>SUMIFS('январь 2025'!$G$5:$G$2334,'январь 2025'!$D$5:$D$2334,$B122,'январь 2025'!$J$5:$J$2334,AF$1)</f>
        <v>0</v>
      </c>
      <c r="AG122" s="76">
        <f>SUMIFS('январь 2025'!$G$5:$G$2334,'январь 2025'!$D$5:$D$2334,$B122,'январь 2025'!$J$5:$J$2334,AG$1)</f>
        <v>0</v>
      </c>
      <c r="AH122" s="76">
        <f>SUMIFS('январь 2025'!$G$5:$G$2334,'январь 2025'!$D$5:$D$2334,$B122,'январь 2025'!$J$5:$J$2334,AH$1)</f>
        <v>0</v>
      </c>
      <c r="AI122" s="20">
        <f t="shared" si="1"/>
        <v>0</v>
      </c>
    </row>
    <row r="123" spans="2:35" ht="15" customHeight="1" x14ac:dyDescent="0.25">
      <c r="B123" s="84" t="s">
        <v>183</v>
      </c>
      <c r="C123" s="83">
        <v>180</v>
      </c>
      <c r="D123" s="76">
        <f>SUMIFS('январь 2025'!$G$5:$G$2334,'январь 2025'!$D$5:$D$2334,$B123,'январь 2025'!$J$5:$J$2334,D$1)</f>
        <v>0</v>
      </c>
      <c r="E123" s="76">
        <f>SUMIFS('январь 2025'!$G$5:$G$2334,'январь 2025'!$D$5:$D$2334,$B123,'январь 2025'!$J$5:$J$2334,E$1)</f>
        <v>0</v>
      </c>
      <c r="F123" s="76">
        <f>SUMIFS('январь 2025'!$G$5:$G$2334,'январь 2025'!$D$5:$D$2334,$B123,'январь 2025'!$J$5:$J$2334,F$1)</f>
        <v>0</v>
      </c>
      <c r="G123" s="76">
        <f>SUMIFS('январь 2025'!$G$5:$G$2334,'январь 2025'!$D$5:$D$2334,$B123,'январь 2025'!$J$5:$J$2334,G$1)</f>
        <v>0</v>
      </c>
      <c r="H123" s="76">
        <f>SUMIFS('январь 2025'!$G$5:$G$2334,'январь 2025'!$D$5:$D$2334,$B123,'январь 2025'!$J$5:$J$2334,H$1)</f>
        <v>0</v>
      </c>
      <c r="I123" s="76">
        <f>SUMIFS('январь 2025'!$G$5:$G$2334,'январь 2025'!$D$5:$D$2334,$B123,'январь 2025'!$J$5:$J$2334,I$1)</f>
        <v>0</v>
      </c>
      <c r="J123" s="76">
        <f>SUMIFS('январь 2025'!$G$5:$G$2334,'январь 2025'!$D$5:$D$2334,$B123,'январь 2025'!$J$5:$J$2334,J$1)</f>
        <v>0</v>
      </c>
      <c r="K123" s="76">
        <f>SUMIFS('январь 2025'!$G$5:$G$2334,'январь 2025'!$D$5:$D$2334,$B123,'январь 2025'!$J$5:$J$2334,K$1)</f>
        <v>0</v>
      </c>
      <c r="L123" s="76">
        <f>SUMIFS('январь 2025'!$G$5:$G$2334,'январь 2025'!$D$5:$D$2334,$B123,'январь 2025'!$J$5:$J$2334,L$1)</f>
        <v>0</v>
      </c>
      <c r="M123" s="76">
        <f>SUMIFS('январь 2025'!$G$5:$G$2334,'январь 2025'!$D$5:$D$2334,$B123,'январь 2025'!$J$5:$J$2334,M$1)</f>
        <v>0</v>
      </c>
      <c r="N123" s="76">
        <f>SUMIFS('январь 2025'!$G$5:$G$2334,'январь 2025'!$D$5:$D$2334,$B123,'январь 2025'!$J$5:$J$2334,N$1)</f>
        <v>0</v>
      </c>
      <c r="O123" s="76">
        <f>SUMIFS('январь 2025'!$G$5:$G$2334,'январь 2025'!$D$5:$D$2334,$B123,'январь 2025'!$J$5:$J$2334,O$1)</f>
        <v>0</v>
      </c>
      <c r="P123" s="76">
        <f>SUMIFS('январь 2025'!$G$5:$G$2334,'январь 2025'!$D$5:$D$2334,$B123,'январь 2025'!$J$5:$J$2334,P$1)</f>
        <v>0</v>
      </c>
      <c r="Q123" s="76">
        <f>SUMIFS('январь 2025'!$G$5:$G$2334,'январь 2025'!$D$5:$D$2334,$B123,'январь 2025'!$J$5:$J$2334,Q$1)</f>
        <v>0</v>
      </c>
      <c r="R123" s="76">
        <f>SUMIFS('январь 2025'!$G$5:$G$2334,'январь 2025'!$D$5:$D$2334,$B123,'январь 2025'!$J$5:$J$2334,R$1)</f>
        <v>0</v>
      </c>
      <c r="S123" s="76">
        <f>SUMIFS('январь 2025'!$G$5:$G$2334,'январь 2025'!$D$5:$D$2334,$B123,'январь 2025'!$J$5:$J$2334,S$1)</f>
        <v>0</v>
      </c>
      <c r="T123" s="76">
        <f>SUMIFS('январь 2025'!$G$5:$G$2334,'январь 2025'!$D$5:$D$2334,$B123,'январь 2025'!$J$5:$J$2334,T$1)</f>
        <v>0</v>
      </c>
      <c r="U123" s="76">
        <f>SUMIFS('январь 2025'!$G$5:$G$2334,'январь 2025'!$D$5:$D$2334,$B123,'январь 2025'!$J$5:$J$2334,U$1)</f>
        <v>0</v>
      </c>
      <c r="V123" s="76">
        <f>SUMIFS('январь 2025'!$G$5:$G$2334,'январь 2025'!$D$5:$D$2334,$B123,'январь 2025'!$J$5:$J$2334,V$1)</f>
        <v>0</v>
      </c>
      <c r="W123" s="76">
        <f>SUMIFS('январь 2025'!$G$5:$G$2334,'январь 2025'!$D$5:$D$2334,$B123,'январь 2025'!$J$5:$J$2334,W$1)</f>
        <v>0</v>
      </c>
      <c r="X123" s="76">
        <f>SUMIFS('январь 2025'!$G$5:$G$2334,'январь 2025'!$D$5:$D$2334,$B123,'январь 2025'!$J$5:$J$2334,X$1)</f>
        <v>0</v>
      </c>
      <c r="Y123" s="76">
        <f>SUMIFS('январь 2025'!$G$5:$G$2334,'январь 2025'!$D$5:$D$2334,$B123,'январь 2025'!$J$5:$J$2334,Y$1)</f>
        <v>0</v>
      </c>
      <c r="Z123" s="76">
        <f>SUMIFS('январь 2025'!$G$5:$G$2334,'январь 2025'!$D$5:$D$2334,$B123,'январь 2025'!$J$5:$J$2334,Z$1)</f>
        <v>0</v>
      </c>
      <c r="AA123" s="76">
        <f>SUMIFS('январь 2025'!$G$5:$G$2334,'январь 2025'!$D$5:$D$2334,$B123,'январь 2025'!$J$5:$J$2334,AA$1)</f>
        <v>0</v>
      </c>
      <c r="AB123" s="76">
        <f>SUMIFS('январь 2025'!$G$5:$G$2334,'январь 2025'!$D$5:$D$2334,$B123,'январь 2025'!$J$5:$J$2334,AB$1)</f>
        <v>0</v>
      </c>
      <c r="AC123" s="76">
        <f>SUMIFS('январь 2025'!$G$5:$G$2334,'январь 2025'!$D$5:$D$2334,$B123,'январь 2025'!$J$5:$J$2334,AC$1)</f>
        <v>0</v>
      </c>
      <c r="AD123" s="76">
        <f>SUMIFS('январь 2025'!$G$5:$G$2334,'январь 2025'!$D$5:$D$2334,$B123,'январь 2025'!$J$5:$J$2334,AD$1)</f>
        <v>0</v>
      </c>
      <c r="AE123" s="76">
        <f>SUMIFS('январь 2025'!$G$5:$G$2334,'январь 2025'!$D$5:$D$2334,$B123,'январь 2025'!$J$5:$J$2334,AE$1)</f>
        <v>0</v>
      </c>
      <c r="AF123" s="76">
        <f>SUMIFS('январь 2025'!$G$5:$G$2334,'январь 2025'!$D$5:$D$2334,$B123,'январь 2025'!$J$5:$J$2334,AF$1)</f>
        <v>0</v>
      </c>
      <c r="AG123" s="76">
        <f>SUMIFS('январь 2025'!$G$5:$G$2334,'январь 2025'!$D$5:$D$2334,$B123,'январь 2025'!$J$5:$J$2334,AG$1)</f>
        <v>0</v>
      </c>
      <c r="AH123" s="76">
        <f>SUMIFS('январь 2025'!$G$5:$G$2334,'январь 2025'!$D$5:$D$2334,$B123,'январь 2025'!$J$5:$J$2334,AH$1)</f>
        <v>0</v>
      </c>
      <c r="AI123" s="20">
        <f t="shared" si="1"/>
        <v>0</v>
      </c>
    </row>
    <row r="124" spans="2:35" ht="15" customHeight="1" x14ac:dyDescent="0.25">
      <c r="B124" s="84" t="s">
        <v>305</v>
      </c>
      <c r="C124" s="83">
        <v>180</v>
      </c>
      <c r="D124" s="76">
        <f>SUMIFS('январь 2025'!$G$5:$G$2334,'январь 2025'!$D$5:$D$2334,$B124,'январь 2025'!$J$5:$J$2334,D$1)</f>
        <v>0</v>
      </c>
      <c r="E124" s="76">
        <f>SUMIFS('январь 2025'!$G$5:$G$2334,'январь 2025'!$D$5:$D$2334,$B124,'январь 2025'!$J$5:$J$2334,E$1)</f>
        <v>0</v>
      </c>
      <c r="F124" s="76">
        <f>SUMIFS('январь 2025'!$G$5:$G$2334,'январь 2025'!$D$5:$D$2334,$B124,'январь 2025'!$J$5:$J$2334,F$1)</f>
        <v>0</v>
      </c>
      <c r="G124" s="76">
        <f>SUMIFS('январь 2025'!$G$5:$G$2334,'январь 2025'!$D$5:$D$2334,$B124,'январь 2025'!$J$5:$J$2334,G$1)</f>
        <v>0</v>
      </c>
      <c r="H124" s="76">
        <f>SUMIFS('январь 2025'!$G$5:$G$2334,'январь 2025'!$D$5:$D$2334,$B124,'январь 2025'!$J$5:$J$2334,H$1)</f>
        <v>0</v>
      </c>
      <c r="I124" s="76">
        <f>SUMIFS('январь 2025'!$G$5:$G$2334,'январь 2025'!$D$5:$D$2334,$B124,'январь 2025'!$J$5:$J$2334,I$1)</f>
        <v>0</v>
      </c>
      <c r="J124" s="76">
        <f>SUMIFS('январь 2025'!$G$5:$G$2334,'январь 2025'!$D$5:$D$2334,$B124,'январь 2025'!$J$5:$J$2334,J$1)</f>
        <v>0</v>
      </c>
      <c r="K124" s="76">
        <f>SUMIFS('январь 2025'!$G$5:$G$2334,'январь 2025'!$D$5:$D$2334,$B124,'январь 2025'!$J$5:$J$2334,K$1)</f>
        <v>0</v>
      </c>
      <c r="L124" s="76">
        <f>SUMIFS('январь 2025'!$G$5:$G$2334,'январь 2025'!$D$5:$D$2334,$B124,'январь 2025'!$J$5:$J$2334,L$1)</f>
        <v>0</v>
      </c>
      <c r="M124" s="76">
        <f>SUMIFS('январь 2025'!$G$5:$G$2334,'январь 2025'!$D$5:$D$2334,$B124,'январь 2025'!$J$5:$J$2334,M$1)</f>
        <v>0</v>
      </c>
      <c r="N124" s="76">
        <f>SUMIFS('январь 2025'!$G$5:$G$2334,'январь 2025'!$D$5:$D$2334,$B124,'январь 2025'!$J$5:$J$2334,N$1)</f>
        <v>0</v>
      </c>
      <c r="O124" s="76">
        <f>SUMIFS('январь 2025'!$G$5:$G$2334,'январь 2025'!$D$5:$D$2334,$B124,'январь 2025'!$J$5:$J$2334,O$1)</f>
        <v>0</v>
      </c>
      <c r="P124" s="76">
        <f>SUMIFS('январь 2025'!$G$5:$G$2334,'январь 2025'!$D$5:$D$2334,$B124,'январь 2025'!$J$5:$J$2334,P$1)</f>
        <v>0</v>
      </c>
      <c r="Q124" s="76">
        <f>SUMIFS('январь 2025'!$G$5:$G$2334,'январь 2025'!$D$5:$D$2334,$B124,'январь 2025'!$J$5:$J$2334,Q$1)</f>
        <v>0</v>
      </c>
      <c r="R124" s="76">
        <f>SUMIFS('январь 2025'!$G$5:$G$2334,'январь 2025'!$D$5:$D$2334,$B124,'январь 2025'!$J$5:$J$2334,R$1)</f>
        <v>0</v>
      </c>
      <c r="S124" s="76">
        <f>SUMIFS('январь 2025'!$G$5:$G$2334,'январь 2025'!$D$5:$D$2334,$B124,'январь 2025'!$J$5:$J$2334,S$1)</f>
        <v>0</v>
      </c>
      <c r="T124" s="76">
        <f>SUMIFS('январь 2025'!$G$5:$G$2334,'январь 2025'!$D$5:$D$2334,$B124,'январь 2025'!$J$5:$J$2334,T$1)</f>
        <v>0</v>
      </c>
      <c r="U124" s="76">
        <f>SUMIFS('январь 2025'!$G$5:$G$2334,'январь 2025'!$D$5:$D$2334,$B124,'январь 2025'!$J$5:$J$2334,U$1)</f>
        <v>0</v>
      </c>
      <c r="V124" s="76">
        <f>SUMIFS('январь 2025'!$G$5:$G$2334,'январь 2025'!$D$5:$D$2334,$B124,'январь 2025'!$J$5:$J$2334,V$1)</f>
        <v>0</v>
      </c>
      <c r="W124" s="76">
        <f>SUMIFS('январь 2025'!$G$5:$G$2334,'январь 2025'!$D$5:$D$2334,$B124,'январь 2025'!$J$5:$J$2334,W$1)</f>
        <v>0</v>
      </c>
      <c r="X124" s="76">
        <f>SUMIFS('январь 2025'!$G$5:$G$2334,'январь 2025'!$D$5:$D$2334,$B124,'январь 2025'!$J$5:$J$2334,X$1)</f>
        <v>0</v>
      </c>
      <c r="Y124" s="76">
        <f>SUMIFS('январь 2025'!$G$5:$G$2334,'январь 2025'!$D$5:$D$2334,$B124,'январь 2025'!$J$5:$J$2334,Y$1)</f>
        <v>0</v>
      </c>
      <c r="Z124" s="76">
        <f>SUMIFS('январь 2025'!$G$5:$G$2334,'январь 2025'!$D$5:$D$2334,$B124,'январь 2025'!$J$5:$J$2334,Z$1)</f>
        <v>0</v>
      </c>
      <c r="AA124" s="76">
        <f>SUMIFS('январь 2025'!$G$5:$G$2334,'январь 2025'!$D$5:$D$2334,$B124,'январь 2025'!$J$5:$J$2334,AA$1)</f>
        <v>0</v>
      </c>
      <c r="AB124" s="76">
        <f>SUMIFS('январь 2025'!$G$5:$G$2334,'январь 2025'!$D$5:$D$2334,$B124,'январь 2025'!$J$5:$J$2334,AB$1)</f>
        <v>0</v>
      </c>
      <c r="AC124" s="76">
        <f>SUMIFS('январь 2025'!$G$5:$G$2334,'январь 2025'!$D$5:$D$2334,$B124,'январь 2025'!$J$5:$J$2334,AC$1)</f>
        <v>0</v>
      </c>
      <c r="AD124" s="76">
        <f>SUMIFS('январь 2025'!$G$5:$G$2334,'январь 2025'!$D$5:$D$2334,$B124,'январь 2025'!$J$5:$J$2334,AD$1)</f>
        <v>0</v>
      </c>
      <c r="AE124" s="76">
        <f>SUMIFS('январь 2025'!$G$5:$G$2334,'январь 2025'!$D$5:$D$2334,$B124,'январь 2025'!$J$5:$J$2334,AE$1)</f>
        <v>0</v>
      </c>
      <c r="AF124" s="76">
        <f>SUMIFS('январь 2025'!$G$5:$G$2334,'январь 2025'!$D$5:$D$2334,$B124,'январь 2025'!$J$5:$J$2334,AF$1)</f>
        <v>0</v>
      </c>
      <c r="AG124" s="76">
        <f>SUMIFS('январь 2025'!$G$5:$G$2334,'январь 2025'!$D$5:$D$2334,$B124,'январь 2025'!$J$5:$J$2334,AG$1)</f>
        <v>0</v>
      </c>
      <c r="AH124" s="76">
        <f>SUMIFS('январь 2025'!$G$5:$G$2334,'январь 2025'!$D$5:$D$2334,$B124,'январь 2025'!$J$5:$J$2334,AH$1)</f>
        <v>0</v>
      </c>
      <c r="AI124" s="20"/>
    </row>
    <row r="125" spans="2:35" ht="15" customHeight="1" x14ac:dyDescent="0.25">
      <c r="B125" s="84" t="s">
        <v>171</v>
      </c>
      <c r="C125" s="83">
        <v>200</v>
      </c>
      <c r="D125" s="76">
        <f>SUMIFS('январь 2025'!$G$5:$G$2334,'январь 2025'!$D$5:$D$2334,$B125,'январь 2025'!$J$5:$J$2334,D$1)</f>
        <v>0</v>
      </c>
      <c r="E125" s="76">
        <f>SUMIFS('январь 2025'!$G$5:$G$2334,'январь 2025'!$D$5:$D$2334,$B125,'январь 2025'!$J$5:$J$2334,E$1)</f>
        <v>0</v>
      </c>
      <c r="F125" s="76">
        <f>SUMIFS('январь 2025'!$G$5:$G$2334,'январь 2025'!$D$5:$D$2334,$B125,'январь 2025'!$J$5:$J$2334,F$1)</f>
        <v>0</v>
      </c>
      <c r="G125" s="76">
        <f>SUMIFS('январь 2025'!$G$5:$G$2334,'январь 2025'!$D$5:$D$2334,$B125,'январь 2025'!$J$5:$J$2334,G$1)</f>
        <v>0</v>
      </c>
      <c r="H125" s="76">
        <f>SUMIFS('январь 2025'!$G$5:$G$2334,'январь 2025'!$D$5:$D$2334,$B125,'январь 2025'!$J$5:$J$2334,H$1)</f>
        <v>0</v>
      </c>
      <c r="I125" s="76">
        <f>SUMIFS('январь 2025'!$G$5:$G$2334,'январь 2025'!$D$5:$D$2334,$B125,'январь 2025'!$J$5:$J$2334,I$1)</f>
        <v>0</v>
      </c>
      <c r="J125" s="76">
        <f>SUMIFS('январь 2025'!$G$5:$G$2334,'январь 2025'!$D$5:$D$2334,$B125,'январь 2025'!$J$5:$J$2334,J$1)</f>
        <v>0</v>
      </c>
      <c r="K125" s="76">
        <f>SUMIFS('январь 2025'!$G$5:$G$2334,'январь 2025'!$D$5:$D$2334,$B125,'январь 2025'!$J$5:$J$2334,K$1)</f>
        <v>0</v>
      </c>
      <c r="L125" s="76">
        <f>SUMIFS('январь 2025'!$G$5:$G$2334,'январь 2025'!$D$5:$D$2334,$B125,'январь 2025'!$J$5:$J$2334,L$1)</f>
        <v>0</v>
      </c>
      <c r="M125" s="76">
        <f>SUMIFS('январь 2025'!$G$5:$G$2334,'январь 2025'!$D$5:$D$2334,$B125,'январь 2025'!$J$5:$J$2334,M$1)</f>
        <v>0</v>
      </c>
      <c r="N125" s="76">
        <f>SUMIFS('январь 2025'!$G$5:$G$2334,'январь 2025'!$D$5:$D$2334,$B125,'январь 2025'!$J$5:$J$2334,N$1)</f>
        <v>0</v>
      </c>
      <c r="O125" s="76">
        <f>SUMIFS('январь 2025'!$G$5:$G$2334,'январь 2025'!$D$5:$D$2334,$B125,'январь 2025'!$J$5:$J$2334,O$1)</f>
        <v>0</v>
      </c>
      <c r="P125" s="76">
        <f>SUMIFS('январь 2025'!$G$5:$G$2334,'январь 2025'!$D$5:$D$2334,$B125,'январь 2025'!$J$5:$J$2334,P$1)</f>
        <v>0</v>
      </c>
      <c r="Q125" s="76">
        <f>SUMIFS('январь 2025'!$G$5:$G$2334,'январь 2025'!$D$5:$D$2334,$B125,'январь 2025'!$J$5:$J$2334,Q$1)</f>
        <v>0</v>
      </c>
      <c r="R125" s="76">
        <f>SUMIFS('январь 2025'!$G$5:$G$2334,'январь 2025'!$D$5:$D$2334,$B125,'январь 2025'!$J$5:$J$2334,R$1)</f>
        <v>0</v>
      </c>
      <c r="S125" s="76">
        <f>SUMIFS('январь 2025'!$G$5:$G$2334,'январь 2025'!$D$5:$D$2334,$B125,'январь 2025'!$J$5:$J$2334,S$1)</f>
        <v>0</v>
      </c>
      <c r="T125" s="76">
        <f>SUMIFS('январь 2025'!$G$5:$G$2334,'январь 2025'!$D$5:$D$2334,$B125,'январь 2025'!$J$5:$J$2334,T$1)</f>
        <v>0</v>
      </c>
      <c r="U125" s="76">
        <f>SUMIFS('январь 2025'!$G$5:$G$2334,'январь 2025'!$D$5:$D$2334,$B125,'январь 2025'!$J$5:$J$2334,U$1)</f>
        <v>0</v>
      </c>
      <c r="V125" s="76">
        <f>SUMIFS('январь 2025'!$G$5:$G$2334,'январь 2025'!$D$5:$D$2334,$B125,'январь 2025'!$J$5:$J$2334,V$1)</f>
        <v>0</v>
      </c>
      <c r="W125" s="76">
        <f>SUMIFS('январь 2025'!$G$5:$G$2334,'январь 2025'!$D$5:$D$2334,$B125,'январь 2025'!$J$5:$J$2334,W$1)</f>
        <v>0</v>
      </c>
      <c r="X125" s="76">
        <f>SUMIFS('январь 2025'!$G$5:$G$2334,'январь 2025'!$D$5:$D$2334,$B125,'январь 2025'!$J$5:$J$2334,X$1)</f>
        <v>0</v>
      </c>
      <c r="Y125" s="76">
        <f>SUMIFS('январь 2025'!$G$5:$G$2334,'январь 2025'!$D$5:$D$2334,$B125,'январь 2025'!$J$5:$J$2334,Y$1)</f>
        <v>0</v>
      </c>
      <c r="Z125" s="76">
        <f>SUMIFS('январь 2025'!$G$5:$G$2334,'январь 2025'!$D$5:$D$2334,$B125,'январь 2025'!$J$5:$J$2334,Z$1)</f>
        <v>0</v>
      </c>
      <c r="AA125" s="76">
        <f>SUMIFS('январь 2025'!$G$5:$G$2334,'январь 2025'!$D$5:$D$2334,$B125,'январь 2025'!$J$5:$J$2334,AA$1)</f>
        <v>0</v>
      </c>
      <c r="AB125" s="76">
        <f>SUMIFS('январь 2025'!$G$5:$G$2334,'январь 2025'!$D$5:$D$2334,$B125,'январь 2025'!$J$5:$J$2334,AB$1)</f>
        <v>0</v>
      </c>
      <c r="AC125" s="76">
        <f>SUMIFS('январь 2025'!$G$5:$G$2334,'январь 2025'!$D$5:$D$2334,$B125,'январь 2025'!$J$5:$J$2334,AC$1)</f>
        <v>0</v>
      </c>
      <c r="AD125" s="76">
        <f>SUMIFS('январь 2025'!$G$5:$G$2334,'январь 2025'!$D$5:$D$2334,$B125,'январь 2025'!$J$5:$J$2334,AD$1)</f>
        <v>0</v>
      </c>
      <c r="AE125" s="76">
        <f>SUMIFS('январь 2025'!$G$5:$G$2334,'январь 2025'!$D$5:$D$2334,$B125,'январь 2025'!$J$5:$J$2334,AE$1)</f>
        <v>0</v>
      </c>
      <c r="AF125" s="76">
        <f>SUMIFS('январь 2025'!$G$5:$G$2334,'январь 2025'!$D$5:$D$2334,$B125,'январь 2025'!$J$5:$J$2334,AF$1)</f>
        <v>0</v>
      </c>
      <c r="AG125" s="76">
        <f>SUMIFS('январь 2025'!$G$5:$G$2334,'январь 2025'!$D$5:$D$2334,$B125,'январь 2025'!$J$5:$J$2334,AG$1)</f>
        <v>0</v>
      </c>
      <c r="AH125" s="76">
        <f>SUMIFS('январь 2025'!$G$5:$G$2334,'январь 2025'!$D$5:$D$2334,$B125,'январь 2025'!$J$5:$J$2334,AH$1)</f>
        <v>0</v>
      </c>
      <c r="AI125" s="20">
        <f t="shared" si="1"/>
        <v>0</v>
      </c>
    </row>
    <row r="126" spans="2:35" ht="15" customHeight="1" x14ac:dyDescent="0.25">
      <c r="B126" s="84" t="s">
        <v>172</v>
      </c>
      <c r="C126" s="83">
        <v>200</v>
      </c>
      <c r="D126" s="76">
        <f>SUMIFS('январь 2025'!$G$5:$G$2334,'январь 2025'!$D$5:$D$2334,$B126,'январь 2025'!$J$5:$J$2334,D$1)</f>
        <v>0</v>
      </c>
      <c r="E126" s="76">
        <f>SUMIFS('январь 2025'!$G$5:$G$2334,'январь 2025'!$D$5:$D$2334,$B126,'январь 2025'!$J$5:$J$2334,E$1)</f>
        <v>0</v>
      </c>
      <c r="F126" s="76">
        <f>SUMIFS('январь 2025'!$G$5:$G$2334,'январь 2025'!$D$5:$D$2334,$B126,'январь 2025'!$J$5:$J$2334,F$1)</f>
        <v>0</v>
      </c>
      <c r="G126" s="76">
        <f>SUMIFS('январь 2025'!$G$5:$G$2334,'январь 2025'!$D$5:$D$2334,$B126,'январь 2025'!$J$5:$J$2334,G$1)</f>
        <v>0</v>
      </c>
      <c r="H126" s="76">
        <f>SUMIFS('январь 2025'!$G$5:$G$2334,'январь 2025'!$D$5:$D$2334,$B126,'январь 2025'!$J$5:$J$2334,H$1)</f>
        <v>0</v>
      </c>
      <c r="I126" s="76">
        <f>SUMIFS('январь 2025'!$G$5:$G$2334,'январь 2025'!$D$5:$D$2334,$B126,'январь 2025'!$J$5:$J$2334,I$1)</f>
        <v>0</v>
      </c>
      <c r="J126" s="76">
        <f>SUMIFS('январь 2025'!$G$5:$G$2334,'январь 2025'!$D$5:$D$2334,$B126,'январь 2025'!$J$5:$J$2334,J$1)</f>
        <v>0</v>
      </c>
      <c r="K126" s="76">
        <f>SUMIFS('январь 2025'!$G$5:$G$2334,'январь 2025'!$D$5:$D$2334,$B126,'январь 2025'!$J$5:$J$2334,K$1)</f>
        <v>0</v>
      </c>
      <c r="L126" s="76">
        <f>SUMIFS('январь 2025'!$G$5:$G$2334,'январь 2025'!$D$5:$D$2334,$B126,'январь 2025'!$J$5:$J$2334,L$1)</f>
        <v>0</v>
      </c>
      <c r="M126" s="76">
        <f>SUMIFS('январь 2025'!$G$5:$G$2334,'январь 2025'!$D$5:$D$2334,$B126,'январь 2025'!$J$5:$J$2334,M$1)</f>
        <v>0</v>
      </c>
      <c r="N126" s="76">
        <f>SUMIFS('январь 2025'!$G$5:$G$2334,'январь 2025'!$D$5:$D$2334,$B126,'январь 2025'!$J$5:$J$2334,N$1)</f>
        <v>0</v>
      </c>
      <c r="O126" s="76">
        <f>SUMIFS('январь 2025'!$G$5:$G$2334,'январь 2025'!$D$5:$D$2334,$B126,'январь 2025'!$J$5:$J$2334,O$1)</f>
        <v>0</v>
      </c>
      <c r="P126" s="76">
        <f>SUMIFS('январь 2025'!$G$5:$G$2334,'январь 2025'!$D$5:$D$2334,$B126,'январь 2025'!$J$5:$J$2334,P$1)</f>
        <v>0</v>
      </c>
      <c r="Q126" s="76">
        <f>SUMIFS('январь 2025'!$G$5:$G$2334,'январь 2025'!$D$5:$D$2334,$B126,'январь 2025'!$J$5:$J$2334,Q$1)</f>
        <v>0</v>
      </c>
      <c r="R126" s="76">
        <f>SUMIFS('январь 2025'!$G$5:$G$2334,'январь 2025'!$D$5:$D$2334,$B126,'январь 2025'!$J$5:$J$2334,R$1)</f>
        <v>0</v>
      </c>
      <c r="S126" s="76">
        <f>SUMIFS('январь 2025'!$G$5:$G$2334,'январь 2025'!$D$5:$D$2334,$B126,'январь 2025'!$J$5:$J$2334,S$1)</f>
        <v>0</v>
      </c>
      <c r="T126" s="76">
        <f>SUMIFS('январь 2025'!$G$5:$G$2334,'январь 2025'!$D$5:$D$2334,$B126,'январь 2025'!$J$5:$J$2334,T$1)</f>
        <v>0</v>
      </c>
      <c r="U126" s="76">
        <f>SUMIFS('январь 2025'!$G$5:$G$2334,'январь 2025'!$D$5:$D$2334,$B126,'январь 2025'!$J$5:$J$2334,U$1)</f>
        <v>0</v>
      </c>
      <c r="V126" s="76">
        <f>SUMIFS('январь 2025'!$G$5:$G$2334,'январь 2025'!$D$5:$D$2334,$B126,'январь 2025'!$J$5:$J$2334,V$1)</f>
        <v>0</v>
      </c>
      <c r="W126" s="76">
        <f>SUMIFS('январь 2025'!$G$5:$G$2334,'январь 2025'!$D$5:$D$2334,$B126,'январь 2025'!$J$5:$J$2334,W$1)</f>
        <v>0</v>
      </c>
      <c r="X126" s="76">
        <f>SUMIFS('январь 2025'!$G$5:$G$2334,'январь 2025'!$D$5:$D$2334,$B126,'январь 2025'!$J$5:$J$2334,X$1)</f>
        <v>0</v>
      </c>
      <c r="Y126" s="76">
        <f>SUMIFS('январь 2025'!$G$5:$G$2334,'январь 2025'!$D$5:$D$2334,$B126,'январь 2025'!$J$5:$J$2334,Y$1)</f>
        <v>0</v>
      </c>
      <c r="Z126" s="76">
        <f>SUMIFS('январь 2025'!$G$5:$G$2334,'январь 2025'!$D$5:$D$2334,$B126,'январь 2025'!$J$5:$J$2334,Z$1)</f>
        <v>0</v>
      </c>
      <c r="AA126" s="76">
        <f>SUMIFS('январь 2025'!$G$5:$G$2334,'январь 2025'!$D$5:$D$2334,$B126,'январь 2025'!$J$5:$J$2334,AA$1)</f>
        <v>0</v>
      </c>
      <c r="AB126" s="76">
        <f>SUMIFS('январь 2025'!$G$5:$G$2334,'январь 2025'!$D$5:$D$2334,$B126,'январь 2025'!$J$5:$J$2334,AB$1)</f>
        <v>0</v>
      </c>
      <c r="AC126" s="76">
        <f>SUMIFS('январь 2025'!$G$5:$G$2334,'январь 2025'!$D$5:$D$2334,$B126,'январь 2025'!$J$5:$J$2334,AC$1)</f>
        <v>0</v>
      </c>
      <c r="AD126" s="76">
        <f>SUMIFS('январь 2025'!$G$5:$G$2334,'январь 2025'!$D$5:$D$2334,$B126,'январь 2025'!$J$5:$J$2334,AD$1)</f>
        <v>0</v>
      </c>
      <c r="AE126" s="76">
        <f>SUMIFS('январь 2025'!$G$5:$G$2334,'январь 2025'!$D$5:$D$2334,$B126,'январь 2025'!$J$5:$J$2334,AE$1)</f>
        <v>0</v>
      </c>
      <c r="AF126" s="76">
        <f>SUMIFS('январь 2025'!$G$5:$G$2334,'январь 2025'!$D$5:$D$2334,$B126,'январь 2025'!$J$5:$J$2334,AF$1)</f>
        <v>0</v>
      </c>
      <c r="AG126" s="76">
        <f>SUMIFS('январь 2025'!$G$5:$G$2334,'январь 2025'!$D$5:$D$2334,$B126,'январь 2025'!$J$5:$J$2334,AG$1)</f>
        <v>0</v>
      </c>
      <c r="AH126" s="76">
        <f>SUMIFS('январь 2025'!$G$5:$G$2334,'январь 2025'!$D$5:$D$2334,$B126,'январь 2025'!$J$5:$J$2334,AH$1)</f>
        <v>0</v>
      </c>
      <c r="AI126" s="20">
        <f t="shared" si="1"/>
        <v>0</v>
      </c>
    </row>
    <row r="127" spans="2:35" ht="15" customHeight="1" x14ac:dyDescent="0.25">
      <c r="B127" s="84" t="s">
        <v>174</v>
      </c>
      <c r="C127" s="83">
        <v>200</v>
      </c>
      <c r="D127" s="76">
        <f>SUMIFS('январь 2025'!$G$5:$G$2334,'январь 2025'!$D$5:$D$2334,$B127,'январь 2025'!$J$5:$J$2334,D$1)</f>
        <v>0</v>
      </c>
      <c r="E127" s="76">
        <f>SUMIFS('январь 2025'!$G$5:$G$2334,'январь 2025'!$D$5:$D$2334,$B127,'январь 2025'!$J$5:$J$2334,E$1)</f>
        <v>0</v>
      </c>
      <c r="F127" s="76">
        <f>SUMIFS('январь 2025'!$G$5:$G$2334,'январь 2025'!$D$5:$D$2334,$B127,'январь 2025'!$J$5:$J$2334,F$1)</f>
        <v>0</v>
      </c>
      <c r="G127" s="76">
        <f>SUMIFS('январь 2025'!$G$5:$G$2334,'январь 2025'!$D$5:$D$2334,$B127,'январь 2025'!$J$5:$J$2334,G$1)</f>
        <v>0</v>
      </c>
      <c r="H127" s="76">
        <f>SUMIFS('январь 2025'!$G$5:$G$2334,'январь 2025'!$D$5:$D$2334,$B127,'январь 2025'!$J$5:$J$2334,H$1)</f>
        <v>0</v>
      </c>
      <c r="I127" s="76">
        <f>SUMIFS('январь 2025'!$G$5:$G$2334,'январь 2025'!$D$5:$D$2334,$B127,'январь 2025'!$J$5:$J$2334,I$1)</f>
        <v>0</v>
      </c>
      <c r="J127" s="76">
        <f>SUMIFS('январь 2025'!$G$5:$G$2334,'январь 2025'!$D$5:$D$2334,$B127,'январь 2025'!$J$5:$J$2334,J$1)</f>
        <v>0</v>
      </c>
      <c r="K127" s="76">
        <f>SUMIFS('январь 2025'!$G$5:$G$2334,'январь 2025'!$D$5:$D$2334,$B127,'январь 2025'!$J$5:$J$2334,K$1)</f>
        <v>0</v>
      </c>
      <c r="L127" s="76">
        <f>SUMIFS('январь 2025'!$G$5:$G$2334,'январь 2025'!$D$5:$D$2334,$B127,'январь 2025'!$J$5:$J$2334,L$1)</f>
        <v>0</v>
      </c>
      <c r="M127" s="76">
        <f>SUMIFS('январь 2025'!$G$5:$G$2334,'январь 2025'!$D$5:$D$2334,$B127,'январь 2025'!$J$5:$J$2334,M$1)</f>
        <v>0</v>
      </c>
      <c r="N127" s="76">
        <f>SUMIFS('январь 2025'!$G$5:$G$2334,'январь 2025'!$D$5:$D$2334,$B127,'январь 2025'!$J$5:$J$2334,N$1)</f>
        <v>0</v>
      </c>
      <c r="O127" s="76">
        <f>SUMIFS('январь 2025'!$G$5:$G$2334,'январь 2025'!$D$5:$D$2334,$B127,'январь 2025'!$J$5:$J$2334,O$1)</f>
        <v>0</v>
      </c>
      <c r="P127" s="76">
        <f>SUMIFS('январь 2025'!$G$5:$G$2334,'январь 2025'!$D$5:$D$2334,$B127,'январь 2025'!$J$5:$J$2334,P$1)</f>
        <v>0</v>
      </c>
      <c r="Q127" s="76">
        <f>SUMIFS('январь 2025'!$G$5:$G$2334,'январь 2025'!$D$5:$D$2334,$B127,'январь 2025'!$J$5:$J$2334,Q$1)</f>
        <v>0</v>
      </c>
      <c r="R127" s="76">
        <f>SUMIFS('январь 2025'!$G$5:$G$2334,'январь 2025'!$D$5:$D$2334,$B127,'январь 2025'!$J$5:$J$2334,R$1)</f>
        <v>0</v>
      </c>
      <c r="S127" s="76">
        <f>SUMIFS('январь 2025'!$G$5:$G$2334,'январь 2025'!$D$5:$D$2334,$B127,'январь 2025'!$J$5:$J$2334,S$1)</f>
        <v>88</v>
      </c>
      <c r="T127" s="76">
        <f>SUMIFS('январь 2025'!$G$5:$G$2334,'январь 2025'!$D$5:$D$2334,$B127,'январь 2025'!$J$5:$J$2334,T$1)</f>
        <v>0</v>
      </c>
      <c r="U127" s="76">
        <f>SUMIFS('январь 2025'!$G$5:$G$2334,'январь 2025'!$D$5:$D$2334,$B127,'январь 2025'!$J$5:$J$2334,U$1)</f>
        <v>0</v>
      </c>
      <c r="V127" s="76">
        <f>SUMIFS('январь 2025'!$G$5:$G$2334,'январь 2025'!$D$5:$D$2334,$B127,'январь 2025'!$J$5:$J$2334,V$1)</f>
        <v>0</v>
      </c>
      <c r="W127" s="76">
        <f>SUMIFS('январь 2025'!$G$5:$G$2334,'январь 2025'!$D$5:$D$2334,$B127,'январь 2025'!$J$5:$J$2334,W$1)</f>
        <v>0</v>
      </c>
      <c r="X127" s="76">
        <f>SUMIFS('январь 2025'!$G$5:$G$2334,'январь 2025'!$D$5:$D$2334,$B127,'январь 2025'!$J$5:$J$2334,X$1)</f>
        <v>0</v>
      </c>
      <c r="Y127" s="76">
        <f>SUMIFS('январь 2025'!$G$5:$G$2334,'январь 2025'!$D$5:$D$2334,$B127,'январь 2025'!$J$5:$J$2334,Y$1)</f>
        <v>0</v>
      </c>
      <c r="Z127" s="76">
        <f>SUMIFS('январь 2025'!$G$5:$G$2334,'январь 2025'!$D$5:$D$2334,$B127,'январь 2025'!$J$5:$J$2334,Z$1)</f>
        <v>0</v>
      </c>
      <c r="AA127" s="76">
        <f>SUMIFS('январь 2025'!$G$5:$G$2334,'январь 2025'!$D$5:$D$2334,$B127,'январь 2025'!$J$5:$J$2334,AA$1)</f>
        <v>0</v>
      </c>
      <c r="AB127" s="76">
        <f>SUMIFS('январь 2025'!$G$5:$G$2334,'январь 2025'!$D$5:$D$2334,$B127,'январь 2025'!$J$5:$J$2334,AB$1)</f>
        <v>0</v>
      </c>
      <c r="AC127" s="76">
        <f>SUMIFS('январь 2025'!$G$5:$G$2334,'январь 2025'!$D$5:$D$2334,$B127,'январь 2025'!$J$5:$J$2334,AC$1)</f>
        <v>0</v>
      </c>
      <c r="AD127" s="76">
        <f>SUMIFS('январь 2025'!$G$5:$G$2334,'январь 2025'!$D$5:$D$2334,$B127,'январь 2025'!$J$5:$J$2334,AD$1)</f>
        <v>88</v>
      </c>
      <c r="AE127" s="76">
        <f>SUMIFS('январь 2025'!$G$5:$G$2334,'январь 2025'!$D$5:$D$2334,$B127,'январь 2025'!$J$5:$J$2334,AE$1)</f>
        <v>0</v>
      </c>
      <c r="AF127" s="76">
        <f>SUMIFS('январь 2025'!$G$5:$G$2334,'январь 2025'!$D$5:$D$2334,$B127,'январь 2025'!$J$5:$J$2334,AF$1)</f>
        <v>0</v>
      </c>
      <c r="AG127" s="76">
        <f>SUMIFS('январь 2025'!$G$5:$G$2334,'январь 2025'!$D$5:$D$2334,$B127,'январь 2025'!$J$5:$J$2334,AG$1)</f>
        <v>0</v>
      </c>
      <c r="AH127" s="76">
        <f>SUMIFS('январь 2025'!$G$5:$G$2334,'январь 2025'!$D$5:$D$2334,$B127,'январь 2025'!$J$5:$J$2334,AH$1)</f>
        <v>0</v>
      </c>
      <c r="AI127" s="20">
        <f t="shared" si="1"/>
        <v>176</v>
      </c>
    </row>
    <row r="128" spans="2:35" ht="15" customHeight="1" x14ac:dyDescent="0.25">
      <c r="B128" s="89" t="s">
        <v>184</v>
      </c>
      <c r="C128" s="90">
        <v>180</v>
      </c>
      <c r="D128" s="76">
        <f>SUMIFS('январь 2025'!$G$5:$G$2334,'январь 2025'!$D$5:$D$2334,$B128,'январь 2025'!$J$5:$J$2334,D$1)</f>
        <v>0</v>
      </c>
      <c r="E128" s="76">
        <f>SUMIFS('январь 2025'!$G$5:$G$2334,'январь 2025'!$D$5:$D$2334,$B128,'январь 2025'!$J$5:$J$2334,E$1)</f>
        <v>0</v>
      </c>
      <c r="F128" s="76">
        <f>SUMIFS('январь 2025'!$G$5:$G$2334,'январь 2025'!$D$5:$D$2334,$B128,'январь 2025'!$J$5:$J$2334,F$1)</f>
        <v>0</v>
      </c>
      <c r="G128" s="76">
        <f>SUMIFS('январь 2025'!$G$5:$G$2334,'январь 2025'!$D$5:$D$2334,$B128,'январь 2025'!$J$5:$J$2334,G$1)</f>
        <v>0</v>
      </c>
      <c r="H128" s="76">
        <f>SUMIFS('январь 2025'!$G$5:$G$2334,'январь 2025'!$D$5:$D$2334,$B128,'январь 2025'!$J$5:$J$2334,H$1)</f>
        <v>0</v>
      </c>
      <c r="I128" s="76">
        <f>SUMIFS('январь 2025'!$G$5:$G$2334,'январь 2025'!$D$5:$D$2334,$B128,'январь 2025'!$J$5:$J$2334,I$1)</f>
        <v>0</v>
      </c>
      <c r="J128" s="76">
        <f>SUMIFS('январь 2025'!$G$5:$G$2334,'январь 2025'!$D$5:$D$2334,$B128,'январь 2025'!$J$5:$J$2334,J$1)</f>
        <v>0</v>
      </c>
      <c r="K128" s="76">
        <f>SUMIFS('январь 2025'!$G$5:$G$2334,'январь 2025'!$D$5:$D$2334,$B128,'январь 2025'!$J$5:$J$2334,K$1)</f>
        <v>0</v>
      </c>
      <c r="L128" s="76">
        <f>SUMIFS('январь 2025'!$G$5:$G$2334,'январь 2025'!$D$5:$D$2334,$B128,'январь 2025'!$J$5:$J$2334,L$1)</f>
        <v>0</v>
      </c>
      <c r="M128" s="76">
        <f>SUMIFS('январь 2025'!$G$5:$G$2334,'январь 2025'!$D$5:$D$2334,$B128,'январь 2025'!$J$5:$J$2334,M$1)</f>
        <v>0</v>
      </c>
      <c r="N128" s="76">
        <f>SUMIFS('январь 2025'!$G$5:$G$2334,'январь 2025'!$D$5:$D$2334,$B128,'январь 2025'!$J$5:$J$2334,N$1)</f>
        <v>0</v>
      </c>
      <c r="O128" s="76">
        <f>SUMIFS('январь 2025'!$G$5:$G$2334,'январь 2025'!$D$5:$D$2334,$B128,'январь 2025'!$J$5:$J$2334,O$1)</f>
        <v>0</v>
      </c>
      <c r="P128" s="76">
        <f>SUMIFS('январь 2025'!$G$5:$G$2334,'январь 2025'!$D$5:$D$2334,$B128,'январь 2025'!$J$5:$J$2334,P$1)</f>
        <v>0</v>
      </c>
      <c r="Q128" s="76">
        <f>SUMIFS('январь 2025'!$G$5:$G$2334,'январь 2025'!$D$5:$D$2334,$B128,'январь 2025'!$J$5:$J$2334,Q$1)</f>
        <v>0</v>
      </c>
      <c r="R128" s="76">
        <f>SUMIFS('январь 2025'!$G$5:$G$2334,'январь 2025'!$D$5:$D$2334,$B128,'январь 2025'!$J$5:$J$2334,R$1)</f>
        <v>0</v>
      </c>
      <c r="S128" s="76">
        <f>SUMIFS('январь 2025'!$G$5:$G$2334,'январь 2025'!$D$5:$D$2334,$B128,'январь 2025'!$J$5:$J$2334,S$1)</f>
        <v>0</v>
      </c>
      <c r="T128" s="76">
        <f>SUMIFS('январь 2025'!$G$5:$G$2334,'январь 2025'!$D$5:$D$2334,$B128,'январь 2025'!$J$5:$J$2334,T$1)</f>
        <v>0</v>
      </c>
      <c r="U128" s="76">
        <f>SUMIFS('январь 2025'!$G$5:$G$2334,'январь 2025'!$D$5:$D$2334,$B128,'январь 2025'!$J$5:$J$2334,U$1)</f>
        <v>0</v>
      </c>
      <c r="V128" s="76">
        <f>SUMIFS('январь 2025'!$G$5:$G$2334,'январь 2025'!$D$5:$D$2334,$B128,'январь 2025'!$J$5:$J$2334,V$1)</f>
        <v>0</v>
      </c>
      <c r="W128" s="76">
        <f>SUMIFS('январь 2025'!$G$5:$G$2334,'январь 2025'!$D$5:$D$2334,$B128,'январь 2025'!$J$5:$J$2334,W$1)</f>
        <v>0</v>
      </c>
      <c r="X128" s="76">
        <f>SUMIFS('январь 2025'!$G$5:$G$2334,'январь 2025'!$D$5:$D$2334,$B128,'январь 2025'!$J$5:$J$2334,X$1)</f>
        <v>0</v>
      </c>
      <c r="Y128" s="76">
        <f>SUMIFS('январь 2025'!$G$5:$G$2334,'январь 2025'!$D$5:$D$2334,$B128,'январь 2025'!$J$5:$J$2334,Y$1)</f>
        <v>0</v>
      </c>
      <c r="Z128" s="76">
        <f>SUMIFS('январь 2025'!$G$5:$G$2334,'январь 2025'!$D$5:$D$2334,$B128,'январь 2025'!$J$5:$J$2334,Z$1)</f>
        <v>0</v>
      </c>
      <c r="AA128" s="76">
        <f>SUMIFS('январь 2025'!$G$5:$G$2334,'январь 2025'!$D$5:$D$2334,$B128,'январь 2025'!$J$5:$J$2334,AA$1)</f>
        <v>0</v>
      </c>
      <c r="AB128" s="76">
        <f>SUMIFS('январь 2025'!$G$5:$G$2334,'январь 2025'!$D$5:$D$2334,$B128,'январь 2025'!$J$5:$J$2334,AB$1)</f>
        <v>0</v>
      </c>
      <c r="AC128" s="76">
        <f>SUMIFS('январь 2025'!$G$5:$G$2334,'январь 2025'!$D$5:$D$2334,$B128,'январь 2025'!$J$5:$J$2334,AC$1)</f>
        <v>0</v>
      </c>
      <c r="AD128" s="76">
        <f>SUMIFS('январь 2025'!$G$5:$G$2334,'январь 2025'!$D$5:$D$2334,$B128,'январь 2025'!$J$5:$J$2334,AD$1)</f>
        <v>0</v>
      </c>
      <c r="AE128" s="76">
        <f>SUMIFS('январь 2025'!$G$5:$G$2334,'январь 2025'!$D$5:$D$2334,$B128,'январь 2025'!$J$5:$J$2334,AE$1)</f>
        <v>0</v>
      </c>
      <c r="AF128" s="76">
        <f>SUMIFS('январь 2025'!$G$5:$G$2334,'январь 2025'!$D$5:$D$2334,$B128,'январь 2025'!$J$5:$J$2334,AF$1)</f>
        <v>0</v>
      </c>
      <c r="AG128" s="76">
        <f>SUMIFS('январь 2025'!$G$5:$G$2334,'январь 2025'!$D$5:$D$2334,$B128,'январь 2025'!$J$5:$J$2334,AG$1)</f>
        <v>0</v>
      </c>
      <c r="AH128" s="76">
        <f>SUMIFS('январь 2025'!$G$5:$G$2334,'январь 2025'!$D$5:$D$2334,$B128,'январь 2025'!$J$5:$J$2334,AH$1)</f>
        <v>0</v>
      </c>
      <c r="AI128" s="20">
        <f t="shared" si="1"/>
        <v>0</v>
      </c>
    </row>
    <row r="129" spans="2:35" ht="15" customHeight="1" x14ac:dyDescent="0.25">
      <c r="B129" s="84" t="s">
        <v>268</v>
      </c>
      <c r="C129" s="86">
        <v>180</v>
      </c>
      <c r="D129" s="76">
        <f>SUMIFS('январь 2025'!$G$5:$G$2334,'январь 2025'!$D$5:$D$2334,$B129,'январь 2025'!$J$5:$J$2334,D$1)</f>
        <v>0</v>
      </c>
      <c r="E129" s="76">
        <f>SUMIFS('январь 2025'!$G$5:$G$2334,'январь 2025'!$D$5:$D$2334,$B129,'январь 2025'!$J$5:$J$2334,E$1)</f>
        <v>0</v>
      </c>
      <c r="F129" s="76">
        <f>SUMIFS('январь 2025'!$G$5:$G$2334,'январь 2025'!$D$5:$D$2334,$B129,'январь 2025'!$J$5:$J$2334,F$1)</f>
        <v>0</v>
      </c>
      <c r="G129" s="76">
        <f>SUMIFS('январь 2025'!$G$5:$G$2334,'январь 2025'!$D$5:$D$2334,$B129,'январь 2025'!$J$5:$J$2334,G$1)</f>
        <v>0</v>
      </c>
      <c r="H129" s="76">
        <f>SUMIFS('январь 2025'!$G$5:$G$2334,'январь 2025'!$D$5:$D$2334,$B129,'январь 2025'!$J$5:$J$2334,H$1)</f>
        <v>0</v>
      </c>
      <c r="I129" s="76">
        <f>SUMIFS('январь 2025'!$G$5:$G$2334,'январь 2025'!$D$5:$D$2334,$B129,'январь 2025'!$J$5:$J$2334,I$1)</f>
        <v>0</v>
      </c>
      <c r="J129" s="76">
        <f>SUMIFS('январь 2025'!$G$5:$G$2334,'январь 2025'!$D$5:$D$2334,$B129,'январь 2025'!$J$5:$J$2334,J$1)</f>
        <v>0</v>
      </c>
      <c r="K129" s="76">
        <f>SUMIFS('январь 2025'!$G$5:$G$2334,'январь 2025'!$D$5:$D$2334,$B129,'январь 2025'!$J$5:$J$2334,K$1)</f>
        <v>0</v>
      </c>
      <c r="L129" s="76">
        <f>SUMIFS('январь 2025'!$G$5:$G$2334,'январь 2025'!$D$5:$D$2334,$B129,'январь 2025'!$J$5:$J$2334,L$1)</f>
        <v>0</v>
      </c>
      <c r="M129" s="76">
        <f>SUMIFS('январь 2025'!$G$5:$G$2334,'январь 2025'!$D$5:$D$2334,$B129,'январь 2025'!$J$5:$J$2334,M$1)</f>
        <v>0</v>
      </c>
      <c r="N129" s="76">
        <f>SUMIFS('январь 2025'!$G$5:$G$2334,'январь 2025'!$D$5:$D$2334,$B129,'январь 2025'!$J$5:$J$2334,N$1)</f>
        <v>0</v>
      </c>
      <c r="O129" s="76">
        <f>SUMIFS('январь 2025'!$G$5:$G$2334,'январь 2025'!$D$5:$D$2334,$B129,'январь 2025'!$J$5:$J$2334,O$1)</f>
        <v>0</v>
      </c>
      <c r="P129" s="76">
        <f>SUMIFS('январь 2025'!$G$5:$G$2334,'январь 2025'!$D$5:$D$2334,$B129,'январь 2025'!$J$5:$J$2334,P$1)</f>
        <v>0</v>
      </c>
      <c r="Q129" s="76">
        <f>SUMIFS('январь 2025'!$G$5:$G$2334,'январь 2025'!$D$5:$D$2334,$B129,'январь 2025'!$J$5:$J$2334,Q$1)</f>
        <v>0</v>
      </c>
      <c r="R129" s="76">
        <f>SUMIFS('январь 2025'!$G$5:$G$2334,'январь 2025'!$D$5:$D$2334,$B129,'январь 2025'!$J$5:$J$2334,R$1)</f>
        <v>0</v>
      </c>
      <c r="S129" s="76">
        <f>SUMIFS('январь 2025'!$G$5:$G$2334,'январь 2025'!$D$5:$D$2334,$B129,'январь 2025'!$J$5:$J$2334,S$1)</f>
        <v>0</v>
      </c>
      <c r="T129" s="76">
        <f>SUMIFS('январь 2025'!$G$5:$G$2334,'январь 2025'!$D$5:$D$2334,$B129,'январь 2025'!$J$5:$J$2334,T$1)</f>
        <v>0</v>
      </c>
      <c r="U129" s="76">
        <f>SUMIFS('январь 2025'!$G$5:$G$2334,'январь 2025'!$D$5:$D$2334,$B129,'январь 2025'!$J$5:$J$2334,U$1)</f>
        <v>0</v>
      </c>
      <c r="V129" s="76">
        <f>SUMIFS('январь 2025'!$G$5:$G$2334,'январь 2025'!$D$5:$D$2334,$B129,'январь 2025'!$J$5:$J$2334,V$1)</f>
        <v>0</v>
      </c>
      <c r="W129" s="76">
        <f>SUMIFS('январь 2025'!$G$5:$G$2334,'январь 2025'!$D$5:$D$2334,$B129,'январь 2025'!$J$5:$J$2334,W$1)</f>
        <v>0</v>
      </c>
      <c r="X129" s="76">
        <f>SUMIFS('январь 2025'!$G$5:$G$2334,'январь 2025'!$D$5:$D$2334,$B129,'январь 2025'!$J$5:$J$2334,X$1)</f>
        <v>0</v>
      </c>
      <c r="Y129" s="76">
        <f>SUMIFS('январь 2025'!$G$5:$G$2334,'январь 2025'!$D$5:$D$2334,$B129,'январь 2025'!$J$5:$J$2334,Y$1)</f>
        <v>0</v>
      </c>
      <c r="Z129" s="76">
        <f>SUMIFS('январь 2025'!$G$5:$G$2334,'январь 2025'!$D$5:$D$2334,$B129,'январь 2025'!$J$5:$J$2334,Z$1)</f>
        <v>0</v>
      </c>
      <c r="AA129" s="76">
        <f>SUMIFS('январь 2025'!$G$5:$G$2334,'январь 2025'!$D$5:$D$2334,$B129,'январь 2025'!$J$5:$J$2334,AA$1)</f>
        <v>0</v>
      </c>
      <c r="AB129" s="76">
        <f>SUMIFS('январь 2025'!$G$5:$G$2334,'январь 2025'!$D$5:$D$2334,$B129,'январь 2025'!$J$5:$J$2334,AB$1)</f>
        <v>0</v>
      </c>
      <c r="AC129" s="76">
        <f>SUMIFS('январь 2025'!$G$5:$G$2334,'январь 2025'!$D$5:$D$2334,$B129,'январь 2025'!$J$5:$J$2334,AC$1)</f>
        <v>0</v>
      </c>
      <c r="AD129" s="76">
        <f>SUMIFS('январь 2025'!$G$5:$G$2334,'январь 2025'!$D$5:$D$2334,$B129,'январь 2025'!$J$5:$J$2334,AD$1)</f>
        <v>0</v>
      </c>
      <c r="AE129" s="76">
        <f>SUMIFS('январь 2025'!$G$5:$G$2334,'январь 2025'!$D$5:$D$2334,$B129,'январь 2025'!$J$5:$J$2334,AE$1)</f>
        <v>0</v>
      </c>
      <c r="AF129" s="76">
        <f>SUMIFS('январь 2025'!$G$5:$G$2334,'январь 2025'!$D$5:$D$2334,$B129,'январь 2025'!$J$5:$J$2334,AF$1)</f>
        <v>0</v>
      </c>
      <c r="AG129" s="76">
        <f>SUMIFS('январь 2025'!$G$5:$G$2334,'январь 2025'!$D$5:$D$2334,$B129,'январь 2025'!$J$5:$J$2334,AG$1)</f>
        <v>0</v>
      </c>
      <c r="AH129" s="76">
        <f>SUMIFS('январь 2025'!$G$5:$G$2334,'январь 2025'!$D$5:$D$2334,$B129,'январь 2025'!$J$5:$J$2334,AH$1)</f>
        <v>0</v>
      </c>
      <c r="AI129" s="20">
        <f t="shared" si="1"/>
        <v>0</v>
      </c>
    </row>
    <row r="130" spans="2:35" ht="15" customHeight="1" x14ac:dyDescent="0.25">
      <c r="B130" s="84" t="s">
        <v>278</v>
      </c>
      <c r="C130" s="86">
        <v>180</v>
      </c>
      <c r="D130" s="76">
        <f>SUMIFS('январь 2025'!$G$5:$G$2334,'январь 2025'!$D$5:$D$2334,$B130,'январь 2025'!$J$5:$J$2334,D$1)</f>
        <v>0</v>
      </c>
      <c r="E130" s="76">
        <f>SUMIFS('январь 2025'!$G$5:$G$2334,'январь 2025'!$D$5:$D$2334,$B130,'январь 2025'!$J$5:$J$2334,E$1)</f>
        <v>0</v>
      </c>
      <c r="F130" s="76">
        <f>SUMIFS('январь 2025'!$G$5:$G$2334,'январь 2025'!$D$5:$D$2334,$B130,'январь 2025'!$J$5:$J$2334,F$1)</f>
        <v>0</v>
      </c>
      <c r="G130" s="76">
        <f>SUMIFS('январь 2025'!$G$5:$G$2334,'январь 2025'!$D$5:$D$2334,$B130,'январь 2025'!$J$5:$J$2334,G$1)</f>
        <v>0</v>
      </c>
      <c r="H130" s="76">
        <f>SUMIFS('январь 2025'!$G$5:$G$2334,'январь 2025'!$D$5:$D$2334,$B130,'январь 2025'!$J$5:$J$2334,H$1)</f>
        <v>0</v>
      </c>
      <c r="I130" s="76">
        <f>SUMIFS('январь 2025'!$G$5:$G$2334,'январь 2025'!$D$5:$D$2334,$B130,'январь 2025'!$J$5:$J$2334,I$1)</f>
        <v>0</v>
      </c>
      <c r="J130" s="76">
        <f>SUMIFS('январь 2025'!$G$5:$G$2334,'январь 2025'!$D$5:$D$2334,$B130,'январь 2025'!$J$5:$J$2334,J$1)</f>
        <v>0</v>
      </c>
      <c r="K130" s="76">
        <f>SUMIFS('январь 2025'!$G$5:$G$2334,'январь 2025'!$D$5:$D$2334,$B130,'январь 2025'!$J$5:$J$2334,K$1)</f>
        <v>0</v>
      </c>
      <c r="L130" s="76">
        <f>SUMIFS('январь 2025'!$G$5:$G$2334,'январь 2025'!$D$5:$D$2334,$B130,'январь 2025'!$J$5:$J$2334,L$1)</f>
        <v>0</v>
      </c>
      <c r="M130" s="76">
        <f>SUMIFS('январь 2025'!$G$5:$G$2334,'январь 2025'!$D$5:$D$2334,$B130,'январь 2025'!$J$5:$J$2334,M$1)</f>
        <v>0</v>
      </c>
      <c r="N130" s="76">
        <f>SUMIFS('январь 2025'!$G$5:$G$2334,'январь 2025'!$D$5:$D$2334,$B130,'январь 2025'!$J$5:$J$2334,N$1)</f>
        <v>0</v>
      </c>
      <c r="O130" s="76">
        <f>SUMIFS('январь 2025'!$G$5:$G$2334,'январь 2025'!$D$5:$D$2334,$B130,'январь 2025'!$J$5:$J$2334,O$1)</f>
        <v>0</v>
      </c>
      <c r="P130" s="76">
        <f>SUMIFS('январь 2025'!$G$5:$G$2334,'январь 2025'!$D$5:$D$2334,$B130,'январь 2025'!$J$5:$J$2334,P$1)</f>
        <v>0</v>
      </c>
      <c r="Q130" s="76">
        <f>SUMIFS('январь 2025'!$G$5:$G$2334,'январь 2025'!$D$5:$D$2334,$B130,'январь 2025'!$J$5:$J$2334,Q$1)</f>
        <v>0</v>
      </c>
      <c r="R130" s="76">
        <f>SUMIFS('январь 2025'!$G$5:$G$2334,'январь 2025'!$D$5:$D$2334,$B130,'январь 2025'!$J$5:$J$2334,R$1)</f>
        <v>0</v>
      </c>
      <c r="S130" s="76">
        <f>SUMIFS('январь 2025'!$G$5:$G$2334,'январь 2025'!$D$5:$D$2334,$B130,'январь 2025'!$J$5:$J$2334,S$1)</f>
        <v>0</v>
      </c>
      <c r="T130" s="76">
        <f>SUMIFS('январь 2025'!$G$5:$G$2334,'январь 2025'!$D$5:$D$2334,$B130,'январь 2025'!$J$5:$J$2334,T$1)</f>
        <v>0</v>
      </c>
      <c r="U130" s="76">
        <f>SUMIFS('январь 2025'!$G$5:$G$2334,'январь 2025'!$D$5:$D$2334,$B130,'январь 2025'!$J$5:$J$2334,U$1)</f>
        <v>0</v>
      </c>
      <c r="V130" s="76">
        <f>SUMIFS('январь 2025'!$G$5:$G$2334,'январь 2025'!$D$5:$D$2334,$B130,'январь 2025'!$J$5:$J$2334,V$1)</f>
        <v>0</v>
      </c>
      <c r="W130" s="76">
        <f>SUMIFS('январь 2025'!$G$5:$G$2334,'январь 2025'!$D$5:$D$2334,$B130,'январь 2025'!$J$5:$J$2334,W$1)</f>
        <v>0</v>
      </c>
      <c r="X130" s="76">
        <f>SUMIFS('январь 2025'!$G$5:$G$2334,'январь 2025'!$D$5:$D$2334,$B130,'январь 2025'!$J$5:$J$2334,X$1)</f>
        <v>0</v>
      </c>
      <c r="Y130" s="76">
        <f>SUMIFS('январь 2025'!$G$5:$G$2334,'январь 2025'!$D$5:$D$2334,$B130,'январь 2025'!$J$5:$J$2334,Y$1)</f>
        <v>0</v>
      </c>
      <c r="Z130" s="76">
        <f>SUMIFS('январь 2025'!$G$5:$G$2334,'январь 2025'!$D$5:$D$2334,$B130,'январь 2025'!$J$5:$J$2334,Z$1)</f>
        <v>0</v>
      </c>
      <c r="AA130" s="76">
        <f>SUMIFS('январь 2025'!$G$5:$G$2334,'январь 2025'!$D$5:$D$2334,$B130,'январь 2025'!$J$5:$J$2334,AA$1)</f>
        <v>0</v>
      </c>
      <c r="AB130" s="76">
        <f>SUMIFS('январь 2025'!$G$5:$G$2334,'январь 2025'!$D$5:$D$2334,$B130,'январь 2025'!$J$5:$J$2334,AB$1)</f>
        <v>0</v>
      </c>
      <c r="AC130" s="76">
        <f>SUMIFS('январь 2025'!$G$5:$G$2334,'январь 2025'!$D$5:$D$2334,$B130,'январь 2025'!$J$5:$J$2334,AC$1)</f>
        <v>0</v>
      </c>
      <c r="AD130" s="76">
        <f>SUMIFS('январь 2025'!$G$5:$G$2334,'январь 2025'!$D$5:$D$2334,$B130,'январь 2025'!$J$5:$J$2334,AD$1)</f>
        <v>0</v>
      </c>
      <c r="AE130" s="76">
        <f>SUMIFS('январь 2025'!$G$5:$G$2334,'январь 2025'!$D$5:$D$2334,$B130,'январь 2025'!$J$5:$J$2334,AE$1)</f>
        <v>0</v>
      </c>
      <c r="AF130" s="76">
        <f>SUMIFS('январь 2025'!$G$5:$G$2334,'январь 2025'!$D$5:$D$2334,$B130,'январь 2025'!$J$5:$J$2334,AF$1)</f>
        <v>0</v>
      </c>
      <c r="AG130" s="76">
        <f>SUMIFS('январь 2025'!$G$5:$G$2334,'январь 2025'!$D$5:$D$2334,$B130,'январь 2025'!$J$5:$J$2334,AG$1)</f>
        <v>0</v>
      </c>
      <c r="AH130" s="76">
        <f>SUMIFS('январь 2025'!$G$5:$G$2334,'январь 2025'!$D$5:$D$2334,$B130,'январь 2025'!$J$5:$J$2334,AH$1)</f>
        <v>0</v>
      </c>
      <c r="AI130" s="20">
        <f t="shared" si="1"/>
        <v>0</v>
      </c>
    </row>
    <row r="131" spans="2:35" ht="15" customHeight="1" x14ac:dyDescent="0.25">
      <c r="B131" s="84" t="s">
        <v>295</v>
      </c>
      <c r="C131" s="86">
        <v>190</v>
      </c>
      <c r="D131" s="76">
        <f>SUMIFS('январь 2025'!$G$5:$G$2334,'январь 2025'!$D$5:$D$2334,$B131,'январь 2025'!$J$5:$J$2334,D$1)</f>
        <v>0</v>
      </c>
      <c r="E131" s="76">
        <f>SUMIFS('январь 2025'!$G$5:$G$2334,'январь 2025'!$D$5:$D$2334,$B131,'январь 2025'!$J$5:$J$2334,E$1)</f>
        <v>0</v>
      </c>
      <c r="F131" s="76">
        <f>SUMIFS('январь 2025'!$G$5:$G$2334,'январь 2025'!$D$5:$D$2334,$B131,'январь 2025'!$J$5:$J$2334,F$1)</f>
        <v>0</v>
      </c>
      <c r="G131" s="76">
        <f>SUMIFS('январь 2025'!$G$5:$G$2334,'январь 2025'!$D$5:$D$2334,$B131,'январь 2025'!$J$5:$J$2334,G$1)</f>
        <v>0</v>
      </c>
      <c r="H131" s="76">
        <f>SUMIFS('январь 2025'!$G$5:$G$2334,'январь 2025'!$D$5:$D$2334,$B131,'январь 2025'!$J$5:$J$2334,H$1)</f>
        <v>0</v>
      </c>
      <c r="I131" s="76">
        <f>SUMIFS('январь 2025'!$G$5:$G$2334,'январь 2025'!$D$5:$D$2334,$B131,'январь 2025'!$J$5:$J$2334,I$1)</f>
        <v>0</v>
      </c>
      <c r="J131" s="76">
        <f>SUMIFS('январь 2025'!$G$5:$G$2334,'январь 2025'!$D$5:$D$2334,$B131,'январь 2025'!$J$5:$J$2334,J$1)</f>
        <v>0</v>
      </c>
      <c r="K131" s="76">
        <f>SUMIFS('январь 2025'!$G$5:$G$2334,'январь 2025'!$D$5:$D$2334,$B131,'январь 2025'!$J$5:$J$2334,K$1)</f>
        <v>0</v>
      </c>
      <c r="L131" s="76">
        <f>SUMIFS('январь 2025'!$G$5:$G$2334,'январь 2025'!$D$5:$D$2334,$B131,'январь 2025'!$J$5:$J$2334,L$1)</f>
        <v>0</v>
      </c>
      <c r="M131" s="76">
        <f>SUMIFS('январь 2025'!$G$5:$G$2334,'январь 2025'!$D$5:$D$2334,$B131,'январь 2025'!$J$5:$J$2334,M$1)</f>
        <v>0</v>
      </c>
      <c r="N131" s="76">
        <f>SUMIFS('январь 2025'!$G$5:$G$2334,'январь 2025'!$D$5:$D$2334,$B131,'январь 2025'!$J$5:$J$2334,N$1)</f>
        <v>0</v>
      </c>
      <c r="O131" s="76">
        <f>SUMIFS('январь 2025'!$G$5:$G$2334,'январь 2025'!$D$5:$D$2334,$B131,'январь 2025'!$J$5:$J$2334,O$1)</f>
        <v>0</v>
      </c>
      <c r="P131" s="76">
        <f>SUMIFS('январь 2025'!$G$5:$G$2334,'январь 2025'!$D$5:$D$2334,$B131,'январь 2025'!$J$5:$J$2334,P$1)</f>
        <v>0</v>
      </c>
      <c r="Q131" s="76">
        <f>SUMIFS('январь 2025'!$G$5:$G$2334,'январь 2025'!$D$5:$D$2334,$B131,'январь 2025'!$J$5:$J$2334,Q$1)</f>
        <v>0</v>
      </c>
      <c r="R131" s="76">
        <f>SUMIFS('январь 2025'!$G$5:$G$2334,'январь 2025'!$D$5:$D$2334,$B131,'январь 2025'!$J$5:$J$2334,R$1)</f>
        <v>0</v>
      </c>
      <c r="S131" s="76">
        <f>SUMIFS('январь 2025'!$G$5:$G$2334,'январь 2025'!$D$5:$D$2334,$B131,'январь 2025'!$J$5:$J$2334,S$1)</f>
        <v>0</v>
      </c>
      <c r="T131" s="76">
        <f>SUMIFS('январь 2025'!$G$5:$G$2334,'январь 2025'!$D$5:$D$2334,$B131,'январь 2025'!$J$5:$J$2334,T$1)</f>
        <v>0</v>
      </c>
      <c r="U131" s="76">
        <f>SUMIFS('январь 2025'!$G$5:$G$2334,'январь 2025'!$D$5:$D$2334,$B131,'январь 2025'!$J$5:$J$2334,U$1)</f>
        <v>0</v>
      </c>
      <c r="V131" s="76">
        <f>SUMIFS('январь 2025'!$G$5:$G$2334,'январь 2025'!$D$5:$D$2334,$B131,'январь 2025'!$J$5:$J$2334,V$1)</f>
        <v>0</v>
      </c>
      <c r="W131" s="76">
        <f>SUMIFS('январь 2025'!$G$5:$G$2334,'январь 2025'!$D$5:$D$2334,$B131,'январь 2025'!$J$5:$J$2334,W$1)</f>
        <v>0</v>
      </c>
      <c r="X131" s="76">
        <f>SUMIFS('январь 2025'!$G$5:$G$2334,'январь 2025'!$D$5:$D$2334,$B131,'январь 2025'!$J$5:$J$2334,X$1)</f>
        <v>0</v>
      </c>
      <c r="Y131" s="76">
        <f>SUMIFS('январь 2025'!$G$5:$G$2334,'январь 2025'!$D$5:$D$2334,$B131,'январь 2025'!$J$5:$J$2334,Y$1)</f>
        <v>0</v>
      </c>
      <c r="Z131" s="76">
        <f>SUMIFS('январь 2025'!$G$5:$G$2334,'январь 2025'!$D$5:$D$2334,$B131,'январь 2025'!$J$5:$J$2334,Z$1)</f>
        <v>0</v>
      </c>
      <c r="AA131" s="76">
        <f>SUMIFS('январь 2025'!$G$5:$G$2334,'январь 2025'!$D$5:$D$2334,$B131,'январь 2025'!$J$5:$J$2334,AA$1)</f>
        <v>0</v>
      </c>
      <c r="AB131" s="76">
        <f>SUMIFS('январь 2025'!$G$5:$G$2334,'январь 2025'!$D$5:$D$2334,$B131,'январь 2025'!$J$5:$J$2334,AB$1)</f>
        <v>0</v>
      </c>
      <c r="AC131" s="76">
        <f>SUMIFS('январь 2025'!$G$5:$G$2334,'январь 2025'!$D$5:$D$2334,$B131,'январь 2025'!$J$5:$J$2334,AC$1)</f>
        <v>0</v>
      </c>
      <c r="AD131" s="76">
        <f>SUMIFS('январь 2025'!$G$5:$G$2334,'январь 2025'!$D$5:$D$2334,$B131,'январь 2025'!$J$5:$J$2334,AD$1)</f>
        <v>0</v>
      </c>
      <c r="AE131" s="76">
        <f>SUMIFS('январь 2025'!$G$5:$G$2334,'январь 2025'!$D$5:$D$2334,$B131,'январь 2025'!$J$5:$J$2334,AE$1)</f>
        <v>0</v>
      </c>
      <c r="AF131" s="76">
        <f>SUMIFS('январь 2025'!$G$5:$G$2334,'январь 2025'!$D$5:$D$2334,$B131,'январь 2025'!$J$5:$J$2334,AF$1)</f>
        <v>0</v>
      </c>
      <c r="AG131" s="76">
        <f>SUMIFS('январь 2025'!$G$5:$G$2334,'январь 2025'!$D$5:$D$2334,$B131,'январь 2025'!$J$5:$J$2334,AG$1)</f>
        <v>0</v>
      </c>
      <c r="AH131" s="76">
        <f>SUMIFS('январь 2025'!$G$5:$G$2334,'январь 2025'!$D$5:$D$2334,$B131,'январь 2025'!$J$5:$J$2334,AH$1)</f>
        <v>0</v>
      </c>
      <c r="AI131" s="20">
        <f t="shared" si="1"/>
        <v>0</v>
      </c>
    </row>
    <row r="132" spans="2:35" ht="15" customHeight="1" x14ac:dyDescent="0.25">
      <c r="B132" s="84" t="s">
        <v>269</v>
      </c>
      <c r="C132" s="86">
        <v>200</v>
      </c>
      <c r="D132" s="76">
        <f>SUMIFS('январь 2025'!$G$5:$G$2334,'январь 2025'!$D$5:$D$2334,$B132,'январь 2025'!$J$5:$J$2334,D$1)</f>
        <v>0</v>
      </c>
      <c r="E132" s="76">
        <f>SUMIFS('январь 2025'!$G$5:$G$2334,'январь 2025'!$D$5:$D$2334,$B132,'январь 2025'!$J$5:$J$2334,E$1)</f>
        <v>0</v>
      </c>
      <c r="F132" s="76">
        <f>SUMIFS('январь 2025'!$G$5:$G$2334,'январь 2025'!$D$5:$D$2334,$B132,'январь 2025'!$J$5:$J$2334,F$1)</f>
        <v>0</v>
      </c>
      <c r="G132" s="76">
        <f>SUMIFS('январь 2025'!$G$5:$G$2334,'январь 2025'!$D$5:$D$2334,$B132,'январь 2025'!$J$5:$J$2334,G$1)</f>
        <v>0</v>
      </c>
      <c r="H132" s="76">
        <f>SUMIFS('январь 2025'!$G$5:$G$2334,'январь 2025'!$D$5:$D$2334,$B132,'январь 2025'!$J$5:$J$2334,H$1)</f>
        <v>0</v>
      </c>
      <c r="I132" s="76">
        <f>SUMIFS('январь 2025'!$G$5:$G$2334,'январь 2025'!$D$5:$D$2334,$B132,'январь 2025'!$J$5:$J$2334,I$1)</f>
        <v>0</v>
      </c>
      <c r="J132" s="76">
        <f>SUMIFS('январь 2025'!$G$5:$G$2334,'январь 2025'!$D$5:$D$2334,$B132,'январь 2025'!$J$5:$J$2334,J$1)</f>
        <v>0</v>
      </c>
      <c r="K132" s="76">
        <f>SUMIFS('январь 2025'!$G$5:$G$2334,'январь 2025'!$D$5:$D$2334,$B132,'январь 2025'!$J$5:$J$2334,K$1)</f>
        <v>0</v>
      </c>
      <c r="L132" s="76">
        <f>SUMIFS('январь 2025'!$G$5:$G$2334,'январь 2025'!$D$5:$D$2334,$B132,'январь 2025'!$J$5:$J$2334,L$1)</f>
        <v>0</v>
      </c>
      <c r="M132" s="76">
        <f>SUMIFS('январь 2025'!$G$5:$G$2334,'январь 2025'!$D$5:$D$2334,$B132,'январь 2025'!$J$5:$J$2334,M$1)</f>
        <v>0</v>
      </c>
      <c r="N132" s="76">
        <f>SUMIFS('январь 2025'!$G$5:$G$2334,'январь 2025'!$D$5:$D$2334,$B132,'январь 2025'!$J$5:$J$2334,N$1)</f>
        <v>0</v>
      </c>
      <c r="O132" s="76">
        <f>SUMIFS('январь 2025'!$G$5:$G$2334,'январь 2025'!$D$5:$D$2334,$B132,'январь 2025'!$J$5:$J$2334,O$1)</f>
        <v>0</v>
      </c>
      <c r="P132" s="76">
        <f>SUMIFS('январь 2025'!$G$5:$G$2334,'январь 2025'!$D$5:$D$2334,$B132,'январь 2025'!$J$5:$J$2334,P$1)</f>
        <v>0</v>
      </c>
      <c r="Q132" s="76">
        <f>SUMIFS('январь 2025'!$G$5:$G$2334,'январь 2025'!$D$5:$D$2334,$B132,'январь 2025'!$J$5:$J$2334,Q$1)</f>
        <v>0</v>
      </c>
      <c r="R132" s="76">
        <f>SUMIFS('январь 2025'!$G$5:$G$2334,'январь 2025'!$D$5:$D$2334,$B132,'январь 2025'!$J$5:$J$2334,R$1)</f>
        <v>0</v>
      </c>
      <c r="S132" s="76">
        <f>SUMIFS('январь 2025'!$G$5:$G$2334,'январь 2025'!$D$5:$D$2334,$B132,'январь 2025'!$J$5:$J$2334,S$1)</f>
        <v>0</v>
      </c>
      <c r="T132" s="76">
        <f>SUMIFS('январь 2025'!$G$5:$G$2334,'январь 2025'!$D$5:$D$2334,$B132,'январь 2025'!$J$5:$J$2334,T$1)</f>
        <v>0</v>
      </c>
      <c r="U132" s="76">
        <f>SUMIFS('январь 2025'!$G$5:$G$2334,'январь 2025'!$D$5:$D$2334,$B132,'январь 2025'!$J$5:$J$2334,U$1)</f>
        <v>0</v>
      </c>
      <c r="V132" s="76">
        <f>SUMIFS('январь 2025'!$G$5:$G$2334,'январь 2025'!$D$5:$D$2334,$B132,'январь 2025'!$J$5:$J$2334,V$1)</f>
        <v>0</v>
      </c>
      <c r="W132" s="76">
        <f>SUMIFS('январь 2025'!$G$5:$G$2334,'январь 2025'!$D$5:$D$2334,$B132,'январь 2025'!$J$5:$J$2334,W$1)</f>
        <v>0</v>
      </c>
      <c r="X132" s="76">
        <f>SUMIFS('январь 2025'!$G$5:$G$2334,'январь 2025'!$D$5:$D$2334,$B132,'январь 2025'!$J$5:$J$2334,X$1)</f>
        <v>0</v>
      </c>
      <c r="Y132" s="76">
        <f>SUMIFS('январь 2025'!$G$5:$G$2334,'январь 2025'!$D$5:$D$2334,$B132,'январь 2025'!$J$5:$J$2334,Y$1)</f>
        <v>0</v>
      </c>
      <c r="Z132" s="76">
        <f>SUMIFS('январь 2025'!$G$5:$G$2334,'январь 2025'!$D$5:$D$2334,$B132,'январь 2025'!$J$5:$J$2334,Z$1)</f>
        <v>0</v>
      </c>
      <c r="AA132" s="76">
        <f>SUMIFS('январь 2025'!$G$5:$G$2334,'январь 2025'!$D$5:$D$2334,$B132,'январь 2025'!$J$5:$J$2334,AA$1)</f>
        <v>0</v>
      </c>
      <c r="AB132" s="76">
        <f>SUMIFS('январь 2025'!$G$5:$G$2334,'январь 2025'!$D$5:$D$2334,$B132,'январь 2025'!$J$5:$J$2334,AB$1)</f>
        <v>0</v>
      </c>
      <c r="AC132" s="76">
        <f>SUMIFS('январь 2025'!$G$5:$G$2334,'январь 2025'!$D$5:$D$2334,$B132,'январь 2025'!$J$5:$J$2334,AC$1)</f>
        <v>0</v>
      </c>
      <c r="AD132" s="76">
        <f>SUMIFS('январь 2025'!$G$5:$G$2334,'январь 2025'!$D$5:$D$2334,$B132,'январь 2025'!$J$5:$J$2334,AD$1)</f>
        <v>0</v>
      </c>
      <c r="AE132" s="76">
        <f>SUMIFS('январь 2025'!$G$5:$G$2334,'январь 2025'!$D$5:$D$2334,$B132,'январь 2025'!$J$5:$J$2334,AE$1)</f>
        <v>0</v>
      </c>
      <c r="AF132" s="76">
        <f>SUMIFS('январь 2025'!$G$5:$G$2334,'январь 2025'!$D$5:$D$2334,$B132,'январь 2025'!$J$5:$J$2334,AF$1)</f>
        <v>0</v>
      </c>
      <c r="AG132" s="76">
        <f>SUMIFS('январь 2025'!$G$5:$G$2334,'январь 2025'!$D$5:$D$2334,$B132,'январь 2025'!$J$5:$J$2334,AG$1)</f>
        <v>0</v>
      </c>
      <c r="AH132" s="76">
        <f>SUMIFS('январь 2025'!$G$5:$G$2334,'январь 2025'!$D$5:$D$2334,$B132,'январь 2025'!$J$5:$J$2334,AH$1)</f>
        <v>0</v>
      </c>
      <c r="AI132" s="20">
        <f t="shared" si="1"/>
        <v>0</v>
      </c>
    </row>
    <row r="133" spans="2:35" ht="15" customHeight="1" x14ac:dyDescent="0.25">
      <c r="B133" s="84" t="s">
        <v>279</v>
      </c>
      <c r="C133" s="86">
        <v>200</v>
      </c>
      <c r="D133" s="76">
        <f>SUMIFS('январь 2025'!$G$5:$G$2334,'январь 2025'!$D$5:$D$2334,$B133,'январь 2025'!$J$5:$J$2334,D$1)</f>
        <v>0</v>
      </c>
      <c r="E133" s="76">
        <f>SUMIFS('январь 2025'!$G$5:$G$2334,'январь 2025'!$D$5:$D$2334,$B133,'январь 2025'!$J$5:$J$2334,E$1)</f>
        <v>0</v>
      </c>
      <c r="F133" s="76">
        <f>SUMIFS('январь 2025'!$G$5:$G$2334,'январь 2025'!$D$5:$D$2334,$B133,'январь 2025'!$J$5:$J$2334,F$1)</f>
        <v>0</v>
      </c>
      <c r="G133" s="76">
        <f>SUMIFS('январь 2025'!$G$5:$G$2334,'январь 2025'!$D$5:$D$2334,$B133,'январь 2025'!$J$5:$J$2334,G$1)</f>
        <v>0</v>
      </c>
      <c r="H133" s="76">
        <f>SUMIFS('январь 2025'!$G$5:$G$2334,'январь 2025'!$D$5:$D$2334,$B133,'январь 2025'!$J$5:$J$2334,H$1)</f>
        <v>0</v>
      </c>
      <c r="I133" s="76">
        <f>SUMIFS('январь 2025'!$G$5:$G$2334,'январь 2025'!$D$5:$D$2334,$B133,'январь 2025'!$J$5:$J$2334,I$1)</f>
        <v>0</v>
      </c>
      <c r="J133" s="76">
        <f>SUMIFS('январь 2025'!$G$5:$G$2334,'январь 2025'!$D$5:$D$2334,$B133,'январь 2025'!$J$5:$J$2334,J$1)</f>
        <v>0</v>
      </c>
      <c r="K133" s="76">
        <f>SUMIFS('январь 2025'!$G$5:$G$2334,'январь 2025'!$D$5:$D$2334,$B133,'январь 2025'!$J$5:$J$2334,K$1)</f>
        <v>0</v>
      </c>
      <c r="L133" s="76">
        <f>SUMIFS('январь 2025'!$G$5:$G$2334,'январь 2025'!$D$5:$D$2334,$B133,'январь 2025'!$J$5:$J$2334,L$1)</f>
        <v>0</v>
      </c>
      <c r="M133" s="76">
        <f>SUMIFS('январь 2025'!$G$5:$G$2334,'январь 2025'!$D$5:$D$2334,$B133,'январь 2025'!$J$5:$J$2334,M$1)</f>
        <v>0</v>
      </c>
      <c r="N133" s="76">
        <f>SUMIFS('январь 2025'!$G$5:$G$2334,'январь 2025'!$D$5:$D$2334,$B133,'январь 2025'!$J$5:$J$2334,N$1)</f>
        <v>0</v>
      </c>
      <c r="O133" s="76">
        <f>SUMIFS('январь 2025'!$G$5:$G$2334,'январь 2025'!$D$5:$D$2334,$B133,'январь 2025'!$J$5:$J$2334,O$1)</f>
        <v>0</v>
      </c>
      <c r="P133" s="76">
        <f>SUMIFS('январь 2025'!$G$5:$G$2334,'январь 2025'!$D$5:$D$2334,$B133,'январь 2025'!$J$5:$J$2334,P$1)</f>
        <v>0</v>
      </c>
      <c r="Q133" s="76">
        <f>SUMIFS('январь 2025'!$G$5:$G$2334,'январь 2025'!$D$5:$D$2334,$B133,'январь 2025'!$J$5:$J$2334,Q$1)</f>
        <v>0</v>
      </c>
      <c r="R133" s="76">
        <f>SUMIFS('январь 2025'!$G$5:$G$2334,'январь 2025'!$D$5:$D$2334,$B133,'январь 2025'!$J$5:$J$2334,R$1)</f>
        <v>0</v>
      </c>
      <c r="S133" s="76">
        <f>SUMIFS('январь 2025'!$G$5:$G$2334,'январь 2025'!$D$5:$D$2334,$B133,'январь 2025'!$J$5:$J$2334,S$1)</f>
        <v>0</v>
      </c>
      <c r="T133" s="76">
        <f>SUMIFS('январь 2025'!$G$5:$G$2334,'январь 2025'!$D$5:$D$2334,$B133,'январь 2025'!$J$5:$J$2334,T$1)</f>
        <v>0</v>
      </c>
      <c r="U133" s="76">
        <f>SUMIFS('январь 2025'!$G$5:$G$2334,'январь 2025'!$D$5:$D$2334,$B133,'январь 2025'!$J$5:$J$2334,U$1)</f>
        <v>0</v>
      </c>
      <c r="V133" s="76">
        <f>SUMIFS('январь 2025'!$G$5:$G$2334,'январь 2025'!$D$5:$D$2334,$B133,'январь 2025'!$J$5:$J$2334,V$1)</f>
        <v>0</v>
      </c>
      <c r="W133" s="76">
        <f>SUMIFS('январь 2025'!$G$5:$G$2334,'январь 2025'!$D$5:$D$2334,$B133,'январь 2025'!$J$5:$J$2334,W$1)</f>
        <v>0</v>
      </c>
      <c r="X133" s="76">
        <f>SUMIFS('январь 2025'!$G$5:$G$2334,'январь 2025'!$D$5:$D$2334,$B133,'январь 2025'!$J$5:$J$2334,X$1)</f>
        <v>0</v>
      </c>
      <c r="Y133" s="76">
        <f>SUMIFS('январь 2025'!$G$5:$G$2334,'январь 2025'!$D$5:$D$2334,$B133,'январь 2025'!$J$5:$J$2334,Y$1)</f>
        <v>0</v>
      </c>
      <c r="Z133" s="76">
        <f>SUMIFS('январь 2025'!$G$5:$G$2334,'январь 2025'!$D$5:$D$2334,$B133,'январь 2025'!$J$5:$J$2334,Z$1)</f>
        <v>0</v>
      </c>
      <c r="AA133" s="76">
        <f>SUMIFS('январь 2025'!$G$5:$G$2334,'январь 2025'!$D$5:$D$2334,$B133,'январь 2025'!$J$5:$J$2334,AA$1)</f>
        <v>0</v>
      </c>
      <c r="AB133" s="76">
        <f>SUMIFS('январь 2025'!$G$5:$G$2334,'январь 2025'!$D$5:$D$2334,$B133,'январь 2025'!$J$5:$J$2334,AB$1)</f>
        <v>0</v>
      </c>
      <c r="AC133" s="76">
        <f>SUMIFS('январь 2025'!$G$5:$G$2334,'январь 2025'!$D$5:$D$2334,$B133,'январь 2025'!$J$5:$J$2334,AC$1)</f>
        <v>0</v>
      </c>
      <c r="AD133" s="76">
        <f>SUMIFS('январь 2025'!$G$5:$G$2334,'январь 2025'!$D$5:$D$2334,$B133,'январь 2025'!$J$5:$J$2334,AD$1)</f>
        <v>0</v>
      </c>
      <c r="AE133" s="76">
        <f>SUMIFS('январь 2025'!$G$5:$G$2334,'январь 2025'!$D$5:$D$2334,$B133,'январь 2025'!$J$5:$J$2334,AE$1)</f>
        <v>0</v>
      </c>
      <c r="AF133" s="76">
        <f>SUMIFS('январь 2025'!$G$5:$G$2334,'январь 2025'!$D$5:$D$2334,$B133,'январь 2025'!$J$5:$J$2334,AF$1)</f>
        <v>0</v>
      </c>
      <c r="AG133" s="76">
        <f>SUMIFS('январь 2025'!$G$5:$G$2334,'январь 2025'!$D$5:$D$2334,$B133,'январь 2025'!$J$5:$J$2334,AG$1)</f>
        <v>0</v>
      </c>
      <c r="AH133" s="76">
        <f>SUMIFS('январь 2025'!$G$5:$G$2334,'январь 2025'!$D$5:$D$2334,$B133,'январь 2025'!$J$5:$J$2334,AH$1)</f>
        <v>0</v>
      </c>
      <c r="AI133" s="20">
        <f t="shared" si="1"/>
        <v>0</v>
      </c>
    </row>
    <row r="134" spans="2:35" ht="15" customHeight="1" x14ac:dyDescent="0.25">
      <c r="B134" s="84" t="s">
        <v>197</v>
      </c>
      <c r="C134" s="86">
        <v>180</v>
      </c>
      <c r="D134" s="76">
        <f>SUMIFS('январь 2025'!$G$5:$G$2334,'январь 2025'!$D$5:$D$2334,$B134,'январь 2025'!$J$5:$J$2334,D$1)</f>
        <v>0</v>
      </c>
      <c r="E134" s="76">
        <f>SUMIFS('январь 2025'!$G$5:$G$2334,'январь 2025'!$D$5:$D$2334,$B134,'январь 2025'!$J$5:$J$2334,E$1)</f>
        <v>0</v>
      </c>
      <c r="F134" s="76">
        <f>SUMIFS('январь 2025'!$G$5:$G$2334,'январь 2025'!$D$5:$D$2334,$B134,'январь 2025'!$J$5:$J$2334,F$1)</f>
        <v>0</v>
      </c>
      <c r="G134" s="76">
        <f>SUMIFS('январь 2025'!$G$5:$G$2334,'январь 2025'!$D$5:$D$2334,$B134,'январь 2025'!$J$5:$J$2334,G$1)</f>
        <v>0</v>
      </c>
      <c r="H134" s="76">
        <f>SUMIFS('январь 2025'!$G$5:$G$2334,'январь 2025'!$D$5:$D$2334,$B134,'январь 2025'!$J$5:$J$2334,H$1)</f>
        <v>0</v>
      </c>
      <c r="I134" s="76">
        <f>SUMIFS('январь 2025'!$G$5:$G$2334,'январь 2025'!$D$5:$D$2334,$B134,'январь 2025'!$J$5:$J$2334,I$1)</f>
        <v>0</v>
      </c>
      <c r="J134" s="76">
        <f>SUMIFS('январь 2025'!$G$5:$G$2334,'январь 2025'!$D$5:$D$2334,$B134,'январь 2025'!$J$5:$J$2334,J$1)</f>
        <v>0</v>
      </c>
      <c r="K134" s="76">
        <f>SUMIFS('январь 2025'!$G$5:$G$2334,'январь 2025'!$D$5:$D$2334,$B134,'январь 2025'!$J$5:$J$2334,K$1)</f>
        <v>0</v>
      </c>
      <c r="L134" s="76">
        <f>SUMIFS('январь 2025'!$G$5:$G$2334,'январь 2025'!$D$5:$D$2334,$B134,'январь 2025'!$J$5:$J$2334,L$1)</f>
        <v>0</v>
      </c>
      <c r="M134" s="76">
        <f>SUMIFS('январь 2025'!$G$5:$G$2334,'январь 2025'!$D$5:$D$2334,$B134,'январь 2025'!$J$5:$J$2334,M$1)</f>
        <v>0</v>
      </c>
      <c r="N134" s="76">
        <f>SUMIFS('январь 2025'!$G$5:$G$2334,'январь 2025'!$D$5:$D$2334,$B134,'январь 2025'!$J$5:$J$2334,N$1)</f>
        <v>0</v>
      </c>
      <c r="O134" s="76">
        <f>SUMIFS('январь 2025'!$G$5:$G$2334,'январь 2025'!$D$5:$D$2334,$B134,'январь 2025'!$J$5:$J$2334,O$1)</f>
        <v>0</v>
      </c>
      <c r="P134" s="76">
        <f>SUMIFS('январь 2025'!$G$5:$G$2334,'январь 2025'!$D$5:$D$2334,$B134,'январь 2025'!$J$5:$J$2334,P$1)</f>
        <v>0</v>
      </c>
      <c r="Q134" s="76">
        <f>SUMIFS('январь 2025'!$G$5:$G$2334,'январь 2025'!$D$5:$D$2334,$B134,'январь 2025'!$J$5:$J$2334,Q$1)</f>
        <v>0</v>
      </c>
      <c r="R134" s="76">
        <f>SUMIFS('январь 2025'!$G$5:$G$2334,'январь 2025'!$D$5:$D$2334,$B134,'январь 2025'!$J$5:$J$2334,R$1)</f>
        <v>0</v>
      </c>
      <c r="S134" s="76">
        <f>SUMIFS('январь 2025'!$G$5:$G$2334,'январь 2025'!$D$5:$D$2334,$B134,'январь 2025'!$J$5:$J$2334,S$1)</f>
        <v>0</v>
      </c>
      <c r="T134" s="76">
        <f>SUMIFS('январь 2025'!$G$5:$G$2334,'январь 2025'!$D$5:$D$2334,$B134,'январь 2025'!$J$5:$J$2334,T$1)</f>
        <v>0</v>
      </c>
      <c r="U134" s="76">
        <f>SUMIFS('январь 2025'!$G$5:$G$2334,'январь 2025'!$D$5:$D$2334,$B134,'январь 2025'!$J$5:$J$2334,U$1)</f>
        <v>0</v>
      </c>
      <c r="V134" s="76">
        <f>SUMIFS('январь 2025'!$G$5:$G$2334,'январь 2025'!$D$5:$D$2334,$B134,'январь 2025'!$J$5:$J$2334,V$1)</f>
        <v>0</v>
      </c>
      <c r="W134" s="76">
        <f>SUMIFS('январь 2025'!$G$5:$G$2334,'январь 2025'!$D$5:$D$2334,$B134,'январь 2025'!$J$5:$J$2334,W$1)</f>
        <v>0</v>
      </c>
      <c r="X134" s="76">
        <f>SUMIFS('январь 2025'!$G$5:$G$2334,'январь 2025'!$D$5:$D$2334,$B134,'январь 2025'!$J$5:$J$2334,X$1)</f>
        <v>0</v>
      </c>
      <c r="Y134" s="76">
        <f>SUMIFS('январь 2025'!$G$5:$G$2334,'январь 2025'!$D$5:$D$2334,$B134,'январь 2025'!$J$5:$J$2334,Y$1)</f>
        <v>0</v>
      </c>
      <c r="Z134" s="76">
        <f>SUMIFS('январь 2025'!$G$5:$G$2334,'январь 2025'!$D$5:$D$2334,$B134,'январь 2025'!$J$5:$J$2334,Z$1)</f>
        <v>0</v>
      </c>
      <c r="AA134" s="76">
        <f>SUMIFS('январь 2025'!$G$5:$G$2334,'январь 2025'!$D$5:$D$2334,$B134,'январь 2025'!$J$5:$J$2334,AA$1)</f>
        <v>0</v>
      </c>
      <c r="AB134" s="76">
        <f>SUMIFS('январь 2025'!$G$5:$G$2334,'январь 2025'!$D$5:$D$2334,$B134,'январь 2025'!$J$5:$J$2334,AB$1)</f>
        <v>0</v>
      </c>
      <c r="AC134" s="76">
        <f>SUMIFS('январь 2025'!$G$5:$G$2334,'январь 2025'!$D$5:$D$2334,$B134,'январь 2025'!$J$5:$J$2334,AC$1)</f>
        <v>0</v>
      </c>
      <c r="AD134" s="76">
        <f>SUMIFS('январь 2025'!$G$5:$G$2334,'январь 2025'!$D$5:$D$2334,$B134,'январь 2025'!$J$5:$J$2334,AD$1)</f>
        <v>0</v>
      </c>
      <c r="AE134" s="76">
        <f>SUMIFS('январь 2025'!$G$5:$G$2334,'январь 2025'!$D$5:$D$2334,$B134,'январь 2025'!$J$5:$J$2334,AE$1)</f>
        <v>0</v>
      </c>
      <c r="AF134" s="76">
        <f>SUMIFS('январь 2025'!$G$5:$G$2334,'январь 2025'!$D$5:$D$2334,$B134,'январь 2025'!$J$5:$J$2334,AF$1)</f>
        <v>0</v>
      </c>
      <c r="AG134" s="76">
        <f>SUMIFS('январь 2025'!$G$5:$G$2334,'январь 2025'!$D$5:$D$2334,$B134,'январь 2025'!$J$5:$J$2334,AG$1)</f>
        <v>0</v>
      </c>
      <c r="AH134" s="76">
        <f>SUMIFS('январь 2025'!$G$5:$G$2334,'январь 2025'!$D$5:$D$2334,$B134,'январь 2025'!$J$5:$J$2334,AH$1)</f>
        <v>0</v>
      </c>
      <c r="AI134" s="20">
        <f t="shared" si="1"/>
        <v>0</v>
      </c>
    </row>
    <row r="135" spans="2:35" ht="15" customHeight="1" x14ac:dyDescent="0.25">
      <c r="B135" s="88" t="s">
        <v>293</v>
      </c>
      <c r="C135" s="86">
        <v>180</v>
      </c>
      <c r="D135" s="76">
        <f>SUMIFS('январь 2025'!$G$5:$G$2334,'январь 2025'!$D$5:$D$2334,$B135,'январь 2025'!$J$5:$J$2334,D$1)</f>
        <v>0</v>
      </c>
      <c r="E135" s="76">
        <f>SUMIFS('январь 2025'!$G$5:$G$2334,'январь 2025'!$D$5:$D$2334,$B135,'январь 2025'!$J$5:$J$2334,E$1)</f>
        <v>0</v>
      </c>
      <c r="F135" s="76">
        <f>SUMIFS('январь 2025'!$G$5:$G$2334,'январь 2025'!$D$5:$D$2334,$B135,'январь 2025'!$J$5:$J$2334,F$1)</f>
        <v>0</v>
      </c>
      <c r="G135" s="76">
        <f>SUMIFS('январь 2025'!$G$5:$G$2334,'январь 2025'!$D$5:$D$2334,$B135,'январь 2025'!$J$5:$J$2334,G$1)</f>
        <v>0</v>
      </c>
      <c r="H135" s="76">
        <f>SUMIFS('январь 2025'!$G$5:$G$2334,'январь 2025'!$D$5:$D$2334,$B135,'январь 2025'!$J$5:$J$2334,H$1)</f>
        <v>0</v>
      </c>
      <c r="I135" s="76">
        <f>SUMIFS('январь 2025'!$G$5:$G$2334,'январь 2025'!$D$5:$D$2334,$B135,'январь 2025'!$J$5:$J$2334,I$1)</f>
        <v>0</v>
      </c>
      <c r="J135" s="76">
        <f>SUMIFS('январь 2025'!$G$5:$G$2334,'январь 2025'!$D$5:$D$2334,$B135,'январь 2025'!$J$5:$J$2334,J$1)</f>
        <v>0</v>
      </c>
      <c r="K135" s="76">
        <f>SUMIFS('январь 2025'!$G$5:$G$2334,'январь 2025'!$D$5:$D$2334,$B135,'январь 2025'!$J$5:$J$2334,K$1)</f>
        <v>0</v>
      </c>
      <c r="L135" s="76">
        <f>SUMIFS('январь 2025'!$G$5:$G$2334,'январь 2025'!$D$5:$D$2334,$B135,'январь 2025'!$J$5:$J$2334,L$1)</f>
        <v>0</v>
      </c>
      <c r="M135" s="76">
        <f>SUMIFS('январь 2025'!$G$5:$G$2334,'январь 2025'!$D$5:$D$2334,$B135,'январь 2025'!$J$5:$J$2334,M$1)</f>
        <v>0</v>
      </c>
      <c r="N135" s="76">
        <f>SUMIFS('январь 2025'!$G$5:$G$2334,'январь 2025'!$D$5:$D$2334,$B135,'январь 2025'!$J$5:$J$2334,N$1)</f>
        <v>0</v>
      </c>
      <c r="O135" s="76">
        <f>SUMIFS('январь 2025'!$G$5:$G$2334,'январь 2025'!$D$5:$D$2334,$B135,'январь 2025'!$J$5:$J$2334,O$1)</f>
        <v>0</v>
      </c>
      <c r="P135" s="76">
        <f>SUMIFS('январь 2025'!$G$5:$G$2334,'январь 2025'!$D$5:$D$2334,$B135,'январь 2025'!$J$5:$J$2334,P$1)</f>
        <v>0</v>
      </c>
      <c r="Q135" s="76">
        <f>SUMIFS('январь 2025'!$G$5:$G$2334,'январь 2025'!$D$5:$D$2334,$B135,'январь 2025'!$J$5:$J$2334,Q$1)</f>
        <v>0</v>
      </c>
      <c r="R135" s="76">
        <f>SUMIFS('январь 2025'!$G$5:$G$2334,'январь 2025'!$D$5:$D$2334,$B135,'январь 2025'!$J$5:$J$2334,R$1)</f>
        <v>0</v>
      </c>
      <c r="S135" s="76">
        <f>SUMIFS('январь 2025'!$G$5:$G$2334,'январь 2025'!$D$5:$D$2334,$B135,'январь 2025'!$J$5:$J$2334,S$1)</f>
        <v>0</v>
      </c>
      <c r="T135" s="76">
        <f>SUMIFS('январь 2025'!$G$5:$G$2334,'январь 2025'!$D$5:$D$2334,$B135,'январь 2025'!$J$5:$J$2334,T$1)</f>
        <v>0</v>
      </c>
      <c r="U135" s="76">
        <f>SUMIFS('январь 2025'!$G$5:$G$2334,'январь 2025'!$D$5:$D$2334,$B135,'январь 2025'!$J$5:$J$2334,U$1)</f>
        <v>0</v>
      </c>
      <c r="V135" s="76">
        <f>SUMIFS('январь 2025'!$G$5:$G$2334,'январь 2025'!$D$5:$D$2334,$B135,'январь 2025'!$J$5:$J$2334,V$1)</f>
        <v>0</v>
      </c>
      <c r="W135" s="76">
        <f>SUMIFS('январь 2025'!$G$5:$G$2334,'январь 2025'!$D$5:$D$2334,$B135,'январь 2025'!$J$5:$J$2334,W$1)</f>
        <v>0</v>
      </c>
      <c r="X135" s="76">
        <f>SUMIFS('январь 2025'!$G$5:$G$2334,'январь 2025'!$D$5:$D$2334,$B135,'январь 2025'!$J$5:$J$2334,X$1)</f>
        <v>0</v>
      </c>
      <c r="Y135" s="76">
        <f>SUMIFS('январь 2025'!$G$5:$G$2334,'январь 2025'!$D$5:$D$2334,$B135,'январь 2025'!$J$5:$J$2334,Y$1)</f>
        <v>0</v>
      </c>
      <c r="Z135" s="76">
        <f>SUMIFS('январь 2025'!$G$5:$G$2334,'январь 2025'!$D$5:$D$2334,$B135,'январь 2025'!$J$5:$J$2334,Z$1)</f>
        <v>0</v>
      </c>
      <c r="AA135" s="76">
        <f>SUMIFS('январь 2025'!$G$5:$G$2334,'январь 2025'!$D$5:$D$2334,$B135,'январь 2025'!$J$5:$J$2334,AA$1)</f>
        <v>0</v>
      </c>
      <c r="AB135" s="76">
        <f>SUMIFS('январь 2025'!$G$5:$G$2334,'январь 2025'!$D$5:$D$2334,$B135,'январь 2025'!$J$5:$J$2334,AB$1)</f>
        <v>0</v>
      </c>
      <c r="AC135" s="76">
        <f>SUMIFS('январь 2025'!$G$5:$G$2334,'январь 2025'!$D$5:$D$2334,$B135,'январь 2025'!$J$5:$J$2334,AC$1)</f>
        <v>0</v>
      </c>
      <c r="AD135" s="76">
        <f>SUMIFS('январь 2025'!$G$5:$G$2334,'январь 2025'!$D$5:$D$2334,$B135,'январь 2025'!$J$5:$J$2334,AD$1)</f>
        <v>0</v>
      </c>
      <c r="AE135" s="76">
        <f>SUMIFS('январь 2025'!$G$5:$G$2334,'январь 2025'!$D$5:$D$2334,$B135,'январь 2025'!$J$5:$J$2334,AE$1)</f>
        <v>0</v>
      </c>
      <c r="AF135" s="76">
        <f>SUMIFS('январь 2025'!$G$5:$G$2334,'январь 2025'!$D$5:$D$2334,$B135,'январь 2025'!$J$5:$J$2334,AF$1)</f>
        <v>0</v>
      </c>
      <c r="AG135" s="76">
        <f>SUMIFS('январь 2025'!$G$5:$G$2334,'январь 2025'!$D$5:$D$2334,$B135,'январь 2025'!$J$5:$J$2334,AG$1)</f>
        <v>0</v>
      </c>
      <c r="AH135" s="76">
        <f>SUMIFS('январь 2025'!$G$5:$G$2334,'январь 2025'!$D$5:$D$2334,$B135,'январь 2025'!$J$5:$J$2334,AH$1)</f>
        <v>0</v>
      </c>
      <c r="AI135" s="20">
        <f t="shared" si="1"/>
        <v>0</v>
      </c>
    </row>
    <row r="136" spans="2:35" ht="15" customHeight="1" x14ac:dyDescent="0.25">
      <c r="B136" s="88" t="s">
        <v>181</v>
      </c>
      <c r="C136" s="86">
        <v>190</v>
      </c>
      <c r="D136" s="76">
        <f>SUMIFS('январь 2025'!$G$5:$G$2334,'январь 2025'!$D$5:$D$2334,$B136,'январь 2025'!$J$5:$J$2334,D$1)</f>
        <v>0</v>
      </c>
      <c r="E136" s="76">
        <f>SUMIFS('январь 2025'!$G$5:$G$2334,'январь 2025'!$D$5:$D$2334,$B136,'январь 2025'!$J$5:$J$2334,E$1)</f>
        <v>0</v>
      </c>
      <c r="F136" s="76">
        <f>SUMIFS('январь 2025'!$G$5:$G$2334,'январь 2025'!$D$5:$D$2334,$B136,'январь 2025'!$J$5:$J$2334,F$1)</f>
        <v>0</v>
      </c>
      <c r="G136" s="76">
        <f>SUMIFS('январь 2025'!$G$5:$G$2334,'январь 2025'!$D$5:$D$2334,$B136,'январь 2025'!$J$5:$J$2334,G$1)</f>
        <v>0</v>
      </c>
      <c r="H136" s="76">
        <f>SUMIFS('январь 2025'!$G$5:$G$2334,'январь 2025'!$D$5:$D$2334,$B136,'январь 2025'!$J$5:$J$2334,H$1)</f>
        <v>0</v>
      </c>
      <c r="I136" s="76">
        <f>SUMIFS('январь 2025'!$G$5:$G$2334,'январь 2025'!$D$5:$D$2334,$B136,'январь 2025'!$J$5:$J$2334,I$1)</f>
        <v>0</v>
      </c>
      <c r="J136" s="76">
        <f>SUMIFS('январь 2025'!$G$5:$G$2334,'январь 2025'!$D$5:$D$2334,$B136,'январь 2025'!$J$5:$J$2334,J$1)</f>
        <v>0</v>
      </c>
      <c r="K136" s="76">
        <f>SUMIFS('январь 2025'!$G$5:$G$2334,'январь 2025'!$D$5:$D$2334,$B136,'январь 2025'!$J$5:$J$2334,K$1)</f>
        <v>0</v>
      </c>
      <c r="L136" s="76">
        <f>SUMIFS('январь 2025'!$G$5:$G$2334,'январь 2025'!$D$5:$D$2334,$B136,'январь 2025'!$J$5:$J$2334,L$1)</f>
        <v>0</v>
      </c>
      <c r="M136" s="76">
        <f>SUMIFS('январь 2025'!$G$5:$G$2334,'январь 2025'!$D$5:$D$2334,$B136,'январь 2025'!$J$5:$J$2334,M$1)</f>
        <v>0</v>
      </c>
      <c r="N136" s="76">
        <f>SUMIFS('январь 2025'!$G$5:$G$2334,'январь 2025'!$D$5:$D$2334,$B136,'январь 2025'!$J$5:$J$2334,N$1)</f>
        <v>0</v>
      </c>
      <c r="O136" s="76">
        <f>SUMIFS('январь 2025'!$G$5:$G$2334,'январь 2025'!$D$5:$D$2334,$B136,'январь 2025'!$J$5:$J$2334,O$1)</f>
        <v>0</v>
      </c>
      <c r="P136" s="76">
        <f>SUMIFS('январь 2025'!$G$5:$G$2334,'январь 2025'!$D$5:$D$2334,$B136,'январь 2025'!$J$5:$J$2334,P$1)</f>
        <v>0</v>
      </c>
      <c r="Q136" s="76">
        <f>SUMIFS('январь 2025'!$G$5:$G$2334,'январь 2025'!$D$5:$D$2334,$B136,'январь 2025'!$J$5:$J$2334,Q$1)</f>
        <v>0</v>
      </c>
      <c r="R136" s="76">
        <f>SUMIFS('январь 2025'!$G$5:$G$2334,'январь 2025'!$D$5:$D$2334,$B136,'январь 2025'!$J$5:$J$2334,R$1)</f>
        <v>0</v>
      </c>
      <c r="S136" s="76">
        <f>SUMIFS('январь 2025'!$G$5:$G$2334,'январь 2025'!$D$5:$D$2334,$B136,'январь 2025'!$J$5:$J$2334,S$1)</f>
        <v>0</v>
      </c>
      <c r="T136" s="76">
        <f>SUMIFS('январь 2025'!$G$5:$G$2334,'январь 2025'!$D$5:$D$2334,$B136,'январь 2025'!$J$5:$J$2334,T$1)</f>
        <v>0</v>
      </c>
      <c r="U136" s="76">
        <f>SUMIFS('январь 2025'!$G$5:$G$2334,'январь 2025'!$D$5:$D$2334,$B136,'январь 2025'!$J$5:$J$2334,U$1)</f>
        <v>0</v>
      </c>
      <c r="V136" s="76">
        <f>SUMIFS('январь 2025'!$G$5:$G$2334,'январь 2025'!$D$5:$D$2334,$B136,'январь 2025'!$J$5:$J$2334,V$1)</f>
        <v>0</v>
      </c>
      <c r="W136" s="76">
        <f>SUMIFS('январь 2025'!$G$5:$G$2334,'январь 2025'!$D$5:$D$2334,$B136,'январь 2025'!$J$5:$J$2334,W$1)</f>
        <v>0</v>
      </c>
      <c r="X136" s="76">
        <f>SUMIFS('январь 2025'!$G$5:$G$2334,'январь 2025'!$D$5:$D$2334,$B136,'январь 2025'!$J$5:$J$2334,X$1)</f>
        <v>0</v>
      </c>
      <c r="Y136" s="76">
        <f>SUMIFS('январь 2025'!$G$5:$G$2334,'январь 2025'!$D$5:$D$2334,$B136,'январь 2025'!$J$5:$J$2334,Y$1)</f>
        <v>0</v>
      </c>
      <c r="Z136" s="76">
        <f>SUMIFS('январь 2025'!$G$5:$G$2334,'январь 2025'!$D$5:$D$2334,$B136,'январь 2025'!$J$5:$J$2334,Z$1)</f>
        <v>0</v>
      </c>
      <c r="AA136" s="76">
        <f>SUMIFS('январь 2025'!$G$5:$G$2334,'январь 2025'!$D$5:$D$2334,$B136,'январь 2025'!$J$5:$J$2334,AA$1)</f>
        <v>0</v>
      </c>
      <c r="AB136" s="76">
        <f>SUMIFS('январь 2025'!$G$5:$G$2334,'январь 2025'!$D$5:$D$2334,$B136,'январь 2025'!$J$5:$J$2334,AB$1)</f>
        <v>0</v>
      </c>
      <c r="AC136" s="76">
        <f>SUMIFS('январь 2025'!$G$5:$G$2334,'январь 2025'!$D$5:$D$2334,$B136,'январь 2025'!$J$5:$J$2334,AC$1)</f>
        <v>0</v>
      </c>
      <c r="AD136" s="76">
        <f>SUMIFS('январь 2025'!$G$5:$G$2334,'январь 2025'!$D$5:$D$2334,$B136,'январь 2025'!$J$5:$J$2334,AD$1)</f>
        <v>0</v>
      </c>
      <c r="AE136" s="76">
        <f>SUMIFS('январь 2025'!$G$5:$G$2334,'январь 2025'!$D$5:$D$2334,$B136,'январь 2025'!$J$5:$J$2334,AE$1)</f>
        <v>0</v>
      </c>
      <c r="AF136" s="76">
        <f>SUMIFS('январь 2025'!$G$5:$G$2334,'январь 2025'!$D$5:$D$2334,$B136,'январь 2025'!$J$5:$J$2334,AF$1)</f>
        <v>0</v>
      </c>
      <c r="AG136" s="76">
        <f>SUMIFS('январь 2025'!$G$5:$G$2334,'январь 2025'!$D$5:$D$2334,$B136,'январь 2025'!$J$5:$J$2334,AG$1)</f>
        <v>0</v>
      </c>
      <c r="AH136" s="76">
        <f>SUMIFS('январь 2025'!$G$5:$G$2334,'январь 2025'!$D$5:$D$2334,$B136,'январь 2025'!$J$5:$J$2334,AH$1)</f>
        <v>0</v>
      </c>
      <c r="AI136" s="20">
        <f t="shared" si="1"/>
        <v>0</v>
      </c>
    </row>
    <row r="137" spans="2:35" ht="15" customHeight="1" x14ac:dyDescent="0.25">
      <c r="B137" s="88" t="s">
        <v>270</v>
      </c>
      <c r="C137" s="86">
        <v>190</v>
      </c>
      <c r="D137" s="76">
        <f>SUMIFS('январь 2025'!$G$5:$G$2334,'январь 2025'!$D$5:$D$2334,$B137,'январь 2025'!$J$5:$J$2334,D$1)</f>
        <v>0</v>
      </c>
      <c r="E137" s="76">
        <f>SUMIFS('январь 2025'!$G$5:$G$2334,'январь 2025'!$D$5:$D$2334,$B137,'январь 2025'!$J$5:$J$2334,E$1)</f>
        <v>0</v>
      </c>
      <c r="F137" s="76">
        <f>SUMIFS('январь 2025'!$G$5:$G$2334,'январь 2025'!$D$5:$D$2334,$B137,'январь 2025'!$J$5:$J$2334,F$1)</f>
        <v>0</v>
      </c>
      <c r="G137" s="76">
        <f>SUMIFS('январь 2025'!$G$5:$G$2334,'январь 2025'!$D$5:$D$2334,$B137,'январь 2025'!$J$5:$J$2334,G$1)</f>
        <v>0</v>
      </c>
      <c r="H137" s="76">
        <f>SUMIFS('январь 2025'!$G$5:$G$2334,'январь 2025'!$D$5:$D$2334,$B137,'январь 2025'!$J$5:$J$2334,H$1)</f>
        <v>0</v>
      </c>
      <c r="I137" s="76">
        <f>SUMIFS('январь 2025'!$G$5:$G$2334,'январь 2025'!$D$5:$D$2334,$B137,'январь 2025'!$J$5:$J$2334,I$1)</f>
        <v>0</v>
      </c>
      <c r="J137" s="76">
        <f>SUMIFS('январь 2025'!$G$5:$G$2334,'январь 2025'!$D$5:$D$2334,$B137,'январь 2025'!$J$5:$J$2334,J$1)</f>
        <v>0</v>
      </c>
      <c r="K137" s="76">
        <f>SUMIFS('январь 2025'!$G$5:$G$2334,'январь 2025'!$D$5:$D$2334,$B137,'январь 2025'!$J$5:$J$2334,K$1)</f>
        <v>0</v>
      </c>
      <c r="L137" s="76">
        <f>SUMIFS('январь 2025'!$G$5:$G$2334,'январь 2025'!$D$5:$D$2334,$B137,'январь 2025'!$J$5:$J$2334,L$1)</f>
        <v>0</v>
      </c>
      <c r="M137" s="76">
        <f>SUMIFS('январь 2025'!$G$5:$G$2334,'январь 2025'!$D$5:$D$2334,$B137,'январь 2025'!$J$5:$J$2334,M$1)</f>
        <v>0</v>
      </c>
      <c r="N137" s="76">
        <f>SUMIFS('январь 2025'!$G$5:$G$2334,'январь 2025'!$D$5:$D$2334,$B137,'январь 2025'!$J$5:$J$2334,N$1)</f>
        <v>0</v>
      </c>
      <c r="O137" s="76">
        <f>SUMIFS('январь 2025'!$G$5:$G$2334,'январь 2025'!$D$5:$D$2334,$B137,'январь 2025'!$J$5:$J$2334,O$1)</f>
        <v>0</v>
      </c>
      <c r="P137" s="76">
        <f>SUMIFS('январь 2025'!$G$5:$G$2334,'январь 2025'!$D$5:$D$2334,$B137,'январь 2025'!$J$5:$J$2334,P$1)</f>
        <v>0</v>
      </c>
      <c r="Q137" s="76">
        <f>SUMIFS('январь 2025'!$G$5:$G$2334,'январь 2025'!$D$5:$D$2334,$B137,'январь 2025'!$J$5:$J$2334,Q$1)</f>
        <v>0</v>
      </c>
      <c r="R137" s="76">
        <f>SUMIFS('январь 2025'!$G$5:$G$2334,'январь 2025'!$D$5:$D$2334,$B137,'январь 2025'!$J$5:$J$2334,R$1)</f>
        <v>0</v>
      </c>
      <c r="S137" s="76">
        <f>SUMIFS('январь 2025'!$G$5:$G$2334,'январь 2025'!$D$5:$D$2334,$B137,'январь 2025'!$J$5:$J$2334,S$1)</f>
        <v>0</v>
      </c>
      <c r="T137" s="76">
        <f>SUMIFS('январь 2025'!$G$5:$G$2334,'январь 2025'!$D$5:$D$2334,$B137,'январь 2025'!$J$5:$J$2334,T$1)</f>
        <v>0</v>
      </c>
      <c r="U137" s="76">
        <f>SUMIFS('январь 2025'!$G$5:$G$2334,'январь 2025'!$D$5:$D$2334,$B137,'январь 2025'!$J$5:$J$2334,U$1)</f>
        <v>0</v>
      </c>
      <c r="V137" s="76">
        <f>SUMIFS('январь 2025'!$G$5:$G$2334,'январь 2025'!$D$5:$D$2334,$B137,'январь 2025'!$J$5:$J$2334,V$1)</f>
        <v>0</v>
      </c>
      <c r="W137" s="76">
        <f>SUMIFS('январь 2025'!$G$5:$G$2334,'январь 2025'!$D$5:$D$2334,$B137,'январь 2025'!$J$5:$J$2334,W$1)</f>
        <v>0</v>
      </c>
      <c r="X137" s="76">
        <f>SUMIFS('январь 2025'!$G$5:$G$2334,'январь 2025'!$D$5:$D$2334,$B137,'январь 2025'!$J$5:$J$2334,X$1)</f>
        <v>0</v>
      </c>
      <c r="Y137" s="76">
        <f>SUMIFS('январь 2025'!$G$5:$G$2334,'январь 2025'!$D$5:$D$2334,$B137,'январь 2025'!$J$5:$J$2334,Y$1)</f>
        <v>0</v>
      </c>
      <c r="Z137" s="76">
        <f>SUMIFS('январь 2025'!$G$5:$G$2334,'январь 2025'!$D$5:$D$2334,$B137,'январь 2025'!$J$5:$J$2334,Z$1)</f>
        <v>0</v>
      </c>
      <c r="AA137" s="76">
        <f>SUMIFS('январь 2025'!$G$5:$G$2334,'январь 2025'!$D$5:$D$2334,$B137,'январь 2025'!$J$5:$J$2334,AA$1)</f>
        <v>0</v>
      </c>
      <c r="AB137" s="76">
        <f>SUMIFS('январь 2025'!$G$5:$G$2334,'январь 2025'!$D$5:$D$2334,$B137,'январь 2025'!$J$5:$J$2334,AB$1)</f>
        <v>0</v>
      </c>
      <c r="AC137" s="76">
        <f>SUMIFS('январь 2025'!$G$5:$G$2334,'январь 2025'!$D$5:$D$2334,$B137,'январь 2025'!$J$5:$J$2334,AC$1)</f>
        <v>0</v>
      </c>
      <c r="AD137" s="76">
        <f>SUMIFS('январь 2025'!$G$5:$G$2334,'январь 2025'!$D$5:$D$2334,$B137,'январь 2025'!$J$5:$J$2334,AD$1)</f>
        <v>0</v>
      </c>
      <c r="AE137" s="76">
        <f>SUMIFS('январь 2025'!$G$5:$G$2334,'январь 2025'!$D$5:$D$2334,$B137,'январь 2025'!$J$5:$J$2334,AE$1)</f>
        <v>0</v>
      </c>
      <c r="AF137" s="76">
        <f>SUMIFS('январь 2025'!$G$5:$G$2334,'январь 2025'!$D$5:$D$2334,$B137,'январь 2025'!$J$5:$J$2334,AF$1)</f>
        <v>0</v>
      </c>
      <c r="AG137" s="76">
        <f>SUMIFS('январь 2025'!$G$5:$G$2334,'январь 2025'!$D$5:$D$2334,$B137,'январь 2025'!$J$5:$J$2334,AG$1)</f>
        <v>0</v>
      </c>
      <c r="AH137" s="76">
        <f>SUMIFS('январь 2025'!$G$5:$G$2334,'январь 2025'!$D$5:$D$2334,$B137,'январь 2025'!$J$5:$J$2334,AH$1)</f>
        <v>0</v>
      </c>
      <c r="AI137" s="20">
        <f t="shared" si="1"/>
        <v>0</v>
      </c>
    </row>
    <row r="138" spans="2:35" ht="16.899999999999999" customHeight="1" x14ac:dyDescent="0.25">
      <c r="B138" s="84" t="s">
        <v>271</v>
      </c>
      <c r="C138" s="83">
        <v>200</v>
      </c>
      <c r="D138" s="76">
        <f>SUMIFS('январь 2025'!$G$5:$G$2334,'январь 2025'!$D$5:$D$2334,$B138,'январь 2025'!$J$5:$J$2334,D$1)</f>
        <v>0</v>
      </c>
      <c r="E138" s="76">
        <f>SUMIFS('январь 2025'!$G$5:$G$2334,'январь 2025'!$D$5:$D$2334,$B138,'январь 2025'!$J$5:$J$2334,E$1)</f>
        <v>0</v>
      </c>
      <c r="F138" s="76">
        <f>SUMIFS('январь 2025'!$G$5:$G$2334,'январь 2025'!$D$5:$D$2334,$B138,'январь 2025'!$J$5:$J$2334,F$1)</f>
        <v>0</v>
      </c>
      <c r="G138" s="76">
        <f>SUMIFS('январь 2025'!$G$5:$G$2334,'январь 2025'!$D$5:$D$2334,$B138,'январь 2025'!$J$5:$J$2334,G$1)</f>
        <v>0</v>
      </c>
      <c r="H138" s="76">
        <f>SUMIFS('январь 2025'!$G$5:$G$2334,'январь 2025'!$D$5:$D$2334,$B138,'январь 2025'!$J$5:$J$2334,H$1)</f>
        <v>0</v>
      </c>
      <c r="I138" s="76">
        <f>SUMIFS('январь 2025'!$G$5:$G$2334,'январь 2025'!$D$5:$D$2334,$B138,'январь 2025'!$J$5:$J$2334,I$1)</f>
        <v>0</v>
      </c>
      <c r="J138" s="76">
        <f>SUMIFS('январь 2025'!$G$5:$G$2334,'январь 2025'!$D$5:$D$2334,$B138,'январь 2025'!$J$5:$J$2334,J$1)</f>
        <v>0</v>
      </c>
      <c r="K138" s="76">
        <f>SUMIFS('январь 2025'!$G$5:$G$2334,'январь 2025'!$D$5:$D$2334,$B138,'январь 2025'!$J$5:$J$2334,K$1)</f>
        <v>0</v>
      </c>
      <c r="L138" s="76">
        <f>SUMIFS('январь 2025'!$G$5:$G$2334,'январь 2025'!$D$5:$D$2334,$B138,'январь 2025'!$J$5:$J$2334,L$1)</f>
        <v>0</v>
      </c>
      <c r="M138" s="76">
        <f>SUMIFS('январь 2025'!$G$5:$G$2334,'январь 2025'!$D$5:$D$2334,$B138,'январь 2025'!$J$5:$J$2334,M$1)</f>
        <v>0</v>
      </c>
      <c r="N138" s="76">
        <f>SUMIFS('январь 2025'!$G$5:$G$2334,'январь 2025'!$D$5:$D$2334,$B138,'январь 2025'!$J$5:$J$2334,N$1)</f>
        <v>0</v>
      </c>
      <c r="O138" s="76">
        <f>SUMIFS('январь 2025'!$G$5:$G$2334,'январь 2025'!$D$5:$D$2334,$B138,'январь 2025'!$J$5:$J$2334,O$1)</f>
        <v>0</v>
      </c>
      <c r="P138" s="76">
        <f>SUMIFS('январь 2025'!$G$5:$G$2334,'январь 2025'!$D$5:$D$2334,$B138,'январь 2025'!$J$5:$J$2334,P$1)</f>
        <v>0</v>
      </c>
      <c r="Q138" s="76">
        <f>SUMIFS('январь 2025'!$G$5:$G$2334,'январь 2025'!$D$5:$D$2334,$B138,'январь 2025'!$J$5:$J$2334,Q$1)</f>
        <v>0</v>
      </c>
      <c r="R138" s="76">
        <f>SUMIFS('январь 2025'!$G$5:$G$2334,'январь 2025'!$D$5:$D$2334,$B138,'январь 2025'!$J$5:$J$2334,R$1)</f>
        <v>0</v>
      </c>
      <c r="S138" s="76">
        <f>SUMIFS('январь 2025'!$G$5:$G$2334,'январь 2025'!$D$5:$D$2334,$B138,'январь 2025'!$J$5:$J$2334,S$1)</f>
        <v>0</v>
      </c>
      <c r="T138" s="76">
        <f>SUMIFS('январь 2025'!$G$5:$G$2334,'январь 2025'!$D$5:$D$2334,$B138,'январь 2025'!$J$5:$J$2334,T$1)</f>
        <v>0</v>
      </c>
      <c r="U138" s="76">
        <f>SUMIFS('январь 2025'!$G$5:$G$2334,'январь 2025'!$D$5:$D$2334,$B138,'январь 2025'!$J$5:$J$2334,U$1)</f>
        <v>0</v>
      </c>
      <c r="V138" s="76">
        <f>SUMIFS('январь 2025'!$G$5:$G$2334,'январь 2025'!$D$5:$D$2334,$B138,'январь 2025'!$J$5:$J$2334,V$1)</f>
        <v>0</v>
      </c>
      <c r="W138" s="76">
        <f>SUMIFS('январь 2025'!$G$5:$G$2334,'январь 2025'!$D$5:$D$2334,$B138,'январь 2025'!$J$5:$J$2334,W$1)</f>
        <v>0</v>
      </c>
      <c r="X138" s="76">
        <f>SUMIFS('январь 2025'!$G$5:$G$2334,'январь 2025'!$D$5:$D$2334,$B138,'январь 2025'!$J$5:$J$2334,X$1)</f>
        <v>0</v>
      </c>
      <c r="Y138" s="76">
        <f>SUMIFS('январь 2025'!$G$5:$G$2334,'январь 2025'!$D$5:$D$2334,$B138,'январь 2025'!$J$5:$J$2334,Y$1)</f>
        <v>0</v>
      </c>
      <c r="Z138" s="76">
        <f>SUMIFS('январь 2025'!$G$5:$G$2334,'январь 2025'!$D$5:$D$2334,$B138,'январь 2025'!$J$5:$J$2334,Z$1)</f>
        <v>0</v>
      </c>
      <c r="AA138" s="76">
        <f>SUMIFS('январь 2025'!$G$5:$G$2334,'январь 2025'!$D$5:$D$2334,$B138,'январь 2025'!$J$5:$J$2334,AA$1)</f>
        <v>0</v>
      </c>
      <c r="AB138" s="76">
        <f>SUMIFS('январь 2025'!$G$5:$G$2334,'январь 2025'!$D$5:$D$2334,$B138,'январь 2025'!$J$5:$J$2334,AB$1)</f>
        <v>0</v>
      </c>
      <c r="AC138" s="76">
        <f>SUMIFS('январь 2025'!$G$5:$G$2334,'январь 2025'!$D$5:$D$2334,$B138,'январь 2025'!$J$5:$J$2334,AC$1)</f>
        <v>0</v>
      </c>
      <c r="AD138" s="76">
        <f>SUMIFS('январь 2025'!$G$5:$G$2334,'январь 2025'!$D$5:$D$2334,$B138,'январь 2025'!$J$5:$J$2334,AD$1)</f>
        <v>0</v>
      </c>
      <c r="AE138" s="76">
        <f>SUMIFS('январь 2025'!$G$5:$G$2334,'январь 2025'!$D$5:$D$2334,$B138,'январь 2025'!$J$5:$J$2334,AE$1)</f>
        <v>0</v>
      </c>
      <c r="AF138" s="76">
        <f>SUMIFS('январь 2025'!$G$5:$G$2334,'январь 2025'!$D$5:$D$2334,$B138,'январь 2025'!$J$5:$J$2334,AF$1)</f>
        <v>0</v>
      </c>
      <c r="AG138" s="76">
        <f>SUMIFS('январь 2025'!$G$5:$G$2334,'январь 2025'!$D$5:$D$2334,$B138,'январь 2025'!$J$5:$J$2334,AG$1)</f>
        <v>0</v>
      </c>
      <c r="AH138" s="76">
        <f>SUMIFS('январь 2025'!$G$5:$G$2334,'январь 2025'!$D$5:$D$2334,$B138,'январь 2025'!$J$5:$J$2334,AH$1)</f>
        <v>0</v>
      </c>
      <c r="AI138" s="20">
        <f t="shared" si="1"/>
        <v>0</v>
      </c>
    </row>
    <row r="139" spans="2:35" ht="16.899999999999999" customHeight="1" x14ac:dyDescent="0.25">
      <c r="B139" s="84" t="s">
        <v>276</v>
      </c>
      <c r="C139" s="83">
        <v>200</v>
      </c>
      <c r="D139" s="76">
        <f>SUMIFS('январь 2025'!$G$5:$G$2334,'январь 2025'!$D$5:$D$2334,$B139,'январь 2025'!$J$5:$J$2334,D$1)</f>
        <v>0</v>
      </c>
      <c r="E139" s="76">
        <f>SUMIFS('январь 2025'!$G$5:$G$2334,'январь 2025'!$D$5:$D$2334,$B139,'январь 2025'!$J$5:$J$2334,E$1)</f>
        <v>0</v>
      </c>
      <c r="F139" s="76">
        <f>SUMIFS('январь 2025'!$G$5:$G$2334,'январь 2025'!$D$5:$D$2334,$B139,'январь 2025'!$J$5:$J$2334,F$1)</f>
        <v>0</v>
      </c>
      <c r="G139" s="76">
        <f>SUMIFS('январь 2025'!$G$5:$G$2334,'январь 2025'!$D$5:$D$2334,$B139,'январь 2025'!$J$5:$J$2334,G$1)</f>
        <v>0</v>
      </c>
      <c r="H139" s="76">
        <f>SUMIFS('январь 2025'!$G$5:$G$2334,'январь 2025'!$D$5:$D$2334,$B139,'январь 2025'!$J$5:$J$2334,H$1)</f>
        <v>0</v>
      </c>
      <c r="I139" s="76">
        <f>SUMIFS('январь 2025'!$G$5:$G$2334,'январь 2025'!$D$5:$D$2334,$B139,'январь 2025'!$J$5:$J$2334,I$1)</f>
        <v>0</v>
      </c>
      <c r="J139" s="76">
        <f>SUMIFS('январь 2025'!$G$5:$G$2334,'январь 2025'!$D$5:$D$2334,$B139,'январь 2025'!$J$5:$J$2334,J$1)</f>
        <v>0</v>
      </c>
      <c r="K139" s="76">
        <f>SUMIFS('январь 2025'!$G$5:$G$2334,'январь 2025'!$D$5:$D$2334,$B139,'январь 2025'!$J$5:$J$2334,K$1)</f>
        <v>0</v>
      </c>
      <c r="L139" s="76">
        <f>SUMIFS('январь 2025'!$G$5:$G$2334,'январь 2025'!$D$5:$D$2334,$B139,'январь 2025'!$J$5:$J$2334,L$1)</f>
        <v>0</v>
      </c>
      <c r="M139" s="76">
        <f>SUMIFS('январь 2025'!$G$5:$G$2334,'январь 2025'!$D$5:$D$2334,$B139,'январь 2025'!$J$5:$J$2334,M$1)</f>
        <v>0</v>
      </c>
      <c r="N139" s="76">
        <f>SUMIFS('январь 2025'!$G$5:$G$2334,'январь 2025'!$D$5:$D$2334,$B139,'январь 2025'!$J$5:$J$2334,N$1)</f>
        <v>0</v>
      </c>
      <c r="O139" s="76">
        <f>SUMIFS('январь 2025'!$G$5:$G$2334,'январь 2025'!$D$5:$D$2334,$B139,'январь 2025'!$J$5:$J$2334,O$1)</f>
        <v>0</v>
      </c>
      <c r="P139" s="76">
        <f>SUMIFS('январь 2025'!$G$5:$G$2334,'январь 2025'!$D$5:$D$2334,$B139,'январь 2025'!$J$5:$J$2334,P$1)</f>
        <v>0</v>
      </c>
      <c r="Q139" s="76">
        <f>SUMIFS('январь 2025'!$G$5:$G$2334,'январь 2025'!$D$5:$D$2334,$B139,'январь 2025'!$J$5:$J$2334,Q$1)</f>
        <v>0</v>
      </c>
      <c r="R139" s="76">
        <f>SUMIFS('январь 2025'!$G$5:$G$2334,'январь 2025'!$D$5:$D$2334,$B139,'январь 2025'!$J$5:$J$2334,R$1)</f>
        <v>0</v>
      </c>
      <c r="S139" s="76">
        <f>SUMIFS('январь 2025'!$G$5:$G$2334,'январь 2025'!$D$5:$D$2334,$B139,'январь 2025'!$J$5:$J$2334,S$1)</f>
        <v>0</v>
      </c>
      <c r="T139" s="76">
        <f>SUMIFS('январь 2025'!$G$5:$G$2334,'январь 2025'!$D$5:$D$2334,$B139,'январь 2025'!$J$5:$J$2334,T$1)</f>
        <v>0</v>
      </c>
      <c r="U139" s="76">
        <f>SUMIFS('январь 2025'!$G$5:$G$2334,'январь 2025'!$D$5:$D$2334,$B139,'январь 2025'!$J$5:$J$2334,U$1)</f>
        <v>0</v>
      </c>
      <c r="V139" s="76">
        <f>SUMIFS('январь 2025'!$G$5:$G$2334,'январь 2025'!$D$5:$D$2334,$B139,'январь 2025'!$J$5:$J$2334,V$1)</f>
        <v>0</v>
      </c>
      <c r="W139" s="76">
        <f>SUMIFS('январь 2025'!$G$5:$G$2334,'январь 2025'!$D$5:$D$2334,$B139,'январь 2025'!$J$5:$J$2334,W$1)</f>
        <v>0</v>
      </c>
      <c r="X139" s="76">
        <f>SUMIFS('январь 2025'!$G$5:$G$2334,'январь 2025'!$D$5:$D$2334,$B139,'январь 2025'!$J$5:$J$2334,X$1)</f>
        <v>0</v>
      </c>
      <c r="Y139" s="76">
        <f>SUMIFS('январь 2025'!$G$5:$G$2334,'январь 2025'!$D$5:$D$2334,$B139,'январь 2025'!$J$5:$J$2334,Y$1)</f>
        <v>0</v>
      </c>
      <c r="Z139" s="76">
        <f>SUMIFS('январь 2025'!$G$5:$G$2334,'январь 2025'!$D$5:$D$2334,$B139,'январь 2025'!$J$5:$J$2334,Z$1)</f>
        <v>0</v>
      </c>
      <c r="AA139" s="76">
        <f>SUMIFS('январь 2025'!$G$5:$G$2334,'январь 2025'!$D$5:$D$2334,$B139,'январь 2025'!$J$5:$J$2334,AA$1)</f>
        <v>0</v>
      </c>
      <c r="AB139" s="76">
        <f>SUMIFS('январь 2025'!$G$5:$G$2334,'январь 2025'!$D$5:$D$2334,$B139,'январь 2025'!$J$5:$J$2334,AB$1)</f>
        <v>0</v>
      </c>
      <c r="AC139" s="76">
        <f>SUMIFS('январь 2025'!$G$5:$G$2334,'январь 2025'!$D$5:$D$2334,$B139,'январь 2025'!$J$5:$J$2334,AC$1)</f>
        <v>0</v>
      </c>
      <c r="AD139" s="76">
        <f>SUMIFS('январь 2025'!$G$5:$G$2334,'январь 2025'!$D$5:$D$2334,$B139,'январь 2025'!$J$5:$J$2334,AD$1)</f>
        <v>0</v>
      </c>
      <c r="AE139" s="76">
        <f>SUMIFS('январь 2025'!$G$5:$G$2334,'январь 2025'!$D$5:$D$2334,$B139,'январь 2025'!$J$5:$J$2334,AE$1)</f>
        <v>0</v>
      </c>
      <c r="AF139" s="76">
        <f>SUMIFS('январь 2025'!$G$5:$G$2334,'январь 2025'!$D$5:$D$2334,$B139,'январь 2025'!$J$5:$J$2334,AF$1)</f>
        <v>0</v>
      </c>
      <c r="AG139" s="76">
        <f>SUMIFS('январь 2025'!$G$5:$G$2334,'январь 2025'!$D$5:$D$2334,$B139,'январь 2025'!$J$5:$J$2334,AG$1)</f>
        <v>0</v>
      </c>
      <c r="AH139" s="76">
        <f>SUMIFS('январь 2025'!$G$5:$G$2334,'январь 2025'!$D$5:$D$2334,$B139,'январь 2025'!$J$5:$J$2334,AH$1)</f>
        <v>0</v>
      </c>
      <c r="AI139" s="20">
        <f t="shared" si="1"/>
        <v>0</v>
      </c>
    </row>
    <row r="140" spans="2:35" ht="16.899999999999999" customHeight="1" x14ac:dyDescent="0.25">
      <c r="B140" s="84" t="s">
        <v>272</v>
      </c>
      <c r="C140" s="83">
        <v>200</v>
      </c>
      <c r="D140" s="76">
        <f>SUMIFS('январь 2025'!$G$5:$G$2334,'январь 2025'!$D$5:$D$2334,$B140,'январь 2025'!$J$5:$J$2334,D$1)</f>
        <v>0</v>
      </c>
      <c r="E140" s="76">
        <f>SUMIFS('январь 2025'!$G$5:$G$2334,'январь 2025'!$D$5:$D$2334,$B140,'январь 2025'!$J$5:$J$2334,E$1)</f>
        <v>0</v>
      </c>
      <c r="F140" s="76">
        <f>SUMIFS('январь 2025'!$G$5:$G$2334,'январь 2025'!$D$5:$D$2334,$B140,'январь 2025'!$J$5:$J$2334,F$1)</f>
        <v>0</v>
      </c>
      <c r="G140" s="76">
        <f>SUMIFS('январь 2025'!$G$5:$G$2334,'январь 2025'!$D$5:$D$2334,$B140,'январь 2025'!$J$5:$J$2334,G$1)</f>
        <v>0</v>
      </c>
      <c r="H140" s="76">
        <f>SUMIFS('январь 2025'!$G$5:$G$2334,'январь 2025'!$D$5:$D$2334,$B140,'январь 2025'!$J$5:$J$2334,H$1)</f>
        <v>0</v>
      </c>
      <c r="I140" s="76">
        <f>SUMIFS('январь 2025'!$G$5:$G$2334,'январь 2025'!$D$5:$D$2334,$B140,'январь 2025'!$J$5:$J$2334,I$1)</f>
        <v>0</v>
      </c>
      <c r="J140" s="76">
        <f>SUMIFS('январь 2025'!$G$5:$G$2334,'январь 2025'!$D$5:$D$2334,$B140,'январь 2025'!$J$5:$J$2334,J$1)</f>
        <v>0</v>
      </c>
      <c r="K140" s="76">
        <f>SUMIFS('январь 2025'!$G$5:$G$2334,'январь 2025'!$D$5:$D$2334,$B140,'январь 2025'!$J$5:$J$2334,K$1)</f>
        <v>0</v>
      </c>
      <c r="L140" s="76">
        <f>SUMIFS('январь 2025'!$G$5:$G$2334,'январь 2025'!$D$5:$D$2334,$B140,'январь 2025'!$J$5:$J$2334,L$1)</f>
        <v>0</v>
      </c>
      <c r="M140" s="76">
        <f>SUMIFS('январь 2025'!$G$5:$G$2334,'январь 2025'!$D$5:$D$2334,$B140,'январь 2025'!$J$5:$J$2334,M$1)</f>
        <v>0</v>
      </c>
      <c r="N140" s="76">
        <f>SUMIFS('январь 2025'!$G$5:$G$2334,'январь 2025'!$D$5:$D$2334,$B140,'январь 2025'!$J$5:$J$2334,N$1)</f>
        <v>0</v>
      </c>
      <c r="O140" s="76">
        <f>SUMIFS('январь 2025'!$G$5:$G$2334,'январь 2025'!$D$5:$D$2334,$B140,'январь 2025'!$J$5:$J$2334,O$1)</f>
        <v>0</v>
      </c>
      <c r="P140" s="76">
        <f>SUMIFS('январь 2025'!$G$5:$G$2334,'январь 2025'!$D$5:$D$2334,$B140,'январь 2025'!$J$5:$J$2334,P$1)</f>
        <v>0</v>
      </c>
      <c r="Q140" s="76">
        <f>SUMIFS('январь 2025'!$G$5:$G$2334,'январь 2025'!$D$5:$D$2334,$B140,'январь 2025'!$J$5:$J$2334,Q$1)</f>
        <v>0</v>
      </c>
      <c r="R140" s="76">
        <f>SUMIFS('январь 2025'!$G$5:$G$2334,'январь 2025'!$D$5:$D$2334,$B140,'январь 2025'!$J$5:$J$2334,R$1)</f>
        <v>0</v>
      </c>
      <c r="S140" s="76">
        <f>SUMIFS('январь 2025'!$G$5:$G$2334,'январь 2025'!$D$5:$D$2334,$B140,'январь 2025'!$J$5:$J$2334,S$1)</f>
        <v>0</v>
      </c>
      <c r="T140" s="76">
        <f>SUMIFS('январь 2025'!$G$5:$G$2334,'январь 2025'!$D$5:$D$2334,$B140,'январь 2025'!$J$5:$J$2334,T$1)</f>
        <v>0</v>
      </c>
      <c r="U140" s="76">
        <f>SUMIFS('январь 2025'!$G$5:$G$2334,'январь 2025'!$D$5:$D$2334,$B140,'январь 2025'!$J$5:$J$2334,U$1)</f>
        <v>0</v>
      </c>
      <c r="V140" s="76">
        <f>SUMIFS('январь 2025'!$G$5:$G$2334,'январь 2025'!$D$5:$D$2334,$B140,'январь 2025'!$J$5:$J$2334,V$1)</f>
        <v>0</v>
      </c>
      <c r="W140" s="76">
        <f>SUMIFS('январь 2025'!$G$5:$G$2334,'январь 2025'!$D$5:$D$2334,$B140,'январь 2025'!$J$5:$J$2334,W$1)</f>
        <v>0</v>
      </c>
      <c r="X140" s="76">
        <f>SUMIFS('январь 2025'!$G$5:$G$2334,'январь 2025'!$D$5:$D$2334,$B140,'январь 2025'!$J$5:$J$2334,X$1)</f>
        <v>0</v>
      </c>
      <c r="Y140" s="76">
        <f>SUMIFS('январь 2025'!$G$5:$G$2334,'январь 2025'!$D$5:$D$2334,$B140,'январь 2025'!$J$5:$J$2334,Y$1)</f>
        <v>0</v>
      </c>
      <c r="Z140" s="76">
        <f>SUMIFS('январь 2025'!$G$5:$G$2334,'январь 2025'!$D$5:$D$2334,$B140,'январь 2025'!$J$5:$J$2334,Z$1)</f>
        <v>0</v>
      </c>
      <c r="AA140" s="76">
        <f>SUMIFS('январь 2025'!$G$5:$G$2334,'январь 2025'!$D$5:$D$2334,$B140,'январь 2025'!$J$5:$J$2334,AA$1)</f>
        <v>0</v>
      </c>
      <c r="AB140" s="76">
        <f>SUMIFS('январь 2025'!$G$5:$G$2334,'январь 2025'!$D$5:$D$2334,$B140,'январь 2025'!$J$5:$J$2334,AB$1)</f>
        <v>0</v>
      </c>
      <c r="AC140" s="76">
        <f>SUMIFS('январь 2025'!$G$5:$G$2334,'январь 2025'!$D$5:$D$2334,$B140,'январь 2025'!$J$5:$J$2334,AC$1)</f>
        <v>0</v>
      </c>
      <c r="AD140" s="76">
        <f>SUMIFS('январь 2025'!$G$5:$G$2334,'январь 2025'!$D$5:$D$2334,$B140,'январь 2025'!$J$5:$J$2334,AD$1)</f>
        <v>0</v>
      </c>
      <c r="AE140" s="76">
        <f>SUMIFS('январь 2025'!$G$5:$G$2334,'январь 2025'!$D$5:$D$2334,$B140,'январь 2025'!$J$5:$J$2334,AE$1)</f>
        <v>0</v>
      </c>
      <c r="AF140" s="76">
        <f>SUMIFS('январь 2025'!$G$5:$G$2334,'январь 2025'!$D$5:$D$2334,$B140,'январь 2025'!$J$5:$J$2334,AF$1)</f>
        <v>0</v>
      </c>
      <c r="AG140" s="76">
        <f>SUMIFS('январь 2025'!$G$5:$G$2334,'январь 2025'!$D$5:$D$2334,$B140,'январь 2025'!$J$5:$J$2334,AG$1)</f>
        <v>0</v>
      </c>
      <c r="AH140" s="76">
        <f>SUMIFS('январь 2025'!$G$5:$G$2334,'январь 2025'!$D$5:$D$2334,$B140,'январь 2025'!$J$5:$J$2334,AH$1)</f>
        <v>0</v>
      </c>
      <c r="AI140" s="20">
        <f t="shared" si="1"/>
        <v>0</v>
      </c>
    </row>
    <row r="141" spans="2:35" ht="15" customHeight="1" x14ac:dyDescent="0.25">
      <c r="B141" s="84" t="s">
        <v>277</v>
      </c>
      <c r="C141" s="83">
        <v>200</v>
      </c>
      <c r="D141" s="76">
        <f>SUMIFS('январь 2025'!$G$5:$G$2334,'январь 2025'!$D$5:$D$2334,$B141,'январь 2025'!$J$5:$J$2334,D$1)</f>
        <v>0</v>
      </c>
      <c r="E141" s="76">
        <f>SUMIFS('январь 2025'!$G$5:$G$2334,'январь 2025'!$D$5:$D$2334,$B141,'январь 2025'!$J$5:$J$2334,E$1)</f>
        <v>0</v>
      </c>
      <c r="F141" s="76">
        <f>SUMIFS('январь 2025'!$G$5:$G$2334,'январь 2025'!$D$5:$D$2334,$B141,'январь 2025'!$J$5:$J$2334,F$1)</f>
        <v>0</v>
      </c>
      <c r="G141" s="76">
        <f>SUMIFS('январь 2025'!$G$5:$G$2334,'январь 2025'!$D$5:$D$2334,$B141,'январь 2025'!$J$5:$J$2334,G$1)</f>
        <v>0</v>
      </c>
      <c r="H141" s="76">
        <f>SUMIFS('январь 2025'!$G$5:$G$2334,'январь 2025'!$D$5:$D$2334,$B141,'январь 2025'!$J$5:$J$2334,H$1)</f>
        <v>0</v>
      </c>
      <c r="I141" s="76">
        <f>SUMIFS('январь 2025'!$G$5:$G$2334,'январь 2025'!$D$5:$D$2334,$B141,'январь 2025'!$J$5:$J$2334,I$1)</f>
        <v>0</v>
      </c>
      <c r="J141" s="76">
        <f>SUMIFS('январь 2025'!$G$5:$G$2334,'январь 2025'!$D$5:$D$2334,$B141,'январь 2025'!$J$5:$J$2334,J$1)</f>
        <v>0</v>
      </c>
      <c r="K141" s="76">
        <f>SUMIFS('январь 2025'!$G$5:$G$2334,'январь 2025'!$D$5:$D$2334,$B141,'январь 2025'!$J$5:$J$2334,K$1)</f>
        <v>0</v>
      </c>
      <c r="L141" s="76">
        <f>SUMIFS('январь 2025'!$G$5:$G$2334,'январь 2025'!$D$5:$D$2334,$B141,'январь 2025'!$J$5:$J$2334,L$1)</f>
        <v>0</v>
      </c>
      <c r="M141" s="76">
        <f>SUMIFS('январь 2025'!$G$5:$G$2334,'январь 2025'!$D$5:$D$2334,$B141,'январь 2025'!$J$5:$J$2334,M$1)</f>
        <v>0</v>
      </c>
      <c r="N141" s="76">
        <f>SUMIFS('январь 2025'!$G$5:$G$2334,'январь 2025'!$D$5:$D$2334,$B141,'январь 2025'!$J$5:$J$2334,N$1)</f>
        <v>0</v>
      </c>
      <c r="O141" s="76">
        <f>SUMIFS('январь 2025'!$G$5:$G$2334,'январь 2025'!$D$5:$D$2334,$B141,'январь 2025'!$J$5:$J$2334,O$1)</f>
        <v>0</v>
      </c>
      <c r="P141" s="76">
        <f>SUMIFS('январь 2025'!$G$5:$G$2334,'январь 2025'!$D$5:$D$2334,$B141,'январь 2025'!$J$5:$J$2334,P$1)</f>
        <v>0</v>
      </c>
      <c r="Q141" s="76">
        <f>SUMIFS('январь 2025'!$G$5:$G$2334,'январь 2025'!$D$5:$D$2334,$B141,'январь 2025'!$J$5:$J$2334,Q$1)</f>
        <v>0</v>
      </c>
      <c r="R141" s="76">
        <f>SUMIFS('январь 2025'!$G$5:$G$2334,'январь 2025'!$D$5:$D$2334,$B141,'январь 2025'!$J$5:$J$2334,R$1)</f>
        <v>0</v>
      </c>
      <c r="S141" s="76">
        <f>SUMIFS('январь 2025'!$G$5:$G$2334,'январь 2025'!$D$5:$D$2334,$B141,'январь 2025'!$J$5:$J$2334,S$1)</f>
        <v>0</v>
      </c>
      <c r="T141" s="76">
        <f>SUMIFS('январь 2025'!$G$5:$G$2334,'январь 2025'!$D$5:$D$2334,$B141,'январь 2025'!$J$5:$J$2334,T$1)</f>
        <v>0</v>
      </c>
      <c r="U141" s="76">
        <f>SUMIFS('январь 2025'!$G$5:$G$2334,'январь 2025'!$D$5:$D$2334,$B141,'январь 2025'!$J$5:$J$2334,U$1)</f>
        <v>0</v>
      </c>
      <c r="V141" s="76">
        <f>SUMIFS('январь 2025'!$G$5:$G$2334,'январь 2025'!$D$5:$D$2334,$B141,'январь 2025'!$J$5:$J$2334,V$1)</f>
        <v>0</v>
      </c>
      <c r="W141" s="76">
        <f>SUMIFS('январь 2025'!$G$5:$G$2334,'январь 2025'!$D$5:$D$2334,$B141,'январь 2025'!$J$5:$J$2334,W$1)</f>
        <v>0</v>
      </c>
      <c r="X141" s="76">
        <f>SUMIFS('январь 2025'!$G$5:$G$2334,'январь 2025'!$D$5:$D$2334,$B141,'январь 2025'!$J$5:$J$2334,X$1)</f>
        <v>0</v>
      </c>
      <c r="Y141" s="76">
        <f>SUMIFS('январь 2025'!$G$5:$G$2334,'январь 2025'!$D$5:$D$2334,$B141,'январь 2025'!$J$5:$J$2334,Y$1)</f>
        <v>0</v>
      </c>
      <c r="Z141" s="76">
        <f>SUMIFS('январь 2025'!$G$5:$G$2334,'январь 2025'!$D$5:$D$2334,$B141,'январь 2025'!$J$5:$J$2334,Z$1)</f>
        <v>0</v>
      </c>
      <c r="AA141" s="76">
        <f>SUMIFS('январь 2025'!$G$5:$G$2334,'январь 2025'!$D$5:$D$2334,$B141,'январь 2025'!$J$5:$J$2334,AA$1)</f>
        <v>0</v>
      </c>
      <c r="AB141" s="76">
        <f>SUMIFS('январь 2025'!$G$5:$G$2334,'январь 2025'!$D$5:$D$2334,$B141,'январь 2025'!$J$5:$J$2334,AB$1)</f>
        <v>0</v>
      </c>
      <c r="AC141" s="76">
        <f>SUMIFS('январь 2025'!$G$5:$G$2334,'январь 2025'!$D$5:$D$2334,$B141,'январь 2025'!$J$5:$J$2334,AC$1)</f>
        <v>0</v>
      </c>
      <c r="AD141" s="76">
        <f>SUMIFS('январь 2025'!$G$5:$G$2334,'январь 2025'!$D$5:$D$2334,$B141,'январь 2025'!$J$5:$J$2334,AD$1)</f>
        <v>0</v>
      </c>
      <c r="AE141" s="76">
        <f>SUMIFS('январь 2025'!$G$5:$G$2334,'январь 2025'!$D$5:$D$2334,$B141,'январь 2025'!$J$5:$J$2334,AE$1)</f>
        <v>0</v>
      </c>
      <c r="AF141" s="76">
        <f>SUMIFS('январь 2025'!$G$5:$G$2334,'январь 2025'!$D$5:$D$2334,$B141,'январь 2025'!$J$5:$J$2334,AF$1)</f>
        <v>0</v>
      </c>
      <c r="AG141" s="76">
        <f>SUMIFS('январь 2025'!$G$5:$G$2334,'январь 2025'!$D$5:$D$2334,$B141,'январь 2025'!$J$5:$J$2334,AG$1)</f>
        <v>0</v>
      </c>
      <c r="AH141" s="76">
        <f>SUMIFS('январь 2025'!$G$5:$G$2334,'январь 2025'!$D$5:$D$2334,$B141,'январь 2025'!$J$5:$J$2334,AH$1)</f>
        <v>0</v>
      </c>
      <c r="AI141" s="20">
        <f t="shared" si="1"/>
        <v>0</v>
      </c>
    </row>
    <row r="142" spans="2:35" ht="15" customHeight="1" x14ac:dyDescent="0.25">
      <c r="B142" s="84" t="s">
        <v>273</v>
      </c>
      <c r="C142" s="83">
        <v>200</v>
      </c>
      <c r="D142" s="76">
        <f>SUMIFS('январь 2025'!$G$5:$G$2334,'январь 2025'!$D$5:$D$2334,$B142,'январь 2025'!$J$5:$J$2334,D$1)</f>
        <v>0</v>
      </c>
      <c r="E142" s="76">
        <f>SUMIFS('январь 2025'!$G$5:$G$2334,'январь 2025'!$D$5:$D$2334,$B142,'январь 2025'!$J$5:$J$2334,E$1)</f>
        <v>0</v>
      </c>
      <c r="F142" s="76">
        <f>SUMIFS('январь 2025'!$G$5:$G$2334,'январь 2025'!$D$5:$D$2334,$B142,'январь 2025'!$J$5:$J$2334,F$1)</f>
        <v>0</v>
      </c>
      <c r="G142" s="76">
        <f>SUMIFS('январь 2025'!$G$5:$G$2334,'январь 2025'!$D$5:$D$2334,$B142,'январь 2025'!$J$5:$J$2334,G$1)</f>
        <v>0</v>
      </c>
      <c r="H142" s="76">
        <f>SUMIFS('январь 2025'!$G$5:$G$2334,'январь 2025'!$D$5:$D$2334,$B142,'январь 2025'!$J$5:$J$2334,H$1)</f>
        <v>0</v>
      </c>
      <c r="I142" s="76">
        <f>SUMIFS('январь 2025'!$G$5:$G$2334,'январь 2025'!$D$5:$D$2334,$B142,'январь 2025'!$J$5:$J$2334,I$1)</f>
        <v>0</v>
      </c>
      <c r="J142" s="76">
        <f>SUMIFS('январь 2025'!$G$5:$G$2334,'январь 2025'!$D$5:$D$2334,$B142,'январь 2025'!$J$5:$J$2334,J$1)</f>
        <v>0</v>
      </c>
      <c r="K142" s="76">
        <f>SUMIFS('январь 2025'!$G$5:$G$2334,'январь 2025'!$D$5:$D$2334,$B142,'январь 2025'!$J$5:$J$2334,K$1)</f>
        <v>0</v>
      </c>
      <c r="L142" s="76">
        <f>SUMIFS('январь 2025'!$G$5:$G$2334,'январь 2025'!$D$5:$D$2334,$B142,'январь 2025'!$J$5:$J$2334,L$1)</f>
        <v>0</v>
      </c>
      <c r="M142" s="76">
        <f>SUMIFS('январь 2025'!$G$5:$G$2334,'январь 2025'!$D$5:$D$2334,$B142,'январь 2025'!$J$5:$J$2334,M$1)</f>
        <v>0</v>
      </c>
      <c r="N142" s="76">
        <f>SUMIFS('январь 2025'!$G$5:$G$2334,'январь 2025'!$D$5:$D$2334,$B142,'январь 2025'!$J$5:$J$2334,N$1)</f>
        <v>0</v>
      </c>
      <c r="O142" s="76">
        <f>SUMIFS('январь 2025'!$G$5:$G$2334,'январь 2025'!$D$5:$D$2334,$B142,'январь 2025'!$J$5:$J$2334,O$1)</f>
        <v>0</v>
      </c>
      <c r="P142" s="76">
        <f>SUMIFS('январь 2025'!$G$5:$G$2334,'январь 2025'!$D$5:$D$2334,$B142,'январь 2025'!$J$5:$J$2334,P$1)</f>
        <v>0</v>
      </c>
      <c r="Q142" s="76">
        <f>SUMIFS('январь 2025'!$G$5:$G$2334,'январь 2025'!$D$5:$D$2334,$B142,'январь 2025'!$J$5:$J$2334,Q$1)</f>
        <v>0</v>
      </c>
      <c r="R142" s="76">
        <f>SUMIFS('январь 2025'!$G$5:$G$2334,'январь 2025'!$D$5:$D$2334,$B142,'январь 2025'!$J$5:$J$2334,R$1)</f>
        <v>0</v>
      </c>
      <c r="S142" s="76">
        <f>SUMIFS('январь 2025'!$G$5:$G$2334,'январь 2025'!$D$5:$D$2334,$B142,'январь 2025'!$J$5:$J$2334,S$1)</f>
        <v>0</v>
      </c>
      <c r="T142" s="76">
        <f>SUMIFS('январь 2025'!$G$5:$G$2334,'январь 2025'!$D$5:$D$2334,$B142,'январь 2025'!$J$5:$J$2334,T$1)</f>
        <v>0</v>
      </c>
      <c r="U142" s="76">
        <f>SUMIFS('январь 2025'!$G$5:$G$2334,'январь 2025'!$D$5:$D$2334,$B142,'январь 2025'!$J$5:$J$2334,U$1)</f>
        <v>0</v>
      </c>
      <c r="V142" s="76">
        <f>SUMIFS('январь 2025'!$G$5:$G$2334,'январь 2025'!$D$5:$D$2334,$B142,'январь 2025'!$J$5:$J$2334,V$1)</f>
        <v>0</v>
      </c>
      <c r="W142" s="76">
        <f>SUMIFS('январь 2025'!$G$5:$G$2334,'январь 2025'!$D$5:$D$2334,$B142,'январь 2025'!$J$5:$J$2334,W$1)</f>
        <v>0</v>
      </c>
      <c r="X142" s="76">
        <f>SUMIFS('январь 2025'!$G$5:$G$2334,'январь 2025'!$D$5:$D$2334,$B142,'январь 2025'!$J$5:$J$2334,X$1)</f>
        <v>0</v>
      </c>
      <c r="Y142" s="76">
        <f>SUMIFS('январь 2025'!$G$5:$G$2334,'январь 2025'!$D$5:$D$2334,$B142,'январь 2025'!$J$5:$J$2334,Y$1)</f>
        <v>0</v>
      </c>
      <c r="Z142" s="76">
        <f>SUMIFS('январь 2025'!$G$5:$G$2334,'январь 2025'!$D$5:$D$2334,$B142,'январь 2025'!$J$5:$J$2334,Z$1)</f>
        <v>0</v>
      </c>
      <c r="AA142" s="76">
        <f>SUMIFS('январь 2025'!$G$5:$G$2334,'январь 2025'!$D$5:$D$2334,$B142,'январь 2025'!$J$5:$J$2334,AA$1)</f>
        <v>0</v>
      </c>
      <c r="AB142" s="76">
        <f>SUMIFS('январь 2025'!$G$5:$G$2334,'январь 2025'!$D$5:$D$2334,$B142,'январь 2025'!$J$5:$J$2334,AB$1)</f>
        <v>0</v>
      </c>
      <c r="AC142" s="76">
        <f>SUMIFS('январь 2025'!$G$5:$G$2334,'январь 2025'!$D$5:$D$2334,$B142,'январь 2025'!$J$5:$J$2334,AC$1)</f>
        <v>0</v>
      </c>
      <c r="AD142" s="76">
        <f>SUMIFS('январь 2025'!$G$5:$G$2334,'январь 2025'!$D$5:$D$2334,$B142,'январь 2025'!$J$5:$J$2334,AD$1)</f>
        <v>0</v>
      </c>
      <c r="AE142" s="76">
        <f>SUMIFS('январь 2025'!$G$5:$G$2334,'январь 2025'!$D$5:$D$2334,$B142,'январь 2025'!$J$5:$J$2334,AE$1)</f>
        <v>0</v>
      </c>
      <c r="AF142" s="76">
        <f>SUMIFS('январь 2025'!$G$5:$G$2334,'январь 2025'!$D$5:$D$2334,$B142,'январь 2025'!$J$5:$J$2334,AF$1)</f>
        <v>0</v>
      </c>
      <c r="AG142" s="76">
        <f>SUMIFS('январь 2025'!$G$5:$G$2334,'январь 2025'!$D$5:$D$2334,$B142,'январь 2025'!$J$5:$J$2334,AG$1)</f>
        <v>0</v>
      </c>
      <c r="AH142" s="76">
        <f>SUMIFS('январь 2025'!$G$5:$G$2334,'январь 2025'!$D$5:$D$2334,$B142,'январь 2025'!$J$5:$J$2334,AH$1)</f>
        <v>0</v>
      </c>
      <c r="AI142" s="20">
        <f t="shared" si="1"/>
        <v>0</v>
      </c>
    </row>
    <row r="143" spans="2:35" ht="15" customHeight="1" x14ac:dyDescent="0.25">
      <c r="B143" s="84" t="s">
        <v>274</v>
      </c>
      <c r="C143" s="83">
        <v>200</v>
      </c>
      <c r="D143" s="76">
        <f>SUMIFS('январь 2025'!$G$5:$G$2334,'январь 2025'!$D$5:$D$2334,$B143,'январь 2025'!$J$5:$J$2334,D$1)</f>
        <v>0</v>
      </c>
      <c r="E143" s="76">
        <f>SUMIFS('январь 2025'!$G$5:$G$2334,'январь 2025'!$D$5:$D$2334,$B143,'январь 2025'!$J$5:$J$2334,E$1)</f>
        <v>0</v>
      </c>
      <c r="F143" s="76">
        <f>SUMIFS('январь 2025'!$G$5:$G$2334,'январь 2025'!$D$5:$D$2334,$B143,'январь 2025'!$J$5:$J$2334,F$1)</f>
        <v>0</v>
      </c>
      <c r="G143" s="76">
        <f>SUMIFS('январь 2025'!$G$5:$G$2334,'январь 2025'!$D$5:$D$2334,$B143,'январь 2025'!$J$5:$J$2334,G$1)</f>
        <v>0</v>
      </c>
      <c r="H143" s="76">
        <f>SUMIFS('январь 2025'!$G$5:$G$2334,'январь 2025'!$D$5:$D$2334,$B143,'январь 2025'!$J$5:$J$2334,H$1)</f>
        <v>0</v>
      </c>
      <c r="I143" s="76">
        <f>SUMIFS('январь 2025'!$G$5:$G$2334,'январь 2025'!$D$5:$D$2334,$B143,'январь 2025'!$J$5:$J$2334,I$1)</f>
        <v>0</v>
      </c>
      <c r="J143" s="76">
        <f>SUMIFS('январь 2025'!$G$5:$G$2334,'январь 2025'!$D$5:$D$2334,$B143,'январь 2025'!$J$5:$J$2334,J$1)</f>
        <v>0</v>
      </c>
      <c r="K143" s="76">
        <f>SUMIFS('январь 2025'!$G$5:$G$2334,'январь 2025'!$D$5:$D$2334,$B143,'январь 2025'!$J$5:$J$2334,K$1)</f>
        <v>0</v>
      </c>
      <c r="L143" s="76">
        <f>SUMIFS('январь 2025'!$G$5:$G$2334,'январь 2025'!$D$5:$D$2334,$B143,'январь 2025'!$J$5:$J$2334,L$1)</f>
        <v>0</v>
      </c>
      <c r="M143" s="76">
        <f>SUMIFS('январь 2025'!$G$5:$G$2334,'январь 2025'!$D$5:$D$2334,$B143,'январь 2025'!$J$5:$J$2334,M$1)</f>
        <v>0</v>
      </c>
      <c r="N143" s="76">
        <f>SUMIFS('январь 2025'!$G$5:$G$2334,'январь 2025'!$D$5:$D$2334,$B143,'январь 2025'!$J$5:$J$2334,N$1)</f>
        <v>0</v>
      </c>
      <c r="O143" s="76">
        <f>SUMIFS('январь 2025'!$G$5:$G$2334,'январь 2025'!$D$5:$D$2334,$B143,'январь 2025'!$J$5:$J$2334,O$1)</f>
        <v>0</v>
      </c>
      <c r="P143" s="76">
        <f>SUMIFS('январь 2025'!$G$5:$G$2334,'январь 2025'!$D$5:$D$2334,$B143,'январь 2025'!$J$5:$J$2334,P$1)</f>
        <v>0</v>
      </c>
      <c r="Q143" s="76">
        <f>SUMIFS('январь 2025'!$G$5:$G$2334,'январь 2025'!$D$5:$D$2334,$B143,'январь 2025'!$J$5:$J$2334,Q$1)</f>
        <v>0</v>
      </c>
      <c r="R143" s="76">
        <f>SUMIFS('январь 2025'!$G$5:$G$2334,'январь 2025'!$D$5:$D$2334,$B143,'январь 2025'!$J$5:$J$2334,R$1)</f>
        <v>0</v>
      </c>
      <c r="S143" s="76">
        <f>SUMIFS('январь 2025'!$G$5:$G$2334,'январь 2025'!$D$5:$D$2334,$B143,'январь 2025'!$J$5:$J$2334,S$1)</f>
        <v>0</v>
      </c>
      <c r="T143" s="76">
        <f>SUMIFS('январь 2025'!$G$5:$G$2334,'январь 2025'!$D$5:$D$2334,$B143,'январь 2025'!$J$5:$J$2334,T$1)</f>
        <v>0</v>
      </c>
      <c r="U143" s="76">
        <f>SUMIFS('январь 2025'!$G$5:$G$2334,'январь 2025'!$D$5:$D$2334,$B143,'январь 2025'!$J$5:$J$2334,U$1)</f>
        <v>0</v>
      </c>
      <c r="V143" s="76">
        <f>SUMIFS('январь 2025'!$G$5:$G$2334,'январь 2025'!$D$5:$D$2334,$B143,'январь 2025'!$J$5:$J$2334,V$1)</f>
        <v>0</v>
      </c>
      <c r="W143" s="76">
        <f>SUMIFS('январь 2025'!$G$5:$G$2334,'январь 2025'!$D$5:$D$2334,$B143,'январь 2025'!$J$5:$J$2334,W$1)</f>
        <v>0</v>
      </c>
      <c r="X143" s="76">
        <f>SUMIFS('январь 2025'!$G$5:$G$2334,'январь 2025'!$D$5:$D$2334,$B143,'январь 2025'!$J$5:$J$2334,X$1)</f>
        <v>0</v>
      </c>
      <c r="Y143" s="76">
        <f>SUMIFS('январь 2025'!$G$5:$G$2334,'январь 2025'!$D$5:$D$2334,$B143,'январь 2025'!$J$5:$J$2334,Y$1)</f>
        <v>0</v>
      </c>
      <c r="Z143" s="76">
        <f>SUMIFS('январь 2025'!$G$5:$G$2334,'январь 2025'!$D$5:$D$2334,$B143,'январь 2025'!$J$5:$J$2334,Z$1)</f>
        <v>0</v>
      </c>
      <c r="AA143" s="76">
        <f>SUMIFS('январь 2025'!$G$5:$G$2334,'январь 2025'!$D$5:$D$2334,$B143,'январь 2025'!$J$5:$J$2334,AA$1)</f>
        <v>0</v>
      </c>
      <c r="AB143" s="76">
        <f>SUMIFS('январь 2025'!$G$5:$G$2334,'январь 2025'!$D$5:$D$2334,$B143,'январь 2025'!$J$5:$J$2334,AB$1)</f>
        <v>0</v>
      </c>
      <c r="AC143" s="76">
        <f>SUMIFS('январь 2025'!$G$5:$G$2334,'январь 2025'!$D$5:$D$2334,$B143,'январь 2025'!$J$5:$J$2334,AC$1)</f>
        <v>0</v>
      </c>
      <c r="AD143" s="76">
        <f>SUMIFS('январь 2025'!$G$5:$G$2334,'январь 2025'!$D$5:$D$2334,$B143,'январь 2025'!$J$5:$J$2334,AD$1)</f>
        <v>0</v>
      </c>
      <c r="AE143" s="76">
        <f>SUMIFS('январь 2025'!$G$5:$G$2334,'январь 2025'!$D$5:$D$2334,$B143,'январь 2025'!$J$5:$J$2334,AE$1)</f>
        <v>0</v>
      </c>
      <c r="AF143" s="76">
        <f>SUMIFS('январь 2025'!$G$5:$G$2334,'январь 2025'!$D$5:$D$2334,$B143,'январь 2025'!$J$5:$J$2334,AF$1)</f>
        <v>0</v>
      </c>
      <c r="AG143" s="76">
        <f>SUMIFS('январь 2025'!$G$5:$G$2334,'январь 2025'!$D$5:$D$2334,$B143,'январь 2025'!$J$5:$J$2334,AG$1)</f>
        <v>0</v>
      </c>
      <c r="AH143" s="76">
        <f>SUMIFS('январь 2025'!$G$5:$G$2334,'январь 2025'!$D$5:$D$2334,$B143,'январь 2025'!$J$5:$J$2334,AH$1)</f>
        <v>0</v>
      </c>
      <c r="AI143" s="20">
        <f t="shared" si="1"/>
        <v>0</v>
      </c>
    </row>
    <row r="144" spans="2:35" ht="15" customHeight="1" x14ac:dyDescent="0.25">
      <c r="B144" s="84" t="s">
        <v>313</v>
      </c>
      <c r="C144" s="83">
        <v>1000</v>
      </c>
      <c r="D144" s="76">
        <f>SUMIFS('январь 2025'!$G$5:$G$2334,'январь 2025'!$D$5:$D$2334,$B144,'январь 2025'!$J$5:$J$2334,D$1)</f>
        <v>0</v>
      </c>
      <c r="E144" s="76">
        <f>SUMIFS('январь 2025'!$G$5:$G$2334,'январь 2025'!$D$5:$D$2334,$B144,'январь 2025'!$J$5:$J$2334,E$1)</f>
        <v>0</v>
      </c>
      <c r="F144" s="76">
        <f>SUMIFS('январь 2025'!$G$5:$G$2334,'январь 2025'!$D$5:$D$2334,$B144,'январь 2025'!$J$5:$J$2334,F$1)</f>
        <v>0</v>
      </c>
      <c r="G144" s="76">
        <f>SUMIFS('январь 2025'!$G$5:$G$2334,'январь 2025'!$D$5:$D$2334,$B144,'январь 2025'!$J$5:$J$2334,G$1)</f>
        <v>0</v>
      </c>
      <c r="H144" s="76">
        <f>SUMIFS('январь 2025'!$G$5:$G$2334,'январь 2025'!$D$5:$D$2334,$B144,'январь 2025'!$J$5:$J$2334,H$1)</f>
        <v>0</v>
      </c>
      <c r="I144" s="76">
        <f>SUMIFS('январь 2025'!$G$5:$G$2334,'январь 2025'!$D$5:$D$2334,$B144,'январь 2025'!$J$5:$J$2334,I$1)</f>
        <v>0</v>
      </c>
      <c r="J144" s="76">
        <f>SUMIFS('январь 2025'!$G$5:$G$2334,'январь 2025'!$D$5:$D$2334,$B144,'январь 2025'!$J$5:$J$2334,J$1)</f>
        <v>0</v>
      </c>
      <c r="K144" s="76">
        <f>SUMIFS('январь 2025'!$G$5:$G$2334,'январь 2025'!$D$5:$D$2334,$B144,'январь 2025'!$J$5:$J$2334,K$1)</f>
        <v>0</v>
      </c>
      <c r="L144" s="76">
        <f>SUMIFS('январь 2025'!$G$5:$G$2334,'январь 2025'!$D$5:$D$2334,$B144,'январь 2025'!$J$5:$J$2334,L$1)</f>
        <v>0</v>
      </c>
      <c r="M144" s="76">
        <f>SUMIFS('январь 2025'!$G$5:$G$2334,'январь 2025'!$D$5:$D$2334,$B144,'январь 2025'!$J$5:$J$2334,M$1)</f>
        <v>0</v>
      </c>
      <c r="N144" s="76">
        <f>SUMIFS('январь 2025'!$G$5:$G$2334,'январь 2025'!$D$5:$D$2334,$B144,'январь 2025'!$J$5:$J$2334,N$1)</f>
        <v>0</v>
      </c>
      <c r="O144" s="76">
        <f>SUMIFS('январь 2025'!$G$5:$G$2334,'январь 2025'!$D$5:$D$2334,$B144,'январь 2025'!$J$5:$J$2334,O$1)</f>
        <v>0</v>
      </c>
      <c r="P144" s="76">
        <f>SUMIFS('январь 2025'!$G$5:$G$2334,'январь 2025'!$D$5:$D$2334,$B144,'январь 2025'!$J$5:$J$2334,P$1)</f>
        <v>0</v>
      </c>
      <c r="Q144" s="76">
        <f>SUMIFS('январь 2025'!$G$5:$G$2334,'январь 2025'!$D$5:$D$2334,$B144,'январь 2025'!$J$5:$J$2334,Q$1)</f>
        <v>0</v>
      </c>
      <c r="R144" s="76">
        <f>SUMIFS('январь 2025'!$G$5:$G$2334,'январь 2025'!$D$5:$D$2334,$B144,'январь 2025'!$J$5:$J$2334,R$1)</f>
        <v>0</v>
      </c>
      <c r="S144" s="76">
        <f>SUMIFS('январь 2025'!$G$5:$G$2334,'январь 2025'!$D$5:$D$2334,$B144,'январь 2025'!$J$5:$J$2334,S$1)</f>
        <v>0</v>
      </c>
      <c r="T144" s="76">
        <f>SUMIFS('январь 2025'!$G$5:$G$2334,'январь 2025'!$D$5:$D$2334,$B144,'январь 2025'!$J$5:$J$2334,T$1)</f>
        <v>0</v>
      </c>
      <c r="U144" s="76">
        <f>SUMIFS('январь 2025'!$G$5:$G$2334,'январь 2025'!$D$5:$D$2334,$B144,'январь 2025'!$J$5:$J$2334,U$1)</f>
        <v>0</v>
      </c>
      <c r="V144" s="76">
        <f>SUMIFS('январь 2025'!$G$5:$G$2334,'январь 2025'!$D$5:$D$2334,$B144,'январь 2025'!$J$5:$J$2334,V$1)</f>
        <v>0</v>
      </c>
      <c r="W144" s="76">
        <f>SUMIFS('январь 2025'!$G$5:$G$2334,'январь 2025'!$D$5:$D$2334,$B144,'январь 2025'!$J$5:$J$2334,W$1)</f>
        <v>0</v>
      </c>
      <c r="X144" s="76">
        <f>SUMIFS('январь 2025'!$G$5:$G$2334,'январь 2025'!$D$5:$D$2334,$B144,'январь 2025'!$J$5:$J$2334,X$1)</f>
        <v>0</v>
      </c>
      <c r="Y144" s="76">
        <f>SUMIFS('январь 2025'!$G$5:$G$2334,'январь 2025'!$D$5:$D$2334,$B144,'январь 2025'!$J$5:$J$2334,Y$1)</f>
        <v>0</v>
      </c>
      <c r="Z144" s="76">
        <f>SUMIFS('январь 2025'!$G$5:$G$2334,'январь 2025'!$D$5:$D$2334,$B144,'январь 2025'!$J$5:$J$2334,Z$1)</f>
        <v>0</v>
      </c>
      <c r="AA144" s="76">
        <f>SUMIFS('январь 2025'!$G$5:$G$2334,'январь 2025'!$D$5:$D$2334,$B144,'январь 2025'!$J$5:$J$2334,AA$1)</f>
        <v>0</v>
      </c>
      <c r="AB144" s="76">
        <f>SUMIFS('январь 2025'!$G$5:$G$2334,'январь 2025'!$D$5:$D$2334,$B144,'январь 2025'!$J$5:$J$2334,AB$1)</f>
        <v>0</v>
      </c>
      <c r="AC144" s="76">
        <f>SUMIFS('январь 2025'!$G$5:$G$2334,'январь 2025'!$D$5:$D$2334,$B144,'январь 2025'!$J$5:$J$2334,AC$1)</f>
        <v>0</v>
      </c>
      <c r="AD144" s="76">
        <f>SUMIFS('январь 2025'!$G$5:$G$2334,'январь 2025'!$D$5:$D$2334,$B144,'январь 2025'!$J$5:$J$2334,AD$1)</f>
        <v>0</v>
      </c>
      <c r="AE144" s="76">
        <f>SUMIFS('январь 2025'!$G$5:$G$2334,'январь 2025'!$D$5:$D$2334,$B144,'январь 2025'!$J$5:$J$2334,AE$1)</f>
        <v>0</v>
      </c>
      <c r="AF144" s="76">
        <f>SUMIFS('январь 2025'!$G$5:$G$2334,'январь 2025'!$D$5:$D$2334,$B144,'январь 2025'!$J$5:$J$2334,AF$1)</f>
        <v>0</v>
      </c>
      <c r="AG144" s="76">
        <f>SUMIFS('январь 2025'!$G$5:$G$2334,'январь 2025'!$D$5:$D$2334,$B144,'январь 2025'!$J$5:$J$2334,AG$1)</f>
        <v>0</v>
      </c>
      <c r="AH144" s="76">
        <f>SUMIFS('январь 2025'!$G$5:$G$2334,'январь 2025'!$D$5:$D$2334,$B144,'январь 2025'!$J$5:$J$2334,AH$1)</f>
        <v>0</v>
      </c>
      <c r="AI144" s="20">
        <f t="shared" si="1"/>
        <v>0</v>
      </c>
    </row>
    <row r="145" spans="2:35" ht="15" customHeight="1" x14ac:dyDescent="0.25">
      <c r="B145" s="84" t="s">
        <v>200</v>
      </c>
      <c r="C145" s="83">
        <v>200</v>
      </c>
      <c r="D145" s="76">
        <f>SUMIFS('январь 2025'!$G$5:$G$2334,'январь 2025'!$D$5:$D$2334,$B145,'январь 2025'!$J$5:$J$2334,D$1)</f>
        <v>0</v>
      </c>
      <c r="E145" s="76">
        <f>SUMIFS('январь 2025'!$G$5:$G$2334,'январь 2025'!$D$5:$D$2334,$B145,'январь 2025'!$J$5:$J$2334,E$1)</f>
        <v>0</v>
      </c>
      <c r="F145" s="76">
        <f>SUMIFS('январь 2025'!$G$5:$G$2334,'январь 2025'!$D$5:$D$2334,$B145,'январь 2025'!$J$5:$J$2334,F$1)</f>
        <v>0</v>
      </c>
      <c r="G145" s="76">
        <f>SUMIFS('январь 2025'!$G$5:$G$2334,'январь 2025'!$D$5:$D$2334,$B145,'январь 2025'!$J$5:$J$2334,G$1)</f>
        <v>0</v>
      </c>
      <c r="H145" s="76">
        <f>SUMIFS('январь 2025'!$G$5:$G$2334,'январь 2025'!$D$5:$D$2334,$B145,'январь 2025'!$J$5:$J$2334,H$1)</f>
        <v>0</v>
      </c>
      <c r="I145" s="76">
        <f>SUMIFS('январь 2025'!$G$5:$G$2334,'январь 2025'!$D$5:$D$2334,$B145,'январь 2025'!$J$5:$J$2334,I$1)</f>
        <v>0</v>
      </c>
      <c r="J145" s="76">
        <f>SUMIFS('январь 2025'!$G$5:$G$2334,'январь 2025'!$D$5:$D$2334,$B145,'январь 2025'!$J$5:$J$2334,J$1)</f>
        <v>0</v>
      </c>
      <c r="K145" s="76">
        <f>SUMIFS('январь 2025'!$G$5:$G$2334,'январь 2025'!$D$5:$D$2334,$B145,'январь 2025'!$J$5:$J$2334,K$1)</f>
        <v>0</v>
      </c>
      <c r="L145" s="76">
        <f>SUMIFS('январь 2025'!$G$5:$G$2334,'январь 2025'!$D$5:$D$2334,$B145,'январь 2025'!$J$5:$J$2334,L$1)</f>
        <v>0</v>
      </c>
      <c r="M145" s="76">
        <f>SUMIFS('январь 2025'!$G$5:$G$2334,'январь 2025'!$D$5:$D$2334,$B145,'январь 2025'!$J$5:$J$2334,M$1)</f>
        <v>0</v>
      </c>
      <c r="N145" s="76">
        <f>SUMIFS('январь 2025'!$G$5:$G$2334,'январь 2025'!$D$5:$D$2334,$B145,'январь 2025'!$J$5:$J$2334,N$1)</f>
        <v>0</v>
      </c>
      <c r="O145" s="76">
        <f>SUMIFS('январь 2025'!$G$5:$G$2334,'январь 2025'!$D$5:$D$2334,$B145,'январь 2025'!$J$5:$J$2334,O$1)</f>
        <v>0</v>
      </c>
      <c r="P145" s="76">
        <f>SUMIFS('январь 2025'!$G$5:$G$2334,'январь 2025'!$D$5:$D$2334,$B145,'январь 2025'!$J$5:$J$2334,P$1)</f>
        <v>0</v>
      </c>
      <c r="Q145" s="76">
        <f>SUMIFS('январь 2025'!$G$5:$G$2334,'январь 2025'!$D$5:$D$2334,$B145,'январь 2025'!$J$5:$J$2334,Q$1)</f>
        <v>0</v>
      </c>
      <c r="R145" s="76">
        <f>SUMIFS('январь 2025'!$G$5:$G$2334,'январь 2025'!$D$5:$D$2334,$B145,'январь 2025'!$J$5:$J$2334,R$1)</f>
        <v>0</v>
      </c>
      <c r="S145" s="76">
        <f>SUMIFS('январь 2025'!$G$5:$G$2334,'январь 2025'!$D$5:$D$2334,$B145,'январь 2025'!$J$5:$J$2334,S$1)</f>
        <v>0</v>
      </c>
      <c r="T145" s="76">
        <f>SUMIFS('январь 2025'!$G$5:$G$2334,'январь 2025'!$D$5:$D$2334,$B145,'январь 2025'!$J$5:$J$2334,T$1)</f>
        <v>0</v>
      </c>
      <c r="U145" s="76">
        <f>SUMIFS('январь 2025'!$G$5:$G$2334,'январь 2025'!$D$5:$D$2334,$B145,'январь 2025'!$J$5:$J$2334,U$1)</f>
        <v>0</v>
      </c>
      <c r="V145" s="76">
        <f>SUMIFS('январь 2025'!$G$5:$G$2334,'январь 2025'!$D$5:$D$2334,$B145,'январь 2025'!$J$5:$J$2334,V$1)</f>
        <v>0</v>
      </c>
      <c r="W145" s="76">
        <f>SUMIFS('январь 2025'!$G$5:$G$2334,'январь 2025'!$D$5:$D$2334,$B145,'январь 2025'!$J$5:$J$2334,W$1)</f>
        <v>0</v>
      </c>
      <c r="X145" s="76">
        <f>SUMIFS('январь 2025'!$G$5:$G$2334,'январь 2025'!$D$5:$D$2334,$B145,'январь 2025'!$J$5:$J$2334,X$1)</f>
        <v>0</v>
      </c>
      <c r="Y145" s="76">
        <f>SUMIFS('январь 2025'!$G$5:$G$2334,'январь 2025'!$D$5:$D$2334,$B145,'январь 2025'!$J$5:$J$2334,Y$1)</f>
        <v>0</v>
      </c>
      <c r="Z145" s="76">
        <f>SUMIFS('январь 2025'!$G$5:$G$2334,'январь 2025'!$D$5:$D$2334,$B145,'январь 2025'!$J$5:$J$2334,Z$1)</f>
        <v>0</v>
      </c>
      <c r="AA145" s="76">
        <f>SUMIFS('январь 2025'!$G$5:$G$2334,'январь 2025'!$D$5:$D$2334,$B145,'январь 2025'!$J$5:$J$2334,AA$1)</f>
        <v>0</v>
      </c>
      <c r="AB145" s="76">
        <f>SUMIFS('январь 2025'!$G$5:$G$2334,'январь 2025'!$D$5:$D$2334,$B145,'январь 2025'!$J$5:$J$2334,AB$1)</f>
        <v>0</v>
      </c>
      <c r="AC145" s="76">
        <f>SUMIFS('январь 2025'!$G$5:$G$2334,'январь 2025'!$D$5:$D$2334,$B145,'январь 2025'!$J$5:$J$2334,AC$1)</f>
        <v>0</v>
      </c>
      <c r="AD145" s="76">
        <f>SUMIFS('январь 2025'!$G$5:$G$2334,'январь 2025'!$D$5:$D$2334,$B145,'январь 2025'!$J$5:$J$2334,AD$1)</f>
        <v>0</v>
      </c>
      <c r="AE145" s="76">
        <f>SUMIFS('январь 2025'!$G$5:$G$2334,'январь 2025'!$D$5:$D$2334,$B145,'январь 2025'!$J$5:$J$2334,AE$1)</f>
        <v>0</v>
      </c>
      <c r="AF145" s="76">
        <f>SUMIFS('январь 2025'!$G$5:$G$2334,'январь 2025'!$D$5:$D$2334,$B145,'январь 2025'!$J$5:$J$2334,AF$1)</f>
        <v>0</v>
      </c>
      <c r="AG145" s="76">
        <f>SUMIFS('январь 2025'!$G$5:$G$2334,'январь 2025'!$D$5:$D$2334,$B145,'январь 2025'!$J$5:$J$2334,AG$1)</f>
        <v>0</v>
      </c>
      <c r="AH145" s="76">
        <f>SUMIFS('январь 2025'!$G$5:$G$2334,'январь 2025'!$D$5:$D$2334,$B145,'январь 2025'!$J$5:$J$2334,AH$1)</f>
        <v>0</v>
      </c>
      <c r="AI145" s="20">
        <f t="shared" si="1"/>
        <v>0</v>
      </c>
    </row>
    <row r="146" spans="2:35" ht="15" customHeight="1" x14ac:dyDescent="0.25">
      <c r="B146" s="84" t="s">
        <v>275</v>
      </c>
      <c r="C146" s="83">
        <v>200</v>
      </c>
      <c r="D146" s="76">
        <f>SUMIFS('январь 2025'!$G$5:$G$2334,'январь 2025'!$D$5:$D$2334,$B146,'январь 2025'!$J$5:$J$2334,D$1)</f>
        <v>0</v>
      </c>
      <c r="E146" s="76">
        <f>SUMIFS('январь 2025'!$G$5:$G$2334,'январь 2025'!$D$5:$D$2334,$B146,'январь 2025'!$J$5:$J$2334,E$1)</f>
        <v>0</v>
      </c>
      <c r="F146" s="76">
        <f>SUMIFS('январь 2025'!$G$5:$G$2334,'январь 2025'!$D$5:$D$2334,$B146,'январь 2025'!$J$5:$J$2334,F$1)</f>
        <v>0</v>
      </c>
      <c r="G146" s="76">
        <f>SUMIFS('январь 2025'!$G$5:$G$2334,'январь 2025'!$D$5:$D$2334,$B146,'январь 2025'!$J$5:$J$2334,G$1)</f>
        <v>0</v>
      </c>
      <c r="H146" s="76">
        <f>SUMIFS('январь 2025'!$G$5:$G$2334,'январь 2025'!$D$5:$D$2334,$B146,'январь 2025'!$J$5:$J$2334,H$1)</f>
        <v>0</v>
      </c>
      <c r="I146" s="76">
        <f>SUMIFS('январь 2025'!$G$5:$G$2334,'январь 2025'!$D$5:$D$2334,$B146,'январь 2025'!$J$5:$J$2334,I$1)</f>
        <v>0</v>
      </c>
      <c r="J146" s="76">
        <f>SUMIFS('январь 2025'!$G$5:$G$2334,'январь 2025'!$D$5:$D$2334,$B146,'январь 2025'!$J$5:$J$2334,J$1)</f>
        <v>0</v>
      </c>
      <c r="K146" s="76">
        <f>SUMIFS('январь 2025'!$G$5:$G$2334,'январь 2025'!$D$5:$D$2334,$B146,'январь 2025'!$J$5:$J$2334,K$1)</f>
        <v>0</v>
      </c>
      <c r="L146" s="76">
        <f>SUMIFS('январь 2025'!$G$5:$G$2334,'январь 2025'!$D$5:$D$2334,$B146,'январь 2025'!$J$5:$J$2334,L$1)</f>
        <v>0</v>
      </c>
      <c r="M146" s="76">
        <f>SUMIFS('январь 2025'!$G$5:$G$2334,'январь 2025'!$D$5:$D$2334,$B146,'январь 2025'!$J$5:$J$2334,M$1)</f>
        <v>0</v>
      </c>
      <c r="N146" s="76">
        <f>SUMIFS('январь 2025'!$G$5:$G$2334,'январь 2025'!$D$5:$D$2334,$B146,'январь 2025'!$J$5:$J$2334,N$1)</f>
        <v>0</v>
      </c>
      <c r="O146" s="76">
        <f>SUMIFS('январь 2025'!$G$5:$G$2334,'январь 2025'!$D$5:$D$2334,$B146,'январь 2025'!$J$5:$J$2334,O$1)</f>
        <v>0</v>
      </c>
      <c r="P146" s="76">
        <f>SUMIFS('январь 2025'!$G$5:$G$2334,'январь 2025'!$D$5:$D$2334,$B146,'январь 2025'!$J$5:$J$2334,P$1)</f>
        <v>0</v>
      </c>
      <c r="Q146" s="76">
        <f>SUMIFS('январь 2025'!$G$5:$G$2334,'январь 2025'!$D$5:$D$2334,$B146,'январь 2025'!$J$5:$J$2334,Q$1)</f>
        <v>0</v>
      </c>
      <c r="R146" s="76">
        <f>SUMIFS('январь 2025'!$G$5:$G$2334,'январь 2025'!$D$5:$D$2334,$B146,'январь 2025'!$J$5:$J$2334,R$1)</f>
        <v>0</v>
      </c>
      <c r="S146" s="76">
        <f>SUMIFS('январь 2025'!$G$5:$G$2334,'январь 2025'!$D$5:$D$2334,$B146,'январь 2025'!$J$5:$J$2334,S$1)</f>
        <v>0</v>
      </c>
      <c r="T146" s="76">
        <f>SUMIFS('январь 2025'!$G$5:$G$2334,'январь 2025'!$D$5:$D$2334,$B146,'январь 2025'!$J$5:$J$2334,T$1)</f>
        <v>0</v>
      </c>
      <c r="U146" s="76">
        <f>SUMIFS('январь 2025'!$G$5:$G$2334,'январь 2025'!$D$5:$D$2334,$B146,'январь 2025'!$J$5:$J$2334,U$1)</f>
        <v>0</v>
      </c>
      <c r="V146" s="76">
        <f>SUMIFS('январь 2025'!$G$5:$G$2334,'январь 2025'!$D$5:$D$2334,$B146,'январь 2025'!$J$5:$J$2334,V$1)</f>
        <v>0</v>
      </c>
      <c r="W146" s="76">
        <f>SUMIFS('январь 2025'!$G$5:$G$2334,'январь 2025'!$D$5:$D$2334,$B146,'январь 2025'!$J$5:$J$2334,W$1)</f>
        <v>0</v>
      </c>
      <c r="X146" s="76">
        <f>SUMIFS('январь 2025'!$G$5:$G$2334,'январь 2025'!$D$5:$D$2334,$B146,'январь 2025'!$J$5:$J$2334,X$1)</f>
        <v>0</v>
      </c>
      <c r="Y146" s="76">
        <f>SUMIFS('январь 2025'!$G$5:$G$2334,'январь 2025'!$D$5:$D$2334,$B146,'январь 2025'!$J$5:$J$2334,Y$1)</f>
        <v>0</v>
      </c>
      <c r="Z146" s="76">
        <f>SUMIFS('январь 2025'!$G$5:$G$2334,'январь 2025'!$D$5:$D$2334,$B146,'январь 2025'!$J$5:$J$2334,Z$1)</f>
        <v>0</v>
      </c>
      <c r="AA146" s="76">
        <f>SUMIFS('январь 2025'!$G$5:$G$2334,'январь 2025'!$D$5:$D$2334,$B146,'январь 2025'!$J$5:$J$2334,AA$1)</f>
        <v>0</v>
      </c>
      <c r="AB146" s="76">
        <f>SUMIFS('январь 2025'!$G$5:$G$2334,'январь 2025'!$D$5:$D$2334,$B146,'январь 2025'!$J$5:$J$2334,AB$1)</f>
        <v>0</v>
      </c>
      <c r="AC146" s="76">
        <f>SUMIFS('январь 2025'!$G$5:$G$2334,'январь 2025'!$D$5:$D$2334,$B146,'январь 2025'!$J$5:$J$2334,AC$1)</f>
        <v>0</v>
      </c>
      <c r="AD146" s="76">
        <f>SUMIFS('январь 2025'!$G$5:$G$2334,'январь 2025'!$D$5:$D$2334,$B146,'январь 2025'!$J$5:$J$2334,AD$1)</f>
        <v>0</v>
      </c>
      <c r="AE146" s="76">
        <f>SUMIFS('январь 2025'!$G$5:$G$2334,'январь 2025'!$D$5:$D$2334,$B146,'январь 2025'!$J$5:$J$2334,AE$1)</f>
        <v>0</v>
      </c>
      <c r="AF146" s="76">
        <f>SUMIFS('январь 2025'!$G$5:$G$2334,'январь 2025'!$D$5:$D$2334,$B146,'январь 2025'!$J$5:$J$2334,AF$1)</f>
        <v>0</v>
      </c>
      <c r="AG146" s="76">
        <f>SUMIFS('январь 2025'!$G$5:$G$2334,'январь 2025'!$D$5:$D$2334,$B146,'январь 2025'!$J$5:$J$2334,AG$1)</f>
        <v>0</v>
      </c>
      <c r="AH146" s="76">
        <f>SUMIFS('январь 2025'!$G$5:$G$2334,'январь 2025'!$D$5:$D$2334,$B146,'январь 2025'!$J$5:$J$2334,AH$1)</f>
        <v>0</v>
      </c>
      <c r="AI146" s="20">
        <f t="shared" si="1"/>
        <v>0</v>
      </c>
    </row>
    <row r="147" spans="2:35" ht="15" customHeight="1" x14ac:dyDescent="0.25">
      <c r="B147" s="84" t="s">
        <v>204</v>
      </c>
      <c r="C147" s="86">
        <v>200</v>
      </c>
      <c r="D147" s="76">
        <f>SUMIFS('январь 2025'!$G$5:$G$2334,'январь 2025'!$D$5:$D$2334,$B147,'январь 2025'!$J$5:$J$2334,D$1)</f>
        <v>0</v>
      </c>
      <c r="E147" s="76">
        <f>SUMIFS('январь 2025'!$G$5:$G$2334,'январь 2025'!$D$5:$D$2334,$B147,'январь 2025'!$J$5:$J$2334,E$1)</f>
        <v>0</v>
      </c>
      <c r="F147" s="76">
        <f>SUMIFS('январь 2025'!$G$5:$G$2334,'январь 2025'!$D$5:$D$2334,$B147,'январь 2025'!$J$5:$J$2334,F$1)</f>
        <v>0</v>
      </c>
      <c r="G147" s="76">
        <f>SUMIFS('январь 2025'!$G$5:$G$2334,'январь 2025'!$D$5:$D$2334,$B147,'январь 2025'!$J$5:$J$2334,G$1)</f>
        <v>0</v>
      </c>
      <c r="H147" s="76">
        <f>SUMIFS('январь 2025'!$G$5:$G$2334,'январь 2025'!$D$5:$D$2334,$B147,'январь 2025'!$J$5:$J$2334,H$1)</f>
        <v>0</v>
      </c>
      <c r="I147" s="76">
        <f>SUMIFS('январь 2025'!$G$5:$G$2334,'январь 2025'!$D$5:$D$2334,$B147,'январь 2025'!$J$5:$J$2334,I$1)</f>
        <v>0</v>
      </c>
      <c r="J147" s="76">
        <f>SUMIFS('январь 2025'!$G$5:$G$2334,'январь 2025'!$D$5:$D$2334,$B147,'январь 2025'!$J$5:$J$2334,J$1)</f>
        <v>0</v>
      </c>
      <c r="K147" s="76">
        <f>SUMIFS('январь 2025'!$G$5:$G$2334,'январь 2025'!$D$5:$D$2334,$B147,'январь 2025'!$J$5:$J$2334,K$1)</f>
        <v>0</v>
      </c>
      <c r="L147" s="76">
        <f>SUMIFS('январь 2025'!$G$5:$G$2334,'январь 2025'!$D$5:$D$2334,$B147,'январь 2025'!$J$5:$J$2334,L$1)</f>
        <v>0</v>
      </c>
      <c r="M147" s="76">
        <f>SUMIFS('январь 2025'!$G$5:$G$2334,'январь 2025'!$D$5:$D$2334,$B147,'январь 2025'!$J$5:$J$2334,M$1)</f>
        <v>0</v>
      </c>
      <c r="N147" s="76">
        <f>SUMIFS('январь 2025'!$G$5:$G$2334,'январь 2025'!$D$5:$D$2334,$B147,'январь 2025'!$J$5:$J$2334,N$1)</f>
        <v>0</v>
      </c>
      <c r="O147" s="76">
        <f>SUMIFS('январь 2025'!$G$5:$G$2334,'январь 2025'!$D$5:$D$2334,$B147,'январь 2025'!$J$5:$J$2334,O$1)</f>
        <v>0</v>
      </c>
      <c r="P147" s="76">
        <f>SUMIFS('январь 2025'!$G$5:$G$2334,'январь 2025'!$D$5:$D$2334,$B147,'январь 2025'!$J$5:$J$2334,P$1)</f>
        <v>0</v>
      </c>
      <c r="Q147" s="76">
        <f>SUMIFS('январь 2025'!$G$5:$G$2334,'январь 2025'!$D$5:$D$2334,$B147,'январь 2025'!$J$5:$J$2334,Q$1)</f>
        <v>0</v>
      </c>
      <c r="R147" s="76">
        <f>SUMIFS('январь 2025'!$G$5:$G$2334,'январь 2025'!$D$5:$D$2334,$B147,'январь 2025'!$J$5:$J$2334,R$1)</f>
        <v>0</v>
      </c>
      <c r="S147" s="76">
        <f>SUMIFS('январь 2025'!$G$5:$G$2334,'январь 2025'!$D$5:$D$2334,$B147,'январь 2025'!$J$5:$J$2334,S$1)</f>
        <v>0</v>
      </c>
      <c r="T147" s="76">
        <f>SUMIFS('январь 2025'!$G$5:$G$2334,'январь 2025'!$D$5:$D$2334,$B147,'январь 2025'!$J$5:$J$2334,T$1)</f>
        <v>0</v>
      </c>
      <c r="U147" s="76">
        <f>SUMIFS('январь 2025'!$G$5:$G$2334,'январь 2025'!$D$5:$D$2334,$B147,'январь 2025'!$J$5:$J$2334,U$1)</f>
        <v>0</v>
      </c>
      <c r="V147" s="76">
        <f>SUMIFS('январь 2025'!$G$5:$G$2334,'январь 2025'!$D$5:$D$2334,$B147,'январь 2025'!$J$5:$J$2334,V$1)</f>
        <v>0</v>
      </c>
      <c r="W147" s="76">
        <f>SUMIFS('январь 2025'!$G$5:$G$2334,'январь 2025'!$D$5:$D$2334,$B147,'январь 2025'!$J$5:$J$2334,W$1)</f>
        <v>0</v>
      </c>
      <c r="X147" s="76">
        <f>SUMIFS('январь 2025'!$G$5:$G$2334,'январь 2025'!$D$5:$D$2334,$B147,'январь 2025'!$J$5:$J$2334,X$1)</f>
        <v>0</v>
      </c>
      <c r="Y147" s="76">
        <f>SUMIFS('январь 2025'!$G$5:$G$2334,'январь 2025'!$D$5:$D$2334,$B147,'январь 2025'!$J$5:$J$2334,Y$1)</f>
        <v>0</v>
      </c>
      <c r="Z147" s="76">
        <f>SUMIFS('январь 2025'!$G$5:$G$2334,'январь 2025'!$D$5:$D$2334,$B147,'январь 2025'!$J$5:$J$2334,Z$1)</f>
        <v>0</v>
      </c>
      <c r="AA147" s="76">
        <f>SUMIFS('январь 2025'!$G$5:$G$2334,'январь 2025'!$D$5:$D$2334,$B147,'январь 2025'!$J$5:$J$2334,AA$1)</f>
        <v>0</v>
      </c>
      <c r="AB147" s="76">
        <f>SUMIFS('январь 2025'!$G$5:$G$2334,'январь 2025'!$D$5:$D$2334,$B147,'январь 2025'!$J$5:$J$2334,AB$1)</f>
        <v>0</v>
      </c>
      <c r="AC147" s="76">
        <f>SUMIFS('январь 2025'!$G$5:$G$2334,'январь 2025'!$D$5:$D$2334,$B147,'январь 2025'!$J$5:$J$2334,AC$1)</f>
        <v>0</v>
      </c>
      <c r="AD147" s="76">
        <f>SUMIFS('январь 2025'!$G$5:$G$2334,'январь 2025'!$D$5:$D$2334,$B147,'январь 2025'!$J$5:$J$2334,AD$1)</f>
        <v>0</v>
      </c>
      <c r="AE147" s="76">
        <f>SUMIFS('январь 2025'!$G$5:$G$2334,'январь 2025'!$D$5:$D$2334,$B147,'январь 2025'!$J$5:$J$2334,AE$1)</f>
        <v>0</v>
      </c>
      <c r="AF147" s="76">
        <f>SUMIFS('январь 2025'!$G$5:$G$2334,'январь 2025'!$D$5:$D$2334,$B147,'январь 2025'!$J$5:$J$2334,AF$1)</f>
        <v>0</v>
      </c>
      <c r="AG147" s="76">
        <f>SUMIFS('январь 2025'!$G$5:$G$2334,'январь 2025'!$D$5:$D$2334,$B147,'январь 2025'!$J$5:$J$2334,AG$1)</f>
        <v>0</v>
      </c>
      <c r="AH147" s="76">
        <f>SUMIFS('январь 2025'!$G$5:$G$2334,'январь 2025'!$D$5:$D$2334,$B147,'январь 2025'!$J$5:$J$2334,AH$1)</f>
        <v>0</v>
      </c>
      <c r="AI147" s="20">
        <f t="shared" si="1"/>
        <v>0</v>
      </c>
    </row>
    <row r="148" spans="2:35" ht="15" customHeight="1" x14ac:dyDescent="0.25">
      <c r="B148" s="84" t="s">
        <v>290</v>
      </c>
      <c r="C148" s="86">
        <v>200</v>
      </c>
      <c r="D148" s="76">
        <f>SUMIFS('январь 2025'!$G$5:$G$2334,'январь 2025'!$D$5:$D$2334,$B148,'январь 2025'!$J$5:$J$2334,D$1)</f>
        <v>0</v>
      </c>
      <c r="E148" s="76">
        <f>SUMIFS('январь 2025'!$G$5:$G$2334,'январь 2025'!$D$5:$D$2334,$B148,'январь 2025'!$J$5:$J$2334,E$1)</f>
        <v>0</v>
      </c>
      <c r="F148" s="76">
        <f>SUMIFS('январь 2025'!$G$5:$G$2334,'январь 2025'!$D$5:$D$2334,$B148,'январь 2025'!$J$5:$J$2334,F$1)</f>
        <v>0</v>
      </c>
      <c r="G148" s="76">
        <f>SUMIFS('январь 2025'!$G$5:$G$2334,'январь 2025'!$D$5:$D$2334,$B148,'январь 2025'!$J$5:$J$2334,G$1)</f>
        <v>0</v>
      </c>
      <c r="H148" s="76">
        <f>SUMIFS('январь 2025'!$G$5:$G$2334,'январь 2025'!$D$5:$D$2334,$B148,'январь 2025'!$J$5:$J$2334,H$1)</f>
        <v>0</v>
      </c>
      <c r="I148" s="76">
        <f>SUMIFS('январь 2025'!$G$5:$G$2334,'январь 2025'!$D$5:$D$2334,$B148,'январь 2025'!$J$5:$J$2334,I$1)</f>
        <v>0</v>
      </c>
      <c r="J148" s="76">
        <f>SUMIFS('январь 2025'!$G$5:$G$2334,'январь 2025'!$D$5:$D$2334,$B148,'январь 2025'!$J$5:$J$2334,J$1)</f>
        <v>0</v>
      </c>
      <c r="K148" s="76">
        <f>SUMIFS('январь 2025'!$G$5:$G$2334,'январь 2025'!$D$5:$D$2334,$B148,'январь 2025'!$J$5:$J$2334,K$1)</f>
        <v>0</v>
      </c>
      <c r="L148" s="76">
        <f>SUMIFS('январь 2025'!$G$5:$G$2334,'январь 2025'!$D$5:$D$2334,$B148,'январь 2025'!$J$5:$J$2334,L$1)</f>
        <v>0</v>
      </c>
      <c r="M148" s="76">
        <f>SUMIFS('январь 2025'!$G$5:$G$2334,'январь 2025'!$D$5:$D$2334,$B148,'январь 2025'!$J$5:$J$2334,M$1)</f>
        <v>0</v>
      </c>
      <c r="N148" s="76">
        <f>SUMIFS('январь 2025'!$G$5:$G$2334,'январь 2025'!$D$5:$D$2334,$B148,'январь 2025'!$J$5:$J$2334,N$1)</f>
        <v>0</v>
      </c>
      <c r="O148" s="76">
        <f>SUMIFS('январь 2025'!$G$5:$G$2334,'январь 2025'!$D$5:$D$2334,$B148,'январь 2025'!$J$5:$J$2334,O$1)</f>
        <v>0</v>
      </c>
      <c r="P148" s="76">
        <f>SUMIFS('январь 2025'!$G$5:$G$2334,'январь 2025'!$D$5:$D$2334,$B148,'январь 2025'!$J$5:$J$2334,P$1)</f>
        <v>0</v>
      </c>
      <c r="Q148" s="76">
        <f>SUMIFS('январь 2025'!$G$5:$G$2334,'январь 2025'!$D$5:$D$2334,$B148,'январь 2025'!$J$5:$J$2334,Q$1)</f>
        <v>0</v>
      </c>
      <c r="R148" s="76">
        <f>SUMIFS('январь 2025'!$G$5:$G$2334,'январь 2025'!$D$5:$D$2334,$B148,'январь 2025'!$J$5:$J$2334,R$1)</f>
        <v>0</v>
      </c>
      <c r="S148" s="76">
        <f>SUMIFS('январь 2025'!$G$5:$G$2334,'январь 2025'!$D$5:$D$2334,$B148,'январь 2025'!$J$5:$J$2334,S$1)</f>
        <v>0</v>
      </c>
      <c r="T148" s="76">
        <f>SUMIFS('январь 2025'!$G$5:$G$2334,'январь 2025'!$D$5:$D$2334,$B148,'январь 2025'!$J$5:$J$2334,T$1)</f>
        <v>0</v>
      </c>
      <c r="U148" s="76">
        <f>SUMIFS('январь 2025'!$G$5:$G$2334,'январь 2025'!$D$5:$D$2334,$B148,'январь 2025'!$J$5:$J$2334,U$1)</f>
        <v>0</v>
      </c>
      <c r="V148" s="76">
        <f>SUMIFS('январь 2025'!$G$5:$G$2334,'январь 2025'!$D$5:$D$2334,$B148,'январь 2025'!$J$5:$J$2334,V$1)</f>
        <v>0</v>
      </c>
      <c r="W148" s="76">
        <f>SUMIFS('январь 2025'!$G$5:$G$2334,'январь 2025'!$D$5:$D$2334,$B148,'январь 2025'!$J$5:$J$2334,W$1)</f>
        <v>0</v>
      </c>
      <c r="X148" s="76">
        <f>SUMIFS('январь 2025'!$G$5:$G$2334,'январь 2025'!$D$5:$D$2334,$B148,'январь 2025'!$J$5:$J$2334,X$1)</f>
        <v>0</v>
      </c>
      <c r="Y148" s="76">
        <f>SUMIFS('январь 2025'!$G$5:$G$2334,'январь 2025'!$D$5:$D$2334,$B148,'январь 2025'!$J$5:$J$2334,Y$1)</f>
        <v>0</v>
      </c>
      <c r="Z148" s="76">
        <f>SUMIFS('январь 2025'!$G$5:$G$2334,'январь 2025'!$D$5:$D$2334,$B148,'январь 2025'!$J$5:$J$2334,Z$1)</f>
        <v>0</v>
      </c>
      <c r="AA148" s="76">
        <f>SUMIFS('январь 2025'!$G$5:$G$2334,'январь 2025'!$D$5:$D$2334,$B148,'январь 2025'!$J$5:$J$2334,AA$1)</f>
        <v>0</v>
      </c>
      <c r="AB148" s="76">
        <f>SUMIFS('январь 2025'!$G$5:$G$2334,'январь 2025'!$D$5:$D$2334,$B148,'январь 2025'!$J$5:$J$2334,AB$1)</f>
        <v>0</v>
      </c>
      <c r="AC148" s="76">
        <f>SUMIFS('январь 2025'!$G$5:$G$2334,'январь 2025'!$D$5:$D$2334,$B148,'январь 2025'!$J$5:$J$2334,AC$1)</f>
        <v>0</v>
      </c>
      <c r="AD148" s="76">
        <f>SUMIFS('январь 2025'!$G$5:$G$2334,'январь 2025'!$D$5:$D$2334,$B148,'январь 2025'!$J$5:$J$2334,AD$1)</f>
        <v>0</v>
      </c>
      <c r="AE148" s="76">
        <f>SUMIFS('январь 2025'!$G$5:$G$2334,'январь 2025'!$D$5:$D$2334,$B148,'январь 2025'!$J$5:$J$2334,AE$1)</f>
        <v>0</v>
      </c>
      <c r="AF148" s="76">
        <f>SUMIFS('январь 2025'!$G$5:$G$2334,'январь 2025'!$D$5:$D$2334,$B148,'январь 2025'!$J$5:$J$2334,AF$1)</f>
        <v>0</v>
      </c>
      <c r="AG148" s="76">
        <f>SUMIFS('январь 2025'!$G$5:$G$2334,'январь 2025'!$D$5:$D$2334,$B148,'январь 2025'!$J$5:$J$2334,AG$1)</f>
        <v>0</v>
      </c>
      <c r="AH148" s="76">
        <f>SUMIFS('январь 2025'!$G$5:$G$2334,'январь 2025'!$D$5:$D$2334,$B148,'январь 2025'!$J$5:$J$2334,AH$1)</f>
        <v>0</v>
      </c>
      <c r="AI148" s="20">
        <f t="shared" si="1"/>
        <v>0</v>
      </c>
    </row>
    <row r="149" spans="2:35" ht="15" customHeight="1" x14ac:dyDescent="0.25">
      <c r="B149" s="88" t="s">
        <v>177</v>
      </c>
      <c r="C149" s="86">
        <v>25</v>
      </c>
      <c r="D149" s="76">
        <f>SUMIFS('январь 2025'!$G$5:$G$2334,'январь 2025'!$D$5:$D$2334,$B149,'январь 2025'!$J$5:$J$2334,D$1)</f>
        <v>0</v>
      </c>
      <c r="E149" s="76">
        <f>SUMIFS('январь 2025'!$G$5:$G$2334,'январь 2025'!$D$5:$D$2334,$B149,'январь 2025'!$J$5:$J$2334,E$1)</f>
        <v>0</v>
      </c>
      <c r="F149" s="76">
        <f>SUMIFS('январь 2025'!$G$5:$G$2334,'январь 2025'!$D$5:$D$2334,$B149,'январь 2025'!$J$5:$J$2334,F$1)</f>
        <v>0</v>
      </c>
      <c r="G149" s="76">
        <f>SUMIFS('январь 2025'!$G$5:$G$2334,'январь 2025'!$D$5:$D$2334,$B149,'январь 2025'!$J$5:$J$2334,G$1)</f>
        <v>0</v>
      </c>
      <c r="H149" s="76">
        <f>SUMIFS('январь 2025'!$G$5:$G$2334,'январь 2025'!$D$5:$D$2334,$B149,'январь 2025'!$J$5:$J$2334,H$1)</f>
        <v>0</v>
      </c>
      <c r="I149" s="76">
        <f>SUMIFS('январь 2025'!$G$5:$G$2334,'январь 2025'!$D$5:$D$2334,$B149,'январь 2025'!$J$5:$J$2334,I$1)</f>
        <v>0</v>
      </c>
      <c r="J149" s="76">
        <f>SUMIFS('январь 2025'!$G$5:$G$2334,'январь 2025'!$D$5:$D$2334,$B149,'январь 2025'!$J$5:$J$2334,J$1)</f>
        <v>0</v>
      </c>
      <c r="K149" s="76">
        <f>SUMIFS('январь 2025'!$G$5:$G$2334,'январь 2025'!$D$5:$D$2334,$B149,'январь 2025'!$J$5:$J$2334,K$1)</f>
        <v>0</v>
      </c>
      <c r="L149" s="76">
        <f>SUMIFS('январь 2025'!$G$5:$G$2334,'январь 2025'!$D$5:$D$2334,$B149,'январь 2025'!$J$5:$J$2334,L$1)</f>
        <v>0</v>
      </c>
      <c r="M149" s="76">
        <f>SUMIFS('январь 2025'!$G$5:$G$2334,'январь 2025'!$D$5:$D$2334,$B149,'январь 2025'!$J$5:$J$2334,M$1)</f>
        <v>0</v>
      </c>
      <c r="N149" s="76">
        <f>SUMIFS('январь 2025'!$G$5:$G$2334,'январь 2025'!$D$5:$D$2334,$B149,'январь 2025'!$J$5:$J$2334,N$1)</f>
        <v>0</v>
      </c>
      <c r="O149" s="76">
        <f>SUMIFS('январь 2025'!$G$5:$G$2334,'январь 2025'!$D$5:$D$2334,$B149,'январь 2025'!$J$5:$J$2334,O$1)</f>
        <v>0</v>
      </c>
      <c r="P149" s="76">
        <f>SUMIFS('январь 2025'!$G$5:$G$2334,'январь 2025'!$D$5:$D$2334,$B149,'январь 2025'!$J$5:$J$2334,P$1)</f>
        <v>0</v>
      </c>
      <c r="Q149" s="76">
        <f>SUMIFS('январь 2025'!$G$5:$G$2334,'январь 2025'!$D$5:$D$2334,$B149,'январь 2025'!$J$5:$J$2334,Q$1)</f>
        <v>0</v>
      </c>
      <c r="R149" s="76">
        <f>SUMIFS('январь 2025'!$G$5:$G$2334,'январь 2025'!$D$5:$D$2334,$B149,'январь 2025'!$J$5:$J$2334,R$1)</f>
        <v>0</v>
      </c>
      <c r="S149" s="76">
        <f>SUMIFS('январь 2025'!$G$5:$G$2334,'январь 2025'!$D$5:$D$2334,$B149,'январь 2025'!$J$5:$J$2334,S$1)</f>
        <v>0</v>
      </c>
      <c r="T149" s="76">
        <f>SUMIFS('январь 2025'!$G$5:$G$2334,'январь 2025'!$D$5:$D$2334,$B149,'январь 2025'!$J$5:$J$2334,T$1)</f>
        <v>0</v>
      </c>
      <c r="U149" s="76">
        <f>SUMIFS('январь 2025'!$G$5:$G$2334,'январь 2025'!$D$5:$D$2334,$B149,'январь 2025'!$J$5:$J$2334,U$1)</f>
        <v>0</v>
      </c>
      <c r="V149" s="76">
        <f>SUMIFS('январь 2025'!$G$5:$G$2334,'январь 2025'!$D$5:$D$2334,$B149,'январь 2025'!$J$5:$J$2334,V$1)</f>
        <v>0</v>
      </c>
      <c r="W149" s="76">
        <f>SUMIFS('январь 2025'!$G$5:$G$2334,'январь 2025'!$D$5:$D$2334,$B149,'январь 2025'!$J$5:$J$2334,W$1)</f>
        <v>0</v>
      </c>
      <c r="X149" s="76">
        <f>SUMIFS('январь 2025'!$G$5:$G$2334,'январь 2025'!$D$5:$D$2334,$B149,'январь 2025'!$J$5:$J$2334,X$1)</f>
        <v>0</v>
      </c>
      <c r="Y149" s="76">
        <f>SUMIFS('январь 2025'!$G$5:$G$2334,'январь 2025'!$D$5:$D$2334,$B149,'январь 2025'!$J$5:$J$2334,Y$1)</f>
        <v>0</v>
      </c>
      <c r="Z149" s="76">
        <f>SUMIFS('январь 2025'!$G$5:$G$2334,'январь 2025'!$D$5:$D$2334,$B149,'январь 2025'!$J$5:$J$2334,Z$1)</f>
        <v>0</v>
      </c>
      <c r="AA149" s="76">
        <f>SUMIFS('январь 2025'!$G$5:$G$2334,'январь 2025'!$D$5:$D$2334,$B149,'январь 2025'!$J$5:$J$2334,AA$1)</f>
        <v>0</v>
      </c>
      <c r="AB149" s="76">
        <f>SUMIFS('январь 2025'!$G$5:$G$2334,'январь 2025'!$D$5:$D$2334,$B149,'январь 2025'!$J$5:$J$2334,AB$1)</f>
        <v>0</v>
      </c>
      <c r="AC149" s="76">
        <f>SUMIFS('январь 2025'!$G$5:$G$2334,'январь 2025'!$D$5:$D$2334,$B149,'январь 2025'!$J$5:$J$2334,AC$1)</f>
        <v>0</v>
      </c>
      <c r="AD149" s="76">
        <f>SUMIFS('январь 2025'!$G$5:$G$2334,'январь 2025'!$D$5:$D$2334,$B149,'январь 2025'!$J$5:$J$2334,AD$1)</f>
        <v>0</v>
      </c>
      <c r="AE149" s="76">
        <f>SUMIFS('январь 2025'!$G$5:$G$2334,'январь 2025'!$D$5:$D$2334,$B149,'январь 2025'!$J$5:$J$2334,AE$1)</f>
        <v>0</v>
      </c>
      <c r="AF149" s="76">
        <f>SUMIFS('январь 2025'!$G$5:$G$2334,'январь 2025'!$D$5:$D$2334,$B149,'январь 2025'!$J$5:$J$2334,AF$1)</f>
        <v>0</v>
      </c>
      <c r="AG149" s="76">
        <f>SUMIFS('январь 2025'!$G$5:$G$2334,'январь 2025'!$D$5:$D$2334,$B149,'январь 2025'!$J$5:$J$2334,AG$1)</f>
        <v>0</v>
      </c>
      <c r="AH149" s="76">
        <f>SUMIFS('январь 2025'!$G$5:$G$2334,'январь 2025'!$D$5:$D$2334,$B149,'январь 2025'!$J$5:$J$2334,AH$1)</f>
        <v>0</v>
      </c>
      <c r="AI149" s="20">
        <f t="shared" si="1"/>
        <v>0</v>
      </c>
    </row>
    <row r="150" spans="2:35" ht="15" customHeight="1" x14ac:dyDescent="0.25">
      <c r="B150" s="84" t="s">
        <v>175</v>
      </c>
      <c r="C150" s="83">
        <v>25</v>
      </c>
      <c r="D150" s="76">
        <f>SUMIFS('январь 2025'!$G$5:$G$2334,'январь 2025'!$D$5:$D$2334,$B150,'январь 2025'!$J$5:$J$2334,D$1)</f>
        <v>0</v>
      </c>
      <c r="E150" s="76">
        <f>SUMIFS('январь 2025'!$G$5:$G$2334,'январь 2025'!$D$5:$D$2334,$B150,'январь 2025'!$J$5:$J$2334,E$1)</f>
        <v>0</v>
      </c>
      <c r="F150" s="76">
        <f>SUMIFS('январь 2025'!$G$5:$G$2334,'январь 2025'!$D$5:$D$2334,$B150,'январь 2025'!$J$5:$J$2334,F$1)</f>
        <v>0</v>
      </c>
      <c r="G150" s="76">
        <f>SUMIFS('январь 2025'!$G$5:$G$2334,'январь 2025'!$D$5:$D$2334,$B150,'январь 2025'!$J$5:$J$2334,G$1)</f>
        <v>0</v>
      </c>
      <c r="H150" s="76">
        <f>SUMIFS('январь 2025'!$G$5:$G$2334,'январь 2025'!$D$5:$D$2334,$B150,'январь 2025'!$J$5:$J$2334,H$1)</f>
        <v>0</v>
      </c>
      <c r="I150" s="76">
        <f>SUMIFS('январь 2025'!$G$5:$G$2334,'январь 2025'!$D$5:$D$2334,$B150,'январь 2025'!$J$5:$J$2334,I$1)</f>
        <v>0</v>
      </c>
      <c r="J150" s="76">
        <f>SUMIFS('январь 2025'!$G$5:$G$2334,'январь 2025'!$D$5:$D$2334,$B150,'январь 2025'!$J$5:$J$2334,J$1)</f>
        <v>0</v>
      </c>
      <c r="K150" s="76">
        <f>SUMIFS('январь 2025'!$G$5:$G$2334,'январь 2025'!$D$5:$D$2334,$B150,'январь 2025'!$J$5:$J$2334,K$1)</f>
        <v>0</v>
      </c>
      <c r="L150" s="76">
        <f>SUMIFS('январь 2025'!$G$5:$G$2334,'январь 2025'!$D$5:$D$2334,$B150,'январь 2025'!$J$5:$J$2334,L$1)</f>
        <v>0</v>
      </c>
      <c r="M150" s="76">
        <f>SUMIFS('январь 2025'!$G$5:$G$2334,'январь 2025'!$D$5:$D$2334,$B150,'январь 2025'!$J$5:$J$2334,M$1)</f>
        <v>0</v>
      </c>
      <c r="N150" s="76">
        <f>SUMIFS('январь 2025'!$G$5:$G$2334,'январь 2025'!$D$5:$D$2334,$B150,'январь 2025'!$J$5:$J$2334,N$1)</f>
        <v>0</v>
      </c>
      <c r="O150" s="76">
        <f>SUMIFS('январь 2025'!$G$5:$G$2334,'январь 2025'!$D$5:$D$2334,$B150,'январь 2025'!$J$5:$J$2334,O$1)</f>
        <v>0</v>
      </c>
      <c r="P150" s="76">
        <f>SUMIFS('январь 2025'!$G$5:$G$2334,'январь 2025'!$D$5:$D$2334,$B150,'январь 2025'!$J$5:$J$2334,P$1)</f>
        <v>0</v>
      </c>
      <c r="Q150" s="76">
        <f>SUMIFS('январь 2025'!$G$5:$G$2334,'январь 2025'!$D$5:$D$2334,$B150,'январь 2025'!$J$5:$J$2334,Q$1)</f>
        <v>0</v>
      </c>
      <c r="R150" s="76">
        <f>SUMIFS('январь 2025'!$G$5:$G$2334,'январь 2025'!$D$5:$D$2334,$B150,'январь 2025'!$J$5:$J$2334,R$1)</f>
        <v>0</v>
      </c>
      <c r="S150" s="76">
        <f>SUMIFS('январь 2025'!$G$5:$G$2334,'январь 2025'!$D$5:$D$2334,$B150,'январь 2025'!$J$5:$J$2334,S$1)</f>
        <v>0</v>
      </c>
      <c r="T150" s="76">
        <f>SUMIFS('январь 2025'!$G$5:$G$2334,'январь 2025'!$D$5:$D$2334,$B150,'январь 2025'!$J$5:$J$2334,T$1)</f>
        <v>0</v>
      </c>
      <c r="U150" s="76">
        <f>SUMIFS('январь 2025'!$G$5:$G$2334,'январь 2025'!$D$5:$D$2334,$B150,'январь 2025'!$J$5:$J$2334,U$1)</f>
        <v>0</v>
      </c>
      <c r="V150" s="76">
        <f>SUMIFS('январь 2025'!$G$5:$G$2334,'январь 2025'!$D$5:$D$2334,$B150,'январь 2025'!$J$5:$J$2334,V$1)</f>
        <v>0</v>
      </c>
      <c r="W150" s="76">
        <f>SUMIFS('январь 2025'!$G$5:$G$2334,'январь 2025'!$D$5:$D$2334,$B150,'январь 2025'!$J$5:$J$2334,W$1)</f>
        <v>0</v>
      </c>
      <c r="X150" s="76">
        <f>SUMIFS('январь 2025'!$G$5:$G$2334,'январь 2025'!$D$5:$D$2334,$B150,'январь 2025'!$J$5:$J$2334,X$1)</f>
        <v>0</v>
      </c>
      <c r="Y150" s="76">
        <f>SUMIFS('январь 2025'!$G$5:$G$2334,'январь 2025'!$D$5:$D$2334,$B150,'январь 2025'!$J$5:$J$2334,Y$1)</f>
        <v>0</v>
      </c>
      <c r="Z150" s="76">
        <f>SUMIFS('январь 2025'!$G$5:$G$2334,'январь 2025'!$D$5:$D$2334,$B150,'январь 2025'!$J$5:$J$2334,Z$1)</f>
        <v>0</v>
      </c>
      <c r="AA150" s="76">
        <f>SUMIFS('январь 2025'!$G$5:$G$2334,'январь 2025'!$D$5:$D$2334,$B150,'январь 2025'!$J$5:$J$2334,AA$1)</f>
        <v>0</v>
      </c>
      <c r="AB150" s="76">
        <f>SUMIFS('январь 2025'!$G$5:$G$2334,'январь 2025'!$D$5:$D$2334,$B150,'январь 2025'!$J$5:$J$2334,AB$1)</f>
        <v>0</v>
      </c>
      <c r="AC150" s="76">
        <f>SUMIFS('январь 2025'!$G$5:$G$2334,'январь 2025'!$D$5:$D$2334,$B150,'январь 2025'!$J$5:$J$2334,AC$1)</f>
        <v>0</v>
      </c>
      <c r="AD150" s="76">
        <f>SUMIFS('январь 2025'!$G$5:$G$2334,'январь 2025'!$D$5:$D$2334,$B150,'январь 2025'!$J$5:$J$2334,AD$1)</f>
        <v>0</v>
      </c>
      <c r="AE150" s="76">
        <f>SUMIFS('январь 2025'!$G$5:$G$2334,'январь 2025'!$D$5:$D$2334,$B150,'январь 2025'!$J$5:$J$2334,AE$1)</f>
        <v>0</v>
      </c>
      <c r="AF150" s="76">
        <f>SUMIFS('январь 2025'!$G$5:$G$2334,'январь 2025'!$D$5:$D$2334,$B150,'январь 2025'!$J$5:$J$2334,AF$1)</f>
        <v>0</v>
      </c>
      <c r="AG150" s="76">
        <f>SUMIFS('январь 2025'!$G$5:$G$2334,'январь 2025'!$D$5:$D$2334,$B150,'январь 2025'!$J$5:$J$2334,AG$1)</f>
        <v>0</v>
      </c>
      <c r="AH150" s="76">
        <f>SUMIFS('январь 2025'!$G$5:$G$2334,'январь 2025'!$D$5:$D$2334,$B150,'январь 2025'!$J$5:$J$2334,AH$1)</f>
        <v>0</v>
      </c>
      <c r="AI150" s="20">
        <f t="shared" si="1"/>
        <v>0</v>
      </c>
    </row>
    <row r="151" spans="2:35" ht="15" customHeight="1" x14ac:dyDescent="0.25">
      <c r="B151" s="84" t="s">
        <v>176</v>
      </c>
      <c r="C151" s="83">
        <v>25</v>
      </c>
      <c r="D151" s="76">
        <f>SUMIFS('январь 2025'!$G$5:$G$2334,'январь 2025'!$D$5:$D$2334,$B151,'январь 2025'!$J$5:$J$2334,D$1)</f>
        <v>0</v>
      </c>
      <c r="E151" s="76">
        <f>SUMIFS('январь 2025'!$G$5:$G$2334,'январь 2025'!$D$5:$D$2334,$B151,'январь 2025'!$J$5:$J$2334,E$1)</f>
        <v>0</v>
      </c>
      <c r="F151" s="76">
        <f>SUMIFS('январь 2025'!$G$5:$G$2334,'январь 2025'!$D$5:$D$2334,$B151,'январь 2025'!$J$5:$J$2334,F$1)</f>
        <v>0</v>
      </c>
      <c r="G151" s="76">
        <f>SUMIFS('январь 2025'!$G$5:$G$2334,'январь 2025'!$D$5:$D$2334,$B151,'январь 2025'!$J$5:$J$2334,G$1)</f>
        <v>0</v>
      </c>
      <c r="H151" s="76">
        <f>SUMIFS('январь 2025'!$G$5:$G$2334,'январь 2025'!$D$5:$D$2334,$B151,'январь 2025'!$J$5:$J$2334,H$1)</f>
        <v>0</v>
      </c>
      <c r="I151" s="76">
        <f>SUMIFS('январь 2025'!$G$5:$G$2334,'январь 2025'!$D$5:$D$2334,$B151,'январь 2025'!$J$5:$J$2334,I$1)</f>
        <v>0</v>
      </c>
      <c r="J151" s="76">
        <f>SUMIFS('январь 2025'!$G$5:$G$2334,'январь 2025'!$D$5:$D$2334,$B151,'январь 2025'!$J$5:$J$2334,J$1)</f>
        <v>0</v>
      </c>
      <c r="K151" s="76">
        <f>SUMIFS('январь 2025'!$G$5:$G$2334,'январь 2025'!$D$5:$D$2334,$B151,'январь 2025'!$J$5:$J$2334,K$1)</f>
        <v>0</v>
      </c>
      <c r="L151" s="76">
        <f>SUMIFS('январь 2025'!$G$5:$G$2334,'январь 2025'!$D$5:$D$2334,$B151,'январь 2025'!$J$5:$J$2334,L$1)</f>
        <v>0</v>
      </c>
      <c r="M151" s="76">
        <f>SUMIFS('январь 2025'!$G$5:$G$2334,'январь 2025'!$D$5:$D$2334,$B151,'январь 2025'!$J$5:$J$2334,M$1)</f>
        <v>0</v>
      </c>
      <c r="N151" s="76">
        <f>SUMIFS('январь 2025'!$G$5:$G$2334,'январь 2025'!$D$5:$D$2334,$B151,'январь 2025'!$J$5:$J$2334,N$1)</f>
        <v>0</v>
      </c>
      <c r="O151" s="76">
        <f>SUMIFS('январь 2025'!$G$5:$G$2334,'январь 2025'!$D$5:$D$2334,$B151,'январь 2025'!$J$5:$J$2334,O$1)</f>
        <v>0</v>
      </c>
      <c r="P151" s="76">
        <f>SUMIFS('январь 2025'!$G$5:$G$2334,'январь 2025'!$D$5:$D$2334,$B151,'январь 2025'!$J$5:$J$2334,P$1)</f>
        <v>0</v>
      </c>
      <c r="Q151" s="76">
        <f>SUMIFS('январь 2025'!$G$5:$G$2334,'январь 2025'!$D$5:$D$2334,$B151,'январь 2025'!$J$5:$J$2334,Q$1)</f>
        <v>0</v>
      </c>
      <c r="R151" s="76">
        <f>SUMIFS('январь 2025'!$G$5:$G$2334,'январь 2025'!$D$5:$D$2334,$B151,'январь 2025'!$J$5:$J$2334,R$1)</f>
        <v>0</v>
      </c>
      <c r="S151" s="76">
        <f>SUMIFS('январь 2025'!$G$5:$G$2334,'январь 2025'!$D$5:$D$2334,$B151,'январь 2025'!$J$5:$J$2334,S$1)</f>
        <v>0</v>
      </c>
      <c r="T151" s="76">
        <f>SUMIFS('январь 2025'!$G$5:$G$2334,'январь 2025'!$D$5:$D$2334,$B151,'январь 2025'!$J$5:$J$2334,T$1)</f>
        <v>0</v>
      </c>
      <c r="U151" s="76">
        <f>SUMIFS('январь 2025'!$G$5:$G$2334,'январь 2025'!$D$5:$D$2334,$B151,'январь 2025'!$J$5:$J$2334,U$1)</f>
        <v>0</v>
      </c>
      <c r="V151" s="76">
        <f>SUMIFS('январь 2025'!$G$5:$G$2334,'январь 2025'!$D$5:$D$2334,$B151,'январь 2025'!$J$5:$J$2334,V$1)</f>
        <v>0</v>
      </c>
      <c r="W151" s="76">
        <f>SUMIFS('январь 2025'!$G$5:$G$2334,'январь 2025'!$D$5:$D$2334,$B151,'январь 2025'!$J$5:$J$2334,W$1)</f>
        <v>0</v>
      </c>
      <c r="X151" s="76">
        <f>SUMIFS('январь 2025'!$G$5:$G$2334,'январь 2025'!$D$5:$D$2334,$B151,'январь 2025'!$J$5:$J$2334,X$1)</f>
        <v>0</v>
      </c>
      <c r="Y151" s="76">
        <f>SUMIFS('январь 2025'!$G$5:$G$2334,'январь 2025'!$D$5:$D$2334,$B151,'январь 2025'!$J$5:$J$2334,Y$1)</f>
        <v>0</v>
      </c>
      <c r="Z151" s="76">
        <f>SUMIFS('январь 2025'!$G$5:$G$2334,'январь 2025'!$D$5:$D$2334,$B151,'январь 2025'!$J$5:$J$2334,Z$1)</f>
        <v>0</v>
      </c>
      <c r="AA151" s="76">
        <f>SUMIFS('январь 2025'!$G$5:$G$2334,'январь 2025'!$D$5:$D$2334,$B151,'январь 2025'!$J$5:$J$2334,AA$1)</f>
        <v>0</v>
      </c>
      <c r="AB151" s="76">
        <f>SUMIFS('январь 2025'!$G$5:$G$2334,'январь 2025'!$D$5:$D$2334,$B151,'январь 2025'!$J$5:$J$2334,AB$1)</f>
        <v>0</v>
      </c>
      <c r="AC151" s="76">
        <f>SUMIFS('январь 2025'!$G$5:$G$2334,'январь 2025'!$D$5:$D$2334,$B151,'январь 2025'!$J$5:$J$2334,AC$1)</f>
        <v>0</v>
      </c>
      <c r="AD151" s="76">
        <f>SUMIFS('январь 2025'!$G$5:$G$2334,'январь 2025'!$D$5:$D$2334,$B151,'январь 2025'!$J$5:$J$2334,AD$1)</f>
        <v>0</v>
      </c>
      <c r="AE151" s="76">
        <f>SUMIFS('январь 2025'!$G$5:$G$2334,'январь 2025'!$D$5:$D$2334,$B151,'январь 2025'!$J$5:$J$2334,AE$1)</f>
        <v>0</v>
      </c>
      <c r="AF151" s="76">
        <f>SUMIFS('январь 2025'!$G$5:$G$2334,'январь 2025'!$D$5:$D$2334,$B151,'январь 2025'!$J$5:$J$2334,AF$1)</f>
        <v>0</v>
      </c>
      <c r="AG151" s="76">
        <f>SUMIFS('январь 2025'!$G$5:$G$2334,'январь 2025'!$D$5:$D$2334,$B151,'январь 2025'!$J$5:$J$2334,AG$1)</f>
        <v>0</v>
      </c>
      <c r="AH151" s="76">
        <f>SUMIFS('январь 2025'!$G$5:$G$2334,'январь 2025'!$D$5:$D$2334,$B151,'январь 2025'!$J$5:$J$2334,AH$1)</f>
        <v>0</v>
      </c>
      <c r="AI151" s="20">
        <f t="shared" si="1"/>
        <v>0</v>
      </c>
    </row>
    <row r="152" spans="2:35" ht="15" customHeight="1" x14ac:dyDescent="0.25">
      <c r="B152" s="84" t="s">
        <v>201</v>
      </c>
      <c r="C152" s="83">
        <v>25</v>
      </c>
      <c r="D152" s="76">
        <f>SUMIFS('январь 2025'!$G$5:$G$2334,'январь 2025'!$D$5:$D$2334,$B152,'январь 2025'!$J$5:$J$2334,D$1)</f>
        <v>0</v>
      </c>
      <c r="E152" s="76">
        <f>SUMIFS('январь 2025'!$G$5:$G$2334,'январь 2025'!$D$5:$D$2334,$B152,'январь 2025'!$J$5:$J$2334,E$1)</f>
        <v>0</v>
      </c>
      <c r="F152" s="76">
        <f>SUMIFS('январь 2025'!$G$5:$G$2334,'январь 2025'!$D$5:$D$2334,$B152,'январь 2025'!$J$5:$J$2334,F$1)</f>
        <v>0</v>
      </c>
      <c r="G152" s="76">
        <f>SUMIFS('январь 2025'!$G$5:$G$2334,'январь 2025'!$D$5:$D$2334,$B152,'январь 2025'!$J$5:$J$2334,G$1)</f>
        <v>0</v>
      </c>
      <c r="H152" s="76">
        <f>SUMIFS('январь 2025'!$G$5:$G$2334,'январь 2025'!$D$5:$D$2334,$B152,'январь 2025'!$J$5:$J$2334,H$1)</f>
        <v>0</v>
      </c>
      <c r="I152" s="76">
        <f>SUMIFS('январь 2025'!$G$5:$G$2334,'январь 2025'!$D$5:$D$2334,$B152,'январь 2025'!$J$5:$J$2334,I$1)</f>
        <v>0</v>
      </c>
      <c r="J152" s="76">
        <f>SUMIFS('январь 2025'!$G$5:$G$2334,'январь 2025'!$D$5:$D$2334,$B152,'январь 2025'!$J$5:$J$2334,J$1)</f>
        <v>0</v>
      </c>
      <c r="K152" s="76">
        <f>SUMIFS('январь 2025'!$G$5:$G$2334,'январь 2025'!$D$5:$D$2334,$B152,'январь 2025'!$J$5:$J$2334,K$1)</f>
        <v>0</v>
      </c>
      <c r="L152" s="76">
        <f>SUMIFS('январь 2025'!$G$5:$G$2334,'январь 2025'!$D$5:$D$2334,$B152,'январь 2025'!$J$5:$J$2334,L$1)</f>
        <v>0</v>
      </c>
      <c r="M152" s="76">
        <f>SUMIFS('январь 2025'!$G$5:$G$2334,'январь 2025'!$D$5:$D$2334,$B152,'январь 2025'!$J$5:$J$2334,M$1)</f>
        <v>0</v>
      </c>
      <c r="N152" s="76">
        <f>SUMIFS('январь 2025'!$G$5:$G$2334,'январь 2025'!$D$5:$D$2334,$B152,'январь 2025'!$J$5:$J$2334,N$1)</f>
        <v>0</v>
      </c>
      <c r="O152" s="76">
        <f>SUMIFS('январь 2025'!$G$5:$G$2334,'январь 2025'!$D$5:$D$2334,$B152,'январь 2025'!$J$5:$J$2334,O$1)</f>
        <v>0</v>
      </c>
      <c r="P152" s="76">
        <f>SUMIFS('январь 2025'!$G$5:$G$2334,'январь 2025'!$D$5:$D$2334,$B152,'январь 2025'!$J$5:$J$2334,P$1)</f>
        <v>0</v>
      </c>
      <c r="Q152" s="76">
        <f>SUMIFS('январь 2025'!$G$5:$G$2334,'январь 2025'!$D$5:$D$2334,$B152,'январь 2025'!$J$5:$J$2334,Q$1)</f>
        <v>0</v>
      </c>
      <c r="R152" s="76">
        <f>SUMIFS('январь 2025'!$G$5:$G$2334,'январь 2025'!$D$5:$D$2334,$B152,'январь 2025'!$J$5:$J$2334,R$1)</f>
        <v>0</v>
      </c>
      <c r="S152" s="76">
        <f>SUMIFS('январь 2025'!$G$5:$G$2334,'январь 2025'!$D$5:$D$2334,$B152,'январь 2025'!$J$5:$J$2334,S$1)</f>
        <v>0</v>
      </c>
      <c r="T152" s="76">
        <f>SUMIFS('январь 2025'!$G$5:$G$2334,'январь 2025'!$D$5:$D$2334,$B152,'январь 2025'!$J$5:$J$2334,T$1)</f>
        <v>0</v>
      </c>
      <c r="U152" s="76">
        <f>SUMIFS('январь 2025'!$G$5:$G$2334,'январь 2025'!$D$5:$D$2334,$B152,'январь 2025'!$J$5:$J$2334,U$1)</f>
        <v>0</v>
      </c>
      <c r="V152" s="76">
        <f>SUMIFS('январь 2025'!$G$5:$G$2334,'январь 2025'!$D$5:$D$2334,$B152,'январь 2025'!$J$5:$J$2334,V$1)</f>
        <v>0</v>
      </c>
      <c r="W152" s="76">
        <f>SUMIFS('январь 2025'!$G$5:$G$2334,'январь 2025'!$D$5:$D$2334,$B152,'январь 2025'!$J$5:$J$2334,W$1)</f>
        <v>0</v>
      </c>
      <c r="X152" s="76">
        <f>SUMIFS('январь 2025'!$G$5:$G$2334,'январь 2025'!$D$5:$D$2334,$B152,'январь 2025'!$J$5:$J$2334,X$1)</f>
        <v>0</v>
      </c>
      <c r="Y152" s="76">
        <f>SUMIFS('январь 2025'!$G$5:$G$2334,'январь 2025'!$D$5:$D$2334,$B152,'январь 2025'!$J$5:$J$2334,Y$1)</f>
        <v>0</v>
      </c>
      <c r="Z152" s="76">
        <f>SUMIFS('январь 2025'!$G$5:$G$2334,'январь 2025'!$D$5:$D$2334,$B152,'январь 2025'!$J$5:$J$2334,Z$1)</f>
        <v>0</v>
      </c>
      <c r="AA152" s="76">
        <f>SUMIFS('январь 2025'!$G$5:$G$2334,'январь 2025'!$D$5:$D$2334,$B152,'январь 2025'!$J$5:$J$2334,AA$1)</f>
        <v>0</v>
      </c>
      <c r="AB152" s="76">
        <f>SUMIFS('январь 2025'!$G$5:$G$2334,'январь 2025'!$D$5:$D$2334,$B152,'январь 2025'!$J$5:$J$2334,AB$1)</f>
        <v>0</v>
      </c>
      <c r="AC152" s="76">
        <f>SUMIFS('январь 2025'!$G$5:$G$2334,'январь 2025'!$D$5:$D$2334,$B152,'январь 2025'!$J$5:$J$2334,AC$1)</f>
        <v>0</v>
      </c>
      <c r="AD152" s="76">
        <f>SUMIFS('январь 2025'!$G$5:$G$2334,'январь 2025'!$D$5:$D$2334,$B152,'январь 2025'!$J$5:$J$2334,AD$1)</f>
        <v>0</v>
      </c>
      <c r="AE152" s="76">
        <f>SUMIFS('январь 2025'!$G$5:$G$2334,'январь 2025'!$D$5:$D$2334,$B152,'январь 2025'!$J$5:$J$2334,AE$1)</f>
        <v>0</v>
      </c>
      <c r="AF152" s="76">
        <f>SUMIFS('январь 2025'!$G$5:$G$2334,'январь 2025'!$D$5:$D$2334,$B152,'январь 2025'!$J$5:$J$2334,AF$1)</f>
        <v>0</v>
      </c>
      <c r="AG152" s="76">
        <f>SUMIFS('январь 2025'!$G$5:$G$2334,'январь 2025'!$D$5:$D$2334,$B152,'январь 2025'!$J$5:$J$2334,AG$1)</f>
        <v>0</v>
      </c>
      <c r="AH152" s="76">
        <f>SUMIFS('январь 2025'!$G$5:$G$2334,'январь 2025'!$D$5:$D$2334,$B152,'январь 2025'!$J$5:$J$2334,AH$1)</f>
        <v>0</v>
      </c>
      <c r="AI152" s="20">
        <f t="shared" si="1"/>
        <v>0</v>
      </c>
    </row>
    <row r="153" spans="2:35" ht="15" customHeight="1" x14ac:dyDescent="0.25">
      <c r="B153" s="84" t="s">
        <v>300</v>
      </c>
      <c r="C153" s="83">
        <v>200</v>
      </c>
      <c r="D153" s="76">
        <f>SUMIFS('январь 2025'!$G$5:$G$2334,'январь 2025'!$D$5:$D$2334,$B153,'январь 2025'!$J$5:$J$2334,D$1)</f>
        <v>0</v>
      </c>
      <c r="E153" s="76">
        <f>SUMIFS('январь 2025'!$G$5:$G$2334,'январь 2025'!$D$5:$D$2334,$B153,'январь 2025'!$J$5:$J$2334,E$1)</f>
        <v>0</v>
      </c>
      <c r="F153" s="76">
        <f>SUMIFS('январь 2025'!$G$5:$G$2334,'январь 2025'!$D$5:$D$2334,$B153,'январь 2025'!$J$5:$J$2334,F$1)</f>
        <v>0</v>
      </c>
      <c r="G153" s="76">
        <f>SUMIFS('январь 2025'!$G$5:$G$2334,'январь 2025'!$D$5:$D$2334,$B153,'январь 2025'!$J$5:$J$2334,G$1)</f>
        <v>0</v>
      </c>
      <c r="H153" s="76">
        <f>SUMIFS('январь 2025'!$G$5:$G$2334,'январь 2025'!$D$5:$D$2334,$B153,'январь 2025'!$J$5:$J$2334,H$1)</f>
        <v>0</v>
      </c>
      <c r="I153" s="76">
        <f>SUMIFS('январь 2025'!$G$5:$G$2334,'январь 2025'!$D$5:$D$2334,$B153,'январь 2025'!$J$5:$J$2334,I$1)</f>
        <v>0</v>
      </c>
      <c r="J153" s="76">
        <f>SUMIFS('январь 2025'!$G$5:$G$2334,'январь 2025'!$D$5:$D$2334,$B153,'январь 2025'!$J$5:$J$2334,J$1)</f>
        <v>0</v>
      </c>
      <c r="K153" s="76">
        <f>SUMIFS('январь 2025'!$G$5:$G$2334,'январь 2025'!$D$5:$D$2334,$B153,'январь 2025'!$J$5:$J$2334,K$1)</f>
        <v>0</v>
      </c>
      <c r="L153" s="76">
        <f>SUMIFS('январь 2025'!$G$5:$G$2334,'январь 2025'!$D$5:$D$2334,$B153,'январь 2025'!$J$5:$J$2334,L$1)</f>
        <v>0</v>
      </c>
      <c r="M153" s="76">
        <f>SUMIFS('январь 2025'!$G$5:$G$2334,'январь 2025'!$D$5:$D$2334,$B153,'январь 2025'!$J$5:$J$2334,M$1)</f>
        <v>0</v>
      </c>
      <c r="N153" s="76">
        <f>SUMIFS('январь 2025'!$G$5:$G$2334,'январь 2025'!$D$5:$D$2334,$B153,'январь 2025'!$J$5:$J$2334,N$1)</f>
        <v>0</v>
      </c>
      <c r="O153" s="76">
        <f>SUMIFS('январь 2025'!$G$5:$G$2334,'январь 2025'!$D$5:$D$2334,$B153,'январь 2025'!$J$5:$J$2334,O$1)</f>
        <v>0</v>
      </c>
      <c r="P153" s="76">
        <f>SUMIFS('январь 2025'!$G$5:$G$2334,'январь 2025'!$D$5:$D$2334,$B153,'январь 2025'!$J$5:$J$2334,P$1)</f>
        <v>0</v>
      </c>
      <c r="Q153" s="76">
        <f>SUMIFS('январь 2025'!$G$5:$G$2334,'январь 2025'!$D$5:$D$2334,$B153,'январь 2025'!$J$5:$J$2334,Q$1)</f>
        <v>0</v>
      </c>
      <c r="R153" s="76">
        <f>SUMIFS('январь 2025'!$G$5:$G$2334,'январь 2025'!$D$5:$D$2334,$B153,'январь 2025'!$J$5:$J$2334,R$1)</f>
        <v>0</v>
      </c>
      <c r="S153" s="76">
        <f>SUMIFS('январь 2025'!$G$5:$G$2334,'январь 2025'!$D$5:$D$2334,$B153,'январь 2025'!$J$5:$J$2334,S$1)</f>
        <v>88</v>
      </c>
      <c r="T153" s="76">
        <f>SUMIFS('январь 2025'!$G$5:$G$2334,'январь 2025'!$D$5:$D$2334,$B153,'январь 2025'!$J$5:$J$2334,T$1)</f>
        <v>0</v>
      </c>
      <c r="U153" s="76">
        <f>SUMIFS('январь 2025'!$G$5:$G$2334,'январь 2025'!$D$5:$D$2334,$B153,'январь 2025'!$J$5:$J$2334,U$1)</f>
        <v>0</v>
      </c>
      <c r="V153" s="76">
        <f>SUMIFS('январь 2025'!$G$5:$G$2334,'январь 2025'!$D$5:$D$2334,$B153,'январь 2025'!$J$5:$J$2334,V$1)</f>
        <v>0</v>
      </c>
      <c r="W153" s="76">
        <f>SUMIFS('январь 2025'!$G$5:$G$2334,'январь 2025'!$D$5:$D$2334,$B153,'январь 2025'!$J$5:$J$2334,W$1)</f>
        <v>0</v>
      </c>
      <c r="X153" s="76">
        <f>SUMIFS('январь 2025'!$G$5:$G$2334,'январь 2025'!$D$5:$D$2334,$B153,'январь 2025'!$J$5:$J$2334,X$1)</f>
        <v>0</v>
      </c>
      <c r="Y153" s="76">
        <f>SUMIFS('январь 2025'!$G$5:$G$2334,'январь 2025'!$D$5:$D$2334,$B153,'январь 2025'!$J$5:$J$2334,Y$1)</f>
        <v>0</v>
      </c>
      <c r="Z153" s="76">
        <f>SUMIFS('январь 2025'!$G$5:$G$2334,'январь 2025'!$D$5:$D$2334,$B153,'январь 2025'!$J$5:$J$2334,Z$1)</f>
        <v>0</v>
      </c>
      <c r="AA153" s="76">
        <f>SUMIFS('январь 2025'!$G$5:$G$2334,'январь 2025'!$D$5:$D$2334,$B153,'январь 2025'!$J$5:$J$2334,AA$1)</f>
        <v>0</v>
      </c>
      <c r="AB153" s="76">
        <f>SUMIFS('январь 2025'!$G$5:$G$2334,'январь 2025'!$D$5:$D$2334,$B153,'январь 2025'!$J$5:$J$2334,AB$1)</f>
        <v>0</v>
      </c>
      <c r="AC153" s="76">
        <f>SUMIFS('январь 2025'!$G$5:$G$2334,'январь 2025'!$D$5:$D$2334,$B153,'январь 2025'!$J$5:$J$2334,AC$1)</f>
        <v>0</v>
      </c>
      <c r="AD153" s="76">
        <f>SUMIFS('январь 2025'!$G$5:$G$2334,'январь 2025'!$D$5:$D$2334,$B153,'январь 2025'!$J$5:$J$2334,AD$1)</f>
        <v>0</v>
      </c>
      <c r="AE153" s="76">
        <f>SUMIFS('январь 2025'!$G$5:$G$2334,'январь 2025'!$D$5:$D$2334,$B153,'январь 2025'!$J$5:$J$2334,AE$1)</f>
        <v>0</v>
      </c>
      <c r="AF153" s="76">
        <f>SUMIFS('январь 2025'!$G$5:$G$2334,'январь 2025'!$D$5:$D$2334,$B153,'январь 2025'!$J$5:$J$2334,AF$1)</f>
        <v>0</v>
      </c>
      <c r="AG153" s="76">
        <f>SUMIFS('январь 2025'!$G$5:$G$2334,'январь 2025'!$D$5:$D$2334,$B153,'январь 2025'!$J$5:$J$2334,AG$1)</f>
        <v>0</v>
      </c>
      <c r="AH153" s="76">
        <f>SUMIFS('январь 2025'!$G$5:$G$2334,'январь 2025'!$D$5:$D$2334,$B153,'январь 2025'!$J$5:$J$2334,AH$1)</f>
        <v>0</v>
      </c>
      <c r="AI153" s="20">
        <f>SUM(D153:AH153)</f>
        <v>88</v>
      </c>
    </row>
    <row r="154" spans="2:35" ht="15" customHeight="1" x14ac:dyDescent="0.25">
      <c r="B154" s="84" t="s">
        <v>307</v>
      </c>
      <c r="C154" s="83">
        <v>175</v>
      </c>
      <c r="D154" s="76">
        <f>SUMIFS('январь 2025'!$G$5:$G$2334,'январь 2025'!$D$5:$D$2334,$B154,'январь 2025'!$J$5:$J$2334,D$1)</f>
        <v>0</v>
      </c>
      <c r="E154" s="76">
        <f>SUMIFS('январь 2025'!$G$5:$G$2334,'январь 2025'!$D$5:$D$2334,$B154,'январь 2025'!$J$5:$J$2334,E$1)</f>
        <v>0</v>
      </c>
      <c r="F154" s="76">
        <f>SUMIFS('январь 2025'!$G$5:$G$2334,'январь 2025'!$D$5:$D$2334,$B154,'январь 2025'!$J$5:$J$2334,F$1)</f>
        <v>0</v>
      </c>
      <c r="G154" s="76">
        <f>SUMIFS('январь 2025'!$G$5:$G$2334,'январь 2025'!$D$5:$D$2334,$B154,'январь 2025'!$J$5:$J$2334,G$1)</f>
        <v>0</v>
      </c>
      <c r="H154" s="76">
        <f>SUMIFS('январь 2025'!$G$5:$G$2334,'январь 2025'!$D$5:$D$2334,$B154,'январь 2025'!$J$5:$J$2334,H$1)</f>
        <v>0</v>
      </c>
      <c r="I154" s="76">
        <f>SUMIFS('январь 2025'!$G$5:$G$2334,'январь 2025'!$D$5:$D$2334,$B154,'январь 2025'!$J$5:$J$2334,I$1)</f>
        <v>0</v>
      </c>
      <c r="J154" s="76">
        <f>SUMIFS('январь 2025'!$G$5:$G$2334,'январь 2025'!$D$5:$D$2334,$B154,'январь 2025'!$J$5:$J$2334,J$1)</f>
        <v>0</v>
      </c>
      <c r="K154" s="76">
        <f>SUMIFS('январь 2025'!$G$5:$G$2334,'январь 2025'!$D$5:$D$2334,$B154,'январь 2025'!$J$5:$J$2334,K$1)</f>
        <v>0</v>
      </c>
      <c r="L154" s="76">
        <f>SUMIFS('январь 2025'!$G$5:$G$2334,'январь 2025'!$D$5:$D$2334,$B154,'январь 2025'!$J$5:$J$2334,L$1)</f>
        <v>0</v>
      </c>
      <c r="M154" s="76">
        <f>SUMIFS('январь 2025'!$G$5:$G$2334,'январь 2025'!$D$5:$D$2334,$B154,'январь 2025'!$J$5:$J$2334,M$1)</f>
        <v>0</v>
      </c>
      <c r="N154" s="76">
        <f>SUMIFS('январь 2025'!$G$5:$G$2334,'январь 2025'!$D$5:$D$2334,$B154,'январь 2025'!$J$5:$J$2334,N$1)</f>
        <v>0</v>
      </c>
      <c r="O154" s="76">
        <f>SUMIFS('январь 2025'!$G$5:$G$2334,'январь 2025'!$D$5:$D$2334,$B154,'январь 2025'!$J$5:$J$2334,O$1)</f>
        <v>0</v>
      </c>
      <c r="P154" s="76">
        <f>SUMIFS('январь 2025'!$G$5:$G$2334,'январь 2025'!$D$5:$D$2334,$B154,'январь 2025'!$J$5:$J$2334,P$1)</f>
        <v>0</v>
      </c>
      <c r="Q154" s="76">
        <f>SUMIFS('январь 2025'!$G$5:$G$2334,'январь 2025'!$D$5:$D$2334,$B154,'январь 2025'!$J$5:$J$2334,Q$1)</f>
        <v>0</v>
      </c>
      <c r="R154" s="76">
        <f>SUMIFS('январь 2025'!$G$5:$G$2334,'январь 2025'!$D$5:$D$2334,$B154,'январь 2025'!$J$5:$J$2334,R$1)</f>
        <v>0</v>
      </c>
      <c r="S154" s="76">
        <f>SUMIFS('январь 2025'!$G$5:$G$2334,'январь 2025'!$D$5:$D$2334,$B154,'январь 2025'!$J$5:$J$2334,S$1)</f>
        <v>0</v>
      </c>
      <c r="T154" s="76">
        <f>SUMIFS('январь 2025'!$G$5:$G$2334,'январь 2025'!$D$5:$D$2334,$B154,'январь 2025'!$J$5:$J$2334,T$1)</f>
        <v>0</v>
      </c>
      <c r="U154" s="76">
        <f>SUMIFS('январь 2025'!$G$5:$G$2334,'январь 2025'!$D$5:$D$2334,$B154,'январь 2025'!$J$5:$J$2334,U$1)</f>
        <v>0</v>
      </c>
      <c r="V154" s="76">
        <f>SUMIFS('январь 2025'!$G$5:$G$2334,'январь 2025'!$D$5:$D$2334,$B154,'январь 2025'!$J$5:$J$2334,V$1)</f>
        <v>0</v>
      </c>
      <c r="W154" s="76">
        <f>SUMIFS('январь 2025'!$G$5:$G$2334,'январь 2025'!$D$5:$D$2334,$B154,'январь 2025'!$J$5:$J$2334,W$1)</f>
        <v>0</v>
      </c>
      <c r="X154" s="76">
        <f>SUMIFS('январь 2025'!$G$5:$G$2334,'январь 2025'!$D$5:$D$2334,$B154,'январь 2025'!$J$5:$J$2334,X$1)</f>
        <v>0</v>
      </c>
      <c r="Y154" s="76">
        <f>SUMIFS('январь 2025'!$G$5:$G$2334,'январь 2025'!$D$5:$D$2334,$B154,'январь 2025'!$J$5:$J$2334,Y$1)</f>
        <v>0</v>
      </c>
      <c r="Z154" s="76">
        <f>SUMIFS('январь 2025'!$G$5:$G$2334,'январь 2025'!$D$5:$D$2334,$B154,'январь 2025'!$J$5:$J$2334,Z$1)</f>
        <v>0</v>
      </c>
      <c r="AA154" s="76">
        <f>SUMIFS('январь 2025'!$G$5:$G$2334,'январь 2025'!$D$5:$D$2334,$B154,'январь 2025'!$J$5:$J$2334,AA$1)</f>
        <v>0</v>
      </c>
      <c r="AB154" s="76">
        <f>SUMIFS('январь 2025'!$G$5:$G$2334,'январь 2025'!$D$5:$D$2334,$B154,'январь 2025'!$J$5:$J$2334,AB$1)</f>
        <v>0</v>
      </c>
      <c r="AC154" s="76">
        <f>SUMIFS('январь 2025'!$G$5:$G$2334,'январь 2025'!$D$5:$D$2334,$B154,'январь 2025'!$J$5:$J$2334,AC$1)</f>
        <v>0</v>
      </c>
      <c r="AD154" s="76">
        <f>SUMIFS('январь 2025'!$G$5:$G$2334,'январь 2025'!$D$5:$D$2334,$B154,'январь 2025'!$J$5:$J$2334,AD$1)</f>
        <v>0</v>
      </c>
      <c r="AE154" s="76">
        <f>SUMIFS('январь 2025'!$G$5:$G$2334,'январь 2025'!$D$5:$D$2334,$B154,'январь 2025'!$J$5:$J$2334,AE$1)</f>
        <v>0</v>
      </c>
      <c r="AF154" s="76">
        <f>SUMIFS('январь 2025'!$G$5:$G$2334,'январь 2025'!$D$5:$D$2334,$B154,'январь 2025'!$J$5:$J$2334,AF$1)</f>
        <v>0</v>
      </c>
      <c r="AG154" s="76">
        <f>SUMIFS('январь 2025'!$G$5:$G$2334,'январь 2025'!$D$5:$D$2334,$B154,'январь 2025'!$J$5:$J$2334,AG$1)</f>
        <v>0</v>
      </c>
      <c r="AH154" s="76">
        <f>SUMIFS('январь 2025'!$G$5:$G$2334,'январь 2025'!$D$5:$D$2334,$B154,'январь 2025'!$J$5:$J$2334,AH$1)</f>
        <v>0</v>
      </c>
      <c r="AI154" s="20">
        <f>SUM(D154:AH154)</f>
        <v>0</v>
      </c>
    </row>
    <row r="155" spans="2:35" ht="15" customHeight="1" x14ac:dyDescent="0.25">
      <c r="B155" s="84" t="s">
        <v>324</v>
      </c>
      <c r="C155" s="83">
        <v>950</v>
      </c>
      <c r="D155" s="76">
        <f>SUMIFS('январь 2025'!$G$5:$G$2334,'январь 2025'!$D$5:$D$2334,$B155,'январь 2025'!$J$5:$J$2334,D$1)</f>
        <v>0</v>
      </c>
      <c r="E155" s="76">
        <f>SUMIFS('январь 2025'!$G$5:$G$2334,'январь 2025'!$D$5:$D$2334,$B155,'январь 2025'!$J$5:$J$2334,E$1)</f>
        <v>0</v>
      </c>
      <c r="F155" s="76">
        <f>SUMIFS('январь 2025'!$G$5:$G$2334,'январь 2025'!$D$5:$D$2334,$B155,'январь 2025'!$J$5:$J$2334,F$1)</f>
        <v>0</v>
      </c>
      <c r="G155" s="76">
        <f>SUMIFS('январь 2025'!$G$5:$G$2334,'январь 2025'!$D$5:$D$2334,$B155,'январь 2025'!$J$5:$J$2334,G$1)</f>
        <v>0</v>
      </c>
      <c r="H155" s="76">
        <f>SUMIFS('январь 2025'!$G$5:$G$2334,'январь 2025'!$D$5:$D$2334,$B155,'январь 2025'!$J$5:$J$2334,H$1)</f>
        <v>0</v>
      </c>
      <c r="I155" s="76">
        <f>SUMIFS('январь 2025'!$G$5:$G$2334,'январь 2025'!$D$5:$D$2334,$B155,'январь 2025'!$J$5:$J$2334,I$1)</f>
        <v>0</v>
      </c>
      <c r="J155" s="76">
        <f>SUMIFS('январь 2025'!$G$5:$G$2334,'январь 2025'!$D$5:$D$2334,$B155,'январь 2025'!$J$5:$J$2334,J$1)</f>
        <v>0</v>
      </c>
      <c r="K155" s="76">
        <f>SUMIFS('январь 2025'!$G$5:$G$2334,'январь 2025'!$D$5:$D$2334,$B155,'январь 2025'!$J$5:$J$2334,K$1)</f>
        <v>0</v>
      </c>
      <c r="L155" s="76">
        <f>SUMIFS('январь 2025'!$G$5:$G$2334,'январь 2025'!$D$5:$D$2334,$B155,'январь 2025'!$J$5:$J$2334,L$1)</f>
        <v>0</v>
      </c>
      <c r="M155" s="76">
        <f>SUMIFS('январь 2025'!$G$5:$G$2334,'январь 2025'!$D$5:$D$2334,$B155,'январь 2025'!$J$5:$J$2334,M$1)</f>
        <v>0</v>
      </c>
      <c r="N155" s="76">
        <f>SUMIFS('январь 2025'!$G$5:$G$2334,'январь 2025'!$D$5:$D$2334,$B155,'январь 2025'!$J$5:$J$2334,N$1)</f>
        <v>0</v>
      </c>
      <c r="O155" s="76">
        <f>SUMIFS('январь 2025'!$G$5:$G$2334,'январь 2025'!$D$5:$D$2334,$B155,'январь 2025'!$J$5:$J$2334,O$1)</f>
        <v>0</v>
      </c>
      <c r="P155" s="76">
        <f>SUMIFS('январь 2025'!$G$5:$G$2334,'январь 2025'!$D$5:$D$2334,$B155,'январь 2025'!$J$5:$J$2334,P$1)</f>
        <v>0</v>
      </c>
      <c r="Q155" s="76">
        <f>SUMIFS('январь 2025'!$G$5:$G$2334,'январь 2025'!$D$5:$D$2334,$B155,'январь 2025'!$J$5:$J$2334,Q$1)</f>
        <v>0</v>
      </c>
      <c r="R155" s="76">
        <f>SUMIFS('январь 2025'!$G$5:$G$2334,'январь 2025'!$D$5:$D$2334,$B155,'январь 2025'!$J$5:$J$2334,R$1)</f>
        <v>0</v>
      </c>
      <c r="S155" s="76">
        <f>SUMIFS('январь 2025'!$G$5:$G$2334,'январь 2025'!$D$5:$D$2334,$B155,'январь 2025'!$J$5:$J$2334,S$1)</f>
        <v>0</v>
      </c>
      <c r="T155" s="76">
        <f>SUMIFS('январь 2025'!$G$5:$G$2334,'январь 2025'!$D$5:$D$2334,$B155,'январь 2025'!$J$5:$J$2334,T$1)</f>
        <v>0</v>
      </c>
      <c r="U155" s="76">
        <f>SUMIFS('январь 2025'!$G$5:$G$2334,'январь 2025'!$D$5:$D$2334,$B155,'январь 2025'!$J$5:$J$2334,U$1)</f>
        <v>0</v>
      </c>
      <c r="V155" s="76">
        <f>SUMIFS('январь 2025'!$G$5:$G$2334,'январь 2025'!$D$5:$D$2334,$B155,'январь 2025'!$J$5:$J$2334,V$1)</f>
        <v>0</v>
      </c>
      <c r="W155" s="76">
        <f>SUMIFS('январь 2025'!$G$5:$G$2334,'январь 2025'!$D$5:$D$2334,$B155,'январь 2025'!$J$5:$J$2334,W$1)</f>
        <v>0</v>
      </c>
      <c r="X155" s="76">
        <f>SUMIFS('январь 2025'!$G$5:$G$2334,'январь 2025'!$D$5:$D$2334,$B155,'январь 2025'!$J$5:$J$2334,X$1)</f>
        <v>0</v>
      </c>
      <c r="Y155" s="76">
        <f>SUMIFS('январь 2025'!$G$5:$G$2334,'январь 2025'!$D$5:$D$2334,$B155,'январь 2025'!$J$5:$J$2334,Y$1)</f>
        <v>0</v>
      </c>
      <c r="Z155" s="76">
        <f>SUMIFS('январь 2025'!$G$5:$G$2334,'январь 2025'!$D$5:$D$2334,$B155,'январь 2025'!$J$5:$J$2334,Z$1)</f>
        <v>0</v>
      </c>
      <c r="AA155" s="76">
        <f>SUMIFS('январь 2025'!$G$5:$G$2334,'январь 2025'!$D$5:$D$2334,$B155,'январь 2025'!$J$5:$J$2334,AA$1)</f>
        <v>0</v>
      </c>
      <c r="AB155" s="76">
        <f>SUMIFS('январь 2025'!$G$5:$G$2334,'январь 2025'!$D$5:$D$2334,$B155,'январь 2025'!$J$5:$J$2334,AB$1)</f>
        <v>0</v>
      </c>
      <c r="AC155" s="76">
        <f>SUMIFS('январь 2025'!$G$5:$G$2334,'январь 2025'!$D$5:$D$2334,$B155,'январь 2025'!$J$5:$J$2334,AC$1)</f>
        <v>0</v>
      </c>
      <c r="AD155" s="76">
        <f>SUMIFS('январь 2025'!$G$5:$G$2334,'январь 2025'!$D$5:$D$2334,$B155,'январь 2025'!$J$5:$J$2334,AD$1)</f>
        <v>0</v>
      </c>
      <c r="AE155" s="76">
        <f>SUMIFS('январь 2025'!$G$5:$G$2334,'январь 2025'!$D$5:$D$2334,$B155,'январь 2025'!$J$5:$J$2334,AE$1)</f>
        <v>0</v>
      </c>
      <c r="AF155" s="76">
        <f>SUMIFS('январь 2025'!$G$5:$G$2334,'январь 2025'!$D$5:$D$2334,$B155,'январь 2025'!$J$5:$J$2334,AF$1)</f>
        <v>0</v>
      </c>
      <c r="AG155" s="76">
        <f>SUMIFS('январь 2025'!$G$5:$G$2334,'январь 2025'!$D$5:$D$2334,$B155,'январь 2025'!$J$5:$J$2334,AG$1)</f>
        <v>0</v>
      </c>
      <c r="AH155" s="76">
        <f>SUMIFS('январь 2025'!$G$5:$G$2334,'январь 2025'!$D$5:$D$2334,$B155,'январь 2025'!$J$5:$J$2334,AH$1)</f>
        <v>0</v>
      </c>
      <c r="AI155" s="20">
        <f t="shared" ref="AI155:AI156" si="5">SUM(D155:AH155)</f>
        <v>0</v>
      </c>
    </row>
    <row r="156" spans="2:35" ht="15" customHeight="1" x14ac:dyDescent="0.25">
      <c r="B156" s="84" t="s">
        <v>322</v>
      </c>
      <c r="C156" s="83">
        <v>200</v>
      </c>
      <c r="D156" s="76">
        <f>SUMIFS('январь 2025'!$G$5:$G$2334,'январь 2025'!$D$5:$D$2334,$B156,'январь 2025'!$J$5:$J$2334,D$1)</f>
        <v>0</v>
      </c>
      <c r="E156" s="76">
        <f>SUMIFS('январь 2025'!$G$5:$G$2334,'январь 2025'!$D$5:$D$2334,$B156,'январь 2025'!$J$5:$J$2334,E$1)</f>
        <v>0</v>
      </c>
      <c r="F156" s="76">
        <f>SUMIFS('январь 2025'!$G$5:$G$2334,'январь 2025'!$D$5:$D$2334,$B156,'январь 2025'!$J$5:$J$2334,F$1)</f>
        <v>0</v>
      </c>
      <c r="G156" s="76">
        <f>SUMIFS('январь 2025'!$G$5:$G$2334,'январь 2025'!$D$5:$D$2334,$B156,'январь 2025'!$J$5:$J$2334,G$1)</f>
        <v>0</v>
      </c>
      <c r="H156" s="76">
        <f>SUMIFS('январь 2025'!$G$5:$G$2334,'январь 2025'!$D$5:$D$2334,$B156,'январь 2025'!$J$5:$J$2334,H$1)</f>
        <v>0</v>
      </c>
      <c r="I156" s="76">
        <f>SUMIFS('январь 2025'!$G$5:$G$2334,'январь 2025'!$D$5:$D$2334,$B156,'январь 2025'!$J$5:$J$2334,I$1)</f>
        <v>0</v>
      </c>
      <c r="J156" s="76">
        <f>SUMIFS('январь 2025'!$G$5:$G$2334,'январь 2025'!$D$5:$D$2334,$B156,'январь 2025'!$J$5:$J$2334,J$1)</f>
        <v>0</v>
      </c>
      <c r="K156" s="76">
        <f>SUMIFS('январь 2025'!$G$5:$G$2334,'январь 2025'!$D$5:$D$2334,$B156,'январь 2025'!$J$5:$J$2334,K$1)</f>
        <v>0</v>
      </c>
      <c r="L156" s="76">
        <f>SUMIFS('январь 2025'!$G$5:$G$2334,'январь 2025'!$D$5:$D$2334,$B156,'январь 2025'!$J$5:$J$2334,L$1)</f>
        <v>0</v>
      </c>
      <c r="M156" s="76">
        <f>SUMIFS('январь 2025'!$G$5:$G$2334,'январь 2025'!$D$5:$D$2334,$B156,'январь 2025'!$J$5:$J$2334,M$1)</f>
        <v>0</v>
      </c>
      <c r="N156" s="76">
        <f>SUMIFS('январь 2025'!$G$5:$G$2334,'январь 2025'!$D$5:$D$2334,$B156,'январь 2025'!$J$5:$J$2334,N$1)</f>
        <v>0</v>
      </c>
      <c r="O156" s="76">
        <f>SUMIFS('январь 2025'!$G$5:$G$2334,'январь 2025'!$D$5:$D$2334,$B156,'январь 2025'!$J$5:$J$2334,O$1)</f>
        <v>0</v>
      </c>
      <c r="P156" s="76">
        <f>SUMIFS('январь 2025'!$G$5:$G$2334,'январь 2025'!$D$5:$D$2334,$B156,'январь 2025'!$J$5:$J$2334,P$1)</f>
        <v>0</v>
      </c>
      <c r="Q156" s="76">
        <f>SUMIFS('январь 2025'!$G$5:$G$2334,'январь 2025'!$D$5:$D$2334,$B156,'январь 2025'!$J$5:$J$2334,Q$1)</f>
        <v>0</v>
      </c>
      <c r="R156" s="76">
        <f>SUMIFS('январь 2025'!$G$5:$G$2334,'январь 2025'!$D$5:$D$2334,$B156,'январь 2025'!$J$5:$J$2334,R$1)</f>
        <v>0</v>
      </c>
      <c r="S156" s="76">
        <f>SUMIFS('январь 2025'!$G$5:$G$2334,'январь 2025'!$D$5:$D$2334,$B156,'январь 2025'!$J$5:$J$2334,S$1)</f>
        <v>0</v>
      </c>
      <c r="T156" s="76">
        <f>SUMIFS('январь 2025'!$G$5:$G$2334,'январь 2025'!$D$5:$D$2334,$B156,'январь 2025'!$J$5:$J$2334,T$1)</f>
        <v>0</v>
      </c>
      <c r="U156" s="76">
        <f>SUMIFS('январь 2025'!$G$5:$G$2334,'январь 2025'!$D$5:$D$2334,$B156,'январь 2025'!$J$5:$J$2334,U$1)</f>
        <v>0</v>
      </c>
      <c r="V156" s="76">
        <f>SUMIFS('январь 2025'!$G$5:$G$2334,'январь 2025'!$D$5:$D$2334,$B156,'январь 2025'!$J$5:$J$2334,V$1)</f>
        <v>0</v>
      </c>
      <c r="W156" s="76">
        <f>SUMIFS('январь 2025'!$G$5:$G$2334,'январь 2025'!$D$5:$D$2334,$B156,'январь 2025'!$J$5:$J$2334,W$1)</f>
        <v>0</v>
      </c>
      <c r="X156" s="76">
        <f>SUMIFS('январь 2025'!$G$5:$G$2334,'январь 2025'!$D$5:$D$2334,$B156,'январь 2025'!$J$5:$J$2334,X$1)</f>
        <v>0</v>
      </c>
      <c r="Y156" s="76">
        <f>SUMIFS('январь 2025'!$G$5:$G$2334,'январь 2025'!$D$5:$D$2334,$B156,'январь 2025'!$J$5:$J$2334,Y$1)</f>
        <v>0</v>
      </c>
      <c r="Z156" s="76">
        <f>SUMIFS('январь 2025'!$G$5:$G$2334,'январь 2025'!$D$5:$D$2334,$B156,'январь 2025'!$J$5:$J$2334,Z$1)</f>
        <v>0</v>
      </c>
      <c r="AA156" s="76">
        <f>SUMIFS('январь 2025'!$G$5:$G$2334,'январь 2025'!$D$5:$D$2334,$B156,'январь 2025'!$J$5:$J$2334,AA$1)</f>
        <v>0</v>
      </c>
      <c r="AB156" s="76">
        <f>SUMIFS('январь 2025'!$G$5:$G$2334,'январь 2025'!$D$5:$D$2334,$B156,'январь 2025'!$J$5:$J$2334,AB$1)</f>
        <v>0</v>
      </c>
      <c r="AC156" s="76">
        <f>SUMIFS('январь 2025'!$G$5:$G$2334,'январь 2025'!$D$5:$D$2334,$B156,'январь 2025'!$J$5:$J$2334,AC$1)</f>
        <v>0</v>
      </c>
      <c r="AD156" s="76">
        <f>SUMIFS('январь 2025'!$G$5:$G$2334,'январь 2025'!$D$5:$D$2334,$B156,'январь 2025'!$J$5:$J$2334,AD$1)</f>
        <v>0</v>
      </c>
      <c r="AE156" s="76">
        <f>SUMIFS('январь 2025'!$G$5:$G$2334,'январь 2025'!$D$5:$D$2334,$B156,'январь 2025'!$J$5:$J$2334,AE$1)</f>
        <v>0</v>
      </c>
      <c r="AF156" s="76">
        <f>SUMIFS('январь 2025'!$G$5:$G$2334,'январь 2025'!$D$5:$D$2334,$B156,'январь 2025'!$J$5:$J$2334,AF$1)</f>
        <v>0</v>
      </c>
      <c r="AG156" s="76">
        <f>SUMIFS('январь 2025'!$G$5:$G$2334,'январь 2025'!$D$5:$D$2334,$B156,'январь 2025'!$J$5:$J$2334,AG$1)</f>
        <v>0</v>
      </c>
      <c r="AH156" s="76">
        <f>SUMIFS('январь 2025'!$G$5:$G$2334,'январь 2025'!$D$5:$D$2334,$B156,'январь 2025'!$J$5:$J$2334,AH$1)</f>
        <v>0</v>
      </c>
      <c r="AI156" s="20">
        <f t="shared" si="5"/>
        <v>0</v>
      </c>
    </row>
    <row r="157" spans="2:35" ht="15" customHeight="1" x14ac:dyDescent="0.25">
      <c r="B157" s="84" t="s">
        <v>810</v>
      </c>
      <c r="C157" s="83">
        <v>200</v>
      </c>
      <c r="D157" s="76">
        <f>SUMIFS('январь 2025'!$G$5:$G$2334,'январь 2025'!$D$5:$D$2334,$B157,'январь 2025'!$J$5:$J$2334,D$1)</f>
        <v>0</v>
      </c>
      <c r="E157" s="76">
        <f>SUMIFS('январь 2025'!$G$5:$G$2334,'январь 2025'!$D$5:$D$2334,$B157,'январь 2025'!$J$5:$J$2334,E$1)</f>
        <v>0</v>
      </c>
      <c r="F157" s="76">
        <f>SUMIFS('январь 2025'!$G$5:$G$2334,'январь 2025'!$D$5:$D$2334,$B157,'январь 2025'!$J$5:$J$2334,F$1)</f>
        <v>0</v>
      </c>
      <c r="G157" s="76">
        <f>SUMIFS('январь 2025'!$G$5:$G$2334,'январь 2025'!$D$5:$D$2334,$B157,'январь 2025'!$J$5:$J$2334,G$1)</f>
        <v>0</v>
      </c>
      <c r="H157" s="76">
        <f>SUMIFS('январь 2025'!$G$5:$G$2334,'январь 2025'!$D$5:$D$2334,$B157,'январь 2025'!$J$5:$J$2334,H$1)</f>
        <v>0</v>
      </c>
      <c r="I157" s="76">
        <f>SUMIFS('январь 2025'!$G$5:$G$2334,'январь 2025'!$D$5:$D$2334,$B157,'январь 2025'!$J$5:$J$2334,I$1)</f>
        <v>0</v>
      </c>
      <c r="J157" s="76">
        <f>SUMIFS('январь 2025'!$G$5:$G$2334,'январь 2025'!$D$5:$D$2334,$B157,'январь 2025'!$J$5:$J$2334,J$1)</f>
        <v>0</v>
      </c>
      <c r="K157" s="76">
        <f>SUMIFS('январь 2025'!$G$5:$G$2334,'январь 2025'!$D$5:$D$2334,$B157,'январь 2025'!$J$5:$J$2334,K$1)</f>
        <v>0</v>
      </c>
      <c r="L157" s="76">
        <f>SUMIFS('январь 2025'!$G$5:$G$2334,'январь 2025'!$D$5:$D$2334,$B157,'январь 2025'!$J$5:$J$2334,L$1)</f>
        <v>0</v>
      </c>
      <c r="M157" s="76">
        <f>SUMIFS('январь 2025'!$G$5:$G$2334,'январь 2025'!$D$5:$D$2334,$B157,'январь 2025'!$J$5:$J$2334,M$1)</f>
        <v>0</v>
      </c>
      <c r="N157" s="76">
        <f>SUMIFS('январь 2025'!$G$5:$G$2334,'январь 2025'!$D$5:$D$2334,$B157,'январь 2025'!$J$5:$J$2334,N$1)</f>
        <v>0</v>
      </c>
      <c r="O157" s="76">
        <f>SUMIFS('январь 2025'!$G$5:$G$2334,'январь 2025'!$D$5:$D$2334,$B157,'январь 2025'!$J$5:$J$2334,O$1)</f>
        <v>0</v>
      </c>
      <c r="P157" s="76">
        <f>SUMIFS('январь 2025'!$G$5:$G$2334,'январь 2025'!$D$5:$D$2334,$B157,'январь 2025'!$J$5:$J$2334,P$1)</f>
        <v>0</v>
      </c>
      <c r="Q157" s="76">
        <f>SUMIFS('январь 2025'!$G$5:$G$2334,'январь 2025'!$D$5:$D$2334,$B157,'январь 2025'!$J$5:$J$2334,Q$1)</f>
        <v>0</v>
      </c>
      <c r="R157" s="76">
        <f>SUMIFS('январь 2025'!$G$5:$G$2334,'январь 2025'!$D$5:$D$2334,$B157,'январь 2025'!$J$5:$J$2334,R$1)</f>
        <v>0</v>
      </c>
      <c r="S157" s="76">
        <f>SUMIFS('январь 2025'!$G$5:$G$2334,'январь 2025'!$D$5:$D$2334,$B157,'январь 2025'!$J$5:$J$2334,S$1)</f>
        <v>0</v>
      </c>
      <c r="T157" s="76">
        <f>SUMIFS('январь 2025'!$G$5:$G$2334,'январь 2025'!$D$5:$D$2334,$B157,'январь 2025'!$J$5:$J$2334,T$1)</f>
        <v>0</v>
      </c>
      <c r="U157" s="76">
        <f>SUMIFS('январь 2025'!$G$5:$G$2334,'январь 2025'!$D$5:$D$2334,$B157,'январь 2025'!$J$5:$J$2334,U$1)</f>
        <v>0</v>
      </c>
      <c r="V157" s="76">
        <f>SUMIFS('январь 2025'!$G$5:$G$2334,'январь 2025'!$D$5:$D$2334,$B157,'январь 2025'!$J$5:$J$2334,V$1)</f>
        <v>0</v>
      </c>
      <c r="W157" s="76">
        <f>SUMIFS('январь 2025'!$G$5:$G$2334,'январь 2025'!$D$5:$D$2334,$B157,'январь 2025'!$J$5:$J$2334,W$1)</f>
        <v>0</v>
      </c>
      <c r="X157" s="76">
        <f>SUMIFS('январь 2025'!$G$5:$G$2334,'январь 2025'!$D$5:$D$2334,$B157,'январь 2025'!$J$5:$J$2334,X$1)</f>
        <v>0</v>
      </c>
      <c r="Y157" s="76">
        <f>SUMIFS('январь 2025'!$G$5:$G$2334,'январь 2025'!$D$5:$D$2334,$B157,'январь 2025'!$J$5:$J$2334,Y$1)</f>
        <v>0</v>
      </c>
      <c r="Z157" s="76">
        <f>SUMIFS('январь 2025'!$G$5:$G$2334,'январь 2025'!$D$5:$D$2334,$B157,'январь 2025'!$J$5:$J$2334,Z$1)</f>
        <v>0</v>
      </c>
      <c r="AA157" s="76">
        <f>SUMIFS('январь 2025'!$G$5:$G$2334,'январь 2025'!$D$5:$D$2334,$B157,'январь 2025'!$J$5:$J$2334,AA$1)</f>
        <v>0</v>
      </c>
      <c r="AB157" s="76">
        <f>SUMIFS('январь 2025'!$G$5:$G$2334,'январь 2025'!$D$5:$D$2334,$B157,'январь 2025'!$J$5:$J$2334,AB$1)</f>
        <v>0</v>
      </c>
      <c r="AC157" s="76">
        <f>SUMIFS('январь 2025'!$G$5:$G$2334,'январь 2025'!$D$5:$D$2334,$B157,'январь 2025'!$J$5:$J$2334,AC$1)</f>
        <v>0</v>
      </c>
      <c r="AD157" s="76">
        <f>SUMIFS('январь 2025'!$G$5:$G$2334,'январь 2025'!$D$5:$D$2334,$B157,'январь 2025'!$J$5:$J$2334,AD$1)</f>
        <v>0</v>
      </c>
      <c r="AE157" s="76">
        <f>SUMIFS('январь 2025'!$G$5:$G$2334,'январь 2025'!$D$5:$D$2334,$B157,'январь 2025'!$J$5:$J$2334,AE$1)</f>
        <v>0</v>
      </c>
      <c r="AF157" s="76">
        <f>SUMIFS('январь 2025'!$G$5:$G$2334,'январь 2025'!$D$5:$D$2334,$B157,'январь 2025'!$J$5:$J$2334,AF$1)</f>
        <v>0</v>
      </c>
      <c r="AG157" s="76">
        <f>SUMIFS('январь 2025'!$G$5:$G$2334,'январь 2025'!$D$5:$D$2334,$B157,'январь 2025'!$J$5:$J$2334,AG$1)</f>
        <v>0</v>
      </c>
      <c r="AH157" s="76">
        <f>SUMIFS('январь 2025'!$G$5:$G$2334,'январь 2025'!$D$5:$D$2334,$B157,'январь 2025'!$J$5:$J$2334,AH$1)</f>
        <v>0</v>
      </c>
      <c r="AI157" s="20">
        <f t="shared" ref="AI157" si="6">SUM(D157:AH157)</f>
        <v>0</v>
      </c>
    </row>
    <row r="158" spans="2:35" ht="15" hidden="1" customHeight="1" x14ac:dyDescent="0.25">
      <c r="B158" s="84"/>
      <c r="C158" s="83"/>
      <c r="D158" s="76" t="e">
        <f>SUMIFS(#REF!,#REF!,$B158,#REF!,D$1)</f>
        <v>#REF!</v>
      </c>
      <c r="E158" s="76" t="e">
        <f>SUMIFS(#REF!,#REF!,$B158,#REF!,E$1)</f>
        <v>#REF!</v>
      </c>
      <c r="F158" s="76" t="e">
        <f>SUMIFS(#REF!,#REF!,$B158,#REF!,F$1)</f>
        <v>#REF!</v>
      </c>
      <c r="G158" s="76" t="e">
        <f>SUMIFS(#REF!,#REF!,$B158,#REF!,G$1)</f>
        <v>#REF!</v>
      </c>
      <c r="H158" s="76" t="e">
        <f>SUMIFS(#REF!,#REF!,$B158,#REF!,H$1)</f>
        <v>#REF!</v>
      </c>
      <c r="I158" s="76" t="e">
        <f>SUMIFS(#REF!,#REF!,$B158,#REF!,I$1)</f>
        <v>#REF!</v>
      </c>
      <c r="J158" s="76" t="e">
        <f>SUMIFS(#REF!,#REF!,$B158,#REF!,J$1)</f>
        <v>#REF!</v>
      </c>
      <c r="K158" s="76" t="e">
        <f>SUMIFS(#REF!,#REF!,$B158,#REF!,K$1)</f>
        <v>#REF!</v>
      </c>
      <c r="L158" s="76" t="e">
        <f>SUMIFS(#REF!,#REF!,$B158,#REF!,L$1)</f>
        <v>#REF!</v>
      </c>
      <c r="M158" s="76" t="e">
        <f>SUMIFS(#REF!,#REF!,$B158,#REF!,M$1)</f>
        <v>#REF!</v>
      </c>
      <c r="N158" s="76" t="e">
        <f>SUMIFS(#REF!,#REF!,$B158,#REF!,N$1)</f>
        <v>#REF!</v>
      </c>
      <c r="O158" s="76" t="e">
        <f>SUMIFS(#REF!,#REF!,$B158,#REF!,O$1)</f>
        <v>#REF!</v>
      </c>
      <c r="P158" s="76" t="e">
        <f>SUMIFS(#REF!,#REF!,$B158,#REF!,P$1)</f>
        <v>#REF!</v>
      </c>
      <c r="Q158" s="76" t="e">
        <f>SUMIFS(#REF!,#REF!,$B158,#REF!,Q$1)</f>
        <v>#REF!</v>
      </c>
      <c r="R158" s="76" t="e">
        <f>SUMIFS(#REF!,#REF!,$B158,#REF!,R$1)</f>
        <v>#REF!</v>
      </c>
      <c r="S158" s="76" t="e">
        <f>SUMIFS(#REF!,#REF!,$B158,#REF!,S$1)</f>
        <v>#REF!</v>
      </c>
      <c r="T158" s="76" t="e">
        <f>SUMIFS(#REF!,#REF!,$B158,#REF!,T$1)</f>
        <v>#REF!</v>
      </c>
      <c r="U158" s="76" t="e">
        <f>SUMIFS(#REF!,#REF!,$B158,#REF!,U$1)</f>
        <v>#REF!</v>
      </c>
      <c r="V158" s="76" t="e">
        <f>SUMIFS(#REF!,#REF!,$B158,#REF!,V$1)</f>
        <v>#REF!</v>
      </c>
      <c r="W158" s="76" t="e">
        <f>SUMIFS(#REF!,#REF!,$B158,#REF!,W$1)</f>
        <v>#REF!</v>
      </c>
      <c r="X158" s="76" t="e">
        <f>SUMIFS(#REF!,#REF!,$B158,#REF!,X$1)</f>
        <v>#REF!</v>
      </c>
      <c r="Y158" s="76" t="e">
        <f>SUMIFS(#REF!,#REF!,$B158,#REF!,Y$1)</f>
        <v>#REF!</v>
      </c>
      <c r="Z158" s="76" t="e">
        <f>SUMIFS(#REF!,#REF!,$B158,#REF!,Z$1)</f>
        <v>#REF!</v>
      </c>
      <c r="AA158" s="76" t="e">
        <f>SUMIFS(#REF!,#REF!,$B158,#REF!,AA$1)</f>
        <v>#REF!</v>
      </c>
      <c r="AB158" s="76" t="e">
        <f>SUMIFS(#REF!,#REF!,$B158,#REF!,AB$1)</f>
        <v>#REF!</v>
      </c>
      <c r="AC158" s="76" t="e">
        <f>SUMIFS(#REF!,#REF!,$B158,#REF!,AC$1)</f>
        <v>#REF!</v>
      </c>
      <c r="AD158" s="76" t="e">
        <f>SUMIFS(#REF!,#REF!,$B158,#REF!,AD$1)</f>
        <v>#REF!</v>
      </c>
      <c r="AE158" s="76" t="e">
        <f>SUMIFS(#REF!,#REF!,$B158,#REF!,AE$1)</f>
        <v>#REF!</v>
      </c>
      <c r="AF158" s="76" t="e">
        <f>SUMIFS(#REF!,#REF!,$B158,#REF!,AF$1)</f>
        <v>#REF!</v>
      </c>
      <c r="AG158" s="76" t="e">
        <f>SUMIFS(#REF!,#REF!,$B158,#REF!,AG$1)</f>
        <v>#REF!</v>
      </c>
      <c r="AH158" s="76" t="e">
        <f>SUMIFS(#REF!,#REF!,$B158,#REF!,AH$1)</f>
        <v>#REF!</v>
      </c>
      <c r="AI158" s="82"/>
    </row>
    <row r="159" spans="2:35" ht="15" hidden="1" customHeight="1" x14ac:dyDescent="0.25">
      <c r="B159" s="84"/>
      <c r="C159" s="83"/>
      <c r="D159" s="76" t="e">
        <f>SUMIFS(#REF!,#REF!,$B159,#REF!,D$1)</f>
        <v>#REF!</v>
      </c>
      <c r="E159" s="76" t="e">
        <f>SUMIFS(#REF!,#REF!,$B159,#REF!,E$1)</f>
        <v>#REF!</v>
      </c>
      <c r="F159" s="76" t="e">
        <f>SUMIFS(#REF!,#REF!,$B159,#REF!,F$1)</f>
        <v>#REF!</v>
      </c>
      <c r="G159" s="76" t="e">
        <f>SUMIFS(#REF!,#REF!,$B159,#REF!,G$1)</f>
        <v>#REF!</v>
      </c>
      <c r="H159" s="76" t="e">
        <f>SUMIFS(#REF!,#REF!,$B159,#REF!,H$1)</f>
        <v>#REF!</v>
      </c>
      <c r="I159" s="76" t="e">
        <f>SUMIFS(#REF!,#REF!,$B159,#REF!,I$1)</f>
        <v>#REF!</v>
      </c>
      <c r="J159" s="76" t="e">
        <f>SUMIFS(#REF!,#REF!,$B159,#REF!,J$1)</f>
        <v>#REF!</v>
      </c>
      <c r="K159" s="76" t="e">
        <f>SUMIFS(#REF!,#REF!,$B159,#REF!,K$1)</f>
        <v>#REF!</v>
      </c>
      <c r="L159" s="76" t="e">
        <f>SUMIFS(#REF!,#REF!,$B159,#REF!,L$1)</f>
        <v>#REF!</v>
      </c>
      <c r="M159" s="76" t="e">
        <f>SUMIFS(#REF!,#REF!,$B159,#REF!,M$1)</f>
        <v>#REF!</v>
      </c>
      <c r="N159" s="76" t="e">
        <f>SUMIFS(#REF!,#REF!,$B159,#REF!,N$1)</f>
        <v>#REF!</v>
      </c>
      <c r="O159" s="76" t="e">
        <f>SUMIFS(#REF!,#REF!,$B159,#REF!,O$1)</f>
        <v>#REF!</v>
      </c>
      <c r="P159" s="76" t="e">
        <f>SUMIFS(#REF!,#REF!,$B159,#REF!,P$1)</f>
        <v>#REF!</v>
      </c>
      <c r="Q159" s="76" t="e">
        <f>SUMIFS(#REF!,#REF!,$B159,#REF!,Q$1)</f>
        <v>#REF!</v>
      </c>
      <c r="R159" s="76" t="e">
        <f>SUMIFS(#REF!,#REF!,$B159,#REF!,R$1)</f>
        <v>#REF!</v>
      </c>
      <c r="S159" s="76" t="e">
        <f>SUMIFS(#REF!,#REF!,$B159,#REF!,S$1)</f>
        <v>#REF!</v>
      </c>
      <c r="T159" s="76" t="e">
        <f>SUMIFS(#REF!,#REF!,$B159,#REF!,T$1)</f>
        <v>#REF!</v>
      </c>
      <c r="U159" s="76" t="e">
        <f>SUMIFS(#REF!,#REF!,$B159,#REF!,U$1)</f>
        <v>#REF!</v>
      </c>
      <c r="V159" s="76" t="e">
        <f>SUMIFS(#REF!,#REF!,$B159,#REF!,V$1)</f>
        <v>#REF!</v>
      </c>
      <c r="W159" s="76" t="e">
        <f>SUMIFS(#REF!,#REF!,$B159,#REF!,W$1)</f>
        <v>#REF!</v>
      </c>
      <c r="X159" s="76" t="e">
        <f>SUMIFS(#REF!,#REF!,$B159,#REF!,X$1)</f>
        <v>#REF!</v>
      </c>
      <c r="Y159" s="76" t="e">
        <f>SUMIFS(#REF!,#REF!,$B159,#REF!,Y$1)</f>
        <v>#REF!</v>
      </c>
      <c r="Z159" s="76" t="e">
        <f>SUMIFS(#REF!,#REF!,$B159,#REF!,Z$1)</f>
        <v>#REF!</v>
      </c>
      <c r="AA159" s="76" t="e">
        <f>SUMIFS(#REF!,#REF!,$B159,#REF!,AA$1)</f>
        <v>#REF!</v>
      </c>
      <c r="AB159" s="76" t="e">
        <f>SUMIFS(#REF!,#REF!,$B159,#REF!,AB$1)</f>
        <v>#REF!</v>
      </c>
      <c r="AC159" s="76" t="e">
        <f>SUMIFS(#REF!,#REF!,$B159,#REF!,AC$1)</f>
        <v>#REF!</v>
      </c>
      <c r="AD159" s="76" t="e">
        <f>SUMIFS(#REF!,#REF!,$B159,#REF!,AD$1)</f>
        <v>#REF!</v>
      </c>
      <c r="AE159" s="76" t="e">
        <f>SUMIFS(#REF!,#REF!,$B159,#REF!,AE$1)</f>
        <v>#REF!</v>
      </c>
      <c r="AF159" s="76" t="e">
        <f>SUMIFS(#REF!,#REF!,$B159,#REF!,AF$1)</f>
        <v>#REF!</v>
      </c>
      <c r="AG159" s="76" t="e">
        <f>SUMIFS(#REF!,#REF!,$B159,#REF!,AG$1)</f>
        <v>#REF!</v>
      </c>
      <c r="AH159" s="76" t="e">
        <f>SUMIFS(#REF!,#REF!,$B159,#REF!,AH$1)</f>
        <v>#REF!</v>
      </c>
      <c r="AI159" s="82"/>
    </row>
    <row r="160" spans="2:35" ht="15" hidden="1" customHeight="1" x14ac:dyDescent="0.25">
      <c r="B160" s="88"/>
      <c r="C160" s="83"/>
      <c r="D160" s="76" t="e">
        <f>SUMIFS(#REF!,#REF!,$B160,#REF!,D$1)</f>
        <v>#REF!</v>
      </c>
      <c r="E160" s="76" t="e">
        <f>SUMIFS(#REF!,#REF!,$B160,#REF!,E$1)</f>
        <v>#REF!</v>
      </c>
      <c r="F160" s="76" t="e">
        <f>SUMIFS(#REF!,#REF!,$B160,#REF!,F$1)</f>
        <v>#REF!</v>
      </c>
      <c r="G160" s="76" t="e">
        <f>SUMIFS(#REF!,#REF!,$B160,#REF!,G$1)</f>
        <v>#REF!</v>
      </c>
      <c r="H160" s="76" t="e">
        <f>SUMIFS(#REF!,#REF!,$B160,#REF!,H$1)</f>
        <v>#REF!</v>
      </c>
      <c r="I160" s="76" t="e">
        <f>SUMIFS(#REF!,#REF!,$B160,#REF!,I$1)</f>
        <v>#REF!</v>
      </c>
      <c r="J160" s="76" t="e">
        <f>SUMIFS(#REF!,#REF!,$B160,#REF!,J$1)</f>
        <v>#REF!</v>
      </c>
      <c r="K160" s="76" t="e">
        <f>SUMIFS(#REF!,#REF!,$B160,#REF!,K$1)</f>
        <v>#REF!</v>
      </c>
      <c r="L160" s="76" t="e">
        <f>SUMIFS(#REF!,#REF!,$B160,#REF!,L$1)</f>
        <v>#REF!</v>
      </c>
      <c r="M160" s="76" t="e">
        <f>SUMIFS(#REF!,#REF!,$B160,#REF!,M$1)</f>
        <v>#REF!</v>
      </c>
      <c r="N160" s="76" t="e">
        <f>SUMIFS(#REF!,#REF!,$B160,#REF!,N$1)</f>
        <v>#REF!</v>
      </c>
      <c r="O160" s="76" t="e">
        <f>SUMIFS(#REF!,#REF!,$B160,#REF!,O$1)</f>
        <v>#REF!</v>
      </c>
      <c r="P160" s="76" t="e">
        <f>SUMIFS(#REF!,#REF!,$B160,#REF!,P$1)</f>
        <v>#REF!</v>
      </c>
      <c r="Q160" s="76" t="e">
        <f>SUMIFS(#REF!,#REF!,$B160,#REF!,Q$1)</f>
        <v>#REF!</v>
      </c>
      <c r="R160" s="76" t="e">
        <f>SUMIFS(#REF!,#REF!,$B160,#REF!,R$1)</f>
        <v>#REF!</v>
      </c>
      <c r="S160" s="76" t="e">
        <f>SUMIFS(#REF!,#REF!,$B160,#REF!,S$1)</f>
        <v>#REF!</v>
      </c>
      <c r="T160" s="76" t="e">
        <f>SUMIFS(#REF!,#REF!,$B160,#REF!,T$1)</f>
        <v>#REF!</v>
      </c>
      <c r="U160" s="76" t="e">
        <f>SUMIFS(#REF!,#REF!,$B160,#REF!,U$1)</f>
        <v>#REF!</v>
      </c>
      <c r="V160" s="76" t="e">
        <f>SUMIFS(#REF!,#REF!,$B160,#REF!,V$1)</f>
        <v>#REF!</v>
      </c>
      <c r="W160" s="76" t="e">
        <f>SUMIFS(#REF!,#REF!,$B160,#REF!,W$1)</f>
        <v>#REF!</v>
      </c>
      <c r="X160" s="76" t="e">
        <f>SUMIFS(#REF!,#REF!,$B160,#REF!,X$1)</f>
        <v>#REF!</v>
      </c>
      <c r="Y160" s="76" t="e">
        <f>SUMIFS(#REF!,#REF!,$B160,#REF!,Y$1)</f>
        <v>#REF!</v>
      </c>
      <c r="Z160" s="76" t="e">
        <f>SUMIFS(#REF!,#REF!,$B160,#REF!,Z$1)</f>
        <v>#REF!</v>
      </c>
      <c r="AA160" s="76" t="e">
        <f>SUMIFS(#REF!,#REF!,$B160,#REF!,AA$1)</f>
        <v>#REF!</v>
      </c>
      <c r="AB160" s="76" t="e">
        <f>SUMIFS(#REF!,#REF!,$B160,#REF!,AB$1)</f>
        <v>#REF!</v>
      </c>
      <c r="AC160" s="76" t="e">
        <f>SUMIFS(#REF!,#REF!,$B160,#REF!,AC$1)</f>
        <v>#REF!</v>
      </c>
      <c r="AD160" s="76" t="e">
        <f>SUMIFS(#REF!,#REF!,$B160,#REF!,AD$1)</f>
        <v>#REF!</v>
      </c>
      <c r="AE160" s="76" t="e">
        <f>SUMIFS(#REF!,#REF!,$B160,#REF!,AE$1)</f>
        <v>#REF!</v>
      </c>
      <c r="AF160" s="76" t="e">
        <f>SUMIFS(#REF!,#REF!,$B160,#REF!,AF$1)</f>
        <v>#REF!</v>
      </c>
      <c r="AG160" s="76" t="e">
        <f>SUMIFS(#REF!,#REF!,$B160,#REF!,AG$1)</f>
        <v>#REF!</v>
      </c>
      <c r="AH160" s="76" t="e">
        <f>SUMIFS(#REF!,#REF!,$B160,#REF!,AH$1)</f>
        <v>#REF!</v>
      </c>
      <c r="AI160" s="82"/>
    </row>
    <row r="161" spans="2:35" ht="15" hidden="1" customHeight="1" x14ac:dyDescent="0.25">
      <c r="B161" s="88"/>
      <c r="C161" s="86"/>
      <c r="D161" s="76" t="e">
        <f>SUMIFS(#REF!,#REF!,$B161,#REF!,D$1)</f>
        <v>#REF!</v>
      </c>
      <c r="E161" s="76" t="e">
        <f>SUMIFS(#REF!,#REF!,$B161,#REF!,E$1)</f>
        <v>#REF!</v>
      </c>
      <c r="F161" s="76" t="e">
        <f>SUMIFS(#REF!,#REF!,$B161,#REF!,F$1)</f>
        <v>#REF!</v>
      </c>
      <c r="G161" s="76" t="e">
        <f>SUMIFS(#REF!,#REF!,$B161,#REF!,G$1)</f>
        <v>#REF!</v>
      </c>
      <c r="H161" s="76" t="e">
        <f>SUMIFS(#REF!,#REF!,$B161,#REF!,H$1)</f>
        <v>#REF!</v>
      </c>
      <c r="I161" s="76" t="e">
        <f>SUMIFS(#REF!,#REF!,$B161,#REF!,I$1)</f>
        <v>#REF!</v>
      </c>
      <c r="J161" s="76" t="e">
        <f>SUMIFS(#REF!,#REF!,$B161,#REF!,J$1)</f>
        <v>#REF!</v>
      </c>
      <c r="K161" s="76" t="e">
        <f>SUMIFS(#REF!,#REF!,$B161,#REF!,K$1)</f>
        <v>#REF!</v>
      </c>
      <c r="L161" s="76" t="e">
        <f>SUMIFS(#REF!,#REF!,$B161,#REF!,L$1)</f>
        <v>#REF!</v>
      </c>
      <c r="M161" s="76" t="e">
        <f>SUMIFS(#REF!,#REF!,$B161,#REF!,M$1)</f>
        <v>#REF!</v>
      </c>
      <c r="N161" s="76" t="e">
        <f>SUMIFS(#REF!,#REF!,$B161,#REF!,N$1)</f>
        <v>#REF!</v>
      </c>
      <c r="O161" s="76" t="e">
        <f>SUMIFS(#REF!,#REF!,$B161,#REF!,O$1)</f>
        <v>#REF!</v>
      </c>
      <c r="P161" s="76" t="e">
        <f>SUMIFS(#REF!,#REF!,$B161,#REF!,P$1)</f>
        <v>#REF!</v>
      </c>
      <c r="Q161" s="76" t="e">
        <f>SUMIFS(#REF!,#REF!,$B161,#REF!,Q$1)</f>
        <v>#REF!</v>
      </c>
      <c r="R161" s="76" t="e">
        <f>SUMIFS(#REF!,#REF!,$B161,#REF!,R$1)</f>
        <v>#REF!</v>
      </c>
      <c r="S161" s="76" t="e">
        <f>SUMIFS(#REF!,#REF!,$B161,#REF!,S$1)</f>
        <v>#REF!</v>
      </c>
      <c r="T161" s="76" t="e">
        <f>SUMIFS(#REF!,#REF!,$B161,#REF!,T$1)</f>
        <v>#REF!</v>
      </c>
      <c r="U161" s="76" t="e">
        <f>SUMIFS(#REF!,#REF!,$B161,#REF!,U$1)</f>
        <v>#REF!</v>
      </c>
      <c r="V161" s="76" t="e">
        <f>SUMIFS(#REF!,#REF!,$B161,#REF!,V$1)</f>
        <v>#REF!</v>
      </c>
      <c r="W161" s="76" t="e">
        <f>SUMIFS(#REF!,#REF!,$B161,#REF!,W$1)</f>
        <v>#REF!</v>
      </c>
      <c r="X161" s="76" t="e">
        <f>SUMIFS(#REF!,#REF!,$B161,#REF!,X$1)</f>
        <v>#REF!</v>
      </c>
      <c r="Y161" s="76" t="e">
        <f>SUMIFS(#REF!,#REF!,$B161,#REF!,Y$1)</f>
        <v>#REF!</v>
      </c>
      <c r="Z161" s="76" t="e">
        <f>SUMIFS(#REF!,#REF!,$B161,#REF!,Z$1)</f>
        <v>#REF!</v>
      </c>
      <c r="AA161" s="76" t="e">
        <f>SUMIFS(#REF!,#REF!,$B161,#REF!,AA$1)</f>
        <v>#REF!</v>
      </c>
      <c r="AB161" s="76" t="e">
        <f>SUMIFS(#REF!,#REF!,$B161,#REF!,AB$1)</f>
        <v>#REF!</v>
      </c>
      <c r="AC161" s="76" t="e">
        <f>SUMIFS(#REF!,#REF!,$B161,#REF!,AC$1)</f>
        <v>#REF!</v>
      </c>
      <c r="AD161" s="76" t="e">
        <f>SUMIFS(#REF!,#REF!,$B161,#REF!,AD$1)</f>
        <v>#REF!</v>
      </c>
      <c r="AE161" s="76" t="e">
        <f>SUMIFS(#REF!,#REF!,$B161,#REF!,AE$1)</f>
        <v>#REF!</v>
      </c>
      <c r="AF161" s="76" t="e">
        <f>SUMIFS(#REF!,#REF!,$B161,#REF!,AF$1)</f>
        <v>#REF!</v>
      </c>
      <c r="AG161" s="76" t="e">
        <f>SUMIFS(#REF!,#REF!,$B161,#REF!,AG$1)</f>
        <v>#REF!</v>
      </c>
      <c r="AH161" s="76" t="e">
        <f>SUMIFS(#REF!,#REF!,$B161,#REF!,AH$1)</f>
        <v>#REF!</v>
      </c>
      <c r="AI161" s="82"/>
    </row>
    <row r="162" spans="2:35" ht="15" hidden="1" customHeight="1" x14ac:dyDescent="0.25">
      <c r="B162" s="84"/>
      <c r="C162" s="83"/>
      <c r="D162" s="76" t="e">
        <f>SUMIFS(#REF!,#REF!,$B162,#REF!,D$1)</f>
        <v>#REF!</v>
      </c>
      <c r="E162" s="76" t="e">
        <f>SUMIFS(#REF!,#REF!,$B162,#REF!,E$1)</f>
        <v>#REF!</v>
      </c>
      <c r="F162" s="76" t="e">
        <f>SUMIFS(#REF!,#REF!,$B162,#REF!,F$1)</f>
        <v>#REF!</v>
      </c>
      <c r="G162" s="76" t="e">
        <f>SUMIFS(#REF!,#REF!,$B162,#REF!,G$1)</f>
        <v>#REF!</v>
      </c>
      <c r="H162" s="76" t="e">
        <f>SUMIFS(#REF!,#REF!,$B162,#REF!,H$1)</f>
        <v>#REF!</v>
      </c>
      <c r="I162" s="76" t="e">
        <f>SUMIFS(#REF!,#REF!,$B162,#REF!,I$1)</f>
        <v>#REF!</v>
      </c>
      <c r="J162" s="76" t="e">
        <f>SUMIFS(#REF!,#REF!,$B162,#REF!,J$1)</f>
        <v>#REF!</v>
      </c>
      <c r="K162" s="76" t="e">
        <f>SUMIFS(#REF!,#REF!,$B162,#REF!,K$1)</f>
        <v>#REF!</v>
      </c>
      <c r="L162" s="76" t="e">
        <f>SUMIFS(#REF!,#REF!,$B162,#REF!,L$1)</f>
        <v>#REF!</v>
      </c>
      <c r="M162" s="76" t="e">
        <f>SUMIFS(#REF!,#REF!,$B162,#REF!,M$1)</f>
        <v>#REF!</v>
      </c>
      <c r="N162" s="76" t="e">
        <f>SUMIFS(#REF!,#REF!,$B162,#REF!,N$1)</f>
        <v>#REF!</v>
      </c>
      <c r="O162" s="76" t="e">
        <f>SUMIFS(#REF!,#REF!,$B162,#REF!,O$1)</f>
        <v>#REF!</v>
      </c>
      <c r="P162" s="76" t="e">
        <f>SUMIFS(#REF!,#REF!,$B162,#REF!,P$1)</f>
        <v>#REF!</v>
      </c>
      <c r="Q162" s="76" t="e">
        <f>SUMIFS(#REF!,#REF!,$B162,#REF!,Q$1)</f>
        <v>#REF!</v>
      </c>
      <c r="R162" s="76" t="e">
        <f>SUMIFS(#REF!,#REF!,$B162,#REF!,R$1)</f>
        <v>#REF!</v>
      </c>
      <c r="S162" s="76" t="e">
        <f>SUMIFS(#REF!,#REF!,$B162,#REF!,S$1)</f>
        <v>#REF!</v>
      </c>
      <c r="T162" s="76" t="e">
        <f>SUMIFS(#REF!,#REF!,$B162,#REF!,T$1)</f>
        <v>#REF!</v>
      </c>
      <c r="U162" s="76" t="e">
        <f>SUMIFS(#REF!,#REF!,$B162,#REF!,U$1)</f>
        <v>#REF!</v>
      </c>
      <c r="V162" s="76" t="e">
        <f>SUMIFS(#REF!,#REF!,$B162,#REF!,V$1)</f>
        <v>#REF!</v>
      </c>
      <c r="W162" s="76" t="e">
        <f>SUMIFS(#REF!,#REF!,$B162,#REF!,W$1)</f>
        <v>#REF!</v>
      </c>
      <c r="X162" s="76" t="e">
        <f>SUMIFS(#REF!,#REF!,$B162,#REF!,X$1)</f>
        <v>#REF!</v>
      </c>
      <c r="Y162" s="76" t="e">
        <f>SUMIFS(#REF!,#REF!,$B162,#REF!,Y$1)</f>
        <v>#REF!</v>
      </c>
      <c r="Z162" s="76" t="e">
        <f>SUMIFS(#REF!,#REF!,$B162,#REF!,Z$1)</f>
        <v>#REF!</v>
      </c>
      <c r="AA162" s="76" t="e">
        <f>SUMIFS(#REF!,#REF!,$B162,#REF!,AA$1)</f>
        <v>#REF!</v>
      </c>
      <c r="AB162" s="76" t="e">
        <f>SUMIFS(#REF!,#REF!,$B162,#REF!,AB$1)</f>
        <v>#REF!</v>
      </c>
      <c r="AC162" s="76" t="e">
        <f>SUMIFS(#REF!,#REF!,$B162,#REF!,AC$1)</f>
        <v>#REF!</v>
      </c>
      <c r="AD162" s="76" t="e">
        <f>SUMIFS(#REF!,#REF!,$B162,#REF!,AD$1)</f>
        <v>#REF!</v>
      </c>
      <c r="AE162" s="76" t="e">
        <f>SUMIFS(#REF!,#REF!,$B162,#REF!,AE$1)</f>
        <v>#REF!</v>
      </c>
      <c r="AF162" s="76" t="e">
        <f>SUMIFS(#REF!,#REF!,$B162,#REF!,AF$1)</f>
        <v>#REF!</v>
      </c>
      <c r="AG162" s="76" t="e">
        <f>SUMIFS(#REF!,#REF!,$B162,#REF!,AG$1)</f>
        <v>#REF!</v>
      </c>
      <c r="AH162" s="76" t="e">
        <f>SUMIFS(#REF!,#REF!,$B162,#REF!,AH$1)</f>
        <v>#REF!</v>
      </c>
      <c r="AI162" s="82"/>
    </row>
    <row r="163" spans="2:35" ht="15" hidden="1" customHeight="1" x14ac:dyDescent="0.25">
      <c r="B163" s="87"/>
      <c r="C163" s="86"/>
      <c r="D163" s="76" t="e">
        <f>SUMIFS(#REF!,#REF!,$B163,#REF!,D$1)</f>
        <v>#REF!</v>
      </c>
      <c r="E163" s="76" t="e">
        <f>SUMIFS(#REF!,#REF!,$B163,#REF!,E$1)</f>
        <v>#REF!</v>
      </c>
      <c r="F163" s="76" t="e">
        <f>SUMIFS(#REF!,#REF!,$B163,#REF!,F$1)</f>
        <v>#REF!</v>
      </c>
      <c r="G163" s="76" t="e">
        <f>SUMIFS(#REF!,#REF!,$B163,#REF!,G$1)</f>
        <v>#REF!</v>
      </c>
      <c r="H163" s="76" t="e">
        <f>SUMIFS(#REF!,#REF!,$B163,#REF!,H$1)</f>
        <v>#REF!</v>
      </c>
      <c r="I163" s="76" t="e">
        <f>SUMIFS(#REF!,#REF!,$B163,#REF!,I$1)</f>
        <v>#REF!</v>
      </c>
      <c r="J163" s="76" t="e">
        <f>SUMIFS(#REF!,#REF!,$B163,#REF!,J$1)</f>
        <v>#REF!</v>
      </c>
      <c r="K163" s="76" t="e">
        <f>SUMIFS(#REF!,#REF!,$B163,#REF!,K$1)</f>
        <v>#REF!</v>
      </c>
      <c r="L163" s="76" t="e">
        <f>SUMIFS(#REF!,#REF!,$B163,#REF!,L$1)</f>
        <v>#REF!</v>
      </c>
      <c r="M163" s="76" t="e">
        <f>SUMIFS(#REF!,#REF!,$B163,#REF!,M$1)</f>
        <v>#REF!</v>
      </c>
      <c r="N163" s="76" t="e">
        <f>SUMIFS(#REF!,#REF!,$B163,#REF!,N$1)</f>
        <v>#REF!</v>
      </c>
      <c r="O163" s="76" t="e">
        <f>SUMIFS(#REF!,#REF!,$B163,#REF!,O$1)</f>
        <v>#REF!</v>
      </c>
      <c r="P163" s="76" t="e">
        <f>SUMIFS(#REF!,#REF!,$B163,#REF!,P$1)</f>
        <v>#REF!</v>
      </c>
      <c r="Q163" s="76" t="e">
        <f>SUMIFS(#REF!,#REF!,$B163,#REF!,Q$1)</f>
        <v>#REF!</v>
      </c>
      <c r="R163" s="76" t="e">
        <f>SUMIFS(#REF!,#REF!,$B163,#REF!,R$1)</f>
        <v>#REF!</v>
      </c>
      <c r="S163" s="76" t="e">
        <f>SUMIFS(#REF!,#REF!,$B163,#REF!,S$1)</f>
        <v>#REF!</v>
      </c>
      <c r="T163" s="76" t="e">
        <f>SUMIFS(#REF!,#REF!,$B163,#REF!,T$1)</f>
        <v>#REF!</v>
      </c>
      <c r="U163" s="76" t="e">
        <f>SUMIFS(#REF!,#REF!,$B163,#REF!,U$1)</f>
        <v>#REF!</v>
      </c>
      <c r="V163" s="76" t="e">
        <f>SUMIFS(#REF!,#REF!,$B163,#REF!,V$1)</f>
        <v>#REF!</v>
      </c>
      <c r="W163" s="76" t="e">
        <f>SUMIFS(#REF!,#REF!,$B163,#REF!,W$1)</f>
        <v>#REF!</v>
      </c>
      <c r="X163" s="76" t="e">
        <f>SUMIFS(#REF!,#REF!,$B163,#REF!,X$1)</f>
        <v>#REF!</v>
      </c>
      <c r="Y163" s="76" t="e">
        <f>SUMIFS(#REF!,#REF!,$B163,#REF!,Y$1)</f>
        <v>#REF!</v>
      </c>
      <c r="Z163" s="76" t="e">
        <f>SUMIFS(#REF!,#REF!,$B163,#REF!,Z$1)</f>
        <v>#REF!</v>
      </c>
      <c r="AA163" s="76" t="e">
        <f>SUMIFS(#REF!,#REF!,$B163,#REF!,AA$1)</f>
        <v>#REF!</v>
      </c>
      <c r="AB163" s="76" t="e">
        <f>SUMIFS(#REF!,#REF!,$B163,#REF!,AB$1)</f>
        <v>#REF!</v>
      </c>
      <c r="AC163" s="76" t="e">
        <f>SUMIFS(#REF!,#REF!,$B163,#REF!,AC$1)</f>
        <v>#REF!</v>
      </c>
      <c r="AD163" s="76" t="e">
        <f>SUMIFS(#REF!,#REF!,$B163,#REF!,AD$1)</f>
        <v>#REF!</v>
      </c>
      <c r="AE163" s="76" t="e">
        <f>SUMIFS(#REF!,#REF!,$B163,#REF!,AE$1)</f>
        <v>#REF!</v>
      </c>
      <c r="AF163" s="76" t="e">
        <f>SUMIFS(#REF!,#REF!,$B163,#REF!,AF$1)</f>
        <v>#REF!</v>
      </c>
      <c r="AG163" s="76" t="e">
        <f>SUMIFS(#REF!,#REF!,$B163,#REF!,AG$1)</f>
        <v>#REF!</v>
      </c>
      <c r="AH163" s="76" t="e">
        <f>SUMIFS(#REF!,#REF!,$B163,#REF!,AH$1)</f>
        <v>#REF!</v>
      </c>
      <c r="AI163" s="82"/>
    </row>
    <row r="164" spans="2:35" ht="15" hidden="1" customHeight="1" x14ac:dyDescent="0.25">
      <c r="B164" s="84"/>
      <c r="C164" s="86"/>
      <c r="D164" s="76" t="e">
        <f>SUMIFS(#REF!,#REF!,$B164,#REF!,D$1)</f>
        <v>#REF!</v>
      </c>
      <c r="E164" s="76" t="e">
        <f>SUMIFS(#REF!,#REF!,$B164,#REF!,E$1)</f>
        <v>#REF!</v>
      </c>
      <c r="F164" s="76" t="e">
        <f>SUMIFS(#REF!,#REF!,$B164,#REF!,F$1)</f>
        <v>#REF!</v>
      </c>
      <c r="G164" s="76" t="e">
        <f>SUMIFS(#REF!,#REF!,$B164,#REF!,G$1)</f>
        <v>#REF!</v>
      </c>
      <c r="H164" s="76" t="e">
        <f>SUMIFS(#REF!,#REF!,$B164,#REF!,H$1)</f>
        <v>#REF!</v>
      </c>
      <c r="I164" s="76" t="e">
        <f>SUMIFS(#REF!,#REF!,$B164,#REF!,I$1)</f>
        <v>#REF!</v>
      </c>
      <c r="J164" s="76" t="e">
        <f>SUMIFS(#REF!,#REF!,$B164,#REF!,J$1)</f>
        <v>#REF!</v>
      </c>
      <c r="K164" s="76" t="e">
        <f>SUMIFS(#REF!,#REF!,$B164,#REF!,K$1)</f>
        <v>#REF!</v>
      </c>
      <c r="L164" s="76" t="e">
        <f>SUMIFS(#REF!,#REF!,$B164,#REF!,L$1)</f>
        <v>#REF!</v>
      </c>
      <c r="M164" s="76" t="e">
        <f>SUMIFS(#REF!,#REF!,$B164,#REF!,M$1)</f>
        <v>#REF!</v>
      </c>
      <c r="N164" s="76" t="e">
        <f>SUMIFS(#REF!,#REF!,$B164,#REF!,N$1)</f>
        <v>#REF!</v>
      </c>
      <c r="O164" s="76" t="e">
        <f>SUMIFS(#REF!,#REF!,$B164,#REF!,O$1)</f>
        <v>#REF!</v>
      </c>
      <c r="P164" s="76" t="e">
        <f>SUMIFS(#REF!,#REF!,$B164,#REF!,P$1)</f>
        <v>#REF!</v>
      </c>
      <c r="Q164" s="76" t="e">
        <f>SUMIFS(#REF!,#REF!,$B164,#REF!,Q$1)</f>
        <v>#REF!</v>
      </c>
      <c r="R164" s="76" t="e">
        <f>SUMIFS(#REF!,#REF!,$B164,#REF!,R$1)</f>
        <v>#REF!</v>
      </c>
      <c r="S164" s="76" t="e">
        <f>SUMIFS(#REF!,#REF!,$B164,#REF!,S$1)</f>
        <v>#REF!</v>
      </c>
      <c r="T164" s="76" t="e">
        <f>SUMIFS(#REF!,#REF!,$B164,#REF!,T$1)</f>
        <v>#REF!</v>
      </c>
      <c r="U164" s="76" t="e">
        <f>SUMIFS(#REF!,#REF!,$B164,#REF!,U$1)</f>
        <v>#REF!</v>
      </c>
      <c r="V164" s="76" t="e">
        <f>SUMIFS(#REF!,#REF!,$B164,#REF!,V$1)</f>
        <v>#REF!</v>
      </c>
      <c r="W164" s="76" t="e">
        <f>SUMIFS(#REF!,#REF!,$B164,#REF!,W$1)</f>
        <v>#REF!</v>
      </c>
      <c r="X164" s="76" t="e">
        <f>SUMIFS(#REF!,#REF!,$B164,#REF!,X$1)</f>
        <v>#REF!</v>
      </c>
      <c r="Y164" s="76" t="e">
        <f>SUMIFS(#REF!,#REF!,$B164,#REF!,Y$1)</f>
        <v>#REF!</v>
      </c>
      <c r="Z164" s="76" t="e">
        <f>SUMIFS(#REF!,#REF!,$B164,#REF!,Z$1)</f>
        <v>#REF!</v>
      </c>
      <c r="AA164" s="76" t="e">
        <f>SUMIFS(#REF!,#REF!,$B164,#REF!,AA$1)</f>
        <v>#REF!</v>
      </c>
      <c r="AB164" s="76" t="e">
        <f>SUMIFS(#REF!,#REF!,$B164,#REF!,AB$1)</f>
        <v>#REF!</v>
      </c>
      <c r="AC164" s="76" t="e">
        <f>SUMIFS(#REF!,#REF!,$B164,#REF!,AC$1)</f>
        <v>#REF!</v>
      </c>
      <c r="AD164" s="76" t="e">
        <f>SUMIFS(#REF!,#REF!,$B164,#REF!,AD$1)</f>
        <v>#REF!</v>
      </c>
      <c r="AE164" s="76" t="e">
        <f>SUMIFS(#REF!,#REF!,$B164,#REF!,AE$1)</f>
        <v>#REF!</v>
      </c>
      <c r="AF164" s="76" t="e">
        <f>SUMIFS(#REF!,#REF!,$B164,#REF!,AF$1)</f>
        <v>#REF!</v>
      </c>
      <c r="AG164" s="76" t="e">
        <f>SUMIFS(#REF!,#REF!,$B164,#REF!,AG$1)</f>
        <v>#REF!</v>
      </c>
      <c r="AH164" s="76" t="e">
        <f>SUMIFS(#REF!,#REF!,$B164,#REF!,AH$1)</f>
        <v>#REF!</v>
      </c>
      <c r="AI164" s="82"/>
    </row>
    <row r="165" spans="2:35" ht="15" hidden="1" customHeight="1" x14ac:dyDescent="0.25">
      <c r="B165" s="84"/>
      <c r="C165" s="83"/>
      <c r="D165" s="76" t="e">
        <f>SUMIFS(#REF!,#REF!,$B165,#REF!,D$1)</f>
        <v>#REF!</v>
      </c>
      <c r="E165" s="76" t="e">
        <f>SUMIFS(#REF!,#REF!,$B165,#REF!,E$1)</f>
        <v>#REF!</v>
      </c>
      <c r="F165" s="76" t="e">
        <f>SUMIFS(#REF!,#REF!,$B165,#REF!,F$1)</f>
        <v>#REF!</v>
      </c>
      <c r="G165" s="76" t="e">
        <f>SUMIFS(#REF!,#REF!,$B165,#REF!,G$1)</f>
        <v>#REF!</v>
      </c>
      <c r="H165" s="76" t="e">
        <f>SUMIFS(#REF!,#REF!,$B165,#REF!,H$1)</f>
        <v>#REF!</v>
      </c>
      <c r="I165" s="76" t="e">
        <f>SUMIFS(#REF!,#REF!,$B165,#REF!,I$1)</f>
        <v>#REF!</v>
      </c>
      <c r="J165" s="76" t="e">
        <f>SUMIFS(#REF!,#REF!,$B165,#REF!,J$1)</f>
        <v>#REF!</v>
      </c>
      <c r="K165" s="76" t="e">
        <f>SUMIFS(#REF!,#REF!,$B165,#REF!,K$1)</f>
        <v>#REF!</v>
      </c>
      <c r="L165" s="76" t="e">
        <f>SUMIFS(#REF!,#REF!,$B165,#REF!,L$1)</f>
        <v>#REF!</v>
      </c>
      <c r="M165" s="76" t="e">
        <f>SUMIFS(#REF!,#REF!,$B165,#REF!,M$1)</f>
        <v>#REF!</v>
      </c>
      <c r="N165" s="76" t="e">
        <f>SUMIFS(#REF!,#REF!,$B165,#REF!,N$1)</f>
        <v>#REF!</v>
      </c>
      <c r="O165" s="76" t="e">
        <f>SUMIFS(#REF!,#REF!,$B165,#REF!,O$1)</f>
        <v>#REF!</v>
      </c>
      <c r="P165" s="76" t="e">
        <f>SUMIFS(#REF!,#REF!,$B165,#REF!,P$1)</f>
        <v>#REF!</v>
      </c>
      <c r="Q165" s="76" t="e">
        <f>SUMIFS(#REF!,#REF!,$B165,#REF!,Q$1)</f>
        <v>#REF!</v>
      </c>
      <c r="R165" s="76" t="e">
        <f>SUMIFS(#REF!,#REF!,$B165,#REF!,R$1)</f>
        <v>#REF!</v>
      </c>
      <c r="S165" s="76" t="e">
        <f>SUMIFS(#REF!,#REF!,$B165,#REF!,S$1)</f>
        <v>#REF!</v>
      </c>
      <c r="T165" s="76" t="e">
        <f>SUMIFS(#REF!,#REF!,$B165,#REF!,T$1)</f>
        <v>#REF!</v>
      </c>
      <c r="U165" s="76" t="e">
        <f>SUMIFS(#REF!,#REF!,$B165,#REF!,U$1)</f>
        <v>#REF!</v>
      </c>
      <c r="V165" s="76" t="e">
        <f>SUMIFS(#REF!,#REF!,$B165,#REF!,V$1)</f>
        <v>#REF!</v>
      </c>
      <c r="W165" s="76" t="e">
        <f>SUMIFS(#REF!,#REF!,$B165,#REF!,W$1)</f>
        <v>#REF!</v>
      </c>
      <c r="X165" s="76" t="e">
        <f>SUMIFS(#REF!,#REF!,$B165,#REF!,X$1)</f>
        <v>#REF!</v>
      </c>
      <c r="Y165" s="76" t="e">
        <f>SUMIFS(#REF!,#REF!,$B165,#REF!,Y$1)</f>
        <v>#REF!</v>
      </c>
      <c r="Z165" s="76" t="e">
        <f>SUMIFS(#REF!,#REF!,$B165,#REF!,Z$1)</f>
        <v>#REF!</v>
      </c>
      <c r="AA165" s="76" t="e">
        <f>SUMIFS(#REF!,#REF!,$B165,#REF!,AA$1)</f>
        <v>#REF!</v>
      </c>
      <c r="AB165" s="76" t="e">
        <f>SUMIFS(#REF!,#REF!,$B165,#REF!,AB$1)</f>
        <v>#REF!</v>
      </c>
      <c r="AC165" s="76" t="e">
        <f>SUMIFS(#REF!,#REF!,$B165,#REF!,AC$1)</f>
        <v>#REF!</v>
      </c>
      <c r="AD165" s="76" t="e">
        <f>SUMIFS(#REF!,#REF!,$B165,#REF!,AD$1)</f>
        <v>#REF!</v>
      </c>
      <c r="AE165" s="76" t="e">
        <f>SUMIFS(#REF!,#REF!,$B165,#REF!,AE$1)</f>
        <v>#REF!</v>
      </c>
      <c r="AF165" s="76" t="e">
        <f>SUMIFS(#REF!,#REF!,$B165,#REF!,AF$1)</f>
        <v>#REF!</v>
      </c>
      <c r="AG165" s="76" t="e">
        <f>SUMIFS(#REF!,#REF!,$B165,#REF!,AG$1)</f>
        <v>#REF!</v>
      </c>
      <c r="AH165" s="76" t="e">
        <f>SUMIFS(#REF!,#REF!,$B165,#REF!,AH$1)</f>
        <v>#REF!</v>
      </c>
      <c r="AI165" s="82"/>
    </row>
    <row r="166" spans="2:35" ht="15" hidden="1" customHeight="1" x14ac:dyDescent="0.25">
      <c r="B166" s="84"/>
      <c r="C166" s="83"/>
      <c r="D166" s="76" t="e">
        <f>SUMIFS(#REF!,#REF!,$B166,#REF!,D$1)</f>
        <v>#REF!</v>
      </c>
      <c r="E166" s="76" t="e">
        <f>SUMIFS(#REF!,#REF!,$B166,#REF!,E$1)</f>
        <v>#REF!</v>
      </c>
      <c r="F166" s="76" t="e">
        <f>SUMIFS(#REF!,#REF!,$B166,#REF!,F$1)</f>
        <v>#REF!</v>
      </c>
      <c r="G166" s="76" t="e">
        <f>SUMIFS(#REF!,#REF!,$B166,#REF!,G$1)</f>
        <v>#REF!</v>
      </c>
      <c r="H166" s="76" t="e">
        <f>SUMIFS(#REF!,#REF!,$B166,#REF!,H$1)</f>
        <v>#REF!</v>
      </c>
      <c r="I166" s="76" t="e">
        <f>SUMIFS(#REF!,#REF!,$B166,#REF!,I$1)</f>
        <v>#REF!</v>
      </c>
      <c r="J166" s="76" t="e">
        <f>SUMIFS(#REF!,#REF!,$B166,#REF!,J$1)</f>
        <v>#REF!</v>
      </c>
      <c r="K166" s="76" t="e">
        <f>SUMIFS(#REF!,#REF!,$B166,#REF!,K$1)</f>
        <v>#REF!</v>
      </c>
      <c r="L166" s="76" t="e">
        <f>SUMIFS(#REF!,#REF!,$B166,#REF!,L$1)</f>
        <v>#REF!</v>
      </c>
      <c r="M166" s="76" t="e">
        <f>SUMIFS(#REF!,#REF!,$B166,#REF!,M$1)</f>
        <v>#REF!</v>
      </c>
      <c r="N166" s="76" t="e">
        <f>SUMIFS(#REF!,#REF!,$B166,#REF!,N$1)</f>
        <v>#REF!</v>
      </c>
      <c r="O166" s="76" t="e">
        <f>SUMIFS(#REF!,#REF!,$B166,#REF!,O$1)</f>
        <v>#REF!</v>
      </c>
      <c r="P166" s="76" t="e">
        <f>SUMIFS(#REF!,#REF!,$B166,#REF!,P$1)</f>
        <v>#REF!</v>
      </c>
      <c r="Q166" s="76" t="e">
        <f>SUMIFS(#REF!,#REF!,$B166,#REF!,Q$1)</f>
        <v>#REF!</v>
      </c>
      <c r="R166" s="76" t="e">
        <f>SUMIFS(#REF!,#REF!,$B166,#REF!,R$1)</f>
        <v>#REF!</v>
      </c>
      <c r="S166" s="76" t="e">
        <f>SUMIFS(#REF!,#REF!,$B166,#REF!,S$1)</f>
        <v>#REF!</v>
      </c>
      <c r="T166" s="76" t="e">
        <f>SUMIFS(#REF!,#REF!,$B166,#REF!,T$1)</f>
        <v>#REF!</v>
      </c>
      <c r="U166" s="76" t="e">
        <f>SUMIFS(#REF!,#REF!,$B166,#REF!,U$1)</f>
        <v>#REF!</v>
      </c>
      <c r="V166" s="76" t="e">
        <f>SUMIFS(#REF!,#REF!,$B166,#REF!,V$1)</f>
        <v>#REF!</v>
      </c>
      <c r="W166" s="76" t="e">
        <f>SUMIFS(#REF!,#REF!,$B166,#REF!,W$1)</f>
        <v>#REF!</v>
      </c>
      <c r="X166" s="76" t="e">
        <f>SUMIFS(#REF!,#REF!,$B166,#REF!,X$1)</f>
        <v>#REF!</v>
      </c>
      <c r="Y166" s="76" t="e">
        <f>SUMIFS(#REF!,#REF!,$B166,#REF!,Y$1)</f>
        <v>#REF!</v>
      </c>
      <c r="Z166" s="76" t="e">
        <f>SUMIFS(#REF!,#REF!,$B166,#REF!,Z$1)</f>
        <v>#REF!</v>
      </c>
      <c r="AA166" s="76" t="e">
        <f>SUMIFS(#REF!,#REF!,$B166,#REF!,AA$1)</f>
        <v>#REF!</v>
      </c>
      <c r="AB166" s="76" t="e">
        <f>SUMIFS(#REF!,#REF!,$B166,#REF!,AB$1)</f>
        <v>#REF!</v>
      </c>
      <c r="AC166" s="76" t="e">
        <f>SUMIFS(#REF!,#REF!,$B166,#REF!,AC$1)</f>
        <v>#REF!</v>
      </c>
      <c r="AD166" s="76" t="e">
        <f>SUMIFS(#REF!,#REF!,$B166,#REF!,AD$1)</f>
        <v>#REF!</v>
      </c>
      <c r="AE166" s="76" t="e">
        <f>SUMIFS(#REF!,#REF!,$B166,#REF!,AE$1)</f>
        <v>#REF!</v>
      </c>
      <c r="AF166" s="76" t="e">
        <f>SUMIFS(#REF!,#REF!,$B166,#REF!,AF$1)</f>
        <v>#REF!</v>
      </c>
      <c r="AG166" s="76" t="e">
        <f>SUMIFS(#REF!,#REF!,$B166,#REF!,AG$1)</f>
        <v>#REF!</v>
      </c>
      <c r="AH166" s="76" t="e">
        <f>SUMIFS(#REF!,#REF!,$B166,#REF!,AH$1)</f>
        <v>#REF!</v>
      </c>
      <c r="AI166" s="82"/>
    </row>
    <row r="167" spans="2:35" ht="15" hidden="1" customHeight="1" x14ac:dyDescent="0.25">
      <c r="B167" s="84"/>
      <c r="C167" s="83"/>
      <c r="D167" s="76" t="e">
        <f>SUMIFS(#REF!,#REF!,$B167,#REF!,D$1)</f>
        <v>#REF!</v>
      </c>
      <c r="E167" s="76" t="e">
        <f>SUMIFS(#REF!,#REF!,$B167,#REF!,E$1)</f>
        <v>#REF!</v>
      </c>
      <c r="F167" s="76" t="e">
        <f>SUMIFS(#REF!,#REF!,$B167,#REF!,F$1)</f>
        <v>#REF!</v>
      </c>
      <c r="G167" s="76" t="e">
        <f>SUMIFS(#REF!,#REF!,$B167,#REF!,G$1)</f>
        <v>#REF!</v>
      </c>
      <c r="H167" s="76" t="e">
        <f>SUMIFS(#REF!,#REF!,$B167,#REF!,H$1)</f>
        <v>#REF!</v>
      </c>
      <c r="I167" s="76" t="e">
        <f>SUMIFS(#REF!,#REF!,$B167,#REF!,I$1)</f>
        <v>#REF!</v>
      </c>
      <c r="J167" s="76" t="e">
        <f>SUMIFS(#REF!,#REF!,$B167,#REF!,J$1)</f>
        <v>#REF!</v>
      </c>
      <c r="K167" s="76" t="e">
        <f>SUMIFS(#REF!,#REF!,$B167,#REF!,K$1)</f>
        <v>#REF!</v>
      </c>
      <c r="L167" s="76" t="e">
        <f>SUMIFS(#REF!,#REF!,$B167,#REF!,L$1)</f>
        <v>#REF!</v>
      </c>
      <c r="M167" s="76" t="e">
        <f>SUMIFS(#REF!,#REF!,$B167,#REF!,M$1)</f>
        <v>#REF!</v>
      </c>
      <c r="N167" s="76" t="e">
        <f>SUMIFS(#REF!,#REF!,$B167,#REF!,N$1)</f>
        <v>#REF!</v>
      </c>
      <c r="O167" s="76" t="e">
        <f>SUMIFS(#REF!,#REF!,$B167,#REF!,O$1)</f>
        <v>#REF!</v>
      </c>
      <c r="P167" s="76" t="e">
        <f>SUMIFS(#REF!,#REF!,$B167,#REF!,P$1)</f>
        <v>#REF!</v>
      </c>
      <c r="Q167" s="76" t="e">
        <f>SUMIFS(#REF!,#REF!,$B167,#REF!,Q$1)</f>
        <v>#REF!</v>
      </c>
      <c r="R167" s="76" t="e">
        <f>SUMIFS(#REF!,#REF!,$B167,#REF!,R$1)</f>
        <v>#REF!</v>
      </c>
      <c r="S167" s="76" t="e">
        <f>SUMIFS(#REF!,#REF!,$B167,#REF!,S$1)</f>
        <v>#REF!</v>
      </c>
      <c r="T167" s="76" t="e">
        <f>SUMIFS(#REF!,#REF!,$B167,#REF!,T$1)</f>
        <v>#REF!</v>
      </c>
      <c r="U167" s="76" t="e">
        <f>SUMIFS(#REF!,#REF!,$B167,#REF!,U$1)</f>
        <v>#REF!</v>
      </c>
      <c r="V167" s="76" t="e">
        <f>SUMIFS(#REF!,#REF!,$B167,#REF!,V$1)</f>
        <v>#REF!</v>
      </c>
      <c r="W167" s="76" t="e">
        <f>SUMIFS(#REF!,#REF!,$B167,#REF!,W$1)</f>
        <v>#REF!</v>
      </c>
      <c r="X167" s="76" t="e">
        <f>SUMIFS(#REF!,#REF!,$B167,#REF!,X$1)</f>
        <v>#REF!</v>
      </c>
      <c r="Y167" s="76" t="e">
        <f>SUMIFS(#REF!,#REF!,$B167,#REF!,Y$1)</f>
        <v>#REF!</v>
      </c>
      <c r="Z167" s="76" t="e">
        <f>SUMIFS(#REF!,#REF!,$B167,#REF!,Z$1)</f>
        <v>#REF!</v>
      </c>
      <c r="AA167" s="76" t="e">
        <f>SUMIFS(#REF!,#REF!,$B167,#REF!,AA$1)</f>
        <v>#REF!</v>
      </c>
      <c r="AB167" s="76" t="e">
        <f>SUMIFS(#REF!,#REF!,$B167,#REF!,AB$1)</f>
        <v>#REF!</v>
      </c>
      <c r="AC167" s="76" t="e">
        <f>SUMIFS(#REF!,#REF!,$B167,#REF!,AC$1)</f>
        <v>#REF!</v>
      </c>
      <c r="AD167" s="76" t="e">
        <f>SUMIFS(#REF!,#REF!,$B167,#REF!,AD$1)</f>
        <v>#REF!</v>
      </c>
      <c r="AE167" s="76" t="e">
        <f>SUMIFS(#REF!,#REF!,$B167,#REF!,AE$1)</f>
        <v>#REF!</v>
      </c>
      <c r="AF167" s="76" t="e">
        <f>SUMIFS(#REF!,#REF!,$B167,#REF!,AF$1)</f>
        <v>#REF!</v>
      </c>
      <c r="AG167" s="76" t="e">
        <f>SUMIFS(#REF!,#REF!,$B167,#REF!,AG$1)</f>
        <v>#REF!</v>
      </c>
      <c r="AH167" s="76" t="e">
        <f>SUMIFS(#REF!,#REF!,$B167,#REF!,AH$1)</f>
        <v>#REF!</v>
      </c>
      <c r="AI167" s="82"/>
    </row>
    <row r="168" spans="2:35" ht="15" hidden="1" customHeight="1" x14ac:dyDescent="0.25">
      <c r="B168" s="88"/>
      <c r="C168" s="86"/>
      <c r="D168" s="76" t="e">
        <f>SUMIFS(#REF!,#REF!,$B168,#REF!,D$1)</f>
        <v>#REF!</v>
      </c>
      <c r="E168" s="76" t="e">
        <f>SUMIFS(#REF!,#REF!,$B168,#REF!,E$1)</f>
        <v>#REF!</v>
      </c>
      <c r="F168" s="76" t="e">
        <f>SUMIFS(#REF!,#REF!,$B168,#REF!,F$1)</f>
        <v>#REF!</v>
      </c>
      <c r="G168" s="76" t="e">
        <f>SUMIFS(#REF!,#REF!,$B168,#REF!,G$1)</f>
        <v>#REF!</v>
      </c>
      <c r="H168" s="76" t="e">
        <f>SUMIFS(#REF!,#REF!,$B168,#REF!,H$1)</f>
        <v>#REF!</v>
      </c>
      <c r="I168" s="76" t="e">
        <f>SUMIFS(#REF!,#REF!,$B168,#REF!,I$1)</f>
        <v>#REF!</v>
      </c>
      <c r="J168" s="76" t="e">
        <f>SUMIFS(#REF!,#REF!,$B168,#REF!,J$1)</f>
        <v>#REF!</v>
      </c>
      <c r="K168" s="76" t="e">
        <f>SUMIFS(#REF!,#REF!,$B168,#REF!,K$1)</f>
        <v>#REF!</v>
      </c>
      <c r="L168" s="76" t="e">
        <f>SUMIFS(#REF!,#REF!,$B168,#REF!,L$1)</f>
        <v>#REF!</v>
      </c>
      <c r="M168" s="76" t="e">
        <f>SUMIFS(#REF!,#REF!,$B168,#REF!,M$1)</f>
        <v>#REF!</v>
      </c>
      <c r="N168" s="76" t="e">
        <f>SUMIFS(#REF!,#REF!,$B168,#REF!,N$1)</f>
        <v>#REF!</v>
      </c>
      <c r="O168" s="76" t="e">
        <f>SUMIFS(#REF!,#REF!,$B168,#REF!,O$1)</f>
        <v>#REF!</v>
      </c>
      <c r="P168" s="76" t="e">
        <f>SUMIFS(#REF!,#REF!,$B168,#REF!,P$1)</f>
        <v>#REF!</v>
      </c>
      <c r="Q168" s="76" t="e">
        <f>SUMIFS(#REF!,#REF!,$B168,#REF!,Q$1)</f>
        <v>#REF!</v>
      </c>
      <c r="R168" s="76" t="e">
        <f>SUMIFS(#REF!,#REF!,$B168,#REF!,R$1)</f>
        <v>#REF!</v>
      </c>
      <c r="S168" s="76" t="e">
        <f>SUMIFS(#REF!,#REF!,$B168,#REF!,S$1)</f>
        <v>#REF!</v>
      </c>
      <c r="T168" s="76" t="e">
        <f>SUMIFS(#REF!,#REF!,$B168,#REF!,T$1)</f>
        <v>#REF!</v>
      </c>
      <c r="U168" s="76" t="e">
        <f>SUMIFS(#REF!,#REF!,$B168,#REF!,U$1)</f>
        <v>#REF!</v>
      </c>
      <c r="V168" s="76" t="e">
        <f>SUMIFS(#REF!,#REF!,$B168,#REF!,V$1)</f>
        <v>#REF!</v>
      </c>
      <c r="W168" s="76" t="e">
        <f>SUMIFS(#REF!,#REF!,$B168,#REF!,W$1)</f>
        <v>#REF!</v>
      </c>
      <c r="X168" s="76" t="e">
        <f>SUMIFS(#REF!,#REF!,$B168,#REF!,X$1)</f>
        <v>#REF!</v>
      </c>
      <c r="Y168" s="76" t="e">
        <f>SUMIFS(#REF!,#REF!,$B168,#REF!,Y$1)</f>
        <v>#REF!</v>
      </c>
      <c r="Z168" s="76" t="e">
        <f>SUMIFS(#REF!,#REF!,$B168,#REF!,Z$1)</f>
        <v>#REF!</v>
      </c>
      <c r="AA168" s="76" t="e">
        <f>SUMIFS(#REF!,#REF!,$B168,#REF!,AA$1)</f>
        <v>#REF!</v>
      </c>
      <c r="AB168" s="76" t="e">
        <f>SUMIFS(#REF!,#REF!,$B168,#REF!,AB$1)</f>
        <v>#REF!</v>
      </c>
      <c r="AC168" s="76" t="e">
        <f>SUMIFS(#REF!,#REF!,$B168,#REF!,AC$1)</f>
        <v>#REF!</v>
      </c>
      <c r="AD168" s="76" t="e">
        <f>SUMIFS(#REF!,#REF!,$B168,#REF!,AD$1)</f>
        <v>#REF!</v>
      </c>
      <c r="AE168" s="76" t="e">
        <f>SUMIFS(#REF!,#REF!,$B168,#REF!,AE$1)</f>
        <v>#REF!</v>
      </c>
      <c r="AF168" s="76" t="e">
        <f>SUMIFS(#REF!,#REF!,$B168,#REF!,AF$1)</f>
        <v>#REF!</v>
      </c>
      <c r="AG168" s="76" t="e">
        <f>SUMIFS(#REF!,#REF!,$B168,#REF!,AG$1)</f>
        <v>#REF!</v>
      </c>
      <c r="AH168" s="76" t="e">
        <f>SUMIFS(#REF!,#REF!,$B168,#REF!,AH$1)</f>
        <v>#REF!</v>
      </c>
      <c r="AI168" s="82"/>
    </row>
    <row r="169" spans="2:35" ht="15" hidden="1" customHeight="1" x14ac:dyDescent="0.25">
      <c r="B169" s="88"/>
      <c r="C169" s="86"/>
      <c r="D169" s="76" t="e">
        <f>SUMIFS(#REF!,#REF!,$B169,#REF!,D$1)</f>
        <v>#REF!</v>
      </c>
      <c r="E169" s="76" t="e">
        <f>SUMIFS(#REF!,#REF!,$B169,#REF!,E$1)</f>
        <v>#REF!</v>
      </c>
      <c r="F169" s="76" t="e">
        <f>SUMIFS(#REF!,#REF!,$B169,#REF!,F$1)</f>
        <v>#REF!</v>
      </c>
      <c r="G169" s="76" t="e">
        <f>SUMIFS(#REF!,#REF!,$B169,#REF!,G$1)</f>
        <v>#REF!</v>
      </c>
      <c r="H169" s="76" t="e">
        <f>SUMIFS(#REF!,#REF!,$B169,#REF!,H$1)</f>
        <v>#REF!</v>
      </c>
      <c r="I169" s="76" t="e">
        <f>SUMIFS(#REF!,#REF!,$B169,#REF!,I$1)</f>
        <v>#REF!</v>
      </c>
      <c r="J169" s="76" t="e">
        <f>SUMIFS(#REF!,#REF!,$B169,#REF!,J$1)</f>
        <v>#REF!</v>
      </c>
      <c r="K169" s="76" t="e">
        <f>SUMIFS(#REF!,#REF!,$B169,#REF!,K$1)</f>
        <v>#REF!</v>
      </c>
      <c r="L169" s="76" t="e">
        <f>SUMIFS(#REF!,#REF!,$B169,#REF!,L$1)</f>
        <v>#REF!</v>
      </c>
      <c r="M169" s="76" t="e">
        <f>SUMIFS(#REF!,#REF!,$B169,#REF!,M$1)</f>
        <v>#REF!</v>
      </c>
      <c r="N169" s="76" t="e">
        <f>SUMIFS(#REF!,#REF!,$B169,#REF!,N$1)</f>
        <v>#REF!</v>
      </c>
      <c r="O169" s="76" t="e">
        <f>SUMIFS(#REF!,#REF!,$B169,#REF!,O$1)</f>
        <v>#REF!</v>
      </c>
      <c r="P169" s="76" t="e">
        <f>SUMIFS(#REF!,#REF!,$B169,#REF!,P$1)</f>
        <v>#REF!</v>
      </c>
      <c r="Q169" s="76" t="e">
        <f>SUMIFS(#REF!,#REF!,$B169,#REF!,Q$1)</f>
        <v>#REF!</v>
      </c>
      <c r="R169" s="76" t="e">
        <f>SUMIFS(#REF!,#REF!,$B169,#REF!,R$1)</f>
        <v>#REF!</v>
      </c>
      <c r="S169" s="76" t="e">
        <f>SUMIFS(#REF!,#REF!,$B169,#REF!,S$1)</f>
        <v>#REF!</v>
      </c>
      <c r="T169" s="76" t="e">
        <f>SUMIFS(#REF!,#REF!,$B169,#REF!,T$1)</f>
        <v>#REF!</v>
      </c>
      <c r="U169" s="76" t="e">
        <f>SUMIFS(#REF!,#REF!,$B169,#REF!,U$1)</f>
        <v>#REF!</v>
      </c>
      <c r="V169" s="76" t="e">
        <f>SUMIFS(#REF!,#REF!,$B169,#REF!,V$1)</f>
        <v>#REF!</v>
      </c>
      <c r="W169" s="76" t="e">
        <f>SUMIFS(#REF!,#REF!,$B169,#REF!,W$1)</f>
        <v>#REF!</v>
      </c>
      <c r="X169" s="76" t="e">
        <f>SUMIFS(#REF!,#REF!,$B169,#REF!,X$1)</f>
        <v>#REF!</v>
      </c>
      <c r="Y169" s="76" t="e">
        <f>SUMIFS(#REF!,#REF!,$B169,#REF!,Y$1)</f>
        <v>#REF!</v>
      </c>
      <c r="Z169" s="76" t="e">
        <f>SUMIFS(#REF!,#REF!,$B169,#REF!,Z$1)</f>
        <v>#REF!</v>
      </c>
      <c r="AA169" s="76" t="e">
        <f>SUMIFS(#REF!,#REF!,$B169,#REF!,AA$1)</f>
        <v>#REF!</v>
      </c>
      <c r="AB169" s="76" t="e">
        <f>SUMIFS(#REF!,#REF!,$B169,#REF!,AB$1)</f>
        <v>#REF!</v>
      </c>
      <c r="AC169" s="76" t="e">
        <f>SUMIFS(#REF!,#REF!,$B169,#REF!,AC$1)</f>
        <v>#REF!</v>
      </c>
      <c r="AD169" s="76" t="e">
        <f>SUMIFS(#REF!,#REF!,$B169,#REF!,AD$1)</f>
        <v>#REF!</v>
      </c>
      <c r="AE169" s="76" t="e">
        <f>SUMIFS(#REF!,#REF!,$B169,#REF!,AE$1)</f>
        <v>#REF!</v>
      </c>
      <c r="AF169" s="76" t="e">
        <f>SUMIFS(#REF!,#REF!,$B169,#REF!,AF$1)</f>
        <v>#REF!</v>
      </c>
      <c r="AG169" s="76" t="e">
        <f>SUMIFS(#REF!,#REF!,$B169,#REF!,AG$1)</f>
        <v>#REF!</v>
      </c>
      <c r="AH169" s="76" t="e">
        <f>SUMIFS(#REF!,#REF!,$B169,#REF!,AH$1)</f>
        <v>#REF!</v>
      </c>
      <c r="AI169" s="82"/>
    </row>
    <row r="170" spans="2:35" ht="15" hidden="1" customHeight="1" x14ac:dyDescent="0.25">
      <c r="B170" s="88"/>
      <c r="C170" s="86"/>
      <c r="D170" s="76" t="e">
        <f>SUMIFS(#REF!,#REF!,$B170,#REF!,D$1)</f>
        <v>#REF!</v>
      </c>
      <c r="E170" s="76" t="e">
        <f>SUMIFS(#REF!,#REF!,$B170,#REF!,E$1)</f>
        <v>#REF!</v>
      </c>
      <c r="F170" s="76" t="e">
        <f>SUMIFS(#REF!,#REF!,$B170,#REF!,F$1)</f>
        <v>#REF!</v>
      </c>
      <c r="G170" s="76" t="e">
        <f>SUMIFS(#REF!,#REF!,$B170,#REF!,G$1)</f>
        <v>#REF!</v>
      </c>
      <c r="H170" s="76" t="e">
        <f>SUMIFS(#REF!,#REF!,$B170,#REF!,H$1)</f>
        <v>#REF!</v>
      </c>
      <c r="I170" s="76" t="e">
        <f>SUMIFS(#REF!,#REF!,$B170,#REF!,I$1)</f>
        <v>#REF!</v>
      </c>
      <c r="J170" s="76" t="e">
        <f>SUMIFS(#REF!,#REF!,$B170,#REF!,J$1)</f>
        <v>#REF!</v>
      </c>
      <c r="K170" s="76" t="e">
        <f>SUMIFS(#REF!,#REF!,$B170,#REF!,K$1)</f>
        <v>#REF!</v>
      </c>
      <c r="L170" s="76" t="e">
        <f>SUMIFS(#REF!,#REF!,$B170,#REF!,L$1)</f>
        <v>#REF!</v>
      </c>
      <c r="M170" s="76" t="e">
        <f>SUMIFS(#REF!,#REF!,$B170,#REF!,M$1)</f>
        <v>#REF!</v>
      </c>
      <c r="N170" s="76" t="e">
        <f>SUMIFS(#REF!,#REF!,$B170,#REF!,N$1)</f>
        <v>#REF!</v>
      </c>
      <c r="O170" s="76" t="e">
        <f>SUMIFS(#REF!,#REF!,$B170,#REF!,O$1)</f>
        <v>#REF!</v>
      </c>
      <c r="P170" s="76" t="e">
        <f>SUMIFS(#REF!,#REF!,$B170,#REF!,P$1)</f>
        <v>#REF!</v>
      </c>
      <c r="Q170" s="76" t="e">
        <f>SUMIFS(#REF!,#REF!,$B170,#REF!,Q$1)</f>
        <v>#REF!</v>
      </c>
      <c r="R170" s="76" t="e">
        <f>SUMIFS(#REF!,#REF!,$B170,#REF!,R$1)</f>
        <v>#REF!</v>
      </c>
      <c r="S170" s="76" t="e">
        <f>SUMIFS(#REF!,#REF!,$B170,#REF!,S$1)</f>
        <v>#REF!</v>
      </c>
      <c r="T170" s="76" t="e">
        <f>SUMIFS(#REF!,#REF!,$B170,#REF!,T$1)</f>
        <v>#REF!</v>
      </c>
      <c r="U170" s="76" t="e">
        <f>SUMIFS(#REF!,#REF!,$B170,#REF!,U$1)</f>
        <v>#REF!</v>
      </c>
      <c r="V170" s="76" t="e">
        <f>SUMIFS(#REF!,#REF!,$B170,#REF!,V$1)</f>
        <v>#REF!</v>
      </c>
      <c r="W170" s="76" t="e">
        <f>SUMIFS(#REF!,#REF!,$B170,#REF!,W$1)</f>
        <v>#REF!</v>
      </c>
      <c r="X170" s="76" t="e">
        <f>SUMIFS(#REF!,#REF!,$B170,#REF!,X$1)</f>
        <v>#REF!</v>
      </c>
      <c r="Y170" s="76" t="e">
        <f>SUMIFS(#REF!,#REF!,$B170,#REF!,Y$1)</f>
        <v>#REF!</v>
      </c>
      <c r="Z170" s="76" t="e">
        <f>SUMIFS(#REF!,#REF!,$B170,#REF!,Z$1)</f>
        <v>#REF!</v>
      </c>
      <c r="AA170" s="76" t="e">
        <f>SUMIFS(#REF!,#REF!,$B170,#REF!,AA$1)</f>
        <v>#REF!</v>
      </c>
      <c r="AB170" s="76" t="e">
        <f>SUMIFS(#REF!,#REF!,$B170,#REF!,AB$1)</f>
        <v>#REF!</v>
      </c>
      <c r="AC170" s="76" t="e">
        <f>SUMIFS(#REF!,#REF!,$B170,#REF!,AC$1)</f>
        <v>#REF!</v>
      </c>
      <c r="AD170" s="76" t="e">
        <f>SUMIFS(#REF!,#REF!,$B170,#REF!,AD$1)</f>
        <v>#REF!</v>
      </c>
      <c r="AE170" s="76" t="e">
        <f>SUMIFS(#REF!,#REF!,$B170,#REF!,AE$1)</f>
        <v>#REF!</v>
      </c>
      <c r="AF170" s="76" t="e">
        <f>SUMIFS(#REF!,#REF!,$B170,#REF!,AF$1)</f>
        <v>#REF!</v>
      </c>
      <c r="AG170" s="76" t="e">
        <f>SUMIFS(#REF!,#REF!,$B170,#REF!,AG$1)</f>
        <v>#REF!</v>
      </c>
      <c r="AH170" s="76" t="e">
        <f>SUMIFS(#REF!,#REF!,$B170,#REF!,AH$1)</f>
        <v>#REF!</v>
      </c>
      <c r="AI170" s="82"/>
    </row>
    <row r="171" spans="2:35" ht="15" hidden="1" customHeight="1" x14ac:dyDescent="0.25">
      <c r="B171" s="84"/>
      <c r="C171" s="83"/>
      <c r="D171" s="76" t="e">
        <f>SUMIFS(#REF!,#REF!,$B171,#REF!,D$1)</f>
        <v>#REF!</v>
      </c>
      <c r="E171" s="76" t="e">
        <f>SUMIFS(#REF!,#REF!,$B171,#REF!,E$1)</f>
        <v>#REF!</v>
      </c>
      <c r="F171" s="76" t="e">
        <f>SUMIFS(#REF!,#REF!,$B171,#REF!,F$1)</f>
        <v>#REF!</v>
      </c>
      <c r="G171" s="76" t="e">
        <f>SUMIFS(#REF!,#REF!,$B171,#REF!,G$1)</f>
        <v>#REF!</v>
      </c>
      <c r="H171" s="76" t="e">
        <f>SUMIFS(#REF!,#REF!,$B171,#REF!,H$1)</f>
        <v>#REF!</v>
      </c>
      <c r="I171" s="76" t="e">
        <f>SUMIFS(#REF!,#REF!,$B171,#REF!,I$1)</f>
        <v>#REF!</v>
      </c>
      <c r="J171" s="76" t="e">
        <f>SUMIFS(#REF!,#REF!,$B171,#REF!,J$1)</f>
        <v>#REF!</v>
      </c>
      <c r="K171" s="76" t="e">
        <f>SUMIFS(#REF!,#REF!,$B171,#REF!,K$1)</f>
        <v>#REF!</v>
      </c>
      <c r="L171" s="76" t="e">
        <f>SUMIFS(#REF!,#REF!,$B171,#REF!,L$1)</f>
        <v>#REF!</v>
      </c>
      <c r="M171" s="76" t="e">
        <f>SUMIFS(#REF!,#REF!,$B171,#REF!,M$1)</f>
        <v>#REF!</v>
      </c>
      <c r="N171" s="76" t="e">
        <f>SUMIFS(#REF!,#REF!,$B171,#REF!,N$1)</f>
        <v>#REF!</v>
      </c>
      <c r="O171" s="76" t="e">
        <f>SUMIFS(#REF!,#REF!,$B171,#REF!,O$1)</f>
        <v>#REF!</v>
      </c>
      <c r="P171" s="76" t="e">
        <f>SUMIFS(#REF!,#REF!,$B171,#REF!,P$1)</f>
        <v>#REF!</v>
      </c>
      <c r="Q171" s="76" t="e">
        <f>SUMIFS(#REF!,#REF!,$B171,#REF!,Q$1)</f>
        <v>#REF!</v>
      </c>
      <c r="R171" s="76" t="e">
        <f>SUMIFS(#REF!,#REF!,$B171,#REF!,R$1)</f>
        <v>#REF!</v>
      </c>
      <c r="S171" s="76" t="e">
        <f>SUMIFS(#REF!,#REF!,$B171,#REF!,S$1)</f>
        <v>#REF!</v>
      </c>
      <c r="T171" s="76" t="e">
        <f>SUMIFS(#REF!,#REF!,$B171,#REF!,T$1)</f>
        <v>#REF!</v>
      </c>
      <c r="U171" s="76" t="e">
        <f>SUMIFS(#REF!,#REF!,$B171,#REF!,U$1)</f>
        <v>#REF!</v>
      </c>
      <c r="V171" s="76" t="e">
        <f>SUMIFS(#REF!,#REF!,$B171,#REF!,V$1)</f>
        <v>#REF!</v>
      </c>
      <c r="W171" s="76" t="e">
        <f>SUMIFS(#REF!,#REF!,$B171,#REF!,W$1)</f>
        <v>#REF!</v>
      </c>
      <c r="X171" s="76" t="e">
        <f>SUMIFS(#REF!,#REF!,$B171,#REF!,X$1)</f>
        <v>#REF!</v>
      </c>
      <c r="Y171" s="76" t="e">
        <f>SUMIFS(#REF!,#REF!,$B171,#REF!,Y$1)</f>
        <v>#REF!</v>
      </c>
      <c r="Z171" s="76" t="e">
        <f>SUMIFS(#REF!,#REF!,$B171,#REF!,Z$1)</f>
        <v>#REF!</v>
      </c>
      <c r="AA171" s="76" t="e">
        <f>SUMIFS(#REF!,#REF!,$B171,#REF!,AA$1)</f>
        <v>#REF!</v>
      </c>
      <c r="AB171" s="76" t="e">
        <f>SUMIFS(#REF!,#REF!,$B171,#REF!,AB$1)</f>
        <v>#REF!</v>
      </c>
      <c r="AC171" s="76" t="e">
        <f>SUMIFS(#REF!,#REF!,$B171,#REF!,AC$1)</f>
        <v>#REF!</v>
      </c>
      <c r="AD171" s="76" t="e">
        <f>SUMIFS(#REF!,#REF!,$B171,#REF!,AD$1)</f>
        <v>#REF!</v>
      </c>
      <c r="AE171" s="76" t="e">
        <f>SUMIFS(#REF!,#REF!,$B171,#REF!,AE$1)</f>
        <v>#REF!</v>
      </c>
      <c r="AF171" s="76" t="e">
        <f>SUMIFS(#REF!,#REF!,$B171,#REF!,AF$1)</f>
        <v>#REF!</v>
      </c>
      <c r="AG171" s="76" t="e">
        <f>SUMIFS(#REF!,#REF!,$B171,#REF!,AG$1)</f>
        <v>#REF!</v>
      </c>
      <c r="AH171" s="76" t="e">
        <f>SUMIFS(#REF!,#REF!,$B171,#REF!,AH$1)</f>
        <v>#REF!</v>
      </c>
      <c r="AI171" s="82"/>
    </row>
    <row r="172" spans="2:35" ht="15" hidden="1" customHeight="1" x14ac:dyDescent="0.25">
      <c r="B172" s="84"/>
      <c r="C172" s="83"/>
      <c r="D172" s="76" t="e">
        <f>SUMIFS(#REF!,#REF!,$B172,#REF!,D$1)</f>
        <v>#REF!</v>
      </c>
      <c r="E172" s="76" t="e">
        <f>SUMIFS(#REF!,#REF!,$B172,#REF!,E$1)</f>
        <v>#REF!</v>
      </c>
      <c r="F172" s="76" t="e">
        <f>SUMIFS(#REF!,#REF!,$B172,#REF!,F$1)</f>
        <v>#REF!</v>
      </c>
      <c r="G172" s="76" t="e">
        <f>SUMIFS(#REF!,#REF!,$B172,#REF!,G$1)</f>
        <v>#REF!</v>
      </c>
      <c r="H172" s="76" t="e">
        <f>SUMIFS(#REF!,#REF!,$B172,#REF!,H$1)</f>
        <v>#REF!</v>
      </c>
      <c r="I172" s="76" t="e">
        <f>SUMIFS(#REF!,#REF!,$B172,#REF!,I$1)</f>
        <v>#REF!</v>
      </c>
      <c r="J172" s="76" t="e">
        <f>SUMIFS(#REF!,#REF!,$B172,#REF!,J$1)</f>
        <v>#REF!</v>
      </c>
      <c r="K172" s="76" t="e">
        <f>SUMIFS(#REF!,#REF!,$B172,#REF!,K$1)</f>
        <v>#REF!</v>
      </c>
      <c r="L172" s="76" t="e">
        <f>SUMIFS(#REF!,#REF!,$B172,#REF!,L$1)</f>
        <v>#REF!</v>
      </c>
      <c r="M172" s="76" t="e">
        <f>SUMIFS(#REF!,#REF!,$B172,#REF!,M$1)</f>
        <v>#REF!</v>
      </c>
      <c r="N172" s="76" t="e">
        <f>SUMIFS(#REF!,#REF!,$B172,#REF!,N$1)</f>
        <v>#REF!</v>
      </c>
      <c r="O172" s="76" t="e">
        <f>SUMIFS(#REF!,#REF!,$B172,#REF!,O$1)</f>
        <v>#REF!</v>
      </c>
      <c r="P172" s="76" t="e">
        <f>SUMIFS(#REF!,#REF!,$B172,#REF!,P$1)</f>
        <v>#REF!</v>
      </c>
      <c r="Q172" s="76" t="e">
        <f>SUMIFS(#REF!,#REF!,$B172,#REF!,Q$1)</f>
        <v>#REF!</v>
      </c>
      <c r="R172" s="76" t="e">
        <f>SUMIFS(#REF!,#REF!,$B172,#REF!,R$1)</f>
        <v>#REF!</v>
      </c>
      <c r="S172" s="76" t="e">
        <f>SUMIFS(#REF!,#REF!,$B172,#REF!,S$1)</f>
        <v>#REF!</v>
      </c>
      <c r="T172" s="76" t="e">
        <f>SUMIFS(#REF!,#REF!,$B172,#REF!,T$1)</f>
        <v>#REF!</v>
      </c>
      <c r="U172" s="76" t="e">
        <f>SUMIFS(#REF!,#REF!,$B172,#REF!,U$1)</f>
        <v>#REF!</v>
      </c>
      <c r="V172" s="76" t="e">
        <f>SUMIFS(#REF!,#REF!,$B172,#REF!,V$1)</f>
        <v>#REF!</v>
      </c>
      <c r="W172" s="76" t="e">
        <f>SUMIFS(#REF!,#REF!,$B172,#REF!,W$1)</f>
        <v>#REF!</v>
      </c>
      <c r="X172" s="76" t="e">
        <f>SUMIFS(#REF!,#REF!,$B172,#REF!,X$1)</f>
        <v>#REF!</v>
      </c>
      <c r="Y172" s="76" t="e">
        <f>SUMIFS(#REF!,#REF!,$B172,#REF!,Y$1)</f>
        <v>#REF!</v>
      </c>
      <c r="Z172" s="76" t="e">
        <f>SUMIFS(#REF!,#REF!,$B172,#REF!,Z$1)</f>
        <v>#REF!</v>
      </c>
      <c r="AA172" s="76" t="e">
        <f>SUMIFS(#REF!,#REF!,$B172,#REF!,AA$1)</f>
        <v>#REF!</v>
      </c>
      <c r="AB172" s="76" t="e">
        <f>SUMIFS(#REF!,#REF!,$B172,#REF!,AB$1)</f>
        <v>#REF!</v>
      </c>
      <c r="AC172" s="76" t="e">
        <f>SUMIFS(#REF!,#REF!,$B172,#REF!,AC$1)</f>
        <v>#REF!</v>
      </c>
      <c r="AD172" s="76" t="e">
        <f>SUMIFS(#REF!,#REF!,$B172,#REF!,AD$1)</f>
        <v>#REF!</v>
      </c>
      <c r="AE172" s="76" t="e">
        <f>SUMIFS(#REF!,#REF!,$B172,#REF!,AE$1)</f>
        <v>#REF!</v>
      </c>
      <c r="AF172" s="76" t="e">
        <f>SUMIFS(#REF!,#REF!,$B172,#REF!,AF$1)</f>
        <v>#REF!</v>
      </c>
      <c r="AG172" s="76" t="e">
        <f>SUMIFS(#REF!,#REF!,$B172,#REF!,AG$1)</f>
        <v>#REF!</v>
      </c>
      <c r="AH172" s="76" t="e">
        <f>SUMIFS(#REF!,#REF!,$B172,#REF!,AH$1)</f>
        <v>#REF!</v>
      </c>
      <c r="AI172" s="82"/>
    </row>
    <row r="173" spans="2:35" ht="15" hidden="1" customHeight="1" x14ac:dyDescent="0.25">
      <c r="B173" s="84"/>
      <c r="C173" s="83"/>
      <c r="D173" s="76" t="e">
        <f>SUMIFS(#REF!,#REF!,$B173,#REF!,D$1)</f>
        <v>#REF!</v>
      </c>
      <c r="E173" s="76" t="e">
        <f>SUMIFS(#REF!,#REF!,$B173,#REF!,E$1)</f>
        <v>#REF!</v>
      </c>
      <c r="F173" s="76" t="e">
        <f>SUMIFS(#REF!,#REF!,$B173,#REF!,F$1)</f>
        <v>#REF!</v>
      </c>
      <c r="G173" s="76" t="e">
        <f>SUMIFS(#REF!,#REF!,$B173,#REF!,G$1)</f>
        <v>#REF!</v>
      </c>
      <c r="H173" s="76" t="e">
        <f>SUMIFS(#REF!,#REF!,$B173,#REF!,H$1)</f>
        <v>#REF!</v>
      </c>
      <c r="I173" s="76" t="e">
        <f>SUMIFS(#REF!,#REF!,$B173,#REF!,I$1)</f>
        <v>#REF!</v>
      </c>
      <c r="J173" s="76" t="e">
        <f>SUMIFS(#REF!,#REF!,$B173,#REF!,J$1)</f>
        <v>#REF!</v>
      </c>
      <c r="K173" s="76" t="e">
        <f>SUMIFS(#REF!,#REF!,$B173,#REF!,K$1)</f>
        <v>#REF!</v>
      </c>
      <c r="L173" s="76" t="e">
        <f>SUMIFS(#REF!,#REF!,$B173,#REF!,L$1)</f>
        <v>#REF!</v>
      </c>
      <c r="M173" s="76" t="e">
        <f>SUMIFS(#REF!,#REF!,$B173,#REF!,M$1)</f>
        <v>#REF!</v>
      </c>
      <c r="N173" s="76" t="e">
        <f>SUMIFS(#REF!,#REF!,$B173,#REF!,N$1)</f>
        <v>#REF!</v>
      </c>
      <c r="O173" s="76" t="e">
        <f>SUMIFS(#REF!,#REF!,$B173,#REF!,O$1)</f>
        <v>#REF!</v>
      </c>
      <c r="P173" s="76" t="e">
        <f>SUMIFS(#REF!,#REF!,$B173,#REF!,P$1)</f>
        <v>#REF!</v>
      </c>
      <c r="Q173" s="76" t="e">
        <f>SUMIFS(#REF!,#REF!,$B173,#REF!,Q$1)</f>
        <v>#REF!</v>
      </c>
      <c r="R173" s="76" t="e">
        <f>SUMIFS(#REF!,#REF!,$B173,#REF!,R$1)</f>
        <v>#REF!</v>
      </c>
      <c r="S173" s="76" t="e">
        <f>SUMIFS(#REF!,#REF!,$B173,#REF!,S$1)</f>
        <v>#REF!</v>
      </c>
      <c r="T173" s="76" t="e">
        <f>SUMIFS(#REF!,#REF!,$B173,#REF!,T$1)</f>
        <v>#REF!</v>
      </c>
      <c r="U173" s="76" t="e">
        <f>SUMIFS(#REF!,#REF!,$B173,#REF!,U$1)</f>
        <v>#REF!</v>
      </c>
      <c r="V173" s="76" t="e">
        <f>SUMIFS(#REF!,#REF!,$B173,#REF!,V$1)</f>
        <v>#REF!</v>
      </c>
      <c r="W173" s="76" t="e">
        <f>SUMIFS(#REF!,#REF!,$B173,#REF!,W$1)</f>
        <v>#REF!</v>
      </c>
      <c r="X173" s="76" t="e">
        <f>SUMIFS(#REF!,#REF!,$B173,#REF!,X$1)</f>
        <v>#REF!</v>
      </c>
      <c r="Y173" s="76" t="e">
        <f>SUMIFS(#REF!,#REF!,$B173,#REF!,Y$1)</f>
        <v>#REF!</v>
      </c>
      <c r="Z173" s="76" t="e">
        <f>SUMIFS(#REF!,#REF!,$B173,#REF!,Z$1)</f>
        <v>#REF!</v>
      </c>
      <c r="AA173" s="76" t="e">
        <f>SUMIFS(#REF!,#REF!,$B173,#REF!,AA$1)</f>
        <v>#REF!</v>
      </c>
      <c r="AB173" s="76" t="e">
        <f>SUMIFS(#REF!,#REF!,$B173,#REF!,AB$1)</f>
        <v>#REF!</v>
      </c>
      <c r="AC173" s="76" t="e">
        <f>SUMIFS(#REF!,#REF!,$B173,#REF!,AC$1)</f>
        <v>#REF!</v>
      </c>
      <c r="AD173" s="76" t="e">
        <f>SUMIFS(#REF!,#REF!,$B173,#REF!,AD$1)</f>
        <v>#REF!</v>
      </c>
      <c r="AE173" s="76" t="e">
        <f>SUMIFS(#REF!,#REF!,$B173,#REF!,AE$1)</f>
        <v>#REF!</v>
      </c>
      <c r="AF173" s="76" t="e">
        <f>SUMIFS(#REF!,#REF!,$B173,#REF!,AF$1)</f>
        <v>#REF!</v>
      </c>
      <c r="AG173" s="76" t="e">
        <f>SUMIFS(#REF!,#REF!,$B173,#REF!,AG$1)</f>
        <v>#REF!</v>
      </c>
      <c r="AH173" s="76" t="e">
        <f>SUMIFS(#REF!,#REF!,$B173,#REF!,AH$1)</f>
        <v>#REF!</v>
      </c>
      <c r="AI173" s="82"/>
    </row>
    <row r="174" spans="2:35" ht="15" hidden="1" customHeight="1" x14ac:dyDescent="0.25">
      <c r="B174" s="89"/>
      <c r="C174" s="90"/>
      <c r="D174" s="76" t="e">
        <f>SUMIFS(#REF!,#REF!,$B174,#REF!,D$1)</f>
        <v>#REF!</v>
      </c>
      <c r="E174" s="76" t="e">
        <f>SUMIFS(#REF!,#REF!,$B174,#REF!,E$1)</f>
        <v>#REF!</v>
      </c>
      <c r="F174" s="76" t="e">
        <f>SUMIFS(#REF!,#REF!,$B174,#REF!,F$1)</f>
        <v>#REF!</v>
      </c>
      <c r="G174" s="76" t="e">
        <f>SUMIFS(#REF!,#REF!,$B174,#REF!,G$1)</f>
        <v>#REF!</v>
      </c>
      <c r="H174" s="76" t="e">
        <f>SUMIFS(#REF!,#REF!,$B174,#REF!,H$1)</f>
        <v>#REF!</v>
      </c>
      <c r="I174" s="76" t="e">
        <f>SUMIFS(#REF!,#REF!,$B174,#REF!,I$1)</f>
        <v>#REF!</v>
      </c>
      <c r="J174" s="76" t="e">
        <f>SUMIFS(#REF!,#REF!,$B174,#REF!,J$1)</f>
        <v>#REF!</v>
      </c>
      <c r="K174" s="76" t="e">
        <f>SUMIFS(#REF!,#REF!,$B174,#REF!,K$1)</f>
        <v>#REF!</v>
      </c>
      <c r="L174" s="76" t="e">
        <f>SUMIFS(#REF!,#REF!,$B174,#REF!,L$1)</f>
        <v>#REF!</v>
      </c>
      <c r="M174" s="76" t="e">
        <f>SUMIFS(#REF!,#REF!,$B174,#REF!,M$1)</f>
        <v>#REF!</v>
      </c>
      <c r="N174" s="76" t="e">
        <f>SUMIFS(#REF!,#REF!,$B174,#REF!,N$1)</f>
        <v>#REF!</v>
      </c>
      <c r="O174" s="76" t="e">
        <f>SUMIFS(#REF!,#REF!,$B174,#REF!,O$1)</f>
        <v>#REF!</v>
      </c>
      <c r="P174" s="76" t="e">
        <f>SUMIFS(#REF!,#REF!,$B174,#REF!,P$1)</f>
        <v>#REF!</v>
      </c>
      <c r="Q174" s="76" t="e">
        <f>SUMIFS(#REF!,#REF!,$B174,#REF!,Q$1)</f>
        <v>#REF!</v>
      </c>
      <c r="R174" s="76" t="e">
        <f>SUMIFS(#REF!,#REF!,$B174,#REF!,R$1)</f>
        <v>#REF!</v>
      </c>
      <c r="S174" s="76" t="e">
        <f>SUMIFS(#REF!,#REF!,$B174,#REF!,S$1)</f>
        <v>#REF!</v>
      </c>
      <c r="T174" s="76" t="e">
        <f>SUMIFS(#REF!,#REF!,$B174,#REF!,T$1)</f>
        <v>#REF!</v>
      </c>
      <c r="U174" s="76" t="e">
        <f>SUMIFS(#REF!,#REF!,$B174,#REF!,U$1)</f>
        <v>#REF!</v>
      </c>
      <c r="V174" s="76" t="e">
        <f>SUMIFS(#REF!,#REF!,$B174,#REF!,V$1)</f>
        <v>#REF!</v>
      </c>
      <c r="W174" s="76" t="e">
        <f>SUMIFS(#REF!,#REF!,$B174,#REF!,W$1)</f>
        <v>#REF!</v>
      </c>
      <c r="X174" s="76" t="e">
        <f>SUMIFS(#REF!,#REF!,$B174,#REF!,X$1)</f>
        <v>#REF!</v>
      </c>
      <c r="Y174" s="76" t="e">
        <f>SUMIFS(#REF!,#REF!,$B174,#REF!,Y$1)</f>
        <v>#REF!</v>
      </c>
      <c r="Z174" s="76" t="e">
        <f>SUMIFS(#REF!,#REF!,$B174,#REF!,Z$1)</f>
        <v>#REF!</v>
      </c>
      <c r="AA174" s="76" t="e">
        <f>SUMIFS(#REF!,#REF!,$B174,#REF!,AA$1)</f>
        <v>#REF!</v>
      </c>
      <c r="AB174" s="76" t="e">
        <f>SUMIFS(#REF!,#REF!,$B174,#REF!,AB$1)</f>
        <v>#REF!</v>
      </c>
      <c r="AC174" s="76" t="e">
        <f>SUMIFS(#REF!,#REF!,$B174,#REF!,AC$1)</f>
        <v>#REF!</v>
      </c>
      <c r="AD174" s="76" t="e">
        <f>SUMIFS(#REF!,#REF!,$B174,#REF!,AD$1)</f>
        <v>#REF!</v>
      </c>
      <c r="AE174" s="76" t="e">
        <f>SUMIFS(#REF!,#REF!,$B174,#REF!,AE$1)</f>
        <v>#REF!</v>
      </c>
      <c r="AF174" s="76" t="e">
        <f>SUMIFS(#REF!,#REF!,$B174,#REF!,AF$1)</f>
        <v>#REF!</v>
      </c>
      <c r="AG174" s="76" t="e">
        <f>SUMIFS(#REF!,#REF!,$B174,#REF!,AG$1)</f>
        <v>#REF!</v>
      </c>
      <c r="AH174" s="76" t="e">
        <f>SUMIFS(#REF!,#REF!,$B174,#REF!,AH$1)</f>
        <v>#REF!</v>
      </c>
      <c r="AI174" s="82"/>
    </row>
    <row r="175" spans="2:35" ht="15" hidden="1" customHeight="1" x14ac:dyDescent="0.25">
      <c r="B175" s="84"/>
      <c r="C175" s="86"/>
      <c r="D175" s="76" t="e">
        <f>SUMIFS(#REF!,#REF!,$B175,#REF!,D$1)</f>
        <v>#REF!</v>
      </c>
      <c r="E175" s="76" t="e">
        <f>SUMIFS(#REF!,#REF!,$B175,#REF!,E$1)</f>
        <v>#REF!</v>
      </c>
      <c r="F175" s="76" t="e">
        <f>SUMIFS(#REF!,#REF!,$B175,#REF!,F$1)</f>
        <v>#REF!</v>
      </c>
      <c r="G175" s="76" t="e">
        <f>SUMIFS(#REF!,#REF!,$B175,#REF!,G$1)</f>
        <v>#REF!</v>
      </c>
      <c r="H175" s="76" t="e">
        <f>SUMIFS(#REF!,#REF!,$B175,#REF!,H$1)</f>
        <v>#REF!</v>
      </c>
      <c r="I175" s="76" t="e">
        <f>SUMIFS(#REF!,#REF!,$B175,#REF!,I$1)</f>
        <v>#REF!</v>
      </c>
      <c r="J175" s="76" t="e">
        <f>SUMIFS(#REF!,#REF!,$B175,#REF!,J$1)</f>
        <v>#REF!</v>
      </c>
      <c r="K175" s="76" t="e">
        <f>SUMIFS(#REF!,#REF!,$B175,#REF!,K$1)</f>
        <v>#REF!</v>
      </c>
      <c r="L175" s="76" t="e">
        <f>SUMIFS(#REF!,#REF!,$B175,#REF!,L$1)</f>
        <v>#REF!</v>
      </c>
      <c r="M175" s="76" t="e">
        <f>SUMIFS(#REF!,#REF!,$B175,#REF!,M$1)</f>
        <v>#REF!</v>
      </c>
      <c r="N175" s="76" t="e">
        <f>SUMIFS(#REF!,#REF!,$B175,#REF!,N$1)</f>
        <v>#REF!</v>
      </c>
      <c r="O175" s="76" t="e">
        <f>SUMIFS(#REF!,#REF!,$B175,#REF!,O$1)</f>
        <v>#REF!</v>
      </c>
      <c r="P175" s="76" t="e">
        <f>SUMIFS(#REF!,#REF!,$B175,#REF!,P$1)</f>
        <v>#REF!</v>
      </c>
      <c r="Q175" s="76" t="e">
        <f>SUMIFS(#REF!,#REF!,$B175,#REF!,Q$1)</f>
        <v>#REF!</v>
      </c>
      <c r="R175" s="76" t="e">
        <f>SUMIFS(#REF!,#REF!,$B175,#REF!,R$1)</f>
        <v>#REF!</v>
      </c>
      <c r="S175" s="76" t="e">
        <f>SUMIFS(#REF!,#REF!,$B175,#REF!,S$1)</f>
        <v>#REF!</v>
      </c>
      <c r="T175" s="76" t="e">
        <f>SUMIFS(#REF!,#REF!,$B175,#REF!,T$1)</f>
        <v>#REF!</v>
      </c>
      <c r="U175" s="76" t="e">
        <f>SUMIFS(#REF!,#REF!,$B175,#REF!,U$1)</f>
        <v>#REF!</v>
      </c>
      <c r="V175" s="76" t="e">
        <f>SUMIFS(#REF!,#REF!,$B175,#REF!,V$1)</f>
        <v>#REF!</v>
      </c>
      <c r="W175" s="76" t="e">
        <f>SUMIFS(#REF!,#REF!,$B175,#REF!,W$1)</f>
        <v>#REF!</v>
      </c>
      <c r="X175" s="76" t="e">
        <f>SUMIFS(#REF!,#REF!,$B175,#REF!,X$1)</f>
        <v>#REF!</v>
      </c>
      <c r="Y175" s="76" t="e">
        <f>SUMIFS(#REF!,#REF!,$B175,#REF!,Y$1)</f>
        <v>#REF!</v>
      </c>
      <c r="Z175" s="76" t="e">
        <f>SUMIFS(#REF!,#REF!,$B175,#REF!,Z$1)</f>
        <v>#REF!</v>
      </c>
      <c r="AA175" s="76" t="e">
        <f>SUMIFS(#REF!,#REF!,$B175,#REF!,AA$1)</f>
        <v>#REF!</v>
      </c>
      <c r="AB175" s="76" t="e">
        <f>SUMIFS(#REF!,#REF!,$B175,#REF!,AB$1)</f>
        <v>#REF!</v>
      </c>
      <c r="AC175" s="76" t="e">
        <f>SUMIFS(#REF!,#REF!,$B175,#REF!,AC$1)</f>
        <v>#REF!</v>
      </c>
      <c r="AD175" s="76" t="e">
        <f>SUMIFS(#REF!,#REF!,$B175,#REF!,AD$1)</f>
        <v>#REF!</v>
      </c>
      <c r="AE175" s="76" t="e">
        <f>SUMIFS(#REF!,#REF!,$B175,#REF!,AE$1)</f>
        <v>#REF!</v>
      </c>
      <c r="AF175" s="76" t="e">
        <f>SUMIFS(#REF!,#REF!,$B175,#REF!,AF$1)</f>
        <v>#REF!</v>
      </c>
      <c r="AG175" s="76" t="e">
        <f>SUMIFS(#REF!,#REF!,$B175,#REF!,AG$1)</f>
        <v>#REF!</v>
      </c>
      <c r="AH175" s="76" t="e">
        <f>SUMIFS(#REF!,#REF!,$B175,#REF!,AH$1)</f>
        <v>#REF!</v>
      </c>
      <c r="AI175" s="82"/>
    </row>
    <row r="176" spans="2:35" ht="15" hidden="1" customHeight="1" x14ac:dyDescent="0.25">
      <c r="B176" s="84"/>
      <c r="C176" s="83"/>
      <c r="D176" s="76" t="e">
        <f>SUMIFS(#REF!,#REF!,$B176,#REF!,D$1)</f>
        <v>#REF!</v>
      </c>
      <c r="E176" s="76" t="e">
        <f>SUMIFS(#REF!,#REF!,$B176,#REF!,E$1)</f>
        <v>#REF!</v>
      </c>
      <c r="F176" s="76" t="e">
        <f>SUMIFS(#REF!,#REF!,$B176,#REF!,F$1)</f>
        <v>#REF!</v>
      </c>
      <c r="G176" s="76" t="e">
        <f>SUMIFS(#REF!,#REF!,$B176,#REF!,G$1)</f>
        <v>#REF!</v>
      </c>
      <c r="H176" s="76" t="e">
        <f>SUMIFS(#REF!,#REF!,$B176,#REF!,H$1)</f>
        <v>#REF!</v>
      </c>
      <c r="I176" s="76" t="e">
        <f>SUMIFS(#REF!,#REF!,$B176,#REF!,I$1)</f>
        <v>#REF!</v>
      </c>
      <c r="J176" s="76" t="e">
        <f>SUMIFS(#REF!,#REF!,$B176,#REF!,J$1)</f>
        <v>#REF!</v>
      </c>
      <c r="K176" s="76" t="e">
        <f>SUMIFS(#REF!,#REF!,$B176,#REF!,K$1)</f>
        <v>#REF!</v>
      </c>
      <c r="L176" s="76" t="e">
        <f>SUMIFS(#REF!,#REF!,$B176,#REF!,L$1)</f>
        <v>#REF!</v>
      </c>
      <c r="M176" s="76" t="e">
        <f>SUMIFS(#REF!,#REF!,$B176,#REF!,M$1)</f>
        <v>#REF!</v>
      </c>
      <c r="N176" s="76" t="e">
        <f>SUMIFS(#REF!,#REF!,$B176,#REF!,N$1)</f>
        <v>#REF!</v>
      </c>
      <c r="O176" s="76" t="e">
        <f>SUMIFS(#REF!,#REF!,$B176,#REF!,O$1)</f>
        <v>#REF!</v>
      </c>
      <c r="P176" s="76" t="e">
        <f>SUMIFS(#REF!,#REF!,$B176,#REF!,P$1)</f>
        <v>#REF!</v>
      </c>
      <c r="Q176" s="76" t="e">
        <f>SUMIFS(#REF!,#REF!,$B176,#REF!,Q$1)</f>
        <v>#REF!</v>
      </c>
      <c r="R176" s="76" t="e">
        <f>SUMIFS(#REF!,#REF!,$B176,#REF!,R$1)</f>
        <v>#REF!</v>
      </c>
      <c r="S176" s="76" t="e">
        <f>SUMIFS(#REF!,#REF!,$B176,#REF!,S$1)</f>
        <v>#REF!</v>
      </c>
      <c r="T176" s="76" t="e">
        <f>SUMIFS(#REF!,#REF!,$B176,#REF!,T$1)</f>
        <v>#REF!</v>
      </c>
      <c r="U176" s="76" t="e">
        <f>SUMIFS(#REF!,#REF!,$B176,#REF!,U$1)</f>
        <v>#REF!</v>
      </c>
      <c r="V176" s="76" t="e">
        <f>SUMIFS(#REF!,#REF!,$B176,#REF!,V$1)</f>
        <v>#REF!</v>
      </c>
      <c r="W176" s="76" t="e">
        <f>SUMIFS(#REF!,#REF!,$B176,#REF!,W$1)</f>
        <v>#REF!</v>
      </c>
      <c r="X176" s="76" t="e">
        <f>SUMIFS(#REF!,#REF!,$B176,#REF!,X$1)</f>
        <v>#REF!</v>
      </c>
      <c r="Y176" s="76" t="e">
        <f>SUMIFS(#REF!,#REF!,$B176,#REF!,Y$1)</f>
        <v>#REF!</v>
      </c>
      <c r="Z176" s="76" t="e">
        <f>SUMIFS(#REF!,#REF!,$B176,#REF!,Z$1)</f>
        <v>#REF!</v>
      </c>
      <c r="AA176" s="76" t="e">
        <f>SUMIFS(#REF!,#REF!,$B176,#REF!,AA$1)</f>
        <v>#REF!</v>
      </c>
      <c r="AB176" s="76" t="e">
        <f>SUMIFS(#REF!,#REF!,$B176,#REF!,AB$1)</f>
        <v>#REF!</v>
      </c>
      <c r="AC176" s="76" t="e">
        <f>SUMIFS(#REF!,#REF!,$B176,#REF!,AC$1)</f>
        <v>#REF!</v>
      </c>
      <c r="AD176" s="76" t="e">
        <f>SUMIFS(#REF!,#REF!,$B176,#REF!,AD$1)</f>
        <v>#REF!</v>
      </c>
      <c r="AE176" s="76" t="e">
        <f>SUMIFS(#REF!,#REF!,$B176,#REF!,AE$1)</f>
        <v>#REF!</v>
      </c>
      <c r="AF176" s="76" t="e">
        <f>SUMIFS(#REF!,#REF!,$B176,#REF!,AF$1)</f>
        <v>#REF!</v>
      </c>
      <c r="AG176" s="76" t="e">
        <f>SUMIFS(#REF!,#REF!,$B176,#REF!,AG$1)</f>
        <v>#REF!</v>
      </c>
      <c r="AH176" s="76" t="e">
        <f>SUMIFS(#REF!,#REF!,$B176,#REF!,AH$1)</f>
        <v>#REF!</v>
      </c>
      <c r="AI176" s="82"/>
    </row>
    <row r="177" spans="2:35" ht="15" hidden="1" customHeight="1" x14ac:dyDescent="0.25">
      <c r="B177" s="84"/>
      <c r="C177" s="83"/>
      <c r="D177" s="76" t="e">
        <f>SUMIFS(#REF!,#REF!,$B177,#REF!,D$1)</f>
        <v>#REF!</v>
      </c>
      <c r="E177" s="76" t="e">
        <f>SUMIFS(#REF!,#REF!,$B177,#REF!,E$1)</f>
        <v>#REF!</v>
      </c>
      <c r="F177" s="76" t="e">
        <f>SUMIFS(#REF!,#REF!,$B177,#REF!,F$1)</f>
        <v>#REF!</v>
      </c>
      <c r="G177" s="76" t="e">
        <f>SUMIFS(#REF!,#REF!,$B177,#REF!,G$1)</f>
        <v>#REF!</v>
      </c>
      <c r="H177" s="76" t="e">
        <f>SUMIFS(#REF!,#REF!,$B177,#REF!,H$1)</f>
        <v>#REF!</v>
      </c>
      <c r="I177" s="76" t="e">
        <f>SUMIFS(#REF!,#REF!,$B177,#REF!,I$1)</f>
        <v>#REF!</v>
      </c>
      <c r="J177" s="76" t="e">
        <f>SUMIFS(#REF!,#REF!,$B177,#REF!,J$1)</f>
        <v>#REF!</v>
      </c>
      <c r="K177" s="76" t="e">
        <f>SUMIFS(#REF!,#REF!,$B177,#REF!,K$1)</f>
        <v>#REF!</v>
      </c>
      <c r="L177" s="76" t="e">
        <f>SUMIFS(#REF!,#REF!,$B177,#REF!,L$1)</f>
        <v>#REF!</v>
      </c>
      <c r="M177" s="76" t="e">
        <f>SUMIFS(#REF!,#REF!,$B177,#REF!,M$1)</f>
        <v>#REF!</v>
      </c>
      <c r="N177" s="76" t="e">
        <f>SUMIFS(#REF!,#REF!,$B177,#REF!,N$1)</f>
        <v>#REF!</v>
      </c>
      <c r="O177" s="76" t="e">
        <f>SUMIFS(#REF!,#REF!,$B177,#REF!,O$1)</f>
        <v>#REF!</v>
      </c>
      <c r="P177" s="76" t="e">
        <f>SUMIFS(#REF!,#REF!,$B177,#REF!,P$1)</f>
        <v>#REF!</v>
      </c>
      <c r="Q177" s="76" t="e">
        <f>SUMIFS(#REF!,#REF!,$B177,#REF!,Q$1)</f>
        <v>#REF!</v>
      </c>
      <c r="R177" s="76" t="e">
        <f>SUMIFS(#REF!,#REF!,$B177,#REF!,R$1)</f>
        <v>#REF!</v>
      </c>
      <c r="S177" s="76" t="e">
        <f>SUMIFS(#REF!,#REF!,$B177,#REF!,S$1)</f>
        <v>#REF!</v>
      </c>
      <c r="T177" s="76" t="e">
        <f>SUMIFS(#REF!,#REF!,$B177,#REF!,T$1)</f>
        <v>#REF!</v>
      </c>
      <c r="U177" s="76" t="e">
        <f>SUMIFS(#REF!,#REF!,$B177,#REF!,U$1)</f>
        <v>#REF!</v>
      </c>
      <c r="V177" s="76" t="e">
        <f>SUMIFS(#REF!,#REF!,$B177,#REF!,V$1)</f>
        <v>#REF!</v>
      </c>
      <c r="W177" s="76" t="e">
        <f>SUMIFS(#REF!,#REF!,$B177,#REF!,W$1)</f>
        <v>#REF!</v>
      </c>
      <c r="X177" s="76" t="e">
        <f>SUMIFS(#REF!,#REF!,$B177,#REF!,X$1)</f>
        <v>#REF!</v>
      </c>
      <c r="Y177" s="76" t="e">
        <f>SUMIFS(#REF!,#REF!,$B177,#REF!,Y$1)</f>
        <v>#REF!</v>
      </c>
      <c r="Z177" s="76" t="e">
        <f>SUMIFS(#REF!,#REF!,$B177,#REF!,Z$1)</f>
        <v>#REF!</v>
      </c>
      <c r="AA177" s="76" t="e">
        <f>SUMIFS(#REF!,#REF!,$B177,#REF!,AA$1)</f>
        <v>#REF!</v>
      </c>
      <c r="AB177" s="76" t="e">
        <f>SUMIFS(#REF!,#REF!,$B177,#REF!,AB$1)</f>
        <v>#REF!</v>
      </c>
      <c r="AC177" s="76" t="e">
        <f>SUMIFS(#REF!,#REF!,$B177,#REF!,AC$1)</f>
        <v>#REF!</v>
      </c>
      <c r="AD177" s="76" t="e">
        <f>SUMIFS(#REF!,#REF!,$B177,#REF!,AD$1)</f>
        <v>#REF!</v>
      </c>
      <c r="AE177" s="76" t="e">
        <f>SUMIFS(#REF!,#REF!,$B177,#REF!,AE$1)</f>
        <v>#REF!</v>
      </c>
      <c r="AF177" s="76" t="e">
        <f>SUMIFS(#REF!,#REF!,$B177,#REF!,AF$1)</f>
        <v>#REF!</v>
      </c>
      <c r="AG177" s="76" t="e">
        <f>SUMIFS(#REF!,#REF!,$B177,#REF!,AG$1)</f>
        <v>#REF!</v>
      </c>
      <c r="AH177" s="76" t="e">
        <f>SUMIFS(#REF!,#REF!,$B177,#REF!,AH$1)</f>
        <v>#REF!</v>
      </c>
      <c r="AI177" s="82"/>
    </row>
    <row r="178" spans="2:35" ht="15" hidden="1" customHeight="1" x14ac:dyDescent="0.25">
      <c r="B178" s="84"/>
      <c r="C178" s="85"/>
      <c r="D178" s="76" t="e">
        <f>SUMIFS(#REF!,#REF!,$B178,#REF!,D$1)</f>
        <v>#REF!</v>
      </c>
      <c r="E178" s="76" t="e">
        <f>SUMIFS(#REF!,#REF!,$B178,#REF!,E$1)</f>
        <v>#REF!</v>
      </c>
      <c r="F178" s="76" t="e">
        <f>SUMIFS(#REF!,#REF!,$B178,#REF!,F$1)</f>
        <v>#REF!</v>
      </c>
      <c r="G178" s="76" t="e">
        <f>SUMIFS(#REF!,#REF!,$B178,#REF!,G$1)</f>
        <v>#REF!</v>
      </c>
      <c r="H178" s="76" t="e">
        <f>SUMIFS(#REF!,#REF!,$B178,#REF!,H$1)</f>
        <v>#REF!</v>
      </c>
      <c r="I178" s="76" t="e">
        <f>SUMIFS(#REF!,#REF!,$B178,#REF!,I$1)</f>
        <v>#REF!</v>
      </c>
      <c r="J178" s="76" t="e">
        <f>SUMIFS(#REF!,#REF!,$B178,#REF!,J$1)</f>
        <v>#REF!</v>
      </c>
      <c r="K178" s="76" t="e">
        <f>SUMIFS(#REF!,#REF!,$B178,#REF!,K$1)</f>
        <v>#REF!</v>
      </c>
      <c r="L178" s="76" t="e">
        <f>SUMIFS(#REF!,#REF!,$B178,#REF!,L$1)</f>
        <v>#REF!</v>
      </c>
      <c r="M178" s="76" t="e">
        <f>SUMIFS(#REF!,#REF!,$B178,#REF!,M$1)</f>
        <v>#REF!</v>
      </c>
      <c r="N178" s="76" t="e">
        <f>SUMIFS(#REF!,#REF!,$B178,#REF!,N$1)</f>
        <v>#REF!</v>
      </c>
      <c r="O178" s="76" t="e">
        <f>SUMIFS(#REF!,#REF!,$B178,#REF!,O$1)</f>
        <v>#REF!</v>
      </c>
      <c r="P178" s="76" t="e">
        <f>SUMIFS(#REF!,#REF!,$B178,#REF!,P$1)</f>
        <v>#REF!</v>
      </c>
      <c r="Q178" s="76" t="e">
        <f>SUMIFS(#REF!,#REF!,$B178,#REF!,Q$1)</f>
        <v>#REF!</v>
      </c>
      <c r="R178" s="76" t="e">
        <f>SUMIFS(#REF!,#REF!,$B178,#REF!,R$1)</f>
        <v>#REF!</v>
      </c>
      <c r="S178" s="76" t="e">
        <f>SUMIFS(#REF!,#REF!,$B178,#REF!,S$1)</f>
        <v>#REF!</v>
      </c>
      <c r="T178" s="76" t="e">
        <f>SUMIFS(#REF!,#REF!,$B178,#REF!,T$1)</f>
        <v>#REF!</v>
      </c>
      <c r="U178" s="76" t="e">
        <f>SUMIFS(#REF!,#REF!,$B178,#REF!,U$1)</f>
        <v>#REF!</v>
      </c>
      <c r="V178" s="76" t="e">
        <f>SUMIFS(#REF!,#REF!,$B178,#REF!,V$1)</f>
        <v>#REF!</v>
      </c>
      <c r="W178" s="76" t="e">
        <f>SUMIFS(#REF!,#REF!,$B178,#REF!,W$1)</f>
        <v>#REF!</v>
      </c>
      <c r="X178" s="76" t="e">
        <f>SUMIFS(#REF!,#REF!,$B178,#REF!,X$1)</f>
        <v>#REF!</v>
      </c>
      <c r="Y178" s="76" t="e">
        <f>SUMIFS(#REF!,#REF!,$B178,#REF!,Y$1)</f>
        <v>#REF!</v>
      </c>
      <c r="Z178" s="76" t="e">
        <f>SUMIFS(#REF!,#REF!,$B178,#REF!,Z$1)</f>
        <v>#REF!</v>
      </c>
      <c r="AA178" s="76" t="e">
        <f>SUMIFS(#REF!,#REF!,$B178,#REF!,AA$1)</f>
        <v>#REF!</v>
      </c>
      <c r="AB178" s="76" t="e">
        <f>SUMIFS(#REF!,#REF!,$B178,#REF!,AB$1)</f>
        <v>#REF!</v>
      </c>
      <c r="AC178" s="76" t="e">
        <f>SUMIFS(#REF!,#REF!,$B178,#REF!,AC$1)</f>
        <v>#REF!</v>
      </c>
      <c r="AD178" s="76" t="e">
        <f>SUMIFS(#REF!,#REF!,$B178,#REF!,AD$1)</f>
        <v>#REF!</v>
      </c>
      <c r="AE178" s="76" t="e">
        <f>SUMIFS(#REF!,#REF!,$B178,#REF!,AE$1)</f>
        <v>#REF!</v>
      </c>
      <c r="AF178" s="76" t="e">
        <f>SUMIFS(#REF!,#REF!,$B178,#REF!,AF$1)</f>
        <v>#REF!</v>
      </c>
      <c r="AG178" s="76" t="e">
        <f>SUMIFS(#REF!,#REF!,$B178,#REF!,AG$1)</f>
        <v>#REF!</v>
      </c>
      <c r="AH178" s="76" t="e">
        <f>SUMIFS(#REF!,#REF!,$B178,#REF!,AH$1)</f>
        <v>#REF!</v>
      </c>
      <c r="AI178" s="82"/>
    </row>
    <row r="179" spans="2:35" ht="15" hidden="1" customHeight="1" x14ac:dyDescent="0.25">
      <c r="B179" s="84"/>
      <c r="C179" s="86"/>
      <c r="D179" s="76" t="e">
        <f>SUMIFS(#REF!,#REF!,$B179,#REF!,D$1)</f>
        <v>#REF!</v>
      </c>
      <c r="E179" s="76" t="e">
        <f>SUMIFS(#REF!,#REF!,$B179,#REF!,E$1)</f>
        <v>#REF!</v>
      </c>
      <c r="F179" s="76" t="e">
        <f>SUMIFS(#REF!,#REF!,$B179,#REF!,F$1)</f>
        <v>#REF!</v>
      </c>
      <c r="G179" s="76" t="e">
        <f>SUMIFS(#REF!,#REF!,$B179,#REF!,G$1)</f>
        <v>#REF!</v>
      </c>
      <c r="H179" s="76" t="e">
        <f>SUMIFS(#REF!,#REF!,$B179,#REF!,H$1)</f>
        <v>#REF!</v>
      </c>
      <c r="I179" s="76" t="e">
        <f>SUMIFS(#REF!,#REF!,$B179,#REF!,I$1)</f>
        <v>#REF!</v>
      </c>
      <c r="J179" s="76" t="e">
        <f>SUMIFS(#REF!,#REF!,$B179,#REF!,J$1)</f>
        <v>#REF!</v>
      </c>
      <c r="K179" s="76" t="e">
        <f>SUMIFS(#REF!,#REF!,$B179,#REF!,K$1)</f>
        <v>#REF!</v>
      </c>
      <c r="L179" s="76" t="e">
        <f>SUMIFS(#REF!,#REF!,$B179,#REF!,L$1)</f>
        <v>#REF!</v>
      </c>
      <c r="M179" s="76" t="e">
        <f>SUMIFS(#REF!,#REF!,$B179,#REF!,M$1)</f>
        <v>#REF!</v>
      </c>
      <c r="N179" s="76" t="e">
        <f>SUMIFS(#REF!,#REF!,$B179,#REF!,N$1)</f>
        <v>#REF!</v>
      </c>
      <c r="O179" s="76" t="e">
        <f>SUMIFS(#REF!,#REF!,$B179,#REF!,O$1)</f>
        <v>#REF!</v>
      </c>
      <c r="P179" s="76" t="e">
        <f>SUMIFS(#REF!,#REF!,$B179,#REF!,P$1)</f>
        <v>#REF!</v>
      </c>
      <c r="Q179" s="76" t="e">
        <f>SUMIFS(#REF!,#REF!,$B179,#REF!,Q$1)</f>
        <v>#REF!</v>
      </c>
      <c r="R179" s="76" t="e">
        <f>SUMIFS(#REF!,#REF!,$B179,#REF!,R$1)</f>
        <v>#REF!</v>
      </c>
      <c r="S179" s="76" t="e">
        <f>SUMIFS(#REF!,#REF!,$B179,#REF!,S$1)</f>
        <v>#REF!</v>
      </c>
      <c r="T179" s="76" t="e">
        <f>SUMIFS(#REF!,#REF!,$B179,#REF!,T$1)</f>
        <v>#REF!</v>
      </c>
      <c r="U179" s="76" t="e">
        <f>SUMIFS(#REF!,#REF!,$B179,#REF!,U$1)</f>
        <v>#REF!</v>
      </c>
      <c r="V179" s="76" t="e">
        <f>SUMIFS(#REF!,#REF!,$B179,#REF!,V$1)</f>
        <v>#REF!</v>
      </c>
      <c r="W179" s="76" t="e">
        <f>SUMIFS(#REF!,#REF!,$B179,#REF!,W$1)</f>
        <v>#REF!</v>
      </c>
      <c r="X179" s="76" t="e">
        <f>SUMIFS(#REF!,#REF!,$B179,#REF!,X$1)</f>
        <v>#REF!</v>
      </c>
      <c r="Y179" s="76" t="e">
        <f>SUMIFS(#REF!,#REF!,$B179,#REF!,Y$1)</f>
        <v>#REF!</v>
      </c>
      <c r="Z179" s="76" t="e">
        <f>SUMIFS(#REF!,#REF!,$B179,#REF!,Z$1)</f>
        <v>#REF!</v>
      </c>
      <c r="AA179" s="76" t="e">
        <f>SUMIFS(#REF!,#REF!,$B179,#REF!,AA$1)</f>
        <v>#REF!</v>
      </c>
      <c r="AB179" s="76" t="e">
        <f>SUMIFS(#REF!,#REF!,$B179,#REF!,AB$1)</f>
        <v>#REF!</v>
      </c>
      <c r="AC179" s="76" t="e">
        <f>SUMIFS(#REF!,#REF!,$B179,#REF!,AC$1)</f>
        <v>#REF!</v>
      </c>
      <c r="AD179" s="76" t="e">
        <f>SUMIFS(#REF!,#REF!,$B179,#REF!,AD$1)</f>
        <v>#REF!</v>
      </c>
      <c r="AE179" s="76" t="e">
        <f>SUMIFS(#REF!,#REF!,$B179,#REF!,AE$1)</f>
        <v>#REF!</v>
      </c>
      <c r="AF179" s="76" t="e">
        <f>SUMIFS(#REF!,#REF!,$B179,#REF!,AF$1)</f>
        <v>#REF!</v>
      </c>
      <c r="AG179" s="76" t="e">
        <f>SUMIFS(#REF!,#REF!,$B179,#REF!,AG$1)</f>
        <v>#REF!</v>
      </c>
      <c r="AH179" s="76" t="e">
        <f>SUMIFS(#REF!,#REF!,$B179,#REF!,AH$1)</f>
        <v>#REF!</v>
      </c>
      <c r="AI179" s="82"/>
    </row>
    <row r="180" spans="2:35" ht="15" hidden="1" customHeight="1" x14ac:dyDescent="0.25">
      <c r="B180" s="88"/>
      <c r="C180" s="86"/>
      <c r="D180" s="76" t="e">
        <f>SUMIFS(#REF!,#REF!,$B180,#REF!,D$1)</f>
        <v>#REF!</v>
      </c>
      <c r="E180" s="76" t="e">
        <f>SUMIFS(#REF!,#REF!,$B180,#REF!,E$1)</f>
        <v>#REF!</v>
      </c>
      <c r="F180" s="76" t="e">
        <f>SUMIFS(#REF!,#REF!,$B180,#REF!,F$1)</f>
        <v>#REF!</v>
      </c>
      <c r="G180" s="76" t="e">
        <f>SUMIFS(#REF!,#REF!,$B180,#REF!,G$1)</f>
        <v>#REF!</v>
      </c>
      <c r="H180" s="76" t="e">
        <f>SUMIFS(#REF!,#REF!,$B180,#REF!,H$1)</f>
        <v>#REF!</v>
      </c>
      <c r="I180" s="76" t="e">
        <f>SUMIFS(#REF!,#REF!,$B180,#REF!,I$1)</f>
        <v>#REF!</v>
      </c>
      <c r="J180" s="76" t="e">
        <f>SUMIFS(#REF!,#REF!,$B180,#REF!,J$1)</f>
        <v>#REF!</v>
      </c>
      <c r="K180" s="76" t="e">
        <f>SUMIFS(#REF!,#REF!,$B180,#REF!,K$1)</f>
        <v>#REF!</v>
      </c>
      <c r="L180" s="76" t="e">
        <f>SUMIFS(#REF!,#REF!,$B180,#REF!,L$1)</f>
        <v>#REF!</v>
      </c>
      <c r="M180" s="76" t="e">
        <f>SUMIFS(#REF!,#REF!,$B180,#REF!,M$1)</f>
        <v>#REF!</v>
      </c>
      <c r="N180" s="76" t="e">
        <f>SUMIFS(#REF!,#REF!,$B180,#REF!,N$1)</f>
        <v>#REF!</v>
      </c>
      <c r="O180" s="76" t="e">
        <f>SUMIFS(#REF!,#REF!,$B180,#REF!,O$1)</f>
        <v>#REF!</v>
      </c>
      <c r="P180" s="76" t="e">
        <f>SUMIFS(#REF!,#REF!,$B180,#REF!,P$1)</f>
        <v>#REF!</v>
      </c>
      <c r="Q180" s="76" t="e">
        <f>SUMIFS(#REF!,#REF!,$B180,#REF!,Q$1)</f>
        <v>#REF!</v>
      </c>
      <c r="R180" s="76" t="e">
        <f>SUMIFS(#REF!,#REF!,$B180,#REF!,R$1)</f>
        <v>#REF!</v>
      </c>
      <c r="S180" s="76" t="e">
        <f>SUMIFS(#REF!,#REF!,$B180,#REF!,S$1)</f>
        <v>#REF!</v>
      </c>
      <c r="T180" s="76" t="e">
        <f>SUMIFS(#REF!,#REF!,$B180,#REF!,T$1)</f>
        <v>#REF!</v>
      </c>
      <c r="U180" s="76" t="e">
        <f>SUMIFS(#REF!,#REF!,$B180,#REF!,U$1)</f>
        <v>#REF!</v>
      </c>
      <c r="V180" s="76" t="e">
        <f>SUMIFS(#REF!,#REF!,$B180,#REF!,V$1)</f>
        <v>#REF!</v>
      </c>
      <c r="W180" s="76" t="e">
        <f>SUMIFS(#REF!,#REF!,$B180,#REF!,W$1)</f>
        <v>#REF!</v>
      </c>
      <c r="X180" s="76" t="e">
        <f>SUMIFS(#REF!,#REF!,$B180,#REF!,X$1)</f>
        <v>#REF!</v>
      </c>
      <c r="Y180" s="76" t="e">
        <f>SUMIFS(#REF!,#REF!,$B180,#REF!,Y$1)</f>
        <v>#REF!</v>
      </c>
      <c r="Z180" s="76" t="e">
        <f>SUMIFS(#REF!,#REF!,$B180,#REF!,Z$1)</f>
        <v>#REF!</v>
      </c>
      <c r="AA180" s="76" t="e">
        <f>SUMIFS(#REF!,#REF!,$B180,#REF!,AA$1)</f>
        <v>#REF!</v>
      </c>
      <c r="AB180" s="76" t="e">
        <f>SUMIFS(#REF!,#REF!,$B180,#REF!,AB$1)</f>
        <v>#REF!</v>
      </c>
      <c r="AC180" s="76" t="e">
        <f>SUMIFS(#REF!,#REF!,$B180,#REF!,AC$1)</f>
        <v>#REF!</v>
      </c>
      <c r="AD180" s="76" t="e">
        <f>SUMIFS(#REF!,#REF!,$B180,#REF!,AD$1)</f>
        <v>#REF!</v>
      </c>
      <c r="AE180" s="76" t="e">
        <f>SUMIFS(#REF!,#REF!,$B180,#REF!,AE$1)</f>
        <v>#REF!</v>
      </c>
      <c r="AF180" s="76" t="e">
        <f>SUMIFS(#REF!,#REF!,$B180,#REF!,AF$1)</f>
        <v>#REF!</v>
      </c>
      <c r="AG180" s="76" t="e">
        <f>SUMIFS(#REF!,#REF!,$B180,#REF!,AG$1)</f>
        <v>#REF!</v>
      </c>
      <c r="AH180" s="76" t="e">
        <f>SUMIFS(#REF!,#REF!,$B180,#REF!,AH$1)</f>
        <v>#REF!</v>
      </c>
      <c r="AI180" s="82"/>
    </row>
    <row r="181" spans="2:35" ht="15" hidden="1" customHeight="1" x14ac:dyDescent="0.25">
      <c r="B181" s="84"/>
      <c r="C181" s="83"/>
      <c r="D181" s="76" t="e">
        <f>SUMIFS(#REF!,#REF!,$B181,#REF!,D$1)</f>
        <v>#REF!</v>
      </c>
      <c r="E181" s="76" t="e">
        <f>SUMIFS(#REF!,#REF!,$B181,#REF!,E$1)</f>
        <v>#REF!</v>
      </c>
      <c r="F181" s="76" t="e">
        <f>SUMIFS(#REF!,#REF!,$B181,#REF!,F$1)</f>
        <v>#REF!</v>
      </c>
      <c r="G181" s="76" t="e">
        <f>SUMIFS(#REF!,#REF!,$B181,#REF!,G$1)</f>
        <v>#REF!</v>
      </c>
      <c r="H181" s="76" t="e">
        <f>SUMIFS(#REF!,#REF!,$B181,#REF!,H$1)</f>
        <v>#REF!</v>
      </c>
      <c r="I181" s="76" t="e">
        <f>SUMIFS(#REF!,#REF!,$B181,#REF!,I$1)</f>
        <v>#REF!</v>
      </c>
      <c r="J181" s="76" t="e">
        <f>SUMIFS(#REF!,#REF!,$B181,#REF!,J$1)</f>
        <v>#REF!</v>
      </c>
      <c r="K181" s="76" t="e">
        <f>SUMIFS(#REF!,#REF!,$B181,#REF!,K$1)</f>
        <v>#REF!</v>
      </c>
      <c r="L181" s="76" t="e">
        <f>SUMIFS(#REF!,#REF!,$B181,#REF!,L$1)</f>
        <v>#REF!</v>
      </c>
      <c r="M181" s="76" t="e">
        <f>SUMIFS(#REF!,#REF!,$B181,#REF!,M$1)</f>
        <v>#REF!</v>
      </c>
      <c r="N181" s="76" t="e">
        <f>SUMIFS(#REF!,#REF!,$B181,#REF!,N$1)</f>
        <v>#REF!</v>
      </c>
      <c r="O181" s="76" t="e">
        <f>SUMIFS(#REF!,#REF!,$B181,#REF!,O$1)</f>
        <v>#REF!</v>
      </c>
      <c r="P181" s="76" t="e">
        <f>SUMIFS(#REF!,#REF!,$B181,#REF!,P$1)</f>
        <v>#REF!</v>
      </c>
      <c r="Q181" s="76" t="e">
        <f>SUMIFS(#REF!,#REF!,$B181,#REF!,Q$1)</f>
        <v>#REF!</v>
      </c>
      <c r="R181" s="76" t="e">
        <f>SUMIFS(#REF!,#REF!,$B181,#REF!,R$1)</f>
        <v>#REF!</v>
      </c>
      <c r="S181" s="76" t="e">
        <f>SUMIFS(#REF!,#REF!,$B181,#REF!,S$1)</f>
        <v>#REF!</v>
      </c>
      <c r="T181" s="76" t="e">
        <f>SUMIFS(#REF!,#REF!,$B181,#REF!,T$1)</f>
        <v>#REF!</v>
      </c>
      <c r="U181" s="76" t="e">
        <f>SUMIFS(#REF!,#REF!,$B181,#REF!,U$1)</f>
        <v>#REF!</v>
      </c>
      <c r="V181" s="76" t="e">
        <f>SUMIFS(#REF!,#REF!,$B181,#REF!,V$1)</f>
        <v>#REF!</v>
      </c>
      <c r="W181" s="76" t="e">
        <f>SUMIFS(#REF!,#REF!,$B181,#REF!,W$1)</f>
        <v>#REF!</v>
      </c>
      <c r="X181" s="76" t="e">
        <f>SUMIFS(#REF!,#REF!,$B181,#REF!,X$1)</f>
        <v>#REF!</v>
      </c>
      <c r="Y181" s="76" t="e">
        <f>SUMIFS(#REF!,#REF!,$B181,#REF!,Y$1)</f>
        <v>#REF!</v>
      </c>
      <c r="Z181" s="76" t="e">
        <f>SUMIFS(#REF!,#REF!,$B181,#REF!,Z$1)</f>
        <v>#REF!</v>
      </c>
      <c r="AA181" s="76" t="e">
        <f>SUMIFS(#REF!,#REF!,$B181,#REF!,AA$1)</f>
        <v>#REF!</v>
      </c>
      <c r="AB181" s="76" t="e">
        <f>SUMIFS(#REF!,#REF!,$B181,#REF!,AB$1)</f>
        <v>#REF!</v>
      </c>
      <c r="AC181" s="76" t="e">
        <f>SUMIFS(#REF!,#REF!,$B181,#REF!,AC$1)</f>
        <v>#REF!</v>
      </c>
      <c r="AD181" s="76" t="e">
        <f>SUMIFS(#REF!,#REF!,$B181,#REF!,AD$1)</f>
        <v>#REF!</v>
      </c>
      <c r="AE181" s="76" t="e">
        <f>SUMIFS(#REF!,#REF!,$B181,#REF!,AE$1)</f>
        <v>#REF!</v>
      </c>
      <c r="AF181" s="76" t="e">
        <f>SUMIFS(#REF!,#REF!,$B181,#REF!,AF$1)</f>
        <v>#REF!</v>
      </c>
      <c r="AG181" s="76" t="e">
        <f>SUMIFS(#REF!,#REF!,$B181,#REF!,AG$1)</f>
        <v>#REF!</v>
      </c>
      <c r="AH181" s="76" t="e">
        <f>SUMIFS(#REF!,#REF!,$B181,#REF!,AH$1)</f>
        <v>#REF!</v>
      </c>
      <c r="AI181" s="82"/>
    </row>
    <row r="182" spans="2:35" ht="15" hidden="1" customHeight="1" x14ac:dyDescent="0.25">
      <c r="B182" s="84"/>
      <c r="C182" s="86"/>
      <c r="D182" s="76" t="e">
        <f>SUMIFS(#REF!,#REF!,$B182,#REF!,D$1)</f>
        <v>#REF!</v>
      </c>
      <c r="E182" s="76" t="e">
        <f>SUMIFS(#REF!,#REF!,$B182,#REF!,E$1)</f>
        <v>#REF!</v>
      </c>
      <c r="F182" s="76" t="e">
        <f>SUMIFS(#REF!,#REF!,$B182,#REF!,F$1)</f>
        <v>#REF!</v>
      </c>
      <c r="G182" s="76" t="e">
        <f>SUMIFS(#REF!,#REF!,$B182,#REF!,G$1)</f>
        <v>#REF!</v>
      </c>
      <c r="H182" s="76" t="e">
        <f>SUMIFS(#REF!,#REF!,$B182,#REF!,H$1)</f>
        <v>#REF!</v>
      </c>
      <c r="I182" s="76" t="e">
        <f>SUMIFS(#REF!,#REF!,$B182,#REF!,I$1)</f>
        <v>#REF!</v>
      </c>
      <c r="J182" s="76" t="e">
        <f>SUMIFS(#REF!,#REF!,$B182,#REF!,J$1)</f>
        <v>#REF!</v>
      </c>
      <c r="K182" s="76" t="e">
        <f>SUMIFS(#REF!,#REF!,$B182,#REF!,K$1)</f>
        <v>#REF!</v>
      </c>
      <c r="L182" s="76" t="e">
        <f>SUMIFS(#REF!,#REF!,$B182,#REF!,L$1)</f>
        <v>#REF!</v>
      </c>
      <c r="M182" s="76" t="e">
        <f>SUMIFS(#REF!,#REF!,$B182,#REF!,M$1)</f>
        <v>#REF!</v>
      </c>
      <c r="N182" s="76" t="e">
        <f>SUMIFS(#REF!,#REF!,$B182,#REF!,N$1)</f>
        <v>#REF!</v>
      </c>
      <c r="O182" s="76" t="e">
        <f>SUMIFS(#REF!,#REF!,$B182,#REF!,O$1)</f>
        <v>#REF!</v>
      </c>
      <c r="P182" s="76" t="e">
        <f>SUMIFS(#REF!,#REF!,$B182,#REF!,P$1)</f>
        <v>#REF!</v>
      </c>
      <c r="Q182" s="76" t="e">
        <f>SUMIFS(#REF!,#REF!,$B182,#REF!,Q$1)</f>
        <v>#REF!</v>
      </c>
      <c r="R182" s="76" t="e">
        <f>SUMIFS(#REF!,#REF!,$B182,#REF!,R$1)</f>
        <v>#REF!</v>
      </c>
      <c r="S182" s="76" t="e">
        <f>SUMIFS(#REF!,#REF!,$B182,#REF!,S$1)</f>
        <v>#REF!</v>
      </c>
      <c r="T182" s="76" t="e">
        <f>SUMIFS(#REF!,#REF!,$B182,#REF!,T$1)</f>
        <v>#REF!</v>
      </c>
      <c r="U182" s="76" t="e">
        <f>SUMIFS(#REF!,#REF!,$B182,#REF!,U$1)</f>
        <v>#REF!</v>
      </c>
      <c r="V182" s="76" t="e">
        <f>SUMIFS(#REF!,#REF!,$B182,#REF!,V$1)</f>
        <v>#REF!</v>
      </c>
      <c r="W182" s="76" t="e">
        <f>SUMIFS(#REF!,#REF!,$B182,#REF!,W$1)</f>
        <v>#REF!</v>
      </c>
      <c r="X182" s="76" t="e">
        <f>SUMIFS(#REF!,#REF!,$B182,#REF!,X$1)</f>
        <v>#REF!</v>
      </c>
      <c r="Y182" s="76" t="e">
        <f>SUMIFS(#REF!,#REF!,$B182,#REF!,Y$1)</f>
        <v>#REF!</v>
      </c>
      <c r="Z182" s="76" t="e">
        <f>SUMIFS(#REF!,#REF!,$B182,#REF!,Z$1)</f>
        <v>#REF!</v>
      </c>
      <c r="AA182" s="76" t="e">
        <f>SUMIFS(#REF!,#REF!,$B182,#REF!,AA$1)</f>
        <v>#REF!</v>
      </c>
      <c r="AB182" s="76" t="e">
        <f>SUMIFS(#REF!,#REF!,$B182,#REF!,AB$1)</f>
        <v>#REF!</v>
      </c>
      <c r="AC182" s="76" t="e">
        <f>SUMIFS(#REF!,#REF!,$B182,#REF!,AC$1)</f>
        <v>#REF!</v>
      </c>
      <c r="AD182" s="76" t="e">
        <f>SUMIFS(#REF!,#REF!,$B182,#REF!,AD$1)</f>
        <v>#REF!</v>
      </c>
      <c r="AE182" s="76" t="e">
        <f>SUMIFS(#REF!,#REF!,$B182,#REF!,AE$1)</f>
        <v>#REF!</v>
      </c>
      <c r="AF182" s="76" t="e">
        <f>SUMIFS(#REF!,#REF!,$B182,#REF!,AF$1)</f>
        <v>#REF!</v>
      </c>
      <c r="AG182" s="76" t="e">
        <f>SUMIFS(#REF!,#REF!,$B182,#REF!,AG$1)</f>
        <v>#REF!</v>
      </c>
      <c r="AH182" s="76" t="e">
        <f>SUMIFS(#REF!,#REF!,$B182,#REF!,AH$1)</f>
        <v>#REF!</v>
      </c>
      <c r="AI182" s="82"/>
    </row>
    <row r="183" spans="2:35" ht="15" hidden="1" customHeight="1" x14ac:dyDescent="0.25">
      <c r="B183" s="84"/>
      <c r="C183" s="86"/>
      <c r="D183" s="76" t="e">
        <f>SUMIFS(#REF!,#REF!,$B183,#REF!,D$1)</f>
        <v>#REF!</v>
      </c>
      <c r="E183" s="76" t="e">
        <f>SUMIFS(#REF!,#REF!,$B183,#REF!,E$1)</f>
        <v>#REF!</v>
      </c>
      <c r="F183" s="76" t="e">
        <f>SUMIFS(#REF!,#REF!,$B183,#REF!,F$1)</f>
        <v>#REF!</v>
      </c>
      <c r="G183" s="76" t="e">
        <f>SUMIFS(#REF!,#REF!,$B183,#REF!,G$1)</f>
        <v>#REF!</v>
      </c>
      <c r="H183" s="76" t="e">
        <f>SUMIFS(#REF!,#REF!,$B183,#REF!,H$1)</f>
        <v>#REF!</v>
      </c>
      <c r="I183" s="76" t="e">
        <f>SUMIFS(#REF!,#REF!,$B183,#REF!,I$1)</f>
        <v>#REF!</v>
      </c>
      <c r="J183" s="76" t="e">
        <f>SUMIFS(#REF!,#REF!,$B183,#REF!,J$1)</f>
        <v>#REF!</v>
      </c>
      <c r="K183" s="76" t="e">
        <f>SUMIFS(#REF!,#REF!,$B183,#REF!,K$1)</f>
        <v>#REF!</v>
      </c>
      <c r="L183" s="76" t="e">
        <f>SUMIFS(#REF!,#REF!,$B183,#REF!,L$1)</f>
        <v>#REF!</v>
      </c>
      <c r="M183" s="76" t="e">
        <f>SUMIFS(#REF!,#REF!,$B183,#REF!,M$1)</f>
        <v>#REF!</v>
      </c>
      <c r="N183" s="76" t="e">
        <f>SUMIFS(#REF!,#REF!,$B183,#REF!,N$1)</f>
        <v>#REF!</v>
      </c>
      <c r="O183" s="76" t="e">
        <f>SUMIFS(#REF!,#REF!,$B183,#REF!,O$1)</f>
        <v>#REF!</v>
      </c>
      <c r="P183" s="76" t="e">
        <f>SUMIFS(#REF!,#REF!,$B183,#REF!,P$1)</f>
        <v>#REF!</v>
      </c>
      <c r="Q183" s="76" t="e">
        <f>SUMIFS(#REF!,#REF!,$B183,#REF!,Q$1)</f>
        <v>#REF!</v>
      </c>
      <c r="R183" s="76" t="e">
        <f>SUMIFS(#REF!,#REF!,$B183,#REF!,R$1)</f>
        <v>#REF!</v>
      </c>
      <c r="S183" s="76" t="e">
        <f>SUMIFS(#REF!,#REF!,$B183,#REF!,S$1)</f>
        <v>#REF!</v>
      </c>
      <c r="T183" s="76" t="e">
        <f>SUMIFS(#REF!,#REF!,$B183,#REF!,T$1)</f>
        <v>#REF!</v>
      </c>
      <c r="U183" s="76" t="e">
        <f>SUMIFS(#REF!,#REF!,$B183,#REF!,U$1)</f>
        <v>#REF!</v>
      </c>
      <c r="V183" s="76" t="e">
        <f>SUMIFS(#REF!,#REF!,$B183,#REF!,V$1)</f>
        <v>#REF!</v>
      </c>
      <c r="W183" s="76" t="e">
        <f>SUMIFS(#REF!,#REF!,$B183,#REF!,W$1)</f>
        <v>#REF!</v>
      </c>
      <c r="X183" s="76" t="e">
        <f>SUMIFS(#REF!,#REF!,$B183,#REF!,X$1)</f>
        <v>#REF!</v>
      </c>
      <c r="Y183" s="76" t="e">
        <f>SUMIFS(#REF!,#REF!,$B183,#REF!,Y$1)</f>
        <v>#REF!</v>
      </c>
      <c r="Z183" s="76" t="e">
        <f>SUMIFS(#REF!,#REF!,$B183,#REF!,Z$1)</f>
        <v>#REF!</v>
      </c>
      <c r="AA183" s="76" t="e">
        <f>SUMIFS(#REF!,#REF!,$B183,#REF!,AA$1)</f>
        <v>#REF!</v>
      </c>
      <c r="AB183" s="76" t="e">
        <f>SUMIFS(#REF!,#REF!,$B183,#REF!,AB$1)</f>
        <v>#REF!</v>
      </c>
      <c r="AC183" s="76" t="e">
        <f>SUMIFS(#REF!,#REF!,$B183,#REF!,AC$1)</f>
        <v>#REF!</v>
      </c>
      <c r="AD183" s="76" t="e">
        <f>SUMIFS(#REF!,#REF!,$B183,#REF!,AD$1)</f>
        <v>#REF!</v>
      </c>
      <c r="AE183" s="76" t="e">
        <f>SUMIFS(#REF!,#REF!,$B183,#REF!,AE$1)</f>
        <v>#REF!</v>
      </c>
      <c r="AF183" s="76" t="e">
        <f>SUMIFS(#REF!,#REF!,$B183,#REF!,AF$1)</f>
        <v>#REF!</v>
      </c>
      <c r="AG183" s="76" t="e">
        <f>SUMIFS(#REF!,#REF!,$B183,#REF!,AG$1)</f>
        <v>#REF!</v>
      </c>
      <c r="AH183" s="76" t="e">
        <f>SUMIFS(#REF!,#REF!,$B183,#REF!,AH$1)</f>
        <v>#REF!</v>
      </c>
      <c r="AI183" s="82"/>
    </row>
    <row r="184" spans="2:35" ht="15" hidden="1" customHeight="1" x14ac:dyDescent="0.25">
      <c r="B184" s="84"/>
      <c r="C184" s="86"/>
      <c r="D184" s="76" t="e">
        <f>SUMIFS(#REF!,#REF!,$B184,#REF!,D$1)</f>
        <v>#REF!</v>
      </c>
      <c r="E184" s="76" t="e">
        <f>SUMIFS(#REF!,#REF!,$B184,#REF!,E$1)</f>
        <v>#REF!</v>
      </c>
      <c r="F184" s="76" t="e">
        <f>SUMIFS(#REF!,#REF!,$B184,#REF!,F$1)</f>
        <v>#REF!</v>
      </c>
      <c r="G184" s="76" t="e">
        <f>SUMIFS(#REF!,#REF!,$B184,#REF!,G$1)</f>
        <v>#REF!</v>
      </c>
      <c r="H184" s="76" t="e">
        <f>SUMIFS(#REF!,#REF!,$B184,#REF!,H$1)</f>
        <v>#REF!</v>
      </c>
      <c r="I184" s="76" t="e">
        <f>SUMIFS(#REF!,#REF!,$B184,#REF!,I$1)</f>
        <v>#REF!</v>
      </c>
      <c r="J184" s="76" t="e">
        <f>SUMIFS(#REF!,#REF!,$B184,#REF!,J$1)</f>
        <v>#REF!</v>
      </c>
      <c r="K184" s="76" t="e">
        <f>SUMIFS(#REF!,#REF!,$B184,#REF!,K$1)</f>
        <v>#REF!</v>
      </c>
      <c r="L184" s="76" t="e">
        <f>SUMIFS(#REF!,#REF!,$B184,#REF!,L$1)</f>
        <v>#REF!</v>
      </c>
      <c r="M184" s="76" t="e">
        <f>SUMIFS(#REF!,#REF!,$B184,#REF!,M$1)</f>
        <v>#REF!</v>
      </c>
      <c r="N184" s="76" t="e">
        <f>SUMIFS(#REF!,#REF!,$B184,#REF!,N$1)</f>
        <v>#REF!</v>
      </c>
      <c r="O184" s="76" t="e">
        <f>SUMIFS(#REF!,#REF!,$B184,#REF!,O$1)</f>
        <v>#REF!</v>
      </c>
      <c r="P184" s="76" t="e">
        <f>SUMIFS(#REF!,#REF!,$B184,#REF!,P$1)</f>
        <v>#REF!</v>
      </c>
      <c r="Q184" s="76" t="e">
        <f>SUMIFS(#REF!,#REF!,$B184,#REF!,Q$1)</f>
        <v>#REF!</v>
      </c>
      <c r="R184" s="76" t="e">
        <f>SUMIFS(#REF!,#REF!,$B184,#REF!,R$1)</f>
        <v>#REF!</v>
      </c>
      <c r="S184" s="76" t="e">
        <f>SUMIFS(#REF!,#REF!,$B184,#REF!,S$1)</f>
        <v>#REF!</v>
      </c>
      <c r="T184" s="76" t="e">
        <f>SUMIFS(#REF!,#REF!,$B184,#REF!,T$1)</f>
        <v>#REF!</v>
      </c>
      <c r="U184" s="76" t="e">
        <f>SUMIFS(#REF!,#REF!,$B184,#REF!,U$1)</f>
        <v>#REF!</v>
      </c>
      <c r="V184" s="76" t="e">
        <f>SUMIFS(#REF!,#REF!,$B184,#REF!,V$1)</f>
        <v>#REF!</v>
      </c>
      <c r="W184" s="76" t="e">
        <f>SUMIFS(#REF!,#REF!,$B184,#REF!,W$1)</f>
        <v>#REF!</v>
      </c>
      <c r="X184" s="76" t="e">
        <f>SUMIFS(#REF!,#REF!,$B184,#REF!,X$1)</f>
        <v>#REF!</v>
      </c>
      <c r="Y184" s="76" t="e">
        <f>SUMIFS(#REF!,#REF!,$B184,#REF!,Y$1)</f>
        <v>#REF!</v>
      </c>
      <c r="Z184" s="76" t="e">
        <f>SUMIFS(#REF!,#REF!,$B184,#REF!,Z$1)</f>
        <v>#REF!</v>
      </c>
      <c r="AA184" s="76" t="e">
        <f>SUMIFS(#REF!,#REF!,$B184,#REF!,AA$1)</f>
        <v>#REF!</v>
      </c>
      <c r="AB184" s="76" t="e">
        <f>SUMIFS(#REF!,#REF!,$B184,#REF!,AB$1)</f>
        <v>#REF!</v>
      </c>
      <c r="AC184" s="76" t="e">
        <f>SUMIFS(#REF!,#REF!,$B184,#REF!,AC$1)</f>
        <v>#REF!</v>
      </c>
      <c r="AD184" s="76" t="e">
        <f>SUMIFS(#REF!,#REF!,$B184,#REF!,AD$1)</f>
        <v>#REF!</v>
      </c>
      <c r="AE184" s="76" t="e">
        <f>SUMIFS(#REF!,#REF!,$B184,#REF!,AE$1)</f>
        <v>#REF!</v>
      </c>
      <c r="AF184" s="76" t="e">
        <f>SUMIFS(#REF!,#REF!,$B184,#REF!,AF$1)</f>
        <v>#REF!</v>
      </c>
      <c r="AG184" s="76" t="e">
        <f>SUMIFS(#REF!,#REF!,$B184,#REF!,AG$1)</f>
        <v>#REF!</v>
      </c>
      <c r="AH184" s="76" t="e">
        <f>SUMIFS(#REF!,#REF!,$B184,#REF!,AH$1)</f>
        <v>#REF!</v>
      </c>
      <c r="AI184" s="82"/>
    </row>
    <row r="185" spans="2:35" ht="15" hidden="1" customHeight="1" x14ac:dyDescent="0.25">
      <c r="B185" s="84"/>
      <c r="C185" s="86"/>
      <c r="D185" s="76" t="e">
        <f>SUMIFS(#REF!,#REF!,$B185,#REF!,D$1)</f>
        <v>#REF!</v>
      </c>
      <c r="E185" s="76" t="e">
        <f>SUMIFS(#REF!,#REF!,$B185,#REF!,E$1)</f>
        <v>#REF!</v>
      </c>
      <c r="F185" s="76" t="e">
        <f>SUMIFS(#REF!,#REF!,$B185,#REF!,F$1)</f>
        <v>#REF!</v>
      </c>
      <c r="G185" s="76" t="e">
        <f>SUMIFS(#REF!,#REF!,$B185,#REF!,G$1)</f>
        <v>#REF!</v>
      </c>
      <c r="H185" s="76" t="e">
        <f>SUMIFS(#REF!,#REF!,$B185,#REF!,H$1)</f>
        <v>#REF!</v>
      </c>
      <c r="I185" s="76" t="e">
        <f>SUMIFS(#REF!,#REF!,$B185,#REF!,I$1)</f>
        <v>#REF!</v>
      </c>
      <c r="J185" s="76" t="e">
        <f>SUMIFS(#REF!,#REF!,$B185,#REF!,J$1)</f>
        <v>#REF!</v>
      </c>
      <c r="K185" s="76" t="e">
        <f>SUMIFS(#REF!,#REF!,$B185,#REF!,K$1)</f>
        <v>#REF!</v>
      </c>
      <c r="L185" s="76" t="e">
        <f>SUMIFS(#REF!,#REF!,$B185,#REF!,L$1)</f>
        <v>#REF!</v>
      </c>
      <c r="M185" s="76" t="e">
        <f>SUMIFS(#REF!,#REF!,$B185,#REF!,M$1)</f>
        <v>#REF!</v>
      </c>
      <c r="N185" s="76" t="e">
        <f>SUMIFS(#REF!,#REF!,$B185,#REF!,N$1)</f>
        <v>#REF!</v>
      </c>
      <c r="O185" s="76" t="e">
        <f>SUMIFS(#REF!,#REF!,$B185,#REF!,O$1)</f>
        <v>#REF!</v>
      </c>
      <c r="P185" s="76" t="e">
        <f>SUMIFS(#REF!,#REF!,$B185,#REF!,P$1)</f>
        <v>#REF!</v>
      </c>
      <c r="Q185" s="76" t="e">
        <f>SUMIFS(#REF!,#REF!,$B185,#REF!,Q$1)</f>
        <v>#REF!</v>
      </c>
      <c r="R185" s="76" t="e">
        <f>SUMIFS(#REF!,#REF!,$B185,#REF!,R$1)</f>
        <v>#REF!</v>
      </c>
      <c r="S185" s="76" t="e">
        <f>SUMIFS(#REF!,#REF!,$B185,#REF!,S$1)</f>
        <v>#REF!</v>
      </c>
      <c r="T185" s="76" t="e">
        <f>SUMIFS(#REF!,#REF!,$B185,#REF!,T$1)</f>
        <v>#REF!</v>
      </c>
      <c r="U185" s="76" t="e">
        <f>SUMIFS(#REF!,#REF!,$B185,#REF!,U$1)</f>
        <v>#REF!</v>
      </c>
      <c r="V185" s="76" t="e">
        <f>SUMIFS(#REF!,#REF!,$B185,#REF!,V$1)</f>
        <v>#REF!</v>
      </c>
      <c r="W185" s="76" t="e">
        <f>SUMIFS(#REF!,#REF!,$B185,#REF!,W$1)</f>
        <v>#REF!</v>
      </c>
      <c r="X185" s="76" t="e">
        <f>SUMIFS(#REF!,#REF!,$B185,#REF!,X$1)</f>
        <v>#REF!</v>
      </c>
      <c r="Y185" s="76" t="e">
        <f>SUMIFS(#REF!,#REF!,$B185,#REF!,Y$1)</f>
        <v>#REF!</v>
      </c>
      <c r="Z185" s="76" t="e">
        <f>SUMIFS(#REF!,#REF!,$B185,#REF!,Z$1)</f>
        <v>#REF!</v>
      </c>
      <c r="AA185" s="76" t="e">
        <f>SUMIFS(#REF!,#REF!,$B185,#REF!,AA$1)</f>
        <v>#REF!</v>
      </c>
      <c r="AB185" s="76" t="e">
        <f>SUMIFS(#REF!,#REF!,$B185,#REF!,AB$1)</f>
        <v>#REF!</v>
      </c>
      <c r="AC185" s="76" t="e">
        <f>SUMIFS(#REF!,#REF!,$B185,#REF!,AC$1)</f>
        <v>#REF!</v>
      </c>
      <c r="AD185" s="76" t="e">
        <f>SUMIFS(#REF!,#REF!,$B185,#REF!,AD$1)</f>
        <v>#REF!</v>
      </c>
      <c r="AE185" s="76" t="e">
        <f>SUMIFS(#REF!,#REF!,$B185,#REF!,AE$1)</f>
        <v>#REF!</v>
      </c>
      <c r="AF185" s="76" t="e">
        <f>SUMIFS(#REF!,#REF!,$B185,#REF!,AF$1)</f>
        <v>#REF!</v>
      </c>
      <c r="AG185" s="76" t="e">
        <f>SUMIFS(#REF!,#REF!,$B185,#REF!,AG$1)</f>
        <v>#REF!</v>
      </c>
      <c r="AH185" s="76" t="e">
        <f>SUMIFS(#REF!,#REF!,$B185,#REF!,AH$1)</f>
        <v>#REF!</v>
      </c>
      <c r="AI185" s="82"/>
    </row>
    <row r="186" spans="2:35" ht="15" hidden="1" customHeight="1" x14ac:dyDescent="0.25">
      <c r="B186" s="84"/>
      <c r="C186" s="86"/>
      <c r="D186" s="76" t="e">
        <f>SUMIFS(#REF!,#REF!,$B186,#REF!,D$1)</f>
        <v>#REF!</v>
      </c>
      <c r="E186" s="76" t="e">
        <f>SUMIFS(#REF!,#REF!,$B186,#REF!,E$1)</f>
        <v>#REF!</v>
      </c>
      <c r="F186" s="76" t="e">
        <f>SUMIFS(#REF!,#REF!,$B186,#REF!,F$1)</f>
        <v>#REF!</v>
      </c>
      <c r="G186" s="76" t="e">
        <f>SUMIFS(#REF!,#REF!,$B186,#REF!,G$1)</f>
        <v>#REF!</v>
      </c>
      <c r="H186" s="76" t="e">
        <f>SUMIFS(#REF!,#REF!,$B186,#REF!,H$1)</f>
        <v>#REF!</v>
      </c>
      <c r="I186" s="76" t="e">
        <f>SUMIFS(#REF!,#REF!,$B186,#REF!,I$1)</f>
        <v>#REF!</v>
      </c>
      <c r="J186" s="76" t="e">
        <f>SUMIFS(#REF!,#REF!,$B186,#REF!,J$1)</f>
        <v>#REF!</v>
      </c>
      <c r="K186" s="76" t="e">
        <f>SUMIFS(#REF!,#REF!,$B186,#REF!,K$1)</f>
        <v>#REF!</v>
      </c>
      <c r="L186" s="76" t="e">
        <f>SUMIFS(#REF!,#REF!,$B186,#REF!,L$1)</f>
        <v>#REF!</v>
      </c>
      <c r="M186" s="76" t="e">
        <f>SUMIFS(#REF!,#REF!,$B186,#REF!,M$1)</f>
        <v>#REF!</v>
      </c>
      <c r="N186" s="76" t="e">
        <f>SUMIFS(#REF!,#REF!,$B186,#REF!,N$1)</f>
        <v>#REF!</v>
      </c>
      <c r="O186" s="76" t="e">
        <f>SUMIFS(#REF!,#REF!,$B186,#REF!,O$1)</f>
        <v>#REF!</v>
      </c>
      <c r="P186" s="76" t="e">
        <f>SUMIFS(#REF!,#REF!,$B186,#REF!,P$1)</f>
        <v>#REF!</v>
      </c>
      <c r="Q186" s="76" t="e">
        <f>SUMIFS(#REF!,#REF!,$B186,#REF!,Q$1)</f>
        <v>#REF!</v>
      </c>
      <c r="R186" s="76" t="e">
        <f>SUMIFS(#REF!,#REF!,$B186,#REF!,R$1)</f>
        <v>#REF!</v>
      </c>
      <c r="S186" s="76" t="e">
        <f>SUMIFS(#REF!,#REF!,$B186,#REF!,S$1)</f>
        <v>#REF!</v>
      </c>
      <c r="T186" s="76" t="e">
        <f>SUMIFS(#REF!,#REF!,$B186,#REF!,T$1)</f>
        <v>#REF!</v>
      </c>
      <c r="U186" s="76" t="e">
        <f>SUMIFS(#REF!,#REF!,$B186,#REF!,U$1)</f>
        <v>#REF!</v>
      </c>
      <c r="V186" s="76" t="e">
        <f>SUMIFS(#REF!,#REF!,$B186,#REF!,V$1)</f>
        <v>#REF!</v>
      </c>
      <c r="W186" s="76" t="e">
        <f>SUMIFS(#REF!,#REF!,$B186,#REF!,W$1)</f>
        <v>#REF!</v>
      </c>
      <c r="X186" s="76" t="e">
        <f>SUMIFS(#REF!,#REF!,$B186,#REF!,X$1)</f>
        <v>#REF!</v>
      </c>
      <c r="Y186" s="76" t="e">
        <f>SUMIFS(#REF!,#REF!,$B186,#REF!,Y$1)</f>
        <v>#REF!</v>
      </c>
      <c r="Z186" s="76" t="e">
        <f>SUMIFS(#REF!,#REF!,$B186,#REF!,Z$1)</f>
        <v>#REF!</v>
      </c>
      <c r="AA186" s="76" t="e">
        <f>SUMIFS(#REF!,#REF!,$B186,#REF!,AA$1)</f>
        <v>#REF!</v>
      </c>
      <c r="AB186" s="76" t="e">
        <f>SUMIFS(#REF!,#REF!,$B186,#REF!,AB$1)</f>
        <v>#REF!</v>
      </c>
      <c r="AC186" s="76" t="e">
        <f>SUMIFS(#REF!,#REF!,$B186,#REF!,AC$1)</f>
        <v>#REF!</v>
      </c>
      <c r="AD186" s="76" t="e">
        <f>SUMIFS(#REF!,#REF!,$B186,#REF!,AD$1)</f>
        <v>#REF!</v>
      </c>
      <c r="AE186" s="76" t="e">
        <f>SUMIFS(#REF!,#REF!,$B186,#REF!,AE$1)</f>
        <v>#REF!</v>
      </c>
      <c r="AF186" s="76" t="e">
        <f>SUMIFS(#REF!,#REF!,$B186,#REF!,AF$1)</f>
        <v>#REF!</v>
      </c>
      <c r="AG186" s="76" t="e">
        <f>SUMIFS(#REF!,#REF!,$B186,#REF!,AG$1)</f>
        <v>#REF!</v>
      </c>
      <c r="AH186" s="76" t="e">
        <f>SUMIFS(#REF!,#REF!,$B186,#REF!,AH$1)</f>
        <v>#REF!</v>
      </c>
      <c r="AI186" s="82"/>
    </row>
    <row r="187" spans="2:35" ht="15" hidden="1" customHeight="1" x14ac:dyDescent="0.25">
      <c r="B187" s="84"/>
      <c r="C187" s="83"/>
      <c r="D187" s="76" t="e">
        <f>SUMIFS(#REF!,#REF!,$B187,#REF!,D$1)</f>
        <v>#REF!</v>
      </c>
      <c r="E187" s="76" t="e">
        <f>SUMIFS(#REF!,#REF!,$B187,#REF!,E$1)</f>
        <v>#REF!</v>
      </c>
      <c r="F187" s="76" t="e">
        <f>SUMIFS(#REF!,#REF!,$B187,#REF!,F$1)</f>
        <v>#REF!</v>
      </c>
      <c r="G187" s="76" t="e">
        <f>SUMIFS(#REF!,#REF!,$B187,#REF!,G$1)</f>
        <v>#REF!</v>
      </c>
      <c r="H187" s="76" t="e">
        <f>SUMIFS(#REF!,#REF!,$B187,#REF!,H$1)</f>
        <v>#REF!</v>
      </c>
      <c r="I187" s="76" t="e">
        <f>SUMIFS(#REF!,#REF!,$B187,#REF!,I$1)</f>
        <v>#REF!</v>
      </c>
      <c r="J187" s="76" t="e">
        <f>SUMIFS(#REF!,#REF!,$B187,#REF!,J$1)</f>
        <v>#REF!</v>
      </c>
      <c r="K187" s="76" t="e">
        <f>SUMIFS(#REF!,#REF!,$B187,#REF!,K$1)</f>
        <v>#REF!</v>
      </c>
      <c r="L187" s="76" t="e">
        <f>SUMIFS(#REF!,#REF!,$B187,#REF!,L$1)</f>
        <v>#REF!</v>
      </c>
      <c r="M187" s="76" t="e">
        <f>SUMIFS(#REF!,#REF!,$B187,#REF!,M$1)</f>
        <v>#REF!</v>
      </c>
      <c r="N187" s="76" t="e">
        <f>SUMIFS(#REF!,#REF!,$B187,#REF!,N$1)</f>
        <v>#REF!</v>
      </c>
      <c r="O187" s="76" t="e">
        <f>SUMIFS(#REF!,#REF!,$B187,#REF!,O$1)</f>
        <v>#REF!</v>
      </c>
      <c r="P187" s="76" t="e">
        <f>SUMIFS(#REF!,#REF!,$B187,#REF!,P$1)</f>
        <v>#REF!</v>
      </c>
      <c r="Q187" s="76" t="e">
        <f>SUMIFS(#REF!,#REF!,$B187,#REF!,Q$1)</f>
        <v>#REF!</v>
      </c>
      <c r="R187" s="76" t="e">
        <f>SUMIFS(#REF!,#REF!,$B187,#REF!,R$1)</f>
        <v>#REF!</v>
      </c>
      <c r="S187" s="76" t="e">
        <f>SUMIFS(#REF!,#REF!,$B187,#REF!,S$1)</f>
        <v>#REF!</v>
      </c>
      <c r="T187" s="76" t="e">
        <f>SUMIFS(#REF!,#REF!,$B187,#REF!,T$1)</f>
        <v>#REF!</v>
      </c>
      <c r="U187" s="76" t="e">
        <f>SUMIFS(#REF!,#REF!,$B187,#REF!,U$1)</f>
        <v>#REF!</v>
      </c>
      <c r="V187" s="76" t="e">
        <f>SUMIFS(#REF!,#REF!,$B187,#REF!,V$1)</f>
        <v>#REF!</v>
      </c>
      <c r="W187" s="76" t="e">
        <f>SUMIFS(#REF!,#REF!,$B187,#REF!,W$1)</f>
        <v>#REF!</v>
      </c>
      <c r="X187" s="76" t="e">
        <f>SUMIFS(#REF!,#REF!,$B187,#REF!,X$1)</f>
        <v>#REF!</v>
      </c>
      <c r="Y187" s="76" t="e">
        <f>SUMIFS(#REF!,#REF!,$B187,#REF!,Y$1)</f>
        <v>#REF!</v>
      </c>
      <c r="Z187" s="76" t="e">
        <f>SUMIFS(#REF!,#REF!,$B187,#REF!,Z$1)</f>
        <v>#REF!</v>
      </c>
      <c r="AA187" s="76" t="e">
        <f>SUMIFS(#REF!,#REF!,$B187,#REF!,AA$1)</f>
        <v>#REF!</v>
      </c>
      <c r="AB187" s="76" t="e">
        <f>SUMIFS(#REF!,#REF!,$B187,#REF!,AB$1)</f>
        <v>#REF!</v>
      </c>
      <c r="AC187" s="76" t="e">
        <f>SUMIFS(#REF!,#REF!,$B187,#REF!,AC$1)</f>
        <v>#REF!</v>
      </c>
      <c r="AD187" s="76" t="e">
        <f>SUMIFS(#REF!,#REF!,$B187,#REF!,AD$1)</f>
        <v>#REF!</v>
      </c>
      <c r="AE187" s="76" t="e">
        <f>SUMIFS(#REF!,#REF!,$B187,#REF!,AE$1)</f>
        <v>#REF!</v>
      </c>
      <c r="AF187" s="76" t="e">
        <f>SUMIFS(#REF!,#REF!,$B187,#REF!,AF$1)</f>
        <v>#REF!</v>
      </c>
      <c r="AG187" s="76" t="e">
        <f>SUMIFS(#REF!,#REF!,$B187,#REF!,AG$1)</f>
        <v>#REF!</v>
      </c>
      <c r="AH187" s="76" t="e">
        <f>SUMIFS(#REF!,#REF!,$B187,#REF!,AH$1)</f>
        <v>#REF!</v>
      </c>
      <c r="AI187" s="82"/>
    </row>
    <row r="188" spans="2:35" ht="15" hidden="1" customHeight="1" x14ac:dyDescent="0.25">
      <c r="B188" s="84"/>
      <c r="C188" s="83"/>
      <c r="D188" s="76" t="e">
        <f>SUMIFS(#REF!,#REF!,$B188,#REF!,D$1)</f>
        <v>#REF!</v>
      </c>
      <c r="E188" s="76" t="e">
        <f>SUMIFS(#REF!,#REF!,$B188,#REF!,E$1)</f>
        <v>#REF!</v>
      </c>
      <c r="F188" s="76" t="e">
        <f>SUMIFS(#REF!,#REF!,$B188,#REF!,F$1)</f>
        <v>#REF!</v>
      </c>
      <c r="G188" s="76" t="e">
        <f>SUMIFS(#REF!,#REF!,$B188,#REF!,G$1)</f>
        <v>#REF!</v>
      </c>
      <c r="H188" s="76" t="e">
        <f>SUMIFS(#REF!,#REF!,$B188,#REF!,H$1)</f>
        <v>#REF!</v>
      </c>
      <c r="I188" s="76" t="e">
        <f>SUMIFS(#REF!,#REF!,$B188,#REF!,I$1)</f>
        <v>#REF!</v>
      </c>
      <c r="J188" s="76" t="e">
        <f>SUMIFS(#REF!,#REF!,$B188,#REF!,J$1)</f>
        <v>#REF!</v>
      </c>
      <c r="K188" s="76" t="e">
        <f>SUMIFS(#REF!,#REF!,$B188,#REF!,K$1)</f>
        <v>#REF!</v>
      </c>
      <c r="L188" s="76" t="e">
        <f>SUMIFS(#REF!,#REF!,$B188,#REF!,L$1)</f>
        <v>#REF!</v>
      </c>
      <c r="M188" s="76" t="e">
        <f>SUMIFS(#REF!,#REF!,$B188,#REF!,M$1)</f>
        <v>#REF!</v>
      </c>
      <c r="N188" s="76" t="e">
        <f>SUMIFS(#REF!,#REF!,$B188,#REF!,N$1)</f>
        <v>#REF!</v>
      </c>
      <c r="O188" s="76" t="e">
        <f>SUMIFS(#REF!,#REF!,$B188,#REF!,O$1)</f>
        <v>#REF!</v>
      </c>
      <c r="P188" s="76" t="e">
        <f>SUMIFS(#REF!,#REF!,$B188,#REF!,P$1)</f>
        <v>#REF!</v>
      </c>
      <c r="Q188" s="76" t="e">
        <f>SUMIFS(#REF!,#REF!,$B188,#REF!,Q$1)</f>
        <v>#REF!</v>
      </c>
      <c r="R188" s="76" t="e">
        <f>SUMIFS(#REF!,#REF!,$B188,#REF!,R$1)</f>
        <v>#REF!</v>
      </c>
      <c r="S188" s="76" t="e">
        <f>SUMIFS(#REF!,#REF!,$B188,#REF!,S$1)</f>
        <v>#REF!</v>
      </c>
      <c r="T188" s="76" t="e">
        <f>SUMIFS(#REF!,#REF!,$B188,#REF!,T$1)</f>
        <v>#REF!</v>
      </c>
      <c r="U188" s="76" t="e">
        <f>SUMIFS(#REF!,#REF!,$B188,#REF!,U$1)</f>
        <v>#REF!</v>
      </c>
      <c r="V188" s="76" t="e">
        <f>SUMIFS(#REF!,#REF!,$B188,#REF!,V$1)</f>
        <v>#REF!</v>
      </c>
      <c r="W188" s="76" t="e">
        <f>SUMIFS(#REF!,#REF!,$B188,#REF!,W$1)</f>
        <v>#REF!</v>
      </c>
      <c r="X188" s="76" t="e">
        <f>SUMIFS(#REF!,#REF!,$B188,#REF!,X$1)</f>
        <v>#REF!</v>
      </c>
      <c r="Y188" s="76" t="e">
        <f>SUMIFS(#REF!,#REF!,$B188,#REF!,Y$1)</f>
        <v>#REF!</v>
      </c>
      <c r="Z188" s="76" t="e">
        <f>SUMIFS(#REF!,#REF!,$B188,#REF!,Z$1)</f>
        <v>#REF!</v>
      </c>
      <c r="AA188" s="76" t="e">
        <f>SUMIFS(#REF!,#REF!,$B188,#REF!,AA$1)</f>
        <v>#REF!</v>
      </c>
      <c r="AB188" s="76" t="e">
        <f>SUMIFS(#REF!,#REF!,$B188,#REF!,AB$1)</f>
        <v>#REF!</v>
      </c>
      <c r="AC188" s="76" t="e">
        <f>SUMIFS(#REF!,#REF!,$B188,#REF!,AC$1)</f>
        <v>#REF!</v>
      </c>
      <c r="AD188" s="76" t="e">
        <f>SUMIFS(#REF!,#REF!,$B188,#REF!,AD$1)</f>
        <v>#REF!</v>
      </c>
      <c r="AE188" s="76" t="e">
        <f>SUMIFS(#REF!,#REF!,$B188,#REF!,AE$1)</f>
        <v>#REF!</v>
      </c>
      <c r="AF188" s="76" t="e">
        <f>SUMIFS(#REF!,#REF!,$B188,#REF!,AF$1)</f>
        <v>#REF!</v>
      </c>
      <c r="AG188" s="76" t="e">
        <f>SUMIFS(#REF!,#REF!,$B188,#REF!,AG$1)</f>
        <v>#REF!</v>
      </c>
      <c r="AH188" s="76" t="e">
        <f>SUMIFS(#REF!,#REF!,$B188,#REF!,AH$1)</f>
        <v>#REF!</v>
      </c>
      <c r="AI188" s="82"/>
    </row>
    <row r="189" spans="2:35" ht="15" hidden="1" customHeight="1" x14ac:dyDescent="0.25">
      <c r="B189" s="84"/>
      <c r="C189" s="83"/>
      <c r="D189" s="76" t="e">
        <f>SUMIFS(#REF!,#REF!,$B189,#REF!,D$1)</f>
        <v>#REF!</v>
      </c>
      <c r="E189" s="76" t="e">
        <f>SUMIFS(#REF!,#REF!,$B189,#REF!,E$1)</f>
        <v>#REF!</v>
      </c>
      <c r="F189" s="76" t="e">
        <f>SUMIFS(#REF!,#REF!,$B189,#REF!,F$1)</f>
        <v>#REF!</v>
      </c>
      <c r="G189" s="76" t="e">
        <f>SUMIFS(#REF!,#REF!,$B189,#REF!,G$1)</f>
        <v>#REF!</v>
      </c>
      <c r="H189" s="76" t="e">
        <f>SUMIFS(#REF!,#REF!,$B189,#REF!,H$1)</f>
        <v>#REF!</v>
      </c>
      <c r="I189" s="76" t="e">
        <f>SUMIFS(#REF!,#REF!,$B189,#REF!,I$1)</f>
        <v>#REF!</v>
      </c>
      <c r="J189" s="76" t="e">
        <f>SUMIFS(#REF!,#REF!,$B189,#REF!,J$1)</f>
        <v>#REF!</v>
      </c>
      <c r="K189" s="76" t="e">
        <f>SUMIFS(#REF!,#REF!,$B189,#REF!,K$1)</f>
        <v>#REF!</v>
      </c>
      <c r="L189" s="76" t="e">
        <f>SUMIFS(#REF!,#REF!,$B189,#REF!,L$1)</f>
        <v>#REF!</v>
      </c>
      <c r="M189" s="76" t="e">
        <f>SUMIFS(#REF!,#REF!,$B189,#REF!,M$1)</f>
        <v>#REF!</v>
      </c>
      <c r="N189" s="76" t="e">
        <f>SUMIFS(#REF!,#REF!,$B189,#REF!,N$1)</f>
        <v>#REF!</v>
      </c>
      <c r="O189" s="76" t="e">
        <f>SUMIFS(#REF!,#REF!,$B189,#REF!,O$1)</f>
        <v>#REF!</v>
      </c>
      <c r="P189" s="76" t="e">
        <f>SUMIFS(#REF!,#REF!,$B189,#REF!,P$1)</f>
        <v>#REF!</v>
      </c>
      <c r="Q189" s="76" t="e">
        <f>SUMIFS(#REF!,#REF!,$B189,#REF!,Q$1)</f>
        <v>#REF!</v>
      </c>
      <c r="R189" s="76" t="e">
        <f>SUMIFS(#REF!,#REF!,$B189,#REF!,R$1)</f>
        <v>#REF!</v>
      </c>
      <c r="S189" s="76" t="e">
        <f>SUMIFS(#REF!,#REF!,$B189,#REF!,S$1)</f>
        <v>#REF!</v>
      </c>
      <c r="T189" s="76" t="e">
        <f>SUMIFS(#REF!,#REF!,$B189,#REF!,T$1)</f>
        <v>#REF!</v>
      </c>
      <c r="U189" s="76" t="e">
        <f>SUMIFS(#REF!,#REF!,$B189,#REF!,U$1)</f>
        <v>#REF!</v>
      </c>
      <c r="V189" s="76" t="e">
        <f>SUMIFS(#REF!,#REF!,$B189,#REF!,V$1)</f>
        <v>#REF!</v>
      </c>
      <c r="W189" s="76" t="e">
        <f>SUMIFS(#REF!,#REF!,$B189,#REF!,W$1)</f>
        <v>#REF!</v>
      </c>
      <c r="X189" s="76" t="e">
        <f>SUMIFS(#REF!,#REF!,$B189,#REF!,X$1)</f>
        <v>#REF!</v>
      </c>
      <c r="Y189" s="76" t="e">
        <f>SUMIFS(#REF!,#REF!,$B189,#REF!,Y$1)</f>
        <v>#REF!</v>
      </c>
      <c r="Z189" s="76" t="e">
        <f>SUMIFS(#REF!,#REF!,$B189,#REF!,Z$1)</f>
        <v>#REF!</v>
      </c>
      <c r="AA189" s="76" t="e">
        <f>SUMIFS(#REF!,#REF!,$B189,#REF!,AA$1)</f>
        <v>#REF!</v>
      </c>
      <c r="AB189" s="76" t="e">
        <f>SUMIFS(#REF!,#REF!,$B189,#REF!,AB$1)</f>
        <v>#REF!</v>
      </c>
      <c r="AC189" s="76" t="e">
        <f>SUMIFS(#REF!,#REF!,$B189,#REF!,AC$1)</f>
        <v>#REF!</v>
      </c>
      <c r="AD189" s="76" t="e">
        <f>SUMIFS(#REF!,#REF!,$B189,#REF!,AD$1)</f>
        <v>#REF!</v>
      </c>
      <c r="AE189" s="76" t="e">
        <f>SUMIFS(#REF!,#REF!,$B189,#REF!,AE$1)</f>
        <v>#REF!</v>
      </c>
      <c r="AF189" s="76" t="e">
        <f>SUMIFS(#REF!,#REF!,$B189,#REF!,AF$1)</f>
        <v>#REF!</v>
      </c>
      <c r="AG189" s="76" t="e">
        <f>SUMIFS(#REF!,#REF!,$B189,#REF!,AG$1)</f>
        <v>#REF!</v>
      </c>
      <c r="AH189" s="76" t="e">
        <f>SUMIFS(#REF!,#REF!,$B189,#REF!,AH$1)</f>
        <v>#REF!</v>
      </c>
      <c r="AI189" s="82"/>
    </row>
    <row r="190" spans="2:35" ht="15" hidden="1" customHeight="1" x14ac:dyDescent="0.25">
      <c r="B190" s="84"/>
      <c r="C190" s="83"/>
      <c r="D190" s="76" t="e">
        <f>SUMIFS(#REF!,#REF!,$B190,#REF!,D$1)</f>
        <v>#REF!</v>
      </c>
      <c r="E190" s="76" t="e">
        <f>SUMIFS(#REF!,#REF!,$B190,#REF!,E$1)</f>
        <v>#REF!</v>
      </c>
      <c r="F190" s="76" t="e">
        <f>SUMIFS(#REF!,#REF!,$B190,#REF!,F$1)</f>
        <v>#REF!</v>
      </c>
      <c r="G190" s="76" t="e">
        <f>SUMIFS(#REF!,#REF!,$B190,#REF!,G$1)</f>
        <v>#REF!</v>
      </c>
      <c r="H190" s="76" t="e">
        <f>SUMIFS(#REF!,#REF!,$B190,#REF!,H$1)</f>
        <v>#REF!</v>
      </c>
      <c r="I190" s="76" t="e">
        <f>SUMIFS(#REF!,#REF!,$B190,#REF!,I$1)</f>
        <v>#REF!</v>
      </c>
      <c r="J190" s="76" t="e">
        <f>SUMIFS(#REF!,#REF!,$B190,#REF!,J$1)</f>
        <v>#REF!</v>
      </c>
      <c r="K190" s="76" t="e">
        <f>SUMIFS(#REF!,#REF!,$B190,#REF!,K$1)</f>
        <v>#REF!</v>
      </c>
      <c r="L190" s="76" t="e">
        <f>SUMIFS(#REF!,#REF!,$B190,#REF!,L$1)</f>
        <v>#REF!</v>
      </c>
      <c r="M190" s="76" t="e">
        <f>SUMIFS(#REF!,#REF!,$B190,#REF!,M$1)</f>
        <v>#REF!</v>
      </c>
      <c r="N190" s="76" t="e">
        <f>SUMIFS(#REF!,#REF!,$B190,#REF!,N$1)</f>
        <v>#REF!</v>
      </c>
      <c r="O190" s="76" t="e">
        <f>SUMIFS(#REF!,#REF!,$B190,#REF!,O$1)</f>
        <v>#REF!</v>
      </c>
      <c r="P190" s="76" t="e">
        <f>SUMIFS(#REF!,#REF!,$B190,#REF!,P$1)</f>
        <v>#REF!</v>
      </c>
      <c r="Q190" s="76" t="e">
        <f>SUMIFS(#REF!,#REF!,$B190,#REF!,Q$1)</f>
        <v>#REF!</v>
      </c>
      <c r="R190" s="76" t="e">
        <f>SUMIFS(#REF!,#REF!,$B190,#REF!,R$1)</f>
        <v>#REF!</v>
      </c>
      <c r="S190" s="76" t="e">
        <f>SUMIFS(#REF!,#REF!,$B190,#REF!,S$1)</f>
        <v>#REF!</v>
      </c>
      <c r="T190" s="76" t="e">
        <f>SUMIFS(#REF!,#REF!,$B190,#REF!,T$1)</f>
        <v>#REF!</v>
      </c>
      <c r="U190" s="76" t="e">
        <f>SUMIFS(#REF!,#REF!,$B190,#REF!,U$1)</f>
        <v>#REF!</v>
      </c>
      <c r="V190" s="76" t="e">
        <f>SUMIFS(#REF!,#REF!,$B190,#REF!,V$1)</f>
        <v>#REF!</v>
      </c>
      <c r="W190" s="76" t="e">
        <f>SUMIFS(#REF!,#REF!,$B190,#REF!,W$1)</f>
        <v>#REF!</v>
      </c>
      <c r="X190" s="76" t="e">
        <f>SUMIFS(#REF!,#REF!,$B190,#REF!,X$1)</f>
        <v>#REF!</v>
      </c>
      <c r="Y190" s="76" t="e">
        <f>SUMIFS(#REF!,#REF!,$B190,#REF!,Y$1)</f>
        <v>#REF!</v>
      </c>
      <c r="Z190" s="76" t="e">
        <f>SUMIFS(#REF!,#REF!,$B190,#REF!,Z$1)</f>
        <v>#REF!</v>
      </c>
      <c r="AA190" s="76" t="e">
        <f>SUMIFS(#REF!,#REF!,$B190,#REF!,AA$1)</f>
        <v>#REF!</v>
      </c>
      <c r="AB190" s="76" t="e">
        <f>SUMIFS(#REF!,#REF!,$B190,#REF!,AB$1)</f>
        <v>#REF!</v>
      </c>
      <c r="AC190" s="76" t="e">
        <f>SUMIFS(#REF!,#REF!,$B190,#REF!,AC$1)</f>
        <v>#REF!</v>
      </c>
      <c r="AD190" s="76" t="e">
        <f>SUMIFS(#REF!,#REF!,$B190,#REF!,AD$1)</f>
        <v>#REF!</v>
      </c>
      <c r="AE190" s="76" t="e">
        <f>SUMIFS(#REF!,#REF!,$B190,#REF!,AE$1)</f>
        <v>#REF!</v>
      </c>
      <c r="AF190" s="76" t="e">
        <f>SUMIFS(#REF!,#REF!,$B190,#REF!,AF$1)</f>
        <v>#REF!</v>
      </c>
      <c r="AG190" s="76" t="e">
        <f>SUMIFS(#REF!,#REF!,$B190,#REF!,AG$1)</f>
        <v>#REF!</v>
      </c>
      <c r="AH190" s="76" t="e">
        <f>SUMIFS(#REF!,#REF!,$B190,#REF!,AH$1)</f>
        <v>#REF!</v>
      </c>
      <c r="AI190" s="82"/>
    </row>
    <row r="191" spans="2:35" ht="15" hidden="1" customHeight="1" x14ac:dyDescent="0.25">
      <c r="B191" s="84"/>
      <c r="C191" s="83"/>
      <c r="D191" s="76" t="e">
        <f>SUMIFS(#REF!,#REF!,$B191,#REF!,D$1)</f>
        <v>#REF!</v>
      </c>
      <c r="E191" s="76" t="e">
        <f>SUMIFS(#REF!,#REF!,$B191,#REF!,E$1)</f>
        <v>#REF!</v>
      </c>
      <c r="F191" s="76" t="e">
        <f>SUMIFS(#REF!,#REF!,$B191,#REF!,F$1)</f>
        <v>#REF!</v>
      </c>
      <c r="G191" s="76" t="e">
        <f>SUMIFS(#REF!,#REF!,$B191,#REF!,G$1)</f>
        <v>#REF!</v>
      </c>
      <c r="H191" s="76" t="e">
        <f>SUMIFS(#REF!,#REF!,$B191,#REF!,H$1)</f>
        <v>#REF!</v>
      </c>
      <c r="I191" s="76" t="e">
        <f>SUMIFS(#REF!,#REF!,$B191,#REF!,I$1)</f>
        <v>#REF!</v>
      </c>
      <c r="J191" s="76" t="e">
        <f>SUMIFS(#REF!,#REF!,$B191,#REF!,J$1)</f>
        <v>#REF!</v>
      </c>
      <c r="K191" s="76" t="e">
        <f>SUMIFS(#REF!,#REF!,$B191,#REF!,K$1)</f>
        <v>#REF!</v>
      </c>
      <c r="L191" s="76" t="e">
        <f>SUMIFS(#REF!,#REF!,$B191,#REF!,L$1)</f>
        <v>#REF!</v>
      </c>
      <c r="M191" s="76" t="e">
        <f>SUMIFS(#REF!,#REF!,$B191,#REF!,M$1)</f>
        <v>#REF!</v>
      </c>
      <c r="N191" s="76" t="e">
        <f>SUMIFS(#REF!,#REF!,$B191,#REF!,N$1)</f>
        <v>#REF!</v>
      </c>
      <c r="O191" s="76" t="e">
        <f>SUMIFS(#REF!,#REF!,$B191,#REF!,O$1)</f>
        <v>#REF!</v>
      </c>
      <c r="P191" s="76" t="e">
        <f>SUMIFS(#REF!,#REF!,$B191,#REF!,P$1)</f>
        <v>#REF!</v>
      </c>
      <c r="Q191" s="76" t="e">
        <f>SUMIFS(#REF!,#REF!,$B191,#REF!,Q$1)</f>
        <v>#REF!</v>
      </c>
      <c r="R191" s="76" t="e">
        <f>SUMIFS(#REF!,#REF!,$B191,#REF!,R$1)</f>
        <v>#REF!</v>
      </c>
      <c r="S191" s="76" t="e">
        <f>SUMIFS(#REF!,#REF!,$B191,#REF!,S$1)</f>
        <v>#REF!</v>
      </c>
      <c r="T191" s="76" t="e">
        <f>SUMIFS(#REF!,#REF!,$B191,#REF!,T$1)</f>
        <v>#REF!</v>
      </c>
      <c r="U191" s="76" t="e">
        <f>SUMIFS(#REF!,#REF!,$B191,#REF!,U$1)</f>
        <v>#REF!</v>
      </c>
      <c r="V191" s="76" t="e">
        <f>SUMIFS(#REF!,#REF!,$B191,#REF!,V$1)</f>
        <v>#REF!</v>
      </c>
      <c r="W191" s="76" t="e">
        <f>SUMIFS(#REF!,#REF!,$B191,#REF!,W$1)</f>
        <v>#REF!</v>
      </c>
      <c r="X191" s="76" t="e">
        <f>SUMIFS(#REF!,#REF!,$B191,#REF!,X$1)</f>
        <v>#REF!</v>
      </c>
      <c r="Y191" s="76" t="e">
        <f>SUMIFS(#REF!,#REF!,$B191,#REF!,Y$1)</f>
        <v>#REF!</v>
      </c>
      <c r="Z191" s="76" t="e">
        <f>SUMIFS(#REF!,#REF!,$B191,#REF!,Z$1)</f>
        <v>#REF!</v>
      </c>
      <c r="AA191" s="76" t="e">
        <f>SUMIFS(#REF!,#REF!,$B191,#REF!,AA$1)</f>
        <v>#REF!</v>
      </c>
      <c r="AB191" s="76" t="e">
        <f>SUMIFS(#REF!,#REF!,$B191,#REF!,AB$1)</f>
        <v>#REF!</v>
      </c>
      <c r="AC191" s="76" t="e">
        <f>SUMIFS(#REF!,#REF!,$B191,#REF!,AC$1)</f>
        <v>#REF!</v>
      </c>
      <c r="AD191" s="76" t="e">
        <f>SUMIFS(#REF!,#REF!,$B191,#REF!,AD$1)</f>
        <v>#REF!</v>
      </c>
      <c r="AE191" s="76" t="e">
        <f>SUMIFS(#REF!,#REF!,$B191,#REF!,AE$1)</f>
        <v>#REF!</v>
      </c>
      <c r="AF191" s="76" t="e">
        <f>SUMIFS(#REF!,#REF!,$B191,#REF!,AF$1)</f>
        <v>#REF!</v>
      </c>
      <c r="AG191" s="76" t="e">
        <f>SUMIFS(#REF!,#REF!,$B191,#REF!,AG$1)</f>
        <v>#REF!</v>
      </c>
      <c r="AH191" s="76" t="e">
        <f>SUMIFS(#REF!,#REF!,$B191,#REF!,AH$1)</f>
        <v>#REF!</v>
      </c>
      <c r="AI191" s="82"/>
    </row>
    <row r="192" spans="2:35" ht="15" hidden="1" customHeight="1" x14ac:dyDescent="0.25">
      <c r="B192" s="84"/>
      <c r="C192" s="83"/>
      <c r="D192" s="76" t="e">
        <f>SUMIFS(#REF!,#REF!,$B192,#REF!,D$1)</f>
        <v>#REF!</v>
      </c>
      <c r="E192" s="76" t="e">
        <f>SUMIFS(#REF!,#REF!,$B192,#REF!,E$1)</f>
        <v>#REF!</v>
      </c>
      <c r="F192" s="76" t="e">
        <f>SUMIFS(#REF!,#REF!,$B192,#REF!,F$1)</f>
        <v>#REF!</v>
      </c>
      <c r="G192" s="76" t="e">
        <f>SUMIFS(#REF!,#REF!,$B192,#REF!,G$1)</f>
        <v>#REF!</v>
      </c>
      <c r="H192" s="76" t="e">
        <f>SUMIFS(#REF!,#REF!,$B192,#REF!,H$1)</f>
        <v>#REF!</v>
      </c>
      <c r="I192" s="76" t="e">
        <f>SUMIFS(#REF!,#REF!,$B192,#REF!,I$1)</f>
        <v>#REF!</v>
      </c>
      <c r="J192" s="76" t="e">
        <f>SUMIFS(#REF!,#REF!,$B192,#REF!,J$1)</f>
        <v>#REF!</v>
      </c>
      <c r="K192" s="76" t="e">
        <f>SUMIFS(#REF!,#REF!,$B192,#REF!,K$1)</f>
        <v>#REF!</v>
      </c>
      <c r="L192" s="76" t="e">
        <f>SUMIFS(#REF!,#REF!,$B192,#REF!,L$1)</f>
        <v>#REF!</v>
      </c>
      <c r="M192" s="76" t="e">
        <f>SUMIFS(#REF!,#REF!,$B192,#REF!,M$1)</f>
        <v>#REF!</v>
      </c>
      <c r="N192" s="76" t="e">
        <f>SUMIFS(#REF!,#REF!,$B192,#REF!,N$1)</f>
        <v>#REF!</v>
      </c>
      <c r="O192" s="76" t="e">
        <f>SUMIFS(#REF!,#REF!,$B192,#REF!,O$1)</f>
        <v>#REF!</v>
      </c>
      <c r="P192" s="76" t="e">
        <f>SUMIFS(#REF!,#REF!,$B192,#REF!,P$1)</f>
        <v>#REF!</v>
      </c>
      <c r="Q192" s="76" t="e">
        <f>SUMIFS(#REF!,#REF!,$B192,#REF!,Q$1)</f>
        <v>#REF!</v>
      </c>
      <c r="R192" s="76" t="e">
        <f>SUMIFS(#REF!,#REF!,$B192,#REF!,R$1)</f>
        <v>#REF!</v>
      </c>
      <c r="S192" s="76" t="e">
        <f>SUMIFS(#REF!,#REF!,$B192,#REF!,S$1)</f>
        <v>#REF!</v>
      </c>
      <c r="T192" s="76" t="e">
        <f>SUMIFS(#REF!,#REF!,$B192,#REF!,T$1)</f>
        <v>#REF!</v>
      </c>
      <c r="U192" s="76" t="e">
        <f>SUMIFS(#REF!,#REF!,$B192,#REF!,U$1)</f>
        <v>#REF!</v>
      </c>
      <c r="V192" s="76" t="e">
        <f>SUMIFS(#REF!,#REF!,$B192,#REF!,V$1)</f>
        <v>#REF!</v>
      </c>
      <c r="W192" s="76" t="e">
        <f>SUMIFS(#REF!,#REF!,$B192,#REF!,W$1)</f>
        <v>#REF!</v>
      </c>
      <c r="X192" s="76" t="e">
        <f>SUMIFS(#REF!,#REF!,$B192,#REF!,X$1)</f>
        <v>#REF!</v>
      </c>
      <c r="Y192" s="76" t="e">
        <f>SUMIFS(#REF!,#REF!,$B192,#REF!,Y$1)</f>
        <v>#REF!</v>
      </c>
      <c r="Z192" s="76" t="e">
        <f>SUMIFS(#REF!,#REF!,$B192,#REF!,Z$1)</f>
        <v>#REF!</v>
      </c>
      <c r="AA192" s="76" t="e">
        <f>SUMIFS(#REF!,#REF!,$B192,#REF!,AA$1)</f>
        <v>#REF!</v>
      </c>
      <c r="AB192" s="76" t="e">
        <f>SUMIFS(#REF!,#REF!,$B192,#REF!,AB$1)</f>
        <v>#REF!</v>
      </c>
      <c r="AC192" s="76" t="e">
        <f>SUMIFS(#REF!,#REF!,$B192,#REF!,AC$1)</f>
        <v>#REF!</v>
      </c>
      <c r="AD192" s="76" t="e">
        <f>SUMIFS(#REF!,#REF!,$B192,#REF!,AD$1)</f>
        <v>#REF!</v>
      </c>
      <c r="AE192" s="76" t="e">
        <f>SUMIFS(#REF!,#REF!,$B192,#REF!,AE$1)</f>
        <v>#REF!</v>
      </c>
      <c r="AF192" s="76" t="e">
        <f>SUMIFS(#REF!,#REF!,$B192,#REF!,AF$1)</f>
        <v>#REF!</v>
      </c>
      <c r="AG192" s="76" t="e">
        <f>SUMIFS(#REF!,#REF!,$B192,#REF!,AG$1)</f>
        <v>#REF!</v>
      </c>
      <c r="AH192" s="76" t="e">
        <f>SUMIFS(#REF!,#REF!,$B192,#REF!,AH$1)</f>
        <v>#REF!</v>
      </c>
      <c r="AI192" s="82"/>
    </row>
    <row r="193" spans="2:35" ht="15" hidden="1" customHeight="1" x14ac:dyDescent="0.25">
      <c r="B193" s="84"/>
      <c r="C193" s="83"/>
      <c r="D193" s="76" t="e">
        <f>SUMIFS(#REF!,#REF!,$B193,#REF!,D$1)</f>
        <v>#REF!</v>
      </c>
      <c r="E193" s="76" t="e">
        <f>SUMIFS(#REF!,#REF!,$B193,#REF!,E$1)</f>
        <v>#REF!</v>
      </c>
      <c r="F193" s="76" t="e">
        <f>SUMIFS(#REF!,#REF!,$B193,#REF!,F$1)</f>
        <v>#REF!</v>
      </c>
      <c r="G193" s="76" t="e">
        <f>SUMIFS(#REF!,#REF!,$B193,#REF!,G$1)</f>
        <v>#REF!</v>
      </c>
      <c r="H193" s="76" t="e">
        <f>SUMIFS(#REF!,#REF!,$B193,#REF!,H$1)</f>
        <v>#REF!</v>
      </c>
      <c r="I193" s="76" t="e">
        <f>SUMIFS(#REF!,#REF!,$B193,#REF!,I$1)</f>
        <v>#REF!</v>
      </c>
      <c r="J193" s="76" t="e">
        <f>SUMIFS(#REF!,#REF!,$B193,#REF!,J$1)</f>
        <v>#REF!</v>
      </c>
      <c r="K193" s="76" t="e">
        <f>SUMIFS(#REF!,#REF!,$B193,#REF!,K$1)</f>
        <v>#REF!</v>
      </c>
      <c r="L193" s="76" t="e">
        <f>SUMIFS(#REF!,#REF!,$B193,#REF!,L$1)</f>
        <v>#REF!</v>
      </c>
      <c r="M193" s="76" t="e">
        <f>SUMIFS(#REF!,#REF!,$B193,#REF!,M$1)</f>
        <v>#REF!</v>
      </c>
      <c r="N193" s="76" t="e">
        <f>SUMIFS(#REF!,#REF!,$B193,#REF!,N$1)</f>
        <v>#REF!</v>
      </c>
      <c r="O193" s="76" t="e">
        <f>SUMIFS(#REF!,#REF!,$B193,#REF!,O$1)</f>
        <v>#REF!</v>
      </c>
      <c r="P193" s="76" t="e">
        <f>SUMIFS(#REF!,#REF!,$B193,#REF!,P$1)</f>
        <v>#REF!</v>
      </c>
      <c r="Q193" s="76" t="e">
        <f>SUMIFS(#REF!,#REF!,$B193,#REF!,Q$1)</f>
        <v>#REF!</v>
      </c>
      <c r="R193" s="76" t="e">
        <f>SUMIFS(#REF!,#REF!,$B193,#REF!,R$1)</f>
        <v>#REF!</v>
      </c>
      <c r="S193" s="76" t="e">
        <f>SUMIFS(#REF!,#REF!,$B193,#REF!,S$1)</f>
        <v>#REF!</v>
      </c>
      <c r="T193" s="76" t="e">
        <f>SUMIFS(#REF!,#REF!,$B193,#REF!,T$1)</f>
        <v>#REF!</v>
      </c>
      <c r="U193" s="76" t="e">
        <f>SUMIFS(#REF!,#REF!,$B193,#REF!,U$1)</f>
        <v>#REF!</v>
      </c>
      <c r="V193" s="76" t="e">
        <f>SUMIFS(#REF!,#REF!,$B193,#REF!,V$1)</f>
        <v>#REF!</v>
      </c>
      <c r="W193" s="76" t="e">
        <f>SUMIFS(#REF!,#REF!,$B193,#REF!,W$1)</f>
        <v>#REF!</v>
      </c>
      <c r="X193" s="76" t="e">
        <f>SUMIFS(#REF!,#REF!,$B193,#REF!,X$1)</f>
        <v>#REF!</v>
      </c>
      <c r="Y193" s="76" t="e">
        <f>SUMIFS(#REF!,#REF!,$B193,#REF!,Y$1)</f>
        <v>#REF!</v>
      </c>
      <c r="Z193" s="76" t="e">
        <f>SUMIFS(#REF!,#REF!,$B193,#REF!,Z$1)</f>
        <v>#REF!</v>
      </c>
      <c r="AA193" s="76" t="e">
        <f>SUMIFS(#REF!,#REF!,$B193,#REF!,AA$1)</f>
        <v>#REF!</v>
      </c>
      <c r="AB193" s="76" t="e">
        <f>SUMIFS(#REF!,#REF!,$B193,#REF!,AB$1)</f>
        <v>#REF!</v>
      </c>
      <c r="AC193" s="76" t="e">
        <f>SUMIFS(#REF!,#REF!,$B193,#REF!,AC$1)</f>
        <v>#REF!</v>
      </c>
      <c r="AD193" s="76" t="e">
        <f>SUMIFS(#REF!,#REF!,$B193,#REF!,AD$1)</f>
        <v>#REF!</v>
      </c>
      <c r="AE193" s="76" t="e">
        <f>SUMIFS(#REF!,#REF!,$B193,#REF!,AE$1)</f>
        <v>#REF!</v>
      </c>
      <c r="AF193" s="76" t="e">
        <f>SUMIFS(#REF!,#REF!,$B193,#REF!,AF$1)</f>
        <v>#REF!</v>
      </c>
      <c r="AG193" s="76" t="e">
        <f>SUMIFS(#REF!,#REF!,$B193,#REF!,AG$1)</f>
        <v>#REF!</v>
      </c>
      <c r="AH193" s="76" t="e">
        <f>SUMIFS(#REF!,#REF!,$B193,#REF!,AH$1)</f>
        <v>#REF!</v>
      </c>
      <c r="AI193" s="82"/>
    </row>
    <row r="194" spans="2:35" ht="15" hidden="1" customHeight="1" x14ac:dyDescent="0.25">
      <c r="B194" s="84"/>
      <c r="C194" s="83"/>
      <c r="D194" s="76" t="e">
        <f>SUMIFS(#REF!,#REF!,$B194,#REF!,D$1)</f>
        <v>#REF!</v>
      </c>
      <c r="E194" s="76" t="e">
        <f>SUMIFS(#REF!,#REF!,$B194,#REF!,E$1)</f>
        <v>#REF!</v>
      </c>
      <c r="F194" s="76" t="e">
        <f>SUMIFS(#REF!,#REF!,$B194,#REF!,F$1)</f>
        <v>#REF!</v>
      </c>
      <c r="G194" s="76" t="e">
        <f>SUMIFS(#REF!,#REF!,$B194,#REF!,G$1)</f>
        <v>#REF!</v>
      </c>
      <c r="H194" s="76" t="e">
        <f>SUMIFS(#REF!,#REF!,$B194,#REF!,H$1)</f>
        <v>#REF!</v>
      </c>
      <c r="I194" s="76" t="e">
        <f>SUMIFS(#REF!,#REF!,$B194,#REF!,I$1)</f>
        <v>#REF!</v>
      </c>
      <c r="J194" s="76" t="e">
        <f>SUMIFS(#REF!,#REF!,$B194,#REF!,J$1)</f>
        <v>#REF!</v>
      </c>
      <c r="K194" s="76" t="e">
        <f>SUMIFS(#REF!,#REF!,$B194,#REF!,K$1)</f>
        <v>#REF!</v>
      </c>
      <c r="L194" s="76" t="e">
        <f>SUMIFS(#REF!,#REF!,$B194,#REF!,L$1)</f>
        <v>#REF!</v>
      </c>
      <c r="M194" s="76" t="e">
        <f>SUMIFS(#REF!,#REF!,$B194,#REF!,M$1)</f>
        <v>#REF!</v>
      </c>
      <c r="N194" s="76" t="e">
        <f>SUMIFS(#REF!,#REF!,$B194,#REF!,N$1)</f>
        <v>#REF!</v>
      </c>
      <c r="O194" s="76" t="e">
        <f>SUMIFS(#REF!,#REF!,$B194,#REF!,O$1)</f>
        <v>#REF!</v>
      </c>
      <c r="P194" s="76" t="e">
        <f>SUMIFS(#REF!,#REF!,$B194,#REF!,P$1)</f>
        <v>#REF!</v>
      </c>
      <c r="Q194" s="76" t="e">
        <f>SUMIFS(#REF!,#REF!,$B194,#REF!,Q$1)</f>
        <v>#REF!</v>
      </c>
      <c r="R194" s="76" t="e">
        <f>SUMIFS(#REF!,#REF!,$B194,#REF!,R$1)</f>
        <v>#REF!</v>
      </c>
      <c r="S194" s="76" t="e">
        <f>SUMIFS(#REF!,#REF!,$B194,#REF!,S$1)</f>
        <v>#REF!</v>
      </c>
      <c r="T194" s="76" t="e">
        <f>SUMIFS(#REF!,#REF!,$B194,#REF!,T$1)</f>
        <v>#REF!</v>
      </c>
      <c r="U194" s="76" t="e">
        <f>SUMIFS(#REF!,#REF!,$B194,#REF!,U$1)</f>
        <v>#REF!</v>
      </c>
      <c r="V194" s="76" t="e">
        <f>SUMIFS(#REF!,#REF!,$B194,#REF!,V$1)</f>
        <v>#REF!</v>
      </c>
      <c r="W194" s="76" t="e">
        <f>SUMIFS(#REF!,#REF!,$B194,#REF!,W$1)</f>
        <v>#REF!</v>
      </c>
      <c r="X194" s="76" t="e">
        <f>SUMIFS(#REF!,#REF!,$B194,#REF!,X$1)</f>
        <v>#REF!</v>
      </c>
      <c r="Y194" s="76" t="e">
        <f>SUMIFS(#REF!,#REF!,$B194,#REF!,Y$1)</f>
        <v>#REF!</v>
      </c>
      <c r="Z194" s="76" t="e">
        <f>SUMIFS(#REF!,#REF!,$B194,#REF!,Z$1)</f>
        <v>#REF!</v>
      </c>
      <c r="AA194" s="76" t="e">
        <f>SUMIFS(#REF!,#REF!,$B194,#REF!,AA$1)</f>
        <v>#REF!</v>
      </c>
      <c r="AB194" s="76" t="e">
        <f>SUMIFS(#REF!,#REF!,$B194,#REF!,AB$1)</f>
        <v>#REF!</v>
      </c>
      <c r="AC194" s="76" t="e">
        <f>SUMIFS(#REF!,#REF!,$B194,#REF!,AC$1)</f>
        <v>#REF!</v>
      </c>
      <c r="AD194" s="76" t="e">
        <f>SUMIFS(#REF!,#REF!,$B194,#REF!,AD$1)</f>
        <v>#REF!</v>
      </c>
      <c r="AE194" s="76" t="e">
        <f>SUMIFS(#REF!,#REF!,$B194,#REF!,AE$1)</f>
        <v>#REF!</v>
      </c>
      <c r="AF194" s="76" t="e">
        <f>SUMIFS(#REF!,#REF!,$B194,#REF!,AF$1)</f>
        <v>#REF!</v>
      </c>
      <c r="AG194" s="76" t="e">
        <f>SUMIFS(#REF!,#REF!,$B194,#REF!,AG$1)</f>
        <v>#REF!</v>
      </c>
      <c r="AH194" s="76" t="e">
        <f>SUMIFS(#REF!,#REF!,$B194,#REF!,AH$1)</f>
        <v>#REF!</v>
      </c>
      <c r="AI194" s="82"/>
    </row>
    <row r="195" spans="2:35" ht="15" hidden="1" customHeight="1" x14ac:dyDescent="0.25">
      <c r="B195" s="84"/>
      <c r="C195" s="83"/>
      <c r="D195" s="76" t="e">
        <f>SUMIFS(#REF!,#REF!,$B195,#REF!,D$1)</f>
        <v>#REF!</v>
      </c>
      <c r="E195" s="76" t="e">
        <f>SUMIFS(#REF!,#REF!,$B195,#REF!,E$1)</f>
        <v>#REF!</v>
      </c>
      <c r="F195" s="76" t="e">
        <f>SUMIFS(#REF!,#REF!,$B195,#REF!,F$1)</f>
        <v>#REF!</v>
      </c>
      <c r="G195" s="76" t="e">
        <f>SUMIFS(#REF!,#REF!,$B195,#REF!,G$1)</f>
        <v>#REF!</v>
      </c>
      <c r="H195" s="76" t="e">
        <f>SUMIFS(#REF!,#REF!,$B195,#REF!,H$1)</f>
        <v>#REF!</v>
      </c>
      <c r="I195" s="76" t="e">
        <f>SUMIFS(#REF!,#REF!,$B195,#REF!,I$1)</f>
        <v>#REF!</v>
      </c>
      <c r="J195" s="76" t="e">
        <f>SUMIFS(#REF!,#REF!,$B195,#REF!,J$1)</f>
        <v>#REF!</v>
      </c>
      <c r="K195" s="76" t="e">
        <f>SUMIFS(#REF!,#REF!,$B195,#REF!,K$1)</f>
        <v>#REF!</v>
      </c>
      <c r="L195" s="76" t="e">
        <f>SUMIFS(#REF!,#REF!,$B195,#REF!,L$1)</f>
        <v>#REF!</v>
      </c>
      <c r="M195" s="76" t="e">
        <f>SUMIFS(#REF!,#REF!,$B195,#REF!,M$1)</f>
        <v>#REF!</v>
      </c>
      <c r="N195" s="76" t="e">
        <f>SUMIFS(#REF!,#REF!,$B195,#REF!,N$1)</f>
        <v>#REF!</v>
      </c>
      <c r="O195" s="76" t="e">
        <f>SUMIFS(#REF!,#REF!,$B195,#REF!,O$1)</f>
        <v>#REF!</v>
      </c>
      <c r="P195" s="76" t="e">
        <f>SUMIFS(#REF!,#REF!,$B195,#REF!,P$1)</f>
        <v>#REF!</v>
      </c>
      <c r="Q195" s="76" t="e">
        <f>SUMIFS(#REF!,#REF!,$B195,#REF!,Q$1)</f>
        <v>#REF!</v>
      </c>
      <c r="R195" s="76" t="e">
        <f>SUMIFS(#REF!,#REF!,$B195,#REF!,R$1)</f>
        <v>#REF!</v>
      </c>
      <c r="S195" s="76" t="e">
        <f>SUMIFS(#REF!,#REF!,$B195,#REF!,S$1)</f>
        <v>#REF!</v>
      </c>
      <c r="T195" s="76" t="e">
        <f>SUMIFS(#REF!,#REF!,$B195,#REF!,T$1)</f>
        <v>#REF!</v>
      </c>
      <c r="U195" s="76" t="e">
        <f>SUMIFS(#REF!,#REF!,$B195,#REF!,U$1)</f>
        <v>#REF!</v>
      </c>
      <c r="V195" s="76" t="e">
        <f>SUMIFS(#REF!,#REF!,$B195,#REF!,V$1)</f>
        <v>#REF!</v>
      </c>
      <c r="W195" s="76" t="e">
        <f>SUMIFS(#REF!,#REF!,$B195,#REF!,W$1)</f>
        <v>#REF!</v>
      </c>
      <c r="X195" s="76" t="e">
        <f>SUMIFS(#REF!,#REF!,$B195,#REF!,X$1)</f>
        <v>#REF!</v>
      </c>
      <c r="Y195" s="76" t="e">
        <f>SUMIFS(#REF!,#REF!,$B195,#REF!,Y$1)</f>
        <v>#REF!</v>
      </c>
      <c r="Z195" s="76" t="e">
        <f>SUMIFS(#REF!,#REF!,$B195,#REF!,Z$1)</f>
        <v>#REF!</v>
      </c>
      <c r="AA195" s="76" t="e">
        <f>SUMIFS(#REF!,#REF!,$B195,#REF!,AA$1)</f>
        <v>#REF!</v>
      </c>
      <c r="AB195" s="76" t="e">
        <f>SUMIFS(#REF!,#REF!,$B195,#REF!,AB$1)</f>
        <v>#REF!</v>
      </c>
      <c r="AC195" s="76" t="e">
        <f>SUMIFS(#REF!,#REF!,$B195,#REF!,AC$1)</f>
        <v>#REF!</v>
      </c>
      <c r="AD195" s="76" t="e">
        <f>SUMIFS(#REF!,#REF!,$B195,#REF!,AD$1)</f>
        <v>#REF!</v>
      </c>
      <c r="AE195" s="76" t="e">
        <f>SUMIFS(#REF!,#REF!,$B195,#REF!,AE$1)</f>
        <v>#REF!</v>
      </c>
      <c r="AF195" s="76" t="e">
        <f>SUMIFS(#REF!,#REF!,$B195,#REF!,AF$1)</f>
        <v>#REF!</v>
      </c>
      <c r="AG195" s="76" t="e">
        <f>SUMIFS(#REF!,#REF!,$B195,#REF!,AG$1)</f>
        <v>#REF!</v>
      </c>
      <c r="AH195" s="76" t="e">
        <f>SUMIFS(#REF!,#REF!,$B195,#REF!,AH$1)</f>
        <v>#REF!</v>
      </c>
      <c r="AI195" s="82"/>
    </row>
    <row r="196" spans="2:35" ht="15" hidden="1" customHeight="1" x14ac:dyDescent="0.25">
      <c r="B196" s="84"/>
      <c r="C196" s="83"/>
      <c r="D196" s="76" t="e">
        <f>SUMIFS(#REF!,#REF!,$B196,#REF!,D$1)</f>
        <v>#REF!</v>
      </c>
      <c r="E196" s="76" t="e">
        <f>SUMIFS(#REF!,#REF!,$B196,#REF!,E$1)</f>
        <v>#REF!</v>
      </c>
      <c r="F196" s="76" t="e">
        <f>SUMIFS(#REF!,#REF!,$B196,#REF!,F$1)</f>
        <v>#REF!</v>
      </c>
      <c r="G196" s="76" t="e">
        <f>SUMIFS(#REF!,#REF!,$B196,#REF!,G$1)</f>
        <v>#REF!</v>
      </c>
      <c r="H196" s="76" t="e">
        <f>SUMIFS(#REF!,#REF!,$B196,#REF!,H$1)</f>
        <v>#REF!</v>
      </c>
      <c r="I196" s="76" t="e">
        <f>SUMIFS(#REF!,#REF!,$B196,#REF!,I$1)</f>
        <v>#REF!</v>
      </c>
      <c r="J196" s="76" t="e">
        <f>SUMIFS(#REF!,#REF!,$B196,#REF!,J$1)</f>
        <v>#REF!</v>
      </c>
      <c r="K196" s="76" t="e">
        <f>SUMIFS(#REF!,#REF!,$B196,#REF!,K$1)</f>
        <v>#REF!</v>
      </c>
      <c r="L196" s="76" t="e">
        <f>SUMIFS(#REF!,#REF!,$B196,#REF!,L$1)</f>
        <v>#REF!</v>
      </c>
      <c r="M196" s="76" t="e">
        <f>SUMIFS(#REF!,#REF!,$B196,#REF!,M$1)</f>
        <v>#REF!</v>
      </c>
      <c r="N196" s="76" t="e">
        <f>SUMIFS(#REF!,#REF!,$B196,#REF!,N$1)</f>
        <v>#REF!</v>
      </c>
      <c r="O196" s="76" t="e">
        <f>SUMIFS(#REF!,#REF!,$B196,#REF!,O$1)</f>
        <v>#REF!</v>
      </c>
      <c r="P196" s="76" t="e">
        <f>SUMIFS(#REF!,#REF!,$B196,#REF!,P$1)</f>
        <v>#REF!</v>
      </c>
      <c r="Q196" s="76" t="e">
        <f>SUMIFS(#REF!,#REF!,$B196,#REF!,Q$1)</f>
        <v>#REF!</v>
      </c>
      <c r="R196" s="76" t="e">
        <f>SUMIFS(#REF!,#REF!,$B196,#REF!,R$1)</f>
        <v>#REF!</v>
      </c>
      <c r="S196" s="76" t="e">
        <f>SUMIFS(#REF!,#REF!,$B196,#REF!,S$1)</f>
        <v>#REF!</v>
      </c>
      <c r="T196" s="76" t="e">
        <f>SUMIFS(#REF!,#REF!,$B196,#REF!,T$1)</f>
        <v>#REF!</v>
      </c>
      <c r="U196" s="76" t="e">
        <f>SUMIFS(#REF!,#REF!,$B196,#REF!,U$1)</f>
        <v>#REF!</v>
      </c>
      <c r="V196" s="76" t="e">
        <f>SUMIFS(#REF!,#REF!,$B196,#REF!,V$1)</f>
        <v>#REF!</v>
      </c>
      <c r="W196" s="76" t="e">
        <f>SUMIFS(#REF!,#REF!,$B196,#REF!,W$1)</f>
        <v>#REF!</v>
      </c>
      <c r="X196" s="76" t="e">
        <f>SUMIFS(#REF!,#REF!,$B196,#REF!,X$1)</f>
        <v>#REF!</v>
      </c>
      <c r="Y196" s="76" t="e">
        <f>SUMIFS(#REF!,#REF!,$B196,#REF!,Y$1)</f>
        <v>#REF!</v>
      </c>
      <c r="Z196" s="76" t="e">
        <f>SUMIFS(#REF!,#REF!,$B196,#REF!,Z$1)</f>
        <v>#REF!</v>
      </c>
      <c r="AA196" s="76" t="e">
        <f>SUMIFS(#REF!,#REF!,$B196,#REF!,AA$1)</f>
        <v>#REF!</v>
      </c>
      <c r="AB196" s="76" t="e">
        <f>SUMIFS(#REF!,#REF!,$B196,#REF!,AB$1)</f>
        <v>#REF!</v>
      </c>
      <c r="AC196" s="76" t="e">
        <f>SUMIFS(#REF!,#REF!,$B196,#REF!,AC$1)</f>
        <v>#REF!</v>
      </c>
      <c r="AD196" s="76" t="e">
        <f>SUMIFS(#REF!,#REF!,$B196,#REF!,AD$1)</f>
        <v>#REF!</v>
      </c>
      <c r="AE196" s="76" t="e">
        <f>SUMIFS(#REF!,#REF!,$B196,#REF!,AE$1)</f>
        <v>#REF!</v>
      </c>
      <c r="AF196" s="76" t="e">
        <f>SUMIFS(#REF!,#REF!,$B196,#REF!,AF$1)</f>
        <v>#REF!</v>
      </c>
      <c r="AG196" s="76" t="e">
        <f>SUMIFS(#REF!,#REF!,$B196,#REF!,AG$1)</f>
        <v>#REF!</v>
      </c>
      <c r="AH196" s="76" t="e">
        <f>SUMIFS(#REF!,#REF!,$B196,#REF!,AH$1)</f>
        <v>#REF!</v>
      </c>
      <c r="AI196" s="82"/>
    </row>
    <row r="197" spans="2:35" ht="15" hidden="1" customHeight="1" x14ac:dyDescent="0.25">
      <c r="B197" s="84"/>
      <c r="C197" s="83"/>
      <c r="D197" s="76" t="e">
        <f>SUMIFS(#REF!,#REF!,$B197,#REF!,D$1)</f>
        <v>#REF!</v>
      </c>
      <c r="E197" s="76" t="e">
        <f>SUMIFS(#REF!,#REF!,$B197,#REF!,E$1)</f>
        <v>#REF!</v>
      </c>
      <c r="F197" s="76" t="e">
        <f>SUMIFS(#REF!,#REF!,$B197,#REF!,F$1)</f>
        <v>#REF!</v>
      </c>
      <c r="G197" s="76" t="e">
        <f>SUMIFS(#REF!,#REF!,$B197,#REF!,G$1)</f>
        <v>#REF!</v>
      </c>
      <c r="H197" s="76" t="e">
        <f>SUMIFS(#REF!,#REF!,$B197,#REF!,H$1)</f>
        <v>#REF!</v>
      </c>
      <c r="I197" s="76" t="e">
        <f>SUMIFS(#REF!,#REF!,$B197,#REF!,I$1)</f>
        <v>#REF!</v>
      </c>
      <c r="J197" s="76" t="e">
        <f>SUMIFS(#REF!,#REF!,$B197,#REF!,J$1)</f>
        <v>#REF!</v>
      </c>
      <c r="K197" s="76" t="e">
        <f>SUMIFS(#REF!,#REF!,$B197,#REF!,K$1)</f>
        <v>#REF!</v>
      </c>
      <c r="L197" s="76" t="e">
        <f>SUMIFS(#REF!,#REF!,$B197,#REF!,L$1)</f>
        <v>#REF!</v>
      </c>
      <c r="M197" s="76" t="e">
        <f>SUMIFS(#REF!,#REF!,$B197,#REF!,M$1)</f>
        <v>#REF!</v>
      </c>
      <c r="N197" s="76" t="e">
        <f>SUMIFS(#REF!,#REF!,$B197,#REF!,N$1)</f>
        <v>#REF!</v>
      </c>
      <c r="O197" s="76" t="e">
        <f>SUMIFS(#REF!,#REF!,$B197,#REF!,O$1)</f>
        <v>#REF!</v>
      </c>
      <c r="P197" s="76" t="e">
        <f>SUMIFS(#REF!,#REF!,$B197,#REF!,P$1)</f>
        <v>#REF!</v>
      </c>
      <c r="Q197" s="76" t="e">
        <f>SUMIFS(#REF!,#REF!,$B197,#REF!,Q$1)</f>
        <v>#REF!</v>
      </c>
      <c r="R197" s="76" t="e">
        <f>SUMIFS(#REF!,#REF!,$B197,#REF!,R$1)</f>
        <v>#REF!</v>
      </c>
      <c r="S197" s="76" t="e">
        <f>SUMIFS(#REF!,#REF!,$B197,#REF!,S$1)</f>
        <v>#REF!</v>
      </c>
      <c r="T197" s="76" t="e">
        <f>SUMIFS(#REF!,#REF!,$B197,#REF!,T$1)</f>
        <v>#REF!</v>
      </c>
      <c r="U197" s="76" t="e">
        <f>SUMIFS(#REF!,#REF!,$B197,#REF!,U$1)</f>
        <v>#REF!</v>
      </c>
      <c r="V197" s="76" t="e">
        <f>SUMIFS(#REF!,#REF!,$B197,#REF!,V$1)</f>
        <v>#REF!</v>
      </c>
      <c r="W197" s="76" t="e">
        <f>SUMIFS(#REF!,#REF!,$B197,#REF!,W$1)</f>
        <v>#REF!</v>
      </c>
      <c r="X197" s="76" t="e">
        <f>SUMIFS(#REF!,#REF!,$B197,#REF!,X$1)</f>
        <v>#REF!</v>
      </c>
      <c r="Y197" s="76" t="e">
        <f>SUMIFS(#REF!,#REF!,$B197,#REF!,Y$1)</f>
        <v>#REF!</v>
      </c>
      <c r="Z197" s="76" t="e">
        <f>SUMIFS(#REF!,#REF!,$B197,#REF!,Z$1)</f>
        <v>#REF!</v>
      </c>
      <c r="AA197" s="76" t="e">
        <f>SUMIFS(#REF!,#REF!,$B197,#REF!,AA$1)</f>
        <v>#REF!</v>
      </c>
      <c r="AB197" s="76" t="e">
        <f>SUMIFS(#REF!,#REF!,$B197,#REF!,AB$1)</f>
        <v>#REF!</v>
      </c>
      <c r="AC197" s="76" t="e">
        <f>SUMIFS(#REF!,#REF!,$B197,#REF!,AC$1)</f>
        <v>#REF!</v>
      </c>
      <c r="AD197" s="76" t="e">
        <f>SUMIFS(#REF!,#REF!,$B197,#REF!,AD$1)</f>
        <v>#REF!</v>
      </c>
      <c r="AE197" s="76" t="e">
        <f>SUMIFS(#REF!,#REF!,$B197,#REF!,AE$1)</f>
        <v>#REF!</v>
      </c>
      <c r="AF197" s="76" t="e">
        <f>SUMIFS(#REF!,#REF!,$B197,#REF!,AF$1)</f>
        <v>#REF!</v>
      </c>
      <c r="AG197" s="76" t="e">
        <f>SUMIFS(#REF!,#REF!,$B197,#REF!,AG$1)</f>
        <v>#REF!</v>
      </c>
      <c r="AH197" s="76" t="e">
        <f>SUMIFS(#REF!,#REF!,$B197,#REF!,AH$1)</f>
        <v>#REF!</v>
      </c>
      <c r="AI197" s="82"/>
    </row>
    <row r="198" spans="2:35" ht="15" hidden="1" customHeight="1" x14ac:dyDescent="0.25">
      <c r="B198" s="84"/>
      <c r="C198" s="83"/>
      <c r="D198" s="76" t="e">
        <f>SUMIFS(#REF!,#REF!,$B198,#REF!,D$1)</f>
        <v>#REF!</v>
      </c>
      <c r="E198" s="76" t="e">
        <f>SUMIFS(#REF!,#REF!,$B198,#REF!,E$1)</f>
        <v>#REF!</v>
      </c>
      <c r="F198" s="76" t="e">
        <f>SUMIFS(#REF!,#REF!,$B198,#REF!,F$1)</f>
        <v>#REF!</v>
      </c>
      <c r="G198" s="76" t="e">
        <f>SUMIFS(#REF!,#REF!,$B198,#REF!,G$1)</f>
        <v>#REF!</v>
      </c>
      <c r="H198" s="76" t="e">
        <f>SUMIFS(#REF!,#REF!,$B198,#REF!,H$1)</f>
        <v>#REF!</v>
      </c>
      <c r="I198" s="76" t="e">
        <f>SUMIFS(#REF!,#REF!,$B198,#REF!,I$1)</f>
        <v>#REF!</v>
      </c>
      <c r="J198" s="76" t="e">
        <f>SUMIFS(#REF!,#REF!,$B198,#REF!,J$1)</f>
        <v>#REF!</v>
      </c>
      <c r="K198" s="76" t="e">
        <f>SUMIFS(#REF!,#REF!,$B198,#REF!,K$1)</f>
        <v>#REF!</v>
      </c>
      <c r="L198" s="76" t="e">
        <f>SUMIFS(#REF!,#REF!,$B198,#REF!,L$1)</f>
        <v>#REF!</v>
      </c>
      <c r="M198" s="76" t="e">
        <f>SUMIFS(#REF!,#REF!,$B198,#REF!,M$1)</f>
        <v>#REF!</v>
      </c>
      <c r="N198" s="76" t="e">
        <f>SUMIFS(#REF!,#REF!,$B198,#REF!,N$1)</f>
        <v>#REF!</v>
      </c>
      <c r="O198" s="76" t="e">
        <f>SUMIFS(#REF!,#REF!,$B198,#REF!,O$1)</f>
        <v>#REF!</v>
      </c>
      <c r="P198" s="76" t="e">
        <f>SUMIFS(#REF!,#REF!,$B198,#REF!,P$1)</f>
        <v>#REF!</v>
      </c>
      <c r="Q198" s="76" t="e">
        <f>SUMIFS(#REF!,#REF!,$B198,#REF!,Q$1)</f>
        <v>#REF!</v>
      </c>
      <c r="R198" s="76" t="e">
        <f>SUMIFS(#REF!,#REF!,$B198,#REF!,R$1)</f>
        <v>#REF!</v>
      </c>
      <c r="S198" s="76" t="e">
        <f>SUMIFS(#REF!,#REF!,$B198,#REF!,S$1)</f>
        <v>#REF!</v>
      </c>
      <c r="T198" s="76" t="e">
        <f>SUMIFS(#REF!,#REF!,$B198,#REF!,T$1)</f>
        <v>#REF!</v>
      </c>
      <c r="U198" s="76" t="e">
        <f>SUMIFS(#REF!,#REF!,$B198,#REF!,U$1)</f>
        <v>#REF!</v>
      </c>
      <c r="V198" s="76" t="e">
        <f>SUMIFS(#REF!,#REF!,$B198,#REF!,V$1)</f>
        <v>#REF!</v>
      </c>
      <c r="W198" s="76" t="e">
        <f>SUMIFS(#REF!,#REF!,$B198,#REF!,W$1)</f>
        <v>#REF!</v>
      </c>
      <c r="X198" s="76" t="e">
        <f>SUMIFS(#REF!,#REF!,$B198,#REF!,X$1)</f>
        <v>#REF!</v>
      </c>
      <c r="Y198" s="76" t="e">
        <f>SUMIFS(#REF!,#REF!,$B198,#REF!,Y$1)</f>
        <v>#REF!</v>
      </c>
      <c r="Z198" s="76" t="e">
        <f>SUMIFS(#REF!,#REF!,$B198,#REF!,Z$1)</f>
        <v>#REF!</v>
      </c>
      <c r="AA198" s="76" t="e">
        <f>SUMIFS(#REF!,#REF!,$B198,#REF!,AA$1)</f>
        <v>#REF!</v>
      </c>
      <c r="AB198" s="76" t="e">
        <f>SUMIFS(#REF!,#REF!,$B198,#REF!,AB$1)</f>
        <v>#REF!</v>
      </c>
      <c r="AC198" s="76" t="e">
        <f>SUMIFS(#REF!,#REF!,$B198,#REF!,AC$1)</f>
        <v>#REF!</v>
      </c>
      <c r="AD198" s="76" t="e">
        <f>SUMIFS(#REF!,#REF!,$B198,#REF!,AD$1)</f>
        <v>#REF!</v>
      </c>
      <c r="AE198" s="76" t="e">
        <f>SUMIFS(#REF!,#REF!,$B198,#REF!,AE$1)</f>
        <v>#REF!</v>
      </c>
      <c r="AF198" s="76" t="e">
        <f>SUMIFS(#REF!,#REF!,$B198,#REF!,AF$1)</f>
        <v>#REF!</v>
      </c>
      <c r="AG198" s="76" t="e">
        <f>SUMIFS(#REF!,#REF!,$B198,#REF!,AG$1)</f>
        <v>#REF!</v>
      </c>
      <c r="AH198" s="76" t="e">
        <f>SUMIFS(#REF!,#REF!,$B198,#REF!,AH$1)</f>
        <v>#REF!</v>
      </c>
      <c r="AI198" s="82"/>
    </row>
    <row r="199" spans="2:35" ht="15" hidden="1" customHeight="1" x14ac:dyDescent="0.25">
      <c r="B199" s="84"/>
      <c r="C199" s="83"/>
      <c r="D199" s="76" t="e">
        <f>SUMIFS(#REF!,#REF!,$B199,#REF!,D$1)</f>
        <v>#REF!</v>
      </c>
      <c r="E199" s="76" t="e">
        <f>SUMIFS(#REF!,#REF!,$B199,#REF!,E$1)</f>
        <v>#REF!</v>
      </c>
      <c r="F199" s="76" t="e">
        <f>SUMIFS(#REF!,#REF!,$B199,#REF!,F$1)</f>
        <v>#REF!</v>
      </c>
      <c r="G199" s="76" t="e">
        <f>SUMIFS(#REF!,#REF!,$B199,#REF!,G$1)</f>
        <v>#REF!</v>
      </c>
      <c r="H199" s="76" t="e">
        <f>SUMIFS(#REF!,#REF!,$B199,#REF!,H$1)</f>
        <v>#REF!</v>
      </c>
      <c r="I199" s="76" t="e">
        <f>SUMIFS(#REF!,#REF!,$B199,#REF!,I$1)</f>
        <v>#REF!</v>
      </c>
      <c r="J199" s="76" t="e">
        <f>SUMIFS(#REF!,#REF!,$B199,#REF!,J$1)</f>
        <v>#REF!</v>
      </c>
      <c r="K199" s="76" t="e">
        <f>SUMIFS(#REF!,#REF!,$B199,#REF!,K$1)</f>
        <v>#REF!</v>
      </c>
      <c r="L199" s="76" t="e">
        <f>SUMIFS(#REF!,#REF!,$B199,#REF!,L$1)</f>
        <v>#REF!</v>
      </c>
      <c r="M199" s="76" t="e">
        <f>SUMIFS(#REF!,#REF!,$B199,#REF!,M$1)</f>
        <v>#REF!</v>
      </c>
      <c r="N199" s="76" t="e">
        <f>SUMIFS(#REF!,#REF!,$B199,#REF!,N$1)</f>
        <v>#REF!</v>
      </c>
      <c r="O199" s="76" t="e">
        <f>SUMIFS(#REF!,#REF!,$B199,#REF!,O$1)</f>
        <v>#REF!</v>
      </c>
      <c r="P199" s="76" t="e">
        <f>SUMIFS(#REF!,#REF!,$B199,#REF!,P$1)</f>
        <v>#REF!</v>
      </c>
      <c r="Q199" s="76" t="e">
        <f>SUMIFS(#REF!,#REF!,$B199,#REF!,Q$1)</f>
        <v>#REF!</v>
      </c>
      <c r="R199" s="76" t="e">
        <f>SUMIFS(#REF!,#REF!,$B199,#REF!,R$1)</f>
        <v>#REF!</v>
      </c>
      <c r="S199" s="76" t="e">
        <f>SUMIFS(#REF!,#REF!,$B199,#REF!,S$1)</f>
        <v>#REF!</v>
      </c>
      <c r="T199" s="76" t="e">
        <f>SUMIFS(#REF!,#REF!,$B199,#REF!,T$1)</f>
        <v>#REF!</v>
      </c>
      <c r="U199" s="76" t="e">
        <f>SUMIFS(#REF!,#REF!,$B199,#REF!,U$1)</f>
        <v>#REF!</v>
      </c>
      <c r="V199" s="76" t="e">
        <f>SUMIFS(#REF!,#REF!,$B199,#REF!,V$1)</f>
        <v>#REF!</v>
      </c>
      <c r="W199" s="76" t="e">
        <f>SUMIFS(#REF!,#REF!,$B199,#REF!,W$1)</f>
        <v>#REF!</v>
      </c>
      <c r="X199" s="76" t="e">
        <f>SUMIFS(#REF!,#REF!,$B199,#REF!,X$1)</f>
        <v>#REF!</v>
      </c>
      <c r="Y199" s="76" t="e">
        <f>SUMIFS(#REF!,#REF!,$B199,#REF!,Y$1)</f>
        <v>#REF!</v>
      </c>
      <c r="Z199" s="76" t="e">
        <f>SUMIFS(#REF!,#REF!,$B199,#REF!,Z$1)</f>
        <v>#REF!</v>
      </c>
      <c r="AA199" s="76" t="e">
        <f>SUMIFS(#REF!,#REF!,$B199,#REF!,AA$1)</f>
        <v>#REF!</v>
      </c>
      <c r="AB199" s="76" t="e">
        <f>SUMIFS(#REF!,#REF!,$B199,#REF!,AB$1)</f>
        <v>#REF!</v>
      </c>
      <c r="AC199" s="76" t="e">
        <f>SUMIFS(#REF!,#REF!,$B199,#REF!,AC$1)</f>
        <v>#REF!</v>
      </c>
      <c r="AD199" s="76" t="e">
        <f>SUMIFS(#REF!,#REF!,$B199,#REF!,AD$1)</f>
        <v>#REF!</v>
      </c>
      <c r="AE199" s="76" t="e">
        <f>SUMIFS(#REF!,#REF!,$B199,#REF!,AE$1)</f>
        <v>#REF!</v>
      </c>
      <c r="AF199" s="76" t="e">
        <f>SUMIFS(#REF!,#REF!,$B199,#REF!,AF$1)</f>
        <v>#REF!</v>
      </c>
      <c r="AG199" s="76" t="e">
        <f>SUMIFS(#REF!,#REF!,$B199,#REF!,AG$1)</f>
        <v>#REF!</v>
      </c>
      <c r="AH199" s="76" t="e">
        <f>SUMIFS(#REF!,#REF!,$B199,#REF!,AH$1)</f>
        <v>#REF!</v>
      </c>
      <c r="AI199" s="82"/>
    </row>
    <row r="200" spans="2:35" ht="15" hidden="1" customHeight="1" x14ac:dyDescent="0.25">
      <c r="B200" s="84"/>
      <c r="C200" s="83"/>
      <c r="D200" s="76" t="e">
        <f>SUMIFS(#REF!,#REF!,$B200,#REF!,D$1)</f>
        <v>#REF!</v>
      </c>
      <c r="E200" s="76" t="e">
        <f>SUMIFS(#REF!,#REF!,$B200,#REF!,E$1)</f>
        <v>#REF!</v>
      </c>
      <c r="F200" s="76" t="e">
        <f>SUMIFS(#REF!,#REF!,$B200,#REF!,F$1)</f>
        <v>#REF!</v>
      </c>
      <c r="G200" s="76" t="e">
        <f>SUMIFS(#REF!,#REF!,$B200,#REF!,G$1)</f>
        <v>#REF!</v>
      </c>
      <c r="H200" s="76" t="e">
        <f>SUMIFS(#REF!,#REF!,$B200,#REF!,H$1)</f>
        <v>#REF!</v>
      </c>
      <c r="I200" s="76" t="e">
        <f>SUMIFS(#REF!,#REF!,$B200,#REF!,I$1)</f>
        <v>#REF!</v>
      </c>
      <c r="J200" s="76" t="e">
        <f>SUMIFS(#REF!,#REF!,$B200,#REF!,J$1)</f>
        <v>#REF!</v>
      </c>
      <c r="K200" s="76" t="e">
        <f>SUMIFS(#REF!,#REF!,$B200,#REF!,K$1)</f>
        <v>#REF!</v>
      </c>
      <c r="L200" s="76" t="e">
        <f>SUMIFS(#REF!,#REF!,$B200,#REF!,L$1)</f>
        <v>#REF!</v>
      </c>
      <c r="M200" s="76" t="e">
        <f>SUMIFS(#REF!,#REF!,$B200,#REF!,M$1)</f>
        <v>#REF!</v>
      </c>
      <c r="N200" s="76" t="e">
        <f>SUMIFS(#REF!,#REF!,$B200,#REF!,N$1)</f>
        <v>#REF!</v>
      </c>
      <c r="O200" s="76" t="e">
        <f>SUMIFS(#REF!,#REF!,$B200,#REF!,O$1)</f>
        <v>#REF!</v>
      </c>
      <c r="P200" s="76" t="e">
        <f>SUMIFS(#REF!,#REF!,$B200,#REF!,P$1)</f>
        <v>#REF!</v>
      </c>
      <c r="Q200" s="76" t="e">
        <f>SUMIFS(#REF!,#REF!,$B200,#REF!,Q$1)</f>
        <v>#REF!</v>
      </c>
      <c r="R200" s="76" t="e">
        <f>SUMIFS(#REF!,#REF!,$B200,#REF!,R$1)</f>
        <v>#REF!</v>
      </c>
      <c r="S200" s="76" t="e">
        <f>SUMIFS(#REF!,#REF!,$B200,#REF!,S$1)</f>
        <v>#REF!</v>
      </c>
      <c r="T200" s="76" t="e">
        <f>SUMIFS(#REF!,#REF!,$B200,#REF!,T$1)</f>
        <v>#REF!</v>
      </c>
      <c r="U200" s="76" t="e">
        <f>SUMIFS(#REF!,#REF!,$B200,#REF!,U$1)</f>
        <v>#REF!</v>
      </c>
      <c r="V200" s="76" t="e">
        <f>SUMIFS(#REF!,#REF!,$B200,#REF!,V$1)</f>
        <v>#REF!</v>
      </c>
      <c r="W200" s="76" t="e">
        <f>SUMIFS(#REF!,#REF!,$B200,#REF!,W$1)</f>
        <v>#REF!</v>
      </c>
      <c r="X200" s="76" t="e">
        <f>SUMIFS(#REF!,#REF!,$B200,#REF!,X$1)</f>
        <v>#REF!</v>
      </c>
      <c r="Y200" s="76" t="e">
        <f>SUMIFS(#REF!,#REF!,$B200,#REF!,Y$1)</f>
        <v>#REF!</v>
      </c>
      <c r="Z200" s="76" t="e">
        <f>SUMIFS(#REF!,#REF!,$B200,#REF!,Z$1)</f>
        <v>#REF!</v>
      </c>
      <c r="AA200" s="76" t="e">
        <f>SUMIFS(#REF!,#REF!,$B200,#REF!,AA$1)</f>
        <v>#REF!</v>
      </c>
      <c r="AB200" s="76" t="e">
        <f>SUMIFS(#REF!,#REF!,$B200,#REF!,AB$1)</f>
        <v>#REF!</v>
      </c>
      <c r="AC200" s="76" t="e">
        <f>SUMIFS(#REF!,#REF!,$B200,#REF!,AC$1)</f>
        <v>#REF!</v>
      </c>
      <c r="AD200" s="76" t="e">
        <f>SUMIFS(#REF!,#REF!,$B200,#REF!,AD$1)</f>
        <v>#REF!</v>
      </c>
      <c r="AE200" s="76" t="e">
        <f>SUMIFS(#REF!,#REF!,$B200,#REF!,AE$1)</f>
        <v>#REF!</v>
      </c>
      <c r="AF200" s="76" t="e">
        <f>SUMIFS(#REF!,#REF!,$B200,#REF!,AF$1)</f>
        <v>#REF!</v>
      </c>
      <c r="AG200" s="76" t="e">
        <f>SUMIFS(#REF!,#REF!,$B200,#REF!,AG$1)</f>
        <v>#REF!</v>
      </c>
      <c r="AH200" s="76" t="e">
        <f>SUMIFS(#REF!,#REF!,$B200,#REF!,AH$1)</f>
        <v>#REF!</v>
      </c>
      <c r="AI200" s="82"/>
    </row>
    <row r="201" spans="2:35" ht="15" hidden="1" customHeight="1" x14ac:dyDescent="0.25">
      <c r="B201" s="84"/>
      <c r="C201" s="83"/>
      <c r="D201" s="76" t="e">
        <f>SUMIFS(#REF!,#REF!,$B201,#REF!,D$1)</f>
        <v>#REF!</v>
      </c>
      <c r="E201" s="76" t="e">
        <f>SUMIFS(#REF!,#REF!,$B201,#REF!,E$1)</f>
        <v>#REF!</v>
      </c>
      <c r="F201" s="76" t="e">
        <f>SUMIFS(#REF!,#REF!,$B201,#REF!,F$1)</f>
        <v>#REF!</v>
      </c>
      <c r="G201" s="76" t="e">
        <f>SUMIFS(#REF!,#REF!,$B201,#REF!,G$1)</f>
        <v>#REF!</v>
      </c>
      <c r="H201" s="76" t="e">
        <f>SUMIFS(#REF!,#REF!,$B201,#REF!,H$1)</f>
        <v>#REF!</v>
      </c>
      <c r="I201" s="76" t="e">
        <f>SUMIFS(#REF!,#REF!,$B201,#REF!,I$1)</f>
        <v>#REF!</v>
      </c>
      <c r="J201" s="76" t="e">
        <f>SUMIFS(#REF!,#REF!,$B201,#REF!,J$1)</f>
        <v>#REF!</v>
      </c>
      <c r="K201" s="76" t="e">
        <f>SUMIFS(#REF!,#REF!,$B201,#REF!,K$1)</f>
        <v>#REF!</v>
      </c>
      <c r="L201" s="76" t="e">
        <f>SUMIFS(#REF!,#REF!,$B201,#REF!,L$1)</f>
        <v>#REF!</v>
      </c>
      <c r="M201" s="76" t="e">
        <f>SUMIFS(#REF!,#REF!,$B201,#REF!,M$1)</f>
        <v>#REF!</v>
      </c>
      <c r="N201" s="76" t="e">
        <f>SUMIFS(#REF!,#REF!,$B201,#REF!,N$1)</f>
        <v>#REF!</v>
      </c>
      <c r="O201" s="76" t="e">
        <f>SUMIFS(#REF!,#REF!,$B201,#REF!,O$1)</f>
        <v>#REF!</v>
      </c>
      <c r="P201" s="76" t="e">
        <f>SUMIFS(#REF!,#REF!,$B201,#REF!,P$1)</f>
        <v>#REF!</v>
      </c>
      <c r="Q201" s="76" t="e">
        <f>SUMIFS(#REF!,#REF!,$B201,#REF!,Q$1)</f>
        <v>#REF!</v>
      </c>
      <c r="R201" s="76" t="e">
        <f>SUMIFS(#REF!,#REF!,$B201,#REF!,R$1)</f>
        <v>#REF!</v>
      </c>
      <c r="S201" s="76" t="e">
        <f>SUMIFS(#REF!,#REF!,$B201,#REF!,S$1)</f>
        <v>#REF!</v>
      </c>
      <c r="T201" s="76" t="e">
        <f>SUMIFS(#REF!,#REF!,$B201,#REF!,T$1)</f>
        <v>#REF!</v>
      </c>
      <c r="U201" s="76" t="e">
        <f>SUMIFS(#REF!,#REF!,$B201,#REF!,U$1)</f>
        <v>#REF!</v>
      </c>
      <c r="V201" s="76" t="e">
        <f>SUMIFS(#REF!,#REF!,$B201,#REF!,V$1)</f>
        <v>#REF!</v>
      </c>
      <c r="W201" s="76" t="e">
        <f>SUMIFS(#REF!,#REF!,$B201,#REF!,W$1)</f>
        <v>#REF!</v>
      </c>
      <c r="X201" s="76" t="e">
        <f>SUMIFS(#REF!,#REF!,$B201,#REF!,X$1)</f>
        <v>#REF!</v>
      </c>
      <c r="Y201" s="76" t="e">
        <f>SUMIFS(#REF!,#REF!,$B201,#REF!,Y$1)</f>
        <v>#REF!</v>
      </c>
      <c r="Z201" s="76" t="e">
        <f>SUMIFS(#REF!,#REF!,$B201,#REF!,Z$1)</f>
        <v>#REF!</v>
      </c>
      <c r="AA201" s="76" t="e">
        <f>SUMIFS(#REF!,#REF!,$B201,#REF!,AA$1)</f>
        <v>#REF!</v>
      </c>
      <c r="AB201" s="76" t="e">
        <f>SUMIFS(#REF!,#REF!,$B201,#REF!,AB$1)</f>
        <v>#REF!</v>
      </c>
      <c r="AC201" s="76" t="e">
        <f>SUMIFS(#REF!,#REF!,$B201,#REF!,AC$1)</f>
        <v>#REF!</v>
      </c>
      <c r="AD201" s="76" t="e">
        <f>SUMIFS(#REF!,#REF!,$B201,#REF!,AD$1)</f>
        <v>#REF!</v>
      </c>
      <c r="AE201" s="76" t="e">
        <f>SUMIFS(#REF!,#REF!,$B201,#REF!,AE$1)</f>
        <v>#REF!</v>
      </c>
      <c r="AF201" s="76" t="e">
        <f>SUMIFS(#REF!,#REF!,$B201,#REF!,AF$1)</f>
        <v>#REF!</v>
      </c>
      <c r="AG201" s="76" t="e">
        <f>SUMIFS(#REF!,#REF!,$B201,#REF!,AG$1)</f>
        <v>#REF!</v>
      </c>
      <c r="AH201" s="76" t="e">
        <f>SUMIFS(#REF!,#REF!,$B201,#REF!,AH$1)</f>
        <v>#REF!</v>
      </c>
      <c r="AI201" s="82"/>
    </row>
    <row r="202" spans="2:35" ht="15" hidden="1" customHeight="1" x14ac:dyDescent="0.25">
      <c r="B202" s="84"/>
      <c r="C202" s="83"/>
      <c r="D202" s="76" t="e">
        <f>SUMIFS(#REF!,#REF!,$B202,#REF!,D$1)</f>
        <v>#REF!</v>
      </c>
      <c r="E202" s="76" t="e">
        <f>SUMIFS(#REF!,#REF!,$B202,#REF!,E$1)</f>
        <v>#REF!</v>
      </c>
      <c r="F202" s="76" t="e">
        <f>SUMIFS(#REF!,#REF!,$B202,#REF!,F$1)</f>
        <v>#REF!</v>
      </c>
      <c r="G202" s="76" t="e">
        <f>SUMIFS(#REF!,#REF!,$B202,#REF!,G$1)</f>
        <v>#REF!</v>
      </c>
      <c r="H202" s="76" t="e">
        <f>SUMIFS(#REF!,#REF!,$B202,#REF!,H$1)</f>
        <v>#REF!</v>
      </c>
      <c r="I202" s="76" t="e">
        <f>SUMIFS(#REF!,#REF!,$B202,#REF!,I$1)</f>
        <v>#REF!</v>
      </c>
      <c r="J202" s="76" t="e">
        <f>SUMIFS(#REF!,#REF!,$B202,#REF!,J$1)</f>
        <v>#REF!</v>
      </c>
      <c r="K202" s="76" t="e">
        <f>SUMIFS(#REF!,#REF!,$B202,#REF!,K$1)</f>
        <v>#REF!</v>
      </c>
      <c r="L202" s="76" t="e">
        <f>SUMIFS(#REF!,#REF!,$B202,#REF!,L$1)</f>
        <v>#REF!</v>
      </c>
      <c r="M202" s="76" t="e">
        <f>SUMIFS(#REF!,#REF!,$B202,#REF!,M$1)</f>
        <v>#REF!</v>
      </c>
      <c r="N202" s="76" t="e">
        <f>SUMIFS(#REF!,#REF!,$B202,#REF!,N$1)</f>
        <v>#REF!</v>
      </c>
      <c r="O202" s="76" t="e">
        <f>SUMIFS(#REF!,#REF!,$B202,#REF!,O$1)</f>
        <v>#REF!</v>
      </c>
      <c r="P202" s="76" t="e">
        <f>SUMIFS(#REF!,#REF!,$B202,#REF!,P$1)</f>
        <v>#REF!</v>
      </c>
      <c r="Q202" s="76" t="e">
        <f>SUMIFS(#REF!,#REF!,$B202,#REF!,Q$1)</f>
        <v>#REF!</v>
      </c>
      <c r="R202" s="76" t="e">
        <f>SUMIFS(#REF!,#REF!,$B202,#REF!,R$1)</f>
        <v>#REF!</v>
      </c>
      <c r="S202" s="76" t="e">
        <f>SUMIFS(#REF!,#REF!,$B202,#REF!,S$1)</f>
        <v>#REF!</v>
      </c>
      <c r="T202" s="76" t="e">
        <f>SUMIFS(#REF!,#REF!,$B202,#REF!,T$1)</f>
        <v>#REF!</v>
      </c>
      <c r="U202" s="76" t="e">
        <f>SUMIFS(#REF!,#REF!,$B202,#REF!,U$1)</f>
        <v>#REF!</v>
      </c>
      <c r="V202" s="76" t="e">
        <f>SUMIFS(#REF!,#REF!,$B202,#REF!,V$1)</f>
        <v>#REF!</v>
      </c>
      <c r="W202" s="76" t="e">
        <f>SUMIFS(#REF!,#REF!,$B202,#REF!,W$1)</f>
        <v>#REF!</v>
      </c>
      <c r="X202" s="76" t="e">
        <f>SUMIFS(#REF!,#REF!,$B202,#REF!,X$1)</f>
        <v>#REF!</v>
      </c>
      <c r="Y202" s="76" t="e">
        <f>SUMIFS(#REF!,#REF!,$B202,#REF!,Y$1)</f>
        <v>#REF!</v>
      </c>
      <c r="Z202" s="76" t="e">
        <f>SUMIFS(#REF!,#REF!,$B202,#REF!,Z$1)</f>
        <v>#REF!</v>
      </c>
      <c r="AA202" s="76" t="e">
        <f>SUMIFS(#REF!,#REF!,$B202,#REF!,AA$1)</f>
        <v>#REF!</v>
      </c>
      <c r="AB202" s="76" t="e">
        <f>SUMIFS(#REF!,#REF!,$B202,#REF!,AB$1)</f>
        <v>#REF!</v>
      </c>
      <c r="AC202" s="76" t="e">
        <f>SUMIFS(#REF!,#REF!,$B202,#REF!,AC$1)</f>
        <v>#REF!</v>
      </c>
      <c r="AD202" s="76" t="e">
        <f>SUMIFS(#REF!,#REF!,$B202,#REF!,AD$1)</f>
        <v>#REF!</v>
      </c>
      <c r="AE202" s="76" t="e">
        <f>SUMIFS(#REF!,#REF!,$B202,#REF!,AE$1)</f>
        <v>#REF!</v>
      </c>
      <c r="AF202" s="76" t="e">
        <f>SUMIFS(#REF!,#REF!,$B202,#REF!,AF$1)</f>
        <v>#REF!</v>
      </c>
      <c r="AG202" s="76" t="e">
        <f>SUMIFS(#REF!,#REF!,$B202,#REF!,AG$1)</f>
        <v>#REF!</v>
      </c>
      <c r="AH202" s="76" t="e">
        <f>SUMIFS(#REF!,#REF!,$B202,#REF!,AH$1)</f>
        <v>#REF!</v>
      </c>
      <c r="AI202" s="82"/>
    </row>
    <row r="203" spans="2:35" ht="15" hidden="1" customHeight="1" x14ac:dyDescent="0.25">
      <c r="B203" s="84"/>
      <c r="C203" s="83"/>
      <c r="D203" s="76" t="e">
        <f>SUMIFS(#REF!,#REF!,$B203,#REF!,D$1)</f>
        <v>#REF!</v>
      </c>
      <c r="E203" s="76" t="e">
        <f>SUMIFS(#REF!,#REF!,$B203,#REF!,E$1)</f>
        <v>#REF!</v>
      </c>
      <c r="F203" s="76" t="e">
        <f>SUMIFS(#REF!,#REF!,$B203,#REF!,F$1)</f>
        <v>#REF!</v>
      </c>
      <c r="G203" s="76" t="e">
        <f>SUMIFS(#REF!,#REF!,$B203,#REF!,G$1)</f>
        <v>#REF!</v>
      </c>
      <c r="H203" s="76" t="e">
        <f>SUMIFS(#REF!,#REF!,$B203,#REF!,H$1)</f>
        <v>#REF!</v>
      </c>
      <c r="I203" s="76" t="e">
        <f>SUMIFS(#REF!,#REF!,$B203,#REF!,I$1)</f>
        <v>#REF!</v>
      </c>
      <c r="J203" s="76" t="e">
        <f>SUMIFS(#REF!,#REF!,$B203,#REF!,J$1)</f>
        <v>#REF!</v>
      </c>
      <c r="K203" s="76" t="e">
        <f>SUMIFS(#REF!,#REF!,$B203,#REF!,K$1)</f>
        <v>#REF!</v>
      </c>
      <c r="L203" s="76" t="e">
        <f>SUMIFS(#REF!,#REF!,$B203,#REF!,L$1)</f>
        <v>#REF!</v>
      </c>
      <c r="M203" s="76" t="e">
        <f>SUMIFS(#REF!,#REF!,$B203,#REF!,M$1)</f>
        <v>#REF!</v>
      </c>
      <c r="N203" s="76" t="e">
        <f>SUMIFS(#REF!,#REF!,$B203,#REF!,N$1)</f>
        <v>#REF!</v>
      </c>
      <c r="O203" s="76" t="e">
        <f>SUMIFS(#REF!,#REF!,$B203,#REF!,O$1)</f>
        <v>#REF!</v>
      </c>
      <c r="P203" s="76" t="e">
        <f>SUMIFS(#REF!,#REF!,$B203,#REF!,P$1)</f>
        <v>#REF!</v>
      </c>
      <c r="Q203" s="76" t="e">
        <f>SUMIFS(#REF!,#REF!,$B203,#REF!,Q$1)</f>
        <v>#REF!</v>
      </c>
      <c r="R203" s="76" t="e">
        <f>SUMIFS(#REF!,#REF!,$B203,#REF!,R$1)</f>
        <v>#REF!</v>
      </c>
      <c r="S203" s="76" t="e">
        <f>SUMIFS(#REF!,#REF!,$B203,#REF!,S$1)</f>
        <v>#REF!</v>
      </c>
      <c r="T203" s="76" t="e">
        <f>SUMIFS(#REF!,#REF!,$B203,#REF!,T$1)</f>
        <v>#REF!</v>
      </c>
      <c r="U203" s="76" t="e">
        <f>SUMIFS(#REF!,#REF!,$B203,#REF!,U$1)</f>
        <v>#REF!</v>
      </c>
      <c r="V203" s="76" t="e">
        <f>SUMIFS(#REF!,#REF!,$B203,#REF!,V$1)</f>
        <v>#REF!</v>
      </c>
      <c r="W203" s="76" t="e">
        <f>SUMIFS(#REF!,#REF!,$B203,#REF!,W$1)</f>
        <v>#REF!</v>
      </c>
      <c r="X203" s="76" t="e">
        <f>SUMIFS(#REF!,#REF!,$B203,#REF!,X$1)</f>
        <v>#REF!</v>
      </c>
      <c r="Y203" s="76" t="e">
        <f>SUMIFS(#REF!,#REF!,$B203,#REF!,Y$1)</f>
        <v>#REF!</v>
      </c>
      <c r="Z203" s="76" t="e">
        <f>SUMIFS(#REF!,#REF!,$B203,#REF!,Z$1)</f>
        <v>#REF!</v>
      </c>
      <c r="AA203" s="76" t="e">
        <f>SUMIFS(#REF!,#REF!,$B203,#REF!,AA$1)</f>
        <v>#REF!</v>
      </c>
      <c r="AB203" s="76" t="e">
        <f>SUMIFS(#REF!,#REF!,$B203,#REF!,AB$1)</f>
        <v>#REF!</v>
      </c>
      <c r="AC203" s="76" t="e">
        <f>SUMIFS(#REF!,#REF!,$B203,#REF!,AC$1)</f>
        <v>#REF!</v>
      </c>
      <c r="AD203" s="76" t="e">
        <f>SUMIFS(#REF!,#REF!,$B203,#REF!,AD$1)</f>
        <v>#REF!</v>
      </c>
      <c r="AE203" s="76" t="e">
        <f>SUMIFS(#REF!,#REF!,$B203,#REF!,AE$1)</f>
        <v>#REF!</v>
      </c>
      <c r="AF203" s="76" t="e">
        <f>SUMIFS(#REF!,#REF!,$B203,#REF!,AF$1)</f>
        <v>#REF!</v>
      </c>
      <c r="AG203" s="76" t="e">
        <f>SUMIFS(#REF!,#REF!,$B203,#REF!,AG$1)</f>
        <v>#REF!</v>
      </c>
      <c r="AH203" s="76" t="e">
        <f>SUMIFS(#REF!,#REF!,$B203,#REF!,AH$1)</f>
        <v>#REF!</v>
      </c>
      <c r="AI203" s="82"/>
    </row>
    <row r="204" spans="2:35" ht="15" hidden="1" customHeight="1" x14ac:dyDescent="0.25">
      <c r="B204" s="84"/>
      <c r="C204" s="83"/>
      <c r="D204" s="76" t="e">
        <f>SUMIFS(#REF!,#REF!,$B204,#REF!,D$1)</f>
        <v>#REF!</v>
      </c>
      <c r="E204" s="76" t="e">
        <f>SUMIFS(#REF!,#REF!,$B204,#REF!,E$1)</f>
        <v>#REF!</v>
      </c>
      <c r="F204" s="76" t="e">
        <f>SUMIFS(#REF!,#REF!,$B204,#REF!,F$1)</f>
        <v>#REF!</v>
      </c>
      <c r="G204" s="76" t="e">
        <f>SUMIFS(#REF!,#REF!,$B204,#REF!,G$1)</f>
        <v>#REF!</v>
      </c>
      <c r="H204" s="76" t="e">
        <f>SUMIFS(#REF!,#REF!,$B204,#REF!,H$1)</f>
        <v>#REF!</v>
      </c>
      <c r="I204" s="76" t="e">
        <f>SUMIFS(#REF!,#REF!,$B204,#REF!,I$1)</f>
        <v>#REF!</v>
      </c>
      <c r="J204" s="76" t="e">
        <f>SUMIFS(#REF!,#REF!,$B204,#REF!,J$1)</f>
        <v>#REF!</v>
      </c>
      <c r="K204" s="76" t="e">
        <f>SUMIFS(#REF!,#REF!,$B204,#REF!,K$1)</f>
        <v>#REF!</v>
      </c>
      <c r="L204" s="76" t="e">
        <f>SUMIFS(#REF!,#REF!,$B204,#REF!,L$1)</f>
        <v>#REF!</v>
      </c>
      <c r="M204" s="76" t="e">
        <f>SUMIFS(#REF!,#REF!,$B204,#REF!,M$1)</f>
        <v>#REF!</v>
      </c>
      <c r="N204" s="76" t="e">
        <f>SUMIFS(#REF!,#REF!,$B204,#REF!,N$1)</f>
        <v>#REF!</v>
      </c>
      <c r="O204" s="76" t="e">
        <f>SUMIFS(#REF!,#REF!,$B204,#REF!,O$1)</f>
        <v>#REF!</v>
      </c>
      <c r="P204" s="76" t="e">
        <f>SUMIFS(#REF!,#REF!,$B204,#REF!,P$1)</f>
        <v>#REF!</v>
      </c>
      <c r="Q204" s="76" t="e">
        <f>SUMIFS(#REF!,#REF!,$B204,#REF!,Q$1)</f>
        <v>#REF!</v>
      </c>
      <c r="R204" s="76" t="e">
        <f>SUMIFS(#REF!,#REF!,$B204,#REF!,R$1)</f>
        <v>#REF!</v>
      </c>
      <c r="S204" s="76" t="e">
        <f>SUMIFS(#REF!,#REF!,$B204,#REF!,S$1)</f>
        <v>#REF!</v>
      </c>
      <c r="T204" s="76" t="e">
        <f>SUMIFS(#REF!,#REF!,$B204,#REF!,T$1)</f>
        <v>#REF!</v>
      </c>
      <c r="U204" s="76" t="e">
        <f>SUMIFS(#REF!,#REF!,$B204,#REF!,U$1)</f>
        <v>#REF!</v>
      </c>
      <c r="V204" s="76" t="e">
        <f>SUMIFS(#REF!,#REF!,$B204,#REF!,V$1)</f>
        <v>#REF!</v>
      </c>
      <c r="W204" s="76" t="e">
        <f>SUMIFS(#REF!,#REF!,$B204,#REF!,W$1)</f>
        <v>#REF!</v>
      </c>
      <c r="X204" s="76" t="e">
        <f>SUMIFS(#REF!,#REF!,$B204,#REF!,X$1)</f>
        <v>#REF!</v>
      </c>
      <c r="Y204" s="76" t="e">
        <f>SUMIFS(#REF!,#REF!,$B204,#REF!,Y$1)</f>
        <v>#REF!</v>
      </c>
      <c r="Z204" s="76" t="e">
        <f>SUMIFS(#REF!,#REF!,$B204,#REF!,Z$1)</f>
        <v>#REF!</v>
      </c>
      <c r="AA204" s="76" t="e">
        <f>SUMIFS(#REF!,#REF!,$B204,#REF!,AA$1)</f>
        <v>#REF!</v>
      </c>
      <c r="AB204" s="76" t="e">
        <f>SUMIFS(#REF!,#REF!,$B204,#REF!,AB$1)</f>
        <v>#REF!</v>
      </c>
      <c r="AC204" s="76" t="e">
        <f>SUMIFS(#REF!,#REF!,$B204,#REF!,AC$1)</f>
        <v>#REF!</v>
      </c>
      <c r="AD204" s="76" t="e">
        <f>SUMIFS(#REF!,#REF!,$B204,#REF!,AD$1)</f>
        <v>#REF!</v>
      </c>
      <c r="AE204" s="76" t="e">
        <f>SUMIFS(#REF!,#REF!,$B204,#REF!,AE$1)</f>
        <v>#REF!</v>
      </c>
      <c r="AF204" s="76" t="e">
        <f>SUMIFS(#REF!,#REF!,$B204,#REF!,AF$1)</f>
        <v>#REF!</v>
      </c>
      <c r="AG204" s="76" t="e">
        <f>SUMIFS(#REF!,#REF!,$B204,#REF!,AG$1)</f>
        <v>#REF!</v>
      </c>
      <c r="AH204" s="76" t="e">
        <f>SUMIFS(#REF!,#REF!,$B204,#REF!,AH$1)</f>
        <v>#REF!</v>
      </c>
      <c r="AI204" s="82"/>
    </row>
    <row r="205" spans="2:35" ht="15" hidden="1" customHeight="1" x14ac:dyDescent="0.25">
      <c r="B205" s="84"/>
      <c r="C205" s="83"/>
      <c r="D205" s="76" t="e">
        <f>SUMIFS(#REF!,#REF!,$B205,#REF!,D$1)</f>
        <v>#REF!</v>
      </c>
      <c r="E205" s="76" t="e">
        <f>SUMIFS(#REF!,#REF!,$B205,#REF!,E$1)</f>
        <v>#REF!</v>
      </c>
      <c r="F205" s="76" t="e">
        <f>SUMIFS(#REF!,#REF!,$B205,#REF!,F$1)</f>
        <v>#REF!</v>
      </c>
      <c r="G205" s="76" t="e">
        <f>SUMIFS(#REF!,#REF!,$B205,#REF!,G$1)</f>
        <v>#REF!</v>
      </c>
      <c r="H205" s="76" t="e">
        <f>SUMIFS(#REF!,#REF!,$B205,#REF!,H$1)</f>
        <v>#REF!</v>
      </c>
      <c r="I205" s="76" t="e">
        <f>SUMIFS(#REF!,#REF!,$B205,#REF!,I$1)</f>
        <v>#REF!</v>
      </c>
      <c r="J205" s="76" t="e">
        <f>SUMIFS(#REF!,#REF!,$B205,#REF!,J$1)</f>
        <v>#REF!</v>
      </c>
      <c r="K205" s="76" t="e">
        <f>SUMIFS(#REF!,#REF!,$B205,#REF!,K$1)</f>
        <v>#REF!</v>
      </c>
      <c r="L205" s="76" t="e">
        <f>SUMIFS(#REF!,#REF!,$B205,#REF!,L$1)</f>
        <v>#REF!</v>
      </c>
      <c r="M205" s="76" t="e">
        <f>SUMIFS(#REF!,#REF!,$B205,#REF!,M$1)</f>
        <v>#REF!</v>
      </c>
      <c r="N205" s="76" t="e">
        <f>SUMIFS(#REF!,#REF!,$B205,#REF!,N$1)</f>
        <v>#REF!</v>
      </c>
      <c r="O205" s="76" t="e">
        <f>SUMIFS(#REF!,#REF!,$B205,#REF!,O$1)</f>
        <v>#REF!</v>
      </c>
      <c r="P205" s="76" t="e">
        <f>SUMIFS(#REF!,#REF!,$B205,#REF!,P$1)</f>
        <v>#REF!</v>
      </c>
      <c r="Q205" s="76" t="e">
        <f>SUMIFS(#REF!,#REF!,$B205,#REF!,Q$1)</f>
        <v>#REF!</v>
      </c>
      <c r="R205" s="76" t="e">
        <f>SUMIFS(#REF!,#REF!,$B205,#REF!,R$1)</f>
        <v>#REF!</v>
      </c>
      <c r="S205" s="76" t="e">
        <f>SUMIFS(#REF!,#REF!,$B205,#REF!,S$1)</f>
        <v>#REF!</v>
      </c>
      <c r="T205" s="76" t="e">
        <f>SUMIFS(#REF!,#REF!,$B205,#REF!,T$1)</f>
        <v>#REF!</v>
      </c>
      <c r="U205" s="76" t="e">
        <f>SUMIFS(#REF!,#REF!,$B205,#REF!,U$1)</f>
        <v>#REF!</v>
      </c>
      <c r="V205" s="76" t="e">
        <f>SUMIFS(#REF!,#REF!,$B205,#REF!,V$1)</f>
        <v>#REF!</v>
      </c>
      <c r="W205" s="76" t="e">
        <f>SUMIFS(#REF!,#REF!,$B205,#REF!,W$1)</f>
        <v>#REF!</v>
      </c>
      <c r="X205" s="76" t="e">
        <f>SUMIFS(#REF!,#REF!,$B205,#REF!,X$1)</f>
        <v>#REF!</v>
      </c>
      <c r="Y205" s="76" t="e">
        <f>SUMIFS(#REF!,#REF!,$B205,#REF!,Y$1)</f>
        <v>#REF!</v>
      </c>
      <c r="Z205" s="76" t="e">
        <f>SUMIFS(#REF!,#REF!,$B205,#REF!,Z$1)</f>
        <v>#REF!</v>
      </c>
      <c r="AA205" s="76" t="e">
        <f>SUMIFS(#REF!,#REF!,$B205,#REF!,AA$1)</f>
        <v>#REF!</v>
      </c>
      <c r="AB205" s="76" t="e">
        <f>SUMIFS(#REF!,#REF!,$B205,#REF!,AB$1)</f>
        <v>#REF!</v>
      </c>
      <c r="AC205" s="76" t="e">
        <f>SUMIFS(#REF!,#REF!,$B205,#REF!,AC$1)</f>
        <v>#REF!</v>
      </c>
      <c r="AD205" s="76" t="e">
        <f>SUMIFS(#REF!,#REF!,$B205,#REF!,AD$1)</f>
        <v>#REF!</v>
      </c>
      <c r="AE205" s="76" t="e">
        <f>SUMIFS(#REF!,#REF!,$B205,#REF!,AE$1)</f>
        <v>#REF!</v>
      </c>
      <c r="AF205" s="76" t="e">
        <f>SUMIFS(#REF!,#REF!,$B205,#REF!,AF$1)</f>
        <v>#REF!</v>
      </c>
      <c r="AG205" s="76" t="e">
        <f>SUMIFS(#REF!,#REF!,$B205,#REF!,AG$1)</f>
        <v>#REF!</v>
      </c>
      <c r="AH205" s="76" t="e">
        <f>SUMIFS(#REF!,#REF!,$B205,#REF!,AH$1)</f>
        <v>#REF!</v>
      </c>
      <c r="AI205" s="82"/>
    </row>
    <row r="206" spans="2:35" ht="15" hidden="1" customHeight="1" x14ac:dyDescent="0.25">
      <c r="B206" s="84"/>
      <c r="C206" s="83"/>
      <c r="D206" s="76" t="e">
        <f>SUMIFS(#REF!,#REF!,$B206,#REF!,D$1)</f>
        <v>#REF!</v>
      </c>
      <c r="E206" s="76" t="e">
        <f>SUMIFS(#REF!,#REF!,$B206,#REF!,E$1)</f>
        <v>#REF!</v>
      </c>
      <c r="F206" s="76" t="e">
        <f>SUMIFS(#REF!,#REF!,$B206,#REF!,F$1)</f>
        <v>#REF!</v>
      </c>
      <c r="G206" s="76" t="e">
        <f>SUMIFS(#REF!,#REF!,$B206,#REF!,G$1)</f>
        <v>#REF!</v>
      </c>
      <c r="H206" s="76" t="e">
        <f>SUMIFS(#REF!,#REF!,$B206,#REF!,H$1)</f>
        <v>#REF!</v>
      </c>
      <c r="I206" s="76" t="e">
        <f>SUMIFS(#REF!,#REF!,$B206,#REF!,I$1)</f>
        <v>#REF!</v>
      </c>
      <c r="J206" s="76" t="e">
        <f>SUMIFS(#REF!,#REF!,$B206,#REF!,J$1)</f>
        <v>#REF!</v>
      </c>
      <c r="K206" s="76" t="e">
        <f>SUMIFS(#REF!,#REF!,$B206,#REF!,K$1)</f>
        <v>#REF!</v>
      </c>
      <c r="L206" s="76" t="e">
        <f>SUMIFS(#REF!,#REF!,$B206,#REF!,L$1)</f>
        <v>#REF!</v>
      </c>
      <c r="M206" s="76" t="e">
        <f>SUMIFS(#REF!,#REF!,$B206,#REF!,M$1)</f>
        <v>#REF!</v>
      </c>
      <c r="N206" s="76" t="e">
        <f>SUMIFS(#REF!,#REF!,$B206,#REF!,N$1)</f>
        <v>#REF!</v>
      </c>
      <c r="O206" s="76" t="e">
        <f>SUMIFS(#REF!,#REF!,$B206,#REF!,O$1)</f>
        <v>#REF!</v>
      </c>
      <c r="P206" s="76" t="e">
        <f>SUMIFS(#REF!,#REF!,$B206,#REF!,P$1)</f>
        <v>#REF!</v>
      </c>
      <c r="Q206" s="76" t="e">
        <f>SUMIFS(#REF!,#REF!,$B206,#REF!,Q$1)</f>
        <v>#REF!</v>
      </c>
      <c r="R206" s="76" t="e">
        <f>SUMIFS(#REF!,#REF!,$B206,#REF!,R$1)</f>
        <v>#REF!</v>
      </c>
      <c r="S206" s="76" t="e">
        <f>SUMIFS(#REF!,#REF!,$B206,#REF!,S$1)</f>
        <v>#REF!</v>
      </c>
      <c r="T206" s="76" t="e">
        <f>SUMIFS(#REF!,#REF!,$B206,#REF!,T$1)</f>
        <v>#REF!</v>
      </c>
      <c r="U206" s="76" t="e">
        <f>SUMIFS(#REF!,#REF!,$B206,#REF!,U$1)</f>
        <v>#REF!</v>
      </c>
      <c r="V206" s="76" t="e">
        <f>SUMIFS(#REF!,#REF!,$B206,#REF!,V$1)</f>
        <v>#REF!</v>
      </c>
      <c r="W206" s="76" t="e">
        <f>SUMIFS(#REF!,#REF!,$B206,#REF!,W$1)</f>
        <v>#REF!</v>
      </c>
      <c r="X206" s="76" t="e">
        <f>SUMIFS(#REF!,#REF!,$B206,#REF!,X$1)</f>
        <v>#REF!</v>
      </c>
      <c r="Y206" s="76" t="e">
        <f>SUMIFS(#REF!,#REF!,$B206,#REF!,Y$1)</f>
        <v>#REF!</v>
      </c>
      <c r="Z206" s="76" t="e">
        <f>SUMIFS(#REF!,#REF!,$B206,#REF!,Z$1)</f>
        <v>#REF!</v>
      </c>
      <c r="AA206" s="76" t="e">
        <f>SUMIFS(#REF!,#REF!,$B206,#REF!,AA$1)</f>
        <v>#REF!</v>
      </c>
      <c r="AB206" s="76" t="e">
        <f>SUMIFS(#REF!,#REF!,$B206,#REF!,AB$1)</f>
        <v>#REF!</v>
      </c>
      <c r="AC206" s="76" t="e">
        <f>SUMIFS(#REF!,#REF!,$B206,#REF!,AC$1)</f>
        <v>#REF!</v>
      </c>
      <c r="AD206" s="76" t="e">
        <f>SUMIFS(#REF!,#REF!,$B206,#REF!,AD$1)</f>
        <v>#REF!</v>
      </c>
      <c r="AE206" s="76" t="e">
        <f>SUMIFS(#REF!,#REF!,$B206,#REF!,AE$1)</f>
        <v>#REF!</v>
      </c>
      <c r="AF206" s="76" t="e">
        <f>SUMIFS(#REF!,#REF!,$B206,#REF!,AF$1)</f>
        <v>#REF!</v>
      </c>
      <c r="AG206" s="76" t="e">
        <f>SUMIFS(#REF!,#REF!,$B206,#REF!,AG$1)</f>
        <v>#REF!</v>
      </c>
      <c r="AH206" s="76" t="e">
        <f>SUMIFS(#REF!,#REF!,$B206,#REF!,AH$1)</f>
        <v>#REF!</v>
      </c>
      <c r="AI206" s="82"/>
    </row>
    <row r="207" spans="2:35" ht="15" hidden="1" customHeight="1" x14ac:dyDescent="0.25">
      <c r="B207" s="84"/>
      <c r="C207" s="83"/>
      <c r="D207" s="76" t="e">
        <f>SUMIFS(#REF!,#REF!,$B207,#REF!,D$1)</f>
        <v>#REF!</v>
      </c>
      <c r="E207" s="76" t="e">
        <f>SUMIFS(#REF!,#REF!,$B207,#REF!,E$1)</f>
        <v>#REF!</v>
      </c>
      <c r="F207" s="76" t="e">
        <f>SUMIFS(#REF!,#REF!,$B207,#REF!,F$1)</f>
        <v>#REF!</v>
      </c>
      <c r="G207" s="76" t="e">
        <f>SUMIFS(#REF!,#REF!,$B207,#REF!,G$1)</f>
        <v>#REF!</v>
      </c>
      <c r="H207" s="76" t="e">
        <f>SUMIFS(#REF!,#REF!,$B207,#REF!,H$1)</f>
        <v>#REF!</v>
      </c>
      <c r="I207" s="76" t="e">
        <f>SUMIFS(#REF!,#REF!,$B207,#REF!,I$1)</f>
        <v>#REF!</v>
      </c>
      <c r="J207" s="76" t="e">
        <f>SUMIFS(#REF!,#REF!,$B207,#REF!,J$1)</f>
        <v>#REF!</v>
      </c>
      <c r="K207" s="76" t="e">
        <f>SUMIFS(#REF!,#REF!,$B207,#REF!,K$1)</f>
        <v>#REF!</v>
      </c>
      <c r="L207" s="76" t="e">
        <f>SUMIFS(#REF!,#REF!,$B207,#REF!,L$1)</f>
        <v>#REF!</v>
      </c>
      <c r="M207" s="76" t="e">
        <f>SUMIFS(#REF!,#REF!,$B207,#REF!,M$1)</f>
        <v>#REF!</v>
      </c>
      <c r="N207" s="76" t="e">
        <f>SUMIFS(#REF!,#REF!,$B207,#REF!,N$1)</f>
        <v>#REF!</v>
      </c>
      <c r="O207" s="76" t="e">
        <f>SUMIFS(#REF!,#REF!,$B207,#REF!,O$1)</f>
        <v>#REF!</v>
      </c>
      <c r="P207" s="76" t="e">
        <f>SUMIFS(#REF!,#REF!,$B207,#REF!,P$1)</f>
        <v>#REF!</v>
      </c>
      <c r="Q207" s="76" t="e">
        <f>SUMIFS(#REF!,#REF!,$B207,#REF!,Q$1)</f>
        <v>#REF!</v>
      </c>
      <c r="R207" s="76" t="e">
        <f>SUMIFS(#REF!,#REF!,$B207,#REF!,R$1)</f>
        <v>#REF!</v>
      </c>
      <c r="S207" s="76" t="e">
        <f>SUMIFS(#REF!,#REF!,$B207,#REF!,S$1)</f>
        <v>#REF!</v>
      </c>
      <c r="T207" s="76" t="e">
        <f>SUMIFS(#REF!,#REF!,$B207,#REF!,T$1)</f>
        <v>#REF!</v>
      </c>
      <c r="U207" s="76" t="e">
        <f>SUMIFS(#REF!,#REF!,$B207,#REF!,U$1)</f>
        <v>#REF!</v>
      </c>
      <c r="V207" s="76" t="e">
        <f>SUMIFS(#REF!,#REF!,$B207,#REF!,V$1)</f>
        <v>#REF!</v>
      </c>
      <c r="W207" s="76" t="e">
        <f>SUMIFS(#REF!,#REF!,$B207,#REF!,W$1)</f>
        <v>#REF!</v>
      </c>
      <c r="X207" s="76" t="e">
        <f>SUMIFS(#REF!,#REF!,$B207,#REF!,X$1)</f>
        <v>#REF!</v>
      </c>
      <c r="Y207" s="76" t="e">
        <f>SUMIFS(#REF!,#REF!,$B207,#REF!,Y$1)</f>
        <v>#REF!</v>
      </c>
      <c r="Z207" s="76" t="e">
        <f>SUMIFS(#REF!,#REF!,$B207,#REF!,Z$1)</f>
        <v>#REF!</v>
      </c>
      <c r="AA207" s="76" t="e">
        <f>SUMIFS(#REF!,#REF!,$B207,#REF!,AA$1)</f>
        <v>#REF!</v>
      </c>
      <c r="AB207" s="76" t="e">
        <f>SUMIFS(#REF!,#REF!,$B207,#REF!,AB$1)</f>
        <v>#REF!</v>
      </c>
      <c r="AC207" s="76" t="e">
        <f>SUMIFS(#REF!,#REF!,$B207,#REF!,AC$1)</f>
        <v>#REF!</v>
      </c>
      <c r="AD207" s="76" t="e">
        <f>SUMIFS(#REF!,#REF!,$B207,#REF!,AD$1)</f>
        <v>#REF!</v>
      </c>
      <c r="AE207" s="76" t="e">
        <f>SUMIFS(#REF!,#REF!,$B207,#REF!,AE$1)</f>
        <v>#REF!</v>
      </c>
      <c r="AF207" s="76" t="e">
        <f>SUMIFS(#REF!,#REF!,$B207,#REF!,AF$1)</f>
        <v>#REF!</v>
      </c>
      <c r="AG207" s="76" t="e">
        <f>SUMIFS(#REF!,#REF!,$B207,#REF!,AG$1)</f>
        <v>#REF!</v>
      </c>
      <c r="AH207" s="76" t="e">
        <f>SUMIFS(#REF!,#REF!,$B207,#REF!,AH$1)</f>
        <v>#REF!</v>
      </c>
      <c r="AI207" s="82"/>
    </row>
    <row r="208" spans="2:35" ht="15" hidden="1" customHeight="1" x14ac:dyDescent="0.25">
      <c r="B208" s="84"/>
      <c r="C208" s="83"/>
      <c r="D208" s="76" t="e">
        <f>SUMIFS(#REF!,#REF!,$B208,#REF!,D$1)</f>
        <v>#REF!</v>
      </c>
      <c r="E208" s="76" t="e">
        <f>SUMIFS(#REF!,#REF!,$B208,#REF!,E$1)</f>
        <v>#REF!</v>
      </c>
      <c r="F208" s="76" t="e">
        <f>SUMIFS(#REF!,#REF!,$B208,#REF!,F$1)</f>
        <v>#REF!</v>
      </c>
      <c r="G208" s="76" t="e">
        <f>SUMIFS(#REF!,#REF!,$B208,#REF!,G$1)</f>
        <v>#REF!</v>
      </c>
      <c r="H208" s="76" t="e">
        <f>SUMIFS(#REF!,#REF!,$B208,#REF!,H$1)</f>
        <v>#REF!</v>
      </c>
      <c r="I208" s="76" t="e">
        <f>SUMIFS(#REF!,#REF!,$B208,#REF!,I$1)</f>
        <v>#REF!</v>
      </c>
      <c r="J208" s="76" t="e">
        <f>SUMIFS(#REF!,#REF!,$B208,#REF!,J$1)</f>
        <v>#REF!</v>
      </c>
      <c r="K208" s="76" t="e">
        <f>SUMIFS(#REF!,#REF!,$B208,#REF!,K$1)</f>
        <v>#REF!</v>
      </c>
      <c r="L208" s="76" t="e">
        <f>SUMIFS(#REF!,#REF!,$B208,#REF!,L$1)</f>
        <v>#REF!</v>
      </c>
      <c r="M208" s="76" t="e">
        <f>SUMIFS(#REF!,#REF!,$B208,#REF!,M$1)</f>
        <v>#REF!</v>
      </c>
      <c r="N208" s="76" t="e">
        <f>SUMIFS(#REF!,#REF!,$B208,#REF!,N$1)</f>
        <v>#REF!</v>
      </c>
      <c r="O208" s="76" t="e">
        <f>SUMIFS(#REF!,#REF!,$B208,#REF!,O$1)</f>
        <v>#REF!</v>
      </c>
      <c r="P208" s="76" t="e">
        <f>SUMIFS(#REF!,#REF!,$B208,#REF!,P$1)</f>
        <v>#REF!</v>
      </c>
      <c r="Q208" s="76" t="e">
        <f>SUMIFS(#REF!,#REF!,$B208,#REF!,Q$1)</f>
        <v>#REF!</v>
      </c>
      <c r="R208" s="76" t="e">
        <f>SUMIFS(#REF!,#REF!,$B208,#REF!,R$1)</f>
        <v>#REF!</v>
      </c>
      <c r="S208" s="76" t="e">
        <f>SUMIFS(#REF!,#REF!,$B208,#REF!,S$1)</f>
        <v>#REF!</v>
      </c>
      <c r="T208" s="76" t="e">
        <f>SUMIFS(#REF!,#REF!,$B208,#REF!,T$1)</f>
        <v>#REF!</v>
      </c>
      <c r="U208" s="76" t="e">
        <f>SUMIFS(#REF!,#REF!,$B208,#REF!,U$1)</f>
        <v>#REF!</v>
      </c>
      <c r="V208" s="76" t="e">
        <f>SUMIFS(#REF!,#REF!,$B208,#REF!,V$1)</f>
        <v>#REF!</v>
      </c>
      <c r="W208" s="76" t="e">
        <f>SUMIFS(#REF!,#REF!,$B208,#REF!,W$1)</f>
        <v>#REF!</v>
      </c>
      <c r="X208" s="76" t="e">
        <f>SUMIFS(#REF!,#REF!,$B208,#REF!,X$1)</f>
        <v>#REF!</v>
      </c>
      <c r="Y208" s="76" t="e">
        <f>SUMIFS(#REF!,#REF!,$B208,#REF!,Y$1)</f>
        <v>#REF!</v>
      </c>
      <c r="Z208" s="76" t="e">
        <f>SUMIFS(#REF!,#REF!,$B208,#REF!,Z$1)</f>
        <v>#REF!</v>
      </c>
      <c r="AA208" s="76" t="e">
        <f>SUMIFS(#REF!,#REF!,$B208,#REF!,AA$1)</f>
        <v>#REF!</v>
      </c>
      <c r="AB208" s="76" t="e">
        <f>SUMIFS(#REF!,#REF!,$B208,#REF!,AB$1)</f>
        <v>#REF!</v>
      </c>
      <c r="AC208" s="76" t="e">
        <f>SUMIFS(#REF!,#REF!,$B208,#REF!,AC$1)</f>
        <v>#REF!</v>
      </c>
      <c r="AD208" s="76" t="e">
        <f>SUMIFS(#REF!,#REF!,$B208,#REF!,AD$1)</f>
        <v>#REF!</v>
      </c>
      <c r="AE208" s="76" t="e">
        <f>SUMIFS(#REF!,#REF!,$B208,#REF!,AE$1)</f>
        <v>#REF!</v>
      </c>
      <c r="AF208" s="76" t="e">
        <f>SUMIFS(#REF!,#REF!,$B208,#REF!,AF$1)</f>
        <v>#REF!</v>
      </c>
      <c r="AG208" s="76" t="e">
        <f>SUMIFS(#REF!,#REF!,$B208,#REF!,AG$1)</f>
        <v>#REF!</v>
      </c>
      <c r="AH208" s="76" t="e">
        <f>SUMIFS(#REF!,#REF!,$B208,#REF!,AH$1)</f>
        <v>#REF!</v>
      </c>
      <c r="AI208" s="82"/>
    </row>
    <row r="209" spans="2:35" ht="15" hidden="1" customHeight="1" x14ac:dyDescent="0.25">
      <c r="B209" s="84"/>
      <c r="C209" s="83"/>
      <c r="D209" s="76" t="e">
        <f>SUMIFS(#REF!,#REF!,$B209,#REF!,D$1)</f>
        <v>#REF!</v>
      </c>
      <c r="E209" s="76" t="e">
        <f>SUMIFS(#REF!,#REF!,$B209,#REF!,E$1)</f>
        <v>#REF!</v>
      </c>
      <c r="F209" s="76" t="e">
        <f>SUMIFS(#REF!,#REF!,$B209,#REF!,F$1)</f>
        <v>#REF!</v>
      </c>
      <c r="G209" s="76" t="e">
        <f>SUMIFS(#REF!,#REF!,$B209,#REF!,G$1)</f>
        <v>#REF!</v>
      </c>
      <c r="H209" s="76" t="e">
        <f>SUMIFS(#REF!,#REF!,$B209,#REF!,H$1)</f>
        <v>#REF!</v>
      </c>
      <c r="I209" s="76" t="e">
        <f>SUMIFS(#REF!,#REF!,$B209,#REF!,I$1)</f>
        <v>#REF!</v>
      </c>
      <c r="J209" s="76" t="e">
        <f>SUMIFS(#REF!,#REF!,$B209,#REF!,J$1)</f>
        <v>#REF!</v>
      </c>
      <c r="K209" s="76" t="e">
        <f>SUMIFS(#REF!,#REF!,$B209,#REF!,K$1)</f>
        <v>#REF!</v>
      </c>
      <c r="L209" s="76" t="e">
        <f>SUMIFS(#REF!,#REF!,$B209,#REF!,L$1)</f>
        <v>#REF!</v>
      </c>
      <c r="M209" s="76" t="e">
        <f>SUMIFS(#REF!,#REF!,$B209,#REF!,M$1)</f>
        <v>#REF!</v>
      </c>
      <c r="N209" s="76" t="e">
        <f>SUMIFS(#REF!,#REF!,$B209,#REF!,N$1)</f>
        <v>#REF!</v>
      </c>
      <c r="O209" s="76" t="e">
        <f>SUMIFS(#REF!,#REF!,$B209,#REF!,O$1)</f>
        <v>#REF!</v>
      </c>
      <c r="P209" s="76" t="e">
        <f>SUMIFS(#REF!,#REF!,$B209,#REF!,P$1)</f>
        <v>#REF!</v>
      </c>
      <c r="Q209" s="76" t="e">
        <f>SUMIFS(#REF!,#REF!,$B209,#REF!,Q$1)</f>
        <v>#REF!</v>
      </c>
      <c r="R209" s="76" t="e">
        <f>SUMIFS(#REF!,#REF!,$B209,#REF!,R$1)</f>
        <v>#REF!</v>
      </c>
      <c r="S209" s="76" t="e">
        <f>SUMIFS(#REF!,#REF!,$B209,#REF!,S$1)</f>
        <v>#REF!</v>
      </c>
      <c r="T209" s="76" t="e">
        <f>SUMIFS(#REF!,#REF!,$B209,#REF!,T$1)</f>
        <v>#REF!</v>
      </c>
      <c r="U209" s="76" t="e">
        <f>SUMIFS(#REF!,#REF!,$B209,#REF!,U$1)</f>
        <v>#REF!</v>
      </c>
      <c r="V209" s="76" t="e">
        <f>SUMIFS(#REF!,#REF!,$B209,#REF!,V$1)</f>
        <v>#REF!</v>
      </c>
      <c r="W209" s="76" t="e">
        <f>SUMIFS(#REF!,#REF!,$B209,#REF!,W$1)</f>
        <v>#REF!</v>
      </c>
      <c r="X209" s="76" t="e">
        <f>SUMIFS(#REF!,#REF!,$B209,#REF!,X$1)</f>
        <v>#REF!</v>
      </c>
      <c r="Y209" s="76" t="e">
        <f>SUMIFS(#REF!,#REF!,$B209,#REF!,Y$1)</f>
        <v>#REF!</v>
      </c>
      <c r="Z209" s="76" t="e">
        <f>SUMIFS(#REF!,#REF!,$B209,#REF!,Z$1)</f>
        <v>#REF!</v>
      </c>
      <c r="AA209" s="76" t="e">
        <f>SUMIFS(#REF!,#REF!,$B209,#REF!,AA$1)</f>
        <v>#REF!</v>
      </c>
      <c r="AB209" s="76" t="e">
        <f>SUMIFS(#REF!,#REF!,$B209,#REF!,AB$1)</f>
        <v>#REF!</v>
      </c>
      <c r="AC209" s="76" t="e">
        <f>SUMIFS(#REF!,#REF!,$B209,#REF!,AC$1)</f>
        <v>#REF!</v>
      </c>
      <c r="AD209" s="76" t="e">
        <f>SUMIFS(#REF!,#REF!,$B209,#REF!,AD$1)</f>
        <v>#REF!</v>
      </c>
      <c r="AE209" s="76" t="e">
        <f>SUMIFS(#REF!,#REF!,$B209,#REF!,AE$1)</f>
        <v>#REF!</v>
      </c>
      <c r="AF209" s="76" t="e">
        <f>SUMIFS(#REF!,#REF!,$B209,#REF!,AF$1)</f>
        <v>#REF!</v>
      </c>
      <c r="AG209" s="76" t="e">
        <f>SUMIFS(#REF!,#REF!,$B209,#REF!,AG$1)</f>
        <v>#REF!</v>
      </c>
      <c r="AH209" s="76" t="e">
        <f>SUMIFS(#REF!,#REF!,$B209,#REF!,AH$1)</f>
        <v>#REF!</v>
      </c>
      <c r="AI209" s="82"/>
    </row>
    <row r="210" spans="2:35" ht="15" hidden="1" customHeight="1" x14ac:dyDescent="0.25">
      <c r="B210" s="84"/>
      <c r="C210" s="83"/>
      <c r="D210" s="76" t="e">
        <f>SUMIFS(#REF!,#REF!,$B210,#REF!,D$1)</f>
        <v>#REF!</v>
      </c>
      <c r="E210" s="76" t="e">
        <f>SUMIFS(#REF!,#REF!,$B210,#REF!,E$1)</f>
        <v>#REF!</v>
      </c>
      <c r="F210" s="76" t="e">
        <f>SUMIFS(#REF!,#REF!,$B210,#REF!,F$1)</f>
        <v>#REF!</v>
      </c>
      <c r="G210" s="76" t="e">
        <f>SUMIFS(#REF!,#REF!,$B210,#REF!,G$1)</f>
        <v>#REF!</v>
      </c>
      <c r="H210" s="76" t="e">
        <f>SUMIFS(#REF!,#REF!,$B210,#REF!,H$1)</f>
        <v>#REF!</v>
      </c>
      <c r="I210" s="76" t="e">
        <f>SUMIFS(#REF!,#REF!,$B210,#REF!,I$1)</f>
        <v>#REF!</v>
      </c>
      <c r="J210" s="76" t="e">
        <f>SUMIFS(#REF!,#REF!,$B210,#REF!,J$1)</f>
        <v>#REF!</v>
      </c>
      <c r="K210" s="76" t="e">
        <f>SUMIFS(#REF!,#REF!,$B210,#REF!,K$1)</f>
        <v>#REF!</v>
      </c>
      <c r="L210" s="76" t="e">
        <f>SUMIFS(#REF!,#REF!,$B210,#REF!,L$1)</f>
        <v>#REF!</v>
      </c>
      <c r="M210" s="76" t="e">
        <f>SUMIFS(#REF!,#REF!,$B210,#REF!,M$1)</f>
        <v>#REF!</v>
      </c>
      <c r="N210" s="76" t="e">
        <f>SUMIFS(#REF!,#REF!,$B210,#REF!,N$1)</f>
        <v>#REF!</v>
      </c>
      <c r="O210" s="76" t="e">
        <f>SUMIFS(#REF!,#REF!,$B210,#REF!,O$1)</f>
        <v>#REF!</v>
      </c>
      <c r="P210" s="76" t="e">
        <f>SUMIFS(#REF!,#REF!,$B210,#REF!,P$1)</f>
        <v>#REF!</v>
      </c>
      <c r="Q210" s="76" t="e">
        <f>SUMIFS(#REF!,#REF!,$B210,#REF!,Q$1)</f>
        <v>#REF!</v>
      </c>
      <c r="R210" s="76" t="e">
        <f>SUMIFS(#REF!,#REF!,$B210,#REF!,R$1)</f>
        <v>#REF!</v>
      </c>
      <c r="S210" s="76" t="e">
        <f>SUMIFS(#REF!,#REF!,$B210,#REF!,S$1)</f>
        <v>#REF!</v>
      </c>
      <c r="T210" s="76" t="e">
        <f>SUMIFS(#REF!,#REF!,$B210,#REF!,T$1)</f>
        <v>#REF!</v>
      </c>
      <c r="U210" s="76" t="e">
        <f>SUMIFS(#REF!,#REF!,$B210,#REF!,U$1)</f>
        <v>#REF!</v>
      </c>
      <c r="V210" s="76" t="e">
        <f>SUMIFS(#REF!,#REF!,$B210,#REF!,V$1)</f>
        <v>#REF!</v>
      </c>
      <c r="W210" s="76" t="e">
        <f>SUMIFS(#REF!,#REF!,$B210,#REF!,W$1)</f>
        <v>#REF!</v>
      </c>
      <c r="X210" s="76" t="e">
        <f>SUMIFS(#REF!,#REF!,$B210,#REF!,X$1)</f>
        <v>#REF!</v>
      </c>
      <c r="Y210" s="76" t="e">
        <f>SUMIFS(#REF!,#REF!,$B210,#REF!,Y$1)</f>
        <v>#REF!</v>
      </c>
      <c r="Z210" s="76" t="e">
        <f>SUMIFS(#REF!,#REF!,$B210,#REF!,Z$1)</f>
        <v>#REF!</v>
      </c>
      <c r="AA210" s="76" t="e">
        <f>SUMIFS(#REF!,#REF!,$B210,#REF!,AA$1)</f>
        <v>#REF!</v>
      </c>
      <c r="AB210" s="76" t="e">
        <f>SUMIFS(#REF!,#REF!,$B210,#REF!,AB$1)</f>
        <v>#REF!</v>
      </c>
      <c r="AC210" s="76" t="e">
        <f>SUMIFS(#REF!,#REF!,$B210,#REF!,AC$1)</f>
        <v>#REF!</v>
      </c>
      <c r="AD210" s="76" t="e">
        <f>SUMIFS(#REF!,#REF!,$B210,#REF!,AD$1)</f>
        <v>#REF!</v>
      </c>
      <c r="AE210" s="76" t="e">
        <f>SUMIFS(#REF!,#REF!,$B210,#REF!,AE$1)</f>
        <v>#REF!</v>
      </c>
      <c r="AF210" s="76" t="e">
        <f>SUMIFS(#REF!,#REF!,$B210,#REF!,AF$1)</f>
        <v>#REF!</v>
      </c>
      <c r="AG210" s="76" t="e">
        <f>SUMIFS(#REF!,#REF!,$B210,#REF!,AG$1)</f>
        <v>#REF!</v>
      </c>
      <c r="AH210" s="76" t="e">
        <f>SUMIFS(#REF!,#REF!,$B210,#REF!,AH$1)</f>
        <v>#REF!</v>
      </c>
      <c r="AI210" s="82"/>
    </row>
    <row r="211" spans="2:35" ht="15" hidden="1" customHeight="1" x14ac:dyDescent="0.25">
      <c r="B211" s="84"/>
      <c r="C211" s="83"/>
      <c r="D211" s="76" t="e">
        <f>SUMIFS(#REF!,#REF!,$B211,#REF!,D$1)</f>
        <v>#REF!</v>
      </c>
      <c r="E211" s="76" t="e">
        <f>SUMIFS(#REF!,#REF!,$B211,#REF!,E$1)</f>
        <v>#REF!</v>
      </c>
      <c r="F211" s="76" t="e">
        <f>SUMIFS(#REF!,#REF!,$B211,#REF!,F$1)</f>
        <v>#REF!</v>
      </c>
      <c r="G211" s="76" t="e">
        <f>SUMIFS(#REF!,#REF!,$B211,#REF!,G$1)</f>
        <v>#REF!</v>
      </c>
      <c r="H211" s="76" t="e">
        <f>SUMIFS(#REF!,#REF!,$B211,#REF!,H$1)</f>
        <v>#REF!</v>
      </c>
      <c r="I211" s="76" t="e">
        <f>SUMIFS(#REF!,#REF!,$B211,#REF!,I$1)</f>
        <v>#REF!</v>
      </c>
      <c r="J211" s="76" t="e">
        <f>SUMIFS(#REF!,#REF!,$B211,#REF!,J$1)</f>
        <v>#REF!</v>
      </c>
      <c r="K211" s="76" t="e">
        <f>SUMIFS(#REF!,#REF!,$B211,#REF!,K$1)</f>
        <v>#REF!</v>
      </c>
      <c r="L211" s="76" t="e">
        <f>SUMIFS(#REF!,#REF!,$B211,#REF!,L$1)</f>
        <v>#REF!</v>
      </c>
      <c r="M211" s="76" t="e">
        <f>SUMIFS(#REF!,#REF!,$B211,#REF!,M$1)</f>
        <v>#REF!</v>
      </c>
      <c r="N211" s="76" t="e">
        <f>SUMIFS(#REF!,#REF!,$B211,#REF!,N$1)</f>
        <v>#REF!</v>
      </c>
      <c r="O211" s="76" t="e">
        <f>SUMIFS(#REF!,#REF!,$B211,#REF!,O$1)</f>
        <v>#REF!</v>
      </c>
      <c r="P211" s="76" t="e">
        <f>SUMIFS(#REF!,#REF!,$B211,#REF!,P$1)</f>
        <v>#REF!</v>
      </c>
      <c r="Q211" s="76" t="e">
        <f>SUMIFS(#REF!,#REF!,$B211,#REF!,Q$1)</f>
        <v>#REF!</v>
      </c>
      <c r="R211" s="76" t="e">
        <f>SUMIFS(#REF!,#REF!,$B211,#REF!,R$1)</f>
        <v>#REF!</v>
      </c>
      <c r="S211" s="76" t="e">
        <f>SUMIFS(#REF!,#REF!,$B211,#REF!,S$1)</f>
        <v>#REF!</v>
      </c>
      <c r="T211" s="76" t="e">
        <f>SUMIFS(#REF!,#REF!,$B211,#REF!,T$1)</f>
        <v>#REF!</v>
      </c>
      <c r="U211" s="76" t="e">
        <f>SUMIFS(#REF!,#REF!,$B211,#REF!,U$1)</f>
        <v>#REF!</v>
      </c>
      <c r="V211" s="76" t="e">
        <f>SUMIFS(#REF!,#REF!,$B211,#REF!,V$1)</f>
        <v>#REF!</v>
      </c>
      <c r="W211" s="76" t="e">
        <f>SUMIFS(#REF!,#REF!,$B211,#REF!,W$1)</f>
        <v>#REF!</v>
      </c>
      <c r="X211" s="76" t="e">
        <f>SUMIFS(#REF!,#REF!,$B211,#REF!,X$1)</f>
        <v>#REF!</v>
      </c>
      <c r="Y211" s="76" t="e">
        <f>SUMIFS(#REF!,#REF!,$B211,#REF!,Y$1)</f>
        <v>#REF!</v>
      </c>
      <c r="Z211" s="76" t="e">
        <f>SUMIFS(#REF!,#REF!,$B211,#REF!,Z$1)</f>
        <v>#REF!</v>
      </c>
      <c r="AA211" s="76" t="e">
        <f>SUMIFS(#REF!,#REF!,$B211,#REF!,AA$1)</f>
        <v>#REF!</v>
      </c>
      <c r="AB211" s="76" t="e">
        <f>SUMIFS(#REF!,#REF!,$B211,#REF!,AB$1)</f>
        <v>#REF!</v>
      </c>
      <c r="AC211" s="76" t="e">
        <f>SUMIFS(#REF!,#REF!,$B211,#REF!,AC$1)</f>
        <v>#REF!</v>
      </c>
      <c r="AD211" s="76" t="e">
        <f>SUMIFS(#REF!,#REF!,$B211,#REF!,AD$1)</f>
        <v>#REF!</v>
      </c>
      <c r="AE211" s="76" t="e">
        <f>SUMIFS(#REF!,#REF!,$B211,#REF!,AE$1)</f>
        <v>#REF!</v>
      </c>
      <c r="AF211" s="76" t="e">
        <f>SUMIFS(#REF!,#REF!,$B211,#REF!,AF$1)</f>
        <v>#REF!</v>
      </c>
      <c r="AG211" s="76" t="e">
        <f>SUMIFS(#REF!,#REF!,$B211,#REF!,AG$1)</f>
        <v>#REF!</v>
      </c>
      <c r="AH211" s="76" t="e">
        <f>SUMIFS(#REF!,#REF!,$B211,#REF!,AH$1)</f>
        <v>#REF!</v>
      </c>
      <c r="AI211" s="82"/>
    </row>
    <row r="212" spans="2:35" ht="15" hidden="1" customHeight="1" x14ac:dyDescent="0.25">
      <c r="B212" s="84"/>
      <c r="C212" s="83"/>
      <c r="D212" s="76" t="e">
        <f>SUMIFS(#REF!,#REF!,$B212,#REF!,D$1)</f>
        <v>#REF!</v>
      </c>
      <c r="E212" s="76" t="e">
        <f>SUMIFS(#REF!,#REF!,$B212,#REF!,E$1)</f>
        <v>#REF!</v>
      </c>
      <c r="F212" s="76" t="e">
        <f>SUMIFS(#REF!,#REF!,$B212,#REF!,F$1)</f>
        <v>#REF!</v>
      </c>
      <c r="G212" s="76" t="e">
        <f>SUMIFS(#REF!,#REF!,$B212,#REF!,G$1)</f>
        <v>#REF!</v>
      </c>
      <c r="H212" s="76" t="e">
        <f>SUMIFS(#REF!,#REF!,$B212,#REF!,H$1)</f>
        <v>#REF!</v>
      </c>
      <c r="I212" s="76" t="e">
        <f>SUMIFS(#REF!,#REF!,$B212,#REF!,I$1)</f>
        <v>#REF!</v>
      </c>
      <c r="J212" s="76" t="e">
        <f>SUMIFS(#REF!,#REF!,$B212,#REF!,J$1)</f>
        <v>#REF!</v>
      </c>
      <c r="K212" s="76" t="e">
        <f>SUMIFS(#REF!,#REF!,$B212,#REF!,K$1)</f>
        <v>#REF!</v>
      </c>
      <c r="L212" s="76" t="e">
        <f>SUMIFS(#REF!,#REF!,$B212,#REF!,L$1)</f>
        <v>#REF!</v>
      </c>
      <c r="M212" s="76" t="e">
        <f>SUMIFS(#REF!,#REF!,$B212,#REF!,M$1)</f>
        <v>#REF!</v>
      </c>
      <c r="N212" s="76" t="e">
        <f>SUMIFS(#REF!,#REF!,$B212,#REF!,N$1)</f>
        <v>#REF!</v>
      </c>
      <c r="O212" s="76" t="e">
        <f>SUMIFS(#REF!,#REF!,$B212,#REF!,O$1)</f>
        <v>#REF!</v>
      </c>
      <c r="P212" s="76" t="e">
        <f>SUMIFS(#REF!,#REF!,$B212,#REF!,P$1)</f>
        <v>#REF!</v>
      </c>
      <c r="Q212" s="76" t="e">
        <f>SUMIFS(#REF!,#REF!,$B212,#REF!,Q$1)</f>
        <v>#REF!</v>
      </c>
      <c r="R212" s="76" t="e">
        <f>SUMIFS(#REF!,#REF!,$B212,#REF!,R$1)</f>
        <v>#REF!</v>
      </c>
      <c r="S212" s="76" t="e">
        <f>SUMIFS(#REF!,#REF!,$B212,#REF!,S$1)</f>
        <v>#REF!</v>
      </c>
      <c r="T212" s="76" t="e">
        <f>SUMIFS(#REF!,#REF!,$B212,#REF!,T$1)</f>
        <v>#REF!</v>
      </c>
      <c r="U212" s="76" t="e">
        <f>SUMIFS(#REF!,#REF!,$B212,#REF!,U$1)</f>
        <v>#REF!</v>
      </c>
      <c r="V212" s="76" t="e">
        <f>SUMIFS(#REF!,#REF!,$B212,#REF!,V$1)</f>
        <v>#REF!</v>
      </c>
      <c r="W212" s="76" t="e">
        <f>SUMIFS(#REF!,#REF!,$B212,#REF!,W$1)</f>
        <v>#REF!</v>
      </c>
      <c r="X212" s="76" t="e">
        <f>SUMIFS(#REF!,#REF!,$B212,#REF!,X$1)</f>
        <v>#REF!</v>
      </c>
      <c r="Y212" s="76" t="e">
        <f>SUMIFS(#REF!,#REF!,$B212,#REF!,Y$1)</f>
        <v>#REF!</v>
      </c>
      <c r="Z212" s="76" t="e">
        <f>SUMIFS(#REF!,#REF!,$B212,#REF!,Z$1)</f>
        <v>#REF!</v>
      </c>
      <c r="AA212" s="76" t="e">
        <f>SUMIFS(#REF!,#REF!,$B212,#REF!,AA$1)</f>
        <v>#REF!</v>
      </c>
      <c r="AB212" s="76" t="e">
        <f>SUMIFS(#REF!,#REF!,$B212,#REF!,AB$1)</f>
        <v>#REF!</v>
      </c>
      <c r="AC212" s="76" t="e">
        <f>SUMIFS(#REF!,#REF!,$B212,#REF!,AC$1)</f>
        <v>#REF!</v>
      </c>
      <c r="AD212" s="76" t="e">
        <f>SUMIFS(#REF!,#REF!,$B212,#REF!,AD$1)</f>
        <v>#REF!</v>
      </c>
      <c r="AE212" s="76" t="e">
        <f>SUMIFS(#REF!,#REF!,$B212,#REF!,AE$1)</f>
        <v>#REF!</v>
      </c>
      <c r="AF212" s="76" t="e">
        <f>SUMIFS(#REF!,#REF!,$B212,#REF!,AF$1)</f>
        <v>#REF!</v>
      </c>
      <c r="AG212" s="76" t="e">
        <f>SUMIFS(#REF!,#REF!,$B212,#REF!,AG$1)</f>
        <v>#REF!</v>
      </c>
      <c r="AH212" s="76" t="e">
        <f>SUMIFS(#REF!,#REF!,$B212,#REF!,AH$1)</f>
        <v>#REF!</v>
      </c>
      <c r="AI212" s="82"/>
    </row>
    <row r="213" spans="2:35" ht="15" hidden="1" customHeight="1" x14ac:dyDescent="0.25">
      <c r="B213" s="84"/>
      <c r="C213" s="83"/>
      <c r="D213" s="76" t="e">
        <f>SUMIFS(#REF!,#REF!,$B213,#REF!,D$1)</f>
        <v>#REF!</v>
      </c>
      <c r="E213" s="76" t="e">
        <f>SUMIFS(#REF!,#REF!,$B213,#REF!,E$1)</f>
        <v>#REF!</v>
      </c>
      <c r="F213" s="76" t="e">
        <f>SUMIFS(#REF!,#REF!,$B213,#REF!,F$1)</f>
        <v>#REF!</v>
      </c>
      <c r="G213" s="76" t="e">
        <f>SUMIFS(#REF!,#REF!,$B213,#REF!,G$1)</f>
        <v>#REF!</v>
      </c>
      <c r="H213" s="76" t="e">
        <f>SUMIFS(#REF!,#REF!,$B213,#REF!,H$1)</f>
        <v>#REF!</v>
      </c>
      <c r="I213" s="76" t="e">
        <f>SUMIFS(#REF!,#REF!,$B213,#REF!,I$1)</f>
        <v>#REF!</v>
      </c>
      <c r="J213" s="76" t="e">
        <f>SUMIFS(#REF!,#REF!,$B213,#REF!,J$1)</f>
        <v>#REF!</v>
      </c>
      <c r="K213" s="76" t="e">
        <f>SUMIFS(#REF!,#REF!,$B213,#REF!,K$1)</f>
        <v>#REF!</v>
      </c>
      <c r="L213" s="76" t="e">
        <f>SUMIFS(#REF!,#REF!,$B213,#REF!,L$1)</f>
        <v>#REF!</v>
      </c>
      <c r="M213" s="76" t="e">
        <f>SUMIFS(#REF!,#REF!,$B213,#REF!,M$1)</f>
        <v>#REF!</v>
      </c>
      <c r="N213" s="76" t="e">
        <f>SUMIFS(#REF!,#REF!,$B213,#REF!,N$1)</f>
        <v>#REF!</v>
      </c>
      <c r="O213" s="76" t="e">
        <f>SUMIFS(#REF!,#REF!,$B213,#REF!,O$1)</f>
        <v>#REF!</v>
      </c>
      <c r="P213" s="76" t="e">
        <f>SUMIFS(#REF!,#REF!,$B213,#REF!,P$1)</f>
        <v>#REF!</v>
      </c>
      <c r="Q213" s="76" t="e">
        <f>SUMIFS(#REF!,#REF!,$B213,#REF!,Q$1)</f>
        <v>#REF!</v>
      </c>
      <c r="R213" s="76" t="e">
        <f>SUMIFS(#REF!,#REF!,$B213,#REF!,R$1)</f>
        <v>#REF!</v>
      </c>
      <c r="S213" s="76" t="e">
        <f>SUMIFS(#REF!,#REF!,$B213,#REF!,S$1)</f>
        <v>#REF!</v>
      </c>
      <c r="T213" s="76" t="e">
        <f>SUMIFS(#REF!,#REF!,$B213,#REF!,T$1)</f>
        <v>#REF!</v>
      </c>
      <c r="U213" s="76" t="e">
        <f>SUMIFS(#REF!,#REF!,$B213,#REF!,U$1)</f>
        <v>#REF!</v>
      </c>
      <c r="V213" s="76" t="e">
        <f>SUMIFS(#REF!,#REF!,$B213,#REF!,V$1)</f>
        <v>#REF!</v>
      </c>
      <c r="W213" s="76" t="e">
        <f>SUMIFS(#REF!,#REF!,$B213,#REF!,W$1)</f>
        <v>#REF!</v>
      </c>
      <c r="X213" s="76" t="e">
        <f>SUMIFS(#REF!,#REF!,$B213,#REF!,X$1)</f>
        <v>#REF!</v>
      </c>
      <c r="Y213" s="76" t="e">
        <f>SUMIFS(#REF!,#REF!,$B213,#REF!,Y$1)</f>
        <v>#REF!</v>
      </c>
      <c r="Z213" s="76" t="e">
        <f>SUMIFS(#REF!,#REF!,$B213,#REF!,Z$1)</f>
        <v>#REF!</v>
      </c>
      <c r="AA213" s="76" t="e">
        <f>SUMIFS(#REF!,#REF!,$B213,#REF!,AA$1)</f>
        <v>#REF!</v>
      </c>
      <c r="AB213" s="76" t="e">
        <f>SUMIFS(#REF!,#REF!,$B213,#REF!,AB$1)</f>
        <v>#REF!</v>
      </c>
      <c r="AC213" s="76" t="e">
        <f>SUMIFS(#REF!,#REF!,$B213,#REF!,AC$1)</f>
        <v>#REF!</v>
      </c>
      <c r="AD213" s="76" t="e">
        <f>SUMIFS(#REF!,#REF!,$B213,#REF!,AD$1)</f>
        <v>#REF!</v>
      </c>
      <c r="AE213" s="76" t="e">
        <f>SUMIFS(#REF!,#REF!,$B213,#REF!,AE$1)</f>
        <v>#REF!</v>
      </c>
      <c r="AF213" s="76" t="e">
        <f>SUMIFS(#REF!,#REF!,$B213,#REF!,AF$1)</f>
        <v>#REF!</v>
      </c>
      <c r="AG213" s="76" t="e">
        <f>SUMIFS(#REF!,#REF!,$B213,#REF!,AG$1)</f>
        <v>#REF!</v>
      </c>
      <c r="AH213" s="76" t="e">
        <f>SUMIFS(#REF!,#REF!,$B213,#REF!,AH$1)</f>
        <v>#REF!</v>
      </c>
      <c r="AI213" s="82"/>
    </row>
    <row r="214" spans="2:35" ht="15" hidden="1" customHeight="1" x14ac:dyDescent="0.25">
      <c r="B214" s="84"/>
      <c r="C214" s="83"/>
      <c r="D214" s="76" t="e">
        <f>SUMIFS(#REF!,#REF!,$B214,#REF!,D$1)</f>
        <v>#REF!</v>
      </c>
      <c r="E214" s="76" t="e">
        <f>SUMIFS(#REF!,#REF!,$B214,#REF!,E$1)</f>
        <v>#REF!</v>
      </c>
      <c r="F214" s="76" t="e">
        <f>SUMIFS(#REF!,#REF!,$B214,#REF!,F$1)</f>
        <v>#REF!</v>
      </c>
      <c r="G214" s="76" t="e">
        <f>SUMIFS(#REF!,#REF!,$B214,#REF!,G$1)</f>
        <v>#REF!</v>
      </c>
      <c r="H214" s="76" t="e">
        <f>SUMIFS(#REF!,#REF!,$B214,#REF!,H$1)</f>
        <v>#REF!</v>
      </c>
      <c r="I214" s="76" t="e">
        <f>SUMIFS(#REF!,#REF!,$B214,#REF!,I$1)</f>
        <v>#REF!</v>
      </c>
      <c r="J214" s="76" t="e">
        <f>SUMIFS(#REF!,#REF!,$B214,#REF!,J$1)</f>
        <v>#REF!</v>
      </c>
      <c r="K214" s="76" t="e">
        <f>SUMIFS(#REF!,#REF!,$B214,#REF!,K$1)</f>
        <v>#REF!</v>
      </c>
      <c r="L214" s="76" t="e">
        <f>SUMIFS(#REF!,#REF!,$B214,#REF!,L$1)</f>
        <v>#REF!</v>
      </c>
      <c r="M214" s="76" t="e">
        <f>SUMIFS(#REF!,#REF!,$B214,#REF!,M$1)</f>
        <v>#REF!</v>
      </c>
      <c r="N214" s="76" t="e">
        <f>SUMIFS(#REF!,#REF!,$B214,#REF!,N$1)</f>
        <v>#REF!</v>
      </c>
      <c r="O214" s="76" t="e">
        <f>SUMIFS(#REF!,#REF!,$B214,#REF!,O$1)</f>
        <v>#REF!</v>
      </c>
      <c r="P214" s="76" t="e">
        <f>SUMIFS(#REF!,#REF!,$B214,#REF!,P$1)</f>
        <v>#REF!</v>
      </c>
      <c r="Q214" s="76" t="e">
        <f>SUMIFS(#REF!,#REF!,$B214,#REF!,Q$1)</f>
        <v>#REF!</v>
      </c>
      <c r="R214" s="76" t="e">
        <f>SUMIFS(#REF!,#REF!,$B214,#REF!,R$1)</f>
        <v>#REF!</v>
      </c>
      <c r="S214" s="76" t="e">
        <f>SUMIFS(#REF!,#REF!,$B214,#REF!,S$1)</f>
        <v>#REF!</v>
      </c>
      <c r="T214" s="76" t="e">
        <f>SUMIFS(#REF!,#REF!,$B214,#REF!,T$1)</f>
        <v>#REF!</v>
      </c>
      <c r="U214" s="76" t="e">
        <f>SUMIFS(#REF!,#REF!,$B214,#REF!,U$1)</f>
        <v>#REF!</v>
      </c>
      <c r="V214" s="76" t="e">
        <f>SUMIFS(#REF!,#REF!,$B214,#REF!,V$1)</f>
        <v>#REF!</v>
      </c>
      <c r="W214" s="76" t="e">
        <f>SUMIFS(#REF!,#REF!,$B214,#REF!,W$1)</f>
        <v>#REF!</v>
      </c>
      <c r="X214" s="76" t="e">
        <f>SUMIFS(#REF!,#REF!,$B214,#REF!,X$1)</f>
        <v>#REF!</v>
      </c>
      <c r="Y214" s="76" t="e">
        <f>SUMIFS(#REF!,#REF!,$B214,#REF!,Y$1)</f>
        <v>#REF!</v>
      </c>
      <c r="Z214" s="76" t="e">
        <f>SUMIFS(#REF!,#REF!,$B214,#REF!,Z$1)</f>
        <v>#REF!</v>
      </c>
      <c r="AA214" s="76" t="e">
        <f>SUMIFS(#REF!,#REF!,$B214,#REF!,AA$1)</f>
        <v>#REF!</v>
      </c>
      <c r="AB214" s="76" t="e">
        <f>SUMIFS(#REF!,#REF!,$B214,#REF!,AB$1)</f>
        <v>#REF!</v>
      </c>
      <c r="AC214" s="76" t="e">
        <f>SUMIFS(#REF!,#REF!,$B214,#REF!,AC$1)</f>
        <v>#REF!</v>
      </c>
      <c r="AD214" s="76" t="e">
        <f>SUMIFS(#REF!,#REF!,$B214,#REF!,AD$1)</f>
        <v>#REF!</v>
      </c>
      <c r="AE214" s="76" t="e">
        <f>SUMIFS(#REF!,#REF!,$B214,#REF!,AE$1)</f>
        <v>#REF!</v>
      </c>
      <c r="AF214" s="76" t="e">
        <f>SUMIFS(#REF!,#REF!,$B214,#REF!,AF$1)</f>
        <v>#REF!</v>
      </c>
      <c r="AG214" s="76" t="e">
        <f>SUMIFS(#REF!,#REF!,$B214,#REF!,AG$1)</f>
        <v>#REF!</v>
      </c>
      <c r="AH214" s="76" t="e">
        <f>SUMIFS(#REF!,#REF!,$B214,#REF!,AH$1)</f>
        <v>#REF!</v>
      </c>
      <c r="AI214" s="82"/>
    </row>
    <row r="215" spans="2:35" ht="15" hidden="1" customHeight="1" x14ac:dyDescent="0.25">
      <c r="B215" s="84"/>
      <c r="C215" s="83"/>
      <c r="D215" s="76" t="e">
        <f>SUMIFS(#REF!,#REF!,$B215,#REF!,D$1)</f>
        <v>#REF!</v>
      </c>
      <c r="E215" s="76" t="e">
        <f>SUMIFS(#REF!,#REF!,$B215,#REF!,E$1)</f>
        <v>#REF!</v>
      </c>
      <c r="F215" s="76" t="e">
        <f>SUMIFS(#REF!,#REF!,$B215,#REF!,F$1)</f>
        <v>#REF!</v>
      </c>
      <c r="G215" s="76" t="e">
        <f>SUMIFS(#REF!,#REF!,$B215,#REF!,G$1)</f>
        <v>#REF!</v>
      </c>
      <c r="H215" s="76" t="e">
        <f>SUMIFS(#REF!,#REF!,$B215,#REF!,H$1)</f>
        <v>#REF!</v>
      </c>
      <c r="I215" s="76" t="e">
        <f>SUMIFS(#REF!,#REF!,$B215,#REF!,I$1)</f>
        <v>#REF!</v>
      </c>
      <c r="J215" s="76" t="e">
        <f>SUMIFS(#REF!,#REF!,$B215,#REF!,J$1)</f>
        <v>#REF!</v>
      </c>
      <c r="K215" s="76" t="e">
        <f>SUMIFS(#REF!,#REF!,$B215,#REF!,K$1)</f>
        <v>#REF!</v>
      </c>
      <c r="L215" s="76" t="e">
        <f>SUMIFS(#REF!,#REF!,$B215,#REF!,L$1)</f>
        <v>#REF!</v>
      </c>
      <c r="M215" s="76" t="e">
        <f>SUMIFS(#REF!,#REF!,$B215,#REF!,M$1)</f>
        <v>#REF!</v>
      </c>
      <c r="N215" s="76" t="e">
        <f>SUMIFS(#REF!,#REF!,$B215,#REF!,N$1)</f>
        <v>#REF!</v>
      </c>
      <c r="O215" s="76" t="e">
        <f>SUMIFS(#REF!,#REF!,$B215,#REF!,O$1)</f>
        <v>#REF!</v>
      </c>
      <c r="P215" s="76" t="e">
        <f>SUMIFS(#REF!,#REF!,$B215,#REF!,P$1)</f>
        <v>#REF!</v>
      </c>
      <c r="Q215" s="76" t="e">
        <f>SUMIFS(#REF!,#REF!,$B215,#REF!,Q$1)</f>
        <v>#REF!</v>
      </c>
      <c r="R215" s="76" t="e">
        <f>SUMIFS(#REF!,#REF!,$B215,#REF!,R$1)</f>
        <v>#REF!</v>
      </c>
      <c r="S215" s="76" t="e">
        <f>SUMIFS(#REF!,#REF!,$B215,#REF!,S$1)</f>
        <v>#REF!</v>
      </c>
      <c r="T215" s="76" t="e">
        <f>SUMIFS(#REF!,#REF!,$B215,#REF!,T$1)</f>
        <v>#REF!</v>
      </c>
      <c r="U215" s="76" t="e">
        <f>SUMIFS(#REF!,#REF!,$B215,#REF!,U$1)</f>
        <v>#REF!</v>
      </c>
      <c r="V215" s="76" t="e">
        <f>SUMIFS(#REF!,#REF!,$B215,#REF!,V$1)</f>
        <v>#REF!</v>
      </c>
      <c r="W215" s="76" t="e">
        <f>SUMIFS(#REF!,#REF!,$B215,#REF!,W$1)</f>
        <v>#REF!</v>
      </c>
      <c r="X215" s="76" t="e">
        <f>SUMIFS(#REF!,#REF!,$B215,#REF!,X$1)</f>
        <v>#REF!</v>
      </c>
      <c r="Y215" s="76" t="e">
        <f>SUMIFS(#REF!,#REF!,$B215,#REF!,Y$1)</f>
        <v>#REF!</v>
      </c>
      <c r="Z215" s="76" t="e">
        <f>SUMIFS(#REF!,#REF!,$B215,#REF!,Z$1)</f>
        <v>#REF!</v>
      </c>
      <c r="AA215" s="76" t="e">
        <f>SUMIFS(#REF!,#REF!,$B215,#REF!,AA$1)</f>
        <v>#REF!</v>
      </c>
      <c r="AB215" s="76" t="e">
        <f>SUMIFS(#REF!,#REF!,$B215,#REF!,AB$1)</f>
        <v>#REF!</v>
      </c>
      <c r="AC215" s="76" t="e">
        <f>SUMIFS(#REF!,#REF!,$B215,#REF!,AC$1)</f>
        <v>#REF!</v>
      </c>
      <c r="AD215" s="76" t="e">
        <f>SUMIFS(#REF!,#REF!,$B215,#REF!,AD$1)</f>
        <v>#REF!</v>
      </c>
      <c r="AE215" s="76" t="e">
        <f>SUMIFS(#REF!,#REF!,$B215,#REF!,AE$1)</f>
        <v>#REF!</v>
      </c>
      <c r="AF215" s="76" t="e">
        <f>SUMIFS(#REF!,#REF!,$B215,#REF!,AF$1)</f>
        <v>#REF!</v>
      </c>
      <c r="AG215" s="76" t="e">
        <f>SUMIFS(#REF!,#REF!,$B215,#REF!,AG$1)</f>
        <v>#REF!</v>
      </c>
      <c r="AH215" s="76" t="e">
        <f>SUMIFS(#REF!,#REF!,$B215,#REF!,AH$1)</f>
        <v>#REF!</v>
      </c>
      <c r="AI215" s="82"/>
    </row>
    <row r="216" spans="2:35" ht="15" hidden="1" customHeight="1" x14ac:dyDescent="0.25">
      <c r="B216" s="84"/>
      <c r="C216" s="83"/>
      <c r="D216" s="76" t="e">
        <f>SUMIFS(#REF!,#REF!,$B216,#REF!,D$1)</f>
        <v>#REF!</v>
      </c>
      <c r="E216" s="76" t="e">
        <f>SUMIFS(#REF!,#REF!,$B216,#REF!,E$1)</f>
        <v>#REF!</v>
      </c>
      <c r="F216" s="76" t="e">
        <f>SUMIFS(#REF!,#REF!,$B216,#REF!,F$1)</f>
        <v>#REF!</v>
      </c>
      <c r="G216" s="76" t="e">
        <f>SUMIFS(#REF!,#REF!,$B216,#REF!,G$1)</f>
        <v>#REF!</v>
      </c>
      <c r="H216" s="76" t="e">
        <f>SUMIFS(#REF!,#REF!,$B216,#REF!,H$1)</f>
        <v>#REF!</v>
      </c>
      <c r="I216" s="76" t="e">
        <f>SUMIFS(#REF!,#REF!,$B216,#REF!,I$1)</f>
        <v>#REF!</v>
      </c>
      <c r="J216" s="76" t="e">
        <f>SUMIFS(#REF!,#REF!,$B216,#REF!,J$1)</f>
        <v>#REF!</v>
      </c>
      <c r="K216" s="76" t="e">
        <f>SUMIFS(#REF!,#REF!,$B216,#REF!,K$1)</f>
        <v>#REF!</v>
      </c>
      <c r="L216" s="76" t="e">
        <f>SUMIFS(#REF!,#REF!,$B216,#REF!,L$1)</f>
        <v>#REF!</v>
      </c>
      <c r="M216" s="76" t="e">
        <f>SUMIFS(#REF!,#REF!,$B216,#REF!,M$1)</f>
        <v>#REF!</v>
      </c>
      <c r="N216" s="76" t="e">
        <f>SUMIFS(#REF!,#REF!,$B216,#REF!,N$1)</f>
        <v>#REF!</v>
      </c>
      <c r="O216" s="76" t="e">
        <f>SUMIFS(#REF!,#REF!,$B216,#REF!,O$1)</f>
        <v>#REF!</v>
      </c>
      <c r="P216" s="76" t="e">
        <f>SUMIFS(#REF!,#REF!,$B216,#REF!,P$1)</f>
        <v>#REF!</v>
      </c>
      <c r="Q216" s="76" t="e">
        <f>SUMIFS(#REF!,#REF!,$B216,#REF!,Q$1)</f>
        <v>#REF!</v>
      </c>
      <c r="R216" s="76" t="e">
        <f>SUMIFS(#REF!,#REF!,$B216,#REF!,R$1)</f>
        <v>#REF!</v>
      </c>
      <c r="S216" s="76" t="e">
        <f>SUMIFS(#REF!,#REF!,$B216,#REF!,S$1)</f>
        <v>#REF!</v>
      </c>
      <c r="T216" s="76" t="e">
        <f>SUMIFS(#REF!,#REF!,$B216,#REF!,T$1)</f>
        <v>#REF!</v>
      </c>
      <c r="U216" s="76" t="e">
        <f>SUMIFS(#REF!,#REF!,$B216,#REF!,U$1)</f>
        <v>#REF!</v>
      </c>
      <c r="V216" s="76" t="e">
        <f>SUMIFS(#REF!,#REF!,$B216,#REF!,V$1)</f>
        <v>#REF!</v>
      </c>
      <c r="W216" s="76" t="e">
        <f>SUMIFS(#REF!,#REF!,$B216,#REF!,W$1)</f>
        <v>#REF!</v>
      </c>
      <c r="X216" s="76" t="e">
        <f>SUMIFS(#REF!,#REF!,$B216,#REF!,X$1)</f>
        <v>#REF!</v>
      </c>
      <c r="Y216" s="76" t="e">
        <f>SUMIFS(#REF!,#REF!,$B216,#REF!,Y$1)</f>
        <v>#REF!</v>
      </c>
      <c r="Z216" s="76" t="e">
        <f>SUMIFS(#REF!,#REF!,$B216,#REF!,Z$1)</f>
        <v>#REF!</v>
      </c>
      <c r="AA216" s="76" t="e">
        <f>SUMIFS(#REF!,#REF!,$B216,#REF!,AA$1)</f>
        <v>#REF!</v>
      </c>
      <c r="AB216" s="76" t="e">
        <f>SUMIFS(#REF!,#REF!,$B216,#REF!,AB$1)</f>
        <v>#REF!</v>
      </c>
      <c r="AC216" s="76" t="e">
        <f>SUMIFS(#REF!,#REF!,$B216,#REF!,AC$1)</f>
        <v>#REF!</v>
      </c>
      <c r="AD216" s="76" t="e">
        <f>SUMIFS(#REF!,#REF!,$B216,#REF!,AD$1)</f>
        <v>#REF!</v>
      </c>
      <c r="AE216" s="76" t="e">
        <f>SUMIFS(#REF!,#REF!,$B216,#REF!,AE$1)</f>
        <v>#REF!</v>
      </c>
      <c r="AF216" s="76" t="e">
        <f>SUMIFS(#REF!,#REF!,$B216,#REF!,AF$1)</f>
        <v>#REF!</v>
      </c>
      <c r="AG216" s="76" t="e">
        <f>SUMIFS(#REF!,#REF!,$B216,#REF!,AG$1)</f>
        <v>#REF!</v>
      </c>
      <c r="AH216" s="76" t="e">
        <f>SUMIFS(#REF!,#REF!,$B216,#REF!,AH$1)</f>
        <v>#REF!</v>
      </c>
      <c r="AI216" s="82"/>
    </row>
    <row r="217" spans="2:35" ht="15" hidden="1" customHeight="1" x14ac:dyDescent="0.25">
      <c r="B217" s="84"/>
      <c r="C217" s="83"/>
      <c r="D217" s="76" t="e">
        <f>SUMIFS(#REF!,#REF!,$B217,#REF!,D$1)</f>
        <v>#REF!</v>
      </c>
      <c r="E217" s="76" t="e">
        <f>SUMIFS(#REF!,#REF!,$B217,#REF!,E$1)</f>
        <v>#REF!</v>
      </c>
      <c r="F217" s="76" t="e">
        <f>SUMIFS(#REF!,#REF!,$B217,#REF!,F$1)</f>
        <v>#REF!</v>
      </c>
      <c r="G217" s="76" t="e">
        <f>SUMIFS(#REF!,#REF!,$B217,#REF!,G$1)</f>
        <v>#REF!</v>
      </c>
      <c r="H217" s="76" t="e">
        <f>SUMIFS(#REF!,#REF!,$B217,#REF!,H$1)</f>
        <v>#REF!</v>
      </c>
      <c r="I217" s="76" t="e">
        <f>SUMIFS(#REF!,#REF!,$B217,#REF!,I$1)</f>
        <v>#REF!</v>
      </c>
      <c r="J217" s="76" t="e">
        <f>SUMIFS(#REF!,#REF!,$B217,#REF!,J$1)</f>
        <v>#REF!</v>
      </c>
      <c r="K217" s="76" t="e">
        <f>SUMIFS(#REF!,#REF!,$B217,#REF!,K$1)</f>
        <v>#REF!</v>
      </c>
      <c r="L217" s="76" t="e">
        <f>SUMIFS(#REF!,#REF!,$B217,#REF!,L$1)</f>
        <v>#REF!</v>
      </c>
      <c r="M217" s="76" t="e">
        <f>SUMIFS(#REF!,#REF!,$B217,#REF!,M$1)</f>
        <v>#REF!</v>
      </c>
      <c r="N217" s="76" t="e">
        <f>SUMIFS(#REF!,#REF!,$B217,#REF!,N$1)</f>
        <v>#REF!</v>
      </c>
      <c r="O217" s="76" t="e">
        <f>SUMIFS(#REF!,#REF!,$B217,#REF!,O$1)</f>
        <v>#REF!</v>
      </c>
      <c r="P217" s="76" t="e">
        <f>SUMIFS(#REF!,#REF!,$B217,#REF!,P$1)</f>
        <v>#REF!</v>
      </c>
      <c r="Q217" s="76" t="e">
        <f>SUMIFS(#REF!,#REF!,$B217,#REF!,Q$1)</f>
        <v>#REF!</v>
      </c>
      <c r="R217" s="76" t="e">
        <f>SUMIFS(#REF!,#REF!,$B217,#REF!,R$1)</f>
        <v>#REF!</v>
      </c>
      <c r="S217" s="76" t="e">
        <f>SUMIFS(#REF!,#REF!,$B217,#REF!,S$1)</f>
        <v>#REF!</v>
      </c>
      <c r="T217" s="76" t="e">
        <f>SUMIFS(#REF!,#REF!,$B217,#REF!,T$1)</f>
        <v>#REF!</v>
      </c>
      <c r="U217" s="76" t="e">
        <f>SUMIFS(#REF!,#REF!,$B217,#REF!,U$1)</f>
        <v>#REF!</v>
      </c>
      <c r="V217" s="76" t="e">
        <f>SUMIFS(#REF!,#REF!,$B217,#REF!,V$1)</f>
        <v>#REF!</v>
      </c>
      <c r="W217" s="76" t="e">
        <f>SUMIFS(#REF!,#REF!,$B217,#REF!,W$1)</f>
        <v>#REF!</v>
      </c>
      <c r="X217" s="76" t="e">
        <f>SUMIFS(#REF!,#REF!,$B217,#REF!,X$1)</f>
        <v>#REF!</v>
      </c>
      <c r="Y217" s="76" t="e">
        <f>SUMIFS(#REF!,#REF!,$B217,#REF!,Y$1)</f>
        <v>#REF!</v>
      </c>
      <c r="Z217" s="76" t="e">
        <f>SUMIFS(#REF!,#REF!,$B217,#REF!,Z$1)</f>
        <v>#REF!</v>
      </c>
      <c r="AA217" s="76" t="e">
        <f>SUMIFS(#REF!,#REF!,$B217,#REF!,AA$1)</f>
        <v>#REF!</v>
      </c>
      <c r="AB217" s="76" t="e">
        <f>SUMIFS(#REF!,#REF!,$B217,#REF!,AB$1)</f>
        <v>#REF!</v>
      </c>
      <c r="AC217" s="76" t="e">
        <f>SUMIFS(#REF!,#REF!,$B217,#REF!,AC$1)</f>
        <v>#REF!</v>
      </c>
      <c r="AD217" s="76" t="e">
        <f>SUMIFS(#REF!,#REF!,$B217,#REF!,AD$1)</f>
        <v>#REF!</v>
      </c>
      <c r="AE217" s="76" t="e">
        <f>SUMIFS(#REF!,#REF!,$B217,#REF!,AE$1)</f>
        <v>#REF!</v>
      </c>
      <c r="AF217" s="76" t="e">
        <f>SUMIFS(#REF!,#REF!,$B217,#REF!,AF$1)</f>
        <v>#REF!</v>
      </c>
      <c r="AG217" s="76" t="e">
        <f>SUMIFS(#REF!,#REF!,$B217,#REF!,AG$1)</f>
        <v>#REF!</v>
      </c>
      <c r="AH217" s="76" t="e">
        <f>SUMIFS(#REF!,#REF!,$B217,#REF!,AH$1)</f>
        <v>#REF!</v>
      </c>
      <c r="AI217" s="82"/>
    </row>
    <row r="218" spans="2:35" ht="15" hidden="1" customHeight="1" x14ac:dyDescent="0.25">
      <c r="B218" s="84"/>
      <c r="C218" s="83"/>
      <c r="D218" s="76" t="e">
        <f>SUMIFS(#REF!,#REF!,$B218,#REF!,D$1)</f>
        <v>#REF!</v>
      </c>
      <c r="E218" s="76" t="e">
        <f>SUMIFS(#REF!,#REF!,$B218,#REF!,E$1)</f>
        <v>#REF!</v>
      </c>
      <c r="F218" s="76" t="e">
        <f>SUMIFS(#REF!,#REF!,$B218,#REF!,F$1)</f>
        <v>#REF!</v>
      </c>
      <c r="G218" s="76" t="e">
        <f>SUMIFS(#REF!,#REF!,$B218,#REF!,G$1)</f>
        <v>#REF!</v>
      </c>
      <c r="H218" s="76" t="e">
        <f>SUMIFS(#REF!,#REF!,$B218,#REF!,H$1)</f>
        <v>#REF!</v>
      </c>
      <c r="I218" s="76" t="e">
        <f>SUMIFS(#REF!,#REF!,$B218,#REF!,I$1)</f>
        <v>#REF!</v>
      </c>
      <c r="J218" s="76" t="e">
        <f>SUMIFS(#REF!,#REF!,$B218,#REF!,J$1)</f>
        <v>#REF!</v>
      </c>
      <c r="K218" s="76" t="e">
        <f>SUMIFS(#REF!,#REF!,$B218,#REF!,K$1)</f>
        <v>#REF!</v>
      </c>
      <c r="L218" s="76" t="e">
        <f>SUMIFS(#REF!,#REF!,$B218,#REF!,L$1)</f>
        <v>#REF!</v>
      </c>
      <c r="M218" s="76" t="e">
        <f>SUMIFS(#REF!,#REF!,$B218,#REF!,M$1)</f>
        <v>#REF!</v>
      </c>
      <c r="N218" s="76" t="e">
        <f>SUMIFS(#REF!,#REF!,$B218,#REF!,N$1)</f>
        <v>#REF!</v>
      </c>
      <c r="O218" s="76" t="e">
        <f>SUMIFS(#REF!,#REF!,$B218,#REF!,O$1)</f>
        <v>#REF!</v>
      </c>
      <c r="P218" s="76" t="e">
        <f>SUMIFS(#REF!,#REF!,$B218,#REF!,P$1)</f>
        <v>#REF!</v>
      </c>
      <c r="Q218" s="76" t="e">
        <f>SUMIFS(#REF!,#REF!,$B218,#REF!,Q$1)</f>
        <v>#REF!</v>
      </c>
      <c r="R218" s="76" t="e">
        <f>SUMIFS(#REF!,#REF!,$B218,#REF!,R$1)</f>
        <v>#REF!</v>
      </c>
      <c r="S218" s="76" t="e">
        <f>SUMIFS(#REF!,#REF!,$B218,#REF!,S$1)</f>
        <v>#REF!</v>
      </c>
      <c r="T218" s="76" t="e">
        <f>SUMIFS(#REF!,#REF!,$B218,#REF!,T$1)</f>
        <v>#REF!</v>
      </c>
      <c r="U218" s="76" t="e">
        <f>SUMIFS(#REF!,#REF!,$B218,#REF!,U$1)</f>
        <v>#REF!</v>
      </c>
      <c r="V218" s="76" t="e">
        <f>SUMIFS(#REF!,#REF!,$B218,#REF!,V$1)</f>
        <v>#REF!</v>
      </c>
      <c r="W218" s="76" t="e">
        <f>SUMIFS(#REF!,#REF!,$B218,#REF!,W$1)</f>
        <v>#REF!</v>
      </c>
      <c r="X218" s="76" t="e">
        <f>SUMIFS(#REF!,#REF!,$B218,#REF!,X$1)</f>
        <v>#REF!</v>
      </c>
      <c r="Y218" s="76" t="e">
        <f>SUMIFS(#REF!,#REF!,$B218,#REF!,Y$1)</f>
        <v>#REF!</v>
      </c>
      <c r="Z218" s="76" t="e">
        <f>SUMIFS(#REF!,#REF!,$B218,#REF!,Z$1)</f>
        <v>#REF!</v>
      </c>
      <c r="AA218" s="76" t="e">
        <f>SUMIFS(#REF!,#REF!,$B218,#REF!,AA$1)</f>
        <v>#REF!</v>
      </c>
      <c r="AB218" s="76" t="e">
        <f>SUMIFS(#REF!,#REF!,$B218,#REF!,AB$1)</f>
        <v>#REF!</v>
      </c>
      <c r="AC218" s="76" t="e">
        <f>SUMIFS(#REF!,#REF!,$B218,#REF!,AC$1)</f>
        <v>#REF!</v>
      </c>
      <c r="AD218" s="76" t="e">
        <f>SUMIFS(#REF!,#REF!,$B218,#REF!,AD$1)</f>
        <v>#REF!</v>
      </c>
      <c r="AE218" s="76" t="e">
        <f>SUMIFS(#REF!,#REF!,$B218,#REF!,AE$1)</f>
        <v>#REF!</v>
      </c>
      <c r="AF218" s="76" t="e">
        <f>SUMIFS(#REF!,#REF!,$B218,#REF!,AF$1)</f>
        <v>#REF!</v>
      </c>
      <c r="AG218" s="76" t="e">
        <f>SUMIFS(#REF!,#REF!,$B218,#REF!,AG$1)</f>
        <v>#REF!</v>
      </c>
      <c r="AH218" s="76" t="e">
        <f>SUMIFS(#REF!,#REF!,$B218,#REF!,AH$1)</f>
        <v>#REF!</v>
      </c>
      <c r="AI218" s="82"/>
    </row>
    <row r="219" spans="2:35" ht="15" hidden="1" customHeight="1" x14ac:dyDescent="0.25">
      <c r="B219" s="84"/>
      <c r="C219" s="83"/>
      <c r="D219" s="76" t="e">
        <f>SUMIFS(#REF!,#REF!,$B219,#REF!,D$1)</f>
        <v>#REF!</v>
      </c>
      <c r="E219" s="76" t="e">
        <f>SUMIFS(#REF!,#REF!,$B219,#REF!,E$1)</f>
        <v>#REF!</v>
      </c>
      <c r="F219" s="76" t="e">
        <f>SUMIFS(#REF!,#REF!,$B219,#REF!,F$1)</f>
        <v>#REF!</v>
      </c>
      <c r="G219" s="76" t="e">
        <f>SUMIFS(#REF!,#REF!,$B219,#REF!,G$1)</f>
        <v>#REF!</v>
      </c>
      <c r="H219" s="76" t="e">
        <f>SUMIFS(#REF!,#REF!,$B219,#REF!,H$1)</f>
        <v>#REF!</v>
      </c>
      <c r="I219" s="76" t="e">
        <f>SUMIFS(#REF!,#REF!,$B219,#REF!,I$1)</f>
        <v>#REF!</v>
      </c>
      <c r="J219" s="76" t="e">
        <f>SUMIFS(#REF!,#REF!,$B219,#REF!,J$1)</f>
        <v>#REF!</v>
      </c>
      <c r="K219" s="76" t="e">
        <f>SUMIFS(#REF!,#REF!,$B219,#REF!,K$1)</f>
        <v>#REF!</v>
      </c>
      <c r="L219" s="76" t="e">
        <f>SUMIFS(#REF!,#REF!,$B219,#REF!,L$1)</f>
        <v>#REF!</v>
      </c>
      <c r="M219" s="76" t="e">
        <f>SUMIFS(#REF!,#REF!,$B219,#REF!,M$1)</f>
        <v>#REF!</v>
      </c>
      <c r="N219" s="76" t="e">
        <f>SUMIFS(#REF!,#REF!,$B219,#REF!,N$1)</f>
        <v>#REF!</v>
      </c>
      <c r="O219" s="76" t="e">
        <f>SUMIFS(#REF!,#REF!,$B219,#REF!,O$1)</f>
        <v>#REF!</v>
      </c>
      <c r="P219" s="76" t="e">
        <f>SUMIFS(#REF!,#REF!,$B219,#REF!,P$1)</f>
        <v>#REF!</v>
      </c>
      <c r="Q219" s="76" t="e">
        <f>SUMIFS(#REF!,#REF!,$B219,#REF!,Q$1)</f>
        <v>#REF!</v>
      </c>
      <c r="R219" s="76" t="e">
        <f>SUMIFS(#REF!,#REF!,$B219,#REF!,R$1)</f>
        <v>#REF!</v>
      </c>
      <c r="S219" s="76" t="e">
        <f>SUMIFS(#REF!,#REF!,$B219,#REF!,S$1)</f>
        <v>#REF!</v>
      </c>
      <c r="T219" s="76" t="e">
        <f>SUMIFS(#REF!,#REF!,$B219,#REF!,T$1)</f>
        <v>#REF!</v>
      </c>
      <c r="U219" s="76" t="e">
        <f>SUMIFS(#REF!,#REF!,$B219,#REF!,U$1)</f>
        <v>#REF!</v>
      </c>
      <c r="V219" s="76" t="e">
        <f>SUMIFS(#REF!,#REF!,$B219,#REF!,V$1)</f>
        <v>#REF!</v>
      </c>
      <c r="W219" s="76" t="e">
        <f>SUMIFS(#REF!,#REF!,$B219,#REF!,W$1)</f>
        <v>#REF!</v>
      </c>
      <c r="X219" s="76" t="e">
        <f>SUMIFS(#REF!,#REF!,$B219,#REF!,X$1)</f>
        <v>#REF!</v>
      </c>
      <c r="Y219" s="76" t="e">
        <f>SUMIFS(#REF!,#REF!,$B219,#REF!,Y$1)</f>
        <v>#REF!</v>
      </c>
      <c r="Z219" s="76" t="e">
        <f>SUMIFS(#REF!,#REF!,$B219,#REF!,Z$1)</f>
        <v>#REF!</v>
      </c>
      <c r="AA219" s="76" t="e">
        <f>SUMIFS(#REF!,#REF!,$B219,#REF!,AA$1)</f>
        <v>#REF!</v>
      </c>
      <c r="AB219" s="76" t="e">
        <f>SUMIFS(#REF!,#REF!,$B219,#REF!,AB$1)</f>
        <v>#REF!</v>
      </c>
      <c r="AC219" s="76" t="e">
        <f>SUMIFS(#REF!,#REF!,$B219,#REF!,AC$1)</f>
        <v>#REF!</v>
      </c>
      <c r="AD219" s="76" t="e">
        <f>SUMIFS(#REF!,#REF!,$B219,#REF!,AD$1)</f>
        <v>#REF!</v>
      </c>
      <c r="AE219" s="76" t="e">
        <f>SUMIFS(#REF!,#REF!,$B219,#REF!,AE$1)</f>
        <v>#REF!</v>
      </c>
      <c r="AF219" s="76" t="e">
        <f>SUMIFS(#REF!,#REF!,$B219,#REF!,AF$1)</f>
        <v>#REF!</v>
      </c>
      <c r="AG219" s="76" t="e">
        <f>SUMIFS(#REF!,#REF!,$B219,#REF!,AG$1)</f>
        <v>#REF!</v>
      </c>
      <c r="AH219" s="76" t="e">
        <f>SUMIFS(#REF!,#REF!,$B219,#REF!,AH$1)</f>
        <v>#REF!</v>
      </c>
      <c r="AI219" s="82"/>
    </row>
    <row r="220" spans="2:35" ht="15" hidden="1" customHeight="1" x14ac:dyDescent="0.25">
      <c r="B220" s="84"/>
      <c r="C220" s="83"/>
      <c r="D220" s="76" t="e">
        <f>SUMIFS(#REF!,#REF!,$B220,#REF!,D$1)</f>
        <v>#REF!</v>
      </c>
      <c r="E220" s="76" t="e">
        <f>SUMIFS(#REF!,#REF!,$B220,#REF!,E$1)</f>
        <v>#REF!</v>
      </c>
      <c r="F220" s="76" t="e">
        <f>SUMIFS(#REF!,#REF!,$B220,#REF!,F$1)</f>
        <v>#REF!</v>
      </c>
      <c r="G220" s="76" t="e">
        <f>SUMIFS(#REF!,#REF!,$B220,#REF!,G$1)</f>
        <v>#REF!</v>
      </c>
      <c r="H220" s="76" t="e">
        <f>SUMIFS(#REF!,#REF!,$B220,#REF!,H$1)</f>
        <v>#REF!</v>
      </c>
      <c r="I220" s="76" t="e">
        <f>SUMIFS(#REF!,#REF!,$B220,#REF!,I$1)</f>
        <v>#REF!</v>
      </c>
      <c r="J220" s="76" t="e">
        <f>SUMIFS(#REF!,#REF!,$B220,#REF!,J$1)</f>
        <v>#REF!</v>
      </c>
      <c r="K220" s="76" t="e">
        <f>SUMIFS(#REF!,#REF!,$B220,#REF!,K$1)</f>
        <v>#REF!</v>
      </c>
      <c r="L220" s="76" t="e">
        <f>SUMIFS(#REF!,#REF!,$B220,#REF!,L$1)</f>
        <v>#REF!</v>
      </c>
      <c r="M220" s="76" t="e">
        <f>SUMIFS(#REF!,#REF!,$B220,#REF!,M$1)</f>
        <v>#REF!</v>
      </c>
      <c r="N220" s="76" t="e">
        <f>SUMIFS(#REF!,#REF!,$B220,#REF!,N$1)</f>
        <v>#REF!</v>
      </c>
      <c r="O220" s="76" t="e">
        <f>SUMIFS(#REF!,#REF!,$B220,#REF!,O$1)</f>
        <v>#REF!</v>
      </c>
      <c r="P220" s="76" t="e">
        <f>SUMIFS(#REF!,#REF!,$B220,#REF!,P$1)</f>
        <v>#REF!</v>
      </c>
      <c r="Q220" s="76" t="e">
        <f>SUMIFS(#REF!,#REF!,$B220,#REF!,Q$1)</f>
        <v>#REF!</v>
      </c>
      <c r="R220" s="76" t="e">
        <f>SUMIFS(#REF!,#REF!,$B220,#REF!,R$1)</f>
        <v>#REF!</v>
      </c>
      <c r="S220" s="76" t="e">
        <f>SUMIFS(#REF!,#REF!,$B220,#REF!,S$1)</f>
        <v>#REF!</v>
      </c>
      <c r="T220" s="76" t="e">
        <f>SUMIFS(#REF!,#REF!,$B220,#REF!,T$1)</f>
        <v>#REF!</v>
      </c>
      <c r="U220" s="76" t="e">
        <f>SUMIFS(#REF!,#REF!,$B220,#REF!,U$1)</f>
        <v>#REF!</v>
      </c>
      <c r="V220" s="76" t="e">
        <f>SUMIFS(#REF!,#REF!,$B220,#REF!,V$1)</f>
        <v>#REF!</v>
      </c>
      <c r="W220" s="76" t="e">
        <f>SUMIFS(#REF!,#REF!,$B220,#REF!,W$1)</f>
        <v>#REF!</v>
      </c>
      <c r="X220" s="76" t="e">
        <f>SUMIFS(#REF!,#REF!,$B220,#REF!,X$1)</f>
        <v>#REF!</v>
      </c>
      <c r="Y220" s="76" t="e">
        <f>SUMIFS(#REF!,#REF!,$B220,#REF!,Y$1)</f>
        <v>#REF!</v>
      </c>
      <c r="Z220" s="76" t="e">
        <f>SUMIFS(#REF!,#REF!,$B220,#REF!,Z$1)</f>
        <v>#REF!</v>
      </c>
      <c r="AA220" s="76" t="e">
        <f>SUMIFS(#REF!,#REF!,$B220,#REF!,AA$1)</f>
        <v>#REF!</v>
      </c>
      <c r="AB220" s="76" t="e">
        <f>SUMIFS(#REF!,#REF!,$B220,#REF!,AB$1)</f>
        <v>#REF!</v>
      </c>
      <c r="AC220" s="76" t="e">
        <f>SUMIFS(#REF!,#REF!,$B220,#REF!,AC$1)</f>
        <v>#REF!</v>
      </c>
      <c r="AD220" s="76" t="e">
        <f>SUMIFS(#REF!,#REF!,$B220,#REF!,AD$1)</f>
        <v>#REF!</v>
      </c>
      <c r="AE220" s="76" t="e">
        <f>SUMIFS(#REF!,#REF!,$B220,#REF!,AE$1)</f>
        <v>#REF!</v>
      </c>
      <c r="AF220" s="76" t="e">
        <f>SUMIFS(#REF!,#REF!,$B220,#REF!,AF$1)</f>
        <v>#REF!</v>
      </c>
      <c r="AG220" s="76" t="e">
        <f>SUMIFS(#REF!,#REF!,$B220,#REF!,AG$1)</f>
        <v>#REF!</v>
      </c>
      <c r="AH220" s="76" t="e">
        <f>SUMIFS(#REF!,#REF!,$B220,#REF!,AH$1)</f>
        <v>#REF!</v>
      </c>
      <c r="AI220" s="82"/>
    </row>
    <row r="221" spans="2:35" ht="15" hidden="1" customHeight="1" thickBot="1" x14ac:dyDescent="0.3">
      <c r="B221" s="84"/>
      <c r="C221" s="91"/>
      <c r="D221" s="76" t="e">
        <f>SUMIFS(#REF!,#REF!,$B221,#REF!,D$1)</f>
        <v>#REF!</v>
      </c>
      <c r="E221" s="76" t="e">
        <f>SUMIFS(#REF!,#REF!,$B221,#REF!,E$1)</f>
        <v>#REF!</v>
      </c>
      <c r="F221" s="76" t="e">
        <f>SUMIFS(#REF!,#REF!,$B221,#REF!,F$1)</f>
        <v>#REF!</v>
      </c>
      <c r="G221" s="76" t="e">
        <f>SUMIFS(#REF!,#REF!,$B221,#REF!,G$1)</f>
        <v>#REF!</v>
      </c>
      <c r="H221" s="76" t="e">
        <f>SUMIFS(#REF!,#REF!,$B221,#REF!,H$1)</f>
        <v>#REF!</v>
      </c>
      <c r="I221" s="76" t="e">
        <f>SUMIFS(#REF!,#REF!,$B221,#REF!,I$1)</f>
        <v>#REF!</v>
      </c>
      <c r="J221" s="76" t="e">
        <f>SUMIFS(#REF!,#REF!,$B221,#REF!,J$1)</f>
        <v>#REF!</v>
      </c>
      <c r="K221" s="76" t="e">
        <f>SUMIFS(#REF!,#REF!,$B221,#REF!,K$1)</f>
        <v>#REF!</v>
      </c>
      <c r="L221" s="76" t="e">
        <f>SUMIFS(#REF!,#REF!,$B221,#REF!,L$1)</f>
        <v>#REF!</v>
      </c>
      <c r="M221" s="76" t="e">
        <f>SUMIFS(#REF!,#REF!,$B221,#REF!,M$1)</f>
        <v>#REF!</v>
      </c>
      <c r="N221" s="76" t="e">
        <f>SUMIFS(#REF!,#REF!,$B221,#REF!,N$1)</f>
        <v>#REF!</v>
      </c>
      <c r="O221" s="76" t="e">
        <f>SUMIFS(#REF!,#REF!,$B221,#REF!,O$1)</f>
        <v>#REF!</v>
      </c>
      <c r="P221" s="76" t="e">
        <f>SUMIFS(#REF!,#REF!,$B221,#REF!,P$1)</f>
        <v>#REF!</v>
      </c>
      <c r="Q221" s="76" t="e">
        <f>SUMIFS(#REF!,#REF!,$B221,#REF!,Q$1)</f>
        <v>#REF!</v>
      </c>
      <c r="R221" s="76" t="e">
        <f>SUMIFS(#REF!,#REF!,$B221,#REF!,R$1)</f>
        <v>#REF!</v>
      </c>
      <c r="S221" s="76" t="e">
        <f>SUMIFS(#REF!,#REF!,$B221,#REF!,S$1)</f>
        <v>#REF!</v>
      </c>
      <c r="T221" s="76" t="e">
        <f>SUMIFS(#REF!,#REF!,$B221,#REF!,T$1)</f>
        <v>#REF!</v>
      </c>
      <c r="U221" s="76" t="e">
        <f>SUMIFS(#REF!,#REF!,$B221,#REF!,U$1)</f>
        <v>#REF!</v>
      </c>
      <c r="V221" s="76" t="e">
        <f>SUMIFS(#REF!,#REF!,$B221,#REF!,V$1)</f>
        <v>#REF!</v>
      </c>
      <c r="W221" s="76" t="e">
        <f>SUMIFS(#REF!,#REF!,$B221,#REF!,W$1)</f>
        <v>#REF!</v>
      </c>
      <c r="X221" s="76" t="e">
        <f>SUMIFS(#REF!,#REF!,$B221,#REF!,X$1)</f>
        <v>#REF!</v>
      </c>
      <c r="Y221" s="76" t="e">
        <f>SUMIFS(#REF!,#REF!,$B221,#REF!,Y$1)</f>
        <v>#REF!</v>
      </c>
      <c r="Z221" s="76" t="e">
        <f>SUMIFS(#REF!,#REF!,$B221,#REF!,Z$1)</f>
        <v>#REF!</v>
      </c>
      <c r="AA221" s="76" t="e">
        <f>SUMIFS(#REF!,#REF!,$B221,#REF!,AA$1)</f>
        <v>#REF!</v>
      </c>
      <c r="AB221" s="76" t="e">
        <f>SUMIFS(#REF!,#REF!,$B221,#REF!,AB$1)</f>
        <v>#REF!</v>
      </c>
      <c r="AC221" s="76" t="e">
        <f>SUMIFS(#REF!,#REF!,$B221,#REF!,AC$1)</f>
        <v>#REF!</v>
      </c>
      <c r="AD221" s="76" t="e">
        <f>SUMIFS(#REF!,#REF!,$B221,#REF!,AD$1)</f>
        <v>#REF!</v>
      </c>
      <c r="AE221" s="76" t="e">
        <f>SUMIFS(#REF!,#REF!,$B221,#REF!,AE$1)</f>
        <v>#REF!</v>
      </c>
      <c r="AF221" s="76" t="e">
        <f>SUMIFS(#REF!,#REF!,$B221,#REF!,AF$1)</f>
        <v>#REF!</v>
      </c>
      <c r="AG221" s="76" t="e">
        <f>SUMIFS(#REF!,#REF!,$B221,#REF!,AG$1)</f>
        <v>#REF!</v>
      </c>
      <c r="AH221" s="76" t="e">
        <f>SUMIFS(#REF!,#REF!,$B221,#REF!,AH$1)</f>
        <v>#REF!</v>
      </c>
      <c r="AI221" s="82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A00-000000000000}">
          <x14:formula1>
            <xm:f>справочник!$E$1:$E$2+справочник!$E$2:$E$40</xm:f>
          </x14:formula1>
          <xm:sqref>B202:B221</xm:sqref>
        </x14:dataValidation>
        <x14:dataValidation type="list" allowBlank="1" showInputMessage="1" showErrorMessage="1" xr:uid="{00000000-0002-0000-1A00-000001000000}">
          <x14:formula1>
            <xm:f>справочник!$E$2:$E$172</xm:f>
          </x14:formula1>
          <xm:sqref>B3:B201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4" baseType="variant">
      <vt:variant>
        <vt:lpstr>Листы</vt:lpstr>
      </vt:variant>
      <vt:variant>
        <vt:i4>27</vt:i4>
      </vt:variant>
      <vt:variant>
        <vt:lpstr>Именованные диапазоны</vt:lpstr>
      </vt:variant>
      <vt:variant>
        <vt:i4>12</vt:i4>
      </vt:variant>
    </vt:vector>
  </HeadingPairs>
  <TitlesOfParts>
    <vt:vector size="39" baseType="lpstr">
      <vt:lpstr>декабрь 2025</vt:lpstr>
      <vt:lpstr>ноябрь 2025</vt:lpstr>
      <vt:lpstr>октябрь 2025</vt:lpstr>
      <vt:lpstr>сентябрь 2025</vt:lpstr>
      <vt:lpstr>август 2025</vt:lpstr>
      <vt:lpstr>июль 2025</vt:lpstr>
      <vt:lpstr>июнь 2025</vt:lpstr>
      <vt:lpstr>май 2025</vt:lpstr>
      <vt:lpstr>апрель 2025</vt:lpstr>
      <vt:lpstr>март 2025</vt:lpstr>
      <vt:lpstr>февраль 2025</vt:lpstr>
      <vt:lpstr>январь 2025</vt:lpstr>
      <vt:lpstr>справочник</vt:lpstr>
      <vt:lpstr>промеж.06</vt:lpstr>
      <vt:lpstr>промеж.</vt:lpstr>
      <vt:lpstr>промеж.12.25</vt:lpstr>
      <vt:lpstr>промеж.11.25</vt:lpstr>
      <vt:lpstr>промеж.10.25</vt:lpstr>
      <vt:lpstr>промеж.09.25</vt:lpstr>
      <vt:lpstr>промеж.08.25</vt:lpstr>
      <vt:lpstr>промеж.07.25</vt:lpstr>
      <vt:lpstr>промеж.06.25</vt:lpstr>
      <vt:lpstr>промеж.05.25</vt:lpstr>
      <vt:lpstr>промеж.04.25</vt:lpstr>
      <vt:lpstr>промеж.03.25</vt:lpstr>
      <vt:lpstr>промеж.02.25</vt:lpstr>
      <vt:lpstr>промеж.01.25</vt:lpstr>
      <vt:lpstr>'август 2025'!Область_печати</vt:lpstr>
      <vt:lpstr>'апрель 2025'!Область_печати</vt:lpstr>
      <vt:lpstr>'декабрь 2025'!Область_печати</vt:lpstr>
      <vt:lpstr>'июль 2025'!Область_печати</vt:lpstr>
      <vt:lpstr>'июнь 2025'!Область_печати</vt:lpstr>
      <vt:lpstr>'май 2025'!Область_печати</vt:lpstr>
      <vt:lpstr>'март 2025'!Область_печати</vt:lpstr>
      <vt:lpstr>'ноябрь 2025'!Область_печати</vt:lpstr>
      <vt:lpstr>'октябрь 2025'!Область_печати</vt:lpstr>
      <vt:lpstr>'сентябрь 2025'!Область_печати</vt:lpstr>
      <vt:lpstr>'февраль 2025'!Область_печати</vt:lpstr>
      <vt:lpstr>'январь 2025'!Область_печати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2026-04-02T13:25:24Z</dcterms:modified>
</cp:coreProperties>
</file>